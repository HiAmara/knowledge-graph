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jinji\Desktop\Data Science\Programming Projects\Neo4J für Teamprojekt\datensätze für neo4j\"/>
    </mc:Choice>
  </mc:AlternateContent>
  <xr:revisionPtr revIDLastSave="0" documentId="13_ncr:1_{81C133EC-E62D-443A-8914-81124FAA478B}" xr6:coauthVersionLast="47" xr6:coauthVersionMax="47" xr10:uidLastSave="{00000000-0000-0000-0000-000000000000}"/>
  <bookViews>
    <workbookView xWindow="-108" yWindow="-108" windowWidth="23256" windowHeight="12456" activeTab="2" xr2:uid="{00000000-000D-0000-FFFF-FFFF00000000}"/>
  </bookViews>
  <sheets>
    <sheet name="Reports" sheetId="1" r:id="rId1"/>
    <sheet name="Tabelle3" sheetId="2" r:id="rId2"/>
    <sheet name="Time Span Histogram" sheetId="7" r:id="rId3"/>
    <sheet name="Tabelle5" sheetId="6" r:id="rId4"/>
  </sheets>
  <externalReferences>
    <externalReference r:id="rId5"/>
  </externalReferences>
  <definedNames>
    <definedName name="_xlchart.v1.0" hidden="1">Reports!$G$2:$G$3144</definedName>
    <definedName name="_xlchart.v1.1" hidden="1">Reports!$G$2:$G$3144</definedName>
    <definedName name="_xlchart.v1.2" hidden="1">Reports!$G$2:$G$3144</definedName>
    <definedName name="_xlchart.v1.3" hidden="1">Reports!$G$2:$G$3144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76" i="1" l="1"/>
  <c r="G1488" i="1"/>
  <c r="G919" i="1"/>
  <c r="G918" i="1"/>
  <c r="G1742" i="1"/>
  <c r="G1740" i="1"/>
  <c r="G763" i="1"/>
  <c r="G762" i="1"/>
  <c r="G243" i="1"/>
  <c r="G2959" i="1"/>
  <c r="G2092" i="1"/>
  <c r="G2087" i="1"/>
  <c r="G2995" i="1"/>
  <c r="G2235" i="1"/>
  <c r="G2272" i="1"/>
  <c r="G2250" i="1"/>
  <c r="G1515" i="1"/>
  <c r="G1001" i="1"/>
  <c r="G204" i="1"/>
  <c r="G39" i="1"/>
  <c r="G1099" i="1"/>
  <c r="G1095" i="1"/>
  <c r="G375" i="1"/>
  <c r="G2248" i="1"/>
  <c r="G1391" i="1"/>
  <c r="G1390" i="1"/>
  <c r="G787" i="1"/>
  <c r="G786" i="1"/>
  <c r="G952" i="1"/>
  <c r="G1370" i="1"/>
  <c r="G2710" i="1"/>
  <c r="G982" i="1"/>
  <c r="G2749" i="1"/>
  <c r="G1778" i="1"/>
  <c r="G294" i="1"/>
  <c r="G295" i="1"/>
  <c r="G250" i="1"/>
  <c r="G253" i="1"/>
  <c r="G249" i="1"/>
  <c r="G252" i="1"/>
  <c r="G251" i="1"/>
  <c r="G717" i="1"/>
  <c r="G716" i="1"/>
  <c r="G1037" i="1"/>
  <c r="G1931" i="1"/>
  <c r="G456" i="1"/>
  <c r="G455" i="1"/>
  <c r="G1223" i="1"/>
  <c r="G458" i="1"/>
  <c r="G2294" i="1"/>
  <c r="G2292" i="1"/>
  <c r="G2881" i="1"/>
  <c r="G2332" i="1"/>
  <c r="G2330" i="1"/>
  <c r="G2343" i="1"/>
  <c r="G2329" i="1"/>
  <c r="G2946" i="1"/>
  <c r="G1617" i="1"/>
  <c r="G878" i="1"/>
  <c r="G877" i="1"/>
  <c r="G2380" i="1"/>
  <c r="G2378" i="1"/>
  <c r="G2375" i="1"/>
  <c r="G2395" i="1"/>
  <c r="G2392" i="1"/>
  <c r="G958" i="1"/>
  <c r="G1522" i="1"/>
  <c r="G1518" i="1"/>
  <c r="G1452" i="1"/>
  <c r="G1157" i="1"/>
  <c r="G538" i="1"/>
  <c r="G108" i="1"/>
  <c r="G107" i="1"/>
  <c r="G158" i="1"/>
  <c r="G156" i="1"/>
  <c r="G160" i="1"/>
  <c r="G155" i="1"/>
  <c r="G159" i="1"/>
  <c r="G157" i="1"/>
  <c r="G1312" i="1"/>
  <c r="G1307" i="1"/>
  <c r="G1304" i="1"/>
  <c r="G1320" i="1"/>
  <c r="G151" i="1"/>
  <c r="G365" i="1"/>
  <c r="G366" i="1"/>
  <c r="G1477" i="1"/>
  <c r="G128" i="1"/>
  <c r="G127" i="1"/>
  <c r="G917" i="1"/>
  <c r="G1649" i="1"/>
  <c r="G2338" i="1"/>
  <c r="G2347" i="1"/>
  <c r="G2341" i="1"/>
  <c r="G2340" i="1"/>
  <c r="G2335" i="1"/>
  <c r="G2913" i="1"/>
  <c r="G24" i="1"/>
  <c r="G27" i="1"/>
  <c r="G25" i="1"/>
  <c r="G26" i="1"/>
  <c r="G2202" i="1"/>
  <c r="G945" i="1"/>
  <c r="G2000" i="1"/>
  <c r="G1205" i="1"/>
  <c r="G1217" i="1"/>
  <c r="G1206" i="1"/>
  <c r="G1200" i="1"/>
  <c r="G1227" i="1"/>
  <c r="G1208" i="1"/>
  <c r="G1153" i="1"/>
  <c r="G2939" i="1"/>
  <c r="G2938" i="1"/>
  <c r="G1310" i="1"/>
  <c r="G1318" i="1"/>
  <c r="G2096" i="1"/>
  <c r="G2086" i="1"/>
  <c r="G2088" i="1"/>
  <c r="G2091" i="1"/>
  <c r="G216" i="1"/>
  <c r="G345" i="1"/>
  <c r="G346" i="1"/>
  <c r="G1777" i="1"/>
  <c r="G2170" i="1"/>
  <c r="G1620" i="1"/>
  <c r="G2557" i="1"/>
  <c r="G1790" i="1"/>
  <c r="G1475" i="1"/>
  <c r="G1129" i="1"/>
  <c r="G1113" i="1"/>
  <c r="G1128" i="1"/>
  <c r="G1110" i="1"/>
  <c r="G1109" i="1"/>
  <c r="G1131" i="1"/>
  <c r="G1112" i="1"/>
  <c r="G1111" i="1"/>
  <c r="G1130" i="1"/>
  <c r="G1108" i="1"/>
  <c r="G2229" i="1"/>
  <c r="G1411" i="1"/>
  <c r="G1711" i="1"/>
  <c r="G467" i="1"/>
  <c r="G478" i="1"/>
  <c r="G3005" i="1"/>
  <c r="G475" i="1"/>
  <c r="G1330" i="1"/>
  <c r="G2107" i="1"/>
  <c r="G2104" i="1"/>
  <c r="G2103" i="1"/>
  <c r="G2106" i="1"/>
  <c r="G559" i="1"/>
  <c r="G1053" i="1"/>
  <c r="G1042" i="1"/>
  <c r="G1052" i="1"/>
  <c r="G1069" i="1"/>
  <c r="G1068" i="1"/>
  <c r="G487" i="1"/>
  <c r="G378" i="1"/>
  <c r="G377" i="1"/>
  <c r="G376" i="1"/>
  <c r="G374" i="1"/>
  <c r="G542" i="1"/>
  <c r="G541" i="1"/>
  <c r="G2683" i="1"/>
  <c r="G521" i="1"/>
  <c r="G23" i="1"/>
  <c r="G1910" i="1"/>
  <c r="G1478" i="1"/>
  <c r="G642" i="1"/>
  <c r="G1538" i="1"/>
  <c r="G2455" i="1"/>
  <c r="G2880" i="1"/>
  <c r="G1494" i="1"/>
  <c r="G1491" i="1"/>
  <c r="G123" i="1"/>
  <c r="G2989" i="1"/>
  <c r="G2991" i="1"/>
  <c r="G2990" i="1"/>
  <c r="G1923" i="1"/>
  <c r="G550" i="1"/>
  <c r="G548" i="1"/>
  <c r="G549" i="1"/>
  <c r="G2269" i="1"/>
  <c r="G1883" i="1"/>
  <c r="G1882" i="1"/>
  <c r="G1091" i="1"/>
  <c r="G1086" i="1"/>
  <c r="G784" i="1"/>
  <c r="G1089" i="1"/>
  <c r="G1090" i="1"/>
  <c r="G2083" i="1"/>
  <c r="G2081" i="1"/>
  <c r="G2101" i="1"/>
  <c r="G2094" i="1"/>
  <c r="G2084" i="1"/>
  <c r="G2082" i="1"/>
  <c r="G2100" i="1"/>
  <c r="G2098" i="1"/>
  <c r="G2112" i="1"/>
  <c r="G2121" i="1"/>
  <c r="G2108" i="1"/>
  <c r="G2117" i="1"/>
  <c r="G2120" i="1"/>
  <c r="G2119" i="1"/>
  <c r="G2118" i="1"/>
  <c r="G2116" i="1"/>
  <c r="G2115" i="1"/>
  <c r="G2111" i="1"/>
  <c r="G779" i="1"/>
  <c r="G777" i="1"/>
  <c r="G2879" i="1"/>
  <c r="G2633" i="1"/>
  <c r="G2634" i="1"/>
  <c r="G1083" i="1"/>
  <c r="G1631" i="1"/>
  <c r="G2077" i="1"/>
  <c r="G2399" i="1"/>
  <c r="G2400" i="1"/>
  <c r="G2628" i="1"/>
  <c r="G2078" i="1"/>
  <c r="G1084" i="1"/>
  <c r="G1749" i="1"/>
  <c r="G241" i="1"/>
  <c r="G217" i="1"/>
  <c r="G1360" i="1"/>
  <c r="G1363" i="1"/>
  <c r="G999" i="1"/>
  <c r="G1059" i="1"/>
  <c r="G1054" i="1"/>
  <c r="G2328" i="1"/>
  <c r="G347" i="1"/>
  <c r="G2671" i="1"/>
  <c r="G172" i="1"/>
  <c r="G174" i="1"/>
  <c r="G331" i="1"/>
  <c r="G1071" i="1"/>
  <c r="G1074" i="1"/>
  <c r="G1523" i="1"/>
  <c r="G1388" i="1"/>
  <c r="G1380" i="1"/>
  <c r="G2624" i="1"/>
  <c r="G2360" i="1"/>
  <c r="G2361" i="1"/>
  <c r="G2443" i="1"/>
  <c r="G2447" i="1"/>
  <c r="G1065" i="1"/>
  <c r="G1502" i="1"/>
  <c r="G1088" i="1"/>
  <c r="G983" i="1"/>
  <c r="G1003" i="1"/>
  <c r="G267" i="1"/>
  <c r="G266" i="1"/>
  <c r="G3074" i="1"/>
  <c r="G2894" i="1"/>
  <c r="G2904" i="1"/>
  <c r="G773" i="1"/>
  <c r="G771" i="1"/>
  <c r="G770" i="1"/>
  <c r="G2695" i="1"/>
  <c r="G3004" i="1"/>
  <c r="G442" i="1"/>
  <c r="G2441" i="1"/>
  <c r="G2997" i="1"/>
  <c r="G3001" i="1"/>
  <c r="G3000" i="1"/>
  <c r="G1753" i="1"/>
  <c r="G1752" i="1"/>
  <c r="G1757" i="1"/>
  <c r="G1959" i="1"/>
  <c r="G1958" i="1"/>
  <c r="G317" i="1"/>
  <c r="G1932" i="1"/>
  <c r="G1930" i="1"/>
  <c r="G1525" i="1"/>
  <c r="G2465" i="1"/>
  <c r="G284" i="1"/>
  <c r="G2079" i="1"/>
  <c r="G775" i="1"/>
  <c r="G2943" i="1"/>
  <c r="G1548" i="1"/>
  <c r="G1553" i="1"/>
  <c r="G1552" i="1"/>
  <c r="G3075" i="1"/>
  <c r="G1024" i="1"/>
  <c r="G795" i="1"/>
  <c r="G1685" i="1"/>
  <c r="G1714" i="1"/>
  <c r="G1716" i="1"/>
  <c r="G2740" i="1"/>
  <c r="G1534" i="1"/>
  <c r="G933" i="1"/>
  <c r="G1487" i="1"/>
  <c r="G2632" i="1"/>
  <c r="G2751" i="1"/>
  <c r="G2686" i="1"/>
  <c r="G2614" i="1"/>
  <c r="G785" i="1"/>
  <c r="G789" i="1"/>
  <c r="G774" i="1"/>
  <c r="G772" i="1"/>
  <c r="G959" i="1"/>
  <c r="G135" i="1"/>
  <c r="G131" i="1"/>
  <c r="G129" i="1"/>
  <c r="G126" i="1"/>
  <c r="G2154" i="1"/>
  <c r="G980" i="1"/>
  <c r="G979" i="1"/>
  <c r="G1596" i="1"/>
  <c r="G1595" i="1"/>
  <c r="G2369" i="1"/>
  <c r="G2981" i="1"/>
  <c r="G2977" i="1"/>
  <c r="G1079" i="1"/>
  <c r="G2025" i="1"/>
  <c r="G546" i="1"/>
  <c r="G880" i="1"/>
  <c r="G881" i="1"/>
  <c r="G892" i="1"/>
  <c r="G887" i="1"/>
  <c r="G897" i="1"/>
  <c r="G896" i="1"/>
  <c r="G895" i="1"/>
  <c r="G894" i="1"/>
  <c r="G893" i="1"/>
  <c r="G891" i="1"/>
  <c r="G890" i="1"/>
  <c r="G889" i="1"/>
  <c r="G888" i="1"/>
  <c r="G884" i="1"/>
  <c r="G883" i="1"/>
  <c r="G882" i="1"/>
  <c r="G1180" i="1"/>
  <c r="G1193" i="1"/>
  <c r="G1190" i="1"/>
  <c r="G1188" i="1"/>
  <c r="G1183" i="1"/>
  <c r="G1184" i="1"/>
  <c r="G1178" i="1"/>
  <c r="G1189" i="1"/>
  <c r="G1187" i="1"/>
  <c r="G1177" i="1"/>
  <c r="G1195" i="1"/>
  <c r="G1192" i="1"/>
  <c r="G1186" i="1"/>
  <c r="G1182" i="1"/>
  <c r="G1179" i="1"/>
  <c r="G1194" i="1"/>
  <c r="G1191" i="1"/>
  <c r="G1185" i="1"/>
  <c r="G1181" i="1"/>
  <c r="G797" i="1"/>
  <c r="G793" i="1"/>
  <c r="G3102" i="1"/>
  <c r="G3101" i="1"/>
  <c r="G3098" i="1"/>
  <c r="G3097" i="1"/>
  <c r="G1127" i="1"/>
  <c r="G1126" i="1"/>
  <c r="G1125" i="1"/>
  <c r="G1050" i="1"/>
  <c r="G1066" i="1"/>
  <c r="G348" i="1"/>
  <c r="G2473" i="1"/>
  <c r="G2440" i="1"/>
  <c r="G2307" i="1"/>
  <c r="G503" i="1"/>
  <c r="G1070" i="1"/>
  <c r="G1067" i="1"/>
  <c r="G1064" i="1"/>
  <c r="G1047" i="1"/>
  <c r="G1041" i="1"/>
  <c r="G1894" i="1"/>
  <c r="G1897" i="1"/>
  <c r="G1896" i="1"/>
  <c r="G810" i="1"/>
  <c r="G342" i="1"/>
  <c r="G343" i="1"/>
  <c r="G352" i="1"/>
  <c r="G1082" i="1"/>
  <c r="G1541" i="1"/>
  <c r="G844" i="1"/>
  <c r="G3134" i="1"/>
  <c r="G2955" i="1"/>
  <c r="G394" i="1"/>
  <c r="G1382" i="1"/>
  <c r="G1373" i="1"/>
  <c r="G843" i="1"/>
  <c r="G1372" i="1"/>
  <c r="G1369" i="1"/>
  <c r="G1364" i="1"/>
  <c r="G3122" i="1"/>
  <c r="G44" i="1"/>
  <c r="G43" i="1"/>
  <c r="G1461" i="1"/>
  <c r="G1453" i="1"/>
  <c r="G1458" i="1"/>
  <c r="G1831" i="1"/>
  <c r="G2681" i="1"/>
  <c r="G2684" i="1"/>
  <c r="G886" i="1"/>
  <c r="G885" i="1"/>
  <c r="G1986" i="1"/>
  <c r="G1985" i="1"/>
  <c r="G1824" i="1"/>
  <c r="G84" i="1"/>
  <c r="G2166" i="1"/>
  <c r="G2159" i="1"/>
  <c r="G2619" i="1"/>
  <c r="G452" i="1"/>
  <c r="G2367" i="1"/>
  <c r="G1495" i="1"/>
  <c r="G1489" i="1"/>
  <c r="G424" i="1"/>
  <c r="G423" i="1"/>
  <c r="G461" i="1"/>
  <c r="G764" i="1"/>
  <c r="G2406" i="1"/>
  <c r="G355" i="1"/>
  <c r="G351" i="1"/>
  <c r="G440" i="1"/>
  <c r="G3099" i="1"/>
  <c r="G3100" i="1"/>
  <c r="G2699" i="1"/>
  <c r="G1412" i="1"/>
  <c r="G1950" i="1"/>
  <c r="G1949" i="1"/>
  <c r="G386" i="1"/>
  <c r="G990" i="1"/>
  <c r="G1008" i="1"/>
  <c r="G1007" i="1"/>
  <c r="G1006" i="1"/>
  <c r="G3139" i="1"/>
  <c r="G3138" i="1"/>
  <c r="G3141" i="1"/>
  <c r="G3140" i="1"/>
  <c r="G3143" i="1"/>
  <c r="G2901" i="1"/>
  <c r="G1933" i="1"/>
  <c r="G1588" i="1"/>
  <c r="G1155" i="1"/>
  <c r="G1156" i="1"/>
  <c r="G1402" i="1"/>
  <c r="G1891" i="1"/>
  <c r="G834" i="1"/>
  <c r="G2134" i="1"/>
  <c r="G2135" i="1"/>
  <c r="G1103" i="1"/>
  <c r="G1105" i="1"/>
  <c r="G1102" i="1"/>
  <c r="G1107" i="1"/>
  <c r="G1104" i="1"/>
  <c r="G1106" i="1"/>
  <c r="G304" i="1"/>
  <c r="G298" i="1"/>
  <c r="G710" i="1"/>
  <c r="G790" i="1"/>
  <c r="G851" i="1"/>
  <c r="G852" i="1"/>
  <c r="G1898" i="1"/>
  <c r="G1904" i="1"/>
  <c r="G1903" i="1"/>
  <c r="G1901" i="1"/>
  <c r="G1739" i="1"/>
  <c r="G1735" i="1"/>
  <c r="G1741" i="1"/>
  <c r="G1521" i="1"/>
  <c r="G712" i="1"/>
  <c r="G1240" i="1"/>
  <c r="G1264" i="1"/>
  <c r="G708" i="1"/>
  <c r="G2024" i="1"/>
  <c r="G2023" i="1"/>
  <c r="G1419" i="1"/>
  <c r="G303" i="1"/>
  <c r="G848" i="1"/>
  <c r="G847" i="1"/>
  <c r="G846" i="1"/>
  <c r="G845" i="1"/>
  <c r="G1619" i="1"/>
  <c r="G2140" i="1"/>
  <c r="G2144" i="1"/>
  <c r="G2149" i="1"/>
  <c r="G2143" i="1"/>
  <c r="G864" i="1"/>
  <c r="G289" i="1"/>
  <c r="G288" i="1"/>
  <c r="G287" i="1"/>
  <c r="G291" i="1"/>
  <c r="G290" i="1"/>
  <c r="G286" i="1"/>
  <c r="G2148" i="1"/>
  <c r="G2142" i="1"/>
  <c r="G2146" i="1"/>
  <c r="G2147" i="1"/>
  <c r="G2145" i="1"/>
  <c r="G2141" i="1"/>
  <c r="G1590" i="1"/>
  <c r="G1907" i="1"/>
  <c r="G1906" i="1"/>
  <c r="G537" i="1"/>
  <c r="G3037" i="1"/>
  <c r="G3036" i="1"/>
  <c r="G3038" i="1"/>
  <c r="G1220" i="1"/>
  <c r="G971" i="1"/>
  <c r="G457" i="1"/>
  <c r="G310" i="1"/>
  <c r="G1483" i="1"/>
  <c r="G2993" i="1"/>
  <c r="G3115" i="1"/>
  <c r="G260" i="1"/>
  <c r="G259" i="1"/>
  <c r="G258" i="1"/>
  <c r="G257" i="1"/>
  <c r="G3020" i="1"/>
  <c r="G3016" i="1"/>
  <c r="G3026" i="1"/>
  <c r="G3019" i="1"/>
  <c r="G3014" i="1"/>
  <c r="G3024" i="1"/>
  <c r="G3025" i="1"/>
  <c r="G3018" i="1"/>
  <c r="G3013" i="1"/>
  <c r="G223" i="1"/>
  <c r="G222" i="1"/>
  <c r="G1289" i="1"/>
  <c r="G1288" i="1"/>
  <c r="G2703" i="1"/>
  <c r="G299" i="1"/>
  <c r="G2105" i="1"/>
  <c r="G1359" i="1"/>
  <c r="G1367" i="1"/>
  <c r="G1203" i="1"/>
  <c r="G1226" i="1"/>
  <c r="G2109" i="1"/>
  <c r="G2110" i="1"/>
  <c r="G2114" i="1"/>
  <c r="G2113" i="1"/>
  <c r="G969" i="1"/>
  <c r="G1536" i="1"/>
  <c r="G2690" i="1"/>
  <c r="G2689" i="1"/>
  <c r="G2688" i="1"/>
  <c r="G2687" i="1"/>
  <c r="G2293" i="1"/>
  <c r="G1427" i="1"/>
  <c r="G2442" i="1"/>
  <c r="G2437" i="1"/>
  <c r="G2446" i="1"/>
  <c r="G968" i="1"/>
  <c r="G970" i="1"/>
  <c r="G2679" i="1"/>
  <c r="G2685" i="1"/>
  <c r="G2680" i="1"/>
  <c r="G2974" i="1"/>
  <c r="G2973" i="1"/>
  <c r="G2972" i="1"/>
  <c r="G2969" i="1"/>
  <c r="G2960" i="1"/>
  <c r="G2987" i="1"/>
  <c r="G2986" i="1"/>
  <c r="G2985" i="1"/>
  <c r="G2984" i="1"/>
  <c r="G2982" i="1"/>
  <c r="G2979" i="1"/>
  <c r="G2978" i="1"/>
  <c r="G1221" i="1"/>
  <c r="G835" i="1"/>
  <c r="G2692" i="1"/>
  <c r="G781" i="1"/>
  <c r="G782" i="1"/>
  <c r="G1951" i="1"/>
  <c r="G523" i="1"/>
  <c r="G528" i="1"/>
  <c r="G524" i="1"/>
  <c r="G531" i="1"/>
  <c r="G525" i="1"/>
  <c r="G1334" i="1"/>
  <c r="G1344" i="1"/>
  <c r="G1345" i="1"/>
  <c r="G1329" i="1"/>
  <c r="G1908" i="1"/>
  <c r="G553" i="1"/>
  <c r="G552" i="1"/>
  <c r="G1039" i="1"/>
  <c r="G1036" i="1"/>
  <c r="G1030" i="1"/>
  <c r="G1033" i="1"/>
  <c r="G1468" i="1"/>
  <c r="G1465" i="1"/>
  <c r="G1464" i="1"/>
  <c r="G1326" i="1"/>
  <c r="G1323" i="1"/>
  <c r="G1197" i="1"/>
  <c r="G1198" i="1"/>
  <c r="G2043" i="1"/>
  <c r="G3124" i="1"/>
  <c r="G3123" i="1"/>
  <c r="G1606" i="1"/>
  <c r="G1611" i="1"/>
  <c r="G2099" i="1"/>
  <c r="G2089" i="1"/>
  <c r="G2085" i="1"/>
  <c r="G1583" i="1"/>
  <c r="G2734" i="1"/>
  <c r="G2080" i="1"/>
  <c r="G1516" i="1"/>
  <c r="G2461" i="1"/>
  <c r="G808" i="1"/>
  <c r="G302" i="1"/>
  <c r="G981" i="1"/>
  <c r="G2076" i="1"/>
  <c r="G2075" i="1"/>
  <c r="G2074" i="1"/>
  <c r="G2073" i="1"/>
  <c r="G2138" i="1"/>
  <c r="G1383" i="1"/>
  <c r="G2471" i="1"/>
  <c r="G2469" i="1"/>
  <c r="G2456" i="1"/>
  <c r="G2470" i="1"/>
  <c r="G2571" i="1"/>
  <c r="G2467" i="1"/>
  <c r="G2454" i="1"/>
  <c r="G2468" i="1"/>
  <c r="G1362" i="1"/>
  <c r="G1947" i="1"/>
  <c r="G1945" i="1"/>
  <c r="G1723" i="1"/>
  <c r="G1720" i="1"/>
  <c r="G1732" i="1"/>
  <c r="G8" i="1"/>
  <c r="G1152" i="1"/>
  <c r="G1151" i="1"/>
  <c r="G1150" i="1"/>
  <c r="G1149" i="1"/>
  <c r="G3047" i="1"/>
  <c r="G275" i="1"/>
  <c r="G274" i="1"/>
  <c r="G276" i="1"/>
  <c r="G277" i="1"/>
  <c r="G2459" i="1"/>
  <c r="G2460" i="1"/>
  <c r="G1635" i="1"/>
  <c r="G1424" i="1"/>
  <c r="G1612" i="1"/>
  <c r="G1147" i="1"/>
  <c r="G1146" i="1"/>
  <c r="G1460" i="1"/>
  <c r="G1457" i="1"/>
  <c r="G1454" i="1"/>
  <c r="G2464" i="1"/>
  <c r="G2463" i="1"/>
  <c r="G2462" i="1"/>
  <c r="G1730" i="1"/>
  <c r="G2876" i="1"/>
  <c r="G2875" i="1"/>
  <c r="G2874" i="1"/>
  <c r="G2357" i="1"/>
  <c r="G2356" i="1"/>
  <c r="G2355" i="1"/>
  <c r="G2359" i="1"/>
  <c r="G2358" i="1"/>
  <c r="G2169" i="1"/>
  <c r="G2620" i="1"/>
  <c r="G2962" i="1"/>
  <c r="G555" i="1"/>
  <c r="G554" i="1"/>
  <c r="G2039" i="1"/>
  <c r="G1615" i="1"/>
  <c r="G1616" i="1"/>
  <c r="G2682" i="1"/>
  <c r="G2371" i="1"/>
  <c r="G2370" i="1"/>
  <c r="G2890" i="1"/>
  <c r="G1706" i="1"/>
  <c r="G1705" i="1"/>
  <c r="G1467" i="1"/>
  <c r="G1466" i="1"/>
  <c r="G1463" i="1"/>
  <c r="G1216" i="1"/>
  <c r="G1605" i="1"/>
  <c r="G354" i="1"/>
  <c r="G1215" i="1"/>
  <c r="G1451" i="1"/>
  <c r="G1093" i="1"/>
  <c r="G558" i="1"/>
  <c r="G557" i="1"/>
  <c r="G1852" i="1"/>
  <c r="G437" i="1"/>
  <c r="G556" i="1"/>
  <c r="G443" i="1"/>
  <c r="G436" i="1"/>
  <c r="G438" i="1"/>
  <c r="G3058" i="1"/>
  <c r="G301" i="1"/>
  <c r="G534" i="1"/>
  <c r="G533" i="1"/>
  <c r="G532" i="1"/>
  <c r="G765" i="1"/>
  <c r="G2044" i="1"/>
  <c r="G1437" i="1"/>
  <c r="G1442" i="1"/>
  <c r="G1438" i="1"/>
  <c r="G1432" i="1"/>
  <c r="G1441" i="1"/>
  <c r="G2167" i="1"/>
  <c r="G1078" i="1"/>
  <c r="G1058" i="1"/>
  <c r="G3055" i="1"/>
  <c r="G3057" i="1"/>
  <c r="G3056" i="1"/>
  <c r="G1272" i="1"/>
  <c r="G1271" i="1"/>
  <c r="G905" i="1"/>
  <c r="G904" i="1"/>
  <c r="G1622" i="1"/>
  <c r="G1721" i="1"/>
  <c r="G2430" i="1"/>
  <c r="G2421" i="1"/>
  <c r="G2432" i="1"/>
  <c r="G2423" i="1"/>
  <c r="G1436" i="1"/>
  <c r="G3050" i="1"/>
  <c r="G2183" i="1"/>
  <c r="G2155" i="1"/>
  <c r="G2182" i="1"/>
  <c r="G2179" i="1"/>
  <c r="G2181" i="1"/>
  <c r="G1524" i="1"/>
  <c r="G1527" i="1"/>
  <c r="G1350" i="1"/>
  <c r="G1358" i="1"/>
  <c r="G837" i="1"/>
  <c r="G836" i="1"/>
  <c r="G211" i="1"/>
  <c r="G208" i="1"/>
  <c r="G210" i="1"/>
  <c r="G209" i="1"/>
  <c r="G1166" i="1"/>
  <c r="G2003" i="1"/>
  <c r="G1977" i="1"/>
  <c r="G2888" i="1"/>
  <c r="G798" i="1"/>
  <c r="G2675" i="1"/>
  <c r="G1400" i="1"/>
  <c r="G1399" i="1"/>
  <c r="G2552" i="1"/>
  <c r="G2850" i="1"/>
  <c r="G2849" i="1"/>
  <c r="G778" i="1"/>
  <c r="G1786" i="1"/>
  <c r="G1784" i="1"/>
  <c r="G1785" i="1"/>
  <c r="G357" i="1"/>
  <c r="G2909" i="1"/>
  <c r="G3080" i="1"/>
  <c r="G1381" i="1"/>
  <c r="G964" i="1"/>
  <c r="G1762" i="1"/>
  <c r="G1504" i="1"/>
  <c r="G1503" i="1"/>
  <c r="G2061" i="1"/>
  <c r="G361" i="1"/>
  <c r="G359" i="1"/>
  <c r="G358" i="1"/>
  <c r="G1972" i="1"/>
  <c r="G1969" i="1"/>
  <c r="G1670" i="1"/>
  <c r="G1394" i="1"/>
  <c r="G1395" i="1"/>
  <c r="G2676" i="1"/>
  <c r="G908" i="1"/>
  <c r="G907" i="1"/>
  <c r="G3112" i="1"/>
  <c r="G2220" i="1"/>
  <c r="G916" i="1"/>
  <c r="G915" i="1"/>
  <c r="G530" i="1"/>
  <c r="G791" i="1"/>
  <c r="G796" i="1"/>
  <c r="G788" i="1"/>
  <c r="G1877" i="1"/>
  <c r="G1876" i="1"/>
  <c r="G2304" i="1"/>
  <c r="G1319" i="1"/>
  <c r="G1300" i="1"/>
  <c r="G1308" i="1"/>
  <c r="G1299" i="1"/>
  <c r="G388" i="1"/>
  <c r="G389" i="1"/>
  <c r="G2177" i="1"/>
  <c r="G1117" i="1"/>
  <c r="G1123" i="1"/>
  <c r="G1116" i="1"/>
  <c r="G1115" i="1"/>
  <c r="G1119" i="1"/>
  <c r="G1122" i="1"/>
  <c r="G1121" i="1"/>
  <c r="G1120" i="1"/>
  <c r="G2041" i="1"/>
  <c r="G783" i="1"/>
  <c r="G1851" i="1"/>
  <c r="G1230" i="1"/>
  <c r="G1209" i="1"/>
  <c r="G1229" i="1"/>
  <c r="G1218" i="1"/>
  <c r="G1246" i="1"/>
  <c r="G1258" i="1"/>
  <c r="G1250" i="1"/>
  <c r="G1771" i="1"/>
  <c r="G1782" i="1"/>
  <c r="G747" i="1"/>
  <c r="G329" i="1"/>
  <c r="G327" i="1"/>
  <c r="G1338" i="1"/>
  <c r="G1336" i="1"/>
  <c r="G1331" i="1"/>
  <c r="G1328" i="1"/>
  <c r="G1514" i="1"/>
  <c r="G1513" i="1"/>
  <c r="G998" i="1"/>
  <c r="G2882" i="1"/>
  <c r="G857" i="1"/>
  <c r="G2323" i="1"/>
  <c r="G1462" i="1"/>
  <c r="G300" i="1"/>
  <c r="G1747" i="1"/>
  <c r="G1746" i="1"/>
  <c r="G1750" i="1"/>
  <c r="G1748" i="1"/>
  <c r="G1751" i="1"/>
  <c r="G842" i="1"/>
  <c r="G2152" i="1"/>
  <c r="G2151" i="1"/>
  <c r="G715" i="1"/>
  <c r="G718" i="1"/>
  <c r="G1556" i="1"/>
  <c r="G3010" i="1"/>
  <c r="G1496" i="1"/>
  <c r="G1493" i="1"/>
  <c r="G1485" i="1"/>
  <c r="G1498" i="1"/>
  <c r="G1492" i="1"/>
  <c r="G1911" i="1"/>
  <c r="G2934" i="1"/>
  <c r="G3118" i="1"/>
  <c r="G293" i="1"/>
  <c r="G292" i="1"/>
  <c r="G1418" i="1"/>
  <c r="G766" i="1"/>
  <c r="G119" i="1"/>
  <c r="G124" i="1"/>
  <c r="G120" i="1"/>
  <c r="G116" i="1"/>
  <c r="G113" i="1"/>
  <c r="G125" i="1"/>
  <c r="G115" i="1"/>
  <c r="G114" i="1"/>
  <c r="G508" i="1"/>
  <c r="G814" i="1"/>
  <c r="G815" i="1"/>
  <c r="G1392" i="1"/>
  <c r="G1768" i="1"/>
  <c r="G1779" i="1"/>
  <c r="G1764" i="1"/>
  <c r="G1425" i="1"/>
  <c r="G1423" i="1"/>
  <c r="G1421" i="1"/>
  <c r="G870" i="1"/>
  <c r="G1780" i="1"/>
  <c r="G466" i="1"/>
  <c r="G465" i="1"/>
  <c r="G460" i="1"/>
  <c r="G464" i="1"/>
  <c r="G459" i="1"/>
  <c r="G2702" i="1"/>
  <c r="G316" i="1"/>
  <c r="G2049" i="1"/>
  <c r="G2054" i="1"/>
  <c r="G2051" i="1"/>
  <c r="G2053" i="1"/>
  <c r="G2048" i="1"/>
  <c r="G2052" i="1"/>
  <c r="G2047" i="1"/>
  <c r="G2055" i="1"/>
  <c r="G2014" i="1"/>
  <c r="G2018" i="1"/>
  <c r="G2013" i="1"/>
  <c r="G2012" i="1"/>
  <c r="G2017" i="1"/>
  <c r="G2016" i="1"/>
  <c r="G19" i="1"/>
  <c r="G1632" i="1"/>
  <c r="G1202" i="1"/>
  <c r="G1049" i="1"/>
  <c r="G2011" i="1"/>
  <c r="G2009" i="1"/>
  <c r="G2007" i="1"/>
  <c r="G2010" i="1"/>
  <c r="G2008" i="1"/>
  <c r="G2006" i="1"/>
  <c r="G675" i="1"/>
  <c r="G674" i="1"/>
  <c r="G673" i="1"/>
  <c r="G583" i="1"/>
  <c r="G582" i="1"/>
  <c r="G581" i="1"/>
  <c r="G610" i="1"/>
  <c r="G1713" i="1"/>
  <c r="G2064" i="1"/>
  <c r="G2070" i="1"/>
  <c r="G2069" i="1"/>
  <c r="G2173" i="1"/>
  <c r="G2133" i="1"/>
  <c r="G2131" i="1"/>
  <c r="G2132" i="1"/>
  <c r="G2130" i="1"/>
  <c r="G2129" i="1"/>
  <c r="G2128" i="1"/>
  <c r="G2127" i="1"/>
  <c r="G2126" i="1"/>
  <c r="G441" i="1"/>
  <c r="G672" i="1"/>
  <c r="G671" i="1"/>
  <c r="G670" i="1"/>
  <c r="G669" i="1"/>
  <c r="G609" i="1"/>
  <c r="G698" i="1"/>
  <c r="G697" i="1"/>
  <c r="G696" i="1"/>
  <c r="G695" i="1"/>
  <c r="G2525" i="1"/>
  <c r="G2999" i="1"/>
  <c r="G2998" i="1"/>
  <c r="G1642" i="1"/>
  <c r="G65" i="1"/>
  <c r="G67" i="1"/>
  <c r="G69" i="1"/>
  <c r="G68" i="1"/>
  <c r="G931" i="1"/>
  <c r="G853" i="1"/>
  <c r="G1731" i="1"/>
  <c r="G923" i="1"/>
  <c r="G922" i="1"/>
  <c r="G2153" i="1"/>
  <c r="G2150" i="1"/>
  <c r="G2899" i="1"/>
  <c r="G1228" i="1"/>
  <c r="G1207" i="1"/>
  <c r="G2933" i="1"/>
  <c r="G575" i="1"/>
  <c r="G618" i="1"/>
  <c r="G586" i="1"/>
  <c r="G619" i="1"/>
  <c r="G585" i="1"/>
  <c r="G617" i="1"/>
  <c r="G623" i="1"/>
  <c r="G620" i="1"/>
  <c r="G665" i="1"/>
  <c r="G664" i="1"/>
  <c r="G657" i="1"/>
  <c r="G646" i="1"/>
  <c r="G704" i="1"/>
  <c r="G663" i="1"/>
  <c r="G677" i="1"/>
  <c r="G654" i="1"/>
  <c r="G707" i="1"/>
  <c r="G1675" i="1"/>
  <c r="G325" i="1"/>
  <c r="G1551" i="1"/>
  <c r="G653" i="1"/>
  <c r="G656" i="1"/>
  <c r="G686" i="1"/>
  <c r="G655" i="1"/>
  <c r="G244" i="1"/>
  <c r="G246" i="1"/>
  <c r="G932" i="1"/>
  <c r="G681" i="1"/>
  <c r="G683" i="1"/>
  <c r="G680" i="1"/>
  <c r="G1366" i="1"/>
  <c r="G1022" i="1"/>
  <c r="G603" i="1"/>
  <c r="G1386" i="1"/>
  <c r="G1376" i="1"/>
  <c r="G2030" i="1"/>
  <c r="G390" i="1"/>
  <c r="G392" i="1"/>
  <c r="G2858" i="1"/>
  <c r="G2860" i="1"/>
  <c r="G1490" i="1"/>
  <c r="G306" i="1"/>
  <c r="G309" i="1"/>
  <c r="G1276" i="1"/>
  <c r="G1274" i="1"/>
  <c r="G1269" i="1"/>
  <c r="G41" i="1"/>
  <c r="G1710" i="1"/>
  <c r="G813" i="1"/>
  <c r="G812" i="1"/>
  <c r="G3119" i="1"/>
  <c r="G3111" i="1"/>
  <c r="G972" i="1"/>
  <c r="G1005" i="1"/>
  <c r="G989" i="1"/>
  <c r="G986" i="1"/>
  <c r="G1004" i="1"/>
  <c r="G988" i="1"/>
  <c r="G48" i="1"/>
  <c r="G47" i="1"/>
  <c r="G49" i="1"/>
  <c r="G50" i="1"/>
  <c r="G2903" i="1"/>
  <c r="G2896" i="1"/>
  <c r="G1767" i="1"/>
  <c r="G584" i="1"/>
  <c r="G2123" i="1"/>
  <c r="G2125" i="1"/>
  <c r="G1709" i="1"/>
  <c r="G800" i="1"/>
  <c r="G799" i="1"/>
  <c r="G804" i="1"/>
  <c r="G2253" i="1"/>
  <c r="G2249" i="1"/>
  <c r="G2252" i="1"/>
  <c r="G2251" i="1"/>
  <c r="G1297" i="1"/>
  <c r="G2957" i="1"/>
  <c r="G2264" i="1"/>
  <c r="G2203" i="1"/>
  <c r="G2216" i="1"/>
  <c r="G1479" i="1"/>
  <c r="G1946" i="1"/>
  <c r="G1944" i="1"/>
  <c r="G2364" i="1"/>
  <c r="G2602" i="1"/>
  <c r="G2601" i="1"/>
  <c r="G2372" i="1"/>
  <c r="G215" i="1"/>
  <c r="G212" i="1"/>
  <c r="G213" i="1"/>
  <c r="G393" i="1"/>
  <c r="G2895" i="1"/>
  <c r="G2906" i="1"/>
  <c r="G154" i="1"/>
  <c r="G104" i="1"/>
  <c r="G2337" i="1"/>
  <c r="G2331" i="1"/>
  <c r="G2336" i="1"/>
  <c r="G2333" i="1"/>
  <c r="G2342" i="1"/>
  <c r="G1075" i="1"/>
  <c r="G1941" i="1"/>
  <c r="G1940" i="1"/>
  <c r="G2590" i="1"/>
  <c r="G2586" i="1"/>
  <c r="G2593" i="1"/>
  <c r="G2591" i="1"/>
  <c r="G2589" i="1"/>
  <c r="G2587" i="1"/>
  <c r="G2585" i="1"/>
  <c r="G2583" i="1"/>
  <c r="G2584" i="1"/>
  <c r="G2487" i="1"/>
  <c r="G2480" i="1"/>
  <c r="G2486" i="1"/>
  <c r="G2482" i="1"/>
  <c r="G2478" i="1"/>
  <c r="G2477" i="1"/>
  <c r="G2481" i="1"/>
  <c r="G2922" i="1"/>
  <c r="G2919" i="1"/>
  <c r="G2917" i="1"/>
  <c r="G2924" i="1"/>
  <c r="G2918" i="1"/>
  <c r="G2923" i="1"/>
  <c r="G684" i="1"/>
  <c r="G682" i="1"/>
  <c r="G859" i="1"/>
  <c r="G832" i="1"/>
  <c r="G825" i="1"/>
  <c r="G824" i="1"/>
  <c r="G828" i="1"/>
  <c r="G768" i="1"/>
  <c r="G1797" i="1"/>
  <c r="G2522" i="1"/>
  <c r="G875" i="1"/>
  <c r="G873" i="1"/>
  <c r="G874" i="1"/>
  <c r="G356" i="1"/>
  <c r="G353" i="1"/>
  <c r="G2547" i="1"/>
  <c r="G1868" i="1"/>
  <c r="G1866" i="1"/>
  <c r="G1867" i="1"/>
  <c r="G2968" i="1"/>
  <c r="G2975" i="1"/>
  <c r="G2971" i="1"/>
  <c r="G711" i="1"/>
  <c r="G1878" i="1"/>
  <c r="G1881" i="1"/>
  <c r="G2722" i="1"/>
  <c r="G2730" i="1"/>
  <c r="G2215" i="1"/>
  <c r="G2208" i="1"/>
  <c r="G725" i="1"/>
  <c r="G2820" i="1"/>
  <c r="G724" i="1"/>
  <c r="G1582" i="1"/>
  <c r="G2551" i="1"/>
  <c r="G3009" i="1"/>
  <c r="G3008" i="1"/>
  <c r="G543" i="1"/>
  <c r="G544" i="1"/>
  <c r="G1980" i="1"/>
  <c r="G2662" i="1"/>
  <c r="G2668" i="1"/>
  <c r="G2667" i="1"/>
  <c r="G2666" i="1"/>
  <c r="G2644" i="1"/>
  <c r="G2665" i="1"/>
  <c r="G2646" i="1"/>
  <c r="G2657" i="1"/>
  <c r="G2655" i="1"/>
  <c r="G2661" i="1"/>
  <c r="G2652" i="1"/>
  <c r="G1608" i="1"/>
  <c r="G1610" i="1"/>
  <c r="G1019" i="1"/>
  <c r="G1014" i="1"/>
  <c r="G801" i="1"/>
  <c r="G803" i="1"/>
  <c r="G802" i="1"/>
  <c r="G2031" i="1"/>
  <c r="G2033" i="1"/>
  <c r="G420" i="1"/>
  <c r="G930" i="1"/>
  <c r="G1378" i="1"/>
  <c r="G323" i="1"/>
  <c r="G36" i="1"/>
  <c r="G37" i="1"/>
  <c r="G2042" i="1"/>
  <c r="G1982" i="1"/>
  <c r="G1975" i="1"/>
  <c r="G2065" i="1"/>
  <c r="G2063" i="1"/>
  <c r="G2068" i="1"/>
  <c r="G1939" i="1"/>
  <c r="G1938" i="1"/>
  <c r="G3135" i="1"/>
  <c r="G1579" i="1"/>
  <c r="G722" i="1"/>
  <c r="G2483" i="1"/>
  <c r="G2479" i="1"/>
  <c r="G2476" i="1"/>
  <c r="G2485" i="1"/>
  <c r="G2387" i="1"/>
  <c r="G2382" i="1"/>
  <c r="G2379" i="1"/>
  <c r="G2376" i="1"/>
  <c r="G2391" i="1"/>
  <c r="G2386" i="1"/>
  <c r="G2383" i="1"/>
  <c r="G2381" i="1"/>
  <c r="G2377" i="1"/>
  <c r="G2374" i="1"/>
  <c r="G2385" i="1"/>
  <c r="G2390" i="1"/>
  <c r="G1592" i="1"/>
  <c r="G2818" i="1"/>
  <c r="G2819" i="1"/>
  <c r="G2389" i="1"/>
  <c r="G142" i="1"/>
  <c r="G143" i="1"/>
  <c r="G3092" i="1"/>
  <c r="G2660" i="1"/>
  <c r="G2766" i="1"/>
  <c r="G231" i="1"/>
  <c r="G2373" i="1"/>
  <c r="G1397" i="1"/>
  <c r="G1870" i="1"/>
  <c r="G2036" i="1"/>
  <c r="G2659" i="1"/>
  <c r="G2656" i="1"/>
  <c r="G2651" i="1"/>
  <c r="G2970" i="1"/>
  <c r="G1034" i="1"/>
  <c r="G1702" i="1"/>
  <c r="G1704" i="1"/>
  <c r="G254" i="1"/>
  <c r="G1172" i="1"/>
  <c r="G77" i="1"/>
  <c r="G2976" i="1"/>
  <c r="G2983" i="1"/>
  <c r="G2980" i="1"/>
  <c r="G914" i="1"/>
  <c r="G242" i="1"/>
  <c r="G349" i="1"/>
  <c r="G1669" i="1"/>
  <c r="G145" i="1"/>
  <c r="G141" i="1"/>
  <c r="G1618" i="1"/>
  <c r="G1935" i="1"/>
  <c r="G1937" i="1"/>
  <c r="G1934" i="1"/>
  <c r="G1936" i="1"/>
  <c r="G2645" i="1"/>
  <c r="G2664" i="1"/>
  <c r="G2654" i="1"/>
  <c r="G2647" i="1"/>
  <c r="G2663" i="1"/>
  <c r="G2648" i="1"/>
  <c r="G2658" i="1"/>
  <c r="G2653" i="1"/>
  <c r="G3007" i="1"/>
  <c r="G3006" i="1"/>
  <c r="G1282" i="1"/>
  <c r="G1281" i="1"/>
  <c r="G497" i="1"/>
  <c r="G1087" i="1"/>
  <c r="G1833" i="1"/>
  <c r="G207" i="1"/>
  <c r="G1568" i="1"/>
  <c r="G1567" i="1"/>
  <c r="G1573" i="1"/>
  <c r="G1570" i="1"/>
  <c r="G1572" i="1"/>
  <c r="G1626" i="1"/>
  <c r="G2865" i="1"/>
  <c r="G2869" i="1"/>
  <c r="G2868" i="1"/>
  <c r="G2866" i="1"/>
  <c r="G1286" i="1"/>
  <c r="G1285" i="1"/>
  <c r="G3022" i="1"/>
  <c r="G3017" i="1"/>
  <c r="G3012" i="1"/>
  <c r="G3021" i="1"/>
  <c r="G3015" i="1"/>
  <c r="G565" i="1"/>
  <c r="G1929" i="1"/>
  <c r="G1533" i="1"/>
  <c r="G564" i="1"/>
  <c r="G651" i="1"/>
  <c r="G650" i="1"/>
  <c r="G2165" i="1"/>
  <c r="G2940" i="1"/>
  <c r="G1332" i="1"/>
  <c r="G1343" i="1"/>
  <c r="G1342" i="1"/>
  <c r="G1341" i="1"/>
  <c r="G3068" i="1"/>
  <c r="G3072" i="1"/>
  <c r="G3069" i="1"/>
  <c r="G3071" i="1"/>
  <c r="G3067" i="1"/>
  <c r="G3070" i="1"/>
  <c r="G2234" i="1"/>
  <c r="G2290" i="1"/>
  <c r="G2302" i="1"/>
  <c r="G2295" i="1"/>
  <c r="G2291" i="1"/>
  <c r="G2287" i="1"/>
  <c r="G2301" i="1"/>
  <c r="G2281" i="1"/>
  <c r="G2261" i="1"/>
  <c r="G2242" i="1"/>
  <c r="G2271" i="1"/>
  <c r="G2270" i="1"/>
  <c r="G2256" i="1"/>
  <c r="G2277" i="1"/>
  <c r="G1943" i="1"/>
  <c r="G2172" i="1"/>
  <c r="G2846" i="1"/>
  <c r="G167" i="1"/>
  <c r="G166" i="1"/>
  <c r="G162" i="1"/>
  <c r="G168" i="1"/>
  <c r="G165" i="1"/>
  <c r="G1280" i="1"/>
  <c r="G641" i="1"/>
  <c r="G643" i="1"/>
  <c r="G2529" i="1"/>
  <c r="G551" i="1"/>
  <c r="G2604" i="1"/>
  <c r="G2605" i="1"/>
  <c r="G3086" i="1"/>
  <c r="G3088" i="1"/>
  <c r="G3091" i="1"/>
  <c r="G3085" i="1"/>
  <c r="G3090" i="1"/>
  <c r="G3089" i="1"/>
  <c r="G906" i="1"/>
  <c r="G3030" i="1"/>
  <c r="G3028" i="1"/>
  <c r="G3032" i="1"/>
  <c r="G3029" i="1"/>
  <c r="G3027" i="1"/>
  <c r="G3034" i="1"/>
  <c r="G3031" i="1"/>
  <c r="G3105" i="1"/>
  <c r="G3117" i="1"/>
  <c r="G2334" i="1"/>
  <c r="G1225" i="1"/>
  <c r="G640" i="1"/>
  <c r="G644" i="1"/>
  <c r="G2831" i="1"/>
  <c r="G1593" i="1"/>
  <c r="G1594" i="1"/>
  <c r="G2566" i="1"/>
  <c r="G2567" i="1"/>
  <c r="G820" i="1"/>
  <c r="G819" i="1"/>
  <c r="G818" i="1"/>
  <c r="G817" i="1"/>
  <c r="G816" i="1"/>
  <c r="G821" i="1"/>
  <c r="G822" i="1"/>
  <c r="G823" i="1"/>
  <c r="G281" i="1"/>
  <c r="G1994" i="1"/>
  <c r="G1993" i="1"/>
  <c r="G1992" i="1"/>
  <c r="G924" i="1"/>
  <c r="G3065" i="1"/>
  <c r="G3066" i="1"/>
  <c r="G134" i="1"/>
  <c r="G139" i="1"/>
  <c r="G136" i="1"/>
  <c r="G132" i="1"/>
  <c r="G1988" i="1"/>
  <c r="G1989" i="1"/>
  <c r="G1987" i="1"/>
  <c r="G1990" i="1"/>
  <c r="G1657" i="1"/>
  <c r="G1167" i="1"/>
  <c r="G1470" i="1"/>
  <c r="G2300" i="1"/>
  <c r="G2299" i="1"/>
  <c r="G1995" i="1"/>
  <c r="G1996" i="1"/>
  <c r="G1317" i="1"/>
  <c r="G1292" i="1"/>
  <c r="G1298" i="1"/>
  <c r="G1294" i="1"/>
  <c r="G1316" i="1"/>
  <c r="G1293" i="1"/>
  <c r="G1306" i="1"/>
  <c r="G2163" i="1"/>
  <c r="G2038" i="1"/>
  <c r="G117" i="1"/>
  <c r="G118" i="1"/>
  <c r="G1600" i="1"/>
  <c r="G1604" i="1"/>
  <c r="G748" i="1"/>
  <c r="G749" i="1"/>
  <c r="G1942" i="1"/>
  <c r="G500" i="1"/>
  <c r="G501" i="1"/>
  <c r="G1023" i="1"/>
  <c r="G2067" i="1"/>
  <c r="G2472" i="1"/>
  <c r="G1535" i="1"/>
  <c r="G85" i="1"/>
  <c r="G1660" i="1"/>
  <c r="G2950" i="1"/>
  <c r="G743" i="1"/>
  <c r="G741" i="1"/>
  <c r="G2495" i="1"/>
  <c r="G2503" i="1"/>
  <c r="G2500" i="1"/>
  <c r="G2498" i="1"/>
  <c r="G2493" i="1"/>
  <c r="G2510" i="1"/>
  <c r="G2499" i="1"/>
  <c r="G1662" i="1"/>
  <c r="G1664" i="1"/>
  <c r="G1663" i="1"/>
  <c r="G839" i="1"/>
  <c r="G2494" i="1"/>
  <c r="G2509" i="1"/>
  <c r="G2496" i="1"/>
  <c r="G2505" i="1"/>
  <c r="G2502" i="1"/>
  <c r="G2497" i="1"/>
  <c r="G2506" i="1"/>
  <c r="G2501" i="1"/>
  <c r="G2504" i="1"/>
  <c r="G2032" i="1"/>
  <c r="G363" i="1"/>
  <c r="G364" i="1"/>
  <c r="G1712" i="1"/>
  <c r="G2550" i="1"/>
  <c r="G735" i="1"/>
  <c r="G734" i="1"/>
  <c r="G1886" i="1"/>
  <c r="G1459" i="1"/>
  <c r="G2743" i="1"/>
  <c r="G2747" i="1"/>
  <c r="G2745" i="1"/>
  <c r="G2543" i="1"/>
  <c r="G2542" i="1"/>
  <c r="G2546" i="1"/>
  <c r="G2541" i="1"/>
  <c r="G2545" i="1"/>
  <c r="G2197" i="1"/>
  <c r="G2196" i="1"/>
  <c r="G2201" i="1"/>
  <c r="G2199" i="1"/>
  <c r="G2200" i="1"/>
  <c r="G2219" i="1"/>
  <c r="G2227" i="1"/>
  <c r="G2218" i="1"/>
  <c r="G2210" i="1"/>
  <c r="G1869" i="1"/>
  <c r="G1981" i="1"/>
  <c r="G247" i="1"/>
  <c r="G248" i="1"/>
  <c r="G1017" i="1"/>
  <c r="G987" i="1"/>
  <c r="G1016" i="1"/>
  <c r="G1018" i="1"/>
  <c r="G1046" i="1"/>
  <c r="G1035" i="1"/>
  <c r="G2037" i="1"/>
  <c r="G527" i="1"/>
  <c r="G2670" i="1"/>
  <c r="G1855" i="1"/>
  <c r="G1853" i="1"/>
  <c r="G1561" i="1"/>
  <c r="G1560" i="1"/>
  <c r="G2954" i="1"/>
  <c r="G1637" i="1"/>
  <c r="G419" i="1"/>
  <c r="G418" i="1"/>
  <c r="G187" i="1"/>
  <c r="G2770" i="1"/>
  <c r="G2769" i="1"/>
  <c r="G2768" i="1"/>
  <c r="G2767" i="1"/>
  <c r="G2771" i="1"/>
  <c r="G751" i="1"/>
  <c r="G1865" i="1"/>
  <c r="G1860" i="1"/>
  <c r="G1864" i="1"/>
  <c r="G1862" i="1"/>
  <c r="G1859" i="1"/>
  <c r="G1707" i="1"/>
  <c r="G1708" i="1"/>
  <c r="G2397" i="1"/>
  <c r="G324" i="1"/>
  <c r="G2245" i="1"/>
  <c r="G1589" i="1"/>
  <c r="G164" i="1"/>
  <c r="G163" i="1"/>
  <c r="G1791" i="1"/>
  <c r="G1794" i="1"/>
  <c r="G87" i="1"/>
  <c r="G2339" i="1"/>
  <c r="G2002" i="1"/>
  <c r="G2005" i="1"/>
  <c r="G2004" i="1"/>
  <c r="G1872" i="1"/>
  <c r="G1871" i="1"/>
  <c r="G1630" i="1"/>
  <c r="G1634" i="1"/>
  <c r="G2164" i="1"/>
  <c r="G2156" i="1"/>
  <c r="G830" i="1"/>
  <c r="G826" i="1"/>
  <c r="G827" i="1"/>
  <c r="G831" i="1"/>
  <c r="G829" i="1"/>
  <c r="G1858" i="1"/>
  <c r="G1857" i="1"/>
  <c r="G2297" i="1"/>
  <c r="G200" i="1"/>
  <c r="G194" i="1"/>
  <c r="G199" i="1"/>
  <c r="G193" i="1"/>
  <c r="G198" i="1"/>
  <c r="G196" i="1"/>
  <c r="G190" i="1"/>
  <c r="G197" i="1"/>
  <c r="G195" i="1"/>
  <c r="G192" i="1"/>
  <c r="G191" i="1"/>
  <c r="G189" i="1"/>
  <c r="G1781" i="1"/>
  <c r="G1537" i="1"/>
  <c r="G1838" i="1"/>
  <c r="G1602" i="1"/>
  <c r="G1601" i="1"/>
  <c r="G95" i="1"/>
  <c r="G161" i="1"/>
  <c r="G2368" i="1"/>
  <c r="G362" i="1"/>
  <c r="G1164" i="1"/>
  <c r="G1162" i="1"/>
  <c r="G1163" i="1"/>
  <c r="G1161" i="1"/>
  <c r="G560" i="1"/>
  <c r="G3095" i="1"/>
  <c r="G3094" i="1"/>
  <c r="G1484" i="1"/>
  <c r="G1474" i="1"/>
  <c r="G934" i="1"/>
  <c r="G936" i="1"/>
  <c r="G935" i="1"/>
  <c r="G273" i="1"/>
  <c r="G271" i="1"/>
  <c r="G270" i="1"/>
  <c r="G269" i="1"/>
  <c r="G272" i="1"/>
  <c r="G3109" i="1"/>
  <c r="G1603" i="1"/>
  <c r="G2060" i="1"/>
  <c r="G1803" i="1"/>
  <c r="G1820" i="1"/>
  <c r="G1813" i="1"/>
  <c r="G1821" i="1"/>
  <c r="G2867" i="1"/>
  <c r="G201" i="1"/>
  <c r="G3040" i="1"/>
  <c r="G3041" i="1"/>
  <c r="G486" i="1"/>
  <c r="G111" i="1"/>
  <c r="G110" i="1"/>
  <c r="G112" i="1"/>
  <c r="G109" i="1"/>
  <c r="G122" i="1"/>
  <c r="G2842" i="1"/>
  <c r="G2839" i="1"/>
  <c r="G2848" i="1"/>
  <c r="G2845" i="1"/>
  <c r="G2841" i="1"/>
  <c r="G2838" i="1"/>
  <c r="G2847" i="1"/>
  <c r="G2844" i="1"/>
  <c r="G2840" i="1"/>
  <c r="G2837" i="1"/>
  <c r="G2843" i="1"/>
  <c r="G1352" i="1"/>
  <c r="G1365" i="1"/>
  <c r="G2549" i="1"/>
  <c r="G138" i="1"/>
  <c r="G133" i="1"/>
  <c r="G144" i="1"/>
  <c r="G140" i="1"/>
  <c r="G137" i="1"/>
  <c r="G130" i="1"/>
  <c r="G2276" i="1"/>
  <c r="G1761" i="1"/>
  <c r="G1224" i="1"/>
  <c r="G2812" i="1"/>
  <c r="G2811" i="1"/>
  <c r="G184" i="1"/>
  <c r="G188" i="1"/>
  <c r="G183" i="1"/>
  <c r="G182" i="1"/>
  <c r="G186" i="1"/>
  <c r="G185" i="1"/>
  <c r="G181" i="1"/>
  <c r="G1239" i="1"/>
  <c r="G967" i="1"/>
  <c r="G1961" i="1"/>
  <c r="G1839" i="1"/>
  <c r="G2927" i="1"/>
  <c r="G2928" i="1"/>
  <c r="G235" i="1"/>
  <c r="G233" i="1"/>
  <c r="G239" i="1"/>
  <c r="G237" i="1"/>
  <c r="G1792" i="1"/>
  <c r="G1793" i="1"/>
  <c r="G850" i="1"/>
  <c r="G849" i="1"/>
  <c r="G1277" i="1"/>
  <c r="G1278" i="1"/>
  <c r="G758" i="1"/>
  <c r="G760" i="1"/>
  <c r="G757" i="1"/>
  <c r="G1804" i="1"/>
  <c r="G738" i="1"/>
  <c r="G477" i="1"/>
  <c r="G265" i="1"/>
  <c r="G263" i="1"/>
  <c r="G264" i="1"/>
  <c r="G261" i="1"/>
  <c r="G262" i="1"/>
  <c r="G180" i="1"/>
  <c r="G2554" i="1"/>
  <c r="G2556" i="1"/>
  <c r="G2555" i="1"/>
  <c r="G1431" i="1"/>
  <c r="G1443" i="1"/>
  <c r="G1435" i="1"/>
  <c r="G1447" i="1"/>
  <c r="G1450" i="1"/>
  <c r="G387" i="1"/>
  <c r="G385" i="1"/>
  <c r="G1875" i="1"/>
  <c r="G1873" i="1"/>
  <c r="G2263" i="1"/>
  <c r="G2262" i="1"/>
  <c r="G2258" i="1"/>
  <c r="G2257" i="1"/>
  <c r="G3137" i="1"/>
  <c r="G56" i="1"/>
  <c r="G55" i="1"/>
  <c r="G54" i="1"/>
  <c r="G1368" i="1"/>
  <c r="G1756" i="1"/>
  <c r="G391" i="1"/>
  <c r="G3113" i="1"/>
  <c r="G279" i="1"/>
  <c r="G514" i="1"/>
  <c r="G513" i="1"/>
  <c r="G518" i="1"/>
  <c r="G203" i="1"/>
  <c r="G2344" i="1"/>
  <c r="G2346" i="1"/>
  <c r="G2345" i="1"/>
  <c r="G1964" i="1"/>
  <c r="G872" i="1"/>
  <c r="G563" i="1"/>
  <c r="G2320" i="1"/>
  <c r="G2321" i="1"/>
  <c r="G2318" i="1"/>
  <c r="G2319" i="1"/>
  <c r="G2317" i="1"/>
  <c r="G2316" i="1"/>
  <c r="G2322" i="1"/>
  <c r="G2171" i="1"/>
  <c r="G1701" i="1"/>
  <c r="G1703" i="1"/>
  <c r="G3142" i="1"/>
  <c r="G1845" i="1"/>
  <c r="G1844" i="1"/>
  <c r="G2833" i="1"/>
  <c r="G3079" i="1"/>
  <c r="G1738" i="1"/>
  <c r="G1529" i="1"/>
  <c r="G1210" i="1"/>
  <c r="G2958" i="1"/>
  <c r="G6" i="1"/>
  <c r="G4" i="1"/>
  <c r="G240" i="1"/>
  <c r="G1817" i="1"/>
  <c r="G1814" i="1"/>
  <c r="G1818" i="1"/>
  <c r="G1815" i="1"/>
  <c r="G219" i="1"/>
  <c r="G2097" i="1"/>
  <c r="G2627" i="1"/>
  <c r="G2267" i="1"/>
  <c r="G360" i="1"/>
  <c r="G177" i="1"/>
  <c r="G2266" i="1"/>
  <c r="G1917" i="1"/>
  <c r="G1500" i="1"/>
  <c r="G1379" i="1"/>
  <c r="G1063" i="1"/>
  <c r="G1510" i="1"/>
  <c r="G1509" i="1"/>
  <c r="G2824" i="1"/>
  <c r="G2830" i="1"/>
  <c r="G2829" i="1"/>
  <c r="G2988" i="1"/>
  <c r="G792" i="1"/>
  <c r="G794" i="1"/>
  <c r="G2897" i="1"/>
  <c r="G2905" i="1"/>
  <c r="G2932" i="1"/>
  <c r="G1371" i="1"/>
  <c r="G1080" i="1"/>
  <c r="G1783" i="1"/>
  <c r="G1776" i="1"/>
  <c r="G2778" i="1"/>
  <c r="G2783" i="1"/>
  <c r="G2788" i="1"/>
  <c r="G2790" i="1"/>
  <c r="G2787" i="1"/>
  <c r="G2066" i="1"/>
  <c r="G1690" i="1"/>
  <c r="G2912" i="1"/>
  <c r="G2911" i="1"/>
  <c r="G535" i="1"/>
  <c r="G536" i="1"/>
  <c r="G470" i="1"/>
  <c r="G474" i="1"/>
  <c r="G714" i="1"/>
  <c r="G1048" i="1"/>
  <c r="G1532" i="1"/>
  <c r="G3133" i="1"/>
  <c r="G961" i="1"/>
  <c r="G2625" i="1"/>
  <c r="G1081" i="1"/>
  <c r="G1044" i="1"/>
  <c r="G308" i="1"/>
  <c r="G340" i="1"/>
  <c r="G858" i="1"/>
  <c r="G1647" i="1"/>
  <c r="G1759" i="1"/>
  <c r="G2283" i="1"/>
  <c r="G1528" i="1"/>
  <c r="G1321" i="1"/>
  <c r="G1175" i="1"/>
  <c r="G1173" i="1"/>
  <c r="G1667" i="1"/>
  <c r="G285" i="1"/>
  <c r="G3062" i="1"/>
  <c r="G866" i="1"/>
  <c r="G2384" i="1"/>
  <c r="G3063" i="1"/>
  <c r="G1687" i="1"/>
  <c r="G179" i="1"/>
  <c r="G176" i="1"/>
  <c r="G1486" i="1"/>
  <c r="G1051" i="1"/>
  <c r="G83" i="1"/>
  <c r="G313" i="1"/>
  <c r="G1481" i="1"/>
  <c r="G913" i="1"/>
  <c r="G2603" i="1"/>
  <c r="G234" i="1"/>
  <c r="G2732" i="1"/>
  <c r="G2736" i="1"/>
  <c r="G2735" i="1"/>
  <c r="G1651" i="1"/>
  <c r="G1650" i="1"/>
  <c r="G2748" i="1"/>
  <c r="G372" i="1"/>
  <c r="G370" i="1"/>
  <c r="G2348" i="1"/>
  <c r="G2349" i="1"/>
  <c r="G2910" i="1"/>
  <c r="G2427" i="1"/>
  <c r="G29" i="1"/>
  <c r="G28" i="1"/>
  <c r="G2733" i="1"/>
  <c r="G2426" i="1"/>
  <c r="G2228" i="1"/>
  <c r="G2209" i="1"/>
  <c r="G2425" i="1"/>
  <c r="G2424" i="1"/>
  <c r="G3039" i="1"/>
  <c r="G1966" i="1"/>
  <c r="G1965" i="1"/>
  <c r="G2433" i="1"/>
  <c r="G1892" i="1"/>
  <c r="G1231" i="1"/>
  <c r="G1199" i="1"/>
  <c r="G1219" i="1"/>
  <c r="G1253" i="1"/>
  <c r="G1252" i="1"/>
  <c r="G2711" i="1"/>
  <c r="G2902" i="1"/>
  <c r="G2093" i="1"/>
  <c r="G2090" i="1"/>
  <c r="G2095" i="1"/>
  <c r="G2712" i="1"/>
  <c r="G2298" i="1"/>
  <c r="G493" i="1"/>
  <c r="G491" i="1"/>
  <c r="G2362" i="1"/>
  <c r="G479" i="1"/>
  <c r="G1787" i="1"/>
  <c r="G2698" i="1"/>
  <c r="G2431" i="1"/>
  <c r="G444" i="1"/>
  <c r="G447" i="1"/>
  <c r="G855" i="1"/>
  <c r="G1135" i="1"/>
  <c r="G1134" i="1"/>
  <c r="G1133" i="1"/>
  <c r="G1132" i="1"/>
  <c r="G1918" i="1"/>
  <c r="G2420" i="1"/>
  <c r="G1531" i="1"/>
  <c r="G2214" i="1"/>
  <c r="G2230" i="1"/>
  <c r="G1417" i="1"/>
  <c r="G1409" i="1"/>
  <c r="G1405" i="1"/>
  <c r="G1414" i="1"/>
  <c r="G1101" i="1"/>
  <c r="G879" i="1"/>
  <c r="G471" i="1"/>
  <c r="G2786" i="1"/>
  <c r="G2779" i="1"/>
  <c r="G973" i="1"/>
  <c r="G962" i="1"/>
  <c r="G1840" i="1"/>
  <c r="G1511" i="1"/>
  <c r="G1656" i="1"/>
  <c r="G860" i="1"/>
  <c r="G2434" i="1"/>
  <c r="G226" i="1"/>
  <c r="G225" i="1"/>
  <c r="G227" i="1"/>
  <c r="G224" i="1"/>
  <c r="G2428" i="1"/>
  <c r="G2418" i="1"/>
  <c r="G2422" i="1"/>
  <c r="G485" i="1"/>
  <c r="G2439" i="1"/>
  <c r="G1893" i="1"/>
  <c r="G22" i="1"/>
  <c r="G2630" i="1"/>
  <c r="G2457" i="1"/>
  <c r="G463" i="1"/>
  <c r="G2435" i="1"/>
  <c r="G2436" i="1"/>
  <c r="G761" i="1"/>
  <c r="G1404" i="1"/>
  <c r="G1406" i="1"/>
  <c r="G1968" i="1"/>
  <c r="G1967" i="1"/>
  <c r="G2992" i="1"/>
  <c r="G2247" i="1"/>
  <c r="G3011" i="1"/>
  <c r="G1275" i="1"/>
  <c r="G974" i="1"/>
  <c r="G1693" i="1"/>
  <c r="G297" i="1"/>
  <c r="G99" i="1"/>
  <c r="G1733" i="1"/>
  <c r="G1558" i="1"/>
  <c r="G1555" i="1"/>
  <c r="G997" i="1"/>
  <c r="G2280" i="1"/>
  <c r="G2279" i="1"/>
  <c r="G2278" i="1"/>
  <c r="G1056" i="1"/>
  <c r="G70" i="1"/>
  <c r="G2852" i="1"/>
  <c r="G2851" i="1"/>
  <c r="G2856" i="1"/>
  <c r="G2058" i="1"/>
  <c r="G2062" i="1"/>
  <c r="G2669" i="1"/>
  <c r="G315" i="1"/>
  <c r="G3054" i="1"/>
  <c r="G2623" i="1"/>
  <c r="G713" i="1"/>
  <c r="G3" i="1"/>
  <c r="G2" i="1"/>
  <c r="G434" i="1"/>
  <c r="G1040" i="1"/>
  <c r="G1061" i="1"/>
  <c r="G1060" i="1"/>
  <c r="G1073" i="1"/>
  <c r="G1072" i="1"/>
  <c r="G1062" i="1"/>
  <c r="G1057" i="1"/>
  <c r="G1038" i="1"/>
  <c r="G1055" i="1"/>
  <c r="G1045" i="1"/>
  <c r="G1530" i="1"/>
  <c r="G1808" i="1"/>
  <c r="G80" i="1"/>
  <c r="G82" i="1"/>
  <c r="G81" i="1"/>
  <c r="G79" i="1"/>
  <c r="G869" i="1"/>
  <c r="G2892" i="1"/>
  <c r="G993" i="1"/>
  <c r="G2889" i="1"/>
  <c r="G439" i="1"/>
  <c r="G2697" i="1"/>
  <c r="G106" i="1"/>
  <c r="G102" i="1"/>
  <c r="G150" i="1"/>
  <c r="G147" i="1"/>
  <c r="G148" i="1"/>
  <c r="G2755" i="1"/>
  <c r="G153" i="1"/>
  <c r="G2035" i="1"/>
  <c r="G1255" i="1"/>
  <c r="G3114" i="1"/>
  <c r="G1448" i="1"/>
  <c r="G910" i="1"/>
  <c r="G3121" i="1"/>
  <c r="G507" i="1"/>
  <c r="G506" i="1"/>
  <c r="G1506" i="1"/>
  <c r="G1576" i="1"/>
  <c r="G1577" i="1"/>
  <c r="G1564" i="1"/>
  <c r="G1569" i="1"/>
  <c r="G1565" i="1"/>
  <c r="G1262" i="1"/>
  <c r="G1254" i="1"/>
  <c r="G1032" i="1"/>
  <c r="G2568" i="1"/>
  <c r="G1517" i="1"/>
  <c r="G1559" i="1"/>
  <c r="G1031" i="1"/>
  <c r="G2884" i="1"/>
  <c r="G903" i="1"/>
  <c r="G173" i="1"/>
  <c r="G171" i="1"/>
  <c r="G170" i="1"/>
  <c r="G169" i="1"/>
  <c r="G2885" i="1"/>
  <c r="G1691" i="1"/>
  <c r="G2324" i="1"/>
  <c r="G1214" i="1"/>
  <c r="G3077" i="1"/>
  <c r="G2753" i="1"/>
  <c r="G2303" i="1"/>
  <c r="G1247" i="1"/>
  <c r="G1259" i="1"/>
  <c r="G1244" i="1"/>
  <c r="G1266" i="1"/>
  <c r="G5" i="1"/>
  <c r="G3003" i="1"/>
  <c r="G940" i="1"/>
  <c r="G939" i="1"/>
  <c r="G38" i="1"/>
  <c r="G811" i="1"/>
  <c r="G2944" i="1"/>
  <c r="G1449" i="1"/>
  <c r="G856" i="1"/>
  <c r="G545" i="1"/>
  <c r="G547" i="1"/>
  <c r="G2705" i="1"/>
  <c r="G2704" i="1"/>
  <c r="G1557" i="1"/>
  <c r="G1554" i="1"/>
  <c r="G1550" i="1"/>
  <c r="G1727" i="1"/>
  <c r="G1124" i="1"/>
  <c r="G2805" i="1"/>
  <c r="G2804" i="1"/>
  <c r="G2791" i="1"/>
  <c r="G2799" i="1"/>
  <c r="G2615" i="1"/>
  <c r="G30" i="1"/>
  <c r="G31" i="1"/>
  <c r="G2599" i="1"/>
  <c r="G2597" i="1"/>
  <c r="G911" i="1"/>
  <c r="G339" i="1"/>
  <c r="G481" i="1"/>
  <c r="G984" i="1"/>
  <c r="G1389" i="1"/>
  <c r="G1374" i="1"/>
  <c r="G1100" i="1"/>
  <c r="G59" i="1"/>
  <c r="G1201" i="1"/>
  <c r="G1835" i="1"/>
  <c r="G1828" i="1"/>
  <c r="G876" i="1"/>
  <c r="G529" i="1"/>
  <c r="G526" i="1"/>
  <c r="G522" i="1"/>
  <c r="G462" i="1"/>
  <c r="G505" i="1"/>
  <c r="G504" i="1"/>
  <c r="G1043" i="1"/>
  <c r="G428" i="1"/>
  <c r="G427" i="1"/>
  <c r="G422" i="1"/>
  <c r="G426" i="1"/>
  <c r="G425" i="1"/>
  <c r="G1408" i="1"/>
  <c r="G1303" i="1"/>
  <c r="G1542" i="1"/>
  <c r="G1948" i="1"/>
  <c r="G2576" i="1"/>
  <c r="G94" i="1"/>
  <c r="G1154" i="1"/>
  <c r="G871" i="1"/>
  <c r="G1416" i="1"/>
  <c r="G1407" i="1"/>
  <c r="G1403" i="1"/>
  <c r="G1410" i="1"/>
  <c r="G1924" i="1"/>
  <c r="G862" i="1"/>
  <c r="G861" i="1"/>
  <c r="G32" i="1"/>
  <c r="G1085" i="1"/>
  <c r="G926" i="1"/>
  <c r="G2409" i="1"/>
  <c r="G2407" i="1"/>
  <c r="G2410" i="1"/>
  <c r="G2408" i="1"/>
  <c r="G1916" i="1"/>
  <c r="G709" i="1"/>
  <c r="G2696" i="1"/>
  <c r="G1736" i="1"/>
  <c r="G1526" i="1"/>
  <c r="G1847" i="1"/>
  <c r="G925" i="1"/>
  <c r="G1655" i="1"/>
  <c r="G1654" i="1"/>
  <c r="G2709" i="1"/>
  <c r="G232" i="1"/>
  <c r="G1734" i="1"/>
  <c r="G2700" i="1"/>
  <c r="G2883" i="1"/>
  <c r="G1909" i="1"/>
  <c r="G1902" i="1"/>
  <c r="G1900" i="1"/>
  <c r="G1213" i="1"/>
  <c r="G1211" i="1"/>
  <c r="G2600" i="1"/>
  <c r="G2205" i="1"/>
  <c r="G3053" i="1"/>
  <c r="G1482" i="1"/>
  <c r="G3096" i="1"/>
  <c r="G1805" i="1"/>
  <c r="G411" i="1"/>
  <c r="G406" i="1"/>
  <c r="G410" i="1"/>
  <c r="G409" i="1"/>
  <c r="G2621" i="1"/>
  <c r="G2429" i="1"/>
  <c r="G1890" i="1"/>
  <c r="G1889" i="1"/>
  <c r="G256" i="1"/>
  <c r="G1539" i="1"/>
  <c r="G2693" i="1"/>
  <c r="G255" i="1"/>
  <c r="G2708" i="1"/>
  <c r="G1092" i="1"/>
  <c r="G469" i="1"/>
  <c r="G1315" i="1"/>
  <c r="G1296" i="1"/>
  <c r="G1729" i="1"/>
  <c r="G1724" i="1"/>
  <c r="G1728" i="1"/>
  <c r="G1472" i="1"/>
  <c r="G1689" i="1"/>
  <c r="G90" i="1"/>
  <c r="G2574" i="1"/>
  <c r="G2288" i="1"/>
  <c r="G2282" i="1"/>
  <c r="G2289" i="1"/>
  <c r="G1440" i="1"/>
  <c r="G1433" i="1"/>
  <c r="G1507" i="1"/>
  <c r="G2366" i="1"/>
  <c r="G2887" i="1"/>
  <c r="G1242" i="1"/>
  <c r="G2691" i="1"/>
  <c r="G2694" i="1"/>
  <c r="G1520" i="1"/>
  <c r="G1519" i="1"/>
  <c r="G1912" i="1"/>
  <c r="G2952" i="1"/>
  <c r="G1349" i="1"/>
  <c r="G1348" i="1"/>
  <c r="G338" i="1"/>
  <c r="G379" i="1"/>
  <c r="G2176" i="1"/>
  <c r="G2741" i="1"/>
  <c r="G450" i="1"/>
  <c r="G446" i="1"/>
  <c r="G449" i="1"/>
  <c r="G2417" i="1"/>
  <c r="G2416" i="1"/>
  <c r="G1396" i="1"/>
  <c r="G46" i="1"/>
  <c r="G3076" i="1"/>
  <c r="G401" i="1"/>
  <c r="G1754" i="1"/>
  <c r="G1327" i="1"/>
  <c r="G1325" i="1"/>
  <c r="G1324" i="1"/>
  <c r="G2575" i="1"/>
  <c r="G1430" i="1"/>
  <c r="G490" i="1"/>
  <c r="G1347" i="1"/>
  <c r="G1346" i="1"/>
  <c r="G492" i="1"/>
  <c r="G1512" i="1"/>
  <c r="G1905" i="1"/>
  <c r="G1899" i="1"/>
  <c r="G1097" i="1"/>
  <c r="G1260" i="1"/>
  <c r="G53" i="1"/>
  <c r="G51" i="1"/>
  <c r="G2458" i="1"/>
  <c r="G1241" i="1"/>
  <c r="G2268" i="1"/>
  <c r="G221" i="1"/>
  <c r="G1469" i="1"/>
  <c r="G2956" i="1"/>
  <c r="G3108" i="1"/>
  <c r="G996" i="1"/>
  <c r="G341" i="1"/>
  <c r="G337" i="1"/>
  <c r="G1096" i="1"/>
  <c r="G909" i="1"/>
  <c r="G202" i="1"/>
  <c r="G2136" i="1"/>
  <c r="G2137" i="1"/>
  <c r="G1501" i="1"/>
  <c r="G2162" i="1"/>
  <c r="G2569" i="1"/>
  <c r="G2570" i="1"/>
  <c r="G2466" i="1"/>
  <c r="G1361" i="1"/>
  <c r="G178" i="1"/>
  <c r="G175" i="1"/>
  <c r="G1598" i="1"/>
  <c r="G1148" i="1"/>
  <c r="G482" i="1"/>
  <c r="G488" i="1"/>
  <c r="G494" i="1"/>
  <c r="G746" i="1"/>
  <c r="G2773" i="1"/>
  <c r="G2772" i="1"/>
  <c r="G1422" i="1"/>
  <c r="G1263" i="1"/>
  <c r="G1279" i="1"/>
  <c r="G1726" i="1"/>
  <c r="G1476" i="1"/>
  <c r="G1471" i="1"/>
  <c r="G1480" i="1"/>
  <c r="G1473" i="1"/>
  <c r="G2444" i="1"/>
  <c r="G2445" i="1"/>
  <c r="G1413" i="1"/>
  <c r="G1415" i="1"/>
  <c r="G332" i="1"/>
  <c r="G2701" i="1"/>
  <c r="G1314" i="1"/>
  <c r="G1295" i="1"/>
  <c r="G1309" i="1"/>
  <c r="G2403" i="1"/>
  <c r="G1268" i="1"/>
  <c r="G2618" i="1"/>
  <c r="G2872" i="1"/>
  <c r="G1094" i="1"/>
  <c r="G1700" i="1"/>
  <c r="G398" i="1"/>
  <c r="G397" i="1"/>
  <c r="G395" i="1"/>
  <c r="G1176" i="1"/>
  <c r="G1775" i="1"/>
  <c r="G2175" i="1"/>
  <c r="G1696" i="1"/>
  <c r="G1684" i="1"/>
  <c r="G1678" i="1"/>
  <c r="G1679" i="1"/>
  <c r="G1680" i="1"/>
  <c r="G1681" i="1"/>
  <c r="G1682" i="1"/>
  <c r="G1683" i="1"/>
  <c r="G502" i="1"/>
  <c r="G1497" i="1"/>
  <c r="G1499" i="1"/>
  <c r="G1692" i="1"/>
  <c r="G1257" i="1"/>
  <c r="G517" i="1"/>
  <c r="G516" i="1"/>
  <c r="G519" i="1"/>
  <c r="G515" i="1"/>
  <c r="G1212" i="1"/>
  <c r="G1222" i="1"/>
  <c r="G2953" i="1"/>
  <c r="G1313" i="1"/>
  <c r="G1311" i="1"/>
  <c r="G3042" i="1"/>
  <c r="G2046" i="1"/>
  <c r="G2754" i="1"/>
  <c r="G2752" i="1"/>
  <c r="G2573" i="1"/>
  <c r="G2572" i="1"/>
  <c r="G1540" i="1"/>
  <c r="G1012" i="1"/>
  <c r="G1248" i="1"/>
  <c r="G86" i="1"/>
  <c r="G7" i="1"/>
  <c r="G2622" i="1"/>
  <c r="G1139" i="1"/>
  <c r="G1138" i="1"/>
  <c r="G1444" i="1"/>
  <c r="G2613" i="1"/>
  <c r="G2612" i="1"/>
  <c r="G3129" i="1"/>
  <c r="G3126" i="1"/>
  <c r="G3128" i="1"/>
  <c r="G88" i="1"/>
  <c r="G2180" i="1"/>
  <c r="G3052" i="1"/>
  <c r="G3051" i="1"/>
  <c r="G498" i="1"/>
  <c r="G1355" i="1"/>
  <c r="G1699" i="1"/>
  <c r="G1698" i="1"/>
  <c r="G1697" i="1"/>
  <c r="G1165" i="1"/>
  <c r="G1160" i="1"/>
  <c r="G1159" i="1"/>
  <c r="G445" i="1"/>
  <c r="G448" i="1"/>
  <c r="G3078" i="1"/>
  <c r="G98" i="1"/>
  <c r="G311" i="1"/>
  <c r="G283" i="1"/>
  <c r="G282" i="1"/>
  <c r="G146" i="1"/>
  <c r="G495" i="1"/>
  <c r="G489" i="1"/>
  <c r="G2886" i="1"/>
  <c r="G2785" i="1"/>
  <c r="G956" i="1"/>
  <c r="G955" i="1"/>
  <c r="G953" i="1"/>
  <c r="G954" i="1"/>
  <c r="G957" i="1"/>
  <c r="G45" i="1"/>
  <c r="G1283" i="1"/>
  <c r="G1766" i="1"/>
  <c r="G1765" i="1"/>
  <c r="G1763" i="1"/>
  <c r="G2565" i="1"/>
  <c r="G2558" i="1"/>
  <c r="G3002" i="1"/>
  <c r="G2727" i="1"/>
  <c r="G2194" i="1"/>
  <c r="G1973" i="1"/>
  <c r="G1974" i="1"/>
  <c r="G1971" i="1"/>
  <c r="G1970" i="1"/>
  <c r="G100" i="1"/>
  <c r="G101" i="1"/>
  <c r="G1999" i="1"/>
  <c r="G1997" i="1"/>
  <c r="G1354" i="1"/>
  <c r="G473" i="1"/>
  <c r="G1251" i="1"/>
  <c r="G2450" i="1"/>
  <c r="G2438" i="1"/>
  <c r="G2449" i="1"/>
  <c r="G2448" i="1"/>
  <c r="G2750" i="1"/>
  <c r="G2124" i="1"/>
  <c r="G2122" i="1"/>
  <c r="G1114" i="1"/>
  <c r="G1118" i="1"/>
  <c r="G1291" i="1"/>
  <c r="G1301" i="1"/>
  <c r="G2949" i="1"/>
  <c r="G2948" i="1"/>
  <c r="G2827" i="1"/>
  <c r="G2826" i="1"/>
  <c r="G2828" i="1"/>
  <c r="G52" i="1"/>
  <c r="G1737" i="1"/>
  <c r="G975" i="1"/>
  <c r="G73" i="1"/>
  <c r="G74" i="1"/>
  <c r="G328" i="1"/>
  <c r="G326" i="1"/>
  <c r="G1340" i="1"/>
  <c r="G2964" i="1"/>
  <c r="G2963" i="1"/>
  <c r="G902" i="1"/>
  <c r="G900" i="1"/>
  <c r="G901" i="1"/>
  <c r="G899" i="1"/>
  <c r="G2629" i="1"/>
  <c r="G2631" i="1"/>
  <c r="G594" i="1"/>
  <c r="G593" i="1"/>
  <c r="G592" i="1"/>
  <c r="G694" i="1"/>
  <c r="G679" i="1"/>
  <c r="G678" i="1"/>
  <c r="G693" i="1"/>
  <c r="G692" i="1"/>
  <c r="G2795" i="1"/>
  <c r="G2794" i="1"/>
  <c r="G1597" i="1"/>
  <c r="G1925" i="1"/>
  <c r="G520" i="1"/>
  <c r="G305" i="1"/>
  <c r="G809" i="1"/>
  <c r="G1837" i="1"/>
  <c r="G1825" i="1"/>
  <c r="G1745" i="1"/>
  <c r="G1744" i="1"/>
  <c r="G1823" i="1"/>
  <c r="G3116" i="1"/>
  <c r="G2453" i="1"/>
  <c r="G1755" i="1"/>
  <c r="G719" i="1"/>
  <c r="G2728" i="1"/>
  <c r="G2724" i="1"/>
  <c r="G468" i="1"/>
  <c r="G18" i="1"/>
  <c r="G17" i="1"/>
  <c r="G2777" i="1"/>
  <c r="G2781" i="1"/>
  <c r="G2775" i="1"/>
  <c r="G2780" i="1"/>
  <c r="G2776" i="1"/>
  <c r="G2774" i="1"/>
  <c r="G1998" i="1"/>
  <c r="G2782" i="1"/>
  <c r="G2784" i="1"/>
  <c r="G2327" i="1"/>
  <c r="G1772" i="1"/>
  <c r="G1426" i="1"/>
  <c r="G1800" i="1"/>
  <c r="G1802" i="1"/>
  <c r="G2931" i="1"/>
  <c r="G2452" i="1"/>
  <c r="G3136" i="1"/>
  <c r="G62" i="1"/>
  <c r="G2050" i="1"/>
  <c r="G307" i="1"/>
  <c r="G72" i="1"/>
  <c r="G3060" i="1"/>
  <c r="G3059" i="1"/>
  <c r="G2863" i="1"/>
  <c r="G1960" i="1"/>
  <c r="G2580" i="1"/>
  <c r="G42" i="1"/>
  <c r="G2193" i="1"/>
  <c r="G2192" i="1"/>
  <c r="G668" i="1"/>
  <c r="G667" i="1"/>
  <c r="G580" i="1"/>
  <c r="G2178" i="1"/>
  <c r="G854" i="1"/>
  <c r="G579" i="1"/>
  <c r="G578" i="1"/>
  <c r="G577" i="1"/>
  <c r="G576" i="1"/>
  <c r="G666" i="1"/>
  <c r="G608" i="1"/>
  <c r="G691" i="1"/>
  <c r="G689" i="1"/>
  <c r="G690" i="1"/>
  <c r="G688" i="1"/>
  <c r="G607" i="1"/>
  <c r="G1643" i="1"/>
  <c r="G71" i="1"/>
  <c r="G1290" i="1"/>
  <c r="G2578" i="1"/>
  <c r="G3107" i="1"/>
  <c r="G2001" i="1"/>
  <c r="G2907" i="1"/>
  <c r="G1204" i="1"/>
  <c r="G645" i="1"/>
  <c r="G685" i="1"/>
  <c r="G597" i="1"/>
  <c r="G706" i="1"/>
  <c r="G705" i="1"/>
  <c r="G573" i="1"/>
  <c r="G567" i="1"/>
  <c r="G596" i="1"/>
  <c r="G587" i="1"/>
  <c r="G566" i="1"/>
  <c r="G676" i="1"/>
  <c r="G652" i="1"/>
  <c r="G1653" i="1"/>
  <c r="G1688" i="1"/>
  <c r="G2908" i="1"/>
  <c r="G687" i="1"/>
  <c r="G1021" i="1"/>
  <c r="G1020" i="1"/>
  <c r="G1013" i="1"/>
  <c r="G218" i="1"/>
  <c r="G1256" i="1"/>
  <c r="G602" i="1"/>
  <c r="G601" i="1"/>
  <c r="G1245" i="1"/>
  <c r="G1375" i="1"/>
  <c r="G574" i="1"/>
  <c r="G2072" i="1"/>
  <c r="G2071" i="1"/>
  <c r="G2611" i="1"/>
  <c r="G2610" i="1"/>
  <c r="G2254" i="1"/>
  <c r="G2900" i="1"/>
  <c r="G476" i="1"/>
  <c r="G13" i="1"/>
  <c r="G2859" i="1"/>
  <c r="G2857" i="1"/>
  <c r="G2161" i="1"/>
  <c r="G2158" i="1"/>
  <c r="G2168" i="1"/>
  <c r="G2160" i="1"/>
  <c r="G2157" i="1"/>
  <c r="G1273" i="1"/>
  <c r="G1623" i="1"/>
  <c r="G2713" i="1"/>
  <c r="G2707" i="1"/>
  <c r="G2706" i="1"/>
  <c r="G1243" i="1"/>
  <c r="G1265" i="1"/>
  <c r="G1000" i="1"/>
  <c r="G994" i="1"/>
  <c r="G995" i="1"/>
  <c r="G991" i="1"/>
  <c r="G1002" i="1"/>
  <c r="G985" i="1"/>
  <c r="G384" i="1"/>
  <c r="G380" i="1"/>
  <c r="G383" i="1"/>
  <c r="G382" i="1"/>
  <c r="G898" i="1"/>
  <c r="G992" i="1"/>
  <c r="G1357" i="1"/>
  <c r="G1353" i="1"/>
  <c r="G1351" i="1"/>
  <c r="G2419" i="1"/>
  <c r="G572" i="1"/>
  <c r="G805" i="1"/>
  <c r="G807" i="1"/>
  <c r="G381" i="1"/>
  <c r="G1822" i="1"/>
  <c r="G2351" i="1"/>
  <c r="G1322" i="1"/>
  <c r="G2246" i="1"/>
  <c r="G2223" i="1"/>
  <c r="G2204" i="1"/>
  <c r="G2221" i="1"/>
  <c r="G2213" i="1"/>
  <c r="G2363" i="1"/>
  <c r="G636" i="1"/>
  <c r="G214" i="1"/>
  <c r="G2898" i="1"/>
  <c r="G2891" i="1"/>
  <c r="G149" i="1"/>
  <c r="G105" i="1"/>
  <c r="G103" i="1"/>
  <c r="G152" i="1"/>
  <c r="G2836" i="1"/>
  <c r="G1077" i="1"/>
  <c r="G1076" i="1"/>
  <c r="G615" i="1"/>
  <c r="G614" i="1"/>
  <c r="G703" i="1"/>
  <c r="G702" i="1"/>
  <c r="G701" i="1"/>
  <c r="G700" i="1"/>
  <c r="G699" i="1"/>
  <c r="G2190" i="1"/>
  <c r="G2189" i="1"/>
  <c r="G2188" i="1"/>
  <c r="G2187" i="1"/>
  <c r="G2186" i="1"/>
  <c r="G2139" i="1"/>
  <c r="G635" i="1"/>
  <c r="G12" i="1"/>
  <c r="G499" i="1"/>
  <c r="G2595" i="1"/>
  <c r="G2594" i="1"/>
  <c r="G2488" i="1"/>
  <c r="G2484" i="1"/>
  <c r="G2915" i="1"/>
  <c r="G2921" i="1"/>
  <c r="G2920" i="1"/>
  <c r="G2916" i="1"/>
  <c r="G2022" i="1"/>
  <c r="G600" i="1"/>
  <c r="G2598" i="1"/>
  <c r="G2596" i="1"/>
  <c r="G769" i="1"/>
  <c r="G767" i="1"/>
  <c r="G3073" i="1"/>
  <c r="G570" i="1"/>
  <c r="G616" i="1"/>
  <c r="G569" i="1"/>
  <c r="G2222" i="1"/>
  <c r="G723" i="1"/>
  <c r="G622" i="1"/>
  <c r="G621" i="1"/>
  <c r="G611" i="1"/>
  <c r="G1879" i="1"/>
  <c r="G1880" i="1"/>
  <c r="G568" i="1"/>
  <c r="G960" i="1"/>
  <c r="G2996" i="1"/>
  <c r="G634" i="1"/>
  <c r="G629" i="1"/>
  <c r="G637" i="1"/>
  <c r="G624" i="1"/>
  <c r="G631" i="1"/>
  <c r="G1398" i="1"/>
  <c r="G638" i="1"/>
  <c r="G639" i="1"/>
  <c r="G2626" i="1"/>
  <c r="G2798" i="1"/>
  <c r="G2789" i="1"/>
  <c r="G1015" i="1"/>
  <c r="G630" i="1"/>
  <c r="G633" i="1"/>
  <c r="G627" i="1"/>
  <c r="G628" i="1"/>
  <c r="G626" i="1"/>
  <c r="G625" i="1"/>
  <c r="G632" i="1"/>
  <c r="G1953" i="1"/>
  <c r="G1952" i="1"/>
  <c r="G1954" i="1"/>
  <c r="G2241" i="1"/>
  <c r="G268" i="1"/>
  <c r="G2414" i="1"/>
  <c r="G1385" i="1"/>
  <c r="G1384" i="1"/>
  <c r="G1377" i="1"/>
  <c r="G400" i="1"/>
  <c r="G2027" i="1"/>
  <c r="G1645" i="1"/>
  <c r="G2592" i="1"/>
  <c r="G721" i="1"/>
  <c r="G720" i="1"/>
  <c r="G2914" i="1"/>
  <c r="G2396" i="1"/>
  <c r="G2394" i="1"/>
  <c r="G2388" i="1"/>
  <c r="G2393" i="1"/>
  <c r="G2864" i="1"/>
  <c r="G2862" i="1"/>
  <c r="G2861" i="1"/>
  <c r="G1671" i="1"/>
  <c r="G1743" i="1"/>
  <c r="G2817" i="1"/>
  <c r="G863" i="1"/>
  <c r="G833" i="1"/>
  <c r="G451" i="1"/>
  <c r="G2034" i="1"/>
  <c r="G1508" i="1"/>
  <c r="G1984" i="1"/>
  <c r="G2765" i="1"/>
  <c r="G2762" i="1"/>
  <c r="G2759" i="1"/>
  <c r="G2758" i="1"/>
  <c r="G2763" i="1"/>
  <c r="G2760" i="1"/>
  <c r="G2757" i="1"/>
  <c r="G2764" i="1"/>
  <c r="G2761" i="1"/>
  <c r="G2756" i="1"/>
  <c r="G1914" i="1"/>
  <c r="G1913" i="1"/>
  <c r="G2966" i="1"/>
  <c r="G2967" i="1"/>
  <c r="G2965" i="1"/>
  <c r="G3131" i="1"/>
  <c r="G3130" i="1"/>
  <c r="G1801" i="1"/>
  <c r="G1798" i="1"/>
  <c r="G1799" i="1"/>
  <c r="G1171" i="1"/>
  <c r="G76" i="1"/>
  <c r="G75" i="1"/>
  <c r="G1895" i="1"/>
  <c r="G3106" i="1"/>
  <c r="G1261" i="1"/>
  <c r="G1249" i="1"/>
  <c r="G2588" i="1"/>
  <c r="G1770" i="1"/>
  <c r="G1715" i="1"/>
  <c r="G3064" i="1"/>
  <c r="G838" i="1"/>
  <c r="G2937" i="1"/>
  <c r="G399" i="1"/>
  <c r="G396" i="1"/>
  <c r="G2731" i="1"/>
  <c r="G40" i="1"/>
  <c r="G1888" i="1"/>
  <c r="G322" i="1"/>
  <c r="G321" i="1"/>
  <c r="G2530" i="1"/>
  <c r="G2528" i="1"/>
  <c r="G2531" i="1"/>
  <c r="G2527" i="1"/>
  <c r="G1287" i="1"/>
  <c r="G1586" i="1"/>
  <c r="G1584" i="1"/>
  <c r="G453" i="1"/>
  <c r="G2538" i="1"/>
  <c r="G2540" i="1"/>
  <c r="G2537" i="1"/>
  <c r="G2536" i="1"/>
  <c r="G2539" i="1"/>
  <c r="G2535" i="1"/>
  <c r="G1725" i="1"/>
  <c r="G2926" i="1"/>
  <c r="G2925" i="1"/>
  <c r="G1644" i="1"/>
  <c r="G1832" i="1"/>
  <c r="G1827" i="1"/>
  <c r="G1834" i="1"/>
  <c r="G1830" i="1"/>
  <c r="G1829" i="1"/>
  <c r="G1826" i="1"/>
  <c r="G206" i="1"/>
  <c r="G205" i="1"/>
  <c r="G1578" i="1"/>
  <c r="G1337" i="1"/>
  <c r="G1333" i="1"/>
  <c r="G1581" i="1"/>
  <c r="G2352" i="1"/>
  <c r="G2815" i="1"/>
  <c r="G2674" i="1"/>
  <c r="G1575" i="1"/>
  <c r="G1401" i="1"/>
  <c r="G1628" i="1"/>
  <c r="G3023" i="1"/>
  <c r="G1915" i="1"/>
  <c r="G1566" i="1"/>
  <c r="G2524" i="1"/>
  <c r="G2517" i="1"/>
  <c r="G2514" i="1"/>
  <c r="G2526" i="1"/>
  <c r="G2521" i="1"/>
  <c r="G2519" i="1"/>
  <c r="G2802" i="1"/>
  <c r="G2801" i="1"/>
  <c r="G2800" i="1"/>
  <c r="G2814" i="1"/>
  <c r="G2813" i="1"/>
  <c r="G2520" i="1"/>
  <c r="G2523" i="1"/>
  <c r="G2516" i="1"/>
  <c r="G2513" i="1"/>
  <c r="G2518" i="1"/>
  <c r="G2512" i="1"/>
  <c r="G61" i="1"/>
  <c r="G58" i="1"/>
  <c r="G57" i="1"/>
  <c r="G1393" i="1"/>
  <c r="G1795" i="1"/>
  <c r="G435" i="1"/>
  <c r="G2102" i="1"/>
  <c r="G1843" i="1"/>
  <c r="G2673" i="1"/>
  <c r="G2672" i="1"/>
  <c r="G649" i="1"/>
  <c r="G648" i="1"/>
  <c r="G647" i="1"/>
  <c r="G3061" i="1"/>
  <c r="G403" i="1"/>
  <c r="G2326" i="1"/>
  <c r="G2941" i="1"/>
  <c r="G1677" i="1"/>
  <c r="G417" i="1"/>
  <c r="G414" i="1"/>
  <c r="G416" i="1"/>
  <c r="G413" i="1"/>
  <c r="G415" i="1"/>
  <c r="G412" i="1"/>
  <c r="G1267" i="1"/>
  <c r="G2642" i="1"/>
  <c r="G2636" i="1"/>
  <c r="G2641" i="1"/>
  <c r="G2639" i="1"/>
  <c r="G2640" i="1"/>
  <c r="G2637" i="1"/>
  <c r="G2638" i="1"/>
  <c r="G2233" i="1"/>
  <c r="G2232" i="1"/>
  <c r="G2286" i="1"/>
  <c r="G2284" i="1"/>
  <c r="G2285" i="1"/>
  <c r="G2255" i="1"/>
  <c r="G2260" i="1"/>
  <c r="G2265" i="1"/>
  <c r="G2259" i="1"/>
  <c r="G2239" i="1"/>
  <c r="G2238" i="1"/>
  <c r="G2240" i="1"/>
  <c r="G2737" i="1"/>
  <c r="G1233" i="1"/>
  <c r="G1234" i="1"/>
  <c r="G1232" i="1"/>
  <c r="G472" i="1"/>
  <c r="G1587" i="1"/>
  <c r="G1585" i="1"/>
  <c r="G1850" i="1"/>
  <c r="G1849" i="1"/>
  <c r="G2951" i="1"/>
  <c r="G590" i="1"/>
  <c r="G1874" i="1"/>
  <c r="G1686" i="1"/>
  <c r="G1571" i="1"/>
  <c r="G1574" i="1"/>
  <c r="G2606" i="1"/>
  <c r="G3084" i="1"/>
  <c r="G3087" i="1"/>
  <c r="G3083" i="1"/>
  <c r="G3082" i="1"/>
  <c r="G2325" i="1"/>
  <c r="G280" i="1"/>
  <c r="G229" i="1"/>
  <c r="G245" i="1"/>
  <c r="G588" i="1"/>
  <c r="G589" i="1"/>
  <c r="G1505" i="1"/>
  <c r="G3033" i="1"/>
  <c r="G3110" i="1"/>
  <c r="G2607" i="1"/>
  <c r="G2608" i="1"/>
  <c r="G2306" i="1"/>
  <c r="G2821" i="1"/>
  <c r="G2822" i="1"/>
  <c r="G2823" i="1"/>
  <c r="G2806" i="1"/>
  <c r="G78" i="1"/>
  <c r="G1641" i="1"/>
  <c r="G2579" i="1"/>
  <c r="G2559" i="1"/>
  <c r="G1676" i="1"/>
  <c r="G1672" i="1"/>
  <c r="G1991" i="1"/>
  <c r="G1238" i="1"/>
  <c r="G1640" i="1"/>
  <c r="G1639" i="1"/>
  <c r="G1545" i="1"/>
  <c r="G1543" i="1"/>
  <c r="G1659" i="1"/>
  <c r="G1658" i="1"/>
  <c r="G950" i="1"/>
  <c r="G947" i="1"/>
  <c r="G1962" i="1"/>
  <c r="G1599" i="1"/>
  <c r="G63" i="1"/>
  <c r="G66" i="1"/>
  <c r="G750" i="1"/>
  <c r="G1773" i="1"/>
  <c r="G2792" i="1"/>
  <c r="G1624" i="1"/>
  <c r="G1661" i="1"/>
  <c r="G727" i="1"/>
  <c r="G737" i="1"/>
  <c r="G736" i="1"/>
  <c r="G740" i="1"/>
  <c r="G739" i="1"/>
  <c r="G2508" i="1"/>
  <c r="G2511" i="1"/>
  <c r="G2871" i="1"/>
  <c r="G2870" i="1"/>
  <c r="G2507" i="1"/>
  <c r="G1339" i="1"/>
  <c r="G1335" i="1"/>
  <c r="G2491" i="1"/>
  <c r="G2489" i="1"/>
  <c r="G2492" i="1"/>
  <c r="G2490" i="1"/>
  <c r="G278" i="1"/>
  <c r="G1842" i="1"/>
  <c r="G599" i="1"/>
  <c r="G598" i="1"/>
  <c r="G2028" i="1"/>
  <c r="G2029" i="1"/>
  <c r="G1638" i="1"/>
  <c r="G1633" i="1"/>
  <c r="G3132" i="1"/>
  <c r="G2746" i="1"/>
  <c r="G2744" i="1"/>
  <c r="G2742" i="1"/>
  <c r="G2548" i="1"/>
  <c r="G2544" i="1"/>
  <c r="G2226" i="1"/>
  <c r="G2198" i="1"/>
  <c r="G2207" i="1"/>
  <c r="G2225" i="1"/>
  <c r="G2217" i="1"/>
  <c r="G2206" i="1"/>
  <c r="G2231" i="1"/>
  <c r="G2211" i="1"/>
  <c r="G2224" i="1"/>
  <c r="G454" i="1"/>
  <c r="G2797" i="1"/>
  <c r="G2796" i="1"/>
  <c r="G978" i="1"/>
  <c r="G977" i="1"/>
  <c r="G976" i="1"/>
  <c r="G840" i="1"/>
  <c r="G2738" i="1"/>
  <c r="G912" i="1"/>
  <c r="G2174" i="1"/>
  <c r="G732" i="1"/>
  <c r="G731" i="1"/>
  <c r="G726" i="1"/>
  <c r="G730" i="1"/>
  <c r="G2026" i="1"/>
  <c r="G745" i="1"/>
  <c r="G744" i="1"/>
  <c r="G2945" i="1"/>
  <c r="G1854" i="1"/>
  <c r="G1646" i="1"/>
  <c r="G776" i="1"/>
  <c r="G753" i="1"/>
  <c r="G752" i="1"/>
  <c r="G1863" i="1"/>
  <c r="G1861" i="1"/>
  <c r="G1836" i="1"/>
  <c r="G60" i="1"/>
  <c r="G1629" i="1"/>
  <c r="G2244" i="1"/>
  <c r="G2212" i="1"/>
  <c r="G2243" i="1"/>
  <c r="G2678" i="1"/>
  <c r="G2677" i="1"/>
  <c r="G2185" i="1"/>
  <c r="G2184" i="1"/>
  <c r="G728" i="1"/>
  <c r="G1719" i="1"/>
  <c r="G1718" i="1"/>
  <c r="G1717" i="1"/>
  <c r="G402" i="1"/>
  <c r="G1237" i="1"/>
  <c r="G1236" i="1"/>
  <c r="G1235" i="1"/>
  <c r="G3144" i="1"/>
  <c r="G1145" i="1"/>
  <c r="G1143" i="1"/>
  <c r="G1140" i="1"/>
  <c r="G1856" i="1"/>
  <c r="G1563" i="1"/>
  <c r="G1562" i="1"/>
  <c r="G2296" i="1"/>
  <c r="G2994" i="1"/>
  <c r="G432" i="1"/>
  <c r="G431" i="1"/>
  <c r="G433" i="1"/>
  <c r="G430" i="1"/>
  <c r="G1428" i="1"/>
  <c r="G2793" i="1"/>
  <c r="G2855" i="1"/>
  <c r="G2854" i="1"/>
  <c r="G2853" i="1"/>
  <c r="G296" i="1"/>
  <c r="G34" i="1"/>
  <c r="G33" i="1"/>
  <c r="G1673" i="1"/>
  <c r="G1674" i="1"/>
  <c r="G943" i="1"/>
  <c r="G729" i="1"/>
  <c r="G1170" i="1"/>
  <c r="G1169" i="1"/>
  <c r="G1168" i="1"/>
  <c r="G937" i="1"/>
  <c r="G941" i="1"/>
  <c r="G1760" i="1"/>
  <c r="G1455" i="1"/>
  <c r="G238" i="1"/>
  <c r="G2832" i="1"/>
  <c r="G966" i="1"/>
  <c r="G965" i="1"/>
  <c r="G944" i="1"/>
  <c r="G2059" i="1"/>
  <c r="G2040" i="1"/>
  <c r="G1957" i="1"/>
  <c r="G2191" i="1"/>
  <c r="G1955" i="1"/>
  <c r="G1956" i="1"/>
  <c r="G942" i="1"/>
  <c r="G938" i="1"/>
  <c r="G1819" i="1"/>
  <c r="G1816" i="1"/>
  <c r="G1887" i="1"/>
  <c r="G1305" i="1"/>
  <c r="G1302" i="1"/>
  <c r="G496" i="1"/>
  <c r="G480" i="1"/>
  <c r="G484" i="1"/>
  <c r="G483" i="1"/>
  <c r="G121" i="1"/>
  <c r="G1356" i="1"/>
  <c r="G2275" i="1"/>
  <c r="G2274" i="1"/>
  <c r="G2273" i="1"/>
  <c r="G1387" i="1"/>
  <c r="G2807" i="1"/>
  <c r="G2810" i="1"/>
  <c r="G2809" i="1"/>
  <c r="G2808" i="1"/>
  <c r="G330" i="1"/>
  <c r="G2930" i="1"/>
  <c r="G2929" i="1"/>
  <c r="G759" i="1"/>
  <c r="G1695" i="1"/>
  <c r="G2878" i="1"/>
  <c r="G2877" i="1"/>
  <c r="G733" i="1"/>
  <c r="G742" i="1"/>
  <c r="G2413" i="1"/>
  <c r="G2412" i="1"/>
  <c r="G2411" i="1"/>
  <c r="G2553" i="1"/>
  <c r="G1446" i="1"/>
  <c r="G1439" i="1"/>
  <c r="G1445" i="1"/>
  <c r="G1429" i="1"/>
  <c r="G921" i="1"/>
  <c r="G920" i="1"/>
  <c r="G2825" i="1"/>
  <c r="G1694" i="1"/>
  <c r="G1963" i="1"/>
  <c r="G562" i="1"/>
  <c r="G2942" i="1"/>
  <c r="G2057" i="1"/>
  <c r="G2056" i="1"/>
  <c r="G2835" i="1"/>
  <c r="G2834" i="1"/>
  <c r="G1549" i="1"/>
  <c r="G1547" i="1"/>
  <c r="G1546" i="1"/>
  <c r="G1544" i="1"/>
  <c r="G2308" i="1"/>
  <c r="G2309" i="1"/>
  <c r="G2313" i="1"/>
  <c r="G3081" i="1"/>
  <c r="G2312" i="1"/>
  <c r="G2305" i="1"/>
  <c r="G2311" i="1"/>
  <c r="G2310" i="1"/>
  <c r="G3046" i="1"/>
  <c r="G3044" i="1"/>
  <c r="G1029" i="1"/>
  <c r="G1027" i="1"/>
  <c r="G421" i="1"/>
  <c r="G2405" i="1"/>
  <c r="G2404" i="1"/>
  <c r="G2402" i="1"/>
  <c r="G2401" i="1"/>
  <c r="G1613" i="1"/>
  <c r="G1158" i="1"/>
  <c r="G1137" i="1"/>
  <c r="G1136" i="1"/>
  <c r="G2816" i="1"/>
  <c r="G868" i="1"/>
  <c r="G867" i="1"/>
  <c r="G1144" i="1"/>
  <c r="G1142" i="1"/>
  <c r="G1141" i="1"/>
  <c r="G561" i="1"/>
  <c r="G3093" i="1"/>
  <c r="G373" i="1"/>
  <c r="G371" i="1"/>
  <c r="G369" i="1"/>
  <c r="G368" i="1"/>
  <c r="G367" i="1"/>
  <c r="G1627" i="1"/>
  <c r="G1625" i="1"/>
  <c r="G2563" i="1"/>
  <c r="G2961" i="1"/>
  <c r="G220" i="1"/>
  <c r="G1434" i="1"/>
  <c r="G1456" i="1"/>
  <c r="G15" i="1"/>
  <c r="G97" i="1"/>
  <c r="G96" i="1"/>
  <c r="G2577" i="1"/>
  <c r="G230" i="1"/>
  <c r="G2562" i="1"/>
  <c r="G1983" i="1"/>
  <c r="G1614" i="1"/>
  <c r="G92" i="1"/>
  <c r="G93" i="1"/>
  <c r="G89" i="1"/>
  <c r="G335" i="1"/>
  <c r="G333" i="1"/>
  <c r="G336" i="1"/>
  <c r="G334" i="1"/>
  <c r="G1026" i="1"/>
  <c r="G1028" i="1"/>
  <c r="G1025" i="1"/>
  <c r="G3045" i="1"/>
  <c r="G3043" i="1"/>
  <c r="G2350" i="1"/>
  <c r="G3035" i="1"/>
  <c r="G1284" i="1"/>
  <c r="G407" i="1"/>
  <c r="G405" i="1"/>
  <c r="G404" i="1"/>
  <c r="G1652" i="1"/>
  <c r="G3125" i="1"/>
  <c r="G3120" i="1"/>
  <c r="G1174" i="1"/>
  <c r="G319" i="1"/>
  <c r="G318" i="1"/>
  <c r="G2365" i="1"/>
  <c r="G929" i="1"/>
  <c r="G928" i="1"/>
  <c r="G927" i="1"/>
  <c r="G841" i="1"/>
  <c r="G591" i="1"/>
  <c r="G2398" i="1"/>
  <c r="G236" i="1"/>
  <c r="G2451" i="1"/>
  <c r="G64" i="1"/>
  <c r="G3103" i="1"/>
  <c r="G606" i="1"/>
  <c r="G605" i="1"/>
  <c r="G604" i="1"/>
  <c r="G2236" i="1"/>
  <c r="G2893" i="1"/>
  <c r="G11" i="1"/>
  <c r="G10" i="1"/>
  <c r="G1270" i="1"/>
  <c r="G2609" i="1"/>
  <c r="G2560" i="1"/>
  <c r="G1621" i="1"/>
  <c r="G1788" i="1"/>
  <c r="G2729" i="1"/>
  <c r="G2725" i="1"/>
  <c r="G1758" i="1"/>
  <c r="G9" i="1"/>
  <c r="G1609" i="1"/>
  <c r="G1607" i="1"/>
  <c r="G2415" i="1"/>
  <c r="G1769" i="1"/>
  <c r="G949" i="1"/>
  <c r="G948" i="1"/>
  <c r="G946" i="1"/>
  <c r="G21" i="1"/>
  <c r="G20" i="1"/>
  <c r="G16" i="1"/>
  <c r="G14" i="1"/>
  <c r="G35" i="1"/>
  <c r="G91" i="1"/>
  <c r="G228" i="1"/>
  <c r="G312" i="1"/>
  <c r="G314" i="1"/>
  <c r="G320" i="1"/>
  <c r="G344" i="1"/>
  <c r="G350" i="1"/>
  <c r="G408" i="1"/>
  <c r="G429" i="1"/>
  <c r="G512" i="1"/>
  <c r="G511" i="1"/>
  <c r="G510" i="1"/>
  <c r="G509" i="1"/>
  <c r="G540" i="1"/>
  <c r="G539" i="1"/>
  <c r="G613" i="1"/>
  <c r="G612" i="1"/>
  <c r="G595" i="1"/>
  <c r="G571" i="1"/>
  <c r="G662" i="1"/>
  <c r="G661" i="1"/>
  <c r="G660" i="1"/>
  <c r="G659" i="1"/>
  <c r="G658" i="1"/>
  <c r="G756" i="1"/>
  <c r="G754" i="1"/>
  <c r="G755" i="1"/>
  <c r="G780" i="1"/>
  <c r="G806" i="1"/>
  <c r="G865" i="1"/>
  <c r="G951" i="1"/>
  <c r="G963" i="1"/>
  <c r="G1011" i="1"/>
  <c r="G1010" i="1"/>
  <c r="G1009" i="1"/>
  <c r="G1098" i="1"/>
  <c r="G1196" i="1"/>
  <c r="G1420" i="1"/>
  <c r="G1580" i="1"/>
  <c r="G1591" i="1"/>
  <c r="G1636" i="1"/>
  <c r="G1648" i="1"/>
  <c r="G1665" i="1"/>
  <c r="G1666" i="1"/>
  <c r="G1668" i="1"/>
  <c r="G1722" i="1"/>
  <c r="G1774" i="1"/>
  <c r="G1789" i="1"/>
  <c r="G1796" i="1"/>
  <c r="G1809" i="1"/>
  <c r="G1810" i="1"/>
  <c r="G1811" i="1"/>
  <c r="G1812" i="1"/>
  <c r="G1807" i="1"/>
  <c r="G1806" i="1"/>
  <c r="G1841" i="1"/>
  <c r="G1846" i="1"/>
  <c r="G1848" i="1"/>
  <c r="G1884" i="1"/>
  <c r="G1885" i="1"/>
  <c r="G1920" i="1"/>
  <c r="G1921" i="1"/>
  <c r="G1919" i="1"/>
  <c r="G1922" i="1"/>
  <c r="G1926" i="1"/>
  <c r="G1928" i="1"/>
  <c r="G1927" i="1"/>
  <c r="G1978" i="1"/>
  <c r="G1979" i="1"/>
  <c r="G2015" i="1"/>
  <c r="G2020" i="1"/>
  <c r="G2019" i="1"/>
  <c r="G2021" i="1"/>
  <c r="G2045" i="1"/>
  <c r="G2195" i="1"/>
  <c r="G2237" i="1"/>
  <c r="G2315" i="1"/>
  <c r="G2314" i="1"/>
  <c r="G2353" i="1"/>
  <c r="G2354" i="1"/>
  <c r="G2475" i="1"/>
  <c r="G2474" i="1"/>
  <c r="G2515" i="1"/>
  <c r="G2532" i="1"/>
  <c r="G2534" i="1"/>
  <c r="G2533" i="1"/>
  <c r="G2564" i="1"/>
  <c r="G2561" i="1"/>
  <c r="G2582" i="1"/>
  <c r="G2581" i="1"/>
  <c r="G2617" i="1"/>
  <c r="G2616" i="1"/>
  <c r="G2635" i="1"/>
  <c r="G2650" i="1"/>
  <c r="G2643" i="1"/>
  <c r="G2649" i="1"/>
  <c r="G2717" i="1"/>
  <c r="G2719" i="1"/>
  <c r="G2718" i="1"/>
  <c r="G2715" i="1"/>
  <c r="G2714" i="1"/>
  <c r="G2716" i="1"/>
  <c r="G2726" i="1"/>
  <c r="G2723" i="1"/>
  <c r="G2721" i="1"/>
  <c r="G2720" i="1"/>
  <c r="G2739" i="1"/>
  <c r="G2803" i="1"/>
  <c r="G2873" i="1"/>
  <c r="G2936" i="1"/>
  <c r="G2935" i="1"/>
  <c r="G2947" i="1"/>
  <c r="G3049" i="1"/>
  <c r="G3048" i="1"/>
  <c r="G3104" i="1"/>
  <c r="G3127" i="1"/>
  <c r="X1488" i="1"/>
  <c r="W1488" i="1" s="1"/>
  <c r="X919" i="1"/>
  <c r="X918" i="1"/>
  <c r="W918" i="1" s="1"/>
  <c r="X1742" i="1"/>
  <c r="W1742" i="1" s="1"/>
  <c r="X1740" i="1"/>
  <c r="W1740" i="1" s="1"/>
  <c r="X763" i="1"/>
  <c r="W763" i="1" s="1"/>
  <c r="X762" i="1"/>
  <c r="W762" i="1" s="1"/>
  <c r="X243" i="1"/>
  <c r="W243" i="1" s="1"/>
  <c r="X2959" i="1"/>
  <c r="X2092" i="1"/>
  <c r="W2092" i="1" s="1"/>
  <c r="X2087" i="1"/>
  <c r="W2087" i="1" s="1"/>
  <c r="X2995" i="1"/>
  <c r="W2995" i="1" s="1"/>
  <c r="X2235" i="1"/>
  <c r="X2272" i="1"/>
  <c r="W2272" i="1" s="1"/>
  <c r="X2250" i="1"/>
  <c r="X1515" i="1"/>
  <c r="W1515" i="1" s="1"/>
  <c r="X1001" i="1"/>
  <c r="W1001" i="1" s="1"/>
  <c r="X204" i="1"/>
  <c r="X39" i="1"/>
  <c r="W39" i="1" s="1"/>
  <c r="X1099" i="1"/>
  <c r="W1099" i="1" s="1"/>
  <c r="X1095" i="1"/>
  <c r="W1095" i="1" s="1"/>
  <c r="X375" i="1"/>
  <c r="X2248" i="1"/>
  <c r="W2248" i="1" s="1"/>
  <c r="X1391" i="1"/>
  <c r="W1391" i="1" s="1"/>
  <c r="X1390" i="1"/>
  <c r="W1390" i="1" s="1"/>
  <c r="X787" i="1"/>
  <c r="W787" i="1" s="1"/>
  <c r="X786" i="1"/>
  <c r="W786" i="1" s="1"/>
  <c r="X952" i="1"/>
  <c r="W952" i="1" s="1"/>
  <c r="X1370" i="1"/>
  <c r="W1370" i="1" s="1"/>
  <c r="X2710" i="1"/>
  <c r="W2710" i="1" s="1"/>
  <c r="X982" i="1"/>
  <c r="W982" i="1" s="1"/>
  <c r="X2749" i="1"/>
  <c r="W2749" i="1" s="1"/>
  <c r="X1778" i="1"/>
  <c r="W1778" i="1" s="1"/>
  <c r="X294" i="1"/>
  <c r="W294" i="1" s="1"/>
  <c r="X295" i="1"/>
  <c r="W295" i="1" s="1"/>
  <c r="X250" i="1"/>
  <c r="W250" i="1" s="1"/>
  <c r="X253" i="1"/>
  <c r="W253" i="1" s="1"/>
  <c r="X249" i="1"/>
  <c r="W249" i="1" s="1"/>
  <c r="X252" i="1"/>
  <c r="W252" i="1" s="1"/>
  <c r="X251" i="1"/>
  <c r="W251" i="1" s="1"/>
  <c r="X717" i="1"/>
  <c r="W717" i="1" s="1"/>
  <c r="X716" i="1"/>
  <c r="W716" i="1" s="1"/>
  <c r="X1037" i="1"/>
  <c r="W1037" i="1" s="1"/>
  <c r="X1931" i="1"/>
  <c r="W1931" i="1" s="1"/>
  <c r="X456" i="1"/>
  <c r="W456" i="1" s="1"/>
  <c r="X455" i="1"/>
  <c r="W455" i="1" s="1"/>
  <c r="X1223" i="1"/>
  <c r="W1223" i="1" s="1"/>
  <c r="X458" i="1"/>
  <c r="W458" i="1" s="1"/>
  <c r="X2294" i="1"/>
  <c r="W2294" i="1" s="1"/>
  <c r="X2292" i="1"/>
  <c r="W2292" i="1" s="1"/>
  <c r="X2881" i="1"/>
  <c r="W2881" i="1" s="1"/>
  <c r="X2332" i="1"/>
  <c r="W2332" i="1" s="1"/>
  <c r="X2330" i="1"/>
  <c r="X2343" i="1"/>
  <c r="W2343" i="1" s="1"/>
  <c r="X2329" i="1"/>
  <c r="X2946" i="1"/>
  <c r="X1617" i="1"/>
  <c r="W1617" i="1" s="1"/>
  <c r="X878" i="1"/>
  <c r="W878" i="1" s="1"/>
  <c r="X877" i="1"/>
  <c r="W877" i="1" s="1"/>
  <c r="X2380" i="1"/>
  <c r="W2380" i="1" s="1"/>
  <c r="X2378" i="1"/>
  <c r="W2378" i="1" s="1"/>
  <c r="X2375" i="1"/>
  <c r="W2375" i="1" s="1"/>
  <c r="X2395" i="1"/>
  <c r="W2395" i="1" s="1"/>
  <c r="X2392" i="1"/>
  <c r="W2392" i="1" s="1"/>
  <c r="X958" i="1"/>
  <c r="W958" i="1" s="1"/>
  <c r="X1522" i="1"/>
  <c r="W1522" i="1" s="1"/>
  <c r="X1518" i="1"/>
  <c r="W1518" i="1" s="1"/>
  <c r="X1452" i="1"/>
  <c r="X1157" i="1"/>
  <c r="W1157" i="1" s="1"/>
  <c r="X538" i="1"/>
  <c r="W538" i="1" s="1"/>
  <c r="X108" i="1"/>
  <c r="W108" i="1" s="1"/>
  <c r="X107" i="1"/>
  <c r="W107" i="1" s="1"/>
  <c r="X158" i="1"/>
  <c r="W158" i="1" s="1"/>
  <c r="X156" i="1"/>
  <c r="W156" i="1" s="1"/>
  <c r="X160" i="1"/>
  <c r="W160" i="1" s="1"/>
  <c r="X155" i="1"/>
  <c r="W155" i="1" s="1"/>
  <c r="X159" i="1"/>
  <c r="W159" i="1" s="1"/>
  <c r="X157" i="1"/>
  <c r="W157" i="1" s="1"/>
  <c r="X1312" i="1"/>
  <c r="W1312" i="1" s="1"/>
  <c r="X1307" i="1"/>
  <c r="W1307" i="1" s="1"/>
  <c r="X1304" i="1"/>
  <c r="W1304" i="1" s="1"/>
  <c r="X1320" i="1"/>
  <c r="W1320" i="1" s="1"/>
  <c r="X151" i="1"/>
  <c r="W151" i="1" s="1"/>
  <c r="X365" i="1"/>
  <c r="W365" i="1" s="1"/>
  <c r="X366" i="1"/>
  <c r="W366" i="1" s="1"/>
  <c r="X1477" i="1"/>
  <c r="W1477" i="1" s="1"/>
  <c r="X128" i="1"/>
  <c r="W128" i="1" s="1"/>
  <c r="X127" i="1"/>
  <c r="W127" i="1" s="1"/>
  <c r="X917" i="1"/>
  <c r="W917" i="1" s="1"/>
  <c r="X1649" i="1"/>
  <c r="X2338" i="1"/>
  <c r="W2338" i="1" s="1"/>
  <c r="X2347" i="1"/>
  <c r="W2347" i="1" s="1"/>
  <c r="X2341" i="1"/>
  <c r="W2341" i="1" s="1"/>
  <c r="X2340" i="1"/>
  <c r="W2340" i="1" s="1"/>
  <c r="X2335" i="1"/>
  <c r="W2335" i="1" s="1"/>
  <c r="X2913" i="1"/>
  <c r="W2913" i="1" s="1"/>
  <c r="X24" i="1"/>
  <c r="W24" i="1" s="1"/>
  <c r="X27" i="1"/>
  <c r="W27" i="1" s="1"/>
  <c r="X25" i="1"/>
  <c r="W25" i="1" s="1"/>
  <c r="X26" i="1"/>
  <c r="W26" i="1" s="1"/>
  <c r="X2202" i="1"/>
  <c r="W2202" i="1" s="1"/>
  <c r="X945" i="1"/>
  <c r="W945" i="1" s="1"/>
  <c r="X2000" i="1"/>
  <c r="W2000" i="1" s="1"/>
  <c r="X1205" i="1"/>
  <c r="W1205" i="1" s="1"/>
  <c r="X1217" i="1"/>
  <c r="W1217" i="1" s="1"/>
  <c r="X1206" i="1"/>
  <c r="W1206" i="1" s="1"/>
  <c r="X1200" i="1"/>
  <c r="W1200" i="1" s="1"/>
  <c r="X1227" i="1"/>
  <c r="W1227" i="1" s="1"/>
  <c r="X1208" i="1"/>
  <c r="W1208" i="1" s="1"/>
  <c r="X1153" i="1"/>
  <c r="W1153" i="1" s="1"/>
  <c r="X2939" i="1"/>
  <c r="W2939" i="1" s="1"/>
  <c r="X2938" i="1"/>
  <c r="W2938" i="1" s="1"/>
  <c r="X1310" i="1"/>
  <c r="W1310" i="1" s="1"/>
  <c r="X1318" i="1"/>
  <c r="W1318" i="1" s="1"/>
  <c r="X2096" i="1"/>
  <c r="W2096" i="1" s="1"/>
  <c r="X2086" i="1"/>
  <c r="W2086" i="1" s="1"/>
  <c r="X2088" i="1"/>
  <c r="W2088" i="1" s="1"/>
  <c r="X2091" i="1"/>
  <c r="W2091" i="1" s="1"/>
  <c r="X216" i="1"/>
  <c r="W216" i="1" s="1"/>
  <c r="X345" i="1"/>
  <c r="W345" i="1" s="1"/>
  <c r="X346" i="1"/>
  <c r="W346" i="1" s="1"/>
  <c r="X1777" i="1"/>
  <c r="W1777" i="1" s="1"/>
  <c r="X2170" i="1"/>
  <c r="W2170" i="1" s="1"/>
  <c r="X1620" i="1"/>
  <c r="W1620" i="1" s="1"/>
  <c r="X2557" i="1"/>
  <c r="W2557" i="1" s="1"/>
  <c r="X1790" i="1"/>
  <c r="W1790" i="1" s="1"/>
  <c r="X1475" i="1"/>
  <c r="W1475" i="1" s="1"/>
  <c r="X1129" i="1"/>
  <c r="W1129" i="1" s="1"/>
  <c r="X1113" i="1"/>
  <c r="W1113" i="1" s="1"/>
  <c r="X1128" i="1"/>
  <c r="W1128" i="1" s="1"/>
  <c r="X1110" i="1"/>
  <c r="W1110" i="1" s="1"/>
  <c r="X1109" i="1"/>
  <c r="W1109" i="1" s="1"/>
  <c r="X1131" i="1"/>
  <c r="W1131" i="1" s="1"/>
  <c r="X1112" i="1"/>
  <c r="W1112" i="1" s="1"/>
  <c r="X1111" i="1"/>
  <c r="W1111" i="1" s="1"/>
  <c r="X1130" i="1"/>
  <c r="W1130" i="1" s="1"/>
  <c r="X1108" i="1"/>
  <c r="W1108" i="1" s="1"/>
  <c r="X2229" i="1"/>
  <c r="W2229" i="1" s="1"/>
  <c r="X1411" i="1"/>
  <c r="W1411" i="1" s="1"/>
  <c r="X1711" i="1"/>
  <c r="W1711" i="1" s="1"/>
  <c r="X467" i="1"/>
  <c r="W467" i="1" s="1"/>
  <c r="X478" i="1"/>
  <c r="W478" i="1" s="1"/>
  <c r="X3005" i="1"/>
  <c r="W3005" i="1" s="1"/>
  <c r="X475" i="1"/>
  <c r="W475" i="1" s="1"/>
  <c r="X1330" i="1"/>
  <c r="W1330" i="1" s="1"/>
  <c r="X2107" i="1"/>
  <c r="W2107" i="1" s="1"/>
  <c r="X2104" i="1"/>
  <c r="W2104" i="1" s="1"/>
  <c r="X2103" i="1"/>
  <c r="W2103" i="1" s="1"/>
  <c r="X2106" i="1"/>
  <c r="W2106" i="1" s="1"/>
  <c r="X559" i="1"/>
  <c r="W559" i="1" s="1"/>
  <c r="X1053" i="1"/>
  <c r="W1053" i="1" s="1"/>
  <c r="X1042" i="1"/>
  <c r="W1042" i="1" s="1"/>
  <c r="X1052" i="1"/>
  <c r="W1052" i="1" s="1"/>
  <c r="X1069" i="1"/>
  <c r="W1069" i="1" s="1"/>
  <c r="X1068" i="1"/>
  <c r="W1068" i="1" s="1"/>
  <c r="X487" i="1"/>
  <c r="W487" i="1" s="1"/>
  <c r="X378" i="1"/>
  <c r="W378" i="1" s="1"/>
  <c r="X377" i="1"/>
  <c r="W377" i="1" s="1"/>
  <c r="X376" i="1"/>
  <c r="W376" i="1" s="1"/>
  <c r="X374" i="1"/>
  <c r="W374" i="1" s="1"/>
  <c r="X542" i="1"/>
  <c r="W542" i="1" s="1"/>
  <c r="X541" i="1"/>
  <c r="W541" i="1" s="1"/>
  <c r="X2683" i="1"/>
  <c r="W2683" i="1" s="1"/>
  <c r="X521" i="1"/>
  <c r="W521" i="1" s="1"/>
  <c r="X23" i="1"/>
  <c r="W23" i="1" s="1"/>
  <c r="X1910" i="1"/>
  <c r="W1910" i="1" s="1"/>
  <c r="X1478" i="1"/>
  <c r="W1478" i="1" s="1"/>
  <c r="X642" i="1"/>
  <c r="W642" i="1" s="1"/>
  <c r="X1538" i="1"/>
  <c r="W1538" i="1" s="1"/>
  <c r="X2455" i="1"/>
  <c r="W2455" i="1" s="1"/>
  <c r="X2880" i="1"/>
  <c r="W2880" i="1" s="1"/>
  <c r="X1494" i="1"/>
  <c r="W1494" i="1" s="1"/>
  <c r="X1491" i="1"/>
  <c r="W1491" i="1" s="1"/>
  <c r="X123" i="1"/>
  <c r="W123" i="1" s="1"/>
  <c r="X2989" i="1"/>
  <c r="W2989" i="1" s="1"/>
  <c r="X2991" i="1"/>
  <c r="W2991" i="1" s="1"/>
  <c r="X2990" i="1"/>
  <c r="W2990" i="1" s="1"/>
  <c r="X1923" i="1"/>
  <c r="W1923" i="1" s="1"/>
  <c r="X550" i="1"/>
  <c r="W550" i="1" s="1"/>
  <c r="X548" i="1"/>
  <c r="W548" i="1" s="1"/>
  <c r="X549" i="1"/>
  <c r="W549" i="1" s="1"/>
  <c r="X2269" i="1"/>
  <c r="W2269" i="1" s="1"/>
  <c r="X1883" i="1"/>
  <c r="W1883" i="1" s="1"/>
  <c r="X1882" i="1"/>
  <c r="W1882" i="1" s="1"/>
  <c r="X1091" i="1"/>
  <c r="W1091" i="1" s="1"/>
  <c r="X1086" i="1"/>
  <c r="W1086" i="1" s="1"/>
  <c r="X784" i="1"/>
  <c r="W784" i="1" s="1"/>
  <c r="X1089" i="1"/>
  <c r="W1089" i="1" s="1"/>
  <c r="X1090" i="1"/>
  <c r="W1090" i="1" s="1"/>
  <c r="X2083" i="1"/>
  <c r="W2083" i="1" s="1"/>
  <c r="X2081" i="1"/>
  <c r="W2081" i="1" s="1"/>
  <c r="X2101" i="1"/>
  <c r="W2101" i="1" s="1"/>
  <c r="X2094" i="1"/>
  <c r="W2094" i="1" s="1"/>
  <c r="X2084" i="1"/>
  <c r="W2084" i="1" s="1"/>
  <c r="X2082" i="1"/>
  <c r="W2082" i="1" s="1"/>
  <c r="X2100" i="1"/>
  <c r="W2100" i="1" s="1"/>
  <c r="X2098" i="1"/>
  <c r="W2098" i="1" s="1"/>
  <c r="X2112" i="1"/>
  <c r="W2112" i="1" s="1"/>
  <c r="X2121" i="1"/>
  <c r="W2121" i="1" s="1"/>
  <c r="X2108" i="1"/>
  <c r="W2108" i="1" s="1"/>
  <c r="X2117" i="1"/>
  <c r="W2117" i="1" s="1"/>
  <c r="X2120" i="1"/>
  <c r="W2120" i="1" s="1"/>
  <c r="X2119" i="1"/>
  <c r="W2119" i="1" s="1"/>
  <c r="X2118" i="1"/>
  <c r="W2118" i="1" s="1"/>
  <c r="X2116" i="1"/>
  <c r="W2116" i="1" s="1"/>
  <c r="X2115" i="1"/>
  <c r="W2115" i="1" s="1"/>
  <c r="X2111" i="1"/>
  <c r="W2111" i="1" s="1"/>
  <c r="X779" i="1"/>
  <c r="W779" i="1" s="1"/>
  <c r="X777" i="1"/>
  <c r="W777" i="1" s="1"/>
  <c r="X2879" i="1"/>
  <c r="W2879" i="1" s="1"/>
  <c r="X2633" i="1"/>
  <c r="W2633" i="1" s="1"/>
  <c r="X2634" i="1"/>
  <c r="W2634" i="1" s="1"/>
  <c r="X1083" i="1"/>
  <c r="W1083" i="1" s="1"/>
  <c r="X1631" i="1"/>
  <c r="W1631" i="1" s="1"/>
  <c r="X2077" i="1"/>
  <c r="W2077" i="1" s="1"/>
  <c r="X2399" i="1"/>
  <c r="W2399" i="1" s="1"/>
  <c r="X2400" i="1"/>
  <c r="W2400" i="1" s="1"/>
  <c r="X2628" i="1"/>
  <c r="W2628" i="1" s="1"/>
  <c r="X2078" i="1"/>
  <c r="W2078" i="1" s="1"/>
  <c r="X1084" i="1"/>
  <c r="W1084" i="1" s="1"/>
  <c r="X1749" i="1"/>
  <c r="W1749" i="1" s="1"/>
  <c r="X241" i="1"/>
  <c r="W241" i="1" s="1"/>
  <c r="X217" i="1"/>
  <c r="W217" i="1" s="1"/>
  <c r="X1360" i="1"/>
  <c r="W1360" i="1" s="1"/>
  <c r="X1363" i="1"/>
  <c r="W1363" i="1" s="1"/>
  <c r="X999" i="1"/>
  <c r="W999" i="1" s="1"/>
  <c r="X1059" i="1"/>
  <c r="W1059" i="1" s="1"/>
  <c r="X1054" i="1"/>
  <c r="W1054" i="1" s="1"/>
  <c r="X2328" i="1"/>
  <c r="W2328" i="1" s="1"/>
  <c r="X347" i="1"/>
  <c r="W347" i="1" s="1"/>
  <c r="X2671" i="1"/>
  <c r="W2671" i="1" s="1"/>
  <c r="X172" i="1"/>
  <c r="W172" i="1" s="1"/>
  <c r="X174" i="1"/>
  <c r="W174" i="1" s="1"/>
  <c r="X331" i="1"/>
  <c r="W331" i="1" s="1"/>
  <c r="X1071" i="1"/>
  <c r="W1071" i="1" s="1"/>
  <c r="X1074" i="1"/>
  <c r="W1074" i="1" s="1"/>
  <c r="X1523" i="1"/>
  <c r="W1523" i="1" s="1"/>
  <c r="X1388" i="1"/>
  <c r="W1388" i="1" s="1"/>
  <c r="X1380" i="1"/>
  <c r="W1380" i="1" s="1"/>
  <c r="X2624" i="1"/>
  <c r="W2624" i="1" s="1"/>
  <c r="X2360" i="1"/>
  <c r="W2360" i="1" s="1"/>
  <c r="X2361" i="1"/>
  <c r="W2361" i="1" s="1"/>
  <c r="X2443" i="1"/>
  <c r="W2443" i="1" s="1"/>
  <c r="X2447" i="1"/>
  <c r="W2447" i="1" s="1"/>
  <c r="X1065" i="1"/>
  <c r="W1065" i="1" s="1"/>
  <c r="X1502" i="1"/>
  <c r="W1502" i="1" s="1"/>
  <c r="X1088" i="1"/>
  <c r="W1088" i="1" s="1"/>
  <c r="X983" i="1"/>
  <c r="W983" i="1" s="1"/>
  <c r="X1003" i="1"/>
  <c r="W1003" i="1" s="1"/>
  <c r="X267" i="1"/>
  <c r="W267" i="1" s="1"/>
  <c r="X266" i="1"/>
  <c r="W266" i="1" s="1"/>
  <c r="X3074" i="1"/>
  <c r="W3074" i="1" s="1"/>
  <c r="X2894" i="1"/>
  <c r="W2894" i="1" s="1"/>
  <c r="X2904" i="1"/>
  <c r="W2904" i="1" s="1"/>
  <c r="X773" i="1"/>
  <c r="W773" i="1" s="1"/>
  <c r="X771" i="1"/>
  <c r="W771" i="1" s="1"/>
  <c r="X770" i="1"/>
  <c r="W770" i="1" s="1"/>
  <c r="X2695" i="1"/>
  <c r="W2695" i="1" s="1"/>
  <c r="X3004" i="1"/>
  <c r="W3004" i="1" s="1"/>
  <c r="X442" i="1"/>
  <c r="W442" i="1" s="1"/>
  <c r="X2441" i="1"/>
  <c r="W2441" i="1" s="1"/>
  <c r="X2997" i="1"/>
  <c r="W2997" i="1" s="1"/>
  <c r="X3001" i="1"/>
  <c r="W3001" i="1" s="1"/>
  <c r="X3000" i="1"/>
  <c r="W3000" i="1" s="1"/>
  <c r="X1753" i="1"/>
  <c r="W1753" i="1" s="1"/>
  <c r="X1752" i="1"/>
  <c r="W1752" i="1" s="1"/>
  <c r="X1757" i="1"/>
  <c r="W1757" i="1" s="1"/>
  <c r="X1959" i="1"/>
  <c r="W1959" i="1" s="1"/>
  <c r="X1958" i="1"/>
  <c r="W1958" i="1" s="1"/>
  <c r="X317" i="1"/>
  <c r="W317" i="1" s="1"/>
  <c r="X1932" i="1"/>
  <c r="W1932" i="1" s="1"/>
  <c r="X1930" i="1"/>
  <c r="W1930" i="1" s="1"/>
  <c r="X1525" i="1"/>
  <c r="W1525" i="1" s="1"/>
  <c r="X2465" i="1"/>
  <c r="W2465" i="1" s="1"/>
  <c r="X284" i="1"/>
  <c r="W284" i="1" s="1"/>
  <c r="X2079" i="1"/>
  <c r="W2079" i="1" s="1"/>
  <c r="X775" i="1"/>
  <c r="W775" i="1" s="1"/>
  <c r="X2943" i="1"/>
  <c r="W2943" i="1" s="1"/>
  <c r="X1548" i="1"/>
  <c r="W1548" i="1" s="1"/>
  <c r="X1553" i="1"/>
  <c r="W1553" i="1" s="1"/>
  <c r="X1552" i="1"/>
  <c r="W1552" i="1" s="1"/>
  <c r="X3075" i="1"/>
  <c r="W3075" i="1" s="1"/>
  <c r="X1024" i="1"/>
  <c r="W1024" i="1" s="1"/>
  <c r="X795" i="1"/>
  <c r="W795" i="1" s="1"/>
  <c r="X1685" i="1"/>
  <c r="W1685" i="1" s="1"/>
  <c r="X1714" i="1"/>
  <c r="W1714" i="1" s="1"/>
  <c r="X1716" i="1"/>
  <c r="W1716" i="1" s="1"/>
  <c r="X2740" i="1"/>
  <c r="W2740" i="1" s="1"/>
  <c r="X1534" i="1"/>
  <c r="W1534" i="1" s="1"/>
  <c r="X933" i="1"/>
  <c r="W933" i="1" s="1"/>
  <c r="X1487" i="1"/>
  <c r="W1487" i="1" s="1"/>
  <c r="X2632" i="1"/>
  <c r="W2632" i="1" s="1"/>
  <c r="X2751" i="1"/>
  <c r="W2751" i="1" s="1"/>
  <c r="X2686" i="1"/>
  <c r="W2686" i="1" s="1"/>
  <c r="X2614" i="1"/>
  <c r="W2614" i="1" s="1"/>
  <c r="X785" i="1"/>
  <c r="W785" i="1" s="1"/>
  <c r="X789" i="1"/>
  <c r="W789" i="1" s="1"/>
  <c r="X774" i="1"/>
  <c r="W774" i="1" s="1"/>
  <c r="X772" i="1"/>
  <c r="W772" i="1" s="1"/>
  <c r="X959" i="1"/>
  <c r="W959" i="1" s="1"/>
  <c r="X135" i="1"/>
  <c r="W135" i="1" s="1"/>
  <c r="X131" i="1"/>
  <c r="W131" i="1" s="1"/>
  <c r="X129" i="1"/>
  <c r="W129" i="1" s="1"/>
  <c r="X126" i="1"/>
  <c r="W126" i="1" s="1"/>
  <c r="X2154" i="1"/>
  <c r="W2154" i="1" s="1"/>
  <c r="X980" i="1"/>
  <c r="W980" i="1" s="1"/>
  <c r="X979" i="1"/>
  <c r="W979" i="1" s="1"/>
  <c r="X1596" i="1"/>
  <c r="W1596" i="1" s="1"/>
  <c r="X1595" i="1"/>
  <c r="W1595" i="1" s="1"/>
  <c r="X2369" i="1"/>
  <c r="W2369" i="1" s="1"/>
  <c r="X2981" i="1"/>
  <c r="W2981" i="1" s="1"/>
  <c r="X2977" i="1"/>
  <c r="W2977" i="1" s="1"/>
  <c r="X1079" i="1"/>
  <c r="W1079" i="1" s="1"/>
  <c r="X2025" i="1"/>
  <c r="W2025" i="1" s="1"/>
  <c r="X546" i="1"/>
  <c r="W546" i="1" s="1"/>
  <c r="X880" i="1"/>
  <c r="W880" i="1" s="1"/>
  <c r="X881" i="1"/>
  <c r="W881" i="1" s="1"/>
  <c r="X892" i="1"/>
  <c r="W892" i="1" s="1"/>
  <c r="X887" i="1"/>
  <c r="W887" i="1" s="1"/>
  <c r="X897" i="1"/>
  <c r="W897" i="1" s="1"/>
  <c r="X896" i="1"/>
  <c r="W896" i="1" s="1"/>
  <c r="X895" i="1"/>
  <c r="W895" i="1" s="1"/>
  <c r="X894" i="1"/>
  <c r="W894" i="1" s="1"/>
  <c r="X893" i="1"/>
  <c r="W893" i="1" s="1"/>
  <c r="X891" i="1"/>
  <c r="W891" i="1" s="1"/>
  <c r="X890" i="1"/>
  <c r="W890" i="1" s="1"/>
  <c r="X889" i="1"/>
  <c r="W889" i="1" s="1"/>
  <c r="X888" i="1"/>
  <c r="W888" i="1" s="1"/>
  <c r="X884" i="1"/>
  <c r="W884" i="1" s="1"/>
  <c r="X883" i="1"/>
  <c r="W883" i="1" s="1"/>
  <c r="X882" i="1"/>
  <c r="W882" i="1" s="1"/>
  <c r="X1180" i="1"/>
  <c r="W1180" i="1" s="1"/>
  <c r="X1193" i="1"/>
  <c r="W1193" i="1" s="1"/>
  <c r="X1190" i="1"/>
  <c r="W1190" i="1" s="1"/>
  <c r="X1188" i="1"/>
  <c r="W1188" i="1" s="1"/>
  <c r="X1183" i="1"/>
  <c r="W1183" i="1" s="1"/>
  <c r="X1184" i="1"/>
  <c r="W1184" i="1" s="1"/>
  <c r="X1178" i="1"/>
  <c r="W1178" i="1" s="1"/>
  <c r="X1189" i="1"/>
  <c r="W1189" i="1" s="1"/>
  <c r="X1187" i="1"/>
  <c r="W1187" i="1" s="1"/>
  <c r="X1177" i="1"/>
  <c r="W1177" i="1" s="1"/>
  <c r="X1195" i="1"/>
  <c r="W1195" i="1" s="1"/>
  <c r="X1192" i="1"/>
  <c r="W1192" i="1" s="1"/>
  <c r="X1186" i="1"/>
  <c r="W1186" i="1" s="1"/>
  <c r="X1182" i="1"/>
  <c r="W1182" i="1" s="1"/>
  <c r="X1179" i="1"/>
  <c r="W1179" i="1" s="1"/>
  <c r="X1194" i="1"/>
  <c r="W1194" i="1" s="1"/>
  <c r="X1191" i="1"/>
  <c r="W1191" i="1" s="1"/>
  <c r="X1185" i="1"/>
  <c r="W1185" i="1" s="1"/>
  <c r="X1181" i="1"/>
  <c r="W1181" i="1" s="1"/>
  <c r="X797" i="1"/>
  <c r="W797" i="1" s="1"/>
  <c r="X793" i="1"/>
  <c r="W793" i="1" s="1"/>
  <c r="X3102" i="1"/>
  <c r="W3102" i="1" s="1"/>
  <c r="X3101" i="1"/>
  <c r="W3101" i="1" s="1"/>
  <c r="X3098" i="1"/>
  <c r="W3098" i="1" s="1"/>
  <c r="X3097" i="1"/>
  <c r="W3097" i="1" s="1"/>
  <c r="X1127" i="1"/>
  <c r="W1127" i="1" s="1"/>
  <c r="X1126" i="1"/>
  <c r="W1126" i="1" s="1"/>
  <c r="X1125" i="1"/>
  <c r="W1125" i="1" s="1"/>
  <c r="X1050" i="1"/>
  <c r="W1050" i="1" s="1"/>
  <c r="X1066" i="1"/>
  <c r="W1066" i="1" s="1"/>
  <c r="X348" i="1"/>
  <c r="W348" i="1" s="1"/>
  <c r="X2473" i="1"/>
  <c r="W2473" i="1" s="1"/>
  <c r="X2440" i="1"/>
  <c r="W2440" i="1" s="1"/>
  <c r="X2307" i="1"/>
  <c r="W2307" i="1" s="1"/>
  <c r="X503" i="1"/>
  <c r="W503" i="1" s="1"/>
  <c r="X1070" i="1"/>
  <c r="W1070" i="1" s="1"/>
  <c r="X1067" i="1"/>
  <c r="W1067" i="1" s="1"/>
  <c r="X1064" i="1"/>
  <c r="W1064" i="1" s="1"/>
  <c r="X1047" i="1"/>
  <c r="W1047" i="1" s="1"/>
  <c r="X1041" i="1"/>
  <c r="W1041" i="1" s="1"/>
  <c r="X1894" i="1"/>
  <c r="W1894" i="1" s="1"/>
  <c r="X1897" i="1"/>
  <c r="W1897" i="1" s="1"/>
  <c r="X1896" i="1"/>
  <c r="W1896" i="1" s="1"/>
  <c r="X810" i="1"/>
  <c r="W810" i="1" s="1"/>
  <c r="X342" i="1"/>
  <c r="W342" i="1" s="1"/>
  <c r="X343" i="1"/>
  <c r="W343" i="1" s="1"/>
  <c r="X352" i="1"/>
  <c r="W352" i="1" s="1"/>
  <c r="X1082" i="1"/>
  <c r="W1082" i="1" s="1"/>
  <c r="X1541" i="1"/>
  <c r="W1541" i="1" s="1"/>
  <c r="X844" i="1"/>
  <c r="W844" i="1" s="1"/>
  <c r="X3134" i="1"/>
  <c r="W3134" i="1" s="1"/>
  <c r="X2955" i="1"/>
  <c r="W2955" i="1" s="1"/>
  <c r="X394" i="1"/>
  <c r="W394" i="1" s="1"/>
  <c r="X1382" i="1"/>
  <c r="W1382" i="1" s="1"/>
  <c r="X1373" i="1"/>
  <c r="W1373" i="1" s="1"/>
  <c r="X843" i="1"/>
  <c r="W843" i="1" s="1"/>
  <c r="X1372" i="1"/>
  <c r="W1372" i="1" s="1"/>
  <c r="X1369" i="1"/>
  <c r="W1369" i="1" s="1"/>
  <c r="X1364" i="1"/>
  <c r="W1364" i="1" s="1"/>
  <c r="X3122" i="1"/>
  <c r="W3122" i="1" s="1"/>
  <c r="X44" i="1"/>
  <c r="W44" i="1" s="1"/>
  <c r="X43" i="1"/>
  <c r="W43" i="1" s="1"/>
  <c r="X1461" i="1"/>
  <c r="W1461" i="1" s="1"/>
  <c r="X1453" i="1"/>
  <c r="W1453" i="1" s="1"/>
  <c r="X1458" i="1"/>
  <c r="W1458" i="1" s="1"/>
  <c r="X1831" i="1"/>
  <c r="W1831" i="1" s="1"/>
  <c r="X2681" i="1"/>
  <c r="W2681" i="1" s="1"/>
  <c r="X2684" i="1"/>
  <c r="W2684" i="1" s="1"/>
  <c r="X886" i="1"/>
  <c r="W886" i="1" s="1"/>
  <c r="X885" i="1"/>
  <c r="W885" i="1" s="1"/>
  <c r="X1986" i="1"/>
  <c r="W1986" i="1" s="1"/>
  <c r="X1985" i="1"/>
  <c r="W1985" i="1" s="1"/>
  <c r="X1824" i="1"/>
  <c r="W1824" i="1" s="1"/>
  <c r="X84" i="1"/>
  <c r="W84" i="1" s="1"/>
  <c r="X2166" i="1"/>
  <c r="W2166" i="1" s="1"/>
  <c r="X2159" i="1"/>
  <c r="W2159" i="1" s="1"/>
  <c r="X2619" i="1"/>
  <c r="W2619" i="1" s="1"/>
  <c r="X452" i="1"/>
  <c r="W452" i="1" s="1"/>
  <c r="X2367" i="1"/>
  <c r="W2367" i="1" s="1"/>
  <c r="X1495" i="1"/>
  <c r="W1495" i="1" s="1"/>
  <c r="X1489" i="1"/>
  <c r="W1489" i="1" s="1"/>
  <c r="X424" i="1"/>
  <c r="W424" i="1" s="1"/>
  <c r="X423" i="1"/>
  <c r="W423" i="1" s="1"/>
  <c r="X461" i="1"/>
  <c r="W461" i="1" s="1"/>
  <c r="X764" i="1"/>
  <c r="W764" i="1" s="1"/>
  <c r="X2406" i="1"/>
  <c r="W2406" i="1" s="1"/>
  <c r="X355" i="1"/>
  <c r="W355" i="1" s="1"/>
  <c r="X351" i="1"/>
  <c r="W351" i="1" s="1"/>
  <c r="X440" i="1"/>
  <c r="W440" i="1" s="1"/>
  <c r="X3099" i="1"/>
  <c r="W3099" i="1" s="1"/>
  <c r="X3100" i="1"/>
  <c r="W3100" i="1" s="1"/>
  <c r="X2699" i="1"/>
  <c r="W2699" i="1" s="1"/>
  <c r="X1412" i="1"/>
  <c r="W1412" i="1" s="1"/>
  <c r="X1950" i="1"/>
  <c r="W1950" i="1" s="1"/>
  <c r="X1949" i="1"/>
  <c r="W1949" i="1" s="1"/>
  <c r="X386" i="1"/>
  <c r="W386" i="1" s="1"/>
  <c r="X990" i="1"/>
  <c r="W990" i="1" s="1"/>
  <c r="X1008" i="1"/>
  <c r="W1008" i="1" s="1"/>
  <c r="X1007" i="1"/>
  <c r="W1007" i="1" s="1"/>
  <c r="X1006" i="1"/>
  <c r="W1006" i="1" s="1"/>
  <c r="X3139" i="1"/>
  <c r="W3139" i="1" s="1"/>
  <c r="X3138" i="1"/>
  <c r="W3138" i="1" s="1"/>
  <c r="X3141" i="1"/>
  <c r="W3141" i="1" s="1"/>
  <c r="X3140" i="1"/>
  <c r="W3140" i="1" s="1"/>
  <c r="X3143" i="1"/>
  <c r="W3143" i="1" s="1"/>
  <c r="X2901" i="1"/>
  <c r="W2901" i="1" s="1"/>
  <c r="X1933" i="1"/>
  <c r="W1933" i="1" s="1"/>
  <c r="X1588" i="1"/>
  <c r="W1588" i="1" s="1"/>
  <c r="X1155" i="1"/>
  <c r="W1155" i="1" s="1"/>
  <c r="X1156" i="1"/>
  <c r="W1156" i="1" s="1"/>
  <c r="X1402" i="1"/>
  <c r="W1402" i="1" s="1"/>
  <c r="X1891" i="1"/>
  <c r="W1891" i="1" s="1"/>
  <c r="X834" i="1"/>
  <c r="W834" i="1" s="1"/>
  <c r="X2134" i="1"/>
  <c r="W2134" i="1" s="1"/>
  <c r="X2135" i="1"/>
  <c r="W2135" i="1" s="1"/>
  <c r="X1103" i="1"/>
  <c r="W1103" i="1" s="1"/>
  <c r="X1105" i="1"/>
  <c r="W1105" i="1" s="1"/>
  <c r="X1102" i="1"/>
  <c r="W1102" i="1" s="1"/>
  <c r="X1107" i="1"/>
  <c r="W1107" i="1" s="1"/>
  <c r="X1104" i="1"/>
  <c r="W1104" i="1" s="1"/>
  <c r="X1106" i="1"/>
  <c r="W1106" i="1" s="1"/>
  <c r="X304" i="1"/>
  <c r="W304" i="1" s="1"/>
  <c r="X298" i="1"/>
  <c r="W298" i="1" s="1"/>
  <c r="X710" i="1"/>
  <c r="W710" i="1" s="1"/>
  <c r="X790" i="1"/>
  <c r="W790" i="1" s="1"/>
  <c r="X851" i="1"/>
  <c r="W851" i="1" s="1"/>
  <c r="X852" i="1"/>
  <c r="W852" i="1" s="1"/>
  <c r="X1898" i="1"/>
  <c r="W1898" i="1" s="1"/>
  <c r="X1904" i="1"/>
  <c r="W1904" i="1" s="1"/>
  <c r="X1903" i="1"/>
  <c r="W1903" i="1" s="1"/>
  <c r="X1901" i="1"/>
  <c r="W1901" i="1" s="1"/>
  <c r="X1739" i="1"/>
  <c r="W1739" i="1" s="1"/>
  <c r="X1735" i="1"/>
  <c r="W1735" i="1" s="1"/>
  <c r="X1741" i="1"/>
  <c r="W1741" i="1" s="1"/>
  <c r="X1521" i="1"/>
  <c r="W1521" i="1" s="1"/>
  <c r="X712" i="1"/>
  <c r="W712" i="1" s="1"/>
  <c r="X1240" i="1"/>
  <c r="W1240" i="1" s="1"/>
  <c r="X1264" i="1"/>
  <c r="W1264" i="1" s="1"/>
  <c r="X708" i="1"/>
  <c r="W708" i="1" s="1"/>
  <c r="X2024" i="1"/>
  <c r="W2024" i="1" s="1"/>
  <c r="X2023" i="1"/>
  <c r="W2023" i="1" s="1"/>
  <c r="X1419" i="1"/>
  <c r="W1419" i="1" s="1"/>
  <c r="X303" i="1"/>
  <c r="W303" i="1" s="1"/>
  <c r="X848" i="1"/>
  <c r="W848" i="1" s="1"/>
  <c r="X847" i="1"/>
  <c r="W847" i="1" s="1"/>
  <c r="X846" i="1"/>
  <c r="W846" i="1" s="1"/>
  <c r="X845" i="1"/>
  <c r="W845" i="1" s="1"/>
  <c r="X1619" i="1"/>
  <c r="W1619" i="1" s="1"/>
  <c r="X2140" i="1"/>
  <c r="W2140" i="1" s="1"/>
  <c r="X2144" i="1"/>
  <c r="W2144" i="1" s="1"/>
  <c r="X2149" i="1"/>
  <c r="W2149" i="1" s="1"/>
  <c r="X2143" i="1"/>
  <c r="W2143" i="1" s="1"/>
  <c r="X864" i="1"/>
  <c r="W864" i="1" s="1"/>
  <c r="X289" i="1"/>
  <c r="W289" i="1" s="1"/>
  <c r="X288" i="1"/>
  <c r="W288" i="1" s="1"/>
  <c r="X287" i="1"/>
  <c r="W287" i="1" s="1"/>
  <c r="X291" i="1"/>
  <c r="W291" i="1" s="1"/>
  <c r="X290" i="1"/>
  <c r="W290" i="1" s="1"/>
  <c r="X286" i="1"/>
  <c r="W286" i="1" s="1"/>
  <c r="X2148" i="1"/>
  <c r="W2148" i="1" s="1"/>
  <c r="X2142" i="1"/>
  <c r="W2142" i="1" s="1"/>
  <c r="X2146" i="1"/>
  <c r="W2146" i="1" s="1"/>
  <c r="X2147" i="1"/>
  <c r="W2147" i="1" s="1"/>
  <c r="X2145" i="1"/>
  <c r="W2145" i="1" s="1"/>
  <c r="X2141" i="1"/>
  <c r="W2141" i="1" s="1"/>
  <c r="X1590" i="1"/>
  <c r="W1590" i="1" s="1"/>
  <c r="X1907" i="1"/>
  <c r="W1907" i="1" s="1"/>
  <c r="X1906" i="1"/>
  <c r="W1906" i="1" s="1"/>
  <c r="X537" i="1"/>
  <c r="W537" i="1" s="1"/>
  <c r="X3037" i="1"/>
  <c r="W3037" i="1" s="1"/>
  <c r="X3036" i="1"/>
  <c r="W3036" i="1" s="1"/>
  <c r="X3038" i="1"/>
  <c r="W3038" i="1" s="1"/>
  <c r="X1220" i="1"/>
  <c r="W1220" i="1" s="1"/>
  <c r="X971" i="1"/>
  <c r="W971" i="1" s="1"/>
  <c r="X457" i="1"/>
  <c r="W457" i="1" s="1"/>
  <c r="X310" i="1"/>
  <c r="W310" i="1" s="1"/>
  <c r="X1483" i="1"/>
  <c r="W1483" i="1" s="1"/>
  <c r="X2993" i="1"/>
  <c r="W2993" i="1" s="1"/>
  <c r="X3115" i="1"/>
  <c r="W3115" i="1" s="1"/>
  <c r="X260" i="1"/>
  <c r="W260" i="1" s="1"/>
  <c r="X259" i="1"/>
  <c r="W259" i="1" s="1"/>
  <c r="X258" i="1"/>
  <c r="W258" i="1" s="1"/>
  <c r="X257" i="1"/>
  <c r="W257" i="1" s="1"/>
  <c r="X3020" i="1"/>
  <c r="W3020" i="1" s="1"/>
  <c r="X3016" i="1"/>
  <c r="W3016" i="1" s="1"/>
  <c r="X3026" i="1"/>
  <c r="W3026" i="1" s="1"/>
  <c r="X3019" i="1"/>
  <c r="W3019" i="1" s="1"/>
  <c r="X3014" i="1"/>
  <c r="W3014" i="1" s="1"/>
  <c r="X3024" i="1"/>
  <c r="W3024" i="1" s="1"/>
  <c r="X3025" i="1"/>
  <c r="W3025" i="1" s="1"/>
  <c r="X3018" i="1"/>
  <c r="W3018" i="1" s="1"/>
  <c r="X3013" i="1"/>
  <c r="W3013" i="1" s="1"/>
  <c r="X223" i="1"/>
  <c r="W223" i="1" s="1"/>
  <c r="X222" i="1"/>
  <c r="W222" i="1" s="1"/>
  <c r="X1289" i="1"/>
  <c r="W1289" i="1" s="1"/>
  <c r="X1288" i="1"/>
  <c r="W1288" i="1" s="1"/>
  <c r="X2703" i="1"/>
  <c r="W2703" i="1" s="1"/>
  <c r="X299" i="1"/>
  <c r="W299" i="1" s="1"/>
  <c r="X2105" i="1"/>
  <c r="W2105" i="1" s="1"/>
  <c r="X1359" i="1"/>
  <c r="W1359" i="1" s="1"/>
  <c r="X1367" i="1"/>
  <c r="W1367" i="1" s="1"/>
  <c r="X1203" i="1"/>
  <c r="W1203" i="1" s="1"/>
  <c r="X1226" i="1"/>
  <c r="W1226" i="1" s="1"/>
  <c r="X2109" i="1"/>
  <c r="W2109" i="1" s="1"/>
  <c r="X2110" i="1"/>
  <c r="W2110" i="1" s="1"/>
  <c r="X2114" i="1"/>
  <c r="W2114" i="1" s="1"/>
  <c r="X2113" i="1"/>
  <c r="W2113" i="1" s="1"/>
  <c r="X969" i="1"/>
  <c r="W969" i="1" s="1"/>
  <c r="X1536" i="1"/>
  <c r="W1536" i="1" s="1"/>
  <c r="X2690" i="1"/>
  <c r="W2690" i="1" s="1"/>
  <c r="X2689" i="1"/>
  <c r="W2689" i="1" s="1"/>
  <c r="X2688" i="1"/>
  <c r="W2688" i="1" s="1"/>
  <c r="X2687" i="1"/>
  <c r="W2687" i="1" s="1"/>
  <c r="X2293" i="1"/>
  <c r="W2293" i="1" s="1"/>
  <c r="X1427" i="1"/>
  <c r="W1427" i="1" s="1"/>
  <c r="X2442" i="1"/>
  <c r="W2442" i="1" s="1"/>
  <c r="X2437" i="1"/>
  <c r="W2437" i="1" s="1"/>
  <c r="X2446" i="1"/>
  <c r="W2446" i="1" s="1"/>
  <c r="X968" i="1"/>
  <c r="W968" i="1" s="1"/>
  <c r="X970" i="1"/>
  <c r="W970" i="1" s="1"/>
  <c r="X2679" i="1"/>
  <c r="W2679" i="1" s="1"/>
  <c r="X2685" i="1"/>
  <c r="W2685" i="1" s="1"/>
  <c r="X2680" i="1"/>
  <c r="W2680" i="1" s="1"/>
  <c r="X2974" i="1"/>
  <c r="W2974" i="1" s="1"/>
  <c r="X2973" i="1"/>
  <c r="W2973" i="1" s="1"/>
  <c r="X2972" i="1"/>
  <c r="W2972" i="1" s="1"/>
  <c r="X2969" i="1"/>
  <c r="W2969" i="1" s="1"/>
  <c r="X2960" i="1"/>
  <c r="W2960" i="1" s="1"/>
  <c r="X2987" i="1"/>
  <c r="W2987" i="1" s="1"/>
  <c r="X2986" i="1"/>
  <c r="W2986" i="1" s="1"/>
  <c r="X2985" i="1"/>
  <c r="W2985" i="1" s="1"/>
  <c r="X2984" i="1"/>
  <c r="W2984" i="1" s="1"/>
  <c r="X2982" i="1"/>
  <c r="W2982" i="1" s="1"/>
  <c r="X2979" i="1"/>
  <c r="W2979" i="1" s="1"/>
  <c r="X2978" i="1"/>
  <c r="W2978" i="1" s="1"/>
  <c r="X1221" i="1"/>
  <c r="W1221" i="1" s="1"/>
  <c r="X835" i="1"/>
  <c r="W835" i="1" s="1"/>
  <c r="X2692" i="1"/>
  <c r="W2692" i="1" s="1"/>
  <c r="X781" i="1"/>
  <c r="W781" i="1" s="1"/>
  <c r="X782" i="1"/>
  <c r="W782" i="1" s="1"/>
  <c r="X1951" i="1"/>
  <c r="W1951" i="1" s="1"/>
  <c r="X523" i="1"/>
  <c r="W523" i="1" s="1"/>
  <c r="X528" i="1"/>
  <c r="W528" i="1" s="1"/>
  <c r="X524" i="1"/>
  <c r="W524" i="1" s="1"/>
  <c r="X531" i="1"/>
  <c r="W531" i="1" s="1"/>
  <c r="X525" i="1"/>
  <c r="W525" i="1" s="1"/>
  <c r="X1334" i="1"/>
  <c r="W1334" i="1" s="1"/>
  <c r="X1344" i="1"/>
  <c r="W1344" i="1" s="1"/>
  <c r="X1345" i="1"/>
  <c r="W1345" i="1" s="1"/>
  <c r="X1329" i="1"/>
  <c r="W1329" i="1" s="1"/>
  <c r="X1908" i="1"/>
  <c r="W1908" i="1" s="1"/>
  <c r="X553" i="1"/>
  <c r="W553" i="1" s="1"/>
  <c r="X552" i="1"/>
  <c r="W552" i="1" s="1"/>
  <c r="X1039" i="1"/>
  <c r="W1039" i="1" s="1"/>
  <c r="X1036" i="1"/>
  <c r="W1036" i="1" s="1"/>
  <c r="X1030" i="1"/>
  <c r="W1030" i="1" s="1"/>
  <c r="X1033" i="1"/>
  <c r="W1033" i="1" s="1"/>
  <c r="X1468" i="1"/>
  <c r="W1468" i="1" s="1"/>
  <c r="X1465" i="1"/>
  <c r="W1465" i="1" s="1"/>
  <c r="X1464" i="1"/>
  <c r="W1464" i="1" s="1"/>
  <c r="X1326" i="1"/>
  <c r="W1326" i="1" s="1"/>
  <c r="X1323" i="1"/>
  <c r="W1323" i="1" s="1"/>
  <c r="X1197" i="1"/>
  <c r="W1197" i="1" s="1"/>
  <c r="X1198" i="1"/>
  <c r="W1198" i="1" s="1"/>
  <c r="X2043" i="1"/>
  <c r="W2043" i="1" s="1"/>
  <c r="X3124" i="1"/>
  <c r="W3124" i="1" s="1"/>
  <c r="X3123" i="1"/>
  <c r="W3123" i="1" s="1"/>
  <c r="X1606" i="1"/>
  <c r="W1606" i="1" s="1"/>
  <c r="X1611" i="1"/>
  <c r="W1611" i="1" s="1"/>
  <c r="X2099" i="1"/>
  <c r="W2099" i="1" s="1"/>
  <c r="X2089" i="1"/>
  <c r="W2089" i="1" s="1"/>
  <c r="X2085" i="1"/>
  <c r="W2085" i="1" s="1"/>
  <c r="X1583" i="1"/>
  <c r="W1583" i="1" s="1"/>
  <c r="X2734" i="1"/>
  <c r="W2734" i="1" s="1"/>
  <c r="X2080" i="1"/>
  <c r="W2080" i="1" s="1"/>
  <c r="X1516" i="1"/>
  <c r="W1516" i="1" s="1"/>
  <c r="X2461" i="1"/>
  <c r="W2461" i="1" s="1"/>
  <c r="X808" i="1"/>
  <c r="W808" i="1" s="1"/>
  <c r="X302" i="1"/>
  <c r="W302" i="1" s="1"/>
  <c r="X981" i="1"/>
  <c r="W981" i="1" s="1"/>
  <c r="X2076" i="1"/>
  <c r="W2076" i="1" s="1"/>
  <c r="X2075" i="1"/>
  <c r="W2075" i="1" s="1"/>
  <c r="X2074" i="1"/>
  <c r="W2074" i="1" s="1"/>
  <c r="X2073" i="1"/>
  <c r="W2073" i="1" s="1"/>
  <c r="X2138" i="1"/>
  <c r="W2138" i="1" s="1"/>
  <c r="X1383" i="1"/>
  <c r="W1383" i="1" s="1"/>
  <c r="X2471" i="1"/>
  <c r="W2471" i="1" s="1"/>
  <c r="X2469" i="1"/>
  <c r="W2469" i="1" s="1"/>
  <c r="X2456" i="1"/>
  <c r="W2456" i="1" s="1"/>
  <c r="X2470" i="1"/>
  <c r="W2470" i="1" s="1"/>
  <c r="X2571" i="1"/>
  <c r="W2571" i="1" s="1"/>
  <c r="X2467" i="1"/>
  <c r="W2467" i="1" s="1"/>
  <c r="X2454" i="1"/>
  <c r="W2454" i="1" s="1"/>
  <c r="X2468" i="1"/>
  <c r="W2468" i="1" s="1"/>
  <c r="X1362" i="1"/>
  <c r="W1362" i="1" s="1"/>
  <c r="X1947" i="1"/>
  <c r="W1947" i="1" s="1"/>
  <c r="X1945" i="1"/>
  <c r="W1945" i="1" s="1"/>
  <c r="X1723" i="1"/>
  <c r="W1723" i="1" s="1"/>
  <c r="X1720" i="1"/>
  <c r="W1720" i="1" s="1"/>
  <c r="X1732" i="1"/>
  <c r="W1732" i="1" s="1"/>
  <c r="X8" i="1"/>
  <c r="W8" i="1" s="1"/>
  <c r="X1152" i="1"/>
  <c r="W1152" i="1" s="1"/>
  <c r="X1151" i="1"/>
  <c r="W1151" i="1" s="1"/>
  <c r="X1150" i="1"/>
  <c r="W1150" i="1" s="1"/>
  <c r="X1149" i="1"/>
  <c r="W1149" i="1" s="1"/>
  <c r="X3047" i="1"/>
  <c r="W3047" i="1" s="1"/>
  <c r="X275" i="1"/>
  <c r="W275" i="1" s="1"/>
  <c r="X274" i="1"/>
  <c r="W274" i="1" s="1"/>
  <c r="X276" i="1"/>
  <c r="W276" i="1" s="1"/>
  <c r="X277" i="1"/>
  <c r="W277" i="1" s="1"/>
  <c r="X2459" i="1"/>
  <c r="W2459" i="1" s="1"/>
  <c r="X2460" i="1"/>
  <c r="W2460" i="1" s="1"/>
  <c r="X1635" i="1"/>
  <c r="W1635" i="1" s="1"/>
  <c r="X1424" i="1"/>
  <c r="W1424" i="1" s="1"/>
  <c r="X1612" i="1"/>
  <c r="W1612" i="1" s="1"/>
  <c r="X1147" i="1"/>
  <c r="W1147" i="1" s="1"/>
  <c r="X1146" i="1"/>
  <c r="W1146" i="1" s="1"/>
  <c r="X1460" i="1"/>
  <c r="W1460" i="1" s="1"/>
  <c r="X1457" i="1"/>
  <c r="W1457" i="1" s="1"/>
  <c r="X1454" i="1"/>
  <c r="W1454" i="1" s="1"/>
  <c r="X2464" i="1"/>
  <c r="W2464" i="1" s="1"/>
  <c r="X2463" i="1"/>
  <c r="W2463" i="1" s="1"/>
  <c r="X2462" i="1"/>
  <c r="W2462" i="1" s="1"/>
  <c r="X1730" i="1"/>
  <c r="W1730" i="1" s="1"/>
  <c r="X2876" i="1"/>
  <c r="W2876" i="1" s="1"/>
  <c r="X2875" i="1"/>
  <c r="W2875" i="1" s="1"/>
  <c r="X2874" i="1"/>
  <c r="W2874" i="1" s="1"/>
  <c r="X2357" i="1"/>
  <c r="W2357" i="1" s="1"/>
  <c r="X2356" i="1"/>
  <c r="W2356" i="1" s="1"/>
  <c r="X2355" i="1"/>
  <c r="W2355" i="1" s="1"/>
  <c r="X2359" i="1"/>
  <c r="W2359" i="1" s="1"/>
  <c r="X2358" i="1"/>
  <c r="W2358" i="1" s="1"/>
  <c r="X2169" i="1"/>
  <c r="W2169" i="1" s="1"/>
  <c r="X2620" i="1"/>
  <c r="W2620" i="1" s="1"/>
  <c r="X2962" i="1"/>
  <c r="W2962" i="1" s="1"/>
  <c r="X555" i="1"/>
  <c r="W555" i="1" s="1"/>
  <c r="X554" i="1"/>
  <c r="W554" i="1" s="1"/>
  <c r="X2039" i="1"/>
  <c r="W2039" i="1" s="1"/>
  <c r="X1615" i="1"/>
  <c r="W1615" i="1" s="1"/>
  <c r="X1616" i="1"/>
  <c r="W1616" i="1" s="1"/>
  <c r="X2682" i="1"/>
  <c r="W2682" i="1" s="1"/>
  <c r="X2371" i="1"/>
  <c r="W2371" i="1" s="1"/>
  <c r="X2370" i="1"/>
  <c r="W2370" i="1" s="1"/>
  <c r="X2890" i="1"/>
  <c r="W2890" i="1" s="1"/>
  <c r="X1706" i="1"/>
  <c r="W1706" i="1" s="1"/>
  <c r="X1705" i="1"/>
  <c r="W1705" i="1" s="1"/>
  <c r="X1467" i="1"/>
  <c r="W1467" i="1" s="1"/>
  <c r="X1466" i="1"/>
  <c r="W1466" i="1" s="1"/>
  <c r="X1463" i="1"/>
  <c r="W1463" i="1" s="1"/>
  <c r="X1216" i="1"/>
  <c r="W1216" i="1" s="1"/>
  <c r="X1605" i="1"/>
  <c r="W1605" i="1" s="1"/>
  <c r="X354" i="1"/>
  <c r="W354" i="1" s="1"/>
  <c r="X1215" i="1"/>
  <c r="W1215" i="1" s="1"/>
  <c r="X1451" i="1"/>
  <c r="W1451" i="1" s="1"/>
  <c r="X1093" i="1"/>
  <c r="W1093" i="1" s="1"/>
  <c r="X558" i="1"/>
  <c r="W558" i="1" s="1"/>
  <c r="X557" i="1"/>
  <c r="W557" i="1" s="1"/>
  <c r="X1852" i="1"/>
  <c r="W1852" i="1" s="1"/>
  <c r="X437" i="1"/>
  <c r="W437" i="1" s="1"/>
  <c r="X556" i="1"/>
  <c r="W556" i="1" s="1"/>
  <c r="X443" i="1"/>
  <c r="W443" i="1" s="1"/>
  <c r="X436" i="1"/>
  <c r="W436" i="1" s="1"/>
  <c r="X438" i="1"/>
  <c r="W438" i="1" s="1"/>
  <c r="X3058" i="1"/>
  <c r="W3058" i="1" s="1"/>
  <c r="X301" i="1"/>
  <c r="W301" i="1" s="1"/>
  <c r="X534" i="1"/>
  <c r="W534" i="1" s="1"/>
  <c r="X533" i="1"/>
  <c r="W533" i="1" s="1"/>
  <c r="X532" i="1"/>
  <c r="W532" i="1" s="1"/>
  <c r="X765" i="1"/>
  <c r="W765" i="1" s="1"/>
  <c r="X2044" i="1"/>
  <c r="W2044" i="1" s="1"/>
  <c r="X1437" i="1"/>
  <c r="W1437" i="1" s="1"/>
  <c r="X1442" i="1"/>
  <c r="W1442" i="1" s="1"/>
  <c r="X1438" i="1"/>
  <c r="W1438" i="1" s="1"/>
  <c r="X1432" i="1"/>
  <c r="W1432" i="1" s="1"/>
  <c r="X1441" i="1"/>
  <c r="W1441" i="1" s="1"/>
  <c r="X2167" i="1"/>
  <c r="W2167" i="1" s="1"/>
  <c r="X1078" i="1"/>
  <c r="W1078" i="1" s="1"/>
  <c r="X1058" i="1"/>
  <c r="W1058" i="1" s="1"/>
  <c r="X3055" i="1"/>
  <c r="W3055" i="1" s="1"/>
  <c r="X3057" i="1"/>
  <c r="W3057" i="1" s="1"/>
  <c r="X3056" i="1"/>
  <c r="W3056" i="1" s="1"/>
  <c r="X1272" i="1"/>
  <c r="W1272" i="1" s="1"/>
  <c r="X1271" i="1"/>
  <c r="W1271" i="1" s="1"/>
  <c r="X905" i="1"/>
  <c r="W905" i="1" s="1"/>
  <c r="X904" i="1"/>
  <c r="W904" i="1" s="1"/>
  <c r="X1622" i="1"/>
  <c r="W1622" i="1" s="1"/>
  <c r="X1721" i="1"/>
  <c r="W1721" i="1" s="1"/>
  <c r="X2430" i="1"/>
  <c r="W2430" i="1" s="1"/>
  <c r="X2421" i="1"/>
  <c r="W2421" i="1" s="1"/>
  <c r="X2432" i="1"/>
  <c r="W2432" i="1" s="1"/>
  <c r="X2423" i="1"/>
  <c r="W2423" i="1" s="1"/>
  <c r="X1436" i="1"/>
  <c r="W1436" i="1" s="1"/>
  <c r="X3050" i="1"/>
  <c r="W3050" i="1" s="1"/>
  <c r="X2183" i="1"/>
  <c r="W2183" i="1" s="1"/>
  <c r="X2155" i="1"/>
  <c r="W2155" i="1" s="1"/>
  <c r="X2182" i="1"/>
  <c r="W2182" i="1" s="1"/>
  <c r="X2179" i="1"/>
  <c r="W2179" i="1" s="1"/>
  <c r="X2181" i="1"/>
  <c r="W2181" i="1" s="1"/>
  <c r="X1524" i="1"/>
  <c r="W1524" i="1" s="1"/>
  <c r="X1527" i="1"/>
  <c r="W1527" i="1" s="1"/>
  <c r="X1350" i="1"/>
  <c r="W1350" i="1" s="1"/>
  <c r="X1358" i="1"/>
  <c r="W1358" i="1" s="1"/>
  <c r="X837" i="1"/>
  <c r="W837" i="1" s="1"/>
  <c r="X836" i="1"/>
  <c r="W836" i="1" s="1"/>
  <c r="X211" i="1"/>
  <c r="W211" i="1" s="1"/>
  <c r="X208" i="1"/>
  <c r="W208" i="1" s="1"/>
  <c r="X210" i="1"/>
  <c r="W210" i="1" s="1"/>
  <c r="X209" i="1"/>
  <c r="W209" i="1" s="1"/>
  <c r="X1166" i="1"/>
  <c r="W1166" i="1" s="1"/>
  <c r="X2003" i="1"/>
  <c r="W2003" i="1" s="1"/>
  <c r="X1977" i="1"/>
  <c r="W1977" i="1" s="1"/>
  <c r="X2888" i="1"/>
  <c r="W2888" i="1" s="1"/>
  <c r="X798" i="1"/>
  <c r="W798" i="1" s="1"/>
  <c r="X2675" i="1"/>
  <c r="W2675" i="1" s="1"/>
  <c r="X1400" i="1"/>
  <c r="W1400" i="1" s="1"/>
  <c r="X1399" i="1"/>
  <c r="W1399" i="1" s="1"/>
  <c r="X2552" i="1"/>
  <c r="W2552" i="1" s="1"/>
  <c r="X2850" i="1"/>
  <c r="W2850" i="1" s="1"/>
  <c r="X2849" i="1"/>
  <c r="W2849" i="1" s="1"/>
  <c r="X778" i="1"/>
  <c r="W778" i="1" s="1"/>
  <c r="X1786" i="1"/>
  <c r="W1786" i="1" s="1"/>
  <c r="X1784" i="1"/>
  <c r="W1784" i="1" s="1"/>
  <c r="X1785" i="1"/>
  <c r="W1785" i="1" s="1"/>
  <c r="X357" i="1"/>
  <c r="W357" i="1" s="1"/>
  <c r="X2909" i="1"/>
  <c r="W2909" i="1" s="1"/>
  <c r="X3080" i="1"/>
  <c r="W3080" i="1" s="1"/>
  <c r="X1381" i="1"/>
  <c r="W1381" i="1" s="1"/>
  <c r="X964" i="1"/>
  <c r="W964" i="1" s="1"/>
  <c r="X1762" i="1"/>
  <c r="W1762" i="1" s="1"/>
  <c r="X1504" i="1"/>
  <c r="W1504" i="1" s="1"/>
  <c r="X1503" i="1"/>
  <c r="W1503" i="1" s="1"/>
  <c r="X2061" i="1"/>
  <c r="W2061" i="1" s="1"/>
  <c r="X361" i="1"/>
  <c r="W361" i="1" s="1"/>
  <c r="X359" i="1"/>
  <c r="W359" i="1" s="1"/>
  <c r="X358" i="1"/>
  <c r="W358" i="1" s="1"/>
  <c r="X1972" i="1"/>
  <c r="W1972" i="1" s="1"/>
  <c r="X1969" i="1"/>
  <c r="W1969" i="1" s="1"/>
  <c r="X1670" i="1"/>
  <c r="W1670" i="1" s="1"/>
  <c r="X1394" i="1"/>
  <c r="W1394" i="1" s="1"/>
  <c r="X1395" i="1"/>
  <c r="W1395" i="1" s="1"/>
  <c r="X2676" i="1"/>
  <c r="W2676" i="1" s="1"/>
  <c r="X908" i="1"/>
  <c r="W908" i="1" s="1"/>
  <c r="X907" i="1"/>
  <c r="W907" i="1" s="1"/>
  <c r="X3112" i="1"/>
  <c r="W3112" i="1" s="1"/>
  <c r="X2220" i="1"/>
  <c r="W2220" i="1" s="1"/>
  <c r="X916" i="1"/>
  <c r="W916" i="1" s="1"/>
  <c r="X915" i="1"/>
  <c r="W915" i="1" s="1"/>
  <c r="X530" i="1"/>
  <c r="W530" i="1" s="1"/>
  <c r="X791" i="1"/>
  <c r="W791" i="1" s="1"/>
  <c r="X796" i="1"/>
  <c r="W796" i="1" s="1"/>
  <c r="X788" i="1"/>
  <c r="W788" i="1" s="1"/>
  <c r="X1877" i="1"/>
  <c r="W1877" i="1" s="1"/>
  <c r="X1876" i="1"/>
  <c r="W1876" i="1" s="1"/>
  <c r="X2304" i="1"/>
  <c r="W2304" i="1" s="1"/>
  <c r="X1319" i="1"/>
  <c r="W1319" i="1" s="1"/>
  <c r="X1300" i="1"/>
  <c r="W1300" i="1" s="1"/>
  <c r="X1308" i="1"/>
  <c r="W1308" i="1" s="1"/>
  <c r="X1299" i="1"/>
  <c r="W1299" i="1" s="1"/>
  <c r="X388" i="1"/>
  <c r="W388" i="1" s="1"/>
  <c r="X389" i="1"/>
  <c r="W389" i="1" s="1"/>
  <c r="X2177" i="1"/>
  <c r="W2177" i="1" s="1"/>
  <c r="X1117" i="1"/>
  <c r="W1117" i="1" s="1"/>
  <c r="X1123" i="1"/>
  <c r="W1123" i="1" s="1"/>
  <c r="X1116" i="1"/>
  <c r="W1116" i="1" s="1"/>
  <c r="X1115" i="1"/>
  <c r="W1115" i="1" s="1"/>
  <c r="X1119" i="1"/>
  <c r="W1119" i="1" s="1"/>
  <c r="X1122" i="1"/>
  <c r="W1122" i="1" s="1"/>
  <c r="X1121" i="1"/>
  <c r="W1121" i="1" s="1"/>
  <c r="X1120" i="1"/>
  <c r="W1120" i="1" s="1"/>
  <c r="X2041" i="1"/>
  <c r="W2041" i="1" s="1"/>
  <c r="X783" i="1"/>
  <c r="W783" i="1" s="1"/>
  <c r="X1851" i="1"/>
  <c r="W1851" i="1" s="1"/>
  <c r="X1230" i="1"/>
  <c r="W1230" i="1" s="1"/>
  <c r="X1209" i="1"/>
  <c r="W1209" i="1" s="1"/>
  <c r="X1229" i="1"/>
  <c r="W1229" i="1" s="1"/>
  <c r="X1218" i="1"/>
  <c r="W1218" i="1" s="1"/>
  <c r="X1246" i="1"/>
  <c r="W1246" i="1" s="1"/>
  <c r="X1258" i="1"/>
  <c r="W1258" i="1" s="1"/>
  <c r="X1250" i="1"/>
  <c r="W1250" i="1" s="1"/>
  <c r="X1771" i="1"/>
  <c r="W1771" i="1" s="1"/>
  <c r="X1782" i="1"/>
  <c r="W1782" i="1" s="1"/>
  <c r="X747" i="1"/>
  <c r="W747" i="1" s="1"/>
  <c r="X329" i="1"/>
  <c r="W329" i="1" s="1"/>
  <c r="X327" i="1"/>
  <c r="W327" i="1" s="1"/>
  <c r="X1338" i="1"/>
  <c r="W1338" i="1" s="1"/>
  <c r="X1336" i="1"/>
  <c r="W1336" i="1" s="1"/>
  <c r="X1331" i="1"/>
  <c r="W1331" i="1" s="1"/>
  <c r="X1328" i="1"/>
  <c r="W1328" i="1" s="1"/>
  <c r="X1514" i="1"/>
  <c r="W1514" i="1" s="1"/>
  <c r="X1513" i="1"/>
  <c r="W1513" i="1" s="1"/>
  <c r="X998" i="1"/>
  <c r="W998" i="1" s="1"/>
  <c r="X2882" i="1"/>
  <c r="W2882" i="1" s="1"/>
  <c r="X857" i="1"/>
  <c r="W857" i="1" s="1"/>
  <c r="X2323" i="1"/>
  <c r="W2323" i="1" s="1"/>
  <c r="X1462" i="1"/>
  <c r="W1462" i="1" s="1"/>
  <c r="X300" i="1"/>
  <c r="W300" i="1" s="1"/>
  <c r="X1747" i="1"/>
  <c r="W1747" i="1" s="1"/>
  <c r="X1746" i="1"/>
  <c r="W1746" i="1" s="1"/>
  <c r="X1750" i="1"/>
  <c r="W1750" i="1" s="1"/>
  <c r="X1748" i="1"/>
  <c r="W1748" i="1" s="1"/>
  <c r="X1751" i="1"/>
  <c r="W1751" i="1" s="1"/>
  <c r="X842" i="1"/>
  <c r="W842" i="1" s="1"/>
  <c r="X2152" i="1"/>
  <c r="W2152" i="1" s="1"/>
  <c r="X2151" i="1"/>
  <c r="W2151" i="1" s="1"/>
  <c r="X715" i="1"/>
  <c r="W715" i="1" s="1"/>
  <c r="X718" i="1"/>
  <c r="W718" i="1" s="1"/>
  <c r="X1556" i="1"/>
  <c r="W1556" i="1" s="1"/>
  <c r="X3010" i="1"/>
  <c r="W3010" i="1" s="1"/>
  <c r="X1496" i="1"/>
  <c r="W1496" i="1" s="1"/>
  <c r="X1493" i="1"/>
  <c r="W1493" i="1" s="1"/>
  <c r="X1485" i="1"/>
  <c r="W1485" i="1" s="1"/>
  <c r="X1498" i="1"/>
  <c r="W1498" i="1" s="1"/>
  <c r="X1492" i="1"/>
  <c r="W1492" i="1" s="1"/>
  <c r="X1911" i="1"/>
  <c r="W1911" i="1" s="1"/>
  <c r="X2934" i="1"/>
  <c r="W2934" i="1" s="1"/>
  <c r="X3118" i="1"/>
  <c r="W3118" i="1" s="1"/>
  <c r="X293" i="1"/>
  <c r="W293" i="1" s="1"/>
  <c r="X292" i="1"/>
  <c r="W292" i="1" s="1"/>
  <c r="X1418" i="1"/>
  <c r="W1418" i="1" s="1"/>
  <c r="X766" i="1"/>
  <c r="W766" i="1" s="1"/>
  <c r="X119" i="1"/>
  <c r="W119" i="1" s="1"/>
  <c r="X124" i="1"/>
  <c r="W124" i="1" s="1"/>
  <c r="X120" i="1"/>
  <c r="W120" i="1" s="1"/>
  <c r="X116" i="1"/>
  <c r="W116" i="1" s="1"/>
  <c r="X113" i="1"/>
  <c r="W113" i="1" s="1"/>
  <c r="X125" i="1"/>
  <c r="W125" i="1" s="1"/>
  <c r="X115" i="1"/>
  <c r="W115" i="1" s="1"/>
  <c r="X114" i="1"/>
  <c r="W114" i="1" s="1"/>
  <c r="X508" i="1"/>
  <c r="W508" i="1" s="1"/>
  <c r="X814" i="1"/>
  <c r="W814" i="1" s="1"/>
  <c r="X815" i="1"/>
  <c r="W815" i="1" s="1"/>
  <c r="X1392" i="1"/>
  <c r="W1392" i="1" s="1"/>
  <c r="X1768" i="1"/>
  <c r="W1768" i="1" s="1"/>
  <c r="X1779" i="1"/>
  <c r="W1779" i="1" s="1"/>
  <c r="X1764" i="1"/>
  <c r="W1764" i="1" s="1"/>
  <c r="X1425" i="1"/>
  <c r="W1425" i="1" s="1"/>
  <c r="X1423" i="1"/>
  <c r="W1423" i="1" s="1"/>
  <c r="X1421" i="1"/>
  <c r="W1421" i="1" s="1"/>
  <c r="X870" i="1"/>
  <c r="W870" i="1" s="1"/>
  <c r="X1780" i="1"/>
  <c r="W1780" i="1" s="1"/>
  <c r="X466" i="1"/>
  <c r="W466" i="1" s="1"/>
  <c r="X465" i="1"/>
  <c r="W465" i="1" s="1"/>
  <c r="X460" i="1"/>
  <c r="W460" i="1" s="1"/>
  <c r="X464" i="1"/>
  <c r="W464" i="1" s="1"/>
  <c r="X459" i="1"/>
  <c r="W459" i="1" s="1"/>
  <c r="X2702" i="1"/>
  <c r="W2702" i="1" s="1"/>
  <c r="X316" i="1"/>
  <c r="W316" i="1" s="1"/>
  <c r="X2049" i="1"/>
  <c r="W2049" i="1" s="1"/>
  <c r="X2054" i="1"/>
  <c r="W2054" i="1" s="1"/>
  <c r="X2051" i="1"/>
  <c r="W2051" i="1" s="1"/>
  <c r="X2053" i="1"/>
  <c r="W2053" i="1" s="1"/>
  <c r="X2048" i="1"/>
  <c r="W2048" i="1" s="1"/>
  <c r="X2052" i="1"/>
  <c r="W2052" i="1" s="1"/>
  <c r="X2047" i="1"/>
  <c r="W2047" i="1" s="1"/>
  <c r="X2055" i="1"/>
  <c r="W2055" i="1" s="1"/>
  <c r="X2014" i="1"/>
  <c r="W2014" i="1" s="1"/>
  <c r="X2018" i="1"/>
  <c r="W2018" i="1" s="1"/>
  <c r="X2013" i="1"/>
  <c r="W2013" i="1" s="1"/>
  <c r="X2012" i="1"/>
  <c r="W2012" i="1" s="1"/>
  <c r="X2017" i="1"/>
  <c r="W2017" i="1" s="1"/>
  <c r="X2016" i="1"/>
  <c r="W2016" i="1" s="1"/>
  <c r="X19" i="1"/>
  <c r="W19" i="1" s="1"/>
  <c r="X1632" i="1"/>
  <c r="W1632" i="1" s="1"/>
  <c r="X1202" i="1"/>
  <c r="W1202" i="1" s="1"/>
  <c r="X1049" i="1"/>
  <c r="W1049" i="1" s="1"/>
  <c r="X2011" i="1"/>
  <c r="W2011" i="1" s="1"/>
  <c r="X2009" i="1"/>
  <c r="W2009" i="1" s="1"/>
  <c r="X2007" i="1"/>
  <c r="W2007" i="1" s="1"/>
  <c r="X2010" i="1"/>
  <c r="W2010" i="1" s="1"/>
  <c r="X2008" i="1"/>
  <c r="W2008" i="1" s="1"/>
  <c r="X2006" i="1"/>
  <c r="W2006" i="1" s="1"/>
  <c r="X675" i="1"/>
  <c r="W675" i="1" s="1"/>
  <c r="X674" i="1"/>
  <c r="W674" i="1" s="1"/>
  <c r="X673" i="1"/>
  <c r="W673" i="1" s="1"/>
  <c r="X583" i="1"/>
  <c r="W583" i="1" s="1"/>
  <c r="X582" i="1"/>
  <c r="W582" i="1" s="1"/>
  <c r="X581" i="1"/>
  <c r="W581" i="1" s="1"/>
  <c r="X610" i="1"/>
  <c r="W610" i="1" s="1"/>
  <c r="X1713" i="1"/>
  <c r="W1713" i="1" s="1"/>
  <c r="X2064" i="1"/>
  <c r="W2064" i="1" s="1"/>
  <c r="X2070" i="1"/>
  <c r="W2070" i="1" s="1"/>
  <c r="X2069" i="1"/>
  <c r="W2069" i="1" s="1"/>
  <c r="X2173" i="1"/>
  <c r="W2173" i="1" s="1"/>
  <c r="X2133" i="1"/>
  <c r="W2133" i="1" s="1"/>
  <c r="X2131" i="1"/>
  <c r="W2131" i="1" s="1"/>
  <c r="X2132" i="1"/>
  <c r="W2132" i="1" s="1"/>
  <c r="X2130" i="1"/>
  <c r="W2130" i="1" s="1"/>
  <c r="X2129" i="1"/>
  <c r="W2129" i="1" s="1"/>
  <c r="X2128" i="1"/>
  <c r="W2128" i="1" s="1"/>
  <c r="X2127" i="1"/>
  <c r="W2127" i="1" s="1"/>
  <c r="X2126" i="1"/>
  <c r="W2126" i="1" s="1"/>
  <c r="X441" i="1"/>
  <c r="W441" i="1" s="1"/>
  <c r="X672" i="1"/>
  <c r="W672" i="1" s="1"/>
  <c r="X671" i="1"/>
  <c r="W671" i="1" s="1"/>
  <c r="X670" i="1"/>
  <c r="W670" i="1" s="1"/>
  <c r="X669" i="1"/>
  <c r="W669" i="1" s="1"/>
  <c r="X609" i="1"/>
  <c r="W609" i="1" s="1"/>
  <c r="X698" i="1"/>
  <c r="W698" i="1" s="1"/>
  <c r="X697" i="1"/>
  <c r="W697" i="1" s="1"/>
  <c r="X696" i="1"/>
  <c r="W696" i="1" s="1"/>
  <c r="X695" i="1"/>
  <c r="W695" i="1" s="1"/>
  <c r="X2525" i="1"/>
  <c r="W2525" i="1" s="1"/>
  <c r="X2999" i="1"/>
  <c r="W2999" i="1" s="1"/>
  <c r="X2998" i="1"/>
  <c r="W2998" i="1" s="1"/>
  <c r="X1642" i="1"/>
  <c r="W1642" i="1" s="1"/>
  <c r="X65" i="1"/>
  <c r="W65" i="1" s="1"/>
  <c r="X67" i="1"/>
  <c r="W67" i="1" s="1"/>
  <c r="X69" i="1"/>
  <c r="W69" i="1" s="1"/>
  <c r="X68" i="1"/>
  <c r="W68" i="1" s="1"/>
  <c r="X931" i="1"/>
  <c r="W931" i="1" s="1"/>
  <c r="X853" i="1"/>
  <c r="W853" i="1" s="1"/>
  <c r="X1731" i="1"/>
  <c r="W1731" i="1" s="1"/>
  <c r="X923" i="1"/>
  <c r="W923" i="1" s="1"/>
  <c r="X922" i="1"/>
  <c r="W922" i="1" s="1"/>
  <c r="X2153" i="1"/>
  <c r="W2153" i="1" s="1"/>
  <c r="X2150" i="1"/>
  <c r="W2150" i="1" s="1"/>
  <c r="X2899" i="1"/>
  <c r="W2899" i="1" s="1"/>
  <c r="X1228" i="1"/>
  <c r="W1228" i="1" s="1"/>
  <c r="X1207" i="1"/>
  <c r="W1207" i="1" s="1"/>
  <c r="X2933" i="1"/>
  <c r="W2933" i="1" s="1"/>
  <c r="X575" i="1"/>
  <c r="W575" i="1" s="1"/>
  <c r="X618" i="1"/>
  <c r="W618" i="1" s="1"/>
  <c r="X586" i="1"/>
  <c r="W586" i="1" s="1"/>
  <c r="X619" i="1"/>
  <c r="W619" i="1" s="1"/>
  <c r="X585" i="1"/>
  <c r="W585" i="1" s="1"/>
  <c r="X617" i="1"/>
  <c r="W617" i="1" s="1"/>
  <c r="X623" i="1"/>
  <c r="W623" i="1" s="1"/>
  <c r="X620" i="1"/>
  <c r="W620" i="1" s="1"/>
  <c r="X665" i="1"/>
  <c r="W665" i="1" s="1"/>
  <c r="X664" i="1"/>
  <c r="W664" i="1" s="1"/>
  <c r="X657" i="1"/>
  <c r="W657" i="1" s="1"/>
  <c r="X646" i="1"/>
  <c r="W646" i="1" s="1"/>
  <c r="X704" i="1"/>
  <c r="W704" i="1" s="1"/>
  <c r="X663" i="1"/>
  <c r="W663" i="1" s="1"/>
  <c r="X677" i="1"/>
  <c r="W677" i="1" s="1"/>
  <c r="X654" i="1"/>
  <c r="W654" i="1" s="1"/>
  <c r="X707" i="1"/>
  <c r="W707" i="1" s="1"/>
  <c r="X1675" i="1"/>
  <c r="W1675" i="1" s="1"/>
  <c r="X325" i="1"/>
  <c r="W325" i="1" s="1"/>
  <c r="X1551" i="1"/>
  <c r="W1551" i="1" s="1"/>
  <c r="X653" i="1"/>
  <c r="W653" i="1" s="1"/>
  <c r="X656" i="1"/>
  <c r="W656" i="1" s="1"/>
  <c r="X686" i="1"/>
  <c r="W686" i="1" s="1"/>
  <c r="X655" i="1"/>
  <c r="W655" i="1" s="1"/>
  <c r="X244" i="1"/>
  <c r="W244" i="1" s="1"/>
  <c r="X246" i="1"/>
  <c r="W246" i="1" s="1"/>
  <c r="X932" i="1"/>
  <c r="W932" i="1" s="1"/>
  <c r="X681" i="1"/>
  <c r="W681" i="1" s="1"/>
  <c r="X683" i="1"/>
  <c r="W683" i="1" s="1"/>
  <c r="X680" i="1"/>
  <c r="W680" i="1" s="1"/>
  <c r="X1366" i="1"/>
  <c r="W1366" i="1" s="1"/>
  <c r="X1022" i="1"/>
  <c r="W1022" i="1" s="1"/>
  <c r="X603" i="1"/>
  <c r="W603" i="1" s="1"/>
  <c r="X1386" i="1"/>
  <c r="W1386" i="1" s="1"/>
  <c r="X1376" i="1"/>
  <c r="W1376" i="1" s="1"/>
  <c r="X2030" i="1"/>
  <c r="W2030" i="1" s="1"/>
  <c r="X390" i="1"/>
  <c r="W390" i="1" s="1"/>
  <c r="X392" i="1"/>
  <c r="W392" i="1" s="1"/>
  <c r="X2858" i="1"/>
  <c r="W2858" i="1" s="1"/>
  <c r="X2860" i="1"/>
  <c r="W2860" i="1" s="1"/>
  <c r="X1490" i="1"/>
  <c r="W1490" i="1" s="1"/>
  <c r="X306" i="1"/>
  <c r="W306" i="1" s="1"/>
  <c r="X309" i="1"/>
  <c r="W309" i="1" s="1"/>
  <c r="X1276" i="1"/>
  <c r="W1276" i="1" s="1"/>
  <c r="X1274" i="1"/>
  <c r="W1274" i="1" s="1"/>
  <c r="X1269" i="1"/>
  <c r="W1269" i="1" s="1"/>
  <c r="X41" i="1"/>
  <c r="W41" i="1" s="1"/>
  <c r="X1710" i="1"/>
  <c r="W1710" i="1" s="1"/>
  <c r="X813" i="1"/>
  <c r="W813" i="1" s="1"/>
  <c r="X812" i="1"/>
  <c r="W812" i="1" s="1"/>
  <c r="X3119" i="1"/>
  <c r="W3119" i="1" s="1"/>
  <c r="X3111" i="1"/>
  <c r="W3111" i="1" s="1"/>
  <c r="X972" i="1"/>
  <c r="W972" i="1" s="1"/>
  <c r="X1005" i="1"/>
  <c r="W1005" i="1" s="1"/>
  <c r="X989" i="1"/>
  <c r="W989" i="1" s="1"/>
  <c r="X986" i="1"/>
  <c r="W986" i="1" s="1"/>
  <c r="X1004" i="1"/>
  <c r="W1004" i="1" s="1"/>
  <c r="X988" i="1"/>
  <c r="W988" i="1" s="1"/>
  <c r="X48" i="1"/>
  <c r="W48" i="1" s="1"/>
  <c r="X47" i="1"/>
  <c r="W47" i="1" s="1"/>
  <c r="X49" i="1"/>
  <c r="W49" i="1" s="1"/>
  <c r="X50" i="1"/>
  <c r="W50" i="1" s="1"/>
  <c r="X2903" i="1"/>
  <c r="W2903" i="1" s="1"/>
  <c r="X2896" i="1"/>
  <c r="W2896" i="1" s="1"/>
  <c r="X1767" i="1"/>
  <c r="W1767" i="1" s="1"/>
  <c r="X584" i="1"/>
  <c r="W584" i="1" s="1"/>
  <c r="X2123" i="1"/>
  <c r="W2123" i="1" s="1"/>
  <c r="X2125" i="1"/>
  <c r="W2125" i="1" s="1"/>
  <c r="X1709" i="1"/>
  <c r="W1709" i="1" s="1"/>
  <c r="X800" i="1"/>
  <c r="W800" i="1" s="1"/>
  <c r="X799" i="1"/>
  <c r="W799" i="1" s="1"/>
  <c r="X804" i="1"/>
  <c r="W804" i="1" s="1"/>
  <c r="X2253" i="1"/>
  <c r="W2253" i="1" s="1"/>
  <c r="X2249" i="1"/>
  <c r="W2249" i="1" s="1"/>
  <c r="X2252" i="1"/>
  <c r="W2252" i="1" s="1"/>
  <c r="X2251" i="1"/>
  <c r="W2251" i="1" s="1"/>
  <c r="X1297" i="1"/>
  <c r="W1297" i="1" s="1"/>
  <c r="X2957" i="1"/>
  <c r="W2957" i="1" s="1"/>
  <c r="X2264" i="1"/>
  <c r="W2264" i="1" s="1"/>
  <c r="X2203" i="1"/>
  <c r="W2203" i="1" s="1"/>
  <c r="X2216" i="1"/>
  <c r="W2216" i="1" s="1"/>
  <c r="X1479" i="1"/>
  <c r="W1479" i="1" s="1"/>
  <c r="X1946" i="1"/>
  <c r="W1946" i="1" s="1"/>
  <c r="X1944" i="1"/>
  <c r="W1944" i="1" s="1"/>
  <c r="X2364" i="1"/>
  <c r="W2364" i="1" s="1"/>
  <c r="X2602" i="1"/>
  <c r="W2602" i="1" s="1"/>
  <c r="X2601" i="1"/>
  <c r="W2601" i="1" s="1"/>
  <c r="X2372" i="1"/>
  <c r="W2372" i="1" s="1"/>
  <c r="X215" i="1"/>
  <c r="W215" i="1" s="1"/>
  <c r="X212" i="1"/>
  <c r="W212" i="1" s="1"/>
  <c r="X213" i="1"/>
  <c r="W213" i="1" s="1"/>
  <c r="X393" i="1"/>
  <c r="W393" i="1" s="1"/>
  <c r="X2895" i="1"/>
  <c r="W2895" i="1" s="1"/>
  <c r="X2906" i="1"/>
  <c r="W2906" i="1" s="1"/>
  <c r="X154" i="1"/>
  <c r="W154" i="1" s="1"/>
  <c r="X104" i="1"/>
  <c r="W104" i="1" s="1"/>
  <c r="X2337" i="1"/>
  <c r="W2337" i="1" s="1"/>
  <c r="X2331" i="1"/>
  <c r="W2331" i="1" s="1"/>
  <c r="X2336" i="1"/>
  <c r="W2336" i="1" s="1"/>
  <c r="X2333" i="1"/>
  <c r="W2333" i="1" s="1"/>
  <c r="X2342" i="1"/>
  <c r="W2342" i="1" s="1"/>
  <c r="X1075" i="1"/>
  <c r="W1075" i="1" s="1"/>
  <c r="X1941" i="1"/>
  <c r="W1941" i="1" s="1"/>
  <c r="X1940" i="1"/>
  <c r="W1940" i="1" s="1"/>
  <c r="X2590" i="1"/>
  <c r="W2590" i="1" s="1"/>
  <c r="X2586" i="1"/>
  <c r="W2586" i="1" s="1"/>
  <c r="X2593" i="1"/>
  <c r="W2593" i="1" s="1"/>
  <c r="X2591" i="1"/>
  <c r="W2591" i="1" s="1"/>
  <c r="X2589" i="1"/>
  <c r="W2589" i="1" s="1"/>
  <c r="X2587" i="1"/>
  <c r="W2587" i="1" s="1"/>
  <c r="X2585" i="1"/>
  <c r="W2585" i="1" s="1"/>
  <c r="X2583" i="1"/>
  <c r="W2583" i="1" s="1"/>
  <c r="X2584" i="1"/>
  <c r="W2584" i="1" s="1"/>
  <c r="X2487" i="1"/>
  <c r="W2487" i="1" s="1"/>
  <c r="X2480" i="1"/>
  <c r="W2480" i="1" s="1"/>
  <c r="X2486" i="1"/>
  <c r="W2486" i="1" s="1"/>
  <c r="X2482" i="1"/>
  <c r="W2482" i="1" s="1"/>
  <c r="X2478" i="1"/>
  <c r="W2478" i="1" s="1"/>
  <c r="X2477" i="1"/>
  <c r="W2477" i="1" s="1"/>
  <c r="X2481" i="1"/>
  <c r="W2481" i="1" s="1"/>
  <c r="X2922" i="1"/>
  <c r="W2922" i="1" s="1"/>
  <c r="X2919" i="1"/>
  <c r="W2919" i="1" s="1"/>
  <c r="X2917" i="1"/>
  <c r="W2917" i="1" s="1"/>
  <c r="X2924" i="1"/>
  <c r="W2924" i="1" s="1"/>
  <c r="X2918" i="1"/>
  <c r="W2918" i="1" s="1"/>
  <c r="X2923" i="1"/>
  <c r="W2923" i="1" s="1"/>
  <c r="X684" i="1"/>
  <c r="W684" i="1" s="1"/>
  <c r="X682" i="1"/>
  <c r="W682" i="1" s="1"/>
  <c r="X859" i="1"/>
  <c r="W859" i="1" s="1"/>
  <c r="X832" i="1"/>
  <c r="W832" i="1" s="1"/>
  <c r="X825" i="1"/>
  <c r="W825" i="1" s="1"/>
  <c r="X824" i="1"/>
  <c r="W824" i="1" s="1"/>
  <c r="X828" i="1"/>
  <c r="W828" i="1" s="1"/>
  <c r="X768" i="1"/>
  <c r="W768" i="1" s="1"/>
  <c r="X1797" i="1"/>
  <c r="W1797" i="1" s="1"/>
  <c r="X2522" i="1"/>
  <c r="W2522" i="1" s="1"/>
  <c r="X875" i="1"/>
  <c r="W875" i="1" s="1"/>
  <c r="X873" i="1"/>
  <c r="W873" i="1" s="1"/>
  <c r="X874" i="1"/>
  <c r="W874" i="1" s="1"/>
  <c r="X356" i="1"/>
  <c r="W356" i="1" s="1"/>
  <c r="X353" i="1"/>
  <c r="W353" i="1" s="1"/>
  <c r="X2547" i="1"/>
  <c r="W2547" i="1" s="1"/>
  <c r="X1868" i="1"/>
  <c r="W1868" i="1" s="1"/>
  <c r="X1866" i="1"/>
  <c r="W1866" i="1" s="1"/>
  <c r="X1867" i="1"/>
  <c r="W1867" i="1" s="1"/>
  <c r="X2968" i="1"/>
  <c r="W2968" i="1" s="1"/>
  <c r="X2975" i="1"/>
  <c r="W2975" i="1" s="1"/>
  <c r="X2971" i="1"/>
  <c r="W2971" i="1" s="1"/>
  <c r="X711" i="1"/>
  <c r="W711" i="1" s="1"/>
  <c r="X1878" i="1"/>
  <c r="W1878" i="1" s="1"/>
  <c r="X1881" i="1"/>
  <c r="W1881" i="1" s="1"/>
  <c r="X2722" i="1"/>
  <c r="W2722" i="1" s="1"/>
  <c r="X2730" i="1"/>
  <c r="W2730" i="1" s="1"/>
  <c r="X2215" i="1"/>
  <c r="W2215" i="1" s="1"/>
  <c r="X2208" i="1"/>
  <c r="W2208" i="1" s="1"/>
  <c r="X725" i="1"/>
  <c r="W725" i="1" s="1"/>
  <c r="X2820" i="1"/>
  <c r="W2820" i="1" s="1"/>
  <c r="X724" i="1"/>
  <c r="W724" i="1" s="1"/>
  <c r="X1582" i="1"/>
  <c r="W1582" i="1" s="1"/>
  <c r="X2551" i="1"/>
  <c r="W2551" i="1" s="1"/>
  <c r="X3009" i="1"/>
  <c r="W3009" i="1" s="1"/>
  <c r="X3008" i="1"/>
  <c r="W3008" i="1" s="1"/>
  <c r="X543" i="1"/>
  <c r="W543" i="1" s="1"/>
  <c r="X544" i="1"/>
  <c r="W544" i="1" s="1"/>
  <c r="X1980" i="1"/>
  <c r="W1980" i="1" s="1"/>
  <c r="X2662" i="1"/>
  <c r="W2662" i="1" s="1"/>
  <c r="X2668" i="1"/>
  <c r="W2668" i="1" s="1"/>
  <c r="X2667" i="1"/>
  <c r="W2667" i="1" s="1"/>
  <c r="X2666" i="1"/>
  <c r="W2666" i="1" s="1"/>
  <c r="X2644" i="1"/>
  <c r="W2644" i="1" s="1"/>
  <c r="X2665" i="1"/>
  <c r="W2665" i="1" s="1"/>
  <c r="X2646" i="1"/>
  <c r="W2646" i="1" s="1"/>
  <c r="X2657" i="1"/>
  <c r="W2657" i="1" s="1"/>
  <c r="X2655" i="1"/>
  <c r="W2655" i="1" s="1"/>
  <c r="X2661" i="1"/>
  <c r="W2661" i="1" s="1"/>
  <c r="X2652" i="1"/>
  <c r="W2652" i="1" s="1"/>
  <c r="X1608" i="1"/>
  <c r="W1608" i="1" s="1"/>
  <c r="X1610" i="1"/>
  <c r="W1610" i="1" s="1"/>
  <c r="X1019" i="1"/>
  <c r="W1019" i="1" s="1"/>
  <c r="X1014" i="1"/>
  <c r="W1014" i="1" s="1"/>
  <c r="X801" i="1"/>
  <c r="W801" i="1" s="1"/>
  <c r="X803" i="1"/>
  <c r="W803" i="1" s="1"/>
  <c r="X802" i="1"/>
  <c r="W802" i="1" s="1"/>
  <c r="X2031" i="1"/>
  <c r="W2031" i="1" s="1"/>
  <c r="X2033" i="1"/>
  <c r="W2033" i="1" s="1"/>
  <c r="X420" i="1"/>
  <c r="W420" i="1" s="1"/>
  <c r="X930" i="1"/>
  <c r="W930" i="1" s="1"/>
  <c r="X1378" i="1"/>
  <c r="W1378" i="1" s="1"/>
  <c r="X323" i="1"/>
  <c r="W323" i="1" s="1"/>
  <c r="X36" i="1"/>
  <c r="W36" i="1" s="1"/>
  <c r="X37" i="1"/>
  <c r="W37" i="1" s="1"/>
  <c r="X2042" i="1"/>
  <c r="W2042" i="1" s="1"/>
  <c r="X1982" i="1"/>
  <c r="W1982" i="1" s="1"/>
  <c r="X1975" i="1"/>
  <c r="W1975" i="1" s="1"/>
  <c r="X2065" i="1"/>
  <c r="W2065" i="1" s="1"/>
  <c r="X2063" i="1"/>
  <c r="W2063" i="1" s="1"/>
  <c r="X2068" i="1"/>
  <c r="W2068" i="1" s="1"/>
  <c r="X1939" i="1"/>
  <c r="W1939" i="1" s="1"/>
  <c r="X1938" i="1"/>
  <c r="W1938" i="1" s="1"/>
  <c r="X3135" i="1"/>
  <c r="W3135" i="1" s="1"/>
  <c r="X1579" i="1"/>
  <c r="W1579" i="1" s="1"/>
  <c r="X722" i="1"/>
  <c r="W722" i="1" s="1"/>
  <c r="X2483" i="1"/>
  <c r="W2483" i="1" s="1"/>
  <c r="X2479" i="1"/>
  <c r="W2479" i="1" s="1"/>
  <c r="X2476" i="1"/>
  <c r="W2476" i="1" s="1"/>
  <c r="X2485" i="1"/>
  <c r="W2485" i="1" s="1"/>
  <c r="X2387" i="1"/>
  <c r="W2387" i="1" s="1"/>
  <c r="X2382" i="1"/>
  <c r="W2382" i="1" s="1"/>
  <c r="X2379" i="1"/>
  <c r="W2379" i="1" s="1"/>
  <c r="X2376" i="1"/>
  <c r="W2376" i="1" s="1"/>
  <c r="X2391" i="1"/>
  <c r="W2391" i="1" s="1"/>
  <c r="X2386" i="1"/>
  <c r="W2386" i="1" s="1"/>
  <c r="X2383" i="1"/>
  <c r="W2383" i="1" s="1"/>
  <c r="X2381" i="1"/>
  <c r="W2381" i="1" s="1"/>
  <c r="X2377" i="1"/>
  <c r="W2377" i="1" s="1"/>
  <c r="X2374" i="1"/>
  <c r="W2374" i="1" s="1"/>
  <c r="X2385" i="1"/>
  <c r="W2385" i="1" s="1"/>
  <c r="X2390" i="1"/>
  <c r="W2390" i="1" s="1"/>
  <c r="X1592" i="1"/>
  <c r="W1592" i="1" s="1"/>
  <c r="X2818" i="1"/>
  <c r="W2818" i="1" s="1"/>
  <c r="X2819" i="1"/>
  <c r="W2819" i="1" s="1"/>
  <c r="X2389" i="1"/>
  <c r="W2389" i="1" s="1"/>
  <c r="X142" i="1"/>
  <c r="W142" i="1" s="1"/>
  <c r="X143" i="1"/>
  <c r="W143" i="1" s="1"/>
  <c r="X3092" i="1"/>
  <c r="W3092" i="1" s="1"/>
  <c r="X2660" i="1"/>
  <c r="W2660" i="1" s="1"/>
  <c r="X2766" i="1"/>
  <c r="W2766" i="1" s="1"/>
  <c r="X231" i="1"/>
  <c r="W231" i="1" s="1"/>
  <c r="X2373" i="1"/>
  <c r="W2373" i="1" s="1"/>
  <c r="X1397" i="1"/>
  <c r="W1397" i="1" s="1"/>
  <c r="X1870" i="1"/>
  <c r="W1870" i="1" s="1"/>
  <c r="X2036" i="1"/>
  <c r="W2036" i="1" s="1"/>
  <c r="X2659" i="1"/>
  <c r="W2659" i="1" s="1"/>
  <c r="X2656" i="1"/>
  <c r="W2656" i="1" s="1"/>
  <c r="X2651" i="1"/>
  <c r="W2651" i="1" s="1"/>
  <c r="X2970" i="1"/>
  <c r="W2970" i="1" s="1"/>
  <c r="X1034" i="1"/>
  <c r="W1034" i="1" s="1"/>
  <c r="X1702" i="1"/>
  <c r="W1702" i="1" s="1"/>
  <c r="X1704" i="1"/>
  <c r="W1704" i="1" s="1"/>
  <c r="X254" i="1"/>
  <c r="W254" i="1" s="1"/>
  <c r="X1172" i="1"/>
  <c r="W1172" i="1" s="1"/>
  <c r="X77" i="1"/>
  <c r="W77" i="1" s="1"/>
  <c r="X2976" i="1"/>
  <c r="W2976" i="1" s="1"/>
  <c r="X2983" i="1"/>
  <c r="W2983" i="1" s="1"/>
  <c r="X2980" i="1"/>
  <c r="W2980" i="1" s="1"/>
  <c r="X914" i="1"/>
  <c r="W914" i="1" s="1"/>
  <c r="X242" i="1"/>
  <c r="W242" i="1" s="1"/>
  <c r="X349" i="1"/>
  <c r="W349" i="1" s="1"/>
  <c r="X1669" i="1"/>
  <c r="W1669" i="1" s="1"/>
  <c r="X145" i="1"/>
  <c r="W145" i="1" s="1"/>
  <c r="X141" i="1"/>
  <c r="W141" i="1" s="1"/>
  <c r="X1618" i="1"/>
  <c r="W1618" i="1" s="1"/>
  <c r="X1935" i="1"/>
  <c r="W1935" i="1" s="1"/>
  <c r="X1937" i="1"/>
  <c r="W1937" i="1" s="1"/>
  <c r="X1934" i="1"/>
  <c r="W1934" i="1" s="1"/>
  <c r="X1936" i="1"/>
  <c r="W1936" i="1" s="1"/>
  <c r="X2645" i="1"/>
  <c r="W2645" i="1" s="1"/>
  <c r="X2664" i="1"/>
  <c r="W2664" i="1" s="1"/>
  <c r="X2654" i="1"/>
  <c r="W2654" i="1" s="1"/>
  <c r="X2647" i="1"/>
  <c r="W2647" i="1" s="1"/>
  <c r="X2663" i="1"/>
  <c r="W2663" i="1" s="1"/>
  <c r="X2648" i="1"/>
  <c r="W2648" i="1" s="1"/>
  <c r="X2658" i="1"/>
  <c r="W2658" i="1" s="1"/>
  <c r="X2653" i="1"/>
  <c r="W2653" i="1" s="1"/>
  <c r="X3007" i="1"/>
  <c r="W3007" i="1" s="1"/>
  <c r="X3006" i="1"/>
  <c r="W3006" i="1" s="1"/>
  <c r="X1282" i="1"/>
  <c r="W1282" i="1" s="1"/>
  <c r="X1281" i="1"/>
  <c r="W1281" i="1" s="1"/>
  <c r="X497" i="1"/>
  <c r="W497" i="1" s="1"/>
  <c r="X1087" i="1"/>
  <c r="W1087" i="1" s="1"/>
  <c r="X1833" i="1"/>
  <c r="W1833" i="1" s="1"/>
  <c r="X207" i="1"/>
  <c r="W207" i="1" s="1"/>
  <c r="X1568" i="1"/>
  <c r="W1568" i="1" s="1"/>
  <c r="X1567" i="1"/>
  <c r="W1567" i="1" s="1"/>
  <c r="X1573" i="1"/>
  <c r="W1573" i="1" s="1"/>
  <c r="X1570" i="1"/>
  <c r="W1570" i="1" s="1"/>
  <c r="X1572" i="1"/>
  <c r="W1572" i="1" s="1"/>
  <c r="X1626" i="1"/>
  <c r="W1626" i="1" s="1"/>
  <c r="X2865" i="1"/>
  <c r="W2865" i="1" s="1"/>
  <c r="X2869" i="1"/>
  <c r="W2869" i="1" s="1"/>
  <c r="X2868" i="1"/>
  <c r="W2868" i="1" s="1"/>
  <c r="X2866" i="1"/>
  <c r="W2866" i="1" s="1"/>
  <c r="X1286" i="1"/>
  <c r="W1286" i="1" s="1"/>
  <c r="X1285" i="1"/>
  <c r="W1285" i="1" s="1"/>
  <c r="X3022" i="1"/>
  <c r="W3022" i="1" s="1"/>
  <c r="X3017" i="1"/>
  <c r="W3017" i="1" s="1"/>
  <c r="X3012" i="1"/>
  <c r="W3012" i="1" s="1"/>
  <c r="X3021" i="1"/>
  <c r="W3021" i="1" s="1"/>
  <c r="X3015" i="1"/>
  <c r="W3015" i="1" s="1"/>
  <c r="X565" i="1"/>
  <c r="W565" i="1" s="1"/>
  <c r="X1929" i="1"/>
  <c r="W1929" i="1" s="1"/>
  <c r="X1533" i="1"/>
  <c r="W1533" i="1" s="1"/>
  <c r="X564" i="1"/>
  <c r="W564" i="1" s="1"/>
  <c r="X651" i="1"/>
  <c r="W651" i="1" s="1"/>
  <c r="X650" i="1"/>
  <c r="W650" i="1" s="1"/>
  <c r="X2165" i="1"/>
  <c r="W2165" i="1" s="1"/>
  <c r="X2940" i="1"/>
  <c r="W2940" i="1" s="1"/>
  <c r="X1332" i="1"/>
  <c r="W1332" i="1" s="1"/>
  <c r="X1343" i="1"/>
  <c r="W1343" i="1" s="1"/>
  <c r="X1342" i="1"/>
  <c r="W1342" i="1" s="1"/>
  <c r="X1341" i="1"/>
  <c r="W1341" i="1" s="1"/>
  <c r="X3068" i="1"/>
  <c r="W3068" i="1" s="1"/>
  <c r="X3072" i="1"/>
  <c r="W3072" i="1" s="1"/>
  <c r="X3069" i="1"/>
  <c r="W3069" i="1" s="1"/>
  <c r="X3071" i="1"/>
  <c r="W3071" i="1" s="1"/>
  <c r="X3067" i="1"/>
  <c r="W3067" i="1" s="1"/>
  <c r="X3070" i="1"/>
  <c r="W3070" i="1" s="1"/>
  <c r="X2234" i="1"/>
  <c r="W2234" i="1" s="1"/>
  <c r="X2290" i="1"/>
  <c r="W2290" i="1" s="1"/>
  <c r="X2302" i="1"/>
  <c r="W2302" i="1" s="1"/>
  <c r="X2295" i="1"/>
  <c r="W2295" i="1" s="1"/>
  <c r="X2291" i="1"/>
  <c r="W2291" i="1" s="1"/>
  <c r="X2287" i="1"/>
  <c r="W2287" i="1" s="1"/>
  <c r="X2301" i="1"/>
  <c r="W2301" i="1" s="1"/>
  <c r="X2281" i="1"/>
  <c r="W2281" i="1" s="1"/>
  <c r="X2261" i="1"/>
  <c r="W2261" i="1" s="1"/>
  <c r="X2242" i="1"/>
  <c r="W2242" i="1" s="1"/>
  <c r="X2271" i="1"/>
  <c r="W2271" i="1" s="1"/>
  <c r="X2270" i="1"/>
  <c r="W2270" i="1" s="1"/>
  <c r="X2256" i="1"/>
  <c r="W2256" i="1" s="1"/>
  <c r="X2277" i="1"/>
  <c r="W2277" i="1" s="1"/>
  <c r="X1943" i="1"/>
  <c r="W1943" i="1" s="1"/>
  <c r="X2172" i="1"/>
  <c r="W2172" i="1" s="1"/>
  <c r="X2846" i="1"/>
  <c r="W2846" i="1" s="1"/>
  <c r="X167" i="1"/>
  <c r="W167" i="1" s="1"/>
  <c r="X166" i="1"/>
  <c r="W166" i="1" s="1"/>
  <c r="X162" i="1"/>
  <c r="W162" i="1" s="1"/>
  <c r="X168" i="1"/>
  <c r="W168" i="1" s="1"/>
  <c r="X165" i="1"/>
  <c r="W165" i="1" s="1"/>
  <c r="X1280" i="1"/>
  <c r="W1280" i="1" s="1"/>
  <c r="X641" i="1"/>
  <c r="W641" i="1" s="1"/>
  <c r="X643" i="1"/>
  <c r="W643" i="1" s="1"/>
  <c r="X2529" i="1"/>
  <c r="W2529" i="1" s="1"/>
  <c r="X551" i="1"/>
  <c r="W551" i="1" s="1"/>
  <c r="X2604" i="1"/>
  <c r="W2604" i="1" s="1"/>
  <c r="X2605" i="1"/>
  <c r="W2605" i="1" s="1"/>
  <c r="X3086" i="1"/>
  <c r="W3086" i="1" s="1"/>
  <c r="X3088" i="1"/>
  <c r="W3088" i="1" s="1"/>
  <c r="X3091" i="1"/>
  <c r="W3091" i="1" s="1"/>
  <c r="X3085" i="1"/>
  <c r="W3085" i="1" s="1"/>
  <c r="X3090" i="1"/>
  <c r="W3090" i="1" s="1"/>
  <c r="X3089" i="1"/>
  <c r="W3089" i="1" s="1"/>
  <c r="X906" i="1"/>
  <c r="W906" i="1" s="1"/>
  <c r="X3030" i="1"/>
  <c r="W3030" i="1" s="1"/>
  <c r="X3028" i="1"/>
  <c r="W3028" i="1" s="1"/>
  <c r="X3032" i="1"/>
  <c r="W3032" i="1" s="1"/>
  <c r="X3029" i="1"/>
  <c r="W3029" i="1" s="1"/>
  <c r="X3027" i="1"/>
  <c r="W3027" i="1" s="1"/>
  <c r="X3034" i="1"/>
  <c r="W3034" i="1" s="1"/>
  <c r="X3031" i="1"/>
  <c r="W3031" i="1" s="1"/>
  <c r="X3105" i="1"/>
  <c r="W3105" i="1" s="1"/>
  <c r="X3117" i="1"/>
  <c r="W3117" i="1" s="1"/>
  <c r="X2334" i="1"/>
  <c r="W2334" i="1" s="1"/>
  <c r="X1225" i="1"/>
  <c r="W1225" i="1" s="1"/>
  <c r="X640" i="1"/>
  <c r="W640" i="1" s="1"/>
  <c r="X644" i="1"/>
  <c r="W644" i="1" s="1"/>
  <c r="X2831" i="1"/>
  <c r="W2831" i="1" s="1"/>
  <c r="X1593" i="1"/>
  <c r="W1593" i="1" s="1"/>
  <c r="X1594" i="1"/>
  <c r="W1594" i="1" s="1"/>
  <c r="X2566" i="1"/>
  <c r="W2566" i="1" s="1"/>
  <c r="X2567" i="1"/>
  <c r="W2567" i="1" s="1"/>
  <c r="X820" i="1"/>
  <c r="W820" i="1" s="1"/>
  <c r="X819" i="1"/>
  <c r="W819" i="1" s="1"/>
  <c r="X818" i="1"/>
  <c r="W818" i="1" s="1"/>
  <c r="X817" i="1"/>
  <c r="W817" i="1" s="1"/>
  <c r="X816" i="1"/>
  <c r="W816" i="1" s="1"/>
  <c r="X821" i="1"/>
  <c r="W821" i="1" s="1"/>
  <c r="X822" i="1"/>
  <c r="W822" i="1" s="1"/>
  <c r="X823" i="1"/>
  <c r="W823" i="1" s="1"/>
  <c r="X281" i="1"/>
  <c r="W281" i="1" s="1"/>
  <c r="X1994" i="1"/>
  <c r="W1994" i="1" s="1"/>
  <c r="X1993" i="1"/>
  <c r="W1993" i="1" s="1"/>
  <c r="X1992" i="1"/>
  <c r="W1992" i="1" s="1"/>
  <c r="X924" i="1"/>
  <c r="W924" i="1" s="1"/>
  <c r="X3065" i="1"/>
  <c r="W3065" i="1" s="1"/>
  <c r="X3066" i="1"/>
  <c r="W3066" i="1" s="1"/>
  <c r="X134" i="1"/>
  <c r="W134" i="1" s="1"/>
  <c r="X139" i="1"/>
  <c r="W139" i="1" s="1"/>
  <c r="X136" i="1"/>
  <c r="W136" i="1" s="1"/>
  <c r="X132" i="1"/>
  <c r="W132" i="1" s="1"/>
  <c r="X1988" i="1"/>
  <c r="W1988" i="1" s="1"/>
  <c r="X1989" i="1"/>
  <c r="W1989" i="1" s="1"/>
  <c r="X1987" i="1"/>
  <c r="W1987" i="1" s="1"/>
  <c r="X1990" i="1"/>
  <c r="W1990" i="1" s="1"/>
  <c r="X1657" i="1"/>
  <c r="W1657" i="1" s="1"/>
  <c r="X1167" i="1"/>
  <c r="W1167" i="1" s="1"/>
  <c r="X1470" i="1"/>
  <c r="W1470" i="1" s="1"/>
  <c r="X2300" i="1"/>
  <c r="W2300" i="1" s="1"/>
  <c r="X2299" i="1"/>
  <c r="W2299" i="1" s="1"/>
  <c r="X1995" i="1"/>
  <c r="W1995" i="1" s="1"/>
  <c r="X1996" i="1"/>
  <c r="W1996" i="1" s="1"/>
  <c r="X1317" i="1"/>
  <c r="W1317" i="1" s="1"/>
  <c r="X1292" i="1"/>
  <c r="W1292" i="1" s="1"/>
  <c r="X1298" i="1"/>
  <c r="W1298" i="1" s="1"/>
  <c r="X1294" i="1"/>
  <c r="W1294" i="1" s="1"/>
  <c r="X1316" i="1"/>
  <c r="W1316" i="1" s="1"/>
  <c r="X1293" i="1"/>
  <c r="W1293" i="1" s="1"/>
  <c r="X1306" i="1"/>
  <c r="W1306" i="1" s="1"/>
  <c r="X2163" i="1"/>
  <c r="W2163" i="1" s="1"/>
  <c r="X2038" i="1"/>
  <c r="W2038" i="1" s="1"/>
  <c r="X117" i="1"/>
  <c r="W117" i="1" s="1"/>
  <c r="X118" i="1"/>
  <c r="W118" i="1" s="1"/>
  <c r="X1600" i="1"/>
  <c r="W1600" i="1" s="1"/>
  <c r="X1604" i="1"/>
  <c r="W1604" i="1" s="1"/>
  <c r="X748" i="1"/>
  <c r="W748" i="1" s="1"/>
  <c r="X749" i="1"/>
  <c r="W749" i="1" s="1"/>
  <c r="X1942" i="1"/>
  <c r="W1942" i="1" s="1"/>
  <c r="X500" i="1"/>
  <c r="W500" i="1" s="1"/>
  <c r="X501" i="1"/>
  <c r="W501" i="1" s="1"/>
  <c r="X1023" i="1"/>
  <c r="W1023" i="1" s="1"/>
  <c r="X2067" i="1"/>
  <c r="W2067" i="1" s="1"/>
  <c r="X2472" i="1"/>
  <c r="W2472" i="1" s="1"/>
  <c r="X1535" i="1"/>
  <c r="W1535" i="1" s="1"/>
  <c r="X85" i="1"/>
  <c r="W85" i="1" s="1"/>
  <c r="X1660" i="1"/>
  <c r="W1660" i="1" s="1"/>
  <c r="X2950" i="1"/>
  <c r="W2950" i="1" s="1"/>
  <c r="X743" i="1"/>
  <c r="W743" i="1" s="1"/>
  <c r="X741" i="1"/>
  <c r="W741" i="1" s="1"/>
  <c r="X2495" i="1"/>
  <c r="W2495" i="1" s="1"/>
  <c r="X2503" i="1"/>
  <c r="W2503" i="1" s="1"/>
  <c r="X2500" i="1"/>
  <c r="W2500" i="1" s="1"/>
  <c r="X2498" i="1"/>
  <c r="W2498" i="1" s="1"/>
  <c r="X2493" i="1"/>
  <c r="W2493" i="1" s="1"/>
  <c r="X2510" i="1"/>
  <c r="W2510" i="1" s="1"/>
  <c r="X2499" i="1"/>
  <c r="W2499" i="1" s="1"/>
  <c r="X1662" i="1"/>
  <c r="W1662" i="1" s="1"/>
  <c r="X1664" i="1"/>
  <c r="W1664" i="1" s="1"/>
  <c r="X1663" i="1"/>
  <c r="W1663" i="1" s="1"/>
  <c r="X839" i="1"/>
  <c r="W839" i="1" s="1"/>
  <c r="X2494" i="1"/>
  <c r="W2494" i="1" s="1"/>
  <c r="X2509" i="1"/>
  <c r="W2509" i="1" s="1"/>
  <c r="X2496" i="1"/>
  <c r="W2496" i="1" s="1"/>
  <c r="X2505" i="1"/>
  <c r="W2505" i="1" s="1"/>
  <c r="X2502" i="1"/>
  <c r="W2502" i="1" s="1"/>
  <c r="X2497" i="1"/>
  <c r="W2497" i="1" s="1"/>
  <c r="X2506" i="1"/>
  <c r="W2506" i="1" s="1"/>
  <c r="X2501" i="1"/>
  <c r="W2501" i="1" s="1"/>
  <c r="X2504" i="1"/>
  <c r="W2504" i="1" s="1"/>
  <c r="X2032" i="1"/>
  <c r="W2032" i="1" s="1"/>
  <c r="X363" i="1"/>
  <c r="W363" i="1" s="1"/>
  <c r="X364" i="1"/>
  <c r="W364" i="1" s="1"/>
  <c r="X1712" i="1"/>
  <c r="W1712" i="1" s="1"/>
  <c r="X2550" i="1"/>
  <c r="W2550" i="1" s="1"/>
  <c r="X735" i="1"/>
  <c r="W735" i="1" s="1"/>
  <c r="X734" i="1"/>
  <c r="W734" i="1" s="1"/>
  <c r="X1886" i="1"/>
  <c r="W1886" i="1" s="1"/>
  <c r="X1459" i="1"/>
  <c r="W1459" i="1" s="1"/>
  <c r="X2743" i="1"/>
  <c r="W2743" i="1" s="1"/>
  <c r="X2747" i="1"/>
  <c r="W2747" i="1" s="1"/>
  <c r="X2745" i="1"/>
  <c r="W2745" i="1" s="1"/>
  <c r="X2543" i="1"/>
  <c r="W2543" i="1" s="1"/>
  <c r="X2542" i="1"/>
  <c r="W2542" i="1" s="1"/>
  <c r="X2546" i="1"/>
  <c r="W2546" i="1" s="1"/>
  <c r="X2541" i="1"/>
  <c r="W2541" i="1" s="1"/>
  <c r="X2545" i="1"/>
  <c r="W2545" i="1" s="1"/>
  <c r="X2197" i="1"/>
  <c r="W2197" i="1" s="1"/>
  <c r="X2196" i="1"/>
  <c r="W2196" i="1" s="1"/>
  <c r="X2201" i="1"/>
  <c r="W2201" i="1" s="1"/>
  <c r="X2199" i="1"/>
  <c r="W2199" i="1" s="1"/>
  <c r="X2200" i="1"/>
  <c r="W2200" i="1" s="1"/>
  <c r="X2219" i="1"/>
  <c r="W2219" i="1" s="1"/>
  <c r="X2227" i="1"/>
  <c r="W2227" i="1" s="1"/>
  <c r="X2218" i="1"/>
  <c r="W2218" i="1" s="1"/>
  <c r="X2210" i="1"/>
  <c r="W2210" i="1" s="1"/>
  <c r="X1869" i="1"/>
  <c r="W1869" i="1" s="1"/>
  <c r="X1981" i="1"/>
  <c r="W1981" i="1" s="1"/>
  <c r="X247" i="1"/>
  <c r="W247" i="1" s="1"/>
  <c r="X248" i="1"/>
  <c r="W248" i="1" s="1"/>
  <c r="X1017" i="1"/>
  <c r="W1017" i="1" s="1"/>
  <c r="X987" i="1"/>
  <c r="W987" i="1" s="1"/>
  <c r="X1016" i="1"/>
  <c r="W1016" i="1" s="1"/>
  <c r="X1018" i="1"/>
  <c r="W1018" i="1" s="1"/>
  <c r="X1046" i="1"/>
  <c r="W1046" i="1" s="1"/>
  <c r="X1035" i="1"/>
  <c r="W1035" i="1" s="1"/>
  <c r="X2037" i="1"/>
  <c r="W2037" i="1" s="1"/>
  <c r="X527" i="1"/>
  <c r="W527" i="1" s="1"/>
  <c r="X2670" i="1"/>
  <c r="W2670" i="1" s="1"/>
  <c r="X1855" i="1"/>
  <c r="W1855" i="1" s="1"/>
  <c r="X1853" i="1"/>
  <c r="W1853" i="1" s="1"/>
  <c r="X1561" i="1"/>
  <c r="W1561" i="1" s="1"/>
  <c r="X1560" i="1"/>
  <c r="W1560" i="1" s="1"/>
  <c r="X2954" i="1"/>
  <c r="W2954" i="1" s="1"/>
  <c r="X1637" i="1"/>
  <c r="W1637" i="1" s="1"/>
  <c r="X419" i="1"/>
  <c r="W419" i="1" s="1"/>
  <c r="X418" i="1"/>
  <c r="W418" i="1" s="1"/>
  <c r="X187" i="1"/>
  <c r="W187" i="1" s="1"/>
  <c r="X2770" i="1"/>
  <c r="W2770" i="1" s="1"/>
  <c r="X2769" i="1"/>
  <c r="W2769" i="1" s="1"/>
  <c r="X2768" i="1"/>
  <c r="W2768" i="1" s="1"/>
  <c r="X2767" i="1"/>
  <c r="W2767" i="1" s="1"/>
  <c r="X2771" i="1"/>
  <c r="W2771" i="1" s="1"/>
  <c r="X751" i="1"/>
  <c r="W751" i="1" s="1"/>
  <c r="X1865" i="1"/>
  <c r="W1865" i="1" s="1"/>
  <c r="X1860" i="1"/>
  <c r="W1860" i="1" s="1"/>
  <c r="X1864" i="1"/>
  <c r="W1864" i="1" s="1"/>
  <c r="X1862" i="1"/>
  <c r="W1862" i="1" s="1"/>
  <c r="X1859" i="1"/>
  <c r="W1859" i="1" s="1"/>
  <c r="X1707" i="1"/>
  <c r="W1707" i="1" s="1"/>
  <c r="X1708" i="1"/>
  <c r="W1708" i="1" s="1"/>
  <c r="X2397" i="1"/>
  <c r="W2397" i="1" s="1"/>
  <c r="X324" i="1"/>
  <c r="W324" i="1" s="1"/>
  <c r="X2245" i="1"/>
  <c r="W2245" i="1" s="1"/>
  <c r="X1589" i="1"/>
  <c r="W1589" i="1" s="1"/>
  <c r="X164" i="1"/>
  <c r="W164" i="1" s="1"/>
  <c r="X163" i="1"/>
  <c r="W163" i="1" s="1"/>
  <c r="X1791" i="1"/>
  <c r="W1791" i="1" s="1"/>
  <c r="X1794" i="1"/>
  <c r="W1794" i="1" s="1"/>
  <c r="X87" i="1"/>
  <c r="W87" i="1" s="1"/>
  <c r="X2339" i="1"/>
  <c r="W2339" i="1" s="1"/>
  <c r="X2002" i="1"/>
  <c r="W2002" i="1" s="1"/>
  <c r="X2005" i="1"/>
  <c r="W2005" i="1" s="1"/>
  <c r="X2004" i="1"/>
  <c r="W2004" i="1" s="1"/>
  <c r="X1872" i="1"/>
  <c r="W1872" i="1" s="1"/>
  <c r="X1871" i="1"/>
  <c r="W1871" i="1" s="1"/>
  <c r="X1630" i="1"/>
  <c r="W1630" i="1" s="1"/>
  <c r="X1634" i="1"/>
  <c r="W1634" i="1" s="1"/>
  <c r="X2164" i="1"/>
  <c r="W2164" i="1" s="1"/>
  <c r="X2156" i="1"/>
  <c r="W2156" i="1" s="1"/>
  <c r="X830" i="1"/>
  <c r="W830" i="1" s="1"/>
  <c r="X826" i="1"/>
  <c r="W826" i="1" s="1"/>
  <c r="X827" i="1"/>
  <c r="W827" i="1" s="1"/>
  <c r="X831" i="1"/>
  <c r="W831" i="1" s="1"/>
  <c r="X829" i="1"/>
  <c r="W829" i="1" s="1"/>
  <c r="X1858" i="1"/>
  <c r="W1858" i="1" s="1"/>
  <c r="X1857" i="1"/>
  <c r="W1857" i="1" s="1"/>
  <c r="X2297" i="1"/>
  <c r="W2297" i="1" s="1"/>
  <c r="X200" i="1"/>
  <c r="W200" i="1" s="1"/>
  <c r="X194" i="1"/>
  <c r="W194" i="1" s="1"/>
  <c r="X199" i="1"/>
  <c r="W199" i="1" s="1"/>
  <c r="X193" i="1"/>
  <c r="W193" i="1" s="1"/>
  <c r="X198" i="1"/>
  <c r="W198" i="1" s="1"/>
  <c r="X196" i="1"/>
  <c r="W196" i="1" s="1"/>
  <c r="X190" i="1"/>
  <c r="W190" i="1" s="1"/>
  <c r="X197" i="1"/>
  <c r="W197" i="1" s="1"/>
  <c r="X195" i="1"/>
  <c r="W195" i="1" s="1"/>
  <c r="X192" i="1"/>
  <c r="W192" i="1" s="1"/>
  <c r="X191" i="1"/>
  <c r="W191" i="1" s="1"/>
  <c r="X189" i="1"/>
  <c r="W189" i="1" s="1"/>
  <c r="X1781" i="1"/>
  <c r="W1781" i="1" s="1"/>
  <c r="X1537" i="1"/>
  <c r="W1537" i="1" s="1"/>
  <c r="X1838" i="1"/>
  <c r="W1838" i="1" s="1"/>
  <c r="X1602" i="1"/>
  <c r="W1602" i="1" s="1"/>
  <c r="X1601" i="1"/>
  <c r="W1601" i="1" s="1"/>
  <c r="X95" i="1"/>
  <c r="W95" i="1" s="1"/>
  <c r="X161" i="1"/>
  <c r="W161" i="1" s="1"/>
  <c r="X2368" i="1"/>
  <c r="W2368" i="1" s="1"/>
  <c r="X362" i="1"/>
  <c r="W362" i="1" s="1"/>
  <c r="X1164" i="1"/>
  <c r="W1164" i="1" s="1"/>
  <c r="X1162" i="1"/>
  <c r="W1162" i="1" s="1"/>
  <c r="X1163" i="1"/>
  <c r="W1163" i="1" s="1"/>
  <c r="X1161" i="1"/>
  <c r="W1161" i="1" s="1"/>
  <c r="X560" i="1"/>
  <c r="W560" i="1" s="1"/>
  <c r="X3095" i="1"/>
  <c r="W3095" i="1" s="1"/>
  <c r="X3094" i="1"/>
  <c r="W3094" i="1" s="1"/>
  <c r="X1484" i="1"/>
  <c r="W1484" i="1" s="1"/>
  <c r="X1474" i="1"/>
  <c r="W1474" i="1" s="1"/>
  <c r="X934" i="1"/>
  <c r="W934" i="1" s="1"/>
  <c r="X936" i="1"/>
  <c r="W936" i="1" s="1"/>
  <c r="X935" i="1"/>
  <c r="W935" i="1" s="1"/>
  <c r="X273" i="1"/>
  <c r="W273" i="1" s="1"/>
  <c r="X271" i="1"/>
  <c r="W271" i="1" s="1"/>
  <c r="X270" i="1"/>
  <c r="W270" i="1" s="1"/>
  <c r="X269" i="1"/>
  <c r="W269" i="1" s="1"/>
  <c r="X272" i="1"/>
  <c r="W272" i="1" s="1"/>
  <c r="X3109" i="1"/>
  <c r="W3109" i="1" s="1"/>
  <c r="X1603" i="1"/>
  <c r="W1603" i="1" s="1"/>
  <c r="X2060" i="1"/>
  <c r="W2060" i="1" s="1"/>
  <c r="X1803" i="1"/>
  <c r="W1803" i="1" s="1"/>
  <c r="X1820" i="1"/>
  <c r="W1820" i="1" s="1"/>
  <c r="X1813" i="1"/>
  <c r="W1813" i="1" s="1"/>
  <c r="X1821" i="1"/>
  <c r="W1821" i="1" s="1"/>
  <c r="X2867" i="1"/>
  <c r="W2867" i="1" s="1"/>
  <c r="X201" i="1"/>
  <c r="W201" i="1" s="1"/>
  <c r="X3040" i="1"/>
  <c r="W3040" i="1" s="1"/>
  <c r="X3041" i="1"/>
  <c r="W3041" i="1" s="1"/>
  <c r="X486" i="1"/>
  <c r="W486" i="1" s="1"/>
  <c r="X111" i="1"/>
  <c r="W111" i="1" s="1"/>
  <c r="X110" i="1"/>
  <c r="W110" i="1" s="1"/>
  <c r="X112" i="1"/>
  <c r="W112" i="1" s="1"/>
  <c r="X109" i="1"/>
  <c r="W109" i="1" s="1"/>
  <c r="X122" i="1"/>
  <c r="W122" i="1" s="1"/>
  <c r="X2842" i="1"/>
  <c r="W2842" i="1" s="1"/>
  <c r="X2839" i="1"/>
  <c r="W2839" i="1" s="1"/>
  <c r="X2848" i="1"/>
  <c r="W2848" i="1" s="1"/>
  <c r="X2845" i="1"/>
  <c r="W2845" i="1" s="1"/>
  <c r="X2841" i="1"/>
  <c r="W2841" i="1" s="1"/>
  <c r="X2838" i="1"/>
  <c r="W2838" i="1" s="1"/>
  <c r="X2847" i="1"/>
  <c r="W2847" i="1" s="1"/>
  <c r="X2844" i="1"/>
  <c r="W2844" i="1" s="1"/>
  <c r="X2840" i="1"/>
  <c r="W2840" i="1" s="1"/>
  <c r="X2837" i="1"/>
  <c r="W2837" i="1" s="1"/>
  <c r="X2843" i="1"/>
  <c r="W2843" i="1" s="1"/>
  <c r="X1352" i="1"/>
  <c r="W1352" i="1" s="1"/>
  <c r="X1365" i="1"/>
  <c r="W1365" i="1" s="1"/>
  <c r="X2549" i="1"/>
  <c r="W2549" i="1" s="1"/>
  <c r="X138" i="1"/>
  <c r="W138" i="1" s="1"/>
  <c r="X133" i="1"/>
  <c r="W133" i="1" s="1"/>
  <c r="X144" i="1"/>
  <c r="W144" i="1" s="1"/>
  <c r="X140" i="1"/>
  <c r="W140" i="1" s="1"/>
  <c r="X137" i="1"/>
  <c r="W137" i="1" s="1"/>
  <c r="X130" i="1"/>
  <c r="W130" i="1" s="1"/>
  <c r="X2276" i="1"/>
  <c r="W2276" i="1" s="1"/>
  <c r="X1761" i="1"/>
  <c r="W1761" i="1" s="1"/>
  <c r="X1224" i="1"/>
  <c r="W1224" i="1" s="1"/>
  <c r="X2812" i="1"/>
  <c r="W2812" i="1" s="1"/>
  <c r="X2811" i="1"/>
  <c r="W2811" i="1" s="1"/>
  <c r="X184" i="1"/>
  <c r="W184" i="1" s="1"/>
  <c r="X188" i="1"/>
  <c r="W188" i="1" s="1"/>
  <c r="X183" i="1"/>
  <c r="W183" i="1" s="1"/>
  <c r="X182" i="1"/>
  <c r="W182" i="1" s="1"/>
  <c r="X186" i="1"/>
  <c r="W186" i="1" s="1"/>
  <c r="X185" i="1"/>
  <c r="W185" i="1" s="1"/>
  <c r="X181" i="1"/>
  <c r="W181" i="1" s="1"/>
  <c r="X1239" i="1"/>
  <c r="W1239" i="1" s="1"/>
  <c r="X967" i="1"/>
  <c r="W967" i="1" s="1"/>
  <c r="X1961" i="1"/>
  <c r="W1961" i="1" s="1"/>
  <c r="X1839" i="1"/>
  <c r="W1839" i="1" s="1"/>
  <c r="X2927" i="1"/>
  <c r="W2927" i="1" s="1"/>
  <c r="X2928" i="1"/>
  <c r="W2928" i="1" s="1"/>
  <c r="X235" i="1"/>
  <c r="W235" i="1" s="1"/>
  <c r="X233" i="1"/>
  <c r="W233" i="1" s="1"/>
  <c r="X239" i="1"/>
  <c r="W239" i="1" s="1"/>
  <c r="X237" i="1"/>
  <c r="W237" i="1" s="1"/>
  <c r="X1792" i="1"/>
  <c r="W1792" i="1" s="1"/>
  <c r="X1793" i="1"/>
  <c r="W1793" i="1" s="1"/>
  <c r="X850" i="1"/>
  <c r="W850" i="1" s="1"/>
  <c r="X849" i="1"/>
  <c r="W849" i="1" s="1"/>
  <c r="X1277" i="1"/>
  <c r="W1277" i="1" s="1"/>
  <c r="X1278" i="1"/>
  <c r="W1278" i="1" s="1"/>
  <c r="X758" i="1"/>
  <c r="W758" i="1" s="1"/>
  <c r="X760" i="1"/>
  <c r="W760" i="1" s="1"/>
  <c r="X757" i="1"/>
  <c r="W757" i="1" s="1"/>
  <c r="X1804" i="1"/>
  <c r="W1804" i="1" s="1"/>
  <c r="X738" i="1"/>
  <c r="W738" i="1" s="1"/>
  <c r="X477" i="1"/>
  <c r="W477" i="1" s="1"/>
  <c r="X265" i="1"/>
  <c r="W265" i="1" s="1"/>
  <c r="X263" i="1"/>
  <c r="W263" i="1" s="1"/>
  <c r="X264" i="1"/>
  <c r="W264" i="1" s="1"/>
  <c r="X261" i="1"/>
  <c r="W261" i="1" s="1"/>
  <c r="X262" i="1"/>
  <c r="W262" i="1" s="1"/>
  <c r="X180" i="1"/>
  <c r="W180" i="1" s="1"/>
  <c r="X2554" i="1"/>
  <c r="W2554" i="1" s="1"/>
  <c r="X2556" i="1"/>
  <c r="W2556" i="1" s="1"/>
  <c r="X2555" i="1"/>
  <c r="W2555" i="1" s="1"/>
  <c r="X1431" i="1"/>
  <c r="W1431" i="1" s="1"/>
  <c r="X1443" i="1"/>
  <c r="W1443" i="1" s="1"/>
  <c r="X1435" i="1"/>
  <c r="W1435" i="1" s="1"/>
  <c r="X1447" i="1"/>
  <c r="W1447" i="1" s="1"/>
  <c r="X1450" i="1"/>
  <c r="W1450" i="1" s="1"/>
  <c r="X387" i="1"/>
  <c r="W387" i="1" s="1"/>
  <c r="X385" i="1"/>
  <c r="W385" i="1" s="1"/>
  <c r="X1875" i="1"/>
  <c r="W1875" i="1" s="1"/>
  <c r="X1873" i="1"/>
  <c r="W1873" i="1" s="1"/>
  <c r="X2263" i="1"/>
  <c r="W2263" i="1" s="1"/>
  <c r="X2262" i="1"/>
  <c r="W2262" i="1" s="1"/>
  <c r="X2258" i="1"/>
  <c r="W2258" i="1" s="1"/>
  <c r="X2257" i="1"/>
  <c r="W2257" i="1" s="1"/>
  <c r="X3137" i="1"/>
  <c r="W3137" i="1" s="1"/>
  <c r="X56" i="1"/>
  <c r="W56" i="1" s="1"/>
  <c r="X55" i="1"/>
  <c r="W55" i="1" s="1"/>
  <c r="X54" i="1"/>
  <c r="W54" i="1" s="1"/>
  <c r="X1368" i="1"/>
  <c r="W1368" i="1" s="1"/>
  <c r="X1756" i="1"/>
  <c r="W1756" i="1" s="1"/>
  <c r="X391" i="1"/>
  <c r="W391" i="1" s="1"/>
  <c r="X3113" i="1"/>
  <c r="W3113" i="1" s="1"/>
  <c r="X279" i="1"/>
  <c r="W279" i="1" s="1"/>
  <c r="X514" i="1"/>
  <c r="W514" i="1" s="1"/>
  <c r="X513" i="1"/>
  <c r="W513" i="1" s="1"/>
  <c r="X518" i="1"/>
  <c r="W518" i="1" s="1"/>
  <c r="X203" i="1"/>
  <c r="W203" i="1" s="1"/>
  <c r="X2344" i="1"/>
  <c r="W2344" i="1" s="1"/>
  <c r="X2346" i="1"/>
  <c r="W2346" i="1" s="1"/>
  <c r="X2345" i="1"/>
  <c r="W2345" i="1" s="1"/>
  <c r="X1964" i="1"/>
  <c r="W1964" i="1" s="1"/>
  <c r="X872" i="1"/>
  <c r="W872" i="1" s="1"/>
  <c r="X563" i="1"/>
  <c r="W563" i="1" s="1"/>
  <c r="X2320" i="1"/>
  <c r="W2320" i="1" s="1"/>
  <c r="X2321" i="1"/>
  <c r="W2321" i="1" s="1"/>
  <c r="X2318" i="1"/>
  <c r="W2318" i="1" s="1"/>
  <c r="X2319" i="1"/>
  <c r="W2319" i="1" s="1"/>
  <c r="X2317" i="1"/>
  <c r="W2317" i="1" s="1"/>
  <c r="X2316" i="1"/>
  <c r="W2316" i="1" s="1"/>
  <c r="X2322" i="1"/>
  <c r="W2322" i="1" s="1"/>
  <c r="X2171" i="1"/>
  <c r="W2171" i="1" s="1"/>
  <c r="X1701" i="1"/>
  <c r="W1701" i="1" s="1"/>
  <c r="X1703" i="1"/>
  <c r="W1703" i="1" s="1"/>
  <c r="X3142" i="1"/>
  <c r="W3142" i="1" s="1"/>
  <c r="X1845" i="1"/>
  <c r="W1845" i="1" s="1"/>
  <c r="X1844" i="1"/>
  <c r="W1844" i="1" s="1"/>
  <c r="X2833" i="1"/>
  <c r="W2833" i="1" s="1"/>
  <c r="X3079" i="1"/>
  <c r="W3079" i="1" s="1"/>
  <c r="X1738" i="1"/>
  <c r="W1738" i="1" s="1"/>
  <c r="X1529" i="1"/>
  <c r="W1529" i="1" s="1"/>
  <c r="X1210" i="1"/>
  <c r="W1210" i="1" s="1"/>
  <c r="X2958" i="1"/>
  <c r="W2958" i="1" s="1"/>
  <c r="X6" i="1"/>
  <c r="W6" i="1" s="1"/>
  <c r="X4" i="1"/>
  <c r="W4" i="1" s="1"/>
  <c r="X240" i="1"/>
  <c r="W240" i="1" s="1"/>
  <c r="X1817" i="1"/>
  <c r="W1817" i="1" s="1"/>
  <c r="X1814" i="1"/>
  <c r="W1814" i="1" s="1"/>
  <c r="X1818" i="1"/>
  <c r="W1818" i="1" s="1"/>
  <c r="X1815" i="1"/>
  <c r="W1815" i="1" s="1"/>
  <c r="X219" i="1"/>
  <c r="W219" i="1" s="1"/>
  <c r="X2097" i="1"/>
  <c r="W2097" i="1" s="1"/>
  <c r="X2627" i="1"/>
  <c r="W2627" i="1" s="1"/>
  <c r="X2267" i="1"/>
  <c r="W2267" i="1" s="1"/>
  <c r="X360" i="1"/>
  <c r="W360" i="1" s="1"/>
  <c r="X177" i="1"/>
  <c r="W177" i="1" s="1"/>
  <c r="X2266" i="1"/>
  <c r="W2266" i="1" s="1"/>
  <c r="X1917" i="1"/>
  <c r="W1917" i="1" s="1"/>
  <c r="X1500" i="1"/>
  <c r="W1500" i="1" s="1"/>
  <c r="X1379" i="1"/>
  <c r="W1379" i="1" s="1"/>
  <c r="X1063" i="1"/>
  <c r="W1063" i="1" s="1"/>
  <c r="X1510" i="1"/>
  <c r="W1510" i="1" s="1"/>
  <c r="X1509" i="1"/>
  <c r="W1509" i="1" s="1"/>
  <c r="X2824" i="1"/>
  <c r="W2824" i="1" s="1"/>
  <c r="X2830" i="1"/>
  <c r="W2830" i="1" s="1"/>
  <c r="X2829" i="1"/>
  <c r="W2829" i="1" s="1"/>
  <c r="X2988" i="1"/>
  <c r="W2988" i="1" s="1"/>
  <c r="X792" i="1"/>
  <c r="W792" i="1" s="1"/>
  <c r="X794" i="1"/>
  <c r="W794" i="1" s="1"/>
  <c r="X2897" i="1"/>
  <c r="W2897" i="1" s="1"/>
  <c r="X2905" i="1"/>
  <c r="W2905" i="1" s="1"/>
  <c r="X2932" i="1"/>
  <c r="W2932" i="1" s="1"/>
  <c r="X1371" i="1"/>
  <c r="W1371" i="1" s="1"/>
  <c r="X1080" i="1"/>
  <c r="W1080" i="1" s="1"/>
  <c r="X1783" i="1"/>
  <c r="W1783" i="1" s="1"/>
  <c r="X1776" i="1"/>
  <c r="W1776" i="1" s="1"/>
  <c r="X2778" i="1"/>
  <c r="W2778" i="1" s="1"/>
  <c r="X2783" i="1"/>
  <c r="W2783" i="1" s="1"/>
  <c r="X2788" i="1"/>
  <c r="W2788" i="1" s="1"/>
  <c r="X2790" i="1"/>
  <c r="W2790" i="1" s="1"/>
  <c r="X2787" i="1"/>
  <c r="W2787" i="1" s="1"/>
  <c r="X2066" i="1"/>
  <c r="W2066" i="1" s="1"/>
  <c r="X1690" i="1"/>
  <c r="W1690" i="1" s="1"/>
  <c r="X2912" i="1"/>
  <c r="W2912" i="1" s="1"/>
  <c r="X2911" i="1"/>
  <c r="W2911" i="1" s="1"/>
  <c r="X535" i="1"/>
  <c r="W535" i="1" s="1"/>
  <c r="X536" i="1"/>
  <c r="W536" i="1" s="1"/>
  <c r="X470" i="1"/>
  <c r="W470" i="1" s="1"/>
  <c r="X474" i="1"/>
  <c r="W474" i="1" s="1"/>
  <c r="X714" i="1"/>
  <c r="W714" i="1" s="1"/>
  <c r="X1048" i="1"/>
  <c r="W1048" i="1" s="1"/>
  <c r="X1532" i="1"/>
  <c r="W1532" i="1" s="1"/>
  <c r="X3133" i="1"/>
  <c r="W3133" i="1" s="1"/>
  <c r="X961" i="1"/>
  <c r="W961" i="1" s="1"/>
  <c r="X2625" i="1"/>
  <c r="W2625" i="1" s="1"/>
  <c r="X1081" i="1"/>
  <c r="W1081" i="1" s="1"/>
  <c r="X1044" i="1"/>
  <c r="W1044" i="1" s="1"/>
  <c r="X308" i="1"/>
  <c r="W308" i="1" s="1"/>
  <c r="X340" i="1"/>
  <c r="W340" i="1" s="1"/>
  <c r="X858" i="1"/>
  <c r="W858" i="1" s="1"/>
  <c r="X1647" i="1"/>
  <c r="W1647" i="1" s="1"/>
  <c r="X1759" i="1"/>
  <c r="W1759" i="1" s="1"/>
  <c r="X2283" i="1"/>
  <c r="W2283" i="1" s="1"/>
  <c r="X1528" i="1"/>
  <c r="W1528" i="1" s="1"/>
  <c r="X1321" i="1"/>
  <c r="W1321" i="1" s="1"/>
  <c r="X1175" i="1"/>
  <c r="W1175" i="1" s="1"/>
  <c r="X1173" i="1"/>
  <c r="W1173" i="1" s="1"/>
  <c r="X1667" i="1"/>
  <c r="W1667" i="1" s="1"/>
  <c r="X285" i="1"/>
  <c r="W285" i="1" s="1"/>
  <c r="X3062" i="1"/>
  <c r="W3062" i="1" s="1"/>
  <c r="X866" i="1"/>
  <c r="W866" i="1" s="1"/>
  <c r="X2384" i="1"/>
  <c r="W2384" i="1" s="1"/>
  <c r="X3063" i="1"/>
  <c r="W3063" i="1" s="1"/>
  <c r="X1687" i="1"/>
  <c r="W1687" i="1" s="1"/>
  <c r="X179" i="1"/>
  <c r="W179" i="1" s="1"/>
  <c r="X176" i="1"/>
  <c r="W176" i="1" s="1"/>
  <c r="X1486" i="1"/>
  <c r="W1486" i="1" s="1"/>
  <c r="X1051" i="1"/>
  <c r="W1051" i="1" s="1"/>
  <c r="X83" i="1"/>
  <c r="W83" i="1" s="1"/>
  <c r="X313" i="1"/>
  <c r="W313" i="1" s="1"/>
  <c r="X1481" i="1"/>
  <c r="W1481" i="1" s="1"/>
  <c r="X913" i="1"/>
  <c r="W913" i="1" s="1"/>
  <c r="X2603" i="1"/>
  <c r="W2603" i="1" s="1"/>
  <c r="X234" i="1"/>
  <c r="W234" i="1" s="1"/>
  <c r="X2732" i="1"/>
  <c r="W2732" i="1" s="1"/>
  <c r="X2736" i="1"/>
  <c r="W2736" i="1" s="1"/>
  <c r="X2735" i="1"/>
  <c r="W2735" i="1" s="1"/>
  <c r="X1651" i="1"/>
  <c r="W1651" i="1" s="1"/>
  <c r="X1650" i="1"/>
  <c r="W1650" i="1" s="1"/>
  <c r="X2748" i="1"/>
  <c r="W2748" i="1" s="1"/>
  <c r="X372" i="1"/>
  <c r="W372" i="1" s="1"/>
  <c r="X370" i="1"/>
  <c r="W370" i="1" s="1"/>
  <c r="X2348" i="1"/>
  <c r="W2348" i="1" s="1"/>
  <c r="X2349" i="1"/>
  <c r="W2349" i="1" s="1"/>
  <c r="X2910" i="1"/>
  <c r="W2910" i="1" s="1"/>
  <c r="X2427" i="1"/>
  <c r="W2427" i="1" s="1"/>
  <c r="X29" i="1"/>
  <c r="W29" i="1" s="1"/>
  <c r="X28" i="1"/>
  <c r="W28" i="1" s="1"/>
  <c r="X2733" i="1"/>
  <c r="W2733" i="1" s="1"/>
  <c r="X2426" i="1"/>
  <c r="W2426" i="1" s="1"/>
  <c r="X2228" i="1"/>
  <c r="W2228" i="1" s="1"/>
  <c r="X2209" i="1"/>
  <c r="W2209" i="1" s="1"/>
  <c r="X2425" i="1"/>
  <c r="W2425" i="1" s="1"/>
  <c r="X2424" i="1"/>
  <c r="W2424" i="1" s="1"/>
  <c r="X3039" i="1"/>
  <c r="W3039" i="1" s="1"/>
  <c r="X1966" i="1"/>
  <c r="W1966" i="1" s="1"/>
  <c r="X1965" i="1"/>
  <c r="W1965" i="1" s="1"/>
  <c r="X2433" i="1"/>
  <c r="W2433" i="1" s="1"/>
  <c r="X1892" i="1"/>
  <c r="W1892" i="1" s="1"/>
  <c r="X1231" i="1"/>
  <c r="W1231" i="1" s="1"/>
  <c r="X1199" i="1"/>
  <c r="W1199" i="1" s="1"/>
  <c r="X1219" i="1"/>
  <c r="W1219" i="1" s="1"/>
  <c r="X1253" i="1"/>
  <c r="W1253" i="1" s="1"/>
  <c r="X1252" i="1"/>
  <c r="W1252" i="1" s="1"/>
  <c r="X2711" i="1"/>
  <c r="W2711" i="1" s="1"/>
  <c r="X2902" i="1"/>
  <c r="W2902" i="1" s="1"/>
  <c r="X2093" i="1"/>
  <c r="W2093" i="1" s="1"/>
  <c r="X2090" i="1"/>
  <c r="W2090" i="1" s="1"/>
  <c r="X2095" i="1"/>
  <c r="W2095" i="1" s="1"/>
  <c r="X2712" i="1"/>
  <c r="W2712" i="1" s="1"/>
  <c r="X2298" i="1"/>
  <c r="W2298" i="1" s="1"/>
  <c r="X493" i="1"/>
  <c r="W493" i="1" s="1"/>
  <c r="X491" i="1"/>
  <c r="W491" i="1" s="1"/>
  <c r="X2362" i="1"/>
  <c r="W2362" i="1" s="1"/>
  <c r="X479" i="1"/>
  <c r="W479" i="1" s="1"/>
  <c r="X1787" i="1"/>
  <c r="W1787" i="1" s="1"/>
  <c r="X2698" i="1"/>
  <c r="W2698" i="1" s="1"/>
  <c r="X2431" i="1"/>
  <c r="W2431" i="1" s="1"/>
  <c r="X444" i="1"/>
  <c r="W444" i="1" s="1"/>
  <c r="X447" i="1"/>
  <c r="W447" i="1" s="1"/>
  <c r="X855" i="1"/>
  <c r="W855" i="1" s="1"/>
  <c r="X1135" i="1"/>
  <c r="W1135" i="1" s="1"/>
  <c r="X1134" i="1"/>
  <c r="W1134" i="1" s="1"/>
  <c r="X1133" i="1"/>
  <c r="W1133" i="1" s="1"/>
  <c r="X1132" i="1"/>
  <c r="W1132" i="1" s="1"/>
  <c r="X1918" i="1"/>
  <c r="W1918" i="1" s="1"/>
  <c r="X2420" i="1"/>
  <c r="W2420" i="1" s="1"/>
  <c r="X1531" i="1"/>
  <c r="W1531" i="1" s="1"/>
  <c r="X2214" i="1"/>
  <c r="W2214" i="1" s="1"/>
  <c r="X2230" i="1"/>
  <c r="W2230" i="1" s="1"/>
  <c r="X1417" i="1"/>
  <c r="W1417" i="1" s="1"/>
  <c r="X1409" i="1"/>
  <c r="W1409" i="1" s="1"/>
  <c r="X1405" i="1"/>
  <c r="W1405" i="1" s="1"/>
  <c r="X1414" i="1"/>
  <c r="W1414" i="1" s="1"/>
  <c r="X1101" i="1"/>
  <c r="W1101" i="1" s="1"/>
  <c r="X879" i="1"/>
  <c r="W879" i="1" s="1"/>
  <c r="X471" i="1"/>
  <c r="W471" i="1" s="1"/>
  <c r="X2786" i="1"/>
  <c r="W2786" i="1" s="1"/>
  <c r="X2779" i="1"/>
  <c r="W2779" i="1" s="1"/>
  <c r="X973" i="1"/>
  <c r="W973" i="1" s="1"/>
  <c r="X962" i="1"/>
  <c r="W962" i="1" s="1"/>
  <c r="X1840" i="1"/>
  <c r="W1840" i="1" s="1"/>
  <c r="X1511" i="1"/>
  <c r="W1511" i="1" s="1"/>
  <c r="X1656" i="1"/>
  <c r="W1656" i="1" s="1"/>
  <c r="X860" i="1"/>
  <c r="W860" i="1" s="1"/>
  <c r="X2434" i="1"/>
  <c r="W2434" i="1" s="1"/>
  <c r="X226" i="1"/>
  <c r="W226" i="1" s="1"/>
  <c r="X225" i="1"/>
  <c r="W225" i="1" s="1"/>
  <c r="X227" i="1"/>
  <c r="W227" i="1" s="1"/>
  <c r="X224" i="1"/>
  <c r="W224" i="1" s="1"/>
  <c r="X2428" i="1"/>
  <c r="W2428" i="1" s="1"/>
  <c r="X2418" i="1"/>
  <c r="W2418" i="1" s="1"/>
  <c r="X2422" i="1"/>
  <c r="W2422" i="1" s="1"/>
  <c r="X485" i="1"/>
  <c r="W485" i="1" s="1"/>
  <c r="X2439" i="1"/>
  <c r="W2439" i="1" s="1"/>
  <c r="X1893" i="1"/>
  <c r="W1893" i="1" s="1"/>
  <c r="X22" i="1"/>
  <c r="W22" i="1" s="1"/>
  <c r="X2630" i="1"/>
  <c r="W2630" i="1" s="1"/>
  <c r="X2457" i="1"/>
  <c r="W2457" i="1" s="1"/>
  <c r="X463" i="1"/>
  <c r="W463" i="1" s="1"/>
  <c r="X2435" i="1"/>
  <c r="W2435" i="1" s="1"/>
  <c r="X2436" i="1"/>
  <c r="W2436" i="1" s="1"/>
  <c r="X761" i="1"/>
  <c r="W761" i="1" s="1"/>
  <c r="X1404" i="1"/>
  <c r="W1404" i="1" s="1"/>
  <c r="X1406" i="1"/>
  <c r="W1406" i="1" s="1"/>
  <c r="X1968" i="1"/>
  <c r="W1968" i="1" s="1"/>
  <c r="X1967" i="1"/>
  <c r="W1967" i="1" s="1"/>
  <c r="X2992" i="1"/>
  <c r="W2992" i="1" s="1"/>
  <c r="X2247" i="1"/>
  <c r="W2247" i="1" s="1"/>
  <c r="X3011" i="1"/>
  <c r="W3011" i="1" s="1"/>
  <c r="X1275" i="1"/>
  <c r="W1275" i="1" s="1"/>
  <c r="X974" i="1"/>
  <c r="W974" i="1" s="1"/>
  <c r="X1693" i="1"/>
  <c r="W1693" i="1" s="1"/>
  <c r="X297" i="1"/>
  <c r="W297" i="1" s="1"/>
  <c r="X99" i="1"/>
  <c r="W99" i="1" s="1"/>
  <c r="X1733" i="1"/>
  <c r="W1733" i="1" s="1"/>
  <c r="X1558" i="1"/>
  <c r="W1558" i="1" s="1"/>
  <c r="X1555" i="1"/>
  <c r="W1555" i="1" s="1"/>
  <c r="X997" i="1"/>
  <c r="W997" i="1" s="1"/>
  <c r="X2280" i="1"/>
  <c r="W2280" i="1" s="1"/>
  <c r="X2279" i="1"/>
  <c r="W2279" i="1" s="1"/>
  <c r="X2278" i="1"/>
  <c r="W2278" i="1" s="1"/>
  <c r="X1056" i="1"/>
  <c r="W1056" i="1" s="1"/>
  <c r="X70" i="1"/>
  <c r="W70" i="1" s="1"/>
  <c r="X2852" i="1"/>
  <c r="W2852" i="1" s="1"/>
  <c r="X2851" i="1"/>
  <c r="W2851" i="1" s="1"/>
  <c r="X2856" i="1"/>
  <c r="W2856" i="1" s="1"/>
  <c r="X2058" i="1"/>
  <c r="W2058" i="1" s="1"/>
  <c r="X2062" i="1"/>
  <c r="W2062" i="1" s="1"/>
  <c r="X2669" i="1"/>
  <c r="W2669" i="1" s="1"/>
  <c r="X315" i="1"/>
  <c r="W315" i="1" s="1"/>
  <c r="X3054" i="1"/>
  <c r="W3054" i="1" s="1"/>
  <c r="X2623" i="1"/>
  <c r="W2623" i="1" s="1"/>
  <c r="X713" i="1"/>
  <c r="W713" i="1" s="1"/>
  <c r="X3" i="1"/>
  <c r="W3" i="1" s="1"/>
  <c r="X2" i="1"/>
  <c r="W2" i="1" s="1"/>
  <c r="X434" i="1"/>
  <c r="W434" i="1" s="1"/>
  <c r="X1040" i="1"/>
  <c r="W1040" i="1" s="1"/>
  <c r="X1061" i="1"/>
  <c r="W1061" i="1" s="1"/>
  <c r="X1060" i="1"/>
  <c r="W1060" i="1" s="1"/>
  <c r="X1073" i="1"/>
  <c r="W1073" i="1" s="1"/>
  <c r="X1072" i="1"/>
  <c r="W1072" i="1" s="1"/>
  <c r="X1062" i="1"/>
  <c r="W1062" i="1" s="1"/>
  <c r="X1057" i="1"/>
  <c r="W1057" i="1" s="1"/>
  <c r="X1038" i="1"/>
  <c r="W1038" i="1" s="1"/>
  <c r="X1055" i="1"/>
  <c r="W1055" i="1" s="1"/>
  <c r="X1045" i="1"/>
  <c r="W1045" i="1" s="1"/>
  <c r="X1530" i="1"/>
  <c r="W1530" i="1" s="1"/>
  <c r="X1808" i="1"/>
  <c r="W1808" i="1" s="1"/>
  <c r="X80" i="1"/>
  <c r="W80" i="1" s="1"/>
  <c r="X82" i="1"/>
  <c r="W82" i="1" s="1"/>
  <c r="X81" i="1"/>
  <c r="W81" i="1" s="1"/>
  <c r="X79" i="1"/>
  <c r="W79" i="1" s="1"/>
  <c r="X869" i="1"/>
  <c r="W869" i="1" s="1"/>
  <c r="X2892" i="1"/>
  <c r="W2892" i="1" s="1"/>
  <c r="X993" i="1"/>
  <c r="W993" i="1" s="1"/>
  <c r="X2889" i="1"/>
  <c r="W2889" i="1" s="1"/>
  <c r="X439" i="1"/>
  <c r="W439" i="1" s="1"/>
  <c r="X2697" i="1"/>
  <c r="W2697" i="1" s="1"/>
  <c r="X106" i="1"/>
  <c r="W106" i="1" s="1"/>
  <c r="X102" i="1"/>
  <c r="W102" i="1" s="1"/>
  <c r="X150" i="1"/>
  <c r="W150" i="1" s="1"/>
  <c r="X147" i="1"/>
  <c r="W147" i="1" s="1"/>
  <c r="X148" i="1"/>
  <c r="W148" i="1" s="1"/>
  <c r="X2755" i="1"/>
  <c r="W2755" i="1" s="1"/>
  <c r="X153" i="1"/>
  <c r="W153" i="1" s="1"/>
  <c r="X2035" i="1"/>
  <c r="W2035" i="1" s="1"/>
  <c r="X1255" i="1"/>
  <c r="W1255" i="1" s="1"/>
  <c r="X3114" i="1"/>
  <c r="W3114" i="1" s="1"/>
  <c r="X1448" i="1"/>
  <c r="W1448" i="1" s="1"/>
  <c r="X910" i="1"/>
  <c r="W910" i="1" s="1"/>
  <c r="X3121" i="1"/>
  <c r="W3121" i="1" s="1"/>
  <c r="X507" i="1"/>
  <c r="W507" i="1" s="1"/>
  <c r="X506" i="1"/>
  <c r="W506" i="1" s="1"/>
  <c r="X1506" i="1"/>
  <c r="W1506" i="1" s="1"/>
  <c r="X1576" i="1"/>
  <c r="W1576" i="1" s="1"/>
  <c r="X1577" i="1"/>
  <c r="W1577" i="1" s="1"/>
  <c r="X1564" i="1"/>
  <c r="W1564" i="1" s="1"/>
  <c r="X1569" i="1"/>
  <c r="W1569" i="1" s="1"/>
  <c r="X1565" i="1"/>
  <c r="W1565" i="1" s="1"/>
  <c r="X1262" i="1"/>
  <c r="W1262" i="1" s="1"/>
  <c r="X1254" i="1"/>
  <c r="W1254" i="1" s="1"/>
  <c r="X1032" i="1"/>
  <c r="W1032" i="1" s="1"/>
  <c r="X2568" i="1"/>
  <c r="W2568" i="1" s="1"/>
  <c r="X1517" i="1"/>
  <c r="W1517" i="1" s="1"/>
  <c r="X1559" i="1"/>
  <c r="W1559" i="1" s="1"/>
  <c r="X1031" i="1"/>
  <c r="W1031" i="1" s="1"/>
  <c r="X2884" i="1"/>
  <c r="W2884" i="1" s="1"/>
  <c r="X903" i="1"/>
  <c r="W903" i="1" s="1"/>
  <c r="X173" i="1"/>
  <c r="W173" i="1" s="1"/>
  <c r="X171" i="1"/>
  <c r="W171" i="1" s="1"/>
  <c r="X170" i="1"/>
  <c r="W170" i="1" s="1"/>
  <c r="X169" i="1"/>
  <c r="W169" i="1" s="1"/>
  <c r="X2885" i="1"/>
  <c r="W2885" i="1" s="1"/>
  <c r="X1691" i="1"/>
  <c r="W1691" i="1" s="1"/>
  <c r="X2324" i="1"/>
  <c r="W2324" i="1" s="1"/>
  <c r="X1214" i="1"/>
  <c r="W1214" i="1" s="1"/>
  <c r="X3077" i="1"/>
  <c r="W3077" i="1" s="1"/>
  <c r="X2753" i="1"/>
  <c r="W2753" i="1" s="1"/>
  <c r="X2303" i="1"/>
  <c r="W2303" i="1" s="1"/>
  <c r="X1247" i="1"/>
  <c r="W1247" i="1" s="1"/>
  <c r="X1259" i="1"/>
  <c r="W1259" i="1" s="1"/>
  <c r="X1244" i="1"/>
  <c r="W1244" i="1" s="1"/>
  <c r="X1266" i="1"/>
  <c r="W1266" i="1" s="1"/>
  <c r="X5" i="1"/>
  <c r="W5" i="1" s="1"/>
  <c r="X3003" i="1"/>
  <c r="W3003" i="1" s="1"/>
  <c r="X940" i="1"/>
  <c r="W940" i="1" s="1"/>
  <c r="X939" i="1"/>
  <c r="W939" i="1" s="1"/>
  <c r="X38" i="1"/>
  <c r="W38" i="1" s="1"/>
  <c r="X811" i="1"/>
  <c r="W811" i="1" s="1"/>
  <c r="X2944" i="1"/>
  <c r="W2944" i="1" s="1"/>
  <c r="X1449" i="1"/>
  <c r="W1449" i="1" s="1"/>
  <c r="X856" i="1"/>
  <c r="W856" i="1" s="1"/>
  <c r="X545" i="1"/>
  <c r="W545" i="1" s="1"/>
  <c r="X547" i="1"/>
  <c r="W547" i="1" s="1"/>
  <c r="X2705" i="1"/>
  <c r="W2705" i="1" s="1"/>
  <c r="X2704" i="1"/>
  <c r="W2704" i="1" s="1"/>
  <c r="X1557" i="1"/>
  <c r="W1557" i="1" s="1"/>
  <c r="X1554" i="1"/>
  <c r="W1554" i="1" s="1"/>
  <c r="X1550" i="1"/>
  <c r="W1550" i="1" s="1"/>
  <c r="X1727" i="1"/>
  <c r="W1727" i="1" s="1"/>
  <c r="X1124" i="1"/>
  <c r="W1124" i="1" s="1"/>
  <c r="X2805" i="1"/>
  <c r="W2805" i="1" s="1"/>
  <c r="X2804" i="1"/>
  <c r="W2804" i="1" s="1"/>
  <c r="X2791" i="1"/>
  <c r="W2791" i="1" s="1"/>
  <c r="X2799" i="1"/>
  <c r="W2799" i="1" s="1"/>
  <c r="X2615" i="1"/>
  <c r="W2615" i="1" s="1"/>
  <c r="X30" i="1"/>
  <c r="W30" i="1" s="1"/>
  <c r="X31" i="1"/>
  <c r="W31" i="1" s="1"/>
  <c r="X2599" i="1"/>
  <c r="W2599" i="1" s="1"/>
  <c r="X2597" i="1"/>
  <c r="W2597" i="1" s="1"/>
  <c r="X911" i="1"/>
  <c r="W911" i="1" s="1"/>
  <c r="X339" i="1"/>
  <c r="W339" i="1" s="1"/>
  <c r="X481" i="1"/>
  <c r="W481" i="1" s="1"/>
  <c r="X984" i="1"/>
  <c r="W984" i="1" s="1"/>
  <c r="X1389" i="1"/>
  <c r="W1389" i="1" s="1"/>
  <c r="X1374" i="1"/>
  <c r="W1374" i="1" s="1"/>
  <c r="X1100" i="1"/>
  <c r="W1100" i="1" s="1"/>
  <c r="X59" i="1"/>
  <c r="W59" i="1" s="1"/>
  <c r="X1201" i="1"/>
  <c r="W1201" i="1" s="1"/>
  <c r="X1835" i="1"/>
  <c r="W1835" i="1" s="1"/>
  <c r="X1828" i="1"/>
  <c r="W1828" i="1" s="1"/>
  <c r="X876" i="1"/>
  <c r="W876" i="1" s="1"/>
  <c r="X529" i="1"/>
  <c r="W529" i="1" s="1"/>
  <c r="X526" i="1"/>
  <c r="W526" i="1" s="1"/>
  <c r="X522" i="1"/>
  <c r="W522" i="1" s="1"/>
  <c r="X462" i="1"/>
  <c r="W462" i="1" s="1"/>
  <c r="X505" i="1"/>
  <c r="W505" i="1" s="1"/>
  <c r="X504" i="1"/>
  <c r="W504" i="1" s="1"/>
  <c r="X1043" i="1"/>
  <c r="W1043" i="1" s="1"/>
  <c r="X428" i="1"/>
  <c r="W428" i="1" s="1"/>
  <c r="X427" i="1"/>
  <c r="W427" i="1" s="1"/>
  <c r="X422" i="1"/>
  <c r="W422" i="1" s="1"/>
  <c r="X426" i="1"/>
  <c r="W426" i="1" s="1"/>
  <c r="X425" i="1"/>
  <c r="W425" i="1" s="1"/>
  <c r="X1408" i="1"/>
  <c r="W1408" i="1" s="1"/>
  <c r="X1303" i="1"/>
  <c r="W1303" i="1" s="1"/>
  <c r="X1542" i="1"/>
  <c r="W1542" i="1" s="1"/>
  <c r="X1948" i="1"/>
  <c r="W1948" i="1" s="1"/>
  <c r="X2576" i="1"/>
  <c r="W2576" i="1" s="1"/>
  <c r="X94" i="1"/>
  <c r="W94" i="1" s="1"/>
  <c r="X1154" i="1"/>
  <c r="W1154" i="1" s="1"/>
  <c r="X871" i="1"/>
  <c r="W871" i="1" s="1"/>
  <c r="X1416" i="1"/>
  <c r="W1416" i="1" s="1"/>
  <c r="X1407" i="1"/>
  <c r="W1407" i="1" s="1"/>
  <c r="X1403" i="1"/>
  <c r="W1403" i="1" s="1"/>
  <c r="X1410" i="1"/>
  <c r="W1410" i="1" s="1"/>
  <c r="X1924" i="1"/>
  <c r="W1924" i="1" s="1"/>
  <c r="X862" i="1"/>
  <c r="W862" i="1" s="1"/>
  <c r="X861" i="1"/>
  <c r="W861" i="1" s="1"/>
  <c r="X32" i="1"/>
  <c r="W32" i="1" s="1"/>
  <c r="X1085" i="1"/>
  <c r="W1085" i="1" s="1"/>
  <c r="X926" i="1"/>
  <c r="W926" i="1" s="1"/>
  <c r="X2409" i="1"/>
  <c r="W2409" i="1" s="1"/>
  <c r="X2407" i="1"/>
  <c r="W2407" i="1" s="1"/>
  <c r="X2410" i="1"/>
  <c r="W2410" i="1" s="1"/>
  <c r="X2408" i="1"/>
  <c r="W2408" i="1" s="1"/>
  <c r="X1916" i="1"/>
  <c r="W1916" i="1" s="1"/>
  <c r="X709" i="1"/>
  <c r="W709" i="1" s="1"/>
  <c r="X2696" i="1"/>
  <c r="W2696" i="1" s="1"/>
  <c r="X1736" i="1"/>
  <c r="W1736" i="1" s="1"/>
  <c r="X1526" i="1"/>
  <c r="W1526" i="1" s="1"/>
  <c r="X1847" i="1"/>
  <c r="W1847" i="1" s="1"/>
  <c r="X925" i="1"/>
  <c r="W925" i="1" s="1"/>
  <c r="X1655" i="1"/>
  <c r="W1655" i="1" s="1"/>
  <c r="X1654" i="1"/>
  <c r="W1654" i="1" s="1"/>
  <c r="X2709" i="1"/>
  <c r="W2709" i="1" s="1"/>
  <c r="X232" i="1"/>
  <c r="W232" i="1" s="1"/>
  <c r="X1734" i="1"/>
  <c r="W1734" i="1" s="1"/>
  <c r="X2700" i="1"/>
  <c r="W2700" i="1" s="1"/>
  <c r="X2883" i="1"/>
  <c r="W2883" i="1" s="1"/>
  <c r="X1909" i="1"/>
  <c r="W1909" i="1" s="1"/>
  <c r="X1902" i="1"/>
  <c r="W1902" i="1" s="1"/>
  <c r="X1900" i="1"/>
  <c r="W1900" i="1" s="1"/>
  <c r="X1213" i="1"/>
  <c r="W1213" i="1" s="1"/>
  <c r="X1211" i="1"/>
  <c r="W1211" i="1" s="1"/>
  <c r="X2600" i="1"/>
  <c r="W2600" i="1" s="1"/>
  <c r="X2205" i="1"/>
  <c r="W2205" i="1" s="1"/>
  <c r="X3053" i="1"/>
  <c r="W3053" i="1" s="1"/>
  <c r="X1482" i="1"/>
  <c r="W1482" i="1" s="1"/>
  <c r="X3096" i="1"/>
  <c r="W3096" i="1" s="1"/>
  <c r="X1805" i="1"/>
  <c r="W1805" i="1" s="1"/>
  <c r="X411" i="1"/>
  <c r="W411" i="1" s="1"/>
  <c r="X406" i="1"/>
  <c r="W406" i="1" s="1"/>
  <c r="X410" i="1"/>
  <c r="W410" i="1" s="1"/>
  <c r="X409" i="1"/>
  <c r="W409" i="1" s="1"/>
  <c r="X2621" i="1"/>
  <c r="W2621" i="1" s="1"/>
  <c r="X2429" i="1"/>
  <c r="W2429" i="1" s="1"/>
  <c r="X1890" i="1"/>
  <c r="W1890" i="1" s="1"/>
  <c r="X1889" i="1"/>
  <c r="W1889" i="1" s="1"/>
  <c r="X256" i="1"/>
  <c r="W256" i="1" s="1"/>
  <c r="X1539" i="1"/>
  <c r="W1539" i="1" s="1"/>
  <c r="X2693" i="1"/>
  <c r="W2693" i="1" s="1"/>
  <c r="X255" i="1"/>
  <c r="W255" i="1" s="1"/>
  <c r="X2708" i="1"/>
  <c r="W2708" i="1" s="1"/>
  <c r="X1092" i="1"/>
  <c r="W1092" i="1" s="1"/>
  <c r="X469" i="1"/>
  <c r="W469" i="1" s="1"/>
  <c r="X1315" i="1"/>
  <c r="W1315" i="1" s="1"/>
  <c r="X1296" i="1"/>
  <c r="W1296" i="1" s="1"/>
  <c r="X1729" i="1"/>
  <c r="W1729" i="1" s="1"/>
  <c r="X1724" i="1"/>
  <c r="W1724" i="1" s="1"/>
  <c r="X1728" i="1"/>
  <c r="W1728" i="1" s="1"/>
  <c r="X1472" i="1"/>
  <c r="W1472" i="1" s="1"/>
  <c r="X1689" i="1"/>
  <c r="W1689" i="1" s="1"/>
  <c r="X90" i="1"/>
  <c r="W90" i="1" s="1"/>
  <c r="X2574" i="1"/>
  <c r="W2574" i="1" s="1"/>
  <c r="X2288" i="1"/>
  <c r="W2288" i="1" s="1"/>
  <c r="X2282" i="1"/>
  <c r="W2282" i="1" s="1"/>
  <c r="X2289" i="1"/>
  <c r="W2289" i="1" s="1"/>
  <c r="X1440" i="1"/>
  <c r="W1440" i="1" s="1"/>
  <c r="X1433" i="1"/>
  <c r="W1433" i="1" s="1"/>
  <c r="X1507" i="1"/>
  <c r="W1507" i="1" s="1"/>
  <c r="X2366" i="1"/>
  <c r="W2366" i="1" s="1"/>
  <c r="X2887" i="1"/>
  <c r="W2887" i="1" s="1"/>
  <c r="X1242" i="1"/>
  <c r="W1242" i="1" s="1"/>
  <c r="X2691" i="1"/>
  <c r="W2691" i="1" s="1"/>
  <c r="X2694" i="1"/>
  <c r="W2694" i="1" s="1"/>
  <c r="X1520" i="1"/>
  <c r="W1520" i="1" s="1"/>
  <c r="X1519" i="1"/>
  <c r="W1519" i="1" s="1"/>
  <c r="X1912" i="1"/>
  <c r="W1912" i="1" s="1"/>
  <c r="X2952" i="1"/>
  <c r="W2952" i="1" s="1"/>
  <c r="X1349" i="1"/>
  <c r="W1349" i="1" s="1"/>
  <c r="X1348" i="1"/>
  <c r="W1348" i="1" s="1"/>
  <c r="X338" i="1"/>
  <c r="W338" i="1" s="1"/>
  <c r="X379" i="1"/>
  <c r="W379" i="1" s="1"/>
  <c r="X2176" i="1"/>
  <c r="W2176" i="1" s="1"/>
  <c r="X2741" i="1"/>
  <c r="W2741" i="1" s="1"/>
  <c r="X450" i="1"/>
  <c r="W450" i="1" s="1"/>
  <c r="X446" i="1"/>
  <c r="W446" i="1" s="1"/>
  <c r="X449" i="1"/>
  <c r="W449" i="1" s="1"/>
  <c r="X2417" i="1"/>
  <c r="W2417" i="1" s="1"/>
  <c r="X2416" i="1"/>
  <c r="W2416" i="1" s="1"/>
  <c r="X1396" i="1"/>
  <c r="W1396" i="1" s="1"/>
  <c r="X46" i="1"/>
  <c r="W46" i="1" s="1"/>
  <c r="X3076" i="1"/>
  <c r="W3076" i="1" s="1"/>
  <c r="X401" i="1"/>
  <c r="W401" i="1" s="1"/>
  <c r="X1754" i="1"/>
  <c r="W1754" i="1" s="1"/>
  <c r="X1327" i="1"/>
  <c r="W1327" i="1" s="1"/>
  <c r="X1325" i="1"/>
  <c r="W1325" i="1" s="1"/>
  <c r="X1324" i="1"/>
  <c r="W1324" i="1" s="1"/>
  <c r="X2575" i="1"/>
  <c r="W2575" i="1" s="1"/>
  <c r="X1430" i="1"/>
  <c r="W1430" i="1" s="1"/>
  <c r="X490" i="1"/>
  <c r="W490" i="1" s="1"/>
  <c r="X1347" i="1"/>
  <c r="W1347" i="1" s="1"/>
  <c r="X1346" i="1"/>
  <c r="W1346" i="1" s="1"/>
  <c r="X492" i="1"/>
  <c r="W492" i="1" s="1"/>
  <c r="X1512" i="1"/>
  <c r="W1512" i="1" s="1"/>
  <c r="X1905" i="1"/>
  <c r="W1905" i="1" s="1"/>
  <c r="X1899" i="1"/>
  <c r="W1899" i="1" s="1"/>
  <c r="X1097" i="1"/>
  <c r="W1097" i="1" s="1"/>
  <c r="X1260" i="1"/>
  <c r="W1260" i="1" s="1"/>
  <c r="X53" i="1"/>
  <c r="W53" i="1" s="1"/>
  <c r="X51" i="1"/>
  <c r="W51" i="1" s="1"/>
  <c r="X2458" i="1"/>
  <c r="W2458" i="1" s="1"/>
  <c r="X1241" i="1"/>
  <c r="W1241" i="1" s="1"/>
  <c r="X2268" i="1"/>
  <c r="W2268" i="1" s="1"/>
  <c r="X221" i="1"/>
  <c r="W221" i="1" s="1"/>
  <c r="X1469" i="1"/>
  <c r="W1469" i="1" s="1"/>
  <c r="X2956" i="1"/>
  <c r="W2956" i="1" s="1"/>
  <c r="X3108" i="1"/>
  <c r="W3108" i="1" s="1"/>
  <c r="X996" i="1"/>
  <c r="W996" i="1" s="1"/>
  <c r="X341" i="1"/>
  <c r="W341" i="1" s="1"/>
  <c r="X337" i="1"/>
  <c r="W337" i="1" s="1"/>
  <c r="X1096" i="1"/>
  <c r="W1096" i="1" s="1"/>
  <c r="X909" i="1"/>
  <c r="W909" i="1" s="1"/>
  <c r="X202" i="1"/>
  <c r="W202" i="1" s="1"/>
  <c r="X2136" i="1"/>
  <c r="W2136" i="1" s="1"/>
  <c r="X2137" i="1"/>
  <c r="W2137" i="1" s="1"/>
  <c r="X1501" i="1"/>
  <c r="W1501" i="1" s="1"/>
  <c r="X2162" i="1"/>
  <c r="W2162" i="1" s="1"/>
  <c r="X2569" i="1"/>
  <c r="W2569" i="1" s="1"/>
  <c r="X2570" i="1"/>
  <c r="W2570" i="1" s="1"/>
  <c r="X2466" i="1"/>
  <c r="W2466" i="1" s="1"/>
  <c r="X1361" i="1"/>
  <c r="W1361" i="1" s="1"/>
  <c r="X178" i="1"/>
  <c r="W178" i="1" s="1"/>
  <c r="X175" i="1"/>
  <c r="W175" i="1" s="1"/>
  <c r="X1598" i="1"/>
  <c r="W1598" i="1" s="1"/>
  <c r="X1148" i="1"/>
  <c r="W1148" i="1" s="1"/>
  <c r="X482" i="1"/>
  <c r="W482" i="1" s="1"/>
  <c r="X488" i="1"/>
  <c r="W488" i="1" s="1"/>
  <c r="X494" i="1"/>
  <c r="W494" i="1" s="1"/>
  <c r="X746" i="1"/>
  <c r="W746" i="1" s="1"/>
  <c r="X2773" i="1"/>
  <c r="W2773" i="1" s="1"/>
  <c r="X2772" i="1"/>
  <c r="W2772" i="1" s="1"/>
  <c r="X1422" i="1"/>
  <c r="W1422" i="1" s="1"/>
  <c r="X1263" i="1"/>
  <c r="W1263" i="1" s="1"/>
  <c r="X1279" i="1"/>
  <c r="W1279" i="1" s="1"/>
  <c r="X1726" i="1"/>
  <c r="W1726" i="1" s="1"/>
  <c r="X1476" i="1"/>
  <c r="W1476" i="1" s="1"/>
  <c r="X1471" i="1"/>
  <c r="W1471" i="1" s="1"/>
  <c r="X1480" i="1"/>
  <c r="W1480" i="1" s="1"/>
  <c r="X1473" i="1"/>
  <c r="W1473" i="1" s="1"/>
  <c r="X2444" i="1"/>
  <c r="W2444" i="1" s="1"/>
  <c r="X2445" i="1"/>
  <c r="W2445" i="1" s="1"/>
  <c r="X1413" i="1"/>
  <c r="W1413" i="1" s="1"/>
  <c r="X1415" i="1"/>
  <c r="W1415" i="1" s="1"/>
  <c r="X332" i="1"/>
  <c r="W332" i="1" s="1"/>
  <c r="X2701" i="1"/>
  <c r="W2701" i="1" s="1"/>
  <c r="X1314" i="1"/>
  <c r="W1314" i="1" s="1"/>
  <c r="X1295" i="1"/>
  <c r="W1295" i="1" s="1"/>
  <c r="X1309" i="1"/>
  <c r="W1309" i="1" s="1"/>
  <c r="X2403" i="1"/>
  <c r="W2403" i="1" s="1"/>
  <c r="X1268" i="1"/>
  <c r="W1268" i="1" s="1"/>
  <c r="X2618" i="1"/>
  <c r="W2618" i="1" s="1"/>
  <c r="X2872" i="1"/>
  <c r="W2872" i="1" s="1"/>
  <c r="X1094" i="1"/>
  <c r="W1094" i="1" s="1"/>
  <c r="X1700" i="1"/>
  <c r="W1700" i="1" s="1"/>
  <c r="X398" i="1"/>
  <c r="W398" i="1" s="1"/>
  <c r="X397" i="1"/>
  <c r="W397" i="1" s="1"/>
  <c r="X395" i="1"/>
  <c r="W395" i="1" s="1"/>
  <c r="X1176" i="1"/>
  <c r="W1176" i="1" s="1"/>
  <c r="X1775" i="1"/>
  <c r="W1775" i="1" s="1"/>
  <c r="X2175" i="1"/>
  <c r="W2175" i="1" s="1"/>
  <c r="X1696" i="1"/>
  <c r="W1696" i="1" s="1"/>
  <c r="X1684" i="1"/>
  <c r="W1684" i="1" s="1"/>
  <c r="X1678" i="1"/>
  <c r="W1678" i="1" s="1"/>
  <c r="X1679" i="1"/>
  <c r="W1679" i="1" s="1"/>
  <c r="X1680" i="1"/>
  <c r="W1680" i="1" s="1"/>
  <c r="X1681" i="1"/>
  <c r="W1681" i="1" s="1"/>
  <c r="X1682" i="1"/>
  <c r="W1682" i="1" s="1"/>
  <c r="X1683" i="1"/>
  <c r="W1683" i="1" s="1"/>
  <c r="X502" i="1"/>
  <c r="W502" i="1" s="1"/>
  <c r="X1497" i="1"/>
  <c r="W1497" i="1" s="1"/>
  <c r="X1499" i="1"/>
  <c r="W1499" i="1" s="1"/>
  <c r="X1692" i="1"/>
  <c r="W1692" i="1" s="1"/>
  <c r="X1257" i="1"/>
  <c r="W1257" i="1" s="1"/>
  <c r="X517" i="1"/>
  <c r="W517" i="1" s="1"/>
  <c r="X516" i="1"/>
  <c r="W516" i="1" s="1"/>
  <c r="X519" i="1"/>
  <c r="W519" i="1" s="1"/>
  <c r="X515" i="1"/>
  <c r="W515" i="1" s="1"/>
  <c r="X1212" i="1"/>
  <c r="W1212" i="1" s="1"/>
  <c r="X1222" i="1"/>
  <c r="W1222" i="1" s="1"/>
  <c r="X2953" i="1"/>
  <c r="W2953" i="1" s="1"/>
  <c r="X1313" i="1"/>
  <c r="W1313" i="1" s="1"/>
  <c r="X1311" i="1"/>
  <c r="W1311" i="1" s="1"/>
  <c r="X3042" i="1"/>
  <c r="W3042" i="1" s="1"/>
  <c r="X2046" i="1"/>
  <c r="W2046" i="1" s="1"/>
  <c r="X2754" i="1"/>
  <c r="W2754" i="1" s="1"/>
  <c r="X2752" i="1"/>
  <c r="W2752" i="1" s="1"/>
  <c r="X2573" i="1"/>
  <c r="W2573" i="1" s="1"/>
  <c r="X2572" i="1"/>
  <c r="W2572" i="1" s="1"/>
  <c r="X1540" i="1"/>
  <c r="W1540" i="1" s="1"/>
  <c r="X1012" i="1"/>
  <c r="W1012" i="1" s="1"/>
  <c r="X1248" i="1"/>
  <c r="W1248" i="1" s="1"/>
  <c r="X86" i="1"/>
  <c r="W86" i="1" s="1"/>
  <c r="X7" i="1"/>
  <c r="W7" i="1" s="1"/>
  <c r="X2622" i="1"/>
  <c r="W2622" i="1" s="1"/>
  <c r="X1139" i="1"/>
  <c r="W1139" i="1" s="1"/>
  <c r="X1138" i="1"/>
  <c r="W1138" i="1" s="1"/>
  <c r="X1444" i="1"/>
  <c r="W1444" i="1" s="1"/>
  <c r="X2613" i="1"/>
  <c r="W2613" i="1" s="1"/>
  <c r="X2612" i="1"/>
  <c r="W2612" i="1" s="1"/>
  <c r="X3129" i="1"/>
  <c r="W3129" i="1" s="1"/>
  <c r="X3126" i="1"/>
  <c r="W3126" i="1" s="1"/>
  <c r="X3128" i="1"/>
  <c r="W3128" i="1" s="1"/>
  <c r="X88" i="1"/>
  <c r="W88" i="1" s="1"/>
  <c r="X2180" i="1"/>
  <c r="W2180" i="1" s="1"/>
  <c r="X3052" i="1"/>
  <c r="W3052" i="1" s="1"/>
  <c r="X3051" i="1"/>
  <c r="W3051" i="1" s="1"/>
  <c r="X498" i="1"/>
  <c r="W498" i="1" s="1"/>
  <c r="X1355" i="1"/>
  <c r="W1355" i="1" s="1"/>
  <c r="X1699" i="1"/>
  <c r="W1699" i="1" s="1"/>
  <c r="X1698" i="1"/>
  <c r="W1698" i="1" s="1"/>
  <c r="X1697" i="1"/>
  <c r="W1697" i="1" s="1"/>
  <c r="X1165" i="1"/>
  <c r="W1165" i="1" s="1"/>
  <c r="X1160" i="1"/>
  <c r="W1160" i="1" s="1"/>
  <c r="X1159" i="1"/>
  <c r="W1159" i="1" s="1"/>
  <c r="X445" i="1"/>
  <c r="W445" i="1" s="1"/>
  <c r="X448" i="1"/>
  <c r="W448" i="1" s="1"/>
  <c r="X3078" i="1"/>
  <c r="W3078" i="1" s="1"/>
  <c r="X98" i="1"/>
  <c r="W98" i="1" s="1"/>
  <c r="X311" i="1"/>
  <c r="W311" i="1" s="1"/>
  <c r="X283" i="1"/>
  <c r="W283" i="1" s="1"/>
  <c r="X282" i="1"/>
  <c r="W282" i="1" s="1"/>
  <c r="X146" i="1"/>
  <c r="W146" i="1" s="1"/>
  <c r="X495" i="1"/>
  <c r="W495" i="1" s="1"/>
  <c r="X489" i="1"/>
  <c r="W489" i="1" s="1"/>
  <c r="X2886" i="1"/>
  <c r="W2886" i="1" s="1"/>
  <c r="X2785" i="1"/>
  <c r="W2785" i="1" s="1"/>
  <c r="X956" i="1"/>
  <c r="W956" i="1" s="1"/>
  <c r="X955" i="1"/>
  <c r="W955" i="1" s="1"/>
  <c r="X953" i="1"/>
  <c r="W953" i="1" s="1"/>
  <c r="X954" i="1"/>
  <c r="W954" i="1" s="1"/>
  <c r="X957" i="1"/>
  <c r="W957" i="1" s="1"/>
  <c r="X45" i="1"/>
  <c r="W45" i="1" s="1"/>
  <c r="X1283" i="1"/>
  <c r="W1283" i="1" s="1"/>
  <c r="X1766" i="1"/>
  <c r="W1766" i="1" s="1"/>
  <c r="X1765" i="1"/>
  <c r="W1765" i="1" s="1"/>
  <c r="X1763" i="1"/>
  <c r="W1763" i="1" s="1"/>
  <c r="X2565" i="1"/>
  <c r="W2565" i="1" s="1"/>
  <c r="X2558" i="1"/>
  <c r="W2558" i="1" s="1"/>
  <c r="X3002" i="1"/>
  <c r="W3002" i="1" s="1"/>
  <c r="X2727" i="1"/>
  <c r="W2727" i="1" s="1"/>
  <c r="X2194" i="1"/>
  <c r="W2194" i="1" s="1"/>
  <c r="X1973" i="1"/>
  <c r="W1973" i="1" s="1"/>
  <c r="X1974" i="1"/>
  <c r="W1974" i="1" s="1"/>
  <c r="X1971" i="1"/>
  <c r="W1971" i="1" s="1"/>
  <c r="X1970" i="1"/>
  <c r="W1970" i="1" s="1"/>
  <c r="X100" i="1"/>
  <c r="W100" i="1" s="1"/>
  <c r="X101" i="1"/>
  <c r="W101" i="1" s="1"/>
  <c r="X1999" i="1"/>
  <c r="W1999" i="1" s="1"/>
  <c r="X1997" i="1"/>
  <c r="W1997" i="1" s="1"/>
  <c r="X1354" i="1"/>
  <c r="W1354" i="1" s="1"/>
  <c r="X473" i="1"/>
  <c r="W473" i="1" s="1"/>
  <c r="X1251" i="1"/>
  <c r="W1251" i="1" s="1"/>
  <c r="X2450" i="1"/>
  <c r="W2450" i="1" s="1"/>
  <c r="X2438" i="1"/>
  <c r="W2438" i="1" s="1"/>
  <c r="X2449" i="1"/>
  <c r="W2449" i="1" s="1"/>
  <c r="X2448" i="1"/>
  <c r="W2448" i="1" s="1"/>
  <c r="X2750" i="1"/>
  <c r="W2750" i="1" s="1"/>
  <c r="X2124" i="1"/>
  <c r="W2124" i="1" s="1"/>
  <c r="X2122" i="1"/>
  <c r="W2122" i="1" s="1"/>
  <c r="X1114" i="1"/>
  <c r="W1114" i="1" s="1"/>
  <c r="X1118" i="1"/>
  <c r="W1118" i="1" s="1"/>
  <c r="X1291" i="1"/>
  <c r="W1291" i="1" s="1"/>
  <c r="X1301" i="1"/>
  <c r="W1301" i="1" s="1"/>
  <c r="X2949" i="1"/>
  <c r="W2949" i="1" s="1"/>
  <c r="X2948" i="1"/>
  <c r="W2948" i="1" s="1"/>
  <c r="X2827" i="1"/>
  <c r="W2827" i="1" s="1"/>
  <c r="X2826" i="1"/>
  <c r="W2826" i="1" s="1"/>
  <c r="X2828" i="1"/>
  <c r="W2828" i="1" s="1"/>
  <c r="X52" i="1"/>
  <c r="W52" i="1" s="1"/>
  <c r="X1737" i="1"/>
  <c r="W1737" i="1" s="1"/>
  <c r="X975" i="1"/>
  <c r="W975" i="1" s="1"/>
  <c r="X73" i="1"/>
  <c r="W73" i="1" s="1"/>
  <c r="X74" i="1"/>
  <c r="W74" i="1" s="1"/>
  <c r="X328" i="1"/>
  <c r="W328" i="1" s="1"/>
  <c r="X326" i="1"/>
  <c r="W326" i="1" s="1"/>
  <c r="X1340" i="1"/>
  <c r="W1340" i="1" s="1"/>
  <c r="X2964" i="1"/>
  <c r="W2964" i="1" s="1"/>
  <c r="X2963" i="1"/>
  <c r="W2963" i="1" s="1"/>
  <c r="X902" i="1"/>
  <c r="W902" i="1" s="1"/>
  <c r="X900" i="1"/>
  <c r="W900" i="1" s="1"/>
  <c r="X901" i="1"/>
  <c r="W901" i="1" s="1"/>
  <c r="X899" i="1"/>
  <c r="W899" i="1" s="1"/>
  <c r="X2629" i="1"/>
  <c r="W2629" i="1" s="1"/>
  <c r="X2631" i="1"/>
  <c r="W2631" i="1" s="1"/>
  <c r="X594" i="1"/>
  <c r="W594" i="1" s="1"/>
  <c r="X593" i="1"/>
  <c r="W593" i="1" s="1"/>
  <c r="X592" i="1"/>
  <c r="W592" i="1" s="1"/>
  <c r="X694" i="1"/>
  <c r="W694" i="1" s="1"/>
  <c r="X679" i="1"/>
  <c r="W679" i="1" s="1"/>
  <c r="X678" i="1"/>
  <c r="W678" i="1" s="1"/>
  <c r="X693" i="1"/>
  <c r="W693" i="1" s="1"/>
  <c r="X692" i="1"/>
  <c r="W692" i="1" s="1"/>
  <c r="X2795" i="1"/>
  <c r="W2795" i="1" s="1"/>
  <c r="X2794" i="1"/>
  <c r="W2794" i="1" s="1"/>
  <c r="X1597" i="1"/>
  <c r="W1597" i="1" s="1"/>
  <c r="X1925" i="1"/>
  <c r="W1925" i="1" s="1"/>
  <c r="X520" i="1"/>
  <c r="W520" i="1" s="1"/>
  <c r="X305" i="1"/>
  <c r="W305" i="1" s="1"/>
  <c r="X809" i="1"/>
  <c r="W809" i="1" s="1"/>
  <c r="X1837" i="1"/>
  <c r="W1837" i="1" s="1"/>
  <c r="X1825" i="1"/>
  <c r="W1825" i="1" s="1"/>
  <c r="X1745" i="1"/>
  <c r="W1745" i="1" s="1"/>
  <c r="X1744" i="1"/>
  <c r="W1744" i="1" s="1"/>
  <c r="X1823" i="1"/>
  <c r="W1823" i="1" s="1"/>
  <c r="X3116" i="1"/>
  <c r="W3116" i="1" s="1"/>
  <c r="X2453" i="1"/>
  <c r="W2453" i="1" s="1"/>
  <c r="X1755" i="1"/>
  <c r="W1755" i="1" s="1"/>
  <c r="X719" i="1"/>
  <c r="W719" i="1" s="1"/>
  <c r="X2728" i="1"/>
  <c r="W2728" i="1" s="1"/>
  <c r="X2724" i="1"/>
  <c r="W2724" i="1" s="1"/>
  <c r="X468" i="1"/>
  <c r="W468" i="1" s="1"/>
  <c r="X18" i="1"/>
  <c r="W18" i="1" s="1"/>
  <c r="X17" i="1"/>
  <c r="W17" i="1" s="1"/>
  <c r="X2777" i="1"/>
  <c r="W2777" i="1" s="1"/>
  <c r="X2781" i="1"/>
  <c r="W2781" i="1" s="1"/>
  <c r="X2775" i="1"/>
  <c r="W2775" i="1" s="1"/>
  <c r="X2780" i="1"/>
  <c r="W2780" i="1" s="1"/>
  <c r="X2776" i="1"/>
  <c r="W2776" i="1" s="1"/>
  <c r="X2774" i="1"/>
  <c r="W2774" i="1" s="1"/>
  <c r="X1998" i="1"/>
  <c r="W1998" i="1" s="1"/>
  <c r="X2782" i="1"/>
  <c r="W2782" i="1" s="1"/>
  <c r="X2784" i="1"/>
  <c r="W2784" i="1" s="1"/>
  <c r="X2327" i="1"/>
  <c r="W2327" i="1" s="1"/>
  <c r="X1772" i="1"/>
  <c r="W1772" i="1" s="1"/>
  <c r="X1426" i="1"/>
  <c r="W1426" i="1" s="1"/>
  <c r="X1800" i="1"/>
  <c r="W1800" i="1" s="1"/>
  <c r="X1802" i="1"/>
  <c r="W1802" i="1" s="1"/>
  <c r="X2931" i="1"/>
  <c r="W2931" i="1" s="1"/>
  <c r="X2452" i="1"/>
  <c r="W2452" i="1" s="1"/>
  <c r="X3136" i="1"/>
  <c r="W3136" i="1" s="1"/>
  <c r="X62" i="1"/>
  <c r="W62" i="1" s="1"/>
  <c r="X2050" i="1"/>
  <c r="W2050" i="1" s="1"/>
  <c r="X307" i="1"/>
  <c r="W307" i="1" s="1"/>
  <c r="X72" i="1"/>
  <c r="W72" i="1" s="1"/>
  <c r="X3060" i="1"/>
  <c r="W3060" i="1" s="1"/>
  <c r="X3059" i="1"/>
  <c r="W3059" i="1" s="1"/>
  <c r="X2863" i="1"/>
  <c r="W2863" i="1" s="1"/>
  <c r="X1960" i="1"/>
  <c r="W1960" i="1" s="1"/>
  <c r="X2580" i="1"/>
  <c r="W2580" i="1" s="1"/>
  <c r="X42" i="1"/>
  <c r="W42" i="1" s="1"/>
  <c r="X2193" i="1"/>
  <c r="W2193" i="1" s="1"/>
  <c r="X2192" i="1"/>
  <c r="W2192" i="1" s="1"/>
  <c r="X668" i="1"/>
  <c r="W668" i="1" s="1"/>
  <c r="X667" i="1"/>
  <c r="W667" i="1" s="1"/>
  <c r="X580" i="1"/>
  <c r="W580" i="1" s="1"/>
  <c r="X2178" i="1"/>
  <c r="W2178" i="1" s="1"/>
  <c r="X854" i="1"/>
  <c r="W854" i="1" s="1"/>
  <c r="X579" i="1"/>
  <c r="W579" i="1" s="1"/>
  <c r="X578" i="1"/>
  <c r="W578" i="1" s="1"/>
  <c r="X577" i="1"/>
  <c r="W577" i="1" s="1"/>
  <c r="X576" i="1"/>
  <c r="W576" i="1" s="1"/>
  <c r="X666" i="1"/>
  <c r="W666" i="1" s="1"/>
  <c r="X608" i="1"/>
  <c r="W608" i="1" s="1"/>
  <c r="X691" i="1"/>
  <c r="W691" i="1" s="1"/>
  <c r="X689" i="1"/>
  <c r="W689" i="1" s="1"/>
  <c r="X690" i="1"/>
  <c r="W690" i="1" s="1"/>
  <c r="X688" i="1"/>
  <c r="W688" i="1" s="1"/>
  <c r="X607" i="1"/>
  <c r="W607" i="1" s="1"/>
  <c r="X1643" i="1"/>
  <c r="W1643" i="1" s="1"/>
  <c r="X71" i="1"/>
  <c r="W71" i="1" s="1"/>
  <c r="X1290" i="1"/>
  <c r="W1290" i="1" s="1"/>
  <c r="X2578" i="1"/>
  <c r="W2578" i="1" s="1"/>
  <c r="X3107" i="1"/>
  <c r="W3107" i="1" s="1"/>
  <c r="X2001" i="1"/>
  <c r="W2001" i="1" s="1"/>
  <c r="X2907" i="1"/>
  <c r="W2907" i="1" s="1"/>
  <c r="X1204" i="1"/>
  <c r="W1204" i="1" s="1"/>
  <c r="X645" i="1"/>
  <c r="W645" i="1" s="1"/>
  <c r="X685" i="1"/>
  <c r="W685" i="1" s="1"/>
  <c r="X597" i="1"/>
  <c r="W597" i="1" s="1"/>
  <c r="X706" i="1"/>
  <c r="W706" i="1" s="1"/>
  <c r="X705" i="1"/>
  <c r="W705" i="1" s="1"/>
  <c r="X573" i="1"/>
  <c r="W573" i="1" s="1"/>
  <c r="X567" i="1"/>
  <c r="W567" i="1" s="1"/>
  <c r="X596" i="1"/>
  <c r="W596" i="1" s="1"/>
  <c r="X587" i="1"/>
  <c r="W587" i="1" s="1"/>
  <c r="X566" i="1"/>
  <c r="W566" i="1" s="1"/>
  <c r="X676" i="1"/>
  <c r="W676" i="1" s="1"/>
  <c r="X652" i="1"/>
  <c r="W652" i="1" s="1"/>
  <c r="X1653" i="1"/>
  <c r="W1653" i="1" s="1"/>
  <c r="X1688" i="1"/>
  <c r="W1688" i="1" s="1"/>
  <c r="X2908" i="1"/>
  <c r="W2908" i="1" s="1"/>
  <c r="X687" i="1"/>
  <c r="W687" i="1" s="1"/>
  <c r="X1021" i="1"/>
  <c r="W1021" i="1" s="1"/>
  <c r="X1020" i="1"/>
  <c r="W1020" i="1" s="1"/>
  <c r="X1013" i="1"/>
  <c r="W1013" i="1" s="1"/>
  <c r="X218" i="1"/>
  <c r="W218" i="1" s="1"/>
  <c r="X1256" i="1"/>
  <c r="W1256" i="1" s="1"/>
  <c r="X602" i="1"/>
  <c r="W602" i="1" s="1"/>
  <c r="X601" i="1"/>
  <c r="W601" i="1" s="1"/>
  <c r="X1245" i="1"/>
  <c r="W1245" i="1" s="1"/>
  <c r="X1375" i="1"/>
  <c r="W1375" i="1" s="1"/>
  <c r="X574" i="1"/>
  <c r="W574" i="1" s="1"/>
  <c r="X2072" i="1"/>
  <c r="W2072" i="1" s="1"/>
  <c r="X2071" i="1"/>
  <c r="W2071" i="1" s="1"/>
  <c r="X2611" i="1"/>
  <c r="W2611" i="1" s="1"/>
  <c r="X2610" i="1"/>
  <c r="W2610" i="1" s="1"/>
  <c r="X2254" i="1"/>
  <c r="W2254" i="1" s="1"/>
  <c r="X2900" i="1"/>
  <c r="W2900" i="1" s="1"/>
  <c r="X476" i="1"/>
  <c r="W476" i="1" s="1"/>
  <c r="X13" i="1"/>
  <c r="W13" i="1" s="1"/>
  <c r="X2859" i="1"/>
  <c r="W2859" i="1" s="1"/>
  <c r="X2857" i="1"/>
  <c r="W2857" i="1" s="1"/>
  <c r="X2161" i="1"/>
  <c r="W2161" i="1" s="1"/>
  <c r="X2158" i="1"/>
  <c r="W2158" i="1" s="1"/>
  <c r="X2168" i="1"/>
  <c r="W2168" i="1" s="1"/>
  <c r="X2160" i="1"/>
  <c r="W2160" i="1" s="1"/>
  <c r="X2157" i="1"/>
  <c r="W2157" i="1" s="1"/>
  <c r="X1273" i="1"/>
  <c r="W1273" i="1" s="1"/>
  <c r="X1623" i="1"/>
  <c r="W1623" i="1" s="1"/>
  <c r="X2713" i="1"/>
  <c r="W2713" i="1" s="1"/>
  <c r="X2707" i="1"/>
  <c r="W2707" i="1" s="1"/>
  <c r="X2706" i="1"/>
  <c r="W2706" i="1" s="1"/>
  <c r="X1243" i="1"/>
  <c r="W1243" i="1" s="1"/>
  <c r="X1265" i="1"/>
  <c r="W1265" i="1" s="1"/>
  <c r="X1000" i="1"/>
  <c r="W1000" i="1" s="1"/>
  <c r="X994" i="1"/>
  <c r="W994" i="1" s="1"/>
  <c r="X995" i="1"/>
  <c r="W995" i="1" s="1"/>
  <c r="X991" i="1"/>
  <c r="W991" i="1" s="1"/>
  <c r="X1002" i="1"/>
  <c r="W1002" i="1" s="1"/>
  <c r="X985" i="1"/>
  <c r="W985" i="1" s="1"/>
  <c r="X384" i="1"/>
  <c r="W384" i="1" s="1"/>
  <c r="X380" i="1"/>
  <c r="W380" i="1" s="1"/>
  <c r="X383" i="1"/>
  <c r="W383" i="1" s="1"/>
  <c r="X382" i="1"/>
  <c r="W382" i="1" s="1"/>
  <c r="X898" i="1"/>
  <c r="W898" i="1" s="1"/>
  <c r="X992" i="1"/>
  <c r="W992" i="1" s="1"/>
  <c r="X1357" i="1"/>
  <c r="W1357" i="1" s="1"/>
  <c r="X1353" i="1"/>
  <c r="W1353" i="1" s="1"/>
  <c r="X1351" i="1"/>
  <c r="W1351" i="1" s="1"/>
  <c r="X2419" i="1"/>
  <c r="W2419" i="1" s="1"/>
  <c r="X572" i="1"/>
  <c r="W572" i="1" s="1"/>
  <c r="X805" i="1"/>
  <c r="W805" i="1" s="1"/>
  <c r="X807" i="1"/>
  <c r="W807" i="1" s="1"/>
  <c r="X381" i="1"/>
  <c r="W381" i="1" s="1"/>
  <c r="X1822" i="1"/>
  <c r="W1822" i="1" s="1"/>
  <c r="X2351" i="1"/>
  <c r="W2351" i="1" s="1"/>
  <c r="X1322" i="1"/>
  <c r="W1322" i="1" s="1"/>
  <c r="X2246" i="1"/>
  <c r="W2246" i="1" s="1"/>
  <c r="X2223" i="1"/>
  <c r="W2223" i="1" s="1"/>
  <c r="X2204" i="1"/>
  <c r="W2204" i="1" s="1"/>
  <c r="X2221" i="1"/>
  <c r="W2221" i="1" s="1"/>
  <c r="X2213" i="1"/>
  <c r="W2213" i="1" s="1"/>
  <c r="X2363" i="1"/>
  <c r="W2363" i="1" s="1"/>
  <c r="X636" i="1"/>
  <c r="W636" i="1" s="1"/>
  <c r="X214" i="1"/>
  <c r="W214" i="1" s="1"/>
  <c r="X2898" i="1"/>
  <c r="W2898" i="1" s="1"/>
  <c r="X2891" i="1"/>
  <c r="W2891" i="1" s="1"/>
  <c r="X149" i="1"/>
  <c r="W149" i="1" s="1"/>
  <c r="X105" i="1"/>
  <c r="W105" i="1" s="1"/>
  <c r="X103" i="1"/>
  <c r="W103" i="1" s="1"/>
  <c r="X152" i="1"/>
  <c r="W152" i="1" s="1"/>
  <c r="X2836" i="1"/>
  <c r="W2836" i="1" s="1"/>
  <c r="X1077" i="1"/>
  <c r="W1077" i="1" s="1"/>
  <c r="X1076" i="1"/>
  <c r="W1076" i="1" s="1"/>
  <c r="X615" i="1"/>
  <c r="W615" i="1" s="1"/>
  <c r="X614" i="1"/>
  <c r="W614" i="1" s="1"/>
  <c r="X703" i="1"/>
  <c r="W703" i="1" s="1"/>
  <c r="X702" i="1"/>
  <c r="W702" i="1" s="1"/>
  <c r="X701" i="1"/>
  <c r="W701" i="1" s="1"/>
  <c r="X700" i="1"/>
  <c r="W700" i="1" s="1"/>
  <c r="X699" i="1"/>
  <c r="W699" i="1" s="1"/>
  <c r="X2190" i="1"/>
  <c r="W2190" i="1" s="1"/>
  <c r="X2189" i="1"/>
  <c r="W2189" i="1" s="1"/>
  <c r="X2188" i="1"/>
  <c r="W2188" i="1" s="1"/>
  <c r="X2187" i="1"/>
  <c r="W2187" i="1" s="1"/>
  <c r="X2186" i="1"/>
  <c r="W2186" i="1" s="1"/>
  <c r="X2139" i="1"/>
  <c r="W2139" i="1" s="1"/>
  <c r="X635" i="1"/>
  <c r="W635" i="1" s="1"/>
  <c r="X12" i="1"/>
  <c r="W12" i="1" s="1"/>
  <c r="X499" i="1"/>
  <c r="W499" i="1" s="1"/>
  <c r="X2595" i="1"/>
  <c r="W2595" i="1" s="1"/>
  <c r="X2594" i="1"/>
  <c r="W2594" i="1" s="1"/>
  <c r="X2488" i="1"/>
  <c r="W2488" i="1" s="1"/>
  <c r="X2484" i="1"/>
  <c r="W2484" i="1" s="1"/>
  <c r="X2915" i="1"/>
  <c r="W2915" i="1" s="1"/>
  <c r="X2921" i="1"/>
  <c r="W2921" i="1" s="1"/>
  <c r="X2920" i="1"/>
  <c r="W2920" i="1" s="1"/>
  <c r="X2916" i="1"/>
  <c r="W2916" i="1" s="1"/>
  <c r="X2022" i="1"/>
  <c r="W2022" i="1" s="1"/>
  <c r="X600" i="1"/>
  <c r="W600" i="1" s="1"/>
  <c r="X2598" i="1"/>
  <c r="W2598" i="1" s="1"/>
  <c r="X2596" i="1"/>
  <c r="W2596" i="1" s="1"/>
  <c r="X769" i="1"/>
  <c r="W769" i="1" s="1"/>
  <c r="X767" i="1"/>
  <c r="W767" i="1" s="1"/>
  <c r="X3073" i="1"/>
  <c r="W3073" i="1" s="1"/>
  <c r="X570" i="1"/>
  <c r="W570" i="1" s="1"/>
  <c r="X616" i="1"/>
  <c r="W616" i="1" s="1"/>
  <c r="X569" i="1"/>
  <c r="W569" i="1" s="1"/>
  <c r="X2222" i="1"/>
  <c r="W2222" i="1" s="1"/>
  <c r="X723" i="1"/>
  <c r="W723" i="1" s="1"/>
  <c r="X622" i="1"/>
  <c r="W622" i="1" s="1"/>
  <c r="X621" i="1"/>
  <c r="W621" i="1" s="1"/>
  <c r="X611" i="1"/>
  <c r="W611" i="1" s="1"/>
  <c r="X1879" i="1"/>
  <c r="W1879" i="1" s="1"/>
  <c r="X1880" i="1"/>
  <c r="W1880" i="1" s="1"/>
  <c r="X568" i="1"/>
  <c r="W568" i="1" s="1"/>
  <c r="X960" i="1"/>
  <c r="W960" i="1" s="1"/>
  <c r="X2996" i="1"/>
  <c r="W2996" i="1" s="1"/>
  <c r="X634" i="1"/>
  <c r="W634" i="1" s="1"/>
  <c r="X629" i="1"/>
  <c r="W629" i="1" s="1"/>
  <c r="X637" i="1"/>
  <c r="W637" i="1" s="1"/>
  <c r="X624" i="1"/>
  <c r="W624" i="1" s="1"/>
  <c r="X631" i="1"/>
  <c r="W631" i="1" s="1"/>
  <c r="X1398" i="1"/>
  <c r="W1398" i="1" s="1"/>
  <c r="X638" i="1"/>
  <c r="W638" i="1" s="1"/>
  <c r="X639" i="1"/>
  <c r="W639" i="1" s="1"/>
  <c r="X2626" i="1"/>
  <c r="W2626" i="1" s="1"/>
  <c r="X2798" i="1"/>
  <c r="W2798" i="1" s="1"/>
  <c r="X2789" i="1"/>
  <c r="W2789" i="1" s="1"/>
  <c r="X1015" i="1"/>
  <c r="W1015" i="1" s="1"/>
  <c r="X630" i="1"/>
  <c r="W630" i="1" s="1"/>
  <c r="X633" i="1"/>
  <c r="W633" i="1" s="1"/>
  <c r="X627" i="1"/>
  <c r="W627" i="1" s="1"/>
  <c r="X628" i="1"/>
  <c r="W628" i="1" s="1"/>
  <c r="X626" i="1"/>
  <c r="W626" i="1" s="1"/>
  <c r="X625" i="1"/>
  <c r="W625" i="1" s="1"/>
  <c r="X632" i="1"/>
  <c r="W632" i="1" s="1"/>
  <c r="X1953" i="1"/>
  <c r="W1953" i="1" s="1"/>
  <c r="X1952" i="1"/>
  <c r="W1952" i="1" s="1"/>
  <c r="X1954" i="1"/>
  <c r="W1954" i="1" s="1"/>
  <c r="X2241" i="1"/>
  <c r="W2241" i="1" s="1"/>
  <c r="X268" i="1"/>
  <c r="W268" i="1" s="1"/>
  <c r="X2414" i="1"/>
  <c r="W2414" i="1" s="1"/>
  <c r="X1385" i="1"/>
  <c r="W1385" i="1" s="1"/>
  <c r="X1384" i="1"/>
  <c r="W1384" i="1" s="1"/>
  <c r="X1377" i="1"/>
  <c r="W1377" i="1" s="1"/>
  <c r="X400" i="1"/>
  <c r="W400" i="1" s="1"/>
  <c r="X2027" i="1"/>
  <c r="W2027" i="1" s="1"/>
  <c r="X1645" i="1"/>
  <c r="W1645" i="1" s="1"/>
  <c r="X2592" i="1"/>
  <c r="W2592" i="1" s="1"/>
  <c r="X721" i="1"/>
  <c r="W721" i="1" s="1"/>
  <c r="X720" i="1"/>
  <c r="W720" i="1" s="1"/>
  <c r="X2914" i="1"/>
  <c r="W2914" i="1" s="1"/>
  <c r="X2396" i="1"/>
  <c r="W2396" i="1" s="1"/>
  <c r="X2394" i="1"/>
  <c r="W2394" i="1" s="1"/>
  <c r="X2388" i="1"/>
  <c r="W2388" i="1" s="1"/>
  <c r="X2393" i="1"/>
  <c r="W2393" i="1" s="1"/>
  <c r="X2864" i="1"/>
  <c r="W2864" i="1" s="1"/>
  <c r="X2862" i="1"/>
  <c r="W2862" i="1" s="1"/>
  <c r="X2861" i="1"/>
  <c r="W2861" i="1" s="1"/>
  <c r="X1671" i="1"/>
  <c r="W1671" i="1" s="1"/>
  <c r="X1743" i="1"/>
  <c r="W1743" i="1" s="1"/>
  <c r="X2817" i="1"/>
  <c r="W2817" i="1" s="1"/>
  <c r="X863" i="1"/>
  <c r="W863" i="1" s="1"/>
  <c r="X833" i="1"/>
  <c r="W833" i="1" s="1"/>
  <c r="X451" i="1"/>
  <c r="W451" i="1" s="1"/>
  <c r="X2034" i="1"/>
  <c r="W2034" i="1" s="1"/>
  <c r="X1508" i="1"/>
  <c r="W1508" i="1" s="1"/>
  <c r="X1984" i="1"/>
  <c r="W1984" i="1" s="1"/>
  <c r="X2765" i="1"/>
  <c r="W2765" i="1" s="1"/>
  <c r="X2762" i="1"/>
  <c r="W2762" i="1" s="1"/>
  <c r="X2759" i="1"/>
  <c r="W2759" i="1" s="1"/>
  <c r="X2758" i="1"/>
  <c r="W2758" i="1" s="1"/>
  <c r="X2763" i="1"/>
  <c r="W2763" i="1" s="1"/>
  <c r="X2760" i="1"/>
  <c r="W2760" i="1" s="1"/>
  <c r="X2757" i="1"/>
  <c r="W2757" i="1" s="1"/>
  <c r="X2764" i="1"/>
  <c r="W2764" i="1" s="1"/>
  <c r="X2761" i="1"/>
  <c r="W2761" i="1" s="1"/>
  <c r="X2756" i="1"/>
  <c r="W2756" i="1" s="1"/>
  <c r="X1914" i="1"/>
  <c r="W1914" i="1" s="1"/>
  <c r="X1913" i="1"/>
  <c r="W1913" i="1" s="1"/>
  <c r="X2966" i="1"/>
  <c r="W2966" i="1" s="1"/>
  <c r="X2967" i="1"/>
  <c r="W2967" i="1" s="1"/>
  <c r="X2965" i="1"/>
  <c r="W2965" i="1" s="1"/>
  <c r="X3131" i="1"/>
  <c r="W3131" i="1" s="1"/>
  <c r="X3130" i="1"/>
  <c r="W3130" i="1" s="1"/>
  <c r="X1801" i="1"/>
  <c r="W1801" i="1" s="1"/>
  <c r="X1798" i="1"/>
  <c r="W1798" i="1" s="1"/>
  <c r="X1799" i="1"/>
  <c r="W1799" i="1" s="1"/>
  <c r="X1171" i="1"/>
  <c r="W1171" i="1" s="1"/>
  <c r="X76" i="1"/>
  <c r="W76" i="1" s="1"/>
  <c r="X75" i="1"/>
  <c r="W75" i="1" s="1"/>
  <c r="X1895" i="1"/>
  <c r="W1895" i="1" s="1"/>
  <c r="X3106" i="1"/>
  <c r="W3106" i="1" s="1"/>
  <c r="X1261" i="1"/>
  <c r="W1261" i="1" s="1"/>
  <c r="X1249" i="1"/>
  <c r="W1249" i="1" s="1"/>
  <c r="X2588" i="1"/>
  <c r="W2588" i="1" s="1"/>
  <c r="X1770" i="1"/>
  <c r="W1770" i="1" s="1"/>
  <c r="X1715" i="1"/>
  <c r="W1715" i="1" s="1"/>
  <c r="X3064" i="1"/>
  <c r="W3064" i="1" s="1"/>
  <c r="X838" i="1"/>
  <c r="W838" i="1" s="1"/>
  <c r="X2937" i="1"/>
  <c r="W2937" i="1" s="1"/>
  <c r="X399" i="1"/>
  <c r="W399" i="1" s="1"/>
  <c r="X396" i="1"/>
  <c r="W396" i="1" s="1"/>
  <c r="X2731" i="1"/>
  <c r="W2731" i="1" s="1"/>
  <c r="X40" i="1"/>
  <c r="W40" i="1" s="1"/>
  <c r="X1888" i="1"/>
  <c r="W1888" i="1" s="1"/>
  <c r="X322" i="1"/>
  <c r="W322" i="1" s="1"/>
  <c r="X321" i="1"/>
  <c r="W321" i="1" s="1"/>
  <c r="X2530" i="1"/>
  <c r="W2530" i="1" s="1"/>
  <c r="X2528" i="1"/>
  <c r="W2528" i="1" s="1"/>
  <c r="X2531" i="1"/>
  <c r="W2531" i="1" s="1"/>
  <c r="X2527" i="1"/>
  <c r="W2527" i="1" s="1"/>
  <c r="X1287" i="1"/>
  <c r="W1287" i="1" s="1"/>
  <c r="X1586" i="1"/>
  <c r="W1586" i="1" s="1"/>
  <c r="X1584" i="1"/>
  <c r="W1584" i="1" s="1"/>
  <c r="X453" i="1"/>
  <c r="W453" i="1" s="1"/>
  <c r="X2538" i="1"/>
  <c r="W2538" i="1" s="1"/>
  <c r="X2540" i="1"/>
  <c r="W2540" i="1" s="1"/>
  <c r="X2537" i="1"/>
  <c r="W2537" i="1" s="1"/>
  <c r="X2536" i="1"/>
  <c r="W2536" i="1" s="1"/>
  <c r="X2539" i="1"/>
  <c r="W2539" i="1" s="1"/>
  <c r="X2535" i="1"/>
  <c r="W2535" i="1" s="1"/>
  <c r="X1725" i="1"/>
  <c r="W1725" i="1" s="1"/>
  <c r="X2926" i="1"/>
  <c r="W2926" i="1" s="1"/>
  <c r="X2925" i="1"/>
  <c r="W2925" i="1" s="1"/>
  <c r="X1644" i="1"/>
  <c r="W1644" i="1" s="1"/>
  <c r="X1832" i="1"/>
  <c r="W1832" i="1" s="1"/>
  <c r="X1827" i="1"/>
  <c r="W1827" i="1" s="1"/>
  <c r="X1834" i="1"/>
  <c r="W1834" i="1" s="1"/>
  <c r="X1830" i="1"/>
  <c r="W1830" i="1" s="1"/>
  <c r="X1829" i="1"/>
  <c r="W1829" i="1" s="1"/>
  <c r="X1826" i="1"/>
  <c r="W1826" i="1" s="1"/>
  <c r="X206" i="1"/>
  <c r="W206" i="1" s="1"/>
  <c r="X205" i="1"/>
  <c r="W205" i="1" s="1"/>
  <c r="X1578" i="1"/>
  <c r="W1578" i="1" s="1"/>
  <c r="X1337" i="1"/>
  <c r="W1337" i="1" s="1"/>
  <c r="X1333" i="1"/>
  <c r="W1333" i="1" s="1"/>
  <c r="X1581" i="1"/>
  <c r="W1581" i="1" s="1"/>
  <c r="X2352" i="1"/>
  <c r="W2352" i="1" s="1"/>
  <c r="X2815" i="1"/>
  <c r="W2815" i="1" s="1"/>
  <c r="X2674" i="1"/>
  <c r="W2674" i="1" s="1"/>
  <c r="X1575" i="1"/>
  <c r="W1575" i="1" s="1"/>
  <c r="X1401" i="1"/>
  <c r="W1401" i="1" s="1"/>
  <c r="X1628" i="1"/>
  <c r="W1628" i="1" s="1"/>
  <c r="X3023" i="1"/>
  <c r="W3023" i="1" s="1"/>
  <c r="X1915" i="1"/>
  <c r="W1915" i="1" s="1"/>
  <c r="X1566" i="1"/>
  <c r="W1566" i="1" s="1"/>
  <c r="X2524" i="1"/>
  <c r="W2524" i="1" s="1"/>
  <c r="X2517" i="1"/>
  <c r="W2517" i="1" s="1"/>
  <c r="X2514" i="1"/>
  <c r="W2514" i="1" s="1"/>
  <c r="X2526" i="1"/>
  <c r="W2526" i="1" s="1"/>
  <c r="X2521" i="1"/>
  <c r="W2521" i="1" s="1"/>
  <c r="X2519" i="1"/>
  <c r="W2519" i="1" s="1"/>
  <c r="X2802" i="1"/>
  <c r="W2802" i="1" s="1"/>
  <c r="X2801" i="1"/>
  <c r="W2801" i="1" s="1"/>
  <c r="X2800" i="1"/>
  <c r="W2800" i="1" s="1"/>
  <c r="X2814" i="1"/>
  <c r="W2814" i="1" s="1"/>
  <c r="X2813" i="1"/>
  <c r="W2813" i="1" s="1"/>
  <c r="X2520" i="1"/>
  <c r="W2520" i="1" s="1"/>
  <c r="X2523" i="1"/>
  <c r="W2523" i="1" s="1"/>
  <c r="X2516" i="1"/>
  <c r="W2516" i="1" s="1"/>
  <c r="X2513" i="1"/>
  <c r="W2513" i="1" s="1"/>
  <c r="X2518" i="1"/>
  <c r="W2518" i="1" s="1"/>
  <c r="X2512" i="1"/>
  <c r="W2512" i="1" s="1"/>
  <c r="X61" i="1"/>
  <c r="W61" i="1" s="1"/>
  <c r="X58" i="1"/>
  <c r="W58" i="1" s="1"/>
  <c r="X57" i="1"/>
  <c r="W57" i="1" s="1"/>
  <c r="X1393" i="1"/>
  <c r="W1393" i="1" s="1"/>
  <c r="X1795" i="1"/>
  <c r="W1795" i="1" s="1"/>
  <c r="X435" i="1"/>
  <c r="W435" i="1" s="1"/>
  <c r="X2102" i="1"/>
  <c r="W2102" i="1" s="1"/>
  <c r="X1843" i="1"/>
  <c r="W1843" i="1" s="1"/>
  <c r="X2673" i="1"/>
  <c r="W2673" i="1" s="1"/>
  <c r="X2672" i="1"/>
  <c r="W2672" i="1" s="1"/>
  <c r="X649" i="1"/>
  <c r="W649" i="1" s="1"/>
  <c r="X648" i="1"/>
  <c r="W648" i="1" s="1"/>
  <c r="X647" i="1"/>
  <c r="W647" i="1" s="1"/>
  <c r="X3061" i="1"/>
  <c r="W3061" i="1" s="1"/>
  <c r="X403" i="1"/>
  <c r="W403" i="1" s="1"/>
  <c r="X2326" i="1"/>
  <c r="W2326" i="1" s="1"/>
  <c r="X2941" i="1"/>
  <c r="W2941" i="1" s="1"/>
  <c r="X1677" i="1"/>
  <c r="W1677" i="1" s="1"/>
  <c r="X417" i="1"/>
  <c r="W417" i="1" s="1"/>
  <c r="X414" i="1"/>
  <c r="W414" i="1" s="1"/>
  <c r="X416" i="1"/>
  <c r="W416" i="1" s="1"/>
  <c r="X413" i="1"/>
  <c r="W413" i="1" s="1"/>
  <c r="X415" i="1"/>
  <c r="W415" i="1" s="1"/>
  <c r="X412" i="1"/>
  <c r="W412" i="1" s="1"/>
  <c r="X1267" i="1"/>
  <c r="W1267" i="1" s="1"/>
  <c r="X2642" i="1"/>
  <c r="W2642" i="1" s="1"/>
  <c r="X2636" i="1"/>
  <c r="W2636" i="1" s="1"/>
  <c r="X2641" i="1"/>
  <c r="W2641" i="1" s="1"/>
  <c r="X2639" i="1"/>
  <c r="W2639" i="1" s="1"/>
  <c r="X2640" i="1"/>
  <c r="W2640" i="1" s="1"/>
  <c r="X2637" i="1"/>
  <c r="W2637" i="1" s="1"/>
  <c r="X2638" i="1"/>
  <c r="W2638" i="1" s="1"/>
  <c r="X2233" i="1"/>
  <c r="W2233" i="1" s="1"/>
  <c r="X2232" i="1"/>
  <c r="W2232" i="1" s="1"/>
  <c r="X2286" i="1"/>
  <c r="W2286" i="1" s="1"/>
  <c r="X2284" i="1"/>
  <c r="W2284" i="1" s="1"/>
  <c r="X2285" i="1"/>
  <c r="W2285" i="1" s="1"/>
  <c r="X2255" i="1"/>
  <c r="W2255" i="1" s="1"/>
  <c r="X2260" i="1"/>
  <c r="W2260" i="1" s="1"/>
  <c r="X2265" i="1"/>
  <c r="W2265" i="1" s="1"/>
  <c r="X2259" i="1"/>
  <c r="W2259" i="1" s="1"/>
  <c r="X2239" i="1"/>
  <c r="W2239" i="1" s="1"/>
  <c r="X2238" i="1"/>
  <c r="W2238" i="1" s="1"/>
  <c r="X2240" i="1"/>
  <c r="W2240" i="1" s="1"/>
  <c r="X2737" i="1"/>
  <c r="W2737" i="1" s="1"/>
  <c r="X1233" i="1"/>
  <c r="W1233" i="1" s="1"/>
  <c r="X1234" i="1"/>
  <c r="W1234" i="1" s="1"/>
  <c r="X1232" i="1"/>
  <c r="W1232" i="1" s="1"/>
  <c r="X472" i="1"/>
  <c r="W472" i="1" s="1"/>
  <c r="X1587" i="1"/>
  <c r="W1587" i="1" s="1"/>
  <c r="X1585" i="1"/>
  <c r="W1585" i="1" s="1"/>
  <c r="X1850" i="1"/>
  <c r="W1850" i="1" s="1"/>
  <c r="X1849" i="1"/>
  <c r="W1849" i="1" s="1"/>
  <c r="X2951" i="1"/>
  <c r="W2951" i="1" s="1"/>
  <c r="X590" i="1"/>
  <c r="W590" i="1" s="1"/>
  <c r="X1874" i="1"/>
  <c r="W1874" i="1" s="1"/>
  <c r="X1686" i="1"/>
  <c r="W1686" i="1" s="1"/>
  <c r="X1571" i="1"/>
  <c r="W1571" i="1" s="1"/>
  <c r="X1574" i="1"/>
  <c r="W1574" i="1" s="1"/>
  <c r="X2606" i="1"/>
  <c r="W2606" i="1" s="1"/>
  <c r="X3084" i="1"/>
  <c r="W3084" i="1" s="1"/>
  <c r="X3087" i="1"/>
  <c r="W3087" i="1" s="1"/>
  <c r="X3083" i="1"/>
  <c r="W3083" i="1" s="1"/>
  <c r="X3082" i="1"/>
  <c r="W3082" i="1" s="1"/>
  <c r="X2325" i="1"/>
  <c r="W2325" i="1" s="1"/>
  <c r="X280" i="1"/>
  <c r="W280" i="1" s="1"/>
  <c r="X229" i="1"/>
  <c r="W229" i="1" s="1"/>
  <c r="X245" i="1"/>
  <c r="W245" i="1" s="1"/>
  <c r="X588" i="1"/>
  <c r="W588" i="1" s="1"/>
  <c r="X589" i="1"/>
  <c r="W589" i="1" s="1"/>
  <c r="X1505" i="1"/>
  <c r="W1505" i="1" s="1"/>
  <c r="X3033" i="1"/>
  <c r="W3033" i="1" s="1"/>
  <c r="X3110" i="1"/>
  <c r="W3110" i="1" s="1"/>
  <c r="X2607" i="1"/>
  <c r="W2607" i="1" s="1"/>
  <c r="X2608" i="1"/>
  <c r="W2608" i="1" s="1"/>
  <c r="X2306" i="1"/>
  <c r="W2306" i="1" s="1"/>
  <c r="X2821" i="1"/>
  <c r="W2821" i="1" s="1"/>
  <c r="X2822" i="1"/>
  <c r="W2822" i="1" s="1"/>
  <c r="X2823" i="1"/>
  <c r="W2823" i="1" s="1"/>
  <c r="X2806" i="1"/>
  <c r="W2806" i="1" s="1"/>
  <c r="X78" i="1"/>
  <c r="W78" i="1" s="1"/>
  <c r="X1641" i="1"/>
  <c r="W1641" i="1" s="1"/>
  <c r="X2579" i="1"/>
  <c r="W2579" i="1" s="1"/>
  <c r="X2559" i="1"/>
  <c r="W2559" i="1" s="1"/>
  <c r="X1676" i="1"/>
  <c r="W1676" i="1" s="1"/>
  <c r="X1672" i="1"/>
  <c r="W1672" i="1" s="1"/>
  <c r="X1991" i="1"/>
  <c r="W1991" i="1" s="1"/>
  <c r="X1238" i="1"/>
  <c r="W1238" i="1" s="1"/>
  <c r="X1640" i="1"/>
  <c r="W1640" i="1" s="1"/>
  <c r="X1639" i="1"/>
  <c r="W1639" i="1" s="1"/>
  <c r="X1545" i="1"/>
  <c r="W1545" i="1" s="1"/>
  <c r="X1543" i="1"/>
  <c r="W1543" i="1" s="1"/>
  <c r="X1659" i="1"/>
  <c r="W1659" i="1" s="1"/>
  <c r="X1658" i="1"/>
  <c r="W1658" i="1" s="1"/>
  <c r="X950" i="1"/>
  <c r="W950" i="1" s="1"/>
  <c r="X947" i="1"/>
  <c r="W947" i="1" s="1"/>
  <c r="X1962" i="1"/>
  <c r="W1962" i="1" s="1"/>
  <c r="X1599" i="1"/>
  <c r="W1599" i="1" s="1"/>
  <c r="X63" i="1"/>
  <c r="W63" i="1" s="1"/>
  <c r="X66" i="1"/>
  <c r="W66" i="1" s="1"/>
  <c r="X750" i="1"/>
  <c r="W750" i="1" s="1"/>
  <c r="X1773" i="1"/>
  <c r="W1773" i="1" s="1"/>
  <c r="X2792" i="1"/>
  <c r="W2792" i="1" s="1"/>
  <c r="X1624" i="1"/>
  <c r="W1624" i="1" s="1"/>
  <c r="X1661" i="1"/>
  <c r="W1661" i="1" s="1"/>
  <c r="X727" i="1"/>
  <c r="W727" i="1" s="1"/>
  <c r="X737" i="1"/>
  <c r="W737" i="1" s="1"/>
  <c r="X736" i="1"/>
  <c r="W736" i="1" s="1"/>
  <c r="X740" i="1"/>
  <c r="W740" i="1" s="1"/>
  <c r="X739" i="1"/>
  <c r="W739" i="1" s="1"/>
  <c r="X2508" i="1"/>
  <c r="W2508" i="1" s="1"/>
  <c r="X2511" i="1"/>
  <c r="W2511" i="1" s="1"/>
  <c r="X2871" i="1"/>
  <c r="W2871" i="1" s="1"/>
  <c r="X2870" i="1"/>
  <c r="W2870" i="1" s="1"/>
  <c r="X2507" i="1"/>
  <c r="W2507" i="1" s="1"/>
  <c r="X1339" i="1"/>
  <c r="W1339" i="1" s="1"/>
  <c r="X1335" i="1"/>
  <c r="W1335" i="1" s="1"/>
  <c r="X2491" i="1"/>
  <c r="W2491" i="1" s="1"/>
  <c r="X2489" i="1"/>
  <c r="W2489" i="1" s="1"/>
  <c r="X2492" i="1"/>
  <c r="W2492" i="1" s="1"/>
  <c r="X2490" i="1"/>
  <c r="W2490" i="1" s="1"/>
  <c r="X278" i="1"/>
  <c r="W278" i="1" s="1"/>
  <c r="X1842" i="1"/>
  <c r="W1842" i="1" s="1"/>
  <c r="X599" i="1"/>
  <c r="W599" i="1" s="1"/>
  <c r="X598" i="1"/>
  <c r="W598" i="1" s="1"/>
  <c r="X2028" i="1"/>
  <c r="W2028" i="1" s="1"/>
  <c r="X2029" i="1"/>
  <c r="W2029" i="1" s="1"/>
  <c r="X1638" i="1"/>
  <c r="W1638" i="1" s="1"/>
  <c r="X1633" i="1"/>
  <c r="W1633" i="1" s="1"/>
  <c r="X3132" i="1"/>
  <c r="W3132" i="1" s="1"/>
  <c r="X2746" i="1"/>
  <c r="W2746" i="1" s="1"/>
  <c r="X2744" i="1"/>
  <c r="W2744" i="1" s="1"/>
  <c r="X2742" i="1"/>
  <c r="W2742" i="1" s="1"/>
  <c r="X2548" i="1"/>
  <c r="W2548" i="1" s="1"/>
  <c r="X2544" i="1"/>
  <c r="W2544" i="1" s="1"/>
  <c r="X2226" i="1"/>
  <c r="W2226" i="1" s="1"/>
  <c r="X2198" i="1"/>
  <c r="W2198" i="1" s="1"/>
  <c r="X2207" i="1"/>
  <c r="W2207" i="1" s="1"/>
  <c r="X2225" i="1"/>
  <c r="W2225" i="1" s="1"/>
  <c r="X2217" i="1"/>
  <c r="W2217" i="1" s="1"/>
  <c r="X2206" i="1"/>
  <c r="W2206" i="1" s="1"/>
  <c r="X2231" i="1"/>
  <c r="W2231" i="1" s="1"/>
  <c r="X2211" i="1"/>
  <c r="W2211" i="1" s="1"/>
  <c r="X2224" i="1"/>
  <c r="W2224" i="1" s="1"/>
  <c r="X454" i="1"/>
  <c r="W454" i="1" s="1"/>
  <c r="X2797" i="1"/>
  <c r="W2797" i="1" s="1"/>
  <c r="X2796" i="1"/>
  <c r="W2796" i="1" s="1"/>
  <c r="X978" i="1"/>
  <c r="W978" i="1" s="1"/>
  <c r="X977" i="1"/>
  <c r="W977" i="1" s="1"/>
  <c r="X976" i="1"/>
  <c r="W976" i="1" s="1"/>
  <c r="X840" i="1"/>
  <c r="W840" i="1" s="1"/>
  <c r="X2738" i="1"/>
  <c r="W2738" i="1" s="1"/>
  <c r="X912" i="1"/>
  <c r="W912" i="1" s="1"/>
  <c r="X2174" i="1"/>
  <c r="W2174" i="1" s="1"/>
  <c r="X732" i="1"/>
  <c r="W732" i="1" s="1"/>
  <c r="X731" i="1"/>
  <c r="W731" i="1" s="1"/>
  <c r="X726" i="1"/>
  <c r="W726" i="1" s="1"/>
  <c r="X730" i="1"/>
  <c r="W730" i="1" s="1"/>
  <c r="X2026" i="1"/>
  <c r="W2026" i="1" s="1"/>
  <c r="X745" i="1"/>
  <c r="W745" i="1" s="1"/>
  <c r="X744" i="1"/>
  <c r="W744" i="1" s="1"/>
  <c r="X2945" i="1"/>
  <c r="W2945" i="1" s="1"/>
  <c r="X1854" i="1"/>
  <c r="W1854" i="1" s="1"/>
  <c r="X1646" i="1"/>
  <c r="W1646" i="1" s="1"/>
  <c r="X776" i="1"/>
  <c r="W776" i="1" s="1"/>
  <c r="X753" i="1"/>
  <c r="W753" i="1" s="1"/>
  <c r="X752" i="1"/>
  <c r="W752" i="1" s="1"/>
  <c r="X1863" i="1"/>
  <c r="W1863" i="1" s="1"/>
  <c r="X1861" i="1"/>
  <c r="W1861" i="1" s="1"/>
  <c r="X1836" i="1"/>
  <c r="W1836" i="1" s="1"/>
  <c r="X60" i="1"/>
  <c r="W60" i="1" s="1"/>
  <c r="X1629" i="1"/>
  <c r="W1629" i="1" s="1"/>
  <c r="X2244" i="1"/>
  <c r="W2244" i="1" s="1"/>
  <c r="X2212" i="1"/>
  <c r="W2212" i="1" s="1"/>
  <c r="X2243" i="1"/>
  <c r="W2243" i="1" s="1"/>
  <c r="X2678" i="1"/>
  <c r="W2678" i="1" s="1"/>
  <c r="X2677" i="1"/>
  <c r="W2677" i="1" s="1"/>
  <c r="X2185" i="1"/>
  <c r="W2185" i="1" s="1"/>
  <c r="X2184" i="1"/>
  <c r="W2184" i="1" s="1"/>
  <c r="X728" i="1"/>
  <c r="W728" i="1" s="1"/>
  <c r="X1719" i="1"/>
  <c r="W1719" i="1" s="1"/>
  <c r="X1718" i="1"/>
  <c r="W1718" i="1" s="1"/>
  <c r="X1717" i="1"/>
  <c r="W1717" i="1" s="1"/>
  <c r="X402" i="1"/>
  <c r="W402" i="1" s="1"/>
  <c r="X1237" i="1"/>
  <c r="W1237" i="1" s="1"/>
  <c r="X1236" i="1"/>
  <c r="W1236" i="1" s="1"/>
  <c r="X1235" i="1"/>
  <c r="W1235" i="1" s="1"/>
  <c r="X3144" i="1"/>
  <c r="W3144" i="1" s="1"/>
  <c r="X1145" i="1"/>
  <c r="W1145" i="1" s="1"/>
  <c r="X1143" i="1"/>
  <c r="W1143" i="1" s="1"/>
  <c r="X1140" i="1"/>
  <c r="W1140" i="1" s="1"/>
  <c r="X1856" i="1"/>
  <c r="W1856" i="1" s="1"/>
  <c r="X1563" i="1"/>
  <c r="W1563" i="1" s="1"/>
  <c r="X1562" i="1"/>
  <c r="W1562" i="1" s="1"/>
  <c r="X2296" i="1"/>
  <c r="W2296" i="1" s="1"/>
  <c r="X2994" i="1"/>
  <c r="W2994" i="1" s="1"/>
  <c r="X432" i="1"/>
  <c r="W432" i="1" s="1"/>
  <c r="X431" i="1"/>
  <c r="W431" i="1" s="1"/>
  <c r="X433" i="1"/>
  <c r="W433" i="1" s="1"/>
  <c r="X430" i="1"/>
  <c r="W430" i="1" s="1"/>
  <c r="X1428" i="1"/>
  <c r="W1428" i="1" s="1"/>
  <c r="X2793" i="1"/>
  <c r="W2793" i="1" s="1"/>
  <c r="X2855" i="1"/>
  <c r="W2855" i="1" s="1"/>
  <c r="X2854" i="1"/>
  <c r="W2854" i="1" s="1"/>
  <c r="X2853" i="1"/>
  <c r="W2853" i="1" s="1"/>
  <c r="X296" i="1"/>
  <c r="W296" i="1" s="1"/>
  <c r="X34" i="1"/>
  <c r="W34" i="1" s="1"/>
  <c r="X33" i="1"/>
  <c r="W33" i="1" s="1"/>
  <c r="X1673" i="1"/>
  <c r="W1673" i="1" s="1"/>
  <c r="X1674" i="1"/>
  <c r="W1674" i="1" s="1"/>
  <c r="X943" i="1"/>
  <c r="W943" i="1" s="1"/>
  <c r="X729" i="1"/>
  <c r="W729" i="1" s="1"/>
  <c r="X1170" i="1"/>
  <c r="W1170" i="1" s="1"/>
  <c r="X1169" i="1"/>
  <c r="W1169" i="1" s="1"/>
  <c r="X1168" i="1"/>
  <c r="W1168" i="1" s="1"/>
  <c r="X937" i="1"/>
  <c r="W937" i="1" s="1"/>
  <c r="X941" i="1"/>
  <c r="W941" i="1" s="1"/>
  <c r="X1760" i="1"/>
  <c r="W1760" i="1" s="1"/>
  <c r="X1455" i="1"/>
  <c r="W1455" i="1" s="1"/>
  <c r="X238" i="1"/>
  <c r="W238" i="1" s="1"/>
  <c r="X2832" i="1"/>
  <c r="W2832" i="1" s="1"/>
  <c r="X966" i="1"/>
  <c r="W966" i="1" s="1"/>
  <c r="X965" i="1"/>
  <c r="W965" i="1" s="1"/>
  <c r="X944" i="1"/>
  <c r="W944" i="1" s="1"/>
  <c r="X2059" i="1"/>
  <c r="W2059" i="1" s="1"/>
  <c r="X2040" i="1"/>
  <c r="W2040" i="1" s="1"/>
  <c r="X1957" i="1"/>
  <c r="W1957" i="1" s="1"/>
  <c r="X2191" i="1"/>
  <c r="W2191" i="1" s="1"/>
  <c r="X1955" i="1"/>
  <c r="W1955" i="1" s="1"/>
  <c r="X1956" i="1"/>
  <c r="W1956" i="1" s="1"/>
  <c r="X942" i="1"/>
  <c r="W942" i="1" s="1"/>
  <c r="X938" i="1"/>
  <c r="W938" i="1" s="1"/>
  <c r="X1819" i="1"/>
  <c r="W1819" i="1" s="1"/>
  <c r="X1816" i="1"/>
  <c r="W1816" i="1" s="1"/>
  <c r="X1887" i="1"/>
  <c r="W1887" i="1" s="1"/>
  <c r="X1305" i="1"/>
  <c r="W1305" i="1" s="1"/>
  <c r="X1302" i="1"/>
  <c r="W1302" i="1" s="1"/>
  <c r="X496" i="1"/>
  <c r="W496" i="1" s="1"/>
  <c r="X480" i="1"/>
  <c r="W480" i="1" s="1"/>
  <c r="X484" i="1"/>
  <c r="W484" i="1" s="1"/>
  <c r="X483" i="1"/>
  <c r="W483" i="1" s="1"/>
  <c r="X121" i="1"/>
  <c r="W121" i="1" s="1"/>
  <c r="X1356" i="1"/>
  <c r="W1356" i="1" s="1"/>
  <c r="X2275" i="1"/>
  <c r="W2275" i="1" s="1"/>
  <c r="X2274" i="1"/>
  <c r="W2274" i="1" s="1"/>
  <c r="X2273" i="1"/>
  <c r="W2273" i="1" s="1"/>
  <c r="X1387" i="1"/>
  <c r="W1387" i="1" s="1"/>
  <c r="X2807" i="1"/>
  <c r="W2807" i="1" s="1"/>
  <c r="X2810" i="1"/>
  <c r="W2810" i="1" s="1"/>
  <c r="X2809" i="1"/>
  <c r="W2809" i="1" s="1"/>
  <c r="X2808" i="1"/>
  <c r="W2808" i="1" s="1"/>
  <c r="X330" i="1"/>
  <c r="W330" i="1" s="1"/>
  <c r="X2930" i="1"/>
  <c r="W2930" i="1" s="1"/>
  <c r="X2929" i="1"/>
  <c r="W2929" i="1" s="1"/>
  <c r="X759" i="1"/>
  <c r="W759" i="1" s="1"/>
  <c r="X1695" i="1"/>
  <c r="W1695" i="1" s="1"/>
  <c r="X2878" i="1"/>
  <c r="W2878" i="1" s="1"/>
  <c r="X2877" i="1"/>
  <c r="W2877" i="1" s="1"/>
  <c r="X733" i="1"/>
  <c r="W733" i="1" s="1"/>
  <c r="X742" i="1"/>
  <c r="W742" i="1" s="1"/>
  <c r="X2413" i="1"/>
  <c r="W2413" i="1" s="1"/>
  <c r="X2412" i="1"/>
  <c r="W2412" i="1" s="1"/>
  <c r="X2411" i="1"/>
  <c r="W2411" i="1" s="1"/>
  <c r="X2553" i="1"/>
  <c r="W2553" i="1" s="1"/>
  <c r="X1446" i="1"/>
  <c r="W1446" i="1" s="1"/>
  <c r="X1439" i="1"/>
  <c r="W1439" i="1" s="1"/>
  <c r="X1445" i="1"/>
  <c r="W1445" i="1" s="1"/>
  <c r="X1429" i="1"/>
  <c r="W1429" i="1" s="1"/>
  <c r="X921" i="1"/>
  <c r="W921" i="1" s="1"/>
  <c r="X920" i="1"/>
  <c r="W920" i="1" s="1"/>
  <c r="X2825" i="1"/>
  <c r="W2825" i="1" s="1"/>
  <c r="X1694" i="1"/>
  <c r="W1694" i="1" s="1"/>
  <c r="X1963" i="1"/>
  <c r="W1963" i="1" s="1"/>
  <c r="X562" i="1"/>
  <c r="W562" i="1" s="1"/>
  <c r="X2942" i="1"/>
  <c r="W2942" i="1" s="1"/>
  <c r="X2057" i="1"/>
  <c r="W2057" i="1" s="1"/>
  <c r="X2056" i="1"/>
  <c r="W2056" i="1" s="1"/>
  <c r="X2835" i="1"/>
  <c r="W2835" i="1" s="1"/>
  <c r="X2834" i="1"/>
  <c r="W2834" i="1" s="1"/>
  <c r="X1549" i="1"/>
  <c r="W1549" i="1" s="1"/>
  <c r="X1547" i="1"/>
  <c r="W1547" i="1" s="1"/>
  <c r="X1546" i="1"/>
  <c r="W1546" i="1" s="1"/>
  <c r="X1544" i="1"/>
  <c r="W1544" i="1" s="1"/>
  <c r="X2308" i="1"/>
  <c r="W2308" i="1" s="1"/>
  <c r="X2309" i="1"/>
  <c r="W2309" i="1" s="1"/>
  <c r="X2313" i="1"/>
  <c r="W2313" i="1" s="1"/>
  <c r="X3081" i="1"/>
  <c r="W3081" i="1" s="1"/>
  <c r="X2312" i="1"/>
  <c r="W2312" i="1" s="1"/>
  <c r="X2305" i="1"/>
  <c r="W2305" i="1" s="1"/>
  <c r="X2311" i="1"/>
  <c r="W2311" i="1" s="1"/>
  <c r="X2310" i="1"/>
  <c r="W2310" i="1" s="1"/>
  <c r="X3046" i="1"/>
  <c r="W3046" i="1" s="1"/>
  <c r="X3044" i="1"/>
  <c r="W3044" i="1" s="1"/>
  <c r="X1029" i="1"/>
  <c r="W1029" i="1" s="1"/>
  <c r="X1027" i="1"/>
  <c r="W1027" i="1" s="1"/>
  <c r="X421" i="1"/>
  <c r="W421" i="1" s="1"/>
  <c r="X2405" i="1"/>
  <c r="W2405" i="1" s="1"/>
  <c r="X2404" i="1"/>
  <c r="W2404" i="1" s="1"/>
  <c r="X2402" i="1"/>
  <c r="W2402" i="1" s="1"/>
  <c r="X2401" i="1"/>
  <c r="W2401" i="1" s="1"/>
  <c r="X1613" i="1"/>
  <c r="W1613" i="1" s="1"/>
  <c r="X1158" i="1"/>
  <c r="W1158" i="1" s="1"/>
  <c r="X1137" i="1"/>
  <c r="W1137" i="1" s="1"/>
  <c r="X1136" i="1"/>
  <c r="W1136" i="1" s="1"/>
  <c r="X2816" i="1"/>
  <c r="W2816" i="1" s="1"/>
  <c r="X868" i="1"/>
  <c r="W868" i="1" s="1"/>
  <c r="X867" i="1"/>
  <c r="W867" i="1" s="1"/>
  <c r="X1144" i="1"/>
  <c r="W1144" i="1" s="1"/>
  <c r="X1142" i="1"/>
  <c r="W1142" i="1" s="1"/>
  <c r="X1141" i="1"/>
  <c r="W1141" i="1" s="1"/>
  <c r="X561" i="1"/>
  <c r="W561" i="1" s="1"/>
  <c r="X3093" i="1"/>
  <c r="W3093" i="1" s="1"/>
  <c r="X373" i="1"/>
  <c r="W373" i="1" s="1"/>
  <c r="X371" i="1"/>
  <c r="W371" i="1" s="1"/>
  <c r="X369" i="1"/>
  <c r="W369" i="1" s="1"/>
  <c r="X368" i="1"/>
  <c r="W368" i="1" s="1"/>
  <c r="X367" i="1"/>
  <c r="W367" i="1" s="1"/>
  <c r="X1627" i="1"/>
  <c r="W1627" i="1" s="1"/>
  <c r="X1625" i="1"/>
  <c r="W1625" i="1" s="1"/>
  <c r="X2563" i="1"/>
  <c r="W2563" i="1" s="1"/>
  <c r="X2961" i="1"/>
  <c r="W2961" i="1" s="1"/>
  <c r="X220" i="1"/>
  <c r="W220" i="1" s="1"/>
  <c r="X1434" i="1"/>
  <c r="W1434" i="1" s="1"/>
  <c r="X1456" i="1"/>
  <c r="W1456" i="1" s="1"/>
  <c r="X15" i="1"/>
  <c r="W15" i="1" s="1"/>
  <c r="X97" i="1"/>
  <c r="W97" i="1" s="1"/>
  <c r="X96" i="1"/>
  <c r="W96" i="1" s="1"/>
  <c r="X2577" i="1"/>
  <c r="W2577" i="1" s="1"/>
  <c r="X230" i="1"/>
  <c r="W230" i="1" s="1"/>
  <c r="X2562" i="1"/>
  <c r="W2562" i="1" s="1"/>
  <c r="X1983" i="1"/>
  <c r="W1983" i="1" s="1"/>
  <c r="X1614" i="1"/>
  <c r="W1614" i="1" s="1"/>
  <c r="X92" i="1"/>
  <c r="W92" i="1" s="1"/>
  <c r="X93" i="1"/>
  <c r="W93" i="1" s="1"/>
  <c r="X89" i="1"/>
  <c r="W89" i="1" s="1"/>
  <c r="X335" i="1"/>
  <c r="W335" i="1" s="1"/>
  <c r="X333" i="1"/>
  <c r="W333" i="1" s="1"/>
  <c r="X336" i="1"/>
  <c r="W336" i="1" s="1"/>
  <c r="X334" i="1"/>
  <c r="W334" i="1" s="1"/>
  <c r="X1026" i="1"/>
  <c r="W1026" i="1" s="1"/>
  <c r="X1028" i="1"/>
  <c r="W1028" i="1" s="1"/>
  <c r="X1025" i="1"/>
  <c r="W1025" i="1" s="1"/>
  <c r="X3045" i="1"/>
  <c r="W3045" i="1" s="1"/>
  <c r="X3043" i="1"/>
  <c r="W3043" i="1" s="1"/>
  <c r="X2350" i="1"/>
  <c r="W2350" i="1" s="1"/>
  <c r="X3035" i="1"/>
  <c r="W3035" i="1" s="1"/>
  <c r="X1284" i="1"/>
  <c r="W1284" i="1" s="1"/>
  <c r="X407" i="1"/>
  <c r="W407" i="1" s="1"/>
  <c r="X405" i="1"/>
  <c r="W405" i="1" s="1"/>
  <c r="X404" i="1"/>
  <c r="W404" i="1" s="1"/>
  <c r="X1652" i="1"/>
  <c r="W1652" i="1" s="1"/>
  <c r="X3125" i="1"/>
  <c r="W3125" i="1" s="1"/>
  <c r="X3120" i="1"/>
  <c r="W3120" i="1" s="1"/>
  <c r="X1174" i="1"/>
  <c r="W1174" i="1" s="1"/>
  <c r="X319" i="1"/>
  <c r="W319" i="1" s="1"/>
  <c r="X318" i="1"/>
  <c r="W318" i="1" s="1"/>
  <c r="X2365" i="1"/>
  <c r="W2365" i="1" s="1"/>
  <c r="X929" i="1"/>
  <c r="W929" i="1" s="1"/>
  <c r="X928" i="1"/>
  <c r="W928" i="1" s="1"/>
  <c r="X927" i="1"/>
  <c r="W927" i="1" s="1"/>
  <c r="X841" i="1"/>
  <c r="W841" i="1" s="1"/>
  <c r="X591" i="1"/>
  <c r="W591" i="1" s="1"/>
  <c r="X2398" i="1"/>
  <c r="W2398" i="1" s="1"/>
  <c r="X236" i="1"/>
  <c r="W236" i="1" s="1"/>
  <c r="X2451" i="1"/>
  <c r="W2451" i="1" s="1"/>
  <c r="X64" i="1"/>
  <c r="W64" i="1" s="1"/>
  <c r="X3103" i="1"/>
  <c r="W3103" i="1" s="1"/>
  <c r="X606" i="1"/>
  <c r="W606" i="1" s="1"/>
  <c r="X605" i="1"/>
  <c r="W605" i="1" s="1"/>
  <c r="X604" i="1"/>
  <c r="W604" i="1" s="1"/>
  <c r="X2236" i="1"/>
  <c r="W2236" i="1" s="1"/>
  <c r="X2893" i="1"/>
  <c r="W2893" i="1" s="1"/>
  <c r="X11" i="1"/>
  <c r="W11" i="1" s="1"/>
  <c r="X10" i="1"/>
  <c r="W10" i="1" s="1"/>
  <c r="X1270" i="1"/>
  <c r="W1270" i="1" s="1"/>
  <c r="X2609" i="1"/>
  <c r="W2609" i="1" s="1"/>
  <c r="X2560" i="1"/>
  <c r="W2560" i="1" s="1"/>
  <c r="X1621" i="1"/>
  <c r="W1621" i="1" s="1"/>
  <c r="X1788" i="1"/>
  <c r="W1788" i="1" s="1"/>
  <c r="X2729" i="1"/>
  <c r="W2729" i="1" s="1"/>
  <c r="X2725" i="1"/>
  <c r="W2725" i="1" s="1"/>
  <c r="X1758" i="1"/>
  <c r="W1758" i="1" s="1"/>
  <c r="X9" i="1"/>
  <c r="W9" i="1" s="1"/>
  <c r="X1609" i="1"/>
  <c r="W1609" i="1" s="1"/>
  <c r="X1607" i="1"/>
  <c r="W1607" i="1" s="1"/>
  <c r="X2415" i="1"/>
  <c r="W2415" i="1" s="1"/>
  <c r="X1769" i="1"/>
  <c r="W1769" i="1" s="1"/>
  <c r="X949" i="1"/>
  <c r="W949" i="1" s="1"/>
  <c r="X948" i="1"/>
  <c r="W948" i="1" s="1"/>
  <c r="X946" i="1"/>
  <c r="W946" i="1" s="1"/>
  <c r="X21" i="1"/>
  <c r="W21" i="1" s="1"/>
  <c r="X20" i="1"/>
  <c r="W20" i="1" s="1"/>
  <c r="X16" i="1"/>
  <c r="W16" i="1" s="1"/>
  <c r="X14" i="1"/>
  <c r="W14" i="1" s="1"/>
  <c r="X35" i="1"/>
  <c r="W35" i="1" s="1"/>
  <c r="X91" i="1"/>
  <c r="W91" i="1" s="1"/>
  <c r="X228" i="1"/>
  <c r="W228" i="1" s="1"/>
  <c r="X312" i="1"/>
  <c r="W312" i="1" s="1"/>
  <c r="X314" i="1"/>
  <c r="W314" i="1" s="1"/>
  <c r="X320" i="1"/>
  <c r="W320" i="1" s="1"/>
  <c r="X344" i="1"/>
  <c r="W344" i="1" s="1"/>
  <c r="X350" i="1"/>
  <c r="W350" i="1" s="1"/>
  <c r="X408" i="1"/>
  <c r="W408" i="1" s="1"/>
  <c r="X429" i="1"/>
  <c r="W429" i="1" s="1"/>
  <c r="X512" i="1"/>
  <c r="W512" i="1" s="1"/>
  <c r="X511" i="1"/>
  <c r="W511" i="1" s="1"/>
  <c r="X510" i="1"/>
  <c r="W510" i="1" s="1"/>
  <c r="X509" i="1"/>
  <c r="W509" i="1" s="1"/>
  <c r="X540" i="1"/>
  <c r="W540" i="1" s="1"/>
  <c r="X539" i="1"/>
  <c r="W539" i="1" s="1"/>
  <c r="X613" i="1"/>
  <c r="W613" i="1" s="1"/>
  <c r="X612" i="1"/>
  <c r="W612" i="1" s="1"/>
  <c r="X595" i="1"/>
  <c r="W595" i="1" s="1"/>
  <c r="X571" i="1"/>
  <c r="W571" i="1" s="1"/>
  <c r="X662" i="1"/>
  <c r="W662" i="1" s="1"/>
  <c r="X661" i="1"/>
  <c r="W661" i="1" s="1"/>
  <c r="X660" i="1"/>
  <c r="W660" i="1" s="1"/>
  <c r="X659" i="1"/>
  <c r="W659" i="1" s="1"/>
  <c r="X658" i="1"/>
  <c r="W658" i="1" s="1"/>
  <c r="X756" i="1"/>
  <c r="W756" i="1" s="1"/>
  <c r="X754" i="1"/>
  <c r="W754" i="1" s="1"/>
  <c r="X755" i="1"/>
  <c r="W755" i="1" s="1"/>
  <c r="X780" i="1"/>
  <c r="W780" i="1" s="1"/>
  <c r="X806" i="1"/>
  <c r="W806" i="1" s="1"/>
  <c r="X865" i="1"/>
  <c r="W865" i="1" s="1"/>
  <c r="X951" i="1"/>
  <c r="W951" i="1" s="1"/>
  <c r="X963" i="1"/>
  <c r="W963" i="1" s="1"/>
  <c r="X1011" i="1"/>
  <c r="W1011" i="1" s="1"/>
  <c r="X1010" i="1"/>
  <c r="W1010" i="1" s="1"/>
  <c r="X1009" i="1"/>
  <c r="W1009" i="1" s="1"/>
  <c r="X1098" i="1"/>
  <c r="W1098" i="1" s="1"/>
  <c r="X1196" i="1"/>
  <c r="W1196" i="1" s="1"/>
  <c r="X1420" i="1"/>
  <c r="W1420" i="1" s="1"/>
  <c r="X1580" i="1"/>
  <c r="W1580" i="1" s="1"/>
  <c r="X1591" i="1"/>
  <c r="W1591" i="1" s="1"/>
  <c r="X1636" i="1"/>
  <c r="W1636" i="1" s="1"/>
  <c r="X1648" i="1"/>
  <c r="W1648" i="1" s="1"/>
  <c r="X1665" i="1"/>
  <c r="W1665" i="1" s="1"/>
  <c r="X1666" i="1"/>
  <c r="W1666" i="1" s="1"/>
  <c r="X1668" i="1"/>
  <c r="W1668" i="1" s="1"/>
  <c r="X1722" i="1"/>
  <c r="W1722" i="1" s="1"/>
  <c r="X1774" i="1"/>
  <c r="W1774" i="1" s="1"/>
  <c r="X1789" i="1"/>
  <c r="W1789" i="1" s="1"/>
  <c r="X1796" i="1"/>
  <c r="W1796" i="1" s="1"/>
  <c r="X1809" i="1"/>
  <c r="W1809" i="1" s="1"/>
  <c r="X1810" i="1"/>
  <c r="W1810" i="1" s="1"/>
  <c r="X1811" i="1"/>
  <c r="W1811" i="1" s="1"/>
  <c r="X1812" i="1"/>
  <c r="W1812" i="1" s="1"/>
  <c r="X1807" i="1"/>
  <c r="W1807" i="1" s="1"/>
  <c r="X1806" i="1"/>
  <c r="W1806" i="1" s="1"/>
  <c r="X1841" i="1"/>
  <c r="W1841" i="1" s="1"/>
  <c r="X1846" i="1"/>
  <c r="W1846" i="1" s="1"/>
  <c r="X1848" i="1"/>
  <c r="W1848" i="1" s="1"/>
  <c r="X1884" i="1"/>
  <c r="W1884" i="1" s="1"/>
  <c r="X1885" i="1"/>
  <c r="W1885" i="1" s="1"/>
  <c r="X1920" i="1"/>
  <c r="W1920" i="1" s="1"/>
  <c r="X1921" i="1"/>
  <c r="W1921" i="1" s="1"/>
  <c r="X1919" i="1"/>
  <c r="W1919" i="1" s="1"/>
  <c r="X1922" i="1"/>
  <c r="W1922" i="1" s="1"/>
  <c r="X1926" i="1"/>
  <c r="W1926" i="1" s="1"/>
  <c r="X1928" i="1"/>
  <c r="W1928" i="1" s="1"/>
  <c r="X1927" i="1"/>
  <c r="W1927" i="1" s="1"/>
  <c r="X1976" i="1"/>
  <c r="W1976" i="1" s="1"/>
  <c r="X1978" i="1"/>
  <c r="W1978" i="1" s="1"/>
  <c r="X1979" i="1"/>
  <c r="W1979" i="1" s="1"/>
  <c r="X2015" i="1"/>
  <c r="W2015" i="1" s="1"/>
  <c r="X2020" i="1"/>
  <c r="W2020" i="1" s="1"/>
  <c r="X2019" i="1"/>
  <c r="W2019" i="1" s="1"/>
  <c r="X2021" i="1"/>
  <c r="W2021" i="1" s="1"/>
  <c r="X2045" i="1"/>
  <c r="W2045" i="1" s="1"/>
  <c r="X2195" i="1"/>
  <c r="W2195" i="1" s="1"/>
  <c r="X2237" i="1"/>
  <c r="W2237" i="1" s="1"/>
  <c r="X2315" i="1"/>
  <c r="W2315" i="1" s="1"/>
  <c r="X2314" i="1"/>
  <c r="W2314" i="1" s="1"/>
  <c r="X2353" i="1"/>
  <c r="W2353" i="1" s="1"/>
  <c r="X2354" i="1"/>
  <c r="W2354" i="1" s="1"/>
  <c r="X2475" i="1"/>
  <c r="W2475" i="1" s="1"/>
  <c r="X2474" i="1"/>
  <c r="W2474" i="1" s="1"/>
  <c r="X2515" i="1"/>
  <c r="W2515" i="1" s="1"/>
  <c r="X2532" i="1"/>
  <c r="W2532" i="1" s="1"/>
  <c r="X2534" i="1"/>
  <c r="W2534" i="1" s="1"/>
  <c r="X2533" i="1"/>
  <c r="W2533" i="1" s="1"/>
  <c r="X2564" i="1"/>
  <c r="W2564" i="1" s="1"/>
  <c r="X2561" i="1"/>
  <c r="W2561" i="1" s="1"/>
  <c r="X2582" i="1"/>
  <c r="W2582" i="1" s="1"/>
  <c r="X2581" i="1"/>
  <c r="W2581" i="1" s="1"/>
  <c r="X2617" i="1"/>
  <c r="W2617" i="1" s="1"/>
  <c r="X2616" i="1"/>
  <c r="W2616" i="1" s="1"/>
  <c r="X2635" i="1"/>
  <c r="W2635" i="1" s="1"/>
  <c r="X2650" i="1"/>
  <c r="W2650" i="1" s="1"/>
  <c r="X2643" i="1"/>
  <c r="W2643" i="1" s="1"/>
  <c r="X2649" i="1"/>
  <c r="W2649" i="1" s="1"/>
  <c r="X2717" i="1"/>
  <c r="W2717" i="1" s="1"/>
  <c r="X2719" i="1"/>
  <c r="W2719" i="1" s="1"/>
  <c r="X2718" i="1"/>
  <c r="W2718" i="1" s="1"/>
  <c r="X2715" i="1"/>
  <c r="W2715" i="1" s="1"/>
  <c r="X2714" i="1"/>
  <c r="W2714" i="1" s="1"/>
  <c r="X2716" i="1"/>
  <c r="W2716" i="1" s="1"/>
  <c r="X2726" i="1"/>
  <c r="W2726" i="1" s="1"/>
  <c r="X2723" i="1"/>
  <c r="W2723" i="1" s="1"/>
  <c r="X2721" i="1"/>
  <c r="W2721" i="1" s="1"/>
  <c r="X2720" i="1"/>
  <c r="W2720" i="1" s="1"/>
  <c r="X2739" i="1"/>
  <c r="W2739" i="1" s="1"/>
  <c r="X2803" i="1"/>
  <c r="W2803" i="1" s="1"/>
  <c r="X2873" i="1"/>
  <c r="W2873" i="1" s="1"/>
  <c r="X2936" i="1"/>
  <c r="W2936" i="1" s="1"/>
  <c r="X2935" i="1"/>
  <c r="W2935" i="1" s="1"/>
  <c r="X2947" i="1"/>
  <c r="W2947" i="1" s="1"/>
  <c r="X3049" i="1"/>
  <c r="W3049" i="1" s="1"/>
  <c r="X3048" i="1"/>
  <c r="W3048" i="1" s="1"/>
  <c r="X3104" i="1"/>
  <c r="W3104" i="1" s="1"/>
  <c r="X3127" i="1"/>
  <c r="W3127" i="1" s="1"/>
  <c r="W1649" i="1" l="1"/>
  <c r="W1452" i="1"/>
  <c r="W2946" i="1"/>
  <c r="W2329" i="1"/>
  <c r="W2330" i="1"/>
  <c r="W375" i="1"/>
  <c r="W204" i="1"/>
  <c r="W2250" i="1"/>
  <c r="W2235" i="1"/>
  <c r="W2959" i="1"/>
  <c r="W919" i="1"/>
  <c r="Z21" i="6"/>
  <c r="V18" i="6"/>
  <c r="BP3" i="6"/>
  <c r="CI16" i="6"/>
  <c r="BC4" i="6"/>
  <c r="BY19" i="6"/>
  <c r="BJ16" i="6"/>
  <c r="AO4" i="6"/>
  <c r="CN7" i="6"/>
  <c r="BX22" i="6"/>
  <c r="BD41" i="6"/>
  <c r="BI8" i="6"/>
  <c r="AU4" i="6"/>
  <c r="P17" i="6"/>
  <c r="BV3" i="6"/>
  <c r="BP20" i="6"/>
  <c r="AI38" i="6"/>
  <c r="AY11" i="6"/>
  <c r="CO10" i="6"/>
  <c r="BX18" i="6"/>
  <c r="AF8" i="6"/>
  <c r="BU13" i="6"/>
  <c r="BF6" i="6"/>
  <c r="CH6" i="6"/>
  <c r="AE21" i="6"/>
  <c r="CF28" i="6"/>
  <c r="N31" i="6"/>
  <c r="AF27" i="6"/>
  <c r="BG22" i="6"/>
  <c r="AB17" i="6"/>
  <c r="CA36" i="6"/>
  <c r="BF20" i="6"/>
  <c r="T18" i="6"/>
  <c r="BC62" i="6"/>
  <c r="AG2" i="6"/>
  <c r="AL58" i="6"/>
  <c r="I7" i="6"/>
  <c r="BC8" i="6"/>
  <c r="AK2" i="6"/>
  <c r="BM2" i="6"/>
  <c r="E9" i="6"/>
  <c r="AG4" i="6"/>
  <c r="CI4" i="6"/>
  <c r="AD19" i="6"/>
  <c r="S52" i="6"/>
  <c r="CF17" i="6"/>
  <c r="Q6" i="6"/>
  <c r="BJ12" i="6"/>
  <c r="BT2" i="6"/>
  <c r="CR12" i="6"/>
  <c r="Q3" i="6"/>
  <c r="CB14" i="6"/>
  <c r="BF23" i="6"/>
  <c r="BQ16" i="6"/>
  <c r="U44" i="6"/>
  <c r="CE42" i="6"/>
  <c r="CM20" i="6"/>
  <c r="BH22" i="6"/>
  <c r="G5" i="6"/>
  <c r="CH3" i="6"/>
  <c r="CR24" i="6"/>
  <c r="BO19" i="6"/>
  <c r="AM26" i="6"/>
  <c r="AB4" i="2"/>
  <c r="W6" i="6"/>
  <c r="AJ35" i="6"/>
  <c r="CN16" i="6"/>
  <c r="AP35" i="6"/>
  <c r="D3" i="6"/>
  <c r="E21" i="6"/>
  <c r="CI46" i="6"/>
  <c r="CK30" i="6"/>
  <c r="Q51" i="6"/>
  <c r="N16" i="6"/>
  <c r="K18" i="6"/>
  <c r="AL13" i="6"/>
  <c r="AW37" i="6"/>
  <c r="CJ34" i="6"/>
  <c r="BP39" i="6"/>
  <c r="BX39" i="6"/>
  <c r="BZ88" i="6"/>
  <c r="AN38" i="6"/>
  <c r="CF46" i="6"/>
  <c r="AX29" i="6"/>
  <c r="CI15" i="6"/>
  <c r="CL6" i="6"/>
  <c r="CP10" i="6"/>
  <c r="CL13" i="6"/>
  <c r="AS2" i="6"/>
  <c r="BM99" i="6"/>
  <c r="AV62" i="6"/>
  <c r="L32" i="6"/>
  <c r="W19" i="6"/>
  <c r="BB70" i="6"/>
  <c r="AU5" i="6"/>
  <c r="BI6" i="6"/>
  <c r="M51" i="6"/>
  <c r="Z15" i="6"/>
  <c r="CD6" i="6"/>
  <c r="CO40" i="6"/>
  <c r="BT23" i="6"/>
  <c r="O6" i="6"/>
  <c r="P8" i="6"/>
  <c r="P50" i="6"/>
  <c r="AR16" i="6"/>
  <c r="AS27" i="6"/>
  <c r="CD63" i="6"/>
  <c r="CD10" i="6"/>
  <c r="BT65" i="6"/>
  <c r="AA25" i="6"/>
  <c r="BJ65" i="6"/>
  <c r="CA47" i="6"/>
  <c r="N24" i="6"/>
  <c r="BQ52" i="6"/>
  <c r="N6" i="6"/>
  <c r="AI18" i="6"/>
  <c r="BO21" i="6"/>
  <c r="BI2" i="6"/>
  <c r="I26" i="6"/>
  <c r="N14" i="6"/>
  <c r="CC35" i="6"/>
  <c r="V19" i="6"/>
  <c r="BO25" i="6"/>
  <c r="BY5" i="2"/>
  <c r="BX9" i="6"/>
  <c r="AL32" i="6"/>
  <c r="CC62" i="6"/>
  <c r="BC18" i="6"/>
  <c r="E44" i="6"/>
  <c r="CN26" i="6"/>
  <c r="CL33" i="6"/>
  <c r="AS15" i="6"/>
  <c r="BI23" i="6"/>
  <c r="BZ10" i="6"/>
  <c r="G2" i="6"/>
  <c r="BS23" i="6"/>
  <c r="E8" i="6"/>
  <c r="BI18" i="6"/>
  <c r="G16" i="6"/>
  <c r="K11" i="6"/>
  <c r="BM15" i="6"/>
  <c r="CB13" i="6"/>
  <c r="CP5" i="6"/>
  <c r="CP4" i="6"/>
  <c r="AM40" i="6"/>
  <c r="CJ4" i="6"/>
  <c r="CF34" i="6"/>
  <c r="AQ8" i="6"/>
  <c r="CO3" i="6"/>
  <c r="AN16" i="6"/>
  <c r="AC12" i="6"/>
  <c r="BS14" i="6"/>
  <c r="T9" i="6"/>
  <c r="AO12" i="6"/>
  <c r="AN2" i="6"/>
  <c r="CE4" i="6"/>
  <c r="CM10" i="6"/>
  <c r="Q13" i="6"/>
  <c r="BU8" i="6"/>
  <c r="AS38" i="6"/>
  <c r="AZ25" i="6"/>
  <c r="AM4" i="6"/>
  <c r="AV43" i="6"/>
  <c r="CN12" i="6"/>
  <c r="U2" i="6"/>
  <c r="BG2" i="6"/>
  <c r="BA2" i="6"/>
  <c r="R11" i="6"/>
  <c r="CR17" i="6"/>
  <c r="AT17" i="6"/>
  <c r="BM12" i="6"/>
  <c r="BB25" i="6"/>
  <c r="BE8" i="6"/>
  <c r="AY9" i="6"/>
  <c r="CO22" i="6"/>
  <c r="AM3" i="6"/>
  <c r="AE2" i="6"/>
  <c r="CQ15" i="6"/>
  <c r="CR14" i="6"/>
  <c r="I8" i="6"/>
  <c r="R6" i="6"/>
  <c r="CC15" i="6"/>
  <c r="CB6" i="6"/>
  <c r="BL49" i="6"/>
  <c r="AD6" i="6"/>
  <c r="CF12" i="6"/>
  <c r="M3" i="6"/>
  <c r="CE8" i="6"/>
  <c r="BG15" i="6"/>
  <c r="E33" i="6"/>
  <c r="BG31" i="6"/>
  <c r="M19" i="6"/>
  <c r="N27" i="6"/>
  <c r="F25" i="6"/>
  <c r="K7" i="6"/>
  <c r="H16" i="6"/>
  <c r="U17" i="6"/>
  <c r="H39" i="6"/>
  <c r="BZ16" i="6"/>
  <c r="N3" i="6"/>
  <c r="BR2" i="6"/>
  <c r="BM47" i="6"/>
  <c r="AP6" i="6"/>
  <c r="AM5" i="6"/>
  <c r="BA23" i="6"/>
  <c r="AV8" i="6"/>
  <c r="CB8" i="6"/>
  <c r="CO24" i="6"/>
  <c r="AP3" i="6"/>
  <c r="BR19" i="6"/>
  <c r="BW11" i="6"/>
  <c r="AO13" i="6"/>
  <c r="AL19" i="6"/>
  <c r="BW17" i="6"/>
  <c r="BL7" i="6"/>
  <c r="AK65" i="6"/>
  <c r="AY23" i="6"/>
  <c r="BW30" i="6"/>
  <c r="CQ11" i="6"/>
  <c r="AC8" i="6"/>
  <c r="BE17" i="6"/>
  <c r="P52" i="6"/>
  <c r="CD4" i="6"/>
  <c r="AH22" i="6"/>
  <c r="BG13" i="6"/>
  <c r="AL12" i="6"/>
  <c r="AB14" i="6"/>
  <c r="AE4" i="6"/>
  <c r="CE40" i="6"/>
  <c r="AN5" i="6"/>
  <c r="BZ4" i="6"/>
  <c r="AG47" i="6"/>
  <c r="AS18" i="6"/>
  <c r="CB10" i="6"/>
  <c r="D5" i="6"/>
  <c r="BD19" i="6"/>
  <c r="BP14" i="6"/>
  <c r="BO14" i="6"/>
  <c r="AQ42" i="6"/>
  <c r="AY22" i="6"/>
  <c r="AT2" i="6"/>
  <c r="P15" i="6"/>
  <c r="BL13" i="6"/>
  <c r="BJ28" i="6"/>
  <c r="AY14" i="6"/>
  <c r="AH11" i="6"/>
  <c r="L10" i="6"/>
  <c r="CM40" i="6"/>
  <c r="AT6" i="6"/>
  <c r="BP9" i="6"/>
  <c r="AK4" i="6"/>
  <c r="BN5" i="6"/>
  <c r="P6" i="6"/>
  <c r="AW75" i="6"/>
  <c r="CO32" i="6"/>
  <c r="CL9" i="6"/>
  <c r="T6" i="6"/>
  <c r="CA2" i="6"/>
  <c r="CI61" i="6"/>
  <c r="BY22" i="6"/>
  <c r="CD26" i="6"/>
  <c r="V42" i="6"/>
  <c r="BR3" i="6"/>
  <c r="C60" i="6"/>
  <c r="AP41" i="6"/>
  <c r="H26" i="6"/>
  <c r="CE11" i="6"/>
  <c r="BM5" i="6"/>
  <c r="E3" i="6"/>
  <c r="AO36" i="6"/>
  <c r="AW38" i="6"/>
  <c r="BN12" i="6"/>
  <c r="BJ25" i="6"/>
  <c r="AV34" i="6"/>
  <c r="CL8" i="6"/>
  <c r="Y13" i="6"/>
  <c r="AL51" i="6"/>
  <c r="BW20" i="6"/>
  <c r="AN11" i="6"/>
  <c r="AS22" i="6"/>
  <c r="BB16" i="6"/>
  <c r="BN10" i="6"/>
  <c r="BN13" i="6"/>
  <c r="AN3" i="6"/>
  <c r="BS7" i="6"/>
  <c r="AC3" i="6"/>
  <c r="BH34" i="6"/>
  <c r="BV5" i="6"/>
  <c r="T3" i="6"/>
  <c r="AP5" i="6"/>
  <c r="AG6" i="6"/>
  <c r="Q11" i="6"/>
  <c r="R4" i="6"/>
  <c r="K8" i="6"/>
  <c r="Y40" i="6"/>
  <c r="CJ31" i="6"/>
  <c r="AB50" i="6"/>
  <c r="H20" i="6"/>
  <c r="O11" i="6"/>
  <c r="CP46" i="6"/>
  <c r="CE9" i="6"/>
  <c r="CQ32" i="6"/>
  <c r="CI12" i="6"/>
  <c r="J10" i="6"/>
  <c r="I22" i="6"/>
  <c r="AK53" i="6"/>
  <c r="AQ11" i="6"/>
  <c r="V51" i="6"/>
  <c r="G24" i="6"/>
  <c r="CO53" i="6"/>
  <c r="CA8" i="6"/>
  <c r="BW7" i="6"/>
  <c r="CB2" i="6"/>
  <c r="CF26" i="6"/>
  <c r="I18" i="6"/>
  <c r="BW4" i="6"/>
  <c r="BO18" i="6"/>
  <c r="BJ7" i="6"/>
  <c r="BH37" i="6"/>
  <c r="AN25" i="6"/>
  <c r="BI14" i="6"/>
  <c r="BO34" i="6"/>
  <c r="BC46" i="6"/>
  <c r="M37" i="6"/>
  <c r="CH39" i="6"/>
  <c r="I15" i="6"/>
  <c r="AT19" i="6"/>
  <c r="N90" i="6"/>
  <c r="AA18" i="6"/>
  <c r="CF6" i="6"/>
  <c r="CQ7" i="6"/>
  <c r="CK2" i="6"/>
  <c r="BE21" i="6"/>
  <c r="CN15" i="6"/>
  <c r="I3" i="6"/>
  <c r="CA17" i="6"/>
  <c r="CA5" i="6"/>
  <c r="AT21" i="6"/>
  <c r="CE12" i="6"/>
  <c r="AO3" i="6"/>
  <c r="BS5" i="6"/>
  <c r="AF22" i="6"/>
  <c r="F46" i="6"/>
  <c r="BM36" i="6"/>
  <c r="V13" i="6"/>
  <c r="AJ8" i="6"/>
  <c r="P13" i="6"/>
  <c r="L19" i="6"/>
  <c r="W10" i="6"/>
  <c r="AD21" i="6"/>
  <c r="CF39" i="6"/>
  <c r="CO26" i="6"/>
  <c r="BV40" i="6"/>
  <c r="Y3" i="6"/>
  <c r="CJ13" i="6"/>
  <c r="AS5" i="6"/>
  <c r="D22" i="6"/>
  <c r="BD8" i="6"/>
  <c r="BB40" i="6"/>
  <c r="AD10" i="6"/>
  <c r="AU6" i="6"/>
  <c r="BZ2" i="6"/>
  <c r="BV9" i="6"/>
  <c r="AE3" i="6"/>
  <c r="AE12" i="6"/>
  <c r="CM31" i="6"/>
  <c r="CD8" i="6"/>
  <c r="R84" i="6"/>
  <c r="BE4" i="6"/>
  <c r="AT79" i="6"/>
  <c r="CO19" i="6"/>
  <c r="X80" i="6"/>
  <c r="AT43" i="6"/>
  <c r="Z3" i="6"/>
  <c r="BF18" i="6"/>
  <c r="BK15" i="6"/>
  <c r="AM6" i="6"/>
  <c r="AX2" i="6"/>
  <c r="AW18" i="6"/>
  <c r="Z8" i="6"/>
  <c r="W31" i="6"/>
  <c r="CF25" i="6"/>
  <c r="AA65" i="6"/>
  <c r="AQ15" i="6"/>
  <c r="BO20" i="6"/>
  <c r="O16" i="6"/>
  <c r="BB34" i="6"/>
  <c r="AL7" i="6"/>
  <c r="CA34" i="6"/>
  <c r="CC49" i="6"/>
  <c r="AG11" i="6"/>
  <c r="AU4" i="2"/>
  <c r="CA59" i="6"/>
  <c r="BY18" i="6"/>
  <c r="BF19" i="6"/>
  <c r="H41" i="6"/>
  <c r="BA32" i="6"/>
  <c r="CB58" i="6"/>
  <c r="AE19" i="6"/>
  <c r="AR6" i="6"/>
  <c r="AA46" i="6"/>
  <c r="BQ19" i="6"/>
  <c r="BA9" i="6"/>
  <c r="BY3" i="6"/>
  <c r="H44" i="6"/>
  <c r="X15" i="6"/>
  <c r="O7" i="6"/>
  <c r="AT27" i="6"/>
  <c r="BE32" i="6"/>
  <c r="D16" i="6"/>
  <c r="AQ19" i="6"/>
  <c r="BH29" i="6"/>
  <c r="P3" i="6"/>
  <c r="L14" i="6"/>
  <c r="BF63" i="6"/>
  <c r="CJ9" i="6"/>
  <c r="BZ33" i="6"/>
  <c r="AO19" i="6"/>
  <c r="BI3" i="6"/>
  <c r="AH35" i="6"/>
  <c r="CG10" i="6"/>
  <c r="H4" i="6"/>
  <c r="X20" i="6"/>
  <c r="Z13" i="6"/>
  <c r="BQ8" i="6"/>
  <c r="K61" i="6"/>
  <c r="AG12" i="6"/>
  <c r="BV4" i="6"/>
  <c r="P23" i="6"/>
  <c r="BQ15" i="6"/>
  <c r="AB62" i="6"/>
  <c r="V17" i="6"/>
  <c r="CQ25" i="6"/>
  <c r="AA38" i="6"/>
  <c r="R43" i="6"/>
  <c r="E12" i="6"/>
  <c r="AL95" i="6"/>
  <c r="AV22" i="6"/>
  <c r="G42" i="6"/>
  <c r="CR13" i="6"/>
  <c r="D49" i="6"/>
  <c r="R35" i="6"/>
  <c r="CO59" i="6"/>
  <c r="AU38" i="6"/>
  <c r="BB8" i="6"/>
  <c r="W48" i="6"/>
  <c r="Y47" i="6"/>
  <c r="AO5" i="6"/>
  <c r="Q12" i="6"/>
  <c r="AN43" i="6"/>
  <c r="CC14" i="6"/>
  <c r="T21" i="6"/>
  <c r="S26" i="6"/>
  <c r="BL39" i="6"/>
  <c r="M63" i="6"/>
  <c r="AF36" i="6"/>
  <c r="O18" i="6"/>
  <c r="M16" i="6"/>
  <c r="CO4" i="6"/>
  <c r="P9" i="6"/>
  <c r="BD14" i="6"/>
  <c r="BG12" i="6"/>
  <c r="BI12" i="6"/>
  <c r="BQ21" i="6"/>
  <c r="BH7" i="6"/>
  <c r="BJ2" i="6"/>
  <c r="F12" i="6"/>
  <c r="CM3" i="6"/>
  <c r="CO16" i="6"/>
  <c r="BA6" i="6"/>
  <c r="CM4" i="6"/>
  <c r="CN27" i="6"/>
  <c r="CH11" i="6"/>
  <c r="X7" i="6"/>
  <c r="AA8" i="6"/>
  <c r="CF3" i="6"/>
  <c r="BY4" i="6"/>
  <c r="BI32" i="6"/>
  <c r="BL17" i="6"/>
  <c r="CN8" i="6"/>
  <c r="CE18" i="6"/>
  <c r="CQ16" i="6"/>
  <c r="BR8" i="6"/>
  <c r="BV17" i="6"/>
  <c r="CR42" i="6"/>
  <c r="CA15" i="6"/>
  <c r="AS14" i="6"/>
  <c r="AC5" i="6"/>
  <c r="BZ58" i="6"/>
  <c r="AN4" i="6"/>
  <c r="S17" i="6"/>
  <c r="CI5" i="6"/>
  <c r="BV29" i="6"/>
  <c r="O3" i="6"/>
  <c r="BU11" i="6"/>
  <c r="CC23" i="6"/>
  <c r="BS16" i="6"/>
  <c r="BM7" i="6"/>
  <c r="U7" i="6"/>
  <c r="I30" i="6"/>
  <c r="AS41" i="6"/>
  <c r="BQ6" i="6"/>
  <c r="E2" i="6"/>
  <c r="CF10" i="6"/>
  <c r="AD14" i="6"/>
  <c r="CK7" i="6"/>
  <c r="BX13" i="6"/>
  <c r="AZ15" i="6"/>
  <c r="AU21" i="6"/>
  <c r="CD3" i="6"/>
  <c r="AQ10" i="6"/>
  <c r="CB15" i="6"/>
  <c r="AC19" i="6"/>
  <c r="H5" i="6"/>
  <c r="AR45" i="6"/>
  <c r="CJ12" i="6"/>
  <c r="W25" i="6"/>
  <c r="V24" i="6"/>
  <c r="G96" i="6"/>
  <c r="BN29" i="6"/>
  <c r="CC17" i="6"/>
  <c r="AL29" i="6"/>
  <c r="AC43" i="6"/>
  <c r="CO21" i="6"/>
  <c r="K92" i="6"/>
  <c r="AT4" i="6"/>
  <c r="AV13" i="6"/>
  <c r="AH5" i="6"/>
  <c r="AL36" i="6"/>
  <c r="AE11" i="6"/>
  <c r="M45" i="6"/>
  <c r="AB7" i="6"/>
  <c r="BX37" i="6"/>
  <c r="BZ6" i="6"/>
  <c r="AX18" i="6"/>
  <c r="BJ31" i="6"/>
  <c r="BI30" i="6"/>
  <c r="BM8" i="6"/>
  <c r="AU36" i="6"/>
  <c r="BO81" i="6"/>
  <c r="T38" i="6"/>
  <c r="AC31" i="6"/>
  <c r="AZ52" i="6"/>
  <c r="I10" i="6"/>
  <c r="BF50" i="6"/>
  <c r="AN88" i="6"/>
  <c r="D48" i="6"/>
  <c r="BX15" i="6"/>
  <c r="AA4" i="6"/>
  <c r="AO28" i="6"/>
  <c r="AW3" i="6"/>
  <c r="R2" i="6"/>
  <c r="BF73" i="6"/>
  <c r="BB6" i="6"/>
  <c r="CI100" i="6"/>
  <c r="AP7" i="6"/>
  <c r="AG18" i="6"/>
  <c r="AV11" i="6"/>
  <c r="CJ22" i="6"/>
  <c r="CB23" i="6"/>
  <c r="AF29" i="6"/>
  <c r="H23" i="6"/>
  <c r="D7" i="6"/>
  <c r="BQ3" i="6"/>
  <c r="BH10" i="6"/>
  <c r="BO50" i="6"/>
  <c r="BF34" i="6"/>
  <c r="W82" i="6"/>
  <c r="CK59" i="6"/>
  <c r="AH34" i="6"/>
  <c r="BL10" i="6"/>
  <c r="CG53" i="6"/>
  <c r="X11" i="6"/>
  <c r="BL21" i="6"/>
  <c r="CF2" i="6"/>
  <c r="BI21" i="6"/>
  <c r="CB67" i="6"/>
  <c r="BB32" i="6"/>
  <c r="BN37" i="6"/>
  <c r="AQ61" i="6"/>
  <c r="E61" i="6"/>
  <c r="CJ2" i="6"/>
  <c r="CI2" i="6"/>
  <c r="BN9" i="6"/>
  <c r="BH5" i="6"/>
  <c r="BP7" i="6"/>
  <c r="AL17" i="6"/>
  <c r="X2" i="6"/>
  <c r="AW13" i="6"/>
  <c r="BG3" i="6"/>
  <c r="AM2" i="6"/>
  <c r="BS19" i="6"/>
  <c r="CE50" i="6"/>
  <c r="BN8" i="6"/>
  <c r="CO27" i="6"/>
  <c r="BR9" i="6"/>
  <c r="CG13" i="6"/>
  <c r="P18" i="6"/>
  <c r="M18" i="6"/>
  <c r="V12" i="6"/>
  <c r="X16" i="6"/>
  <c r="AK13" i="6"/>
  <c r="W41" i="6"/>
  <c r="AT12" i="6"/>
  <c r="CE28" i="6"/>
  <c r="BA21" i="6"/>
  <c r="Y18" i="6"/>
  <c r="E19" i="6"/>
  <c r="BY8" i="6"/>
  <c r="O14" i="6"/>
  <c r="AN6" i="6"/>
  <c r="BA14" i="6"/>
  <c r="BA25" i="6"/>
  <c r="BS43" i="6"/>
  <c r="L5" i="6"/>
  <c r="CG21" i="6"/>
  <c r="CL26" i="6"/>
  <c r="BL30" i="6"/>
  <c r="BA7" i="6"/>
  <c r="CM37" i="6"/>
  <c r="CL50" i="6"/>
  <c r="CH2" i="6"/>
  <c r="AR24" i="6"/>
  <c r="AW10" i="6"/>
  <c r="BJ71" i="6"/>
  <c r="L4" i="6"/>
  <c r="AY32" i="6"/>
  <c r="BG20" i="6"/>
  <c r="BC40" i="6"/>
  <c r="BE6" i="6"/>
  <c r="CK9" i="6"/>
  <c r="L17" i="6"/>
  <c r="CB49" i="6"/>
  <c r="CK3" i="6"/>
  <c r="CF19" i="6"/>
  <c r="N47" i="6"/>
  <c r="BJ9" i="6"/>
  <c r="AE8" i="6"/>
  <c r="AU19" i="6"/>
  <c r="CO8" i="6"/>
  <c r="CN83" i="6"/>
  <c r="AF28" i="6"/>
  <c r="CD50" i="6"/>
  <c r="CP21" i="6"/>
  <c r="Z11" i="6"/>
  <c r="W55" i="6"/>
  <c r="CB35" i="6"/>
  <c r="AU32" i="6"/>
  <c r="G22" i="6"/>
  <c r="AJ2" i="6"/>
  <c r="CB19" i="6"/>
  <c r="AK75" i="6"/>
  <c r="BI37" i="6"/>
  <c r="AU8" i="6"/>
  <c r="BA13" i="6"/>
  <c r="BA8" i="6"/>
  <c r="X32" i="6"/>
  <c r="Q33" i="6"/>
  <c r="AC46" i="6"/>
  <c r="BJ4" i="6"/>
  <c r="AJ27" i="6"/>
  <c r="AQ5" i="6"/>
  <c r="AY38" i="6"/>
  <c r="N28" i="6"/>
  <c r="AZ5" i="6"/>
  <c r="S25" i="6"/>
  <c r="BZ43" i="6"/>
  <c r="AV18" i="6"/>
  <c r="BE15" i="6"/>
  <c r="W23" i="6"/>
  <c r="CH21" i="6"/>
  <c r="BB19" i="6"/>
  <c r="D13" i="6"/>
  <c r="CR63" i="6"/>
  <c r="CR46" i="6"/>
  <c r="BS21" i="6"/>
  <c r="BV11" i="6"/>
  <c r="CE22" i="6"/>
  <c r="W14" i="6"/>
  <c r="BK6" i="6"/>
  <c r="CI10" i="6"/>
  <c r="U14" i="6"/>
  <c r="BJ39" i="6"/>
  <c r="H6" i="6"/>
  <c r="BW45" i="6"/>
  <c r="CQ8" i="6"/>
  <c r="O9" i="6"/>
  <c r="AZ7" i="6"/>
  <c r="AM9" i="6"/>
  <c r="BO4" i="6"/>
  <c r="CK15" i="6"/>
  <c r="BG10" i="2"/>
  <c r="AE14" i="6"/>
  <c r="BF31" i="6"/>
  <c r="AS44" i="6"/>
  <c r="T74" i="6"/>
  <c r="CD7" i="6"/>
  <c r="AH12" i="6"/>
  <c r="T7" i="6"/>
  <c r="BJ75" i="6"/>
  <c r="CR58" i="6"/>
  <c r="D45" i="6"/>
  <c r="BL50" i="6"/>
  <c r="BA3" i="6"/>
  <c r="BO89" i="6"/>
  <c r="BT25" i="6"/>
  <c r="CD27" i="6"/>
  <c r="CK54" i="6"/>
  <c r="AZ19" i="6"/>
  <c r="AG27" i="6"/>
  <c r="G8" i="6"/>
  <c r="BA10" i="6"/>
  <c r="CH5" i="6"/>
  <c r="H42" i="6"/>
  <c r="G7" i="6"/>
  <c r="BA33" i="6"/>
  <c r="W7" i="6"/>
  <c r="BW9" i="6"/>
  <c r="BY41" i="6"/>
  <c r="AU27" i="6"/>
  <c r="AT5" i="6"/>
  <c r="AZ3" i="6"/>
  <c r="AW6" i="6"/>
  <c r="BM6" i="6"/>
  <c r="BQ5" i="6"/>
  <c r="J30" i="6"/>
  <c r="BK19" i="6"/>
  <c r="CD43" i="6"/>
  <c r="V6" i="6"/>
  <c r="CE6" i="6"/>
  <c r="Z17" i="6"/>
  <c r="D28" i="6"/>
  <c r="BW13" i="6"/>
  <c r="BS34" i="6"/>
  <c r="AG9" i="6"/>
  <c r="BZ13" i="6"/>
  <c r="R7" i="6"/>
  <c r="AU15" i="6"/>
  <c r="BQ11" i="6"/>
  <c r="AY18" i="6"/>
  <c r="BZ23" i="6"/>
  <c r="AA3" i="6"/>
  <c r="BB10" i="6"/>
  <c r="BX5" i="6"/>
  <c r="U11" i="6"/>
  <c r="M20" i="6"/>
  <c r="BQ34" i="6"/>
  <c r="AM31" i="6"/>
  <c r="CP43" i="6"/>
  <c r="CQ49" i="6"/>
  <c r="CN24" i="6"/>
  <c r="AV17" i="6"/>
  <c r="BN46" i="6"/>
  <c r="I4" i="6"/>
  <c r="AK9" i="6"/>
  <c r="CP8" i="6"/>
  <c r="BO17" i="6"/>
  <c r="F13" i="6"/>
  <c r="K2" i="6"/>
  <c r="J17" i="6"/>
  <c r="F15" i="6"/>
  <c r="BD40" i="6"/>
  <c r="AJ4" i="6"/>
  <c r="BT46" i="6"/>
  <c r="W16" i="6"/>
  <c r="CR37" i="6"/>
  <c r="BU6" i="6"/>
  <c r="BG7" i="6"/>
  <c r="CJ37" i="6"/>
  <c r="CL20" i="6"/>
  <c r="CA18" i="6"/>
  <c r="BK12" i="6"/>
  <c r="CK61" i="6"/>
  <c r="AE24" i="6"/>
  <c r="P44" i="6"/>
  <c r="O24" i="6"/>
  <c r="AC67" i="6"/>
  <c r="AG25" i="6"/>
  <c r="H2" i="6"/>
  <c r="BV55" i="6"/>
  <c r="CH14" i="6"/>
  <c r="BL11" i="6"/>
  <c r="CT6" i="2"/>
  <c r="J6" i="6"/>
  <c r="AG22" i="6"/>
  <c r="CB17" i="6"/>
  <c r="AZ95" i="6"/>
  <c r="AD87" i="6"/>
  <c r="AM34" i="6"/>
  <c r="BA34" i="6"/>
  <c r="CN35" i="6"/>
  <c r="BT10" i="6"/>
  <c r="BM31" i="6"/>
  <c r="BR41" i="6"/>
  <c r="CM16" i="6"/>
  <c r="AU14" i="6"/>
  <c r="BH12" i="6"/>
  <c r="BQ92" i="6"/>
  <c r="BQ28" i="6"/>
  <c r="BM22" i="6"/>
  <c r="BW49" i="6"/>
  <c r="CR11" i="6"/>
  <c r="BI51" i="6"/>
  <c r="AC26" i="6"/>
  <c r="BT3" i="6"/>
  <c r="AV33" i="6"/>
  <c r="BH23" i="6"/>
  <c r="AO48" i="6"/>
  <c r="S24" i="6"/>
  <c r="R15" i="2"/>
  <c r="AI53" i="6"/>
  <c r="BI59" i="6"/>
  <c r="BX45" i="6"/>
  <c r="CA51" i="6"/>
  <c r="CM22" i="6"/>
  <c r="V8" i="6"/>
  <c r="CA4" i="6"/>
  <c r="CN4" i="6"/>
  <c r="T20" i="6"/>
  <c r="AK40" i="6"/>
  <c r="AE79" i="6"/>
  <c r="BY67" i="6"/>
  <c r="AL73" i="6"/>
  <c r="CI38" i="6"/>
  <c r="I58" i="6"/>
  <c r="BB17" i="6"/>
  <c r="BV79" i="6"/>
  <c r="BR17" i="6"/>
  <c r="AC90" i="6"/>
  <c r="CK11" i="6"/>
  <c r="BG53" i="6"/>
  <c r="BV63" i="6"/>
  <c r="G18" i="6"/>
  <c r="AN58" i="6"/>
  <c r="CJ6" i="6"/>
  <c r="CA75" i="6"/>
  <c r="BM3" i="6"/>
  <c r="BZ8" i="6"/>
  <c r="AJ19" i="6"/>
  <c r="BD16" i="6"/>
  <c r="E4" i="6"/>
  <c r="BM4" i="6"/>
  <c r="AU2" i="6"/>
  <c r="I12" i="6"/>
  <c r="K13" i="6"/>
  <c r="AK6" i="6"/>
  <c r="CB39" i="6"/>
  <c r="AI6" i="6"/>
  <c r="BS18" i="6"/>
  <c r="BR48" i="6"/>
  <c r="BE7" i="6"/>
  <c r="AH29" i="6"/>
  <c r="CP7" i="6"/>
  <c r="AH15" i="6"/>
  <c r="AN7" i="6"/>
  <c r="I19" i="6"/>
  <c r="CN11" i="6"/>
  <c r="CN14" i="6"/>
  <c r="AB22" i="6"/>
  <c r="AQ39" i="6"/>
  <c r="CO9" i="6"/>
  <c r="CP26" i="6"/>
  <c r="BM23" i="6"/>
  <c r="AU9" i="6"/>
  <c r="AS19" i="6"/>
  <c r="X27" i="6"/>
  <c r="U4" i="6"/>
  <c r="K4" i="6"/>
  <c r="CB4" i="6"/>
  <c r="CQ26" i="6"/>
  <c r="AQ4" i="6"/>
  <c r="AQ17" i="6"/>
  <c r="BL37" i="6"/>
  <c r="AR13" i="6"/>
  <c r="AR17" i="6"/>
  <c r="BY24" i="6"/>
  <c r="BU2" i="6"/>
  <c r="CM13" i="6"/>
  <c r="AT10" i="6"/>
  <c r="BP88" i="6"/>
  <c r="AD4" i="6"/>
  <c r="AO6" i="6"/>
  <c r="BD12" i="6"/>
  <c r="AW44" i="6"/>
  <c r="K12" i="6"/>
  <c r="L2" i="6"/>
  <c r="AP4" i="6"/>
  <c r="BT38" i="6"/>
  <c r="S6" i="6"/>
  <c r="BP2" i="6"/>
  <c r="AR62" i="6"/>
  <c r="AE37" i="6"/>
  <c r="BR51" i="6"/>
  <c r="AD33" i="6"/>
  <c r="BI13" i="6"/>
  <c r="BG36" i="6"/>
  <c r="AW41" i="6"/>
  <c r="U25" i="6"/>
  <c r="AW46" i="6"/>
  <c r="Q61" i="6"/>
  <c r="G93" i="6"/>
  <c r="CN3" i="6"/>
  <c r="N5" i="6"/>
  <c r="BM14" i="6"/>
  <c r="K9" i="6"/>
  <c r="BQ14" i="6"/>
  <c r="AD8" i="6"/>
  <c r="AA12" i="6"/>
  <c r="AV52" i="6"/>
  <c r="CH33" i="6"/>
  <c r="U19" i="6"/>
  <c r="T13" i="6"/>
  <c r="BP4" i="6"/>
  <c r="CC47" i="6"/>
  <c r="Z6" i="6"/>
  <c r="BU29" i="6"/>
  <c r="BR11" i="6"/>
  <c r="AK32" i="6"/>
  <c r="AG23" i="6"/>
  <c r="AL31" i="6"/>
  <c r="CK10" i="6"/>
  <c r="CN29" i="6"/>
  <c r="CL21" i="6"/>
  <c r="AJ7" i="6"/>
  <c r="BX4" i="6"/>
  <c r="CH25" i="6"/>
  <c r="BH35" i="6"/>
  <c r="CL11" i="6"/>
  <c r="O2" i="6"/>
  <c r="Q22" i="6"/>
  <c r="CB20" i="6"/>
  <c r="BF12" i="6"/>
  <c r="CR31" i="6"/>
  <c r="BP5" i="6"/>
  <c r="CO15" i="6"/>
  <c r="AQ14" i="6"/>
  <c r="T11" i="6"/>
  <c r="AJ12" i="6"/>
  <c r="W29" i="6"/>
  <c r="CE24" i="6"/>
  <c r="BC17" i="6"/>
  <c r="O17" i="6"/>
  <c r="W22" i="6"/>
  <c r="CG42" i="6"/>
  <c r="AZ14" i="6"/>
  <c r="BO61" i="6"/>
  <c r="AM15" i="6"/>
  <c r="BP13" i="6"/>
  <c r="CA42" i="6"/>
  <c r="BI41" i="6"/>
  <c r="CN5" i="6"/>
  <c r="AW12" i="6"/>
  <c r="AV2" i="6"/>
  <c r="BK55" i="6"/>
  <c r="AI15" i="6"/>
  <c r="CB9" i="6"/>
  <c r="R29" i="6"/>
  <c r="S7" i="6"/>
  <c r="M21" i="6"/>
  <c r="AX35" i="6"/>
  <c r="AT30" i="6"/>
  <c r="AD13" i="6"/>
  <c r="CL18" i="6"/>
  <c r="AN8" i="6"/>
  <c r="AQ3" i="6"/>
  <c r="AA6" i="6"/>
  <c r="BG4" i="6"/>
  <c r="CJ3" i="6"/>
  <c r="CG3" i="6"/>
  <c r="AL20" i="6"/>
  <c r="BU12" i="6"/>
  <c r="AE35" i="6"/>
  <c r="AW17" i="6"/>
  <c r="S50" i="6"/>
  <c r="BU17" i="6"/>
  <c r="AQ26" i="6"/>
  <c r="O48" i="6"/>
  <c r="BD25" i="6"/>
  <c r="AD5" i="6"/>
  <c r="BX19" i="6"/>
  <c r="AG41" i="6"/>
  <c r="G3" i="6"/>
  <c r="CP2" i="6"/>
  <c r="J15" i="6"/>
  <c r="N9" i="6"/>
  <c r="AJ16" i="6"/>
  <c r="K24" i="6"/>
  <c r="E30" i="6"/>
  <c r="AQ23" i="6"/>
  <c r="BO30" i="6"/>
  <c r="CA10" i="6"/>
  <c r="AV16" i="6"/>
  <c r="BE28" i="6"/>
  <c r="CN38" i="6"/>
  <c r="M17" i="6"/>
  <c r="CM26" i="6"/>
  <c r="AE49" i="6"/>
  <c r="BV26" i="6"/>
  <c r="CO5" i="6"/>
  <c r="AI11" i="6"/>
  <c r="CD22" i="6"/>
  <c r="T24" i="6"/>
  <c r="BI9" i="6"/>
  <c r="I6" i="6"/>
  <c r="AJ5" i="6"/>
  <c r="X3" i="6"/>
  <c r="CE20" i="6"/>
  <c r="AQ59" i="6"/>
  <c r="BI47" i="6"/>
  <c r="W40" i="6"/>
  <c r="AF14" i="6"/>
  <c r="CC3" i="6"/>
  <c r="O13" i="6"/>
  <c r="BE26" i="6"/>
  <c r="AG38" i="6"/>
  <c r="BN53" i="6"/>
  <c r="CN51" i="6"/>
  <c r="BI4" i="6"/>
  <c r="BV7" i="6"/>
  <c r="AS9" i="6"/>
  <c r="T29" i="6"/>
  <c r="AI2" i="6"/>
  <c r="F5" i="6"/>
  <c r="BR39" i="6"/>
  <c r="CL17" i="6"/>
  <c r="BL16" i="6"/>
  <c r="AY43" i="6"/>
  <c r="AF64" i="6"/>
  <c r="D4" i="6"/>
  <c r="AI12" i="6"/>
  <c r="I2" i="6"/>
  <c r="AJ14" i="6"/>
  <c r="AA32" i="6"/>
  <c r="BW3" i="6"/>
  <c r="BE10" i="6"/>
  <c r="M36" i="6"/>
  <c r="CO39" i="6"/>
  <c r="BH11" i="6"/>
  <c r="CD5" i="6"/>
  <c r="T25" i="6"/>
  <c r="K93" i="6"/>
  <c r="AQ6" i="6"/>
  <c r="CI9" i="6"/>
  <c r="BC26" i="6"/>
  <c r="AW15" i="6"/>
  <c r="F66" i="6"/>
  <c r="G85" i="6"/>
  <c r="Y10" i="6"/>
  <c r="Y4" i="6"/>
  <c r="CQ37" i="6"/>
  <c r="CO43" i="6"/>
  <c r="AP47" i="6"/>
  <c r="I52" i="6"/>
  <c r="AS8" i="6"/>
  <c r="T36" i="6"/>
  <c r="AE6" i="6"/>
  <c r="K26" i="6"/>
  <c r="BF15" i="6"/>
  <c r="CE44" i="6"/>
  <c r="AP45" i="6"/>
  <c r="AW23" i="6"/>
  <c r="CO6" i="6"/>
  <c r="AT38" i="6"/>
  <c r="BW29" i="6"/>
  <c r="CP33" i="6"/>
  <c r="M2" i="6"/>
  <c r="E52" i="6"/>
  <c r="AT94" i="6"/>
  <c r="AS29" i="6"/>
  <c r="AG28" i="6"/>
  <c r="CQ78" i="6"/>
  <c r="AQ45" i="6"/>
  <c r="U32" i="6"/>
  <c r="BJ45" i="6"/>
  <c r="CE34" i="6"/>
  <c r="AV21" i="6"/>
  <c r="AN17" i="6"/>
  <c r="M14" i="6"/>
  <c r="AK11" i="6"/>
  <c r="H71" i="6"/>
  <c r="U10" i="6"/>
  <c r="BX21" i="6"/>
  <c r="BE48" i="6"/>
  <c r="BM81" i="6"/>
  <c r="CF15" i="6"/>
  <c r="CL10" i="6"/>
  <c r="CG59" i="6"/>
  <c r="BB51" i="6"/>
  <c r="BD61" i="6"/>
  <c r="BG8" i="6"/>
  <c r="AR20" i="6"/>
  <c r="BQ41" i="6"/>
  <c r="AA17" i="6"/>
  <c r="BF2" i="6"/>
  <c r="CC21" i="6"/>
  <c r="CD54" i="6"/>
  <c r="CJ19" i="6"/>
  <c r="N36" i="6"/>
  <c r="CC59" i="6"/>
  <c r="AT23" i="6"/>
  <c r="CH47" i="6"/>
  <c r="Y12" i="2"/>
  <c r="AZ40" i="6"/>
  <c r="BE45" i="6"/>
  <c r="BU37" i="6"/>
  <c r="BH14" i="6"/>
  <c r="CK16" i="6"/>
  <c r="AH75" i="6"/>
  <c r="BF4" i="6"/>
  <c r="M75" i="6"/>
  <c r="AY24" i="6"/>
  <c r="CK42" i="6"/>
  <c r="P5" i="6"/>
  <c r="AP31" i="6"/>
  <c r="AZ90" i="6"/>
  <c r="CK28" i="6"/>
  <c r="I9" i="6"/>
  <c r="AH4" i="6"/>
  <c r="AF5" i="6"/>
  <c r="BJ89" i="6"/>
  <c r="BG32" i="6"/>
  <c r="CA69" i="6"/>
  <c r="AV16" i="2"/>
  <c r="CF27" i="6"/>
  <c r="H65" i="6"/>
  <c r="H12" i="6"/>
  <c r="AK14" i="6"/>
  <c r="J71" i="6"/>
  <c r="CH82" i="6"/>
  <c r="CI26" i="6"/>
  <c r="CR8" i="6"/>
  <c r="CD39" i="6"/>
  <c r="W49" i="6"/>
  <c r="CQ63" i="6"/>
  <c r="AR50" i="6"/>
  <c r="BJ59" i="6"/>
  <c r="CA12" i="6"/>
  <c r="Q89" i="6"/>
  <c r="CI42" i="6"/>
  <c r="BY11" i="6"/>
  <c r="AR41" i="6"/>
  <c r="P26" i="6"/>
  <c r="X19" i="6"/>
  <c r="CD33" i="6"/>
  <c r="AE22" i="2"/>
  <c r="L34" i="6"/>
  <c r="BQ30" i="6"/>
  <c r="AQ67" i="6"/>
  <c r="AU57" i="6"/>
  <c r="BV15" i="6"/>
  <c r="E59" i="6"/>
  <c r="J39" i="6"/>
  <c r="CL9" i="2"/>
  <c r="AQ20" i="6"/>
  <c r="BF9" i="6"/>
  <c r="BD11" i="6"/>
  <c r="CB11" i="6"/>
  <c r="AK64" i="6"/>
  <c r="X96" i="6"/>
  <c r="AX8" i="6"/>
  <c r="W5" i="6"/>
  <c r="R8" i="6"/>
  <c r="E36" i="6"/>
  <c r="BY48" i="6"/>
  <c r="AB4" i="6"/>
  <c r="CB28" i="6"/>
  <c r="AH7" i="6"/>
  <c r="BC55" i="6"/>
  <c r="BH44" i="6"/>
  <c r="AQ38" i="6"/>
  <c r="BQ40" i="6"/>
  <c r="BV27" i="6"/>
  <c r="AI48" i="6"/>
  <c r="BF27" i="6"/>
  <c r="BR7" i="6"/>
  <c r="BB13" i="6"/>
  <c r="BB9" i="6"/>
  <c r="BD18" i="6"/>
  <c r="BD33" i="6"/>
  <c r="Y7" i="6"/>
  <c r="BU26" i="6"/>
  <c r="BS17" i="6"/>
  <c r="CG34" i="6"/>
  <c r="BI5" i="6"/>
  <c r="D41" i="6"/>
  <c r="Q4" i="6"/>
  <c r="BJ10" i="6"/>
  <c r="Z12" i="6"/>
  <c r="BU39" i="6"/>
  <c r="BR6" i="6"/>
  <c r="BO28" i="6"/>
  <c r="AJ53" i="6"/>
  <c r="BZ65" i="6"/>
  <c r="I37" i="6"/>
  <c r="BC28" i="6"/>
  <c r="K16" i="6"/>
  <c r="AH2" i="6"/>
  <c r="AX37" i="6"/>
  <c r="AH33" i="6"/>
  <c r="U9" i="6"/>
  <c r="BK23" i="6"/>
  <c r="CR2" i="6"/>
  <c r="BJ85" i="6"/>
  <c r="BD9" i="6"/>
  <c r="BP24" i="6"/>
  <c r="CN44" i="6"/>
  <c r="BZ37" i="6"/>
  <c r="S68" i="6"/>
  <c r="R25" i="6"/>
  <c r="BD6" i="6"/>
  <c r="AI26" i="6"/>
  <c r="AW24" i="6"/>
  <c r="AF3" i="6"/>
  <c r="AU13" i="6"/>
  <c r="AY9" i="2"/>
  <c r="BK9" i="6"/>
  <c r="CE17" i="6"/>
  <c r="CQ21" i="2"/>
  <c r="CH30" i="6"/>
  <c r="CI51" i="6"/>
  <c r="D10" i="6"/>
  <c r="CL40" i="6"/>
  <c r="J27" i="6"/>
  <c r="AE13" i="6"/>
  <c r="BV78" i="6"/>
  <c r="BD73" i="6"/>
  <c r="AE57" i="6"/>
  <c r="AK20" i="6"/>
  <c r="AI85" i="6"/>
  <c r="BK22" i="2"/>
  <c r="AI62" i="6"/>
  <c r="BL35" i="6"/>
  <c r="K10" i="6"/>
  <c r="M24" i="6"/>
  <c r="BJ8" i="6"/>
  <c r="CH75" i="6"/>
  <c r="CM17" i="6"/>
  <c r="Z22" i="6"/>
  <c r="W2" i="6"/>
  <c r="O15" i="6"/>
  <c r="X37" i="6"/>
  <c r="AJ57" i="6"/>
  <c r="BI20" i="6"/>
  <c r="BV12" i="6"/>
  <c r="I38" i="6"/>
  <c r="CE43" i="6"/>
  <c r="BC34" i="6"/>
  <c r="Y24" i="6"/>
  <c r="BD4" i="6"/>
  <c r="K66" i="6"/>
  <c r="I100" i="6"/>
  <c r="AX86" i="6"/>
  <c r="AZ100" i="6"/>
  <c r="AD29" i="6"/>
  <c r="Q83" i="6"/>
  <c r="O10" i="6"/>
  <c r="BF62" i="6"/>
  <c r="J26" i="6"/>
  <c r="BV51" i="6"/>
  <c r="AN41" i="6"/>
  <c r="F44" i="6"/>
  <c r="I49" i="6"/>
  <c r="Y9" i="6"/>
  <c r="S34" i="6"/>
  <c r="CL37" i="6"/>
  <c r="AD26" i="6"/>
  <c r="AV73" i="6"/>
  <c r="CE26" i="6"/>
  <c r="BW24" i="6"/>
  <c r="AG7" i="6"/>
  <c r="BC21" i="6"/>
  <c r="BF89" i="2"/>
  <c r="CI53" i="6"/>
  <c r="AX91" i="6"/>
  <c r="BG16" i="6"/>
  <c r="G32" i="6"/>
  <c r="P42" i="6"/>
  <c r="O38" i="6"/>
  <c r="AZ45" i="6"/>
  <c r="CD97" i="6"/>
  <c r="CK18" i="6"/>
  <c r="R5" i="6"/>
  <c r="CJ7" i="6"/>
  <c r="V32" i="6"/>
  <c r="CL41" i="6"/>
  <c r="AR7" i="6"/>
  <c r="AN13" i="6"/>
  <c r="W4" i="6"/>
  <c r="BC5" i="6"/>
  <c r="O33" i="6"/>
  <c r="BO23" i="6"/>
  <c r="BQ12" i="6"/>
  <c r="H3" i="6"/>
  <c r="CG20" i="6"/>
  <c r="CL38" i="6"/>
  <c r="BM20" i="6"/>
  <c r="CI54" i="6"/>
  <c r="BA35" i="6"/>
  <c r="AU28" i="6"/>
  <c r="AK37" i="6"/>
  <c r="BY13" i="6"/>
  <c r="Q47" i="6"/>
  <c r="BR30" i="6"/>
  <c r="AH16" i="6"/>
  <c r="I13" i="6"/>
  <c r="BD54" i="6"/>
  <c r="CK25" i="6"/>
  <c r="AO32" i="6"/>
  <c r="BA36" i="6"/>
  <c r="BR91" i="6"/>
  <c r="D76" i="6"/>
  <c r="BY20" i="6"/>
  <c r="T39" i="6"/>
  <c r="BN39" i="6"/>
  <c r="CO12" i="6"/>
  <c r="AE9" i="6"/>
  <c r="CL45" i="6"/>
  <c r="D11" i="6"/>
  <c r="BT14" i="6"/>
  <c r="CC32" i="6"/>
  <c r="BJ94" i="6"/>
  <c r="AA37" i="6"/>
  <c r="BP93" i="6"/>
  <c r="AN40" i="6"/>
  <c r="CA33" i="6"/>
  <c r="F93" i="6"/>
  <c r="CC28" i="6"/>
  <c r="G6" i="6"/>
  <c r="M55" i="6"/>
  <c r="AD60" i="6"/>
  <c r="AZ13" i="6"/>
  <c r="CA32" i="6"/>
  <c r="CA3" i="6"/>
  <c r="AA89" i="6"/>
  <c r="AY3" i="6"/>
  <c r="AJ11" i="6"/>
  <c r="BT9" i="6"/>
  <c r="BF7" i="6"/>
  <c r="BB66" i="6"/>
  <c r="F83" i="6"/>
  <c r="AL40" i="6"/>
  <c r="BP22" i="6"/>
  <c r="BN44" i="6"/>
  <c r="AB30" i="6"/>
  <c r="CI65" i="6"/>
  <c r="X35" i="6"/>
  <c r="BK39" i="6"/>
  <c r="AM50" i="6"/>
  <c r="AO84" i="6"/>
  <c r="BY25" i="6"/>
  <c r="BB24" i="6"/>
  <c r="S22" i="6"/>
  <c r="K42" i="6"/>
  <c r="CO80" i="6"/>
  <c r="BJ23" i="6"/>
  <c r="M85" i="6"/>
  <c r="CR93" i="6"/>
  <c r="R33" i="6"/>
  <c r="BI83" i="6"/>
  <c r="AM30" i="6"/>
  <c r="AJ24" i="6"/>
  <c r="BM21" i="6"/>
  <c r="J2" i="6"/>
  <c r="R44" i="6"/>
  <c r="X12" i="6"/>
  <c r="P34" i="6"/>
  <c r="BD66" i="6"/>
  <c r="BC3" i="6"/>
  <c r="J51" i="6"/>
  <c r="AO34" i="6"/>
  <c r="N64" i="6"/>
  <c r="AX5" i="6"/>
  <c r="BE68" i="6"/>
  <c r="AS35" i="6"/>
  <c r="AI61" i="6"/>
  <c r="AI7" i="6"/>
  <c r="X53" i="6"/>
  <c r="AD20" i="6"/>
  <c r="AA16" i="2"/>
  <c r="AS21" i="6"/>
  <c r="S45" i="6"/>
  <c r="BZ29" i="6"/>
  <c r="T70" i="6"/>
  <c r="Q5" i="6"/>
  <c r="F62" i="6"/>
  <c r="J21" i="6"/>
  <c r="CQ48" i="6"/>
  <c r="CM36" i="6"/>
  <c r="M27" i="6"/>
  <c r="CK17" i="6"/>
  <c r="CR41" i="6"/>
  <c r="CK22" i="6"/>
  <c r="AQ12" i="6"/>
  <c r="D6" i="6"/>
  <c r="AW4" i="2"/>
  <c r="CO49" i="6"/>
  <c r="AA14" i="6"/>
  <c r="AB13" i="6"/>
  <c r="AR12" i="6"/>
  <c r="CO14" i="6"/>
  <c r="AN10" i="6"/>
  <c r="AN14" i="6"/>
  <c r="W13" i="6"/>
  <c r="I16" i="6"/>
  <c r="AC15" i="6"/>
  <c r="CE31" i="6"/>
  <c r="BP26" i="6"/>
  <c r="AC4" i="6"/>
  <c r="BB3" i="6"/>
  <c r="AZ48" i="6"/>
  <c r="T2" i="6"/>
  <c r="CB29" i="6"/>
  <c r="CD70" i="6"/>
  <c r="AH71" i="6"/>
  <c r="BL23" i="6"/>
  <c r="CL28" i="6"/>
  <c r="AX64" i="6"/>
  <c r="CA22" i="6"/>
  <c r="CH24" i="6"/>
  <c r="CH34" i="6"/>
  <c r="CA35" i="6"/>
  <c r="U37" i="6"/>
  <c r="AY8" i="6"/>
  <c r="BH15" i="6"/>
  <c r="D58" i="6"/>
  <c r="AY29" i="6"/>
  <c r="AR58" i="6"/>
  <c r="BW12" i="6"/>
  <c r="CB7" i="6"/>
  <c r="AO29" i="6"/>
  <c r="F2" i="6"/>
  <c r="CI14" i="6"/>
  <c r="BZ12" i="6"/>
  <c r="AB28" i="6"/>
  <c r="AV9" i="6"/>
  <c r="AW30" i="6"/>
  <c r="CQ71" i="6"/>
  <c r="AM60" i="6"/>
  <c r="CM34" i="6"/>
  <c r="BU5" i="6"/>
  <c r="I70" i="6"/>
  <c r="L50" i="6"/>
  <c r="BB26" i="6"/>
  <c r="AL57" i="6"/>
  <c r="BE31" i="6"/>
  <c r="H9" i="6"/>
  <c r="AW39" i="6"/>
  <c r="J9" i="6"/>
  <c r="CK38" i="6"/>
  <c r="J11" i="6"/>
  <c r="AT28" i="6"/>
  <c r="AJ23" i="6"/>
  <c r="BE2" i="6"/>
  <c r="BD34" i="6"/>
  <c r="BY23" i="6"/>
  <c r="BU46" i="6"/>
  <c r="AC42" i="6"/>
  <c r="CH4" i="6"/>
  <c r="AW4" i="6"/>
  <c r="T92" i="6"/>
  <c r="Z4" i="6"/>
  <c r="AU93" i="6"/>
  <c r="AN42" i="6"/>
  <c r="AC37" i="6"/>
  <c r="O27" i="6"/>
  <c r="L29" i="6"/>
  <c r="AA48" i="6"/>
  <c r="T90" i="6"/>
  <c r="AX13" i="6"/>
  <c r="AN32" i="6"/>
  <c r="K6" i="6"/>
  <c r="E67" i="6"/>
  <c r="X49" i="6"/>
  <c r="CC16" i="6"/>
  <c r="CM38" i="6"/>
  <c r="CO23" i="6"/>
  <c r="AL4" i="6"/>
  <c r="L22" i="6"/>
  <c r="G19" i="6"/>
  <c r="AF2" i="6"/>
  <c r="AO22" i="6"/>
  <c r="AY39" i="6"/>
  <c r="BM13" i="6"/>
  <c r="AG69" i="6"/>
  <c r="AB76" i="6"/>
  <c r="CG15" i="6"/>
  <c r="BH65" i="6"/>
  <c r="AI66" i="6"/>
  <c r="BS51" i="6"/>
  <c r="E80" i="6"/>
  <c r="AQ13" i="6"/>
  <c r="AX19" i="6"/>
  <c r="CM14" i="6"/>
  <c r="AA59" i="6"/>
  <c r="CG77" i="6"/>
  <c r="W46" i="6"/>
  <c r="Q23" i="6"/>
  <c r="F87" i="6"/>
  <c r="BA20" i="6"/>
  <c r="BZ87" i="6"/>
  <c r="BC27" i="6"/>
  <c r="O36" i="6"/>
  <c r="AY20" i="6"/>
  <c r="AO54" i="6"/>
  <c r="O5" i="6"/>
  <c r="Q14" i="6"/>
  <c r="E16" i="6"/>
  <c r="AH13" i="6"/>
  <c r="CM23" i="6"/>
  <c r="AQ7" i="6"/>
  <c r="AR2" i="6"/>
  <c r="BU14" i="6"/>
  <c r="S53" i="6"/>
  <c r="AD27" i="6"/>
  <c r="CF11" i="6"/>
  <c r="CH12" i="6"/>
  <c r="BW16" i="6"/>
  <c r="CR9" i="6"/>
  <c r="CA16" i="6"/>
  <c r="AY17" i="6"/>
  <c r="BA30" i="6"/>
  <c r="AF9" i="6"/>
  <c r="AB2" i="6"/>
  <c r="AF100" i="6"/>
  <c r="AE7" i="6"/>
  <c r="AE34" i="6"/>
  <c r="J28" i="6"/>
  <c r="L7" i="6"/>
  <c r="BC24" i="6"/>
  <c r="AC48" i="6"/>
  <c r="BY16" i="6"/>
  <c r="BL8" i="6"/>
  <c r="CQ31" i="6"/>
  <c r="AV6" i="6"/>
  <c r="AY51" i="6"/>
  <c r="CN6" i="6"/>
  <c r="M10" i="6"/>
  <c r="BK53" i="6"/>
  <c r="AS31" i="6"/>
  <c r="CA23" i="6"/>
  <c r="AR33" i="6"/>
  <c r="AF58" i="6"/>
  <c r="J4" i="6"/>
  <c r="BW29" i="2"/>
  <c r="BT17" i="6"/>
  <c r="BJ14" i="6"/>
  <c r="E38" i="6"/>
  <c r="AM7" i="6"/>
  <c r="BV18" i="6"/>
  <c r="BJ6" i="6"/>
  <c r="BK28" i="6"/>
  <c r="T27" i="6"/>
  <c r="Y32" i="2"/>
  <c r="M71" i="6"/>
  <c r="BU3" i="6"/>
  <c r="AJ30" i="6"/>
  <c r="V14" i="6"/>
  <c r="S3" i="6"/>
  <c r="AI73" i="6"/>
  <c r="Z26" i="6"/>
  <c r="K49" i="6"/>
  <c r="CJ78" i="6"/>
  <c r="AC10" i="6"/>
  <c r="BQ31" i="6"/>
  <c r="BG19" i="6"/>
  <c r="P10" i="6"/>
  <c r="Q37" i="6"/>
  <c r="F11" i="6"/>
  <c r="AR68" i="6"/>
  <c r="AO47" i="6"/>
  <c r="CM39" i="6"/>
  <c r="V47" i="6"/>
  <c r="AG13" i="6"/>
  <c r="BT58" i="6"/>
  <c r="BH70" i="6"/>
  <c r="J70" i="6"/>
  <c r="BF43" i="6"/>
  <c r="AL79" i="6"/>
  <c r="AC38" i="6"/>
  <c r="S16" i="6"/>
  <c r="BT39" i="6"/>
  <c r="AG15" i="6"/>
  <c r="CB41" i="6"/>
  <c r="BZ32" i="6"/>
  <c r="J8" i="6"/>
  <c r="CR34" i="6"/>
  <c r="BK43" i="6"/>
  <c r="BV14" i="6"/>
  <c r="S73" i="6"/>
  <c r="BP19" i="6"/>
  <c r="CC52" i="6"/>
  <c r="CE68" i="6"/>
  <c r="AR56" i="6"/>
  <c r="M35" i="6"/>
  <c r="AF49" i="6"/>
  <c r="H19" i="6"/>
  <c r="BO60" i="6"/>
  <c r="AW27" i="6"/>
  <c r="BX14" i="6"/>
  <c r="Y89" i="6"/>
  <c r="AW36" i="6"/>
  <c r="AS3" i="6"/>
  <c r="AY13" i="6"/>
  <c r="J83" i="6"/>
  <c r="BW81" i="6"/>
  <c r="AC34" i="6"/>
  <c r="K25" i="6"/>
  <c r="BD52" i="6"/>
  <c r="AY27" i="6"/>
  <c r="AI19" i="6"/>
  <c r="CK5" i="6"/>
  <c r="BT7" i="6"/>
  <c r="BO19" i="2"/>
  <c r="CR94" i="6"/>
  <c r="BD31" i="6"/>
  <c r="CM48" i="6"/>
  <c r="AX30" i="6"/>
  <c r="M79" i="6"/>
  <c r="BF22" i="6"/>
  <c r="BU54" i="6"/>
  <c r="P11" i="6"/>
  <c r="BL78" i="6"/>
  <c r="BR5" i="6"/>
  <c r="AV60" i="6"/>
  <c r="T60" i="6"/>
  <c r="BK32" i="6"/>
  <c r="CH43" i="6"/>
  <c r="BW7" i="2"/>
  <c r="AG16" i="6"/>
  <c r="CJ32" i="6"/>
  <c r="BY45" i="6"/>
  <c r="M5" i="6"/>
  <c r="CG6" i="6"/>
  <c r="AT36" i="6"/>
  <c r="AH6" i="6"/>
  <c r="CP39" i="6"/>
  <c r="AF19" i="6"/>
  <c r="C16" i="6"/>
  <c r="J33" i="6"/>
  <c r="BR25" i="6"/>
  <c r="BZ42" i="6"/>
  <c r="CJ16" i="6"/>
  <c r="G35" i="6"/>
  <c r="CM32" i="6"/>
  <c r="AH38" i="6"/>
  <c r="BZ30" i="6"/>
  <c r="CF64" i="6"/>
  <c r="S21" i="6"/>
  <c r="AP50" i="6"/>
  <c r="CH32" i="6"/>
  <c r="CQ20" i="6"/>
  <c r="K28" i="6"/>
  <c r="Q44" i="6"/>
  <c r="BA90" i="6"/>
  <c r="X31" i="6"/>
  <c r="AT11" i="6"/>
  <c r="CF43" i="6"/>
  <c r="AE27" i="6"/>
  <c r="H15" i="6"/>
  <c r="CQ46" i="6"/>
  <c r="AP15" i="6"/>
  <c r="BM71" i="6"/>
  <c r="CC2" i="6"/>
  <c r="BO27" i="6"/>
  <c r="BK25" i="6"/>
  <c r="CC9" i="6"/>
  <c r="BI28" i="6"/>
  <c r="BR40" i="6"/>
  <c r="F4" i="6"/>
  <c r="D60" i="6"/>
  <c r="CA24" i="6"/>
  <c r="R13" i="6"/>
  <c r="Q9" i="6"/>
  <c r="BL14" i="6"/>
  <c r="S49" i="6"/>
  <c r="AV66" i="6"/>
  <c r="BC13" i="6"/>
  <c r="CD78" i="6"/>
  <c r="BT26" i="6"/>
  <c r="CN31" i="6"/>
  <c r="BX3" i="6"/>
  <c r="CN41" i="6"/>
  <c r="G17" i="6"/>
  <c r="CL3" i="6"/>
  <c r="AV15" i="6"/>
  <c r="AO17" i="6"/>
  <c r="AR4" i="6"/>
  <c r="BJ27" i="6"/>
  <c r="CQ14" i="6"/>
  <c r="AB37" i="6"/>
  <c r="BS49" i="6"/>
  <c r="AW42" i="6"/>
  <c r="AO67" i="6"/>
  <c r="S44" i="6"/>
  <c r="AI4" i="6"/>
  <c r="AA36" i="6"/>
  <c r="L62" i="6"/>
  <c r="AK8" i="6"/>
  <c r="AQ51" i="6"/>
  <c r="BL58" i="6"/>
  <c r="CI71" i="6"/>
  <c r="AA11" i="6"/>
  <c r="AI5" i="6"/>
  <c r="AA10" i="6"/>
  <c r="D37" i="6"/>
  <c r="AT74" i="6"/>
  <c r="BA26" i="6"/>
  <c r="BV43" i="6"/>
  <c r="AF37" i="6"/>
  <c r="CK67" i="6"/>
  <c r="AZ11" i="6"/>
  <c r="W53" i="6"/>
  <c r="D87" i="6"/>
  <c r="CF16" i="6"/>
  <c r="AQ21" i="6"/>
  <c r="N46" i="6"/>
  <c r="AE31" i="6"/>
  <c r="BW14" i="2"/>
  <c r="Y25" i="6"/>
  <c r="AZ60" i="6"/>
  <c r="AP32" i="6"/>
  <c r="BX23" i="6"/>
  <c r="BV39" i="6"/>
  <c r="CC4" i="6"/>
  <c r="AC57" i="6"/>
  <c r="BL68" i="6"/>
  <c r="AG31" i="6"/>
  <c r="CH28" i="6"/>
  <c r="N2" i="6"/>
  <c r="CC33" i="6"/>
  <c r="BK27" i="6"/>
  <c r="AX50" i="6"/>
  <c r="BU24" i="6"/>
  <c r="BL6" i="6"/>
  <c r="U21" i="6"/>
  <c r="S65" i="6"/>
  <c r="J59" i="6"/>
  <c r="M34" i="6"/>
  <c r="AK47" i="6"/>
  <c r="CM46" i="6"/>
  <c r="BR100" i="6"/>
  <c r="AW29" i="6"/>
  <c r="AS16" i="6"/>
  <c r="AI9" i="6"/>
  <c r="F16" i="6"/>
  <c r="P45" i="6"/>
  <c r="BT5" i="6"/>
  <c r="CO11" i="6"/>
  <c r="AT98" i="6"/>
  <c r="V66" i="6"/>
  <c r="CK29" i="6"/>
  <c r="CF8" i="6"/>
  <c r="AA31" i="6"/>
  <c r="AY47" i="6"/>
  <c r="AT54" i="6"/>
  <c r="H81" i="6"/>
  <c r="AI63" i="6"/>
  <c r="K5" i="6"/>
  <c r="AB8" i="6"/>
  <c r="BR52" i="6"/>
  <c r="BR10" i="6"/>
  <c r="AM23" i="6"/>
  <c r="E24" i="6"/>
  <c r="CB51" i="6"/>
  <c r="AW5" i="6"/>
  <c r="BP17" i="6"/>
  <c r="AM46" i="6"/>
  <c r="CL32" i="6"/>
  <c r="BK5" i="6"/>
  <c r="S12" i="6"/>
  <c r="CF7" i="6"/>
  <c r="AT37" i="6"/>
  <c r="BV23" i="6"/>
  <c r="CO7" i="6"/>
  <c r="CL15" i="6"/>
  <c r="Q8" i="6"/>
  <c r="BD56" i="6"/>
  <c r="Y31" i="6"/>
  <c r="I93" i="6"/>
  <c r="BX77" i="6"/>
  <c r="AF16" i="6"/>
  <c r="CJ5" i="6"/>
  <c r="AI30" i="6"/>
  <c r="CD2" i="6"/>
  <c r="AG40" i="6"/>
  <c r="L61" i="6"/>
  <c r="CE32" i="6"/>
  <c r="M48" i="6"/>
  <c r="AB27" i="6"/>
  <c r="AX11" i="6"/>
  <c r="BQ24" i="6"/>
  <c r="P32" i="6"/>
  <c r="AM68" i="6"/>
  <c r="BY47" i="2"/>
  <c r="AY50" i="6"/>
  <c r="AI34" i="6"/>
  <c r="BW31" i="6"/>
  <c r="CH8" i="6"/>
  <c r="AO25" i="6"/>
  <c r="AA24" i="6"/>
  <c r="AS60" i="6"/>
  <c r="BE16" i="6"/>
  <c r="Y33" i="6"/>
  <c r="T33" i="6"/>
  <c r="BP73" i="6"/>
  <c r="AP20" i="6"/>
  <c r="BI26" i="6"/>
  <c r="CB38" i="6"/>
  <c r="BC88" i="6"/>
  <c r="AE28" i="6"/>
  <c r="AK5" i="6"/>
  <c r="CQ18" i="6"/>
  <c r="CP17" i="6"/>
  <c r="AY42" i="6"/>
  <c r="X47" i="6"/>
  <c r="AE5" i="6"/>
  <c r="O35" i="6"/>
  <c r="U57" i="6"/>
  <c r="BN4" i="6"/>
  <c r="CB21" i="6"/>
  <c r="L21" i="6"/>
  <c r="AP17" i="6"/>
  <c r="AL47" i="6"/>
  <c r="AA50" i="6"/>
  <c r="L35" i="6"/>
  <c r="G12" i="6"/>
  <c r="BF24" i="6"/>
  <c r="BY77" i="6"/>
  <c r="BM43" i="6"/>
  <c r="CP27" i="6"/>
  <c r="AI8" i="6"/>
  <c r="AF34" i="6"/>
  <c r="AB82" i="6"/>
  <c r="CC29" i="6"/>
  <c r="CE36" i="6"/>
  <c r="AZ44" i="6"/>
  <c r="BR28" i="6"/>
  <c r="AT59" i="6"/>
  <c r="W74" i="6"/>
  <c r="AD31" i="6"/>
  <c r="CI24" i="6"/>
  <c r="U31" i="6"/>
  <c r="AS13" i="6"/>
  <c r="BW36" i="6"/>
  <c r="J5" i="6"/>
  <c r="CL5" i="6"/>
  <c r="H50" i="6"/>
  <c r="AD58" i="6"/>
  <c r="BM9" i="6"/>
  <c r="AM45" i="6"/>
  <c r="G23" i="6"/>
  <c r="CO51" i="6"/>
  <c r="BX33" i="6"/>
  <c r="CD52" i="6"/>
  <c r="AH55" i="6"/>
  <c r="BP23" i="6"/>
  <c r="F48" i="6"/>
  <c r="CH36" i="6"/>
  <c r="R28" i="6"/>
  <c r="CN2" i="6"/>
  <c r="C25" i="6"/>
  <c r="CJ15" i="6"/>
  <c r="BB38" i="6"/>
  <c r="AN89" i="6"/>
  <c r="BQ62" i="6"/>
  <c r="BZ21" i="6"/>
  <c r="I61" i="6"/>
  <c r="AW34" i="6"/>
  <c r="CA8" i="2"/>
  <c r="BL46" i="6"/>
  <c r="BR4" i="2"/>
  <c r="CA21" i="6"/>
  <c r="CN19" i="6"/>
  <c r="BO37" i="6"/>
  <c r="G11" i="6"/>
  <c r="AA23" i="6"/>
  <c r="CJ41" i="6"/>
  <c r="AH49" i="6"/>
  <c r="AW52" i="6"/>
  <c r="AT24" i="6"/>
  <c r="AS63" i="6"/>
  <c r="E55" i="6"/>
  <c r="Z20" i="6"/>
  <c r="BG59" i="6"/>
  <c r="BU95" i="6"/>
  <c r="CF72" i="6"/>
  <c r="CG41" i="6"/>
  <c r="O69" i="6"/>
  <c r="AP9" i="6"/>
  <c r="BR24" i="6"/>
  <c r="BJ54" i="6"/>
  <c r="AZ9" i="6"/>
  <c r="CP29" i="6"/>
  <c r="T16" i="6"/>
  <c r="CD24" i="6"/>
  <c r="AM72" i="6"/>
  <c r="L6" i="6"/>
  <c r="R10" i="6"/>
  <c r="AF25" i="6"/>
  <c r="AD28" i="6"/>
  <c r="AF52" i="6"/>
  <c r="AA5" i="6"/>
  <c r="BC12" i="6"/>
  <c r="D26" i="6"/>
  <c r="K20" i="6"/>
  <c r="CE39" i="6"/>
  <c r="BK37" i="6"/>
  <c r="CL22" i="6"/>
  <c r="BR43" i="6"/>
  <c r="G4" i="6"/>
  <c r="I20" i="6"/>
  <c r="AU10" i="6"/>
  <c r="AC13" i="6"/>
  <c r="BE64" i="6"/>
  <c r="BE12" i="6"/>
  <c r="BT19" i="6"/>
  <c r="AP19" i="6"/>
  <c r="CG28" i="6"/>
  <c r="AV20" i="6"/>
  <c r="AV64" i="6"/>
  <c r="AW8" i="6"/>
  <c r="AG29" i="6"/>
  <c r="BQ63" i="6"/>
  <c r="H35" i="6"/>
  <c r="K45" i="6"/>
  <c r="AS7" i="6"/>
  <c r="CR30" i="6"/>
  <c r="W3" i="6"/>
  <c r="CC20" i="6"/>
  <c r="AG17" i="6"/>
  <c r="AW7" i="6"/>
  <c r="CN77" i="6"/>
  <c r="CG5" i="6"/>
  <c r="BR35" i="6"/>
  <c r="BL24" i="6"/>
  <c r="AI13" i="6"/>
  <c r="J35" i="6"/>
  <c r="AF24" i="6"/>
  <c r="N19" i="6"/>
  <c r="BQ7" i="6"/>
  <c r="BW18" i="6"/>
  <c r="AI3" i="6"/>
  <c r="BT43" i="6"/>
  <c r="BK21" i="6"/>
  <c r="Q20" i="6"/>
  <c r="AK7" i="6"/>
  <c r="BW76" i="6"/>
  <c r="AI17" i="6"/>
  <c r="U64" i="6"/>
  <c r="BU18" i="6"/>
  <c r="BE12" i="2"/>
  <c r="M84" i="6"/>
  <c r="AG42" i="6"/>
  <c r="F8" i="6"/>
  <c r="BJ55" i="6"/>
  <c r="BJ26" i="6"/>
  <c r="BK22" i="6"/>
  <c r="AV5" i="6"/>
  <c r="CI8" i="6"/>
  <c r="CD56" i="6"/>
  <c r="BG6" i="6"/>
  <c r="BH6" i="6"/>
  <c r="CH42" i="6"/>
  <c r="D70" i="6"/>
  <c r="AU33" i="6"/>
  <c r="BN11" i="2"/>
  <c r="CO63" i="6"/>
  <c r="AG75" i="6"/>
  <c r="BF17" i="6"/>
  <c r="D24" i="6"/>
  <c r="AQ31" i="6"/>
  <c r="BK3" i="6"/>
  <c r="BJ5" i="6"/>
  <c r="AX56" i="6"/>
  <c r="AI92" i="6"/>
  <c r="AF11" i="6"/>
  <c r="BJ22" i="6"/>
  <c r="BD44" i="6"/>
  <c r="BA27" i="6"/>
  <c r="CP4" i="2"/>
  <c r="AR30" i="6"/>
  <c r="BB95" i="6"/>
  <c r="BE38" i="6"/>
  <c r="AD11" i="6"/>
  <c r="BF35" i="6"/>
  <c r="X65" i="6"/>
  <c r="Y6" i="6"/>
  <c r="S38" i="6"/>
  <c r="AP65" i="6"/>
  <c r="CF52" i="6"/>
  <c r="H30" i="6"/>
  <c r="CM5" i="6"/>
  <c r="CF100" i="6"/>
  <c r="BT33" i="6"/>
  <c r="BQ9" i="6"/>
  <c r="P29" i="6"/>
  <c r="AJ75" i="6"/>
  <c r="Q17" i="6"/>
  <c r="CP58" i="6"/>
  <c r="AF94" i="6"/>
  <c r="CJ8" i="6"/>
  <c r="BH100" i="6"/>
  <c r="BI53" i="6"/>
  <c r="Z38" i="6"/>
  <c r="BY93" i="6"/>
  <c r="AG21" i="6"/>
  <c r="BN69" i="6"/>
  <c r="BH41" i="6"/>
  <c r="Z14" i="6"/>
  <c r="AC47" i="6"/>
  <c r="Q73" i="6"/>
  <c r="CQ2" i="6"/>
  <c r="CG11" i="6"/>
  <c r="BJ98" i="6"/>
  <c r="AN24" i="6"/>
  <c r="BJ34" i="6"/>
  <c r="P28" i="6"/>
  <c r="M93" i="6"/>
  <c r="AW20" i="6"/>
  <c r="N37" i="6"/>
  <c r="CI45" i="6"/>
  <c r="BO99" i="6"/>
  <c r="M49" i="6"/>
  <c r="BB22" i="6"/>
  <c r="CI20" i="6"/>
  <c r="AE22" i="6"/>
  <c r="AZ26" i="6"/>
  <c r="CO29" i="6"/>
  <c r="AA7" i="6"/>
  <c r="X25" i="6"/>
  <c r="P25" i="6"/>
  <c r="BD3" i="6"/>
  <c r="CD19" i="6"/>
  <c r="F21" i="6"/>
  <c r="I31" i="6"/>
  <c r="AJ29" i="6"/>
  <c r="AK3" i="6"/>
  <c r="AL25" i="6"/>
  <c r="AW25" i="6"/>
  <c r="AN19" i="6"/>
  <c r="H24" i="6"/>
  <c r="CG18" i="6"/>
  <c r="R17" i="6"/>
  <c r="BH3" i="6"/>
  <c r="CD17" i="6"/>
  <c r="P33" i="6"/>
  <c r="AC45" i="6"/>
  <c r="AJ45" i="6"/>
  <c r="AV61" i="6"/>
  <c r="CK34" i="6"/>
  <c r="BQ4" i="6"/>
  <c r="BV76" i="6"/>
  <c r="D2" i="6"/>
  <c r="BG5" i="6"/>
  <c r="BB41" i="6"/>
  <c r="CD15" i="2"/>
  <c r="BJ11" i="6"/>
  <c r="CR22" i="6"/>
  <c r="CD36" i="6"/>
  <c r="O37" i="6"/>
  <c r="K35" i="6"/>
  <c r="BB15" i="6"/>
  <c r="CO58" i="6"/>
  <c r="CA85" i="6"/>
  <c r="BJ21" i="6"/>
  <c r="AA85" i="6"/>
  <c r="CN40" i="6"/>
  <c r="CG23" i="6"/>
  <c r="BB30" i="6"/>
  <c r="AS12" i="6"/>
  <c r="O21" i="6"/>
  <c r="AU18" i="6"/>
  <c r="BC25" i="6"/>
  <c r="BP11" i="6"/>
  <c r="CR21" i="6"/>
  <c r="CC60" i="6"/>
  <c r="CJ35" i="6"/>
  <c r="BF54" i="6"/>
  <c r="D40" i="6"/>
  <c r="E5" i="6"/>
  <c r="BF13" i="6"/>
  <c r="H25" i="6"/>
  <c r="CQ3" i="6"/>
  <c r="CH86" i="6"/>
  <c r="AJ99" i="6"/>
  <c r="AH44" i="6"/>
  <c r="CI50" i="6"/>
  <c r="AZ33" i="6"/>
  <c r="CC55" i="6"/>
  <c r="W11" i="6"/>
  <c r="CK19" i="6"/>
  <c r="AZ30" i="6"/>
  <c r="Y95" i="2"/>
  <c r="AD25" i="6"/>
  <c r="CQ73" i="6"/>
  <c r="AR8" i="2"/>
  <c r="T4" i="6"/>
  <c r="Q42" i="6"/>
  <c r="P20" i="6"/>
  <c r="E27" i="6"/>
  <c r="BV38" i="6"/>
  <c r="AL2" i="6"/>
  <c r="N58" i="6"/>
  <c r="AE62" i="6"/>
  <c r="AI10" i="6"/>
  <c r="AL16" i="6"/>
  <c r="AM49" i="6"/>
  <c r="AG46" i="6"/>
  <c r="CE14" i="6"/>
  <c r="F30" i="6"/>
  <c r="AR72" i="6"/>
  <c r="Q36" i="6"/>
  <c r="BM83" i="6"/>
  <c r="AM12" i="6"/>
  <c r="BB100" i="6"/>
  <c r="CH7" i="6"/>
  <c r="D23" i="6"/>
  <c r="CF21" i="6"/>
  <c r="X5" i="6"/>
  <c r="BN50" i="6"/>
  <c r="BA51" i="2"/>
  <c r="U56" i="6"/>
  <c r="CR75" i="6"/>
  <c r="CB30" i="6"/>
  <c r="BK35" i="6"/>
  <c r="I24" i="6"/>
  <c r="CO60" i="6"/>
  <c r="AX17" i="6"/>
  <c r="BB21" i="2"/>
  <c r="AP86" i="6"/>
  <c r="CK52" i="6"/>
  <c r="CK6" i="6"/>
  <c r="CG2" i="6"/>
  <c r="CF20" i="6"/>
  <c r="BS36" i="6"/>
  <c r="BN11" i="6"/>
  <c r="BU19" i="6"/>
  <c r="R14" i="6"/>
  <c r="BA5" i="6"/>
  <c r="T15" i="6"/>
  <c r="O22" i="6"/>
  <c r="AW28" i="6"/>
  <c r="BZ53" i="6"/>
  <c r="X4" i="6"/>
  <c r="AP22" i="6"/>
  <c r="BG14" i="6"/>
  <c r="BO6" i="6"/>
  <c r="BZ66" i="6"/>
  <c r="Y23" i="6"/>
  <c r="G15" i="6"/>
  <c r="AR11" i="6"/>
  <c r="BT8" i="6"/>
  <c r="L28" i="6"/>
  <c r="X45" i="6"/>
  <c r="CG14" i="6"/>
  <c r="BI45" i="6"/>
  <c r="N72" i="6"/>
  <c r="AU3" i="6"/>
  <c r="BS48" i="6"/>
  <c r="Q18" i="6"/>
  <c r="AA9" i="6"/>
  <c r="H43" i="6"/>
  <c r="BN42" i="6"/>
  <c r="AS24" i="6"/>
  <c r="BL19" i="6"/>
  <c r="K3" i="6"/>
  <c r="AB78" i="6"/>
  <c r="CM21" i="6"/>
  <c r="AA15" i="6"/>
  <c r="S13" i="6"/>
  <c r="CN34" i="6"/>
  <c r="M7" i="6"/>
  <c r="CJ43" i="6"/>
  <c r="J82" i="6"/>
  <c r="F17" i="6"/>
  <c r="AN47" i="6"/>
  <c r="K40" i="6"/>
  <c r="BA77" i="6"/>
  <c r="P47" i="6"/>
  <c r="BN16" i="6"/>
  <c r="BG43" i="6"/>
  <c r="AT14" i="6"/>
  <c r="AN37" i="6"/>
  <c r="N7" i="6"/>
  <c r="AO2" i="6"/>
  <c r="Y19" i="6"/>
  <c r="AN44" i="6"/>
  <c r="BV54" i="6"/>
  <c r="AY35" i="6"/>
  <c r="BE100" i="6"/>
  <c r="CR5" i="6"/>
  <c r="AZ23" i="6"/>
  <c r="J49" i="6"/>
  <c r="AO51" i="6"/>
  <c r="BM19" i="6"/>
  <c r="CK23" i="6"/>
  <c r="CT5" i="2"/>
  <c r="CR74" i="6"/>
  <c r="BJ50" i="6"/>
  <c r="L42" i="6"/>
  <c r="X55" i="6"/>
  <c r="BZ40" i="6"/>
  <c r="BG6" i="2"/>
  <c r="AH8" i="6"/>
  <c r="AL11" i="6"/>
  <c r="BT40" i="6"/>
  <c r="AI19" i="2"/>
  <c r="AH30" i="6"/>
  <c r="Q67" i="6"/>
  <c r="R64" i="6"/>
  <c r="BD13" i="6"/>
  <c r="Z18" i="6"/>
  <c r="CC24" i="6"/>
  <c r="L53" i="6"/>
  <c r="CR77" i="6"/>
  <c r="L15" i="6"/>
  <c r="BL41" i="6"/>
  <c r="AQ16" i="6"/>
  <c r="AR47" i="6"/>
  <c r="BX40" i="6"/>
  <c r="AL10" i="6"/>
  <c r="BW27" i="6"/>
  <c r="BH26" i="6"/>
  <c r="BV60" i="6"/>
  <c r="AC7" i="6"/>
  <c r="AT62" i="6"/>
  <c r="BV35" i="6"/>
  <c r="CF31" i="6"/>
  <c r="R45" i="6"/>
  <c r="AJ73" i="6"/>
  <c r="AL41" i="6"/>
  <c r="BN91" i="6"/>
  <c r="AU5" i="2"/>
  <c r="AY7" i="6"/>
  <c r="BT60" i="6"/>
  <c r="Q56" i="6"/>
  <c r="AB46" i="6"/>
  <c r="BY12" i="6"/>
  <c r="AZ42" i="6"/>
  <c r="BW78" i="6"/>
  <c r="Z74" i="6"/>
  <c r="CN13" i="6"/>
  <c r="BG65" i="6"/>
  <c r="BL51" i="6"/>
  <c r="AA21" i="6"/>
  <c r="AC17" i="6"/>
  <c r="AC80" i="6"/>
  <c r="V26" i="6"/>
  <c r="V27" i="6"/>
  <c r="AD22" i="6"/>
  <c r="BF92" i="6"/>
  <c r="Q90" i="6"/>
  <c r="V10" i="6"/>
  <c r="BG39" i="6"/>
  <c r="AQ30" i="6"/>
  <c r="N11" i="6"/>
  <c r="D30" i="6"/>
  <c r="N13" i="6"/>
  <c r="S5" i="6"/>
  <c r="J52" i="6"/>
  <c r="AG50" i="6"/>
  <c r="AH26" i="6"/>
  <c r="CG35" i="6"/>
  <c r="CL51" i="6"/>
  <c r="BG55" i="6"/>
  <c r="CD14" i="6"/>
  <c r="AX48" i="6"/>
  <c r="V39" i="6"/>
  <c r="AL14" i="6"/>
  <c r="BV25" i="6"/>
  <c r="CD31" i="6"/>
  <c r="AJ42" i="6"/>
  <c r="CH19" i="6"/>
  <c r="AS4" i="6"/>
  <c r="BZ11" i="6"/>
  <c r="F64" i="6"/>
  <c r="BF3" i="2"/>
  <c r="BK2" i="6"/>
  <c r="BL52" i="6"/>
  <c r="CQ9" i="6"/>
  <c r="AY79" i="6"/>
  <c r="CH26" i="6"/>
  <c r="BC33" i="6"/>
  <c r="AX45" i="6"/>
  <c r="BD92" i="6"/>
  <c r="R27" i="6"/>
  <c r="AO62" i="6"/>
  <c r="CJ27" i="6"/>
  <c r="BU30" i="2"/>
  <c r="AP74" i="6"/>
  <c r="G53" i="6"/>
  <c r="AD37" i="6"/>
  <c r="K38" i="6"/>
  <c r="BH66" i="6"/>
  <c r="AB60" i="6"/>
  <c r="AN28" i="6"/>
  <c r="J58" i="6"/>
  <c r="CI44" i="6"/>
  <c r="U83" i="6"/>
  <c r="AR54" i="2"/>
  <c r="BN25" i="6"/>
  <c r="AS26" i="6"/>
  <c r="BD99" i="6"/>
  <c r="I42" i="6"/>
  <c r="BL42" i="6"/>
  <c r="BS15" i="6"/>
  <c r="AL50" i="6"/>
  <c r="BW71" i="6"/>
  <c r="AJ40" i="6"/>
  <c r="U6" i="6"/>
  <c r="AC27" i="6"/>
  <c r="BQ87" i="6"/>
  <c r="CI36" i="6"/>
  <c r="BF16" i="6"/>
  <c r="CJ88" i="6"/>
  <c r="AA35" i="6"/>
  <c r="BF36" i="6"/>
  <c r="H85" i="6"/>
  <c r="AV92" i="6"/>
  <c r="BJ13" i="6"/>
  <c r="CE5" i="6"/>
  <c r="BP75" i="6"/>
  <c r="R31" i="6"/>
  <c r="BE40" i="6"/>
  <c r="AE52" i="6"/>
  <c r="BG60" i="6"/>
  <c r="AJ15" i="6"/>
  <c r="Q43" i="6"/>
  <c r="AK16" i="2"/>
  <c r="T22" i="2"/>
  <c r="V72" i="6"/>
  <c r="BO9" i="6"/>
  <c r="BS6" i="6"/>
  <c r="CL55" i="6"/>
  <c r="G81" i="6"/>
  <c r="AJ41" i="6"/>
  <c r="AO37" i="6"/>
  <c r="AE47" i="6"/>
  <c r="BO10" i="6"/>
  <c r="AO23" i="6"/>
  <c r="AK85" i="6"/>
  <c r="BH13" i="6"/>
  <c r="BO36" i="6"/>
  <c r="D12" i="6"/>
  <c r="AF18" i="6"/>
  <c r="CA41" i="6"/>
  <c r="CK63" i="6"/>
  <c r="J48" i="6"/>
  <c r="CQ19" i="6"/>
  <c r="AQ18" i="6"/>
  <c r="BU71" i="6"/>
  <c r="AT3" i="6"/>
  <c r="Y91" i="6"/>
  <c r="BE54" i="6"/>
  <c r="BP21" i="6"/>
  <c r="BM61" i="6"/>
  <c r="D9" i="6"/>
  <c r="AU23" i="6"/>
  <c r="BU7" i="6"/>
  <c r="BT32" i="6"/>
  <c r="BH62" i="6"/>
  <c r="CE45" i="6"/>
  <c r="BJ42" i="2"/>
  <c r="AT57" i="6"/>
  <c r="X2" i="2"/>
  <c r="AE100" i="2"/>
  <c r="AF73" i="6"/>
  <c r="CI70" i="6"/>
  <c r="AY15" i="6"/>
  <c r="CP20" i="2"/>
  <c r="K72" i="6"/>
  <c r="C71" i="6"/>
  <c r="Z9" i="6"/>
  <c r="AU46" i="6"/>
  <c r="E37" i="6"/>
  <c r="CI68" i="6"/>
  <c r="BK56" i="6"/>
  <c r="CP44" i="6"/>
  <c r="V67" i="6"/>
  <c r="W91" i="6"/>
  <c r="CN23" i="6"/>
  <c r="BH43" i="6"/>
  <c r="AX23" i="6"/>
  <c r="AB49" i="6"/>
  <c r="AL15" i="6"/>
  <c r="AT63" i="6"/>
  <c r="Y52" i="6"/>
  <c r="CJ56" i="6"/>
  <c r="BA38" i="6"/>
  <c r="BJ24" i="6"/>
  <c r="BA65" i="6"/>
  <c r="CE21" i="6"/>
  <c r="E51" i="6"/>
  <c r="AL39" i="6"/>
  <c r="AO10" i="6"/>
  <c r="AR25" i="6"/>
  <c r="BH28" i="6"/>
  <c r="R32" i="6"/>
  <c r="F39" i="6"/>
  <c r="BH40" i="6"/>
  <c r="P57" i="6"/>
  <c r="AJ20" i="6"/>
  <c r="BF26" i="6"/>
  <c r="BT13" i="6"/>
  <c r="AA67" i="6"/>
  <c r="AE96" i="6"/>
  <c r="W54" i="6"/>
  <c r="CN59" i="6"/>
  <c r="AY33" i="6"/>
  <c r="G69" i="6"/>
  <c r="AJ10" i="6"/>
  <c r="AI64" i="6"/>
  <c r="Q28" i="6"/>
  <c r="N26" i="6"/>
  <c r="AM35" i="6"/>
  <c r="BN41" i="6"/>
  <c r="AM71" i="6"/>
  <c r="CI28" i="6"/>
  <c r="CM8" i="2"/>
  <c r="Q7" i="6"/>
  <c r="BY8" i="2"/>
  <c r="CG40" i="6"/>
  <c r="AS37" i="6"/>
  <c r="AK51" i="2"/>
  <c r="AY63" i="6"/>
  <c r="AJ61" i="6"/>
  <c r="Y75" i="6"/>
  <c r="AP80" i="6"/>
  <c r="AS76" i="6"/>
  <c r="CC66" i="6"/>
  <c r="BQ75" i="6"/>
  <c r="BZ15" i="6"/>
  <c r="CR18" i="6"/>
  <c r="U29" i="6"/>
  <c r="AD81" i="6"/>
  <c r="AK25" i="6"/>
  <c r="CD47" i="6"/>
  <c r="AG8" i="6"/>
  <c r="AN45" i="6"/>
  <c r="AM36" i="6"/>
  <c r="CA19" i="6"/>
  <c r="AM14" i="6"/>
  <c r="U38" i="6"/>
  <c r="L77" i="6"/>
  <c r="CL31" i="6"/>
  <c r="BQ85" i="6"/>
  <c r="BY14" i="6"/>
  <c r="BK17" i="6"/>
  <c r="AZ6" i="6"/>
  <c r="N15" i="6"/>
  <c r="AQ22" i="6"/>
  <c r="BF40" i="6"/>
  <c r="AT72" i="6"/>
  <c r="CD61" i="6"/>
  <c r="AZ31" i="6"/>
  <c r="AQ2" i="6"/>
  <c r="AA22" i="6"/>
  <c r="U22" i="6"/>
  <c r="T59" i="6"/>
  <c r="BY80" i="6"/>
  <c r="BS57" i="6"/>
  <c r="BP12" i="6"/>
  <c r="BM76" i="6"/>
  <c r="AF13" i="6"/>
  <c r="CF89" i="6"/>
  <c r="AK51" i="6"/>
  <c r="AK19" i="6"/>
  <c r="BP8" i="6"/>
  <c r="CD53" i="6"/>
  <c r="CI29" i="6"/>
  <c r="AR8" i="6"/>
  <c r="BU47" i="6"/>
  <c r="CA26" i="6"/>
  <c r="AE47" i="2"/>
  <c r="BB12" i="6"/>
  <c r="BL65" i="6"/>
  <c r="Y2" i="6"/>
  <c r="AW21" i="6"/>
  <c r="AA52" i="6"/>
  <c r="AI35" i="6"/>
  <c r="O30" i="6"/>
  <c r="O54" i="6"/>
  <c r="M56" i="6"/>
  <c r="CO74" i="6"/>
  <c r="AI23" i="6"/>
  <c r="AA84" i="6"/>
  <c r="BK74" i="2"/>
  <c r="BR13" i="2"/>
  <c r="H32" i="6"/>
  <c r="CK51" i="6"/>
  <c r="AR79" i="6"/>
  <c r="BV59" i="6"/>
  <c r="Q15" i="6"/>
  <c r="N82" i="6"/>
  <c r="Z2" i="6"/>
  <c r="L26" i="6"/>
  <c r="P22" i="6"/>
  <c r="CD34" i="6"/>
  <c r="D15" i="6"/>
  <c r="BT30" i="6"/>
  <c r="BB42" i="6"/>
  <c r="AH9" i="6"/>
  <c r="BH16" i="6"/>
  <c r="E35" i="6"/>
  <c r="AF21" i="6"/>
  <c r="CK90" i="6"/>
  <c r="CR43" i="6"/>
  <c r="J23" i="6"/>
  <c r="CO35" i="6"/>
  <c r="BK67" i="6"/>
  <c r="E7" i="6"/>
  <c r="AE45" i="6"/>
  <c r="L12" i="6"/>
  <c r="E32" i="6"/>
  <c r="AW45" i="6"/>
  <c r="AB43" i="6"/>
  <c r="D52" i="6"/>
  <c r="Z50" i="6"/>
  <c r="BT12" i="6"/>
  <c r="AJ3" i="6"/>
  <c r="Z54" i="6"/>
  <c r="AX21" i="6"/>
  <c r="AG30" i="6"/>
  <c r="AU70" i="6"/>
  <c r="CR27" i="6"/>
  <c r="BH42" i="6"/>
  <c r="AT46" i="6"/>
  <c r="BQ26" i="6"/>
  <c r="R19" i="6"/>
  <c r="CJ25" i="6"/>
  <c r="BN93" i="6"/>
  <c r="BT53" i="6"/>
  <c r="I28" i="6"/>
  <c r="BS35" i="6"/>
  <c r="BU75" i="6"/>
  <c r="BU25" i="6"/>
  <c r="L48" i="6"/>
  <c r="R49" i="6"/>
  <c r="CD12" i="2"/>
  <c r="BG66" i="6"/>
  <c r="BM44" i="6"/>
  <c r="AC9" i="6"/>
  <c r="AK33" i="6"/>
  <c r="BR20" i="6"/>
  <c r="BW23" i="6"/>
  <c r="CH21" i="2"/>
  <c r="CR47" i="6"/>
  <c r="AQ37" i="6"/>
  <c r="CH96" i="6"/>
  <c r="BD43" i="6"/>
  <c r="BA39" i="6"/>
  <c r="N39" i="6"/>
  <c r="AK70" i="6"/>
  <c r="AG26" i="2"/>
  <c r="AJ78" i="6"/>
  <c r="BP53" i="6"/>
  <c r="AS67" i="6"/>
  <c r="BF11" i="6"/>
  <c r="AU55" i="6"/>
  <c r="AH94" i="6"/>
  <c r="CQ27" i="6"/>
  <c r="BB33" i="6"/>
  <c r="AL46" i="6"/>
  <c r="BM16" i="6"/>
  <c r="BI38" i="6"/>
  <c r="BN56" i="6"/>
  <c r="Q29" i="6"/>
  <c r="M25" i="6"/>
  <c r="AL42" i="6"/>
  <c r="BC14" i="6"/>
  <c r="BI54" i="6"/>
  <c r="BR13" i="6"/>
  <c r="M41" i="6"/>
  <c r="BS77" i="6"/>
  <c r="AD39" i="6"/>
  <c r="AP95" i="6"/>
  <c r="CG33" i="6"/>
  <c r="CE94" i="6"/>
  <c r="AC39" i="6"/>
  <c r="H83" i="6"/>
  <c r="Z34" i="6"/>
  <c r="BD7" i="6"/>
  <c r="BK69" i="6"/>
  <c r="CB32" i="6"/>
  <c r="AD30" i="6"/>
  <c r="W39" i="6"/>
  <c r="BS22" i="6"/>
  <c r="CJ48" i="6"/>
  <c r="BS30" i="6"/>
  <c r="AJ43" i="2"/>
  <c r="AS48" i="6"/>
  <c r="BT23" i="2"/>
  <c r="AS33" i="6"/>
  <c r="BU16" i="6"/>
  <c r="AJ74" i="6"/>
  <c r="R26" i="2"/>
  <c r="W75" i="6"/>
  <c r="AR14" i="6"/>
  <c r="BP57" i="6"/>
  <c r="AD51" i="6"/>
  <c r="CD90" i="6"/>
  <c r="CP12" i="6"/>
  <c r="N34" i="6"/>
  <c r="AR19" i="6"/>
  <c r="BC16" i="6"/>
  <c r="BX6" i="6"/>
  <c r="J7" i="6"/>
  <c r="AJ22" i="6"/>
  <c r="BO22" i="6"/>
  <c r="CO64" i="6"/>
  <c r="BO46" i="6"/>
  <c r="CJ65" i="6"/>
  <c r="J12" i="6"/>
  <c r="BD72" i="6"/>
  <c r="BQ59" i="6"/>
  <c r="CA58" i="6"/>
  <c r="AB16" i="6"/>
  <c r="U40" i="6"/>
  <c r="CR7" i="6"/>
  <c r="CP74" i="6"/>
  <c r="D25" i="6"/>
  <c r="CJ18" i="6"/>
  <c r="BU83" i="6"/>
  <c r="BE51" i="6"/>
  <c r="AG89" i="6"/>
  <c r="AV2" i="2"/>
  <c r="AJ48" i="6"/>
  <c r="BZ28" i="6"/>
  <c r="BQ53" i="6"/>
  <c r="BY40" i="6"/>
  <c r="AG49" i="6"/>
  <c r="L16" i="6"/>
  <c r="CP28" i="6"/>
  <c r="U51" i="6"/>
  <c r="CJ17" i="6"/>
  <c r="CL2" i="6"/>
  <c r="AR6" i="2"/>
  <c r="AH40" i="6"/>
  <c r="H11" i="6"/>
  <c r="AP48" i="6"/>
  <c r="I94" i="6"/>
  <c r="AU54" i="6"/>
  <c r="AG33" i="6"/>
  <c r="X42" i="6"/>
  <c r="CA57" i="6"/>
  <c r="BI6" i="2"/>
  <c r="AR59" i="6"/>
  <c r="BI40" i="6"/>
  <c r="W50" i="6"/>
  <c r="BT71" i="6"/>
  <c r="CC42" i="6"/>
  <c r="BL73" i="6"/>
  <c r="AY58" i="6"/>
  <c r="AD88" i="6"/>
  <c r="D20" i="6"/>
  <c r="BW82" i="6"/>
  <c r="BH52" i="6"/>
  <c r="BO65" i="6"/>
  <c r="BL2" i="6"/>
  <c r="BE36" i="6"/>
  <c r="AY2" i="2"/>
  <c r="BZ22" i="6"/>
  <c r="BK47" i="6"/>
  <c r="BO41" i="6"/>
  <c r="P80" i="6"/>
  <c r="CG12" i="6"/>
  <c r="CH66" i="6"/>
  <c r="AG58" i="6"/>
  <c r="J22" i="6"/>
  <c r="I83" i="6"/>
  <c r="BN2" i="6"/>
  <c r="BF14" i="6"/>
  <c r="P31" i="6"/>
  <c r="O68" i="6"/>
  <c r="AB20" i="6"/>
  <c r="BV57" i="2"/>
  <c r="AA72" i="6"/>
  <c r="BE27" i="6"/>
  <c r="BJ42" i="6"/>
  <c r="X38" i="6"/>
  <c r="CM92" i="6"/>
  <c r="BL15" i="6"/>
  <c r="BF37" i="6"/>
  <c r="AH74" i="6"/>
  <c r="D14" i="6"/>
  <c r="BD39" i="6"/>
  <c r="CD46" i="6"/>
  <c r="CE71" i="6"/>
  <c r="BX26" i="6"/>
  <c r="AB24" i="6"/>
  <c r="AB41" i="6"/>
  <c r="AS53" i="6"/>
  <c r="CR15" i="6"/>
  <c r="BT45" i="6"/>
  <c r="AA19" i="6"/>
  <c r="BL34" i="6"/>
  <c r="BT16" i="6"/>
  <c r="CR10" i="6"/>
  <c r="AV51" i="6"/>
  <c r="CK58" i="6"/>
  <c r="AM65" i="6"/>
  <c r="R16" i="6"/>
  <c r="F19" i="6"/>
  <c r="AM21" i="6"/>
  <c r="Z35" i="6"/>
  <c r="R71" i="6"/>
  <c r="AS81" i="6"/>
  <c r="BS18" i="2"/>
  <c r="CE62" i="6"/>
  <c r="AA96" i="6"/>
  <c r="X48" i="6"/>
  <c r="CI76" i="6"/>
  <c r="BW15" i="6"/>
  <c r="G58" i="6"/>
  <c r="AB51" i="6"/>
  <c r="BQ29" i="6"/>
  <c r="CQ93" i="6"/>
  <c r="H78" i="6"/>
  <c r="BB7" i="6"/>
  <c r="Q32" i="6"/>
  <c r="AC51" i="6"/>
  <c r="AL24" i="6"/>
  <c r="AK86" i="6"/>
  <c r="AF35" i="6"/>
  <c r="AK48" i="6"/>
  <c r="CE58" i="6"/>
  <c r="AU35" i="6"/>
  <c r="K34" i="6"/>
  <c r="CC68" i="6"/>
  <c r="BT35" i="6"/>
  <c r="AM43" i="6"/>
  <c r="BS4" i="6"/>
  <c r="AW19" i="6"/>
  <c r="CP18" i="6"/>
  <c r="R36" i="6"/>
  <c r="CA49" i="6"/>
  <c r="M12" i="6"/>
  <c r="AN30" i="6"/>
  <c r="BR12" i="6"/>
  <c r="BX69" i="6"/>
  <c r="BB45" i="6"/>
  <c r="W15" i="6"/>
  <c r="M57" i="6"/>
  <c r="AL60" i="6"/>
  <c r="K57" i="6"/>
  <c r="BE35" i="6"/>
  <c r="AS47" i="6"/>
  <c r="O42" i="6"/>
  <c r="AR48" i="6"/>
  <c r="CQ43" i="6"/>
  <c r="AW2" i="6"/>
  <c r="AC36" i="6"/>
  <c r="AX82" i="6"/>
  <c r="BJ30" i="6"/>
  <c r="BI31" i="6"/>
  <c r="CK33" i="6"/>
  <c r="BW8" i="6"/>
  <c r="K73" i="6"/>
  <c r="CF30" i="6"/>
  <c r="BN19" i="6"/>
  <c r="N10" i="6"/>
  <c r="CD38" i="6"/>
  <c r="BH82" i="6"/>
  <c r="AL65" i="6"/>
  <c r="CG30" i="2"/>
  <c r="BU33" i="6"/>
  <c r="CK16" i="2"/>
  <c r="BN7" i="6"/>
  <c r="CD20" i="6"/>
  <c r="AW31" i="6"/>
  <c r="U20" i="6"/>
  <c r="P91" i="6"/>
  <c r="BU50" i="6"/>
  <c r="CM33" i="6"/>
  <c r="BH18" i="6"/>
  <c r="AS56" i="6"/>
  <c r="BD58" i="6"/>
  <c r="CI58" i="6"/>
  <c r="AG51" i="6"/>
  <c r="BL31" i="6"/>
  <c r="BB20" i="6"/>
  <c r="V13" i="2"/>
  <c r="I41" i="6"/>
  <c r="CB45" i="6"/>
  <c r="CG17" i="6"/>
  <c r="BH30" i="6"/>
  <c r="BU9" i="6"/>
  <c r="AH20" i="6"/>
  <c r="BH19" i="6"/>
  <c r="BM30" i="6"/>
  <c r="D35" i="6"/>
  <c r="E75" i="6"/>
  <c r="CH46" i="6"/>
  <c r="CN20" i="6"/>
  <c r="AI70" i="6"/>
  <c r="G25" i="6"/>
  <c r="AI36" i="6"/>
  <c r="AL9" i="6"/>
  <c r="AT8" i="6"/>
  <c r="CM27" i="6"/>
  <c r="T53" i="6"/>
  <c r="AB52" i="6"/>
  <c r="AN61" i="6"/>
  <c r="CJ47" i="6"/>
  <c r="CA50" i="6"/>
  <c r="AL59" i="6"/>
  <c r="P71" i="6"/>
  <c r="CH13" i="6"/>
  <c r="AV26" i="6"/>
  <c r="AE29" i="6"/>
  <c r="BX17" i="6"/>
  <c r="BU27" i="6"/>
  <c r="BC79" i="6"/>
  <c r="U43" i="6"/>
  <c r="BM91" i="6"/>
  <c r="CD74" i="6"/>
  <c r="BL48" i="6"/>
  <c r="BX8" i="2"/>
  <c r="E57" i="6"/>
  <c r="BP45" i="6"/>
  <c r="BV31" i="6"/>
  <c r="BO26" i="6"/>
  <c r="AU64" i="6"/>
  <c r="J38" i="6"/>
  <c r="CB22" i="6"/>
  <c r="BE59" i="6"/>
  <c r="E20" i="6"/>
  <c r="AU34" i="6"/>
  <c r="BL7" i="2"/>
  <c r="AL33" i="6"/>
  <c r="F23" i="6"/>
  <c r="AV59" i="6"/>
  <c r="BN40" i="6"/>
  <c r="AU63" i="6"/>
  <c r="CP69" i="6"/>
  <c r="BU72" i="6"/>
  <c r="BH74" i="2"/>
  <c r="CQ51" i="6"/>
  <c r="U8" i="6"/>
  <c r="AL54" i="6"/>
  <c r="N97" i="6"/>
  <c r="CG45" i="6"/>
  <c r="AX92" i="6"/>
  <c r="BQ44" i="2"/>
  <c r="CA45" i="6"/>
  <c r="BW56" i="6"/>
  <c r="BC87" i="6"/>
  <c r="Y74" i="6"/>
  <c r="AW47" i="6"/>
  <c r="AI32" i="6"/>
  <c r="CI25" i="6"/>
  <c r="CR39" i="6"/>
  <c r="BZ46" i="6"/>
  <c r="AH52" i="6"/>
  <c r="BG52" i="6"/>
  <c r="BU48" i="6"/>
  <c r="BD2" i="6"/>
  <c r="CO87" i="6"/>
  <c r="AZ37" i="6"/>
  <c r="BW47" i="6"/>
  <c r="BX41" i="6"/>
  <c r="AA29" i="2"/>
  <c r="W34" i="6"/>
  <c r="CK91" i="6"/>
  <c r="BT21" i="6"/>
  <c r="BA52" i="6"/>
  <c r="AX46" i="6"/>
  <c r="AI88" i="6"/>
  <c r="V4" i="2"/>
  <c r="BT56" i="6"/>
  <c r="AH74" i="2"/>
  <c r="CG16" i="6"/>
  <c r="BU23" i="6"/>
  <c r="AR10" i="6"/>
  <c r="AK21" i="6"/>
  <c r="BV30" i="6"/>
  <c r="Z93" i="6"/>
  <c r="BY6" i="2"/>
  <c r="K58" i="6"/>
  <c r="CP95" i="6"/>
  <c r="CR76" i="6"/>
  <c r="CE51" i="6"/>
  <c r="AT26" i="6"/>
  <c r="AJ87" i="6"/>
  <c r="AD49" i="6"/>
  <c r="Y56" i="6"/>
  <c r="F99" i="6"/>
  <c r="AS45" i="6"/>
  <c r="BU22" i="6"/>
  <c r="AP90" i="6"/>
  <c r="BU17" i="2"/>
  <c r="BV2" i="6"/>
  <c r="AV49" i="6"/>
  <c r="L27" i="6"/>
  <c r="BO74" i="6"/>
  <c r="CO47" i="6"/>
  <c r="AP2" i="6"/>
  <c r="AD7" i="6"/>
  <c r="AM29" i="6"/>
  <c r="H17" i="6"/>
  <c r="AI47" i="6"/>
  <c r="CP49" i="6"/>
  <c r="BU34" i="6"/>
  <c r="BT37" i="6"/>
  <c r="CM7" i="2"/>
  <c r="CR49" i="6"/>
  <c r="CN22" i="6"/>
  <c r="AZ85" i="6"/>
  <c r="AX69" i="6"/>
  <c r="BN56" i="2"/>
  <c r="AY53" i="6"/>
  <c r="V43" i="6"/>
  <c r="D38" i="6"/>
  <c r="BC75" i="6"/>
  <c r="V55" i="6"/>
  <c r="AD48" i="6"/>
  <c r="CH57" i="6"/>
  <c r="AF57" i="6"/>
  <c r="AE15" i="6"/>
  <c r="AD8" i="2"/>
  <c r="BV7" i="2"/>
  <c r="AD46" i="6"/>
  <c r="BV19" i="6"/>
  <c r="AU37" i="6"/>
  <c r="AM27" i="6"/>
  <c r="X51" i="6"/>
  <c r="CP30" i="6"/>
  <c r="K41" i="6"/>
  <c r="CP54" i="6"/>
  <c r="BF83" i="6"/>
  <c r="BH46" i="6"/>
  <c r="BF49" i="6"/>
  <c r="BJ40" i="6"/>
  <c r="H55" i="6"/>
  <c r="S31" i="6"/>
  <c r="T26" i="6"/>
  <c r="AM32" i="6"/>
  <c r="BS31" i="6"/>
  <c r="G46" i="6"/>
  <c r="BE22" i="6"/>
  <c r="CQ10" i="6"/>
  <c r="CJ80" i="6"/>
  <c r="BH58" i="6"/>
  <c r="V21" i="6"/>
  <c r="K36" i="6"/>
  <c r="AU83" i="6"/>
  <c r="T64" i="6"/>
  <c r="Y55" i="6"/>
  <c r="BQ2" i="2"/>
  <c r="BD60" i="6"/>
  <c r="BU52" i="6"/>
  <c r="BO85" i="6"/>
  <c r="AD55" i="6"/>
  <c r="BX35" i="2"/>
  <c r="BO29" i="6"/>
  <c r="AO9" i="6"/>
  <c r="AK30" i="6"/>
  <c r="E6" i="6"/>
  <c r="CL24" i="6"/>
  <c r="R3" i="6"/>
  <c r="CC8" i="6"/>
  <c r="BN14" i="6"/>
  <c r="BK100" i="6"/>
  <c r="BD38" i="6"/>
  <c r="N4" i="6"/>
  <c r="CA38" i="6"/>
  <c r="W64" i="6"/>
  <c r="BK8" i="6"/>
  <c r="BF41" i="6"/>
  <c r="BW14" i="6"/>
  <c r="L54" i="6"/>
  <c r="G26" i="6"/>
  <c r="BB82" i="6"/>
  <c r="CQ24" i="6"/>
  <c r="CQ30" i="6"/>
  <c r="AU11" i="6"/>
  <c r="BM38" i="6"/>
  <c r="BR21" i="6"/>
  <c r="CK31" i="6"/>
  <c r="CL43" i="6"/>
  <c r="AR53" i="6"/>
  <c r="CM50" i="6"/>
  <c r="BS28" i="6"/>
  <c r="CD32" i="6"/>
  <c r="BQ49" i="6"/>
  <c r="AM17" i="2"/>
  <c r="AG95" i="6"/>
  <c r="Q69" i="6"/>
  <c r="AP46" i="6"/>
  <c r="CP32" i="6"/>
  <c r="CA71" i="6"/>
  <c r="AJ39" i="6"/>
  <c r="CC85" i="6"/>
  <c r="AO7" i="6"/>
  <c r="F27" i="6"/>
  <c r="N20" i="6"/>
  <c r="AH24" i="6"/>
  <c r="CA45" i="2"/>
  <c r="L43" i="6"/>
  <c r="BE24" i="6"/>
  <c r="S74" i="6"/>
  <c r="BZ52" i="6"/>
  <c r="CC69" i="6"/>
  <c r="E14" i="6"/>
  <c r="AN65" i="6"/>
  <c r="Z47" i="6"/>
  <c r="AD2" i="6"/>
  <c r="BQ47" i="6"/>
  <c r="BA12" i="6"/>
  <c r="AN39" i="6"/>
  <c r="BY9" i="6"/>
  <c r="S36" i="6"/>
  <c r="CP15" i="6"/>
  <c r="AX52" i="6"/>
  <c r="BI29" i="6"/>
  <c r="BH59" i="6"/>
  <c r="BX56" i="6"/>
  <c r="BC7" i="6"/>
  <c r="AY93" i="6"/>
  <c r="AX53" i="6"/>
  <c r="T17" i="6"/>
  <c r="L13" i="6"/>
  <c r="CG4" i="6"/>
  <c r="T97" i="6"/>
  <c r="CQ94" i="6"/>
  <c r="AO81" i="6"/>
  <c r="W83" i="6"/>
  <c r="W17" i="6"/>
  <c r="BH9" i="6"/>
  <c r="CL35" i="6"/>
  <c r="AY26" i="6"/>
  <c r="AB42" i="6"/>
  <c r="AN70" i="2"/>
  <c r="CI27" i="6"/>
  <c r="AU49" i="6"/>
  <c r="CD28" i="6"/>
  <c r="S8" i="6"/>
  <c r="BQ89" i="6"/>
  <c r="AL93" i="6"/>
  <c r="AI52" i="6"/>
  <c r="AW63" i="6"/>
  <c r="BQ45" i="6"/>
  <c r="AA75" i="6"/>
  <c r="BE41" i="6"/>
  <c r="AM20" i="6"/>
  <c r="CD9" i="6"/>
  <c r="AG20" i="6"/>
  <c r="CK13" i="6"/>
  <c r="AL28" i="6"/>
  <c r="AT78" i="6"/>
  <c r="Q40" i="6"/>
  <c r="W57" i="6"/>
  <c r="AE36" i="6"/>
  <c r="CQ72" i="6"/>
  <c r="AP29" i="6"/>
  <c r="AM4" i="2"/>
  <c r="E42" i="6"/>
  <c r="BR23" i="6"/>
  <c r="AB23" i="6"/>
  <c r="R12" i="2"/>
  <c r="M67" i="6"/>
  <c r="T35" i="6"/>
  <c r="BE13" i="6"/>
  <c r="CC93" i="6"/>
  <c r="CO13" i="6"/>
  <c r="H8" i="6"/>
  <c r="CB16" i="6"/>
  <c r="Z5" i="6"/>
  <c r="W24" i="6"/>
  <c r="AV10" i="6"/>
  <c r="Z25" i="6"/>
  <c r="CO28" i="6"/>
  <c r="Z39" i="6"/>
  <c r="AX28" i="6"/>
  <c r="AC21" i="6"/>
  <c r="S19" i="6"/>
  <c r="U53" i="6"/>
  <c r="BL27" i="6"/>
  <c r="Y82" i="6"/>
  <c r="AT53" i="6"/>
  <c r="J37" i="6"/>
  <c r="CG43" i="6"/>
  <c r="E28" i="6"/>
  <c r="BD65" i="6"/>
  <c r="BL40" i="6"/>
  <c r="O19" i="6"/>
  <c r="AX27" i="6"/>
  <c r="AJ21" i="6"/>
  <c r="P21" i="6"/>
  <c r="CF71" i="6"/>
  <c r="BP42" i="6"/>
  <c r="BW2" i="6"/>
  <c r="AN56" i="6"/>
  <c r="BO3" i="6"/>
  <c r="CG48" i="6"/>
  <c r="BD27" i="6"/>
  <c r="BJ69" i="6"/>
  <c r="CM58" i="6"/>
  <c r="BQ55" i="6"/>
  <c r="AR70" i="6"/>
  <c r="CP14" i="6"/>
  <c r="T51" i="6"/>
  <c r="CN78" i="6"/>
  <c r="BH5" i="2"/>
  <c r="AJ76" i="6"/>
  <c r="AC70" i="6"/>
  <c r="BY50" i="6"/>
  <c r="O71" i="6"/>
  <c r="CQ33" i="6"/>
  <c r="AR90" i="6"/>
  <c r="W45" i="6"/>
  <c r="BP36" i="6"/>
  <c r="BB56" i="6"/>
  <c r="CD93" i="6"/>
  <c r="D19" i="6"/>
  <c r="AJ13" i="6"/>
  <c r="CA83" i="6"/>
  <c r="CD44" i="6"/>
  <c r="BJ38" i="6"/>
  <c r="BE18" i="6"/>
  <c r="BW35" i="6"/>
  <c r="F20" i="6"/>
  <c r="CE54" i="6"/>
  <c r="BY6" i="6"/>
  <c r="CA27" i="6"/>
  <c r="BS46" i="6"/>
  <c r="AA11" i="2"/>
  <c r="BQ33" i="6"/>
  <c r="Y36" i="6"/>
  <c r="Q10" i="6"/>
  <c r="AZ47" i="6"/>
  <c r="BV44" i="6"/>
  <c r="AP40" i="6"/>
  <c r="W21" i="6"/>
  <c r="BO8" i="6"/>
  <c r="X21" i="6"/>
  <c r="BZ68" i="6"/>
  <c r="AU42" i="6"/>
  <c r="U33" i="6"/>
  <c r="AC2" i="6"/>
  <c r="Q14" i="2"/>
  <c r="BQ25" i="6"/>
  <c r="AS32" i="6"/>
  <c r="BF82" i="6"/>
  <c r="AC65" i="6"/>
  <c r="AF4" i="6"/>
  <c r="X72" i="6"/>
  <c r="AZ25" i="2"/>
  <c r="CG46" i="6"/>
  <c r="AM10" i="6"/>
  <c r="AW32" i="6"/>
  <c r="S43" i="6"/>
  <c r="AD40" i="6"/>
  <c r="CP50" i="6"/>
  <c r="BH85" i="6"/>
  <c r="R47" i="6"/>
  <c r="J24" i="6"/>
  <c r="D44" i="6"/>
  <c r="V11" i="6"/>
  <c r="BT28" i="6"/>
  <c r="CO84" i="6"/>
  <c r="D73" i="6"/>
  <c r="BX2" i="6"/>
  <c r="V3" i="6"/>
  <c r="AT50" i="6"/>
  <c r="BB5" i="6"/>
  <c r="CQ53" i="6"/>
  <c r="AE7" i="2"/>
  <c r="AJ97" i="6"/>
  <c r="CM35" i="6"/>
  <c r="Z29" i="6"/>
  <c r="AS64" i="6"/>
  <c r="N75" i="6"/>
  <c r="BN95" i="6"/>
  <c r="CK79" i="6"/>
  <c r="BW92" i="6"/>
  <c r="AD43" i="6"/>
  <c r="BC47" i="6"/>
  <c r="CE29" i="6"/>
  <c r="CD45" i="6"/>
  <c r="CB33" i="6"/>
  <c r="O62" i="6"/>
  <c r="CI6" i="6"/>
  <c r="AD35" i="6"/>
  <c r="BM56" i="6"/>
  <c r="CI17" i="6"/>
  <c r="F18" i="6"/>
  <c r="Z42" i="6"/>
  <c r="CQ85" i="6"/>
  <c r="BZ3" i="6"/>
  <c r="AB6" i="6"/>
  <c r="AJ34" i="6"/>
  <c r="F10" i="6"/>
  <c r="AN54" i="6"/>
  <c r="BT22" i="6"/>
  <c r="O76" i="6"/>
  <c r="H13" i="6"/>
  <c r="AB5" i="6"/>
  <c r="BL4" i="6"/>
  <c r="CE23" i="6"/>
  <c r="Z92" i="6"/>
  <c r="CK55" i="6"/>
  <c r="BI15" i="6"/>
  <c r="AV50" i="6"/>
  <c r="BS8" i="6"/>
  <c r="AY16" i="6"/>
  <c r="BE88" i="6"/>
  <c r="BA46" i="6"/>
  <c r="AS42" i="6"/>
  <c r="CQ35" i="6"/>
  <c r="CR64" i="6"/>
  <c r="AH39" i="6"/>
  <c r="CF92" i="6"/>
  <c r="AB11" i="2"/>
  <c r="P37" i="6"/>
  <c r="AV19" i="6"/>
  <c r="G45" i="6"/>
  <c r="F51" i="6"/>
  <c r="P19" i="6"/>
  <c r="AW9" i="6"/>
  <c r="AU7" i="6"/>
  <c r="BE11" i="6"/>
  <c r="F69" i="6"/>
  <c r="CA7" i="6"/>
  <c r="BY32" i="6"/>
  <c r="BJ33" i="6"/>
  <c r="BD5" i="6"/>
  <c r="BX25" i="6"/>
  <c r="BO11" i="6"/>
  <c r="Y42" i="6"/>
  <c r="X18" i="6"/>
  <c r="AY10" i="6"/>
  <c r="CE13" i="6"/>
  <c r="CK24" i="6"/>
  <c r="T31" i="6"/>
  <c r="BD15" i="6"/>
  <c r="BG11" i="6"/>
  <c r="BO7" i="6"/>
  <c r="BT27" i="6"/>
  <c r="AL27" i="6"/>
  <c r="BF21" i="6"/>
  <c r="C81" i="6"/>
  <c r="BB21" i="6"/>
  <c r="AK17" i="6"/>
  <c r="BH48" i="6"/>
  <c r="CB44" i="6"/>
  <c r="CP88" i="6"/>
  <c r="AM63" i="6"/>
  <c r="CK40" i="6"/>
  <c r="Z40" i="6"/>
  <c r="AY99" i="6"/>
  <c r="P84" i="6"/>
  <c r="BN5" i="2"/>
  <c r="BK26" i="6"/>
  <c r="G20" i="6"/>
  <c r="BH2" i="6"/>
  <c r="BT6" i="6"/>
  <c r="P56" i="6"/>
  <c r="AP26" i="6"/>
  <c r="BZ24" i="6"/>
  <c r="CI32" i="6"/>
  <c r="BX36" i="6"/>
  <c r="CI91" i="6"/>
  <c r="AJ33" i="6"/>
  <c r="BG82" i="6"/>
  <c r="D61" i="6"/>
  <c r="BC44" i="6"/>
  <c r="BH25" i="6"/>
  <c r="AI20" i="6"/>
  <c r="BU9" i="2"/>
  <c r="O4" i="6"/>
  <c r="J13" i="6"/>
  <c r="CJ28" i="6"/>
  <c r="F3" i="6"/>
  <c r="V80" i="6"/>
  <c r="BA51" i="6"/>
  <c r="BF3" i="6"/>
  <c r="CB24" i="6"/>
  <c r="CN10" i="6"/>
  <c r="BN32" i="6"/>
  <c r="CH48" i="6"/>
  <c r="CN84" i="6"/>
  <c r="S37" i="6"/>
  <c r="AW91" i="6"/>
  <c r="CC19" i="6"/>
  <c r="BP63" i="6"/>
  <c r="AT25" i="6"/>
  <c r="AS95" i="6"/>
  <c r="AN66" i="6"/>
  <c r="BX87" i="6"/>
  <c r="CB56" i="6"/>
  <c r="BC53" i="6"/>
  <c r="BO45" i="6"/>
  <c r="BV57" i="6"/>
  <c r="U27" i="6"/>
  <c r="BI25" i="6"/>
  <c r="I64" i="6"/>
  <c r="BN43" i="6"/>
  <c r="AF50" i="6"/>
  <c r="AD5" i="2"/>
  <c r="AG24" i="6"/>
  <c r="AY25" i="2"/>
  <c r="BF19" i="2"/>
  <c r="AD95" i="6"/>
  <c r="O29" i="6"/>
  <c r="AF33" i="6"/>
  <c r="R15" i="6"/>
  <c r="I99" i="6"/>
  <c r="AY44" i="6"/>
  <c r="O53" i="6"/>
  <c r="R24" i="6"/>
  <c r="AZ16" i="6"/>
  <c r="AY65" i="6"/>
  <c r="AZ20" i="6"/>
  <c r="CN17" i="6"/>
  <c r="M54" i="6"/>
  <c r="T10" i="6"/>
  <c r="CQ62" i="6"/>
  <c r="BN34" i="6"/>
  <c r="CJ92" i="6"/>
  <c r="CI23" i="6"/>
  <c r="X57" i="6"/>
  <c r="M13" i="6"/>
  <c r="CA25" i="6"/>
  <c r="AX74" i="6"/>
  <c r="AS40" i="6"/>
  <c r="AG34" i="6"/>
  <c r="BN24" i="6"/>
  <c r="I36" i="6"/>
  <c r="AK38" i="6"/>
  <c r="AD12" i="6"/>
  <c r="BN77" i="6"/>
  <c r="AR23" i="6"/>
  <c r="CD12" i="6"/>
  <c r="O44" i="6"/>
  <c r="BV42" i="6"/>
  <c r="AO42" i="6"/>
  <c r="BJ37" i="6"/>
  <c r="AD16" i="6"/>
  <c r="CI57" i="6"/>
  <c r="BY38" i="6"/>
  <c r="AC29" i="6"/>
  <c r="BB29" i="6"/>
  <c r="BL78" i="2"/>
  <c r="BZ49" i="6"/>
  <c r="BN21" i="6"/>
  <c r="AX32" i="6"/>
  <c r="O41" i="6"/>
  <c r="BF98" i="6"/>
  <c r="AS11" i="6"/>
  <c r="AO8" i="6"/>
  <c r="AD66" i="6"/>
  <c r="AV35" i="6"/>
  <c r="AB10" i="6"/>
  <c r="BD24" i="2"/>
  <c r="AL90" i="6"/>
  <c r="BP70" i="6"/>
  <c r="CR19" i="6"/>
  <c r="BY29" i="6"/>
  <c r="AL82" i="6"/>
  <c r="BL47" i="6"/>
  <c r="E71" i="6"/>
  <c r="BY51" i="6"/>
  <c r="BM21" i="2"/>
  <c r="AK17" i="2"/>
  <c r="BS42" i="6"/>
  <c r="AR7" i="2"/>
  <c r="CJ60" i="6"/>
  <c r="CO18" i="6"/>
  <c r="CL4" i="6"/>
  <c r="Q31" i="6"/>
  <c r="N8" i="6"/>
  <c r="CH22" i="2"/>
  <c r="AH23" i="6"/>
  <c r="AQ27" i="6"/>
  <c r="BI11" i="6"/>
  <c r="CQ21" i="6"/>
  <c r="AX84" i="6"/>
  <c r="AF7" i="6"/>
  <c r="BZ17" i="6"/>
  <c r="AH69" i="6"/>
  <c r="AS10" i="6"/>
  <c r="AG52" i="6"/>
  <c r="AF10" i="6"/>
  <c r="J42" i="6"/>
  <c r="S10" i="6"/>
  <c r="CI22" i="6"/>
  <c r="P7" i="6"/>
  <c r="CN33" i="6"/>
  <c r="BG97" i="6"/>
  <c r="Y21" i="6"/>
  <c r="AX43" i="6"/>
  <c r="AT47" i="6"/>
  <c r="BQ2" i="6"/>
  <c r="AM42" i="6"/>
  <c r="Y15" i="6"/>
  <c r="AU78" i="6"/>
  <c r="CP11" i="6"/>
  <c r="AC41" i="6"/>
  <c r="P16" i="6"/>
  <c r="F40" i="6"/>
  <c r="BV72" i="6"/>
  <c r="Y57" i="6"/>
  <c r="CE38" i="6"/>
  <c r="BK4" i="6"/>
  <c r="CR69" i="6"/>
  <c r="BA96" i="6"/>
  <c r="J68" i="2"/>
  <c r="BK51" i="6"/>
  <c r="CI40" i="6"/>
  <c r="AC63" i="6"/>
  <c r="AZ12" i="6"/>
  <c r="AL3" i="6"/>
  <c r="CN28" i="6"/>
  <c r="AQ33" i="6"/>
  <c r="T76" i="6"/>
  <c r="BY33" i="6"/>
  <c r="BU58" i="6"/>
  <c r="AH25" i="6"/>
  <c r="AD23" i="6"/>
  <c r="BZ64" i="6"/>
  <c r="CJ33" i="6"/>
  <c r="AH21" i="6"/>
  <c r="AG37" i="6"/>
  <c r="AW14" i="6"/>
  <c r="AS20" i="6"/>
  <c r="AF29" i="2"/>
  <c r="CA40" i="6"/>
  <c r="BD20" i="6"/>
  <c r="BO42" i="6"/>
  <c r="BP62" i="6"/>
  <c r="AX24" i="6"/>
  <c r="V7" i="6"/>
  <c r="BE9" i="6"/>
  <c r="AX39" i="6"/>
  <c r="L24" i="6"/>
  <c r="CH51" i="6"/>
  <c r="BL59" i="6"/>
  <c r="X99" i="6"/>
  <c r="S18" i="6"/>
  <c r="AZ17" i="6"/>
  <c r="AX54" i="6"/>
  <c r="CJ20" i="6"/>
  <c r="BB37" i="6"/>
  <c r="CF84" i="6"/>
  <c r="N43" i="6"/>
  <c r="BW6" i="6"/>
  <c r="AO44" i="6"/>
  <c r="O46" i="6"/>
  <c r="H28" i="6"/>
  <c r="Y17" i="6"/>
  <c r="AT18" i="6"/>
  <c r="D32" i="6"/>
  <c r="BK42" i="6"/>
  <c r="AP43" i="6"/>
  <c r="AR66" i="6"/>
  <c r="BN3" i="6"/>
  <c r="Y65" i="2"/>
  <c r="I59" i="6"/>
  <c r="BM17" i="6"/>
  <c r="CN18" i="6"/>
  <c r="M39" i="6"/>
  <c r="BA48" i="6"/>
  <c r="AC99" i="6"/>
  <c r="S87" i="6"/>
  <c r="BN6" i="6"/>
  <c r="AJ51" i="6"/>
  <c r="BU42" i="6"/>
  <c r="V20" i="6"/>
  <c r="AO15" i="6"/>
  <c r="I95" i="2"/>
  <c r="BQ88" i="6"/>
  <c r="J25" i="6"/>
  <c r="BQ17" i="6"/>
  <c r="CI69" i="6"/>
  <c r="AH70" i="6"/>
  <c r="CM97" i="6"/>
  <c r="AY81" i="6"/>
  <c r="BV64" i="2"/>
  <c r="AO11" i="6"/>
  <c r="BU51" i="6"/>
  <c r="CF32" i="6"/>
  <c r="BV70" i="6"/>
  <c r="BN12" i="2"/>
  <c r="V2" i="6"/>
  <c r="CE99" i="6"/>
  <c r="AA40" i="6"/>
  <c r="AB68" i="6"/>
  <c r="AX31" i="6"/>
  <c r="AQ32" i="6"/>
  <c r="R55" i="6"/>
  <c r="K19" i="6"/>
  <c r="BS90" i="6"/>
  <c r="CQ22" i="6"/>
  <c r="CI64" i="6"/>
  <c r="V41" i="6"/>
  <c r="G47" i="6"/>
  <c r="AA16" i="6"/>
  <c r="AU24" i="6"/>
  <c r="AU59" i="6"/>
  <c r="BT21" i="2"/>
  <c r="Q52" i="6"/>
  <c r="AT7" i="6"/>
  <c r="BZ9" i="6"/>
  <c r="E34" i="6"/>
  <c r="AP24" i="6"/>
  <c r="AF36" i="2"/>
  <c r="CC13" i="6"/>
  <c r="CG63" i="6"/>
  <c r="AR39" i="6"/>
  <c r="D34" i="6"/>
  <c r="U13" i="6"/>
  <c r="P73" i="6"/>
  <c r="K39" i="6"/>
  <c r="I81" i="6"/>
  <c r="CE49" i="6"/>
  <c r="BN90" i="6"/>
  <c r="H82" i="6"/>
  <c r="N64" i="2"/>
  <c r="CC76" i="6"/>
  <c r="BF48" i="6"/>
  <c r="BF58" i="6"/>
  <c r="CC37" i="6"/>
  <c r="CC63" i="6"/>
  <c r="CJ44" i="6"/>
  <c r="BV36" i="6"/>
  <c r="CK32" i="6"/>
  <c r="CI77" i="6"/>
  <c r="AM82" i="6"/>
  <c r="Q78" i="2"/>
  <c r="BS3" i="6"/>
  <c r="W69" i="2"/>
  <c r="F67" i="6"/>
  <c r="CG49" i="6"/>
  <c r="D21" i="6"/>
  <c r="BR14" i="2"/>
  <c r="V26" i="2"/>
  <c r="CB46" i="2"/>
  <c r="AJ68" i="6"/>
  <c r="AE95" i="6"/>
  <c r="AO18" i="6"/>
  <c r="CN5" i="2"/>
  <c r="CC61" i="6"/>
  <c r="T58" i="2"/>
  <c r="CF70" i="6"/>
  <c r="CA14" i="6"/>
  <c r="AZ71" i="6"/>
  <c r="AP12" i="6"/>
  <c r="CE43" i="2"/>
  <c r="AG70" i="6"/>
  <c r="BS60" i="6"/>
  <c r="CL97" i="6"/>
  <c r="CM41" i="2"/>
  <c r="CJ95" i="6"/>
  <c r="CQ4" i="6"/>
  <c r="AU53" i="6"/>
  <c r="F22" i="6"/>
  <c r="AK74" i="6"/>
  <c r="BN55" i="6"/>
  <c r="CG74" i="6"/>
  <c r="BS16" i="2"/>
  <c r="AT70" i="6"/>
  <c r="AR36" i="2"/>
  <c r="O8" i="6"/>
  <c r="CR79" i="6"/>
  <c r="S63" i="2"/>
  <c r="AR5" i="6"/>
  <c r="CE48" i="6"/>
  <c r="AY25" i="6"/>
  <c r="BZ60" i="6"/>
  <c r="BX50" i="6"/>
  <c r="Y39" i="6"/>
  <c r="CO37" i="6"/>
  <c r="BD81" i="6"/>
  <c r="BK38" i="6"/>
  <c r="AA3" i="2"/>
  <c r="BY5" i="6"/>
  <c r="CJ62" i="6"/>
  <c r="E10" i="6"/>
  <c r="CI28" i="2"/>
  <c r="CI62" i="6"/>
  <c r="BB33" i="2"/>
  <c r="X17" i="6"/>
  <c r="CE35" i="6"/>
  <c r="AL3" i="2"/>
  <c r="T100" i="6"/>
  <c r="CE16" i="6"/>
  <c r="H68" i="6"/>
  <c r="S71" i="2"/>
  <c r="R18" i="6"/>
  <c r="E13" i="6"/>
  <c r="BI68" i="6"/>
  <c r="R46" i="6"/>
  <c r="BV13" i="6"/>
  <c r="AJ26" i="6"/>
  <c r="AM24" i="6"/>
  <c r="F29" i="6"/>
  <c r="BL64" i="6"/>
  <c r="U30" i="6"/>
  <c r="E90" i="6"/>
  <c r="AY20" i="2"/>
  <c r="I77" i="6"/>
  <c r="Q34" i="6"/>
  <c r="AN94" i="6"/>
  <c r="CH27" i="6"/>
  <c r="AV9" i="2"/>
  <c r="AJ37" i="2"/>
  <c r="D90" i="2"/>
  <c r="BE10" i="2"/>
  <c r="AQ82" i="2"/>
  <c r="AT70" i="2"/>
  <c r="BX73" i="2"/>
  <c r="Q21" i="2"/>
  <c r="AG60" i="6"/>
  <c r="BM39" i="6"/>
  <c r="AS72" i="6"/>
  <c r="CS13" i="2"/>
  <c r="R55" i="2"/>
  <c r="F30" i="2"/>
  <c r="Z36" i="6"/>
  <c r="L84" i="2"/>
  <c r="CH35" i="6"/>
  <c r="AJ72" i="6"/>
  <c r="AQ5" i="2"/>
  <c r="P64" i="6"/>
  <c r="BT55" i="6"/>
  <c r="BK13" i="6"/>
  <c r="G73" i="6"/>
  <c r="X70" i="6"/>
  <c r="V33" i="6"/>
  <c r="AO64" i="6"/>
  <c r="CG59" i="2"/>
  <c r="CL98" i="6"/>
  <c r="BV48" i="6"/>
  <c r="AK22" i="6"/>
  <c r="BW74" i="6"/>
  <c r="Q59" i="6"/>
  <c r="I82" i="6"/>
  <c r="G90" i="6"/>
  <c r="BW94" i="6"/>
  <c r="AS54" i="6"/>
  <c r="AE51" i="6"/>
  <c r="AZ43" i="6"/>
  <c r="T48" i="6"/>
  <c r="U18" i="6"/>
  <c r="AJ88" i="6"/>
  <c r="CJ61" i="2"/>
  <c r="BU53" i="6"/>
  <c r="AY93" i="2"/>
  <c r="CF100" i="2"/>
  <c r="AN64" i="6"/>
  <c r="CB68" i="6"/>
  <c r="BH50" i="6"/>
  <c r="AX20" i="6"/>
  <c r="CM84" i="6"/>
  <c r="U63" i="6"/>
  <c r="Y68" i="6"/>
  <c r="BT100" i="2"/>
  <c r="CP11" i="2"/>
  <c r="CS28" i="2"/>
  <c r="BS59" i="6"/>
  <c r="CH99" i="2"/>
  <c r="AQ53" i="6"/>
  <c r="R23" i="6"/>
  <c r="CQ81" i="6"/>
  <c r="AS28" i="2"/>
  <c r="Z90" i="6"/>
  <c r="AP37" i="6"/>
  <c r="Z97" i="6"/>
  <c r="W68" i="6"/>
  <c r="C29" i="2"/>
  <c r="BR79" i="6"/>
  <c r="CJ94" i="6"/>
  <c r="BZ23" i="2"/>
  <c r="CD10" i="2"/>
  <c r="BG25" i="6"/>
  <c r="BV41" i="6"/>
  <c r="BP25" i="6"/>
  <c r="AK15" i="6"/>
  <c r="AO76" i="6"/>
  <c r="X86" i="6"/>
  <c r="BC15" i="6"/>
  <c r="O51" i="6"/>
  <c r="X17" i="2"/>
  <c r="BO100" i="6"/>
  <c r="Q58" i="6"/>
  <c r="Y64" i="6"/>
  <c r="BH56" i="6"/>
  <c r="AI28" i="6"/>
  <c r="AZ41" i="6"/>
  <c r="CD25" i="6"/>
  <c r="AH62" i="6"/>
  <c r="CG68" i="6"/>
  <c r="U12" i="6"/>
  <c r="CJ87" i="6"/>
  <c r="CM25" i="6"/>
  <c r="AK55" i="6"/>
  <c r="BG18" i="6"/>
  <c r="BU94" i="6"/>
  <c r="AU8" i="2"/>
  <c r="AS55" i="6"/>
  <c r="CH4" i="2"/>
  <c r="AE97" i="6"/>
  <c r="BC37" i="6"/>
  <c r="AY12" i="6"/>
  <c r="BZ51" i="6"/>
  <c r="CG71" i="6"/>
  <c r="Z27" i="6"/>
  <c r="BT81" i="6"/>
  <c r="BZ14" i="6"/>
  <c r="CG37" i="6"/>
  <c r="E50" i="6"/>
  <c r="Y34" i="6"/>
  <c r="CG87" i="6"/>
  <c r="Q39" i="6"/>
  <c r="G14" i="6"/>
  <c r="AE16" i="6"/>
  <c r="AX8" i="2"/>
  <c r="CI84" i="6"/>
  <c r="AY4" i="6"/>
  <c r="AJ79" i="6"/>
  <c r="C62" i="6"/>
  <c r="K21" i="6"/>
  <c r="N60" i="6"/>
  <c r="AS57" i="6"/>
  <c r="BJ29" i="2"/>
  <c r="Z76" i="6"/>
  <c r="L37" i="6"/>
  <c r="CJ40" i="6"/>
  <c r="AH14" i="6"/>
  <c r="BY28" i="6"/>
  <c r="BP88" i="2"/>
  <c r="CD48" i="6"/>
  <c r="BM27" i="2"/>
  <c r="BS58" i="2"/>
  <c r="BT73" i="6"/>
  <c r="AX41" i="6"/>
  <c r="AQ81" i="6"/>
  <c r="AX3" i="6"/>
  <c r="BG30" i="6"/>
  <c r="AE55" i="6"/>
  <c r="V9" i="6"/>
  <c r="F32" i="2"/>
  <c r="BX12" i="6"/>
  <c r="V61" i="6"/>
  <c r="AN52" i="6"/>
  <c r="BT42" i="6"/>
  <c r="BB28" i="6"/>
  <c r="CE78" i="2"/>
  <c r="AF22" i="2"/>
  <c r="AN60" i="6"/>
  <c r="W67" i="2"/>
  <c r="Y16" i="6"/>
  <c r="BM74" i="6"/>
  <c r="BQ71" i="6"/>
  <c r="CL92" i="2"/>
  <c r="CK44" i="6"/>
  <c r="BQ67" i="6"/>
  <c r="BK90" i="6"/>
  <c r="BX57" i="6"/>
  <c r="N69" i="6"/>
  <c r="CA93" i="6"/>
  <c r="AP97" i="6"/>
  <c r="AV46" i="6"/>
  <c r="BZ62" i="6"/>
  <c r="AY37" i="2"/>
  <c r="CH10" i="2"/>
  <c r="U47" i="6"/>
  <c r="BG56" i="6"/>
  <c r="AX65" i="2"/>
  <c r="AG4" i="2"/>
  <c r="AG63" i="6"/>
  <c r="BC6" i="2"/>
  <c r="AF66" i="6"/>
  <c r="CT55" i="2"/>
  <c r="CO86" i="6"/>
  <c r="CG27" i="6"/>
  <c r="BK79" i="6"/>
  <c r="W27" i="2"/>
  <c r="BQ20" i="6"/>
  <c r="D80" i="6"/>
  <c r="AB58" i="2"/>
  <c r="F14" i="6"/>
  <c r="BJ49" i="6"/>
  <c r="CA6" i="6"/>
  <c r="BT24" i="6"/>
  <c r="T14" i="2"/>
  <c r="AN35" i="6"/>
  <c r="BK62" i="6"/>
  <c r="BN28" i="6"/>
  <c r="BS39" i="6"/>
  <c r="AQ86" i="6"/>
  <c r="R71" i="2"/>
  <c r="BP74" i="6"/>
  <c r="AU30" i="6"/>
  <c r="CM67" i="6"/>
  <c r="AE80" i="6"/>
  <c r="CL67" i="2"/>
  <c r="AS49" i="6"/>
  <c r="BJ32" i="6"/>
  <c r="CL27" i="6"/>
  <c r="CK39" i="6"/>
  <c r="I98" i="6"/>
  <c r="BK10" i="6"/>
  <c r="CD86" i="6"/>
  <c r="O39" i="6"/>
  <c r="Q38" i="6"/>
  <c r="BD57" i="6"/>
  <c r="AV23" i="6"/>
  <c r="G83" i="6"/>
  <c r="AX34" i="6"/>
  <c r="BJ65" i="2"/>
  <c r="AW93" i="6"/>
  <c r="BG42" i="6"/>
  <c r="X93" i="6"/>
  <c r="BZ56" i="6"/>
  <c r="E79" i="2"/>
  <c r="CR58" i="2"/>
  <c r="R22" i="6"/>
  <c r="AL61" i="6"/>
  <c r="AA100" i="6"/>
  <c r="Q12" i="2"/>
  <c r="BI21" i="2"/>
  <c r="AL89" i="6"/>
  <c r="BB31" i="6"/>
  <c r="AH28" i="6"/>
  <c r="BB6" i="2"/>
  <c r="AD85" i="6"/>
  <c r="CS62" i="2"/>
  <c r="BK7" i="6"/>
  <c r="H98" i="6"/>
  <c r="M43" i="6"/>
  <c r="CB31" i="6"/>
  <c r="AH32" i="6"/>
  <c r="AJ100" i="6"/>
  <c r="CR70" i="6"/>
  <c r="H34" i="6"/>
  <c r="CH100" i="6"/>
  <c r="BX73" i="6"/>
  <c r="AX60" i="6"/>
  <c r="X23" i="6"/>
  <c r="J46" i="6"/>
  <c r="AN82" i="6"/>
  <c r="BR56" i="6"/>
  <c r="CP89" i="6"/>
  <c r="CO33" i="6"/>
  <c r="S72" i="6"/>
  <c r="BU55" i="6"/>
  <c r="V35" i="6"/>
  <c r="J99" i="6"/>
  <c r="CJ15" i="2"/>
  <c r="AT16" i="6"/>
  <c r="F82" i="6"/>
  <c r="CH83" i="2"/>
  <c r="X60" i="6"/>
  <c r="CG71" i="2"/>
  <c r="CG6" i="2"/>
  <c r="BH66" i="2"/>
  <c r="BK64" i="6"/>
  <c r="BZ61" i="6"/>
  <c r="AE99" i="2"/>
  <c r="AA60" i="6"/>
  <c r="AU71" i="6"/>
  <c r="AZ6" i="2"/>
  <c r="G67" i="2"/>
  <c r="X73" i="6"/>
  <c r="P4" i="2"/>
  <c r="CH89" i="6"/>
  <c r="Q97" i="6"/>
  <c r="F57" i="6"/>
  <c r="AP52" i="2"/>
  <c r="E86" i="6"/>
  <c r="BR15" i="6"/>
  <c r="CI17" i="2"/>
  <c r="AS14" i="2"/>
  <c r="AC9" i="2"/>
  <c r="BX64" i="2"/>
  <c r="CB24" i="2"/>
  <c r="AJ95" i="6"/>
  <c r="AM16" i="6"/>
  <c r="CR16" i="6"/>
  <c r="V30" i="6"/>
  <c r="CG7" i="6"/>
  <c r="AC20" i="6"/>
  <c r="BC52" i="6"/>
  <c r="BS27" i="6"/>
  <c r="E31" i="6"/>
  <c r="BH80" i="6"/>
  <c r="AP89" i="2"/>
  <c r="BB2" i="6"/>
  <c r="BE91" i="6"/>
  <c r="BW37" i="6"/>
  <c r="AX14" i="6"/>
  <c r="V54" i="6"/>
  <c r="AF12" i="6"/>
  <c r="CB62" i="6"/>
  <c r="O64" i="6"/>
  <c r="CQ79" i="2"/>
  <c r="BX59" i="2"/>
  <c r="BV100" i="6"/>
  <c r="CI88" i="6"/>
  <c r="C39" i="6"/>
  <c r="AJ77" i="6"/>
  <c r="BC45" i="6"/>
  <c r="AW35" i="6"/>
  <c r="AB36" i="6"/>
  <c r="BX85" i="6"/>
  <c r="Q35" i="6"/>
  <c r="BH68" i="6"/>
  <c r="BP79" i="6"/>
  <c r="BF5" i="6"/>
  <c r="AL100" i="6"/>
  <c r="AB86" i="6"/>
  <c r="AN80" i="6"/>
  <c r="BP7" i="2"/>
  <c r="F41" i="6"/>
  <c r="H18" i="6"/>
  <c r="BG89" i="6"/>
  <c r="BM41" i="6"/>
  <c r="M15" i="6"/>
  <c r="Y37" i="6"/>
  <c r="T42" i="6"/>
  <c r="BU28" i="6"/>
  <c r="AW62" i="6"/>
  <c r="BR66" i="6"/>
  <c r="AM36" i="2"/>
  <c r="BD69" i="2"/>
  <c r="I51" i="6"/>
  <c r="CR99" i="6"/>
  <c r="CH56" i="6"/>
  <c r="BY26" i="6"/>
  <c r="BO16" i="6"/>
  <c r="BM55" i="6"/>
  <c r="CC65" i="6"/>
  <c r="AY71" i="2"/>
  <c r="CM49" i="2"/>
  <c r="BU90" i="6"/>
  <c r="E66" i="6"/>
  <c r="P38" i="6"/>
  <c r="BG39" i="2"/>
  <c r="Z84" i="6"/>
  <c r="CJ30" i="6"/>
  <c r="AR28" i="6"/>
  <c r="CJ55" i="6"/>
  <c r="CT73" i="2"/>
  <c r="CP33" i="2"/>
  <c r="CM10" i="2"/>
  <c r="W38" i="6"/>
  <c r="AY68" i="6"/>
  <c r="CA9" i="6"/>
  <c r="AS50" i="6"/>
  <c r="CI7" i="2"/>
  <c r="AV83" i="6"/>
  <c r="CC27" i="6"/>
  <c r="X28" i="6"/>
  <c r="AN73" i="6"/>
  <c r="CM8" i="6"/>
  <c r="S58" i="6"/>
  <c r="BV56" i="6"/>
  <c r="CB61" i="6"/>
  <c r="BC61" i="6"/>
  <c r="CA31" i="6"/>
  <c r="V38" i="6"/>
  <c r="AZ49" i="6"/>
  <c r="BC59" i="6"/>
  <c r="AS23" i="6"/>
  <c r="AS79" i="6"/>
  <c r="E29" i="6"/>
  <c r="AN3" i="2"/>
  <c r="C40" i="6"/>
  <c r="Y84" i="6"/>
  <c r="BK50" i="6"/>
  <c r="CG80" i="6"/>
  <c r="BK18" i="6"/>
  <c r="BJ95" i="2"/>
  <c r="BJ87" i="6"/>
  <c r="BT66" i="6"/>
  <c r="CD37" i="6"/>
  <c r="AF77" i="6"/>
  <c r="BP50" i="6"/>
  <c r="CM13" i="2"/>
  <c r="AO21" i="6"/>
  <c r="BR57" i="6"/>
  <c r="AC96" i="2"/>
  <c r="AS80" i="6"/>
  <c r="BU82" i="2"/>
  <c r="CT11" i="2"/>
  <c r="AW49" i="6"/>
  <c r="AK11" i="2"/>
  <c r="CG99" i="6"/>
  <c r="G100" i="6"/>
  <c r="D59" i="2"/>
  <c r="S39" i="6"/>
  <c r="CL66" i="6"/>
  <c r="F86" i="6"/>
  <c r="BY87" i="6"/>
  <c r="BN8" i="2"/>
  <c r="BM41" i="2"/>
  <c r="CB97" i="6"/>
  <c r="I45" i="2"/>
  <c r="X34" i="6"/>
  <c r="V5" i="6"/>
  <c r="AE69" i="6"/>
  <c r="T56" i="6"/>
  <c r="AR12" i="2"/>
  <c r="BY97" i="6"/>
  <c r="AP14" i="6"/>
  <c r="CG51" i="6"/>
  <c r="BI99" i="6"/>
  <c r="CI31" i="2"/>
  <c r="CH85" i="6"/>
  <c r="BA98" i="6"/>
  <c r="W23" i="2"/>
  <c r="CQ80" i="6"/>
  <c r="AB100" i="6"/>
  <c r="CL24" i="2"/>
  <c r="CC6" i="6"/>
  <c r="BP99" i="2"/>
  <c r="AP8" i="6"/>
  <c r="U27" i="2"/>
  <c r="AN55" i="6"/>
  <c r="BU7" i="2"/>
  <c r="AH59" i="6"/>
  <c r="BR97" i="6"/>
  <c r="BD67" i="6"/>
  <c r="BI95" i="6"/>
  <c r="CJ2" i="2"/>
  <c r="W85" i="6"/>
  <c r="S27" i="2"/>
  <c r="AS90" i="6"/>
  <c r="BE67" i="2"/>
  <c r="CQ17" i="6"/>
  <c r="CL57" i="6"/>
  <c r="BK41" i="6"/>
  <c r="AH6" i="2"/>
  <c r="BC84" i="6"/>
  <c r="X57" i="2"/>
  <c r="E53" i="6"/>
  <c r="BU20" i="6"/>
  <c r="CQ8" i="2"/>
  <c r="CI30" i="6"/>
  <c r="BP32" i="6"/>
  <c r="CD95" i="6"/>
  <c r="CJ93" i="6"/>
  <c r="BK8" i="2"/>
  <c r="AJ18" i="2"/>
  <c r="K20" i="2"/>
  <c r="O30" i="2"/>
  <c r="AZ63" i="6"/>
  <c r="BR72" i="6"/>
  <c r="AA57" i="2"/>
  <c r="AM8" i="6"/>
  <c r="AU22" i="6"/>
  <c r="AA27" i="6"/>
  <c r="CJ79" i="2"/>
  <c r="CM49" i="6"/>
  <c r="J3" i="6"/>
  <c r="AX15" i="6"/>
  <c r="BI10" i="6"/>
  <c r="CE87" i="6"/>
  <c r="AT56" i="6"/>
  <c r="BH72" i="6"/>
  <c r="AL35" i="6"/>
  <c r="Q66" i="6"/>
  <c r="P94" i="6"/>
  <c r="AU16" i="6"/>
  <c r="CI78" i="6"/>
  <c r="BU56" i="6"/>
  <c r="BC22" i="6"/>
  <c r="CL82" i="6"/>
  <c r="R37" i="6"/>
  <c r="BT67" i="6"/>
  <c r="AF72" i="6"/>
  <c r="H36" i="6"/>
  <c r="AF31" i="6"/>
  <c r="AL6" i="6"/>
  <c r="CH15" i="6"/>
  <c r="AG61" i="6"/>
  <c r="S9" i="2"/>
  <c r="BM43" i="2"/>
  <c r="I95" i="6"/>
  <c r="BR27" i="6"/>
  <c r="BC6" i="6"/>
  <c r="U78" i="6"/>
  <c r="AI25" i="6"/>
  <c r="BD48" i="6"/>
  <c r="BP89" i="6"/>
  <c r="AT66" i="6"/>
  <c r="CR45" i="6"/>
  <c r="AV45" i="6"/>
  <c r="Y44" i="6"/>
  <c r="BD51" i="6"/>
  <c r="CN49" i="6"/>
  <c r="AU41" i="6"/>
  <c r="CQ45" i="6"/>
  <c r="CH79" i="6"/>
  <c r="CQ57" i="2"/>
  <c r="CK76" i="6"/>
  <c r="BF40" i="2"/>
  <c r="BS71" i="6"/>
  <c r="K79" i="6"/>
  <c r="BP66" i="2"/>
  <c r="BQ18" i="6"/>
  <c r="CP37" i="6"/>
  <c r="CA7" i="2"/>
  <c r="P51" i="2"/>
  <c r="BO15" i="6"/>
  <c r="U26" i="6"/>
  <c r="S23" i="6"/>
  <c r="CB99" i="6"/>
  <c r="AE17" i="6"/>
  <c r="BA45" i="6"/>
  <c r="CF42" i="6"/>
  <c r="BO69" i="6"/>
  <c r="CG22" i="6"/>
  <c r="CQ42" i="6"/>
  <c r="BY85" i="6"/>
  <c r="CP78" i="6"/>
  <c r="BX92" i="6"/>
  <c r="AT41" i="6"/>
  <c r="CM24" i="6"/>
  <c r="CL23" i="6"/>
  <c r="CN47" i="6"/>
  <c r="CL70" i="6"/>
  <c r="J55" i="6"/>
  <c r="BB10" i="2"/>
  <c r="CP41" i="6"/>
  <c r="D8" i="6"/>
  <c r="W63" i="6"/>
  <c r="CC30" i="6"/>
  <c r="AZ43" i="2"/>
  <c r="BL70" i="6"/>
  <c r="X69" i="6"/>
  <c r="AR27" i="2"/>
  <c r="CJ3" i="2"/>
  <c r="BI19" i="6"/>
  <c r="BH82" i="2"/>
  <c r="F37" i="6"/>
  <c r="CA78" i="6"/>
  <c r="BK40" i="2"/>
  <c r="BV45" i="6"/>
  <c r="BM94" i="6"/>
  <c r="AC56" i="6"/>
  <c r="BZ7" i="6"/>
  <c r="AM22" i="2"/>
  <c r="CM56" i="6"/>
  <c r="BA56" i="6"/>
  <c r="AR27" i="6"/>
  <c r="BI16" i="6"/>
  <c r="H96" i="6"/>
  <c r="W44" i="6"/>
  <c r="BO2" i="6"/>
  <c r="BZ91" i="6"/>
  <c r="BQ12" i="2"/>
  <c r="L44" i="6"/>
  <c r="BB85" i="6"/>
  <c r="BQ92" i="2"/>
  <c r="CH53" i="2"/>
  <c r="CG19" i="6"/>
  <c r="BT79" i="6"/>
  <c r="CR51" i="6"/>
  <c r="AI80" i="6"/>
  <c r="BA64" i="6"/>
  <c r="AB34" i="6"/>
  <c r="CD20" i="2"/>
  <c r="S3" i="2"/>
  <c r="BP43" i="6"/>
  <c r="CK65" i="2"/>
  <c r="N67" i="6"/>
  <c r="E64" i="6"/>
  <c r="AN9" i="2"/>
  <c r="AL26" i="6"/>
  <c r="CJ61" i="6"/>
  <c r="BO13" i="6"/>
  <c r="Q65" i="6"/>
  <c r="BX88" i="6"/>
  <c r="CQ55" i="2"/>
  <c r="N22" i="6"/>
  <c r="CD39" i="2"/>
  <c r="BC3" i="2"/>
  <c r="BW38" i="6"/>
  <c r="CB98" i="6"/>
  <c r="AS76" i="2"/>
  <c r="CO79" i="6"/>
  <c r="N52" i="6"/>
  <c r="CF4" i="2"/>
  <c r="BR46" i="6"/>
  <c r="AB64" i="6"/>
  <c r="AC2" i="2"/>
  <c r="BS91" i="6"/>
  <c r="CE41" i="6"/>
  <c r="AL96" i="6"/>
  <c r="BR99" i="6"/>
  <c r="E57" i="2"/>
  <c r="O92" i="6"/>
  <c r="BJ90" i="6"/>
  <c r="AB70" i="6"/>
  <c r="Z67" i="6"/>
  <c r="AQ92" i="6"/>
  <c r="AO12" i="2"/>
  <c r="CL39" i="6"/>
  <c r="AV12" i="6"/>
  <c r="BU63" i="6"/>
  <c r="U71" i="6"/>
  <c r="AS52" i="6"/>
  <c r="BS9" i="6"/>
  <c r="T8" i="6"/>
  <c r="CB66" i="6"/>
  <c r="BH8" i="6"/>
  <c r="BM24" i="6"/>
  <c r="F52" i="6"/>
  <c r="CB19" i="2"/>
  <c r="R50" i="6"/>
  <c r="AL30" i="6"/>
  <c r="S46" i="6"/>
  <c r="BN26" i="6"/>
  <c r="BZ75" i="6"/>
  <c r="BR38" i="6"/>
  <c r="BK36" i="6"/>
  <c r="V71" i="6"/>
  <c r="CD67" i="6"/>
  <c r="M12" i="2"/>
  <c r="AM70" i="6"/>
  <c r="BE43" i="6"/>
  <c r="V59" i="6"/>
  <c r="AI21" i="6"/>
  <c r="BY53" i="6"/>
  <c r="AV81" i="6"/>
  <c r="CI21" i="6"/>
  <c r="AL68" i="2"/>
  <c r="CP6" i="6"/>
  <c r="AV53" i="6"/>
  <c r="BG26" i="6"/>
  <c r="CG55" i="6"/>
  <c r="U23" i="6"/>
  <c r="BG9" i="6"/>
  <c r="AL98" i="6"/>
  <c r="Q30" i="6"/>
  <c r="CO50" i="6"/>
  <c r="T45" i="6"/>
  <c r="AT51" i="6"/>
  <c r="H33" i="6"/>
  <c r="AY55" i="6"/>
  <c r="AR75" i="6"/>
  <c r="AV80" i="6"/>
  <c r="AM47" i="6"/>
  <c r="D90" i="6"/>
  <c r="BB59" i="6"/>
  <c r="L31" i="6"/>
  <c r="CK82" i="6"/>
  <c r="AO96" i="6"/>
  <c r="CH9" i="6"/>
  <c r="M77" i="6"/>
  <c r="CB40" i="6"/>
  <c r="AY19" i="6"/>
  <c r="BZ25" i="6"/>
  <c r="BX16" i="6"/>
  <c r="I63" i="2"/>
  <c r="AK54" i="6"/>
  <c r="AW82" i="6"/>
  <c r="BX89" i="2"/>
  <c r="I5" i="6"/>
  <c r="Z69" i="6"/>
  <c r="R94" i="6"/>
  <c r="T30" i="6"/>
  <c r="AV28" i="6"/>
  <c r="CG24" i="6"/>
  <c r="E60" i="6"/>
  <c r="AQ77" i="6"/>
  <c r="BF8" i="2"/>
  <c r="AJ58" i="6"/>
  <c r="AI24" i="6"/>
  <c r="AZ60" i="2"/>
  <c r="AG100" i="6"/>
  <c r="CT83" i="2"/>
  <c r="CC13" i="2"/>
  <c r="AW89" i="6"/>
  <c r="CH62" i="2"/>
  <c r="CQ6" i="6"/>
  <c r="BZ31" i="2"/>
  <c r="AC74" i="2"/>
  <c r="CC51" i="6"/>
  <c r="Y5" i="6"/>
  <c r="CM18" i="6"/>
  <c r="AZ86" i="6"/>
  <c r="AN92" i="6"/>
  <c r="R82" i="6"/>
  <c r="CN9" i="6"/>
  <c r="CC67" i="6"/>
  <c r="C54" i="6"/>
  <c r="BZ50" i="6"/>
  <c r="CN37" i="6"/>
  <c r="CC38" i="6"/>
  <c r="AF56" i="6"/>
  <c r="BS25" i="6"/>
  <c r="M9" i="6"/>
  <c r="AR29" i="6"/>
  <c r="BF88" i="6"/>
  <c r="CD13" i="6"/>
  <c r="AL46" i="2"/>
  <c r="V37" i="6"/>
  <c r="CF47" i="6"/>
  <c r="CR61" i="6"/>
  <c r="BC77" i="6"/>
  <c r="N32" i="6"/>
  <c r="AO14" i="6"/>
  <c r="L42" i="2"/>
  <c r="CH63" i="6"/>
  <c r="E71" i="2"/>
  <c r="BI58" i="2"/>
  <c r="BO78" i="2"/>
  <c r="BI50" i="6"/>
  <c r="BL90" i="6"/>
  <c r="AT42" i="6"/>
  <c r="CH22" i="6"/>
  <c r="T72" i="6"/>
  <c r="CI23" i="2"/>
  <c r="BC29" i="2"/>
  <c r="BA57" i="6"/>
  <c r="AN10" i="2"/>
  <c r="CI4" i="2"/>
  <c r="BU45" i="6"/>
  <c r="CG36" i="6"/>
  <c r="AH27" i="6"/>
  <c r="BW28" i="6"/>
  <c r="AJ5" i="2"/>
  <c r="AL97" i="6"/>
  <c r="AI20" i="2"/>
  <c r="CH52" i="6"/>
  <c r="AY5" i="6"/>
  <c r="M91" i="6"/>
  <c r="AT13" i="2"/>
  <c r="U3" i="6"/>
  <c r="AN31" i="6"/>
  <c r="AI85" i="2"/>
  <c r="CP34" i="6"/>
  <c r="I34" i="6"/>
  <c r="BJ73" i="2"/>
  <c r="L97" i="6"/>
  <c r="AI96" i="6"/>
  <c r="G86" i="6"/>
  <c r="AE27" i="2"/>
  <c r="AS39" i="6"/>
  <c r="CR57" i="6"/>
  <c r="G40" i="6"/>
  <c r="AU27" i="2"/>
  <c r="BP41" i="6"/>
  <c r="CN68" i="6"/>
  <c r="P53" i="6"/>
  <c r="O31" i="6"/>
  <c r="BV20" i="6"/>
  <c r="BU67" i="6"/>
  <c r="Y27" i="6"/>
  <c r="CD15" i="6"/>
  <c r="V98" i="6"/>
  <c r="BB48" i="6"/>
  <c r="BC63" i="6"/>
  <c r="BW15" i="2"/>
  <c r="BP80" i="6"/>
  <c r="BX62" i="6"/>
  <c r="S30" i="6"/>
  <c r="AE59" i="6"/>
  <c r="AO31" i="6"/>
  <c r="AV36" i="6"/>
  <c r="CQ57" i="6"/>
  <c r="BP37" i="6"/>
  <c r="F54" i="6"/>
  <c r="BB60" i="6"/>
  <c r="AW61" i="6"/>
  <c r="AO40" i="6"/>
  <c r="BN36" i="6"/>
  <c r="AX7" i="6"/>
  <c r="BB4" i="6"/>
  <c r="BH32" i="6"/>
  <c r="AY52" i="2"/>
  <c r="CK81" i="6"/>
  <c r="CP92" i="2"/>
  <c r="E43" i="6"/>
  <c r="L94" i="6"/>
  <c r="O12" i="6"/>
  <c r="AC54" i="6"/>
  <c r="CB78" i="6"/>
  <c r="AX6" i="6"/>
  <c r="J64" i="6"/>
  <c r="CP16" i="2"/>
  <c r="AC30" i="6"/>
  <c r="AU91" i="6"/>
  <c r="BS55" i="2"/>
  <c r="BK49" i="6"/>
  <c r="BT95" i="6"/>
  <c r="F28" i="6"/>
  <c r="T77" i="6"/>
  <c r="CJ54" i="6"/>
  <c r="BL92" i="6"/>
  <c r="AU25" i="6"/>
  <c r="AU90" i="2"/>
  <c r="BR68" i="6"/>
  <c r="F6" i="6"/>
  <c r="CP36" i="6"/>
  <c r="BZ11" i="2"/>
  <c r="CF73" i="6"/>
  <c r="I92" i="6"/>
  <c r="P21" i="2"/>
  <c r="BO12" i="6"/>
  <c r="F45" i="6"/>
  <c r="CJ26" i="6"/>
  <c r="BC66" i="2"/>
  <c r="AI94" i="6"/>
  <c r="CF24" i="6"/>
  <c r="BU59" i="6"/>
  <c r="BJ68" i="6"/>
  <c r="CG68" i="2"/>
  <c r="CE7" i="6"/>
  <c r="BJ43" i="6"/>
  <c r="AI60" i="6"/>
  <c r="Y63" i="6"/>
  <c r="CJ17" i="2"/>
  <c r="AE18" i="6"/>
  <c r="BA40" i="6"/>
  <c r="CH65" i="6"/>
  <c r="W78" i="6"/>
  <c r="BF71" i="6"/>
  <c r="AK72" i="6"/>
  <c r="BI55" i="6"/>
  <c r="AP44" i="2"/>
  <c r="BV9" i="2"/>
  <c r="CA43" i="6"/>
  <c r="CO77" i="6"/>
  <c r="AF63" i="2"/>
  <c r="CG29" i="6"/>
  <c r="BW19" i="6"/>
  <c r="J62" i="6"/>
  <c r="AL61" i="2"/>
  <c r="AG19" i="6"/>
  <c r="BL12" i="6"/>
  <c r="G52" i="6"/>
  <c r="CP51" i="2"/>
  <c r="BX76" i="6"/>
  <c r="CL53" i="2"/>
  <c r="BE99" i="2"/>
  <c r="BR85" i="2"/>
  <c r="BA72" i="6"/>
  <c r="BW10" i="6"/>
  <c r="C28" i="6"/>
  <c r="BO35" i="6"/>
  <c r="AU81" i="6"/>
  <c r="K59" i="6"/>
  <c r="AQ57" i="6"/>
  <c r="AD67" i="2"/>
  <c r="CE65" i="6"/>
  <c r="BK59" i="6"/>
  <c r="AR60" i="6"/>
  <c r="AE93" i="6"/>
  <c r="CM29" i="6"/>
  <c r="X30" i="6"/>
  <c r="AZ38" i="6"/>
  <c r="BT64" i="6"/>
  <c r="AM70" i="2"/>
  <c r="AC87" i="6"/>
  <c r="U59" i="2"/>
  <c r="CT9" i="2"/>
  <c r="BN71" i="6"/>
  <c r="BM97" i="2"/>
  <c r="AJ32" i="6"/>
  <c r="CA91" i="2"/>
  <c r="AI25" i="2"/>
  <c r="AZ50" i="6"/>
  <c r="Y76" i="6"/>
  <c r="K17" i="6"/>
  <c r="AF65" i="6"/>
  <c r="BW26" i="6"/>
  <c r="S11" i="6"/>
  <c r="Y11" i="6"/>
  <c r="G9" i="6"/>
  <c r="CC44" i="6"/>
  <c r="X10" i="6"/>
  <c r="BB54" i="6"/>
  <c r="CS32" i="2"/>
  <c r="BJ48" i="6"/>
  <c r="S85" i="6"/>
  <c r="CK46" i="6"/>
  <c r="AG72" i="6"/>
  <c r="AB54" i="6"/>
  <c r="BH64" i="6"/>
  <c r="AW94" i="2"/>
  <c r="D93" i="6"/>
  <c r="CH98" i="6"/>
  <c r="BM15" i="2"/>
  <c r="AQ25" i="6"/>
  <c r="BQ90" i="6"/>
  <c r="AT96" i="2"/>
  <c r="CM39" i="2"/>
  <c r="AY45" i="2"/>
  <c r="BL9" i="6"/>
  <c r="J88" i="6"/>
  <c r="BR80" i="6"/>
  <c r="BV66" i="6"/>
  <c r="BG37" i="6"/>
  <c r="W40" i="2"/>
  <c r="BY37" i="6"/>
  <c r="AE20" i="6"/>
  <c r="CK11" i="2"/>
  <c r="CQ28" i="6"/>
  <c r="CG39" i="6"/>
  <c r="BA43" i="6"/>
  <c r="V16" i="6"/>
  <c r="CI21" i="2"/>
  <c r="BC93" i="6"/>
  <c r="CD73" i="6"/>
  <c r="S66" i="6"/>
  <c r="BP6" i="6"/>
  <c r="BA32" i="2"/>
  <c r="BV10" i="6"/>
  <c r="M11" i="6"/>
  <c r="AU48" i="6"/>
  <c r="CR56" i="6"/>
  <c r="CQ29" i="6"/>
  <c r="AZ64" i="6"/>
  <c r="BW58" i="6"/>
  <c r="BO86" i="6"/>
  <c r="BZ27" i="6"/>
  <c r="BR22" i="6"/>
  <c r="CM94" i="6"/>
  <c r="CC36" i="6"/>
  <c r="X6" i="6"/>
  <c r="CE98" i="6"/>
  <c r="I40" i="6"/>
  <c r="CE69" i="6"/>
  <c r="AD41" i="6"/>
  <c r="G31" i="6"/>
  <c r="V58" i="6"/>
  <c r="G80" i="6"/>
  <c r="CA52" i="6"/>
  <c r="CC39" i="6"/>
  <c r="BR4" i="6"/>
  <c r="BH60" i="6"/>
  <c r="AV55" i="6"/>
  <c r="BB18" i="6"/>
  <c r="CN25" i="2"/>
  <c r="CD23" i="6"/>
  <c r="BN58" i="6"/>
  <c r="CM65" i="6"/>
  <c r="BB39" i="6"/>
  <c r="CF38" i="6"/>
  <c r="BK30" i="6"/>
  <c r="AJ46" i="6"/>
  <c r="BF57" i="6"/>
  <c r="BL26" i="6"/>
  <c r="BU44" i="6"/>
  <c r="M88" i="6"/>
  <c r="CE89" i="6"/>
  <c r="CS78" i="2"/>
  <c r="CG17" i="2"/>
  <c r="AP81" i="6"/>
  <c r="AX76" i="6"/>
  <c r="CA13" i="2"/>
  <c r="BS24" i="6"/>
  <c r="K52" i="6"/>
  <c r="CB54" i="6"/>
  <c r="BW68" i="6"/>
  <c r="CJ81" i="6"/>
  <c r="BU45" i="2"/>
  <c r="CA48" i="6"/>
  <c r="R21" i="2"/>
  <c r="CD68" i="6"/>
  <c r="AE4" i="2"/>
  <c r="AL7" i="2"/>
  <c r="AE91" i="2"/>
  <c r="P30" i="6"/>
  <c r="BR77" i="6"/>
  <c r="AT73" i="6"/>
  <c r="AU74" i="2"/>
  <c r="AB19" i="6"/>
  <c r="BP33" i="6"/>
  <c r="AR96" i="6"/>
  <c r="BA87" i="6"/>
  <c r="BI92" i="6"/>
  <c r="AR71" i="6"/>
  <c r="J45" i="6"/>
  <c r="BC36" i="6"/>
  <c r="BO3" i="2"/>
  <c r="BL89" i="6"/>
  <c r="U49" i="6"/>
  <c r="AT10" i="2"/>
  <c r="M60" i="2"/>
  <c r="BX71" i="6"/>
  <c r="C69" i="6"/>
  <c r="AM13" i="6"/>
  <c r="BF97" i="6"/>
  <c r="BW66" i="6"/>
  <c r="W69" i="6"/>
  <c r="BS89" i="6"/>
  <c r="Y22" i="6"/>
  <c r="BQ50" i="6"/>
  <c r="C12" i="6"/>
  <c r="Y12" i="6"/>
  <c r="AK56" i="6"/>
  <c r="V63" i="6"/>
  <c r="AX33" i="6"/>
  <c r="G27" i="6"/>
  <c r="AZ24" i="2"/>
  <c r="S23" i="2"/>
  <c r="Z10" i="2"/>
  <c r="CG95" i="2"/>
  <c r="CB93" i="2"/>
  <c r="H14" i="6"/>
  <c r="CQ12" i="6"/>
  <c r="N44" i="6"/>
  <c r="CK75" i="6"/>
  <c r="M33" i="6"/>
  <c r="BO52" i="6"/>
  <c r="BV97" i="6"/>
  <c r="CB26" i="6"/>
  <c r="BZ55" i="6"/>
  <c r="AI57" i="6"/>
  <c r="AN20" i="6"/>
  <c r="AT34" i="6"/>
  <c r="BM66" i="6"/>
  <c r="CR20" i="6"/>
  <c r="BI9" i="2"/>
  <c r="CC34" i="6"/>
  <c r="N17" i="6"/>
  <c r="AL5" i="6"/>
  <c r="BB73" i="2"/>
  <c r="AE76" i="6"/>
  <c r="AY11" i="2"/>
  <c r="S77" i="6"/>
  <c r="AJ28" i="6"/>
  <c r="AU93" i="2"/>
  <c r="AE26" i="6"/>
  <c r="AB67" i="6"/>
  <c r="V22" i="6"/>
  <c r="CM59" i="6"/>
  <c r="AI37" i="6"/>
  <c r="AC94" i="6"/>
  <c r="AL80" i="6"/>
  <c r="CL52" i="6"/>
  <c r="AM38" i="6"/>
  <c r="BV40" i="2"/>
  <c r="AE61" i="6"/>
  <c r="BI43" i="6"/>
  <c r="N80" i="6"/>
  <c r="AE39" i="6"/>
  <c r="BV27" i="2"/>
  <c r="M23" i="6"/>
  <c r="BQ26" i="2"/>
  <c r="Z44" i="6"/>
  <c r="BX11" i="6"/>
  <c r="BU43" i="6"/>
  <c r="BV22" i="6"/>
  <c r="BK85" i="6"/>
  <c r="U66" i="6"/>
  <c r="BR49" i="6"/>
  <c r="AT46" i="2"/>
  <c r="CD32" i="2"/>
  <c r="CP45" i="2"/>
  <c r="CL12" i="6"/>
  <c r="P39" i="6"/>
  <c r="BN65" i="6"/>
  <c r="BQ72" i="2"/>
  <c r="AO38" i="6"/>
  <c r="CH10" i="6"/>
  <c r="CJ73" i="6"/>
  <c r="AX55" i="6"/>
  <c r="AF40" i="6"/>
  <c r="V60" i="2"/>
  <c r="BY36" i="6"/>
  <c r="H63" i="6"/>
  <c r="P14" i="6"/>
  <c r="V36" i="6"/>
  <c r="BM18" i="6"/>
  <c r="CL46" i="6"/>
  <c r="CI41" i="6"/>
  <c r="AE91" i="6"/>
  <c r="G49" i="6"/>
  <c r="BX68" i="6"/>
  <c r="I44" i="6"/>
  <c r="CH40" i="6"/>
  <c r="BK61" i="6"/>
  <c r="CO48" i="6"/>
  <c r="W93" i="6"/>
  <c r="BW46" i="6"/>
  <c r="W98" i="2"/>
  <c r="BY7" i="6"/>
  <c r="CF91" i="6"/>
  <c r="G43" i="6"/>
  <c r="AY34" i="6"/>
  <c r="BR31" i="6"/>
  <c r="CL48" i="6"/>
  <c r="BX72" i="6"/>
  <c r="CM83" i="6"/>
  <c r="U19" i="2"/>
  <c r="P36" i="6"/>
  <c r="BX30" i="6"/>
  <c r="AY54" i="6"/>
  <c r="AH68" i="6"/>
  <c r="AW60" i="6"/>
  <c r="CG25" i="6"/>
  <c r="BX20" i="2"/>
  <c r="AH47" i="6"/>
  <c r="CC22" i="6"/>
  <c r="AC26" i="2"/>
  <c r="G78" i="6"/>
  <c r="BS83" i="6"/>
  <c r="BM32" i="6"/>
  <c r="D47" i="6"/>
  <c r="BC2" i="6"/>
  <c r="AD21" i="2"/>
  <c r="AB3" i="6"/>
  <c r="BD78" i="6"/>
  <c r="L51" i="6"/>
  <c r="CO17" i="6"/>
  <c r="BF29" i="2"/>
  <c r="CR23" i="6"/>
  <c r="AY46" i="6"/>
  <c r="BE30" i="6"/>
  <c r="G38" i="6"/>
  <c r="CA90" i="2"/>
  <c r="BP33" i="2"/>
  <c r="AS25" i="2"/>
  <c r="CD42" i="6"/>
  <c r="AL66" i="6"/>
  <c r="BS38" i="2"/>
  <c r="AY64" i="6"/>
  <c r="BE48" i="2"/>
  <c r="AS98" i="6"/>
  <c r="CF15" i="2"/>
  <c r="AD93" i="6"/>
  <c r="AO83" i="6"/>
  <c r="BC89" i="6"/>
  <c r="CI59" i="6"/>
  <c r="BN15" i="2"/>
  <c r="BS82" i="6"/>
  <c r="AQ58" i="6"/>
  <c r="J94" i="6"/>
  <c r="I46" i="6"/>
  <c r="BF28" i="2"/>
  <c r="G10" i="6"/>
  <c r="BX29" i="6"/>
  <c r="BC29" i="6"/>
  <c r="BR42" i="2"/>
  <c r="AI72" i="6"/>
  <c r="D42" i="6"/>
  <c r="U97" i="6"/>
  <c r="U55" i="6"/>
  <c r="F35" i="6"/>
  <c r="BA2" i="2"/>
  <c r="AD50" i="6"/>
  <c r="AZ51" i="2"/>
  <c r="AB72" i="6"/>
  <c r="CL72" i="6"/>
  <c r="BL68" i="2"/>
  <c r="D29" i="6"/>
  <c r="BQ20" i="2"/>
  <c r="AL18" i="6"/>
  <c r="CI3" i="6"/>
  <c r="CC5" i="2"/>
  <c r="CM36" i="2"/>
  <c r="U42" i="6"/>
  <c r="L74" i="6"/>
  <c r="AY33" i="2"/>
  <c r="BZ79" i="6"/>
  <c r="Y78" i="2"/>
  <c r="AS7" i="2"/>
  <c r="T44" i="6"/>
  <c r="BP30" i="6"/>
  <c r="BC70" i="6"/>
  <c r="CR65" i="6"/>
  <c r="AD74" i="6"/>
  <c r="I17" i="6"/>
  <c r="AJ6" i="6"/>
  <c r="AK42" i="6"/>
  <c r="AJ64" i="6"/>
  <c r="BV67" i="6"/>
  <c r="I29" i="6"/>
  <c r="AB96" i="6"/>
  <c r="K50" i="6"/>
  <c r="AM78" i="6"/>
  <c r="BY48" i="2"/>
  <c r="BJ62" i="6"/>
  <c r="BW40" i="6"/>
  <c r="BW67" i="6"/>
  <c r="BS95" i="2"/>
  <c r="W25" i="2"/>
  <c r="BB92" i="6"/>
  <c r="AM80" i="6"/>
  <c r="BH51" i="6"/>
  <c r="H56" i="6"/>
  <c r="BY2" i="6"/>
  <c r="CN100" i="6"/>
  <c r="H7" i="6"/>
  <c r="CH49" i="6"/>
  <c r="BS2" i="6"/>
  <c r="AW81" i="6"/>
  <c r="J47" i="6"/>
  <c r="BW43" i="6"/>
  <c r="K30" i="6"/>
  <c r="CN42" i="6"/>
  <c r="CM57" i="6"/>
  <c r="CJ36" i="6"/>
  <c r="F70" i="6"/>
  <c r="P49" i="6"/>
  <c r="CL76" i="6"/>
  <c r="AX49" i="6"/>
  <c r="BL71" i="6"/>
  <c r="BL18" i="6"/>
  <c r="BE60" i="6"/>
  <c r="T73" i="6"/>
  <c r="AO11" i="2"/>
  <c r="BL53" i="6"/>
  <c r="F36" i="6"/>
  <c r="BX44" i="6"/>
  <c r="BC41" i="6"/>
  <c r="BT41" i="6"/>
  <c r="BD2" i="2"/>
  <c r="BE53" i="6"/>
  <c r="AP89" i="6"/>
  <c r="AQ73" i="6"/>
  <c r="CD76" i="6"/>
  <c r="AA28" i="6"/>
  <c r="BB36" i="6"/>
  <c r="AT55" i="6"/>
  <c r="AP81" i="2"/>
  <c r="CE47" i="6"/>
  <c r="H10" i="6"/>
  <c r="I53" i="6"/>
  <c r="J57" i="2"/>
  <c r="T20" i="2"/>
  <c r="AM99" i="2"/>
  <c r="BK24" i="6"/>
  <c r="T34" i="6"/>
  <c r="BX42" i="6"/>
  <c r="CK7" i="2"/>
  <c r="AW90" i="6"/>
  <c r="Y65" i="6"/>
  <c r="Y49" i="6"/>
  <c r="CK89" i="6"/>
  <c r="CI47" i="6"/>
  <c r="BP38" i="6"/>
  <c r="BA79" i="6"/>
  <c r="F89" i="6"/>
  <c r="BI33" i="6"/>
  <c r="Y60" i="6"/>
  <c r="BQ44" i="6"/>
  <c r="AG84" i="6"/>
  <c r="CA91" i="6"/>
  <c r="BW32" i="6"/>
  <c r="J45" i="2"/>
  <c r="CH45" i="6"/>
  <c r="O29" i="2"/>
  <c r="E69" i="6"/>
  <c r="M87" i="6"/>
  <c r="BL62" i="6"/>
  <c r="CL29" i="6"/>
  <c r="BA80" i="2"/>
  <c r="BJ74" i="6"/>
  <c r="Y98" i="6"/>
  <c r="AJ90" i="6"/>
  <c r="G36" i="6"/>
  <c r="CH38" i="2"/>
  <c r="AO30" i="2"/>
  <c r="F78" i="6"/>
  <c r="S89" i="6"/>
  <c r="C34" i="6"/>
  <c r="BY52" i="6"/>
  <c r="AB25" i="6"/>
  <c r="AD9" i="6"/>
  <c r="CN65" i="6"/>
  <c r="BT62" i="6"/>
  <c r="BG51" i="6"/>
  <c r="D89" i="6"/>
  <c r="AC84" i="6"/>
  <c r="Z46" i="6"/>
  <c r="BP70" i="2"/>
  <c r="S55" i="6"/>
  <c r="AA2" i="6"/>
  <c r="CR66" i="6"/>
  <c r="AJ69" i="6"/>
  <c r="CB75" i="6"/>
  <c r="L46" i="6"/>
  <c r="AN21" i="2"/>
  <c r="BS88" i="2"/>
  <c r="AV27" i="6"/>
  <c r="BA77" i="2"/>
  <c r="BC64" i="6"/>
  <c r="BT87" i="6"/>
  <c r="AU88" i="6"/>
  <c r="CQ59" i="2"/>
  <c r="CE77" i="6"/>
  <c r="G88" i="6"/>
  <c r="F96" i="2"/>
  <c r="AJ17" i="6"/>
  <c r="M29" i="6"/>
  <c r="K31" i="6"/>
  <c r="BJ67" i="6"/>
  <c r="BJ66" i="6"/>
  <c r="L23" i="6"/>
  <c r="CQ39" i="6"/>
  <c r="H37" i="6"/>
  <c r="BE13" i="2"/>
  <c r="CJ39" i="6"/>
  <c r="BH54" i="6"/>
  <c r="H38" i="6"/>
  <c r="U48" i="6"/>
  <c r="BW80" i="6"/>
  <c r="BH84" i="6"/>
  <c r="R41" i="6"/>
  <c r="CJ72" i="6"/>
  <c r="I23" i="6"/>
  <c r="AF90" i="6"/>
  <c r="CJ38" i="6"/>
  <c r="AH22" i="2"/>
  <c r="S29" i="6"/>
  <c r="V69" i="2"/>
  <c r="BG65" i="2"/>
  <c r="AD17" i="6"/>
  <c r="BV52" i="6"/>
  <c r="CF22" i="6"/>
  <c r="CG82" i="6"/>
  <c r="F32" i="6"/>
  <c r="BC56" i="6"/>
  <c r="AO30" i="6"/>
  <c r="AO56" i="6"/>
  <c r="BZ5" i="6"/>
  <c r="AX22" i="6"/>
  <c r="CD35" i="6"/>
  <c r="AE85" i="6"/>
  <c r="AP92" i="6"/>
  <c r="AQ29" i="2"/>
  <c r="J18" i="6"/>
  <c r="E54" i="6"/>
  <c r="BA75" i="6"/>
  <c r="BB53" i="6"/>
  <c r="CS29" i="2"/>
  <c r="CE60" i="6"/>
  <c r="AO43" i="6"/>
  <c r="BB36" i="2"/>
  <c r="AO91" i="6"/>
  <c r="CK36" i="6"/>
  <c r="CI12" i="2"/>
  <c r="CM19" i="6"/>
  <c r="BG77" i="6"/>
  <c r="CP50" i="2"/>
  <c r="AQ36" i="6"/>
  <c r="U5" i="6"/>
  <c r="CB25" i="2"/>
  <c r="G61" i="6"/>
  <c r="BT49" i="6"/>
  <c r="BZ17" i="2"/>
  <c r="BW9" i="2"/>
  <c r="Q99" i="6"/>
  <c r="Q25" i="6"/>
  <c r="S54" i="6"/>
  <c r="S35" i="6"/>
  <c r="AA33" i="6"/>
  <c r="CR50" i="6"/>
  <c r="P87" i="6"/>
  <c r="BC19" i="6"/>
  <c r="AZ10" i="6"/>
  <c r="BS80" i="6"/>
  <c r="BE67" i="6"/>
  <c r="X61" i="6"/>
  <c r="D50" i="6"/>
  <c r="AP70" i="6"/>
  <c r="AF79" i="6"/>
  <c r="AG64" i="6"/>
  <c r="AF12" i="2"/>
  <c r="AQ79" i="6"/>
  <c r="AQ41" i="6"/>
  <c r="BG70" i="6"/>
  <c r="CD6" i="2"/>
  <c r="CF96" i="6"/>
  <c r="BX11" i="2"/>
  <c r="BH39" i="6"/>
  <c r="S25" i="2"/>
  <c r="AA54" i="6"/>
  <c r="AI27" i="6"/>
  <c r="AP11" i="2"/>
  <c r="CF57" i="6"/>
  <c r="BY59" i="6"/>
  <c r="AT29" i="6"/>
  <c r="S79" i="6"/>
  <c r="BD28" i="6"/>
  <c r="AY45" i="6"/>
  <c r="BG27" i="6"/>
  <c r="AN86" i="6"/>
  <c r="E49" i="6"/>
  <c r="AC22" i="2"/>
  <c r="E96" i="6"/>
  <c r="AA13" i="6"/>
  <c r="AD86" i="2"/>
  <c r="AB18" i="2"/>
  <c r="AV38" i="6"/>
  <c r="L38" i="6"/>
  <c r="T68" i="2"/>
  <c r="CQ38" i="6"/>
  <c r="AX2" i="2"/>
  <c r="BE17" i="2"/>
  <c r="BD53" i="6"/>
  <c r="BB17" i="2"/>
  <c r="J56" i="6"/>
  <c r="AR61" i="6"/>
  <c r="CT92" i="2"/>
  <c r="CC64" i="2"/>
  <c r="W97" i="6"/>
  <c r="BK73" i="2"/>
  <c r="CB18" i="2"/>
  <c r="X95" i="6"/>
  <c r="BT18" i="2"/>
  <c r="BV77" i="6"/>
  <c r="O32" i="6"/>
  <c r="S51" i="6"/>
  <c r="BJ36" i="6"/>
  <c r="CC57" i="6"/>
  <c r="AX51" i="6"/>
  <c r="CR56" i="2"/>
  <c r="CH61" i="6"/>
  <c r="BA42" i="6"/>
  <c r="AW99" i="6"/>
  <c r="AP21" i="6"/>
  <c r="AB61" i="6"/>
  <c r="CA68" i="6"/>
  <c r="AS80" i="2"/>
  <c r="AV7" i="6"/>
  <c r="AU58" i="6"/>
  <c r="Q96" i="6"/>
  <c r="CO46" i="6"/>
  <c r="BX60" i="6"/>
  <c r="O28" i="6"/>
  <c r="Y30" i="2"/>
  <c r="AD7" i="2"/>
  <c r="CQ94" i="2"/>
  <c r="AR9" i="6"/>
  <c r="CG30" i="6"/>
  <c r="CM89" i="6"/>
  <c r="BS67" i="2"/>
  <c r="I67" i="6"/>
  <c r="X64" i="6"/>
  <c r="BC11" i="6"/>
  <c r="BH33" i="6"/>
  <c r="BB58" i="6"/>
  <c r="CB64" i="6"/>
  <c r="F59" i="6"/>
  <c r="AK36" i="6"/>
  <c r="T34" i="2"/>
  <c r="CM78" i="6"/>
  <c r="BR14" i="6"/>
  <c r="BI64" i="6"/>
  <c r="CA95" i="2"/>
  <c r="AB14" i="2"/>
  <c r="AP27" i="6"/>
  <c r="CB25" i="6"/>
  <c r="AO61" i="6"/>
  <c r="CF4" i="6"/>
  <c r="AP75" i="6"/>
  <c r="CG60" i="6"/>
  <c r="CI34" i="6"/>
  <c r="BB11" i="6"/>
  <c r="BN33" i="6"/>
  <c r="BG87" i="6"/>
  <c r="BW74" i="2"/>
  <c r="CP16" i="6"/>
  <c r="BD39" i="2"/>
  <c r="BW25" i="6"/>
  <c r="AJ61" i="2"/>
  <c r="CI94" i="6"/>
  <c r="AX59" i="6"/>
  <c r="BC20" i="6"/>
  <c r="BM74" i="2"/>
  <c r="U28" i="6"/>
  <c r="CE9" i="2"/>
  <c r="BF36" i="2"/>
  <c r="CA73" i="6"/>
  <c r="E6" i="2"/>
  <c r="S59" i="6"/>
  <c r="AY90" i="6"/>
  <c r="N50" i="6"/>
  <c r="CG26" i="6"/>
  <c r="K97" i="6"/>
  <c r="AK18" i="6"/>
  <c r="AE43" i="6"/>
  <c r="AJ60" i="6"/>
  <c r="CG62" i="6"/>
  <c r="AG56" i="6"/>
  <c r="AO58" i="2"/>
  <c r="BJ80" i="2"/>
  <c r="CN69" i="6"/>
  <c r="BD14" i="2"/>
  <c r="H31" i="6"/>
  <c r="BU60" i="6"/>
  <c r="BY14" i="2"/>
  <c r="C39" i="2"/>
  <c r="BF99" i="6"/>
  <c r="CI31" i="6"/>
  <c r="AI97" i="6"/>
  <c r="J99" i="2"/>
  <c r="BQ81" i="6"/>
  <c r="BM51" i="6"/>
  <c r="AN83" i="6"/>
  <c r="CM63" i="6"/>
  <c r="CR40" i="2"/>
  <c r="BC72" i="6"/>
  <c r="BU94" i="2"/>
  <c r="T52" i="6"/>
  <c r="CO76" i="6"/>
  <c r="CE86" i="6"/>
  <c r="R78" i="6"/>
  <c r="Q19" i="6"/>
  <c r="AK91" i="6"/>
  <c r="Z83" i="6"/>
  <c r="AQ11" i="2"/>
  <c r="M40" i="6"/>
  <c r="N35" i="6"/>
  <c r="BJ3" i="6"/>
  <c r="BB84" i="6"/>
  <c r="CR3" i="6"/>
  <c r="AG92" i="6"/>
  <c r="AO87" i="6"/>
  <c r="AR2" i="2"/>
  <c r="BK16" i="6"/>
  <c r="CT85" i="2"/>
  <c r="CO99" i="6"/>
  <c r="AP72" i="6"/>
  <c r="BF52" i="2"/>
  <c r="BE94" i="6"/>
  <c r="CA12" i="2"/>
  <c r="CR35" i="6"/>
  <c r="BI37" i="2"/>
  <c r="AV20" i="2"/>
  <c r="AI58" i="2"/>
  <c r="BA17" i="6"/>
  <c r="AD90" i="6"/>
  <c r="CC91" i="6"/>
  <c r="X41" i="6"/>
  <c r="BN38" i="6"/>
  <c r="P41" i="6"/>
  <c r="BF32" i="6"/>
  <c r="AY97" i="6"/>
  <c r="CE98" i="2"/>
  <c r="BD63" i="6"/>
  <c r="R68" i="2"/>
  <c r="BM27" i="6"/>
  <c r="CB72" i="6"/>
  <c r="BI93" i="6"/>
  <c r="BP47" i="6"/>
  <c r="AA90" i="6"/>
  <c r="AP78" i="6"/>
  <c r="BJ60" i="6"/>
  <c r="CL64" i="6"/>
  <c r="AH18" i="6"/>
  <c r="AO53" i="6"/>
  <c r="CM80" i="6"/>
  <c r="V100" i="2"/>
  <c r="Z82" i="6"/>
  <c r="AO7" i="2"/>
  <c r="AM54" i="6"/>
  <c r="CJ97" i="2"/>
  <c r="AO33" i="6"/>
  <c r="C99" i="6"/>
  <c r="Q56" i="2"/>
  <c r="K55" i="6"/>
  <c r="AK41" i="6"/>
  <c r="AJ56" i="6"/>
  <c r="P54" i="2"/>
  <c r="BM29" i="6"/>
  <c r="U45" i="6"/>
  <c r="BS88" i="6"/>
  <c r="AC86" i="6"/>
  <c r="AH51" i="6"/>
  <c r="AR26" i="6"/>
  <c r="BS47" i="2"/>
  <c r="CT12" i="2"/>
  <c r="BB81" i="2"/>
  <c r="CN96" i="6"/>
  <c r="CL63" i="6"/>
  <c r="BY27" i="6"/>
  <c r="CM28" i="6"/>
  <c r="CF50" i="2"/>
  <c r="CP62" i="6"/>
  <c r="AT31" i="6"/>
  <c r="H52" i="6"/>
  <c r="CC20" i="2"/>
  <c r="E63" i="6"/>
  <c r="CP68" i="6"/>
  <c r="CL22" i="2"/>
  <c r="AT16" i="2"/>
  <c r="AR38" i="6"/>
  <c r="CB77" i="6"/>
  <c r="CE5" i="2"/>
  <c r="D39" i="6"/>
  <c r="H95" i="6"/>
  <c r="R10" i="2"/>
  <c r="AK16" i="6"/>
  <c r="S4" i="6"/>
  <c r="BO5" i="6"/>
  <c r="S60" i="6"/>
  <c r="W99" i="6"/>
  <c r="AL21" i="6"/>
  <c r="CC54" i="2"/>
  <c r="CQ31" i="2"/>
  <c r="AQ66" i="6"/>
  <c r="BC43" i="6"/>
  <c r="CK38" i="2"/>
  <c r="BF67" i="6"/>
  <c r="O51" i="2"/>
  <c r="CG28" i="2"/>
  <c r="AB93" i="6"/>
  <c r="CB27" i="2"/>
  <c r="CR32" i="6"/>
  <c r="Y86" i="6"/>
  <c r="BB42" i="2"/>
  <c r="H86" i="6"/>
  <c r="CB57" i="6"/>
  <c r="BY96" i="6"/>
  <c r="BS85" i="6"/>
  <c r="M28" i="6"/>
  <c r="BR68" i="2"/>
  <c r="CF49" i="6"/>
  <c r="BM73" i="6"/>
  <c r="BS29" i="6"/>
  <c r="BP71" i="2"/>
  <c r="BY44" i="2"/>
  <c r="CN50" i="6"/>
  <c r="K56" i="6"/>
  <c r="CJ21" i="6"/>
  <c r="CL90" i="2"/>
  <c r="AF96" i="6"/>
  <c r="AT52" i="6"/>
  <c r="F98" i="6"/>
  <c r="Y50" i="6"/>
  <c r="CO42" i="6"/>
  <c r="AN67" i="6"/>
  <c r="J36" i="6"/>
  <c r="W36" i="6"/>
  <c r="BI22" i="6"/>
  <c r="J61" i="6"/>
  <c r="BA65" i="2"/>
  <c r="CL68" i="6"/>
  <c r="CD75" i="6"/>
  <c r="CG3" i="2"/>
  <c r="CM11" i="6"/>
  <c r="CF9" i="6"/>
  <c r="H74" i="6"/>
  <c r="F68" i="6"/>
  <c r="AN34" i="6"/>
  <c r="AG62" i="6"/>
  <c r="CE19" i="2"/>
  <c r="AP67" i="6"/>
  <c r="BJ18" i="6"/>
  <c r="AZ72" i="6"/>
  <c r="AU19" i="2"/>
  <c r="BL28" i="6"/>
  <c r="BP34" i="6"/>
  <c r="R93" i="6"/>
  <c r="CG32" i="6"/>
  <c r="BF29" i="6"/>
  <c r="AD42" i="6"/>
  <c r="AB57" i="6"/>
  <c r="CE92" i="6"/>
  <c r="AZ29" i="6"/>
  <c r="BW98" i="6"/>
  <c r="I71" i="6"/>
  <c r="F42" i="6"/>
  <c r="AH88" i="6"/>
  <c r="CF86" i="6"/>
  <c r="AI29" i="6"/>
  <c r="BM57" i="2"/>
  <c r="AS34" i="6"/>
  <c r="AT12" i="2"/>
  <c r="P2" i="2"/>
  <c r="AF76" i="6"/>
  <c r="AF88" i="6"/>
  <c r="BI89" i="6"/>
  <c r="H64" i="6"/>
  <c r="AN58" i="2"/>
  <c r="BD76" i="6"/>
  <c r="CP23" i="6"/>
  <c r="AN50" i="6"/>
  <c r="BD82" i="6"/>
  <c r="BJ63" i="6"/>
  <c r="AB12" i="2"/>
  <c r="CO100" i="6"/>
  <c r="BV47" i="6"/>
  <c r="AR76" i="6"/>
  <c r="CO73" i="6"/>
  <c r="AO49" i="2"/>
  <c r="BX5" i="2"/>
  <c r="X43" i="6"/>
  <c r="BY64" i="6"/>
  <c r="AI70" i="2"/>
  <c r="BE30" i="2"/>
  <c r="BA11" i="6"/>
  <c r="BT88" i="6"/>
  <c r="BK23" i="2"/>
  <c r="G75" i="6"/>
  <c r="BA53" i="6"/>
  <c r="BT6" i="2"/>
  <c r="AW83" i="6"/>
  <c r="BK60" i="2"/>
  <c r="AA26" i="6"/>
  <c r="H29" i="6"/>
  <c r="L18" i="6"/>
  <c r="AH19" i="6"/>
  <c r="E74" i="6"/>
  <c r="BB69" i="6"/>
  <c r="AI10" i="2"/>
  <c r="D69" i="6"/>
  <c r="BG24" i="6"/>
  <c r="BX20" i="6"/>
  <c r="Q3" i="2"/>
  <c r="BX38" i="6"/>
  <c r="BA74" i="6"/>
  <c r="BA83" i="2"/>
  <c r="CH99" i="6"/>
  <c r="R96" i="6"/>
  <c r="CH8" i="2"/>
  <c r="W62" i="6"/>
  <c r="S42" i="6"/>
  <c r="CN85" i="6"/>
  <c r="AA44" i="6"/>
  <c r="M53" i="6"/>
  <c r="AX44" i="6"/>
  <c r="CT19" i="2"/>
  <c r="CL61" i="6"/>
  <c r="CL33" i="2"/>
  <c r="CA44" i="6"/>
  <c r="BM11" i="6"/>
  <c r="CQ23" i="6"/>
  <c r="AN48" i="6"/>
  <c r="AE24" i="2"/>
  <c r="AC48" i="2"/>
  <c r="CR93" i="2"/>
  <c r="CH54" i="6"/>
  <c r="CH5" i="2"/>
  <c r="R85" i="6"/>
  <c r="CJ4" i="2"/>
  <c r="M26" i="6"/>
  <c r="N25" i="6"/>
  <c r="AT15" i="6"/>
  <c r="CI7" i="6"/>
  <c r="CT20" i="2"/>
  <c r="H21" i="6"/>
  <c r="AZ67" i="6"/>
  <c r="AO73" i="6"/>
  <c r="H69" i="6"/>
  <c r="U36" i="6"/>
  <c r="Y14" i="6"/>
  <c r="CD50" i="2"/>
  <c r="BJ98" i="2"/>
  <c r="BP51" i="6"/>
  <c r="CI35" i="2"/>
  <c r="AA97" i="2"/>
  <c r="BJ84" i="2"/>
  <c r="CA61" i="6"/>
  <c r="O23" i="6"/>
  <c r="BO50" i="2"/>
  <c r="E79" i="6"/>
  <c r="CL87" i="6"/>
  <c r="O52" i="6"/>
  <c r="BO44" i="6"/>
  <c r="AH37" i="6"/>
  <c r="BY83" i="6"/>
  <c r="BK54" i="2"/>
  <c r="AS78" i="2"/>
  <c r="BR45" i="6"/>
  <c r="AI82" i="6"/>
  <c r="CI33" i="6"/>
  <c r="AK93" i="6"/>
  <c r="O55" i="6"/>
  <c r="BK52" i="2"/>
  <c r="AZ81" i="6"/>
  <c r="Q2" i="6"/>
  <c r="CL16" i="6"/>
  <c r="AR37" i="6"/>
  <c r="AM18" i="6"/>
  <c r="CN58" i="6"/>
  <c r="AF30" i="6"/>
  <c r="P46" i="6"/>
  <c r="AX42" i="6"/>
  <c r="O20" i="6"/>
  <c r="BC9" i="6"/>
  <c r="CE19" i="6"/>
  <c r="AN53" i="6"/>
  <c r="AS78" i="6"/>
  <c r="AS36" i="6"/>
  <c r="S15" i="6"/>
  <c r="BO49" i="6"/>
  <c r="AI39" i="6"/>
  <c r="AU69" i="6"/>
  <c r="AM19" i="6"/>
  <c r="CL64" i="2"/>
  <c r="CF56" i="6"/>
  <c r="AF82" i="6"/>
  <c r="BD22" i="6"/>
  <c r="X67" i="6"/>
  <c r="CR60" i="6"/>
  <c r="CF62" i="6"/>
  <c r="AG32" i="6"/>
  <c r="AV37" i="6"/>
  <c r="CF60" i="6"/>
  <c r="L8" i="6"/>
  <c r="AP63" i="6"/>
  <c r="BH86" i="6"/>
  <c r="CT16" i="2"/>
  <c r="CK88" i="2"/>
  <c r="BQ32" i="6"/>
  <c r="AC77" i="2"/>
  <c r="BQ42" i="6"/>
  <c r="N37" i="2"/>
  <c r="AV25" i="2"/>
  <c r="L41" i="6"/>
  <c r="V46" i="6"/>
  <c r="AL87" i="6"/>
  <c r="AL10" i="2"/>
  <c r="AT61" i="6"/>
  <c r="CE80" i="2"/>
  <c r="BS12" i="6"/>
  <c r="BH6" i="2"/>
  <c r="BP59" i="6"/>
  <c r="BY91" i="2"/>
  <c r="BN66" i="6"/>
  <c r="CC10" i="2"/>
  <c r="E26" i="6"/>
  <c r="BX82" i="6"/>
  <c r="AH3" i="6"/>
  <c r="BJ91" i="6"/>
  <c r="L68" i="6"/>
  <c r="Z52" i="6"/>
  <c r="R79" i="6"/>
  <c r="CM52" i="6"/>
  <c r="BK44" i="6"/>
  <c r="BX34" i="6"/>
  <c r="AX99" i="6"/>
  <c r="CB96" i="6"/>
  <c r="AI22" i="2"/>
  <c r="E22" i="6"/>
  <c r="AX87" i="6"/>
  <c r="BP60" i="2"/>
  <c r="R53" i="6"/>
  <c r="CT62" i="2"/>
  <c r="BX8" i="6"/>
  <c r="CK69" i="6"/>
  <c r="F92" i="6"/>
  <c r="CM98" i="6"/>
  <c r="X8" i="2"/>
  <c r="AL71" i="6"/>
  <c r="CQ49" i="2"/>
  <c r="BI33" i="2"/>
  <c r="BK63" i="6"/>
  <c r="BU73" i="6"/>
  <c r="G60" i="6"/>
  <c r="AG94" i="2"/>
  <c r="AF46" i="2"/>
  <c r="BY98" i="6"/>
  <c r="AU20" i="6"/>
  <c r="BY43" i="6"/>
  <c r="M62" i="6"/>
  <c r="CL26" i="2"/>
  <c r="BV58" i="6"/>
  <c r="BF44" i="6"/>
  <c r="BK79" i="2"/>
  <c r="AY75" i="6"/>
  <c r="BD23" i="6"/>
  <c r="CD66" i="6"/>
  <c r="BC10" i="6"/>
  <c r="AU51" i="6"/>
  <c r="AJ24" i="2"/>
  <c r="BN61" i="6"/>
  <c r="AZ76" i="6"/>
  <c r="BH62" i="2"/>
  <c r="AP77" i="6"/>
  <c r="Y11" i="2"/>
  <c r="CJ98" i="6"/>
  <c r="AB84" i="6"/>
  <c r="BQ54" i="6"/>
  <c r="T17" i="2"/>
  <c r="BV19" i="2"/>
  <c r="R40" i="6"/>
  <c r="BO58" i="6"/>
  <c r="Y43" i="6"/>
  <c r="AZ98" i="6"/>
  <c r="AQ89" i="6"/>
  <c r="CF48" i="6"/>
  <c r="AO16" i="6"/>
  <c r="AX38" i="6"/>
  <c r="T41" i="6"/>
  <c r="BC60" i="6"/>
  <c r="U41" i="6"/>
  <c r="O95" i="6"/>
  <c r="X13" i="6"/>
  <c r="CC84" i="6"/>
  <c r="C31" i="6"/>
  <c r="BP86" i="6"/>
  <c r="CK21" i="6"/>
  <c r="BL56" i="6"/>
  <c r="AS51" i="6"/>
  <c r="CI43" i="2"/>
  <c r="CD11" i="6"/>
  <c r="BY55" i="6"/>
  <c r="BB94" i="6"/>
  <c r="BJ41" i="6"/>
  <c r="AY77" i="2"/>
  <c r="AQ65" i="2"/>
  <c r="BI76" i="6"/>
  <c r="BW69" i="6"/>
  <c r="AA92" i="6"/>
  <c r="AN57" i="6"/>
  <c r="Q21" i="6"/>
  <c r="D71" i="2"/>
  <c r="BD71" i="6"/>
  <c r="BU80" i="6"/>
  <c r="BM11" i="2"/>
  <c r="BN82" i="6"/>
  <c r="BV75" i="6"/>
  <c r="AK10" i="6"/>
  <c r="X29" i="2"/>
  <c r="P28" i="2"/>
  <c r="BU10" i="6"/>
  <c r="M64" i="6"/>
  <c r="BS13" i="6"/>
  <c r="V56" i="6"/>
  <c r="CK70" i="6"/>
  <c r="I89" i="6"/>
  <c r="CF29" i="6"/>
  <c r="AJ47" i="6"/>
  <c r="BI20" i="2"/>
  <c r="AK49" i="6"/>
  <c r="CN21" i="6"/>
  <c r="O98" i="2"/>
  <c r="CP7" i="2"/>
  <c r="AG44" i="6"/>
  <c r="AW64" i="6"/>
  <c r="AP66" i="6"/>
  <c r="Z7" i="6"/>
  <c r="CJ27" i="2"/>
  <c r="D53" i="6"/>
  <c r="CB65" i="6"/>
  <c r="AZ24" i="6"/>
  <c r="AZ89" i="6"/>
  <c r="CJ66" i="6"/>
  <c r="M74" i="6"/>
  <c r="AA7" i="2"/>
  <c r="AM61" i="2"/>
  <c r="CF55" i="6"/>
  <c r="BC83" i="6"/>
  <c r="S91" i="6"/>
  <c r="CP53" i="6"/>
  <c r="CP98" i="6"/>
  <c r="BF62" i="2"/>
  <c r="BD87" i="6"/>
  <c r="AE40" i="6"/>
  <c r="L20" i="6"/>
  <c r="S76" i="6"/>
  <c r="BI55" i="2"/>
  <c r="CS3" i="2"/>
  <c r="AZ14" i="2"/>
  <c r="X77" i="6"/>
  <c r="BN9" i="2"/>
  <c r="AX26" i="2"/>
  <c r="M68" i="2"/>
  <c r="CF37" i="6"/>
  <c r="M32" i="6"/>
  <c r="BH4" i="6"/>
  <c r="AZ44" i="2"/>
  <c r="BA47" i="6"/>
  <c r="X91" i="6"/>
  <c r="BH89" i="6"/>
  <c r="AR31" i="6"/>
  <c r="AP54" i="6"/>
  <c r="AA61" i="6"/>
  <c r="AL14" i="2"/>
  <c r="CL58" i="6"/>
  <c r="CN61" i="6"/>
  <c r="CG19" i="2"/>
  <c r="BQ11" i="2"/>
  <c r="E77" i="2"/>
  <c r="BX74" i="6"/>
  <c r="BN45" i="6"/>
  <c r="BH61" i="6"/>
  <c r="AY88" i="6"/>
  <c r="N40" i="6"/>
  <c r="BN47" i="6"/>
  <c r="N45" i="6"/>
  <c r="Z10" i="6"/>
  <c r="U70" i="6"/>
  <c r="W61" i="6"/>
  <c r="BI56" i="6"/>
  <c r="BU31" i="6"/>
  <c r="BB27" i="6"/>
  <c r="AJ50" i="6"/>
  <c r="I21" i="6"/>
  <c r="AU39" i="6"/>
  <c r="AQ83" i="6"/>
  <c r="CQ41" i="6"/>
  <c r="N62" i="6"/>
  <c r="BN49" i="6"/>
  <c r="AX75" i="2"/>
  <c r="CA55" i="6"/>
  <c r="BC38" i="6"/>
  <c r="AJ31" i="6"/>
  <c r="AN27" i="6"/>
  <c r="O91" i="6"/>
  <c r="AJ92" i="6"/>
  <c r="AM89" i="6"/>
  <c r="CP9" i="2"/>
  <c r="U35" i="6"/>
  <c r="CD51" i="6"/>
  <c r="CF50" i="6"/>
  <c r="BS23" i="2"/>
  <c r="AD34" i="6"/>
  <c r="CQ96" i="6"/>
  <c r="BP53" i="2"/>
  <c r="O86" i="6"/>
  <c r="CH18" i="6"/>
  <c r="AD70" i="6"/>
  <c r="AI16" i="6"/>
  <c r="CC94" i="6"/>
  <c r="AW65" i="6"/>
  <c r="P68" i="6"/>
  <c r="AF99" i="6"/>
  <c r="AF38" i="6"/>
  <c r="BY69" i="2"/>
  <c r="Q75" i="6"/>
  <c r="AQ97" i="6"/>
  <c r="N94" i="6"/>
  <c r="F100" i="2"/>
  <c r="AZ46" i="6"/>
  <c r="AN84" i="2"/>
  <c r="CP25" i="6"/>
  <c r="BT86" i="6"/>
  <c r="BA59" i="2"/>
  <c r="R72" i="6"/>
  <c r="AC35" i="2"/>
  <c r="BH77" i="6"/>
  <c r="AA64" i="6"/>
  <c r="CS43" i="2"/>
  <c r="CN89" i="6"/>
  <c r="AZ17" i="2"/>
  <c r="AB18" i="6"/>
  <c r="BO95" i="6"/>
  <c r="CJ64" i="6"/>
  <c r="AW86" i="6"/>
  <c r="BW34" i="6"/>
  <c r="O34" i="6"/>
  <c r="AR57" i="6"/>
  <c r="AC22" i="6"/>
  <c r="E11" i="6"/>
  <c r="CN39" i="6"/>
  <c r="AD24" i="6"/>
  <c r="V29" i="6"/>
  <c r="CK42" i="2"/>
  <c r="BG21" i="6"/>
  <c r="Q78" i="6"/>
  <c r="AY6" i="6"/>
  <c r="AV54" i="6"/>
  <c r="AD37" i="2"/>
  <c r="CA86" i="6"/>
  <c r="AH50" i="6"/>
  <c r="AR34" i="6"/>
  <c r="BT11" i="6"/>
  <c r="O50" i="6"/>
  <c r="BM42" i="6"/>
  <c r="CK86" i="6"/>
  <c r="AX62" i="6"/>
  <c r="CC87" i="6"/>
  <c r="AG20" i="2"/>
  <c r="AM41" i="6"/>
  <c r="BI34" i="6"/>
  <c r="BM6" i="2"/>
  <c r="CE84" i="6"/>
  <c r="CI74" i="6"/>
  <c r="AK61" i="6"/>
  <c r="AU94" i="6"/>
  <c r="CJ96" i="6"/>
  <c r="CA40" i="2"/>
  <c r="U37" i="2"/>
  <c r="BI15" i="2"/>
  <c r="BL98" i="6"/>
  <c r="AT76" i="6"/>
  <c r="AL83" i="6"/>
  <c r="CB26" i="2"/>
  <c r="BR81" i="6"/>
  <c r="AX26" i="6"/>
  <c r="H89" i="2"/>
  <c r="AS83" i="6"/>
  <c r="BN22" i="6"/>
  <c r="Q93" i="6"/>
  <c r="S14" i="2"/>
  <c r="BD47" i="6"/>
  <c r="V82" i="6"/>
  <c r="O9" i="2"/>
  <c r="K94" i="6"/>
  <c r="BO33" i="6"/>
  <c r="R92" i="6"/>
  <c r="CH61" i="2"/>
  <c r="T32" i="6"/>
  <c r="CT28" i="2"/>
  <c r="CG29" i="2"/>
  <c r="BE19" i="2"/>
  <c r="T67" i="6"/>
  <c r="AX78" i="6"/>
  <c r="BU4" i="6"/>
  <c r="BG73" i="6"/>
  <c r="G50" i="6"/>
  <c r="AM21" i="2"/>
  <c r="Z64" i="6"/>
  <c r="P79" i="6"/>
  <c r="CB86" i="6"/>
  <c r="BR50" i="2"/>
  <c r="AZ86" i="2"/>
  <c r="CP85" i="2"/>
  <c r="BA79" i="2"/>
  <c r="CI95" i="6"/>
  <c r="H22" i="6"/>
  <c r="BD94" i="6"/>
  <c r="BL22" i="6"/>
  <c r="D27" i="6"/>
  <c r="BY78" i="6"/>
  <c r="BM16" i="2"/>
  <c r="BK11" i="6"/>
  <c r="AW5" i="2"/>
  <c r="CC46" i="6"/>
  <c r="CA96" i="6"/>
  <c r="CF33" i="6"/>
  <c r="CD30" i="6"/>
  <c r="U18" i="2"/>
  <c r="BN19" i="2"/>
  <c r="AE78" i="6"/>
  <c r="L36" i="6"/>
  <c r="U65" i="6"/>
  <c r="BS70" i="6"/>
  <c r="T11" i="2"/>
  <c r="BA10" i="2"/>
  <c r="AO52" i="2"/>
  <c r="AA41" i="2"/>
  <c r="BM22" i="2"/>
  <c r="AX7" i="2"/>
  <c r="CH17" i="6"/>
  <c r="D96" i="6"/>
  <c r="CF18" i="6"/>
  <c r="T58" i="6"/>
  <c r="AY91" i="6"/>
  <c r="BB50" i="6"/>
  <c r="BE42" i="6"/>
  <c r="CB63" i="6"/>
  <c r="BD21" i="6"/>
  <c r="AK39" i="6"/>
  <c r="AW19" i="2"/>
  <c r="BN17" i="6"/>
  <c r="CK4" i="6"/>
  <c r="BM79" i="6"/>
  <c r="AC77" i="6"/>
  <c r="BZ19" i="6"/>
  <c r="BU91" i="6"/>
  <c r="BY51" i="2"/>
  <c r="BS21" i="2"/>
  <c r="BI19" i="2"/>
  <c r="AH20" i="2"/>
  <c r="S90" i="6"/>
  <c r="BU11" i="2"/>
  <c r="BD41" i="2"/>
  <c r="AA55" i="6"/>
  <c r="H70" i="2"/>
  <c r="BY60" i="6"/>
  <c r="AI99" i="6"/>
  <c r="BG34" i="2"/>
  <c r="AO92" i="6"/>
  <c r="BL6" i="2"/>
  <c r="AX90" i="6"/>
  <c r="BL5" i="6"/>
  <c r="CG79" i="6"/>
  <c r="CA39" i="6"/>
  <c r="D81" i="6"/>
  <c r="CP22" i="6"/>
  <c r="P17" i="2"/>
  <c r="V83" i="2"/>
  <c r="W56" i="6"/>
  <c r="BC42" i="6"/>
  <c r="BI24" i="6"/>
  <c r="V44" i="6"/>
  <c r="AQ95" i="6"/>
  <c r="AK23" i="6"/>
  <c r="AQ87" i="6"/>
  <c r="M22" i="6"/>
  <c r="BU15" i="6"/>
  <c r="BG40" i="6"/>
  <c r="BH24" i="6"/>
  <c r="AL86" i="6"/>
  <c r="BK65" i="6"/>
  <c r="R58" i="6"/>
  <c r="CG91" i="6"/>
  <c r="AG48" i="6"/>
  <c r="CA11" i="6"/>
  <c r="AP59" i="6"/>
  <c r="BF84" i="6"/>
  <c r="P98" i="6"/>
  <c r="AN9" i="6"/>
  <c r="BB96" i="6"/>
  <c r="BU92" i="6"/>
  <c r="AR40" i="2"/>
  <c r="U82" i="6"/>
  <c r="BS81" i="6"/>
  <c r="AO55" i="6"/>
  <c r="BZ35" i="6"/>
  <c r="BR55" i="6"/>
  <c r="AM57" i="6"/>
  <c r="AK29" i="2"/>
  <c r="CM12" i="6"/>
  <c r="E46" i="6"/>
  <c r="N65" i="6"/>
  <c r="BH45" i="6"/>
  <c r="V31" i="6"/>
  <c r="AF70" i="6"/>
  <c r="AJ38" i="6"/>
  <c r="P85" i="2"/>
  <c r="AV96" i="6"/>
  <c r="CO25" i="6"/>
  <c r="AT85" i="6"/>
  <c r="CI75" i="6"/>
  <c r="BV34" i="6"/>
  <c r="G99" i="6"/>
  <c r="CO65" i="6"/>
  <c r="AN72" i="6"/>
  <c r="BV84" i="6"/>
  <c r="CI76" i="2"/>
  <c r="BD53" i="2"/>
  <c r="CK71" i="6"/>
  <c r="BH23" i="2"/>
  <c r="Q35" i="2"/>
  <c r="BE46" i="6"/>
  <c r="BE20" i="6"/>
  <c r="CK30" i="2"/>
  <c r="R9" i="6"/>
  <c r="AE54" i="6"/>
  <c r="BQ37" i="6"/>
  <c r="Z97" i="2"/>
  <c r="BX31" i="2"/>
  <c r="L71" i="6"/>
  <c r="AC58" i="6"/>
  <c r="P67" i="6"/>
  <c r="AV72" i="6"/>
  <c r="BD24" i="6"/>
  <c r="BV50" i="6"/>
  <c r="I33" i="6"/>
  <c r="Z63" i="6"/>
  <c r="AG67" i="6"/>
  <c r="CG8" i="6"/>
  <c r="BI7" i="6"/>
  <c r="BZ2" i="2"/>
  <c r="Z59" i="6"/>
  <c r="BO57" i="6"/>
  <c r="W72" i="6"/>
  <c r="Z2" i="2"/>
  <c r="Y66" i="6"/>
  <c r="Z51" i="6"/>
  <c r="BG58" i="6"/>
  <c r="AJ52" i="6"/>
  <c r="AD72" i="6"/>
  <c r="AR64" i="6"/>
  <c r="I79" i="6"/>
  <c r="BS75" i="6"/>
  <c r="CM62" i="6"/>
  <c r="BK31" i="6"/>
  <c r="CD88" i="6"/>
  <c r="AX15" i="2"/>
  <c r="D91" i="6"/>
  <c r="BI2" i="2"/>
  <c r="BL55" i="6"/>
  <c r="BT93" i="6"/>
  <c r="AR15" i="6"/>
  <c r="CJ53" i="6"/>
  <c r="CC28" i="2"/>
  <c r="Y2" i="2"/>
  <c r="BC31" i="2"/>
  <c r="H40" i="6"/>
  <c r="CP35" i="6"/>
  <c r="Z30" i="6"/>
  <c r="CP56" i="6"/>
  <c r="H46" i="6"/>
  <c r="CB12" i="2"/>
  <c r="AZ22" i="6"/>
  <c r="Z62" i="2"/>
  <c r="BF51" i="6"/>
  <c r="BS55" i="6"/>
  <c r="X82" i="6"/>
  <c r="CL89" i="6"/>
  <c r="AY7" i="2"/>
  <c r="AI50" i="6"/>
  <c r="AR85" i="6"/>
  <c r="BA70" i="6"/>
  <c r="BP21" i="2"/>
  <c r="CG94" i="6"/>
  <c r="BV82" i="6"/>
  <c r="AC32" i="6"/>
  <c r="AF3" i="2"/>
  <c r="BJ20" i="6"/>
  <c r="CI56" i="6"/>
  <c r="BT89" i="6"/>
  <c r="AY49" i="6"/>
  <c r="BM62" i="6"/>
  <c r="BU96" i="6"/>
  <c r="L70" i="6"/>
  <c r="AK9" i="2"/>
  <c r="T84" i="2"/>
  <c r="AU56" i="2"/>
  <c r="BO38" i="2"/>
  <c r="AM90" i="6"/>
  <c r="CF41" i="6"/>
  <c r="AC6" i="6"/>
  <c r="AR35" i="6"/>
  <c r="CO56" i="6"/>
  <c r="CD97" i="2"/>
  <c r="AA71" i="6"/>
  <c r="AV14" i="6"/>
  <c r="CI24" i="2"/>
  <c r="BF52" i="6"/>
  <c r="CB52" i="6"/>
  <c r="CD96" i="6"/>
  <c r="CI18" i="6"/>
  <c r="AD75" i="6"/>
  <c r="AZ79" i="6"/>
  <c r="AY98" i="2"/>
  <c r="AA26" i="2"/>
  <c r="N38" i="6"/>
  <c r="BO66" i="6"/>
  <c r="CF88" i="6"/>
  <c r="BZ18" i="6"/>
  <c r="CJ23" i="6"/>
  <c r="K43" i="6"/>
  <c r="BV37" i="6"/>
  <c r="BJ41" i="2"/>
  <c r="F33" i="6"/>
  <c r="BK29" i="6"/>
  <c r="AP10" i="6"/>
  <c r="T69" i="6"/>
  <c r="AF45" i="6"/>
  <c r="AE52" i="2"/>
  <c r="BX94" i="6"/>
  <c r="E25" i="6"/>
  <c r="M30" i="6"/>
  <c r="BK15" i="2"/>
  <c r="CO2" i="6"/>
  <c r="CD92" i="6"/>
  <c r="T28" i="6"/>
  <c r="Z85" i="6"/>
  <c r="AO80" i="6"/>
  <c r="BR69" i="6"/>
  <c r="Z71" i="6"/>
  <c r="AC33" i="6"/>
  <c r="Z75" i="6"/>
  <c r="AH11" i="2"/>
  <c r="BA58" i="6"/>
  <c r="G72" i="6"/>
  <c r="J32" i="6"/>
  <c r="CI49" i="6"/>
  <c r="BH31" i="6"/>
  <c r="U80" i="6"/>
  <c r="F38" i="6"/>
  <c r="CC18" i="6"/>
  <c r="CE78" i="6"/>
  <c r="AP18" i="6"/>
  <c r="AV26" i="2"/>
  <c r="BO89" i="2"/>
  <c r="BQ8" i="2"/>
  <c r="AL63" i="6"/>
  <c r="Q48" i="6"/>
  <c r="CL71" i="6"/>
  <c r="BZ38" i="6"/>
  <c r="S32" i="6"/>
  <c r="BY71" i="6"/>
  <c r="CF53" i="6"/>
  <c r="BX49" i="6"/>
  <c r="V40" i="6"/>
  <c r="AQ56" i="6"/>
  <c r="BL54" i="6"/>
  <c r="H51" i="6"/>
  <c r="AN81" i="6"/>
  <c r="BC91" i="2"/>
  <c r="CQ91" i="6"/>
  <c r="BW89" i="2"/>
  <c r="BC18" i="2"/>
  <c r="CO21" i="2"/>
  <c r="Y100" i="6"/>
  <c r="H94" i="6"/>
  <c r="BG34" i="6"/>
  <c r="BY34" i="2"/>
  <c r="CM86" i="6"/>
  <c r="BG47" i="6"/>
  <c r="AV98" i="2"/>
  <c r="AX61" i="6"/>
  <c r="CD49" i="6"/>
  <c r="CM74" i="6"/>
  <c r="AO65" i="2"/>
  <c r="G62" i="6"/>
  <c r="AO72" i="6"/>
  <c r="AA12" i="2"/>
  <c r="F31" i="2"/>
  <c r="AI14" i="6"/>
  <c r="Y61" i="6"/>
  <c r="AR25" i="2"/>
  <c r="Z58" i="6"/>
  <c r="BG86" i="2"/>
  <c r="CO58" i="2"/>
  <c r="CB4" i="2"/>
  <c r="CL61" i="2"/>
  <c r="M47" i="6"/>
  <c r="AA15" i="2"/>
  <c r="BA76" i="2"/>
  <c r="AD32" i="6"/>
  <c r="AC83" i="6"/>
  <c r="BJ44" i="6"/>
  <c r="AL23" i="2"/>
  <c r="M6" i="6"/>
  <c r="CH24" i="2"/>
  <c r="D39" i="2"/>
  <c r="AR21" i="6"/>
  <c r="BX28" i="6"/>
  <c r="AL8" i="6"/>
  <c r="CC45" i="6"/>
  <c r="CC78" i="6"/>
  <c r="AO20" i="6"/>
  <c r="BK34" i="6"/>
  <c r="AK44" i="2"/>
  <c r="CE33" i="6"/>
  <c r="AI100" i="6"/>
  <c r="AX6" i="2"/>
  <c r="BZ30" i="2"/>
  <c r="BN15" i="6"/>
  <c r="AD29" i="2"/>
  <c r="AS28" i="6"/>
  <c r="I63" i="6"/>
  <c r="BL74" i="6"/>
  <c r="J44" i="6"/>
  <c r="H34" i="2"/>
  <c r="BD35" i="6"/>
  <c r="CN25" i="6"/>
  <c r="BT18" i="6"/>
  <c r="AN86" i="2"/>
  <c r="H58" i="6"/>
  <c r="I87" i="6"/>
  <c r="G59" i="6"/>
  <c r="AA74" i="6"/>
  <c r="AY40" i="6"/>
  <c r="BV13" i="2"/>
  <c r="AD64" i="2"/>
  <c r="AL48" i="6"/>
  <c r="S9" i="6"/>
  <c r="AB88" i="6"/>
  <c r="CG70" i="6"/>
  <c r="BP91" i="6"/>
  <c r="BP52" i="6"/>
  <c r="BV2" i="2"/>
  <c r="BO75" i="2"/>
  <c r="Q63" i="6"/>
  <c r="J74" i="6"/>
  <c r="AG70" i="2"/>
  <c r="Z31" i="6"/>
  <c r="BF10" i="6"/>
  <c r="AQ40" i="6"/>
  <c r="AP73" i="2"/>
  <c r="BE8" i="2"/>
  <c r="F24" i="6"/>
  <c r="BP49" i="6"/>
  <c r="BA18" i="6"/>
  <c r="BH20" i="6"/>
  <c r="AP92" i="2"/>
  <c r="BD45" i="6"/>
  <c r="BG45" i="6"/>
  <c r="CP9" i="6"/>
  <c r="CF36" i="6"/>
  <c r="T84" i="6"/>
  <c r="AI68" i="6"/>
  <c r="P66" i="6"/>
  <c r="AV30" i="6"/>
  <c r="BY15" i="6"/>
  <c r="BR50" i="6"/>
  <c r="AC66" i="6"/>
  <c r="P88" i="6"/>
  <c r="BV16" i="6"/>
  <c r="BC23" i="6"/>
  <c r="CJ11" i="6"/>
  <c r="CA13" i="6"/>
  <c r="BQ19" i="2"/>
  <c r="AS97" i="6"/>
  <c r="F90" i="6"/>
  <c r="BV12" i="2"/>
  <c r="R52" i="6"/>
  <c r="BT77" i="6"/>
  <c r="X52" i="6"/>
  <c r="AD23" i="2"/>
  <c r="AZ27" i="6"/>
  <c r="M31" i="6"/>
  <c r="CA72" i="6"/>
  <c r="BJ47" i="6"/>
  <c r="CO30" i="6"/>
  <c r="BV87" i="6"/>
  <c r="CB50" i="6"/>
  <c r="AV56" i="6"/>
  <c r="CO32" i="2"/>
  <c r="CA89" i="6"/>
  <c r="CC5" i="6"/>
  <c r="CR29" i="2"/>
  <c r="CN54" i="6"/>
  <c r="BG9" i="2"/>
  <c r="CK8" i="6"/>
  <c r="BQ58" i="6"/>
  <c r="J19" i="6"/>
  <c r="BT75" i="2"/>
  <c r="AE75" i="6"/>
  <c r="AB32" i="6"/>
  <c r="AR87" i="2"/>
  <c r="BL82" i="2"/>
  <c r="C87" i="6"/>
  <c r="BR48" i="2"/>
  <c r="CL85" i="6"/>
  <c r="AR100" i="6"/>
  <c r="BQ48" i="2"/>
  <c r="T45" i="2"/>
  <c r="M27" i="2"/>
  <c r="CN57" i="2"/>
  <c r="BS26" i="6"/>
  <c r="AG99" i="6"/>
  <c r="BM54" i="6"/>
  <c r="AQ82" i="6"/>
  <c r="AK91" i="2"/>
  <c r="AE14" i="2"/>
  <c r="AX57" i="6"/>
  <c r="T57" i="6"/>
  <c r="CL62" i="6"/>
  <c r="BS74" i="6"/>
  <c r="CF11" i="2"/>
  <c r="CG85" i="6"/>
  <c r="AX68" i="6"/>
  <c r="AP99" i="6"/>
  <c r="AK24" i="6"/>
  <c r="X60" i="2"/>
  <c r="CG52" i="2"/>
  <c r="CP81" i="6"/>
  <c r="W12" i="2"/>
  <c r="CF83" i="6"/>
  <c r="N33" i="6"/>
  <c r="CH7" i="2"/>
  <c r="W42" i="6"/>
  <c r="AX80" i="6"/>
  <c r="BV86" i="6"/>
  <c r="BM30" i="2"/>
  <c r="BN54" i="6"/>
  <c r="T55" i="6"/>
  <c r="V48" i="6"/>
  <c r="AJ62" i="6"/>
  <c r="BY65" i="6"/>
  <c r="CR52" i="6"/>
  <c r="D72" i="6"/>
  <c r="S2" i="6"/>
  <c r="CD77" i="6"/>
  <c r="AK46" i="6"/>
  <c r="CO45" i="6"/>
  <c r="CG76" i="2"/>
  <c r="D33" i="6"/>
  <c r="AI22" i="6"/>
  <c r="AP43" i="2"/>
  <c r="BZ34" i="6"/>
  <c r="CO2" i="2"/>
  <c r="BQ69" i="6"/>
  <c r="CB70" i="6"/>
  <c r="I69" i="2"/>
  <c r="CQ100" i="2"/>
  <c r="AU80" i="6"/>
  <c r="BU97" i="6"/>
  <c r="AY78" i="6"/>
  <c r="BC28" i="2"/>
  <c r="Q7" i="2"/>
  <c r="BT61" i="6"/>
  <c r="C43" i="6"/>
  <c r="BC78" i="6"/>
  <c r="AE70" i="2"/>
  <c r="AW21" i="2"/>
  <c r="BH19" i="2"/>
  <c r="CK87" i="6"/>
  <c r="AW63" i="2"/>
  <c r="BZ7" i="2"/>
  <c r="BY2" i="2"/>
  <c r="CD51" i="2"/>
  <c r="BA99" i="6"/>
  <c r="CN13" i="2"/>
  <c r="BL77" i="2"/>
  <c r="CR21" i="2"/>
  <c r="CH72" i="2"/>
  <c r="AK80" i="6"/>
  <c r="CR67" i="6"/>
  <c r="L80" i="6"/>
  <c r="BI39" i="6"/>
  <c r="AQ47" i="6"/>
  <c r="C59" i="6"/>
  <c r="BF76" i="6"/>
  <c r="CJ29" i="6"/>
  <c r="BQ72" i="6"/>
  <c r="BZ14" i="2"/>
  <c r="CP90" i="6"/>
  <c r="Q81" i="6"/>
  <c r="CE93" i="6"/>
  <c r="CD57" i="6"/>
  <c r="AI7" i="2"/>
  <c r="F72" i="6"/>
  <c r="D67" i="2"/>
  <c r="BO86" i="2"/>
  <c r="CA43" i="2"/>
  <c r="BV37" i="2"/>
  <c r="W47" i="2"/>
  <c r="AT90" i="6"/>
  <c r="CB37" i="6"/>
  <c r="BR32" i="6"/>
  <c r="T82" i="6"/>
  <c r="BC92" i="6"/>
  <c r="AB47" i="2"/>
  <c r="E41" i="6"/>
  <c r="CQ83" i="6"/>
  <c r="O67" i="6"/>
  <c r="U89" i="6"/>
  <c r="CO52" i="2"/>
  <c r="N78" i="6"/>
  <c r="AI84" i="6"/>
  <c r="E89" i="6"/>
  <c r="BM84" i="6"/>
  <c r="X9" i="6"/>
  <c r="AP76" i="6"/>
  <c r="BZ65" i="2"/>
  <c r="BO79" i="6"/>
  <c r="BD83" i="6"/>
  <c r="AU50" i="6"/>
  <c r="AX17" i="2"/>
  <c r="T4" i="2"/>
  <c r="G68" i="6"/>
  <c r="BQ38" i="6"/>
  <c r="S69" i="2"/>
  <c r="K42" i="2"/>
  <c r="R40" i="2"/>
  <c r="BS50" i="6"/>
  <c r="AQ9" i="6"/>
  <c r="BI42" i="6"/>
  <c r="AW11" i="6"/>
  <c r="X39" i="6"/>
  <c r="CQ76" i="6"/>
  <c r="BO40" i="6"/>
  <c r="CK34" i="2"/>
  <c r="CE56" i="2"/>
  <c r="H45" i="6"/>
  <c r="AC28" i="6"/>
  <c r="CP94" i="6"/>
  <c r="CR81" i="6"/>
  <c r="AG2" i="2"/>
  <c r="L95" i="6"/>
  <c r="BK68" i="6"/>
  <c r="BP71" i="6"/>
  <c r="BU30" i="6"/>
  <c r="CT14" i="2"/>
  <c r="N12" i="2"/>
  <c r="BY72" i="6"/>
  <c r="BS86" i="6"/>
  <c r="BM52" i="6"/>
  <c r="AT44" i="6"/>
  <c r="BN23" i="6"/>
  <c r="CH53" i="6"/>
  <c r="AV57" i="6"/>
  <c r="M86" i="6"/>
  <c r="AE46" i="6"/>
  <c r="AG35" i="6"/>
  <c r="M38" i="6"/>
  <c r="BG10" i="6"/>
  <c r="AH92" i="6"/>
  <c r="T75" i="6"/>
  <c r="AZ68" i="6"/>
  <c r="R48" i="6"/>
  <c r="CH97" i="6"/>
  <c r="M58" i="6"/>
  <c r="K77" i="6"/>
  <c r="BA55" i="6"/>
  <c r="AE70" i="6"/>
  <c r="BN70" i="2"/>
  <c r="CQ50" i="6"/>
  <c r="AG16" i="2"/>
  <c r="AG43" i="2"/>
  <c r="AL84" i="6"/>
  <c r="AH80" i="6"/>
  <c r="Z79" i="6"/>
  <c r="BT57" i="6"/>
  <c r="BR54" i="6"/>
  <c r="AS60" i="2"/>
  <c r="T89" i="6"/>
  <c r="CS36" i="2"/>
  <c r="AX36" i="6"/>
  <c r="CD59" i="6"/>
  <c r="AI55" i="6"/>
  <c r="BS45" i="6"/>
  <c r="Y41" i="6"/>
  <c r="R11" i="2"/>
  <c r="T14" i="6"/>
  <c r="BK20" i="6"/>
  <c r="AL55" i="6"/>
  <c r="AN77" i="6"/>
  <c r="AD52" i="2"/>
  <c r="BP35" i="6"/>
  <c r="W65" i="6"/>
  <c r="AH2" i="2"/>
  <c r="BP48" i="6"/>
  <c r="AS52" i="2"/>
  <c r="BJ100" i="6"/>
  <c r="CJ77" i="6"/>
  <c r="AL11" i="2"/>
  <c r="BV71" i="6"/>
  <c r="CP72" i="6"/>
  <c r="Y45" i="6"/>
  <c r="V9" i="2"/>
  <c r="S28" i="6"/>
  <c r="AV97" i="6"/>
  <c r="BJ17" i="6"/>
  <c r="BX48" i="6"/>
  <c r="AB75" i="6"/>
  <c r="U28" i="2"/>
  <c r="BI84" i="6"/>
  <c r="AW16" i="6"/>
  <c r="CK27" i="6"/>
  <c r="BB83" i="6"/>
  <c r="CP59" i="6"/>
  <c r="BR87" i="6"/>
  <c r="BW2" i="2"/>
  <c r="CL15" i="2"/>
  <c r="AA76" i="6"/>
  <c r="BP5" i="2"/>
  <c r="I45" i="6"/>
  <c r="AY5" i="2"/>
  <c r="BO81" i="2"/>
  <c r="BH99" i="6"/>
  <c r="BO39" i="2"/>
  <c r="AV95" i="6"/>
  <c r="CG88" i="2"/>
  <c r="CG83" i="2"/>
  <c r="W38" i="2"/>
  <c r="BO22" i="2"/>
  <c r="S68" i="2"/>
  <c r="CN84" i="2"/>
  <c r="BA17" i="2"/>
  <c r="E39" i="6"/>
  <c r="AV44" i="6"/>
  <c r="CO37" i="2"/>
  <c r="CG81" i="6"/>
  <c r="AG55" i="6"/>
  <c r="CG57" i="6"/>
  <c r="CM3" i="2"/>
  <c r="BM97" i="6"/>
  <c r="AW55" i="6"/>
  <c r="CQ36" i="2"/>
  <c r="I48" i="2"/>
  <c r="CS21" i="2"/>
  <c r="X12" i="2"/>
  <c r="CT63" i="2"/>
  <c r="AV46" i="2"/>
  <c r="E38" i="2"/>
  <c r="BS10" i="6"/>
  <c r="AI71" i="6"/>
  <c r="CT43" i="2"/>
  <c r="U54" i="2"/>
  <c r="BG41" i="6"/>
  <c r="AL72" i="6"/>
  <c r="AC6" i="2"/>
  <c r="AT60" i="6"/>
  <c r="CJ86" i="6"/>
  <c r="BN93" i="2"/>
  <c r="BJ66" i="2"/>
  <c r="O43" i="2"/>
  <c r="AS98" i="2"/>
  <c r="BY70" i="6"/>
  <c r="Y97" i="2"/>
  <c r="CD28" i="2"/>
  <c r="T2" i="2"/>
  <c r="J65" i="6"/>
  <c r="BW27" i="2"/>
  <c r="AK76" i="6"/>
  <c r="AQ68" i="2"/>
  <c r="AN98" i="6"/>
  <c r="BV3" i="2"/>
  <c r="CF97" i="6"/>
  <c r="BN87" i="6"/>
  <c r="AF61" i="6"/>
  <c r="BO91" i="6"/>
  <c r="BZ99" i="6"/>
  <c r="BP46" i="6"/>
  <c r="J29" i="6"/>
  <c r="AE42" i="6"/>
  <c r="CC75" i="6"/>
  <c r="W9" i="6"/>
  <c r="BE80" i="6"/>
  <c r="CJ68" i="6"/>
  <c r="V86" i="6"/>
  <c r="C70" i="6"/>
  <c r="BJ51" i="6"/>
  <c r="O40" i="6"/>
  <c r="CA14" i="2"/>
  <c r="C92" i="6"/>
  <c r="AG3" i="6"/>
  <c r="AP58" i="6"/>
  <c r="AK37" i="2"/>
  <c r="AW96" i="6"/>
  <c r="CJ58" i="6"/>
  <c r="F31" i="6"/>
  <c r="CJ10" i="6"/>
  <c r="BN17" i="2"/>
  <c r="O66" i="6"/>
  <c r="BX31" i="6"/>
  <c r="BJ5" i="2"/>
  <c r="V85" i="6"/>
  <c r="I66" i="6"/>
  <c r="D69" i="2"/>
  <c r="W100" i="6"/>
  <c r="Q6" i="2"/>
  <c r="P4" i="6"/>
  <c r="BO59" i="6"/>
  <c r="AU12" i="6"/>
  <c r="F43" i="2"/>
  <c r="R20" i="6"/>
  <c r="BW44" i="6"/>
  <c r="CB60" i="6"/>
  <c r="CG36" i="2"/>
  <c r="T5" i="2"/>
  <c r="AH42" i="6"/>
  <c r="AB47" i="6"/>
  <c r="BS44" i="6"/>
  <c r="BO71" i="6"/>
  <c r="AK38" i="2"/>
  <c r="CO69" i="6"/>
  <c r="BM35" i="6"/>
  <c r="L83" i="6"/>
  <c r="BN88" i="6"/>
  <c r="CO38" i="6"/>
  <c r="K32" i="6"/>
  <c r="BP77" i="6"/>
  <c r="CR3" i="2"/>
  <c r="J89" i="6"/>
  <c r="BR58" i="6"/>
  <c r="BR78" i="2"/>
  <c r="U90" i="2"/>
  <c r="AW68" i="2"/>
  <c r="AT79" i="2"/>
  <c r="AV41" i="2"/>
  <c r="P13" i="2"/>
  <c r="CD18" i="6"/>
  <c r="BT4" i="6"/>
  <c r="BP60" i="6"/>
  <c r="CO90" i="6"/>
  <c r="AI98" i="6"/>
  <c r="BH58" i="2"/>
  <c r="K67" i="6"/>
  <c r="Z66" i="6"/>
  <c r="X54" i="6"/>
  <c r="AB2" i="2"/>
  <c r="CI93" i="6"/>
  <c r="BQ65" i="6"/>
  <c r="AY92" i="6"/>
  <c r="CQ75" i="6"/>
  <c r="CQ69" i="6"/>
  <c r="BG78" i="6"/>
  <c r="BD97" i="6"/>
  <c r="CC89" i="6"/>
  <c r="BG15" i="2"/>
  <c r="BN57" i="6"/>
  <c r="AC24" i="6"/>
  <c r="BS72" i="6"/>
  <c r="R62" i="6"/>
  <c r="N88" i="6"/>
  <c r="AG57" i="6"/>
  <c r="CG84" i="2"/>
  <c r="Q72" i="6"/>
  <c r="BR39" i="2"/>
  <c r="CK98" i="6"/>
  <c r="AK98" i="2"/>
  <c r="G28" i="6"/>
  <c r="CG9" i="6"/>
  <c r="S47" i="6"/>
  <c r="Q26" i="2"/>
  <c r="AP13" i="6"/>
  <c r="AF17" i="6"/>
  <c r="G13" i="6"/>
  <c r="BE37" i="6"/>
  <c r="BM57" i="6"/>
  <c r="BY10" i="6"/>
  <c r="AX47" i="6"/>
  <c r="AS2" i="2"/>
  <c r="V80" i="2"/>
  <c r="V77" i="6"/>
  <c r="AX9" i="6"/>
  <c r="BG33" i="2"/>
  <c r="S78" i="2"/>
  <c r="BF83" i="2"/>
  <c r="BO49" i="2"/>
  <c r="AU65" i="2"/>
  <c r="AX44" i="2"/>
  <c r="BL81" i="2"/>
  <c r="AL24" i="2"/>
  <c r="CE23" i="2"/>
  <c r="AK93" i="2"/>
  <c r="I50" i="6"/>
  <c r="BG54" i="6"/>
  <c r="AR49" i="6"/>
  <c r="CK80" i="6"/>
  <c r="R38" i="2"/>
  <c r="BV62" i="6"/>
  <c r="U95" i="2"/>
  <c r="N32" i="2"/>
  <c r="BW80" i="2"/>
  <c r="BJ10" i="2"/>
  <c r="CK77" i="2"/>
  <c r="CA98" i="2"/>
  <c r="AD68" i="2"/>
  <c r="AG10" i="6"/>
  <c r="CH23" i="6"/>
  <c r="BT68" i="6"/>
  <c r="BX51" i="2"/>
  <c r="AW43" i="6"/>
  <c r="V93" i="6"/>
  <c r="AJ71" i="6"/>
  <c r="D54" i="6"/>
  <c r="AH31" i="6"/>
  <c r="W58" i="6"/>
  <c r="AV17" i="2"/>
  <c r="Y33" i="2"/>
  <c r="CP67" i="6"/>
  <c r="J90" i="6"/>
  <c r="W44" i="2"/>
  <c r="AV98" i="6"/>
  <c r="AU38" i="2"/>
  <c r="L38" i="2"/>
  <c r="AE55" i="2"/>
  <c r="BJ93" i="6"/>
  <c r="BV20" i="2"/>
  <c r="CG14" i="2"/>
  <c r="AZ22" i="2"/>
  <c r="AP53" i="6"/>
  <c r="BU49" i="6"/>
  <c r="AY57" i="6"/>
  <c r="CK88" i="6"/>
  <c r="AB24" i="2"/>
  <c r="CL60" i="6"/>
  <c r="U52" i="6"/>
  <c r="AE92" i="6"/>
  <c r="F43" i="6"/>
  <c r="CQ90" i="2"/>
  <c r="BH61" i="2"/>
  <c r="AX93" i="2"/>
  <c r="CS6" i="2"/>
  <c r="CS84" i="2"/>
  <c r="CE38" i="2"/>
  <c r="AZ12" i="2"/>
  <c r="V50" i="2"/>
  <c r="P90" i="2"/>
  <c r="BX97" i="2"/>
  <c r="AB15" i="2"/>
  <c r="CK84" i="6"/>
  <c r="CS91" i="2"/>
  <c r="BJ15" i="2"/>
  <c r="X47" i="2"/>
  <c r="CI67" i="2"/>
  <c r="BW51" i="6"/>
  <c r="BY56" i="2"/>
  <c r="U73" i="2"/>
  <c r="Y29" i="2"/>
  <c r="CJ7" i="2"/>
  <c r="AR73" i="6"/>
  <c r="AB77" i="6"/>
  <c r="E48" i="6"/>
  <c r="W77" i="2"/>
  <c r="AW66" i="2"/>
  <c r="T46" i="6"/>
  <c r="CH43" i="2"/>
  <c r="BB5" i="2"/>
  <c r="CL54" i="6"/>
  <c r="BW33" i="6"/>
  <c r="AH56" i="6"/>
  <c r="AY17" i="2"/>
  <c r="N70" i="6"/>
  <c r="BW90" i="6"/>
  <c r="R26" i="6"/>
  <c r="CI19" i="6"/>
  <c r="BR26" i="6"/>
  <c r="H47" i="6"/>
  <c r="AV84" i="6"/>
  <c r="S96" i="6"/>
  <c r="CN77" i="2"/>
  <c r="P95" i="2"/>
  <c r="BJ79" i="6"/>
  <c r="L8" i="2"/>
  <c r="BW54" i="6"/>
  <c r="CA32" i="2"/>
  <c r="I51" i="2"/>
  <c r="BF11" i="2"/>
  <c r="BI30" i="2"/>
  <c r="D84" i="6"/>
  <c r="BW76" i="2"/>
  <c r="AS86" i="2"/>
  <c r="CF69" i="2"/>
  <c r="AQ73" i="2"/>
  <c r="S2" i="2"/>
  <c r="CB56" i="2"/>
  <c r="BF56" i="6"/>
  <c r="BW42" i="6"/>
  <c r="AO59" i="6"/>
  <c r="AY48" i="6"/>
  <c r="BE79" i="6"/>
  <c r="BB72" i="6"/>
  <c r="CG56" i="6"/>
  <c r="AH45" i="6"/>
  <c r="Q24" i="6"/>
  <c r="Y93" i="6"/>
  <c r="AW38" i="2"/>
  <c r="AN63" i="6"/>
  <c r="CI11" i="6"/>
  <c r="BS40" i="6"/>
  <c r="CE2" i="6"/>
  <c r="BZ69" i="6"/>
  <c r="E85" i="6"/>
  <c r="BW65" i="6"/>
  <c r="AO52" i="6"/>
  <c r="CC86" i="6"/>
  <c r="CF5" i="6"/>
  <c r="BE14" i="6"/>
  <c r="P70" i="6"/>
  <c r="F58" i="6"/>
  <c r="O78" i="6"/>
  <c r="AW97" i="6"/>
  <c r="AD79" i="6"/>
  <c r="AY32" i="2"/>
  <c r="CG90" i="6"/>
  <c r="BH63" i="6"/>
  <c r="BF78" i="6"/>
  <c r="BI32" i="2"/>
  <c r="CM42" i="6"/>
  <c r="AE38" i="6"/>
  <c r="W12" i="6"/>
  <c r="AB38" i="6"/>
  <c r="AP25" i="6"/>
  <c r="H73" i="6"/>
  <c r="R20" i="2"/>
  <c r="AP94" i="6"/>
  <c r="AK81" i="6"/>
  <c r="Y94" i="6"/>
  <c r="V73" i="6"/>
  <c r="CL10" i="2"/>
  <c r="Q86" i="6"/>
  <c r="K15" i="6"/>
  <c r="BT15" i="6"/>
  <c r="P31" i="2"/>
  <c r="BY35" i="6"/>
  <c r="CC52" i="2"/>
  <c r="AV3" i="6"/>
  <c r="BL80" i="6"/>
  <c r="AP28" i="6"/>
  <c r="BT69" i="6"/>
  <c r="AM88" i="2"/>
  <c r="AD67" i="6"/>
  <c r="CQ79" i="6"/>
  <c r="BX89" i="6"/>
  <c r="CH9" i="2"/>
  <c r="BR47" i="6"/>
  <c r="BD55" i="6"/>
  <c r="AU33" i="2"/>
  <c r="CM44" i="2"/>
  <c r="AK3" i="2"/>
  <c r="O17" i="2"/>
  <c r="Z80" i="2"/>
  <c r="BT42" i="2"/>
  <c r="M92" i="6"/>
  <c r="BO24" i="2"/>
  <c r="AF61" i="2"/>
  <c r="CF25" i="2"/>
  <c r="Y32" i="6"/>
  <c r="Z56" i="6"/>
  <c r="AL23" i="6"/>
  <c r="I56" i="6"/>
  <c r="BG38" i="6"/>
  <c r="AN69" i="6"/>
  <c r="CN92" i="6"/>
  <c r="BV18" i="2"/>
  <c r="CP83" i="6"/>
  <c r="AO75" i="6"/>
  <c r="CQ36" i="6"/>
  <c r="R87" i="2"/>
  <c r="BR62" i="6"/>
  <c r="AD97" i="6"/>
  <c r="CA18" i="2"/>
  <c r="CA22" i="2"/>
  <c r="Z28" i="6"/>
  <c r="BV99" i="6"/>
  <c r="BX10" i="2"/>
  <c r="P61" i="6"/>
  <c r="E40" i="6"/>
  <c r="I35" i="6"/>
  <c r="BA37" i="6"/>
  <c r="W35" i="6"/>
  <c r="AB23" i="2"/>
  <c r="CH71" i="6"/>
  <c r="R23" i="2"/>
  <c r="BM67" i="6"/>
  <c r="CJ14" i="6"/>
  <c r="AT43" i="2"/>
  <c r="BF12" i="2"/>
  <c r="I32" i="6"/>
  <c r="BL52" i="2"/>
  <c r="CE3" i="6"/>
  <c r="BR67" i="2"/>
  <c r="G39" i="6"/>
  <c r="BI27" i="6"/>
  <c r="BK14" i="2"/>
  <c r="AW76" i="6"/>
  <c r="AB5" i="2"/>
  <c r="BO33" i="2"/>
  <c r="Z61" i="6"/>
  <c r="AQ18" i="2"/>
  <c r="BB73" i="6"/>
  <c r="CM73" i="6"/>
  <c r="CD62" i="6"/>
  <c r="BE2" i="2"/>
  <c r="CL79" i="6"/>
  <c r="CN53" i="6"/>
  <c r="AI46" i="6"/>
  <c r="BQ56" i="6"/>
  <c r="BA22" i="6"/>
  <c r="AS6" i="6"/>
  <c r="AQ68" i="6"/>
  <c r="AW40" i="6"/>
  <c r="AP39" i="6"/>
  <c r="Z23" i="6"/>
  <c r="BF33" i="6"/>
  <c r="CN62" i="6"/>
  <c r="AM62" i="6"/>
  <c r="Q85" i="6"/>
  <c r="E83" i="6"/>
  <c r="BD13" i="2"/>
  <c r="Q91" i="6"/>
  <c r="CA33" i="2"/>
  <c r="AM30" i="2"/>
  <c r="BG95" i="6"/>
  <c r="AQ29" i="6"/>
  <c r="BP78" i="2"/>
  <c r="AP23" i="6"/>
  <c r="BN84" i="6"/>
  <c r="U94" i="6"/>
  <c r="BN70" i="6"/>
  <c r="BA4" i="2"/>
  <c r="AO60" i="6"/>
  <c r="AR93" i="2"/>
  <c r="BT50" i="6"/>
  <c r="CR25" i="6"/>
  <c r="BO21" i="2"/>
  <c r="BH18" i="2"/>
  <c r="S67" i="2"/>
  <c r="I21" i="2"/>
  <c r="CB57" i="2"/>
  <c r="BY82" i="6"/>
  <c r="CI87" i="2"/>
  <c r="BX19" i="2"/>
  <c r="G92" i="6"/>
  <c r="AV92" i="2"/>
  <c r="P24" i="6"/>
  <c r="CF85" i="6"/>
  <c r="AL81" i="6"/>
  <c r="BT34" i="6"/>
  <c r="V78" i="2"/>
  <c r="O75" i="6"/>
  <c r="AD63" i="6"/>
  <c r="AN85" i="2"/>
  <c r="BD3" i="2"/>
  <c r="BI97" i="6"/>
  <c r="U85" i="6"/>
  <c r="AX93" i="6"/>
  <c r="X90" i="2"/>
  <c r="AJ80" i="2"/>
  <c r="BE58" i="6"/>
  <c r="BK96" i="6"/>
  <c r="I43" i="6"/>
  <c r="AL38" i="6"/>
  <c r="AK92" i="6"/>
  <c r="CB81" i="6"/>
  <c r="CP80" i="6"/>
  <c r="T85" i="2"/>
  <c r="AC55" i="6"/>
  <c r="CG98" i="6"/>
  <c r="BZ21" i="2"/>
  <c r="AG53" i="6"/>
  <c r="CO36" i="6"/>
  <c r="E68" i="6"/>
  <c r="O83" i="6"/>
  <c r="CA95" i="6"/>
  <c r="AC40" i="6"/>
  <c r="BB67" i="6"/>
  <c r="AK29" i="6"/>
  <c r="CR13" i="2"/>
  <c r="AV12" i="2"/>
  <c r="CR26" i="6"/>
  <c r="AH78" i="6"/>
  <c r="AR92" i="6"/>
  <c r="N73" i="2"/>
  <c r="X44" i="6"/>
  <c r="K97" i="2"/>
  <c r="X73" i="2"/>
  <c r="BS14" i="2"/>
  <c r="BQ78" i="2"/>
  <c r="AI43" i="2"/>
  <c r="BA35" i="2"/>
  <c r="CO98" i="6"/>
  <c r="AM32" i="2"/>
  <c r="AA4" i="2"/>
  <c r="CH34" i="2"/>
  <c r="BV54" i="2"/>
  <c r="AI2" i="2"/>
  <c r="X6" i="2"/>
  <c r="K47" i="6"/>
  <c r="BU36" i="6"/>
  <c r="BV49" i="6"/>
  <c r="BO94" i="6"/>
  <c r="X97" i="6"/>
  <c r="J92" i="2"/>
  <c r="AA79" i="6"/>
  <c r="BA94" i="6"/>
  <c r="AV14" i="2"/>
  <c r="CP88" i="2"/>
  <c r="BI100" i="2"/>
  <c r="N3" i="2"/>
  <c r="BA76" i="6"/>
  <c r="BK76" i="6"/>
  <c r="CJ33" i="2"/>
  <c r="AK90" i="6"/>
  <c r="AW87" i="6"/>
  <c r="BD17" i="6"/>
  <c r="BW53" i="6"/>
  <c r="BZ83" i="2"/>
  <c r="BM28" i="6"/>
  <c r="U95" i="6"/>
  <c r="BE54" i="2"/>
  <c r="X24" i="6"/>
  <c r="CG64" i="6"/>
  <c r="CA88" i="2"/>
  <c r="G40" i="2"/>
  <c r="AT71" i="6"/>
  <c r="AJ68" i="2"/>
  <c r="AW49" i="2"/>
  <c r="AY72" i="2"/>
  <c r="BE82" i="6"/>
  <c r="V88" i="2"/>
  <c r="AC76" i="6"/>
  <c r="Y57" i="2"/>
  <c r="W84" i="6"/>
  <c r="AM65" i="2"/>
  <c r="AL49" i="6"/>
  <c r="AZ21" i="6"/>
  <c r="W47" i="6"/>
  <c r="AO58" i="6"/>
  <c r="M33" i="2"/>
  <c r="O25" i="6"/>
  <c r="AD36" i="6"/>
  <c r="L11" i="6"/>
  <c r="CL36" i="6"/>
  <c r="BN96" i="2"/>
  <c r="CD98" i="2"/>
  <c r="BL72" i="6"/>
  <c r="CD89" i="6"/>
  <c r="BE50" i="6"/>
  <c r="AV65" i="6"/>
  <c r="AI92" i="2"/>
  <c r="CK56" i="2"/>
  <c r="D21" i="2"/>
  <c r="D77" i="6"/>
  <c r="I41" i="2"/>
  <c r="CD64" i="2"/>
  <c r="BC95" i="2"/>
  <c r="AZ47" i="2"/>
  <c r="BP43" i="2"/>
  <c r="AO66" i="6"/>
  <c r="CE37" i="6"/>
  <c r="BR36" i="6"/>
  <c r="BN26" i="2"/>
  <c r="AH40" i="2"/>
  <c r="BD74" i="6"/>
  <c r="L58" i="6"/>
  <c r="R45" i="2"/>
  <c r="AM88" i="6"/>
  <c r="AE54" i="2"/>
  <c r="BF65" i="6"/>
  <c r="BQ93" i="2"/>
  <c r="CS59" i="2"/>
  <c r="BT19" i="2"/>
  <c r="CL36" i="2"/>
  <c r="BQ43" i="6"/>
  <c r="CJ24" i="6"/>
  <c r="CE31" i="2"/>
  <c r="AN15" i="2"/>
  <c r="V50" i="6"/>
  <c r="Z37" i="6"/>
  <c r="AL99" i="2"/>
  <c r="Y83" i="2"/>
  <c r="CM93" i="6"/>
  <c r="O26" i="6"/>
  <c r="X68" i="6"/>
  <c r="BV6" i="2"/>
  <c r="D8" i="2"/>
  <c r="AL88" i="6"/>
  <c r="BK78" i="6"/>
  <c r="AM58" i="6"/>
  <c r="AE15" i="2"/>
  <c r="AK47" i="2"/>
  <c r="BB44" i="6"/>
  <c r="U24" i="2"/>
  <c r="CC88" i="2"/>
  <c r="CQ78" i="2"/>
  <c r="BK97" i="2"/>
  <c r="BI95" i="2"/>
  <c r="CG8" i="2"/>
  <c r="BK6" i="2"/>
  <c r="AA9" i="2"/>
  <c r="X25" i="2"/>
  <c r="CL63" i="2"/>
  <c r="CL53" i="6"/>
  <c r="BH53" i="6"/>
  <c r="N21" i="6"/>
  <c r="CC73" i="6"/>
  <c r="L86" i="6"/>
  <c r="AN81" i="2"/>
  <c r="AI15" i="2"/>
  <c r="BO93" i="2"/>
  <c r="AI44" i="2"/>
  <c r="T99" i="6"/>
  <c r="P59" i="6"/>
  <c r="AD92" i="6"/>
  <c r="T73" i="2"/>
  <c r="AO45" i="2"/>
  <c r="BW22" i="6"/>
  <c r="CB12" i="6"/>
  <c r="AK52" i="2"/>
  <c r="T49" i="2"/>
  <c r="CF23" i="6"/>
  <c r="BO90" i="6"/>
  <c r="AY30" i="6"/>
  <c r="AE89" i="6"/>
  <c r="BN89" i="6"/>
  <c r="T63" i="6"/>
  <c r="AH10" i="6"/>
  <c r="AO100" i="6"/>
  <c r="BD42" i="6"/>
  <c r="BU41" i="6"/>
  <c r="P48" i="6"/>
  <c r="AZ34" i="2"/>
  <c r="AS30" i="6"/>
  <c r="T83" i="2"/>
  <c r="E72" i="6"/>
  <c r="K82" i="6"/>
  <c r="BU73" i="2"/>
  <c r="AH57" i="6"/>
  <c r="AR3" i="6"/>
  <c r="BO43" i="6"/>
  <c r="BQ48" i="6"/>
  <c r="CG38" i="6"/>
  <c r="AN21" i="6"/>
  <c r="CI39" i="6"/>
  <c r="AA2" i="2"/>
  <c r="D55" i="6"/>
  <c r="AW48" i="6"/>
  <c r="AB65" i="6"/>
  <c r="Y99" i="2"/>
  <c r="CM2" i="6"/>
  <c r="BD95" i="2"/>
  <c r="AQ56" i="2"/>
  <c r="Q54" i="2"/>
  <c r="CK26" i="6"/>
  <c r="BB35" i="6"/>
  <c r="BB77" i="6"/>
  <c r="CE73" i="6"/>
  <c r="AR43" i="2"/>
  <c r="Y24" i="2"/>
  <c r="AB9" i="6"/>
  <c r="AP64" i="6"/>
  <c r="AQ71" i="6"/>
  <c r="AF32" i="6"/>
  <c r="CL92" i="6"/>
  <c r="N96" i="6"/>
  <c r="T12" i="6"/>
  <c r="AV58" i="6"/>
  <c r="Q17" i="2"/>
  <c r="P85" i="6"/>
  <c r="AI31" i="6"/>
  <c r="CR11" i="2"/>
  <c r="BQ80" i="2"/>
  <c r="BG8" i="2"/>
  <c r="AQ49" i="2"/>
  <c r="CN48" i="2"/>
  <c r="AE93" i="2"/>
  <c r="BV4" i="2"/>
  <c r="BN21" i="2"/>
  <c r="H89" i="6"/>
  <c r="CQ13" i="6"/>
  <c r="BE81" i="6"/>
  <c r="Z88" i="6"/>
  <c r="AK31" i="6"/>
  <c r="V4" i="6"/>
  <c r="H93" i="6"/>
  <c r="BX79" i="6"/>
  <c r="AW10" i="2"/>
  <c r="K100" i="6"/>
  <c r="U24" i="6"/>
  <c r="T19" i="6"/>
  <c r="AS73" i="6"/>
  <c r="L100" i="6"/>
  <c r="AN26" i="6"/>
  <c r="BJ78" i="6"/>
  <c r="AT92" i="6"/>
  <c r="E17" i="6"/>
  <c r="AZ62" i="6"/>
  <c r="V25" i="6"/>
  <c r="Y53" i="2"/>
  <c r="CJ14" i="2"/>
  <c r="BW41" i="2"/>
  <c r="AP33" i="2"/>
  <c r="BZ94" i="6"/>
  <c r="BG67" i="6"/>
  <c r="CG67" i="2"/>
  <c r="AB31" i="6"/>
  <c r="CA99" i="6"/>
  <c r="BO87" i="6"/>
  <c r="AN68" i="2"/>
  <c r="AP55" i="6"/>
  <c r="CA70" i="2"/>
  <c r="CM9" i="6"/>
  <c r="AV3" i="2"/>
  <c r="BN18" i="6"/>
  <c r="BF68" i="6"/>
  <c r="CE89" i="2"/>
  <c r="AA93" i="6"/>
  <c r="AD17" i="2"/>
  <c r="BE23" i="6"/>
  <c r="AK97" i="6"/>
  <c r="AP90" i="2"/>
  <c r="AO63" i="6"/>
  <c r="D33" i="2"/>
  <c r="J44" i="2"/>
  <c r="BQ99" i="6"/>
  <c r="F9" i="2"/>
  <c r="CO78" i="6"/>
  <c r="D72" i="2"/>
  <c r="BB51" i="2"/>
  <c r="BI42" i="2"/>
  <c r="T49" i="6"/>
  <c r="BU81" i="2"/>
  <c r="AU36" i="2"/>
  <c r="BL60" i="6"/>
  <c r="CJ76" i="6"/>
  <c r="CS55" i="2"/>
  <c r="CQ52" i="6"/>
  <c r="BJ78" i="2"/>
  <c r="BP96" i="2"/>
  <c r="AA47" i="6"/>
  <c r="Y9" i="2"/>
  <c r="G16" i="2"/>
  <c r="AF92" i="2"/>
  <c r="E81" i="6"/>
  <c r="BZ4" i="2"/>
  <c r="AJ38" i="2"/>
  <c r="AE100" i="6"/>
  <c r="U15" i="6"/>
  <c r="AQ34" i="6"/>
  <c r="G91" i="6"/>
  <c r="AM74" i="6"/>
  <c r="CA20" i="6"/>
  <c r="AX12" i="6"/>
  <c r="CE60" i="2"/>
  <c r="H90" i="6"/>
  <c r="R42" i="2"/>
  <c r="CB5" i="6"/>
  <c r="BE19" i="6"/>
  <c r="AG46" i="2"/>
  <c r="AP76" i="2"/>
  <c r="AA20" i="2"/>
  <c r="BL79" i="2"/>
  <c r="Q80" i="2"/>
  <c r="AF93" i="2"/>
  <c r="AZ33" i="2"/>
  <c r="AC93" i="2"/>
  <c r="CF75" i="2"/>
  <c r="BV11" i="2"/>
  <c r="BX78" i="6"/>
  <c r="AM77" i="6"/>
  <c r="BR53" i="6"/>
  <c r="BL22" i="2"/>
  <c r="BQ9" i="2"/>
  <c r="CI55" i="6"/>
  <c r="BT47" i="6"/>
  <c r="AE63" i="6"/>
  <c r="BB98" i="6"/>
  <c r="AS5" i="2"/>
  <c r="CQ60" i="6"/>
  <c r="CE55" i="6"/>
  <c r="BJ57" i="6"/>
  <c r="BC96" i="6"/>
  <c r="BD19" i="2"/>
  <c r="BD88" i="6"/>
  <c r="CA73" i="2"/>
  <c r="BC48" i="2"/>
  <c r="BY76" i="2"/>
  <c r="CG61" i="2"/>
  <c r="AH72" i="6"/>
  <c r="BZ27" i="2"/>
  <c r="BG94" i="2"/>
  <c r="AZ88" i="2"/>
  <c r="CP14" i="2"/>
  <c r="CO66" i="6"/>
  <c r="F95" i="6"/>
  <c r="AX16" i="6"/>
  <c r="BJ53" i="6"/>
  <c r="AK39" i="2"/>
  <c r="U84" i="6"/>
  <c r="V27" i="2"/>
  <c r="AP71" i="6"/>
  <c r="W80" i="6"/>
  <c r="H73" i="2"/>
  <c r="P35" i="6"/>
  <c r="CQ88" i="6"/>
  <c r="U98" i="6"/>
  <c r="AO20" i="2"/>
  <c r="J79" i="2"/>
  <c r="BK48" i="6"/>
  <c r="CG67" i="6"/>
  <c r="BE73" i="6"/>
  <c r="BF64" i="6"/>
  <c r="H48" i="6"/>
  <c r="BW39" i="6"/>
  <c r="AU66" i="6"/>
  <c r="BW19" i="2"/>
  <c r="AD6" i="2"/>
  <c r="BI44" i="6"/>
  <c r="BO38" i="6"/>
  <c r="O89" i="6"/>
  <c r="AN93" i="6"/>
  <c r="AR63" i="6"/>
  <c r="AR65" i="6"/>
  <c r="CD44" i="2"/>
  <c r="CH73" i="2"/>
  <c r="BG55" i="2"/>
  <c r="E78" i="2"/>
  <c r="BH22" i="2"/>
  <c r="AX5" i="2"/>
  <c r="AW95" i="2"/>
  <c r="CN68" i="2"/>
  <c r="BM78" i="6"/>
  <c r="I91" i="2"/>
  <c r="CA31" i="2"/>
  <c r="Z67" i="2"/>
  <c r="BL100" i="2"/>
  <c r="CE85" i="6"/>
  <c r="CG66" i="6"/>
  <c r="BI91" i="6"/>
  <c r="CB42" i="6"/>
  <c r="BC85" i="6"/>
  <c r="AC38" i="2"/>
  <c r="U70" i="2"/>
  <c r="AF62" i="6"/>
  <c r="G84" i="6"/>
  <c r="AR96" i="2"/>
  <c r="Y16" i="2"/>
  <c r="H54" i="6"/>
  <c r="CM79" i="6"/>
  <c r="AC11" i="6"/>
  <c r="CR48" i="6"/>
  <c r="BE70" i="6"/>
  <c r="I11" i="2"/>
  <c r="CK48" i="6"/>
  <c r="CB87" i="6"/>
  <c r="BN68" i="6"/>
  <c r="CK14" i="6"/>
  <c r="AG14" i="6"/>
  <c r="CI93" i="2"/>
  <c r="BT72" i="6"/>
  <c r="AV4" i="6"/>
  <c r="AZ2" i="6"/>
  <c r="X8" i="6"/>
  <c r="Y83" i="6"/>
  <c r="K46" i="6"/>
  <c r="AY74" i="6"/>
  <c r="Y59" i="6"/>
  <c r="AN49" i="6"/>
  <c r="BR61" i="6"/>
  <c r="D100" i="6"/>
  <c r="P43" i="6"/>
  <c r="V96" i="2"/>
  <c r="BF25" i="6"/>
  <c r="AI3" i="2"/>
  <c r="AL34" i="6"/>
  <c r="AJ63" i="6"/>
  <c r="H52" i="2"/>
  <c r="AC89" i="6"/>
  <c r="AT13" i="6"/>
  <c r="AD99" i="6"/>
  <c r="CA20" i="2"/>
  <c r="BY71" i="2"/>
  <c r="Q79" i="6"/>
  <c r="BB57" i="6"/>
  <c r="G89" i="6"/>
  <c r="AG10" i="2"/>
  <c r="BF28" i="6"/>
  <c r="AA45" i="6"/>
  <c r="AV25" i="6"/>
  <c r="CI63" i="6"/>
  <c r="BI88" i="6"/>
  <c r="S75" i="6"/>
  <c r="Z41" i="2"/>
  <c r="V66" i="2"/>
  <c r="CG44" i="6"/>
  <c r="O39" i="2"/>
  <c r="AK100" i="2"/>
  <c r="AV69" i="6"/>
  <c r="D84" i="2"/>
  <c r="CA64" i="2"/>
  <c r="BY79" i="6"/>
  <c r="CM97" i="2"/>
  <c r="CR95" i="2"/>
  <c r="AG87" i="6"/>
  <c r="CR78" i="6"/>
  <c r="AJ84" i="6"/>
  <c r="CP37" i="2"/>
  <c r="AE73" i="6"/>
  <c r="V65" i="6"/>
  <c r="R3" i="2"/>
  <c r="CI97" i="6"/>
  <c r="Y35" i="6"/>
  <c r="AT35" i="6"/>
  <c r="BE35" i="2"/>
  <c r="BA54" i="6"/>
  <c r="BL25" i="6"/>
  <c r="R75" i="6"/>
  <c r="AI16" i="2"/>
  <c r="V45" i="6"/>
  <c r="BT77" i="2"/>
  <c r="BJ18" i="2"/>
  <c r="CO82" i="6"/>
  <c r="AJ66" i="6"/>
  <c r="S41" i="6"/>
  <c r="BJ80" i="6"/>
  <c r="BS43" i="2"/>
  <c r="BP31" i="6"/>
  <c r="BF55" i="6"/>
  <c r="CN30" i="6"/>
  <c r="U72" i="6"/>
  <c r="BW5" i="6"/>
  <c r="L45" i="6"/>
  <c r="AH35" i="2"/>
  <c r="E87" i="6"/>
  <c r="BX25" i="2"/>
  <c r="AY43" i="2"/>
  <c r="BV24" i="6"/>
  <c r="BD26" i="6"/>
  <c r="BX58" i="6"/>
  <c r="W71" i="6"/>
  <c r="AK4" i="2"/>
  <c r="AU60" i="6"/>
  <c r="W75" i="2"/>
  <c r="D56" i="6"/>
  <c r="BK98" i="2"/>
  <c r="C7" i="2"/>
  <c r="CF18" i="2"/>
  <c r="O87" i="6"/>
  <c r="C84" i="6"/>
  <c r="BV60" i="2"/>
  <c r="N85" i="2"/>
  <c r="AJ76" i="2"/>
  <c r="BP72" i="2"/>
  <c r="AB40" i="6"/>
  <c r="AK43" i="2"/>
  <c r="BB50" i="2"/>
  <c r="H53" i="6"/>
  <c r="BU61" i="6"/>
  <c r="BT4" i="2"/>
  <c r="AF42" i="6"/>
  <c r="CF85" i="2"/>
  <c r="CH16" i="6"/>
  <c r="CE20" i="2"/>
  <c r="BU97" i="2"/>
  <c r="AR45" i="2"/>
  <c r="CD60" i="2"/>
  <c r="CT31" i="2"/>
  <c r="AF67" i="6"/>
  <c r="CI92" i="6"/>
  <c r="U69" i="6"/>
  <c r="O63" i="6"/>
  <c r="BE71" i="6"/>
  <c r="AO45" i="6"/>
  <c r="BP52" i="2"/>
  <c r="R69" i="6"/>
  <c r="CG47" i="6"/>
  <c r="AT39" i="6"/>
  <c r="BB79" i="6"/>
  <c r="BT20" i="6"/>
  <c r="S28" i="2"/>
  <c r="BK57" i="2"/>
  <c r="AD38" i="6"/>
  <c r="AY10" i="2"/>
  <c r="BZ82" i="6"/>
  <c r="BS73" i="2"/>
  <c r="V90" i="2"/>
  <c r="AK33" i="2"/>
  <c r="BM79" i="2"/>
  <c r="CP81" i="2"/>
  <c r="CM15" i="2"/>
  <c r="CC31" i="6"/>
  <c r="AP2" i="2"/>
  <c r="BL77" i="6"/>
  <c r="BZ26" i="6"/>
  <c r="AW94" i="6"/>
  <c r="I96" i="6"/>
  <c r="AH36" i="6"/>
  <c r="BU81" i="6"/>
  <c r="BD32" i="6"/>
  <c r="AV39" i="6"/>
  <c r="BG71" i="6"/>
  <c r="AS96" i="2"/>
  <c r="Y20" i="6"/>
  <c r="G9" i="2"/>
  <c r="BL95" i="6"/>
  <c r="BE66" i="6"/>
  <c r="AH38" i="2"/>
  <c r="CE72" i="2"/>
  <c r="I50" i="2"/>
  <c r="Z30" i="2"/>
  <c r="BY81" i="2"/>
  <c r="W50" i="2"/>
  <c r="CB72" i="2"/>
  <c r="L90" i="6"/>
  <c r="O84" i="6"/>
  <c r="CM11" i="2"/>
  <c r="D79" i="6"/>
  <c r="AP9" i="2"/>
  <c r="AF93" i="6"/>
  <c r="AX56" i="2"/>
  <c r="CO33" i="2"/>
  <c r="AA20" i="6"/>
  <c r="CE91" i="6"/>
  <c r="CS8" i="2"/>
  <c r="V5" i="2"/>
  <c r="W10" i="2"/>
  <c r="AJ72" i="2"/>
  <c r="AX21" i="2"/>
  <c r="BY20" i="2"/>
  <c r="CI86" i="6"/>
  <c r="CN88" i="6"/>
  <c r="BO93" i="6"/>
  <c r="CP31" i="6"/>
  <c r="AR36" i="6"/>
  <c r="BY56" i="6"/>
  <c r="BU14" i="2"/>
  <c r="AB53" i="6"/>
  <c r="L85" i="6"/>
  <c r="AX10" i="6"/>
  <c r="W60" i="6"/>
  <c r="CH79" i="2"/>
  <c r="AJ98" i="2"/>
  <c r="BM69" i="2"/>
  <c r="CP93" i="2"/>
  <c r="AA66" i="6"/>
  <c r="AA41" i="6"/>
  <c r="AR88" i="6"/>
  <c r="AT68" i="6"/>
  <c r="AV29" i="6"/>
  <c r="AC72" i="6"/>
  <c r="Y47" i="2"/>
  <c r="BP18" i="6"/>
  <c r="BM72" i="2"/>
  <c r="CH69" i="6"/>
  <c r="V62" i="6"/>
  <c r="BE65" i="6"/>
  <c r="CQ4" i="2"/>
  <c r="AK92" i="2"/>
  <c r="Q27" i="6"/>
  <c r="AB87" i="6"/>
  <c r="AS88" i="6"/>
  <c r="BN86" i="6"/>
  <c r="CF90" i="6"/>
  <c r="BT63" i="6"/>
  <c r="BN55" i="2"/>
  <c r="S20" i="6"/>
  <c r="AG3" i="2"/>
  <c r="BK95" i="6"/>
  <c r="F7" i="6"/>
  <c r="CD29" i="6"/>
  <c r="T61" i="6"/>
  <c r="W28" i="6"/>
  <c r="BX61" i="6"/>
  <c r="AZ18" i="6"/>
  <c r="CM7" i="6"/>
  <c r="AJ70" i="6"/>
  <c r="BB46" i="6"/>
  <c r="AP30" i="6"/>
  <c r="CL14" i="6"/>
  <c r="BA86" i="6"/>
  <c r="U75" i="6"/>
  <c r="AY12" i="2"/>
  <c r="AD3" i="6"/>
  <c r="BL75" i="2"/>
  <c r="AT100" i="6"/>
  <c r="AY89" i="6"/>
  <c r="AO17" i="2"/>
  <c r="BL45" i="6"/>
  <c r="CH50" i="6"/>
  <c r="AJ85" i="2"/>
  <c r="BE61" i="6"/>
  <c r="AD18" i="6"/>
  <c r="BX99" i="6"/>
  <c r="BY76" i="6"/>
  <c r="AF7" i="2"/>
  <c r="BW73" i="6"/>
  <c r="AG91" i="6"/>
  <c r="AP38" i="2"/>
  <c r="BA15" i="6"/>
  <c r="CG49" i="2"/>
  <c r="AP60" i="6"/>
  <c r="F15" i="2"/>
  <c r="BQ77" i="6"/>
  <c r="AP84" i="2"/>
  <c r="Y88" i="6"/>
  <c r="BZ37" i="2"/>
  <c r="BA42" i="2"/>
  <c r="CO64" i="2"/>
  <c r="AV41" i="6"/>
  <c r="G29" i="6"/>
  <c r="BM33" i="6"/>
  <c r="M60" i="6"/>
  <c r="BG4" i="2"/>
  <c r="BQ64" i="6"/>
  <c r="AN87" i="6"/>
  <c r="M89" i="6"/>
  <c r="M50" i="6"/>
  <c r="Y53" i="6"/>
  <c r="CL19" i="6"/>
  <c r="AL22" i="6"/>
  <c r="AW26" i="6"/>
  <c r="Y40" i="2"/>
  <c r="AC51" i="2"/>
  <c r="AE10" i="6"/>
  <c r="P65" i="6"/>
  <c r="AK94" i="2"/>
  <c r="AG39" i="6"/>
  <c r="BX35" i="6"/>
  <c r="BY69" i="6"/>
  <c r="AB79" i="6"/>
  <c r="S48" i="2"/>
  <c r="M4" i="6"/>
  <c r="W20" i="6"/>
  <c r="AN65" i="2"/>
  <c r="BX84" i="6"/>
  <c r="AC52" i="6"/>
  <c r="CQ59" i="6"/>
  <c r="AN64" i="2"/>
  <c r="K70" i="6"/>
  <c r="BN16" i="2"/>
  <c r="AG22" i="2"/>
  <c r="BA29" i="6"/>
  <c r="AW51" i="2"/>
  <c r="Q16" i="6"/>
  <c r="BO47" i="6"/>
  <c r="BK40" i="6"/>
  <c r="P100" i="6"/>
  <c r="BD88" i="2"/>
  <c r="CH44" i="2"/>
  <c r="CJ42" i="6"/>
  <c r="CJ91" i="2"/>
  <c r="AP44" i="6"/>
  <c r="N76" i="2"/>
  <c r="AJ88" i="2"/>
  <c r="BC74" i="2"/>
  <c r="Y96" i="6"/>
  <c r="I74" i="6"/>
  <c r="BR45" i="2"/>
  <c r="CH77" i="2"/>
  <c r="AR55" i="6"/>
  <c r="D11" i="2"/>
  <c r="CE76" i="6"/>
  <c r="CB46" i="6"/>
  <c r="AP52" i="6"/>
  <c r="BH69" i="6"/>
  <c r="AM69" i="6"/>
  <c r="BR70" i="2"/>
  <c r="AU52" i="6"/>
  <c r="CO31" i="6"/>
  <c r="U88" i="6"/>
  <c r="BR87" i="2"/>
  <c r="BT74" i="2"/>
  <c r="O13" i="2"/>
  <c r="CT74" i="2"/>
  <c r="BF59" i="6"/>
  <c r="BW85" i="2"/>
  <c r="CB73" i="6"/>
  <c r="AK2" i="2"/>
  <c r="Z32" i="6"/>
  <c r="AJ43" i="6"/>
  <c r="AS47" i="2"/>
  <c r="CN76" i="6"/>
  <c r="BE90" i="6"/>
  <c r="CD55" i="6"/>
  <c r="AE65" i="6"/>
  <c r="AR74" i="6"/>
  <c r="AU61" i="6"/>
  <c r="AJ93" i="6"/>
  <c r="CP77" i="2"/>
  <c r="CT87" i="2"/>
  <c r="BD57" i="2"/>
  <c r="T68" i="6"/>
  <c r="CG42" i="2"/>
  <c r="CB95" i="6"/>
  <c r="BV8" i="2"/>
  <c r="BG44" i="6"/>
  <c r="AK63" i="6"/>
  <c r="T100" i="2"/>
  <c r="BC23" i="2"/>
  <c r="BZ83" i="6"/>
  <c r="Q50" i="6"/>
  <c r="Z74" i="2"/>
  <c r="AU75" i="6"/>
  <c r="G37" i="6"/>
  <c r="AN94" i="2"/>
  <c r="BJ35" i="6"/>
  <c r="Y34" i="2"/>
  <c r="CB18" i="6"/>
  <c r="BG28" i="6"/>
  <c r="C64" i="6"/>
  <c r="BV46" i="6"/>
  <c r="BR96" i="6"/>
  <c r="Z96" i="6"/>
  <c r="AU89" i="6"/>
  <c r="CC7" i="6"/>
  <c r="AD15" i="6"/>
  <c r="CE95" i="6"/>
  <c r="BV92" i="6"/>
  <c r="AF16" i="2"/>
  <c r="BF53" i="6"/>
  <c r="BA24" i="6"/>
  <c r="AZ80" i="6"/>
  <c r="X29" i="6"/>
  <c r="BR37" i="6"/>
  <c r="CG87" i="2"/>
  <c r="AX35" i="2"/>
  <c r="AI40" i="6"/>
  <c r="E45" i="6"/>
  <c r="K35" i="2"/>
  <c r="CE18" i="2"/>
  <c r="G87" i="6"/>
  <c r="CF13" i="2"/>
  <c r="AY68" i="2"/>
  <c r="BQ79" i="6"/>
  <c r="BS68" i="6"/>
  <c r="BP54" i="6"/>
  <c r="BA19" i="2"/>
  <c r="BG19" i="2"/>
  <c r="BY62" i="2"/>
  <c r="CM15" i="6"/>
  <c r="BU89" i="6"/>
  <c r="BS38" i="6"/>
  <c r="Y25" i="2"/>
  <c r="AR44" i="6"/>
  <c r="CD40" i="2"/>
  <c r="BZ87" i="2"/>
  <c r="AE86" i="6"/>
  <c r="AE34" i="2"/>
  <c r="AN28" i="2"/>
  <c r="E29" i="2"/>
  <c r="CD25" i="2"/>
  <c r="AE58" i="6"/>
  <c r="AC16" i="6"/>
  <c r="CC11" i="6"/>
  <c r="K23" i="6"/>
  <c r="AU21" i="2"/>
  <c r="Z24" i="6"/>
  <c r="AS17" i="6"/>
  <c r="BA67" i="2"/>
  <c r="AX25" i="6"/>
  <c r="V99" i="2"/>
  <c r="AM37" i="6"/>
  <c r="BR34" i="6"/>
  <c r="AZ8" i="6"/>
  <c r="AV78" i="6"/>
  <c r="BJ58" i="6"/>
  <c r="CT2" i="2"/>
  <c r="AW69" i="2"/>
  <c r="BV94" i="6"/>
  <c r="CP66" i="6"/>
  <c r="Y30" i="6"/>
  <c r="CE71" i="2"/>
  <c r="BZ75" i="2"/>
  <c r="J31" i="6"/>
  <c r="AW9" i="2"/>
  <c r="AB12" i="6"/>
  <c r="BE99" i="6"/>
  <c r="V96" i="6"/>
  <c r="AM25" i="6"/>
  <c r="AY21" i="6"/>
  <c r="AA94" i="6"/>
  <c r="AO42" i="2"/>
  <c r="CR29" i="6"/>
  <c r="AC49" i="6"/>
  <c r="AG45" i="6"/>
  <c r="CG73" i="6"/>
  <c r="BD46" i="6"/>
  <c r="BE75" i="6"/>
  <c r="CF45" i="6"/>
  <c r="CB59" i="6"/>
  <c r="BN35" i="6"/>
  <c r="O79" i="6"/>
  <c r="CR6" i="6"/>
  <c r="AD76" i="6"/>
  <c r="BK58" i="2"/>
  <c r="CM70" i="6"/>
  <c r="D43" i="6"/>
  <c r="AH91" i="2"/>
  <c r="AU44" i="6"/>
  <c r="CM73" i="2"/>
  <c r="AS48" i="2"/>
  <c r="D56" i="2"/>
  <c r="BT24" i="2"/>
  <c r="AE77" i="6"/>
  <c r="BG73" i="2"/>
  <c r="BB85" i="2"/>
  <c r="BO45" i="2"/>
  <c r="CI35" i="6"/>
  <c r="AC98" i="6"/>
  <c r="CP64" i="6"/>
  <c r="O32" i="2"/>
  <c r="CN91" i="2"/>
  <c r="BG98" i="2"/>
  <c r="Z94" i="6"/>
  <c r="BK99" i="6"/>
  <c r="AQ86" i="2"/>
  <c r="BT13" i="2"/>
  <c r="AD62" i="6"/>
  <c r="AS55" i="2"/>
  <c r="L65" i="6"/>
  <c r="CN73" i="6"/>
  <c r="BK73" i="6"/>
  <c r="R8" i="2"/>
  <c r="G57" i="6"/>
  <c r="CA46" i="6"/>
  <c r="AV82" i="6"/>
  <c r="C36" i="6"/>
  <c r="BP92" i="6"/>
  <c r="BW79" i="6"/>
  <c r="BL33" i="6"/>
  <c r="I11" i="6"/>
  <c r="AH42" i="2"/>
  <c r="BJ99" i="2"/>
  <c r="H76" i="6"/>
  <c r="J34" i="6"/>
  <c r="BS57" i="2"/>
  <c r="V23" i="2"/>
  <c r="AI72" i="2"/>
  <c r="AQ38" i="2"/>
  <c r="BO25" i="2"/>
  <c r="CE62" i="2"/>
  <c r="BD90" i="2"/>
  <c r="AO70" i="6"/>
  <c r="W70" i="6"/>
  <c r="AZ66" i="6"/>
  <c r="BJ82" i="6"/>
  <c r="K90" i="6"/>
  <c r="BY21" i="2"/>
  <c r="BA8" i="2"/>
  <c r="CL18" i="2"/>
  <c r="AP100" i="6"/>
  <c r="BE47" i="6"/>
  <c r="CQ80" i="2"/>
  <c r="AL39" i="2"/>
  <c r="AV47" i="6"/>
  <c r="D97" i="6"/>
  <c r="P15" i="2"/>
  <c r="BP56" i="6"/>
  <c r="CB35" i="2"/>
  <c r="AI69" i="2"/>
  <c r="Q15" i="2"/>
  <c r="BJ6" i="2"/>
  <c r="BY50" i="2"/>
  <c r="AG64" i="2"/>
  <c r="BU87" i="2"/>
  <c r="U83" i="2"/>
  <c r="BE34" i="6"/>
  <c r="AQ35" i="6"/>
  <c r="BW97" i="2"/>
  <c r="BE36" i="2"/>
  <c r="BN67" i="2"/>
  <c r="BO48" i="6"/>
  <c r="CP66" i="2"/>
  <c r="AL28" i="2"/>
  <c r="T95" i="6"/>
  <c r="AR95" i="6"/>
  <c r="BD37" i="6"/>
  <c r="CM37" i="2"/>
  <c r="CR86" i="6"/>
  <c r="AZ19" i="2"/>
  <c r="BI43" i="2"/>
  <c r="CJ45" i="6"/>
  <c r="BY86" i="6"/>
  <c r="AH17" i="6"/>
  <c r="AH39" i="2"/>
  <c r="AC18" i="6"/>
  <c r="AB21" i="6"/>
  <c r="CQ14" i="2"/>
  <c r="BL70" i="2"/>
  <c r="AS71" i="6"/>
  <c r="CF66" i="6"/>
  <c r="BD49" i="6"/>
  <c r="AN46" i="6"/>
  <c r="CC48" i="2"/>
  <c r="CP51" i="6"/>
  <c r="AZ77" i="6"/>
  <c r="AF40" i="2"/>
  <c r="AK60" i="2"/>
  <c r="U61" i="6"/>
  <c r="BX24" i="6"/>
  <c r="AM39" i="6"/>
  <c r="H49" i="6"/>
  <c r="BK83" i="6"/>
  <c r="V81" i="2"/>
  <c r="BT83" i="6"/>
  <c r="CE52" i="6"/>
  <c r="L56" i="6"/>
  <c r="I48" i="6"/>
  <c r="BG29" i="6"/>
  <c r="E30" i="2"/>
  <c r="AV52" i="2"/>
  <c r="P77" i="6"/>
  <c r="BN33" i="2"/>
  <c r="J20" i="6"/>
  <c r="CC99" i="6"/>
  <c r="AD4" i="2"/>
  <c r="CF69" i="6"/>
  <c r="AA73" i="6"/>
  <c r="AH73" i="6"/>
  <c r="CB94" i="6"/>
  <c r="AA99" i="6"/>
  <c r="H60" i="6"/>
  <c r="CJ49" i="6"/>
  <c r="BS52" i="6"/>
  <c r="BV6" i="6"/>
  <c r="BG76" i="2"/>
  <c r="W37" i="6"/>
  <c r="BV53" i="6"/>
  <c r="AS46" i="6"/>
  <c r="BN27" i="6"/>
  <c r="CP40" i="6"/>
  <c r="BQ36" i="6"/>
  <c r="BQ82" i="2"/>
  <c r="AG18" i="2"/>
  <c r="CQ65" i="6"/>
  <c r="CL88" i="6"/>
  <c r="BP28" i="6"/>
  <c r="M83" i="2"/>
  <c r="AP62" i="6"/>
  <c r="R24" i="2"/>
  <c r="BP61" i="6"/>
  <c r="AD59" i="6"/>
  <c r="BS95" i="6"/>
  <c r="AR69" i="6"/>
  <c r="CR92" i="2"/>
  <c r="AI99" i="2"/>
  <c r="V21" i="2"/>
  <c r="V32" i="2"/>
  <c r="AR89" i="6"/>
  <c r="J41" i="2"/>
  <c r="AR34" i="2"/>
  <c r="BE5" i="6"/>
  <c r="BM40" i="6"/>
  <c r="CM87" i="6"/>
  <c r="BN62" i="6"/>
  <c r="K29" i="6"/>
  <c r="CS17" i="2"/>
  <c r="AL68" i="6"/>
  <c r="BE33" i="6"/>
  <c r="AA39" i="6"/>
  <c r="CC26" i="2"/>
  <c r="AB56" i="6"/>
  <c r="L3" i="6"/>
  <c r="S81" i="6"/>
  <c r="P51" i="6"/>
  <c r="AA97" i="6"/>
  <c r="BS28" i="2"/>
  <c r="Q76" i="6"/>
  <c r="BL44" i="6"/>
  <c r="CP13" i="6"/>
  <c r="AY67" i="6"/>
  <c r="N70" i="2"/>
  <c r="BR98" i="2"/>
  <c r="AQ85" i="6"/>
  <c r="CN11" i="2"/>
  <c r="BL86" i="6"/>
  <c r="J93" i="6"/>
  <c r="BZ84" i="6"/>
  <c r="BX53" i="6"/>
  <c r="BN76" i="6"/>
  <c r="AB58" i="6"/>
  <c r="AZ4" i="6"/>
  <c r="BD91" i="6"/>
  <c r="CP19" i="6"/>
  <c r="CK27" i="2"/>
  <c r="O85" i="6"/>
  <c r="H77" i="2"/>
  <c r="F34" i="6"/>
  <c r="CD49" i="2"/>
  <c r="CC72" i="6"/>
  <c r="BE55" i="6"/>
  <c r="BN67" i="6"/>
  <c r="Z100" i="2"/>
  <c r="W77" i="6"/>
  <c r="Z25" i="2"/>
  <c r="P22" i="2"/>
  <c r="CP19" i="2"/>
  <c r="H58" i="2"/>
  <c r="F79" i="2"/>
  <c r="H83" i="2"/>
  <c r="CN75" i="2"/>
  <c r="CJ24" i="2"/>
  <c r="D15" i="2"/>
  <c r="CG100" i="2"/>
  <c r="AC28" i="2"/>
  <c r="X56" i="6"/>
  <c r="BR73" i="6"/>
  <c r="BI63" i="6"/>
  <c r="CF94" i="6"/>
  <c r="AO49" i="6"/>
  <c r="AY69" i="6"/>
  <c r="CH76" i="2"/>
  <c r="AP63" i="2"/>
  <c r="C19" i="6"/>
  <c r="BS2" i="2"/>
  <c r="AA62" i="6"/>
  <c r="AR53" i="2"/>
  <c r="AB66" i="6"/>
  <c r="CC23" i="2"/>
  <c r="BY44" i="6"/>
  <c r="S8" i="2"/>
  <c r="BL84" i="6"/>
  <c r="AD57" i="6"/>
  <c r="D83" i="6"/>
  <c r="AM31" i="2"/>
  <c r="AS43" i="6"/>
  <c r="CK64" i="6"/>
  <c r="K81" i="6"/>
  <c r="R70" i="6"/>
  <c r="S57" i="6"/>
  <c r="CK78" i="6"/>
  <c r="BI87" i="6"/>
  <c r="AV33" i="2"/>
  <c r="BY75" i="2"/>
  <c r="AZ26" i="2"/>
  <c r="CA25" i="2"/>
  <c r="CN61" i="2"/>
  <c r="BP84" i="2"/>
  <c r="CE84" i="2"/>
  <c r="BN49" i="2"/>
  <c r="CH40" i="2"/>
  <c r="O58" i="6"/>
  <c r="BK2" i="2"/>
  <c r="CO75" i="6"/>
  <c r="BG23" i="6"/>
  <c r="T50" i="6"/>
  <c r="AC35" i="6"/>
  <c r="AM98" i="2"/>
  <c r="AU45" i="6"/>
  <c r="U62" i="6"/>
  <c r="BK33" i="6"/>
  <c r="CK12" i="6"/>
  <c r="AQ43" i="6"/>
  <c r="CI66" i="6"/>
  <c r="AK82" i="2"/>
  <c r="BS90" i="2"/>
  <c r="BQ4" i="2"/>
  <c r="CM90" i="6"/>
  <c r="BV66" i="2"/>
  <c r="AG5" i="6"/>
  <c r="AC92" i="6"/>
  <c r="BP27" i="6"/>
  <c r="R39" i="6"/>
  <c r="Y58" i="6"/>
  <c r="AV50" i="2"/>
  <c r="Y7" i="2"/>
  <c r="CO43" i="2"/>
  <c r="BT90" i="2"/>
  <c r="W52" i="6"/>
  <c r="AY31" i="6"/>
  <c r="CR28" i="6"/>
  <c r="S83" i="6"/>
  <c r="AF23" i="6"/>
  <c r="BW57" i="6"/>
  <c r="BX58" i="2"/>
  <c r="CM30" i="6"/>
  <c r="BU40" i="6"/>
  <c r="BB43" i="6"/>
  <c r="BY26" i="2"/>
  <c r="CP45" i="6"/>
  <c r="W18" i="6"/>
  <c r="BQ62" i="2"/>
  <c r="CG58" i="2"/>
  <c r="BA41" i="6"/>
  <c r="AK66" i="6"/>
  <c r="AH85" i="2"/>
  <c r="CE57" i="6"/>
  <c r="AG26" i="6"/>
  <c r="X14" i="6"/>
  <c r="R2" i="2"/>
  <c r="BD6" i="2"/>
  <c r="CO52" i="6"/>
  <c r="BN30" i="6"/>
  <c r="Z49" i="2"/>
  <c r="CA29" i="6"/>
  <c r="AI9" i="2"/>
  <c r="BH59" i="2"/>
  <c r="AE83" i="6"/>
  <c r="AO48" i="2"/>
  <c r="AW58" i="6"/>
  <c r="CT51" i="2"/>
  <c r="CP38" i="6"/>
  <c r="CA27" i="2"/>
  <c r="X84" i="6"/>
  <c r="CE67" i="2"/>
  <c r="R89" i="2"/>
  <c r="CD21" i="6"/>
  <c r="CL78" i="6"/>
  <c r="BF8" i="6"/>
  <c r="CD66" i="2"/>
  <c r="N99" i="6"/>
  <c r="CR40" i="6"/>
  <c r="CI36" i="2"/>
  <c r="Y23" i="2"/>
  <c r="O49" i="6"/>
  <c r="AV75" i="6"/>
  <c r="CP65" i="6"/>
  <c r="BX26" i="2"/>
  <c r="CR17" i="2"/>
  <c r="BF73" i="2"/>
  <c r="M82" i="2"/>
  <c r="S27" i="6"/>
  <c r="J40" i="6"/>
  <c r="AE30" i="6"/>
  <c r="BS65" i="6"/>
  <c r="BG33" i="6"/>
  <c r="BB71" i="2"/>
  <c r="AF63" i="6"/>
  <c r="AN12" i="6"/>
  <c r="AS59" i="6"/>
  <c r="CF59" i="6"/>
  <c r="E56" i="6"/>
  <c r="U39" i="6"/>
  <c r="CR22" i="2"/>
  <c r="BA61" i="6"/>
  <c r="Z23" i="2"/>
  <c r="CM16" i="2"/>
  <c r="CN66" i="6"/>
  <c r="CC2" i="2"/>
  <c r="AL91" i="2"/>
  <c r="J67" i="6"/>
  <c r="BE28" i="2"/>
  <c r="T23" i="6"/>
  <c r="CG46" i="2"/>
  <c r="G21" i="6"/>
  <c r="K75" i="6"/>
  <c r="AB44" i="6"/>
  <c r="AW85" i="6"/>
  <c r="AJ65" i="6"/>
  <c r="AO16" i="2"/>
  <c r="Y28" i="6"/>
  <c r="CO41" i="6"/>
  <c r="Z19" i="6"/>
  <c r="AY66" i="6"/>
  <c r="BC94" i="6"/>
  <c r="AL37" i="6"/>
  <c r="Q71" i="6"/>
  <c r="P86" i="6"/>
  <c r="AI11" i="2"/>
  <c r="BE72" i="6"/>
  <c r="CR71" i="6"/>
  <c r="E18" i="6"/>
  <c r="AM94" i="6"/>
  <c r="AT17" i="2"/>
  <c r="AC72" i="2"/>
  <c r="AE76" i="2"/>
  <c r="BX42" i="2"/>
  <c r="CL2" i="2"/>
  <c r="CB78" i="2"/>
  <c r="CL76" i="2"/>
  <c r="CL100" i="6"/>
  <c r="BU8" i="2"/>
  <c r="CI73" i="6"/>
  <c r="BX34" i="2"/>
  <c r="CH36" i="2"/>
  <c r="BF86" i="6"/>
  <c r="AY37" i="6"/>
  <c r="CP3" i="6"/>
  <c r="CM6" i="6"/>
  <c r="W58" i="2"/>
  <c r="AY61" i="2"/>
  <c r="BX44" i="2"/>
  <c r="L39" i="6"/>
  <c r="AI6" i="2"/>
  <c r="AO98" i="6"/>
  <c r="AN8" i="2"/>
  <c r="BQ82" i="6"/>
  <c r="AD14" i="2"/>
  <c r="BP49" i="2"/>
  <c r="CB34" i="6"/>
  <c r="BE76" i="6"/>
  <c r="N18" i="6"/>
  <c r="Q92" i="6"/>
  <c r="M72" i="2"/>
  <c r="Z43" i="6"/>
  <c r="CF5" i="2"/>
  <c r="CH83" i="6"/>
  <c r="BL23" i="2"/>
  <c r="BB23" i="6"/>
  <c r="CL69" i="6"/>
  <c r="CO55" i="6"/>
  <c r="AU32" i="2"/>
  <c r="BP15" i="6"/>
  <c r="AC97" i="6"/>
  <c r="F27" i="2"/>
  <c r="CR83" i="2"/>
  <c r="V30" i="2"/>
  <c r="F77" i="2"/>
  <c r="CD82" i="6"/>
  <c r="V45" i="2"/>
  <c r="BO58" i="2"/>
  <c r="C58" i="2"/>
  <c r="AF6" i="6"/>
  <c r="AA34" i="2"/>
  <c r="BF47" i="6"/>
  <c r="AU62" i="6"/>
  <c r="BG84" i="6"/>
  <c r="AV42" i="6"/>
  <c r="BQ27" i="6"/>
  <c r="T5" i="6"/>
  <c r="Y29" i="6"/>
  <c r="AP51" i="6"/>
  <c r="CL90" i="6"/>
  <c r="S86" i="2"/>
  <c r="AX16" i="2"/>
  <c r="CO14" i="2"/>
  <c r="AT24" i="2"/>
  <c r="BW87" i="2"/>
  <c r="CE96" i="6"/>
  <c r="CC58" i="2"/>
  <c r="Z21" i="2"/>
  <c r="CA65" i="6"/>
  <c r="CS10" i="2"/>
  <c r="BC58" i="6"/>
  <c r="BA95" i="2"/>
  <c r="CF62" i="2"/>
  <c r="I80" i="6"/>
  <c r="AN4" i="2"/>
  <c r="AR22" i="6"/>
  <c r="BS64" i="6"/>
  <c r="CA41" i="2"/>
  <c r="AY40" i="2"/>
  <c r="CM68" i="6"/>
  <c r="CL7" i="6"/>
  <c r="AH41" i="6"/>
  <c r="AM76" i="6"/>
  <c r="CL49" i="6"/>
  <c r="W32" i="6"/>
  <c r="N68" i="6"/>
  <c r="AV24" i="6"/>
  <c r="BG60" i="2"/>
  <c r="AK59" i="6"/>
  <c r="P53" i="2"/>
  <c r="W33" i="6"/>
  <c r="BC100" i="6"/>
  <c r="AH83" i="6"/>
  <c r="V52" i="6"/>
  <c r="BU62" i="6"/>
  <c r="BR29" i="6"/>
  <c r="AT5" i="2"/>
  <c r="CS12" i="2"/>
  <c r="CN4" i="2"/>
  <c r="AQ24" i="6"/>
  <c r="AO65" i="6"/>
  <c r="CA62" i="6"/>
  <c r="BC17" i="2"/>
  <c r="BU35" i="6"/>
  <c r="CD98" i="6"/>
  <c r="AA57" i="6"/>
  <c r="L30" i="6"/>
  <c r="D36" i="6"/>
  <c r="AE94" i="6"/>
  <c r="CQ100" i="6"/>
  <c r="AE32" i="6"/>
  <c r="AP16" i="6"/>
  <c r="BL94" i="6"/>
  <c r="BX7" i="6"/>
  <c r="AW66" i="6"/>
  <c r="BB47" i="6"/>
  <c r="BG50" i="6"/>
  <c r="P99" i="6"/>
  <c r="BN100" i="2"/>
  <c r="BK32" i="2"/>
  <c r="CQ5" i="6"/>
  <c r="BE62" i="6"/>
  <c r="CD69" i="6"/>
  <c r="AM17" i="6"/>
  <c r="R56" i="6"/>
  <c r="AM51" i="6"/>
  <c r="BY47" i="6"/>
  <c r="BA63" i="6"/>
  <c r="AC27" i="2"/>
  <c r="CL94" i="6"/>
  <c r="S56" i="6"/>
  <c r="AB29" i="6"/>
  <c r="BX80" i="2"/>
  <c r="W96" i="2"/>
  <c r="BN34" i="2"/>
  <c r="BK47" i="2"/>
  <c r="BY89" i="2"/>
  <c r="I55" i="6"/>
  <c r="M8" i="6"/>
  <c r="AD18" i="2"/>
  <c r="CD16" i="6"/>
  <c r="AM11" i="6"/>
  <c r="AN71" i="6"/>
  <c r="BT52" i="6"/>
  <c r="CO96" i="6"/>
  <c r="BQ22" i="6"/>
  <c r="J92" i="6"/>
  <c r="AT58" i="6"/>
  <c r="Z53" i="6"/>
  <c r="AK57" i="6"/>
  <c r="BE84" i="6"/>
  <c r="AF46" i="6"/>
  <c r="J78" i="6"/>
  <c r="P78" i="6"/>
  <c r="CL25" i="6"/>
  <c r="BM68" i="6"/>
  <c r="CC73" i="2"/>
  <c r="BZ92" i="2"/>
  <c r="CR44" i="6"/>
  <c r="CB43" i="6"/>
  <c r="BW21" i="6"/>
  <c r="AN18" i="6"/>
  <c r="AY94" i="6"/>
  <c r="AJ91" i="6"/>
  <c r="AE25" i="6"/>
  <c r="AB90" i="6"/>
  <c r="AQ16" i="2"/>
  <c r="BJ35" i="2"/>
  <c r="AH79" i="6"/>
  <c r="AO89" i="6"/>
  <c r="CF22" i="2"/>
  <c r="CR7" i="2"/>
  <c r="CB16" i="2"/>
  <c r="BG12" i="2"/>
  <c r="CO61" i="6"/>
  <c r="BV8" i="6"/>
  <c r="C10" i="6"/>
  <c r="AI33" i="6"/>
  <c r="AJ9" i="6"/>
  <c r="BU90" i="2"/>
  <c r="BV26" i="2"/>
  <c r="U79" i="6"/>
  <c r="BB90" i="2"/>
  <c r="BZ93" i="6"/>
  <c r="AE45" i="2"/>
  <c r="Y51" i="2"/>
  <c r="O25" i="2"/>
  <c r="AG90" i="6"/>
  <c r="BW70" i="2"/>
  <c r="Z29" i="2"/>
  <c r="AH18" i="2"/>
  <c r="G44" i="6"/>
  <c r="S93" i="6"/>
  <c r="CR36" i="6"/>
  <c r="AN98" i="2"/>
  <c r="BZ78" i="2"/>
  <c r="BU84" i="6"/>
  <c r="AC100" i="6"/>
  <c r="CK14" i="2"/>
  <c r="R89" i="6"/>
  <c r="BJ83" i="6"/>
  <c r="BX53" i="2"/>
  <c r="CF74" i="6"/>
  <c r="K69" i="6"/>
  <c r="CD46" i="2"/>
  <c r="I7" i="2"/>
  <c r="BB55" i="6"/>
  <c r="CB73" i="2"/>
  <c r="AR80" i="2"/>
  <c r="M46" i="2"/>
  <c r="BA97" i="6"/>
  <c r="BC49" i="6"/>
  <c r="BW97" i="6"/>
  <c r="AI44" i="6"/>
  <c r="BO51" i="6"/>
  <c r="V59" i="2"/>
  <c r="AM8" i="2"/>
  <c r="AY27" i="2"/>
  <c r="BH49" i="2"/>
  <c r="AW33" i="2"/>
  <c r="AG83" i="6"/>
  <c r="AY18" i="2"/>
  <c r="L12" i="2"/>
  <c r="Y82" i="2"/>
  <c r="AB33" i="6"/>
  <c r="AL27" i="2"/>
  <c r="G43" i="2"/>
  <c r="CG38" i="2"/>
  <c r="BL3" i="6"/>
  <c r="Q54" i="6"/>
  <c r="L84" i="6"/>
  <c r="J53" i="6"/>
  <c r="AY36" i="6"/>
  <c r="O81" i="6"/>
  <c r="Y26" i="6"/>
  <c r="CL59" i="2"/>
  <c r="BY73" i="6"/>
  <c r="AR18" i="2"/>
  <c r="CJ57" i="6"/>
  <c r="AX47" i="2"/>
  <c r="AP86" i="2"/>
  <c r="AZ96" i="6"/>
  <c r="AW30" i="2"/>
  <c r="BE93" i="2"/>
  <c r="BH77" i="2"/>
  <c r="BS49" i="2"/>
  <c r="CC70" i="6"/>
  <c r="BM45" i="6"/>
  <c r="N98" i="6"/>
  <c r="T40" i="6"/>
  <c r="AE21" i="2"/>
  <c r="CF64" i="2"/>
  <c r="BZ80" i="2"/>
  <c r="AC69" i="2"/>
  <c r="CQ20" i="2"/>
  <c r="BS74" i="2"/>
  <c r="BG79" i="6"/>
  <c r="CK50" i="6"/>
  <c r="AG43" i="6"/>
  <c r="O35" i="2"/>
  <c r="AD54" i="2"/>
  <c r="AC83" i="2"/>
  <c r="CB98" i="2"/>
  <c r="BO11" i="2"/>
  <c r="AR61" i="2"/>
  <c r="BV28" i="6"/>
  <c r="BU62" i="2"/>
  <c r="AV67" i="6"/>
  <c r="BT100" i="6"/>
  <c r="AF69" i="6"/>
  <c r="AH77" i="6"/>
  <c r="I85" i="2"/>
  <c r="BC13" i="2"/>
  <c r="U40" i="2"/>
  <c r="C83" i="2"/>
  <c r="F81" i="6"/>
  <c r="AQ63" i="6"/>
  <c r="BK52" i="6"/>
  <c r="X58" i="6"/>
  <c r="BT82" i="2"/>
  <c r="AB21" i="2"/>
  <c r="N29" i="2"/>
  <c r="V74" i="6"/>
  <c r="AI39" i="2"/>
  <c r="AJ21" i="2"/>
  <c r="W8" i="6"/>
  <c r="G41" i="6"/>
  <c r="S19" i="2"/>
  <c r="BL99" i="6"/>
  <c r="BK83" i="2"/>
  <c r="AD72" i="2"/>
  <c r="AC82" i="6"/>
  <c r="AU24" i="2"/>
  <c r="S96" i="2"/>
  <c r="AN15" i="6"/>
  <c r="CL42" i="6"/>
  <c r="AT77" i="6"/>
  <c r="CJ8" i="2"/>
  <c r="AC53" i="6"/>
  <c r="P62" i="6"/>
  <c r="BG25" i="2"/>
  <c r="CR28" i="2"/>
  <c r="BT80" i="6"/>
  <c r="BN37" i="2"/>
  <c r="CB90" i="6"/>
  <c r="CT71" i="2"/>
  <c r="AU37" i="2"/>
  <c r="BN90" i="2"/>
  <c r="BQ60" i="6"/>
  <c r="AO82" i="6"/>
  <c r="AW26" i="2"/>
  <c r="BU76" i="6"/>
  <c r="BM65" i="2"/>
  <c r="CG69" i="6"/>
  <c r="AA51" i="6"/>
  <c r="AN33" i="6"/>
  <c r="AX72" i="2"/>
  <c r="AX4" i="2"/>
  <c r="H20" i="2"/>
  <c r="AK83" i="6"/>
  <c r="BH33" i="2"/>
  <c r="CP62" i="2"/>
  <c r="H27" i="2"/>
  <c r="AS87" i="2"/>
  <c r="O74" i="6"/>
  <c r="BQ35" i="2"/>
  <c r="CQ56" i="6"/>
  <c r="Y90" i="2"/>
  <c r="N74" i="6"/>
  <c r="BS64" i="2"/>
  <c r="AF15" i="6"/>
  <c r="AH17" i="2"/>
  <c r="AE60" i="6"/>
  <c r="CL8" i="2"/>
  <c r="AR94" i="6"/>
  <c r="U50" i="6"/>
  <c r="AM98" i="6"/>
  <c r="CJ63" i="2"/>
  <c r="BG79" i="2"/>
  <c r="M13" i="2"/>
  <c r="K58" i="2"/>
  <c r="CG5" i="2"/>
  <c r="T3" i="2"/>
  <c r="AD78" i="6"/>
  <c r="BR60" i="2"/>
  <c r="AD53" i="6"/>
  <c r="AS100" i="6"/>
  <c r="AW77" i="6"/>
  <c r="Q95" i="2"/>
  <c r="CE81" i="2"/>
  <c r="F50" i="2"/>
  <c r="BQ59" i="2"/>
  <c r="CG40" i="2"/>
  <c r="BR17" i="2"/>
  <c r="CP40" i="2"/>
  <c r="M19" i="2"/>
  <c r="E89" i="2"/>
  <c r="BO5" i="2"/>
  <c r="Y38" i="2"/>
  <c r="BM23" i="2"/>
  <c r="CI96" i="2"/>
  <c r="AP93" i="6"/>
  <c r="BE21" i="2"/>
  <c r="X31" i="2"/>
  <c r="CQ97" i="2"/>
  <c r="BX27" i="6"/>
  <c r="AY82" i="6"/>
  <c r="AZ76" i="2"/>
  <c r="BB64" i="2"/>
  <c r="O99" i="2"/>
  <c r="K39" i="2"/>
  <c r="AA36" i="2"/>
  <c r="AB76" i="2"/>
  <c r="AA24" i="2"/>
  <c r="CT23" i="2"/>
  <c r="AM77" i="2"/>
  <c r="AU57" i="2"/>
  <c r="BI80" i="6"/>
  <c r="X34" i="2"/>
  <c r="BE29" i="6"/>
  <c r="BS93" i="6"/>
  <c r="CG13" i="2"/>
  <c r="BA24" i="2"/>
  <c r="BI48" i="6"/>
  <c r="N42" i="6"/>
  <c r="AN56" i="2"/>
  <c r="O4" i="2"/>
  <c r="AK28" i="2"/>
  <c r="R63" i="6"/>
  <c r="BC31" i="6"/>
  <c r="AR18" i="6"/>
  <c r="CR33" i="2"/>
  <c r="BC38" i="2"/>
  <c r="M10" i="2"/>
  <c r="AE71" i="6"/>
  <c r="AM72" i="2"/>
  <c r="CF99" i="6"/>
  <c r="CH37" i="6"/>
  <c r="BZ70" i="2"/>
  <c r="BT94" i="6"/>
  <c r="CH67" i="6"/>
  <c r="BO96" i="6"/>
  <c r="V89" i="2"/>
  <c r="AT3" i="2"/>
  <c r="BJ7" i="2"/>
  <c r="P12" i="6"/>
  <c r="N59" i="6"/>
  <c r="Q53" i="6"/>
  <c r="CI83" i="2"/>
  <c r="AP61" i="6"/>
  <c r="CK95" i="6"/>
  <c r="CM66" i="6"/>
  <c r="AE18" i="2"/>
  <c r="AE50" i="6"/>
  <c r="CH19" i="2"/>
  <c r="AT2" i="2"/>
  <c r="AJ84" i="2"/>
  <c r="BX9" i="2"/>
  <c r="H97" i="2"/>
  <c r="AV47" i="2"/>
  <c r="AZ57" i="6"/>
  <c r="BR35" i="2"/>
  <c r="AL15" i="2"/>
  <c r="D73" i="2"/>
  <c r="BW98" i="2"/>
  <c r="AQ44" i="6"/>
  <c r="BY74" i="6"/>
  <c r="L75" i="6"/>
  <c r="BJ83" i="2"/>
  <c r="C13" i="6"/>
  <c r="AQ36" i="2"/>
  <c r="AU13" i="2"/>
  <c r="H17" i="2"/>
  <c r="BQ73" i="6"/>
  <c r="AL99" i="6"/>
  <c r="CJ86" i="2"/>
  <c r="BL13" i="2"/>
  <c r="CM72" i="6"/>
  <c r="BQ70" i="2"/>
  <c r="BH28" i="2"/>
  <c r="BZ98" i="2"/>
  <c r="BZ28" i="2"/>
  <c r="AV74" i="6"/>
  <c r="AG21" i="2"/>
  <c r="I73" i="6"/>
  <c r="CQ27" i="2"/>
  <c r="AU99" i="2"/>
  <c r="BH24" i="2"/>
  <c r="BS94" i="2"/>
  <c r="CI58" i="2"/>
  <c r="AK59" i="2"/>
  <c r="AT9" i="2"/>
  <c r="AK88" i="6"/>
  <c r="BU64" i="6"/>
  <c r="BI79" i="2"/>
  <c r="AE84" i="2"/>
  <c r="CF21" i="2"/>
  <c r="CD35" i="2"/>
  <c r="CP47" i="6"/>
  <c r="BQ66" i="6"/>
  <c r="AC14" i="2"/>
  <c r="AE81" i="2"/>
  <c r="AN32" i="2"/>
  <c r="AQ75" i="2"/>
  <c r="CE75" i="2"/>
  <c r="BE60" i="2"/>
  <c r="G56" i="2"/>
  <c r="AL54" i="2"/>
  <c r="BF69" i="2"/>
  <c r="BZ86" i="2"/>
  <c r="CB33" i="2"/>
  <c r="AM79" i="2"/>
  <c r="AS45" i="2"/>
  <c r="BE52" i="6"/>
  <c r="CK49" i="6"/>
  <c r="AW39" i="2"/>
  <c r="Z55" i="6"/>
  <c r="F97" i="2"/>
  <c r="CS15" i="2"/>
  <c r="CK74" i="2"/>
  <c r="K80" i="6"/>
  <c r="BC92" i="2"/>
  <c r="BS79" i="2"/>
  <c r="S20" i="2"/>
  <c r="AX36" i="2"/>
  <c r="CR95" i="6"/>
  <c r="CS95" i="2"/>
  <c r="AM97" i="6"/>
  <c r="L89" i="2"/>
  <c r="BN30" i="2"/>
  <c r="H100" i="2"/>
  <c r="M83" i="6"/>
  <c r="CC43" i="6"/>
  <c r="J60" i="6"/>
  <c r="BZ90" i="6"/>
  <c r="AZ99" i="6"/>
  <c r="AL48" i="2"/>
  <c r="AG97" i="2"/>
  <c r="CA83" i="2"/>
  <c r="BQ84" i="2"/>
  <c r="D6" i="2"/>
  <c r="AY70" i="6"/>
  <c r="I25" i="2"/>
  <c r="BY15" i="2"/>
  <c r="M31" i="2"/>
  <c r="N23" i="6"/>
  <c r="E77" i="6"/>
  <c r="AE10" i="2"/>
  <c r="BN89" i="2"/>
  <c r="CQ76" i="2"/>
  <c r="V64" i="6"/>
  <c r="Z86" i="6"/>
  <c r="AM100" i="6"/>
  <c r="BW100" i="6"/>
  <c r="AU77" i="2"/>
  <c r="BV63" i="2"/>
  <c r="I26" i="2"/>
  <c r="CJ90" i="6"/>
  <c r="C43" i="2"/>
  <c r="Z98" i="2"/>
  <c r="CD72" i="2"/>
  <c r="CJ96" i="2"/>
  <c r="Q84" i="6"/>
  <c r="AJ25" i="2"/>
  <c r="N99" i="2"/>
  <c r="CN8" i="2"/>
  <c r="BS84" i="6"/>
  <c r="BH49" i="6"/>
  <c r="BL82" i="6"/>
  <c r="BZ67" i="2"/>
  <c r="BI46" i="2"/>
  <c r="D9" i="2"/>
  <c r="AU71" i="2"/>
  <c r="BK38" i="2"/>
  <c r="Z15" i="2"/>
  <c r="AF85" i="6"/>
  <c r="BH21" i="6"/>
  <c r="BO47" i="2"/>
  <c r="AF39" i="6"/>
  <c r="BL58" i="2"/>
  <c r="CK81" i="2"/>
  <c r="AP45" i="2"/>
  <c r="CR68" i="2"/>
  <c r="CO67" i="6"/>
  <c r="AK23" i="2"/>
  <c r="BI87" i="2"/>
  <c r="T25" i="2"/>
  <c r="CL95" i="2"/>
  <c r="CL54" i="2"/>
  <c r="AZ69" i="6"/>
  <c r="AV58" i="2"/>
  <c r="F98" i="2"/>
  <c r="AN20" i="2"/>
  <c r="AC85" i="6"/>
  <c r="AY78" i="2"/>
  <c r="CN14" i="2"/>
  <c r="CE46" i="6"/>
  <c r="AI64" i="2"/>
  <c r="CF97" i="2"/>
  <c r="Z17" i="2"/>
  <c r="CF58" i="6"/>
  <c r="O80" i="6"/>
  <c r="BB69" i="2"/>
  <c r="BR71" i="2"/>
  <c r="CS30" i="2"/>
  <c r="AV4" i="2"/>
  <c r="CM82" i="6"/>
  <c r="BQ10" i="6"/>
  <c r="BS12" i="2"/>
  <c r="AC24" i="2"/>
  <c r="R61" i="6"/>
  <c r="BO60" i="2"/>
  <c r="BO16" i="2"/>
  <c r="BM39" i="2"/>
  <c r="O10" i="2"/>
  <c r="BE77" i="2"/>
  <c r="CG96" i="6"/>
  <c r="BG38" i="2"/>
  <c r="AE72" i="2"/>
  <c r="BK68" i="2"/>
  <c r="AY61" i="6"/>
  <c r="AB63" i="2"/>
  <c r="AI65" i="6"/>
  <c r="AO41" i="6"/>
  <c r="CA67" i="6"/>
  <c r="CP48" i="6"/>
  <c r="Y35" i="2"/>
  <c r="BZ86" i="6"/>
  <c r="CB60" i="2"/>
  <c r="BW17" i="2"/>
  <c r="R88" i="6"/>
  <c r="E100" i="6"/>
  <c r="BE68" i="2"/>
  <c r="CT82" i="2"/>
  <c r="BU15" i="2"/>
  <c r="AH34" i="2"/>
  <c r="BE65" i="2"/>
  <c r="BA93" i="6"/>
  <c r="BQ94" i="6"/>
  <c r="AM50" i="2"/>
  <c r="C4" i="6"/>
  <c r="AY44" i="2"/>
  <c r="BS96" i="6"/>
  <c r="BJ89" i="2"/>
  <c r="AV76" i="2"/>
  <c r="BN94" i="6"/>
  <c r="AW12" i="2"/>
  <c r="CL82" i="2"/>
  <c r="AL87" i="2"/>
  <c r="AT9" i="6"/>
  <c r="Z70" i="6"/>
  <c r="CJ26" i="2"/>
  <c r="Q77" i="6"/>
  <c r="BK93" i="2"/>
  <c r="CN45" i="6"/>
  <c r="AJ59" i="2"/>
  <c r="C7" i="6"/>
  <c r="AR55" i="2"/>
  <c r="BE3" i="6"/>
  <c r="BN64" i="6"/>
  <c r="L92" i="6"/>
  <c r="CG61" i="6"/>
  <c r="AY35" i="2"/>
  <c r="BZ41" i="2"/>
  <c r="BU43" i="2"/>
  <c r="BS79" i="6"/>
  <c r="BG91" i="6"/>
  <c r="N81" i="6"/>
  <c r="CG92" i="6"/>
  <c r="U98" i="2"/>
  <c r="D47" i="2"/>
  <c r="T71" i="6"/>
  <c r="BO34" i="2"/>
  <c r="AN55" i="2"/>
  <c r="O61" i="6"/>
  <c r="AW8" i="2"/>
  <c r="AN29" i="6"/>
  <c r="CN7" i="2"/>
  <c r="BP18" i="2"/>
  <c r="AI74" i="6"/>
  <c r="CK70" i="2"/>
  <c r="CA97" i="2"/>
  <c r="BV99" i="2"/>
  <c r="G34" i="6"/>
  <c r="CS41" i="2"/>
  <c r="BD29" i="6"/>
  <c r="R30" i="6"/>
  <c r="CM28" i="2"/>
  <c r="BP62" i="2"/>
  <c r="AP91" i="6"/>
  <c r="BE76" i="2"/>
  <c r="BA38" i="2"/>
  <c r="AT40" i="6"/>
  <c r="G78" i="2"/>
  <c r="AU73" i="6"/>
  <c r="BK84" i="2"/>
  <c r="AX32" i="2"/>
  <c r="CP18" i="2"/>
  <c r="CE32" i="2"/>
  <c r="BR100" i="2"/>
  <c r="BL29" i="6"/>
  <c r="CA28" i="6"/>
  <c r="CB27" i="6"/>
  <c r="BM61" i="2"/>
  <c r="CQ3" i="2"/>
  <c r="O50" i="2"/>
  <c r="AI43" i="6"/>
  <c r="BZ96" i="2"/>
  <c r="AA60" i="2"/>
  <c r="AI58" i="6"/>
  <c r="C24" i="6"/>
  <c r="N84" i="2"/>
  <c r="N83" i="6"/>
  <c r="BO83" i="2"/>
  <c r="BF30" i="2"/>
  <c r="BJ53" i="2"/>
  <c r="BS5" i="2"/>
  <c r="BM4" i="2"/>
  <c r="AC62" i="2"/>
  <c r="Y98" i="2"/>
  <c r="AY87" i="6"/>
  <c r="F71" i="2"/>
  <c r="M22" i="2"/>
  <c r="CD29" i="2"/>
  <c r="BG75" i="6"/>
  <c r="CN45" i="2"/>
  <c r="K33" i="6"/>
  <c r="Q18" i="2"/>
  <c r="CH14" i="2"/>
  <c r="AJ77" i="2"/>
  <c r="AM3" i="2"/>
  <c r="U100" i="6"/>
  <c r="AB33" i="2"/>
  <c r="BJ45" i="2"/>
  <c r="N65" i="2"/>
  <c r="H75" i="2"/>
  <c r="H55" i="2"/>
  <c r="BR72" i="2"/>
  <c r="BK80" i="6"/>
  <c r="K86" i="6"/>
  <c r="J91" i="6"/>
  <c r="AJ55" i="6"/>
  <c r="BC81" i="2"/>
  <c r="AI17" i="2"/>
  <c r="BQ74" i="2"/>
  <c r="AT14" i="2"/>
  <c r="V56" i="2"/>
  <c r="AC82" i="2"/>
  <c r="CM60" i="6"/>
  <c r="BF74" i="6"/>
  <c r="AM29" i="2"/>
  <c r="BD12" i="2"/>
  <c r="CF2" i="2"/>
  <c r="CN98" i="6"/>
  <c r="CA19" i="2"/>
  <c r="CG90" i="2"/>
  <c r="BC12" i="2"/>
  <c r="AU31" i="6"/>
  <c r="CR4" i="6"/>
  <c r="CD3" i="2"/>
  <c r="CD57" i="2"/>
  <c r="CO17" i="2"/>
  <c r="C32" i="2"/>
  <c r="CQ64" i="6"/>
  <c r="BX28" i="2"/>
  <c r="N29" i="6"/>
  <c r="AJ23" i="2"/>
  <c r="BT59" i="2"/>
  <c r="CP76" i="6"/>
  <c r="BX10" i="6"/>
  <c r="AT88" i="6"/>
  <c r="AC45" i="2"/>
  <c r="CE77" i="2"/>
  <c r="CH57" i="2"/>
  <c r="BV73" i="6"/>
  <c r="BS75" i="2"/>
  <c r="CS46" i="2"/>
  <c r="G17" i="2"/>
  <c r="CN15" i="2"/>
  <c r="AX45" i="2"/>
  <c r="BD18" i="2"/>
  <c r="AF2" i="2"/>
  <c r="K73" i="2"/>
  <c r="BQ35" i="6"/>
  <c r="M97" i="2"/>
  <c r="BC48" i="6"/>
  <c r="J5" i="2"/>
  <c r="AT33" i="6"/>
  <c r="BS33" i="6"/>
  <c r="CK96" i="2"/>
  <c r="CI56" i="2"/>
  <c r="AP100" i="2"/>
  <c r="J86" i="2"/>
  <c r="CB37" i="2"/>
  <c r="BU82" i="6"/>
  <c r="AO13" i="2"/>
  <c r="BB67" i="2"/>
  <c r="AC81" i="2"/>
  <c r="W36" i="2"/>
  <c r="AI89" i="2"/>
  <c r="AS93" i="6"/>
  <c r="X66" i="6"/>
  <c r="S6" i="2"/>
  <c r="AI49" i="6"/>
  <c r="AB19" i="2"/>
  <c r="N41" i="6"/>
  <c r="BD55" i="2"/>
  <c r="P40" i="2"/>
  <c r="AS57" i="2"/>
  <c r="BU93" i="2"/>
  <c r="S4" i="2"/>
  <c r="BG83" i="6"/>
  <c r="AB44" i="2"/>
  <c r="AO64" i="2"/>
  <c r="AL49" i="2"/>
  <c r="V83" i="6"/>
  <c r="AE72" i="6"/>
  <c r="CC72" i="2"/>
  <c r="CH91" i="2"/>
  <c r="CN26" i="2"/>
  <c r="CS63" i="2"/>
  <c r="AN29" i="2"/>
  <c r="T75" i="2"/>
  <c r="CC58" i="6"/>
  <c r="CB92" i="6"/>
  <c r="BL41" i="2"/>
  <c r="AO57" i="6"/>
  <c r="AE39" i="2"/>
  <c r="U32" i="2"/>
  <c r="BQ30" i="2"/>
  <c r="CA17" i="2"/>
  <c r="BN60" i="6"/>
  <c r="AH54" i="6"/>
  <c r="AA82" i="6"/>
  <c r="Z59" i="2"/>
  <c r="T15" i="2"/>
  <c r="CH74" i="6"/>
  <c r="BG97" i="2"/>
  <c r="AK96" i="2"/>
  <c r="AE25" i="2"/>
  <c r="BQ78" i="6"/>
  <c r="BO59" i="2"/>
  <c r="P45" i="2"/>
  <c r="CH42" i="2"/>
  <c r="AA75" i="2"/>
  <c r="BX23" i="2"/>
  <c r="AC57" i="2"/>
  <c r="N48" i="6"/>
  <c r="Y81" i="2"/>
  <c r="F49" i="6"/>
  <c r="CQ71" i="2"/>
  <c r="BI74" i="2"/>
  <c r="CL34" i="2"/>
  <c r="AC84" i="2"/>
  <c r="AF78" i="6"/>
  <c r="BE33" i="2"/>
  <c r="CQ95" i="2"/>
  <c r="BJ30" i="2"/>
  <c r="BW67" i="2"/>
  <c r="AS88" i="2"/>
  <c r="D85" i="2"/>
  <c r="BK33" i="2"/>
  <c r="BR16" i="2"/>
  <c r="AY39" i="2"/>
  <c r="AO38" i="2"/>
  <c r="AZ62" i="2"/>
  <c r="CP34" i="2"/>
  <c r="E24" i="2"/>
  <c r="CM51" i="6"/>
  <c r="CK35" i="6"/>
  <c r="AV18" i="2"/>
  <c r="C84" i="2"/>
  <c r="E53" i="2"/>
  <c r="CD55" i="2"/>
  <c r="CN83" i="2"/>
  <c r="BO9" i="2"/>
  <c r="C36" i="2"/>
  <c r="AU85" i="6"/>
  <c r="CD67" i="2"/>
  <c r="AM14" i="2"/>
  <c r="V11" i="2"/>
  <c r="F75" i="6"/>
  <c r="AZ74" i="6"/>
  <c r="AU17" i="6"/>
  <c r="BC51" i="2"/>
  <c r="J69" i="6"/>
  <c r="V19" i="2"/>
  <c r="J14" i="6"/>
  <c r="AT95" i="6"/>
  <c r="CS74" i="2"/>
  <c r="CL30" i="6"/>
  <c r="BB14" i="6"/>
  <c r="AH86" i="2"/>
  <c r="AV40" i="6"/>
  <c r="BG88" i="6"/>
  <c r="BY67" i="2"/>
  <c r="CA67" i="2"/>
  <c r="G54" i="2"/>
  <c r="AX4" i="6"/>
  <c r="BF77" i="2"/>
  <c r="BR89" i="6"/>
  <c r="H84" i="6"/>
  <c r="BE58" i="2"/>
  <c r="CE95" i="2"/>
  <c r="CR65" i="2"/>
  <c r="L96" i="6"/>
  <c r="CM80" i="2"/>
  <c r="CK36" i="2"/>
  <c r="CN72" i="6"/>
  <c r="G51" i="6"/>
  <c r="AB35" i="6"/>
  <c r="BX70" i="6"/>
  <c r="BE49" i="6"/>
  <c r="AF74" i="6"/>
  <c r="BP76" i="6"/>
  <c r="BB9" i="2"/>
  <c r="AQ69" i="2"/>
  <c r="BQ52" i="2"/>
  <c r="AX79" i="6"/>
  <c r="BP68" i="6"/>
  <c r="CR78" i="2"/>
  <c r="AC66" i="2"/>
  <c r="BG64" i="2"/>
  <c r="BI41" i="2"/>
  <c r="CD86" i="2"/>
  <c r="AX94" i="6"/>
  <c r="U2" i="2"/>
  <c r="CT29" i="2"/>
  <c r="CK60" i="6"/>
  <c r="CO20" i="6"/>
  <c r="BW50" i="2"/>
  <c r="X86" i="2"/>
  <c r="BY92" i="6"/>
  <c r="AF68" i="6"/>
  <c r="CB36" i="2"/>
  <c r="BC43" i="2"/>
  <c r="BS19" i="2"/>
  <c r="AP35" i="2"/>
  <c r="V68" i="6"/>
  <c r="CL74" i="2"/>
  <c r="AG93" i="6"/>
  <c r="BN72" i="6"/>
  <c r="CO41" i="2"/>
  <c r="BN57" i="2"/>
  <c r="BL37" i="2"/>
  <c r="CJ36" i="2"/>
  <c r="BI66" i="2"/>
  <c r="W92" i="6"/>
  <c r="AB100" i="2"/>
  <c r="BQ96" i="2"/>
  <c r="BL98" i="2"/>
  <c r="Q96" i="2"/>
  <c r="BW32" i="2"/>
  <c r="C11" i="6"/>
  <c r="O34" i="2"/>
  <c r="K6" i="2"/>
  <c r="CR97" i="2"/>
  <c r="CN46" i="6"/>
  <c r="W5" i="2"/>
  <c r="CF98" i="6"/>
  <c r="AT64" i="2"/>
  <c r="AD11" i="2"/>
  <c r="BU32" i="6"/>
  <c r="T91" i="6"/>
  <c r="T6" i="2"/>
  <c r="CO92" i="2"/>
  <c r="W28" i="2"/>
  <c r="BW37" i="2"/>
  <c r="AR66" i="2"/>
  <c r="CO61" i="2"/>
  <c r="S72" i="2"/>
  <c r="I98" i="2"/>
  <c r="T77" i="2"/>
  <c r="AM93" i="6"/>
  <c r="P55" i="2"/>
  <c r="K41" i="2"/>
  <c r="CQ83" i="2"/>
  <c r="AZ61" i="6"/>
  <c r="S14" i="6"/>
  <c r="CS72" i="2"/>
  <c r="CH88" i="6"/>
  <c r="AB66" i="2"/>
  <c r="T51" i="2"/>
  <c r="AG63" i="2"/>
  <c r="BT22" i="2"/>
  <c r="BQ66" i="2"/>
  <c r="W98" i="6"/>
  <c r="BW33" i="2"/>
  <c r="D32" i="2"/>
  <c r="S64" i="2"/>
  <c r="BV96" i="2"/>
  <c r="CC17" i="2"/>
  <c r="AW48" i="2"/>
  <c r="Q46" i="6"/>
  <c r="CC95" i="2"/>
  <c r="M44" i="6"/>
  <c r="CP48" i="2"/>
  <c r="AP61" i="2"/>
  <c r="AK28" i="6"/>
  <c r="BV34" i="2"/>
  <c r="BZ76" i="6"/>
  <c r="BB86" i="2"/>
  <c r="CD42" i="2"/>
  <c r="R14" i="2"/>
  <c r="N63" i="2"/>
  <c r="AM20" i="2"/>
  <c r="Y4" i="2"/>
  <c r="CE67" i="6"/>
  <c r="CM54" i="6"/>
  <c r="AQ93" i="6"/>
  <c r="E15" i="6"/>
  <c r="BC68" i="6"/>
  <c r="AB48" i="6"/>
  <c r="C94" i="6"/>
  <c r="C58" i="6"/>
  <c r="BB89" i="6"/>
  <c r="CQ10" i="2"/>
  <c r="AM33" i="2"/>
  <c r="N15" i="2"/>
  <c r="BF4" i="2"/>
  <c r="BH11" i="2"/>
  <c r="BZ95" i="6"/>
  <c r="BP28" i="2"/>
  <c r="R31" i="2"/>
  <c r="AT82" i="6"/>
  <c r="S63" i="6"/>
  <c r="L39" i="2"/>
  <c r="AT41" i="2"/>
  <c r="X54" i="2"/>
  <c r="AZ45" i="2"/>
  <c r="CB39" i="2"/>
  <c r="AQ41" i="2"/>
  <c r="BN54" i="2"/>
  <c r="O70" i="2"/>
  <c r="BT76" i="6"/>
  <c r="AW95" i="6"/>
  <c r="CM45" i="2"/>
  <c r="E55" i="2"/>
  <c r="BL44" i="2"/>
  <c r="BA69" i="6"/>
  <c r="CL97" i="2"/>
  <c r="BL88" i="2"/>
  <c r="CN69" i="2"/>
  <c r="X96" i="2"/>
  <c r="Q74" i="2"/>
  <c r="J26" i="2"/>
  <c r="AR99" i="2"/>
  <c r="AK62" i="2"/>
  <c r="CE25" i="2"/>
  <c r="BT16" i="2"/>
  <c r="BD92" i="2"/>
  <c r="H95" i="2"/>
  <c r="R84" i="2"/>
  <c r="F47" i="2"/>
  <c r="AF17" i="2"/>
  <c r="F88" i="6"/>
  <c r="AY86" i="6"/>
  <c r="BK48" i="2"/>
  <c r="BO74" i="2"/>
  <c r="BS42" i="2"/>
  <c r="BO32" i="2"/>
  <c r="AI71" i="2"/>
  <c r="BG50" i="2"/>
  <c r="BE3" i="2"/>
  <c r="CR84" i="2"/>
  <c r="C4" i="2"/>
  <c r="CQ44" i="2"/>
  <c r="AC54" i="2"/>
  <c r="CN10" i="2"/>
  <c r="AV77" i="6"/>
  <c r="AX95" i="6"/>
  <c r="BW21" i="2"/>
  <c r="BI82" i="6"/>
  <c r="AK99" i="6"/>
  <c r="I29" i="2"/>
  <c r="AR90" i="2"/>
  <c r="BZ67" i="6"/>
  <c r="CC56" i="6"/>
  <c r="AN23" i="6"/>
  <c r="AR52" i="6"/>
  <c r="CR59" i="2"/>
  <c r="I92" i="2"/>
  <c r="AZ7" i="2"/>
  <c r="CK78" i="2"/>
  <c r="S82" i="6"/>
  <c r="AC78" i="2"/>
  <c r="CS22" i="2"/>
  <c r="L73" i="6"/>
  <c r="AL76" i="2"/>
  <c r="BI49" i="2"/>
  <c r="CB49" i="2"/>
  <c r="AC75" i="2"/>
  <c r="U17" i="2"/>
  <c r="CC43" i="2"/>
  <c r="CN34" i="2"/>
  <c r="BA28" i="6"/>
  <c r="CA63" i="6"/>
  <c r="W27" i="6"/>
  <c r="S86" i="6"/>
  <c r="AZ4" i="2"/>
  <c r="BA57" i="2"/>
  <c r="AE66" i="2"/>
  <c r="AB99" i="2"/>
  <c r="BG59" i="2"/>
  <c r="BY40" i="2"/>
  <c r="T43" i="6"/>
  <c r="BO92" i="6"/>
  <c r="Y54" i="6"/>
  <c r="AX71" i="6"/>
  <c r="T55" i="2"/>
  <c r="U11" i="2"/>
  <c r="CH41" i="2"/>
  <c r="AK6" i="2"/>
  <c r="K22" i="6"/>
  <c r="BD36" i="6"/>
  <c r="AU47" i="6"/>
  <c r="AO50" i="6"/>
  <c r="BZ31" i="6"/>
  <c r="AZ28" i="6"/>
  <c r="X74" i="6"/>
  <c r="E3" i="2"/>
  <c r="CR98" i="6"/>
  <c r="Z98" i="6"/>
  <c r="CJ92" i="2"/>
  <c r="BT82" i="6"/>
  <c r="CA77" i="6"/>
  <c r="L93" i="6"/>
  <c r="BQ6" i="2"/>
  <c r="H16" i="2"/>
  <c r="CA58" i="2"/>
  <c r="X78" i="2"/>
  <c r="Q26" i="6"/>
  <c r="CF81" i="2"/>
  <c r="D17" i="6"/>
  <c r="X93" i="2"/>
  <c r="R29" i="2"/>
  <c r="BM70" i="6"/>
  <c r="CD7" i="2"/>
  <c r="BP69" i="2"/>
  <c r="AW61" i="2"/>
  <c r="CF74" i="2"/>
  <c r="AY50" i="2"/>
  <c r="AQ62" i="2"/>
  <c r="AS61" i="6"/>
  <c r="BF25" i="2"/>
  <c r="BT3" i="2"/>
  <c r="BF77" i="6"/>
  <c r="I47" i="2"/>
  <c r="H91" i="2"/>
  <c r="BB34" i="2"/>
  <c r="H4" i="2"/>
  <c r="BG36" i="2"/>
  <c r="BO51" i="2"/>
  <c r="K88" i="6"/>
  <c r="Z35" i="2"/>
  <c r="AW67" i="6"/>
  <c r="CH59" i="2"/>
  <c r="CE80" i="6"/>
  <c r="BL25" i="2"/>
  <c r="BL66" i="2"/>
  <c r="F71" i="6"/>
  <c r="BG54" i="2"/>
  <c r="H88" i="6"/>
  <c r="CI34" i="2"/>
  <c r="G58" i="2"/>
  <c r="AC18" i="2"/>
  <c r="BM75" i="6"/>
  <c r="AW68" i="6"/>
  <c r="BA49" i="6"/>
  <c r="BO80" i="6"/>
  <c r="BI74" i="6"/>
  <c r="BD36" i="2"/>
  <c r="BO98" i="2"/>
  <c r="L23" i="2"/>
  <c r="F58" i="2"/>
  <c r="AS84" i="2"/>
  <c r="K10" i="2"/>
  <c r="M72" i="6"/>
  <c r="AE88" i="6"/>
  <c r="AL44" i="6"/>
  <c r="CE53" i="6"/>
  <c r="AO39" i="6"/>
  <c r="AN79" i="6"/>
  <c r="BG72" i="6"/>
  <c r="BE38" i="2"/>
  <c r="AE87" i="6"/>
  <c r="CS98" i="2"/>
  <c r="AQ31" i="2"/>
  <c r="BZ34" i="2"/>
  <c r="W76" i="6"/>
  <c r="BC16" i="2"/>
  <c r="BA85" i="2"/>
  <c r="C35" i="6"/>
  <c r="U92" i="2"/>
  <c r="CC68" i="2"/>
  <c r="BR79" i="2"/>
  <c r="F48" i="2"/>
  <c r="AO28" i="2"/>
  <c r="Y10" i="2"/>
  <c r="O47" i="6"/>
  <c r="AY52" i="6"/>
  <c r="CD85" i="2"/>
  <c r="CL59" i="6"/>
  <c r="CM6" i="2"/>
  <c r="N12" i="6"/>
  <c r="X62" i="6"/>
  <c r="F18" i="2"/>
  <c r="CR49" i="2"/>
  <c r="X83" i="6"/>
  <c r="BO54" i="2"/>
  <c r="Q53" i="2"/>
  <c r="F44" i="2"/>
  <c r="AJ59" i="6"/>
  <c r="D98" i="6"/>
  <c r="AC44" i="6"/>
  <c r="CH52" i="2"/>
  <c r="BS63" i="6"/>
  <c r="R91" i="6"/>
  <c r="CL38" i="2"/>
  <c r="AT64" i="6"/>
  <c r="CP60" i="6"/>
  <c r="CF9" i="2"/>
  <c r="AJ96" i="2"/>
  <c r="AR56" i="2"/>
  <c r="BR89" i="2"/>
  <c r="BR42" i="6"/>
  <c r="AU46" i="2"/>
  <c r="CB95" i="2"/>
  <c r="CH85" i="2"/>
  <c r="CI67" i="6"/>
  <c r="CC90" i="6"/>
  <c r="AC69" i="6"/>
  <c r="M47" i="2"/>
  <c r="CP73" i="2"/>
  <c r="CT32" i="2"/>
  <c r="AL67" i="6"/>
  <c r="G89" i="2"/>
  <c r="AO87" i="2"/>
  <c r="AY73" i="6"/>
  <c r="BK67" i="2"/>
  <c r="AS99" i="6"/>
  <c r="BF21" i="2"/>
  <c r="BZ77" i="2"/>
  <c r="E47" i="6"/>
  <c r="BB99" i="6"/>
  <c r="AA98" i="6"/>
  <c r="BY94" i="2"/>
  <c r="AK86" i="2"/>
  <c r="CJ35" i="2"/>
  <c r="J43" i="2"/>
  <c r="CC35" i="2"/>
  <c r="H36" i="2"/>
  <c r="CR38" i="6"/>
  <c r="AT93" i="6"/>
  <c r="AA67" i="2"/>
  <c r="BK66" i="2"/>
  <c r="AN77" i="2"/>
  <c r="AI75" i="2"/>
  <c r="BL16" i="2"/>
  <c r="CE17" i="2"/>
  <c r="BU98" i="6"/>
  <c r="V29" i="2"/>
  <c r="AD84" i="2"/>
  <c r="V10" i="2"/>
  <c r="CE52" i="2"/>
  <c r="AZ99" i="2"/>
  <c r="BK76" i="2"/>
  <c r="J9" i="2"/>
  <c r="BO73" i="2"/>
  <c r="BJ69" i="2"/>
  <c r="S37" i="2"/>
  <c r="AG51" i="2"/>
  <c r="AK84" i="2"/>
  <c r="BP64" i="2"/>
  <c r="BK58" i="6"/>
  <c r="U6" i="2"/>
  <c r="AI41" i="6"/>
  <c r="AX33" i="2"/>
  <c r="BI85" i="6"/>
  <c r="AJ97" i="2"/>
  <c r="C3" i="6"/>
  <c r="AZ49" i="2"/>
  <c r="M78" i="6"/>
  <c r="BI71" i="2"/>
  <c r="BU38" i="6"/>
  <c r="BA4" i="6"/>
  <c r="U35" i="2"/>
  <c r="E11" i="2"/>
  <c r="E70" i="6"/>
  <c r="AJ42" i="2"/>
  <c r="BS61" i="6"/>
  <c r="BX38" i="2"/>
  <c r="AD93" i="2"/>
  <c r="BR38" i="2"/>
  <c r="BD56" i="2"/>
  <c r="J94" i="2"/>
  <c r="CB91" i="2"/>
  <c r="CK45" i="6"/>
  <c r="Y48" i="6"/>
  <c r="BN48" i="6"/>
  <c r="U16" i="6"/>
  <c r="CR9" i="2"/>
  <c r="AR54" i="6"/>
  <c r="CQ84" i="2"/>
  <c r="CL93" i="6"/>
  <c r="BA45" i="2"/>
  <c r="BF46" i="6"/>
  <c r="BR33" i="6"/>
  <c r="BG57" i="6"/>
  <c r="CB88" i="6"/>
  <c r="AN97" i="2"/>
  <c r="BF97" i="2"/>
  <c r="AE17" i="2"/>
  <c r="J96" i="6"/>
  <c r="BD82" i="2"/>
  <c r="BC71" i="6"/>
  <c r="BK53" i="2"/>
  <c r="BZ47" i="6"/>
  <c r="P52" i="2"/>
  <c r="CO85" i="6"/>
  <c r="BI81" i="6"/>
  <c r="CS61" i="2"/>
  <c r="CM34" i="2"/>
  <c r="AC53" i="2"/>
  <c r="BJ20" i="2"/>
  <c r="BQ74" i="6"/>
  <c r="X46" i="6"/>
  <c r="CC10" i="6"/>
  <c r="BA23" i="2"/>
  <c r="U16" i="2"/>
  <c r="G71" i="6"/>
  <c r="J77" i="6"/>
  <c r="CG54" i="6"/>
  <c r="AQ14" i="2"/>
  <c r="BM59" i="2"/>
  <c r="BV21" i="2"/>
  <c r="N69" i="2"/>
  <c r="G4" i="2"/>
  <c r="Y74" i="2"/>
  <c r="U60" i="6"/>
  <c r="AV93" i="6"/>
  <c r="P93" i="2"/>
  <c r="AS15" i="2"/>
  <c r="CR23" i="2"/>
  <c r="T62" i="6"/>
  <c r="O77" i="6"/>
  <c r="U77" i="6"/>
  <c r="BY39" i="6"/>
  <c r="AL60" i="2"/>
  <c r="S51" i="2"/>
  <c r="AH13" i="2"/>
  <c r="CQ89" i="2"/>
  <c r="U43" i="2"/>
  <c r="BO23" i="2"/>
  <c r="CA84" i="6"/>
  <c r="BF20" i="2"/>
  <c r="BE45" i="2"/>
  <c r="H97" i="6"/>
  <c r="BD84" i="6"/>
  <c r="AM55" i="6"/>
  <c r="AO46" i="6"/>
  <c r="X71" i="2"/>
  <c r="H72" i="6"/>
  <c r="K71" i="6"/>
  <c r="J73" i="6"/>
  <c r="I89" i="2"/>
  <c r="BW12" i="2"/>
  <c r="CB10" i="2"/>
  <c r="I33" i="2"/>
  <c r="BR84" i="2"/>
  <c r="BF9" i="2"/>
  <c r="T70" i="2"/>
  <c r="M80" i="2"/>
  <c r="BE44" i="6"/>
  <c r="L52" i="6"/>
  <c r="BK45" i="6"/>
  <c r="BU24" i="2"/>
  <c r="X19" i="2"/>
  <c r="H59" i="6"/>
  <c r="CH11" i="2"/>
  <c r="AU86" i="2"/>
  <c r="CT25" i="2"/>
  <c r="CS4" i="2"/>
  <c r="BP16" i="2"/>
  <c r="BW40" i="2"/>
  <c r="CF96" i="2"/>
  <c r="BR83" i="2"/>
  <c r="AB50" i="2"/>
  <c r="BH36" i="6"/>
  <c r="R77" i="2"/>
  <c r="AF13" i="2"/>
  <c r="I14" i="6"/>
  <c r="CK37" i="6"/>
  <c r="AA30" i="6"/>
  <c r="AU86" i="6"/>
  <c r="BQ70" i="6"/>
  <c r="CL73" i="2"/>
  <c r="BA89" i="6"/>
  <c r="N13" i="2"/>
  <c r="AF8" i="2"/>
  <c r="AA43" i="2"/>
  <c r="J28" i="2"/>
  <c r="AB75" i="2"/>
  <c r="AV83" i="2"/>
  <c r="AF90" i="2"/>
  <c r="BI58" i="6"/>
  <c r="AT80" i="6"/>
  <c r="CI5" i="2"/>
  <c r="BR24" i="2"/>
  <c r="BX13" i="2"/>
  <c r="CK73" i="6"/>
  <c r="CH84" i="6"/>
  <c r="BH17" i="6"/>
  <c r="AC47" i="2"/>
  <c r="BV46" i="2"/>
  <c r="N45" i="2"/>
  <c r="W33" i="2"/>
  <c r="CG94" i="2"/>
  <c r="CI91" i="2"/>
  <c r="J74" i="2"/>
  <c r="CO95" i="6"/>
  <c r="CT76" i="2"/>
  <c r="S40" i="6"/>
  <c r="CG31" i="2"/>
  <c r="BY4" i="2"/>
  <c r="BD50" i="6"/>
  <c r="CI22" i="2"/>
  <c r="BM52" i="2"/>
  <c r="G76" i="2"/>
  <c r="CD14" i="2"/>
  <c r="J91" i="2"/>
  <c r="K48" i="6"/>
  <c r="CG64" i="2"/>
  <c r="BK59" i="2"/>
  <c r="BK97" i="6"/>
  <c r="BR84" i="6"/>
  <c r="BB37" i="2"/>
  <c r="CE6" i="2"/>
  <c r="BR99" i="2"/>
  <c r="AR95" i="2"/>
  <c r="AY15" i="2"/>
  <c r="BX68" i="2"/>
  <c r="AB13" i="2"/>
  <c r="AI67" i="6"/>
  <c r="BT32" i="2"/>
  <c r="BE79" i="2"/>
  <c r="BX66" i="6"/>
  <c r="S32" i="2"/>
  <c r="CG69" i="2"/>
  <c r="BR64" i="6"/>
  <c r="V87" i="2"/>
  <c r="BS13" i="2"/>
  <c r="R67" i="6"/>
  <c r="G73" i="2"/>
  <c r="AI42" i="6"/>
  <c r="BZ71" i="2"/>
  <c r="CB83" i="6"/>
  <c r="BF66" i="2"/>
  <c r="BP99" i="6"/>
  <c r="I2" i="2"/>
  <c r="P8" i="2"/>
  <c r="W56" i="2"/>
  <c r="AL89" i="2"/>
  <c r="AS68" i="2"/>
  <c r="P63" i="2"/>
  <c r="AM81" i="6"/>
  <c r="BM96" i="2"/>
  <c r="AS24" i="2"/>
  <c r="W30" i="2"/>
  <c r="BM89" i="6"/>
  <c r="BM68" i="2"/>
  <c r="Y8" i="2"/>
  <c r="BH25" i="2"/>
  <c r="CJ46" i="2"/>
  <c r="E88" i="6"/>
  <c r="CE15" i="6"/>
  <c r="V24" i="2"/>
  <c r="Q68" i="6"/>
  <c r="BZ89" i="2"/>
  <c r="AI34" i="2"/>
  <c r="D63" i="6"/>
  <c r="AQ65" i="6"/>
  <c r="CL74" i="6"/>
  <c r="BM59" i="6"/>
  <c r="AO74" i="6"/>
  <c r="BG23" i="2"/>
  <c r="CF67" i="6"/>
  <c r="CM95" i="2"/>
  <c r="CE65" i="2"/>
  <c r="AT97" i="6"/>
  <c r="AC86" i="2"/>
  <c r="AT38" i="2"/>
  <c r="BP58" i="6"/>
  <c r="C66" i="6"/>
  <c r="CM42" i="2"/>
  <c r="CC94" i="2"/>
  <c r="AZ97" i="6"/>
  <c r="BE39" i="6"/>
  <c r="CF53" i="2"/>
  <c r="AX12" i="2"/>
  <c r="CR62" i="6"/>
  <c r="CP63" i="6"/>
  <c r="AT60" i="2"/>
  <c r="Q62" i="6"/>
  <c r="BJ95" i="6"/>
  <c r="AT85" i="2"/>
  <c r="AY28" i="6"/>
  <c r="AU26" i="6"/>
  <c r="BS20" i="6"/>
  <c r="AV87" i="6"/>
  <c r="CO93" i="6"/>
  <c r="BS99" i="6"/>
  <c r="AW22" i="6"/>
  <c r="BD68" i="6"/>
  <c r="CG20" i="2"/>
  <c r="CH95" i="6"/>
  <c r="BL38" i="6"/>
  <c r="CC41" i="2"/>
  <c r="AX77" i="6"/>
  <c r="U61" i="2"/>
  <c r="BA64" i="2"/>
  <c r="AV69" i="2"/>
  <c r="CS39" i="2"/>
  <c r="AS89" i="6"/>
  <c r="BJ64" i="2"/>
  <c r="P88" i="2"/>
  <c r="G82" i="6"/>
  <c r="BI79" i="6"/>
  <c r="CH44" i="6"/>
  <c r="AL75" i="6"/>
  <c r="BF45" i="6"/>
  <c r="I34" i="2"/>
  <c r="AR88" i="2"/>
  <c r="J86" i="6"/>
  <c r="CL86" i="2"/>
  <c r="BJ97" i="6"/>
  <c r="CO72" i="2"/>
  <c r="C44" i="2"/>
  <c r="O6" i="2"/>
  <c r="BI66" i="6"/>
  <c r="CD71" i="2"/>
  <c r="BG5" i="2"/>
  <c r="G29" i="2"/>
  <c r="AW57" i="6"/>
  <c r="O90" i="6"/>
  <c r="BI81" i="2"/>
  <c r="CO9" i="2"/>
  <c r="CJ51" i="2"/>
  <c r="S52" i="2"/>
  <c r="AH9" i="2"/>
  <c r="CS27" i="2"/>
  <c r="D97" i="2"/>
  <c r="CB94" i="2"/>
  <c r="CT79" i="2"/>
  <c r="CQ41" i="2"/>
  <c r="BS31" i="2"/>
  <c r="AZ61" i="2"/>
  <c r="V91" i="2"/>
  <c r="CT8" i="2"/>
  <c r="CJ60" i="2"/>
  <c r="S99" i="6"/>
  <c r="AR16" i="2"/>
  <c r="Q95" i="6"/>
  <c r="Y86" i="2"/>
  <c r="AS92" i="6"/>
  <c r="BX88" i="2"/>
  <c r="C50" i="2"/>
  <c r="BV59" i="2"/>
  <c r="K34" i="2"/>
  <c r="BI89" i="2"/>
  <c r="E61" i="2"/>
  <c r="Y26" i="2"/>
  <c r="CL78" i="2"/>
  <c r="AR40" i="6"/>
  <c r="AC23" i="2"/>
  <c r="K60" i="2"/>
  <c r="AY53" i="2"/>
  <c r="BT25" i="2"/>
  <c r="R12" i="6"/>
  <c r="CB29" i="2"/>
  <c r="Y21" i="2"/>
  <c r="BA73" i="2"/>
  <c r="AA43" i="6"/>
  <c r="BU79" i="2"/>
  <c r="BP63" i="2"/>
  <c r="CM45" i="6"/>
  <c r="AC25" i="2"/>
  <c r="AC33" i="2"/>
  <c r="CQ45" i="2"/>
  <c r="BL55" i="2"/>
  <c r="AX77" i="2"/>
  <c r="AQ28" i="6"/>
  <c r="AE13" i="2"/>
  <c r="BK81" i="6"/>
  <c r="AL36" i="2"/>
  <c r="C52" i="6"/>
  <c r="BP97" i="6"/>
  <c r="BB28" i="2"/>
  <c r="N16" i="2"/>
  <c r="CD70" i="2"/>
  <c r="BX97" i="6"/>
  <c r="CH13" i="2"/>
  <c r="CM81" i="6"/>
  <c r="AB74" i="6"/>
  <c r="AT83" i="6"/>
  <c r="BM80" i="6"/>
  <c r="CK66" i="2"/>
  <c r="BI40" i="2"/>
  <c r="N71" i="6"/>
  <c r="AX70" i="6"/>
  <c r="AF80" i="6"/>
  <c r="AU30" i="2"/>
  <c r="C82" i="2"/>
  <c r="CD89" i="2"/>
  <c r="R19" i="2"/>
  <c r="AR52" i="2"/>
  <c r="CM100" i="6"/>
  <c r="AB15" i="6"/>
  <c r="BT71" i="2"/>
  <c r="AC23" i="6"/>
  <c r="AO88" i="6"/>
  <c r="BD47" i="2"/>
  <c r="AQ90" i="6"/>
  <c r="AK87" i="6"/>
  <c r="AF55" i="6"/>
  <c r="AP38" i="6"/>
  <c r="AC89" i="2"/>
  <c r="BQ96" i="6"/>
  <c r="BQ86" i="2"/>
  <c r="G12" i="2"/>
  <c r="CR67" i="2"/>
  <c r="AR100" i="2"/>
  <c r="BZ49" i="2"/>
  <c r="CG15" i="2"/>
  <c r="BH80" i="2"/>
  <c r="CQ92" i="2"/>
  <c r="CA65" i="2"/>
  <c r="BM37" i="6"/>
  <c r="CM57" i="2"/>
  <c r="AL45" i="6"/>
  <c r="BB59" i="2"/>
  <c r="G63" i="6"/>
  <c r="BJ14" i="2"/>
  <c r="U41" i="2"/>
  <c r="CN75" i="6"/>
  <c r="BX33" i="2"/>
  <c r="S100" i="2"/>
  <c r="AP30" i="2"/>
  <c r="AE56" i="6"/>
  <c r="X84" i="2"/>
  <c r="AN73" i="2"/>
  <c r="CO26" i="2"/>
  <c r="BN85" i="6"/>
  <c r="CF86" i="2"/>
  <c r="Q11" i="2"/>
  <c r="AB81" i="6"/>
  <c r="CR97" i="6"/>
  <c r="K74" i="6"/>
  <c r="BY33" i="2"/>
  <c r="CK86" i="2"/>
  <c r="H10" i="2"/>
  <c r="BB8" i="2"/>
  <c r="U12" i="2"/>
  <c r="CO71" i="2"/>
  <c r="BP98" i="6"/>
  <c r="BC78" i="2"/>
  <c r="AT20" i="6"/>
  <c r="AL78" i="2"/>
  <c r="AZ39" i="6"/>
  <c r="BN68" i="2"/>
  <c r="CG97" i="2"/>
  <c r="K89" i="6"/>
  <c r="BP10" i="2"/>
  <c r="CC98" i="6"/>
  <c r="AW33" i="6"/>
  <c r="AH67" i="6"/>
  <c r="AJ34" i="2"/>
  <c r="BM36" i="2"/>
  <c r="AS31" i="2"/>
  <c r="C67" i="6"/>
  <c r="BF48" i="2"/>
  <c r="CA34" i="2"/>
  <c r="CF95" i="6"/>
  <c r="CT64" i="2"/>
  <c r="AD89" i="2"/>
  <c r="AB89" i="2"/>
  <c r="CP24" i="6"/>
  <c r="O72" i="6"/>
  <c r="BM65" i="6"/>
  <c r="CI49" i="2"/>
  <c r="L17" i="2"/>
  <c r="CD2" i="2"/>
  <c r="J75" i="6"/>
  <c r="BI84" i="2"/>
  <c r="BZ82" i="2"/>
  <c r="AB99" i="6"/>
  <c r="AB57" i="2"/>
  <c r="AS82" i="6"/>
  <c r="R93" i="2"/>
  <c r="CH58" i="6"/>
  <c r="L60" i="6"/>
  <c r="AF47" i="6"/>
  <c r="D81" i="2"/>
  <c r="AY89" i="2"/>
  <c r="BG61" i="6"/>
  <c r="Q41" i="6"/>
  <c r="BP85" i="2"/>
  <c r="BC10" i="2"/>
  <c r="BM45" i="2"/>
  <c r="K65" i="6"/>
  <c r="BP89" i="2"/>
  <c r="BF65" i="2"/>
  <c r="CO22" i="2"/>
  <c r="BQ51" i="6"/>
  <c r="AH49" i="2"/>
  <c r="BA16" i="6"/>
  <c r="CS58" i="2"/>
  <c r="CM44" i="6"/>
  <c r="W79" i="2"/>
  <c r="AH62" i="2"/>
  <c r="Q23" i="2"/>
  <c r="AD65" i="6"/>
  <c r="BC69" i="2"/>
  <c r="K26" i="2"/>
  <c r="CM18" i="2"/>
  <c r="AS12" i="2"/>
  <c r="C27" i="6"/>
  <c r="BB16" i="2"/>
  <c r="BD93" i="2"/>
  <c r="AQ96" i="2"/>
  <c r="U10" i="2"/>
  <c r="AM44" i="2"/>
  <c r="BV95" i="2"/>
  <c r="Z22" i="2"/>
  <c r="BP76" i="2"/>
  <c r="E9" i="2"/>
  <c r="BB20" i="2"/>
  <c r="AB64" i="2"/>
  <c r="AN34" i="2"/>
  <c r="BT90" i="6"/>
  <c r="BD34" i="2"/>
  <c r="AP18" i="2"/>
  <c r="AC11" i="2"/>
  <c r="BR71" i="6"/>
  <c r="AJ62" i="2"/>
  <c r="AR46" i="6"/>
  <c r="J53" i="2"/>
  <c r="AC61" i="6"/>
  <c r="BP38" i="2"/>
  <c r="BL32" i="6"/>
  <c r="BS76" i="6"/>
  <c r="N98" i="2"/>
  <c r="AK78" i="6"/>
  <c r="CL5" i="2"/>
  <c r="BM25" i="6"/>
  <c r="Z33" i="6"/>
  <c r="CB3" i="6"/>
  <c r="AD36" i="2"/>
  <c r="I5" i="2"/>
  <c r="AO78" i="6"/>
  <c r="CK3" i="2"/>
  <c r="BY65" i="2"/>
  <c r="AG36" i="6"/>
  <c r="P73" i="2"/>
  <c r="U99" i="6"/>
  <c r="CG78" i="2"/>
  <c r="AN5" i="2"/>
  <c r="CM99" i="2"/>
  <c r="BY90" i="6"/>
  <c r="AF71" i="2"/>
  <c r="CC31" i="2"/>
  <c r="AI95" i="6"/>
  <c r="AI69" i="6"/>
  <c r="AV31" i="6"/>
  <c r="P27" i="6"/>
  <c r="BN80" i="6"/>
  <c r="AK26" i="6"/>
  <c r="CE79" i="6"/>
  <c r="AZ46" i="2"/>
  <c r="CK28" i="2"/>
  <c r="CG52" i="6"/>
  <c r="U97" i="2"/>
  <c r="AM95" i="6"/>
  <c r="AQ71" i="2"/>
  <c r="CI41" i="2"/>
  <c r="G46" i="2"/>
  <c r="CE16" i="2"/>
  <c r="AJ86" i="6"/>
  <c r="BJ36" i="2"/>
  <c r="AX40" i="6"/>
  <c r="AE64" i="6"/>
  <c r="BI5" i="2"/>
  <c r="CA5" i="2"/>
  <c r="CF47" i="2"/>
  <c r="Z76" i="2"/>
  <c r="BE92" i="6"/>
  <c r="BO32" i="6"/>
  <c r="E21" i="2"/>
  <c r="BD32" i="2"/>
  <c r="O89" i="2"/>
  <c r="R54" i="2"/>
  <c r="AO93" i="2"/>
  <c r="BY60" i="2"/>
  <c r="Q57" i="2"/>
  <c r="S73" i="2"/>
  <c r="T7" i="2"/>
  <c r="AY36" i="2"/>
  <c r="AP47" i="2"/>
  <c r="CB75" i="2"/>
  <c r="CC25" i="6"/>
  <c r="CP55" i="6"/>
  <c r="AV61" i="2"/>
  <c r="U79" i="2"/>
  <c r="CL4" i="2"/>
  <c r="CJ9" i="2"/>
  <c r="X59" i="6"/>
  <c r="AO41" i="2"/>
  <c r="AY31" i="2"/>
  <c r="AY51" i="2"/>
  <c r="AO57" i="2"/>
  <c r="AL2" i="2"/>
  <c r="AJ28" i="2"/>
  <c r="CT27" i="2"/>
  <c r="CH41" i="6"/>
  <c r="CI19" i="2"/>
  <c r="BT31" i="6"/>
  <c r="BT69" i="2"/>
  <c r="CM99" i="6"/>
  <c r="D68" i="2"/>
  <c r="D62" i="2"/>
  <c r="AA62" i="2"/>
  <c r="BP95" i="2"/>
  <c r="CQ43" i="2"/>
  <c r="AS56" i="2"/>
  <c r="BB61" i="2"/>
  <c r="BM47" i="2"/>
  <c r="BP65" i="6"/>
  <c r="BW48" i="6"/>
  <c r="AZ35" i="6"/>
  <c r="I69" i="6"/>
  <c r="O96" i="6"/>
  <c r="AY81" i="2"/>
  <c r="Z45" i="2"/>
  <c r="V57" i="6"/>
  <c r="AY41" i="6"/>
  <c r="CS24" i="2"/>
  <c r="L88" i="6"/>
  <c r="O62" i="2"/>
  <c r="AZ65" i="2"/>
  <c r="BK10" i="2"/>
  <c r="AU82" i="2"/>
  <c r="CM66" i="2"/>
  <c r="AT92" i="2"/>
  <c r="BL43" i="6"/>
  <c r="Y66" i="2"/>
  <c r="N86" i="2"/>
  <c r="BA87" i="2"/>
  <c r="CH70" i="6"/>
  <c r="R98" i="6"/>
  <c r="BD10" i="6"/>
  <c r="BO71" i="2"/>
  <c r="BX81" i="6"/>
  <c r="H59" i="2"/>
  <c r="E75" i="2"/>
  <c r="BW70" i="6"/>
  <c r="CH29" i="2"/>
  <c r="BU60" i="2"/>
  <c r="BU75" i="2"/>
  <c r="BQ36" i="2"/>
  <c r="CG91" i="2"/>
  <c r="AG81" i="6"/>
  <c r="CS26" i="2"/>
  <c r="CF35" i="6"/>
  <c r="N90" i="2"/>
  <c r="CI10" i="2"/>
  <c r="CE82" i="6"/>
  <c r="BN20" i="6"/>
  <c r="CI64" i="2"/>
  <c r="AV76" i="6"/>
  <c r="V51" i="2"/>
  <c r="I55" i="2"/>
  <c r="O95" i="2"/>
  <c r="BR95" i="6"/>
  <c r="BI18" i="2"/>
  <c r="D51" i="6"/>
  <c r="BF67" i="2"/>
  <c r="CE83" i="2"/>
  <c r="BI68" i="2"/>
  <c r="AH70" i="2"/>
  <c r="AG93" i="2"/>
  <c r="AR62" i="2"/>
  <c r="BU57" i="6"/>
  <c r="AU28" i="2"/>
  <c r="L81" i="6"/>
  <c r="P68" i="2"/>
  <c r="AQ89" i="2"/>
  <c r="CK39" i="2"/>
  <c r="BZ66" i="2"/>
  <c r="P82" i="2"/>
  <c r="CQ70" i="6"/>
  <c r="BC95" i="6"/>
  <c r="BV16" i="2"/>
  <c r="AP42" i="2"/>
  <c r="J89" i="2"/>
  <c r="BE7" i="2"/>
  <c r="BZ72" i="2"/>
  <c r="CP96" i="6"/>
  <c r="CG76" i="6"/>
  <c r="G53" i="2"/>
  <c r="S33" i="2"/>
  <c r="J11" i="2"/>
  <c r="BM42" i="2"/>
  <c r="AW22" i="2"/>
  <c r="BC82" i="2"/>
  <c r="AH32" i="2"/>
  <c r="CQ77" i="6"/>
  <c r="P34" i="2"/>
  <c r="CN82" i="6"/>
  <c r="CH71" i="2"/>
  <c r="BQ13" i="6"/>
  <c r="CO100" i="2"/>
  <c r="T9" i="2"/>
  <c r="E82" i="6"/>
  <c r="CF66" i="2"/>
  <c r="BI72" i="6"/>
  <c r="AH85" i="6"/>
  <c r="CD100" i="6"/>
  <c r="X13" i="2"/>
  <c r="CL62" i="2"/>
  <c r="AQ55" i="6"/>
  <c r="CB45" i="2"/>
  <c r="CH90" i="6"/>
  <c r="BC72" i="2"/>
  <c r="BW49" i="2"/>
  <c r="BI35" i="6"/>
  <c r="BP61" i="2"/>
  <c r="K24" i="2"/>
  <c r="AY85" i="2"/>
  <c r="BT85" i="2"/>
  <c r="BI65" i="6"/>
  <c r="CK99" i="6"/>
  <c r="BG32" i="2"/>
  <c r="CD93" i="2"/>
  <c r="CL98" i="2"/>
  <c r="I99" i="2"/>
  <c r="CL41" i="2"/>
  <c r="H31" i="2"/>
  <c r="C76" i="6"/>
  <c r="CL44" i="2"/>
  <c r="BW61" i="6"/>
  <c r="AN71" i="2"/>
  <c r="AX66" i="2"/>
  <c r="AO24" i="6"/>
  <c r="CO44" i="6"/>
  <c r="Y51" i="6"/>
  <c r="N55" i="6"/>
  <c r="BW24" i="2"/>
  <c r="Q94" i="2"/>
  <c r="AL76" i="6"/>
  <c r="AJ37" i="6"/>
  <c r="AT22" i="6"/>
  <c r="BY27" i="2"/>
  <c r="BB45" i="2"/>
  <c r="BV88" i="2"/>
  <c r="BK72" i="6"/>
  <c r="CH80" i="6"/>
  <c r="BG67" i="2"/>
  <c r="AD74" i="2"/>
  <c r="BX49" i="2"/>
  <c r="BZ78" i="6"/>
  <c r="BQ57" i="6"/>
  <c r="AG86" i="6"/>
  <c r="AG72" i="2"/>
  <c r="L62" i="2"/>
  <c r="AM96" i="6"/>
  <c r="AX58" i="6"/>
  <c r="G95" i="6"/>
  <c r="AS68" i="6"/>
  <c r="H67" i="6"/>
  <c r="BR60" i="6"/>
  <c r="J54" i="6"/>
  <c r="CH62" i="6"/>
  <c r="AW47" i="2"/>
  <c r="CC3" i="2"/>
  <c r="CI62" i="2"/>
  <c r="F88" i="2"/>
  <c r="BT44" i="6"/>
  <c r="AG80" i="2"/>
  <c r="CF65" i="2"/>
  <c r="CP82" i="2"/>
  <c r="CR39" i="2"/>
  <c r="BX57" i="2"/>
  <c r="AF91" i="6"/>
  <c r="BM53" i="2"/>
  <c r="BM50" i="6"/>
  <c r="BB52" i="6"/>
  <c r="J76" i="6"/>
  <c r="AN42" i="2"/>
  <c r="BW91" i="6"/>
  <c r="AP59" i="2"/>
  <c r="BR47" i="2"/>
  <c r="R99" i="2"/>
  <c r="D94" i="2"/>
  <c r="BO88" i="2"/>
  <c r="AY72" i="6"/>
  <c r="BX79" i="2"/>
  <c r="CD56" i="2"/>
  <c r="CP60" i="2"/>
  <c r="AZ67" i="2"/>
  <c r="Q89" i="2"/>
  <c r="CK57" i="2"/>
  <c r="BL61" i="6"/>
  <c r="AE23" i="6"/>
  <c r="BU87" i="6"/>
  <c r="CF71" i="2"/>
  <c r="CK83" i="6"/>
  <c r="AA92" i="2"/>
  <c r="CM38" i="2"/>
  <c r="AA45" i="2"/>
  <c r="CC32" i="2"/>
  <c r="BE43" i="2"/>
  <c r="CI86" i="2"/>
  <c r="BM92" i="6"/>
  <c r="P87" i="2"/>
  <c r="CS40" i="2"/>
  <c r="BP79" i="2"/>
  <c r="BS85" i="2"/>
  <c r="P23" i="2"/>
  <c r="AD98" i="6"/>
  <c r="BK71" i="6"/>
  <c r="BX93" i="2"/>
  <c r="AF43" i="6"/>
  <c r="AX70" i="2"/>
  <c r="AF57" i="2"/>
  <c r="AW53" i="6"/>
  <c r="CP95" i="2"/>
  <c r="AS20" i="2"/>
  <c r="AM85" i="6"/>
  <c r="AO61" i="2"/>
  <c r="O79" i="2"/>
  <c r="AE65" i="2"/>
  <c r="CA82" i="6"/>
  <c r="M92" i="2"/>
  <c r="BZ36" i="2"/>
  <c r="BS59" i="2"/>
  <c r="AT69" i="6"/>
  <c r="X94" i="2"/>
  <c r="AF72" i="2"/>
  <c r="AZ71" i="2"/>
  <c r="BA47" i="2"/>
  <c r="H9" i="2"/>
  <c r="AR17" i="2"/>
  <c r="AG42" i="2"/>
  <c r="AL41" i="2"/>
  <c r="BP78" i="6"/>
  <c r="AP80" i="2"/>
  <c r="BC99" i="2"/>
  <c r="CQ66" i="2"/>
  <c r="AY76" i="2"/>
  <c r="AV86" i="2"/>
  <c r="Y90" i="6"/>
  <c r="AB11" i="6"/>
  <c r="BP10" i="6"/>
  <c r="AU16" i="2"/>
  <c r="AS58" i="2"/>
  <c r="CD72" i="6"/>
  <c r="N79" i="6"/>
  <c r="BC65" i="2"/>
  <c r="BU95" i="2"/>
  <c r="CG37" i="2"/>
  <c r="CB80" i="2"/>
  <c r="F55" i="2"/>
  <c r="AA87" i="6"/>
  <c r="BG90" i="2"/>
  <c r="Q74" i="6"/>
  <c r="AE43" i="2"/>
  <c r="M70" i="6"/>
  <c r="BK93" i="6"/>
  <c r="CJ89" i="2"/>
  <c r="C21" i="6"/>
  <c r="CP43" i="2"/>
  <c r="CC34" i="2"/>
  <c r="C63" i="6"/>
  <c r="CB76" i="2"/>
  <c r="X85" i="2"/>
  <c r="C50" i="6"/>
  <c r="I68" i="6"/>
  <c r="AO68" i="2"/>
  <c r="CP79" i="6"/>
  <c r="CD31" i="2"/>
  <c r="BN81" i="6"/>
  <c r="AM34" i="2"/>
  <c r="J87" i="6"/>
  <c r="F84" i="2"/>
  <c r="T16" i="2"/>
  <c r="BF79" i="6"/>
  <c r="AK27" i="6"/>
  <c r="BV80" i="2"/>
  <c r="CL89" i="2"/>
  <c r="BM93" i="6"/>
  <c r="S44" i="2"/>
  <c r="BY94" i="6"/>
  <c r="BE29" i="2"/>
  <c r="CK31" i="2"/>
  <c r="C76" i="2"/>
  <c r="CG72" i="6"/>
  <c r="CF49" i="2"/>
  <c r="BK24" i="2"/>
  <c r="BY3" i="2"/>
  <c r="Z88" i="2"/>
  <c r="Q41" i="2"/>
  <c r="BI17" i="6"/>
  <c r="CH20" i="6"/>
  <c r="AF20" i="2"/>
  <c r="AV44" i="2"/>
  <c r="G30" i="6"/>
  <c r="CF24" i="2"/>
  <c r="AP85" i="6"/>
  <c r="AP57" i="2"/>
  <c r="U78" i="2"/>
  <c r="BZ92" i="6"/>
  <c r="BB87" i="6"/>
  <c r="BC74" i="6"/>
  <c r="BB49" i="2"/>
  <c r="BG62" i="2"/>
  <c r="AR97" i="2"/>
  <c r="AU11" i="2"/>
  <c r="G48" i="6"/>
  <c r="E66" i="2"/>
  <c r="CC36" i="2"/>
  <c r="BN79" i="6"/>
  <c r="CA70" i="6"/>
  <c r="AK50" i="6"/>
  <c r="BO83" i="6"/>
  <c r="S95" i="6"/>
  <c r="G65" i="2"/>
  <c r="BH7" i="2"/>
  <c r="BG47" i="2"/>
  <c r="AK35" i="6"/>
  <c r="BJ52" i="2"/>
  <c r="T71" i="2"/>
  <c r="N97" i="2"/>
  <c r="AP83" i="2"/>
  <c r="AV27" i="2"/>
  <c r="BM35" i="2"/>
  <c r="BS41" i="2"/>
  <c r="Y46" i="6"/>
  <c r="CT52" i="2"/>
  <c r="BD15" i="2"/>
  <c r="AH12" i="2"/>
  <c r="AO4" i="2"/>
  <c r="AW88" i="6"/>
  <c r="CN21" i="2"/>
  <c r="CQ39" i="2"/>
  <c r="Z24" i="2"/>
  <c r="CN90" i="6"/>
  <c r="AN60" i="2"/>
  <c r="CQ99" i="2"/>
  <c r="BM91" i="2"/>
  <c r="U84" i="2"/>
  <c r="AR71" i="2"/>
  <c r="CR47" i="2"/>
  <c r="CG65" i="6"/>
  <c r="V8" i="2"/>
  <c r="BT86" i="2"/>
  <c r="X92" i="6"/>
  <c r="CK17" i="2"/>
  <c r="BS17" i="2"/>
  <c r="V84" i="6"/>
  <c r="BQ40" i="2"/>
  <c r="AN68" i="6"/>
  <c r="BI53" i="2"/>
  <c r="AF59" i="2"/>
  <c r="BE53" i="2"/>
  <c r="CL99" i="6"/>
  <c r="AM56" i="2"/>
  <c r="X42" i="2"/>
  <c r="BB11" i="2"/>
  <c r="BL69" i="6"/>
  <c r="AD41" i="2"/>
  <c r="CH49" i="2"/>
  <c r="R100" i="6"/>
  <c r="BM31" i="2"/>
  <c r="CM76" i="6"/>
  <c r="CL95" i="6"/>
  <c r="CF16" i="2"/>
  <c r="O97" i="6"/>
  <c r="CJ5" i="2"/>
  <c r="AG15" i="2"/>
  <c r="AI38" i="2"/>
  <c r="W51" i="6"/>
  <c r="I60" i="2"/>
  <c r="G52" i="2"/>
  <c r="E94" i="6"/>
  <c r="BN52" i="6"/>
  <c r="AO69" i="6"/>
  <c r="AA49" i="2"/>
  <c r="AS19" i="2"/>
  <c r="CN43" i="6"/>
  <c r="AI56" i="6"/>
  <c r="BY34" i="6"/>
  <c r="BI61" i="6"/>
  <c r="F26" i="2"/>
  <c r="AZ36" i="6"/>
  <c r="AN52" i="2"/>
  <c r="BZ97" i="6"/>
  <c r="Z56" i="2"/>
  <c r="AC68" i="2"/>
  <c r="AO50" i="2"/>
  <c r="CO20" i="2"/>
  <c r="BF96" i="6"/>
  <c r="BT89" i="2"/>
  <c r="BJ90" i="2"/>
  <c r="AS69" i="6"/>
  <c r="AA17" i="2"/>
  <c r="BL65" i="2"/>
  <c r="Z16" i="6"/>
  <c r="O36" i="2"/>
  <c r="Z100" i="6"/>
  <c r="N76" i="6"/>
  <c r="AJ91" i="2"/>
  <c r="BR66" i="2"/>
  <c r="BN6" i="2"/>
  <c r="AO39" i="2"/>
  <c r="AT53" i="2"/>
  <c r="BD76" i="2"/>
  <c r="BO10" i="2"/>
  <c r="CN22" i="2"/>
  <c r="CA81" i="6"/>
  <c r="BG17" i="6"/>
  <c r="BW92" i="2"/>
  <c r="CR53" i="6"/>
  <c r="AG78" i="6"/>
  <c r="CN48" i="6"/>
  <c r="AJ6" i="2"/>
  <c r="AF54" i="6"/>
  <c r="CN57" i="6"/>
  <c r="AX41" i="2"/>
  <c r="K92" i="2"/>
  <c r="BM60" i="2"/>
  <c r="AU40" i="2"/>
  <c r="CK65" i="6"/>
  <c r="X48" i="2"/>
  <c r="BZ36" i="6"/>
  <c r="Q92" i="2"/>
  <c r="BY54" i="6"/>
  <c r="CI13" i="6"/>
  <c r="BD64" i="6"/>
  <c r="BH48" i="2"/>
  <c r="AJ50" i="2"/>
  <c r="AH69" i="2"/>
  <c r="U74" i="6"/>
  <c r="BP97" i="2"/>
  <c r="CL77" i="2"/>
  <c r="F24" i="2"/>
  <c r="AP7" i="2"/>
  <c r="CM47" i="6"/>
  <c r="BM46" i="6"/>
  <c r="CA64" i="6"/>
  <c r="CC56" i="2"/>
  <c r="W90" i="6"/>
  <c r="I39" i="6"/>
  <c r="BB41" i="2"/>
  <c r="AY83" i="6"/>
  <c r="CS85" i="2"/>
  <c r="W41" i="2"/>
  <c r="BW68" i="2"/>
  <c r="BL2" i="2"/>
  <c r="CK50" i="2"/>
  <c r="BE85" i="2"/>
  <c r="AE81" i="6"/>
  <c r="BI75" i="6"/>
  <c r="BL86" i="2"/>
  <c r="BP22" i="2"/>
  <c r="BZ10" i="2"/>
  <c r="CD26" i="2"/>
  <c r="AK12" i="6"/>
  <c r="F85" i="6"/>
  <c r="BN82" i="2"/>
  <c r="AG73" i="6"/>
  <c r="CQ73" i="2"/>
  <c r="Q57" i="6"/>
  <c r="BB68" i="6"/>
  <c r="AC64" i="2"/>
  <c r="BH21" i="2"/>
  <c r="AC90" i="2"/>
  <c r="M24" i="2"/>
  <c r="CO94" i="6"/>
  <c r="C82" i="6"/>
  <c r="CQ42" i="2"/>
  <c r="H75" i="6"/>
  <c r="BV65" i="6"/>
  <c r="CP58" i="2"/>
  <c r="U45" i="2"/>
  <c r="BN51" i="2"/>
  <c r="CJ51" i="6"/>
  <c r="W61" i="2"/>
  <c r="BC83" i="2"/>
  <c r="L49" i="6"/>
  <c r="K75" i="2"/>
  <c r="BD28" i="2"/>
  <c r="AQ49" i="6"/>
  <c r="AY62" i="6"/>
  <c r="AW32" i="2"/>
  <c r="AX50" i="2"/>
  <c r="CC26" i="6"/>
  <c r="AT32" i="6"/>
  <c r="BT12" i="2"/>
  <c r="CI80" i="6"/>
  <c r="BZ53" i="2"/>
  <c r="S62" i="6"/>
  <c r="BZ39" i="2"/>
  <c r="J66" i="2"/>
  <c r="BS41" i="6"/>
  <c r="G67" i="6"/>
  <c r="CC30" i="2"/>
  <c r="BD59" i="6"/>
  <c r="AK12" i="2"/>
  <c r="BT7" i="2"/>
  <c r="CM69" i="6"/>
  <c r="BU78" i="6"/>
  <c r="CP3" i="2"/>
  <c r="CL20" i="2"/>
  <c r="AR65" i="2"/>
  <c r="K14" i="6"/>
  <c r="CC40" i="6"/>
  <c r="AF20" i="6"/>
  <c r="CR89" i="6"/>
  <c r="BU21" i="6"/>
  <c r="BD40" i="2"/>
  <c r="J72" i="6"/>
  <c r="AU6" i="2"/>
  <c r="AN54" i="2"/>
  <c r="CG86" i="6"/>
  <c r="CH68" i="6"/>
  <c r="M82" i="6"/>
  <c r="BG80" i="6"/>
  <c r="CR100" i="2"/>
  <c r="V76" i="2"/>
  <c r="AG81" i="2"/>
  <c r="AX81" i="2"/>
  <c r="CJ46" i="6"/>
  <c r="CO85" i="2"/>
  <c r="E99" i="6"/>
  <c r="H27" i="6"/>
  <c r="BU79" i="6"/>
  <c r="AK58" i="2"/>
  <c r="AE41" i="6"/>
  <c r="CT15" i="2"/>
  <c r="U87" i="6"/>
  <c r="BO55" i="2"/>
  <c r="AJ65" i="2"/>
  <c r="AX83" i="6"/>
  <c r="AI26" i="2"/>
  <c r="BH91" i="6"/>
  <c r="AP87" i="2"/>
  <c r="AO55" i="2"/>
  <c r="AR42" i="6"/>
  <c r="BF26" i="2"/>
  <c r="AP79" i="6"/>
  <c r="AA78" i="6"/>
  <c r="AN59" i="6"/>
  <c r="P93" i="6"/>
  <c r="CJ62" i="2"/>
  <c r="BO67" i="6"/>
  <c r="AF97" i="2"/>
  <c r="R88" i="2"/>
  <c r="CG21" i="2"/>
  <c r="BY99" i="6"/>
  <c r="CF90" i="2"/>
  <c r="E95" i="2"/>
  <c r="Q98" i="6"/>
  <c r="AE73" i="2"/>
  <c r="BV47" i="2"/>
  <c r="AV42" i="2"/>
  <c r="BL31" i="2"/>
  <c r="BZ12" i="2"/>
  <c r="BA85" i="6"/>
  <c r="AV11" i="2"/>
  <c r="V34" i="6"/>
  <c r="CI69" i="2"/>
  <c r="BA19" i="6"/>
  <c r="O60" i="2"/>
  <c r="CA42" i="2"/>
  <c r="AD38" i="2"/>
  <c r="BF23" i="2"/>
  <c r="E51" i="2"/>
  <c r="AK31" i="2"/>
  <c r="AY80" i="6"/>
  <c r="R91" i="2"/>
  <c r="AU87" i="2"/>
  <c r="F9" i="6"/>
  <c r="AW36" i="2"/>
  <c r="BH96" i="2"/>
  <c r="AQ84" i="6"/>
  <c r="L69" i="2"/>
  <c r="W95" i="2"/>
  <c r="BP67" i="6"/>
  <c r="AD69" i="6"/>
  <c r="AH8" i="2"/>
  <c r="AA77" i="6"/>
  <c r="AH61" i="6"/>
  <c r="BJ73" i="6"/>
  <c r="V67" i="2"/>
  <c r="AK34" i="6"/>
  <c r="BP9" i="2"/>
  <c r="CI70" i="2"/>
  <c r="CM93" i="2"/>
  <c r="BE69" i="2"/>
  <c r="AQ91" i="6"/>
  <c r="CC59" i="2"/>
  <c r="R94" i="2"/>
  <c r="AV32" i="2"/>
  <c r="I74" i="2"/>
  <c r="BL15" i="2"/>
  <c r="BR10" i="2"/>
  <c r="I25" i="6"/>
  <c r="CC7" i="2"/>
  <c r="AD15" i="2"/>
  <c r="H45" i="2"/>
  <c r="CN93" i="6"/>
  <c r="D57" i="6"/>
  <c r="Y68" i="2"/>
  <c r="BE77" i="6"/>
  <c r="BK74" i="6"/>
  <c r="P47" i="2"/>
  <c r="BX32" i="6"/>
  <c r="T22" i="6"/>
  <c r="AQ46" i="2"/>
  <c r="CB8" i="2"/>
  <c r="T88" i="6"/>
  <c r="CP61" i="6"/>
  <c r="L78" i="6"/>
  <c r="BE87" i="6"/>
  <c r="BV49" i="2"/>
  <c r="CN36" i="6"/>
  <c r="CH87" i="2"/>
  <c r="AB25" i="2"/>
  <c r="V86" i="2"/>
  <c r="CF83" i="2"/>
  <c r="AE98" i="6"/>
  <c r="G88" i="2"/>
  <c r="BS66" i="2"/>
  <c r="O68" i="2"/>
  <c r="CL56" i="2"/>
  <c r="CH78" i="2"/>
  <c r="BX95" i="6"/>
  <c r="AR20" i="2"/>
  <c r="CC79" i="6"/>
  <c r="U59" i="6"/>
  <c r="CB69" i="6"/>
  <c r="BX51" i="6"/>
  <c r="K25" i="2"/>
  <c r="E4" i="2"/>
  <c r="F75" i="2"/>
  <c r="BK4" i="2"/>
  <c r="CS97" i="2"/>
  <c r="X20" i="2"/>
  <c r="W22" i="2"/>
  <c r="BC46" i="2"/>
  <c r="BN99" i="2"/>
  <c r="AF15" i="2"/>
  <c r="BT2" i="2"/>
  <c r="AL74" i="6"/>
  <c r="BR86" i="6"/>
  <c r="AC60" i="6"/>
  <c r="W18" i="2"/>
  <c r="H96" i="2"/>
  <c r="CK67" i="2"/>
  <c r="N86" i="6"/>
  <c r="BF39" i="2"/>
  <c r="BY46" i="6"/>
  <c r="BZ45" i="2"/>
  <c r="X26" i="6"/>
  <c r="D87" i="2"/>
  <c r="CN51" i="2"/>
  <c r="V52" i="2"/>
  <c r="CP72" i="2"/>
  <c r="CG89" i="2"/>
  <c r="BY39" i="2"/>
  <c r="Q84" i="2"/>
  <c r="BS3" i="2"/>
  <c r="K16" i="2"/>
  <c r="BZ90" i="2"/>
  <c r="CL45" i="2"/>
  <c r="AZ3" i="2"/>
  <c r="AB59" i="6"/>
  <c r="CB30" i="2"/>
  <c r="CP23" i="2"/>
  <c r="K59" i="2"/>
  <c r="AM92" i="2"/>
  <c r="BL76" i="2"/>
  <c r="CN19" i="2"/>
  <c r="AY42" i="2"/>
  <c r="CS57" i="2"/>
  <c r="C37" i="6"/>
  <c r="AD44" i="6"/>
  <c r="W90" i="2"/>
  <c r="S47" i="2"/>
  <c r="BG42" i="2"/>
  <c r="CQ46" i="2"/>
  <c r="BB98" i="2"/>
  <c r="BN92" i="6"/>
  <c r="BI86" i="2"/>
  <c r="BX81" i="2"/>
  <c r="CI43" i="6"/>
  <c r="CG88" i="6"/>
  <c r="J90" i="2"/>
  <c r="I14" i="2"/>
  <c r="BC65" i="6"/>
  <c r="BM38" i="2"/>
  <c r="BN98" i="2"/>
  <c r="AW46" i="2"/>
  <c r="AB45" i="6"/>
  <c r="BG62" i="6"/>
  <c r="BF49" i="2"/>
  <c r="CH23" i="2"/>
  <c r="AO79" i="2"/>
  <c r="C46" i="6"/>
  <c r="BQ3" i="2"/>
  <c r="CN41" i="2"/>
  <c r="CQ6" i="2"/>
  <c r="AO51" i="2"/>
  <c r="CL86" i="6"/>
  <c r="BE95" i="2"/>
  <c r="BP12" i="2"/>
  <c r="AU64" i="2"/>
  <c r="BH15" i="2"/>
  <c r="T19" i="2"/>
  <c r="AY57" i="2"/>
  <c r="S11" i="2"/>
  <c r="N27" i="2"/>
  <c r="E50" i="2"/>
  <c r="CQ13" i="2"/>
  <c r="BJ27" i="2"/>
  <c r="AS32" i="2"/>
  <c r="CT3" i="2"/>
  <c r="F55" i="6"/>
  <c r="AM15" i="2"/>
  <c r="AF26" i="6"/>
  <c r="BH64" i="2"/>
  <c r="BH79" i="6"/>
  <c r="BT96" i="6"/>
  <c r="BI12" i="2"/>
  <c r="BC51" i="6"/>
  <c r="CG4" i="2"/>
  <c r="AU88" i="2"/>
  <c r="BN77" i="2"/>
  <c r="AN47" i="2"/>
  <c r="AF71" i="6"/>
  <c r="AD83" i="2"/>
  <c r="Z92" i="2"/>
  <c r="CG11" i="2"/>
  <c r="I54" i="6"/>
  <c r="CQ81" i="2"/>
  <c r="CP44" i="2"/>
  <c r="AE90" i="2"/>
  <c r="AE51" i="2"/>
  <c r="W15" i="2"/>
  <c r="Q76" i="2"/>
  <c r="BA60" i="2"/>
  <c r="CQ60" i="2"/>
  <c r="AE48" i="6"/>
  <c r="AY80" i="2"/>
  <c r="BO43" i="2"/>
  <c r="BP46" i="2"/>
  <c r="F41" i="2"/>
  <c r="AE99" i="6"/>
  <c r="CA79" i="2"/>
  <c r="CI80" i="2"/>
  <c r="CF38" i="2"/>
  <c r="AA90" i="2"/>
  <c r="AK81" i="2"/>
  <c r="AO95" i="2"/>
  <c r="N14" i="2"/>
  <c r="BR94" i="2"/>
  <c r="CQ48" i="2"/>
  <c r="M43" i="2"/>
  <c r="F52" i="2"/>
  <c r="T67" i="2"/>
  <c r="F69" i="2"/>
  <c r="AC62" i="6"/>
  <c r="CK73" i="2"/>
  <c r="P74" i="2"/>
  <c r="CC81" i="6"/>
  <c r="AF91" i="2"/>
  <c r="Q34" i="2"/>
  <c r="V65" i="2"/>
  <c r="AM56" i="6"/>
  <c r="BB13" i="2"/>
  <c r="AN62" i="6"/>
  <c r="AZ27" i="2"/>
  <c r="BL12" i="2"/>
  <c r="CD17" i="2"/>
  <c r="X92" i="2"/>
  <c r="CT69" i="2"/>
  <c r="AA68" i="6"/>
  <c r="AA80" i="2"/>
  <c r="BI17" i="2"/>
  <c r="BN83" i="6"/>
  <c r="BR75" i="6"/>
  <c r="J77" i="2"/>
  <c r="AU75" i="2"/>
  <c r="BQ97" i="6"/>
  <c r="P65" i="2"/>
  <c r="CG31" i="6"/>
  <c r="AH90" i="6"/>
  <c r="AS82" i="2"/>
  <c r="BG20" i="2"/>
  <c r="AM33" i="6"/>
  <c r="D34" i="2"/>
  <c r="L3" i="2"/>
  <c r="BQ58" i="2"/>
  <c r="AV68" i="2"/>
  <c r="AW97" i="2"/>
  <c r="W97" i="2"/>
  <c r="AW25" i="2"/>
  <c r="BR29" i="2"/>
  <c r="AR23" i="2"/>
  <c r="AU54" i="2"/>
  <c r="AG68" i="6"/>
  <c r="Y55" i="2"/>
  <c r="J7" i="2"/>
  <c r="AF86" i="6"/>
  <c r="BA80" i="6"/>
  <c r="BJ79" i="2"/>
  <c r="O99" i="6"/>
  <c r="BS60" i="2"/>
  <c r="AE67" i="2"/>
  <c r="AI90" i="2"/>
  <c r="AJ19" i="2"/>
  <c r="BM73" i="2"/>
  <c r="AS16" i="2"/>
  <c r="I42" i="2"/>
  <c r="AI57" i="2"/>
  <c r="F99" i="2"/>
  <c r="BQ83" i="6"/>
  <c r="M36" i="2"/>
  <c r="Y95" i="6"/>
  <c r="CJ82" i="6"/>
  <c r="AU52" i="2"/>
  <c r="F39" i="2"/>
  <c r="H3" i="2"/>
  <c r="AL50" i="2"/>
  <c r="BN62" i="2"/>
  <c r="Z85" i="2"/>
  <c r="V77" i="2"/>
  <c r="BI76" i="2"/>
  <c r="AC88" i="6"/>
  <c r="F79" i="6"/>
  <c r="AW100" i="2"/>
  <c r="BN78" i="6"/>
  <c r="X76" i="2"/>
  <c r="CH18" i="2"/>
  <c r="AQ78" i="2"/>
  <c r="E76" i="2"/>
  <c r="AN75" i="6"/>
  <c r="BS37" i="6"/>
  <c r="Y36" i="2"/>
  <c r="AG65" i="2"/>
  <c r="AZ18" i="2"/>
  <c r="BH78" i="6"/>
  <c r="BC66" i="6"/>
  <c r="CR24" i="2"/>
  <c r="CG93" i="6"/>
  <c r="BK89" i="2"/>
  <c r="CE42" i="2"/>
  <c r="CR20" i="2"/>
  <c r="AC58" i="2"/>
  <c r="BI48" i="2"/>
  <c r="E2" i="2"/>
  <c r="D46" i="6"/>
  <c r="BG85" i="6"/>
  <c r="CD53" i="2"/>
  <c r="V92" i="2"/>
  <c r="AN67" i="2"/>
  <c r="W87" i="6"/>
  <c r="CI85" i="2"/>
  <c r="Y69" i="6"/>
  <c r="BN45" i="2"/>
  <c r="BR98" i="6"/>
  <c r="BU56" i="2"/>
  <c r="BI82" i="2"/>
  <c r="BV58" i="2"/>
  <c r="BB80" i="6"/>
  <c r="AO9" i="2"/>
  <c r="BB78" i="6"/>
  <c r="CF55" i="2"/>
  <c r="BR18" i="6"/>
  <c r="BF61" i="6"/>
  <c r="CM21" i="2"/>
  <c r="AS50" i="2"/>
  <c r="AS72" i="2"/>
  <c r="S43" i="2"/>
  <c r="AB98" i="2"/>
  <c r="CE93" i="2"/>
  <c r="AQ88" i="6"/>
  <c r="BE83" i="6"/>
  <c r="AR42" i="2"/>
  <c r="O66" i="2"/>
  <c r="AF64" i="2"/>
  <c r="BS58" i="6"/>
  <c r="P91" i="2"/>
  <c r="CK57" i="6"/>
  <c r="S26" i="2"/>
  <c r="BA54" i="2"/>
  <c r="BC58" i="2"/>
  <c r="CM23" i="2"/>
  <c r="BW88" i="2"/>
  <c r="CM5" i="2"/>
  <c r="CM53" i="6"/>
  <c r="Z95" i="6"/>
  <c r="AF42" i="2"/>
  <c r="AK79" i="2"/>
  <c r="CD22" i="2"/>
  <c r="CC50" i="6"/>
  <c r="CL23" i="2"/>
  <c r="AL64" i="6"/>
  <c r="BT14" i="2"/>
  <c r="CA11" i="2"/>
  <c r="CH32" i="2"/>
  <c r="CH93" i="6"/>
  <c r="BP51" i="2"/>
  <c r="AT86" i="2"/>
  <c r="C78" i="6"/>
  <c r="AG40" i="2"/>
  <c r="G19" i="2"/>
  <c r="F97" i="6"/>
  <c r="CK55" i="2"/>
  <c r="BE55" i="2"/>
  <c r="BS70" i="2"/>
  <c r="BD62" i="2"/>
  <c r="Y48" i="2"/>
  <c r="CM92" i="2"/>
  <c r="CN29" i="2"/>
  <c r="BR61" i="2"/>
  <c r="T53" i="2"/>
  <c r="BE90" i="2"/>
  <c r="F2" i="2"/>
  <c r="AK84" i="6"/>
  <c r="AV87" i="2"/>
  <c r="BG92" i="6"/>
  <c r="CC71" i="6"/>
  <c r="AW90" i="2"/>
  <c r="CK35" i="2"/>
  <c r="AR64" i="2"/>
  <c r="AS63" i="2"/>
  <c r="AJ3" i="2"/>
  <c r="AG77" i="2"/>
  <c r="CR68" i="6"/>
  <c r="CQ84" i="6"/>
  <c r="G83" i="2"/>
  <c r="BZ9" i="2"/>
  <c r="H88" i="2"/>
  <c r="CM4" i="2"/>
  <c r="BU46" i="2"/>
  <c r="CF79" i="2"/>
  <c r="BZ15" i="2"/>
  <c r="BV21" i="6"/>
  <c r="AI41" i="2"/>
  <c r="W66" i="2"/>
  <c r="BS72" i="2"/>
  <c r="L25" i="6"/>
  <c r="Q58" i="2"/>
  <c r="L24" i="2"/>
  <c r="AF10" i="2"/>
  <c r="AS13" i="2"/>
  <c r="AN70" i="6"/>
  <c r="F62" i="2"/>
  <c r="CQ77" i="2"/>
  <c r="Y73" i="6"/>
  <c r="BH45" i="2"/>
  <c r="F82" i="2"/>
  <c r="AK56" i="2"/>
  <c r="Q87" i="6"/>
  <c r="AJ67" i="6"/>
  <c r="AZ94" i="6"/>
  <c r="BM63" i="6"/>
  <c r="H66" i="6"/>
  <c r="CJ82" i="2"/>
  <c r="W94" i="6"/>
  <c r="G13" i="2"/>
  <c r="BU42" i="2"/>
  <c r="CC51" i="2"/>
  <c r="BX24" i="2"/>
  <c r="AV48" i="2"/>
  <c r="BN98" i="6"/>
  <c r="BQ15" i="2"/>
  <c r="BO88" i="6"/>
  <c r="BR59" i="6"/>
  <c r="CO89" i="2"/>
  <c r="L55" i="6"/>
  <c r="BI57" i="6"/>
  <c r="CO88" i="6"/>
  <c r="AZ96" i="2"/>
  <c r="V95" i="2"/>
  <c r="CI85" i="6"/>
  <c r="AV51" i="2"/>
  <c r="AY56" i="2"/>
  <c r="V47" i="2"/>
  <c r="BI85" i="2"/>
  <c r="AV90" i="2"/>
  <c r="U89" i="2"/>
  <c r="BI70" i="2"/>
  <c r="P12" i="2"/>
  <c r="AN97" i="6"/>
  <c r="L64" i="6"/>
  <c r="CN88" i="2"/>
  <c r="CD45" i="2"/>
  <c r="AC65" i="2"/>
  <c r="P11" i="2"/>
  <c r="CI88" i="2"/>
  <c r="BC98" i="6"/>
  <c r="AF34" i="2"/>
  <c r="BN92" i="2"/>
  <c r="AR13" i="2"/>
  <c r="AY88" i="2"/>
  <c r="BG90" i="6"/>
  <c r="AS38" i="2"/>
  <c r="U58" i="6"/>
  <c r="CB65" i="2"/>
  <c r="CG39" i="2"/>
  <c r="C64" i="2"/>
  <c r="AB26" i="2"/>
  <c r="N49" i="6"/>
  <c r="AY95" i="2"/>
  <c r="AJ90" i="2"/>
  <c r="V46" i="2"/>
  <c r="CF28" i="2"/>
  <c r="BB44" i="2"/>
  <c r="AZ37" i="2"/>
  <c r="K89" i="2"/>
  <c r="CJ30" i="2"/>
  <c r="AC5" i="2"/>
  <c r="CE37" i="2"/>
  <c r="V16" i="2"/>
  <c r="CR85" i="2"/>
  <c r="BK92" i="6"/>
  <c r="AP68" i="6"/>
  <c r="F11" i="2"/>
  <c r="BX100" i="6"/>
  <c r="BM100" i="6"/>
  <c r="CB40" i="2"/>
  <c r="I62" i="6"/>
  <c r="CR80" i="2"/>
  <c r="BL3" i="2"/>
  <c r="CM20" i="2"/>
  <c r="AD26" i="2"/>
  <c r="BJ85" i="2"/>
  <c r="F16" i="2"/>
  <c r="BO30" i="2"/>
  <c r="CR16" i="2"/>
  <c r="K95" i="6"/>
  <c r="K64" i="6"/>
  <c r="BK86" i="6"/>
  <c r="BB83" i="2"/>
  <c r="BO67" i="2"/>
  <c r="BN72" i="2"/>
  <c r="BK98" i="6"/>
  <c r="K77" i="2"/>
  <c r="BI50" i="2"/>
  <c r="Z62" i="6"/>
  <c r="BM9" i="2"/>
  <c r="CN58" i="2"/>
  <c r="BK13" i="2"/>
  <c r="K44" i="2"/>
  <c r="BT61" i="2"/>
  <c r="BF57" i="2"/>
  <c r="AG68" i="2"/>
  <c r="AY92" i="2"/>
  <c r="CF65" i="6"/>
  <c r="BX18" i="2"/>
  <c r="R85" i="2"/>
  <c r="BJ62" i="2"/>
  <c r="AP11" i="6"/>
  <c r="AX10" i="2"/>
  <c r="CO7" i="2"/>
  <c r="R51" i="6"/>
  <c r="CH84" i="2"/>
  <c r="X88" i="6"/>
  <c r="CR43" i="2"/>
  <c r="BO54" i="6"/>
  <c r="Z49" i="6"/>
  <c r="AM22" i="6"/>
  <c r="CF31" i="2"/>
  <c r="CI72" i="2"/>
  <c r="AW27" i="2"/>
  <c r="BG74" i="6"/>
  <c r="BN47" i="2"/>
  <c r="R58" i="2"/>
  <c r="BE89" i="6"/>
  <c r="BC54" i="6"/>
  <c r="AM69" i="2"/>
  <c r="Y70" i="6"/>
  <c r="CN67" i="6"/>
  <c r="AX75" i="6"/>
  <c r="CM64" i="2"/>
  <c r="V79" i="6"/>
  <c r="CR70" i="2"/>
  <c r="Y46" i="2"/>
  <c r="BD33" i="2"/>
  <c r="AT91" i="2"/>
  <c r="BX12" i="2"/>
  <c r="AM23" i="2"/>
  <c r="CD80" i="6"/>
  <c r="BH73" i="2"/>
  <c r="BB74" i="6"/>
  <c r="AM80" i="2"/>
  <c r="BQ45" i="2"/>
  <c r="AD47" i="2"/>
  <c r="BT8" i="2"/>
  <c r="BS83" i="2"/>
  <c r="AN100" i="6"/>
  <c r="H71" i="2"/>
  <c r="BT70" i="6"/>
  <c r="AW84" i="6"/>
  <c r="CB36" i="6"/>
  <c r="CO92" i="6"/>
  <c r="AQ83" i="2"/>
  <c r="CG18" i="2"/>
  <c r="BJ58" i="2"/>
  <c r="CJ64" i="2"/>
  <c r="BJ60" i="2"/>
  <c r="AT23" i="2"/>
  <c r="AM9" i="2"/>
  <c r="AJ51" i="2"/>
  <c r="CS90" i="2"/>
  <c r="CD91" i="6"/>
  <c r="BU23" i="2"/>
  <c r="AW85" i="2"/>
  <c r="AZ63" i="2"/>
  <c r="BB91" i="2"/>
  <c r="AJ27" i="2"/>
  <c r="C15" i="6"/>
  <c r="BY30" i="2"/>
  <c r="BS96" i="2"/>
  <c r="N41" i="2"/>
  <c r="BN52" i="2"/>
  <c r="AU65" i="6"/>
  <c r="BD69" i="6"/>
  <c r="BD100" i="6"/>
  <c r="BK87" i="6"/>
  <c r="AO40" i="2"/>
  <c r="Y17" i="2"/>
  <c r="BH71" i="6"/>
  <c r="BG95" i="2"/>
  <c r="Z63" i="2"/>
  <c r="BF96" i="2"/>
  <c r="BZ52" i="2"/>
  <c r="BK66" i="6"/>
  <c r="CR87" i="6"/>
  <c r="C5" i="6"/>
  <c r="N77" i="6"/>
  <c r="K87" i="6"/>
  <c r="BI24" i="2"/>
  <c r="BC37" i="2"/>
  <c r="R27" i="2"/>
  <c r="BE63" i="6"/>
  <c r="AX11" i="2"/>
  <c r="V18" i="2"/>
  <c r="BM58" i="2"/>
  <c r="CA96" i="2"/>
  <c r="AF43" i="2"/>
  <c r="S71" i="6"/>
  <c r="AU62" i="2"/>
  <c r="R25" i="2"/>
  <c r="C19" i="2"/>
  <c r="CK75" i="2"/>
  <c r="M98" i="2"/>
  <c r="AG71" i="2"/>
  <c r="AM95" i="2"/>
  <c r="AT62" i="2"/>
  <c r="K99" i="2"/>
  <c r="AQ77" i="2"/>
  <c r="BH98" i="2"/>
  <c r="CC42" i="2"/>
  <c r="CI79" i="6"/>
  <c r="CN94" i="2"/>
  <c r="AI54" i="6"/>
  <c r="BH3" i="2"/>
  <c r="AH58" i="6"/>
  <c r="CE81" i="6"/>
  <c r="CA30" i="6"/>
  <c r="BO20" i="2"/>
  <c r="AZ32" i="6"/>
  <c r="BP44" i="6"/>
  <c r="BL100" i="6"/>
  <c r="D66" i="6"/>
  <c r="M69" i="6"/>
  <c r="W83" i="2"/>
  <c r="AP49" i="2"/>
  <c r="D46" i="2"/>
  <c r="CP90" i="2"/>
  <c r="U4" i="2"/>
  <c r="BY82" i="2"/>
  <c r="V58" i="2"/>
  <c r="BO98" i="6"/>
  <c r="BU68" i="2"/>
  <c r="CD18" i="2"/>
  <c r="Q31" i="2"/>
  <c r="BL48" i="2"/>
  <c r="F10" i="2"/>
  <c r="CG54" i="2"/>
  <c r="CE76" i="2"/>
  <c r="AD19" i="2"/>
  <c r="BM48" i="6"/>
  <c r="CL39" i="2"/>
  <c r="BO55" i="6"/>
  <c r="AB78" i="2"/>
  <c r="AQ50" i="2"/>
  <c r="BJ77" i="2"/>
  <c r="AW70" i="2"/>
  <c r="CJ66" i="2"/>
  <c r="L63" i="6"/>
  <c r="AU67" i="2"/>
  <c r="D91" i="2"/>
  <c r="BE47" i="2"/>
  <c r="BD4" i="2"/>
  <c r="CC53" i="2"/>
  <c r="Q24" i="2"/>
  <c r="AV70" i="6"/>
  <c r="S88" i="6"/>
  <c r="CK98" i="2"/>
  <c r="BJ86" i="2"/>
  <c r="AM52" i="2"/>
  <c r="CB7" i="2"/>
  <c r="AZ82" i="6"/>
  <c r="P71" i="2"/>
  <c r="CF93" i="2"/>
  <c r="AV90" i="6"/>
  <c r="F56" i="6"/>
  <c r="G97" i="2"/>
  <c r="AS87" i="6"/>
  <c r="AJ83" i="2"/>
  <c r="Q51" i="2"/>
  <c r="AC34" i="2"/>
  <c r="BC22" i="2"/>
  <c r="AU44" i="2"/>
  <c r="BW63" i="2"/>
  <c r="AW77" i="2"/>
  <c r="BX59" i="6"/>
  <c r="BE32" i="2"/>
  <c r="CN76" i="2"/>
  <c r="CT89" i="2"/>
  <c r="AH78" i="2"/>
  <c r="BN42" i="2"/>
  <c r="AC31" i="2"/>
  <c r="CI16" i="2"/>
  <c r="E23" i="2"/>
  <c r="CQ72" i="2"/>
  <c r="K21" i="2"/>
  <c r="J98" i="2"/>
  <c r="AM49" i="2"/>
  <c r="BM77" i="6"/>
  <c r="BI38" i="2"/>
  <c r="BP44" i="2"/>
  <c r="S36" i="2"/>
  <c r="BQ42" i="2"/>
  <c r="CQ86" i="6"/>
  <c r="CG86" i="2"/>
  <c r="CJ21" i="2"/>
  <c r="CE68" i="2"/>
  <c r="BU26" i="2"/>
  <c r="BJ2" i="2"/>
  <c r="CQ53" i="2"/>
  <c r="P57" i="2"/>
  <c r="BM28" i="2"/>
  <c r="M76" i="6"/>
  <c r="CL94" i="2"/>
  <c r="BI70" i="6"/>
  <c r="CI99" i="6"/>
  <c r="AP96" i="6"/>
  <c r="AI74" i="2"/>
  <c r="AZ23" i="2"/>
  <c r="BP94" i="2"/>
  <c r="H13" i="2"/>
  <c r="R34" i="6"/>
  <c r="AB45" i="2"/>
  <c r="AS58" i="6"/>
  <c r="AV88" i="6"/>
  <c r="F28" i="2"/>
  <c r="AJ11" i="2"/>
  <c r="S34" i="2"/>
  <c r="AL57" i="2"/>
  <c r="C95" i="2"/>
  <c r="CM43" i="6"/>
  <c r="BO87" i="2"/>
  <c r="M89" i="2"/>
  <c r="Q98" i="2"/>
  <c r="CP73" i="6"/>
  <c r="CE61" i="2"/>
  <c r="AQ62" i="6"/>
  <c r="M62" i="2"/>
  <c r="Q40" i="2"/>
  <c r="CQ58" i="6"/>
  <c r="F56" i="2"/>
  <c r="R39" i="2"/>
  <c r="D52" i="2"/>
  <c r="CM27" i="2"/>
  <c r="BU2" i="2"/>
  <c r="O82" i="6"/>
  <c r="BP30" i="2"/>
  <c r="AY97" i="2"/>
  <c r="R44" i="2"/>
  <c r="BR90" i="6"/>
  <c r="BY37" i="2"/>
  <c r="BB95" i="2"/>
  <c r="AK89" i="6"/>
  <c r="AW72" i="2"/>
  <c r="Q25" i="2"/>
  <c r="CK5" i="2"/>
  <c r="CH25" i="2"/>
  <c r="S88" i="2"/>
  <c r="AY74" i="2"/>
  <c r="BL36" i="2"/>
  <c r="CM75" i="6"/>
  <c r="AE8" i="2"/>
  <c r="BW22" i="2"/>
  <c r="AD42" i="2"/>
  <c r="CB43" i="2"/>
  <c r="U93" i="2"/>
  <c r="BP40" i="2"/>
  <c r="AD34" i="2"/>
  <c r="AQ47" i="2"/>
  <c r="AH94" i="2"/>
  <c r="AY34" i="2"/>
  <c r="D17" i="2"/>
  <c r="AG98" i="6"/>
  <c r="BF60" i="2"/>
  <c r="BR16" i="6"/>
  <c r="BQ31" i="2"/>
  <c r="AM28" i="6"/>
  <c r="W30" i="6"/>
  <c r="V88" i="6"/>
  <c r="BZ57" i="2"/>
  <c r="J97" i="6"/>
  <c r="CF82" i="6"/>
  <c r="V90" i="6"/>
  <c r="BZ70" i="6"/>
  <c r="CN49" i="2"/>
  <c r="BC8" i="2"/>
  <c r="AK53" i="2"/>
  <c r="AS4" i="2"/>
  <c r="I43" i="2"/>
  <c r="C100" i="6"/>
  <c r="W82" i="2"/>
  <c r="AG77" i="6"/>
  <c r="CR74" i="2"/>
  <c r="BT10" i="2"/>
  <c r="BR92" i="2"/>
  <c r="AY94" i="2"/>
  <c r="AF19" i="2"/>
  <c r="AA86" i="2"/>
  <c r="E87" i="2"/>
  <c r="AD89" i="6"/>
  <c r="BM78" i="2"/>
  <c r="AN7" i="2"/>
  <c r="BZ80" i="6"/>
  <c r="F51" i="2"/>
  <c r="BE57" i="6"/>
  <c r="AG25" i="2"/>
  <c r="AK26" i="2"/>
  <c r="D78" i="6"/>
  <c r="BB56" i="2"/>
  <c r="CQ93" i="2"/>
  <c r="Y79" i="2"/>
  <c r="BO82" i="2"/>
  <c r="BV82" i="2"/>
  <c r="CB100" i="2"/>
  <c r="V70" i="6"/>
  <c r="H8" i="2"/>
  <c r="CI61" i="2"/>
  <c r="AW24" i="2"/>
  <c r="D64" i="6"/>
  <c r="AM59" i="6"/>
  <c r="AX85" i="2"/>
  <c r="F53" i="2"/>
  <c r="M51" i="2"/>
  <c r="R95" i="6"/>
  <c r="BQ23" i="6"/>
  <c r="CB55" i="2"/>
  <c r="CT7" i="2"/>
  <c r="CD81" i="2"/>
  <c r="BY28" i="2"/>
  <c r="BY86" i="2"/>
  <c r="AN18" i="2"/>
  <c r="Z54" i="2"/>
  <c r="AZ56" i="6"/>
  <c r="AC59" i="6"/>
  <c r="AD83" i="6"/>
  <c r="BI45" i="2"/>
  <c r="T78" i="2"/>
  <c r="BS68" i="2"/>
  <c r="BR90" i="2"/>
  <c r="BW62" i="6"/>
  <c r="BB64" i="6"/>
  <c r="BQ49" i="2"/>
  <c r="BH38" i="6"/>
  <c r="BW3" i="2"/>
  <c r="T95" i="2"/>
  <c r="AQ7" i="2"/>
  <c r="AA83" i="6"/>
  <c r="L73" i="2"/>
  <c r="CK76" i="2"/>
  <c r="AE53" i="6"/>
  <c r="W91" i="2"/>
  <c r="BA20" i="2"/>
  <c r="Q49" i="6"/>
  <c r="Q55" i="6"/>
  <c r="BI80" i="2"/>
  <c r="BJ61" i="2"/>
  <c r="M73" i="6"/>
  <c r="AY76" i="6"/>
  <c r="C55" i="6"/>
  <c r="CC60" i="2"/>
  <c r="CF60" i="2"/>
  <c r="AF52" i="2"/>
  <c r="BT81" i="2"/>
  <c r="AE33" i="6"/>
  <c r="Z68" i="6"/>
  <c r="AI54" i="2"/>
  <c r="BC57" i="6"/>
  <c r="AD73" i="6"/>
  <c r="AI73" i="2"/>
  <c r="BK42" i="2"/>
  <c r="AC7" i="2"/>
  <c r="CG75" i="6"/>
  <c r="CB80" i="6"/>
  <c r="CH64" i="6"/>
  <c r="R90" i="6"/>
  <c r="BM95" i="2"/>
  <c r="AA48" i="2"/>
  <c r="CT18" i="2"/>
  <c r="BB65" i="6"/>
  <c r="K52" i="2"/>
  <c r="BU85" i="2"/>
  <c r="X24" i="2"/>
  <c r="BA60" i="6"/>
  <c r="CG35" i="2"/>
  <c r="BN50" i="2"/>
  <c r="BA75" i="2"/>
  <c r="CM12" i="2"/>
  <c r="BP81" i="6"/>
  <c r="BX70" i="2"/>
  <c r="AR82" i="2"/>
  <c r="AH28" i="2"/>
  <c r="CN18" i="2"/>
  <c r="BK65" i="2"/>
  <c r="CJ43" i="2"/>
  <c r="AT31" i="2"/>
  <c r="S29" i="2"/>
  <c r="CA49" i="2"/>
  <c r="AS71" i="2"/>
  <c r="AE97" i="2"/>
  <c r="AA88" i="2"/>
  <c r="BD9" i="2"/>
  <c r="CM58" i="2"/>
  <c r="AZ54" i="6"/>
  <c r="AM91" i="6"/>
  <c r="BW87" i="6"/>
  <c r="AQ52" i="6"/>
  <c r="AF89" i="2"/>
  <c r="Y8" i="6"/>
  <c r="R87" i="6"/>
  <c r="S61" i="2"/>
  <c r="BA40" i="2"/>
  <c r="M80" i="6"/>
  <c r="BJ49" i="2"/>
  <c r="T76" i="2"/>
  <c r="BD10" i="2"/>
  <c r="AV40" i="2"/>
  <c r="CH56" i="2"/>
  <c r="P62" i="2"/>
  <c r="BJ96" i="2"/>
  <c r="L82" i="2"/>
  <c r="H15" i="2"/>
  <c r="CD27" i="2"/>
  <c r="BX86" i="6"/>
  <c r="BI23" i="2"/>
  <c r="AZ56" i="2"/>
  <c r="CO67" i="2"/>
  <c r="CM56" i="2"/>
  <c r="CE4" i="2"/>
  <c r="BJ28" i="2"/>
  <c r="X100" i="6"/>
  <c r="CQ90" i="6"/>
  <c r="BM64" i="2"/>
  <c r="D19" i="2"/>
  <c r="AJ7" i="2"/>
  <c r="CJ58" i="2"/>
  <c r="E81" i="2"/>
  <c r="V14" i="2"/>
  <c r="X18" i="2"/>
  <c r="AI79" i="2"/>
  <c r="BM71" i="2"/>
  <c r="BW96" i="2"/>
  <c r="CB38" i="2"/>
  <c r="X74" i="2"/>
  <c r="CL31" i="2"/>
  <c r="BI65" i="2"/>
  <c r="BR6" i="2"/>
  <c r="BD96" i="2"/>
  <c r="AQ99" i="6"/>
  <c r="AZ97" i="2"/>
  <c r="AU3" i="2"/>
  <c r="BK35" i="2"/>
  <c r="BU58" i="2"/>
  <c r="AW34" i="2"/>
  <c r="O69" i="2"/>
  <c r="CI73" i="2"/>
  <c r="Z48" i="6"/>
  <c r="BS54" i="2"/>
  <c r="CF87" i="6"/>
  <c r="CC49" i="2"/>
  <c r="K46" i="2"/>
  <c r="BD45" i="2"/>
  <c r="BD31" i="2"/>
  <c r="CH87" i="6"/>
  <c r="AS84" i="6"/>
  <c r="O3" i="2"/>
  <c r="CK91" i="2"/>
  <c r="BV93" i="6"/>
  <c r="L32" i="2"/>
  <c r="AW87" i="2"/>
  <c r="CB47" i="6"/>
  <c r="AP69" i="6"/>
  <c r="BC82" i="6"/>
  <c r="O83" i="2"/>
  <c r="BI94" i="6"/>
  <c r="I37" i="2"/>
  <c r="Y76" i="2"/>
  <c r="BY68" i="6"/>
  <c r="CG82" i="2"/>
  <c r="CR35" i="2"/>
  <c r="BJ63" i="2"/>
  <c r="H56" i="2"/>
  <c r="CP47" i="2"/>
  <c r="BD99" i="2"/>
  <c r="BT72" i="2"/>
  <c r="CT88" i="2"/>
  <c r="R35" i="2"/>
  <c r="BT9" i="2"/>
  <c r="AI62" i="2"/>
  <c r="BT31" i="2"/>
  <c r="BC89" i="2"/>
  <c r="AX66" i="6"/>
  <c r="CC18" i="2"/>
  <c r="BF80" i="6"/>
  <c r="AU45" i="2"/>
  <c r="CF77" i="6"/>
  <c r="BF30" i="6"/>
  <c r="CC65" i="2"/>
  <c r="AN45" i="2"/>
  <c r="BV88" i="6"/>
  <c r="BE100" i="2"/>
  <c r="BK46" i="6"/>
  <c r="BG2" i="2"/>
  <c r="CK40" i="2"/>
  <c r="BM49" i="6"/>
  <c r="CM61" i="6"/>
  <c r="AK41" i="2"/>
  <c r="V94" i="6"/>
  <c r="AV89" i="6"/>
  <c r="AM83" i="2"/>
  <c r="CJ56" i="2"/>
  <c r="CF99" i="2"/>
  <c r="AN13" i="2"/>
  <c r="AS74" i="2"/>
  <c r="BL76" i="6"/>
  <c r="CD91" i="2"/>
  <c r="V85" i="2"/>
  <c r="U85" i="2"/>
  <c r="CK33" i="2"/>
  <c r="AC87" i="2"/>
  <c r="BT68" i="2"/>
  <c r="AJ45" i="2"/>
  <c r="W93" i="2"/>
  <c r="AU29" i="2"/>
  <c r="AB74" i="2"/>
  <c r="CE83" i="6"/>
  <c r="AA89" i="2"/>
  <c r="Q73" i="2"/>
  <c r="CP67" i="2"/>
  <c r="BA33" i="2"/>
  <c r="M38" i="2"/>
  <c r="AY41" i="2"/>
  <c r="AD80" i="2"/>
  <c r="CI3" i="2"/>
  <c r="AH3" i="2"/>
  <c r="AD100" i="6"/>
  <c r="W52" i="2"/>
  <c r="CH68" i="2"/>
  <c r="K60" i="6"/>
  <c r="H91" i="6"/>
  <c r="L52" i="2"/>
  <c r="AM7" i="2"/>
  <c r="BC41" i="2"/>
  <c r="E91" i="2"/>
  <c r="AH61" i="2"/>
  <c r="Q10" i="2"/>
  <c r="BO68" i="2"/>
  <c r="BG28" i="2"/>
  <c r="AJ70" i="2"/>
  <c r="AJ22" i="2"/>
  <c r="W96" i="6"/>
  <c r="K56" i="2"/>
  <c r="BW20" i="2"/>
  <c r="C37" i="2"/>
  <c r="CE56" i="6"/>
  <c r="E99" i="2"/>
  <c r="BL35" i="2"/>
  <c r="AW73" i="6"/>
  <c r="C83" i="6"/>
  <c r="AQ32" i="2"/>
  <c r="AN90" i="2"/>
  <c r="AG6" i="2"/>
  <c r="CE59" i="6"/>
  <c r="K54" i="6"/>
  <c r="U68" i="6"/>
  <c r="R59" i="6"/>
  <c r="AF92" i="6"/>
  <c r="AX69" i="2"/>
  <c r="L66" i="2"/>
  <c r="C65" i="6"/>
  <c r="BX100" i="2"/>
  <c r="BT91" i="6"/>
  <c r="AR63" i="2"/>
  <c r="CE11" i="2"/>
  <c r="BP58" i="2"/>
  <c r="AW35" i="2"/>
  <c r="CC25" i="2"/>
  <c r="BH4" i="2"/>
  <c r="J50" i="6"/>
  <c r="BX86" i="2"/>
  <c r="BD96" i="6"/>
  <c r="R73" i="2"/>
  <c r="G36" i="2"/>
  <c r="J34" i="2"/>
  <c r="AX100" i="2"/>
  <c r="Y87" i="6"/>
  <c r="AX63" i="6"/>
  <c r="N79" i="2"/>
  <c r="BQ85" i="2"/>
  <c r="BF55" i="2"/>
  <c r="D35" i="2"/>
  <c r="CS76" i="2"/>
  <c r="AX58" i="2"/>
  <c r="AK44" i="6"/>
  <c r="D63" i="2"/>
  <c r="AD45" i="2"/>
  <c r="E14" i="2"/>
  <c r="BK69" i="2"/>
  <c r="AE3" i="2"/>
  <c r="BX3" i="2"/>
  <c r="CS67" i="2"/>
  <c r="BR74" i="6"/>
  <c r="BJ86" i="6"/>
  <c r="CD24" i="2"/>
  <c r="AK24" i="2"/>
  <c r="U62" i="2"/>
  <c r="AI45" i="6"/>
  <c r="CK41" i="6"/>
  <c r="BF81" i="2"/>
  <c r="AY19" i="2"/>
  <c r="Q65" i="2"/>
  <c r="CP31" i="2"/>
  <c r="Q42" i="2"/>
  <c r="BX80" i="6"/>
  <c r="L59" i="6"/>
  <c r="AU99" i="6"/>
  <c r="CT86" i="2"/>
  <c r="BH88" i="6"/>
  <c r="AY87" i="2"/>
  <c r="AS75" i="2"/>
  <c r="CO65" i="2"/>
  <c r="BU37" i="2"/>
  <c r="AU100" i="6"/>
  <c r="BA82" i="2"/>
  <c r="J6" i="2"/>
  <c r="AU84" i="6"/>
  <c r="E60" i="2"/>
  <c r="BF38" i="6"/>
  <c r="AX76" i="2"/>
  <c r="CE92" i="2"/>
  <c r="D42" i="2"/>
  <c r="BZ59" i="6"/>
  <c r="AV95" i="2"/>
  <c r="BH27" i="2"/>
  <c r="BT73" i="2"/>
  <c r="M2" i="2"/>
  <c r="BW31" i="2"/>
  <c r="Z65" i="6"/>
  <c r="E88" i="2"/>
  <c r="CP71" i="6"/>
  <c r="AF56" i="2"/>
  <c r="AH84" i="2"/>
  <c r="BN23" i="2"/>
  <c r="BV74" i="6"/>
  <c r="H50" i="2"/>
  <c r="AE79" i="2"/>
  <c r="Z14" i="2"/>
  <c r="M39" i="2"/>
  <c r="AB17" i="2"/>
  <c r="BQ57" i="2"/>
  <c r="G64" i="2"/>
  <c r="BP29" i="2"/>
  <c r="AP46" i="2"/>
  <c r="CJ76" i="2"/>
  <c r="C6" i="6"/>
  <c r="CS18" i="2"/>
  <c r="BL10" i="2"/>
  <c r="Y72" i="2"/>
  <c r="BC75" i="2"/>
  <c r="AQ44" i="2"/>
  <c r="CI13" i="2"/>
  <c r="BH81" i="6"/>
  <c r="AI37" i="2"/>
  <c r="AB83" i="6"/>
  <c r="AG54" i="2"/>
  <c r="BP69" i="6"/>
  <c r="CI37" i="2"/>
  <c r="AI40" i="2"/>
  <c r="BH35" i="2"/>
  <c r="BR95" i="2"/>
  <c r="CA26" i="2"/>
  <c r="BY91" i="6"/>
  <c r="J20" i="2"/>
  <c r="CR57" i="2"/>
  <c r="BR43" i="2"/>
  <c r="BO46" i="2"/>
  <c r="CH30" i="2"/>
  <c r="CS16" i="2"/>
  <c r="CB64" i="2"/>
  <c r="CA36" i="2"/>
  <c r="BM80" i="2"/>
  <c r="AM67" i="2"/>
  <c r="AT59" i="2"/>
  <c r="AH89" i="2"/>
  <c r="AW89" i="2"/>
  <c r="CB21" i="2"/>
  <c r="AK27" i="2"/>
  <c r="L40" i="6"/>
  <c r="BF74" i="2"/>
  <c r="AR91" i="6"/>
  <c r="X63" i="6"/>
  <c r="H30" i="2"/>
  <c r="V53" i="2"/>
  <c r="CA88" i="6"/>
  <c r="BZ46" i="2"/>
  <c r="BO80" i="2"/>
  <c r="AF97" i="6"/>
  <c r="CL44" i="6"/>
  <c r="BZ96" i="6"/>
  <c r="W17" i="2"/>
  <c r="BI14" i="2"/>
  <c r="CC27" i="2"/>
  <c r="CF8" i="2"/>
  <c r="BN48" i="2"/>
  <c r="AS37" i="2"/>
  <c r="K57" i="2"/>
  <c r="AB42" i="2"/>
  <c r="F63" i="2"/>
  <c r="AE95" i="2"/>
  <c r="M52" i="6"/>
  <c r="P36" i="2"/>
  <c r="AP84" i="6"/>
  <c r="Y79" i="6"/>
  <c r="AA49" i="6"/>
  <c r="BK3" i="2"/>
  <c r="AX13" i="2"/>
  <c r="BH94" i="6"/>
  <c r="E100" i="2"/>
  <c r="BQ38" i="2"/>
  <c r="BQ51" i="2"/>
  <c r="CK85" i="2"/>
  <c r="BU69" i="2"/>
  <c r="U36" i="2"/>
  <c r="CO12" i="2"/>
  <c r="D95" i="6"/>
  <c r="N72" i="2"/>
  <c r="AJ82" i="2"/>
  <c r="AL77" i="6"/>
  <c r="CK59" i="2"/>
  <c r="AJ96" i="6"/>
  <c r="BJ46" i="6"/>
  <c r="AA74" i="2"/>
  <c r="AZ68" i="2"/>
  <c r="BG46" i="6"/>
  <c r="BM32" i="2"/>
  <c r="CL47" i="2"/>
  <c r="CR44" i="2"/>
  <c r="P70" i="2"/>
  <c r="CK2" i="2"/>
  <c r="AI89" i="6"/>
  <c r="BR30" i="2"/>
  <c r="BI98" i="6"/>
  <c r="CF39" i="2"/>
  <c r="BW59" i="6"/>
  <c r="CN39" i="2"/>
  <c r="AZ16" i="2"/>
  <c r="D59" i="6"/>
  <c r="CB48" i="2"/>
  <c r="AR87" i="6"/>
  <c r="BW45" i="2"/>
  <c r="CG55" i="2"/>
  <c r="C23" i="6"/>
  <c r="BZ24" i="2"/>
  <c r="BU16" i="2"/>
  <c r="C29" i="6"/>
  <c r="CC57" i="2"/>
  <c r="AP56" i="6"/>
  <c r="AJ55" i="2"/>
  <c r="AU87" i="6"/>
  <c r="CH55" i="6"/>
  <c r="CS82" i="2"/>
  <c r="BN74" i="6"/>
  <c r="J58" i="2"/>
  <c r="BG45" i="2"/>
  <c r="AI45" i="2"/>
  <c r="O31" i="2"/>
  <c r="AB54" i="2"/>
  <c r="CP84" i="6"/>
  <c r="W43" i="2"/>
  <c r="S78" i="6"/>
  <c r="AQ96" i="6"/>
  <c r="Q67" i="2"/>
  <c r="AV22" i="2"/>
  <c r="Q9" i="2"/>
  <c r="M67" i="2"/>
  <c r="AJ25" i="6"/>
  <c r="CO81" i="6"/>
  <c r="AG7" i="2"/>
  <c r="CO54" i="6"/>
  <c r="BP64" i="6"/>
  <c r="AZ82" i="2"/>
  <c r="AK36" i="2"/>
  <c r="AO99" i="2"/>
  <c r="AI63" i="2"/>
  <c r="CE14" i="2"/>
  <c r="R68" i="6"/>
  <c r="D100" i="2"/>
  <c r="M42" i="6"/>
  <c r="BS11" i="6"/>
  <c r="BY31" i="2"/>
  <c r="BK88" i="2"/>
  <c r="I88" i="2"/>
  <c r="I85" i="6"/>
  <c r="AP28" i="2"/>
  <c r="AM83" i="6"/>
  <c r="BT53" i="2"/>
  <c r="AH82" i="2"/>
  <c r="D71" i="6"/>
  <c r="U46" i="6"/>
  <c r="BZ72" i="6"/>
  <c r="CR36" i="2"/>
  <c r="CC29" i="2"/>
  <c r="AI13" i="2"/>
  <c r="CP97" i="6"/>
  <c r="CP74" i="2"/>
  <c r="AA65" i="2"/>
  <c r="AL96" i="2"/>
  <c r="AP3" i="2"/>
  <c r="BL64" i="2"/>
  <c r="O57" i="6"/>
  <c r="P39" i="2"/>
  <c r="AO79" i="6"/>
  <c r="AL21" i="2"/>
  <c r="BX52" i="6"/>
  <c r="L34" i="2"/>
  <c r="BY24" i="2"/>
  <c r="AS86" i="6"/>
  <c r="AZ55" i="2"/>
  <c r="BE69" i="6"/>
  <c r="O49" i="2"/>
  <c r="AN59" i="2"/>
  <c r="R21" i="6"/>
  <c r="Q64" i="2"/>
  <c r="I86" i="6"/>
  <c r="BX66" i="2"/>
  <c r="AG85" i="2"/>
  <c r="I58" i="2"/>
  <c r="BX39" i="2"/>
  <c r="H93" i="2"/>
  <c r="CC12" i="6"/>
  <c r="W99" i="2"/>
  <c r="CH51" i="2"/>
  <c r="M49" i="2"/>
  <c r="AB20" i="2"/>
  <c r="BF94" i="2"/>
  <c r="AM53" i="6"/>
  <c r="AH60" i="6"/>
  <c r="N95" i="6"/>
  <c r="AR26" i="2"/>
  <c r="N89" i="2"/>
  <c r="CH60" i="6"/>
  <c r="CO28" i="2"/>
  <c r="BM88" i="6"/>
  <c r="AA63" i="2"/>
  <c r="Z55" i="2"/>
  <c r="BV85" i="2"/>
  <c r="CR8" i="2"/>
  <c r="Q60" i="6"/>
  <c r="N30" i="6"/>
  <c r="AY96" i="6"/>
  <c r="AY95" i="6"/>
  <c r="BC14" i="2"/>
  <c r="BU48" i="2"/>
  <c r="L2" i="2"/>
  <c r="AK96" i="6"/>
  <c r="CJ12" i="2"/>
  <c r="Z48" i="2"/>
  <c r="AX28" i="2"/>
  <c r="T80" i="6"/>
  <c r="R63" i="2"/>
  <c r="CA74" i="6"/>
  <c r="CN50" i="2"/>
  <c r="Y81" i="6"/>
  <c r="E65" i="6"/>
  <c r="AP82" i="6"/>
  <c r="L7" i="2"/>
  <c r="CE100" i="2"/>
  <c r="M58" i="2"/>
  <c r="BD100" i="2"/>
  <c r="CF10" i="2"/>
  <c r="CR61" i="2"/>
  <c r="CH55" i="2"/>
  <c r="F50" i="6"/>
  <c r="AN63" i="2"/>
  <c r="C8" i="6"/>
  <c r="BU76" i="2"/>
  <c r="BZ85" i="2"/>
  <c r="N4" i="2"/>
  <c r="AS64" i="2"/>
  <c r="AC98" i="2"/>
  <c r="AI88" i="2"/>
  <c r="M79" i="2"/>
  <c r="AE37" i="2"/>
  <c r="BZ54" i="6"/>
  <c r="N17" i="2"/>
  <c r="CM22" i="2"/>
  <c r="BK44" i="2"/>
  <c r="BA68" i="6"/>
  <c r="AW13" i="2"/>
  <c r="CJ63" i="6"/>
  <c r="CH75" i="2"/>
  <c r="CL75" i="2"/>
  <c r="CB28" i="2"/>
  <c r="BJ19" i="6"/>
  <c r="BV52" i="2"/>
  <c r="BK46" i="2"/>
  <c r="AR82" i="6"/>
  <c r="BO39" i="6"/>
  <c r="CE79" i="2"/>
  <c r="N63" i="6"/>
  <c r="CI60" i="6"/>
  <c r="BG51" i="2"/>
  <c r="CN30" i="2"/>
  <c r="BU20" i="2"/>
  <c r="BQ21" i="2"/>
  <c r="AX9" i="2"/>
  <c r="N21" i="2"/>
  <c r="BG68" i="6"/>
  <c r="BY81" i="6"/>
  <c r="L33" i="6"/>
  <c r="BW84" i="2"/>
  <c r="AC79" i="6"/>
  <c r="CA68" i="2"/>
  <c r="CD16" i="2"/>
  <c r="Y19" i="2"/>
  <c r="CQ68" i="2"/>
  <c r="CM91" i="6"/>
  <c r="BX93" i="6"/>
  <c r="CB62" i="2"/>
  <c r="S33" i="6"/>
  <c r="CF79" i="6"/>
  <c r="BZ44" i="2"/>
  <c r="CQ5" i="2"/>
  <c r="BU5" i="2"/>
  <c r="BZ44" i="6"/>
  <c r="W73" i="6"/>
  <c r="BU66" i="2"/>
  <c r="BG93" i="6"/>
  <c r="BO66" i="2"/>
  <c r="AL82" i="2"/>
  <c r="BT59" i="6"/>
  <c r="AE32" i="2"/>
  <c r="AE96" i="2"/>
  <c r="H61" i="6"/>
  <c r="AF24" i="2"/>
  <c r="E91" i="6"/>
  <c r="AO3" i="2"/>
  <c r="CH27" i="2"/>
  <c r="CA29" i="2"/>
  <c r="AE46" i="2"/>
  <c r="V61" i="2"/>
  <c r="K76" i="6"/>
  <c r="CK61" i="2"/>
  <c r="AQ76" i="6"/>
  <c r="CP42" i="6"/>
  <c r="AG86" i="2"/>
  <c r="CE10" i="6"/>
  <c r="T29" i="2"/>
  <c r="BC25" i="2"/>
  <c r="AQ67" i="2"/>
  <c r="P94" i="2"/>
  <c r="AH43" i="6"/>
  <c r="BY88" i="6"/>
  <c r="D88" i="6"/>
  <c r="AP8" i="2"/>
  <c r="AO53" i="2"/>
  <c r="CG93" i="2"/>
  <c r="Z20" i="2"/>
  <c r="T83" i="6"/>
  <c r="BM26" i="6"/>
  <c r="AH96" i="2"/>
  <c r="BE98" i="2"/>
  <c r="AZ70" i="6"/>
  <c r="AV71" i="6"/>
  <c r="I83" i="2"/>
  <c r="CM77" i="2"/>
  <c r="AG96" i="2"/>
  <c r="AY47" i="2"/>
  <c r="CM33" i="2"/>
  <c r="BZ26" i="2"/>
  <c r="T93" i="6"/>
  <c r="BM94" i="2"/>
  <c r="BI31" i="2"/>
  <c r="AA18" i="2"/>
  <c r="X30" i="2"/>
  <c r="BS94" i="6"/>
  <c r="BM69" i="6"/>
  <c r="AG28" i="2"/>
  <c r="BV100" i="2"/>
  <c r="BW96" i="6"/>
  <c r="BO85" i="2"/>
  <c r="AT40" i="2"/>
  <c r="F5" i="2"/>
  <c r="K62" i="2"/>
  <c r="K8" i="2"/>
  <c r="AG13" i="2"/>
  <c r="AB55" i="6"/>
  <c r="AZ95" i="2"/>
  <c r="C98" i="2"/>
  <c r="BW52" i="2"/>
  <c r="AK52" i="6"/>
  <c r="H53" i="2"/>
  <c r="AS42" i="2"/>
  <c r="BX64" i="6"/>
  <c r="C99" i="2"/>
  <c r="BF53" i="2"/>
  <c r="BA84" i="6"/>
  <c r="CI14" i="2"/>
  <c r="AM86" i="2"/>
  <c r="K2" i="2"/>
  <c r="AZ39" i="2"/>
  <c r="M90" i="6"/>
  <c r="R86" i="6"/>
  <c r="BY80" i="2"/>
  <c r="BL20" i="6"/>
  <c r="AG69" i="2"/>
  <c r="AD82" i="2"/>
  <c r="V23" i="6"/>
  <c r="AY59" i="6"/>
  <c r="BX69" i="2"/>
  <c r="CS33" i="2"/>
  <c r="AD50" i="2"/>
  <c r="AR43" i="6"/>
  <c r="CN86" i="6"/>
  <c r="BH79" i="2"/>
  <c r="CP100" i="2"/>
  <c r="CA85" i="2"/>
  <c r="W35" i="2"/>
  <c r="BS46" i="2"/>
  <c r="CP75" i="6"/>
  <c r="AJ14" i="2"/>
  <c r="CC46" i="2"/>
  <c r="AH46" i="6"/>
  <c r="AS9" i="2"/>
  <c r="CE55" i="2"/>
  <c r="F92" i="2"/>
  <c r="AW70" i="6"/>
  <c r="CO48" i="2"/>
  <c r="AG31" i="2"/>
  <c r="BM10" i="2"/>
  <c r="BE96" i="6"/>
  <c r="BR92" i="6"/>
  <c r="BG56" i="2"/>
  <c r="BC97" i="6"/>
  <c r="AJ12" i="2"/>
  <c r="R66" i="6"/>
  <c r="AM27" i="2"/>
  <c r="CF44" i="6"/>
  <c r="V97" i="2"/>
  <c r="AE74" i="6"/>
  <c r="BY58" i="2"/>
  <c r="J21" i="2"/>
  <c r="AM6" i="2"/>
  <c r="AC20" i="2"/>
  <c r="BU65" i="6"/>
  <c r="BX7" i="2"/>
  <c r="BD77" i="2"/>
  <c r="AM41" i="2"/>
  <c r="Y77" i="2"/>
  <c r="P63" i="6"/>
  <c r="AV31" i="2"/>
  <c r="CP20" i="6"/>
  <c r="BP56" i="2"/>
  <c r="BI36" i="6"/>
  <c r="AF89" i="6"/>
  <c r="AH14" i="2"/>
  <c r="BB76" i="2"/>
  <c r="I16" i="2"/>
  <c r="CK13" i="2"/>
  <c r="AI83" i="6"/>
  <c r="CE12" i="2"/>
  <c r="R5" i="2"/>
  <c r="AZ38" i="2"/>
  <c r="AH76" i="6"/>
  <c r="BR21" i="2"/>
  <c r="BY38" i="2"/>
  <c r="CR88" i="2"/>
  <c r="D7" i="2"/>
  <c r="AC100" i="2"/>
  <c r="CJ10" i="2"/>
  <c r="AE9" i="2"/>
  <c r="BU93" i="6"/>
  <c r="AO78" i="2"/>
  <c r="X82" i="2"/>
  <c r="AS53" i="2"/>
  <c r="C96" i="2"/>
  <c r="BO64" i="2"/>
  <c r="AT99" i="6"/>
  <c r="AN51" i="6"/>
  <c r="AS22" i="2"/>
  <c r="CA38" i="2"/>
  <c r="C75" i="2"/>
  <c r="AL13" i="2"/>
  <c r="BL90" i="2"/>
  <c r="AR83" i="6"/>
  <c r="AT34" i="2"/>
  <c r="AW17" i="2"/>
  <c r="CI84" i="2"/>
  <c r="BB14" i="2"/>
  <c r="BB71" i="6"/>
  <c r="F83" i="2"/>
  <c r="CT93" i="2"/>
  <c r="BW99" i="2"/>
  <c r="O15" i="2"/>
  <c r="BT96" i="2"/>
  <c r="BW83" i="6"/>
  <c r="J51" i="2"/>
  <c r="CJ47" i="2"/>
  <c r="T48" i="2"/>
  <c r="AH84" i="6"/>
  <c r="C2" i="2"/>
  <c r="R61" i="2"/>
  <c r="E46" i="2"/>
  <c r="AG82" i="2"/>
  <c r="BB4" i="2"/>
  <c r="Z79" i="2"/>
  <c r="BX87" i="2"/>
  <c r="T50" i="2"/>
  <c r="L77" i="2"/>
  <c r="CR60" i="2"/>
  <c r="P90" i="6"/>
  <c r="AR9" i="2"/>
  <c r="CR90" i="6"/>
  <c r="BU25" i="2"/>
  <c r="V60" i="6"/>
  <c r="K68" i="6"/>
  <c r="D57" i="2"/>
  <c r="CJ100" i="2"/>
  <c r="BE62" i="2"/>
  <c r="BL33" i="2"/>
  <c r="BW88" i="6"/>
  <c r="BH99" i="2"/>
  <c r="AU97" i="6"/>
  <c r="BO56" i="6"/>
  <c r="AP67" i="2"/>
  <c r="K13" i="2"/>
  <c r="C72" i="2"/>
  <c r="CN82" i="2"/>
  <c r="AT84" i="6"/>
  <c r="U91" i="2"/>
  <c r="Z16" i="2"/>
  <c r="BH55" i="6"/>
  <c r="BJ40" i="2"/>
  <c r="CB99" i="2"/>
  <c r="CE29" i="2"/>
  <c r="CR83" i="6"/>
  <c r="O56" i="2"/>
  <c r="W67" i="6"/>
  <c r="R83" i="6"/>
  <c r="BH47" i="2"/>
  <c r="W86" i="6"/>
  <c r="AC25" i="6"/>
  <c r="BB76" i="6"/>
  <c r="BY22" i="2"/>
  <c r="R81" i="2"/>
  <c r="CM85" i="2"/>
  <c r="T46" i="2"/>
  <c r="BA46" i="2"/>
  <c r="AA91" i="2"/>
  <c r="K28" i="2"/>
  <c r="AL12" i="2"/>
  <c r="BM56" i="2"/>
  <c r="AE62" i="2"/>
  <c r="D74" i="6"/>
  <c r="CG70" i="2"/>
  <c r="Q93" i="2"/>
  <c r="BJ76" i="2"/>
  <c r="AK55" i="2"/>
  <c r="G15" i="2"/>
  <c r="I78" i="2"/>
  <c r="CF81" i="6"/>
  <c r="C68" i="6"/>
  <c r="AV99" i="6"/>
  <c r="AK73" i="6"/>
  <c r="BX47" i="6"/>
  <c r="BE18" i="2"/>
  <c r="AM2" i="2"/>
  <c r="AD35" i="2"/>
  <c r="BO95" i="2"/>
  <c r="AZ64" i="2"/>
  <c r="BL74" i="2"/>
  <c r="BJ70" i="6"/>
  <c r="AP27" i="2"/>
  <c r="CF76" i="6"/>
  <c r="O54" i="2"/>
  <c r="BH75" i="6"/>
  <c r="CC37" i="2"/>
  <c r="X41" i="2"/>
  <c r="U48" i="2"/>
  <c r="AJ44" i="2"/>
  <c r="CE26" i="2"/>
  <c r="AZ13" i="2"/>
  <c r="AV93" i="2"/>
  <c r="AO14" i="2"/>
  <c r="CM61" i="2"/>
  <c r="CD48" i="2"/>
  <c r="BP3" i="2"/>
  <c r="BW90" i="2"/>
  <c r="BC70" i="2"/>
  <c r="AH24" i="2"/>
  <c r="AA73" i="2"/>
  <c r="BC77" i="2"/>
  <c r="CJ95" i="2"/>
  <c r="BZ20" i="2"/>
  <c r="CB63" i="2"/>
  <c r="O86" i="2"/>
  <c r="AJ20" i="2"/>
  <c r="CM69" i="2"/>
  <c r="BB3" i="2"/>
  <c r="AQ23" i="2"/>
  <c r="BV90" i="2"/>
  <c r="BX96" i="6"/>
  <c r="BN35" i="2"/>
  <c r="C61" i="2"/>
  <c r="CC88" i="6"/>
  <c r="BB97" i="2"/>
  <c r="BG37" i="2"/>
  <c r="CR26" i="2"/>
  <c r="AL84" i="2"/>
  <c r="BZ58" i="2"/>
  <c r="N77" i="2"/>
  <c r="CI11" i="2"/>
  <c r="CG45" i="2"/>
  <c r="BY17" i="2"/>
  <c r="AF51" i="2"/>
  <c r="BX71" i="2"/>
  <c r="BN59" i="6"/>
  <c r="J84" i="6"/>
  <c r="AL43" i="6"/>
  <c r="BE22" i="2"/>
  <c r="BP25" i="2"/>
  <c r="AF83" i="6"/>
  <c r="CB76" i="6"/>
  <c r="BA91" i="2"/>
  <c r="AA27" i="2"/>
  <c r="Z73" i="6"/>
  <c r="CQ55" i="6"/>
  <c r="CG85" i="2"/>
  <c r="CR30" i="2"/>
  <c r="AU31" i="2"/>
  <c r="T79" i="6"/>
  <c r="AZ74" i="2"/>
  <c r="AH58" i="2"/>
  <c r="BK60" i="6"/>
  <c r="Y6" i="2"/>
  <c r="CK53" i="6"/>
  <c r="C97" i="6"/>
  <c r="J29" i="2"/>
  <c r="BW73" i="2"/>
  <c r="W68" i="2"/>
  <c r="F60" i="6"/>
  <c r="BY90" i="2"/>
  <c r="BI90" i="2"/>
  <c r="P6" i="2"/>
  <c r="G77" i="2"/>
  <c r="CC24" i="2"/>
  <c r="BP40" i="6"/>
  <c r="AA25" i="2"/>
  <c r="BU53" i="2"/>
  <c r="CA56" i="6"/>
  <c r="AA58" i="2"/>
  <c r="CI40" i="2"/>
  <c r="BD58" i="2"/>
  <c r="BQ95" i="2"/>
  <c r="I60" i="6"/>
  <c r="F49" i="2"/>
  <c r="P83" i="2"/>
  <c r="BS37" i="2"/>
  <c r="BJ15" i="6"/>
  <c r="AZ77" i="2"/>
  <c r="BO64" i="6"/>
  <c r="BL67" i="6"/>
  <c r="BF84" i="2"/>
  <c r="AU66" i="2"/>
  <c r="L49" i="2"/>
  <c r="CF13" i="6"/>
  <c r="CD69" i="2"/>
  <c r="AU70" i="2"/>
  <c r="BC67" i="6"/>
  <c r="X49" i="2"/>
  <c r="I77" i="2"/>
  <c r="T88" i="2"/>
  <c r="AH93" i="6"/>
  <c r="CM53" i="2"/>
  <c r="BS44" i="2"/>
  <c r="BT91" i="2"/>
  <c r="AQ93" i="2"/>
  <c r="BI28" i="2"/>
  <c r="L94" i="2"/>
  <c r="P2" i="6"/>
  <c r="CJ52" i="2"/>
  <c r="AT76" i="2"/>
  <c r="G71" i="2"/>
  <c r="BR80" i="2"/>
  <c r="AF87" i="2"/>
  <c r="BT74" i="6"/>
  <c r="I84" i="2"/>
  <c r="BN97" i="2"/>
  <c r="BV93" i="2"/>
  <c r="BU34" i="2"/>
  <c r="E10" i="2"/>
  <c r="K62" i="6"/>
  <c r="AE87" i="2"/>
  <c r="J37" i="2"/>
  <c r="W3" i="2"/>
  <c r="AG88" i="6"/>
  <c r="CQ67" i="6"/>
  <c r="X40" i="6"/>
  <c r="AR67" i="6"/>
  <c r="CI29" i="2"/>
  <c r="AK34" i="2"/>
  <c r="CE34" i="2"/>
  <c r="AF9" i="2"/>
  <c r="AH82" i="6"/>
  <c r="CG50" i="6"/>
  <c r="AB22" i="2"/>
  <c r="AS59" i="2"/>
  <c r="AQ27" i="2"/>
  <c r="AF41" i="2"/>
  <c r="AX83" i="2"/>
  <c r="AN78" i="2"/>
  <c r="BK19" i="2"/>
  <c r="AS54" i="2"/>
  <c r="AS62" i="2"/>
  <c r="CN27" i="2"/>
  <c r="CD82" i="2"/>
  <c r="AT73" i="2"/>
  <c r="BV81" i="6"/>
  <c r="AZ94" i="2"/>
  <c r="CS11" i="2"/>
  <c r="CQ28" i="2"/>
  <c r="S65" i="2"/>
  <c r="CG72" i="2"/>
  <c r="BQ14" i="2"/>
  <c r="Z36" i="2"/>
  <c r="Q88" i="2"/>
  <c r="BM48" i="2"/>
  <c r="BX85" i="2"/>
  <c r="BY49" i="6"/>
  <c r="N53" i="2"/>
  <c r="AJ64" i="2"/>
  <c r="BH73" i="6"/>
  <c r="BS63" i="2"/>
  <c r="AS44" i="2"/>
  <c r="BQ53" i="2"/>
  <c r="CO56" i="2"/>
  <c r="AT15" i="2"/>
  <c r="BN28" i="2"/>
  <c r="CM24" i="2"/>
  <c r="H60" i="2"/>
  <c r="CD58" i="2"/>
  <c r="O90" i="2"/>
  <c r="AG99" i="2"/>
  <c r="AW71" i="2"/>
  <c r="C96" i="6"/>
  <c r="CB70" i="2"/>
  <c r="V89" i="6"/>
  <c r="BI49" i="6"/>
  <c r="CO38" i="2"/>
  <c r="CE27" i="2"/>
  <c r="AF81" i="2"/>
  <c r="CC11" i="2"/>
  <c r="BW89" i="6"/>
  <c r="AD80" i="6"/>
  <c r="CK43" i="6"/>
  <c r="S55" i="2"/>
  <c r="CO97" i="6"/>
  <c r="BV84" i="2"/>
  <c r="V75" i="2"/>
  <c r="BK82" i="6"/>
  <c r="AJ81" i="2"/>
  <c r="CC81" i="2"/>
  <c r="AT98" i="2"/>
  <c r="AB32" i="2"/>
  <c r="CP98" i="2"/>
  <c r="AV74" i="2"/>
  <c r="X22" i="6"/>
  <c r="AJ47" i="2"/>
  <c r="BF27" i="2"/>
  <c r="AA13" i="2"/>
  <c r="R60" i="2"/>
  <c r="AI53" i="2"/>
  <c r="CK71" i="2"/>
  <c r="BN87" i="2"/>
  <c r="BW63" i="6"/>
  <c r="BF87" i="2"/>
  <c r="AA66" i="2"/>
  <c r="BL29" i="2"/>
  <c r="BF60" i="6"/>
  <c r="AD49" i="2"/>
  <c r="AE50" i="2"/>
  <c r="Q82" i="6"/>
  <c r="BN41" i="2"/>
  <c r="BC73" i="2"/>
  <c r="U52" i="2"/>
  <c r="AI51" i="6"/>
  <c r="BO4" i="2"/>
  <c r="CC100" i="2"/>
  <c r="CT37" i="2"/>
  <c r="CN53" i="2"/>
  <c r="BJ94" i="2"/>
  <c r="Z40" i="2"/>
  <c r="BU27" i="2"/>
  <c r="H57" i="2"/>
  <c r="CQ47" i="6"/>
  <c r="AS39" i="2"/>
  <c r="P44" i="2"/>
  <c r="BE83" i="2"/>
  <c r="AL63" i="2"/>
  <c r="BP14" i="2"/>
  <c r="AL86" i="2"/>
  <c r="BP42" i="2"/>
  <c r="E80" i="2"/>
  <c r="BG48" i="6"/>
  <c r="F77" i="6"/>
  <c r="AB62" i="2"/>
  <c r="BY53" i="2"/>
  <c r="CJ99" i="2"/>
  <c r="CO91" i="6"/>
  <c r="BU86" i="2"/>
  <c r="BV29" i="2"/>
  <c r="AJ49" i="2"/>
  <c r="AV49" i="2"/>
  <c r="BP75" i="2"/>
  <c r="CQ11" i="2"/>
  <c r="CJ70" i="2"/>
  <c r="CJ59" i="2"/>
  <c r="Y97" i="6"/>
  <c r="Y89" i="2"/>
  <c r="F74" i="2"/>
  <c r="AO44" i="2"/>
  <c r="CT53" i="2"/>
  <c r="AF53" i="6"/>
  <c r="BY95" i="6"/>
  <c r="Z84" i="2"/>
  <c r="J38" i="2"/>
  <c r="BI27" i="2"/>
  <c r="AF38" i="2"/>
  <c r="BK9" i="2"/>
  <c r="BL95" i="2"/>
  <c r="CQ89" i="6"/>
  <c r="BS53" i="6"/>
  <c r="L10" i="2"/>
  <c r="O20" i="2"/>
  <c r="AL85" i="6"/>
  <c r="C16" i="2"/>
  <c r="AT63" i="2"/>
  <c r="CR81" i="2"/>
  <c r="CP87" i="2"/>
  <c r="AE82" i="6"/>
  <c r="BQ75" i="2"/>
  <c r="AQ28" i="2"/>
  <c r="F80" i="6"/>
  <c r="CH81" i="6"/>
  <c r="BH71" i="2"/>
  <c r="C65" i="2"/>
  <c r="CB22" i="2"/>
  <c r="W88" i="2"/>
  <c r="BA89" i="2"/>
  <c r="BS50" i="2"/>
  <c r="AV35" i="2"/>
  <c r="AY29" i="2"/>
  <c r="Q50" i="2"/>
  <c r="AU67" i="6"/>
  <c r="R51" i="2"/>
  <c r="O28" i="2"/>
  <c r="AU61" i="2"/>
  <c r="F33" i="2"/>
  <c r="AY21" i="2"/>
  <c r="AL69" i="2"/>
  <c r="N82" i="2"/>
  <c r="BZ45" i="6"/>
  <c r="BU85" i="6"/>
  <c r="AH4" i="2"/>
  <c r="T33" i="2"/>
  <c r="S7" i="2"/>
  <c r="BH83" i="2"/>
  <c r="CC14" i="2"/>
  <c r="AB92" i="2"/>
  <c r="BG64" i="6"/>
  <c r="CO30" i="2"/>
  <c r="AL81" i="2"/>
  <c r="CJ78" i="2"/>
  <c r="CO98" i="2"/>
  <c r="S99" i="2"/>
  <c r="O65" i="2"/>
  <c r="AM24" i="2"/>
  <c r="BL79" i="6"/>
  <c r="CI98" i="6"/>
  <c r="CC74" i="2"/>
  <c r="BR41" i="2"/>
  <c r="BI96" i="2"/>
  <c r="BS62" i="6"/>
  <c r="CR45" i="2"/>
  <c r="CR54" i="6"/>
  <c r="BD27" i="2"/>
  <c r="CA57" i="2"/>
  <c r="CC85" i="2"/>
  <c r="AK74" i="2"/>
  <c r="BE46" i="2"/>
  <c r="AO90" i="2"/>
  <c r="CR98" i="2"/>
  <c r="BU70" i="6"/>
  <c r="BO61" i="2"/>
  <c r="BK72" i="2"/>
  <c r="AU76" i="2"/>
  <c r="BL14" i="2"/>
  <c r="Z91" i="6"/>
  <c r="F85" i="2"/>
  <c r="Z77" i="6"/>
  <c r="BK5" i="2"/>
  <c r="BH97" i="2"/>
  <c r="BT84" i="6"/>
  <c r="CN60" i="6"/>
  <c r="D5" i="2"/>
  <c r="BI3" i="2"/>
  <c r="BK30" i="2"/>
  <c r="AZ41" i="2"/>
  <c r="AA54" i="2"/>
  <c r="BJ56" i="2"/>
  <c r="BG17" i="2"/>
  <c r="CC75" i="2"/>
  <c r="AV28" i="2"/>
  <c r="BM82" i="6"/>
  <c r="AT49" i="6"/>
  <c r="M86" i="2"/>
  <c r="CR73" i="2"/>
  <c r="CD41" i="2"/>
  <c r="K3" i="2"/>
  <c r="AX88" i="2"/>
  <c r="CI46" i="2"/>
  <c r="BN79" i="2"/>
  <c r="N91" i="6"/>
  <c r="BX55" i="6"/>
  <c r="BB88" i="6"/>
  <c r="AU95" i="2"/>
  <c r="CH29" i="6"/>
  <c r="H62" i="6"/>
  <c r="BY30" i="6"/>
  <c r="V91" i="6"/>
  <c r="CF51" i="6"/>
  <c r="T37" i="6"/>
  <c r="AM63" i="2"/>
  <c r="BF90" i="2"/>
  <c r="H54" i="2"/>
  <c r="CF26" i="2"/>
  <c r="CN87" i="6"/>
  <c r="CP85" i="6"/>
  <c r="AE74" i="2"/>
  <c r="AP60" i="2"/>
  <c r="BR8" i="2"/>
  <c r="CJ29" i="2"/>
  <c r="AV97" i="2"/>
  <c r="AQ55" i="2"/>
  <c r="AC85" i="2"/>
  <c r="R13" i="2"/>
  <c r="BV85" i="6"/>
  <c r="U7" i="2"/>
  <c r="CK66" i="6"/>
  <c r="V75" i="6"/>
  <c r="CM29" i="2"/>
  <c r="BP11" i="2"/>
  <c r="G70" i="2"/>
  <c r="CE46" i="2"/>
  <c r="BL97" i="2"/>
  <c r="CM30" i="2"/>
  <c r="BO78" i="6"/>
  <c r="V53" i="6"/>
  <c r="H32" i="2"/>
  <c r="D31" i="6"/>
  <c r="BD91" i="2"/>
  <c r="D62" i="6"/>
  <c r="BK31" i="2"/>
  <c r="BD38" i="2"/>
  <c r="F21" i="2"/>
  <c r="AQ66" i="2"/>
  <c r="N73" i="6"/>
  <c r="AE49" i="2"/>
  <c r="X70" i="2"/>
  <c r="CR55" i="6"/>
  <c r="AA58" i="6"/>
  <c r="AL69" i="6"/>
  <c r="AT8" i="2"/>
  <c r="AQ24" i="2"/>
  <c r="Q69" i="2"/>
  <c r="BR19" i="2"/>
  <c r="D53" i="2"/>
  <c r="CP71" i="2"/>
  <c r="Y78" i="6"/>
  <c r="W84" i="2"/>
  <c r="BF42" i="6"/>
  <c r="BV41" i="2"/>
  <c r="CJ97" i="6"/>
  <c r="AE77" i="2"/>
  <c r="BU99" i="2"/>
  <c r="AT7" i="2"/>
  <c r="BD46" i="2"/>
  <c r="AK79" i="6"/>
  <c r="BY61" i="6"/>
  <c r="BH42" i="2"/>
  <c r="CJ28" i="2"/>
  <c r="BL91" i="2"/>
  <c r="BY70" i="2"/>
  <c r="Y100" i="2"/>
  <c r="AA81" i="2"/>
  <c r="BN51" i="6"/>
  <c r="AK99" i="2"/>
  <c r="AS69" i="2"/>
  <c r="CJ70" i="6"/>
  <c r="BP82" i="2"/>
  <c r="CJ67" i="6"/>
  <c r="AL53" i="2"/>
  <c r="CR14" i="2"/>
  <c r="AW86" i="2"/>
  <c r="AG50" i="2"/>
  <c r="AI18" i="2"/>
  <c r="CR31" i="2"/>
  <c r="BA71" i="6"/>
  <c r="CQ87" i="2"/>
  <c r="V69" i="6"/>
  <c r="BG89" i="2"/>
  <c r="Q46" i="2"/>
  <c r="AV94" i="6"/>
  <c r="BR57" i="2"/>
  <c r="AU43" i="6"/>
  <c r="AV23" i="2"/>
  <c r="CP38" i="2"/>
  <c r="I9" i="2"/>
  <c r="CM62" i="2"/>
  <c r="BI10" i="2"/>
  <c r="BG100" i="2"/>
  <c r="M14" i="2"/>
  <c r="M20" i="2"/>
  <c r="L31" i="2"/>
  <c r="BD44" i="2"/>
  <c r="BJ59" i="2"/>
  <c r="BW25" i="2"/>
  <c r="BQ86" i="6"/>
  <c r="CN95" i="2"/>
  <c r="BX75" i="6"/>
  <c r="AP83" i="6"/>
  <c r="CG16" i="2"/>
  <c r="D60" i="2"/>
  <c r="BW84" i="6"/>
  <c r="AQ72" i="2"/>
  <c r="BF44" i="2"/>
  <c r="AG29" i="2"/>
  <c r="CT95" i="2"/>
  <c r="T82" i="2"/>
  <c r="AK50" i="2"/>
  <c r="BK64" i="2"/>
  <c r="CK29" i="2"/>
  <c r="K86" i="2"/>
  <c r="CI60" i="2"/>
  <c r="E65" i="2"/>
  <c r="H39" i="2"/>
  <c r="Y43" i="2"/>
  <c r="CD61" i="2"/>
  <c r="M69" i="2"/>
  <c r="CJ90" i="2"/>
  <c r="AF75" i="2"/>
  <c r="D31" i="2"/>
  <c r="P7" i="2"/>
  <c r="CS96" i="2"/>
  <c r="K63" i="2"/>
  <c r="BP73" i="2"/>
  <c r="I78" i="6"/>
  <c r="AD40" i="2"/>
  <c r="AP93" i="2"/>
  <c r="BP31" i="2"/>
  <c r="K54" i="2"/>
  <c r="AL32" i="2"/>
  <c r="AR99" i="6"/>
  <c r="Z93" i="2"/>
  <c r="AQ98" i="2"/>
  <c r="AF53" i="2"/>
  <c r="BC88" i="2"/>
  <c r="BV78" i="2"/>
  <c r="AP54" i="2"/>
  <c r="AN36" i="6"/>
  <c r="AH15" i="2"/>
  <c r="CB48" i="6"/>
  <c r="Y38" i="6"/>
  <c r="L82" i="6"/>
  <c r="R98" i="2"/>
  <c r="R48" i="2"/>
  <c r="AX3" i="2"/>
  <c r="G21" i="2"/>
  <c r="F20" i="2"/>
  <c r="AY65" i="2"/>
  <c r="AH41" i="2"/>
  <c r="W20" i="2"/>
  <c r="BK21" i="2"/>
  <c r="AK45" i="6"/>
  <c r="G59" i="2"/>
  <c r="AG74" i="2"/>
  <c r="CF3" i="2"/>
  <c r="AX19" i="2"/>
  <c r="AD95" i="2"/>
  <c r="BQ47" i="2"/>
  <c r="BM40" i="2"/>
  <c r="BX92" i="2"/>
  <c r="U31" i="2"/>
  <c r="F73" i="6"/>
  <c r="I91" i="6"/>
  <c r="BS82" i="2"/>
  <c r="AO94" i="6"/>
  <c r="CK94" i="6"/>
  <c r="I27" i="6"/>
  <c r="BH100" i="2"/>
  <c r="BK17" i="2"/>
  <c r="BL93" i="6"/>
  <c r="M74" i="2"/>
  <c r="L69" i="6"/>
  <c r="CL65" i="6"/>
  <c r="CM94" i="2"/>
  <c r="AO26" i="6"/>
  <c r="AQ3" i="2"/>
  <c r="BJ57" i="2"/>
  <c r="AK18" i="2"/>
  <c r="N66" i="6"/>
  <c r="AQ10" i="2"/>
  <c r="CO62" i="6"/>
  <c r="BQ46" i="6"/>
  <c r="C73" i="2"/>
  <c r="BF87" i="6"/>
  <c r="AK77" i="6"/>
  <c r="AD65" i="2"/>
  <c r="AL64" i="2"/>
  <c r="AD31" i="2"/>
  <c r="AM16" i="2"/>
  <c r="AM48" i="6"/>
  <c r="BQ39" i="6"/>
  <c r="S77" i="2"/>
  <c r="CR80" i="6"/>
  <c r="AM11" i="2"/>
  <c r="R28" i="2"/>
  <c r="CL80" i="2"/>
  <c r="AK85" i="2"/>
  <c r="BC32" i="6"/>
  <c r="AN48" i="2"/>
  <c r="Z58" i="2"/>
  <c r="AQ100" i="6"/>
  <c r="CT90" i="2"/>
  <c r="AN30" i="2"/>
  <c r="X35" i="2"/>
  <c r="BR59" i="2"/>
  <c r="Q97" i="2"/>
  <c r="T96" i="6"/>
  <c r="CN36" i="2"/>
  <c r="BM25" i="2"/>
  <c r="BP68" i="2"/>
  <c r="R83" i="2"/>
  <c r="AU77" i="6"/>
  <c r="BQ18" i="2"/>
  <c r="BJ91" i="2"/>
  <c r="O60" i="6"/>
  <c r="CC48" i="6"/>
  <c r="BI7" i="2"/>
  <c r="L93" i="2"/>
  <c r="AE26" i="2"/>
  <c r="BV56" i="2"/>
  <c r="AS21" i="2"/>
  <c r="X87" i="2"/>
  <c r="CE7" i="2"/>
  <c r="AU79" i="2"/>
  <c r="M5" i="2"/>
  <c r="AA52" i="2"/>
  <c r="AJ13" i="2"/>
  <c r="I75" i="2"/>
  <c r="AK60" i="6"/>
  <c r="AG66" i="2"/>
  <c r="AV63" i="6"/>
  <c r="BL8" i="2"/>
  <c r="BX48" i="2"/>
  <c r="BT49" i="2"/>
  <c r="S91" i="2"/>
  <c r="S57" i="2"/>
  <c r="AL77" i="2"/>
  <c r="V38" i="2"/>
  <c r="AU68" i="6"/>
  <c r="AB8" i="2"/>
  <c r="M42" i="2"/>
  <c r="V7" i="2"/>
  <c r="CM71" i="2"/>
  <c r="AI77" i="6"/>
  <c r="AB71" i="2"/>
  <c r="S15" i="2"/>
  <c r="V92" i="6"/>
  <c r="M65" i="6"/>
  <c r="S35" i="2"/>
  <c r="BZ48" i="6"/>
  <c r="S70" i="2"/>
  <c r="CE97" i="6"/>
  <c r="BZ71" i="6"/>
  <c r="S97" i="6"/>
  <c r="BH90" i="6"/>
  <c r="J13" i="2"/>
  <c r="BO53" i="6"/>
  <c r="AO35" i="2"/>
  <c r="AY71" i="6"/>
  <c r="CE41" i="2"/>
  <c r="E62" i="6"/>
  <c r="BW34" i="2"/>
  <c r="CQ62" i="2"/>
  <c r="CR64" i="2"/>
  <c r="CC97" i="6"/>
  <c r="CT50" i="2"/>
  <c r="CJ50" i="6"/>
  <c r="C45" i="2"/>
  <c r="T47" i="2"/>
  <c r="AC29" i="2"/>
  <c r="L14" i="2"/>
  <c r="AJ73" i="2"/>
  <c r="N68" i="2"/>
  <c r="E82" i="2"/>
  <c r="BG99" i="6"/>
  <c r="BO7" i="2"/>
  <c r="BY74" i="2"/>
  <c r="BS98" i="2"/>
  <c r="AY98" i="6"/>
  <c r="AZ8" i="2"/>
  <c r="AR77" i="6"/>
  <c r="F94" i="2"/>
  <c r="BZ20" i="6"/>
  <c r="CD40" i="6"/>
  <c r="X100" i="2"/>
  <c r="CL21" i="2"/>
  <c r="BW94" i="2"/>
  <c r="X85" i="6"/>
  <c r="W92" i="2"/>
  <c r="BH29" i="2"/>
  <c r="AS75" i="6"/>
  <c r="Z99" i="6"/>
  <c r="G60" i="2"/>
  <c r="BR23" i="2"/>
  <c r="CA30" i="2"/>
  <c r="F80" i="2"/>
  <c r="AA55" i="2"/>
  <c r="U49" i="2"/>
  <c r="BV33" i="2"/>
  <c r="CQ15" i="2"/>
  <c r="BU66" i="6"/>
  <c r="AP13" i="2"/>
  <c r="BA44" i="6"/>
  <c r="M59" i="2"/>
  <c r="U100" i="2"/>
  <c r="BO100" i="2"/>
  <c r="BK27" i="2"/>
  <c r="BT76" i="2"/>
  <c r="BP50" i="2"/>
  <c r="AM87" i="2"/>
  <c r="AR3" i="2"/>
  <c r="C22" i="2"/>
  <c r="AD48" i="2"/>
  <c r="O59" i="2"/>
  <c r="AP26" i="2"/>
  <c r="BW5" i="2"/>
  <c r="AH51" i="2"/>
  <c r="AE40" i="2"/>
  <c r="AX37" i="2"/>
  <c r="CK47" i="6"/>
  <c r="I66" i="2"/>
  <c r="BY9" i="2"/>
  <c r="K82" i="2"/>
  <c r="CR63" i="2"/>
  <c r="AI68" i="2"/>
  <c r="AK83" i="2"/>
  <c r="CC74" i="6"/>
  <c r="BI73" i="2"/>
  <c r="AR28" i="2"/>
  <c r="AK95" i="2"/>
  <c r="BA86" i="2"/>
  <c r="CE2" i="2"/>
  <c r="BT64" i="2"/>
  <c r="T61" i="2"/>
  <c r="AY54" i="2"/>
  <c r="BR18" i="2"/>
  <c r="Q61" i="2"/>
  <c r="BB80" i="2"/>
  <c r="AL34" i="2"/>
  <c r="M46" i="6"/>
  <c r="AZ42" i="2"/>
  <c r="BW83" i="2"/>
  <c r="BP26" i="2"/>
  <c r="AF48" i="6"/>
  <c r="Q79" i="2"/>
  <c r="AI14" i="2"/>
  <c r="CI51" i="2"/>
  <c r="BX84" i="2"/>
  <c r="Z41" i="6"/>
  <c r="BW86" i="6"/>
  <c r="CO87" i="2"/>
  <c r="BV33" i="6"/>
  <c r="BB75" i="2"/>
  <c r="AC19" i="2"/>
  <c r="CF23" i="2"/>
  <c r="BA43" i="2"/>
  <c r="K80" i="2"/>
  <c r="BX76" i="2"/>
  <c r="AQ98" i="6"/>
  <c r="BZ5" i="2"/>
  <c r="CB3" i="2"/>
  <c r="CF45" i="2"/>
  <c r="R54" i="6"/>
  <c r="W13" i="2"/>
  <c r="AS6" i="2"/>
  <c r="AX74" i="2"/>
  <c r="X81" i="2"/>
  <c r="BX54" i="6"/>
  <c r="BR81" i="2"/>
  <c r="CA92" i="2"/>
  <c r="BG96" i="2"/>
  <c r="L72" i="6"/>
  <c r="CL96" i="6"/>
  <c r="AB85" i="2"/>
  <c r="R22" i="2"/>
  <c r="F19" i="2"/>
  <c r="AV96" i="2"/>
  <c r="BT43" i="2"/>
  <c r="N61" i="6"/>
  <c r="AZ92" i="6"/>
  <c r="CO68" i="2"/>
  <c r="Y71" i="6"/>
  <c r="C51" i="6"/>
  <c r="BP15" i="2"/>
  <c r="BY92" i="2"/>
  <c r="CP29" i="2"/>
  <c r="AU91" i="2"/>
  <c r="AP36" i="2"/>
  <c r="AY91" i="2"/>
  <c r="X76" i="6"/>
  <c r="BM72" i="6"/>
  <c r="CH59" i="6"/>
  <c r="AA29" i="6"/>
  <c r="BR40" i="2"/>
  <c r="X36" i="6"/>
  <c r="W34" i="2"/>
  <c r="BO53" i="2"/>
  <c r="CM52" i="2"/>
  <c r="E44" i="2"/>
  <c r="J79" i="6"/>
  <c r="Y67" i="6"/>
  <c r="AW54" i="6"/>
  <c r="M98" i="6"/>
  <c r="U67" i="2"/>
  <c r="BE50" i="2"/>
  <c r="BQ55" i="2"/>
  <c r="BK28" i="2"/>
  <c r="AH86" i="6"/>
  <c r="CB97" i="2"/>
  <c r="AK68" i="6"/>
  <c r="BS92" i="2"/>
  <c r="CH31" i="6"/>
  <c r="CM72" i="2"/>
  <c r="T94" i="6"/>
  <c r="Z75" i="2"/>
  <c r="CC96" i="2"/>
  <c r="W73" i="2"/>
  <c r="CB69" i="2"/>
  <c r="R47" i="2"/>
  <c r="AY26" i="2"/>
  <c r="BK85" i="2"/>
  <c r="E95" i="6"/>
  <c r="CE63" i="6"/>
  <c r="AQ94" i="6"/>
  <c r="AD91" i="6"/>
  <c r="O93" i="2"/>
  <c r="CR94" i="2"/>
  <c r="AY60" i="2"/>
  <c r="CJ50" i="2"/>
  <c r="AS23" i="2"/>
  <c r="BZ41" i="6"/>
  <c r="BJ52" i="6"/>
  <c r="CP86" i="6"/>
  <c r="BY63" i="6"/>
  <c r="AG56" i="2"/>
  <c r="BU83" i="2"/>
  <c r="AN95" i="2"/>
  <c r="BD8" i="2"/>
  <c r="BG83" i="2"/>
  <c r="CA76" i="2"/>
  <c r="BO31" i="2"/>
  <c r="AV91" i="2"/>
  <c r="CH72" i="6"/>
  <c r="AM45" i="2"/>
  <c r="CO34" i="6"/>
  <c r="BJ34" i="2"/>
  <c r="G2" i="2"/>
  <c r="AS70" i="2"/>
  <c r="BR33" i="2"/>
  <c r="AR14" i="2"/>
  <c r="BW55" i="6"/>
  <c r="BJ61" i="6"/>
  <c r="BC91" i="6"/>
  <c r="BH75" i="2"/>
  <c r="P37" i="2"/>
  <c r="AH97" i="2"/>
  <c r="O82" i="2"/>
  <c r="BM53" i="6"/>
  <c r="AT30" i="2"/>
  <c r="AA34" i="6"/>
  <c r="E84" i="6"/>
  <c r="Y87" i="2"/>
  <c r="J15" i="2"/>
  <c r="BM58" i="6"/>
  <c r="CO49" i="2"/>
  <c r="Y64" i="2"/>
  <c r="BQ79" i="2"/>
  <c r="CG47" i="2"/>
  <c r="K37" i="6"/>
  <c r="T44" i="2"/>
  <c r="BG7" i="2"/>
  <c r="AG48" i="2"/>
  <c r="D76" i="2"/>
  <c r="BT54" i="6"/>
  <c r="M94" i="6"/>
  <c r="CG74" i="2"/>
  <c r="AS18" i="2"/>
  <c r="AO46" i="2"/>
  <c r="BQ68" i="2"/>
  <c r="CJ71" i="2"/>
  <c r="BJ76" i="6"/>
  <c r="BS93" i="2"/>
  <c r="AJ16" i="2"/>
  <c r="AV89" i="2"/>
  <c r="BD95" i="6"/>
  <c r="AH89" i="6"/>
  <c r="Y84" i="2"/>
  <c r="BM20" i="2"/>
  <c r="W6" i="2"/>
  <c r="G93" i="2"/>
  <c r="D23" i="2"/>
  <c r="CK54" i="2"/>
  <c r="CJ22" i="2"/>
  <c r="BP98" i="2"/>
  <c r="BG77" i="2"/>
  <c r="N60" i="2"/>
  <c r="CH67" i="2"/>
  <c r="BI16" i="2"/>
  <c r="AS17" i="2"/>
  <c r="AU39" i="2"/>
  <c r="BR28" i="2"/>
  <c r="Z61" i="2"/>
  <c r="L22" i="2"/>
  <c r="CD52" i="2"/>
  <c r="BS52" i="2"/>
  <c r="H85" i="2"/>
  <c r="BP93" i="2"/>
  <c r="BZ19" i="2"/>
  <c r="BO52" i="2"/>
  <c r="AF79" i="2"/>
  <c r="Q37" i="2"/>
  <c r="H6" i="2"/>
  <c r="CQ54" i="2"/>
  <c r="E78" i="6"/>
  <c r="CA60" i="2"/>
  <c r="CK9" i="2"/>
  <c r="AL20" i="2"/>
  <c r="BX27" i="2"/>
  <c r="CI20" i="2"/>
  <c r="P41" i="2"/>
  <c r="L79" i="2"/>
  <c r="C92" i="2"/>
  <c r="BD49" i="2"/>
  <c r="I62" i="2"/>
  <c r="BU88" i="6"/>
  <c r="AX67" i="2"/>
  <c r="CD64" i="6"/>
  <c r="BT88" i="2"/>
  <c r="BA37" i="2"/>
  <c r="BG40" i="2"/>
  <c r="BX98" i="6"/>
  <c r="AI76" i="2"/>
  <c r="BX55" i="2"/>
  <c r="AP19" i="2"/>
  <c r="AJ36" i="6"/>
  <c r="CD79" i="6"/>
  <c r="BO24" i="6"/>
  <c r="AI59" i="6"/>
  <c r="AQ80" i="6"/>
  <c r="CK63" i="2"/>
  <c r="BD86" i="6"/>
  <c r="AW62" i="2"/>
  <c r="AG24" i="2"/>
  <c r="AA38" i="2"/>
  <c r="M56" i="2"/>
  <c r="BO72" i="6"/>
  <c r="W89" i="2"/>
  <c r="AE84" i="6"/>
  <c r="CR50" i="2"/>
  <c r="AM85" i="2"/>
  <c r="BT84" i="2"/>
  <c r="AB92" i="6"/>
  <c r="AW91" i="2"/>
  <c r="BA81" i="2"/>
  <c r="AC46" i="2"/>
  <c r="O61" i="2"/>
  <c r="CD62" i="2"/>
  <c r="BY13" i="2"/>
  <c r="J43" i="6"/>
  <c r="BL88" i="6"/>
  <c r="F76" i="2"/>
  <c r="AY96" i="2"/>
  <c r="W7" i="2"/>
  <c r="AL38" i="2"/>
  <c r="CD85" i="6"/>
  <c r="R37" i="2"/>
  <c r="BR75" i="2"/>
  <c r="CI59" i="2"/>
  <c r="BM70" i="2"/>
  <c r="AI59" i="2"/>
  <c r="AX73" i="2"/>
  <c r="CQ86" i="2"/>
  <c r="K33" i="2"/>
  <c r="K79" i="2"/>
  <c r="S46" i="2"/>
  <c r="BT51" i="6"/>
  <c r="CN97" i="6"/>
  <c r="BS87" i="6"/>
  <c r="AZ52" i="2"/>
  <c r="D13" i="2"/>
  <c r="BM17" i="2"/>
  <c r="S22" i="2"/>
  <c r="AH95" i="2"/>
  <c r="Z99" i="2"/>
  <c r="G87" i="2"/>
  <c r="AS3" i="2"/>
  <c r="Y37" i="2"/>
  <c r="BS48" i="2"/>
  <c r="BC11" i="2"/>
  <c r="AG96" i="6"/>
  <c r="AO86" i="2"/>
  <c r="AP85" i="2"/>
  <c r="BT51" i="2"/>
  <c r="BV39" i="2"/>
  <c r="CT98" i="2"/>
  <c r="CK8" i="2"/>
  <c r="AI46" i="2"/>
  <c r="AE29" i="2"/>
  <c r="BV80" i="6"/>
  <c r="BV64" i="6"/>
  <c r="AD59" i="2"/>
  <c r="AG38" i="2"/>
  <c r="AV91" i="6"/>
  <c r="CA66" i="6"/>
  <c r="AI100" i="2"/>
  <c r="AP33" i="6"/>
  <c r="AM5" i="2"/>
  <c r="CS56" i="2"/>
  <c r="AB97" i="6"/>
  <c r="V48" i="2"/>
  <c r="BK90" i="2"/>
  <c r="J61" i="2"/>
  <c r="BJ44" i="2"/>
  <c r="BE70" i="2"/>
  <c r="CN3" i="2"/>
  <c r="L76" i="6"/>
  <c r="O59" i="6"/>
  <c r="Z31" i="2"/>
  <c r="BK88" i="6"/>
  <c r="CI65" i="2"/>
  <c r="BC81" i="6"/>
  <c r="AW29" i="2"/>
  <c r="CO10" i="2"/>
  <c r="M16" i="2"/>
  <c r="AS77" i="2"/>
  <c r="P96" i="6"/>
  <c r="BB89" i="2"/>
  <c r="G55" i="6"/>
  <c r="BD72" i="2"/>
  <c r="M68" i="6"/>
  <c r="AB39" i="2"/>
  <c r="Q44" i="2"/>
  <c r="CE64" i="6"/>
  <c r="K47" i="2"/>
  <c r="P84" i="2"/>
  <c r="C69" i="2"/>
  <c r="K27" i="2"/>
  <c r="AR98" i="2"/>
  <c r="Z43" i="2"/>
  <c r="J3" i="2"/>
  <c r="BT28" i="2"/>
  <c r="N95" i="2"/>
  <c r="D95" i="2"/>
  <c r="AT87" i="6"/>
  <c r="AZ91" i="6"/>
  <c r="BM3" i="2"/>
  <c r="BU21" i="2"/>
  <c r="BL9" i="2"/>
  <c r="AS66" i="2"/>
  <c r="AQ75" i="6"/>
  <c r="AG98" i="2"/>
  <c r="CI68" i="2"/>
  <c r="I56" i="2"/>
  <c r="P49" i="2"/>
  <c r="BU31" i="2"/>
  <c r="AK69" i="2"/>
  <c r="AR4" i="2"/>
  <c r="CF6" i="2"/>
  <c r="BV5" i="2"/>
  <c r="CF61" i="2"/>
  <c r="AT89" i="2"/>
  <c r="CC87" i="2"/>
  <c r="AX68" i="2"/>
  <c r="CC50" i="2"/>
  <c r="CT26" i="2"/>
  <c r="BZ77" i="6"/>
  <c r="AC78" i="6"/>
  <c r="BP91" i="2"/>
  <c r="CB66" i="2"/>
  <c r="BA30" i="2"/>
  <c r="CE57" i="2"/>
  <c r="BU51" i="2"/>
  <c r="BR12" i="2"/>
  <c r="BU35" i="2"/>
  <c r="CS53" i="2"/>
  <c r="CO5" i="2"/>
  <c r="D85" i="6"/>
  <c r="AD94" i="6"/>
  <c r="CD36" i="2"/>
  <c r="AF30" i="2"/>
  <c r="O87" i="2"/>
  <c r="CE36" i="2"/>
  <c r="CR53" i="2"/>
  <c r="AR47" i="2"/>
  <c r="AA19" i="2"/>
  <c r="BY35" i="2"/>
  <c r="BN73" i="6"/>
  <c r="L75" i="2"/>
  <c r="BT57" i="2"/>
  <c r="Q91" i="2"/>
  <c r="BE16" i="2"/>
  <c r="BA59" i="6"/>
  <c r="M78" i="2"/>
  <c r="C60" i="2"/>
  <c r="BP87" i="6"/>
  <c r="AZ36" i="2"/>
  <c r="AA10" i="2"/>
  <c r="H92" i="6"/>
  <c r="CI30" i="2"/>
  <c r="C18" i="6"/>
  <c r="P86" i="2"/>
  <c r="BP47" i="2"/>
  <c r="L26" i="2"/>
  <c r="U71" i="2"/>
  <c r="BN94" i="2"/>
  <c r="AX51" i="2"/>
  <c r="CL29" i="2"/>
  <c r="Z34" i="2"/>
  <c r="L55" i="2"/>
  <c r="AP77" i="2"/>
  <c r="AM25" i="2"/>
  <c r="CP46" i="2"/>
  <c r="U81" i="2"/>
  <c r="CJ65" i="2"/>
  <c r="BK82" i="2"/>
  <c r="CN56" i="2"/>
  <c r="U57" i="2"/>
  <c r="BQ61" i="6"/>
  <c r="BA84" i="2"/>
  <c r="K85" i="2"/>
  <c r="BV91" i="6"/>
  <c r="BX78" i="2"/>
  <c r="AH99" i="6"/>
  <c r="G95" i="2"/>
  <c r="AP10" i="2"/>
  <c r="AG82" i="6"/>
  <c r="AH19" i="2"/>
  <c r="CO11" i="2"/>
  <c r="BV75" i="2"/>
  <c r="CP2" i="2"/>
  <c r="AA78" i="2"/>
  <c r="CB11" i="2"/>
  <c r="K27" i="6"/>
  <c r="BJ84" i="6"/>
  <c r="AF28" i="2"/>
  <c r="BY43" i="2"/>
  <c r="X89" i="2"/>
  <c r="AQ54" i="2"/>
  <c r="AW74" i="2"/>
  <c r="AU29" i="6"/>
  <c r="S21" i="2"/>
  <c r="O93" i="6"/>
  <c r="BD68" i="2"/>
  <c r="AT22" i="2"/>
  <c r="BS45" i="2"/>
  <c r="CP15" i="2"/>
  <c r="AC75" i="6"/>
  <c r="D99" i="6"/>
  <c r="CD37" i="2"/>
  <c r="CQ69" i="2"/>
  <c r="BR67" i="6"/>
  <c r="AL65" i="2"/>
  <c r="C66" i="2"/>
  <c r="BY23" i="2"/>
  <c r="AM93" i="2"/>
  <c r="AX89" i="6"/>
  <c r="BE64" i="2"/>
  <c r="CT40" i="2"/>
  <c r="BK12" i="2"/>
  <c r="CA28" i="2"/>
  <c r="S69" i="6"/>
  <c r="BF63" i="2"/>
  <c r="CT45" i="2"/>
  <c r="CB81" i="2"/>
  <c r="CK23" i="2"/>
  <c r="D37" i="2"/>
  <c r="Z8" i="2"/>
  <c r="AJ63" i="2"/>
  <c r="CN46" i="2"/>
  <c r="AB80" i="2"/>
  <c r="AB31" i="2"/>
  <c r="C5" i="2"/>
  <c r="BG46" i="2"/>
  <c r="BL87" i="2"/>
  <c r="BA78" i="6"/>
  <c r="BY52" i="2"/>
  <c r="E93" i="6"/>
  <c r="BM13" i="2"/>
  <c r="D80" i="2"/>
  <c r="S13" i="2"/>
  <c r="AG59" i="6"/>
  <c r="Z6" i="2"/>
  <c r="J96" i="2"/>
  <c r="CO19" i="2"/>
  <c r="BP54" i="2"/>
  <c r="Q80" i="6"/>
  <c r="BT11" i="2"/>
  <c r="CI87" i="6"/>
  <c r="AP49" i="6"/>
  <c r="AU96" i="6"/>
  <c r="G97" i="6"/>
  <c r="BI64" i="2"/>
  <c r="L91" i="6"/>
  <c r="AM37" i="2"/>
  <c r="AG61" i="2"/>
  <c r="AX30" i="2"/>
  <c r="BH70" i="2"/>
  <c r="AC14" i="6"/>
  <c r="CQ2" i="2"/>
  <c r="AZ11" i="2"/>
  <c r="BE74" i="2"/>
  <c r="AW88" i="2"/>
  <c r="U73" i="6"/>
  <c r="U77" i="2"/>
  <c r="CE45" i="2"/>
  <c r="AY23" i="2"/>
  <c r="AO33" i="2"/>
  <c r="BN53" i="2"/>
  <c r="BD51" i="2"/>
  <c r="CJ52" i="6"/>
  <c r="BM90" i="6"/>
  <c r="K76" i="2"/>
  <c r="AX98" i="2"/>
  <c r="CB47" i="2"/>
  <c r="BW23" i="2"/>
  <c r="BU91" i="2"/>
  <c r="AS91" i="2"/>
  <c r="AO88" i="2"/>
  <c r="AF68" i="2"/>
  <c r="CF93" i="6"/>
  <c r="BX96" i="2"/>
  <c r="J22" i="2"/>
  <c r="CM95" i="6"/>
  <c r="AW43" i="2"/>
  <c r="BS100" i="2"/>
  <c r="BH76" i="6"/>
  <c r="AT75" i="2"/>
  <c r="AH66" i="6"/>
  <c r="E64" i="2"/>
  <c r="T63" i="2"/>
  <c r="AA30" i="2"/>
  <c r="BH69" i="2"/>
  <c r="AS51" i="2"/>
  <c r="CC98" i="2"/>
  <c r="BU89" i="2"/>
  <c r="CH17" i="2"/>
  <c r="BJ81" i="2"/>
  <c r="BF76" i="2"/>
  <c r="AK70" i="2"/>
  <c r="AP57" i="6"/>
  <c r="AR77" i="2"/>
  <c r="BM86" i="2"/>
  <c r="BK75" i="2"/>
  <c r="BM12" i="2"/>
  <c r="N43" i="2"/>
  <c r="AZ83" i="6"/>
  <c r="X50" i="6"/>
  <c r="AZ92" i="2"/>
  <c r="F100" i="6"/>
  <c r="V20" i="2"/>
  <c r="BK70" i="6"/>
  <c r="BU70" i="2"/>
  <c r="AQ40" i="2"/>
  <c r="BP32" i="2"/>
  <c r="H98" i="2"/>
  <c r="CJ16" i="2"/>
  <c r="CM77" i="6"/>
  <c r="BT35" i="2"/>
  <c r="BF90" i="6"/>
  <c r="BO77" i="2"/>
  <c r="BG49" i="2"/>
  <c r="CM85" i="6"/>
  <c r="CP89" i="2"/>
  <c r="CJ40" i="2"/>
  <c r="CH31" i="2"/>
  <c r="BC80" i="6"/>
  <c r="Y49" i="2"/>
  <c r="AS30" i="2"/>
  <c r="BI57" i="2"/>
  <c r="AK58" i="6"/>
  <c r="M81" i="6"/>
  <c r="AQ33" i="2"/>
  <c r="BM60" i="6"/>
  <c r="AV13" i="2"/>
  <c r="AR10" i="2"/>
  <c r="AP58" i="2"/>
  <c r="AT75" i="6"/>
  <c r="AQ39" i="2"/>
  <c r="CE85" i="2"/>
  <c r="BL30" i="2"/>
  <c r="BC50" i="6"/>
  <c r="C91" i="2"/>
  <c r="BH96" i="6"/>
  <c r="CJ67" i="2"/>
  <c r="N35" i="2"/>
  <c r="G49" i="2"/>
  <c r="J23" i="2"/>
  <c r="C93" i="2"/>
  <c r="AE68" i="6"/>
  <c r="N28" i="2"/>
  <c r="P18" i="2"/>
  <c r="C11" i="2"/>
  <c r="AA5" i="2"/>
  <c r="Q60" i="2"/>
  <c r="CO55" i="2"/>
  <c r="CQ82" i="6"/>
  <c r="BI29" i="2"/>
  <c r="BB23" i="2"/>
  <c r="AT42" i="2"/>
  <c r="W37" i="2"/>
  <c r="D45" i="2"/>
  <c r="AW16" i="2"/>
  <c r="BH10" i="2"/>
  <c r="BK37" i="2"/>
  <c r="AF58" i="2"/>
  <c r="AD33" i="2"/>
  <c r="AE98" i="2"/>
  <c r="AS89" i="2"/>
  <c r="J57" i="6"/>
  <c r="M88" i="2"/>
  <c r="BA78" i="2"/>
  <c r="AA53" i="2"/>
  <c r="BZ63" i="2"/>
  <c r="AP12" i="2"/>
  <c r="AZ58" i="2"/>
  <c r="AQ97" i="2"/>
  <c r="V79" i="2"/>
  <c r="AY77" i="6"/>
  <c r="AZ78" i="2"/>
  <c r="C28" i="2"/>
  <c r="AT84" i="2"/>
  <c r="AH99" i="2"/>
  <c r="BB65" i="2"/>
  <c r="BE98" i="6"/>
  <c r="AM74" i="2"/>
  <c r="AU51" i="2"/>
  <c r="J54" i="2"/>
  <c r="BF91" i="6"/>
  <c r="CP55" i="2"/>
  <c r="CD99" i="6"/>
  <c r="AU26" i="2"/>
  <c r="BT47" i="2"/>
  <c r="C90" i="6"/>
  <c r="AR46" i="2"/>
  <c r="AQ76" i="2"/>
  <c r="AN57" i="2"/>
  <c r="BL85" i="6"/>
  <c r="AR51" i="2"/>
  <c r="CQ85" i="2"/>
  <c r="CN86" i="2"/>
  <c r="AI86" i="2"/>
  <c r="K98" i="6"/>
  <c r="BS29" i="2"/>
  <c r="AG87" i="2"/>
  <c r="R7" i="2"/>
  <c r="AZ98" i="2"/>
  <c r="BO94" i="2"/>
  <c r="E32" i="2"/>
  <c r="CK92" i="2"/>
  <c r="BX91" i="2"/>
  <c r="CJ75" i="6"/>
  <c r="F59" i="2"/>
  <c r="BI100" i="6"/>
  <c r="BC73" i="6"/>
  <c r="F4" i="2"/>
  <c r="AB85" i="6"/>
  <c r="BW54" i="2"/>
  <c r="U82" i="2"/>
  <c r="CE54" i="2"/>
  <c r="AY55" i="2"/>
  <c r="CT39" i="2"/>
  <c r="BL42" i="2"/>
  <c r="CF44" i="2"/>
  <c r="I10" i="2"/>
  <c r="BM92" i="2"/>
  <c r="AK32" i="2"/>
  <c r="BL18" i="2"/>
  <c r="BQ98" i="6"/>
  <c r="BF34" i="2"/>
  <c r="AO76" i="2"/>
  <c r="AQ53" i="2"/>
  <c r="AL62" i="6"/>
  <c r="AT18" i="2"/>
  <c r="CI82" i="2"/>
  <c r="Q39" i="2"/>
  <c r="AR51" i="6"/>
  <c r="AQ85" i="2"/>
  <c r="AT86" i="6"/>
  <c r="BZ64" i="2"/>
  <c r="BI75" i="2"/>
  <c r="Z11" i="2"/>
  <c r="CQ24" i="2"/>
  <c r="AT97" i="2"/>
  <c r="Z26" i="2"/>
  <c r="J88" i="2"/>
  <c r="C80" i="6"/>
  <c r="X78" i="6"/>
  <c r="M15" i="2"/>
  <c r="BS91" i="2"/>
  <c r="CJ75" i="2"/>
  <c r="O33" i="2"/>
  <c r="AO97" i="6"/>
  <c r="BC59" i="2"/>
  <c r="AP42" i="6"/>
  <c r="CN67" i="2"/>
  <c r="BS47" i="6"/>
  <c r="BX67" i="6"/>
  <c r="P80" i="2"/>
  <c r="BO28" i="2"/>
  <c r="D54" i="2"/>
  <c r="CQ67" i="2"/>
  <c r="BF75" i="2"/>
  <c r="AO8" i="2"/>
  <c r="BU40" i="2"/>
  <c r="N87" i="6"/>
  <c r="CI45" i="2"/>
  <c r="BI72" i="2"/>
  <c r="BA66" i="6"/>
  <c r="CO89" i="6"/>
  <c r="AQ64" i="2"/>
  <c r="AH27" i="2"/>
  <c r="AE64" i="2"/>
  <c r="L64" i="2"/>
  <c r="BG52" i="2"/>
  <c r="S59" i="2"/>
  <c r="AE30" i="2"/>
  <c r="AY22" i="2"/>
  <c r="H61" i="2"/>
  <c r="AR50" i="2"/>
  <c r="Q94" i="6"/>
  <c r="BJ48" i="2"/>
  <c r="AX64" i="2"/>
  <c r="BM84" i="2"/>
  <c r="AL71" i="2"/>
  <c r="G72" i="2"/>
  <c r="V33" i="2"/>
  <c r="BZ99" i="2"/>
  <c r="P33" i="2"/>
  <c r="AU89" i="2"/>
  <c r="X90" i="6"/>
  <c r="CB31" i="2"/>
  <c r="AF26" i="2"/>
  <c r="CB34" i="2"/>
  <c r="Q77" i="2"/>
  <c r="BC90" i="6"/>
  <c r="AZ59" i="2"/>
  <c r="BV50" i="2"/>
  <c r="AB61" i="2"/>
  <c r="BV55" i="2"/>
  <c r="AF44" i="2"/>
  <c r="BD63" i="2"/>
  <c r="BP92" i="2"/>
  <c r="BF82" i="2"/>
  <c r="BE37" i="2"/>
  <c r="CG83" i="6"/>
  <c r="AR22" i="2"/>
  <c r="BY100" i="6"/>
  <c r="AW96" i="2"/>
  <c r="AA69" i="2"/>
  <c r="F87" i="2"/>
  <c r="P72" i="6"/>
  <c r="CN64" i="6"/>
  <c r="G48" i="2"/>
  <c r="AM44" i="6"/>
  <c r="BD85" i="6"/>
  <c r="AF39" i="2"/>
  <c r="M35" i="2"/>
  <c r="R96" i="2"/>
  <c r="AK73" i="2"/>
  <c r="Z81" i="6"/>
  <c r="AS94" i="6"/>
  <c r="AW51" i="6"/>
  <c r="AX96" i="6"/>
  <c r="BY31" i="6"/>
  <c r="CE50" i="2"/>
  <c r="CJ23" i="2"/>
  <c r="P14" i="2"/>
  <c r="V2" i="2"/>
  <c r="AP24" i="2"/>
  <c r="AF47" i="2"/>
  <c r="Z13" i="2"/>
  <c r="BP57" i="2"/>
  <c r="AR76" i="2"/>
  <c r="AO35" i="6"/>
  <c r="AX84" i="2"/>
  <c r="BJ8" i="2"/>
  <c r="BC47" i="2"/>
  <c r="BI77" i="6"/>
  <c r="L30" i="2"/>
  <c r="BO56" i="2"/>
  <c r="P100" i="2"/>
  <c r="AX54" i="2"/>
  <c r="AE33" i="2"/>
  <c r="I93" i="2"/>
  <c r="L51" i="2"/>
  <c r="BY93" i="2"/>
  <c r="CM96" i="6"/>
  <c r="R76" i="6"/>
  <c r="K29" i="2"/>
  <c r="CA62" i="2"/>
  <c r="AL55" i="2"/>
  <c r="O41" i="2"/>
  <c r="AD71" i="2"/>
  <c r="W59" i="6"/>
  <c r="BL67" i="2"/>
  <c r="BB97" i="6"/>
  <c r="CN99" i="6"/>
  <c r="CO24" i="2"/>
  <c r="E36" i="2"/>
  <c r="AP48" i="2"/>
  <c r="BE31" i="2"/>
  <c r="BD75" i="6"/>
  <c r="AS91" i="6"/>
  <c r="BS73" i="6"/>
  <c r="BA29" i="2"/>
  <c r="AA99" i="2"/>
  <c r="G26" i="2"/>
  <c r="Z66" i="2"/>
  <c r="BY42" i="6"/>
  <c r="AI36" i="2"/>
  <c r="BE96" i="2"/>
  <c r="L15" i="2"/>
  <c r="BD29" i="2"/>
  <c r="CC93" i="2"/>
  <c r="BW62" i="2"/>
  <c r="AA68" i="2"/>
  <c r="BV25" i="2"/>
  <c r="CA80" i="6"/>
  <c r="U58" i="2"/>
  <c r="K71" i="2"/>
  <c r="BS92" i="6"/>
  <c r="AP25" i="2"/>
  <c r="BE15" i="2"/>
  <c r="BB24" i="2"/>
  <c r="BW53" i="2"/>
  <c r="AU10" i="2"/>
  <c r="CI33" i="2"/>
  <c r="AM81" i="2"/>
  <c r="CS92" i="2"/>
  <c r="BE9" i="2"/>
  <c r="BF47" i="2"/>
  <c r="BZ98" i="6"/>
  <c r="CR73" i="6"/>
  <c r="CQ34" i="6"/>
  <c r="AU41" i="2"/>
  <c r="X43" i="2"/>
  <c r="AC71" i="2"/>
  <c r="CE91" i="2"/>
  <c r="AO70" i="2"/>
  <c r="CO13" i="2"/>
  <c r="CG58" i="6"/>
  <c r="AD10" i="2"/>
  <c r="AK42" i="2"/>
  <c r="BS99" i="2"/>
  <c r="BF70" i="6"/>
  <c r="BX32" i="2"/>
  <c r="Z82" i="2"/>
  <c r="Y91" i="2"/>
  <c r="N6" i="2"/>
  <c r="BB61" i="6"/>
  <c r="AC44" i="2"/>
  <c r="AA56" i="6"/>
  <c r="AU81" i="2"/>
  <c r="AF55" i="2"/>
  <c r="BZ84" i="2"/>
  <c r="Y73" i="2"/>
  <c r="CS34" i="2"/>
  <c r="BC26" i="2"/>
  <c r="CO29" i="2"/>
  <c r="AN17" i="2"/>
  <c r="BF33" i="2"/>
  <c r="CK21" i="2"/>
  <c r="AH50" i="2"/>
  <c r="AC94" i="2"/>
  <c r="AF5" i="2"/>
  <c r="G35" i="2"/>
  <c r="AL93" i="2"/>
  <c r="AI91" i="6"/>
  <c r="BF5" i="2"/>
  <c r="G98" i="2"/>
  <c r="CA99" i="2"/>
  <c r="AZ79" i="2"/>
  <c r="BT41" i="2"/>
  <c r="BR77" i="2"/>
  <c r="F63" i="6"/>
  <c r="AC68" i="6"/>
  <c r="Z87" i="6"/>
  <c r="BU13" i="2"/>
  <c r="S16" i="2"/>
  <c r="AX72" i="6"/>
  <c r="AU47" i="2"/>
  <c r="AY100" i="6"/>
  <c r="CI48" i="6"/>
  <c r="S30" i="2"/>
  <c r="AK61" i="2"/>
  <c r="BF94" i="6"/>
  <c r="CJ11" i="2"/>
  <c r="CP99" i="6"/>
  <c r="BH60" i="2"/>
  <c r="Z69" i="2"/>
  <c r="G55" i="2"/>
  <c r="AO25" i="2"/>
  <c r="BX46" i="6"/>
  <c r="CS31" i="2"/>
  <c r="BF10" i="2"/>
  <c r="CE48" i="2"/>
  <c r="BI91" i="2"/>
  <c r="N38" i="2"/>
  <c r="AB28" i="2"/>
  <c r="O45" i="6"/>
  <c r="AJ83" i="6"/>
  <c r="AL52" i="2"/>
  <c r="AV57" i="2"/>
  <c r="BJ64" i="6"/>
  <c r="CE64" i="2"/>
  <c r="BT79" i="2"/>
  <c r="CF20" i="2"/>
  <c r="AF33" i="2"/>
  <c r="AG55" i="2"/>
  <c r="BG14" i="2"/>
  <c r="BP8" i="2"/>
  <c r="H87" i="2"/>
  <c r="AH26" i="2"/>
  <c r="AD62" i="2"/>
  <c r="BP19" i="2"/>
  <c r="BH54" i="2"/>
  <c r="BX15" i="2"/>
  <c r="BE74" i="6"/>
  <c r="AN99" i="2"/>
  <c r="J35" i="2"/>
  <c r="C61" i="6"/>
  <c r="Z89" i="2"/>
  <c r="CB74" i="2"/>
  <c r="AJ60" i="2"/>
  <c r="CG75" i="2"/>
  <c r="BJ26" i="2"/>
  <c r="BT85" i="6"/>
  <c r="E73" i="6"/>
  <c r="AO85" i="2"/>
  <c r="AW7" i="2"/>
  <c r="CN96" i="2"/>
  <c r="BB38" i="2"/>
  <c r="AJ69" i="2"/>
  <c r="U69" i="2"/>
  <c r="X79" i="2"/>
  <c r="BW36" i="2"/>
  <c r="C56" i="2"/>
  <c r="AI87" i="6"/>
  <c r="BQ95" i="6"/>
  <c r="AB26" i="6"/>
  <c r="AU49" i="2"/>
  <c r="BO18" i="2"/>
  <c r="AN36" i="2"/>
  <c r="AC32" i="2"/>
  <c r="P40" i="6"/>
  <c r="BE72" i="2"/>
  <c r="AC95" i="6"/>
  <c r="X80" i="2"/>
  <c r="BO31" i="6"/>
  <c r="AT91" i="6"/>
  <c r="AK67" i="6"/>
  <c r="AT81" i="2"/>
  <c r="CG9" i="2"/>
  <c r="AL16" i="2"/>
  <c r="X69" i="2"/>
  <c r="AS77" i="6"/>
  <c r="I47" i="6"/>
  <c r="BU77" i="6"/>
  <c r="CM9" i="2"/>
  <c r="AB10" i="2"/>
  <c r="BD78" i="2"/>
  <c r="BM62" i="2"/>
  <c r="BH40" i="2"/>
  <c r="I22" i="2"/>
  <c r="BL40" i="2"/>
  <c r="AY100" i="2"/>
  <c r="AQ50" i="6"/>
  <c r="AF88" i="2"/>
  <c r="AA82" i="2"/>
  <c r="AI12" i="2"/>
  <c r="BP39" i="2"/>
  <c r="AT27" i="2"/>
  <c r="BP16" i="6"/>
  <c r="BI61" i="2"/>
  <c r="CI25" i="2"/>
  <c r="BM75" i="2"/>
  <c r="CL100" i="2"/>
  <c r="C42" i="6"/>
  <c r="CO46" i="2"/>
  <c r="AL94" i="6"/>
  <c r="BE39" i="2"/>
  <c r="AP32" i="2"/>
  <c r="AE19" i="2"/>
  <c r="BF58" i="2"/>
  <c r="D86" i="2"/>
  <c r="BY64" i="2"/>
  <c r="CF72" i="2"/>
  <c r="I82" i="2"/>
  <c r="AG52" i="2"/>
  <c r="AV45" i="2"/>
  <c r="BQ76" i="2"/>
  <c r="BS53" i="2"/>
  <c r="X23" i="2"/>
  <c r="BH14" i="2"/>
  <c r="G33" i="6"/>
  <c r="BX14" i="2"/>
  <c r="AS27" i="2"/>
  <c r="CL51" i="2"/>
  <c r="AV10" i="2"/>
  <c r="CQ96" i="2"/>
  <c r="J98" i="6"/>
  <c r="P27" i="2"/>
  <c r="CM87" i="2"/>
  <c r="L68" i="2"/>
  <c r="AQ48" i="2"/>
  <c r="CC21" i="2"/>
  <c r="CP27" i="2"/>
  <c r="J67" i="2"/>
  <c r="U65" i="2"/>
  <c r="CL73" i="6"/>
  <c r="AX59" i="2"/>
  <c r="CB85" i="2"/>
  <c r="AN25" i="2"/>
  <c r="X75" i="6"/>
  <c r="AK46" i="2"/>
  <c r="Q63" i="2"/>
  <c r="BX98" i="2"/>
  <c r="AB91" i="2"/>
  <c r="BU74" i="2"/>
  <c r="L11" i="2"/>
  <c r="BS69" i="6"/>
  <c r="CQ88" i="2"/>
  <c r="BQ41" i="2"/>
  <c r="AT78" i="2"/>
  <c r="J87" i="2"/>
  <c r="CD30" i="2"/>
  <c r="BY85" i="2"/>
  <c r="F65" i="2"/>
  <c r="AQ51" i="2"/>
  <c r="AR81" i="6"/>
  <c r="AU23" i="2"/>
  <c r="CB100" i="6"/>
  <c r="AT33" i="2"/>
  <c r="K91" i="6"/>
  <c r="BF71" i="2"/>
  <c r="AV82" i="2"/>
  <c r="BO40" i="2"/>
  <c r="D27" i="2"/>
  <c r="CP8" i="2"/>
  <c r="AC43" i="2"/>
  <c r="BQ94" i="2"/>
  <c r="AD54" i="6"/>
  <c r="CD76" i="2"/>
  <c r="BL97" i="6"/>
  <c r="CS94" i="2"/>
  <c r="BH46" i="2"/>
  <c r="U34" i="6"/>
  <c r="E35" i="2"/>
  <c r="C100" i="2"/>
  <c r="J71" i="2"/>
  <c r="AO26" i="2"/>
  <c r="AA64" i="2"/>
  <c r="CN55" i="6"/>
  <c r="BL57" i="6"/>
  <c r="CN80" i="2"/>
  <c r="J78" i="2"/>
  <c r="CR91" i="6"/>
  <c r="CO39" i="2"/>
  <c r="AT77" i="2"/>
  <c r="BG30" i="2"/>
  <c r="CA47" i="2"/>
  <c r="CC16" i="2"/>
  <c r="CN59" i="2"/>
  <c r="BN96" i="6"/>
  <c r="J69" i="2"/>
  <c r="AX22" i="2"/>
  <c r="AY83" i="2"/>
  <c r="BY89" i="6"/>
  <c r="BW60" i="6"/>
  <c r="CO68" i="6"/>
  <c r="CM26" i="2"/>
  <c r="BG86" i="6"/>
  <c r="U53" i="2"/>
  <c r="AU15" i="2"/>
  <c r="O57" i="2"/>
  <c r="D82" i="2"/>
  <c r="BA6" i="2"/>
  <c r="AZ89" i="2"/>
  <c r="BI59" i="2"/>
  <c r="Z78" i="2"/>
  <c r="L67" i="6"/>
  <c r="CF46" i="2"/>
  <c r="S66" i="2"/>
  <c r="CN31" i="2"/>
  <c r="L25" i="2"/>
  <c r="CO23" i="2"/>
  <c r="CQ74" i="2"/>
  <c r="BT46" i="2"/>
  <c r="AC93" i="6"/>
  <c r="BY96" i="2"/>
  <c r="O18" i="2"/>
  <c r="CT70" i="2"/>
  <c r="R38" i="6"/>
  <c r="P3" i="2"/>
  <c r="BC54" i="2"/>
  <c r="CT84" i="2"/>
  <c r="AL91" i="6"/>
  <c r="AM42" i="2"/>
  <c r="BK62" i="2"/>
  <c r="AG76" i="6"/>
  <c r="AD13" i="2"/>
  <c r="AS100" i="2"/>
  <c r="BW66" i="2"/>
  <c r="R86" i="2"/>
  <c r="BJ33" i="2"/>
  <c r="BS26" i="2"/>
  <c r="M65" i="2"/>
  <c r="S64" i="6"/>
  <c r="BW10" i="2"/>
  <c r="E98" i="6"/>
  <c r="AV37" i="2"/>
  <c r="BR15" i="2"/>
  <c r="BF32" i="2"/>
  <c r="AE28" i="2"/>
  <c r="BW38" i="2"/>
  <c r="CM90" i="2"/>
  <c r="BD54" i="2"/>
  <c r="AN44" i="2"/>
  <c r="BL87" i="6"/>
  <c r="AQ100" i="2"/>
  <c r="BT56" i="2"/>
  <c r="AG19" i="2"/>
  <c r="N50" i="2"/>
  <c r="Z3" i="2"/>
  <c r="AC63" i="2"/>
  <c r="AM54" i="2"/>
  <c r="BD80" i="2"/>
  <c r="CP69" i="2"/>
  <c r="I54" i="2"/>
  <c r="CC67" i="2"/>
  <c r="BQ54" i="2"/>
  <c r="AY4" i="2"/>
  <c r="I20" i="2"/>
  <c r="CJ32" i="2"/>
  <c r="T94" i="2"/>
  <c r="AF83" i="2"/>
  <c r="BP48" i="2"/>
  <c r="S38" i="2"/>
  <c r="BF51" i="2"/>
  <c r="E19" i="2"/>
  <c r="AQ57" i="2"/>
  <c r="K72" i="2"/>
  <c r="CG100" i="6"/>
  <c r="BH32" i="2"/>
  <c r="Q72" i="2"/>
  <c r="CP65" i="2"/>
  <c r="BC90" i="2"/>
  <c r="CO75" i="2"/>
  <c r="BX52" i="2"/>
  <c r="CM96" i="2"/>
  <c r="Z18" i="2"/>
  <c r="P38" i="2"/>
  <c r="BS71" i="2"/>
  <c r="AN43" i="2"/>
  <c r="O8" i="2"/>
  <c r="CI55" i="2"/>
  <c r="CG10" i="2"/>
  <c r="BZ74" i="2"/>
  <c r="CK60" i="2"/>
  <c r="AX91" i="2"/>
  <c r="BA18" i="2"/>
  <c r="AZ73" i="6"/>
  <c r="S41" i="2"/>
  <c r="AV68" i="6"/>
  <c r="AQ9" i="2"/>
  <c r="BM83" i="2"/>
  <c r="AA95" i="6"/>
  <c r="AC71" i="6"/>
  <c r="M90" i="2"/>
  <c r="CB52" i="2"/>
  <c r="AL33" i="2"/>
  <c r="BC50" i="2"/>
  <c r="BR58" i="2"/>
  <c r="AI78" i="2"/>
  <c r="BN7" i="2"/>
  <c r="AW18" i="2"/>
  <c r="BA49" i="2"/>
  <c r="K51" i="2"/>
  <c r="AC41" i="2"/>
  <c r="AJ80" i="6"/>
  <c r="BL73" i="2"/>
  <c r="D82" i="6"/>
  <c r="AC8" i="2"/>
  <c r="R65" i="6"/>
  <c r="AW56" i="2"/>
  <c r="L87" i="2"/>
  <c r="Z80" i="6"/>
  <c r="AI55" i="2"/>
  <c r="BR31" i="2"/>
  <c r="CE33" i="2"/>
  <c r="AC55" i="2"/>
  <c r="AQ70" i="2"/>
  <c r="E83" i="2"/>
  <c r="O19" i="2"/>
  <c r="BN97" i="6"/>
  <c r="AK68" i="2"/>
  <c r="AN91" i="6"/>
  <c r="N31" i="2"/>
  <c r="CP24" i="2"/>
  <c r="BV96" i="6"/>
  <c r="P26" i="2"/>
  <c r="BV68" i="6"/>
  <c r="X94" i="6"/>
  <c r="O88" i="2"/>
  <c r="K98" i="2"/>
  <c r="P24" i="2"/>
  <c r="AB43" i="2"/>
  <c r="CA100" i="6"/>
  <c r="E12" i="2"/>
  <c r="CK4" i="2"/>
  <c r="CB92" i="2"/>
  <c r="AX31" i="2"/>
  <c r="AV30" i="2"/>
  <c r="BN86" i="2"/>
  <c r="CT96" i="2"/>
  <c r="AK57" i="2"/>
  <c r="BI69" i="2"/>
  <c r="AO95" i="6"/>
  <c r="AY56" i="6"/>
  <c r="BG53" i="2"/>
  <c r="BP45" i="2"/>
  <c r="BI22" i="2"/>
  <c r="BE56" i="2"/>
  <c r="AJ32" i="2"/>
  <c r="AF59" i="6"/>
  <c r="BY77" i="2"/>
  <c r="AN75" i="2"/>
  <c r="CT60" i="2"/>
  <c r="CH74" i="2"/>
  <c r="X10" i="2"/>
  <c r="AU97" i="2"/>
  <c r="J63" i="2"/>
  <c r="Y58" i="2"/>
  <c r="D50" i="2"/>
  <c r="E92" i="2"/>
  <c r="Z65" i="2"/>
  <c r="CM55" i="2"/>
  <c r="CT49" i="2"/>
  <c r="L98" i="2"/>
  <c r="BH55" i="2"/>
  <c r="AJ26" i="2"/>
  <c r="CH46" i="2"/>
  <c r="BH88" i="2"/>
  <c r="BJ12" i="2"/>
  <c r="K85" i="6"/>
  <c r="BU80" i="2"/>
  <c r="BQ71" i="2"/>
  <c r="AN84" i="6"/>
  <c r="BV38" i="2"/>
  <c r="O2" i="2"/>
  <c r="AN22" i="2"/>
  <c r="AM90" i="2"/>
  <c r="BF41" i="2"/>
  <c r="CH20" i="2"/>
  <c r="W79" i="6"/>
  <c r="C79" i="6"/>
  <c r="AS29" i="2"/>
  <c r="BX72" i="2"/>
  <c r="AW54" i="2"/>
  <c r="F3" i="2"/>
  <c r="N54" i="2"/>
  <c r="CS75" i="2"/>
  <c r="W74" i="2"/>
  <c r="H23" i="2"/>
  <c r="AG79" i="6"/>
  <c r="CL19" i="2"/>
  <c r="CI77" i="2"/>
  <c r="BP95" i="6"/>
  <c r="V15" i="2"/>
  <c r="CP41" i="2"/>
  <c r="AO77" i="2"/>
  <c r="S48" i="6"/>
  <c r="CF37" i="2"/>
  <c r="CA23" i="2"/>
  <c r="AK30" i="2"/>
  <c r="BQ80" i="6"/>
  <c r="CN98" i="2"/>
  <c r="BL63" i="6"/>
  <c r="AX20" i="2"/>
  <c r="AX42" i="2"/>
  <c r="AN90" i="6"/>
  <c r="T86" i="6"/>
  <c r="CD38" i="2"/>
  <c r="AZ51" i="6"/>
  <c r="AR21" i="2"/>
  <c r="BM49" i="2"/>
  <c r="BH31" i="2"/>
  <c r="CF95" i="2"/>
  <c r="CE39" i="2"/>
  <c r="AD73" i="2"/>
  <c r="CR62" i="2"/>
  <c r="BH68" i="2"/>
  <c r="CC91" i="2"/>
  <c r="BQ23" i="2"/>
  <c r="BC44" i="2"/>
  <c r="CM74" i="2"/>
  <c r="S93" i="2"/>
  <c r="BT99" i="2"/>
  <c r="BD11" i="2"/>
  <c r="CE90" i="2"/>
  <c r="BV23" i="2"/>
  <c r="BG68" i="2"/>
  <c r="CM14" i="2"/>
  <c r="BS78" i="2"/>
  <c r="AD24" i="2"/>
  <c r="CA53" i="2"/>
  <c r="BB81" i="6"/>
  <c r="BR51" i="2"/>
  <c r="M66" i="2"/>
  <c r="AN24" i="2"/>
  <c r="O56" i="6"/>
  <c r="BE56" i="6"/>
  <c r="CE88" i="6"/>
  <c r="Z5" i="2"/>
  <c r="AE90" i="6"/>
  <c r="AK82" i="6"/>
  <c r="C13" i="2"/>
  <c r="BQ16" i="2"/>
  <c r="AQ84" i="2"/>
  <c r="BJ46" i="2"/>
  <c r="BI67" i="6"/>
  <c r="AP64" i="2"/>
  <c r="CE70" i="2"/>
  <c r="BP90" i="6"/>
  <c r="D67" i="6"/>
  <c r="D29" i="2"/>
  <c r="AO73" i="2"/>
  <c r="BW16" i="2"/>
  <c r="AH81" i="2"/>
  <c r="CN28" i="2"/>
  <c r="BA9" i="2"/>
  <c r="AD78" i="2"/>
  <c r="BC69" i="6"/>
  <c r="L48" i="2"/>
  <c r="T54" i="2"/>
  <c r="CD95" i="2"/>
  <c r="AD75" i="2"/>
  <c r="CJ55" i="2"/>
  <c r="T66" i="2"/>
  <c r="CR84" i="6"/>
  <c r="CR72" i="6"/>
  <c r="AD47" i="6"/>
  <c r="AR74" i="2"/>
  <c r="BW51" i="2"/>
  <c r="CJ83" i="6"/>
  <c r="AA88" i="6"/>
  <c r="CC82" i="6"/>
  <c r="T23" i="2"/>
  <c r="S95" i="2"/>
  <c r="CO40" i="2"/>
  <c r="AP51" i="2"/>
  <c r="I49" i="2"/>
  <c r="BO96" i="2"/>
  <c r="BL84" i="2"/>
  <c r="AH64" i="6"/>
  <c r="CS25" i="2"/>
  <c r="AJ74" i="2"/>
  <c r="BA82" i="6"/>
  <c r="BG44" i="2"/>
  <c r="Z37" i="2"/>
  <c r="AQ2" i="2"/>
  <c r="J83" i="2"/>
  <c r="BD65" i="2"/>
  <c r="W31" i="2"/>
  <c r="F73" i="2"/>
  <c r="AZ87" i="2"/>
  <c r="AT82" i="2"/>
  <c r="F29" i="2"/>
  <c r="BP36" i="2"/>
  <c r="BR82" i="2"/>
  <c r="W32" i="2"/>
  <c r="K19" i="2"/>
  <c r="AJ78" i="2"/>
  <c r="BM87" i="2"/>
  <c r="BR54" i="2"/>
  <c r="BH30" i="2"/>
  <c r="R80" i="2"/>
  <c r="CC77" i="2"/>
  <c r="BT98" i="6"/>
  <c r="V17" i="2"/>
  <c r="CM68" i="2"/>
  <c r="AY63" i="2"/>
  <c r="C30" i="6"/>
  <c r="BL63" i="2"/>
  <c r="BB18" i="2"/>
  <c r="M8" i="2"/>
  <c r="CN9" i="2"/>
  <c r="P95" i="6"/>
  <c r="C47" i="2"/>
  <c r="CC4" i="2"/>
  <c r="CM50" i="2"/>
  <c r="BO2" i="2"/>
  <c r="AB6" i="2"/>
  <c r="R32" i="2"/>
  <c r="BZ68" i="2"/>
  <c r="N71" i="2"/>
  <c r="BO37" i="2"/>
  <c r="CN94" i="6"/>
  <c r="P59" i="2"/>
  <c r="BO84" i="2"/>
  <c r="AH5" i="2"/>
  <c r="Z89" i="6"/>
  <c r="X58" i="2"/>
  <c r="AA63" i="6"/>
  <c r="AS25" i="6"/>
  <c r="AK64" i="2"/>
  <c r="BB60" i="2"/>
  <c r="CL17" i="2"/>
  <c r="H43" i="2"/>
  <c r="S84" i="6"/>
  <c r="BM34" i="6"/>
  <c r="BA28" i="2"/>
  <c r="AK15" i="2"/>
  <c r="L9" i="6"/>
  <c r="C77" i="6"/>
  <c r="BJ68" i="2"/>
  <c r="N84" i="6"/>
  <c r="BJ54" i="2"/>
  <c r="AZ40" i="2"/>
  <c r="D65" i="6"/>
  <c r="J16" i="6"/>
  <c r="CG78" i="6"/>
  <c r="I90" i="2"/>
  <c r="BU38" i="2"/>
  <c r="AQ6" i="2"/>
  <c r="BF93" i="6"/>
  <c r="CJ89" i="6"/>
  <c r="F42" i="2"/>
  <c r="BU65" i="2"/>
  <c r="K84" i="6"/>
  <c r="H86" i="2"/>
  <c r="CC92" i="2"/>
  <c r="CG81" i="2"/>
  <c r="CO63" i="2"/>
  <c r="AU83" i="2"/>
  <c r="CG23" i="2"/>
  <c r="L99" i="6"/>
  <c r="BQ27" i="2"/>
  <c r="CJ44" i="2"/>
  <c r="BT78" i="2"/>
  <c r="BU86" i="6"/>
  <c r="CK64" i="2"/>
  <c r="BV87" i="2"/>
  <c r="AC60" i="2"/>
  <c r="BQ67" i="2"/>
  <c r="S49" i="2"/>
  <c r="BP65" i="2"/>
  <c r="AU95" i="6"/>
  <c r="BL49" i="2"/>
  <c r="W26" i="6"/>
  <c r="AH97" i="6"/>
  <c r="L46" i="2"/>
  <c r="AZ55" i="6"/>
  <c r="BI56" i="2"/>
  <c r="AI33" i="2"/>
  <c r="AQ25" i="2"/>
  <c r="D43" i="2"/>
  <c r="CN40" i="2"/>
  <c r="BB70" i="2"/>
  <c r="BU88" i="2"/>
  <c r="AK13" i="2"/>
  <c r="I65" i="6"/>
  <c r="AH87" i="2"/>
  <c r="G94" i="2"/>
  <c r="CE10" i="2"/>
  <c r="CN93" i="2"/>
  <c r="AH53" i="6"/>
  <c r="BQ37" i="2"/>
  <c r="CC41" i="6"/>
  <c r="AS96" i="6"/>
  <c r="CP53" i="2"/>
  <c r="I81" i="2"/>
  <c r="AP14" i="2"/>
  <c r="AG9" i="2"/>
  <c r="BC98" i="2"/>
  <c r="BD22" i="2"/>
  <c r="AG78" i="2"/>
  <c r="H69" i="2"/>
  <c r="BV32" i="6"/>
  <c r="W81" i="6"/>
  <c r="AM61" i="6"/>
  <c r="BD84" i="2"/>
  <c r="BV22" i="2"/>
  <c r="CD58" i="6"/>
  <c r="AC21" i="2"/>
  <c r="CE87" i="2"/>
  <c r="AY62" i="2"/>
  <c r="I52" i="2"/>
  <c r="AD44" i="2"/>
  <c r="J36" i="2"/>
  <c r="BA92" i="6"/>
  <c r="CA79" i="6"/>
  <c r="CA15" i="2"/>
  <c r="R67" i="2"/>
  <c r="BN39" i="2"/>
  <c r="AN35" i="2"/>
  <c r="AO59" i="2"/>
  <c r="AW73" i="2"/>
  <c r="E47" i="2"/>
  <c r="O16" i="2"/>
  <c r="BP34" i="2"/>
  <c r="O38" i="2"/>
  <c r="F26" i="6"/>
  <c r="E62" i="2"/>
  <c r="AX29" i="2"/>
  <c r="AB35" i="2"/>
  <c r="AT61" i="2"/>
  <c r="G20" i="2"/>
  <c r="BD77" i="6"/>
  <c r="AJ58" i="2"/>
  <c r="CT77" i="2"/>
  <c r="BS9" i="2"/>
  <c r="H26" i="2"/>
  <c r="BG71" i="2"/>
  <c r="M26" i="2"/>
  <c r="C80" i="2"/>
  <c r="CE51" i="2"/>
  <c r="AA44" i="2"/>
  <c r="AV7" i="2"/>
  <c r="C25" i="2"/>
  <c r="BA14" i="2"/>
  <c r="Y85" i="6"/>
  <c r="CE22" i="2"/>
  <c r="BT17" i="2"/>
  <c r="CN52" i="2"/>
  <c r="BV79" i="2"/>
  <c r="C34" i="2"/>
  <c r="CL71" i="2"/>
  <c r="BJ17" i="2"/>
  <c r="BM18" i="2"/>
  <c r="BX67" i="2"/>
  <c r="BY19" i="2"/>
  <c r="AD55" i="2"/>
  <c r="G66" i="6"/>
  <c r="P20" i="2"/>
  <c r="AW79" i="6"/>
  <c r="AC64" i="6"/>
  <c r="BQ56" i="2"/>
  <c r="CQ61" i="6"/>
  <c r="BK25" i="2"/>
  <c r="BJ74" i="2"/>
  <c r="CH63" i="2"/>
  <c r="BW99" i="6"/>
  <c r="BF37" i="2"/>
  <c r="CK37" i="2"/>
  <c r="AI5" i="2"/>
  <c r="AP88" i="6"/>
  <c r="Q16" i="2"/>
  <c r="AF44" i="6"/>
  <c r="AL59" i="2"/>
  <c r="BB58" i="2"/>
  <c r="BR44" i="6"/>
  <c r="AY84" i="2"/>
  <c r="CN52" i="6"/>
  <c r="BS33" i="2"/>
  <c r="AO24" i="2"/>
  <c r="R79" i="2"/>
  <c r="U87" i="2"/>
  <c r="AH55" i="2"/>
  <c r="K44" i="6"/>
  <c r="E17" i="2"/>
  <c r="BH39" i="2"/>
  <c r="BH89" i="2"/>
  <c r="BB96" i="2"/>
  <c r="AW92" i="6"/>
  <c r="CN16" i="2"/>
  <c r="AH7" i="2"/>
  <c r="AL43" i="2"/>
  <c r="C57" i="2"/>
  <c r="AA8" i="2"/>
  <c r="BR55" i="2"/>
  <c r="BD20" i="2"/>
  <c r="CT38" i="2"/>
  <c r="AD86" i="6"/>
  <c r="AL25" i="2"/>
  <c r="AN19" i="2"/>
  <c r="CD13" i="2"/>
  <c r="BZ50" i="2"/>
  <c r="R72" i="2"/>
  <c r="BZ35" i="2"/>
  <c r="BP59" i="2"/>
  <c r="BD73" i="2"/>
  <c r="CH96" i="2"/>
  <c r="AO27" i="2"/>
  <c r="R95" i="2"/>
  <c r="CR69" i="2"/>
  <c r="C85" i="6"/>
  <c r="AE85" i="2"/>
  <c r="O47" i="2"/>
  <c r="AF73" i="2"/>
  <c r="CO93" i="2"/>
  <c r="AD90" i="2"/>
  <c r="BT63" i="2"/>
  <c r="O64" i="2"/>
  <c r="CA56" i="2"/>
  <c r="AO68" i="6"/>
  <c r="AK97" i="2"/>
  <c r="CP5" i="2"/>
  <c r="AH73" i="2"/>
  <c r="CA75" i="2"/>
  <c r="AT20" i="2"/>
  <c r="CS70" i="2"/>
  <c r="CO69" i="2"/>
  <c r="CO35" i="2"/>
  <c r="V3" i="2"/>
  <c r="AE35" i="2"/>
  <c r="H82" i="2"/>
  <c r="AM58" i="2"/>
  <c r="C40" i="2"/>
  <c r="CH48" i="2"/>
  <c r="BK78" i="2"/>
  <c r="CM59" i="2"/>
  <c r="BV42" i="2"/>
  <c r="AZ32" i="2"/>
  <c r="BK54" i="6"/>
  <c r="BZ48" i="2"/>
  <c r="BC76" i="2"/>
  <c r="U94" i="2"/>
  <c r="AE57" i="2"/>
  <c r="CA9" i="2"/>
  <c r="CB50" i="2"/>
  <c r="BH65" i="2"/>
  <c r="BY97" i="2"/>
  <c r="CH26" i="2"/>
  <c r="AM73" i="6"/>
  <c r="G25" i="2"/>
  <c r="AU96" i="2"/>
  <c r="Y20" i="2"/>
  <c r="Y50" i="2"/>
  <c r="BD5" i="2"/>
  <c r="BG81" i="2"/>
  <c r="BX63" i="2"/>
  <c r="BJ75" i="2"/>
  <c r="BY36" i="2"/>
  <c r="AC40" i="2"/>
  <c r="N8" i="2"/>
  <c r="CE24" i="2"/>
  <c r="BE66" i="2"/>
  <c r="BV36" i="2"/>
  <c r="BH9" i="2"/>
  <c r="CD60" i="6"/>
  <c r="E84" i="2"/>
  <c r="AJ30" i="2"/>
  <c r="G82" i="2"/>
  <c r="AA42" i="2"/>
  <c r="W8" i="2"/>
  <c r="BV98" i="6"/>
  <c r="AF95" i="6"/>
  <c r="U86" i="6"/>
  <c r="CL32" i="2"/>
  <c r="L40" i="2"/>
  <c r="BM33" i="2"/>
  <c r="BC86" i="2"/>
  <c r="BN32" i="2"/>
  <c r="CT21" i="2"/>
  <c r="CG95" i="6"/>
  <c r="CT91" i="2"/>
  <c r="AQ92" i="2"/>
  <c r="CJ94" i="2"/>
  <c r="BZ40" i="2"/>
  <c r="AS62" i="6"/>
  <c r="CH94" i="2"/>
  <c r="S100" i="6"/>
  <c r="AJ53" i="2"/>
  <c r="BC27" i="2"/>
  <c r="BF95" i="2"/>
  <c r="W76" i="2"/>
  <c r="BD83" i="2"/>
  <c r="BG82" i="2"/>
  <c r="AQ21" i="2"/>
  <c r="AX81" i="6"/>
  <c r="AA59" i="2"/>
  <c r="BS61" i="2"/>
  <c r="F34" i="2"/>
  <c r="K50" i="2"/>
  <c r="BJ31" i="2"/>
  <c r="AQ79" i="2"/>
  <c r="C71" i="2"/>
  <c r="BF18" i="2"/>
  <c r="BE61" i="2"/>
  <c r="AZ75" i="6"/>
  <c r="BM76" i="2"/>
  <c r="Z44" i="2"/>
  <c r="BU61" i="2"/>
  <c r="CO57" i="2"/>
  <c r="CH50" i="2"/>
  <c r="CP25" i="2"/>
  <c r="BK45" i="2"/>
  <c r="BN71" i="2"/>
  <c r="AH48" i="2"/>
  <c r="CE90" i="6"/>
  <c r="CK19" i="2"/>
  <c r="AK67" i="2"/>
  <c r="H21" i="2"/>
  <c r="AW53" i="2"/>
  <c r="AX43" i="2"/>
  <c r="BE85" i="6"/>
  <c r="AH57" i="2"/>
  <c r="AX92" i="2"/>
  <c r="BB19" i="2"/>
  <c r="AV55" i="2"/>
  <c r="D79" i="2"/>
  <c r="BZ13" i="2"/>
  <c r="X3" i="2"/>
  <c r="W43" i="6"/>
  <c r="AC50" i="6"/>
  <c r="V73" i="2"/>
  <c r="K55" i="2"/>
  <c r="BP29" i="6"/>
  <c r="CT48" i="2"/>
  <c r="BW4" i="2"/>
  <c r="BZ81" i="2"/>
  <c r="P54" i="6"/>
  <c r="BN31" i="6"/>
  <c r="CS71" i="2"/>
  <c r="CI39" i="2"/>
  <c r="F78" i="2"/>
  <c r="CL68" i="2"/>
  <c r="AI96" i="2"/>
  <c r="H57" i="6"/>
  <c r="CO95" i="2"/>
  <c r="BX65" i="2"/>
  <c r="AB3" i="2"/>
  <c r="BY21" i="6"/>
  <c r="BB15" i="2"/>
  <c r="CA4" i="2"/>
  <c r="CF78" i="6"/>
  <c r="AT94" i="2"/>
  <c r="N75" i="2"/>
  <c r="M97" i="6"/>
  <c r="BK50" i="2"/>
  <c r="AI52" i="2"/>
  <c r="F13" i="2"/>
  <c r="CR89" i="2"/>
  <c r="AD84" i="6"/>
  <c r="AE48" i="2"/>
  <c r="CH98" i="2"/>
  <c r="AE94" i="2"/>
  <c r="BP80" i="2"/>
  <c r="T41" i="2"/>
  <c r="BL69" i="2"/>
  <c r="AZ59" i="6"/>
  <c r="CF29" i="2"/>
  <c r="CK93" i="2"/>
  <c r="BS25" i="2"/>
  <c r="CB54" i="2"/>
  <c r="AR94" i="2"/>
  <c r="N100" i="2"/>
  <c r="CR51" i="2"/>
  <c r="BI92" i="2"/>
  <c r="AC96" i="6"/>
  <c r="AO19" i="2"/>
  <c r="W60" i="2"/>
  <c r="BC76" i="6"/>
  <c r="X88" i="2"/>
  <c r="BN100" i="6"/>
  <c r="AG44" i="2"/>
  <c r="CC8" i="2"/>
  <c r="H7" i="2"/>
  <c r="BH98" i="6"/>
  <c r="O70" i="6"/>
  <c r="N34" i="2"/>
  <c r="CN71" i="6"/>
  <c r="BC64" i="2"/>
  <c r="AW75" i="2"/>
  <c r="BP84" i="6"/>
  <c r="D20" i="2"/>
  <c r="BC96" i="2"/>
  <c r="AF80" i="2"/>
  <c r="E28" i="2"/>
  <c r="Z90" i="2"/>
  <c r="F45" i="2"/>
  <c r="AG75" i="2"/>
  <c r="BF39" i="6"/>
  <c r="Q4" i="2"/>
  <c r="CQ17" i="2"/>
  <c r="CM64" i="6"/>
  <c r="CD81" i="6"/>
  <c r="BP6" i="2"/>
  <c r="D2" i="2"/>
  <c r="AH43" i="2"/>
  <c r="CF27" i="2"/>
  <c r="CQ35" i="2"/>
  <c r="CR12" i="2"/>
  <c r="AP34" i="6"/>
  <c r="CB74" i="6"/>
  <c r="AJ49" i="6"/>
  <c r="AB72" i="2"/>
  <c r="X14" i="2"/>
  <c r="H78" i="2"/>
  <c r="U39" i="2"/>
  <c r="BV30" i="2"/>
  <c r="BY7" i="2"/>
  <c r="J41" i="6"/>
  <c r="AS97" i="2"/>
  <c r="Y60" i="2"/>
  <c r="BE94" i="2"/>
  <c r="BX43" i="6"/>
  <c r="D93" i="2"/>
  <c r="BO76" i="6"/>
  <c r="AR41" i="2"/>
  <c r="CG60" i="2"/>
  <c r="AU85" i="2"/>
  <c r="BW59" i="2"/>
  <c r="AM68" i="2"/>
  <c r="CB96" i="2"/>
  <c r="AB63" i="6"/>
  <c r="AD27" i="2"/>
  <c r="V6" i="2"/>
  <c r="CD83" i="6"/>
  <c r="BD35" i="2"/>
  <c r="CA69" i="2"/>
  <c r="E97" i="6"/>
  <c r="AN82" i="2"/>
  <c r="AH33" i="2"/>
  <c r="U96" i="6"/>
  <c r="AJ9" i="2"/>
  <c r="BY12" i="2"/>
  <c r="BF50" i="2"/>
  <c r="CH81" i="2"/>
  <c r="R100" i="2"/>
  <c r="AM67" i="6"/>
  <c r="D40" i="2"/>
  <c r="CF12" i="2"/>
  <c r="CF32" i="2"/>
  <c r="BB49" i="6"/>
  <c r="BO63" i="2"/>
  <c r="BS24" i="2"/>
  <c r="K99" i="6"/>
  <c r="CA81" i="2"/>
  <c r="CR52" i="2"/>
  <c r="BB66" i="2"/>
  <c r="N93" i="6"/>
  <c r="CP87" i="6"/>
  <c r="BX16" i="2"/>
  <c r="CH64" i="2"/>
  <c r="BC87" i="2"/>
  <c r="CO62" i="2"/>
  <c r="BP66" i="6"/>
  <c r="AQ54" i="6"/>
  <c r="AP98" i="2"/>
  <c r="BF93" i="2"/>
  <c r="X77" i="2"/>
  <c r="AP97" i="2"/>
  <c r="AI79" i="6"/>
  <c r="L99" i="2"/>
  <c r="H94" i="2"/>
  <c r="AC88" i="2"/>
  <c r="AG62" i="2"/>
  <c r="AU73" i="2"/>
  <c r="AQ90" i="2"/>
  <c r="BU99" i="6"/>
  <c r="K7" i="2"/>
  <c r="BO65" i="2"/>
  <c r="BZ60" i="2"/>
  <c r="BQ83" i="2"/>
  <c r="CI90" i="2"/>
  <c r="CD79" i="2"/>
  <c r="CO70" i="2"/>
  <c r="AJ95" i="2"/>
  <c r="F91" i="2"/>
  <c r="AI65" i="2"/>
  <c r="CO80" i="2"/>
  <c r="N56" i="2"/>
  <c r="X52" i="2"/>
  <c r="P75" i="2"/>
  <c r="CA89" i="2"/>
  <c r="BM64" i="6"/>
  <c r="AR73" i="2"/>
  <c r="AA51" i="2"/>
  <c r="BC9" i="2"/>
  <c r="L59" i="2"/>
  <c r="CP76" i="2"/>
  <c r="AC91" i="2"/>
  <c r="BK16" i="2"/>
  <c r="M11" i="2"/>
  <c r="BS65" i="2"/>
  <c r="BD81" i="2"/>
  <c r="L18" i="2"/>
  <c r="BN20" i="2"/>
  <c r="CB79" i="2"/>
  <c r="BA93" i="2"/>
  <c r="CN55" i="2"/>
  <c r="C14" i="6"/>
  <c r="L85" i="2"/>
  <c r="Z60" i="2"/>
  <c r="AO72" i="2"/>
  <c r="BR11" i="2"/>
  <c r="CJ88" i="2"/>
  <c r="BD26" i="2"/>
  <c r="BQ33" i="2"/>
  <c r="AM52" i="6"/>
  <c r="BF7" i="2"/>
  <c r="CE25" i="6"/>
  <c r="C33" i="6"/>
  <c r="C17" i="6"/>
  <c r="BN64" i="2"/>
  <c r="CB2" i="2"/>
  <c r="AF50" i="2"/>
  <c r="AL37" i="2"/>
  <c r="AL44" i="2"/>
  <c r="BY32" i="2"/>
  <c r="AG84" i="2"/>
  <c r="CE97" i="2"/>
  <c r="H25" i="2"/>
  <c r="AA94" i="2"/>
  <c r="AK71" i="6"/>
  <c r="CO25" i="2"/>
  <c r="AN22" i="6"/>
  <c r="BE75" i="2"/>
  <c r="K51" i="6"/>
  <c r="BY98" i="2"/>
  <c r="AP69" i="2"/>
  <c r="V82" i="2"/>
  <c r="BH27" i="6"/>
  <c r="AY8" i="2"/>
  <c r="BA44" i="2"/>
  <c r="CT61" i="2"/>
  <c r="AX95" i="2"/>
  <c r="BM82" i="2"/>
  <c r="BO14" i="2"/>
  <c r="O5" i="2"/>
  <c r="BU28" i="2"/>
  <c r="BZ47" i="2"/>
  <c r="N52" i="2"/>
  <c r="CO91" i="2"/>
  <c r="CD94" i="6"/>
  <c r="L67" i="2"/>
  <c r="BH91" i="2"/>
  <c r="CT10" i="2"/>
  <c r="T24" i="2"/>
  <c r="C9" i="2"/>
  <c r="AE82" i="2"/>
  <c r="AH36" i="2"/>
  <c r="BP27" i="2"/>
  <c r="CI6" i="2"/>
  <c r="BG57" i="2"/>
  <c r="BQ81" i="2"/>
  <c r="AH92" i="2"/>
  <c r="W39" i="2"/>
  <c r="CO82" i="2"/>
  <c r="P58" i="2"/>
  <c r="X33" i="6"/>
  <c r="BS67" i="6"/>
  <c r="CQ56" i="2"/>
  <c r="BA90" i="2"/>
  <c r="C26" i="6"/>
  <c r="AG23" i="2"/>
  <c r="AQ72" i="6"/>
  <c r="BW81" i="2"/>
  <c r="BV24" i="2"/>
  <c r="BJ11" i="2"/>
  <c r="BH38" i="2"/>
  <c r="AQ69" i="6"/>
  <c r="CL57" i="2"/>
  <c r="D68" i="6"/>
  <c r="BZ93" i="2"/>
  <c r="CG7" i="2"/>
  <c r="AJ8" i="2"/>
  <c r="CG73" i="2"/>
  <c r="CC12" i="2"/>
  <c r="C68" i="2"/>
  <c r="AP36" i="6"/>
  <c r="BK100" i="2"/>
  <c r="J50" i="2"/>
  <c r="AD52" i="6"/>
  <c r="AI27" i="2"/>
  <c r="BW26" i="2"/>
  <c r="AR33" i="2"/>
  <c r="CI75" i="2"/>
  <c r="I17" i="2"/>
  <c r="G76" i="6"/>
  <c r="CA76" i="6"/>
  <c r="CM55" i="6"/>
  <c r="AY2" i="6"/>
  <c r="AV60" i="2"/>
  <c r="BZ100" i="2"/>
  <c r="BQ84" i="6"/>
  <c r="BN91" i="2"/>
  <c r="AQ59" i="2"/>
  <c r="CN33" i="2"/>
  <c r="O45" i="2"/>
  <c r="G79" i="2"/>
  <c r="CG32" i="2"/>
  <c r="CP80" i="2"/>
  <c r="BV62" i="2"/>
  <c r="AD3" i="2"/>
  <c r="CC39" i="2"/>
  <c r="AD2" i="2"/>
  <c r="BA58" i="2"/>
  <c r="AP55" i="2"/>
  <c r="AF66" i="2"/>
  <c r="AZ100" i="2"/>
  <c r="AS67" i="2"/>
  <c r="BI78" i="6"/>
  <c r="BV48" i="2"/>
  <c r="AH66" i="2"/>
  <c r="W72" i="2"/>
  <c r="AR98" i="6"/>
  <c r="BS32" i="6"/>
  <c r="AW55" i="2"/>
  <c r="AP74" i="2"/>
  <c r="AQ74" i="2"/>
  <c r="CK100" i="2"/>
  <c r="AB37" i="2"/>
  <c r="AR35" i="2"/>
  <c r="CI42" i="2"/>
  <c r="BH2" i="2"/>
  <c r="AP50" i="2"/>
  <c r="AM51" i="2"/>
  <c r="AW58" i="2"/>
  <c r="CD96" i="2"/>
  <c r="CM81" i="2"/>
  <c r="CA44" i="2"/>
  <c r="AO98" i="2"/>
  <c r="CC83" i="2"/>
  <c r="BH92" i="2"/>
  <c r="CE27" i="6"/>
  <c r="E31" i="2"/>
  <c r="AI86" i="6"/>
  <c r="P29" i="2"/>
  <c r="AG85" i="6"/>
  <c r="CE74" i="6"/>
  <c r="BI90" i="6"/>
  <c r="U47" i="2"/>
  <c r="AA100" i="2"/>
  <c r="T43" i="2"/>
  <c r="AU58" i="2"/>
  <c r="AL72" i="2"/>
  <c r="AL31" i="2"/>
  <c r="CF54" i="6"/>
  <c r="BJ29" i="6"/>
  <c r="BG29" i="2"/>
  <c r="CO4" i="2"/>
  <c r="CS48" i="2"/>
  <c r="C67" i="2"/>
  <c r="X4" i="2"/>
  <c r="BM50" i="2"/>
  <c r="M81" i="2"/>
  <c r="AT45" i="6"/>
  <c r="L66" i="6"/>
  <c r="BH41" i="2"/>
  <c r="BT36" i="6"/>
  <c r="AC70" i="2"/>
  <c r="CB32" i="2"/>
  <c r="BO97" i="2"/>
  <c r="BM98" i="2"/>
  <c r="D61" i="2"/>
  <c r="L21" i="2"/>
  <c r="BR9" i="2"/>
  <c r="CB87" i="2"/>
  <c r="AE5" i="2"/>
  <c r="Q52" i="2"/>
  <c r="U51" i="2"/>
  <c r="BZ22" i="2"/>
  <c r="D22" i="2"/>
  <c r="CJ72" i="2"/>
  <c r="AH48" i="6"/>
  <c r="N24" i="2"/>
  <c r="AP20" i="2"/>
  <c r="CI8" i="2"/>
  <c r="BX63" i="6"/>
  <c r="AL5" i="2"/>
  <c r="X98" i="6"/>
  <c r="L56" i="2"/>
  <c r="AD16" i="2"/>
  <c r="Q47" i="2"/>
  <c r="BR37" i="2"/>
  <c r="CN6" i="2"/>
  <c r="CL16" i="2"/>
  <c r="BY73" i="2"/>
  <c r="BN60" i="2"/>
  <c r="CN63" i="2"/>
  <c r="J39" i="2"/>
  <c r="BQ32" i="2"/>
  <c r="BM66" i="2"/>
  <c r="AU98" i="6"/>
  <c r="AM66" i="2"/>
  <c r="CF80" i="6"/>
  <c r="AR83" i="2"/>
  <c r="AR93" i="6"/>
  <c r="Z57" i="2"/>
  <c r="BD59" i="2"/>
  <c r="K48" i="2"/>
  <c r="BH44" i="2"/>
  <c r="BU29" i="2"/>
  <c r="BX45" i="2"/>
  <c r="BJ93" i="2"/>
  <c r="L41" i="2"/>
  <c r="CT34" i="2"/>
  <c r="BN75" i="6"/>
  <c r="CP91" i="6"/>
  <c r="AP29" i="2"/>
  <c r="CK92" i="6"/>
  <c r="AA80" i="6"/>
  <c r="BF91" i="2"/>
  <c r="BY45" i="2"/>
  <c r="D51" i="2"/>
  <c r="P81" i="6"/>
  <c r="BH20" i="2"/>
  <c r="BT39" i="2"/>
  <c r="T85" i="6"/>
  <c r="CD84" i="6"/>
  <c r="BD64" i="2"/>
  <c r="BG74" i="2"/>
  <c r="AT67" i="2"/>
  <c r="BR85" i="6"/>
  <c r="C32" i="6"/>
  <c r="BE11" i="2"/>
  <c r="CF89" i="2"/>
  <c r="I68" i="2"/>
  <c r="AO90" i="6"/>
  <c r="AY38" i="2"/>
  <c r="BJ88" i="2"/>
  <c r="AE44" i="2"/>
  <c r="BC30" i="2"/>
  <c r="BC30" i="6"/>
  <c r="L35" i="2"/>
  <c r="BN44" i="2"/>
  <c r="CK89" i="2"/>
  <c r="AF81" i="6"/>
  <c r="N54" i="6"/>
  <c r="BB55" i="2"/>
  <c r="M55" i="2"/>
  <c r="U63" i="2"/>
  <c r="N23" i="2"/>
  <c r="BZ73" i="6"/>
  <c r="CT57" i="2"/>
  <c r="BR69" i="2"/>
  <c r="AX88" i="6"/>
  <c r="BA67" i="6"/>
  <c r="BK49" i="2"/>
  <c r="CM78" i="2"/>
  <c r="AL90" i="2"/>
  <c r="CF19" i="2"/>
  <c r="AW98" i="6"/>
  <c r="AD79" i="2"/>
  <c r="AF70" i="2"/>
  <c r="AW64" i="2"/>
  <c r="D92" i="2"/>
  <c r="X50" i="2"/>
  <c r="CR66" i="2"/>
  <c r="I23" i="2"/>
  <c r="E85" i="2"/>
  <c r="AK94" i="6"/>
  <c r="CQ32" i="2"/>
  <c r="AT36" i="2"/>
  <c r="AU22" i="2"/>
  <c r="AD39" i="2"/>
  <c r="BO44" i="2"/>
  <c r="AR91" i="2"/>
  <c r="X40" i="2"/>
  <c r="BI36" i="2"/>
  <c r="AA86" i="6"/>
  <c r="BA63" i="2"/>
  <c r="W29" i="2"/>
  <c r="AK65" i="2"/>
  <c r="BL46" i="2"/>
  <c r="BD97" i="2"/>
  <c r="BH16" i="2"/>
  <c r="BC20" i="2"/>
  <c r="CF14" i="6"/>
  <c r="R33" i="2"/>
  <c r="M63" i="2"/>
  <c r="E48" i="2"/>
  <c r="BO68" i="6"/>
  <c r="BL5" i="2"/>
  <c r="BH17" i="2"/>
  <c r="T79" i="2"/>
  <c r="CQ44" i="6"/>
  <c r="AR84" i="2"/>
  <c r="CB20" i="2"/>
  <c r="AV63" i="2"/>
  <c r="BO73" i="6"/>
  <c r="BN80" i="2"/>
  <c r="L33" i="2"/>
  <c r="BI71" i="6"/>
  <c r="AF78" i="2"/>
  <c r="BK14" i="6"/>
  <c r="S60" i="2"/>
  <c r="AA42" i="6"/>
  <c r="BB30" i="2"/>
  <c r="AK43" i="6"/>
  <c r="BL81" i="6"/>
  <c r="BA71" i="2"/>
  <c r="Y41" i="2"/>
  <c r="AL95" i="2"/>
  <c r="AQ15" i="2"/>
  <c r="AH71" i="2"/>
  <c r="CM31" i="2"/>
  <c r="AI30" i="2"/>
  <c r="AU14" i="2"/>
  <c r="Z32" i="2"/>
  <c r="AN76" i="2"/>
  <c r="AR80" i="6"/>
  <c r="AA95" i="2"/>
  <c r="R43" i="2"/>
  <c r="BM95" i="6"/>
  <c r="BO13" i="2"/>
  <c r="AJ18" i="6"/>
  <c r="O55" i="2"/>
  <c r="BN25" i="2"/>
  <c r="G24" i="2"/>
  <c r="BN74" i="2"/>
  <c r="J30" i="2"/>
  <c r="AF75" i="6"/>
  <c r="AF86" i="2"/>
  <c r="N87" i="2"/>
  <c r="Z94" i="2"/>
  <c r="CE15" i="2"/>
  <c r="AX46" i="2"/>
  <c r="AW80" i="6"/>
  <c r="BZ69" i="2"/>
  <c r="CK32" i="2"/>
  <c r="AJ33" i="2"/>
  <c r="L16" i="2"/>
  <c r="BB35" i="2"/>
  <c r="AO43" i="2"/>
  <c r="CO72" i="6"/>
  <c r="BJ25" i="2"/>
  <c r="AF84" i="6"/>
  <c r="AT65" i="6"/>
  <c r="AO99" i="6"/>
  <c r="CL47" i="6"/>
  <c r="AI31" i="2"/>
  <c r="M100" i="2"/>
  <c r="AI76" i="6"/>
  <c r="CN56" i="6"/>
  <c r="K53" i="6"/>
  <c r="CO70" i="6"/>
  <c r="AM86" i="6"/>
  <c r="C41" i="6"/>
  <c r="CA74" i="2"/>
  <c r="AM19" i="2"/>
  <c r="T65" i="2"/>
  <c r="BO48" i="2"/>
  <c r="J31" i="2"/>
  <c r="T18" i="2"/>
  <c r="CT35" i="2"/>
  <c r="Z51" i="2"/>
  <c r="BZ85" i="6"/>
  <c r="AV36" i="2"/>
  <c r="CJ34" i="2"/>
  <c r="BG11" i="2"/>
  <c r="BJ22" i="2"/>
  <c r="AO71" i="2"/>
  <c r="E93" i="2"/>
  <c r="W66" i="6"/>
  <c r="K43" i="2"/>
  <c r="CD92" i="2"/>
  <c r="BM63" i="2"/>
  <c r="BR63" i="6"/>
  <c r="Z38" i="2"/>
  <c r="BC39" i="2"/>
  <c r="BD60" i="2"/>
  <c r="BJ39" i="2"/>
  <c r="BZ95" i="2"/>
  <c r="BP100" i="2"/>
  <c r="BS35" i="2"/>
  <c r="L83" i="2"/>
  <c r="AH65" i="2"/>
  <c r="CF67" i="2"/>
  <c r="AW100" i="6"/>
  <c r="AV100" i="6"/>
  <c r="BC35" i="2"/>
  <c r="AD45" i="6"/>
  <c r="BL36" i="6"/>
  <c r="BC49" i="2"/>
  <c r="E39" i="2"/>
  <c r="BG35" i="6"/>
  <c r="CB23" i="2"/>
  <c r="K22" i="2"/>
  <c r="BQ63" i="2"/>
  <c r="AX27" i="2"/>
  <c r="AG88" i="2"/>
  <c r="BH92" i="6"/>
  <c r="AF76" i="2"/>
  <c r="F65" i="6"/>
  <c r="AV34" i="2"/>
  <c r="M6" i="2"/>
  <c r="CH12" i="2"/>
  <c r="BF100" i="2"/>
  <c r="H70" i="6"/>
  <c r="AN72" i="2"/>
  <c r="C22" i="6"/>
  <c r="AJ29" i="2"/>
  <c r="CP82" i="6"/>
  <c r="N88" i="2"/>
  <c r="BJ96" i="6"/>
  <c r="Q45" i="6"/>
  <c r="BA91" i="6"/>
  <c r="AU40" i="6"/>
  <c r="D70" i="2"/>
  <c r="C91" i="6"/>
  <c r="BK26" i="2"/>
  <c r="CA82" i="2"/>
  <c r="BH83" i="6"/>
  <c r="BE89" i="2"/>
  <c r="AE2" i="2"/>
  <c r="Z45" i="6"/>
  <c r="L58" i="2"/>
  <c r="AQ37" i="2"/>
  <c r="AX23" i="2"/>
  <c r="P74" i="6"/>
  <c r="BR86" i="2"/>
  <c r="I40" i="2"/>
  <c r="P89" i="6"/>
  <c r="BB40" i="2"/>
  <c r="AY60" i="6"/>
  <c r="BL89" i="2"/>
  <c r="AE11" i="2"/>
  <c r="CE3" i="2"/>
  <c r="CK26" i="2"/>
  <c r="BI13" i="2"/>
  <c r="BF89" i="6"/>
  <c r="AP22" i="2"/>
  <c r="BY100" i="2"/>
  <c r="BJ55" i="2"/>
  <c r="CF63" i="6"/>
  <c r="CJ87" i="2"/>
  <c r="AD56" i="6"/>
  <c r="BW13" i="2"/>
  <c r="Q99" i="2"/>
  <c r="BM26" i="2"/>
  <c r="CS45" i="2"/>
  <c r="BM24" i="2"/>
  <c r="BC24" i="2"/>
  <c r="BV65" i="2"/>
  <c r="CK96" i="6"/>
  <c r="AF74" i="2"/>
  <c r="AB83" i="2"/>
  <c r="CR6" i="2"/>
  <c r="BX2" i="2"/>
  <c r="BL59" i="2"/>
  <c r="AC30" i="2"/>
  <c r="AP65" i="2"/>
  <c r="CB84" i="6"/>
  <c r="BZ33" i="2"/>
  <c r="J56" i="2"/>
  <c r="AL52" i="6"/>
  <c r="CR77" i="2"/>
  <c r="BT62" i="2"/>
  <c r="AZ87" i="6"/>
  <c r="BX36" i="2"/>
  <c r="AN16" i="2"/>
  <c r="AZ53" i="6"/>
  <c r="AU7" i="2"/>
  <c r="CQ40" i="6"/>
  <c r="AM97" i="2"/>
  <c r="H99" i="6"/>
  <c r="M23" i="2"/>
  <c r="BT92" i="2"/>
  <c r="T12" i="2"/>
  <c r="L98" i="6"/>
  <c r="BN13" i="2"/>
  <c r="C74" i="6"/>
  <c r="C46" i="2"/>
  <c r="CJ53" i="2"/>
  <c r="K53" i="2"/>
  <c r="CD99" i="2"/>
  <c r="CB90" i="2"/>
  <c r="BW64" i="6"/>
  <c r="AN23" i="2"/>
  <c r="X79" i="6"/>
  <c r="CQ66" i="6"/>
  <c r="S79" i="2"/>
  <c r="U9" i="2"/>
  <c r="BA98" i="2"/>
  <c r="T96" i="2"/>
  <c r="M57" i="2"/>
  <c r="AU35" i="2"/>
  <c r="BL72" i="2"/>
  <c r="BA52" i="2"/>
  <c r="W4" i="2"/>
  <c r="BU98" i="2"/>
  <c r="M50" i="2"/>
  <c r="CR46" i="2"/>
  <c r="BA53" i="2"/>
  <c r="R34" i="2"/>
  <c r="BR26" i="2"/>
  <c r="AQ91" i="2"/>
  <c r="F66" i="2"/>
  <c r="CE72" i="6"/>
  <c r="AT83" i="2"/>
  <c r="AB77" i="2"/>
  <c r="J49" i="2"/>
  <c r="AN80" i="2"/>
  <c r="CH80" i="2"/>
  <c r="BM55" i="2"/>
  <c r="CR75" i="2"/>
  <c r="BK18" i="2"/>
  <c r="BW8" i="2"/>
  <c r="AX79" i="2"/>
  <c r="V22" i="2"/>
  <c r="BC19" i="2"/>
  <c r="M17" i="2"/>
  <c r="E42" i="2"/>
  <c r="H72" i="2"/>
  <c r="AP66" i="2"/>
  <c r="CS86" i="2"/>
  <c r="P82" i="6"/>
  <c r="Z83" i="2"/>
  <c r="K84" i="2"/>
  <c r="K23" i="2"/>
  <c r="AL35" i="2"/>
  <c r="AO60" i="2"/>
  <c r="AA69" i="6"/>
  <c r="AN89" i="2"/>
  <c r="AP95" i="2"/>
  <c r="K95" i="2"/>
  <c r="BH95" i="6"/>
  <c r="AI81" i="6"/>
  <c r="Q64" i="6"/>
  <c r="D41" i="2"/>
  <c r="R52" i="2"/>
  <c r="BZ6" i="2"/>
  <c r="AI24" i="2"/>
  <c r="BE86" i="6"/>
  <c r="X81" i="6"/>
  <c r="AK75" i="2"/>
  <c r="AQ4" i="2"/>
  <c r="U44" i="2"/>
  <c r="AY82" i="2"/>
  <c r="BE97" i="2"/>
  <c r="AT72" i="2"/>
  <c r="AK62" i="6"/>
  <c r="E58" i="2"/>
  <c r="AN40" i="2"/>
  <c r="BU78" i="2"/>
  <c r="BP35" i="2"/>
  <c r="BO42" i="2"/>
  <c r="BS56" i="6"/>
  <c r="BJ72" i="6"/>
  <c r="CL75" i="6"/>
  <c r="AW59" i="6"/>
  <c r="AA70" i="2"/>
  <c r="AN37" i="2"/>
  <c r="CE82" i="2"/>
  <c r="BE49" i="2"/>
  <c r="N91" i="2"/>
  <c r="V55" i="2"/>
  <c r="CL3" i="2"/>
  <c r="CN20" i="2"/>
  <c r="AZ69" i="2"/>
  <c r="U96" i="2"/>
  <c r="T97" i="2"/>
  <c r="BX41" i="2"/>
  <c r="CG56" i="2"/>
  <c r="CQ70" i="2"/>
  <c r="AT11" i="2"/>
  <c r="K100" i="2"/>
  <c r="CI81" i="2"/>
  <c r="W80" i="2"/>
  <c r="BU100" i="6"/>
  <c r="CH69" i="2"/>
  <c r="BK80" i="2"/>
  <c r="CO83" i="2"/>
  <c r="AU72" i="6"/>
  <c r="AA87" i="2"/>
  <c r="AA72" i="2"/>
  <c r="CA66" i="2"/>
  <c r="H28" i="2"/>
  <c r="AO47" i="2"/>
  <c r="AR60" i="2"/>
  <c r="CA84" i="2"/>
  <c r="CR91" i="2"/>
  <c r="BQ97" i="2"/>
  <c r="BA88" i="2"/>
  <c r="AU68" i="2"/>
  <c r="AL83" i="2"/>
  <c r="BL43" i="2"/>
  <c r="AR84" i="6"/>
  <c r="N46" i="2"/>
  <c r="C44" i="6"/>
  <c r="K96" i="6"/>
  <c r="BQ65" i="2"/>
  <c r="AW42" i="2"/>
  <c r="CP13" i="2"/>
  <c r="CF68" i="6"/>
  <c r="L87" i="6"/>
  <c r="X16" i="2"/>
  <c r="AF48" i="2"/>
  <c r="CQ98" i="6"/>
  <c r="AU12" i="2"/>
  <c r="M70" i="2"/>
  <c r="L90" i="2"/>
  <c r="BQ46" i="2"/>
  <c r="S39" i="2"/>
  <c r="AW78" i="6"/>
  <c r="AB39" i="6"/>
  <c r="BX91" i="6"/>
  <c r="CN2" i="2"/>
  <c r="K36" i="2"/>
  <c r="T91" i="2"/>
  <c r="AJ56" i="2"/>
  <c r="CA63" i="2"/>
  <c r="E40" i="2"/>
  <c r="BS76" i="2"/>
  <c r="BA11" i="2"/>
  <c r="AG53" i="2"/>
  <c r="AL70" i="6"/>
  <c r="CB14" i="2"/>
  <c r="BP85" i="6"/>
  <c r="CR96" i="6"/>
  <c r="BG63" i="6"/>
  <c r="CC86" i="2"/>
  <c r="BM14" i="2"/>
  <c r="L47" i="6"/>
  <c r="T60" i="2"/>
  <c r="BV35" i="2"/>
  <c r="Z39" i="2"/>
  <c r="AN79" i="2"/>
  <c r="X26" i="2"/>
  <c r="CL35" i="2"/>
  <c r="G5" i="2"/>
  <c r="BM88" i="2"/>
  <c r="BD23" i="2"/>
  <c r="CL46" i="2"/>
  <c r="AP70" i="2"/>
  <c r="C62" i="2"/>
  <c r="BG22" i="2"/>
  <c r="AG60" i="2"/>
  <c r="BY41" i="2"/>
  <c r="S31" i="2"/>
  <c r="AD96" i="2"/>
  <c r="F61" i="6"/>
  <c r="E27" i="2"/>
  <c r="AO75" i="2"/>
  <c r="M53" i="2"/>
  <c r="CS47" i="2"/>
  <c r="Y72" i="6"/>
  <c r="AB93" i="2"/>
  <c r="CP28" i="2"/>
  <c r="AL100" i="2"/>
  <c r="BW82" i="2"/>
  <c r="AG73" i="2"/>
  <c r="CR15" i="2"/>
  <c r="CT66" i="2"/>
  <c r="BA56" i="2"/>
  <c r="O52" i="2"/>
  <c r="CQ37" i="2"/>
  <c r="L4" i="2"/>
  <c r="R70" i="2"/>
  <c r="BE41" i="2"/>
  <c r="AW6" i="2"/>
  <c r="U81" i="6"/>
  <c r="CN79" i="2"/>
  <c r="AK89" i="2"/>
  <c r="R65" i="2"/>
  <c r="CN42" i="2"/>
  <c r="CK82" i="2"/>
  <c r="AZ93" i="6"/>
  <c r="CJ100" i="6"/>
  <c r="BN84" i="2"/>
  <c r="CH97" i="2"/>
  <c r="AA22" i="2"/>
  <c r="AB90" i="2"/>
  <c r="AL58" i="2"/>
  <c r="AC10" i="2"/>
  <c r="I24" i="2"/>
  <c r="AT96" i="6"/>
  <c r="BE27" i="2"/>
  <c r="N51" i="6"/>
  <c r="L86" i="2"/>
  <c r="M7" i="2"/>
  <c r="BN81" i="2"/>
  <c r="U14" i="2"/>
  <c r="M64" i="2"/>
  <c r="L43" i="2"/>
  <c r="AJ66" i="2"/>
  <c r="AZ84" i="6"/>
  <c r="H29" i="2"/>
  <c r="CP32" i="2"/>
  <c r="E68" i="2"/>
  <c r="AG71" i="6"/>
  <c r="BB78" i="2"/>
  <c r="S54" i="2"/>
  <c r="R66" i="2"/>
  <c r="CG48" i="2"/>
  <c r="BI35" i="2"/>
  <c r="BC71" i="2"/>
  <c r="BR56" i="2"/>
  <c r="AK66" i="2"/>
  <c r="CD71" i="6"/>
  <c r="P46" i="2"/>
  <c r="CG89" i="6"/>
  <c r="AM26" i="2"/>
  <c r="AW11" i="2"/>
  <c r="CT59" i="2"/>
  <c r="BK11" i="2"/>
  <c r="BG26" i="2"/>
  <c r="BR36" i="2"/>
  <c r="BG49" i="6"/>
  <c r="W70" i="2"/>
  <c r="L63" i="2"/>
  <c r="BF42" i="2"/>
  <c r="AZ2" i="2"/>
  <c r="BW75" i="6"/>
  <c r="CQ23" i="2"/>
  <c r="BV81" i="2"/>
  <c r="Q70" i="2"/>
  <c r="CG92" i="2"/>
  <c r="T13" i="2"/>
  <c r="BW95" i="6"/>
  <c r="BH36" i="2"/>
  <c r="CL80" i="6"/>
  <c r="X95" i="2"/>
  <c r="CP93" i="6"/>
  <c r="CK95" i="2"/>
  <c r="BN83" i="2"/>
  <c r="AV43" i="2"/>
  <c r="CJ69" i="6"/>
  <c r="BU72" i="2"/>
  <c r="CF36" i="2"/>
  <c r="AZ93" i="2"/>
  <c r="W21" i="2"/>
  <c r="CS99" i="2"/>
  <c r="X68" i="2"/>
  <c r="CP75" i="2"/>
  <c r="BV72" i="2"/>
  <c r="AV86" i="6"/>
  <c r="AT56" i="2"/>
  <c r="CF7" i="2"/>
  <c r="CS20" i="2"/>
  <c r="BK86" i="2"/>
  <c r="CJ25" i="2"/>
  <c r="AI95" i="2"/>
  <c r="Q75" i="2"/>
  <c r="CM89" i="2"/>
  <c r="AQ64" i="6"/>
  <c r="BM89" i="2"/>
  <c r="CS87" i="2"/>
  <c r="CK18" i="2"/>
  <c r="BW60" i="2"/>
  <c r="AQ48" i="6"/>
  <c r="CE63" i="2"/>
  <c r="BE73" i="2"/>
  <c r="BN88" i="2"/>
  <c r="AP56" i="2"/>
  <c r="AO67" i="2"/>
  <c r="AX63" i="2"/>
  <c r="N56" i="6"/>
  <c r="CB61" i="2"/>
  <c r="AV81" i="2"/>
  <c r="P97" i="2"/>
  <c r="BS77" i="2"/>
  <c r="BK61" i="2"/>
  <c r="AR86" i="2"/>
  <c r="BM85" i="6"/>
  <c r="C51" i="2"/>
  <c r="AM79" i="6"/>
  <c r="AF41" i="6"/>
  <c r="CH39" i="2"/>
  <c r="AG80" i="6"/>
  <c r="AH30" i="2"/>
  <c r="CR100" i="6"/>
  <c r="V63" i="2"/>
  <c r="CN60" i="2"/>
  <c r="AR85" i="2"/>
  <c r="AH72" i="2"/>
  <c r="BD70" i="2"/>
  <c r="BU50" i="2"/>
  <c r="AL75" i="2"/>
  <c r="Y54" i="2"/>
  <c r="BE4" i="2"/>
  <c r="Z91" i="2"/>
  <c r="AW71" i="6"/>
  <c r="R9" i="2"/>
  <c r="E70" i="2"/>
  <c r="U50" i="2"/>
  <c r="AD61" i="6"/>
  <c r="BF43" i="2"/>
  <c r="K49" i="2"/>
  <c r="BH52" i="2"/>
  <c r="AW41" i="2"/>
  <c r="C54" i="2"/>
  <c r="AC12" i="2"/>
  <c r="AR48" i="2"/>
  <c r="AD70" i="2"/>
  <c r="BV70" i="2"/>
  <c r="M34" i="2"/>
  <c r="AA28" i="2"/>
  <c r="BV17" i="2"/>
  <c r="BT33" i="2"/>
  <c r="Q49" i="2"/>
  <c r="BE34" i="2"/>
  <c r="AW28" i="2"/>
  <c r="CP52" i="2"/>
  <c r="CA60" i="6"/>
  <c r="CC71" i="2"/>
  <c r="BR22" i="2"/>
  <c r="CR54" i="2"/>
  <c r="CP99" i="2"/>
  <c r="AV75" i="2"/>
  <c r="AL17" i="2"/>
  <c r="CM51" i="2"/>
  <c r="H18" i="2"/>
  <c r="CR87" i="2"/>
  <c r="BB77" i="2"/>
  <c r="BM8" i="2"/>
  <c r="AI50" i="2"/>
  <c r="AE44" i="6"/>
  <c r="AB40" i="2"/>
  <c r="BU100" i="2"/>
  <c r="CO97" i="2"/>
  <c r="J70" i="2"/>
  <c r="CI32" i="2"/>
  <c r="BU12" i="2"/>
  <c r="C70" i="2"/>
  <c r="AX18" i="2"/>
  <c r="I19" i="2"/>
  <c r="BZ54" i="2"/>
  <c r="BE92" i="2"/>
  <c r="J66" i="6"/>
  <c r="CR25" i="2"/>
  <c r="AI60" i="2"/>
  <c r="BC21" i="2"/>
  <c r="L71" i="2"/>
  <c r="AB69" i="6"/>
  <c r="AP99" i="2"/>
  <c r="AD51" i="2"/>
  <c r="AH91" i="6"/>
  <c r="D77" i="2"/>
  <c r="CB9" i="2"/>
  <c r="Z52" i="2"/>
  <c r="G77" i="6"/>
  <c r="CL13" i="2"/>
  <c r="W87" i="2"/>
  <c r="BL47" i="2"/>
  <c r="BH81" i="2"/>
  <c r="CO88" i="2"/>
  <c r="BO70" i="2"/>
  <c r="L89" i="6"/>
  <c r="AM43" i="2"/>
  <c r="CD73" i="2"/>
  <c r="V64" i="2"/>
  <c r="W42" i="2"/>
  <c r="BP83" i="6"/>
  <c r="AA98" i="2"/>
  <c r="AK14" i="2"/>
  <c r="AM94" i="2"/>
  <c r="CJ59" i="6"/>
  <c r="BR91" i="2"/>
  <c r="P50" i="2"/>
  <c r="M41" i="2"/>
  <c r="AA96" i="2"/>
  <c r="BH87" i="2"/>
  <c r="O78" i="2"/>
  <c r="AL40" i="2"/>
  <c r="BR65" i="2"/>
  <c r="AT45" i="2"/>
  <c r="AM62" i="2"/>
  <c r="CO79" i="2"/>
  <c r="AD100" i="2"/>
  <c r="L79" i="6"/>
  <c r="BM34" i="2"/>
  <c r="BR73" i="2"/>
  <c r="C55" i="2"/>
  <c r="AY67" i="2"/>
  <c r="CM98" i="2"/>
  <c r="AI8" i="2"/>
  <c r="O53" i="2"/>
  <c r="CO47" i="2"/>
  <c r="CD77" i="2"/>
  <c r="BY79" i="2"/>
  <c r="G31" i="2"/>
  <c r="Y59" i="2"/>
  <c r="G70" i="6"/>
  <c r="CQ52" i="2"/>
  <c r="F70" i="2"/>
  <c r="T81" i="6"/>
  <c r="CD9" i="2"/>
  <c r="AT69" i="2"/>
  <c r="BF46" i="2"/>
  <c r="F72" i="2"/>
  <c r="AC36" i="2"/>
  <c r="Q38" i="2"/>
  <c r="CS23" i="2"/>
  <c r="AT90" i="2"/>
  <c r="BK91" i="2"/>
  <c r="AD60" i="2"/>
  <c r="Q2" i="2"/>
  <c r="I15" i="2"/>
  <c r="BC79" i="2"/>
  <c r="CO31" i="2"/>
  <c r="U23" i="2"/>
  <c r="L78" i="2"/>
  <c r="M85" i="2"/>
  <c r="AA35" i="2"/>
  <c r="AL26" i="2"/>
  <c r="AH83" i="2"/>
  <c r="AD77" i="2"/>
  <c r="BQ91" i="6"/>
  <c r="BT50" i="2"/>
  <c r="I6" i="2"/>
  <c r="BT30" i="2"/>
  <c r="CL34" i="6"/>
  <c r="CR48" i="2"/>
  <c r="CK77" i="6"/>
  <c r="AP31" i="2"/>
  <c r="BS62" i="2"/>
  <c r="BX60" i="2"/>
  <c r="BD74" i="2"/>
  <c r="AT57" i="2"/>
  <c r="W86" i="2"/>
  <c r="C47" i="6"/>
  <c r="AZ5" i="2"/>
  <c r="BQ25" i="2"/>
  <c r="O94" i="2"/>
  <c r="AG27" i="2"/>
  <c r="BH63" i="2"/>
  <c r="AY6" i="2"/>
  <c r="BT36" i="2"/>
  <c r="CC45" i="2"/>
  <c r="W53" i="2"/>
  <c r="P25" i="2"/>
  <c r="H24" i="2"/>
  <c r="K83" i="2"/>
  <c r="AC37" i="2"/>
  <c r="CS37" i="2"/>
  <c r="H44" i="2"/>
  <c r="AT32" i="2"/>
  <c r="BD52" i="2"/>
  <c r="CL88" i="2"/>
  <c r="BB84" i="2"/>
  <c r="AJ17" i="2"/>
  <c r="AX57" i="2"/>
  <c r="CJ68" i="2"/>
  <c r="CP77" i="6"/>
  <c r="X75" i="2"/>
  <c r="BA13" i="2"/>
  <c r="AT80" i="2"/>
  <c r="AM76" i="2"/>
  <c r="Q82" i="2"/>
  <c r="BK39" i="2"/>
  <c r="AA70" i="6"/>
  <c r="H62" i="2"/>
  <c r="J82" i="2"/>
  <c r="CJ81" i="2"/>
  <c r="R56" i="2"/>
  <c r="AR57" i="2"/>
  <c r="M96" i="6"/>
  <c r="BP13" i="2"/>
  <c r="CO34" i="2"/>
  <c r="AC49" i="2"/>
  <c r="C49" i="6"/>
  <c r="K66" i="2"/>
  <c r="CG50" i="2"/>
  <c r="CM65" i="2"/>
  <c r="AA81" i="6"/>
  <c r="D25" i="2"/>
  <c r="BL38" i="2"/>
  <c r="BM2" i="2"/>
  <c r="AU34" i="2"/>
  <c r="BK57" i="6"/>
  <c r="CA10" i="2"/>
  <c r="P92" i="2"/>
  <c r="CE13" i="2"/>
  <c r="J95" i="2"/>
  <c r="CT4" i="2"/>
  <c r="BW100" i="2"/>
  <c r="BH26" i="2"/>
  <c r="BK36" i="2"/>
  <c r="CI54" i="2"/>
  <c r="BZ74" i="6"/>
  <c r="BX94" i="2"/>
  <c r="I73" i="2"/>
  <c r="AB81" i="2"/>
  <c r="BI44" i="2"/>
  <c r="AY99" i="2"/>
  <c r="H41" i="2"/>
  <c r="BG94" i="6"/>
  <c r="BF78" i="2"/>
  <c r="C18" i="2"/>
  <c r="AG49" i="2"/>
  <c r="AM64" i="2"/>
  <c r="AA21" i="2"/>
  <c r="N67" i="2"/>
  <c r="CI18" i="2"/>
  <c r="F64" i="2"/>
  <c r="BF85" i="6"/>
  <c r="BL20" i="2"/>
  <c r="C59" i="2"/>
  <c r="CK24" i="2"/>
  <c r="BH95" i="2"/>
  <c r="AR31" i="2"/>
  <c r="AK78" i="2"/>
  <c r="CS2" i="2"/>
  <c r="O100" i="2"/>
  <c r="BF2" i="2"/>
  <c r="CS52" i="2"/>
  <c r="J59" i="2"/>
  <c r="AW84" i="2"/>
  <c r="AF18" i="2"/>
  <c r="AT4" i="2"/>
  <c r="CG22" i="2"/>
  <c r="C88" i="6"/>
  <c r="AV79" i="2"/>
  <c r="CH78" i="6"/>
  <c r="BZ8" i="2"/>
  <c r="R73" i="6"/>
  <c r="M54" i="2"/>
  <c r="BG99" i="2"/>
  <c r="BN3" i="2"/>
  <c r="AP21" i="2"/>
  <c r="F95" i="2"/>
  <c r="CQ18" i="2"/>
  <c r="CS68" i="2"/>
  <c r="CC83" i="6"/>
  <c r="CA37" i="6"/>
  <c r="BH74" i="6"/>
  <c r="BP41" i="2"/>
  <c r="BQ100" i="6"/>
  <c r="CJ71" i="6"/>
  <c r="BB12" i="2"/>
  <c r="BN2" i="2"/>
  <c r="CM46" i="2"/>
  <c r="AM46" i="2"/>
  <c r="AV71" i="2"/>
  <c r="BR25" i="2"/>
  <c r="K4" i="2"/>
  <c r="BE57" i="2"/>
  <c r="K67" i="2"/>
  <c r="AE68" i="2"/>
  <c r="BZ57" i="6"/>
  <c r="BB87" i="2"/>
  <c r="E86" i="2"/>
  <c r="U20" i="2"/>
  <c r="BZ91" i="2"/>
  <c r="CC97" i="2"/>
  <c r="V81" i="6"/>
  <c r="I28" i="2"/>
  <c r="AN2" i="2"/>
  <c r="CP57" i="6"/>
  <c r="BR88" i="2"/>
  <c r="AJ36" i="2"/>
  <c r="AF60" i="6"/>
  <c r="AW59" i="2"/>
  <c r="BI94" i="2"/>
  <c r="CJ31" i="2"/>
  <c r="I39" i="2"/>
  <c r="AQ99" i="2"/>
  <c r="F67" i="2"/>
  <c r="CD5" i="2"/>
  <c r="P16" i="2"/>
  <c r="CA90" i="6"/>
  <c r="BT58" i="2"/>
  <c r="CI52" i="2"/>
  <c r="BU18" i="2"/>
  <c r="CI90" i="6"/>
  <c r="J76" i="2"/>
  <c r="Y75" i="2"/>
  <c r="I65" i="2"/>
  <c r="AC13" i="2"/>
  <c r="AX67" i="6"/>
  <c r="K31" i="2"/>
  <c r="CB67" i="2"/>
  <c r="C3" i="2"/>
  <c r="BA69" i="2"/>
  <c r="CJ91" i="6"/>
  <c r="AB95" i="6"/>
  <c r="CH88" i="2"/>
  <c r="CS88" i="2"/>
  <c r="Q8" i="2"/>
  <c r="BM86" i="6"/>
  <c r="C89" i="2"/>
  <c r="G64" i="6"/>
  <c r="F54" i="2"/>
  <c r="AP16" i="2"/>
  <c r="BZ16" i="2"/>
  <c r="BR76" i="2"/>
  <c r="U22" i="2"/>
  <c r="AH79" i="2"/>
  <c r="CK25" i="2"/>
  <c r="V36" i="2"/>
  <c r="AH100" i="2"/>
  <c r="CE96" i="2"/>
  <c r="AW15" i="2"/>
  <c r="BW52" i="6"/>
  <c r="P79" i="2"/>
  <c r="AB89" i="6"/>
  <c r="BL28" i="2"/>
  <c r="CI99" i="2"/>
  <c r="BZ94" i="2"/>
  <c r="AI98" i="2"/>
  <c r="BY83" i="2"/>
  <c r="CA39" i="2"/>
  <c r="AV85" i="2"/>
  <c r="CB5" i="2"/>
  <c r="CS69" i="2"/>
  <c r="BV53" i="2"/>
  <c r="Q62" i="2"/>
  <c r="AP82" i="2"/>
  <c r="I31" i="2"/>
  <c r="CP59" i="2"/>
  <c r="BJ37" i="2"/>
  <c r="S94" i="6"/>
  <c r="CO90" i="2"/>
  <c r="CJ84" i="6"/>
  <c r="CE86" i="2"/>
  <c r="BS97" i="6"/>
  <c r="Y80" i="6"/>
  <c r="I59" i="2"/>
  <c r="N78" i="2"/>
  <c r="BU92" i="2"/>
  <c r="BV61" i="6"/>
  <c r="BC15" i="2"/>
  <c r="I80" i="2"/>
  <c r="AE38" i="2"/>
  <c r="AY90" i="2"/>
  <c r="Z87" i="2"/>
  <c r="BM7" i="2"/>
  <c r="AF35" i="2"/>
  <c r="BQ22" i="2"/>
  <c r="BY78" i="2"/>
  <c r="BI86" i="6"/>
  <c r="N53" i="6"/>
  <c r="R81" i="6"/>
  <c r="N55" i="2"/>
  <c r="BB48" i="2"/>
  <c r="V28" i="2"/>
  <c r="Q90" i="2"/>
  <c r="CK68" i="2"/>
  <c r="AI42" i="2"/>
  <c r="G98" i="6"/>
  <c r="CB71" i="6"/>
  <c r="AP34" i="2"/>
  <c r="CH6" i="2"/>
  <c r="BU32" i="2"/>
  <c r="CE49" i="2"/>
  <c r="L92" i="2"/>
  <c r="Z28" i="2"/>
  <c r="BQ50" i="2"/>
  <c r="AH87" i="6"/>
  <c r="C48" i="6"/>
  <c r="BT80" i="2"/>
  <c r="AU60" i="2"/>
  <c r="CL93" i="2"/>
  <c r="T27" i="2"/>
  <c r="AO29" i="2"/>
  <c r="J18" i="2"/>
  <c r="AH44" i="2"/>
  <c r="G100" i="2"/>
  <c r="BA100" i="6"/>
  <c r="AI49" i="2"/>
  <c r="AL42" i="2"/>
  <c r="BU36" i="2"/>
  <c r="N92" i="2"/>
  <c r="I84" i="6"/>
  <c r="AA91" i="6"/>
  <c r="CK72" i="2"/>
  <c r="BW75" i="2"/>
  <c r="U56" i="2"/>
  <c r="AG66" i="6"/>
  <c r="CF84" i="2"/>
  <c r="AC42" i="2"/>
  <c r="AU50" i="2"/>
  <c r="Q68" i="2"/>
  <c r="CE94" i="2"/>
  <c r="D65" i="2"/>
  <c r="T21" i="2"/>
  <c r="Y99" i="6"/>
  <c r="AH64" i="2"/>
  <c r="P69" i="6"/>
  <c r="BG100" i="6"/>
  <c r="AV19" i="2"/>
  <c r="AN6" i="2"/>
  <c r="CS7" i="2"/>
  <c r="BD75" i="2"/>
  <c r="AD91" i="2"/>
  <c r="BV91" i="2"/>
  <c r="AR15" i="2"/>
  <c r="AS11" i="2"/>
  <c r="AI83" i="2"/>
  <c r="AK20" i="2"/>
  <c r="AV62" i="2"/>
  <c r="AY86" i="2"/>
  <c r="G14" i="2"/>
  <c r="R4" i="2"/>
  <c r="CI100" i="2"/>
  <c r="CO44" i="2"/>
  <c r="CQ34" i="2"/>
  <c r="AG14" i="2"/>
  <c r="AH77" i="2"/>
  <c r="CG98" i="2"/>
  <c r="AC95" i="2"/>
  <c r="BG27" i="2"/>
  <c r="U76" i="6"/>
  <c r="BL56" i="2"/>
  <c r="BH90" i="2"/>
  <c r="O84" i="2"/>
  <c r="CT99" i="2"/>
  <c r="I61" i="2"/>
  <c r="O85" i="2"/>
  <c r="W100" i="2"/>
  <c r="AS61" i="2"/>
  <c r="S80" i="2"/>
  <c r="BI62" i="6"/>
  <c r="CL81" i="6"/>
  <c r="AV54" i="2"/>
  <c r="L27" i="2"/>
  <c r="CT65" i="2"/>
  <c r="CL72" i="2"/>
  <c r="BE25" i="6"/>
  <c r="CJ57" i="2"/>
  <c r="AK10" i="2"/>
  <c r="CK12" i="2"/>
  <c r="CK62" i="6"/>
  <c r="BQ7" i="2"/>
  <c r="AI51" i="2"/>
  <c r="CF34" i="2"/>
  <c r="U66" i="2"/>
  <c r="CL91" i="2"/>
  <c r="N42" i="2"/>
  <c r="AV94" i="2"/>
  <c r="T59" i="2"/>
  <c r="AT54" i="2"/>
  <c r="F7" i="2"/>
  <c r="BA70" i="2"/>
  <c r="J47" i="2"/>
  <c r="F57" i="2"/>
  <c r="AD58" i="2"/>
  <c r="O58" i="2"/>
  <c r="AW80" i="2"/>
  <c r="CG80" i="2"/>
  <c r="AU43" i="2"/>
  <c r="C38" i="2"/>
  <c r="AD53" i="2"/>
  <c r="X5" i="2"/>
  <c r="CB91" i="6"/>
  <c r="BJ92" i="2"/>
  <c r="AT81" i="6"/>
  <c r="CE44" i="2"/>
  <c r="CE100" i="6"/>
  <c r="R74" i="2"/>
  <c r="P81" i="2"/>
  <c r="G56" i="6"/>
  <c r="CC69" i="2"/>
  <c r="J55" i="2"/>
  <c r="AT49" i="2"/>
  <c r="BB47" i="2"/>
  <c r="CA48" i="2"/>
  <c r="E16" i="2"/>
  <c r="AD64" i="6"/>
  <c r="AT50" i="2"/>
  <c r="Q70" i="6"/>
  <c r="AI23" i="2"/>
  <c r="M28" i="2"/>
  <c r="BC86" i="6"/>
  <c r="R30" i="2"/>
  <c r="CL55" i="2"/>
  <c r="Q100" i="2"/>
  <c r="AH10" i="2"/>
  <c r="AD87" i="2"/>
  <c r="BF75" i="6"/>
  <c r="G47" i="2"/>
  <c r="BQ34" i="2"/>
  <c r="G42" i="2"/>
  <c r="AG41" i="2"/>
  <c r="BQ99" i="2"/>
  <c r="CM71" i="6"/>
  <c r="F76" i="6"/>
  <c r="AO22" i="2"/>
  <c r="CS42" i="2"/>
  <c r="BL66" i="6"/>
  <c r="AR59" i="2"/>
  <c r="R49" i="2"/>
  <c r="CS65" i="2"/>
  <c r="AG45" i="2"/>
  <c r="R60" i="6"/>
  <c r="Q36" i="2"/>
  <c r="CI78" i="2"/>
  <c r="AV21" i="2"/>
  <c r="BJ47" i="2"/>
  <c r="N61" i="2"/>
  <c r="U72" i="2"/>
  <c r="AR5" i="2"/>
  <c r="AL62" i="2"/>
  <c r="AN49" i="2"/>
  <c r="AF77" i="2"/>
  <c r="BJ67" i="2"/>
  <c r="AM13" i="2"/>
  <c r="N5" i="2"/>
  <c r="F23" i="2"/>
  <c r="BV92" i="2"/>
  <c r="BA61" i="2"/>
  <c r="BN76" i="2"/>
  <c r="AW65" i="2"/>
  <c r="J95" i="6"/>
  <c r="AN91" i="2"/>
  <c r="CD65" i="2"/>
  <c r="C90" i="2"/>
  <c r="H99" i="2"/>
  <c r="AB59" i="2"/>
  <c r="CF91" i="2"/>
  <c r="AX99" i="2"/>
  <c r="BF72" i="6"/>
  <c r="BC5" i="2"/>
  <c r="I35" i="2"/>
  <c r="AF87" i="6"/>
  <c r="BO15" i="2"/>
  <c r="T39" i="2"/>
  <c r="P5" i="2"/>
  <c r="CG25" i="2"/>
  <c r="AT74" i="2"/>
  <c r="AC91" i="6"/>
  <c r="BU84" i="2"/>
  <c r="CL6" i="2"/>
  <c r="BA3" i="2"/>
  <c r="R64" i="2"/>
  <c r="AE78" i="2"/>
  <c r="M32" i="2"/>
  <c r="Y5" i="2"/>
  <c r="E23" i="6"/>
  <c r="CQ26" i="2"/>
  <c r="U93" i="6"/>
  <c r="D16" i="2"/>
  <c r="D30" i="2"/>
  <c r="V34" i="2"/>
  <c r="S67" i="6"/>
  <c r="BG87" i="2"/>
  <c r="AZ72" i="2"/>
  <c r="CR85" i="6"/>
  <c r="N30" i="2"/>
  <c r="Y3" i="2"/>
  <c r="AA6" i="2"/>
  <c r="AU79" i="6"/>
  <c r="AM64" i="6"/>
  <c r="CG44" i="2"/>
  <c r="BP96" i="6"/>
  <c r="CI38" i="2"/>
  <c r="CH47" i="2"/>
  <c r="W62" i="2"/>
  <c r="BK96" i="2"/>
  <c r="I71" i="2"/>
  <c r="R97" i="6"/>
  <c r="CB53" i="6"/>
  <c r="K11" i="2"/>
  <c r="CO86" i="2"/>
  <c r="AZ31" i="2"/>
  <c r="AN33" i="2"/>
  <c r="AS26" i="2"/>
  <c r="BN66" i="2"/>
  <c r="BI47" i="2"/>
  <c r="AZ78" i="6"/>
  <c r="C56" i="6"/>
  <c r="AH95" i="6"/>
  <c r="AK63" i="2"/>
  <c r="AJ100" i="2"/>
  <c r="CQ87" i="6"/>
  <c r="AQ61" i="2"/>
  <c r="BN99" i="6"/>
  <c r="AA61" i="2"/>
  <c r="Z42" i="2"/>
  <c r="U60" i="2"/>
  <c r="AS35" i="2"/>
  <c r="AO84" i="2"/>
  <c r="AK87" i="2"/>
  <c r="AL80" i="2"/>
  <c r="BU64" i="2"/>
  <c r="Y63" i="2"/>
  <c r="CM91" i="2"/>
  <c r="CC92" i="6"/>
  <c r="K38" i="2"/>
  <c r="BU96" i="2"/>
  <c r="L97" i="2"/>
  <c r="CL65" i="2"/>
  <c r="CI95" i="2"/>
  <c r="BE78" i="2"/>
  <c r="BK77" i="6"/>
  <c r="AQ70" i="6"/>
  <c r="AZ30" i="2"/>
  <c r="BD61" i="2"/>
  <c r="BH37" i="2"/>
  <c r="CM54" i="2"/>
  <c r="P32" i="2"/>
  <c r="Q5" i="2"/>
  <c r="AM28" i="2"/>
  <c r="AV32" i="6"/>
  <c r="AZ80" i="2"/>
  <c r="CL25" i="2"/>
  <c r="AY30" i="2"/>
  <c r="P43" i="2"/>
  <c r="CP91" i="2"/>
  <c r="O48" i="2"/>
  <c r="S98" i="2"/>
  <c r="G69" i="2"/>
  <c r="Z57" i="6"/>
  <c r="X91" i="2"/>
  <c r="AI4" i="2"/>
  <c r="AV24" i="2"/>
  <c r="X7" i="2"/>
  <c r="K70" i="2"/>
  <c r="AH23" i="2"/>
  <c r="BO57" i="2"/>
  <c r="CM35" i="2"/>
  <c r="T56" i="2"/>
  <c r="C75" i="6"/>
  <c r="AF31" i="2"/>
  <c r="S18" i="2"/>
  <c r="AS10" i="2"/>
  <c r="CK62" i="2"/>
  <c r="AE16" i="2"/>
  <c r="BQ24" i="2"/>
  <c r="BT99" i="6"/>
  <c r="BI97" i="2"/>
  <c r="CO83" i="6"/>
  <c r="O24" i="2"/>
  <c r="AR69" i="2"/>
  <c r="AO37" i="2"/>
  <c r="AR97" i="6"/>
  <c r="Z27" i="2"/>
  <c r="CN90" i="2"/>
  <c r="BJ97" i="2"/>
  <c r="BV45" i="2"/>
  <c r="Z60" i="6"/>
  <c r="CL66" i="2"/>
  <c r="AP39" i="2"/>
  <c r="Q71" i="2"/>
  <c r="BR20" i="2"/>
  <c r="CO50" i="2"/>
  <c r="CK49" i="2"/>
  <c r="AZ85" i="2"/>
  <c r="BG24" i="2"/>
  <c r="F14" i="2"/>
  <c r="S92" i="6"/>
  <c r="BV67" i="2"/>
  <c r="AB69" i="2"/>
  <c r="AV80" i="2"/>
  <c r="BB26" i="2"/>
  <c r="AM66" i="6"/>
  <c r="BS98" i="6"/>
  <c r="AC59" i="2"/>
  <c r="AD81" i="2"/>
  <c r="AH90" i="2"/>
  <c r="AK71" i="2"/>
  <c r="CN99" i="2"/>
  <c r="AE89" i="2"/>
  <c r="BR76" i="6"/>
  <c r="AJ67" i="2"/>
  <c r="BW11" i="2"/>
  <c r="CL99" i="2"/>
  <c r="BJ32" i="2"/>
  <c r="CS77" i="2"/>
  <c r="S85" i="2"/>
  <c r="AH37" i="2"/>
  <c r="AW83" i="2"/>
  <c r="C98" i="6"/>
  <c r="BN40" i="2"/>
  <c r="AC79" i="2"/>
  <c r="AV99" i="2"/>
  <c r="CQ50" i="2"/>
  <c r="Z64" i="2"/>
  <c r="BT65" i="2"/>
  <c r="Y61" i="2"/>
  <c r="T93" i="2"/>
  <c r="Y44" i="2"/>
  <c r="S24" i="2"/>
  <c r="C45" i="6"/>
  <c r="J12" i="2"/>
  <c r="D49" i="2"/>
  <c r="AG92" i="2"/>
  <c r="BR82" i="6"/>
  <c r="CP6" i="2"/>
  <c r="CK99" i="2"/>
  <c r="BQ93" i="6"/>
  <c r="AU76" i="6"/>
  <c r="AP41" i="2"/>
  <c r="BT48" i="2"/>
  <c r="AR75" i="2"/>
  <c r="X83" i="2"/>
  <c r="BZ56" i="2"/>
  <c r="BT55" i="2"/>
  <c r="H66" i="2"/>
  <c r="CN24" i="2"/>
  <c r="AS46" i="2"/>
  <c r="C33" i="2"/>
  <c r="CR82" i="6"/>
  <c r="E58" i="6"/>
  <c r="BY57" i="2"/>
  <c r="BQ98" i="2"/>
  <c r="BO77" i="6"/>
  <c r="I100" i="2"/>
  <c r="L76" i="2"/>
  <c r="F8" i="2"/>
  <c r="P92" i="6"/>
  <c r="CF88" i="2"/>
  <c r="BG48" i="2"/>
  <c r="AP91" i="2"/>
  <c r="CM25" i="2"/>
  <c r="BC40" i="2"/>
  <c r="L28" i="2"/>
  <c r="BC35" i="6"/>
  <c r="O65" i="6"/>
  <c r="BJ100" i="2"/>
  <c r="C95" i="6"/>
  <c r="AN83" i="2"/>
  <c r="AT25" i="2"/>
  <c r="AJ52" i="2"/>
  <c r="CH90" i="2"/>
  <c r="AF98" i="6"/>
  <c r="BU6" i="2"/>
  <c r="AM38" i="2"/>
  <c r="CA72" i="2"/>
  <c r="E34" i="2"/>
  <c r="AF4" i="2"/>
  <c r="CT22" i="2"/>
  <c r="BV44" i="2"/>
  <c r="BY99" i="2"/>
  <c r="BZ62" i="2"/>
  <c r="BB29" i="2"/>
  <c r="BP17" i="2"/>
  <c r="CO6" i="2"/>
  <c r="CI92" i="2"/>
  <c r="AB56" i="2"/>
  <c r="BR97" i="2"/>
  <c r="AO74" i="2"/>
  <c r="AV56" i="2"/>
  <c r="BT92" i="6"/>
  <c r="BO17" i="2"/>
  <c r="Q20" i="2"/>
  <c r="CK69" i="2"/>
  <c r="BA66" i="2"/>
  <c r="Z81" i="2"/>
  <c r="BP77" i="2"/>
  <c r="CK58" i="2"/>
  <c r="U74" i="2"/>
  <c r="CP36" i="2"/>
  <c r="CF76" i="2"/>
  <c r="N18" i="2"/>
  <c r="F36" i="2"/>
  <c r="J84" i="2"/>
  <c r="P98" i="2"/>
  <c r="E8" i="2"/>
  <c r="CF41" i="2"/>
  <c r="BM67" i="2"/>
  <c r="AS85" i="6"/>
  <c r="AL85" i="2"/>
  <c r="G54" i="6"/>
  <c r="BG81" i="6"/>
  <c r="AM55" i="2"/>
  <c r="O7" i="2"/>
  <c r="CE53" i="2"/>
  <c r="V15" i="6"/>
  <c r="Z46" i="2"/>
  <c r="X87" i="6"/>
  <c r="CK80" i="2"/>
  <c r="E96" i="2"/>
  <c r="CL84" i="2"/>
  <c r="AJ4" i="2"/>
  <c r="AX97" i="2"/>
  <c r="Y52" i="2"/>
  <c r="BZ3" i="2"/>
  <c r="N96" i="2"/>
  <c r="S10" i="2"/>
  <c r="CN74" i="2"/>
  <c r="X22" i="2"/>
  <c r="BX47" i="2"/>
  <c r="BT83" i="2"/>
  <c r="M91" i="2"/>
  <c r="L6" i="2"/>
  <c r="Z86" i="2"/>
  <c r="T8" i="2"/>
  <c r="BK63" i="2"/>
  <c r="BS78" i="6"/>
  <c r="K12" i="2"/>
  <c r="BR32" i="2"/>
  <c r="I27" i="2"/>
  <c r="AT48" i="2"/>
  <c r="BT93" i="2"/>
  <c r="X62" i="2"/>
  <c r="BF92" i="2"/>
  <c r="BS69" i="2"/>
  <c r="I90" i="6"/>
  <c r="CF48" i="2"/>
  <c r="AY64" i="2"/>
  <c r="E98" i="2"/>
  <c r="BU77" i="2"/>
  <c r="T28" i="2"/>
  <c r="BC45" i="2"/>
  <c r="BT27" i="2"/>
  <c r="CT24" i="2"/>
  <c r="CI15" i="2"/>
  <c r="AB91" i="6"/>
  <c r="Y80" i="2"/>
  <c r="D92" i="6"/>
  <c r="AM48" i="2"/>
  <c r="BB7" i="2"/>
  <c r="AL74" i="2"/>
  <c r="BW79" i="2"/>
  <c r="O98" i="6"/>
  <c r="BW57" i="2"/>
  <c r="CC33" i="2"/>
  <c r="CQ40" i="2"/>
  <c r="G66" i="2"/>
  <c r="CJ69" i="2"/>
  <c r="AC52" i="2"/>
  <c r="AL22" i="2"/>
  <c r="N93" i="2"/>
  <c r="CB17" i="2"/>
  <c r="G81" i="2"/>
  <c r="CO73" i="2"/>
  <c r="AV5" i="2"/>
  <c r="AT88" i="2"/>
  <c r="C12" i="2"/>
  <c r="T54" i="6"/>
  <c r="CT54" i="2"/>
  <c r="BL24" i="2"/>
  <c r="D28" i="2"/>
  <c r="D98" i="2"/>
  <c r="BN18" i="2"/>
  <c r="BH87" i="6"/>
  <c r="BG61" i="2"/>
  <c r="BA16" i="2"/>
  <c r="BW39" i="2"/>
  <c r="BC61" i="2"/>
  <c r="BF95" i="6"/>
  <c r="AJ89" i="2"/>
  <c r="BX90" i="6"/>
  <c r="CE66" i="2"/>
  <c r="CE73" i="2"/>
  <c r="CJ98" i="2"/>
  <c r="CS81" i="2"/>
  <c r="BR3" i="2"/>
  <c r="AE92" i="2"/>
  <c r="CB6" i="2"/>
  <c r="BN38" i="2"/>
  <c r="BV31" i="2"/>
  <c r="CF14" i="2"/>
  <c r="AI84" i="2"/>
  <c r="J93" i="2"/>
  <c r="N57" i="2"/>
  <c r="AR37" i="2"/>
  <c r="N47" i="2"/>
  <c r="AI28" i="2"/>
  <c r="X98" i="2"/>
  <c r="BL26" i="2"/>
  <c r="AM87" i="6"/>
  <c r="H12" i="2"/>
  <c r="BI60" i="2"/>
  <c r="BE78" i="6"/>
  <c r="O74" i="2"/>
  <c r="BE25" i="2"/>
  <c r="AM89" i="2"/>
  <c r="CO16" i="2"/>
  <c r="AW57" i="2"/>
  <c r="W26" i="2"/>
  <c r="AV88" i="2"/>
  <c r="H63" i="2"/>
  <c r="AL29" i="2"/>
  <c r="X99" i="2"/>
  <c r="V94" i="2"/>
  <c r="G3" i="2"/>
  <c r="P64" i="2"/>
  <c r="BR52" i="2"/>
  <c r="F90" i="2"/>
  <c r="C24" i="2"/>
  <c r="CN38" i="2"/>
  <c r="K61" i="2"/>
  <c r="BM96" i="6"/>
  <c r="BH47" i="6"/>
  <c r="CC95" i="6"/>
  <c r="AQ88" i="2"/>
  <c r="CO57" i="6"/>
  <c r="C35" i="2"/>
  <c r="K17" i="2"/>
  <c r="AP87" i="6"/>
  <c r="AV85" i="6"/>
  <c r="V84" i="2"/>
  <c r="AX34" i="2"/>
  <c r="D78" i="2"/>
  <c r="P60" i="6"/>
  <c r="CI89" i="2"/>
  <c r="BG21" i="2"/>
  <c r="BN95" i="2"/>
  <c r="AL51" i="2"/>
  <c r="Q55" i="2"/>
  <c r="W49" i="2"/>
  <c r="AO23" i="2"/>
  <c r="AQ63" i="2"/>
  <c r="BQ88" i="2"/>
  <c r="AK35" i="2"/>
  <c r="BI34" i="2"/>
  <c r="BC67" i="2"/>
  <c r="P97" i="6"/>
  <c r="AV15" i="2"/>
  <c r="CP84" i="2"/>
  <c r="K81" i="2"/>
  <c r="BK89" i="6"/>
  <c r="CA52" i="2"/>
  <c r="AB48" i="2"/>
  <c r="AX38" i="2"/>
  <c r="AG74" i="6"/>
  <c r="BA50" i="6"/>
  <c r="CN17" i="2"/>
  <c r="K37" i="2"/>
  <c r="CL69" i="2"/>
  <c r="BI26" i="2"/>
  <c r="BH84" i="2"/>
  <c r="CB85" i="6"/>
  <c r="CL96" i="2"/>
  <c r="CO81" i="2"/>
  <c r="BU47" i="2"/>
  <c r="AZ90" i="2"/>
  <c r="BT34" i="2"/>
  <c r="Z7" i="2"/>
  <c r="BB31" i="2"/>
  <c r="BT5" i="2"/>
  <c r="AM47" i="2"/>
  <c r="H46" i="2"/>
  <c r="CC44" i="2"/>
  <c r="BY29" i="2"/>
  <c r="BN61" i="2"/>
  <c r="CL81" i="2"/>
  <c r="X32" i="2"/>
  <c r="CK20" i="6"/>
  <c r="BX90" i="2"/>
  <c r="BT78" i="6"/>
  <c r="G37" i="2"/>
  <c r="BH94" i="2"/>
  <c r="CK41" i="2"/>
  <c r="CR71" i="2"/>
  <c r="CF92" i="2"/>
  <c r="AN87" i="2"/>
  <c r="AV84" i="2"/>
  <c r="CH28" i="2"/>
  <c r="CL50" i="2"/>
  <c r="AZ65" i="6"/>
  <c r="BV95" i="6"/>
  <c r="AX78" i="2"/>
  <c r="BC60" i="2"/>
  <c r="I44" i="2"/>
  <c r="T52" i="2"/>
  <c r="U55" i="2"/>
  <c r="BL75" i="6"/>
  <c r="BB82" i="2"/>
  <c r="CT46" i="2"/>
  <c r="AO81" i="2"/>
  <c r="BP100" i="6"/>
  <c r="CH2" i="2"/>
  <c r="V43" i="2"/>
  <c r="AZ57" i="2"/>
  <c r="Z72" i="2"/>
  <c r="AT19" i="2"/>
  <c r="BL71" i="2"/>
  <c r="AE71" i="2"/>
  <c r="AP6" i="2"/>
  <c r="CL27" i="2"/>
  <c r="BJ99" i="6"/>
  <c r="AN74" i="2"/>
  <c r="Z68" i="2"/>
  <c r="AN53" i="2"/>
  <c r="BA12" i="2"/>
  <c r="AE86" i="2"/>
  <c r="T37" i="2"/>
  <c r="BX74" i="2"/>
  <c r="W78" i="2"/>
  <c r="BB74" i="2"/>
  <c r="AX85" i="6"/>
  <c r="BE51" i="2"/>
  <c r="C10" i="2"/>
  <c r="CI27" i="2"/>
  <c r="AR11" i="2"/>
  <c r="M48" i="2"/>
  <c r="AL19" i="2"/>
  <c r="AG57" i="2"/>
  <c r="CC90" i="2"/>
  <c r="BK77" i="2"/>
  <c r="BG93" i="2"/>
  <c r="AJ39" i="2"/>
  <c r="AD77" i="6"/>
  <c r="BC33" i="2"/>
  <c r="G85" i="2"/>
  <c r="CB55" i="6"/>
  <c r="CA37" i="2"/>
  <c r="CR96" i="2"/>
  <c r="D44" i="2"/>
  <c r="L53" i="2"/>
  <c r="AM84" i="2"/>
  <c r="CF59" i="2"/>
  <c r="F89" i="2"/>
  <c r="CR41" i="2"/>
  <c r="CL48" i="2"/>
  <c r="AZ73" i="2"/>
  <c r="CM76" i="2"/>
  <c r="CM88" i="6"/>
  <c r="I36" i="2"/>
  <c r="BP55" i="6"/>
  <c r="C94" i="2"/>
  <c r="N36" i="2"/>
  <c r="BE88" i="2"/>
  <c r="L61" i="2"/>
  <c r="E5" i="2"/>
  <c r="CC79" i="2"/>
  <c r="BL99" i="2"/>
  <c r="BD86" i="2"/>
  <c r="G30" i="2"/>
  <c r="BX22" i="2"/>
  <c r="CF57" i="2"/>
  <c r="AO100" i="2"/>
  <c r="AQ19" i="2"/>
  <c r="AS93" i="2"/>
  <c r="BO35" i="2"/>
  <c r="AR29" i="2"/>
  <c r="H79" i="6"/>
  <c r="CP52" i="6"/>
  <c r="BD25" i="2"/>
  <c r="BJ19" i="2"/>
  <c r="E26" i="2"/>
  <c r="CM88" i="2"/>
  <c r="C63" i="2"/>
  <c r="CE35" i="2"/>
  <c r="BY17" i="6"/>
  <c r="BA95" i="6"/>
  <c r="AR78" i="2"/>
  <c r="BT97" i="2"/>
  <c r="CK72" i="6"/>
  <c r="AB97" i="2"/>
  <c r="E90" i="2"/>
  <c r="J68" i="6"/>
  <c r="BD17" i="2"/>
  <c r="W71" i="2"/>
  <c r="AZ91" i="2"/>
  <c r="AL53" i="6"/>
  <c r="T57" i="2"/>
  <c r="T38" i="2"/>
  <c r="BU44" i="2"/>
  <c r="CF78" i="2"/>
  <c r="CL11" i="2"/>
  <c r="G44" i="2"/>
  <c r="BA88" i="6"/>
  <c r="BD85" i="2"/>
  <c r="BM46" i="2"/>
  <c r="CH65" i="2"/>
  <c r="AB68" i="2"/>
  <c r="BW56" i="2"/>
  <c r="V25" i="2"/>
  <c r="X33" i="2"/>
  <c r="BZ18" i="2"/>
  <c r="J62" i="2"/>
  <c r="BO27" i="2"/>
  <c r="BL39" i="2"/>
  <c r="AF51" i="6"/>
  <c r="BW85" i="6"/>
  <c r="AS49" i="2"/>
  <c r="AZ53" i="2"/>
  <c r="D99" i="2"/>
  <c r="I53" i="2"/>
  <c r="CP10" i="2"/>
  <c r="M30" i="2"/>
  <c r="AD56" i="2"/>
  <c r="CO3" i="2"/>
  <c r="AS41" i="2"/>
  <c r="I87" i="2"/>
  <c r="BP74" i="2"/>
  <c r="Q29" i="2"/>
  <c r="BF66" i="6"/>
  <c r="CD8" i="2"/>
  <c r="CI48" i="2"/>
  <c r="BB75" i="6"/>
  <c r="BH97" i="6"/>
  <c r="AF100" i="2"/>
  <c r="CE8" i="2"/>
  <c r="CA78" i="2"/>
  <c r="AP96" i="2"/>
  <c r="CQ91" i="2"/>
  <c r="H90" i="2"/>
  <c r="BG75" i="2"/>
  <c r="BT29" i="6"/>
  <c r="CH33" i="2"/>
  <c r="AI87" i="2"/>
  <c r="T36" i="2"/>
  <c r="N7" i="2"/>
  <c r="AG11" i="2"/>
  <c r="M44" i="2"/>
  <c r="CA2" i="2"/>
  <c r="CQ61" i="2"/>
  <c r="AC3" i="2"/>
  <c r="CD43" i="2"/>
  <c r="G94" i="6"/>
  <c r="CK100" i="6"/>
  <c r="H51" i="2"/>
  <c r="BM87" i="6"/>
  <c r="CP21" i="2"/>
  <c r="CA16" i="2"/>
  <c r="AU55" i="2"/>
  <c r="BW78" i="2"/>
  <c r="BW93" i="2"/>
  <c r="AG83" i="2"/>
  <c r="CH35" i="2"/>
  <c r="AS70" i="6"/>
  <c r="U25" i="2"/>
  <c r="BE82" i="2"/>
  <c r="BI52" i="2"/>
  <c r="Q13" i="2"/>
  <c r="BD70" i="6"/>
  <c r="CG43" i="2"/>
  <c r="AT28" i="2"/>
  <c r="AW74" i="6"/>
  <c r="AL67" i="2"/>
  <c r="AI77" i="2"/>
  <c r="AO94" i="2"/>
  <c r="CN81" i="6"/>
  <c r="G84" i="2"/>
  <c r="BN75" i="2"/>
  <c r="CN79" i="6"/>
  <c r="BH67" i="2"/>
  <c r="AR70" i="2"/>
  <c r="CN12" i="2"/>
  <c r="I86" i="2"/>
  <c r="AZ15" i="2"/>
  <c r="P56" i="2"/>
  <c r="CD19" i="2"/>
  <c r="AK76" i="2"/>
  <c r="CK20" i="2"/>
  <c r="AX14" i="2"/>
  <c r="BT54" i="2"/>
  <c r="BG92" i="2"/>
  <c r="O96" i="2"/>
  <c r="CI72" i="6"/>
  <c r="CE74" i="2"/>
  <c r="AB46" i="2"/>
  <c r="BF45" i="2"/>
  <c r="BB91" i="6"/>
  <c r="BE63" i="2"/>
  <c r="CM70" i="2"/>
  <c r="BU71" i="2"/>
  <c r="AC80" i="2"/>
  <c r="BN63" i="6"/>
  <c r="BC36" i="2"/>
  <c r="AU2" i="2"/>
  <c r="BP94" i="6"/>
  <c r="CL87" i="2"/>
  <c r="O21" i="2"/>
  <c r="BA92" i="2"/>
  <c r="CH37" i="2"/>
  <c r="AF99" i="2"/>
  <c r="BA48" i="2"/>
  <c r="AX53" i="2"/>
  <c r="AG95" i="2"/>
  <c r="G6" i="2"/>
  <c r="CS38" i="2"/>
  <c r="CM84" i="2"/>
  <c r="BX83" i="2"/>
  <c r="CJ18" i="2"/>
  <c r="CC53" i="6"/>
  <c r="CB88" i="2"/>
  <c r="BB39" i="2"/>
  <c r="X64" i="2"/>
  <c r="V62" i="2"/>
  <c r="CT47" i="2"/>
  <c r="Y94" i="2"/>
  <c r="AL47" i="2"/>
  <c r="CO71" i="6"/>
  <c r="CM48" i="2"/>
  <c r="BY61" i="2"/>
  <c r="AG54" i="6"/>
  <c r="CE61" i="6"/>
  <c r="CD68" i="2"/>
  <c r="CF30" i="2"/>
  <c r="CR5" i="2"/>
  <c r="BZ89" i="6"/>
  <c r="BJ92" i="6"/>
  <c r="AT39" i="2"/>
  <c r="AA47" i="2"/>
  <c r="AB86" i="2"/>
  <c r="D12" i="2"/>
  <c r="BR53" i="2"/>
  <c r="S61" i="6"/>
  <c r="BF14" i="2"/>
  <c r="BG43" i="2"/>
  <c r="CK85" i="6"/>
  <c r="W81" i="2"/>
  <c r="AN88" i="2"/>
  <c r="CH93" i="2"/>
  <c r="AO63" i="2"/>
  <c r="AS33" i="2"/>
  <c r="G34" i="2"/>
  <c r="AS81" i="2"/>
  <c r="U75" i="2"/>
  <c r="AN76" i="6"/>
  <c r="BH67" i="6"/>
  <c r="E25" i="2"/>
  <c r="AT58" i="2"/>
  <c r="BL80" i="2"/>
  <c r="AB34" i="2"/>
  <c r="BJ24" i="2"/>
  <c r="CR34" i="2"/>
  <c r="CB82" i="2"/>
  <c r="I46" i="2"/>
  <c r="CI53" i="2"/>
  <c r="BE40" i="2"/>
  <c r="BR94" i="6"/>
  <c r="BY18" i="2"/>
  <c r="AR49" i="2"/>
  <c r="C15" i="2"/>
  <c r="X66" i="2"/>
  <c r="CG77" i="2"/>
  <c r="N39" i="2"/>
  <c r="BQ17" i="2"/>
  <c r="W88" i="6"/>
  <c r="CK74" i="6"/>
  <c r="AH63" i="6"/>
  <c r="BY46" i="2"/>
  <c r="BA97" i="2"/>
  <c r="G38" i="2"/>
  <c r="AA23" i="2"/>
  <c r="CR33" i="6"/>
  <c r="T31" i="2"/>
  <c r="K69" i="2"/>
  <c r="CS60" i="2"/>
  <c r="BH34" i="2"/>
  <c r="AQ42" i="2"/>
  <c r="BK71" i="2"/>
  <c r="T98" i="2"/>
  <c r="BI25" i="2"/>
  <c r="AA14" i="2"/>
  <c r="CP49" i="2"/>
  <c r="H80" i="6"/>
  <c r="CP57" i="2"/>
  <c r="N92" i="6"/>
  <c r="S92" i="2"/>
  <c r="E72" i="2"/>
  <c r="AP94" i="2"/>
  <c r="M93" i="2"/>
  <c r="H84" i="2"/>
  <c r="AQ35" i="2"/>
  <c r="Z53" i="2"/>
  <c r="Q81" i="2"/>
  <c r="CD90" i="2"/>
  <c r="BV90" i="6"/>
  <c r="I94" i="2"/>
  <c r="CN65" i="2"/>
  <c r="AJ81" i="6"/>
  <c r="G7" i="2"/>
  <c r="AV77" i="2"/>
  <c r="BG69" i="2"/>
  <c r="V74" i="2"/>
  <c r="K87" i="2"/>
  <c r="P60" i="2"/>
  <c r="AQ20" i="2"/>
  <c r="AO18" i="2"/>
  <c r="CS100" i="2"/>
  <c r="BV86" i="2"/>
  <c r="F35" i="2"/>
  <c r="BR83" i="6"/>
  <c r="P55" i="6"/>
  <c r="CG33" i="2"/>
  <c r="N74" i="2"/>
  <c r="AJ40" i="2"/>
  <c r="AG39" i="2"/>
  <c r="CF42" i="2"/>
  <c r="CA24" i="2"/>
  <c r="BI78" i="2"/>
  <c r="CD87" i="6"/>
  <c r="CG62" i="2"/>
  <c r="P75" i="6"/>
  <c r="T62" i="2"/>
  <c r="T72" i="2"/>
  <c r="AU18" i="2"/>
  <c r="CD11" i="2"/>
  <c r="BI67" i="2"/>
  <c r="AL79" i="2"/>
  <c r="V28" i="6"/>
  <c r="C86" i="6"/>
  <c r="G8" i="2"/>
  <c r="BE52" i="2"/>
  <c r="BS81" i="2"/>
  <c r="AX62" i="2"/>
  <c r="AL97" i="2"/>
  <c r="Y13" i="2"/>
  <c r="AX65" i="6"/>
  <c r="BI99" i="2"/>
  <c r="CN23" i="2"/>
  <c r="BZ73" i="2"/>
  <c r="CS49" i="2"/>
  <c r="CK22" i="2"/>
  <c r="P72" i="2"/>
  <c r="Y69" i="2"/>
  <c r="AX89" i="2"/>
  <c r="G65" i="6"/>
  <c r="CA3" i="2"/>
  <c r="BA83" i="6"/>
  <c r="BA34" i="2"/>
  <c r="BJ38" i="2"/>
  <c r="CQ82" i="2"/>
  <c r="AZ83" i="2"/>
  <c r="CA35" i="2"/>
  <c r="H2" i="2"/>
  <c r="AD94" i="2"/>
  <c r="AS65" i="2"/>
  <c r="AL45" i="2"/>
  <c r="AK95" i="6"/>
  <c r="BH51" i="2"/>
  <c r="I88" i="6"/>
  <c r="J72" i="2"/>
  <c r="C41" i="2"/>
  <c r="AG76" i="2"/>
  <c r="BG35" i="2"/>
  <c r="AJ94" i="6"/>
  <c r="X46" i="2"/>
  <c r="P30" i="2"/>
  <c r="S12" i="2"/>
  <c r="W54" i="2"/>
  <c r="CI50" i="2"/>
  <c r="CA50" i="2"/>
  <c r="AR19" i="2"/>
  <c r="AE41" i="2"/>
  <c r="AN74" i="6"/>
  <c r="V98" i="2"/>
  <c r="CO45" i="2"/>
  <c r="CS83" i="2"/>
  <c r="AW76" i="2"/>
  <c r="CM100" i="2"/>
  <c r="BE81" i="2"/>
  <c r="BQ5" i="2"/>
  <c r="BG78" i="2"/>
  <c r="J81" i="6"/>
  <c r="AK40" i="2"/>
  <c r="CK94" i="2"/>
  <c r="BG63" i="2"/>
  <c r="O23" i="2"/>
  <c r="AR58" i="2"/>
  <c r="S82" i="2"/>
  <c r="CJ42" i="2"/>
  <c r="F12" i="2"/>
  <c r="G75" i="2"/>
  <c r="CF94" i="2"/>
  <c r="R90" i="2"/>
  <c r="AZ10" i="2"/>
  <c r="N49" i="2"/>
  <c r="U46" i="2"/>
  <c r="CK43" i="2"/>
  <c r="CP12" i="2"/>
  <c r="CL60" i="2"/>
  <c r="AC73" i="6"/>
  <c r="AA85" i="2"/>
  <c r="I97" i="6"/>
  <c r="Z77" i="2"/>
  <c r="AW23" i="2"/>
  <c r="Z19" i="2"/>
  <c r="R36" i="2"/>
  <c r="C73" i="6"/>
  <c r="C77" i="2"/>
  <c r="BH57" i="2"/>
  <c r="AD9" i="2"/>
  <c r="BC80" i="2"/>
  <c r="U29" i="2"/>
  <c r="AI48" i="2"/>
  <c r="CQ54" i="6"/>
  <c r="K93" i="2"/>
  <c r="AQ78" i="6"/>
  <c r="CM67" i="2"/>
  <c r="AW81" i="2"/>
  <c r="CM43" i="2"/>
  <c r="AL88" i="2"/>
  <c r="AM82" i="2"/>
  <c r="F86" i="2"/>
  <c r="AK5" i="2"/>
  <c r="BQ61" i="2"/>
  <c r="BQ39" i="2"/>
  <c r="AH67" i="2"/>
  <c r="BF98" i="2"/>
  <c r="BE6" i="2"/>
  <c r="BH53" i="2"/>
  <c r="W48" i="2"/>
  <c r="CE47" i="2"/>
  <c r="BU54" i="2"/>
  <c r="BF15" i="2"/>
  <c r="N94" i="2"/>
  <c r="AB55" i="2"/>
  <c r="AK25" i="2"/>
  <c r="AC74" i="6"/>
  <c r="BA50" i="2"/>
  <c r="M95" i="6"/>
  <c r="BE26" i="2"/>
  <c r="AZ50" i="2"/>
  <c r="BK92" i="2"/>
  <c r="BR2" i="2"/>
  <c r="E15" i="2"/>
  <c r="BQ43" i="2"/>
  <c r="CL77" i="6"/>
  <c r="BZ39" i="6"/>
  <c r="AD32" i="2"/>
  <c r="AO77" i="6"/>
  <c r="AT65" i="2"/>
  <c r="CN32" i="2"/>
  <c r="AN92" i="2"/>
  <c r="V39" i="2"/>
  <c r="Y56" i="2"/>
  <c r="N83" i="2"/>
  <c r="AI61" i="2"/>
  <c r="CR99" i="2"/>
  <c r="AQ26" i="2"/>
  <c r="CF17" i="2"/>
  <c r="CP61" i="2"/>
  <c r="V76" i="6"/>
  <c r="CF77" i="2"/>
  <c r="AO10" i="2"/>
  <c r="BO70" i="6"/>
  <c r="O43" i="6"/>
  <c r="I32" i="2"/>
  <c r="CB89" i="2"/>
  <c r="AC56" i="2"/>
  <c r="AS66" i="6"/>
  <c r="CM79" i="2"/>
  <c r="BQ68" i="6"/>
  <c r="BN69" i="2"/>
  <c r="AP17" i="2"/>
  <c r="K65" i="2"/>
  <c r="BI73" i="6"/>
  <c r="AH25" i="2"/>
  <c r="CN43" i="2"/>
  <c r="AZ29" i="2"/>
  <c r="BR46" i="2"/>
  <c r="CA6" i="2"/>
  <c r="M100" i="6"/>
  <c r="O63" i="2"/>
  <c r="Q59" i="2"/>
  <c r="J46" i="2"/>
  <c r="D26" i="2"/>
  <c r="BN63" i="2"/>
  <c r="BJ43" i="2"/>
  <c r="G63" i="2"/>
  <c r="AD88" i="2"/>
  <c r="AB38" i="2"/>
  <c r="S40" i="2"/>
  <c r="AT100" i="2"/>
  <c r="BS7" i="2"/>
  <c r="BY66" i="6"/>
  <c r="CK53" i="2"/>
  <c r="AF37" i="2"/>
  <c r="H14" i="2"/>
  <c r="BF81" i="6"/>
  <c r="BB99" i="2"/>
  <c r="CN97" i="2"/>
  <c r="CH45" i="2"/>
  <c r="E33" i="2"/>
  <c r="L19" i="2"/>
  <c r="BC4" i="2"/>
  <c r="AH65" i="6"/>
  <c r="AM40" i="2"/>
  <c r="W85" i="2"/>
  <c r="BA15" i="2"/>
  <c r="AZ34" i="6"/>
  <c r="N2" i="2"/>
  <c r="P89" i="2"/>
  <c r="K78" i="6"/>
  <c r="BX50" i="2"/>
  <c r="AT21" i="2"/>
  <c r="CB58" i="2"/>
  <c r="BD21" i="2"/>
  <c r="BP37" i="2"/>
  <c r="Q86" i="2"/>
  <c r="AT55" i="2"/>
  <c r="BV98" i="2"/>
  <c r="CP94" i="2"/>
  <c r="BW42" i="2"/>
  <c r="BC97" i="2"/>
  <c r="AM53" i="2"/>
  <c r="E45" i="2"/>
  <c r="T81" i="2"/>
  <c r="CA86" i="2"/>
  <c r="BI93" i="2"/>
  <c r="BU3" i="2"/>
  <c r="BM44" i="2"/>
  <c r="L36" i="2"/>
  <c r="CK90" i="2"/>
  <c r="BG13" i="2"/>
  <c r="AF32" i="2"/>
  <c r="W65" i="2"/>
  <c r="BC84" i="2"/>
  <c r="BV61" i="2"/>
  <c r="BK75" i="6"/>
  <c r="K74" i="2"/>
  <c r="AN62" i="2"/>
  <c r="X11" i="2"/>
  <c r="BJ56" i="6"/>
  <c r="CR55" i="2"/>
  <c r="D55" i="2"/>
  <c r="U99" i="2"/>
  <c r="BC55" i="2"/>
  <c r="I76" i="2"/>
  <c r="C9" i="6"/>
  <c r="X44" i="2"/>
  <c r="BT29" i="2"/>
  <c r="AD61" i="2"/>
  <c r="CO77" i="2"/>
  <c r="AW60" i="2"/>
  <c r="AP4" i="2"/>
  <c r="BS39" i="2"/>
  <c r="N100" i="6"/>
  <c r="F46" i="2"/>
  <c r="AI93" i="2"/>
  <c r="BZ25" i="2"/>
  <c r="BP23" i="2"/>
  <c r="N25" i="2"/>
  <c r="J2" i="2"/>
  <c r="BT95" i="2"/>
  <c r="M18" i="2"/>
  <c r="J60" i="2"/>
  <c r="H49" i="2"/>
  <c r="AO62" i="2"/>
  <c r="BM5" i="2"/>
  <c r="CC38" i="2"/>
  <c r="BW69" i="2"/>
  <c r="L57" i="2"/>
  <c r="BV68" i="2"/>
  <c r="AN31" i="2"/>
  <c r="T87" i="6"/>
  <c r="BF69" i="6"/>
  <c r="BD90" i="6"/>
  <c r="G27" i="2"/>
  <c r="CC80" i="6"/>
  <c r="BP20" i="2"/>
  <c r="CC55" i="2"/>
  <c r="L20" i="2"/>
  <c r="G68" i="2"/>
  <c r="S87" i="2"/>
  <c r="AJ10" i="2"/>
  <c r="O40" i="2"/>
  <c r="Q27" i="2"/>
  <c r="CQ95" i="6"/>
  <c r="BM37" i="2"/>
  <c r="CI96" i="6"/>
  <c r="CB93" i="6"/>
  <c r="AA46" i="2"/>
  <c r="C21" i="2"/>
  <c r="CS73" i="2"/>
  <c r="O12" i="2"/>
  <c r="AN12" i="2"/>
  <c r="CO54" i="2"/>
  <c r="AQ94" i="2"/>
  <c r="AF67" i="2"/>
  <c r="AH96" i="6"/>
  <c r="AZ20" i="2"/>
  <c r="AG37" i="2"/>
  <c r="AK45" i="2"/>
  <c r="J100" i="6"/>
  <c r="AK7" i="2"/>
  <c r="CP17" i="2"/>
  <c r="P77" i="2"/>
  <c r="D66" i="2"/>
  <c r="BQ73" i="2"/>
  <c r="AB7" i="2"/>
  <c r="X51" i="2"/>
  <c r="CO42" i="2"/>
  <c r="X36" i="2"/>
  <c r="CH58" i="2"/>
  <c r="AK49" i="2"/>
  <c r="AW92" i="2"/>
  <c r="CH91" i="6"/>
  <c r="CD33" i="2"/>
  <c r="P35" i="2"/>
  <c r="AE75" i="2"/>
  <c r="BC94" i="2"/>
  <c r="AB71" i="6"/>
  <c r="CS35" i="2"/>
  <c r="BD93" i="6"/>
  <c r="S81" i="2"/>
  <c r="S45" i="2"/>
  <c r="BC7" i="2"/>
  <c r="AP79" i="2"/>
  <c r="CN91" i="6"/>
  <c r="CC19" i="2"/>
  <c r="CT17" i="2"/>
  <c r="AQ52" i="2"/>
  <c r="AN96" i="2"/>
  <c r="H38" i="2"/>
  <c r="AK77" i="2"/>
  <c r="H11" i="2"/>
  <c r="BL21" i="2"/>
  <c r="AN41" i="2"/>
  <c r="AW52" i="2"/>
  <c r="AM92" i="6"/>
  <c r="BG96" i="6"/>
  <c r="I18" i="2"/>
  <c r="BO72" i="2"/>
  <c r="BO36" i="2"/>
  <c r="J14" i="2"/>
  <c r="AM75" i="2"/>
  <c r="CN81" i="2"/>
  <c r="AA79" i="2"/>
  <c r="AT51" i="2"/>
  <c r="F84" i="6"/>
  <c r="BQ89" i="2"/>
  <c r="P78" i="2"/>
  <c r="M99" i="6"/>
  <c r="BI60" i="6"/>
  <c r="E18" i="2"/>
  <c r="N10" i="2"/>
  <c r="AW82" i="2"/>
  <c r="CH54" i="2"/>
  <c r="BX54" i="2"/>
  <c r="AI97" i="2"/>
  <c r="CI57" i="2"/>
  <c r="E41" i="2"/>
  <c r="BU55" i="2"/>
  <c r="AN78" i="6"/>
  <c r="R50" i="2"/>
  <c r="H35" i="2"/>
  <c r="H22" i="2"/>
  <c r="V40" i="2"/>
  <c r="T86" i="2"/>
  <c r="CR37" i="2"/>
  <c r="BW6" i="2"/>
  <c r="O42" i="2"/>
  <c r="G90" i="2"/>
  <c r="CC100" i="6"/>
  <c r="V72" i="2"/>
  <c r="BY55" i="2"/>
  <c r="Y22" i="2"/>
  <c r="BU10" i="2"/>
  <c r="CR72" i="2"/>
  <c r="CJ74" i="6"/>
  <c r="W64" i="2"/>
  <c r="BW58" i="2"/>
  <c r="AW2" i="2"/>
  <c r="AS90" i="2"/>
  <c r="AR78" i="6"/>
  <c r="CG2" i="2"/>
  <c r="BL50" i="2"/>
  <c r="AY49" i="2"/>
  <c r="CL52" i="2"/>
  <c r="U67" i="6"/>
  <c r="M61" i="6"/>
  <c r="BW46" i="2"/>
  <c r="AF45" i="2"/>
  <c r="AP88" i="2"/>
  <c r="I67" i="2"/>
  <c r="CD83" i="2"/>
  <c r="AK100" i="6"/>
  <c r="CJ85" i="6"/>
  <c r="AP5" i="2"/>
  <c r="BY58" i="6"/>
  <c r="CB41" i="2"/>
  <c r="CO53" i="2"/>
  <c r="K18" i="2"/>
  <c r="R75" i="2"/>
  <c r="BI52" i="6"/>
  <c r="CE66" i="6"/>
  <c r="Q32" i="2"/>
  <c r="R59" i="2"/>
  <c r="W45" i="2"/>
  <c r="CT13" i="2"/>
  <c r="W14" i="2"/>
  <c r="H81" i="2"/>
  <c r="BX65" i="6"/>
  <c r="CL83" i="2"/>
  <c r="C53" i="6"/>
  <c r="BG70" i="2"/>
  <c r="AU25" i="2"/>
  <c r="CB71" i="2"/>
  <c r="CP68" i="2"/>
  <c r="BA94" i="2"/>
  <c r="AN39" i="2"/>
  <c r="CG96" i="2"/>
  <c r="CB79" i="6"/>
  <c r="CL91" i="6"/>
  <c r="BI39" i="2"/>
  <c r="J85" i="2"/>
  <c r="N9" i="2"/>
  <c r="AU56" i="6"/>
  <c r="T32" i="2"/>
  <c r="BF68" i="2"/>
  <c r="CJ41" i="2"/>
  <c r="J80" i="6"/>
  <c r="Q48" i="2"/>
  <c r="I76" i="6"/>
  <c r="CR32" i="2"/>
  <c r="P66" i="2"/>
  <c r="CE88" i="2"/>
  <c r="P61" i="2"/>
  <c r="AP71" i="2"/>
  <c r="V31" i="2"/>
  <c r="CD54" i="2"/>
  <c r="BR65" i="6"/>
  <c r="AB70" i="2"/>
  <c r="CB13" i="2"/>
  <c r="S70" i="6"/>
  <c r="AW56" i="6"/>
  <c r="BC99" i="6"/>
  <c r="CC82" i="2"/>
  <c r="Q43" i="2"/>
  <c r="BU63" i="2"/>
  <c r="CI2" i="2"/>
  <c r="BZ76" i="2"/>
  <c r="AI81" i="2"/>
  <c r="CO15" i="2"/>
  <c r="BN22" i="2"/>
  <c r="CN100" i="2"/>
  <c r="AC81" i="6"/>
  <c r="CS19" i="2"/>
  <c r="AW40" i="2"/>
  <c r="AW14" i="2"/>
  <c r="CC66" i="2"/>
  <c r="I72" i="6"/>
  <c r="BG76" i="6"/>
  <c r="AZ35" i="2"/>
  <c r="BK20" i="2"/>
  <c r="CR82" i="2"/>
  <c r="AK90" i="2"/>
  <c r="AO31" i="2"/>
  <c r="AB9" i="2"/>
  <c r="R57" i="2"/>
  <c r="AI67" i="2"/>
  <c r="D75" i="6"/>
  <c r="AO27" i="6"/>
  <c r="AH29" i="2"/>
  <c r="G74" i="2"/>
  <c r="N85" i="6"/>
  <c r="CQ19" i="2"/>
  <c r="CT30" i="2"/>
  <c r="C88" i="2"/>
  <c r="K90" i="2"/>
  <c r="BO63" i="6"/>
  <c r="BZ42" i="2"/>
  <c r="AT95" i="2"/>
  <c r="Q83" i="2"/>
  <c r="BM19" i="2"/>
  <c r="BU33" i="2"/>
  <c r="AB67" i="2"/>
  <c r="O100" i="6"/>
  <c r="BD16" i="2"/>
  <c r="BX6" i="2"/>
  <c r="M25" i="2"/>
  <c r="AL92" i="2"/>
  <c r="AQ58" i="2"/>
  <c r="O44" i="2"/>
  <c r="J16" i="2"/>
  <c r="H64" i="2"/>
  <c r="CK83" i="2"/>
  <c r="BN73" i="2"/>
  <c r="CD63" i="2"/>
  <c r="AD69" i="2"/>
  <c r="H67" i="2"/>
  <c r="Y85" i="2"/>
  <c r="AU82" i="6"/>
  <c r="BO41" i="2"/>
  <c r="BP2" i="2"/>
  <c r="CA54" i="6"/>
  <c r="V42" i="2"/>
  <c r="CB53" i="2"/>
  <c r="G99" i="2"/>
  <c r="BL34" i="2"/>
  <c r="CM60" i="2"/>
  <c r="T80" i="2"/>
  <c r="BN36" i="2"/>
  <c r="AY85" i="6"/>
  <c r="S56" i="2"/>
  <c r="BX43" i="2"/>
  <c r="CN70" i="2"/>
  <c r="W55" i="2"/>
  <c r="J63" i="6"/>
  <c r="T87" i="2"/>
  <c r="AD85" i="2"/>
  <c r="CH73" i="6"/>
  <c r="AJ89" i="6"/>
  <c r="BO97" i="6"/>
  <c r="BR96" i="2"/>
  <c r="CA51" i="2"/>
  <c r="AM78" i="2"/>
  <c r="CD75" i="2"/>
  <c r="CF61" i="6"/>
  <c r="U68" i="2"/>
  <c r="AQ22" i="2"/>
  <c r="AH47" i="2"/>
  <c r="BB100" i="2"/>
  <c r="F25" i="2"/>
  <c r="O92" i="2"/>
  <c r="BC63" i="2"/>
  <c r="I72" i="2"/>
  <c r="CH76" i="6"/>
  <c r="AK80" i="2"/>
  <c r="AE31" i="2"/>
  <c r="AG17" i="2"/>
  <c r="AA76" i="2"/>
  <c r="O76" i="2"/>
  <c r="BI83" i="2"/>
  <c r="CI66" i="2"/>
  <c r="AG33" i="2"/>
  <c r="BK7" i="2"/>
  <c r="CN73" i="2"/>
  <c r="BQ91" i="2"/>
  <c r="AH98" i="2"/>
  <c r="CP70" i="6"/>
  <c r="BG84" i="2"/>
  <c r="AX24" i="2"/>
  <c r="V41" i="2"/>
  <c r="AJ54" i="2"/>
  <c r="BB22" i="2"/>
  <c r="CC63" i="2"/>
  <c r="CA53" i="6"/>
  <c r="BS36" i="2"/>
  <c r="L50" i="2"/>
  <c r="BM98" i="6"/>
  <c r="M71" i="2"/>
  <c r="AQ17" i="2"/>
  <c r="BG91" i="2"/>
  <c r="BO6" i="2"/>
  <c r="N26" i="2"/>
  <c r="BP86" i="2"/>
  <c r="CD41" i="6"/>
  <c r="CA59" i="2"/>
  <c r="CQ68" i="6"/>
  <c r="U3" i="2"/>
  <c r="CC99" i="2"/>
  <c r="CP86" i="2"/>
  <c r="AM96" i="2"/>
  <c r="X28" i="2"/>
  <c r="BD89" i="2"/>
  <c r="X71" i="6"/>
  <c r="BW48" i="2"/>
  <c r="BK29" i="2"/>
  <c r="M95" i="2"/>
  <c r="C87" i="2"/>
  <c r="CF68" i="2"/>
  <c r="J24" i="2"/>
  <c r="BH57" i="6"/>
  <c r="Y27" i="2"/>
  <c r="D83" i="2"/>
  <c r="BB54" i="2"/>
  <c r="CQ65" i="2"/>
  <c r="AV8" i="2"/>
  <c r="CA93" i="2"/>
  <c r="AJ92" i="2"/>
  <c r="AH60" i="2"/>
  <c r="AU74" i="6"/>
  <c r="CC96" i="6"/>
  <c r="CN44" i="2"/>
  <c r="AV70" i="2"/>
  <c r="BV71" i="2"/>
  <c r="CK68" i="6"/>
  <c r="BB63" i="2"/>
  <c r="AR39" i="2"/>
  <c r="AU78" i="2"/>
  <c r="AB73" i="6"/>
  <c r="S98" i="6"/>
  <c r="Y15" i="2"/>
  <c r="BH93" i="6"/>
  <c r="BG80" i="2"/>
  <c r="BZ32" i="2"/>
  <c r="Z4" i="2"/>
  <c r="BR27" i="2"/>
  <c r="T90" i="2"/>
  <c r="CQ97" i="6"/>
  <c r="BP83" i="2"/>
  <c r="AT68" i="2"/>
  <c r="AU69" i="2"/>
  <c r="BA31" i="2"/>
  <c r="BD87" i="2"/>
  <c r="AB79" i="2"/>
  <c r="V68" i="2"/>
  <c r="AN14" i="2"/>
  <c r="BX56" i="2"/>
  <c r="BR88" i="6"/>
  <c r="BW95" i="2"/>
  <c r="BW43" i="2"/>
  <c r="M76" i="2"/>
  <c r="AG59" i="2"/>
  <c r="BS10" i="2"/>
  <c r="BJ50" i="2"/>
  <c r="AD63" i="2"/>
  <c r="T10" i="2"/>
  <c r="CJ48" i="2"/>
  <c r="CB77" i="2"/>
  <c r="Z9" i="2"/>
  <c r="CN32" i="6"/>
  <c r="CP22" i="2"/>
  <c r="BB25" i="2"/>
  <c r="F61" i="2"/>
  <c r="AG94" i="6"/>
  <c r="CT68" i="2"/>
  <c r="CD100" i="2"/>
  <c r="AC16" i="2"/>
  <c r="AM57" i="2"/>
  <c r="CN78" i="2"/>
  <c r="AB53" i="2"/>
  <c r="CN80" i="6"/>
  <c r="J17" i="2"/>
  <c r="CN92" i="2"/>
  <c r="BJ9" i="2"/>
  <c r="BO12" i="2"/>
  <c r="CR79" i="2"/>
  <c r="BS30" i="2"/>
  <c r="BK91" i="6"/>
  <c r="CE99" i="2"/>
  <c r="AJ71" i="2"/>
  <c r="AE80" i="2"/>
  <c r="Z72" i="6"/>
  <c r="BI77" i="2"/>
  <c r="BW28" i="2"/>
  <c r="BA39" i="2"/>
  <c r="U13" i="2"/>
  <c r="AJ54" i="6"/>
  <c r="BH50" i="2"/>
  <c r="AF60" i="2"/>
  <c r="P42" i="2"/>
  <c r="CA46" i="2"/>
  <c r="AB36" i="2"/>
  <c r="S58" i="2"/>
  <c r="L13" i="2"/>
  <c r="CH95" i="2"/>
  <c r="G23" i="2"/>
  <c r="BX95" i="2"/>
  <c r="G57" i="2"/>
  <c r="CO96" i="2"/>
  <c r="V70" i="2"/>
  <c r="N33" i="2"/>
  <c r="BO29" i="2"/>
  <c r="AM91" i="2"/>
  <c r="R78" i="2"/>
  <c r="BW91" i="2"/>
  <c r="AF54" i="2"/>
  <c r="AL56" i="2"/>
  <c r="AH100" i="6"/>
  <c r="BG58" i="2"/>
  <c r="CQ7" i="2"/>
  <c r="BN31" i="2"/>
  <c r="BW93" i="6"/>
  <c r="BV15" i="2"/>
  <c r="J48" i="2"/>
  <c r="N58" i="2"/>
  <c r="BQ28" i="2"/>
  <c r="BP4" i="2"/>
  <c r="AI80" i="2"/>
  <c r="AR67" i="2"/>
  <c r="BD94" i="2"/>
  <c r="BE87" i="2"/>
  <c r="AQ43" i="2"/>
  <c r="BL91" i="6"/>
  <c r="F47" i="6"/>
  <c r="BA72" i="2"/>
  <c r="AP68" i="2"/>
  <c r="CO59" i="2"/>
  <c r="CA61" i="2"/>
  <c r="CB51" i="2"/>
  <c r="BY63" i="2"/>
  <c r="CF82" i="2"/>
  <c r="AY13" i="2"/>
  <c r="AM84" i="6"/>
  <c r="S94" i="2"/>
  <c r="BO84" i="6"/>
  <c r="CP92" i="6"/>
  <c r="CL79" i="2"/>
  <c r="CT41" i="2"/>
  <c r="BZ29" i="2"/>
  <c r="H48" i="2"/>
  <c r="AE69" i="2"/>
  <c r="CG24" i="2"/>
  <c r="BS97" i="2"/>
  <c r="BZ100" i="6"/>
  <c r="BH72" i="2"/>
  <c r="BP81" i="2"/>
  <c r="AW37" i="2"/>
  <c r="BN24" i="2"/>
  <c r="AL98" i="2"/>
  <c r="CA97" i="6"/>
  <c r="U5" i="2"/>
  <c r="N44" i="2"/>
  <c r="CR76" i="2"/>
  <c r="AF95" i="2"/>
  <c r="BW30" i="2"/>
  <c r="CD74" i="2"/>
  <c r="BA7" i="2"/>
  <c r="CT100" i="2"/>
  <c r="CS80" i="2"/>
  <c r="AO93" i="6"/>
  <c r="D64" i="2"/>
  <c r="CN74" i="6"/>
  <c r="CO60" i="2"/>
  <c r="X55" i="2"/>
  <c r="AT93" i="2"/>
  <c r="BM77" i="2"/>
  <c r="BT38" i="2"/>
  <c r="AW72" i="6"/>
  <c r="BF86" i="2"/>
  <c r="AN51" i="2"/>
  <c r="AH93" i="2"/>
  <c r="BS4" i="2"/>
  <c r="AK98" i="6"/>
  <c r="AP37" i="2"/>
  <c r="S97" i="2"/>
  <c r="CO18" i="2"/>
  <c r="AO56" i="2"/>
  <c r="CQ16" i="2"/>
  <c r="O46" i="2"/>
  <c r="BW77" i="6"/>
  <c r="BB53" i="2"/>
  <c r="V100" i="6"/>
  <c r="AU63" i="2"/>
  <c r="BN78" i="2"/>
  <c r="CF63" i="2"/>
  <c r="BX30" i="2"/>
  <c r="CS79" i="2"/>
  <c r="BQ10" i="2"/>
  <c r="CG34" i="2"/>
  <c r="CD34" i="2"/>
  <c r="CS66" i="2"/>
  <c r="AM35" i="2"/>
  <c r="R42" i="6"/>
  <c r="BS27" i="2"/>
  <c r="CK84" i="2"/>
  <c r="BE44" i="2"/>
  <c r="BB46" i="2"/>
  <c r="L57" i="6"/>
  <c r="P69" i="2"/>
  <c r="BB2" i="2"/>
  <c r="AM100" i="2"/>
  <c r="P9" i="2"/>
  <c r="Q19" i="2"/>
  <c r="AI47" i="2"/>
  <c r="M75" i="2"/>
  <c r="AJ99" i="2"/>
  <c r="AX80" i="2"/>
  <c r="C14" i="2"/>
  <c r="AY59" i="2"/>
  <c r="O94" i="6"/>
  <c r="AV66" i="2"/>
  <c r="CM2" i="2"/>
  <c r="F38" i="2"/>
  <c r="AX100" i="6"/>
  <c r="BO26" i="2"/>
  <c r="CQ22" i="2"/>
  <c r="AD46" i="2"/>
  <c r="AV6" i="2"/>
  <c r="AN38" i="2"/>
  <c r="BY16" i="2"/>
  <c r="J32" i="2"/>
  <c r="AH80" i="2"/>
  <c r="AT71" i="2"/>
  <c r="AJ48" i="2"/>
  <c r="CT44" i="2"/>
  <c r="G92" i="2"/>
  <c r="BQ76" i="6"/>
  <c r="T98" i="6"/>
  <c r="BT44" i="2"/>
  <c r="S62" i="2"/>
  <c r="BX62" i="2"/>
  <c r="BO69" i="2"/>
  <c r="CQ92" i="6"/>
  <c r="CH38" i="6"/>
  <c r="AE63" i="2"/>
  <c r="AD82" i="6"/>
  <c r="BU59" i="2"/>
  <c r="CF98" i="2"/>
  <c r="AJ15" i="2"/>
  <c r="CC77" i="6"/>
  <c r="X27" i="2"/>
  <c r="CL42" i="2"/>
  <c r="BB57" i="2"/>
  <c r="I57" i="6"/>
  <c r="BL61" i="2"/>
  <c r="BY59" i="2"/>
  <c r="CF87" i="2"/>
  <c r="BM100" i="2"/>
  <c r="CK44" i="2"/>
  <c r="CN37" i="2"/>
  <c r="BG18" i="2"/>
  <c r="S74" i="2"/>
  <c r="K94" i="2"/>
  <c r="W19" i="2"/>
  <c r="CQ29" i="2"/>
  <c r="H33" i="2"/>
  <c r="CL7" i="2"/>
  <c r="M61" i="2"/>
  <c r="U90" i="6"/>
  <c r="E37" i="2"/>
  <c r="BS20" i="2"/>
  <c r="CA77" i="2"/>
  <c r="AE59" i="2"/>
  <c r="AJ87" i="2"/>
  <c r="Q45" i="2"/>
  <c r="BR93" i="6"/>
  <c r="BS8" i="2"/>
  <c r="K91" i="2"/>
  <c r="BA74" i="2"/>
  <c r="CL85" i="2"/>
  <c r="V35" i="2"/>
  <c r="BD30" i="6"/>
  <c r="AP15" i="2"/>
  <c r="BZ79" i="2"/>
  <c r="CC47" i="2"/>
  <c r="S83" i="2"/>
  <c r="BW77" i="2"/>
  <c r="CM47" i="2"/>
  <c r="BW72" i="2"/>
  <c r="CE69" i="2"/>
  <c r="BO79" i="2"/>
  <c r="BE14" i="2"/>
  <c r="CL49" i="2"/>
  <c r="AG35" i="2"/>
  <c r="K5" i="2"/>
  <c r="CC80" i="2"/>
  <c r="N19" i="2"/>
  <c r="CJ19" i="2"/>
  <c r="AK48" i="2"/>
  <c r="BU4" i="2"/>
  <c r="CT56" i="2"/>
  <c r="AL8" i="2"/>
  <c r="E56" i="2"/>
  <c r="BB88" i="2"/>
  <c r="BL19" i="2"/>
  <c r="I30" i="2"/>
  <c r="I13" i="2"/>
  <c r="AJ41" i="2"/>
  <c r="W46" i="2"/>
  <c r="K83" i="6"/>
  <c r="CK97" i="2"/>
  <c r="AW69" i="6"/>
  <c r="L81" i="2"/>
  <c r="V93" i="2"/>
  <c r="BX61" i="2"/>
  <c r="AD68" i="6"/>
  <c r="L100" i="2"/>
  <c r="BL32" i="2"/>
  <c r="AC50" i="2"/>
  <c r="CO36" i="2"/>
  <c r="CT81" i="2"/>
  <c r="BM29" i="2"/>
  <c r="CR10" i="2"/>
  <c r="BE20" i="2"/>
  <c r="AO21" i="2"/>
  <c r="AP53" i="2"/>
  <c r="CB44" i="2"/>
  <c r="AE61" i="2"/>
  <c r="BK87" i="2"/>
  <c r="AJ94" i="2"/>
  <c r="S90" i="2"/>
  <c r="CR86" i="2"/>
  <c r="CJ49" i="2"/>
  <c r="AG34" i="2"/>
  <c r="BB63" i="6"/>
  <c r="CJ83" i="2"/>
  <c r="AL18" i="2"/>
  <c r="AK19" i="2"/>
  <c r="BI46" i="6"/>
  <c r="C31" i="2"/>
  <c r="BI96" i="6"/>
  <c r="BA27" i="2"/>
  <c r="BL96" i="2"/>
  <c r="M84" i="2"/>
  <c r="W63" i="2"/>
  <c r="AG36" i="2"/>
  <c r="BA73" i="6"/>
  <c r="BW18" i="2"/>
  <c r="AS34" i="2"/>
  <c r="BG72" i="2"/>
  <c r="AM39" i="2"/>
  <c r="K78" i="2"/>
  <c r="BC93" i="2"/>
  <c r="AV53" i="2"/>
  <c r="AZ84" i="2"/>
  <c r="U26" i="2"/>
  <c r="CJ39" i="2"/>
  <c r="P83" i="6"/>
  <c r="BI4" i="2"/>
  <c r="E54" i="2"/>
  <c r="I64" i="2"/>
  <c r="AX48" i="2"/>
  <c r="J75" i="2"/>
  <c r="BZ51" i="2"/>
  <c r="AN96" i="6"/>
  <c r="BG85" i="2"/>
  <c r="AO92" i="2"/>
  <c r="X67" i="2"/>
  <c r="AB98" i="6"/>
  <c r="AC39" i="2"/>
  <c r="CJ6" i="2"/>
  <c r="AV78" i="2"/>
  <c r="O27" i="2"/>
  <c r="AH52" i="2"/>
  <c r="H68" i="2"/>
  <c r="T40" i="2"/>
  <c r="CM83" i="2"/>
  <c r="BD42" i="2"/>
  <c r="BS34" i="2"/>
  <c r="AW98" i="2"/>
  <c r="CI82" i="6"/>
  <c r="K14" i="2"/>
  <c r="BL17" i="2"/>
  <c r="CN63" i="6"/>
  <c r="BV69" i="6"/>
  <c r="CE30" i="6"/>
  <c r="O91" i="2"/>
  <c r="T35" i="2"/>
  <c r="CG12" i="2"/>
  <c r="BX75" i="2"/>
  <c r="BV28" i="2"/>
  <c r="BY54" i="2"/>
  <c r="BH76" i="2"/>
  <c r="BU68" i="6"/>
  <c r="O22" i="2"/>
  <c r="F91" i="6"/>
  <c r="AS8" i="2"/>
  <c r="BP55" i="2"/>
  <c r="BH43" i="2"/>
  <c r="Z96" i="2"/>
  <c r="F94" i="6"/>
  <c r="BZ97" i="2"/>
  <c r="AG79" i="2"/>
  <c r="CQ75" i="2"/>
  <c r="AK8" i="2"/>
  <c r="AE6" i="2"/>
  <c r="AM73" i="2"/>
  <c r="CJ99" i="6"/>
  <c r="AY84" i="6"/>
  <c r="J4" i="2"/>
  <c r="W57" i="2"/>
  <c r="BX4" i="2"/>
  <c r="BO62" i="6"/>
  <c r="Q85" i="2"/>
  <c r="BS32" i="2"/>
  <c r="CK93" i="6"/>
  <c r="BY87" i="2"/>
  <c r="BI98" i="2"/>
  <c r="CJ13" i="2"/>
  <c r="Z78" i="6"/>
  <c r="U86" i="2"/>
  <c r="C78" i="2"/>
  <c r="AS94" i="2"/>
  <c r="CN71" i="2"/>
  <c r="AI75" i="6"/>
  <c r="CI97" i="2"/>
  <c r="AD97" i="2"/>
  <c r="BS100" i="6"/>
  <c r="AB60" i="2"/>
  <c r="AS95" i="2"/>
  <c r="CN87" i="2"/>
  <c r="F37" i="2"/>
  <c r="U33" i="2"/>
  <c r="AI93" i="6"/>
  <c r="AI35" i="2"/>
  <c r="BO76" i="2"/>
  <c r="BH93" i="2"/>
  <c r="CP42" i="2"/>
  <c r="BW64" i="2"/>
  <c r="R53" i="2"/>
  <c r="CA100" i="2"/>
  <c r="CB68" i="2"/>
  <c r="BK43" i="2"/>
  <c r="CR88" i="6"/>
  <c r="AF23" i="2"/>
  <c r="V54" i="2"/>
  <c r="AY70" i="2"/>
  <c r="U34" i="2"/>
  <c r="AZ70" i="2"/>
  <c r="CJ37" i="2"/>
  <c r="C74" i="2"/>
  <c r="BL93" i="2"/>
  <c r="CT36" i="2"/>
  <c r="AS65" i="6"/>
  <c r="AH98" i="6"/>
  <c r="AL73" i="2"/>
  <c r="BK56" i="2"/>
  <c r="BG3" i="2"/>
  <c r="X65" i="2"/>
  <c r="CS5" i="2"/>
  <c r="BL96" i="6"/>
  <c r="BY95" i="2"/>
  <c r="BT45" i="2"/>
  <c r="AS74" i="6"/>
  <c r="G32" i="2"/>
  <c r="AB84" i="2"/>
  <c r="U54" i="6"/>
  <c r="L9" i="2"/>
  <c r="I96" i="2"/>
  <c r="CA71" i="2"/>
  <c r="X61" i="2"/>
  <c r="AH45" i="2"/>
  <c r="AT87" i="2"/>
  <c r="AW31" i="2"/>
  <c r="P48" i="2"/>
  <c r="AW50" i="6"/>
  <c r="BA68" i="2"/>
  <c r="CA54" i="2"/>
  <c r="P96" i="2"/>
  <c r="AW45" i="2"/>
  <c r="CN72" i="2"/>
  <c r="Z95" i="2"/>
  <c r="CJ93" i="2"/>
  <c r="CK87" i="2"/>
  <c r="CB83" i="2"/>
  <c r="G61" i="2"/>
  <c r="AD99" i="2"/>
  <c r="F93" i="2"/>
  <c r="H74" i="2"/>
  <c r="BT40" i="2"/>
  <c r="O97" i="2"/>
  <c r="BK81" i="2"/>
  <c r="AE56" i="2"/>
  <c r="D96" i="2"/>
  <c r="CK52" i="2"/>
  <c r="AE66" i="6"/>
  <c r="R41" i="2"/>
  <c r="BK95" i="2"/>
  <c r="D3" i="2"/>
  <c r="U38" i="2"/>
  <c r="M99" i="2"/>
  <c r="BA25" i="2"/>
  <c r="AH46" i="2"/>
  <c r="L80" i="2"/>
  <c r="J80" i="2"/>
  <c r="BR78" i="6"/>
  <c r="BT75" i="6"/>
  <c r="BX77" i="2"/>
  <c r="AB16" i="2"/>
  <c r="AW50" i="2"/>
  <c r="X53" i="2"/>
  <c r="AM71" i="2"/>
  <c r="AX86" i="2"/>
  <c r="AO54" i="2"/>
  <c r="BH13" i="2"/>
  <c r="R17" i="2"/>
  <c r="BI51" i="2"/>
  <c r="CR19" i="2"/>
  <c r="Y92" i="6"/>
  <c r="F40" i="2"/>
  <c r="AJ75" i="2"/>
  <c r="W95" i="6"/>
  <c r="BO91" i="2"/>
  <c r="AY24" i="2"/>
  <c r="AR24" i="2"/>
  <c r="V12" i="2"/>
  <c r="BF64" i="2"/>
  <c r="K64" i="2"/>
  <c r="BQ69" i="2"/>
  <c r="CK10" i="2"/>
  <c r="Y14" i="2"/>
  <c r="CN47" i="2"/>
  <c r="BA62" i="2"/>
  <c r="Z47" i="2"/>
  <c r="BW71" i="2"/>
  <c r="V99" i="6"/>
  <c r="CL43" i="2"/>
  <c r="AP98" i="6"/>
  <c r="BO92" i="2"/>
  <c r="I3" i="2"/>
  <c r="Q28" i="2"/>
  <c r="AJ46" i="2"/>
  <c r="BX99" i="2"/>
  <c r="BR49" i="2"/>
  <c r="BG16" i="2"/>
  <c r="AF69" i="2"/>
  <c r="X38" i="2"/>
  <c r="AI82" i="2"/>
  <c r="BC34" i="2"/>
  <c r="BC53" i="2"/>
  <c r="BC32" i="2"/>
  <c r="AF62" i="2"/>
  <c r="BT94" i="2"/>
  <c r="CT80" i="2"/>
  <c r="CR2" i="2"/>
  <c r="CQ38" i="2"/>
  <c r="AO34" i="2"/>
  <c r="N59" i="2"/>
  <c r="BR93" i="2"/>
  <c r="O14" i="2"/>
  <c r="AZ66" i="2"/>
  <c r="BS6" i="2"/>
  <c r="CS93" i="2"/>
  <c r="BE95" i="6"/>
  <c r="AM18" i="2"/>
  <c r="CG97" i="6"/>
  <c r="AB29" i="2"/>
  <c r="Q33" i="2"/>
  <c r="AV59" i="2"/>
  <c r="CO27" i="2"/>
  <c r="CE21" i="2"/>
  <c r="BG66" i="2"/>
  <c r="BK51" i="2"/>
  <c r="AN85" i="6"/>
  <c r="C20" i="6"/>
  <c r="U8" i="2"/>
  <c r="AE36" i="2"/>
  <c r="CC84" i="2"/>
  <c r="AP23" i="2"/>
  <c r="CA80" i="2"/>
  <c r="AQ13" i="2"/>
  <c r="BQ60" i="2"/>
  <c r="BJ23" i="2"/>
  <c r="CT78" i="2"/>
  <c r="BL62" i="2"/>
  <c r="CD87" i="2"/>
  <c r="BE23" i="2"/>
  <c r="R76" i="2"/>
  <c r="BJ77" i="6"/>
  <c r="AA53" i="6"/>
  <c r="R99" i="6"/>
  <c r="CF35" i="2"/>
  <c r="BX21" i="2"/>
  <c r="AT29" i="2"/>
  <c r="D38" i="2"/>
  <c r="U15" i="2"/>
  <c r="AN99" i="6"/>
  <c r="J81" i="2"/>
  <c r="CH16" i="2"/>
  <c r="BD37" i="2"/>
  <c r="C52" i="2"/>
  <c r="BT70" i="2"/>
  <c r="AG47" i="2"/>
  <c r="BD30" i="2"/>
  <c r="BB27" i="2"/>
  <c r="V97" i="6"/>
  <c r="T89" i="2"/>
  <c r="BF35" i="2"/>
  <c r="BA22" i="2"/>
  <c r="CG41" i="2"/>
  <c r="AO2" i="2"/>
  <c r="H87" i="6"/>
  <c r="AF27" i="2"/>
  <c r="CP78" i="2"/>
  <c r="CF40" i="6"/>
  <c r="AY75" i="2"/>
  <c r="AM10" i="2"/>
  <c r="AU84" i="2"/>
  <c r="BV14" i="2"/>
  <c r="CC61" i="2"/>
  <c r="AB88" i="2"/>
  <c r="M21" i="2"/>
  <c r="BS51" i="2"/>
  <c r="R77" i="6"/>
  <c r="BJ4" i="2"/>
  <c r="AX60" i="2"/>
  <c r="CM40" i="2"/>
  <c r="AA56" i="2"/>
  <c r="AL94" i="2"/>
  <c r="CG51" i="2"/>
  <c r="M73" i="2"/>
  <c r="BF13" i="2"/>
  <c r="N11" i="2"/>
  <c r="BC68" i="2"/>
  <c r="BG98" i="6"/>
  <c r="AH81" i="6"/>
  <c r="CQ30" i="2"/>
  <c r="CB86" i="2"/>
  <c r="CK15" i="2"/>
  <c r="G51" i="2"/>
  <c r="AJ82" i="6"/>
  <c r="AT37" i="2"/>
  <c r="AC73" i="2"/>
  <c r="V49" i="2"/>
  <c r="CQ9" i="2"/>
  <c r="AA40" i="2"/>
  <c r="BU52" i="2"/>
  <c r="I79" i="2"/>
  <c r="E22" i="2"/>
  <c r="F17" i="2"/>
  <c r="S42" i="2"/>
  <c r="CF73" i="2"/>
  <c r="AT99" i="2"/>
  <c r="CH86" i="2"/>
  <c r="BC2" i="2"/>
  <c r="AM99" i="6"/>
  <c r="CL37" i="2"/>
  <c r="AB87" i="2"/>
  <c r="CP63" i="2"/>
  <c r="AO36" i="2"/>
  <c r="BJ71" i="2"/>
  <c r="Y62" i="2"/>
  <c r="AT67" i="6"/>
  <c r="CI89" i="6"/>
  <c r="AS36" i="2"/>
  <c r="BV94" i="2"/>
  <c r="CM17" i="2"/>
  <c r="AT47" i="2"/>
  <c r="CF70" i="2"/>
  <c r="BP72" i="6"/>
  <c r="BD98" i="6"/>
  <c r="AT35" i="2"/>
  <c r="E20" i="2"/>
  <c r="BS22" i="2"/>
  <c r="E76" i="6"/>
  <c r="Q87" i="2"/>
  <c r="CC22" i="2"/>
  <c r="AO15" i="2"/>
  <c r="BA99" i="2"/>
  <c r="BU19" i="2"/>
  <c r="CD23" i="2"/>
  <c r="CJ77" i="2"/>
  <c r="AH21" i="2"/>
  <c r="C30" i="2"/>
  <c r="U91" i="6"/>
  <c r="CG99" i="2"/>
  <c r="L45" i="2"/>
  <c r="CL28" i="2"/>
  <c r="CR42" i="2"/>
  <c r="BJ13" i="2"/>
  <c r="CF43" i="2"/>
  <c r="BU22" i="2"/>
  <c r="M9" i="2"/>
  <c r="H47" i="2"/>
  <c r="AK21" i="2"/>
  <c r="AG32" i="2"/>
  <c r="BZ38" i="2"/>
  <c r="V95" i="6"/>
  <c r="AQ30" i="2"/>
  <c r="AI78" i="6"/>
  <c r="CL40" i="2"/>
  <c r="BQ64" i="2"/>
  <c r="BU41" i="2"/>
  <c r="CO76" i="2"/>
  <c r="BT52" i="2"/>
  <c r="J42" i="2"/>
  <c r="I97" i="2"/>
  <c r="AY16" i="2"/>
  <c r="CC89" i="2"/>
  <c r="AF98" i="2"/>
  <c r="Y70" i="2"/>
  <c r="AN69" i="2"/>
  <c r="R92" i="2"/>
  <c r="BA5" i="2"/>
  <c r="CQ58" i="2"/>
  <c r="BL92" i="2"/>
  <c r="W89" i="6"/>
  <c r="BY49" i="2"/>
  <c r="BI8" i="2"/>
  <c r="BY84" i="2"/>
  <c r="BR63" i="2"/>
  <c r="CH89" i="2"/>
  <c r="BA41" i="2"/>
  <c r="Y77" i="6"/>
  <c r="G91" i="2"/>
  <c r="BU49" i="2"/>
  <c r="CS64" i="2"/>
  <c r="D94" i="6"/>
  <c r="AS85" i="2"/>
  <c r="BV83" i="2"/>
  <c r="BY66" i="2"/>
  <c r="L54" i="2"/>
  <c r="R97" i="2"/>
  <c r="AU98" i="2"/>
  <c r="Y88" i="2"/>
  <c r="AA33" i="2"/>
  <c r="BO8" i="2"/>
  <c r="BS56" i="2"/>
  <c r="L88" i="2"/>
  <c r="CK47" i="2"/>
  <c r="AZ58" i="6"/>
  <c r="U88" i="2"/>
  <c r="X56" i="2"/>
  <c r="BW41" i="6"/>
  <c r="AK54" i="2"/>
  <c r="CP97" i="2"/>
  <c r="CI79" i="2"/>
  <c r="BF85" i="2"/>
  <c r="AQ34" i="2"/>
  <c r="D48" i="2"/>
  <c r="CJ38" i="2"/>
  <c r="AT44" i="2"/>
  <c r="M40" i="2"/>
  <c r="Q22" i="2"/>
  <c r="G10" i="2"/>
  <c r="AV79" i="6"/>
  <c r="T47" i="6"/>
  <c r="H19" i="2"/>
  <c r="BD7" i="2"/>
  <c r="CP39" i="2"/>
  <c r="C38" i="6"/>
  <c r="BC39" i="6"/>
  <c r="R82" i="2"/>
  <c r="CD84" i="2"/>
  <c r="CJ20" i="2"/>
  <c r="BM85" i="2"/>
  <c r="BB62" i="6"/>
  <c r="Y42" i="2"/>
  <c r="AA84" i="2"/>
  <c r="CA94" i="2"/>
  <c r="BR34" i="2"/>
  <c r="CK97" i="6"/>
  <c r="CF54" i="2"/>
  <c r="BN10" i="2"/>
  <c r="CP83" i="2"/>
  <c r="AO69" i="2"/>
  <c r="Q88" i="6"/>
  <c r="BX40" i="2"/>
  <c r="AZ9" i="2"/>
  <c r="J10" i="2"/>
  <c r="BD89" i="6"/>
  <c r="BQ13" i="2"/>
  <c r="AK69" i="6"/>
  <c r="H92" i="2"/>
  <c r="BI69" i="6"/>
  <c r="AH76" i="2"/>
  <c r="X72" i="2"/>
  <c r="AP72" i="2"/>
  <c r="BE59" i="2"/>
  <c r="BB43" i="2"/>
  <c r="V37" i="2"/>
  <c r="BF70" i="2"/>
  <c r="AV39" i="2"/>
  <c r="BH56" i="2"/>
  <c r="AM12" i="2"/>
  <c r="AD96" i="6"/>
  <c r="BY62" i="6"/>
  <c r="BR62" i="2"/>
  <c r="AW99" i="2"/>
  <c r="AD30" i="2"/>
  <c r="AS43" i="2"/>
  <c r="CP30" i="2"/>
  <c r="AR44" i="2"/>
  <c r="S84" i="2"/>
  <c r="C6" i="2"/>
  <c r="H42" i="2"/>
  <c r="AJ86" i="2"/>
  <c r="E73" i="2"/>
  <c r="O81" i="2"/>
  <c r="Z33" i="2"/>
  <c r="F6" i="2"/>
  <c r="N81" i="2"/>
  <c r="I70" i="2"/>
  <c r="BA100" i="2"/>
  <c r="AW93" i="2"/>
  <c r="BW61" i="2"/>
  <c r="O75" i="2"/>
  <c r="C42" i="2"/>
  <c r="AN61" i="2"/>
  <c r="AJ31" i="2"/>
  <c r="BZ63" i="6"/>
  <c r="AB82" i="2"/>
  <c r="I8" i="2"/>
  <c r="AB95" i="2"/>
  <c r="AU92" i="2"/>
  <c r="BZ55" i="2"/>
  <c r="Y67" i="2"/>
  <c r="BN59" i="2"/>
  <c r="BD62" i="6"/>
  <c r="AJ79" i="2"/>
  <c r="CN62" i="2"/>
  <c r="L29" i="2"/>
  <c r="AU42" i="2"/>
  <c r="AG89" i="2"/>
  <c r="AL4" i="2"/>
  <c r="AS99" i="2"/>
  <c r="BR74" i="2"/>
  <c r="E13" i="2"/>
  <c r="AO89" i="2"/>
  <c r="CH82" i="2"/>
  <c r="AX39" i="2"/>
  <c r="AO5" i="2"/>
  <c r="L72" i="2"/>
  <c r="AC4" i="2"/>
  <c r="BB79" i="2"/>
  <c r="CQ33" i="2"/>
  <c r="CP79" i="2"/>
  <c r="AC99" i="2"/>
  <c r="BZ61" i="2"/>
  <c r="AB94" i="2"/>
  <c r="P67" i="2"/>
  <c r="AB30" i="2"/>
  <c r="BL85" i="2"/>
  <c r="J8" i="2"/>
  <c r="J73" i="2"/>
  <c r="CT97" i="2"/>
  <c r="CG63" i="2"/>
  <c r="AC76" i="2"/>
  <c r="CD4" i="2"/>
  <c r="CO8" i="2"/>
  <c r="CE30" i="2"/>
  <c r="M52" i="2"/>
  <c r="AP62" i="2"/>
  <c r="CQ99" i="6"/>
  <c r="D88" i="2"/>
  <c r="CL58" i="2"/>
  <c r="BY72" i="2"/>
  <c r="K32" i="2"/>
  <c r="D36" i="2"/>
  <c r="AA50" i="2"/>
  <c r="CM19" i="2"/>
  <c r="AO82" i="2"/>
  <c r="AH88" i="2"/>
  <c r="AR81" i="2"/>
  <c r="CM75" i="2"/>
  <c r="CR27" i="2"/>
  <c r="CG84" i="6"/>
  <c r="CA87" i="2"/>
  <c r="R46" i="2"/>
  <c r="CH92" i="6"/>
  <c r="AA32" i="2"/>
  <c r="AD22" i="2"/>
  <c r="BW55" i="2"/>
  <c r="AY46" i="2"/>
  <c r="AY48" i="2"/>
  <c r="AS92" i="2"/>
  <c r="CI52" i="6"/>
  <c r="BK70" i="2"/>
  <c r="AE58" i="2"/>
  <c r="O73" i="6"/>
  <c r="AI66" i="2"/>
  <c r="BS11" i="2"/>
  <c r="BO82" i="6"/>
  <c r="E59" i="2"/>
  <c r="BK34" i="2"/>
  <c r="AW78" i="2"/>
  <c r="AD12" i="2"/>
  <c r="AL70" i="2"/>
  <c r="N51" i="2"/>
  <c r="H77" i="6"/>
  <c r="AF25" i="2"/>
  <c r="BM99" i="2"/>
  <c r="K15" i="2"/>
  <c r="AV67" i="2"/>
  <c r="M29" i="2"/>
  <c r="AX98" i="6"/>
  <c r="AD92" i="2"/>
  <c r="S53" i="2"/>
  <c r="M66" i="6"/>
  <c r="BX37" i="2"/>
  <c r="BP24" i="2"/>
  <c r="S80" i="6"/>
  <c r="D4" i="2"/>
  <c r="U42" i="2"/>
  <c r="L65" i="2"/>
  <c r="AF96" i="2"/>
  <c r="CT42" i="2"/>
  <c r="AU59" i="2"/>
  <c r="BU69" i="6"/>
  <c r="AV29" i="2"/>
  <c r="M45" i="2"/>
  <c r="M77" i="2"/>
  <c r="AU53" i="2"/>
  <c r="W16" i="2"/>
  <c r="BW86" i="2"/>
  <c r="N62" i="2"/>
  <c r="BJ81" i="6"/>
  <c r="BT66" i="2"/>
  <c r="J97" i="2"/>
  <c r="BI88" i="2"/>
  <c r="BD50" i="2"/>
  <c r="CN95" i="6"/>
  <c r="C79" i="2"/>
  <c r="BD48" i="2"/>
  <c r="CA94" i="6"/>
  <c r="CF40" i="2"/>
  <c r="CH94" i="6"/>
  <c r="D75" i="2"/>
  <c r="C20" i="2"/>
  <c r="BW47" i="2"/>
  <c r="AQ87" i="2"/>
  <c r="BA31" i="6"/>
  <c r="AE42" i="2"/>
  <c r="AW3" i="2"/>
  <c r="BE24" i="2"/>
  <c r="E7" i="2"/>
  <c r="BY11" i="2"/>
  <c r="BL51" i="2"/>
  <c r="Z12" i="2"/>
  <c r="BS84" i="2"/>
  <c r="CA87" i="6"/>
  <c r="C23" i="2"/>
  <c r="CH70" i="2"/>
  <c r="BN4" i="2"/>
  <c r="AJ85" i="6"/>
  <c r="AU94" i="2"/>
  <c r="Z70" i="2"/>
  <c r="P76" i="2"/>
  <c r="AB49" i="2"/>
  <c r="BF80" i="2"/>
  <c r="CP26" i="2"/>
  <c r="P76" i="6"/>
  <c r="BW65" i="2"/>
  <c r="AV73" i="2"/>
  <c r="AT26" i="2"/>
  <c r="BK99" i="2"/>
  <c r="BR70" i="6"/>
  <c r="AG90" i="2"/>
  <c r="G33" i="2"/>
  <c r="CM41" i="6"/>
  <c r="AJ93" i="2"/>
  <c r="BR7" i="2"/>
  <c r="BD66" i="2"/>
  <c r="AX40" i="2"/>
  <c r="BK84" i="6"/>
  <c r="Y45" i="2"/>
  <c r="BA26" i="2"/>
  <c r="CN54" i="2"/>
  <c r="F96" i="6"/>
  <c r="BY57" i="6"/>
  <c r="BN46" i="2"/>
  <c r="BJ82" i="2"/>
  <c r="W94" i="2"/>
  <c r="AC67" i="2"/>
  <c r="BY84" i="6"/>
  <c r="R57" i="6"/>
  <c r="BX83" i="6"/>
  <c r="D18" i="2"/>
  <c r="BE97" i="6"/>
  <c r="O72" i="2"/>
  <c r="BI54" i="2"/>
  <c r="AL78" i="6"/>
  <c r="AP75" i="2"/>
  <c r="BE84" i="2"/>
  <c r="CQ51" i="2"/>
  <c r="BF88" i="2"/>
  <c r="BH8" i="2"/>
  <c r="BV51" i="2"/>
  <c r="CQ12" i="2"/>
  <c r="BJ51" i="2"/>
  <c r="AX73" i="6"/>
  <c r="BO99" i="2"/>
  <c r="CK48" i="2"/>
  <c r="M59" i="6"/>
  <c r="BP67" i="2"/>
  <c r="M96" i="2"/>
  <c r="BW44" i="2"/>
  <c r="F68" i="2"/>
  <c r="BG88" i="2"/>
  <c r="BR5" i="2"/>
  <c r="BU39" i="2"/>
  <c r="AP40" i="2"/>
  <c r="N20" i="2"/>
  <c r="BN43" i="2"/>
  <c r="BL4" i="2"/>
  <c r="F22" i="2"/>
  <c r="AE83" i="2"/>
  <c r="BC100" i="2"/>
  <c r="O80" i="2"/>
  <c r="AN100" i="2"/>
  <c r="T92" i="2"/>
  <c r="K96" i="2"/>
  <c r="R62" i="2"/>
  <c r="M37" i="2"/>
  <c r="CT33" i="2"/>
  <c r="AH59" i="2"/>
  <c r="CK45" i="2"/>
  <c r="BV77" i="2"/>
  <c r="AV64" i="2"/>
  <c r="T30" i="2"/>
  <c r="BQ100" i="2"/>
  <c r="C49" i="2"/>
  <c r="AN46" i="2"/>
  <c r="CN85" i="2"/>
  <c r="BA81" i="6"/>
  <c r="AS83" i="2"/>
  <c r="BX82" i="2"/>
  <c r="BF17" i="2"/>
  <c r="S17" i="2"/>
  <c r="J85" i="6"/>
  <c r="BF99" i="2"/>
  <c r="AB27" i="2"/>
  <c r="E69" i="2"/>
  <c r="BB68" i="2"/>
  <c r="AC17" i="2"/>
  <c r="BS40" i="2"/>
  <c r="AH63" i="2"/>
  <c r="BT97" i="6"/>
  <c r="BV89" i="6"/>
  <c r="Z73" i="2"/>
  <c r="AH31" i="2"/>
  <c r="H100" i="6"/>
  <c r="BF31" i="2"/>
  <c r="AA39" i="2"/>
  <c r="S75" i="2"/>
  <c r="BV97" i="2"/>
  <c r="X37" i="2"/>
  <c r="C72" i="6"/>
  <c r="AT66" i="2"/>
  <c r="BY88" i="2"/>
  <c r="H80" i="2"/>
  <c r="AY66" i="2"/>
  <c r="CO84" i="2"/>
  <c r="BO75" i="6"/>
  <c r="E63" i="2"/>
  <c r="AO6" i="2"/>
  <c r="AK88" i="2"/>
  <c r="AG97" i="6"/>
  <c r="O73" i="2"/>
  <c r="BC62" i="2"/>
  <c r="BB92" i="2"/>
  <c r="AL30" i="2"/>
  <c r="BR44" i="2"/>
  <c r="AJ35" i="2"/>
  <c r="AI29" i="2"/>
  <c r="AO85" i="6"/>
  <c r="H65" i="2"/>
  <c r="CN89" i="2"/>
  <c r="AA31" i="2"/>
  <c r="C8" i="2"/>
  <c r="Q66" i="2"/>
  <c r="CT72" i="2"/>
  <c r="CF33" i="2"/>
  <c r="AJ44" i="6"/>
  <c r="BB72" i="2"/>
  <c r="BX29" i="2"/>
  <c r="AZ21" i="2"/>
  <c r="CB82" i="6"/>
  <c r="CD47" i="2"/>
  <c r="BQ90" i="2"/>
  <c r="BD43" i="2"/>
  <c r="BB86" i="6"/>
  <c r="CO51" i="2"/>
  <c r="BV76" i="2"/>
  <c r="AO86" i="6"/>
  <c r="AR79" i="2"/>
  <c r="K30" i="2"/>
  <c r="AW44" i="2"/>
  <c r="BV69" i="2"/>
  <c r="C57" i="6"/>
  <c r="BP87" i="2"/>
  <c r="BY68" i="2"/>
  <c r="D89" i="2"/>
  <c r="AV65" i="2"/>
  <c r="AR32" i="6"/>
  <c r="D14" i="2"/>
  <c r="AB52" i="2"/>
  <c r="C93" i="6"/>
  <c r="BQ87" i="2"/>
  <c r="AB96" i="2"/>
  <c r="AI56" i="2"/>
  <c r="CC64" i="6"/>
  <c r="G11" i="2"/>
  <c r="D18" i="6"/>
  <c r="CL30" i="2"/>
  <c r="X9" i="2"/>
  <c r="CE28" i="2"/>
  <c r="AZ54" i="2"/>
  <c r="AO66" i="2"/>
  <c r="CO74" i="2"/>
  <c r="CG57" i="2"/>
  <c r="BE42" i="2"/>
  <c r="CC9" i="2"/>
  <c r="AX25" i="2"/>
  <c r="BD71" i="2"/>
  <c r="BF54" i="2"/>
  <c r="CM63" i="2"/>
  <c r="CK46" i="2"/>
  <c r="H79" i="2"/>
  <c r="CB89" i="6"/>
  <c r="BJ88" i="6"/>
  <c r="AU20" i="2"/>
  <c r="G62" i="2"/>
  <c r="AR68" i="2"/>
  <c r="AE12" i="2"/>
  <c r="J100" i="2"/>
  <c r="E94" i="2"/>
  <c r="AX87" i="2"/>
  <c r="G86" i="2"/>
  <c r="BX46" i="2"/>
  <c r="CN35" i="2"/>
  <c r="BF79" i="2"/>
  <c r="Y71" i="2"/>
  <c r="BA36" i="2"/>
  <c r="BL83" i="2"/>
  <c r="AO83" i="2"/>
  <c r="P99" i="2"/>
  <c r="BN65" i="2"/>
  <c r="AQ80" i="2"/>
  <c r="BN29" i="2"/>
  <c r="CJ85" i="2"/>
  <c r="Y18" i="2"/>
  <c r="V87" i="6"/>
  <c r="BK55" i="2"/>
  <c r="G22" i="2"/>
  <c r="BE93" i="6"/>
  <c r="CN70" i="6"/>
  <c r="BL83" i="6"/>
  <c r="R80" i="6"/>
  <c r="AU92" i="6"/>
  <c r="C48" i="2"/>
  <c r="BD79" i="6"/>
  <c r="AU48" i="2"/>
  <c r="X89" i="6"/>
  <c r="AJ98" i="6"/>
  <c r="BV10" i="2"/>
  <c r="AO32" i="2"/>
  <c r="BT98" i="2"/>
  <c r="AM60" i="2"/>
  <c r="G41" i="2"/>
  <c r="Y93" i="2"/>
  <c r="AR92" i="2"/>
  <c r="BK94" i="2"/>
  <c r="AA93" i="2"/>
  <c r="AG5" i="2"/>
  <c r="AV100" i="2"/>
  <c r="BM90" i="2"/>
  <c r="AY14" i="2"/>
  <c r="BF24" i="2"/>
  <c r="C2" i="6"/>
  <c r="BU57" i="2"/>
  <c r="BG31" i="2"/>
  <c r="AI91" i="2"/>
  <c r="E49" i="2"/>
  <c r="AS79" i="2"/>
  <c r="CL12" i="2"/>
  <c r="AR38" i="2"/>
  <c r="CR18" i="2"/>
  <c r="N57" i="6"/>
  <c r="AU17" i="2"/>
  <c r="BF59" i="2"/>
  <c r="G79" i="6"/>
  <c r="G45" i="2"/>
  <c r="AN50" i="2"/>
  <c r="BV89" i="2"/>
  <c r="BC56" i="2"/>
  <c r="K45" i="2"/>
  <c r="CJ73" i="2"/>
  <c r="CQ64" i="2"/>
  <c r="AI21" i="2"/>
  <c r="BI11" i="2"/>
  <c r="L95" i="2"/>
  <c r="AB41" i="2"/>
  <c r="CP100" i="6"/>
  <c r="V44" i="2"/>
  <c r="CC6" i="2"/>
  <c r="BB62" i="2"/>
  <c r="CI74" i="2"/>
  <c r="CD94" i="2"/>
  <c r="AK22" i="2"/>
  <c r="AF6" i="2"/>
  <c r="CT94" i="2"/>
  <c r="R69" i="2"/>
  <c r="I12" i="2"/>
  <c r="AT48" i="6"/>
  <c r="CN64" i="2"/>
  <c r="CD88" i="2"/>
  <c r="BF16" i="2"/>
  <c r="AU80" i="2"/>
  <c r="BT26" i="2"/>
  <c r="AT52" i="2"/>
  <c r="BA96" i="2"/>
  <c r="AJ2" i="2"/>
  <c r="AE53" i="2"/>
  <c r="CD21" i="2"/>
  <c r="AG30" i="2"/>
  <c r="CI47" i="2"/>
  <c r="CS14" i="2"/>
  <c r="CR4" i="2"/>
  <c r="CI94" i="2"/>
  <c r="AH16" i="2"/>
  <c r="AY28" i="2"/>
  <c r="AX49" i="2"/>
  <c r="J52" i="2"/>
  <c r="AZ28" i="2"/>
  <c r="CP70" i="2"/>
  <c r="G18" i="2"/>
  <c r="BS80" i="2"/>
  <c r="BT60" i="2"/>
  <c r="CP64" i="2"/>
  <c r="BY42" i="2"/>
  <c r="AD98" i="2"/>
  <c r="CI26" i="2"/>
  <c r="W59" i="2"/>
  <c r="J64" i="2"/>
  <c r="AR86" i="6"/>
  <c r="CG27" i="2"/>
  <c r="AD76" i="2"/>
  <c r="CM82" i="2"/>
  <c r="I4" i="2"/>
  <c r="BA21" i="2"/>
  <c r="BS54" i="6"/>
  <c r="BL57" i="2"/>
  <c r="CR92" i="6"/>
  <c r="BT87" i="2"/>
  <c r="AK72" i="2"/>
  <c r="AM59" i="2"/>
  <c r="CN66" i="2"/>
  <c r="BL94" i="2"/>
  <c r="BS89" i="2"/>
  <c r="AT6" i="2"/>
  <c r="T65" i="6"/>
  <c r="AL66" i="2"/>
  <c r="X59" i="2"/>
  <c r="X39" i="2"/>
  <c r="AX90" i="2"/>
  <c r="BY10" i="2"/>
  <c r="Y31" i="2"/>
  <c r="T69" i="2"/>
  <c r="AD66" i="2"/>
  <c r="CC76" i="2"/>
  <c r="W2" i="2"/>
  <c r="CS89" i="2"/>
  <c r="R16" i="2"/>
  <c r="AN95" i="6"/>
  <c r="CS51" i="2"/>
  <c r="CA21" i="2"/>
  <c r="BK41" i="2"/>
  <c r="BQ29" i="2"/>
  <c r="CH60" i="2"/>
  <c r="BF56" i="2"/>
  <c r="BN27" i="2"/>
  <c r="BH86" i="2"/>
  <c r="BH78" i="2"/>
  <c r="BH85" i="2"/>
  <c r="AU90" i="6"/>
  <c r="P10" i="2"/>
  <c r="CI71" i="2"/>
  <c r="AQ95" i="2"/>
  <c r="AA37" i="2"/>
  <c r="BF38" i="2"/>
  <c r="CB15" i="2"/>
  <c r="X63" i="2"/>
  <c r="CD80" i="2"/>
  <c r="D74" i="2"/>
  <c r="AV48" i="6"/>
  <c r="AA83" i="2"/>
  <c r="S89" i="2"/>
  <c r="CK56" i="6"/>
  <c r="CG26" i="2"/>
  <c r="O11" i="2"/>
  <c r="AQ60" i="2"/>
  <c r="CL14" i="2"/>
  <c r="D58" i="2"/>
  <c r="CH3" i="2"/>
  <c r="I38" i="2"/>
  <c r="CI44" i="2"/>
  <c r="AE20" i="2"/>
  <c r="AY3" i="2"/>
  <c r="AC92" i="2"/>
  <c r="C53" i="2"/>
  <c r="CH100" i="2"/>
  <c r="BJ87" i="2"/>
  <c r="BL45" i="2"/>
  <c r="E52" i="2"/>
  <c r="AW67" i="2"/>
  <c r="BB94" i="2"/>
  <c r="N89" i="6"/>
  <c r="R6" i="2"/>
  <c r="BD80" i="6"/>
  <c r="CI63" i="2"/>
  <c r="BM81" i="2"/>
  <c r="AX82" i="2"/>
  <c r="BM54" i="2"/>
  <c r="AX71" i="2"/>
  <c r="CR59" i="6"/>
  <c r="BM10" i="6"/>
  <c r="CI9" i="2"/>
  <c r="J65" i="2"/>
  <c r="BD79" i="2"/>
  <c r="Y62" i="6"/>
  <c r="BF22" i="2"/>
  <c r="S50" i="2"/>
  <c r="AR72" i="2"/>
  <c r="AI32" i="2"/>
  <c r="E74" i="2"/>
  <c r="AH68" i="2"/>
  <c r="CH66" i="2"/>
  <c r="AF49" i="2"/>
  <c r="BC42" i="2"/>
  <c r="CI98" i="2"/>
  <c r="BC57" i="2"/>
  <c r="CJ54" i="2"/>
  <c r="AD20" i="2"/>
  <c r="AQ81" i="2"/>
  <c r="AL92" i="6"/>
  <c r="I75" i="6"/>
  <c r="AF11" i="2"/>
  <c r="BN85" i="2"/>
  <c r="AP78" i="2"/>
  <c r="F53" i="6"/>
  <c r="BE80" i="2"/>
  <c r="V71" i="2"/>
  <c r="CE40" i="2"/>
  <c r="CA55" i="2"/>
  <c r="AG100" i="2"/>
  <c r="BK94" i="6"/>
  <c r="CD65" i="6"/>
  <c r="BD67" i="2"/>
  <c r="BS66" i="6"/>
  <c r="AB80" i="6"/>
  <c r="Y92" i="2"/>
  <c r="E97" i="2"/>
  <c r="T26" i="2"/>
  <c r="BF61" i="2"/>
  <c r="G28" i="2"/>
  <c r="BG41" i="2"/>
  <c r="AN11" i="2"/>
  <c r="CC40" i="2"/>
  <c r="BV74" i="2"/>
  <c r="CL84" i="6"/>
  <c r="S5" i="2"/>
  <c r="AQ45" i="2"/>
  <c r="BJ3" i="2"/>
  <c r="AF94" i="2"/>
  <c r="C27" i="2"/>
  <c r="AO97" i="2"/>
  <c r="O37" i="2"/>
  <c r="CH15" i="2"/>
  <c r="AX61" i="2"/>
  <c r="L96" i="2"/>
  <c r="C17" i="2"/>
  <c r="CO99" i="2"/>
  <c r="AT89" i="6"/>
  <c r="AE60" i="2"/>
  <c r="BT48" i="6"/>
  <c r="CI83" i="6"/>
  <c r="S76" i="2"/>
  <c r="AD57" i="2"/>
  <c r="CL67" i="6"/>
  <c r="CJ84" i="2"/>
  <c r="CP96" i="2"/>
  <c r="BB93" i="2"/>
  <c r="BJ72" i="2"/>
  <c r="CC70" i="2"/>
  <c r="O26" i="2"/>
  <c r="Y96" i="2"/>
  <c r="BC85" i="2"/>
  <c r="H76" i="2"/>
  <c r="BU74" i="6"/>
  <c r="J19" i="2"/>
  <c r="T64" i="2"/>
  <c r="AD28" i="2"/>
  <c r="L74" i="2"/>
  <c r="T66" i="6"/>
  <c r="W9" i="2"/>
  <c r="H5" i="2"/>
  <c r="L47" i="2"/>
  <c r="CF80" i="2"/>
  <c r="AN26" i="2"/>
  <c r="CS9" i="2"/>
  <c r="V49" i="6"/>
  <c r="CR90" i="2"/>
  <c r="BL11" i="2"/>
  <c r="AX55" i="2"/>
  <c r="AS73" i="2"/>
  <c r="BQ77" i="2"/>
  <c r="AB65" i="2"/>
  <c r="U21" i="2"/>
  <c r="AA71" i="2"/>
  <c r="CF58" i="2"/>
  <c r="AY79" i="2"/>
  <c r="C89" i="6"/>
  <c r="AD43" i="2"/>
  <c r="F81" i="2"/>
  <c r="V78" i="6"/>
  <c r="Z50" i="2"/>
  <c r="C86" i="2"/>
  <c r="CH77" i="6"/>
  <c r="BT37" i="2"/>
  <c r="BZ81" i="6"/>
  <c r="BS87" i="2"/>
  <c r="AX97" i="6"/>
  <c r="CR38" i="2"/>
  <c r="CQ98" i="2"/>
  <c r="CQ74" i="6"/>
  <c r="BW35" i="2"/>
  <c r="AV72" i="2"/>
  <c r="AF84" i="2"/>
  <c r="AG8" i="2"/>
  <c r="BL54" i="2"/>
  <c r="BZ59" i="2"/>
  <c r="C81" i="2"/>
  <c r="CH92" i="2"/>
  <c r="D10" i="2"/>
  <c r="AD25" i="2"/>
  <c r="AM75" i="6"/>
  <c r="BW50" i="6"/>
  <c r="CG79" i="2"/>
  <c r="Z71" i="2"/>
  <c r="R18" i="2"/>
  <c r="CK51" i="2"/>
  <c r="BM51" i="2"/>
  <c r="BP82" i="6"/>
  <c r="AV38" i="2"/>
  <c r="BR64" i="2"/>
  <c r="AF82" i="2"/>
  <c r="AG67" i="2"/>
  <c r="AN66" i="2"/>
  <c r="X21" i="2"/>
  <c r="BL27" i="2"/>
  <c r="BL60" i="2"/>
  <c r="C85" i="2"/>
  <c r="BG69" i="6"/>
  <c r="CD59" i="2"/>
  <c r="CJ80" i="2"/>
  <c r="BU67" i="2"/>
  <c r="CT67" i="2"/>
  <c r="M87" i="2"/>
  <c r="CF75" i="6"/>
  <c r="CP54" i="2"/>
  <c r="AZ75" i="2"/>
  <c r="AF65" i="2"/>
  <c r="M94" i="2"/>
  <c r="H40" i="2"/>
  <c r="CG53" i="2"/>
  <c r="AZ88" i="6"/>
  <c r="U80" i="2"/>
  <c r="BF6" i="2"/>
  <c r="U92" i="6"/>
  <c r="AQ60" i="6"/>
  <c r="CE59" i="2"/>
  <c r="BV43" i="2"/>
  <c r="N80" i="2"/>
  <c r="CC54" i="6"/>
  <c r="AH56" i="2"/>
  <c r="BB52" i="2"/>
  <c r="BA55" i="2"/>
  <c r="AU9" i="2"/>
  <c r="CE75" i="6"/>
  <c r="AG65" i="6"/>
  <c r="AE23" i="2"/>
  <c r="O88" i="6"/>
  <c r="AA77" i="2"/>
  <c r="AE88" i="2"/>
  <c r="CA98" i="6"/>
  <c r="V57" i="2"/>
  <c r="BI63" i="2"/>
  <c r="BV83" i="6"/>
  <c r="T99" i="2"/>
  <c r="BT67" i="2"/>
  <c r="AY69" i="2"/>
  <c r="BT15" i="2"/>
  <c r="BL53" i="2"/>
  <c r="L91" i="2"/>
  <c r="T74" i="2"/>
  <c r="BS86" i="2"/>
  <c r="CB42" i="2"/>
  <c r="L37" i="2"/>
  <c r="BJ70" i="2"/>
  <c r="AC15" i="2"/>
  <c r="AP73" i="6"/>
  <c r="M3" i="2"/>
  <c r="E92" i="6"/>
  <c r="AQ74" i="6"/>
  <c r="G96" i="2"/>
  <c r="BE71" i="2"/>
  <c r="BZ88" i="2"/>
  <c r="CJ74" i="2"/>
  <c r="AC61" i="2"/>
  <c r="C26" i="2"/>
  <c r="BE5" i="2"/>
  <c r="CP35" i="2"/>
  <c r="BN14" i="2"/>
  <c r="N66" i="2"/>
  <c r="CL56" i="6"/>
  <c r="BF100" i="6"/>
  <c r="CK6" i="2"/>
  <c r="W24" i="2"/>
  <c r="N22" i="2"/>
  <c r="BB32" i="2"/>
  <c r="BA62" i="6"/>
  <c r="AL6" i="2"/>
  <c r="CK79" i="2"/>
  <c r="U30" i="2"/>
  <c r="AG12" i="2"/>
  <c r="X45" i="2"/>
  <c r="K9" i="2"/>
  <c r="AX96" i="2"/>
  <c r="AQ8" i="2"/>
  <c r="AW20" i="2"/>
  <c r="CJ45" i="2"/>
  <c r="AB51" i="2"/>
  <c r="L60" i="2"/>
  <c r="Y39" i="2"/>
  <c r="O71" i="2"/>
  <c r="E43" i="2"/>
  <c r="AF14" i="2"/>
  <c r="AO91" i="2"/>
  <c r="J40" i="2"/>
  <c r="J27" i="2"/>
  <c r="AQ46" i="6"/>
  <c r="BS15" i="2"/>
  <c r="AH53" i="2"/>
  <c r="W51" i="2"/>
  <c r="CA92" i="6"/>
  <c r="AZ48" i="2"/>
  <c r="AX52" i="2"/>
  <c r="AI90" i="6"/>
  <c r="U64" i="2"/>
  <c r="P58" i="6"/>
  <c r="O67" i="2"/>
  <c r="AW79" i="2"/>
  <c r="J33" i="2"/>
  <c r="N40" i="2"/>
  <c r="AG58" i="2"/>
  <c r="BT20" i="2"/>
  <c r="CF56" i="2"/>
  <c r="AR30" i="2"/>
  <c r="BB93" i="6"/>
  <c r="BF72" i="2"/>
  <c r="K40" i="2"/>
  <c r="I57" i="2"/>
  <c r="D86" i="6"/>
  <c r="M4" i="2"/>
  <c r="R74" i="6"/>
  <c r="L44" i="2"/>
  <c r="X97" i="2"/>
  <c r="BE86" i="2"/>
  <c r="BO90" i="2"/>
  <c r="E67" i="2"/>
  <c r="K63" i="6"/>
  <c r="BI62" i="2"/>
  <c r="AU72" i="2"/>
  <c r="CB84" i="2"/>
  <c r="CS44" i="2"/>
  <c r="AY58" i="2"/>
  <c r="N48" i="2"/>
  <c r="AY73" i="2"/>
  <c r="AD71" i="6"/>
  <c r="Q30" i="2"/>
  <c r="AS40" i="2"/>
  <c r="CM32" i="2"/>
  <c r="AB94" i="6"/>
  <c r="CJ79" i="6"/>
  <c r="CI81" i="6"/>
  <c r="W11" i="2"/>
  <c r="AL9" i="2"/>
  <c r="CI37" i="6"/>
  <c r="D24" i="2"/>
  <c r="AN27" i="2"/>
  <c r="AN93" i="2"/>
  <c r="CG65" i="2"/>
  <c r="T42" i="2"/>
  <c r="CD78" i="2"/>
  <c r="L70" i="2"/>
  <c r="BY75" i="6"/>
  <c r="F74" i="6"/>
  <c r="AX94" i="2"/>
  <c r="CS50" i="2"/>
  <c r="BZ43" i="2"/>
  <c r="AC97" i="2"/>
  <c r="AO71" i="6"/>
  <c r="BX17" i="2"/>
  <c r="CC62" i="2"/>
  <c r="CB59" i="2"/>
  <c r="BJ16" i="2"/>
  <c r="Y28" i="2"/>
  <c r="CO94" i="2"/>
  <c r="U76" i="2"/>
  <c r="BJ21" i="2"/>
  <c r="K88" i="2"/>
  <c r="AR89" i="2"/>
  <c r="CE58" i="2"/>
  <c r="BN58" i="2"/>
  <c r="BP90" i="2"/>
  <c r="BV73" i="2"/>
  <c r="CL83" i="6"/>
  <c r="BM93" i="2"/>
  <c r="F60" i="2"/>
  <c r="CF52" i="2"/>
  <c r="CT58" i="2"/>
  <c r="CQ47" i="2"/>
  <c r="K68" i="2"/>
  <c r="CC15" i="2"/>
  <c r="CL70" i="2"/>
  <c r="CE70" i="6"/>
  <c r="AE67" i="6"/>
  <c r="CQ25" i="2"/>
  <c r="CC78" i="2"/>
  <c r="C97" i="2"/>
  <c r="G80" i="2"/>
  <c r="AO80" i="2"/>
  <c r="AI94" i="2"/>
  <c r="CO66" i="2"/>
  <c r="CT75" i="2"/>
  <c r="CO78" i="2"/>
  <c r="L5" i="2"/>
  <c r="AF85" i="2"/>
  <c r="BY25" i="2"/>
  <c r="G74" i="6"/>
  <c r="AL56" i="6"/>
  <c r="BO62" i="2"/>
  <c r="O77" i="2"/>
  <c r="CM86" i="2"/>
  <c r="J25" i="2"/>
  <c r="BD98" i="2"/>
  <c r="CS54" i="2"/>
  <c r="AH75" i="2"/>
  <c r="BC52" i="2"/>
  <c r="AO96" i="2"/>
  <c r="AJ57" i="2"/>
  <c r="G50" i="2"/>
  <c r="CQ63" i="2"/>
  <c r="G39" i="2"/>
  <c r="CF51" i="2"/>
  <c r="X15" i="2"/>
  <c r="AQ12" i="2"/>
  <c r="AH54" i="2"/>
  <c r="AB73" i="2"/>
  <c r="CG66" i="2"/>
  <c r="AR32" i="2"/>
  <c r="AF21" i="2"/>
  <c r="AZ81" i="2"/>
  <c r="BE91" i="2"/>
  <c r="Q100" i="6"/>
  <c r="H37" i="2"/>
  <c r="AG91" i="2"/>
  <c r="BW72" i="6"/>
  <c r="T78" i="6"/>
  <c r="BV32" i="2"/>
  <c r="CP56" i="2"/>
  <c r="AU100" i="2"/>
  <c r="BH12" i="2"/>
  <c r="P19" i="2"/>
  <c r="BB90" i="6"/>
  <c r="W101" i="6" l="1"/>
  <c r="AJ101" i="6"/>
  <c r="BC101" i="6"/>
  <c r="AO101" i="6"/>
  <c r="CR101" i="6"/>
  <c r="CM101" i="6"/>
  <c r="BB101" i="6"/>
  <c r="BP101" i="6"/>
  <c r="CI101" i="6"/>
  <c r="CG101" i="6"/>
  <c r="AW101" i="6"/>
  <c r="AC101" i="2"/>
  <c r="CJ101" i="2"/>
  <c r="BP101" i="2"/>
  <c r="AJ101" i="2"/>
  <c r="AW101" i="2"/>
  <c r="J101" i="6"/>
  <c r="W101" i="2"/>
  <c r="AP101" i="2"/>
  <c r="CC101" i="2"/>
  <c r="BJ101" i="2"/>
  <c r="P101" i="2"/>
  <c r="BC101" i="2"/>
  <c r="CP101" i="2"/>
  <c r="BW101" i="2"/>
  <c r="CN101" i="2"/>
  <c r="BT101" i="2"/>
  <c r="CA101" i="2"/>
  <c r="CT101" i="2"/>
  <c r="CG101" i="2"/>
  <c r="N101" i="6"/>
  <c r="BR101" i="6"/>
  <c r="BN101" i="2"/>
  <c r="U101" i="2"/>
  <c r="BH101" i="2"/>
  <c r="AH101" i="2"/>
  <c r="BU101" i="2"/>
  <c r="AA101" i="2"/>
  <c r="H101" i="6"/>
  <c r="BA101" i="2"/>
  <c r="AU101" i="2"/>
  <c r="AN101" i="2"/>
  <c r="N101" i="2"/>
  <c r="H101" i="2"/>
  <c r="AU101" i="6"/>
  <c r="CA101" i="6"/>
  <c r="CH101" i="6"/>
  <c r="AN101" i="6"/>
  <c r="BN101" i="6"/>
  <c r="BF101" i="6"/>
  <c r="BM101" i="6"/>
  <c r="Q101" i="6"/>
  <c r="AZ101" i="6"/>
  <c r="CN101" i="6"/>
  <c r="BX101" i="6"/>
  <c r="AE101" i="6"/>
  <c r="BH101" i="6"/>
  <c r="AD101" i="6"/>
  <c r="CB101" i="6"/>
  <c r="D101" i="6"/>
  <c r="Q101" i="2"/>
  <c r="J101" i="2"/>
  <c r="D101" i="2"/>
  <c r="BO101" i="6"/>
  <c r="AQ101" i="6"/>
  <c r="O101" i="6"/>
  <c r="CO101" i="2"/>
  <c r="CH101" i="2"/>
  <c r="V101" i="6"/>
  <c r="CQ101" i="6"/>
  <c r="CP101" i="6"/>
  <c r="AT101" i="2"/>
  <c r="AZ101" i="2"/>
  <c r="G101" i="2"/>
  <c r="G101" i="6"/>
  <c r="T101" i="2"/>
  <c r="AM101" i="2"/>
  <c r="AG101" i="2"/>
  <c r="BG101" i="2"/>
  <c r="Z101" i="2"/>
  <c r="M101" i="2"/>
  <c r="CE101" i="6"/>
  <c r="AM101" i="6"/>
  <c r="C101" i="2"/>
  <c r="C101" i="6"/>
  <c r="BQ101" i="2"/>
  <c r="BD101" i="2"/>
  <c r="AX101" i="2"/>
  <c r="BX101" i="2"/>
  <c r="AQ101" i="2"/>
  <c r="AK101" i="2"/>
  <c r="CQ101" i="2"/>
  <c r="AD101" i="2"/>
  <c r="CD101" i="2"/>
  <c r="K101" i="6"/>
  <c r="BK101" i="2"/>
  <c r="CK101" i="2"/>
  <c r="BY101" i="2"/>
  <c r="AR101" i="2"/>
  <c r="CL101" i="2"/>
  <c r="AY101" i="2"/>
  <c r="CE101" i="2"/>
  <c r="BR101" i="2"/>
  <c r="CR101" i="2"/>
  <c r="L101" i="6"/>
  <c r="BE101" i="2"/>
  <c r="BL101" i="2"/>
  <c r="CK101" i="6"/>
  <c r="BS101" i="2"/>
  <c r="BF101" i="2"/>
  <c r="M101" i="6"/>
  <c r="BZ101" i="2"/>
  <c r="CM101" i="2"/>
  <c r="CS101" i="2"/>
  <c r="BM101" i="2"/>
  <c r="CF101" i="2"/>
  <c r="BG101" i="6"/>
  <c r="BU101" i="6"/>
  <c r="BJ101" i="6"/>
  <c r="AL101" i="2"/>
  <c r="AF101" i="2"/>
  <c r="Y101" i="2"/>
  <c r="S101" i="2"/>
  <c r="F101" i="6"/>
  <c r="F101" i="2"/>
  <c r="L101" i="2"/>
  <c r="AS101" i="2"/>
  <c r="X101" i="2"/>
  <c r="E101" i="6"/>
  <c r="E101" i="2"/>
  <c r="K101" i="2"/>
  <c r="R101" i="2"/>
  <c r="AE101" i="2"/>
  <c r="BT101" i="6"/>
  <c r="BL101" i="6"/>
  <c r="AL101" i="6"/>
  <c r="CD101" i="6"/>
  <c r="BI101" i="2"/>
  <c r="I101" i="2"/>
  <c r="V101" i="2"/>
  <c r="AV101" i="2"/>
  <c r="BV101" i="2"/>
  <c r="BB101" i="2"/>
  <c r="AB101" i="2"/>
  <c r="O101" i="2"/>
  <c r="BO101" i="2"/>
  <c r="CI101" i="2"/>
  <c r="CB101" i="2"/>
  <c r="I101" i="6"/>
  <c r="AI101" i="2"/>
  <c r="AO101" i="2"/>
  <c r="U101" i="6"/>
  <c r="AF101" i="6"/>
  <c r="CF101" i="6"/>
  <c r="AT101" i="6"/>
  <c r="CL101" i="6"/>
  <c r="CC101" i="6"/>
  <c r="R101" i="6"/>
  <c r="BK101" i="6"/>
  <c r="BS101" i="6"/>
  <c r="AK101" i="6"/>
  <c r="AP101" i="6"/>
  <c r="AA101" i="6"/>
  <c r="AI101" i="6"/>
  <c r="BE101" i="6"/>
  <c r="S101" i="6"/>
  <c r="AS101" i="6"/>
  <c r="AB101" i="6"/>
  <c r="T101" i="6"/>
  <c r="BW101" i="6"/>
  <c r="AH101" i="6"/>
  <c r="AG101" i="6"/>
  <c r="BY101" i="6"/>
  <c r="CO101" i="6"/>
  <c r="BV101" i="6"/>
  <c r="Y101" i="6"/>
  <c r="BI101" i="6"/>
  <c r="Z101" i="6"/>
  <c r="BZ101" i="6"/>
  <c r="P101" i="6"/>
  <c r="AR101" i="6"/>
  <c r="AX101" i="6"/>
  <c r="BD101" i="6"/>
  <c r="BA101" i="6"/>
  <c r="AC101" i="6"/>
  <c r="CJ101" i="6"/>
  <c r="BQ101" i="6"/>
  <c r="AY101" i="6"/>
  <c r="AV101" i="6"/>
  <c r="X10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tc={407607FD-3EAA-4078-8CDB-53C610DE98F4}</author>
  </authors>
  <commentList>
    <comment ref="B55" authorId="0" shapeId="0" xr:uid="{407607FD-3EAA-4078-8CDB-53C610DE98F4}">
      <text>
        <t xml:space="preserve">[Threaded comment]
Your version of Excel allows you to read this threaded comment; however, any edits to it will get removed if the file is opened in a newer version of Excel. Learn more: https://go.microsoft.com/fwlink/?linkid=870924
Comment:
    pzn: 0, 00000000, 99999999, ungewünschte kommas und - raugenommen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3E4172-19BB-4B6F-B0C6-914B41F523D1}"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<sst xmlns="http://schemas.openxmlformats.org/spreadsheetml/2006/main" count="39666" uniqueCount="6973">
  <si>
    <t>Report_ID</t>
  </si>
  <si>
    <t>PZN</t>
  </si>
  <si>
    <t>ENR</t>
  </si>
  <si>
    <t>Meldungsart</t>
  </si>
  <si>
    <t>Beginn</t>
  </si>
  <si>
    <t>Ende</t>
  </si>
  <si>
    <t>Dauer (Tage)</t>
  </si>
  <si>
    <t>Datum der Erstmeldung</t>
  </si>
  <si>
    <t>Datum der letzten Meldung</t>
  </si>
  <si>
    <t>Art des Grundes</t>
  </si>
  <si>
    <t>Arzneimittlbezeichnung</t>
  </si>
  <si>
    <t>Atc Code</t>
  </si>
  <si>
    <t>Wirkstoffe</t>
  </si>
  <si>
    <t>Krankenhausrelevant</t>
  </si>
  <si>
    <t>Zulassungsinhaber</t>
  </si>
  <si>
    <t>Telefon</t>
  </si>
  <si>
    <t>E-Mail</t>
  </si>
  <si>
    <t>Grund</t>
  </si>
  <si>
    <t>Anm. zum Grund</t>
  </si>
  <si>
    <t>Alternativpräparat</t>
  </si>
  <si>
    <t>Info an Fachkreise</t>
  </si>
  <si>
    <t>Darreichungsform</t>
  </si>
  <si>
    <t>Obergruppe</t>
  </si>
  <si>
    <t>Obergruppe ATC-Code</t>
  </si>
  <si>
    <t>01335381,  02421349</t>
  </si>
  <si>
    <t>Löschmeldung</t>
  </si>
  <si>
    <t>Sonstige</t>
  </si>
  <si>
    <t>Ampho-Moronal Lutschtabletten</t>
  </si>
  <si>
    <t>A01AB04</t>
  </si>
  <si>
    <t>Amphotericin B</t>
  </si>
  <si>
    <t>ja</t>
  </si>
  <si>
    <t>Dermapharm Aktiengesellschaft</t>
  </si>
  <si>
    <t>service@dermapharm.de</t>
  </si>
  <si>
    <t>Unzureichende Produktionskapazitäten</t>
  </si>
  <si>
    <t>Die Packungsgröße 50 Stk. (PZN 02421332) ist voraussichtlich während der Dauer des Lieferengpasses verfügbar.</t>
  </si>
  <si>
    <t>Nein</t>
  </si>
  <si>
    <t>Lutschtablette</t>
  </si>
  <si>
    <t>01335381,  02421332,  02421349</t>
  </si>
  <si>
    <t>nein</t>
  </si>
  <si>
    <t>yvonne.hinterstocker@dermapharm.com</t>
  </si>
  <si>
    <t>00046367, 00046350</t>
  </si>
  <si>
    <t>Produktionsproblem</t>
  </si>
  <si>
    <t>Metronidazol-ratiopharm 400 mg Tabletten</t>
  </si>
  <si>
    <t>A01AB17, G01AF01, J01XD01</t>
  </si>
  <si>
    <t>Metronidazol</t>
  </si>
  <si>
    <t>ratiopharm GmbH</t>
  </si>
  <si>
    <t>0800 800 50 13</t>
  </si>
  <si>
    <t>klinikteam@ratiopharm.de</t>
  </si>
  <si>
    <t>Herstellerwechsel</t>
  </si>
  <si>
    <t>Tablette</t>
  </si>
  <si>
    <t>01865653</t>
  </si>
  <si>
    <t>Metronidazol 400 mg - 1 A Pharma</t>
  </si>
  <si>
    <t>1 A Pharma GmbH</t>
  </si>
  <si>
    <t>089/61388250</t>
  </si>
  <si>
    <t>info@1apharma.com</t>
  </si>
  <si>
    <t>0800 / 800 50 13</t>
  </si>
  <si>
    <t>gks-post@ratiopharm.de</t>
  </si>
  <si>
    <t>Ja</t>
  </si>
  <si>
    <t>04913803,  04913826</t>
  </si>
  <si>
    <t>Dontisolon D Mundheilpaste</t>
  </si>
  <si>
    <t>A01AC54</t>
  </si>
  <si>
    <t>Prednisolonacetat</t>
  </si>
  <si>
    <t>Sanofi-Aventis Deutschland GmbH</t>
  </si>
  <si>
    <t>0800 52 52 010</t>
  </si>
  <si>
    <t>medinfo.de@sanofi.com</t>
  </si>
  <si>
    <t>Probleme bei der Endfreigabe</t>
  </si>
  <si>
    <t>seit 27.09.21 eingeschränkt lieferfähig</t>
  </si>
  <si>
    <t>Paste</t>
  </si>
  <si>
    <t>H2-Blocker-ratiopharm 200 mg/ 2 ml Injektionslösung</t>
  </si>
  <si>
    <t>A02BA01</t>
  </si>
  <si>
    <t>Cimetidinhydrochlorid</t>
  </si>
  <si>
    <t>0800/800 50 13</t>
  </si>
  <si>
    <t>GKS-Post@ratiopharm.de</t>
  </si>
  <si>
    <t>Tagamet 200 mg/2 ml - Einreichungsnummer: 2162647</t>
  </si>
  <si>
    <t>Injektionslösung</t>
  </si>
  <si>
    <t>9083766, 09083772</t>
  </si>
  <si>
    <t>Cimetidin acis 400 mg</t>
  </si>
  <si>
    <t>Cimetidin</t>
  </si>
  <si>
    <t>acis Arzneimittel GmbH</t>
  </si>
  <si>
    <t>089/44232460</t>
  </si>
  <si>
    <t>info@acis.de</t>
  </si>
  <si>
    <t>8535752, 08535769</t>
  </si>
  <si>
    <t>Cimetidin acis 800 mg</t>
  </si>
  <si>
    <t>8535686, 16771722, 07560162</t>
  </si>
  <si>
    <t>Cimetidin acis 200mg</t>
  </si>
  <si>
    <t>09083766,  09083772</t>
  </si>
  <si>
    <t>Medwiss.Acis@dermapharm.com</t>
  </si>
  <si>
    <t>08535752,  08535769</t>
  </si>
  <si>
    <t>Ranitic injekt</t>
  </si>
  <si>
    <t>A02BA02</t>
  </si>
  <si>
    <t>Ranitidinhydrochlorid</t>
  </si>
  <si>
    <t>H e x a l  Aktiengesellschaft</t>
  </si>
  <si>
    <t>0800-4392527</t>
  </si>
  <si>
    <t>service@hexal.com</t>
  </si>
  <si>
    <t>Konzentrat zur Herstellung einer Injektionslösung oder Infusionslösung</t>
  </si>
  <si>
    <t>4311843, 04311872, 00296590</t>
  </si>
  <si>
    <t>RANITIDIN BASICS 150 mg</t>
  </si>
  <si>
    <t>Basics GmbH</t>
  </si>
  <si>
    <t>info@basics.de</t>
  </si>
  <si>
    <t>Filmtablette</t>
  </si>
  <si>
    <t>RANITIDIN BASICS 300 mg</t>
  </si>
  <si>
    <t>07156343,  07156372,  07156389</t>
  </si>
  <si>
    <t>Änderungsmeldung</t>
  </si>
  <si>
    <t>Ranitidin-ratiopharm 300mg Filmtabletten</t>
  </si>
  <si>
    <t>0800 10 117 07</t>
  </si>
  <si>
    <t>marketing-gx.tevade@ratiopharm.de</t>
  </si>
  <si>
    <t>07156314,  07156320,  07156337</t>
  </si>
  <si>
    <t>Ranitidin-ratiopharm 150mg Filmtabletten</t>
  </si>
  <si>
    <t>Ranitidin-ratiopharm 50mg/5ml Injektionslösung</t>
  </si>
  <si>
    <t>Ranitidin AL 300</t>
  </si>
  <si>
    <t>ALIUD PHARMA GmbH</t>
  </si>
  <si>
    <t>07333/9651-0</t>
  </si>
  <si>
    <t>info@aliud.de</t>
  </si>
  <si>
    <t>Erhöhte Nachfrage</t>
  </si>
  <si>
    <t>Ranitidin AL 150</t>
  </si>
  <si>
    <t>01016960,  01016977</t>
  </si>
  <si>
    <t>Ranitidin AbZ 300mg Filmtabletten</t>
  </si>
  <si>
    <t>AbZ-Pharma GmbH - Geschäftsanschrift -</t>
  </si>
  <si>
    <t>info@ratiopharm.de</t>
  </si>
  <si>
    <t>Ranitidin AbZ 150 mg Filmtabletten</t>
  </si>
  <si>
    <t>Famotidin STADA 20 mg Filmtabletten</t>
  </si>
  <si>
    <t>A02BA03</t>
  </si>
  <si>
    <t>Famotidin</t>
  </si>
  <si>
    <t>STADAPHARM, Gesellschaft mit beschränkter Haftung</t>
  </si>
  <si>
    <t>christiane.georgi@stadapharm.de</t>
  </si>
  <si>
    <t>Christiane Georgi</t>
  </si>
  <si>
    <t>Famotidin STADA 40 mg Filmtabletten</t>
  </si>
  <si>
    <t>christiane.georgi@stada.de</t>
  </si>
  <si>
    <t>Probleme in der Herstellung</t>
  </si>
  <si>
    <t xml:space="preserve">Neue Ware bereits geliefert. Es ist zur Zeit nur begrenzt Ware lieferfähig. Nachfrage ist größer als Lagerbestand. Ab März 2023 werden wir wieder voll lieferunfähig sein. </t>
  </si>
  <si>
    <t>Vorgesehen</t>
  </si>
  <si>
    <t xml:space="preserve">Lieferunfähigkeit wegen hoher Überverkäufe durch out of stock Mitbewerber - Nachbestellung getätigt. Liefertermin neuer Ware wird versucht vorzuziehen. </t>
  </si>
  <si>
    <t>00601248,  00601260</t>
  </si>
  <si>
    <t>Famotidin-ratiopharm 40 mg Filmtabletten</t>
  </si>
  <si>
    <t>00601219,  00601225</t>
  </si>
  <si>
    <t>Famotidin-ratiopharm 20 mg Filmtabletten</t>
  </si>
  <si>
    <t>02129376,  02129442,  02850352,  10549307,  10549313</t>
  </si>
  <si>
    <t>Pantoprazol Aristo 20 mg magensaftresistente Tabletten</t>
  </si>
  <si>
    <t>A02BC02</t>
  </si>
  <si>
    <t>Pantoprazol-Natrium-Sesquihydrat</t>
  </si>
  <si>
    <t>Aristo Pharma GmbH</t>
  </si>
  <si>
    <t>info@aristo-pharma.de</t>
  </si>
  <si>
    <t>Probleme beim Sonstigen Hersteller</t>
  </si>
  <si>
    <t>magensaftresistente Tablette</t>
  </si>
  <si>
    <t>02129465,  02129494,  02850398,  10549336,  10549342</t>
  </si>
  <si>
    <t>Pantoprazol Aristo 40 mg magensaftresistente Tabletten</t>
  </si>
  <si>
    <t>02750225</t>
  </si>
  <si>
    <t>Nexium 40 mg Pulver zur Herstellung einer Infusionslösung</t>
  </si>
  <si>
    <t>A02BC05</t>
  </si>
  <si>
    <t>Esomeprazol-Natrium</t>
  </si>
  <si>
    <t>AstraZeneca GmbH</t>
  </si>
  <si>
    <t>0800-2288660</t>
  </si>
  <si>
    <t>service.center@astrazeneca.com</t>
  </si>
  <si>
    <t>Omep 40 mg Pulver zur Herstellung einer Infusionslösung - Einreichungsnummer: 2172931</t>
  </si>
  <si>
    <t>Pulver zur Herstellung einer Infusionslösung</t>
  </si>
  <si>
    <t>15744404, 08845234, 08845240, 08845257, 15744367, 15744373, 15744396</t>
  </si>
  <si>
    <t>ESOMEPRAZOL BASICS 40 mg magensaftresistente Hartkapseln</t>
  </si>
  <si>
    <t>Esomeprazol-Hemimagnesium</t>
  </si>
  <si>
    <t>magensaftresistente Hartkapsel</t>
  </si>
  <si>
    <t>15744350, 08845205, 08845211, 08845228, 15744321, 15744338, 15744344</t>
  </si>
  <si>
    <t>ESOMEPRAZOL BASICS 20 mg magensaftresistente Hartkapseln</t>
  </si>
  <si>
    <t>Esomeprazol-Elpen 40 mg Pulver zur Herstellung einer Injektions- bzw. Infusionslösung</t>
  </si>
  <si>
    <t>Elpen Pharmaceutical Co. Inc. Beiname: Elpen, Elpen S.A., Elpen A.E.</t>
  </si>
  <si>
    <t>030 7974040 0</t>
  </si>
  <si>
    <t>info@elpen-pharma.de</t>
  </si>
  <si>
    <t>GMP Mängel</t>
  </si>
  <si>
    <t>Die Zulassung des Arzneimittels wurde 2022 zurück gezogen</t>
  </si>
  <si>
    <t>Pulver zur Herstellung einer Injektions- /Infusionslösung</t>
  </si>
  <si>
    <t>Pylera 140 mg/125 mg/125 mg Hartkapseln</t>
  </si>
  <si>
    <t>A02BD08</t>
  </si>
  <si>
    <t>Citronensäure-Bismut-Kalium-Salz  (2:1:5)  x H&lt;2&gt;O; Metronidazol; Tetracyclinhydrochlorid</t>
  </si>
  <si>
    <t>Allergan Pharmaceuticals International Limited</t>
  </si>
  <si>
    <t>069 9203810</t>
  </si>
  <si>
    <t>CS-Germany@Allergan.com</t>
  </si>
  <si>
    <t>Hartkapsel,Pulver,Kapsel</t>
  </si>
  <si>
    <t>Erstmeldung</t>
  </si>
  <si>
    <t>Citronensäure-Bismut-Kalium-Salz (2:1:5) x H&lt;2&gt;O; Metronidazol; Tetracyclinhydrochlorid</t>
  </si>
  <si>
    <t>Laboratoires Juvise Pharmaceuticals</t>
  </si>
  <si>
    <t>+33 (0)4 26 29 40 00</t>
  </si>
  <si>
    <t>bruno.pouly@juvise.com</t>
  </si>
  <si>
    <t>01894117,  15238954</t>
  </si>
  <si>
    <t>Robinul zur Injektion</t>
  </si>
  <si>
    <t>A03AB02</t>
  </si>
  <si>
    <t>Glycopyrroniumbromid (Ph.Eur.)</t>
  </si>
  <si>
    <t>Riemser Pharma GmbH</t>
  </si>
  <si>
    <t>info.germany@esteve.com</t>
  </si>
  <si>
    <t>n.a</t>
  </si>
  <si>
    <t>Atropinum sulfuricum 0,5 mg Eifelfango</t>
  </si>
  <si>
    <t>A03BA01, TERM_ID_NA_2090009607</t>
  </si>
  <si>
    <t>Atropinsulfat (Ph.Eur.)</t>
  </si>
  <si>
    <t>Eifelfango Chemisch Pharmazeutisches Werk GmbH &amp; Co. KG</t>
  </si>
  <si>
    <t>02641/9029382</t>
  </si>
  <si>
    <t>m.moeller@eifelfango.de</t>
  </si>
  <si>
    <t>zu hoher Abverkauf</t>
  </si>
  <si>
    <t>11052833, 12644694, 00045126</t>
  </si>
  <si>
    <t>MCP AL retard</t>
  </si>
  <si>
    <t>A03FA01</t>
  </si>
  <si>
    <t>Metoclopramidhydrochlorid (Ph.Eur.)</t>
  </si>
  <si>
    <t>Produkt wurde vom Markt genommen (AV).</t>
  </si>
  <si>
    <t>Hartkapsel, retardiert</t>
  </si>
  <si>
    <t>MCP STADA 10 mg Tabletten</t>
  </si>
  <si>
    <t>Minyoung.seo@stadapharm.de</t>
  </si>
  <si>
    <t>07553328,  07553334,  07553340</t>
  </si>
  <si>
    <t>MCP Hexal 10</t>
  </si>
  <si>
    <t>Vergentan</t>
  </si>
  <si>
    <t>A03FA05</t>
  </si>
  <si>
    <t>Alizapridhydrochlorid</t>
  </si>
  <si>
    <t> 0800 52 52 010</t>
  </si>
  <si>
    <t>Eingeschränkt lieferfähig. Geeignete Alternativpräparate können der S3 Leitlinie „Supportive Therapie bei onkologischen PatientInnen“ entnommen werden.</t>
  </si>
  <si>
    <t>05462656</t>
  </si>
  <si>
    <t>Ondansetron B.Braun 4 mg Schmelztabletten</t>
  </si>
  <si>
    <t>A04AA01</t>
  </si>
  <si>
    <t>Ondansetron</t>
  </si>
  <si>
    <t>B. Braun Melsungen Aktiengesellschaft</t>
  </si>
  <si>
    <t>05661 - 71 -2776</t>
  </si>
  <si>
    <t>info@bbraun.com</t>
  </si>
  <si>
    <t>Schmelztablette</t>
  </si>
  <si>
    <t>03672409, 07025813, 03672421, 03672421</t>
  </si>
  <si>
    <t>Ondansetron Kabi 2mg/ml Injektionslösung</t>
  </si>
  <si>
    <t>Ondansetronhydrochlorid-Dihydrat</t>
  </si>
  <si>
    <t>Fresenius Kabi Deutschland GmbH</t>
  </si>
  <si>
    <t>06172/6080</t>
  </si>
  <si>
    <t>lieferengpassmeldung@fresenius-kabi.de</t>
  </si>
  <si>
    <t>Zofran Lösung</t>
  </si>
  <si>
    <t>Novartis Pharma GmbH</t>
  </si>
  <si>
    <t>Lösung</t>
  </si>
  <si>
    <t>Zofran 8 mg Zydis Lingual</t>
  </si>
  <si>
    <t>Zofran 4 mg Zydis Lingual</t>
  </si>
  <si>
    <t>03912032</t>
  </si>
  <si>
    <t>SANCUSO 3,1 mg/24 Stunden transdermales Pflaster - OP52cm²</t>
  </si>
  <si>
    <t>A04AA02</t>
  </si>
  <si>
    <t>Granisetron</t>
  </si>
  <si>
    <t>Kyowa Kirin Limited  (BS 1)</t>
  </si>
  <si>
    <t>0211 41611921</t>
  </si>
  <si>
    <t>sofia.ortlepp@kyowakirin.com</t>
  </si>
  <si>
    <t>Oramorph 10 mg/5 ml EDB - Einreichungsnummer: 2134667</t>
  </si>
  <si>
    <t>transdermales Pflaster</t>
  </si>
  <si>
    <t>06607499, 06607507</t>
  </si>
  <si>
    <t>Granisetron-ratiopharm 2 mg Filmtabletten</t>
  </si>
  <si>
    <t>Granisetronhydrochlorid</t>
  </si>
  <si>
    <t>0211 4161190</t>
  </si>
  <si>
    <t>vttrang.nguyen@kyowakirin.com</t>
  </si>
  <si>
    <t>Scopoderm TTS</t>
  </si>
  <si>
    <t>A04AD01</t>
  </si>
  <si>
    <t>Scopolamin</t>
  </si>
  <si>
    <t>GlaxoSmithKline Consumer Healthcare GmbH &amp; Co. KG</t>
  </si>
  <si>
    <t>089 7877 0</t>
  </si>
  <si>
    <t>DE.GSK-regulatory@gsk.com</t>
  </si>
  <si>
    <t>Baxter Deutschland GmbH</t>
  </si>
  <si>
    <t>089 31701 0</t>
  </si>
  <si>
    <t>cqa_de@baxter.com</t>
  </si>
  <si>
    <t>11331875</t>
  </si>
  <si>
    <t>EMEND 125 mg Pulver zur Herstellung einer Suspension zum Einnehmen - OPXXXXmg</t>
  </si>
  <si>
    <t>A04AD12</t>
  </si>
  <si>
    <t>Aprepitant</t>
  </si>
  <si>
    <t>Organon Pharma (UK) Limited</t>
  </si>
  <si>
    <t>0800 673 673 673</t>
  </si>
  <si>
    <t>infocenter@msd.de</t>
  </si>
  <si>
    <t>EMEND 125 mg Hartkapseln - OP(5x1) - Einreichungsnummer: 2702454</t>
  </si>
  <si>
    <t>Pulver zur Herstellung einer Suspension zum Einnehmen</t>
  </si>
  <si>
    <t>02364404</t>
  </si>
  <si>
    <t>EMEND 125 mg Hartkapsel und EMEND 80 mg Hartkapsel - OP(1+2)</t>
  </si>
  <si>
    <t>Hartkapsel</t>
  </si>
  <si>
    <t>14313659, 14313642</t>
  </si>
  <si>
    <t>Aprepitant Zentiva 80 mg Hartkapseln</t>
  </si>
  <si>
    <t>Zentiva Pharma GmbH</t>
  </si>
  <si>
    <t>0800 53 53 010</t>
  </si>
  <si>
    <t>MedInfo.DE@zentiva.com</t>
  </si>
  <si>
    <t>07396389</t>
  </si>
  <si>
    <t>IVEMEND 150 mg Pulver zur Herstellung einer Infusionslösung - OP(1x?mg)</t>
  </si>
  <si>
    <t>Fosaprepitant-Dimeglumin</t>
  </si>
  <si>
    <t>1308303, 07342005, 02397438</t>
  </si>
  <si>
    <t>Hepa-Merz Infusionslösungs-Konzentrat</t>
  </si>
  <si>
    <t>A05BA</t>
  </si>
  <si>
    <t>Ornithinaspartat</t>
  </si>
  <si>
    <t>Merz Pharmaceuticals GmbH</t>
  </si>
  <si>
    <t>069 1503 6969</t>
  </si>
  <si>
    <t>julia.bernschein@merz.de</t>
  </si>
  <si>
    <t>Hepa-Merz Granulat 3000 - Einreichungsnummer: 0423433</t>
  </si>
  <si>
    <t>Konzentrat zur Herstellung einer Infusionslösung</t>
  </si>
  <si>
    <t>7469993, 07470016, 11130303</t>
  </si>
  <si>
    <t>Hepa-Merz Granulat 6000</t>
  </si>
  <si>
    <t>069 1503 1245</t>
  </si>
  <si>
    <t>regina.schweizer-vonderau@merz.de</t>
  </si>
  <si>
    <t>Hepa-Merz Granulat 6000 - Einreichungsnummer: 0718559</t>
  </si>
  <si>
    <t>Granulat zur Herstellung einer Lösung zum Einnehmen</t>
  </si>
  <si>
    <t>Hepa-Merz Granulat 3000</t>
  </si>
  <si>
    <t>Julia.Pfaff@merz.de</t>
  </si>
  <si>
    <t>Regina.Schweizer-Vonderau@merz.de</t>
  </si>
  <si>
    <t>01308303,  02397438,  07342005</t>
  </si>
  <si>
    <t>ute.muehlenbeck@merz.de</t>
  </si>
  <si>
    <t>07620616,  07620639</t>
  </si>
  <si>
    <t>jan.ranau@merz.de</t>
  </si>
  <si>
    <t>Lieferengpass beim API</t>
  </si>
  <si>
    <t>07469993,  11130303</t>
  </si>
  <si>
    <t>06717288, 06717302</t>
  </si>
  <si>
    <t>RELISTOR 12 mg/0,6 ml Injektionslösung - OP1</t>
  </si>
  <si>
    <t>A06AH01</t>
  </si>
  <si>
    <t>Methylnaltrexonbromid</t>
  </si>
  <si>
    <t>PharmaSwiss Ceska republika s.r.o.</t>
  </si>
  <si>
    <t>089 5506676-0</t>
  </si>
  <si>
    <t>petra.spengel@sobi.com</t>
  </si>
  <si>
    <t>RELISTOR 12 mg/0,6 ml Injektionslösung - OP7(+7Injektionsspritzen)</t>
  </si>
  <si>
    <t>10763489, 10763503, 14287896</t>
  </si>
  <si>
    <t>Moventig 25 mg Filmtabletten - OP10</t>
  </si>
  <si>
    <t>A06AH03</t>
  </si>
  <si>
    <t>Naloxegoloxalat</t>
  </si>
  <si>
    <t>Kyowa Kirin Limited</t>
  </si>
  <si>
    <t>Moventig 25 mg Filmtabletten - OP30(3x10)</t>
  </si>
  <si>
    <t>Moventig 25 mg Filmtabletten - OP90(9x10) - Einreichungsnummer: 2711481</t>
  </si>
  <si>
    <t>Moventig 25 mg Filmtabletten - OP30(30x1)</t>
  </si>
  <si>
    <t>Kyowa Kirin Holdings B.V.</t>
  </si>
  <si>
    <t>Die Packungsgröße mit 100 Filmtabletten ist uneingeschränkt verfügbar.</t>
  </si>
  <si>
    <t>12454427</t>
  </si>
  <si>
    <t>Constella 290 Mikrogramm Hartkapseln - OP112(4x28)</t>
  </si>
  <si>
    <t>A06AX04</t>
  </si>
  <si>
    <t>Linaclotid</t>
  </si>
  <si>
    <t>01403421</t>
  </si>
  <si>
    <t>Humatin Pulvis</t>
  </si>
  <si>
    <t>A07AA06</t>
  </si>
  <si>
    <t>Paromomycinsulfat (1:x) ((mit Angaben zum Schwefelsäure-Gehalt))</t>
  </si>
  <si>
    <t>Pfizer Pharma PFE GmbH</t>
  </si>
  <si>
    <t>+49 (0)30-550055-53269</t>
  </si>
  <si>
    <t>Imke.TeuffelvonBirkensee@pfizer.com</t>
  </si>
  <si>
    <t>Pulver zur Herstellung einer Lösung zum Einnehmen</t>
  </si>
  <si>
    <t>Humatin Kapseln</t>
  </si>
  <si>
    <t>+49 (0)800 / 85 35 555</t>
  </si>
  <si>
    <t>eumedinfo@pfizer.com</t>
  </si>
  <si>
    <t>00505007,  02514766</t>
  </si>
  <si>
    <t>Pfizer Pharma GmbH</t>
  </si>
  <si>
    <t>+49(0)30/550055-51000</t>
  </si>
  <si>
    <t>medical.information@pfizer.com</t>
  </si>
  <si>
    <t>Die Packungsgrößen 160 (10 X 16) und 1600 Hartkapseln sind nicht im Handel.Humatin Kapseln (28 Stück) sind seit 08.05.2023 wieder lieferbar</t>
  </si>
  <si>
    <t>Ampho-Moronal Tabletten</t>
  </si>
  <si>
    <t>A07AA07</t>
  </si>
  <si>
    <t>Die Packungsgrößen 20 Stk. und 100 Stk. (PZN 01335435 und PZN 01335441) sind voraussichtlich während der Dauer des Lieferengpasses weiterhin lieferbar.</t>
  </si>
  <si>
    <t>Vancomycin Lyomark 1000 mg Pulver für ein Konzentrat zur Herstellung einer Infusionslösung oder einer Lösung zum Einnehmen</t>
  </si>
  <si>
    <t>A07AA09, J01XA01</t>
  </si>
  <si>
    <t>Vancomycinhydrochlorid</t>
  </si>
  <si>
    <t>Bendalis GmbH</t>
  </si>
  <si>
    <t>089 45 08 08 78 0</t>
  </si>
  <si>
    <t>sales@bendalis.com</t>
  </si>
  <si>
    <t>Pulver für ein Konzentrat zur Herstellung einer Infusionslösung oder einer Lösung zum Einnehmen</t>
  </si>
  <si>
    <t>04910153,  04910176</t>
  </si>
  <si>
    <t>Imodium Lingual 2 mg Plättchen (Lyophilisat zum Einnehmen)</t>
  </si>
  <si>
    <t>A07DA03</t>
  </si>
  <si>
    <t>Loperamidhydrochlorid</t>
  </si>
  <si>
    <t>JANSSEN-CILAG GmbH</t>
  </si>
  <si>
    <t>0800/7910010</t>
  </si>
  <si>
    <t>cspostfach@its.jnj.com</t>
  </si>
  <si>
    <t>Aus produktionstechnischen Gründen ist es zu einem Engpass bei Imodium® lingual 2 mg 20 Tabletten gekommen. Als Alternative empfehlen wir Imodium® 2 mg Hartkapseln oder Imodium® N 0,2 mg/ml Lösung oder jede andere im Markt verfügbare und geeignete Loperamid-Alternative.</t>
  </si>
  <si>
    <t>Imodium Lingual 2 mg Plättchen (Lyophilisat zum Einnehmen) - Einreichungsnummer: 2134563</t>
  </si>
  <si>
    <t>Plättchen</t>
  </si>
  <si>
    <t>CortimentMMX 9 mg Retardtabletten</t>
  </si>
  <si>
    <t>A07EA06</t>
  </si>
  <si>
    <t>Budesonid</t>
  </si>
  <si>
    <t>Ferring GmbH</t>
  </si>
  <si>
    <t>petra.wagner@ferring.com</t>
  </si>
  <si>
    <t>Die Packungsgröße 50 ist weiterhin erhältlich</t>
  </si>
  <si>
    <t>Retardtablette</t>
  </si>
  <si>
    <t>04939381, 06983541</t>
  </si>
  <si>
    <t>Sulfasalazin-Heyl</t>
  </si>
  <si>
    <t>A07EC01</t>
  </si>
  <si>
    <t>Sulfasalazin</t>
  </si>
  <si>
    <t>H e y l Chemisch-pharmazeutische Fabrik GmbH &amp; Co. KG</t>
  </si>
  <si>
    <t>030 816960</t>
  </si>
  <si>
    <t>info@heyl-berlin.de</t>
  </si>
  <si>
    <t>magensaftresistente Filmtablette</t>
  </si>
  <si>
    <t>4832252, 01923474, 01251483</t>
  </si>
  <si>
    <t>Azulfidine Tabletten</t>
  </si>
  <si>
    <t>+49 (0) 800 8535555</t>
  </si>
  <si>
    <t>Colo-Pleon - Einreichungsnummer: 0578934</t>
  </si>
  <si>
    <t>03440544, 03440633</t>
  </si>
  <si>
    <t>Sulfasalazin HEXAL 500 mg magensaftresistente Filmtabletten</t>
  </si>
  <si>
    <t>08024-9081222</t>
  </si>
  <si>
    <t>hexal.reklamationen@hexal.com</t>
  </si>
  <si>
    <t>Pleon RA</t>
  </si>
  <si>
    <t>Azulfidine</t>
  </si>
  <si>
    <t>02648337,  02648366</t>
  </si>
  <si>
    <t>Pentasa 500mg Retardtabletten</t>
  </si>
  <si>
    <t>A07EC02</t>
  </si>
  <si>
    <t>Mesalazin</t>
  </si>
  <si>
    <t>Asacol 1600 mg Tablette mit veränderter Wirkstofffreisetzung</t>
  </si>
  <si>
    <t>Tillotts Pharma GmbH</t>
  </si>
  <si>
    <t>florian.poell@tillotts.com</t>
  </si>
  <si>
    <t xml:space="preserve">Die 90 Tabletten Packung (PZN: 15619047) ist weiter verfügbar. </t>
  </si>
  <si>
    <t>Tablette mit veränderter Wirkstofffreisetzung</t>
  </si>
  <si>
    <t>436476, 00436453</t>
  </si>
  <si>
    <t>Cotazym 40.000</t>
  </si>
  <si>
    <t>A09AA02</t>
  </si>
  <si>
    <t>Pankreas-Pulver vom Schwein</t>
  </si>
  <si>
    <t>Nordmark Arzneimittel GmbH &amp; Co. KG</t>
  </si>
  <si>
    <t>info@cheplapharm.com</t>
  </si>
  <si>
    <t>Cotazym 30.000 - Einreichungsnummer: 0528238</t>
  </si>
  <si>
    <t>05135756</t>
  </si>
  <si>
    <t>Ozym 40.000</t>
  </si>
  <si>
    <t>Trommsdorff GmbH &amp; Co. KG</t>
  </si>
  <si>
    <t>02404/553-01</t>
  </si>
  <si>
    <t>trommsdorff@trommsdorff.de</t>
  </si>
  <si>
    <t>01224753,  01224776,  01224782,  01224799</t>
  </si>
  <si>
    <t>Kreon 40 000</t>
  </si>
  <si>
    <t>Abbott Laboratories GmbH</t>
  </si>
  <si>
    <t>+49 (0) 511/47543400</t>
  </si>
  <si>
    <t>de.regaffairs@viatris.com</t>
  </si>
  <si>
    <t>Die Vermarktung von Kreon 40000 wird in Kürze in Deutschland eingestellt. Der Lieferengpass von Kreon 40000 beruhte nicht auf Qualitäts-, Sicherheits- oder Wirksamkeitsproblemen mit dem Wirkstoff/Arzneimittel, oder Problemen im Produktionsprozess, sondern der weltweit begrenzten Verfügbarkeit von Schweine-Bauchspeicheldrüsen mit hoher Lipaseaktivität (elementares Ausgangsmaterial für Kreon 40.000). Kreon 40.000 kann durch niedrigere Kreon Stärken ersetzt werden.</t>
  </si>
  <si>
    <t>Kreon 25 000 - Einreichungsnummer: 2122525</t>
  </si>
  <si>
    <t>keine eindeutige Darreichungsform</t>
  </si>
  <si>
    <t>05961129, 05961106</t>
  </si>
  <si>
    <t>Insuman Rapid 100 I.E./ml Injektionslösung in Durchstechflasche - OP10ml</t>
  </si>
  <si>
    <t>A10AB01</t>
  </si>
  <si>
    <t>Insulin human ((mit Angaben zur Herstellung))</t>
  </si>
  <si>
    <t>Insuman Rapid 100 I.E./ml Injektionslösung in Durchstechflasche - OP(5x10ml)</t>
  </si>
  <si>
    <t>01474384,  01483785,  01483816</t>
  </si>
  <si>
    <t>2706654, 2706656, 2706659</t>
  </si>
  <si>
    <t>Insuman Rapid 100 I.E./ml SoloStar Injektionslösung in Fertigpen - OP(3x3ml)</t>
  </si>
  <si>
    <t xml:space="preserve">Eingeschränkt lieferfähig. Bitte beachten Sie beim Wechsel vom Insuman Rapid Solostar auf eine Insuman Rapid Patrone auf die Auswahl eines geeigneten Pens und eine adäquate Penschulung für den Patienten. </t>
  </si>
  <si>
    <t>Insuman Rapid 100 I.E./ml Injektionssuspension in Patrone - OP(10x3ml) - Einreichungsnummer: 2701465</t>
  </si>
  <si>
    <t>08923000,  08923023</t>
  </si>
  <si>
    <t>2700523, 2701465</t>
  </si>
  <si>
    <t>Insuman Rapid 100 I.E./ml Injektionslösung in Patrone - OP(5x3ml)</t>
  </si>
  <si>
    <t>Insuman Infusat 100 I.E./ml Injektionssuspension in Durchstechflasche - OP(3x10ml)</t>
  </si>
  <si>
    <t>Eingeschränkte Lieferfähigkeit</t>
  </si>
  <si>
    <t xml:space="preserve">Arzneimittel wird eingestellt. Abverkauf der Restware bis ca. Ende Juli 23. </t>
  </si>
  <si>
    <t>01474384,  01483785</t>
  </si>
  <si>
    <t>2706656, 2706659</t>
  </si>
  <si>
    <t>Insuman Rapid 100 I.E./ml SoloStar Injektionslösung in Fertigpen - OP(5x3ml)</t>
  </si>
  <si>
    <t xml:space="preserve">Arzneimittel wird eingestellt. Abverkauf der Restware bis ca Ende Juli 23. </t>
  </si>
  <si>
    <t>Actrapid FlexPen 100 I.E./ml Injektionslösung in Injektor - OP(5x3ml)</t>
  </si>
  <si>
    <t>Novo Nordisk A/S</t>
  </si>
  <si>
    <t>KD_Service@novonordisk.com</t>
  </si>
  <si>
    <t>Actrapid FlexPen 100 I.E./ml Injektionslösung in Injektor - OP(10x3ml) - Einreichungsnummer: 2701930</t>
  </si>
  <si>
    <t>Actrapid InnoLet 100 I.E./ml Injektionslösung in Injektor - OP(5x3ml)</t>
  </si>
  <si>
    <t>Actrapid InnoLet 100 I.E./ml Injektionslösung in Injektor- OP(10x3ml) - Einreichungsnummer: 2701927</t>
  </si>
  <si>
    <t>Liumjev 200 Einheiten/ml KwikPen Injektionslösung im Fertigpen</t>
  </si>
  <si>
    <t>A10AB04</t>
  </si>
  <si>
    <t>Insulin lispro</t>
  </si>
  <si>
    <t>Eli Lilly Nederland B.V.</t>
  </si>
  <si>
    <t>rehn_carsten@lilly.com</t>
  </si>
  <si>
    <t>Liumjev 100 Einheiten/ml KwikPen Injektionslösung im Fertigpen - Einreichungsnummer: 2715300</t>
  </si>
  <si>
    <t>Injektionslösung im Fertigpen</t>
  </si>
  <si>
    <t>Liumjev 100 Einheiten /ml KwikPen Injektionslösung im Fertigpen - Einreichungsnummer: 2715299</t>
  </si>
  <si>
    <t>regulatory_lillydeutschland@lilly.com</t>
  </si>
  <si>
    <t>Engpässe bei Halbfertigware</t>
  </si>
  <si>
    <t>Humalog 100 E/ml Injektionslösung in Durchstechflasche - OP10ml</t>
  </si>
  <si>
    <t>Humalog 100 E/ml Injektionslösung in Durchstechflasche - OP(5x10ml)</t>
  </si>
  <si>
    <t>06172 2732222</t>
  </si>
  <si>
    <t>Das Produkt konnte zwischenzeitlich vom 26.8. bis 5.9. ausgeliefert werden.</t>
  </si>
  <si>
    <t>Insulin lispro Sanofi 100 Einheiten/ml Injektionslösung in Patrone - OP(10x3ml)</t>
  </si>
  <si>
    <t>sanofi-aventis groupe</t>
  </si>
  <si>
    <t>Insulin Lispro Sanofi im SoloStar voll lieferfähig, Restware der Patronen im Großhandel noch verfügbar</t>
  </si>
  <si>
    <t>Insulin lispro Sanofi 100 Einheiten/ml Injektionslösung in Durchstechflasche - OP(5x10ml)</t>
  </si>
  <si>
    <t xml:space="preserve">medinfo.de@sanofi.com </t>
  </si>
  <si>
    <t>Insulin Apidra Durchstechflasche voll lieferfähig</t>
  </si>
  <si>
    <t>Humalog 100 E/ml Injektionslösung in Durchstechflasche - OP(5x10ml) - Einreichungsnummer: 2702480</t>
  </si>
  <si>
    <t>16508321,  16508350</t>
  </si>
  <si>
    <t>2715299, 2715300</t>
  </si>
  <si>
    <t>Liumjev 100 Einheiten /ml KwikPen Injektionslösung im Fertigpen</t>
  </si>
  <si>
    <t>Liumjev 100 Einheiten/ml Junior KwikPen Injektionslösung im Fertigpen</t>
  </si>
  <si>
    <t>Liprolog 100 E/ml Injektionslösung in Durchstechflasche - OP[5x(1x10ml)]</t>
  </si>
  <si>
    <t>06172-2732222</t>
  </si>
  <si>
    <t>NovoRapid FlexPen 100 E/ml Injektionslösung in einem vorgefülltem Injektor - OP(10x3ml)</t>
  </si>
  <si>
    <t>A10AB05</t>
  </si>
  <si>
    <t>Insulin aspart</t>
  </si>
  <si>
    <t>trei@novonordisk.com</t>
  </si>
  <si>
    <t xml:space="preserve">Lagerbestand anderer Packungsgrößen und Darreichungsformen nicht hoch genug, um als Alternative empfohlen zu werden. </t>
  </si>
  <si>
    <t>NovoRapid Penfill 100 E/ml Injektionslösung in Zylinderampulle - OP(5x3ml)</t>
  </si>
  <si>
    <t>Zusammentreffen einer sehr hohen Nachfrage und einer Lieferverzögerung</t>
  </si>
  <si>
    <t>NovoRapid Penfill 100 E/ml Injektionslösung in Zylinderampulle - OP(10x3ml) - Einreichungsnummer: 2701427</t>
  </si>
  <si>
    <t>NovoRapid 100 E/ml Injektionslösung in Durchstechflasche - OP[5x(1x10ml)]</t>
  </si>
  <si>
    <t>Fiasp</t>
  </si>
  <si>
    <t>Lieferverzögerung durch eine stärker als erwartet gestiegene Nachfrage</t>
  </si>
  <si>
    <t>Fiasp - Einreichungsnummer: 7001468</t>
  </si>
  <si>
    <t>Injektionslösung in Patronen</t>
  </si>
  <si>
    <t>NovoRapid FlexPen 100 E/ml Injektionslösung in einem vorgefülltem Injektor - OP(5x3ml)</t>
  </si>
  <si>
    <t>NovoRapid FlexPen 100 E/ml Injektionslösung in einem vorgefülltem Injektor - OP(10x3ml) - Einreichungsnummer: 2702319</t>
  </si>
  <si>
    <t>Fiasp 100 Einheiten/ml Injektionslösung in Patrone - OP(5x3ml)</t>
  </si>
  <si>
    <t>Fiasp 100 Einheiten/ml Injektionslösung in Patrone - OP(10x3ml) - Einreichungsnummer: 2713281</t>
  </si>
  <si>
    <t>NovoRapid PumpCart 100 E/ml Injektionslösung in Patrone - OP(5x1,6ml) - Einreichungsnummer: 2711804</t>
  </si>
  <si>
    <t>Fiasp 100 Einheiten/ml Injektionslösung in Fertigpen - OP(5x3ml)</t>
  </si>
  <si>
    <t>Fiasp 100 Einheiten/ml Injektionslösung in Fertigpen - OP10[2x(5x3ml)] - Einreichungsnummer: 2713276</t>
  </si>
  <si>
    <t>Fiasp 100 Einheiten/ml Injektionslösung in Fertigpen - OP10[2x(5x3ml)]</t>
  </si>
  <si>
    <t>Lieferverzögerung durch eine höhere Nachfrage als erwartet</t>
  </si>
  <si>
    <t>Fiasp 100 Einheiten/ml Injektionslösung in Fertigpen - OP(5x3ml) - Einreichungsnummer: 2713275</t>
  </si>
  <si>
    <t>Fiasp - Einreichungsnummer: 7001469</t>
  </si>
  <si>
    <t>NovoRapid PumpCart 100 E/ml Injektionslösung in Patrone - OP[25x(5x1,6ml)]</t>
  </si>
  <si>
    <t>NovoRapid PumpCart 100 E/ml Injektionslösung in Patrone - OP(5x1,6ml)</t>
  </si>
  <si>
    <t>NovoRapid 100 E/ml Injektionslösung in Durchstechflasche - OP[5x(1x10ml)] - Einreichungsnummer: 2705855</t>
  </si>
  <si>
    <t>Lieferverzögerung durch eine niedrigere Produktionskapazität als erwartet</t>
  </si>
  <si>
    <t>NovoRapid FlexPen 100 E/ml Injektionslösung in einem vorgefülltem Injektor - OP(5x3ml) - Einreichungsnummer: 2702318</t>
  </si>
  <si>
    <t>05387630,  05387647</t>
  </si>
  <si>
    <t>2702570, 2702574</t>
  </si>
  <si>
    <t>Apidra 100 I.E./ml Injektionslösung in Patrone - OP(5x3ml)</t>
  </si>
  <si>
    <t>A10AB06</t>
  </si>
  <si>
    <t>Insulin glulisin</t>
  </si>
  <si>
    <t>Eingeschränkt lieferfähig</t>
  </si>
  <si>
    <t>01484974, 01484069, 01484052</t>
  </si>
  <si>
    <t>Insuman Basal 100 I.E./ml SoloStar Injektionssuspension in Fertigpen - OP(5x3ml)</t>
  </si>
  <si>
    <t>A10AC01</t>
  </si>
  <si>
    <t>Suspension zur Injektion</t>
  </si>
  <si>
    <t>Insuman Basal 100 I.E./ml SoloStar Injektionssuspension in Fertigpen - OP(10x3ml)</t>
  </si>
  <si>
    <t>08922845,  08922851</t>
  </si>
  <si>
    <t>2700528, 2701467</t>
  </si>
  <si>
    <t>Insuman Basal 100 I.E./ml Injektionssuspension in Patrone - OP(5x3ml)</t>
  </si>
  <si>
    <t>01484052,  01484069</t>
  </si>
  <si>
    <t>2706662, 2706665</t>
  </si>
  <si>
    <t>Protaphane FlexPen 100 I.E./ml Injektionssuspension in Injektor - OP(5x3ml)</t>
  </si>
  <si>
    <t>Isophan-Insulin-Suspension zur Injektion (Ph.Eur.)</t>
  </si>
  <si>
    <t>Protaphane FlexPen 100 I.E./ml Injektionssuspension in Injektor - OP(10x3ml) - Einreichungsnummer: 2702007</t>
  </si>
  <si>
    <t>Injektionssuspension</t>
  </si>
  <si>
    <t>08923106,  08923129</t>
  </si>
  <si>
    <t>2700543, 2701473</t>
  </si>
  <si>
    <t>Insuman Comb 50 100 I.E./ml Injektionssuspension in Patrone - OP(5x3ml)</t>
  </si>
  <si>
    <t>A10AD01</t>
  </si>
  <si>
    <t>Insulin human</t>
  </si>
  <si>
    <t>Patienten, die kein INSUMAN Comb erhalten, sollten sich kurzfristig an ihren behandelnden Arzt wenden, um unter ärztlicher Überwachung auf ein anderes Insulin umgestellt zu werden. Für eine gute Blutzuckereinstellung sind häufige Blutzuckerkontrollen und ggf. Anpassungen der Insulindosis in Rücksprache mit dem behandelnden Arzt während der Umstellung erforderlich.Eine Patientenschulung zur herstellerspezifischen Applikationshilfe muss ebenfalls durchgeführt werden.</t>
  </si>
  <si>
    <t>Actraphane 50 Penfill 100 IE/ml Injektionssuspension in Zylinderampulle - OP(5x3ml) - Einreichungsnummer: 2702253</t>
  </si>
  <si>
    <t>01493571,  01495328</t>
  </si>
  <si>
    <t>2706674, 2706677</t>
  </si>
  <si>
    <t>Insuman Comb 25 100 I.E./ml SoloStar Injektionssuspension in Fertigpen - OP(5x3ml)</t>
  </si>
  <si>
    <t>Insuman Comb 25 100 I.E./ml Injektionssuspension in Patrone - OP(10x3ml)</t>
  </si>
  <si>
    <t>Actraphane 50 Penfill 100 IE/ml Injektionssuspension in Zylinderampulle - OP(5x3ml)</t>
  </si>
  <si>
    <t>Insulin human ((mit Angaben zur Herstellung)); Isophan-Insulin-Suspension zur Injektion (Ph.Eur.)</t>
  </si>
  <si>
    <t>Actraphane 50 Penfill 100 IE/ml Injektionssuspension in Zylinderampulle - OP(10x3ml) - Einreichungsnummer: 2702254</t>
  </si>
  <si>
    <t>Actraphane 30 FlexPen 100 IE/ml Injektionssuspension in Injektor - OP(5x3ml)</t>
  </si>
  <si>
    <t>Actraphane 30 FlexPen 100 IE/ml Injektionssuspension in Injektor - OP(10x3ml) - Einreichungsnummer: 2702242</t>
  </si>
  <si>
    <t>Actraphane 50 Penfill 100 IE/ml Injektionssuspension in Zylinderampulle - OP(10x3ml)</t>
  </si>
  <si>
    <t>Actraphane 30 InnoLet 100 IE/ml Injektionssuspension in Injektor - OP(5x3ml)</t>
  </si>
  <si>
    <t>Actraphane 30 InnoLet 100 IE/ml Injektionssuspension in Injektor - OP(10x3ml) - Einreichungsnummer: 2702239</t>
  </si>
  <si>
    <t>Actraphane 30 FlexPen 100 IE/ml Injektionssuspension in Injektor - OP(10x3ml)</t>
  </si>
  <si>
    <t>Actraphane 30 Penfill 100 IE/ml Injektionssuspension in Zylinderampulle - OP(10x3ml) - Einreichungsnummer: 2702234</t>
  </si>
  <si>
    <t>Toujeo 300 Einheiten/ml Injektionslösung in Fertigpen - OP(10x3ml)</t>
  </si>
  <si>
    <t>A10AE04</t>
  </si>
  <si>
    <t>Insulin glargin</t>
  </si>
  <si>
    <t>Als mögliche Alternative können Patient*innen nach individueller Einschätzung des behandelnden Arztes/der behandelnden Ärztin z.B. kurzzeitig auf eine kleinere Packungsgröße wechseln: Toujeo DoubleStar 3x3ml (PZN 14447727). Da wir mit einer vollen Lieferfähigkeit bei der 10er Packung ab November rechnen, empfehlen wir angesichts der Haltbarkeit die Verordnung von nicht mehr als einer 3er Packung zur Überbrückung des Engpasses der 10er Packung.</t>
  </si>
  <si>
    <t>Toujeo 300 Einheiten/ml Injektionslösung in Fertigpen - OP(3x3ml) - Einreichungsnummer: 2715854</t>
  </si>
  <si>
    <t>Tresiba 100 Einheiten/ml Injektionslösung in Patrone - OP(10x3ml)</t>
  </si>
  <si>
    <t>A10AE06</t>
  </si>
  <si>
    <t>Insulin degludec</t>
  </si>
  <si>
    <t>Tresiba 100 Einheiten/ml Injektionslösung in Patrone - OP(5x3ml) - Einreichungsnummer: 2709886</t>
  </si>
  <si>
    <t>Tresiba 200 Einheiten/ml Injektionslösung in Fertigpen - OP(5x3ml)</t>
  </si>
  <si>
    <t>Tresiba 200 Einheiten/ml Injektionslösung in Fertigpen - OP(3x3ml)</t>
  </si>
  <si>
    <t>Tresiba 200 Einheiten/ml Injektionslösung in Fertigpen - OP(5x3ml) - Einreichungsnummer: 2714975</t>
  </si>
  <si>
    <t>Tresiba 100 Einheiten/ml Injektionslösung in Patrone - OP(5x3ml)</t>
  </si>
  <si>
    <t>Tresiba 200 Einheiten/ml Injektionslösung in Fertigpen - OP(3x3ml) - Einreichungsnummer: 2709890</t>
  </si>
  <si>
    <t>01690811</t>
  </si>
  <si>
    <t>Glucophage 1000 mg Filmtabletten</t>
  </si>
  <si>
    <t>A10BA02</t>
  </si>
  <si>
    <t>Metforminhydrochlorid</t>
  </si>
  <si>
    <t>Merck Healthcare Germany GmbH</t>
  </si>
  <si>
    <t>service@merckgroup.com</t>
  </si>
  <si>
    <t>Glucophage 500 mg Filmtabletten</t>
  </si>
  <si>
    <t>Glucophage 850 mg Filmtabletten</t>
  </si>
  <si>
    <t>04100224, 04100135, 08839133</t>
  </si>
  <si>
    <t>Metformin Lich 1000mg</t>
  </si>
  <si>
    <t>Winthrop Arzneimittel GmbH</t>
  </si>
  <si>
    <t>medinfo.de@zentiva.com</t>
  </si>
  <si>
    <t>00454043, 00454066, 08839104</t>
  </si>
  <si>
    <t>Metformin Lich 500mg</t>
  </si>
  <si>
    <t>00079510, 00079527, 08839127</t>
  </si>
  <si>
    <t>Metformin Lich 850mg</t>
  </si>
  <si>
    <t>Sitagliptin/Metformin STADA 50 mg/1000 mg Filmtabletten</t>
  </si>
  <si>
    <t>A10BD07</t>
  </si>
  <si>
    <t>Metforminhydrochlorid; Sitagliptinhydrochlorid</t>
  </si>
  <si>
    <t>Trulicity 4,5 mg Injektionslösung in einem Fertigpen</t>
  </si>
  <si>
    <t>A10BJ05</t>
  </si>
  <si>
    <t>Dulaglutid</t>
  </si>
  <si>
    <t>0800 - 545 5900</t>
  </si>
  <si>
    <t>germany_customer_service@lilly.com</t>
  </si>
  <si>
    <t>Trulicity 3 mg Injektionslösung in einem Fertigpen</t>
  </si>
  <si>
    <t xml:space="preserve"> 0800 - 545 5900</t>
  </si>
  <si>
    <t>Trulicity 4,5 mg Injektionslösung in einem Fertigpen - Einreichungsnummer: 7005769</t>
  </si>
  <si>
    <t>Die 4er Packung Trulicity 4,5mg ist verfügbar.</t>
  </si>
  <si>
    <t>Trulicity 0,75 mg Injektionslösung in Fertigpen - OP[3x(4x0,5ml)]</t>
  </si>
  <si>
    <t>06172 273-2222</t>
  </si>
  <si>
    <t>Trulicity 0,75 mg Injektionslösung in Fertigpen - OP(4x0,5ml) - Einreichungsnummer: 2711486</t>
  </si>
  <si>
    <t>06172 273 2222</t>
  </si>
  <si>
    <t>Trulicity 3 mg Injektionslösung in einem Fertigpen - Einreichungsnummer: 7005766</t>
  </si>
  <si>
    <t>Ozempic 1 mg Injektionslösung in einem Fertigpen - OP3ml</t>
  </si>
  <si>
    <t>A10BJ06</t>
  </si>
  <si>
    <t>Semaglutid</t>
  </si>
  <si>
    <t>zeitweilige Lieferverzögerungen durch eine stärker als erwartet gestiegene Nachfrage</t>
  </si>
  <si>
    <t>Ozempic 0,5 mg Injektionslösung in einem Fertigpen - OP(3x1,5ml)</t>
  </si>
  <si>
    <t>Ozempic 0,5 mg Injektionslösung in einem Fertigpen - OP1,5 ml - Einreichungsnummer: 2714966</t>
  </si>
  <si>
    <t>Ozempic 0,5 mg Injektionslösung in einem Fertigpen - OP1,5 ml</t>
  </si>
  <si>
    <t>Ozempic 0,5 mg Injektionslösung in einem Fertigpen - OP(3x1,5ml) - Einreichungsnummer: 2714967</t>
  </si>
  <si>
    <t>Ozempic 0,25 mg Injektionslösung in einem Fertigpen - OP1,5 ml</t>
  </si>
  <si>
    <t>höhere Nachfrage als erwartet</t>
  </si>
  <si>
    <t>Steglatro 15 mg Filmtabletten - OP98</t>
  </si>
  <si>
    <t>A10BK04</t>
  </si>
  <si>
    <t>Ertugliflozin-Pidolsäure</t>
  </si>
  <si>
    <t>Merck Sharp &amp; Dohme B.V.</t>
  </si>
  <si>
    <t>anton.dimopoulos@msd.de</t>
  </si>
  <si>
    <t>04029118,  06177171</t>
  </si>
  <si>
    <t>Vitadral Tropfen</t>
  </si>
  <si>
    <t>A11CA01</t>
  </si>
  <si>
    <t>Retinolpalmitat</t>
  </si>
  <si>
    <t>Tropfen zum Einnehmen, Lösung</t>
  </si>
  <si>
    <t>A.T.10 Tropfen zum Einnehmen, Lösung</t>
  </si>
  <si>
    <t>A11CC02</t>
  </si>
  <si>
    <t>Dihydrotachysterol</t>
  </si>
  <si>
    <t>TEOFARMA S.R.L.</t>
  </si>
  <si>
    <t>regulatory@teofarma.it</t>
  </si>
  <si>
    <t>The product is in Sunset Clause</t>
  </si>
  <si>
    <t>A.T.10 Weichkapseln</t>
  </si>
  <si>
    <t>Weichkapsel</t>
  </si>
  <si>
    <t>11228367,  11228373</t>
  </si>
  <si>
    <t>Alfacalcidol Aristo 0,5 Mikrogramm Weichkapseln</t>
  </si>
  <si>
    <t>A11CC03</t>
  </si>
  <si>
    <t>Alfacalcidol</t>
  </si>
  <si>
    <t>11228338,  11228344</t>
  </si>
  <si>
    <t>Alfacalcidol Aristo 0,25 Mikrogramm Weichkapseln</t>
  </si>
  <si>
    <t>Alfacalcidol Aristo 1 Mikrogramm Weichkapseln</t>
  </si>
  <si>
    <t>Decostriol inject 2 Mikrogramm/ml Injektionslösung</t>
  </si>
  <si>
    <t>A11CC04</t>
  </si>
  <si>
    <t>Calcitriol</t>
  </si>
  <si>
    <t>Mibe GmbH Arzneimittel</t>
  </si>
  <si>
    <t>sekretariat-zulassung@mibegmbh.de</t>
  </si>
  <si>
    <t>Analytische Probleme</t>
  </si>
  <si>
    <t>Decostriol inject 1 Mikrogramm/ml Injektionslösung - Einreichungsnummer: 2159174</t>
  </si>
  <si>
    <t>Zulassung-Sekretariat@mibegmbh.de</t>
  </si>
  <si>
    <t>Corona bedingter Personalmangel durch erhöhten Krankenstand</t>
  </si>
  <si>
    <t>zulassung-sekretariat@mibegmbh.de</t>
  </si>
  <si>
    <t>Decostriol inject 1 Mikrogramm/ml Injektionslösung</t>
  </si>
  <si>
    <t>034954 2470</t>
  </si>
  <si>
    <t>Decostriol 0,50 Mikrogramm Weichkapsel</t>
  </si>
  <si>
    <t>Hiermit bestätigen wir, dass die angegebene alternative Packungsgröße voraussichtlich bis zum Ende des gemeldeten Lieferengpasses zur Verfügung steht.</t>
  </si>
  <si>
    <t>Decostriol 0,50 Mikrogramm Weichkapsel - Einreichungsnummer: 2140191</t>
  </si>
  <si>
    <t>08890447,  08890476</t>
  </si>
  <si>
    <t>Decostriol 0,25 Mikrogramm Weichkapsel</t>
  </si>
  <si>
    <t>Decostriol 0,25 Mikrogramm Weichkapsel - Einreichungsnummer: 2140190</t>
  </si>
  <si>
    <t>D3-Vicotrat</t>
  </si>
  <si>
    <t>A11CC05</t>
  </si>
  <si>
    <t>Colecalciferol</t>
  </si>
  <si>
    <t>+49 172 3504 231</t>
  </si>
  <si>
    <t xml:space="preserve">Ralf.Zabiensky@laborchemie.de               </t>
  </si>
  <si>
    <t>B6-Vicotrat 300 mg</t>
  </si>
  <si>
    <t>A11HA02</t>
  </si>
  <si>
    <t>Pyridoxinhydrochlorid</t>
  </si>
  <si>
    <t>Haupt Pharma Berlin wurde geschlossen, neuer Lohnhersteller noch nicht verfügbar</t>
  </si>
  <si>
    <t>überzogene Tablette</t>
  </si>
  <si>
    <t>08427264,  08435996,  08436056,  16010176</t>
  </si>
  <si>
    <t>Inzolen-Infusio E</t>
  </si>
  <si>
    <t>A12CX</t>
  </si>
  <si>
    <t>Dexpanthenol; Kaliumhydrogen-DL-aspartat; Kupfer(II)-hydrogen-DL-aspartat 0.5 H&lt;2&gt;O; Magnesiumbis(hydrogen-DL-aspartat) 4 H&lt;2&gt;O; Mangan(II)-hydrogen-DL-aspartat 2.5 H&lt;2&gt;O; Natriumchlorid; Xylitol; Zinkbis(hydrogen-DL-aspartat)</t>
  </si>
  <si>
    <t>Dr. Franz Köhler Chemie Gesellschaft mit beschränkter Haftung</t>
  </si>
  <si>
    <t>+49 6251 1083 373</t>
  </si>
  <si>
    <t>f.helas@koehler-chemie.de</t>
  </si>
  <si>
    <t>-</t>
  </si>
  <si>
    <t>Infusionslösung</t>
  </si>
  <si>
    <t>00059855,  00066370,  01267610,  01267768,  01385120,  01385137,  02298392,  05974764</t>
  </si>
  <si>
    <t>Inzolen</t>
  </si>
  <si>
    <t>Cobalt(II)-hydrogen-DL-aspartat 5 H&lt;2&gt;O; Kaliumhydrogenaspartat-Hemihydrat; Kupfer(II)-hydrogen-DL-aspartat 0.5 H&lt;2&gt;O; Magnesiumbis(hydrogen-DL-aspartat) 4 H&lt;2&gt;O; Mangan(II)-hydrogen-DL-aspartat 2.5 H&lt;2&gt;O; Zinkbis(hydrogen-DL-aspartat)</t>
  </si>
  <si>
    <t>Injektions-/Infusionslösung</t>
  </si>
  <si>
    <t>3951032, 09633333, 09633356, 08796688, 08796694</t>
  </si>
  <si>
    <t>L-Carn 1g</t>
  </si>
  <si>
    <t>A16AA01</t>
  </si>
  <si>
    <t>Levocarnitin</t>
  </si>
  <si>
    <t>Alfasigma S.p.A.</t>
  </si>
  <si>
    <t>service@pharmore.de</t>
  </si>
  <si>
    <t>03951003, 08796702, 08796719</t>
  </si>
  <si>
    <t>L-Carn Trinklösung</t>
  </si>
  <si>
    <t>Captimer 250 mg überzogene Tabletten</t>
  </si>
  <si>
    <t>A16AA11, V03AB</t>
  </si>
  <si>
    <t>Tiopronin</t>
  </si>
  <si>
    <t>MIT Gesundheit GmbH</t>
  </si>
  <si>
    <t>02821 72770</t>
  </si>
  <si>
    <t>info@mit-gesundheit.com</t>
  </si>
  <si>
    <t>Das Arzneimittel wird aus dem Handel genommen.</t>
  </si>
  <si>
    <t>Thiola 250 mg überzogene Tabletten - Einreichungsnummer: 2206044</t>
  </si>
  <si>
    <t>Captimer 100mg überzogene Tabletten</t>
  </si>
  <si>
    <t>Das Arzneimittel ist aus dem Handel genommen.</t>
  </si>
  <si>
    <t>Thiola 100 mg überzogene Tabletten - Einreichungsnummer: 2206045</t>
  </si>
  <si>
    <t>00954716</t>
  </si>
  <si>
    <t>AMMONAPS 940 mg/g Granulat - OP266g</t>
  </si>
  <si>
    <t>A16AX03</t>
  </si>
  <si>
    <t>Natrium(4-phenylbutanoat)</t>
  </si>
  <si>
    <t>Recordati Rare Diseases</t>
  </si>
  <si>
    <t>Granulat</t>
  </si>
  <si>
    <t>00954685</t>
  </si>
  <si>
    <t>AMMONAPS 500 mg Tabletten - OP250</t>
  </si>
  <si>
    <t>Immedica Pharma AB</t>
  </si>
  <si>
    <t>+46(0) 533 39 500</t>
  </si>
  <si>
    <t>orders@immedica.com</t>
  </si>
  <si>
    <t>RAVICTI 1,1 g/ml Flüssigkeit zum Einnehmen - OP25ml - Einreichungsnummer: 2711929</t>
  </si>
  <si>
    <t>+46 (0)76 133 28 43</t>
  </si>
  <si>
    <t>sevim.hasozbek@immedica.com</t>
  </si>
  <si>
    <t>Kuvan 500 mg Pulver zur Herstellung einer Lösung zum Einnehmen - OP(30xXXXXmg)(Btl)</t>
  </si>
  <si>
    <t>A16AX07</t>
  </si>
  <si>
    <t>Sapropterindihydrochlorid</t>
  </si>
  <si>
    <t>BioMarin International Limited  (BS 1)</t>
  </si>
  <si>
    <t>00800 742 46627</t>
  </si>
  <si>
    <t>medinfoeu@bmrn.com</t>
  </si>
  <si>
    <t>12345626, 12345655, 12345661, 12345690</t>
  </si>
  <si>
    <t>Marcuphen AbZ 3 mg Tabletten</t>
  </si>
  <si>
    <t>B01AA</t>
  </si>
  <si>
    <t>Phenprocoumon</t>
  </si>
  <si>
    <t>4582128, 04582134, 12357664, 12357664</t>
  </si>
  <si>
    <t>Phenpro.-ratiopharm 3 mg Tabletten</t>
  </si>
  <si>
    <t>B01AA04</t>
  </si>
  <si>
    <t>Phenprocoumon acis 3 mg Tabletten</t>
  </si>
  <si>
    <t>03029843</t>
  </si>
  <si>
    <t>Heparin-Natrium-25000-ratiopharm</t>
  </si>
  <si>
    <t>B01AB</t>
  </si>
  <si>
    <t>Heparin-Natrium ((mit Angaben zur Herkunft))</t>
  </si>
  <si>
    <t>0800 800 50 13 (Bestellung) oder 0800 800 50 22  (Med. Fragen)</t>
  </si>
  <si>
    <t>Heparin-Natrium-5000-ratiopharm</t>
  </si>
  <si>
    <t>Heparin-Natrium-5000-ratiopharm - Einreichungsnummer: 2105394</t>
  </si>
  <si>
    <t>00569898</t>
  </si>
  <si>
    <t>Heparin-Natrium Braun "Multi" 10.000 I.E./ml</t>
  </si>
  <si>
    <t>05661 - 71 -3399</t>
  </si>
  <si>
    <t>Heparin-Natrium</t>
  </si>
  <si>
    <t>Heparin-Natrium-25000-ratiopharm - Einreichungsnummer: 2105396</t>
  </si>
  <si>
    <t>6968702, 06968694</t>
  </si>
  <si>
    <t>Heparin-Natrium-250000-ratiopharm</t>
  </si>
  <si>
    <t>B01AB01</t>
  </si>
  <si>
    <t>Heparin-Natrium-7 500-ratiopharm FS</t>
  </si>
  <si>
    <t>16200037, 16200066</t>
  </si>
  <si>
    <t>Heparin PANPHARMA</t>
  </si>
  <si>
    <t>PANPHARMA GmbH</t>
  </si>
  <si>
    <t>04154 862 0</t>
  </si>
  <si>
    <t>CustomerService@rotexmedica.com</t>
  </si>
  <si>
    <t>00051055,  04129423</t>
  </si>
  <si>
    <t>2700388, 2702626</t>
  </si>
  <si>
    <t>Plavix 75 mg Filmtabletten - OP28(PVC-Bl)</t>
  </si>
  <si>
    <t>B01AC04</t>
  </si>
  <si>
    <t>Clopidogrelhydrogensulfat</t>
  </si>
  <si>
    <t xml:space="preserve">Generika für Clopidogrel 75 mg sind als Alternative verfügbar. </t>
  </si>
  <si>
    <t>Plavix 300 mg Filmtabletten - OP30(30x1)(Al-Bl)</t>
  </si>
  <si>
    <t xml:space="preserve">Als Alternative zu einer Tablette mit 300 mg können gemäß Gebrauchsinformation 4 Tabletten mit 75 mg eingenommen werden. Hierfür stehen die Arzneimittel Plavix 75 mg oder Iscover 75 mg zur Verfügung. </t>
  </si>
  <si>
    <t>Clopidogrel ratiopharm 75 mg Filmtabletten</t>
  </si>
  <si>
    <t>Clopidogrelbesilat</t>
  </si>
  <si>
    <t>info@ratriopharm.de</t>
  </si>
  <si>
    <t>Probleme beim Wirkstoffhersteller</t>
  </si>
  <si>
    <t>0800 5252010</t>
  </si>
  <si>
    <t>Generika für Clopidogrel 75 mg sind als Alternative verfügbar.</t>
  </si>
  <si>
    <t>EPOPROSTENOL - ROTEXMEDICA 0,5 mg Pulver und Lösungsmittel zur Herstellung einer Infusionslösung</t>
  </si>
  <si>
    <t>B01AC09</t>
  </si>
  <si>
    <t>Epoprostenol-Natrium</t>
  </si>
  <si>
    <t>Panmedica Beiname lt. HR: Panpharma Rotexmedica GmbH</t>
  </si>
  <si>
    <t>info@panpharma.de</t>
  </si>
  <si>
    <t>Pulver zur Herstellung einer Infusionslösung,Lösungsmittel</t>
  </si>
  <si>
    <t>12352508</t>
  </si>
  <si>
    <t>VELETRI 0,5 mg Pulver zur Herstellung einer Infusionslösung</t>
  </si>
  <si>
    <t>Janssen-Cilag International NV</t>
  </si>
  <si>
    <t>02137 955 223</t>
  </si>
  <si>
    <t>jancil@its.jnj.com</t>
  </si>
  <si>
    <t>+49 (0) 3834 8872 134</t>
  </si>
  <si>
    <t>Status "Außer Vertrieb" mit Datum vom 01. Mai 2022 (PZN 16199920).</t>
  </si>
  <si>
    <t>Ventavis 10 Mikrogramm/ml Lösung für einen Vernebler - OP168[4x(42x1ml)]</t>
  </si>
  <si>
    <t>B01AC11</t>
  </si>
  <si>
    <t>Iloprost-Trometamol</t>
  </si>
  <si>
    <t>Bayer Aktiengesellschaft - Geschäftsanschrift -</t>
  </si>
  <si>
    <t>0214 30 51348</t>
  </si>
  <si>
    <t>medical-information@bayer.com</t>
  </si>
  <si>
    <t>Lösung für einen Vernebler</t>
  </si>
  <si>
    <t>Ventavis 20 Mikrogramm/ml Lösung für einen Vernebler - OP168[4x(42x1ml)]</t>
  </si>
  <si>
    <t>Integrilin 0,75 mg/ml Injektionslösung - OP1</t>
  </si>
  <si>
    <t>B01AC16</t>
  </si>
  <si>
    <t>Eptifibatid</t>
  </si>
  <si>
    <t>Glaxo Group Ltd.</t>
  </si>
  <si>
    <t>0800/1223355</t>
  </si>
  <si>
    <t>service.info@gsk.com</t>
  </si>
  <si>
    <t>Integrilin 0,75 mg/ml Injektionslösung - OP1 - Einreichungsnummer: 2700671</t>
  </si>
  <si>
    <t>Integrilin 2 mg/ml Injektionslösung - OP1</t>
  </si>
  <si>
    <t>Integrilin 2 mg/ml Injektionslösung - OP1 - Einreichungsnummer: 2700670</t>
  </si>
  <si>
    <t>GlaxoSmithKline (Ireland) Limited</t>
  </si>
  <si>
    <t>Verzögerungen in der Produktion</t>
  </si>
  <si>
    <t>Die Herstellung und Vermarktung des Produkts werden eingestellt. Ein Informationsschreiben wird noch mit dem BfArM abgestimmt und wird Anfang November an die Fachkreise versendet.</t>
  </si>
  <si>
    <t>Actilyse Cathflo 2 mg Pulver zur Herstellung einer Injektions- bzw. Infusionslösung</t>
  </si>
  <si>
    <t>B01AD02</t>
  </si>
  <si>
    <t>Alteplase</t>
  </si>
  <si>
    <t>Boehringer Ingelheim Pharma GmbH &amp; Co.KG</t>
  </si>
  <si>
    <t>0800 - 77 90 90 0</t>
  </si>
  <si>
    <t>info@boehringer-ingelheim.de</t>
  </si>
  <si>
    <t>Befristete Einstellung der Produktion von Actilyse® Cathflo®, um den Wirkstoff in der Zwischenzeit für die anderen Stärken und Indikationen von Actilyse® zu verwenden. Es ist geplant, die Produktion in der zweiten Jahreshälfte 2024 wieder aufzunehmen.</t>
  </si>
  <si>
    <t>03300613,  03300636,  03974381</t>
  </si>
  <si>
    <t>Actilyse Pulver und Lösungmittel zur Herstellung einer Injektions- bzw. Infusionslösung</t>
  </si>
  <si>
    <t>B01AD02, B02A</t>
  </si>
  <si>
    <t>Pulver zur Herstellung einer Injektions- /Infusionslösung,Lösungsmittel</t>
  </si>
  <si>
    <t>03258271, 01673132, 01673149, 03258265, 03258242, 03258271, 01673149, 03258259, 03258236</t>
  </si>
  <si>
    <t>Urokinase HS medac</t>
  </si>
  <si>
    <t>B01AD04</t>
  </si>
  <si>
    <t>Urokinase</t>
  </si>
  <si>
    <t>Medac Gesellschaft für klinische Spezialpräparate m.b.H.</t>
  </si>
  <si>
    <t>04103 / 8006 -411</t>
  </si>
  <si>
    <t>e.patelschick@medac.de</t>
  </si>
  <si>
    <t>Etablierung neuer Wirkstoff-Hersteller; Prozess dauert an</t>
  </si>
  <si>
    <t>Pulver zur Herstellung einer Injektions- bzw. Infusionslösung</t>
  </si>
  <si>
    <t>Urokinase 250.000 HS medac</t>
  </si>
  <si>
    <t>Urokinase 100.000 HS medac</t>
  </si>
  <si>
    <t>Urokinase 50.000 HS medac</t>
  </si>
  <si>
    <t>Urokinase 10 000 HS medac</t>
  </si>
  <si>
    <t>Syner-KINASE</t>
  </si>
  <si>
    <t>Syner-Medica B.V.</t>
  </si>
  <si>
    <t>+49 (89) 45 08 08 78-44</t>
  </si>
  <si>
    <t>sales@lyomark.com</t>
  </si>
  <si>
    <t>Pulver zur Herstellung einer Injektions-/Infusionslösung</t>
  </si>
  <si>
    <t>+49(89)450808780</t>
  </si>
  <si>
    <t>Metalyse 10.000 U Pulver und Lösungsmittel zur Herstellung einer Injektionslösung - OP(1+1)</t>
  </si>
  <si>
    <t>B01AD11</t>
  </si>
  <si>
    <t>Tenecteplase</t>
  </si>
  <si>
    <t>Boehringer Ingelheim International GmbH</t>
  </si>
  <si>
    <t>Actilyse Pulver und Lösungmittel zur Herstellung einer Injektions- bzw. Infusionslösung - Einreichungsnummer: 2142414</t>
  </si>
  <si>
    <t>Pulver,Lösungsmittel</t>
  </si>
  <si>
    <t>Eingeschränkte Lieferfähigkeit bis voraussichtlich Ende 2024.</t>
  </si>
  <si>
    <t>09676408, 08461261, 12590136, 14166247</t>
  </si>
  <si>
    <t>Xarelto 2,5 mg Filmtabletten - OP196</t>
  </si>
  <si>
    <t>B01AF01</t>
  </si>
  <si>
    <t>Rivaroxaban</t>
  </si>
  <si>
    <t>Xarelto 2,5 mg Filmtabletten - OP196 - Einreichungsnummer: 2752849</t>
  </si>
  <si>
    <t>Xarelto 1 mg/ml Granulat zur Herstellung einer Suspension zum Einnehmen</t>
  </si>
  <si>
    <t>Granulat zur Herstellung einer Suspension zum Einnehmen</t>
  </si>
  <si>
    <t>0214/30-51348</t>
  </si>
  <si>
    <t xml:space="preserve">medical-information@bayer.com </t>
  </si>
  <si>
    <t>0800 6422937</t>
  </si>
  <si>
    <t>Arixtra 5 mg/0,4 ml Injektionslösung, Fertigspritze - OP7</t>
  </si>
  <si>
    <t>B01AX05</t>
  </si>
  <si>
    <t>Fondaparinux-Natrium</t>
  </si>
  <si>
    <t>Aspen Pharma Trading Limited</t>
  </si>
  <si>
    <t>089 9308 38 0</t>
  </si>
  <si>
    <t>de-info@aspenpharma.e</t>
  </si>
  <si>
    <t>Arixtra 1,5 mg/0,3 ml Injektionslösung, Fertigspritze - OP7</t>
  </si>
  <si>
    <t>Mylan IRE Healthcare Limited</t>
  </si>
  <si>
    <t>0800-0700-800</t>
  </si>
  <si>
    <t>kundenservice@viatris.com</t>
  </si>
  <si>
    <t>Mono-Embolex 3000 I.E. Prophylaxe Sicherheitsspritze - Einreichungsnummer: 2114101</t>
  </si>
  <si>
    <t>Arixtra 10 mg/0,8 ml Injektionslösung, Fertigspritze - OP7</t>
  </si>
  <si>
    <t>13825831, 13825854, 13825877</t>
  </si>
  <si>
    <t>Tranexamsäure Tillomed 500 mg Filmtabletten</t>
  </si>
  <si>
    <t>B02AA02</t>
  </si>
  <si>
    <t>Tranexamsäure</t>
  </si>
  <si>
    <t>TILLOMED PHARMA GmbH</t>
  </si>
  <si>
    <t>+49 30 31198550</t>
  </si>
  <si>
    <t>info@tillomed.de</t>
  </si>
  <si>
    <t>Trasylol 10 000 KIE/ml Infusionslösung</t>
  </si>
  <si>
    <t>B02AB</t>
  </si>
  <si>
    <t>Konzentrierte Aprotinin-Lösung ((mit Angaben in Ph.Eur.-E./ml))</t>
  </si>
  <si>
    <t>Nordic Group B.V. - Zweigniederlassung -</t>
  </si>
  <si>
    <t>+49 (0) 89 458 142 38</t>
  </si>
  <si>
    <t>RegAffairs@cso-pharma.eu</t>
  </si>
  <si>
    <t>Aufgrund von Personalmangels bei Fresenius Kabi Austria GmbH wurde die Herstellung verzögert.Einführung einer Kombipackung DE/AT wurde regulatorisch umgesetzt, verursachte beim Hersteller Probleme in der Umsetzung.</t>
  </si>
  <si>
    <t>12344590</t>
  </si>
  <si>
    <t>FibCLOT</t>
  </si>
  <si>
    <t>B02BB01</t>
  </si>
  <si>
    <t>Fibrinogen vom Menschen</t>
  </si>
  <si>
    <t>Laboratoire Francais du Fractionnement et des Biotechnologies</t>
  </si>
  <si>
    <t>+49 (0) 151-259 80-123</t>
  </si>
  <si>
    <t>bubikata@lfb.fr</t>
  </si>
  <si>
    <t>Fibryga - Einreichungsnummer: 2613723</t>
  </si>
  <si>
    <t>ADYNOVI</t>
  </si>
  <si>
    <t>B02BD02</t>
  </si>
  <si>
    <t>Rurioctocog-alfa-pegol</t>
  </si>
  <si>
    <t>Baxalta Innovations GmbH</t>
  </si>
  <si>
    <t>0800 825 332 5</t>
  </si>
  <si>
    <t>medinfoEMEA@takeda.com</t>
  </si>
  <si>
    <t>ADYNOVI - Einreichungsnummer: 2673915</t>
  </si>
  <si>
    <t>05376313</t>
  </si>
  <si>
    <t>WILLFACT 1000 I.E.</t>
  </si>
  <si>
    <t>B02BD10</t>
  </si>
  <si>
    <t>Von-Willebrand-Faktor vom Menschen</t>
  </si>
  <si>
    <t>+33 3 2049 4437 / +33 6 0705 0356</t>
  </si>
  <si>
    <t>sampers@lfb.fr</t>
  </si>
  <si>
    <t>Pulver und Lösungsmittel zur Herstellung einer Injektionslösung,Pulver und Lösungsmittel zur Herstellung einer Injektionslösung</t>
  </si>
  <si>
    <t>Ferro sanol 30mg/ml Tropfen</t>
  </si>
  <si>
    <t>B03AA01</t>
  </si>
  <si>
    <t>Eisen(II)-glycin-sulfat-Komplex</t>
  </si>
  <si>
    <t>UCB Pharma GmbH</t>
  </si>
  <si>
    <t>02173 48 48 48</t>
  </si>
  <si>
    <t>UCBCares.DE@ucb.com</t>
  </si>
  <si>
    <t>Ferrum Hausmann Lösung - Einreichungsnummer: 0024673</t>
  </si>
  <si>
    <t>00379086,  01608910</t>
  </si>
  <si>
    <t>+49 2173 48 4848</t>
  </si>
  <si>
    <t>Aufgrund der Schließung einer Produktionsstätte ist derzeit die Produktion von Ferro sanol 30 mg/ml Tropfen nicht mehr möglich. Die Unterbrechung einer Auslieferung im üblichen Umfang wird in den kommenden Wochen erwartet, bis das Produkt an einen neuen Produktionsstandort übergeben werden kann. Die PZN der Gesamtklinikpackung (10 x 30 ml) lautet 01608910; die PZN 07804196 ist die des Klinikpackungbausteins (1 x 30 ml).</t>
  </si>
  <si>
    <t>Ferrlecit 62,5 mg</t>
  </si>
  <si>
    <t>B03AC</t>
  </si>
  <si>
    <t>Eisen(III)-natrium-D-gluconat-hydroxid-oxid-Komplex (ca. 2:1:1:x:y)</t>
  </si>
  <si>
    <t xml:space="preserve">Eingeschränkt lieferfähig. Ferrlecit 40 mg (PZN 03075346) steht als Alternative in begrenztem Umfang zur Verfügung. </t>
  </si>
  <si>
    <t>Ferrlecit 40 mg - Einreichungsnummer: 1441686</t>
  </si>
  <si>
    <t>Ferrlecit 40 mg</t>
  </si>
  <si>
    <t>Mögliche Alternativpräparate können der Onkopedia Leitlinie "Eisenmangel und Eisenmangelanämie" entnommen werden.</t>
  </si>
  <si>
    <t>Eingeschränkte Lieferfähigkeit. Mögliche Alternativpräparate können der Onkopedia Leitlinie "Eisenmangel und Eisenmangelanämie" entnommen werden.</t>
  </si>
  <si>
    <t>medinfo@sanofi.com</t>
  </si>
  <si>
    <t>Vitamin B 12 1000 µg inject JENAPHARM</t>
  </si>
  <si>
    <t>B03BA01</t>
  </si>
  <si>
    <t>Cyanocobalamin</t>
  </si>
  <si>
    <t>Kapazitätsengpass wegen COVID-19 Ausfall Mitarbeiter</t>
  </si>
  <si>
    <t>Vitamin B 12 1000 µg inject JENAPHARM - Einreichungsnummer: 3000296</t>
  </si>
  <si>
    <t>Coronabedingter Personalmangel durch erhöhten Krankenstand</t>
  </si>
  <si>
    <t>Albunorm 20%</t>
  </si>
  <si>
    <t>B05AA01</t>
  </si>
  <si>
    <t>Plasmaproteine vom Menschen mit mindestens 96% Albumin</t>
  </si>
  <si>
    <t>Octapharma GmbH</t>
  </si>
  <si>
    <t>thomas.franken@octapharma.com</t>
  </si>
  <si>
    <t xml:space="preserve">Sonstige </t>
  </si>
  <si>
    <t>Albunorm 20% - Einreichungsnummer: 2604239</t>
  </si>
  <si>
    <t>15660860</t>
  </si>
  <si>
    <t>Tetraspan 6 % Infusionslösung</t>
  </si>
  <si>
    <t>B05AA07</t>
  </si>
  <si>
    <t>Calciumchlorid-Dihydrat; Hydroxyethylstärke (Ph.Eur.) ((mit weiteren Angaben: mittlere relative Molmasse; molare Substitution (MS) oder Substitutionsgrad (DS); C2/C6-Ethoxylierungsverhältnis; Herkunft der Stärke)); Kaliumchlorid; Magnesiumchlorid-Hexahydrat; Natriumacetat-Trihydrat; Natriumchlorid; Äpfelsäure o.w.A.</t>
  </si>
  <si>
    <t>05661 - 9147 7307</t>
  </si>
  <si>
    <t>Gelafundin ISO 40 mg/ml Infusionslösung - Einreichungsnummer: 2181231</t>
  </si>
  <si>
    <t>01214393</t>
  </si>
  <si>
    <t>Aminoven 15 %</t>
  </si>
  <si>
    <t>B05BA01</t>
  </si>
  <si>
    <t>Alanin; Arginin; Glycin; Histidin; Isoleucin; Leucin; Lysinacetat; Methionin; Phenylalanin; Prolin; Serin; Taurin; Threonin; Tryptophan; Tyrosin; Valin</t>
  </si>
  <si>
    <t>YAO SAN NERVENSALBE - Einreichungsnummer: 0313153</t>
  </si>
  <si>
    <t>Aminosteril N-Hepa 8%</t>
  </si>
  <si>
    <t>Acetylcystein; Alanin; Arginin; Essigsäure 99%; Glycin; Histidin; Isoleucin; Leucin; Lysinacetat; Methionin; Phenylalanin; Prolin; Serin; Threonin; Tryptophan; Valin</t>
  </si>
  <si>
    <t>lieferengpassmeldung@fresenius-kabi.com</t>
  </si>
  <si>
    <t>Aminoplasmal Hepa-10%</t>
  </si>
  <si>
    <t>Acetylcystein; Alanin; Arginin; Asparagin-Monohydrat; Asparaginsäure; Glutaminsäure; Glycin; Histidin; Isoleucin; Leucin; Lysinacetat; Methionin; N-Acetyltyrosin (Ph.Eur.); Ornithinhydrochlorid; Phenylalanin; Prolin; Serin; Threonin; Tryptophan; Valin</t>
  </si>
  <si>
    <t>benjamin.strippel@bbraun.com</t>
  </si>
  <si>
    <t>Nephrotect</t>
  </si>
  <si>
    <t>Acetylcystein; Alanin; Arginin; Glycin; Histidin; Isoleucin; Leucin; Lysinacetat; Methionin; N-Glycyl-L-tyrosin 2 H&lt;2&gt;O; Phenylalanin; Prolin; Serin; Threonin; Tryptophan; Tyrosin; Valin</t>
  </si>
  <si>
    <t>Aminopäd 10%</t>
  </si>
  <si>
    <t>Acetylcystein; Alanin; Arginin; Asparaginsäure; Citronensäure; Glutaminsäure; Glutaminsäure-Lysin-Salz 2 H&lt;2&gt;O; Glycin; Histidin; Isoleucin; Leucin; Methionin; N-Acetyltyrosin (Ph.Eur.); Phenylalanin; Prolin; Serin; Taurin; Threonin; Tryptophan; Valin</t>
  </si>
  <si>
    <t>Primene 5% - Einreichungsnummer: 2115492</t>
  </si>
  <si>
    <t>Intrafusin 15%</t>
  </si>
  <si>
    <t>Acetylcystein; Alanin; Arginin; Glutaminsäure; Glutaminsäure-Lysin-Salz 2 H&lt;2&gt;O; Glycin; Histidin; Isoleucin; Leucin; Methionin; N-Acetyltyrosin (Ph.Eur.); Phenylalanin; Prolin; Serin; Threonin; Tryptophan; Valin</t>
  </si>
  <si>
    <t>Synthamin 8,5 - Einreichungsnummer: 2105194</t>
  </si>
  <si>
    <t>Intrafusin 10%</t>
  </si>
  <si>
    <t>Produkt ab sofort wieder uneingeschränkt verfügbar.</t>
  </si>
  <si>
    <t>06977730,  06977747</t>
  </si>
  <si>
    <t>Aminoven 15 % - Einreichungsnummer: 2138720</t>
  </si>
  <si>
    <t>Omegaven-Fresenius</t>
  </si>
  <si>
    <t>B05BA02</t>
  </si>
  <si>
    <t>Eilecithin; Glycerol; Öl von Hochseefischen</t>
  </si>
  <si>
    <t>Omegaven-Fresenius - Einreichungsnummer: 2134164</t>
  </si>
  <si>
    <t>Emulsion zur Infusion</t>
  </si>
  <si>
    <t>07461980, 07461997, 00276848</t>
  </si>
  <si>
    <t>Lipovenös 20%</t>
  </si>
  <si>
    <t>(3-sn-Phosphatidyl)cholin ((mit Angaben zur Herkunft und Reinheit)); Glycerol; Sojaöl ((Diese ASK-Nr. nicht zum Codieren benutzen, stattdessen ASK-Nr.: 31341-3 verwenden))</t>
  </si>
  <si>
    <t>Emulsion</t>
  </si>
  <si>
    <t>00276848,  07461980,  07461997</t>
  </si>
  <si>
    <t>Lipovenös MCT 20%</t>
  </si>
  <si>
    <t>Glycerol; Mittelkettige Triglyceride; Phospholipide ((mit Angaben zur Herkunft)); Sojaöl ((Diese ASK-Nr. nicht zum Codieren benutzen, stattdessen ASK-Nr.: 31341-3 verwenden))</t>
  </si>
  <si>
    <t>+49 (0) 173 687 333 1</t>
  </si>
  <si>
    <t>valerie.schimpf@fresenius-kabi.com</t>
  </si>
  <si>
    <t>Produkte sind wieder uneingeschränkt lieferfähig.</t>
  </si>
  <si>
    <t>Glucosteril 70%</t>
  </si>
  <si>
    <t>B05BA03</t>
  </si>
  <si>
    <t>Glucose-Monohydrat (Ph.Eur.)</t>
  </si>
  <si>
    <t>Änderung des Herstellverfahrens</t>
  </si>
  <si>
    <t/>
  </si>
  <si>
    <t>Calciumfolinat Kabi 10 mg/ml Injektions-/Infusionslösung - Einreichungsnummer: 2193327</t>
  </si>
  <si>
    <t>05138039, 10125381, 10125352, 10125398, 05138192, 05138080, 08401750, 05138097, 05138068, 05138200</t>
  </si>
  <si>
    <t>SmofKabiven zentral elektrolytfrei Emulsion zur Infusion</t>
  </si>
  <si>
    <t>B05BA10</t>
  </si>
  <si>
    <t>Alanin; Arginin; Glucose-Monohydrat (Ph.Eur.); Glycin; Histidin; Isoleucin; Leucin; Lysinacetat; Methionin; Mittelkettige Triglyceride; Omega-3-Säuren-reiches Fischöl ((mit Angaben zur Zusammensetzung)); Phenylalanin; Prolin; Raffiniertes Olivenöl; Raffiniertes Sojaöl (Ph.Eur.); Serin; Taurin; Threonin; Tryptophan; Tyrosin; Valin</t>
  </si>
  <si>
    <t>SmofKabiven zentral elektrolytfrei Emulsion zur Infusion - Einreichungsnummer: 2172142</t>
  </si>
  <si>
    <t>Tris 36,34 % Braun</t>
  </si>
  <si>
    <t>B05BB</t>
  </si>
  <si>
    <t>Trometamol</t>
  </si>
  <si>
    <t>THAM-Köhler 3 M - Einreichungsnummer: 5014169</t>
  </si>
  <si>
    <t>00541598,  00541612</t>
  </si>
  <si>
    <t>Jonosteril</t>
  </si>
  <si>
    <t>B05BB01</t>
  </si>
  <si>
    <t>Calciumacetat; Kaliumacetat; Magnesiumacetat-Tetrahydrat; Natriumacetat-Trihydrat; Natriumchlorid</t>
  </si>
  <si>
    <t>frank.jethon@fresenius-kabi.com</t>
  </si>
  <si>
    <t>Peditrace</t>
  </si>
  <si>
    <t>B05X</t>
  </si>
  <si>
    <t>Kaliumiodid; Kupfer(II)-chlorid  2 H&lt;2&gt;O; Mangan(II)-chlorid  4 H&lt;2&gt;O; Natriumfluorid; Natriumselenit; Zinkchlorid</t>
  </si>
  <si>
    <t>+49 89 31701 0</t>
  </si>
  <si>
    <t>Info_de@baxter.com</t>
  </si>
  <si>
    <t>01314284</t>
  </si>
  <si>
    <t>Tracitrans Infant</t>
  </si>
  <si>
    <t>Kaliumiodid; Kupfer(II)-chlorid  2 H&lt;2&gt;O; Mangan(II)-chlorid  4 H&lt;2&gt;O; Natriumfluorid; Natriumselenit-Pentahydrat; Zinkchlorid</t>
  </si>
  <si>
    <t>Paesel &amp; Lorei GmbH &amp; Co. KG Biochemika, Diagnostika und Pharmazeutika</t>
  </si>
  <si>
    <t>+49 2843 9026 0</t>
  </si>
  <si>
    <t>drugsafety@paesel-lorei.de</t>
  </si>
  <si>
    <t>Addaven Konzentrat zur Herstellung einer Infusionslösung - Einreichungsnummer: 2193926</t>
  </si>
  <si>
    <t>Tracutil</t>
  </si>
  <si>
    <t>B05XA</t>
  </si>
  <si>
    <t>Chrom(III)-chlorid 6 H&lt;2&gt;O; Eisen(II)-chlorid 4 H&lt;2&gt;O; Kaliumiodid; Kupfer(II)-chlorid 2 H&lt;2&gt;O; Mangan(II)-chlorid 4 H&lt;2&gt;O; Natriumfluorid; Natriummolybdat-Dihydrat; Natriumselenit-Pentahydrat; Zinkchlorid</t>
  </si>
  <si>
    <t>uwe.aschenbrenner@bbraun.com</t>
  </si>
  <si>
    <t>Natriumhydrogencarbonat 8,4% B.Braun</t>
  </si>
  <si>
    <t>B05XA, TERM_ID_NA_2090010129, V03AB</t>
  </si>
  <si>
    <t>Natriumhydrogencarbonat</t>
  </si>
  <si>
    <t>Natriumhydrogencarbonat-einmolar Fresenius - Einreichungsnummer: 0089945</t>
  </si>
  <si>
    <t>6605514, 00731235, 00650933, 00412197, 00412205, 04946530, 04946524, 00809109, 18395559</t>
  </si>
  <si>
    <t>Isotonische Kochsalzlösung Fresenius</t>
  </si>
  <si>
    <t>B05XA03</t>
  </si>
  <si>
    <t>Natriumchlorid</t>
  </si>
  <si>
    <t>04946530</t>
  </si>
  <si>
    <t>Isotonische Kochsalzlösung</t>
  </si>
  <si>
    <t>11057753</t>
  </si>
  <si>
    <t>Addaven Konzentrat zur Herstellung einer Infusionslösung</t>
  </si>
  <si>
    <t>B05XA31</t>
  </si>
  <si>
    <t>Chrom(III)-chlorid  6 H&lt;2&gt;O; Eisen(III)-chlorid-Hexahydrat; Kaliumiodid; Kupfer(II)-chlorid  2 H&lt;2&gt;O; Mangan(II)-chlorid  4 H&lt;2&gt;O; Natriumfluorid; Natriummolybdat-Dihydrat; Natriumselenit; Zinkchlorid</t>
  </si>
  <si>
    <t>ADDEL TRACE, Konzentrat zur Herstellung einer Infusionslösung - Einreichungsnummer: 2190323</t>
  </si>
  <si>
    <t>L-Arginin-Hydrochlorid 21% Braun</t>
  </si>
  <si>
    <t>B05XB01</t>
  </si>
  <si>
    <t>Argininhydrochlorid</t>
  </si>
  <si>
    <t>05661/9147-7307</t>
  </si>
  <si>
    <t>Viant Pulver zur Herstellung einer Infusionslösung</t>
  </si>
  <si>
    <t>B05XC30</t>
  </si>
  <si>
    <t>Ascorbinsäure; Biotin; Colecalciferol; Cyanocobalamin; Dexpanthenol; Folsäure-Hydrat; Nicotinamid; Phytomenadion; Pyridoxinhydrochlorid; Retinolpalmitat; Riboflavinphosphat-Natrium; Thiaminchloridhydrochlorid; all-rac-alpha-Tocopherol</t>
  </si>
  <si>
    <t>Cernevit</t>
  </si>
  <si>
    <t>Ascorbinsäure; Biotin; Colecalciferol; Cyanocobalamin; Dexpanthenol; Folsäure-Hydrat; Natrium(riboflavin-5'-hydrogenphosphat)  2 H&lt;2&gt;O; Nicotinamid; Pyridoxinhydrochlorid; Retinolpalmitat; Thiamindihydrogendiphosphat  4 H&lt;2&gt;O; all-rac-alpha-Tocopherol</t>
  </si>
  <si>
    <t>anne_groschupp@baxter.com</t>
  </si>
  <si>
    <t>Unser Lieferant hat Baxter mitgeteilt, dass er aufgrund vonKapazitätsengpässen infolge der Herstellung von COVID-Impfstoffen inseinen Werken nicht in der Lage ist, unsere gestiegene Nachfrage nachCernevit-Produktion zu befriedigen.</t>
  </si>
  <si>
    <t>Vitalipid Adult - Einreichungsnummer: 2124228</t>
  </si>
  <si>
    <t>06785624,  15577171</t>
  </si>
  <si>
    <t>Hylase "Dessau" 150 I.E.</t>
  </si>
  <si>
    <t>B06AA03</t>
  </si>
  <si>
    <t>Hyaluronidase</t>
  </si>
  <si>
    <t>info@riemser.com</t>
  </si>
  <si>
    <t>Pulver zur Herstellung einer Injektionslösung,Lösungsmittel</t>
  </si>
  <si>
    <t>Hylase "Dessau" 300 I.E.</t>
  </si>
  <si>
    <t>Pulver zur Herstellung einer Injektionslösung</t>
  </si>
  <si>
    <t>+49 38351 76-0</t>
  </si>
  <si>
    <t>n.a.</t>
  </si>
  <si>
    <t>Transfer zur neuen Verpackungssite</t>
  </si>
  <si>
    <t>Hylase "Dessau" 150 I.E. - Einreichungsnummer: 3000248</t>
  </si>
  <si>
    <t>16850634,  16850640</t>
  </si>
  <si>
    <t>Icatibant-ratiopharm 30 mg Injektionslösung in einer Fertigspritze</t>
  </si>
  <si>
    <t>B06AC02</t>
  </si>
  <si>
    <t>Icatibantacetat (1:x) ((mit Angaben zum Essigsäure-Gehalt))</t>
  </si>
  <si>
    <t>Injektionslösung in einer Fertigspritze</t>
  </si>
  <si>
    <t>Novodigal</t>
  </si>
  <si>
    <t>C01AA02</t>
  </si>
  <si>
    <t>beta-Acetyldigoxin</t>
  </si>
  <si>
    <t>04369015, 04369021</t>
  </si>
  <si>
    <t>Digimerck 0,1 mg/ml Injektionslösung</t>
  </si>
  <si>
    <t>C01AA04</t>
  </si>
  <si>
    <t>Digitoxin</t>
  </si>
  <si>
    <t>Digitoxin-Philo - Einreichungsnummer: 3000164</t>
  </si>
  <si>
    <t>4903816, 03629744, 03629750</t>
  </si>
  <si>
    <t>Digimerck pico 0,05 mg</t>
  </si>
  <si>
    <t>4903839, 00282837, 00282843</t>
  </si>
  <si>
    <t>Digimerck 0,1 mg Tabletten</t>
  </si>
  <si>
    <t>4903822, 02204758, 02204770</t>
  </si>
  <si>
    <t>Digimerck minor 0,07mg</t>
  </si>
  <si>
    <t>04008079,  04346267</t>
  </si>
  <si>
    <t>Digitoxin AWD 0,07</t>
  </si>
  <si>
    <t>TEVA GmbH</t>
  </si>
  <si>
    <t>info.teva-deutschland@teva.de</t>
  </si>
  <si>
    <t>03629744,  03629750,  04903816</t>
  </si>
  <si>
    <t>Einstellung des Inverkehrbringens</t>
  </si>
  <si>
    <t>02204770,  04903822,  14191280</t>
  </si>
  <si>
    <t>Digitoxin AWD 0,07 - Einreichungsnummer: 3000655</t>
  </si>
  <si>
    <t>00282837,  00282843,  04903839,  14191297</t>
  </si>
  <si>
    <t>+49 (0)731 402 - 02</t>
  </si>
  <si>
    <t>Ausfall bzw. Rückzug des Mitbewerbers führte bei uns zu stark erhöhten Absätzen. Diese zusätzlich sehr hohe Nachfrage konnten wir kurzfristig so nicht kompensieren. Wir arbeiten mit Hochdruck daran, den Marktbedarf schnellstmöglich bedienen zu können, um die Versorgung der Patientinnen und Patienten sicherstellen zu können.</t>
  </si>
  <si>
    <t>Lenoxin mite 0,125 mg Tabletten</t>
  </si>
  <si>
    <t>C01AA05</t>
  </si>
  <si>
    <t>Digoxin</t>
  </si>
  <si>
    <t>de-info@aspenpharma.eu</t>
  </si>
  <si>
    <t>+49 89  93 08 38 00</t>
  </si>
  <si>
    <t>No re-supply planned. Product has been entered into the Sunset Clause.</t>
  </si>
  <si>
    <t>2737182, 2192618, 2192618</t>
  </si>
  <si>
    <t>Cordichin</t>
  </si>
  <si>
    <t>C01BA51</t>
  </si>
  <si>
    <t>Chinidin; Verapamilhydrochlorid</t>
  </si>
  <si>
    <t>Viatris Healthcare GmbH</t>
  </si>
  <si>
    <t>+49 (0)6172 888 2301</t>
  </si>
  <si>
    <t>dietmar.hofmann@mylan.com</t>
  </si>
  <si>
    <t>Xylocitin-cor 2 % 5 ml</t>
  </si>
  <si>
    <t>C01BB01</t>
  </si>
  <si>
    <t>Lidocainhydrochlorid</t>
  </si>
  <si>
    <t>Corona-bedingter erhöhter Krankenstand</t>
  </si>
  <si>
    <t>Xylocitin-cor 2 % 5 ml - Einreichungsnummer: 3005755</t>
  </si>
  <si>
    <t>Xylocitin -cor 2% 10ml</t>
  </si>
  <si>
    <t>Xylocain 2 %</t>
  </si>
  <si>
    <t>Lidocainhydrochlorid-Monohydrat</t>
  </si>
  <si>
    <t>Rytmonorm</t>
  </si>
  <si>
    <t>C01BC03</t>
  </si>
  <si>
    <t>Propafenonhydrochlorid</t>
  </si>
  <si>
    <t>0800-0700800</t>
  </si>
  <si>
    <t>Tambocor</t>
  </si>
  <si>
    <t>C01BC04</t>
  </si>
  <si>
    <t>Flecainidacetat</t>
  </si>
  <si>
    <t>0800 0700 800</t>
  </si>
  <si>
    <t>3558168</t>
  </si>
  <si>
    <t>Amiodaron-ratiopharm 150 mg/3 ml Injektionslösung</t>
  </si>
  <si>
    <t>C01BD01</t>
  </si>
  <si>
    <t>Amiodaronhydrochlorid</t>
  </si>
  <si>
    <t>Amiodaron HCl Hikma 50 mg/ml, Injektionslösung</t>
  </si>
  <si>
    <t>HIKMA Farmaceutica (Portugal), S.A.</t>
  </si>
  <si>
    <t>rluetzner@hikma.com</t>
  </si>
  <si>
    <t>Amiodaron-hameln 50 mg/ml Konzentrat zur Herstellung einer Injektions- /Infusionslösung</t>
  </si>
  <si>
    <t>hameln pharma gmbh</t>
  </si>
  <si>
    <t>stefan.bartsch@hameln-pharma.com</t>
  </si>
  <si>
    <t>Produktionsstau</t>
  </si>
  <si>
    <t>Konzentrat zur Herstellung einer Injektions- /Infusionslösung</t>
  </si>
  <si>
    <t>Cordarex Injektionslösung</t>
  </si>
  <si>
    <t xml:space="preserve">Die erhöhte Nachfrage kann nicht bedient werden. </t>
  </si>
  <si>
    <t>verzögerte Freigabe in der Herstellung</t>
  </si>
  <si>
    <t>MULTAQ 400 mg Filmtabletten - OP100(100x1)</t>
  </si>
  <si>
    <t>C01BD07</t>
  </si>
  <si>
    <t>Dronedaronhydrochlorid</t>
  </si>
  <si>
    <t xml:space="preserve">Als Alternativen stehen Dronedaron-Generika zur Verfügung. </t>
  </si>
  <si>
    <t>Arterenol 1ml</t>
  </si>
  <si>
    <t>C01CA03</t>
  </si>
  <si>
    <t>Norepinephrinhydrochlorid</t>
  </si>
  <si>
    <t>00073016, 03870227</t>
  </si>
  <si>
    <t>Arterenol 25 ml</t>
  </si>
  <si>
    <t>Sinora 1 mg/ml Konzentrat zur Herstellung einer Infusionslösung. - Einreichungsnummer: 2193829</t>
  </si>
  <si>
    <t>Sinora 0,1 mg/ml Infusionslösung</t>
  </si>
  <si>
    <t>Norepinephrintartrat/Noradrenalintartrat</t>
  </si>
  <si>
    <t>Sintetica GmbH</t>
  </si>
  <si>
    <t>wdierkes@sintetica.com</t>
  </si>
  <si>
    <t>Dopamin Fresenius 50 mg/5 ml</t>
  </si>
  <si>
    <t>C01CA04</t>
  </si>
  <si>
    <t>Dopaminhydrochlorid</t>
  </si>
  <si>
    <t>Dopamin Fresenius 200 mg/5 ml - Einreichungsnummer: 0073068</t>
  </si>
  <si>
    <t>Dobutamin Liquid Fresenius 250 mg/50 ml Infusionslösung</t>
  </si>
  <si>
    <t>C01CA07</t>
  </si>
  <si>
    <t>Dobutaminhydrochlorid</t>
  </si>
  <si>
    <t>kristina.fentz@fresenius-kabi.com</t>
  </si>
  <si>
    <t>3680917, 09738902</t>
  </si>
  <si>
    <t>Fastjekt</t>
  </si>
  <si>
    <t>C01CA24</t>
  </si>
  <si>
    <t>Epinephrinhydrochlorid</t>
  </si>
  <si>
    <t>MEDA Pharma GmbH &amp; Co. KG</t>
  </si>
  <si>
    <t>+49 (0)80063324636</t>
  </si>
  <si>
    <t>medinfo@medapharma.de</t>
  </si>
  <si>
    <t>00581250, 09738919</t>
  </si>
  <si>
    <t>FASTJEKT Junior</t>
  </si>
  <si>
    <t>Epinephrin</t>
  </si>
  <si>
    <t>Suprarenin Durchstechflasche</t>
  </si>
  <si>
    <t>Suprarenin Ampullen</t>
  </si>
  <si>
    <t>Adrenalin 1:1000 Infectopharm - Einreichungsnummer: 3000341</t>
  </si>
  <si>
    <t>Cheplapharm Arzneimittel GmbH</t>
  </si>
  <si>
    <t>ra-epinephrine@cheplapharm.com</t>
  </si>
  <si>
    <t>Suprarenin Ampullen - Einreichungsnummer: 0196724</t>
  </si>
  <si>
    <t>tobias.letzel@cheplapharm.com</t>
  </si>
  <si>
    <t xml:space="preserve">Die Endfreigabe für das FAM ist bereits erfolgt. Aber für die Abholung beim Hersteller und eine Freigabe zur Umlagerung ist noch offen, da entsprechende Unterlagen seitens des Herstellers noch ausstehend sind. </t>
  </si>
  <si>
    <t>03834 3914465</t>
  </si>
  <si>
    <t>03630782,  03630799,  08458052</t>
  </si>
  <si>
    <t>ISDN AL 20 retard</t>
  </si>
  <si>
    <t>C01DA08</t>
  </si>
  <si>
    <t>Isosorbiddinitrat</t>
  </si>
  <si>
    <t>Ware ist AV gemeldet!</t>
  </si>
  <si>
    <t>08705266, 08705272, 08705289</t>
  </si>
  <si>
    <t>Corvaton 2mg Tabletten</t>
  </si>
  <si>
    <t>C01DX12</t>
  </si>
  <si>
    <t>Molsidomin</t>
  </si>
  <si>
    <t>Molsidomin 2 Heumann - Einreichungsnummer: 2107857</t>
  </si>
  <si>
    <t>08827667,  14307742</t>
  </si>
  <si>
    <t>Molsidomin STADA 8 mg Retardtabletten</t>
  </si>
  <si>
    <t>a.kredba@aliud.de</t>
  </si>
  <si>
    <t>Betrifft auch (ENR: 2138389)Molsidomin STADA 8 mg Aliud 60 St - PZN: 15316795Molsidomin STADA 8 mg Aliud 100 St - PZN: 11011751</t>
  </si>
  <si>
    <t>08705390,  08705409,  08705415</t>
  </si>
  <si>
    <t>Corvaton retard 8mg Tabletten</t>
  </si>
  <si>
    <t>08705349,  08705355,  08705361</t>
  </si>
  <si>
    <t>Corvaton forte 4mg Tabletten</t>
  </si>
  <si>
    <t>08705266,  08705272,  08705289</t>
  </si>
  <si>
    <t>Prostavasin 20 µg</t>
  </si>
  <si>
    <t>C01EA01</t>
  </si>
  <si>
    <t>Alprostadil</t>
  </si>
  <si>
    <t>Trockensubstanz</t>
  </si>
  <si>
    <t>Minprog 500 µg</t>
  </si>
  <si>
    <t xml:space="preserve">+49 (0) 30 550055-51000 </t>
  </si>
  <si>
    <t>Amdipharm Limited</t>
  </si>
  <si>
    <t>02129 5301577</t>
  </si>
  <si>
    <t>fzimmermann@productlife-group.com</t>
  </si>
  <si>
    <t>High sales during past few monthCalculated need (packages current calendar year) 1020 packages</t>
  </si>
  <si>
    <t>Prostavasin 20 µg - Einreichungsnummer: 2104740</t>
  </si>
  <si>
    <t>Adrekar</t>
  </si>
  <si>
    <t>C01EB</t>
  </si>
  <si>
    <t>Adenosin</t>
  </si>
  <si>
    <t>Mögliche Alternativen: wirkstoff- und dosierungsgleiche Präparate von Mitbewerbern</t>
  </si>
  <si>
    <t>Adenoscan</t>
  </si>
  <si>
    <t>C01EB10</t>
  </si>
  <si>
    <t>ADENOSIN BAXTER 6 mg/2 ml Injektionslösung</t>
  </si>
  <si>
    <t>Baxter Holding B.V.</t>
  </si>
  <si>
    <t>info_de@baxter.com</t>
  </si>
  <si>
    <t>seit dem Lieferausfall eines Wettbewerbers stellen wir eine erhöhte Nachfrage fest.</t>
  </si>
  <si>
    <t>Alternativen: wirkstoff- und dosierungsgleiche Präparate von Mitbewerbern</t>
  </si>
  <si>
    <t>Rapiscan 400 Mikrogramm Injektionslösung - OP(1x5ml)</t>
  </si>
  <si>
    <t>C01EB21</t>
  </si>
  <si>
    <t>Regadenoson</t>
  </si>
  <si>
    <t>GE Healthcare AS</t>
  </si>
  <si>
    <t>RegulatoryAffairsDE@ge.com</t>
  </si>
  <si>
    <t>Presinol 500</t>
  </si>
  <si>
    <t>C02AB01</t>
  </si>
  <si>
    <t>Methyldopa  1.5 H&lt;2&gt;O</t>
  </si>
  <si>
    <t>+39 0382 422008</t>
  </si>
  <si>
    <t>davide.vitaloni@teofarma.it</t>
  </si>
  <si>
    <t>Presinol 250 - Einreichungsnummer: 0070331</t>
  </si>
  <si>
    <t>04630287</t>
  </si>
  <si>
    <t>Dopegyt-Tabletten</t>
  </si>
  <si>
    <t>11010823, 08999339</t>
  </si>
  <si>
    <t>Methyldopa STADA 250mg Filmtablette</t>
  </si>
  <si>
    <t>06101 6030</t>
  </si>
  <si>
    <t>stadapharm.planungsteam@stada.de</t>
  </si>
  <si>
    <t>ra-dopegyt@cheplapharm.com</t>
  </si>
  <si>
    <t>09722692,  09722717</t>
  </si>
  <si>
    <t>2107470, 3001058</t>
  </si>
  <si>
    <t>Clonidin-ratiopharm 150</t>
  </si>
  <si>
    <t>C02AC01</t>
  </si>
  <si>
    <t>Clonidinhydrochlorid</t>
  </si>
  <si>
    <t>kilian.kufner@ratiopharm.de</t>
  </si>
  <si>
    <t>03723816,  03727903,  03735570,  09722686,  09722700,  09722723,  09722746,  09722775</t>
  </si>
  <si>
    <t>2104174, 2107470, 2107471, 3001058</t>
  </si>
  <si>
    <t>Clonidin-ratiopharm 300</t>
  </si>
  <si>
    <t>15198829, 07393416</t>
  </si>
  <si>
    <t>Paracefan i.v. 0.75mg</t>
  </si>
  <si>
    <t>C02AC01, N07BB</t>
  </si>
  <si>
    <t>jkappes@hikma.com</t>
  </si>
  <si>
    <t>Paracefan i.v. 0.15mg - Einreichungsnummer: 2123961</t>
  </si>
  <si>
    <t>11383257,  11383286,  11383300,  11383323</t>
  </si>
  <si>
    <t>2711789, 2711791, 2711793, 2711795</t>
  </si>
  <si>
    <t>Intuniv 1 mg Tablette mit veränderter Wirkstoffreisetzung - OP28</t>
  </si>
  <si>
    <t>C02AC02</t>
  </si>
  <si>
    <t>Guanfacinhydrochlorid</t>
  </si>
  <si>
    <t>Shire Pharmaceuticals Ireland Limited</t>
  </si>
  <si>
    <t>5556357, 04174091</t>
  </si>
  <si>
    <t>Ebrantil 30mg</t>
  </si>
  <si>
    <t>C02CA06</t>
  </si>
  <si>
    <t>Urapidil</t>
  </si>
  <si>
    <t>Takeda GmbH</t>
  </si>
  <si>
    <t>0800 8253325</t>
  </si>
  <si>
    <t>medinfo@takeda.de</t>
  </si>
  <si>
    <t>Urapidil Stragen 30 mg retardierte Hartkapseln - Einreichungsnummer: 2191240</t>
  </si>
  <si>
    <t>0800 295 3333</t>
  </si>
  <si>
    <t>customer-servicecenter@takeda.com</t>
  </si>
  <si>
    <t>03207948, 03207954</t>
  </si>
  <si>
    <t>Ebrantil 60mg</t>
  </si>
  <si>
    <t>Urapidil Stragen 60 mg retardierte Hartkapseln - Einreichungsnummer: 2191241</t>
  </si>
  <si>
    <t>0800 825332 5</t>
  </si>
  <si>
    <t>MedinfoEMEA@takeda.com</t>
  </si>
  <si>
    <t>03208008, 03207983, 3208008, 3207983</t>
  </si>
  <si>
    <t>Ebrantil 90mg</t>
  </si>
  <si>
    <t>Urapidil Stragen 90 mg retardierte Hartkapseln - Einreichungsnummer: 2191242</t>
  </si>
  <si>
    <t>03209404,  03209410</t>
  </si>
  <si>
    <t>03207983,  03208008</t>
  </si>
  <si>
    <t>03207948,  03207954</t>
  </si>
  <si>
    <t>11511063,  11518912</t>
  </si>
  <si>
    <t>Urapidil Stragen 90 mg retardierte Hartkapseln</t>
  </si>
  <si>
    <t>Stragen Pharma GmbH - Zweigniederlassung Hilden -</t>
  </si>
  <si>
    <t>02103-8809700</t>
  </si>
  <si>
    <t>info@stragen-pharma.de</t>
  </si>
  <si>
    <t>11510980,  11511011</t>
  </si>
  <si>
    <t>Urapidil Stragen 60 mg retardierte Hartkapseln</t>
  </si>
  <si>
    <t>11510939,  11510951</t>
  </si>
  <si>
    <t>Urapidil Stragen 30 mg retardierte Hartkapseln</t>
  </si>
  <si>
    <t>11511040,  11511063</t>
  </si>
  <si>
    <t>Urapidil Carinopharm 50 mg</t>
  </si>
  <si>
    <t>Carinopharm GmbH</t>
  </si>
  <si>
    <t>05182 586 69 0</t>
  </si>
  <si>
    <t>info@carinopharm.de</t>
  </si>
  <si>
    <t>Urapidil Carinopharm 25 mg</t>
  </si>
  <si>
    <t>Urapidil Stragen i.v. 25 mg Injektionslösung</t>
  </si>
  <si>
    <t>a.gerold@stragen-pharma.de</t>
  </si>
  <si>
    <t>Injektionslösung, die auch für Infusionszwecke verdünnt werden kann</t>
  </si>
  <si>
    <t>2492272, 02492289</t>
  </si>
  <si>
    <t>Lonolox 2,5</t>
  </si>
  <si>
    <t>C02DC01</t>
  </si>
  <si>
    <t>Minoxidil</t>
  </si>
  <si>
    <t>030 550055 53269</t>
  </si>
  <si>
    <t>imke.teuffelvonbirkensee@pfizer.com</t>
  </si>
  <si>
    <t>02492272,  02492289</t>
  </si>
  <si>
    <t xml:space="preserve"> +49 (0) 30 550055-51000 </t>
  </si>
  <si>
    <t xml:space="preserve">Die PG 30 Stück sind seit 03.03.2022 wieder lieferbar. Die PG 100 Stück sind weiterhin lieferunfähig. Die Lieferung für die 100 Stck. wird im Laufe der nächsten Woche erwartet. </t>
  </si>
  <si>
    <t>Lonolox 10</t>
  </si>
  <si>
    <t>Das Arzneimittel ist seit gestern wieder lieferfähig.</t>
  </si>
  <si>
    <t>02492295,  02492303</t>
  </si>
  <si>
    <t>+49 (0) 30 550055-51000</t>
  </si>
  <si>
    <t>The interruption of supply is due to a manufacturing process change for the milling operation of minoxidil API at the API manufacturing site Pharmacia &amp; Upjohn Company LLC, Kalamazoo. The reason for the interruption in supply does not impact the quality, safety or efficacy of the finished product currently available on the market.</t>
  </si>
  <si>
    <t>Esidrix 25 mg Tabletten</t>
  </si>
  <si>
    <t>C03AA03</t>
  </si>
  <si>
    <t>Hydrochlorothiazid</t>
  </si>
  <si>
    <t>philippe.antoine@juvise.com</t>
  </si>
  <si>
    <t>15375740, 03524956, 03524962</t>
  </si>
  <si>
    <t>Hygroton 50mg</t>
  </si>
  <si>
    <t>C03BA04</t>
  </si>
  <si>
    <t>Chlortalidon</t>
  </si>
  <si>
    <t>02404 553378</t>
  </si>
  <si>
    <t>petra.liedtke@dermapharm.com</t>
  </si>
  <si>
    <t>15375734, 03524910, 03524927</t>
  </si>
  <si>
    <t>Hygroton 25mg</t>
  </si>
  <si>
    <t>01339367, 01432262, 01339350</t>
  </si>
  <si>
    <t>Xipamid AAA-Pharma 40mg Tabletten</t>
  </si>
  <si>
    <t>C03BA10</t>
  </si>
  <si>
    <t>Xipamid</t>
  </si>
  <si>
    <t>AAA-Pharma GmbH</t>
  </si>
  <si>
    <t>0800-00044-33</t>
  </si>
  <si>
    <t>info@aaa-pharma.de</t>
  </si>
  <si>
    <t>11355195, 11355203, 11355226</t>
  </si>
  <si>
    <t>Indapamid PUREN 2,5 mg Hartkapseln</t>
  </si>
  <si>
    <t>C03BA11</t>
  </si>
  <si>
    <t>Indapamid 0.5 H&lt;2&gt;O</t>
  </si>
  <si>
    <t>PUREN Pharma GmbH &amp; Co. KG</t>
  </si>
  <si>
    <t>089/558-909-0</t>
  </si>
  <si>
    <t>info@puren-pharma.de</t>
  </si>
  <si>
    <t>Lasix 40mg Injektionslösung</t>
  </si>
  <si>
    <t>C03CA01</t>
  </si>
  <si>
    <t>Furosemid-Natrium</t>
  </si>
  <si>
    <t>Lasix liquidum</t>
  </si>
  <si>
    <t xml:space="preserve">Restware wird kontingentiert.Patienten, die Tabletten einnehmen können, wird empfohlen, in Absprache mit dem Arzt auf Tablettenformen auszuweichen. </t>
  </si>
  <si>
    <t>Lösung zum Einnehmen</t>
  </si>
  <si>
    <t>Lasix 20 mg Injektionslösung (PZN: 04686276)</t>
  </si>
  <si>
    <t>01463535,  01463541</t>
  </si>
  <si>
    <t>Lasix 500mg Tabs</t>
  </si>
  <si>
    <t>Furosemid</t>
  </si>
  <si>
    <t>Lasix 40 mg Tabletten</t>
  </si>
  <si>
    <t>Furosemid-ratiopharm 40 mg/4 ml Injektionslösung</t>
  </si>
  <si>
    <t xml:space="preserve">0731 402 7028 </t>
  </si>
  <si>
    <t>Julian.Simon@teva.de</t>
  </si>
  <si>
    <t>Furosemid-ratiopharm 250 mg/25 ml Infusionslösung</t>
  </si>
  <si>
    <t>Lasix 20mg Injektionslösung</t>
  </si>
  <si>
    <t>00773972,  00774003</t>
  </si>
  <si>
    <t>Torasemid - 1 A Pharma 10 mg Tabletten</t>
  </si>
  <si>
    <t>C03CA04</t>
  </si>
  <si>
    <t>Torasemid</t>
  </si>
  <si>
    <t>05001876,  05008058,  05008182</t>
  </si>
  <si>
    <t>Torasemid - 1A Pharma 100 mg Tabletten</t>
  </si>
  <si>
    <t>03650359,  03650365,  03650371</t>
  </si>
  <si>
    <t>Torasemid HEXAL 100 mg Tabletten</t>
  </si>
  <si>
    <t>00774032,  00774055,  00774061</t>
  </si>
  <si>
    <t>Torasemid - 1 A Pharma 200 mg Tabletten</t>
  </si>
  <si>
    <t>05007805,  05007834,  05007975</t>
  </si>
  <si>
    <t>Torasemid - 1 A Pharma 50 mg Tabletten</t>
  </si>
  <si>
    <t>03650388,  03650394,  03650402</t>
  </si>
  <si>
    <t>Torasemid HEXAL 200 mg Tabletten</t>
  </si>
  <si>
    <t>03650307,  03650313,  03650342</t>
  </si>
  <si>
    <t>Torasemid HEXAL 50 mg Tabletten</t>
  </si>
  <si>
    <t>10170967, 10170973, 10170996</t>
  </si>
  <si>
    <t>Eplerenon AbZ 25 mg Filmtabletten</t>
  </si>
  <si>
    <t>C03DA04</t>
  </si>
  <si>
    <t>Eplerenon</t>
  </si>
  <si>
    <t>Neotri</t>
  </si>
  <si>
    <t>C03EA</t>
  </si>
  <si>
    <t>Triamteren; Xipamid</t>
  </si>
  <si>
    <t>+49 34954 247 0</t>
  </si>
  <si>
    <t>11171785</t>
  </si>
  <si>
    <t>Jinarc 15 mg Tabletten - OP7</t>
  </si>
  <si>
    <t>C03XA01</t>
  </si>
  <si>
    <t>Tolvaptan</t>
  </si>
  <si>
    <t>Otsuka Pharmaceutical Europe Ltd.</t>
  </si>
  <si>
    <t>(069) 170086-0</t>
  </si>
  <si>
    <t>Otsuka.medinfo@otsuka.de</t>
  </si>
  <si>
    <t>13969576</t>
  </si>
  <si>
    <t>Samsca 7,5 mg Tabletten - OP(10x1)</t>
  </si>
  <si>
    <t>Celestan solubile 4 mg</t>
  </si>
  <si>
    <t>C05AA05</t>
  </si>
  <si>
    <t>Betamethasondihydrogenphosphat-Dinatrium (Ph.Eur.)</t>
  </si>
  <si>
    <t>Organon Healthcare GmbH</t>
  </si>
  <si>
    <t>dpoc.germany@organon.com</t>
  </si>
  <si>
    <t>ra_dach@organon.com</t>
  </si>
  <si>
    <t>Doloproct 1 mg + 40 mg Zäpfchen</t>
  </si>
  <si>
    <t>C05AA08, C05AD01</t>
  </si>
  <si>
    <t>Fluocortolonpivalat (Ph.Eur.); Lidocainhydrochlorid</t>
  </si>
  <si>
    <t>Karo Pharma Aktiebolag</t>
  </si>
  <si>
    <t>pvgermany@karopharma.com</t>
  </si>
  <si>
    <t>Doloproct 0,1% + 2% Rektalcreme - Einreichungsnummer: 2106018</t>
  </si>
  <si>
    <t>Zäpfchen</t>
  </si>
  <si>
    <t>DOCITON 10mg</t>
  </si>
  <si>
    <t>C07AA05</t>
  </si>
  <si>
    <t>Propranololhydrochlorid</t>
  </si>
  <si>
    <t>burkhardt.voigt@dermapharm.com</t>
  </si>
  <si>
    <t>DOCITON 10mg - Einreichungsnummer: 0328999</t>
  </si>
  <si>
    <t>DOCITON 80mg retard</t>
  </si>
  <si>
    <t>Anpassung im Herstellprozess</t>
  </si>
  <si>
    <t>DOCITON 160mg retard</t>
  </si>
  <si>
    <t>Anpassung Herstellungsprozess</t>
  </si>
  <si>
    <t>02424425,  02424431,  02424448,  02424454,  02747223,  02747246,  02747252</t>
  </si>
  <si>
    <t>2102033, 2102034, 2103761</t>
  </si>
  <si>
    <t>Propra-ratiopharm 40 mg Filmtabletten</t>
  </si>
  <si>
    <t>01030569,  01030581</t>
  </si>
  <si>
    <t>2106740, 2106741</t>
  </si>
  <si>
    <t>Propranolol-CT 40mg Filmtabletten</t>
  </si>
  <si>
    <t>MetoHEXAL Succ 190 mg Retardtabletten</t>
  </si>
  <si>
    <t>C07AB02</t>
  </si>
  <si>
    <t>Metoprololsuccinat (Ph.Eur.)</t>
  </si>
  <si>
    <t>07095096, 07095104, 07095110</t>
  </si>
  <si>
    <t>Metoprololsuccinat AL 23,75 mg Retardtabletten</t>
  </si>
  <si>
    <t>03353101, 03360302</t>
  </si>
  <si>
    <t>Metoprolol-Z AL 200 retard</t>
  </si>
  <si>
    <t>Metoprololtartrat (Ph.Eur.)</t>
  </si>
  <si>
    <t>00230289, 00230295, 00230303</t>
  </si>
  <si>
    <t>Metoprololsuccinat - 1 A Pharma 142,5 mg Retardtabletten</t>
  </si>
  <si>
    <t>00850483, 00850508, 00850595</t>
  </si>
  <si>
    <t>MetoHEXAL Succ 142,5 mg Retardtabletten</t>
  </si>
  <si>
    <t>11617057, 00539348, 00539354</t>
  </si>
  <si>
    <t>MetoHexal 100mg retard</t>
  </si>
  <si>
    <t>06183059, 03913072, 03913089</t>
  </si>
  <si>
    <t>MetoHexal 200mg retard</t>
  </si>
  <si>
    <t>00230579, 00230585, 00230591</t>
  </si>
  <si>
    <t>Metoprololsuccinat - 1 A Pharma 190 mg Retardtabletten</t>
  </si>
  <si>
    <t>Metoprolol 100 retard-1A Pharma</t>
  </si>
  <si>
    <t>08533931, 08533948, 08533954</t>
  </si>
  <si>
    <t>Metoprolol 200 retard - 1 A Pharma</t>
  </si>
  <si>
    <t>MetoHEXAL Succ 47,5 mg Retardtabletten</t>
  </si>
  <si>
    <t>00738616</t>
  </si>
  <si>
    <t>Concor COR 1,25 mg</t>
  </si>
  <si>
    <t>C07AB07</t>
  </si>
  <si>
    <t>Bisoprololfumarat (Ph.Eur.)</t>
  </si>
  <si>
    <t>BisoHEXAL 1,25 mg Filmtabletten - Einreichungsnummer: 2171878</t>
  </si>
  <si>
    <t>16498835,  16498841</t>
  </si>
  <si>
    <t>BisoLich 1,25 mg Tabletten</t>
  </si>
  <si>
    <t>02205249,  05391703</t>
  </si>
  <si>
    <t>Bisoprolol - 1A Pharma 1,25 mg Filmtabletten</t>
  </si>
  <si>
    <t xml:space="preserve"> info@1apharma.com</t>
  </si>
  <si>
    <t>04152528,  12565693</t>
  </si>
  <si>
    <t>BisoHEXAL 1,25 mg Filmtabletten</t>
  </si>
  <si>
    <t>16498887,  16498893</t>
  </si>
  <si>
    <t>BisoLich 3,75 mg Tabletten</t>
  </si>
  <si>
    <t>allgemeine Verzögerungen in der Lieferkette</t>
  </si>
  <si>
    <t>16498858,  16498864</t>
  </si>
  <si>
    <t>BisoLich 2,5 mg Tabletten</t>
  </si>
  <si>
    <t>allgemeine Verzögerungen entlang der Leferkette</t>
  </si>
  <si>
    <t>00992875,  00992881</t>
  </si>
  <si>
    <t>Biso Lich 10 mg</t>
  </si>
  <si>
    <t>Eine Summe kleiner Verzögerungen an vielen Stellen, die insgesamt zur Situation beitragen</t>
  </si>
  <si>
    <t>BisoLich 7,5 mg Tabletten</t>
  </si>
  <si>
    <t>Allgemeine Verzögerungen in der Lieferkette</t>
  </si>
  <si>
    <t>Biso Lich 5 mg</t>
  </si>
  <si>
    <t>diverse, kleine Verzögerungen entlang der Lieferkette, die sich aufsummieren</t>
  </si>
  <si>
    <t>04152557,  04152586</t>
  </si>
  <si>
    <t>BisoHEXAL 2,5 mg Filmtabletten</t>
  </si>
  <si>
    <t>05391755,  09231267</t>
  </si>
  <si>
    <t>Bisoprolol - 1A Pharma 3,75 mg Filmtabletten</t>
  </si>
  <si>
    <t>03820206,  03820471</t>
  </si>
  <si>
    <t>Bisoprolol 5-1A Pharma</t>
  </si>
  <si>
    <t>00712953,  00712999,  00713013</t>
  </si>
  <si>
    <t>Bisohexal 5mg</t>
  </si>
  <si>
    <t>03820614,  03820850</t>
  </si>
  <si>
    <t>Bisoprolol 10-1A Pharma</t>
  </si>
  <si>
    <t>00712924,  00712930,  00712947</t>
  </si>
  <si>
    <t>Bisohexal 10mg</t>
  </si>
  <si>
    <t>04152592,  04152617</t>
  </si>
  <si>
    <t>BisoHEXAL 3,75 mg Filmtabletten</t>
  </si>
  <si>
    <t>05391726,  05391732</t>
  </si>
  <si>
    <t>Bisoprolol - 1A Pharma 2,5 mg Filmtabletten</t>
  </si>
  <si>
    <t>allgemeine Verzögerungen aufgrund der Gesamtlage im Bereich der Lieferkette</t>
  </si>
  <si>
    <t>ESMOCARD LYO 2500 mg Pulver zur Herstellung einer Infusionslösung</t>
  </si>
  <si>
    <t>C07AB09</t>
  </si>
  <si>
    <t>Esmololhydrochlorid</t>
  </si>
  <si>
    <t>Orpha-Devel Handels und Vertriebs GmbH</t>
  </si>
  <si>
    <t>+43 1 545 01 13 DW 15</t>
  </si>
  <si>
    <t>Pulver</t>
  </si>
  <si>
    <t>04957373, 04958964, 04958970</t>
  </si>
  <si>
    <t>Nebivolol STADA 5 mg Tabletten</t>
  </si>
  <si>
    <t>C07AB12</t>
  </si>
  <si>
    <t>Nebivololhydrochlorid</t>
  </si>
  <si>
    <t>09098354, 09098360, 09098377</t>
  </si>
  <si>
    <t>Nebivolol Glenmark 5 mg Tabletten</t>
  </si>
  <si>
    <t>Glenmark Arzneimittel GmbH</t>
  </si>
  <si>
    <t>08142 443920</t>
  </si>
  <si>
    <t>info.de@glenmarkpharma.com</t>
  </si>
  <si>
    <t>Rapibloc 20 mg/2 ml Konzentrat zur Herstellung einer Injektionslösung</t>
  </si>
  <si>
    <t>C07AB14</t>
  </si>
  <si>
    <t>Landiololhydrochlorid</t>
  </si>
  <si>
    <t>Amomed Pharma GmbH</t>
  </si>
  <si>
    <t>+43 1 5450113 - 16</t>
  </si>
  <si>
    <t>quality@amomed.com</t>
  </si>
  <si>
    <t>Rapibloc 300 mg Pulver zur Herstellung einer Infusionslösung - Einreichungsnummer: 2194094</t>
  </si>
  <si>
    <t>Konzentrat zur Herstellung einer Injektionslösung</t>
  </si>
  <si>
    <t>+49 171 290 1176</t>
  </si>
  <si>
    <t>quality.de@aoporphan.com</t>
  </si>
  <si>
    <t>Behördlich angeforderte Rückruf.</t>
  </si>
  <si>
    <t>04675634,  04675640,  04675657</t>
  </si>
  <si>
    <t>Metohexal comp</t>
  </si>
  <si>
    <t>C07BB02</t>
  </si>
  <si>
    <t>Hydrochlorothiazid; Metoprololtartrat (Ph.Eur.)</t>
  </si>
  <si>
    <t>Concor 10 plus</t>
  </si>
  <si>
    <t>C07BB07</t>
  </si>
  <si>
    <t>Bisoprololfumarat (Ph.Eur.); Hydrochlorothiazid</t>
  </si>
  <si>
    <t>02426602,  02426619,  02426625</t>
  </si>
  <si>
    <t>BisoHEXAL plus 5/12,5</t>
  </si>
  <si>
    <t>02426571,  02426588,  02426594</t>
  </si>
  <si>
    <t>BisoHEXAL plus 10/25</t>
  </si>
  <si>
    <t>01623683,  01623708</t>
  </si>
  <si>
    <t>Bisoprolol plus 10/25 - 1 A Pharma</t>
  </si>
  <si>
    <t>01620443,  01622873</t>
  </si>
  <si>
    <t>Bisoprolol plus 5/12,5 - 1 A Pharma</t>
  </si>
  <si>
    <t>Propra. comp.-ratiopharm</t>
  </si>
  <si>
    <t>C07DA25</t>
  </si>
  <si>
    <t>Hydrochlorothiazid; Propranololhydrochlorid; Triamteren</t>
  </si>
  <si>
    <t>Adalat Eins 60mg</t>
  </si>
  <si>
    <t>C08CA05</t>
  </si>
  <si>
    <t>Nifedipin</t>
  </si>
  <si>
    <t>Bayer Vital GmbH</t>
  </si>
  <si>
    <t>Adalat Eins 30mg</t>
  </si>
  <si>
    <t>3005104</t>
  </si>
  <si>
    <t>Adalat 5mg/50ml pro infusione</t>
  </si>
  <si>
    <t>Urapidil Carinopharm 50 mg - Einreichungsnummer: 2164906</t>
  </si>
  <si>
    <t>Nifedipin acis 10mg retard</t>
  </si>
  <si>
    <t>04748391,  04748416,  04748422,  07558225</t>
  </si>
  <si>
    <t>Nifedipin AL5</t>
  </si>
  <si>
    <t>04748379,  04748385,  07558231</t>
  </si>
  <si>
    <t>Nifedipin AL10</t>
  </si>
  <si>
    <t>'-</t>
  </si>
  <si>
    <t>04748362,  04748379,  04748385,  07558231</t>
  </si>
  <si>
    <t>Ware frei.</t>
  </si>
  <si>
    <t>Nifedipin Denk 10 mg retard</t>
  </si>
  <si>
    <t>Denk Pharma GmbH &amp; Co. KG</t>
  </si>
  <si>
    <t>edith.eigenberger@denkpharma.de</t>
  </si>
  <si>
    <t>06969736,  07097528,  07097534</t>
  </si>
  <si>
    <t>Nifedipin-ratiopharm 20 mg Retardtabletten</t>
  </si>
  <si>
    <t xml:space="preserve"> info@ratiopharm.de</t>
  </si>
  <si>
    <t>Nifedipin AbZ 20mg Retardtabletten</t>
  </si>
  <si>
    <t>info@abz.de</t>
  </si>
  <si>
    <t>02421964,  02421970,  02421987</t>
  </si>
  <si>
    <t>Nimodipin Hexal 30mg</t>
  </si>
  <si>
    <t>C08CA06</t>
  </si>
  <si>
    <t>Nimodipin</t>
  </si>
  <si>
    <t>Nimotop S</t>
  </si>
  <si>
    <t>Nimodipin Carinopharm 10 mg/50 ml - Einreichungsnummer: 2160762</t>
  </si>
  <si>
    <t>Nimodipin Hexal 30mg - Einreichungsnummer: 2144586</t>
  </si>
  <si>
    <t>0049 214/30 51348</t>
  </si>
  <si>
    <t>Erhöhter Bedarf aufgrund des Lieferengpasses eines anderen pharmazeutischen Unternehmers</t>
  </si>
  <si>
    <t xml:space="preserve"> service@hexal.com</t>
  </si>
  <si>
    <t>12.01.2023 Alle PZNs sind wieder verfügbar.</t>
  </si>
  <si>
    <t>Nimodipin Carinopharm 10 mg/50 ml</t>
  </si>
  <si>
    <t>Lieferabriss aufgrund eines Marktrückrufs</t>
  </si>
  <si>
    <t>Deutlich erhöhte Nachfrage aufgrund des Lieferengpasses eines anderen pharmazeutischen Unternehmers</t>
  </si>
  <si>
    <t>Nimotop</t>
  </si>
  <si>
    <t>Erhöhte Marknachfrage über den üblichen Bedarf hinaus aufgrund von Lieferengpässen anderer Hersteller.</t>
  </si>
  <si>
    <t>Bayotensin akut</t>
  </si>
  <si>
    <t>C08CA08</t>
  </si>
  <si>
    <t>Nitrendipin</t>
  </si>
  <si>
    <t>0214 3051348</t>
  </si>
  <si>
    <t>Nifedipin STADA 10 mg Weichkapseln - Einreichungsnummer: 2108286</t>
  </si>
  <si>
    <t xml:space="preserve"> </t>
  </si>
  <si>
    <t>00227784,  00227790,  00227809</t>
  </si>
  <si>
    <t>Nitrendipin AL 10</t>
  </si>
  <si>
    <t>00227815,  00227821,  00227838</t>
  </si>
  <si>
    <t>Nitrendipin AL 20</t>
  </si>
  <si>
    <t>Verahexal injekt</t>
  </si>
  <si>
    <t>C08DA01</t>
  </si>
  <si>
    <t>Verapamilhydrochlorid</t>
  </si>
  <si>
    <t>Isoptin Injektionslösung</t>
  </si>
  <si>
    <t>788933, 3545934</t>
  </si>
  <si>
    <t>Diltiazem AL 120 retard</t>
  </si>
  <si>
    <t>C08DB01</t>
  </si>
  <si>
    <t>Diltiazemhydrochlorid</t>
  </si>
  <si>
    <t>07333/9651-1167</t>
  </si>
  <si>
    <t>7436663, 7436686</t>
  </si>
  <si>
    <t>Diltiazem AL 90 retard</t>
  </si>
  <si>
    <t>Captopril AbZ 50 mg Tabletten</t>
  </si>
  <si>
    <t>C09AA01</t>
  </si>
  <si>
    <t>Captopril</t>
  </si>
  <si>
    <t>Captopril AbZ 25 mg Tabletten</t>
  </si>
  <si>
    <t>Perindopril Erbumin Glenmark 4 mg Tabletten</t>
  </si>
  <si>
    <t>C09AA04</t>
  </si>
  <si>
    <t>Perindopril-tert-butylamin</t>
  </si>
  <si>
    <t>08142 44392 0</t>
  </si>
  <si>
    <t>Service.De@glenmarkpharma.com</t>
  </si>
  <si>
    <t>01983594,  01983602,  01983619</t>
  </si>
  <si>
    <t>RamiLich 2,5 mg Tabletten</t>
  </si>
  <si>
    <t>C09AA05</t>
  </si>
  <si>
    <t>Ramipril</t>
  </si>
  <si>
    <t>RamiLich 5 mg Tabletten</t>
  </si>
  <si>
    <t>01983654,  01983660</t>
  </si>
  <si>
    <t>RamiLich 10 mg Tabletten</t>
  </si>
  <si>
    <t>00 53 53 010</t>
  </si>
  <si>
    <t>Delix 2,5 mg Tabletten</t>
  </si>
  <si>
    <t xml:space="preserve">Restbestand wird kontingentiert. </t>
  </si>
  <si>
    <t>Delix 5 mg Tabletten</t>
  </si>
  <si>
    <t>Restbestand wird kontingentiert</t>
  </si>
  <si>
    <t>Accupro 5</t>
  </si>
  <si>
    <t>C09AA06</t>
  </si>
  <si>
    <t>Quinaprilhydrochlorid</t>
  </si>
  <si>
    <t>Ramipril AL 5 mg Tabletten - Einreichungsnummer: 2155948</t>
  </si>
  <si>
    <t>Accupro 20</t>
  </si>
  <si>
    <t>Ramipril AL 10 mg Tabletten - Einreichungsnummer: 2155949</t>
  </si>
  <si>
    <t>Accupro 10</t>
  </si>
  <si>
    <t>Benazepril AL 20 mg Filmtabletten</t>
  </si>
  <si>
    <t>C09AA07</t>
  </si>
  <si>
    <t>Benazeprilhydrochlorid</t>
  </si>
  <si>
    <t>Benazepril AL 10 mg Filmtabletten</t>
  </si>
  <si>
    <t>Delix 5 plus</t>
  </si>
  <si>
    <t>C09BA05</t>
  </si>
  <si>
    <t>Hydrochlorothiazid; Ramipril</t>
  </si>
  <si>
    <t>Accuzide 20 mg/12,5 mg</t>
  </si>
  <si>
    <t>C09BA06</t>
  </si>
  <si>
    <t>Hydrochlorothiazid; Quinaprilhydrochlorid</t>
  </si>
  <si>
    <t>Quinaplus AL 20 mg/12,5 mg Filmtabletten - Einreichungsnummer: 2160602</t>
  </si>
  <si>
    <t>Accuzide 10 mg/12,5 mg</t>
  </si>
  <si>
    <t>Quinaplus AL 10 mg/12,5 mg Filmtabletten - Einreichungsnummer: 2160601</t>
  </si>
  <si>
    <t>Accuzide 20 mg/25 mg diuplus</t>
  </si>
  <si>
    <t>Quinaplus AL 20 mg/25 mg Filmtabletten - Einreichungsnummer: 2160603</t>
  </si>
  <si>
    <t>Perindopril/Amlodipin Denk 8 mg/5 mg Tabletten</t>
  </si>
  <si>
    <t>C09BB04</t>
  </si>
  <si>
    <t>Amlodipinbesilat; Perindopril-tert-butylamin</t>
  </si>
  <si>
    <t>3396300, 3396346</t>
  </si>
  <si>
    <t>ENEAS 10/20 mg Tabletten</t>
  </si>
  <si>
    <t>C09BB06</t>
  </si>
  <si>
    <t>Enalaprilmaleat; Nitrendipin</t>
  </si>
  <si>
    <t>Ferrer Internacional S.A.</t>
  </si>
  <si>
    <t>02404/553-0</t>
  </si>
  <si>
    <t>empfang.als@dermapharm.com</t>
  </si>
  <si>
    <t>18352231</t>
  </si>
  <si>
    <t>Valsartan Puren 320 mg Filmtabletten</t>
  </si>
  <si>
    <t>C09CA03</t>
  </si>
  <si>
    <t>Valsartan</t>
  </si>
  <si>
    <t>Valsartan Puren 40 mg Filmtabletten</t>
  </si>
  <si>
    <t>Valsartan Puren 80 mg Filmtabletten</t>
  </si>
  <si>
    <t>Valsartan Puren 160 mg Filmtabletten</t>
  </si>
  <si>
    <t>07778381, 07778375, 07778369</t>
  </si>
  <si>
    <t>Valsartan STADA 320 mg Filmtabletten</t>
  </si>
  <si>
    <t>06101-603-460</t>
  </si>
  <si>
    <t>sonja.popal@stadapharm.de</t>
  </si>
  <si>
    <t>07778228</t>
  </si>
  <si>
    <t>Valsartan STADA 40 mg Filmtabletten</t>
  </si>
  <si>
    <t>09333803, 09333826</t>
  </si>
  <si>
    <t>Valsartan dura 320 mg Filmtabletten</t>
  </si>
  <si>
    <t>Mylan dura GmbH</t>
  </si>
  <si>
    <t>0800 6332 4636</t>
  </si>
  <si>
    <t>Info@mylan-dura.de</t>
  </si>
  <si>
    <t>09239613, 09239636</t>
  </si>
  <si>
    <t>Valsartan dura 160 mg Filmtabletten</t>
  </si>
  <si>
    <t>09239599, 09239607</t>
  </si>
  <si>
    <t>Valsartan dura 80 mg Filmtabletten</t>
  </si>
  <si>
    <t>Valsartan dura 40 mg Filmtabletten</t>
  </si>
  <si>
    <t>08798948</t>
  </si>
  <si>
    <t>VALSARTAN BASICS 40 mg Filmtabletten</t>
  </si>
  <si>
    <t>07762173, 08471845, 07762167</t>
  </si>
  <si>
    <t>VALSARTAN BASICS 160 mg Filmtabletten</t>
  </si>
  <si>
    <t>08471839, 07762150, 07762144</t>
  </si>
  <si>
    <t>VALSARTAN BASICS 80 mg Filmtabletten</t>
  </si>
  <si>
    <t>Valsartan AL 40 mg Filmtabletten</t>
  </si>
  <si>
    <t>07607231, 07607053, 07607076</t>
  </si>
  <si>
    <t>Valsartan HEXAL 160 mg Filmtabletten</t>
  </si>
  <si>
    <t>07607107, 07607053, 07607076</t>
  </si>
  <si>
    <t>Valsartan HEXAL 320 mg Filmtabletten</t>
  </si>
  <si>
    <t>07607030, 07607136, 07607024</t>
  </si>
  <si>
    <t>Valsartan HEXAL 80 mg Filmtabletten</t>
  </si>
  <si>
    <t>07607001</t>
  </si>
  <si>
    <t>Valsartan HEXAL 40 mg Filmtabletten</t>
  </si>
  <si>
    <t>07582100</t>
  </si>
  <si>
    <t>Valsartan - 1 A Pharma 320 mg Filmtabletten</t>
  </si>
  <si>
    <t>Valsartan - 1 A Pharma 160 mg Filmtabletten</t>
  </si>
  <si>
    <t>Valsartan - 1 A Pharma 80 mg Filmtabletten</t>
  </si>
  <si>
    <t>Valsartan - 1 A Pharma 40 mg Filmtabletten</t>
  </si>
  <si>
    <t>VALSARTAN BASICS 320 mg Filmtabletten</t>
  </si>
  <si>
    <t>Valsartan AL 160 mg Filmtabletten</t>
  </si>
  <si>
    <t>Valsartan AL 80 mg Filmtabletten</t>
  </si>
  <si>
    <t>07778346, 07778323, 07778300</t>
  </si>
  <si>
    <t>Valsartan STADA 160 mg Filmtabletten</t>
  </si>
  <si>
    <t>12359522, 12359485, 12359491, 02765391</t>
  </si>
  <si>
    <t>Valsaraxiro 40 mg Filmtabletten</t>
  </si>
  <si>
    <t>Heumann Pharma GmbH &amp; Co. Generica KG</t>
  </si>
  <si>
    <t>0911 4302 0</t>
  </si>
  <si>
    <t>info@heumann.de</t>
  </si>
  <si>
    <t>11693242, 11693259, 11693236</t>
  </si>
  <si>
    <t>Valsaraxiro 160 mg Filmtabletten</t>
  </si>
  <si>
    <t>6906227, 6906233, 6906285</t>
  </si>
  <si>
    <t>Valsartan-ratiopharm 80 mg Filmtabletten</t>
  </si>
  <si>
    <t>06906428, 06906411, 06906405</t>
  </si>
  <si>
    <t>Valsartan-ratiopharm 320 mg Filmtabletten</t>
  </si>
  <si>
    <t>06906380, 06906374, 06906368</t>
  </si>
  <si>
    <t>Valsartan-ratiopharm 160 mg Filmtabletten</t>
  </si>
  <si>
    <t>06906316, 06906339, 06906345</t>
  </si>
  <si>
    <t>Valsartan-ratiopharm 120 mg Filmtabletten</t>
  </si>
  <si>
    <t>Valsartan-ratiopharm 40 mg Filmtabletten</t>
  </si>
  <si>
    <t>07778292, 07778263, 07778257</t>
  </si>
  <si>
    <t>Valsartan STADA 80 mg Filmtabletten</t>
  </si>
  <si>
    <t>07758616, 07758579</t>
  </si>
  <si>
    <t>Valsartan AL 320 mg Filmtabletten</t>
  </si>
  <si>
    <t>13836094</t>
  </si>
  <si>
    <t>Valsartan Denk 160 mg Filmtabletten</t>
  </si>
  <si>
    <t>089-2300290</t>
  </si>
  <si>
    <t>Valsartan@denkpharma.de</t>
  </si>
  <si>
    <t>13836088</t>
  </si>
  <si>
    <t>Valsartan Denk 80 mg Filmtabletten</t>
  </si>
  <si>
    <t>09123715, 09123721, 09123738</t>
  </si>
  <si>
    <t>Valsartan Zentiva 320 mg Filmtabletten</t>
  </si>
  <si>
    <t>0180 202 0010</t>
  </si>
  <si>
    <t>08440460, 08440431, 08440419</t>
  </si>
  <si>
    <t>Valsartan Zentiva 160 mg Filmtabletten</t>
  </si>
  <si>
    <t>08440371, 08440365, 08440359</t>
  </si>
  <si>
    <t>Valsartan Zentiva 80 mg Filmtabletten</t>
  </si>
  <si>
    <t>Valsartan Zentiva 40 mg Filmtabletten</t>
  </si>
  <si>
    <t>7608331, 7608360, 7608377</t>
  </si>
  <si>
    <t>Valsartan AbZ 160 mg Filmtabletten</t>
  </si>
  <si>
    <t>7608302, 7608325</t>
  </si>
  <si>
    <t>Valsartan AbZ 120 mg Filmtabletten</t>
  </si>
  <si>
    <t>7608207, 7608236, 7608288</t>
  </si>
  <si>
    <t>Valsartan AbZ 80 mg Filmtabletten</t>
  </si>
  <si>
    <t>07608822</t>
  </si>
  <si>
    <t>Valsartan AbZ 320 mg Filmtabletten</t>
  </si>
  <si>
    <t>07608325, 07608302</t>
  </si>
  <si>
    <t>Valsartan-CT 120 mg Filmtabletten</t>
  </si>
  <si>
    <t>Valsartan AbZ 40 mg Filmtabletten</t>
  </si>
  <si>
    <t>Valsartan-CT 160 mg Filmtabletten</t>
  </si>
  <si>
    <t>09295379, 09295362, 09295362</t>
  </si>
  <si>
    <t>Valsartan Dexcel 160 mg Filmtabletten</t>
  </si>
  <si>
    <t>Dexcel Pharma GmbH</t>
  </si>
  <si>
    <t>06023 - 9480-0</t>
  </si>
  <si>
    <t>service@dexcel.com</t>
  </si>
  <si>
    <t>9067224, 9067201</t>
  </si>
  <si>
    <t>Valsartan Hennig 80 mg Filmtabletten</t>
  </si>
  <si>
    <t>Hennig Arzneimittel GmbH &amp; Co KG</t>
  </si>
  <si>
    <t>+49(0)6145-508-161</t>
  </si>
  <si>
    <t>zulassung@hennig-am.de</t>
  </si>
  <si>
    <t>9066621, 9066615</t>
  </si>
  <si>
    <t>Valsartan Hennig 40 mg Filmtabletten</t>
  </si>
  <si>
    <t>09067307</t>
  </si>
  <si>
    <t>Valsartan Hennig 320 mg Filmtabletten</t>
  </si>
  <si>
    <t>09067276, 09067276, 13979735, 09067230</t>
  </si>
  <si>
    <t>Valsartan Hennig 160 mg Filmtabletten</t>
  </si>
  <si>
    <t>09239613,  09239636</t>
  </si>
  <si>
    <t>Mylan Germany GmbH</t>
  </si>
  <si>
    <t>kundenservice@mylan.com</t>
  </si>
  <si>
    <t>09295356,  09295362,  09295379</t>
  </si>
  <si>
    <t>09295296,  09295304,  09295310</t>
  </si>
  <si>
    <t>Valsartan Dexcel 80 mg Filmtabletten</t>
  </si>
  <si>
    <t>09444388, 09443199</t>
  </si>
  <si>
    <t>Candesartan STADA 32 mg Tabletten</t>
  </si>
  <si>
    <t>C09CA06</t>
  </si>
  <si>
    <t>Candesartancilexetil</t>
  </si>
  <si>
    <t>09530768, 09530774, 09530797</t>
  </si>
  <si>
    <t>Candesartancilexetil Hennig 16 mg Tabletten</t>
  </si>
  <si>
    <t>+49(0)6145-508-137</t>
  </si>
  <si>
    <t>09530739, 09530751, 09530745</t>
  </si>
  <si>
    <t>Candesartancilexetil Hennig 8 mg Tabletten</t>
  </si>
  <si>
    <t>09443118, 09443147, 09444419</t>
  </si>
  <si>
    <t>Candesartan STADA 8 mg Tabletten</t>
  </si>
  <si>
    <t>09530662, 09530685, 09530722</t>
  </si>
  <si>
    <t>Candesartancilexetil Hennig 4 mg Tabletten</t>
  </si>
  <si>
    <t>09444448, 09443176, 09444431, 09443182</t>
  </si>
  <si>
    <t>Candesartan STADA 16 mg Tabletten</t>
  </si>
  <si>
    <t>09530834, 09530828, 09530805</t>
  </si>
  <si>
    <t>Candesartancilexetil Hennig 32 mg Tabletten</t>
  </si>
  <si>
    <t>09443101, 09443093</t>
  </si>
  <si>
    <t>Candesartan STADA 4 mg Tabletten</t>
  </si>
  <si>
    <t>09074974, 09074968, 09123974, 09123951, 09074980</t>
  </si>
  <si>
    <t>Candesartan-AbZ 16 mg Tabletten</t>
  </si>
  <si>
    <t>08879776, 08879753, 08879782</t>
  </si>
  <si>
    <t>Candesartan-ratiopharm 16 mg Tabletten</t>
  </si>
  <si>
    <t>09482762,  09482779,  09482785</t>
  </si>
  <si>
    <t>CANDESARTAN BASICS 4 mg Tabletten</t>
  </si>
  <si>
    <t>rabattvertraege@sunpharma.com</t>
  </si>
  <si>
    <t>09482839,  09482845,  09482851</t>
  </si>
  <si>
    <t>CANDESARTAN BASICS 16 mg Tabletten</t>
  </si>
  <si>
    <t>LosarHCT-Denk 50 mg/12,5 mg Filmtabletten</t>
  </si>
  <si>
    <t>C09DA01</t>
  </si>
  <si>
    <t>Hydrochlorothiazid; Losartan-Kalium</t>
  </si>
  <si>
    <t>089-230029-0</t>
  </si>
  <si>
    <t>info@denkpharma.de</t>
  </si>
  <si>
    <t>LosarHCT-Denk 100 mg/12,5 mg Filmtabletten</t>
  </si>
  <si>
    <t>FORTZAAR 100/25 mg Filmtabletten</t>
  </si>
  <si>
    <t>julia.freiberger@denkpharma.de</t>
  </si>
  <si>
    <t>07758533</t>
  </si>
  <si>
    <t>Valsartan/HCT AL 160 mg/25 mg Filmtabletten</t>
  </si>
  <si>
    <t>C09DA03</t>
  </si>
  <si>
    <t>Hydrochlorothiazid; Valsartan</t>
  </si>
  <si>
    <t>Valsartan/HCT AL 160 mg/12,5 mg Filmtabletten</t>
  </si>
  <si>
    <t>11358590</t>
  </si>
  <si>
    <t>Valsartan-comp Puren 320 mg/25 mg Filmtabletten</t>
  </si>
  <si>
    <t>11358561</t>
  </si>
  <si>
    <t>Valsartan-comp Puren 320 mg/12,5 mg Filmtabletten</t>
  </si>
  <si>
    <t>11358532</t>
  </si>
  <si>
    <t>Valsartan-comp PUREN 160 mg/25 mg Filmtabletten</t>
  </si>
  <si>
    <t>Valsartan-comp PUREN 160 mg/12,5 mg Filmtabletten</t>
  </si>
  <si>
    <t>Valsartan-comp PUREN 80 mg/12,5 mg Filmtabletten</t>
  </si>
  <si>
    <t>07778530</t>
  </si>
  <si>
    <t>Valsartan/HCT AL 320 mg/25 mg Filmtabletten</t>
  </si>
  <si>
    <t>Valsartan/HCT STADA 160 mg/25 mg Filmtabletten</t>
  </si>
  <si>
    <t>Valsartan/HCT AL 320 mg/12,5 mg Filmtabletten</t>
  </si>
  <si>
    <t>Valsartan/HCT STADA 320 mg/25 mg Filmtabletten</t>
  </si>
  <si>
    <t>Valsartan/HCT STADA 320 mg/12,5 mg Filmtabletten</t>
  </si>
  <si>
    <t>10055048, 10055031</t>
  </si>
  <si>
    <t>Valsartan/HCT Mylan 320 mg/25 mg Filmtabletten</t>
  </si>
  <si>
    <t>10055025, 10055019</t>
  </si>
  <si>
    <t>Valsartan/HCT Mylan 320 mg/12,5 mg Filmtabletten</t>
  </si>
  <si>
    <t>10055002, 10055002</t>
  </si>
  <si>
    <t>Valsartan/HCT Mylan 160 mg/25 mg Filmtabletten</t>
  </si>
  <si>
    <t>10054988, 10054971</t>
  </si>
  <si>
    <t>Valsartan/HCT Mylan 160 mg/12,5 mg Filmtabletten</t>
  </si>
  <si>
    <t>10054965, 10054959</t>
  </si>
  <si>
    <t>Valsartan/HCT Mylan 80 mg/12,5 mg Filmtabletten</t>
  </si>
  <si>
    <t>Martin.Engelstaedter@mylan.com</t>
  </si>
  <si>
    <t>Valsartan/HCT AL 80 mg/12,5 mg Filmtabletten</t>
  </si>
  <si>
    <t>07607343</t>
  </si>
  <si>
    <t>Valsartan HEXAL comp 320 mg/25 mg Filmtabletten</t>
  </si>
  <si>
    <t>07581046</t>
  </si>
  <si>
    <t>Valsartan - 1 A Pharma plus 160 mg/12,5 mg Filmtabletten</t>
  </si>
  <si>
    <t>07580710</t>
  </si>
  <si>
    <t>Valsartan - 1 A Pharma plus 80 mg/12,5 mg Filmtabletten</t>
  </si>
  <si>
    <t>Valsartan HEXAL comp 320 mg/12,5 mg Filmtabletten</t>
  </si>
  <si>
    <t>Valsartan HEXAL comp 160 mg/25 mg Filmtabletten</t>
  </si>
  <si>
    <t>Valsartan HEXAL comp 160 mg/12,5 mg Filmtabletten</t>
  </si>
  <si>
    <t>Valsartan HEXAL comp 80 mg/12,5 mg Filmtabletten</t>
  </si>
  <si>
    <t>Valsartan - 1 A Pharma plus 320 mg/25 mg Filmtabletten</t>
  </si>
  <si>
    <t>Valsartan - 1 A Pharma plus 320 mg/12,5 mg Filmtabletten</t>
  </si>
  <si>
    <t>Valsartan - 1 A Pharma plus 160 mg/25 mg Filmtabletten</t>
  </si>
  <si>
    <t>06906635</t>
  </si>
  <si>
    <t>Valsartan-ratiopharm comp. 160 mg/25 mg Filmtabletten</t>
  </si>
  <si>
    <t>06906612</t>
  </si>
  <si>
    <t>Valsartan-ratiopharm comp. 160 mg/12,5 mg Filmtabletten</t>
  </si>
  <si>
    <t>Valsartan Zentiva comp 160 mg/ 25 mg Filmtabletten</t>
  </si>
  <si>
    <t>Valsartan Zentiva comp 80 mg/ 12,5 mg Filmtabletten</t>
  </si>
  <si>
    <t>Valsartan Zentiva comp 320 mg/ 25 mg Filmtabletten</t>
  </si>
  <si>
    <t>Valsartan Zentiva comp 160 mg/ 12,5 mg Filmtabletten</t>
  </si>
  <si>
    <t>Valsartan Zentiva comp 320 mg/ 12,5 mg Filmtabletten</t>
  </si>
  <si>
    <t>07758579</t>
  </si>
  <si>
    <t>08409450</t>
  </si>
  <si>
    <t>Valsartan comp.-CT 160 mg/12,5 mg Filmtabletten</t>
  </si>
  <si>
    <t>07608791</t>
  </si>
  <si>
    <t>Valsartan comp. AbZ 320 mg/25 mg Filmtabletten</t>
  </si>
  <si>
    <t>07608472, 07608489</t>
  </si>
  <si>
    <t>Valsartan comp. AbZ 160 mg/12,5 mg Filmtabletten</t>
  </si>
  <si>
    <t>Valsartan comp. AbZ 160 mg/25 mg Filmtabletten</t>
  </si>
  <si>
    <t>07608437, 09530828, 09530805</t>
  </si>
  <si>
    <t>Valsartan comp. AbZ 80 mg/12,5 mg Filmtabletten</t>
  </si>
  <si>
    <t>06906842</t>
  </si>
  <si>
    <t>Valsartan-ratiopharm comp. 320 mg/25 mg Filmtabletten</t>
  </si>
  <si>
    <t>06906753</t>
  </si>
  <si>
    <t>Valsartan-ratiopharm comp. 320 mg/12,5 mg Filmtabletten</t>
  </si>
  <si>
    <t>06906500</t>
  </si>
  <si>
    <t>Valsartan-ratiopharm comp. 80 mg/12,5 mg Filmtabletten</t>
  </si>
  <si>
    <t>Valsartan comp. AbZ 320 mg/12,5 mg Filmtabletten</t>
  </si>
  <si>
    <t>Valsartan comp.-CT 320 mg/25 mg Filmtabletten</t>
  </si>
  <si>
    <t>Valsartan comp.-CT 160 mg/25 mg Filmtabletten</t>
  </si>
  <si>
    <t>Valsartan comp.-CT 80 mg/12,5 mg Filmtabletten</t>
  </si>
  <si>
    <t>09067477</t>
  </si>
  <si>
    <t>Valsartan Hennig plus HCT 320 mg/25 mg Filmabletten</t>
  </si>
  <si>
    <t>09067425</t>
  </si>
  <si>
    <t>Valsartan Hennig plus HCT 320 mg/12,5 mg Filmtabletten</t>
  </si>
  <si>
    <t>09067419</t>
  </si>
  <si>
    <t>Valsartan Hennig plus HCT 160 mg/ 25 mg Filmtabletten</t>
  </si>
  <si>
    <t>09067365</t>
  </si>
  <si>
    <t>Valsartan Hennig plus HCT 160 mg/ 12,5 mg Filmtabletten</t>
  </si>
  <si>
    <t>09067359</t>
  </si>
  <si>
    <t>Valsartan Hennig plus HCT 80 mg/ 12,5 mg Filmtabletten</t>
  </si>
  <si>
    <t>07762121</t>
  </si>
  <si>
    <t>VALSARTAN COMP BASICS 160 mg/12,5 mg Filmtabletten</t>
  </si>
  <si>
    <t>07762115,  08472000,  08472052</t>
  </si>
  <si>
    <t>VALSARTAN COMP BASICS 80 mg/12,5 mg Filmtabletten</t>
  </si>
  <si>
    <t>VALSARTAN COMP BASICS 160 mg/25 mg Filmtabletten</t>
  </si>
  <si>
    <t>CoAprovel 300/25 mg Filmtabletten - OP98</t>
  </si>
  <si>
    <t>C09DA04</t>
  </si>
  <si>
    <t>Hydrochlorothiazid; Irbesartan</t>
  </si>
  <si>
    <t>02766692,  02766781</t>
  </si>
  <si>
    <t>2702662, 2702664</t>
  </si>
  <si>
    <t>CoAprovel 300/12,5 mg Filmtabletten - OP28</t>
  </si>
  <si>
    <t>CoAprovel 150/12,5 mg Filmtabletten - OP98</t>
  </si>
  <si>
    <t>Candesartan-comp. AbZ 32 mg/12,5 mg Tabletten</t>
  </si>
  <si>
    <t>C09DA06</t>
  </si>
  <si>
    <t>Candesartancilexetil; Hydrochlorothiazid</t>
  </si>
  <si>
    <t>Simvahexal 5 mg Filmtabletten</t>
  </si>
  <si>
    <t>C10AA01</t>
  </si>
  <si>
    <t>Simvastatin</t>
  </si>
  <si>
    <t>01332939</t>
  </si>
  <si>
    <t>Simvastatin - 1 A Pharma 5 mg Filmtabletten</t>
  </si>
  <si>
    <t>00232236</t>
  </si>
  <si>
    <t>SIMVA BASICS 20 mg Filmtabletten</t>
  </si>
  <si>
    <t>SIMVA BASICS 30 mg Filmtabletten</t>
  </si>
  <si>
    <t>SIMVA BASICS 40 mg Filmtabletten</t>
  </si>
  <si>
    <t>SIMVA BASICS 10 mg Filmtabletten</t>
  </si>
  <si>
    <t>SIMVA BASICS 80 mg Filmtabletten</t>
  </si>
  <si>
    <t>07021850</t>
  </si>
  <si>
    <t>SIMVA BASICS 60 mg Filmtabletten</t>
  </si>
  <si>
    <t>09900751,  10144852</t>
  </si>
  <si>
    <t>Simva-Aristo 40 mg Filmtabletten</t>
  </si>
  <si>
    <t>09900716,  09900722</t>
  </si>
  <si>
    <t>Simva-Aristo 20 mg Filmtabletten</t>
  </si>
  <si>
    <t>Simva-Aristo 10 mg Filmtabletten</t>
  </si>
  <si>
    <t>09292895</t>
  </si>
  <si>
    <t>Atorvastatin-ratiopharm 40 mg Filmtabletten</t>
  </si>
  <si>
    <t>C10AA05</t>
  </si>
  <si>
    <t>Atorvastatin-Hemicalcium</t>
  </si>
  <si>
    <t>Atorvastatin AbZ 40 mg Filmtabletten</t>
  </si>
  <si>
    <t>Atorvastatin-Hemicalcium 3 H&lt;2&gt;O</t>
  </si>
  <si>
    <t>Atorvastatin STADA 80 mg Filmtabletten</t>
  </si>
  <si>
    <t>Atorvastatin-Calcium-Trihydrat (Ph.Eur.)</t>
  </si>
  <si>
    <t>14166738, 14166744</t>
  </si>
  <si>
    <t>ROSUVASTATIN-ELPEN 10 mg Filmtabletten</t>
  </si>
  <si>
    <t>C10AA07</t>
  </si>
  <si>
    <t>Rosuvastatin-Hemicalcium</t>
  </si>
  <si>
    <t>13569658,  17411434</t>
  </si>
  <si>
    <t xml:space="preserve">Rosuvastatin HEXAL 5 mg Filmtabletten </t>
  </si>
  <si>
    <t>14438674,  14438680</t>
  </si>
  <si>
    <t>Rosuvastatin Aristo 40 mg Filmtabletten</t>
  </si>
  <si>
    <t>16037850,  16037867</t>
  </si>
  <si>
    <t>ROSUVASTATIN-ELPEN 40 mg Filmtabletten</t>
  </si>
  <si>
    <t>14166750,  14166767</t>
  </si>
  <si>
    <t>ROSUVASTATIN-ELPEN 20 mg Filmtabletten</t>
  </si>
  <si>
    <t>14166738,  14166744</t>
  </si>
  <si>
    <t>14166715,  14166721</t>
  </si>
  <si>
    <t>ROSUVASTATIN-ELPEN 5 mg Filmtabletten</t>
  </si>
  <si>
    <t>17412037,  17412066</t>
  </si>
  <si>
    <t>Rosuvastatin - 1 A Pharma 5 mg Filmtabletten</t>
  </si>
  <si>
    <t>Rosuvastatin Denk 20 mg Filmtabletten</t>
  </si>
  <si>
    <t>Rosuvastatin Denk 10 mg Filmtabletten</t>
  </si>
  <si>
    <t>13569701,  13569718</t>
  </si>
  <si>
    <t xml:space="preserve">Rosuvastatin HEXAL 20 mg Filmtabletten </t>
  </si>
  <si>
    <t>13569670,  13569687</t>
  </si>
  <si>
    <t xml:space="preserve">Rosuvastatin HEXAL 10 mg Filmtabletten </t>
  </si>
  <si>
    <t>Rosuvastatin - 1 A Pharma 20 mg Filmtabletten</t>
  </si>
  <si>
    <t>13588615,  18388051</t>
  </si>
  <si>
    <t>Rosuvastatin Aristo 20 mg Filmtabletten</t>
  </si>
  <si>
    <t>13588590,  18388045</t>
  </si>
  <si>
    <t>Rosuvastatin Aristo 10 mg Filmtabletten</t>
  </si>
  <si>
    <t>Rosuvastatin Aristo 5 mg Filmtabletten</t>
  </si>
  <si>
    <t>17412089,  17412103</t>
  </si>
  <si>
    <t>Rosuvastatin - 1 A Pharma 10 mg Filmtabletten</t>
  </si>
  <si>
    <t>Rosuvastatin HEXAL 40 mg Filmtabletten</t>
  </si>
  <si>
    <t>14182140, 04900309, 04900315</t>
  </si>
  <si>
    <t>Bezafibrat AL 200</t>
  </si>
  <si>
    <t>C10AB02</t>
  </si>
  <si>
    <t>Bezafibrat</t>
  </si>
  <si>
    <t>04203680, 07558136, 04203697</t>
  </si>
  <si>
    <t>Bezafibrat AL 400 retard</t>
  </si>
  <si>
    <t>Lipocol-Merz Kautablette</t>
  </si>
  <si>
    <t>C10AC01</t>
  </si>
  <si>
    <t>Colestyramin ((mit Zusatz einer Zahl, die durch 10 geteilt, den ungefähren Prozent-Gehalt an Diethenylbenzol angibt))</t>
  </si>
  <si>
    <t>Kautablette</t>
  </si>
  <si>
    <t>Ezetimib Glenmark 10 mg Tabletten</t>
  </si>
  <si>
    <t>C10AX09</t>
  </si>
  <si>
    <t>Ezetimib</t>
  </si>
  <si>
    <t xml:space="preserve"> 08142 44392 0</t>
  </si>
  <si>
    <t>13156672,  13156689</t>
  </si>
  <si>
    <t>Ezetimib/Simvastatin Glenmark 10 mg/20 mg Tabletten</t>
  </si>
  <si>
    <t>C10BA02</t>
  </si>
  <si>
    <t>Ezetimib; Simvastatin</t>
  </si>
  <si>
    <t>14266210,  14266227,  14266233</t>
  </si>
  <si>
    <t>Ezetimib/Simvastatin Glenmark 10 mg/40 mg Tabletten</t>
  </si>
  <si>
    <t>14266144,  14266262</t>
  </si>
  <si>
    <t>Ezetimib/Simvastatin Glenmark 10 mg/80 mg Tabletten</t>
  </si>
  <si>
    <t>service.de@glenmarkpharma.com</t>
  </si>
  <si>
    <t>10538321, 10538315</t>
  </si>
  <si>
    <t>Atozet 10 mg/20 mg Filmtabletten</t>
  </si>
  <si>
    <t>C10BA05</t>
  </si>
  <si>
    <t>Atorvastatin-Calcium-Trihydrat (Ph.Eur.); Ezetimib</t>
  </si>
  <si>
    <t>MSD Sharp &amp; Dohme Gesellschaft mit beschränkter Haftung</t>
  </si>
  <si>
    <t>Atozet 10 mg/40 mg Filmtabletten</t>
  </si>
  <si>
    <t>Atozet 10 mg/10 mg Filmtabletten</t>
  </si>
  <si>
    <t>Ezetimib/Atorvastatin ELPEN 10 mg/80 mg Filmtabletten</t>
  </si>
  <si>
    <t>Ezetimib/Atorvastatin ELPEN 10 mg/10 mg Filmtabletten</t>
  </si>
  <si>
    <t>17244700,  17244717</t>
  </si>
  <si>
    <t>Ezetimib/Atorvastatin ELPEN 10 mg/40 mg Filmtabletten</t>
  </si>
  <si>
    <t>Ezetimib/Atorvastatin ELPEN 10 mg/20 mg Filmtabletten</t>
  </si>
  <si>
    <t>01044293,  01044301,  01044318</t>
  </si>
  <si>
    <t>Terbinafin-1A Pharma 125 mg Tabletten</t>
  </si>
  <si>
    <t>D01BA02</t>
  </si>
  <si>
    <t>Terbinafinhydrochlorid</t>
  </si>
  <si>
    <t>Terbiderm 250 mg</t>
  </si>
  <si>
    <t>Die Packungsgrößen 14 Stk. und 42 Stk. (PZN 00027430 und PZN 00030604) sind während der Dauer des Lieferengpasses voraussichtlich weiterhin verfügbar.</t>
  </si>
  <si>
    <t>Volon A-Schüttelmix</t>
  </si>
  <si>
    <t>D02AB, D07XB02</t>
  </si>
  <si>
    <t>Triamcinolonacetonid; Zinkoxid</t>
  </si>
  <si>
    <t>Suspension zur Anwendung auf der Haut,Suspension zur Anwendung auf der Haut</t>
  </si>
  <si>
    <t>MTX 10 mg HEXAL injekt</t>
  </si>
  <si>
    <t>D05B, L01BA01, M01AX</t>
  </si>
  <si>
    <t>Methotrexat-Dinatrium</t>
  </si>
  <si>
    <t>Metex Injektionslösung 7,5 mg/ml</t>
  </si>
  <si>
    <t>D05B, L01BA01, TERM_ID_NA_2090004880</t>
  </si>
  <si>
    <t>bfarm-meldung@medac.de</t>
  </si>
  <si>
    <t>09223138,  09223150</t>
  </si>
  <si>
    <t>Acicutan 10 mg Hartkapseln</t>
  </si>
  <si>
    <t>D05BB02</t>
  </si>
  <si>
    <t>Acitretin</t>
  </si>
  <si>
    <t>Acicutan 25 mg Hartkapseln</t>
  </si>
  <si>
    <t>Die Packungsgrößen 30 Stk. und 50 Stk. sind weiterhin lieferbar.</t>
  </si>
  <si>
    <t>Die Packungsgröße 30 Kapseln (PZN 12453103) ist während der Dauer des Lieferengpasses voraussichtlich weiterhin verfügbar.</t>
  </si>
  <si>
    <t>Fucidine 20 mg/g Salbe</t>
  </si>
  <si>
    <t>D06AX01</t>
  </si>
  <si>
    <t>Natriumfusidat</t>
  </si>
  <si>
    <t>Leo Pharma A/S Beiname: Leo Pharmaceutical Products Ltd. A/S</t>
  </si>
  <si>
    <t>+49(0)6102-201-0</t>
  </si>
  <si>
    <t>regulatory_de_at@leo-pharma.com</t>
  </si>
  <si>
    <t>Salbe</t>
  </si>
  <si>
    <t>+49 6102 201 0</t>
  </si>
  <si>
    <t>leo-pharma.de@leo-pharma.com</t>
  </si>
  <si>
    <t>Fucidine 20 mg/g Salbe - Einreichungsnummer: 0424272</t>
  </si>
  <si>
    <t>regulatory_affairs_de@leo-pharma.com</t>
  </si>
  <si>
    <t>Aciclovir Creme - 1 A Pharma</t>
  </si>
  <si>
    <t>D06BB03</t>
  </si>
  <si>
    <t>Aciclovir</t>
  </si>
  <si>
    <t>Creme</t>
  </si>
  <si>
    <t>14235853,  14235876</t>
  </si>
  <si>
    <t>AKSUNIM 50 mg/g Creme</t>
  </si>
  <si>
    <t>D06BB10</t>
  </si>
  <si>
    <t>Imiquimod</t>
  </si>
  <si>
    <t>Zyclara 3,75 % Creme - OP(28x250mg)</t>
  </si>
  <si>
    <t>Viatris Healthcare Limited</t>
  </si>
  <si>
    <t>Aldara 5% Creme - OP24 - Einreichungsnummer: 2708571</t>
  </si>
  <si>
    <t>Aldara 5% Creme - OP24</t>
  </si>
  <si>
    <t>Aldara 5% Creme - Einreichungsnummer: 2700404</t>
  </si>
  <si>
    <t>4609962</t>
  </si>
  <si>
    <t>Metrogel 0,75%</t>
  </si>
  <si>
    <t>D06BX01</t>
  </si>
  <si>
    <t>Galderma Laboratorium GmbH</t>
  </si>
  <si>
    <t>0211-58601-4250</t>
  </si>
  <si>
    <t>thomas.knappe@galderma.com</t>
  </si>
  <si>
    <t>Metrocreme 0,75% - Einreichungsnummer: 2154118</t>
  </si>
  <si>
    <t>Gel</t>
  </si>
  <si>
    <t>ROSICED 7,5 mg/g Creme</t>
  </si>
  <si>
    <t>Pierre Fabre Dermo-Kosmetik GmbH</t>
  </si>
  <si>
    <t>0172/1404826 oder 0761/45261230</t>
  </si>
  <si>
    <t>harald.huber@pierre-fabre.com</t>
  </si>
  <si>
    <t>Pierre Fabre Medicament Production  Rechtsform: S.A.S</t>
  </si>
  <si>
    <t>Christina.morhart@pierre-fabre.com</t>
  </si>
  <si>
    <t>Verzögerungen bezüglich eines geplanten Zulassungstransfers</t>
  </si>
  <si>
    <t>Volon A Tinktur N</t>
  </si>
  <si>
    <t>D07AB</t>
  </si>
  <si>
    <t>Salicylsäure; Triamcinolonacetonid</t>
  </si>
  <si>
    <t>089-641 86 105</t>
  </si>
  <si>
    <t>Volon A Tinktur N - Einreichungsnummer: 0070928</t>
  </si>
  <si>
    <t>Lösung zur Anwendung auf der Haut</t>
  </si>
  <si>
    <t>Volon A Creme</t>
  </si>
  <si>
    <t>D07AB09</t>
  </si>
  <si>
    <t>Triamcinolonacetonid</t>
  </si>
  <si>
    <t>Diprosone Salbe</t>
  </si>
  <si>
    <t>D07AC01</t>
  </si>
  <si>
    <t>Betamethasondipropionat (Ph.Eur.)</t>
  </si>
  <si>
    <t>Diprosis Salbe - Einreichungsnummer: 2103380</t>
  </si>
  <si>
    <t>SODERM Salbe</t>
  </si>
  <si>
    <t>Betamethasonvalerat (Ph.Eur.)</t>
  </si>
  <si>
    <t>Diprosone Creme</t>
  </si>
  <si>
    <t>Diprosis Salbe</t>
  </si>
  <si>
    <t>verena.poetsch@organon.com</t>
  </si>
  <si>
    <t>Diprosone Creme - Einreichungsnummer: 0451286</t>
  </si>
  <si>
    <t>00165273,  00165296,  00165304</t>
  </si>
  <si>
    <t>Soderm Lotio</t>
  </si>
  <si>
    <t>Die Packungsgrößen 50 ml und 100 ml (PZN 00165296 und PZN 00165304) sind voraussichtlich während der Dauer des Lieferengpasses verfügbar.</t>
  </si>
  <si>
    <t>Soderm crinale</t>
  </si>
  <si>
    <t>Die Packungsgrößen 15 ml und 50 ml (PZN 02051243 / 02051326) sind  während der Dauer der Lieferunfähigkeit voraussichtlich weiterhin verfügbar.</t>
  </si>
  <si>
    <t>00165296,  00165304</t>
  </si>
  <si>
    <t>Die Packungsgröße 20 ml (PZN 00165273) ist voraussichtlich während der Dauer des Lieferengpasses weiterhin verfügbar.</t>
  </si>
  <si>
    <t>Monovo 1 mg/g Salbe</t>
  </si>
  <si>
    <t>D07AC13</t>
  </si>
  <si>
    <t>Mometasonfuroat (Ph.Eur.)</t>
  </si>
  <si>
    <t>ALMIRALL HERMAL GmbH</t>
  </si>
  <si>
    <t>040/72704-0</t>
  </si>
  <si>
    <t>pharma-affairs@almirall.com</t>
  </si>
  <si>
    <t>Mometason Glenmark 1mg/g Salbe</t>
  </si>
  <si>
    <t>Mometasonfuroat Glenmark 1 mg/g Creme</t>
  </si>
  <si>
    <t>08820441,  08820458,  08820464</t>
  </si>
  <si>
    <t>Monovo 1 mg/g Emulsion zur Anwendung auf der Haut</t>
  </si>
  <si>
    <t>Die Zulassung wurde am 13.10.2021 zurückgezogen. Das Erlöschen wurde mit BfArM Schreiben vom 20.10.2021 bestätigt.</t>
  </si>
  <si>
    <t>Monovo 1 mg/g Creme - Einreichungsnummer: 2178519</t>
  </si>
  <si>
    <t>Emulsion zur Anwendung auf der Haut</t>
  </si>
  <si>
    <t>08820458,  08820470</t>
  </si>
  <si>
    <t>Prednicarbat acis Lösung</t>
  </si>
  <si>
    <t>D07AC18</t>
  </si>
  <si>
    <t>Prednicarbat</t>
  </si>
  <si>
    <t>ilaria.ugolini@dermapharm.com</t>
  </si>
  <si>
    <t>Prednicarbat acis Lösung - Einreichungsnummer: 2184545</t>
  </si>
  <si>
    <t>06978020,  06978037</t>
  </si>
  <si>
    <t>Karison Crinale</t>
  </si>
  <si>
    <t>D07AD01</t>
  </si>
  <si>
    <t>Clobetasolpropionat (Ph.Eur.)</t>
  </si>
  <si>
    <t xml:space="preserve">Die Packungsgrößen 30 ml und 50 ml (PZN 06978037 und PZN 06978043) sind während der Dauer des Lieferengpasses voraussichtlich weiterhin verfügbar. </t>
  </si>
  <si>
    <t>01902124,  04962233,  04973076,  04994931,  04994948,  04994954</t>
  </si>
  <si>
    <t>0078947, 0078976, 0078999</t>
  </si>
  <si>
    <t>LOCACORTEN-Vioform</t>
  </si>
  <si>
    <t>D07BB01</t>
  </si>
  <si>
    <t>Clioquinol; Flumetasonpivalat (Ph.Eur.)</t>
  </si>
  <si>
    <t>geplanter Wechsel Wirkstoffhersteller aufgrund von Insolvenz</t>
  </si>
  <si>
    <t>Tannolact Fettcreme</t>
  </si>
  <si>
    <t>D08AE, TERM_ID_NA_2090002693</t>
  </si>
  <si>
    <t>Phenol-Methanal-Harnstoff-Polykondensat-Natriumsalz, sulfoniert</t>
  </si>
  <si>
    <t>zulassung@galderma.com</t>
  </si>
  <si>
    <t>Pending Variation (Lohnherstellertransfer)</t>
  </si>
  <si>
    <t>Tannolact - Einreichungsnummer: 0304409</t>
  </si>
  <si>
    <t>Differin 0,1% Gel</t>
  </si>
  <si>
    <t>D10AD03</t>
  </si>
  <si>
    <t>Adapalen</t>
  </si>
  <si>
    <t>Differin 0,1% Creme - Einreichungsnummer: 2141443</t>
  </si>
  <si>
    <t>Epiduo Forte</t>
  </si>
  <si>
    <t>D10AD53</t>
  </si>
  <si>
    <t>Adapalen; Benzoylperoxid ((mit Angaben zum Benzoylperoxid-Gehalt))</t>
  </si>
  <si>
    <t>Epiduo Forte - Einreichungsnummer: 2196168</t>
  </si>
  <si>
    <t>Adapalen; Benzoylperoxid</t>
  </si>
  <si>
    <t>Kapazitätsengpass</t>
  </si>
  <si>
    <t>Benzaknen Wash 5% Suspension zur Anwendung auf der Haut</t>
  </si>
  <si>
    <t>D10AE01</t>
  </si>
  <si>
    <t>Wasserhaltiges Benzoylperoxid ((enthält 70.0 bis 77.0 % Benzoylperoxid))</t>
  </si>
  <si>
    <t>Benzaknen Wash 5% Suspension zur Anwendung auf der Haut - Einreichungsnummer: 2102967</t>
  </si>
  <si>
    <t>Suspension zur Anwendung auf der Haut</t>
  </si>
  <si>
    <t>Benzaknen 10 %</t>
  </si>
  <si>
    <t>Benzaknen 10 % - Einreichungsnummer: 2101859</t>
  </si>
  <si>
    <t>Wasserhaltiges Benzoylperoxid</t>
  </si>
  <si>
    <t>Lieferverzögerung</t>
  </si>
  <si>
    <t>Änderung in der Distribution / Lieferverzögerungen</t>
  </si>
  <si>
    <t>Benzaknen 5 %</t>
  </si>
  <si>
    <t>Lieferverzögerungen</t>
  </si>
  <si>
    <t>Benzaknen 5 % - Einreichungsnummer: 2101858</t>
  </si>
  <si>
    <t>10168835,  10168841</t>
  </si>
  <si>
    <t>Acnatac 10 mg/g + 0,25 mg/g Gel</t>
  </si>
  <si>
    <t>D10AF51</t>
  </si>
  <si>
    <t>Clindamycin-2-dihydrogenphosphat; Tretinoin</t>
  </si>
  <si>
    <t>kunderservice@viatris.com</t>
  </si>
  <si>
    <t>Isotret-Hexal 20 mg Kapseln</t>
  </si>
  <si>
    <t>D10BA01</t>
  </si>
  <si>
    <t>Isotretinoin</t>
  </si>
  <si>
    <t>Isotret-Hexal 10 mg Kapseln</t>
  </si>
  <si>
    <t>Doxyderma 50 mg</t>
  </si>
  <si>
    <t>D10BX</t>
  </si>
  <si>
    <t>Doxycyclin-Monohydrat</t>
  </si>
  <si>
    <t>Packungsgröße 50 Stk. (PZN 04972438) ist während des Lieferengpasses weiterhin lieferbar.</t>
  </si>
  <si>
    <t>martin.schreiber@dermapharm.com</t>
  </si>
  <si>
    <t>Doxyderma 50 mg - Einreichungsnummer: 2111619</t>
  </si>
  <si>
    <t>10985801,  10985818,  10985824</t>
  </si>
  <si>
    <t>Vagantin RIEMSER</t>
  </si>
  <si>
    <t>D11AA</t>
  </si>
  <si>
    <t>Methantheliniumbromid</t>
  </si>
  <si>
    <t>Verrucutan 5 mg/g + 100 mg/g Lösung zur Anwendung auf der Haut</t>
  </si>
  <si>
    <t>D11AF</t>
  </si>
  <si>
    <t>Fluorouracil; Salicylsäure</t>
  </si>
  <si>
    <t>14063263,  14063286</t>
  </si>
  <si>
    <t>Takrozem 1 mg/g Salbe</t>
  </si>
  <si>
    <t>D11AH01</t>
  </si>
  <si>
    <t>Tacrolimus-Monohydrat</t>
  </si>
  <si>
    <t>zulassung_de@pierre-fabre.com</t>
  </si>
  <si>
    <t>6846028</t>
  </si>
  <si>
    <t>Toctino 30 mg Weichkapseln</t>
  </si>
  <si>
    <t>D11AH04</t>
  </si>
  <si>
    <t>Alitretinoin</t>
  </si>
  <si>
    <t>GlaxoSmithKline GmbH &amp; Co. KG</t>
  </si>
  <si>
    <t>0800 1223355</t>
  </si>
  <si>
    <t>Sobelin Vaginalcreme</t>
  </si>
  <si>
    <t>G01AA10</t>
  </si>
  <si>
    <t>Clindamycin-2-dihydrogenphosphat</t>
  </si>
  <si>
    <t>Durch Verzögerung der angekündigten nächsten Lieferung erfolgt die Meldung verspätet</t>
  </si>
  <si>
    <t>Vaginalcreme</t>
  </si>
  <si>
    <t>Arilin Vaginalzäpfchen 100 mg Metronidazol pro Vaginalzäpfchen</t>
  </si>
  <si>
    <t>G01AF01</t>
  </si>
  <si>
    <t>Dr. August Wolff GmbH &amp; Co. KG Arzneimittel</t>
  </si>
  <si>
    <t>tatjana.siemens@drwolffgroup.com</t>
  </si>
  <si>
    <t>Vaginalzäpfchen</t>
  </si>
  <si>
    <t>Arilin Kombipackung</t>
  </si>
  <si>
    <t>Minprostin E2 Vaginaltabletten</t>
  </si>
  <si>
    <t>G02AD02</t>
  </si>
  <si>
    <t>Dinoproston</t>
  </si>
  <si>
    <t>Minprostin E2 Vaginalgel 1mg - Einreichungsnummer: 2119724</t>
  </si>
  <si>
    <t>Vaginaltablette</t>
  </si>
  <si>
    <t xml:space="preserve"> +49 (0) 30 550055-51000</t>
  </si>
  <si>
    <t>Nalador-500</t>
  </si>
  <si>
    <t>G02AD05</t>
  </si>
  <si>
    <t>Sulproston</t>
  </si>
  <si>
    <t>Jenapharm GmbH &amp; Co. KG</t>
  </si>
  <si>
    <t>0 36 41 / 64 88 88</t>
  </si>
  <si>
    <t>kundenservice@jenapharm.de</t>
  </si>
  <si>
    <t>03641/648888</t>
  </si>
  <si>
    <t>Partusisten intrapartal</t>
  </si>
  <si>
    <t>G02CA03</t>
  </si>
  <si>
    <t>Fenoterolhydrobromid</t>
  </si>
  <si>
    <t>089/45450202</t>
  </si>
  <si>
    <t>JKappes@hikma.com</t>
  </si>
  <si>
    <t>Probleme bei der Chargenprüfung</t>
  </si>
  <si>
    <t>bromocriptin-ct 2,5mg Tabletten</t>
  </si>
  <si>
    <t>G02CB01, N04BC01</t>
  </si>
  <si>
    <t>Bromocriptinmesilat</t>
  </si>
  <si>
    <t>07606059</t>
  </si>
  <si>
    <t>Bromocriptin-ratiopharm 2,5 mg Tabletten</t>
  </si>
  <si>
    <t>00792538</t>
  </si>
  <si>
    <t>Bromocriptin AbZ 2,5mg Tabletten</t>
  </si>
  <si>
    <t>01982956, 01942767, 02485639</t>
  </si>
  <si>
    <t>Pravidel 2,5 mg Tabletten</t>
  </si>
  <si>
    <t>Dostinex</t>
  </si>
  <si>
    <t>G02CB03</t>
  </si>
  <si>
    <t>Cabergolin</t>
  </si>
  <si>
    <t>Cabergolin-ratiopharm 0,5 mg Tabletten - Einreichungsnummer: 2166339</t>
  </si>
  <si>
    <t>00291233</t>
  </si>
  <si>
    <t>Cabergolin-ratiopharm 0,5 mg Tabletten</t>
  </si>
  <si>
    <t>0049 (0) 731 402-02</t>
  </si>
  <si>
    <t>Cabergolin-TEVA 0,5 mg Tabletten</t>
  </si>
  <si>
    <t>00890376,  06896782,  06896807</t>
  </si>
  <si>
    <t>02742912,  03518163,  03518186</t>
  </si>
  <si>
    <t>Conceplan M</t>
  </si>
  <si>
    <t>G03AA05</t>
  </si>
  <si>
    <t>Ethinylestradiol; Norethisteron</t>
  </si>
  <si>
    <t>+49 (30) 55005552390</t>
  </si>
  <si>
    <t>JudytaMagdalena.Thomson@pfizer.com</t>
  </si>
  <si>
    <t>Eve 20 - Einreichungsnummer: 0728747</t>
  </si>
  <si>
    <t>10143775</t>
  </si>
  <si>
    <t>Lotta HEXAL 0,125 mg/0,03 mg Filmtabletten</t>
  </si>
  <si>
    <t>G03AA07</t>
  </si>
  <si>
    <t>Ethinylestradiol; Levonorgestrel</t>
  </si>
  <si>
    <t>Miranova überzogene Tabletten</t>
  </si>
  <si>
    <t>Minisiston 20 fem - Einreichungsnummer: 0928653</t>
  </si>
  <si>
    <t>aida</t>
  </si>
  <si>
    <t>G03AA12</t>
  </si>
  <si>
    <t>Drospirenon; Ethinylestradiol</t>
  </si>
  <si>
    <t>03641 8797444</t>
  </si>
  <si>
    <t>YAZ 0,02 mg/3 mg Filmtabletten - Einreichungsnummer: 2171898</t>
  </si>
  <si>
    <t>00414440, 00414434</t>
  </si>
  <si>
    <t>Yasminelle 0,02 mg/3 mg Filmtabletten</t>
  </si>
  <si>
    <t>3025495, 6961060, 6961077</t>
  </si>
  <si>
    <t>Trigoa</t>
  </si>
  <si>
    <t>G03AB03</t>
  </si>
  <si>
    <t>Imke.TeuffelvonBikensee@pfizer.com</t>
  </si>
  <si>
    <t>NovaStep überzogene Tabletten - Einreichungsnummer: 0929084</t>
  </si>
  <si>
    <t>Dragees</t>
  </si>
  <si>
    <t>01410823,  01410846,  02710869</t>
  </si>
  <si>
    <t>Novial</t>
  </si>
  <si>
    <t>G03AB05</t>
  </si>
  <si>
    <t>Desogestrel; Ethinylestradiol</t>
  </si>
  <si>
    <t>Biviol</t>
  </si>
  <si>
    <t>Tablette,Tablette</t>
  </si>
  <si>
    <t>02710987</t>
  </si>
  <si>
    <t>28 mini</t>
  </si>
  <si>
    <t>G03AC03</t>
  </si>
  <si>
    <t>Levonorgestrel</t>
  </si>
  <si>
    <t>0049 214 30 51 370</t>
  </si>
  <si>
    <t>reginald.klan@bayer.com</t>
  </si>
  <si>
    <t>Depo-Clinovir</t>
  </si>
  <si>
    <t>G03AC06</t>
  </si>
  <si>
    <t>Medroxyprogesteronacetat</t>
  </si>
  <si>
    <t>+49 30 550055 53269</t>
  </si>
  <si>
    <t>Depo-Clinovir - Einreichungsnummer: 2149285</t>
  </si>
  <si>
    <t>SAYANA 104 mg/0,65 ml Injektionssuspension</t>
  </si>
  <si>
    <t>Depo-Clinovir - Einreichungsnummer: 2105173</t>
  </si>
  <si>
    <t xml:space="preserve">Nur die Packung mit 6 Fertigspritzen von Sayana (PZN 09252341) ist von d. Lieferengpass betroffen. </t>
  </si>
  <si>
    <t>02405793,  09252358</t>
  </si>
  <si>
    <t>Tostran 2% Gel</t>
  </si>
  <si>
    <t>G03BA03</t>
  </si>
  <si>
    <t>Testosteron</t>
  </si>
  <si>
    <t>Tostran 2% Gel - Einreichungsnummer: 2164953</t>
  </si>
  <si>
    <t>00846174,  00846205,  00846211</t>
  </si>
  <si>
    <t>Estradiol 2 - 1 A Pharma</t>
  </si>
  <si>
    <t>G03CA03</t>
  </si>
  <si>
    <t>Estradiol-Hemihydrat</t>
  </si>
  <si>
    <t>Ovestin 1 mg Creme</t>
  </si>
  <si>
    <t>G03CA04</t>
  </si>
  <si>
    <t>Estriol</t>
  </si>
  <si>
    <t>de-info@aspenpharma.de</t>
  </si>
  <si>
    <t>Estriol Wolff - Einreichungsnummer: 2107193</t>
  </si>
  <si>
    <t>+49 89  93 08 38 0</t>
  </si>
  <si>
    <t>Erhöhte Nachfrage.</t>
  </si>
  <si>
    <t>DE_Quality@aspenpharma.eu</t>
  </si>
  <si>
    <t>Ovestin 0,5mg Ovula</t>
  </si>
  <si>
    <t>Ovestin 0,5mg Ovula - Einreichungsnummer: 2101546</t>
  </si>
  <si>
    <t>+49 89 93 08 38 00</t>
  </si>
  <si>
    <t xml:space="preserve"> de-info@aspenpharma.eu</t>
  </si>
  <si>
    <t>08728385,  08728391,  08728416</t>
  </si>
  <si>
    <t>MPA GYN 5</t>
  </si>
  <si>
    <t>G03DA02</t>
  </si>
  <si>
    <t>06845595,  06845603</t>
  </si>
  <si>
    <t>Estramon conti 40/130 Mikrogramm/24 h Transdermales Pflaster</t>
  </si>
  <si>
    <t>G03FA01</t>
  </si>
  <si>
    <t>Estradiol-Hemihydrat; Norethisteronacetat</t>
  </si>
  <si>
    <t>06845572,  06845589</t>
  </si>
  <si>
    <t>Estramon conti 30/95 Mikrogramm/24 h Transdermales Pflaster</t>
  </si>
  <si>
    <t>01689021</t>
  </si>
  <si>
    <t>Angeliq Filmtabletten</t>
  </si>
  <si>
    <t>G03FA17</t>
  </si>
  <si>
    <t>Drospirenon; Estradiol-Hemihydrat</t>
  </si>
  <si>
    <t>Lafamme 1 mg/2 mg überzogene Tabletten - Einreichungsnummer: 2163248</t>
  </si>
  <si>
    <t>Cyclo-Progynova N 2 mg/0,15 mg überzogene Tabletten</t>
  </si>
  <si>
    <t>G03FB09</t>
  </si>
  <si>
    <t>Estradiolvalerat; Levonorgestrel</t>
  </si>
  <si>
    <t>überzogene Tablette,überzogene Tablette</t>
  </si>
  <si>
    <t>BREVACTID 5000 I.E. Pulver und Lösungsmittel zur Herstellung einer Injektionslösung</t>
  </si>
  <si>
    <t>G03GA01</t>
  </si>
  <si>
    <t>Choriongonadotropin</t>
  </si>
  <si>
    <t>0431-5852-134</t>
  </si>
  <si>
    <t>Der Wirkstoff wird aus menschlichem Urin hergestellt. Aufgrund der COVID-19-Situation konnte der Wirkstoff nur begrenzt hergestellt werden.</t>
  </si>
  <si>
    <t>BREVACTID 1500 I.E. Pulver und Lösungsmittel zur Herstellung einer Injektionslösung</t>
  </si>
  <si>
    <t>Der Wirkstoff wird aus menschlichem Urin gewonnen. Aufgrund der COVID-19-Situation konnte der Wirkstoff nur begrenzt hergestellt werden.</t>
  </si>
  <si>
    <t>04015412,  04015429</t>
  </si>
  <si>
    <t>MENOGON HP 75 I.E. Pulver und Lösungsmittel zur Herstellung einer lnjektionslösung</t>
  </si>
  <si>
    <t>G03GA02</t>
  </si>
  <si>
    <t>Menotropin</t>
  </si>
  <si>
    <t>01551015,  03903317</t>
  </si>
  <si>
    <t>Androcur 50mg Tabletten</t>
  </si>
  <si>
    <t>G03HA01</t>
  </si>
  <si>
    <t>Cyproteronacetat</t>
  </si>
  <si>
    <t>02204356,  02204362</t>
  </si>
  <si>
    <t>Blanel Brausetabletten</t>
  </si>
  <si>
    <t>G04B</t>
  </si>
  <si>
    <t>Citronensäure; Kaliumcitrat (Ph.Eur.); Natriumcarbonat; Natriumhydrogencarbonat</t>
  </si>
  <si>
    <t>Dr. Pfleger Arzneimittel GmbH - Geschäftsanschrift -</t>
  </si>
  <si>
    <t>regaffairs@dr-pfleger.de</t>
  </si>
  <si>
    <t>Die Packungsgröße 48 Brausetabletten wird voraussichtlich bereits ab November 2023 wieder verfügbar sein.</t>
  </si>
  <si>
    <t>Brausetablette</t>
  </si>
  <si>
    <t>14135531,  14135548,  14135554</t>
  </si>
  <si>
    <t>Spasmolyt 45 mg Filmtabletten</t>
  </si>
  <si>
    <t>G04BD09</t>
  </si>
  <si>
    <t>Trospiumchlorid</t>
  </si>
  <si>
    <t>00568640,  10796336</t>
  </si>
  <si>
    <t>2703490, 2707566</t>
  </si>
  <si>
    <t>TOVIAZ 4 mg Retardtabletten - OP14</t>
  </si>
  <si>
    <t>G04BD11</t>
  </si>
  <si>
    <t>Fesoterodinfumarat</t>
  </si>
  <si>
    <t>Pfizer Europe MA EEIG</t>
  </si>
  <si>
    <t>Fesoterodin Aristo 4 mg Retardtabletten - Einreichungsnummer: 7000588</t>
  </si>
  <si>
    <t>TOVIAZ 8 mg Retardtabletten - OP14</t>
  </si>
  <si>
    <t>Fesoterodin Aristo 8 mg Retardtabletten - Einreichungsnummer: 7000589</t>
  </si>
  <si>
    <t>TOVIAZ 8 mg Retardtabletten - OP84</t>
  </si>
  <si>
    <t>TOVIAZ 4 mg Retardtabletten - OP84</t>
  </si>
  <si>
    <t>TOVIAZ 8 mg Retardtabletten - OP100(Bl)</t>
  </si>
  <si>
    <t>TOVIAZ 8 mg Retardtabletten - OP28</t>
  </si>
  <si>
    <t>TOVIAZ 4 mg Retardtabletten - OP28</t>
  </si>
  <si>
    <t>17570055,  17570061</t>
  </si>
  <si>
    <t>Fesoterodin Aristo 8 mg Retardtabletten</t>
  </si>
  <si>
    <t>17570026,  17570032</t>
  </si>
  <si>
    <t>Fesoterodin Aristo 4 mg Retardtabletten</t>
  </si>
  <si>
    <t>Caverject 20 µg</t>
  </si>
  <si>
    <t>G04BE01</t>
  </si>
  <si>
    <t>Caverject 20 µg - Einreichungsnummer: 2130671</t>
  </si>
  <si>
    <t>Trockensubstanz,Lösungsmittel</t>
  </si>
  <si>
    <t>Caverject 10 µg</t>
  </si>
  <si>
    <t>Caverject Impuls 20 µg Pulver und Lösungsmittel zur Herstellung einer Injektionslösung</t>
  </si>
  <si>
    <t>02914891,  03441101,  04192539</t>
  </si>
  <si>
    <t>Muse 250 mikrogramm</t>
  </si>
  <si>
    <t>Stäbchen zur Anwendung in der Harnröhre</t>
  </si>
  <si>
    <t>02752885,  02753057,  03441124,  03441130,  04192545,  04192551</t>
  </si>
  <si>
    <t>2144804, 2144805</t>
  </si>
  <si>
    <t>Muse 500 mikrogramm</t>
  </si>
  <si>
    <t>6818212</t>
  </si>
  <si>
    <t>Revatio 0,8 mg/ml Injektionslösung - OP50ml</t>
  </si>
  <si>
    <t>G04BE03</t>
  </si>
  <si>
    <t>Sildenafilcitrat</t>
  </si>
  <si>
    <t>Pfizer Limited</t>
  </si>
  <si>
    <t>6818211</t>
  </si>
  <si>
    <t>+49 (0)800 5500634</t>
  </si>
  <si>
    <t>6818210</t>
  </si>
  <si>
    <t>Revatio 10 mg/ml Pulver zur Herstellung einer Suspension zum Einnehmen - OP32,27g</t>
  </si>
  <si>
    <t>Upjohn EESV</t>
  </si>
  <si>
    <t>Pollstimol</t>
  </si>
  <si>
    <t>G04BX</t>
  </si>
  <si>
    <t>Gräserpollen, TE mit Aceton/Aceton-Wasser (%-Angaben)</t>
  </si>
  <si>
    <t>Strathmann GmbH &amp; Co. KG</t>
  </si>
  <si>
    <t>+49 40 55905 0</t>
  </si>
  <si>
    <t>info@strathmann.de</t>
  </si>
  <si>
    <t>Hox alpha</t>
  </si>
  <si>
    <t>Brennnesselblätter, TE mit Propan-2-ol/Propan-2-ol-Wasser (%-Angaben)</t>
  </si>
  <si>
    <t>julia.wiedemann@dermapharm.com</t>
  </si>
  <si>
    <t>Tamsulosin AbZ 0,4 mg Hartkapseln mit veränderter Wirkstofffreisetzung</t>
  </si>
  <si>
    <t>G04CA02</t>
  </si>
  <si>
    <t>Tamsulosinhydrochlorid</t>
  </si>
  <si>
    <t>Hartkapsel mit veränderter Wirkstofffreisetzung</t>
  </si>
  <si>
    <t>Dutasterid/Tamsulosin Glenmark 0,5 mg/0,4 mg Hartkapseln</t>
  </si>
  <si>
    <t>G04CA52</t>
  </si>
  <si>
    <t>Dutasterid; Tamsulosinhydrochlorid</t>
  </si>
  <si>
    <t>Weichkapsel,wirkstoffhaltige Pellets,Hartkapsel</t>
  </si>
  <si>
    <t>PZN 6139881 wieder lieferbar</t>
  </si>
  <si>
    <t>16086297,  16086311</t>
  </si>
  <si>
    <t>Dutasterid/Tamsulosin AL 0,5 mg/0,4 mg Hartkapseln</t>
  </si>
  <si>
    <t>Weichkapsel,Pellets,Hartkapsel</t>
  </si>
  <si>
    <t>16239424,  16239430</t>
  </si>
  <si>
    <t>Tamsublock Duo 0,5 mg/0,4 mg Hartkapseln</t>
  </si>
  <si>
    <t>01882640,  01882657</t>
  </si>
  <si>
    <t>Duodart 0,5 mg / 0,4 mg Hartkapseln</t>
  </si>
  <si>
    <t>Hartkapsel,wirkstoffhaltige Pellets,Weichkapsel</t>
  </si>
  <si>
    <t>16139881,  16139898</t>
  </si>
  <si>
    <t>Die Packungsgröße 30 Hartkapseln ist voraussichtlich bereits ab Oktober 2023 wieder verfügbar.</t>
  </si>
  <si>
    <t>15869850,  15869867</t>
  </si>
  <si>
    <t>Dutasterid-Tamsulosin Zentiva 0,5 mg/0,4 mg Hartkapseln</t>
  </si>
  <si>
    <t>16218793,  16218801</t>
  </si>
  <si>
    <t>Dutasterid/Tamsulosin Mylan 0,5 mg/0,4 mg Hartkapseln</t>
  </si>
  <si>
    <t>Dutasterid/Tamsulosin Mylan 0,5 mg/0,4 mg Hartkapseln - Einreichungsnummer: 2202354</t>
  </si>
  <si>
    <t>Hartkapsel,Weichkapsel,wirkstoffhaltige Pellets</t>
  </si>
  <si>
    <t>Finasterid STADA 5 mg Filmtabletten</t>
  </si>
  <si>
    <t>G04CB01</t>
  </si>
  <si>
    <t>Finasterid</t>
  </si>
  <si>
    <t>997281, 01223400, 01290448, 01290454, 00667595, 00667603</t>
  </si>
  <si>
    <t>Synacthen</t>
  </si>
  <si>
    <t>H01AA02</t>
  </si>
  <si>
    <t>Tetracosactidhexaacetat</t>
  </si>
  <si>
    <t>089 55066750</t>
  </si>
  <si>
    <t>info@sigma-tau.de</t>
  </si>
  <si>
    <t>1290448, 1290454</t>
  </si>
  <si>
    <t>Synacthen Depot 1 mg</t>
  </si>
  <si>
    <t>Thyrogen 0,9mg Pulver zur Herstellung einer Injektionslösung</t>
  </si>
  <si>
    <t>H01AB01</t>
  </si>
  <si>
    <t>Thyrotropin alfa</t>
  </si>
  <si>
    <t>Genzyme Europe B.V.</t>
  </si>
  <si>
    <t>0800 04 36 996</t>
  </si>
  <si>
    <t>05459401,  05459418</t>
  </si>
  <si>
    <t>Norditropin FlexPro 10 mg/1,5 ml Injektionslösung in einem Fertigpen</t>
  </si>
  <si>
    <t>H01AC01</t>
  </si>
  <si>
    <t>Somatropin</t>
  </si>
  <si>
    <t>Novo Nordisk Pharma GmbH</t>
  </si>
  <si>
    <t>Injektionslösung, Fertigpen</t>
  </si>
  <si>
    <t>05459424,  05459430</t>
  </si>
  <si>
    <t>Norditropin FlexPro 15 mg/1,5 ml Injektionslösung in einem Fertigpen</t>
  </si>
  <si>
    <t>Norditropin FlexPro 15 mg/1,5 ml Injektionslösung in einem Fertigpen - Einreichungsnummer: 2178466</t>
  </si>
  <si>
    <t>05459387,  05459393</t>
  </si>
  <si>
    <t>Norditropin FlexPro 5 mg/1,5 ml Injektionslösung in einem Fertigpen</t>
  </si>
  <si>
    <t>SOMAVERT 20 mg Pulver und Lösungsmittel zur Herstellung einer Injektionslösung - OP(1+1)</t>
  </si>
  <si>
    <t>H01AX01</t>
  </si>
  <si>
    <t>Pegvisomant</t>
  </si>
  <si>
    <t>SOMAVERT 20 mg Pulver und Lösungsmittel zur Herstellung einer Injektionslösung - OP(30+30) - Einreichungsnummer: 2701873</t>
  </si>
  <si>
    <t>Glycylpressin 1mg</t>
  </si>
  <si>
    <t>H01BA</t>
  </si>
  <si>
    <t>Terlipressinmonoacetat 5 H&lt;2&gt;O</t>
  </si>
  <si>
    <t>09337853</t>
  </si>
  <si>
    <t>OCTOSTIM Dosierspray 1,5 mg/ml Nasenspray, Lösung</t>
  </si>
  <si>
    <t>H01BA02</t>
  </si>
  <si>
    <t>Desmopressinacetat</t>
  </si>
  <si>
    <t>0431-5852-0</t>
  </si>
  <si>
    <t>info-service@ferring.de</t>
  </si>
  <si>
    <t>MINIRIN parenteral 4 Mikrogramm/ml Injektionslösung - Einreichungsnummer: 0079556</t>
  </si>
  <si>
    <t>Nasenspray, Lösung</t>
  </si>
  <si>
    <t>00253014, 16259846</t>
  </si>
  <si>
    <t>MINIRIN 10µg Nasenspray, Lösung</t>
  </si>
  <si>
    <t>MINIRIN 60 Mikrogramm Lyophilisat zum Einnehmen - Einreichungsnummer: 2180334</t>
  </si>
  <si>
    <t>00868951,  03630167</t>
  </si>
  <si>
    <t>Nocutil 0,1 mg/ml - Nasenspray</t>
  </si>
  <si>
    <t>APOGEPHA Arzneimittel GmbH</t>
  </si>
  <si>
    <t>sbeier@apogepha.de</t>
  </si>
  <si>
    <t>geplante Umstellung auf neuen Pumpenaufsatz konnte wg. behördlicher Auflagen in AT nicht durchgeführt werden</t>
  </si>
  <si>
    <t>MINIRIN Rhinyle 10 µg Nasentropfen, Lösung</t>
  </si>
  <si>
    <t>H01BA02, V04CH</t>
  </si>
  <si>
    <t>Glycylpressin 0,1 mg/ml Injektionslösung</t>
  </si>
  <si>
    <t>H01BA04</t>
  </si>
  <si>
    <t>Terlipressin</t>
  </si>
  <si>
    <t>16200310, 17178096</t>
  </si>
  <si>
    <t>Oxytocin PANPHARMA 3 I.E./1 ml Injektionslösung</t>
  </si>
  <si>
    <t>H01BB02</t>
  </si>
  <si>
    <t>Oxytocin</t>
  </si>
  <si>
    <t>16200304, 17178104</t>
  </si>
  <si>
    <t>Oxytocin PANPHARMA 10 I.E./1 ml Injektionslösung</t>
  </si>
  <si>
    <t>Oxytocin 10 I.E. Hexal</t>
  </si>
  <si>
    <t>Injektionslösung/Konzentrat zur Herstellung einer Infusionslösung</t>
  </si>
  <si>
    <t>Oxytocin 5 I.E. Hexal</t>
  </si>
  <si>
    <t>Oxytocin 3 I.E. Hexal</t>
  </si>
  <si>
    <t>Kryptocur</t>
  </si>
  <si>
    <t>H01CA01</t>
  </si>
  <si>
    <t>Gonadorelinacetat (1:x) ((mit Angaben zum Essigsäure-Gehalt))</t>
  </si>
  <si>
    <t>+49 3834 3914 376</t>
  </si>
  <si>
    <t>RA-Kryptocur@cheplapharm.com</t>
  </si>
  <si>
    <t>Somatostatin Lyomark 3 mg</t>
  </si>
  <si>
    <t>H01CB01</t>
  </si>
  <si>
    <t>Somatostatinacetat</t>
  </si>
  <si>
    <t>Lyomark Pharma GmbH</t>
  </si>
  <si>
    <t>089 / 450808780</t>
  </si>
  <si>
    <t>sales@lyomark.de</t>
  </si>
  <si>
    <t>Lyophilisat zur Herstellung einer Infusionslösung</t>
  </si>
  <si>
    <t>00860926,  00860984</t>
  </si>
  <si>
    <t>Somatostatin 3 mg Inresa</t>
  </si>
  <si>
    <t>Inresa Arzneimittel GmbH</t>
  </si>
  <si>
    <t>qsra@inresa.com</t>
  </si>
  <si>
    <t>01128015,  06715970,  06715987</t>
  </si>
  <si>
    <t>Octreotid HEXAL 100 Mikrogramm/ml</t>
  </si>
  <si>
    <t>H01CB02</t>
  </si>
  <si>
    <t>Octreotidacetat (1:x)</t>
  </si>
  <si>
    <t>06715993,  06716001</t>
  </si>
  <si>
    <t>Octreotid HEXAL 50 Mikrogramm/ml</t>
  </si>
  <si>
    <t>14061235,  14061241</t>
  </si>
  <si>
    <t>Octreo-ratiopharm 30 mg Pulver und Lösungsmittel zur Herstellung einer Depot-Injektionssuspension</t>
  </si>
  <si>
    <t>Octreotidacetat (1:x) ((mit Angaben zum Essigsäure-Gehalt))</t>
  </si>
  <si>
    <t>0731 402 7028</t>
  </si>
  <si>
    <t>Julian.Simon@ratiopharm.de</t>
  </si>
  <si>
    <t>Pulver zur Herstellung einer Depot-Injektionssuspension,Lösungsmittel</t>
  </si>
  <si>
    <t>14061212,  14061229</t>
  </si>
  <si>
    <t>Octreo-ratiopharm 20 mg Pulver und Lösungsmittel zur Herstellung einer Depot-Injektionssuspension</t>
  </si>
  <si>
    <t>0731 4027028</t>
  </si>
  <si>
    <t>14061198,  14061206</t>
  </si>
  <si>
    <t>Octreo-ratiopharm 10 mg Pulver und Lösungsmittel zur Herstellung einer Depot-Injektionssuspension</t>
  </si>
  <si>
    <t>Diprosone Depot 1 ml Ampulle</t>
  </si>
  <si>
    <t>H02AB, R</t>
  </si>
  <si>
    <t>Betamethasondihydrogenphosphat-Dinatrium (Ph.Eur.); Betamethasondipropionat (Ph.Eur.)</t>
  </si>
  <si>
    <t>simone.saenz@organon.com</t>
  </si>
  <si>
    <t>Erhöhte Verkäufe nach Sperrung aller Chargen aus Qualitätsgründen</t>
  </si>
  <si>
    <t>Celestamine N 0,5 liquidum</t>
  </si>
  <si>
    <t>H02AB01</t>
  </si>
  <si>
    <t>Betamethason</t>
  </si>
  <si>
    <t>Infectodexakrupp 2 mg/5 ml Saft - Einreichungsnummer: 2173318</t>
  </si>
  <si>
    <t>Celestan Depot</t>
  </si>
  <si>
    <t>Betamethasonacetat (Ph.Eur.); Betamethasondihydrogenphosphat-Dinatrium (Ph.Eur.)</t>
  </si>
  <si>
    <t>Dexamethason 8 mg Jenapharm</t>
  </si>
  <si>
    <t>H02AB02</t>
  </si>
  <si>
    <t>Dexamethason</t>
  </si>
  <si>
    <t>Dexamethason 8 mg Jenapharm - Einreichungsnummer: 2142862</t>
  </si>
  <si>
    <t>02214739</t>
  </si>
  <si>
    <t>Dexamethason-ratiopharm 4 mg Tabletten</t>
  </si>
  <si>
    <t>08704427,  14141916</t>
  </si>
  <si>
    <t>Dexa 8mg inject JENAPHARM</t>
  </si>
  <si>
    <t>Dexamethasondihydrogenphosphat-Dinatrium (Ph.Eur.)</t>
  </si>
  <si>
    <t>Dexa 8mg inject JENAPHARM - Einreichungsnummer: 2138321</t>
  </si>
  <si>
    <t>Dexa 4mg inject JENAPHARM</t>
  </si>
  <si>
    <t>Dexa 40mg inject JENAPHARM</t>
  </si>
  <si>
    <t>Corona-bedingter Personalmangel durch erhöhten Krankenstand</t>
  </si>
  <si>
    <t>Dexa 40mg inject JENAPHARM - Einreichungsnummer: 2138439</t>
  </si>
  <si>
    <t>zulassung-sekretariat@mibegmbh.dee</t>
  </si>
  <si>
    <t>Dexamethason acis 4 mg Injektionslösung</t>
  </si>
  <si>
    <t>08944 23 246 220</t>
  </si>
  <si>
    <t>Erhöhte Nachfrage und Kapazitätsprobleme bei der Verpackung</t>
  </si>
  <si>
    <t>Dexa 4mg inject JENAPHARM - Einreichungsnummer: 2138185</t>
  </si>
  <si>
    <t>08704404,  08704427,  08754916,  14141916</t>
  </si>
  <si>
    <t>08754796,  14141879</t>
  </si>
  <si>
    <t>01436478,  01436484</t>
  </si>
  <si>
    <t>08704344,  14141879</t>
  </si>
  <si>
    <t>08704396,  08704404,  08704427,  14141916</t>
  </si>
  <si>
    <t>04007832,  06342894</t>
  </si>
  <si>
    <t>Dexamethason 0,5 mg JENAPHARM</t>
  </si>
  <si>
    <t>Dexamethason 0,5 mg JENAPHARM - Einreichungsnummer: 3000402</t>
  </si>
  <si>
    <t>01276885,  01276916</t>
  </si>
  <si>
    <t>Dexahexal 4 mg</t>
  </si>
  <si>
    <t>Alternative PZNs sind vorhanden</t>
  </si>
  <si>
    <t>Dexamethason acis 8 mg</t>
  </si>
  <si>
    <t>089 44 23 246 0</t>
  </si>
  <si>
    <t>Dexamethason acis 8 mg - Einreichungsnummer: 2161214</t>
  </si>
  <si>
    <t>Dexahexal 8 mg</t>
  </si>
  <si>
    <t>08704321,  08704338,  08704344,  08704367,  08754796,  14141879</t>
  </si>
  <si>
    <t>Fortecortin Inject 100 mg Injektionslösung in einer Ampulle Fortecortin Inject 100 mg Injektionslösung in einer Fertigspritze</t>
  </si>
  <si>
    <t>08704404,  14141916</t>
  </si>
  <si>
    <t>Dexamethason acis 8 mg Injektionslösung</t>
  </si>
  <si>
    <t>Dexamethason acis 8 mg Injektionslösung - Einreichungsnummer: 2140259</t>
  </si>
  <si>
    <t>8693706, 8693681</t>
  </si>
  <si>
    <t>PREDNI M TABLINEN 8 mg</t>
  </si>
  <si>
    <t>H02AB04</t>
  </si>
  <si>
    <t>Methylprednisolon</t>
  </si>
  <si>
    <t>Medinfo.DE@Zentiva.com</t>
  </si>
  <si>
    <t>PREDNI M TABLINEN 16mg</t>
  </si>
  <si>
    <t>PREDNI M Tablinen 4 mg</t>
  </si>
  <si>
    <t>04887827, 04881664, 04881641</t>
  </si>
  <si>
    <t>Methylprednisolon 32 mg JENAPHARM</t>
  </si>
  <si>
    <t>Methylprednisolon 16mg JENAPHARM - Einreichungsnummer: 2132492</t>
  </si>
  <si>
    <t>08424231,  08424248</t>
  </si>
  <si>
    <t>Methylprednisolon 16mg JENAPHARM</t>
  </si>
  <si>
    <t>zulassung@mibegmbh.de</t>
  </si>
  <si>
    <t>Methylprednisolut 1000 mg</t>
  </si>
  <si>
    <t>Natrium(methylprednisolon-21-succinat)</t>
  </si>
  <si>
    <t>Methylprednisolut 1000 mg - Einreichungsnummer: 2181076</t>
  </si>
  <si>
    <t>Pulver zur Herstellung einer Injektions- bzw. Infusionslösung,Lösungsmittel</t>
  </si>
  <si>
    <t>09507663,  09507692,  14141974</t>
  </si>
  <si>
    <t>Methylprednisolut 250 mg</t>
  </si>
  <si>
    <t>Coronabedingter Arbeitskräftemangel</t>
  </si>
  <si>
    <t>Methylprednisolon 4mg JENAPHARM</t>
  </si>
  <si>
    <t>Methylprednisolut 250 mg - Einreichungsnummer: 2181075</t>
  </si>
  <si>
    <t>08424188,  08424194,  08424219</t>
  </si>
  <si>
    <t>Methylprednisolon 8mg JENAPHARM</t>
  </si>
  <si>
    <t>08424136,  08424142</t>
  </si>
  <si>
    <t>Methylprednisolon 4mg JENAPHARM - Einreichungsnummer: 2132484</t>
  </si>
  <si>
    <t>Methylprednisolut 16 mg</t>
  </si>
  <si>
    <t>Urbason solubile forte 1000 mg</t>
  </si>
  <si>
    <t>FIDIA FARMACEUTICI SPA</t>
  </si>
  <si>
    <t>regulatory@fidiapharma.it</t>
  </si>
  <si>
    <t>Sanofi-Aventis Germany GmbH is going to stop the production of Urbason and we are working since last year for switching to a new manufacturer of the finish product.</t>
  </si>
  <si>
    <t>Urbason solubile forte 1000 mg - Einreichungsnummer: 0085717</t>
  </si>
  <si>
    <t>4969235, 01268288, 01304713, 08795387</t>
  </si>
  <si>
    <t>Predni H Injekt 25 mg</t>
  </si>
  <si>
    <t>H02AB06</t>
  </si>
  <si>
    <t>Prednisolon GALEN Injekt 25 mg - Einreichungsnummer: 0041039</t>
  </si>
  <si>
    <t>4969229, 01268259, 01304707, 08795364</t>
  </si>
  <si>
    <t>Predni H Injekt 10 mg</t>
  </si>
  <si>
    <t>Prednisolon GALEN Injekt 10 mg - Einreichungsnummer: 0064827</t>
  </si>
  <si>
    <t>2261561, 02261578, 02261584, 02261590</t>
  </si>
  <si>
    <t>Predni 25 mg Lichtenstein N</t>
  </si>
  <si>
    <t>+49 30 91580 3779</t>
  </si>
  <si>
    <t>Decortin H 1 mg Tabletten</t>
  </si>
  <si>
    <t>Prednisolon</t>
  </si>
  <si>
    <t>01677897</t>
  </si>
  <si>
    <t>Solu-Decortin H 1000mg</t>
  </si>
  <si>
    <t>Natrium(prednisolon-21-succinat)</t>
  </si>
  <si>
    <t>01659089</t>
  </si>
  <si>
    <t>Solu-Decortin H 250mg</t>
  </si>
  <si>
    <t>Okrido</t>
  </si>
  <si>
    <t>Prednisolondihydrogenphosphat-Dinatrium (Ph.Eur.)</t>
  </si>
  <si>
    <t>Pharmapol-Arzneimittelvertrieb GmbH</t>
  </si>
  <si>
    <t>+49 48 21 90 06 06 21</t>
  </si>
  <si>
    <t>regaffairs@pharmapol.de</t>
  </si>
  <si>
    <t>Erhöhte Abverkäufe aufgrund übermäßiger Bevorratung durch den Handel</t>
  </si>
  <si>
    <t>Prednisolut 25 mg L</t>
  </si>
  <si>
    <t>Prednisolut 25 mg L - Einreichungsnummer: 2140461</t>
  </si>
  <si>
    <t xml:space="preserve">+49 6151 6285-667 </t>
  </si>
  <si>
    <t>local-ra-msgermany@merckgroup.com</t>
  </si>
  <si>
    <t>Prednisolon 1mg JENAPHARM - Einreichungsnummer: 2140631</t>
  </si>
  <si>
    <t>Prednisolon 20 mg Jenapharm</t>
  </si>
  <si>
    <t>Prednisolon 20 mg Jenapharm - Einreichungsnummer: 2140467</t>
  </si>
  <si>
    <t>01343587,  14142169</t>
  </si>
  <si>
    <t>Prednisolut 50mg L</t>
  </si>
  <si>
    <t>Prednisolut 50mg L - Einreichungsnummer: 2143114</t>
  </si>
  <si>
    <t>01343446,  01343469,  14142092</t>
  </si>
  <si>
    <t>Prednisolut 10 mg L</t>
  </si>
  <si>
    <t>Prednisolut 10 mg L - Einreichungsnummer: 2140460</t>
  </si>
  <si>
    <t>Prednisolon acis 10mg</t>
  </si>
  <si>
    <t>Prednisolon acis 10mg - Einreichungsnummer: 2150528</t>
  </si>
  <si>
    <t>Solu-Decortin H 25mg</t>
  </si>
  <si>
    <t>02471407,  02471436,  14191239</t>
  </si>
  <si>
    <t>Decortin H 10 mg Tabletten</t>
  </si>
  <si>
    <t>00263107,  00263113,  14191274</t>
  </si>
  <si>
    <t>Decortin H 50 mg Tabletten</t>
  </si>
  <si>
    <t>01343618,  01343653,  14142100</t>
  </si>
  <si>
    <t>Prednisolut 100 mg L</t>
  </si>
  <si>
    <t>Prednisolut 100 mg L - Einreichungsnummer: 2140401</t>
  </si>
  <si>
    <t>00235803,  00235826</t>
  </si>
  <si>
    <t>Solu-Decortin H 100mg</t>
  </si>
  <si>
    <t>Prednisolon 10mg JENAPHARM</t>
  </si>
  <si>
    <t>Prednisolon 10mg JENAPHARM - Einreichungsnummer: 2155205</t>
  </si>
  <si>
    <t>00503439,  14142152</t>
  </si>
  <si>
    <t>Prednisolut 250 mg</t>
  </si>
  <si>
    <t>Prednisolut 250 mg - Einreichungsnummer: 2140402</t>
  </si>
  <si>
    <t>Solu-Decortin H 50mg</t>
  </si>
  <si>
    <t>Prednisolon acis 5mg</t>
  </si>
  <si>
    <t>01343593,  01343601,  01343618,  01343653,  14142100</t>
  </si>
  <si>
    <t>01300419,  01300425</t>
  </si>
  <si>
    <t>Prednisolon acis 5mg - Einreichungsnummer: 2150545</t>
  </si>
  <si>
    <t>01343564,  01343570,  01343587,  14142169</t>
  </si>
  <si>
    <t>Prednisolon 1mg JENAPHARM</t>
  </si>
  <si>
    <t>01343529,  01343535,  01343541,  14142146</t>
  </si>
  <si>
    <t>00134601,  01343593,  01343618,  01343653,  14142100</t>
  </si>
  <si>
    <t>Prednisolon acis 20mg</t>
  </si>
  <si>
    <t>Prednisolon acis 50mg</t>
  </si>
  <si>
    <t>Prednisolon acis 20mg - Einreichungsnummer: 2145688</t>
  </si>
  <si>
    <t>01343564,  01343570,  01343587</t>
  </si>
  <si>
    <t>01343529,  01343541</t>
  </si>
  <si>
    <t>Lodotra 5 mg Tabletten mit veränderter Wirkstofffreisetzung</t>
  </si>
  <si>
    <t>H02AB07</t>
  </si>
  <si>
    <t>Prednison</t>
  </si>
  <si>
    <t>Horizon Therapeutics Ireland Designated Activity Company</t>
  </si>
  <si>
    <t>+49 69 506029 000</t>
  </si>
  <si>
    <t>info@mundipharma.de</t>
  </si>
  <si>
    <t>09065969</t>
  </si>
  <si>
    <t>Lodotra 2 mg Tabletten mit veränderter Wirkstofffreisetzung</t>
  </si>
  <si>
    <t>09065952</t>
  </si>
  <si>
    <t>Lodotra 1 mg Tabletten mit veränderter Wirkstofffreisetzung</t>
  </si>
  <si>
    <t>Rectodelt 100</t>
  </si>
  <si>
    <t>Rectodelt - Einreichungsnummer: 2179497</t>
  </si>
  <si>
    <t>00178347,  04689872,  04689895,  04862112,  14191191</t>
  </si>
  <si>
    <t>Decortin 20 mg Tabletten</t>
  </si>
  <si>
    <t>Prednison acis 20 mg - Einreichungsnummer: 2146168</t>
  </si>
  <si>
    <t>00262823,  00262846,  14191216</t>
  </si>
  <si>
    <t>Decortin 50 mg Tabletten</t>
  </si>
  <si>
    <t>Prednison 50mg GALEN - Einreichungsnummer: 2133642</t>
  </si>
  <si>
    <t>Prednison acis 50mg</t>
  </si>
  <si>
    <t>Volon A 40 - 5ml</t>
  </si>
  <si>
    <t>H02AB08</t>
  </si>
  <si>
    <t>Kristallsuspension</t>
  </si>
  <si>
    <t>Volon A solubile 10 mg</t>
  </si>
  <si>
    <t>Triamcinolonacetonid-21-dihydrogenphosphat-Dikaliumsalz</t>
  </si>
  <si>
    <t>02751667,  02751673</t>
  </si>
  <si>
    <t>Volon A solubile 80 mg</t>
  </si>
  <si>
    <t>Volon 4 mg</t>
  </si>
  <si>
    <t>Triamcinolon</t>
  </si>
  <si>
    <t>Volon A 40</t>
  </si>
  <si>
    <t>Die Packungsgrößen 1x 1ml (Ampulle) und 5x 1 ml (Ampulle) sind während der Dauer der Lieferunfähigkeit voraussichtlich weiterhin lieferbar.</t>
  </si>
  <si>
    <t>Volon A 10 - 5ml</t>
  </si>
  <si>
    <t>Volon A 40 - Einreichungsnummer: 2113068</t>
  </si>
  <si>
    <t>Volon 4 mg - Einreichungsnummer: 2113064</t>
  </si>
  <si>
    <t>03347804,  03626527,  15024354</t>
  </si>
  <si>
    <t>Lederlon 20 mg</t>
  </si>
  <si>
    <t>Triamcinolonhexacetonid</t>
  </si>
  <si>
    <t>Volon A solubile 40 mg</t>
  </si>
  <si>
    <t>04612906,  11213101</t>
  </si>
  <si>
    <t>Hydrocortison acis 10 mg</t>
  </si>
  <si>
    <t>H02AB09</t>
  </si>
  <si>
    <t>Hydrocortison</t>
  </si>
  <si>
    <t>Hydrocortison acis 10 mg - Einreichungsnummer: 2152306</t>
  </si>
  <si>
    <t>04013809,  04996692</t>
  </si>
  <si>
    <t>Hydrocortison 10 mg Jenapharm</t>
  </si>
  <si>
    <t>Hydrocortison 10 mg Jenapharm - Einreichungsnummer: 3000401</t>
  </si>
  <si>
    <t>03862386</t>
  </si>
  <si>
    <t>Hydrocortison PANPHARMA 100 mg</t>
  </si>
  <si>
    <t>Natrium(hydrocortison-21-succinat)</t>
  </si>
  <si>
    <t>Pulver zur Herstellung einer Injektions-/Infusionslösung,Lösungsmittel</t>
  </si>
  <si>
    <t>Hydrocortison PANPHARMA 250 mg</t>
  </si>
  <si>
    <t>HYDROCORTISON Pfizer 250 mg sine - Einreichungsnummer: 0177454</t>
  </si>
  <si>
    <t>02338111, 04993742</t>
  </si>
  <si>
    <t>Syntestan 2,5mg</t>
  </si>
  <si>
    <t>H02AB14</t>
  </si>
  <si>
    <t>Cloprednol</t>
  </si>
  <si>
    <t>servizioclienti@teofarma.it</t>
  </si>
  <si>
    <t>Syntestan 5,0 mg - Einreichungsnummer: 2101413</t>
  </si>
  <si>
    <t>00842331</t>
  </si>
  <si>
    <t>L-Thyroxin Henning Tropfen</t>
  </si>
  <si>
    <t>H03AA01</t>
  </si>
  <si>
    <t>Levothyroxin-Natrium  x H&lt;2&gt;O</t>
  </si>
  <si>
    <t>0180  2 22 20 10</t>
  </si>
  <si>
    <t>Euthyrox 88 Mikrogramm Tabletten</t>
  </si>
  <si>
    <t>Levothyroxin-Natrium</t>
  </si>
  <si>
    <t>Euthyrox 75 Mikrogramm Tabletten</t>
  </si>
  <si>
    <t>Euthyrox 50 Mikrogramm Tabletten</t>
  </si>
  <si>
    <t>Euthyrox 150 Mikrogramm Tabletten</t>
  </si>
  <si>
    <t>Euthyrox 175 Mikrogramm Tabletten</t>
  </si>
  <si>
    <t>L-Thyrox HEXAL 200 Mikrogramm</t>
  </si>
  <si>
    <t>L-Thyrox HEXAL 175 Mikrogramm</t>
  </si>
  <si>
    <t>L-Thyrox HEXAL 150 Mikrogramm</t>
  </si>
  <si>
    <t>06488876</t>
  </si>
  <si>
    <t>L-Thyroxin 100 - 1 A Pharma</t>
  </si>
  <si>
    <t>L-Thyroxin 88 - 1 A Pharma</t>
  </si>
  <si>
    <t>L-Thyroxin 75 - 1 A Pharma</t>
  </si>
  <si>
    <t>L-Thyroxin 25 - 1 A Pharma</t>
  </si>
  <si>
    <t>06488899</t>
  </si>
  <si>
    <t>L-Thyroxin 112 - 1 A Pharma</t>
  </si>
  <si>
    <t>L-Thyroxin 125 - 1 A Pharma</t>
  </si>
  <si>
    <t>L-Thyroxin 200 - 1 A Pharma</t>
  </si>
  <si>
    <t>L-Thyroxin 175 - 1 A Pharma</t>
  </si>
  <si>
    <t>L-Thyroxin 150 - 1 A Pharma</t>
  </si>
  <si>
    <t>L-Thyroxin 50 - 1 A Pharma</t>
  </si>
  <si>
    <t>02056482</t>
  </si>
  <si>
    <t>L-Thyroxin Henning inject</t>
  </si>
  <si>
    <t>Thyrotardin-inject. - Einreichungsnummer: 2150885</t>
  </si>
  <si>
    <t>Thevier 100</t>
  </si>
  <si>
    <t>Levothyroxin-Natrium x H&lt;2&gt;O</t>
  </si>
  <si>
    <t>Thevier 50</t>
  </si>
  <si>
    <t>Thevier 100 - Einreichungsnummer: 0080312</t>
  </si>
  <si>
    <t>L-Thyrox HEXAL 125 Mikrogramm</t>
  </si>
  <si>
    <t>00811856,  14295223</t>
  </si>
  <si>
    <t>00811827,  14295217</t>
  </si>
  <si>
    <t>00811796,  00811804,  14295200</t>
  </si>
  <si>
    <t>00811773,  14295192</t>
  </si>
  <si>
    <t>3021327, 03021333</t>
  </si>
  <si>
    <t>Jodthyrox</t>
  </si>
  <si>
    <t>H03AA01, H03CA</t>
  </si>
  <si>
    <t>Kaliumiodid; Levothyroxin-Natrium</t>
  </si>
  <si>
    <t>L-Thyrox Jod HEXAL 100 µg/100 µg - Einreichungsnummer: 2144743</t>
  </si>
  <si>
    <t>04928443</t>
  </si>
  <si>
    <t>Thyrotardin-inject.</t>
  </si>
  <si>
    <t>H03AA02</t>
  </si>
  <si>
    <t>Liothyronin-Natrium</t>
  </si>
  <si>
    <t>L-Thyroxin Henning inject - Einreichungsnummer: 2148613</t>
  </si>
  <si>
    <t>1525383, 01525360</t>
  </si>
  <si>
    <t>Novothyral 100</t>
  </si>
  <si>
    <t>H03AA03</t>
  </si>
  <si>
    <t>Levothyroxin-Natrium; Liothyronin-Natrium</t>
  </si>
  <si>
    <t>3116795, 3116803</t>
  </si>
  <si>
    <t>Novothyral 75</t>
  </si>
  <si>
    <t>L-Thyrox Jod HEXAL 112 µg/150 µg</t>
  </si>
  <si>
    <t>H03AA51</t>
  </si>
  <si>
    <t>Kaliumiodid; Levothyroxin-Natrium  x H&lt;2&gt;O</t>
  </si>
  <si>
    <t>L-Thyrox Jod HEXAL 88 µg/150 µg</t>
  </si>
  <si>
    <t>04116024</t>
  </si>
  <si>
    <t>L-Thyrox Jod HEXAL 50 µg/150 µg</t>
  </si>
  <si>
    <t>L-Thyrox Jod HEXAL 150 µg/150 µg</t>
  </si>
  <si>
    <t>L-Thyrox Jod HEXAL 125 µg/150 µg</t>
  </si>
  <si>
    <t>L-Thyrox Jod HEXAL 100 µg/150 µg</t>
  </si>
  <si>
    <t>L-Thyrox Jod HEXAL 75 µg/150 µg</t>
  </si>
  <si>
    <t>L-Thyrox Jod HEXAL 100 µg/100 µg</t>
  </si>
  <si>
    <t>02708588, 02708594</t>
  </si>
  <si>
    <t>Thiamazol 5mg Henning</t>
  </si>
  <si>
    <t>H03BB02</t>
  </si>
  <si>
    <t>Thiamazol</t>
  </si>
  <si>
    <t>Thiamazol 20 mg Henning - Einreichungsnummer: 2101957</t>
  </si>
  <si>
    <t>Thiamazol 40mg inject. Henning</t>
  </si>
  <si>
    <t xml:space="preserve">Eingeschränkt lieferfähig. </t>
  </si>
  <si>
    <t>Irenat Tropfen</t>
  </si>
  <si>
    <t>H03BC</t>
  </si>
  <si>
    <t>Natriumperchlorat 1 H&lt;2&gt;O</t>
  </si>
  <si>
    <t>Alliance Pharma (Ireland) Limited</t>
  </si>
  <si>
    <t>arzneimittelsicherheit@alliancepharma.co.uk</t>
  </si>
  <si>
    <t>Aktuell kann das Produkt zum gesetzlich festgelegten Herstellerabgabepreis von 7,23 €/Packung nicht hergestellt werden, da der bisherige Wirkstoffhersteller die Verträge aus wirtschaftlichen Gründen gekündigt hat. Neuer Wirkstoffhersteller wurde gefunden, Produktion ist jedoch für 7,23 €/Packung nicht möglich. Alliance ist seit Juni 2023 im Gespräch mit dem Bundesministerium für Gesundheit, um eine wirtschaftliche Lösung zu finden und das Produkt wieder herzustellen.</t>
  </si>
  <si>
    <t>270998, 00271006</t>
  </si>
  <si>
    <t>Jodetten Henning 1 x wöchentlich</t>
  </si>
  <si>
    <t>H03CA</t>
  </si>
  <si>
    <t>Kaliumiodid</t>
  </si>
  <si>
    <t>04998461,  04998478</t>
  </si>
  <si>
    <t>Glucagen</t>
  </si>
  <si>
    <t>H04AA01</t>
  </si>
  <si>
    <t>Glucagonhydrochlorid (1:x) ((mit Angaben zum Chlorwasserstoff-Gehalt))</t>
  </si>
  <si>
    <t>Glucagen Hypokit - Einreichungsnummer: 2128288</t>
  </si>
  <si>
    <t>Glucagonhydrochlorid (1:x)</t>
  </si>
  <si>
    <t>Baqsimi 3 mg Nasenpulver in einem Einzeldosisbehältnis</t>
  </si>
  <si>
    <t>Glucagon</t>
  </si>
  <si>
    <t>Nasenpulver</t>
  </si>
  <si>
    <t>+496172 2732432</t>
  </si>
  <si>
    <t>06172 - 273 2222</t>
  </si>
  <si>
    <t>Glucagen Hypokit</t>
  </si>
  <si>
    <t>Natpar 100 Mikrogramm/Dosis Pulver und Lösungsmittel zur Herstellung einer Injektionslösung in Fertigpen - OP(2x(37,37+1,13g))</t>
  </si>
  <si>
    <t>H05AA03</t>
  </si>
  <si>
    <t>Parathyroidhormon vom Menschen</t>
  </si>
  <si>
    <t>Natpar 50 Mikrogramm/Dosis Pulver und Lösungsmittel zur Herstellung einer Injektionslösung in Fertigpen - OP(2x(36,56+1,13g)) - Einreichungsnummer: 2712085</t>
  </si>
  <si>
    <t>16038973,  16038996</t>
  </si>
  <si>
    <t>Cinacalcet Glenmark 90 mg Filmtabletten</t>
  </si>
  <si>
    <t>H05BX01</t>
  </si>
  <si>
    <t>Cinacalcethydrochlorid</t>
  </si>
  <si>
    <t>16038938,  16038944</t>
  </si>
  <si>
    <t>Cinacalcet Glenmark 60 mg Filmtabletten</t>
  </si>
  <si>
    <t>16038915,  16038921</t>
  </si>
  <si>
    <t>Cinacalcet Glenmark 30 mg Filmtabletten</t>
  </si>
  <si>
    <t>10762805,  10762811</t>
  </si>
  <si>
    <t>Paricalcitol SUN 5 Mikrogramm/ml Injektionslösung</t>
  </si>
  <si>
    <t>H05BX02</t>
  </si>
  <si>
    <t>Paricalcitol</t>
  </si>
  <si>
    <t>Sun Pharmaceuticals Germany GmbH</t>
  </si>
  <si>
    <t>Paricalcitol SUN 2 Mikrogramm/ml Injektionslösung</t>
  </si>
  <si>
    <t>00364475</t>
  </si>
  <si>
    <t>Oraycea 40 mg Hartkapseln mit veränderter Wirkstofffreisetzung</t>
  </si>
  <si>
    <t>J01AA02</t>
  </si>
  <si>
    <t>Soolantra 10 mg/g Creme - Einreichungsnummer: 2192429</t>
  </si>
  <si>
    <t>6437057, 06437063</t>
  </si>
  <si>
    <t>Doxycyclin 200 - 1 A Pharma</t>
  </si>
  <si>
    <t>04632582,  04835351,  07574394</t>
  </si>
  <si>
    <t>Infectomox 750 Saft</t>
  </si>
  <si>
    <t>J01CA</t>
  </si>
  <si>
    <t>Amoxicillin-Trihydrat</t>
  </si>
  <si>
    <t>INFECTOPHARM Arzneimittel und Consilium GmbH</t>
  </si>
  <si>
    <t>06252/95-7000</t>
  </si>
  <si>
    <t>shortages@infectopharm.com</t>
  </si>
  <si>
    <t>Erhöhte Absätze durch Ausfall der Mitbewerber</t>
  </si>
  <si>
    <t>Infectomox 250 Saft - Einreichungsnummer: 2124661</t>
  </si>
  <si>
    <t>Ampicillin-ratiopharm 2,0g</t>
  </si>
  <si>
    <t>J01CA01</t>
  </si>
  <si>
    <t>Ampicillin-Natrium</t>
  </si>
  <si>
    <t>Ampicillin-ratiopharm 5,0g - Einreichungsnummer: 0614452</t>
  </si>
  <si>
    <t>Ampicillin-ratiopharm 1,0g</t>
  </si>
  <si>
    <t>Ampicillin-ratiopharm 5,0g</t>
  </si>
  <si>
    <t>Ampicillin-ratiopharm 2,0g - Einreichungsnummer: 0613441</t>
  </si>
  <si>
    <t>Ampicillin-ratiopharm 0,5g</t>
  </si>
  <si>
    <t>0172 6802672</t>
  </si>
  <si>
    <t xml:space="preserve">Chargensperrung der 2 g wurde aufgehoben </t>
  </si>
  <si>
    <t xml:space="preserve">0172 6802672 </t>
  </si>
  <si>
    <t xml:space="preserve">Chargensperrung wurde aufgehoben </t>
  </si>
  <si>
    <t xml:space="preserve">Julian.Simon@teva.de </t>
  </si>
  <si>
    <t>4807722</t>
  </si>
  <si>
    <t>Ampicillin+Sulbactam-ratiopharm 2000/1000 mg p.i.</t>
  </si>
  <si>
    <t>J01CA01, J01CG01</t>
  </si>
  <si>
    <t>Ampicillin-Natrium; Sulbactam-Natrium</t>
  </si>
  <si>
    <t>08 00 / 800 50 13</t>
  </si>
  <si>
    <t>Ampicillin/Sulbactam Kabi 2000mg/1000mg</t>
  </si>
  <si>
    <t>06172 686 7883</t>
  </si>
  <si>
    <t>Ampicillin/Sulbactam Kabi 1000mg/500mg - Einreichungsnummer: 2160824</t>
  </si>
  <si>
    <t xml:space="preserve">Die alternative PZN ist für die Dauer des Engpasses mit 50 % des Monatsbedarfs der Kunden lieferbar, um Kunden, die üblicherweise die vom Lieferengpass betroffene PZN beziehen, ebenfalls 50 % ihres Bedarfes liefern zu können. </t>
  </si>
  <si>
    <t>00658805</t>
  </si>
  <si>
    <t>Amoxi 1000-1 A Pharma</t>
  </si>
  <si>
    <t>J01CA04</t>
  </si>
  <si>
    <t>Amoxi 500 TS - 1 A Pharma</t>
  </si>
  <si>
    <t>02394411, 00427715, 02394428, 07356272</t>
  </si>
  <si>
    <t>Amoxicillin-ratiopharm 1000mg Filmtabletten</t>
  </si>
  <si>
    <t>Amoxicillin-ratiopharm 500mg/5ml TS</t>
  </si>
  <si>
    <t>Amoxi 500 - 1 A Pharma</t>
  </si>
  <si>
    <t>07727283, 03126575, 03126581, 01801481</t>
  </si>
  <si>
    <t>Amoxihexal 1000</t>
  </si>
  <si>
    <t>Amoxi 250 TS - 1 A Pharma</t>
  </si>
  <si>
    <t>AmoxiHEXAL 1000 mg HP</t>
  </si>
  <si>
    <t>Infectomox 500 Saft</t>
  </si>
  <si>
    <t>kontakt@infectopharm.com</t>
  </si>
  <si>
    <t>Erhöhte Nachfrage wegen Lieferunfähigkeit von Mitbewerbern</t>
  </si>
  <si>
    <t>Infectomox 750 Saft - Einreichungsnummer: 0727386</t>
  </si>
  <si>
    <t>00038706,  04751424,  04751430,  13156382,  13893264</t>
  </si>
  <si>
    <t>Amoxicillin AL 1000</t>
  </si>
  <si>
    <t>03126546,  03126552</t>
  </si>
  <si>
    <t>Amoxihexal 750</t>
  </si>
  <si>
    <t>04751476,  04751482,  09424405</t>
  </si>
  <si>
    <t>Amoxicillin AL 500</t>
  </si>
  <si>
    <t>Ware verfügbar.</t>
  </si>
  <si>
    <t>03126500,  03126517</t>
  </si>
  <si>
    <t>AmoxiHEXAL 500 mg Filmtabletten</t>
  </si>
  <si>
    <t>01801481,  03126575,  03126581</t>
  </si>
  <si>
    <t>Amoxihexal forte Saft</t>
  </si>
  <si>
    <t>Amoxihexal Saft</t>
  </si>
  <si>
    <t>Einstellen des Inverkehrbringens angezeigt</t>
  </si>
  <si>
    <t>00658805,  00658811,  00658828</t>
  </si>
  <si>
    <t>Amoxihexal 1000 - Einreichungsnummer: 2103604</t>
  </si>
  <si>
    <t>Amoxicillin-ratiopharm 250mg/5ml TS</t>
  </si>
  <si>
    <t>04751588,  09424428</t>
  </si>
  <si>
    <t>Amoxicillin AL TS</t>
  </si>
  <si>
    <t>Ware wieder verfügbar!</t>
  </si>
  <si>
    <t>Amoxicillin STADA 1000mg Filmtabletten</t>
  </si>
  <si>
    <t>Amoxicillin Denk 500 mg Tabletten</t>
  </si>
  <si>
    <t>Amoxicillin Denk 1000 mg Tabletten</t>
  </si>
  <si>
    <t>Infectomox 250 Saft</t>
  </si>
  <si>
    <t>06252 95-7000</t>
  </si>
  <si>
    <t>00658774,  00658780,  00658797</t>
  </si>
  <si>
    <t>Amoxi 750 - 1 A Pharma</t>
  </si>
  <si>
    <t>Kapazitätsengpass in Kombination mit erhöhter Nachfrage</t>
  </si>
  <si>
    <t>11601369, 11601352</t>
  </si>
  <si>
    <t>X-SYSTO 400 mg Filmtabletten</t>
  </si>
  <si>
    <t>J01CA08</t>
  </si>
  <si>
    <t>Pivmecillinamhydrochlorid</t>
  </si>
  <si>
    <t>peter.vogel@pharmasupport.com</t>
  </si>
  <si>
    <t>Pivmelam 400 mg - Einreichungsnummer: 2197332</t>
  </si>
  <si>
    <t>X-SYSTO 400 mg Filmtabletten - Einreichungsnummer: 2190405</t>
  </si>
  <si>
    <t>15240371, 11240635</t>
  </si>
  <si>
    <t>Piperacillin Eberth 4,0 g</t>
  </si>
  <si>
    <t>J01CA12</t>
  </si>
  <si>
    <t>Piperacillin-Natrium</t>
  </si>
  <si>
    <t>Dr. Friedrich Eberth Arzneimittel GmbH</t>
  </si>
  <si>
    <t>09628 - 927670</t>
  </si>
  <si>
    <t>15240365</t>
  </si>
  <si>
    <t>Piperacillin Eberth 2,0 g</t>
  </si>
  <si>
    <t>15240359</t>
  </si>
  <si>
    <t>Piperacillin Eberth 1,0 g</t>
  </si>
  <si>
    <t>09628-9237670</t>
  </si>
  <si>
    <t>info@eberth.de</t>
  </si>
  <si>
    <t>12602796</t>
  </si>
  <si>
    <t>Penicillin G INFECTOPHARM 5 Mega</t>
  </si>
  <si>
    <t>J01CE01</t>
  </si>
  <si>
    <t>Benzylpenicillin-Natrium</t>
  </si>
  <si>
    <t>06252- 95 7000</t>
  </si>
  <si>
    <t>info@infectopharm.com</t>
  </si>
  <si>
    <t>Penicillin G INFECTOPHARM 10 Mega - Einreichungsnummer: 3000288</t>
  </si>
  <si>
    <t>Penicillin G HEXAL 5 Millionen I.E. Pulver zur Herstellung einer Injektions-/Infusionslösung</t>
  </si>
  <si>
    <t>Pen 0,4 Mega TS - 1 A Pharma</t>
  </si>
  <si>
    <t>J01CE02</t>
  </si>
  <si>
    <t>Phenoxymethylpenicillin-Kalium</t>
  </si>
  <si>
    <t>089 61388250</t>
  </si>
  <si>
    <t>03930076</t>
  </si>
  <si>
    <t>PenHEXAL Saft 0,4 Mega Einheiten/5 ml</t>
  </si>
  <si>
    <t>03529965</t>
  </si>
  <si>
    <t>Penicillin V-ratiopharm TS</t>
  </si>
  <si>
    <t>08 00 800 50 13</t>
  </si>
  <si>
    <t>08703988</t>
  </si>
  <si>
    <t>Penicillin V-ratiopharm 1,5 Mega</t>
  </si>
  <si>
    <t>01841730</t>
  </si>
  <si>
    <t>Penicillin V-ratiopharm 1 Mega Filmtabletten</t>
  </si>
  <si>
    <t>08440796,  08444245</t>
  </si>
  <si>
    <t>Penicillin V acis Saft</t>
  </si>
  <si>
    <t>Infectocillin 250 Saft</t>
  </si>
  <si>
    <t>Infectocillin 500 Saft - Einreichungsnummer: 0149618</t>
  </si>
  <si>
    <t>01831708,  03124978</t>
  </si>
  <si>
    <t>INFECTOCILLIN 400 Saft</t>
  </si>
  <si>
    <t>04900893,  08671917,  08671923</t>
  </si>
  <si>
    <t>Penicillin V AL 1,5 M</t>
  </si>
  <si>
    <t>extremer Überverkauf</t>
  </si>
  <si>
    <t>10920776,  10920782,  10920799</t>
  </si>
  <si>
    <t>Penicillin V STADA 1,2 Mega Filmtabletten</t>
  </si>
  <si>
    <t xml:space="preserve">starke Überverkäufe haben zum Lieferengpass geführt </t>
  </si>
  <si>
    <t>+49 06252957000</t>
  </si>
  <si>
    <t>06190384,  08412038,  08412044</t>
  </si>
  <si>
    <t>PenHEXAL 1,0 Mega</t>
  </si>
  <si>
    <t>00658917,  00658946,  00658952</t>
  </si>
  <si>
    <t>Pen 1,5 Mega - 1 A Pharma</t>
  </si>
  <si>
    <t>00658863,  00658886,  00658923</t>
  </si>
  <si>
    <t>Pen Mega - 1 A Pharma</t>
  </si>
  <si>
    <t>01658374,  03124961</t>
  </si>
  <si>
    <t>Infectocillin 300 Saft</t>
  </si>
  <si>
    <t>01512311,  04257799,  04257888,  06649606,  06649612</t>
  </si>
  <si>
    <t>Infectocillin 500 Saft</t>
  </si>
  <si>
    <t>08437156,  08541391</t>
  </si>
  <si>
    <t>PenHEXAL 1,5 Mega</t>
  </si>
  <si>
    <t>04748333,  04748356,  08671900</t>
  </si>
  <si>
    <t>Penicillin V AL 1 M</t>
  </si>
  <si>
    <t>Erhöhte Nachfrage auf Grund der Lieferunfähigkeit der Mitbewerber</t>
  </si>
  <si>
    <t>03899886,  03930076</t>
  </si>
  <si>
    <t>04257799,  04257888,  06649612</t>
  </si>
  <si>
    <t>08703988,  08703994,  08704002</t>
  </si>
  <si>
    <t>Nach Wiederverfügbarkeit im September 2023 wurden die Mengen umgehend komplett vom Markt abgerufen.</t>
  </si>
  <si>
    <t>01841730,  04908015,  08730666</t>
  </si>
  <si>
    <t>11511790</t>
  </si>
  <si>
    <t>Pendysin 1,2 Mio I.E.</t>
  </si>
  <si>
    <t>J01CE08</t>
  </si>
  <si>
    <t>Benzylpenicillin-Benzathin</t>
  </si>
  <si>
    <t>06252-95-7000</t>
  </si>
  <si>
    <t>Tardocillin 1200 - Einreichungsnummer: 0070615</t>
  </si>
  <si>
    <t>Pulver zur Herstellung einer Injektionssuspension,Lösungsmittel,Injektionssuspension</t>
  </si>
  <si>
    <t>04525308,  04525314,  04653443</t>
  </si>
  <si>
    <t>Infectobicillin Saft 750</t>
  </si>
  <si>
    <t>J01CE10</t>
  </si>
  <si>
    <t>Phenoxymethylpenicillin-Benzathin</t>
  </si>
  <si>
    <t>Erhöhte Absätze durch Ausfall alternativer Antibiotika</t>
  </si>
  <si>
    <t>Suspension zum Einnehmen</t>
  </si>
  <si>
    <t>Staphylex Injektion 1g Trockensubstanz</t>
  </si>
  <si>
    <t>J01CF05</t>
  </si>
  <si>
    <t>Flucloxacillin-Natrium  1 H&lt;2&gt;O</t>
  </si>
  <si>
    <t>8630485, 08630427</t>
  </si>
  <si>
    <t>Staphylex Injektion 250 mg Trockensubstanz</t>
  </si>
  <si>
    <t>Fluclox Stragen 2g</t>
  </si>
  <si>
    <t>Stragen-France S.A.S.</t>
  </si>
  <si>
    <t>0221-57164600</t>
  </si>
  <si>
    <t>Staphylex Infusion 2g Trockensubstanz - Einreichungsnummer: 2105792</t>
  </si>
  <si>
    <t>Fluclox Stragen 1g</t>
  </si>
  <si>
    <t>Staphylex Injektion 1g Trockensubstanz - Einreichungsnummer: 0007717</t>
  </si>
  <si>
    <t>08630516, 16323550</t>
  </si>
  <si>
    <t>Staphylex Infusion 2g Trockensubstanz</t>
  </si>
  <si>
    <t>Staphylex Injektion 500 mg Trockensubstanz</t>
  </si>
  <si>
    <t>01120858,  08630433</t>
  </si>
  <si>
    <t>Staphylex 500 mg Kapseln</t>
  </si>
  <si>
    <t>Staphylex 250 mg Kapseln</t>
  </si>
  <si>
    <t>Flucloxacillin Kabi 1000 mg Pulver zur Herstellung einer Injektions-/Infusionslösung</t>
  </si>
  <si>
    <t>Flucloxacillin-Natrium-Monohydrat</t>
  </si>
  <si>
    <t>Flucloxacillin Kabi 2000 mg Pulver zur Herstellung einer Injektions-/Infusionslösung</t>
  </si>
  <si>
    <t>Versorgung ist mit 70 % des Kundenbedarfs gewährleistet.</t>
  </si>
  <si>
    <t>04291023</t>
  </si>
  <si>
    <t>Combactam 1,0 g</t>
  </si>
  <si>
    <t>J01CG01</t>
  </si>
  <si>
    <t>Sulbactam-Natrium</t>
  </si>
  <si>
    <t>Sulbactam Eberth 1000 mg - Einreichungsnummer: 2162812</t>
  </si>
  <si>
    <t>Combactam 0,5 g</t>
  </si>
  <si>
    <t>Ampicillin plus Sulbactam Eberth 2g/1g</t>
  </si>
  <si>
    <t>J01CR01</t>
  </si>
  <si>
    <t>09628 - 9237670</t>
  </si>
  <si>
    <t>Ampicillin plus Sulbactam Eberth 1g/0,5g</t>
  </si>
  <si>
    <t>05484511</t>
  </si>
  <si>
    <t>Ampicillin und Sulbactam IBI 2 g + 1 g, Pulver zur Herstellung einer Injektionslösung</t>
  </si>
  <si>
    <t>Istituto Biochimico Italiano Giovanni Lorenzini S.P.A.</t>
  </si>
  <si>
    <t>0039 06 92150 510</t>
  </si>
  <si>
    <t>5484534</t>
  </si>
  <si>
    <t>Ampicillin und Sulbactam IBI 1 g + 500 mg, Pulver zur Herstellung einer Injektionslösung</t>
  </si>
  <si>
    <t>Ampicillin/Sulbactam PUREN 2000 mg/1000 mg Pulver zur Herstellung einer Infusionslösung</t>
  </si>
  <si>
    <t>Ampicillin/Sulbactam PUREN 1000 mg/500 mg Pulver zur Herstellung einer Infusionslösung</t>
  </si>
  <si>
    <t>11138664</t>
  </si>
  <si>
    <t>Unacid 500 mg/ 250 mg, Pulver zur Herstellung einer Injektions-/ Infusionslösung</t>
  </si>
  <si>
    <t>Das Produkt ist ab 03.03.2023 wieder lieferbar.</t>
  </si>
  <si>
    <t>07622041</t>
  </si>
  <si>
    <t>Amoxicillin-ratiopharm comp. 500 mg/125 mg Filmtabletten</t>
  </si>
  <si>
    <t>J01CR02</t>
  </si>
  <si>
    <t>Amoxicillin-Trihydrat; Kaliumclavulanat</t>
  </si>
  <si>
    <t>06489120</t>
  </si>
  <si>
    <t>AmoxClav HEXAL i. v. 500/100 mg Pulver zur Herstellung einer Injektions- oder Infusionslösung</t>
  </si>
  <si>
    <t>Amoxicillin-Natrium; Kaliumclavulanat</t>
  </si>
  <si>
    <t>AmoxClav HEXAL i. v. 2000/200 mg Pulver zur Herstellung einer Infusionslösung</t>
  </si>
  <si>
    <t>AmoxClav HEXAL i. v. 1000/200 mg Pulver zur Herstellung einer Injektions- oder Infusionslösung</t>
  </si>
  <si>
    <t>04492282,  04492299</t>
  </si>
  <si>
    <t>AmoxiClav 500/125 - 1 A Pharma</t>
  </si>
  <si>
    <t>03361000,  03361017</t>
  </si>
  <si>
    <t>Amoclav 875 mg + 125 mg Filmtabletten</t>
  </si>
  <si>
    <t>Amoxi-Clavulan Aurobindo 875 mg/125 mg Filmtabletten</t>
  </si>
  <si>
    <t>SEbner@puren-pharma.de</t>
  </si>
  <si>
    <t>AmoxiClav 250/62,5 TS - 1 A Pharma</t>
  </si>
  <si>
    <t>AmoxiClav 125/31,25 TS - 1 A Pharma</t>
  </si>
  <si>
    <t>06489120,  12671998,  12672006</t>
  </si>
  <si>
    <t>16398074,  16398080</t>
  </si>
  <si>
    <t>Amoxiclav-Elpen 875 mg/125 mg Pulver zur Herstellung einer Suspension zum Einnehmen</t>
  </si>
  <si>
    <t>02557959,  02563575</t>
  </si>
  <si>
    <t>Amoclav 400+57 mg/5 ml Trockensaft</t>
  </si>
  <si>
    <t>Amoclav Trockensaft</t>
  </si>
  <si>
    <t>04492371,  04492394</t>
  </si>
  <si>
    <t>AmoxiClav 875/125 - 1 A Pharma</t>
  </si>
  <si>
    <t>Amoxi-Clavulan STADA TS 125/31,25 mg Pulver zur Herstellung einer Suspension zum Einnehmen</t>
  </si>
  <si>
    <t>04771651,  04771680</t>
  </si>
  <si>
    <t>InfectoSupramox Saft 400 mg / 57 mg / 5 ml</t>
  </si>
  <si>
    <t>erhöhter Nachfrage aufgrund Lieferunfähigkeit von Mitbewerbern</t>
  </si>
  <si>
    <t>Amoclav 500 Plus Filmtabletten</t>
  </si>
  <si>
    <t>AmoxClav HEXAL i. v. 500/100 mg Pulver zur Herstellung einer Injektions- oder Infusionslösung - Einreichungsnummer: 2161443</t>
  </si>
  <si>
    <t>Amoxi-Clavulan STADA TS 250/62,5 mg Pulver zur Herstellung einer Suspension zum Einnehmen</t>
  </si>
  <si>
    <t>Amoclav forte Trockensaft</t>
  </si>
  <si>
    <t>00350349,  00460888</t>
  </si>
  <si>
    <t>AmoxiClav 400/57 TS-1A Pharma</t>
  </si>
  <si>
    <t>08837281</t>
  </si>
  <si>
    <t>Sultamicillin-ratiopharm 375 mg Filmtabletten</t>
  </si>
  <si>
    <t>J01CR04</t>
  </si>
  <si>
    <t>Sultamicillintosilat-Dihydrat</t>
  </si>
  <si>
    <t>Unacid PD oral</t>
  </si>
  <si>
    <t>Sultamicillin</t>
  </si>
  <si>
    <t>03751706,  03751712,  08456774</t>
  </si>
  <si>
    <t>Löschung der PZN 03751712, erneute LE-Meldung erfolgt für alle PZN in einer Übersicht.</t>
  </si>
  <si>
    <t>Sultamicillin-ratiopharm 375 mg Filmtabletten - Einreichungsnummer: 2176292</t>
  </si>
  <si>
    <t xml:space="preserve">Unacid PD oral 20er Tabletten sind für den Klinik- und Retailmarkt seit 14.04.2023 wieder lieferfähig. </t>
  </si>
  <si>
    <t>Unacid PD oral FCT sind seit 26.09.2023 mit allen PG wieder lieferfähig.</t>
  </si>
  <si>
    <t>Piperacillin/Tazobactam-Teva 4g/0,5g Pulver zur Herstellung einer Infusionslösung</t>
  </si>
  <si>
    <t>J01CR05</t>
  </si>
  <si>
    <t>Piperacillin-Natrium; Tazobactam-Natrium</t>
  </si>
  <si>
    <t>Piperacillin und Tazobactam IBISQUS 2g/0,25 g Pulver zur Herstellung einer Injektions-/Infusionslösung</t>
  </si>
  <si>
    <t>IBIGEN S.r.l.</t>
  </si>
  <si>
    <t>Piperacillin und Tazobactam IBISQUS 4g/0,5 g Pulver zur Herstellung einer Injektions-/Infusionslösung</t>
  </si>
  <si>
    <t>Piperacillin/Tazobactam HEXAL 4 g/0,5 g Pulver zur Herstellung einer Infusionslösung</t>
  </si>
  <si>
    <t>11240635</t>
  </si>
  <si>
    <t>Piperacillin plus Tazobactam Eberth 4 g / 0,5 g</t>
  </si>
  <si>
    <t>Piperacillin/Tazobactam Kabi 4 g/0,5 g Pulver zur Herstellung einer Infusionslösung</t>
  </si>
  <si>
    <t>Piperacillin + Tazobactam Eberth 4g/0,5g Pulver zur Herstellung einer Injektions- oder Infusionslösung - Einreichungsnummer: 2181727</t>
  </si>
  <si>
    <t>13814283</t>
  </si>
  <si>
    <t>Piperacillin/Tazobactam PUREN 4 g/0,5 g Pulver zur Herstellung einer Infusionslösung</t>
  </si>
  <si>
    <t>13814282</t>
  </si>
  <si>
    <t>06805472</t>
  </si>
  <si>
    <t>Auslieferung von 100% des durchschnittlichen Kundenbedarfs ab Mitte Juni.</t>
  </si>
  <si>
    <t>Piperacillin/Tazobactam Kabi 2 g/0,25 g Pulver zur Herstellung einer Infusionslösung</t>
  </si>
  <si>
    <t>03820324,  06154626</t>
  </si>
  <si>
    <t>Cephalex-CT 1000mg Filmtabletten</t>
  </si>
  <si>
    <t>J01DB01</t>
  </si>
  <si>
    <t>Cefalexin-Monohydrat</t>
  </si>
  <si>
    <t>03820301,  06154922</t>
  </si>
  <si>
    <t>Cephalex-CT 500mg Filmtabletten</t>
  </si>
  <si>
    <t>03574204,  03574210</t>
  </si>
  <si>
    <t>Cephalexin-ratiopharm 1000 mg Filmtabletten</t>
  </si>
  <si>
    <t>03574173,  03574196</t>
  </si>
  <si>
    <t>Cephalexin-ratiopharm 500 mg Filmtabletten</t>
  </si>
  <si>
    <t>Grüncef 1 g</t>
  </si>
  <si>
    <t>J01DB05</t>
  </si>
  <si>
    <t>Cefadroxil-Monohydrat</t>
  </si>
  <si>
    <t>Grüncef 500 mg/5ml Trockensaft - Einreichungsnummer: 2102842</t>
  </si>
  <si>
    <t>08776071,  08776088</t>
  </si>
  <si>
    <t>Grüncef 500 mg/5ml Trockensaft</t>
  </si>
  <si>
    <t>Cefadroxil 250 TS - 1 A Pharma</t>
  </si>
  <si>
    <t>062 52/95-7000</t>
  </si>
  <si>
    <t>06092641,  06092658</t>
  </si>
  <si>
    <t>Cefadroxil - 1 A Pharma 1000 mg Tabletten</t>
  </si>
  <si>
    <t>04958214,  04958220</t>
  </si>
  <si>
    <t>16575317,  16575323</t>
  </si>
  <si>
    <t>Cefadroxil 500 TS - 1 A Pharma</t>
  </si>
  <si>
    <t>Cefuroxim Fresenius 1500 mg zur Infusion</t>
  </si>
  <si>
    <t>J01DC02</t>
  </si>
  <si>
    <t>Cefuroxim-Natrium</t>
  </si>
  <si>
    <t>Cefuroxim-ratiopharm 250 mg Filmtabletten</t>
  </si>
  <si>
    <t>Cefuroximaxetil</t>
  </si>
  <si>
    <t>04088233</t>
  </si>
  <si>
    <t>Cefuroxim-ratiopharm 250mg p.i.</t>
  </si>
  <si>
    <t>Cefuroxim-ratiopharm 750mg p.i.</t>
  </si>
  <si>
    <t>Cefuroxim-ratiopharm 500 mg Filmtabletten</t>
  </si>
  <si>
    <t>CEFUROX BASICS 125mg/5 ml Granulat zur Herstellung einer Suspension zum Einnehmen</t>
  </si>
  <si>
    <t>bilal.baydoun@sunpharma.com</t>
  </si>
  <si>
    <t>Cefurax 125 mg/5 ml Granulat zur Herstellung einer Suspension zum Einnehmen</t>
  </si>
  <si>
    <t>helen.braun@aristo-pharma.de</t>
  </si>
  <si>
    <t>Cefuroxim Fresenius 750 mg</t>
  </si>
  <si>
    <t xml:space="preserve">Cefuroxim Fresenius 750 mg zur Injektion steht ab sofort nur eingeschränkt zur Verfügung und wird bis voraussichtlich Anfang/Mitte Juli für Klinikkunden mit 50% des kundenindividuellen Bedarfes ausgeliefert. </t>
  </si>
  <si>
    <t>Cefuroxim Fresenius 1500 mg Infusion steht aktuell nur eingeschränkt zur Verfügung und wird bis voraussichtlich Anfang/Mitte Juli für alle Kunden in 40% kundenindividuellen Kontingenten ausgeliefert.</t>
  </si>
  <si>
    <t>Cefuroxim STADA 500 mg Tabletten</t>
  </si>
  <si>
    <t>Nachbestellung getätigt</t>
  </si>
  <si>
    <t>Cefuroxim 500 mg - 1 A Pharma</t>
  </si>
  <si>
    <t>00178212,  00178229,  04841498,  04841506</t>
  </si>
  <si>
    <t>Cefuroxim 250 mg - 1 A Pharma</t>
  </si>
  <si>
    <t>CEFACLOR BASICS 125 mg TS</t>
  </si>
  <si>
    <t>J01DC04</t>
  </si>
  <si>
    <t>Cefaclor-Monohydrat</t>
  </si>
  <si>
    <t>02231502,  05486467</t>
  </si>
  <si>
    <t>CEFACLOR BASICS 250 mg TS</t>
  </si>
  <si>
    <t>08443754,  11052810</t>
  </si>
  <si>
    <t>Cefaclor AL TS 250</t>
  </si>
  <si>
    <t>Cefaclor AL TS 125</t>
  </si>
  <si>
    <t>09688185,  10843722</t>
  </si>
  <si>
    <t>Cefaclor Aristo forte 250 mg/ 5 ml Granulat zur Herstellung einer Suspension zum Einnehmen</t>
  </si>
  <si>
    <t>Cefaclor Aristo 125 mg/ 5 ml Granulat zur Herstellung einer Suspension zum Einnehmen</t>
  </si>
  <si>
    <t>00113721,  00113738</t>
  </si>
  <si>
    <t>Cefaclor 500 - 1 A Pharma</t>
  </si>
  <si>
    <t>Infectocef 250 Saft</t>
  </si>
  <si>
    <t>Panoral forte Trockensaft</t>
  </si>
  <si>
    <t>schoeberl@eberth.de</t>
  </si>
  <si>
    <t>Infectocef 500 Saft</t>
  </si>
  <si>
    <t>09688179,  15227519</t>
  </si>
  <si>
    <t>16822537,  16822543</t>
  </si>
  <si>
    <t>Cefaclor - 1 A Pharma 250 mg Filmtabletten</t>
  </si>
  <si>
    <t>Stark erhöhte Nachfrage</t>
  </si>
  <si>
    <t>Cefaclor 250 TS - 1 A Pharma</t>
  </si>
  <si>
    <t>Cefaclor 125 TS - 1 A Pharma</t>
  </si>
  <si>
    <t>Cefaclor STADA 500 mg Hartkapseln</t>
  </si>
  <si>
    <t>11354043</t>
  </si>
  <si>
    <t>Ceftriaxon PUREN 2 g Pulver zur Herstellung einer Infusionslösung</t>
  </si>
  <si>
    <t>J01DD04</t>
  </si>
  <si>
    <t>Ceftriaxon-Dinatrium  3.5 H&lt;2&gt;O</t>
  </si>
  <si>
    <t>Ceftriaxon Hexal 1 g</t>
  </si>
  <si>
    <t>Ceftriaxon Hexal 2 g</t>
  </si>
  <si>
    <t>03660725</t>
  </si>
  <si>
    <t>Ceftriaxon-ratiopharm 1,0g</t>
  </si>
  <si>
    <t>Cefixim AL 400 mg Filmtabletten</t>
  </si>
  <si>
    <t>J01DD08</t>
  </si>
  <si>
    <t>Cefixim 3 H&lt;2&gt;O</t>
  </si>
  <si>
    <t>09474165</t>
  </si>
  <si>
    <t>Cefixim AL 100 mg/5 ml Pulver zur Herstellung einer Suspension zum Einnehmen</t>
  </si>
  <si>
    <t>Cefixim STADA 400 mg Filmtabletten</t>
  </si>
  <si>
    <t>Cefixim (Ph.Eur.)</t>
  </si>
  <si>
    <t>Cefixim AL 200 mg Filmtabletten</t>
  </si>
  <si>
    <t xml:space="preserve"> Ware wurde außer Vertrieb gesetzt!</t>
  </si>
  <si>
    <t>11285833,  11285856</t>
  </si>
  <si>
    <t>INFECTOOPTICEF Saft 100 mg/5 ml Granulat zur Herstellung einer Suspension zum Einnehmen</t>
  </si>
  <si>
    <t>Cefpodoxim - 1 A Pharma 200 mg Filmtabletten</t>
  </si>
  <si>
    <t>J01DD13</t>
  </si>
  <si>
    <t>Cefpodoximproxetil</t>
  </si>
  <si>
    <t>02727858</t>
  </si>
  <si>
    <t>Cefpodoxim - 1 A Pharma 40 mg/5 ml Pulver zur Herstellung einer Suspension zum Einnehmen</t>
  </si>
  <si>
    <t>01053292,  01053398</t>
  </si>
  <si>
    <t>Cefpodoxim AL 100 mg Filmtabletten</t>
  </si>
  <si>
    <t>00829402,  00829419</t>
  </si>
  <si>
    <t>Cefpodoxim HEXAL 200 mg Filmtabletten</t>
  </si>
  <si>
    <t>01053406,  01053412,  11564987</t>
  </si>
  <si>
    <t>Cefpodoxim AL 200 mg Filmtabletten</t>
  </si>
  <si>
    <t>Ware wieder verfügbar.</t>
  </si>
  <si>
    <t>02719267,  02719296,  07793529</t>
  </si>
  <si>
    <t>02550242,  02719250</t>
  </si>
  <si>
    <t>Cefpodoxim - 1 A Pharma 100 mg Filmtabletten</t>
  </si>
  <si>
    <t>00826220,  00826237</t>
  </si>
  <si>
    <t>Cefpodoxim HEXAL 100 mg Filmtabletten</t>
  </si>
  <si>
    <t>0800-439252</t>
  </si>
  <si>
    <t>02727858,  07385428</t>
  </si>
  <si>
    <t>04366614,  04366666</t>
  </si>
  <si>
    <t>Cefpodoxim STADA 100 mg Filmtabletten</t>
  </si>
  <si>
    <t xml:space="preserve">Nachbestellung getätigt </t>
  </si>
  <si>
    <t>00829425,  00829431,  00832485</t>
  </si>
  <si>
    <t>Cefpodoxim HEXAL 40 mg/5 ml Pulver zur Herstellung einer Suspension zum Einnehmen</t>
  </si>
  <si>
    <t>04366689,  17601643</t>
  </si>
  <si>
    <t>Cefpodoxim STADA 200mg Filmtabletten</t>
  </si>
  <si>
    <t>Meronem 500mg</t>
  </si>
  <si>
    <t>J01DH02</t>
  </si>
  <si>
    <t>Meropenem-Trihydrat</t>
  </si>
  <si>
    <t>Löschung der bestehenden Lieferengpassmeldung, das Produkt wurde am 01.10.2022 aus dem Handel genommen. Eine Sunset-Clause-Meldung ist erfolgt am 15.09.2022 (Meldungs-Nr. 84445).</t>
  </si>
  <si>
    <t>Meropenem Noridem 500 mg Pulver zur Herstellung einer Injektions- oder Infusionslösung - Einreichungsnummer: 2185199</t>
  </si>
  <si>
    <t>Zienam 500 mg/500 mg Pulver zur Herstellung einer Infusionslösung</t>
  </si>
  <si>
    <t>J01DH51</t>
  </si>
  <si>
    <t>Cilastatin-Natrium (Ph.Eur.); Imipenem-Monohydrat</t>
  </si>
  <si>
    <t>erhöhter Bedarf</t>
  </si>
  <si>
    <t>Zerbaxa 1 g/0,5 g Pulver für ein Konzentrat zur Herstellung einer Infusionslösung - OP2792mg</t>
  </si>
  <si>
    <t>J01DI54</t>
  </si>
  <si>
    <t>Ceftolozansulfat; Tazobactam-Natrium</t>
  </si>
  <si>
    <t>Pulver für ein Konzentrat zur Herstellung einer Infusionslösung</t>
  </si>
  <si>
    <t>Infectotrimet 100 Saft</t>
  </si>
  <si>
    <t>J01EA01</t>
  </si>
  <si>
    <t>Trimethoprim</t>
  </si>
  <si>
    <t>Erhöhte Nachfrage durch Lieferunfähigkeit bei Cotrimoxazol</t>
  </si>
  <si>
    <t>04240445,  07298385</t>
  </si>
  <si>
    <t>Infectotrimet 50 Saft</t>
  </si>
  <si>
    <t>06252/95-7900</t>
  </si>
  <si>
    <t>07342117,  07342123</t>
  </si>
  <si>
    <t>Sulfadiazin-Heyl</t>
  </si>
  <si>
    <t>J01EC02</t>
  </si>
  <si>
    <t>Sulfadiazin</t>
  </si>
  <si>
    <t>030-816 96 0</t>
  </si>
  <si>
    <t>Rovamycine 1 500 000 I.E. - Einreichungsnummer: 0397434</t>
  </si>
  <si>
    <t>Cotrimoxazol AL forte</t>
  </si>
  <si>
    <t>J01EE01</t>
  </si>
  <si>
    <t>Sulfamethoxazol; Trimethoprim</t>
  </si>
  <si>
    <t>1541560, 01541577, 03045285</t>
  </si>
  <si>
    <t>Cotrim 960-1 A Pharma</t>
  </si>
  <si>
    <t>17550650, 17550667</t>
  </si>
  <si>
    <t>Cotrim-ratiopharm 400 mg/80 mg Tabletten</t>
  </si>
  <si>
    <t>03788224, 03758559</t>
  </si>
  <si>
    <t>Cotrim forte-ratiopharm 800 mg/160 mg Tabletten</t>
  </si>
  <si>
    <t>Cotrim E-ratiopharm 400 mg/5 ml + 80 mg/5 ml Suspension zum Einnehmen</t>
  </si>
  <si>
    <t>Suspension</t>
  </si>
  <si>
    <t>Eusaprim E 400 mg/5 ml + 80 mg/5 ml Suspension für Erwachsene</t>
  </si>
  <si>
    <t>03454090, 03454109</t>
  </si>
  <si>
    <t>4190859, 04190865</t>
  </si>
  <si>
    <t>Eusaprim forte 800 mg/160 mg Tabletten</t>
  </si>
  <si>
    <t>Cotrim K-ratiopharm 200 mg/5 ml + 40 mg/5 ml Suspension zum Einnehmen</t>
  </si>
  <si>
    <t>Cotrimoxazol AL</t>
  </si>
  <si>
    <t>Eusaprim K 200 mg/5 ml + 40 mg/5 ml Suspension für Kinder</t>
  </si>
  <si>
    <t>+49 8993083800</t>
  </si>
  <si>
    <t>17550621,  17550638</t>
  </si>
  <si>
    <t>03454090,  03454109</t>
  </si>
  <si>
    <t>Außer Vertrieb seit 15.09.2022</t>
  </si>
  <si>
    <t>Als Ersatz wird ab 1. Februar 2023 die PZN 18398598 (Co-Trimoxazole 80 mg/400 mg per 5 ml Adult Suspension aus Großbritanien) in den Verkehr gebracht. Dies erfolgt unter dem BfArM Bescheid vom 20. Oktober 2022.</t>
  </si>
  <si>
    <t>Als Ersatz wird ab 1. Februar 2023 die PZN 18398606 (Co-Trimoxazole 40 mg/200 mg per 5 ml Paediatric Suspension aus Großbritanien) in den Verkehr gebracht. Dies erfolgt unter dem BfArM Bescheid vom 20. Oktober 2022.</t>
  </si>
  <si>
    <t>04930598,  04930606</t>
  </si>
  <si>
    <t>17550650,  17550667</t>
  </si>
  <si>
    <t>01541560,  01541577,  03045285</t>
  </si>
  <si>
    <t>01931516,  02351442</t>
  </si>
  <si>
    <t>Diese Arzneimittel werden nicht mehr in Verkehr gebracht.</t>
  </si>
  <si>
    <t>Cotrim-ratiopharm 400 mg/5 ml + 80 mg/5 ml Konzentrat zur Herstellung einer Infusionslösung</t>
  </si>
  <si>
    <t>Eryhexal forte Saft</t>
  </si>
  <si>
    <t>J01FA01</t>
  </si>
  <si>
    <t>Erythromycinethylsuccinat (Ph.Eur.)</t>
  </si>
  <si>
    <t>Eryhexal Saft</t>
  </si>
  <si>
    <t>Erythrocin-i.v. 1,0 g</t>
  </si>
  <si>
    <t>Erythromycinlactobionat</t>
  </si>
  <si>
    <t>+49 (0) 21 29 53 01 571</t>
  </si>
  <si>
    <t>ANolte@productlife-group.com</t>
  </si>
  <si>
    <t>Erythrocin-i.v.500mg</t>
  </si>
  <si>
    <t>+49 21 29 53 01 571</t>
  </si>
  <si>
    <t>16199943</t>
  </si>
  <si>
    <t>Erythromycin PANPHARMA 1 g Pulver zur Herstellung einer Infusionslösung</t>
  </si>
  <si>
    <t>Panpharma</t>
  </si>
  <si>
    <t>4274585, 04302123</t>
  </si>
  <si>
    <t>Erythrocin 500 mg Neo</t>
  </si>
  <si>
    <t>Erythrocin-i.v.500mg - Einreichungsnummer: 2107663</t>
  </si>
  <si>
    <t>+49 (0) 2129 53 01 569</t>
  </si>
  <si>
    <t>IHeimann@productlife-group.com</t>
  </si>
  <si>
    <t>Erythrocin-i.v. 1,0 g - Einreichungsnummer: 0262208</t>
  </si>
  <si>
    <t>Erythromycin Inresa i.v. 1g</t>
  </si>
  <si>
    <t>+49  761 47 50 47</t>
  </si>
  <si>
    <t>info@inresa.com</t>
  </si>
  <si>
    <t xml:space="preserve">Der Lieferengpass ist nicht eingetreten, da in der Zwischenzeit (August 2022) bereits neue Ware geliefert wurde. Die Änderungsmeldung wurde leider nicht  fristgereicht eingereicht. </t>
  </si>
  <si>
    <t>+49 2129 53 01 577</t>
  </si>
  <si>
    <t>Erythromycin Stragen 1g</t>
  </si>
  <si>
    <t>INFECTOMYCIN 600 Saft</t>
  </si>
  <si>
    <t>Erythromycinestolat</t>
  </si>
  <si>
    <t>+49 6252 95 7000</t>
  </si>
  <si>
    <t>kontakt@infectpharm.com</t>
  </si>
  <si>
    <t>INFECTOMYCIN 200 Saft</t>
  </si>
  <si>
    <t>shortages@infectpharm.com</t>
  </si>
  <si>
    <t>03977445,  07507110</t>
  </si>
  <si>
    <t>INFECTOMYCIN 400 Saft</t>
  </si>
  <si>
    <t>Roxithromycin AL 300 mg Filmtabletten</t>
  </si>
  <si>
    <t>J01FA06</t>
  </si>
  <si>
    <t>Roxithromycin</t>
  </si>
  <si>
    <t>04332377</t>
  </si>
  <si>
    <t>Clarithromycin - 1 A Pharma 250 mg/5 ml Granulat zur Herstellung einer Suspension zum Einnehmen</t>
  </si>
  <si>
    <t>J01FA09</t>
  </si>
  <si>
    <t>Clarithromycin</t>
  </si>
  <si>
    <t>03393684</t>
  </si>
  <si>
    <t>Clarithromycin HEXAL 250mg/5ml Granulat zur Herstellung einer Suspension zum Einnehmen</t>
  </si>
  <si>
    <t>04332377,  04332466</t>
  </si>
  <si>
    <t>CLARITHROMYCIN BASICS 250 mg/5 ml Granulat zur Herstellung einer Suspension zum Einnehmen</t>
  </si>
  <si>
    <t>Klacid Saft</t>
  </si>
  <si>
    <t>04330929,  04332176</t>
  </si>
  <si>
    <t>Clarithromycin - 1 A Pharma 125 mg/5 ml Granulat zur Herstellung einer Suspension zum Einnehmen</t>
  </si>
  <si>
    <t>Klacid Saft Forte 250 mg/5 ml</t>
  </si>
  <si>
    <t>Clarithromycin AL pro 250 mg Filmtabletten</t>
  </si>
  <si>
    <t>Clarithromycin-1A Pharma 500 mg Filmtabletten</t>
  </si>
  <si>
    <t>00557576,  00776798</t>
  </si>
  <si>
    <t>2126575, 2140373</t>
  </si>
  <si>
    <t>03169780,  03169811</t>
  </si>
  <si>
    <t>Clarithromycin AL 250 mg Filmtabletten</t>
  </si>
  <si>
    <t>Clarithromycin AL 500 mg Filmtabletten</t>
  </si>
  <si>
    <t>Azithromycin 500 - 1 A Pharma</t>
  </si>
  <si>
    <t>J01FA10</t>
  </si>
  <si>
    <t>Azithromycin-Dihydrat</t>
  </si>
  <si>
    <t>00463740</t>
  </si>
  <si>
    <t>Azithromycin-ratiopharm 200mg/5ml Pulver zur Herstellung einer Suspension zum Einnehmen</t>
  </si>
  <si>
    <t>Azithromycin AL 250 mg Filmtabletten</t>
  </si>
  <si>
    <t>Azithromycin-Monohydrat</t>
  </si>
  <si>
    <t>Zithromax 250 mg Filmtabletten</t>
  </si>
  <si>
    <t>Zithromax 250 mg FCT sind seit heute wieder lieferbar. Deshalb wird die Meldung, (vsl. Ende des Lieferengpasses 05.12.2022) gelöscht.</t>
  </si>
  <si>
    <t>Azithromycin-ratiopharm 250mg Filmtabletten - Einreichungsnummer: 2162285</t>
  </si>
  <si>
    <t>Zithromax 500 mg Filmtabletten</t>
  </si>
  <si>
    <t>AZI-TEVA 500 mg Filmtabletten - Einreichungsnummer: 2163514</t>
  </si>
  <si>
    <t>Ultreon</t>
  </si>
  <si>
    <t>Azithromycin HEXAL 500 mg Filmtabletten</t>
  </si>
  <si>
    <t>Azithromycin 250 - 1 A Pharma</t>
  </si>
  <si>
    <t>Azithromycin HEXAL 250 mg Filmtabletten</t>
  </si>
  <si>
    <t>Zithromax 500 mg Filmtabletten sind seit 04.05.2023 wieder lieferfähig.</t>
  </si>
  <si>
    <t>04678503,  07130987</t>
  </si>
  <si>
    <t>Zithromax Trockensaft</t>
  </si>
  <si>
    <t>Upd. 26.07.23: 15ml Fl lieferb seit 17.07.23, Meldg w. gelöscht. 30ml Fl. w. lieferunf ab 26.06.23, neue LE-Meldg folgt</t>
  </si>
  <si>
    <t>Azithromycin-ratiopharm 200mg/5ml Pulver zur Herstellung einer Suspension zum Einnehmen - Einreichungsnummer: 2159606</t>
  </si>
  <si>
    <t>Die 15 ml Flasche ist auch lieferunfähig seit 15.08.2023 und wurde in die bestehende Meldung aufgenommen.</t>
  </si>
  <si>
    <t>00101310,  00230007,  00278379</t>
  </si>
  <si>
    <t>Azithromycin HEXAL 200 mg/5 ml Pulver zur Herstellung einer Suspension zum Einnehmen</t>
  </si>
  <si>
    <t>04044313,  04044336,  04044342</t>
  </si>
  <si>
    <t>Azithromycin - 1 A Pharma 200 mg/5 ml Pulver zur Herstellung einer Suspension zum Einnehmen</t>
  </si>
  <si>
    <t>Clindamycin-ratiopharm 600 mg Filmtabletten</t>
  </si>
  <si>
    <t>J01FF01</t>
  </si>
  <si>
    <t>Clindamycinhydrochlorid</t>
  </si>
  <si>
    <t>SOBELIN Granulat</t>
  </si>
  <si>
    <t>Clindamycin-2-palmitat-hydrochlorid</t>
  </si>
  <si>
    <t>Das Produkt ist seit 01.02.2023 wieder lieferfähig.</t>
  </si>
  <si>
    <t>12364693</t>
  </si>
  <si>
    <t>Clindamycin AL 600 mg Hartkapseln</t>
  </si>
  <si>
    <t>01624524,  01624530,  05489112</t>
  </si>
  <si>
    <t>Clindamycin - 1 A Pharma 600 mg Filmtabletten</t>
  </si>
  <si>
    <t>03479150,  04524786</t>
  </si>
  <si>
    <t>Sobelin 300 mg</t>
  </si>
  <si>
    <t>Clindamycinhydrochlorid-Monohydrat</t>
  </si>
  <si>
    <t>Clindastad 300 mg Hartkapseln - Einreichungsnummer: 0289118</t>
  </si>
  <si>
    <t>10273785,  10273791,  10301323</t>
  </si>
  <si>
    <t>Clindamycin Aristo 300 mg Kapseln</t>
  </si>
  <si>
    <t>00141516,  00141522,  10273816,  10273822,  10273839,  11601145,  16201628</t>
  </si>
  <si>
    <t>Clindamycin Aristo 600 mg Filmtabletten</t>
  </si>
  <si>
    <t>00141462,  00141485</t>
  </si>
  <si>
    <t>Clindamycin Aristo 450 mg Filmtabletten</t>
  </si>
  <si>
    <t>00887397,  00887405,  07558159</t>
  </si>
  <si>
    <t>Clindamycin AL 300</t>
  </si>
  <si>
    <t>03838258,03838264</t>
  </si>
  <si>
    <t>Strepto-Fatol</t>
  </si>
  <si>
    <t>J01GA01</t>
  </si>
  <si>
    <t>Streptomycinsulfat (Ph.Eur.)</t>
  </si>
  <si>
    <t>030 338 427 0</t>
  </si>
  <si>
    <t>Tobramycin B. Braun 3 mg/ml Infusionslösung</t>
  </si>
  <si>
    <t>J01GB01</t>
  </si>
  <si>
    <t>Tobramycin</t>
  </si>
  <si>
    <t>Tobramycin B. Braun 1 mg/ml Infusionslösung</t>
  </si>
  <si>
    <t>Refobacin 40 mg</t>
  </si>
  <si>
    <t>J01GB03</t>
  </si>
  <si>
    <t>Gentamicinsulfat</t>
  </si>
  <si>
    <t>Gentamicin-ratiopharm 40 mg/ml SF - Einreichungsnummer: 2103169</t>
  </si>
  <si>
    <t>Gentamicin-ratiopharm 40 mg/ml SF</t>
  </si>
  <si>
    <t>01673385 </t>
  </si>
  <si>
    <t>Refobacin 120 mg</t>
  </si>
  <si>
    <t>Ciprobay Saft 5 %</t>
  </si>
  <si>
    <t>J01MA02</t>
  </si>
  <si>
    <t>Ciprofloxacin</t>
  </si>
  <si>
    <t>Granulat zur Herstellung einer Suspension zum Einnehmen,Lösungsmittel</t>
  </si>
  <si>
    <t>03566920,  03567629,  05515312,  05515329</t>
  </si>
  <si>
    <t>Ciprofloxacin Aristo 500 mg Filmtabletten</t>
  </si>
  <si>
    <t>Ciprofloxacinhydrochlorid (1:1) 1 H&lt;2&gt;O</t>
  </si>
  <si>
    <t>03565843,  03566268,  05515298,  05515306</t>
  </si>
  <si>
    <t>Ciprofloxacin Aristo 250 mg Filmtabletten</t>
  </si>
  <si>
    <t>Ciprobay 250mg</t>
  </si>
  <si>
    <t>Ciprohexal 100 mg</t>
  </si>
  <si>
    <t>Cipro-1 A Pharma 100mg</t>
  </si>
  <si>
    <t>Ciprofloxacin STADA 500 mg Filmtabletten</t>
  </si>
  <si>
    <t>02804955,  03530721</t>
  </si>
  <si>
    <t>Ciprobay 500mg</t>
  </si>
  <si>
    <t>Cipro-1 A Pharma 750 mg</t>
  </si>
  <si>
    <t>00294929,  01345830</t>
  </si>
  <si>
    <t>Ciprohexal 500 mg</t>
  </si>
  <si>
    <t>00036357,  00819183,  01969973</t>
  </si>
  <si>
    <t>Cipro-1 A Pharma 500 mg</t>
  </si>
  <si>
    <t>01345847,  01345853</t>
  </si>
  <si>
    <t>Ciprohexal 750 mg</t>
  </si>
  <si>
    <t>00819154,  01969938,  01969967</t>
  </si>
  <si>
    <t>Cipro-1 A Pharma 250 mg</t>
  </si>
  <si>
    <t>00241270,  01345801,  01345818</t>
  </si>
  <si>
    <t>Ciprohexal 250 mg</t>
  </si>
  <si>
    <t>Moxifloxacin PUREN 400 mg Filmtabletten</t>
  </si>
  <si>
    <t>J01MA14</t>
  </si>
  <si>
    <t>Moxifloxacinhydrochlorid (Ph.Eur.) ((mit Angaben zum Wassergehalt))</t>
  </si>
  <si>
    <t>Avalox 400 mg/250 ml Infusionslösung</t>
  </si>
  <si>
    <t>Vancomycin Lyomark 500 mg</t>
  </si>
  <si>
    <t>J01XA01</t>
  </si>
  <si>
    <t>Targocid 100 mg</t>
  </si>
  <si>
    <t>J01XA02</t>
  </si>
  <si>
    <t>Teicoplanin</t>
  </si>
  <si>
    <t xml:space="preserve">Als weitere Alternative steht Targocid 400 mg zur Verfügung. </t>
  </si>
  <si>
    <t>Targocid 200 mg - Einreichungsnummer: 2127258</t>
  </si>
  <si>
    <t>Colistimethat-Natrium Infectopharm 3 Million I.E Pulver zur Herstellung einer Infusionslösung</t>
  </si>
  <si>
    <t>J01XB01</t>
  </si>
  <si>
    <t>Colistimethat-Natrium</t>
  </si>
  <si>
    <t>Xellia Pharmaceuticals ApS</t>
  </si>
  <si>
    <t>06252-957700</t>
  </si>
  <si>
    <t>klinik@infectopharm.com</t>
  </si>
  <si>
    <t>ColistiFlex - Einreichungsnummer: 2189172</t>
  </si>
  <si>
    <t>Metronidazol HEXAL 400mg Tabletten</t>
  </si>
  <si>
    <t>J01XD01</t>
  </si>
  <si>
    <t>03263987,  03509164</t>
  </si>
  <si>
    <t>Metronidazol Artesan-Drossapharm</t>
  </si>
  <si>
    <t>Drossapharm Arzneimittel Handelsgesellschaft mbH</t>
  </si>
  <si>
    <t>07621 1672161</t>
  </si>
  <si>
    <t>info@drossapharm.de</t>
  </si>
  <si>
    <t>Lieferunfähigkeit aller Mitbewerber.</t>
  </si>
  <si>
    <t>04858837,  04858903,  04859044,  07521274,  07521280</t>
  </si>
  <si>
    <t>Metronidazol Aristo 400 mg Tabletten</t>
  </si>
  <si>
    <t>Arilin 250 mg</t>
  </si>
  <si>
    <t>0521 8808 7640</t>
  </si>
  <si>
    <t>02587877,  02724311</t>
  </si>
  <si>
    <t>Arilin 500 mg</t>
  </si>
  <si>
    <t>J01XD01, P01AB01</t>
  </si>
  <si>
    <t>1272953, 01272976</t>
  </si>
  <si>
    <t>Furadantin Retard</t>
  </si>
  <si>
    <t>J01XE01</t>
  </si>
  <si>
    <t>Nitrofurantoin</t>
  </si>
  <si>
    <t>Mercury Pharmaceuticals Limited</t>
  </si>
  <si>
    <t>2014147, 02014153</t>
  </si>
  <si>
    <t>Furadantin RP</t>
  </si>
  <si>
    <t>Nifurantin 50 mg</t>
  </si>
  <si>
    <t>0351-3363-445</t>
  </si>
  <si>
    <t>info@apogepha.de</t>
  </si>
  <si>
    <t>Nifurantin 50 mg - Einreichungsnummer: 0338035</t>
  </si>
  <si>
    <t>+49 2129 5301 569</t>
  </si>
  <si>
    <t>02014147,  02014153</t>
  </si>
  <si>
    <t>Furadantin Retard - Einreichungsnummer: 0338087</t>
  </si>
  <si>
    <t>verkauf@apogepha.de</t>
  </si>
  <si>
    <t>01272953,  01272976</t>
  </si>
  <si>
    <t>Furadantin RP - Einreichungsnummer: 0338101</t>
  </si>
  <si>
    <t>Nitrofurantoin-ratiopharm 100 mg Retardkapseln</t>
  </si>
  <si>
    <t>01677070,  08699318,  08699324,  15300185</t>
  </si>
  <si>
    <t>Nitrofurantoin APOGEPHA 100 mg</t>
  </si>
  <si>
    <t>Nitrofurantoin  1 H&lt;2&gt;O</t>
  </si>
  <si>
    <t>Fosfomycin HEXAL 3 g Pulver zur Herstellung einer Lösung zum Einnehmen</t>
  </si>
  <si>
    <t>J01XX01</t>
  </si>
  <si>
    <t>Fosfomycin-Trometamol</t>
  </si>
  <si>
    <t>15268085, 06960250, 06960267, 06960273</t>
  </si>
  <si>
    <t>Nitroxolin forte</t>
  </si>
  <si>
    <t>J01XX07</t>
  </si>
  <si>
    <t>Nitroxolin</t>
  </si>
  <si>
    <t>CHEPHASAAR Chemische-Pharmazeutische Fabrik, Gesellschaft mit beschränkter Haftung</t>
  </si>
  <si>
    <t>+49 (0) 6894 59095 138</t>
  </si>
  <si>
    <t>martina.pitz@mip-pharma.de</t>
  </si>
  <si>
    <t>15267217, 07321925, 07321931</t>
  </si>
  <si>
    <t>Nilox midi</t>
  </si>
  <si>
    <t>CNP Pharma GmbH</t>
  </si>
  <si>
    <t>martina.pitz@cnp-pharma.de</t>
  </si>
  <si>
    <t>01640405, 02886203</t>
  </si>
  <si>
    <t>Zyvoxid 600 mg Filmtabletten</t>
  </si>
  <si>
    <t>J01XX08</t>
  </si>
  <si>
    <t>Linezolid</t>
  </si>
  <si>
    <t>Linezolid - 1 A Pharma 600 mg Filmtabletten - Einreichungsnummer: 2190203</t>
  </si>
  <si>
    <t>01640411</t>
  </si>
  <si>
    <t>Zyvoxid 100 mg/5 ml Granulat zur Herstellung einer Suspension zum Einnehmen</t>
  </si>
  <si>
    <t>11314345</t>
  </si>
  <si>
    <t>Linezolid PUREN 600 mg Filmtabletten</t>
  </si>
  <si>
    <t>Linezolid Glenmark 600 mg Filmtabletten</t>
  </si>
  <si>
    <t>gestiegener Bedarf durch Lieferengpässe von Mitbewerbern</t>
  </si>
  <si>
    <t>Zyvoxid 2 mg/ml Infusionslösung - Einreichungsnummer: 2151712</t>
  </si>
  <si>
    <t>11864353, 11864376</t>
  </si>
  <si>
    <t>Linezolid Denk 600 mg Filmtabletten</t>
  </si>
  <si>
    <t>11864382</t>
  </si>
  <si>
    <t>Linezolid Denk 2mg/ml Infusionslösung</t>
  </si>
  <si>
    <t>11279867,  11279873</t>
  </si>
  <si>
    <t>Linezolid - 1 A Pharma 600 mg Filmtabletten</t>
  </si>
  <si>
    <t>01640374,  01640405,  02886203</t>
  </si>
  <si>
    <t>Das Produkt ist seit gestern, 20.12.2022, wieder verfügbar.</t>
  </si>
  <si>
    <t>Linezolid Ascend 600 mg Filmtabletten - Einreichungsnummer: 2199427</t>
  </si>
  <si>
    <t>01640374,  02886203</t>
  </si>
  <si>
    <t>11240606,  11240612</t>
  </si>
  <si>
    <t>J02AA01</t>
  </si>
  <si>
    <t>Bristol-Myers Squibb GmbH &amp; Co. KGaA</t>
  </si>
  <si>
    <t>0800-7242410</t>
  </si>
  <si>
    <t>medwiss.info@bms.com</t>
  </si>
  <si>
    <t>AmBisome liposomal 50 mg Pulver zur Herstellung einer Infusionsdispersion - Einreichungsnummer: 2134231</t>
  </si>
  <si>
    <t>0040577</t>
  </si>
  <si>
    <t>+49 3834 8539 302</t>
  </si>
  <si>
    <t>RA-Fungizone@cheplapharm.com</t>
  </si>
  <si>
    <t>11240888</t>
  </si>
  <si>
    <t>Fluconazol Denk 100 mg Hartkapseln</t>
  </si>
  <si>
    <t>J02AC01</t>
  </si>
  <si>
    <t>Fluconazol</t>
  </si>
  <si>
    <t>Itraconazol - 1 A Pharma 100 mg Hartkapseln</t>
  </si>
  <si>
    <t>J02AC02</t>
  </si>
  <si>
    <t>Itraconazol</t>
  </si>
  <si>
    <t>Sempera Kapseln</t>
  </si>
  <si>
    <t>0800 7910010</t>
  </si>
  <si>
    <t>Da der Lieferengpass seitens des Mitbewerbers auf der BfArM-Lieferengpass-Seite nicht sichtbar war, konnten wir in diesem Fall nicht vorbeugend tätig werden und unsere Liefermengen nicht rechtzeitig erhöhen.</t>
  </si>
  <si>
    <t>11161019</t>
  </si>
  <si>
    <t>Voriconazol-ratiopharm 200 mg Pulver zur Herstellung einer Infusionslösung</t>
  </si>
  <si>
    <t>J02AC03</t>
  </si>
  <si>
    <t>Voriconazol</t>
  </si>
  <si>
    <t>11666966</t>
  </si>
  <si>
    <t>Voriconazol PUREN 200 mg Pulver zur Herstellung einer Infusionslösung</t>
  </si>
  <si>
    <t>11160988</t>
  </si>
  <si>
    <t>Voriconazol-ratiopharm 200 mg Filmtabletten</t>
  </si>
  <si>
    <t>VFEND 200 mg Pulver zur Herstellung einer Infusionslösung - OP1</t>
  </si>
  <si>
    <t>Voriconazol Accord 200 mg Pulver zur Herstellung einer Infusionslösung - Einreichungsnummer: 2190589</t>
  </si>
  <si>
    <t>Voriconazol-Elpen 200 mg Pulver zur Herstellung einer Infusionslösung</t>
  </si>
  <si>
    <t>Artikel wird zum 01.10.2023 außer Vertrieb genommen.</t>
  </si>
  <si>
    <t>VFEND 40 mg/ml Pulver zur Herstellung einer Suspension zum Einnehmen - OP6g(f.100ml)</t>
  </si>
  <si>
    <t>Noxafil 40 mg/ml Suspension zum Einnehmen - OP105ml</t>
  </si>
  <si>
    <t>J02AC04</t>
  </si>
  <si>
    <t>Posaconazol</t>
  </si>
  <si>
    <t>Noxafil 300 mg Konzentrat zur Herstellung einer Infusionslösung - OP16,7ml</t>
  </si>
  <si>
    <t>melissa.bichler@msd.de</t>
  </si>
  <si>
    <t>CRESEMBA 200 mg Pulver für ein Konzentrat zur Herstellung einer Infusionslösung - OPXXXX</t>
  </si>
  <si>
    <t>J02AC05</t>
  </si>
  <si>
    <t>Isavuconazoniumhydrogensulfat</t>
  </si>
  <si>
    <t>Basilea Pharmaceutica Deutschland GmbH</t>
  </si>
  <si>
    <t>Ancotil</t>
  </si>
  <si>
    <t>J02AX01</t>
  </si>
  <si>
    <t>Flucytosin</t>
  </si>
  <si>
    <t>06924372, 04100767</t>
  </si>
  <si>
    <t>CANCIDAS 50 mg Pulver für ein Konzentrat zur Herstellung einer Infusionslösung - OP1</t>
  </si>
  <si>
    <t>J02AX04</t>
  </si>
  <si>
    <t>Caspofungindiacetat</t>
  </si>
  <si>
    <t>ECALTA 100 mg Pulver für ein Konzentrat zur Herstellung einer Infusionslösung - OP1 - Einreichungsnummer: 2798656</t>
  </si>
  <si>
    <t>04100773</t>
  </si>
  <si>
    <t>CANCIDAS 70 mg Pulver für ein Konzentrat zur Herstellung einer Infusionslösung - OP1</t>
  </si>
  <si>
    <t>12907722</t>
  </si>
  <si>
    <t>Caspofungin Sandoz 70 mg Pulver für ein Konzentrat zur Herstellung einer Infusionslösung</t>
  </si>
  <si>
    <t>Anidulafungin-ratiopharm 100 mg Pulver für ein Konzentrat zur Herstellung einer Infusionslösung</t>
  </si>
  <si>
    <t>J02AX06</t>
  </si>
  <si>
    <t>Anidulafungin</t>
  </si>
  <si>
    <t>Ecalta 100 mg Pulver zur Herstellung eines Konzentrats zur Herstellung einer Infusionslösung - OP1</t>
  </si>
  <si>
    <t>Pfizer S.A.</t>
  </si>
  <si>
    <t>Anidulafungin Accord 100 mg Pulver für ein Konzentrat zur Herstellung einer Infusionslösung - Einreichungsnummer: 2199353</t>
  </si>
  <si>
    <t>Anidulafungin Mylan 100 mg Pulver für ein Konzentrat zur Herstellung einer Infusionslösung</t>
  </si>
  <si>
    <t>Non-GMP-Compliance Meldung des Herstellers außerhalb der EU (Mefar, Türkei)</t>
  </si>
  <si>
    <t>PAS-FATOL N</t>
  </si>
  <si>
    <t>J04AA</t>
  </si>
  <si>
    <t>4-Amino-2-hydroxybenzoesäure-Natriumsalz  (1:1)</t>
  </si>
  <si>
    <t>GRANUPAS 4 g magensaftresistentes Granulat - OP(30x4g) - Einreichungsnummer: 2710191</t>
  </si>
  <si>
    <t>Eremfat Sirup</t>
  </si>
  <si>
    <t>J04AB02</t>
  </si>
  <si>
    <t>Rifampicin</t>
  </si>
  <si>
    <t>EREMFAT 600 mg - Einreichungsnummer: 2103263</t>
  </si>
  <si>
    <t>9505084</t>
  </si>
  <si>
    <t>Eremfat i.v. 300mg</t>
  </si>
  <si>
    <t>Rifampicin-Natrium</t>
  </si>
  <si>
    <t>Eremfat i.v. 600mg</t>
  </si>
  <si>
    <t>nleppkes@esteve.com</t>
  </si>
  <si>
    <t>Isozid 0,5 N</t>
  </si>
  <si>
    <t>J04AC01</t>
  </si>
  <si>
    <t>Isoniazid</t>
  </si>
  <si>
    <t>Isozid 100 mg - Einreichungsnummer: 0192525</t>
  </si>
  <si>
    <t>2525729, 00531447</t>
  </si>
  <si>
    <t>Isozid 100 mg</t>
  </si>
  <si>
    <t>4810055, 04810061</t>
  </si>
  <si>
    <t>Isozid comp. 300 mg N</t>
  </si>
  <si>
    <t>J04AC51</t>
  </si>
  <si>
    <t>Isoniazid; Pyridoxinhydrochlorid</t>
  </si>
  <si>
    <t>Isozid comp. 200 mg N - Einreichungsnummer: 0192979</t>
  </si>
  <si>
    <t>Pyrazinamid 500 mg JENAPHARM</t>
  </si>
  <si>
    <t>J04AK01</t>
  </si>
  <si>
    <t>Pyrazinamid</t>
  </si>
  <si>
    <t>zulassung@mibegmbh</t>
  </si>
  <si>
    <t>PYRAFAT - Einreichungsnummer: 0192844</t>
  </si>
  <si>
    <t>TERIZIDON</t>
  </si>
  <si>
    <t>J04AK03</t>
  </si>
  <si>
    <t>Terizidon</t>
  </si>
  <si>
    <t>+49 38351 760</t>
  </si>
  <si>
    <t>SIRTURO 100 mg Tabletten - OP24(Bl)</t>
  </si>
  <si>
    <t>J04AK05</t>
  </si>
  <si>
    <t>Bedaquilin</t>
  </si>
  <si>
    <t>Deltyba 50 mg Filmtabletten - OP300 - Einreichungsnummer: 2710006</t>
  </si>
  <si>
    <t>Acic 500 mg Pulver zur Herstellung einer Infusionslösung</t>
  </si>
  <si>
    <t>J05AB01</t>
  </si>
  <si>
    <t>Aciclovir-Natrium</t>
  </si>
  <si>
    <t>Acic 250 mg Pulver zur Herstellung einer Infusionslösung</t>
  </si>
  <si>
    <t>870468, 870474</t>
  </si>
  <si>
    <t>Aciclovir 200 - 1 A Pharma</t>
  </si>
  <si>
    <t>Acic 400</t>
  </si>
  <si>
    <t>08671219</t>
  </si>
  <si>
    <t>Aciclovir 800-1 A Pharma</t>
  </si>
  <si>
    <t>1332916, 04119034</t>
  </si>
  <si>
    <t>Aciclovir 400 - 1 A Pharma</t>
  </si>
  <si>
    <t>3851388</t>
  </si>
  <si>
    <t>Cymeven i.v.</t>
  </si>
  <si>
    <t>J05AB06</t>
  </si>
  <si>
    <t>Ganciclovir-Natrium</t>
  </si>
  <si>
    <t>Ganciclovir HEXAL 500 mg Pulver für ein Konzentrat zur Herstellung einer Infusionslösung - Einreichungsnummer: 2189276</t>
  </si>
  <si>
    <t>Ganciclovir HEXAL 500 mg Pulver für ein Konzentrat zur Herstellung einer Infusionslösung</t>
  </si>
  <si>
    <t>11288932</t>
  </si>
  <si>
    <t>14335046, 14335052</t>
  </si>
  <si>
    <t>Valaciclovir PUREN 500 mg Filmtabletten</t>
  </si>
  <si>
    <t>J05AB11</t>
  </si>
  <si>
    <t>Valaciclovirhydrochlorid  x H&lt;2&gt;O</t>
  </si>
  <si>
    <t>Valganaxiro 450 mg Filmtabletten</t>
  </si>
  <si>
    <t>J05AB14</t>
  </si>
  <si>
    <t>Valganciclovirhydrochlorid</t>
  </si>
  <si>
    <t>Medical Valley Invest AB Beiname: AXiromed, Xiromed</t>
  </si>
  <si>
    <t>+49 - 173 3240138</t>
  </si>
  <si>
    <t>andreas.wippler@xiromed.com</t>
  </si>
  <si>
    <t>Foscavir</t>
  </si>
  <si>
    <t>J05AD01</t>
  </si>
  <si>
    <t>Foscarnet-Natrium-Hexahydrat</t>
  </si>
  <si>
    <t>Clinigen Healthcare B.V.</t>
  </si>
  <si>
    <t>069 22 22 413 / + 44 1283 494340</t>
  </si>
  <si>
    <t>MedicineAccess@clinigengroup.com</t>
  </si>
  <si>
    <t>Erhöhte Nachfrage und unzureichendene Produktionskapazitäten</t>
  </si>
  <si>
    <t>Norvir 100 mg Filmtabletten - OP90(3x30)</t>
  </si>
  <si>
    <t>J05AE03</t>
  </si>
  <si>
    <t>Ritonavir</t>
  </si>
  <si>
    <t>AbbVie Deutschland GmbH &amp; Co. KG - Zweigniederlassung -</t>
  </si>
  <si>
    <t>maria.rossmeier@abbvie.com</t>
  </si>
  <si>
    <t xml:space="preserve">Für Norvir 100 mg Filmtabletten (3x30 Filmtabletten) wird ein unvorhersehbarer Lieferengpass mit sofortiger Auswirkung erwartet. Hintergrund dafür ist eine deutlich vermehrte Nachfrage, der nicht angemessen nachgekommen werden kann. </t>
  </si>
  <si>
    <t>13880758,  13880764</t>
  </si>
  <si>
    <t>2714031, 2714918</t>
  </si>
  <si>
    <t>Ritonavir Mylan 100 mg Filmtabletten - OP30</t>
  </si>
  <si>
    <t>Mylan Pharmaceuticals Limited</t>
  </si>
  <si>
    <t>08000 700 800</t>
  </si>
  <si>
    <t>Atazanavir AL 150 mg Hartkapseln</t>
  </si>
  <si>
    <t>J05AE08</t>
  </si>
  <si>
    <t>Atazanavirsulfat</t>
  </si>
  <si>
    <t>APTIVUS 100 mg/ml Lösung zum Einnehmen - OP(1x95ml)</t>
  </si>
  <si>
    <t>J05AE09</t>
  </si>
  <si>
    <t>Tipranavir</t>
  </si>
  <si>
    <t>0800-7790900</t>
  </si>
  <si>
    <t>6559607</t>
  </si>
  <si>
    <t>Zidovudin Aurobindo 100 mg Hartkapseln</t>
  </si>
  <si>
    <t>J05AF01</t>
  </si>
  <si>
    <t>Zidovudin</t>
  </si>
  <si>
    <t>Aurobindo Pharma GmbH</t>
  </si>
  <si>
    <t>+49 89 3700338-0</t>
  </si>
  <si>
    <t>info@aurobindo-pharma.de</t>
  </si>
  <si>
    <t>Potactasol 1 mg Pulver für ein Konzentrat zur Herstellung einer Infusionslösung - OPXXXXmg - Einreichungsnummer: 2708948</t>
  </si>
  <si>
    <t>Retrovir 100mg/10ml Lösung zum Einnehmen</t>
  </si>
  <si>
    <t>ViiV Healthcare B.V.</t>
  </si>
  <si>
    <t>katharina.x.hallinger@gsk.com</t>
  </si>
  <si>
    <t>unerwartet erhöhte Nachfrage</t>
  </si>
  <si>
    <t>13861057, 13861086</t>
  </si>
  <si>
    <t>Tenofovirdisoproxil PUREN 245 mg Filmtabletten</t>
  </si>
  <si>
    <t>J05AF07</t>
  </si>
  <si>
    <t>Tenofovirdisoproxilfumarat</t>
  </si>
  <si>
    <t>12638914</t>
  </si>
  <si>
    <t>Tenofovirdisoproxil Glenmark 245 mg Filmtabletten</t>
  </si>
  <si>
    <t>Tenofovirdisoproxilphosphat</t>
  </si>
  <si>
    <t>12482257, 17867223</t>
  </si>
  <si>
    <t>Entecavir PUREN 1 mg Filmtabletten</t>
  </si>
  <si>
    <t>J05AF10</t>
  </si>
  <si>
    <t>Entecavir 1 H&lt;2&gt;O</t>
  </si>
  <si>
    <t>Viramune 100 Retardtabletten - OP90(Fl)</t>
  </si>
  <si>
    <t>J05AG01</t>
  </si>
  <si>
    <t>Nevirapin  0.5 H&lt;2&gt;O</t>
  </si>
  <si>
    <t>07618619</t>
  </si>
  <si>
    <t>11194504</t>
  </si>
  <si>
    <t>Nevirapin-ratiopharm 400 mg Retardtabletten</t>
  </si>
  <si>
    <t>Nevirapin</t>
  </si>
  <si>
    <t>09775820</t>
  </si>
  <si>
    <t>Nevirapin-ratiopharm 200 mg Tabletten</t>
  </si>
  <si>
    <t>14219624,  14219630</t>
  </si>
  <si>
    <t>Nevirapin-Hormosan 400 mg Retardtabletten</t>
  </si>
  <si>
    <t>Hormosan Pharma Gesellschaft mit beschränkter Haftung - Geschäftsanschrift -</t>
  </si>
  <si>
    <t>service@hormosan.de</t>
  </si>
  <si>
    <t xml:space="preserve">Engpass bei API und Produktion </t>
  </si>
  <si>
    <t>00291807</t>
  </si>
  <si>
    <t>Sustiva 200 mg Hartkapseln - OP90(Fl)</t>
  </si>
  <si>
    <t>J05AG03</t>
  </si>
  <si>
    <t>Efavirenz</t>
  </si>
  <si>
    <t>Bristol-Myers Squibb Pharma EEIG</t>
  </si>
  <si>
    <t>0800-0752002</t>
  </si>
  <si>
    <t>Medwiss.info@bms.com</t>
  </si>
  <si>
    <t>VIRAMUNE 200 mg Tabletten - OP14(Bl) - Einreichungsnummer: 2708151</t>
  </si>
  <si>
    <t>Kapsel</t>
  </si>
  <si>
    <t>SUSTIVA 600 mg Filmtabletten - OP30(Bl)</t>
  </si>
  <si>
    <t>Pifeltro 100 mg Filmtabletten - Einreichungsnummer: 2714546</t>
  </si>
  <si>
    <t>Relenza 5mg/Dosis Einzeldosiertes Pulver zur Inhalation</t>
  </si>
  <si>
    <t>J05AH01</t>
  </si>
  <si>
    <t>Zanamivir</t>
  </si>
  <si>
    <t>0800/122 33 55</t>
  </si>
  <si>
    <t>einzeldosiertes Pulver zur Inhalation</t>
  </si>
  <si>
    <t>00577372</t>
  </si>
  <si>
    <t>0800 / 1223355</t>
  </si>
  <si>
    <t>577372</t>
  </si>
  <si>
    <t>07797094</t>
  </si>
  <si>
    <t>Tamiflu 6 mg/ml Pulver zur Herstellung einer Suspension zum Einnehmen - OP13g</t>
  </si>
  <si>
    <t>J05AH02</t>
  </si>
  <si>
    <t>Oseltamivirphosphat</t>
  </si>
  <si>
    <t>Roche Registration GmbH</t>
  </si>
  <si>
    <t>+49 (0)7624 / 14-2015</t>
  </si>
  <si>
    <t>grenzach.medical_information@roche.com</t>
  </si>
  <si>
    <t>02949599</t>
  </si>
  <si>
    <t>Tamiflu 45 mg Hartkapseln - OP10</t>
  </si>
  <si>
    <t>02948625</t>
  </si>
  <si>
    <t>Tamiflu 30 mg Hartkapseln - OP10</t>
  </si>
  <si>
    <t>00890287</t>
  </si>
  <si>
    <t>Tamiflu 75 mg Hartkapseln - OP10</t>
  </si>
  <si>
    <t>Abacavir/Lamivudin Glenmark 600 mg/300 mg Filmtabletten</t>
  </si>
  <si>
    <t>J05AR02</t>
  </si>
  <si>
    <t>Abacavirhydrochlorid; Lamivudin</t>
  </si>
  <si>
    <t>12731500</t>
  </si>
  <si>
    <t>Emtricitabin/Tenofovirdisoproxil Zentiva 200 mg/245 mg Filmtabletten - OP90(3x30)</t>
  </si>
  <si>
    <t>J05AR03</t>
  </si>
  <si>
    <t>Emtricitabin; Tenofovirdisoproxilphosphat</t>
  </si>
  <si>
    <t>Zentiva, k.s.</t>
  </si>
  <si>
    <t>12731499</t>
  </si>
  <si>
    <t>Emtricitabin/Tenofovirdisoproxil Zentiva 200 mg/245 mg Filmtabletten - OP30</t>
  </si>
  <si>
    <t>Emtricitabin/Tenofovirdisoproxil Hormosan 200 mg/245 mg Filmtabletten</t>
  </si>
  <si>
    <t>erhöhte Nachfrage nach beiden Packungsgrößen im Juni und Juli</t>
  </si>
  <si>
    <t>13420850,  13420867</t>
  </si>
  <si>
    <t>erhöhte Nachfrage nach beiden Packungsgrößen im Juni, Juli August und September</t>
  </si>
  <si>
    <t>Efavirenz/Emtricitabin/Tenofovirdisoproxil Zentiva 600 mg/200 mg/245 mg Filmtabletten - OP30</t>
  </si>
  <si>
    <t>J05AR06</t>
  </si>
  <si>
    <t>Efavirenz; Emtricitabin; Tenofovirdisoproxilphosphat</t>
  </si>
  <si>
    <t>Efavirenz/Emtricitabin/Tenofovirdisoproxil Zentiva 600 mg/200 mg/245 mg Filmtabletten - OP90(3x30)</t>
  </si>
  <si>
    <t>PREVYMIS 240 mg Konzentrat zur Herstellung einer Infusionslösung - OP12ml</t>
  </si>
  <si>
    <t>J05AX</t>
  </si>
  <si>
    <t>Letermovir</t>
  </si>
  <si>
    <t>PREVYMIS 240 mg Filmtabletten - OP28 - Einreichungsnummer: 2714294</t>
  </si>
  <si>
    <t>PREVYMIS 480 mg Konzentrat zur Herstellung einer Infusionslösung - OP12ml</t>
  </si>
  <si>
    <t>PREVYMIS 480 mg Filmtabletten - OP28 - Einreichungsnummer: 2714295</t>
  </si>
  <si>
    <t>00373474</t>
  </si>
  <si>
    <t>Fuzeon 90 mg/ml Pulver und Lösungsmittel zur Herstellung einer Injektionslösung - OP(60+60+Besteck)</t>
  </si>
  <si>
    <t>J05AX07</t>
  </si>
  <si>
    <t>Enfuvirtid</t>
  </si>
  <si>
    <t>Roche Registration Limited</t>
  </si>
  <si>
    <t>ISENTRESS 100 mg Granulat zur Herstellung einer Suspension zum Einnehmen - OP(60x466,6mg)</t>
  </si>
  <si>
    <t>J05AX08</t>
  </si>
  <si>
    <t>Raltegravir-Kalium</t>
  </si>
  <si>
    <t>ISENTRESS 25 mg Kautabletten - OP60(Fl) - Einreichungsnummer: 2709688</t>
  </si>
  <si>
    <t>ISENTRESS 400 mg Filmtabletten - OP180(3x60)(Fl)</t>
  </si>
  <si>
    <t>ISENTRESS 400 mg Filmtabletten - OP60(Fl)</t>
  </si>
  <si>
    <t>ISENTRESS 400 mg Filmtabletten - OP180(3x60)(Fl) - Einreichungsnummer: 2704578</t>
  </si>
  <si>
    <t>10003258,  10003264,  10003270,  10003287,  10003293</t>
  </si>
  <si>
    <t>2671295, 2671296, 2671297, 2671298, 2671299</t>
  </si>
  <si>
    <t>HyQvia</t>
  </si>
  <si>
    <t>J06BA</t>
  </si>
  <si>
    <t>Immunglobulin G vom Menschen</t>
  </si>
  <si>
    <t>Infusionslösung,Infusionslösung</t>
  </si>
  <si>
    <t>12571914,  12571920,  12571937,  12571943,  16023486,  16023492,  16023500,  16023523,  16023569,  16358264,  16358293,  16604065</t>
  </si>
  <si>
    <t>Cuvitru 200 mg/ml Injektionslösung</t>
  </si>
  <si>
    <t>J06BA01</t>
  </si>
  <si>
    <t>15821464,  15821470,  15821487,  15821493,  15821501</t>
  </si>
  <si>
    <t>Cutaquig</t>
  </si>
  <si>
    <t>Octagam 10% - Einreichungsnummer: 2613259</t>
  </si>
  <si>
    <t>15821470,  15821487,  15821493,  15821501</t>
  </si>
  <si>
    <t>Hizentra</t>
  </si>
  <si>
    <t>CSL Behring GmbH</t>
  </si>
  <si>
    <t>+49 69 305 40300</t>
  </si>
  <si>
    <t>CCC@cslbehring.com</t>
  </si>
  <si>
    <t xml:space="preserve">Vermindertes Plasmasammelvolumen aufgrund der COVID-19-Pandemie;betroffenen Packungsgrößen: alle; PZN: 07764019, 07764025, 07764048, 07764054, 07764077, 06613991 </t>
  </si>
  <si>
    <t>11510632</t>
  </si>
  <si>
    <t>IQYMUNE</t>
  </si>
  <si>
    <t>J06BA02</t>
  </si>
  <si>
    <t>04668858, 04668769, 04668835, 04668841, 04668775, 06587176</t>
  </si>
  <si>
    <t>Kiovig</t>
  </si>
  <si>
    <t>Takeda Manufacturing Austria AG</t>
  </si>
  <si>
    <t>0800 1830 742</t>
  </si>
  <si>
    <t>info.de@shire.com</t>
  </si>
  <si>
    <t>Gamunex 10% - Einreichungsnummer: 2603280</t>
  </si>
  <si>
    <t>04668769,  04668775,  04668835,  04668841,  04668858,  06587176</t>
  </si>
  <si>
    <t>2670218, 2670219, 2670220, 2670221, 2670222, 2670735</t>
  </si>
  <si>
    <t>Privigen</t>
  </si>
  <si>
    <t xml:space="preserve">Vermindertes Plasmasammelvolumen aufgrund der COVID-19-Pandemie;betroffenen Packungsgrößen: alle </t>
  </si>
  <si>
    <t>11861975,  11862213,  11862225,  11862236,  11862242,  11862294,  11862302,  11862319</t>
  </si>
  <si>
    <t>Panzyga</t>
  </si>
  <si>
    <t>00439121,  00439581,  00440443,  00440466,  00440489,  00440816,  10920598,  10920606</t>
  </si>
  <si>
    <t>Gamunex 10%</t>
  </si>
  <si>
    <t>Grifols Deutschland GmbH</t>
  </si>
  <si>
    <t>+49 69 660 593 100</t>
  </si>
  <si>
    <t>info.germany@grifols.com</t>
  </si>
  <si>
    <t>Vermindertes Plasmasammelvolumen aufgrund der COVID-19-Pandemie. Alle vertriebenen Packungsgrößen sind betroffen.</t>
  </si>
  <si>
    <t>07798107,  07798136,  07798142,  10982352,  10982369,  16793793,  16793801</t>
  </si>
  <si>
    <t>Ig Vena 50 g/l Infusionslösung</t>
  </si>
  <si>
    <t>KEDRION S.p.A. Localita ai Conti</t>
  </si>
  <si>
    <t>info.de@kedrion.com</t>
  </si>
  <si>
    <t>Shortage in plasma supply - Shortage of Optiglobin 10%</t>
  </si>
  <si>
    <t>03433745,  03433751,  03434093,  03434236</t>
  </si>
  <si>
    <t>Intratect</t>
  </si>
  <si>
    <t>Biotest Pharma GmbH</t>
  </si>
  <si>
    <t>mail@biotest.com</t>
  </si>
  <si>
    <t>00222321,  00223585,  00225472,  00226833</t>
  </si>
  <si>
    <t>Intratect 100g/l</t>
  </si>
  <si>
    <t>01711536,  01711542,  01711559,  01711565,  05382696,  05382704,  06974708</t>
  </si>
  <si>
    <t>2670541, 2670542, 2670543, 2670646, 2670647, 2670648, 2672569</t>
  </si>
  <si>
    <t>+49 69 30540300</t>
  </si>
  <si>
    <t>Vermindertes Plasmasammelvolumen aufgrund der COVID-19-Pandemie; betroffene Packungsgrößen: alle; PZN: 01711536, 01711542, 01711559, 01711565, 05382696, 06974708, 05382704, 01711602 (Klinikpackung), 01711625 (Klinikpackung), 01711631 (Klinikpackung)</t>
  </si>
  <si>
    <t>04712275,  05373958</t>
  </si>
  <si>
    <t>Octagam 5%</t>
  </si>
  <si>
    <t>01128386,  01128392,  04712306</t>
  </si>
  <si>
    <t>Octagam 10%</t>
  </si>
  <si>
    <t>18030450,  18030467,  18030473,  18030510,  18030527</t>
  </si>
  <si>
    <t>Yimmugo</t>
  </si>
  <si>
    <t>Normales Immunglobulin vom Menschen zur intravenösen Anwendung</t>
  </si>
  <si>
    <t>17275646,  17275652,  17275669,  17275681,  17275735</t>
  </si>
  <si>
    <t>Optiglobin 100 mg/ml</t>
  </si>
  <si>
    <t>Sanquin Plasma Products B.V.</t>
  </si>
  <si>
    <t>bjorn.vanderklugt@prothya.com</t>
  </si>
  <si>
    <t>Update 29AUG2023: Prothya can again deliver according to forecast on the German market.</t>
  </si>
  <si>
    <t>04976985, 04976991</t>
  </si>
  <si>
    <t>Rhesonativ</t>
  </si>
  <si>
    <t>J06BB01</t>
  </si>
  <si>
    <t>Anti-D-Immunglobulin vom Menschen</t>
  </si>
  <si>
    <t>02173/ 917-271</t>
  </si>
  <si>
    <t>info@octapharma.de</t>
  </si>
  <si>
    <t>info.de@octapharma.com</t>
  </si>
  <si>
    <t>04616548,  06416146</t>
  </si>
  <si>
    <t>Berirab</t>
  </si>
  <si>
    <t>J06BB05</t>
  </si>
  <si>
    <t>Tollwut-Immunglobulin vom Menschen</t>
  </si>
  <si>
    <t>ccc@cslbehring.com</t>
  </si>
  <si>
    <t>Cyclophosphamid HEXAL 500 mg</t>
  </si>
  <si>
    <t>L01AA01</t>
  </si>
  <si>
    <t>Cyclophosphamid  1 H&lt;2&gt;O</t>
  </si>
  <si>
    <t>Cyclophosphamid HEXAL 2000 mg</t>
  </si>
  <si>
    <t>Cyclophosphamid (Ph.Eur.)</t>
  </si>
  <si>
    <t>Alkeran 50 mg i.v.</t>
  </si>
  <si>
    <t>L01AA03</t>
  </si>
  <si>
    <t>Melphalan</t>
  </si>
  <si>
    <t>089 9308 38-0</t>
  </si>
  <si>
    <t>de-info@aspempharma.e</t>
  </si>
  <si>
    <t>Melphalan SUN 50 mg Pulver und Lösungsmittel zur Herstellung einer Injektions-/Infusionslösung - Einreichungsnummer: 2199941</t>
  </si>
  <si>
    <t>Melphalan-ratiopharm 50 mg Pulver und Lösungsmittel zur Herstellung einer Injektions- bzw. Infusionslösung</t>
  </si>
  <si>
    <t>Melphalanhydrochlorid</t>
  </si>
  <si>
    <t>Melphalan Tillomed 50 mg Pulver und Lösungsmittel zur Herstellung einer Injektions-/Infusionslösung - Einreichungsnummer: 2198102</t>
  </si>
  <si>
    <t>Melphalan SUN 50 mg Pulver und Lösungsmittel zur Herstellung einer Injektions-/Infusionslösung</t>
  </si>
  <si>
    <t>IFO-cell 2g Konzentrat zur Herstellung einer Infusionslösung</t>
  </si>
  <si>
    <t>L01AA06</t>
  </si>
  <si>
    <t>Ifosfamid</t>
  </si>
  <si>
    <t>IFO-cell 5 g Konzentrat zur Herstellung einer Infusionslösung</t>
  </si>
  <si>
    <t>IFO-cell N 1000</t>
  </si>
  <si>
    <t>Bendamustin Kabi 2,5 mg/ml Pulver für ein Konzentrat zur Herstellung einer Infusionslösung</t>
  </si>
  <si>
    <t>L01AA09</t>
  </si>
  <si>
    <t>Bendamustinhydrochlorid</t>
  </si>
  <si>
    <t>Bendamustin beta 180 mg/4 ml Konzentrat zur Herstellung einer Infusionslösung</t>
  </si>
  <si>
    <t>Bendamustinhydrochlorid-Monohydrat</t>
  </si>
  <si>
    <t>betapharm Arzneimittel GmbH</t>
  </si>
  <si>
    <t>klaus.loechner@drreddys.com</t>
  </si>
  <si>
    <t>Shortage is linked to the API. Although Type II variation which was submitted in Nov 2021 got approved, api production could not be started since other changes were submitted via variation DE/H/4539/001/IB/019 which has been finally approved in May 2023.</t>
  </si>
  <si>
    <t>Busilvex 6 mg/ml Konzentrat zur Herstellung einer Infusionslösung - OP(8x10ml)</t>
  </si>
  <si>
    <t>L01AB01</t>
  </si>
  <si>
    <t>Busulfan</t>
  </si>
  <si>
    <t>Pierre Fabre Medicament</t>
  </si>
  <si>
    <t>0761/45261 - 230 od. 0172/1404826</t>
  </si>
  <si>
    <t>Busulfan Fresenius Kabi 6 mg/ml Konzentrat zur Herstellung einer Infusionslösung - OP(8x10ml) - Einreichungsnummer: 2711441</t>
  </si>
  <si>
    <t>10978095</t>
  </si>
  <si>
    <t>Busulfan Fresenius Kabi 6 mg/ml Konzentrat zur Herstellung einer Infusionslösung - OP(8x10ml)</t>
  </si>
  <si>
    <t>Fresenius Kabi Oncology Plc</t>
  </si>
  <si>
    <t xml:space="preserve">0761/45261 - 230 od. 0172/1404826 </t>
  </si>
  <si>
    <t>Produkt wird nicht mehr vermarktet.</t>
  </si>
  <si>
    <t>14445409</t>
  </si>
  <si>
    <t>Zanosar 1 g Pulver für ein Konzentrat zur Herstellung einer Infusionslösung</t>
  </si>
  <si>
    <t>L01AD04</t>
  </si>
  <si>
    <t>Streptozocin</t>
  </si>
  <si>
    <t>Esteve Pharmaceuticals S.A.S.</t>
  </si>
  <si>
    <t>030 3384270</t>
  </si>
  <si>
    <t>Methotrexat-GRY 5000 mg/50 ml Konzentrat zur Herstellung einer Infusionslösung</t>
  </si>
  <si>
    <t>L01BA01</t>
  </si>
  <si>
    <t>Methotrexat-GRY 1000 mg/10 ml Konzentrat zur Herstellung einer Infusionslösung - Einreichungsnummer: 2103192</t>
  </si>
  <si>
    <t>Methotrexat "Lederle" Tabletten 10mg</t>
  </si>
  <si>
    <t>+49 (0)30 55 00 55 52657</t>
  </si>
  <si>
    <t>yvonne.turner@pfizer.com</t>
  </si>
  <si>
    <t>Methotrexat "Lederle" Tabletten 2,5mg - Einreichungsnummer: 2105603</t>
  </si>
  <si>
    <t>Methotrexat-GRY 5 mg/2 ml Injektionslösung</t>
  </si>
  <si>
    <t>03362583, 03362608</t>
  </si>
  <si>
    <t>Methotrexat "Lederle" Lösung 50 mg</t>
  </si>
  <si>
    <t>Methotrexat "Lederle" Lösung 25 mg - Einreichungsnummer: 2101976</t>
  </si>
  <si>
    <t>11180910</t>
  </si>
  <si>
    <t>Methotrexat medac 25 mg/ml Injektionslösung</t>
  </si>
  <si>
    <t>Methotrexat</t>
  </si>
  <si>
    <t>verkaufnational@medac.de</t>
  </si>
  <si>
    <t xml:space="preserve"> API-Mangel</t>
  </si>
  <si>
    <t>Methotrexat-GRY 50 mg/2 ml Injektionslösung - Einreichungsnummer: 2103191</t>
  </si>
  <si>
    <t>04316852,  04316869</t>
  </si>
  <si>
    <t>Methotrexat 15 Injektionslösung medac</t>
  </si>
  <si>
    <t>02034204,  04203562,  05850016,  05850074,  07211094,  07211102,  07211125</t>
  </si>
  <si>
    <t>2128907, 2128908, 3002182</t>
  </si>
  <si>
    <t>Metex 2,5 mg</t>
  </si>
  <si>
    <t>04103 8006- 8248</t>
  </si>
  <si>
    <t>Gem. PRAC-Referral Umstellung Primärpackmittel Container auf Blister mit Verzögerungen. Neue Änderungsanzeige (LZ 24Mon) wird zum 30.06.2021 vorbereitet. Sofern Ende Juli eine Genehmigung des BfArM erfolgt, Ware vsl. ab Mitte August wieder verfügbar</t>
  </si>
  <si>
    <t>Lantarel 2,5 mg - Einreichungsnummer: 2109709</t>
  </si>
  <si>
    <t>Methotrexat "Lederle" Lösung 50 mg wurde zum 15.02.2022 Außerhandel genommen.</t>
  </si>
  <si>
    <t>03362525, 03362531</t>
  </si>
  <si>
    <t>Methotrexat "Lederle" Lösung 25 mg</t>
  </si>
  <si>
    <t>Methotrexat "Lederle" Lösung 25 mg wurde zum 15.02.2022 Außerhandel genommen.</t>
  </si>
  <si>
    <t>Methotrexat-GRY 1000 mg/10 ml Konzentrat zur Herstellung einer Infusionslösung</t>
  </si>
  <si>
    <t>0731 402 7567</t>
  </si>
  <si>
    <t>Rui.Araujo@ratiopharm.de</t>
  </si>
  <si>
    <t>0731 402 7657</t>
  </si>
  <si>
    <t>01234289</t>
  </si>
  <si>
    <t>Mercaptopurin-Medice 10 mg Tabletten</t>
  </si>
  <si>
    <t>L01BB02</t>
  </si>
  <si>
    <t>Mercaptopurin 1 H&lt;2&gt;O</t>
  </si>
  <si>
    <t>Medice Arzneimittel Pütter GmbH &amp; Co. KG</t>
  </si>
  <si>
    <t>02371-9370</t>
  </si>
  <si>
    <t>info@medice.de</t>
  </si>
  <si>
    <t>Xaluprine 20 mg/ml Suspension zum Einnehmen - OP100ml - Einreichungsnummer: 2708678</t>
  </si>
  <si>
    <t>03045149,  03045256</t>
  </si>
  <si>
    <t>2702371, 2702372</t>
  </si>
  <si>
    <t>LITAK 2mg/ml Injektionslösung - OP1</t>
  </si>
  <si>
    <t>L01BB04</t>
  </si>
  <si>
    <t>Cladribin</t>
  </si>
  <si>
    <t>Lipomed GmbH</t>
  </si>
  <si>
    <t>+49 7621 1693 472</t>
  </si>
  <si>
    <t>lipomed@lipomed.com</t>
  </si>
  <si>
    <t>Der aktuell zugelassene Auftragshersteller für das Arzneimittel ist zurzeit nicht in der Lage, das Arzneimittel herzustellen.</t>
  </si>
  <si>
    <t>Leustatin 10mg/10ml Konzentrat zur Herstellung einer Infusionslösung - Einreichungsnummer: 2130426</t>
  </si>
  <si>
    <t>Fludarabinphosphat-GRY 25 mg/ml Konzentrat zur Herstellung einer Injektionslösung oder Infusionslösung</t>
  </si>
  <si>
    <t>L01BB05</t>
  </si>
  <si>
    <t>Fludarabinphosphat (Ph.Eur.)</t>
  </si>
  <si>
    <t>02804808</t>
  </si>
  <si>
    <t>Fludarabinphosphat OMNICARE 25 mg/ml Konzentrat zur Herstellung einer Injektionslösung oder Infusionslösung</t>
  </si>
  <si>
    <t>OmniCare Pharma GmbH</t>
  </si>
  <si>
    <t>089/411 896-0</t>
  </si>
  <si>
    <t>info@omnicare.de</t>
  </si>
  <si>
    <t>06648392</t>
  </si>
  <si>
    <t>Fludara 50 mg Pulver zur Herstellung einer Injektions- oder Infusionslösung</t>
  </si>
  <si>
    <t>00028412, 02804808</t>
  </si>
  <si>
    <t>Fludarabin Aurobindo 25 mg/ml Konzentrat zur Herstellung einer Injektionslösung oder Infusionslösung</t>
  </si>
  <si>
    <t>Fludarabin Aurobindo 25 mg/ml Konzentrat zur Herstellung einer Injektionslösung oder Infusionslösung - Einreichungsnummer: 2188244</t>
  </si>
  <si>
    <t>Fludarabin HEXAL 25 mg/ml Konzentrat zur Herstellung einer Injektions- oder Infusionslösung</t>
  </si>
  <si>
    <t>Ware wird kontigentiert</t>
  </si>
  <si>
    <t>10014055, 10014078</t>
  </si>
  <si>
    <t>Cytarabin Accord 100 mg/ml Injektions-/Infusionslösung</t>
  </si>
  <si>
    <t>L01BC01</t>
  </si>
  <si>
    <t>Cytarabin</t>
  </si>
  <si>
    <t>Accord Healthcare B.V.</t>
  </si>
  <si>
    <t>+49 (0) 89 700 9951-0</t>
  </si>
  <si>
    <t>info@accord-healthcare.com</t>
  </si>
  <si>
    <t>06983044</t>
  </si>
  <si>
    <t>ARA-cell 100mg Injektion</t>
  </si>
  <si>
    <t>06983009</t>
  </si>
  <si>
    <t>ARA-cell 40mg Injektion</t>
  </si>
  <si>
    <t>ARA-cell 1000mg Infusionslösung</t>
  </si>
  <si>
    <t>ARA-cell 4000mg Infusionslösung</t>
  </si>
  <si>
    <t>ARA-cell 100 mg/ml Konzentrat zur Herstellung einer Infusionslösung</t>
  </si>
  <si>
    <t>Fluorouracil HEXAL 50 mg/ml</t>
  </si>
  <si>
    <t>L01BC02</t>
  </si>
  <si>
    <t>Fluorouracil</t>
  </si>
  <si>
    <t>03728044,  03728156,  04142441</t>
  </si>
  <si>
    <t>5-FU medac 50 mg/ml</t>
  </si>
  <si>
    <t>04103-8006-0</t>
  </si>
  <si>
    <t>temporärer Lieferengpass aufgrund erhöhter Nachfrage möglich</t>
  </si>
  <si>
    <t>07020342,  07020394,  07072439,  15895741</t>
  </si>
  <si>
    <t>Benda-5 FU</t>
  </si>
  <si>
    <t xml:space="preserve"> 089/ 45 0808780</t>
  </si>
  <si>
    <t>Aufgrund der Lieferengpässe der Mitbewerber kommt es zu einer ungewöhnlich hohen Nachfrage an Benda-5 FU 50 mg/ml Injektionslösung.Zusätzlich verzögern sich die bereits geplanten Produktionen aufgrund der nicht-Verfügbarkeit von Sterilfiltern, die derzeit größtenteils in der Impfstoffproduktion verwendet werden.</t>
  </si>
  <si>
    <t>Fluorouracil Hikma 50 mg/ml Injektionslösung</t>
  </si>
  <si>
    <t>Einstellen des Inverkehrbringens wurde gemeldet</t>
  </si>
  <si>
    <t>9003187</t>
  </si>
  <si>
    <t>Gemcitabin-GRY 1000 mg Pulver zur Herstellung einer Infusionslösung</t>
  </si>
  <si>
    <t>L01BC05</t>
  </si>
  <si>
    <t>Gemcitabinhydrochlorid</t>
  </si>
  <si>
    <t>Gemcitabin HEXAL 40 mg/ml Konzentrat zur Herstellung einer Infusionslösung - Einreichungsnummer: 2180317</t>
  </si>
  <si>
    <t>00293634</t>
  </si>
  <si>
    <t>Gemedac 38 mg/ml Pulver zur Herstellung einer Infusionslösung</t>
  </si>
  <si>
    <t>16140594</t>
  </si>
  <si>
    <t>Azacitidin Accord 25 mg/ml Pulver zur Herstellung einer Injektionssuspension</t>
  </si>
  <si>
    <t>L01BC07</t>
  </si>
  <si>
    <t>Azacitidin</t>
  </si>
  <si>
    <t>Accord Healthcare S.L.U.</t>
  </si>
  <si>
    <t>Pulver zur Herstellung einer Injektionssuspension</t>
  </si>
  <si>
    <t>Azacitidin HEXAL 25 mg/ml Pulver zur Herstellung einer Injektionssuspension</t>
  </si>
  <si>
    <t>Vinblastinsulfat Teva 1 mg/ml Injektionslösung</t>
  </si>
  <si>
    <t>L01CA01</t>
  </si>
  <si>
    <t>Vinblastinsulfat</t>
  </si>
  <si>
    <t xml:space="preserve">+49 731 402 7028 </t>
  </si>
  <si>
    <t>julian.simon@teva.de</t>
  </si>
  <si>
    <t>05505911, 05505928, 05505934</t>
  </si>
  <si>
    <t>Vincristinsulfat-TEVA 1 mg/ml Injektionslösung</t>
  </si>
  <si>
    <t>L01CA02</t>
  </si>
  <si>
    <t>Vincristinsulfat</t>
  </si>
  <si>
    <t>Vincristinsulfat-TEVA 1 mg/ml Injektionslösung - Einreichungsnummer: 2169430</t>
  </si>
  <si>
    <t>cellcristin 1 mg/ml Injektionslösung</t>
  </si>
  <si>
    <t>06101-603-2416</t>
  </si>
  <si>
    <t>05505911,  05505928,  05505934</t>
  </si>
  <si>
    <t>Eldisine</t>
  </si>
  <si>
    <t>L01CA03</t>
  </si>
  <si>
    <t>Vindesinsulfat</t>
  </si>
  <si>
    <t>Bei dem Lieferengpass handelt sich ausschließlich um ELDISINE 5MG DSS 1PC SDH DE, PZN 08754862</t>
  </si>
  <si>
    <t>Navelbine 50mg/ 5ml</t>
  </si>
  <si>
    <t>L01CA04</t>
  </si>
  <si>
    <t>Vinorelbinbis[(R,R)-tartrat]</t>
  </si>
  <si>
    <t>Pierre Fabre Pharma GmbH</t>
  </si>
  <si>
    <t>0172/1404826 od. 0761/45261 - 230</t>
  </si>
  <si>
    <t>9701951, 9701968</t>
  </si>
  <si>
    <t>Vinorelbin onkovis 10 mg/ml</t>
  </si>
  <si>
    <t>Onkovis GmbH</t>
  </si>
  <si>
    <t>08856-9017480</t>
  </si>
  <si>
    <t>info@onkovis.de</t>
  </si>
  <si>
    <t>10945368</t>
  </si>
  <si>
    <t>Vinorelbin Aurobindo 10 mg/ml Konzentrat zur Herstellung einer Infusionslösung</t>
  </si>
  <si>
    <t>NAVELBINE 80 mg</t>
  </si>
  <si>
    <t>0761 45261230</t>
  </si>
  <si>
    <t>NAVELBINE 20 mg - Einreichungsnummer: 2150133</t>
  </si>
  <si>
    <t>07332780</t>
  </si>
  <si>
    <t>Bendarelbin 10 mg/ml Konzentrat zur Herstellung einer Infusionslösung</t>
  </si>
  <si>
    <t>089 45 08 08 78 72</t>
  </si>
  <si>
    <t>13168310,  13168333</t>
  </si>
  <si>
    <t>Vinorelbin Accord 10 mg/ml Konzentrat zur Herstellung einer Infusionslösung</t>
  </si>
  <si>
    <t>2571008</t>
  </si>
  <si>
    <t>Vinorelbin NC 10 mg/ml - Konzentrat zur Herstellung einer Infusionslösung</t>
  </si>
  <si>
    <t>04636539,  04636574</t>
  </si>
  <si>
    <t>Navirel 10 mg/ml Konzentrat zur Herstellung einer Infusionslösung</t>
  </si>
  <si>
    <t>00193252,  00680733</t>
  </si>
  <si>
    <t>NAVELBINE 20 mg</t>
  </si>
  <si>
    <t>0761/45261-230</t>
  </si>
  <si>
    <t>NAVELBINE 30 mg</t>
  </si>
  <si>
    <t>Vinorelbin HEXAL 80 mg Weichkapseln</t>
  </si>
  <si>
    <t>Javlor 25 mg/ml Konzentrat zur Herstellung einer Infusionslösung - OP(1x2ml)</t>
  </si>
  <si>
    <t>L01CA05</t>
  </si>
  <si>
    <t>Vinfluninbis[(R,R)-tartrat]</t>
  </si>
  <si>
    <t>Javlor 25 mg/ml Konzentrat zur Herstellung einer Infusionslösung - OP(1x10ml)</t>
  </si>
  <si>
    <t xml:space="preserve">00753892, 00753900, 00753923, </t>
  </si>
  <si>
    <t>Eto-Gry 20 mg/ml Konzentrat zur Herstellung einer Infusionslösung</t>
  </si>
  <si>
    <t>L01CB01</t>
  </si>
  <si>
    <t>Etoposid</t>
  </si>
  <si>
    <t>Eto-Gry 20 mg/ml Konzentrat zur Herstellung einer Infusionslösung - Einreichungsnummer: 2145891</t>
  </si>
  <si>
    <t>8855764</t>
  </si>
  <si>
    <t>Etopophos 1000 mg, Pulver zur Herstellung einer Infusionslösung</t>
  </si>
  <si>
    <t>Etoposidphosphat</t>
  </si>
  <si>
    <t>RA-Etopophos@cheplapharm.com</t>
  </si>
  <si>
    <t>Etopophos 100 mg, Pulver zur Herstellung einer Infusionslösung - Einreichungsnummer: 2135021</t>
  </si>
  <si>
    <t>Etopophos 100 mg, Pulver zur Herstellung einer Infusionslösung</t>
  </si>
  <si>
    <t>+49 3834 8539 430</t>
  </si>
  <si>
    <t>Etopophos 1000 mg, Pulver zur Herstellung einer Infusionslösung - Einreichungsnummer: 2141348</t>
  </si>
  <si>
    <t>Pazenir 5 mg/ml Pulver zur Herstellung einer Infusionsdispersion</t>
  </si>
  <si>
    <t>L01CD01</t>
  </si>
  <si>
    <t>Paclitaxel</t>
  </si>
  <si>
    <t>Teva B.V. Beiname: Teva Generics</t>
  </si>
  <si>
    <t>Pulver zur Herstellung einer Infusionsdispersion</t>
  </si>
  <si>
    <t>Abraxane 5 mg/ml Pulver zur Herstellung einer Infusionssuspension - OP1</t>
  </si>
  <si>
    <t xml:space="preserve">Verzögerungen beim Bulkhersteller </t>
  </si>
  <si>
    <t>Pazenir 5 mg/ml Pulver zur Herstellung einer Infusionsdispersion - Einreichungsnummer: 2714545</t>
  </si>
  <si>
    <t>Pulver zur Herstellung einer Infusionssuspension</t>
  </si>
  <si>
    <t>angela.neuhaeusler@bms.com</t>
  </si>
  <si>
    <t>keine</t>
  </si>
  <si>
    <t>11354184</t>
  </si>
  <si>
    <t>Docetaxel Aurobindo 20 mg/ ml Konzentrat zur Herstellung einer Infusionslösung</t>
  </si>
  <si>
    <t>L01CD02</t>
  </si>
  <si>
    <t>Docetaxel</t>
  </si>
  <si>
    <t>Docetaxel-ratiopharm 20 mg/ ml Konzentrat zur Herstellung einer Infusionslösung</t>
  </si>
  <si>
    <t>Doce NC 10 mg/ml Konzentrat zur Herstellung einer Infusionslösung</t>
  </si>
  <si>
    <t>10757371</t>
  </si>
  <si>
    <t>Doxorubicinhydrochlorid Teva 2 mg/ml Konzentrat zur Herstellung einer Infusionslösung</t>
  </si>
  <si>
    <t>L01DB01</t>
  </si>
  <si>
    <t>Doxorubicinhydrochlorid</t>
  </si>
  <si>
    <t>Doxorubicinhydrochlorid Teva 2 mg/ml Konzentrat zur Herstellung einer Infusionslösung - Einreichungsnummer: 2174236</t>
  </si>
  <si>
    <t>07356958</t>
  </si>
  <si>
    <t>DOXO-cell 50 mg Injektionslösung</t>
  </si>
  <si>
    <t>07356964</t>
  </si>
  <si>
    <t>DOXO-cell 150 mg Injektionslösung</t>
  </si>
  <si>
    <t>Myocet 50 mg Pulver, Dispersion und Lösungsmittel für ein Konzentrat zur Herstellung einer Infusionsdispersion - OP(305mg+2ml+5ml)</t>
  </si>
  <si>
    <t>Pulver,Dispersion,Lösungsmittel</t>
  </si>
  <si>
    <t>Caelyx 2 mg/ml Konzentrat zur Herstellung einer Infusionslösung - OP(1x25ml)</t>
  </si>
  <si>
    <t>089/31701-0</t>
  </si>
  <si>
    <t>03197428</t>
  </si>
  <si>
    <t>DAUNOBLASTIN 20 mg Pulver zur Herstellung einer Infusions- oder Injektionslösung</t>
  </si>
  <si>
    <t>L01DB02</t>
  </si>
  <si>
    <t>Daunorubicinhydrochlorid</t>
  </si>
  <si>
    <t>Epi Teva 2 mg/ml Injektionslösung oder Infusionslösung</t>
  </si>
  <si>
    <t>L01DB03</t>
  </si>
  <si>
    <t>Epirubicinhydrochlorid</t>
  </si>
  <si>
    <t>Epi Teva 2 mg/ml Injektionslösung oder Infusionslösung - Einreichungsnummer: 2171687</t>
  </si>
  <si>
    <t>01351285</t>
  </si>
  <si>
    <t>EPI-cell 200mg</t>
  </si>
  <si>
    <t>Bendaepi 2 mg/ml Injektionslösung</t>
  </si>
  <si>
    <t>Riboepi 2 mg/ml Konzentrat zur Herstellung einer Infusionslösung</t>
  </si>
  <si>
    <t>3757465</t>
  </si>
  <si>
    <t>Epimedac 2 mg/ml Injektionslösung</t>
  </si>
  <si>
    <t>Zavedos oral 5mg</t>
  </si>
  <si>
    <t>L01DB06</t>
  </si>
  <si>
    <t>Idarubicinhydrochlorid</t>
  </si>
  <si>
    <t>Zavedos oral 5mg - Einreichungsnummer: 2130382</t>
  </si>
  <si>
    <t>00052669</t>
  </si>
  <si>
    <t>ZAVEDOS 10mg/10ml</t>
  </si>
  <si>
    <t>Zavedos 5mg - Einreichungsnummer: 2119345</t>
  </si>
  <si>
    <t>00052706</t>
  </si>
  <si>
    <t>ZAVEDOS 20mg/20ml</t>
  </si>
  <si>
    <t>16243992, 04477578</t>
  </si>
  <si>
    <t>Zavedos 5mg</t>
  </si>
  <si>
    <t>ZAVEDOS 10mg/10ml - Einreichungsnummer: 2140807</t>
  </si>
  <si>
    <t>ZAVEDOS 20mg/20ml - Einreichungsnummer: 2140808</t>
  </si>
  <si>
    <t>Idarubicin HEXAL 1 mg/ml Konzentrat zur Herstellung einer Infusionslösung - Einreichungsnummer: 2182615</t>
  </si>
  <si>
    <t>Zavedos oral 10mg</t>
  </si>
  <si>
    <t>08828187,  08828201,  08828282</t>
  </si>
  <si>
    <t>Idarubicin HEXAL 1 mg/ml Konzentrat zur Herstellung einer Infusionslösung</t>
  </si>
  <si>
    <t>06983162</t>
  </si>
  <si>
    <t>BLEO-cell Pulver zur Herstellung einer Injektionslösung</t>
  </si>
  <si>
    <t>L01DC01</t>
  </si>
  <si>
    <t>Bleomycinsulfat</t>
  </si>
  <si>
    <t>Bleomedac</t>
  </si>
  <si>
    <t>06980531, 06980548, 06980554</t>
  </si>
  <si>
    <t>Urocin 20mg</t>
  </si>
  <si>
    <t>L01DC03</t>
  </si>
  <si>
    <t>Mitomycin</t>
  </si>
  <si>
    <t>Pulver zur Herstellung einer Injektions- bzw. Infusionslösung oder einer Lösung zur intravesikalen Anwendung</t>
  </si>
  <si>
    <t>11213503,  12357954</t>
  </si>
  <si>
    <t>mito-medac 20 mg Pulver und Lösungsmittel zur Herstellung einer Lösung zur intravesikalen Anwendung</t>
  </si>
  <si>
    <t>04103 8006 9300</t>
  </si>
  <si>
    <t>contact@medac.de</t>
  </si>
  <si>
    <t>alternativ steht die 1er Packung mito-medac (PZN: 11213495) zur Verfügung</t>
  </si>
  <si>
    <t>Pulver zur Herstellung einer Lösung zur intravesikalen Anwendung,Lösungsmittel</t>
  </si>
  <si>
    <t>11213443,  12357948</t>
  </si>
  <si>
    <t>mito-extra 40 mg Pulver und Lösungsmittel zur Herstellung einer Lösung zur intravesikalen Anwendung</t>
  </si>
  <si>
    <t>alternativ steht die 1er Packung mito-extra (PZN: 11213414) zur Verfügung</t>
  </si>
  <si>
    <t>02402211,  08829560</t>
  </si>
  <si>
    <t>Mitem 20mg</t>
  </si>
  <si>
    <t>Substipharm</t>
  </si>
  <si>
    <t>+49 5151 609 96 19</t>
  </si>
  <si>
    <t>iwittlake@pha-res.com</t>
  </si>
  <si>
    <t>Mitem 20mg - Einreichungsnummer: 2140379</t>
  </si>
  <si>
    <t>Pulver zur Herstellung einer Injektions- bzw. Infusionslösung oder einer Lösung zur intravesikalen Anwendung,Lösungsmittel</t>
  </si>
  <si>
    <t>11213495,  11213503,  12357954</t>
  </si>
  <si>
    <t>041038006  0</t>
  </si>
  <si>
    <t>erhöhte Nachfrage aufgrund Lieferengpass eines Mitbewerbers</t>
  </si>
  <si>
    <t>04103 8006 0</t>
  </si>
  <si>
    <t>11213443,  11213495,  11213503,  12357954</t>
  </si>
  <si>
    <t>2191368, 2191369</t>
  </si>
  <si>
    <t>+49 5151 609 96 14</t>
  </si>
  <si>
    <t>hbeck@pha-res.com</t>
  </si>
  <si>
    <t>Shortage due to secondary packaging of pack delays</t>
  </si>
  <si>
    <t>14290964,  14290970,  14290987</t>
  </si>
  <si>
    <t>Urocin 40 mg</t>
  </si>
  <si>
    <t>0351-3363-465</t>
  </si>
  <si>
    <t>06980531,  06980548,  06980554,  12554206</t>
  </si>
  <si>
    <t>Urocin 20mg - Einreichungsnummer: 2137446</t>
  </si>
  <si>
    <t>Urocin 10 mg</t>
  </si>
  <si>
    <t>0351-3363-555</t>
  </si>
  <si>
    <t>Sorafenib STADA 200 mg Filmtabletten</t>
  </si>
  <si>
    <t>L01EX02</t>
  </si>
  <si>
    <t>Sorafenibtosilat</t>
  </si>
  <si>
    <t>00877387, 00877393, 00877418</t>
  </si>
  <si>
    <t>Carboplatin Kabi 10 mg/ml Konzentrat zur Herstellung einer Infusionslösung</t>
  </si>
  <si>
    <t>L01XA02</t>
  </si>
  <si>
    <t>Carboplatin</t>
  </si>
  <si>
    <t>Carboplatin Kabi 10 mg/ml Konzentrat zur Herstellung einer Infusionslösung - Einreichungsnummer: 2184223</t>
  </si>
  <si>
    <t>03731632,00278333,13827623, 13827617, 7765154</t>
  </si>
  <si>
    <t>Oxaliplatin Kabi 5 mg/ml Konzentrat zur Herstellung einer Infusionslösung</t>
  </si>
  <si>
    <t>L01XA03</t>
  </si>
  <si>
    <t>Oxaliplatin</t>
  </si>
  <si>
    <t>13827617, 13827617, 03731632, 00278333,13827623</t>
  </si>
  <si>
    <t>Oxaliplatin Kabi 5 mg/ml Konzentrat zur Herstellung einer Infusionslösung - Einreichungsnummer: 2170865</t>
  </si>
  <si>
    <t>11356898</t>
  </si>
  <si>
    <t>Oxaliplatin Aurobindo 5 mg/ml Konzentrat zur Herstellung einer Infusionslösung</t>
  </si>
  <si>
    <t xml:space="preserve">
13965555</t>
  </si>
  <si>
    <t>Natulan</t>
  </si>
  <si>
    <t>L01XB01</t>
  </si>
  <si>
    <t>Procarbazinhydrochlorid</t>
  </si>
  <si>
    <t>Leadiant GmbH</t>
  </si>
  <si>
    <t>+49 (0) 89 4111 5950</t>
  </si>
  <si>
    <t>info.germany@leadiantbiosciences.com</t>
  </si>
  <si>
    <t>Truxima</t>
  </si>
  <si>
    <t>L01XC02</t>
  </si>
  <si>
    <t>Rituximab</t>
  </si>
  <si>
    <t>Celltrion Healthcare Hungary Kft.</t>
  </si>
  <si>
    <t>06431 7010</t>
  </si>
  <si>
    <t>MabThera - Einreichungsnummer: 2700344</t>
  </si>
  <si>
    <t>02841755</t>
  </si>
  <si>
    <t>Metvix 160 mg/g Creme</t>
  </si>
  <si>
    <t>L01XD03</t>
  </si>
  <si>
    <t>Methyl(5-amino-4-oxopentanoat)-hydrochlorid</t>
  </si>
  <si>
    <t>TOOKAD 183 mg Pulver zur Herstellung einer Injektionslösung - OPXXXXmg</t>
  </si>
  <si>
    <t>L01XD07</t>
  </si>
  <si>
    <t>Padeliporfin-Dikalium</t>
  </si>
  <si>
    <t>STEBA Biotech S.A.</t>
  </si>
  <si>
    <t>+33 (0)9 74 19 79 00</t>
  </si>
  <si>
    <t>info@stebabiotech.com</t>
  </si>
  <si>
    <t>TOOKAD 366 mg Pulver zur Herstellung einer Injektionslösung - OPXXXXmg - Einreichungsnummer: 2713430</t>
  </si>
  <si>
    <t>11669284</t>
  </si>
  <si>
    <t>Imatinib PUREN 100 mg Filmtabletten</t>
  </si>
  <si>
    <t>L01XE01</t>
  </si>
  <si>
    <t>Imatinibmesilat</t>
  </si>
  <si>
    <t>11669278</t>
  </si>
  <si>
    <t>Imatinib PUREN 400 mg Filmtabletten</t>
  </si>
  <si>
    <t>Nexavar 200 mg Filmtabletten - OP112(4x28)</t>
  </si>
  <si>
    <t>L01XE05</t>
  </si>
  <si>
    <t>Erhöhte Marktnachfrage aufgrund von Lieferengpässen anderer PUs</t>
  </si>
  <si>
    <t>SPRYCEL 100 mg Filmtabletten - OP30(30x1)(Bl)</t>
  </si>
  <si>
    <t>L01XE06</t>
  </si>
  <si>
    <t>Dasatinib 1 H&lt;2&gt;O</t>
  </si>
  <si>
    <t>Everolimus Zentiva 5 mg Tabletten</t>
  </si>
  <si>
    <t>L01XE10</t>
  </si>
  <si>
    <t>Everolimus</t>
  </si>
  <si>
    <t>14212645, 14212651</t>
  </si>
  <si>
    <t>Everolimus Zentiva 10 mg Tabletten</t>
  </si>
  <si>
    <t>Everolimus Zentiva 2,5 mg Tabletten</t>
  </si>
  <si>
    <t>15255467, 15255473</t>
  </si>
  <si>
    <t>Everolimus PUREN 10 mg Tabletten</t>
  </si>
  <si>
    <t>Everolimus PUREN 5 mg Tabletten</t>
  </si>
  <si>
    <t>Everolimus PUREN 2,5 mg Tabletten</t>
  </si>
  <si>
    <t>Everolimus AL 5 mg Tabletten</t>
  </si>
  <si>
    <t>Everolimus AL 2,5 mg Tabletten</t>
  </si>
  <si>
    <t>14270832, 14270803</t>
  </si>
  <si>
    <t>Everolimus AL 10 mg Tabletten</t>
  </si>
  <si>
    <t>Caprelsa 300 mg Filmtabletten - OP30</t>
  </si>
  <si>
    <t>L01XE12</t>
  </si>
  <si>
    <t>Vandetanib</t>
  </si>
  <si>
    <t xml:space="preserve">Eingeschränkte Lieferfähigkeit. Abgabe auf Einzelanfrage nach Rezeptvorlage. </t>
  </si>
  <si>
    <t>Caprelsa 100 mg Filmtabletten - OP30</t>
  </si>
  <si>
    <t>Bosulif 400 mg Filmtabletten - OP28</t>
  </si>
  <si>
    <t>L01XE14</t>
  </si>
  <si>
    <t>Bosutinib-Monohydrat</t>
  </si>
  <si>
    <t>Bosulif 100 mg Filmtabletten - OP28(2x14) - Einreichungsnummer: 2709720</t>
  </si>
  <si>
    <t>COMETRIQ 20 mg/80 mg Hartkapseln - OP(4x(7x20mg)+(7x80mg))</t>
  </si>
  <si>
    <t>L01XE26</t>
  </si>
  <si>
    <t>Cabozantinib-L-malat</t>
  </si>
  <si>
    <t>Ipsen Pharma</t>
  </si>
  <si>
    <t>0049 151 72913658</t>
  </si>
  <si>
    <t>elisabeth.krach@ipsen.com</t>
  </si>
  <si>
    <t>COMETRIQ 20 mg Hartkapseln - OP84(4x21) - Einreichungsnummer: 2713944</t>
  </si>
  <si>
    <t>Braftovi 50 mg Hartkapseln</t>
  </si>
  <si>
    <t>L01XE46</t>
  </si>
  <si>
    <t>Encorafenib</t>
  </si>
  <si>
    <t>Erwinase</t>
  </si>
  <si>
    <t>L01XX02</t>
  </si>
  <si>
    <t>Crisantaspase</t>
  </si>
  <si>
    <t>Jazz Pharmaceuticals France SAS</t>
  </si>
  <si>
    <t>+49 89 41109665</t>
  </si>
  <si>
    <t>11853438</t>
  </si>
  <si>
    <t>Spectrila 10000 I.E. Pulver für ein Konzentrat zur Herstellung einer Infusionslösung - OP360mg</t>
  </si>
  <si>
    <t>Asparaginase (E. coli, rekombinant)</t>
  </si>
  <si>
    <t>+49 (0) 30 56 79 61 28</t>
  </si>
  <si>
    <t>Medinfo-DE@jazzpharma.com</t>
  </si>
  <si>
    <t>Nipent 10 mg Pulver zur Herstellung einer Injektionlösung/Infusionslösung</t>
  </si>
  <si>
    <t>L01XX08</t>
  </si>
  <si>
    <t>Pentostatin</t>
  </si>
  <si>
    <t>Topotecan Teva 1 mg/ml Konzentrat zur Herstellung einer Infusionslösung - OP(1x1ml)</t>
  </si>
  <si>
    <t>L01XX17</t>
  </si>
  <si>
    <t>Topotecanhydrochlorid</t>
  </si>
  <si>
    <t>09303311</t>
  </si>
  <si>
    <t>Topotecan Teva 4 mg/4 ml Konzentrat zur Herstellung einer Infusionslösung - OP(1x4ml)</t>
  </si>
  <si>
    <t>09303312</t>
  </si>
  <si>
    <t>Topotecan Teva 4 mg/4 ml Konzentrat zur Herstellung einer Infusionslösung - OP(5x4ml)</t>
  </si>
  <si>
    <t>Topotecan Teva 1 mg/ml Konzentrat zur Herstellung einer Infusionslösung - OP(5x1ml)</t>
  </si>
  <si>
    <t>HYCAMTIN 0,25 mg Hartkapseln - OP10</t>
  </si>
  <si>
    <t>Sandoz Pharmaceuticals d.d.</t>
  </si>
  <si>
    <t>HYCAMTIN 1 mg Hartkapseln - OP10</t>
  </si>
  <si>
    <t>Irinotecan Kabi 20 mg/ml Konzentrat zur Herstellung einer Infusionslösung</t>
  </si>
  <si>
    <t>L01XX19</t>
  </si>
  <si>
    <t>Irinotecanhydrochlorid 3 H&lt;2&gt;O</t>
  </si>
  <si>
    <t>Irinotecan Kabi 20 mg/ml Konzentrat zur Herstellung einer Infusionslösung - Einreichungsnummer: 2175343</t>
  </si>
  <si>
    <t>Irinotecan EVER Pharma 20 mg/ml Konzentrat zur Herstellung einer Infusionslösung</t>
  </si>
  <si>
    <t>EVER Valinject GmbH</t>
  </si>
  <si>
    <t>+49 (0) 8142-42 22 50</t>
  </si>
  <si>
    <t>info.de@everpharma.com</t>
  </si>
  <si>
    <t>Oncaspar 750 E/ml Pulver zur Herstellung einer Injektions-/Infusionslösung - OP2552,64mg</t>
  </si>
  <si>
    <t>L01XX24</t>
  </si>
  <si>
    <t>Pegaspargase</t>
  </si>
  <si>
    <t>Les Laboratoires Servier</t>
  </si>
  <si>
    <t>servier.zulassung-de@servier.com</t>
  </si>
  <si>
    <t>16260358</t>
  </si>
  <si>
    <t>Vyxeos 44 mg/100 mg Pulver für ein Konzentrat zur Herstellung einer Infusionslösung</t>
  </si>
  <si>
    <t>L01XY01</t>
  </si>
  <si>
    <t>Cytarabin; Daunorubicinolhydrochlorid</t>
  </si>
  <si>
    <t>Jazz Pharmaceuticals Ireland Limited - Geschäftsanschrift -</t>
  </si>
  <si>
    <t>+49 894 110 9673</t>
  </si>
  <si>
    <t>martina.herrmann@jazzpharma.com</t>
  </si>
  <si>
    <t>11055671</t>
  </si>
  <si>
    <t>Megestat 160 mg</t>
  </si>
  <si>
    <t>L02AB01</t>
  </si>
  <si>
    <t>Megestrolacetat</t>
  </si>
  <si>
    <t>089 550 6676-0</t>
  </si>
  <si>
    <t>03255864,  03255870,  03297058</t>
  </si>
  <si>
    <t>MPA 500 mg Hexal</t>
  </si>
  <si>
    <t>L02AB02</t>
  </si>
  <si>
    <t>03255835,  03255841</t>
  </si>
  <si>
    <t>MPA 250 mg Hexal</t>
  </si>
  <si>
    <t>ELIGARD 22,5mg</t>
  </si>
  <si>
    <t>L02AE02</t>
  </si>
  <si>
    <t>Leuprorelinmonoacetat</t>
  </si>
  <si>
    <t>Recordati Industria Chimica e Farmaceutica S.p.A.</t>
  </si>
  <si>
    <t>regulatoryaffairs@recordati.de</t>
  </si>
  <si>
    <t>Aufgrund von Kapazitätsengpässen bei der Produktion bei gleichzeitig erhöhter Nachfrage und Absatzmenge des Fertigproduktes Eligard 22,5 mg in den letzten Wochen, erwarten wir ab Mitte/Ende Oktober 2023 einen kurzfristigen Lieferengpass von ca. 2-3 Wochen. Dieser Lieferengpass kann mit Eligard 22,5 mg Ware aus Österreich voraussichtlich kompensiert werden.</t>
  </si>
  <si>
    <t>Pulver zur Herstellung einer Injektionssuspension,Lösungsmittel</t>
  </si>
  <si>
    <t>00647345,  00647374</t>
  </si>
  <si>
    <t>Enantone-Gyn Monats-Depot 3,75mg Retardmikrokapseln und Suspensionsmittel</t>
  </si>
  <si>
    <t>Leuprorelin (Ph.Eur.) ((mit Angaben zum Essigsäure-Gehalt))</t>
  </si>
  <si>
    <t>Retardmikrokapseln,Suspensionsmittel</t>
  </si>
  <si>
    <t>01008363,  04575772,  07591079</t>
  </si>
  <si>
    <t>ZOLADEX-GYN</t>
  </si>
  <si>
    <t>L02AE03</t>
  </si>
  <si>
    <t>Goserelinacetat (1:x)</t>
  </si>
  <si>
    <t>Enantone-Gyn Monats-Depot 3,75mg Retardmikrokapseln und Suspensionsmittel - Einreichungsnummer: 2139769</t>
  </si>
  <si>
    <t>Implantat</t>
  </si>
  <si>
    <t>Decapeptyl N 3,75 mg Pulver und Lösungsmittel zur Herstellung einer Injektionssuspension</t>
  </si>
  <si>
    <t>L02AE04</t>
  </si>
  <si>
    <t>Triptorelinacetat (1:x) ((mit Angaben zum Essigsäure-Gehalt))</t>
  </si>
  <si>
    <t>Enantone Monats-Depot 3,75mg Retardmikrokapseln und Suspensionsmittel - Einreichungsnummer: 2134204</t>
  </si>
  <si>
    <t>Retardmikrokapseln,Lösungsmittel</t>
  </si>
  <si>
    <t>10815157, 10815163</t>
  </si>
  <si>
    <t>DECAPEPTYL Gyn 3,75mg Pulver und Lösungsmittel zur Herstellung einer Injektionssuspension</t>
  </si>
  <si>
    <t>NOLVADEX 20 mg</t>
  </si>
  <si>
    <t>L02BA01</t>
  </si>
  <si>
    <t>Tamoxifencitrat</t>
  </si>
  <si>
    <t>Tamoxifen 20 mg Hexal - Einreichungsnummer: 2106257</t>
  </si>
  <si>
    <t>03852301, 03852318</t>
  </si>
  <si>
    <t>Tamoxifen AL 20</t>
  </si>
  <si>
    <t>03103166,  03103172</t>
  </si>
  <si>
    <t>Tamoxifen 20 mg Hexal</t>
  </si>
  <si>
    <t>03852301,  03852318</t>
  </si>
  <si>
    <t>Tamoxifen 40 mg Hexal</t>
  </si>
  <si>
    <t>Tamoxifen 10 mg Hexal</t>
  </si>
  <si>
    <t>Tamoxifen 30 mg Hexal</t>
  </si>
  <si>
    <t>03095225,  03095231</t>
  </si>
  <si>
    <t>Tamoxifen-ratiopharm 20mg Tabletten</t>
  </si>
  <si>
    <t>Tamoxifen AbZ 20 mg Tabletten</t>
  </si>
  <si>
    <t>Tamoxifen AL 30</t>
  </si>
  <si>
    <t>03570956,  12350372</t>
  </si>
  <si>
    <t>Tamoxifen 20 Heumann</t>
  </si>
  <si>
    <t>10410472,  10410489</t>
  </si>
  <si>
    <t>Tamoxifen Aristo 10 mg Tabletten</t>
  </si>
  <si>
    <t>10410466,  10410472</t>
  </si>
  <si>
    <t>Tamoxifen Aristo 20 mg Tabletten</t>
  </si>
  <si>
    <t>11307345</t>
  </si>
  <si>
    <t>Anastrozol Glenmark 1 mg Filmtabletten</t>
  </si>
  <si>
    <t>L02BG03</t>
  </si>
  <si>
    <t>Anastrozol</t>
  </si>
  <si>
    <t>02764523</t>
  </si>
  <si>
    <t>Lyseen</t>
  </si>
  <si>
    <t>L03</t>
  </si>
  <si>
    <t>Lactobacillus fermentum, inaktiviert; Lactobacillus rhamnosus, inaktiviert; Lactobacillus salivarius, inaktiviert; Lactobacillus vaginalis, inaktiviert</t>
  </si>
  <si>
    <t>VL.Strathmann.Info@dermapharm.com</t>
  </si>
  <si>
    <t>00088383</t>
  </si>
  <si>
    <t>Booster-Gynatren</t>
  </si>
  <si>
    <t>00812531</t>
  </si>
  <si>
    <t>IntronA 18 Millionen I.E. Injektionslösung in Mehrfachdosierungs-Pen - OP[8x1,2ml(+48Inj.Set)]</t>
  </si>
  <si>
    <t>L03AB05</t>
  </si>
  <si>
    <t>Interferon alfa-2b</t>
  </si>
  <si>
    <t>IntronA 25 Millionen I.E. Injektionslösung - OP(2x2,5ml)</t>
  </si>
  <si>
    <t>IntronA 18 Millionen I.E. Injektionslösung - OP(1x3ml) - Einreichungsnummer: 2700972</t>
  </si>
  <si>
    <t>IntronA 25 Millionen I.E. Injektionslösung - OP(1x2,5ml)</t>
  </si>
  <si>
    <t>IntronA 25 Millionen I.E. Injektionslösung - OP(2x2,5ml) - Einreichungsnummer: 2700978</t>
  </si>
  <si>
    <t>16771811</t>
  </si>
  <si>
    <t>Proleukin S 18 x 10 6 IE Pulver zur Herstellung einer Injektions- bzw. Infusionslösung</t>
  </si>
  <si>
    <t>L03AC01</t>
  </si>
  <si>
    <t>Aldesleukin</t>
  </si>
  <si>
    <t>medicineaccess@clinigengroup.com</t>
  </si>
  <si>
    <t>Uvadex 20 Mikrogramm/ml Lösung zur Modifikation einer Blutfraktion</t>
  </si>
  <si>
    <t>L03AX</t>
  </si>
  <si>
    <t>Methoxsalen</t>
  </si>
  <si>
    <t>Therakos Europe Limited</t>
  </si>
  <si>
    <t xml:space="preserve">+44 (0) 7711852727 </t>
  </si>
  <si>
    <t xml:space="preserve">Ashley.Alleway@mnk.com </t>
  </si>
  <si>
    <t>Reason for the potential shortage: Awaiting review and approval of Type 1b variation that was submitted on 01 November 2021 (procedure number DK/H/3007/001/IB/033, eCTD sequence 0040). The variation was subsequently reclassified by the RMS Agency (DKMA) on 07 January 2022 as a Type II (B.II.b.3.b) and re-submitted on 04 February 2022 (procedure number DK/H/3007/001/II/034, eCTD sequence 0042).</t>
  </si>
  <si>
    <t>Lösung zur Modifikation einer Blutfraktion</t>
  </si>
  <si>
    <t>02736461, 02736484</t>
  </si>
  <si>
    <t>BCG-medac</t>
  </si>
  <si>
    <t>L03AX03</t>
  </si>
  <si>
    <t>BCG-Bakterien, Stamm RIVM abgeleitet vom Stamm 1173-P2, lebend</t>
  </si>
  <si>
    <t>aktuell wird der Markt gut mit BCG versorgt und es besteht derzeit keine Lieferengpass-Situation</t>
  </si>
  <si>
    <t>06964414</t>
  </si>
  <si>
    <t>OncoTICE</t>
  </si>
  <si>
    <t>BCG-Bakterien, Stamm TICE, lebend, attenuiert</t>
  </si>
  <si>
    <t>BCG-medac - Einreichungsnummer: 2602431</t>
  </si>
  <si>
    <t>Lyophilisat</t>
  </si>
  <si>
    <t>11638898</t>
  </si>
  <si>
    <t>BEROMUN 1 mg Pulver und Lösungsmittel zur Herstellung einer Infusionslösung - OP(4+4)</t>
  </si>
  <si>
    <t>L03AX11</t>
  </si>
  <si>
    <t>Tasonermin</t>
  </si>
  <si>
    <t>BELPHARMA S.A.</t>
  </si>
  <si>
    <t>office@belpharma.l</t>
  </si>
  <si>
    <t>Lösungsmittel</t>
  </si>
  <si>
    <t>5379530</t>
  </si>
  <si>
    <t>Mozobil 20 mg/ml Injektionslösung - OP(1x1,2ml)</t>
  </si>
  <si>
    <t>L03AX16</t>
  </si>
  <si>
    <t>Plerixafor</t>
  </si>
  <si>
    <t>0800 04 36 966</t>
  </si>
  <si>
    <t>Atgam</t>
  </si>
  <si>
    <t>L04AA03</t>
  </si>
  <si>
    <t>Anti-Human-T-Zell-Lymphozytenglobulin vom Pferd</t>
  </si>
  <si>
    <t>Rapamune 1 mg überzogene Tabletten - OP100</t>
  </si>
  <si>
    <t>L04AA10</t>
  </si>
  <si>
    <t>Sirolimus</t>
  </si>
  <si>
    <t>Rapamune 1 mg überzogene Tablette - OP30 - Einreichungsnummer: 2701767</t>
  </si>
  <si>
    <t>Rapamune 1 mg/ml Lösung zum Einnehmen - OP60ml</t>
  </si>
  <si>
    <t>Rapamune 0,5 mg Filmtabletten - OP30 - Einreichungsnummer: 2707414</t>
  </si>
  <si>
    <t>Rapamune 2 mg überzogene Tablette - OP100</t>
  </si>
  <si>
    <t>Rapamune 1 mg überzogene Tabletten - OP100 - Einreichungsnummer: 2701768</t>
  </si>
  <si>
    <t>ORENCIA 125 mg Injektionslösung im Fertigpen - OP(12x1ml)</t>
  </si>
  <si>
    <t>L04AA24</t>
  </si>
  <si>
    <t>Abatacept</t>
  </si>
  <si>
    <t>kurt.abenthum@bms.com</t>
  </si>
  <si>
    <t>ORENCIA 125 mg Injektionslösung in Fertigspritze - OP(12x1ml) - Einreichungsnummer: 2711619</t>
  </si>
  <si>
    <t>ORENCIA 125 mg Injektionslösung im Fertigpen - OP(4x1ml)</t>
  </si>
  <si>
    <t>ORENCIA 125 mg Injektionslösung in Fertigspritze - OP(4x1ml) - Einreichungsnummer: 2711006</t>
  </si>
  <si>
    <t>Erhöhte Nachfrage. Der Verordnungsanteil von Parallelimporten von Orencia Fertigpens (Gesamtzahl) ist von Okt 21 bis Okt 22 stark gesunken. Für 2023 werden bei geplanter Mengenerhöhung nur moderate Mengenkürzungen erwartet.</t>
  </si>
  <si>
    <t>Erhöhte Nachfrage. Der Verordnungsanteil vonParallelimporten von Orencia Fertigpens (Gesamtzahl)ist von Okt 21 bis Okt 22 stark gesunken. Für 2023werden bei geplanter Mengenerhöhung nur moderateMengenkürzungen erwartet.</t>
  </si>
  <si>
    <t>ORENCIA 125 mg Injektionslösung in Fertigspritze - OP(12x1ml)</t>
  </si>
  <si>
    <t>Erhöhte Nachfrage. Der Verordnungsanteil von Parallelimporten von Orencia Fertigspritzen (Gesamtzahl) ist von Okt 21 bis Okt 22 stark gesunken. Für 2023 werden bei geplanter Mengenerhöhung nur moderate Mengenkürzungen erwartet.</t>
  </si>
  <si>
    <t>ORENCIA 125 mg Injektionslösung in Fertigspritze - OP(4x1ml)</t>
  </si>
  <si>
    <t>Erhöhte Nachfrage. Der Verordnungsanteil von Parallelimporten von Orencia Fertigspritzen (Gesamtzahl) ist von Okt 21 bis Okt 22 stark gesunken.Für 2023 werden bei geplanter Mengenerhöhung nur moderate Mengenkürzungen erwartet.</t>
  </si>
  <si>
    <t>NULOJIX 250 mg Pulver für ein Konzentrat zur Herstellung einer Infusionslösung -OP(2x869,4mg)</t>
  </si>
  <si>
    <t>L04AA28</t>
  </si>
  <si>
    <t>Belatacept</t>
  </si>
  <si>
    <t>Bristol-Myers Squibb Pharmaceuticals Limited</t>
  </si>
  <si>
    <t>tim.rakemann@bms.com</t>
  </si>
  <si>
    <t>EMA/439578/2023 Rev.51,2, Update of 29 September 2023:The shortage affecting Nulojix has been resolved.</t>
  </si>
  <si>
    <t>NULOJIX 250 mg Pulver für ein Konzentrat zur Herstellung einer Infusionslösung - OP869,4mg</t>
  </si>
  <si>
    <t>0800-7 24 24 10</t>
  </si>
  <si>
    <t>Benepali 25 mg Injektionslösung in Fertigspritze - OP24[6x(4x0,51ml)]</t>
  </si>
  <si>
    <t>L04AB01</t>
  </si>
  <si>
    <t>Etanercept</t>
  </si>
  <si>
    <t>Samsung Bioepis NL B.V.</t>
  </si>
  <si>
    <t xml:space="preserve">+49 89 99617-153 </t>
  </si>
  <si>
    <t>jenny.lauterbach@biogen.com</t>
  </si>
  <si>
    <t>Benepali 50 mg Injektionslösung in Fertigspritze - OP12[3x(4x0,98ml)]</t>
  </si>
  <si>
    <t>Simulect</t>
  </si>
  <si>
    <t>L04AC02</t>
  </si>
  <si>
    <t>Basiliximab</t>
  </si>
  <si>
    <t>Novartis Europharm Limited'</t>
  </si>
  <si>
    <t>Das Produkt ist wieder verfügbar.</t>
  </si>
  <si>
    <t>Novartis Europharm Limited</t>
  </si>
  <si>
    <t>Das Produkt ist wieder verfügbar</t>
  </si>
  <si>
    <t>+49 911 273 133 78</t>
  </si>
  <si>
    <t>Simulect 20 mg ist ab heute wieder lieferbar.</t>
  </si>
  <si>
    <t>0049 - 911 - 273 - 13378</t>
  </si>
  <si>
    <t>Simulect 10 mg ist ab heute wieder lieferbar.</t>
  </si>
  <si>
    <t>02597686,  10056740,  10056757</t>
  </si>
  <si>
    <t>2672377, 2674083, 2674084</t>
  </si>
  <si>
    <t>RoActemra</t>
  </si>
  <si>
    <t>L04AC07</t>
  </si>
  <si>
    <t>Tocilizumab</t>
  </si>
  <si>
    <t xml:space="preserve">grenzach.medical_information@roche.com </t>
  </si>
  <si>
    <t>Stark erhöhte Nachfrage aufgrund COVID-19 Pandemie</t>
  </si>
  <si>
    <t>RoActemra - Einreichungsnummer: 2672378</t>
  </si>
  <si>
    <t>Sandimmun 100 mg/ml Lösung zum Einnehmen</t>
  </si>
  <si>
    <t>L04AD01</t>
  </si>
  <si>
    <t>Ciclosporin</t>
  </si>
  <si>
    <t>infoservice.novartis@novartis.com</t>
  </si>
  <si>
    <t>Neue Ware verfügbar.</t>
  </si>
  <si>
    <t>Sandimmun 50 mg/ml Konzentrat zur Herstellung einer Infusionslösung</t>
  </si>
  <si>
    <t>Verzögerung bei der Packmittelbelieferung; Das Produkt ist ab dem 01.02.2023 wieder verfügbar; der Lieferengpass ist beendet.</t>
  </si>
  <si>
    <t>Sandimmun 100 mg Weichkapseln</t>
  </si>
  <si>
    <t>Neue Ware ist wieder verfügbar.</t>
  </si>
  <si>
    <t>09534571,  09534588</t>
  </si>
  <si>
    <t>Tacrolimus AL 1 mg Hartkapseln</t>
  </si>
  <si>
    <t>L04AD02</t>
  </si>
  <si>
    <t>Tacrolimus</t>
  </si>
  <si>
    <t>09534542,  09534565</t>
  </si>
  <si>
    <t>Tacrolimus AL 0,5 mg Hartkapseln</t>
  </si>
  <si>
    <t>09534594,  09534602</t>
  </si>
  <si>
    <t>Tacrolimus AL 5 mg Hartkapseln</t>
  </si>
  <si>
    <t>Ware wieder frei verfügbar! Meldung kann gelöscht werden!</t>
  </si>
  <si>
    <t>16228751,  16228754</t>
  </si>
  <si>
    <t>Dailiport 3 mg Hartkapseln, retardiert</t>
  </si>
  <si>
    <t>16228811,  16228828</t>
  </si>
  <si>
    <t>Dailiport 0,5 mg Hartkapseln, retardiert</t>
  </si>
  <si>
    <t>16228722,  16228797</t>
  </si>
  <si>
    <t>Dailiport 5 mg Hartkapseln, retardiert</t>
  </si>
  <si>
    <t>Imurek i.v.</t>
  </si>
  <si>
    <t>L04AX01</t>
  </si>
  <si>
    <t>Azathioprin-Natrium (1:x) ((mit Angaben zur Zusammensetzung))</t>
  </si>
  <si>
    <t>07504407,  07504413</t>
  </si>
  <si>
    <t>Azathioprin HEXAL 75 mg Filmtabletten</t>
  </si>
  <si>
    <t>Azathioprin</t>
  </si>
  <si>
    <t>Thalidomide Celgene 50 mg Hartkapseln - OP28(2x14)</t>
  </si>
  <si>
    <t>L04AX02</t>
  </si>
  <si>
    <t>Thalidomid</t>
  </si>
  <si>
    <t>Celgene Europe B.V.</t>
  </si>
  <si>
    <t>Die neue Bezeichnung von Thalidomide Celgene (PZN: 01223216) lautet Thalidomid BMS (PZN: 16880629).</t>
  </si>
  <si>
    <t>12906119</t>
  </si>
  <si>
    <t>Esbriet 801 mg Filmtabletten - OP252(3x84)</t>
  </si>
  <si>
    <t>L04AX05</t>
  </si>
  <si>
    <t>Pirfenidon</t>
  </si>
  <si>
    <t>+49 7624 14 4000</t>
  </si>
  <si>
    <t>grenzach.communications@roche.com</t>
  </si>
  <si>
    <t>Esbriet 801 mg Filmtabletten - OP84 - Einreichungsnummer: 2718296</t>
  </si>
  <si>
    <t>18155513,  18155536</t>
  </si>
  <si>
    <t>Dimethylfumarat AL 240 mg magensaftresistente Hartkapseln</t>
  </si>
  <si>
    <t>L04AX07</t>
  </si>
  <si>
    <t>Dimethylfumarat</t>
  </si>
  <si>
    <t>Dimethylfumarat AL 120 mg magensaftresistente Hartkapseln</t>
  </si>
  <si>
    <t>00618616,  00618622,  00618639</t>
  </si>
  <si>
    <t>Meloxicam - 1 A Pharma 15 mg Tabletten</t>
  </si>
  <si>
    <t>M01AC06</t>
  </si>
  <si>
    <t>Meloxicam</t>
  </si>
  <si>
    <t>00618562,  00618579,  00618591</t>
  </si>
  <si>
    <t>Meloxicam - 1 A Pharma 7,5 mg Tabletten</t>
  </si>
  <si>
    <t>01084329,  01084335,  01084341,  04901674</t>
  </si>
  <si>
    <t>Meloxicam AL 15 mg Tabletten</t>
  </si>
  <si>
    <t>Transfer zu neuem Lieferanten.</t>
  </si>
  <si>
    <t>01084298,  01084306,  01084312</t>
  </si>
  <si>
    <t>Meloxicam AL 7,5 mg Tabletten</t>
  </si>
  <si>
    <t>Ibuprofen AL 800</t>
  </si>
  <si>
    <t>M01AE01</t>
  </si>
  <si>
    <t>Ibuprofen</t>
  </si>
  <si>
    <t>05904924, 06876785, 06876791, 06876816</t>
  </si>
  <si>
    <t>Ibuprofen AL 600</t>
  </si>
  <si>
    <t>05904918, 03530945, 03530951, 03530968</t>
  </si>
  <si>
    <t>Ibuprofen AL 400</t>
  </si>
  <si>
    <t>Ibuflam 40 mg/ml</t>
  </si>
  <si>
    <t>6313450, 6313444, 6323438, 5499091</t>
  </si>
  <si>
    <t>Ibuflam 800mg Lichtenstein</t>
  </si>
  <si>
    <t>00800 53 53 010</t>
  </si>
  <si>
    <t>Ibuprofen AL akut 400 mg Filmtabletten</t>
  </si>
  <si>
    <t>6313378, 6313361, 6313355, 5499079</t>
  </si>
  <si>
    <t>Ibuflam 400mg Lichtenstein</t>
  </si>
  <si>
    <t>6313415, 6313409, 6313390,5488085</t>
  </si>
  <si>
    <t>Ibuflam 600mg Lichtenstein</t>
  </si>
  <si>
    <t>Ibuprofen AL 40 mg/ml Suspension zum Einnehmen</t>
  </si>
  <si>
    <t>Ibuprofen B. Braun 600 mg Infusionslösung</t>
  </si>
  <si>
    <t>05661 9147 7307</t>
  </si>
  <si>
    <t>Ibuflam Kindersaft 20 mg/ml gegen Fieber und Schmerzen</t>
  </si>
  <si>
    <t>4777323, 04777346, 04777352</t>
  </si>
  <si>
    <t>Ibuprofen AL 800 retard</t>
  </si>
  <si>
    <t>Verkehrsstatus Außer Vertrieb: 15.12.2022</t>
  </si>
  <si>
    <t>10320763</t>
  </si>
  <si>
    <t>Celecoxib AL 200 mg Hartkapseln</t>
  </si>
  <si>
    <t>M01AH01</t>
  </si>
  <si>
    <t>Celecoxib</t>
  </si>
  <si>
    <t>Dynastat 40 mg Pulver und Lösungsmittel zur Herstellung einer Injektionslösung - OP(5+5)</t>
  </si>
  <si>
    <t>M01AH04</t>
  </si>
  <si>
    <t>Parecoxib-Natrium</t>
  </si>
  <si>
    <t>Lieferengpass konnte abgewendet werden.</t>
  </si>
  <si>
    <t>Dynastat 40 mg Pulver und Lösungsmittel zur Herstellung einer Injektionslösung - OP(1+1)</t>
  </si>
  <si>
    <t>Etoricoxib Glenmark 60 mg Filmtabletten</t>
  </si>
  <si>
    <t>M01AH05</t>
  </si>
  <si>
    <t>Etoricoxib</t>
  </si>
  <si>
    <t>Etoricoxib Glenmark 30 mg Filmtabletten</t>
  </si>
  <si>
    <t>Etoricoxib Glenmark 90 mg Filmtabletten</t>
  </si>
  <si>
    <t>12585537</t>
  </si>
  <si>
    <t>Etoricoxib Zentiva 60 mg Filmtabletten</t>
  </si>
  <si>
    <t>Etoricoxib Zentiva 120 mg Filmtabletten</t>
  </si>
  <si>
    <t>Etoricoxib Zentiva 90 mg Filmtabletten</t>
  </si>
  <si>
    <t>Etoricoxib Zentiva 30 mg Filmtabletten</t>
  </si>
  <si>
    <t>Etorican 90 mg Filmtabletten</t>
  </si>
  <si>
    <t>deutliche höhere Nachfrage in April und Mai, dadurch Engpass Ende Juni und Juli</t>
  </si>
  <si>
    <t>Etorican 90 mg Filmtabletten - Einreichungsnummer: 2197258</t>
  </si>
  <si>
    <t>deutlich höhere Nachfrage in Jul und Aug</t>
  </si>
  <si>
    <t>06057202,  06057219</t>
  </si>
  <si>
    <t>Metalcaptase 300 mg</t>
  </si>
  <si>
    <t>M01CC01, TERM_ID_NA_2090010126, V03AB</t>
  </si>
  <si>
    <t>Penicillamin</t>
  </si>
  <si>
    <t>unerwartete Probleme in der Herstellung der Tabletten</t>
  </si>
  <si>
    <t>07289558,  07289564</t>
  </si>
  <si>
    <t>Metalcaptase 150 mg</t>
  </si>
  <si>
    <t>+49 30 816 96 – 0</t>
  </si>
  <si>
    <t xml:space="preserve"> info@heyl-berlin.de</t>
  </si>
  <si>
    <t>Haupt Pharma Wülfing GmbH ....</t>
  </si>
  <si>
    <t>Metalcaptase 300 mg - Einreichungsnummer: 0812873</t>
  </si>
  <si>
    <t>Verpackung und Versand der neu hergestellten Chargen wurden schneller durchgeführt als erwartet. Daher endet die Lieferunfähigkeit früher als erwartet.</t>
  </si>
  <si>
    <t>Lysthenon siccum</t>
  </si>
  <si>
    <t>M03AB01</t>
  </si>
  <si>
    <t>Suxamethoniumchlorid  2 H&lt;2&gt;O</t>
  </si>
  <si>
    <t>(030) 206277 234</t>
  </si>
  <si>
    <t>margarethe.vetter@takeda.de</t>
  </si>
  <si>
    <t>07714122</t>
  </si>
  <si>
    <t>Pancuronium Inresa</t>
  </si>
  <si>
    <t>M03AC01</t>
  </si>
  <si>
    <t>Pancuroniumbromid</t>
  </si>
  <si>
    <t>0761 475047</t>
  </si>
  <si>
    <t>Pancuroniumbromid PANPHARMA 2 mg/ml Injektionslösung - Einreichungsnummer: 3000212</t>
  </si>
  <si>
    <t>Rocuroniumbromid B. Braun 10 mg/ml</t>
  </si>
  <si>
    <t>M03AC09</t>
  </si>
  <si>
    <t>Rocuroniumbromid</t>
  </si>
  <si>
    <t>05661 - 9147 -7309</t>
  </si>
  <si>
    <t>Rocuronium Inresa 10 mg/ml Injektionslösung/Infusionslösung - Einreichungsnummer: 2176412</t>
  </si>
  <si>
    <t>Rocuroniumbromid Kabi 10 mg/ml Injektionslösung / Infusionslösung</t>
  </si>
  <si>
    <t>Mivacron 20mg</t>
  </si>
  <si>
    <t>M03AC10</t>
  </si>
  <si>
    <t>Mivacuriumchlorid</t>
  </si>
  <si>
    <t>Flüssige Verdünnung zur Injektion</t>
  </si>
  <si>
    <t>Mivacron 10mg</t>
  </si>
  <si>
    <t>Nimbex 10mg</t>
  </si>
  <si>
    <t>M03AC11</t>
  </si>
  <si>
    <t>Cisatracuriumbesilat</t>
  </si>
  <si>
    <t>Nimbex 10 mg - Einreichungsnummer: 2152783</t>
  </si>
  <si>
    <t>Cisatracurium-hameln 2 mg/ml Injektionslösung/Infusionslösung - Einreichungsnummer: 2181736</t>
  </si>
  <si>
    <t>Nimbex 5mg</t>
  </si>
  <si>
    <t>Cisatracurium-hameln 2 mg/ml Injektionslösung/Infusionslösung</t>
  </si>
  <si>
    <t>++49 160 704 73 11</t>
  </si>
  <si>
    <t>mail@hameln-pharma.com</t>
  </si>
  <si>
    <t xml:space="preserve"> Fehlerhaftes Primärpackmittel, deutlich höherer Bedarf aufgrund COVID19-Therapienf für </t>
  </si>
  <si>
    <t>Nimbex 5mg - Einreichungsnummer: 2136267</t>
  </si>
  <si>
    <t>Produktionsproblem.</t>
  </si>
  <si>
    <t>1250182</t>
  </si>
  <si>
    <t>NeuroBloc 5000 E/ml Injektionslösung - OP1ml</t>
  </si>
  <si>
    <t>M03AX01</t>
  </si>
  <si>
    <t>Botulinum-Toxin Typ B zur Injektion (Ph.Eur.)</t>
  </si>
  <si>
    <t>Sloan Pharma S.a.r.l.</t>
  </si>
  <si>
    <t>hvanzoonen@sloanpharma.com</t>
  </si>
  <si>
    <t>1250153</t>
  </si>
  <si>
    <t>NeuroBloc 5000 E/ml Injektionslösung - OP0,5ml</t>
  </si>
  <si>
    <t>NeuroBloc 5000 E/ml Injektionslösung - OP2ml</t>
  </si>
  <si>
    <t>09101984</t>
  </si>
  <si>
    <t>Xeomin</t>
  </si>
  <si>
    <t>Botulinum-Toxin Typ A zur Injektion (Ph.Eur.), frei von Komplexproteinen</t>
  </si>
  <si>
    <t>Xeomin - Einreichungsnummer: 2157093</t>
  </si>
  <si>
    <t>Sirdalud 6mg</t>
  </si>
  <si>
    <t>M03BX02</t>
  </si>
  <si>
    <t>Tizanidinhydrochlorid</t>
  </si>
  <si>
    <t>Sirdalud 2mg</t>
  </si>
  <si>
    <t>Dantamacrin 50</t>
  </si>
  <si>
    <t>M03CA01</t>
  </si>
  <si>
    <t>Dantrolen-Natrium 3.5 H&lt;2&gt;O</t>
  </si>
  <si>
    <t>Norgine B.V.</t>
  </si>
  <si>
    <t>gregulatory@norgine.com</t>
  </si>
  <si>
    <t>Dantamacrin 50 - Einreichungsnummer: 0337863</t>
  </si>
  <si>
    <t>14182128, 04748250</t>
  </si>
  <si>
    <t>Benzbromaron AL 100</t>
  </si>
  <si>
    <t>M04AB03</t>
  </si>
  <si>
    <t>Benzbromaron</t>
  </si>
  <si>
    <t>09757957,  11296914</t>
  </si>
  <si>
    <t>Narcaricin mite</t>
  </si>
  <si>
    <t>Sano Arzneimittelfabrik GmbH</t>
  </si>
  <si>
    <t>+49 (0) 89 458 142 36</t>
  </si>
  <si>
    <t>regaffairs@cso-pharma.eu</t>
  </si>
  <si>
    <t>Nicht alle Packungsgrößen werden in den Verkehr gebracht (30iger nicht in den Verkehr gebracht)</t>
  </si>
  <si>
    <t>Narcaricin mite - Einreichungsnummer: 2100325</t>
  </si>
  <si>
    <t>13838897,  13838905</t>
  </si>
  <si>
    <t>PAMIDRO-cell 3 mg/ml Konzentrat zur Herstellung einer Infusionslösung</t>
  </si>
  <si>
    <t>M05BA03</t>
  </si>
  <si>
    <t>Dinatriumpamidronat</t>
  </si>
  <si>
    <t>13838963,  13838986</t>
  </si>
  <si>
    <t>Ibandronsäure HEXAL 3 mg/3 ml Injektionslösung</t>
  </si>
  <si>
    <t>M05BA06</t>
  </si>
  <si>
    <t>Mononatriumibandronat 1 H&lt;2&gt;O</t>
  </si>
  <si>
    <t>Ibandronsäure AL 3 mg Injektionslösung</t>
  </si>
  <si>
    <t>Ware frei verfügbar!</t>
  </si>
  <si>
    <t>Ibandronsäure AL 3 mg Injektionslösung in einer Fertigspritze</t>
  </si>
  <si>
    <t>Ware verfügbar!</t>
  </si>
  <si>
    <t>Ibandronsäure AL 2 mg Konzentrat zur Herstellung einer Infusionslösung</t>
  </si>
  <si>
    <t>10193655</t>
  </si>
  <si>
    <t>Zoledronsäure Mylan 4 mg/100 ml Infusionslösung</t>
  </si>
  <si>
    <t>M05BA08</t>
  </si>
  <si>
    <t>Zoledronsäure  1 H&lt;2&gt;O</t>
  </si>
  <si>
    <t>martin.engelstaedter@mylan.com</t>
  </si>
  <si>
    <t>01498108</t>
  </si>
  <si>
    <t>Zoledronsäure AL 4 mg/5 ml Konzentrat zur Herstellung einer Infusionslösung</t>
  </si>
  <si>
    <t>Zoledronsäure AL 4 mg/100 ml Infusionslösung</t>
  </si>
  <si>
    <t>Zoledronsäure AL 5 mg/100 ml Infusionslösung</t>
  </si>
  <si>
    <t>Ware wieder frei verfügbar!</t>
  </si>
  <si>
    <t>Zole - 1 A Pharma 5 mg/100 ml Infusionslösung</t>
  </si>
  <si>
    <t>Zoledronsäure-Monohydrat</t>
  </si>
  <si>
    <t>Aclasta 5 mg Infusionslösung - OP(1x100ml)</t>
  </si>
  <si>
    <t>16226858</t>
  </si>
  <si>
    <t>InductOs 1,5 mg/ml Pulver, Lösungsmittel und Matrix für Matrix zur Implantation - OP(296,83mg+8ml+XXXX)</t>
  </si>
  <si>
    <t>M05BC01</t>
  </si>
  <si>
    <t>Dibotermin alfa</t>
  </si>
  <si>
    <t>Medtronic BioPharma B.V.</t>
  </si>
  <si>
    <t>+31 45 566 4001</t>
  </si>
  <si>
    <t>Pulver,Lösungsmittel,Matrix zur Implantation</t>
  </si>
  <si>
    <t>Isofluran Baxter</t>
  </si>
  <si>
    <t>N01AB06</t>
  </si>
  <si>
    <t>Isofluran</t>
  </si>
  <si>
    <t>089  31701 0</t>
  </si>
  <si>
    <t>info@baxter.com</t>
  </si>
  <si>
    <t>Flüssigkeit</t>
  </si>
  <si>
    <t>Sevofluran Piramal 100% Flüssigkeit zur Herstellung eines Dampfs zur Inhalation</t>
  </si>
  <si>
    <t>N01AB08</t>
  </si>
  <si>
    <t>Sevofluran</t>
  </si>
  <si>
    <t>Piramal Critical Care B.V.  (BS 1)</t>
  </si>
  <si>
    <t>+49 174 1327678</t>
  </si>
  <si>
    <t>guido.pulm@piramal.com</t>
  </si>
  <si>
    <t>Flüssigkeit zur Herstellung eines Dampfs zur Inhalation</t>
  </si>
  <si>
    <t>Sevofluran Baxter 100 % Flüssigkeit zur Herstellung eines Dampfs zur Inhalation</t>
  </si>
  <si>
    <t>Aufgrund der verspäteten Lieferung eines Zulieferers kommt es derzeit zu einem Engpass bei Sevofluran. Die auf dem Markt verfügbaren Alternativpprodukte können nicht mit den bestehenden Narkosegasverdampfern für Sevofluran betrieben werden, da die Füllanschlüsse nicht kompatibel sind.</t>
  </si>
  <si>
    <t>Brevimytal HIKMA</t>
  </si>
  <si>
    <t>N01AF01</t>
  </si>
  <si>
    <t>Methohexital-Natrium</t>
  </si>
  <si>
    <t>Thiopental Inresa 0,5 g - Einreichungsnummer: 0428169</t>
  </si>
  <si>
    <t>Sufentanil-ratiopharm 1 mg/20 ml Injektionslösung</t>
  </si>
  <si>
    <t>N01AH03</t>
  </si>
  <si>
    <t>Sufentanil</t>
  </si>
  <si>
    <t>04788930, 08916750, 00704020, 04788924</t>
  </si>
  <si>
    <t>Sufentanil-ratiopharm 0,25 mg/5 ml Injektionslösung</t>
  </si>
  <si>
    <t>Ultiva 5 mg</t>
  </si>
  <si>
    <t>N01AH06</t>
  </si>
  <si>
    <t>Remifentanilhydrochlorid</t>
  </si>
  <si>
    <t>Remifentanil B. Braun 5 mg Pulver für ein Konzentrat zur Herstellung einer Injektions-/Infusionslösung - Einreichungsnummer: 2180519</t>
  </si>
  <si>
    <t>Pulver für ein Konzentrat zur Herstellung einer Injektions-/Infusionslösung</t>
  </si>
  <si>
    <t>Ultiva 2 mg</t>
  </si>
  <si>
    <t>Remifentanil B. Braun 2 mg Pulver für ein Konzentrat zur Herstellung einer Injektions-/Infusionslösung - Einreichungsnummer: 2180518</t>
  </si>
  <si>
    <t>Ultiva 1 mg</t>
  </si>
  <si>
    <t>Remifentanil B. Braun 1 mg Pulver für ein Konzentrat zur Herstellung einer Injektions-/Infusionslösung - Einreichungsnummer: 2180517</t>
  </si>
  <si>
    <t>07419624</t>
  </si>
  <si>
    <t>Remifentanil B. Braun 2 mg Pulver für ein Konzentrat zur Herstellung einer Injektions-/Infusionslösung</t>
  </si>
  <si>
    <t>Ultiva 2 mg - Einreichungsnummer: 2136336</t>
  </si>
  <si>
    <t xml:space="preserve"> +49 89  93 08 38 00</t>
  </si>
  <si>
    <t>1894117, 15238954</t>
  </si>
  <si>
    <t>Etomidat-Lipuro 2 mg/ml Emulsion zur Injektion</t>
  </si>
  <si>
    <t>N01AX07</t>
  </si>
  <si>
    <t>Etomidat</t>
  </si>
  <si>
    <t>Hypnomidate - Einreichungsnummer: 2100319</t>
  </si>
  <si>
    <t>Emulsion zur Injektion</t>
  </si>
  <si>
    <t>01313244</t>
  </si>
  <si>
    <t>DISOPRIVAN 2%</t>
  </si>
  <si>
    <t>N01AX10</t>
  </si>
  <si>
    <t>Propofol</t>
  </si>
  <si>
    <t>Disoprivan 1% - Einreichungsnummer: 2131362</t>
  </si>
  <si>
    <t>16225468</t>
  </si>
  <si>
    <t>Propofol Baxter 20 mg/ml MCT Emulsion zur Injektion/Infusion</t>
  </si>
  <si>
    <t>Emulsion zur Injektion/Infusion</t>
  </si>
  <si>
    <t>Propofol Baxter 10 mg/ml MCT Emulsion zur Injektion/Infusion</t>
  </si>
  <si>
    <t>Propofol-Lipuro 20 mg/ml</t>
  </si>
  <si>
    <t>Propofol 2 % (20 mg/1 ml) MCT Fresenius, Emulsion zur Injektion oder Infusion - Einreichungsnummer: 2148541</t>
  </si>
  <si>
    <t>Propofol HEXAL 20 mg/ml Emulsion zur Injektion/Infusion - Einreichungsnummer: 2184702</t>
  </si>
  <si>
    <t>Propofol-Lipuro 10 mg/ml</t>
  </si>
  <si>
    <t>Propofol 1% (10mg/1ml) MCT Fresenius - Einreichungsnummer: 2148813</t>
  </si>
  <si>
    <t>Disoprivan 1%</t>
  </si>
  <si>
    <t>05661-9147-7309</t>
  </si>
  <si>
    <t>Propofol 1% (10 mg/1 ml) MCT Fresenius, Emulsion zur Injektion oder Infusion - Einreichungsnummer: 2148850</t>
  </si>
  <si>
    <t>00204079</t>
  </si>
  <si>
    <t>Propofol-Lipuro 5 mg/ml Emulsion zur Injektion oder Infusion</t>
  </si>
  <si>
    <t>Propofol-Lipuro 10 mg/ml - Einreichungsnummer: 2141913</t>
  </si>
  <si>
    <t>05661/91477309</t>
  </si>
  <si>
    <t>08509909, 15241695</t>
  </si>
  <si>
    <t>Ketanest S 25 mg/ml</t>
  </si>
  <si>
    <t>N01AX14</t>
  </si>
  <si>
    <t>Esketaminhydrochlorid</t>
  </si>
  <si>
    <t>08509884,  08707265,  08707271,  08707288,  08707294</t>
  </si>
  <si>
    <t>2137086, 2137087, 2139946</t>
  </si>
  <si>
    <t>Ketanest S 25 mg/ml (10ml)</t>
  </si>
  <si>
    <t>Vorsorgliche temporäre interne Chargensperrung</t>
  </si>
  <si>
    <t>Esketamin Ethypharm 25 mg/ml Injektions-/Infusionslösung - Einreichungsnummer: 2203483</t>
  </si>
  <si>
    <t>Bupivacain 0,5 % mit Epinephrin 0,0005 % (1:200 000) JENAPHARM</t>
  </si>
  <si>
    <t>N01B</t>
  </si>
  <si>
    <t>Bupivacainhydrochlorid (Ph.Eur.); Epinephrinhydrogentartrat / Adrenalinhydrogentartrat (Ph.Eur.)</t>
  </si>
  <si>
    <t>Bupivacainhydrochlorid (Ph.Eur.); Epinephrinhydrogentartrat/Adrenalinhydrogentartrat</t>
  </si>
  <si>
    <t>Bupivacain 0,5 % JENAPHARM</t>
  </si>
  <si>
    <t>N01BB01</t>
  </si>
  <si>
    <t>Bupivacainhydrochlorid (Ph.Eur.)</t>
  </si>
  <si>
    <t>Bupivacain 0,5 % JENAPHARM - Einreichungsnummer: 3000409</t>
  </si>
  <si>
    <t>Carbostesin 0,25%</t>
  </si>
  <si>
    <t>Carbostesin 0,25% - Einreichungsnummer: 0077681</t>
  </si>
  <si>
    <t>Carbostesin 0,5%</t>
  </si>
  <si>
    <t xml:space="preserve">+49 89 930 838 00 </t>
  </si>
  <si>
    <t>DE-info@aspenpharma.eu</t>
  </si>
  <si>
    <t>Carbostesin 0,5% hyperbar</t>
  </si>
  <si>
    <t>Xylocain 1 %</t>
  </si>
  <si>
    <t>N01BB02</t>
  </si>
  <si>
    <t>Lidocainhydrochlorid  1 H&lt;2&gt;O</t>
  </si>
  <si>
    <t>Lidocain DELTAMEDICA 20 mg/ml - Einreichungsnummer: 5018102</t>
  </si>
  <si>
    <t>Licain 10 mg/ml Injektionslösung Durchstechflasche - Einreichungsnummer: 1461648</t>
  </si>
  <si>
    <t>XYLOCAIN PUMPSPRAY</t>
  </si>
  <si>
    <t>Lidocain</t>
  </si>
  <si>
    <t>Spray zur Anwendung auf der Haut, Lösung</t>
  </si>
  <si>
    <t>Xylocitin-loc 2 % 2 ml</t>
  </si>
  <si>
    <t>Xylocitin-loc 1 % 10 ml</t>
  </si>
  <si>
    <t>Xylocitin-loc 1 % 10 ml - Einreichungsnummer: 2143195</t>
  </si>
  <si>
    <t>Xylocitin-loc 2 % 10 ml</t>
  </si>
  <si>
    <t>Coronabedingter Personalmangel durch erhöhten Kranenstand</t>
  </si>
  <si>
    <t>00676447,  00676453</t>
  </si>
  <si>
    <t>Xylocitin-loc 2 % 5 ml</t>
  </si>
  <si>
    <t>Xylocitin-loc 2 % 10 ml - Einreichungsnummer: 2143000</t>
  </si>
  <si>
    <t>Xylocitin-loc 0,5 % 10 ml</t>
  </si>
  <si>
    <t>00676424,  00676430</t>
  </si>
  <si>
    <t>Xylocitin-loc 2 % 2 ml - Einreichungsnummer: 2142998</t>
  </si>
  <si>
    <t>00676476,  00676482</t>
  </si>
  <si>
    <t>00064135,  00064141</t>
  </si>
  <si>
    <t>11356214</t>
  </si>
  <si>
    <t>Mecain 10 mg/ml Injektionslösung Kunststoffampulle</t>
  </si>
  <si>
    <t>N01BB03</t>
  </si>
  <si>
    <t>Mepivacainhydrochlorid</t>
  </si>
  <si>
    <t>Scandicain 1% Fl. 50 ml</t>
  </si>
  <si>
    <t>Scandicain 1 %</t>
  </si>
  <si>
    <t>Scandicain 2 % - Einreichungsnummer: 0076871</t>
  </si>
  <si>
    <t>Scandicain 2 % Fl. 50 ml</t>
  </si>
  <si>
    <t>Xylonest 1 % Fl. 50 ml</t>
  </si>
  <si>
    <t>N01BB04</t>
  </si>
  <si>
    <t>Prilocainhydrochlorid</t>
  </si>
  <si>
    <t>Xylonest 0,5 % Fl. 50 ml - Einreichungsnummer: 0084793</t>
  </si>
  <si>
    <t>Xylonest 0,5%</t>
  </si>
  <si>
    <t>Xylonest 1 % - Einreichungsnummer: 1463937</t>
  </si>
  <si>
    <t>Xylonest 1 %</t>
  </si>
  <si>
    <t>Xylonest 0,5 % Fl. 50 ml</t>
  </si>
  <si>
    <t>Xylonest 1 % Fl. 50 ml - Einreichungsnummer: 0084818</t>
  </si>
  <si>
    <t>Xylonest 2 %</t>
  </si>
  <si>
    <t>06455434</t>
  </si>
  <si>
    <t>Ropivacainhydrochlorid Kabi 2 mg/ml Infusionslösung</t>
  </si>
  <si>
    <t>N01BB09</t>
  </si>
  <si>
    <t>Ropivacainhydrochlorid</t>
  </si>
  <si>
    <t>Ropivacain-HCl B. Braun 7,5 mg/ml Injektionslösung</t>
  </si>
  <si>
    <t>Ropivacainhydrochlorid-Monohydrat</t>
  </si>
  <si>
    <t>05661 / 9147-7307</t>
  </si>
  <si>
    <t>06455380,  06455434,  06455457</t>
  </si>
  <si>
    <t>2178016, 2178017, 2178018</t>
  </si>
  <si>
    <t>Ropivacainhydrochlorid Kabi 2 mg/ml Injektionslösung</t>
  </si>
  <si>
    <t>Ropivacainhydrochlorid Kabi 2 mg/ml Injektionslösung - Einreichungsnummer: 2178016</t>
  </si>
  <si>
    <t>NAROPIN 2mg/ml bag 200ml Infusionslösung</t>
  </si>
  <si>
    <t>Das Produkt wurde vom Markt genommen.</t>
  </si>
  <si>
    <t>NAROPIN 2mg/ml bag 100ml Infusionslösung</t>
  </si>
  <si>
    <t>NAROPIN 10mg/ml Amp.20ml Injektionslösung</t>
  </si>
  <si>
    <t>NAROPIN 10mg/ml Amp.10ml Injektionslösung - Einreichungsnummer: 2137106</t>
  </si>
  <si>
    <t>NAROPIN 7.5mg/ml Amp.20ml Injektionslösung</t>
  </si>
  <si>
    <t>NAROPIN 7,5mg/ml Amp.10ml Injektionslösung - Einreichungsnummer: 2137104</t>
  </si>
  <si>
    <t>NAROPIN 10mg/ml Amp.10ml Injektionslösung</t>
  </si>
  <si>
    <t>NAROPIN 10mg/ml Amp.20ml Injektionslösung - Einreichungsnummer: 2137107</t>
  </si>
  <si>
    <t>NAROPIN 2mg/ml Amp. 20ml Injektionslösung</t>
  </si>
  <si>
    <t>NAROPIN 2mg/ml Amp. 10ml Injektionslösung - Einreichungsnummer: 2137100</t>
  </si>
  <si>
    <t>NAROPIN 2mg/ml Amp. 10ml Injektionslösung</t>
  </si>
  <si>
    <t>NAROPIN 7,5mg/ml Amp.10ml Injektionslösung</t>
  </si>
  <si>
    <t>Naropin 5 mg/ml Injektionslösung</t>
  </si>
  <si>
    <t>04029934,  04029940</t>
  </si>
  <si>
    <t>Xylocitin 2% mit Epinephrin (Adrenalin) 0,001 % (1:100000)</t>
  </si>
  <si>
    <t>N01BB52</t>
  </si>
  <si>
    <t>Epinephrinhydrogentartrat / Adrenalinhydrogentartrat (Ph.Eur.); Lidocainhydrochlorid-Monohydrat</t>
  </si>
  <si>
    <t>04029940,  04029964</t>
  </si>
  <si>
    <t>Epinephrinhydrogentartrat/Adrenalinhydrogentartrat; Lidocainhydrochlorid-Monohydrat</t>
  </si>
  <si>
    <t>Xylocitin 2% mit Epinephrin (Adrenalin) 0,001 % (1:100000) - Einreichungsnummer: 3000373</t>
  </si>
  <si>
    <t>09071496,  09071504,  12520704</t>
  </si>
  <si>
    <t>ANESDERM 25 mg/g + 25 mg/g Creme</t>
  </si>
  <si>
    <t>Lidocain; Prilocain</t>
  </si>
  <si>
    <t>Xylonest 2% mit Adrenalin 1:200 000</t>
  </si>
  <si>
    <t>N01BB54</t>
  </si>
  <si>
    <t>Epinephrinhydrogentartrat / Adrenalinhydrogentartrat (Ph.Eur.); Prilocainhydrochlorid</t>
  </si>
  <si>
    <t>Xylonest 1% mit Adrenalin 1:200 000 - Einreichungsnummer: 0084586</t>
  </si>
  <si>
    <t>Xylonest 1% mit Adrenalin 1:200 000</t>
  </si>
  <si>
    <t>Xylonest 0,5% mit Adrenalin 1:250 000</t>
  </si>
  <si>
    <t>+49 89 93 08 38 0</t>
  </si>
  <si>
    <t>Xylonest 2% mit Adrenalin 1:200 000 - Einreichungsnummer: 0084646</t>
  </si>
  <si>
    <t>Ultracain D-S forte 1:100.000 20ml</t>
  </si>
  <si>
    <t>N01BB58</t>
  </si>
  <si>
    <t>Articainhydrochlorid; Epinephrinhydrochlorid</t>
  </si>
  <si>
    <t>SEPTODONT GmbH</t>
  </si>
  <si>
    <t>+49 228 971260</t>
  </si>
  <si>
    <t>info@septodont.de</t>
  </si>
  <si>
    <t>Ultracain 2%-Suprarenin 5 ml</t>
  </si>
  <si>
    <t>Ultracain 1%-Suprarenin 5 ml</t>
  </si>
  <si>
    <t>Ultracain D-S 1:200.000 20ml</t>
  </si>
  <si>
    <t xml:space="preserve">Das Produkt ist wieder Lieferbar. </t>
  </si>
  <si>
    <t>Ultracain 1%-Suprarenin 50 ml</t>
  </si>
  <si>
    <t>MST 30 mg Mundipharma</t>
  </si>
  <si>
    <t>N02AA01</t>
  </si>
  <si>
    <t>Morphinsulfat (Ph.Eur.)</t>
  </si>
  <si>
    <t>Mundipharma Gesellschaft mit beschränkter Haftung - Geschäftsanschrift -</t>
  </si>
  <si>
    <t>regulatoryaffairsde@mundipharma.de</t>
  </si>
  <si>
    <t>Oramorph 20mg/ml Lösung</t>
  </si>
  <si>
    <t>L. Molteni &amp; C. Dei Fratelli Alitti - Societa di Esercizio - S.p.A.</t>
  </si>
  <si>
    <t>Oramorph 100 mg/5 ml EDB - Einreichungsnummer: 2134669</t>
  </si>
  <si>
    <t>08617734</t>
  </si>
  <si>
    <t>Morphin Merck Tropfen 2%</t>
  </si>
  <si>
    <t>Morphinhydrochlorid  3 H&lt;2&gt;O</t>
  </si>
  <si>
    <t>08617711</t>
  </si>
  <si>
    <t>Morphin Merck Tropfen 0,5%</t>
  </si>
  <si>
    <t>Morphin Merck 100 mg</t>
  </si>
  <si>
    <t>04074047</t>
  </si>
  <si>
    <t>Morphinsulfat-GRY 10mg/1ml Injektionslösung</t>
  </si>
  <si>
    <t>MSI 100 mg Mundipharma</t>
  </si>
  <si>
    <t>+49 (0)211 416 119 0</t>
  </si>
  <si>
    <t>Morph - 1 A Pharma 10 mg Retardtabletten</t>
  </si>
  <si>
    <t>Morphinhydrochlorid (Ph.Eur.)</t>
  </si>
  <si>
    <t xml:space="preserve">+49 6151 6285-857 </t>
  </si>
  <si>
    <t>Morphin-ratiopharm 100 mg Retardtabletten - Einreichungsnummer: 2140115</t>
  </si>
  <si>
    <t>Sevredol 20mg</t>
  </si>
  <si>
    <t>medinfo@mundipharma.de</t>
  </si>
  <si>
    <t>08617711,  08617728</t>
  </si>
  <si>
    <t>MSI 20 mg Mundipharma</t>
  </si>
  <si>
    <t>Morphin Merck 10mg</t>
  </si>
  <si>
    <t>Erhöhte Nachfrage aufgrund von Mitbewerber-Lieferengpässen</t>
  </si>
  <si>
    <t>Morphin Aristo akut 20 mg Tabletten</t>
  </si>
  <si>
    <t>Morphin Aristo akut 10 mg Tabletten</t>
  </si>
  <si>
    <t>Sevredol 10mg</t>
  </si>
  <si>
    <t>14138469,  14138475,  14138481</t>
  </si>
  <si>
    <t>Morphin AL 20 mg Retardtabletten</t>
  </si>
  <si>
    <t>04636918,  04946263,  06332306</t>
  </si>
  <si>
    <t>MST 10mg Mundipharma</t>
  </si>
  <si>
    <t>03632634,  04946286,  06332312</t>
  </si>
  <si>
    <t>MST 100 mg Mundipharma</t>
  </si>
  <si>
    <t>07590246,  09276146</t>
  </si>
  <si>
    <t>04946292,  06332329</t>
  </si>
  <si>
    <t>MST 60 mg Mundipharma</t>
  </si>
  <si>
    <t>14405315,  14405338,  14405350</t>
  </si>
  <si>
    <t>Morphin Aristo 45 mg Retardtabletten</t>
  </si>
  <si>
    <t>14405284,  14405290,  14405309</t>
  </si>
  <si>
    <t>Morphin Aristo 20 mg Retardtabletten</t>
  </si>
  <si>
    <t>09069068,  09069074,  09069080</t>
  </si>
  <si>
    <t>Morphin Aristo 200 mg Retardtabletten</t>
  </si>
  <si>
    <t>09069039,  09069045,  09069051</t>
  </si>
  <si>
    <t>Morphin Aristo 100 mg Retardtabletten</t>
  </si>
  <si>
    <t>09068991,  09069016,  09069022</t>
  </si>
  <si>
    <t>Morphin Aristo 60 mg Retardtabletten</t>
  </si>
  <si>
    <t>09068962,  09068979,  09068985</t>
  </si>
  <si>
    <t>Morphin Aristo 30 mg Retardtabletten</t>
  </si>
  <si>
    <t>09068927,  09068933,  09068956</t>
  </si>
  <si>
    <t>Morphin Aristo 10 mg Retardtabletten</t>
  </si>
  <si>
    <t>16228745, 16228739</t>
  </si>
  <si>
    <t>Hydromorphon-Hexal retard 2 mg Hartkapseln, retardiert</t>
  </si>
  <si>
    <t>N02AA03</t>
  </si>
  <si>
    <t>Hydromorphonhydrochlorid</t>
  </si>
  <si>
    <t>07563686</t>
  </si>
  <si>
    <t>Hydromorphon-Hexal retard 8 mg Hartkapseln, retardiert</t>
  </si>
  <si>
    <t>07562586</t>
  </si>
  <si>
    <t>Hydromorphon-Hexal retard 16 mg Hartkapseln, retardiert</t>
  </si>
  <si>
    <t>05854468</t>
  </si>
  <si>
    <t>Hydromorphon-Hexal retard 4 mg Hartkapseln, retardiert</t>
  </si>
  <si>
    <t>Hydromorphon-Hexal retard 24 mg Hartkapseln, retardiert</t>
  </si>
  <si>
    <t>Hydromorphon-HCl Glenmark 2 mg Hartkapseln, retardiert</t>
  </si>
  <si>
    <t>13925389,  13925403</t>
  </si>
  <si>
    <t>PZN 13925395 wieder lieferfähig</t>
  </si>
  <si>
    <t>PZN 13925403 wieder lieferfähig</t>
  </si>
  <si>
    <t>Palladon retard 4mg</t>
  </si>
  <si>
    <t>08859880,  08859897</t>
  </si>
  <si>
    <t>Palladon retard 16mg</t>
  </si>
  <si>
    <t>03142226,  03237926</t>
  </si>
  <si>
    <t>13925426,  13925449</t>
  </si>
  <si>
    <t>Hydromorphon-HCl Glenmark 4 mg Hartkapseln, retardiert</t>
  </si>
  <si>
    <t>13925395,  13925403</t>
  </si>
  <si>
    <t>Palladon 2,6 mg Hartkapseln</t>
  </si>
  <si>
    <t>Packungsgröße mit PZN 09312764 wurde in Meldungsnummer LE2022001576 aufgenommen.</t>
  </si>
  <si>
    <t>00607481,  08859851,  08859868,  08859874</t>
  </si>
  <si>
    <t>Palladon retard 8mg</t>
  </si>
  <si>
    <t>Hydromorphon-HCl Krugmann 8 mg</t>
  </si>
  <si>
    <t>Krugmann Gesellschaft mit beschränkter Haftung - Geschäftsanschrift -</t>
  </si>
  <si>
    <t>info@krugmann.de</t>
  </si>
  <si>
    <t>13925461,  13925490</t>
  </si>
  <si>
    <t>Hydromorphon-HCl Glenmark 8 mg Hartkapseln, retardiert</t>
  </si>
  <si>
    <t>14356350,  14356404,  14356456</t>
  </si>
  <si>
    <t>Hydromorphon-HCl Krugmann 16 mg</t>
  </si>
  <si>
    <t>08859928,  08859934</t>
  </si>
  <si>
    <t>Palladon retard 24mg</t>
  </si>
  <si>
    <t>00821033,  00821056,  09279251,  09312764</t>
  </si>
  <si>
    <t>Palladon 1,3 mg Hartkapseln</t>
  </si>
  <si>
    <t>13925426,  13925432,  13925449</t>
  </si>
  <si>
    <t>Hydromorphon-HCl Glenmark 24 mg Hartkapseln, retardiert</t>
  </si>
  <si>
    <t>Hydromorphon-HCl Glenmark 16 mg Hartkapseln, retardiert</t>
  </si>
  <si>
    <t>Hydromorphon-STADA 8 mg Retardtabletten</t>
  </si>
  <si>
    <t>08859880,  08859897,  08859905</t>
  </si>
  <si>
    <t>09279245,  09312741</t>
  </si>
  <si>
    <t>08859851,  08859868,  08859874</t>
  </si>
  <si>
    <t xml:space="preserve">medinfo@mundipharma.de  </t>
  </si>
  <si>
    <t>13925515,  13925521</t>
  </si>
  <si>
    <t>13925389,  13925395,  13925403</t>
  </si>
  <si>
    <t>00607475,  08859822</t>
  </si>
  <si>
    <t>00821033,  09312764</t>
  </si>
  <si>
    <t>13925461,  13925484,  13925490</t>
  </si>
  <si>
    <t>11538116,  11538122,  11538139</t>
  </si>
  <si>
    <t>Hydromorphon HCl Hormosan 8 mg Retardtabletten</t>
  </si>
  <si>
    <t>erhöhte Nachfrage und Kapazitätsengpässe beim Lieferanten</t>
  </si>
  <si>
    <t>11538079,  11538091</t>
  </si>
  <si>
    <t>Hydromorphon HCl Hormosan 4 mg Retardtabletten</t>
  </si>
  <si>
    <t>aufgrund erhöhter Nachfrage im Juli und August 2023 Produktknappheit bei der Packungsgröße 100 Retardtabletten</t>
  </si>
  <si>
    <t>Hydromorphon HCl Hormosan 24 mg Retardtabletten</t>
  </si>
  <si>
    <t>erhöhte Nachfrage, Kapazitätsengpässe in der Herstellungsstätte</t>
  </si>
  <si>
    <t>Oxygesic akut 10 mg</t>
  </si>
  <si>
    <t>N02AA05</t>
  </si>
  <si>
    <t>Oxycodonhydrochlorid (Ph.Eur.)</t>
  </si>
  <si>
    <t>+49 (0) 69 506029-000</t>
  </si>
  <si>
    <t>RegulatoryAffairsDE@mundipharma.de</t>
  </si>
  <si>
    <t>8516418, 8516424, 8516430</t>
  </si>
  <si>
    <t>OXYGESIC 10 mg</t>
  </si>
  <si>
    <t>Oxycodonhydrochlorid</t>
  </si>
  <si>
    <t>10930898</t>
  </si>
  <si>
    <t>Oxygesic 120 mg Retardtabletten</t>
  </si>
  <si>
    <t>11558515, 11558544, 11558550</t>
  </si>
  <si>
    <t>Oxycodon-HCl Zentiva 10 mg Hartkapseln</t>
  </si>
  <si>
    <t>11558478, 11558490, 11558509</t>
  </si>
  <si>
    <t>Oxycodon-HCl Zentiva 5 mg Hartkapseln</t>
  </si>
  <si>
    <t>11558567, 11558573, 11558596</t>
  </si>
  <si>
    <t>Oxycodon-HCl Zentiva 20 mg Hartkapseln</t>
  </si>
  <si>
    <t>09605420</t>
  </si>
  <si>
    <t>Oxycodonhydrochlorid PUREN 20 mg Hartkapseln</t>
  </si>
  <si>
    <t>Oxyconoica 15 mg Retardtabletten</t>
  </si>
  <si>
    <t>14356373,  14356396</t>
  </si>
  <si>
    <t>Oxycodon-HCl Krugmann 20 mg Retardtabletten</t>
  </si>
  <si>
    <t xml:space="preserve">info@krugmann.de </t>
  </si>
  <si>
    <t>14356321,  14356338</t>
  </si>
  <si>
    <t>Oxycodon-HCl Krugmann 10 mg Retardtabletten</t>
  </si>
  <si>
    <t>Oxycodon-HCl Krugmann 40 mg Retardtabletten</t>
  </si>
  <si>
    <t>08859779,  08859785,  08859791,  08859816</t>
  </si>
  <si>
    <t>OXYGESIC 40 mg</t>
  </si>
  <si>
    <t>01098449,  01098455,  01098461</t>
  </si>
  <si>
    <t>Oxygesic 80 mg</t>
  </si>
  <si>
    <t>Oxygesic akut 20 mg</t>
  </si>
  <si>
    <t>Diese PZN wurde zum 01.01.2023 AV gemeldet.</t>
  </si>
  <si>
    <t>Oxygesic Dispersa akut 5 mg</t>
  </si>
  <si>
    <t>Oxygesic Dispersa akut 20 mg</t>
  </si>
  <si>
    <t>Oxygesic Dispersa akut 10 mg</t>
  </si>
  <si>
    <t>08516418,  08516424,  08516447</t>
  </si>
  <si>
    <t xml:space="preserve">medinfo@mundipharma.de </t>
  </si>
  <si>
    <t>11543471,  11543494</t>
  </si>
  <si>
    <t>Oxyconoica 10 mg Retardtabletten</t>
  </si>
  <si>
    <t>Oxyconoica 60 mg Retardtabletten</t>
  </si>
  <si>
    <t>11543608,  11543614,  11543620</t>
  </si>
  <si>
    <t>Oxyconoica 40 mg Retardtabletten</t>
  </si>
  <si>
    <t>11543531,  11543554</t>
  </si>
  <si>
    <t>Oxyconoica 20 mg Retardtabletten</t>
  </si>
  <si>
    <t>Oxyconoica 5 mg Retardtabletten</t>
  </si>
  <si>
    <t>OXYGESIC 20 mg</t>
  </si>
  <si>
    <t>11543577,  11543583</t>
  </si>
  <si>
    <t>Oxyconoica 30 mg Retardtabletten</t>
  </si>
  <si>
    <t>00081903,  00081926,  00081932,  00087509</t>
  </si>
  <si>
    <t>00067843,  00067866,  00067872,  00067889</t>
  </si>
  <si>
    <t>Oxygesic akut 5 mg</t>
  </si>
  <si>
    <t>03930426,  03930432,  03930449,  03930455</t>
  </si>
  <si>
    <t>Oxygesic 5 mg</t>
  </si>
  <si>
    <t>16682964,  16682970,  16682987</t>
  </si>
  <si>
    <t>Oxycan uno 80 mg Retardtabletten</t>
  </si>
  <si>
    <t>Kapazitätsengpässe in Herstellungsstätte</t>
  </si>
  <si>
    <t>16682935,  16682941</t>
  </si>
  <si>
    <t>Oxycan uno 40 mg Retardtabletten</t>
  </si>
  <si>
    <t>Kapazitätsengpässe in der Herstellungsstätte</t>
  </si>
  <si>
    <t>16682875,  16682881,  16682898</t>
  </si>
  <si>
    <t>Oxycan uno 10 mg Retardtabletten</t>
  </si>
  <si>
    <t>Oxycan uno 20 mg Retardtabletten</t>
  </si>
  <si>
    <t>Oxyconoica 80 mg Retardtabletten</t>
  </si>
  <si>
    <t>01292312,  01292329,  03931443</t>
  </si>
  <si>
    <t>DHC 120mg Mundipharma</t>
  </si>
  <si>
    <t>N02AA08</t>
  </si>
  <si>
    <t>Dihydrocodein[(R,R)-tartrat]</t>
  </si>
  <si>
    <t>01292281,  01292306,  03931408</t>
  </si>
  <si>
    <t>DHC 90mg Mundipharma</t>
  </si>
  <si>
    <t>01292269,  01292275,  03515153</t>
  </si>
  <si>
    <t>DHC 60 mg Mundipharma</t>
  </si>
  <si>
    <t>Oxycodon/Naloxon Krugmann 40 mg/20 mg Retardtabletten</t>
  </si>
  <si>
    <t>N02AA55</t>
  </si>
  <si>
    <t>Naloxonhydrochlorid-Dihydrat; Oxycodonhydrochlorid (Ph.Eur.)</t>
  </si>
  <si>
    <t>medinfo@krugmann-gmbh.de</t>
  </si>
  <si>
    <t>03450063,  03450100,  03450117</t>
  </si>
  <si>
    <t>Targin 20 mg/10 mg Retardtabletten</t>
  </si>
  <si>
    <t>00294415,  00294421,  00294444</t>
  </si>
  <si>
    <t>Targin 5 mg/2,5 mg Retardtabletten</t>
  </si>
  <si>
    <t>11538642,  11538659,  11538665</t>
  </si>
  <si>
    <t>Oxycodon/Naloxon Krugmann 10 mg/5 mg Retardtabletten</t>
  </si>
  <si>
    <t>11538688,  11538694</t>
  </si>
  <si>
    <t>Oxycodon/Naloxon Krugmann 20 mg/10 mg Retardtabletten</t>
  </si>
  <si>
    <t>11538607,  11538613,  11538636</t>
  </si>
  <si>
    <t>Oxycodon/Naloxon Krugmann 5 mg/2,5 mg Retardtabletten</t>
  </si>
  <si>
    <t>03450011,  03450028,  03450034,  03450040</t>
  </si>
  <si>
    <t>Targin 10 mg/5 mg Retardtabletten</t>
  </si>
  <si>
    <t>03450063,  03450100,  03450264</t>
  </si>
  <si>
    <t>15298100,  15298123,  15298146</t>
  </si>
  <si>
    <t>Oxycodon/Naloxon KRUGMANN 60 mg/30 mg Retardtabletten</t>
  </si>
  <si>
    <t>Oxycodon/Naloxon KRUGMANN 80 mg/40 mg Retardtabletten</t>
  </si>
  <si>
    <t>00696177,  00696183</t>
  </si>
  <si>
    <t>Targin 40 mg/20 mg Retardtabletten</t>
  </si>
  <si>
    <t>Targin 80 mg/40 mg Retardtabletten</t>
  </si>
  <si>
    <t>Naloxonhydrochlorid-Dihydrat; Oxycodonhydrochlorid 1 H&lt;2&gt;O</t>
  </si>
  <si>
    <t>Targin 60 mg/30 mg Retardtabletten</t>
  </si>
  <si>
    <t xml:space="preserve">medinfo@krugmann-gmbh.de </t>
  </si>
  <si>
    <t>01830270,  01830287</t>
  </si>
  <si>
    <t>Voltaren Plus 50mg/50mg Filmtabletten</t>
  </si>
  <si>
    <t>N02AA59</t>
  </si>
  <si>
    <t>Codeinphosphat-Hemihydrat; Diclofenac-Natrium</t>
  </si>
  <si>
    <t>0049 - 911 - 273 - 12280</t>
  </si>
  <si>
    <t>Lieferengpass ist beendet.</t>
  </si>
  <si>
    <t>Azur compositum</t>
  </si>
  <si>
    <t>N02AA59, N02BE01, N02BE51</t>
  </si>
  <si>
    <t>Codeinphosphat-Hemihydrat; Coffein; Paracetamol</t>
  </si>
  <si>
    <t>2074132, 2177582</t>
  </si>
  <si>
    <t>Abstral 400 Mikrogramm Sublingualtabletten</t>
  </si>
  <si>
    <t>N02AB03</t>
  </si>
  <si>
    <t>Fentanylcitrat</t>
  </si>
  <si>
    <t>Effentora 400 Mikrogramm Buccaltabletten - OP28 - Einreichungsnummer: 2704315</t>
  </si>
  <si>
    <t>Sublingualtablette</t>
  </si>
  <si>
    <t>12437601, 13865167</t>
  </si>
  <si>
    <t>Abstral 100 Mikrogramm Sublingualtabletten</t>
  </si>
  <si>
    <t>Effentora 100 Mikrogramm Buccaltabletten - OP28 - Einreichungsnummer: 2704311</t>
  </si>
  <si>
    <t>Abstral 600 Mikrogramm Sublingualtabletten</t>
  </si>
  <si>
    <t>Effentora 600 Mikrogramm Buccaltabletten - OP28 - Einreichungsnummer: 2704317</t>
  </si>
  <si>
    <t>2040297, 2164680</t>
  </si>
  <si>
    <t>2040452, 2171585</t>
  </si>
  <si>
    <t>Abstral 200 Mikrogramm Sublingualtabletten</t>
  </si>
  <si>
    <t>2074362</t>
  </si>
  <si>
    <t>Abstral 800 Mikrogramm Sublingualtabletten</t>
  </si>
  <si>
    <t>2074161</t>
  </si>
  <si>
    <t>2041368, 2171591</t>
  </si>
  <si>
    <t>Abstral 300 Mikrogramm Sublingualtabletten</t>
  </si>
  <si>
    <t>PecFent 100 Mikrogramm/Sprühstoß Nasenspray, Lösung - OP(4x1,55ml)</t>
  </si>
  <si>
    <t>PecFent 100 Mikrogramm Nasenspray, Lösung - OP(1x1,55ml)</t>
  </si>
  <si>
    <t>Effentora 800 Mikrogramm Buccaltabletten - OP28</t>
  </si>
  <si>
    <t>CIM-backoffice@ratiopharm.de</t>
  </si>
  <si>
    <t>Abstral 200 Mikrogramm Sublingualtabletten - Einreichungsnummer: 2166953</t>
  </si>
  <si>
    <t>Buccaltablette</t>
  </si>
  <si>
    <t>Effentora 400 Mikrogramm Buccaltabletten - OP28</t>
  </si>
  <si>
    <t>Effentora 200 Mikrogramm Buccaltabletten - OP4</t>
  </si>
  <si>
    <t>Effentora 200 Mikrogramm Buccaltabletten - OP28</t>
  </si>
  <si>
    <t>Effentora 100 Mikrogramm Buccaltabletten - OP4</t>
  </si>
  <si>
    <t>Abstral 100 Mikrogramm Sublingualtabletten - Einreichungsnummer: 2166952</t>
  </si>
  <si>
    <t>Effentora 100 Mikrogramm Buccaltabletten - OP28</t>
  </si>
  <si>
    <t>Effentora 600 Mikrogramm Buccaltabletten - OP28</t>
  </si>
  <si>
    <t>Fentanyl B.Braun 0,5 mg Injektionslösung</t>
  </si>
  <si>
    <t>Info@bBraun.com</t>
  </si>
  <si>
    <t>01712398,  01712406,  01712412</t>
  </si>
  <si>
    <t>Fentanyl AL TTS 25 µg/h Matrixpflaster</t>
  </si>
  <si>
    <t>Fentanyl</t>
  </si>
  <si>
    <t>12342757,  12342786,  12342800</t>
  </si>
  <si>
    <t>Fentanyl AL 12 Mikrogramm/Stunde transdermales Pflaster</t>
  </si>
  <si>
    <t xml:space="preserve">Ware wieder frei verfügbar. </t>
  </si>
  <si>
    <t>11486201,  11486218,  11486224,  14021425</t>
  </si>
  <si>
    <t>Fentanyl AL 75 Mikrogramm/Stunde transdermales Pflaster</t>
  </si>
  <si>
    <t>07330829,  07330835</t>
  </si>
  <si>
    <t>Matrifen 25 Mikrogramm/Stunde Transdermales Pflaster</t>
  </si>
  <si>
    <t>Dipidolor</t>
  </si>
  <si>
    <t>N02AC03</t>
  </si>
  <si>
    <t>Piritramid</t>
  </si>
  <si>
    <t>+49 811 9988668540</t>
  </si>
  <si>
    <t>deutschland@piramal.com</t>
  </si>
  <si>
    <t>Das Arzneimittel ist ab sofort wieder lieferbar.</t>
  </si>
  <si>
    <t>Temgesic Ampullen</t>
  </si>
  <si>
    <t>N02AE01</t>
  </si>
  <si>
    <t>Buprenorphinhydrochlorid</t>
  </si>
  <si>
    <t>Indivior UK Limited</t>
  </si>
  <si>
    <t>00800 270 81 901</t>
  </si>
  <si>
    <t>PatientSafetyRoW@indivior.com</t>
  </si>
  <si>
    <t>Indivior Europe Limited</t>
  </si>
  <si>
    <t>Temgesic forte sublingual</t>
  </si>
  <si>
    <t>0800 270 81 901</t>
  </si>
  <si>
    <t>Temgesic forte sublingual - Einreichungsnummer: 2127138</t>
  </si>
  <si>
    <t>Buprenorphin Glenmark 7 Tage 5 Mikrogramm/Stunde transdermales Pflaster</t>
  </si>
  <si>
    <t>Buprenorphin</t>
  </si>
  <si>
    <t>SUBUTEX 8 mg</t>
  </si>
  <si>
    <t>Temgesic-sublingual</t>
  </si>
  <si>
    <t>Temgesic-sublingual - Einreichungsnummer: 2102412</t>
  </si>
  <si>
    <t>SUBUTEX 2 mg</t>
  </si>
  <si>
    <t>SUBUTEX 0,4 mg</t>
  </si>
  <si>
    <t>Die Arzneimittelzulassung von Temgesic wurde an Eumedica übertragen.</t>
  </si>
  <si>
    <t>EUMEDICA Pharmaceuticals GmbH</t>
  </si>
  <si>
    <t>h.bornemann@eumedica.ch</t>
  </si>
  <si>
    <t>Die Erstmeldung wurde bereits am 19.12.2022 vom ehemaligen MAH Indivior durchgeführt.</t>
  </si>
  <si>
    <t>Probleme bei der Freigabe der aktuell produzierten Charge</t>
  </si>
  <si>
    <t>00582999,  00583065,  14404913</t>
  </si>
  <si>
    <t>00583088,  00583094,  14404959</t>
  </si>
  <si>
    <t>4994233, 4994256</t>
  </si>
  <si>
    <t>Valoron N</t>
  </si>
  <si>
    <t>N02AX01</t>
  </si>
  <si>
    <t>Naloxonhydrochlorid-Dihydrat; Tilidinhydrochlorid-Hemihydrat</t>
  </si>
  <si>
    <t>Tilidin AbZ Tropfen - Einreichungsnummer: 2135058</t>
  </si>
  <si>
    <t>08830014,  08830020,  08830037</t>
  </si>
  <si>
    <t>Tilidin AL comp.</t>
  </si>
  <si>
    <t>11240925</t>
  </si>
  <si>
    <t>Tramadol Denk 100 mg Injektionslösung</t>
  </si>
  <si>
    <t>N02AX02</t>
  </si>
  <si>
    <t>Tramadolhydrochlorid</t>
  </si>
  <si>
    <t>10032975, 10032969</t>
  </si>
  <si>
    <t>Palexia</t>
  </si>
  <si>
    <t>N02AX06</t>
  </si>
  <si>
    <t>Tapentadolhydrochlorid</t>
  </si>
  <si>
    <t>Grünenthal GmbH</t>
  </si>
  <si>
    <t>+49 241 569 2662</t>
  </si>
  <si>
    <t>Carsten.Wieser@grunenthal.com</t>
  </si>
  <si>
    <t>Aspirin i.v. 500 mg</t>
  </si>
  <si>
    <t>N02BA01</t>
  </si>
  <si>
    <t>DL-Lysin-2-(acetyloxy)benzoat (1:1) - Glycin (9:1)</t>
  </si>
  <si>
    <t>0214/30 - 5 13 48</t>
  </si>
  <si>
    <t>0214/30 51348</t>
  </si>
  <si>
    <t>0800/6422937</t>
  </si>
  <si>
    <t>Novaminsulfon-ratiopharm 500 mg Tabletten</t>
  </si>
  <si>
    <t>N02BB02</t>
  </si>
  <si>
    <t>Metamizol-Natrium-Monohydrat</t>
  </si>
  <si>
    <t>00731465,  04527098,  06053291</t>
  </si>
  <si>
    <t>0196606, 1445922</t>
  </si>
  <si>
    <t>Novalgin 1 g-Injektionslösung</t>
  </si>
  <si>
    <t>A. Nattermann &amp; Cie. Gesellschaft mit beschränkter Haftung</t>
  </si>
  <si>
    <t>frachcra@sanofi.com</t>
  </si>
  <si>
    <t>08871562,  08871579</t>
  </si>
  <si>
    <t>Novaminsulfon injekt 1000 mg Lichtenstein</t>
  </si>
  <si>
    <t xml:space="preserve"> 0800 53 53 010</t>
  </si>
  <si>
    <t>Qualität der gelieferten Ampullen</t>
  </si>
  <si>
    <t>Novaminsulfon injekt 2500 mg Lichtenstein</t>
  </si>
  <si>
    <t>Qualitätsprobleme mit den gelieferten Ampullen</t>
  </si>
  <si>
    <t>6718342</t>
  </si>
  <si>
    <t>Paracetamol AL 500</t>
  </si>
  <si>
    <t>N02BE01</t>
  </si>
  <si>
    <t>Paracetamol</t>
  </si>
  <si>
    <t>03485558</t>
  </si>
  <si>
    <t>Paracetamol 500 mg HEXAL bei Fieber und Schmerzen</t>
  </si>
  <si>
    <t>Paracetamol 500 - 1 A Pharma</t>
  </si>
  <si>
    <t>Paraceta 500</t>
  </si>
  <si>
    <t>Paracetamol Saft - 1 A Pharma gegen Fieber und Schmerzen</t>
  </si>
  <si>
    <t>Paracetamol 1000 mg Supp. - 1A-Pharma</t>
  </si>
  <si>
    <t>Paracetamol 250 mg Supp. - 1A-Pharma</t>
  </si>
  <si>
    <t>Paracetamol Dexcel 500 mg Tabletten</t>
  </si>
  <si>
    <t>06023 9480-0</t>
  </si>
  <si>
    <t>Paracetamol B. Braun 10 mg/ml Infusionslösung</t>
  </si>
  <si>
    <t>benjamin.strippel@brraun.com</t>
  </si>
  <si>
    <t>Rizatriptan Glenmark 10 mg Schmelztabletten</t>
  </si>
  <si>
    <t>N02CC04</t>
  </si>
  <si>
    <t>Rizatriptanbenzoat</t>
  </si>
  <si>
    <t>Rizatriptan Glenmark 5 mg Schmelztabletten</t>
  </si>
  <si>
    <t>Rizatriptan Glenmark 5 mg Tabletten</t>
  </si>
  <si>
    <t>00417036,  09947132</t>
  </si>
  <si>
    <t>Rizatriptan Glenmark 10 mg Tabletten</t>
  </si>
  <si>
    <t>09947103,  10116347</t>
  </si>
  <si>
    <t>09947190,  10116353</t>
  </si>
  <si>
    <t>09947089,  09947095</t>
  </si>
  <si>
    <t>09947066,  09947072</t>
  </si>
  <si>
    <t>Kapazitätsengpässe</t>
  </si>
  <si>
    <t>Eletriptan Bluefish 20 mg Filmtabletten</t>
  </si>
  <si>
    <t>N02CC06</t>
  </si>
  <si>
    <t>Eletriptanhydrobromid</t>
  </si>
  <si>
    <t>Bluefish Pharmaceuticals AB (publ)</t>
  </si>
  <si>
    <t>mariam.motamen@bluefishpharma.com</t>
  </si>
  <si>
    <t>695835, 00695841, 04896430</t>
  </si>
  <si>
    <t>Mylepsinum</t>
  </si>
  <si>
    <t>N03AA03</t>
  </si>
  <si>
    <t>Primidon</t>
  </si>
  <si>
    <t>Phenhydan Injektionslösung</t>
  </si>
  <si>
    <t>N03AB02</t>
  </si>
  <si>
    <t>Phenytoin-Natrium</t>
  </si>
  <si>
    <t>Desitin Arzneimittel GmbH</t>
  </si>
  <si>
    <t>040 - 59 101 253</t>
  </si>
  <si>
    <t>garziella@desitin.de</t>
  </si>
  <si>
    <t>Phenhydan Injektionslösung - Einreichungsnummer: 0002329</t>
  </si>
  <si>
    <t>040-59101536</t>
  </si>
  <si>
    <t>vontoerne@desitin.de</t>
  </si>
  <si>
    <t>2519835, 00805198, 02517411</t>
  </si>
  <si>
    <t>Phenhydan</t>
  </si>
  <si>
    <t>Phenytoin</t>
  </si>
  <si>
    <t>04503123,  04503146</t>
  </si>
  <si>
    <t>Phenytoin AWD</t>
  </si>
  <si>
    <t>2517428, 00796625, 04897180</t>
  </si>
  <si>
    <t>Petnidan</t>
  </si>
  <si>
    <t>N03AD01</t>
  </si>
  <si>
    <t>Ethosuximid</t>
  </si>
  <si>
    <t>(+49) 040 59101253</t>
  </si>
  <si>
    <t>Petinutin 150 mg</t>
  </si>
  <si>
    <t>N03AD03</t>
  </si>
  <si>
    <t>Mesuximid</t>
  </si>
  <si>
    <t>Ware wieder verfügbar und freigegeben vor Datum der initialen Meldung (30.09.2022) gemäß Vorabinformation per Email 27.09.2022 an Frau Göbel/BfArM.</t>
  </si>
  <si>
    <t>02758385, 02758362</t>
  </si>
  <si>
    <t>Antelepsin 0,5mg</t>
  </si>
  <si>
    <t>N03AE01</t>
  </si>
  <si>
    <t>Clonazepam</t>
  </si>
  <si>
    <t>+(49) 040 59101253</t>
  </si>
  <si>
    <t>02758468, 02758439</t>
  </si>
  <si>
    <t>Antelepsin 2mg</t>
  </si>
  <si>
    <t>Antelepsin 0,5mg - Einreichungsnummer: 2145191</t>
  </si>
  <si>
    <t>Löschung wurde nur zu LE2021003498, dies war eine Erstmeldung obwohl es es eine Änderungsmeldung hätte sein müssen</t>
  </si>
  <si>
    <t>17441375,  17441381</t>
  </si>
  <si>
    <t>Clonazepam neuraxpharm 2 mg Tabletten</t>
  </si>
  <si>
    <t>neuraxpharm Arzneimittel GmbH</t>
  </si>
  <si>
    <t>+49 2173 1060 0</t>
  </si>
  <si>
    <t>info@neuraxpharm.de</t>
  </si>
  <si>
    <t>17441352,  17441369</t>
  </si>
  <si>
    <t>Clonazepam neuraxpharm 1 mg Tabletten</t>
  </si>
  <si>
    <t>17441300,  17441323</t>
  </si>
  <si>
    <t>Clonazepam neuraxpharm 0,5 mg Tabletten</t>
  </si>
  <si>
    <t>02173 1060 0</t>
  </si>
  <si>
    <t>09680120,  09680137</t>
  </si>
  <si>
    <t>Clonazepam-neuraxpharm 2,5 mg/ml Tropfen zum Einnehmen, Lösung</t>
  </si>
  <si>
    <t>958364, 958370, 9089220</t>
  </si>
  <si>
    <t>Carbamazepin AL 200 retard</t>
  </si>
  <si>
    <t>N03AF01</t>
  </si>
  <si>
    <t>Carbamazepin</t>
  </si>
  <si>
    <t>03659811,  03659828,  03659834</t>
  </si>
  <si>
    <t>Carbamazepin-ratiopharm 400 mg Retardtabletten</t>
  </si>
  <si>
    <t>03659768,  03659774,  03659805</t>
  </si>
  <si>
    <t>Carbamazepin-ratiopharm 200 mg Retardtabletten</t>
  </si>
  <si>
    <t>00958312,  00958335</t>
  </si>
  <si>
    <t>Carbamazepin AL 400 retard</t>
  </si>
  <si>
    <t>08782315,  08782321</t>
  </si>
  <si>
    <t>Carbamazepin-neuraxpharm 600mg retard</t>
  </si>
  <si>
    <t>zulassung@neuraxpharm.de</t>
  </si>
  <si>
    <t>00816842,  00816859</t>
  </si>
  <si>
    <t>Carbamazepin-neuraxpharm 400 mg retard</t>
  </si>
  <si>
    <t>Tegretal 200mg retard</t>
  </si>
  <si>
    <t>Tegretal 200 mg retard Tabletten, 200Stück, stehen ab heute wieder zur Verfügung.</t>
  </si>
  <si>
    <t>00958364,  00958370,  00989220</t>
  </si>
  <si>
    <t>Tegretal 400mg retard</t>
  </si>
  <si>
    <t>0049 911 273 13378</t>
  </si>
  <si>
    <t>Das Produkt ist ab sofort wieder lieferbar.</t>
  </si>
  <si>
    <t>00612341,  00614096,  00615380</t>
  </si>
  <si>
    <t>Carbamazepin Aristo 400 mg Retardtabletten</t>
  </si>
  <si>
    <t>00608598,  05507442,  09494759</t>
  </si>
  <si>
    <t>Carbamazepin Aristo 300 mg Retardtabletten</t>
  </si>
  <si>
    <t>00605772,  00605789,  00607417</t>
  </si>
  <si>
    <t>Carbamazepin Aristo 200 mg Retardtablette</t>
  </si>
  <si>
    <t>00590852,  00594040</t>
  </si>
  <si>
    <t>Carbamazepin Aristo 200 mg Tabletten</t>
  </si>
  <si>
    <t>m.schwabe@aliud.de</t>
  </si>
  <si>
    <t>03220989,  03220995,  04495582</t>
  </si>
  <si>
    <t>Carbamazepin-neuraxpharm 200mg</t>
  </si>
  <si>
    <t>Tegretal 200mg</t>
  </si>
  <si>
    <t>0911 - 273-13378</t>
  </si>
  <si>
    <t>00771967,  00771973,  00771996</t>
  </si>
  <si>
    <t>Carbamazepin-neuraxpharm 200mg retard</t>
  </si>
  <si>
    <t>0049 - 911 - 12280</t>
  </si>
  <si>
    <t>Das Produkt ist wieder lieferbar.</t>
  </si>
  <si>
    <t>00620524,  05507459,  09494765,  09494771</t>
  </si>
  <si>
    <t>Carbamazepin Aristo 600 mg Retardtabletten</t>
  </si>
  <si>
    <t>00914131,  00914148,  00914154</t>
  </si>
  <si>
    <t>carbadura 400 mg retard</t>
  </si>
  <si>
    <t>carbadura 300 mg retard - Einreichungsnummer: 2113715</t>
  </si>
  <si>
    <t>01044092,  01044100,  01044117</t>
  </si>
  <si>
    <t>Valproat HEXAL chrono 500 mg Retardtabletten</t>
  </si>
  <si>
    <t>N03AG</t>
  </si>
  <si>
    <t>Natriumvalproat; Valproinsäure</t>
  </si>
  <si>
    <t>01044123,  01044146,  01044152</t>
  </si>
  <si>
    <t>Valproat HEXAL chrono 300 mg Retardtabletten</t>
  </si>
  <si>
    <t>Ergenyl vial</t>
  </si>
  <si>
    <t>N03AG01</t>
  </si>
  <si>
    <t>Natriumvalproat</t>
  </si>
  <si>
    <t>Ergenyl intravenös - Einreichungsnummer: 2132555</t>
  </si>
  <si>
    <t>06305806, 06305798</t>
  </si>
  <si>
    <t>Ergenyl chrono 300 mg</t>
  </si>
  <si>
    <t>00999162, 06305835, 00999133, 06305841</t>
  </si>
  <si>
    <t>Ergenyl chrono 500 mg</t>
  </si>
  <si>
    <t>Ergenyl 500 mg</t>
  </si>
  <si>
    <t>Ergenyl 300 mg</t>
  </si>
  <si>
    <t>Ergenyl intravenös</t>
  </si>
  <si>
    <t>04343820,  04343837,  04343926</t>
  </si>
  <si>
    <t>Valproat - 1 A Pharma 300 mg Retardtabletten</t>
  </si>
  <si>
    <t>04343932,  04343961,  04344044</t>
  </si>
  <si>
    <t>Valproat - 1 A Pharma 500 mg Retardtabletten</t>
  </si>
  <si>
    <t>Weiteres Alternativpräparat: Orfiril mit 100 mg/ml</t>
  </si>
  <si>
    <t xml:space="preserve">Eingeschränkt lieferfähig. Alternativpräparate: Orfiril mit 100 mg/ml. </t>
  </si>
  <si>
    <t>06305835,  06305841</t>
  </si>
  <si>
    <t>Mögliche Alternativen: Valproat Chrono Winthrop 500mg (PZN 00999156, 00999162) oder wirkstoffgleiche Präparate von Mitbewerbern.</t>
  </si>
  <si>
    <t>06305798,  06305806</t>
  </si>
  <si>
    <t>Eingeschränkte Lieferfähigkeit. Alternativen: Valproat Chrono Winthrop® 300mg (PZN 00999110, 00999127) oder wirkstoffgleiche Präparate von Mitbewerbern.</t>
  </si>
  <si>
    <t>6983624, 06983630, 06983676</t>
  </si>
  <si>
    <t>Sabril 500 mg Filmtabletten</t>
  </si>
  <si>
    <t>N03AG04</t>
  </si>
  <si>
    <t>Vigabatrin</t>
  </si>
  <si>
    <t>Sabril Beutel - Einreichungsnummer: 2127523</t>
  </si>
  <si>
    <t>07382890,  07382909</t>
  </si>
  <si>
    <t>Sabril Beutel</t>
  </si>
  <si>
    <t>Eingeschränkte Lieferfähigkeit. Abgabe auf Einzelanfrage nach Rezeptvorlage.</t>
  </si>
  <si>
    <t>06983630,  06983676</t>
  </si>
  <si>
    <t xml:space="preserve">Beide Packungsgrößen sind eingeschränkt verfügbar. Abgabe auf Einzelanfrage nach Rezeptvorlage. </t>
  </si>
  <si>
    <t>Lamotrigin STADA 50mg Tabletten</t>
  </si>
  <si>
    <t>N03AX09</t>
  </si>
  <si>
    <t>Lamotrigin</t>
  </si>
  <si>
    <t>Lamotrigin - 1A Pharma 200 mg Tabletten</t>
  </si>
  <si>
    <t>Lamotrigin acis 200 mg Tabletten</t>
  </si>
  <si>
    <t>Lamotrigin AL 200mg Tabletten - Einreichungsnummer: 2157323</t>
  </si>
  <si>
    <t>01029922</t>
  </si>
  <si>
    <t>Lamotrigin - 1A Pharma 100 mg Tabletten</t>
  </si>
  <si>
    <t>03928240</t>
  </si>
  <si>
    <t>Lamotrigin HEXAL 25 mg</t>
  </si>
  <si>
    <t>Tablette zur Herstellung einer Suspension zum Einnehmen</t>
  </si>
  <si>
    <t>Lamotrigin HEXAL 100 mg</t>
  </si>
  <si>
    <t>Lamotrigin HEXAL 200 mg</t>
  </si>
  <si>
    <t>Lamotrigin HEXAL 50 mg</t>
  </si>
  <si>
    <t>Lamotrigin Atid 200mg</t>
  </si>
  <si>
    <t>Tablette zur Herstellung einer Suspension zum Einnehmen bzw. Kautablette</t>
  </si>
  <si>
    <t>Lamotrigin Atid 100mg</t>
  </si>
  <si>
    <t>Lamotrigin Atid 50mg</t>
  </si>
  <si>
    <t>Lamotrigin Atid 25mg</t>
  </si>
  <si>
    <t>04087819</t>
  </si>
  <si>
    <t>Lamotrigin STADA 200mg Tabletten</t>
  </si>
  <si>
    <t>Lamotrigin STADA 100mg Tabletten</t>
  </si>
  <si>
    <t>Lamotrigin acis 50 mg Tabletten</t>
  </si>
  <si>
    <t>Lamotrigin acis 50 mg Tabletten - Einreichungsnummer: 2164057</t>
  </si>
  <si>
    <t>Lamictal 5 mg Tabletten zur Herstellung einer Suspension zum Einnehmen bzw. Kautabletten</t>
  </si>
  <si>
    <t>Lamictal 2 mg Tabletten zur Herstellung einer Suspension zum Einnehmen bzw. Kautabletten</t>
  </si>
  <si>
    <t>Taloxa Saft</t>
  </si>
  <si>
    <t>N03AX10</t>
  </si>
  <si>
    <t>Felbamat</t>
  </si>
  <si>
    <t>Topiramat-glenmark 50 mg Filmtabletten</t>
  </si>
  <si>
    <t>N03AX11</t>
  </si>
  <si>
    <t>Topiramat</t>
  </si>
  <si>
    <t>Topiramat-glenmark 100 mg Filmtabletten</t>
  </si>
  <si>
    <t>Topiramat-glenmark 25 mg Filmtabletten</t>
  </si>
  <si>
    <t>Topiramat-glenmark 200 mg Filmtabletten</t>
  </si>
  <si>
    <t>09098590,  09920216</t>
  </si>
  <si>
    <t>13821276, 13821253, 13821282</t>
  </si>
  <si>
    <t>Topiramat PUREN 25 mg Filmtabletten</t>
  </si>
  <si>
    <t>N03AX11, TERM_ID_NA_2090005400</t>
  </si>
  <si>
    <t>13821299, 13821307, 13821313</t>
  </si>
  <si>
    <t>Topiramat PUREN 100 mg Filmtabletten</t>
  </si>
  <si>
    <t>13821201, 13821218</t>
  </si>
  <si>
    <t>Topiramat PUREN 200 mg Filmtabletten</t>
  </si>
  <si>
    <t>Topiramat PUREN 50 mg Filmtabletten</t>
  </si>
  <si>
    <t>Gabapentin Glenmark 800 mg Filmtabletten</t>
  </si>
  <si>
    <t>N03AX12</t>
  </si>
  <si>
    <t>Gabapentin</t>
  </si>
  <si>
    <t>Gabapentin Glenmark 400 mg Hartkapseln</t>
  </si>
  <si>
    <t>Gabapentin Glenmark 600 mg Filmtabletten</t>
  </si>
  <si>
    <t>Gabapentin Glenmark 100 mg Hartkapseln</t>
  </si>
  <si>
    <t>Gabapentin Glenmark 300 mg Hartkapseln</t>
  </si>
  <si>
    <t>PZN 13589566 wieder lieferbar</t>
  </si>
  <si>
    <t>13753787,  13753793,  13753830</t>
  </si>
  <si>
    <t>13589543,  13589566,  13589572</t>
  </si>
  <si>
    <t>13589589,  13589595</t>
  </si>
  <si>
    <t>11323717, 11323746, 11323700</t>
  </si>
  <si>
    <t>Levetiracetam Glenmark 750 mg Filmtabletten</t>
  </si>
  <si>
    <t>N03AX14</t>
  </si>
  <si>
    <t>Levetiracetam</t>
  </si>
  <si>
    <t>11323663, 11323692, 11323657</t>
  </si>
  <si>
    <t>Levetiracetam Glenmark 500 mg Filmtabletten</t>
  </si>
  <si>
    <t>11323166, 11323172, 11323137</t>
  </si>
  <si>
    <t>Levetiracetam Glenmark 1000 mg Filmtabletten</t>
  </si>
  <si>
    <t>Keppra 100 mg/ml Lösung zum Einnehmen - OP(1x150ml)</t>
  </si>
  <si>
    <t>UCB Pharma</t>
  </si>
  <si>
    <t>Levetiracetam Heumann 100 mg/ml Lösung zum Einnehmen - Einreichungsnummer: 2188654</t>
  </si>
  <si>
    <t>11323189, 11323195, 15785780</t>
  </si>
  <si>
    <t>Levetiracetam Glenmark 100 mg/ml Lösung zum Einnehmen</t>
  </si>
  <si>
    <t>11323628, 11323634, 11323640</t>
  </si>
  <si>
    <t>Levetiracetam Glenmark 250 mg Filmtabletten</t>
  </si>
  <si>
    <t>Levetiracetam-Hormosan 500 mg Filmtabletten</t>
  </si>
  <si>
    <t>069 4787319</t>
  </si>
  <si>
    <t>cschumann@hormosan.de</t>
  </si>
  <si>
    <t>11323663,  11323692</t>
  </si>
  <si>
    <t>11323137,  11323166,  11323172</t>
  </si>
  <si>
    <t>Levetiracetam UCB</t>
  </si>
  <si>
    <t>Produktionsengpass</t>
  </si>
  <si>
    <t>Levetiracetam UCB - Einreichungsnummer: 2181753</t>
  </si>
  <si>
    <t>11323189,  11323195,  15785780</t>
  </si>
  <si>
    <t>11127726, 11127732, 11127749</t>
  </si>
  <si>
    <t>Zonisamid Glenmark 100 mg Hartkapseln</t>
  </si>
  <si>
    <t>N03AX15</t>
  </si>
  <si>
    <t>Zonisamid</t>
  </si>
  <si>
    <t>11127695, 13715976</t>
  </si>
  <si>
    <t>Zonisamid Glenmark 50 mg Hartkapseln</t>
  </si>
  <si>
    <t>ZonisaHEXAL 100 mg Hartkapseln</t>
  </si>
  <si>
    <t>11127689</t>
  </si>
  <si>
    <t>Zonisamid Glenmark 25 mg Hartkapseln</t>
  </si>
  <si>
    <t>10962266, 10962214</t>
  </si>
  <si>
    <t>Pregabalin Glenmark 75 mg Hartkapseln</t>
  </si>
  <si>
    <t>N03AX16</t>
  </si>
  <si>
    <t>Pregabalin</t>
  </si>
  <si>
    <t>Pregabalin PUREN 225 mg Hartkapseln</t>
  </si>
  <si>
    <t>Pregabalin PUREN 200 mg Hartkapseln</t>
  </si>
  <si>
    <t>11176191, 11176216, 12436553</t>
  </si>
  <si>
    <t>Pregabalin PUREN 300 mg Hartkapseln</t>
  </si>
  <si>
    <t>11176104, 11176110, 12436524</t>
  </si>
  <si>
    <t>Pregabalin PUREN 100 mg Hartkapseln</t>
  </si>
  <si>
    <t>11176067, 11176073, 11176096</t>
  </si>
  <si>
    <t>Pregabalin PUREN 75 mg Hartkapseln</t>
  </si>
  <si>
    <t>11176021, 11176038, 12436501</t>
  </si>
  <si>
    <t>Pregabalin PUREN 25 mg Hartkapseln</t>
  </si>
  <si>
    <t>11176127, 11176133, 12436524</t>
  </si>
  <si>
    <t>Pregabalin PUREN 150 mg Hartkapseln</t>
  </si>
  <si>
    <t>11176044, 11176050, 12436518</t>
  </si>
  <si>
    <t>Pregabalin PUREN 50 mg Hartkapseln</t>
  </si>
  <si>
    <t>Algecia 200 mg Hartkapseln</t>
  </si>
  <si>
    <t>michaela.kunze@elpen-pharma.de</t>
  </si>
  <si>
    <t>Algecia 100 mg Hartkapseln</t>
  </si>
  <si>
    <t>Algecia 50 mg Hartkapseln</t>
  </si>
  <si>
    <t>Artikel "außer Vertrieb" zum 01.06.2023</t>
  </si>
  <si>
    <t>13923918,  13923924,  13923930</t>
  </si>
  <si>
    <t>Algecia 75 mg Hartkapseln</t>
  </si>
  <si>
    <t>Artikel zum 01.06.2023 außer Vertrieb</t>
  </si>
  <si>
    <t>Algecia 225 mg Hartkapseln</t>
  </si>
  <si>
    <t>Algecia 150 mg Hartkapseln</t>
  </si>
  <si>
    <t>LYRICA 20 mg/ml Lösung zum Einnehmen - OP473ml</t>
  </si>
  <si>
    <t>+49 (0)800 0700 800</t>
  </si>
  <si>
    <t>13923887,  13923893</t>
  </si>
  <si>
    <t>Algecia 25 mg Hartkapseln</t>
  </si>
  <si>
    <t>Pregabalin Denk 150 mg Hartkapseln</t>
  </si>
  <si>
    <t>Pregabalin Denk 75 mg Hartkapseln</t>
  </si>
  <si>
    <t>Vimpat 10 mg/ml Sirup - OP200ml</t>
  </si>
  <si>
    <t>N03AX18</t>
  </si>
  <si>
    <t>Lacosamid</t>
  </si>
  <si>
    <t>Lacosamid UCB 10 mg/ml Sirup - Einreichungsnummer: 2715335</t>
  </si>
  <si>
    <t>Sirup</t>
  </si>
  <si>
    <t>Vimpat 10 mg/ml Infusionslösung - OP(5x20ml)</t>
  </si>
  <si>
    <t>Lacosamid Desitin 10 mg/ml Infusionslösung - Einreichungsnummer: 2198613</t>
  </si>
  <si>
    <t>17534912,  17534929</t>
  </si>
  <si>
    <t>Lacosamid Glenmark 100 mg Filmtabletten</t>
  </si>
  <si>
    <t>Glenmark Pharmaceuticals s.r.o.</t>
  </si>
  <si>
    <t>Hohe Nachfrage und gleichzeitig Kapazitätsengpässe</t>
  </si>
  <si>
    <t>Lacosamid Glenmark 150 mg Filmtabletten</t>
  </si>
  <si>
    <t>Lacosamid Glenmark 50 mg Filmtabletten</t>
  </si>
  <si>
    <t>Lacosamid Glenmark 200 mg Filmtabletten</t>
  </si>
  <si>
    <t>Osnervan</t>
  </si>
  <si>
    <t>N04AA04</t>
  </si>
  <si>
    <t>Procyclidinhydrochlorid</t>
  </si>
  <si>
    <t>05515542, 05515513</t>
  </si>
  <si>
    <t>Restex 100 mg/25 mg Hartkapseln, retardiert</t>
  </si>
  <si>
    <t>N04BA02</t>
  </si>
  <si>
    <t>Benserazidhydrochlorid; Levodopa</t>
  </si>
  <si>
    <t>Roche Pharma AG</t>
  </si>
  <si>
    <t>12565730, 12565724</t>
  </si>
  <si>
    <t>Levodopa plus Benserazid AL 50 mg/12,5 mg Hartkapseln</t>
  </si>
  <si>
    <t>8699761, 8699784</t>
  </si>
  <si>
    <t>Madopar LT</t>
  </si>
  <si>
    <t>576160, 576148</t>
  </si>
  <si>
    <t>Restex 100 mg/25 mg Tabletten</t>
  </si>
  <si>
    <t>4759756, 4759779</t>
  </si>
  <si>
    <t>Madopar Depot</t>
  </si>
  <si>
    <t>3888606, 03888629</t>
  </si>
  <si>
    <t>Madopar 125 mg T</t>
  </si>
  <si>
    <t>3395789, 2186931</t>
  </si>
  <si>
    <t>Madopar 62,5 mg</t>
  </si>
  <si>
    <t>Madopar 125 mg</t>
  </si>
  <si>
    <t>Madopar 250 mg</t>
  </si>
  <si>
    <t>01671624,  01672121,  01672173,  01672523,  04682019,  04682025</t>
  </si>
  <si>
    <t>2152591, 2152594</t>
  </si>
  <si>
    <t>dopadura C 100/25 mg retard</t>
  </si>
  <si>
    <t>Carbidopa-Monohydrat; Levodopa</t>
  </si>
  <si>
    <t>04074679,  04832430</t>
  </si>
  <si>
    <t>Levobeta C 100 mg/25 mg retard Retardtabletten</t>
  </si>
  <si>
    <t>info@betapharm.de</t>
  </si>
  <si>
    <t>04074685,  04832571</t>
  </si>
  <si>
    <t>Levobeta C 200 mg/50 mg retard Retardtabletten</t>
  </si>
  <si>
    <t>monika.haidinger@drreddys.de</t>
  </si>
  <si>
    <t xml:space="preserve">Jahresbestand in 2 Tagen verkauft </t>
  </si>
  <si>
    <t>04854851,  04854880,  04854940,  04855419</t>
  </si>
  <si>
    <t>LevoCarb 200/50 ret - 1 A Pharma</t>
  </si>
  <si>
    <t>04854058,  04854710,  04854839</t>
  </si>
  <si>
    <t>LevoCarb 100/25 ret - 1 A Pharma</t>
  </si>
  <si>
    <t>03446311,  03446570,  04957746</t>
  </si>
  <si>
    <t>Levocomp 250 / 25 mg</t>
  </si>
  <si>
    <t>03773725,  03773748,  04957769</t>
  </si>
  <si>
    <t>Levocomp retard 200 mg/50 mg Retardtabletten</t>
  </si>
  <si>
    <t>02646350,  04957752</t>
  </si>
  <si>
    <t>Levocomp retard 100 mg/25 mg Retardtabletten</t>
  </si>
  <si>
    <t>447801, 00447818</t>
  </si>
  <si>
    <t>PK-Merz Filmtabletten 100mg</t>
  </si>
  <si>
    <t>N04BB01</t>
  </si>
  <si>
    <t>Amantadinhemisulfat</t>
  </si>
  <si>
    <t>+49 (0) 69 1503 6969</t>
  </si>
  <si>
    <t>07668652</t>
  </si>
  <si>
    <t>Bromocriptin-CT 5 mg Hartkapseln</t>
  </si>
  <si>
    <t>N04BC01</t>
  </si>
  <si>
    <t>12551082, 12551076</t>
  </si>
  <si>
    <t>Bromocriptin-ratiopharm 5 mg Hartkapseln</t>
  </si>
  <si>
    <t>07506872</t>
  </si>
  <si>
    <t>Bromocriptin-ratiopharm 10mg Hartkapseln</t>
  </si>
  <si>
    <t>9098578, 9098561</t>
  </si>
  <si>
    <t>Ropinirol Glenmark 2 mg Filmtabletten</t>
  </si>
  <si>
    <t>N04BC04</t>
  </si>
  <si>
    <t>Ropinirolhydrochlorid</t>
  </si>
  <si>
    <t>9098532, 9098526</t>
  </si>
  <si>
    <t>Ropinirol Glenmark 0,5 mg Filmtabletten</t>
  </si>
  <si>
    <t>Glepark 0,35 mg Tabletten</t>
  </si>
  <si>
    <t>N04BC05</t>
  </si>
  <si>
    <t>Pramipexoldihydrochlorid  1 H&lt;2&gt;O</t>
  </si>
  <si>
    <t>Glepark 0,7 mg Tabletten</t>
  </si>
  <si>
    <t>Glepark 0,088 mg Tabletten</t>
  </si>
  <si>
    <t>10945227, 10945210, 09779835</t>
  </si>
  <si>
    <t>Pramipexol PUREN 0,18 mg Tabletten</t>
  </si>
  <si>
    <t>Glepark 0,18 mg Tabletten</t>
  </si>
  <si>
    <t>PZN 9098437 wieder lieferbar</t>
  </si>
  <si>
    <t>09779858, 09779841</t>
  </si>
  <si>
    <t>Pramipexol PUREN 0,35 mg Tabletten</t>
  </si>
  <si>
    <t>Pramipexoldihydrochlorid-Monohydrat</t>
  </si>
  <si>
    <t>09098437,  09098443</t>
  </si>
  <si>
    <t>09098420,  09435372</t>
  </si>
  <si>
    <t>09191912, 09191906</t>
  </si>
  <si>
    <t>Cabergolin-TEVA 2 mg Tabletten</t>
  </si>
  <si>
    <t>N04BC06</t>
  </si>
  <si>
    <t>02162333, 02162540</t>
  </si>
  <si>
    <t>Cabergolin-ratiopharm 2 mg Tabletten</t>
  </si>
  <si>
    <t>09191869, 12584124, 12584176</t>
  </si>
  <si>
    <t>Cabergolin-TEVA 1 mg Tabletten</t>
  </si>
  <si>
    <t>02157007, 02156634, 02160297</t>
  </si>
  <si>
    <t>Cabergolin-ratiopharm 1 mg Tabletten</t>
  </si>
  <si>
    <t>03131613,  07729655</t>
  </si>
  <si>
    <t>Cabaseril 1 mg</t>
  </si>
  <si>
    <t>Leganto 2 mg/24 h transdermales Pflaster - OP(28x10cm²)</t>
  </si>
  <si>
    <t>N04BC09</t>
  </si>
  <si>
    <t>Rotigotin</t>
  </si>
  <si>
    <t>02173 484848</t>
  </si>
  <si>
    <t>Verzögerung der Herstellung</t>
  </si>
  <si>
    <t>Neupro 2 mg/24 h transdermales Pflaster - OP(28x1) - Einreichungsnummer: 2703045</t>
  </si>
  <si>
    <t>Leganto 2 mg/24 h transdermales Pflaster - OP(7x10cm²)</t>
  </si>
  <si>
    <t>Verzögerung der Produktion</t>
  </si>
  <si>
    <t>Neupro 2 mg/24 h transdermales Pflaster - OP(7x1) - Einreichungsnummer: 2703044</t>
  </si>
  <si>
    <t>00569510,  04173157</t>
  </si>
  <si>
    <t>Selegilin AL 5</t>
  </si>
  <si>
    <t>N04BD01</t>
  </si>
  <si>
    <t>Selegilinhydrochlorid</t>
  </si>
  <si>
    <t>Rasagilin Glenmark 1 mg Tabletten</t>
  </si>
  <si>
    <t>N04BD02</t>
  </si>
  <si>
    <t>Rasagilintartrat</t>
  </si>
  <si>
    <t>11865312,  11865329,  11865335</t>
  </si>
  <si>
    <t>Überwachung der Nitrosaminkonzentrationen im Wirkstoff und Fertigprodukt und andauernde Ursachenanalyse. Bis zum Abschluss aller Untersuchungen am Produktionsstandort in Indien werden vorsorglich alle bereits produzierten Marktchargen weiterhin im Status "Quarantäne" bleiben. Die Qualifizierung eines europäischen Labors zur Testung der Nitrosaminwerte ist außerdem Grundvoraussetzung für die Freigabe neu produzierter Chargen.</t>
  </si>
  <si>
    <t>12420411, 12420428</t>
  </si>
  <si>
    <t>Ongentys 50 mg Hartkapseln - OP30(Bl)</t>
  </si>
  <si>
    <t>N04BX04</t>
  </si>
  <si>
    <t>Opicapon</t>
  </si>
  <si>
    <t>BIAL Portela &amp; CA S.A.</t>
  </si>
  <si>
    <t>+49 61059639900/ or +351 22 986 6113</t>
  </si>
  <si>
    <t>Juergen.Leist@bial.com / paula.costa@bial.com</t>
  </si>
  <si>
    <t>Ongentys 50 mg Hartkapseln - OP90(Fl)</t>
  </si>
  <si>
    <t>8668358, 08668341</t>
  </si>
  <si>
    <t>Proneurin 25mg</t>
  </si>
  <si>
    <t>N05AA, R06AD02</t>
  </si>
  <si>
    <t>Promethazinhydrochlorid</t>
  </si>
  <si>
    <t>08515471,  08515488</t>
  </si>
  <si>
    <t>Fluphenazin-neuraxpharm D 50 mg/ 0,5 ml</t>
  </si>
  <si>
    <t>N05AB02</t>
  </si>
  <si>
    <t>Fluphenazindecanoat</t>
  </si>
  <si>
    <t>Zulassung@neuraxpharm.de</t>
  </si>
  <si>
    <t>08515459,  08515465</t>
  </si>
  <si>
    <t>Fluphenazin-neuraxpharm D 12,5 mg/ 0,5 ml</t>
  </si>
  <si>
    <t>04935621,  04935638</t>
  </si>
  <si>
    <t>Fluphenazin-neuraxpharm D 100 mg/ml</t>
  </si>
  <si>
    <t>04935584,  04935590</t>
  </si>
  <si>
    <t>Fluphenazin-neuraxpharm D 25 mg/ml</t>
  </si>
  <si>
    <t>Fluphenazin-neuraxpharm D 250 mg/10 ml</t>
  </si>
  <si>
    <t>02098701,  02098718,  02098724</t>
  </si>
  <si>
    <t>Perphenazin-neuraxpharm 8 mg</t>
  </si>
  <si>
    <t>N05AB03</t>
  </si>
  <si>
    <t>Perphenazin</t>
  </si>
  <si>
    <t>Melleril 30 mg Retardtabletten</t>
  </si>
  <si>
    <t>N05AC02</t>
  </si>
  <si>
    <t>Thioridazinhydrochlorid</t>
  </si>
  <si>
    <t>667112</t>
  </si>
  <si>
    <t>Melleril 200 mg Retardtabletten</t>
  </si>
  <si>
    <t>04556929, 04559649</t>
  </si>
  <si>
    <t>Haloperidol-ratiopharm 5mg Tabletten</t>
  </si>
  <si>
    <t>N05AD01</t>
  </si>
  <si>
    <t>Haloperidol</t>
  </si>
  <si>
    <t>HALDOL-Janssen 1 mg, Tabletten</t>
  </si>
  <si>
    <t>Nach aktuellem Stand werden wir voraussichtlich ab Ende August/Anfang September bis Anfang Oktober Haldol®-Janssen 1 mg Tabletten nicht liefern können.Als Alternative empfehlen wir Haldol®-Janssen 2 mg/ml Lösung zum Einnehmen (PZN 14005478) oder jede andere im Markt verfügbare und geeignete Haloperidol-Alternative.</t>
  </si>
  <si>
    <t>HALDOL-Janssen 2 mg/ml Lösung zum Einnehmen - Einreichungsnummer: 0762158</t>
  </si>
  <si>
    <t>Haloperidol-ratiopharm 10mg Tabletten</t>
  </si>
  <si>
    <t>03215480,  03215497,  03215505</t>
  </si>
  <si>
    <t>Haloperidol-neuraxpharm 1mg</t>
  </si>
  <si>
    <t>neuraxpharm Arzneimittel GmbH [HIST]</t>
  </si>
  <si>
    <t>04917385,  04917391</t>
  </si>
  <si>
    <t>Haloperidol-neuraxpharm Decanoat 50 mg/ml</t>
  </si>
  <si>
    <t>Haloperidoldecanoat</t>
  </si>
  <si>
    <t>+49 2173 10 60 0</t>
  </si>
  <si>
    <t>01322622,  01332313</t>
  </si>
  <si>
    <t>Haloperidol-neuraxpharm Decanoat 100 mg/ml</t>
  </si>
  <si>
    <t>Haloperidol-neuraxpharm Decanoat 500 mg/10 ml</t>
  </si>
  <si>
    <t>00256722,  08770387</t>
  </si>
  <si>
    <t>Melneurin Lösung</t>
  </si>
  <si>
    <t>N05AD03</t>
  </si>
  <si>
    <t>Melperonhydrochlorid</t>
  </si>
  <si>
    <t>09491382,  09491399</t>
  </si>
  <si>
    <t>Melperon Aristo 50 mg Filmtabletten</t>
  </si>
  <si>
    <t>00066128, 00066111</t>
  </si>
  <si>
    <t>Pipamperon Hexal Saft</t>
  </si>
  <si>
    <t>N05AD05</t>
  </si>
  <si>
    <t>Pipamperondihydrochlorid</t>
  </si>
  <si>
    <t>Pipamperon Saft - 1A Pharma - Einreichungsnummer: 2156012</t>
  </si>
  <si>
    <t>Pipamperon Saft - 1A Pharma</t>
  </si>
  <si>
    <t>06861370</t>
  </si>
  <si>
    <t>Pipamperon 40 - 1 A Pharma</t>
  </si>
  <si>
    <t>01023090,  01023109,  01023115</t>
  </si>
  <si>
    <t>Pipamperon HEXAL 40mg Tabletten</t>
  </si>
  <si>
    <t>06861370,  06861387,  06861499</t>
  </si>
  <si>
    <t>Dipiperon</t>
  </si>
  <si>
    <t>EUMEDICA S.A.</t>
  </si>
  <si>
    <t>Der Stock-out beim Mitbewerber Hexal hat zu einer stark erhöhten Nachfrage geführt.</t>
  </si>
  <si>
    <t>Xomolix 2,5 mg/ml Injektionslösung</t>
  </si>
  <si>
    <t>N05AD08</t>
  </si>
  <si>
    <t>Droperidol</t>
  </si>
  <si>
    <t>Droperidol Carinopharm 2,5 mg/ml Injektionslösung - Einreichungsnummer: 2187570</t>
  </si>
  <si>
    <t>0211 416 119 0</t>
  </si>
  <si>
    <t>Vertrieb eingestellt.</t>
  </si>
  <si>
    <t>ZELDOX 20 mg/ml Pulver und Lösungsmittel zur Herstellung einer Injektionslösung</t>
  </si>
  <si>
    <t>N05AE04</t>
  </si>
  <si>
    <t>Ziprasidonmesilat (1:1)</t>
  </si>
  <si>
    <t>Viatris Pharma GmbH</t>
  </si>
  <si>
    <t>11532390, 11532409, 11532421</t>
  </si>
  <si>
    <t>Clozapin Glenmark 25 mg Tabletten</t>
  </si>
  <si>
    <t>N05AH02</t>
  </si>
  <si>
    <t>Clozapin</t>
  </si>
  <si>
    <t>11532504, 11532510, 11532527</t>
  </si>
  <si>
    <t>Clozapin Glenmark 200 mg Tabletten</t>
  </si>
  <si>
    <t>11532510,  11532527</t>
  </si>
  <si>
    <t>11532467,  11532473,  11532496</t>
  </si>
  <si>
    <t>Clozapin Glenmark 100 mg Tabletten</t>
  </si>
  <si>
    <t>11532504,  11532510,  11532527</t>
  </si>
  <si>
    <t>11532438,  11532444,  11532450</t>
  </si>
  <si>
    <t>Clozapin Glenmark 50 mg Tabletten</t>
  </si>
  <si>
    <t>11532390,  11532409,  11532421</t>
  </si>
  <si>
    <t>11130668, 11130668</t>
  </si>
  <si>
    <t>Olanzapin Glenmark 15 mg Tabletten - OP56</t>
  </si>
  <si>
    <t>N05AH03</t>
  </si>
  <si>
    <t>Olanzapin</t>
  </si>
  <si>
    <t>Olanzapin Glenmark 7,5 mg Tabletten - OP70</t>
  </si>
  <si>
    <t>Olanzapin Glenmark 5 mg Tabletten - OP56</t>
  </si>
  <si>
    <t>Olanzapin Glenmark 10 mg Tabletten - OP70</t>
  </si>
  <si>
    <t>Olanzapin Glenmark 7,5 mg Tabletten - OP56</t>
  </si>
  <si>
    <t>Olanzapin Glenmark 10 mg Tabletten - OP56</t>
  </si>
  <si>
    <t>Olanzapin Glenmark 20 mg Tabletten - OP56</t>
  </si>
  <si>
    <t>Olanzapin Glenmark 20 mg Tabletten - OP70</t>
  </si>
  <si>
    <t>Olanzapin Glenmark 15 mg Tabletten - OP70</t>
  </si>
  <si>
    <t>Olanzapin Glenmark 2,5 mg Tabletten - OP56</t>
  </si>
  <si>
    <t>Olanzapin Glenmark 2,5 mg Tabletten - OP70</t>
  </si>
  <si>
    <t>Olanzapin Glenmark 7,5 mg Tabletten - OP28</t>
  </si>
  <si>
    <t>Olanzapin Glenmark 5 mg Tabletten - OP70</t>
  </si>
  <si>
    <t>Olanzapin Glenmark 5 mg Tabletten - OP28</t>
  </si>
  <si>
    <t>01314137,  14179534</t>
  </si>
  <si>
    <t>0373586, 0373669</t>
  </si>
  <si>
    <t>Dominal forte 80 mg</t>
  </si>
  <si>
    <t>N05AX07</t>
  </si>
  <si>
    <t>Prothipendylhydrochlorid 1 H&lt;2&gt;O</t>
  </si>
  <si>
    <t>Dominal 40 mg überzogene Tabletten</t>
  </si>
  <si>
    <t>11358199</t>
  </si>
  <si>
    <t>Risperidon PUREN 4 mg Filmtabletten</t>
  </si>
  <si>
    <t>N05AX08</t>
  </si>
  <si>
    <t>Risperidon</t>
  </si>
  <si>
    <t>11358147, 11358153, 11358182</t>
  </si>
  <si>
    <t>Risperidon PUREN 3 mg Filmtabletten</t>
  </si>
  <si>
    <t>11259155,  11259161,  11259178</t>
  </si>
  <si>
    <t>Risperidon Aristo 1 mg/ml Lösung</t>
  </si>
  <si>
    <t>Risperidon STADA 4mg Filmtabletten</t>
  </si>
  <si>
    <t>Risperidon - 1A Pharma 1 mg/ml Lösung zum Einnehmen</t>
  </si>
  <si>
    <t>14359147,  14359153,  14359176</t>
  </si>
  <si>
    <t>Arpilif 30 mg Tabletten</t>
  </si>
  <si>
    <t>N05AX12</t>
  </si>
  <si>
    <t>Aripiprazol</t>
  </si>
  <si>
    <t>14359058,  14359070,  14359087</t>
  </si>
  <si>
    <t>Arpilif 10 mg Tabletten</t>
  </si>
  <si>
    <t>Diazepam-Lipuro</t>
  </si>
  <si>
    <t>N05BA01</t>
  </si>
  <si>
    <t>Diazepam</t>
  </si>
  <si>
    <t>Diazepam PANPHARMA 5 mg/ml Injektionslösung - Einreichungsnummer: 2103919</t>
  </si>
  <si>
    <t>Diazepam Desitin rectal tube 5mg</t>
  </si>
  <si>
    <t>Rektallösung</t>
  </si>
  <si>
    <t>Diazepam-ratiopharm 10 mg/ml Tropfen zum Einnehmen</t>
  </si>
  <si>
    <t>Diazepam AbZ Tropfen</t>
  </si>
  <si>
    <t>Diazepam Desitin rectal tube 10mg</t>
  </si>
  <si>
    <t>Rudotel</t>
  </si>
  <si>
    <t>N05BA03</t>
  </si>
  <si>
    <t>Medazepam</t>
  </si>
  <si>
    <t>Tavor pro injectione 2 mg</t>
  </si>
  <si>
    <t>N05BA06</t>
  </si>
  <si>
    <t>Lorazepam</t>
  </si>
  <si>
    <t>(+49) 30 550055 53113</t>
  </si>
  <si>
    <t>carina.westerburg@pfizer.com</t>
  </si>
  <si>
    <t>Tavor 0,5 mg - Einreichungsnummer: 0174941</t>
  </si>
  <si>
    <t>Verzögerung innerhalb der Produktionsabläufe</t>
  </si>
  <si>
    <t>03565553,  03565576</t>
  </si>
  <si>
    <t>Tavor 1,0 mg Expidet</t>
  </si>
  <si>
    <t>Tavor 2,5 mg Expidet</t>
  </si>
  <si>
    <t>03292262,  03292279,  03292285</t>
  </si>
  <si>
    <t>Tavor Tabs 2,0 mg</t>
  </si>
  <si>
    <t>03565553,  03565576,  03565582,  03565599</t>
  </si>
  <si>
    <t>2106948, 2106949</t>
  </si>
  <si>
    <t>Tavor 2,5 mg</t>
  </si>
  <si>
    <t>Lorazepam-neuraxpharm 2,5 mg - Einreichungsnummer: 2107792</t>
  </si>
  <si>
    <t>02791750,  02791767,  02791773</t>
  </si>
  <si>
    <t>Tavor 0,5 mg</t>
  </si>
  <si>
    <t>01463682,  01463699,  01870329</t>
  </si>
  <si>
    <t>Tavor 1,0 mg</t>
  </si>
  <si>
    <t>Lorazepam-neuraxpharm 1 mg - Einreichungsnummer: 2107791</t>
  </si>
  <si>
    <t>00766392,  00766400,  00766417</t>
  </si>
  <si>
    <t>Bromazepam 6 - 1 A Pharma</t>
  </si>
  <si>
    <t>N05BA08</t>
  </si>
  <si>
    <t>Bromazepam</t>
  </si>
  <si>
    <t>Normoc</t>
  </si>
  <si>
    <t>Recordati Pharma GmbH</t>
  </si>
  <si>
    <t>distribution@recordati.de</t>
  </si>
  <si>
    <t>03050145,  03572139,  03572145,  03572151</t>
  </si>
  <si>
    <t>Bromazanil 6</t>
  </si>
  <si>
    <t>04426859,  04426865</t>
  </si>
  <si>
    <t>Bromazanil 3</t>
  </si>
  <si>
    <t>Frisium 10mg</t>
  </si>
  <si>
    <t>N05BA09</t>
  </si>
  <si>
    <t>Clobazam</t>
  </si>
  <si>
    <t>Frisium 20mg Tabs</t>
  </si>
  <si>
    <t>02012929,  02012935</t>
  </si>
  <si>
    <t>Frisium 20mg Tabs - Einreichungsnummer: 2104038</t>
  </si>
  <si>
    <t>08703959,  08703965,  08703971</t>
  </si>
  <si>
    <t>Alprazolam-ratiopharm 0,5 mg Tabletten</t>
  </si>
  <si>
    <t>N05BA12</t>
  </si>
  <si>
    <t>Alprazolam</t>
  </si>
  <si>
    <t>Stark erhöhte Nachfrage führt zu Engpass</t>
  </si>
  <si>
    <t>08703913,  08703936,  08703942</t>
  </si>
  <si>
    <t>Alprazolam-ratiopharm 0,25 mg Tabletten</t>
  </si>
  <si>
    <t>03337059,  03353259,  03355867</t>
  </si>
  <si>
    <t>Alprazolam-ratiopharm 1,0 mg Tabletten</t>
  </si>
  <si>
    <t>03024662,  03024679</t>
  </si>
  <si>
    <t>Alprazolam AbZ 0,5 mg Tabletten</t>
  </si>
  <si>
    <t>Alprazolam AbZ 0,25 mg Tabletten</t>
  </si>
  <si>
    <t>00672662,  00679115,  02100125</t>
  </si>
  <si>
    <t>Alprazolam - 1 A Pharma 0,5 mg Tabletten</t>
  </si>
  <si>
    <t>00679138,  00679144</t>
  </si>
  <si>
    <t>Alprazolam - 1 A Pharma 1 mg Tabletten</t>
  </si>
  <si>
    <t>08671946,  08671952,  08671969</t>
  </si>
  <si>
    <t>Busp 5 mg</t>
  </si>
  <si>
    <t>N05BE01</t>
  </si>
  <si>
    <t>Buspironhydrochlorid</t>
  </si>
  <si>
    <t>08024-9081939</t>
  </si>
  <si>
    <t>ruth.hartmann@novartis.com</t>
  </si>
  <si>
    <t>4921783, 4921777</t>
  </si>
  <si>
    <t>Midazolam-ratiopharm 5mg/5ml Injektionslösung</t>
  </si>
  <si>
    <t>N05CD08</t>
  </si>
  <si>
    <t>Midazolamhydrochlorid</t>
  </si>
  <si>
    <t>4921760, 4921754</t>
  </si>
  <si>
    <t>Midazolam-ratiopharm 5mg/1ml Injektionslösung</t>
  </si>
  <si>
    <t>Midazolam-ratiopharm 15mg/3ml Injektionslösung</t>
  </si>
  <si>
    <t>Midazolam-hameln 2 mg/ml Injektions-/Infusionslösung</t>
  </si>
  <si>
    <t>mail@hameln-plus.com</t>
  </si>
  <si>
    <t>Midazolam PUREN 2 mg/ml Injektions-/Infusionslösung - Einreichungsnummer: 2147053</t>
  </si>
  <si>
    <t>Midazolam PUREN 5 mg/ml Injektions-/Infusionslösung</t>
  </si>
  <si>
    <t>Injektions-/Infusionslösung oder Rektallösung</t>
  </si>
  <si>
    <t>Midazolam PUREN 2 mg/ml Injektions-/Infusionslösung</t>
  </si>
  <si>
    <t>Midazolam SUN 2 mg/ml Injektions-/Infusionslösung in einer Fertigspritze</t>
  </si>
  <si>
    <t>Midazolam</t>
  </si>
  <si>
    <t>Midazolam SUN 1 mg/ml Injektions-/Infusionslösung in einer Fertigspritze</t>
  </si>
  <si>
    <t>Midazolam B. Braun 1 mg/ml</t>
  </si>
  <si>
    <t>Midazolam-hameln 1 mg/ml Injektions-/Infusionslösung - Einreichungsnummer: 2147046</t>
  </si>
  <si>
    <t>Midazolam-ratiopharm 100 mg/50 ml Injektionslösung</t>
  </si>
  <si>
    <t>07028651, 01045022</t>
  </si>
  <si>
    <t>Midazolam B. Braun 5 mg/ml</t>
  </si>
  <si>
    <t>Midazolam-hameln 5 mg/ml Injektions-/Infusionslösung - Einreichungsnummer: 2147048</t>
  </si>
  <si>
    <t>886452</t>
  </si>
  <si>
    <t>Midazolam HEXAL 5 mg/1 ml</t>
  </si>
  <si>
    <t>Midazolam-ratiopharm 50 mg/ 50 ml Injektionslösung</t>
  </si>
  <si>
    <t>05568254, 00886452</t>
  </si>
  <si>
    <t>Midazolam HEXAL 5 mg/5 ml</t>
  </si>
  <si>
    <t>886423</t>
  </si>
  <si>
    <t>Midazolam HEXAL 15 mg/3 ml</t>
  </si>
  <si>
    <t>11024506,  11024794</t>
  </si>
  <si>
    <t>Midazolam-ratiopharm 2 mg/ml orale Lösung</t>
  </si>
  <si>
    <t>00574563,  00574586</t>
  </si>
  <si>
    <t>Zopiclon-ratiopharm 3,75 mg Filmtabletten</t>
  </si>
  <si>
    <t>N05CF01</t>
  </si>
  <si>
    <t>Zopiclon</t>
  </si>
  <si>
    <t>00604790,  00604821</t>
  </si>
  <si>
    <t>Zopiclon-CT 3,75mg Filmtabletten</t>
  </si>
  <si>
    <t>Ximovan</t>
  </si>
  <si>
    <t>00575858,  00575870</t>
  </si>
  <si>
    <t>Zopiclon-neuraxpharm 7,5 mg</t>
  </si>
  <si>
    <t>00575812,  00575829</t>
  </si>
  <si>
    <t>Zopiclon-neuraxpharm 3,75 mg</t>
  </si>
  <si>
    <t>11584493, 14323735, 14323741</t>
  </si>
  <si>
    <t>Dexmedetomidin-ratiopharm 100 Mikrogramm/ml Konzentrat zur Herstellung einer Infusionslösung</t>
  </si>
  <si>
    <t>N05CM18</t>
  </si>
  <si>
    <t>Dexmedetomidinhydrochlorid</t>
  </si>
  <si>
    <t>14128962</t>
  </si>
  <si>
    <t>Clomipramin - 1 A Pharma 75 mg Retardtabletten</t>
  </si>
  <si>
    <t>N06AA04</t>
  </si>
  <si>
    <t>Clomipraminhydrochlorid</t>
  </si>
  <si>
    <t>Anafranil 75mg retard</t>
  </si>
  <si>
    <t>030 338427 0</t>
  </si>
  <si>
    <t>info@RIEMSER.com</t>
  </si>
  <si>
    <t>Insidon 100 mg Filmtabletten</t>
  </si>
  <si>
    <t>N06AA05</t>
  </si>
  <si>
    <t>Opipramoldihydrochlorid</t>
  </si>
  <si>
    <t>Bruno.pouly@juvise.com</t>
  </si>
  <si>
    <t>Insidon 50 mg Dragees - Einreichungsnummer: 0164256</t>
  </si>
  <si>
    <t>03634314,  03634320,  03634337</t>
  </si>
  <si>
    <t>Amineurin 10</t>
  </si>
  <si>
    <t>N06AA09</t>
  </si>
  <si>
    <t>Amitriptylinhydrochlorid</t>
  </si>
  <si>
    <t>13912530, 13912524, 14190435</t>
  </si>
  <si>
    <t>Nortriptylin Glenmark 25 mg Filmtabletten</t>
  </si>
  <si>
    <t>N06AA10</t>
  </si>
  <si>
    <t>Nortriptylinhydrochlorid</t>
  </si>
  <si>
    <t>Info.De@glenmarkpharma.com</t>
  </si>
  <si>
    <t>Nortriptylin Glenmark 10 mg Filmtabletten</t>
  </si>
  <si>
    <t>13912530,  14190435</t>
  </si>
  <si>
    <t>00581008,  00581014,  00581020,  00581066</t>
  </si>
  <si>
    <t>2144146, 2145460</t>
  </si>
  <si>
    <t>Doxepin dura T 100mg</t>
  </si>
  <si>
    <t>N06AA12</t>
  </si>
  <si>
    <t>Doxepinhydrochlorid (Ph.Eur.)</t>
  </si>
  <si>
    <t>Doxepin STADA 100 mg Filmtabletten</t>
  </si>
  <si>
    <t>06323307,  06323313</t>
  </si>
  <si>
    <t>Aponal Tropfen</t>
  </si>
  <si>
    <t>ra-aponal@cheplapharm.com</t>
  </si>
  <si>
    <t>Fluoxetin HEXAL 10 mg Tabletten</t>
  </si>
  <si>
    <t>N06AB03</t>
  </si>
  <si>
    <t>Fluoxetinhydrochlorid</t>
  </si>
  <si>
    <t>04834133,  04834334,  04834417</t>
  </si>
  <si>
    <t>Fluoxetin 40 - 1 A Pharma</t>
  </si>
  <si>
    <t>01822951,  01822968,  01822974</t>
  </si>
  <si>
    <t>Fluoxetin HEXAL 40 mg Tabletten</t>
  </si>
  <si>
    <t>04833197,  04833375,  04834127</t>
  </si>
  <si>
    <t>Fluoxetin HEXAL 20 mg Tabletten</t>
  </si>
  <si>
    <t>01485790</t>
  </si>
  <si>
    <t>Paroxat 40 mg Filmtabletten</t>
  </si>
  <si>
    <t>N06AB05</t>
  </si>
  <si>
    <t>Paroxetinhydrochlorid</t>
  </si>
  <si>
    <t>10353343, 10353320, 10353337</t>
  </si>
  <si>
    <t>Escitalopram Glenmark 20 mg Filmtabletten</t>
  </si>
  <si>
    <t>N06AB10</t>
  </si>
  <si>
    <t>Escitalopramoxalat</t>
  </si>
  <si>
    <t>10353283, 10353308, 10353314</t>
  </si>
  <si>
    <t>Escitalopram Glenmark 15 mg Filmtabletten</t>
  </si>
  <si>
    <t>10353254, 10353260, 10353277</t>
  </si>
  <si>
    <t>Escitalopram Glenmark 10 mg Filmtabletten</t>
  </si>
  <si>
    <t>10353254,  10353277</t>
  </si>
  <si>
    <t>Escitalopram STADA 10 mg Filmtabletten</t>
  </si>
  <si>
    <t>Trazodon Glenmark 100 mg Tabletten</t>
  </si>
  <si>
    <t>N06AX05</t>
  </si>
  <si>
    <t>Trazodonhydrochlorid</t>
  </si>
  <si>
    <t>04232196,  04232227,  04232262</t>
  </si>
  <si>
    <t>Mirtazapin-Hormosan 30 mg Filmtabletten</t>
  </si>
  <si>
    <t>N06AX11</t>
  </si>
  <si>
    <t>Mirtazapin</t>
  </si>
  <si>
    <t>deutlich erhöhte Nachfrage im Juli und August 2023</t>
  </si>
  <si>
    <t>04232138,  04232167</t>
  </si>
  <si>
    <t>Mirtazapin-Hormosan 15 mg Filmtabletten</t>
  </si>
  <si>
    <t>erhöhte Nachfrage beider Packungsgrößen</t>
  </si>
  <si>
    <t>07281255, 07281261, 07281278</t>
  </si>
  <si>
    <t>Venlafaxin Hennig 150 mg Retardkapseln</t>
  </si>
  <si>
    <t>N06AX16</t>
  </si>
  <si>
    <t>Venlafaxinhydrochlorid</t>
  </si>
  <si>
    <t>07281226</t>
  </si>
  <si>
    <t>Venlafaxin Hennig 75 mg Retardkapseln</t>
  </si>
  <si>
    <t>07281143</t>
  </si>
  <si>
    <t>Venlafaxin Hennig 37,5 mg Retardkapseln</t>
  </si>
  <si>
    <t>00203306, 00203312</t>
  </si>
  <si>
    <t>Venlafaxin HEXAL 150 mg Hartkapseln, retardiert</t>
  </si>
  <si>
    <t>00852140, 00852157, 00852163</t>
  </si>
  <si>
    <t>Venlafaxin - 1 A Pharma 37,5 mg Tabletten</t>
  </si>
  <si>
    <t>07292402, 07292419, 07292425</t>
  </si>
  <si>
    <t>Venlafaxin 75 retard - 1 A Pharma</t>
  </si>
  <si>
    <t>00203341</t>
  </si>
  <si>
    <t>Venlafaxin HEXAL 75 mg Hartkapseln, retardiert</t>
  </si>
  <si>
    <t>07292431, 07292448, 07292454</t>
  </si>
  <si>
    <t>Venlafaxin 150 retard - 1 A Pharma</t>
  </si>
  <si>
    <t>05392016, 05392022, 05392039</t>
  </si>
  <si>
    <t>Venlafaxin - 1 A Pharma 75 mg Tabletten</t>
  </si>
  <si>
    <t>00203418, 00203424, 00203430</t>
  </si>
  <si>
    <t>Venlafaxin HEXAL 37,5 mg Tabletten</t>
  </si>
  <si>
    <t>00203370, 00203364</t>
  </si>
  <si>
    <t>Venlafaxin HEXAL 37,5 mg Hartkapseln, retardiert</t>
  </si>
  <si>
    <t>09494280, 09494274, 09494268</t>
  </si>
  <si>
    <t>Venlafaxin Heumann 75 mg Tabletten</t>
  </si>
  <si>
    <t>00203387, 00203393, 00203401</t>
  </si>
  <si>
    <t>Venlafaxin HEXAL 75 mg Tabletten</t>
  </si>
  <si>
    <t>02090214, 02090272, 02090303</t>
  </si>
  <si>
    <t>Venlafaxin Hennig 37,5 mg Tabletten</t>
  </si>
  <si>
    <t>13169278</t>
  </si>
  <si>
    <t>Venlafaxin STADA 225 mg Hartkapseln, retardiert</t>
  </si>
  <si>
    <t>15423893, 15423901, 15423918</t>
  </si>
  <si>
    <t>Venlafaxin 37,5 retard - 1 A Pharma</t>
  </si>
  <si>
    <t>06912274, 06912280, 06912328</t>
  </si>
  <si>
    <t>Venlafaxin STADA 150 mg Hartkapseln, retardiert</t>
  </si>
  <si>
    <t>06912162, 06912216, 06912222</t>
  </si>
  <si>
    <t>Venlafaxin STADA 37,5 mg Hartkapseln, retardiert</t>
  </si>
  <si>
    <t>14039425, 14039431</t>
  </si>
  <si>
    <t>Venlafaxin - 1 A Pharma 225 mg Hartkapseln, retardiert</t>
  </si>
  <si>
    <t>14030370, 06912239, 06912245, 06912268</t>
  </si>
  <si>
    <t>Venlafaxin STADA 75 mg Hartkapseln, retardiert</t>
  </si>
  <si>
    <t>Venlafaxin Heumann 37,5 mg Tabletten</t>
  </si>
  <si>
    <t>11323367, 17305376, 18009349, 11323373</t>
  </si>
  <si>
    <t>Duloxetin Glenmark 60 mg magensaftresistente Hartkapseln</t>
  </si>
  <si>
    <t>N06AX21</t>
  </si>
  <si>
    <t>Duloxetinhydrochlorid</t>
  </si>
  <si>
    <t>11323321, 17305353, 18009332, 18009332</t>
  </si>
  <si>
    <t>Duloxetin Glenmark 30 mg magensaftresistente Hartkapseln</t>
  </si>
  <si>
    <t>11323309, 11323315</t>
  </si>
  <si>
    <t>Duloxetin Glenmark 20 mg magensaftresistente Hartkapseln</t>
  </si>
  <si>
    <t>Duloxetin PUREN 20 mg magensaftresistente Hartkapseln</t>
  </si>
  <si>
    <t>02068551,  02068568</t>
  </si>
  <si>
    <t>Laif 900</t>
  </si>
  <si>
    <t>N06AX25</t>
  </si>
  <si>
    <t>Johanniskraut, TE mit Ethanol/Ethanol-Wasser (%-Angaben)</t>
  </si>
  <si>
    <t>Laif 900 - Einreichungsnummer: 2152912</t>
  </si>
  <si>
    <t>12448993, 18021379</t>
  </si>
  <si>
    <t>Kinecteen 36 mg Retardtabletten</t>
  </si>
  <si>
    <t>N06BA04</t>
  </si>
  <si>
    <t>Methylphenidathydrochlorid</t>
  </si>
  <si>
    <t>02371 937 0</t>
  </si>
  <si>
    <t>regulatory@medice.de</t>
  </si>
  <si>
    <t>CONCERTA 36 mg Retardtabletten - Einreichungsnummer: 2154862</t>
  </si>
  <si>
    <t>16832731,  16832748,  16832754</t>
  </si>
  <si>
    <t>Methysym</t>
  </si>
  <si>
    <t>16832820,  16832837</t>
  </si>
  <si>
    <t>16832808,  16832814</t>
  </si>
  <si>
    <t>16832760,  16832777,  16832783</t>
  </si>
  <si>
    <t>11323516, 11323522, 11323539</t>
  </si>
  <si>
    <t>Modafinil Glenmark 200 mg Tabletten</t>
  </si>
  <si>
    <t>N06BA07</t>
  </si>
  <si>
    <t>Modafinil</t>
  </si>
  <si>
    <t>11323479, 11323485, 11323491</t>
  </si>
  <si>
    <t>Modafinil Glenmark 100 mg Tabletten</t>
  </si>
  <si>
    <t>11257593</t>
  </si>
  <si>
    <t>Elvanse 40 mg Hartkapseln</t>
  </si>
  <si>
    <t>N06BA12</t>
  </si>
  <si>
    <t>Lisdexamfetamindimesilat</t>
  </si>
  <si>
    <t>medinfoEMEA@shire.com</t>
  </si>
  <si>
    <t>Elvanse 20 mg Hartkapseln - Einreichungsnummer: 2193471</t>
  </si>
  <si>
    <t>3023616, 8896906</t>
  </si>
  <si>
    <t>Nootrop</t>
  </si>
  <si>
    <t>N06BX03</t>
  </si>
  <si>
    <t>Piracetam</t>
  </si>
  <si>
    <t>+49 (0) 2173  48 48 48</t>
  </si>
  <si>
    <t>Piracetam-neuraxpharm - Einreichungsnummer: 2142778</t>
  </si>
  <si>
    <t>10044323, 10358346, 10044346</t>
  </si>
  <si>
    <t>Donepezil Elpen 10 mg Filmtabletten</t>
  </si>
  <si>
    <t>N06DA02</t>
  </si>
  <si>
    <t>Donepezilhydrochlorid</t>
  </si>
  <si>
    <t>Donepezil Elpen 5 mg Filmtabletten</t>
  </si>
  <si>
    <t>Donepezil STADA 10 mg Filmtabletten</t>
  </si>
  <si>
    <t>12443984,  12443990,  12444009</t>
  </si>
  <si>
    <t>Rivastigmin - 1A Pharma 4,6 mg/24 Stunden transdermales Pflaster</t>
  </si>
  <si>
    <t>N06DA03</t>
  </si>
  <si>
    <t>Rivastigmin</t>
  </si>
  <si>
    <t>12444015,  12444044,  12444050</t>
  </si>
  <si>
    <t>Rivastigmin - 1 A Pharma 9,5 mg/24 Stunden transdermales Pflaster</t>
  </si>
  <si>
    <t>12444067,  12444073,  12444096</t>
  </si>
  <si>
    <t>Rivastigmin - 1 A Pharma 13,3 mg/24 Stunden transdermales Pflaster</t>
  </si>
  <si>
    <t>00143024</t>
  </si>
  <si>
    <t>Memantine Merz Startpackung mit 5 mg, 10 mg, 15 mg und 20 mg Filmtabletten - OP28(7+7+7+7)</t>
  </si>
  <si>
    <t>N06DX01</t>
  </si>
  <si>
    <t>Memantinhydrochlorid</t>
  </si>
  <si>
    <t>Axura Startpackung mit 5 mg, 10 mg, 15 mg und 20 mg Filmtabletten - OP28(7+7+7+7) - Einreichungsnummer: 2705196</t>
  </si>
  <si>
    <t>17570859, 17570865, 17570871</t>
  </si>
  <si>
    <t>Memantin Abdi 20 mg Filmtabletten</t>
  </si>
  <si>
    <t>Abdi Farma Unipessoal Lda.</t>
  </si>
  <si>
    <t>06581564</t>
  </si>
  <si>
    <t>Axura 10 mg Filmtabletten - OP98</t>
  </si>
  <si>
    <t>Memantine Merz 10 mg Filmtabletten - OP98 - Einreichungsnummer: 2710677</t>
  </si>
  <si>
    <t>06581558</t>
  </si>
  <si>
    <t>Axura 10 mg Filmtabletten - OP42</t>
  </si>
  <si>
    <t>Memantine Merz 10 mg Filmtabletten - OP42 - Einreichungsnummer: 2710674</t>
  </si>
  <si>
    <t>06581570</t>
  </si>
  <si>
    <t>Axura 10 mg Filmtabletten - OP840(20x42)</t>
  </si>
  <si>
    <t>00143099</t>
  </si>
  <si>
    <t>Memantine Merz 20 mg Filmtabletten - OP98</t>
  </si>
  <si>
    <t>Memantine Merz 20 mg Filmtabletten - OP42 - Einreichungsnummer: 2710691</t>
  </si>
  <si>
    <t>00143024,  06809636</t>
  </si>
  <si>
    <t>2705196, 2710695</t>
  </si>
  <si>
    <t>Axura Startpackung mit 5 mg, 10 mg, 15 mg und 20 mg Filmtabletten - OP28(7+7+7+7)</t>
  </si>
  <si>
    <t>udo.meyer@merz.de</t>
  </si>
  <si>
    <t>Herstellerwechsel Sekundärverpacker</t>
  </si>
  <si>
    <t>Memantin ratiopharm 5 mg, 10 mg, 15 mg und 20 mg Filmtabletten - OP28(7+7+7+7)</t>
  </si>
  <si>
    <t>16200273, 18189067</t>
  </si>
  <si>
    <t>Neostigmin PANPHARMA</t>
  </si>
  <si>
    <t>N07AA01</t>
  </si>
  <si>
    <t>Neostigminmetilsulfat</t>
  </si>
  <si>
    <t xml:space="preserve">
2353553</t>
  </si>
  <si>
    <t>Mestinon 5</t>
  </si>
  <si>
    <t>N07AA02</t>
  </si>
  <si>
    <t>Pyridostigminbromid</t>
  </si>
  <si>
    <t>06172 888 2301</t>
  </si>
  <si>
    <t>1900711, 1900728</t>
  </si>
  <si>
    <t>Campral</t>
  </si>
  <si>
    <t>N07BB03</t>
  </si>
  <si>
    <t>Acamprosat-Calcium (Ph.Eur.)</t>
  </si>
  <si>
    <t>08998682,  08998699</t>
  </si>
  <si>
    <t>Methaddict 10 mg Tabletten</t>
  </si>
  <si>
    <t>N07BC02</t>
  </si>
  <si>
    <t>Methadonhydrochlorid</t>
  </si>
  <si>
    <t>Methaddict 10 mg Tabletten - Einreichungsnummer: 2142450</t>
  </si>
  <si>
    <t>Tablette zur Herstellung einer Lösung zum Einnehmen</t>
  </si>
  <si>
    <t>Suboxone 12 mg/3 mg Sublingualfilm</t>
  </si>
  <si>
    <t>N07BC51</t>
  </si>
  <si>
    <t>Buprenorphinhydrochlorid; Naloxonhydrochlorid-Dihydrat</t>
  </si>
  <si>
    <t>Information nachgefragt</t>
  </si>
  <si>
    <t>Suboxone 8 mg/2 mg Sublingualfilm</t>
  </si>
  <si>
    <t>Suboxone 2 mg/0,5 mg Schmelzfilm zur sublingualen Anwendung</t>
  </si>
  <si>
    <t>Suboxone 16 mg/4 mg Sublingualtabletten - OP28</t>
  </si>
  <si>
    <t>Suboxone 8 mg/2 mg Sublingualtabletten - OP28</t>
  </si>
  <si>
    <t>Suboxone 8 mg/2 mg Sublingualtabletten - OP7</t>
  </si>
  <si>
    <t>01309113,  01309136,  01309142</t>
  </si>
  <si>
    <t>Betahistin AL 12</t>
  </si>
  <si>
    <t>N07CA01</t>
  </si>
  <si>
    <t>Betahistindimesilat</t>
  </si>
  <si>
    <t>Ware wieder frei verfügbar! Meldung bitte löschen lassen.</t>
  </si>
  <si>
    <t>im Zuge der komletten Lieferengpassmeldung der Betahistine.</t>
  </si>
  <si>
    <t>15563714,  15563720,  15563737</t>
  </si>
  <si>
    <t>Betahistin AL 24 mg Tabletten</t>
  </si>
  <si>
    <t>Betahistindihydrochlorid</t>
  </si>
  <si>
    <t>15563677,  15563683,  15563708</t>
  </si>
  <si>
    <t>Betahistin AL 16 mg Tabletten</t>
  </si>
  <si>
    <t>15563648,  15563654,  15563660</t>
  </si>
  <si>
    <t>Betahistin AL 8 mg Tabletten</t>
  </si>
  <si>
    <t>01309159,  01309165,  02395362</t>
  </si>
  <si>
    <t>Betahistin AL 6</t>
  </si>
  <si>
    <t>08535806,  08535829</t>
  </si>
  <si>
    <t>Flunarizin acis 5 mg</t>
  </si>
  <si>
    <t>N07CA03</t>
  </si>
  <si>
    <t>Flunarizindihydrochlorid</t>
  </si>
  <si>
    <t>margit.obermayer@dermapharm.com</t>
  </si>
  <si>
    <t>Flunavert 5mg - Einreichungsnummer: 2110752</t>
  </si>
  <si>
    <t>Flunarizin acis 10 mg</t>
  </si>
  <si>
    <t>Flunarizin acis 10 mg - Einreichungsnummer: 2110773</t>
  </si>
  <si>
    <t>08535806,  08535812,  08535829</t>
  </si>
  <si>
    <t>089  44 23 246  0</t>
  </si>
  <si>
    <t>09947540, 09947563</t>
  </si>
  <si>
    <t>Glentek 50 mg Filmtabletten</t>
  </si>
  <si>
    <t>N07XX02</t>
  </si>
  <si>
    <t>Riluzol</t>
  </si>
  <si>
    <t>07499770</t>
  </si>
  <si>
    <t>RILUTEK 50 mg Filmtablette - OP56</t>
  </si>
  <si>
    <t>Sanofi Mature IP</t>
  </si>
  <si>
    <t>0180 2 22 20 10</t>
  </si>
  <si>
    <t>09947540,  09947563</t>
  </si>
  <si>
    <t>Wellvone Suspension</t>
  </si>
  <si>
    <t>P01AX06</t>
  </si>
  <si>
    <t>Atovaquon</t>
  </si>
  <si>
    <t>Atovaquon Glenmark 750 mg/5 ml Suspension zum Einnehmen</t>
  </si>
  <si>
    <t>13747232, 13747249</t>
  </si>
  <si>
    <t>Hydroxychloroquinsulfat Dr. Eberth 200 mg Filmtabletten</t>
  </si>
  <si>
    <t>P01BA02</t>
  </si>
  <si>
    <t>Hydroxychloroquinsulfat</t>
  </si>
  <si>
    <t>04596857,  04596863</t>
  </si>
  <si>
    <t>Quensyl</t>
  </si>
  <si>
    <t xml:space="preserve">Erhöhte Nachfrage kann nicht bedient werden. </t>
  </si>
  <si>
    <t>3522093</t>
  </si>
  <si>
    <t>Pentacarinat 300mg</t>
  </si>
  <si>
    <t>P01CX01</t>
  </si>
  <si>
    <t>Pentamidindiisetionat</t>
  </si>
  <si>
    <t>Lyophilisat zur Herstellung einer Injektions- bzw. Infusionslösung</t>
  </si>
  <si>
    <t>Eskazole</t>
  </si>
  <si>
    <t>P02CA03</t>
  </si>
  <si>
    <t>Albendazol</t>
  </si>
  <si>
    <t>17390732, 17390726</t>
  </si>
  <si>
    <t>Ivermectin Pädia GmbH 3 mg Tabletten</t>
  </si>
  <si>
    <t>P02CF01</t>
  </si>
  <si>
    <t>Ivermectin</t>
  </si>
  <si>
    <t>Infectoscab 5% - Einreichungsnummer: 2151164</t>
  </si>
  <si>
    <t>DRIPONIN 3 mg Tabletten - Einreichungsnummer: 2200613</t>
  </si>
  <si>
    <t>Yomesan</t>
  </si>
  <si>
    <t>P02DA01</t>
  </si>
  <si>
    <t>Niclosamid</t>
  </si>
  <si>
    <t>Allergodil Kombipackung</t>
  </si>
  <si>
    <t>R01AC03, S01GX07</t>
  </si>
  <si>
    <t>Azelastinhydrochlorid</t>
  </si>
  <si>
    <t>Allergodil akut Duo - Einreichungsnummer: 2146278</t>
  </si>
  <si>
    <t>Augentropfen,Nasenspray, Lösung</t>
  </si>
  <si>
    <t>Rhinivict nasal 0,1 mg</t>
  </si>
  <si>
    <t>R01AD01</t>
  </si>
  <si>
    <t>Beclometasondipropionat (Ph.Eur.)</t>
  </si>
  <si>
    <t>Nasenspray, Suspension</t>
  </si>
  <si>
    <t>Syntaris</t>
  </si>
  <si>
    <t>R01AD04</t>
  </si>
  <si>
    <t>Flunisolid 0.5 H&lt;2&gt;O</t>
  </si>
  <si>
    <t>03050949,  04114663</t>
  </si>
  <si>
    <t>Aquacort 50 Mikrogramm Nasenspray</t>
  </si>
  <si>
    <t>R01AD05</t>
  </si>
  <si>
    <t>01687832,  01693399</t>
  </si>
  <si>
    <t>Budes 64 Mikrogramm/Sprühstoß Nasenspray, Suspension</t>
  </si>
  <si>
    <t>01693413,  01766365</t>
  </si>
  <si>
    <t>Budes 32 Mikrogramm/Sprühstoß Nasenspray, Suspension</t>
  </si>
  <si>
    <t>05391784,  05391790</t>
  </si>
  <si>
    <t>Budesonid - 1 A Pharma 64 Mikrogramm/Sprühstoß Nasenspray, Suspension</t>
  </si>
  <si>
    <t>03495752,  03847688</t>
  </si>
  <si>
    <t>Budes Nasenspray 50 Mikrogramm/Sprühstoß Nasenspray, Suspension</t>
  </si>
  <si>
    <t>MometaHEXAL</t>
  </si>
  <si>
    <t>R01AD09</t>
  </si>
  <si>
    <t>Mometasonfuroat-Monohydrat (Ph.Eur.)</t>
  </si>
  <si>
    <t>01453927,  03901560</t>
  </si>
  <si>
    <t>Rhinisan 55 Mikrogramm/Dosis</t>
  </si>
  <si>
    <t>R01AD11</t>
  </si>
  <si>
    <t>NASACORT 55 Mikrogramm/Dosis - Einreichungsnummer: 2141503</t>
  </si>
  <si>
    <t>Turixin</t>
  </si>
  <si>
    <t>R01AX06</t>
  </si>
  <si>
    <t>Mupirocin-Calcium (Ph.Eur.)</t>
  </si>
  <si>
    <t>Nasensalbe</t>
  </si>
  <si>
    <t>08903084, 08903078, 08903090</t>
  </si>
  <si>
    <t>Salbuhexal Inhalationslösung</t>
  </si>
  <si>
    <t>R03AC02</t>
  </si>
  <si>
    <t>Salbutamolsulfat</t>
  </si>
  <si>
    <t>01417699, 01417707, 04471009</t>
  </si>
  <si>
    <t>SalbuHEXAL N Dosieraerosol</t>
  </si>
  <si>
    <t>Druckgasinhalation, Suspension</t>
  </si>
  <si>
    <t>8527103, 08527095, 08857450</t>
  </si>
  <si>
    <t>Salbutamol-ratiopharm Inhalationslösung</t>
  </si>
  <si>
    <t>Salbutamol-ratiopharm N Dosieraerosol</t>
  </si>
  <si>
    <t>Salbuhexal Fertiginhalat</t>
  </si>
  <si>
    <t>Salbutamol STADA Inhalat 5 mg/ml Lösung für einen Vernebler</t>
  </si>
  <si>
    <t>00168739,  00168745,  00168751,  13893399</t>
  </si>
  <si>
    <t>Salbutamol AL Inhalat</t>
  </si>
  <si>
    <t>08903078,  08903084,  08903090</t>
  </si>
  <si>
    <t>Es wurde das Einstellen des Inverkehrbringens angezeigt.</t>
  </si>
  <si>
    <t>Bronchospray novo</t>
  </si>
  <si>
    <t>JensonR+ (Ireland) Limited</t>
  </si>
  <si>
    <t>ben.smith@jensongroup.com</t>
  </si>
  <si>
    <t>08527095,  08527103,  08857450</t>
  </si>
  <si>
    <t>Salbutamol AL Fertiginhalat</t>
  </si>
  <si>
    <t>00674968,  07532964,  07532970</t>
  </si>
  <si>
    <t>Sultanol Dosier-Aerosol</t>
  </si>
  <si>
    <t>Überverkäufe durch out of stock Mitbewerber im November - Dezember 2022</t>
  </si>
  <si>
    <t>00168739,  00168745,  13893399</t>
  </si>
  <si>
    <t>Das Einstellen des Inverkehrbringens wurde gemeldet</t>
  </si>
  <si>
    <t>07722179,  08872024</t>
  </si>
  <si>
    <t xml:space="preserve">06252-95 7000 </t>
  </si>
  <si>
    <t xml:space="preserve">shortages@infectopharm.com </t>
  </si>
  <si>
    <t>07820775,  07820781</t>
  </si>
  <si>
    <t>Bronchospray Autohaler</t>
  </si>
  <si>
    <t>Salbutamol - 1 A Pharma 0,1 mg Druckgasinhalation, Suspension</t>
  </si>
  <si>
    <t>00585012,  00585029,  00585035,  04782465</t>
  </si>
  <si>
    <t>Allergospasmin N</t>
  </si>
  <si>
    <t>R03AK05</t>
  </si>
  <si>
    <t>Natriumcromoglicat (Ph.Eur.); Reproterolhydrochlorid</t>
  </si>
  <si>
    <t>infode@viatris.com</t>
  </si>
  <si>
    <t>00225437,  00225443,  00225466</t>
  </si>
  <si>
    <t>AARANE N</t>
  </si>
  <si>
    <t>Seit 01.09.21 eingeschränkt lieferfähig</t>
  </si>
  <si>
    <t>Suspension mit Treibmittel</t>
  </si>
  <si>
    <t>Aarane N 3x10ml (PZN 00225466) ist wieder verfügbar.Als Alternative empfiehlt die Leitlinie* bevorzugt inhalative Kortikosteroide oder Leukotrienrezeptor-Antagonisten in Kombination mit einem kurzwirksamen Beta-2-Sympathomimetikum. *Buhl R et al. S2k-Leitlinie zur Diagnostik und Therapie von Patienten mit Asthma; Pneumologie 2017; 71: 849–919</t>
  </si>
  <si>
    <t>09902661</t>
  </si>
  <si>
    <t>Flutiform K-haler 50 Mikrogramm/5 Mikrogramm pro Sprühstoß Druckgasinhalation, Suspension</t>
  </si>
  <si>
    <t>R03AK11</t>
  </si>
  <si>
    <t>Fluticason-17-propionat; Formoterolfumarat-Dihydrat (Ph.Eur.)</t>
  </si>
  <si>
    <t>flutiform - Einreichungsnummer: 2181897</t>
  </si>
  <si>
    <t>09101458,  09101464,  09101501</t>
  </si>
  <si>
    <t>2181897, 2181899</t>
  </si>
  <si>
    <t>flutiform</t>
  </si>
  <si>
    <t>09101493,  09101501</t>
  </si>
  <si>
    <t>Fluticasonpropionat (Ph.Eur.); Formoterolfumarat-Dihydrat (Ph.Eur.)</t>
  </si>
  <si>
    <t>09101470,  09101487</t>
  </si>
  <si>
    <t>11184925,  11483177</t>
  </si>
  <si>
    <t>COMBIPRASAL 0,5 mg / 2,5 mg Lösung für einen Vernebler</t>
  </si>
  <si>
    <t>R03AL02</t>
  </si>
  <si>
    <t>Ipratropiumbromid (Ph.Eur.); Salbutamolsulfat</t>
  </si>
  <si>
    <t>Penta Arzneimittel GmbH</t>
  </si>
  <si>
    <t>09435 3008 440</t>
  </si>
  <si>
    <t>cornelius@penta-arzneimittel.de</t>
  </si>
  <si>
    <t>Beclometason Glenmark Dosieraerosol 50 Mikrogramm/Sprühstoß Druckgasinhalation, Lösung</t>
  </si>
  <si>
    <t>R03BA01</t>
  </si>
  <si>
    <t>Druckgasinhalation, Lösung</t>
  </si>
  <si>
    <t>Beclometason Glenmark Dosieraerosol 200 Mikrogramm/Sprühstoß Druckgasinhalation, Lösung</t>
  </si>
  <si>
    <t>16894212,  16894229</t>
  </si>
  <si>
    <t>Beclometason Glenmark Dosieraerosol 250 Mikrogramm/Sprühstoß Druckgasinhalation, Lösung</t>
  </si>
  <si>
    <t>16894175,  16894206</t>
  </si>
  <si>
    <t>07377883,  07377908</t>
  </si>
  <si>
    <t>Pulmicort 1,0 mg/2 ml Suspension</t>
  </si>
  <si>
    <t>R03BA02</t>
  </si>
  <si>
    <t>Suspension für einen Vernebler</t>
  </si>
  <si>
    <t>00173881,  00173898,  00173964</t>
  </si>
  <si>
    <t>Budes N 0,2 mg/Dosis</t>
  </si>
  <si>
    <t>PULMICORT TURBOHALER 400 µg</t>
  </si>
  <si>
    <t>Pulver zur Inhalation</t>
  </si>
  <si>
    <t>Flutide mite 50 µg Dosier-Aerosol</t>
  </si>
  <si>
    <t>R03BA05</t>
  </si>
  <si>
    <t>Fluticasonpropionat (Ph.Eur.)</t>
  </si>
  <si>
    <t>Alvesco 80 Mikrogramm Druckgasinhalation, Lösung</t>
  </si>
  <si>
    <t>R03BA08</t>
  </si>
  <si>
    <t>Ciclesonid</t>
  </si>
  <si>
    <t>0800 ? 22 88 660</t>
  </si>
  <si>
    <t>0800 \\u2013 22 88 660</t>
  </si>
  <si>
    <t>10998086,  10998092</t>
  </si>
  <si>
    <t>Ipratropiumbromid HEXAL 20 Mikrogramm/Sprühstoß Druckgasinhalation, Lösung</t>
  </si>
  <si>
    <t>R03BB01</t>
  </si>
  <si>
    <t>Ipratropiumbromid (Ph.Eur.)</t>
  </si>
  <si>
    <t>Ipratropium Teva 500 Mikrogramm / 2 ml Lösung für einen Vernebler</t>
  </si>
  <si>
    <t>Ipratropium Teva 250 Mikrogramm / 1 ml Lösung für einen Vernebler</t>
  </si>
  <si>
    <t>Ipratropiumbromid 125 Mikrogramm / 1 ml Stulln</t>
  </si>
  <si>
    <t>Ipratropiumbromid</t>
  </si>
  <si>
    <t>11509818,  11509824,  11509830</t>
  </si>
  <si>
    <t>Ipratropiumbromid 250 Mikrogramm / 1 ml Stulln</t>
  </si>
  <si>
    <t>18662090, 18661966</t>
  </si>
  <si>
    <t>Alupent</t>
  </si>
  <si>
    <t>R03CB03</t>
  </si>
  <si>
    <t>Orciprenalinsulfat (Ph.Eur.)</t>
  </si>
  <si>
    <t>mdrexler@hikma.com</t>
  </si>
  <si>
    <t>Arzneimittel ist Außer Vertrieb genommen.</t>
  </si>
  <si>
    <t>BRICANYL 0,5 mg</t>
  </si>
  <si>
    <t>R03CC03</t>
  </si>
  <si>
    <t>Terbutalinsulfat (Ph.Eur.)</t>
  </si>
  <si>
    <t>01925384, 03837715</t>
  </si>
  <si>
    <t>Bronchospasmin 1 ml Injektionslösung</t>
  </si>
  <si>
    <t>R03CC14</t>
  </si>
  <si>
    <t>Reproterolhydrochlorid</t>
  </si>
  <si>
    <t>14184311, 00345992</t>
  </si>
  <si>
    <t>Theophyllin AL 200 retard</t>
  </si>
  <si>
    <t>R03DA04</t>
  </si>
  <si>
    <t>Theophyllin</t>
  </si>
  <si>
    <t>15.07.2022 AV Meldung!</t>
  </si>
  <si>
    <t>Retardkapsel</t>
  </si>
  <si>
    <t>Theophyllin AL 300 retard</t>
  </si>
  <si>
    <t>Solosin Infusionslösungskonzentrat</t>
  </si>
  <si>
    <t>R03DA54</t>
  </si>
  <si>
    <t>(2-Carbamoylphenoxy)essigsäure-Natriumsalz; Theophyllin</t>
  </si>
  <si>
    <t>06563661</t>
  </si>
  <si>
    <t>Daxas 500 Mikrogramm Filmtabletten - OP90</t>
  </si>
  <si>
    <t>R03DX07</t>
  </si>
  <si>
    <t>Roflumilast</t>
  </si>
  <si>
    <t>AstraZeneca AB</t>
  </si>
  <si>
    <t>06563655</t>
  </si>
  <si>
    <t>Daxas 500 Mikrogramm Filmtabletten - OP30</t>
  </si>
  <si>
    <t>Daxas 250 Mikrogramm Tabletten - OP28</t>
  </si>
  <si>
    <t>11692254,  13827824</t>
  </si>
  <si>
    <t>2672823, 2673971</t>
  </si>
  <si>
    <t>CINQAERO</t>
  </si>
  <si>
    <t>R03DX08</t>
  </si>
  <si>
    <t>Reslizumab</t>
  </si>
  <si>
    <t>03573452, 15618929</t>
  </si>
  <si>
    <t>ACC injekt</t>
  </si>
  <si>
    <t>R05CB01</t>
  </si>
  <si>
    <t>Acetylcystein-Natrium</t>
  </si>
  <si>
    <t>04765780, 04765797, 04765805</t>
  </si>
  <si>
    <t>Ambroxol AL 30</t>
  </si>
  <si>
    <t>R05CB06</t>
  </si>
  <si>
    <t>Ambroxolhydrochlorid</t>
  </si>
  <si>
    <t>Codein - 1 A Pharma 16 mg/ml Tropfen zum Einnehmen, Lösung</t>
  </si>
  <si>
    <t>R05DA04</t>
  </si>
  <si>
    <t>Codeinphosphat-Hemihydrat</t>
  </si>
  <si>
    <t>Xusal Tropfen</t>
  </si>
  <si>
    <t>R06AE09</t>
  </si>
  <si>
    <t>Levocetirizindihydrochlorid</t>
  </si>
  <si>
    <t>03989402, 03989419, 03989425</t>
  </si>
  <si>
    <t>Ketotifen STADA 1 mg Hartkapseln</t>
  </si>
  <si>
    <t>R06AX17</t>
  </si>
  <si>
    <t>Ketotifenfumarat</t>
  </si>
  <si>
    <t>Fexofenaderm 120 mg Filmtabletten</t>
  </si>
  <si>
    <t>R06AX26</t>
  </si>
  <si>
    <t>Fexofenadinhydrochlorid</t>
  </si>
  <si>
    <t>Die Packungsgrößen 50 Filmtabletten und 100 Filmtabletten (PZN 08844134 bzw. 08844140) sind während der Dauer des Lieferengpasses weiterhin lieferbar.</t>
  </si>
  <si>
    <t>00039901,  00053290,  00053309,  00053982</t>
  </si>
  <si>
    <t>Fexofenadin Winthrop 120 mg Filmtabletten</t>
  </si>
  <si>
    <t>Technische Probleme in der Produktionsanlage</t>
  </si>
  <si>
    <t>Fexofenadin Winthrop 180 mg Filmtabletten</t>
  </si>
  <si>
    <t>technische Probleme in der Produktionsanlage</t>
  </si>
  <si>
    <t>Oxytetracyclin-Augensalbe JENAPHARM</t>
  </si>
  <si>
    <t>S01AA04</t>
  </si>
  <si>
    <t>Oxytetracyclinhydrochlorid</t>
  </si>
  <si>
    <t>Augensalbe</t>
  </si>
  <si>
    <t>3949437</t>
  </si>
  <si>
    <t>Fucithalmic 10 mg/g Augentropfen</t>
  </si>
  <si>
    <t>S01AA13</t>
  </si>
  <si>
    <t>Fusidinsäure 0.5 H&lt;2&gt;O</t>
  </si>
  <si>
    <t>Augentropfen</t>
  </si>
  <si>
    <t>VIGAMOX 5mg/ml Augentropfen</t>
  </si>
  <si>
    <t>S01AE07</t>
  </si>
  <si>
    <t>06839790</t>
  </si>
  <si>
    <t>OZURDEX 700 Mikrogramm intravitreales Implantat in Applikator - OP(1x700mg)</t>
  </si>
  <si>
    <t>S01BA01</t>
  </si>
  <si>
    <t>Allergan Pharmaceuticals Ireland - Regulatory Affairs -</t>
  </si>
  <si>
    <t>0800 5874508</t>
  </si>
  <si>
    <t>et-medinfo@allergan.com</t>
  </si>
  <si>
    <t>intravitreales Implantat</t>
  </si>
  <si>
    <t>10420269,  10420275</t>
  </si>
  <si>
    <t>Dexafluid sine 1,315 mg/ml Augentropfen im Einzeldosisbehältnis</t>
  </si>
  <si>
    <t>10420252,  10420269</t>
  </si>
  <si>
    <t>Dexafluid sine 1,315 mg/ml Augentropfen im Einzeldosisbehältnis - Einreichungsnummer: 2192373</t>
  </si>
  <si>
    <t>Dexafluid 1 mg/ml Augentropfen</t>
  </si>
  <si>
    <t>Dexafluid 1 mg/ml Augentropfen - Einreichungsnummer: 2180767</t>
  </si>
  <si>
    <t>Dexamethason-Augensalbe Jenapharm</t>
  </si>
  <si>
    <t>Prednifluid 10 mg/ml Augentropfensuspension</t>
  </si>
  <si>
    <t>S01BA04</t>
  </si>
  <si>
    <t>INFLANEFRAN FORTE - Einreichungsnummer: 0514673</t>
  </si>
  <si>
    <t>INFLANEFRAN FORTE</t>
  </si>
  <si>
    <t>CS-Germany@allergan.com</t>
  </si>
  <si>
    <t xml:space="preserve">Stark erhöhte Produktnachfrage vom Markt im Zusammenspiel mit einer Zulassungsübertragung. </t>
  </si>
  <si>
    <t>Prednisolon-Augensalbe Jenapharm</t>
  </si>
  <si>
    <t>+49 (0)  621 589 1132</t>
  </si>
  <si>
    <t>laura.volpi@abbvie.com</t>
  </si>
  <si>
    <t>Für Inflanefran Forte wird ein unvorhersehbarer Lieferengpass mit sofortiger Auswirkung erwartet. Hintergrund dafür ist eine deutlich vermehrte Nachfrage, der nicht angemessen nachgekommen werden kann.</t>
  </si>
  <si>
    <t>Oxytetracyclin-Prednisolon-Augensalbe JENAPHARM</t>
  </si>
  <si>
    <t>S01CA02</t>
  </si>
  <si>
    <t>Oxytetracyclinhydrochlorid; Prednisolon</t>
  </si>
  <si>
    <t>00164339,  00164345</t>
  </si>
  <si>
    <t>Brimozept 2 mg/ml Augentropfen</t>
  </si>
  <si>
    <t>S01EA05</t>
  </si>
  <si>
    <t>Brimonidin[(R,R)-tartrat]</t>
  </si>
  <si>
    <t>Miochol-E Pulver und Lösungsmittel zur Herstellung einer Instillationslösung zur intraokularen Anwendung</t>
  </si>
  <si>
    <t>S01EB09</t>
  </si>
  <si>
    <t>Acetylcholinchlorid</t>
  </si>
  <si>
    <t>Dr. Gerhard Mann chem.-pharm. Fabrik Gesellschaft mit beschränkter Haftung</t>
  </si>
  <si>
    <t>0800 090 94 90 94</t>
  </si>
  <si>
    <t>pharma.kundenservice@bausch.com</t>
  </si>
  <si>
    <t>Pulver zur Herstellung einer Instillationslösung zur intraokularen Anwendung,Lösungsmittel</t>
  </si>
  <si>
    <t>dmp@bausch.com</t>
  </si>
  <si>
    <t>Pharma.Kundenservice@bausch.com</t>
  </si>
  <si>
    <t>01087144, 01087150</t>
  </si>
  <si>
    <t>TRUSOPT-S 20 mg/ml Augentropfen im Einzeldosisbehältnis</t>
  </si>
  <si>
    <t>S01EC03</t>
  </si>
  <si>
    <t>Dorzolamidhydrochlorid</t>
  </si>
  <si>
    <t>Santen Oy</t>
  </si>
  <si>
    <t>+49 30 3080 9610</t>
  </si>
  <si>
    <t>medinfo@santen.de</t>
  </si>
  <si>
    <t>Trusopt-S 20 mg/ml - Einreichungsnummer: 2193164</t>
  </si>
  <si>
    <t>Betoptima</t>
  </si>
  <si>
    <t>S01ED02</t>
  </si>
  <si>
    <t>Betaxololhydrochlorid</t>
  </si>
  <si>
    <t>fabrizio.zucca@immedica.com</t>
  </si>
  <si>
    <t>Kapazitätsengpässe bei der Produktion; seit 27.03.2023 wieder erhältlich</t>
  </si>
  <si>
    <t>15319440, 15483346</t>
  </si>
  <si>
    <t>Taptiqom 15 Mikrogramm/ml + 5 mg/ml Augentropfen im Einzeldosisbehältnis</t>
  </si>
  <si>
    <t>S01ED51</t>
  </si>
  <si>
    <t>Tafluprost; Timolol</t>
  </si>
  <si>
    <t>Combigan 2 mg/ml + 5 mg/ml Augentropfen</t>
  </si>
  <si>
    <t>Brimonidin[(R,R)-tartrat]; Timololmaleat</t>
  </si>
  <si>
    <t>Stark erhöhte Produktnachfrage vom Markt im Zusammenspiel mit einer Zulassungsübertragung.Es kann auf die 1 x 5 ml Packungsgröße bzw. auf Parallelimporte zurückgegriffen werden.</t>
  </si>
  <si>
    <t>Combigan 2 mg/ml + 5 mg/ml Augentropfen - Einreichungsnummer: 2163505</t>
  </si>
  <si>
    <t>09339622, 09339639</t>
  </si>
  <si>
    <t>Latanomed 50 Mikrogramm/ml Augentropfen, Lösung</t>
  </si>
  <si>
    <t>S01EE01</t>
  </si>
  <si>
    <t>Latanoprost</t>
  </si>
  <si>
    <t>Xalatan 50 Mikrogramm/ml Augentropfen - Einreichungsnummer: 2140466</t>
  </si>
  <si>
    <t>Cyclopentolat Alcon 1%</t>
  </si>
  <si>
    <t>S01FA04</t>
  </si>
  <si>
    <t>Cyclopentolathydrochlorid</t>
  </si>
  <si>
    <t>Alcon Deutschland GmbH</t>
  </si>
  <si>
    <t>0761 1304-0</t>
  </si>
  <si>
    <t>produkt.zulassung@alcon.com</t>
  </si>
  <si>
    <t>Zyklolat EDO</t>
  </si>
  <si>
    <t>0800 0909490 94</t>
  </si>
  <si>
    <t>pharma.kundenservice@bausch</t>
  </si>
  <si>
    <t>05520023,  05520052,  05520129,  09124212</t>
  </si>
  <si>
    <t>Mydriaticum Stulln UD</t>
  </si>
  <si>
    <t>S01FA06</t>
  </si>
  <si>
    <t>Tropicamid</t>
  </si>
  <si>
    <t>Pharma Stulln GmbH</t>
  </si>
  <si>
    <t>cornelius@pharmastulln.de</t>
  </si>
  <si>
    <t>Durch den Wegfall anderer Produkte, ist der Bedarf an unserem Produkt deutlich gestiegen, trotz einer bereits erhöhten Produktion, kann der Wegfall anderer Produkte nicht komplett kompensiert werden.</t>
  </si>
  <si>
    <t>01875775,  04647856</t>
  </si>
  <si>
    <t>Mydriaticum Stulln</t>
  </si>
  <si>
    <t>S01FA56</t>
  </si>
  <si>
    <t>Fluorescein Alcon 10%</t>
  </si>
  <si>
    <t>S01JA01</t>
  </si>
  <si>
    <t>Fluorescein-Natrium (Ph.Eur.)</t>
  </si>
  <si>
    <t>Produkt.zulassung@alcon.com</t>
  </si>
  <si>
    <t>Visudyne 15 mg Pulver zur Herstellung einer Infusionslösung - OP1</t>
  </si>
  <si>
    <t>S01LA01</t>
  </si>
  <si>
    <t>Verteporfin</t>
  </si>
  <si>
    <t>RA-Visudyne@cheplapharm.com</t>
  </si>
  <si>
    <t>ab Ende 05/2023  bis Ende 08/2023 wird keinerlei Arzneimittel "Visudyne 15 mg Pulver zur Herstellung einer Infusionslösung" zur Verfügung stehen</t>
  </si>
  <si>
    <t>IKERVIS 1 mg/ml Augentropfen, Emulsion - OP(90x0,3ml)</t>
  </si>
  <si>
    <t>S01XA18</t>
  </si>
  <si>
    <t>089 8480 780</t>
  </si>
  <si>
    <t>IKERVIS 1 mg/ml Augentropfen, Emulsion - OP(30x0,3ml)</t>
  </si>
  <si>
    <t>PANOTILE CIPRO 1 mg Ohrentropfen, Lösung</t>
  </si>
  <si>
    <t>S02AA15</t>
  </si>
  <si>
    <t>Ciprofloxacinhydrochlorid (Ph.Eur.) ((mit Angaben zum Wassergehalt))</t>
  </si>
  <si>
    <t>Nur kurzfristiger Lieferengpass</t>
  </si>
  <si>
    <t>Ohrentropfen, Lösung</t>
  </si>
  <si>
    <t>Dimenhydrinat-hameln 6,2 mg/ml Injektionslösung</t>
  </si>
  <si>
    <t>TERM_ID_NA_2090000395</t>
  </si>
  <si>
    <t>Dimenhydrinat</t>
  </si>
  <si>
    <t>Vomex A i.v. Injektionslösung - Einreichungsnummer: 0581008</t>
  </si>
  <si>
    <t>01116414,  17846250</t>
  </si>
  <si>
    <t>Vomex A i.v. Injektionslösung</t>
  </si>
  <si>
    <t>Klinge Pharma GmbH</t>
  </si>
  <si>
    <t>regaffairs@klinge-pharma.com</t>
  </si>
  <si>
    <t>Saxenda 6 mg/ml Injektionslösung in Fertigpen - OP(5x3ml)</t>
  </si>
  <si>
    <t>TERM_ID_NA_2090000841</t>
  </si>
  <si>
    <t>Liraglutid</t>
  </si>
  <si>
    <t>Saxenda 6 mg/ml Injektionslösung in Fertigpen - OP(3x3ml) - Einreichungsnummer: 2711753</t>
  </si>
  <si>
    <t>Victoza 6 mg/ml Injektionslösung in Fertigpen - OP(10x3ml)</t>
  </si>
  <si>
    <t>Victoza 6 mg/ml Injektionslösung in Fertigpen - OP(5x3ml)</t>
  </si>
  <si>
    <t>Victoza 6 mg/ml Injektionslösung in Fertigpen - OP(2x3ml)</t>
  </si>
  <si>
    <t>Victoza 6 mg/ml Injektionslösung in Fertigpen - OP(10x3ml) - Einreichungsnummer: 2706026</t>
  </si>
  <si>
    <t>Saxenda 6 mg/ml Injektionslösung in Fertigpen - OP(3x3ml)</t>
  </si>
  <si>
    <t>11304915,  11304921</t>
  </si>
  <si>
    <t>2711753, 2711754</t>
  </si>
  <si>
    <t>Victoza 6 mg/ml Injektionslösung in Fertigpen - OP(5x3ml) - Einreichungsnummer: 2706025</t>
  </si>
  <si>
    <t>Coagadex</t>
  </si>
  <si>
    <t>TERM_ID_NA_2090001243</t>
  </si>
  <si>
    <t>Blutgerinnungsfaktor X</t>
  </si>
  <si>
    <t>Bio Products Laboratory Ltd.</t>
  </si>
  <si>
    <t>+49.162.2910.947</t>
  </si>
  <si>
    <t>carsten.von.blohn@bpl.co.uk</t>
  </si>
  <si>
    <t>Pulver und Lösungsmittel zur Herstellung einer Injektionslösung,Lösungsmittel</t>
  </si>
  <si>
    <t>BPL Bioproducts Laboratory GmbH</t>
  </si>
  <si>
    <t>+49 177 6086 691</t>
  </si>
  <si>
    <t>12392703,  12392726</t>
  </si>
  <si>
    <t>2672744, 2672745</t>
  </si>
  <si>
    <t>Verzögerung beim Hersteller Charles Rive Ireland, der für die Testung im Rahmen der Freigabe verantwortlich ist</t>
  </si>
  <si>
    <t>Blutgerinnungsfaktor X vom Menschen</t>
  </si>
  <si>
    <t>s.proske@kedrion.com</t>
  </si>
  <si>
    <t>5386406, 5386412, 5386429</t>
  </si>
  <si>
    <t>Losartan Hennig 50 mg Filmtabletten</t>
  </si>
  <si>
    <t>TERM_ID_NA_2090002359</t>
  </si>
  <si>
    <t>Losartan-Kalium</t>
  </si>
  <si>
    <t>LORZAAR PROTECT 50 mg Filmtabletten</t>
  </si>
  <si>
    <t>LORZAAR PROTECT 100 mg Filmtabletten</t>
  </si>
  <si>
    <t>00615931,  00615948,  00615954,  00621972,  00621989,  00621995,  00629005,  00629011,  00629028,  06474578,  08998989,  08998995,  08999109,  09333571,  09333588,  09333594,  09333602,  09333619,  09333625</t>
  </si>
  <si>
    <t>2166290, 2166291, 2166292, 2166293, 2168944, 2168945, 2184075</t>
  </si>
  <si>
    <t>Losartan Atid 12,5 mg Filmtabletten</t>
  </si>
  <si>
    <t>Rückruf aller Losartan-haltigen Produkte der Wirkstoffhersteller Zhejiang Huahai Pharmaceutical Ltd., und  IPCA Laboratories Limited., im September 2021.</t>
  </si>
  <si>
    <t>Amlodipin/Valsartan/Hydrochlorothiazid ELPEN 10 mg/160 mg/25 mg Filmtabletten</t>
  </si>
  <si>
    <t>TERM_ID_NA_2090002384</t>
  </si>
  <si>
    <t>Amlodipinbesilat; Hydrochlorothiazid; Valsartan</t>
  </si>
  <si>
    <t>Amlodipin/Valsartan/Hydrochlorothiazid ELPEN 10 mg/320 mg/25 mg Filmtabletten</t>
  </si>
  <si>
    <t>04788634,  04788640</t>
  </si>
  <si>
    <t>Leukase N Kegel</t>
  </si>
  <si>
    <t>TERM_ID_NA_2090002765</t>
  </si>
  <si>
    <t>Framycetinsulfat (1:x) ((mit Angaben zum Schwefelsäure-Gehalt)); Lidocainhydrochlorid-Monohydrat</t>
  </si>
  <si>
    <t>Wundkegel</t>
  </si>
  <si>
    <t>4969241, 01268319, 01304736, 08795401</t>
  </si>
  <si>
    <t>Predni H injekt 50mg</t>
  </si>
  <si>
    <t>TERM_ID_NA_2090003721</t>
  </si>
  <si>
    <t>Prednisolon GALEN Injekt 50 mg - Einreichungsnummer: 0041051</t>
  </si>
  <si>
    <t>2261443, 02261466, 02261526, 02261549</t>
  </si>
  <si>
    <t>Predni 10 mg Lichtenstein N</t>
  </si>
  <si>
    <t>Rebetol 40 mg/ml Lösung zum Einnehmen - OP100ml</t>
  </si>
  <si>
    <t>TERM_ID_NA_2090004158</t>
  </si>
  <si>
    <t>Ribavirin</t>
  </si>
  <si>
    <t>Ribavirin Mylan 200 mg Filmtabletten - Einreichungsnummer: 2201075</t>
  </si>
  <si>
    <t>Perison</t>
  </si>
  <si>
    <t>TERM_ID_NA_2090004322</t>
  </si>
  <si>
    <t>Enterococcus faecalis, inaktiviert; Escherichia coli, inaktiviert; Klebsiella pneumoniae, inaktiviert; Morganella morganii, inaktiviert; Proteus mirabilis, inaktiviert</t>
  </si>
  <si>
    <t>Lyophilisat,Suspension</t>
  </si>
  <si>
    <t>MTX HEXAL 2,5 mg Tabletten</t>
  </si>
  <si>
    <t>TERM_ID_NA_2090004880</t>
  </si>
  <si>
    <t>verstärkte Abverkäufe aufgrund Lieferengpässe eines weiteren Anbieters; kein Vorzug der Produktion möglich</t>
  </si>
  <si>
    <t>04946642,  04946659</t>
  </si>
  <si>
    <t>MTX HEXAL 15 mg Tabletten</t>
  </si>
  <si>
    <t>04946599,  04946607</t>
  </si>
  <si>
    <t>MTX HEXAL 5 mg Tabletten</t>
  </si>
  <si>
    <t>verstärkte Abverkäufe aufgrund Lieferengpässe eines weiteren Anbieters; kein Vorzug der Produktion möglich;  PZN 4946607 (30 Tab) verfügbar</t>
  </si>
  <si>
    <t>03159468,  04939139</t>
  </si>
  <si>
    <t>MTX HEXAL 10 mg Tabletten</t>
  </si>
  <si>
    <t xml:space="preserve">verstärkte Abverkäufe aufgrund Lieferengpässe eines weiteren Anbieters; </t>
  </si>
  <si>
    <t>01315421,  01315591</t>
  </si>
  <si>
    <t>MTX HEXAL 7,5 mg Tabletten</t>
  </si>
  <si>
    <t>Azulfidine RA</t>
  </si>
  <si>
    <t>TERM_ID_NA_2090004881</t>
  </si>
  <si>
    <t>Pleon RA - Einreichungsnummer: 2116571</t>
  </si>
  <si>
    <t>Sulfasalazin medac 500 mg magensaftresistente Filmtabletten - Einreichungsnummer: 2159238</t>
  </si>
  <si>
    <t>L-Polamidon Injektionslösung 5 mg</t>
  </si>
  <si>
    <t>TERM_ID_NA_2090005265</t>
  </si>
  <si>
    <t>Levomethadonhydrochlorid</t>
  </si>
  <si>
    <t xml:space="preserve">Geeignete Alternativpräparate können der S3 Leitlinie „Palliativmedizin“ entnommen werden. </t>
  </si>
  <si>
    <t>07480196,  07480204</t>
  </si>
  <si>
    <t>L-Polamidon Tropfen</t>
  </si>
  <si>
    <t xml:space="preserve"> 0800 52 52 010</t>
  </si>
  <si>
    <t>Geeignete Alternativpräparate: Levomethadon Aristo 5 mg/ml Tropfen zum Einnehmen von Aristo Pharma GmbH oder Levomethadon-neuraxpharm 5 mg/ml Tropfen zum Einnehmen von neuraxpharm Arzneimittel GmbH.Weitere Alternativen der WHO-Stufe 3 können der S3 Leitlinie „Palliativmedizin“ entnommen werden.Bei hospitalisierten Patienten mit Zugang ist L-Polamidon Injektionslösung 5 mg von Sanofi als Alternative verfügbar.</t>
  </si>
  <si>
    <t>11361020,  14047755</t>
  </si>
  <si>
    <t>Tramadol/Paracetamol Denk 37,5 mg/325 mg Filmtabletten</t>
  </si>
  <si>
    <t>TERM_ID_NA_2090005289</t>
  </si>
  <si>
    <t>Paracetamol; Tramadolhydrochlorid</t>
  </si>
  <si>
    <t>00391928,  00424906,  03001069</t>
  </si>
  <si>
    <t>L-Polamidon Lösung zur Substitution</t>
  </si>
  <si>
    <t>TERM_ID_NA_2090005949</t>
  </si>
  <si>
    <t>Eingeschränkte Lieferfähigkeit. Verfügbare Packungsgröße: 500 ml (PZN 00391928)</t>
  </si>
  <si>
    <t>L-Polamidon Lösung zur Substitution - Einreichungsnummer: 2145583</t>
  </si>
  <si>
    <t>00424906,  03001069</t>
  </si>
  <si>
    <t>Alternativen sind von G.L. Pharma, Neuraxpharma oder Hexal verfügbar</t>
  </si>
  <si>
    <t>10980028,  13781482</t>
  </si>
  <si>
    <t>L-Polaflux 5 mg/ml Lösung zum Einnehmen</t>
  </si>
  <si>
    <t>L-Polaflux 5 mg/ml Lösung zum Einnehmen - Einreichungsnummer: 2197530</t>
  </si>
  <si>
    <t>L-Poladdict 5 mg Tabletten</t>
  </si>
  <si>
    <t>L-Poladdict 5 mg Tabletten - Einreichungsnummer: 2196250</t>
  </si>
  <si>
    <t>L-Poladdict 20 mg Tabletten</t>
  </si>
  <si>
    <t>L-Poladdict 20 mg Tabletten - Einreichungsnummer: 2196251</t>
  </si>
  <si>
    <t>Pulmelia 380 Mikrogramm/11 Mikrogramm einzeldosiertes Pulver zur Inhalation</t>
  </si>
  <si>
    <t>TERM_ID_NA_2090008701</t>
  </si>
  <si>
    <t>Budesonid; Formoterolfumarat-Dihydrat (Ph.Eur.)</t>
  </si>
  <si>
    <t>Pulmelia 97 Mikrogramm/5,5 Mikrogramm einzeldosiertes Pulver zur Inhalation</t>
  </si>
  <si>
    <t>Pulmelia 194 Mikrogramm/5,5 Mikrogramm einzeldosiertes Pulver zur Inhalation</t>
  </si>
  <si>
    <t>PZN 11532645: Artikel wird zum 01.10.2023 außer Vertrieb genommen.</t>
  </si>
  <si>
    <t>PZN 11532616: Artikel wird zum 01.10.2023 außer Vertrieb genommen.</t>
  </si>
  <si>
    <t>PZN 11532579: Artikel wird zum 01.10.2023 außer Vertrieb genommen.</t>
  </si>
  <si>
    <t>09235555</t>
  </si>
  <si>
    <t>Ampuwa</t>
  </si>
  <si>
    <t>TERM_ID_NA_2090009828</t>
  </si>
  <si>
    <t>Lösungsmittel zur Herstellung von Parenteralia</t>
  </si>
  <si>
    <t>Antidotum Thallii-Heyl</t>
  </si>
  <si>
    <t>TERM_ID_NA_2090010126</t>
  </si>
  <si>
    <t>Eisen(III)-hexacyanoferrat(II)</t>
  </si>
  <si>
    <t>Durch die Betriebsschließung des bisherigen Lohnherstellers Haupt Pharma Berlin GmbH müssen die Produkte zu einem neuen Lohnhersteller transferiert werden. Dabei wurde Antidotum Thallii vom Produkttransfer aus wirtschaftlichen Gründen von bisher allen, verfügbaren Herstellern ausgeschlossenn.</t>
  </si>
  <si>
    <t>Radiogardase - Cs - Einreichungsnummer: 0813163</t>
  </si>
  <si>
    <t>Dimaval</t>
  </si>
  <si>
    <t>TERM_ID_NA_2090010126, V03AB</t>
  </si>
  <si>
    <t>(RS)-2,3-Bis(sulfanyl)propan-1-sulfonsäure-Natriumsalz 1 H&lt;2&gt;O</t>
  </si>
  <si>
    <t>Dimaval - Einreichungsnummer: 2125465</t>
  </si>
  <si>
    <t>03703050,  03703067,  03703073</t>
  </si>
  <si>
    <t>Dimaval (DMPS) 100 mg Hartkapseln</t>
  </si>
  <si>
    <t>Haupt Pharma Wülfing GmbH.....</t>
  </si>
  <si>
    <t>01809531,  01809548,  01809554,  03108927</t>
  </si>
  <si>
    <t>Toluidinblau</t>
  </si>
  <si>
    <t>TERM_ID_NA_2090010128, V03AB</t>
  </si>
  <si>
    <t>Toloniumchlorid</t>
  </si>
  <si>
    <t>+49 6251 1083 0</t>
  </si>
  <si>
    <t>info@koehler-chemie.de</t>
  </si>
  <si>
    <t>keine Verfügbarkeit des Wirkstoffes</t>
  </si>
  <si>
    <t>05116859</t>
  </si>
  <si>
    <t>Protaminsulfat LEO Pharma 1400 Heparin-Antidot I.E./ml Injektionslösung und Infusionslösung</t>
  </si>
  <si>
    <t>TERM_ID_NA_2090010129, V03AB</t>
  </si>
  <si>
    <t>Protaminsulfat ((mit Angaben zur Herstellung und zum Schwefelsäure-Gehalt))</t>
  </si>
  <si>
    <t>+49(0)6102 201 0</t>
  </si>
  <si>
    <t xml:space="preserve">
5460628</t>
  </si>
  <si>
    <t>Protamin ME 1000 I.E./ml</t>
  </si>
  <si>
    <t>Protaminhydrochlorid</t>
  </si>
  <si>
    <t>Protamin ME 5000 I.E./ml</t>
  </si>
  <si>
    <t>2057607, 02057599</t>
  </si>
  <si>
    <t>4-DMAP</t>
  </si>
  <si>
    <t>TERM_ID_NA_2090010129, V03AB27</t>
  </si>
  <si>
    <t>4-(Dimethylamino)phenol-hydrochlorid</t>
  </si>
  <si>
    <t>06251-1083-0</t>
  </si>
  <si>
    <t>11871005,  11871011</t>
  </si>
  <si>
    <t>Substitol 100mg</t>
  </si>
  <si>
    <t>TERM_ID_NA_2090010356</t>
  </si>
  <si>
    <t>11870980,  11870997</t>
  </si>
  <si>
    <t>Substitol 60 mg Hartkapsel, retardiert</t>
  </si>
  <si>
    <t>11870879,  11870916</t>
  </si>
  <si>
    <t>Substitol 200mg</t>
  </si>
  <si>
    <t>Substitol 200mg - Einreichungsnummer: 2131512</t>
  </si>
  <si>
    <t>Substitol 30 mg Hartkapseln, retardiert</t>
  </si>
  <si>
    <t>11870885,  11870891,  11870922</t>
  </si>
  <si>
    <t>Radiogardase - Cs</t>
  </si>
  <si>
    <t>V03AB</t>
  </si>
  <si>
    <t>babett.bleifuhs@heyl-berlin.de</t>
  </si>
  <si>
    <t>3417143, 04854259</t>
  </si>
  <si>
    <t>Fluimucil Antidot 20 % Konzentrat zur Herstellung einer Infusionslösung</t>
  </si>
  <si>
    <t>V03AB23</t>
  </si>
  <si>
    <t>Acetylcystein</t>
  </si>
  <si>
    <t>Zambon GmbH</t>
  </si>
  <si>
    <t>089-200020354</t>
  </si>
  <si>
    <t>infode@zambongroup.com</t>
  </si>
  <si>
    <t>Es gab letztlich keinen Lieferengpass, die Meldung erfolgte vorsorglich. Daher wird sie mit heutigem Datum gelöscht.</t>
  </si>
  <si>
    <t>Lokelma 10 Gramm Pulver zur Herstellung einer Suspension zum Einnehmen - OP(30x10g)</t>
  </si>
  <si>
    <t>V03AE10</t>
  </si>
  <si>
    <t>Natriumzirconiumhydrogencyclohexasilicat-Hydrat (3:2:1:1:x)</t>
  </si>
  <si>
    <t>Lokelma 5 Gramm Pulver zur Herstellung einer Suspension zum Einnehmen - OP(30x5g) - Einreichungsnummer: 2713395</t>
  </si>
  <si>
    <t>Lokelma 5 Gramm Pulver zur Herstellung einer Suspension zum Einnehmen - OP(30x5g)</t>
  </si>
  <si>
    <t>0800 2288660</t>
  </si>
  <si>
    <t>Veltassa 8,4 g Pulver zur Herstellung einer Suspension zum Einnehmen - OP30(Btl) - Einreichungsnummer: 2713572</t>
  </si>
  <si>
    <t>03194720</t>
  </si>
  <si>
    <t>MESNA-cell 100 mg/ml Injektionslösung</t>
  </si>
  <si>
    <t>V03AF01</t>
  </si>
  <si>
    <t>Mesna</t>
  </si>
  <si>
    <t>janine.baestlein@stadapharm.de</t>
  </si>
  <si>
    <t>Janine Baestlein</t>
  </si>
  <si>
    <t>MESNA-cell 100 mg/ml Injektionslösung - Einreichungsnummer: 2146836</t>
  </si>
  <si>
    <t>CARDIOXANE 500 mg, Pulver zur Herstellung einer Infusionslösung</t>
  </si>
  <si>
    <t>V03AF02</t>
  </si>
  <si>
    <t>Dexrazoxan</t>
  </si>
  <si>
    <t>Savene 20 mg/ml Pulver für ein Konzentrat und Verdünnungsmittel zur Herstellung einer Infusionslösung - OP(10+3)</t>
  </si>
  <si>
    <t>Dexrazoxanhydrochlorid  (1:x)</t>
  </si>
  <si>
    <t>Dexrazoxanhydrochlorid (1:x)</t>
  </si>
  <si>
    <t>+49 (0)619 6499 3999</t>
  </si>
  <si>
    <t>Deutschland@clinigengroup.com</t>
  </si>
  <si>
    <t>Der Lieferengpass endete am 22.09.2022</t>
  </si>
  <si>
    <t>Cyrdanax 20 mg/ml Pulver zur Herstellung einer Infusionslösung - Einreichungsnummer: 2175667</t>
  </si>
  <si>
    <t>753892, 00753900, 00753923, 00753946</t>
  </si>
  <si>
    <t>Calciumfolinat-GRY 200 mg / 20 ml Injektionslösung</t>
  </si>
  <si>
    <t>V03AF03</t>
  </si>
  <si>
    <t>Calciumfolinat  5 H&lt;2&gt;O</t>
  </si>
  <si>
    <t>0800 / 8005013</t>
  </si>
  <si>
    <t>Calciumfolinat-GRY 100 mg / 10 ml Injektionslösung</t>
  </si>
  <si>
    <t>Calciumfolinat Kabi 10 mg/ml Injektions-/Infusionslösung</t>
  </si>
  <si>
    <t>Calciumfolinat  x H&lt;2&gt;O</t>
  </si>
  <si>
    <t>10855501</t>
  </si>
  <si>
    <t>Folinsäure Aurobindo 10 mg/ml Injektionslösung</t>
  </si>
  <si>
    <t>07691361, 07691378, 00739142</t>
  </si>
  <si>
    <t>Calciumfolinat-GRY 15 mg Tabletten</t>
  </si>
  <si>
    <t>Leucovorin 15mg Tabletten - Einreichungsnummer: 2105695</t>
  </si>
  <si>
    <t>04001456,  08772831,  08772848</t>
  </si>
  <si>
    <t>Calciumfolinat Hexal Kapseln</t>
  </si>
  <si>
    <t>Calciumfolinat</t>
  </si>
  <si>
    <t>Calciumfolinat EVER Pharma 10 mg/ml Injektionslösung</t>
  </si>
  <si>
    <t>markus.hinterberger@everpharma.com</t>
  </si>
  <si>
    <t>12412104,  12412127,  12412191,  12412222</t>
  </si>
  <si>
    <t>Calciumfolinat-Hydrat</t>
  </si>
  <si>
    <t>Ribofolin 10 mg/ml</t>
  </si>
  <si>
    <t>Calciumfolinat Medipolis 10 mg/ml Injektionslösung</t>
  </si>
  <si>
    <t>Medipolis Produktion GmbH &amp; Co. KG</t>
  </si>
  <si>
    <t>+49 2129 5301564</t>
  </si>
  <si>
    <t>ccreutz@productlife-group.com</t>
  </si>
  <si>
    <t>Produktionsstillstand bei HPW in 2022, aktuell keine Kapazitäten bei HPW für 2023</t>
  </si>
  <si>
    <t>Eurofolic 10 mg/ml</t>
  </si>
  <si>
    <t>THRIVE PHARMA LTD.</t>
  </si>
  <si>
    <t>regulatory@nexcapepharma.com</t>
  </si>
  <si>
    <t>Manufacturing supply bottlenecks</t>
  </si>
  <si>
    <t>01527554,  01527695,  01527703</t>
  </si>
  <si>
    <t>Calciumfolinat HEXAL 10 mg/ml</t>
  </si>
  <si>
    <t>Leucovorin 10 mg/ml Lösung zur Injektion/Infusion</t>
  </si>
  <si>
    <t>Calciumfolinat-Pentahydrat</t>
  </si>
  <si>
    <t>Bendafolin 10 mg/ml - Einreichungsnummer: 2144053</t>
  </si>
  <si>
    <t>06983245,  06983274</t>
  </si>
  <si>
    <t>FOLI-cell</t>
  </si>
  <si>
    <t xml:space="preserve">CMO related issue </t>
  </si>
  <si>
    <t>FOLI-cell 1000mg</t>
  </si>
  <si>
    <t>+49 6101 603 2416</t>
  </si>
  <si>
    <t>089 45450250</t>
  </si>
  <si>
    <t>Produkt wird kontigentiert abgegeben, um möglichst breite Verteilung im Markt sicher zustellen.</t>
  </si>
  <si>
    <t>640389, 00937161, 04643858, 00640372, 00937155</t>
  </si>
  <si>
    <t>Ethyol</t>
  </si>
  <si>
    <t>V03AF05</t>
  </si>
  <si>
    <t>Amifostin</t>
  </si>
  <si>
    <t>Die Löschung des Eintrags zum Lieferengpass wurde vorgenommen, da die Zulassung für Ethyol gemäß § 31 Abs. 1 Nr. 2 AMG erloschen ist.</t>
  </si>
  <si>
    <t>01551110,  02245645</t>
  </si>
  <si>
    <t>2701093, 2702379</t>
  </si>
  <si>
    <t>Fasturtec 1,5 mg Pulver und Lösungsmittel zur Herstellung eines Infusionslösungskonzentrats - OP(3+3)</t>
  </si>
  <si>
    <t>V03AF07</t>
  </si>
  <si>
    <t>Rasburicase</t>
  </si>
  <si>
    <t>Fasturtec 1,5 mg/ml Pulver und Lösungsmittel zur Herstellung einer Infusionslösungs - OP(1+1)</t>
  </si>
  <si>
    <t>Für die vom Lieferengpass betroffene Packungsgröße Fasturtec 7,5 mg (1 Dst Fla + 1 Amp) (PZN-02245645) steht als Alternative die Kombipackung Fasturtec 1,5 mg (3 Dst Fla + 3 Amp) (PZN-01551110) zur Verfügung - siehe auch Informationsschreiben zum Lieferengpass</t>
  </si>
  <si>
    <t>Alkohol-Konzentrat 95% Braun</t>
  </si>
  <si>
    <t>V03AZ01</t>
  </si>
  <si>
    <t>Ethanol 96% ((95.1% - 96.9% (V/V), 92.6% - 95.2% (G/G)))</t>
  </si>
  <si>
    <t>6143663, 01754184</t>
  </si>
  <si>
    <t>Accu-Chek Dextrose O.G-T.</t>
  </si>
  <si>
    <t>V04CA02</t>
  </si>
  <si>
    <t>Glucose-Sirup</t>
  </si>
  <si>
    <t>Saft</t>
  </si>
  <si>
    <t>04938358, 04938364</t>
  </si>
  <si>
    <t>CRH FERRING 100 Mikrogramm Pulver und Lösungsmittel zur Herstellung einer Injektionslösung</t>
  </si>
  <si>
    <t>V04CD</t>
  </si>
  <si>
    <t>Corticorelin vom Menschen, Triflutat (1:x) ((mit Angaben zum Trifluoressigsäure-Gehalt))</t>
  </si>
  <si>
    <t>Cortirel - Einreichungsnummer: 2134136</t>
  </si>
  <si>
    <t>3648138, 3648121</t>
  </si>
  <si>
    <t>Cortirel</t>
  </si>
  <si>
    <t>Proreo Pharma GmbH</t>
  </si>
  <si>
    <t>02102 1016790</t>
  </si>
  <si>
    <t>04938370,  04938387</t>
  </si>
  <si>
    <t>GHRH FERRING 50 Mikrogramm Pulver und Lösungsmittel zur Herstellung einer Injektionslösung</t>
  </si>
  <si>
    <t>Somatorelinacetat (1:x) y H&lt;2&gt;O ((mit Angaben zum Essigsäure- und Wasser-Gehalt))</t>
  </si>
  <si>
    <t>04938358,  04938364</t>
  </si>
  <si>
    <t>10538947</t>
  </si>
  <si>
    <t>Metopiron 250 mg Weichkapseln</t>
  </si>
  <si>
    <t>V04CD01</t>
  </si>
  <si>
    <t>Metyrapon</t>
  </si>
  <si>
    <t>Laboratoire HRA Pharma</t>
  </si>
  <si>
    <t>0234 516592-0</t>
  </si>
  <si>
    <t>info-de@hra-pharma.com</t>
  </si>
  <si>
    <t>+49 234 516592 0</t>
  </si>
  <si>
    <t>13902684,  13902690</t>
  </si>
  <si>
    <t>LiMAxetin 4 mg/ml Injektionslösung</t>
  </si>
  <si>
    <t>V04CE03</t>
  </si>
  <si>
    <t>(4'-O-(13)C)Methacetin</t>
  </si>
  <si>
    <t>Humedics GmbH</t>
  </si>
  <si>
    <t>+49 30 6293955 0</t>
  </si>
  <si>
    <t>alexander.helmke@humedics.de</t>
  </si>
  <si>
    <t>00248361,  01278430,  02757629,  03020138</t>
  </si>
  <si>
    <t>Peritrast-oral-GI</t>
  </si>
  <si>
    <t>V08AA</t>
  </si>
  <si>
    <t>Amidotrizoesäure-Lysin-Salz</t>
  </si>
  <si>
    <t>PERITRAST RE/36 %</t>
  </si>
  <si>
    <t>GASTROLUX RE 180 mg/ml Lösung - Einreichungsnummer: 2165147</t>
  </si>
  <si>
    <t>3004002, 3004003</t>
  </si>
  <si>
    <t>ACCUPAQUE 300</t>
  </si>
  <si>
    <t>V08AB02</t>
  </si>
  <si>
    <t>Iohexol</t>
  </si>
  <si>
    <t>GE Healthcare Buchler GmbH &amp; Co.KG</t>
  </si>
  <si>
    <t>Injektionslösung oder Lösung zum Einnehmen</t>
  </si>
  <si>
    <t>07388935, 03049610, 03049745, 03049857</t>
  </si>
  <si>
    <t>Ultravist-370, Injektions- oder Infusionslösung oder Lösung zum Einnehmen</t>
  </si>
  <si>
    <t>V08AB05</t>
  </si>
  <si>
    <t>Iopromid</t>
  </si>
  <si>
    <t>Technescan DTPA</t>
  </si>
  <si>
    <t>V09CA01</t>
  </si>
  <si>
    <t>Calcium-trinatrium-pentetat ((gegebenenfalls mit Angaben zum Wassergehalt))</t>
  </si>
  <si>
    <t>Curium Netherlands B.V. HR-Beiname: Mallinckrodt Pharmaceuicals, Curium, Curiumpharma, Mallinckrodt Medical</t>
  </si>
  <si>
    <t>annette.brinker-ext@curiumpharma.com</t>
  </si>
  <si>
    <t>TechneScan MAG3 - Einreichungsnummer: 2116704</t>
  </si>
  <si>
    <t>Yttriumcitrat[90Y] Curium Germany 150 - 370 MBq/ml Injektionssuspension</t>
  </si>
  <si>
    <t>V10AA01</t>
  </si>
  <si>
    <t>((90)Y)Yttriumcitrat</t>
  </si>
  <si>
    <t>Curium Germany GmbH</t>
  </si>
  <si>
    <t>Erbiumcitrat [169Er] Curium Germany 111 MBq/ml Injektionssuspension</t>
  </si>
  <si>
    <t>V10AX</t>
  </si>
  <si>
    <t>((169)Er)Erbiumcitrat</t>
  </si>
  <si>
    <t xml:space="preserve">
02682268</t>
  </si>
  <si>
    <t>Rheniumsulfid (186Re) Curium Germany</t>
  </si>
  <si>
    <t>V10AX05</t>
  </si>
  <si>
    <t>[(186)Re]Rheniumsulfid o.w.A.</t>
  </si>
  <si>
    <t>15253787, 15814352</t>
  </si>
  <si>
    <t>Polivy</t>
  </si>
  <si>
    <t>XXXXXXX</t>
  </si>
  <si>
    <t>Polatuzumabvedotin</t>
  </si>
  <si>
    <t>+49 7624 / 14-2015</t>
  </si>
  <si>
    <t>Spalte1</t>
  </si>
  <si>
    <t>2017-01-01</t>
  </si>
  <si>
    <t>2017-02-01</t>
  </si>
  <si>
    <t>2017-03-01</t>
  </si>
  <si>
    <t>2017-04-01</t>
  </si>
  <si>
    <t>2017-05-01</t>
  </si>
  <si>
    <t>2017-06-01</t>
  </si>
  <si>
    <t>2017-07-01</t>
  </si>
  <si>
    <t>2017-08-01</t>
  </si>
  <si>
    <t>2017-09-01</t>
  </si>
  <si>
    <t>2017-10-01</t>
  </si>
  <si>
    <t>2017-11-01</t>
  </si>
  <si>
    <t>2017-12-01</t>
  </si>
  <si>
    <t>2018-01-01</t>
  </si>
  <si>
    <t>2018-02-01</t>
  </si>
  <si>
    <t>2018-03-01</t>
  </si>
  <si>
    <t>2018-04-01</t>
  </si>
  <si>
    <t>2018-05-01</t>
  </si>
  <si>
    <t>2018-06-01</t>
  </si>
  <si>
    <t>2018-07-01</t>
  </si>
  <si>
    <t>2018-08-01</t>
  </si>
  <si>
    <t>2018-09-01</t>
  </si>
  <si>
    <t>2018-10-01</t>
  </si>
  <si>
    <t>2018-11-01</t>
  </si>
  <si>
    <t>2018-12-01</t>
  </si>
  <si>
    <t>2019-01-01</t>
  </si>
  <si>
    <t>2019-02-01</t>
  </si>
  <si>
    <t>2019-03-01</t>
  </si>
  <si>
    <t>2019-04-01</t>
  </si>
  <si>
    <t>2019-05-01</t>
  </si>
  <si>
    <t>2019-06-01</t>
  </si>
  <si>
    <t>2019-07-01</t>
  </si>
  <si>
    <t>2019-08-01</t>
  </si>
  <si>
    <t>2019-09-01</t>
  </si>
  <si>
    <t>2019-10-01</t>
  </si>
  <si>
    <t>2019-11-01</t>
  </si>
  <si>
    <t>2019-12-01</t>
  </si>
  <si>
    <t>2020-01-01</t>
  </si>
  <si>
    <t>2020-02-01</t>
  </si>
  <si>
    <t>2020-03-01</t>
  </si>
  <si>
    <t>2020-04-01</t>
  </si>
  <si>
    <t>2020-05-01</t>
  </si>
  <si>
    <t>2020-06-01</t>
  </si>
  <si>
    <t>2020-07-01</t>
  </si>
  <si>
    <t>2020-08-01</t>
  </si>
  <si>
    <t>2020-09-01</t>
  </si>
  <si>
    <t>2020-10-01</t>
  </si>
  <si>
    <t>2020-11-01</t>
  </si>
  <si>
    <t>2020-12-01</t>
  </si>
  <si>
    <t>2021-01-01</t>
  </si>
  <si>
    <t>2021-02-01</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</si>
  <si>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</si>
  <si>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</si>
  <si>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</si>
  <si>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</si>
  <si>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</si>
  <si>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</si>
  <si>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</si>
  <si>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</si>
  <si>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</si>
  <si>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</si>
  <si>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</si>
  <si>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</si>
  <si>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</si>
  <si>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</si>
  <si>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</si>
  <si>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</si>
  <si>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</si>
  <si>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</si>
  <si>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</si>
  <si>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</si>
  <si>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</si>
  <si>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</si>
  <si>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</si>
  <si>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</si>
  <si>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</si>
  <si>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</si>
  <si>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</si>
  <si>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</si>
  <si>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</si>
  <si>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</si>
  <si>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</si>
  <si>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</si>
  <si>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</si>
  <si>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</si>
  <si>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</si>
  <si>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</si>
  <si>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</si>
  <si>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</si>
  <si>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</si>
  <si>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</si>
  <si>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</si>
  <si>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</si>
  <si>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</si>
  <si>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</si>
  <si>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</si>
  <si>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</si>
  <si>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A01</t>
  </si>
  <si>
    <t>STOMATOLOGIKA</t>
  </si>
  <si>
    <t>- gesamtheitlich 2020 und 2023 starke Ausreißer nach oben
- 2023-Ausreßer wesentlich größer als 2020
- L01 konstant etwas höher mit leichtem Peak von 2020 bis 2023
- zwischen 2018 und 2021 C09 mit Abstand am häufigsten betroffen 
- J01 2023 am häufigsten betroffen
- N02 ebenfalls nicht unwesentlicher Peak 2023</t>
  </si>
  <si>
    <t>A02</t>
  </si>
  <si>
    <t>MITTEL BEI SÄURE BEDINGTEN ERKRANKUNGEN</t>
  </si>
  <si>
    <t>A03</t>
  </si>
  <si>
    <t>MITTEL BEI FUNKTIONELLEN GASTROINTESTINALEN STÖRUNGEN</t>
  </si>
  <si>
    <t>A04</t>
  </si>
  <si>
    <t>ANTIEMETIKA UND MITTEL GEGEN ÜBELKEIT</t>
  </si>
  <si>
    <t>A05</t>
  </si>
  <si>
    <t>GALLEN- UND LEBERTHERAPIE</t>
  </si>
  <si>
    <t>A06</t>
  </si>
  <si>
    <t>MITTEL GEGEN OBSTIPATION</t>
  </si>
  <si>
    <t>A07</t>
  </si>
  <si>
    <t>ANTIDIARRHOIKA UND INTESTINALE ANTIPHLOGISTIKA/ANTIINFEKTIVA</t>
  </si>
  <si>
    <t>A08</t>
  </si>
  <si>
    <t>ANTIADIPOSITA, EXKL. DIÄTETIKA</t>
  </si>
  <si>
    <t>A09</t>
  </si>
  <si>
    <t>DIGESTIVA, INKL. ENZYME</t>
  </si>
  <si>
    <t>A10</t>
  </si>
  <si>
    <t>ANTIDIABETIKA</t>
  </si>
  <si>
    <t>A11</t>
  </si>
  <si>
    <t>VITAMINE</t>
  </si>
  <si>
    <t>A12</t>
  </si>
  <si>
    <t>MINERALSTOFFE</t>
  </si>
  <si>
    <t>A13</t>
  </si>
  <si>
    <t>TONIKA</t>
  </si>
  <si>
    <t>A14</t>
  </si>
  <si>
    <t>ANABOLIKA ZUR SYSTEMISCHEN ANWENDUNG</t>
  </si>
  <si>
    <t>A15</t>
  </si>
  <si>
    <t>APPETIT STIMULIERENDE MITTEL</t>
  </si>
  <si>
    <t>A16</t>
  </si>
  <si>
    <t>ANDERE MITTEL FÜR DAS ALIMENTÄRE SYSTEM UND DEN STOFFWECHSEL</t>
  </si>
  <si>
    <t>B01</t>
  </si>
  <si>
    <t>ANTITHROMBOTISCHE MITTEL</t>
  </si>
  <si>
    <t>B02</t>
  </si>
  <si>
    <t>ANTIHÄMORRHAGIKA</t>
  </si>
  <si>
    <t>B03</t>
  </si>
  <si>
    <t>ANTIANÄMIKA</t>
  </si>
  <si>
    <t>B05</t>
  </si>
  <si>
    <t>BLUTERSATZMITTEL UND PERFUSIONSLÖSUNGEN</t>
  </si>
  <si>
    <t>B06</t>
  </si>
  <si>
    <t>ANDERE HÄMATOLOGIKA</t>
  </si>
  <si>
    <t>C01</t>
  </si>
  <si>
    <t>HERZTHERAPIE</t>
  </si>
  <si>
    <t>C02</t>
  </si>
  <si>
    <t>ANTIHYPERTENSIVA</t>
  </si>
  <si>
    <t>C03</t>
  </si>
  <si>
    <t>DIURETIKA</t>
  </si>
  <si>
    <t>C04</t>
  </si>
  <si>
    <t>PERIPHERE VASODILATATOREN</t>
  </si>
  <si>
    <t>C05</t>
  </si>
  <si>
    <t>VASOPROTEKTOREN</t>
  </si>
  <si>
    <t>C06</t>
  </si>
  <si>
    <t>ANDERE HERZ- UND KREISLAUFMITTEL</t>
  </si>
  <si>
    <t>C07</t>
  </si>
  <si>
    <t>BETA-ADRENOZEPTORANTAGONISTEN</t>
  </si>
  <si>
    <t>C08</t>
  </si>
  <si>
    <t>CALCIUMKANALBLOCKER</t>
  </si>
  <si>
    <t>C09</t>
  </si>
  <si>
    <t>MITTEL MIT WIRKUNG AUF DAS RENIN-ANGIOTENSIN-SYSTEM</t>
  </si>
  <si>
    <t>C10</t>
  </si>
  <si>
    <t>MITTEL, DIE DEN LIPIDSTOFFWECHSEL BEEINFLUSSEN</t>
  </si>
  <si>
    <t>D01</t>
  </si>
  <si>
    <t>ANTIMYKOTIKA ZUR DERMATOLOGISCHEN ANWENDUNG</t>
  </si>
  <si>
    <t>D02</t>
  </si>
  <si>
    <t>EMOLLIENTIA UND HAUTSCHUTZMITTEL</t>
  </si>
  <si>
    <t>D03</t>
  </si>
  <si>
    <t>ZUBEREITUNGEN ZUR BEHANDLUNG VON WUNDEN UND GESCHWÜREN</t>
  </si>
  <si>
    <t>D04</t>
  </si>
  <si>
    <t>ANTIPRURIGINOSA, INKL. ANTIHISTAMINIKA, ANÄSTHETIKA ETC.</t>
  </si>
  <si>
    <t>- absolute Zahlen nicht sonderlich aussagekräftig da in einer Gruppe mehr Medikamente enthalten sein können oder Relevanz verschieden sein könnte
- nach 2023 sieht es nach Abklingen aus, allerdings ist dies eine Täuschung da der letzte Punkt 2024 nur Vermutungen sind
- 2020 ist Corona wohl verantwortlich
- 2023 Ukraine-Krieg?</t>
  </si>
  <si>
    <t>D05</t>
  </si>
  <si>
    <t>ANTIPSORIATIKA</t>
  </si>
  <si>
    <t>D06</t>
  </si>
  <si>
    <t>ANTIBIOTIKA UND CHEMOTHERAPEUTIKA ZUR DERMATOLOGISCHEN ANWENDUNG</t>
  </si>
  <si>
    <t>D07</t>
  </si>
  <si>
    <t>CORTICOSTEROIDE, DERMATOLOGISCHE ZUBEREITUNGEN</t>
  </si>
  <si>
    <t>D08</t>
  </si>
  <si>
    <t>ANTISEPTIKA UND DESINFEKTIONSMITTEL</t>
  </si>
  <si>
    <t>D09</t>
  </si>
  <si>
    <t>MEDIZINISCHE VERBÄNDE</t>
  </si>
  <si>
    <t>D10</t>
  </si>
  <si>
    <t>AKNEMITTEL</t>
  </si>
  <si>
    <t>D11</t>
  </si>
  <si>
    <t>ANDERE DERMATIKA</t>
  </si>
  <si>
    <t>G01</t>
  </si>
  <si>
    <t>GYNÄKOLOGISCHE ANTIINFEKTIVA UND ANTISEPTIKA</t>
  </si>
  <si>
    <t>G02</t>
  </si>
  <si>
    <t>ANDERE GYNÄKOLOGIKA</t>
  </si>
  <si>
    <t>G03</t>
  </si>
  <si>
    <t>SEXUALHORMONE UND MODULATOREN DES GENITALSYSTEMS</t>
  </si>
  <si>
    <t>G04</t>
  </si>
  <si>
    <t>UROLOGIKA</t>
  </si>
  <si>
    <t>H01</t>
  </si>
  <si>
    <t>HYPOPHYSEN- UND HYPOTHALAMUSHORMONE UND ANALOGA</t>
  </si>
  <si>
    <t>H02</t>
  </si>
  <si>
    <t>CORTICOSTEROIDE ZUR SYSTEMISCHEN ANWENDUNG</t>
  </si>
  <si>
    <t>H03</t>
  </si>
  <si>
    <t>SCHILDDRÜSENTHERAPIE</t>
  </si>
  <si>
    <t>H04</t>
  </si>
  <si>
    <t>PANKREASHORMONE</t>
  </si>
  <si>
    <t>H05</t>
  </si>
  <si>
    <t>CALCIUMHOMÖOSTASE</t>
  </si>
  <si>
    <t>J01</t>
  </si>
  <si>
    <t>ANTIBIOTIKA ZUR SYSTEMISCHEN ANWENDUNG</t>
  </si>
  <si>
    <t>J02</t>
  </si>
  <si>
    <t>ANTIMYKOTIKA ZUR SYSTEMISCHEN ANWENDUNG</t>
  </si>
  <si>
    <t>J04</t>
  </si>
  <si>
    <t>MITTEL GEGEN MYKOBAKTERIEN</t>
  </si>
  <si>
    <t>J05</t>
  </si>
  <si>
    <t>ANTIVIRALE MITTEL ZUR SYSTEMISCHEN ANWENDUNG</t>
  </si>
  <si>
    <t>J06</t>
  </si>
  <si>
    <t>IMMUNSERA UND IMMUNGLOBULINE</t>
  </si>
  <si>
    <t>J07</t>
  </si>
  <si>
    <t>IMPFSTOFFE</t>
  </si>
  <si>
    <t>L01</t>
  </si>
  <si>
    <t>ANTINEOPLASTISCHE MITTEL</t>
  </si>
  <si>
    <t>L02</t>
  </si>
  <si>
    <t>ENDOKRINE THERAPIE</t>
  </si>
  <si>
    <t>IMMUNSTIMULANZIEN</t>
  </si>
  <si>
    <t>L04</t>
  </si>
  <si>
    <t>IMMUNSUPPRESSIVA</t>
  </si>
  <si>
    <t>M01</t>
  </si>
  <si>
    <t>ANTIPHLOGISTIKA UND ANTIRHEUMATIKA</t>
  </si>
  <si>
    <t>M02</t>
  </si>
  <si>
    <t>TOPISCHE MITTEL GEGEN GELENK- UND MUSKELSCHMERZEN</t>
  </si>
  <si>
    <t>M03</t>
  </si>
  <si>
    <t>MUSKELRELAXANZIEN</t>
  </si>
  <si>
    <t>M04</t>
  </si>
  <si>
    <t>GICHTMITTEL</t>
  </si>
  <si>
    <t>M05</t>
  </si>
  <si>
    <t>MITTEL ZUR BEHANDLUNG VON KNOCHENERKRANKUNGEN</t>
  </si>
  <si>
    <t>M09</t>
  </si>
  <si>
    <t>ANDERE MITTEL GEGEN STÖRUNGEN DES MUSKEL- UND SKELETTSYSTEMS</t>
  </si>
  <si>
    <t>N01</t>
  </si>
  <si>
    <t>ANÄSTHETIKA</t>
  </si>
  <si>
    <t>N02</t>
  </si>
  <si>
    <t>ANALGETIKA</t>
  </si>
  <si>
    <t>N03</t>
  </si>
  <si>
    <t>ANTIEPILEPTIKA</t>
  </si>
  <si>
    <t>N04</t>
  </si>
  <si>
    <t>ANTIPARKINSONMITTEL</t>
  </si>
  <si>
    <t>N05</t>
  </si>
  <si>
    <t>PSYCHOLEPTIKA</t>
  </si>
  <si>
    <t>N06</t>
  </si>
  <si>
    <t>PSYCHOANALEPTIKA</t>
  </si>
  <si>
    <t>N07</t>
  </si>
  <si>
    <t>ANDERE MITTEL FÜR DAS NERVENSYSTEM</t>
  </si>
  <si>
    <t>P01</t>
  </si>
  <si>
    <t>MITTEL GEGEN PROTOZOEN-ERKRANKUNGEN</t>
  </si>
  <si>
    <t>P02</t>
  </si>
  <si>
    <t>ANTHELMINTHIKA</t>
  </si>
  <si>
    <t>P03</t>
  </si>
  <si>
    <t>MITTEL GEGEN EKTOPARASITEN, INKL. ANTISCABIOSA, INSEKTIZIDE UND REPELLENZIEN</t>
  </si>
  <si>
    <t>R01</t>
  </si>
  <si>
    <t>RHINOLOGIKA</t>
  </si>
  <si>
    <t>R02</t>
  </si>
  <si>
    <t>HALS- UND RACHENTHERAPEUTIKA</t>
  </si>
  <si>
    <t>R03</t>
  </si>
  <si>
    <t>MITTEL BEI OBSTRUKTIVEN ATEMWEGSERKRANKUNGEN</t>
  </si>
  <si>
    <t>R04</t>
  </si>
  <si>
    <t>BRUSTEINREIBUNGEN UND ANDERE INHALATE</t>
  </si>
  <si>
    <t>R05</t>
  </si>
  <si>
    <t>HUSTEN- UND ERKÄLTUNGSMITTEL</t>
  </si>
  <si>
    <t>R06</t>
  </si>
  <si>
    <t>ANTIHISTAMINIKA ZUR SYSTEMISCHEN ANWENDUNG</t>
  </si>
  <si>
    <t>R07</t>
  </si>
  <si>
    <t>ANDERE MITTEL FÜR DEN RESPIRATIONSTRAKT</t>
  </si>
  <si>
    <t>S01</t>
  </si>
  <si>
    <t>OPHTHALMIKA**</t>
  </si>
  <si>
    <t>S02</t>
  </si>
  <si>
    <t>OTOLOGIKA</t>
  </si>
  <si>
    <t>S03</t>
  </si>
  <si>
    <t>OPHTHALMOLOGISCHE UND OTOLOGISCHE ZUBEREITUNGEN</t>
  </si>
  <si>
    <t>V01</t>
  </si>
  <si>
    <t>ALLERGENE</t>
  </si>
  <si>
    <t>V03</t>
  </si>
  <si>
    <t>ALLE ÜBRIGEN THERAPEUTISCHEN MITTEL</t>
  </si>
  <si>
    <t>V04</t>
  </si>
  <si>
    <t>DIAGNOSTIKA</t>
  </si>
  <si>
    <t>V06</t>
  </si>
  <si>
    <t>ALLGEMEINE DIÄTETIKA</t>
  </si>
  <si>
    <t>V07</t>
  </si>
  <si>
    <t>ALLE ÜBRIGEN NICHTTHERAPEUTISCHEN MITTEL</t>
  </si>
  <si>
    <t>V08</t>
  </si>
  <si>
    <t>KONTRASTMITTEL</t>
  </si>
  <si>
    <t>V09</t>
  </si>
  <si>
    <t>RADIODIAGNOSTIKA</t>
  </si>
  <si>
    <t>V10</t>
  </si>
  <si>
    <t>RADIOTHERAPEUTIKA</t>
  </si>
  <si>
    <t>V20</t>
  </si>
  <si>
    <t>WUNDVERBÄNDE</t>
  </si>
  <si>
    <t>V60</t>
  </si>
  <si>
    <t>HOMÖOPATHIKA UND ANTHROPOSOPHIKA</t>
  </si>
  <si>
    <t>V70</t>
  </si>
  <si>
    <t>REZEPTUREN</t>
  </si>
  <si>
    <t>V90</t>
  </si>
  <si>
    <t>SONDERGRUPPEN</t>
  </si>
  <si>
    <t>alle</t>
  </si>
  <si>
    <t>addiert</t>
  </si>
  <si>
    <t>Spalte2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</si>
</sst>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color theme="1"/>
      <name val="Calibri"/>
      <family val="2"/>
      <scheme val="minor"/>
    </font>
    <font>
      <sz val="8"/>
      <name val="Calibri"/>
      <family val="2"/>
      <scheme val="minor"/>
    </font>
    <font>
      <b/>
      <sz val="11"/>
      <color theme="1"/>
      <name val="Calibri"/>
      <family val="2"/>
      <scheme val="minor"/>
    </font>
    <font>
      <sz val="11"/>
      <color rgb="FF000000"/>
      <name val="Calibri"/>
      <family val="2"/>
      <scheme val="minor"/>
    </font>
    <font>
      <b/>
      <sz val="14"/>
      <name val="Calibri"/>
      <family val="2"/>
      <scheme val="minor"/>
    </font>
    <font>
      <sz val="11"/>
      <color rgb="FF000000"/>
      <name val="Calibri"/>
      <family val="2"/>
      <scheme val="minor"/>
    </font>
    <font>
      <sz val="12"/>
      <color rgb="FF000000"/>
      <name val="Calibri"/>
      <family val="2"/>
      <scheme val="minor"/>
    </font>
    <font>
      <sz val="20"/>
      <color rgb="FF000000"/>
      <name val="Calibri"/>
      <family val="2"/>
      <scheme val="minor"/>
    </font>
    <font>
      <sz val="28"/>
      <color theme="1"/>
      <name val="Calibri"/>
      <family val="2"/>
      <scheme val="minor"/>
    </font>
    <font>
      <sz val="11"/>
      <color rgb="FF333333"/>
      <name val="OpenSans"/>
      <charset val="1"/>
    </font>
    <font>
      <sz val="11"/>
      <color rgb="FF2B140E"/>
      <name val="Redcare Accessible"/>
      <charset val="1"/>
    </font>
    <font>
      <sz val="12"/>
      <color rgb="FF555555"/>
      <name val="Robotoregular"/>
      <family val="2"/>
      <charset val="1"/>
    </font>
    <font>
      <sz val="11"/>
      <color rgb="FF000000"/>
      <name val="Calibri"/>
      <family val="2"/>
    </font>
    <font>
      <sz val="12"/>
      <color rgb="FF22252A"/>
      <name val="-Apple-System"/>
      <charset val="1"/>
    </font>
    <font>
      <sz val="11"/>
      <color rgb="FF22252A"/>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FFFF00"/>
        <bgColor indexed="64"/>
      </patternFill>
    </fill>
    <fill>
      <patternFill patternType="solid">
        <fgColor rgb="FFFF0000"/>
        <bgColor indexed="64"/>
      </patternFill>
    </fill>
    <fill>
      <patternFill patternType="solid">
        <fgColor theme="7"/>
        <bgColor indexed="64"/>
      </patternFill>
    </fill>
    <fill>
      <patternFill patternType="solid">
        <fgColor theme="7"/>
        <bgColor theme="4" tint="0.79998168889431442"/>
      </patternFill>
    </fill>
    <fill>
      <patternFill patternType="solid">
        <fgColor theme="7"/>
        <bgColor theme="4" tint="0.59999389629810485"/>
      </patternFill>
    </fill>
    <fill>
      <patternFill patternType="solid">
        <fgColor theme="9"/>
        <bgColor indexed="64"/>
      </patternFill>
    </fill>
    <fill>
      <patternFill patternType="solid">
        <fgColor rgb="FFD9E1F2"/>
        <bgColor rgb="FFD9E1F2"/>
      </patternFill>
    </fill>
    <fill>
      <patternFill patternType="solid">
        <fgColor theme="0"/>
        <bgColor indexed="64"/>
      </patternFill>
    </fill>
  </fills>
  <borders count="7">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rgb="FF8EA9DB"/>
      </left>
      <right/>
      <top style="thin">
        <color rgb="FF8EA9DB"/>
      </top>
      <bottom style="thin">
        <color rgb="FF8EA9DB"/>
      </bottom>
      <diagonal/>
    </border>
  </borders>
  <cellStyleXfs count="1">
    <xf numFmtId="0" fontId="0" fillId="0" borderId="0"/>
  </cellStyleXfs>
  <cellXfs count="57">
    <xf numFmtId="0" fontId="0" fillId="0" borderId="0" xfId="0"/>
    <xf numFmtId="0" fontId="0" fillId="0" borderId="0" xfId="0" applyAlignment="1">
      <alignment horizontal="left"/>
    </xf>
    <xf numFmtId="0" fontId="2" fillId="0" borderId="1" xfId="0" applyFont="1" applyBorder="1" applyAlignment="1">
      <alignment horizontal="left" vertical="top"/>
    </xf>
    <xf numFmtId="49" fontId="0" fillId="0" borderId="0" xfId="0" applyNumberFormat="1" applyAlignment="1">
      <alignment horizontal="left"/>
    </xf>
    <xf numFmtId="0" fontId="3" fillId="0" borderId="0" xfId="0" applyFont="1" applyAlignment="1">
      <alignment horizontal="left"/>
    </xf>
    <xf numFmtId="164" fontId="0" fillId="0" borderId="0" xfId="0" applyNumberFormat="1" applyAlignment="1">
      <alignment horizontal="left"/>
    </xf>
    <xf numFmtId="164" fontId="2" fillId="0" borderId="1" xfId="0" applyNumberFormat="1" applyFont="1" applyBorder="1" applyAlignment="1">
      <alignment horizontal="left" vertical="top"/>
    </xf>
    <xf numFmtId="0" fontId="4" fillId="4" borderId="2" xfId="0" applyFont="1" applyFill="1" applyBorder="1" applyAlignment="1">
      <alignment vertical="top"/>
    </xf>
    <xf numFmtId="0" fontId="4" fillId="4" borderId="3" xfId="0" applyFont="1" applyFill="1" applyBorder="1" applyAlignment="1">
      <alignment vertical="top"/>
    </xf>
    <xf numFmtId="0" fontId="4" fillId="3" borderId="2" xfId="0" applyFont="1" applyFill="1" applyBorder="1" applyAlignment="1">
      <alignment vertical="top"/>
    </xf>
    <xf numFmtId="0" fontId="4" fillId="3" borderId="3" xfId="0" applyFont="1" applyFill="1" applyBorder="1" applyAlignment="1">
      <alignment vertical="top"/>
    </xf>
    <xf numFmtId="0" fontId="4" fillId="4" borderId="4" xfId="0" applyFont="1" applyFill="1" applyBorder="1" applyAlignment="1">
      <alignment vertical="top"/>
    </xf>
    <xf numFmtId="0" fontId="4" fillId="4" borderId="5" xfId="0" applyFont="1" applyFill="1" applyBorder="1" applyAlignment="1">
      <alignment vertical="top"/>
    </xf>
    <xf numFmtId="164" fontId="0" fillId="0" borderId="0" xfId="0" applyNumberFormat="1"/>
    <xf numFmtId="0" fontId="0" fillId="0" borderId="0" xfId="0" applyAlignment="1">
      <alignment horizontal="left" vertical="top"/>
    </xf>
    <xf numFmtId="0" fontId="6" fillId="0" borderId="0" xfId="0" applyFont="1" applyAlignment="1">
      <alignment horizontal="left"/>
    </xf>
    <xf numFmtId="0" fontId="5" fillId="0" borderId="0" xfId="0" applyFont="1" applyAlignment="1">
      <alignment horizontal="left"/>
    </xf>
    <xf numFmtId="0" fontId="4" fillId="5" borderId="2" xfId="0" applyFont="1" applyFill="1" applyBorder="1" applyAlignment="1">
      <alignment vertical="top"/>
    </xf>
    <xf numFmtId="0" fontId="4" fillId="5" borderId="3" xfId="0" applyFont="1" applyFill="1" applyBorder="1" applyAlignment="1">
      <alignment vertical="top"/>
    </xf>
    <xf numFmtId="0" fontId="4" fillId="6" borderId="2" xfId="0" applyFont="1" applyFill="1" applyBorder="1" applyAlignment="1">
      <alignment vertical="top"/>
    </xf>
    <xf numFmtId="0" fontId="4" fillId="6" borderId="3" xfId="0" applyFont="1" applyFill="1" applyBorder="1" applyAlignment="1">
      <alignment vertical="top"/>
    </xf>
    <xf numFmtId="0" fontId="0" fillId="6" borderId="0" xfId="0" applyFill="1"/>
    <xf numFmtId="0" fontId="0" fillId="2" borderId="0" xfId="0" applyFill="1"/>
    <xf numFmtId="0" fontId="3" fillId="0" borderId="1" xfId="0" applyFont="1" applyBorder="1" applyAlignment="1">
      <alignment horizontal="left" vertical="top"/>
    </xf>
    <xf numFmtId="49" fontId="3" fillId="0" borderId="0" xfId="0" applyNumberFormat="1" applyFont="1" applyAlignment="1">
      <alignment horizontal="left" vertical="top"/>
    </xf>
    <xf numFmtId="49" fontId="3" fillId="0" borderId="0" xfId="0" applyNumberFormat="1" applyFont="1" applyAlignment="1">
      <alignment horizontal="left"/>
    </xf>
    <xf numFmtId="49" fontId="3" fillId="2" borderId="0" xfId="0" applyNumberFormat="1" applyFont="1" applyFill="1" applyAlignment="1">
      <alignment horizontal="left" vertical="top"/>
    </xf>
    <xf numFmtId="49" fontId="3" fillId="0" borderId="0" xfId="0" quotePrefix="1" applyNumberFormat="1" applyFont="1" applyAlignment="1">
      <alignment horizontal="left" vertical="top"/>
    </xf>
    <xf numFmtId="0" fontId="4" fillId="7" borderId="2" xfId="0" applyFont="1" applyFill="1" applyBorder="1" applyAlignment="1">
      <alignment vertical="top"/>
    </xf>
    <xf numFmtId="0" fontId="4" fillId="7" borderId="3" xfId="0" applyFont="1" applyFill="1" applyBorder="1" applyAlignment="1">
      <alignment vertical="top"/>
    </xf>
    <xf numFmtId="0" fontId="0" fillId="7" borderId="0" xfId="0" applyFill="1"/>
    <xf numFmtId="0" fontId="4" fillId="8" borderId="2" xfId="0" applyFont="1" applyFill="1" applyBorder="1" applyAlignment="1">
      <alignment vertical="top"/>
    </xf>
    <xf numFmtId="0" fontId="4" fillId="8" borderId="3" xfId="0" applyFont="1" applyFill="1" applyBorder="1" applyAlignment="1">
      <alignment vertical="top"/>
    </xf>
    <xf numFmtId="0" fontId="4" fillId="9" borderId="2" xfId="0" applyFont="1" applyFill="1" applyBorder="1" applyAlignment="1">
      <alignment vertical="top"/>
    </xf>
    <xf numFmtId="0" fontId="4" fillId="9" borderId="3" xfId="0" applyFont="1" applyFill="1" applyBorder="1" applyAlignment="1">
      <alignment vertical="top"/>
    </xf>
    <xf numFmtId="14" fontId="2" fillId="0" borderId="1" xfId="0" applyNumberFormat="1" applyFont="1" applyBorder="1" applyAlignment="1">
      <alignment horizontal="left" vertical="top"/>
    </xf>
    <xf numFmtId="14" fontId="0" fillId="0" borderId="0" xfId="0" applyNumberFormat="1" applyAlignment="1">
      <alignment horizontal="left"/>
    </xf>
    <xf numFmtId="1" fontId="2" fillId="0" borderId="1" xfId="0" applyNumberFormat="1" applyFont="1" applyBorder="1" applyAlignment="1">
      <alignment horizontal="left" vertical="top"/>
    </xf>
    <xf numFmtId="1" fontId="0" fillId="0" borderId="0" xfId="0" applyNumberFormat="1" applyAlignment="1">
      <alignment horizontal="left"/>
    </xf>
    <xf numFmtId="49" fontId="0" fillId="10" borderId="0" xfId="0" quotePrefix="1" applyNumberFormat="1" applyFill="1" applyAlignment="1">
      <alignment horizontal="left"/>
    </xf>
    <xf numFmtId="49" fontId="9" fillId="0" borderId="0" xfId="0" applyNumberFormat="1" applyFont="1" applyAlignment="1">
      <alignment horizontal="left"/>
    </xf>
    <xf numFmtId="49" fontId="11" fillId="0" borderId="0" xfId="0" applyNumberFormat="1" applyFont="1" applyAlignment="1">
      <alignment horizontal="left"/>
    </xf>
    <xf numFmtId="49" fontId="12" fillId="0" borderId="0" xfId="0" applyNumberFormat="1" applyFont="1" applyAlignment="1">
      <alignment horizontal="left"/>
    </xf>
    <xf numFmtId="49" fontId="0" fillId="12" borderId="0" xfId="0" applyNumberFormat="1" applyFill="1" applyAlignment="1">
      <alignment horizontal="left"/>
    </xf>
    <xf numFmtId="49" fontId="13" fillId="0" borderId="0" xfId="0" applyNumberFormat="1" applyFont="1" applyAlignment="1">
      <alignment horizontal="left"/>
    </xf>
    <xf numFmtId="49" fontId="10" fillId="0" borderId="0" xfId="0" applyNumberFormat="1" applyFont="1" applyAlignment="1">
      <alignment horizontal="left"/>
    </xf>
    <xf numFmtId="49" fontId="3" fillId="11" borderId="0" xfId="0" applyNumberFormat="1" applyFont="1" applyFill="1" applyAlignment="1">
      <alignment horizontal="left"/>
    </xf>
    <xf numFmtId="49" fontId="3" fillId="0" borderId="6" xfId="0" applyNumberFormat="1" applyFont="1" applyBorder="1" applyAlignment="1">
      <alignment horizontal="left" vertical="top"/>
    </xf>
    <xf numFmtId="49" fontId="14" fillId="11" borderId="0" xfId="0" applyNumberFormat="1" applyFont="1" applyFill="1" applyAlignment="1">
      <alignment horizontal="left"/>
    </xf>
    <xf numFmtId="49" fontId="9" fillId="11" borderId="0" xfId="0" applyNumberFormat="1" applyFont="1" applyFill="1" applyAlignment="1">
      <alignment horizontal="left"/>
    </xf>
    <xf numFmtId="0" fontId="7" fillId="0" borderId="0" xfId="0" applyFont="1" applyAlignment="1">
      <alignment horizontal="left"/>
    </xf>
    <xf numFmtId="0" fontId="10" fillId="0" borderId="0" xfId="0" applyFont="1" applyAlignment="1">
      <alignment horizontal="left"/>
    </xf>
    <xf numFmtId="0" fontId="13" fillId="0" borderId="0" xfId="0" applyFont="1" applyAlignment="1">
      <alignment horizontal="left"/>
    </xf>
    <xf numFmtId="0" fontId="8" fillId="0" borderId="0" xfId="0" applyFont="1" applyAlignment="1">
      <alignment vertical="center" wrapText="1" indent="1"/>
    </xf>
    <xf numFmtId="0" fontId="8" fillId="0" borderId="0" xfId="0" applyFont="1" applyAlignment="1">
      <alignment vertical="center" indent="1"/>
    </xf>
    <xf numFmtId="0" fontId="8" fillId="0" borderId="0" xfId="0" applyFont="1" applyAlignment="1">
      <alignment horizontal="left" vertical="center" wrapText="1"/>
    </xf>
    <xf numFmtId="0" fontId="8" fillId="0" borderId="0" xfId="0" applyFont="1" applyAlignment="1">
      <alignment horizontal="left" vertical="center"/>
    </xf>
  </cellXfs>
  <cellStyles count="1">
    <cellStyle name="Normal" xfId="0" builtinId="0"/>
  </cellStyles>
  <dxfs count="131">
    <dxf>
      <font>
        <color rgb="FF9C5700"/>
      </font>
      <fill>
        <patternFill>
          <bgColor rgb="FFFFEB9C"/>
        </patternFill>
      </fill>
    </dxf>
    <dxf>
      <font>
        <color rgb="FF9C5700"/>
      </font>
      <fill>
        <patternFill>
          <bgColor rgb="FFFFEB9C"/>
        </patternFill>
      </fill>
    </dxf>
    <dxf>
      <numFmt numFmtId="164" formatCode="yyyy\-mm\-dd;@"/>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ont>
        <b/>
        <i val="0"/>
        <strike val="0"/>
        <condense val="0"/>
        <extend val="0"/>
        <outline val="0"/>
        <shadow val="0"/>
        <u val="none"/>
        <vertAlign val="baseline"/>
        <sz val="14"/>
        <color auto="1"/>
        <name val="Calibri"/>
        <family val="2"/>
        <scheme val="minor"/>
      </font>
      <fill>
        <patternFill patternType="solid">
          <fgColor indexed="64"/>
          <bgColor rgb="FFFF0000"/>
        </patternFill>
      </fill>
      <alignment horizontal="general" vertical="top" textRotation="0" wrapText="0" indent="0" justifyLastLine="0" shrinkToFit="0" readingOrder="0"/>
      <border diagonalUp="0" diagonalDown="0" outline="0">
        <left style="thin">
          <color theme="0"/>
        </left>
        <right/>
        <top style="thin">
          <color theme="0"/>
        </top>
        <bottom style="thin">
          <color theme="0"/>
        </bottom>
      </border>
    </dxf>
    <dxf>
      <font>
        <b/>
        <i val="0"/>
        <strike val="0"/>
        <condense val="0"/>
        <extend val="0"/>
        <outline val="0"/>
        <shadow val="0"/>
        <u val="none"/>
        <vertAlign val="baseline"/>
        <sz val="14"/>
        <color auto="1"/>
        <name val="Calibri"/>
        <family val="2"/>
        <scheme val="minor"/>
      </font>
      <fill>
        <patternFill patternType="solid">
          <fgColor theme="4" tint="0.59999389629810485"/>
          <bgColor theme="4" tint="0.59999389629810485"/>
        </patternFill>
      </fill>
      <alignment horizontal="general" vertical="top" textRotation="0" wrapText="0" indent="0" justifyLastLine="0" shrinkToFit="0" readingOrder="0"/>
      <border diagonalUp="0" diagonalDown="0">
        <left style="thin">
          <color theme="0"/>
        </left>
        <right/>
        <top style="thin">
          <color theme="0"/>
        </top>
        <bottom style="thin">
          <color theme="0"/>
        </bottom>
        <vertical/>
        <horizontal/>
      </border>
    </dxf>
    <dxf>
      <fill>
        <patternFill patternType="solid">
          <fgColor indexed="64"/>
          <bgColor rgb="FFFF0000"/>
        </patternFill>
      </fill>
    </dxf>
    <dxf>
      <numFmt numFmtId="164" formatCode="yyyy\-mm\-dd;@"/>
    </dxf>
    <dxf>
      <font>
        <b val="0"/>
        <strike val="0"/>
        <outline val="0"/>
        <shadow val="0"/>
        <u val="none"/>
        <vertAlign val="baseline"/>
        <sz val="11"/>
        <color theme="1"/>
        <name val="Calibri"/>
        <family val="2"/>
        <scheme val="minor"/>
      </font>
      <numFmt numFmtId="0" formatCode="General"/>
      <alignment horizontal="left" textRotation="0" wrapText="0" indent="0" justifyLastLine="0" shrinkToFit="0" readingOrder="0"/>
    </dxf>
    <dxf>
      <font>
        <b val="0"/>
        <strike val="0"/>
        <outline val="0"/>
        <shadow val="0"/>
        <u val="none"/>
        <vertAlign val="baseline"/>
        <sz val="11"/>
        <color theme="1"/>
        <name val="Calibri"/>
        <family val="2"/>
        <scheme val="minor"/>
      </font>
      <numFmt numFmtId="0" formatCode="General"/>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numFmt numFmtId="164" formatCode="yyyy\-mm\-dd;@"/>
      <alignment horizontal="left" textRotation="0" wrapText="0" indent="0" justifyLastLine="0" shrinkToFit="0" readingOrder="0"/>
    </dxf>
    <dxf>
      <numFmt numFmtId="164" formatCode="yyyy\-mm\-dd;@"/>
      <alignment horizontal="left" vertical="bottom" textRotation="0" wrapText="0" indent="0" justifyLastLine="0" shrinkToFit="0" readingOrder="0"/>
    </dxf>
    <dxf>
      <numFmt numFmtId="1" formatCode="0"/>
      <alignment horizontal="left" vertical="bottom" textRotation="0" wrapText="0" indent="0" justifyLastLine="0" shrinkToFit="0" readingOrder="0"/>
    </dxf>
    <dxf>
      <font>
        <b val="0"/>
        <strike val="0"/>
        <outline val="0"/>
        <shadow val="0"/>
        <u val="none"/>
        <vertAlign val="baseline"/>
        <sz val="11"/>
        <color theme="1"/>
        <name val="Calibri"/>
        <family val="2"/>
        <scheme val="minor"/>
      </font>
      <numFmt numFmtId="165" formatCode="dd/mm/yy"/>
      <alignment horizontal="left" textRotation="0" wrapText="0" indent="0" justifyLastLine="0" shrinkToFit="0" readingOrder="0"/>
    </dxf>
    <dxf>
      <font>
        <b val="0"/>
        <strike val="0"/>
        <outline val="0"/>
        <shadow val="0"/>
        <u val="none"/>
        <vertAlign val="baseline"/>
        <sz val="11"/>
        <color theme="1"/>
        <name val="Calibri"/>
        <family val="2"/>
        <scheme val="minor"/>
      </font>
      <numFmt numFmtId="165" formatCode="dd/mm/yy"/>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theme="1"/>
        <name val="Calibri"/>
        <family val="2"/>
        <scheme val="minor"/>
      </font>
      <alignment horizontal="left" textRotation="0" wrapText="0" indent="0" justifyLastLine="0" shrinkToFit="0" readingOrder="0"/>
    </dxf>
    <dxf>
      <font>
        <b val="0"/>
        <strike val="0"/>
        <outline val="0"/>
        <shadow val="0"/>
        <u val="none"/>
        <vertAlign val="baseline"/>
        <sz val="11"/>
        <color rgb="FF000000"/>
        <name val="Calibri"/>
        <scheme val="minor"/>
      </font>
      <numFmt numFmtId="30" formatCode="@"/>
      <alignment horizontal="left" vertical="top" textRotation="0" wrapText="0" indent="0" justifyLastLine="0" shrinkToFit="0" readingOrder="0"/>
    </dxf>
    <dxf>
      <font>
        <b val="0"/>
        <strike val="0"/>
        <outline val="0"/>
        <shadow val="0"/>
        <u val="none"/>
        <vertAlign val="baseline"/>
        <sz val="11"/>
        <color theme="1"/>
        <name val="Calibri"/>
        <family val="2"/>
        <scheme val="minor"/>
      </font>
      <numFmt numFmtId="0" formatCode="General"/>
      <alignment horizontal="left" textRotation="0" wrapText="0" indent="0" justifyLastLine="0" shrinkToFit="0" readingOrder="0"/>
    </dxf>
    <dxf>
      <border outline="0">
        <top style="thin">
          <color auto="1"/>
        </top>
      </border>
    </dxf>
    <dxf>
      <font>
        <b val="0"/>
        <strike val="0"/>
        <outline val="0"/>
        <shadow val="0"/>
        <u val="none"/>
        <vertAlign val="baseline"/>
        <sz val="11"/>
        <color theme="1"/>
        <name val="Calibri"/>
        <family val="2"/>
        <scheme val="minor"/>
      </font>
      <alignment horizontal="left"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206279550337093"/>
          <c:y val="3.0250913882739539E-2"/>
          <c:w val="0.87641869145850981"/>
          <c:h val="0.55606173936894632"/>
        </c:manualLayout>
      </c:layout>
      <c:lineChart>
        <c:grouping val="standard"/>
        <c:varyColors val="0"/>
        <c:ser>
          <c:idx val="0"/>
          <c:order val="0"/>
          <c:tx>
            <c:strRef>
              <c:f>Tabelle3!$B$2</c:f>
              <c:strCache>
                <c:ptCount val="1"/>
                <c:pt idx="0">
                  <c:v>STOMATOLOGIKA</c:v>
                </c:pt>
              </c:strCache>
            </c:strRef>
          </c:tx>
          <c:spPr>
            <a:ln w="28575" cap="rnd">
              <a:solidFill>
                <a:schemeClr val="accent1"/>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0-48F3-4A0C-A135-0BC8147C8662}"/>
            </c:ext>
          </c:extLst>
        </c:ser>
        <c:ser>
          <c:idx val="1"/>
          <c:order val="1"/>
          <c:tx>
            <c:strRef>
              <c:f>Tabelle3!$B$3</c:f>
              <c:strCache>
                <c:ptCount val="1"/>
                <c:pt idx="0">
                  <c:v>MITTEL BEI SÄURE BEDINGTEN ERKRANKUNGEN</c:v>
                </c:pt>
              </c:strCache>
            </c:strRef>
          </c:tx>
          <c:spPr>
            <a:ln w="28575" cap="rnd">
              <a:solidFill>
                <a:schemeClr val="accent2"/>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1-48F3-4A0C-A135-0BC8147C8662}"/>
            </c:ext>
          </c:extLst>
        </c:ser>
        <c:ser>
          <c:idx val="2"/>
          <c:order val="2"/>
          <c:tx>
            <c:strRef>
              <c:f>Tabelle3!$B$4</c:f>
              <c:strCache>
                <c:ptCount val="1"/>
                <c:pt idx="0">
                  <c:v>MITTEL BEI FUNKTIONELLEN GASTROINTESTINALEN STÖRUNGEN</c:v>
                </c:pt>
              </c:strCache>
            </c:strRef>
          </c:tx>
          <c:spPr>
            <a:ln w="28575" cap="rnd">
              <a:solidFill>
                <a:schemeClr val="accent3"/>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2-48F3-4A0C-A135-0BC8147C8662}"/>
            </c:ext>
          </c:extLst>
        </c:ser>
        <c:ser>
          <c:idx val="3"/>
          <c:order val="3"/>
          <c:tx>
            <c:strRef>
              <c:f>Tabelle3!$B$5</c:f>
              <c:strCache>
                <c:ptCount val="1"/>
                <c:pt idx="0">
                  <c:v>ANTIEMETIKA UND MITTEL GEGEN ÜBELKEIT</c:v>
                </c:pt>
              </c:strCache>
            </c:strRef>
          </c:tx>
          <c:spPr>
            <a:ln w="28575" cap="rnd">
              <a:solidFill>
                <a:schemeClr val="accent4"/>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3-48F3-4A0C-A135-0BC8147C8662}"/>
            </c:ext>
          </c:extLst>
        </c:ser>
        <c:ser>
          <c:idx val="4"/>
          <c:order val="4"/>
          <c:tx>
            <c:strRef>
              <c:f>Tabelle3!$B$6</c:f>
              <c:strCache>
                <c:ptCount val="1"/>
                <c:pt idx="0">
                  <c:v>GALLEN- UND LEBERTHERAPIE</c:v>
                </c:pt>
              </c:strCache>
            </c:strRef>
          </c:tx>
          <c:spPr>
            <a:ln w="28575" cap="rnd">
              <a:solidFill>
                <a:schemeClr val="accent5"/>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4-48F3-4A0C-A135-0BC8147C8662}"/>
            </c:ext>
          </c:extLst>
        </c:ser>
        <c:ser>
          <c:idx val="5"/>
          <c:order val="5"/>
          <c:tx>
            <c:strRef>
              <c:f>Tabelle3!$B$7</c:f>
              <c:strCache>
                <c:ptCount val="1"/>
                <c:pt idx="0">
                  <c:v>MITTEL GEGEN OBSTIPATION</c:v>
                </c:pt>
              </c:strCache>
            </c:strRef>
          </c:tx>
          <c:spPr>
            <a:ln w="28575" cap="rnd">
              <a:solidFill>
                <a:schemeClr val="accent6"/>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5-48F3-4A0C-A135-0BC8147C8662}"/>
            </c:ext>
          </c:extLst>
        </c:ser>
        <c:ser>
          <c:idx val="6"/>
          <c:order val="6"/>
          <c:tx>
            <c:strRef>
              <c:f>Tabelle3!$B$8</c:f>
              <c:strCache>
                <c:ptCount val="1"/>
                <c:pt idx="0">
                  <c:v>ANTIDIARRHOIKA UND INTESTINALE ANTIPHLOGISTIKA/ANTIINFEKTIVA</c:v>
                </c:pt>
              </c:strCache>
            </c:strRef>
          </c:tx>
          <c:spPr>
            <a:ln w="28575" cap="rnd">
              <a:solidFill>
                <a:schemeClr val="accent1">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6-48F3-4A0C-A135-0BC8147C8662}"/>
            </c:ext>
          </c:extLst>
        </c:ser>
        <c:ser>
          <c:idx val="7"/>
          <c:order val="7"/>
          <c:tx>
            <c:strRef>
              <c:f>Tabelle3!$B$9</c:f>
              <c:strCache>
                <c:ptCount val="1"/>
                <c:pt idx="0">
                  <c:v>ANTIADIPOSITA, EXKL. DIÄTETIKA</c:v>
                </c:pt>
              </c:strCache>
            </c:strRef>
          </c:tx>
          <c:spPr>
            <a:ln w="28575" cap="rnd">
              <a:solidFill>
                <a:schemeClr val="accent2">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7-48F3-4A0C-A135-0BC8147C8662}"/>
            </c:ext>
          </c:extLst>
        </c:ser>
        <c:ser>
          <c:idx val="8"/>
          <c:order val="8"/>
          <c:tx>
            <c:strRef>
              <c:f>Tabelle3!$B$10</c:f>
              <c:strCache>
                <c:ptCount val="1"/>
                <c:pt idx="0">
                  <c:v>DIGESTIVA, INKL. ENZYME</c:v>
                </c:pt>
              </c:strCache>
            </c:strRef>
          </c:tx>
          <c:spPr>
            <a:ln w="28575" cap="rnd">
              <a:solidFill>
                <a:schemeClr val="accent3">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8-48F3-4A0C-A135-0BC8147C8662}"/>
            </c:ext>
          </c:extLst>
        </c:ser>
        <c:ser>
          <c:idx val="9"/>
          <c:order val="9"/>
          <c:tx>
            <c:strRef>
              <c:f>Tabelle3!$B$11</c:f>
              <c:strCache>
                <c:ptCount val="1"/>
                <c:pt idx="0">
                  <c:v>ANTIDIABETIKA</c:v>
                </c:pt>
              </c:strCache>
            </c:strRef>
          </c:tx>
          <c:spPr>
            <a:ln w="28575" cap="rnd">
              <a:solidFill>
                <a:schemeClr val="accent4">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9-48F3-4A0C-A135-0BC8147C8662}"/>
            </c:ext>
          </c:extLst>
        </c:ser>
        <c:ser>
          <c:idx val="10"/>
          <c:order val="10"/>
          <c:tx>
            <c:strRef>
              <c:f>Tabelle3!$B$12</c:f>
              <c:strCache>
                <c:ptCount val="1"/>
                <c:pt idx="0">
                  <c:v>VITAMINE</c:v>
                </c:pt>
              </c:strCache>
            </c:strRef>
          </c:tx>
          <c:spPr>
            <a:ln w="28575" cap="rnd">
              <a:solidFill>
                <a:schemeClr val="accent5">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A-48F3-4A0C-A135-0BC8147C8662}"/>
            </c:ext>
          </c:extLst>
        </c:ser>
        <c:ser>
          <c:idx val="11"/>
          <c:order val="11"/>
          <c:tx>
            <c:strRef>
              <c:f>Tabelle3!$B$13</c:f>
              <c:strCache>
                <c:ptCount val="1"/>
                <c:pt idx="0">
                  <c:v>MINERALSTOFFE</c:v>
                </c:pt>
              </c:strCache>
            </c:strRef>
          </c:tx>
          <c:spPr>
            <a:ln w="28575" cap="rnd">
              <a:solidFill>
                <a:schemeClr val="accent6">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B-48F3-4A0C-A135-0BC8147C8662}"/>
            </c:ext>
          </c:extLst>
        </c:ser>
        <c:ser>
          <c:idx val="12"/>
          <c:order val="12"/>
          <c:tx>
            <c:strRef>
              <c:f>Tabelle3!$B$14</c:f>
              <c:strCache>
                <c:ptCount val="1"/>
                <c:pt idx="0">
                  <c:v>TONIKA</c:v>
                </c:pt>
              </c:strCache>
            </c:strRef>
          </c:tx>
          <c:spPr>
            <a:ln w="28575" cap="rnd">
              <a:solidFill>
                <a:schemeClr val="accent1">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C-48F3-4A0C-A135-0BC8147C8662}"/>
            </c:ext>
          </c:extLst>
        </c:ser>
        <c:ser>
          <c:idx val="13"/>
          <c:order val="13"/>
          <c:tx>
            <c:strRef>
              <c:f>Tabelle3!$B$15</c:f>
              <c:strCache>
                <c:ptCount val="1"/>
                <c:pt idx="0">
                  <c:v>ANABOLIKA ZUR SYSTEMISCHEN ANWENDUNG</c:v>
                </c:pt>
              </c:strCache>
            </c:strRef>
          </c:tx>
          <c:spPr>
            <a:ln w="28575" cap="rnd">
              <a:solidFill>
                <a:schemeClr val="accent2">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D-48F3-4A0C-A135-0BC8147C8662}"/>
            </c:ext>
          </c:extLst>
        </c:ser>
        <c:ser>
          <c:idx val="14"/>
          <c:order val="14"/>
          <c:tx>
            <c:strRef>
              <c:f>Tabelle3!$B$16</c:f>
              <c:strCache>
                <c:ptCount val="1"/>
                <c:pt idx="0">
                  <c:v>APPETIT STIMULIERENDE MITTEL</c:v>
                </c:pt>
              </c:strCache>
            </c:strRef>
          </c:tx>
          <c:spPr>
            <a:ln w="28575" cap="rnd">
              <a:solidFill>
                <a:schemeClr val="accent3">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E-48F3-4A0C-A135-0BC8147C8662}"/>
            </c:ext>
          </c:extLst>
        </c:ser>
        <c:ser>
          <c:idx val="15"/>
          <c:order val="15"/>
          <c:tx>
            <c:strRef>
              <c:f>Tabelle3!$B$17</c:f>
              <c:strCache>
                <c:ptCount val="1"/>
                <c:pt idx="0">
                  <c:v>ANDERE MITTEL FÜR DAS ALIMENTÄRE SYSTEM UND DEN STOFFWECHSEL</c:v>
                </c:pt>
              </c:strCache>
            </c:strRef>
          </c:tx>
          <c:spPr>
            <a:ln w="28575" cap="rnd">
              <a:solidFill>
                <a:schemeClr val="accent4">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0F-48F3-4A0C-A135-0BC8147C8662}"/>
            </c:ext>
          </c:extLst>
        </c:ser>
        <c:ser>
          <c:idx val="16"/>
          <c:order val="16"/>
          <c:tx>
            <c:strRef>
              <c:f>Tabelle3!$B$18</c:f>
              <c:strCache>
                <c:ptCount val="1"/>
                <c:pt idx="0">
                  <c:v>ANTITHROMBOTISCHE MITTEL</c:v>
                </c:pt>
              </c:strCache>
            </c:strRef>
          </c:tx>
          <c:spPr>
            <a:ln w="28575" cap="rnd">
              <a:solidFill>
                <a:schemeClr val="accent5">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0-48F3-4A0C-A135-0BC8147C8662}"/>
            </c:ext>
          </c:extLst>
        </c:ser>
        <c:ser>
          <c:idx val="17"/>
          <c:order val="17"/>
          <c:tx>
            <c:strRef>
              <c:f>Tabelle3!$B$19</c:f>
              <c:strCache>
                <c:ptCount val="1"/>
                <c:pt idx="0">
                  <c:v>ANTIHÄMORRHAGIKA</c:v>
                </c:pt>
              </c:strCache>
            </c:strRef>
          </c:tx>
          <c:spPr>
            <a:ln w="28575" cap="rnd">
              <a:solidFill>
                <a:schemeClr val="accent6">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1-48F3-4A0C-A135-0BC8147C8662}"/>
            </c:ext>
          </c:extLst>
        </c:ser>
        <c:ser>
          <c:idx val="18"/>
          <c:order val="18"/>
          <c:tx>
            <c:strRef>
              <c:f>Tabelle3!$B$20</c:f>
              <c:strCache>
                <c:ptCount val="1"/>
                <c:pt idx="0">
                  <c:v>ANTIANÄMIKA</c:v>
                </c:pt>
              </c:strCache>
            </c:strRef>
          </c:tx>
          <c:spPr>
            <a:ln w="28575" cap="rnd">
              <a:solidFill>
                <a:schemeClr val="accent1">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2-48F3-4A0C-A135-0BC8147C8662}"/>
            </c:ext>
          </c:extLst>
        </c:ser>
        <c:ser>
          <c:idx val="19"/>
          <c:order val="19"/>
          <c:tx>
            <c:strRef>
              <c:f>Tabelle3!$B$21</c:f>
              <c:strCache>
                <c:ptCount val="1"/>
                <c:pt idx="0">
                  <c:v>BLUTERSATZMITTEL UND PERFUSIONSLÖSUNGEN</c:v>
                </c:pt>
              </c:strCache>
            </c:strRef>
          </c:tx>
          <c:spPr>
            <a:ln w="28575" cap="rnd">
              <a:solidFill>
                <a:schemeClr val="accent2">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3-48F3-4A0C-A135-0BC8147C8662}"/>
            </c:ext>
          </c:extLst>
        </c:ser>
        <c:ser>
          <c:idx val="20"/>
          <c:order val="20"/>
          <c:tx>
            <c:strRef>
              <c:f>Tabelle3!$B$22</c:f>
              <c:strCache>
                <c:ptCount val="1"/>
                <c:pt idx="0">
                  <c:v>ANDERE HÄMATOLOGIKA</c:v>
                </c:pt>
              </c:strCache>
            </c:strRef>
          </c:tx>
          <c:spPr>
            <a:ln w="28575" cap="rnd">
              <a:solidFill>
                <a:schemeClr val="accent3">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4-48F3-4A0C-A135-0BC8147C8662}"/>
            </c:ext>
          </c:extLst>
        </c:ser>
        <c:ser>
          <c:idx val="21"/>
          <c:order val="21"/>
          <c:tx>
            <c:strRef>
              <c:f>Tabelle3!$B$23</c:f>
              <c:strCache>
                <c:ptCount val="1"/>
                <c:pt idx="0">
                  <c:v>HERZTHERAPIE</c:v>
                </c:pt>
              </c:strCache>
            </c:strRef>
          </c:tx>
          <c:spPr>
            <a:ln w="28575" cap="rnd">
              <a:solidFill>
                <a:schemeClr val="accent4">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5-48F3-4A0C-A135-0BC8147C8662}"/>
            </c:ext>
          </c:extLst>
        </c:ser>
        <c:ser>
          <c:idx val="22"/>
          <c:order val="22"/>
          <c:tx>
            <c:strRef>
              <c:f>Tabelle3!$B$24</c:f>
              <c:strCache>
                <c:ptCount val="1"/>
                <c:pt idx="0">
                  <c:v>ANTIHYPERTENSIVA</c:v>
                </c:pt>
              </c:strCache>
            </c:strRef>
          </c:tx>
          <c:spPr>
            <a:ln w="28575" cap="rnd">
              <a:solidFill>
                <a:schemeClr val="accent5">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6-48F3-4A0C-A135-0BC8147C8662}"/>
            </c:ext>
          </c:extLst>
        </c:ser>
        <c:ser>
          <c:idx val="23"/>
          <c:order val="23"/>
          <c:tx>
            <c:strRef>
              <c:f>Tabelle3!$B$25</c:f>
              <c:strCache>
                <c:ptCount val="1"/>
                <c:pt idx="0">
                  <c:v>DIURETIKA</c:v>
                </c:pt>
              </c:strCache>
            </c:strRef>
          </c:tx>
          <c:spPr>
            <a:ln w="28575" cap="rnd">
              <a:solidFill>
                <a:schemeClr val="accent6">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7-48F3-4A0C-A135-0BC8147C8662}"/>
            </c:ext>
          </c:extLst>
        </c:ser>
        <c:ser>
          <c:idx val="24"/>
          <c:order val="24"/>
          <c:tx>
            <c:strRef>
              <c:f>Tabelle3!$B$26</c:f>
              <c:strCache>
                <c:ptCount val="1"/>
                <c:pt idx="0">
                  <c:v>PERIPHERE VASODILATATOREN</c:v>
                </c:pt>
              </c:strCache>
            </c:strRef>
          </c:tx>
          <c:spPr>
            <a:ln w="28575" cap="rnd">
              <a:solidFill>
                <a:schemeClr val="accent1">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8-48F3-4A0C-A135-0BC8147C8662}"/>
            </c:ext>
          </c:extLst>
        </c:ser>
        <c:ser>
          <c:idx val="25"/>
          <c:order val="25"/>
          <c:tx>
            <c:strRef>
              <c:f>Tabelle3!$B$27</c:f>
              <c:strCache>
                <c:ptCount val="1"/>
                <c:pt idx="0">
                  <c:v>VASOPROTEKTOREN</c:v>
                </c:pt>
              </c:strCache>
            </c:strRef>
          </c:tx>
          <c:spPr>
            <a:ln w="28575" cap="rnd">
              <a:solidFill>
                <a:schemeClr val="accent2">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9-48F3-4A0C-A135-0BC8147C8662}"/>
            </c:ext>
          </c:extLst>
        </c:ser>
        <c:ser>
          <c:idx val="26"/>
          <c:order val="26"/>
          <c:tx>
            <c:strRef>
              <c:f>Tabelle3!$B$28</c:f>
              <c:strCache>
                <c:ptCount val="1"/>
                <c:pt idx="0">
                  <c:v>ANDERE HERZ- UND KREISLAUFMITTEL</c:v>
                </c:pt>
              </c:strCache>
            </c:strRef>
          </c:tx>
          <c:spPr>
            <a:ln w="28575" cap="rnd">
              <a:solidFill>
                <a:schemeClr val="accent3">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A-48F3-4A0C-A135-0BC8147C8662}"/>
            </c:ext>
          </c:extLst>
        </c:ser>
        <c:ser>
          <c:idx val="27"/>
          <c:order val="27"/>
          <c:tx>
            <c:strRef>
              <c:f>Tabelle3!$B$29</c:f>
              <c:strCache>
                <c:ptCount val="1"/>
                <c:pt idx="0">
                  <c:v>BETA-ADRENOZEPTORANTAGONISTEN</c:v>
                </c:pt>
              </c:strCache>
            </c:strRef>
          </c:tx>
          <c:spPr>
            <a:ln w="28575" cap="rnd">
              <a:solidFill>
                <a:schemeClr val="accent4">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B-48F3-4A0C-A135-0BC8147C8662}"/>
            </c:ext>
          </c:extLst>
        </c:ser>
        <c:ser>
          <c:idx val="28"/>
          <c:order val="28"/>
          <c:tx>
            <c:strRef>
              <c:f>Tabelle3!$B$30</c:f>
              <c:strCache>
                <c:ptCount val="1"/>
                <c:pt idx="0">
                  <c:v>CALCIUMKANALBLOCKER</c:v>
                </c:pt>
              </c:strCache>
            </c:strRef>
          </c:tx>
          <c:spPr>
            <a:ln w="28575" cap="rnd">
              <a:solidFill>
                <a:schemeClr val="accent5">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C-48F3-4A0C-A135-0BC8147C8662}"/>
            </c:ext>
          </c:extLst>
        </c:ser>
        <c:ser>
          <c:idx val="29"/>
          <c:order val="29"/>
          <c:tx>
            <c:strRef>
              <c:f>Tabelle3!$B$31</c:f>
              <c:strCache>
                <c:ptCount val="1"/>
                <c:pt idx="0">
                  <c:v>MITTEL MIT WIRKUNG AUF DAS RENIN-ANGIOTENSIN-SYSTEM</c:v>
                </c:pt>
              </c:strCache>
            </c:strRef>
          </c:tx>
          <c:spPr>
            <a:ln w="28575" cap="rnd">
              <a:solidFill>
                <a:schemeClr val="accent6">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D-48F3-4A0C-A135-0BC8147C8662}"/>
            </c:ext>
          </c:extLst>
        </c:ser>
        <c:ser>
          <c:idx val="30"/>
          <c:order val="30"/>
          <c:tx>
            <c:strRef>
              <c:f>Tabelle3!$B$32</c:f>
              <c:strCache>
                <c:ptCount val="1"/>
                <c:pt idx="0">
                  <c:v>MITTEL, DIE DEN LIPIDSTOFFWECHSEL BEEINFLUSSEN</c:v>
                </c:pt>
              </c:strCache>
            </c:strRef>
          </c:tx>
          <c:spPr>
            <a:ln w="28575" cap="rnd">
              <a:solidFill>
                <a:schemeClr val="accent1">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E-48F3-4A0C-A135-0BC8147C8662}"/>
            </c:ext>
          </c:extLst>
        </c:ser>
        <c:ser>
          <c:idx val="31"/>
          <c:order val="31"/>
          <c:tx>
            <c:strRef>
              <c:f>Tabelle3!$B$33</c:f>
              <c:strCache>
                <c:ptCount val="1"/>
                <c:pt idx="0">
                  <c:v>ANTIMYKOTIKA ZUR DERMATOLOGISCHEN ANWENDUNG</c:v>
                </c:pt>
              </c:strCache>
            </c:strRef>
          </c:tx>
          <c:spPr>
            <a:ln w="28575" cap="rnd">
              <a:solidFill>
                <a:schemeClr val="accent2">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1F-48F3-4A0C-A135-0BC8147C8662}"/>
            </c:ext>
          </c:extLst>
        </c:ser>
        <c:ser>
          <c:idx val="32"/>
          <c:order val="32"/>
          <c:tx>
            <c:strRef>
              <c:f>Tabelle3!$B$34</c:f>
              <c:strCache>
                <c:ptCount val="1"/>
                <c:pt idx="0">
                  <c:v>EMOLLIENTIA UND HAUTSCHUTZMITTEL</c:v>
                </c:pt>
              </c:strCache>
            </c:strRef>
          </c:tx>
          <c:spPr>
            <a:ln w="28575" cap="rnd">
              <a:solidFill>
                <a:schemeClr val="accent3">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0-48F3-4A0C-A135-0BC8147C8662}"/>
            </c:ext>
          </c:extLst>
        </c:ser>
        <c:ser>
          <c:idx val="33"/>
          <c:order val="33"/>
          <c:tx>
            <c:strRef>
              <c:f>Tabelle3!$B$35</c:f>
              <c:strCache>
                <c:ptCount val="1"/>
                <c:pt idx="0">
                  <c:v>ZUBEREITUNGEN ZUR BEHANDLUNG VON WUNDEN UND GESCHWÜREN</c:v>
                </c:pt>
              </c:strCache>
            </c:strRef>
          </c:tx>
          <c:spPr>
            <a:ln w="28575" cap="rnd">
              <a:solidFill>
                <a:schemeClr val="accent4">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1-48F3-4A0C-A135-0BC8147C8662}"/>
            </c:ext>
          </c:extLst>
        </c:ser>
        <c:ser>
          <c:idx val="34"/>
          <c:order val="34"/>
          <c:tx>
            <c:strRef>
              <c:f>Tabelle3!$B$36</c:f>
              <c:strCache>
                <c:ptCount val="1"/>
                <c:pt idx="0">
                  <c:v>ANTIPRURIGINOSA, INKL. ANTIHISTAMINIKA, ANÄSTHETIKA ETC.</c:v>
                </c:pt>
              </c:strCache>
            </c:strRef>
          </c:tx>
          <c:spPr>
            <a:ln w="28575" cap="rnd">
              <a:solidFill>
                <a:schemeClr val="accent5">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2-48F3-4A0C-A135-0BC8147C8662}"/>
            </c:ext>
          </c:extLst>
        </c:ser>
        <c:ser>
          <c:idx val="35"/>
          <c:order val="35"/>
          <c:tx>
            <c:strRef>
              <c:f>Tabelle3!$B$37</c:f>
              <c:strCache>
                <c:ptCount val="1"/>
                <c:pt idx="0">
                  <c:v>ANTIPSORIATIKA</c:v>
                </c:pt>
              </c:strCache>
            </c:strRef>
          </c:tx>
          <c:spPr>
            <a:ln w="28575" cap="rnd">
              <a:solidFill>
                <a:schemeClr val="accent6">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3-48F3-4A0C-A135-0BC8147C8662}"/>
            </c:ext>
          </c:extLst>
        </c:ser>
        <c:ser>
          <c:idx val="36"/>
          <c:order val="36"/>
          <c:tx>
            <c:strRef>
              <c:f>Tabelle3!$B$38</c:f>
              <c:strCache>
                <c:ptCount val="1"/>
                <c:pt idx="0">
                  <c:v>ANTIBIOTIKA UND CHEMOTHERAPEUTIKA ZUR DERMATOLOGISCHEN ANWENDUNG</c:v>
                </c:pt>
              </c:strCache>
            </c:strRef>
          </c:tx>
          <c:spPr>
            <a:ln w="28575" cap="rnd">
              <a:solidFill>
                <a:schemeClr val="accent1">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4-48F3-4A0C-A135-0BC8147C8662}"/>
            </c:ext>
          </c:extLst>
        </c:ser>
        <c:ser>
          <c:idx val="37"/>
          <c:order val="37"/>
          <c:tx>
            <c:strRef>
              <c:f>Tabelle3!$B$39</c:f>
              <c:strCache>
                <c:ptCount val="1"/>
                <c:pt idx="0">
                  <c:v>CORTICOSTEROIDE, DERMATOLOGISCHE ZUBEREITUNGEN</c:v>
                </c:pt>
              </c:strCache>
            </c:strRef>
          </c:tx>
          <c:spPr>
            <a:ln w="28575" cap="rnd">
              <a:solidFill>
                <a:schemeClr val="accent2">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5-48F3-4A0C-A135-0BC8147C8662}"/>
            </c:ext>
          </c:extLst>
        </c:ser>
        <c:ser>
          <c:idx val="38"/>
          <c:order val="38"/>
          <c:tx>
            <c:strRef>
              <c:f>Tabelle3!$B$40</c:f>
              <c:strCache>
                <c:ptCount val="1"/>
                <c:pt idx="0">
                  <c:v>ANTISEPTIKA UND DESINFEKTIONSMITTEL</c:v>
                </c:pt>
              </c:strCache>
            </c:strRef>
          </c:tx>
          <c:spPr>
            <a:ln w="28575" cap="rnd">
              <a:solidFill>
                <a:schemeClr val="accent3">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6-48F3-4A0C-A135-0BC8147C8662}"/>
            </c:ext>
          </c:extLst>
        </c:ser>
        <c:ser>
          <c:idx val="39"/>
          <c:order val="39"/>
          <c:tx>
            <c:strRef>
              <c:f>Tabelle3!$B$41</c:f>
              <c:strCache>
                <c:ptCount val="1"/>
                <c:pt idx="0">
                  <c:v>MEDIZINISCHE VERBÄNDE</c:v>
                </c:pt>
              </c:strCache>
            </c:strRef>
          </c:tx>
          <c:spPr>
            <a:ln w="28575" cap="rnd">
              <a:solidFill>
                <a:schemeClr val="accent4">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7-48F3-4A0C-A135-0BC8147C8662}"/>
            </c:ext>
          </c:extLst>
        </c:ser>
        <c:ser>
          <c:idx val="40"/>
          <c:order val="40"/>
          <c:tx>
            <c:strRef>
              <c:f>Tabelle3!$B$42</c:f>
              <c:strCache>
                <c:ptCount val="1"/>
                <c:pt idx="0">
                  <c:v>AKNEMITTEL</c:v>
                </c:pt>
              </c:strCache>
            </c:strRef>
          </c:tx>
          <c:spPr>
            <a:ln w="28575" cap="rnd">
              <a:solidFill>
                <a:schemeClr val="accent5">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8-48F3-4A0C-A135-0BC8147C8662}"/>
            </c:ext>
          </c:extLst>
        </c:ser>
        <c:ser>
          <c:idx val="41"/>
          <c:order val="41"/>
          <c:tx>
            <c:strRef>
              <c:f>Tabelle3!$B$43</c:f>
              <c:strCache>
                <c:ptCount val="1"/>
                <c:pt idx="0">
                  <c:v>ANDERE DERMATIKA</c:v>
                </c:pt>
              </c:strCache>
            </c:strRef>
          </c:tx>
          <c:spPr>
            <a:ln w="28575" cap="rnd">
              <a:solidFill>
                <a:schemeClr val="accent6">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9-48F3-4A0C-A135-0BC8147C8662}"/>
            </c:ext>
          </c:extLst>
        </c:ser>
        <c:ser>
          <c:idx val="42"/>
          <c:order val="42"/>
          <c:tx>
            <c:strRef>
              <c:f>Tabelle3!$B$44</c:f>
              <c:strCache>
                <c:ptCount val="1"/>
                <c:pt idx="0">
                  <c:v>GYNÄKOLOGISCHE ANTIINFEKTIVA UND ANTISEPTIKA</c:v>
                </c:pt>
              </c:strCache>
            </c:strRef>
          </c:tx>
          <c:spPr>
            <a:ln w="28575" cap="rnd">
              <a:solidFill>
                <a:schemeClr val="accent1">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A-48F3-4A0C-A135-0BC8147C8662}"/>
            </c:ext>
          </c:extLst>
        </c:ser>
        <c:ser>
          <c:idx val="43"/>
          <c:order val="43"/>
          <c:tx>
            <c:strRef>
              <c:f>Tabelle3!$B$45</c:f>
              <c:strCache>
                <c:ptCount val="1"/>
                <c:pt idx="0">
                  <c:v>ANDERE GYNÄKOLOGIKA</c:v>
                </c:pt>
              </c:strCache>
            </c:strRef>
          </c:tx>
          <c:spPr>
            <a:ln w="28575" cap="rnd">
              <a:solidFill>
                <a:schemeClr val="accent2">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B-48F3-4A0C-A135-0BC8147C8662}"/>
            </c:ext>
          </c:extLst>
        </c:ser>
        <c:ser>
          <c:idx val="44"/>
          <c:order val="44"/>
          <c:tx>
            <c:strRef>
              <c:f>Tabelle3!$B$46</c:f>
              <c:strCache>
                <c:ptCount val="1"/>
                <c:pt idx="0">
                  <c:v>SEXUALHORMONE UND MODULATOREN DES GENITALSYSTEMS</c:v>
                </c:pt>
              </c:strCache>
            </c:strRef>
          </c:tx>
          <c:spPr>
            <a:ln w="28575" cap="rnd">
              <a:solidFill>
                <a:schemeClr val="accent3">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C-48F3-4A0C-A135-0BC8147C8662}"/>
            </c:ext>
          </c:extLst>
        </c:ser>
        <c:ser>
          <c:idx val="45"/>
          <c:order val="45"/>
          <c:tx>
            <c:strRef>
              <c:f>Tabelle3!$B$47</c:f>
              <c:strCache>
                <c:ptCount val="1"/>
                <c:pt idx="0">
                  <c:v>UROLOGIKA</c:v>
                </c:pt>
              </c:strCache>
            </c:strRef>
          </c:tx>
          <c:spPr>
            <a:ln w="28575" cap="rnd">
              <a:solidFill>
                <a:schemeClr val="accent4">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D-48F3-4A0C-A135-0BC8147C8662}"/>
            </c:ext>
          </c:extLst>
        </c:ser>
        <c:ser>
          <c:idx val="46"/>
          <c:order val="46"/>
          <c:tx>
            <c:strRef>
              <c:f>Tabelle3!$B$48</c:f>
              <c:strCache>
                <c:ptCount val="1"/>
                <c:pt idx="0">
                  <c:v>HYPOPHYSEN- UND HYPOTHALAMUSHORMONE UND ANALOGA</c:v>
                </c:pt>
              </c:strCache>
            </c:strRef>
          </c:tx>
          <c:spPr>
            <a:ln w="28575" cap="rnd">
              <a:solidFill>
                <a:schemeClr val="accent5">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E-48F3-4A0C-A135-0BC8147C8662}"/>
            </c:ext>
          </c:extLst>
        </c:ser>
        <c:ser>
          <c:idx val="47"/>
          <c:order val="47"/>
          <c:tx>
            <c:strRef>
              <c:f>Tabelle3!$B$49</c:f>
              <c:strCache>
                <c:ptCount val="1"/>
                <c:pt idx="0">
                  <c:v>CORTICOSTEROIDE ZUR SYSTEMISCHEN ANWENDUNG</c:v>
                </c:pt>
              </c:strCache>
            </c:strRef>
          </c:tx>
          <c:spPr>
            <a:ln w="28575" cap="rnd">
              <a:solidFill>
                <a:schemeClr val="accent6">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2F-48F3-4A0C-A135-0BC8147C8662}"/>
            </c:ext>
          </c:extLst>
        </c:ser>
        <c:ser>
          <c:idx val="48"/>
          <c:order val="48"/>
          <c:tx>
            <c:strRef>
              <c:f>Tabelle3!$B$50</c:f>
              <c:strCache>
                <c:ptCount val="1"/>
                <c:pt idx="0">
                  <c:v>SCHILDDRÜSENTHERAPIE</c:v>
                </c:pt>
              </c:strCache>
            </c:strRef>
          </c:tx>
          <c:spPr>
            <a:ln w="28575" cap="rnd">
              <a:solidFill>
                <a:schemeClr val="accent1">
                  <a:lumMod val="50000"/>
                  <a:lumOff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0-48F3-4A0C-A135-0BC8147C8662}"/>
            </c:ext>
          </c:extLst>
        </c:ser>
        <c:ser>
          <c:idx val="49"/>
          <c:order val="49"/>
          <c:tx>
            <c:strRef>
              <c:f>Tabelle3!$B$51</c:f>
              <c:strCache>
                <c:ptCount val="1"/>
                <c:pt idx="0">
                  <c:v>PANKREASHORMONE</c:v>
                </c:pt>
              </c:strCache>
            </c:strRef>
          </c:tx>
          <c:spPr>
            <a:ln w="28575" cap="rnd">
              <a:solidFill>
                <a:schemeClr val="accent2">
                  <a:lumMod val="50000"/>
                  <a:lumOff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1-48F3-4A0C-A135-0BC8147C8662}"/>
            </c:ext>
          </c:extLst>
        </c:ser>
        <c:ser>
          <c:idx val="50"/>
          <c:order val="50"/>
          <c:tx>
            <c:strRef>
              <c:f>Tabelle3!$B$52</c:f>
              <c:strCache>
                <c:ptCount val="1"/>
                <c:pt idx="0">
                  <c:v>CALCIUMHOMÖOSTASE</c:v>
                </c:pt>
              </c:strCache>
            </c:strRef>
          </c:tx>
          <c:spPr>
            <a:ln w="28575" cap="rnd">
              <a:solidFill>
                <a:schemeClr val="accent3">
                  <a:lumMod val="50000"/>
                  <a:lumOff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2-48F3-4A0C-A135-0BC8147C8662}"/>
            </c:ext>
          </c:extLst>
        </c:ser>
        <c:ser>
          <c:idx val="51"/>
          <c:order val="51"/>
          <c:tx>
            <c:strRef>
              <c:f>Tabelle3!$B$53</c:f>
              <c:strCache>
                <c:ptCount val="1"/>
                <c:pt idx="0">
                  <c:v>ANTIBIOTIKA ZUR SYSTEMISCHEN ANWENDUNG</c:v>
                </c:pt>
              </c:strCache>
            </c:strRef>
          </c:tx>
          <c:spPr>
            <a:ln w="28575" cap="rnd">
              <a:solidFill>
                <a:schemeClr val="accent4">
                  <a:lumMod val="50000"/>
                  <a:lumOff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3-48F3-4A0C-A135-0BC8147C8662}"/>
            </c:ext>
          </c:extLst>
        </c:ser>
        <c:ser>
          <c:idx val="52"/>
          <c:order val="52"/>
          <c:tx>
            <c:strRef>
              <c:f>Tabelle3!$B$54</c:f>
              <c:strCache>
                <c:ptCount val="1"/>
                <c:pt idx="0">
                  <c:v>ANTIMYKOTIKA ZUR SYSTEMISCHEN ANWENDUNG</c:v>
                </c:pt>
              </c:strCache>
            </c:strRef>
          </c:tx>
          <c:spPr>
            <a:ln w="28575" cap="rnd">
              <a:solidFill>
                <a:schemeClr val="accent5">
                  <a:lumMod val="50000"/>
                  <a:lumOff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4-48F3-4A0C-A135-0BC8147C8662}"/>
            </c:ext>
          </c:extLst>
        </c:ser>
        <c:ser>
          <c:idx val="53"/>
          <c:order val="53"/>
          <c:tx>
            <c:strRef>
              <c:f>Tabelle3!$B$55</c:f>
              <c:strCache>
                <c:ptCount val="1"/>
                <c:pt idx="0">
                  <c:v>MITTEL GEGEN MYKOBAKTERIEN</c:v>
                </c:pt>
              </c:strCache>
            </c:strRef>
          </c:tx>
          <c:spPr>
            <a:ln w="28575" cap="rnd">
              <a:solidFill>
                <a:schemeClr val="accent6">
                  <a:lumMod val="50000"/>
                  <a:lumOff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5-48F3-4A0C-A135-0BC8147C8662}"/>
            </c:ext>
          </c:extLst>
        </c:ser>
        <c:ser>
          <c:idx val="54"/>
          <c:order val="54"/>
          <c:tx>
            <c:strRef>
              <c:f>Tabelle3!$B$56</c:f>
              <c:strCache>
                <c:ptCount val="1"/>
                <c:pt idx="0">
                  <c:v>ANTIVIRALE MITTEL ZUR SYSTEMISCHEN ANWENDUNG</c:v>
                </c:pt>
              </c:strCache>
            </c:strRef>
          </c:tx>
          <c:spPr>
            <a:ln w="28575" cap="rnd">
              <a:solidFill>
                <a:schemeClr val="accent1"/>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6-48F3-4A0C-A135-0BC8147C8662}"/>
            </c:ext>
          </c:extLst>
        </c:ser>
        <c:ser>
          <c:idx val="55"/>
          <c:order val="55"/>
          <c:tx>
            <c:strRef>
              <c:f>Tabelle3!$B$57</c:f>
              <c:strCache>
                <c:ptCount val="1"/>
                <c:pt idx="0">
                  <c:v>IMMUNSERA UND IMMUNGLOBULINE</c:v>
                </c:pt>
              </c:strCache>
            </c:strRef>
          </c:tx>
          <c:spPr>
            <a:ln w="28575" cap="rnd">
              <a:solidFill>
                <a:schemeClr val="accent2"/>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7-48F3-4A0C-A135-0BC8147C8662}"/>
            </c:ext>
          </c:extLst>
        </c:ser>
        <c:ser>
          <c:idx val="56"/>
          <c:order val="56"/>
          <c:tx>
            <c:strRef>
              <c:f>Tabelle3!$B$58</c:f>
              <c:strCache>
                <c:ptCount val="1"/>
                <c:pt idx="0">
                  <c:v>IMPFSTOFFE</c:v>
                </c:pt>
              </c:strCache>
            </c:strRef>
          </c:tx>
          <c:spPr>
            <a:ln w="28575" cap="rnd">
              <a:solidFill>
                <a:schemeClr val="accent3"/>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8-48F3-4A0C-A135-0BC8147C8662}"/>
            </c:ext>
          </c:extLst>
        </c:ser>
        <c:ser>
          <c:idx val="57"/>
          <c:order val="57"/>
          <c:tx>
            <c:strRef>
              <c:f>Tabelle3!$B$59</c:f>
              <c:strCache>
                <c:ptCount val="1"/>
                <c:pt idx="0">
                  <c:v>ANTINEOPLASTISCHE MITTEL</c:v>
                </c:pt>
              </c:strCache>
            </c:strRef>
          </c:tx>
          <c:spPr>
            <a:ln w="28575" cap="rnd">
              <a:solidFill>
                <a:schemeClr val="accent4"/>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9-48F3-4A0C-A135-0BC8147C8662}"/>
            </c:ext>
          </c:extLst>
        </c:ser>
        <c:ser>
          <c:idx val="58"/>
          <c:order val="58"/>
          <c:tx>
            <c:strRef>
              <c:f>Tabelle3!$B$60</c:f>
              <c:strCache>
                <c:ptCount val="1"/>
                <c:pt idx="0">
                  <c:v>ENDOKRINE THERAPIE</c:v>
                </c:pt>
              </c:strCache>
            </c:strRef>
          </c:tx>
          <c:spPr>
            <a:ln w="28575" cap="rnd">
              <a:solidFill>
                <a:schemeClr val="accent5"/>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A-48F3-4A0C-A135-0BC8147C8662}"/>
            </c:ext>
          </c:extLst>
        </c:ser>
        <c:ser>
          <c:idx val="59"/>
          <c:order val="59"/>
          <c:tx>
            <c:strRef>
              <c:f>Tabelle3!$B$61</c:f>
              <c:strCache>
                <c:ptCount val="1"/>
                <c:pt idx="0">
                  <c:v>IMMUNSTIMULANZIEN</c:v>
                </c:pt>
              </c:strCache>
            </c:strRef>
          </c:tx>
          <c:spPr>
            <a:ln w="28575" cap="rnd">
              <a:solidFill>
                <a:schemeClr val="accent6"/>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B-48F3-4A0C-A135-0BC8147C8662}"/>
            </c:ext>
          </c:extLst>
        </c:ser>
        <c:ser>
          <c:idx val="60"/>
          <c:order val="60"/>
          <c:tx>
            <c:strRef>
              <c:f>Tabelle3!$B$62</c:f>
              <c:strCache>
                <c:ptCount val="1"/>
                <c:pt idx="0">
                  <c:v>IMMUNSUPPRESSIVA</c:v>
                </c:pt>
              </c:strCache>
            </c:strRef>
          </c:tx>
          <c:spPr>
            <a:ln w="28575" cap="rnd">
              <a:solidFill>
                <a:schemeClr val="accent1">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C-48F3-4A0C-A135-0BC8147C8662}"/>
            </c:ext>
          </c:extLst>
        </c:ser>
        <c:ser>
          <c:idx val="61"/>
          <c:order val="61"/>
          <c:tx>
            <c:strRef>
              <c:f>Tabelle3!$B$63</c:f>
              <c:strCache>
                <c:ptCount val="1"/>
                <c:pt idx="0">
                  <c:v>ANTIPHLOGISTIKA UND ANTIRHEUMATIKA</c:v>
                </c:pt>
              </c:strCache>
            </c:strRef>
          </c:tx>
          <c:spPr>
            <a:ln w="28575" cap="rnd">
              <a:solidFill>
                <a:schemeClr val="accent2">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D-48F3-4A0C-A135-0BC8147C8662}"/>
            </c:ext>
          </c:extLst>
        </c:ser>
        <c:ser>
          <c:idx val="62"/>
          <c:order val="62"/>
          <c:tx>
            <c:strRef>
              <c:f>Tabelle3!$B$64</c:f>
              <c:strCache>
                <c:ptCount val="1"/>
                <c:pt idx="0">
                  <c:v>TOPISCHE MITTEL GEGEN GELENK- UND MUSKELSCHMERZEN</c:v>
                </c:pt>
              </c:strCache>
            </c:strRef>
          </c:tx>
          <c:spPr>
            <a:ln w="28575" cap="rnd">
              <a:solidFill>
                <a:schemeClr val="accent3">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E-48F3-4A0C-A135-0BC8147C8662}"/>
            </c:ext>
          </c:extLst>
        </c:ser>
        <c:ser>
          <c:idx val="63"/>
          <c:order val="63"/>
          <c:tx>
            <c:strRef>
              <c:f>Tabelle3!$B$65</c:f>
              <c:strCache>
                <c:ptCount val="1"/>
                <c:pt idx="0">
                  <c:v>MUSKELRELAXANZIEN</c:v>
                </c:pt>
              </c:strCache>
            </c:strRef>
          </c:tx>
          <c:spPr>
            <a:ln w="28575" cap="rnd">
              <a:solidFill>
                <a:schemeClr val="accent4">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3F-48F3-4A0C-A135-0BC8147C8662}"/>
            </c:ext>
          </c:extLst>
        </c:ser>
        <c:ser>
          <c:idx val="64"/>
          <c:order val="64"/>
          <c:tx>
            <c:strRef>
              <c:f>Tabelle3!$B$66</c:f>
              <c:strCache>
                <c:ptCount val="1"/>
                <c:pt idx="0">
                  <c:v>GICHTMITTEL</c:v>
                </c:pt>
              </c:strCache>
            </c:strRef>
          </c:tx>
          <c:spPr>
            <a:ln w="28575" cap="rnd">
              <a:solidFill>
                <a:schemeClr val="accent5">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0-48F3-4A0C-A135-0BC8147C8662}"/>
            </c:ext>
          </c:extLst>
        </c:ser>
        <c:ser>
          <c:idx val="65"/>
          <c:order val="65"/>
          <c:tx>
            <c:strRef>
              <c:f>Tabelle3!$B$67</c:f>
              <c:strCache>
                <c:ptCount val="1"/>
                <c:pt idx="0">
                  <c:v>MITTEL ZUR BEHANDLUNG VON KNOCHENERKRANKUNGEN</c:v>
                </c:pt>
              </c:strCache>
            </c:strRef>
          </c:tx>
          <c:spPr>
            <a:ln w="28575" cap="rnd">
              <a:solidFill>
                <a:schemeClr val="accent6">
                  <a:lumMod val="6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1-48F3-4A0C-A135-0BC8147C8662}"/>
            </c:ext>
          </c:extLst>
        </c:ser>
        <c:ser>
          <c:idx val="66"/>
          <c:order val="66"/>
          <c:tx>
            <c:strRef>
              <c:f>Tabelle3!$B$68</c:f>
              <c:strCache>
                <c:ptCount val="1"/>
                <c:pt idx="0">
                  <c:v>ANDERE MITTEL GEGEN STÖRUNGEN DES MUSKEL- UND SKELETTSYSTEMS</c:v>
                </c:pt>
              </c:strCache>
            </c:strRef>
          </c:tx>
          <c:spPr>
            <a:ln w="28575" cap="rnd">
              <a:solidFill>
                <a:schemeClr val="accent1">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2-48F3-4A0C-A135-0BC8147C8662}"/>
            </c:ext>
          </c:extLst>
        </c:ser>
        <c:ser>
          <c:idx val="67"/>
          <c:order val="67"/>
          <c:tx>
            <c:strRef>
              <c:f>Tabelle3!$B$69</c:f>
              <c:strCache>
                <c:ptCount val="1"/>
                <c:pt idx="0">
                  <c:v>ANÄSTHETIKA</c:v>
                </c:pt>
              </c:strCache>
            </c:strRef>
          </c:tx>
          <c:spPr>
            <a:ln w="28575" cap="rnd">
              <a:solidFill>
                <a:schemeClr val="accent2">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3-48F3-4A0C-A135-0BC8147C8662}"/>
            </c:ext>
          </c:extLst>
        </c:ser>
        <c:ser>
          <c:idx val="68"/>
          <c:order val="68"/>
          <c:tx>
            <c:strRef>
              <c:f>Tabelle3!$B$70</c:f>
              <c:strCache>
                <c:ptCount val="1"/>
                <c:pt idx="0">
                  <c:v>ANALGETIKA</c:v>
                </c:pt>
              </c:strCache>
            </c:strRef>
          </c:tx>
          <c:spPr>
            <a:ln w="28575" cap="rnd">
              <a:solidFill>
                <a:schemeClr val="accent3">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4-48F3-4A0C-A135-0BC8147C8662}"/>
            </c:ext>
          </c:extLst>
        </c:ser>
        <c:ser>
          <c:idx val="69"/>
          <c:order val="69"/>
          <c:tx>
            <c:strRef>
              <c:f>Tabelle3!$B$71</c:f>
              <c:strCache>
                <c:ptCount val="1"/>
                <c:pt idx="0">
                  <c:v>ANTIEPILEPTIKA</c:v>
                </c:pt>
              </c:strCache>
            </c:strRef>
          </c:tx>
          <c:spPr>
            <a:ln w="28575" cap="rnd">
              <a:solidFill>
                <a:schemeClr val="accent4">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5-48F3-4A0C-A135-0BC8147C8662}"/>
            </c:ext>
          </c:extLst>
        </c:ser>
        <c:ser>
          <c:idx val="70"/>
          <c:order val="70"/>
          <c:tx>
            <c:strRef>
              <c:f>Tabelle3!$B$72</c:f>
              <c:strCache>
                <c:ptCount val="1"/>
                <c:pt idx="0">
                  <c:v>ANTIPARKINSONMITTEL</c:v>
                </c:pt>
              </c:strCache>
            </c:strRef>
          </c:tx>
          <c:spPr>
            <a:ln w="28575" cap="rnd">
              <a:solidFill>
                <a:schemeClr val="accent5">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6-48F3-4A0C-A135-0BC8147C8662}"/>
            </c:ext>
          </c:extLst>
        </c:ser>
        <c:ser>
          <c:idx val="71"/>
          <c:order val="71"/>
          <c:tx>
            <c:strRef>
              <c:f>Tabelle3!$B$73</c:f>
              <c:strCache>
                <c:ptCount val="1"/>
                <c:pt idx="0">
                  <c:v>PSYCHOLEPTIKA</c:v>
                </c:pt>
              </c:strCache>
            </c:strRef>
          </c:tx>
          <c:spPr>
            <a:ln w="28575" cap="rnd">
              <a:solidFill>
                <a:schemeClr val="accent6">
                  <a:lumMod val="80000"/>
                  <a:lumOff val="2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7-48F3-4A0C-A135-0BC8147C8662}"/>
            </c:ext>
          </c:extLst>
        </c:ser>
        <c:ser>
          <c:idx val="72"/>
          <c:order val="72"/>
          <c:tx>
            <c:strRef>
              <c:f>Tabelle3!$B$74</c:f>
              <c:strCache>
                <c:ptCount val="1"/>
                <c:pt idx="0">
                  <c:v>PSYCHOANALEPTIKA</c:v>
                </c:pt>
              </c:strCache>
            </c:strRef>
          </c:tx>
          <c:spPr>
            <a:ln w="28575" cap="rnd">
              <a:solidFill>
                <a:schemeClr val="accent1">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8-48F3-4A0C-A135-0BC8147C8662}"/>
            </c:ext>
          </c:extLst>
        </c:ser>
        <c:ser>
          <c:idx val="73"/>
          <c:order val="73"/>
          <c:tx>
            <c:strRef>
              <c:f>Tabelle3!$B$75</c:f>
              <c:strCache>
                <c:ptCount val="1"/>
                <c:pt idx="0">
                  <c:v>ANDERE MITTEL FÜR DAS NERVENSYSTEM</c:v>
                </c:pt>
              </c:strCache>
            </c:strRef>
          </c:tx>
          <c:spPr>
            <a:ln w="28575" cap="rnd">
              <a:solidFill>
                <a:schemeClr val="accent2">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9-48F3-4A0C-A135-0BC8147C8662}"/>
            </c:ext>
          </c:extLst>
        </c:ser>
        <c:ser>
          <c:idx val="74"/>
          <c:order val="74"/>
          <c:tx>
            <c:strRef>
              <c:f>Tabelle3!$B$76</c:f>
              <c:strCache>
                <c:ptCount val="1"/>
                <c:pt idx="0">
                  <c:v>MITTEL GEGEN PROTOZOEN-ERKRANKUNGEN</c:v>
                </c:pt>
              </c:strCache>
            </c:strRef>
          </c:tx>
          <c:spPr>
            <a:ln w="28575" cap="rnd">
              <a:solidFill>
                <a:schemeClr val="accent3">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A-48F3-4A0C-A135-0BC8147C8662}"/>
            </c:ext>
          </c:extLst>
        </c:ser>
        <c:ser>
          <c:idx val="75"/>
          <c:order val="75"/>
          <c:tx>
            <c:strRef>
              <c:f>Tabelle3!$B$77</c:f>
              <c:strCache>
                <c:ptCount val="1"/>
                <c:pt idx="0">
                  <c:v>ANTHELMINTHIKA</c:v>
                </c:pt>
              </c:strCache>
            </c:strRef>
          </c:tx>
          <c:spPr>
            <a:ln w="28575" cap="rnd">
              <a:solidFill>
                <a:schemeClr val="accent4">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B-48F3-4A0C-A135-0BC8147C8662}"/>
            </c:ext>
          </c:extLst>
        </c:ser>
        <c:ser>
          <c:idx val="76"/>
          <c:order val="76"/>
          <c:tx>
            <c:strRef>
              <c:f>Tabelle3!$B$78</c:f>
              <c:strCache>
                <c:ptCount val="1"/>
                <c:pt idx="0">
                  <c:v>MITTEL GEGEN EKTOPARASITEN, INKL. ANTISCABIOSA, INSEKTIZIDE UND REPELLENZIEN</c:v>
                </c:pt>
              </c:strCache>
            </c:strRef>
          </c:tx>
          <c:spPr>
            <a:ln w="28575" cap="rnd">
              <a:solidFill>
                <a:schemeClr val="accent5">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C-48F3-4A0C-A135-0BC8147C8662}"/>
            </c:ext>
          </c:extLst>
        </c:ser>
        <c:ser>
          <c:idx val="77"/>
          <c:order val="77"/>
          <c:tx>
            <c:strRef>
              <c:f>Tabelle3!$B$79</c:f>
              <c:strCache>
                <c:ptCount val="1"/>
                <c:pt idx="0">
                  <c:v>RHINOLOGIKA</c:v>
                </c:pt>
              </c:strCache>
            </c:strRef>
          </c:tx>
          <c:spPr>
            <a:ln w="28575" cap="rnd">
              <a:solidFill>
                <a:schemeClr val="accent6">
                  <a:lumMod val="8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D-48F3-4A0C-A135-0BC8147C8662}"/>
            </c:ext>
          </c:extLst>
        </c:ser>
        <c:ser>
          <c:idx val="78"/>
          <c:order val="78"/>
          <c:tx>
            <c:strRef>
              <c:f>Tabelle3!$B$80</c:f>
              <c:strCache>
                <c:ptCount val="1"/>
                <c:pt idx="0">
                  <c:v>HALS- UND RACHENTHERAPEUTIKA</c:v>
                </c:pt>
              </c:strCache>
            </c:strRef>
          </c:tx>
          <c:spPr>
            <a:ln w="28575" cap="rnd">
              <a:solidFill>
                <a:schemeClr val="accent1">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E-48F3-4A0C-A135-0BC8147C8662}"/>
            </c:ext>
          </c:extLst>
        </c:ser>
        <c:ser>
          <c:idx val="79"/>
          <c:order val="79"/>
          <c:tx>
            <c:strRef>
              <c:f>Tabelle3!$B$81</c:f>
              <c:strCache>
                <c:ptCount val="1"/>
                <c:pt idx="0">
                  <c:v>MITTEL BEI OBSTRUKTIVEN ATEMWEGSERKRANKUNGEN</c:v>
                </c:pt>
              </c:strCache>
            </c:strRef>
          </c:tx>
          <c:spPr>
            <a:ln w="28575" cap="rnd">
              <a:solidFill>
                <a:schemeClr val="accent2">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4F-48F3-4A0C-A135-0BC8147C8662}"/>
            </c:ext>
          </c:extLst>
        </c:ser>
        <c:ser>
          <c:idx val="80"/>
          <c:order val="80"/>
          <c:tx>
            <c:strRef>
              <c:f>Tabelle3!$B$82</c:f>
              <c:strCache>
                <c:ptCount val="1"/>
                <c:pt idx="0">
                  <c:v>BRUSTEINREIBUNGEN UND ANDERE INHALATE</c:v>
                </c:pt>
              </c:strCache>
            </c:strRef>
          </c:tx>
          <c:spPr>
            <a:ln w="28575" cap="rnd">
              <a:solidFill>
                <a:schemeClr val="accent3">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0-48F3-4A0C-A135-0BC8147C8662}"/>
            </c:ext>
          </c:extLst>
        </c:ser>
        <c:ser>
          <c:idx val="81"/>
          <c:order val="81"/>
          <c:tx>
            <c:strRef>
              <c:f>Tabelle3!$B$83</c:f>
              <c:strCache>
                <c:ptCount val="1"/>
                <c:pt idx="0">
                  <c:v>HUSTEN- UND ERKÄLTUNGSMITTEL</c:v>
                </c:pt>
              </c:strCache>
            </c:strRef>
          </c:tx>
          <c:spPr>
            <a:ln w="28575" cap="rnd">
              <a:solidFill>
                <a:schemeClr val="accent4">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1-48F3-4A0C-A135-0BC8147C8662}"/>
            </c:ext>
          </c:extLst>
        </c:ser>
        <c:ser>
          <c:idx val="82"/>
          <c:order val="82"/>
          <c:tx>
            <c:strRef>
              <c:f>Tabelle3!$B$84</c:f>
              <c:strCache>
                <c:ptCount val="1"/>
                <c:pt idx="0">
                  <c:v>ANTIHISTAMINIKA ZUR SYSTEMISCHEN ANWENDUNG</c:v>
                </c:pt>
              </c:strCache>
            </c:strRef>
          </c:tx>
          <c:spPr>
            <a:ln w="28575" cap="rnd">
              <a:solidFill>
                <a:schemeClr val="accent5">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2-48F3-4A0C-A135-0BC8147C8662}"/>
            </c:ext>
          </c:extLst>
        </c:ser>
        <c:ser>
          <c:idx val="83"/>
          <c:order val="83"/>
          <c:tx>
            <c:strRef>
              <c:f>Tabelle3!$B$85</c:f>
              <c:strCache>
                <c:ptCount val="1"/>
                <c:pt idx="0">
                  <c:v>ANDERE MITTEL FÜR DEN RESPIRATIONSTRAKT</c:v>
                </c:pt>
              </c:strCache>
            </c:strRef>
          </c:tx>
          <c:spPr>
            <a:ln w="28575" cap="rnd">
              <a:solidFill>
                <a:schemeClr val="accent6">
                  <a:lumMod val="60000"/>
                  <a:lumOff val="4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3-48F3-4A0C-A135-0BC8147C8662}"/>
            </c:ext>
          </c:extLst>
        </c:ser>
        <c:ser>
          <c:idx val="84"/>
          <c:order val="84"/>
          <c:tx>
            <c:strRef>
              <c:f>Tabelle3!$B$86</c:f>
              <c:strCache>
                <c:ptCount val="1"/>
                <c:pt idx="0">
                  <c:v>OPHTHALMIKA**</c:v>
                </c:pt>
              </c:strCache>
            </c:strRef>
          </c:tx>
          <c:spPr>
            <a:ln w="28575" cap="rnd">
              <a:solidFill>
                <a:schemeClr val="accent1">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4-48F3-4A0C-A135-0BC8147C8662}"/>
            </c:ext>
          </c:extLst>
        </c:ser>
        <c:ser>
          <c:idx val="85"/>
          <c:order val="85"/>
          <c:tx>
            <c:strRef>
              <c:f>Tabelle3!$B$87</c:f>
              <c:strCache>
                <c:ptCount val="1"/>
                <c:pt idx="0">
                  <c:v>OTOLOGIKA</c:v>
                </c:pt>
              </c:strCache>
            </c:strRef>
          </c:tx>
          <c:spPr>
            <a:ln w="28575" cap="rnd">
              <a:solidFill>
                <a:schemeClr val="accent2">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5-48F3-4A0C-A135-0BC8147C8662}"/>
            </c:ext>
          </c:extLst>
        </c:ser>
        <c:ser>
          <c:idx val="86"/>
          <c:order val="86"/>
          <c:tx>
            <c:strRef>
              <c:f>Tabelle3!$B$88</c:f>
              <c:strCache>
                <c:ptCount val="1"/>
                <c:pt idx="0">
                  <c:v>OPHTHALMOLOGISCHE UND OTOLOGISCHE ZUBEREITUNGEN</c:v>
                </c:pt>
              </c:strCache>
            </c:strRef>
          </c:tx>
          <c:spPr>
            <a:ln w="28575" cap="rnd">
              <a:solidFill>
                <a:schemeClr val="accent3">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6-48F3-4A0C-A135-0BC8147C8662}"/>
            </c:ext>
          </c:extLst>
        </c:ser>
        <c:ser>
          <c:idx val="87"/>
          <c:order val="87"/>
          <c:tx>
            <c:strRef>
              <c:f>Tabelle3!$B$89</c:f>
              <c:strCache>
                <c:ptCount val="1"/>
                <c:pt idx="0">
                  <c:v>ALLERGENE</c:v>
                </c:pt>
              </c:strCache>
            </c:strRef>
          </c:tx>
          <c:spPr>
            <a:ln w="28575" cap="rnd">
              <a:solidFill>
                <a:schemeClr val="accent4">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7-48F3-4A0C-A135-0BC8147C8662}"/>
            </c:ext>
          </c:extLst>
        </c:ser>
        <c:ser>
          <c:idx val="88"/>
          <c:order val="88"/>
          <c:tx>
            <c:strRef>
              <c:f>Tabelle3!$B$90</c:f>
              <c:strCache>
                <c:ptCount val="1"/>
                <c:pt idx="0">
                  <c:v>ALLE ÜBRIGEN THERAPEUTISCHEN MITTEL</c:v>
                </c:pt>
              </c:strCache>
            </c:strRef>
          </c:tx>
          <c:spPr>
            <a:ln w="28575" cap="rnd">
              <a:solidFill>
                <a:schemeClr val="accent5">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8-48F3-4A0C-A135-0BC8147C8662}"/>
            </c:ext>
          </c:extLst>
        </c:ser>
        <c:ser>
          <c:idx val="89"/>
          <c:order val="89"/>
          <c:tx>
            <c:strRef>
              <c:f>Tabelle3!$B$91</c:f>
              <c:strCache>
                <c:ptCount val="1"/>
                <c:pt idx="0">
                  <c:v>DIAGNOSTIKA</c:v>
                </c:pt>
              </c:strCache>
            </c:strRef>
          </c:tx>
          <c:spPr>
            <a:ln w="28575" cap="rnd">
              <a:solidFill>
                <a:schemeClr val="accent6">
                  <a:lumMod val="5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9-48F3-4A0C-A135-0BC8147C8662}"/>
            </c:ext>
          </c:extLst>
        </c:ser>
        <c:ser>
          <c:idx val="90"/>
          <c:order val="90"/>
          <c:tx>
            <c:strRef>
              <c:f>Tabelle3!$B$92</c:f>
              <c:strCache>
                <c:ptCount val="1"/>
                <c:pt idx="0">
                  <c:v>ALLGEMEINE DIÄTETIKA</c:v>
                </c:pt>
              </c:strCache>
            </c:strRef>
          </c:tx>
          <c:spPr>
            <a:ln w="28575" cap="rnd">
              <a:solidFill>
                <a:schemeClr val="accent1">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A-48F3-4A0C-A135-0BC8147C8662}"/>
            </c:ext>
          </c:extLst>
        </c:ser>
        <c:ser>
          <c:idx val="91"/>
          <c:order val="91"/>
          <c:tx>
            <c:strRef>
              <c:f>Tabelle3!$B$93</c:f>
              <c:strCache>
                <c:ptCount val="1"/>
                <c:pt idx="0">
                  <c:v>ALLE ÜBRIGEN NICHTTHERAPEUTISCHEN MITTEL</c:v>
                </c:pt>
              </c:strCache>
            </c:strRef>
          </c:tx>
          <c:spPr>
            <a:ln w="28575" cap="rnd">
              <a:solidFill>
                <a:schemeClr val="accent2">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B-48F3-4A0C-A135-0BC8147C8662}"/>
            </c:ext>
          </c:extLst>
        </c:ser>
        <c:ser>
          <c:idx val="92"/>
          <c:order val="92"/>
          <c:tx>
            <c:strRef>
              <c:f>Tabelle3!$B$94</c:f>
              <c:strCache>
                <c:ptCount val="1"/>
                <c:pt idx="0">
                  <c:v>KONTRASTMITTEL</c:v>
                </c:pt>
              </c:strCache>
            </c:strRef>
          </c:tx>
          <c:spPr>
            <a:ln w="28575" cap="rnd">
              <a:solidFill>
                <a:schemeClr val="accent3">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C-48F3-4A0C-A135-0BC8147C8662}"/>
            </c:ext>
          </c:extLst>
        </c:ser>
        <c:ser>
          <c:idx val="93"/>
          <c:order val="93"/>
          <c:tx>
            <c:strRef>
              <c:f>Tabelle3!$B$95</c:f>
              <c:strCache>
                <c:ptCount val="1"/>
                <c:pt idx="0">
                  <c:v>RADIODIAGNOSTIKA</c:v>
                </c:pt>
              </c:strCache>
            </c:strRef>
          </c:tx>
          <c:spPr>
            <a:ln w="28575" cap="rnd">
              <a:solidFill>
                <a:schemeClr val="accent4">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D-48F3-4A0C-A135-0BC8147C8662}"/>
            </c:ext>
          </c:extLst>
        </c:ser>
        <c:ser>
          <c:idx val="94"/>
          <c:order val="94"/>
          <c:tx>
            <c:strRef>
              <c:f>Tabelle3!$B$96</c:f>
              <c:strCache>
                <c:ptCount val="1"/>
                <c:pt idx="0">
                  <c:v>RADIOTHERAPEUTIKA</c:v>
                </c:pt>
              </c:strCache>
            </c:strRef>
          </c:tx>
          <c:spPr>
            <a:ln w="28575" cap="rnd">
              <a:solidFill>
                <a:schemeClr val="accent5">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E-48F3-4A0C-A135-0BC8147C8662}"/>
            </c:ext>
          </c:extLst>
        </c:ser>
        <c:ser>
          <c:idx val="95"/>
          <c:order val="95"/>
          <c:tx>
            <c:strRef>
              <c:f>Tabelle3!$B$97</c:f>
              <c:strCache>
                <c:ptCount val="1"/>
                <c:pt idx="0">
                  <c:v>WUNDVERBÄNDE</c:v>
                </c:pt>
              </c:strCache>
            </c:strRef>
          </c:tx>
          <c:spPr>
            <a:ln w="28575" cap="rnd">
              <a:solidFill>
                <a:schemeClr val="accent6">
                  <a:lumMod val="70000"/>
                  <a:lumOff val="3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5F-48F3-4A0C-A135-0BC8147C8662}"/>
            </c:ext>
          </c:extLst>
        </c:ser>
        <c:ser>
          <c:idx val="96"/>
          <c:order val="96"/>
          <c:tx>
            <c:strRef>
              <c:f>Tabelle3!$B$98</c:f>
              <c:strCache>
                <c:ptCount val="1"/>
                <c:pt idx="0">
                  <c:v>HOMÖOPATHIKA UND ANTHROPOSOPHIKA</c:v>
                </c:pt>
              </c:strCache>
            </c:strRef>
          </c:tx>
          <c:spPr>
            <a:ln w="28575" cap="rnd">
              <a:solidFill>
                <a:schemeClr val="accent1">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60-48F3-4A0C-A135-0BC8147C8662}"/>
            </c:ext>
          </c:extLst>
        </c:ser>
        <c:ser>
          <c:idx val="97"/>
          <c:order val="97"/>
          <c:tx>
            <c:strRef>
              <c:f>Tabelle3!$B$99</c:f>
              <c:strCache>
                <c:ptCount val="1"/>
                <c:pt idx="0">
                  <c:v>REZEPTUREN</c:v>
                </c:pt>
              </c:strCache>
            </c:strRef>
          </c:tx>
          <c:spPr>
            <a:ln w="28575" cap="rnd">
              <a:solidFill>
                <a:schemeClr val="accent2">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61-48F3-4A0C-A135-0BC8147C8662}"/>
            </c:ext>
          </c:extLst>
        </c:ser>
        <c:ser>
          <c:idx val="98"/>
          <c:order val="98"/>
          <c:tx>
            <c:strRef>
              <c:f>Tabelle3!$B$100</c:f>
              <c:strCache>
                <c:ptCount val="1"/>
                <c:pt idx="0">
                  <c:v>SONDERGRUPPEN</c:v>
                </c:pt>
              </c:strCache>
            </c:strRef>
          </c:tx>
          <c:spPr>
            <a:ln w="28575" cap="rnd">
              <a:solidFill>
                <a:schemeClr val="accent3">
                  <a:lumMod val="70000"/>
                </a:schemeClr>
              </a:solidFill>
              <a:round/>
            </a:ln>
            <a:effectLst/>
          </c:spPr>
          <c:marker>
            <c:symbol val="none"/>
          </c:marker>
          <c:val>
            <c:numRef>
              <c:f>Tabelle3!#REF!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Tabelle3!#REF!</c15:sqref>
                        </c15:formulaRef>
                      </c:ext>
                    </c:extLst>
                    <c:strCache>
                      <c:ptCount val="1"/>
                      <c:pt idx="0">
                        <c:v>#BEZUG!</c:v>
                      </c:pt>
                    </c:strCache>
                  </c:strRef>
                </c15:cat>
              </c15:filteredCategoryTitle>
            </c:ext>
            <c:ext xmlns:c16="http://schemas.microsoft.com/office/drawing/2014/chart" uri="{C3380CC4-5D6E-409C-BE32-E72D297353CC}">
              <c16:uniqueId val="{00000062-48F3-4A0C-A135-0BC8147C8662}"/>
            </c:ext>
          </c:extLst>
        </c:ser>
        <c:dLbls>
          <c:showLegendKey val="0"/>
          <c:showVal val="0"/>
          <c:showCatName val="0"/>
          <c:showSerName val="0"/>
          <c:showPercent val="0"/>
          <c:showBubbleSize val="0"/>
        </c:dLbls>
        <c:smooth val="0"/>
        <c:axId val="835933584"/>
        <c:axId val="1678206608"/>
      </c:lineChart>
      <c:catAx>
        <c:axId val="83593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678206608"/>
        <c:crosses val="autoZero"/>
        <c:auto val="1"/>
        <c:lblAlgn val="ctr"/>
        <c:lblOffset val="100"/>
        <c:noMultiLvlLbl val="0"/>
      </c:catAx>
      <c:valAx>
        <c:axId val="167820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359335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1.0271806547230778E-2"/>
          <c:y val="2.8960432966450074E-2"/>
          <c:w val="0.98972819345276919"/>
          <c:h val="0.88424160252718931"/>
        </c:manualLayout>
      </c:layout>
      <c:lineChart>
        <c:grouping val="standard"/>
        <c:varyColors val="0"/>
        <c:ser>
          <c:idx val="0"/>
          <c:order val="0"/>
          <c:tx>
            <c:strRef>
              <c:f>Tabelle3!$C$1</c:f>
              <c:strCache>
                <c:ptCount val="1"/>
                <c:pt idx="0">
                  <c:v>2017-01-01</c:v>
                </c:pt>
              </c:strCache>
            </c:strRef>
          </c:tx>
          <c:spPr>
            <a:ln w="28575" cap="rnd">
              <a:solidFill>
                <a:schemeClr val="accent1"/>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Tabelle3!$C$2:$C$100</c:f>
              <c:numCache>
                <c:formatCode>General</c:formatCode>
                <c:ptCount val="99"/>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0</c:v>
                </c:pt>
                <c:pt idx="51">
                  <c:v>5</c:v>
                </c:pt>
                <c:pt idx="52">
                  <c:v>0</c:v>
                </c:pt>
                <c:pt idx="53">
                  <c:v>0</c:v>
                </c:pt>
                <c:pt idx="54">
                  <c:v>1</c:v>
                </c:pt>
                <c:pt idx="55">
                  <c:v>0</c:v>
                </c:pt>
                <c:pt idx="56">
                  <c:v>0</c:v>
                </c:pt>
                <c:pt idx="57">
                  <c:v>2</c:v>
                </c:pt>
                <c:pt idx="58">
                  <c:v>0</c:v>
                </c:pt>
                <c:pt idx="59">
                  <c:v>0</c:v>
                </c:pt>
                <c:pt idx="60">
                  <c:v>2</c:v>
                </c:pt>
                <c:pt idx="61">
                  <c:v>0</c:v>
                </c:pt>
                <c:pt idx="62">
                  <c:v>0</c:v>
                </c:pt>
                <c:pt idx="63">
                  <c:v>0</c:v>
                </c:pt>
                <c:pt idx="64">
                  <c:v>0</c:v>
                </c:pt>
                <c:pt idx="65">
                  <c:v>1</c:v>
                </c:pt>
                <c:pt idx="66">
                  <c:v>0</c:v>
                </c:pt>
                <c:pt idx="67">
                  <c:v>3</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0-87C6-44EA-973E-4EE677DB667E}"/>
            </c:ext>
          </c:extLst>
        </c:ser>
        <c:ser>
          <c:idx val="1"/>
          <c:order val="1"/>
          <c:tx>
            <c:strRef>
              <c:f>Tabelle3!$D$1</c:f>
              <c:strCache>
                <c:ptCount val="1"/>
                <c:pt idx="0">
                  <c:v>2017-02-01</c:v>
                </c:pt>
              </c:strCache>
            </c:strRef>
          </c:tx>
          <c:spPr>
            <a:ln w="28575" cap="rnd">
              <a:solidFill>
                <a:schemeClr val="accent2"/>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Tabelle3!$D$2:$D$100</c:f>
              <c:numCache>
                <c:formatCode>General</c:formatCode>
                <c:ptCount val="99"/>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2</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0</c:v>
                </c:pt>
                <c:pt idx="51">
                  <c:v>6</c:v>
                </c:pt>
                <c:pt idx="52">
                  <c:v>0</c:v>
                </c:pt>
                <c:pt idx="53">
                  <c:v>0</c:v>
                </c:pt>
                <c:pt idx="54">
                  <c:v>1</c:v>
                </c:pt>
                <c:pt idx="55">
                  <c:v>0</c:v>
                </c:pt>
                <c:pt idx="56">
                  <c:v>0</c:v>
                </c:pt>
                <c:pt idx="57">
                  <c:v>2</c:v>
                </c:pt>
                <c:pt idx="58">
                  <c:v>0</c:v>
                </c:pt>
                <c:pt idx="59">
                  <c:v>0</c:v>
                </c:pt>
                <c:pt idx="60">
                  <c:v>2</c:v>
                </c:pt>
                <c:pt idx="61">
                  <c:v>0</c:v>
                </c:pt>
                <c:pt idx="62">
                  <c:v>0</c:v>
                </c:pt>
                <c:pt idx="63">
                  <c:v>0</c:v>
                </c:pt>
                <c:pt idx="64">
                  <c:v>0</c:v>
                </c:pt>
                <c:pt idx="65">
                  <c:v>1</c:v>
                </c:pt>
                <c:pt idx="66">
                  <c:v>0</c:v>
                </c:pt>
                <c:pt idx="67">
                  <c:v>3</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1-87C6-44EA-973E-4EE677DB667E}"/>
            </c:ext>
          </c:extLst>
        </c:ser>
        <c:ser>
          <c:idx val="2"/>
          <c:order val="2"/>
          <c:tx>
            <c:strRef>
              <c:f>Tabelle3!$E$1</c:f>
              <c:strCache>
                <c:ptCount val="1"/>
                <c:pt idx="0">
                  <c:v>2017-03-01</c:v>
                </c:pt>
              </c:strCache>
            </c:strRef>
          </c:tx>
          <c:spPr>
            <a:ln w="28575" cap="rnd">
              <a:solidFill>
                <a:schemeClr val="accent3"/>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Tabelle3!$E$2:$E$100</c:f>
              <c:numCache>
                <c:formatCode>General</c:formatCode>
                <c:ptCount val="99"/>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2</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0</c:v>
                </c:pt>
                <c:pt idx="51">
                  <c:v>6</c:v>
                </c:pt>
                <c:pt idx="52">
                  <c:v>0</c:v>
                </c:pt>
                <c:pt idx="53">
                  <c:v>0</c:v>
                </c:pt>
                <c:pt idx="54">
                  <c:v>1</c:v>
                </c:pt>
                <c:pt idx="55">
                  <c:v>0</c:v>
                </c:pt>
                <c:pt idx="56">
                  <c:v>0</c:v>
                </c:pt>
                <c:pt idx="57">
                  <c:v>5</c:v>
                </c:pt>
                <c:pt idx="58">
                  <c:v>0</c:v>
                </c:pt>
                <c:pt idx="59">
                  <c:v>0</c:v>
                </c:pt>
                <c:pt idx="60">
                  <c:v>2</c:v>
                </c:pt>
                <c:pt idx="61">
                  <c:v>0</c:v>
                </c:pt>
                <c:pt idx="62">
                  <c:v>0</c:v>
                </c:pt>
                <c:pt idx="63">
                  <c:v>0</c:v>
                </c:pt>
                <c:pt idx="64">
                  <c:v>0</c:v>
                </c:pt>
                <c:pt idx="65">
                  <c:v>1</c:v>
                </c:pt>
                <c:pt idx="66">
                  <c:v>0</c:v>
                </c:pt>
                <c:pt idx="67">
                  <c:v>3</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2-87C6-44EA-973E-4EE677DB667E}"/>
            </c:ext>
          </c:extLst>
        </c:ser>
        <c:ser>
          <c:idx val="3"/>
          <c:order val="3"/>
          <c:tx>
            <c:strRef>
              <c:f>Tabelle3!$F$1</c:f>
              <c:strCache>
                <c:ptCount val="1"/>
                <c:pt idx="0">
                  <c:v>2017-04-01</c:v>
                </c:pt>
              </c:strCache>
            </c:strRef>
          </c:tx>
          <c:spPr>
            <a:ln w="28575" cap="rnd">
              <a:solidFill>
                <a:schemeClr val="accent4"/>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Tabelle3!$F$2:$F$100</c:f>
              <c:numCache>
                <c:formatCode>General</c:formatCode>
                <c:ptCount val="99"/>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2</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0</c:v>
                </c:pt>
                <c:pt idx="46">
                  <c:v>0</c:v>
                </c:pt>
                <c:pt idx="47">
                  <c:v>0</c:v>
                </c:pt>
                <c:pt idx="48">
                  <c:v>1</c:v>
                </c:pt>
                <c:pt idx="49">
                  <c:v>0</c:v>
                </c:pt>
                <c:pt idx="50">
                  <c:v>0</c:v>
                </c:pt>
                <c:pt idx="51">
                  <c:v>13</c:v>
                </c:pt>
                <c:pt idx="52">
                  <c:v>0</c:v>
                </c:pt>
                <c:pt idx="53">
                  <c:v>0</c:v>
                </c:pt>
                <c:pt idx="54">
                  <c:v>1</c:v>
                </c:pt>
                <c:pt idx="55">
                  <c:v>0</c:v>
                </c:pt>
                <c:pt idx="56">
                  <c:v>0</c:v>
                </c:pt>
                <c:pt idx="57">
                  <c:v>3</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3-87C6-44EA-973E-4EE677DB667E}"/>
            </c:ext>
          </c:extLst>
        </c:ser>
        <c:ser>
          <c:idx val="4"/>
          <c:order val="4"/>
          <c:tx>
            <c:strRef>
              <c:f>Tabelle3!$G$1</c:f>
              <c:strCache>
                <c:ptCount val="1"/>
                <c:pt idx="0">
                  <c:v>2017-05-01</c:v>
                </c:pt>
              </c:strCache>
            </c:strRef>
          </c:tx>
          <c:spPr>
            <a:ln w="28575" cap="rnd">
              <a:solidFill>
                <a:schemeClr val="accent5"/>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Tabelle3!$G$2:$G$100</c:f>
              <c:numCache>
                <c:formatCode>General</c:formatCode>
                <c:ptCount val="99"/>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2</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0</c:v>
                </c:pt>
                <c:pt idx="48">
                  <c:v>1</c:v>
                </c:pt>
                <c:pt idx="49">
                  <c:v>0</c:v>
                </c:pt>
                <c:pt idx="50">
                  <c:v>0</c:v>
                </c:pt>
                <c:pt idx="51">
                  <c:v>13</c:v>
                </c:pt>
                <c:pt idx="52">
                  <c:v>0</c:v>
                </c:pt>
                <c:pt idx="53">
                  <c:v>0</c:v>
                </c:pt>
                <c:pt idx="54">
                  <c:v>2</c:v>
                </c:pt>
                <c:pt idx="55">
                  <c:v>0</c:v>
                </c:pt>
                <c:pt idx="56">
                  <c:v>0</c:v>
                </c:pt>
                <c:pt idx="57">
                  <c:v>3</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4-87C6-44EA-973E-4EE677DB667E}"/>
            </c:ext>
          </c:extLst>
        </c:ser>
        <c:ser>
          <c:idx val="5"/>
          <c:order val="5"/>
          <c:tx>
            <c:strRef>
              <c:f>Tabelle3!$H$1</c:f>
              <c:strCache>
                <c:ptCount val="1"/>
                <c:pt idx="0">
                  <c:v>2017-06-01</c:v>
                </c:pt>
              </c:strCache>
            </c:strRef>
          </c:tx>
          <c:spPr>
            <a:ln w="28575" cap="rnd">
              <a:solidFill>
                <a:schemeClr val="accent6"/>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Tabelle3!$H$2:$H$100</c:f>
              <c:numCache>
                <c:formatCode>General</c:formatCode>
                <c:ptCount val="99"/>
                <c:pt idx="0">
                  <c:v>1</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2</c:v>
                </c:pt>
                <c:pt idx="20">
                  <c:v>0</c:v>
                </c:pt>
                <c:pt idx="21">
                  <c:v>0</c:v>
                </c:pt>
                <c:pt idx="22">
                  <c:v>1</c:v>
                </c:pt>
                <c:pt idx="23">
                  <c:v>0</c:v>
                </c:pt>
                <c:pt idx="24">
                  <c:v>0</c:v>
                </c:pt>
                <c:pt idx="25">
                  <c:v>0</c:v>
                </c:pt>
                <c:pt idx="26">
                  <c:v>0</c:v>
                </c:pt>
                <c:pt idx="27">
                  <c:v>1</c:v>
                </c:pt>
                <c:pt idx="28">
                  <c:v>2</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0</c:v>
                </c:pt>
                <c:pt idx="48">
                  <c:v>1</c:v>
                </c:pt>
                <c:pt idx="49">
                  <c:v>0</c:v>
                </c:pt>
                <c:pt idx="50">
                  <c:v>0</c:v>
                </c:pt>
                <c:pt idx="51">
                  <c:v>13</c:v>
                </c:pt>
                <c:pt idx="52">
                  <c:v>0</c:v>
                </c:pt>
                <c:pt idx="53">
                  <c:v>0</c:v>
                </c:pt>
                <c:pt idx="54">
                  <c:v>1</c:v>
                </c:pt>
                <c:pt idx="55">
                  <c:v>0</c:v>
                </c:pt>
                <c:pt idx="56">
                  <c:v>0</c:v>
                </c:pt>
                <c:pt idx="57">
                  <c:v>3</c:v>
                </c:pt>
                <c:pt idx="58">
                  <c:v>0</c:v>
                </c:pt>
                <c:pt idx="59">
                  <c:v>0</c:v>
                </c:pt>
                <c:pt idx="60">
                  <c:v>2</c:v>
                </c:pt>
                <c:pt idx="61">
                  <c:v>0</c:v>
                </c:pt>
                <c:pt idx="62">
                  <c:v>0</c:v>
                </c:pt>
                <c:pt idx="63">
                  <c:v>0</c:v>
                </c:pt>
                <c:pt idx="64">
                  <c:v>0</c:v>
                </c:pt>
                <c:pt idx="65">
                  <c:v>1</c:v>
                </c:pt>
                <c:pt idx="66">
                  <c:v>0</c:v>
                </c:pt>
                <c:pt idx="67">
                  <c:v>3</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5-87C6-44EA-973E-4EE677DB667E}"/>
            </c:ext>
          </c:extLst>
        </c:ser>
        <c:ser>
          <c:idx val="6"/>
          <c:order val="6"/>
          <c:tx>
            <c:strRef>
              <c:f>Tabelle3!$I$1</c:f>
              <c:strCache>
                <c:ptCount val="1"/>
                <c:pt idx="0">
                  <c:v>2017-07-01</c:v>
                </c:pt>
              </c:strCache>
            </c:strRef>
          </c:tx>
          <c:spPr>
            <a:ln w="28575" cap="rnd">
              <a:solidFill>
                <a:schemeClr val="accent1">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Tabelle3!$I$2:$I$100</c:f>
              <c:numCache>
                <c:formatCode>General</c:formatCode>
                <c:ptCount val="99"/>
                <c:pt idx="0">
                  <c:v>1</c:v>
                </c:pt>
                <c:pt idx="1">
                  <c:v>0</c:v>
                </c:pt>
                <c:pt idx="2">
                  <c:v>0</c:v>
                </c:pt>
                <c:pt idx="3">
                  <c:v>1</c:v>
                </c:pt>
                <c:pt idx="4">
                  <c:v>0</c:v>
                </c:pt>
                <c:pt idx="5">
                  <c:v>0</c:v>
                </c:pt>
                <c:pt idx="6">
                  <c:v>0</c:v>
                </c:pt>
                <c:pt idx="7">
                  <c:v>0</c:v>
                </c:pt>
                <c:pt idx="8">
                  <c:v>1</c:v>
                </c:pt>
                <c:pt idx="9">
                  <c:v>0</c:v>
                </c:pt>
                <c:pt idx="10">
                  <c:v>0</c:v>
                </c:pt>
                <c:pt idx="11">
                  <c:v>0</c:v>
                </c:pt>
                <c:pt idx="12">
                  <c:v>0</c:v>
                </c:pt>
                <c:pt idx="13">
                  <c:v>0</c:v>
                </c:pt>
                <c:pt idx="14">
                  <c:v>0</c:v>
                </c:pt>
                <c:pt idx="15">
                  <c:v>0</c:v>
                </c:pt>
                <c:pt idx="16">
                  <c:v>1</c:v>
                </c:pt>
                <c:pt idx="17">
                  <c:v>0</c:v>
                </c:pt>
                <c:pt idx="18">
                  <c:v>1</c:v>
                </c:pt>
                <c:pt idx="19">
                  <c:v>4</c:v>
                </c:pt>
                <c:pt idx="20">
                  <c:v>0</c:v>
                </c:pt>
                <c:pt idx="21">
                  <c:v>0</c:v>
                </c:pt>
                <c:pt idx="22">
                  <c:v>1</c:v>
                </c:pt>
                <c:pt idx="23">
                  <c:v>1</c:v>
                </c:pt>
                <c:pt idx="24">
                  <c:v>0</c:v>
                </c:pt>
                <c:pt idx="25">
                  <c:v>0</c:v>
                </c:pt>
                <c:pt idx="26">
                  <c:v>0</c:v>
                </c:pt>
                <c:pt idx="27">
                  <c:v>1</c:v>
                </c:pt>
                <c:pt idx="28">
                  <c:v>2</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0</c:v>
                </c:pt>
                <c:pt idx="48">
                  <c:v>2</c:v>
                </c:pt>
                <c:pt idx="49">
                  <c:v>0</c:v>
                </c:pt>
                <c:pt idx="50">
                  <c:v>0</c:v>
                </c:pt>
                <c:pt idx="51">
                  <c:v>14</c:v>
                </c:pt>
                <c:pt idx="52">
                  <c:v>0</c:v>
                </c:pt>
                <c:pt idx="53">
                  <c:v>0</c:v>
                </c:pt>
                <c:pt idx="54">
                  <c:v>1</c:v>
                </c:pt>
                <c:pt idx="55">
                  <c:v>0</c:v>
                </c:pt>
                <c:pt idx="56">
                  <c:v>0</c:v>
                </c:pt>
                <c:pt idx="57">
                  <c:v>4</c:v>
                </c:pt>
                <c:pt idx="58">
                  <c:v>0</c:v>
                </c:pt>
                <c:pt idx="59">
                  <c:v>0</c:v>
                </c:pt>
                <c:pt idx="60">
                  <c:v>2</c:v>
                </c:pt>
                <c:pt idx="61">
                  <c:v>0</c:v>
                </c:pt>
                <c:pt idx="62">
                  <c:v>0</c:v>
                </c:pt>
                <c:pt idx="63">
                  <c:v>0</c:v>
                </c:pt>
                <c:pt idx="64">
                  <c:v>0</c:v>
                </c:pt>
                <c:pt idx="65">
                  <c:v>0</c:v>
                </c:pt>
                <c:pt idx="66">
                  <c:v>0</c:v>
                </c:pt>
                <c:pt idx="67">
                  <c:v>3</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6-87C6-44EA-973E-4EE677DB667E}"/>
            </c:ext>
          </c:extLst>
        </c:ser>
        <c:ser>
          <c:idx val="7"/>
          <c:order val="7"/>
          <c:tx>
            <c:strRef>
              <c:f>Tabelle3!$J$1</c:f>
              <c:strCache>
                <c:ptCount val="1"/>
                <c:pt idx="0">
                  <c:v>2017-08-01</c:v>
                </c:pt>
              </c:strCache>
            </c:strRef>
          </c:tx>
          <c:spPr>
            <a:ln w="28575" cap="rnd">
              <a:solidFill>
                <a:schemeClr val="accent2">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Tabelle3!$J$2:$J$100</c:f>
              <c:numCache>
                <c:formatCode>General</c:formatCode>
                <c:ptCount val="99"/>
                <c:pt idx="0">
                  <c:v>0</c:v>
                </c:pt>
                <c:pt idx="1">
                  <c:v>0</c:v>
                </c:pt>
                <c:pt idx="2">
                  <c:v>0</c:v>
                </c:pt>
                <c:pt idx="3">
                  <c:v>1</c:v>
                </c:pt>
                <c:pt idx="4">
                  <c:v>0</c:v>
                </c:pt>
                <c:pt idx="5">
                  <c:v>0</c:v>
                </c:pt>
                <c:pt idx="6">
                  <c:v>0</c:v>
                </c:pt>
                <c:pt idx="7">
                  <c:v>0</c:v>
                </c:pt>
                <c:pt idx="8">
                  <c:v>1</c:v>
                </c:pt>
                <c:pt idx="9">
                  <c:v>0</c:v>
                </c:pt>
                <c:pt idx="10">
                  <c:v>0</c:v>
                </c:pt>
                <c:pt idx="11">
                  <c:v>0</c:v>
                </c:pt>
                <c:pt idx="12">
                  <c:v>0</c:v>
                </c:pt>
                <c:pt idx="13">
                  <c:v>0</c:v>
                </c:pt>
                <c:pt idx="14">
                  <c:v>0</c:v>
                </c:pt>
                <c:pt idx="15">
                  <c:v>0</c:v>
                </c:pt>
                <c:pt idx="16">
                  <c:v>1</c:v>
                </c:pt>
                <c:pt idx="17">
                  <c:v>0</c:v>
                </c:pt>
                <c:pt idx="18">
                  <c:v>1</c:v>
                </c:pt>
                <c:pt idx="19">
                  <c:v>3</c:v>
                </c:pt>
                <c:pt idx="20">
                  <c:v>0</c:v>
                </c:pt>
                <c:pt idx="21">
                  <c:v>0</c:v>
                </c:pt>
                <c:pt idx="22">
                  <c:v>1</c:v>
                </c:pt>
                <c:pt idx="23">
                  <c:v>1</c:v>
                </c:pt>
                <c:pt idx="24">
                  <c:v>0</c:v>
                </c:pt>
                <c:pt idx="25">
                  <c:v>0</c:v>
                </c:pt>
                <c:pt idx="26">
                  <c:v>0</c:v>
                </c:pt>
                <c:pt idx="27">
                  <c:v>1</c:v>
                </c:pt>
                <c:pt idx="28">
                  <c:v>2</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1</c:v>
                </c:pt>
                <c:pt idx="45">
                  <c:v>1</c:v>
                </c:pt>
                <c:pt idx="46">
                  <c:v>0</c:v>
                </c:pt>
                <c:pt idx="47">
                  <c:v>0</c:v>
                </c:pt>
                <c:pt idx="48">
                  <c:v>2</c:v>
                </c:pt>
                <c:pt idx="49">
                  <c:v>0</c:v>
                </c:pt>
                <c:pt idx="50">
                  <c:v>0</c:v>
                </c:pt>
                <c:pt idx="51">
                  <c:v>15</c:v>
                </c:pt>
                <c:pt idx="52">
                  <c:v>2</c:v>
                </c:pt>
                <c:pt idx="53">
                  <c:v>0</c:v>
                </c:pt>
                <c:pt idx="54">
                  <c:v>1</c:v>
                </c:pt>
                <c:pt idx="55">
                  <c:v>0</c:v>
                </c:pt>
                <c:pt idx="56">
                  <c:v>0</c:v>
                </c:pt>
                <c:pt idx="57">
                  <c:v>3</c:v>
                </c:pt>
                <c:pt idx="58">
                  <c:v>0</c:v>
                </c:pt>
                <c:pt idx="59">
                  <c:v>1</c:v>
                </c:pt>
                <c:pt idx="60">
                  <c:v>2</c:v>
                </c:pt>
                <c:pt idx="61">
                  <c:v>0</c:v>
                </c:pt>
                <c:pt idx="62">
                  <c:v>0</c:v>
                </c:pt>
                <c:pt idx="63">
                  <c:v>0</c:v>
                </c:pt>
                <c:pt idx="64">
                  <c:v>0</c:v>
                </c:pt>
                <c:pt idx="65">
                  <c:v>0</c:v>
                </c:pt>
                <c:pt idx="66">
                  <c:v>0</c:v>
                </c:pt>
                <c:pt idx="67">
                  <c:v>3</c:v>
                </c:pt>
                <c:pt idx="68">
                  <c:v>0</c:v>
                </c:pt>
                <c:pt idx="69">
                  <c:v>1</c:v>
                </c:pt>
                <c:pt idx="70">
                  <c:v>0</c:v>
                </c:pt>
                <c:pt idx="71">
                  <c:v>0</c:v>
                </c:pt>
                <c:pt idx="72">
                  <c:v>0</c:v>
                </c:pt>
                <c:pt idx="73">
                  <c:v>0</c:v>
                </c:pt>
                <c:pt idx="74">
                  <c:v>0</c:v>
                </c:pt>
                <c:pt idx="75">
                  <c:v>0</c:v>
                </c:pt>
                <c:pt idx="76">
                  <c:v>0</c:v>
                </c:pt>
                <c:pt idx="77">
                  <c:v>1</c:v>
                </c:pt>
                <c:pt idx="78">
                  <c:v>0</c:v>
                </c:pt>
                <c:pt idx="79">
                  <c:v>1</c:v>
                </c:pt>
                <c:pt idx="80">
                  <c:v>0</c:v>
                </c:pt>
                <c:pt idx="81">
                  <c:v>0</c:v>
                </c:pt>
                <c:pt idx="82">
                  <c:v>0</c:v>
                </c:pt>
                <c:pt idx="83">
                  <c:v>0</c:v>
                </c:pt>
                <c:pt idx="84">
                  <c:v>0</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7-87C6-44EA-973E-4EE677DB667E}"/>
            </c:ext>
          </c:extLst>
        </c:ser>
        <c:ser>
          <c:idx val="8"/>
          <c:order val="8"/>
          <c:tx>
            <c:strRef>
              <c:f>Tabelle3!$K$1</c:f>
              <c:strCache>
                <c:ptCount val="1"/>
                <c:pt idx="0">
                  <c:v>2017-09-01</c:v>
                </c:pt>
              </c:strCache>
            </c:strRef>
          </c:tx>
          <c:spPr>
            <a:ln w="28575" cap="rnd">
              <a:solidFill>
                <a:schemeClr val="accent3">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Tabelle3!$K$2:$K$100</c:f>
              <c:numCache>
                <c:formatCode>General</c:formatCode>
                <c:ptCount val="99"/>
                <c:pt idx="0">
                  <c:v>0</c:v>
                </c:pt>
                <c:pt idx="1">
                  <c:v>0</c:v>
                </c:pt>
                <c:pt idx="2">
                  <c:v>0</c:v>
                </c:pt>
                <c:pt idx="3">
                  <c:v>1</c:v>
                </c:pt>
                <c:pt idx="4">
                  <c:v>0</c:v>
                </c:pt>
                <c:pt idx="5">
                  <c:v>0</c:v>
                </c:pt>
                <c:pt idx="6">
                  <c:v>0</c:v>
                </c:pt>
                <c:pt idx="7">
                  <c:v>0</c:v>
                </c:pt>
                <c:pt idx="8">
                  <c:v>1</c:v>
                </c:pt>
                <c:pt idx="9">
                  <c:v>0</c:v>
                </c:pt>
                <c:pt idx="10">
                  <c:v>0</c:v>
                </c:pt>
                <c:pt idx="11">
                  <c:v>0</c:v>
                </c:pt>
                <c:pt idx="12">
                  <c:v>0</c:v>
                </c:pt>
                <c:pt idx="13">
                  <c:v>0</c:v>
                </c:pt>
                <c:pt idx="14">
                  <c:v>0</c:v>
                </c:pt>
                <c:pt idx="15">
                  <c:v>0</c:v>
                </c:pt>
                <c:pt idx="16">
                  <c:v>2</c:v>
                </c:pt>
                <c:pt idx="17">
                  <c:v>0</c:v>
                </c:pt>
                <c:pt idx="18">
                  <c:v>1</c:v>
                </c:pt>
                <c:pt idx="19">
                  <c:v>0</c:v>
                </c:pt>
                <c:pt idx="20">
                  <c:v>0</c:v>
                </c:pt>
                <c:pt idx="21">
                  <c:v>0</c:v>
                </c:pt>
                <c:pt idx="22">
                  <c:v>0</c:v>
                </c:pt>
                <c:pt idx="23">
                  <c:v>1</c:v>
                </c:pt>
                <c:pt idx="24">
                  <c:v>0</c:v>
                </c:pt>
                <c:pt idx="25">
                  <c:v>0</c:v>
                </c:pt>
                <c:pt idx="26">
                  <c:v>0</c:v>
                </c:pt>
                <c:pt idx="27">
                  <c:v>1</c:v>
                </c:pt>
                <c:pt idx="28">
                  <c:v>2</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1</c:v>
                </c:pt>
                <c:pt idx="47">
                  <c:v>0</c:v>
                </c:pt>
                <c:pt idx="48">
                  <c:v>2</c:v>
                </c:pt>
                <c:pt idx="49">
                  <c:v>0</c:v>
                </c:pt>
                <c:pt idx="50">
                  <c:v>0</c:v>
                </c:pt>
                <c:pt idx="51">
                  <c:v>16</c:v>
                </c:pt>
                <c:pt idx="52">
                  <c:v>2</c:v>
                </c:pt>
                <c:pt idx="53">
                  <c:v>0</c:v>
                </c:pt>
                <c:pt idx="54">
                  <c:v>1</c:v>
                </c:pt>
                <c:pt idx="55">
                  <c:v>0</c:v>
                </c:pt>
                <c:pt idx="56">
                  <c:v>0</c:v>
                </c:pt>
                <c:pt idx="57">
                  <c:v>1</c:v>
                </c:pt>
                <c:pt idx="58">
                  <c:v>0</c:v>
                </c:pt>
                <c:pt idx="59">
                  <c:v>1</c:v>
                </c:pt>
                <c:pt idx="60">
                  <c:v>3</c:v>
                </c:pt>
                <c:pt idx="61">
                  <c:v>0</c:v>
                </c:pt>
                <c:pt idx="62">
                  <c:v>0</c:v>
                </c:pt>
                <c:pt idx="63">
                  <c:v>0</c:v>
                </c:pt>
                <c:pt idx="64">
                  <c:v>0</c:v>
                </c:pt>
                <c:pt idx="65">
                  <c:v>0</c:v>
                </c:pt>
                <c:pt idx="66">
                  <c:v>0</c:v>
                </c:pt>
                <c:pt idx="67">
                  <c:v>3</c:v>
                </c:pt>
                <c:pt idx="68">
                  <c:v>0</c:v>
                </c:pt>
                <c:pt idx="69">
                  <c:v>1</c:v>
                </c:pt>
                <c:pt idx="70">
                  <c:v>0</c:v>
                </c:pt>
                <c:pt idx="71">
                  <c:v>0</c:v>
                </c:pt>
                <c:pt idx="72">
                  <c:v>0</c:v>
                </c:pt>
                <c:pt idx="73">
                  <c:v>0</c:v>
                </c:pt>
                <c:pt idx="74">
                  <c:v>0</c:v>
                </c:pt>
                <c:pt idx="75">
                  <c:v>0</c:v>
                </c:pt>
                <c:pt idx="76">
                  <c:v>0</c:v>
                </c:pt>
                <c:pt idx="77">
                  <c:v>1</c:v>
                </c:pt>
                <c:pt idx="78">
                  <c:v>0</c:v>
                </c:pt>
                <c:pt idx="79">
                  <c:v>1</c:v>
                </c:pt>
                <c:pt idx="80">
                  <c:v>0</c:v>
                </c:pt>
                <c:pt idx="81">
                  <c:v>0</c:v>
                </c:pt>
                <c:pt idx="82">
                  <c:v>0</c:v>
                </c:pt>
                <c:pt idx="83">
                  <c:v>0</c:v>
                </c:pt>
                <c:pt idx="84">
                  <c:v>0</c:v>
                </c:pt>
                <c:pt idx="85">
                  <c:v>0</c:v>
                </c:pt>
                <c:pt idx="86">
                  <c:v>0</c:v>
                </c:pt>
                <c:pt idx="87">
                  <c:v>0</c:v>
                </c:pt>
                <c:pt idx="88">
                  <c:v>2</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8-87C6-44EA-973E-4EE677DB667E}"/>
            </c:ext>
          </c:extLst>
        </c:ser>
        <c:ser>
          <c:idx val="9"/>
          <c:order val="9"/>
          <c:tx>
            <c:strRef>
              <c:f>Tabelle3!$L$1</c:f>
              <c:strCache>
                <c:ptCount val="1"/>
                <c:pt idx="0">
                  <c:v>2017-10-01</c:v>
                </c:pt>
              </c:strCache>
            </c:strRef>
          </c:tx>
          <c:spPr>
            <a:ln w="28575" cap="rnd">
              <a:solidFill>
                <a:schemeClr val="accent4">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Tabelle3!$L$2:$L$100</c:f>
              <c:numCache>
                <c:formatCode>General</c:formatCode>
                <c:ptCount val="99"/>
                <c:pt idx="0">
                  <c:v>0</c:v>
                </c:pt>
                <c:pt idx="1">
                  <c:v>0</c:v>
                </c:pt>
                <c:pt idx="2">
                  <c:v>0</c:v>
                </c:pt>
                <c:pt idx="3">
                  <c:v>2</c:v>
                </c:pt>
                <c:pt idx="4">
                  <c:v>0</c:v>
                </c:pt>
                <c:pt idx="5">
                  <c:v>0</c:v>
                </c:pt>
                <c:pt idx="6">
                  <c:v>0</c:v>
                </c:pt>
                <c:pt idx="7">
                  <c:v>0</c:v>
                </c:pt>
                <c:pt idx="8">
                  <c:v>1</c:v>
                </c:pt>
                <c:pt idx="9">
                  <c:v>0</c:v>
                </c:pt>
                <c:pt idx="10">
                  <c:v>0</c:v>
                </c:pt>
                <c:pt idx="11">
                  <c:v>0</c:v>
                </c:pt>
                <c:pt idx="12">
                  <c:v>0</c:v>
                </c:pt>
                <c:pt idx="13">
                  <c:v>0</c:v>
                </c:pt>
                <c:pt idx="14">
                  <c:v>0</c:v>
                </c:pt>
                <c:pt idx="15">
                  <c:v>0</c:v>
                </c:pt>
                <c:pt idx="16">
                  <c:v>2</c:v>
                </c:pt>
                <c:pt idx="17">
                  <c:v>0</c:v>
                </c:pt>
                <c:pt idx="18">
                  <c:v>1</c:v>
                </c:pt>
                <c:pt idx="19">
                  <c:v>0</c:v>
                </c:pt>
                <c:pt idx="20">
                  <c:v>0</c:v>
                </c:pt>
                <c:pt idx="21">
                  <c:v>0</c:v>
                </c:pt>
                <c:pt idx="22">
                  <c:v>0</c:v>
                </c:pt>
                <c:pt idx="23">
                  <c:v>1</c:v>
                </c:pt>
                <c:pt idx="24">
                  <c:v>0</c:v>
                </c:pt>
                <c:pt idx="25">
                  <c:v>0</c:v>
                </c:pt>
                <c:pt idx="26">
                  <c:v>0</c:v>
                </c:pt>
                <c:pt idx="27">
                  <c:v>1</c:v>
                </c:pt>
                <c:pt idx="28">
                  <c:v>0</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1</c:v>
                </c:pt>
                <c:pt idx="47">
                  <c:v>0</c:v>
                </c:pt>
                <c:pt idx="48">
                  <c:v>2</c:v>
                </c:pt>
                <c:pt idx="49">
                  <c:v>0</c:v>
                </c:pt>
                <c:pt idx="50">
                  <c:v>0</c:v>
                </c:pt>
                <c:pt idx="51">
                  <c:v>16</c:v>
                </c:pt>
                <c:pt idx="52">
                  <c:v>0</c:v>
                </c:pt>
                <c:pt idx="53">
                  <c:v>0</c:v>
                </c:pt>
                <c:pt idx="54">
                  <c:v>0</c:v>
                </c:pt>
                <c:pt idx="55">
                  <c:v>0</c:v>
                </c:pt>
                <c:pt idx="56">
                  <c:v>0</c:v>
                </c:pt>
                <c:pt idx="57">
                  <c:v>1</c:v>
                </c:pt>
                <c:pt idx="58">
                  <c:v>0</c:v>
                </c:pt>
                <c:pt idx="59">
                  <c:v>1</c:v>
                </c:pt>
                <c:pt idx="60">
                  <c:v>3</c:v>
                </c:pt>
                <c:pt idx="61">
                  <c:v>0</c:v>
                </c:pt>
                <c:pt idx="62">
                  <c:v>0</c:v>
                </c:pt>
                <c:pt idx="63">
                  <c:v>0</c:v>
                </c:pt>
                <c:pt idx="64">
                  <c:v>0</c:v>
                </c:pt>
                <c:pt idx="65">
                  <c:v>0</c:v>
                </c:pt>
                <c:pt idx="66">
                  <c:v>0</c:v>
                </c:pt>
                <c:pt idx="67">
                  <c:v>3</c:v>
                </c:pt>
                <c:pt idx="68">
                  <c:v>0</c:v>
                </c:pt>
                <c:pt idx="69">
                  <c:v>2</c:v>
                </c:pt>
                <c:pt idx="70">
                  <c:v>0</c:v>
                </c:pt>
                <c:pt idx="71">
                  <c:v>0</c:v>
                </c:pt>
                <c:pt idx="72">
                  <c:v>0</c:v>
                </c:pt>
                <c:pt idx="73">
                  <c:v>0</c:v>
                </c:pt>
                <c:pt idx="74">
                  <c:v>0</c:v>
                </c:pt>
                <c:pt idx="75">
                  <c:v>0</c:v>
                </c:pt>
                <c:pt idx="76">
                  <c:v>0</c:v>
                </c:pt>
                <c:pt idx="77">
                  <c:v>1</c:v>
                </c:pt>
                <c:pt idx="78">
                  <c:v>0</c:v>
                </c:pt>
                <c:pt idx="79">
                  <c:v>0</c:v>
                </c:pt>
                <c:pt idx="80">
                  <c:v>0</c:v>
                </c:pt>
                <c:pt idx="81">
                  <c:v>0</c:v>
                </c:pt>
                <c:pt idx="82">
                  <c:v>0</c:v>
                </c:pt>
                <c:pt idx="83">
                  <c:v>0</c:v>
                </c:pt>
                <c:pt idx="84">
                  <c:v>1</c:v>
                </c:pt>
                <c:pt idx="85">
                  <c:v>0</c:v>
                </c:pt>
                <c:pt idx="86">
                  <c:v>0</c:v>
                </c:pt>
                <c:pt idx="87">
                  <c:v>0</c:v>
                </c:pt>
                <c:pt idx="88">
                  <c:v>1</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9-87C6-44EA-973E-4EE677DB667E}"/>
            </c:ext>
          </c:extLst>
        </c:ser>
        <c:ser>
          <c:idx val="10"/>
          <c:order val="10"/>
          <c:tx>
            <c:strRef>
              <c:f>Tabelle3!$M$1</c:f>
              <c:strCache>
                <c:ptCount val="1"/>
                <c:pt idx="0">
                  <c:v>2017-11-01</c:v>
                </c:pt>
              </c:strCache>
            </c:strRef>
          </c:tx>
          <c:spPr>
            <a:ln w="28575" cap="rnd">
              <a:solidFill>
                <a:schemeClr val="accent5">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Tabelle3!$M$2:$M$100</c:f>
              <c:numCache>
                <c:formatCode>General</c:formatCode>
                <c:ptCount val="99"/>
                <c:pt idx="0">
                  <c:v>0</c:v>
                </c:pt>
                <c:pt idx="1">
                  <c:v>0</c:v>
                </c:pt>
                <c:pt idx="2">
                  <c:v>0</c:v>
                </c:pt>
                <c:pt idx="3">
                  <c:v>2</c:v>
                </c:pt>
                <c:pt idx="4">
                  <c:v>0</c:v>
                </c:pt>
                <c:pt idx="5">
                  <c:v>0</c:v>
                </c:pt>
                <c:pt idx="6">
                  <c:v>1</c:v>
                </c:pt>
                <c:pt idx="7">
                  <c:v>0</c:v>
                </c:pt>
                <c:pt idx="8">
                  <c:v>1</c:v>
                </c:pt>
                <c:pt idx="9">
                  <c:v>0</c:v>
                </c:pt>
                <c:pt idx="10">
                  <c:v>0</c:v>
                </c:pt>
                <c:pt idx="11">
                  <c:v>0</c:v>
                </c:pt>
                <c:pt idx="12">
                  <c:v>0</c:v>
                </c:pt>
                <c:pt idx="13">
                  <c:v>0</c:v>
                </c:pt>
                <c:pt idx="14">
                  <c:v>0</c:v>
                </c:pt>
                <c:pt idx="15">
                  <c:v>0</c:v>
                </c:pt>
                <c:pt idx="16">
                  <c:v>2</c:v>
                </c:pt>
                <c:pt idx="17">
                  <c:v>0</c:v>
                </c:pt>
                <c:pt idx="18">
                  <c:v>1</c:v>
                </c:pt>
                <c:pt idx="19">
                  <c:v>0</c:v>
                </c:pt>
                <c:pt idx="20">
                  <c:v>0</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2</c:v>
                </c:pt>
                <c:pt idx="47">
                  <c:v>0</c:v>
                </c:pt>
                <c:pt idx="48">
                  <c:v>1</c:v>
                </c:pt>
                <c:pt idx="49">
                  <c:v>0</c:v>
                </c:pt>
                <c:pt idx="50">
                  <c:v>0</c:v>
                </c:pt>
                <c:pt idx="51">
                  <c:v>17</c:v>
                </c:pt>
                <c:pt idx="52">
                  <c:v>0</c:v>
                </c:pt>
                <c:pt idx="53">
                  <c:v>0</c:v>
                </c:pt>
                <c:pt idx="54">
                  <c:v>0</c:v>
                </c:pt>
                <c:pt idx="55">
                  <c:v>1</c:v>
                </c:pt>
                <c:pt idx="56">
                  <c:v>0</c:v>
                </c:pt>
                <c:pt idx="57">
                  <c:v>3</c:v>
                </c:pt>
                <c:pt idx="58">
                  <c:v>0</c:v>
                </c:pt>
                <c:pt idx="59">
                  <c:v>0</c:v>
                </c:pt>
                <c:pt idx="60">
                  <c:v>2</c:v>
                </c:pt>
                <c:pt idx="61">
                  <c:v>0</c:v>
                </c:pt>
                <c:pt idx="62">
                  <c:v>0</c:v>
                </c:pt>
                <c:pt idx="63">
                  <c:v>0</c:v>
                </c:pt>
                <c:pt idx="64">
                  <c:v>0</c:v>
                </c:pt>
                <c:pt idx="65">
                  <c:v>0</c:v>
                </c:pt>
                <c:pt idx="66">
                  <c:v>0</c:v>
                </c:pt>
                <c:pt idx="67">
                  <c:v>3</c:v>
                </c:pt>
                <c:pt idx="68">
                  <c:v>0</c:v>
                </c:pt>
                <c:pt idx="69">
                  <c:v>1</c:v>
                </c:pt>
                <c:pt idx="70">
                  <c:v>0</c:v>
                </c:pt>
                <c:pt idx="71">
                  <c:v>0</c:v>
                </c:pt>
                <c:pt idx="72">
                  <c:v>0</c:v>
                </c:pt>
                <c:pt idx="73">
                  <c:v>0</c:v>
                </c:pt>
                <c:pt idx="74">
                  <c:v>0</c:v>
                </c:pt>
                <c:pt idx="75">
                  <c:v>0</c:v>
                </c:pt>
                <c:pt idx="76">
                  <c:v>0</c:v>
                </c:pt>
                <c:pt idx="77">
                  <c:v>1</c:v>
                </c:pt>
                <c:pt idx="78">
                  <c:v>0</c:v>
                </c:pt>
                <c:pt idx="79">
                  <c:v>1</c:v>
                </c:pt>
                <c:pt idx="80">
                  <c:v>0</c:v>
                </c:pt>
                <c:pt idx="81">
                  <c:v>0</c:v>
                </c:pt>
                <c:pt idx="82">
                  <c:v>0</c:v>
                </c:pt>
                <c:pt idx="83">
                  <c:v>0</c:v>
                </c:pt>
                <c:pt idx="84">
                  <c:v>1</c:v>
                </c:pt>
                <c:pt idx="85">
                  <c:v>0</c:v>
                </c:pt>
                <c:pt idx="86">
                  <c:v>0</c:v>
                </c:pt>
                <c:pt idx="87">
                  <c:v>0</c:v>
                </c:pt>
                <c:pt idx="88">
                  <c:v>1</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A-87C6-44EA-973E-4EE677DB667E}"/>
            </c:ext>
          </c:extLst>
        </c:ser>
        <c:ser>
          <c:idx val="11"/>
          <c:order val="11"/>
          <c:tx>
            <c:strRef>
              <c:f>Tabelle3!$N$1</c:f>
              <c:strCache>
                <c:ptCount val="1"/>
                <c:pt idx="0">
                  <c:v>2017-12-01</c:v>
                </c:pt>
              </c:strCache>
            </c:strRef>
          </c:tx>
          <c:spPr>
            <a:ln w="28575" cap="rnd">
              <a:solidFill>
                <a:schemeClr val="accent6">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Tabelle3!$N$2:$N$100</c:f>
              <c:numCache>
                <c:formatCode>General</c:formatCode>
                <c:ptCount val="99"/>
                <c:pt idx="0">
                  <c:v>0</c:v>
                </c:pt>
                <c:pt idx="1">
                  <c:v>0</c:v>
                </c:pt>
                <c:pt idx="2">
                  <c:v>0</c:v>
                </c:pt>
                <c:pt idx="3">
                  <c:v>2</c:v>
                </c:pt>
                <c:pt idx="4">
                  <c:v>0</c:v>
                </c:pt>
                <c:pt idx="5">
                  <c:v>0</c:v>
                </c:pt>
                <c:pt idx="6">
                  <c:v>1</c:v>
                </c:pt>
                <c:pt idx="7">
                  <c:v>0</c:v>
                </c:pt>
                <c:pt idx="8">
                  <c:v>1</c:v>
                </c:pt>
                <c:pt idx="9">
                  <c:v>0</c:v>
                </c:pt>
                <c:pt idx="10">
                  <c:v>0</c:v>
                </c:pt>
                <c:pt idx="11">
                  <c:v>0</c:v>
                </c:pt>
                <c:pt idx="12">
                  <c:v>0</c:v>
                </c:pt>
                <c:pt idx="13">
                  <c:v>0</c:v>
                </c:pt>
                <c:pt idx="14">
                  <c:v>0</c:v>
                </c:pt>
                <c:pt idx="15">
                  <c:v>0</c:v>
                </c:pt>
                <c:pt idx="16">
                  <c:v>4</c:v>
                </c:pt>
                <c:pt idx="17">
                  <c:v>0</c:v>
                </c:pt>
                <c:pt idx="18">
                  <c:v>1</c:v>
                </c:pt>
                <c:pt idx="19">
                  <c:v>0</c:v>
                </c:pt>
                <c:pt idx="20">
                  <c:v>0</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2</c:v>
                </c:pt>
                <c:pt idx="47">
                  <c:v>0</c:v>
                </c:pt>
                <c:pt idx="48">
                  <c:v>1</c:v>
                </c:pt>
                <c:pt idx="49">
                  <c:v>0</c:v>
                </c:pt>
                <c:pt idx="50">
                  <c:v>0</c:v>
                </c:pt>
                <c:pt idx="51">
                  <c:v>20</c:v>
                </c:pt>
                <c:pt idx="52">
                  <c:v>1</c:v>
                </c:pt>
                <c:pt idx="53">
                  <c:v>0</c:v>
                </c:pt>
                <c:pt idx="54">
                  <c:v>0</c:v>
                </c:pt>
                <c:pt idx="55">
                  <c:v>1</c:v>
                </c:pt>
                <c:pt idx="56">
                  <c:v>0</c:v>
                </c:pt>
                <c:pt idx="57">
                  <c:v>2</c:v>
                </c:pt>
                <c:pt idx="58">
                  <c:v>0</c:v>
                </c:pt>
                <c:pt idx="59">
                  <c:v>0</c:v>
                </c:pt>
                <c:pt idx="60">
                  <c:v>2</c:v>
                </c:pt>
                <c:pt idx="61">
                  <c:v>0</c:v>
                </c:pt>
                <c:pt idx="62">
                  <c:v>0</c:v>
                </c:pt>
                <c:pt idx="63">
                  <c:v>0</c:v>
                </c:pt>
                <c:pt idx="64">
                  <c:v>0</c:v>
                </c:pt>
                <c:pt idx="65">
                  <c:v>0</c:v>
                </c:pt>
                <c:pt idx="66">
                  <c:v>0</c:v>
                </c:pt>
                <c:pt idx="67">
                  <c:v>3</c:v>
                </c:pt>
                <c:pt idx="68">
                  <c:v>0</c:v>
                </c:pt>
                <c:pt idx="69">
                  <c:v>1</c:v>
                </c:pt>
                <c:pt idx="70">
                  <c:v>0</c:v>
                </c:pt>
                <c:pt idx="71">
                  <c:v>0</c:v>
                </c:pt>
                <c:pt idx="72">
                  <c:v>0</c:v>
                </c:pt>
                <c:pt idx="73">
                  <c:v>0</c:v>
                </c:pt>
                <c:pt idx="74">
                  <c:v>0</c:v>
                </c:pt>
                <c:pt idx="75">
                  <c:v>1</c:v>
                </c:pt>
                <c:pt idx="76">
                  <c:v>0</c:v>
                </c:pt>
                <c:pt idx="77">
                  <c:v>1</c:v>
                </c:pt>
                <c:pt idx="78">
                  <c:v>0</c:v>
                </c:pt>
                <c:pt idx="79">
                  <c:v>1</c:v>
                </c:pt>
                <c:pt idx="80">
                  <c:v>0</c:v>
                </c:pt>
                <c:pt idx="81">
                  <c:v>0</c:v>
                </c:pt>
                <c:pt idx="82">
                  <c:v>0</c:v>
                </c:pt>
                <c:pt idx="83">
                  <c:v>0</c:v>
                </c:pt>
                <c:pt idx="84">
                  <c:v>1</c:v>
                </c:pt>
                <c:pt idx="85">
                  <c:v>0</c:v>
                </c:pt>
                <c:pt idx="86">
                  <c:v>0</c:v>
                </c:pt>
                <c:pt idx="87">
                  <c:v>0</c:v>
                </c:pt>
                <c:pt idx="88">
                  <c:v>1</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B-87C6-44EA-973E-4EE677DB667E}"/>
            </c:ext>
          </c:extLst>
        </c:ser>
        <c:ser>
          <c:idx val="12"/>
          <c:order val="12"/>
          <c:tx>
            <c:strRef>
              <c:f>Tabelle3!$O$1</c:f>
              <c:strCache>
                <c:ptCount val="1"/>
                <c:pt idx="0">
                  <c:v>2018-01-01</c:v>
                </c:pt>
              </c:strCache>
            </c:strRef>
          </c:tx>
          <c:spPr>
            <a:ln w="28575" cap="rnd">
              <a:solidFill>
                <a:schemeClr val="accent1">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Tabelle3!$O$2:$O$100</c:f>
              <c:numCache>
                <c:formatCode>General</c:formatCode>
                <c:ptCount val="99"/>
                <c:pt idx="0">
                  <c:v>0</c:v>
                </c:pt>
                <c:pt idx="1">
                  <c:v>0</c:v>
                </c:pt>
                <c:pt idx="2">
                  <c:v>0</c:v>
                </c:pt>
                <c:pt idx="3">
                  <c:v>2</c:v>
                </c:pt>
                <c:pt idx="4">
                  <c:v>0</c:v>
                </c:pt>
                <c:pt idx="5">
                  <c:v>0</c:v>
                </c:pt>
                <c:pt idx="6">
                  <c:v>2</c:v>
                </c:pt>
                <c:pt idx="7">
                  <c:v>0</c:v>
                </c:pt>
                <c:pt idx="8">
                  <c:v>1</c:v>
                </c:pt>
                <c:pt idx="9">
                  <c:v>0</c:v>
                </c:pt>
                <c:pt idx="10">
                  <c:v>0</c:v>
                </c:pt>
                <c:pt idx="11">
                  <c:v>0</c:v>
                </c:pt>
                <c:pt idx="12">
                  <c:v>0</c:v>
                </c:pt>
                <c:pt idx="13">
                  <c:v>0</c:v>
                </c:pt>
                <c:pt idx="14">
                  <c:v>0</c:v>
                </c:pt>
                <c:pt idx="15">
                  <c:v>0</c:v>
                </c:pt>
                <c:pt idx="16">
                  <c:v>4</c:v>
                </c:pt>
                <c:pt idx="17">
                  <c:v>0</c:v>
                </c:pt>
                <c:pt idx="18">
                  <c:v>1</c:v>
                </c:pt>
                <c:pt idx="19">
                  <c:v>0</c:v>
                </c:pt>
                <c:pt idx="20">
                  <c:v>0</c:v>
                </c:pt>
                <c:pt idx="21">
                  <c:v>0</c:v>
                </c:pt>
                <c:pt idx="22">
                  <c:v>1</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2</c:v>
                </c:pt>
                <c:pt idx="47">
                  <c:v>1</c:v>
                </c:pt>
                <c:pt idx="48">
                  <c:v>1</c:v>
                </c:pt>
                <c:pt idx="49">
                  <c:v>0</c:v>
                </c:pt>
                <c:pt idx="50">
                  <c:v>0</c:v>
                </c:pt>
                <c:pt idx="51">
                  <c:v>22</c:v>
                </c:pt>
                <c:pt idx="52">
                  <c:v>1</c:v>
                </c:pt>
                <c:pt idx="53">
                  <c:v>1</c:v>
                </c:pt>
                <c:pt idx="54">
                  <c:v>1</c:v>
                </c:pt>
                <c:pt idx="55">
                  <c:v>1</c:v>
                </c:pt>
                <c:pt idx="56">
                  <c:v>0</c:v>
                </c:pt>
                <c:pt idx="57">
                  <c:v>2</c:v>
                </c:pt>
                <c:pt idx="58">
                  <c:v>0</c:v>
                </c:pt>
                <c:pt idx="59">
                  <c:v>0</c:v>
                </c:pt>
                <c:pt idx="60">
                  <c:v>2</c:v>
                </c:pt>
                <c:pt idx="61">
                  <c:v>0</c:v>
                </c:pt>
                <c:pt idx="62">
                  <c:v>0</c:v>
                </c:pt>
                <c:pt idx="63">
                  <c:v>0</c:v>
                </c:pt>
                <c:pt idx="64">
                  <c:v>0</c:v>
                </c:pt>
                <c:pt idx="65">
                  <c:v>0</c:v>
                </c:pt>
                <c:pt idx="66">
                  <c:v>0</c:v>
                </c:pt>
                <c:pt idx="67">
                  <c:v>3</c:v>
                </c:pt>
                <c:pt idx="68">
                  <c:v>0</c:v>
                </c:pt>
                <c:pt idx="69">
                  <c:v>0</c:v>
                </c:pt>
                <c:pt idx="70">
                  <c:v>0</c:v>
                </c:pt>
                <c:pt idx="71">
                  <c:v>0</c:v>
                </c:pt>
                <c:pt idx="72">
                  <c:v>0</c:v>
                </c:pt>
                <c:pt idx="73">
                  <c:v>1</c:v>
                </c:pt>
                <c:pt idx="74">
                  <c:v>0</c:v>
                </c:pt>
                <c:pt idx="75">
                  <c:v>2</c:v>
                </c:pt>
                <c:pt idx="76">
                  <c:v>0</c:v>
                </c:pt>
                <c:pt idx="77">
                  <c:v>1</c:v>
                </c:pt>
                <c:pt idx="78">
                  <c:v>0</c:v>
                </c:pt>
                <c:pt idx="79">
                  <c:v>1</c:v>
                </c:pt>
                <c:pt idx="80">
                  <c:v>0</c:v>
                </c:pt>
                <c:pt idx="81">
                  <c:v>0</c:v>
                </c:pt>
                <c:pt idx="82">
                  <c:v>0</c:v>
                </c:pt>
                <c:pt idx="83">
                  <c:v>0</c:v>
                </c:pt>
                <c:pt idx="84">
                  <c:v>1</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C-87C6-44EA-973E-4EE677DB667E}"/>
            </c:ext>
          </c:extLst>
        </c:ser>
        <c:ser>
          <c:idx val="13"/>
          <c:order val="13"/>
          <c:tx>
            <c:strRef>
              <c:f>Tabelle3!$P$1</c:f>
              <c:strCache>
                <c:ptCount val="1"/>
                <c:pt idx="0">
                  <c:v>2018-02-01</c:v>
                </c:pt>
              </c:strCache>
            </c:strRef>
          </c:tx>
          <c:spPr>
            <a:ln w="28575" cap="rnd">
              <a:solidFill>
                <a:schemeClr val="accent2">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Tabelle3!$P$2:$P$100</c:f>
              <c:numCache>
                <c:formatCode>General</c:formatCode>
                <c:ptCount val="99"/>
                <c:pt idx="0">
                  <c:v>0</c:v>
                </c:pt>
                <c:pt idx="1">
                  <c:v>0</c:v>
                </c:pt>
                <c:pt idx="2">
                  <c:v>0</c:v>
                </c:pt>
                <c:pt idx="3">
                  <c:v>2</c:v>
                </c:pt>
                <c:pt idx="4">
                  <c:v>0</c:v>
                </c:pt>
                <c:pt idx="5">
                  <c:v>0</c:v>
                </c:pt>
                <c:pt idx="6">
                  <c:v>2</c:v>
                </c:pt>
                <c:pt idx="7">
                  <c:v>0</c:v>
                </c:pt>
                <c:pt idx="8">
                  <c:v>1</c:v>
                </c:pt>
                <c:pt idx="9">
                  <c:v>0</c:v>
                </c:pt>
                <c:pt idx="10">
                  <c:v>0</c:v>
                </c:pt>
                <c:pt idx="11">
                  <c:v>0</c:v>
                </c:pt>
                <c:pt idx="12">
                  <c:v>0</c:v>
                </c:pt>
                <c:pt idx="13">
                  <c:v>0</c:v>
                </c:pt>
                <c:pt idx="14">
                  <c:v>0</c:v>
                </c:pt>
                <c:pt idx="15">
                  <c:v>0</c:v>
                </c:pt>
                <c:pt idx="16">
                  <c:v>5</c:v>
                </c:pt>
                <c:pt idx="17">
                  <c:v>1</c:v>
                </c:pt>
                <c:pt idx="18">
                  <c:v>1</c:v>
                </c:pt>
                <c:pt idx="19">
                  <c:v>1</c:v>
                </c:pt>
                <c:pt idx="20">
                  <c:v>2</c:v>
                </c:pt>
                <c:pt idx="21">
                  <c:v>1</c:v>
                </c:pt>
                <c:pt idx="22">
                  <c:v>1</c:v>
                </c:pt>
                <c:pt idx="23">
                  <c:v>0</c:v>
                </c:pt>
                <c:pt idx="24">
                  <c:v>0</c:v>
                </c:pt>
                <c:pt idx="25">
                  <c:v>0</c:v>
                </c:pt>
                <c:pt idx="26">
                  <c:v>0</c:v>
                </c:pt>
                <c:pt idx="27">
                  <c:v>0</c:v>
                </c:pt>
                <c:pt idx="28">
                  <c:v>0</c:v>
                </c:pt>
                <c:pt idx="29">
                  <c:v>0</c:v>
                </c:pt>
                <c:pt idx="30">
                  <c:v>3</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1</c:v>
                </c:pt>
                <c:pt idx="47">
                  <c:v>1</c:v>
                </c:pt>
                <c:pt idx="48">
                  <c:v>1</c:v>
                </c:pt>
                <c:pt idx="49">
                  <c:v>0</c:v>
                </c:pt>
                <c:pt idx="50">
                  <c:v>0</c:v>
                </c:pt>
                <c:pt idx="51">
                  <c:v>19</c:v>
                </c:pt>
                <c:pt idx="52">
                  <c:v>1</c:v>
                </c:pt>
                <c:pt idx="53">
                  <c:v>1</c:v>
                </c:pt>
                <c:pt idx="54">
                  <c:v>1</c:v>
                </c:pt>
                <c:pt idx="55">
                  <c:v>1</c:v>
                </c:pt>
                <c:pt idx="56">
                  <c:v>0</c:v>
                </c:pt>
                <c:pt idx="57">
                  <c:v>3</c:v>
                </c:pt>
                <c:pt idx="58">
                  <c:v>0</c:v>
                </c:pt>
                <c:pt idx="59">
                  <c:v>0</c:v>
                </c:pt>
                <c:pt idx="60">
                  <c:v>2</c:v>
                </c:pt>
                <c:pt idx="61">
                  <c:v>0</c:v>
                </c:pt>
                <c:pt idx="62">
                  <c:v>0</c:v>
                </c:pt>
                <c:pt idx="63">
                  <c:v>0</c:v>
                </c:pt>
                <c:pt idx="64">
                  <c:v>0</c:v>
                </c:pt>
                <c:pt idx="65">
                  <c:v>0</c:v>
                </c:pt>
                <c:pt idx="66">
                  <c:v>0</c:v>
                </c:pt>
                <c:pt idx="67">
                  <c:v>0</c:v>
                </c:pt>
                <c:pt idx="68">
                  <c:v>0</c:v>
                </c:pt>
                <c:pt idx="69">
                  <c:v>0</c:v>
                </c:pt>
                <c:pt idx="70">
                  <c:v>0</c:v>
                </c:pt>
                <c:pt idx="71">
                  <c:v>1</c:v>
                </c:pt>
                <c:pt idx="72">
                  <c:v>0</c:v>
                </c:pt>
                <c:pt idx="73">
                  <c:v>1</c:v>
                </c:pt>
                <c:pt idx="74">
                  <c:v>0</c:v>
                </c:pt>
                <c:pt idx="75">
                  <c:v>2</c:v>
                </c:pt>
                <c:pt idx="76">
                  <c:v>0</c:v>
                </c:pt>
                <c:pt idx="77">
                  <c:v>1</c:v>
                </c:pt>
                <c:pt idx="78">
                  <c:v>0</c:v>
                </c:pt>
                <c:pt idx="79">
                  <c:v>1</c:v>
                </c:pt>
                <c:pt idx="80">
                  <c:v>0</c:v>
                </c:pt>
                <c:pt idx="81">
                  <c:v>0</c:v>
                </c:pt>
                <c:pt idx="82">
                  <c:v>0</c:v>
                </c:pt>
                <c:pt idx="83">
                  <c:v>0</c:v>
                </c:pt>
                <c:pt idx="84">
                  <c:v>1</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D-87C6-44EA-973E-4EE677DB667E}"/>
            </c:ext>
          </c:extLst>
        </c:ser>
        <c:ser>
          <c:idx val="14"/>
          <c:order val="14"/>
          <c:tx>
            <c:strRef>
              <c:f>Tabelle3!$Q$1</c:f>
              <c:strCache>
                <c:ptCount val="1"/>
                <c:pt idx="0">
                  <c:v>2018-03-01</c:v>
                </c:pt>
              </c:strCache>
            </c:strRef>
          </c:tx>
          <c:spPr>
            <a:ln w="28575" cap="rnd">
              <a:solidFill>
                <a:schemeClr val="accent3">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Tabelle3!$Q$2:$Q$100</c:f>
              <c:numCache>
                <c:formatCode>General</c:formatCode>
                <c:ptCount val="99"/>
                <c:pt idx="0">
                  <c:v>0</c:v>
                </c:pt>
                <c:pt idx="1">
                  <c:v>0</c:v>
                </c:pt>
                <c:pt idx="2">
                  <c:v>0</c:v>
                </c:pt>
                <c:pt idx="3">
                  <c:v>2</c:v>
                </c:pt>
                <c:pt idx="4">
                  <c:v>0</c:v>
                </c:pt>
                <c:pt idx="5">
                  <c:v>0</c:v>
                </c:pt>
                <c:pt idx="6">
                  <c:v>2</c:v>
                </c:pt>
                <c:pt idx="7">
                  <c:v>0</c:v>
                </c:pt>
                <c:pt idx="8">
                  <c:v>1</c:v>
                </c:pt>
                <c:pt idx="9">
                  <c:v>0</c:v>
                </c:pt>
                <c:pt idx="10">
                  <c:v>0</c:v>
                </c:pt>
                <c:pt idx="11">
                  <c:v>0</c:v>
                </c:pt>
                <c:pt idx="12">
                  <c:v>0</c:v>
                </c:pt>
                <c:pt idx="13">
                  <c:v>0</c:v>
                </c:pt>
                <c:pt idx="14">
                  <c:v>0</c:v>
                </c:pt>
                <c:pt idx="15">
                  <c:v>0</c:v>
                </c:pt>
                <c:pt idx="16">
                  <c:v>3</c:v>
                </c:pt>
                <c:pt idx="17">
                  <c:v>1</c:v>
                </c:pt>
                <c:pt idx="18">
                  <c:v>1</c:v>
                </c:pt>
                <c:pt idx="19">
                  <c:v>2</c:v>
                </c:pt>
                <c:pt idx="20">
                  <c:v>2</c:v>
                </c:pt>
                <c:pt idx="21">
                  <c:v>3</c:v>
                </c:pt>
                <c:pt idx="22">
                  <c:v>1</c:v>
                </c:pt>
                <c:pt idx="23">
                  <c:v>0</c:v>
                </c:pt>
                <c:pt idx="24">
                  <c:v>0</c:v>
                </c:pt>
                <c:pt idx="25">
                  <c:v>0</c:v>
                </c:pt>
                <c:pt idx="26">
                  <c:v>0</c:v>
                </c:pt>
                <c:pt idx="27">
                  <c:v>0</c:v>
                </c:pt>
                <c:pt idx="28">
                  <c:v>1</c:v>
                </c:pt>
                <c:pt idx="29">
                  <c:v>0</c:v>
                </c:pt>
                <c:pt idx="30">
                  <c:v>3</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1</c:v>
                </c:pt>
                <c:pt idx="48">
                  <c:v>1</c:v>
                </c:pt>
                <c:pt idx="49">
                  <c:v>0</c:v>
                </c:pt>
                <c:pt idx="50">
                  <c:v>0</c:v>
                </c:pt>
                <c:pt idx="51">
                  <c:v>17</c:v>
                </c:pt>
                <c:pt idx="52">
                  <c:v>1</c:v>
                </c:pt>
                <c:pt idx="53">
                  <c:v>1</c:v>
                </c:pt>
                <c:pt idx="54">
                  <c:v>2</c:v>
                </c:pt>
                <c:pt idx="55">
                  <c:v>0</c:v>
                </c:pt>
                <c:pt idx="56">
                  <c:v>0</c:v>
                </c:pt>
                <c:pt idx="57">
                  <c:v>2</c:v>
                </c:pt>
                <c:pt idx="58">
                  <c:v>0</c:v>
                </c:pt>
                <c:pt idx="59">
                  <c:v>0</c:v>
                </c:pt>
                <c:pt idx="60">
                  <c:v>2</c:v>
                </c:pt>
                <c:pt idx="61">
                  <c:v>0</c:v>
                </c:pt>
                <c:pt idx="62">
                  <c:v>0</c:v>
                </c:pt>
                <c:pt idx="63">
                  <c:v>0</c:v>
                </c:pt>
                <c:pt idx="64">
                  <c:v>0</c:v>
                </c:pt>
                <c:pt idx="65">
                  <c:v>0</c:v>
                </c:pt>
                <c:pt idx="66">
                  <c:v>0</c:v>
                </c:pt>
                <c:pt idx="67">
                  <c:v>0</c:v>
                </c:pt>
                <c:pt idx="68">
                  <c:v>2</c:v>
                </c:pt>
                <c:pt idx="69">
                  <c:v>0</c:v>
                </c:pt>
                <c:pt idx="70">
                  <c:v>0</c:v>
                </c:pt>
                <c:pt idx="71">
                  <c:v>1</c:v>
                </c:pt>
                <c:pt idx="72">
                  <c:v>0</c:v>
                </c:pt>
                <c:pt idx="73">
                  <c:v>2</c:v>
                </c:pt>
                <c:pt idx="74">
                  <c:v>0</c:v>
                </c:pt>
                <c:pt idx="75">
                  <c:v>2</c:v>
                </c:pt>
                <c:pt idx="76">
                  <c:v>0</c:v>
                </c:pt>
                <c:pt idx="77">
                  <c:v>1</c:v>
                </c:pt>
                <c:pt idx="78">
                  <c:v>0</c:v>
                </c:pt>
                <c:pt idx="79">
                  <c:v>1</c:v>
                </c:pt>
                <c:pt idx="80">
                  <c:v>0</c:v>
                </c:pt>
                <c:pt idx="81">
                  <c:v>0</c:v>
                </c:pt>
                <c:pt idx="82">
                  <c:v>0</c:v>
                </c:pt>
                <c:pt idx="83">
                  <c:v>0</c:v>
                </c:pt>
                <c:pt idx="84">
                  <c:v>1</c:v>
                </c:pt>
                <c:pt idx="85">
                  <c:v>0</c:v>
                </c:pt>
                <c:pt idx="86">
                  <c:v>0</c:v>
                </c:pt>
                <c:pt idx="87">
                  <c:v>0</c:v>
                </c:pt>
                <c:pt idx="88">
                  <c:v>1</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E-87C6-44EA-973E-4EE677DB667E}"/>
            </c:ext>
          </c:extLst>
        </c:ser>
        <c:ser>
          <c:idx val="15"/>
          <c:order val="15"/>
          <c:tx>
            <c:strRef>
              <c:f>Tabelle3!$R$1</c:f>
              <c:strCache>
                <c:ptCount val="1"/>
                <c:pt idx="0">
                  <c:v>2018-04-01</c:v>
                </c:pt>
              </c:strCache>
            </c:strRef>
          </c:tx>
          <c:spPr>
            <a:ln w="28575" cap="rnd">
              <a:solidFill>
                <a:schemeClr val="accent4">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Tabelle3!$R$2:$R$100</c:f>
              <c:numCache>
                <c:formatCode>General</c:formatCode>
                <c:ptCount val="99"/>
                <c:pt idx="0">
                  <c:v>0</c:v>
                </c:pt>
                <c:pt idx="1">
                  <c:v>0</c:v>
                </c:pt>
                <c:pt idx="2">
                  <c:v>0</c:v>
                </c:pt>
                <c:pt idx="3">
                  <c:v>2</c:v>
                </c:pt>
                <c:pt idx="4">
                  <c:v>0</c:v>
                </c:pt>
                <c:pt idx="5">
                  <c:v>0</c:v>
                </c:pt>
                <c:pt idx="6">
                  <c:v>2</c:v>
                </c:pt>
                <c:pt idx="7">
                  <c:v>0</c:v>
                </c:pt>
                <c:pt idx="8">
                  <c:v>2</c:v>
                </c:pt>
                <c:pt idx="9">
                  <c:v>0</c:v>
                </c:pt>
                <c:pt idx="10">
                  <c:v>0</c:v>
                </c:pt>
                <c:pt idx="11">
                  <c:v>0</c:v>
                </c:pt>
                <c:pt idx="12">
                  <c:v>0</c:v>
                </c:pt>
                <c:pt idx="13">
                  <c:v>0</c:v>
                </c:pt>
                <c:pt idx="14">
                  <c:v>0</c:v>
                </c:pt>
                <c:pt idx="15">
                  <c:v>0</c:v>
                </c:pt>
                <c:pt idx="16">
                  <c:v>3</c:v>
                </c:pt>
                <c:pt idx="17">
                  <c:v>1</c:v>
                </c:pt>
                <c:pt idx="18">
                  <c:v>1</c:v>
                </c:pt>
                <c:pt idx="19">
                  <c:v>1</c:v>
                </c:pt>
                <c:pt idx="20">
                  <c:v>2</c:v>
                </c:pt>
                <c:pt idx="21">
                  <c:v>3</c:v>
                </c:pt>
                <c:pt idx="22">
                  <c:v>2</c:v>
                </c:pt>
                <c:pt idx="23">
                  <c:v>0</c:v>
                </c:pt>
                <c:pt idx="24">
                  <c:v>0</c:v>
                </c:pt>
                <c:pt idx="25">
                  <c:v>0</c:v>
                </c:pt>
                <c:pt idx="26">
                  <c:v>0</c:v>
                </c:pt>
                <c:pt idx="27">
                  <c:v>0</c:v>
                </c:pt>
                <c:pt idx="28">
                  <c:v>1</c:v>
                </c:pt>
                <c:pt idx="29">
                  <c:v>0</c:v>
                </c:pt>
                <c:pt idx="30">
                  <c:v>3</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1</c:v>
                </c:pt>
                <c:pt idx="48">
                  <c:v>1</c:v>
                </c:pt>
                <c:pt idx="49">
                  <c:v>0</c:v>
                </c:pt>
                <c:pt idx="50">
                  <c:v>0</c:v>
                </c:pt>
                <c:pt idx="51">
                  <c:v>17</c:v>
                </c:pt>
                <c:pt idx="52">
                  <c:v>0</c:v>
                </c:pt>
                <c:pt idx="53">
                  <c:v>1</c:v>
                </c:pt>
                <c:pt idx="54">
                  <c:v>3</c:v>
                </c:pt>
                <c:pt idx="55">
                  <c:v>0</c:v>
                </c:pt>
                <c:pt idx="56">
                  <c:v>0</c:v>
                </c:pt>
                <c:pt idx="57">
                  <c:v>1</c:v>
                </c:pt>
                <c:pt idx="58">
                  <c:v>0</c:v>
                </c:pt>
                <c:pt idx="59">
                  <c:v>0</c:v>
                </c:pt>
                <c:pt idx="60">
                  <c:v>2</c:v>
                </c:pt>
                <c:pt idx="61">
                  <c:v>0</c:v>
                </c:pt>
                <c:pt idx="62">
                  <c:v>0</c:v>
                </c:pt>
                <c:pt idx="63">
                  <c:v>0</c:v>
                </c:pt>
                <c:pt idx="64">
                  <c:v>0</c:v>
                </c:pt>
                <c:pt idx="65">
                  <c:v>0</c:v>
                </c:pt>
                <c:pt idx="66">
                  <c:v>0</c:v>
                </c:pt>
                <c:pt idx="67">
                  <c:v>1</c:v>
                </c:pt>
                <c:pt idx="68">
                  <c:v>2</c:v>
                </c:pt>
                <c:pt idx="69">
                  <c:v>0</c:v>
                </c:pt>
                <c:pt idx="70">
                  <c:v>0</c:v>
                </c:pt>
                <c:pt idx="71">
                  <c:v>1</c:v>
                </c:pt>
                <c:pt idx="72">
                  <c:v>0</c:v>
                </c:pt>
                <c:pt idx="73">
                  <c:v>2</c:v>
                </c:pt>
                <c:pt idx="74">
                  <c:v>0</c:v>
                </c:pt>
                <c:pt idx="75">
                  <c:v>2</c:v>
                </c:pt>
                <c:pt idx="76">
                  <c:v>0</c:v>
                </c:pt>
                <c:pt idx="77">
                  <c:v>1</c:v>
                </c:pt>
                <c:pt idx="78">
                  <c:v>0</c:v>
                </c:pt>
                <c:pt idx="79">
                  <c:v>1</c:v>
                </c:pt>
                <c:pt idx="80">
                  <c:v>0</c:v>
                </c:pt>
                <c:pt idx="81">
                  <c:v>0</c:v>
                </c:pt>
                <c:pt idx="82">
                  <c:v>0</c:v>
                </c:pt>
                <c:pt idx="83">
                  <c:v>0</c:v>
                </c:pt>
                <c:pt idx="84">
                  <c:v>1</c:v>
                </c:pt>
                <c:pt idx="85">
                  <c:v>0</c:v>
                </c:pt>
                <c:pt idx="86">
                  <c:v>0</c:v>
                </c:pt>
                <c:pt idx="87">
                  <c:v>0</c:v>
                </c:pt>
                <c:pt idx="88">
                  <c:v>0</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F-87C6-44EA-973E-4EE677DB667E}"/>
            </c:ext>
          </c:extLst>
        </c:ser>
        <c:ser>
          <c:idx val="16"/>
          <c:order val="16"/>
          <c:tx>
            <c:strRef>
              <c:f>Tabelle3!$S$1</c:f>
              <c:strCache>
                <c:ptCount val="1"/>
                <c:pt idx="0">
                  <c:v>2018-05-01</c:v>
                </c:pt>
              </c:strCache>
            </c:strRef>
          </c:tx>
          <c:spPr>
            <a:ln w="28575" cap="rnd">
              <a:solidFill>
                <a:schemeClr val="accent5">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Tabelle3!$S$2:$S$100</c:f>
              <c:numCache>
                <c:formatCode>General</c:formatCode>
                <c:ptCount val="99"/>
                <c:pt idx="0">
                  <c:v>0</c:v>
                </c:pt>
                <c:pt idx="1">
                  <c:v>0</c:v>
                </c:pt>
                <c:pt idx="2">
                  <c:v>0</c:v>
                </c:pt>
                <c:pt idx="3">
                  <c:v>1</c:v>
                </c:pt>
                <c:pt idx="4">
                  <c:v>0</c:v>
                </c:pt>
                <c:pt idx="5">
                  <c:v>0</c:v>
                </c:pt>
                <c:pt idx="6">
                  <c:v>2</c:v>
                </c:pt>
                <c:pt idx="7">
                  <c:v>0</c:v>
                </c:pt>
                <c:pt idx="8">
                  <c:v>2</c:v>
                </c:pt>
                <c:pt idx="9">
                  <c:v>0</c:v>
                </c:pt>
                <c:pt idx="10">
                  <c:v>0</c:v>
                </c:pt>
                <c:pt idx="11">
                  <c:v>0</c:v>
                </c:pt>
                <c:pt idx="12">
                  <c:v>0</c:v>
                </c:pt>
                <c:pt idx="13">
                  <c:v>0</c:v>
                </c:pt>
                <c:pt idx="14">
                  <c:v>0</c:v>
                </c:pt>
                <c:pt idx="15">
                  <c:v>0</c:v>
                </c:pt>
                <c:pt idx="16">
                  <c:v>2</c:v>
                </c:pt>
                <c:pt idx="17">
                  <c:v>1</c:v>
                </c:pt>
                <c:pt idx="18">
                  <c:v>1</c:v>
                </c:pt>
                <c:pt idx="19">
                  <c:v>0</c:v>
                </c:pt>
                <c:pt idx="20">
                  <c:v>0</c:v>
                </c:pt>
                <c:pt idx="21">
                  <c:v>2</c:v>
                </c:pt>
                <c:pt idx="22">
                  <c:v>3</c:v>
                </c:pt>
                <c:pt idx="23">
                  <c:v>0</c:v>
                </c:pt>
                <c:pt idx="24">
                  <c:v>0</c:v>
                </c:pt>
                <c:pt idx="25">
                  <c:v>0</c:v>
                </c:pt>
                <c:pt idx="26">
                  <c:v>0</c:v>
                </c:pt>
                <c:pt idx="27">
                  <c:v>0</c:v>
                </c:pt>
                <c:pt idx="28">
                  <c:v>1</c:v>
                </c:pt>
                <c:pt idx="29">
                  <c:v>0</c:v>
                </c:pt>
                <c:pt idx="30">
                  <c:v>3</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4</c:v>
                </c:pt>
                <c:pt idx="48">
                  <c:v>1</c:v>
                </c:pt>
                <c:pt idx="49">
                  <c:v>0</c:v>
                </c:pt>
                <c:pt idx="50">
                  <c:v>0</c:v>
                </c:pt>
                <c:pt idx="51">
                  <c:v>18</c:v>
                </c:pt>
                <c:pt idx="52">
                  <c:v>0</c:v>
                </c:pt>
                <c:pt idx="53">
                  <c:v>1</c:v>
                </c:pt>
                <c:pt idx="54">
                  <c:v>2</c:v>
                </c:pt>
                <c:pt idx="55">
                  <c:v>0</c:v>
                </c:pt>
                <c:pt idx="56">
                  <c:v>0</c:v>
                </c:pt>
                <c:pt idx="57">
                  <c:v>1</c:v>
                </c:pt>
                <c:pt idx="58">
                  <c:v>0</c:v>
                </c:pt>
                <c:pt idx="59">
                  <c:v>0</c:v>
                </c:pt>
                <c:pt idx="60">
                  <c:v>2</c:v>
                </c:pt>
                <c:pt idx="61">
                  <c:v>0</c:v>
                </c:pt>
                <c:pt idx="62">
                  <c:v>0</c:v>
                </c:pt>
                <c:pt idx="63">
                  <c:v>0</c:v>
                </c:pt>
                <c:pt idx="64">
                  <c:v>0</c:v>
                </c:pt>
                <c:pt idx="65">
                  <c:v>1</c:v>
                </c:pt>
                <c:pt idx="66">
                  <c:v>0</c:v>
                </c:pt>
                <c:pt idx="67">
                  <c:v>1</c:v>
                </c:pt>
                <c:pt idx="68">
                  <c:v>2</c:v>
                </c:pt>
                <c:pt idx="69">
                  <c:v>0</c:v>
                </c:pt>
                <c:pt idx="70">
                  <c:v>0</c:v>
                </c:pt>
                <c:pt idx="71">
                  <c:v>1</c:v>
                </c:pt>
                <c:pt idx="72">
                  <c:v>0</c:v>
                </c:pt>
                <c:pt idx="73">
                  <c:v>2</c:v>
                </c:pt>
                <c:pt idx="74">
                  <c:v>0</c:v>
                </c:pt>
                <c:pt idx="75">
                  <c:v>1</c:v>
                </c:pt>
                <c:pt idx="76">
                  <c:v>0</c:v>
                </c:pt>
                <c:pt idx="77">
                  <c:v>1</c:v>
                </c:pt>
                <c:pt idx="78">
                  <c:v>0</c:v>
                </c:pt>
                <c:pt idx="79">
                  <c:v>1</c:v>
                </c:pt>
                <c:pt idx="80">
                  <c:v>0</c:v>
                </c:pt>
                <c:pt idx="81">
                  <c:v>0</c:v>
                </c:pt>
                <c:pt idx="82">
                  <c:v>0</c:v>
                </c:pt>
                <c:pt idx="83">
                  <c:v>0</c:v>
                </c:pt>
                <c:pt idx="84">
                  <c:v>1</c:v>
                </c:pt>
                <c:pt idx="85">
                  <c:v>0</c:v>
                </c:pt>
                <c:pt idx="86">
                  <c:v>0</c:v>
                </c:pt>
                <c:pt idx="87">
                  <c:v>0</c:v>
                </c:pt>
                <c:pt idx="88">
                  <c:v>0</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0-87C6-44EA-973E-4EE677DB667E}"/>
            </c:ext>
          </c:extLst>
        </c:ser>
        <c:ser>
          <c:idx val="17"/>
          <c:order val="17"/>
          <c:tx>
            <c:strRef>
              <c:f>Tabelle3!$T$1</c:f>
              <c:strCache>
                <c:ptCount val="1"/>
                <c:pt idx="0">
                  <c:v>2018-06-01</c:v>
                </c:pt>
              </c:strCache>
            </c:strRef>
          </c:tx>
          <c:spPr>
            <a:ln w="28575" cap="rnd">
              <a:solidFill>
                <a:schemeClr val="accent6">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Tabelle3!$T$2:$T$100</c:f>
              <c:numCache>
                <c:formatCode>General</c:formatCode>
                <c:ptCount val="99"/>
                <c:pt idx="0">
                  <c:v>0</c:v>
                </c:pt>
                <c:pt idx="1">
                  <c:v>0</c:v>
                </c:pt>
                <c:pt idx="2">
                  <c:v>0</c:v>
                </c:pt>
                <c:pt idx="3">
                  <c:v>1</c:v>
                </c:pt>
                <c:pt idx="4">
                  <c:v>0</c:v>
                </c:pt>
                <c:pt idx="5">
                  <c:v>0</c:v>
                </c:pt>
                <c:pt idx="6">
                  <c:v>2</c:v>
                </c:pt>
                <c:pt idx="7">
                  <c:v>0</c:v>
                </c:pt>
                <c:pt idx="8">
                  <c:v>2</c:v>
                </c:pt>
                <c:pt idx="9">
                  <c:v>0</c:v>
                </c:pt>
                <c:pt idx="10">
                  <c:v>0</c:v>
                </c:pt>
                <c:pt idx="11">
                  <c:v>0</c:v>
                </c:pt>
                <c:pt idx="12">
                  <c:v>0</c:v>
                </c:pt>
                <c:pt idx="13">
                  <c:v>0</c:v>
                </c:pt>
                <c:pt idx="14">
                  <c:v>0</c:v>
                </c:pt>
                <c:pt idx="15">
                  <c:v>0</c:v>
                </c:pt>
                <c:pt idx="16">
                  <c:v>1</c:v>
                </c:pt>
                <c:pt idx="17">
                  <c:v>0</c:v>
                </c:pt>
                <c:pt idx="18">
                  <c:v>1</c:v>
                </c:pt>
                <c:pt idx="19">
                  <c:v>0</c:v>
                </c:pt>
                <c:pt idx="20">
                  <c:v>0</c:v>
                </c:pt>
                <c:pt idx="21">
                  <c:v>2</c:v>
                </c:pt>
                <c:pt idx="22">
                  <c:v>2</c:v>
                </c:pt>
                <c:pt idx="23">
                  <c:v>0</c:v>
                </c:pt>
                <c:pt idx="24">
                  <c:v>0</c:v>
                </c:pt>
                <c:pt idx="25">
                  <c:v>0</c:v>
                </c:pt>
                <c:pt idx="26">
                  <c:v>0</c:v>
                </c:pt>
                <c:pt idx="27">
                  <c:v>0</c:v>
                </c:pt>
                <c:pt idx="28">
                  <c:v>2</c:v>
                </c:pt>
                <c:pt idx="29">
                  <c:v>0</c:v>
                </c:pt>
                <c:pt idx="30">
                  <c:v>3</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4</c:v>
                </c:pt>
                <c:pt idx="48">
                  <c:v>1</c:v>
                </c:pt>
                <c:pt idx="49">
                  <c:v>0</c:v>
                </c:pt>
                <c:pt idx="50">
                  <c:v>0</c:v>
                </c:pt>
                <c:pt idx="51">
                  <c:v>18</c:v>
                </c:pt>
                <c:pt idx="52">
                  <c:v>0</c:v>
                </c:pt>
                <c:pt idx="53">
                  <c:v>1</c:v>
                </c:pt>
                <c:pt idx="54">
                  <c:v>1</c:v>
                </c:pt>
                <c:pt idx="55">
                  <c:v>0</c:v>
                </c:pt>
                <c:pt idx="56">
                  <c:v>0</c:v>
                </c:pt>
                <c:pt idx="57">
                  <c:v>4</c:v>
                </c:pt>
                <c:pt idx="58">
                  <c:v>0</c:v>
                </c:pt>
                <c:pt idx="59">
                  <c:v>0</c:v>
                </c:pt>
                <c:pt idx="60">
                  <c:v>2</c:v>
                </c:pt>
                <c:pt idx="61">
                  <c:v>1</c:v>
                </c:pt>
                <c:pt idx="62">
                  <c:v>0</c:v>
                </c:pt>
                <c:pt idx="63">
                  <c:v>1</c:v>
                </c:pt>
                <c:pt idx="64">
                  <c:v>0</c:v>
                </c:pt>
                <c:pt idx="65">
                  <c:v>1</c:v>
                </c:pt>
                <c:pt idx="66">
                  <c:v>0</c:v>
                </c:pt>
                <c:pt idx="67">
                  <c:v>1</c:v>
                </c:pt>
                <c:pt idx="68">
                  <c:v>2</c:v>
                </c:pt>
                <c:pt idx="69">
                  <c:v>0</c:v>
                </c:pt>
                <c:pt idx="70">
                  <c:v>0</c:v>
                </c:pt>
                <c:pt idx="71">
                  <c:v>1</c:v>
                </c:pt>
                <c:pt idx="72">
                  <c:v>0</c:v>
                </c:pt>
                <c:pt idx="73">
                  <c:v>1</c:v>
                </c:pt>
                <c:pt idx="74">
                  <c:v>0</c:v>
                </c:pt>
                <c:pt idx="75">
                  <c:v>1</c:v>
                </c:pt>
                <c:pt idx="76">
                  <c:v>0</c:v>
                </c:pt>
                <c:pt idx="77">
                  <c:v>1</c:v>
                </c:pt>
                <c:pt idx="78">
                  <c:v>0</c:v>
                </c:pt>
                <c:pt idx="79">
                  <c:v>3</c:v>
                </c:pt>
                <c:pt idx="80">
                  <c:v>0</c:v>
                </c:pt>
                <c:pt idx="81">
                  <c:v>0</c:v>
                </c:pt>
                <c:pt idx="82">
                  <c:v>0</c:v>
                </c:pt>
                <c:pt idx="83">
                  <c:v>0</c:v>
                </c:pt>
                <c:pt idx="84">
                  <c:v>1</c:v>
                </c:pt>
                <c:pt idx="85">
                  <c:v>0</c:v>
                </c:pt>
                <c:pt idx="86">
                  <c:v>0</c:v>
                </c:pt>
                <c:pt idx="87">
                  <c:v>0</c:v>
                </c:pt>
                <c:pt idx="88">
                  <c:v>0</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1-87C6-44EA-973E-4EE677DB667E}"/>
            </c:ext>
          </c:extLst>
        </c:ser>
        <c:ser>
          <c:idx val="18"/>
          <c:order val="18"/>
          <c:tx>
            <c:strRef>
              <c:f>Tabelle3!$U$1</c:f>
              <c:strCache>
                <c:ptCount val="1"/>
                <c:pt idx="0">
                  <c:v>2018-07-01</c:v>
                </c:pt>
              </c:strCache>
            </c:strRef>
          </c:tx>
          <c:spPr>
            <a:ln w="28575" cap="rnd">
              <a:solidFill>
                <a:schemeClr val="accent1">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Tabelle3!$U$2:$U$100</c:f>
              <c:numCache>
                <c:formatCode>General</c:formatCode>
                <c:ptCount val="99"/>
                <c:pt idx="0">
                  <c:v>0</c:v>
                </c:pt>
                <c:pt idx="1">
                  <c:v>0</c:v>
                </c:pt>
                <c:pt idx="2">
                  <c:v>0</c:v>
                </c:pt>
                <c:pt idx="3">
                  <c:v>1</c:v>
                </c:pt>
                <c:pt idx="4">
                  <c:v>0</c:v>
                </c:pt>
                <c:pt idx="5">
                  <c:v>2</c:v>
                </c:pt>
                <c:pt idx="6">
                  <c:v>2</c:v>
                </c:pt>
                <c:pt idx="7">
                  <c:v>0</c:v>
                </c:pt>
                <c:pt idx="8">
                  <c:v>2</c:v>
                </c:pt>
                <c:pt idx="9">
                  <c:v>0</c:v>
                </c:pt>
                <c:pt idx="10">
                  <c:v>0</c:v>
                </c:pt>
                <c:pt idx="11">
                  <c:v>0</c:v>
                </c:pt>
                <c:pt idx="12">
                  <c:v>0</c:v>
                </c:pt>
                <c:pt idx="13">
                  <c:v>0</c:v>
                </c:pt>
                <c:pt idx="14">
                  <c:v>0</c:v>
                </c:pt>
                <c:pt idx="15">
                  <c:v>0</c:v>
                </c:pt>
                <c:pt idx="16">
                  <c:v>1</c:v>
                </c:pt>
                <c:pt idx="17">
                  <c:v>0</c:v>
                </c:pt>
                <c:pt idx="18">
                  <c:v>1</c:v>
                </c:pt>
                <c:pt idx="19">
                  <c:v>0</c:v>
                </c:pt>
                <c:pt idx="20">
                  <c:v>0</c:v>
                </c:pt>
                <c:pt idx="21">
                  <c:v>4</c:v>
                </c:pt>
                <c:pt idx="22">
                  <c:v>2</c:v>
                </c:pt>
                <c:pt idx="23">
                  <c:v>0</c:v>
                </c:pt>
                <c:pt idx="24">
                  <c:v>0</c:v>
                </c:pt>
                <c:pt idx="25">
                  <c:v>0</c:v>
                </c:pt>
                <c:pt idx="26">
                  <c:v>0</c:v>
                </c:pt>
                <c:pt idx="27">
                  <c:v>0</c:v>
                </c:pt>
                <c:pt idx="28">
                  <c:v>2</c:v>
                </c:pt>
                <c:pt idx="29">
                  <c:v>95</c:v>
                </c:pt>
                <c:pt idx="30">
                  <c:v>3</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5</c:v>
                </c:pt>
                <c:pt idx="48">
                  <c:v>1</c:v>
                </c:pt>
                <c:pt idx="49">
                  <c:v>0</c:v>
                </c:pt>
                <c:pt idx="50">
                  <c:v>0</c:v>
                </c:pt>
                <c:pt idx="51">
                  <c:v>17</c:v>
                </c:pt>
                <c:pt idx="52">
                  <c:v>0</c:v>
                </c:pt>
                <c:pt idx="53">
                  <c:v>1</c:v>
                </c:pt>
                <c:pt idx="54">
                  <c:v>3</c:v>
                </c:pt>
                <c:pt idx="55">
                  <c:v>0</c:v>
                </c:pt>
                <c:pt idx="56">
                  <c:v>0</c:v>
                </c:pt>
                <c:pt idx="57">
                  <c:v>5</c:v>
                </c:pt>
                <c:pt idx="58">
                  <c:v>0</c:v>
                </c:pt>
                <c:pt idx="59">
                  <c:v>0</c:v>
                </c:pt>
                <c:pt idx="60">
                  <c:v>2</c:v>
                </c:pt>
                <c:pt idx="61">
                  <c:v>1</c:v>
                </c:pt>
                <c:pt idx="62">
                  <c:v>0</c:v>
                </c:pt>
                <c:pt idx="63">
                  <c:v>1</c:v>
                </c:pt>
                <c:pt idx="64">
                  <c:v>0</c:v>
                </c:pt>
                <c:pt idx="65">
                  <c:v>1</c:v>
                </c:pt>
                <c:pt idx="66">
                  <c:v>0</c:v>
                </c:pt>
                <c:pt idx="67">
                  <c:v>0</c:v>
                </c:pt>
                <c:pt idx="68">
                  <c:v>2</c:v>
                </c:pt>
                <c:pt idx="69">
                  <c:v>0</c:v>
                </c:pt>
                <c:pt idx="70">
                  <c:v>0</c:v>
                </c:pt>
                <c:pt idx="71">
                  <c:v>1</c:v>
                </c:pt>
                <c:pt idx="72">
                  <c:v>0</c:v>
                </c:pt>
                <c:pt idx="73">
                  <c:v>1</c:v>
                </c:pt>
                <c:pt idx="74">
                  <c:v>0</c:v>
                </c:pt>
                <c:pt idx="75">
                  <c:v>1</c:v>
                </c:pt>
                <c:pt idx="76">
                  <c:v>0</c:v>
                </c:pt>
                <c:pt idx="77">
                  <c:v>0</c:v>
                </c:pt>
                <c:pt idx="78">
                  <c:v>0</c:v>
                </c:pt>
                <c:pt idx="79">
                  <c:v>3</c:v>
                </c:pt>
                <c:pt idx="80">
                  <c:v>0</c:v>
                </c:pt>
                <c:pt idx="81">
                  <c:v>0</c:v>
                </c:pt>
                <c:pt idx="82">
                  <c:v>0</c:v>
                </c:pt>
                <c:pt idx="83">
                  <c:v>0</c:v>
                </c:pt>
                <c:pt idx="84">
                  <c:v>1</c:v>
                </c:pt>
                <c:pt idx="85">
                  <c:v>0</c:v>
                </c:pt>
                <c:pt idx="86">
                  <c:v>0</c:v>
                </c:pt>
                <c:pt idx="87">
                  <c:v>0</c:v>
                </c:pt>
                <c:pt idx="88">
                  <c:v>1</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2-87C6-44EA-973E-4EE677DB667E}"/>
            </c:ext>
          </c:extLst>
        </c:ser>
        <c:ser>
          <c:idx val="19"/>
          <c:order val="19"/>
          <c:tx>
            <c:strRef>
              <c:f>Tabelle3!$V$1</c:f>
              <c:strCache>
                <c:ptCount val="1"/>
                <c:pt idx="0">
                  <c:v>2018-08-01</c:v>
                </c:pt>
              </c:strCache>
            </c:strRef>
          </c:tx>
          <c:spPr>
            <a:ln w="28575" cap="rnd">
              <a:solidFill>
                <a:schemeClr val="accent2">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Tabelle3!$V$2:$V$100</c:f>
              <c:numCache>
                <c:formatCode>General</c:formatCode>
                <c:ptCount val="99"/>
                <c:pt idx="0">
                  <c:v>0</c:v>
                </c:pt>
                <c:pt idx="1">
                  <c:v>0</c:v>
                </c:pt>
                <c:pt idx="2">
                  <c:v>0</c:v>
                </c:pt>
                <c:pt idx="3">
                  <c:v>1</c:v>
                </c:pt>
                <c:pt idx="4">
                  <c:v>0</c:v>
                </c:pt>
                <c:pt idx="5">
                  <c:v>2</c:v>
                </c:pt>
                <c:pt idx="6">
                  <c:v>2</c:v>
                </c:pt>
                <c:pt idx="7">
                  <c:v>0</c:v>
                </c:pt>
                <c:pt idx="8">
                  <c:v>2</c:v>
                </c:pt>
                <c:pt idx="9">
                  <c:v>0</c:v>
                </c:pt>
                <c:pt idx="10">
                  <c:v>0</c:v>
                </c:pt>
                <c:pt idx="11">
                  <c:v>0</c:v>
                </c:pt>
                <c:pt idx="12">
                  <c:v>0</c:v>
                </c:pt>
                <c:pt idx="13">
                  <c:v>0</c:v>
                </c:pt>
                <c:pt idx="14">
                  <c:v>0</c:v>
                </c:pt>
                <c:pt idx="15">
                  <c:v>0</c:v>
                </c:pt>
                <c:pt idx="16">
                  <c:v>1</c:v>
                </c:pt>
                <c:pt idx="17">
                  <c:v>0</c:v>
                </c:pt>
                <c:pt idx="18">
                  <c:v>0</c:v>
                </c:pt>
                <c:pt idx="19">
                  <c:v>0</c:v>
                </c:pt>
                <c:pt idx="20">
                  <c:v>0</c:v>
                </c:pt>
                <c:pt idx="21">
                  <c:v>2</c:v>
                </c:pt>
                <c:pt idx="22">
                  <c:v>1</c:v>
                </c:pt>
                <c:pt idx="23">
                  <c:v>0</c:v>
                </c:pt>
                <c:pt idx="24">
                  <c:v>0</c:v>
                </c:pt>
                <c:pt idx="25">
                  <c:v>0</c:v>
                </c:pt>
                <c:pt idx="26">
                  <c:v>0</c:v>
                </c:pt>
                <c:pt idx="27">
                  <c:v>0</c:v>
                </c:pt>
                <c:pt idx="28">
                  <c:v>2</c:v>
                </c:pt>
                <c:pt idx="29">
                  <c:v>95</c:v>
                </c:pt>
                <c:pt idx="30">
                  <c:v>3</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2</c:v>
                </c:pt>
                <c:pt idx="46">
                  <c:v>0</c:v>
                </c:pt>
                <c:pt idx="47">
                  <c:v>5</c:v>
                </c:pt>
                <c:pt idx="48">
                  <c:v>1</c:v>
                </c:pt>
                <c:pt idx="49">
                  <c:v>0</c:v>
                </c:pt>
                <c:pt idx="50">
                  <c:v>0</c:v>
                </c:pt>
                <c:pt idx="51">
                  <c:v>13</c:v>
                </c:pt>
                <c:pt idx="52">
                  <c:v>0</c:v>
                </c:pt>
                <c:pt idx="53">
                  <c:v>1</c:v>
                </c:pt>
                <c:pt idx="54">
                  <c:v>3</c:v>
                </c:pt>
                <c:pt idx="55">
                  <c:v>0</c:v>
                </c:pt>
                <c:pt idx="56">
                  <c:v>0</c:v>
                </c:pt>
                <c:pt idx="57">
                  <c:v>4</c:v>
                </c:pt>
                <c:pt idx="58">
                  <c:v>0</c:v>
                </c:pt>
                <c:pt idx="59">
                  <c:v>0</c:v>
                </c:pt>
                <c:pt idx="60">
                  <c:v>3</c:v>
                </c:pt>
                <c:pt idx="61">
                  <c:v>2</c:v>
                </c:pt>
                <c:pt idx="62">
                  <c:v>0</c:v>
                </c:pt>
                <c:pt idx="63">
                  <c:v>1</c:v>
                </c:pt>
                <c:pt idx="64">
                  <c:v>0</c:v>
                </c:pt>
                <c:pt idx="65">
                  <c:v>1</c:v>
                </c:pt>
                <c:pt idx="66">
                  <c:v>0</c:v>
                </c:pt>
                <c:pt idx="67">
                  <c:v>0</c:v>
                </c:pt>
                <c:pt idx="68">
                  <c:v>3</c:v>
                </c:pt>
                <c:pt idx="69">
                  <c:v>0</c:v>
                </c:pt>
                <c:pt idx="70">
                  <c:v>0</c:v>
                </c:pt>
                <c:pt idx="71">
                  <c:v>1</c:v>
                </c:pt>
                <c:pt idx="72">
                  <c:v>0</c:v>
                </c:pt>
                <c:pt idx="73">
                  <c:v>1</c:v>
                </c:pt>
                <c:pt idx="74">
                  <c:v>0</c:v>
                </c:pt>
                <c:pt idx="75">
                  <c:v>1</c:v>
                </c:pt>
                <c:pt idx="76">
                  <c:v>0</c:v>
                </c:pt>
                <c:pt idx="77">
                  <c:v>0</c:v>
                </c:pt>
                <c:pt idx="78">
                  <c:v>0</c:v>
                </c:pt>
                <c:pt idx="79">
                  <c:v>1</c:v>
                </c:pt>
                <c:pt idx="80">
                  <c:v>0</c:v>
                </c:pt>
                <c:pt idx="81">
                  <c:v>0</c:v>
                </c:pt>
                <c:pt idx="82">
                  <c:v>0</c:v>
                </c:pt>
                <c:pt idx="83">
                  <c:v>0</c:v>
                </c:pt>
                <c:pt idx="84">
                  <c:v>1</c:v>
                </c:pt>
                <c:pt idx="85">
                  <c:v>0</c:v>
                </c:pt>
                <c:pt idx="86">
                  <c:v>0</c:v>
                </c:pt>
                <c:pt idx="87">
                  <c:v>0</c:v>
                </c:pt>
                <c:pt idx="88">
                  <c:v>1</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3-87C6-44EA-973E-4EE677DB667E}"/>
            </c:ext>
          </c:extLst>
        </c:ser>
        <c:ser>
          <c:idx val="20"/>
          <c:order val="20"/>
          <c:tx>
            <c:strRef>
              <c:f>Tabelle3!$W$1</c:f>
              <c:strCache>
                <c:ptCount val="1"/>
                <c:pt idx="0">
                  <c:v>2018-09-01</c:v>
                </c:pt>
              </c:strCache>
            </c:strRef>
          </c:tx>
          <c:spPr>
            <a:ln w="28575" cap="rnd">
              <a:solidFill>
                <a:schemeClr val="accent3">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Tabelle3!$W$2:$W$100</c:f>
              <c:numCache>
                <c:formatCode>General</c:formatCode>
                <c:ptCount val="99"/>
                <c:pt idx="0">
                  <c:v>0</c:v>
                </c:pt>
                <c:pt idx="1">
                  <c:v>0</c:v>
                </c:pt>
                <c:pt idx="2">
                  <c:v>0</c:v>
                </c:pt>
                <c:pt idx="3">
                  <c:v>1</c:v>
                </c:pt>
                <c:pt idx="4">
                  <c:v>0</c:v>
                </c:pt>
                <c:pt idx="5">
                  <c:v>2</c:v>
                </c:pt>
                <c:pt idx="6">
                  <c:v>1</c:v>
                </c:pt>
                <c:pt idx="7">
                  <c:v>0</c:v>
                </c:pt>
                <c:pt idx="8">
                  <c:v>2</c:v>
                </c:pt>
                <c:pt idx="9">
                  <c:v>0</c:v>
                </c:pt>
                <c:pt idx="10">
                  <c:v>0</c:v>
                </c:pt>
                <c:pt idx="11">
                  <c:v>0</c:v>
                </c:pt>
                <c:pt idx="12">
                  <c:v>0</c:v>
                </c:pt>
                <c:pt idx="13">
                  <c:v>0</c:v>
                </c:pt>
                <c:pt idx="14">
                  <c:v>0</c:v>
                </c:pt>
                <c:pt idx="15">
                  <c:v>0</c:v>
                </c:pt>
                <c:pt idx="16">
                  <c:v>5</c:v>
                </c:pt>
                <c:pt idx="17">
                  <c:v>0</c:v>
                </c:pt>
                <c:pt idx="18">
                  <c:v>0</c:v>
                </c:pt>
                <c:pt idx="19">
                  <c:v>0</c:v>
                </c:pt>
                <c:pt idx="20">
                  <c:v>0</c:v>
                </c:pt>
                <c:pt idx="21">
                  <c:v>3</c:v>
                </c:pt>
                <c:pt idx="22">
                  <c:v>1</c:v>
                </c:pt>
                <c:pt idx="23">
                  <c:v>0</c:v>
                </c:pt>
                <c:pt idx="24">
                  <c:v>0</c:v>
                </c:pt>
                <c:pt idx="25">
                  <c:v>0</c:v>
                </c:pt>
                <c:pt idx="26">
                  <c:v>0</c:v>
                </c:pt>
                <c:pt idx="27">
                  <c:v>0</c:v>
                </c:pt>
                <c:pt idx="28">
                  <c:v>2</c:v>
                </c:pt>
                <c:pt idx="29">
                  <c:v>95</c:v>
                </c:pt>
                <c:pt idx="30">
                  <c:v>3</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2</c:v>
                </c:pt>
                <c:pt idx="46">
                  <c:v>0</c:v>
                </c:pt>
                <c:pt idx="47">
                  <c:v>5</c:v>
                </c:pt>
                <c:pt idx="48">
                  <c:v>1</c:v>
                </c:pt>
                <c:pt idx="49">
                  <c:v>0</c:v>
                </c:pt>
                <c:pt idx="50">
                  <c:v>0</c:v>
                </c:pt>
                <c:pt idx="51">
                  <c:v>13</c:v>
                </c:pt>
                <c:pt idx="52">
                  <c:v>0</c:v>
                </c:pt>
                <c:pt idx="53">
                  <c:v>1</c:v>
                </c:pt>
                <c:pt idx="54">
                  <c:v>3</c:v>
                </c:pt>
                <c:pt idx="55">
                  <c:v>0</c:v>
                </c:pt>
                <c:pt idx="56">
                  <c:v>0</c:v>
                </c:pt>
                <c:pt idx="57">
                  <c:v>5</c:v>
                </c:pt>
                <c:pt idx="58">
                  <c:v>1</c:v>
                </c:pt>
                <c:pt idx="59">
                  <c:v>0</c:v>
                </c:pt>
                <c:pt idx="60">
                  <c:v>3</c:v>
                </c:pt>
                <c:pt idx="61">
                  <c:v>2</c:v>
                </c:pt>
                <c:pt idx="62">
                  <c:v>0</c:v>
                </c:pt>
                <c:pt idx="63">
                  <c:v>1</c:v>
                </c:pt>
                <c:pt idx="64">
                  <c:v>0</c:v>
                </c:pt>
                <c:pt idx="65">
                  <c:v>1</c:v>
                </c:pt>
                <c:pt idx="66">
                  <c:v>0</c:v>
                </c:pt>
                <c:pt idx="67">
                  <c:v>0</c:v>
                </c:pt>
                <c:pt idx="68">
                  <c:v>3</c:v>
                </c:pt>
                <c:pt idx="69">
                  <c:v>0</c:v>
                </c:pt>
                <c:pt idx="70">
                  <c:v>0</c:v>
                </c:pt>
                <c:pt idx="71">
                  <c:v>1</c:v>
                </c:pt>
                <c:pt idx="72">
                  <c:v>0</c:v>
                </c:pt>
                <c:pt idx="73">
                  <c:v>1</c:v>
                </c:pt>
                <c:pt idx="74">
                  <c:v>0</c:v>
                </c:pt>
                <c:pt idx="75">
                  <c:v>0</c:v>
                </c:pt>
                <c:pt idx="76">
                  <c:v>0</c:v>
                </c:pt>
                <c:pt idx="77">
                  <c:v>0</c:v>
                </c:pt>
                <c:pt idx="78">
                  <c:v>0</c:v>
                </c:pt>
                <c:pt idx="79">
                  <c:v>1</c:v>
                </c:pt>
                <c:pt idx="80">
                  <c:v>0</c:v>
                </c:pt>
                <c:pt idx="81">
                  <c:v>0</c:v>
                </c:pt>
                <c:pt idx="82">
                  <c:v>0</c:v>
                </c:pt>
                <c:pt idx="83">
                  <c:v>0</c:v>
                </c:pt>
                <c:pt idx="84">
                  <c:v>1</c:v>
                </c:pt>
                <c:pt idx="85">
                  <c:v>0</c:v>
                </c:pt>
                <c:pt idx="86">
                  <c:v>0</c:v>
                </c:pt>
                <c:pt idx="87">
                  <c:v>0</c:v>
                </c:pt>
                <c:pt idx="88">
                  <c:v>2</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4-87C6-44EA-973E-4EE677DB667E}"/>
            </c:ext>
          </c:extLst>
        </c:ser>
        <c:ser>
          <c:idx val="21"/>
          <c:order val="21"/>
          <c:tx>
            <c:strRef>
              <c:f>Tabelle3!$X$1</c:f>
              <c:strCache>
                <c:ptCount val="1"/>
                <c:pt idx="0">
                  <c:v>2018-10-01</c:v>
                </c:pt>
              </c:strCache>
            </c:strRef>
          </c:tx>
          <c:spPr>
            <a:ln w="28575" cap="rnd">
              <a:solidFill>
                <a:schemeClr val="accent4">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Tabelle3!$X$2:$X$100</c:f>
              <c:numCache>
                <c:formatCode>General</c:formatCode>
                <c:ptCount val="99"/>
                <c:pt idx="0">
                  <c:v>0</c:v>
                </c:pt>
                <c:pt idx="1">
                  <c:v>0</c:v>
                </c:pt>
                <c:pt idx="2">
                  <c:v>0</c:v>
                </c:pt>
                <c:pt idx="3">
                  <c:v>1</c:v>
                </c:pt>
                <c:pt idx="4">
                  <c:v>0</c:v>
                </c:pt>
                <c:pt idx="5">
                  <c:v>0</c:v>
                </c:pt>
                <c:pt idx="6">
                  <c:v>1</c:v>
                </c:pt>
                <c:pt idx="7">
                  <c:v>0</c:v>
                </c:pt>
                <c:pt idx="8">
                  <c:v>1</c:v>
                </c:pt>
                <c:pt idx="9">
                  <c:v>0</c:v>
                </c:pt>
                <c:pt idx="10">
                  <c:v>0</c:v>
                </c:pt>
                <c:pt idx="11">
                  <c:v>0</c:v>
                </c:pt>
                <c:pt idx="12">
                  <c:v>0</c:v>
                </c:pt>
                <c:pt idx="13">
                  <c:v>0</c:v>
                </c:pt>
                <c:pt idx="14">
                  <c:v>0</c:v>
                </c:pt>
                <c:pt idx="15">
                  <c:v>0</c:v>
                </c:pt>
                <c:pt idx="16">
                  <c:v>5</c:v>
                </c:pt>
                <c:pt idx="17">
                  <c:v>0</c:v>
                </c:pt>
                <c:pt idx="18">
                  <c:v>0</c:v>
                </c:pt>
                <c:pt idx="19">
                  <c:v>1</c:v>
                </c:pt>
                <c:pt idx="20">
                  <c:v>0</c:v>
                </c:pt>
                <c:pt idx="21">
                  <c:v>2</c:v>
                </c:pt>
                <c:pt idx="22">
                  <c:v>0</c:v>
                </c:pt>
                <c:pt idx="23">
                  <c:v>0</c:v>
                </c:pt>
                <c:pt idx="24">
                  <c:v>0</c:v>
                </c:pt>
                <c:pt idx="25">
                  <c:v>0</c:v>
                </c:pt>
                <c:pt idx="26">
                  <c:v>0</c:v>
                </c:pt>
                <c:pt idx="27">
                  <c:v>0</c:v>
                </c:pt>
                <c:pt idx="28">
                  <c:v>2</c:v>
                </c:pt>
                <c:pt idx="29">
                  <c:v>101</c:v>
                </c:pt>
                <c:pt idx="30">
                  <c:v>6</c:v>
                </c:pt>
                <c:pt idx="31">
                  <c:v>0</c:v>
                </c:pt>
                <c:pt idx="32">
                  <c:v>0</c:v>
                </c:pt>
                <c:pt idx="33">
                  <c:v>0</c:v>
                </c:pt>
                <c:pt idx="34">
                  <c:v>0</c:v>
                </c:pt>
                <c:pt idx="35">
                  <c:v>0</c:v>
                </c:pt>
                <c:pt idx="36">
                  <c:v>0</c:v>
                </c:pt>
                <c:pt idx="37">
                  <c:v>2</c:v>
                </c:pt>
                <c:pt idx="38">
                  <c:v>0</c:v>
                </c:pt>
                <c:pt idx="39">
                  <c:v>0</c:v>
                </c:pt>
                <c:pt idx="40">
                  <c:v>0</c:v>
                </c:pt>
                <c:pt idx="41">
                  <c:v>0</c:v>
                </c:pt>
                <c:pt idx="42">
                  <c:v>0</c:v>
                </c:pt>
                <c:pt idx="43">
                  <c:v>0</c:v>
                </c:pt>
                <c:pt idx="44">
                  <c:v>0</c:v>
                </c:pt>
                <c:pt idx="45">
                  <c:v>1</c:v>
                </c:pt>
                <c:pt idx="46">
                  <c:v>0</c:v>
                </c:pt>
                <c:pt idx="47">
                  <c:v>4</c:v>
                </c:pt>
                <c:pt idx="48">
                  <c:v>1</c:v>
                </c:pt>
                <c:pt idx="49">
                  <c:v>0</c:v>
                </c:pt>
                <c:pt idx="50">
                  <c:v>0</c:v>
                </c:pt>
                <c:pt idx="51">
                  <c:v>16</c:v>
                </c:pt>
                <c:pt idx="52">
                  <c:v>0</c:v>
                </c:pt>
                <c:pt idx="53">
                  <c:v>2</c:v>
                </c:pt>
                <c:pt idx="54">
                  <c:v>3</c:v>
                </c:pt>
                <c:pt idx="55">
                  <c:v>0</c:v>
                </c:pt>
                <c:pt idx="56">
                  <c:v>0</c:v>
                </c:pt>
                <c:pt idx="57">
                  <c:v>5</c:v>
                </c:pt>
                <c:pt idx="58">
                  <c:v>1</c:v>
                </c:pt>
                <c:pt idx="59">
                  <c:v>2</c:v>
                </c:pt>
                <c:pt idx="60">
                  <c:v>3</c:v>
                </c:pt>
                <c:pt idx="61">
                  <c:v>2</c:v>
                </c:pt>
                <c:pt idx="62">
                  <c:v>0</c:v>
                </c:pt>
                <c:pt idx="63">
                  <c:v>1</c:v>
                </c:pt>
                <c:pt idx="64">
                  <c:v>0</c:v>
                </c:pt>
                <c:pt idx="65">
                  <c:v>4</c:v>
                </c:pt>
                <c:pt idx="66">
                  <c:v>0</c:v>
                </c:pt>
                <c:pt idx="67">
                  <c:v>0</c:v>
                </c:pt>
                <c:pt idx="68">
                  <c:v>3</c:v>
                </c:pt>
                <c:pt idx="69">
                  <c:v>1</c:v>
                </c:pt>
                <c:pt idx="70">
                  <c:v>0</c:v>
                </c:pt>
                <c:pt idx="71">
                  <c:v>1</c:v>
                </c:pt>
                <c:pt idx="72">
                  <c:v>1</c:v>
                </c:pt>
                <c:pt idx="73">
                  <c:v>0</c:v>
                </c:pt>
                <c:pt idx="74">
                  <c:v>0</c:v>
                </c:pt>
                <c:pt idx="75">
                  <c:v>0</c:v>
                </c:pt>
                <c:pt idx="76">
                  <c:v>0</c:v>
                </c:pt>
                <c:pt idx="77">
                  <c:v>0</c:v>
                </c:pt>
                <c:pt idx="78">
                  <c:v>0</c:v>
                </c:pt>
                <c:pt idx="79">
                  <c:v>1</c:v>
                </c:pt>
                <c:pt idx="80">
                  <c:v>0</c:v>
                </c:pt>
                <c:pt idx="81">
                  <c:v>0</c:v>
                </c:pt>
                <c:pt idx="82">
                  <c:v>0</c:v>
                </c:pt>
                <c:pt idx="83">
                  <c:v>0</c:v>
                </c:pt>
                <c:pt idx="84">
                  <c:v>1</c:v>
                </c:pt>
                <c:pt idx="85">
                  <c:v>0</c:v>
                </c:pt>
                <c:pt idx="86">
                  <c:v>0</c:v>
                </c:pt>
                <c:pt idx="87">
                  <c:v>0</c:v>
                </c:pt>
                <c:pt idx="88">
                  <c:v>2</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5-87C6-44EA-973E-4EE677DB667E}"/>
            </c:ext>
          </c:extLst>
        </c:ser>
        <c:ser>
          <c:idx val="22"/>
          <c:order val="22"/>
          <c:tx>
            <c:strRef>
              <c:f>Tabelle3!$Y$1</c:f>
              <c:strCache>
                <c:ptCount val="1"/>
                <c:pt idx="0">
                  <c:v>2018-11-01</c:v>
                </c:pt>
              </c:strCache>
            </c:strRef>
          </c:tx>
          <c:spPr>
            <a:ln w="28575" cap="rnd">
              <a:solidFill>
                <a:schemeClr val="accent5">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Tabelle3!$Y$2:$Y$100</c:f>
              <c:numCache>
                <c:formatCode>General</c:formatCode>
                <c:ptCount val="99"/>
                <c:pt idx="0">
                  <c:v>0</c:v>
                </c:pt>
                <c:pt idx="1">
                  <c:v>0</c:v>
                </c:pt>
                <c:pt idx="2">
                  <c:v>0</c:v>
                </c:pt>
                <c:pt idx="3">
                  <c:v>1</c:v>
                </c:pt>
                <c:pt idx="4">
                  <c:v>0</c:v>
                </c:pt>
                <c:pt idx="5">
                  <c:v>0</c:v>
                </c:pt>
                <c:pt idx="6">
                  <c:v>1</c:v>
                </c:pt>
                <c:pt idx="7">
                  <c:v>0</c:v>
                </c:pt>
                <c:pt idx="8">
                  <c:v>1</c:v>
                </c:pt>
                <c:pt idx="9">
                  <c:v>1</c:v>
                </c:pt>
                <c:pt idx="10">
                  <c:v>0</c:v>
                </c:pt>
                <c:pt idx="11">
                  <c:v>0</c:v>
                </c:pt>
                <c:pt idx="12">
                  <c:v>0</c:v>
                </c:pt>
                <c:pt idx="13">
                  <c:v>0</c:v>
                </c:pt>
                <c:pt idx="14">
                  <c:v>0</c:v>
                </c:pt>
                <c:pt idx="15">
                  <c:v>0</c:v>
                </c:pt>
                <c:pt idx="16">
                  <c:v>6</c:v>
                </c:pt>
                <c:pt idx="17">
                  <c:v>1</c:v>
                </c:pt>
                <c:pt idx="18">
                  <c:v>0</c:v>
                </c:pt>
                <c:pt idx="19">
                  <c:v>1</c:v>
                </c:pt>
                <c:pt idx="20">
                  <c:v>0</c:v>
                </c:pt>
                <c:pt idx="21">
                  <c:v>2</c:v>
                </c:pt>
                <c:pt idx="22">
                  <c:v>0</c:v>
                </c:pt>
                <c:pt idx="23">
                  <c:v>0</c:v>
                </c:pt>
                <c:pt idx="24">
                  <c:v>0</c:v>
                </c:pt>
                <c:pt idx="25">
                  <c:v>0</c:v>
                </c:pt>
                <c:pt idx="26">
                  <c:v>0</c:v>
                </c:pt>
                <c:pt idx="27">
                  <c:v>1</c:v>
                </c:pt>
                <c:pt idx="28">
                  <c:v>2</c:v>
                </c:pt>
                <c:pt idx="29">
                  <c:v>108</c:v>
                </c:pt>
                <c:pt idx="30">
                  <c:v>7</c:v>
                </c:pt>
                <c:pt idx="31">
                  <c:v>0</c:v>
                </c:pt>
                <c:pt idx="32">
                  <c:v>0</c:v>
                </c:pt>
                <c:pt idx="33">
                  <c:v>0</c:v>
                </c:pt>
                <c:pt idx="34">
                  <c:v>0</c:v>
                </c:pt>
                <c:pt idx="35">
                  <c:v>0</c:v>
                </c:pt>
                <c:pt idx="36">
                  <c:v>0</c:v>
                </c:pt>
                <c:pt idx="37">
                  <c:v>2</c:v>
                </c:pt>
                <c:pt idx="38">
                  <c:v>0</c:v>
                </c:pt>
                <c:pt idx="39">
                  <c:v>0</c:v>
                </c:pt>
                <c:pt idx="40">
                  <c:v>0</c:v>
                </c:pt>
                <c:pt idx="41">
                  <c:v>0</c:v>
                </c:pt>
                <c:pt idx="42">
                  <c:v>0</c:v>
                </c:pt>
                <c:pt idx="43">
                  <c:v>0</c:v>
                </c:pt>
                <c:pt idx="44">
                  <c:v>1</c:v>
                </c:pt>
                <c:pt idx="45">
                  <c:v>1</c:v>
                </c:pt>
                <c:pt idx="46">
                  <c:v>0</c:v>
                </c:pt>
                <c:pt idx="47">
                  <c:v>4</c:v>
                </c:pt>
                <c:pt idx="48">
                  <c:v>1</c:v>
                </c:pt>
                <c:pt idx="49">
                  <c:v>0</c:v>
                </c:pt>
                <c:pt idx="50">
                  <c:v>0</c:v>
                </c:pt>
                <c:pt idx="51">
                  <c:v>17</c:v>
                </c:pt>
                <c:pt idx="52">
                  <c:v>1</c:v>
                </c:pt>
                <c:pt idx="53">
                  <c:v>1</c:v>
                </c:pt>
                <c:pt idx="54">
                  <c:v>3</c:v>
                </c:pt>
                <c:pt idx="55">
                  <c:v>0</c:v>
                </c:pt>
                <c:pt idx="56">
                  <c:v>0</c:v>
                </c:pt>
                <c:pt idx="57">
                  <c:v>6</c:v>
                </c:pt>
                <c:pt idx="58">
                  <c:v>1</c:v>
                </c:pt>
                <c:pt idx="59">
                  <c:v>2</c:v>
                </c:pt>
                <c:pt idx="60">
                  <c:v>3</c:v>
                </c:pt>
                <c:pt idx="61">
                  <c:v>0</c:v>
                </c:pt>
                <c:pt idx="62">
                  <c:v>0</c:v>
                </c:pt>
                <c:pt idx="63">
                  <c:v>0</c:v>
                </c:pt>
                <c:pt idx="64">
                  <c:v>0</c:v>
                </c:pt>
                <c:pt idx="65">
                  <c:v>4</c:v>
                </c:pt>
                <c:pt idx="66">
                  <c:v>0</c:v>
                </c:pt>
                <c:pt idx="67">
                  <c:v>0</c:v>
                </c:pt>
                <c:pt idx="68">
                  <c:v>3</c:v>
                </c:pt>
                <c:pt idx="69">
                  <c:v>2</c:v>
                </c:pt>
                <c:pt idx="70">
                  <c:v>1</c:v>
                </c:pt>
                <c:pt idx="71">
                  <c:v>1</c:v>
                </c:pt>
                <c:pt idx="72">
                  <c:v>1</c:v>
                </c:pt>
                <c:pt idx="73">
                  <c:v>0</c:v>
                </c:pt>
                <c:pt idx="74">
                  <c:v>0</c:v>
                </c:pt>
                <c:pt idx="75">
                  <c:v>0</c:v>
                </c:pt>
                <c:pt idx="76">
                  <c:v>0</c:v>
                </c:pt>
                <c:pt idx="77">
                  <c:v>0</c:v>
                </c:pt>
                <c:pt idx="78">
                  <c:v>0</c:v>
                </c:pt>
                <c:pt idx="79">
                  <c:v>1</c:v>
                </c:pt>
                <c:pt idx="80">
                  <c:v>0</c:v>
                </c:pt>
                <c:pt idx="81">
                  <c:v>0</c:v>
                </c:pt>
                <c:pt idx="82">
                  <c:v>0</c:v>
                </c:pt>
                <c:pt idx="83">
                  <c:v>0</c:v>
                </c:pt>
                <c:pt idx="84">
                  <c:v>2</c:v>
                </c:pt>
                <c:pt idx="85">
                  <c:v>0</c:v>
                </c:pt>
                <c:pt idx="86">
                  <c:v>0</c:v>
                </c:pt>
                <c:pt idx="87">
                  <c:v>0</c:v>
                </c:pt>
                <c:pt idx="88">
                  <c:v>3</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6-87C6-44EA-973E-4EE677DB667E}"/>
            </c:ext>
          </c:extLst>
        </c:ser>
        <c:ser>
          <c:idx val="23"/>
          <c:order val="23"/>
          <c:tx>
            <c:strRef>
              <c:f>Tabelle3!$Z$1</c:f>
              <c:strCache>
                <c:ptCount val="1"/>
                <c:pt idx="0">
                  <c:v>2018-12-01</c:v>
                </c:pt>
              </c:strCache>
            </c:strRef>
          </c:tx>
          <c:spPr>
            <a:ln w="28575" cap="rnd">
              <a:solidFill>
                <a:schemeClr val="accent6">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Tabelle3!$Z$2:$Z$100</c:f>
              <c:numCache>
                <c:formatCode>General</c:formatCode>
                <c:ptCount val="99"/>
                <c:pt idx="0">
                  <c:v>0</c:v>
                </c:pt>
                <c:pt idx="1">
                  <c:v>0</c:v>
                </c:pt>
                <c:pt idx="2">
                  <c:v>0</c:v>
                </c:pt>
                <c:pt idx="3">
                  <c:v>2</c:v>
                </c:pt>
                <c:pt idx="4">
                  <c:v>0</c:v>
                </c:pt>
                <c:pt idx="5">
                  <c:v>0</c:v>
                </c:pt>
                <c:pt idx="6">
                  <c:v>1</c:v>
                </c:pt>
                <c:pt idx="7">
                  <c:v>0</c:v>
                </c:pt>
                <c:pt idx="8">
                  <c:v>2</c:v>
                </c:pt>
                <c:pt idx="9">
                  <c:v>1</c:v>
                </c:pt>
                <c:pt idx="10">
                  <c:v>0</c:v>
                </c:pt>
                <c:pt idx="11">
                  <c:v>0</c:v>
                </c:pt>
                <c:pt idx="12">
                  <c:v>0</c:v>
                </c:pt>
                <c:pt idx="13">
                  <c:v>0</c:v>
                </c:pt>
                <c:pt idx="14">
                  <c:v>0</c:v>
                </c:pt>
                <c:pt idx="15">
                  <c:v>0</c:v>
                </c:pt>
                <c:pt idx="16">
                  <c:v>6</c:v>
                </c:pt>
                <c:pt idx="17">
                  <c:v>1</c:v>
                </c:pt>
                <c:pt idx="18">
                  <c:v>0</c:v>
                </c:pt>
                <c:pt idx="19">
                  <c:v>0</c:v>
                </c:pt>
                <c:pt idx="20">
                  <c:v>0</c:v>
                </c:pt>
                <c:pt idx="21">
                  <c:v>2</c:v>
                </c:pt>
                <c:pt idx="22">
                  <c:v>0</c:v>
                </c:pt>
                <c:pt idx="23">
                  <c:v>0</c:v>
                </c:pt>
                <c:pt idx="24">
                  <c:v>0</c:v>
                </c:pt>
                <c:pt idx="25">
                  <c:v>0</c:v>
                </c:pt>
                <c:pt idx="26">
                  <c:v>0</c:v>
                </c:pt>
                <c:pt idx="27">
                  <c:v>1</c:v>
                </c:pt>
                <c:pt idx="28">
                  <c:v>2</c:v>
                </c:pt>
                <c:pt idx="29">
                  <c:v>110</c:v>
                </c:pt>
                <c:pt idx="30">
                  <c:v>4</c:v>
                </c:pt>
                <c:pt idx="31">
                  <c:v>0</c:v>
                </c:pt>
                <c:pt idx="32">
                  <c:v>0</c:v>
                </c:pt>
                <c:pt idx="33">
                  <c:v>0</c:v>
                </c:pt>
                <c:pt idx="34">
                  <c:v>0</c:v>
                </c:pt>
                <c:pt idx="35">
                  <c:v>0</c:v>
                </c:pt>
                <c:pt idx="36">
                  <c:v>0</c:v>
                </c:pt>
                <c:pt idx="37">
                  <c:v>2</c:v>
                </c:pt>
                <c:pt idx="38">
                  <c:v>0</c:v>
                </c:pt>
                <c:pt idx="39">
                  <c:v>0</c:v>
                </c:pt>
                <c:pt idx="40">
                  <c:v>0</c:v>
                </c:pt>
                <c:pt idx="41">
                  <c:v>0</c:v>
                </c:pt>
                <c:pt idx="42">
                  <c:v>0</c:v>
                </c:pt>
                <c:pt idx="43">
                  <c:v>0</c:v>
                </c:pt>
                <c:pt idx="44">
                  <c:v>2</c:v>
                </c:pt>
                <c:pt idx="45">
                  <c:v>1</c:v>
                </c:pt>
                <c:pt idx="46">
                  <c:v>0</c:v>
                </c:pt>
                <c:pt idx="47">
                  <c:v>1</c:v>
                </c:pt>
                <c:pt idx="48">
                  <c:v>1</c:v>
                </c:pt>
                <c:pt idx="49">
                  <c:v>0</c:v>
                </c:pt>
                <c:pt idx="50">
                  <c:v>0</c:v>
                </c:pt>
                <c:pt idx="51">
                  <c:v>19</c:v>
                </c:pt>
                <c:pt idx="52">
                  <c:v>1</c:v>
                </c:pt>
                <c:pt idx="53">
                  <c:v>1</c:v>
                </c:pt>
                <c:pt idx="54">
                  <c:v>3</c:v>
                </c:pt>
                <c:pt idx="55">
                  <c:v>0</c:v>
                </c:pt>
                <c:pt idx="56">
                  <c:v>0</c:v>
                </c:pt>
                <c:pt idx="57">
                  <c:v>6</c:v>
                </c:pt>
                <c:pt idx="58">
                  <c:v>1</c:v>
                </c:pt>
                <c:pt idx="59">
                  <c:v>2</c:v>
                </c:pt>
                <c:pt idx="60">
                  <c:v>3</c:v>
                </c:pt>
                <c:pt idx="61">
                  <c:v>0</c:v>
                </c:pt>
                <c:pt idx="62">
                  <c:v>0</c:v>
                </c:pt>
                <c:pt idx="63">
                  <c:v>0</c:v>
                </c:pt>
                <c:pt idx="64">
                  <c:v>0</c:v>
                </c:pt>
                <c:pt idx="65">
                  <c:v>4</c:v>
                </c:pt>
                <c:pt idx="66">
                  <c:v>0</c:v>
                </c:pt>
                <c:pt idx="67">
                  <c:v>0</c:v>
                </c:pt>
                <c:pt idx="68">
                  <c:v>4</c:v>
                </c:pt>
                <c:pt idx="69">
                  <c:v>2</c:v>
                </c:pt>
                <c:pt idx="70">
                  <c:v>5</c:v>
                </c:pt>
                <c:pt idx="71">
                  <c:v>1</c:v>
                </c:pt>
                <c:pt idx="72">
                  <c:v>1</c:v>
                </c:pt>
                <c:pt idx="73">
                  <c:v>0</c:v>
                </c:pt>
                <c:pt idx="74">
                  <c:v>0</c:v>
                </c:pt>
                <c:pt idx="75">
                  <c:v>0</c:v>
                </c:pt>
                <c:pt idx="76">
                  <c:v>0</c:v>
                </c:pt>
                <c:pt idx="77">
                  <c:v>0</c:v>
                </c:pt>
                <c:pt idx="78">
                  <c:v>0</c:v>
                </c:pt>
                <c:pt idx="79">
                  <c:v>1</c:v>
                </c:pt>
                <c:pt idx="80">
                  <c:v>0</c:v>
                </c:pt>
                <c:pt idx="81">
                  <c:v>0</c:v>
                </c:pt>
                <c:pt idx="82">
                  <c:v>0</c:v>
                </c:pt>
                <c:pt idx="83">
                  <c:v>0</c:v>
                </c:pt>
                <c:pt idx="84">
                  <c:v>2</c:v>
                </c:pt>
                <c:pt idx="85">
                  <c:v>0</c:v>
                </c:pt>
                <c:pt idx="86">
                  <c:v>0</c:v>
                </c:pt>
                <c:pt idx="87">
                  <c:v>0</c:v>
                </c:pt>
                <c:pt idx="88">
                  <c:v>3</c:v>
                </c:pt>
                <c:pt idx="89">
                  <c:v>2</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7-87C6-44EA-973E-4EE677DB667E}"/>
            </c:ext>
          </c:extLst>
        </c:ser>
        <c:ser>
          <c:idx val="24"/>
          <c:order val="24"/>
          <c:tx>
            <c:strRef>
              <c:f>Tabelle3!$AA$1</c:f>
              <c:strCache>
                <c:ptCount val="1"/>
                <c:pt idx="0">
                  <c:v>2019-01-01</c:v>
                </c:pt>
              </c:strCache>
            </c:strRef>
          </c:tx>
          <c:spPr>
            <a:ln w="28575" cap="rnd">
              <a:solidFill>
                <a:schemeClr val="accent1">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Tabelle3!$AA$2:$AA$100</c:f>
              <c:numCache>
                <c:formatCode>General</c:formatCode>
                <c:ptCount val="99"/>
                <c:pt idx="0">
                  <c:v>0</c:v>
                </c:pt>
                <c:pt idx="1">
                  <c:v>0</c:v>
                </c:pt>
                <c:pt idx="2">
                  <c:v>0</c:v>
                </c:pt>
                <c:pt idx="3">
                  <c:v>3</c:v>
                </c:pt>
                <c:pt idx="4">
                  <c:v>0</c:v>
                </c:pt>
                <c:pt idx="5">
                  <c:v>0</c:v>
                </c:pt>
                <c:pt idx="6">
                  <c:v>1</c:v>
                </c:pt>
                <c:pt idx="7">
                  <c:v>0</c:v>
                </c:pt>
                <c:pt idx="8">
                  <c:v>2</c:v>
                </c:pt>
                <c:pt idx="9">
                  <c:v>0</c:v>
                </c:pt>
                <c:pt idx="10">
                  <c:v>0</c:v>
                </c:pt>
                <c:pt idx="11">
                  <c:v>0</c:v>
                </c:pt>
                <c:pt idx="12">
                  <c:v>0</c:v>
                </c:pt>
                <c:pt idx="13">
                  <c:v>0</c:v>
                </c:pt>
                <c:pt idx="14">
                  <c:v>0</c:v>
                </c:pt>
                <c:pt idx="15">
                  <c:v>0</c:v>
                </c:pt>
                <c:pt idx="16">
                  <c:v>6</c:v>
                </c:pt>
                <c:pt idx="17">
                  <c:v>1</c:v>
                </c:pt>
                <c:pt idx="18">
                  <c:v>0</c:v>
                </c:pt>
                <c:pt idx="19">
                  <c:v>0</c:v>
                </c:pt>
                <c:pt idx="20">
                  <c:v>0</c:v>
                </c:pt>
                <c:pt idx="21">
                  <c:v>1</c:v>
                </c:pt>
                <c:pt idx="22">
                  <c:v>0</c:v>
                </c:pt>
                <c:pt idx="23">
                  <c:v>0</c:v>
                </c:pt>
                <c:pt idx="24">
                  <c:v>0</c:v>
                </c:pt>
                <c:pt idx="25">
                  <c:v>0</c:v>
                </c:pt>
                <c:pt idx="26">
                  <c:v>0</c:v>
                </c:pt>
                <c:pt idx="27">
                  <c:v>1</c:v>
                </c:pt>
                <c:pt idx="28">
                  <c:v>2</c:v>
                </c:pt>
                <c:pt idx="29">
                  <c:v>101</c:v>
                </c:pt>
                <c:pt idx="30">
                  <c:v>6</c:v>
                </c:pt>
                <c:pt idx="31">
                  <c:v>0</c:v>
                </c:pt>
                <c:pt idx="32">
                  <c:v>0</c:v>
                </c:pt>
                <c:pt idx="33">
                  <c:v>0</c:v>
                </c:pt>
                <c:pt idx="34">
                  <c:v>0</c:v>
                </c:pt>
                <c:pt idx="35">
                  <c:v>0</c:v>
                </c:pt>
                <c:pt idx="36">
                  <c:v>0</c:v>
                </c:pt>
                <c:pt idx="37">
                  <c:v>2</c:v>
                </c:pt>
                <c:pt idx="38">
                  <c:v>0</c:v>
                </c:pt>
                <c:pt idx="39">
                  <c:v>0</c:v>
                </c:pt>
                <c:pt idx="40">
                  <c:v>0</c:v>
                </c:pt>
                <c:pt idx="41">
                  <c:v>0</c:v>
                </c:pt>
                <c:pt idx="42">
                  <c:v>0</c:v>
                </c:pt>
                <c:pt idx="43">
                  <c:v>0</c:v>
                </c:pt>
                <c:pt idx="44">
                  <c:v>1</c:v>
                </c:pt>
                <c:pt idx="45">
                  <c:v>1</c:v>
                </c:pt>
                <c:pt idx="46">
                  <c:v>1</c:v>
                </c:pt>
                <c:pt idx="47">
                  <c:v>1</c:v>
                </c:pt>
                <c:pt idx="48">
                  <c:v>2</c:v>
                </c:pt>
                <c:pt idx="49">
                  <c:v>0</c:v>
                </c:pt>
                <c:pt idx="50">
                  <c:v>0</c:v>
                </c:pt>
                <c:pt idx="51">
                  <c:v>18</c:v>
                </c:pt>
                <c:pt idx="52">
                  <c:v>0</c:v>
                </c:pt>
                <c:pt idx="53">
                  <c:v>1</c:v>
                </c:pt>
                <c:pt idx="54">
                  <c:v>5</c:v>
                </c:pt>
                <c:pt idx="55">
                  <c:v>0</c:v>
                </c:pt>
                <c:pt idx="56">
                  <c:v>0</c:v>
                </c:pt>
                <c:pt idx="57">
                  <c:v>4</c:v>
                </c:pt>
                <c:pt idx="58">
                  <c:v>1</c:v>
                </c:pt>
                <c:pt idx="59">
                  <c:v>1</c:v>
                </c:pt>
                <c:pt idx="60">
                  <c:v>3</c:v>
                </c:pt>
                <c:pt idx="61">
                  <c:v>5</c:v>
                </c:pt>
                <c:pt idx="62">
                  <c:v>0</c:v>
                </c:pt>
                <c:pt idx="63">
                  <c:v>0</c:v>
                </c:pt>
                <c:pt idx="64">
                  <c:v>0</c:v>
                </c:pt>
                <c:pt idx="65">
                  <c:v>4</c:v>
                </c:pt>
                <c:pt idx="66">
                  <c:v>0</c:v>
                </c:pt>
                <c:pt idx="67">
                  <c:v>1</c:v>
                </c:pt>
                <c:pt idx="68">
                  <c:v>4</c:v>
                </c:pt>
                <c:pt idx="69">
                  <c:v>3</c:v>
                </c:pt>
                <c:pt idx="70">
                  <c:v>5</c:v>
                </c:pt>
                <c:pt idx="71">
                  <c:v>2</c:v>
                </c:pt>
                <c:pt idx="72">
                  <c:v>1</c:v>
                </c:pt>
                <c:pt idx="73">
                  <c:v>0</c:v>
                </c:pt>
                <c:pt idx="74">
                  <c:v>0</c:v>
                </c:pt>
                <c:pt idx="75">
                  <c:v>0</c:v>
                </c:pt>
                <c:pt idx="76">
                  <c:v>0</c:v>
                </c:pt>
                <c:pt idx="77">
                  <c:v>0</c:v>
                </c:pt>
                <c:pt idx="78">
                  <c:v>0</c:v>
                </c:pt>
                <c:pt idx="79">
                  <c:v>1</c:v>
                </c:pt>
                <c:pt idx="80">
                  <c:v>0</c:v>
                </c:pt>
                <c:pt idx="81">
                  <c:v>0</c:v>
                </c:pt>
                <c:pt idx="82">
                  <c:v>0</c:v>
                </c:pt>
                <c:pt idx="83">
                  <c:v>0</c:v>
                </c:pt>
                <c:pt idx="84">
                  <c:v>1</c:v>
                </c:pt>
                <c:pt idx="85">
                  <c:v>0</c:v>
                </c:pt>
                <c:pt idx="86">
                  <c:v>0</c:v>
                </c:pt>
                <c:pt idx="87">
                  <c:v>0</c:v>
                </c:pt>
                <c:pt idx="88">
                  <c:v>2</c:v>
                </c:pt>
                <c:pt idx="89">
                  <c:v>2</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8-87C6-44EA-973E-4EE677DB667E}"/>
            </c:ext>
          </c:extLst>
        </c:ser>
        <c:ser>
          <c:idx val="25"/>
          <c:order val="25"/>
          <c:tx>
            <c:strRef>
              <c:f>Tabelle3!$AB$1</c:f>
              <c:strCache>
                <c:ptCount val="1"/>
                <c:pt idx="0">
                  <c:v>2019-02-01</c:v>
                </c:pt>
              </c:strCache>
            </c:strRef>
          </c:tx>
          <c:spPr>
            <a:ln w="28575" cap="rnd">
              <a:solidFill>
                <a:schemeClr val="accent2">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Tabelle3!$AB$2:$AB$100</c:f>
              <c:numCache>
                <c:formatCode>General</c:formatCode>
                <c:ptCount val="99"/>
                <c:pt idx="0">
                  <c:v>0</c:v>
                </c:pt>
                <c:pt idx="1">
                  <c:v>0</c:v>
                </c:pt>
                <c:pt idx="2">
                  <c:v>0</c:v>
                </c:pt>
                <c:pt idx="3">
                  <c:v>2</c:v>
                </c:pt>
                <c:pt idx="4">
                  <c:v>0</c:v>
                </c:pt>
                <c:pt idx="5">
                  <c:v>1</c:v>
                </c:pt>
                <c:pt idx="6">
                  <c:v>0</c:v>
                </c:pt>
                <c:pt idx="7">
                  <c:v>0</c:v>
                </c:pt>
                <c:pt idx="8">
                  <c:v>2</c:v>
                </c:pt>
                <c:pt idx="9">
                  <c:v>1</c:v>
                </c:pt>
                <c:pt idx="10">
                  <c:v>0</c:v>
                </c:pt>
                <c:pt idx="11">
                  <c:v>0</c:v>
                </c:pt>
                <c:pt idx="12">
                  <c:v>0</c:v>
                </c:pt>
                <c:pt idx="13">
                  <c:v>0</c:v>
                </c:pt>
                <c:pt idx="14">
                  <c:v>0</c:v>
                </c:pt>
                <c:pt idx="15">
                  <c:v>0</c:v>
                </c:pt>
                <c:pt idx="16">
                  <c:v>6</c:v>
                </c:pt>
                <c:pt idx="17">
                  <c:v>1</c:v>
                </c:pt>
                <c:pt idx="18">
                  <c:v>0</c:v>
                </c:pt>
                <c:pt idx="19">
                  <c:v>0</c:v>
                </c:pt>
                <c:pt idx="20">
                  <c:v>0</c:v>
                </c:pt>
                <c:pt idx="21">
                  <c:v>1</c:v>
                </c:pt>
                <c:pt idx="22">
                  <c:v>1</c:v>
                </c:pt>
                <c:pt idx="23">
                  <c:v>2</c:v>
                </c:pt>
                <c:pt idx="24">
                  <c:v>0</c:v>
                </c:pt>
                <c:pt idx="25">
                  <c:v>0</c:v>
                </c:pt>
                <c:pt idx="26">
                  <c:v>0</c:v>
                </c:pt>
                <c:pt idx="27">
                  <c:v>1</c:v>
                </c:pt>
                <c:pt idx="28">
                  <c:v>2</c:v>
                </c:pt>
                <c:pt idx="29">
                  <c:v>99</c:v>
                </c:pt>
                <c:pt idx="30">
                  <c:v>6</c:v>
                </c:pt>
                <c:pt idx="31">
                  <c:v>0</c:v>
                </c:pt>
                <c:pt idx="32">
                  <c:v>0</c:v>
                </c:pt>
                <c:pt idx="33">
                  <c:v>0</c:v>
                </c:pt>
                <c:pt idx="34">
                  <c:v>0</c:v>
                </c:pt>
                <c:pt idx="35">
                  <c:v>0</c:v>
                </c:pt>
                <c:pt idx="36">
                  <c:v>0</c:v>
                </c:pt>
                <c:pt idx="37">
                  <c:v>2</c:v>
                </c:pt>
                <c:pt idx="38">
                  <c:v>0</c:v>
                </c:pt>
                <c:pt idx="39">
                  <c:v>0</c:v>
                </c:pt>
                <c:pt idx="40">
                  <c:v>0</c:v>
                </c:pt>
                <c:pt idx="41">
                  <c:v>0</c:v>
                </c:pt>
                <c:pt idx="42">
                  <c:v>0</c:v>
                </c:pt>
                <c:pt idx="43">
                  <c:v>0</c:v>
                </c:pt>
                <c:pt idx="44">
                  <c:v>1</c:v>
                </c:pt>
                <c:pt idx="45">
                  <c:v>1</c:v>
                </c:pt>
                <c:pt idx="46">
                  <c:v>5</c:v>
                </c:pt>
                <c:pt idx="47">
                  <c:v>0</c:v>
                </c:pt>
                <c:pt idx="48">
                  <c:v>1</c:v>
                </c:pt>
                <c:pt idx="49">
                  <c:v>0</c:v>
                </c:pt>
                <c:pt idx="50">
                  <c:v>0</c:v>
                </c:pt>
                <c:pt idx="51">
                  <c:v>16</c:v>
                </c:pt>
                <c:pt idx="52">
                  <c:v>1</c:v>
                </c:pt>
                <c:pt idx="53">
                  <c:v>1</c:v>
                </c:pt>
                <c:pt idx="54">
                  <c:v>5</c:v>
                </c:pt>
                <c:pt idx="55">
                  <c:v>0</c:v>
                </c:pt>
                <c:pt idx="56">
                  <c:v>0</c:v>
                </c:pt>
                <c:pt idx="57">
                  <c:v>4</c:v>
                </c:pt>
                <c:pt idx="58">
                  <c:v>1</c:v>
                </c:pt>
                <c:pt idx="59">
                  <c:v>0</c:v>
                </c:pt>
                <c:pt idx="60">
                  <c:v>2</c:v>
                </c:pt>
                <c:pt idx="61">
                  <c:v>5</c:v>
                </c:pt>
                <c:pt idx="62">
                  <c:v>0</c:v>
                </c:pt>
                <c:pt idx="63">
                  <c:v>0</c:v>
                </c:pt>
                <c:pt idx="64">
                  <c:v>0</c:v>
                </c:pt>
                <c:pt idx="65">
                  <c:v>3</c:v>
                </c:pt>
                <c:pt idx="66">
                  <c:v>0</c:v>
                </c:pt>
                <c:pt idx="67">
                  <c:v>2</c:v>
                </c:pt>
                <c:pt idx="68">
                  <c:v>3</c:v>
                </c:pt>
                <c:pt idx="69">
                  <c:v>4</c:v>
                </c:pt>
                <c:pt idx="70">
                  <c:v>5</c:v>
                </c:pt>
                <c:pt idx="71">
                  <c:v>3</c:v>
                </c:pt>
                <c:pt idx="72">
                  <c:v>3</c:v>
                </c:pt>
                <c:pt idx="73">
                  <c:v>0</c:v>
                </c:pt>
                <c:pt idx="74">
                  <c:v>0</c:v>
                </c:pt>
                <c:pt idx="75">
                  <c:v>0</c:v>
                </c:pt>
                <c:pt idx="76">
                  <c:v>0</c:v>
                </c:pt>
                <c:pt idx="77">
                  <c:v>0</c:v>
                </c:pt>
                <c:pt idx="78">
                  <c:v>0</c:v>
                </c:pt>
                <c:pt idx="79">
                  <c:v>2</c:v>
                </c:pt>
                <c:pt idx="80">
                  <c:v>0</c:v>
                </c:pt>
                <c:pt idx="81">
                  <c:v>0</c:v>
                </c:pt>
                <c:pt idx="82">
                  <c:v>0</c:v>
                </c:pt>
                <c:pt idx="83">
                  <c:v>0</c:v>
                </c:pt>
                <c:pt idx="84">
                  <c:v>2</c:v>
                </c:pt>
                <c:pt idx="85">
                  <c:v>0</c:v>
                </c:pt>
                <c:pt idx="86">
                  <c:v>0</c:v>
                </c:pt>
                <c:pt idx="87">
                  <c:v>0</c:v>
                </c:pt>
                <c:pt idx="88">
                  <c:v>2</c:v>
                </c:pt>
                <c:pt idx="89">
                  <c:v>3</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9-87C6-44EA-973E-4EE677DB667E}"/>
            </c:ext>
          </c:extLst>
        </c:ser>
        <c:ser>
          <c:idx val="26"/>
          <c:order val="26"/>
          <c:tx>
            <c:strRef>
              <c:f>Tabelle3!$AC$1</c:f>
              <c:strCache>
                <c:ptCount val="1"/>
                <c:pt idx="0">
                  <c:v>2019-03-01</c:v>
                </c:pt>
              </c:strCache>
            </c:strRef>
          </c:tx>
          <c:spPr>
            <a:ln w="28575" cap="rnd">
              <a:solidFill>
                <a:schemeClr val="accent3">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Tabelle3!$AC$2:$AC$100</c:f>
              <c:numCache>
                <c:formatCode>General</c:formatCode>
                <c:ptCount val="99"/>
                <c:pt idx="0">
                  <c:v>0</c:v>
                </c:pt>
                <c:pt idx="1">
                  <c:v>0</c:v>
                </c:pt>
                <c:pt idx="2">
                  <c:v>0</c:v>
                </c:pt>
                <c:pt idx="3">
                  <c:v>1</c:v>
                </c:pt>
                <c:pt idx="4">
                  <c:v>0</c:v>
                </c:pt>
                <c:pt idx="5">
                  <c:v>1</c:v>
                </c:pt>
                <c:pt idx="6">
                  <c:v>1</c:v>
                </c:pt>
                <c:pt idx="7">
                  <c:v>0</c:v>
                </c:pt>
                <c:pt idx="8">
                  <c:v>2</c:v>
                </c:pt>
                <c:pt idx="9">
                  <c:v>1</c:v>
                </c:pt>
                <c:pt idx="10">
                  <c:v>0</c:v>
                </c:pt>
                <c:pt idx="11">
                  <c:v>0</c:v>
                </c:pt>
                <c:pt idx="12">
                  <c:v>0</c:v>
                </c:pt>
                <c:pt idx="13">
                  <c:v>0</c:v>
                </c:pt>
                <c:pt idx="14">
                  <c:v>0</c:v>
                </c:pt>
                <c:pt idx="15">
                  <c:v>0</c:v>
                </c:pt>
                <c:pt idx="16">
                  <c:v>7</c:v>
                </c:pt>
                <c:pt idx="17">
                  <c:v>1</c:v>
                </c:pt>
                <c:pt idx="18">
                  <c:v>0</c:v>
                </c:pt>
                <c:pt idx="19">
                  <c:v>0</c:v>
                </c:pt>
                <c:pt idx="20">
                  <c:v>0</c:v>
                </c:pt>
                <c:pt idx="21">
                  <c:v>1</c:v>
                </c:pt>
                <c:pt idx="22">
                  <c:v>1</c:v>
                </c:pt>
                <c:pt idx="23">
                  <c:v>1</c:v>
                </c:pt>
                <c:pt idx="24">
                  <c:v>0</c:v>
                </c:pt>
                <c:pt idx="25">
                  <c:v>0</c:v>
                </c:pt>
                <c:pt idx="26">
                  <c:v>0</c:v>
                </c:pt>
                <c:pt idx="27">
                  <c:v>1</c:v>
                </c:pt>
                <c:pt idx="28">
                  <c:v>3</c:v>
                </c:pt>
                <c:pt idx="29">
                  <c:v>97</c:v>
                </c:pt>
                <c:pt idx="30">
                  <c:v>6</c:v>
                </c:pt>
                <c:pt idx="31">
                  <c:v>0</c:v>
                </c:pt>
                <c:pt idx="32">
                  <c:v>0</c:v>
                </c:pt>
                <c:pt idx="33">
                  <c:v>0</c:v>
                </c:pt>
                <c:pt idx="34">
                  <c:v>0</c:v>
                </c:pt>
                <c:pt idx="35">
                  <c:v>1</c:v>
                </c:pt>
                <c:pt idx="36">
                  <c:v>0</c:v>
                </c:pt>
                <c:pt idx="37">
                  <c:v>2</c:v>
                </c:pt>
                <c:pt idx="38">
                  <c:v>0</c:v>
                </c:pt>
                <c:pt idx="39">
                  <c:v>0</c:v>
                </c:pt>
                <c:pt idx="40">
                  <c:v>1</c:v>
                </c:pt>
                <c:pt idx="41">
                  <c:v>0</c:v>
                </c:pt>
                <c:pt idx="42">
                  <c:v>0</c:v>
                </c:pt>
                <c:pt idx="43">
                  <c:v>0</c:v>
                </c:pt>
                <c:pt idx="44">
                  <c:v>1</c:v>
                </c:pt>
                <c:pt idx="45">
                  <c:v>1</c:v>
                </c:pt>
                <c:pt idx="46">
                  <c:v>5</c:v>
                </c:pt>
                <c:pt idx="47">
                  <c:v>0</c:v>
                </c:pt>
                <c:pt idx="48">
                  <c:v>2</c:v>
                </c:pt>
                <c:pt idx="49">
                  <c:v>0</c:v>
                </c:pt>
                <c:pt idx="50">
                  <c:v>0</c:v>
                </c:pt>
                <c:pt idx="51">
                  <c:v>17</c:v>
                </c:pt>
                <c:pt idx="52">
                  <c:v>1</c:v>
                </c:pt>
                <c:pt idx="53">
                  <c:v>1</c:v>
                </c:pt>
                <c:pt idx="54">
                  <c:v>9</c:v>
                </c:pt>
                <c:pt idx="55">
                  <c:v>0</c:v>
                </c:pt>
                <c:pt idx="56">
                  <c:v>0</c:v>
                </c:pt>
                <c:pt idx="57">
                  <c:v>5</c:v>
                </c:pt>
                <c:pt idx="58">
                  <c:v>1</c:v>
                </c:pt>
                <c:pt idx="59">
                  <c:v>0</c:v>
                </c:pt>
                <c:pt idx="60">
                  <c:v>2</c:v>
                </c:pt>
                <c:pt idx="61">
                  <c:v>5</c:v>
                </c:pt>
                <c:pt idx="62">
                  <c:v>0</c:v>
                </c:pt>
                <c:pt idx="63">
                  <c:v>0</c:v>
                </c:pt>
                <c:pt idx="64">
                  <c:v>0</c:v>
                </c:pt>
                <c:pt idx="65">
                  <c:v>3</c:v>
                </c:pt>
                <c:pt idx="66">
                  <c:v>0</c:v>
                </c:pt>
                <c:pt idx="67">
                  <c:v>2</c:v>
                </c:pt>
                <c:pt idx="68">
                  <c:v>3</c:v>
                </c:pt>
                <c:pt idx="69">
                  <c:v>6</c:v>
                </c:pt>
                <c:pt idx="70">
                  <c:v>9</c:v>
                </c:pt>
                <c:pt idx="71">
                  <c:v>3</c:v>
                </c:pt>
                <c:pt idx="72">
                  <c:v>4</c:v>
                </c:pt>
                <c:pt idx="73">
                  <c:v>0</c:v>
                </c:pt>
                <c:pt idx="74">
                  <c:v>0</c:v>
                </c:pt>
                <c:pt idx="75">
                  <c:v>0</c:v>
                </c:pt>
                <c:pt idx="76">
                  <c:v>0</c:v>
                </c:pt>
                <c:pt idx="77">
                  <c:v>0</c:v>
                </c:pt>
                <c:pt idx="78">
                  <c:v>0</c:v>
                </c:pt>
                <c:pt idx="79">
                  <c:v>2</c:v>
                </c:pt>
                <c:pt idx="80">
                  <c:v>0</c:v>
                </c:pt>
                <c:pt idx="81">
                  <c:v>0</c:v>
                </c:pt>
                <c:pt idx="82">
                  <c:v>0</c:v>
                </c:pt>
                <c:pt idx="83">
                  <c:v>0</c:v>
                </c:pt>
                <c:pt idx="84">
                  <c:v>2</c:v>
                </c:pt>
                <c:pt idx="85">
                  <c:v>0</c:v>
                </c:pt>
                <c:pt idx="86">
                  <c:v>0</c:v>
                </c:pt>
                <c:pt idx="87">
                  <c:v>0</c:v>
                </c:pt>
                <c:pt idx="88">
                  <c:v>0</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A-87C6-44EA-973E-4EE677DB667E}"/>
            </c:ext>
          </c:extLst>
        </c:ser>
        <c:ser>
          <c:idx val="27"/>
          <c:order val="27"/>
          <c:tx>
            <c:strRef>
              <c:f>Tabelle3!$AD$1</c:f>
              <c:strCache>
                <c:ptCount val="1"/>
                <c:pt idx="0">
                  <c:v>2019-04-01</c:v>
                </c:pt>
              </c:strCache>
            </c:strRef>
          </c:tx>
          <c:spPr>
            <a:ln w="28575" cap="rnd">
              <a:solidFill>
                <a:schemeClr val="accent4">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Tabelle3!$AD$2:$AD$100</c:f>
              <c:numCache>
                <c:formatCode>General</c:formatCode>
                <c:ptCount val="99"/>
                <c:pt idx="0">
                  <c:v>0</c:v>
                </c:pt>
                <c:pt idx="1">
                  <c:v>0</c:v>
                </c:pt>
                <c:pt idx="2">
                  <c:v>0</c:v>
                </c:pt>
                <c:pt idx="3">
                  <c:v>3</c:v>
                </c:pt>
                <c:pt idx="4">
                  <c:v>0</c:v>
                </c:pt>
                <c:pt idx="5">
                  <c:v>0</c:v>
                </c:pt>
                <c:pt idx="6">
                  <c:v>1</c:v>
                </c:pt>
                <c:pt idx="7">
                  <c:v>0</c:v>
                </c:pt>
                <c:pt idx="8">
                  <c:v>2</c:v>
                </c:pt>
                <c:pt idx="9">
                  <c:v>1</c:v>
                </c:pt>
                <c:pt idx="10">
                  <c:v>0</c:v>
                </c:pt>
                <c:pt idx="11">
                  <c:v>0</c:v>
                </c:pt>
                <c:pt idx="12">
                  <c:v>0</c:v>
                </c:pt>
                <c:pt idx="13">
                  <c:v>0</c:v>
                </c:pt>
                <c:pt idx="14">
                  <c:v>0</c:v>
                </c:pt>
                <c:pt idx="15">
                  <c:v>0</c:v>
                </c:pt>
                <c:pt idx="16">
                  <c:v>6</c:v>
                </c:pt>
                <c:pt idx="17">
                  <c:v>1</c:v>
                </c:pt>
                <c:pt idx="18">
                  <c:v>0</c:v>
                </c:pt>
                <c:pt idx="19">
                  <c:v>0</c:v>
                </c:pt>
                <c:pt idx="20">
                  <c:v>0</c:v>
                </c:pt>
                <c:pt idx="21">
                  <c:v>1</c:v>
                </c:pt>
                <c:pt idx="22">
                  <c:v>0</c:v>
                </c:pt>
                <c:pt idx="23">
                  <c:v>3</c:v>
                </c:pt>
                <c:pt idx="24">
                  <c:v>0</c:v>
                </c:pt>
                <c:pt idx="25">
                  <c:v>0</c:v>
                </c:pt>
                <c:pt idx="26">
                  <c:v>0</c:v>
                </c:pt>
                <c:pt idx="27">
                  <c:v>1</c:v>
                </c:pt>
                <c:pt idx="28">
                  <c:v>4</c:v>
                </c:pt>
                <c:pt idx="29">
                  <c:v>94</c:v>
                </c:pt>
                <c:pt idx="30">
                  <c:v>6</c:v>
                </c:pt>
                <c:pt idx="31">
                  <c:v>0</c:v>
                </c:pt>
                <c:pt idx="32">
                  <c:v>0</c:v>
                </c:pt>
                <c:pt idx="33">
                  <c:v>0</c:v>
                </c:pt>
                <c:pt idx="34">
                  <c:v>0</c:v>
                </c:pt>
                <c:pt idx="35">
                  <c:v>1</c:v>
                </c:pt>
                <c:pt idx="36">
                  <c:v>0</c:v>
                </c:pt>
                <c:pt idx="37">
                  <c:v>2</c:v>
                </c:pt>
                <c:pt idx="38">
                  <c:v>0</c:v>
                </c:pt>
                <c:pt idx="39">
                  <c:v>0</c:v>
                </c:pt>
                <c:pt idx="40">
                  <c:v>1</c:v>
                </c:pt>
                <c:pt idx="41">
                  <c:v>0</c:v>
                </c:pt>
                <c:pt idx="42">
                  <c:v>0</c:v>
                </c:pt>
                <c:pt idx="43">
                  <c:v>0</c:v>
                </c:pt>
                <c:pt idx="44">
                  <c:v>1</c:v>
                </c:pt>
                <c:pt idx="45">
                  <c:v>1</c:v>
                </c:pt>
                <c:pt idx="46">
                  <c:v>5</c:v>
                </c:pt>
                <c:pt idx="47">
                  <c:v>0</c:v>
                </c:pt>
                <c:pt idx="48">
                  <c:v>3</c:v>
                </c:pt>
                <c:pt idx="49">
                  <c:v>0</c:v>
                </c:pt>
                <c:pt idx="50">
                  <c:v>0</c:v>
                </c:pt>
                <c:pt idx="51">
                  <c:v>20</c:v>
                </c:pt>
                <c:pt idx="52">
                  <c:v>1</c:v>
                </c:pt>
                <c:pt idx="53">
                  <c:v>1</c:v>
                </c:pt>
                <c:pt idx="54">
                  <c:v>11</c:v>
                </c:pt>
                <c:pt idx="55">
                  <c:v>0</c:v>
                </c:pt>
                <c:pt idx="56">
                  <c:v>0</c:v>
                </c:pt>
                <c:pt idx="57">
                  <c:v>6</c:v>
                </c:pt>
                <c:pt idx="58">
                  <c:v>1</c:v>
                </c:pt>
                <c:pt idx="59">
                  <c:v>0</c:v>
                </c:pt>
                <c:pt idx="60">
                  <c:v>2</c:v>
                </c:pt>
                <c:pt idx="61">
                  <c:v>5</c:v>
                </c:pt>
                <c:pt idx="62">
                  <c:v>0</c:v>
                </c:pt>
                <c:pt idx="63">
                  <c:v>0</c:v>
                </c:pt>
                <c:pt idx="64">
                  <c:v>0</c:v>
                </c:pt>
                <c:pt idx="65">
                  <c:v>3</c:v>
                </c:pt>
                <c:pt idx="66">
                  <c:v>0</c:v>
                </c:pt>
                <c:pt idx="67">
                  <c:v>4</c:v>
                </c:pt>
                <c:pt idx="68">
                  <c:v>3</c:v>
                </c:pt>
                <c:pt idx="69">
                  <c:v>6</c:v>
                </c:pt>
                <c:pt idx="70">
                  <c:v>9</c:v>
                </c:pt>
                <c:pt idx="71">
                  <c:v>4</c:v>
                </c:pt>
                <c:pt idx="72">
                  <c:v>6</c:v>
                </c:pt>
                <c:pt idx="73">
                  <c:v>0</c:v>
                </c:pt>
                <c:pt idx="74">
                  <c:v>0</c:v>
                </c:pt>
                <c:pt idx="75">
                  <c:v>1</c:v>
                </c:pt>
                <c:pt idx="76">
                  <c:v>0</c:v>
                </c:pt>
                <c:pt idx="77">
                  <c:v>0</c:v>
                </c:pt>
                <c:pt idx="78">
                  <c:v>0</c:v>
                </c:pt>
                <c:pt idx="79">
                  <c:v>2</c:v>
                </c:pt>
                <c:pt idx="80">
                  <c:v>0</c:v>
                </c:pt>
                <c:pt idx="81">
                  <c:v>0</c:v>
                </c:pt>
                <c:pt idx="82">
                  <c:v>0</c:v>
                </c:pt>
                <c:pt idx="83">
                  <c:v>0</c:v>
                </c:pt>
                <c:pt idx="84">
                  <c:v>2</c:v>
                </c:pt>
                <c:pt idx="85">
                  <c:v>0</c:v>
                </c:pt>
                <c:pt idx="86">
                  <c:v>0</c:v>
                </c:pt>
                <c:pt idx="87">
                  <c:v>0</c:v>
                </c:pt>
                <c:pt idx="88">
                  <c:v>0</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B-87C6-44EA-973E-4EE677DB667E}"/>
            </c:ext>
          </c:extLst>
        </c:ser>
        <c:ser>
          <c:idx val="28"/>
          <c:order val="28"/>
          <c:tx>
            <c:strRef>
              <c:f>Tabelle3!$AE$1</c:f>
              <c:strCache>
                <c:ptCount val="1"/>
                <c:pt idx="0">
                  <c:v>2019-05-01</c:v>
                </c:pt>
              </c:strCache>
            </c:strRef>
          </c:tx>
          <c:spPr>
            <a:ln w="28575" cap="rnd">
              <a:solidFill>
                <a:schemeClr val="accent5">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Tabelle3!$AE$2:$AE$100</c:f>
              <c:numCache>
                <c:formatCode>General</c:formatCode>
                <c:ptCount val="99"/>
                <c:pt idx="0">
                  <c:v>0</c:v>
                </c:pt>
                <c:pt idx="1">
                  <c:v>0</c:v>
                </c:pt>
                <c:pt idx="2">
                  <c:v>0</c:v>
                </c:pt>
                <c:pt idx="3">
                  <c:v>3</c:v>
                </c:pt>
                <c:pt idx="4">
                  <c:v>0</c:v>
                </c:pt>
                <c:pt idx="5">
                  <c:v>0</c:v>
                </c:pt>
                <c:pt idx="6">
                  <c:v>2</c:v>
                </c:pt>
                <c:pt idx="7">
                  <c:v>0</c:v>
                </c:pt>
                <c:pt idx="8">
                  <c:v>2</c:v>
                </c:pt>
                <c:pt idx="9">
                  <c:v>1</c:v>
                </c:pt>
                <c:pt idx="10">
                  <c:v>0</c:v>
                </c:pt>
                <c:pt idx="11">
                  <c:v>0</c:v>
                </c:pt>
                <c:pt idx="12">
                  <c:v>0</c:v>
                </c:pt>
                <c:pt idx="13">
                  <c:v>0</c:v>
                </c:pt>
                <c:pt idx="14">
                  <c:v>0</c:v>
                </c:pt>
                <c:pt idx="15">
                  <c:v>1</c:v>
                </c:pt>
                <c:pt idx="16">
                  <c:v>5</c:v>
                </c:pt>
                <c:pt idx="17">
                  <c:v>2</c:v>
                </c:pt>
                <c:pt idx="18">
                  <c:v>0</c:v>
                </c:pt>
                <c:pt idx="19">
                  <c:v>0</c:v>
                </c:pt>
                <c:pt idx="20">
                  <c:v>0</c:v>
                </c:pt>
                <c:pt idx="21">
                  <c:v>3</c:v>
                </c:pt>
                <c:pt idx="22">
                  <c:v>0</c:v>
                </c:pt>
                <c:pt idx="23">
                  <c:v>3</c:v>
                </c:pt>
                <c:pt idx="24">
                  <c:v>0</c:v>
                </c:pt>
                <c:pt idx="25">
                  <c:v>0</c:v>
                </c:pt>
                <c:pt idx="26">
                  <c:v>0</c:v>
                </c:pt>
                <c:pt idx="27">
                  <c:v>1</c:v>
                </c:pt>
                <c:pt idx="28">
                  <c:v>4</c:v>
                </c:pt>
                <c:pt idx="29">
                  <c:v>94</c:v>
                </c:pt>
                <c:pt idx="30">
                  <c:v>5</c:v>
                </c:pt>
                <c:pt idx="31">
                  <c:v>0</c:v>
                </c:pt>
                <c:pt idx="32">
                  <c:v>0</c:v>
                </c:pt>
                <c:pt idx="33">
                  <c:v>0</c:v>
                </c:pt>
                <c:pt idx="34">
                  <c:v>0</c:v>
                </c:pt>
                <c:pt idx="35">
                  <c:v>1</c:v>
                </c:pt>
                <c:pt idx="36">
                  <c:v>0</c:v>
                </c:pt>
                <c:pt idx="37">
                  <c:v>2</c:v>
                </c:pt>
                <c:pt idx="38">
                  <c:v>0</c:v>
                </c:pt>
                <c:pt idx="39">
                  <c:v>0</c:v>
                </c:pt>
                <c:pt idx="40">
                  <c:v>1</c:v>
                </c:pt>
                <c:pt idx="41">
                  <c:v>0</c:v>
                </c:pt>
                <c:pt idx="42">
                  <c:v>0</c:v>
                </c:pt>
                <c:pt idx="43">
                  <c:v>0</c:v>
                </c:pt>
                <c:pt idx="44">
                  <c:v>1</c:v>
                </c:pt>
                <c:pt idx="45">
                  <c:v>1</c:v>
                </c:pt>
                <c:pt idx="46">
                  <c:v>3</c:v>
                </c:pt>
                <c:pt idx="47">
                  <c:v>3</c:v>
                </c:pt>
                <c:pt idx="48">
                  <c:v>3</c:v>
                </c:pt>
                <c:pt idx="49">
                  <c:v>0</c:v>
                </c:pt>
                <c:pt idx="50">
                  <c:v>0</c:v>
                </c:pt>
                <c:pt idx="51">
                  <c:v>20</c:v>
                </c:pt>
                <c:pt idx="52">
                  <c:v>1</c:v>
                </c:pt>
                <c:pt idx="53">
                  <c:v>0</c:v>
                </c:pt>
                <c:pt idx="54">
                  <c:v>12</c:v>
                </c:pt>
                <c:pt idx="55">
                  <c:v>0</c:v>
                </c:pt>
                <c:pt idx="56">
                  <c:v>0</c:v>
                </c:pt>
                <c:pt idx="57">
                  <c:v>6</c:v>
                </c:pt>
                <c:pt idx="58">
                  <c:v>1</c:v>
                </c:pt>
                <c:pt idx="59">
                  <c:v>0</c:v>
                </c:pt>
                <c:pt idx="60">
                  <c:v>2</c:v>
                </c:pt>
                <c:pt idx="61">
                  <c:v>5</c:v>
                </c:pt>
                <c:pt idx="62">
                  <c:v>0</c:v>
                </c:pt>
                <c:pt idx="63">
                  <c:v>0</c:v>
                </c:pt>
                <c:pt idx="64">
                  <c:v>0</c:v>
                </c:pt>
                <c:pt idx="65">
                  <c:v>3</c:v>
                </c:pt>
                <c:pt idx="66">
                  <c:v>0</c:v>
                </c:pt>
                <c:pt idx="67">
                  <c:v>3</c:v>
                </c:pt>
                <c:pt idx="68">
                  <c:v>3</c:v>
                </c:pt>
                <c:pt idx="69">
                  <c:v>6</c:v>
                </c:pt>
                <c:pt idx="70">
                  <c:v>8</c:v>
                </c:pt>
                <c:pt idx="71">
                  <c:v>5</c:v>
                </c:pt>
                <c:pt idx="72">
                  <c:v>6</c:v>
                </c:pt>
                <c:pt idx="73">
                  <c:v>0</c:v>
                </c:pt>
                <c:pt idx="74">
                  <c:v>0</c:v>
                </c:pt>
                <c:pt idx="75">
                  <c:v>1</c:v>
                </c:pt>
                <c:pt idx="76">
                  <c:v>0</c:v>
                </c:pt>
                <c:pt idx="77">
                  <c:v>0</c:v>
                </c:pt>
                <c:pt idx="78">
                  <c:v>0</c:v>
                </c:pt>
                <c:pt idx="79">
                  <c:v>2</c:v>
                </c:pt>
                <c:pt idx="80">
                  <c:v>0</c:v>
                </c:pt>
                <c:pt idx="81">
                  <c:v>0</c:v>
                </c:pt>
                <c:pt idx="82">
                  <c:v>0</c:v>
                </c:pt>
                <c:pt idx="83">
                  <c:v>0</c:v>
                </c:pt>
                <c:pt idx="84">
                  <c:v>1</c:v>
                </c:pt>
                <c:pt idx="85">
                  <c:v>0</c:v>
                </c:pt>
                <c:pt idx="86">
                  <c:v>0</c:v>
                </c:pt>
                <c:pt idx="87">
                  <c:v>0</c:v>
                </c:pt>
                <c:pt idx="88">
                  <c:v>0</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C-87C6-44EA-973E-4EE677DB667E}"/>
            </c:ext>
          </c:extLst>
        </c:ser>
        <c:ser>
          <c:idx val="29"/>
          <c:order val="29"/>
          <c:tx>
            <c:strRef>
              <c:f>Tabelle3!$AF$1</c:f>
              <c:strCache>
                <c:ptCount val="1"/>
                <c:pt idx="0">
                  <c:v>2019-06-01</c:v>
                </c:pt>
              </c:strCache>
            </c:strRef>
          </c:tx>
          <c:spPr>
            <a:ln w="28575" cap="rnd">
              <a:solidFill>
                <a:schemeClr val="accent6">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Tabelle3!$AF$2:$AF$100</c:f>
              <c:numCache>
                <c:formatCode>General</c:formatCode>
                <c:ptCount val="99"/>
                <c:pt idx="0">
                  <c:v>0</c:v>
                </c:pt>
                <c:pt idx="1">
                  <c:v>0</c:v>
                </c:pt>
                <c:pt idx="2">
                  <c:v>0</c:v>
                </c:pt>
                <c:pt idx="3">
                  <c:v>3</c:v>
                </c:pt>
                <c:pt idx="4">
                  <c:v>1</c:v>
                </c:pt>
                <c:pt idx="5">
                  <c:v>1</c:v>
                </c:pt>
                <c:pt idx="6">
                  <c:v>2</c:v>
                </c:pt>
                <c:pt idx="7">
                  <c:v>0</c:v>
                </c:pt>
                <c:pt idx="8">
                  <c:v>2</c:v>
                </c:pt>
                <c:pt idx="9">
                  <c:v>1</c:v>
                </c:pt>
                <c:pt idx="10">
                  <c:v>0</c:v>
                </c:pt>
                <c:pt idx="11">
                  <c:v>0</c:v>
                </c:pt>
                <c:pt idx="12">
                  <c:v>0</c:v>
                </c:pt>
                <c:pt idx="13">
                  <c:v>0</c:v>
                </c:pt>
                <c:pt idx="14">
                  <c:v>0</c:v>
                </c:pt>
                <c:pt idx="15">
                  <c:v>1</c:v>
                </c:pt>
                <c:pt idx="16">
                  <c:v>5</c:v>
                </c:pt>
                <c:pt idx="17">
                  <c:v>2</c:v>
                </c:pt>
                <c:pt idx="18">
                  <c:v>0</c:v>
                </c:pt>
                <c:pt idx="19">
                  <c:v>1</c:v>
                </c:pt>
                <c:pt idx="20">
                  <c:v>0</c:v>
                </c:pt>
                <c:pt idx="21">
                  <c:v>2</c:v>
                </c:pt>
                <c:pt idx="22">
                  <c:v>0</c:v>
                </c:pt>
                <c:pt idx="23">
                  <c:v>3</c:v>
                </c:pt>
                <c:pt idx="24">
                  <c:v>0</c:v>
                </c:pt>
                <c:pt idx="25">
                  <c:v>0</c:v>
                </c:pt>
                <c:pt idx="26">
                  <c:v>0</c:v>
                </c:pt>
                <c:pt idx="27">
                  <c:v>1</c:v>
                </c:pt>
                <c:pt idx="28">
                  <c:v>4</c:v>
                </c:pt>
                <c:pt idx="29">
                  <c:v>95</c:v>
                </c:pt>
                <c:pt idx="30">
                  <c:v>5</c:v>
                </c:pt>
                <c:pt idx="31">
                  <c:v>0</c:v>
                </c:pt>
                <c:pt idx="32">
                  <c:v>0</c:v>
                </c:pt>
                <c:pt idx="33">
                  <c:v>0</c:v>
                </c:pt>
                <c:pt idx="34">
                  <c:v>0</c:v>
                </c:pt>
                <c:pt idx="35">
                  <c:v>1</c:v>
                </c:pt>
                <c:pt idx="36">
                  <c:v>0</c:v>
                </c:pt>
                <c:pt idx="37">
                  <c:v>2</c:v>
                </c:pt>
                <c:pt idx="38">
                  <c:v>0</c:v>
                </c:pt>
                <c:pt idx="39">
                  <c:v>0</c:v>
                </c:pt>
                <c:pt idx="40">
                  <c:v>1</c:v>
                </c:pt>
                <c:pt idx="41">
                  <c:v>0</c:v>
                </c:pt>
                <c:pt idx="42">
                  <c:v>0</c:v>
                </c:pt>
                <c:pt idx="43">
                  <c:v>1</c:v>
                </c:pt>
                <c:pt idx="44">
                  <c:v>0</c:v>
                </c:pt>
                <c:pt idx="45">
                  <c:v>2</c:v>
                </c:pt>
                <c:pt idx="46">
                  <c:v>0</c:v>
                </c:pt>
                <c:pt idx="47">
                  <c:v>3</c:v>
                </c:pt>
                <c:pt idx="48">
                  <c:v>3</c:v>
                </c:pt>
                <c:pt idx="49">
                  <c:v>0</c:v>
                </c:pt>
                <c:pt idx="50">
                  <c:v>0</c:v>
                </c:pt>
                <c:pt idx="51">
                  <c:v>23</c:v>
                </c:pt>
                <c:pt idx="52">
                  <c:v>0</c:v>
                </c:pt>
                <c:pt idx="53">
                  <c:v>1</c:v>
                </c:pt>
                <c:pt idx="54">
                  <c:v>10</c:v>
                </c:pt>
                <c:pt idx="55">
                  <c:v>0</c:v>
                </c:pt>
                <c:pt idx="56">
                  <c:v>0</c:v>
                </c:pt>
                <c:pt idx="57">
                  <c:v>4</c:v>
                </c:pt>
                <c:pt idx="58">
                  <c:v>1</c:v>
                </c:pt>
                <c:pt idx="59">
                  <c:v>0</c:v>
                </c:pt>
                <c:pt idx="60">
                  <c:v>2</c:v>
                </c:pt>
                <c:pt idx="61">
                  <c:v>5</c:v>
                </c:pt>
                <c:pt idx="62">
                  <c:v>0</c:v>
                </c:pt>
                <c:pt idx="63">
                  <c:v>3</c:v>
                </c:pt>
                <c:pt idx="64">
                  <c:v>0</c:v>
                </c:pt>
                <c:pt idx="65">
                  <c:v>3</c:v>
                </c:pt>
                <c:pt idx="66">
                  <c:v>0</c:v>
                </c:pt>
                <c:pt idx="67">
                  <c:v>3</c:v>
                </c:pt>
                <c:pt idx="68">
                  <c:v>13</c:v>
                </c:pt>
                <c:pt idx="69">
                  <c:v>4</c:v>
                </c:pt>
                <c:pt idx="70">
                  <c:v>8</c:v>
                </c:pt>
                <c:pt idx="71">
                  <c:v>4</c:v>
                </c:pt>
                <c:pt idx="72">
                  <c:v>7</c:v>
                </c:pt>
                <c:pt idx="73">
                  <c:v>0</c:v>
                </c:pt>
                <c:pt idx="74">
                  <c:v>0</c:v>
                </c:pt>
                <c:pt idx="75">
                  <c:v>2</c:v>
                </c:pt>
                <c:pt idx="76">
                  <c:v>0</c:v>
                </c:pt>
                <c:pt idx="77">
                  <c:v>0</c:v>
                </c:pt>
                <c:pt idx="78">
                  <c:v>0</c:v>
                </c:pt>
                <c:pt idx="79">
                  <c:v>2</c:v>
                </c:pt>
                <c:pt idx="80">
                  <c:v>0</c:v>
                </c:pt>
                <c:pt idx="81">
                  <c:v>0</c:v>
                </c:pt>
                <c:pt idx="82">
                  <c:v>0</c:v>
                </c:pt>
                <c:pt idx="83">
                  <c:v>0</c:v>
                </c:pt>
                <c:pt idx="84">
                  <c:v>2</c:v>
                </c:pt>
                <c:pt idx="85">
                  <c:v>0</c:v>
                </c:pt>
                <c:pt idx="86">
                  <c:v>0</c:v>
                </c:pt>
                <c:pt idx="87">
                  <c:v>0</c:v>
                </c:pt>
                <c:pt idx="88">
                  <c:v>0</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D-87C6-44EA-973E-4EE677DB667E}"/>
            </c:ext>
          </c:extLst>
        </c:ser>
        <c:ser>
          <c:idx val="30"/>
          <c:order val="30"/>
          <c:tx>
            <c:strRef>
              <c:f>Tabelle3!$AG$1</c:f>
              <c:strCache>
                <c:ptCount val="1"/>
                <c:pt idx="0">
                  <c:v>2019-07-01</c:v>
                </c:pt>
              </c:strCache>
            </c:strRef>
          </c:tx>
          <c:spPr>
            <a:ln w="28575" cap="rnd">
              <a:solidFill>
                <a:schemeClr val="accent1">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Tabelle3!$AG$2:$AG$100</c:f>
              <c:numCache>
                <c:formatCode>General</c:formatCode>
                <c:ptCount val="99"/>
                <c:pt idx="0">
                  <c:v>0</c:v>
                </c:pt>
                <c:pt idx="1">
                  <c:v>0</c:v>
                </c:pt>
                <c:pt idx="2">
                  <c:v>0</c:v>
                </c:pt>
                <c:pt idx="3">
                  <c:v>3</c:v>
                </c:pt>
                <c:pt idx="4">
                  <c:v>1</c:v>
                </c:pt>
                <c:pt idx="5">
                  <c:v>1</c:v>
                </c:pt>
                <c:pt idx="6">
                  <c:v>2</c:v>
                </c:pt>
                <c:pt idx="7">
                  <c:v>0</c:v>
                </c:pt>
                <c:pt idx="8">
                  <c:v>1</c:v>
                </c:pt>
                <c:pt idx="9">
                  <c:v>1</c:v>
                </c:pt>
                <c:pt idx="10">
                  <c:v>0</c:v>
                </c:pt>
                <c:pt idx="11">
                  <c:v>0</c:v>
                </c:pt>
                <c:pt idx="12">
                  <c:v>0</c:v>
                </c:pt>
                <c:pt idx="13">
                  <c:v>0</c:v>
                </c:pt>
                <c:pt idx="14">
                  <c:v>0</c:v>
                </c:pt>
                <c:pt idx="15">
                  <c:v>3</c:v>
                </c:pt>
                <c:pt idx="16">
                  <c:v>6</c:v>
                </c:pt>
                <c:pt idx="17">
                  <c:v>2</c:v>
                </c:pt>
                <c:pt idx="18">
                  <c:v>0</c:v>
                </c:pt>
                <c:pt idx="19">
                  <c:v>1</c:v>
                </c:pt>
                <c:pt idx="20">
                  <c:v>0</c:v>
                </c:pt>
                <c:pt idx="21">
                  <c:v>2</c:v>
                </c:pt>
                <c:pt idx="22">
                  <c:v>1</c:v>
                </c:pt>
                <c:pt idx="23">
                  <c:v>1</c:v>
                </c:pt>
                <c:pt idx="24">
                  <c:v>0</c:v>
                </c:pt>
                <c:pt idx="25">
                  <c:v>0</c:v>
                </c:pt>
                <c:pt idx="26">
                  <c:v>0</c:v>
                </c:pt>
                <c:pt idx="27">
                  <c:v>1</c:v>
                </c:pt>
                <c:pt idx="28">
                  <c:v>4</c:v>
                </c:pt>
                <c:pt idx="29">
                  <c:v>87</c:v>
                </c:pt>
                <c:pt idx="30">
                  <c:v>4</c:v>
                </c:pt>
                <c:pt idx="31">
                  <c:v>0</c:v>
                </c:pt>
                <c:pt idx="32">
                  <c:v>0</c:v>
                </c:pt>
                <c:pt idx="33">
                  <c:v>0</c:v>
                </c:pt>
                <c:pt idx="34">
                  <c:v>0</c:v>
                </c:pt>
                <c:pt idx="35">
                  <c:v>1</c:v>
                </c:pt>
                <c:pt idx="36">
                  <c:v>0</c:v>
                </c:pt>
                <c:pt idx="37">
                  <c:v>2</c:v>
                </c:pt>
                <c:pt idx="38">
                  <c:v>0</c:v>
                </c:pt>
                <c:pt idx="39">
                  <c:v>0</c:v>
                </c:pt>
                <c:pt idx="40">
                  <c:v>1</c:v>
                </c:pt>
                <c:pt idx="41">
                  <c:v>0</c:v>
                </c:pt>
                <c:pt idx="42">
                  <c:v>0</c:v>
                </c:pt>
                <c:pt idx="43">
                  <c:v>2</c:v>
                </c:pt>
                <c:pt idx="44">
                  <c:v>0</c:v>
                </c:pt>
                <c:pt idx="45">
                  <c:v>2</c:v>
                </c:pt>
                <c:pt idx="46">
                  <c:v>2</c:v>
                </c:pt>
                <c:pt idx="47">
                  <c:v>8</c:v>
                </c:pt>
                <c:pt idx="48">
                  <c:v>3</c:v>
                </c:pt>
                <c:pt idx="49">
                  <c:v>0</c:v>
                </c:pt>
                <c:pt idx="50">
                  <c:v>0</c:v>
                </c:pt>
                <c:pt idx="51">
                  <c:v>19</c:v>
                </c:pt>
                <c:pt idx="52">
                  <c:v>0</c:v>
                </c:pt>
                <c:pt idx="53">
                  <c:v>1</c:v>
                </c:pt>
                <c:pt idx="54">
                  <c:v>11</c:v>
                </c:pt>
                <c:pt idx="55">
                  <c:v>1</c:v>
                </c:pt>
                <c:pt idx="56">
                  <c:v>0</c:v>
                </c:pt>
                <c:pt idx="57">
                  <c:v>10</c:v>
                </c:pt>
                <c:pt idx="58">
                  <c:v>1</c:v>
                </c:pt>
                <c:pt idx="59">
                  <c:v>0</c:v>
                </c:pt>
                <c:pt idx="60">
                  <c:v>2</c:v>
                </c:pt>
                <c:pt idx="61">
                  <c:v>3</c:v>
                </c:pt>
                <c:pt idx="62">
                  <c:v>0</c:v>
                </c:pt>
                <c:pt idx="63">
                  <c:v>3</c:v>
                </c:pt>
                <c:pt idx="64">
                  <c:v>0</c:v>
                </c:pt>
                <c:pt idx="65">
                  <c:v>3</c:v>
                </c:pt>
                <c:pt idx="66">
                  <c:v>0</c:v>
                </c:pt>
                <c:pt idx="67">
                  <c:v>3</c:v>
                </c:pt>
                <c:pt idx="68">
                  <c:v>14</c:v>
                </c:pt>
                <c:pt idx="69">
                  <c:v>4</c:v>
                </c:pt>
                <c:pt idx="70">
                  <c:v>8</c:v>
                </c:pt>
                <c:pt idx="71">
                  <c:v>3</c:v>
                </c:pt>
                <c:pt idx="72">
                  <c:v>6</c:v>
                </c:pt>
                <c:pt idx="73">
                  <c:v>0</c:v>
                </c:pt>
                <c:pt idx="74">
                  <c:v>0</c:v>
                </c:pt>
                <c:pt idx="75">
                  <c:v>1</c:v>
                </c:pt>
                <c:pt idx="76">
                  <c:v>0</c:v>
                </c:pt>
                <c:pt idx="77">
                  <c:v>0</c:v>
                </c:pt>
                <c:pt idx="78">
                  <c:v>0</c:v>
                </c:pt>
                <c:pt idx="79">
                  <c:v>2</c:v>
                </c:pt>
                <c:pt idx="80">
                  <c:v>0</c:v>
                </c:pt>
                <c:pt idx="81">
                  <c:v>0</c:v>
                </c:pt>
                <c:pt idx="82">
                  <c:v>0</c:v>
                </c:pt>
                <c:pt idx="83">
                  <c:v>0</c:v>
                </c:pt>
                <c:pt idx="84">
                  <c:v>2</c:v>
                </c:pt>
                <c:pt idx="85">
                  <c:v>0</c:v>
                </c:pt>
                <c:pt idx="86">
                  <c:v>0</c:v>
                </c:pt>
                <c:pt idx="87">
                  <c:v>0</c:v>
                </c:pt>
                <c:pt idx="88">
                  <c:v>0</c:v>
                </c:pt>
                <c:pt idx="89">
                  <c:v>4</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E-87C6-44EA-973E-4EE677DB667E}"/>
            </c:ext>
          </c:extLst>
        </c:ser>
        <c:ser>
          <c:idx val="31"/>
          <c:order val="31"/>
          <c:tx>
            <c:strRef>
              <c:f>Tabelle3!$AH$1</c:f>
              <c:strCache>
                <c:ptCount val="1"/>
                <c:pt idx="0">
                  <c:v>2019-08-01</c:v>
                </c:pt>
              </c:strCache>
            </c:strRef>
          </c:tx>
          <c:spPr>
            <a:ln w="28575" cap="rnd">
              <a:solidFill>
                <a:schemeClr val="accent2">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Tabelle3!$AH$2:$AH$100</c:f>
              <c:numCache>
                <c:formatCode>General</c:formatCode>
                <c:ptCount val="99"/>
                <c:pt idx="0">
                  <c:v>0</c:v>
                </c:pt>
                <c:pt idx="1">
                  <c:v>0</c:v>
                </c:pt>
                <c:pt idx="2">
                  <c:v>0</c:v>
                </c:pt>
                <c:pt idx="3">
                  <c:v>2</c:v>
                </c:pt>
                <c:pt idx="4">
                  <c:v>1</c:v>
                </c:pt>
                <c:pt idx="5">
                  <c:v>1</c:v>
                </c:pt>
                <c:pt idx="6">
                  <c:v>2</c:v>
                </c:pt>
                <c:pt idx="7">
                  <c:v>0</c:v>
                </c:pt>
                <c:pt idx="8">
                  <c:v>1</c:v>
                </c:pt>
                <c:pt idx="9">
                  <c:v>1</c:v>
                </c:pt>
                <c:pt idx="10">
                  <c:v>0</c:v>
                </c:pt>
                <c:pt idx="11">
                  <c:v>0</c:v>
                </c:pt>
                <c:pt idx="12">
                  <c:v>0</c:v>
                </c:pt>
                <c:pt idx="13">
                  <c:v>0</c:v>
                </c:pt>
                <c:pt idx="14">
                  <c:v>0</c:v>
                </c:pt>
                <c:pt idx="15">
                  <c:v>3</c:v>
                </c:pt>
                <c:pt idx="16">
                  <c:v>6</c:v>
                </c:pt>
                <c:pt idx="17">
                  <c:v>1</c:v>
                </c:pt>
                <c:pt idx="18">
                  <c:v>0</c:v>
                </c:pt>
                <c:pt idx="19">
                  <c:v>1</c:v>
                </c:pt>
                <c:pt idx="20">
                  <c:v>0</c:v>
                </c:pt>
                <c:pt idx="21">
                  <c:v>2</c:v>
                </c:pt>
                <c:pt idx="22">
                  <c:v>1</c:v>
                </c:pt>
                <c:pt idx="23">
                  <c:v>1</c:v>
                </c:pt>
                <c:pt idx="24">
                  <c:v>0</c:v>
                </c:pt>
                <c:pt idx="25">
                  <c:v>0</c:v>
                </c:pt>
                <c:pt idx="26">
                  <c:v>0</c:v>
                </c:pt>
                <c:pt idx="27">
                  <c:v>1</c:v>
                </c:pt>
                <c:pt idx="28">
                  <c:v>2</c:v>
                </c:pt>
                <c:pt idx="29">
                  <c:v>87</c:v>
                </c:pt>
                <c:pt idx="30">
                  <c:v>3</c:v>
                </c:pt>
                <c:pt idx="31">
                  <c:v>0</c:v>
                </c:pt>
                <c:pt idx="32">
                  <c:v>0</c:v>
                </c:pt>
                <c:pt idx="33">
                  <c:v>0</c:v>
                </c:pt>
                <c:pt idx="34">
                  <c:v>0</c:v>
                </c:pt>
                <c:pt idx="35">
                  <c:v>0</c:v>
                </c:pt>
                <c:pt idx="36">
                  <c:v>0</c:v>
                </c:pt>
                <c:pt idx="37">
                  <c:v>2</c:v>
                </c:pt>
                <c:pt idx="38">
                  <c:v>0</c:v>
                </c:pt>
                <c:pt idx="39">
                  <c:v>0</c:v>
                </c:pt>
                <c:pt idx="40">
                  <c:v>1</c:v>
                </c:pt>
                <c:pt idx="41">
                  <c:v>0</c:v>
                </c:pt>
                <c:pt idx="42">
                  <c:v>0</c:v>
                </c:pt>
                <c:pt idx="43">
                  <c:v>2</c:v>
                </c:pt>
                <c:pt idx="44">
                  <c:v>0</c:v>
                </c:pt>
                <c:pt idx="45">
                  <c:v>2</c:v>
                </c:pt>
                <c:pt idx="46">
                  <c:v>2</c:v>
                </c:pt>
                <c:pt idx="47">
                  <c:v>8</c:v>
                </c:pt>
                <c:pt idx="48">
                  <c:v>3</c:v>
                </c:pt>
                <c:pt idx="49">
                  <c:v>0</c:v>
                </c:pt>
                <c:pt idx="50">
                  <c:v>0</c:v>
                </c:pt>
                <c:pt idx="51">
                  <c:v>19</c:v>
                </c:pt>
                <c:pt idx="52">
                  <c:v>0</c:v>
                </c:pt>
                <c:pt idx="53">
                  <c:v>1</c:v>
                </c:pt>
                <c:pt idx="54">
                  <c:v>7</c:v>
                </c:pt>
                <c:pt idx="55">
                  <c:v>1</c:v>
                </c:pt>
                <c:pt idx="56">
                  <c:v>0</c:v>
                </c:pt>
                <c:pt idx="57">
                  <c:v>20</c:v>
                </c:pt>
                <c:pt idx="58">
                  <c:v>0</c:v>
                </c:pt>
                <c:pt idx="59">
                  <c:v>1</c:v>
                </c:pt>
                <c:pt idx="60">
                  <c:v>2</c:v>
                </c:pt>
                <c:pt idx="61">
                  <c:v>4</c:v>
                </c:pt>
                <c:pt idx="62">
                  <c:v>0</c:v>
                </c:pt>
                <c:pt idx="63">
                  <c:v>3</c:v>
                </c:pt>
                <c:pt idx="64">
                  <c:v>0</c:v>
                </c:pt>
                <c:pt idx="65">
                  <c:v>2</c:v>
                </c:pt>
                <c:pt idx="66">
                  <c:v>0</c:v>
                </c:pt>
                <c:pt idx="67">
                  <c:v>2</c:v>
                </c:pt>
                <c:pt idx="68">
                  <c:v>15</c:v>
                </c:pt>
                <c:pt idx="69">
                  <c:v>4</c:v>
                </c:pt>
                <c:pt idx="70">
                  <c:v>8</c:v>
                </c:pt>
                <c:pt idx="71">
                  <c:v>3</c:v>
                </c:pt>
                <c:pt idx="72">
                  <c:v>6</c:v>
                </c:pt>
                <c:pt idx="73">
                  <c:v>1</c:v>
                </c:pt>
                <c:pt idx="74">
                  <c:v>0</c:v>
                </c:pt>
                <c:pt idx="75">
                  <c:v>1</c:v>
                </c:pt>
                <c:pt idx="76">
                  <c:v>0</c:v>
                </c:pt>
                <c:pt idx="77">
                  <c:v>0</c:v>
                </c:pt>
                <c:pt idx="78">
                  <c:v>0</c:v>
                </c:pt>
                <c:pt idx="79">
                  <c:v>2</c:v>
                </c:pt>
                <c:pt idx="80">
                  <c:v>0</c:v>
                </c:pt>
                <c:pt idx="81">
                  <c:v>0</c:v>
                </c:pt>
                <c:pt idx="82">
                  <c:v>0</c:v>
                </c:pt>
                <c:pt idx="83">
                  <c:v>0</c:v>
                </c:pt>
                <c:pt idx="84">
                  <c:v>2</c:v>
                </c:pt>
                <c:pt idx="85">
                  <c:v>0</c:v>
                </c:pt>
                <c:pt idx="86">
                  <c:v>0</c:v>
                </c:pt>
                <c:pt idx="87">
                  <c:v>0</c:v>
                </c:pt>
                <c:pt idx="88">
                  <c:v>0</c:v>
                </c:pt>
                <c:pt idx="89">
                  <c:v>4</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1F-87C6-44EA-973E-4EE677DB667E}"/>
            </c:ext>
          </c:extLst>
        </c:ser>
        <c:ser>
          <c:idx val="32"/>
          <c:order val="32"/>
          <c:tx>
            <c:strRef>
              <c:f>Tabelle3!$AI$1</c:f>
              <c:strCache>
                <c:ptCount val="1"/>
                <c:pt idx="0">
                  <c:v>2019-09-01</c:v>
                </c:pt>
              </c:strCache>
            </c:strRef>
          </c:tx>
          <c:spPr>
            <a:ln w="28575" cap="rnd">
              <a:solidFill>
                <a:schemeClr val="accent3">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Tabelle3!$AI$2:$AI$100</c:f>
              <c:numCache>
                <c:formatCode>General</c:formatCode>
                <c:ptCount val="99"/>
                <c:pt idx="0">
                  <c:v>0</c:v>
                </c:pt>
                <c:pt idx="1">
                  <c:v>7</c:v>
                </c:pt>
                <c:pt idx="2">
                  <c:v>0</c:v>
                </c:pt>
                <c:pt idx="3">
                  <c:v>2</c:v>
                </c:pt>
                <c:pt idx="4">
                  <c:v>1</c:v>
                </c:pt>
                <c:pt idx="5">
                  <c:v>0</c:v>
                </c:pt>
                <c:pt idx="6">
                  <c:v>3</c:v>
                </c:pt>
                <c:pt idx="7">
                  <c:v>0</c:v>
                </c:pt>
                <c:pt idx="8">
                  <c:v>1</c:v>
                </c:pt>
                <c:pt idx="9">
                  <c:v>3</c:v>
                </c:pt>
                <c:pt idx="10">
                  <c:v>0</c:v>
                </c:pt>
                <c:pt idx="11">
                  <c:v>0</c:v>
                </c:pt>
                <c:pt idx="12">
                  <c:v>0</c:v>
                </c:pt>
                <c:pt idx="13">
                  <c:v>0</c:v>
                </c:pt>
                <c:pt idx="14">
                  <c:v>0</c:v>
                </c:pt>
                <c:pt idx="15">
                  <c:v>3</c:v>
                </c:pt>
                <c:pt idx="16">
                  <c:v>6</c:v>
                </c:pt>
                <c:pt idx="17">
                  <c:v>1</c:v>
                </c:pt>
                <c:pt idx="18">
                  <c:v>0</c:v>
                </c:pt>
                <c:pt idx="19">
                  <c:v>1</c:v>
                </c:pt>
                <c:pt idx="20">
                  <c:v>0</c:v>
                </c:pt>
                <c:pt idx="21">
                  <c:v>2</c:v>
                </c:pt>
                <c:pt idx="22">
                  <c:v>1</c:v>
                </c:pt>
                <c:pt idx="23">
                  <c:v>1</c:v>
                </c:pt>
                <c:pt idx="24">
                  <c:v>0</c:v>
                </c:pt>
                <c:pt idx="25">
                  <c:v>0</c:v>
                </c:pt>
                <c:pt idx="26">
                  <c:v>0</c:v>
                </c:pt>
                <c:pt idx="27">
                  <c:v>1</c:v>
                </c:pt>
                <c:pt idx="28">
                  <c:v>2</c:v>
                </c:pt>
                <c:pt idx="29">
                  <c:v>85</c:v>
                </c:pt>
                <c:pt idx="30">
                  <c:v>3</c:v>
                </c:pt>
                <c:pt idx="31">
                  <c:v>0</c:v>
                </c:pt>
                <c:pt idx="32">
                  <c:v>0</c:v>
                </c:pt>
                <c:pt idx="33">
                  <c:v>0</c:v>
                </c:pt>
                <c:pt idx="34">
                  <c:v>0</c:v>
                </c:pt>
                <c:pt idx="35">
                  <c:v>0</c:v>
                </c:pt>
                <c:pt idx="36">
                  <c:v>0</c:v>
                </c:pt>
                <c:pt idx="37">
                  <c:v>2</c:v>
                </c:pt>
                <c:pt idx="38">
                  <c:v>0</c:v>
                </c:pt>
                <c:pt idx="39">
                  <c:v>0</c:v>
                </c:pt>
                <c:pt idx="40">
                  <c:v>1</c:v>
                </c:pt>
                <c:pt idx="41">
                  <c:v>0</c:v>
                </c:pt>
                <c:pt idx="42">
                  <c:v>0</c:v>
                </c:pt>
                <c:pt idx="43">
                  <c:v>2</c:v>
                </c:pt>
                <c:pt idx="44">
                  <c:v>0</c:v>
                </c:pt>
                <c:pt idx="45">
                  <c:v>2</c:v>
                </c:pt>
                <c:pt idx="46">
                  <c:v>2</c:v>
                </c:pt>
                <c:pt idx="47">
                  <c:v>10</c:v>
                </c:pt>
                <c:pt idx="48">
                  <c:v>4</c:v>
                </c:pt>
                <c:pt idx="49">
                  <c:v>0</c:v>
                </c:pt>
                <c:pt idx="50">
                  <c:v>0</c:v>
                </c:pt>
                <c:pt idx="51">
                  <c:v>18</c:v>
                </c:pt>
                <c:pt idx="52">
                  <c:v>0</c:v>
                </c:pt>
                <c:pt idx="53">
                  <c:v>0</c:v>
                </c:pt>
                <c:pt idx="54">
                  <c:v>6</c:v>
                </c:pt>
                <c:pt idx="55">
                  <c:v>1</c:v>
                </c:pt>
                <c:pt idx="56">
                  <c:v>0</c:v>
                </c:pt>
                <c:pt idx="57">
                  <c:v>24</c:v>
                </c:pt>
                <c:pt idx="58">
                  <c:v>0</c:v>
                </c:pt>
                <c:pt idx="59">
                  <c:v>1</c:v>
                </c:pt>
                <c:pt idx="60">
                  <c:v>2</c:v>
                </c:pt>
                <c:pt idx="61">
                  <c:v>3</c:v>
                </c:pt>
                <c:pt idx="62">
                  <c:v>0</c:v>
                </c:pt>
                <c:pt idx="63">
                  <c:v>3</c:v>
                </c:pt>
                <c:pt idx="64">
                  <c:v>0</c:v>
                </c:pt>
                <c:pt idx="65">
                  <c:v>2</c:v>
                </c:pt>
                <c:pt idx="66">
                  <c:v>0</c:v>
                </c:pt>
                <c:pt idx="67">
                  <c:v>2</c:v>
                </c:pt>
                <c:pt idx="68">
                  <c:v>15</c:v>
                </c:pt>
                <c:pt idx="69">
                  <c:v>2</c:v>
                </c:pt>
                <c:pt idx="70">
                  <c:v>8</c:v>
                </c:pt>
                <c:pt idx="71">
                  <c:v>1</c:v>
                </c:pt>
                <c:pt idx="72">
                  <c:v>10</c:v>
                </c:pt>
                <c:pt idx="73">
                  <c:v>1</c:v>
                </c:pt>
                <c:pt idx="74">
                  <c:v>0</c:v>
                </c:pt>
                <c:pt idx="75">
                  <c:v>0</c:v>
                </c:pt>
                <c:pt idx="76">
                  <c:v>0</c:v>
                </c:pt>
                <c:pt idx="77">
                  <c:v>0</c:v>
                </c:pt>
                <c:pt idx="78">
                  <c:v>0</c:v>
                </c:pt>
                <c:pt idx="79">
                  <c:v>2</c:v>
                </c:pt>
                <c:pt idx="80">
                  <c:v>0</c:v>
                </c:pt>
                <c:pt idx="81">
                  <c:v>0</c:v>
                </c:pt>
                <c:pt idx="82">
                  <c:v>0</c:v>
                </c:pt>
                <c:pt idx="83">
                  <c:v>0</c:v>
                </c:pt>
                <c:pt idx="84">
                  <c:v>2</c:v>
                </c:pt>
                <c:pt idx="85">
                  <c:v>0</c:v>
                </c:pt>
                <c:pt idx="86">
                  <c:v>0</c:v>
                </c:pt>
                <c:pt idx="87">
                  <c:v>0</c:v>
                </c:pt>
                <c:pt idx="88">
                  <c:v>0</c:v>
                </c:pt>
                <c:pt idx="89">
                  <c:v>4</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0-87C6-44EA-973E-4EE677DB667E}"/>
            </c:ext>
          </c:extLst>
        </c:ser>
        <c:ser>
          <c:idx val="33"/>
          <c:order val="33"/>
          <c:tx>
            <c:strRef>
              <c:f>Tabelle3!$AJ$1</c:f>
              <c:strCache>
                <c:ptCount val="1"/>
                <c:pt idx="0">
                  <c:v>2019-10-01</c:v>
                </c:pt>
              </c:strCache>
            </c:strRef>
          </c:tx>
          <c:spPr>
            <a:ln w="28575" cap="rnd">
              <a:solidFill>
                <a:schemeClr val="accent4">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Tabelle3!$AJ$2:$AJ$100</c:f>
              <c:numCache>
                <c:formatCode>General</c:formatCode>
                <c:ptCount val="99"/>
                <c:pt idx="0">
                  <c:v>0</c:v>
                </c:pt>
                <c:pt idx="1">
                  <c:v>9</c:v>
                </c:pt>
                <c:pt idx="2">
                  <c:v>0</c:v>
                </c:pt>
                <c:pt idx="3">
                  <c:v>2</c:v>
                </c:pt>
                <c:pt idx="4">
                  <c:v>1</c:v>
                </c:pt>
                <c:pt idx="5">
                  <c:v>0</c:v>
                </c:pt>
                <c:pt idx="6">
                  <c:v>3</c:v>
                </c:pt>
                <c:pt idx="7">
                  <c:v>0</c:v>
                </c:pt>
                <c:pt idx="8">
                  <c:v>1</c:v>
                </c:pt>
                <c:pt idx="9">
                  <c:v>2</c:v>
                </c:pt>
                <c:pt idx="10">
                  <c:v>0</c:v>
                </c:pt>
                <c:pt idx="11">
                  <c:v>0</c:v>
                </c:pt>
                <c:pt idx="12">
                  <c:v>0</c:v>
                </c:pt>
                <c:pt idx="13">
                  <c:v>0</c:v>
                </c:pt>
                <c:pt idx="14">
                  <c:v>0</c:v>
                </c:pt>
                <c:pt idx="15">
                  <c:v>0</c:v>
                </c:pt>
                <c:pt idx="16">
                  <c:v>5</c:v>
                </c:pt>
                <c:pt idx="17">
                  <c:v>1</c:v>
                </c:pt>
                <c:pt idx="18">
                  <c:v>0</c:v>
                </c:pt>
                <c:pt idx="19">
                  <c:v>1</c:v>
                </c:pt>
                <c:pt idx="20">
                  <c:v>0</c:v>
                </c:pt>
                <c:pt idx="21">
                  <c:v>2</c:v>
                </c:pt>
                <c:pt idx="22">
                  <c:v>1</c:v>
                </c:pt>
                <c:pt idx="23">
                  <c:v>1</c:v>
                </c:pt>
                <c:pt idx="24">
                  <c:v>0</c:v>
                </c:pt>
                <c:pt idx="25">
                  <c:v>0</c:v>
                </c:pt>
                <c:pt idx="26">
                  <c:v>0</c:v>
                </c:pt>
                <c:pt idx="27">
                  <c:v>1</c:v>
                </c:pt>
                <c:pt idx="28">
                  <c:v>2</c:v>
                </c:pt>
                <c:pt idx="29">
                  <c:v>85</c:v>
                </c:pt>
                <c:pt idx="30">
                  <c:v>2</c:v>
                </c:pt>
                <c:pt idx="31">
                  <c:v>0</c:v>
                </c:pt>
                <c:pt idx="32">
                  <c:v>0</c:v>
                </c:pt>
                <c:pt idx="33">
                  <c:v>0</c:v>
                </c:pt>
                <c:pt idx="34">
                  <c:v>0</c:v>
                </c:pt>
                <c:pt idx="35">
                  <c:v>0</c:v>
                </c:pt>
                <c:pt idx="36">
                  <c:v>0</c:v>
                </c:pt>
                <c:pt idx="37">
                  <c:v>2</c:v>
                </c:pt>
                <c:pt idx="38">
                  <c:v>0</c:v>
                </c:pt>
                <c:pt idx="39">
                  <c:v>0</c:v>
                </c:pt>
                <c:pt idx="40">
                  <c:v>1</c:v>
                </c:pt>
                <c:pt idx="41">
                  <c:v>0</c:v>
                </c:pt>
                <c:pt idx="42">
                  <c:v>0</c:v>
                </c:pt>
                <c:pt idx="43">
                  <c:v>0</c:v>
                </c:pt>
                <c:pt idx="44">
                  <c:v>1</c:v>
                </c:pt>
                <c:pt idx="45">
                  <c:v>4</c:v>
                </c:pt>
                <c:pt idx="46">
                  <c:v>1</c:v>
                </c:pt>
                <c:pt idx="47">
                  <c:v>10</c:v>
                </c:pt>
                <c:pt idx="48">
                  <c:v>6</c:v>
                </c:pt>
                <c:pt idx="49">
                  <c:v>0</c:v>
                </c:pt>
                <c:pt idx="50">
                  <c:v>0</c:v>
                </c:pt>
                <c:pt idx="51">
                  <c:v>19</c:v>
                </c:pt>
                <c:pt idx="52">
                  <c:v>1</c:v>
                </c:pt>
                <c:pt idx="53">
                  <c:v>2</c:v>
                </c:pt>
                <c:pt idx="54">
                  <c:v>6</c:v>
                </c:pt>
                <c:pt idx="55">
                  <c:v>7</c:v>
                </c:pt>
                <c:pt idx="56">
                  <c:v>0</c:v>
                </c:pt>
                <c:pt idx="57">
                  <c:v>26</c:v>
                </c:pt>
                <c:pt idx="58">
                  <c:v>0</c:v>
                </c:pt>
                <c:pt idx="59">
                  <c:v>1</c:v>
                </c:pt>
                <c:pt idx="60">
                  <c:v>2</c:v>
                </c:pt>
                <c:pt idx="61">
                  <c:v>5</c:v>
                </c:pt>
                <c:pt idx="62">
                  <c:v>0</c:v>
                </c:pt>
                <c:pt idx="63">
                  <c:v>3</c:v>
                </c:pt>
                <c:pt idx="64">
                  <c:v>0</c:v>
                </c:pt>
                <c:pt idx="65">
                  <c:v>2</c:v>
                </c:pt>
                <c:pt idx="66">
                  <c:v>0</c:v>
                </c:pt>
                <c:pt idx="67">
                  <c:v>3</c:v>
                </c:pt>
                <c:pt idx="68">
                  <c:v>20</c:v>
                </c:pt>
                <c:pt idx="69">
                  <c:v>12</c:v>
                </c:pt>
                <c:pt idx="70">
                  <c:v>9</c:v>
                </c:pt>
                <c:pt idx="71">
                  <c:v>2</c:v>
                </c:pt>
                <c:pt idx="72">
                  <c:v>20</c:v>
                </c:pt>
                <c:pt idx="73">
                  <c:v>1</c:v>
                </c:pt>
                <c:pt idx="74">
                  <c:v>0</c:v>
                </c:pt>
                <c:pt idx="75">
                  <c:v>0</c:v>
                </c:pt>
                <c:pt idx="76">
                  <c:v>0</c:v>
                </c:pt>
                <c:pt idx="77">
                  <c:v>0</c:v>
                </c:pt>
                <c:pt idx="78">
                  <c:v>0</c:v>
                </c:pt>
                <c:pt idx="79">
                  <c:v>2</c:v>
                </c:pt>
                <c:pt idx="80">
                  <c:v>0</c:v>
                </c:pt>
                <c:pt idx="81">
                  <c:v>0</c:v>
                </c:pt>
                <c:pt idx="82">
                  <c:v>0</c:v>
                </c:pt>
                <c:pt idx="83">
                  <c:v>0</c:v>
                </c:pt>
                <c:pt idx="84">
                  <c:v>3</c:v>
                </c:pt>
                <c:pt idx="85">
                  <c:v>0</c:v>
                </c:pt>
                <c:pt idx="86">
                  <c:v>0</c:v>
                </c:pt>
                <c:pt idx="87">
                  <c:v>0</c:v>
                </c:pt>
                <c:pt idx="88">
                  <c:v>0</c:v>
                </c:pt>
                <c:pt idx="89">
                  <c:v>4</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1-87C6-44EA-973E-4EE677DB667E}"/>
            </c:ext>
          </c:extLst>
        </c:ser>
        <c:ser>
          <c:idx val="34"/>
          <c:order val="34"/>
          <c:tx>
            <c:strRef>
              <c:f>Tabelle3!$AK$1</c:f>
              <c:strCache>
                <c:ptCount val="1"/>
                <c:pt idx="0">
                  <c:v>2019-11-01</c:v>
                </c:pt>
              </c:strCache>
            </c:strRef>
          </c:tx>
          <c:spPr>
            <a:ln w="28575" cap="rnd">
              <a:solidFill>
                <a:schemeClr val="accent5">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Tabelle3!$AK$2:$AK$100</c:f>
              <c:numCache>
                <c:formatCode>General</c:formatCode>
                <c:ptCount val="99"/>
                <c:pt idx="0">
                  <c:v>0</c:v>
                </c:pt>
                <c:pt idx="1">
                  <c:v>9</c:v>
                </c:pt>
                <c:pt idx="2">
                  <c:v>0</c:v>
                </c:pt>
                <c:pt idx="3">
                  <c:v>2</c:v>
                </c:pt>
                <c:pt idx="4">
                  <c:v>1</c:v>
                </c:pt>
                <c:pt idx="5">
                  <c:v>0</c:v>
                </c:pt>
                <c:pt idx="6">
                  <c:v>2</c:v>
                </c:pt>
                <c:pt idx="7">
                  <c:v>0</c:v>
                </c:pt>
                <c:pt idx="8">
                  <c:v>1</c:v>
                </c:pt>
                <c:pt idx="9">
                  <c:v>3</c:v>
                </c:pt>
                <c:pt idx="10">
                  <c:v>0</c:v>
                </c:pt>
                <c:pt idx="11">
                  <c:v>0</c:v>
                </c:pt>
                <c:pt idx="12">
                  <c:v>0</c:v>
                </c:pt>
                <c:pt idx="13">
                  <c:v>0</c:v>
                </c:pt>
                <c:pt idx="14">
                  <c:v>0</c:v>
                </c:pt>
                <c:pt idx="15">
                  <c:v>1</c:v>
                </c:pt>
                <c:pt idx="16">
                  <c:v>5</c:v>
                </c:pt>
                <c:pt idx="17">
                  <c:v>2</c:v>
                </c:pt>
                <c:pt idx="18">
                  <c:v>0</c:v>
                </c:pt>
                <c:pt idx="19">
                  <c:v>1</c:v>
                </c:pt>
                <c:pt idx="20">
                  <c:v>0</c:v>
                </c:pt>
                <c:pt idx="21">
                  <c:v>2</c:v>
                </c:pt>
                <c:pt idx="22">
                  <c:v>3</c:v>
                </c:pt>
                <c:pt idx="23">
                  <c:v>1</c:v>
                </c:pt>
                <c:pt idx="24">
                  <c:v>0</c:v>
                </c:pt>
                <c:pt idx="25">
                  <c:v>0</c:v>
                </c:pt>
                <c:pt idx="26">
                  <c:v>0</c:v>
                </c:pt>
                <c:pt idx="27">
                  <c:v>1</c:v>
                </c:pt>
                <c:pt idx="28">
                  <c:v>2</c:v>
                </c:pt>
                <c:pt idx="29">
                  <c:v>85</c:v>
                </c:pt>
                <c:pt idx="30">
                  <c:v>2</c:v>
                </c:pt>
                <c:pt idx="31">
                  <c:v>0</c:v>
                </c:pt>
                <c:pt idx="32">
                  <c:v>0</c:v>
                </c:pt>
                <c:pt idx="33">
                  <c:v>0</c:v>
                </c:pt>
                <c:pt idx="34">
                  <c:v>0</c:v>
                </c:pt>
                <c:pt idx="35">
                  <c:v>0</c:v>
                </c:pt>
                <c:pt idx="36">
                  <c:v>0</c:v>
                </c:pt>
                <c:pt idx="37">
                  <c:v>3</c:v>
                </c:pt>
                <c:pt idx="38">
                  <c:v>0</c:v>
                </c:pt>
                <c:pt idx="39">
                  <c:v>0</c:v>
                </c:pt>
                <c:pt idx="40">
                  <c:v>1</c:v>
                </c:pt>
                <c:pt idx="41">
                  <c:v>0</c:v>
                </c:pt>
                <c:pt idx="42">
                  <c:v>0</c:v>
                </c:pt>
                <c:pt idx="43">
                  <c:v>1</c:v>
                </c:pt>
                <c:pt idx="44">
                  <c:v>1</c:v>
                </c:pt>
                <c:pt idx="45">
                  <c:v>4</c:v>
                </c:pt>
                <c:pt idx="46">
                  <c:v>1</c:v>
                </c:pt>
                <c:pt idx="47">
                  <c:v>10</c:v>
                </c:pt>
                <c:pt idx="48">
                  <c:v>6</c:v>
                </c:pt>
                <c:pt idx="49">
                  <c:v>0</c:v>
                </c:pt>
                <c:pt idx="50">
                  <c:v>0</c:v>
                </c:pt>
                <c:pt idx="51">
                  <c:v>17</c:v>
                </c:pt>
                <c:pt idx="52">
                  <c:v>1</c:v>
                </c:pt>
                <c:pt idx="53">
                  <c:v>2</c:v>
                </c:pt>
                <c:pt idx="54">
                  <c:v>7</c:v>
                </c:pt>
                <c:pt idx="55">
                  <c:v>6</c:v>
                </c:pt>
                <c:pt idx="56">
                  <c:v>0</c:v>
                </c:pt>
                <c:pt idx="57">
                  <c:v>25</c:v>
                </c:pt>
                <c:pt idx="58">
                  <c:v>0</c:v>
                </c:pt>
                <c:pt idx="59">
                  <c:v>2</c:v>
                </c:pt>
                <c:pt idx="60">
                  <c:v>2</c:v>
                </c:pt>
                <c:pt idx="61">
                  <c:v>6</c:v>
                </c:pt>
                <c:pt idx="62">
                  <c:v>0</c:v>
                </c:pt>
                <c:pt idx="63">
                  <c:v>3</c:v>
                </c:pt>
                <c:pt idx="64">
                  <c:v>0</c:v>
                </c:pt>
                <c:pt idx="65">
                  <c:v>2</c:v>
                </c:pt>
                <c:pt idx="66">
                  <c:v>0</c:v>
                </c:pt>
                <c:pt idx="67">
                  <c:v>3</c:v>
                </c:pt>
                <c:pt idx="68">
                  <c:v>19</c:v>
                </c:pt>
                <c:pt idx="69">
                  <c:v>13</c:v>
                </c:pt>
                <c:pt idx="70">
                  <c:v>9</c:v>
                </c:pt>
                <c:pt idx="71">
                  <c:v>2</c:v>
                </c:pt>
                <c:pt idx="72">
                  <c:v>19</c:v>
                </c:pt>
                <c:pt idx="73">
                  <c:v>2</c:v>
                </c:pt>
                <c:pt idx="74">
                  <c:v>0</c:v>
                </c:pt>
                <c:pt idx="75">
                  <c:v>0</c:v>
                </c:pt>
                <c:pt idx="76">
                  <c:v>0</c:v>
                </c:pt>
                <c:pt idx="77">
                  <c:v>0</c:v>
                </c:pt>
                <c:pt idx="78">
                  <c:v>0</c:v>
                </c:pt>
                <c:pt idx="79">
                  <c:v>1</c:v>
                </c:pt>
                <c:pt idx="80">
                  <c:v>0</c:v>
                </c:pt>
                <c:pt idx="81">
                  <c:v>0</c:v>
                </c:pt>
                <c:pt idx="82">
                  <c:v>0</c:v>
                </c:pt>
                <c:pt idx="83">
                  <c:v>0</c:v>
                </c:pt>
                <c:pt idx="84">
                  <c:v>3</c:v>
                </c:pt>
                <c:pt idx="85">
                  <c:v>0</c:v>
                </c:pt>
                <c:pt idx="86">
                  <c:v>0</c:v>
                </c:pt>
                <c:pt idx="87">
                  <c:v>0</c:v>
                </c:pt>
                <c:pt idx="88">
                  <c:v>1</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2-87C6-44EA-973E-4EE677DB667E}"/>
            </c:ext>
          </c:extLst>
        </c:ser>
        <c:ser>
          <c:idx val="35"/>
          <c:order val="35"/>
          <c:tx>
            <c:strRef>
              <c:f>Tabelle3!$AL$1</c:f>
              <c:strCache>
                <c:ptCount val="1"/>
                <c:pt idx="0">
                  <c:v>2019-12-01</c:v>
                </c:pt>
              </c:strCache>
            </c:strRef>
          </c:tx>
          <c:spPr>
            <a:ln w="28575" cap="rnd">
              <a:solidFill>
                <a:schemeClr val="accent6">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Tabelle3!$AL$2:$AL$100</c:f>
              <c:numCache>
                <c:formatCode>General</c:formatCode>
                <c:ptCount val="99"/>
                <c:pt idx="0">
                  <c:v>0</c:v>
                </c:pt>
                <c:pt idx="1">
                  <c:v>12</c:v>
                </c:pt>
                <c:pt idx="2">
                  <c:v>0</c:v>
                </c:pt>
                <c:pt idx="3">
                  <c:v>2</c:v>
                </c:pt>
                <c:pt idx="4">
                  <c:v>1</c:v>
                </c:pt>
                <c:pt idx="5">
                  <c:v>0</c:v>
                </c:pt>
                <c:pt idx="6">
                  <c:v>2</c:v>
                </c:pt>
                <c:pt idx="7">
                  <c:v>0</c:v>
                </c:pt>
                <c:pt idx="8">
                  <c:v>1</c:v>
                </c:pt>
                <c:pt idx="9">
                  <c:v>3</c:v>
                </c:pt>
                <c:pt idx="10">
                  <c:v>0</c:v>
                </c:pt>
                <c:pt idx="11">
                  <c:v>0</c:v>
                </c:pt>
                <c:pt idx="12">
                  <c:v>0</c:v>
                </c:pt>
                <c:pt idx="13">
                  <c:v>0</c:v>
                </c:pt>
                <c:pt idx="14">
                  <c:v>0</c:v>
                </c:pt>
                <c:pt idx="15">
                  <c:v>1</c:v>
                </c:pt>
                <c:pt idx="16">
                  <c:v>5</c:v>
                </c:pt>
                <c:pt idx="17">
                  <c:v>2</c:v>
                </c:pt>
                <c:pt idx="18">
                  <c:v>0</c:v>
                </c:pt>
                <c:pt idx="19">
                  <c:v>1</c:v>
                </c:pt>
                <c:pt idx="20">
                  <c:v>0</c:v>
                </c:pt>
                <c:pt idx="21">
                  <c:v>2</c:v>
                </c:pt>
                <c:pt idx="22">
                  <c:v>3</c:v>
                </c:pt>
                <c:pt idx="23">
                  <c:v>1</c:v>
                </c:pt>
                <c:pt idx="24">
                  <c:v>0</c:v>
                </c:pt>
                <c:pt idx="25">
                  <c:v>0</c:v>
                </c:pt>
                <c:pt idx="26">
                  <c:v>0</c:v>
                </c:pt>
                <c:pt idx="27">
                  <c:v>1</c:v>
                </c:pt>
                <c:pt idx="28">
                  <c:v>3</c:v>
                </c:pt>
                <c:pt idx="29">
                  <c:v>86</c:v>
                </c:pt>
                <c:pt idx="30">
                  <c:v>2</c:v>
                </c:pt>
                <c:pt idx="31">
                  <c:v>0</c:v>
                </c:pt>
                <c:pt idx="32">
                  <c:v>0</c:v>
                </c:pt>
                <c:pt idx="33">
                  <c:v>0</c:v>
                </c:pt>
                <c:pt idx="34">
                  <c:v>0</c:v>
                </c:pt>
                <c:pt idx="35">
                  <c:v>0</c:v>
                </c:pt>
                <c:pt idx="36">
                  <c:v>0</c:v>
                </c:pt>
                <c:pt idx="37">
                  <c:v>3</c:v>
                </c:pt>
                <c:pt idx="38">
                  <c:v>0</c:v>
                </c:pt>
                <c:pt idx="39">
                  <c:v>0</c:v>
                </c:pt>
                <c:pt idx="40">
                  <c:v>1</c:v>
                </c:pt>
                <c:pt idx="41">
                  <c:v>0</c:v>
                </c:pt>
                <c:pt idx="42">
                  <c:v>0</c:v>
                </c:pt>
                <c:pt idx="43">
                  <c:v>1</c:v>
                </c:pt>
                <c:pt idx="44">
                  <c:v>0</c:v>
                </c:pt>
                <c:pt idx="45">
                  <c:v>4</c:v>
                </c:pt>
                <c:pt idx="46">
                  <c:v>1</c:v>
                </c:pt>
                <c:pt idx="47">
                  <c:v>10</c:v>
                </c:pt>
                <c:pt idx="48">
                  <c:v>16</c:v>
                </c:pt>
                <c:pt idx="49">
                  <c:v>0</c:v>
                </c:pt>
                <c:pt idx="50">
                  <c:v>0</c:v>
                </c:pt>
                <c:pt idx="51">
                  <c:v>19</c:v>
                </c:pt>
                <c:pt idx="52">
                  <c:v>2</c:v>
                </c:pt>
                <c:pt idx="53">
                  <c:v>1</c:v>
                </c:pt>
                <c:pt idx="54">
                  <c:v>5</c:v>
                </c:pt>
                <c:pt idx="55">
                  <c:v>6</c:v>
                </c:pt>
                <c:pt idx="56">
                  <c:v>0</c:v>
                </c:pt>
                <c:pt idx="57">
                  <c:v>24</c:v>
                </c:pt>
                <c:pt idx="58">
                  <c:v>0</c:v>
                </c:pt>
                <c:pt idx="59">
                  <c:v>3</c:v>
                </c:pt>
                <c:pt idx="60">
                  <c:v>2</c:v>
                </c:pt>
                <c:pt idx="61">
                  <c:v>6</c:v>
                </c:pt>
                <c:pt idx="62">
                  <c:v>0</c:v>
                </c:pt>
                <c:pt idx="63">
                  <c:v>3</c:v>
                </c:pt>
                <c:pt idx="64">
                  <c:v>0</c:v>
                </c:pt>
                <c:pt idx="65">
                  <c:v>1</c:v>
                </c:pt>
                <c:pt idx="66">
                  <c:v>0</c:v>
                </c:pt>
                <c:pt idx="67">
                  <c:v>3</c:v>
                </c:pt>
                <c:pt idx="68">
                  <c:v>18</c:v>
                </c:pt>
                <c:pt idx="69">
                  <c:v>15</c:v>
                </c:pt>
                <c:pt idx="70">
                  <c:v>12</c:v>
                </c:pt>
                <c:pt idx="71">
                  <c:v>2</c:v>
                </c:pt>
                <c:pt idx="72">
                  <c:v>23</c:v>
                </c:pt>
                <c:pt idx="73">
                  <c:v>3</c:v>
                </c:pt>
                <c:pt idx="74">
                  <c:v>0</c:v>
                </c:pt>
                <c:pt idx="75">
                  <c:v>0</c:v>
                </c:pt>
                <c:pt idx="76">
                  <c:v>0</c:v>
                </c:pt>
                <c:pt idx="77">
                  <c:v>0</c:v>
                </c:pt>
                <c:pt idx="78">
                  <c:v>0</c:v>
                </c:pt>
                <c:pt idx="79">
                  <c:v>1</c:v>
                </c:pt>
                <c:pt idx="80">
                  <c:v>0</c:v>
                </c:pt>
                <c:pt idx="81">
                  <c:v>0</c:v>
                </c:pt>
                <c:pt idx="82">
                  <c:v>0</c:v>
                </c:pt>
                <c:pt idx="83">
                  <c:v>0</c:v>
                </c:pt>
                <c:pt idx="84">
                  <c:v>2</c:v>
                </c:pt>
                <c:pt idx="85">
                  <c:v>0</c:v>
                </c:pt>
                <c:pt idx="86">
                  <c:v>0</c:v>
                </c:pt>
                <c:pt idx="87">
                  <c:v>0</c:v>
                </c:pt>
                <c:pt idx="88">
                  <c:v>1</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3-87C6-44EA-973E-4EE677DB667E}"/>
            </c:ext>
          </c:extLst>
        </c:ser>
        <c:ser>
          <c:idx val="36"/>
          <c:order val="36"/>
          <c:tx>
            <c:strRef>
              <c:f>Tabelle3!$AM$1</c:f>
              <c:strCache>
                <c:ptCount val="1"/>
                <c:pt idx="0">
                  <c:v>2020-01-01</c:v>
                </c:pt>
              </c:strCache>
            </c:strRef>
          </c:tx>
          <c:spPr>
            <a:ln w="28575" cap="rnd">
              <a:solidFill>
                <a:schemeClr val="accent1">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Tabelle3!$AM$2:$AM$100</c:f>
              <c:numCache>
                <c:formatCode>General</c:formatCode>
                <c:ptCount val="99"/>
                <c:pt idx="0">
                  <c:v>0</c:v>
                </c:pt>
                <c:pt idx="1">
                  <c:v>13</c:v>
                </c:pt>
                <c:pt idx="2">
                  <c:v>1</c:v>
                </c:pt>
                <c:pt idx="3">
                  <c:v>1</c:v>
                </c:pt>
                <c:pt idx="4">
                  <c:v>1</c:v>
                </c:pt>
                <c:pt idx="5">
                  <c:v>0</c:v>
                </c:pt>
                <c:pt idx="6">
                  <c:v>2</c:v>
                </c:pt>
                <c:pt idx="7">
                  <c:v>0</c:v>
                </c:pt>
                <c:pt idx="8">
                  <c:v>1</c:v>
                </c:pt>
                <c:pt idx="9">
                  <c:v>4</c:v>
                </c:pt>
                <c:pt idx="10">
                  <c:v>1</c:v>
                </c:pt>
                <c:pt idx="11">
                  <c:v>0</c:v>
                </c:pt>
                <c:pt idx="12">
                  <c:v>0</c:v>
                </c:pt>
                <c:pt idx="13">
                  <c:v>0</c:v>
                </c:pt>
                <c:pt idx="14">
                  <c:v>0</c:v>
                </c:pt>
                <c:pt idx="15">
                  <c:v>1</c:v>
                </c:pt>
                <c:pt idx="16">
                  <c:v>5</c:v>
                </c:pt>
                <c:pt idx="17">
                  <c:v>2</c:v>
                </c:pt>
                <c:pt idx="18">
                  <c:v>0</c:v>
                </c:pt>
                <c:pt idx="19">
                  <c:v>0</c:v>
                </c:pt>
                <c:pt idx="20">
                  <c:v>0</c:v>
                </c:pt>
                <c:pt idx="21">
                  <c:v>1</c:v>
                </c:pt>
                <c:pt idx="22">
                  <c:v>2</c:v>
                </c:pt>
                <c:pt idx="23">
                  <c:v>1</c:v>
                </c:pt>
                <c:pt idx="24">
                  <c:v>0</c:v>
                </c:pt>
                <c:pt idx="25">
                  <c:v>0</c:v>
                </c:pt>
                <c:pt idx="26">
                  <c:v>0</c:v>
                </c:pt>
                <c:pt idx="27">
                  <c:v>1</c:v>
                </c:pt>
                <c:pt idx="28">
                  <c:v>2</c:v>
                </c:pt>
                <c:pt idx="29">
                  <c:v>70</c:v>
                </c:pt>
                <c:pt idx="30">
                  <c:v>2</c:v>
                </c:pt>
                <c:pt idx="31">
                  <c:v>0</c:v>
                </c:pt>
                <c:pt idx="32">
                  <c:v>0</c:v>
                </c:pt>
                <c:pt idx="33">
                  <c:v>0</c:v>
                </c:pt>
                <c:pt idx="34">
                  <c:v>0</c:v>
                </c:pt>
                <c:pt idx="35">
                  <c:v>0</c:v>
                </c:pt>
                <c:pt idx="36">
                  <c:v>0</c:v>
                </c:pt>
                <c:pt idx="37">
                  <c:v>3</c:v>
                </c:pt>
                <c:pt idx="38">
                  <c:v>0</c:v>
                </c:pt>
                <c:pt idx="39">
                  <c:v>0</c:v>
                </c:pt>
                <c:pt idx="40">
                  <c:v>3</c:v>
                </c:pt>
                <c:pt idx="41">
                  <c:v>0</c:v>
                </c:pt>
                <c:pt idx="42">
                  <c:v>0</c:v>
                </c:pt>
                <c:pt idx="43">
                  <c:v>1</c:v>
                </c:pt>
                <c:pt idx="44">
                  <c:v>0</c:v>
                </c:pt>
                <c:pt idx="45">
                  <c:v>4</c:v>
                </c:pt>
                <c:pt idx="46">
                  <c:v>0</c:v>
                </c:pt>
                <c:pt idx="47">
                  <c:v>8</c:v>
                </c:pt>
                <c:pt idx="48">
                  <c:v>15</c:v>
                </c:pt>
                <c:pt idx="49">
                  <c:v>0</c:v>
                </c:pt>
                <c:pt idx="50">
                  <c:v>0</c:v>
                </c:pt>
                <c:pt idx="51">
                  <c:v>22</c:v>
                </c:pt>
                <c:pt idx="52">
                  <c:v>1</c:v>
                </c:pt>
                <c:pt idx="53">
                  <c:v>0</c:v>
                </c:pt>
                <c:pt idx="54">
                  <c:v>7</c:v>
                </c:pt>
                <c:pt idx="55">
                  <c:v>6</c:v>
                </c:pt>
                <c:pt idx="56">
                  <c:v>0</c:v>
                </c:pt>
                <c:pt idx="57">
                  <c:v>32</c:v>
                </c:pt>
                <c:pt idx="58">
                  <c:v>2</c:v>
                </c:pt>
                <c:pt idx="59">
                  <c:v>3</c:v>
                </c:pt>
                <c:pt idx="60">
                  <c:v>2</c:v>
                </c:pt>
                <c:pt idx="61">
                  <c:v>5</c:v>
                </c:pt>
                <c:pt idx="62">
                  <c:v>0</c:v>
                </c:pt>
                <c:pt idx="63">
                  <c:v>3</c:v>
                </c:pt>
                <c:pt idx="64">
                  <c:v>1</c:v>
                </c:pt>
                <c:pt idx="65">
                  <c:v>1</c:v>
                </c:pt>
                <c:pt idx="66">
                  <c:v>0</c:v>
                </c:pt>
                <c:pt idx="67">
                  <c:v>3</c:v>
                </c:pt>
                <c:pt idx="68">
                  <c:v>7</c:v>
                </c:pt>
                <c:pt idx="69">
                  <c:v>25</c:v>
                </c:pt>
                <c:pt idx="70">
                  <c:v>14</c:v>
                </c:pt>
                <c:pt idx="71">
                  <c:v>2</c:v>
                </c:pt>
                <c:pt idx="72">
                  <c:v>25</c:v>
                </c:pt>
                <c:pt idx="73">
                  <c:v>4</c:v>
                </c:pt>
                <c:pt idx="74">
                  <c:v>0</c:v>
                </c:pt>
                <c:pt idx="75">
                  <c:v>0</c:v>
                </c:pt>
                <c:pt idx="76">
                  <c:v>0</c:v>
                </c:pt>
                <c:pt idx="77">
                  <c:v>0</c:v>
                </c:pt>
                <c:pt idx="78">
                  <c:v>0</c:v>
                </c:pt>
                <c:pt idx="79">
                  <c:v>1</c:v>
                </c:pt>
                <c:pt idx="80">
                  <c:v>0</c:v>
                </c:pt>
                <c:pt idx="81">
                  <c:v>0</c:v>
                </c:pt>
                <c:pt idx="82">
                  <c:v>0</c:v>
                </c:pt>
                <c:pt idx="83">
                  <c:v>0</c:v>
                </c:pt>
                <c:pt idx="84">
                  <c:v>0</c:v>
                </c:pt>
                <c:pt idx="85">
                  <c:v>0</c:v>
                </c:pt>
                <c:pt idx="86">
                  <c:v>0</c:v>
                </c:pt>
                <c:pt idx="87">
                  <c:v>0</c:v>
                </c:pt>
                <c:pt idx="88">
                  <c:v>2</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4-87C6-44EA-973E-4EE677DB667E}"/>
            </c:ext>
          </c:extLst>
        </c:ser>
        <c:ser>
          <c:idx val="37"/>
          <c:order val="37"/>
          <c:tx>
            <c:strRef>
              <c:f>Tabelle3!$AN$1</c:f>
              <c:strCache>
                <c:ptCount val="1"/>
                <c:pt idx="0">
                  <c:v>2020-02-01</c:v>
                </c:pt>
              </c:strCache>
            </c:strRef>
          </c:tx>
          <c:spPr>
            <a:ln w="28575" cap="rnd">
              <a:solidFill>
                <a:schemeClr val="accent2">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Tabelle3!$AN$2:$AN$100</c:f>
              <c:numCache>
                <c:formatCode>General</c:formatCode>
                <c:ptCount val="99"/>
                <c:pt idx="0">
                  <c:v>0</c:v>
                </c:pt>
                <c:pt idx="1">
                  <c:v>13</c:v>
                </c:pt>
                <c:pt idx="2">
                  <c:v>1</c:v>
                </c:pt>
                <c:pt idx="3">
                  <c:v>1</c:v>
                </c:pt>
                <c:pt idx="4">
                  <c:v>1</c:v>
                </c:pt>
                <c:pt idx="5">
                  <c:v>1</c:v>
                </c:pt>
                <c:pt idx="6">
                  <c:v>2</c:v>
                </c:pt>
                <c:pt idx="7">
                  <c:v>0</c:v>
                </c:pt>
                <c:pt idx="8">
                  <c:v>1</c:v>
                </c:pt>
                <c:pt idx="9">
                  <c:v>3</c:v>
                </c:pt>
                <c:pt idx="10">
                  <c:v>1</c:v>
                </c:pt>
                <c:pt idx="11">
                  <c:v>0</c:v>
                </c:pt>
                <c:pt idx="12">
                  <c:v>0</c:v>
                </c:pt>
                <c:pt idx="13">
                  <c:v>0</c:v>
                </c:pt>
                <c:pt idx="14">
                  <c:v>0</c:v>
                </c:pt>
                <c:pt idx="15">
                  <c:v>0</c:v>
                </c:pt>
                <c:pt idx="16">
                  <c:v>5</c:v>
                </c:pt>
                <c:pt idx="17">
                  <c:v>2</c:v>
                </c:pt>
                <c:pt idx="18">
                  <c:v>0</c:v>
                </c:pt>
                <c:pt idx="19">
                  <c:v>1</c:v>
                </c:pt>
                <c:pt idx="20">
                  <c:v>0</c:v>
                </c:pt>
                <c:pt idx="21">
                  <c:v>1</c:v>
                </c:pt>
                <c:pt idx="22">
                  <c:v>2</c:v>
                </c:pt>
                <c:pt idx="23">
                  <c:v>2</c:v>
                </c:pt>
                <c:pt idx="24">
                  <c:v>0</c:v>
                </c:pt>
                <c:pt idx="25">
                  <c:v>0</c:v>
                </c:pt>
                <c:pt idx="26">
                  <c:v>0</c:v>
                </c:pt>
                <c:pt idx="27">
                  <c:v>4</c:v>
                </c:pt>
                <c:pt idx="28">
                  <c:v>2</c:v>
                </c:pt>
                <c:pt idx="29">
                  <c:v>56</c:v>
                </c:pt>
                <c:pt idx="30">
                  <c:v>2</c:v>
                </c:pt>
                <c:pt idx="31">
                  <c:v>0</c:v>
                </c:pt>
                <c:pt idx="32">
                  <c:v>0</c:v>
                </c:pt>
                <c:pt idx="33">
                  <c:v>0</c:v>
                </c:pt>
                <c:pt idx="34">
                  <c:v>0</c:v>
                </c:pt>
                <c:pt idx="35">
                  <c:v>0</c:v>
                </c:pt>
                <c:pt idx="36">
                  <c:v>0</c:v>
                </c:pt>
                <c:pt idx="37">
                  <c:v>3</c:v>
                </c:pt>
                <c:pt idx="38">
                  <c:v>0</c:v>
                </c:pt>
                <c:pt idx="39">
                  <c:v>0</c:v>
                </c:pt>
                <c:pt idx="40">
                  <c:v>2</c:v>
                </c:pt>
                <c:pt idx="41">
                  <c:v>0</c:v>
                </c:pt>
                <c:pt idx="42">
                  <c:v>0</c:v>
                </c:pt>
                <c:pt idx="43">
                  <c:v>5</c:v>
                </c:pt>
                <c:pt idx="44">
                  <c:v>0</c:v>
                </c:pt>
                <c:pt idx="45">
                  <c:v>3</c:v>
                </c:pt>
                <c:pt idx="46">
                  <c:v>0</c:v>
                </c:pt>
                <c:pt idx="47">
                  <c:v>8</c:v>
                </c:pt>
                <c:pt idx="48">
                  <c:v>12</c:v>
                </c:pt>
                <c:pt idx="49">
                  <c:v>0</c:v>
                </c:pt>
                <c:pt idx="50">
                  <c:v>0</c:v>
                </c:pt>
                <c:pt idx="51">
                  <c:v>32</c:v>
                </c:pt>
                <c:pt idx="52">
                  <c:v>1</c:v>
                </c:pt>
                <c:pt idx="53">
                  <c:v>0</c:v>
                </c:pt>
                <c:pt idx="54">
                  <c:v>6</c:v>
                </c:pt>
                <c:pt idx="55">
                  <c:v>6</c:v>
                </c:pt>
                <c:pt idx="56">
                  <c:v>0</c:v>
                </c:pt>
                <c:pt idx="57">
                  <c:v>28</c:v>
                </c:pt>
                <c:pt idx="58">
                  <c:v>2</c:v>
                </c:pt>
                <c:pt idx="59">
                  <c:v>3</c:v>
                </c:pt>
                <c:pt idx="60">
                  <c:v>2</c:v>
                </c:pt>
                <c:pt idx="61">
                  <c:v>5</c:v>
                </c:pt>
                <c:pt idx="62">
                  <c:v>0</c:v>
                </c:pt>
                <c:pt idx="63">
                  <c:v>0</c:v>
                </c:pt>
                <c:pt idx="64">
                  <c:v>1</c:v>
                </c:pt>
                <c:pt idx="65">
                  <c:v>1</c:v>
                </c:pt>
                <c:pt idx="66">
                  <c:v>0</c:v>
                </c:pt>
                <c:pt idx="67">
                  <c:v>3</c:v>
                </c:pt>
                <c:pt idx="68">
                  <c:v>6</c:v>
                </c:pt>
                <c:pt idx="69">
                  <c:v>24</c:v>
                </c:pt>
                <c:pt idx="70">
                  <c:v>17</c:v>
                </c:pt>
                <c:pt idx="71">
                  <c:v>3</c:v>
                </c:pt>
                <c:pt idx="72">
                  <c:v>28</c:v>
                </c:pt>
                <c:pt idx="73">
                  <c:v>3</c:v>
                </c:pt>
                <c:pt idx="74">
                  <c:v>0</c:v>
                </c:pt>
                <c:pt idx="75">
                  <c:v>0</c:v>
                </c:pt>
                <c:pt idx="76">
                  <c:v>0</c:v>
                </c:pt>
                <c:pt idx="77">
                  <c:v>0</c:v>
                </c:pt>
                <c:pt idx="78">
                  <c:v>0</c:v>
                </c:pt>
                <c:pt idx="79">
                  <c:v>2</c:v>
                </c:pt>
                <c:pt idx="80">
                  <c:v>0</c:v>
                </c:pt>
                <c:pt idx="81">
                  <c:v>1</c:v>
                </c:pt>
                <c:pt idx="82">
                  <c:v>0</c:v>
                </c:pt>
                <c:pt idx="83">
                  <c:v>0</c:v>
                </c:pt>
                <c:pt idx="84">
                  <c:v>0</c:v>
                </c:pt>
                <c:pt idx="85">
                  <c:v>0</c:v>
                </c:pt>
                <c:pt idx="86">
                  <c:v>0</c:v>
                </c:pt>
                <c:pt idx="87">
                  <c:v>0</c:v>
                </c:pt>
                <c:pt idx="88">
                  <c:v>2</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5-87C6-44EA-973E-4EE677DB667E}"/>
            </c:ext>
          </c:extLst>
        </c:ser>
        <c:ser>
          <c:idx val="38"/>
          <c:order val="38"/>
          <c:tx>
            <c:strRef>
              <c:f>Tabelle3!$AO$1</c:f>
              <c:strCache>
                <c:ptCount val="1"/>
                <c:pt idx="0">
                  <c:v>2020-03-01</c:v>
                </c:pt>
              </c:strCache>
            </c:strRef>
          </c:tx>
          <c:spPr>
            <a:ln w="28575" cap="rnd">
              <a:solidFill>
                <a:schemeClr val="accent3">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Tabelle3!$AO$2:$AO$100</c:f>
              <c:numCache>
                <c:formatCode>General</c:formatCode>
                <c:ptCount val="99"/>
                <c:pt idx="0">
                  <c:v>1</c:v>
                </c:pt>
                <c:pt idx="1">
                  <c:v>17</c:v>
                </c:pt>
                <c:pt idx="2">
                  <c:v>1</c:v>
                </c:pt>
                <c:pt idx="3">
                  <c:v>3</c:v>
                </c:pt>
                <c:pt idx="4">
                  <c:v>0</c:v>
                </c:pt>
                <c:pt idx="5">
                  <c:v>1</c:v>
                </c:pt>
                <c:pt idx="6">
                  <c:v>3</c:v>
                </c:pt>
                <c:pt idx="7">
                  <c:v>0</c:v>
                </c:pt>
                <c:pt idx="8">
                  <c:v>1</c:v>
                </c:pt>
                <c:pt idx="9">
                  <c:v>2</c:v>
                </c:pt>
                <c:pt idx="10">
                  <c:v>1</c:v>
                </c:pt>
                <c:pt idx="11">
                  <c:v>0</c:v>
                </c:pt>
                <c:pt idx="12">
                  <c:v>0</c:v>
                </c:pt>
                <c:pt idx="13">
                  <c:v>0</c:v>
                </c:pt>
                <c:pt idx="14">
                  <c:v>0</c:v>
                </c:pt>
                <c:pt idx="15">
                  <c:v>0</c:v>
                </c:pt>
                <c:pt idx="16">
                  <c:v>7</c:v>
                </c:pt>
                <c:pt idx="17">
                  <c:v>2</c:v>
                </c:pt>
                <c:pt idx="18">
                  <c:v>0</c:v>
                </c:pt>
                <c:pt idx="19">
                  <c:v>1</c:v>
                </c:pt>
                <c:pt idx="20">
                  <c:v>0</c:v>
                </c:pt>
                <c:pt idx="21">
                  <c:v>3</c:v>
                </c:pt>
                <c:pt idx="22">
                  <c:v>2</c:v>
                </c:pt>
                <c:pt idx="23">
                  <c:v>3</c:v>
                </c:pt>
                <c:pt idx="24">
                  <c:v>0</c:v>
                </c:pt>
                <c:pt idx="25">
                  <c:v>0</c:v>
                </c:pt>
                <c:pt idx="26">
                  <c:v>0</c:v>
                </c:pt>
                <c:pt idx="27">
                  <c:v>4</c:v>
                </c:pt>
                <c:pt idx="28">
                  <c:v>5</c:v>
                </c:pt>
                <c:pt idx="29">
                  <c:v>59</c:v>
                </c:pt>
                <c:pt idx="30">
                  <c:v>4</c:v>
                </c:pt>
                <c:pt idx="31">
                  <c:v>0</c:v>
                </c:pt>
                <c:pt idx="32">
                  <c:v>0</c:v>
                </c:pt>
                <c:pt idx="33">
                  <c:v>0</c:v>
                </c:pt>
                <c:pt idx="34">
                  <c:v>0</c:v>
                </c:pt>
                <c:pt idx="35">
                  <c:v>0</c:v>
                </c:pt>
                <c:pt idx="36">
                  <c:v>1</c:v>
                </c:pt>
                <c:pt idx="37">
                  <c:v>3</c:v>
                </c:pt>
                <c:pt idx="38">
                  <c:v>0</c:v>
                </c:pt>
                <c:pt idx="39">
                  <c:v>0</c:v>
                </c:pt>
                <c:pt idx="40">
                  <c:v>0</c:v>
                </c:pt>
                <c:pt idx="41">
                  <c:v>0</c:v>
                </c:pt>
                <c:pt idx="42">
                  <c:v>0</c:v>
                </c:pt>
                <c:pt idx="43">
                  <c:v>5</c:v>
                </c:pt>
                <c:pt idx="44">
                  <c:v>2</c:v>
                </c:pt>
                <c:pt idx="45">
                  <c:v>4</c:v>
                </c:pt>
                <c:pt idx="46">
                  <c:v>0</c:v>
                </c:pt>
                <c:pt idx="47">
                  <c:v>8</c:v>
                </c:pt>
                <c:pt idx="48">
                  <c:v>18</c:v>
                </c:pt>
                <c:pt idx="49">
                  <c:v>0</c:v>
                </c:pt>
                <c:pt idx="50">
                  <c:v>0</c:v>
                </c:pt>
                <c:pt idx="51">
                  <c:v>58</c:v>
                </c:pt>
                <c:pt idx="52">
                  <c:v>2</c:v>
                </c:pt>
                <c:pt idx="53">
                  <c:v>0</c:v>
                </c:pt>
                <c:pt idx="54">
                  <c:v>15</c:v>
                </c:pt>
                <c:pt idx="55">
                  <c:v>6</c:v>
                </c:pt>
                <c:pt idx="56">
                  <c:v>0</c:v>
                </c:pt>
                <c:pt idx="57">
                  <c:v>35</c:v>
                </c:pt>
                <c:pt idx="58">
                  <c:v>4</c:v>
                </c:pt>
                <c:pt idx="59">
                  <c:v>3</c:v>
                </c:pt>
                <c:pt idx="60">
                  <c:v>2</c:v>
                </c:pt>
                <c:pt idx="61">
                  <c:v>6</c:v>
                </c:pt>
                <c:pt idx="62">
                  <c:v>0</c:v>
                </c:pt>
                <c:pt idx="63">
                  <c:v>0</c:v>
                </c:pt>
                <c:pt idx="64">
                  <c:v>1</c:v>
                </c:pt>
                <c:pt idx="65">
                  <c:v>1</c:v>
                </c:pt>
                <c:pt idx="66">
                  <c:v>0</c:v>
                </c:pt>
                <c:pt idx="67">
                  <c:v>3</c:v>
                </c:pt>
                <c:pt idx="68">
                  <c:v>23</c:v>
                </c:pt>
                <c:pt idx="69">
                  <c:v>25</c:v>
                </c:pt>
                <c:pt idx="70">
                  <c:v>14</c:v>
                </c:pt>
                <c:pt idx="71">
                  <c:v>13</c:v>
                </c:pt>
                <c:pt idx="72">
                  <c:v>30</c:v>
                </c:pt>
                <c:pt idx="73">
                  <c:v>3</c:v>
                </c:pt>
                <c:pt idx="74">
                  <c:v>1</c:v>
                </c:pt>
                <c:pt idx="75">
                  <c:v>0</c:v>
                </c:pt>
                <c:pt idx="76">
                  <c:v>0</c:v>
                </c:pt>
                <c:pt idx="77">
                  <c:v>0</c:v>
                </c:pt>
                <c:pt idx="78">
                  <c:v>0</c:v>
                </c:pt>
                <c:pt idx="79">
                  <c:v>3</c:v>
                </c:pt>
                <c:pt idx="80">
                  <c:v>0</c:v>
                </c:pt>
                <c:pt idx="81">
                  <c:v>1</c:v>
                </c:pt>
                <c:pt idx="82">
                  <c:v>0</c:v>
                </c:pt>
                <c:pt idx="83">
                  <c:v>0</c:v>
                </c:pt>
                <c:pt idx="84">
                  <c:v>0</c:v>
                </c:pt>
                <c:pt idx="85">
                  <c:v>0</c:v>
                </c:pt>
                <c:pt idx="86">
                  <c:v>0</c:v>
                </c:pt>
                <c:pt idx="87">
                  <c:v>0</c:v>
                </c:pt>
                <c:pt idx="88">
                  <c:v>3</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6-87C6-44EA-973E-4EE677DB667E}"/>
            </c:ext>
          </c:extLst>
        </c:ser>
        <c:ser>
          <c:idx val="39"/>
          <c:order val="39"/>
          <c:tx>
            <c:strRef>
              <c:f>Tabelle3!$AP$1</c:f>
              <c:strCache>
                <c:ptCount val="1"/>
                <c:pt idx="0">
                  <c:v>2020-04-01</c:v>
                </c:pt>
              </c:strCache>
            </c:strRef>
          </c:tx>
          <c:spPr>
            <a:ln w="28575" cap="rnd">
              <a:solidFill>
                <a:schemeClr val="accent4">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Tabelle3!$AP$2:$AP$100</c:f>
              <c:numCache>
                <c:formatCode>General</c:formatCode>
                <c:ptCount val="99"/>
                <c:pt idx="0">
                  <c:v>1</c:v>
                </c:pt>
                <c:pt idx="1">
                  <c:v>17</c:v>
                </c:pt>
                <c:pt idx="2">
                  <c:v>1</c:v>
                </c:pt>
                <c:pt idx="3">
                  <c:v>2</c:v>
                </c:pt>
                <c:pt idx="4">
                  <c:v>0</c:v>
                </c:pt>
                <c:pt idx="5">
                  <c:v>0</c:v>
                </c:pt>
                <c:pt idx="6">
                  <c:v>3</c:v>
                </c:pt>
                <c:pt idx="7">
                  <c:v>0</c:v>
                </c:pt>
                <c:pt idx="8">
                  <c:v>1</c:v>
                </c:pt>
                <c:pt idx="9">
                  <c:v>3</c:v>
                </c:pt>
                <c:pt idx="10">
                  <c:v>1</c:v>
                </c:pt>
                <c:pt idx="11">
                  <c:v>0</c:v>
                </c:pt>
                <c:pt idx="12">
                  <c:v>0</c:v>
                </c:pt>
                <c:pt idx="13">
                  <c:v>0</c:v>
                </c:pt>
                <c:pt idx="14">
                  <c:v>0</c:v>
                </c:pt>
                <c:pt idx="15">
                  <c:v>1</c:v>
                </c:pt>
                <c:pt idx="16">
                  <c:v>7</c:v>
                </c:pt>
                <c:pt idx="17">
                  <c:v>1</c:v>
                </c:pt>
                <c:pt idx="18">
                  <c:v>0</c:v>
                </c:pt>
                <c:pt idx="19">
                  <c:v>0</c:v>
                </c:pt>
                <c:pt idx="20">
                  <c:v>0</c:v>
                </c:pt>
                <c:pt idx="21">
                  <c:v>4</c:v>
                </c:pt>
                <c:pt idx="22">
                  <c:v>3</c:v>
                </c:pt>
                <c:pt idx="23">
                  <c:v>3</c:v>
                </c:pt>
                <c:pt idx="24">
                  <c:v>0</c:v>
                </c:pt>
                <c:pt idx="25">
                  <c:v>0</c:v>
                </c:pt>
                <c:pt idx="26">
                  <c:v>0</c:v>
                </c:pt>
                <c:pt idx="27">
                  <c:v>4</c:v>
                </c:pt>
                <c:pt idx="28">
                  <c:v>4</c:v>
                </c:pt>
                <c:pt idx="29">
                  <c:v>61</c:v>
                </c:pt>
                <c:pt idx="30">
                  <c:v>4</c:v>
                </c:pt>
                <c:pt idx="31">
                  <c:v>0</c:v>
                </c:pt>
                <c:pt idx="32">
                  <c:v>0</c:v>
                </c:pt>
                <c:pt idx="33">
                  <c:v>0</c:v>
                </c:pt>
                <c:pt idx="34">
                  <c:v>0</c:v>
                </c:pt>
                <c:pt idx="35">
                  <c:v>0</c:v>
                </c:pt>
                <c:pt idx="36">
                  <c:v>2</c:v>
                </c:pt>
                <c:pt idx="37">
                  <c:v>3</c:v>
                </c:pt>
                <c:pt idx="38">
                  <c:v>0</c:v>
                </c:pt>
                <c:pt idx="39">
                  <c:v>0</c:v>
                </c:pt>
                <c:pt idx="40">
                  <c:v>0</c:v>
                </c:pt>
                <c:pt idx="41">
                  <c:v>0</c:v>
                </c:pt>
                <c:pt idx="42">
                  <c:v>0</c:v>
                </c:pt>
                <c:pt idx="43">
                  <c:v>5</c:v>
                </c:pt>
                <c:pt idx="44">
                  <c:v>1</c:v>
                </c:pt>
                <c:pt idx="45">
                  <c:v>3</c:v>
                </c:pt>
                <c:pt idx="46">
                  <c:v>0</c:v>
                </c:pt>
                <c:pt idx="47">
                  <c:v>8</c:v>
                </c:pt>
                <c:pt idx="48">
                  <c:v>17</c:v>
                </c:pt>
                <c:pt idx="49">
                  <c:v>0</c:v>
                </c:pt>
                <c:pt idx="50">
                  <c:v>0</c:v>
                </c:pt>
                <c:pt idx="51">
                  <c:v>67</c:v>
                </c:pt>
                <c:pt idx="52">
                  <c:v>4</c:v>
                </c:pt>
                <c:pt idx="53">
                  <c:v>1</c:v>
                </c:pt>
                <c:pt idx="54">
                  <c:v>18</c:v>
                </c:pt>
                <c:pt idx="55">
                  <c:v>6</c:v>
                </c:pt>
                <c:pt idx="56">
                  <c:v>0</c:v>
                </c:pt>
                <c:pt idx="57">
                  <c:v>35</c:v>
                </c:pt>
                <c:pt idx="58">
                  <c:v>4</c:v>
                </c:pt>
                <c:pt idx="59">
                  <c:v>4</c:v>
                </c:pt>
                <c:pt idx="60">
                  <c:v>2</c:v>
                </c:pt>
                <c:pt idx="61">
                  <c:v>8</c:v>
                </c:pt>
                <c:pt idx="62">
                  <c:v>0</c:v>
                </c:pt>
                <c:pt idx="63">
                  <c:v>0</c:v>
                </c:pt>
                <c:pt idx="64">
                  <c:v>1</c:v>
                </c:pt>
                <c:pt idx="65">
                  <c:v>1</c:v>
                </c:pt>
                <c:pt idx="66">
                  <c:v>0</c:v>
                </c:pt>
                <c:pt idx="67">
                  <c:v>13</c:v>
                </c:pt>
                <c:pt idx="68">
                  <c:v>29</c:v>
                </c:pt>
                <c:pt idx="69">
                  <c:v>26</c:v>
                </c:pt>
                <c:pt idx="70">
                  <c:v>11</c:v>
                </c:pt>
                <c:pt idx="71">
                  <c:v>22</c:v>
                </c:pt>
                <c:pt idx="72">
                  <c:v>28</c:v>
                </c:pt>
                <c:pt idx="73">
                  <c:v>1</c:v>
                </c:pt>
                <c:pt idx="74">
                  <c:v>4</c:v>
                </c:pt>
                <c:pt idx="75">
                  <c:v>0</c:v>
                </c:pt>
                <c:pt idx="76">
                  <c:v>0</c:v>
                </c:pt>
                <c:pt idx="77">
                  <c:v>0</c:v>
                </c:pt>
                <c:pt idx="78">
                  <c:v>0</c:v>
                </c:pt>
                <c:pt idx="79">
                  <c:v>5</c:v>
                </c:pt>
                <c:pt idx="80">
                  <c:v>0</c:v>
                </c:pt>
                <c:pt idx="81">
                  <c:v>1</c:v>
                </c:pt>
                <c:pt idx="82">
                  <c:v>0</c:v>
                </c:pt>
                <c:pt idx="83">
                  <c:v>0</c:v>
                </c:pt>
                <c:pt idx="84">
                  <c:v>0</c:v>
                </c:pt>
                <c:pt idx="85">
                  <c:v>0</c:v>
                </c:pt>
                <c:pt idx="86">
                  <c:v>0</c:v>
                </c:pt>
                <c:pt idx="87">
                  <c:v>0</c:v>
                </c:pt>
                <c:pt idx="88">
                  <c:v>3</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7-87C6-44EA-973E-4EE677DB667E}"/>
            </c:ext>
          </c:extLst>
        </c:ser>
        <c:ser>
          <c:idx val="40"/>
          <c:order val="40"/>
          <c:tx>
            <c:strRef>
              <c:f>Tabelle3!$AQ$1</c:f>
              <c:strCache>
                <c:ptCount val="1"/>
                <c:pt idx="0">
                  <c:v>2020-05-01</c:v>
                </c:pt>
              </c:strCache>
            </c:strRef>
          </c:tx>
          <c:spPr>
            <a:ln w="28575" cap="rnd">
              <a:solidFill>
                <a:schemeClr val="accent5">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Tabelle3!$AQ$2:$AQ$100</c:f>
              <c:numCache>
                <c:formatCode>General</c:formatCode>
                <c:ptCount val="99"/>
                <c:pt idx="0">
                  <c:v>1</c:v>
                </c:pt>
                <c:pt idx="1">
                  <c:v>17</c:v>
                </c:pt>
                <c:pt idx="2">
                  <c:v>1</c:v>
                </c:pt>
                <c:pt idx="3">
                  <c:v>2</c:v>
                </c:pt>
                <c:pt idx="4">
                  <c:v>0</c:v>
                </c:pt>
                <c:pt idx="5">
                  <c:v>0</c:v>
                </c:pt>
                <c:pt idx="6">
                  <c:v>3</c:v>
                </c:pt>
                <c:pt idx="7">
                  <c:v>0</c:v>
                </c:pt>
                <c:pt idx="8">
                  <c:v>1</c:v>
                </c:pt>
                <c:pt idx="9">
                  <c:v>3</c:v>
                </c:pt>
                <c:pt idx="10">
                  <c:v>1</c:v>
                </c:pt>
                <c:pt idx="11">
                  <c:v>0</c:v>
                </c:pt>
                <c:pt idx="12">
                  <c:v>0</c:v>
                </c:pt>
                <c:pt idx="13">
                  <c:v>0</c:v>
                </c:pt>
                <c:pt idx="14">
                  <c:v>0</c:v>
                </c:pt>
                <c:pt idx="15">
                  <c:v>1</c:v>
                </c:pt>
                <c:pt idx="16">
                  <c:v>7</c:v>
                </c:pt>
                <c:pt idx="17">
                  <c:v>1</c:v>
                </c:pt>
                <c:pt idx="18">
                  <c:v>0</c:v>
                </c:pt>
                <c:pt idx="19">
                  <c:v>0</c:v>
                </c:pt>
                <c:pt idx="20">
                  <c:v>0</c:v>
                </c:pt>
                <c:pt idx="21">
                  <c:v>3</c:v>
                </c:pt>
                <c:pt idx="22">
                  <c:v>3</c:v>
                </c:pt>
                <c:pt idx="23">
                  <c:v>2</c:v>
                </c:pt>
                <c:pt idx="24">
                  <c:v>0</c:v>
                </c:pt>
                <c:pt idx="25">
                  <c:v>0</c:v>
                </c:pt>
                <c:pt idx="26">
                  <c:v>0</c:v>
                </c:pt>
                <c:pt idx="27">
                  <c:v>5</c:v>
                </c:pt>
                <c:pt idx="28">
                  <c:v>5</c:v>
                </c:pt>
                <c:pt idx="29">
                  <c:v>64</c:v>
                </c:pt>
                <c:pt idx="30">
                  <c:v>4</c:v>
                </c:pt>
                <c:pt idx="31">
                  <c:v>0</c:v>
                </c:pt>
                <c:pt idx="32">
                  <c:v>0</c:v>
                </c:pt>
                <c:pt idx="33">
                  <c:v>0</c:v>
                </c:pt>
                <c:pt idx="34">
                  <c:v>0</c:v>
                </c:pt>
                <c:pt idx="35">
                  <c:v>0</c:v>
                </c:pt>
                <c:pt idx="36">
                  <c:v>3</c:v>
                </c:pt>
                <c:pt idx="37">
                  <c:v>3</c:v>
                </c:pt>
                <c:pt idx="38">
                  <c:v>0</c:v>
                </c:pt>
                <c:pt idx="39">
                  <c:v>0</c:v>
                </c:pt>
                <c:pt idx="40">
                  <c:v>2</c:v>
                </c:pt>
                <c:pt idx="41">
                  <c:v>0</c:v>
                </c:pt>
                <c:pt idx="42">
                  <c:v>0</c:v>
                </c:pt>
                <c:pt idx="43">
                  <c:v>4</c:v>
                </c:pt>
                <c:pt idx="44">
                  <c:v>1</c:v>
                </c:pt>
                <c:pt idx="45">
                  <c:v>3</c:v>
                </c:pt>
                <c:pt idx="46">
                  <c:v>0</c:v>
                </c:pt>
                <c:pt idx="47">
                  <c:v>6</c:v>
                </c:pt>
                <c:pt idx="48">
                  <c:v>18</c:v>
                </c:pt>
                <c:pt idx="49">
                  <c:v>0</c:v>
                </c:pt>
                <c:pt idx="50">
                  <c:v>0</c:v>
                </c:pt>
                <c:pt idx="51">
                  <c:v>62</c:v>
                </c:pt>
                <c:pt idx="52">
                  <c:v>5</c:v>
                </c:pt>
                <c:pt idx="53">
                  <c:v>1</c:v>
                </c:pt>
                <c:pt idx="54">
                  <c:v>16</c:v>
                </c:pt>
                <c:pt idx="55">
                  <c:v>7</c:v>
                </c:pt>
                <c:pt idx="56">
                  <c:v>0</c:v>
                </c:pt>
                <c:pt idx="57">
                  <c:v>38</c:v>
                </c:pt>
                <c:pt idx="58">
                  <c:v>2</c:v>
                </c:pt>
                <c:pt idx="59">
                  <c:v>4</c:v>
                </c:pt>
                <c:pt idx="60">
                  <c:v>2</c:v>
                </c:pt>
                <c:pt idx="61">
                  <c:v>6</c:v>
                </c:pt>
                <c:pt idx="62">
                  <c:v>0</c:v>
                </c:pt>
                <c:pt idx="63">
                  <c:v>1</c:v>
                </c:pt>
                <c:pt idx="64">
                  <c:v>0</c:v>
                </c:pt>
                <c:pt idx="65">
                  <c:v>1</c:v>
                </c:pt>
                <c:pt idx="66">
                  <c:v>0</c:v>
                </c:pt>
                <c:pt idx="67">
                  <c:v>15</c:v>
                </c:pt>
                <c:pt idx="68">
                  <c:v>30</c:v>
                </c:pt>
                <c:pt idx="69">
                  <c:v>19</c:v>
                </c:pt>
                <c:pt idx="70">
                  <c:v>11</c:v>
                </c:pt>
                <c:pt idx="71">
                  <c:v>20</c:v>
                </c:pt>
                <c:pt idx="72">
                  <c:v>24</c:v>
                </c:pt>
                <c:pt idx="73">
                  <c:v>1</c:v>
                </c:pt>
                <c:pt idx="74">
                  <c:v>3</c:v>
                </c:pt>
                <c:pt idx="75">
                  <c:v>0</c:v>
                </c:pt>
                <c:pt idx="76">
                  <c:v>0</c:v>
                </c:pt>
                <c:pt idx="77">
                  <c:v>0</c:v>
                </c:pt>
                <c:pt idx="78">
                  <c:v>0</c:v>
                </c:pt>
                <c:pt idx="79">
                  <c:v>4</c:v>
                </c:pt>
                <c:pt idx="80">
                  <c:v>0</c:v>
                </c:pt>
                <c:pt idx="81">
                  <c:v>1</c:v>
                </c:pt>
                <c:pt idx="82">
                  <c:v>0</c:v>
                </c:pt>
                <c:pt idx="83">
                  <c:v>0</c:v>
                </c:pt>
                <c:pt idx="84">
                  <c:v>0</c:v>
                </c:pt>
                <c:pt idx="85">
                  <c:v>0</c:v>
                </c:pt>
                <c:pt idx="86">
                  <c:v>0</c:v>
                </c:pt>
                <c:pt idx="87">
                  <c:v>0</c:v>
                </c:pt>
                <c:pt idx="88">
                  <c:v>3</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8-87C6-44EA-973E-4EE677DB667E}"/>
            </c:ext>
          </c:extLst>
        </c:ser>
        <c:ser>
          <c:idx val="41"/>
          <c:order val="41"/>
          <c:tx>
            <c:strRef>
              <c:f>Tabelle3!$AR$1</c:f>
              <c:strCache>
                <c:ptCount val="1"/>
                <c:pt idx="0">
                  <c:v>2020-06-01</c:v>
                </c:pt>
              </c:strCache>
            </c:strRef>
          </c:tx>
          <c:spPr>
            <a:ln w="28575" cap="rnd">
              <a:solidFill>
                <a:schemeClr val="accent6">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Tabelle3!$AR$2:$AR$100</c:f>
              <c:numCache>
                <c:formatCode>General</c:formatCode>
                <c:ptCount val="99"/>
                <c:pt idx="0">
                  <c:v>2</c:v>
                </c:pt>
                <c:pt idx="1">
                  <c:v>17</c:v>
                </c:pt>
                <c:pt idx="2">
                  <c:v>1</c:v>
                </c:pt>
                <c:pt idx="3">
                  <c:v>2</c:v>
                </c:pt>
                <c:pt idx="4">
                  <c:v>0</c:v>
                </c:pt>
                <c:pt idx="5">
                  <c:v>0</c:v>
                </c:pt>
                <c:pt idx="6">
                  <c:v>3</c:v>
                </c:pt>
                <c:pt idx="7">
                  <c:v>0</c:v>
                </c:pt>
                <c:pt idx="8">
                  <c:v>1</c:v>
                </c:pt>
                <c:pt idx="9">
                  <c:v>2</c:v>
                </c:pt>
                <c:pt idx="10">
                  <c:v>1</c:v>
                </c:pt>
                <c:pt idx="11">
                  <c:v>0</c:v>
                </c:pt>
                <c:pt idx="12">
                  <c:v>0</c:v>
                </c:pt>
                <c:pt idx="13">
                  <c:v>0</c:v>
                </c:pt>
                <c:pt idx="14">
                  <c:v>0</c:v>
                </c:pt>
                <c:pt idx="15">
                  <c:v>0</c:v>
                </c:pt>
                <c:pt idx="16">
                  <c:v>7</c:v>
                </c:pt>
                <c:pt idx="17">
                  <c:v>1</c:v>
                </c:pt>
                <c:pt idx="18">
                  <c:v>0</c:v>
                </c:pt>
                <c:pt idx="19">
                  <c:v>0</c:v>
                </c:pt>
                <c:pt idx="20">
                  <c:v>0</c:v>
                </c:pt>
                <c:pt idx="21">
                  <c:v>1</c:v>
                </c:pt>
                <c:pt idx="22">
                  <c:v>2</c:v>
                </c:pt>
                <c:pt idx="23">
                  <c:v>1</c:v>
                </c:pt>
                <c:pt idx="24">
                  <c:v>0</c:v>
                </c:pt>
                <c:pt idx="25">
                  <c:v>0</c:v>
                </c:pt>
                <c:pt idx="26">
                  <c:v>0</c:v>
                </c:pt>
                <c:pt idx="27">
                  <c:v>6</c:v>
                </c:pt>
                <c:pt idx="28">
                  <c:v>4</c:v>
                </c:pt>
                <c:pt idx="29">
                  <c:v>62</c:v>
                </c:pt>
                <c:pt idx="30">
                  <c:v>5</c:v>
                </c:pt>
                <c:pt idx="31">
                  <c:v>0</c:v>
                </c:pt>
                <c:pt idx="32">
                  <c:v>0</c:v>
                </c:pt>
                <c:pt idx="33">
                  <c:v>0</c:v>
                </c:pt>
                <c:pt idx="34">
                  <c:v>0</c:v>
                </c:pt>
                <c:pt idx="35">
                  <c:v>0</c:v>
                </c:pt>
                <c:pt idx="36">
                  <c:v>3</c:v>
                </c:pt>
                <c:pt idx="37">
                  <c:v>3</c:v>
                </c:pt>
                <c:pt idx="38">
                  <c:v>0</c:v>
                </c:pt>
                <c:pt idx="39">
                  <c:v>0</c:v>
                </c:pt>
                <c:pt idx="40">
                  <c:v>2</c:v>
                </c:pt>
                <c:pt idx="41">
                  <c:v>0</c:v>
                </c:pt>
                <c:pt idx="42">
                  <c:v>0</c:v>
                </c:pt>
                <c:pt idx="43">
                  <c:v>4</c:v>
                </c:pt>
                <c:pt idx="44">
                  <c:v>1</c:v>
                </c:pt>
                <c:pt idx="45">
                  <c:v>3</c:v>
                </c:pt>
                <c:pt idx="46">
                  <c:v>0</c:v>
                </c:pt>
                <c:pt idx="47">
                  <c:v>6</c:v>
                </c:pt>
                <c:pt idx="48">
                  <c:v>18</c:v>
                </c:pt>
                <c:pt idx="49">
                  <c:v>0</c:v>
                </c:pt>
                <c:pt idx="50">
                  <c:v>0</c:v>
                </c:pt>
                <c:pt idx="51">
                  <c:v>53</c:v>
                </c:pt>
                <c:pt idx="52">
                  <c:v>5</c:v>
                </c:pt>
                <c:pt idx="53">
                  <c:v>1</c:v>
                </c:pt>
                <c:pt idx="54">
                  <c:v>10</c:v>
                </c:pt>
                <c:pt idx="55">
                  <c:v>7</c:v>
                </c:pt>
                <c:pt idx="56">
                  <c:v>0</c:v>
                </c:pt>
                <c:pt idx="57">
                  <c:v>36</c:v>
                </c:pt>
                <c:pt idx="58">
                  <c:v>2</c:v>
                </c:pt>
                <c:pt idx="59">
                  <c:v>4</c:v>
                </c:pt>
                <c:pt idx="60">
                  <c:v>2</c:v>
                </c:pt>
                <c:pt idx="61">
                  <c:v>6</c:v>
                </c:pt>
                <c:pt idx="62">
                  <c:v>0</c:v>
                </c:pt>
                <c:pt idx="63">
                  <c:v>1</c:v>
                </c:pt>
                <c:pt idx="64">
                  <c:v>0</c:v>
                </c:pt>
                <c:pt idx="65">
                  <c:v>1</c:v>
                </c:pt>
                <c:pt idx="66">
                  <c:v>0</c:v>
                </c:pt>
                <c:pt idx="67">
                  <c:v>13</c:v>
                </c:pt>
                <c:pt idx="68">
                  <c:v>25</c:v>
                </c:pt>
                <c:pt idx="69">
                  <c:v>18</c:v>
                </c:pt>
                <c:pt idx="70">
                  <c:v>15</c:v>
                </c:pt>
                <c:pt idx="71">
                  <c:v>16</c:v>
                </c:pt>
                <c:pt idx="72">
                  <c:v>24</c:v>
                </c:pt>
                <c:pt idx="73">
                  <c:v>1</c:v>
                </c:pt>
                <c:pt idx="74">
                  <c:v>3</c:v>
                </c:pt>
                <c:pt idx="75">
                  <c:v>0</c:v>
                </c:pt>
                <c:pt idx="76">
                  <c:v>0</c:v>
                </c:pt>
                <c:pt idx="77">
                  <c:v>0</c:v>
                </c:pt>
                <c:pt idx="78">
                  <c:v>0</c:v>
                </c:pt>
                <c:pt idx="79">
                  <c:v>4</c:v>
                </c:pt>
                <c:pt idx="80">
                  <c:v>0</c:v>
                </c:pt>
                <c:pt idx="81">
                  <c:v>0</c:v>
                </c:pt>
                <c:pt idx="82">
                  <c:v>0</c:v>
                </c:pt>
                <c:pt idx="83">
                  <c:v>0</c:v>
                </c:pt>
                <c:pt idx="84">
                  <c:v>0</c:v>
                </c:pt>
                <c:pt idx="85">
                  <c:v>0</c:v>
                </c:pt>
                <c:pt idx="86">
                  <c:v>0</c:v>
                </c:pt>
                <c:pt idx="87">
                  <c:v>0</c:v>
                </c:pt>
                <c:pt idx="88">
                  <c:v>4</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9-87C6-44EA-973E-4EE677DB667E}"/>
            </c:ext>
          </c:extLst>
        </c:ser>
        <c:ser>
          <c:idx val="42"/>
          <c:order val="42"/>
          <c:tx>
            <c:strRef>
              <c:f>Tabelle3!$AS$1</c:f>
              <c:strCache>
                <c:ptCount val="1"/>
                <c:pt idx="0">
                  <c:v>2020-07-01</c:v>
                </c:pt>
              </c:strCache>
            </c:strRef>
          </c:tx>
          <c:spPr>
            <a:ln w="28575" cap="rnd">
              <a:solidFill>
                <a:schemeClr val="accent1">
                  <a:lumMod val="7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Tabelle3!$AS$2:$AS$100</c:f>
              <c:numCache>
                <c:formatCode>General</c:formatCode>
                <c:ptCount val="99"/>
                <c:pt idx="0">
                  <c:v>2</c:v>
                </c:pt>
                <c:pt idx="1">
                  <c:v>16</c:v>
                </c:pt>
                <c:pt idx="2">
                  <c:v>1</c:v>
                </c:pt>
                <c:pt idx="3">
                  <c:v>2</c:v>
                </c:pt>
                <c:pt idx="4">
                  <c:v>0</c:v>
                </c:pt>
                <c:pt idx="5">
                  <c:v>0</c:v>
                </c:pt>
                <c:pt idx="6">
                  <c:v>1</c:v>
                </c:pt>
                <c:pt idx="7">
                  <c:v>0</c:v>
                </c:pt>
                <c:pt idx="8">
                  <c:v>1</c:v>
                </c:pt>
                <c:pt idx="9">
                  <c:v>2</c:v>
                </c:pt>
                <c:pt idx="10">
                  <c:v>1</c:v>
                </c:pt>
                <c:pt idx="11">
                  <c:v>0</c:v>
                </c:pt>
                <c:pt idx="12">
                  <c:v>0</c:v>
                </c:pt>
                <c:pt idx="13">
                  <c:v>0</c:v>
                </c:pt>
                <c:pt idx="14">
                  <c:v>0</c:v>
                </c:pt>
                <c:pt idx="15">
                  <c:v>0</c:v>
                </c:pt>
                <c:pt idx="16">
                  <c:v>7</c:v>
                </c:pt>
                <c:pt idx="17">
                  <c:v>1</c:v>
                </c:pt>
                <c:pt idx="18">
                  <c:v>0</c:v>
                </c:pt>
                <c:pt idx="19">
                  <c:v>0</c:v>
                </c:pt>
                <c:pt idx="20">
                  <c:v>0</c:v>
                </c:pt>
                <c:pt idx="21">
                  <c:v>1</c:v>
                </c:pt>
                <c:pt idx="22">
                  <c:v>2</c:v>
                </c:pt>
                <c:pt idx="23">
                  <c:v>1</c:v>
                </c:pt>
                <c:pt idx="24">
                  <c:v>0</c:v>
                </c:pt>
                <c:pt idx="25">
                  <c:v>0</c:v>
                </c:pt>
                <c:pt idx="26">
                  <c:v>0</c:v>
                </c:pt>
                <c:pt idx="27">
                  <c:v>6</c:v>
                </c:pt>
                <c:pt idx="28">
                  <c:v>4</c:v>
                </c:pt>
                <c:pt idx="29">
                  <c:v>52</c:v>
                </c:pt>
                <c:pt idx="30">
                  <c:v>4</c:v>
                </c:pt>
                <c:pt idx="31">
                  <c:v>0</c:v>
                </c:pt>
                <c:pt idx="32">
                  <c:v>0</c:v>
                </c:pt>
                <c:pt idx="33">
                  <c:v>0</c:v>
                </c:pt>
                <c:pt idx="34">
                  <c:v>0</c:v>
                </c:pt>
                <c:pt idx="35">
                  <c:v>0</c:v>
                </c:pt>
                <c:pt idx="36">
                  <c:v>0</c:v>
                </c:pt>
                <c:pt idx="37">
                  <c:v>3</c:v>
                </c:pt>
                <c:pt idx="38">
                  <c:v>0</c:v>
                </c:pt>
                <c:pt idx="39">
                  <c:v>0</c:v>
                </c:pt>
                <c:pt idx="40">
                  <c:v>3</c:v>
                </c:pt>
                <c:pt idx="41">
                  <c:v>0</c:v>
                </c:pt>
                <c:pt idx="42">
                  <c:v>0</c:v>
                </c:pt>
                <c:pt idx="43">
                  <c:v>5</c:v>
                </c:pt>
                <c:pt idx="44">
                  <c:v>2</c:v>
                </c:pt>
                <c:pt idx="45">
                  <c:v>1</c:v>
                </c:pt>
                <c:pt idx="46">
                  <c:v>2</c:v>
                </c:pt>
                <c:pt idx="47">
                  <c:v>5</c:v>
                </c:pt>
                <c:pt idx="48">
                  <c:v>27</c:v>
                </c:pt>
                <c:pt idx="49">
                  <c:v>0</c:v>
                </c:pt>
                <c:pt idx="50">
                  <c:v>0</c:v>
                </c:pt>
                <c:pt idx="51">
                  <c:v>36</c:v>
                </c:pt>
                <c:pt idx="52">
                  <c:v>4</c:v>
                </c:pt>
                <c:pt idx="53">
                  <c:v>2</c:v>
                </c:pt>
                <c:pt idx="54">
                  <c:v>9</c:v>
                </c:pt>
                <c:pt idx="55">
                  <c:v>7</c:v>
                </c:pt>
                <c:pt idx="56">
                  <c:v>0</c:v>
                </c:pt>
                <c:pt idx="57">
                  <c:v>32</c:v>
                </c:pt>
                <c:pt idx="58">
                  <c:v>2</c:v>
                </c:pt>
                <c:pt idx="59">
                  <c:v>4</c:v>
                </c:pt>
                <c:pt idx="60">
                  <c:v>2</c:v>
                </c:pt>
                <c:pt idx="61">
                  <c:v>8</c:v>
                </c:pt>
                <c:pt idx="62">
                  <c:v>0</c:v>
                </c:pt>
                <c:pt idx="63">
                  <c:v>1</c:v>
                </c:pt>
                <c:pt idx="64">
                  <c:v>0</c:v>
                </c:pt>
                <c:pt idx="65">
                  <c:v>1</c:v>
                </c:pt>
                <c:pt idx="66">
                  <c:v>0</c:v>
                </c:pt>
                <c:pt idx="67">
                  <c:v>11</c:v>
                </c:pt>
                <c:pt idx="68">
                  <c:v>18</c:v>
                </c:pt>
                <c:pt idx="69">
                  <c:v>18</c:v>
                </c:pt>
                <c:pt idx="70">
                  <c:v>15</c:v>
                </c:pt>
                <c:pt idx="71">
                  <c:v>14</c:v>
                </c:pt>
                <c:pt idx="72">
                  <c:v>22</c:v>
                </c:pt>
                <c:pt idx="73">
                  <c:v>1</c:v>
                </c:pt>
                <c:pt idx="74">
                  <c:v>3</c:v>
                </c:pt>
                <c:pt idx="75">
                  <c:v>0</c:v>
                </c:pt>
                <c:pt idx="76">
                  <c:v>0</c:v>
                </c:pt>
                <c:pt idx="77">
                  <c:v>0</c:v>
                </c:pt>
                <c:pt idx="78">
                  <c:v>0</c:v>
                </c:pt>
                <c:pt idx="79">
                  <c:v>2</c:v>
                </c:pt>
                <c:pt idx="80">
                  <c:v>0</c:v>
                </c:pt>
                <c:pt idx="81">
                  <c:v>0</c:v>
                </c:pt>
                <c:pt idx="82">
                  <c:v>0</c:v>
                </c:pt>
                <c:pt idx="83">
                  <c:v>0</c:v>
                </c:pt>
                <c:pt idx="84">
                  <c:v>1</c:v>
                </c:pt>
                <c:pt idx="85">
                  <c:v>0</c:v>
                </c:pt>
                <c:pt idx="86">
                  <c:v>0</c:v>
                </c:pt>
                <c:pt idx="87">
                  <c:v>0</c:v>
                </c:pt>
                <c:pt idx="88">
                  <c:v>4</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A-87C6-44EA-973E-4EE677DB667E}"/>
            </c:ext>
          </c:extLst>
        </c:ser>
        <c:ser>
          <c:idx val="43"/>
          <c:order val="43"/>
          <c:tx>
            <c:strRef>
              <c:f>Tabelle3!$AT$1</c:f>
              <c:strCache>
                <c:ptCount val="1"/>
                <c:pt idx="0">
                  <c:v>2020-08-01</c:v>
                </c:pt>
              </c:strCache>
            </c:strRef>
          </c:tx>
          <c:spPr>
            <a:ln w="28575" cap="rnd">
              <a:solidFill>
                <a:schemeClr val="accent2">
                  <a:lumMod val="7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Tabelle3!$AT$2:$AT$100</c:f>
              <c:numCache>
                <c:formatCode>General</c:formatCode>
                <c:ptCount val="99"/>
                <c:pt idx="0">
                  <c:v>2</c:v>
                </c:pt>
                <c:pt idx="1">
                  <c:v>16</c:v>
                </c:pt>
                <c:pt idx="2">
                  <c:v>1</c:v>
                </c:pt>
                <c:pt idx="3">
                  <c:v>2</c:v>
                </c:pt>
                <c:pt idx="4">
                  <c:v>0</c:v>
                </c:pt>
                <c:pt idx="5">
                  <c:v>0</c:v>
                </c:pt>
                <c:pt idx="6">
                  <c:v>1</c:v>
                </c:pt>
                <c:pt idx="7">
                  <c:v>0</c:v>
                </c:pt>
                <c:pt idx="8">
                  <c:v>1</c:v>
                </c:pt>
                <c:pt idx="9">
                  <c:v>2</c:v>
                </c:pt>
                <c:pt idx="10">
                  <c:v>1</c:v>
                </c:pt>
                <c:pt idx="11">
                  <c:v>0</c:v>
                </c:pt>
                <c:pt idx="12">
                  <c:v>0</c:v>
                </c:pt>
                <c:pt idx="13">
                  <c:v>0</c:v>
                </c:pt>
                <c:pt idx="14">
                  <c:v>0</c:v>
                </c:pt>
                <c:pt idx="15">
                  <c:v>0</c:v>
                </c:pt>
                <c:pt idx="16">
                  <c:v>5</c:v>
                </c:pt>
                <c:pt idx="17">
                  <c:v>1</c:v>
                </c:pt>
                <c:pt idx="18">
                  <c:v>0</c:v>
                </c:pt>
                <c:pt idx="19">
                  <c:v>0</c:v>
                </c:pt>
                <c:pt idx="20">
                  <c:v>0</c:v>
                </c:pt>
                <c:pt idx="21">
                  <c:v>3</c:v>
                </c:pt>
                <c:pt idx="22">
                  <c:v>2</c:v>
                </c:pt>
                <c:pt idx="23">
                  <c:v>1</c:v>
                </c:pt>
                <c:pt idx="24">
                  <c:v>0</c:v>
                </c:pt>
                <c:pt idx="25">
                  <c:v>0</c:v>
                </c:pt>
                <c:pt idx="26">
                  <c:v>0</c:v>
                </c:pt>
                <c:pt idx="27">
                  <c:v>5</c:v>
                </c:pt>
                <c:pt idx="28">
                  <c:v>4</c:v>
                </c:pt>
                <c:pt idx="29">
                  <c:v>52</c:v>
                </c:pt>
                <c:pt idx="30">
                  <c:v>4</c:v>
                </c:pt>
                <c:pt idx="31">
                  <c:v>0</c:v>
                </c:pt>
                <c:pt idx="32">
                  <c:v>0</c:v>
                </c:pt>
                <c:pt idx="33">
                  <c:v>0</c:v>
                </c:pt>
                <c:pt idx="34">
                  <c:v>0</c:v>
                </c:pt>
                <c:pt idx="35">
                  <c:v>0</c:v>
                </c:pt>
                <c:pt idx="36">
                  <c:v>0</c:v>
                </c:pt>
                <c:pt idx="37">
                  <c:v>4</c:v>
                </c:pt>
                <c:pt idx="38">
                  <c:v>0</c:v>
                </c:pt>
                <c:pt idx="39">
                  <c:v>0</c:v>
                </c:pt>
                <c:pt idx="40">
                  <c:v>3</c:v>
                </c:pt>
                <c:pt idx="41">
                  <c:v>0</c:v>
                </c:pt>
                <c:pt idx="42">
                  <c:v>0</c:v>
                </c:pt>
                <c:pt idx="43">
                  <c:v>5</c:v>
                </c:pt>
                <c:pt idx="44">
                  <c:v>2</c:v>
                </c:pt>
                <c:pt idx="45">
                  <c:v>1</c:v>
                </c:pt>
                <c:pt idx="46">
                  <c:v>2</c:v>
                </c:pt>
                <c:pt idx="47">
                  <c:v>3</c:v>
                </c:pt>
                <c:pt idx="48">
                  <c:v>20</c:v>
                </c:pt>
                <c:pt idx="49">
                  <c:v>0</c:v>
                </c:pt>
                <c:pt idx="50">
                  <c:v>0</c:v>
                </c:pt>
                <c:pt idx="51">
                  <c:v>35</c:v>
                </c:pt>
                <c:pt idx="52">
                  <c:v>2</c:v>
                </c:pt>
                <c:pt idx="53">
                  <c:v>2</c:v>
                </c:pt>
                <c:pt idx="54">
                  <c:v>7</c:v>
                </c:pt>
                <c:pt idx="55">
                  <c:v>7</c:v>
                </c:pt>
                <c:pt idx="56">
                  <c:v>0</c:v>
                </c:pt>
                <c:pt idx="57">
                  <c:v>32</c:v>
                </c:pt>
                <c:pt idx="58">
                  <c:v>2</c:v>
                </c:pt>
                <c:pt idx="59">
                  <c:v>4</c:v>
                </c:pt>
                <c:pt idx="60">
                  <c:v>2</c:v>
                </c:pt>
                <c:pt idx="61">
                  <c:v>5</c:v>
                </c:pt>
                <c:pt idx="62">
                  <c:v>0</c:v>
                </c:pt>
                <c:pt idx="63">
                  <c:v>1</c:v>
                </c:pt>
                <c:pt idx="64">
                  <c:v>0</c:v>
                </c:pt>
                <c:pt idx="65">
                  <c:v>1</c:v>
                </c:pt>
                <c:pt idx="66">
                  <c:v>0</c:v>
                </c:pt>
                <c:pt idx="67">
                  <c:v>10</c:v>
                </c:pt>
                <c:pt idx="68">
                  <c:v>10</c:v>
                </c:pt>
                <c:pt idx="69">
                  <c:v>27</c:v>
                </c:pt>
                <c:pt idx="70">
                  <c:v>14</c:v>
                </c:pt>
                <c:pt idx="71">
                  <c:v>10</c:v>
                </c:pt>
                <c:pt idx="72">
                  <c:v>23</c:v>
                </c:pt>
                <c:pt idx="73">
                  <c:v>1</c:v>
                </c:pt>
                <c:pt idx="74">
                  <c:v>3</c:v>
                </c:pt>
                <c:pt idx="75">
                  <c:v>0</c:v>
                </c:pt>
                <c:pt idx="76">
                  <c:v>0</c:v>
                </c:pt>
                <c:pt idx="77">
                  <c:v>0</c:v>
                </c:pt>
                <c:pt idx="78">
                  <c:v>0</c:v>
                </c:pt>
                <c:pt idx="79">
                  <c:v>2</c:v>
                </c:pt>
                <c:pt idx="80">
                  <c:v>0</c:v>
                </c:pt>
                <c:pt idx="81">
                  <c:v>0</c:v>
                </c:pt>
                <c:pt idx="82">
                  <c:v>0</c:v>
                </c:pt>
                <c:pt idx="83">
                  <c:v>0</c:v>
                </c:pt>
                <c:pt idx="84">
                  <c:v>2</c:v>
                </c:pt>
                <c:pt idx="85">
                  <c:v>0</c:v>
                </c:pt>
                <c:pt idx="86">
                  <c:v>0</c:v>
                </c:pt>
                <c:pt idx="87">
                  <c:v>0</c:v>
                </c:pt>
                <c:pt idx="88">
                  <c:v>4</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B-87C6-44EA-973E-4EE677DB667E}"/>
            </c:ext>
          </c:extLst>
        </c:ser>
        <c:ser>
          <c:idx val="44"/>
          <c:order val="44"/>
          <c:tx>
            <c:strRef>
              <c:f>Tabelle3!$AU$1</c:f>
              <c:strCache>
                <c:ptCount val="1"/>
                <c:pt idx="0">
                  <c:v>2020-09-01</c:v>
                </c:pt>
              </c:strCache>
            </c:strRef>
          </c:tx>
          <c:spPr>
            <a:ln w="28575" cap="rnd">
              <a:solidFill>
                <a:schemeClr val="accent3">
                  <a:lumMod val="7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Tabelle3!$AU$2:$AU$100</c:f>
              <c:numCache>
                <c:formatCode>General</c:formatCode>
                <c:ptCount val="99"/>
                <c:pt idx="0">
                  <c:v>1</c:v>
                </c:pt>
                <c:pt idx="1">
                  <c:v>16</c:v>
                </c:pt>
                <c:pt idx="2">
                  <c:v>1</c:v>
                </c:pt>
                <c:pt idx="3">
                  <c:v>2</c:v>
                </c:pt>
                <c:pt idx="4">
                  <c:v>0</c:v>
                </c:pt>
                <c:pt idx="5">
                  <c:v>0</c:v>
                </c:pt>
                <c:pt idx="6">
                  <c:v>1</c:v>
                </c:pt>
                <c:pt idx="7">
                  <c:v>0</c:v>
                </c:pt>
                <c:pt idx="8">
                  <c:v>1</c:v>
                </c:pt>
                <c:pt idx="9">
                  <c:v>2</c:v>
                </c:pt>
                <c:pt idx="10">
                  <c:v>1</c:v>
                </c:pt>
                <c:pt idx="11">
                  <c:v>0</c:v>
                </c:pt>
                <c:pt idx="12">
                  <c:v>0</c:v>
                </c:pt>
                <c:pt idx="13">
                  <c:v>0</c:v>
                </c:pt>
                <c:pt idx="14">
                  <c:v>0</c:v>
                </c:pt>
                <c:pt idx="15">
                  <c:v>1</c:v>
                </c:pt>
                <c:pt idx="16">
                  <c:v>5</c:v>
                </c:pt>
                <c:pt idx="17">
                  <c:v>1</c:v>
                </c:pt>
                <c:pt idx="18">
                  <c:v>0</c:v>
                </c:pt>
                <c:pt idx="19">
                  <c:v>0</c:v>
                </c:pt>
                <c:pt idx="20">
                  <c:v>0</c:v>
                </c:pt>
                <c:pt idx="21">
                  <c:v>3</c:v>
                </c:pt>
                <c:pt idx="22">
                  <c:v>2</c:v>
                </c:pt>
                <c:pt idx="23">
                  <c:v>1</c:v>
                </c:pt>
                <c:pt idx="24">
                  <c:v>0</c:v>
                </c:pt>
                <c:pt idx="25">
                  <c:v>0</c:v>
                </c:pt>
                <c:pt idx="26">
                  <c:v>0</c:v>
                </c:pt>
                <c:pt idx="27">
                  <c:v>6</c:v>
                </c:pt>
                <c:pt idx="28">
                  <c:v>4</c:v>
                </c:pt>
                <c:pt idx="29">
                  <c:v>48</c:v>
                </c:pt>
                <c:pt idx="30">
                  <c:v>4</c:v>
                </c:pt>
                <c:pt idx="31">
                  <c:v>0</c:v>
                </c:pt>
                <c:pt idx="32">
                  <c:v>0</c:v>
                </c:pt>
                <c:pt idx="33">
                  <c:v>0</c:v>
                </c:pt>
                <c:pt idx="34">
                  <c:v>0</c:v>
                </c:pt>
                <c:pt idx="35">
                  <c:v>0</c:v>
                </c:pt>
                <c:pt idx="36">
                  <c:v>1</c:v>
                </c:pt>
                <c:pt idx="37">
                  <c:v>3</c:v>
                </c:pt>
                <c:pt idx="38">
                  <c:v>0</c:v>
                </c:pt>
                <c:pt idx="39">
                  <c:v>0</c:v>
                </c:pt>
                <c:pt idx="40">
                  <c:v>3</c:v>
                </c:pt>
                <c:pt idx="41">
                  <c:v>1</c:v>
                </c:pt>
                <c:pt idx="42">
                  <c:v>0</c:v>
                </c:pt>
                <c:pt idx="43">
                  <c:v>5</c:v>
                </c:pt>
                <c:pt idx="44">
                  <c:v>4</c:v>
                </c:pt>
                <c:pt idx="45">
                  <c:v>1</c:v>
                </c:pt>
                <c:pt idx="46">
                  <c:v>2</c:v>
                </c:pt>
                <c:pt idx="47">
                  <c:v>3</c:v>
                </c:pt>
                <c:pt idx="48">
                  <c:v>19</c:v>
                </c:pt>
                <c:pt idx="49">
                  <c:v>0</c:v>
                </c:pt>
                <c:pt idx="50">
                  <c:v>0</c:v>
                </c:pt>
                <c:pt idx="51">
                  <c:v>32</c:v>
                </c:pt>
                <c:pt idx="52">
                  <c:v>3</c:v>
                </c:pt>
                <c:pt idx="53">
                  <c:v>1</c:v>
                </c:pt>
                <c:pt idx="54">
                  <c:v>6</c:v>
                </c:pt>
                <c:pt idx="55">
                  <c:v>6</c:v>
                </c:pt>
                <c:pt idx="56">
                  <c:v>0</c:v>
                </c:pt>
                <c:pt idx="57">
                  <c:v>34</c:v>
                </c:pt>
                <c:pt idx="58">
                  <c:v>2</c:v>
                </c:pt>
                <c:pt idx="59">
                  <c:v>5</c:v>
                </c:pt>
                <c:pt idx="60">
                  <c:v>2</c:v>
                </c:pt>
                <c:pt idx="61">
                  <c:v>5</c:v>
                </c:pt>
                <c:pt idx="62">
                  <c:v>0</c:v>
                </c:pt>
                <c:pt idx="63">
                  <c:v>0</c:v>
                </c:pt>
                <c:pt idx="64">
                  <c:v>0</c:v>
                </c:pt>
                <c:pt idx="65">
                  <c:v>1</c:v>
                </c:pt>
                <c:pt idx="66">
                  <c:v>0</c:v>
                </c:pt>
                <c:pt idx="67">
                  <c:v>9</c:v>
                </c:pt>
                <c:pt idx="68">
                  <c:v>7</c:v>
                </c:pt>
                <c:pt idx="69">
                  <c:v>26</c:v>
                </c:pt>
                <c:pt idx="70">
                  <c:v>11</c:v>
                </c:pt>
                <c:pt idx="71">
                  <c:v>9</c:v>
                </c:pt>
                <c:pt idx="72">
                  <c:v>23</c:v>
                </c:pt>
                <c:pt idx="73">
                  <c:v>1</c:v>
                </c:pt>
                <c:pt idx="74">
                  <c:v>1</c:v>
                </c:pt>
                <c:pt idx="75">
                  <c:v>0</c:v>
                </c:pt>
                <c:pt idx="76">
                  <c:v>0</c:v>
                </c:pt>
                <c:pt idx="77">
                  <c:v>0</c:v>
                </c:pt>
                <c:pt idx="78">
                  <c:v>0</c:v>
                </c:pt>
                <c:pt idx="79">
                  <c:v>3</c:v>
                </c:pt>
                <c:pt idx="80">
                  <c:v>0</c:v>
                </c:pt>
                <c:pt idx="81">
                  <c:v>0</c:v>
                </c:pt>
                <c:pt idx="82">
                  <c:v>0</c:v>
                </c:pt>
                <c:pt idx="83">
                  <c:v>0</c:v>
                </c:pt>
                <c:pt idx="84">
                  <c:v>2</c:v>
                </c:pt>
                <c:pt idx="85">
                  <c:v>0</c:v>
                </c:pt>
                <c:pt idx="86">
                  <c:v>0</c:v>
                </c:pt>
                <c:pt idx="87">
                  <c:v>0</c:v>
                </c:pt>
                <c:pt idx="88">
                  <c:v>3</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C-87C6-44EA-973E-4EE677DB667E}"/>
            </c:ext>
          </c:extLst>
        </c:ser>
        <c:ser>
          <c:idx val="45"/>
          <c:order val="45"/>
          <c:tx>
            <c:strRef>
              <c:f>Tabelle3!$AV$1</c:f>
              <c:strCache>
                <c:ptCount val="1"/>
                <c:pt idx="0">
                  <c:v>2020-10-01</c:v>
                </c:pt>
              </c:strCache>
            </c:strRef>
          </c:tx>
          <c:spPr>
            <a:ln w="28575" cap="rnd">
              <a:solidFill>
                <a:schemeClr val="accent4">
                  <a:lumMod val="7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Tabelle3!$AV$2:$AV$100</c:f>
              <c:numCache>
                <c:formatCode>General</c:formatCode>
                <c:ptCount val="99"/>
                <c:pt idx="0">
                  <c:v>0</c:v>
                </c:pt>
                <c:pt idx="1">
                  <c:v>16</c:v>
                </c:pt>
                <c:pt idx="2">
                  <c:v>1</c:v>
                </c:pt>
                <c:pt idx="3">
                  <c:v>3</c:v>
                </c:pt>
                <c:pt idx="4">
                  <c:v>0</c:v>
                </c:pt>
                <c:pt idx="5">
                  <c:v>0</c:v>
                </c:pt>
                <c:pt idx="6">
                  <c:v>2</c:v>
                </c:pt>
                <c:pt idx="7">
                  <c:v>0</c:v>
                </c:pt>
                <c:pt idx="8">
                  <c:v>1</c:v>
                </c:pt>
                <c:pt idx="9">
                  <c:v>2</c:v>
                </c:pt>
                <c:pt idx="10">
                  <c:v>1</c:v>
                </c:pt>
                <c:pt idx="11">
                  <c:v>0</c:v>
                </c:pt>
                <c:pt idx="12">
                  <c:v>0</c:v>
                </c:pt>
                <c:pt idx="13">
                  <c:v>0</c:v>
                </c:pt>
                <c:pt idx="14">
                  <c:v>0</c:v>
                </c:pt>
                <c:pt idx="15">
                  <c:v>1</c:v>
                </c:pt>
                <c:pt idx="16">
                  <c:v>5</c:v>
                </c:pt>
                <c:pt idx="17">
                  <c:v>1</c:v>
                </c:pt>
                <c:pt idx="18">
                  <c:v>0</c:v>
                </c:pt>
                <c:pt idx="19">
                  <c:v>1</c:v>
                </c:pt>
                <c:pt idx="20">
                  <c:v>0</c:v>
                </c:pt>
                <c:pt idx="21">
                  <c:v>1</c:v>
                </c:pt>
                <c:pt idx="22">
                  <c:v>1</c:v>
                </c:pt>
                <c:pt idx="23">
                  <c:v>1</c:v>
                </c:pt>
                <c:pt idx="24">
                  <c:v>0</c:v>
                </c:pt>
                <c:pt idx="25">
                  <c:v>1</c:v>
                </c:pt>
                <c:pt idx="26">
                  <c:v>0</c:v>
                </c:pt>
                <c:pt idx="27">
                  <c:v>7</c:v>
                </c:pt>
                <c:pt idx="28">
                  <c:v>5</c:v>
                </c:pt>
                <c:pt idx="29">
                  <c:v>47</c:v>
                </c:pt>
                <c:pt idx="30">
                  <c:v>5</c:v>
                </c:pt>
                <c:pt idx="31">
                  <c:v>0</c:v>
                </c:pt>
                <c:pt idx="32">
                  <c:v>0</c:v>
                </c:pt>
                <c:pt idx="33">
                  <c:v>0</c:v>
                </c:pt>
                <c:pt idx="34">
                  <c:v>0</c:v>
                </c:pt>
                <c:pt idx="35">
                  <c:v>0</c:v>
                </c:pt>
                <c:pt idx="36">
                  <c:v>1</c:v>
                </c:pt>
                <c:pt idx="37">
                  <c:v>3</c:v>
                </c:pt>
                <c:pt idx="38">
                  <c:v>0</c:v>
                </c:pt>
                <c:pt idx="39">
                  <c:v>0</c:v>
                </c:pt>
                <c:pt idx="40">
                  <c:v>3</c:v>
                </c:pt>
                <c:pt idx="41">
                  <c:v>1</c:v>
                </c:pt>
                <c:pt idx="42">
                  <c:v>0</c:v>
                </c:pt>
                <c:pt idx="43">
                  <c:v>7</c:v>
                </c:pt>
                <c:pt idx="44">
                  <c:v>6</c:v>
                </c:pt>
                <c:pt idx="45">
                  <c:v>0</c:v>
                </c:pt>
                <c:pt idx="46">
                  <c:v>2</c:v>
                </c:pt>
                <c:pt idx="47">
                  <c:v>3</c:v>
                </c:pt>
                <c:pt idx="48">
                  <c:v>15</c:v>
                </c:pt>
                <c:pt idx="49">
                  <c:v>0</c:v>
                </c:pt>
                <c:pt idx="50">
                  <c:v>0</c:v>
                </c:pt>
                <c:pt idx="51">
                  <c:v>26</c:v>
                </c:pt>
                <c:pt idx="52">
                  <c:v>3</c:v>
                </c:pt>
                <c:pt idx="53">
                  <c:v>1</c:v>
                </c:pt>
                <c:pt idx="54">
                  <c:v>6</c:v>
                </c:pt>
                <c:pt idx="55">
                  <c:v>1</c:v>
                </c:pt>
                <c:pt idx="56">
                  <c:v>0</c:v>
                </c:pt>
                <c:pt idx="57">
                  <c:v>32</c:v>
                </c:pt>
                <c:pt idx="58">
                  <c:v>3</c:v>
                </c:pt>
                <c:pt idx="59">
                  <c:v>5</c:v>
                </c:pt>
                <c:pt idx="60">
                  <c:v>2</c:v>
                </c:pt>
                <c:pt idx="61">
                  <c:v>5</c:v>
                </c:pt>
                <c:pt idx="62">
                  <c:v>0</c:v>
                </c:pt>
                <c:pt idx="63">
                  <c:v>2</c:v>
                </c:pt>
                <c:pt idx="64">
                  <c:v>0</c:v>
                </c:pt>
                <c:pt idx="65">
                  <c:v>1</c:v>
                </c:pt>
                <c:pt idx="66">
                  <c:v>0</c:v>
                </c:pt>
                <c:pt idx="67">
                  <c:v>7</c:v>
                </c:pt>
                <c:pt idx="68">
                  <c:v>9</c:v>
                </c:pt>
                <c:pt idx="69">
                  <c:v>25</c:v>
                </c:pt>
                <c:pt idx="70">
                  <c:v>10</c:v>
                </c:pt>
                <c:pt idx="71">
                  <c:v>10</c:v>
                </c:pt>
                <c:pt idx="72">
                  <c:v>16</c:v>
                </c:pt>
                <c:pt idx="73">
                  <c:v>1</c:v>
                </c:pt>
                <c:pt idx="74">
                  <c:v>1</c:v>
                </c:pt>
                <c:pt idx="75">
                  <c:v>0</c:v>
                </c:pt>
                <c:pt idx="76">
                  <c:v>0</c:v>
                </c:pt>
                <c:pt idx="77">
                  <c:v>0</c:v>
                </c:pt>
                <c:pt idx="78">
                  <c:v>0</c:v>
                </c:pt>
                <c:pt idx="79">
                  <c:v>3</c:v>
                </c:pt>
                <c:pt idx="80">
                  <c:v>0</c:v>
                </c:pt>
                <c:pt idx="81">
                  <c:v>0</c:v>
                </c:pt>
                <c:pt idx="82">
                  <c:v>0</c:v>
                </c:pt>
                <c:pt idx="83">
                  <c:v>0</c:v>
                </c:pt>
                <c:pt idx="84">
                  <c:v>2</c:v>
                </c:pt>
                <c:pt idx="85">
                  <c:v>0</c:v>
                </c:pt>
                <c:pt idx="86">
                  <c:v>0</c:v>
                </c:pt>
                <c:pt idx="87">
                  <c:v>0</c:v>
                </c:pt>
                <c:pt idx="88">
                  <c:v>3</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D-87C6-44EA-973E-4EE677DB667E}"/>
            </c:ext>
          </c:extLst>
        </c:ser>
        <c:ser>
          <c:idx val="46"/>
          <c:order val="46"/>
          <c:tx>
            <c:strRef>
              <c:f>Tabelle3!$AW$1</c:f>
              <c:strCache>
                <c:ptCount val="1"/>
                <c:pt idx="0">
                  <c:v>2020-11-01</c:v>
                </c:pt>
              </c:strCache>
            </c:strRef>
          </c:tx>
          <c:spPr>
            <a:ln w="28575" cap="rnd">
              <a:solidFill>
                <a:schemeClr val="accent5">
                  <a:lumMod val="7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Tabelle3!$AW$2:$AW$100</c:f>
              <c:numCache>
                <c:formatCode>General</c:formatCode>
                <c:ptCount val="99"/>
                <c:pt idx="0">
                  <c:v>0</c:v>
                </c:pt>
                <c:pt idx="1">
                  <c:v>16</c:v>
                </c:pt>
                <c:pt idx="2">
                  <c:v>1</c:v>
                </c:pt>
                <c:pt idx="3">
                  <c:v>2</c:v>
                </c:pt>
                <c:pt idx="4">
                  <c:v>0</c:v>
                </c:pt>
                <c:pt idx="5">
                  <c:v>0</c:v>
                </c:pt>
                <c:pt idx="6">
                  <c:v>1</c:v>
                </c:pt>
                <c:pt idx="7">
                  <c:v>0</c:v>
                </c:pt>
                <c:pt idx="8">
                  <c:v>1</c:v>
                </c:pt>
                <c:pt idx="9">
                  <c:v>0</c:v>
                </c:pt>
                <c:pt idx="10">
                  <c:v>1</c:v>
                </c:pt>
                <c:pt idx="11">
                  <c:v>0</c:v>
                </c:pt>
                <c:pt idx="12">
                  <c:v>0</c:v>
                </c:pt>
                <c:pt idx="13">
                  <c:v>0</c:v>
                </c:pt>
                <c:pt idx="14">
                  <c:v>0</c:v>
                </c:pt>
                <c:pt idx="15">
                  <c:v>0</c:v>
                </c:pt>
                <c:pt idx="16">
                  <c:v>5</c:v>
                </c:pt>
                <c:pt idx="17">
                  <c:v>1</c:v>
                </c:pt>
                <c:pt idx="18">
                  <c:v>0</c:v>
                </c:pt>
                <c:pt idx="19">
                  <c:v>1</c:v>
                </c:pt>
                <c:pt idx="20">
                  <c:v>0</c:v>
                </c:pt>
                <c:pt idx="21">
                  <c:v>1</c:v>
                </c:pt>
                <c:pt idx="22">
                  <c:v>1</c:v>
                </c:pt>
                <c:pt idx="23">
                  <c:v>1</c:v>
                </c:pt>
                <c:pt idx="24">
                  <c:v>0</c:v>
                </c:pt>
                <c:pt idx="25">
                  <c:v>1</c:v>
                </c:pt>
                <c:pt idx="26">
                  <c:v>0</c:v>
                </c:pt>
                <c:pt idx="27">
                  <c:v>12</c:v>
                </c:pt>
                <c:pt idx="28">
                  <c:v>5</c:v>
                </c:pt>
                <c:pt idx="29">
                  <c:v>46</c:v>
                </c:pt>
                <c:pt idx="30">
                  <c:v>4</c:v>
                </c:pt>
                <c:pt idx="31">
                  <c:v>0</c:v>
                </c:pt>
                <c:pt idx="32">
                  <c:v>0</c:v>
                </c:pt>
                <c:pt idx="33">
                  <c:v>0</c:v>
                </c:pt>
                <c:pt idx="34">
                  <c:v>0</c:v>
                </c:pt>
                <c:pt idx="35">
                  <c:v>0</c:v>
                </c:pt>
                <c:pt idx="36">
                  <c:v>1</c:v>
                </c:pt>
                <c:pt idx="37">
                  <c:v>3</c:v>
                </c:pt>
                <c:pt idx="38">
                  <c:v>0</c:v>
                </c:pt>
                <c:pt idx="39">
                  <c:v>0</c:v>
                </c:pt>
                <c:pt idx="40">
                  <c:v>4</c:v>
                </c:pt>
                <c:pt idx="41">
                  <c:v>0</c:v>
                </c:pt>
                <c:pt idx="42">
                  <c:v>0</c:v>
                </c:pt>
                <c:pt idx="43">
                  <c:v>7</c:v>
                </c:pt>
                <c:pt idx="44">
                  <c:v>6</c:v>
                </c:pt>
                <c:pt idx="45">
                  <c:v>0</c:v>
                </c:pt>
                <c:pt idx="46">
                  <c:v>3</c:v>
                </c:pt>
                <c:pt idx="47">
                  <c:v>5</c:v>
                </c:pt>
                <c:pt idx="48">
                  <c:v>8</c:v>
                </c:pt>
                <c:pt idx="49">
                  <c:v>0</c:v>
                </c:pt>
                <c:pt idx="50">
                  <c:v>0</c:v>
                </c:pt>
                <c:pt idx="51">
                  <c:v>22</c:v>
                </c:pt>
                <c:pt idx="52">
                  <c:v>2</c:v>
                </c:pt>
                <c:pt idx="53">
                  <c:v>0</c:v>
                </c:pt>
                <c:pt idx="54">
                  <c:v>6</c:v>
                </c:pt>
                <c:pt idx="55">
                  <c:v>1</c:v>
                </c:pt>
                <c:pt idx="56">
                  <c:v>0</c:v>
                </c:pt>
                <c:pt idx="57">
                  <c:v>28</c:v>
                </c:pt>
                <c:pt idx="58">
                  <c:v>3</c:v>
                </c:pt>
                <c:pt idx="59">
                  <c:v>4</c:v>
                </c:pt>
                <c:pt idx="60">
                  <c:v>2</c:v>
                </c:pt>
                <c:pt idx="61">
                  <c:v>5</c:v>
                </c:pt>
                <c:pt idx="62">
                  <c:v>0</c:v>
                </c:pt>
                <c:pt idx="63">
                  <c:v>2</c:v>
                </c:pt>
                <c:pt idx="64">
                  <c:v>0</c:v>
                </c:pt>
                <c:pt idx="65">
                  <c:v>1</c:v>
                </c:pt>
                <c:pt idx="66">
                  <c:v>0</c:v>
                </c:pt>
                <c:pt idx="67">
                  <c:v>5</c:v>
                </c:pt>
                <c:pt idx="68">
                  <c:v>11</c:v>
                </c:pt>
                <c:pt idx="69">
                  <c:v>21</c:v>
                </c:pt>
                <c:pt idx="70">
                  <c:v>10</c:v>
                </c:pt>
                <c:pt idx="71">
                  <c:v>9</c:v>
                </c:pt>
                <c:pt idx="72">
                  <c:v>18</c:v>
                </c:pt>
                <c:pt idx="73">
                  <c:v>1</c:v>
                </c:pt>
                <c:pt idx="74">
                  <c:v>1</c:v>
                </c:pt>
                <c:pt idx="75">
                  <c:v>0</c:v>
                </c:pt>
                <c:pt idx="76">
                  <c:v>0</c:v>
                </c:pt>
                <c:pt idx="77">
                  <c:v>0</c:v>
                </c:pt>
                <c:pt idx="78">
                  <c:v>0</c:v>
                </c:pt>
                <c:pt idx="79">
                  <c:v>3</c:v>
                </c:pt>
                <c:pt idx="80">
                  <c:v>0</c:v>
                </c:pt>
                <c:pt idx="81">
                  <c:v>1</c:v>
                </c:pt>
                <c:pt idx="82">
                  <c:v>0</c:v>
                </c:pt>
                <c:pt idx="83">
                  <c:v>0</c:v>
                </c:pt>
                <c:pt idx="84">
                  <c:v>2</c:v>
                </c:pt>
                <c:pt idx="85">
                  <c:v>0</c:v>
                </c:pt>
                <c:pt idx="86">
                  <c:v>0</c:v>
                </c:pt>
                <c:pt idx="87">
                  <c:v>0</c:v>
                </c:pt>
                <c:pt idx="88">
                  <c:v>4</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E-87C6-44EA-973E-4EE677DB667E}"/>
            </c:ext>
          </c:extLst>
        </c:ser>
        <c:ser>
          <c:idx val="47"/>
          <c:order val="47"/>
          <c:tx>
            <c:strRef>
              <c:f>Tabelle3!$AX$1</c:f>
              <c:strCache>
                <c:ptCount val="1"/>
                <c:pt idx="0">
                  <c:v>2020-12-01</c:v>
                </c:pt>
              </c:strCache>
            </c:strRef>
          </c:tx>
          <c:spPr>
            <a:ln w="28575" cap="rnd">
              <a:solidFill>
                <a:schemeClr val="accent6">
                  <a:lumMod val="7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Tabelle3!$AX$2:$AX$100</c:f>
              <c:numCache>
                <c:formatCode>General</c:formatCode>
                <c:ptCount val="99"/>
                <c:pt idx="0">
                  <c:v>0</c:v>
                </c:pt>
                <c:pt idx="1">
                  <c:v>14</c:v>
                </c:pt>
                <c:pt idx="2">
                  <c:v>1</c:v>
                </c:pt>
                <c:pt idx="3">
                  <c:v>2</c:v>
                </c:pt>
                <c:pt idx="4">
                  <c:v>0</c:v>
                </c:pt>
                <c:pt idx="5">
                  <c:v>0</c:v>
                </c:pt>
                <c:pt idx="6">
                  <c:v>1</c:v>
                </c:pt>
                <c:pt idx="7">
                  <c:v>0</c:v>
                </c:pt>
                <c:pt idx="8">
                  <c:v>1</c:v>
                </c:pt>
                <c:pt idx="9">
                  <c:v>0</c:v>
                </c:pt>
                <c:pt idx="10">
                  <c:v>1</c:v>
                </c:pt>
                <c:pt idx="11">
                  <c:v>0</c:v>
                </c:pt>
                <c:pt idx="12">
                  <c:v>0</c:v>
                </c:pt>
                <c:pt idx="13">
                  <c:v>0</c:v>
                </c:pt>
                <c:pt idx="14">
                  <c:v>0</c:v>
                </c:pt>
                <c:pt idx="15">
                  <c:v>0</c:v>
                </c:pt>
                <c:pt idx="16">
                  <c:v>5</c:v>
                </c:pt>
                <c:pt idx="17">
                  <c:v>1</c:v>
                </c:pt>
                <c:pt idx="18">
                  <c:v>0</c:v>
                </c:pt>
                <c:pt idx="19">
                  <c:v>3</c:v>
                </c:pt>
                <c:pt idx="20">
                  <c:v>0</c:v>
                </c:pt>
                <c:pt idx="21">
                  <c:v>1</c:v>
                </c:pt>
                <c:pt idx="22">
                  <c:v>1</c:v>
                </c:pt>
                <c:pt idx="23">
                  <c:v>1</c:v>
                </c:pt>
                <c:pt idx="24">
                  <c:v>0</c:v>
                </c:pt>
                <c:pt idx="25">
                  <c:v>1</c:v>
                </c:pt>
                <c:pt idx="26">
                  <c:v>0</c:v>
                </c:pt>
                <c:pt idx="27">
                  <c:v>11</c:v>
                </c:pt>
                <c:pt idx="28">
                  <c:v>6</c:v>
                </c:pt>
                <c:pt idx="29">
                  <c:v>39</c:v>
                </c:pt>
                <c:pt idx="30">
                  <c:v>2</c:v>
                </c:pt>
                <c:pt idx="31">
                  <c:v>0</c:v>
                </c:pt>
                <c:pt idx="32">
                  <c:v>0</c:v>
                </c:pt>
                <c:pt idx="33">
                  <c:v>0</c:v>
                </c:pt>
                <c:pt idx="34">
                  <c:v>0</c:v>
                </c:pt>
                <c:pt idx="35">
                  <c:v>0</c:v>
                </c:pt>
                <c:pt idx="36">
                  <c:v>1</c:v>
                </c:pt>
                <c:pt idx="37">
                  <c:v>3</c:v>
                </c:pt>
                <c:pt idx="38">
                  <c:v>0</c:v>
                </c:pt>
                <c:pt idx="39">
                  <c:v>0</c:v>
                </c:pt>
                <c:pt idx="40">
                  <c:v>4</c:v>
                </c:pt>
                <c:pt idx="41">
                  <c:v>0</c:v>
                </c:pt>
                <c:pt idx="42">
                  <c:v>0</c:v>
                </c:pt>
                <c:pt idx="43">
                  <c:v>7</c:v>
                </c:pt>
                <c:pt idx="44">
                  <c:v>5</c:v>
                </c:pt>
                <c:pt idx="45">
                  <c:v>0</c:v>
                </c:pt>
                <c:pt idx="46">
                  <c:v>3</c:v>
                </c:pt>
                <c:pt idx="47">
                  <c:v>6</c:v>
                </c:pt>
                <c:pt idx="48">
                  <c:v>3</c:v>
                </c:pt>
                <c:pt idx="49">
                  <c:v>0</c:v>
                </c:pt>
                <c:pt idx="50">
                  <c:v>0</c:v>
                </c:pt>
                <c:pt idx="51">
                  <c:v>22</c:v>
                </c:pt>
                <c:pt idx="52">
                  <c:v>2</c:v>
                </c:pt>
                <c:pt idx="53">
                  <c:v>0</c:v>
                </c:pt>
                <c:pt idx="54">
                  <c:v>6</c:v>
                </c:pt>
                <c:pt idx="55">
                  <c:v>1</c:v>
                </c:pt>
                <c:pt idx="56">
                  <c:v>0</c:v>
                </c:pt>
                <c:pt idx="57">
                  <c:v>25</c:v>
                </c:pt>
                <c:pt idx="58">
                  <c:v>3</c:v>
                </c:pt>
                <c:pt idx="59">
                  <c:v>5</c:v>
                </c:pt>
                <c:pt idx="60">
                  <c:v>2</c:v>
                </c:pt>
                <c:pt idx="61">
                  <c:v>1</c:v>
                </c:pt>
                <c:pt idx="62">
                  <c:v>0</c:v>
                </c:pt>
                <c:pt idx="63">
                  <c:v>3</c:v>
                </c:pt>
                <c:pt idx="64">
                  <c:v>0</c:v>
                </c:pt>
                <c:pt idx="65">
                  <c:v>1</c:v>
                </c:pt>
                <c:pt idx="66">
                  <c:v>0</c:v>
                </c:pt>
                <c:pt idx="67">
                  <c:v>6</c:v>
                </c:pt>
                <c:pt idx="68">
                  <c:v>13</c:v>
                </c:pt>
                <c:pt idx="69">
                  <c:v>19</c:v>
                </c:pt>
                <c:pt idx="70">
                  <c:v>9</c:v>
                </c:pt>
                <c:pt idx="71">
                  <c:v>6</c:v>
                </c:pt>
                <c:pt idx="72">
                  <c:v>15</c:v>
                </c:pt>
                <c:pt idx="73">
                  <c:v>3</c:v>
                </c:pt>
                <c:pt idx="74">
                  <c:v>1</c:v>
                </c:pt>
                <c:pt idx="75">
                  <c:v>0</c:v>
                </c:pt>
                <c:pt idx="76">
                  <c:v>0</c:v>
                </c:pt>
                <c:pt idx="77">
                  <c:v>0</c:v>
                </c:pt>
                <c:pt idx="78">
                  <c:v>0</c:v>
                </c:pt>
                <c:pt idx="79">
                  <c:v>3</c:v>
                </c:pt>
                <c:pt idx="80">
                  <c:v>0</c:v>
                </c:pt>
                <c:pt idx="81">
                  <c:v>1</c:v>
                </c:pt>
                <c:pt idx="82">
                  <c:v>0</c:v>
                </c:pt>
                <c:pt idx="83">
                  <c:v>0</c:v>
                </c:pt>
                <c:pt idx="84">
                  <c:v>2</c:v>
                </c:pt>
                <c:pt idx="85">
                  <c:v>0</c:v>
                </c:pt>
                <c:pt idx="86">
                  <c:v>0</c:v>
                </c:pt>
                <c:pt idx="87">
                  <c:v>0</c:v>
                </c:pt>
                <c:pt idx="88">
                  <c:v>4</c:v>
                </c:pt>
                <c:pt idx="89">
                  <c:v>2</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2F-87C6-44EA-973E-4EE677DB667E}"/>
            </c:ext>
          </c:extLst>
        </c:ser>
        <c:ser>
          <c:idx val="48"/>
          <c:order val="48"/>
          <c:tx>
            <c:strRef>
              <c:f>Tabelle3!$AY$1</c:f>
              <c:strCache>
                <c:ptCount val="1"/>
                <c:pt idx="0">
                  <c:v>2021-01-01</c:v>
                </c:pt>
              </c:strCache>
            </c:strRef>
          </c:tx>
          <c:spPr>
            <a:ln w="28575" cap="rnd">
              <a:solidFill>
                <a:schemeClr val="accent1">
                  <a:lumMod val="50000"/>
                  <a:lumOff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Tabelle3!$AY$2:$AY$100</c:f>
              <c:numCache>
                <c:formatCode>General</c:formatCode>
                <c:ptCount val="99"/>
                <c:pt idx="0">
                  <c:v>0</c:v>
                </c:pt>
                <c:pt idx="1">
                  <c:v>13</c:v>
                </c:pt>
                <c:pt idx="2">
                  <c:v>1</c:v>
                </c:pt>
                <c:pt idx="3">
                  <c:v>2</c:v>
                </c:pt>
                <c:pt idx="4">
                  <c:v>1</c:v>
                </c:pt>
                <c:pt idx="5">
                  <c:v>0</c:v>
                </c:pt>
                <c:pt idx="6">
                  <c:v>1</c:v>
                </c:pt>
                <c:pt idx="7">
                  <c:v>0</c:v>
                </c:pt>
                <c:pt idx="8">
                  <c:v>1</c:v>
                </c:pt>
                <c:pt idx="9">
                  <c:v>0</c:v>
                </c:pt>
                <c:pt idx="10">
                  <c:v>1</c:v>
                </c:pt>
                <c:pt idx="11">
                  <c:v>0</c:v>
                </c:pt>
                <c:pt idx="12">
                  <c:v>0</c:v>
                </c:pt>
                <c:pt idx="13">
                  <c:v>0</c:v>
                </c:pt>
                <c:pt idx="14">
                  <c:v>0</c:v>
                </c:pt>
                <c:pt idx="15">
                  <c:v>0</c:v>
                </c:pt>
                <c:pt idx="16">
                  <c:v>5</c:v>
                </c:pt>
                <c:pt idx="17">
                  <c:v>1</c:v>
                </c:pt>
                <c:pt idx="18">
                  <c:v>0</c:v>
                </c:pt>
                <c:pt idx="19">
                  <c:v>2</c:v>
                </c:pt>
                <c:pt idx="20">
                  <c:v>0</c:v>
                </c:pt>
                <c:pt idx="21">
                  <c:v>2</c:v>
                </c:pt>
                <c:pt idx="22">
                  <c:v>0</c:v>
                </c:pt>
                <c:pt idx="23">
                  <c:v>1</c:v>
                </c:pt>
                <c:pt idx="24">
                  <c:v>0</c:v>
                </c:pt>
                <c:pt idx="25">
                  <c:v>0</c:v>
                </c:pt>
                <c:pt idx="26">
                  <c:v>0</c:v>
                </c:pt>
                <c:pt idx="27">
                  <c:v>11</c:v>
                </c:pt>
                <c:pt idx="28">
                  <c:v>5</c:v>
                </c:pt>
                <c:pt idx="29">
                  <c:v>17</c:v>
                </c:pt>
                <c:pt idx="30">
                  <c:v>2</c:v>
                </c:pt>
                <c:pt idx="31">
                  <c:v>0</c:v>
                </c:pt>
                <c:pt idx="32">
                  <c:v>0</c:v>
                </c:pt>
                <c:pt idx="33">
                  <c:v>0</c:v>
                </c:pt>
                <c:pt idx="34">
                  <c:v>0</c:v>
                </c:pt>
                <c:pt idx="35">
                  <c:v>0</c:v>
                </c:pt>
                <c:pt idx="36">
                  <c:v>1</c:v>
                </c:pt>
                <c:pt idx="37">
                  <c:v>3</c:v>
                </c:pt>
                <c:pt idx="38">
                  <c:v>0</c:v>
                </c:pt>
                <c:pt idx="39">
                  <c:v>0</c:v>
                </c:pt>
                <c:pt idx="40">
                  <c:v>4</c:v>
                </c:pt>
                <c:pt idx="41">
                  <c:v>0</c:v>
                </c:pt>
                <c:pt idx="42">
                  <c:v>0</c:v>
                </c:pt>
                <c:pt idx="43">
                  <c:v>5</c:v>
                </c:pt>
                <c:pt idx="44">
                  <c:v>5</c:v>
                </c:pt>
                <c:pt idx="45">
                  <c:v>0</c:v>
                </c:pt>
                <c:pt idx="46">
                  <c:v>4</c:v>
                </c:pt>
                <c:pt idx="47">
                  <c:v>5</c:v>
                </c:pt>
                <c:pt idx="48">
                  <c:v>1</c:v>
                </c:pt>
                <c:pt idx="49">
                  <c:v>0</c:v>
                </c:pt>
                <c:pt idx="50">
                  <c:v>0</c:v>
                </c:pt>
                <c:pt idx="51">
                  <c:v>23</c:v>
                </c:pt>
                <c:pt idx="52">
                  <c:v>2</c:v>
                </c:pt>
                <c:pt idx="53">
                  <c:v>0</c:v>
                </c:pt>
                <c:pt idx="54">
                  <c:v>4</c:v>
                </c:pt>
                <c:pt idx="55">
                  <c:v>1</c:v>
                </c:pt>
                <c:pt idx="56">
                  <c:v>0</c:v>
                </c:pt>
                <c:pt idx="57">
                  <c:v>22</c:v>
                </c:pt>
                <c:pt idx="58">
                  <c:v>2</c:v>
                </c:pt>
                <c:pt idx="59">
                  <c:v>4</c:v>
                </c:pt>
                <c:pt idx="60">
                  <c:v>2</c:v>
                </c:pt>
                <c:pt idx="61">
                  <c:v>1</c:v>
                </c:pt>
                <c:pt idx="62">
                  <c:v>0</c:v>
                </c:pt>
                <c:pt idx="63">
                  <c:v>3</c:v>
                </c:pt>
                <c:pt idx="64">
                  <c:v>0</c:v>
                </c:pt>
                <c:pt idx="65">
                  <c:v>1</c:v>
                </c:pt>
                <c:pt idx="66">
                  <c:v>0</c:v>
                </c:pt>
                <c:pt idx="67">
                  <c:v>7</c:v>
                </c:pt>
                <c:pt idx="68">
                  <c:v>13</c:v>
                </c:pt>
                <c:pt idx="69">
                  <c:v>13</c:v>
                </c:pt>
                <c:pt idx="70">
                  <c:v>11</c:v>
                </c:pt>
                <c:pt idx="71">
                  <c:v>5</c:v>
                </c:pt>
                <c:pt idx="72">
                  <c:v>14</c:v>
                </c:pt>
                <c:pt idx="73">
                  <c:v>3</c:v>
                </c:pt>
                <c:pt idx="74">
                  <c:v>1</c:v>
                </c:pt>
                <c:pt idx="75">
                  <c:v>0</c:v>
                </c:pt>
                <c:pt idx="76">
                  <c:v>0</c:v>
                </c:pt>
                <c:pt idx="77">
                  <c:v>0</c:v>
                </c:pt>
                <c:pt idx="78">
                  <c:v>0</c:v>
                </c:pt>
                <c:pt idx="79">
                  <c:v>3</c:v>
                </c:pt>
                <c:pt idx="80">
                  <c:v>0</c:v>
                </c:pt>
                <c:pt idx="81">
                  <c:v>1</c:v>
                </c:pt>
                <c:pt idx="82">
                  <c:v>0</c:v>
                </c:pt>
                <c:pt idx="83">
                  <c:v>0</c:v>
                </c:pt>
                <c:pt idx="84">
                  <c:v>3</c:v>
                </c:pt>
                <c:pt idx="85">
                  <c:v>0</c:v>
                </c:pt>
                <c:pt idx="86">
                  <c:v>0</c:v>
                </c:pt>
                <c:pt idx="87">
                  <c:v>0</c:v>
                </c:pt>
                <c:pt idx="88">
                  <c:v>3</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0-87C6-44EA-973E-4EE677DB667E}"/>
            </c:ext>
          </c:extLst>
        </c:ser>
        <c:ser>
          <c:idx val="49"/>
          <c:order val="49"/>
          <c:tx>
            <c:strRef>
              <c:f>Tabelle3!$AZ$1</c:f>
              <c:strCache>
                <c:ptCount val="1"/>
                <c:pt idx="0">
                  <c:v>2021-02-01</c:v>
                </c:pt>
              </c:strCache>
            </c:strRef>
          </c:tx>
          <c:spPr>
            <a:ln w="28575" cap="rnd">
              <a:solidFill>
                <a:schemeClr val="accent2">
                  <a:lumMod val="50000"/>
                  <a:lumOff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Tabelle3!$AZ$2:$AZ$100</c:f>
              <c:numCache>
                <c:formatCode>General</c:formatCode>
                <c:ptCount val="99"/>
                <c:pt idx="0">
                  <c:v>1</c:v>
                </c:pt>
                <c:pt idx="1">
                  <c:v>13</c:v>
                </c:pt>
                <c:pt idx="2">
                  <c:v>1</c:v>
                </c:pt>
                <c:pt idx="3">
                  <c:v>1</c:v>
                </c:pt>
                <c:pt idx="4">
                  <c:v>3</c:v>
                </c:pt>
                <c:pt idx="5">
                  <c:v>0</c:v>
                </c:pt>
                <c:pt idx="6">
                  <c:v>1</c:v>
                </c:pt>
                <c:pt idx="7">
                  <c:v>0</c:v>
                </c:pt>
                <c:pt idx="8">
                  <c:v>1</c:v>
                </c:pt>
                <c:pt idx="9">
                  <c:v>1</c:v>
                </c:pt>
                <c:pt idx="10">
                  <c:v>1</c:v>
                </c:pt>
                <c:pt idx="11">
                  <c:v>0</c:v>
                </c:pt>
                <c:pt idx="12">
                  <c:v>0</c:v>
                </c:pt>
                <c:pt idx="13">
                  <c:v>0</c:v>
                </c:pt>
                <c:pt idx="14">
                  <c:v>0</c:v>
                </c:pt>
                <c:pt idx="15">
                  <c:v>0</c:v>
                </c:pt>
                <c:pt idx="16">
                  <c:v>6</c:v>
                </c:pt>
                <c:pt idx="17">
                  <c:v>1</c:v>
                </c:pt>
                <c:pt idx="18">
                  <c:v>0</c:v>
                </c:pt>
                <c:pt idx="19">
                  <c:v>1</c:v>
                </c:pt>
                <c:pt idx="20">
                  <c:v>0</c:v>
                </c:pt>
                <c:pt idx="21">
                  <c:v>3</c:v>
                </c:pt>
                <c:pt idx="22">
                  <c:v>2</c:v>
                </c:pt>
                <c:pt idx="23">
                  <c:v>0</c:v>
                </c:pt>
                <c:pt idx="24">
                  <c:v>0</c:v>
                </c:pt>
                <c:pt idx="25">
                  <c:v>0</c:v>
                </c:pt>
                <c:pt idx="26">
                  <c:v>0</c:v>
                </c:pt>
                <c:pt idx="27">
                  <c:v>11</c:v>
                </c:pt>
                <c:pt idx="28">
                  <c:v>5</c:v>
                </c:pt>
                <c:pt idx="29">
                  <c:v>14</c:v>
                </c:pt>
                <c:pt idx="30">
                  <c:v>2</c:v>
                </c:pt>
                <c:pt idx="31">
                  <c:v>0</c:v>
                </c:pt>
                <c:pt idx="32">
                  <c:v>0</c:v>
                </c:pt>
                <c:pt idx="33">
                  <c:v>0</c:v>
                </c:pt>
                <c:pt idx="34">
                  <c:v>0</c:v>
                </c:pt>
                <c:pt idx="35">
                  <c:v>0</c:v>
                </c:pt>
                <c:pt idx="36">
                  <c:v>0</c:v>
                </c:pt>
                <c:pt idx="37">
                  <c:v>4</c:v>
                </c:pt>
                <c:pt idx="38">
                  <c:v>0</c:v>
                </c:pt>
                <c:pt idx="39">
                  <c:v>0</c:v>
                </c:pt>
                <c:pt idx="40">
                  <c:v>3</c:v>
                </c:pt>
                <c:pt idx="41">
                  <c:v>0</c:v>
                </c:pt>
                <c:pt idx="42">
                  <c:v>0</c:v>
                </c:pt>
                <c:pt idx="43">
                  <c:v>5</c:v>
                </c:pt>
                <c:pt idx="44">
                  <c:v>5</c:v>
                </c:pt>
                <c:pt idx="45">
                  <c:v>0</c:v>
                </c:pt>
                <c:pt idx="46">
                  <c:v>4</c:v>
                </c:pt>
                <c:pt idx="47">
                  <c:v>4</c:v>
                </c:pt>
                <c:pt idx="48">
                  <c:v>0</c:v>
                </c:pt>
                <c:pt idx="49">
                  <c:v>0</c:v>
                </c:pt>
                <c:pt idx="50">
                  <c:v>0</c:v>
                </c:pt>
                <c:pt idx="51">
                  <c:v>26</c:v>
                </c:pt>
                <c:pt idx="52">
                  <c:v>2</c:v>
                </c:pt>
                <c:pt idx="53">
                  <c:v>0</c:v>
                </c:pt>
                <c:pt idx="54">
                  <c:v>4</c:v>
                </c:pt>
                <c:pt idx="55">
                  <c:v>4</c:v>
                </c:pt>
                <c:pt idx="56">
                  <c:v>0</c:v>
                </c:pt>
                <c:pt idx="57">
                  <c:v>22</c:v>
                </c:pt>
                <c:pt idx="58">
                  <c:v>2</c:v>
                </c:pt>
                <c:pt idx="59">
                  <c:v>4</c:v>
                </c:pt>
                <c:pt idx="60">
                  <c:v>2</c:v>
                </c:pt>
                <c:pt idx="61">
                  <c:v>1</c:v>
                </c:pt>
                <c:pt idx="62">
                  <c:v>0</c:v>
                </c:pt>
                <c:pt idx="63">
                  <c:v>3</c:v>
                </c:pt>
                <c:pt idx="64">
                  <c:v>0</c:v>
                </c:pt>
                <c:pt idx="65">
                  <c:v>1</c:v>
                </c:pt>
                <c:pt idx="66">
                  <c:v>0</c:v>
                </c:pt>
                <c:pt idx="67">
                  <c:v>7</c:v>
                </c:pt>
                <c:pt idx="68">
                  <c:v>14</c:v>
                </c:pt>
                <c:pt idx="69">
                  <c:v>14</c:v>
                </c:pt>
                <c:pt idx="70">
                  <c:v>9</c:v>
                </c:pt>
                <c:pt idx="71">
                  <c:v>7</c:v>
                </c:pt>
                <c:pt idx="72">
                  <c:v>12</c:v>
                </c:pt>
                <c:pt idx="73">
                  <c:v>3</c:v>
                </c:pt>
                <c:pt idx="74">
                  <c:v>1</c:v>
                </c:pt>
                <c:pt idx="75">
                  <c:v>0</c:v>
                </c:pt>
                <c:pt idx="76">
                  <c:v>0</c:v>
                </c:pt>
                <c:pt idx="77">
                  <c:v>0</c:v>
                </c:pt>
                <c:pt idx="78">
                  <c:v>0</c:v>
                </c:pt>
                <c:pt idx="79">
                  <c:v>5</c:v>
                </c:pt>
                <c:pt idx="80">
                  <c:v>0</c:v>
                </c:pt>
                <c:pt idx="81">
                  <c:v>1</c:v>
                </c:pt>
                <c:pt idx="82">
                  <c:v>1</c:v>
                </c:pt>
                <c:pt idx="83">
                  <c:v>0</c:v>
                </c:pt>
                <c:pt idx="84">
                  <c:v>2</c:v>
                </c:pt>
                <c:pt idx="85">
                  <c:v>0</c:v>
                </c:pt>
                <c:pt idx="86">
                  <c:v>0</c:v>
                </c:pt>
                <c:pt idx="87">
                  <c:v>0</c:v>
                </c:pt>
                <c:pt idx="88">
                  <c:v>3</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1-87C6-44EA-973E-4EE677DB667E}"/>
            </c:ext>
          </c:extLst>
        </c:ser>
        <c:ser>
          <c:idx val="50"/>
          <c:order val="50"/>
          <c:tx>
            <c:strRef>
              <c:f>Tabelle3!$BA$1</c:f>
              <c:strCache>
                <c:ptCount val="1"/>
                <c:pt idx="0">
                  <c:v>2021-03-01</c:v>
                </c:pt>
              </c:strCache>
            </c:strRef>
          </c:tx>
          <c:spPr>
            <a:ln w="28575" cap="rnd">
              <a:solidFill>
                <a:schemeClr val="accent3">
                  <a:lumMod val="50000"/>
                  <a:lumOff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Tabelle3!$BA$2:$BA$100</c:f>
              <c:numCache>
                <c:formatCode>General</c:formatCode>
                <c:ptCount val="99"/>
                <c:pt idx="0">
                  <c:v>1</c:v>
                </c:pt>
                <c:pt idx="1">
                  <c:v>13</c:v>
                </c:pt>
                <c:pt idx="2">
                  <c:v>2</c:v>
                </c:pt>
                <c:pt idx="3">
                  <c:v>1</c:v>
                </c:pt>
                <c:pt idx="4">
                  <c:v>3</c:v>
                </c:pt>
                <c:pt idx="5">
                  <c:v>0</c:v>
                </c:pt>
                <c:pt idx="6">
                  <c:v>0</c:v>
                </c:pt>
                <c:pt idx="7">
                  <c:v>0</c:v>
                </c:pt>
                <c:pt idx="8">
                  <c:v>1</c:v>
                </c:pt>
                <c:pt idx="9">
                  <c:v>2</c:v>
                </c:pt>
                <c:pt idx="10">
                  <c:v>2</c:v>
                </c:pt>
                <c:pt idx="11">
                  <c:v>0</c:v>
                </c:pt>
                <c:pt idx="12">
                  <c:v>0</c:v>
                </c:pt>
                <c:pt idx="13">
                  <c:v>0</c:v>
                </c:pt>
                <c:pt idx="14">
                  <c:v>0</c:v>
                </c:pt>
                <c:pt idx="15">
                  <c:v>0</c:v>
                </c:pt>
                <c:pt idx="16">
                  <c:v>6</c:v>
                </c:pt>
                <c:pt idx="17">
                  <c:v>1</c:v>
                </c:pt>
                <c:pt idx="18">
                  <c:v>0</c:v>
                </c:pt>
                <c:pt idx="19">
                  <c:v>0</c:v>
                </c:pt>
                <c:pt idx="20">
                  <c:v>0</c:v>
                </c:pt>
                <c:pt idx="21">
                  <c:v>3</c:v>
                </c:pt>
                <c:pt idx="22">
                  <c:v>2</c:v>
                </c:pt>
                <c:pt idx="23">
                  <c:v>1</c:v>
                </c:pt>
                <c:pt idx="24">
                  <c:v>0</c:v>
                </c:pt>
                <c:pt idx="25">
                  <c:v>0</c:v>
                </c:pt>
                <c:pt idx="26">
                  <c:v>0</c:v>
                </c:pt>
                <c:pt idx="27">
                  <c:v>9</c:v>
                </c:pt>
                <c:pt idx="28">
                  <c:v>6</c:v>
                </c:pt>
                <c:pt idx="29">
                  <c:v>14</c:v>
                </c:pt>
                <c:pt idx="30">
                  <c:v>2</c:v>
                </c:pt>
                <c:pt idx="31">
                  <c:v>0</c:v>
                </c:pt>
                <c:pt idx="32">
                  <c:v>0</c:v>
                </c:pt>
                <c:pt idx="33">
                  <c:v>0</c:v>
                </c:pt>
                <c:pt idx="34">
                  <c:v>0</c:v>
                </c:pt>
                <c:pt idx="35">
                  <c:v>0</c:v>
                </c:pt>
                <c:pt idx="36">
                  <c:v>0</c:v>
                </c:pt>
                <c:pt idx="37">
                  <c:v>3</c:v>
                </c:pt>
                <c:pt idx="38">
                  <c:v>0</c:v>
                </c:pt>
                <c:pt idx="39">
                  <c:v>0</c:v>
                </c:pt>
                <c:pt idx="40">
                  <c:v>3</c:v>
                </c:pt>
                <c:pt idx="41">
                  <c:v>0</c:v>
                </c:pt>
                <c:pt idx="42">
                  <c:v>0</c:v>
                </c:pt>
                <c:pt idx="43">
                  <c:v>3</c:v>
                </c:pt>
                <c:pt idx="44">
                  <c:v>4</c:v>
                </c:pt>
                <c:pt idx="45">
                  <c:v>1</c:v>
                </c:pt>
                <c:pt idx="46">
                  <c:v>5</c:v>
                </c:pt>
                <c:pt idx="47">
                  <c:v>4</c:v>
                </c:pt>
                <c:pt idx="48">
                  <c:v>0</c:v>
                </c:pt>
                <c:pt idx="49">
                  <c:v>0</c:v>
                </c:pt>
                <c:pt idx="50">
                  <c:v>0</c:v>
                </c:pt>
                <c:pt idx="51">
                  <c:v>29</c:v>
                </c:pt>
                <c:pt idx="52">
                  <c:v>3</c:v>
                </c:pt>
                <c:pt idx="53">
                  <c:v>0</c:v>
                </c:pt>
                <c:pt idx="54">
                  <c:v>3</c:v>
                </c:pt>
                <c:pt idx="55">
                  <c:v>3</c:v>
                </c:pt>
                <c:pt idx="56">
                  <c:v>0</c:v>
                </c:pt>
                <c:pt idx="57">
                  <c:v>27</c:v>
                </c:pt>
                <c:pt idx="58">
                  <c:v>1</c:v>
                </c:pt>
                <c:pt idx="59">
                  <c:v>5</c:v>
                </c:pt>
                <c:pt idx="60">
                  <c:v>2</c:v>
                </c:pt>
                <c:pt idx="61">
                  <c:v>1</c:v>
                </c:pt>
                <c:pt idx="62">
                  <c:v>0</c:v>
                </c:pt>
                <c:pt idx="63">
                  <c:v>3</c:v>
                </c:pt>
                <c:pt idx="64">
                  <c:v>0</c:v>
                </c:pt>
                <c:pt idx="65">
                  <c:v>1</c:v>
                </c:pt>
                <c:pt idx="66">
                  <c:v>0</c:v>
                </c:pt>
                <c:pt idx="67">
                  <c:v>7</c:v>
                </c:pt>
                <c:pt idx="68">
                  <c:v>11</c:v>
                </c:pt>
                <c:pt idx="69">
                  <c:v>15</c:v>
                </c:pt>
                <c:pt idx="70">
                  <c:v>10</c:v>
                </c:pt>
                <c:pt idx="71">
                  <c:v>9</c:v>
                </c:pt>
                <c:pt idx="72">
                  <c:v>10</c:v>
                </c:pt>
                <c:pt idx="73">
                  <c:v>3</c:v>
                </c:pt>
                <c:pt idx="74">
                  <c:v>1</c:v>
                </c:pt>
                <c:pt idx="75">
                  <c:v>0</c:v>
                </c:pt>
                <c:pt idx="76">
                  <c:v>0</c:v>
                </c:pt>
                <c:pt idx="77">
                  <c:v>0</c:v>
                </c:pt>
                <c:pt idx="78">
                  <c:v>0</c:v>
                </c:pt>
                <c:pt idx="79">
                  <c:v>5</c:v>
                </c:pt>
                <c:pt idx="80">
                  <c:v>0</c:v>
                </c:pt>
                <c:pt idx="81">
                  <c:v>1</c:v>
                </c:pt>
                <c:pt idx="82">
                  <c:v>1</c:v>
                </c:pt>
                <c:pt idx="83">
                  <c:v>0</c:v>
                </c:pt>
                <c:pt idx="84">
                  <c:v>2</c:v>
                </c:pt>
                <c:pt idx="85">
                  <c:v>0</c:v>
                </c:pt>
                <c:pt idx="86">
                  <c:v>0</c:v>
                </c:pt>
                <c:pt idx="87">
                  <c:v>0</c:v>
                </c:pt>
                <c:pt idx="88">
                  <c:v>4</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2-87C6-44EA-973E-4EE677DB667E}"/>
            </c:ext>
          </c:extLst>
        </c:ser>
        <c:ser>
          <c:idx val="51"/>
          <c:order val="51"/>
          <c:tx>
            <c:strRef>
              <c:f>Tabelle3!$BB$1</c:f>
              <c:strCache>
                <c:ptCount val="1"/>
                <c:pt idx="0">
                  <c:v>2021-04-01</c:v>
                </c:pt>
              </c:strCache>
            </c:strRef>
          </c:tx>
          <c:spPr>
            <a:ln w="28575" cap="rnd">
              <a:solidFill>
                <a:schemeClr val="accent4">
                  <a:lumMod val="50000"/>
                  <a:lumOff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Tabelle3!$BB$2:$BB$100</c:f>
              <c:numCache>
                <c:formatCode>General</c:formatCode>
                <c:ptCount val="99"/>
                <c:pt idx="0">
                  <c:v>1</c:v>
                </c:pt>
                <c:pt idx="1">
                  <c:v>13</c:v>
                </c:pt>
                <c:pt idx="2">
                  <c:v>2</c:v>
                </c:pt>
                <c:pt idx="3">
                  <c:v>0</c:v>
                </c:pt>
                <c:pt idx="4">
                  <c:v>1</c:v>
                </c:pt>
                <c:pt idx="5">
                  <c:v>0</c:v>
                </c:pt>
                <c:pt idx="6">
                  <c:v>0</c:v>
                </c:pt>
                <c:pt idx="7">
                  <c:v>0</c:v>
                </c:pt>
                <c:pt idx="8">
                  <c:v>1</c:v>
                </c:pt>
                <c:pt idx="9">
                  <c:v>4</c:v>
                </c:pt>
                <c:pt idx="10">
                  <c:v>3</c:v>
                </c:pt>
                <c:pt idx="11">
                  <c:v>0</c:v>
                </c:pt>
                <c:pt idx="12">
                  <c:v>0</c:v>
                </c:pt>
                <c:pt idx="13">
                  <c:v>0</c:v>
                </c:pt>
                <c:pt idx="14">
                  <c:v>0</c:v>
                </c:pt>
                <c:pt idx="15">
                  <c:v>2</c:v>
                </c:pt>
                <c:pt idx="16">
                  <c:v>6</c:v>
                </c:pt>
                <c:pt idx="17">
                  <c:v>1</c:v>
                </c:pt>
                <c:pt idx="18">
                  <c:v>0</c:v>
                </c:pt>
                <c:pt idx="19">
                  <c:v>0</c:v>
                </c:pt>
                <c:pt idx="20">
                  <c:v>0</c:v>
                </c:pt>
                <c:pt idx="21">
                  <c:v>2</c:v>
                </c:pt>
                <c:pt idx="22">
                  <c:v>2</c:v>
                </c:pt>
                <c:pt idx="23">
                  <c:v>1</c:v>
                </c:pt>
                <c:pt idx="24">
                  <c:v>0</c:v>
                </c:pt>
                <c:pt idx="25">
                  <c:v>0</c:v>
                </c:pt>
                <c:pt idx="26">
                  <c:v>0</c:v>
                </c:pt>
                <c:pt idx="27">
                  <c:v>6</c:v>
                </c:pt>
                <c:pt idx="28">
                  <c:v>4</c:v>
                </c:pt>
                <c:pt idx="29">
                  <c:v>4</c:v>
                </c:pt>
                <c:pt idx="30">
                  <c:v>1</c:v>
                </c:pt>
                <c:pt idx="31">
                  <c:v>0</c:v>
                </c:pt>
                <c:pt idx="32">
                  <c:v>0</c:v>
                </c:pt>
                <c:pt idx="33">
                  <c:v>0</c:v>
                </c:pt>
                <c:pt idx="34">
                  <c:v>0</c:v>
                </c:pt>
                <c:pt idx="35">
                  <c:v>0</c:v>
                </c:pt>
                <c:pt idx="36">
                  <c:v>0</c:v>
                </c:pt>
                <c:pt idx="37">
                  <c:v>3</c:v>
                </c:pt>
                <c:pt idx="38">
                  <c:v>0</c:v>
                </c:pt>
                <c:pt idx="39">
                  <c:v>0</c:v>
                </c:pt>
                <c:pt idx="40">
                  <c:v>3</c:v>
                </c:pt>
                <c:pt idx="41">
                  <c:v>0</c:v>
                </c:pt>
                <c:pt idx="42">
                  <c:v>0</c:v>
                </c:pt>
                <c:pt idx="43">
                  <c:v>3</c:v>
                </c:pt>
                <c:pt idx="44">
                  <c:v>4</c:v>
                </c:pt>
                <c:pt idx="45">
                  <c:v>3</c:v>
                </c:pt>
                <c:pt idx="46">
                  <c:v>5</c:v>
                </c:pt>
                <c:pt idx="47">
                  <c:v>4</c:v>
                </c:pt>
                <c:pt idx="48">
                  <c:v>0</c:v>
                </c:pt>
                <c:pt idx="49">
                  <c:v>0</c:v>
                </c:pt>
                <c:pt idx="50">
                  <c:v>0</c:v>
                </c:pt>
                <c:pt idx="51">
                  <c:v>29</c:v>
                </c:pt>
                <c:pt idx="52">
                  <c:v>3</c:v>
                </c:pt>
                <c:pt idx="53">
                  <c:v>0</c:v>
                </c:pt>
                <c:pt idx="54">
                  <c:v>3</c:v>
                </c:pt>
                <c:pt idx="55">
                  <c:v>4</c:v>
                </c:pt>
                <c:pt idx="56">
                  <c:v>0</c:v>
                </c:pt>
                <c:pt idx="57">
                  <c:v>28</c:v>
                </c:pt>
                <c:pt idx="58">
                  <c:v>1</c:v>
                </c:pt>
                <c:pt idx="59">
                  <c:v>5</c:v>
                </c:pt>
                <c:pt idx="60">
                  <c:v>2</c:v>
                </c:pt>
                <c:pt idx="61">
                  <c:v>1</c:v>
                </c:pt>
                <c:pt idx="62">
                  <c:v>0</c:v>
                </c:pt>
                <c:pt idx="63">
                  <c:v>3</c:v>
                </c:pt>
                <c:pt idx="64">
                  <c:v>0</c:v>
                </c:pt>
                <c:pt idx="65">
                  <c:v>1</c:v>
                </c:pt>
                <c:pt idx="66">
                  <c:v>0</c:v>
                </c:pt>
                <c:pt idx="67">
                  <c:v>7</c:v>
                </c:pt>
                <c:pt idx="68">
                  <c:v>9</c:v>
                </c:pt>
                <c:pt idx="69">
                  <c:v>11</c:v>
                </c:pt>
                <c:pt idx="70">
                  <c:v>9</c:v>
                </c:pt>
                <c:pt idx="71">
                  <c:v>10</c:v>
                </c:pt>
                <c:pt idx="72">
                  <c:v>5</c:v>
                </c:pt>
                <c:pt idx="73">
                  <c:v>0</c:v>
                </c:pt>
                <c:pt idx="74">
                  <c:v>1</c:v>
                </c:pt>
                <c:pt idx="75">
                  <c:v>0</c:v>
                </c:pt>
                <c:pt idx="76">
                  <c:v>0</c:v>
                </c:pt>
                <c:pt idx="77">
                  <c:v>0</c:v>
                </c:pt>
                <c:pt idx="78">
                  <c:v>0</c:v>
                </c:pt>
                <c:pt idx="79">
                  <c:v>6</c:v>
                </c:pt>
                <c:pt idx="80">
                  <c:v>0</c:v>
                </c:pt>
                <c:pt idx="81">
                  <c:v>1</c:v>
                </c:pt>
                <c:pt idx="82">
                  <c:v>1</c:v>
                </c:pt>
                <c:pt idx="83">
                  <c:v>0</c:v>
                </c:pt>
                <c:pt idx="84">
                  <c:v>2</c:v>
                </c:pt>
                <c:pt idx="85">
                  <c:v>0</c:v>
                </c:pt>
                <c:pt idx="86">
                  <c:v>0</c:v>
                </c:pt>
                <c:pt idx="87">
                  <c:v>0</c:v>
                </c:pt>
                <c:pt idx="88">
                  <c:v>4</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3-87C6-44EA-973E-4EE677DB667E}"/>
            </c:ext>
          </c:extLst>
        </c:ser>
        <c:ser>
          <c:idx val="52"/>
          <c:order val="52"/>
          <c:tx>
            <c:strRef>
              <c:f>Tabelle3!$BC$1</c:f>
              <c:strCache>
                <c:ptCount val="1"/>
                <c:pt idx="0">
                  <c:v>2021-05-01</c:v>
                </c:pt>
              </c:strCache>
            </c:strRef>
          </c:tx>
          <c:spPr>
            <a:ln w="28575" cap="rnd">
              <a:solidFill>
                <a:schemeClr val="accent5">
                  <a:lumMod val="50000"/>
                  <a:lumOff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Tabelle3!$BC$2:$BC$100</c:f>
              <c:numCache>
                <c:formatCode>General</c:formatCode>
                <c:ptCount val="99"/>
                <c:pt idx="0">
                  <c:v>1</c:v>
                </c:pt>
                <c:pt idx="1">
                  <c:v>10</c:v>
                </c:pt>
                <c:pt idx="2">
                  <c:v>2</c:v>
                </c:pt>
                <c:pt idx="3">
                  <c:v>0</c:v>
                </c:pt>
                <c:pt idx="4">
                  <c:v>1</c:v>
                </c:pt>
                <c:pt idx="5">
                  <c:v>0</c:v>
                </c:pt>
                <c:pt idx="6">
                  <c:v>0</c:v>
                </c:pt>
                <c:pt idx="7">
                  <c:v>0</c:v>
                </c:pt>
                <c:pt idx="8">
                  <c:v>1</c:v>
                </c:pt>
                <c:pt idx="9">
                  <c:v>2</c:v>
                </c:pt>
                <c:pt idx="10">
                  <c:v>3</c:v>
                </c:pt>
                <c:pt idx="11">
                  <c:v>0</c:v>
                </c:pt>
                <c:pt idx="12">
                  <c:v>0</c:v>
                </c:pt>
                <c:pt idx="13">
                  <c:v>0</c:v>
                </c:pt>
                <c:pt idx="14">
                  <c:v>0</c:v>
                </c:pt>
                <c:pt idx="15">
                  <c:v>3</c:v>
                </c:pt>
                <c:pt idx="16">
                  <c:v>6</c:v>
                </c:pt>
                <c:pt idx="17">
                  <c:v>1</c:v>
                </c:pt>
                <c:pt idx="18">
                  <c:v>0</c:v>
                </c:pt>
                <c:pt idx="19">
                  <c:v>1</c:v>
                </c:pt>
                <c:pt idx="20">
                  <c:v>0</c:v>
                </c:pt>
                <c:pt idx="21">
                  <c:v>1</c:v>
                </c:pt>
                <c:pt idx="22">
                  <c:v>1</c:v>
                </c:pt>
                <c:pt idx="23">
                  <c:v>1</c:v>
                </c:pt>
                <c:pt idx="24">
                  <c:v>0</c:v>
                </c:pt>
                <c:pt idx="25">
                  <c:v>0</c:v>
                </c:pt>
                <c:pt idx="26">
                  <c:v>0</c:v>
                </c:pt>
                <c:pt idx="27">
                  <c:v>6</c:v>
                </c:pt>
                <c:pt idx="28">
                  <c:v>4</c:v>
                </c:pt>
                <c:pt idx="29">
                  <c:v>4</c:v>
                </c:pt>
                <c:pt idx="30">
                  <c:v>1</c:v>
                </c:pt>
                <c:pt idx="31">
                  <c:v>0</c:v>
                </c:pt>
                <c:pt idx="32">
                  <c:v>0</c:v>
                </c:pt>
                <c:pt idx="33">
                  <c:v>0</c:v>
                </c:pt>
                <c:pt idx="34">
                  <c:v>0</c:v>
                </c:pt>
                <c:pt idx="35">
                  <c:v>1</c:v>
                </c:pt>
                <c:pt idx="36">
                  <c:v>0</c:v>
                </c:pt>
                <c:pt idx="37">
                  <c:v>2</c:v>
                </c:pt>
                <c:pt idx="38">
                  <c:v>1</c:v>
                </c:pt>
                <c:pt idx="39">
                  <c:v>0</c:v>
                </c:pt>
                <c:pt idx="40">
                  <c:v>2</c:v>
                </c:pt>
                <c:pt idx="41">
                  <c:v>0</c:v>
                </c:pt>
                <c:pt idx="42">
                  <c:v>0</c:v>
                </c:pt>
                <c:pt idx="43">
                  <c:v>3</c:v>
                </c:pt>
                <c:pt idx="44">
                  <c:v>6</c:v>
                </c:pt>
                <c:pt idx="45">
                  <c:v>3</c:v>
                </c:pt>
                <c:pt idx="46">
                  <c:v>5</c:v>
                </c:pt>
                <c:pt idx="47">
                  <c:v>5</c:v>
                </c:pt>
                <c:pt idx="48">
                  <c:v>0</c:v>
                </c:pt>
                <c:pt idx="49">
                  <c:v>0</c:v>
                </c:pt>
                <c:pt idx="50">
                  <c:v>0</c:v>
                </c:pt>
                <c:pt idx="51">
                  <c:v>25</c:v>
                </c:pt>
                <c:pt idx="52">
                  <c:v>4</c:v>
                </c:pt>
                <c:pt idx="53">
                  <c:v>0</c:v>
                </c:pt>
                <c:pt idx="54">
                  <c:v>2</c:v>
                </c:pt>
                <c:pt idx="55">
                  <c:v>4</c:v>
                </c:pt>
                <c:pt idx="56">
                  <c:v>0</c:v>
                </c:pt>
                <c:pt idx="57">
                  <c:v>25</c:v>
                </c:pt>
                <c:pt idx="58">
                  <c:v>1</c:v>
                </c:pt>
                <c:pt idx="59">
                  <c:v>5</c:v>
                </c:pt>
                <c:pt idx="60">
                  <c:v>2</c:v>
                </c:pt>
                <c:pt idx="61">
                  <c:v>1</c:v>
                </c:pt>
                <c:pt idx="62">
                  <c:v>0</c:v>
                </c:pt>
                <c:pt idx="63">
                  <c:v>3</c:v>
                </c:pt>
                <c:pt idx="64">
                  <c:v>0</c:v>
                </c:pt>
                <c:pt idx="65">
                  <c:v>1</c:v>
                </c:pt>
                <c:pt idx="66">
                  <c:v>0</c:v>
                </c:pt>
                <c:pt idx="67">
                  <c:v>8</c:v>
                </c:pt>
                <c:pt idx="68">
                  <c:v>10</c:v>
                </c:pt>
                <c:pt idx="69">
                  <c:v>11</c:v>
                </c:pt>
                <c:pt idx="70">
                  <c:v>7</c:v>
                </c:pt>
                <c:pt idx="71">
                  <c:v>10</c:v>
                </c:pt>
                <c:pt idx="72">
                  <c:v>5</c:v>
                </c:pt>
                <c:pt idx="73">
                  <c:v>0</c:v>
                </c:pt>
                <c:pt idx="74">
                  <c:v>1</c:v>
                </c:pt>
                <c:pt idx="75">
                  <c:v>0</c:v>
                </c:pt>
                <c:pt idx="76">
                  <c:v>0</c:v>
                </c:pt>
                <c:pt idx="77">
                  <c:v>0</c:v>
                </c:pt>
                <c:pt idx="78">
                  <c:v>0</c:v>
                </c:pt>
                <c:pt idx="79">
                  <c:v>7</c:v>
                </c:pt>
                <c:pt idx="80">
                  <c:v>0</c:v>
                </c:pt>
                <c:pt idx="81">
                  <c:v>0</c:v>
                </c:pt>
                <c:pt idx="82">
                  <c:v>1</c:v>
                </c:pt>
                <c:pt idx="83">
                  <c:v>0</c:v>
                </c:pt>
                <c:pt idx="84">
                  <c:v>1</c:v>
                </c:pt>
                <c:pt idx="85">
                  <c:v>0</c:v>
                </c:pt>
                <c:pt idx="86">
                  <c:v>0</c:v>
                </c:pt>
                <c:pt idx="87">
                  <c:v>0</c:v>
                </c:pt>
                <c:pt idx="88">
                  <c:v>4</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4-87C6-44EA-973E-4EE677DB667E}"/>
            </c:ext>
          </c:extLst>
        </c:ser>
        <c:ser>
          <c:idx val="53"/>
          <c:order val="53"/>
          <c:tx>
            <c:strRef>
              <c:f>Tabelle3!$BD$1</c:f>
              <c:strCache>
                <c:ptCount val="1"/>
                <c:pt idx="0">
                  <c:v>2021-06-01</c:v>
                </c:pt>
              </c:strCache>
            </c:strRef>
          </c:tx>
          <c:spPr>
            <a:ln w="28575" cap="rnd">
              <a:solidFill>
                <a:schemeClr val="accent6">
                  <a:lumMod val="50000"/>
                  <a:lumOff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Tabelle3!$BD$2:$BD$100</c:f>
              <c:numCache>
                <c:formatCode>General</c:formatCode>
                <c:ptCount val="99"/>
                <c:pt idx="0">
                  <c:v>1</c:v>
                </c:pt>
                <c:pt idx="1">
                  <c:v>10</c:v>
                </c:pt>
                <c:pt idx="2">
                  <c:v>2</c:v>
                </c:pt>
                <c:pt idx="3">
                  <c:v>0</c:v>
                </c:pt>
                <c:pt idx="4">
                  <c:v>0</c:v>
                </c:pt>
                <c:pt idx="5">
                  <c:v>0</c:v>
                </c:pt>
                <c:pt idx="6">
                  <c:v>0</c:v>
                </c:pt>
                <c:pt idx="7">
                  <c:v>0</c:v>
                </c:pt>
                <c:pt idx="8">
                  <c:v>1</c:v>
                </c:pt>
                <c:pt idx="9">
                  <c:v>0</c:v>
                </c:pt>
                <c:pt idx="10">
                  <c:v>3</c:v>
                </c:pt>
                <c:pt idx="11">
                  <c:v>0</c:v>
                </c:pt>
                <c:pt idx="12">
                  <c:v>0</c:v>
                </c:pt>
                <c:pt idx="13">
                  <c:v>0</c:v>
                </c:pt>
                <c:pt idx="14">
                  <c:v>0</c:v>
                </c:pt>
                <c:pt idx="15">
                  <c:v>3</c:v>
                </c:pt>
                <c:pt idx="16">
                  <c:v>6</c:v>
                </c:pt>
                <c:pt idx="17">
                  <c:v>1</c:v>
                </c:pt>
                <c:pt idx="18">
                  <c:v>0</c:v>
                </c:pt>
                <c:pt idx="19">
                  <c:v>1</c:v>
                </c:pt>
                <c:pt idx="20">
                  <c:v>0</c:v>
                </c:pt>
                <c:pt idx="21">
                  <c:v>1</c:v>
                </c:pt>
                <c:pt idx="22">
                  <c:v>1</c:v>
                </c:pt>
                <c:pt idx="23">
                  <c:v>1</c:v>
                </c:pt>
                <c:pt idx="24">
                  <c:v>0</c:v>
                </c:pt>
                <c:pt idx="25">
                  <c:v>0</c:v>
                </c:pt>
                <c:pt idx="26">
                  <c:v>0</c:v>
                </c:pt>
                <c:pt idx="27">
                  <c:v>5</c:v>
                </c:pt>
                <c:pt idx="28">
                  <c:v>3</c:v>
                </c:pt>
                <c:pt idx="29">
                  <c:v>4</c:v>
                </c:pt>
                <c:pt idx="30">
                  <c:v>1</c:v>
                </c:pt>
                <c:pt idx="31">
                  <c:v>0</c:v>
                </c:pt>
                <c:pt idx="32">
                  <c:v>0</c:v>
                </c:pt>
                <c:pt idx="33">
                  <c:v>0</c:v>
                </c:pt>
                <c:pt idx="34">
                  <c:v>0</c:v>
                </c:pt>
                <c:pt idx="35">
                  <c:v>1</c:v>
                </c:pt>
                <c:pt idx="36">
                  <c:v>1</c:v>
                </c:pt>
                <c:pt idx="37">
                  <c:v>2</c:v>
                </c:pt>
                <c:pt idx="38">
                  <c:v>1</c:v>
                </c:pt>
                <c:pt idx="39">
                  <c:v>0</c:v>
                </c:pt>
                <c:pt idx="40">
                  <c:v>2</c:v>
                </c:pt>
                <c:pt idx="41">
                  <c:v>0</c:v>
                </c:pt>
                <c:pt idx="42">
                  <c:v>0</c:v>
                </c:pt>
                <c:pt idx="43">
                  <c:v>3</c:v>
                </c:pt>
                <c:pt idx="44">
                  <c:v>8</c:v>
                </c:pt>
                <c:pt idx="45">
                  <c:v>3</c:v>
                </c:pt>
                <c:pt idx="46">
                  <c:v>4</c:v>
                </c:pt>
                <c:pt idx="47">
                  <c:v>5</c:v>
                </c:pt>
                <c:pt idx="48">
                  <c:v>0</c:v>
                </c:pt>
                <c:pt idx="49">
                  <c:v>0</c:v>
                </c:pt>
                <c:pt idx="50">
                  <c:v>0</c:v>
                </c:pt>
                <c:pt idx="51">
                  <c:v>25</c:v>
                </c:pt>
                <c:pt idx="52">
                  <c:v>4</c:v>
                </c:pt>
                <c:pt idx="53">
                  <c:v>0</c:v>
                </c:pt>
                <c:pt idx="54">
                  <c:v>2</c:v>
                </c:pt>
                <c:pt idx="55">
                  <c:v>4</c:v>
                </c:pt>
                <c:pt idx="56">
                  <c:v>0</c:v>
                </c:pt>
                <c:pt idx="57">
                  <c:v>23</c:v>
                </c:pt>
                <c:pt idx="58">
                  <c:v>1</c:v>
                </c:pt>
                <c:pt idx="59">
                  <c:v>5</c:v>
                </c:pt>
                <c:pt idx="60">
                  <c:v>2</c:v>
                </c:pt>
                <c:pt idx="61">
                  <c:v>1</c:v>
                </c:pt>
                <c:pt idx="62">
                  <c:v>0</c:v>
                </c:pt>
                <c:pt idx="63">
                  <c:v>3</c:v>
                </c:pt>
                <c:pt idx="64">
                  <c:v>0</c:v>
                </c:pt>
                <c:pt idx="65">
                  <c:v>1</c:v>
                </c:pt>
                <c:pt idx="66">
                  <c:v>0</c:v>
                </c:pt>
                <c:pt idx="67">
                  <c:v>8</c:v>
                </c:pt>
                <c:pt idx="68">
                  <c:v>10</c:v>
                </c:pt>
                <c:pt idx="69">
                  <c:v>12</c:v>
                </c:pt>
                <c:pt idx="70">
                  <c:v>5</c:v>
                </c:pt>
                <c:pt idx="71">
                  <c:v>9</c:v>
                </c:pt>
                <c:pt idx="72">
                  <c:v>4</c:v>
                </c:pt>
                <c:pt idx="73">
                  <c:v>0</c:v>
                </c:pt>
                <c:pt idx="74">
                  <c:v>1</c:v>
                </c:pt>
                <c:pt idx="75">
                  <c:v>0</c:v>
                </c:pt>
                <c:pt idx="76">
                  <c:v>0</c:v>
                </c:pt>
                <c:pt idx="77">
                  <c:v>0</c:v>
                </c:pt>
                <c:pt idx="78">
                  <c:v>0</c:v>
                </c:pt>
                <c:pt idx="79">
                  <c:v>7</c:v>
                </c:pt>
                <c:pt idx="80">
                  <c:v>0</c:v>
                </c:pt>
                <c:pt idx="81">
                  <c:v>0</c:v>
                </c:pt>
                <c:pt idx="82">
                  <c:v>1</c:v>
                </c:pt>
                <c:pt idx="83">
                  <c:v>0</c:v>
                </c:pt>
                <c:pt idx="84">
                  <c:v>2</c:v>
                </c:pt>
                <c:pt idx="85">
                  <c:v>0</c:v>
                </c:pt>
                <c:pt idx="86">
                  <c:v>0</c:v>
                </c:pt>
                <c:pt idx="87">
                  <c:v>0</c:v>
                </c:pt>
                <c:pt idx="88">
                  <c:v>4</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5-87C6-44EA-973E-4EE677DB667E}"/>
            </c:ext>
          </c:extLst>
        </c:ser>
        <c:ser>
          <c:idx val="54"/>
          <c:order val="54"/>
          <c:tx>
            <c:strRef>
              <c:f>Tabelle3!$BE$1</c:f>
              <c:strCache>
                <c:ptCount val="1"/>
                <c:pt idx="0">
                  <c:v>2021-07-01</c:v>
                </c:pt>
              </c:strCache>
            </c:strRef>
          </c:tx>
          <c:spPr>
            <a:ln w="28575" cap="rnd">
              <a:solidFill>
                <a:schemeClr val="accent1"/>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Tabelle3!$BE$2:$BE$100</c:f>
              <c:numCache>
                <c:formatCode>General</c:formatCode>
                <c:ptCount val="99"/>
                <c:pt idx="0">
                  <c:v>1</c:v>
                </c:pt>
                <c:pt idx="1">
                  <c:v>10</c:v>
                </c:pt>
                <c:pt idx="2">
                  <c:v>3</c:v>
                </c:pt>
                <c:pt idx="3">
                  <c:v>0</c:v>
                </c:pt>
                <c:pt idx="4">
                  <c:v>0</c:v>
                </c:pt>
                <c:pt idx="5">
                  <c:v>0</c:v>
                </c:pt>
                <c:pt idx="6">
                  <c:v>0</c:v>
                </c:pt>
                <c:pt idx="7">
                  <c:v>0</c:v>
                </c:pt>
                <c:pt idx="8">
                  <c:v>1</c:v>
                </c:pt>
                <c:pt idx="9">
                  <c:v>0</c:v>
                </c:pt>
                <c:pt idx="10">
                  <c:v>3</c:v>
                </c:pt>
                <c:pt idx="11">
                  <c:v>0</c:v>
                </c:pt>
                <c:pt idx="12">
                  <c:v>0</c:v>
                </c:pt>
                <c:pt idx="13">
                  <c:v>0</c:v>
                </c:pt>
                <c:pt idx="14">
                  <c:v>0</c:v>
                </c:pt>
                <c:pt idx="15">
                  <c:v>3</c:v>
                </c:pt>
                <c:pt idx="16">
                  <c:v>7</c:v>
                </c:pt>
                <c:pt idx="17">
                  <c:v>1</c:v>
                </c:pt>
                <c:pt idx="18">
                  <c:v>0</c:v>
                </c:pt>
                <c:pt idx="19">
                  <c:v>2</c:v>
                </c:pt>
                <c:pt idx="20">
                  <c:v>0</c:v>
                </c:pt>
                <c:pt idx="21">
                  <c:v>0</c:v>
                </c:pt>
                <c:pt idx="22">
                  <c:v>2</c:v>
                </c:pt>
                <c:pt idx="23">
                  <c:v>1</c:v>
                </c:pt>
                <c:pt idx="24">
                  <c:v>0</c:v>
                </c:pt>
                <c:pt idx="25">
                  <c:v>0</c:v>
                </c:pt>
                <c:pt idx="26">
                  <c:v>0</c:v>
                </c:pt>
                <c:pt idx="27">
                  <c:v>3</c:v>
                </c:pt>
                <c:pt idx="28">
                  <c:v>2</c:v>
                </c:pt>
                <c:pt idx="29">
                  <c:v>4</c:v>
                </c:pt>
                <c:pt idx="30">
                  <c:v>1</c:v>
                </c:pt>
                <c:pt idx="31">
                  <c:v>0</c:v>
                </c:pt>
                <c:pt idx="32">
                  <c:v>0</c:v>
                </c:pt>
                <c:pt idx="33">
                  <c:v>0</c:v>
                </c:pt>
                <c:pt idx="34">
                  <c:v>0</c:v>
                </c:pt>
                <c:pt idx="35">
                  <c:v>1</c:v>
                </c:pt>
                <c:pt idx="36">
                  <c:v>1</c:v>
                </c:pt>
                <c:pt idx="37">
                  <c:v>2</c:v>
                </c:pt>
                <c:pt idx="38">
                  <c:v>1</c:v>
                </c:pt>
                <c:pt idx="39">
                  <c:v>0</c:v>
                </c:pt>
                <c:pt idx="40">
                  <c:v>3</c:v>
                </c:pt>
                <c:pt idx="41">
                  <c:v>0</c:v>
                </c:pt>
                <c:pt idx="42">
                  <c:v>0</c:v>
                </c:pt>
                <c:pt idx="43">
                  <c:v>0</c:v>
                </c:pt>
                <c:pt idx="44">
                  <c:v>8</c:v>
                </c:pt>
                <c:pt idx="45">
                  <c:v>2</c:v>
                </c:pt>
                <c:pt idx="46">
                  <c:v>4</c:v>
                </c:pt>
                <c:pt idx="47">
                  <c:v>4</c:v>
                </c:pt>
                <c:pt idx="48">
                  <c:v>0</c:v>
                </c:pt>
                <c:pt idx="49">
                  <c:v>0</c:v>
                </c:pt>
                <c:pt idx="50">
                  <c:v>0</c:v>
                </c:pt>
                <c:pt idx="51">
                  <c:v>24</c:v>
                </c:pt>
                <c:pt idx="52">
                  <c:v>2</c:v>
                </c:pt>
                <c:pt idx="53">
                  <c:v>0</c:v>
                </c:pt>
                <c:pt idx="54">
                  <c:v>1</c:v>
                </c:pt>
                <c:pt idx="55">
                  <c:v>4</c:v>
                </c:pt>
                <c:pt idx="56">
                  <c:v>0</c:v>
                </c:pt>
                <c:pt idx="57">
                  <c:v>24</c:v>
                </c:pt>
                <c:pt idx="58">
                  <c:v>1</c:v>
                </c:pt>
                <c:pt idx="59">
                  <c:v>4</c:v>
                </c:pt>
                <c:pt idx="60">
                  <c:v>2</c:v>
                </c:pt>
                <c:pt idx="61">
                  <c:v>1</c:v>
                </c:pt>
                <c:pt idx="62">
                  <c:v>0</c:v>
                </c:pt>
                <c:pt idx="63">
                  <c:v>2</c:v>
                </c:pt>
                <c:pt idx="64">
                  <c:v>0</c:v>
                </c:pt>
                <c:pt idx="65">
                  <c:v>1</c:v>
                </c:pt>
                <c:pt idx="66">
                  <c:v>0</c:v>
                </c:pt>
                <c:pt idx="67">
                  <c:v>7</c:v>
                </c:pt>
                <c:pt idx="68">
                  <c:v>10</c:v>
                </c:pt>
                <c:pt idx="69">
                  <c:v>8</c:v>
                </c:pt>
                <c:pt idx="70">
                  <c:v>2</c:v>
                </c:pt>
                <c:pt idx="71">
                  <c:v>11</c:v>
                </c:pt>
                <c:pt idx="72">
                  <c:v>5</c:v>
                </c:pt>
                <c:pt idx="73">
                  <c:v>0</c:v>
                </c:pt>
                <c:pt idx="74">
                  <c:v>1</c:v>
                </c:pt>
                <c:pt idx="75">
                  <c:v>0</c:v>
                </c:pt>
                <c:pt idx="76">
                  <c:v>0</c:v>
                </c:pt>
                <c:pt idx="77">
                  <c:v>0</c:v>
                </c:pt>
                <c:pt idx="78">
                  <c:v>0</c:v>
                </c:pt>
                <c:pt idx="79">
                  <c:v>6</c:v>
                </c:pt>
                <c:pt idx="80">
                  <c:v>0</c:v>
                </c:pt>
                <c:pt idx="81">
                  <c:v>0</c:v>
                </c:pt>
                <c:pt idx="82">
                  <c:v>1</c:v>
                </c:pt>
                <c:pt idx="83">
                  <c:v>0</c:v>
                </c:pt>
                <c:pt idx="84">
                  <c:v>3</c:v>
                </c:pt>
                <c:pt idx="85">
                  <c:v>0</c:v>
                </c:pt>
                <c:pt idx="86">
                  <c:v>0</c:v>
                </c:pt>
                <c:pt idx="87">
                  <c:v>0</c:v>
                </c:pt>
                <c:pt idx="88">
                  <c:v>3</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6-87C6-44EA-973E-4EE677DB667E}"/>
            </c:ext>
          </c:extLst>
        </c:ser>
        <c:ser>
          <c:idx val="55"/>
          <c:order val="55"/>
          <c:tx>
            <c:strRef>
              <c:f>Tabelle3!$BF$1</c:f>
              <c:strCache>
                <c:ptCount val="1"/>
                <c:pt idx="0">
                  <c:v>2021-08-01</c:v>
                </c:pt>
              </c:strCache>
            </c:strRef>
          </c:tx>
          <c:spPr>
            <a:ln w="28575" cap="rnd">
              <a:solidFill>
                <a:schemeClr val="accent2"/>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Tabelle3!$BF$2:$BF$100</c:f>
              <c:numCache>
                <c:formatCode>General</c:formatCode>
                <c:ptCount val="99"/>
                <c:pt idx="0">
                  <c:v>1</c:v>
                </c:pt>
                <c:pt idx="1">
                  <c:v>8</c:v>
                </c:pt>
                <c:pt idx="2">
                  <c:v>2</c:v>
                </c:pt>
                <c:pt idx="3">
                  <c:v>0</c:v>
                </c:pt>
                <c:pt idx="4">
                  <c:v>0</c:v>
                </c:pt>
                <c:pt idx="5">
                  <c:v>0</c:v>
                </c:pt>
                <c:pt idx="6">
                  <c:v>0</c:v>
                </c:pt>
                <c:pt idx="7">
                  <c:v>0</c:v>
                </c:pt>
                <c:pt idx="8">
                  <c:v>1</c:v>
                </c:pt>
                <c:pt idx="9">
                  <c:v>0</c:v>
                </c:pt>
                <c:pt idx="10">
                  <c:v>3</c:v>
                </c:pt>
                <c:pt idx="11">
                  <c:v>0</c:v>
                </c:pt>
                <c:pt idx="12">
                  <c:v>0</c:v>
                </c:pt>
                <c:pt idx="13">
                  <c:v>0</c:v>
                </c:pt>
                <c:pt idx="14">
                  <c:v>0</c:v>
                </c:pt>
                <c:pt idx="15">
                  <c:v>2</c:v>
                </c:pt>
                <c:pt idx="16">
                  <c:v>6</c:v>
                </c:pt>
                <c:pt idx="17">
                  <c:v>1</c:v>
                </c:pt>
                <c:pt idx="18">
                  <c:v>0</c:v>
                </c:pt>
                <c:pt idx="19">
                  <c:v>2</c:v>
                </c:pt>
                <c:pt idx="20">
                  <c:v>0</c:v>
                </c:pt>
                <c:pt idx="21">
                  <c:v>0</c:v>
                </c:pt>
                <c:pt idx="22">
                  <c:v>3</c:v>
                </c:pt>
                <c:pt idx="23">
                  <c:v>1</c:v>
                </c:pt>
                <c:pt idx="24">
                  <c:v>0</c:v>
                </c:pt>
                <c:pt idx="25">
                  <c:v>0</c:v>
                </c:pt>
                <c:pt idx="26">
                  <c:v>0</c:v>
                </c:pt>
                <c:pt idx="27">
                  <c:v>3</c:v>
                </c:pt>
                <c:pt idx="28">
                  <c:v>2</c:v>
                </c:pt>
                <c:pt idx="29">
                  <c:v>8</c:v>
                </c:pt>
                <c:pt idx="30">
                  <c:v>1</c:v>
                </c:pt>
                <c:pt idx="31">
                  <c:v>0</c:v>
                </c:pt>
                <c:pt idx="32">
                  <c:v>0</c:v>
                </c:pt>
                <c:pt idx="33">
                  <c:v>0</c:v>
                </c:pt>
                <c:pt idx="34">
                  <c:v>0</c:v>
                </c:pt>
                <c:pt idx="35">
                  <c:v>1</c:v>
                </c:pt>
                <c:pt idx="36">
                  <c:v>0</c:v>
                </c:pt>
                <c:pt idx="37">
                  <c:v>3</c:v>
                </c:pt>
                <c:pt idx="38">
                  <c:v>2</c:v>
                </c:pt>
                <c:pt idx="39">
                  <c:v>0</c:v>
                </c:pt>
                <c:pt idx="40">
                  <c:v>5</c:v>
                </c:pt>
                <c:pt idx="41">
                  <c:v>0</c:v>
                </c:pt>
                <c:pt idx="42">
                  <c:v>0</c:v>
                </c:pt>
                <c:pt idx="43">
                  <c:v>0</c:v>
                </c:pt>
                <c:pt idx="44">
                  <c:v>6</c:v>
                </c:pt>
                <c:pt idx="45">
                  <c:v>2</c:v>
                </c:pt>
                <c:pt idx="46">
                  <c:v>4</c:v>
                </c:pt>
                <c:pt idx="47">
                  <c:v>4</c:v>
                </c:pt>
                <c:pt idx="48">
                  <c:v>0</c:v>
                </c:pt>
                <c:pt idx="49">
                  <c:v>0</c:v>
                </c:pt>
                <c:pt idx="50">
                  <c:v>0</c:v>
                </c:pt>
                <c:pt idx="51">
                  <c:v>23</c:v>
                </c:pt>
                <c:pt idx="52">
                  <c:v>2</c:v>
                </c:pt>
                <c:pt idx="53">
                  <c:v>0</c:v>
                </c:pt>
                <c:pt idx="54">
                  <c:v>1</c:v>
                </c:pt>
                <c:pt idx="55">
                  <c:v>4</c:v>
                </c:pt>
                <c:pt idx="56">
                  <c:v>0</c:v>
                </c:pt>
                <c:pt idx="57">
                  <c:v>23</c:v>
                </c:pt>
                <c:pt idx="58">
                  <c:v>3</c:v>
                </c:pt>
                <c:pt idx="59">
                  <c:v>4</c:v>
                </c:pt>
                <c:pt idx="60">
                  <c:v>2</c:v>
                </c:pt>
                <c:pt idx="61">
                  <c:v>1</c:v>
                </c:pt>
                <c:pt idx="62">
                  <c:v>0</c:v>
                </c:pt>
                <c:pt idx="63">
                  <c:v>0</c:v>
                </c:pt>
                <c:pt idx="64">
                  <c:v>0</c:v>
                </c:pt>
                <c:pt idx="65">
                  <c:v>1</c:v>
                </c:pt>
                <c:pt idx="66">
                  <c:v>0</c:v>
                </c:pt>
                <c:pt idx="67">
                  <c:v>7</c:v>
                </c:pt>
                <c:pt idx="68">
                  <c:v>10</c:v>
                </c:pt>
                <c:pt idx="69">
                  <c:v>7</c:v>
                </c:pt>
                <c:pt idx="70">
                  <c:v>4</c:v>
                </c:pt>
                <c:pt idx="71">
                  <c:v>16</c:v>
                </c:pt>
                <c:pt idx="72">
                  <c:v>5</c:v>
                </c:pt>
                <c:pt idx="73">
                  <c:v>0</c:v>
                </c:pt>
                <c:pt idx="74">
                  <c:v>0</c:v>
                </c:pt>
                <c:pt idx="75">
                  <c:v>0</c:v>
                </c:pt>
                <c:pt idx="76">
                  <c:v>0</c:v>
                </c:pt>
                <c:pt idx="77">
                  <c:v>0</c:v>
                </c:pt>
                <c:pt idx="78">
                  <c:v>0</c:v>
                </c:pt>
                <c:pt idx="79">
                  <c:v>6</c:v>
                </c:pt>
                <c:pt idx="80">
                  <c:v>0</c:v>
                </c:pt>
                <c:pt idx="81">
                  <c:v>0</c:v>
                </c:pt>
                <c:pt idx="82">
                  <c:v>1</c:v>
                </c:pt>
                <c:pt idx="83">
                  <c:v>0</c:v>
                </c:pt>
                <c:pt idx="84">
                  <c:v>2</c:v>
                </c:pt>
                <c:pt idx="85">
                  <c:v>0</c:v>
                </c:pt>
                <c:pt idx="86">
                  <c:v>0</c:v>
                </c:pt>
                <c:pt idx="87">
                  <c:v>0</c:v>
                </c:pt>
                <c:pt idx="88">
                  <c:v>3</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7-87C6-44EA-973E-4EE677DB667E}"/>
            </c:ext>
          </c:extLst>
        </c:ser>
        <c:ser>
          <c:idx val="56"/>
          <c:order val="56"/>
          <c:tx>
            <c:strRef>
              <c:f>Tabelle3!$BG$1</c:f>
              <c:strCache>
                <c:ptCount val="1"/>
                <c:pt idx="0">
                  <c:v>2021-09-01</c:v>
                </c:pt>
              </c:strCache>
            </c:strRef>
          </c:tx>
          <c:spPr>
            <a:ln w="28575" cap="rnd">
              <a:solidFill>
                <a:schemeClr val="accent3"/>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Tabelle3!$BG$2:$BG$100</c:f>
              <c:numCache>
                <c:formatCode>General</c:formatCode>
                <c:ptCount val="99"/>
                <c:pt idx="0">
                  <c:v>1</c:v>
                </c:pt>
                <c:pt idx="1">
                  <c:v>8</c:v>
                </c:pt>
                <c:pt idx="2">
                  <c:v>1</c:v>
                </c:pt>
                <c:pt idx="3">
                  <c:v>0</c:v>
                </c:pt>
                <c:pt idx="4">
                  <c:v>0</c:v>
                </c:pt>
                <c:pt idx="5">
                  <c:v>0</c:v>
                </c:pt>
                <c:pt idx="6">
                  <c:v>0</c:v>
                </c:pt>
                <c:pt idx="7">
                  <c:v>0</c:v>
                </c:pt>
                <c:pt idx="8">
                  <c:v>1</c:v>
                </c:pt>
                <c:pt idx="9">
                  <c:v>0</c:v>
                </c:pt>
                <c:pt idx="10">
                  <c:v>3</c:v>
                </c:pt>
                <c:pt idx="11">
                  <c:v>0</c:v>
                </c:pt>
                <c:pt idx="12">
                  <c:v>0</c:v>
                </c:pt>
                <c:pt idx="13">
                  <c:v>0</c:v>
                </c:pt>
                <c:pt idx="14">
                  <c:v>0</c:v>
                </c:pt>
                <c:pt idx="15">
                  <c:v>2</c:v>
                </c:pt>
                <c:pt idx="16">
                  <c:v>8</c:v>
                </c:pt>
                <c:pt idx="17">
                  <c:v>1</c:v>
                </c:pt>
                <c:pt idx="18">
                  <c:v>0</c:v>
                </c:pt>
                <c:pt idx="19">
                  <c:v>3</c:v>
                </c:pt>
                <c:pt idx="20">
                  <c:v>0</c:v>
                </c:pt>
                <c:pt idx="21">
                  <c:v>0</c:v>
                </c:pt>
                <c:pt idx="22">
                  <c:v>4</c:v>
                </c:pt>
                <c:pt idx="23">
                  <c:v>1</c:v>
                </c:pt>
                <c:pt idx="24">
                  <c:v>0</c:v>
                </c:pt>
                <c:pt idx="25">
                  <c:v>0</c:v>
                </c:pt>
                <c:pt idx="26">
                  <c:v>0</c:v>
                </c:pt>
                <c:pt idx="27">
                  <c:v>2</c:v>
                </c:pt>
                <c:pt idx="28">
                  <c:v>2</c:v>
                </c:pt>
                <c:pt idx="29">
                  <c:v>8</c:v>
                </c:pt>
                <c:pt idx="30">
                  <c:v>1</c:v>
                </c:pt>
                <c:pt idx="31">
                  <c:v>0</c:v>
                </c:pt>
                <c:pt idx="32">
                  <c:v>0</c:v>
                </c:pt>
                <c:pt idx="33">
                  <c:v>0</c:v>
                </c:pt>
                <c:pt idx="34">
                  <c:v>0</c:v>
                </c:pt>
                <c:pt idx="35">
                  <c:v>1</c:v>
                </c:pt>
                <c:pt idx="36">
                  <c:v>0</c:v>
                </c:pt>
                <c:pt idx="37">
                  <c:v>4</c:v>
                </c:pt>
                <c:pt idx="38">
                  <c:v>2</c:v>
                </c:pt>
                <c:pt idx="39">
                  <c:v>0</c:v>
                </c:pt>
                <c:pt idx="40">
                  <c:v>3</c:v>
                </c:pt>
                <c:pt idx="41">
                  <c:v>0</c:v>
                </c:pt>
                <c:pt idx="42">
                  <c:v>0</c:v>
                </c:pt>
                <c:pt idx="43">
                  <c:v>0</c:v>
                </c:pt>
                <c:pt idx="44">
                  <c:v>6</c:v>
                </c:pt>
                <c:pt idx="45">
                  <c:v>2</c:v>
                </c:pt>
                <c:pt idx="46">
                  <c:v>3</c:v>
                </c:pt>
                <c:pt idx="47">
                  <c:v>5</c:v>
                </c:pt>
                <c:pt idx="48">
                  <c:v>0</c:v>
                </c:pt>
                <c:pt idx="49">
                  <c:v>0</c:v>
                </c:pt>
                <c:pt idx="50">
                  <c:v>0</c:v>
                </c:pt>
                <c:pt idx="51">
                  <c:v>23</c:v>
                </c:pt>
                <c:pt idx="52">
                  <c:v>2</c:v>
                </c:pt>
                <c:pt idx="53">
                  <c:v>0</c:v>
                </c:pt>
                <c:pt idx="54">
                  <c:v>1</c:v>
                </c:pt>
                <c:pt idx="55">
                  <c:v>4</c:v>
                </c:pt>
                <c:pt idx="56">
                  <c:v>0</c:v>
                </c:pt>
                <c:pt idx="57">
                  <c:v>26</c:v>
                </c:pt>
                <c:pt idx="58">
                  <c:v>5</c:v>
                </c:pt>
                <c:pt idx="59">
                  <c:v>4</c:v>
                </c:pt>
                <c:pt idx="60">
                  <c:v>2</c:v>
                </c:pt>
                <c:pt idx="61">
                  <c:v>1</c:v>
                </c:pt>
                <c:pt idx="62">
                  <c:v>0</c:v>
                </c:pt>
                <c:pt idx="63">
                  <c:v>0</c:v>
                </c:pt>
                <c:pt idx="64">
                  <c:v>0</c:v>
                </c:pt>
                <c:pt idx="65">
                  <c:v>1</c:v>
                </c:pt>
                <c:pt idx="66">
                  <c:v>0</c:v>
                </c:pt>
                <c:pt idx="67">
                  <c:v>6</c:v>
                </c:pt>
                <c:pt idx="68">
                  <c:v>7</c:v>
                </c:pt>
                <c:pt idx="69">
                  <c:v>6</c:v>
                </c:pt>
                <c:pt idx="70">
                  <c:v>2</c:v>
                </c:pt>
                <c:pt idx="71">
                  <c:v>12</c:v>
                </c:pt>
                <c:pt idx="72">
                  <c:v>3</c:v>
                </c:pt>
                <c:pt idx="73">
                  <c:v>0</c:v>
                </c:pt>
                <c:pt idx="74">
                  <c:v>1</c:v>
                </c:pt>
                <c:pt idx="75">
                  <c:v>0</c:v>
                </c:pt>
                <c:pt idx="76">
                  <c:v>0</c:v>
                </c:pt>
                <c:pt idx="77">
                  <c:v>0</c:v>
                </c:pt>
                <c:pt idx="78">
                  <c:v>0</c:v>
                </c:pt>
                <c:pt idx="79">
                  <c:v>6</c:v>
                </c:pt>
                <c:pt idx="80">
                  <c:v>0</c:v>
                </c:pt>
                <c:pt idx="81">
                  <c:v>0</c:v>
                </c:pt>
                <c:pt idx="82">
                  <c:v>1</c:v>
                </c:pt>
                <c:pt idx="83">
                  <c:v>0</c:v>
                </c:pt>
                <c:pt idx="84">
                  <c:v>2</c:v>
                </c:pt>
                <c:pt idx="85">
                  <c:v>0</c:v>
                </c:pt>
                <c:pt idx="86">
                  <c:v>0</c:v>
                </c:pt>
                <c:pt idx="87">
                  <c:v>0</c:v>
                </c:pt>
                <c:pt idx="88">
                  <c:v>3</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8-87C6-44EA-973E-4EE677DB667E}"/>
            </c:ext>
          </c:extLst>
        </c:ser>
        <c:ser>
          <c:idx val="57"/>
          <c:order val="57"/>
          <c:tx>
            <c:strRef>
              <c:f>Tabelle3!$BH$1</c:f>
              <c:strCache>
                <c:ptCount val="1"/>
                <c:pt idx="0">
                  <c:v>2021-10-01</c:v>
                </c:pt>
              </c:strCache>
            </c:strRef>
          </c:tx>
          <c:spPr>
            <a:ln w="28575" cap="rnd">
              <a:solidFill>
                <a:schemeClr val="accent4"/>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Tabelle3!$BH$2:$BH$100</c:f>
              <c:numCache>
                <c:formatCode>General</c:formatCode>
                <c:ptCount val="99"/>
                <c:pt idx="0">
                  <c:v>1</c:v>
                </c:pt>
                <c:pt idx="1">
                  <c:v>8</c:v>
                </c:pt>
                <c:pt idx="2">
                  <c:v>1</c:v>
                </c:pt>
                <c:pt idx="3">
                  <c:v>0</c:v>
                </c:pt>
                <c:pt idx="4">
                  <c:v>0</c:v>
                </c:pt>
                <c:pt idx="5">
                  <c:v>0</c:v>
                </c:pt>
                <c:pt idx="6">
                  <c:v>0</c:v>
                </c:pt>
                <c:pt idx="7">
                  <c:v>0</c:v>
                </c:pt>
                <c:pt idx="8">
                  <c:v>1</c:v>
                </c:pt>
                <c:pt idx="9">
                  <c:v>0</c:v>
                </c:pt>
                <c:pt idx="10">
                  <c:v>4</c:v>
                </c:pt>
                <c:pt idx="11">
                  <c:v>0</c:v>
                </c:pt>
                <c:pt idx="12">
                  <c:v>0</c:v>
                </c:pt>
                <c:pt idx="13">
                  <c:v>0</c:v>
                </c:pt>
                <c:pt idx="14">
                  <c:v>0</c:v>
                </c:pt>
                <c:pt idx="15">
                  <c:v>2</c:v>
                </c:pt>
                <c:pt idx="16">
                  <c:v>7</c:v>
                </c:pt>
                <c:pt idx="17">
                  <c:v>1</c:v>
                </c:pt>
                <c:pt idx="18">
                  <c:v>0</c:v>
                </c:pt>
                <c:pt idx="19">
                  <c:v>3</c:v>
                </c:pt>
                <c:pt idx="20">
                  <c:v>0</c:v>
                </c:pt>
                <c:pt idx="21">
                  <c:v>0</c:v>
                </c:pt>
                <c:pt idx="22">
                  <c:v>8</c:v>
                </c:pt>
                <c:pt idx="23">
                  <c:v>1</c:v>
                </c:pt>
                <c:pt idx="24">
                  <c:v>0</c:v>
                </c:pt>
                <c:pt idx="25">
                  <c:v>0</c:v>
                </c:pt>
                <c:pt idx="26">
                  <c:v>0</c:v>
                </c:pt>
                <c:pt idx="27">
                  <c:v>2</c:v>
                </c:pt>
                <c:pt idx="28">
                  <c:v>2</c:v>
                </c:pt>
                <c:pt idx="29">
                  <c:v>6</c:v>
                </c:pt>
                <c:pt idx="30">
                  <c:v>3</c:v>
                </c:pt>
                <c:pt idx="31">
                  <c:v>0</c:v>
                </c:pt>
                <c:pt idx="32">
                  <c:v>0</c:v>
                </c:pt>
                <c:pt idx="33">
                  <c:v>0</c:v>
                </c:pt>
                <c:pt idx="34">
                  <c:v>0</c:v>
                </c:pt>
                <c:pt idx="35">
                  <c:v>1</c:v>
                </c:pt>
                <c:pt idx="36">
                  <c:v>0</c:v>
                </c:pt>
                <c:pt idx="37">
                  <c:v>5</c:v>
                </c:pt>
                <c:pt idx="38">
                  <c:v>0</c:v>
                </c:pt>
                <c:pt idx="39">
                  <c:v>0</c:v>
                </c:pt>
                <c:pt idx="40">
                  <c:v>4</c:v>
                </c:pt>
                <c:pt idx="41">
                  <c:v>0</c:v>
                </c:pt>
                <c:pt idx="42">
                  <c:v>0</c:v>
                </c:pt>
                <c:pt idx="43">
                  <c:v>0</c:v>
                </c:pt>
                <c:pt idx="44">
                  <c:v>9</c:v>
                </c:pt>
                <c:pt idx="45">
                  <c:v>1</c:v>
                </c:pt>
                <c:pt idx="46">
                  <c:v>4</c:v>
                </c:pt>
                <c:pt idx="47">
                  <c:v>4</c:v>
                </c:pt>
                <c:pt idx="48">
                  <c:v>0</c:v>
                </c:pt>
                <c:pt idx="49">
                  <c:v>0</c:v>
                </c:pt>
                <c:pt idx="50">
                  <c:v>0</c:v>
                </c:pt>
                <c:pt idx="51">
                  <c:v>23</c:v>
                </c:pt>
                <c:pt idx="52">
                  <c:v>2</c:v>
                </c:pt>
                <c:pt idx="53">
                  <c:v>0</c:v>
                </c:pt>
                <c:pt idx="54">
                  <c:v>0</c:v>
                </c:pt>
                <c:pt idx="55">
                  <c:v>5</c:v>
                </c:pt>
                <c:pt idx="56">
                  <c:v>0</c:v>
                </c:pt>
                <c:pt idx="57">
                  <c:v>24</c:v>
                </c:pt>
                <c:pt idx="58">
                  <c:v>5</c:v>
                </c:pt>
                <c:pt idx="59">
                  <c:v>4</c:v>
                </c:pt>
                <c:pt idx="60">
                  <c:v>3</c:v>
                </c:pt>
                <c:pt idx="61">
                  <c:v>1</c:v>
                </c:pt>
                <c:pt idx="62">
                  <c:v>0</c:v>
                </c:pt>
                <c:pt idx="63">
                  <c:v>0</c:v>
                </c:pt>
                <c:pt idx="64">
                  <c:v>0</c:v>
                </c:pt>
                <c:pt idx="65">
                  <c:v>1</c:v>
                </c:pt>
                <c:pt idx="66">
                  <c:v>0</c:v>
                </c:pt>
                <c:pt idx="67">
                  <c:v>5</c:v>
                </c:pt>
                <c:pt idx="68">
                  <c:v>11</c:v>
                </c:pt>
                <c:pt idx="69">
                  <c:v>6</c:v>
                </c:pt>
                <c:pt idx="70">
                  <c:v>8</c:v>
                </c:pt>
                <c:pt idx="71">
                  <c:v>12</c:v>
                </c:pt>
                <c:pt idx="72">
                  <c:v>6</c:v>
                </c:pt>
                <c:pt idx="73">
                  <c:v>0</c:v>
                </c:pt>
                <c:pt idx="74">
                  <c:v>0</c:v>
                </c:pt>
                <c:pt idx="75">
                  <c:v>0</c:v>
                </c:pt>
                <c:pt idx="76">
                  <c:v>0</c:v>
                </c:pt>
                <c:pt idx="77">
                  <c:v>0</c:v>
                </c:pt>
                <c:pt idx="78">
                  <c:v>0</c:v>
                </c:pt>
                <c:pt idx="79">
                  <c:v>6</c:v>
                </c:pt>
                <c:pt idx="80">
                  <c:v>0</c:v>
                </c:pt>
                <c:pt idx="81">
                  <c:v>0</c:v>
                </c:pt>
                <c:pt idx="82">
                  <c:v>1</c:v>
                </c:pt>
                <c:pt idx="83">
                  <c:v>0</c:v>
                </c:pt>
                <c:pt idx="84">
                  <c:v>2</c:v>
                </c:pt>
                <c:pt idx="85">
                  <c:v>0</c:v>
                </c:pt>
                <c:pt idx="86">
                  <c:v>0</c:v>
                </c:pt>
                <c:pt idx="87">
                  <c:v>0</c:v>
                </c:pt>
                <c:pt idx="88">
                  <c:v>3</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9-87C6-44EA-973E-4EE677DB667E}"/>
            </c:ext>
          </c:extLst>
        </c:ser>
        <c:ser>
          <c:idx val="58"/>
          <c:order val="58"/>
          <c:tx>
            <c:strRef>
              <c:f>Tabelle3!$BI$1</c:f>
              <c:strCache>
                <c:ptCount val="1"/>
                <c:pt idx="0">
                  <c:v>2021-11-01</c:v>
                </c:pt>
              </c:strCache>
            </c:strRef>
          </c:tx>
          <c:spPr>
            <a:ln w="28575" cap="rnd">
              <a:solidFill>
                <a:schemeClr val="accent5"/>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Tabelle3!$BI$2:$BI$100</c:f>
              <c:numCache>
                <c:formatCode>General</c:formatCode>
                <c:ptCount val="99"/>
                <c:pt idx="0">
                  <c:v>0</c:v>
                </c:pt>
                <c:pt idx="1">
                  <c:v>8</c:v>
                </c:pt>
                <c:pt idx="2">
                  <c:v>2</c:v>
                </c:pt>
                <c:pt idx="3">
                  <c:v>0</c:v>
                </c:pt>
                <c:pt idx="4">
                  <c:v>0</c:v>
                </c:pt>
                <c:pt idx="5">
                  <c:v>0</c:v>
                </c:pt>
                <c:pt idx="6">
                  <c:v>0</c:v>
                </c:pt>
                <c:pt idx="7">
                  <c:v>0</c:v>
                </c:pt>
                <c:pt idx="8">
                  <c:v>1</c:v>
                </c:pt>
                <c:pt idx="9">
                  <c:v>0</c:v>
                </c:pt>
                <c:pt idx="10">
                  <c:v>3</c:v>
                </c:pt>
                <c:pt idx="11">
                  <c:v>0</c:v>
                </c:pt>
                <c:pt idx="12">
                  <c:v>0</c:v>
                </c:pt>
                <c:pt idx="13">
                  <c:v>0</c:v>
                </c:pt>
                <c:pt idx="14">
                  <c:v>0</c:v>
                </c:pt>
                <c:pt idx="15">
                  <c:v>2</c:v>
                </c:pt>
                <c:pt idx="16">
                  <c:v>8</c:v>
                </c:pt>
                <c:pt idx="17">
                  <c:v>1</c:v>
                </c:pt>
                <c:pt idx="18">
                  <c:v>0</c:v>
                </c:pt>
                <c:pt idx="19">
                  <c:v>1</c:v>
                </c:pt>
                <c:pt idx="20">
                  <c:v>0</c:v>
                </c:pt>
                <c:pt idx="21">
                  <c:v>0</c:v>
                </c:pt>
                <c:pt idx="22">
                  <c:v>8</c:v>
                </c:pt>
                <c:pt idx="23">
                  <c:v>1</c:v>
                </c:pt>
                <c:pt idx="24">
                  <c:v>0</c:v>
                </c:pt>
                <c:pt idx="25">
                  <c:v>0</c:v>
                </c:pt>
                <c:pt idx="26">
                  <c:v>0</c:v>
                </c:pt>
                <c:pt idx="27">
                  <c:v>1</c:v>
                </c:pt>
                <c:pt idx="28">
                  <c:v>2</c:v>
                </c:pt>
                <c:pt idx="29">
                  <c:v>7</c:v>
                </c:pt>
                <c:pt idx="30">
                  <c:v>2</c:v>
                </c:pt>
                <c:pt idx="31">
                  <c:v>0</c:v>
                </c:pt>
                <c:pt idx="32">
                  <c:v>0</c:v>
                </c:pt>
                <c:pt idx="33">
                  <c:v>0</c:v>
                </c:pt>
                <c:pt idx="34">
                  <c:v>0</c:v>
                </c:pt>
                <c:pt idx="35">
                  <c:v>1</c:v>
                </c:pt>
                <c:pt idx="36">
                  <c:v>1</c:v>
                </c:pt>
                <c:pt idx="37">
                  <c:v>3</c:v>
                </c:pt>
                <c:pt idx="38">
                  <c:v>0</c:v>
                </c:pt>
                <c:pt idx="39">
                  <c:v>0</c:v>
                </c:pt>
                <c:pt idx="40">
                  <c:v>1</c:v>
                </c:pt>
                <c:pt idx="41">
                  <c:v>0</c:v>
                </c:pt>
                <c:pt idx="42">
                  <c:v>0</c:v>
                </c:pt>
                <c:pt idx="43">
                  <c:v>0</c:v>
                </c:pt>
                <c:pt idx="44">
                  <c:v>5</c:v>
                </c:pt>
                <c:pt idx="45">
                  <c:v>3</c:v>
                </c:pt>
                <c:pt idx="46">
                  <c:v>4</c:v>
                </c:pt>
                <c:pt idx="47">
                  <c:v>4</c:v>
                </c:pt>
                <c:pt idx="48">
                  <c:v>0</c:v>
                </c:pt>
                <c:pt idx="49">
                  <c:v>0</c:v>
                </c:pt>
                <c:pt idx="50">
                  <c:v>0</c:v>
                </c:pt>
                <c:pt idx="51">
                  <c:v>25</c:v>
                </c:pt>
                <c:pt idx="52">
                  <c:v>1</c:v>
                </c:pt>
                <c:pt idx="53">
                  <c:v>0</c:v>
                </c:pt>
                <c:pt idx="54">
                  <c:v>0</c:v>
                </c:pt>
                <c:pt idx="55">
                  <c:v>5</c:v>
                </c:pt>
                <c:pt idx="56">
                  <c:v>0</c:v>
                </c:pt>
                <c:pt idx="57">
                  <c:v>26</c:v>
                </c:pt>
                <c:pt idx="58">
                  <c:v>7</c:v>
                </c:pt>
                <c:pt idx="59">
                  <c:v>4</c:v>
                </c:pt>
                <c:pt idx="60">
                  <c:v>6</c:v>
                </c:pt>
                <c:pt idx="61">
                  <c:v>2</c:v>
                </c:pt>
                <c:pt idx="62">
                  <c:v>0</c:v>
                </c:pt>
                <c:pt idx="63">
                  <c:v>2</c:v>
                </c:pt>
                <c:pt idx="64">
                  <c:v>0</c:v>
                </c:pt>
                <c:pt idx="65">
                  <c:v>1</c:v>
                </c:pt>
                <c:pt idx="66">
                  <c:v>0</c:v>
                </c:pt>
                <c:pt idx="67">
                  <c:v>4</c:v>
                </c:pt>
                <c:pt idx="68">
                  <c:v>14</c:v>
                </c:pt>
                <c:pt idx="69">
                  <c:v>9</c:v>
                </c:pt>
                <c:pt idx="70">
                  <c:v>7</c:v>
                </c:pt>
                <c:pt idx="71">
                  <c:v>14</c:v>
                </c:pt>
                <c:pt idx="72">
                  <c:v>5</c:v>
                </c:pt>
                <c:pt idx="73">
                  <c:v>0</c:v>
                </c:pt>
                <c:pt idx="74">
                  <c:v>0</c:v>
                </c:pt>
                <c:pt idx="75">
                  <c:v>0</c:v>
                </c:pt>
                <c:pt idx="76">
                  <c:v>0</c:v>
                </c:pt>
                <c:pt idx="77">
                  <c:v>0</c:v>
                </c:pt>
                <c:pt idx="78">
                  <c:v>0</c:v>
                </c:pt>
                <c:pt idx="79">
                  <c:v>6</c:v>
                </c:pt>
                <c:pt idx="80">
                  <c:v>0</c:v>
                </c:pt>
                <c:pt idx="81">
                  <c:v>0</c:v>
                </c:pt>
                <c:pt idx="82">
                  <c:v>0</c:v>
                </c:pt>
                <c:pt idx="83">
                  <c:v>0</c:v>
                </c:pt>
                <c:pt idx="84">
                  <c:v>2</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A-87C6-44EA-973E-4EE677DB667E}"/>
            </c:ext>
          </c:extLst>
        </c:ser>
        <c:ser>
          <c:idx val="59"/>
          <c:order val="59"/>
          <c:tx>
            <c:strRef>
              <c:f>Tabelle3!$BJ$1</c:f>
              <c:strCache>
                <c:ptCount val="1"/>
                <c:pt idx="0">
                  <c:v>2021-12-01</c:v>
                </c:pt>
              </c:strCache>
            </c:strRef>
          </c:tx>
          <c:spPr>
            <a:ln w="28575" cap="rnd">
              <a:solidFill>
                <a:schemeClr val="accent6"/>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Tabelle3!$BJ$2:$BJ$100</c:f>
              <c:numCache>
                <c:formatCode>General</c:formatCode>
                <c:ptCount val="99"/>
                <c:pt idx="0">
                  <c:v>0</c:v>
                </c:pt>
                <c:pt idx="1">
                  <c:v>8</c:v>
                </c:pt>
                <c:pt idx="2">
                  <c:v>2</c:v>
                </c:pt>
                <c:pt idx="3">
                  <c:v>0</c:v>
                </c:pt>
                <c:pt idx="4">
                  <c:v>0</c:v>
                </c:pt>
                <c:pt idx="5">
                  <c:v>0</c:v>
                </c:pt>
                <c:pt idx="6">
                  <c:v>0</c:v>
                </c:pt>
                <c:pt idx="7">
                  <c:v>0</c:v>
                </c:pt>
                <c:pt idx="8">
                  <c:v>1</c:v>
                </c:pt>
                <c:pt idx="9">
                  <c:v>0</c:v>
                </c:pt>
                <c:pt idx="10">
                  <c:v>3</c:v>
                </c:pt>
                <c:pt idx="11">
                  <c:v>0</c:v>
                </c:pt>
                <c:pt idx="12">
                  <c:v>0</c:v>
                </c:pt>
                <c:pt idx="13">
                  <c:v>0</c:v>
                </c:pt>
                <c:pt idx="14">
                  <c:v>0</c:v>
                </c:pt>
                <c:pt idx="15">
                  <c:v>2</c:v>
                </c:pt>
                <c:pt idx="16">
                  <c:v>7</c:v>
                </c:pt>
                <c:pt idx="17">
                  <c:v>1</c:v>
                </c:pt>
                <c:pt idx="18">
                  <c:v>0</c:v>
                </c:pt>
                <c:pt idx="19">
                  <c:v>1</c:v>
                </c:pt>
                <c:pt idx="20">
                  <c:v>0</c:v>
                </c:pt>
                <c:pt idx="21">
                  <c:v>1</c:v>
                </c:pt>
                <c:pt idx="22">
                  <c:v>9</c:v>
                </c:pt>
                <c:pt idx="23">
                  <c:v>1</c:v>
                </c:pt>
                <c:pt idx="24">
                  <c:v>0</c:v>
                </c:pt>
                <c:pt idx="25">
                  <c:v>0</c:v>
                </c:pt>
                <c:pt idx="26">
                  <c:v>0</c:v>
                </c:pt>
                <c:pt idx="27">
                  <c:v>3</c:v>
                </c:pt>
                <c:pt idx="28">
                  <c:v>2</c:v>
                </c:pt>
                <c:pt idx="29">
                  <c:v>9</c:v>
                </c:pt>
                <c:pt idx="30">
                  <c:v>2</c:v>
                </c:pt>
                <c:pt idx="31">
                  <c:v>0</c:v>
                </c:pt>
                <c:pt idx="32">
                  <c:v>0</c:v>
                </c:pt>
                <c:pt idx="33">
                  <c:v>0</c:v>
                </c:pt>
                <c:pt idx="34">
                  <c:v>0</c:v>
                </c:pt>
                <c:pt idx="35">
                  <c:v>0</c:v>
                </c:pt>
                <c:pt idx="36">
                  <c:v>0</c:v>
                </c:pt>
                <c:pt idx="37">
                  <c:v>1</c:v>
                </c:pt>
                <c:pt idx="38">
                  <c:v>0</c:v>
                </c:pt>
                <c:pt idx="39">
                  <c:v>0</c:v>
                </c:pt>
                <c:pt idx="40">
                  <c:v>1</c:v>
                </c:pt>
                <c:pt idx="41">
                  <c:v>0</c:v>
                </c:pt>
                <c:pt idx="42">
                  <c:v>0</c:v>
                </c:pt>
                <c:pt idx="43">
                  <c:v>0</c:v>
                </c:pt>
                <c:pt idx="44">
                  <c:v>6</c:v>
                </c:pt>
                <c:pt idx="45">
                  <c:v>4</c:v>
                </c:pt>
                <c:pt idx="46">
                  <c:v>4</c:v>
                </c:pt>
                <c:pt idx="47">
                  <c:v>4</c:v>
                </c:pt>
                <c:pt idx="48">
                  <c:v>0</c:v>
                </c:pt>
                <c:pt idx="49">
                  <c:v>0</c:v>
                </c:pt>
                <c:pt idx="50">
                  <c:v>0</c:v>
                </c:pt>
                <c:pt idx="51">
                  <c:v>23</c:v>
                </c:pt>
                <c:pt idx="52">
                  <c:v>1</c:v>
                </c:pt>
                <c:pt idx="53">
                  <c:v>0</c:v>
                </c:pt>
                <c:pt idx="54">
                  <c:v>1</c:v>
                </c:pt>
                <c:pt idx="55">
                  <c:v>9</c:v>
                </c:pt>
                <c:pt idx="56">
                  <c:v>0</c:v>
                </c:pt>
                <c:pt idx="57">
                  <c:v>25</c:v>
                </c:pt>
                <c:pt idx="58">
                  <c:v>6</c:v>
                </c:pt>
                <c:pt idx="59">
                  <c:v>4</c:v>
                </c:pt>
                <c:pt idx="60">
                  <c:v>6</c:v>
                </c:pt>
                <c:pt idx="61">
                  <c:v>1</c:v>
                </c:pt>
                <c:pt idx="62">
                  <c:v>0</c:v>
                </c:pt>
                <c:pt idx="63">
                  <c:v>0</c:v>
                </c:pt>
                <c:pt idx="64">
                  <c:v>0</c:v>
                </c:pt>
                <c:pt idx="65">
                  <c:v>1</c:v>
                </c:pt>
                <c:pt idx="66">
                  <c:v>0</c:v>
                </c:pt>
                <c:pt idx="67">
                  <c:v>8</c:v>
                </c:pt>
                <c:pt idx="68">
                  <c:v>9</c:v>
                </c:pt>
                <c:pt idx="69">
                  <c:v>9</c:v>
                </c:pt>
                <c:pt idx="70">
                  <c:v>7</c:v>
                </c:pt>
                <c:pt idx="71">
                  <c:v>10</c:v>
                </c:pt>
                <c:pt idx="72">
                  <c:v>6</c:v>
                </c:pt>
                <c:pt idx="73">
                  <c:v>0</c:v>
                </c:pt>
                <c:pt idx="74">
                  <c:v>0</c:v>
                </c:pt>
                <c:pt idx="75">
                  <c:v>0</c:v>
                </c:pt>
                <c:pt idx="76">
                  <c:v>0</c:v>
                </c:pt>
                <c:pt idx="77">
                  <c:v>0</c:v>
                </c:pt>
                <c:pt idx="78">
                  <c:v>0</c:v>
                </c:pt>
                <c:pt idx="79">
                  <c:v>6</c:v>
                </c:pt>
                <c:pt idx="80">
                  <c:v>0</c:v>
                </c:pt>
                <c:pt idx="81">
                  <c:v>0</c:v>
                </c:pt>
                <c:pt idx="82">
                  <c:v>0</c:v>
                </c:pt>
                <c:pt idx="83">
                  <c:v>0</c:v>
                </c:pt>
                <c:pt idx="84">
                  <c:v>2</c:v>
                </c:pt>
                <c:pt idx="85">
                  <c:v>0</c:v>
                </c:pt>
                <c:pt idx="86">
                  <c:v>0</c:v>
                </c:pt>
                <c:pt idx="87">
                  <c:v>0</c:v>
                </c:pt>
                <c:pt idx="88">
                  <c:v>4</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B-87C6-44EA-973E-4EE677DB667E}"/>
            </c:ext>
          </c:extLst>
        </c:ser>
        <c:ser>
          <c:idx val="60"/>
          <c:order val="60"/>
          <c:tx>
            <c:strRef>
              <c:f>Tabelle3!$BK$1</c:f>
              <c:strCache>
                <c:ptCount val="1"/>
                <c:pt idx="0">
                  <c:v>2022-01-01</c:v>
                </c:pt>
              </c:strCache>
            </c:strRef>
          </c:tx>
          <c:spPr>
            <a:ln w="28575" cap="rnd">
              <a:solidFill>
                <a:schemeClr val="accent1">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Tabelle3!$BK$2:$BK$100</c:f>
              <c:numCache>
                <c:formatCode>General</c:formatCode>
                <c:ptCount val="99"/>
                <c:pt idx="0">
                  <c:v>0</c:v>
                </c:pt>
                <c:pt idx="1">
                  <c:v>8</c:v>
                </c:pt>
                <c:pt idx="2">
                  <c:v>2</c:v>
                </c:pt>
                <c:pt idx="3">
                  <c:v>0</c:v>
                </c:pt>
                <c:pt idx="4">
                  <c:v>0</c:v>
                </c:pt>
                <c:pt idx="5">
                  <c:v>0</c:v>
                </c:pt>
                <c:pt idx="6">
                  <c:v>0</c:v>
                </c:pt>
                <c:pt idx="7">
                  <c:v>0</c:v>
                </c:pt>
                <c:pt idx="8">
                  <c:v>1</c:v>
                </c:pt>
                <c:pt idx="9">
                  <c:v>1</c:v>
                </c:pt>
                <c:pt idx="10">
                  <c:v>3</c:v>
                </c:pt>
                <c:pt idx="11">
                  <c:v>0</c:v>
                </c:pt>
                <c:pt idx="12">
                  <c:v>0</c:v>
                </c:pt>
                <c:pt idx="13">
                  <c:v>0</c:v>
                </c:pt>
                <c:pt idx="14">
                  <c:v>0</c:v>
                </c:pt>
                <c:pt idx="15">
                  <c:v>2</c:v>
                </c:pt>
                <c:pt idx="16">
                  <c:v>7</c:v>
                </c:pt>
                <c:pt idx="17">
                  <c:v>1</c:v>
                </c:pt>
                <c:pt idx="18">
                  <c:v>0</c:v>
                </c:pt>
                <c:pt idx="19">
                  <c:v>2</c:v>
                </c:pt>
                <c:pt idx="20">
                  <c:v>0</c:v>
                </c:pt>
                <c:pt idx="21">
                  <c:v>0</c:v>
                </c:pt>
                <c:pt idx="22">
                  <c:v>9</c:v>
                </c:pt>
                <c:pt idx="23">
                  <c:v>1</c:v>
                </c:pt>
                <c:pt idx="24">
                  <c:v>0</c:v>
                </c:pt>
                <c:pt idx="25">
                  <c:v>0</c:v>
                </c:pt>
                <c:pt idx="26">
                  <c:v>0</c:v>
                </c:pt>
                <c:pt idx="27">
                  <c:v>6</c:v>
                </c:pt>
                <c:pt idx="28">
                  <c:v>0</c:v>
                </c:pt>
                <c:pt idx="29">
                  <c:v>12</c:v>
                </c:pt>
                <c:pt idx="30">
                  <c:v>2</c:v>
                </c:pt>
                <c:pt idx="31">
                  <c:v>1</c:v>
                </c:pt>
                <c:pt idx="32">
                  <c:v>0</c:v>
                </c:pt>
                <c:pt idx="33">
                  <c:v>0</c:v>
                </c:pt>
                <c:pt idx="34">
                  <c:v>0</c:v>
                </c:pt>
                <c:pt idx="35">
                  <c:v>0</c:v>
                </c:pt>
                <c:pt idx="36">
                  <c:v>0</c:v>
                </c:pt>
                <c:pt idx="37">
                  <c:v>1</c:v>
                </c:pt>
                <c:pt idx="38">
                  <c:v>0</c:v>
                </c:pt>
                <c:pt idx="39">
                  <c:v>0</c:v>
                </c:pt>
                <c:pt idx="40">
                  <c:v>1</c:v>
                </c:pt>
                <c:pt idx="41">
                  <c:v>0</c:v>
                </c:pt>
                <c:pt idx="42">
                  <c:v>0</c:v>
                </c:pt>
                <c:pt idx="43">
                  <c:v>0</c:v>
                </c:pt>
                <c:pt idx="44">
                  <c:v>6</c:v>
                </c:pt>
                <c:pt idx="45">
                  <c:v>4</c:v>
                </c:pt>
                <c:pt idx="46">
                  <c:v>4</c:v>
                </c:pt>
                <c:pt idx="47">
                  <c:v>4</c:v>
                </c:pt>
                <c:pt idx="48">
                  <c:v>0</c:v>
                </c:pt>
                <c:pt idx="49">
                  <c:v>0</c:v>
                </c:pt>
                <c:pt idx="50">
                  <c:v>0</c:v>
                </c:pt>
                <c:pt idx="51">
                  <c:v>24</c:v>
                </c:pt>
                <c:pt idx="52">
                  <c:v>1</c:v>
                </c:pt>
                <c:pt idx="53">
                  <c:v>1</c:v>
                </c:pt>
                <c:pt idx="54">
                  <c:v>0</c:v>
                </c:pt>
                <c:pt idx="55">
                  <c:v>10</c:v>
                </c:pt>
                <c:pt idx="56">
                  <c:v>0</c:v>
                </c:pt>
                <c:pt idx="57">
                  <c:v>27</c:v>
                </c:pt>
                <c:pt idx="58">
                  <c:v>6</c:v>
                </c:pt>
                <c:pt idx="59">
                  <c:v>3</c:v>
                </c:pt>
                <c:pt idx="60">
                  <c:v>5</c:v>
                </c:pt>
                <c:pt idx="61">
                  <c:v>1</c:v>
                </c:pt>
                <c:pt idx="62">
                  <c:v>0</c:v>
                </c:pt>
                <c:pt idx="63">
                  <c:v>0</c:v>
                </c:pt>
                <c:pt idx="64">
                  <c:v>0</c:v>
                </c:pt>
                <c:pt idx="65">
                  <c:v>1</c:v>
                </c:pt>
                <c:pt idx="66">
                  <c:v>0</c:v>
                </c:pt>
                <c:pt idx="67">
                  <c:v>11</c:v>
                </c:pt>
                <c:pt idx="68">
                  <c:v>7</c:v>
                </c:pt>
                <c:pt idx="69">
                  <c:v>10</c:v>
                </c:pt>
                <c:pt idx="70">
                  <c:v>7</c:v>
                </c:pt>
                <c:pt idx="71">
                  <c:v>8</c:v>
                </c:pt>
                <c:pt idx="72">
                  <c:v>6</c:v>
                </c:pt>
                <c:pt idx="73">
                  <c:v>0</c:v>
                </c:pt>
                <c:pt idx="74">
                  <c:v>0</c:v>
                </c:pt>
                <c:pt idx="75">
                  <c:v>0</c:v>
                </c:pt>
                <c:pt idx="76">
                  <c:v>0</c:v>
                </c:pt>
                <c:pt idx="77">
                  <c:v>0</c:v>
                </c:pt>
                <c:pt idx="78">
                  <c:v>0</c:v>
                </c:pt>
                <c:pt idx="79">
                  <c:v>5</c:v>
                </c:pt>
                <c:pt idx="80">
                  <c:v>0</c:v>
                </c:pt>
                <c:pt idx="81">
                  <c:v>0</c:v>
                </c:pt>
                <c:pt idx="82">
                  <c:v>0</c:v>
                </c:pt>
                <c:pt idx="83">
                  <c:v>0</c:v>
                </c:pt>
                <c:pt idx="84">
                  <c:v>2</c:v>
                </c:pt>
                <c:pt idx="85">
                  <c:v>0</c:v>
                </c:pt>
                <c:pt idx="86">
                  <c:v>0</c:v>
                </c:pt>
                <c:pt idx="87">
                  <c:v>0</c:v>
                </c:pt>
                <c:pt idx="88">
                  <c:v>4</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C-87C6-44EA-973E-4EE677DB667E}"/>
            </c:ext>
          </c:extLst>
        </c:ser>
        <c:ser>
          <c:idx val="61"/>
          <c:order val="61"/>
          <c:tx>
            <c:strRef>
              <c:f>Tabelle3!$BL$1</c:f>
              <c:strCache>
                <c:ptCount val="1"/>
                <c:pt idx="0">
                  <c:v>2022-02-01</c:v>
                </c:pt>
              </c:strCache>
            </c:strRef>
          </c:tx>
          <c:spPr>
            <a:ln w="28575" cap="rnd">
              <a:solidFill>
                <a:schemeClr val="accent2">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Tabelle3!$BL$2:$BL$100</c:f>
              <c:numCache>
                <c:formatCode>General</c:formatCode>
                <c:ptCount val="99"/>
                <c:pt idx="0">
                  <c:v>0</c:v>
                </c:pt>
                <c:pt idx="1">
                  <c:v>8</c:v>
                </c:pt>
                <c:pt idx="2">
                  <c:v>2</c:v>
                </c:pt>
                <c:pt idx="3">
                  <c:v>0</c:v>
                </c:pt>
                <c:pt idx="4">
                  <c:v>0</c:v>
                </c:pt>
                <c:pt idx="5">
                  <c:v>0</c:v>
                </c:pt>
                <c:pt idx="6">
                  <c:v>0</c:v>
                </c:pt>
                <c:pt idx="7">
                  <c:v>0</c:v>
                </c:pt>
                <c:pt idx="8">
                  <c:v>1</c:v>
                </c:pt>
                <c:pt idx="9">
                  <c:v>2</c:v>
                </c:pt>
                <c:pt idx="10">
                  <c:v>3</c:v>
                </c:pt>
                <c:pt idx="11">
                  <c:v>0</c:v>
                </c:pt>
                <c:pt idx="12">
                  <c:v>0</c:v>
                </c:pt>
                <c:pt idx="13">
                  <c:v>0</c:v>
                </c:pt>
                <c:pt idx="14">
                  <c:v>0</c:v>
                </c:pt>
                <c:pt idx="15">
                  <c:v>2</c:v>
                </c:pt>
                <c:pt idx="16">
                  <c:v>7</c:v>
                </c:pt>
                <c:pt idx="17">
                  <c:v>1</c:v>
                </c:pt>
                <c:pt idx="18">
                  <c:v>0</c:v>
                </c:pt>
                <c:pt idx="19">
                  <c:v>3</c:v>
                </c:pt>
                <c:pt idx="20">
                  <c:v>0</c:v>
                </c:pt>
                <c:pt idx="21">
                  <c:v>0</c:v>
                </c:pt>
                <c:pt idx="22">
                  <c:v>11</c:v>
                </c:pt>
                <c:pt idx="23">
                  <c:v>1</c:v>
                </c:pt>
                <c:pt idx="24">
                  <c:v>0</c:v>
                </c:pt>
                <c:pt idx="25">
                  <c:v>0</c:v>
                </c:pt>
                <c:pt idx="26">
                  <c:v>0</c:v>
                </c:pt>
                <c:pt idx="27">
                  <c:v>7</c:v>
                </c:pt>
                <c:pt idx="28">
                  <c:v>0</c:v>
                </c:pt>
                <c:pt idx="29">
                  <c:v>12</c:v>
                </c:pt>
                <c:pt idx="30">
                  <c:v>2</c:v>
                </c:pt>
                <c:pt idx="31">
                  <c:v>0</c:v>
                </c:pt>
                <c:pt idx="32">
                  <c:v>0</c:v>
                </c:pt>
                <c:pt idx="33">
                  <c:v>0</c:v>
                </c:pt>
                <c:pt idx="34">
                  <c:v>0</c:v>
                </c:pt>
                <c:pt idx="35">
                  <c:v>0</c:v>
                </c:pt>
                <c:pt idx="36">
                  <c:v>0</c:v>
                </c:pt>
                <c:pt idx="37">
                  <c:v>1</c:v>
                </c:pt>
                <c:pt idx="38">
                  <c:v>0</c:v>
                </c:pt>
                <c:pt idx="39">
                  <c:v>0</c:v>
                </c:pt>
                <c:pt idx="40">
                  <c:v>1</c:v>
                </c:pt>
                <c:pt idx="41">
                  <c:v>0</c:v>
                </c:pt>
                <c:pt idx="42">
                  <c:v>0</c:v>
                </c:pt>
                <c:pt idx="43">
                  <c:v>0</c:v>
                </c:pt>
                <c:pt idx="44">
                  <c:v>4</c:v>
                </c:pt>
                <c:pt idx="45">
                  <c:v>3</c:v>
                </c:pt>
                <c:pt idx="46">
                  <c:v>4</c:v>
                </c:pt>
                <c:pt idx="47">
                  <c:v>5</c:v>
                </c:pt>
                <c:pt idx="48">
                  <c:v>0</c:v>
                </c:pt>
                <c:pt idx="49">
                  <c:v>1</c:v>
                </c:pt>
                <c:pt idx="50">
                  <c:v>0</c:v>
                </c:pt>
                <c:pt idx="51">
                  <c:v>24</c:v>
                </c:pt>
                <c:pt idx="52">
                  <c:v>2</c:v>
                </c:pt>
                <c:pt idx="53">
                  <c:v>1</c:v>
                </c:pt>
                <c:pt idx="54">
                  <c:v>0</c:v>
                </c:pt>
                <c:pt idx="55">
                  <c:v>10</c:v>
                </c:pt>
                <c:pt idx="56">
                  <c:v>0</c:v>
                </c:pt>
                <c:pt idx="57">
                  <c:v>27</c:v>
                </c:pt>
                <c:pt idx="58">
                  <c:v>10</c:v>
                </c:pt>
                <c:pt idx="59">
                  <c:v>3</c:v>
                </c:pt>
                <c:pt idx="60">
                  <c:v>5</c:v>
                </c:pt>
                <c:pt idx="61">
                  <c:v>1</c:v>
                </c:pt>
                <c:pt idx="62">
                  <c:v>0</c:v>
                </c:pt>
                <c:pt idx="63">
                  <c:v>1</c:v>
                </c:pt>
                <c:pt idx="64">
                  <c:v>0</c:v>
                </c:pt>
                <c:pt idx="65">
                  <c:v>1</c:v>
                </c:pt>
                <c:pt idx="66">
                  <c:v>0</c:v>
                </c:pt>
                <c:pt idx="67">
                  <c:v>10</c:v>
                </c:pt>
                <c:pt idx="68">
                  <c:v>4</c:v>
                </c:pt>
                <c:pt idx="69">
                  <c:v>10</c:v>
                </c:pt>
                <c:pt idx="70">
                  <c:v>7</c:v>
                </c:pt>
                <c:pt idx="71">
                  <c:v>8</c:v>
                </c:pt>
                <c:pt idx="72">
                  <c:v>5</c:v>
                </c:pt>
                <c:pt idx="73">
                  <c:v>3</c:v>
                </c:pt>
                <c:pt idx="74">
                  <c:v>0</c:v>
                </c:pt>
                <c:pt idx="75">
                  <c:v>0</c:v>
                </c:pt>
                <c:pt idx="76">
                  <c:v>0</c:v>
                </c:pt>
                <c:pt idx="77">
                  <c:v>0</c:v>
                </c:pt>
                <c:pt idx="78">
                  <c:v>0</c:v>
                </c:pt>
                <c:pt idx="79">
                  <c:v>4</c:v>
                </c:pt>
                <c:pt idx="80">
                  <c:v>0</c:v>
                </c:pt>
                <c:pt idx="81">
                  <c:v>0</c:v>
                </c:pt>
                <c:pt idx="82">
                  <c:v>0</c:v>
                </c:pt>
                <c:pt idx="83">
                  <c:v>0</c:v>
                </c:pt>
                <c:pt idx="84">
                  <c:v>2</c:v>
                </c:pt>
                <c:pt idx="85">
                  <c:v>0</c:v>
                </c:pt>
                <c:pt idx="86">
                  <c:v>0</c:v>
                </c:pt>
                <c:pt idx="87">
                  <c:v>0</c:v>
                </c:pt>
                <c:pt idx="88">
                  <c:v>4</c:v>
                </c:pt>
                <c:pt idx="89">
                  <c:v>1</c:v>
                </c:pt>
                <c:pt idx="90">
                  <c:v>0</c:v>
                </c:pt>
                <c:pt idx="91">
                  <c:v>0</c:v>
                </c:pt>
                <c:pt idx="92">
                  <c:v>0</c:v>
                </c:pt>
                <c:pt idx="93">
                  <c:v>0</c:v>
                </c:pt>
                <c:pt idx="94">
                  <c:v>3</c:v>
                </c:pt>
                <c:pt idx="95">
                  <c:v>0</c:v>
                </c:pt>
                <c:pt idx="96">
                  <c:v>0</c:v>
                </c:pt>
                <c:pt idx="97">
                  <c:v>0</c:v>
                </c:pt>
                <c:pt idx="98">
                  <c:v>0</c:v>
                </c:pt>
              </c:numCache>
            </c:numRef>
          </c:val>
          <c:smooth val="0"/>
          <c:extLst>
            <c:ext xmlns:c16="http://schemas.microsoft.com/office/drawing/2014/chart" uri="{C3380CC4-5D6E-409C-BE32-E72D297353CC}">
              <c16:uniqueId val="{0000003D-87C6-44EA-973E-4EE677DB667E}"/>
            </c:ext>
          </c:extLst>
        </c:ser>
        <c:ser>
          <c:idx val="62"/>
          <c:order val="62"/>
          <c:tx>
            <c:strRef>
              <c:f>Tabelle3!$BM$1</c:f>
              <c:strCache>
                <c:ptCount val="1"/>
                <c:pt idx="0">
                  <c:v>2022-03-01</c:v>
                </c:pt>
              </c:strCache>
            </c:strRef>
          </c:tx>
          <c:spPr>
            <a:ln w="28575" cap="rnd">
              <a:solidFill>
                <a:schemeClr val="accent3">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Tabelle3!$BM$2:$BM$100</c:f>
              <c:numCache>
                <c:formatCode>General</c:formatCode>
                <c:ptCount val="99"/>
                <c:pt idx="0">
                  <c:v>0</c:v>
                </c:pt>
                <c:pt idx="1">
                  <c:v>8</c:v>
                </c:pt>
                <c:pt idx="2">
                  <c:v>2</c:v>
                </c:pt>
                <c:pt idx="3">
                  <c:v>1</c:v>
                </c:pt>
                <c:pt idx="4">
                  <c:v>0</c:v>
                </c:pt>
                <c:pt idx="5">
                  <c:v>0</c:v>
                </c:pt>
                <c:pt idx="6">
                  <c:v>0</c:v>
                </c:pt>
                <c:pt idx="7">
                  <c:v>0</c:v>
                </c:pt>
                <c:pt idx="8">
                  <c:v>1</c:v>
                </c:pt>
                <c:pt idx="9">
                  <c:v>4</c:v>
                </c:pt>
                <c:pt idx="10">
                  <c:v>3</c:v>
                </c:pt>
                <c:pt idx="11">
                  <c:v>0</c:v>
                </c:pt>
                <c:pt idx="12">
                  <c:v>0</c:v>
                </c:pt>
                <c:pt idx="13">
                  <c:v>0</c:v>
                </c:pt>
                <c:pt idx="14">
                  <c:v>0</c:v>
                </c:pt>
                <c:pt idx="15">
                  <c:v>2</c:v>
                </c:pt>
                <c:pt idx="16">
                  <c:v>3</c:v>
                </c:pt>
                <c:pt idx="17">
                  <c:v>1</c:v>
                </c:pt>
                <c:pt idx="18">
                  <c:v>0</c:v>
                </c:pt>
                <c:pt idx="19">
                  <c:v>2</c:v>
                </c:pt>
                <c:pt idx="20">
                  <c:v>0</c:v>
                </c:pt>
                <c:pt idx="21">
                  <c:v>0</c:v>
                </c:pt>
                <c:pt idx="22">
                  <c:v>11</c:v>
                </c:pt>
                <c:pt idx="23">
                  <c:v>1</c:v>
                </c:pt>
                <c:pt idx="24">
                  <c:v>0</c:v>
                </c:pt>
                <c:pt idx="25">
                  <c:v>0</c:v>
                </c:pt>
                <c:pt idx="26">
                  <c:v>0</c:v>
                </c:pt>
                <c:pt idx="27">
                  <c:v>7</c:v>
                </c:pt>
                <c:pt idx="28">
                  <c:v>0</c:v>
                </c:pt>
                <c:pt idx="29">
                  <c:v>11</c:v>
                </c:pt>
                <c:pt idx="30">
                  <c:v>1</c:v>
                </c:pt>
                <c:pt idx="31">
                  <c:v>0</c:v>
                </c:pt>
                <c:pt idx="32">
                  <c:v>0</c:v>
                </c:pt>
                <c:pt idx="33">
                  <c:v>0</c:v>
                </c:pt>
                <c:pt idx="34">
                  <c:v>0</c:v>
                </c:pt>
                <c:pt idx="35">
                  <c:v>1</c:v>
                </c:pt>
                <c:pt idx="36">
                  <c:v>0</c:v>
                </c:pt>
                <c:pt idx="37">
                  <c:v>2</c:v>
                </c:pt>
                <c:pt idx="38">
                  <c:v>0</c:v>
                </c:pt>
                <c:pt idx="39">
                  <c:v>0</c:v>
                </c:pt>
                <c:pt idx="40">
                  <c:v>2</c:v>
                </c:pt>
                <c:pt idx="41">
                  <c:v>0</c:v>
                </c:pt>
                <c:pt idx="42">
                  <c:v>0</c:v>
                </c:pt>
                <c:pt idx="43">
                  <c:v>0</c:v>
                </c:pt>
                <c:pt idx="44">
                  <c:v>2</c:v>
                </c:pt>
                <c:pt idx="45">
                  <c:v>3</c:v>
                </c:pt>
                <c:pt idx="46">
                  <c:v>4</c:v>
                </c:pt>
                <c:pt idx="47">
                  <c:v>5</c:v>
                </c:pt>
                <c:pt idx="48">
                  <c:v>0</c:v>
                </c:pt>
                <c:pt idx="49">
                  <c:v>1</c:v>
                </c:pt>
                <c:pt idx="50">
                  <c:v>0</c:v>
                </c:pt>
                <c:pt idx="51">
                  <c:v>18</c:v>
                </c:pt>
                <c:pt idx="52">
                  <c:v>1</c:v>
                </c:pt>
                <c:pt idx="53">
                  <c:v>0</c:v>
                </c:pt>
                <c:pt idx="54">
                  <c:v>0</c:v>
                </c:pt>
                <c:pt idx="55">
                  <c:v>10</c:v>
                </c:pt>
                <c:pt idx="56">
                  <c:v>0</c:v>
                </c:pt>
                <c:pt idx="57">
                  <c:v>25</c:v>
                </c:pt>
                <c:pt idx="58">
                  <c:v>14</c:v>
                </c:pt>
                <c:pt idx="59">
                  <c:v>3</c:v>
                </c:pt>
                <c:pt idx="60">
                  <c:v>6</c:v>
                </c:pt>
                <c:pt idx="61">
                  <c:v>1</c:v>
                </c:pt>
                <c:pt idx="62">
                  <c:v>0</c:v>
                </c:pt>
                <c:pt idx="63">
                  <c:v>0</c:v>
                </c:pt>
                <c:pt idx="64">
                  <c:v>0</c:v>
                </c:pt>
                <c:pt idx="65">
                  <c:v>1</c:v>
                </c:pt>
                <c:pt idx="66">
                  <c:v>0</c:v>
                </c:pt>
                <c:pt idx="67">
                  <c:v>9</c:v>
                </c:pt>
                <c:pt idx="68">
                  <c:v>4</c:v>
                </c:pt>
                <c:pt idx="69">
                  <c:v>9</c:v>
                </c:pt>
                <c:pt idx="70">
                  <c:v>6</c:v>
                </c:pt>
                <c:pt idx="71">
                  <c:v>7</c:v>
                </c:pt>
                <c:pt idx="72">
                  <c:v>2</c:v>
                </c:pt>
                <c:pt idx="73">
                  <c:v>4</c:v>
                </c:pt>
                <c:pt idx="74">
                  <c:v>0</c:v>
                </c:pt>
                <c:pt idx="75">
                  <c:v>0</c:v>
                </c:pt>
                <c:pt idx="76">
                  <c:v>0</c:v>
                </c:pt>
                <c:pt idx="77">
                  <c:v>0</c:v>
                </c:pt>
                <c:pt idx="78">
                  <c:v>0</c:v>
                </c:pt>
                <c:pt idx="79">
                  <c:v>4</c:v>
                </c:pt>
                <c:pt idx="80">
                  <c:v>0</c:v>
                </c:pt>
                <c:pt idx="81">
                  <c:v>0</c:v>
                </c:pt>
                <c:pt idx="82">
                  <c:v>0</c:v>
                </c:pt>
                <c:pt idx="83">
                  <c:v>0</c:v>
                </c:pt>
                <c:pt idx="84">
                  <c:v>3</c:v>
                </c:pt>
                <c:pt idx="85">
                  <c:v>0</c:v>
                </c:pt>
                <c:pt idx="86">
                  <c:v>0</c:v>
                </c:pt>
                <c:pt idx="87">
                  <c:v>0</c:v>
                </c:pt>
                <c:pt idx="88">
                  <c:v>5</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E-87C6-44EA-973E-4EE677DB667E}"/>
            </c:ext>
          </c:extLst>
        </c:ser>
        <c:ser>
          <c:idx val="63"/>
          <c:order val="63"/>
          <c:tx>
            <c:strRef>
              <c:f>Tabelle3!$BN$1</c:f>
              <c:strCache>
                <c:ptCount val="1"/>
                <c:pt idx="0">
                  <c:v>2022-04-01</c:v>
                </c:pt>
              </c:strCache>
            </c:strRef>
          </c:tx>
          <c:spPr>
            <a:ln w="28575" cap="rnd">
              <a:solidFill>
                <a:schemeClr val="accent4">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Tabelle3!$BN$2:$BN$100</c:f>
              <c:numCache>
                <c:formatCode>General</c:formatCode>
                <c:ptCount val="99"/>
                <c:pt idx="0">
                  <c:v>0</c:v>
                </c:pt>
                <c:pt idx="1">
                  <c:v>8</c:v>
                </c:pt>
                <c:pt idx="2">
                  <c:v>2</c:v>
                </c:pt>
                <c:pt idx="3">
                  <c:v>1</c:v>
                </c:pt>
                <c:pt idx="4">
                  <c:v>0</c:v>
                </c:pt>
                <c:pt idx="5">
                  <c:v>0</c:v>
                </c:pt>
                <c:pt idx="6">
                  <c:v>0</c:v>
                </c:pt>
                <c:pt idx="7">
                  <c:v>0</c:v>
                </c:pt>
                <c:pt idx="8">
                  <c:v>1</c:v>
                </c:pt>
                <c:pt idx="9">
                  <c:v>4</c:v>
                </c:pt>
                <c:pt idx="10">
                  <c:v>4</c:v>
                </c:pt>
                <c:pt idx="11">
                  <c:v>0</c:v>
                </c:pt>
                <c:pt idx="12">
                  <c:v>0</c:v>
                </c:pt>
                <c:pt idx="13">
                  <c:v>0</c:v>
                </c:pt>
                <c:pt idx="14">
                  <c:v>0</c:v>
                </c:pt>
                <c:pt idx="15">
                  <c:v>2</c:v>
                </c:pt>
                <c:pt idx="16">
                  <c:v>3</c:v>
                </c:pt>
                <c:pt idx="17">
                  <c:v>1</c:v>
                </c:pt>
                <c:pt idx="18">
                  <c:v>1</c:v>
                </c:pt>
                <c:pt idx="19">
                  <c:v>5</c:v>
                </c:pt>
                <c:pt idx="20">
                  <c:v>0</c:v>
                </c:pt>
                <c:pt idx="21">
                  <c:v>1</c:v>
                </c:pt>
                <c:pt idx="22">
                  <c:v>8</c:v>
                </c:pt>
                <c:pt idx="23">
                  <c:v>1</c:v>
                </c:pt>
                <c:pt idx="24">
                  <c:v>0</c:v>
                </c:pt>
                <c:pt idx="25">
                  <c:v>0</c:v>
                </c:pt>
                <c:pt idx="26">
                  <c:v>0</c:v>
                </c:pt>
                <c:pt idx="27">
                  <c:v>6</c:v>
                </c:pt>
                <c:pt idx="28">
                  <c:v>0</c:v>
                </c:pt>
                <c:pt idx="29">
                  <c:v>11</c:v>
                </c:pt>
                <c:pt idx="30">
                  <c:v>1</c:v>
                </c:pt>
                <c:pt idx="31">
                  <c:v>1</c:v>
                </c:pt>
                <c:pt idx="32">
                  <c:v>0</c:v>
                </c:pt>
                <c:pt idx="33">
                  <c:v>0</c:v>
                </c:pt>
                <c:pt idx="34">
                  <c:v>0</c:v>
                </c:pt>
                <c:pt idx="35">
                  <c:v>1</c:v>
                </c:pt>
                <c:pt idx="36">
                  <c:v>0</c:v>
                </c:pt>
                <c:pt idx="37">
                  <c:v>2</c:v>
                </c:pt>
                <c:pt idx="38">
                  <c:v>0</c:v>
                </c:pt>
                <c:pt idx="39">
                  <c:v>0</c:v>
                </c:pt>
                <c:pt idx="40">
                  <c:v>2</c:v>
                </c:pt>
                <c:pt idx="41">
                  <c:v>0</c:v>
                </c:pt>
                <c:pt idx="42">
                  <c:v>0</c:v>
                </c:pt>
                <c:pt idx="43">
                  <c:v>0</c:v>
                </c:pt>
                <c:pt idx="44">
                  <c:v>3</c:v>
                </c:pt>
                <c:pt idx="45">
                  <c:v>2</c:v>
                </c:pt>
                <c:pt idx="46">
                  <c:v>3</c:v>
                </c:pt>
                <c:pt idx="47">
                  <c:v>5</c:v>
                </c:pt>
                <c:pt idx="48">
                  <c:v>1</c:v>
                </c:pt>
                <c:pt idx="49">
                  <c:v>0</c:v>
                </c:pt>
                <c:pt idx="50">
                  <c:v>0</c:v>
                </c:pt>
                <c:pt idx="51">
                  <c:v>16</c:v>
                </c:pt>
                <c:pt idx="52">
                  <c:v>1</c:v>
                </c:pt>
                <c:pt idx="53">
                  <c:v>0</c:v>
                </c:pt>
                <c:pt idx="54">
                  <c:v>1</c:v>
                </c:pt>
                <c:pt idx="55">
                  <c:v>11</c:v>
                </c:pt>
                <c:pt idx="56">
                  <c:v>0</c:v>
                </c:pt>
                <c:pt idx="57">
                  <c:v>25</c:v>
                </c:pt>
                <c:pt idx="58">
                  <c:v>14</c:v>
                </c:pt>
                <c:pt idx="59">
                  <c:v>3</c:v>
                </c:pt>
                <c:pt idx="60">
                  <c:v>5</c:v>
                </c:pt>
                <c:pt idx="61">
                  <c:v>2</c:v>
                </c:pt>
                <c:pt idx="62">
                  <c:v>0</c:v>
                </c:pt>
                <c:pt idx="63">
                  <c:v>2</c:v>
                </c:pt>
                <c:pt idx="64">
                  <c:v>0</c:v>
                </c:pt>
                <c:pt idx="65">
                  <c:v>1</c:v>
                </c:pt>
                <c:pt idx="66">
                  <c:v>0</c:v>
                </c:pt>
                <c:pt idx="67">
                  <c:v>8</c:v>
                </c:pt>
                <c:pt idx="68">
                  <c:v>16</c:v>
                </c:pt>
                <c:pt idx="69">
                  <c:v>8</c:v>
                </c:pt>
                <c:pt idx="70">
                  <c:v>6</c:v>
                </c:pt>
                <c:pt idx="71">
                  <c:v>6</c:v>
                </c:pt>
                <c:pt idx="72">
                  <c:v>3</c:v>
                </c:pt>
                <c:pt idx="73">
                  <c:v>3</c:v>
                </c:pt>
                <c:pt idx="74">
                  <c:v>0</c:v>
                </c:pt>
                <c:pt idx="75">
                  <c:v>0</c:v>
                </c:pt>
                <c:pt idx="76">
                  <c:v>0</c:v>
                </c:pt>
                <c:pt idx="77">
                  <c:v>0</c:v>
                </c:pt>
                <c:pt idx="78">
                  <c:v>0</c:v>
                </c:pt>
                <c:pt idx="79">
                  <c:v>5</c:v>
                </c:pt>
                <c:pt idx="80">
                  <c:v>0</c:v>
                </c:pt>
                <c:pt idx="81">
                  <c:v>0</c:v>
                </c:pt>
                <c:pt idx="82">
                  <c:v>0</c:v>
                </c:pt>
                <c:pt idx="83">
                  <c:v>0</c:v>
                </c:pt>
                <c:pt idx="84">
                  <c:v>5</c:v>
                </c:pt>
                <c:pt idx="85">
                  <c:v>0</c:v>
                </c:pt>
                <c:pt idx="86">
                  <c:v>0</c:v>
                </c:pt>
                <c:pt idx="87">
                  <c:v>0</c:v>
                </c:pt>
                <c:pt idx="88">
                  <c:v>5</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3F-87C6-44EA-973E-4EE677DB667E}"/>
            </c:ext>
          </c:extLst>
        </c:ser>
        <c:ser>
          <c:idx val="64"/>
          <c:order val="64"/>
          <c:tx>
            <c:strRef>
              <c:f>Tabelle3!$BO$1</c:f>
              <c:strCache>
                <c:ptCount val="1"/>
                <c:pt idx="0">
                  <c:v>2022-05-01</c:v>
                </c:pt>
              </c:strCache>
            </c:strRef>
          </c:tx>
          <c:spPr>
            <a:ln w="28575" cap="rnd">
              <a:solidFill>
                <a:schemeClr val="accent5">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Tabelle3!$BO$2:$BO$100</c:f>
              <c:numCache>
                <c:formatCode>General</c:formatCode>
                <c:ptCount val="99"/>
                <c:pt idx="0">
                  <c:v>0</c:v>
                </c:pt>
                <c:pt idx="1">
                  <c:v>8</c:v>
                </c:pt>
                <c:pt idx="2">
                  <c:v>2</c:v>
                </c:pt>
                <c:pt idx="3">
                  <c:v>1</c:v>
                </c:pt>
                <c:pt idx="4">
                  <c:v>0</c:v>
                </c:pt>
                <c:pt idx="5">
                  <c:v>0</c:v>
                </c:pt>
                <c:pt idx="6">
                  <c:v>1</c:v>
                </c:pt>
                <c:pt idx="7">
                  <c:v>0</c:v>
                </c:pt>
                <c:pt idx="8">
                  <c:v>1</c:v>
                </c:pt>
                <c:pt idx="9">
                  <c:v>1</c:v>
                </c:pt>
                <c:pt idx="10">
                  <c:v>5</c:v>
                </c:pt>
                <c:pt idx="11">
                  <c:v>0</c:v>
                </c:pt>
                <c:pt idx="12">
                  <c:v>0</c:v>
                </c:pt>
                <c:pt idx="13">
                  <c:v>0</c:v>
                </c:pt>
                <c:pt idx="14">
                  <c:v>0</c:v>
                </c:pt>
                <c:pt idx="15">
                  <c:v>2</c:v>
                </c:pt>
                <c:pt idx="16">
                  <c:v>5</c:v>
                </c:pt>
                <c:pt idx="17">
                  <c:v>1</c:v>
                </c:pt>
                <c:pt idx="18">
                  <c:v>2</c:v>
                </c:pt>
                <c:pt idx="19">
                  <c:v>3</c:v>
                </c:pt>
                <c:pt idx="20">
                  <c:v>0</c:v>
                </c:pt>
                <c:pt idx="21">
                  <c:v>1</c:v>
                </c:pt>
                <c:pt idx="22">
                  <c:v>8</c:v>
                </c:pt>
                <c:pt idx="23">
                  <c:v>1</c:v>
                </c:pt>
                <c:pt idx="24">
                  <c:v>0</c:v>
                </c:pt>
                <c:pt idx="25">
                  <c:v>0</c:v>
                </c:pt>
                <c:pt idx="26">
                  <c:v>0</c:v>
                </c:pt>
                <c:pt idx="27">
                  <c:v>6</c:v>
                </c:pt>
                <c:pt idx="28">
                  <c:v>1</c:v>
                </c:pt>
                <c:pt idx="29">
                  <c:v>13</c:v>
                </c:pt>
                <c:pt idx="30">
                  <c:v>1</c:v>
                </c:pt>
                <c:pt idx="31">
                  <c:v>0</c:v>
                </c:pt>
                <c:pt idx="32">
                  <c:v>0</c:v>
                </c:pt>
                <c:pt idx="33">
                  <c:v>0</c:v>
                </c:pt>
                <c:pt idx="34">
                  <c:v>0</c:v>
                </c:pt>
                <c:pt idx="35">
                  <c:v>0</c:v>
                </c:pt>
                <c:pt idx="36">
                  <c:v>0</c:v>
                </c:pt>
                <c:pt idx="37">
                  <c:v>1</c:v>
                </c:pt>
                <c:pt idx="38">
                  <c:v>0</c:v>
                </c:pt>
                <c:pt idx="39">
                  <c:v>0</c:v>
                </c:pt>
                <c:pt idx="40">
                  <c:v>1</c:v>
                </c:pt>
                <c:pt idx="41">
                  <c:v>0</c:v>
                </c:pt>
                <c:pt idx="42">
                  <c:v>0</c:v>
                </c:pt>
                <c:pt idx="43">
                  <c:v>0</c:v>
                </c:pt>
                <c:pt idx="44">
                  <c:v>3</c:v>
                </c:pt>
                <c:pt idx="45">
                  <c:v>0</c:v>
                </c:pt>
                <c:pt idx="46">
                  <c:v>3</c:v>
                </c:pt>
                <c:pt idx="47">
                  <c:v>7</c:v>
                </c:pt>
                <c:pt idx="48">
                  <c:v>0</c:v>
                </c:pt>
                <c:pt idx="49">
                  <c:v>1</c:v>
                </c:pt>
                <c:pt idx="50">
                  <c:v>0</c:v>
                </c:pt>
                <c:pt idx="51">
                  <c:v>23</c:v>
                </c:pt>
                <c:pt idx="52">
                  <c:v>1</c:v>
                </c:pt>
                <c:pt idx="53">
                  <c:v>0</c:v>
                </c:pt>
                <c:pt idx="54">
                  <c:v>1</c:v>
                </c:pt>
                <c:pt idx="55">
                  <c:v>11</c:v>
                </c:pt>
                <c:pt idx="56">
                  <c:v>0</c:v>
                </c:pt>
                <c:pt idx="57">
                  <c:v>26</c:v>
                </c:pt>
                <c:pt idx="58">
                  <c:v>13</c:v>
                </c:pt>
                <c:pt idx="59">
                  <c:v>4</c:v>
                </c:pt>
                <c:pt idx="60">
                  <c:v>3</c:v>
                </c:pt>
                <c:pt idx="61">
                  <c:v>2</c:v>
                </c:pt>
                <c:pt idx="62">
                  <c:v>0</c:v>
                </c:pt>
                <c:pt idx="63">
                  <c:v>2</c:v>
                </c:pt>
                <c:pt idx="64">
                  <c:v>0</c:v>
                </c:pt>
                <c:pt idx="65">
                  <c:v>1</c:v>
                </c:pt>
                <c:pt idx="66">
                  <c:v>0</c:v>
                </c:pt>
                <c:pt idx="67">
                  <c:v>6</c:v>
                </c:pt>
                <c:pt idx="68">
                  <c:v>21</c:v>
                </c:pt>
                <c:pt idx="69">
                  <c:v>10</c:v>
                </c:pt>
                <c:pt idx="70">
                  <c:v>5</c:v>
                </c:pt>
                <c:pt idx="71">
                  <c:v>6</c:v>
                </c:pt>
                <c:pt idx="72">
                  <c:v>3</c:v>
                </c:pt>
                <c:pt idx="73">
                  <c:v>4</c:v>
                </c:pt>
                <c:pt idx="74">
                  <c:v>1</c:v>
                </c:pt>
                <c:pt idx="75">
                  <c:v>0</c:v>
                </c:pt>
                <c:pt idx="76">
                  <c:v>0</c:v>
                </c:pt>
                <c:pt idx="77">
                  <c:v>0</c:v>
                </c:pt>
                <c:pt idx="78">
                  <c:v>0</c:v>
                </c:pt>
                <c:pt idx="79">
                  <c:v>7</c:v>
                </c:pt>
                <c:pt idx="80">
                  <c:v>0</c:v>
                </c:pt>
                <c:pt idx="81">
                  <c:v>0</c:v>
                </c:pt>
                <c:pt idx="82">
                  <c:v>0</c:v>
                </c:pt>
                <c:pt idx="83">
                  <c:v>0</c:v>
                </c:pt>
                <c:pt idx="84">
                  <c:v>8</c:v>
                </c:pt>
                <c:pt idx="85">
                  <c:v>0</c:v>
                </c:pt>
                <c:pt idx="86">
                  <c:v>0</c:v>
                </c:pt>
                <c:pt idx="87">
                  <c:v>0</c:v>
                </c:pt>
                <c:pt idx="88">
                  <c:v>5</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0-87C6-44EA-973E-4EE677DB667E}"/>
            </c:ext>
          </c:extLst>
        </c:ser>
        <c:ser>
          <c:idx val="65"/>
          <c:order val="65"/>
          <c:tx>
            <c:strRef>
              <c:f>Tabelle3!$BP$1</c:f>
              <c:strCache>
                <c:ptCount val="1"/>
                <c:pt idx="0">
                  <c:v>2022-06-01</c:v>
                </c:pt>
              </c:strCache>
            </c:strRef>
          </c:tx>
          <c:spPr>
            <a:ln w="28575" cap="rnd">
              <a:solidFill>
                <a:schemeClr val="accent6">
                  <a:lumMod val="6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Tabelle3!$BP$2:$BP$100</c:f>
              <c:numCache>
                <c:formatCode>General</c:formatCode>
                <c:ptCount val="99"/>
                <c:pt idx="0">
                  <c:v>0</c:v>
                </c:pt>
                <c:pt idx="1">
                  <c:v>10</c:v>
                </c:pt>
                <c:pt idx="2">
                  <c:v>2</c:v>
                </c:pt>
                <c:pt idx="3">
                  <c:v>1</c:v>
                </c:pt>
                <c:pt idx="4">
                  <c:v>1</c:v>
                </c:pt>
                <c:pt idx="5">
                  <c:v>0</c:v>
                </c:pt>
                <c:pt idx="6">
                  <c:v>0</c:v>
                </c:pt>
                <c:pt idx="7">
                  <c:v>0</c:v>
                </c:pt>
                <c:pt idx="8">
                  <c:v>1</c:v>
                </c:pt>
                <c:pt idx="9">
                  <c:v>3</c:v>
                </c:pt>
                <c:pt idx="10">
                  <c:v>4</c:v>
                </c:pt>
                <c:pt idx="11">
                  <c:v>0</c:v>
                </c:pt>
                <c:pt idx="12">
                  <c:v>0</c:v>
                </c:pt>
                <c:pt idx="13">
                  <c:v>0</c:v>
                </c:pt>
                <c:pt idx="14">
                  <c:v>0</c:v>
                </c:pt>
                <c:pt idx="15">
                  <c:v>2</c:v>
                </c:pt>
                <c:pt idx="16">
                  <c:v>5</c:v>
                </c:pt>
                <c:pt idx="17">
                  <c:v>1</c:v>
                </c:pt>
                <c:pt idx="18">
                  <c:v>0</c:v>
                </c:pt>
                <c:pt idx="19">
                  <c:v>4</c:v>
                </c:pt>
                <c:pt idx="20">
                  <c:v>0</c:v>
                </c:pt>
                <c:pt idx="21">
                  <c:v>2</c:v>
                </c:pt>
                <c:pt idx="22">
                  <c:v>6</c:v>
                </c:pt>
                <c:pt idx="23">
                  <c:v>1</c:v>
                </c:pt>
                <c:pt idx="24">
                  <c:v>0</c:v>
                </c:pt>
                <c:pt idx="25">
                  <c:v>0</c:v>
                </c:pt>
                <c:pt idx="26">
                  <c:v>0</c:v>
                </c:pt>
                <c:pt idx="27">
                  <c:v>4</c:v>
                </c:pt>
                <c:pt idx="28">
                  <c:v>1</c:v>
                </c:pt>
                <c:pt idx="29">
                  <c:v>12</c:v>
                </c:pt>
                <c:pt idx="30">
                  <c:v>1</c:v>
                </c:pt>
                <c:pt idx="31">
                  <c:v>0</c:v>
                </c:pt>
                <c:pt idx="32">
                  <c:v>0</c:v>
                </c:pt>
                <c:pt idx="33">
                  <c:v>0</c:v>
                </c:pt>
                <c:pt idx="34">
                  <c:v>0</c:v>
                </c:pt>
                <c:pt idx="35">
                  <c:v>0</c:v>
                </c:pt>
                <c:pt idx="36">
                  <c:v>1</c:v>
                </c:pt>
                <c:pt idx="37">
                  <c:v>2</c:v>
                </c:pt>
                <c:pt idx="38">
                  <c:v>0</c:v>
                </c:pt>
                <c:pt idx="39">
                  <c:v>0</c:v>
                </c:pt>
                <c:pt idx="40">
                  <c:v>1</c:v>
                </c:pt>
                <c:pt idx="41">
                  <c:v>0</c:v>
                </c:pt>
                <c:pt idx="42">
                  <c:v>0</c:v>
                </c:pt>
                <c:pt idx="43">
                  <c:v>0</c:v>
                </c:pt>
                <c:pt idx="44">
                  <c:v>3</c:v>
                </c:pt>
                <c:pt idx="45">
                  <c:v>0</c:v>
                </c:pt>
                <c:pt idx="46">
                  <c:v>3</c:v>
                </c:pt>
                <c:pt idx="47">
                  <c:v>10</c:v>
                </c:pt>
                <c:pt idx="48">
                  <c:v>1</c:v>
                </c:pt>
                <c:pt idx="49">
                  <c:v>0</c:v>
                </c:pt>
                <c:pt idx="50">
                  <c:v>1</c:v>
                </c:pt>
                <c:pt idx="51">
                  <c:v>29</c:v>
                </c:pt>
                <c:pt idx="52">
                  <c:v>1</c:v>
                </c:pt>
                <c:pt idx="53">
                  <c:v>1</c:v>
                </c:pt>
                <c:pt idx="54">
                  <c:v>2</c:v>
                </c:pt>
                <c:pt idx="55">
                  <c:v>11</c:v>
                </c:pt>
                <c:pt idx="56">
                  <c:v>0</c:v>
                </c:pt>
                <c:pt idx="57">
                  <c:v>19</c:v>
                </c:pt>
                <c:pt idx="58">
                  <c:v>13</c:v>
                </c:pt>
                <c:pt idx="59">
                  <c:v>3</c:v>
                </c:pt>
                <c:pt idx="60">
                  <c:v>3</c:v>
                </c:pt>
                <c:pt idx="61">
                  <c:v>2</c:v>
                </c:pt>
                <c:pt idx="62">
                  <c:v>0</c:v>
                </c:pt>
                <c:pt idx="63">
                  <c:v>2</c:v>
                </c:pt>
                <c:pt idx="64">
                  <c:v>0</c:v>
                </c:pt>
                <c:pt idx="65">
                  <c:v>1</c:v>
                </c:pt>
                <c:pt idx="66">
                  <c:v>0</c:v>
                </c:pt>
                <c:pt idx="67">
                  <c:v>5</c:v>
                </c:pt>
                <c:pt idx="68">
                  <c:v>22</c:v>
                </c:pt>
                <c:pt idx="69">
                  <c:v>13</c:v>
                </c:pt>
                <c:pt idx="70">
                  <c:v>6</c:v>
                </c:pt>
                <c:pt idx="71">
                  <c:v>7</c:v>
                </c:pt>
                <c:pt idx="72">
                  <c:v>3</c:v>
                </c:pt>
                <c:pt idx="73">
                  <c:v>3</c:v>
                </c:pt>
                <c:pt idx="74">
                  <c:v>0</c:v>
                </c:pt>
                <c:pt idx="75">
                  <c:v>0</c:v>
                </c:pt>
                <c:pt idx="76">
                  <c:v>0</c:v>
                </c:pt>
                <c:pt idx="77">
                  <c:v>0</c:v>
                </c:pt>
                <c:pt idx="78">
                  <c:v>0</c:v>
                </c:pt>
                <c:pt idx="79">
                  <c:v>6</c:v>
                </c:pt>
                <c:pt idx="80">
                  <c:v>0</c:v>
                </c:pt>
                <c:pt idx="81">
                  <c:v>0</c:v>
                </c:pt>
                <c:pt idx="82">
                  <c:v>0</c:v>
                </c:pt>
                <c:pt idx="83">
                  <c:v>0</c:v>
                </c:pt>
                <c:pt idx="84">
                  <c:v>4</c:v>
                </c:pt>
                <c:pt idx="85">
                  <c:v>0</c:v>
                </c:pt>
                <c:pt idx="86">
                  <c:v>0</c:v>
                </c:pt>
                <c:pt idx="87">
                  <c:v>0</c:v>
                </c:pt>
                <c:pt idx="88">
                  <c:v>9</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1-87C6-44EA-973E-4EE677DB667E}"/>
            </c:ext>
          </c:extLst>
        </c:ser>
        <c:ser>
          <c:idx val="66"/>
          <c:order val="66"/>
          <c:tx>
            <c:strRef>
              <c:f>Tabelle3!$BQ$1</c:f>
              <c:strCache>
                <c:ptCount val="1"/>
                <c:pt idx="0">
                  <c:v>2022-07-01</c:v>
                </c:pt>
              </c:strCache>
            </c:strRef>
          </c:tx>
          <c:spPr>
            <a:ln w="28575" cap="rnd">
              <a:solidFill>
                <a:schemeClr val="accent1">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Tabelle3!$BQ$2:$BQ$100</c:f>
              <c:numCache>
                <c:formatCode>General</c:formatCode>
                <c:ptCount val="99"/>
                <c:pt idx="0">
                  <c:v>0</c:v>
                </c:pt>
                <c:pt idx="1">
                  <c:v>9</c:v>
                </c:pt>
                <c:pt idx="2">
                  <c:v>1</c:v>
                </c:pt>
                <c:pt idx="3">
                  <c:v>0</c:v>
                </c:pt>
                <c:pt idx="4">
                  <c:v>1</c:v>
                </c:pt>
                <c:pt idx="5">
                  <c:v>0</c:v>
                </c:pt>
                <c:pt idx="6">
                  <c:v>0</c:v>
                </c:pt>
                <c:pt idx="7">
                  <c:v>0</c:v>
                </c:pt>
                <c:pt idx="8">
                  <c:v>1</c:v>
                </c:pt>
                <c:pt idx="9">
                  <c:v>1</c:v>
                </c:pt>
                <c:pt idx="10">
                  <c:v>3</c:v>
                </c:pt>
                <c:pt idx="11">
                  <c:v>1</c:v>
                </c:pt>
                <c:pt idx="12">
                  <c:v>0</c:v>
                </c:pt>
                <c:pt idx="13">
                  <c:v>0</c:v>
                </c:pt>
                <c:pt idx="14">
                  <c:v>0</c:v>
                </c:pt>
                <c:pt idx="15">
                  <c:v>2</c:v>
                </c:pt>
                <c:pt idx="16">
                  <c:v>6</c:v>
                </c:pt>
                <c:pt idx="17">
                  <c:v>1</c:v>
                </c:pt>
                <c:pt idx="18">
                  <c:v>1</c:v>
                </c:pt>
                <c:pt idx="19">
                  <c:v>2</c:v>
                </c:pt>
                <c:pt idx="20">
                  <c:v>0</c:v>
                </c:pt>
                <c:pt idx="21">
                  <c:v>1</c:v>
                </c:pt>
                <c:pt idx="22">
                  <c:v>6</c:v>
                </c:pt>
                <c:pt idx="23">
                  <c:v>1</c:v>
                </c:pt>
                <c:pt idx="24">
                  <c:v>0</c:v>
                </c:pt>
                <c:pt idx="25">
                  <c:v>0</c:v>
                </c:pt>
                <c:pt idx="26">
                  <c:v>0</c:v>
                </c:pt>
                <c:pt idx="27">
                  <c:v>3</c:v>
                </c:pt>
                <c:pt idx="28">
                  <c:v>2</c:v>
                </c:pt>
                <c:pt idx="29">
                  <c:v>12</c:v>
                </c:pt>
                <c:pt idx="30">
                  <c:v>1</c:v>
                </c:pt>
                <c:pt idx="31">
                  <c:v>0</c:v>
                </c:pt>
                <c:pt idx="32">
                  <c:v>0</c:v>
                </c:pt>
                <c:pt idx="33">
                  <c:v>0</c:v>
                </c:pt>
                <c:pt idx="34">
                  <c:v>0</c:v>
                </c:pt>
                <c:pt idx="35">
                  <c:v>0</c:v>
                </c:pt>
                <c:pt idx="36">
                  <c:v>1</c:v>
                </c:pt>
                <c:pt idx="37">
                  <c:v>2</c:v>
                </c:pt>
                <c:pt idx="38">
                  <c:v>0</c:v>
                </c:pt>
                <c:pt idx="39">
                  <c:v>0</c:v>
                </c:pt>
                <c:pt idx="40">
                  <c:v>1</c:v>
                </c:pt>
                <c:pt idx="41">
                  <c:v>0</c:v>
                </c:pt>
                <c:pt idx="42">
                  <c:v>0</c:v>
                </c:pt>
                <c:pt idx="43">
                  <c:v>0</c:v>
                </c:pt>
                <c:pt idx="44">
                  <c:v>4</c:v>
                </c:pt>
                <c:pt idx="45">
                  <c:v>0</c:v>
                </c:pt>
                <c:pt idx="46">
                  <c:v>2</c:v>
                </c:pt>
                <c:pt idx="47">
                  <c:v>15</c:v>
                </c:pt>
                <c:pt idx="48">
                  <c:v>1</c:v>
                </c:pt>
                <c:pt idx="49">
                  <c:v>2</c:v>
                </c:pt>
                <c:pt idx="50">
                  <c:v>1</c:v>
                </c:pt>
                <c:pt idx="51">
                  <c:v>22</c:v>
                </c:pt>
                <c:pt idx="52">
                  <c:v>0</c:v>
                </c:pt>
                <c:pt idx="53">
                  <c:v>0</c:v>
                </c:pt>
                <c:pt idx="54">
                  <c:v>0</c:v>
                </c:pt>
                <c:pt idx="55">
                  <c:v>11</c:v>
                </c:pt>
                <c:pt idx="56">
                  <c:v>0</c:v>
                </c:pt>
                <c:pt idx="57">
                  <c:v>20</c:v>
                </c:pt>
                <c:pt idx="58">
                  <c:v>12</c:v>
                </c:pt>
                <c:pt idx="59">
                  <c:v>2</c:v>
                </c:pt>
                <c:pt idx="60">
                  <c:v>3</c:v>
                </c:pt>
                <c:pt idx="61">
                  <c:v>2</c:v>
                </c:pt>
                <c:pt idx="62">
                  <c:v>0</c:v>
                </c:pt>
                <c:pt idx="63">
                  <c:v>2</c:v>
                </c:pt>
                <c:pt idx="64">
                  <c:v>0</c:v>
                </c:pt>
                <c:pt idx="65">
                  <c:v>1</c:v>
                </c:pt>
                <c:pt idx="66">
                  <c:v>0</c:v>
                </c:pt>
                <c:pt idx="67">
                  <c:v>5</c:v>
                </c:pt>
                <c:pt idx="68">
                  <c:v>25</c:v>
                </c:pt>
                <c:pt idx="69">
                  <c:v>14</c:v>
                </c:pt>
                <c:pt idx="70">
                  <c:v>6</c:v>
                </c:pt>
                <c:pt idx="71">
                  <c:v>7</c:v>
                </c:pt>
                <c:pt idx="72">
                  <c:v>3</c:v>
                </c:pt>
                <c:pt idx="73">
                  <c:v>3</c:v>
                </c:pt>
                <c:pt idx="74">
                  <c:v>0</c:v>
                </c:pt>
                <c:pt idx="75">
                  <c:v>0</c:v>
                </c:pt>
                <c:pt idx="76">
                  <c:v>0</c:v>
                </c:pt>
                <c:pt idx="77">
                  <c:v>0</c:v>
                </c:pt>
                <c:pt idx="78">
                  <c:v>0</c:v>
                </c:pt>
                <c:pt idx="79">
                  <c:v>11</c:v>
                </c:pt>
                <c:pt idx="80">
                  <c:v>0</c:v>
                </c:pt>
                <c:pt idx="81">
                  <c:v>0</c:v>
                </c:pt>
                <c:pt idx="82">
                  <c:v>0</c:v>
                </c:pt>
                <c:pt idx="83">
                  <c:v>0</c:v>
                </c:pt>
                <c:pt idx="84">
                  <c:v>3</c:v>
                </c:pt>
                <c:pt idx="85">
                  <c:v>0</c:v>
                </c:pt>
                <c:pt idx="86">
                  <c:v>0</c:v>
                </c:pt>
                <c:pt idx="87">
                  <c:v>0</c:v>
                </c:pt>
                <c:pt idx="88">
                  <c:v>9</c:v>
                </c:pt>
                <c:pt idx="89">
                  <c:v>1</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2-87C6-44EA-973E-4EE677DB667E}"/>
            </c:ext>
          </c:extLst>
        </c:ser>
        <c:ser>
          <c:idx val="67"/>
          <c:order val="67"/>
          <c:tx>
            <c:strRef>
              <c:f>Tabelle3!$BR$1</c:f>
              <c:strCache>
                <c:ptCount val="1"/>
                <c:pt idx="0">
                  <c:v>2022-08-01</c:v>
                </c:pt>
              </c:strCache>
            </c:strRef>
          </c:tx>
          <c:spPr>
            <a:ln w="28575" cap="rnd">
              <a:solidFill>
                <a:schemeClr val="accent2">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Tabelle3!$BR$2:$BR$100</c:f>
              <c:numCache>
                <c:formatCode>General</c:formatCode>
                <c:ptCount val="99"/>
                <c:pt idx="0">
                  <c:v>0</c:v>
                </c:pt>
                <c:pt idx="1">
                  <c:v>10</c:v>
                </c:pt>
                <c:pt idx="2">
                  <c:v>0</c:v>
                </c:pt>
                <c:pt idx="3">
                  <c:v>0</c:v>
                </c:pt>
                <c:pt idx="4">
                  <c:v>1</c:v>
                </c:pt>
                <c:pt idx="5">
                  <c:v>0</c:v>
                </c:pt>
                <c:pt idx="6">
                  <c:v>0</c:v>
                </c:pt>
                <c:pt idx="7">
                  <c:v>0</c:v>
                </c:pt>
                <c:pt idx="8">
                  <c:v>1</c:v>
                </c:pt>
                <c:pt idx="9">
                  <c:v>2</c:v>
                </c:pt>
                <c:pt idx="10">
                  <c:v>3</c:v>
                </c:pt>
                <c:pt idx="11">
                  <c:v>1</c:v>
                </c:pt>
                <c:pt idx="12">
                  <c:v>0</c:v>
                </c:pt>
                <c:pt idx="13">
                  <c:v>0</c:v>
                </c:pt>
                <c:pt idx="14">
                  <c:v>0</c:v>
                </c:pt>
                <c:pt idx="15">
                  <c:v>2</c:v>
                </c:pt>
                <c:pt idx="16">
                  <c:v>6</c:v>
                </c:pt>
                <c:pt idx="17">
                  <c:v>1</c:v>
                </c:pt>
                <c:pt idx="18">
                  <c:v>1</c:v>
                </c:pt>
                <c:pt idx="19">
                  <c:v>2</c:v>
                </c:pt>
                <c:pt idx="20">
                  <c:v>1</c:v>
                </c:pt>
                <c:pt idx="21">
                  <c:v>4</c:v>
                </c:pt>
                <c:pt idx="22">
                  <c:v>3</c:v>
                </c:pt>
                <c:pt idx="23">
                  <c:v>1</c:v>
                </c:pt>
                <c:pt idx="24">
                  <c:v>0</c:v>
                </c:pt>
                <c:pt idx="25">
                  <c:v>0</c:v>
                </c:pt>
                <c:pt idx="26">
                  <c:v>0</c:v>
                </c:pt>
                <c:pt idx="27">
                  <c:v>2</c:v>
                </c:pt>
                <c:pt idx="28">
                  <c:v>2</c:v>
                </c:pt>
                <c:pt idx="29">
                  <c:v>12</c:v>
                </c:pt>
                <c:pt idx="30">
                  <c:v>1</c:v>
                </c:pt>
                <c:pt idx="31">
                  <c:v>0</c:v>
                </c:pt>
                <c:pt idx="32">
                  <c:v>0</c:v>
                </c:pt>
                <c:pt idx="33">
                  <c:v>0</c:v>
                </c:pt>
                <c:pt idx="34">
                  <c:v>0</c:v>
                </c:pt>
                <c:pt idx="35">
                  <c:v>0</c:v>
                </c:pt>
                <c:pt idx="36">
                  <c:v>1</c:v>
                </c:pt>
                <c:pt idx="37">
                  <c:v>3</c:v>
                </c:pt>
                <c:pt idx="38">
                  <c:v>0</c:v>
                </c:pt>
                <c:pt idx="39">
                  <c:v>0</c:v>
                </c:pt>
                <c:pt idx="40">
                  <c:v>0</c:v>
                </c:pt>
                <c:pt idx="41">
                  <c:v>0</c:v>
                </c:pt>
                <c:pt idx="42">
                  <c:v>0</c:v>
                </c:pt>
                <c:pt idx="43">
                  <c:v>0</c:v>
                </c:pt>
                <c:pt idx="44">
                  <c:v>5</c:v>
                </c:pt>
                <c:pt idx="45">
                  <c:v>1</c:v>
                </c:pt>
                <c:pt idx="46">
                  <c:v>2</c:v>
                </c:pt>
                <c:pt idx="47">
                  <c:v>17</c:v>
                </c:pt>
                <c:pt idx="48">
                  <c:v>2</c:v>
                </c:pt>
                <c:pt idx="49">
                  <c:v>2</c:v>
                </c:pt>
                <c:pt idx="50">
                  <c:v>1</c:v>
                </c:pt>
                <c:pt idx="51">
                  <c:v>22</c:v>
                </c:pt>
                <c:pt idx="52">
                  <c:v>0</c:v>
                </c:pt>
                <c:pt idx="53">
                  <c:v>0</c:v>
                </c:pt>
                <c:pt idx="54">
                  <c:v>1</c:v>
                </c:pt>
                <c:pt idx="55">
                  <c:v>12</c:v>
                </c:pt>
                <c:pt idx="56">
                  <c:v>0</c:v>
                </c:pt>
                <c:pt idx="57">
                  <c:v>21</c:v>
                </c:pt>
                <c:pt idx="58">
                  <c:v>13</c:v>
                </c:pt>
                <c:pt idx="59">
                  <c:v>2</c:v>
                </c:pt>
                <c:pt idx="60">
                  <c:v>3</c:v>
                </c:pt>
                <c:pt idx="61">
                  <c:v>4</c:v>
                </c:pt>
                <c:pt idx="62">
                  <c:v>0</c:v>
                </c:pt>
                <c:pt idx="63">
                  <c:v>4</c:v>
                </c:pt>
                <c:pt idx="64">
                  <c:v>0</c:v>
                </c:pt>
                <c:pt idx="65">
                  <c:v>1</c:v>
                </c:pt>
                <c:pt idx="66">
                  <c:v>0</c:v>
                </c:pt>
                <c:pt idx="67">
                  <c:v>8</c:v>
                </c:pt>
                <c:pt idx="68">
                  <c:v>29</c:v>
                </c:pt>
                <c:pt idx="69">
                  <c:v>13</c:v>
                </c:pt>
                <c:pt idx="70">
                  <c:v>5</c:v>
                </c:pt>
                <c:pt idx="71">
                  <c:v>9</c:v>
                </c:pt>
                <c:pt idx="72">
                  <c:v>3</c:v>
                </c:pt>
                <c:pt idx="73">
                  <c:v>4</c:v>
                </c:pt>
                <c:pt idx="74">
                  <c:v>0</c:v>
                </c:pt>
                <c:pt idx="75">
                  <c:v>0</c:v>
                </c:pt>
                <c:pt idx="76">
                  <c:v>0</c:v>
                </c:pt>
                <c:pt idx="77">
                  <c:v>0</c:v>
                </c:pt>
                <c:pt idx="78">
                  <c:v>0</c:v>
                </c:pt>
                <c:pt idx="79">
                  <c:v>9</c:v>
                </c:pt>
                <c:pt idx="80">
                  <c:v>0</c:v>
                </c:pt>
                <c:pt idx="81">
                  <c:v>0</c:v>
                </c:pt>
                <c:pt idx="82">
                  <c:v>0</c:v>
                </c:pt>
                <c:pt idx="83">
                  <c:v>0</c:v>
                </c:pt>
                <c:pt idx="84">
                  <c:v>4</c:v>
                </c:pt>
                <c:pt idx="85">
                  <c:v>0</c:v>
                </c:pt>
                <c:pt idx="86">
                  <c:v>0</c:v>
                </c:pt>
                <c:pt idx="87">
                  <c:v>0</c:v>
                </c:pt>
                <c:pt idx="88">
                  <c:v>9</c:v>
                </c:pt>
                <c:pt idx="89">
                  <c:v>1</c:v>
                </c:pt>
                <c:pt idx="90">
                  <c:v>0</c:v>
                </c:pt>
                <c:pt idx="91">
                  <c:v>0</c:v>
                </c:pt>
                <c:pt idx="92">
                  <c:v>2</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3-87C6-44EA-973E-4EE677DB667E}"/>
            </c:ext>
          </c:extLst>
        </c:ser>
        <c:ser>
          <c:idx val="68"/>
          <c:order val="68"/>
          <c:tx>
            <c:strRef>
              <c:f>Tabelle3!$BS$1</c:f>
              <c:strCache>
                <c:ptCount val="1"/>
                <c:pt idx="0">
                  <c:v>2022-09-01</c:v>
                </c:pt>
              </c:strCache>
            </c:strRef>
          </c:tx>
          <c:spPr>
            <a:ln w="28575" cap="rnd">
              <a:solidFill>
                <a:schemeClr val="accent3">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Tabelle3!$BS$2:$BS$100</c:f>
              <c:numCache>
                <c:formatCode>General</c:formatCode>
                <c:ptCount val="99"/>
                <c:pt idx="0">
                  <c:v>0</c:v>
                </c:pt>
                <c:pt idx="1">
                  <c:v>10</c:v>
                </c:pt>
                <c:pt idx="2">
                  <c:v>0</c:v>
                </c:pt>
                <c:pt idx="3">
                  <c:v>2</c:v>
                </c:pt>
                <c:pt idx="4">
                  <c:v>2</c:v>
                </c:pt>
                <c:pt idx="5">
                  <c:v>0</c:v>
                </c:pt>
                <c:pt idx="6">
                  <c:v>0</c:v>
                </c:pt>
                <c:pt idx="7">
                  <c:v>0</c:v>
                </c:pt>
                <c:pt idx="8">
                  <c:v>1</c:v>
                </c:pt>
                <c:pt idx="9">
                  <c:v>1</c:v>
                </c:pt>
                <c:pt idx="10">
                  <c:v>3</c:v>
                </c:pt>
                <c:pt idx="11">
                  <c:v>2</c:v>
                </c:pt>
                <c:pt idx="12">
                  <c:v>0</c:v>
                </c:pt>
                <c:pt idx="13">
                  <c:v>0</c:v>
                </c:pt>
                <c:pt idx="14">
                  <c:v>0</c:v>
                </c:pt>
                <c:pt idx="15">
                  <c:v>2</c:v>
                </c:pt>
                <c:pt idx="16">
                  <c:v>8</c:v>
                </c:pt>
                <c:pt idx="17">
                  <c:v>1</c:v>
                </c:pt>
                <c:pt idx="18">
                  <c:v>0</c:v>
                </c:pt>
                <c:pt idx="19">
                  <c:v>5</c:v>
                </c:pt>
                <c:pt idx="20">
                  <c:v>1</c:v>
                </c:pt>
                <c:pt idx="21">
                  <c:v>3</c:v>
                </c:pt>
                <c:pt idx="22">
                  <c:v>2</c:v>
                </c:pt>
                <c:pt idx="23">
                  <c:v>2</c:v>
                </c:pt>
                <c:pt idx="24">
                  <c:v>0</c:v>
                </c:pt>
                <c:pt idx="25">
                  <c:v>1</c:v>
                </c:pt>
                <c:pt idx="26">
                  <c:v>0</c:v>
                </c:pt>
                <c:pt idx="27">
                  <c:v>0</c:v>
                </c:pt>
                <c:pt idx="28">
                  <c:v>5</c:v>
                </c:pt>
                <c:pt idx="29">
                  <c:v>14</c:v>
                </c:pt>
                <c:pt idx="30">
                  <c:v>2</c:v>
                </c:pt>
                <c:pt idx="31">
                  <c:v>0</c:v>
                </c:pt>
                <c:pt idx="32">
                  <c:v>0</c:v>
                </c:pt>
                <c:pt idx="33">
                  <c:v>0</c:v>
                </c:pt>
                <c:pt idx="34">
                  <c:v>0</c:v>
                </c:pt>
                <c:pt idx="35">
                  <c:v>0</c:v>
                </c:pt>
                <c:pt idx="36">
                  <c:v>0</c:v>
                </c:pt>
                <c:pt idx="37">
                  <c:v>3</c:v>
                </c:pt>
                <c:pt idx="38">
                  <c:v>0</c:v>
                </c:pt>
                <c:pt idx="39">
                  <c:v>0</c:v>
                </c:pt>
                <c:pt idx="40">
                  <c:v>0</c:v>
                </c:pt>
                <c:pt idx="41">
                  <c:v>0</c:v>
                </c:pt>
                <c:pt idx="42">
                  <c:v>0</c:v>
                </c:pt>
                <c:pt idx="43">
                  <c:v>0</c:v>
                </c:pt>
                <c:pt idx="44">
                  <c:v>5</c:v>
                </c:pt>
                <c:pt idx="45">
                  <c:v>0</c:v>
                </c:pt>
                <c:pt idx="46">
                  <c:v>2</c:v>
                </c:pt>
                <c:pt idx="47">
                  <c:v>11</c:v>
                </c:pt>
                <c:pt idx="48">
                  <c:v>2</c:v>
                </c:pt>
                <c:pt idx="49">
                  <c:v>0</c:v>
                </c:pt>
                <c:pt idx="50">
                  <c:v>1</c:v>
                </c:pt>
                <c:pt idx="51">
                  <c:v>27</c:v>
                </c:pt>
                <c:pt idx="52">
                  <c:v>1</c:v>
                </c:pt>
                <c:pt idx="53">
                  <c:v>0</c:v>
                </c:pt>
                <c:pt idx="54">
                  <c:v>0</c:v>
                </c:pt>
                <c:pt idx="55">
                  <c:v>14</c:v>
                </c:pt>
                <c:pt idx="56">
                  <c:v>0</c:v>
                </c:pt>
                <c:pt idx="57">
                  <c:v>20</c:v>
                </c:pt>
                <c:pt idx="58">
                  <c:v>12</c:v>
                </c:pt>
                <c:pt idx="59">
                  <c:v>2</c:v>
                </c:pt>
                <c:pt idx="60">
                  <c:v>3</c:v>
                </c:pt>
                <c:pt idx="61">
                  <c:v>4</c:v>
                </c:pt>
                <c:pt idx="62">
                  <c:v>0</c:v>
                </c:pt>
                <c:pt idx="63">
                  <c:v>3</c:v>
                </c:pt>
                <c:pt idx="64">
                  <c:v>0</c:v>
                </c:pt>
                <c:pt idx="65">
                  <c:v>1</c:v>
                </c:pt>
                <c:pt idx="66">
                  <c:v>0</c:v>
                </c:pt>
                <c:pt idx="67">
                  <c:v>12</c:v>
                </c:pt>
                <c:pt idx="68">
                  <c:v>37</c:v>
                </c:pt>
                <c:pt idx="69">
                  <c:v>8</c:v>
                </c:pt>
                <c:pt idx="70">
                  <c:v>6</c:v>
                </c:pt>
                <c:pt idx="71">
                  <c:v>9</c:v>
                </c:pt>
                <c:pt idx="72">
                  <c:v>3</c:v>
                </c:pt>
                <c:pt idx="73">
                  <c:v>3</c:v>
                </c:pt>
                <c:pt idx="74">
                  <c:v>0</c:v>
                </c:pt>
                <c:pt idx="75">
                  <c:v>0</c:v>
                </c:pt>
                <c:pt idx="76">
                  <c:v>0</c:v>
                </c:pt>
                <c:pt idx="77">
                  <c:v>0</c:v>
                </c:pt>
                <c:pt idx="78">
                  <c:v>0</c:v>
                </c:pt>
                <c:pt idx="79">
                  <c:v>5</c:v>
                </c:pt>
                <c:pt idx="80">
                  <c:v>0</c:v>
                </c:pt>
                <c:pt idx="81">
                  <c:v>0</c:v>
                </c:pt>
                <c:pt idx="82">
                  <c:v>0</c:v>
                </c:pt>
                <c:pt idx="83">
                  <c:v>0</c:v>
                </c:pt>
                <c:pt idx="84">
                  <c:v>3</c:v>
                </c:pt>
                <c:pt idx="85">
                  <c:v>0</c:v>
                </c:pt>
                <c:pt idx="86">
                  <c:v>0</c:v>
                </c:pt>
                <c:pt idx="87">
                  <c:v>0</c:v>
                </c:pt>
                <c:pt idx="88">
                  <c:v>9</c:v>
                </c:pt>
                <c:pt idx="89">
                  <c:v>2</c:v>
                </c:pt>
                <c:pt idx="90">
                  <c:v>0</c:v>
                </c:pt>
                <c:pt idx="91">
                  <c:v>0</c:v>
                </c:pt>
                <c:pt idx="92">
                  <c:v>2</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4-87C6-44EA-973E-4EE677DB667E}"/>
            </c:ext>
          </c:extLst>
        </c:ser>
        <c:ser>
          <c:idx val="69"/>
          <c:order val="69"/>
          <c:tx>
            <c:strRef>
              <c:f>Tabelle3!$BT$1</c:f>
              <c:strCache>
                <c:ptCount val="1"/>
                <c:pt idx="0">
                  <c:v>2022-10-01</c:v>
                </c:pt>
              </c:strCache>
            </c:strRef>
          </c:tx>
          <c:spPr>
            <a:ln w="28575" cap="rnd">
              <a:solidFill>
                <a:schemeClr val="accent4">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Tabelle3!$BT$2:$BT$100</c:f>
              <c:numCache>
                <c:formatCode>General</c:formatCode>
                <c:ptCount val="99"/>
                <c:pt idx="0">
                  <c:v>0</c:v>
                </c:pt>
                <c:pt idx="1">
                  <c:v>10</c:v>
                </c:pt>
                <c:pt idx="2">
                  <c:v>0</c:v>
                </c:pt>
                <c:pt idx="3">
                  <c:v>2</c:v>
                </c:pt>
                <c:pt idx="4">
                  <c:v>1</c:v>
                </c:pt>
                <c:pt idx="5">
                  <c:v>0</c:v>
                </c:pt>
                <c:pt idx="6">
                  <c:v>0</c:v>
                </c:pt>
                <c:pt idx="7">
                  <c:v>0</c:v>
                </c:pt>
                <c:pt idx="8">
                  <c:v>1</c:v>
                </c:pt>
                <c:pt idx="9">
                  <c:v>4</c:v>
                </c:pt>
                <c:pt idx="10">
                  <c:v>5</c:v>
                </c:pt>
                <c:pt idx="11">
                  <c:v>2</c:v>
                </c:pt>
                <c:pt idx="12">
                  <c:v>0</c:v>
                </c:pt>
                <c:pt idx="13">
                  <c:v>0</c:v>
                </c:pt>
                <c:pt idx="14">
                  <c:v>0</c:v>
                </c:pt>
                <c:pt idx="15">
                  <c:v>2</c:v>
                </c:pt>
                <c:pt idx="16">
                  <c:v>8</c:v>
                </c:pt>
                <c:pt idx="17">
                  <c:v>1</c:v>
                </c:pt>
                <c:pt idx="18">
                  <c:v>1</c:v>
                </c:pt>
                <c:pt idx="19">
                  <c:v>3</c:v>
                </c:pt>
                <c:pt idx="20">
                  <c:v>1</c:v>
                </c:pt>
                <c:pt idx="21">
                  <c:v>4</c:v>
                </c:pt>
                <c:pt idx="22">
                  <c:v>2</c:v>
                </c:pt>
                <c:pt idx="23">
                  <c:v>2</c:v>
                </c:pt>
                <c:pt idx="24">
                  <c:v>0</c:v>
                </c:pt>
                <c:pt idx="25">
                  <c:v>0</c:v>
                </c:pt>
                <c:pt idx="26">
                  <c:v>0</c:v>
                </c:pt>
                <c:pt idx="27">
                  <c:v>0</c:v>
                </c:pt>
                <c:pt idx="28">
                  <c:v>6</c:v>
                </c:pt>
                <c:pt idx="29">
                  <c:v>13</c:v>
                </c:pt>
                <c:pt idx="30">
                  <c:v>1</c:v>
                </c:pt>
                <c:pt idx="31">
                  <c:v>0</c:v>
                </c:pt>
                <c:pt idx="32">
                  <c:v>0</c:v>
                </c:pt>
                <c:pt idx="33">
                  <c:v>0</c:v>
                </c:pt>
                <c:pt idx="34">
                  <c:v>0</c:v>
                </c:pt>
                <c:pt idx="35">
                  <c:v>1</c:v>
                </c:pt>
                <c:pt idx="36">
                  <c:v>0</c:v>
                </c:pt>
                <c:pt idx="37">
                  <c:v>1</c:v>
                </c:pt>
                <c:pt idx="38">
                  <c:v>0</c:v>
                </c:pt>
                <c:pt idx="39">
                  <c:v>0</c:v>
                </c:pt>
                <c:pt idx="40">
                  <c:v>0</c:v>
                </c:pt>
                <c:pt idx="41">
                  <c:v>0</c:v>
                </c:pt>
                <c:pt idx="42">
                  <c:v>0</c:v>
                </c:pt>
                <c:pt idx="43">
                  <c:v>0</c:v>
                </c:pt>
                <c:pt idx="44">
                  <c:v>4</c:v>
                </c:pt>
                <c:pt idx="45">
                  <c:v>0</c:v>
                </c:pt>
                <c:pt idx="46">
                  <c:v>2</c:v>
                </c:pt>
                <c:pt idx="47">
                  <c:v>11</c:v>
                </c:pt>
                <c:pt idx="48">
                  <c:v>2</c:v>
                </c:pt>
                <c:pt idx="49">
                  <c:v>1</c:v>
                </c:pt>
                <c:pt idx="50">
                  <c:v>1</c:v>
                </c:pt>
                <c:pt idx="51">
                  <c:v>46</c:v>
                </c:pt>
                <c:pt idx="52">
                  <c:v>1</c:v>
                </c:pt>
                <c:pt idx="53">
                  <c:v>0</c:v>
                </c:pt>
                <c:pt idx="54">
                  <c:v>0</c:v>
                </c:pt>
                <c:pt idx="55">
                  <c:v>14</c:v>
                </c:pt>
                <c:pt idx="56">
                  <c:v>0</c:v>
                </c:pt>
                <c:pt idx="57">
                  <c:v>19</c:v>
                </c:pt>
                <c:pt idx="58">
                  <c:v>9</c:v>
                </c:pt>
                <c:pt idx="59">
                  <c:v>2</c:v>
                </c:pt>
                <c:pt idx="60">
                  <c:v>4</c:v>
                </c:pt>
                <c:pt idx="61">
                  <c:v>4</c:v>
                </c:pt>
                <c:pt idx="62">
                  <c:v>0</c:v>
                </c:pt>
                <c:pt idx="63">
                  <c:v>1</c:v>
                </c:pt>
                <c:pt idx="64">
                  <c:v>0</c:v>
                </c:pt>
                <c:pt idx="65">
                  <c:v>1</c:v>
                </c:pt>
                <c:pt idx="66">
                  <c:v>0</c:v>
                </c:pt>
                <c:pt idx="67">
                  <c:v>10</c:v>
                </c:pt>
                <c:pt idx="68">
                  <c:v>36</c:v>
                </c:pt>
                <c:pt idx="69">
                  <c:v>7</c:v>
                </c:pt>
                <c:pt idx="70">
                  <c:v>6</c:v>
                </c:pt>
                <c:pt idx="71">
                  <c:v>9</c:v>
                </c:pt>
                <c:pt idx="72">
                  <c:v>3</c:v>
                </c:pt>
                <c:pt idx="73">
                  <c:v>4</c:v>
                </c:pt>
                <c:pt idx="74">
                  <c:v>0</c:v>
                </c:pt>
                <c:pt idx="75">
                  <c:v>0</c:v>
                </c:pt>
                <c:pt idx="76">
                  <c:v>0</c:v>
                </c:pt>
                <c:pt idx="77">
                  <c:v>0</c:v>
                </c:pt>
                <c:pt idx="78">
                  <c:v>0</c:v>
                </c:pt>
                <c:pt idx="79">
                  <c:v>8</c:v>
                </c:pt>
                <c:pt idx="80">
                  <c:v>0</c:v>
                </c:pt>
                <c:pt idx="81">
                  <c:v>0</c:v>
                </c:pt>
                <c:pt idx="82">
                  <c:v>0</c:v>
                </c:pt>
                <c:pt idx="83">
                  <c:v>0</c:v>
                </c:pt>
                <c:pt idx="84">
                  <c:v>4</c:v>
                </c:pt>
                <c:pt idx="85">
                  <c:v>0</c:v>
                </c:pt>
                <c:pt idx="86">
                  <c:v>0</c:v>
                </c:pt>
                <c:pt idx="87">
                  <c:v>0</c:v>
                </c:pt>
                <c:pt idx="88">
                  <c:v>7</c:v>
                </c:pt>
                <c:pt idx="89">
                  <c:v>2</c:v>
                </c:pt>
                <c:pt idx="90">
                  <c:v>0</c:v>
                </c:pt>
                <c:pt idx="91">
                  <c:v>0</c:v>
                </c:pt>
                <c:pt idx="92">
                  <c:v>2</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5-87C6-44EA-973E-4EE677DB667E}"/>
            </c:ext>
          </c:extLst>
        </c:ser>
        <c:ser>
          <c:idx val="70"/>
          <c:order val="70"/>
          <c:tx>
            <c:strRef>
              <c:f>Tabelle3!$BU$1</c:f>
              <c:strCache>
                <c:ptCount val="1"/>
                <c:pt idx="0">
                  <c:v>2022-11-01</c:v>
                </c:pt>
              </c:strCache>
            </c:strRef>
          </c:tx>
          <c:spPr>
            <a:ln w="28575" cap="rnd">
              <a:solidFill>
                <a:schemeClr val="accent5">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Tabelle3!$BU$2:$BU$100</c:f>
              <c:numCache>
                <c:formatCode>General</c:formatCode>
                <c:ptCount val="99"/>
                <c:pt idx="0">
                  <c:v>0</c:v>
                </c:pt>
                <c:pt idx="1">
                  <c:v>11</c:v>
                </c:pt>
                <c:pt idx="2">
                  <c:v>0</c:v>
                </c:pt>
                <c:pt idx="3">
                  <c:v>2</c:v>
                </c:pt>
                <c:pt idx="4">
                  <c:v>1</c:v>
                </c:pt>
                <c:pt idx="5">
                  <c:v>0</c:v>
                </c:pt>
                <c:pt idx="6">
                  <c:v>1</c:v>
                </c:pt>
                <c:pt idx="7">
                  <c:v>0</c:v>
                </c:pt>
                <c:pt idx="8">
                  <c:v>1</c:v>
                </c:pt>
                <c:pt idx="9">
                  <c:v>5</c:v>
                </c:pt>
                <c:pt idx="10">
                  <c:v>4</c:v>
                </c:pt>
                <c:pt idx="11">
                  <c:v>2</c:v>
                </c:pt>
                <c:pt idx="12">
                  <c:v>0</c:v>
                </c:pt>
                <c:pt idx="13">
                  <c:v>0</c:v>
                </c:pt>
                <c:pt idx="14">
                  <c:v>0</c:v>
                </c:pt>
                <c:pt idx="15">
                  <c:v>2</c:v>
                </c:pt>
                <c:pt idx="16">
                  <c:v>7</c:v>
                </c:pt>
                <c:pt idx="17">
                  <c:v>1</c:v>
                </c:pt>
                <c:pt idx="18">
                  <c:v>1</c:v>
                </c:pt>
                <c:pt idx="19">
                  <c:v>2</c:v>
                </c:pt>
                <c:pt idx="20">
                  <c:v>1</c:v>
                </c:pt>
                <c:pt idx="21">
                  <c:v>5</c:v>
                </c:pt>
                <c:pt idx="22">
                  <c:v>2</c:v>
                </c:pt>
                <c:pt idx="23">
                  <c:v>1</c:v>
                </c:pt>
                <c:pt idx="24">
                  <c:v>0</c:v>
                </c:pt>
                <c:pt idx="25">
                  <c:v>0</c:v>
                </c:pt>
                <c:pt idx="26">
                  <c:v>0</c:v>
                </c:pt>
                <c:pt idx="27">
                  <c:v>0</c:v>
                </c:pt>
                <c:pt idx="28">
                  <c:v>4</c:v>
                </c:pt>
                <c:pt idx="29">
                  <c:v>13</c:v>
                </c:pt>
                <c:pt idx="30">
                  <c:v>1</c:v>
                </c:pt>
                <c:pt idx="31">
                  <c:v>0</c:v>
                </c:pt>
                <c:pt idx="32">
                  <c:v>0</c:v>
                </c:pt>
                <c:pt idx="33">
                  <c:v>0</c:v>
                </c:pt>
                <c:pt idx="34">
                  <c:v>0</c:v>
                </c:pt>
                <c:pt idx="35">
                  <c:v>1</c:v>
                </c:pt>
                <c:pt idx="36">
                  <c:v>0</c:v>
                </c:pt>
                <c:pt idx="37">
                  <c:v>2</c:v>
                </c:pt>
                <c:pt idx="38">
                  <c:v>0</c:v>
                </c:pt>
                <c:pt idx="39">
                  <c:v>0</c:v>
                </c:pt>
                <c:pt idx="40">
                  <c:v>0</c:v>
                </c:pt>
                <c:pt idx="41">
                  <c:v>0</c:v>
                </c:pt>
                <c:pt idx="42">
                  <c:v>0</c:v>
                </c:pt>
                <c:pt idx="43">
                  <c:v>1</c:v>
                </c:pt>
                <c:pt idx="44">
                  <c:v>3</c:v>
                </c:pt>
                <c:pt idx="45">
                  <c:v>0</c:v>
                </c:pt>
                <c:pt idx="46">
                  <c:v>2</c:v>
                </c:pt>
                <c:pt idx="47">
                  <c:v>10</c:v>
                </c:pt>
                <c:pt idx="48">
                  <c:v>2</c:v>
                </c:pt>
                <c:pt idx="49">
                  <c:v>1</c:v>
                </c:pt>
                <c:pt idx="50">
                  <c:v>1</c:v>
                </c:pt>
                <c:pt idx="51">
                  <c:v>47</c:v>
                </c:pt>
                <c:pt idx="52">
                  <c:v>1</c:v>
                </c:pt>
                <c:pt idx="53">
                  <c:v>0</c:v>
                </c:pt>
                <c:pt idx="54">
                  <c:v>0</c:v>
                </c:pt>
                <c:pt idx="55">
                  <c:v>14</c:v>
                </c:pt>
                <c:pt idx="56">
                  <c:v>0</c:v>
                </c:pt>
                <c:pt idx="57">
                  <c:v>20</c:v>
                </c:pt>
                <c:pt idx="58">
                  <c:v>8</c:v>
                </c:pt>
                <c:pt idx="59">
                  <c:v>1</c:v>
                </c:pt>
                <c:pt idx="60">
                  <c:v>4</c:v>
                </c:pt>
                <c:pt idx="61">
                  <c:v>4</c:v>
                </c:pt>
                <c:pt idx="62">
                  <c:v>0</c:v>
                </c:pt>
                <c:pt idx="63">
                  <c:v>0</c:v>
                </c:pt>
                <c:pt idx="64">
                  <c:v>0</c:v>
                </c:pt>
                <c:pt idx="65">
                  <c:v>1</c:v>
                </c:pt>
                <c:pt idx="66">
                  <c:v>0</c:v>
                </c:pt>
                <c:pt idx="67">
                  <c:v>13</c:v>
                </c:pt>
                <c:pt idx="68">
                  <c:v>34</c:v>
                </c:pt>
                <c:pt idx="69">
                  <c:v>5</c:v>
                </c:pt>
                <c:pt idx="70">
                  <c:v>3</c:v>
                </c:pt>
                <c:pt idx="71">
                  <c:v>10</c:v>
                </c:pt>
                <c:pt idx="72">
                  <c:v>3</c:v>
                </c:pt>
                <c:pt idx="73">
                  <c:v>4</c:v>
                </c:pt>
                <c:pt idx="74">
                  <c:v>0</c:v>
                </c:pt>
                <c:pt idx="75">
                  <c:v>0</c:v>
                </c:pt>
                <c:pt idx="76">
                  <c:v>0</c:v>
                </c:pt>
                <c:pt idx="77">
                  <c:v>0</c:v>
                </c:pt>
                <c:pt idx="78">
                  <c:v>0</c:v>
                </c:pt>
                <c:pt idx="79">
                  <c:v>6</c:v>
                </c:pt>
                <c:pt idx="80">
                  <c:v>0</c:v>
                </c:pt>
                <c:pt idx="81">
                  <c:v>0</c:v>
                </c:pt>
                <c:pt idx="82">
                  <c:v>0</c:v>
                </c:pt>
                <c:pt idx="83">
                  <c:v>0</c:v>
                </c:pt>
                <c:pt idx="84">
                  <c:v>4</c:v>
                </c:pt>
                <c:pt idx="85">
                  <c:v>0</c:v>
                </c:pt>
                <c:pt idx="86">
                  <c:v>0</c:v>
                </c:pt>
                <c:pt idx="87">
                  <c:v>0</c:v>
                </c:pt>
                <c:pt idx="88">
                  <c:v>8</c:v>
                </c:pt>
                <c:pt idx="89">
                  <c:v>2</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6-87C6-44EA-973E-4EE677DB667E}"/>
            </c:ext>
          </c:extLst>
        </c:ser>
        <c:ser>
          <c:idx val="71"/>
          <c:order val="71"/>
          <c:tx>
            <c:strRef>
              <c:f>Tabelle3!$BV$1</c:f>
              <c:strCache>
                <c:ptCount val="1"/>
                <c:pt idx="0">
                  <c:v>2022-12-01</c:v>
                </c:pt>
              </c:strCache>
            </c:strRef>
          </c:tx>
          <c:spPr>
            <a:ln w="28575" cap="rnd">
              <a:solidFill>
                <a:schemeClr val="accent6">
                  <a:lumMod val="80000"/>
                  <a:lumOff val="2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Tabelle3!$BV$2:$BV$100</c:f>
              <c:numCache>
                <c:formatCode>General</c:formatCode>
                <c:ptCount val="99"/>
                <c:pt idx="0">
                  <c:v>0</c:v>
                </c:pt>
                <c:pt idx="1">
                  <c:v>11</c:v>
                </c:pt>
                <c:pt idx="2">
                  <c:v>0</c:v>
                </c:pt>
                <c:pt idx="3">
                  <c:v>3</c:v>
                </c:pt>
                <c:pt idx="4">
                  <c:v>1</c:v>
                </c:pt>
                <c:pt idx="5">
                  <c:v>1</c:v>
                </c:pt>
                <c:pt idx="6">
                  <c:v>0</c:v>
                </c:pt>
                <c:pt idx="7">
                  <c:v>0</c:v>
                </c:pt>
                <c:pt idx="8">
                  <c:v>1</c:v>
                </c:pt>
                <c:pt idx="9">
                  <c:v>3</c:v>
                </c:pt>
                <c:pt idx="10">
                  <c:v>3</c:v>
                </c:pt>
                <c:pt idx="11">
                  <c:v>2</c:v>
                </c:pt>
                <c:pt idx="12">
                  <c:v>0</c:v>
                </c:pt>
                <c:pt idx="13">
                  <c:v>0</c:v>
                </c:pt>
                <c:pt idx="14">
                  <c:v>0</c:v>
                </c:pt>
                <c:pt idx="15">
                  <c:v>2</c:v>
                </c:pt>
                <c:pt idx="16">
                  <c:v>8</c:v>
                </c:pt>
                <c:pt idx="17">
                  <c:v>2</c:v>
                </c:pt>
                <c:pt idx="18">
                  <c:v>1</c:v>
                </c:pt>
                <c:pt idx="19">
                  <c:v>1</c:v>
                </c:pt>
                <c:pt idx="20">
                  <c:v>0</c:v>
                </c:pt>
                <c:pt idx="21">
                  <c:v>3</c:v>
                </c:pt>
                <c:pt idx="22">
                  <c:v>4</c:v>
                </c:pt>
                <c:pt idx="23">
                  <c:v>2</c:v>
                </c:pt>
                <c:pt idx="24">
                  <c:v>0</c:v>
                </c:pt>
                <c:pt idx="25">
                  <c:v>0</c:v>
                </c:pt>
                <c:pt idx="26">
                  <c:v>0</c:v>
                </c:pt>
                <c:pt idx="27">
                  <c:v>0</c:v>
                </c:pt>
                <c:pt idx="28">
                  <c:v>6</c:v>
                </c:pt>
                <c:pt idx="29">
                  <c:v>13</c:v>
                </c:pt>
                <c:pt idx="30">
                  <c:v>1</c:v>
                </c:pt>
                <c:pt idx="31">
                  <c:v>0</c:v>
                </c:pt>
                <c:pt idx="32">
                  <c:v>0</c:v>
                </c:pt>
                <c:pt idx="33">
                  <c:v>0</c:v>
                </c:pt>
                <c:pt idx="34">
                  <c:v>0</c:v>
                </c:pt>
                <c:pt idx="35">
                  <c:v>1</c:v>
                </c:pt>
                <c:pt idx="36">
                  <c:v>0</c:v>
                </c:pt>
                <c:pt idx="37">
                  <c:v>4</c:v>
                </c:pt>
                <c:pt idx="38">
                  <c:v>0</c:v>
                </c:pt>
                <c:pt idx="39">
                  <c:v>0</c:v>
                </c:pt>
                <c:pt idx="40">
                  <c:v>0</c:v>
                </c:pt>
                <c:pt idx="41">
                  <c:v>0</c:v>
                </c:pt>
                <c:pt idx="42">
                  <c:v>1</c:v>
                </c:pt>
                <c:pt idx="43">
                  <c:v>1</c:v>
                </c:pt>
                <c:pt idx="44">
                  <c:v>3</c:v>
                </c:pt>
                <c:pt idx="45">
                  <c:v>0</c:v>
                </c:pt>
                <c:pt idx="46">
                  <c:v>2</c:v>
                </c:pt>
                <c:pt idx="47">
                  <c:v>18</c:v>
                </c:pt>
                <c:pt idx="48">
                  <c:v>2</c:v>
                </c:pt>
                <c:pt idx="49">
                  <c:v>1</c:v>
                </c:pt>
                <c:pt idx="50">
                  <c:v>3</c:v>
                </c:pt>
                <c:pt idx="51">
                  <c:v>56</c:v>
                </c:pt>
                <c:pt idx="52">
                  <c:v>1</c:v>
                </c:pt>
                <c:pt idx="53">
                  <c:v>0</c:v>
                </c:pt>
                <c:pt idx="54">
                  <c:v>0</c:v>
                </c:pt>
                <c:pt idx="55">
                  <c:v>14</c:v>
                </c:pt>
                <c:pt idx="56">
                  <c:v>0</c:v>
                </c:pt>
                <c:pt idx="57">
                  <c:v>22</c:v>
                </c:pt>
                <c:pt idx="58">
                  <c:v>8</c:v>
                </c:pt>
                <c:pt idx="59">
                  <c:v>1</c:v>
                </c:pt>
                <c:pt idx="60">
                  <c:v>4</c:v>
                </c:pt>
                <c:pt idx="61">
                  <c:v>3</c:v>
                </c:pt>
                <c:pt idx="62">
                  <c:v>0</c:v>
                </c:pt>
                <c:pt idx="63">
                  <c:v>2</c:v>
                </c:pt>
                <c:pt idx="64">
                  <c:v>1</c:v>
                </c:pt>
                <c:pt idx="65">
                  <c:v>0</c:v>
                </c:pt>
                <c:pt idx="66">
                  <c:v>0</c:v>
                </c:pt>
                <c:pt idx="67">
                  <c:v>9</c:v>
                </c:pt>
                <c:pt idx="68">
                  <c:v>30</c:v>
                </c:pt>
                <c:pt idx="69">
                  <c:v>8</c:v>
                </c:pt>
                <c:pt idx="70">
                  <c:v>3</c:v>
                </c:pt>
                <c:pt idx="71">
                  <c:v>10</c:v>
                </c:pt>
                <c:pt idx="72">
                  <c:v>3</c:v>
                </c:pt>
                <c:pt idx="73">
                  <c:v>5</c:v>
                </c:pt>
                <c:pt idx="74">
                  <c:v>0</c:v>
                </c:pt>
                <c:pt idx="75">
                  <c:v>0</c:v>
                </c:pt>
                <c:pt idx="76">
                  <c:v>0</c:v>
                </c:pt>
                <c:pt idx="77">
                  <c:v>0</c:v>
                </c:pt>
                <c:pt idx="78">
                  <c:v>0</c:v>
                </c:pt>
                <c:pt idx="79">
                  <c:v>4</c:v>
                </c:pt>
                <c:pt idx="80">
                  <c:v>0</c:v>
                </c:pt>
                <c:pt idx="81">
                  <c:v>0</c:v>
                </c:pt>
                <c:pt idx="82">
                  <c:v>1</c:v>
                </c:pt>
                <c:pt idx="83">
                  <c:v>0</c:v>
                </c:pt>
                <c:pt idx="84">
                  <c:v>5</c:v>
                </c:pt>
                <c:pt idx="85">
                  <c:v>0</c:v>
                </c:pt>
                <c:pt idx="86">
                  <c:v>0</c:v>
                </c:pt>
                <c:pt idx="87">
                  <c:v>0</c:v>
                </c:pt>
                <c:pt idx="88">
                  <c:v>8</c:v>
                </c:pt>
                <c:pt idx="89">
                  <c:v>3</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7-87C6-44EA-973E-4EE677DB667E}"/>
            </c:ext>
          </c:extLst>
        </c:ser>
        <c:ser>
          <c:idx val="72"/>
          <c:order val="72"/>
          <c:tx>
            <c:strRef>
              <c:f>Tabelle3!$BW$1</c:f>
              <c:strCache>
                <c:ptCount val="1"/>
                <c:pt idx="0">
                  <c:v>2023-01-01</c:v>
                </c:pt>
              </c:strCache>
            </c:strRef>
          </c:tx>
          <c:spPr>
            <a:ln w="28575" cap="rnd">
              <a:solidFill>
                <a:schemeClr val="accent1">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Tabelle3!$BW$2:$BW$100</c:f>
              <c:numCache>
                <c:formatCode>General</c:formatCode>
                <c:ptCount val="99"/>
                <c:pt idx="0">
                  <c:v>0</c:v>
                </c:pt>
                <c:pt idx="1">
                  <c:v>11</c:v>
                </c:pt>
                <c:pt idx="2">
                  <c:v>0</c:v>
                </c:pt>
                <c:pt idx="3">
                  <c:v>3</c:v>
                </c:pt>
                <c:pt idx="4">
                  <c:v>3</c:v>
                </c:pt>
                <c:pt idx="5">
                  <c:v>0</c:v>
                </c:pt>
                <c:pt idx="6">
                  <c:v>2</c:v>
                </c:pt>
                <c:pt idx="7">
                  <c:v>0</c:v>
                </c:pt>
                <c:pt idx="8">
                  <c:v>1</c:v>
                </c:pt>
                <c:pt idx="9">
                  <c:v>8</c:v>
                </c:pt>
                <c:pt idx="10">
                  <c:v>3</c:v>
                </c:pt>
                <c:pt idx="11">
                  <c:v>2</c:v>
                </c:pt>
                <c:pt idx="12">
                  <c:v>0</c:v>
                </c:pt>
                <c:pt idx="13">
                  <c:v>0</c:v>
                </c:pt>
                <c:pt idx="14">
                  <c:v>0</c:v>
                </c:pt>
                <c:pt idx="15">
                  <c:v>2</c:v>
                </c:pt>
                <c:pt idx="16">
                  <c:v>8</c:v>
                </c:pt>
                <c:pt idx="17">
                  <c:v>2</c:v>
                </c:pt>
                <c:pt idx="18">
                  <c:v>0</c:v>
                </c:pt>
                <c:pt idx="19">
                  <c:v>1</c:v>
                </c:pt>
                <c:pt idx="20">
                  <c:v>0</c:v>
                </c:pt>
                <c:pt idx="21">
                  <c:v>7</c:v>
                </c:pt>
                <c:pt idx="22">
                  <c:v>7</c:v>
                </c:pt>
                <c:pt idx="23">
                  <c:v>2</c:v>
                </c:pt>
                <c:pt idx="24">
                  <c:v>0</c:v>
                </c:pt>
                <c:pt idx="25">
                  <c:v>0</c:v>
                </c:pt>
                <c:pt idx="26">
                  <c:v>0</c:v>
                </c:pt>
                <c:pt idx="27">
                  <c:v>18</c:v>
                </c:pt>
                <c:pt idx="28">
                  <c:v>8</c:v>
                </c:pt>
                <c:pt idx="29">
                  <c:v>12</c:v>
                </c:pt>
                <c:pt idx="30">
                  <c:v>1</c:v>
                </c:pt>
                <c:pt idx="31">
                  <c:v>0</c:v>
                </c:pt>
                <c:pt idx="32">
                  <c:v>0</c:v>
                </c:pt>
                <c:pt idx="33">
                  <c:v>0</c:v>
                </c:pt>
                <c:pt idx="34">
                  <c:v>0</c:v>
                </c:pt>
                <c:pt idx="35">
                  <c:v>0</c:v>
                </c:pt>
                <c:pt idx="36">
                  <c:v>0</c:v>
                </c:pt>
                <c:pt idx="37">
                  <c:v>3</c:v>
                </c:pt>
                <c:pt idx="38">
                  <c:v>0</c:v>
                </c:pt>
                <c:pt idx="39">
                  <c:v>0</c:v>
                </c:pt>
                <c:pt idx="40">
                  <c:v>0</c:v>
                </c:pt>
                <c:pt idx="41">
                  <c:v>0</c:v>
                </c:pt>
                <c:pt idx="42">
                  <c:v>1</c:v>
                </c:pt>
                <c:pt idx="43">
                  <c:v>1</c:v>
                </c:pt>
                <c:pt idx="44">
                  <c:v>3</c:v>
                </c:pt>
                <c:pt idx="45">
                  <c:v>1</c:v>
                </c:pt>
                <c:pt idx="46">
                  <c:v>4</c:v>
                </c:pt>
                <c:pt idx="47">
                  <c:v>20</c:v>
                </c:pt>
                <c:pt idx="48">
                  <c:v>2</c:v>
                </c:pt>
                <c:pt idx="49">
                  <c:v>1</c:v>
                </c:pt>
                <c:pt idx="50">
                  <c:v>3</c:v>
                </c:pt>
                <c:pt idx="51">
                  <c:v>83</c:v>
                </c:pt>
                <c:pt idx="52">
                  <c:v>1</c:v>
                </c:pt>
                <c:pt idx="53">
                  <c:v>0</c:v>
                </c:pt>
                <c:pt idx="54">
                  <c:v>0</c:v>
                </c:pt>
                <c:pt idx="55">
                  <c:v>13</c:v>
                </c:pt>
                <c:pt idx="56">
                  <c:v>0</c:v>
                </c:pt>
                <c:pt idx="57">
                  <c:v>18</c:v>
                </c:pt>
                <c:pt idx="58">
                  <c:v>6</c:v>
                </c:pt>
                <c:pt idx="59">
                  <c:v>1</c:v>
                </c:pt>
                <c:pt idx="60">
                  <c:v>7</c:v>
                </c:pt>
                <c:pt idx="61">
                  <c:v>1</c:v>
                </c:pt>
                <c:pt idx="62">
                  <c:v>0</c:v>
                </c:pt>
                <c:pt idx="63">
                  <c:v>2</c:v>
                </c:pt>
                <c:pt idx="64">
                  <c:v>1</c:v>
                </c:pt>
                <c:pt idx="65">
                  <c:v>2</c:v>
                </c:pt>
                <c:pt idx="66">
                  <c:v>0</c:v>
                </c:pt>
                <c:pt idx="67">
                  <c:v>11</c:v>
                </c:pt>
                <c:pt idx="68">
                  <c:v>35</c:v>
                </c:pt>
                <c:pt idx="69">
                  <c:v>18</c:v>
                </c:pt>
                <c:pt idx="70">
                  <c:v>3</c:v>
                </c:pt>
                <c:pt idx="71">
                  <c:v>12</c:v>
                </c:pt>
                <c:pt idx="72">
                  <c:v>3</c:v>
                </c:pt>
                <c:pt idx="73">
                  <c:v>6</c:v>
                </c:pt>
                <c:pt idx="74">
                  <c:v>1</c:v>
                </c:pt>
                <c:pt idx="75">
                  <c:v>0</c:v>
                </c:pt>
                <c:pt idx="76">
                  <c:v>0</c:v>
                </c:pt>
                <c:pt idx="77">
                  <c:v>0</c:v>
                </c:pt>
                <c:pt idx="78">
                  <c:v>0</c:v>
                </c:pt>
                <c:pt idx="79">
                  <c:v>6</c:v>
                </c:pt>
                <c:pt idx="80">
                  <c:v>0</c:v>
                </c:pt>
                <c:pt idx="81">
                  <c:v>0</c:v>
                </c:pt>
                <c:pt idx="82">
                  <c:v>0</c:v>
                </c:pt>
                <c:pt idx="83">
                  <c:v>0</c:v>
                </c:pt>
                <c:pt idx="84">
                  <c:v>7</c:v>
                </c:pt>
                <c:pt idx="85">
                  <c:v>0</c:v>
                </c:pt>
                <c:pt idx="86">
                  <c:v>0</c:v>
                </c:pt>
                <c:pt idx="87">
                  <c:v>0</c:v>
                </c:pt>
                <c:pt idx="88">
                  <c:v>8</c:v>
                </c:pt>
                <c:pt idx="89">
                  <c:v>3</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8-87C6-44EA-973E-4EE677DB667E}"/>
            </c:ext>
          </c:extLst>
        </c:ser>
        <c:ser>
          <c:idx val="73"/>
          <c:order val="73"/>
          <c:tx>
            <c:strRef>
              <c:f>Tabelle3!$BX$1</c:f>
              <c:strCache>
                <c:ptCount val="1"/>
                <c:pt idx="0">
                  <c:v>2023-02-01</c:v>
                </c:pt>
              </c:strCache>
            </c:strRef>
          </c:tx>
          <c:spPr>
            <a:ln w="28575" cap="rnd">
              <a:solidFill>
                <a:schemeClr val="accent2">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Tabelle3!$BX$2:$BX$100</c:f>
              <c:numCache>
                <c:formatCode>General</c:formatCode>
                <c:ptCount val="99"/>
                <c:pt idx="0">
                  <c:v>1</c:v>
                </c:pt>
                <c:pt idx="1">
                  <c:v>11</c:v>
                </c:pt>
                <c:pt idx="2">
                  <c:v>0</c:v>
                </c:pt>
                <c:pt idx="3">
                  <c:v>3</c:v>
                </c:pt>
                <c:pt idx="4">
                  <c:v>3</c:v>
                </c:pt>
                <c:pt idx="5">
                  <c:v>0</c:v>
                </c:pt>
                <c:pt idx="6">
                  <c:v>2</c:v>
                </c:pt>
                <c:pt idx="7">
                  <c:v>0</c:v>
                </c:pt>
                <c:pt idx="8">
                  <c:v>1</c:v>
                </c:pt>
                <c:pt idx="9">
                  <c:v>15</c:v>
                </c:pt>
                <c:pt idx="10">
                  <c:v>2</c:v>
                </c:pt>
                <c:pt idx="11">
                  <c:v>2</c:v>
                </c:pt>
                <c:pt idx="12">
                  <c:v>0</c:v>
                </c:pt>
                <c:pt idx="13">
                  <c:v>0</c:v>
                </c:pt>
                <c:pt idx="14">
                  <c:v>0</c:v>
                </c:pt>
                <c:pt idx="15">
                  <c:v>2</c:v>
                </c:pt>
                <c:pt idx="16">
                  <c:v>9</c:v>
                </c:pt>
                <c:pt idx="17">
                  <c:v>1</c:v>
                </c:pt>
                <c:pt idx="18">
                  <c:v>2</c:v>
                </c:pt>
                <c:pt idx="19">
                  <c:v>1</c:v>
                </c:pt>
                <c:pt idx="20">
                  <c:v>0</c:v>
                </c:pt>
                <c:pt idx="21">
                  <c:v>8</c:v>
                </c:pt>
                <c:pt idx="22">
                  <c:v>7</c:v>
                </c:pt>
                <c:pt idx="23">
                  <c:v>2</c:v>
                </c:pt>
                <c:pt idx="24">
                  <c:v>0</c:v>
                </c:pt>
                <c:pt idx="25">
                  <c:v>0</c:v>
                </c:pt>
                <c:pt idx="26">
                  <c:v>0</c:v>
                </c:pt>
                <c:pt idx="27">
                  <c:v>16</c:v>
                </c:pt>
                <c:pt idx="28">
                  <c:v>6</c:v>
                </c:pt>
                <c:pt idx="29">
                  <c:v>12</c:v>
                </c:pt>
                <c:pt idx="30">
                  <c:v>3</c:v>
                </c:pt>
                <c:pt idx="31">
                  <c:v>1</c:v>
                </c:pt>
                <c:pt idx="32">
                  <c:v>0</c:v>
                </c:pt>
                <c:pt idx="33">
                  <c:v>0</c:v>
                </c:pt>
                <c:pt idx="34">
                  <c:v>0</c:v>
                </c:pt>
                <c:pt idx="35">
                  <c:v>0</c:v>
                </c:pt>
                <c:pt idx="36">
                  <c:v>0</c:v>
                </c:pt>
                <c:pt idx="37">
                  <c:v>4</c:v>
                </c:pt>
                <c:pt idx="38">
                  <c:v>0</c:v>
                </c:pt>
                <c:pt idx="39">
                  <c:v>0</c:v>
                </c:pt>
                <c:pt idx="40">
                  <c:v>1</c:v>
                </c:pt>
                <c:pt idx="41">
                  <c:v>0</c:v>
                </c:pt>
                <c:pt idx="42">
                  <c:v>1</c:v>
                </c:pt>
                <c:pt idx="43">
                  <c:v>2</c:v>
                </c:pt>
                <c:pt idx="44">
                  <c:v>3</c:v>
                </c:pt>
                <c:pt idx="45">
                  <c:v>3</c:v>
                </c:pt>
                <c:pt idx="46">
                  <c:v>5</c:v>
                </c:pt>
                <c:pt idx="47">
                  <c:v>17</c:v>
                </c:pt>
                <c:pt idx="48">
                  <c:v>2</c:v>
                </c:pt>
                <c:pt idx="49">
                  <c:v>1</c:v>
                </c:pt>
                <c:pt idx="50">
                  <c:v>3</c:v>
                </c:pt>
                <c:pt idx="51">
                  <c:v>85</c:v>
                </c:pt>
                <c:pt idx="52">
                  <c:v>2</c:v>
                </c:pt>
                <c:pt idx="53">
                  <c:v>0</c:v>
                </c:pt>
                <c:pt idx="54">
                  <c:v>1</c:v>
                </c:pt>
                <c:pt idx="55">
                  <c:v>12</c:v>
                </c:pt>
                <c:pt idx="56">
                  <c:v>0</c:v>
                </c:pt>
                <c:pt idx="57">
                  <c:v>18</c:v>
                </c:pt>
                <c:pt idx="58">
                  <c:v>6</c:v>
                </c:pt>
                <c:pt idx="59">
                  <c:v>1</c:v>
                </c:pt>
                <c:pt idx="60">
                  <c:v>9</c:v>
                </c:pt>
                <c:pt idx="61">
                  <c:v>6</c:v>
                </c:pt>
                <c:pt idx="62">
                  <c:v>0</c:v>
                </c:pt>
                <c:pt idx="63">
                  <c:v>2</c:v>
                </c:pt>
                <c:pt idx="64">
                  <c:v>1</c:v>
                </c:pt>
                <c:pt idx="65">
                  <c:v>3</c:v>
                </c:pt>
                <c:pt idx="66">
                  <c:v>0</c:v>
                </c:pt>
                <c:pt idx="67">
                  <c:v>16</c:v>
                </c:pt>
                <c:pt idx="68">
                  <c:v>36</c:v>
                </c:pt>
                <c:pt idx="69">
                  <c:v>26</c:v>
                </c:pt>
                <c:pt idx="70">
                  <c:v>4</c:v>
                </c:pt>
                <c:pt idx="71">
                  <c:v>20</c:v>
                </c:pt>
                <c:pt idx="72">
                  <c:v>3</c:v>
                </c:pt>
                <c:pt idx="73">
                  <c:v>7</c:v>
                </c:pt>
                <c:pt idx="74">
                  <c:v>1</c:v>
                </c:pt>
                <c:pt idx="75">
                  <c:v>0</c:v>
                </c:pt>
                <c:pt idx="76">
                  <c:v>0</c:v>
                </c:pt>
                <c:pt idx="77">
                  <c:v>0</c:v>
                </c:pt>
                <c:pt idx="78">
                  <c:v>0</c:v>
                </c:pt>
                <c:pt idx="79">
                  <c:v>9</c:v>
                </c:pt>
                <c:pt idx="80">
                  <c:v>0</c:v>
                </c:pt>
                <c:pt idx="81">
                  <c:v>0</c:v>
                </c:pt>
                <c:pt idx="82">
                  <c:v>0</c:v>
                </c:pt>
                <c:pt idx="83">
                  <c:v>0</c:v>
                </c:pt>
                <c:pt idx="84">
                  <c:v>6</c:v>
                </c:pt>
                <c:pt idx="85">
                  <c:v>0</c:v>
                </c:pt>
                <c:pt idx="86">
                  <c:v>0</c:v>
                </c:pt>
                <c:pt idx="87">
                  <c:v>0</c:v>
                </c:pt>
                <c:pt idx="88">
                  <c:v>7</c:v>
                </c:pt>
                <c:pt idx="89">
                  <c:v>3</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9-87C6-44EA-973E-4EE677DB667E}"/>
            </c:ext>
          </c:extLst>
        </c:ser>
        <c:ser>
          <c:idx val="74"/>
          <c:order val="74"/>
          <c:tx>
            <c:strRef>
              <c:f>Tabelle3!$BY$1</c:f>
              <c:strCache>
                <c:ptCount val="1"/>
                <c:pt idx="0">
                  <c:v>2023-03-01</c:v>
                </c:pt>
              </c:strCache>
            </c:strRef>
          </c:tx>
          <c:spPr>
            <a:ln w="28575" cap="rnd">
              <a:solidFill>
                <a:schemeClr val="accent3">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Tabelle3!$BY$2:$BY$100</c:f>
              <c:numCache>
                <c:formatCode>General</c:formatCode>
                <c:ptCount val="99"/>
                <c:pt idx="0">
                  <c:v>0</c:v>
                </c:pt>
                <c:pt idx="1">
                  <c:v>13</c:v>
                </c:pt>
                <c:pt idx="2">
                  <c:v>0</c:v>
                </c:pt>
                <c:pt idx="3">
                  <c:v>3</c:v>
                </c:pt>
                <c:pt idx="4">
                  <c:v>3</c:v>
                </c:pt>
                <c:pt idx="5">
                  <c:v>0</c:v>
                </c:pt>
                <c:pt idx="6">
                  <c:v>1</c:v>
                </c:pt>
                <c:pt idx="7">
                  <c:v>0</c:v>
                </c:pt>
                <c:pt idx="8">
                  <c:v>1</c:v>
                </c:pt>
                <c:pt idx="9">
                  <c:v>12</c:v>
                </c:pt>
                <c:pt idx="10">
                  <c:v>2</c:v>
                </c:pt>
                <c:pt idx="11">
                  <c:v>2</c:v>
                </c:pt>
                <c:pt idx="12">
                  <c:v>0</c:v>
                </c:pt>
                <c:pt idx="13">
                  <c:v>0</c:v>
                </c:pt>
                <c:pt idx="14">
                  <c:v>0</c:v>
                </c:pt>
                <c:pt idx="15">
                  <c:v>2</c:v>
                </c:pt>
                <c:pt idx="16">
                  <c:v>10</c:v>
                </c:pt>
                <c:pt idx="17">
                  <c:v>1</c:v>
                </c:pt>
                <c:pt idx="18">
                  <c:v>1</c:v>
                </c:pt>
                <c:pt idx="19">
                  <c:v>1</c:v>
                </c:pt>
                <c:pt idx="20">
                  <c:v>1</c:v>
                </c:pt>
                <c:pt idx="21">
                  <c:v>9</c:v>
                </c:pt>
                <c:pt idx="22">
                  <c:v>7</c:v>
                </c:pt>
                <c:pt idx="23">
                  <c:v>10</c:v>
                </c:pt>
                <c:pt idx="24">
                  <c:v>0</c:v>
                </c:pt>
                <c:pt idx="25">
                  <c:v>0</c:v>
                </c:pt>
                <c:pt idx="26">
                  <c:v>0</c:v>
                </c:pt>
                <c:pt idx="27">
                  <c:v>10</c:v>
                </c:pt>
                <c:pt idx="28">
                  <c:v>5</c:v>
                </c:pt>
                <c:pt idx="29">
                  <c:v>13</c:v>
                </c:pt>
                <c:pt idx="30">
                  <c:v>4</c:v>
                </c:pt>
                <c:pt idx="31">
                  <c:v>1</c:v>
                </c:pt>
                <c:pt idx="32">
                  <c:v>0</c:v>
                </c:pt>
                <c:pt idx="33">
                  <c:v>0</c:v>
                </c:pt>
                <c:pt idx="34">
                  <c:v>0</c:v>
                </c:pt>
                <c:pt idx="35">
                  <c:v>0</c:v>
                </c:pt>
                <c:pt idx="36">
                  <c:v>1</c:v>
                </c:pt>
                <c:pt idx="37">
                  <c:v>1</c:v>
                </c:pt>
                <c:pt idx="38">
                  <c:v>0</c:v>
                </c:pt>
                <c:pt idx="39">
                  <c:v>0</c:v>
                </c:pt>
                <c:pt idx="40">
                  <c:v>0</c:v>
                </c:pt>
                <c:pt idx="41">
                  <c:v>0</c:v>
                </c:pt>
                <c:pt idx="42">
                  <c:v>1</c:v>
                </c:pt>
                <c:pt idx="43">
                  <c:v>2</c:v>
                </c:pt>
                <c:pt idx="44">
                  <c:v>2</c:v>
                </c:pt>
                <c:pt idx="45">
                  <c:v>3</c:v>
                </c:pt>
                <c:pt idx="46">
                  <c:v>8</c:v>
                </c:pt>
                <c:pt idx="47">
                  <c:v>13</c:v>
                </c:pt>
                <c:pt idx="48">
                  <c:v>1</c:v>
                </c:pt>
                <c:pt idx="49">
                  <c:v>1</c:v>
                </c:pt>
                <c:pt idx="50">
                  <c:v>3</c:v>
                </c:pt>
                <c:pt idx="51">
                  <c:v>99</c:v>
                </c:pt>
                <c:pt idx="52">
                  <c:v>2</c:v>
                </c:pt>
                <c:pt idx="53">
                  <c:v>0</c:v>
                </c:pt>
                <c:pt idx="54">
                  <c:v>1</c:v>
                </c:pt>
                <c:pt idx="55">
                  <c:v>12</c:v>
                </c:pt>
                <c:pt idx="56">
                  <c:v>0</c:v>
                </c:pt>
                <c:pt idx="57">
                  <c:v>15</c:v>
                </c:pt>
                <c:pt idx="58">
                  <c:v>7</c:v>
                </c:pt>
                <c:pt idx="59">
                  <c:v>1</c:v>
                </c:pt>
                <c:pt idx="60">
                  <c:v>7</c:v>
                </c:pt>
                <c:pt idx="61">
                  <c:v>6</c:v>
                </c:pt>
                <c:pt idx="62">
                  <c:v>0</c:v>
                </c:pt>
                <c:pt idx="63">
                  <c:v>2</c:v>
                </c:pt>
                <c:pt idx="64">
                  <c:v>1</c:v>
                </c:pt>
                <c:pt idx="65">
                  <c:v>4</c:v>
                </c:pt>
                <c:pt idx="66">
                  <c:v>0</c:v>
                </c:pt>
                <c:pt idx="67">
                  <c:v>15</c:v>
                </c:pt>
                <c:pt idx="68">
                  <c:v>49</c:v>
                </c:pt>
                <c:pt idx="69">
                  <c:v>21</c:v>
                </c:pt>
                <c:pt idx="70">
                  <c:v>4</c:v>
                </c:pt>
                <c:pt idx="71">
                  <c:v>21</c:v>
                </c:pt>
                <c:pt idx="72">
                  <c:v>5</c:v>
                </c:pt>
                <c:pt idx="73">
                  <c:v>7</c:v>
                </c:pt>
                <c:pt idx="74">
                  <c:v>1</c:v>
                </c:pt>
                <c:pt idx="75">
                  <c:v>0</c:v>
                </c:pt>
                <c:pt idx="76">
                  <c:v>0</c:v>
                </c:pt>
                <c:pt idx="77">
                  <c:v>0</c:v>
                </c:pt>
                <c:pt idx="78">
                  <c:v>0</c:v>
                </c:pt>
                <c:pt idx="79">
                  <c:v>10</c:v>
                </c:pt>
                <c:pt idx="80">
                  <c:v>0</c:v>
                </c:pt>
                <c:pt idx="81">
                  <c:v>0</c:v>
                </c:pt>
                <c:pt idx="82">
                  <c:v>0</c:v>
                </c:pt>
                <c:pt idx="83">
                  <c:v>0</c:v>
                </c:pt>
                <c:pt idx="84">
                  <c:v>7</c:v>
                </c:pt>
                <c:pt idx="85">
                  <c:v>1</c:v>
                </c:pt>
                <c:pt idx="86">
                  <c:v>0</c:v>
                </c:pt>
                <c:pt idx="87">
                  <c:v>0</c:v>
                </c:pt>
                <c:pt idx="88">
                  <c:v>6</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A-87C6-44EA-973E-4EE677DB667E}"/>
            </c:ext>
          </c:extLst>
        </c:ser>
        <c:ser>
          <c:idx val="75"/>
          <c:order val="75"/>
          <c:tx>
            <c:strRef>
              <c:f>Tabelle3!$BZ$1</c:f>
              <c:strCache>
                <c:ptCount val="1"/>
                <c:pt idx="0">
                  <c:v>2023-04-01</c:v>
                </c:pt>
              </c:strCache>
            </c:strRef>
          </c:tx>
          <c:spPr>
            <a:ln w="28575" cap="rnd">
              <a:solidFill>
                <a:schemeClr val="accent4">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Tabelle3!$BZ$2:$BZ$100</c:f>
              <c:numCache>
                <c:formatCode>General</c:formatCode>
                <c:ptCount val="99"/>
                <c:pt idx="0">
                  <c:v>0</c:v>
                </c:pt>
                <c:pt idx="1">
                  <c:v>12</c:v>
                </c:pt>
                <c:pt idx="2">
                  <c:v>2</c:v>
                </c:pt>
                <c:pt idx="3">
                  <c:v>3</c:v>
                </c:pt>
                <c:pt idx="4">
                  <c:v>2</c:v>
                </c:pt>
                <c:pt idx="5">
                  <c:v>0</c:v>
                </c:pt>
                <c:pt idx="6">
                  <c:v>1</c:v>
                </c:pt>
                <c:pt idx="7">
                  <c:v>0</c:v>
                </c:pt>
                <c:pt idx="8">
                  <c:v>1</c:v>
                </c:pt>
                <c:pt idx="9">
                  <c:v>11</c:v>
                </c:pt>
                <c:pt idx="10">
                  <c:v>2</c:v>
                </c:pt>
                <c:pt idx="11">
                  <c:v>2</c:v>
                </c:pt>
                <c:pt idx="12">
                  <c:v>0</c:v>
                </c:pt>
                <c:pt idx="13">
                  <c:v>0</c:v>
                </c:pt>
                <c:pt idx="14">
                  <c:v>0</c:v>
                </c:pt>
                <c:pt idx="15">
                  <c:v>2</c:v>
                </c:pt>
                <c:pt idx="16">
                  <c:v>8</c:v>
                </c:pt>
                <c:pt idx="17">
                  <c:v>1</c:v>
                </c:pt>
                <c:pt idx="18">
                  <c:v>1</c:v>
                </c:pt>
                <c:pt idx="19">
                  <c:v>0</c:v>
                </c:pt>
                <c:pt idx="20">
                  <c:v>1</c:v>
                </c:pt>
                <c:pt idx="21">
                  <c:v>9</c:v>
                </c:pt>
                <c:pt idx="22">
                  <c:v>7</c:v>
                </c:pt>
                <c:pt idx="23">
                  <c:v>10</c:v>
                </c:pt>
                <c:pt idx="24">
                  <c:v>0</c:v>
                </c:pt>
                <c:pt idx="25">
                  <c:v>0</c:v>
                </c:pt>
                <c:pt idx="26">
                  <c:v>0</c:v>
                </c:pt>
                <c:pt idx="27">
                  <c:v>9</c:v>
                </c:pt>
                <c:pt idx="28">
                  <c:v>4</c:v>
                </c:pt>
                <c:pt idx="29">
                  <c:v>14</c:v>
                </c:pt>
                <c:pt idx="30">
                  <c:v>13</c:v>
                </c:pt>
                <c:pt idx="31">
                  <c:v>0</c:v>
                </c:pt>
                <c:pt idx="32">
                  <c:v>0</c:v>
                </c:pt>
                <c:pt idx="33">
                  <c:v>0</c:v>
                </c:pt>
                <c:pt idx="34">
                  <c:v>0</c:v>
                </c:pt>
                <c:pt idx="35">
                  <c:v>0</c:v>
                </c:pt>
                <c:pt idx="36">
                  <c:v>1</c:v>
                </c:pt>
                <c:pt idx="37">
                  <c:v>1</c:v>
                </c:pt>
                <c:pt idx="38">
                  <c:v>0</c:v>
                </c:pt>
                <c:pt idx="39">
                  <c:v>0</c:v>
                </c:pt>
                <c:pt idx="40">
                  <c:v>0</c:v>
                </c:pt>
                <c:pt idx="41">
                  <c:v>0</c:v>
                </c:pt>
                <c:pt idx="42">
                  <c:v>1</c:v>
                </c:pt>
                <c:pt idx="43">
                  <c:v>0</c:v>
                </c:pt>
                <c:pt idx="44">
                  <c:v>4</c:v>
                </c:pt>
                <c:pt idx="45">
                  <c:v>4</c:v>
                </c:pt>
                <c:pt idx="46">
                  <c:v>11</c:v>
                </c:pt>
                <c:pt idx="47">
                  <c:v>12</c:v>
                </c:pt>
                <c:pt idx="48">
                  <c:v>0</c:v>
                </c:pt>
                <c:pt idx="49">
                  <c:v>0</c:v>
                </c:pt>
                <c:pt idx="50">
                  <c:v>3</c:v>
                </c:pt>
                <c:pt idx="51">
                  <c:v>112</c:v>
                </c:pt>
                <c:pt idx="52">
                  <c:v>2</c:v>
                </c:pt>
                <c:pt idx="53">
                  <c:v>0</c:v>
                </c:pt>
                <c:pt idx="54">
                  <c:v>0</c:v>
                </c:pt>
                <c:pt idx="55">
                  <c:v>10</c:v>
                </c:pt>
                <c:pt idx="56">
                  <c:v>0</c:v>
                </c:pt>
                <c:pt idx="57">
                  <c:v>13</c:v>
                </c:pt>
                <c:pt idx="58">
                  <c:v>5</c:v>
                </c:pt>
                <c:pt idx="59">
                  <c:v>1</c:v>
                </c:pt>
                <c:pt idx="60">
                  <c:v>7</c:v>
                </c:pt>
                <c:pt idx="61">
                  <c:v>6</c:v>
                </c:pt>
                <c:pt idx="62">
                  <c:v>0</c:v>
                </c:pt>
                <c:pt idx="63">
                  <c:v>0</c:v>
                </c:pt>
                <c:pt idx="64">
                  <c:v>1</c:v>
                </c:pt>
                <c:pt idx="65">
                  <c:v>5</c:v>
                </c:pt>
                <c:pt idx="66">
                  <c:v>0</c:v>
                </c:pt>
                <c:pt idx="67">
                  <c:v>17</c:v>
                </c:pt>
                <c:pt idx="68">
                  <c:v>43</c:v>
                </c:pt>
                <c:pt idx="69">
                  <c:v>19</c:v>
                </c:pt>
                <c:pt idx="70">
                  <c:v>4</c:v>
                </c:pt>
                <c:pt idx="71">
                  <c:v>22</c:v>
                </c:pt>
                <c:pt idx="72">
                  <c:v>4</c:v>
                </c:pt>
                <c:pt idx="73">
                  <c:v>7</c:v>
                </c:pt>
                <c:pt idx="74">
                  <c:v>1</c:v>
                </c:pt>
                <c:pt idx="75">
                  <c:v>0</c:v>
                </c:pt>
                <c:pt idx="76">
                  <c:v>0</c:v>
                </c:pt>
                <c:pt idx="77">
                  <c:v>6</c:v>
                </c:pt>
                <c:pt idx="78">
                  <c:v>0</c:v>
                </c:pt>
                <c:pt idx="79">
                  <c:v>10</c:v>
                </c:pt>
                <c:pt idx="80">
                  <c:v>0</c:v>
                </c:pt>
                <c:pt idx="81">
                  <c:v>0</c:v>
                </c:pt>
                <c:pt idx="82">
                  <c:v>2</c:v>
                </c:pt>
                <c:pt idx="83">
                  <c:v>0</c:v>
                </c:pt>
                <c:pt idx="84">
                  <c:v>5</c:v>
                </c:pt>
                <c:pt idx="85">
                  <c:v>1</c:v>
                </c:pt>
                <c:pt idx="86">
                  <c:v>0</c:v>
                </c:pt>
                <c:pt idx="87">
                  <c:v>0</c:v>
                </c:pt>
                <c:pt idx="88">
                  <c:v>8</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B-87C6-44EA-973E-4EE677DB667E}"/>
            </c:ext>
          </c:extLst>
        </c:ser>
        <c:ser>
          <c:idx val="76"/>
          <c:order val="76"/>
          <c:tx>
            <c:strRef>
              <c:f>Tabelle3!$CA$1</c:f>
              <c:strCache>
                <c:ptCount val="1"/>
                <c:pt idx="0">
                  <c:v>2023-05-01</c:v>
                </c:pt>
              </c:strCache>
            </c:strRef>
          </c:tx>
          <c:spPr>
            <a:ln w="28575" cap="rnd">
              <a:solidFill>
                <a:schemeClr val="accent5">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Tabelle3!$CA$2:$CA$100</c:f>
              <c:numCache>
                <c:formatCode>General</c:formatCode>
                <c:ptCount val="99"/>
                <c:pt idx="0">
                  <c:v>0</c:v>
                </c:pt>
                <c:pt idx="1">
                  <c:v>12</c:v>
                </c:pt>
                <c:pt idx="2">
                  <c:v>2</c:v>
                </c:pt>
                <c:pt idx="3">
                  <c:v>4</c:v>
                </c:pt>
                <c:pt idx="4">
                  <c:v>2</c:v>
                </c:pt>
                <c:pt idx="5">
                  <c:v>0</c:v>
                </c:pt>
                <c:pt idx="6">
                  <c:v>1</c:v>
                </c:pt>
                <c:pt idx="7">
                  <c:v>0</c:v>
                </c:pt>
                <c:pt idx="8">
                  <c:v>1</c:v>
                </c:pt>
                <c:pt idx="9">
                  <c:v>13</c:v>
                </c:pt>
                <c:pt idx="10">
                  <c:v>2</c:v>
                </c:pt>
                <c:pt idx="11">
                  <c:v>2</c:v>
                </c:pt>
                <c:pt idx="12">
                  <c:v>0</c:v>
                </c:pt>
                <c:pt idx="13">
                  <c:v>0</c:v>
                </c:pt>
                <c:pt idx="14">
                  <c:v>0</c:v>
                </c:pt>
                <c:pt idx="15">
                  <c:v>2</c:v>
                </c:pt>
                <c:pt idx="16">
                  <c:v>9</c:v>
                </c:pt>
                <c:pt idx="17">
                  <c:v>1</c:v>
                </c:pt>
                <c:pt idx="18">
                  <c:v>0</c:v>
                </c:pt>
                <c:pt idx="19">
                  <c:v>0</c:v>
                </c:pt>
                <c:pt idx="20">
                  <c:v>1</c:v>
                </c:pt>
                <c:pt idx="21">
                  <c:v>9</c:v>
                </c:pt>
                <c:pt idx="22">
                  <c:v>7</c:v>
                </c:pt>
                <c:pt idx="23">
                  <c:v>12</c:v>
                </c:pt>
                <c:pt idx="24">
                  <c:v>0</c:v>
                </c:pt>
                <c:pt idx="25">
                  <c:v>0</c:v>
                </c:pt>
                <c:pt idx="26">
                  <c:v>0</c:v>
                </c:pt>
                <c:pt idx="27">
                  <c:v>9</c:v>
                </c:pt>
                <c:pt idx="28">
                  <c:v>3</c:v>
                </c:pt>
                <c:pt idx="29">
                  <c:v>14</c:v>
                </c:pt>
                <c:pt idx="30">
                  <c:v>15</c:v>
                </c:pt>
                <c:pt idx="31">
                  <c:v>0</c:v>
                </c:pt>
                <c:pt idx="32">
                  <c:v>0</c:v>
                </c:pt>
                <c:pt idx="33">
                  <c:v>0</c:v>
                </c:pt>
                <c:pt idx="34">
                  <c:v>0</c:v>
                </c:pt>
                <c:pt idx="35">
                  <c:v>0</c:v>
                </c:pt>
                <c:pt idx="36">
                  <c:v>2</c:v>
                </c:pt>
                <c:pt idx="37">
                  <c:v>1</c:v>
                </c:pt>
                <c:pt idx="38">
                  <c:v>0</c:v>
                </c:pt>
                <c:pt idx="39">
                  <c:v>0</c:v>
                </c:pt>
                <c:pt idx="40">
                  <c:v>0</c:v>
                </c:pt>
                <c:pt idx="41">
                  <c:v>0</c:v>
                </c:pt>
                <c:pt idx="42">
                  <c:v>2</c:v>
                </c:pt>
                <c:pt idx="43">
                  <c:v>0</c:v>
                </c:pt>
                <c:pt idx="44">
                  <c:v>5</c:v>
                </c:pt>
                <c:pt idx="45">
                  <c:v>5</c:v>
                </c:pt>
                <c:pt idx="46">
                  <c:v>10</c:v>
                </c:pt>
                <c:pt idx="47">
                  <c:v>11</c:v>
                </c:pt>
                <c:pt idx="48">
                  <c:v>0</c:v>
                </c:pt>
                <c:pt idx="49">
                  <c:v>0</c:v>
                </c:pt>
                <c:pt idx="50">
                  <c:v>3</c:v>
                </c:pt>
                <c:pt idx="51">
                  <c:v>112</c:v>
                </c:pt>
                <c:pt idx="52">
                  <c:v>2</c:v>
                </c:pt>
                <c:pt idx="53">
                  <c:v>0</c:v>
                </c:pt>
                <c:pt idx="54">
                  <c:v>0</c:v>
                </c:pt>
                <c:pt idx="55">
                  <c:v>7</c:v>
                </c:pt>
                <c:pt idx="56">
                  <c:v>0</c:v>
                </c:pt>
                <c:pt idx="57">
                  <c:v>12</c:v>
                </c:pt>
                <c:pt idx="58">
                  <c:v>4</c:v>
                </c:pt>
                <c:pt idx="59">
                  <c:v>1</c:v>
                </c:pt>
                <c:pt idx="60">
                  <c:v>8</c:v>
                </c:pt>
                <c:pt idx="61">
                  <c:v>6</c:v>
                </c:pt>
                <c:pt idx="62">
                  <c:v>0</c:v>
                </c:pt>
                <c:pt idx="63">
                  <c:v>0</c:v>
                </c:pt>
                <c:pt idx="64">
                  <c:v>0</c:v>
                </c:pt>
                <c:pt idx="65">
                  <c:v>3</c:v>
                </c:pt>
                <c:pt idx="66">
                  <c:v>0</c:v>
                </c:pt>
                <c:pt idx="67">
                  <c:v>20</c:v>
                </c:pt>
                <c:pt idx="68">
                  <c:v>48</c:v>
                </c:pt>
                <c:pt idx="69">
                  <c:v>19</c:v>
                </c:pt>
                <c:pt idx="70">
                  <c:v>5</c:v>
                </c:pt>
                <c:pt idx="71">
                  <c:v>24</c:v>
                </c:pt>
                <c:pt idx="72">
                  <c:v>6</c:v>
                </c:pt>
                <c:pt idx="73">
                  <c:v>8</c:v>
                </c:pt>
                <c:pt idx="74">
                  <c:v>1</c:v>
                </c:pt>
                <c:pt idx="75">
                  <c:v>0</c:v>
                </c:pt>
                <c:pt idx="76">
                  <c:v>0</c:v>
                </c:pt>
                <c:pt idx="77">
                  <c:v>5</c:v>
                </c:pt>
                <c:pt idx="78">
                  <c:v>0</c:v>
                </c:pt>
                <c:pt idx="79">
                  <c:v>11</c:v>
                </c:pt>
                <c:pt idx="80">
                  <c:v>0</c:v>
                </c:pt>
                <c:pt idx="81">
                  <c:v>1</c:v>
                </c:pt>
                <c:pt idx="82">
                  <c:v>2</c:v>
                </c:pt>
                <c:pt idx="83">
                  <c:v>0</c:v>
                </c:pt>
                <c:pt idx="84">
                  <c:v>6</c:v>
                </c:pt>
                <c:pt idx="85">
                  <c:v>0</c:v>
                </c:pt>
                <c:pt idx="86">
                  <c:v>0</c:v>
                </c:pt>
                <c:pt idx="87">
                  <c:v>0</c:v>
                </c:pt>
                <c:pt idx="88">
                  <c:v>9</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C-87C6-44EA-973E-4EE677DB667E}"/>
            </c:ext>
          </c:extLst>
        </c:ser>
        <c:ser>
          <c:idx val="77"/>
          <c:order val="77"/>
          <c:tx>
            <c:strRef>
              <c:f>Tabelle3!$CB$1</c:f>
              <c:strCache>
                <c:ptCount val="1"/>
                <c:pt idx="0">
                  <c:v>2023-06-01</c:v>
                </c:pt>
              </c:strCache>
            </c:strRef>
          </c:tx>
          <c:spPr>
            <a:ln w="28575" cap="rnd">
              <a:solidFill>
                <a:schemeClr val="accent6">
                  <a:lumMod val="8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Tabelle3!$CB$2:$CB$100</c:f>
              <c:numCache>
                <c:formatCode>General</c:formatCode>
                <c:ptCount val="99"/>
                <c:pt idx="0">
                  <c:v>0</c:v>
                </c:pt>
                <c:pt idx="1">
                  <c:v>10</c:v>
                </c:pt>
                <c:pt idx="2">
                  <c:v>2</c:v>
                </c:pt>
                <c:pt idx="3">
                  <c:v>4</c:v>
                </c:pt>
                <c:pt idx="4">
                  <c:v>1</c:v>
                </c:pt>
                <c:pt idx="5">
                  <c:v>0</c:v>
                </c:pt>
                <c:pt idx="6">
                  <c:v>0</c:v>
                </c:pt>
                <c:pt idx="7">
                  <c:v>0</c:v>
                </c:pt>
                <c:pt idx="8">
                  <c:v>1</c:v>
                </c:pt>
                <c:pt idx="9">
                  <c:v>5</c:v>
                </c:pt>
                <c:pt idx="10">
                  <c:v>3</c:v>
                </c:pt>
                <c:pt idx="11">
                  <c:v>2</c:v>
                </c:pt>
                <c:pt idx="12">
                  <c:v>0</c:v>
                </c:pt>
                <c:pt idx="13">
                  <c:v>0</c:v>
                </c:pt>
                <c:pt idx="14">
                  <c:v>0</c:v>
                </c:pt>
                <c:pt idx="15">
                  <c:v>2</c:v>
                </c:pt>
                <c:pt idx="16">
                  <c:v>8</c:v>
                </c:pt>
                <c:pt idx="17">
                  <c:v>1</c:v>
                </c:pt>
                <c:pt idx="18">
                  <c:v>0</c:v>
                </c:pt>
                <c:pt idx="19">
                  <c:v>0</c:v>
                </c:pt>
                <c:pt idx="20">
                  <c:v>1</c:v>
                </c:pt>
                <c:pt idx="21">
                  <c:v>10</c:v>
                </c:pt>
                <c:pt idx="22">
                  <c:v>7</c:v>
                </c:pt>
                <c:pt idx="23">
                  <c:v>9</c:v>
                </c:pt>
                <c:pt idx="24">
                  <c:v>0</c:v>
                </c:pt>
                <c:pt idx="25">
                  <c:v>0</c:v>
                </c:pt>
                <c:pt idx="26">
                  <c:v>0</c:v>
                </c:pt>
                <c:pt idx="27">
                  <c:v>6</c:v>
                </c:pt>
                <c:pt idx="28">
                  <c:v>4</c:v>
                </c:pt>
                <c:pt idx="29">
                  <c:v>14</c:v>
                </c:pt>
                <c:pt idx="30">
                  <c:v>20</c:v>
                </c:pt>
                <c:pt idx="31">
                  <c:v>0</c:v>
                </c:pt>
                <c:pt idx="32">
                  <c:v>0</c:v>
                </c:pt>
                <c:pt idx="33">
                  <c:v>0</c:v>
                </c:pt>
                <c:pt idx="34">
                  <c:v>0</c:v>
                </c:pt>
                <c:pt idx="35">
                  <c:v>0</c:v>
                </c:pt>
                <c:pt idx="36">
                  <c:v>2</c:v>
                </c:pt>
                <c:pt idx="37">
                  <c:v>0</c:v>
                </c:pt>
                <c:pt idx="38">
                  <c:v>0</c:v>
                </c:pt>
                <c:pt idx="39">
                  <c:v>0</c:v>
                </c:pt>
                <c:pt idx="40">
                  <c:v>0</c:v>
                </c:pt>
                <c:pt idx="41">
                  <c:v>1</c:v>
                </c:pt>
                <c:pt idx="42">
                  <c:v>2</c:v>
                </c:pt>
                <c:pt idx="43">
                  <c:v>0</c:v>
                </c:pt>
                <c:pt idx="44">
                  <c:v>6</c:v>
                </c:pt>
                <c:pt idx="45">
                  <c:v>6</c:v>
                </c:pt>
                <c:pt idx="46">
                  <c:v>9</c:v>
                </c:pt>
                <c:pt idx="47">
                  <c:v>18</c:v>
                </c:pt>
                <c:pt idx="48">
                  <c:v>7</c:v>
                </c:pt>
                <c:pt idx="49">
                  <c:v>0</c:v>
                </c:pt>
                <c:pt idx="50">
                  <c:v>3</c:v>
                </c:pt>
                <c:pt idx="51">
                  <c:v>123</c:v>
                </c:pt>
                <c:pt idx="52">
                  <c:v>2</c:v>
                </c:pt>
                <c:pt idx="53">
                  <c:v>1</c:v>
                </c:pt>
                <c:pt idx="54">
                  <c:v>0</c:v>
                </c:pt>
                <c:pt idx="55">
                  <c:v>7</c:v>
                </c:pt>
                <c:pt idx="56">
                  <c:v>0</c:v>
                </c:pt>
                <c:pt idx="57">
                  <c:v>17</c:v>
                </c:pt>
                <c:pt idx="58">
                  <c:v>3</c:v>
                </c:pt>
                <c:pt idx="59">
                  <c:v>1</c:v>
                </c:pt>
                <c:pt idx="60">
                  <c:v>11</c:v>
                </c:pt>
                <c:pt idx="61">
                  <c:v>5</c:v>
                </c:pt>
                <c:pt idx="62">
                  <c:v>0</c:v>
                </c:pt>
                <c:pt idx="63">
                  <c:v>0</c:v>
                </c:pt>
                <c:pt idx="64">
                  <c:v>0</c:v>
                </c:pt>
                <c:pt idx="65">
                  <c:v>3</c:v>
                </c:pt>
                <c:pt idx="66">
                  <c:v>0</c:v>
                </c:pt>
                <c:pt idx="67">
                  <c:v>21</c:v>
                </c:pt>
                <c:pt idx="68">
                  <c:v>43</c:v>
                </c:pt>
                <c:pt idx="69">
                  <c:v>23</c:v>
                </c:pt>
                <c:pt idx="70">
                  <c:v>5</c:v>
                </c:pt>
                <c:pt idx="71">
                  <c:v>23</c:v>
                </c:pt>
                <c:pt idx="72">
                  <c:v>7</c:v>
                </c:pt>
                <c:pt idx="73">
                  <c:v>9</c:v>
                </c:pt>
                <c:pt idx="74">
                  <c:v>1</c:v>
                </c:pt>
                <c:pt idx="75">
                  <c:v>0</c:v>
                </c:pt>
                <c:pt idx="76">
                  <c:v>0</c:v>
                </c:pt>
                <c:pt idx="77">
                  <c:v>5</c:v>
                </c:pt>
                <c:pt idx="78">
                  <c:v>0</c:v>
                </c:pt>
                <c:pt idx="79">
                  <c:v>11</c:v>
                </c:pt>
                <c:pt idx="80">
                  <c:v>0</c:v>
                </c:pt>
                <c:pt idx="81">
                  <c:v>1</c:v>
                </c:pt>
                <c:pt idx="82">
                  <c:v>2</c:v>
                </c:pt>
                <c:pt idx="83">
                  <c:v>0</c:v>
                </c:pt>
                <c:pt idx="84">
                  <c:v>7</c:v>
                </c:pt>
                <c:pt idx="85">
                  <c:v>0</c:v>
                </c:pt>
                <c:pt idx="86">
                  <c:v>0</c:v>
                </c:pt>
                <c:pt idx="87">
                  <c:v>0</c:v>
                </c:pt>
                <c:pt idx="88">
                  <c:v>9</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D-87C6-44EA-973E-4EE677DB667E}"/>
            </c:ext>
          </c:extLst>
        </c:ser>
        <c:ser>
          <c:idx val="78"/>
          <c:order val="78"/>
          <c:tx>
            <c:strRef>
              <c:f>Tabelle3!$CC$1</c:f>
              <c:strCache>
                <c:ptCount val="1"/>
                <c:pt idx="0">
                  <c:v>2023-07-01</c:v>
                </c:pt>
              </c:strCache>
            </c:strRef>
          </c:tx>
          <c:spPr>
            <a:ln w="28575" cap="rnd">
              <a:solidFill>
                <a:schemeClr val="accent1">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Tabelle3!$CC$2:$CC$100</c:f>
              <c:numCache>
                <c:formatCode>General</c:formatCode>
                <c:ptCount val="99"/>
                <c:pt idx="0">
                  <c:v>0</c:v>
                </c:pt>
                <c:pt idx="1">
                  <c:v>7</c:v>
                </c:pt>
                <c:pt idx="2">
                  <c:v>2</c:v>
                </c:pt>
                <c:pt idx="3">
                  <c:v>4</c:v>
                </c:pt>
                <c:pt idx="4">
                  <c:v>1</c:v>
                </c:pt>
                <c:pt idx="5">
                  <c:v>0</c:v>
                </c:pt>
                <c:pt idx="6">
                  <c:v>0</c:v>
                </c:pt>
                <c:pt idx="7">
                  <c:v>0</c:v>
                </c:pt>
                <c:pt idx="8">
                  <c:v>1</c:v>
                </c:pt>
                <c:pt idx="9">
                  <c:v>1</c:v>
                </c:pt>
                <c:pt idx="10">
                  <c:v>3</c:v>
                </c:pt>
                <c:pt idx="11">
                  <c:v>2</c:v>
                </c:pt>
                <c:pt idx="12">
                  <c:v>0</c:v>
                </c:pt>
                <c:pt idx="13">
                  <c:v>0</c:v>
                </c:pt>
                <c:pt idx="14">
                  <c:v>0</c:v>
                </c:pt>
                <c:pt idx="15">
                  <c:v>2</c:v>
                </c:pt>
                <c:pt idx="16">
                  <c:v>5</c:v>
                </c:pt>
                <c:pt idx="17">
                  <c:v>1</c:v>
                </c:pt>
                <c:pt idx="18">
                  <c:v>0</c:v>
                </c:pt>
                <c:pt idx="19">
                  <c:v>0</c:v>
                </c:pt>
                <c:pt idx="20">
                  <c:v>1</c:v>
                </c:pt>
                <c:pt idx="21">
                  <c:v>11</c:v>
                </c:pt>
                <c:pt idx="22">
                  <c:v>8</c:v>
                </c:pt>
                <c:pt idx="23">
                  <c:v>9</c:v>
                </c:pt>
                <c:pt idx="24">
                  <c:v>0</c:v>
                </c:pt>
                <c:pt idx="25">
                  <c:v>0</c:v>
                </c:pt>
                <c:pt idx="26">
                  <c:v>0</c:v>
                </c:pt>
                <c:pt idx="27">
                  <c:v>2</c:v>
                </c:pt>
                <c:pt idx="28">
                  <c:v>6</c:v>
                </c:pt>
                <c:pt idx="29">
                  <c:v>14</c:v>
                </c:pt>
                <c:pt idx="30">
                  <c:v>25</c:v>
                </c:pt>
                <c:pt idx="31">
                  <c:v>0</c:v>
                </c:pt>
                <c:pt idx="32">
                  <c:v>0</c:v>
                </c:pt>
                <c:pt idx="33">
                  <c:v>0</c:v>
                </c:pt>
                <c:pt idx="34">
                  <c:v>0</c:v>
                </c:pt>
                <c:pt idx="35">
                  <c:v>0</c:v>
                </c:pt>
                <c:pt idx="36">
                  <c:v>3</c:v>
                </c:pt>
                <c:pt idx="37">
                  <c:v>3</c:v>
                </c:pt>
                <c:pt idx="38">
                  <c:v>0</c:v>
                </c:pt>
                <c:pt idx="39">
                  <c:v>0</c:v>
                </c:pt>
                <c:pt idx="40">
                  <c:v>0</c:v>
                </c:pt>
                <c:pt idx="41">
                  <c:v>2</c:v>
                </c:pt>
                <c:pt idx="42">
                  <c:v>2</c:v>
                </c:pt>
                <c:pt idx="43">
                  <c:v>0</c:v>
                </c:pt>
                <c:pt idx="44">
                  <c:v>6</c:v>
                </c:pt>
                <c:pt idx="45">
                  <c:v>8</c:v>
                </c:pt>
                <c:pt idx="46">
                  <c:v>8</c:v>
                </c:pt>
                <c:pt idx="47">
                  <c:v>16</c:v>
                </c:pt>
                <c:pt idx="48">
                  <c:v>8</c:v>
                </c:pt>
                <c:pt idx="49">
                  <c:v>0</c:v>
                </c:pt>
                <c:pt idx="50">
                  <c:v>6</c:v>
                </c:pt>
                <c:pt idx="51">
                  <c:v>119</c:v>
                </c:pt>
                <c:pt idx="52">
                  <c:v>2</c:v>
                </c:pt>
                <c:pt idx="53">
                  <c:v>1</c:v>
                </c:pt>
                <c:pt idx="54">
                  <c:v>0</c:v>
                </c:pt>
                <c:pt idx="55">
                  <c:v>6</c:v>
                </c:pt>
                <c:pt idx="56">
                  <c:v>0</c:v>
                </c:pt>
                <c:pt idx="57">
                  <c:v>13</c:v>
                </c:pt>
                <c:pt idx="58">
                  <c:v>3</c:v>
                </c:pt>
                <c:pt idx="59">
                  <c:v>1</c:v>
                </c:pt>
                <c:pt idx="60">
                  <c:v>9</c:v>
                </c:pt>
                <c:pt idx="61">
                  <c:v>6</c:v>
                </c:pt>
                <c:pt idx="62">
                  <c:v>0</c:v>
                </c:pt>
                <c:pt idx="63">
                  <c:v>0</c:v>
                </c:pt>
                <c:pt idx="64">
                  <c:v>0</c:v>
                </c:pt>
                <c:pt idx="65">
                  <c:v>2</c:v>
                </c:pt>
                <c:pt idx="66">
                  <c:v>0</c:v>
                </c:pt>
                <c:pt idx="67">
                  <c:v>21</c:v>
                </c:pt>
                <c:pt idx="68">
                  <c:v>41</c:v>
                </c:pt>
                <c:pt idx="69">
                  <c:v>21</c:v>
                </c:pt>
                <c:pt idx="70">
                  <c:v>4</c:v>
                </c:pt>
                <c:pt idx="71">
                  <c:v>25</c:v>
                </c:pt>
                <c:pt idx="72">
                  <c:v>7</c:v>
                </c:pt>
                <c:pt idx="73">
                  <c:v>8</c:v>
                </c:pt>
                <c:pt idx="74">
                  <c:v>1</c:v>
                </c:pt>
                <c:pt idx="75">
                  <c:v>1</c:v>
                </c:pt>
                <c:pt idx="76">
                  <c:v>0</c:v>
                </c:pt>
                <c:pt idx="77">
                  <c:v>7</c:v>
                </c:pt>
                <c:pt idx="78">
                  <c:v>0</c:v>
                </c:pt>
                <c:pt idx="79">
                  <c:v>14</c:v>
                </c:pt>
                <c:pt idx="80">
                  <c:v>0</c:v>
                </c:pt>
                <c:pt idx="81">
                  <c:v>1</c:v>
                </c:pt>
                <c:pt idx="82">
                  <c:v>2</c:v>
                </c:pt>
                <c:pt idx="83">
                  <c:v>0</c:v>
                </c:pt>
                <c:pt idx="84">
                  <c:v>9</c:v>
                </c:pt>
                <c:pt idx="85">
                  <c:v>1</c:v>
                </c:pt>
                <c:pt idx="86">
                  <c:v>0</c:v>
                </c:pt>
                <c:pt idx="87">
                  <c:v>0</c:v>
                </c:pt>
                <c:pt idx="88">
                  <c:v>8</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E-87C6-44EA-973E-4EE677DB667E}"/>
            </c:ext>
          </c:extLst>
        </c:ser>
        <c:ser>
          <c:idx val="79"/>
          <c:order val="79"/>
          <c:tx>
            <c:strRef>
              <c:f>Tabelle3!$CD$1</c:f>
              <c:strCache>
                <c:ptCount val="1"/>
                <c:pt idx="0">
                  <c:v>2023-08-01</c:v>
                </c:pt>
              </c:strCache>
            </c:strRef>
          </c:tx>
          <c:spPr>
            <a:ln w="28575" cap="rnd">
              <a:solidFill>
                <a:schemeClr val="accent2">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Tabelle3!$CD$2:$CD$100</c:f>
              <c:numCache>
                <c:formatCode>General</c:formatCode>
                <c:ptCount val="99"/>
                <c:pt idx="0">
                  <c:v>0</c:v>
                </c:pt>
                <c:pt idx="1">
                  <c:v>9</c:v>
                </c:pt>
                <c:pt idx="2">
                  <c:v>3</c:v>
                </c:pt>
                <c:pt idx="3">
                  <c:v>4</c:v>
                </c:pt>
                <c:pt idx="4">
                  <c:v>0</c:v>
                </c:pt>
                <c:pt idx="5">
                  <c:v>0</c:v>
                </c:pt>
                <c:pt idx="6">
                  <c:v>0</c:v>
                </c:pt>
                <c:pt idx="7">
                  <c:v>0</c:v>
                </c:pt>
                <c:pt idx="8">
                  <c:v>0</c:v>
                </c:pt>
                <c:pt idx="9">
                  <c:v>10</c:v>
                </c:pt>
                <c:pt idx="10">
                  <c:v>6</c:v>
                </c:pt>
                <c:pt idx="11">
                  <c:v>2</c:v>
                </c:pt>
                <c:pt idx="12">
                  <c:v>0</c:v>
                </c:pt>
                <c:pt idx="13">
                  <c:v>0</c:v>
                </c:pt>
                <c:pt idx="14">
                  <c:v>0</c:v>
                </c:pt>
                <c:pt idx="15">
                  <c:v>2</c:v>
                </c:pt>
                <c:pt idx="16">
                  <c:v>5</c:v>
                </c:pt>
                <c:pt idx="17">
                  <c:v>1</c:v>
                </c:pt>
                <c:pt idx="18">
                  <c:v>0</c:v>
                </c:pt>
                <c:pt idx="19">
                  <c:v>0</c:v>
                </c:pt>
                <c:pt idx="20">
                  <c:v>1</c:v>
                </c:pt>
                <c:pt idx="21">
                  <c:v>9</c:v>
                </c:pt>
                <c:pt idx="22">
                  <c:v>6</c:v>
                </c:pt>
                <c:pt idx="23">
                  <c:v>7</c:v>
                </c:pt>
                <c:pt idx="24">
                  <c:v>0</c:v>
                </c:pt>
                <c:pt idx="25">
                  <c:v>1</c:v>
                </c:pt>
                <c:pt idx="26">
                  <c:v>0</c:v>
                </c:pt>
                <c:pt idx="27">
                  <c:v>3</c:v>
                </c:pt>
                <c:pt idx="28">
                  <c:v>7</c:v>
                </c:pt>
                <c:pt idx="29">
                  <c:v>14</c:v>
                </c:pt>
                <c:pt idx="30">
                  <c:v>22</c:v>
                </c:pt>
                <c:pt idx="31">
                  <c:v>0</c:v>
                </c:pt>
                <c:pt idx="32">
                  <c:v>0</c:v>
                </c:pt>
                <c:pt idx="33">
                  <c:v>0</c:v>
                </c:pt>
                <c:pt idx="34">
                  <c:v>0</c:v>
                </c:pt>
                <c:pt idx="35">
                  <c:v>0</c:v>
                </c:pt>
                <c:pt idx="36">
                  <c:v>2</c:v>
                </c:pt>
                <c:pt idx="37">
                  <c:v>2</c:v>
                </c:pt>
                <c:pt idx="38">
                  <c:v>0</c:v>
                </c:pt>
                <c:pt idx="39">
                  <c:v>0</c:v>
                </c:pt>
                <c:pt idx="40">
                  <c:v>1</c:v>
                </c:pt>
                <c:pt idx="41">
                  <c:v>2</c:v>
                </c:pt>
                <c:pt idx="42">
                  <c:v>1</c:v>
                </c:pt>
                <c:pt idx="43">
                  <c:v>2</c:v>
                </c:pt>
                <c:pt idx="44">
                  <c:v>5</c:v>
                </c:pt>
                <c:pt idx="45">
                  <c:v>12</c:v>
                </c:pt>
                <c:pt idx="46">
                  <c:v>8</c:v>
                </c:pt>
                <c:pt idx="47">
                  <c:v>15</c:v>
                </c:pt>
                <c:pt idx="48">
                  <c:v>4</c:v>
                </c:pt>
                <c:pt idx="49">
                  <c:v>1</c:v>
                </c:pt>
                <c:pt idx="50">
                  <c:v>6</c:v>
                </c:pt>
                <c:pt idx="51">
                  <c:v>107</c:v>
                </c:pt>
                <c:pt idx="52">
                  <c:v>2</c:v>
                </c:pt>
                <c:pt idx="53">
                  <c:v>1</c:v>
                </c:pt>
                <c:pt idx="54">
                  <c:v>1</c:v>
                </c:pt>
                <c:pt idx="55">
                  <c:v>5</c:v>
                </c:pt>
                <c:pt idx="56">
                  <c:v>0</c:v>
                </c:pt>
                <c:pt idx="57">
                  <c:v>10</c:v>
                </c:pt>
                <c:pt idx="58">
                  <c:v>2</c:v>
                </c:pt>
                <c:pt idx="59">
                  <c:v>1</c:v>
                </c:pt>
                <c:pt idx="60">
                  <c:v>12</c:v>
                </c:pt>
                <c:pt idx="61">
                  <c:v>3</c:v>
                </c:pt>
                <c:pt idx="62">
                  <c:v>0</c:v>
                </c:pt>
                <c:pt idx="63">
                  <c:v>0</c:v>
                </c:pt>
                <c:pt idx="64">
                  <c:v>0</c:v>
                </c:pt>
                <c:pt idx="65">
                  <c:v>2</c:v>
                </c:pt>
                <c:pt idx="66">
                  <c:v>0</c:v>
                </c:pt>
                <c:pt idx="67">
                  <c:v>15</c:v>
                </c:pt>
                <c:pt idx="68">
                  <c:v>44</c:v>
                </c:pt>
                <c:pt idx="69">
                  <c:v>18</c:v>
                </c:pt>
                <c:pt idx="70">
                  <c:v>4</c:v>
                </c:pt>
                <c:pt idx="71">
                  <c:v>41</c:v>
                </c:pt>
                <c:pt idx="72">
                  <c:v>11</c:v>
                </c:pt>
                <c:pt idx="73">
                  <c:v>9</c:v>
                </c:pt>
                <c:pt idx="74">
                  <c:v>1</c:v>
                </c:pt>
                <c:pt idx="75">
                  <c:v>1</c:v>
                </c:pt>
                <c:pt idx="76">
                  <c:v>0</c:v>
                </c:pt>
                <c:pt idx="77">
                  <c:v>7</c:v>
                </c:pt>
                <c:pt idx="78">
                  <c:v>0</c:v>
                </c:pt>
                <c:pt idx="79">
                  <c:v>14</c:v>
                </c:pt>
                <c:pt idx="80">
                  <c:v>0</c:v>
                </c:pt>
                <c:pt idx="81">
                  <c:v>1</c:v>
                </c:pt>
                <c:pt idx="82">
                  <c:v>2</c:v>
                </c:pt>
                <c:pt idx="83">
                  <c:v>0</c:v>
                </c:pt>
                <c:pt idx="84">
                  <c:v>8</c:v>
                </c:pt>
                <c:pt idx="85">
                  <c:v>0</c:v>
                </c:pt>
                <c:pt idx="86">
                  <c:v>0</c:v>
                </c:pt>
                <c:pt idx="87">
                  <c:v>0</c:v>
                </c:pt>
                <c:pt idx="88">
                  <c:v>7</c:v>
                </c:pt>
                <c:pt idx="89">
                  <c:v>3</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4F-87C6-44EA-973E-4EE677DB667E}"/>
            </c:ext>
          </c:extLst>
        </c:ser>
        <c:ser>
          <c:idx val="80"/>
          <c:order val="80"/>
          <c:tx>
            <c:strRef>
              <c:f>Tabelle3!$CE$1</c:f>
              <c:strCache>
                <c:ptCount val="1"/>
                <c:pt idx="0">
                  <c:v>2023-09-01</c:v>
                </c:pt>
              </c:strCache>
            </c:strRef>
          </c:tx>
          <c:spPr>
            <a:ln w="28575" cap="rnd">
              <a:solidFill>
                <a:schemeClr val="accent3">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Tabelle3!$CE$2:$CE$100</c:f>
              <c:numCache>
                <c:formatCode>General</c:formatCode>
                <c:ptCount val="99"/>
                <c:pt idx="0">
                  <c:v>1</c:v>
                </c:pt>
                <c:pt idx="1">
                  <c:v>9</c:v>
                </c:pt>
                <c:pt idx="2">
                  <c:v>2</c:v>
                </c:pt>
                <c:pt idx="3">
                  <c:v>3</c:v>
                </c:pt>
                <c:pt idx="4">
                  <c:v>0</c:v>
                </c:pt>
                <c:pt idx="5">
                  <c:v>0</c:v>
                </c:pt>
                <c:pt idx="6">
                  <c:v>2</c:v>
                </c:pt>
                <c:pt idx="7">
                  <c:v>0</c:v>
                </c:pt>
                <c:pt idx="8">
                  <c:v>0</c:v>
                </c:pt>
                <c:pt idx="9">
                  <c:v>12</c:v>
                </c:pt>
                <c:pt idx="10">
                  <c:v>5</c:v>
                </c:pt>
                <c:pt idx="11">
                  <c:v>2</c:v>
                </c:pt>
                <c:pt idx="12">
                  <c:v>0</c:v>
                </c:pt>
                <c:pt idx="13">
                  <c:v>0</c:v>
                </c:pt>
                <c:pt idx="14">
                  <c:v>0</c:v>
                </c:pt>
                <c:pt idx="15">
                  <c:v>2</c:v>
                </c:pt>
                <c:pt idx="16">
                  <c:v>7</c:v>
                </c:pt>
                <c:pt idx="17">
                  <c:v>2</c:v>
                </c:pt>
                <c:pt idx="18">
                  <c:v>2</c:v>
                </c:pt>
                <c:pt idx="19">
                  <c:v>2</c:v>
                </c:pt>
                <c:pt idx="20">
                  <c:v>2</c:v>
                </c:pt>
                <c:pt idx="21">
                  <c:v>8</c:v>
                </c:pt>
                <c:pt idx="22">
                  <c:v>5</c:v>
                </c:pt>
                <c:pt idx="23">
                  <c:v>2</c:v>
                </c:pt>
                <c:pt idx="24">
                  <c:v>0</c:v>
                </c:pt>
                <c:pt idx="25">
                  <c:v>1</c:v>
                </c:pt>
                <c:pt idx="26">
                  <c:v>0</c:v>
                </c:pt>
                <c:pt idx="27">
                  <c:v>2</c:v>
                </c:pt>
                <c:pt idx="28">
                  <c:v>5</c:v>
                </c:pt>
                <c:pt idx="29">
                  <c:v>15</c:v>
                </c:pt>
                <c:pt idx="30">
                  <c:v>20</c:v>
                </c:pt>
                <c:pt idx="31">
                  <c:v>0</c:v>
                </c:pt>
                <c:pt idx="32">
                  <c:v>0</c:v>
                </c:pt>
                <c:pt idx="33">
                  <c:v>0</c:v>
                </c:pt>
                <c:pt idx="34">
                  <c:v>0</c:v>
                </c:pt>
                <c:pt idx="35">
                  <c:v>0</c:v>
                </c:pt>
                <c:pt idx="36">
                  <c:v>0</c:v>
                </c:pt>
                <c:pt idx="37">
                  <c:v>2</c:v>
                </c:pt>
                <c:pt idx="38">
                  <c:v>0</c:v>
                </c:pt>
                <c:pt idx="39">
                  <c:v>0</c:v>
                </c:pt>
                <c:pt idx="40">
                  <c:v>3</c:v>
                </c:pt>
                <c:pt idx="41">
                  <c:v>2</c:v>
                </c:pt>
                <c:pt idx="42">
                  <c:v>2</c:v>
                </c:pt>
                <c:pt idx="43">
                  <c:v>1</c:v>
                </c:pt>
                <c:pt idx="44">
                  <c:v>3</c:v>
                </c:pt>
                <c:pt idx="45">
                  <c:v>14</c:v>
                </c:pt>
                <c:pt idx="46">
                  <c:v>10</c:v>
                </c:pt>
                <c:pt idx="47">
                  <c:v>13</c:v>
                </c:pt>
                <c:pt idx="48">
                  <c:v>0</c:v>
                </c:pt>
                <c:pt idx="49">
                  <c:v>0</c:v>
                </c:pt>
                <c:pt idx="50">
                  <c:v>6</c:v>
                </c:pt>
                <c:pt idx="51">
                  <c:v>102</c:v>
                </c:pt>
                <c:pt idx="52">
                  <c:v>3</c:v>
                </c:pt>
                <c:pt idx="53">
                  <c:v>2</c:v>
                </c:pt>
                <c:pt idx="54">
                  <c:v>3</c:v>
                </c:pt>
                <c:pt idx="55">
                  <c:v>4</c:v>
                </c:pt>
                <c:pt idx="56">
                  <c:v>0</c:v>
                </c:pt>
                <c:pt idx="57">
                  <c:v>11</c:v>
                </c:pt>
                <c:pt idx="58">
                  <c:v>2</c:v>
                </c:pt>
                <c:pt idx="59">
                  <c:v>1</c:v>
                </c:pt>
                <c:pt idx="60">
                  <c:v>9</c:v>
                </c:pt>
                <c:pt idx="61">
                  <c:v>4</c:v>
                </c:pt>
                <c:pt idx="62">
                  <c:v>0</c:v>
                </c:pt>
                <c:pt idx="63">
                  <c:v>1</c:v>
                </c:pt>
                <c:pt idx="64">
                  <c:v>0</c:v>
                </c:pt>
                <c:pt idx="65">
                  <c:v>3</c:v>
                </c:pt>
                <c:pt idx="66">
                  <c:v>0</c:v>
                </c:pt>
                <c:pt idx="67">
                  <c:v>15</c:v>
                </c:pt>
                <c:pt idx="68">
                  <c:v>41</c:v>
                </c:pt>
                <c:pt idx="69">
                  <c:v>19</c:v>
                </c:pt>
                <c:pt idx="70">
                  <c:v>4</c:v>
                </c:pt>
                <c:pt idx="71">
                  <c:v>39</c:v>
                </c:pt>
                <c:pt idx="72">
                  <c:v>21</c:v>
                </c:pt>
                <c:pt idx="73">
                  <c:v>7</c:v>
                </c:pt>
                <c:pt idx="74">
                  <c:v>1</c:v>
                </c:pt>
                <c:pt idx="75">
                  <c:v>1</c:v>
                </c:pt>
                <c:pt idx="76">
                  <c:v>0</c:v>
                </c:pt>
                <c:pt idx="77">
                  <c:v>4</c:v>
                </c:pt>
                <c:pt idx="78">
                  <c:v>0</c:v>
                </c:pt>
                <c:pt idx="79">
                  <c:v>16</c:v>
                </c:pt>
                <c:pt idx="80">
                  <c:v>0</c:v>
                </c:pt>
                <c:pt idx="81">
                  <c:v>1</c:v>
                </c:pt>
                <c:pt idx="82">
                  <c:v>1</c:v>
                </c:pt>
                <c:pt idx="83">
                  <c:v>0</c:v>
                </c:pt>
                <c:pt idx="84">
                  <c:v>10</c:v>
                </c:pt>
                <c:pt idx="85">
                  <c:v>0</c:v>
                </c:pt>
                <c:pt idx="86">
                  <c:v>0</c:v>
                </c:pt>
                <c:pt idx="87">
                  <c:v>0</c:v>
                </c:pt>
                <c:pt idx="88">
                  <c:v>6</c:v>
                </c:pt>
                <c:pt idx="89">
                  <c:v>3</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0-87C6-44EA-973E-4EE677DB667E}"/>
            </c:ext>
          </c:extLst>
        </c:ser>
        <c:ser>
          <c:idx val="81"/>
          <c:order val="81"/>
          <c:tx>
            <c:strRef>
              <c:f>Tabelle3!$CF$1</c:f>
              <c:strCache>
                <c:ptCount val="1"/>
                <c:pt idx="0">
                  <c:v>2023-10-01</c:v>
                </c:pt>
              </c:strCache>
            </c:strRef>
          </c:tx>
          <c:spPr>
            <a:ln w="28575" cap="rnd">
              <a:solidFill>
                <a:schemeClr val="accent4">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Tabelle3!$CF$2:$CF$100</c:f>
              <c:numCache>
                <c:formatCode>General</c:formatCode>
                <c:ptCount val="99"/>
                <c:pt idx="0">
                  <c:v>0</c:v>
                </c:pt>
                <c:pt idx="1">
                  <c:v>10</c:v>
                </c:pt>
                <c:pt idx="2">
                  <c:v>2</c:v>
                </c:pt>
                <c:pt idx="3">
                  <c:v>2</c:v>
                </c:pt>
                <c:pt idx="4">
                  <c:v>0</c:v>
                </c:pt>
                <c:pt idx="5">
                  <c:v>0</c:v>
                </c:pt>
                <c:pt idx="6">
                  <c:v>2</c:v>
                </c:pt>
                <c:pt idx="7">
                  <c:v>0</c:v>
                </c:pt>
                <c:pt idx="8">
                  <c:v>0</c:v>
                </c:pt>
                <c:pt idx="9">
                  <c:v>14</c:v>
                </c:pt>
                <c:pt idx="10">
                  <c:v>4</c:v>
                </c:pt>
                <c:pt idx="11">
                  <c:v>2</c:v>
                </c:pt>
                <c:pt idx="12">
                  <c:v>0</c:v>
                </c:pt>
                <c:pt idx="13">
                  <c:v>0</c:v>
                </c:pt>
                <c:pt idx="14">
                  <c:v>0</c:v>
                </c:pt>
                <c:pt idx="15">
                  <c:v>2</c:v>
                </c:pt>
                <c:pt idx="16">
                  <c:v>8</c:v>
                </c:pt>
                <c:pt idx="17">
                  <c:v>2</c:v>
                </c:pt>
                <c:pt idx="18">
                  <c:v>1</c:v>
                </c:pt>
                <c:pt idx="19">
                  <c:v>2</c:v>
                </c:pt>
                <c:pt idx="20">
                  <c:v>2</c:v>
                </c:pt>
                <c:pt idx="21">
                  <c:v>8</c:v>
                </c:pt>
                <c:pt idx="22">
                  <c:v>6</c:v>
                </c:pt>
                <c:pt idx="23">
                  <c:v>2</c:v>
                </c:pt>
                <c:pt idx="24">
                  <c:v>0</c:v>
                </c:pt>
                <c:pt idx="25">
                  <c:v>0</c:v>
                </c:pt>
                <c:pt idx="26">
                  <c:v>0</c:v>
                </c:pt>
                <c:pt idx="27">
                  <c:v>3</c:v>
                </c:pt>
                <c:pt idx="28">
                  <c:v>5</c:v>
                </c:pt>
                <c:pt idx="29">
                  <c:v>19</c:v>
                </c:pt>
                <c:pt idx="30">
                  <c:v>13</c:v>
                </c:pt>
                <c:pt idx="31">
                  <c:v>0</c:v>
                </c:pt>
                <c:pt idx="32">
                  <c:v>0</c:v>
                </c:pt>
                <c:pt idx="33">
                  <c:v>0</c:v>
                </c:pt>
                <c:pt idx="34">
                  <c:v>0</c:v>
                </c:pt>
                <c:pt idx="35">
                  <c:v>0</c:v>
                </c:pt>
                <c:pt idx="36">
                  <c:v>1</c:v>
                </c:pt>
                <c:pt idx="37">
                  <c:v>1</c:v>
                </c:pt>
                <c:pt idx="38">
                  <c:v>0</c:v>
                </c:pt>
                <c:pt idx="39">
                  <c:v>0</c:v>
                </c:pt>
                <c:pt idx="40">
                  <c:v>1</c:v>
                </c:pt>
                <c:pt idx="41">
                  <c:v>2</c:v>
                </c:pt>
                <c:pt idx="42">
                  <c:v>2</c:v>
                </c:pt>
                <c:pt idx="43">
                  <c:v>1</c:v>
                </c:pt>
                <c:pt idx="44">
                  <c:v>4</c:v>
                </c:pt>
                <c:pt idx="45">
                  <c:v>14</c:v>
                </c:pt>
                <c:pt idx="46">
                  <c:v>10</c:v>
                </c:pt>
                <c:pt idx="47">
                  <c:v>10</c:v>
                </c:pt>
                <c:pt idx="48">
                  <c:v>1</c:v>
                </c:pt>
                <c:pt idx="49">
                  <c:v>0</c:v>
                </c:pt>
                <c:pt idx="50">
                  <c:v>6</c:v>
                </c:pt>
                <c:pt idx="51">
                  <c:v>102</c:v>
                </c:pt>
                <c:pt idx="52">
                  <c:v>4</c:v>
                </c:pt>
                <c:pt idx="53">
                  <c:v>1</c:v>
                </c:pt>
                <c:pt idx="54">
                  <c:v>4</c:v>
                </c:pt>
                <c:pt idx="55">
                  <c:v>4</c:v>
                </c:pt>
                <c:pt idx="56">
                  <c:v>0</c:v>
                </c:pt>
                <c:pt idx="57">
                  <c:v>11</c:v>
                </c:pt>
                <c:pt idx="58">
                  <c:v>3</c:v>
                </c:pt>
                <c:pt idx="59">
                  <c:v>1</c:v>
                </c:pt>
                <c:pt idx="60">
                  <c:v>9</c:v>
                </c:pt>
                <c:pt idx="61">
                  <c:v>4</c:v>
                </c:pt>
                <c:pt idx="62">
                  <c:v>0</c:v>
                </c:pt>
                <c:pt idx="63">
                  <c:v>2</c:v>
                </c:pt>
                <c:pt idx="64">
                  <c:v>0</c:v>
                </c:pt>
                <c:pt idx="65">
                  <c:v>3</c:v>
                </c:pt>
                <c:pt idx="66">
                  <c:v>0</c:v>
                </c:pt>
                <c:pt idx="67">
                  <c:v>16</c:v>
                </c:pt>
                <c:pt idx="68">
                  <c:v>41</c:v>
                </c:pt>
                <c:pt idx="69">
                  <c:v>19</c:v>
                </c:pt>
                <c:pt idx="70">
                  <c:v>6</c:v>
                </c:pt>
                <c:pt idx="71">
                  <c:v>22</c:v>
                </c:pt>
                <c:pt idx="72">
                  <c:v>22</c:v>
                </c:pt>
                <c:pt idx="73">
                  <c:v>6</c:v>
                </c:pt>
                <c:pt idx="74">
                  <c:v>1</c:v>
                </c:pt>
                <c:pt idx="75">
                  <c:v>1</c:v>
                </c:pt>
                <c:pt idx="76">
                  <c:v>0</c:v>
                </c:pt>
                <c:pt idx="77">
                  <c:v>4</c:v>
                </c:pt>
                <c:pt idx="78">
                  <c:v>0</c:v>
                </c:pt>
                <c:pt idx="79">
                  <c:v>14</c:v>
                </c:pt>
                <c:pt idx="80">
                  <c:v>0</c:v>
                </c:pt>
                <c:pt idx="81">
                  <c:v>1</c:v>
                </c:pt>
                <c:pt idx="82">
                  <c:v>1</c:v>
                </c:pt>
                <c:pt idx="83">
                  <c:v>0</c:v>
                </c:pt>
                <c:pt idx="84">
                  <c:v>10</c:v>
                </c:pt>
                <c:pt idx="85">
                  <c:v>0</c:v>
                </c:pt>
                <c:pt idx="86">
                  <c:v>0</c:v>
                </c:pt>
                <c:pt idx="87">
                  <c:v>0</c:v>
                </c:pt>
                <c:pt idx="88">
                  <c:v>6</c:v>
                </c:pt>
                <c:pt idx="89">
                  <c:v>3</c:v>
                </c:pt>
                <c:pt idx="90">
                  <c:v>0</c:v>
                </c:pt>
                <c:pt idx="91">
                  <c:v>0</c:v>
                </c:pt>
                <c:pt idx="92">
                  <c:v>1</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1-87C6-44EA-973E-4EE677DB667E}"/>
            </c:ext>
          </c:extLst>
        </c:ser>
        <c:ser>
          <c:idx val="82"/>
          <c:order val="82"/>
          <c:tx>
            <c:strRef>
              <c:f>Tabelle3!$CG$1</c:f>
              <c:strCache>
                <c:ptCount val="1"/>
                <c:pt idx="0">
                  <c:v>2023-11-01</c:v>
                </c:pt>
              </c:strCache>
            </c:strRef>
          </c:tx>
          <c:spPr>
            <a:ln w="28575" cap="rnd">
              <a:solidFill>
                <a:schemeClr val="accent5">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Tabelle3!$CG$2:$CG$100</c:f>
              <c:numCache>
                <c:formatCode>General</c:formatCode>
                <c:ptCount val="99"/>
                <c:pt idx="0">
                  <c:v>0</c:v>
                </c:pt>
                <c:pt idx="1">
                  <c:v>7</c:v>
                </c:pt>
                <c:pt idx="2">
                  <c:v>1</c:v>
                </c:pt>
                <c:pt idx="3">
                  <c:v>2</c:v>
                </c:pt>
                <c:pt idx="4">
                  <c:v>0</c:v>
                </c:pt>
                <c:pt idx="5">
                  <c:v>0</c:v>
                </c:pt>
                <c:pt idx="6">
                  <c:v>2</c:v>
                </c:pt>
                <c:pt idx="7">
                  <c:v>0</c:v>
                </c:pt>
                <c:pt idx="8">
                  <c:v>0</c:v>
                </c:pt>
                <c:pt idx="9">
                  <c:v>11</c:v>
                </c:pt>
                <c:pt idx="10">
                  <c:v>2</c:v>
                </c:pt>
                <c:pt idx="11">
                  <c:v>2</c:v>
                </c:pt>
                <c:pt idx="12">
                  <c:v>0</c:v>
                </c:pt>
                <c:pt idx="13">
                  <c:v>0</c:v>
                </c:pt>
                <c:pt idx="14">
                  <c:v>0</c:v>
                </c:pt>
                <c:pt idx="15">
                  <c:v>2</c:v>
                </c:pt>
                <c:pt idx="16">
                  <c:v>5</c:v>
                </c:pt>
                <c:pt idx="17">
                  <c:v>2</c:v>
                </c:pt>
                <c:pt idx="18">
                  <c:v>1</c:v>
                </c:pt>
                <c:pt idx="19">
                  <c:v>1</c:v>
                </c:pt>
                <c:pt idx="20">
                  <c:v>1</c:v>
                </c:pt>
                <c:pt idx="21">
                  <c:v>9</c:v>
                </c:pt>
                <c:pt idx="22">
                  <c:v>5</c:v>
                </c:pt>
                <c:pt idx="23">
                  <c:v>1</c:v>
                </c:pt>
                <c:pt idx="24">
                  <c:v>0</c:v>
                </c:pt>
                <c:pt idx="25">
                  <c:v>0</c:v>
                </c:pt>
                <c:pt idx="26">
                  <c:v>0</c:v>
                </c:pt>
                <c:pt idx="27">
                  <c:v>2</c:v>
                </c:pt>
                <c:pt idx="28">
                  <c:v>7</c:v>
                </c:pt>
                <c:pt idx="29">
                  <c:v>18</c:v>
                </c:pt>
                <c:pt idx="30">
                  <c:v>11</c:v>
                </c:pt>
                <c:pt idx="31">
                  <c:v>0</c:v>
                </c:pt>
                <c:pt idx="32">
                  <c:v>0</c:v>
                </c:pt>
                <c:pt idx="33">
                  <c:v>0</c:v>
                </c:pt>
                <c:pt idx="34">
                  <c:v>0</c:v>
                </c:pt>
                <c:pt idx="35">
                  <c:v>0</c:v>
                </c:pt>
                <c:pt idx="36">
                  <c:v>1</c:v>
                </c:pt>
                <c:pt idx="37">
                  <c:v>0</c:v>
                </c:pt>
                <c:pt idx="38">
                  <c:v>0</c:v>
                </c:pt>
                <c:pt idx="39">
                  <c:v>0</c:v>
                </c:pt>
                <c:pt idx="40">
                  <c:v>2</c:v>
                </c:pt>
                <c:pt idx="41">
                  <c:v>2</c:v>
                </c:pt>
                <c:pt idx="42">
                  <c:v>1</c:v>
                </c:pt>
                <c:pt idx="43">
                  <c:v>1</c:v>
                </c:pt>
                <c:pt idx="44">
                  <c:v>2</c:v>
                </c:pt>
                <c:pt idx="45">
                  <c:v>13</c:v>
                </c:pt>
                <c:pt idx="46">
                  <c:v>7</c:v>
                </c:pt>
                <c:pt idx="47">
                  <c:v>9</c:v>
                </c:pt>
                <c:pt idx="48">
                  <c:v>1</c:v>
                </c:pt>
                <c:pt idx="49">
                  <c:v>0</c:v>
                </c:pt>
                <c:pt idx="50">
                  <c:v>4</c:v>
                </c:pt>
                <c:pt idx="51">
                  <c:v>78</c:v>
                </c:pt>
                <c:pt idx="52">
                  <c:v>1</c:v>
                </c:pt>
                <c:pt idx="53">
                  <c:v>0</c:v>
                </c:pt>
                <c:pt idx="54">
                  <c:v>3</c:v>
                </c:pt>
                <c:pt idx="55">
                  <c:v>4</c:v>
                </c:pt>
                <c:pt idx="56">
                  <c:v>0</c:v>
                </c:pt>
                <c:pt idx="57">
                  <c:v>9</c:v>
                </c:pt>
                <c:pt idx="58">
                  <c:v>3</c:v>
                </c:pt>
                <c:pt idx="59">
                  <c:v>1</c:v>
                </c:pt>
                <c:pt idx="60">
                  <c:v>7</c:v>
                </c:pt>
                <c:pt idx="61">
                  <c:v>2</c:v>
                </c:pt>
                <c:pt idx="62">
                  <c:v>0</c:v>
                </c:pt>
                <c:pt idx="63">
                  <c:v>1</c:v>
                </c:pt>
                <c:pt idx="64">
                  <c:v>0</c:v>
                </c:pt>
                <c:pt idx="65">
                  <c:v>2</c:v>
                </c:pt>
                <c:pt idx="66">
                  <c:v>0</c:v>
                </c:pt>
                <c:pt idx="67">
                  <c:v>12</c:v>
                </c:pt>
                <c:pt idx="68">
                  <c:v>33</c:v>
                </c:pt>
                <c:pt idx="69">
                  <c:v>14</c:v>
                </c:pt>
                <c:pt idx="70">
                  <c:v>5</c:v>
                </c:pt>
                <c:pt idx="71">
                  <c:v>14</c:v>
                </c:pt>
                <c:pt idx="72">
                  <c:v>15</c:v>
                </c:pt>
                <c:pt idx="73">
                  <c:v>6</c:v>
                </c:pt>
                <c:pt idx="74">
                  <c:v>1</c:v>
                </c:pt>
                <c:pt idx="75">
                  <c:v>1</c:v>
                </c:pt>
                <c:pt idx="76">
                  <c:v>0</c:v>
                </c:pt>
                <c:pt idx="77">
                  <c:v>2</c:v>
                </c:pt>
                <c:pt idx="78">
                  <c:v>0</c:v>
                </c:pt>
                <c:pt idx="79">
                  <c:v>11</c:v>
                </c:pt>
                <c:pt idx="80">
                  <c:v>0</c:v>
                </c:pt>
                <c:pt idx="81">
                  <c:v>0</c:v>
                </c:pt>
                <c:pt idx="82">
                  <c:v>0</c:v>
                </c:pt>
                <c:pt idx="83">
                  <c:v>0</c:v>
                </c:pt>
                <c:pt idx="84">
                  <c:v>8</c:v>
                </c:pt>
                <c:pt idx="85">
                  <c:v>0</c:v>
                </c:pt>
                <c:pt idx="86">
                  <c:v>0</c:v>
                </c:pt>
                <c:pt idx="87">
                  <c:v>0</c:v>
                </c:pt>
                <c:pt idx="88">
                  <c:v>4</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2-87C6-44EA-973E-4EE677DB667E}"/>
            </c:ext>
          </c:extLst>
        </c:ser>
        <c:ser>
          <c:idx val="83"/>
          <c:order val="83"/>
          <c:tx>
            <c:strRef>
              <c:f>Tabelle3!$CH$1</c:f>
              <c:strCache>
                <c:ptCount val="1"/>
                <c:pt idx="0">
                  <c:v>2023-12-01</c:v>
                </c:pt>
              </c:strCache>
            </c:strRef>
          </c:tx>
          <c:spPr>
            <a:ln w="28575" cap="rnd">
              <a:solidFill>
                <a:schemeClr val="accent6">
                  <a:lumMod val="60000"/>
                  <a:lumOff val="4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Tabelle3!$CH$2:$CH$100</c:f>
              <c:numCache>
                <c:formatCode>General</c:formatCode>
                <c:ptCount val="99"/>
                <c:pt idx="0">
                  <c:v>0</c:v>
                </c:pt>
                <c:pt idx="1">
                  <c:v>7</c:v>
                </c:pt>
                <c:pt idx="2">
                  <c:v>1</c:v>
                </c:pt>
                <c:pt idx="3">
                  <c:v>2</c:v>
                </c:pt>
                <c:pt idx="4">
                  <c:v>0</c:v>
                </c:pt>
                <c:pt idx="5">
                  <c:v>0</c:v>
                </c:pt>
                <c:pt idx="6">
                  <c:v>1</c:v>
                </c:pt>
                <c:pt idx="7">
                  <c:v>0</c:v>
                </c:pt>
                <c:pt idx="8">
                  <c:v>0</c:v>
                </c:pt>
                <c:pt idx="9">
                  <c:v>11</c:v>
                </c:pt>
                <c:pt idx="10">
                  <c:v>1</c:v>
                </c:pt>
                <c:pt idx="11">
                  <c:v>2</c:v>
                </c:pt>
                <c:pt idx="12">
                  <c:v>0</c:v>
                </c:pt>
                <c:pt idx="13">
                  <c:v>0</c:v>
                </c:pt>
                <c:pt idx="14">
                  <c:v>0</c:v>
                </c:pt>
                <c:pt idx="15">
                  <c:v>2</c:v>
                </c:pt>
                <c:pt idx="16">
                  <c:v>5</c:v>
                </c:pt>
                <c:pt idx="17">
                  <c:v>1</c:v>
                </c:pt>
                <c:pt idx="18">
                  <c:v>1</c:v>
                </c:pt>
                <c:pt idx="19">
                  <c:v>0</c:v>
                </c:pt>
                <c:pt idx="20">
                  <c:v>0</c:v>
                </c:pt>
                <c:pt idx="21">
                  <c:v>7</c:v>
                </c:pt>
                <c:pt idx="22">
                  <c:v>4</c:v>
                </c:pt>
                <c:pt idx="23">
                  <c:v>1</c:v>
                </c:pt>
                <c:pt idx="24">
                  <c:v>0</c:v>
                </c:pt>
                <c:pt idx="25">
                  <c:v>0</c:v>
                </c:pt>
                <c:pt idx="26">
                  <c:v>0</c:v>
                </c:pt>
                <c:pt idx="27">
                  <c:v>0</c:v>
                </c:pt>
                <c:pt idx="28">
                  <c:v>7</c:v>
                </c:pt>
                <c:pt idx="29">
                  <c:v>12</c:v>
                </c:pt>
                <c:pt idx="30">
                  <c:v>9</c:v>
                </c:pt>
                <c:pt idx="31">
                  <c:v>0</c:v>
                </c:pt>
                <c:pt idx="32">
                  <c:v>0</c:v>
                </c:pt>
                <c:pt idx="33">
                  <c:v>0</c:v>
                </c:pt>
                <c:pt idx="34">
                  <c:v>0</c:v>
                </c:pt>
                <c:pt idx="35">
                  <c:v>0</c:v>
                </c:pt>
                <c:pt idx="36">
                  <c:v>1</c:v>
                </c:pt>
                <c:pt idx="37">
                  <c:v>0</c:v>
                </c:pt>
                <c:pt idx="38">
                  <c:v>0</c:v>
                </c:pt>
                <c:pt idx="39">
                  <c:v>0</c:v>
                </c:pt>
                <c:pt idx="40">
                  <c:v>0</c:v>
                </c:pt>
                <c:pt idx="41">
                  <c:v>2</c:v>
                </c:pt>
                <c:pt idx="42">
                  <c:v>1</c:v>
                </c:pt>
                <c:pt idx="43">
                  <c:v>0</c:v>
                </c:pt>
                <c:pt idx="44">
                  <c:v>1</c:v>
                </c:pt>
                <c:pt idx="45">
                  <c:v>9</c:v>
                </c:pt>
                <c:pt idx="46">
                  <c:v>4</c:v>
                </c:pt>
                <c:pt idx="47">
                  <c:v>5</c:v>
                </c:pt>
                <c:pt idx="48">
                  <c:v>1</c:v>
                </c:pt>
                <c:pt idx="49">
                  <c:v>0</c:v>
                </c:pt>
                <c:pt idx="50">
                  <c:v>1</c:v>
                </c:pt>
                <c:pt idx="51">
                  <c:v>53</c:v>
                </c:pt>
                <c:pt idx="52">
                  <c:v>1</c:v>
                </c:pt>
                <c:pt idx="53">
                  <c:v>0</c:v>
                </c:pt>
                <c:pt idx="54">
                  <c:v>2</c:v>
                </c:pt>
                <c:pt idx="55">
                  <c:v>4</c:v>
                </c:pt>
                <c:pt idx="56">
                  <c:v>0</c:v>
                </c:pt>
                <c:pt idx="57">
                  <c:v>9</c:v>
                </c:pt>
                <c:pt idx="58">
                  <c:v>2</c:v>
                </c:pt>
                <c:pt idx="59">
                  <c:v>1</c:v>
                </c:pt>
                <c:pt idx="60">
                  <c:v>6</c:v>
                </c:pt>
                <c:pt idx="61">
                  <c:v>1</c:v>
                </c:pt>
                <c:pt idx="62">
                  <c:v>0</c:v>
                </c:pt>
                <c:pt idx="63">
                  <c:v>1</c:v>
                </c:pt>
                <c:pt idx="64">
                  <c:v>0</c:v>
                </c:pt>
                <c:pt idx="65">
                  <c:v>2</c:v>
                </c:pt>
                <c:pt idx="66">
                  <c:v>0</c:v>
                </c:pt>
                <c:pt idx="67">
                  <c:v>10</c:v>
                </c:pt>
                <c:pt idx="68">
                  <c:v>21</c:v>
                </c:pt>
                <c:pt idx="69">
                  <c:v>7</c:v>
                </c:pt>
                <c:pt idx="70">
                  <c:v>3</c:v>
                </c:pt>
                <c:pt idx="71">
                  <c:v>13</c:v>
                </c:pt>
                <c:pt idx="72">
                  <c:v>14</c:v>
                </c:pt>
                <c:pt idx="73">
                  <c:v>5</c:v>
                </c:pt>
                <c:pt idx="74">
                  <c:v>1</c:v>
                </c:pt>
                <c:pt idx="75">
                  <c:v>1</c:v>
                </c:pt>
                <c:pt idx="76">
                  <c:v>0</c:v>
                </c:pt>
                <c:pt idx="77">
                  <c:v>2</c:v>
                </c:pt>
                <c:pt idx="78">
                  <c:v>0</c:v>
                </c:pt>
                <c:pt idx="79">
                  <c:v>8</c:v>
                </c:pt>
                <c:pt idx="80">
                  <c:v>0</c:v>
                </c:pt>
                <c:pt idx="81">
                  <c:v>0</c:v>
                </c:pt>
                <c:pt idx="82">
                  <c:v>0</c:v>
                </c:pt>
                <c:pt idx="83">
                  <c:v>0</c:v>
                </c:pt>
                <c:pt idx="84">
                  <c:v>8</c:v>
                </c:pt>
                <c:pt idx="85">
                  <c:v>0</c:v>
                </c:pt>
                <c:pt idx="86">
                  <c:v>0</c:v>
                </c:pt>
                <c:pt idx="87">
                  <c:v>0</c:v>
                </c:pt>
                <c:pt idx="88">
                  <c:v>3</c:v>
                </c:pt>
                <c:pt idx="89">
                  <c:v>3</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3-87C6-44EA-973E-4EE677DB667E}"/>
            </c:ext>
          </c:extLst>
        </c:ser>
        <c:ser>
          <c:idx val="84"/>
          <c:order val="84"/>
          <c:tx>
            <c:strRef>
              <c:f>Tabelle3!$CI$1</c:f>
              <c:strCache>
                <c:ptCount val="1"/>
                <c:pt idx="0">
                  <c:v>2024-01-01</c:v>
                </c:pt>
              </c:strCache>
            </c:strRef>
          </c:tx>
          <c:spPr>
            <a:ln w="28575" cap="rnd">
              <a:solidFill>
                <a:schemeClr val="accent1">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Tabelle3!$CI$2:$CI$100</c:f>
              <c:numCache>
                <c:formatCode>General</c:formatCode>
                <c:ptCount val="99"/>
                <c:pt idx="0">
                  <c:v>0</c:v>
                </c:pt>
                <c:pt idx="1">
                  <c:v>5</c:v>
                </c:pt>
                <c:pt idx="2">
                  <c:v>0</c:v>
                </c:pt>
                <c:pt idx="3">
                  <c:v>1</c:v>
                </c:pt>
                <c:pt idx="4">
                  <c:v>0</c:v>
                </c:pt>
                <c:pt idx="5">
                  <c:v>0</c:v>
                </c:pt>
                <c:pt idx="6">
                  <c:v>1</c:v>
                </c:pt>
                <c:pt idx="7">
                  <c:v>0</c:v>
                </c:pt>
                <c:pt idx="8">
                  <c:v>0</c:v>
                </c:pt>
                <c:pt idx="9">
                  <c:v>3</c:v>
                </c:pt>
                <c:pt idx="10">
                  <c:v>0</c:v>
                </c:pt>
                <c:pt idx="11">
                  <c:v>0</c:v>
                </c:pt>
                <c:pt idx="12">
                  <c:v>0</c:v>
                </c:pt>
                <c:pt idx="13">
                  <c:v>0</c:v>
                </c:pt>
                <c:pt idx="14">
                  <c:v>0</c:v>
                </c:pt>
                <c:pt idx="15">
                  <c:v>2</c:v>
                </c:pt>
                <c:pt idx="16">
                  <c:v>3</c:v>
                </c:pt>
                <c:pt idx="17">
                  <c:v>0</c:v>
                </c:pt>
                <c:pt idx="18">
                  <c:v>1</c:v>
                </c:pt>
                <c:pt idx="19">
                  <c:v>0</c:v>
                </c:pt>
                <c:pt idx="20">
                  <c:v>0</c:v>
                </c:pt>
                <c:pt idx="21">
                  <c:v>2</c:v>
                </c:pt>
                <c:pt idx="22">
                  <c:v>0</c:v>
                </c:pt>
                <c:pt idx="23">
                  <c:v>0</c:v>
                </c:pt>
                <c:pt idx="24">
                  <c:v>0</c:v>
                </c:pt>
                <c:pt idx="25">
                  <c:v>0</c:v>
                </c:pt>
                <c:pt idx="26">
                  <c:v>0</c:v>
                </c:pt>
                <c:pt idx="27">
                  <c:v>0</c:v>
                </c:pt>
                <c:pt idx="28">
                  <c:v>2</c:v>
                </c:pt>
                <c:pt idx="29">
                  <c:v>7</c:v>
                </c:pt>
                <c:pt idx="30">
                  <c:v>3</c:v>
                </c:pt>
                <c:pt idx="31">
                  <c:v>0</c:v>
                </c:pt>
                <c:pt idx="32">
                  <c:v>0</c:v>
                </c:pt>
                <c:pt idx="33">
                  <c:v>0</c:v>
                </c:pt>
                <c:pt idx="34">
                  <c:v>0</c:v>
                </c:pt>
                <c:pt idx="35">
                  <c:v>0</c:v>
                </c:pt>
                <c:pt idx="36">
                  <c:v>1</c:v>
                </c:pt>
                <c:pt idx="37">
                  <c:v>0</c:v>
                </c:pt>
                <c:pt idx="38">
                  <c:v>0</c:v>
                </c:pt>
                <c:pt idx="39">
                  <c:v>0</c:v>
                </c:pt>
                <c:pt idx="40">
                  <c:v>0</c:v>
                </c:pt>
                <c:pt idx="41">
                  <c:v>2</c:v>
                </c:pt>
                <c:pt idx="42">
                  <c:v>1</c:v>
                </c:pt>
                <c:pt idx="43">
                  <c:v>0</c:v>
                </c:pt>
                <c:pt idx="44">
                  <c:v>0</c:v>
                </c:pt>
                <c:pt idx="45">
                  <c:v>7</c:v>
                </c:pt>
                <c:pt idx="46">
                  <c:v>4</c:v>
                </c:pt>
                <c:pt idx="47">
                  <c:v>3</c:v>
                </c:pt>
                <c:pt idx="48">
                  <c:v>1</c:v>
                </c:pt>
                <c:pt idx="49">
                  <c:v>0</c:v>
                </c:pt>
                <c:pt idx="50">
                  <c:v>1</c:v>
                </c:pt>
                <c:pt idx="51">
                  <c:v>30</c:v>
                </c:pt>
                <c:pt idx="52">
                  <c:v>1</c:v>
                </c:pt>
                <c:pt idx="53">
                  <c:v>0</c:v>
                </c:pt>
                <c:pt idx="54">
                  <c:v>1</c:v>
                </c:pt>
                <c:pt idx="55">
                  <c:v>0</c:v>
                </c:pt>
                <c:pt idx="56">
                  <c:v>0</c:v>
                </c:pt>
                <c:pt idx="57">
                  <c:v>7</c:v>
                </c:pt>
                <c:pt idx="58">
                  <c:v>2</c:v>
                </c:pt>
                <c:pt idx="59">
                  <c:v>0</c:v>
                </c:pt>
                <c:pt idx="60">
                  <c:v>0</c:v>
                </c:pt>
                <c:pt idx="61">
                  <c:v>1</c:v>
                </c:pt>
                <c:pt idx="62">
                  <c:v>0</c:v>
                </c:pt>
                <c:pt idx="63">
                  <c:v>2</c:v>
                </c:pt>
                <c:pt idx="64">
                  <c:v>0</c:v>
                </c:pt>
                <c:pt idx="65">
                  <c:v>0</c:v>
                </c:pt>
                <c:pt idx="66">
                  <c:v>0</c:v>
                </c:pt>
                <c:pt idx="67">
                  <c:v>8</c:v>
                </c:pt>
                <c:pt idx="68">
                  <c:v>18</c:v>
                </c:pt>
                <c:pt idx="69">
                  <c:v>0</c:v>
                </c:pt>
                <c:pt idx="70">
                  <c:v>1</c:v>
                </c:pt>
                <c:pt idx="71">
                  <c:v>5</c:v>
                </c:pt>
                <c:pt idx="72">
                  <c:v>10</c:v>
                </c:pt>
                <c:pt idx="73">
                  <c:v>1</c:v>
                </c:pt>
                <c:pt idx="74">
                  <c:v>0</c:v>
                </c:pt>
                <c:pt idx="75">
                  <c:v>1</c:v>
                </c:pt>
                <c:pt idx="76">
                  <c:v>0</c:v>
                </c:pt>
                <c:pt idx="77">
                  <c:v>0</c:v>
                </c:pt>
                <c:pt idx="78">
                  <c:v>0</c:v>
                </c:pt>
                <c:pt idx="79">
                  <c:v>1</c:v>
                </c:pt>
                <c:pt idx="80">
                  <c:v>0</c:v>
                </c:pt>
                <c:pt idx="81">
                  <c:v>0</c:v>
                </c:pt>
                <c:pt idx="82">
                  <c:v>0</c:v>
                </c:pt>
                <c:pt idx="83">
                  <c:v>0</c:v>
                </c:pt>
                <c:pt idx="84">
                  <c:v>3</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4-87C6-44EA-973E-4EE677DB667E}"/>
            </c:ext>
          </c:extLst>
        </c:ser>
        <c:ser>
          <c:idx val="85"/>
          <c:order val="85"/>
          <c:tx>
            <c:strRef>
              <c:f>Tabelle3!$CJ$1</c:f>
              <c:strCache>
                <c:ptCount val="1"/>
                <c:pt idx="0">
                  <c:v>2024-02-01</c:v>
                </c:pt>
              </c:strCache>
            </c:strRef>
          </c:tx>
          <c:spPr>
            <a:ln w="28575" cap="rnd">
              <a:solidFill>
                <a:schemeClr val="accent2">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Tabelle3!$CJ$2:$CJ$100</c:f>
              <c:numCache>
                <c:formatCode>General</c:formatCode>
                <c:ptCount val="99"/>
                <c:pt idx="0">
                  <c:v>0</c:v>
                </c:pt>
                <c:pt idx="1">
                  <c:v>5</c:v>
                </c:pt>
                <c:pt idx="2">
                  <c:v>0</c:v>
                </c:pt>
                <c:pt idx="3">
                  <c:v>1</c:v>
                </c:pt>
                <c:pt idx="4">
                  <c:v>0</c:v>
                </c:pt>
                <c:pt idx="5">
                  <c:v>0</c:v>
                </c:pt>
                <c:pt idx="6">
                  <c:v>1</c:v>
                </c:pt>
                <c:pt idx="7">
                  <c:v>0</c:v>
                </c:pt>
                <c:pt idx="8">
                  <c:v>0</c:v>
                </c:pt>
                <c:pt idx="9">
                  <c:v>2</c:v>
                </c:pt>
                <c:pt idx="10">
                  <c:v>0</c:v>
                </c:pt>
                <c:pt idx="11">
                  <c:v>0</c:v>
                </c:pt>
                <c:pt idx="12">
                  <c:v>0</c:v>
                </c:pt>
                <c:pt idx="13">
                  <c:v>0</c:v>
                </c:pt>
                <c:pt idx="14">
                  <c:v>0</c:v>
                </c:pt>
                <c:pt idx="15">
                  <c:v>2</c:v>
                </c:pt>
                <c:pt idx="16">
                  <c:v>3</c:v>
                </c:pt>
                <c:pt idx="17">
                  <c:v>0</c:v>
                </c:pt>
                <c:pt idx="18">
                  <c:v>1</c:v>
                </c:pt>
                <c:pt idx="19">
                  <c:v>0</c:v>
                </c:pt>
                <c:pt idx="20">
                  <c:v>0</c:v>
                </c:pt>
                <c:pt idx="21">
                  <c:v>1</c:v>
                </c:pt>
                <c:pt idx="22">
                  <c:v>0</c:v>
                </c:pt>
                <c:pt idx="23">
                  <c:v>0</c:v>
                </c:pt>
                <c:pt idx="24">
                  <c:v>0</c:v>
                </c:pt>
                <c:pt idx="25">
                  <c:v>0</c:v>
                </c:pt>
                <c:pt idx="26">
                  <c:v>0</c:v>
                </c:pt>
                <c:pt idx="27">
                  <c:v>0</c:v>
                </c:pt>
                <c:pt idx="28">
                  <c:v>0</c:v>
                </c:pt>
                <c:pt idx="29">
                  <c:v>1</c:v>
                </c:pt>
                <c:pt idx="30">
                  <c:v>2</c:v>
                </c:pt>
                <c:pt idx="31">
                  <c:v>0</c:v>
                </c:pt>
                <c:pt idx="32">
                  <c:v>0</c:v>
                </c:pt>
                <c:pt idx="33">
                  <c:v>0</c:v>
                </c:pt>
                <c:pt idx="34">
                  <c:v>0</c:v>
                </c:pt>
                <c:pt idx="35">
                  <c:v>0</c:v>
                </c:pt>
                <c:pt idx="36">
                  <c:v>1</c:v>
                </c:pt>
                <c:pt idx="37">
                  <c:v>0</c:v>
                </c:pt>
                <c:pt idx="38">
                  <c:v>0</c:v>
                </c:pt>
                <c:pt idx="39">
                  <c:v>0</c:v>
                </c:pt>
                <c:pt idx="40">
                  <c:v>0</c:v>
                </c:pt>
                <c:pt idx="41">
                  <c:v>2</c:v>
                </c:pt>
                <c:pt idx="42">
                  <c:v>0</c:v>
                </c:pt>
                <c:pt idx="43">
                  <c:v>0</c:v>
                </c:pt>
                <c:pt idx="44">
                  <c:v>0</c:v>
                </c:pt>
                <c:pt idx="45">
                  <c:v>5</c:v>
                </c:pt>
                <c:pt idx="46">
                  <c:v>3</c:v>
                </c:pt>
                <c:pt idx="47">
                  <c:v>3</c:v>
                </c:pt>
                <c:pt idx="48">
                  <c:v>1</c:v>
                </c:pt>
                <c:pt idx="49">
                  <c:v>0</c:v>
                </c:pt>
                <c:pt idx="50">
                  <c:v>1</c:v>
                </c:pt>
                <c:pt idx="51">
                  <c:v>19</c:v>
                </c:pt>
                <c:pt idx="52">
                  <c:v>1</c:v>
                </c:pt>
                <c:pt idx="53">
                  <c:v>0</c:v>
                </c:pt>
                <c:pt idx="54">
                  <c:v>0</c:v>
                </c:pt>
                <c:pt idx="55">
                  <c:v>0</c:v>
                </c:pt>
                <c:pt idx="56">
                  <c:v>0</c:v>
                </c:pt>
                <c:pt idx="57">
                  <c:v>5</c:v>
                </c:pt>
                <c:pt idx="58">
                  <c:v>2</c:v>
                </c:pt>
                <c:pt idx="59">
                  <c:v>0</c:v>
                </c:pt>
                <c:pt idx="60">
                  <c:v>0</c:v>
                </c:pt>
                <c:pt idx="61">
                  <c:v>1</c:v>
                </c:pt>
                <c:pt idx="62">
                  <c:v>0</c:v>
                </c:pt>
                <c:pt idx="63">
                  <c:v>2</c:v>
                </c:pt>
                <c:pt idx="64">
                  <c:v>0</c:v>
                </c:pt>
                <c:pt idx="65">
                  <c:v>0</c:v>
                </c:pt>
                <c:pt idx="66">
                  <c:v>0</c:v>
                </c:pt>
                <c:pt idx="67">
                  <c:v>8</c:v>
                </c:pt>
                <c:pt idx="68">
                  <c:v>13</c:v>
                </c:pt>
                <c:pt idx="69">
                  <c:v>0</c:v>
                </c:pt>
                <c:pt idx="70">
                  <c:v>1</c:v>
                </c:pt>
                <c:pt idx="71">
                  <c:v>3</c:v>
                </c:pt>
                <c:pt idx="72">
                  <c:v>9</c:v>
                </c:pt>
                <c:pt idx="73">
                  <c:v>1</c:v>
                </c:pt>
                <c:pt idx="74">
                  <c:v>0</c:v>
                </c:pt>
                <c:pt idx="75">
                  <c:v>1</c:v>
                </c:pt>
                <c:pt idx="76">
                  <c:v>0</c:v>
                </c:pt>
                <c:pt idx="77">
                  <c:v>0</c:v>
                </c:pt>
                <c:pt idx="78">
                  <c:v>0</c:v>
                </c:pt>
                <c:pt idx="79">
                  <c:v>1</c:v>
                </c:pt>
                <c:pt idx="80">
                  <c:v>0</c:v>
                </c:pt>
                <c:pt idx="81">
                  <c:v>0</c:v>
                </c:pt>
                <c:pt idx="82">
                  <c:v>0</c:v>
                </c:pt>
                <c:pt idx="83">
                  <c:v>0</c:v>
                </c:pt>
                <c:pt idx="84">
                  <c:v>2</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5-87C6-44EA-973E-4EE677DB667E}"/>
            </c:ext>
          </c:extLst>
        </c:ser>
        <c:ser>
          <c:idx val="86"/>
          <c:order val="86"/>
          <c:tx>
            <c:strRef>
              <c:f>Tabelle3!$CK$1</c:f>
              <c:strCache>
                <c:ptCount val="1"/>
                <c:pt idx="0">
                  <c:v>2024-03-01</c:v>
                </c:pt>
              </c:strCache>
            </c:strRef>
          </c:tx>
          <c:spPr>
            <a:ln w="28575" cap="rnd">
              <a:solidFill>
                <a:schemeClr val="accent3">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Tabelle3!$CK$2:$CK$100</c:f>
              <c:numCache>
                <c:formatCode>General</c:formatCode>
                <c:ptCount val="99"/>
                <c:pt idx="0">
                  <c:v>0</c:v>
                </c:pt>
                <c:pt idx="1">
                  <c:v>5</c:v>
                </c:pt>
                <c:pt idx="2">
                  <c:v>0</c:v>
                </c:pt>
                <c:pt idx="3">
                  <c:v>1</c:v>
                </c:pt>
                <c:pt idx="4">
                  <c:v>0</c:v>
                </c:pt>
                <c:pt idx="5">
                  <c:v>0</c:v>
                </c:pt>
                <c:pt idx="6">
                  <c:v>1</c:v>
                </c:pt>
                <c:pt idx="7">
                  <c:v>0</c:v>
                </c:pt>
                <c:pt idx="8">
                  <c:v>0</c:v>
                </c:pt>
                <c:pt idx="9">
                  <c:v>2</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3</c:v>
                </c:pt>
                <c:pt idx="47">
                  <c:v>3</c:v>
                </c:pt>
                <c:pt idx="48">
                  <c:v>1</c:v>
                </c:pt>
                <c:pt idx="49">
                  <c:v>0</c:v>
                </c:pt>
                <c:pt idx="50">
                  <c:v>1</c:v>
                </c:pt>
                <c:pt idx="51">
                  <c:v>11</c:v>
                </c:pt>
                <c:pt idx="52">
                  <c:v>1</c:v>
                </c:pt>
                <c:pt idx="53">
                  <c:v>0</c:v>
                </c:pt>
                <c:pt idx="54">
                  <c:v>0</c:v>
                </c:pt>
                <c:pt idx="55">
                  <c:v>0</c:v>
                </c:pt>
                <c:pt idx="56">
                  <c:v>0</c:v>
                </c:pt>
                <c:pt idx="57">
                  <c:v>5</c:v>
                </c:pt>
                <c:pt idx="58">
                  <c:v>2</c:v>
                </c:pt>
                <c:pt idx="59">
                  <c:v>0</c:v>
                </c:pt>
                <c:pt idx="60">
                  <c:v>0</c:v>
                </c:pt>
                <c:pt idx="61">
                  <c:v>1</c:v>
                </c:pt>
                <c:pt idx="62">
                  <c:v>0</c:v>
                </c:pt>
                <c:pt idx="63">
                  <c:v>2</c:v>
                </c:pt>
                <c:pt idx="64">
                  <c:v>0</c:v>
                </c:pt>
                <c:pt idx="65">
                  <c:v>0</c:v>
                </c:pt>
                <c:pt idx="66">
                  <c:v>0</c:v>
                </c:pt>
                <c:pt idx="67">
                  <c:v>8</c:v>
                </c:pt>
                <c:pt idx="68">
                  <c:v>6</c:v>
                </c:pt>
                <c:pt idx="69">
                  <c:v>0</c:v>
                </c:pt>
                <c:pt idx="70">
                  <c:v>0</c:v>
                </c:pt>
                <c:pt idx="71">
                  <c:v>2</c:v>
                </c:pt>
                <c:pt idx="72">
                  <c:v>8</c:v>
                </c:pt>
                <c:pt idx="73">
                  <c:v>0</c:v>
                </c:pt>
                <c:pt idx="74">
                  <c:v>0</c:v>
                </c:pt>
                <c:pt idx="75">
                  <c:v>1</c:v>
                </c:pt>
                <c:pt idx="76">
                  <c:v>0</c:v>
                </c:pt>
                <c:pt idx="77">
                  <c:v>0</c:v>
                </c:pt>
                <c:pt idx="78">
                  <c:v>0</c:v>
                </c:pt>
                <c:pt idx="79">
                  <c:v>0</c:v>
                </c:pt>
                <c:pt idx="80">
                  <c:v>0</c:v>
                </c:pt>
                <c:pt idx="81">
                  <c:v>0</c:v>
                </c:pt>
                <c:pt idx="82">
                  <c:v>0</c:v>
                </c:pt>
                <c:pt idx="83">
                  <c:v>0</c:v>
                </c:pt>
                <c:pt idx="84">
                  <c:v>2</c:v>
                </c:pt>
                <c:pt idx="85">
                  <c:v>0</c:v>
                </c:pt>
                <c:pt idx="86">
                  <c:v>0</c:v>
                </c:pt>
                <c:pt idx="87">
                  <c:v>0</c:v>
                </c:pt>
                <c:pt idx="88">
                  <c:v>2</c:v>
                </c:pt>
                <c:pt idx="89">
                  <c:v>1</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6-87C6-44EA-973E-4EE677DB667E}"/>
            </c:ext>
          </c:extLst>
        </c:ser>
        <c:ser>
          <c:idx val="87"/>
          <c:order val="87"/>
          <c:tx>
            <c:strRef>
              <c:f>Tabelle3!$CL$1</c:f>
              <c:strCache>
                <c:ptCount val="1"/>
                <c:pt idx="0">
                  <c:v>2024-04-01</c:v>
                </c:pt>
              </c:strCache>
            </c:strRef>
          </c:tx>
          <c:spPr>
            <a:ln w="28575" cap="rnd">
              <a:solidFill>
                <a:schemeClr val="accent4">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Tabelle3!$CL$2:$CL$100</c:f>
              <c:numCache>
                <c:formatCode>General</c:formatCode>
                <c:ptCount val="99"/>
                <c:pt idx="0">
                  <c:v>0</c:v>
                </c:pt>
                <c:pt idx="1">
                  <c:v>5</c:v>
                </c:pt>
                <c:pt idx="2">
                  <c:v>0</c:v>
                </c:pt>
                <c:pt idx="3">
                  <c:v>1</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3</c:v>
                </c:pt>
                <c:pt idx="47">
                  <c:v>3</c:v>
                </c:pt>
                <c:pt idx="48">
                  <c:v>1</c:v>
                </c:pt>
                <c:pt idx="49">
                  <c:v>0</c:v>
                </c:pt>
                <c:pt idx="50">
                  <c:v>1</c:v>
                </c:pt>
                <c:pt idx="51">
                  <c:v>6</c:v>
                </c:pt>
                <c:pt idx="52">
                  <c:v>1</c:v>
                </c:pt>
                <c:pt idx="53">
                  <c:v>0</c:v>
                </c:pt>
                <c:pt idx="54">
                  <c:v>0</c:v>
                </c:pt>
                <c:pt idx="55">
                  <c:v>0</c:v>
                </c:pt>
                <c:pt idx="56">
                  <c:v>0</c:v>
                </c:pt>
                <c:pt idx="57">
                  <c:v>3</c:v>
                </c:pt>
                <c:pt idx="58">
                  <c:v>2</c:v>
                </c:pt>
                <c:pt idx="59">
                  <c:v>0</c:v>
                </c:pt>
                <c:pt idx="60">
                  <c:v>0</c:v>
                </c:pt>
                <c:pt idx="61">
                  <c:v>1</c:v>
                </c:pt>
                <c:pt idx="62">
                  <c:v>0</c:v>
                </c:pt>
                <c:pt idx="63">
                  <c:v>2</c:v>
                </c:pt>
                <c:pt idx="64">
                  <c:v>0</c:v>
                </c:pt>
                <c:pt idx="65">
                  <c:v>0</c:v>
                </c:pt>
                <c:pt idx="66">
                  <c:v>0</c:v>
                </c:pt>
                <c:pt idx="67">
                  <c:v>8</c:v>
                </c:pt>
                <c:pt idx="68">
                  <c:v>2</c:v>
                </c:pt>
                <c:pt idx="69">
                  <c:v>0</c:v>
                </c:pt>
                <c:pt idx="70">
                  <c:v>0</c:v>
                </c:pt>
                <c:pt idx="71">
                  <c:v>2</c:v>
                </c:pt>
                <c:pt idx="72">
                  <c:v>1</c:v>
                </c:pt>
                <c:pt idx="73">
                  <c:v>0</c:v>
                </c:pt>
                <c:pt idx="74">
                  <c:v>0</c:v>
                </c:pt>
                <c:pt idx="75">
                  <c:v>0</c:v>
                </c:pt>
                <c:pt idx="76">
                  <c:v>0</c:v>
                </c:pt>
                <c:pt idx="77">
                  <c:v>0</c:v>
                </c:pt>
                <c:pt idx="78">
                  <c:v>0</c:v>
                </c:pt>
                <c:pt idx="79">
                  <c:v>0</c:v>
                </c:pt>
                <c:pt idx="80">
                  <c:v>0</c:v>
                </c:pt>
                <c:pt idx="81">
                  <c:v>0</c:v>
                </c:pt>
                <c:pt idx="82">
                  <c:v>0</c:v>
                </c:pt>
                <c:pt idx="83">
                  <c:v>0</c:v>
                </c:pt>
                <c:pt idx="84">
                  <c:v>1</c:v>
                </c:pt>
                <c:pt idx="85">
                  <c:v>0</c:v>
                </c:pt>
                <c:pt idx="86">
                  <c:v>0</c:v>
                </c:pt>
                <c:pt idx="87">
                  <c:v>0</c:v>
                </c:pt>
                <c:pt idx="88">
                  <c:v>1</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7-87C6-44EA-973E-4EE677DB667E}"/>
            </c:ext>
          </c:extLst>
        </c:ser>
        <c:ser>
          <c:idx val="88"/>
          <c:order val="88"/>
          <c:tx>
            <c:strRef>
              <c:f>Tabelle3!$CM$1</c:f>
              <c:strCache>
                <c:ptCount val="1"/>
                <c:pt idx="0">
                  <c:v>2024-05-01</c:v>
                </c:pt>
              </c:strCache>
            </c:strRef>
          </c:tx>
          <c:spPr>
            <a:ln w="28575" cap="rnd">
              <a:solidFill>
                <a:schemeClr val="accent5">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Tabelle3!$CM$2:$CM$100</c:f>
              <c:numCache>
                <c:formatCode>General</c:formatCode>
                <c:ptCount val="99"/>
                <c:pt idx="0">
                  <c:v>0</c:v>
                </c:pt>
                <c:pt idx="1">
                  <c:v>5</c:v>
                </c:pt>
                <c:pt idx="2">
                  <c:v>0</c:v>
                </c:pt>
                <c:pt idx="3">
                  <c:v>1</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0</c:v>
                </c:pt>
                <c:pt idx="47">
                  <c:v>3</c:v>
                </c:pt>
                <c:pt idx="48">
                  <c:v>1</c:v>
                </c:pt>
                <c:pt idx="49">
                  <c:v>0</c:v>
                </c:pt>
                <c:pt idx="50">
                  <c:v>1</c:v>
                </c:pt>
                <c:pt idx="51">
                  <c:v>2</c:v>
                </c:pt>
                <c:pt idx="52">
                  <c:v>1</c:v>
                </c:pt>
                <c:pt idx="53">
                  <c:v>0</c:v>
                </c:pt>
                <c:pt idx="54">
                  <c:v>0</c:v>
                </c:pt>
                <c:pt idx="55">
                  <c:v>0</c:v>
                </c:pt>
                <c:pt idx="56">
                  <c:v>0</c:v>
                </c:pt>
                <c:pt idx="57">
                  <c:v>1</c:v>
                </c:pt>
                <c:pt idx="58">
                  <c:v>2</c:v>
                </c:pt>
                <c:pt idx="59">
                  <c:v>0</c:v>
                </c:pt>
                <c:pt idx="60">
                  <c:v>0</c:v>
                </c:pt>
                <c:pt idx="61">
                  <c:v>0</c:v>
                </c:pt>
                <c:pt idx="62">
                  <c:v>0</c:v>
                </c:pt>
                <c:pt idx="63">
                  <c:v>2</c:v>
                </c:pt>
                <c:pt idx="64">
                  <c:v>0</c:v>
                </c:pt>
                <c:pt idx="65">
                  <c:v>0</c:v>
                </c:pt>
                <c:pt idx="66">
                  <c:v>0</c:v>
                </c:pt>
                <c:pt idx="67">
                  <c:v>8</c:v>
                </c:pt>
                <c:pt idx="68">
                  <c:v>2</c:v>
                </c:pt>
                <c:pt idx="69">
                  <c:v>0</c:v>
                </c:pt>
                <c:pt idx="70">
                  <c:v>0</c:v>
                </c:pt>
                <c:pt idx="71">
                  <c:v>2</c:v>
                </c:pt>
                <c:pt idx="72">
                  <c:v>1</c:v>
                </c:pt>
                <c:pt idx="73">
                  <c:v>0</c:v>
                </c:pt>
                <c:pt idx="74">
                  <c:v>0</c:v>
                </c:pt>
                <c:pt idx="75">
                  <c:v>0</c:v>
                </c:pt>
                <c:pt idx="76">
                  <c:v>0</c:v>
                </c:pt>
                <c:pt idx="77">
                  <c:v>0</c:v>
                </c:pt>
                <c:pt idx="78">
                  <c:v>0</c:v>
                </c:pt>
                <c:pt idx="79">
                  <c:v>0</c:v>
                </c:pt>
                <c:pt idx="80">
                  <c:v>0</c:v>
                </c:pt>
                <c:pt idx="81">
                  <c:v>0</c:v>
                </c:pt>
                <c:pt idx="82">
                  <c:v>0</c:v>
                </c:pt>
                <c:pt idx="83">
                  <c:v>0</c:v>
                </c:pt>
                <c:pt idx="84">
                  <c:v>1</c:v>
                </c:pt>
                <c:pt idx="85">
                  <c:v>0</c:v>
                </c:pt>
                <c:pt idx="86">
                  <c:v>0</c:v>
                </c:pt>
                <c:pt idx="87">
                  <c:v>0</c:v>
                </c:pt>
                <c:pt idx="88">
                  <c:v>1</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8-87C6-44EA-973E-4EE677DB667E}"/>
            </c:ext>
          </c:extLst>
        </c:ser>
        <c:ser>
          <c:idx val="89"/>
          <c:order val="89"/>
          <c:tx>
            <c:strRef>
              <c:f>Tabelle3!$CN$1</c:f>
              <c:strCache>
                <c:ptCount val="1"/>
                <c:pt idx="0">
                  <c:v>2024-06-01</c:v>
                </c:pt>
              </c:strCache>
            </c:strRef>
          </c:tx>
          <c:spPr>
            <a:ln w="28575" cap="rnd">
              <a:solidFill>
                <a:schemeClr val="accent6">
                  <a:lumMod val="5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Tabelle3!$CN$2:$CN$100</c:f>
              <c:numCache>
                <c:formatCode>General</c:formatCode>
                <c:ptCount val="99"/>
                <c:pt idx="0">
                  <c:v>0</c:v>
                </c:pt>
                <c:pt idx="1">
                  <c:v>5</c:v>
                </c:pt>
                <c:pt idx="2">
                  <c:v>0</c:v>
                </c:pt>
                <c:pt idx="3">
                  <c:v>1</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0</c:v>
                </c:pt>
                <c:pt idx="47">
                  <c:v>3</c:v>
                </c:pt>
                <c:pt idx="48">
                  <c:v>1</c:v>
                </c:pt>
                <c:pt idx="49">
                  <c:v>0</c:v>
                </c:pt>
                <c:pt idx="50">
                  <c:v>1</c:v>
                </c:pt>
                <c:pt idx="51">
                  <c:v>2</c:v>
                </c:pt>
                <c:pt idx="52">
                  <c:v>1</c:v>
                </c:pt>
                <c:pt idx="53">
                  <c:v>0</c:v>
                </c:pt>
                <c:pt idx="54">
                  <c:v>0</c:v>
                </c:pt>
                <c:pt idx="55">
                  <c:v>0</c:v>
                </c:pt>
                <c:pt idx="56">
                  <c:v>0</c:v>
                </c:pt>
                <c:pt idx="57">
                  <c:v>1</c:v>
                </c:pt>
                <c:pt idx="58">
                  <c:v>2</c:v>
                </c:pt>
                <c:pt idx="59">
                  <c:v>0</c:v>
                </c:pt>
                <c:pt idx="60">
                  <c:v>0</c:v>
                </c:pt>
                <c:pt idx="61">
                  <c:v>0</c:v>
                </c:pt>
                <c:pt idx="62">
                  <c:v>0</c:v>
                </c:pt>
                <c:pt idx="63">
                  <c:v>2</c:v>
                </c:pt>
                <c:pt idx="64">
                  <c:v>0</c:v>
                </c:pt>
                <c:pt idx="65">
                  <c:v>0</c:v>
                </c:pt>
                <c:pt idx="66">
                  <c:v>0</c:v>
                </c:pt>
                <c:pt idx="67">
                  <c:v>0</c:v>
                </c:pt>
                <c:pt idx="68">
                  <c:v>2</c:v>
                </c:pt>
                <c:pt idx="69">
                  <c:v>0</c:v>
                </c:pt>
                <c:pt idx="70">
                  <c:v>0</c:v>
                </c:pt>
                <c:pt idx="71">
                  <c:v>1</c:v>
                </c:pt>
                <c:pt idx="72">
                  <c:v>1</c:v>
                </c:pt>
                <c:pt idx="73">
                  <c:v>0</c:v>
                </c:pt>
                <c:pt idx="74">
                  <c:v>0</c:v>
                </c:pt>
                <c:pt idx="75">
                  <c:v>0</c:v>
                </c:pt>
                <c:pt idx="76">
                  <c:v>0</c:v>
                </c:pt>
                <c:pt idx="77">
                  <c:v>0</c:v>
                </c:pt>
                <c:pt idx="78">
                  <c:v>0</c:v>
                </c:pt>
                <c:pt idx="79">
                  <c:v>0</c:v>
                </c:pt>
                <c:pt idx="80">
                  <c:v>0</c:v>
                </c:pt>
                <c:pt idx="81">
                  <c:v>0</c:v>
                </c:pt>
                <c:pt idx="82">
                  <c:v>0</c:v>
                </c:pt>
                <c:pt idx="83">
                  <c:v>0</c:v>
                </c:pt>
                <c:pt idx="84">
                  <c:v>1</c:v>
                </c:pt>
                <c:pt idx="85">
                  <c:v>0</c:v>
                </c:pt>
                <c:pt idx="86">
                  <c:v>0</c:v>
                </c:pt>
                <c:pt idx="87">
                  <c:v>0</c:v>
                </c:pt>
                <c:pt idx="88">
                  <c:v>1</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9-87C6-44EA-973E-4EE677DB667E}"/>
            </c:ext>
          </c:extLst>
        </c:ser>
        <c:ser>
          <c:idx val="90"/>
          <c:order val="90"/>
          <c:tx>
            <c:strRef>
              <c:f>Tabelle3!$CO$1</c:f>
              <c:strCache>
                <c:ptCount val="1"/>
                <c:pt idx="0">
                  <c:v>2024-07-01</c:v>
                </c:pt>
              </c:strCache>
            </c:strRef>
          </c:tx>
          <c:spPr>
            <a:ln w="28575" cap="rnd">
              <a:solidFill>
                <a:schemeClr val="accent1">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Tabelle3!$CO$2:$CO$100</c:f>
              <c:numCache>
                <c:formatCode>General</c:formatCode>
                <c:ptCount val="99"/>
                <c:pt idx="0">
                  <c:v>0</c:v>
                </c:pt>
                <c:pt idx="1">
                  <c:v>0</c:v>
                </c:pt>
                <c:pt idx="2">
                  <c:v>0</c:v>
                </c:pt>
                <c:pt idx="3">
                  <c:v>0</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0</c:v>
                </c:pt>
                <c:pt idx="50">
                  <c:v>1</c:v>
                </c:pt>
                <c:pt idx="51">
                  <c:v>2</c:v>
                </c:pt>
                <c:pt idx="52">
                  <c:v>1</c:v>
                </c:pt>
                <c:pt idx="53">
                  <c:v>0</c:v>
                </c:pt>
                <c:pt idx="54">
                  <c:v>0</c:v>
                </c:pt>
                <c:pt idx="55">
                  <c:v>0</c:v>
                </c:pt>
                <c:pt idx="56">
                  <c:v>0</c:v>
                </c:pt>
                <c:pt idx="57">
                  <c:v>1</c:v>
                </c:pt>
                <c:pt idx="58">
                  <c:v>2</c:v>
                </c:pt>
                <c:pt idx="59">
                  <c:v>0</c:v>
                </c:pt>
                <c:pt idx="60">
                  <c:v>0</c:v>
                </c:pt>
                <c:pt idx="61">
                  <c:v>0</c:v>
                </c:pt>
                <c:pt idx="62">
                  <c:v>0</c:v>
                </c:pt>
                <c:pt idx="63">
                  <c:v>2</c:v>
                </c:pt>
                <c:pt idx="64">
                  <c:v>0</c:v>
                </c:pt>
                <c:pt idx="65">
                  <c:v>0</c:v>
                </c:pt>
                <c:pt idx="66">
                  <c:v>0</c:v>
                </c:pt>
                <c:pt idx="67">
                  <c:v>0</c:v>
                </c:pt>
                <c:pt idx="68">
                  <c:v>2</c:v>
                </c:pt>
                <c:pt idx="69">
                  <c:v>0</c:v>
                </c:pt>
                <c:pt idx="70">
                  <c:v>0</c:v>
                </c:pt>
                <c:pt idx="71">
                  <c:v>0</c:v>
                </c:pt>
                <c:pt idx="72">
                  <c:v>1</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A-87C6-44EA-973E-4EE677DB667E}"/>
            </c:ext>
          </c:extLst>
        </c:ser>
        <c:ser>
          <c:idx val="91"/>
          <c:order val="91"/>
          <c:tx>
            <c:strRef>
              <c:f>Tabelle3!$CP$1</c:f>
              <c:strCache>
                <c:ptCount val="1"/>
                <c:pt idx="0">
                  <c:v>2024-08-01</c:v>
                </c:pt>
              </c:strCache>
            </c:strRef>
          </c:tx>
          <c:spPr>
            <a:ln w="28575" cap="rnd">
              <a:solidFill>
                <a:schemeClr val="accent2">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Tabelle3!$CP$2:$CP$100</c:f>
              <c:numCache>
                <c:formatCode>General</c:formatCode>
                <c:ptCount val="99"/>
                <c:pt idx="0">
                  <c:v>0</c:v>
                </c:pt>
                <c:pt idx="1">
                  <c:v>0</c:v>
                </c:pt>
                <c:pt idx="2">
                  <c:v>0</c:v>
                </c:pt>
                <c:pt idx="3">
                  <c:v>0</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0</c:v>
                </c:pt>
                <c:pt idx="50">
                  <c:v>1</c:v>
                </c:pt>
                <c:pt idx="51">
                  <c:v>2</c:v>
                </c:pt>
                <c:pt idx="52">
                  <c:v>1</c:v>
                </c:pt>
                <c:pt idx="53">
                  <c:v>0</c:v>
                </c:pt>
                <c:pt idx="54">
                  <c:v>0</c:v>
                </c:pt>
                <c:pt idx="55">
                  <c:v>0</c:v>
                </c:pt>
                <c:pt idx="56">
                  <c:v>0</c:v>
                </c:pt>
                <c:pt idx="57">
                  <c:v>1</c:v>
                </c:pt>
                <c:pt idx="58">
                  <c:v>2</c:v>
                </c:pt>
                <c:pt idx="59">
                  <c:v>0</c:v>
                </c:pt>
                <c:pt idx="60">
                  <c:v>0</c:v>
                </c:pt>
                <c:pt idx="61">
                  <c:v>0</c:v>
                </c:pt>
                <c:pt idx="62">
                  <c:v>0</c:v>
                </c:pt>
                <c:pt idx="63">
                  <c:v>2</c:v>
                </c:pt>
                <c:pt idx="64">
                  <c:v>0</c:v>
                </c:pt>
                <c:pt idx="65">
                  <c:v>0</c:v>
                </c:pt>
                <c:pt idx="66">
                  <c:v>0</c:v>
                </c:pt>
                <c:pt idx="67">
                  <c:v>0</c:v>
                </c:pt>
                <c:pt idx="68">
                  <c:v>2</c:v>
                </c:pt>
                <c:pt idx="69">
                  <c:v>0</c:v>
                </c:pt>
                <c:pt idx="70">
                  <c:v>0</c:v>
                </c:pt>
                <c:pt idx="71">
                  <c:v>0</c:v>
                </c:pt>
                <c:pt idx="72">
                  <c:v>1</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B-87C6-44EA-973E-4EE677DB667E}"/>
            </c:ext>
          </c:extLst>
        </c:ser>
        <c:ser>
          <c:idx val="92"/>
          <c:order val="92"/>
          <c:tx>
            <c:strRef>
              <c:f>Tabelle3!$CQ$1</c:f>
              <c:strCache>
                <c:ptCount val="1"/>
                <c:pt idx="0">
                  <c:v>2024-09-01</c:v>
                </c:pt>
              </c:strCache>
            </c:strRef>
          </c:tx>
          <c:spPr>
            <a:ln w="28575" cap="rnd">
              <a:solidFill>
                <a:schemeClr val="accent3">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Tabelle3!$CQ$2:$CQ$100</c:f>
              <c:numCache>
                <c:formatCode>General</c:formatCode>
                <c:ptCount val="99"/>
                <c:pt idx="0">
                  <c:v>0</c:v>
                </c:pt>
                <c:pt idx="1">
                  <c:v>0</c:v>
                </c:pt>
                <c:pt idx="2">
                  <c:v>0</c:v>
                </c:pt>
                <c:pt idx="3">
                  <c:v>0</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0</c:v>
                </c:pt>
                <c:pt idx="50">
                  <c:v>1</c:v>
                </c:pt>
                <c:pt idx="51">
                  <c:v>2</c:v>
                </c:pt>
                <c:pt idx="52">
                  <c:v>1</c:v>
                </c:pt>
                <c:pt idx="53">
                  <c:v>0</c:v>
                </c:pt>
                <c:pt idx="54">
                  <c:v>0</c:v>
                </c:pt>
                <c:pt idx="55">
                  <c:v>0</c:v>
                </c:pt>
                <c:pt idx="56">
                  <c:v>0</c:v>
                </c:pt>
                <c:pt idx="57">
                  <c:v>1</c:v>
                </c:pt>
                <c:pt idx="58">
                  <c:v>2</c:v>
                </c:pt>
                <c:pt idx="59">
                  <c:v>0</c:v>
                </c:pt>
                <c:pt idx="60">
                  <c:v>0</c:v>
                </c:pt>
                <c:pt idx="61">
                  <c:v>0</c:v>
                </c:pt>
                <c:pt idx="62">
                  <c:v>0</c:v>
                </c:pt>
                <c:pt idx="63">
                  <c:v>2</c:v>
                </c:pt>
                <c:pt idx="64">
                  <c:v>0</c:v>
                </c:pt>
                <c:pt idx="65">
                  <c:v>0</c:v>
                </c:pt>
                <c:pt idx="66">
                  <c:v>0</c:v>
                </c:pt>
                <c:pt idx="67">
                  <c:v>0</c:v>
                </c:pt>
                <c:pt idx="68">
                  <c:v>1</c:v>
                </c:pt>
                <c:pt idx="69">
                  <c:v>0</c:v>
                </c:pt>
                <c:pt idx="70">
                  <c:v>0</c:v>
                </c:pt>
                <c:pt idx="71">
                  <c:v>0</c:v>
                </c:pt>
                <c:pt idx="72">
                  <c:v>1</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C-87C6-44EA-973E-4EE677DB667E}"/>
            </c:ext>
          </c:extLst>
        </c:ser>
        <c:ser>
          <c:idx val="93"/>
          <c:order val="93"/>
          <c:tx>
            <c:strRef>
              <c:f>Tabelle3!$CR$1</c:f>
              <c:strCache>
                <c:ptCount val="1"/>
                <c:pt idx="0">
                  <c:v>2024-10-01</c:v>
                </c:pt>
              </c:strCache>
            </c:strRef>
          </c:tx>
          <c:spPr>
            <a:ln w="28575" cap="rnd">
              <a:solidFill>
                <a:schemeClr val="accent4">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Tabelle3!$CR$2:$CR$100</c:f>
              <c:numCache>
                <c:formatCode>General</c:formatCode>
                <c:ptCount val="99"/>
                <c:pt idx="0">
                  <c:v>0</c:v>
                </c:pt>
                <c:pt idx="1">
                  <c:v>0</c:v>
                </c:pt>
                <c:pt idx="2">
                  <c:v>0</c:v>
                </c:pt>
                <c:pt idx="3">
                  <c:v>0</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1</c:v>
                </c:pt>
                <c:pt idx="51">
                  <c:v>2</c:v>
                </c:pt>
                <c:pt idx="52">
                  <c:v>1</c:v>
                </c:pt>
                <c:pt idx="53">
                  <c:v>0</c:v>
                </c:pt>
                <c:pt idx="54">
                  <c:v>0</c:v>
                </c:pt>
                <c:pt idx="55">
                  <c:v>0</c:v>
                </c:pt>
                <c:pt idx="56">
                  <c:v>0</c:v>
                </c:pt>
                <c:pt idx="57">
                  <c:v>0</c:v>
                </c:pt>
                <c:pt idx="58">
                  <c:v>2</c:v>
                </c:pt>
                <c:pt idx="59">
                  <c:v>0</c:v>
                </c:pt>
                <c:pt idx="60">
                  <c:v>0</c:v>
                </c:pt>
                <c:pt idx="61">
                  <c:v>0</c:v>
                </c:pt>
                <c:pt idx="62">
                  <c:v>0</c:v>
                </c:pt>
                <c:pt idx="63">
                  <c:v>2</c:v>
                </c:pt>
                <c:pt idx="64">
                  <c:v>0</c:v>
                </c:pt>
                <c:pt idx="65">
                  <c:v>0</c:v>
                </c:pt>
                <c:pt idx="66">
                  <c:v>0</c:v>
                </c:pt>
                <c:pt idx="67">
                  <c:v>0</c:v>
                </c:pt>
                <c:pt idx="68">
                  <c:v>1</c:v>
                </c:pt>
                <c:pt idx="69">
                  <c:v>0</c:v>
                </c:pt>
                <c:pt idx="70">
                  <c:v>0</c:v>
                </c:pt>
                <c:pt idx="71">
                  <c:v>0</c:v>
                </c:pt>
                <c:pt idx="72">
                  <c:v>1</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D-87C6-44EA-973E-4EE677DB667E}"/>
            </c:ext>
          </c:extLst>
        </c:ser>
        <c:ser>
          <c:idx val="94"/>
          <c:order val="94"/>
          <c:tx>
            <c:strRef>
              <c:f>Tabelle3!$CS$1</c:f>
              <c:strCache>
                <c:ptCount val="1"/>
                <c:pt idx="0">
                  <c:v>2024-11-01</c:v>
                </c:pt>
              </c:strCache>
            </c:strRef>
          </c:tx>
          <c:spPr>
            <a:ln w="28575" cap="rnd">
              <a:solidFill>
                <a:schemeClr val="accent5">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Tabelle3!$CS$2:$CS$100</c:f>
              <c:numCache>
                <c:formatCode>General</c:formatCode>
                <c:ptCount val="99"/>
                <c:pt idx="0">
                  <c:v>0</c:v>
                </c:pt>
                <c:pt idx="1">
                  <c:v>0</c:v>
                </c:pt>
                <c:pt idx="2">
                  <c:v>0</c:v>
                </c:pt>
                <c:pt idx="3">
                  <c:v>0</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1</c:v>
                </c:pt>
                <c:pt idx="51">
                  <c:v>2</c:v>
                </c:pt>
                <c:pt idx="52">
                  <c:v>1</c:v>
                </c:pt>
                <c:pt idx="53">
                  <c:v>0</c:v>
                </c:pt>
                <c:pt idx="54">
                  <c:v>0</c:v>
                </c:pt>
                <c:pt idx="55">
                  <c:v>0</c:v>
                </c:pt>
                <c:pt idx="56">
                  <c:v>0</c:v>
                </c:pt>
                <c:pt idx="57">
                  <c:v>0</c:v>
                </c:pt>
                <c:pt idx="58">
                  <c:v>2</c:v>
                </c:pt>
                <c:pt idx="59">
                  <c:v>0</c:v>
                </c:pt>
                <c:pt idx="60">
                  <c:v>0</c:v>
                </c:pt>
                <c:pt idx="61">
                  <c:v>0</c:v>
                </c:pt>
                <c:pt idx="62">
                  <c:v>0</c:v>
                </c:pt>
                <c:pt idx="63">
                  <c:v>2</c:v>
                </c:pt>
                <c:pt idx="64">
                  <c:v>0</c:v>
                </c:pt>
                <c:pt idx="65">
                  <c:v>0</c:v>
                </c:pt>
                <c:pt idx="66">
                  <c:v>0</c:v>
                </c:pt>
                <c:pt idx="67">
                  <c:v>0</c:v>
                </c:pt>
                <c:pt idx="68">
                  <c:v>1</c:v>
                </c:pt>
                <c:pt idx="69">
                  <c:v>0</c:v>
                </c:pt>
                <c:pt idx="70">
                  <c:v>0</c:v>
                </c:pt>
                <c:pt idx="71">
                  <c:v>0</c:v>
                </c:pt>
                <c:pt idx="72">
                  <c:v>1</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E-87C6-44EA-973E-4EE677DB667E}"/>
            </c:ext>
          </c:extLst>
        </c:ser>
        <c:ser>
          <c:idx val="95"/>
          <c:order val="95"/>
          <c:tx>
            <c:strRef>
              <c:f>Tabelle3!$CT$1</c:f>
              <c:strCache>
                <c:ptCount val="1"/>
                <c:pt idx="0">
                  <c:v>2024-12-01</c:v>
                </c:pt>
              </c:strCache>
            </c:strRef>
          </c:tx>
          <c:spPr>
            <a:ln w="28575" cap="rnd">
              <a:solidFill>
                <a:schemeClr val="accent6">
                  <a:lumMod val="70000"/>
                  <a:lumOff val="30000"/>
                </a:schemeClr>
              </a:solidFill>
              <a:round/>
            </a:ln>
            <a:effectLst/>
          </c:spPr>
          <c:marker>
            <c:symbol val="none"/>
          </c:marker>
          <c:cat>
            <c:strRef>
              <c:f>Tabelle3!$B$2:$B$100</c:f>
              <c:strCache>
                <c:ptCount val="99"/>
                <c:pt idx="0">
                  <c:v>STOMATOLOGIKA</c:v>
                </c:pt>
                <c:pt idx="1">
                  <c:v>MITTEL BEI SÄURE BEDINGTEN ERKRANKUNGEN</c:v>
                </c:pt>
                <c:pt idx="2">
                  <c:v>MITTEL BEI FUNKTIONELLEN GASTROINTESTINALEN STÖRUNGEN</c:v>
                </c:pt>
                <c:pt idx="3">
                  <c:v>ANTIEMETIKA UND MITTEL GEGEN ÜBELKEIT</c:v>
                </c:pt>
                <c:pt idx="4">
                  <c:v>GALLEN- UND LEBERTHERAPIE</c:v>
                </c:pt>
                <c:pt idx="5">
                  <c:v>MITTEL GEGEN OBSTIPATION</c:v>
                </c:pt>
                <c:pt idx="6">
                  <c:v>ANTIDIARRHOIKA UND INTESTINALE ANTIPHLOGISTIKA/ANTIINFEKTIVA</c:v>
                </c:pt>
                <c:pt idx="7">
                  <c:v>ANTIADIPOSITA, EXKL. DIÄTETIKA</c:v>
                </c:pt>
                <c:pt idx="8">
                  <c:v>DIGESTIVA, INKL. ENZYME</c:v>
                </c:pt>
                <c:pt idx="9">
                  <c:v>ANTIDIABETIKA</c:v>
                </c:pt>
                <c:pt idx="10">
                  <c:v>VITAMINE</c:v>
                </c:pt>
                <c:pt idx="11">
                  <c:v>MINERALSTOFFE</c:v>
                </c:pt>
                <c:pt idx="12">
                  <c:v>TONIKA</c:v>
                </c:pt>
                <c:pt idx="13">
                  <c:v>ANABOLIKA ZUR SYSTEMISCHEN ANWENDUNG</c:v>
                </c:pt>
                <c:pt idx="14">
                  <c:v>APPETIT STIMULIERENDE MITTEL</c:v>
                </c:pt>
                <c:pt idx="15">
                  <c:v>ANDERE MITTEL FÜR DAS ALIMENTÄRE SYSTEM UND DEN STOFFWECHSEL</c:v>
                </c:pt>
                <c:pt idx="16">
                  <c:v>ANTITHROMBOTISCHE MITTEL</c:v>
                </c:pt>
                <c:pt idx="17">
                  <c:v>ANTIHÄMORRHAGIKA</c:v>
                </c:pt>
                <c:pt idx="18">
                  <c:v>ANTIANÄMIKA</c:v>
                </c:pt>
                <c:pt idx="19">
                  <c:v>BLUTERSATZMITTEL UND PERFUSIONSLÖSUNGEN</c:v>
                </c:pt>
                <c:pt idx="20">
                  <c:v>ANDERE HÄMATOLOGIKA</c:v>
                </c:pt>
                <c:pt idx="21">
                  <c:v>HERZTHERAPIE</c:v>
                </c:pt>
                <c:pt idx="22">
                  <c:v>ANTIHYPERTENSIVA</c:v>
                </c:pt>
                <c:pt idx="23">
                  <c:v>DIURETIKA</c:v>
                </c:pt>
                <c:pt idx="24">
                  <c:v>PERIPHERE VASODILATATOREN</c:v>
                </c:pt>
                <c:pt idx="25">
                  <c:v>VASOPROTEKTOREN</c:v>
                </c:pt>
                <c:pt idx="26">
                  <c:v>ANDERE HERZ- UND KREISLAUFMITTEL</c:v>
                </c:pt>
                <c:pt idx="27">
                  <c:v>BETA-ADRENOZEPTORANTAGONISTEN</c:v>
                </c:pt>
                <c:pt idx="28">
                  <c:v>CALCIUMKANALBLOCKER</c:v>
                </c:pt>
                <c:pt idx="29">
                  <c:v>MITTEL MIT WIRKUNG AUF DAS RENIN-ANGIOTENSIN-SYSTEM</c:v>
                </c:pt>
                <c:pt idx="30">
                  <c:v>MITTEL, DIE DEN LIPIDSTOFFWECHSEL BEEINFLUSSEN</c:v>
                </c:pt>
                <c:pt idx="31">
                  <c:v>ANTIMYKOTIKA ZUR DERMATOLOGISCHEN ANWENDUNG</c:v>
                </c:pt>
                <c:pt idx="32">
                  <c:v>EMOLLIENTIA UND HAUTSCHUTZMITTEL</c:v>
                </c:pt>
                <c:pt idx="33">
                  <c:v>ZUBEREITUNGEN ZUR BEHANDLUNG VON WUNDEN UND GESCHWÜREN</c:v>
                </c:pt>
                <c:pt idx="34">
                  <c:v>ANTIPRURIGINOSA, INKL. ANTIHISTAMINIKA, ANÄSTHETIKA ETC.</c:v>
                </c:pt>
                <c:pt idx="35">
                  <c:v>ANTIPSORIATIKA</c:v>
                </c:pt>
                <c:pt idx="36">
                  <c:v>ANTIBIOTIKA UND CHEMOTHERAPEUTIKA ZUR DERMATOLOGISCHEN ANWENDUNG</c:v>
                </c:pt>
                <c:pt idx="37">
                  <c:v>CORTICOSTEROIDE, DERMATOLOGISCHE ZUBEREITUNGEN</c:v>
                </c:pt>
                <c:pt idx="38">
                  <c:v>ANTISEPTIKA UND DESINFEKTIONSMITTEL</c:v>
                </c:pt>
                <c:pt idx="39">
                  <c:v>MEDIZINISCHE VERBÄNDE</c:v>
                </c:pt>
                <c:pt idx="40">
                  <c:v>AKNEMITTEL</c:v>
                </c:pt>
                <c:pt idx="41">
                  <c:v>ANDERE DERMATIKA</c:v>
                </c:pt>
                <c:pt idx="42">
                  <c:v>GYNÄKOLOGISCHE ANTIINFEKTIVA UND ANTISEPTIKA</c:v>
                </c:pt>
                <c:pt idx="43">
                  <c:v>ANDERE GYNÄKOLOGIKA</c:v>
                </c:pt>
                <c:pt idx="44">
                  <c:v>SEXUALHORMONE UND MODULATOREN DES GENITALSYSTEMS</c:v>
                </c:pt>
                <c:pt idx="45">
                  <c:v>UROLOGIKA</c:v>
                </c:pt>
                <c:pt idx="46">
                  <c:v>HYPOPHYSEN- UND HYPOTHALAMUSHORMONE UND ANALOGA</c:v>
                </c:pt>
                <c:pt idx="47">
                  <c:v>CORTICOSTEROIDE ZUR SYSTEMISCHEN ANWENDUNG</c:v>
                </c:pt>
                <c:pt idx="48">
                  <c:v>SCHILDDRÜSENTHERAPIE</c:v>
                </c:pt>
                <c:pt idx="49">
                  <c:v>PANKREASHORMONE</c:v>
                </c:pt>
                <c:pt idx="50">
                  <c:v>CALCIUMHOMÖOSTASE</c:v>
                </c:pt>
                <c:pt idx="51">
                  <c:v>ANTIBIOTIKA ZUR SYSTEMISCHEN ANWENDUNG</c:v>
                </c:pt>
                <c:pt idx="52">
                  <c:v>ANTIMYKOTIKA ZUR SYSTEMISCHEN ANWENDUNG</c:v>
                </c:pt>
                <c:pt idx="53">
                  <c:v>MITTEL GEGEN MYKOBAKTERIEN</c:v>
                </c:pt>
                <c:pt idx="54">
                  <c:v>ANTIVIRALE MITTEL ZUR SYSTEMISCHEN ANWENDUNG</c:v>
                </c:pt>
                <c:pt idx="55">
                  <c:v>IMMUNSERA UND IMMUNGLOBULINE</c:v>
                </c:pt>
                <c:pt idx="56">
                  <c:v>IMPFSTOFFE</c:v>
                </c:pt>
                <c:pt idx="57">
                  <c:v>ANTINEOPLASTISCHE MITTEL</c:v>
                </c:pt>
                <c:pt idx="58">
                  <c:v>ENDOKRINE THERAPIE</c:v>
                </c:pt>
                <c:pt idx="59">
                  <c:v>IMMUNSTIMULANZIEN</c:v>
                </c:pt>
                <c:pt idx="60">
                  <c:v>IMMUNSUPPRESSIVA</c:v>
                </c:pt>
                <c:pt idx="61">
                  <c:v>ANTIPHLOGISTIKA UND ANTIRHEUMATIKA</c:v>
                </c:pt>
                <c:pt idx="62">
                  <c:v>TOPISCHE MITTEL GEGEN GELENK- UND MUSKELSCHMERZEN</c:v>
                </c:pt>
                <c:pt idx="63">
                  <c:v>MUSKELRELAXANZIEN</c:v>
                </c:pt>
                <c:pt idx="64">
                  <c:v>GICHTMITTEL</c:v>
                </c:pt>
                <c:pt idx="65">
                  <c:v>MITTEL ZUR BEHANDLUNG VON KNOCHENERKRANKUNGEN</c:v>
                </c:pt>
                <c:pt idx="66">
                  <c:v>ANDERE MITTEL GEGEN STÖRUNGEN DES MUSKEL- UND SKELETTSYSTEMS</c:v>
                </c:pt>
                <c:pt idx="67">
                  <c:v>ANÄSTHETIKA</c:v>
                </c:pt>
                <c:pt idx="68">
                  <c:v>ANALGETIKA</c:v>
                </c:pt>
                <c:pt idx="69">
                  <c:v>ANTIEPILEPTIKA</c:v>
                </c:pt>
                <c:pt idx="70">
                  <c:v>ANTIPARKINSONMITTEL</c:v>
                </c:pt>
                <c:pt idx="71">
                  <c:v>PSYCHOLEPTIKA</c:v>
                </c:pt>
                <c:pt idx="72">
                  <c:v>PSYCHOANALEPTIKA</c:v>
                </c:pt>
                <c:pt idx="73">
                  <c:v>ANDERE MITTEL FÜR DAS NERVENSYSTEM</c:v>
                </c:pt>
                <c:pt idx="74">
                  <c:v>MITTEL GEGEN PROTOZOEN-ERKRANKUNGEN</c:v>
                </c:pt>
                <c:pt idx="75">
                  <c:v>ANTHELMINTHIKA</c:v>
                </c:pt>
                <c:pt idx="76">
                  <c:v>MITTEL GEGEN EKTOPARASITEN, INKL. ANTISCABIOSA, INSEKTIZIDE UND REPELLENZIEN</c:v>
                </c:pt>
                <c:pt idx="77">
                  <c:v>RHINOLOGIKA</c:v>
                </c:pt>
                <c:pt idx="78">
                  <c:v>HALS- UND RACHENTHERAPEUTIKA</c:v>
                </c:pt>
                <c:pt idx="79">
                  <c:v>MITTEL BEI OBSTRUKTIVEN ATEMWEGSERKRANKUNGEN</c:v>
                </c:pt>
                <c:pt idx="80">
                  <c:v>BRUSTEINREIBUNGEN UND ANDERE INHALATE</c:v>
                </c:pt>
                <c:pt idx="81">
                  <c:v>HUSTEN- UND ERKÄLTUNGSMITTEL</c:v>
                </c:pt>
                <c:pt idx="82">
                  <c:v>ANTIHISTAMINIKA ZUR SYSTEMISCHEN ANWENDUNG</c:v>
                </c:pt>
                <c:pt idx="83">
                  <c:v>ANDERE MITTEL FÜR DEN RESPIRATIONSTRAKT</c:v>
                </c:pt>
                <c:pt idx="84">
                  <c:v>OPHTHALMIKA**</c:v>
                </c:pt>
                <c:pt idx="85">
                  <c:v>OTOLOGIKA</c:v>
                </c:pt>
                <c:pt idx="86">
                  <c:v>OPHTHALMOLOGISCHE UND OTOLOGISCHE ZUBEREITUNGEN</c:v>
                </c:pt>
                <c:pt idx="87">
                  <c:v>ALLERGENE</c:v>
                </c:pt>
                <c:pt idx="88">
                  <c:v>ALLE ÜBRIGEN THERAPEUTISCHEN MITTEL</c:v>
                </c:pt>
                <c:pt idx="89">
                  <c:v>DIAGNOSTIKA</c:v>
                </c:pt>
                <c:pt idx="90">
                  <c:v>ALLGEMEINE DIÄTETIKA</c:v>
                </c:pt>
                <c:pt idx="91">
                  <c:v>ALLE ÜBRIGEN NICHTTHERAPEUTISCHEN MITTEL</c:v>
                </c:pt>
                <c:pt idx="92">
                  <c:v>KONTRASTMITTEL</c:v>
                </c:pt>
                <c:pt idx="93">
                  <c:v>RADIODIAGNOSTIKA</c:v>
                </c:pt>
                <c:pt idx="94">
                  <c:v>RADIOTHERAPEUTIKA</c:v>
                </c:pt>
                <c:pt idx="95">
                  <c:v>WUNDVERBÄNDE</c:v>
                </c:pt>
                <c:pt idx="96">
                  <c:v>HOMÖOPATHIKA UND ANTHROPOSOPHIKA</c:v>
                </c:pt>
                <c:pt idx="97">
                  <c:v>REZEPTUREN</c:v>
                </c:pt>
                <c:pt idx="98">
                  <c:v>SONDERGRUPPEN</c:v>
                </c:pt>
              </c:strCache>
            </c:strRef>
          </c:cat>
          <c:val>
            <c:numRef>
              <c:f>Tabelle3!$CT$2:$CT$100</c:f>
              <c:numCache>
                <c:formatCode>General</c:formatCode>
                <c:ptCount val="99"/>
                <c:pt idx="0">
                  <c:v>0</c:v>
                </c:pt>
                <c:pt idx="1">
                  <c:v>0</c:v>
                </c:pt>
                <c:pt idx="2">
                  <c:v>0</c:v>
                </c:pt>
                <c:pt idx="3">
                  <c:v>0</c:v>
                </c:pt>
                <c:pt idx="4">
                  <c:v>0</c:v>
                </c:pt>
                <c:pt idx="5">
                  <c:v>0</c:v>
                </c:pt>
                <c:pt idx="6">
                  <c:v>1</c:v>
                </c:pt>
                <c:pt idx="7">
                  <c:v>0</c:v>
                </c:pt>
                <c:pt idx="8">
                  <c:v>0</c:v>
                </c:pt>
                <c:pt idx="9">
                  <c:v>1</c:v>
                </c:pt>
                <c:pt idx="10">
                  <c:v>0</c:v>
                </c:pt>
                <c:pt idx="11">
                  <c:v>0</c:v>
                </c:pt>
                <c:pt idx="12">
                  <c:v>0</c:v>
                </c:pt>
                <c:pt idx="13">
                  <c:v>0</c:v>
                </c:pt>
                <c:pt idx="14">
                  <c:v>0</c:v>
                </c:pt>
                <c:pt idx="15">
                  <c:v>2</c:v>
                </c:pt>
                <c:pt idx="16">
                  <c:v>3</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1</c:v>
                </c:pt>
                <c:pt idx="51">
                  <c:v>2</c:v>
                </c:pt>
                <c:pt idx="52">
                  <c:v>1</c:v>
                </c:pt>
                <c:pt idx="53">
                  <c:v>0</c:v>
                </c:pt>
                <c:pt idx="54">
                  <c:v>0</c:v>
                </c:pt>
                <c:pt idx="55">
                  <c:v>0</c:v>
                </c:pt>
                <c:pt idx="56">
                  <c:v>0</c:v>
                </c:pt>
                <c:pt idx="57">
                  <c:v>0</c:v>
                </c:pt>
                <c:pt idx="58">
                  <c:v>2</c:v>
                </c:pt>
                <c:pt idx="59">
                  <c:v>0</c:v>
                </c:pt>
                <c:pt idx="60">
                  <c:v>0</c:v>
                </c:pt>
                <c:pt idx="61">
                  <c:v>0</c:v>
                </c:pt>
                <c:pt idx="62">
                  <c:v>0</c:v>
                </c:pt>
                <c:pt idx="63">
                  <c:v>2</c:v>
                </c:pt>
                <c:pt idx="64">
                  <c:v>0</c:v>
                </c:pt>
                <c:pt idx="65">
                  <c:v>0</c:v>
                </c:pt>
                <c:pt idx="66">
                  <c:v>0</c:v>
                </c:pt>
                <c:pt idx="67">
                  <c:v>0</c:v>
                </c:pt>
                <c:pt idx="68">
                  <c:v>1</c:v>
                </c:pt>
                <c:pt idx="69">
                  <c:v>0</c:v>
                </c:pt>
                <c:pt idx="70">
                  <c:v>0</c:v>
                </c:pt>
                <c:pt idx="71">
                  <c:v>0</c:v>
                </c:pt>
                <c:pt idx="72">
                  <c:v>1</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5F-87C6-44EA-973E-4EE677DB667E}"/>
            </c:ext>
          </c:extLst>
        </c:ser>
        <c:dLbls>
          <c:showLegendKey val="0"/>
          <c:showVal val="0"/>
          <c:showCatName val="0"/>
          <c:showSerName val="0"/>
          <c:showPercent val="0"/>
          <c:showBubbleSize val="0"/>
        </c:dLbls>
        <c:smooth val="0"/>
        <c:axId val="1739268960"/>
        <c:axId val="1783292384"/>
      </c:lineChart>
      <c:catAx>
        <c:axId val="173926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83292384"/>
        <c:crosses val="autoZero"/>
        <c:auto val="1"/>
        <c:lblAlgn val="ctr"/>
        <c:lblOffset val="100"/>
        <c:noMultiLvlLbl val="0"/>
      </c:catAx>
      <c:valAx>
        <c:axId val="178329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3926896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29"/>
          <c:order val="29"/>
          <c:tx>
            <c:strRef>
              <c:f>Tabelle5!$B$31</c:f>
              <c:strCache>
                <c:ptCount val="1"/>
                <c:pt idx="0">
                  <c:v>MITTEL MIT WIRKUNG AUF DAS RENIN-ANGIOTENSIN-SYSTEM</c:v>
                </c:pt>
              </c:strCache>
            </c:strRef>
          </c:tx>
          <c:spPr>
            <a:ln w="28575" cap="rnd">
              <a:solidFill>
                <a:schemeClr val="accent6">
                  <a:lumMod val="60000"/>
                  <a:lumOff val="40000"/>
                </a:schemeClr>
              </a:solidFill>
              <a:round/>
            </a:ln>
            <a:effectLst/>
          </c:spPr>
          <c:marker>
            <c:symbol val="none"/>
          </c:marker>
          <c:cat>
            <c:strRef>
              <c:f>Tabelle5!$C$1:$CR$1</c:f>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f>Tabelle5!$C$31:$CR$31</c:f>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95</c:v>
                </c:pt>
                <c:pt idx="19">
                  <c:v>95</c:v>
                </c:pt>
                <c:pt idx="20">
                  <c:v>95</c:v>
                </c:pt>
                <c:pt idx="21">
                  <c:v>101</c:v>
                </c:pt>
                <c:pt idx="22">
                  <c:v>108</c:v>
                </c:pt>
                <c:pt idx="23">
                  <c:v>110</c:v>
                </c:pt>
                <c:pt idx="24">
                  <c:v>101</c:v>
                </c:pt>
                <c:pt idx="25">
                  <c:v>99</c:v>
                </c:pt>
                <c:pt idx="26">
                  <c:v>97</c:v>
                </c:pt>
                <c:pt idx="27">
                  <c:v>94</c:v>
                </c:pt>
                <c:pt idx="28">
                  <c:v>94</c:v>
                </c:pt>
                <c:pt idx="29">
                  <c:v>95</c:v>
                </c:pt>
                <c:pt idx="30">
                  <c:v>87</c:v>
                </c:pt>
                <c:pt idx="31">
                  <c:v>87</c:v>
                </c:pt>
                <c:pt idx="32">
                  <c:v>85</c:v>
                </c:pt>
                <c:pt idx="33">
                  <c:v>85</c:v>
                </c:pt>
                <c:pt idx="34">
                  <c:v>85</c:v>
                </c:pt>
                <c:pt idx="35">
                  <c:v>86</c:v>
                </c:pt>
                <c:pt idx="36">
                  <c:v>59</c:v>
                </c:pt>
                <c:pt idx="37">
                  <c:v>61</c:v>
                </c:pt>
                <c:pt idx="38">
                  <c:v>64</c:v>
                </c:pt>
                <c:pt idx="39">
                  <c:v>62</c:v>
                </c:pt>
                <c:pt idx="40">
                  <c:v>52</c:v>
                </c:pt>
                <c:pt idx="41">
                  <c:v>52</c:v>
                </c:pt>
                <c:pt idx="42">
                  <c:v>48</c:v>
                </c:pt>
                <c:pt idx="43">
                  <c:v>47</c:v>
                </c:pt>
                <c:pt idx="44">
                  <c:v>46</c:v>
                </c:pt>
                <c:pt idx="45">
                  <c:v>39</c:v>
                </c:pt>
                <c:pt idx="46">
                  <c:v>17</c:v>
                </c:pt>
                <c:pt idx="47">
                  <c:v>14</c:v>
                </c:pt>
                <c:pt idx="48">
                  <c:v>14</c:v>
                </c:pt>
                <c:pt idx="49">
                  <c:v>4</c:v>
                </c:pt>
                <c:pt idx="50">
                  <c:v>4</c:v>
                </c:pt>
                <c:pt idx="51">
                  <c:v>4</c:v>
                </c:pt>
                <c:pt idx="52">
                  <c:v>4</c:v>
                </c:pt>
                <c:pt idx="53">
                  <c:v>8</c:v>
                </c:pt>
                <c:pt idx="54">
                  <c:v>8</c:v>
                </c:pt>
                <c:pt idx="55">
                  <c:v>6</c:v>
                </c:pt>
                <c:pt idx="56">
                  <c:v>7</c:v>
                </c:pt>
                <c:pt idx="57">
                  <c:v>9</c:v>
                </c:pt>
                <c:pt idx="58">
                  <c:v>12</c:v>
                </c:pt>
                <c:pt idx="59">
                  <c:v>12</c:v>
                </c:pt>
                <c:pt idx="60">
                  <c:v>11</c:v>
                </c:pt>
                <c:pt idx="61">
                  <c:v>11</c:v>
                </c:pt>
                <c:pt idx="62">
                  <c:v>13</c:v>
                </c:pt>
                <c:pt idx="63">
                  <c:v>12</c:v>
                </c:pt>
                <c:pt idx="64">
                  <c:v>12</c:v>
                </c:pt>
                <c:pt idx="65">
                  <c:v>12</c:v>
                </c:pt>
                <c:pt idx="66">
                  <c:v>14</c:v>
                </c:pt>
                <c:pt idx="67">
                  <c:v>13</c:v>
                </c:pt>
                <c:pt idx="68">
                  <c:v>13</c:v>
                </c:pt>
                <c:pt idx="69">
                  <c:v>13</c:v>
                </c:pt>
                <c:pt idx="70">
                  <c:v>12</c:v>
                </c:pt>
                <c:pt idx="71">
                  <c:v>12</c:v>
                </c:pt>
                <c:pt idx="72">
                  <c:v>13</c:v>
                </c:pt>
                <c:pt idx="73">
                  <c:v>14</c:v>
                </c:pt>
                <c:pt idx="74">
                  <c:v>14</c:v>
                </c:pt>
                <c:pt idx="75">
                  <c:v>14</c:v>
                </c:pt>
                <c:pt idx="76">
                  <c:v>14</c:v>
                </c:pt>
                <c:pt idx="77">
                  <c:v>14</c:v>
                </c:pt>
                <c:pt idx="78">
                  <c:v>15</c:v>
                </c:pt>
                <c:pt idx="79">
                  <c:v>19</c:v>
                </c:pt>
                <c:pt idx="80">
                  <c:v>18</c:v>
                </c:pt>
                <c:pt idx="81">
                  <c:v>12</c:v>
                </c:pt>
                <c:pt idx="82">
                  <c:v>7</c:v>
                </c:pt>
                <c:pt idx="83">
                  <c:v>1</c:v>
                </c:pt>
                <c:pt idx="84">
                  <c:v>0</c:v>
                </c:pt>
                <c:pt idx="85">
                  <c:v>0</c:v>
                </c:pt>
                <c:pt idx="86">
                  <c:v>0</c:v>
                </c:pt>
                <c:pt idx="87">
                  <c:v>0</c:v>
                </c:pt>
                <c:pt idx="88">
                  <c:v>0</c:v>
                </c:pt>
                <c:pt idx="89">
                  <c:v>0</c:v>
                </c:pt>
                <c:pt idx="90">
                  <c:v>0</c:v>
                </c:pt>
                <c:pt idx="91">
                  <c:v>0</c:v>
                </c:pt>
                <c:pt idx="92">
                  <c:v>0</c:v>
                </c:pt>
                <c:pt idx="93">
                  <c:v>0</c:v>
                </c:pt>
              </c:numCache>
            </c:numRef>
          </c:val>
          <c:smooth val="0"/>
          <c:extLst>
            <c:ext xmlns:c16="http://schemas.microsoft.com/office/drawing/2014/chart" uri="{C3380CC4-5D6E-409C-BE32-E72D297353CC}">
              <c16:uniqueId val="{0000001D-5F61-41E1-B7F7-F5C086851244}"/>
            </c:ext>
          </c:extLst>
        </c:ser>
        <c:ser>
          <c:idx val="51"/>
          <c:order val="51"/>
          <c:tx>
            <c:strRef>
              <c:f>Tabelle5!$B$53</c:f>
              <c:strCache>
                <c:ptCount val="1"/>
                <c:pt idx="0">
                  <c:v>ANTIBIOTIKA ZUR SYSTEMISCHEN ANWENDUNG</c:v>
                </c:pt>
              </c:strCache>
            </c:strRef>
          </c:tx>
          <c:spPr>
            <a:ln w="28575" cap="rnd">
              <a:solidFill>
                <a:schemeClr val="accent4">
                  <a:lumMod val="50000"/>
                  <a:lumOff val="50000"/>
                </a:schemeClr>
              </a:solidFill>
              <a:round/>
            </a:ln>
            <a:effectLst/>
          </c:spPr>
          <c:marker>
            <c:symbol val="none"/>
          </c:marker>
          <c:cat>
            <c:strRef>
              <c:f>Tabelle5!$C$1:$CR$1</c:f>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f>Tabelle5!$C$53:$CR$53</c:f>
              <c:numCache>
                <c:formatCode>General</c:formatCode>
                <c:ptCount val="94"/>
                <c:pt idx="0">
                  <c:v>5</c:v>
                </c:pt>
                <c:pt idx="1">
                  <c:v>6</c:v>
                </c:pt>
                <c:pt idx="2">
                  <c:v>6</c:v>
                </c:pt>
                <c:pt idx="3">
                  <c:v>13</c:v>
                </c:pt>
                <c:pt idx="4">
                  <c:v>13</c:v>
                </c:pt>
                <c:pt idx="5">
                  <c:v>13</c:v>
                </c:pt>
                <c:pt idx="6">
                  <c:v>14</c:v>
                </c:pt>
                <c:pt idx="7">
                  <c:v>15</c:v>
                </c:pt>
                <c:pt idx="8">
                  <c:v>16</c:v>
                </c:pt>
                <c:pt idx="9">
                  <c:v>16</c:v>
                </c:pt>
                <c:pt idx="10">
                  <c:v>17</c:v>
                </c:pt>
                <c:pt idx="11">
                  <c:v>20</c:v>
                </c:pt>
                <c:pt idx="12">
                  <c:v>22</c:v>
                </c:pt>
                <c:pt idx="13">
                  <c:v>19</c:v>
                </c:pt>
                <c:pt idx="14">
                  <c:v>17</c:v>
                </c:pt>
                <c:pt idx="15">
                  <c:v>17</c:v>
                </c:pt>
                <c:pt idx="16">
                  <c:v>18</c:v>
                </c:pt>
                <c:pt idx="17">
                  <c:v>18</c:v>
                </c:pt>
                <c:pt idx="18">
                  <c:v>17</c:v>
                </c:pt>
                <c:pt idx="19">
                  <c:v>13</c:v>
                </c:pt>
                <c:pt idx="20">
                  <c:v>13</c:v>
                </c:pt>
                <c:pt idx="21">
                  <c:v>16</c:v>
                </c:pt>
                <c:pt idx="22">
                  <c:v>17</c:v>
                </c:pt>
                <c:pt idx="23">
                  <c:v>19</c:v>
                </c:pt>
                <c:pt idx="24">
                  <c:v>18</c:v>
                </c:pt>
                <c:pt idx="25">
                  <c:v>16</c:v>
                </c:pt>
                <c:pt idx="26">
                  <c:v>17</c:v>
                </c:pt>
                <c:pt idx="27">
                  <c:v>20</c:v>
                </c:pt>
                <c:pt idx="28">
                  <c:v>20</c:v>
                </c:pt>
                <c:pt idx="29">
                  <c:v>23</c:v>
                </c:pt>
                <c:pt idx="30">
                  <c:v>19</c:v>
                </c:pt>
                <c:pt idx="31">
                  <c:v>19</c:v>
                </c:pt>
                <c:pt idx="32">
                  <c:v>18</c:v>
                </c:pt>
                <c:pt idx="33">
                  <c:v>19</c:v>
                </c:pt>
                <c:pt idx="34">
                  <c:v>17</c:v>
                </c:pt>
                <c:pt idx="35">
                  <c:v>19</c:v>
                </c:pt>
                <c:pt idx="36">
                  <c:v>58</c:v>
                </c:pt>
                <c:pt idx="37">
                  <c:v>67</c:v>
                </c:pt>
                <c:pt idx="38">
                  <c:v>62</c:v>
                </c:pt>
                <c:pt idx="39">
                  <c:v>53</c:v>
                </c:pt>
                <c:pt idx="40">
                  <c:v>36</c:v>
                </c:pt>
                <c:pt idx="41">
                  <c:v>35</c:v>
                </c:pt>
                <c:pt idx="42">
                  <c:v>32</c:v>
                </c:pt>
                <c:pt idx="43">
                  <c:v>26</c:v>
                </c:pt>
                <c:pt idx="44">
                  <c:v>22</c:v>
                </c:pt>
                <c:pt idx="45">
                  <c:v>22</c:v>
                </c:pt>
                <c:pt idx="46">
                  <c:v>23</c:v>
                </c:pt>
                <c:pt idx="47">
                  <c:v>26</c:v>
                </c:pt>
                <c:pt idx="48">
                  <c:v>29</c:v>
                </c:pt>
                <c:pt idx="49">
                  <c:v>29</c:v>
                </c:pt>
                <c:pt idx="50">
                  <c:v>25</c:v>
                </c:pt>
                <c:pt idx="51">
                  <c:v>25</c:v>
                </c:pt>
                <c:pt idx="52">
                  <c:v>24</c:v>
                </c:pt>
                <c:pt idx="53">
                  <c:v>23</c:v>
                </c:pt>
                <c:pt idx="54">
                  <c:v>23</c:v>
                </c:pt>
                <c:pt idx="55">
                  <c:v>23</c:v>
                </c:pt>
                <c:pt idx="56">
                  <c:v>25</c:v>
                </c:pt>
                <c:pt idx="57">
                  <c:v>23</c:v>
                </c:pt>
                <c:pt idx="58">
                  <c:v>24</c:v>
                </c:pt>
                <c:pt idx="59">
                  <c:v>24</c:v>
                </c:pt>
                <c:pt idx="60">
                  <c:v>18</c:v>
                </c:pt>
                <c:pt idx="61">
                  <c:v>16</c:v>
                </c:pt>
                <c:pt idx="62">
                  <c:v>23</c:v>
                </c:pt>
                <c:pt idx="63">
                  <c:v>29</c:v>
                </c:pt>
                <c:pt idx="64">
                  <c:v>22</c:v>
                </c:pt>
                <c:pt idx="65">
                  <c:v>22</c:v>
                </c:pt>
                <c:pt idx="66">
                  <c:v>27</c:v>
                </c:pt>
                <c:pt idx="67">
                  <c:v>46</c:v>
                </c:pt>
                <c:pt idx="68">
                  <c:v>47</c:v>
                </c:pt>
                <c:pt idx="69">
                  <c:v>56</c:v>
                </c:pt>
                <c:pt idx="70">
                  <c:v>83</c:v>
                </c:pt>
                <c:pt idx="71">
                  <c:v>85</c:v>
                </c:pt>
                <c:pt idx="72">
                  <c:v>99</c:v>
                </c:pt>
                <c:pt idx="73">
                  <c:v>112</c:v>
                </c:pt>
                <c:pt idx="74">
                  <c:v>112</c:v>
                </c:pt>
                <c:pt idx="75">
                  <c:v>123</c:v>
                </c:pt>
                <c:pt idx="76">
                  <c:v>119</c:v>
                </c:pt>
                <c:pt idx="77">
                  <c:v>107</c:v>
                </c:pt>
                <c:pt idx="78">
                  <c:v>102</c:v>
                </c:pt>
                <c:pt idx="79">
                  <c:v>102</c:v>
                </c:pt>
                <c:pt idx="80">
                  <c:v>78</c:v>
                </c:pt>
                <c:pt idx="81">
                  <c:v>53</c:v>
                </c:pt>
                <c:pt idx="82">
                  <c:v>30</c:v>
                </c:pt>
                <c:pt idx="83">
                  <c:v>19</c:v>
                </c:pt>
                <c:pt idx="84">
                  <c:v>11</c:v>
                </c:pt>
                <c:pt idx="85">
                  <c:v>6</c:v>
                </c:pt>
                <c:pt idx="86">
                  <c:v>2</c:v>
                </c:pt>
                <c:pt idx="87">
                  <c:v>2</c:v>
                </c:pt>
                <c:pt idx="88">
                  <c:v>2</c:v>
                </c:pt>
                <c:pt idx="89">
                  <c:v>2</c:v>
                </c:pt>
                <c:pt idx="90">
                  <c:v>2</c:v>
                </c:pt>
                <c:pt idx="91">
                  <c:v>2</c:v>
                </c:pt>
                <c:pt idx="92">
                  <c:v>2</c:v>
                </c:pt>
                <c:pt idx="93">
                  <c:v>2</c:v>
                </c:pt>
              </c:numCache>
            </c:numRef>
          </c:val>
          <c:smooth val="0"/>
          <c:extLst>
            <c:ext xmlns:c16="http://schemas.microsoft.com/office/drawing/2014/chart" uri="{C3380CC4-5D6E-409C-BE32-E72D297353CC}">
              <c16:uniqueId val="{00000033-5F61-41E1-B7F7-F5C086851244}"/>
            </c:ext>
          </c:extLst>
        </c:ser>
        <c:ser>
          <c:idx val="57"/>
          <c:order val="57"/>
          <c:tx>
            <c:strRef>
              <c:f>Tabelle5!$B$59</c:f>
              <c:strCache>
                <c:ptCount val="1"/>
                <c:pt idx="0">
                  <c:v>ANTINEOPLASTISCHE MITTEL</c:v>
                </c:pt>
              </c:strCache>
            </c:strRef>
          </c:tx>
          <c:spPr>
            <a:ln w="28575" cap="rnd">
              <a:solidFill>
                <a:schemeClr val="accent4"/>
              </a:solidFill>
              <a:round/>
            </a:ln>
            <a:effectLst/>
          </c:spPr>
          <c:marker>
            <c:symbol val="none"/>
          </c:marker>
          <c:cat>
            <c:strRef>
              <c:f>Tabelle5!$C$1:$CR$1</c:f>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f>Tabelle5!$C$59:$CR$59</c:f>
              <c:numCache>
                <c:formatCode>General</c:formatCode>
                <c:ptCount val="94"/>
                <c:pt idx="0">
                  <c:v>2</c:v>
                </c:pt>
                <c:pt idx="1">
                  <c:v>2</c:v>
                </c:pt>
                <c:pt idx="2">
                  <c:v>5</c:v>
                </c:pt>
                <c:pt idx="3">
                  <c:v>3</c:v>
                </c:pt>
                <c:pt idx="4">
                  <c:v>3</c:v>
                </c:pt>
                <c:pt idx="5">
                  <c:v>3</c:v>
                </c:pt>
                <c:pt idx="6">
                  <c:v>4</c:v>
                </c:pt>
                <c:pt idx="7">
                  <c:v>3</c:v>
                </c:pt>
                <c:pt idx="8">
                  <c:v>1</c:v>
                </c:pt>
                <c:pt idx="9">
                  <c:v>1</c:v>
                </c:pt>
                <c:pt idx="10">
                  <c:v>3</c:v>
                </c:pt>
                <c:pt idx="11">
                  <c:v>2</c:v>
                </c:pt>
                <c:pt idx="12">
                  <c:v>2</c:v>
                </c:pt>
                <c:pt idx="13">
                  <c:v>3</c:v>
                </c:pt>
                <c:pt idx="14">
                  <c:v>2</c:v>
                </c:pt>
                <c:pt idx="15">
                  <c:v>1</c:v>
                </c:pt>
                <c:pt idx="16">
                  <c:v>1</c:v>
                </c:pt>
                <c:pt idx="17">
                  <c:v>4</c:v>
                </c:pt>
                <c:pt idx="18">
                  <c:v>5</c:v>
                </c:pt>
                <c:pt idx="19">
                  <c:v>4</c:v>
                </c:pt>
                <c:pt idx="20">
                  <c:v>5</c:v>
                </c:pt>
                <c:pt idx="21">
                  <c:v>5</c:v>
                </c:pt>
                <c:pt idx="22">
                  <c:v>6</c:v>
                </c:pt>
                <c:pt idx="23">
                  <c:v>6</c:v>
                </c:pt>
                <c:pt idx="24">
                  <c:v>4</c:v>
                </c:pt>
                <c:pt idx="25">
                  <c:v>4</c:v>
                </c:pt>
                <c:pt idx="26">
                  <c:v>5</c:v>
                </c:pt>
                <c:pt idx="27">
                  <c:v>6</c:v>
                </c:pt>
                <c:pt idx="28">
                  <c:v>6</c:v>
                </c:pt>
                <c:pt idx="29">
                  <c:v>4</c:v>
                </c:pt>
                <c:pt idx="30">
                  <c:v>10</c:v>
                </c:pt>
                <c:pt idx="31">
                  <c:v>20</c:v>
                </c:pt>
                <c:pt idx="32">
                  <c:v>24</c:v>
                </c:pt>
                <c:pt idx="33">
                  <c:v>26</c:v>
                </c:pt>
                <c:pt idx="34">
                  <c:v>25</c:v>
                </c:pt>
                <c:pt idx="35">
                  <c:v>24</c:v>
                </c:pt>
                <c:pt idx="36">
                  <c:v>35</c:v>
                </c:pt>
                <c:pt idx="37">
                  <c:v>35</c:v>
                </c:pt>
                <c:pt idx="38">
                  <c:v>38</c:v>
                </c:pt>
                <c:pt idx="39">
                  <c:v>36</c:v>
                </c:pt>
                <c:pt idx="40">
                  <c:v>32</c:v>
                </c:pt>
                <c:pt idx="41">
                  <c:v>32</c:v>
                </c:pt>
                <c:pt idx="42">
                  <c:v>34</c:v>
                </c:pt>
                <c:pt idx="43">
                  <c:v>32</c:v>
                </c:pt>
                <c:pt idx="44">
                  <c:v>28</c:v>
                </c:pt>
                <c:pt idx="45">
                  <c:v>25</c:v>
                </c:pt>
                <c:pt idx="46">
                  <c:v>22</c:v>
                </c:pt>
                <c:pt idx="47">
                  <c:v>22</c:v>
                </c:pt>
                <c:pt idx="48">
                  <c:v>27</c:v>
                </c:pt>
                <c:pt idx="49">
                  <c:v>28</c:v>
                </c:pt>
                <c:pt idx="50">
                  <c:v>25</c:v>
                </c:pt>
                <c:pt idx="51">
                  <c:v>23</c:v>
                </c:pt>
                <c:pt idx="52">
                  <c:v>24</c:v>
                </c:pt>
                <c:pt idx="53">
                  <c:v>23</c:v>
                </c:pt>
                <c:pt idx="54">
                  <c:v>26</c:v>
                </c:pt>
                <c:pt idx="55">
                  <c:v>24</c:v>
                </c:pt>
                <c:pt idx="56">
                  <c:v>26</c:v>
                </c:pt>
                <c:pt idx="57">
                  <c:v>25</c:v>
                </c:pt>
                <c:pt idx="58">
                  <c:v>27</c:v>
                </c:pt>
                <c:pt idx="59">
                  <c:v>27</c:v>
                </c:pt>
                <c:pt idx="60">
                  <c:v>25</c:v>
                </c:pt>
                <c:pt idx="61">
                  <c:v>25</c:v>
                </c:pt>
                <c:pt idx="62">
                  <c:v>26</c:v>
                </c:pt>
                <c:pt idx="63">
                  <c:v>19</c:v>
                </c:pt>
                <c:pt idx="64">
                  <c:v>20</c:v>
                </c:pt>
                <c:pt idx="65">
                  <c:v>21</c:v>
                </c:pt>
                <c:pt idx="66">
                  <c:v>20</c:v>
                </c:pt>
                <c:pt idx="67">
                  <c:v>19</c:v>
                </c:pt>
                <c:pt idx="68">
                  <c:v>20</c:v>
                </c:pt>
                <c:pt idx="69">
                  <c:v>22</c:v>
                </c:pt>
                <c:pt idx="70">
                  <c:v>18</c:v>
                </c:pt>
                <c:pt idx="71">
                  <c:v>18</c:v>
                </c:pt>
                <c:pt idx="72">
                  <c:v>15</c:v>
                </c:pt>
                <c:pt idx="73">
                  <c:v>13</c:v>
                </c:pt>
                <c:pt idx="74">
                  <c:v>12</c:v>
                </c:pt>
                <c:pt idx="75">
                  <c:v>17</c:v>
                </c:pt>
                <c:pt idx="76">
                  <c:v>13</c:v>
                </c:pt>
                <c:pt idx="77">
                  <c:v>10</c:v>
                </c:pt>
                <c:pt idx="78">
                  <c:v>11</c:v>
                </c:pt>
                <c:pt idx="79">
                  <c:v>11</c:v>
                </c:pt>
                <c:pt idx="80">
                  <c:v>9</c:v>
                </c:pt>
                <c:pt idx="81">
                  <c:v>9</c:v>
                </c:pt>
                <c:pt idx="82">
                  <c:v>7</c:v>
                </c:pt>
                <c:pt idx="83">
                  <c:v>5</c:v>
                </c:pt>
                <c:pt idx="84">
                  <c:v>5</c:v>
                </c:pt>
                <c:pt idx="85">
                  <c:v>3</c:v>
                </c:pt>
                <c:pt idx="86">
                  <c:v>1</c:v>
                </c:pt>
                <c:pt idx="87">
                  <c:v>1</c:v>
                </c:pt>
                <c:pt idx="88">
                  <c:v>1</c:v>
                </c:pt>
                <c:pt idx="89">
                  <c:v>1</c:v>
                </c:pt>
                <c:pt idx="90">
                  <c:v>1</c:v>
                </c:pt>
                <c:pt idx="91">
                  <c:v>0</c:v>
                </c:pt>
                <c:pt idx="92">
                  <c:v>0</c:v>
                </c:pt>
                <c:pt idx="93">
                  <c:v>0</c:v>
                </c:pt>
              </c:numCache>
            </c:numRef>
          </c:val>
          <c:smooth val="0"/>
          <c:extLst>
            <c:ext xmlns:c16="http://schemas.microsoft.com/office/drawing/2014/chart" uri="{C3380CC4-5D6E-409C-BE32-E72D297353CC}">
              <c16:uniqueId val="{00000039-5F61-41E1-B7F7-F5C086851244}"/>
            </c:ext>
          </c:extLst>
        </c:ser>
        <c:ser>
          <c:idx val="68"/>
          <c:order val="68"/>
          <c:tx>
            <c:strRef>
              <c:f>Tabelle5!$B$70</c:f>
              <c:strCache>
                <c:ptCount val="1"/>
                <c:pt idx="0">
                  <c:v>ANALGETIKA</c:v>
                </c:pt>
              </c:strCache>
            </c:strRef>
          </c:tx>
          <c:spPr>
            <a:ln w="28575" cap="rnd">
              <a:solidFill>
                <a:schemeClr val="accent3">
                  <a:lumMod val="80000"/>
                  <a:lumOff val="20000"/>
                </a:schemeClr>
              </a:solidFill>
              <a:round/>
            </a:ln>
            <a:effectLst/>
          </c:spPr>
          <c:marker>
            <c:symbol val="none"/>
          </c:marker>
          <c:cat>
            <c:strRef>
              <c:f>Tabelle5!$C$1:$CR$1</c:f>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f>Tabelle5!$C$70:$CR$70</c:f>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c:v>
                </c:pt>
                <c:pt idx="15">
                  <c:v>2</c:v>
                </c:pt>
                <c:pt idx="16">
                  <c:v>2</c:v>
                </c:pt>
                <c:pt idx="17">
                  <c:v>2</c:v>
                </c:pt>
                <c:pt idx="18">
                  <c:v>2</c:v>
                </c:pt>
                <c:pt idx="19">
                  <c:v>3</c:v>
                </c:pt>
                <c:pt idx="20">
                  <c:v>3</c:v>
                </c:pt>
                <c:pt idx="21">
                  <c:v>3</c:v>
                </c:pt>
                <c:pt idx="22">
                  <c:v>3</c:v>
                </c:pt>
                <c:pt idx="23">
                  <c:v>4</c:v>
                </c:pt>
                <c:pt idx="24">
                  <c:v>4</c:v>
                </c:pt>
                <c:pt idx="25">
                  <c:v>3</c:v>
                </c:pt>
                <c:pt idx="26">
                  <c:v>3</c:v>
                </c:pt>
                <c:pt idx="27">
                  <c:v>3</c:v>
                </c:pt>
                <c:pt idx="28">
                  <c:v>3</c:v>
                </c:pt>
                <c:pt idx="29">
                  <c:v>13</c:v>
                </c:pt>
                <c:pt idx="30">
                  <c:v>14</c:v>
                </c:pt>
                <c:pt idx="31">
                  <c:v>15</c:v>
                </c:pt>
                <c:pt idx="32">
                  <c:v>15</c:v>
                </c:pt>
                <c:pt idx="33">
                  <c:v>20</c:v>
                </c:pt>
                <c:pt idx="34">
                  <c:v>19</c:v>
                </c:pt>
                <c:pt idx="35">
                  <c:v>18</c:v>
                </c:pt>
                <c:pt idx="36">
                  <c:v>23</c:v>
                </c:pt>
                <c:pt idx="37">
                  <c:v>29</c:v>
                </c:pt>
                <c:pt idx="38">
                  <c:v>30</c:v>
                </c:pt>
                <c:pt idx="39">
                  <c:v>25</c:v>
                </c:pt>
                <c:pt idx="40">
                  <c:v>18</c:v>
                </c:pt>
                <c:pt idx="41">
                  <c:v>10</c:v>
                </c:pt>
                <c:pt idx="42">
                  <c:v>7</c:v>
                </c:pt>
                <c:pt idx="43">
                  <c:v>9</c:v>
                </c:pt>
                <c:pt idx="44">
                  <c:v>11</c:v>
                </c:pt>
                <c:pt idx="45">
                  <c:v>13</c:v>
                </c:pt>
                <c:pt idx="46">
                  <c:v>13</c:v>
                </c:pt>
                <c:pt idx="47">
                  <c:v>14</c:v>
                </c:pt>
                <c:pt idx="48">
                  <c:v>11</c:v>
                </c:pt>
                <c:pt idx="49">
                  <c:v>9</c:v>
                </c:pt>
                <c:pt idx="50">
                  <c:v>10</c:v>
                </c:pt>
                <c:pt idx="51">
                  <c:v>10</c:v>
                </c:pt>
                <c:pt idx="52">
                  <c:v>10</c:v>
                </c:pt>
                <c:pt idx="53">
                  <c:v>10</c:v>
                </c:pt>
                <c:pt idx="54">
                  <c:v>7</c:v>
                </c:pt>
                <c:pt idx="55">
                  <c:v>11</c:v>
                </c:pt>
                <c:pt idx="56">
                  <c:v>14</c:v>
                </c:pt>
                <c:pt idx="57">
                  <c:v>9</c:v>
                </c:pt>
                <c:pt idx="58">
                  <c:v>7</c:v>
                </c:pt>
                <c:pt idx="59">
                  <c:v>4</c:v>
                </c:pt>
                <c:pt idx="60">
                  <c:v>4</c:v>
                </c:pt>
                <c:pt idx="61">
                  <c:v>16</c:v>
                </c:pt>
                <c:pt idx="62">
                  <c:v>21</c:v>
                </c:pt>
                <c:pt idx="63">
                  <c:v>22</c:v>
                </c:pt>
                <c:pt idx="64">
                  <c:v>25</c:v>
                </c:pt>
                <c:pt idx="65">
                  <c:v>29</c:v>
                </c:pt>
                <c:pt idx="66">
                  <c:v>37</c:v>
                </c:pt>
                <c:pt idx="67">
                  <c:v>36</c:v>
                </c:pt>
                <c:pt idx="68">
                  <c:v>34</c:v>
                </c:pt>
                <c:pt idx="69">
                  <c:v>30</c:v>
                </c:pt>
                <c:pt idx="70">
                  <c:v>35</c:v>
                </c:pt>
                <c:pt idx="71">
                  <c:v>36</c:v>
                </c:pt>
                <c:pt idx="72">
                  <c:v>49</c:v>
                </c:pt>
                <c:pt idx="73">
                  <c:v>43</c:v>
                </c:pt>
                <c:pt idx="74">
                  <c:v>48</c:v>
                </c:pt>
                <c:pt idx="75">
                  <c:v>43</c:v>
                </c:pt>
                <c:pt idx="76">
                  <c:v>41</c:v>
                </c:pt>
                <c:pt idx="77">
                  <c:v>44</c:v>
                </c:pt>
                <c:pt idx="78">
                  <c:v>41</c:v>
                </c:pt>
                <c:pt idx="79">
                  <c:v>41</c:v>
                </c:pt>
                <c:pt idx="80">
                  <c:v>33</c:v>
                </c:pt>
                <c:pt idx="81">
                  <c:v>21</c:v>
                </c:pt>
                <c:pt idx="82">
                  <c:v>18</c:v>
                </c:pt>
                <c:pt idx="83">
                  <c:v>13</c:v>
                </c:pt>
                <c:pt idx="84">
                  <c:v>6</c:v>
                </c:pt>
                <c:pt idx="85">
                  <c:v>2</c:v>
                </c:pt>
                <c:pt idx="86">
                  <c:v>2</c:v>
                </c:pt>
                <c:pt idx="87">
                  <c:v>2</c:v>
                </c:pt>
                <c:pt idx="88">
                  <c:v>2</c:v>
                </c:pt>
                <c:pt idx="89">
                  <c:v>2</c:v>
                </c:pt>
                <c:pt idx="90">
                  <c:v>1</c:v>
                </c:pt>
                <c:pt idx="91">
                  <c:v>1</c:v>
                </c:pt>
                <c:pt idx="92">
                  <c:v>1</c:v>
                </c:pt>
                <c:pt idx="93">
                  <c:v>1</c:v>
                </c:pt>
              </c:numCache>
            </c:numRef>
          </c:val>
          <c:smooth val="0"/>
          <c:extLst>
            <c:ext xmlns:c16="http://schemas.microsoft.com/office/drawing/2014/chart" uri="{C3380CC4-5D6E-409C-BE32-E72D297353CC}">
              <c16:uniqueId val="{00000044-5F61-41E1-B7F7-F5C086851244}"/>
            </c:ext>
          </c:extLst>
        </c:ser>
        <c:ser>
          <c:idx val="99"/>
          <c:order val="99"/>
          <c:tx>
            <c:strRef>
              <c:f>Tabelle5!$B$101</c:f>
              <c:strCache>
                <c:ptCount val="1"/>
                <c:pt idx="0">
                  <c:v>addiert</c:v>
                </c:pt>
              </c:strCache>
            </c:strRef>
          </c:tx>
          <c:spPr>
            <a:ln w="28575" cap="rnd">
              <a:solidFill>
                <a:schemeClr val="accent4">
                  <a:lumMod val="70000"/>
                </a:schemeClr>
              </a:solidFill>
              <a:round/>
            </a:ln>
            <a:effectLst/>
          </c:spPr>
          <c:marker>
            <c:symbol val="none"/>
          </c:marker>
          <c:cat>
            <c:strRef>
              <c:f>Tabelle5!$C$1:$CR$1</c:f>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f>Tabelle5!$C$101:$CR$101</c:f>
              <c:numCache>
                <c:formatCode>General</c:formatCode>
                <c:ptCount val="94"/>
                <c:pt idx="0">
                  <c:v>20</c:v>
                </c:pt>
                <c:pt idx="1">
                  <c:v>23</c:v>
                </c:pt>
                <c:pt idx="2">
                  <c:v>26</c:v>
                </c:pt>
                <c:pt idx="3">
                  <c:v>34</c:v>
                </c:pt>
                <c:pt idx="4">
                  <c:v>38</c:v>
                </c:pt>
                <c:pt idx="5">
                  <c:v>38</c:v>
                </c:pt>
                <c:pt idx="6">
                  <c:v>46</c:v>
                </c:pt>
                <c:pt idx="7">
                  <c:v>51</c:v>
                </c:pt>
                <c:pt idx="8">
                  <c:v>49</c:v>
                </c:pt>
                <c:pt idx="9">
                  <c:v>45</c:v>
                </c:pt>
                <c:pt idx="10">
                  <c:v>46</c:v>
                </c:pt>
                <c:pt idx="11">
                  <c:v>52</c:v>
                </c:pt>
                <c:pt idx="12">
                  <c:v>61</c:v>
                </c:pt>
                <c:pt idx="13">
                  <c:v>64</c:v>
                </c:pt>
                <c:pt idx="14">
                  <c:v>64</c:v>
                </c:pt>
                <c:pt idx="15">
                  <c:v>64</c:v>
                </c:pt>
                <c:pt idx="16">
                  <c:v>62</c:v>
                </c:pt>
                <c:pt idx="17">
                  <c:v>66</c:v>
                </c:pt>
                <c:pt idx="18">
                  <c:v>167</c:v>
                </c:pt>
                <c:pt idx="19">
                  <c:v>161</c:v>
                </c:pt>
                <c:pt idx="20">
                  <c:v>167</c:v>
                </c:pt>
                <c:pt idx="21">
                  <c:v>179</c:v>
                </c:pt>
                <c:pt idx="22">
                  <c:v>195</c:v>
                </c:pt>
                <c:pt idx="23">
                  <c:v>201</c:v>
                </c:pt>
                <c:pt idx="24">
                  <c:v>197</c:v>
                </c:pt>
                <c:pt idx="25">
                  <c:v>203</c:v>
                </c:pt>
                <c:pt idx="26">
                  <c:v>215</c:v>
                </c:pt>
                <c:pt idx="27">
                  <c:v>227</c:v>
                </c:pt>
                <c:pt idx="28">
                  <c:v>229</c:v>
                </c:pt>
                <c:pt idx="29">
                  <c:v>242</c:v>
                </c:pt>
                <c:pt idx="30">
                  <c:v>243</c:v>
                </c:pt>
                <c:pt idx="31">
                  <c:v>244</c:v>
                </c:pt>
                <c:pt idx="32">
                  <c:v>253</c:v>
                </c:pt>
                <c:pt idx="33">
                  <c:v>294</c:v>
                </c:pt>
                <c:pt idx="34">
                  <c:v>298</c:v>
                </c:pt>
                <c:pt idx="35">
                  <c:v>319</c:v>
                </c:pt>
                <c:pt idx="36">
                  <c:v>316</c:v>
                </c:pt>
                <c:pt idx="37">
                  <c:v>313</c:v>
                </c:pt>
                <c:pt idx="38">
                  <c:v>416</c:v>
                </c:pt>
                <c:pt idx="39">
                  <c:v>456</c:v>
                </c:pt>
                <c:pt idx="40">
                  <c:v>442</c:v>
                </c:pt>
                <c:pt idx="41">
                  <c:v>411</c:v>
                </c:pt>
                <c:pt idx="42">
                  <c:v>371</c:v>
                </c:pt>
                <c:pt idx="43">
                  <c:v>351</c:v>
                </c:pt>
                <c:pt idx="44">
                  <c:v>336</c:v>
                </c:pt>
                <c:pt idx="45">
                  <c:v>319</c:v>
                </c:pt>
                <c:pt idx="46">
                  <c:v>301</c:v>
                </c:pt>
                <c:pt idx="47">
                  <c:v>278</c:v>
                </c:pt>
                <c:pt idx="48">
                  <c:v>237</c:v>
                </c:pt>
                <c:pt idx="49">
                  <c:v>244</c:v>
                </c:pt>
                <c:pt idx="50">
                  <c:v>250</c:v>
                </c:pt>
                <c:pt idx="51">
                  <c:v>226</c:v>
                </c:pt>
                <c:pt idx="52">
                  <c:v>216</c:v>
                </c:pt>
                <c:pt idx="53">
                  <c:v>209</c:v>
                </c:pt>
                <c:pt idx="54">
                  <c:v>194</c:v>
                </c:pt>
                <c:pt idx="55">
                  <c:v>197</c:v>
                </c:pt>
                <c:pt idx="56">
                  <c:v>191</c:v>
                </c:pt>
                <c:pt idx="57">
                  <c:v>207</c:v>
                </c:pt>
                <c:pt idx="58">
                  <c:v>212</c:v>
                </c:pt>
                <c:pt idx="59">
                  <c:v>211</c:v>
                </c:pt>
                <c:pt idx="60">
                  <c:v>218</c:v>
                </c:pt>
                <c:pt idx="61">
                  <c:v>227</c:v>
                </c:pt>
                <c:pt idx="62">
                  <c:v>211</c:v>
                </c:pt>
                <c:pt idx="63">
                  <c:v>227</c:v>
                </c:pt>
                <c:pt idx="64">
                  <c:v>243</c:v>
                </c:pt>
                <c:pt idx="65">
                  <c:v>249</c:v>
                </c:pt>
                <c:pt idx="66">
                  <c:v>247</c:v>
                </c:pt>
                <c:pt idx="67">
                  <c:v>269</c:v>
                </c:pt>
                <c:pt idx="68">
                  <c:v>277</c:v>
                </c:pt>
                <c:pt idx="69">
                  <c:v>291</c:v>
                </c:pt>
                <c:pt idx="70">
                  <c:v>283</c:v>
                </c:pt>
                <c:pt idx="71">
                  <c:v>306</c:v>
                </c:pt>
                <c:pt idx="72">
                  <c:v>389</c:v>
                </c:pt>
                <c:pt idx="73">
                  <c:v>437</c:v>
                </c:pt>
                <c:pt idx="74">
                  <c:v>455</c:v>
                </c:pt>
                <c:pt idx="75">
                  <c:v>466</c:v>
                </c:pt>
                <c:pt idx="76">
                  <c:v>483</c:v>
                </c:pt>
                <c:pt idx="77">
                  <c:v>507</c:v>
                </c:pt>
                <c:pt idx="78">
                  <c:v>503</c:v>
                </c:pt>
                <c:pt idx="79">
                  <c:v>506</c:v>
                </c:pt>
                <c:pt idx="80">
                  <c:v>502</c:v>
                </c:pt>
                <c:pt idx="81">
                  <c:v>484</c:v>
                </c:pt>
                <c:pt idx="82">
                  <c:v>375</c:v>
                </c:pt>
                <c:pt idx="83">
                  <c:v>280</c:v>
                </c:pt>
                <c:pt idx="84">
                  <c:v>145</c:v>
                </c:pt>
                <c:pt idx="85">
                  <c:v>107</c:v>
                </c:pt>
                <c:pt idx="86">
                  <c:v>76</c:v>
                </c:pt>
                <c:pt idx="87">
                  <c:v>53</c:v>
                </c:pt>
                <c:pt idx="88">
                  <c:v>43</c:v>
                </c:pt>
                <c:pt idx="89">
                  <c:v>34</c:v>
                </c:pt>
                <c:pt idx="90">
                  <c:v>22</c:v>
                </c:pt>
                <c:pt idx="91">
                  <c:v>22</c:v>
                </c:pt>
                <c:pt idx="92">
                  <c:v>21</c:v>
                </c:pt>
                <c:pt idx="93">
                  <c:v>19</c:v>
                </c:pt>
              </c:numCache>
            </c:numRef>
          </c:val>
          <c:smooth val="0"/>
          <c:extLst>
            <c:ext xmlns:c16="http://schemas.microsoft.com/office/drawing/2014/chart" uri="{C3380CC4-5D6E-409C-BE32-E72D297353CC}">
              <c16:uniqueId val="{00000063-5F61-41E1-B7F7-F5C086851244}"/>
            </c:ext>
          </c:extLst>
        </c:ser>
        <c:dLbls>
          <c:showLegendKey val="0"/>
          <c:showVal val="0"/>
          <c:showCatName val="0"/>
          <c:showSerName val="0"/>
          <c:showPercent val="0"/>
          <c:showBubbleSize val="0"/>
        </c:dLbls>
        <c:smooth val="0"/>
        <c:axId val="693801536"/>
        <c:axId val="313562960"/>
        <c:extLst>
          <c:ext xmlns:c15="http://schemas.microsoft.com/office/drawing/2012/chart" uri="{02D57815-91ED-43cb-92C2-25804820EDAC}">
            <c15:filteredLineSeries>
              <c15:ser>
                <c:idx val="0"/>
                <c:order val="0"/>
                <c:tx>
                  <c:strRef>
                    <c:extLst>
                      <c:ext uri="{02D57815-91ED-43cb-92C2-25804820EDAC}">
                        <c15:formulaRef>
                          <c15:sqref>Tabelle5!$B$2</c15:sqref>
                        </c15:formulaRef>
                      </c:ext>
                    </c:extLst>
                    <c:strCache>
                      <c:ptCount val="1"/>
                      <c:pt idx="0">
                        <c:v>STOMATOLOGIKA</c:v>
                      </c:pt>
                    </c:strCache>
                  </c:strRef>
                </c:tx>
                <c:spPr>
                  <a:ln w="28575" cap="rnd">
                    <a:solidFill>
                      <a:schemeClr val="accent1"/>
                    </a:solidFill>
                    <a:round/>
                  </a:ln>
                  <a:effectLst/>
                </c:spPr>
                <c:marker>
                  <c:symbol val="none"/>
                </c:marker>
                <c:cat>
                  <c:strRef>
                    <c:extLst>
                      <c:ex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c:ext uri="{02D57815-91ED-43cb-92C2-25804820EDAC}">
                        <c15:formulaRef>
                          <c15:sqref>Tabelle5!$C$2:$CR$2</c15:sqref>
                        </c15:formulaRef>
                      </c:ext>
                    </c:extLst>
                    <c:numCache>
                      <c:formatCode>General</c:formatCode>
                      <c:ptCount val="94"/>
                      <c:pt idx="0">
                        <c:v>0</c:v>
                      </c:pt>
                      <c:pt idx="1">
                        <c:v>0</c:v>
                      </c:pt>
                      <c:pt idx="2">
                        <c:v>0</c:v>
                      </c:pt>
                      <c:pt idx="3">
                        <c:v>0</c:v>
                      </c:pt>
                      <c:pt idx="4">
                        <c:v>0</c:v>
                      </c:pt>
                      <c:pt idx="5">
                        <c:v>1</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1</c:v>
                      </c:pt>
                      <c:pt idx="38">
                        <c:v>1</c:v>
                      </c:pt>
                      <c:pt idx="39">
                        <c:v>2</c:v>
                      </c:pt>
                      <c:pt idx="40">
                        <c:v>2</c:v>
                      </c:pt>
                      <c:pt idx="41">
                        <c:v>2</c:v>
                      </c:pt>
                      <c:pt idx="42">
                        <c:v>1</c:v>
                      </c:pt>
                      <c:pt idx="43">
                        <c:v>0</c:v>
                      </c:pt>
                      <c:pt idx="44">
                        <c:v>0</c:v>
                      </c:pt>
                      <c:pt idx="45">
                        <c:v>0</c:v>
                      </c:pt>
                      <c:pt idx="46">
                        <c:v>0</c:v>
                      </c:pt>
                      <c:pt idx="47">
                        <c:v>1</c:v>
                      </c:pt>
                      <c:pt idx="48">
                        <c:v>1</c:v>
                      </c:pt>
                      <c:pt idx="49">
                        <c:v>1</c:v>
                      </c:pt>
                      <c:pt idx="50">
                        <c:v>1</c:v>
                      </c:pt>
                      <c:pt idx="51">
                        <c:v>1</c:v>
                      </c:pt>
                      <c:pt idx="52">
                        <c:v>1</c:v>
                      </c:pt>
                      <c:pt idx="53">
                        <c:v>1</c:v>
                      </c:pt>
                      <c:pt idx="54">
                        <c:v>1</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1</c:v>
                      </c:pt>
                      <c:pt idx="72">
                        <c:v>0</c:v>
                      </c:pt>
                      <c:pt idx="73">
                        <c:v>0</c:v>
                      </c:pt>
                      <c:pt idx="74">
                        <c:v>0</c:v>
                      </c:pt>
                      <c:pt idx="75">
                        <c:v>0</c:v>
                      </c:pt>
                      <c:pt idx="76">
                        <c:v>0</c:v>
                      </c:pt>
                      <c:pt idx="77">
                        <c:v>0</c:v>
                      </c:pt>
                      <c:pt idx="78">
                        <c:v>1</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c:ext xmlns:c16="http://schemas.microsoft.com/office/drawing/2014/chart" uri="{C3380CC4-5D6E-409C-BE32-E72D297353CC}">
                    <c16:uniqueId val="{00000000-5F61-41E1-B7F7-F5C08685124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Tabelle5!$B$3</c15:sqref>
                        </c15:formulaRef>
                      </c:ext>
                    </c:extLst>
                    <c:strCache>
                      <c:ptCount val="1"/>
                      <c:pt idx="0">
                        <c:v>MITTEL BEI SÄURE BEDINGTEN ERKRANKUNGEN</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Tabelle5!$C$3:$CR$3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7</c:v>
                      </c:pt>
                      <c:pt idx="33">
                        <c:v>9</c:v>
                      </c:pt>
                      <c:pt idx="34">
                        <c:v>9</c:v>
                      </c:pt>
                      <c:pt idx="35">
                        <c:v>12</c:v>
                      </c:pt>
                      <c:pt idx="36">
                        <c:v>17</c:v>
                      </c:pt>
                      <c:pt idx="37">
                        <c:v>17</c:v>
                      </c:pt>
                      <c:pt idx="38">
                        <c:v>17</c:v>
                      </c:pt>
                      <c:pt idx="39">
                        <c:v>17</c:v>
                      </c:pt>
                      <c:pt idx="40">
                        <c:v>16</c:v>
                      </c:pt>
                      <c:pt idx="41">
                        <c:v>16</c:v>
                      </c:pt>
                      <c:pt idx="42">
                        <c:v>16</c:v>
                      </c:pt>
                      <c:pt idx="43">
                        <c:v>16</c:v>
                      </c:pt>
                      <c:pt idx="44">
                        <c:v>16</c:v>
                      </c:pt>
                      <c:pt idx="45">
                        <c:v>14</c:v>
                      </c:pt>
                      <c:pt idx="46">
                        <c:v>13</c:v>
                      </c:pt>
                      <c:pt idx="47">
                        <c:v>13</c:v>
                      </c:pt>
                      <c:pt idx="48">
                        <c:v>13</c:v>
                      </c:pt>
                      <c:pt idx="49">
                        <c:v>13</c:v>
                      </c:pt>
                      <c:pt idx="50">
                        <c:v>10</c:v>
                      </c:pt>
                      <c:pt idx="51">
                        <c:v>10</c:v>
                      </c:pt>
                      <c:pt idx="52">
                        <c:v>10</c:v>
                      </c:pt>
                      <c:pt idx="53">
                        <c:v>8</c:v>
                      </c:pt>
                      <c:pt idx="54">
                        <c:v>8</c:v>
                      </c:pt>
                      <c:pt idx="55">
                        <c:v>8</c:v>
                      </c:pt>
                      <c:pt idx="56">
                        <c:v>8</c:v>
                      </c:pt>
                      <c:pt idx="57">
                        <c:v>8</c:v>
                      </c:pt>
                      <c:pt idx="58">
                        <c:v>8</c:v>
                      </c:pt>
                      <c:pt idx="59">
                        <c:v>8</c:v>
                      </c:pt>
                      <c:pt idx="60">
                        <c:v>8</c:v>
                      </c:pt>
                      <c:pt idx="61">
                        <c:v>8</c:v>
                      </c:pt>
                      <c:pt idx="62">
                        <c:v>8</c:v>
                      </c:pt>
                      <c:pt idx="63">
                        <c:v>10</c:v>
                      </c:pt>
                      <c:pt idx="64">
                        <c:v>9</c:v>
                      </c:pt>
                      <c:pt idx="65">
                        <c:v>10</c:v>
                      </c:pt>
                      <c:pt idx="66">
                        <c:v>10</c:v>
                      </c:pt>
                      <c:pt idx="67">
                        <c:v>10</c:v>
                      </c:pt>
                      <c:pt idx="68">
                        <c:v>11</c:v>
                      </c:pt>
                      <c:pt idx="69">
                        <c:v>11</c:v>
                      </c:pt>
                      <c:pt idx="70">
                        <c:v>11</c:v>
                      </c:pt>
                      <c:pt idx="71">
                        <c:v>11</c:v>
                      </c:pt>
                      <c:pt idx="72">
                        <c:v>13</c:v>
                      </c:pt>
                      <c:pt idx="73">
                        <c:v>12</c:v>
                      </c:pt>
                      <c:pt idx="74">
                        <c:v>12</c:v>
                      </c:pt>
                      <c:pt idx="75">
                        <c:v>10</c:v>
                      </c:pt>
                      <c:pt idx="76">
                        <c:v>7</c:v>
                      </c:pt>
                      <c:pt idx="77">
                        <c:v>9</c:v>
                      </c:pt>
                      <c:pt idx="78">
                        <c:v>9</c:v>
                      </c:pt>
                      <c:pt idx="79">
                        <c:v>10</c:v>
                      </c:pt>
                      <c:pt idx="80">
                        <c:v>7</c:v>
                      </c:pt>
                      <c:pt idx="81">
                        <c:v>7</c:v>
                      </c:pt>
                      <c:pt idx="82">
                        <c:v>5</c:v>
                      </c:pt>
                      <c:pt idx="83">
                        <c:v>5</c:v>
                      </c:pt>
                      <c:pt idx="84">
                        <c:v>5</c:v>
                      </c:pt>
                      <c:pt idx="85">
                        <c:v>5</c:v>
                      </c:pt>
                      <c:pt idx="86">
                        <c:v>5</c:v>
                      </c:pt>
                      <c:pt idx="87">
                        <c:v>5</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1-5F61-41E1-B7F7-F5C08685124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Tabelle5!$B$4</c15:sqref>
                        </c15:formulaRef>
                      </c:ext>
                    </c:extLst>
                    <c:strCache>
                      <c:ptCount val="1"/>
                      <c:pt idx="0">
                        <c:v>MITTEL BEI FUNKTIONELLEN GASTROINTESTINALEN STÖRUNGEN</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Tabelle5!$C$4:$CR$4</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1</c:v>
                      </c:pt>
                      <c:pt idx="38">
                        <c:v>1</c:v>
                      </c:pt>
                      <c:pt idx="39">
                        <c:v>1</c:v>
                      </c:pt>
                      <c:pt idx="40">
                        <c:v>1</c:v>
                      </c:pt>
                      <c:pt idx="41">
                        <c:v>1</c:v>
                      </c:pt>
                      <c:pt idx="42">
                        <c:v>1</c:v>
                      </c:pt>
                      <c:pt idx="43">
                        <c:v>1</c:v>
                      </c:pt>
                      <c:pt idx="44">
                        <c:v>1</c:v>
                      </c:pt>
                      <c:pt idx="45">
                        <c:v>1</c:v>
                      </c:pt>
                      <c:pt idx="46">
                        <c:v>1</c:v>
                      </c:pt>
                      <c:pt idx="47">
                        <c:v>1</c:v>
                      </c:pt>
                      <c:pt idx="48">
                        <c:v>2</c:v>
                      </c:pt>
                      <c:pt idx="49">
                        <c:v>2</c:v>
                      </c:pt>
                      <c:pt idx="50">
                        <c:v>2</c:v>
                      </c:pt>
                      <c:pt idx="51">
                        <c:v>2</c:v>
                      </c:pt>
                      <c:pt idx="52">
                        <c:v>3</c:v>
                      </c:pt>
                      <c:pt idx="53">
                        <c:v>2</c:v>
                      </c:pt>
                      <c:pt idx="54">
                        <c:v>1</c:v>
                      </c:pt>
                      <c:pt idx="55">
                        <c:v>1</c:v>
                      </c:pt>
                      <c:pt idx="56">
                        <c:v>2</c:v>
                      </c:pt>
                      <c:pt idx="57">
                        <c:v>2</c:v>
                      </c:pt>
                      <c:pt idx="58">
                        <c:v>2</c:v>
                      </c:pt>
                      <c:pt idx="59">
                        <c:v>2</c:v>
                      </c:pt>
                      <c:pt idx="60">
                        <c:v>2</c:v>
                      </c:pt>
                      <c:pt idx="61">
                        <c:v>2</c:v>
                      </c:pt>
                      <c:pt idx="62">
                        <c:v>2</c:v>
                      </c:pt>
                      <c:pt idx="63">
                        <c:v>2</c:v>
                      </c:pt>
                      <c:pt idx="64">
                        <c:v>1</c:v>
                      </c:pt>
                      <c:pt idx="65">
                        <c:v>0</c:v>
                      </c:pt>
                      <c:pt idx="66">
                        <c:v>0</c:v>
                      </c:pt>
                      <c:pt idx="67">
                        <c:v>0</c:v>
                      </c:pt>
                      <c:pt idx="68">
                        <c:v>0</c:v>
                      </c:pt>
                      <c:pt idx="69">
                        <c:v>0</c:v>
                      </c:pt>
                      <c:pt idx="70">
                        <c:v>0</c:v>
                      </c:pt>
                      <c:pt idx="71">
                        <c:v>0</c:v>
                      </c:pt>
                      <c:pt idx="72">
                        <c:v>0</c:v>
                      </c:pt>
                      <c:pt idx="73">
                        <c:v>2</c:v>
                      </c:pt>
                      <c:pt idx="74">
                        <c:v>2</c:v>
                      </c:pt>
                      <c:pt idx="75">
                        <c:v>2</c:v>
                      </c:pt>
                      <c:pt idx="76">
                        <c:v>2</c:v>
                      </c:pt>
                      <c:pt idx="77">
                        <c:v>3</c:v>
                      </c:pt>
                      <c:pt idx="78">
                        <c:v>2</c:v>
                      </c:pt>
                      <c:pt idx="79">
                        <c:v>2</c:v>
                      </c:pt>
                      <c:pt idx="80">
                        <c:v>1</c:v>
                      </c:pt>
                      <c:pt idx="81">
                        <c:v>1</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2-5F61-41E1-B7F7-F5C08685124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Tabelle5!$B$5</c15:sqref>
                        </c15:formulaRef>
                      </c:ext>
                    </c:extLst>
                    <c:strCache>
                      <c:ptCount val="1"/>
                      <c:pt idx="0">
                        <c:v>ANTIEMETIKA UND MITTEL GEGEN ÜBELKEIT</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Tabelle5!$C$5:$CR$5</c15:sqref>
                        </c15:formulaRef>
                      </c:ext>
                    </c:extLst>
                    <c:numCache>
                      <c:formatCode>General</c:formatCode>
                      <c:ptCount val="94"/>
                      <c:pt idx="0">
                        <c:v>0</c:v>
                      </c:pt>
                      <c:pt idx="1">
                        <c:v>0</c:v>
                      </c:pt>
                      <c:pt idx="2">
                        <c:v>0</c:v>
                      </c:pt>
                      <c:pt idx="3">
                        <c:v>0</c:v>
                      </c:pt>
                      <c:pt idx="4">
                        <c:v>0</c:v>
                      </c:pt>
                      <c:pt idx="5">
                        <c:v>0</c:v>
                      </c:pt>
                      <c:pt idx="6">
                        <c:v>1</c:v>
                      </c:pt>
                      <c:pt idx="7">
                        <c:v>1</c:v>
                      </c:pt>
                      <c:pt idx="8">
                        <c:v>1</c:v>
                      </c:pt>
                      <c:pt idx="9">
                        <c:v>2</c:v>
                      </c:pt>
                      <c:pt idx="10">
                        <c:v>2</c:v>
                      </c:pt>
                      <c:pt idx="11">
                        <c:v>2</c:v>
                      </c:pt>
                      <c:pt idx="12">
                        <c:v>2</c:v>
                      </c:pt>
                      <c:pt idx="13">
                        <c:v>2</c:v>
                      </c:pt>
                      <c:pt idx="14">
                        <c:v>2</c:v>
                      </c:pt>
                      <c:pt idx="15">
                        <c:v>2</c:v>
                      </c:pt>
                      <c:pt idx="16">
                        <c:v>1</c:v>
                      </c:pt>
                      <c:pt idx="17">
                        <c:v>1</c:v>
                      </c:pt>
                      <c:pt idx="18">
                        <c:v>1</c:v>
                      </c:pt>
                      <c:pt idx="19">
                        <c:v>1</c:v>
                      </c:pt>
                      <c:pt idx="20">
                        <c:v>1</c:v>
                      </c:pt>
                      <c:pt idx="21">
                        <c:v>1</c:v>
                      </c:pt>
                      <c:pt idx="22">
                        <c:v>1</c:v>
                      </c:pt>
                      <c:pt idx="23">
                        <c:v>2</c:v>
                      </c:pt>
                      <c:pt idx="24">
                        <c:v>3</c:v>
                      </c:pt>
                      <c:pt idx="25">
                        <c:v>2</c:v>
                      </c:pt>
                      <c:pt idx="26">
                        <c:v>1</c:v>
                      </c:pt>
                      <c:pt idx="27">
                        <c:v>3</c:v>
                      </c:pt>
                      <c:pt idx="28">
                        <c:v>3</c:v>
                      </c:pt>
                      <c:pt idx="29">
                        <c:v>3</c:v>
                      </c:pt>
                      <c:pt idx="30">
                        <c:v>3</c:v>
                      </c:pt>
                      <c:pt idx="31">
                        <c:v>2</c:v>
                      </c:pt>
                      <c:pt idx="32">
                        <c:v>2</c:v>
                      </c:pt>
                      <c:pt idx="33">
                        <c:v>2</c:v>
                      </c:pt>
                      <c:pt idx="34">
                        <c:v>2</c:v>
                      </c:pt>
                      <c:pt idx="35">
                        <c:v>2</c:v>
                      </c:pt>
                      <c:pt idx="36">
                        <c:v>3</c:v>
                      </c:pt>
                      <c:pt idx="37">
                        <c:v>2</c:v>
                      </c:pt>
                      <c:pt idx="38">
                        <c:v>2</c:v>
                      </c:pt>
                      <c:pt idx="39">
                        <c:v>2</c:v>
                      </c:pt>
                      <c:pt idx="40">
                        <c:v>2</c:v>
                      </c:pt>
                      <c:pt idx="41">
                        <c:v>2</c:v>
                      </c:pt>
                      <c:pt idx="42">
                        <c:v>2</c:v>
                      </c:pt>
                      <c:pt idx="43">
                        <c:v>3</c:v>
                      </c:pt>
                      <c:pt idx="44">
                        <c:v>2</c:v>
                      </c:pt>
                      <c:pt idx="45">
                        <c:v>2</c:v>
                      </c:pt>
                      <c:pt idx="46">
                        <c:v>2</c:v>
                      </c:pt>
                      <c:pt idx="47">
                        <c:v>1</c:v>
                      </c:pt>
                      <c:pt idx="48">
                        <c:v>1</c:v>
                      </c:pt>
                      <c:pt idx="49">
                        <c:v>0</c:v>
                      </c:pt>
                      <c:pt idx="50">
                        <c:v>0</c:v>
                      </c:pt>
                      <c:pt idx="51">
                        <c:v>0</c:v>
                      </c:pt>
                      <c:pt idx="52">
                        <c:v>0</c:v>
                      </c:pt>
                      <c:pt idx="53">
                        <c:v>0</c:v>
                      </c:pt>
                      <c:pt idx="54">
                        <c:v>0</c:v>
                      </c:pt>
                      <c:pt idx="55">
                        <c:v>0</c:v>
                      </c:pt>
                      <c:pt idx="56">
                        <c:v>0</c:v>
                      </c:pt>
                      <c:pt idx="57">
                        <c:v>0</c:v>
                      </c:pt>
                      <c:pt idx="58">
                        <c:v>0</c:v>
                      </c:pt>
                      <c:pt idx="59">
                        <c:v>0</c:v>
                      </c:pt>
                      <c:pt idx="60">
                        <c:v>1</c:v>
                      </c:pt>
                      <c:pt idx="61">
                        <c:v>1</c:v>
                      </c:pt>
                      <c:pt idx="62">
                        <c:v>1</c:v>
                      </c:pt>
                      <c:pt idx="63">
                        <c:v>1</c:v>
                      </c:pt>
                      <c:pt idx="64">
                        <c:v>0</c:v>
                      </c:pt>
                      <c:pt idx="65">
                        <c:v>0</c:v>
                      </c:pt>
                      <c:pt idx="66">
                        <c:v>2</c:v>
                      </c:pt>
                      <c:pt idx="67">
                        <c:v>2</c:v>
                      </c:pt>
                      <c:pt idx="68">
                        <c:v>2</c:v>
                      </c:pt>
                      <c:pt idx="69">
                        <c:v>3</c:v>
                      </c:pt>
                      <c:pt idx="70">
                        <c:v>3</c:v>
                      </c:pt>
                      <c:pt idx="71">
                        <c:v>3</c:v>
                      </c:pt>
                      <c:pt idx="72">
                        <c:v>3</c:v>
                      </c:pt>
                      <c:pt idx="73">
                        <c:v>3</c:v>
                      </c:pt>
                      <c:pt idx="74">
                        <c:v>4</c:v>
                      </c:pt>
                      <c:pt idx="75">
                        <c:v>4</c:v>
                      </c:pt>
                      <c:pt idx="76">
                        <c:v>4</c:v>
                      </c:pt>
                      <c:pt idx="77">
                        <c:v>4</c:v>
                      </c:pt>
                      <c:pt idx="78">
                        <c:v>3</c:v>
                      </c:pt>
                      <c:pt idx="79">
                        <c:v>2</c:v>
                      </c:pt>
                      <c:pt idx="80">
                        <c:v>2</c:v>
                      </c:pt>
                      <c:pt idx="81">
                        <c:v>2</c:v>
                      </c:pt>
                      <c:pt idx="82">
                        <c:v>1</c:v>
                      </c:pt>
                      <c:pt idx="83">
                        <c:v>1</c:v>
                      </c:pt>
                      <c:pt idx="84">
                        <c:v>1</c:v>
                      </c:pt>
                      <c:pt idx="85">
                        <c:v>1</c:v>
                      </c:pt>
                      <c:pt idx="86">
                        <c:v>1</c:v>
                      </c:pt>
                      <c:pt idx="87">
                        <c:v>1</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3-5F61-41E1-B7F7-F5C08685124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Tabelle5!$B$6</c15:sqref>
                        </c15:formulaRef>
                      </c:ext>
                    </c:extLst>
                    <c:strCache>
                      <c:ptCount val="1"/>
                      <c:pt idx="0">
                        <c:v>GALLEN- UND LEBERTHERAPIE</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Tabelle5!$C$6:$CR$6</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c:v>
                      </c:pt>
                      <c:pt idx="30">
                        <c:v>1</c:v>
                      </c:pt>
                      <c:pt idx="31">
                        <c:v>1</c:v>
                      </c:pt>
                      <c:pt idx="32">
                        <c:v>1</c:v>
                      </c:pt>
                      <c:pt idx="33">
                        <c:v>1</c:v>
                      </c:pt>
                      <c:pt idx="34">
                        <c:v>1</c:v>
                      </c:pt>
                      <c:pt idx="35">
                        <c:v>1</c:v>
                      </c:pt>
                      <c:pt idx="36">
                        <c:v>0</c:v>
                      </c:pt>
                      <c:pt idx="37">
                        <c:v>0</c:v>
                      </c:pt>
                      <c:pt idx="38">
                        <c:v>0</c:v>
                      </c:pt>
                      <c:pt idx="39">
                        <c:v>0</c:v>
                      </c:pt>
                      <c:pt idx="40">
                        <c:v>0</c:v>
                      </c:pt>
                      <c:pt idx="41">
                        <c:v>0</c:v>
                      </c:pt>
                      <c:pt idx="42">
                        <c:v>0</c:v>
                      </c:pt>
                      <c:pt idx="43">
                        <c:v>0</c:v>
                      </c:pt>
                      <c:pt idx="44">
                        <c:v>0</c:v>
                      </c:pt>
                      <c:pt idx="45">
                        <c:v>0</c:v>
                      </c:pt>
                      <c:pt idx="46">
                        <c:v>1</c:v>
                      </c:pt>
                      <c:pt idx="47">
                        <c:v>3</c:v>
                      </c:pt>
                      <c:pt idx="48">
                        <c:v>3</c:v>
                      </c:pt>
                      <c:pt idx="49">
                        <c:v>1</c:v>
                      </c:pt>
                      <c:pt idx="50">
                        <c:v>1</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2</c:v>
                      </c:pt>
                      <c:pt idx="67">
                        <c:v>1</c:v>
                      </c:pt>
                      <c:pt idx="68">
                        <c:v>1</c:v>
                      </c:pt>
                      <c:pt idx="69">
                        <c:v>1</c:v>
                      </c:pt>
                      <c:pt idx="70">
                        <c:v>3</c:v>
                      </c:pt>
                      <c:pt idx="71">
                        <c:v>3</c:v>
                      </c:pt>
                      <c:pt idx="72">
                        <c:v>3</c:v>
                      </c:pt>
                      <c:pt idx="73">
                        <c:v>2</c:v>
                      </c:pt>
                      <c:pt idx="74">
                        <c:v>2</c:v>
                      </c:pt>
                      <c:pt idx="75">
                        <c:v>1</c:v>
                      </c:pt>
                      <c:pt idx="76">
                        <c:v>1</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4-5F61-41E1-B7F7-F5C08685124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Tabelle5!$B$7</c15:sqref>
                        </c15:formulaRef>
                      </c:ext>
                    </c:extLst>
                    <c:strCache>
                      <c:ptCount val="1"/>
                      <c:pt idx="0">
                        <c:v>MITTEL GEGEN OBSTIPATION</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Tabelle5!$C$7:$CR$7</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2</c:v>
                      </c:pt>
                      <c:pt idx="19">
                        <c:v>2</c:v>
                      </c:pt>
                      <c:pt idx="20">
                        <c:v>2</c:v>
                      </c:pt>
                      <c:pt idx="21">
                        <c:v>0</c:v>
                      </c:pt>
                      <c:pt idx="22">
                        <c:v>0</c:v>
                      </c:pt>
                      <c:pt idx="23">
                        <c:v>0</c:v>
                      </c:pt>
                      <c:pt idx="24">
                        <c:v>0</c:v>
                      </c:pt>
                      <c:pt idx="25">
                        <c:v>1</c:v>
                      </c:pt>
                      <c:pt idx="26">
                        <c:v>1</c:v>
                      </c:pt>
                      <c:pt idx="27">
                        <c:v>0</c:v>
                      </c:pt>
                      <c:pt idx="28">
                        <c:v>0</c:v>
                      </c:pt>
                      <c:pt idx="29">
                        <c:v>1</c:v>
                      </c:pt>
                      <c:pt idx="30">
                        <c:v>1</c:v>
                      </c:pt>
                      <c:pt idx="31">
                        <c:v>1</c:v>
                      </c:pt>
                      <c:pt idx="32">
                        <c:v>0</c:v>
                      </c:pt>
                      <c:pt idx="33">
                        <c:v>0</c:v>
                      </c:pt>
                      <c:pt idx="34">
                        <c:v>0</c:v>
                      </c:pt>
                      <c:pt idx="35">
                        <c:v>0</c:v>
                      </c:pt>
                      <c:pt idx="36">
                        <c:v>1</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5-5F61-41E1-B7F7-F5C08685124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Tabelle5!$B$8</c15:sqref>
                        </c15:formulaRef>
                      </c:ext>
                    </c:extLst>
                    <c:strCache>
                      <c:ptCount val="1"/>
                      <c:pt idx="0">
                        <c:v>ANTIDIARRHOIKA UND INTESTINALE ANTIPHLOGISTIKA/ANTIINFEKTIVA</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Tabelle5!$C$8:$CR$8</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1</c:v>
                      </c:pt>
                      <c:pt idx="11">
                        <c:v>1</c:v>
                      </c:pt>
                      <c:pt idx="12">
                        <c:v>2</c:v>
                      </c:pt>
                      <c:pt idx="13">
                        <c:v>2</c:v>
                      </c:pt>
                      <c:pt idx="14">
                        <c:v>2</c:v>
                      </c:pt>
                      <c:pt idx="15">
                        <c:v>2</c:v>
                      </c:pt>
                      <c:pt idx="16">
                        <c:v>2</c:v>
                      </c:pt>
                      <c:pt idx="17">
                        <c:v>2</c:v>
                      </c:pt>
                      <c:pt idx="18">
                        <c:v>2</c:v>
                      </c:pt>
                      <c:pt idx="19">
                        <c:v>2</c:v>
                      </c:pt>
                      <c:pt idx="20">
                        <c:v>1</c:v>
                      </c:pt>
                      <c:pt idx="21">
                        <c:v>1</c:v>
                      </c:pt>
                      <c:pt idx="22">
                        <c:v>1</c:v>
                      </c:pt>
                      <c:pt idx="23">
                        <c:v>1</c:v>
                      </c:pt>
                      <c:pt idx="24">
                        <c:v>1</c:v>
                      </c:pt>
                      <c:pt idx="25">
                        <c:v>0</c:v>
                      </c:pt>
                      <c:pt idx="26">
                        <c:v>1</c:v>
                      </c:pt>
                      <c:pt idx="27">
                        <c:v>1</c:v>
                      </c:pt>
                      <c:pt idx="28">
                        <c:v>2</c:v>
                      </c:pt>
                      <c:pt idx="29">
                        <c:v>2</c:v>
                      </c:pt>
                      <c:pt idx="30">
                        <c:v>2</c:v>
                      </c:pt>
                      <c:pt idx="31">
                        <c:v>2</c:v>
                      </c:pt>
                      <c:pt idx="32">
                        <c:v>3</c:v>
                      </c:pt>
                      <c:pt idx="33">
                        <c:v>3</c:v>
                      </c:pt>
                      <c:pt idx="34">
                        <c:v>2</c:v>
                      </c:pt>
                      <c:pt idx="35">
                        <c:v>2</c:v>
                      </c:pt>
                      <c:pt idx="36">
                        <c:v>3</c:v>
                      </c:pt>
                      <c:pt idx="37">
                        <c:v>3</c:v>
                      </c:pt>
                      <c:pt idx="38">
                        <c:v>3</c:v>
                      </c:pt>
                      <c:pt idx="39">
                        <c:v>3</c:v>
                      </c:pt>
                      <c:pt idx="40">
                        <c:v>1</c:v>
                      </c:pt>
                      <c:pt idx="41">
                        <c:v>1</c:v>
                      </c:pt>
                      <c:pt idx="42">
                        <c:v>1</c:v>
                      </c:pt>
                      <c:pt idx="43">
                        <c:v>2</c:v>
                      </c:pt>
                      <c:pt idx="44">
                        <c:v>1</c:v>
                      </c:pt>
                      <c:pt idx="45">
                        <c:v>1</c:v>
                      </c:pt>
                      <c:pt idx="46">
                        <c:v>1</c:v>
                      </c:pt>
                      <c:pt idx="47">
                        <c:v>1</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1</c:v>
                      </c:pt>
                      <c:pt idx="63">
                        <c:v>0</c:v>
                      </c:pt>
                      <c:pt idx="64">
                        <c:v>0</c:v>
                      </c:pt>
                      <c:pt idx="65">
                        <c:v>0</c:v>
                      </c:pt>
                      <c:pt idx="66">
                        <c:v>0</c:v>
                      </c:pt>
                      <c:pt idx="67">
                        <c:v>0</c:v>
                      </c:pt>
                      <c:pt idx="68">
                        <c:v>1</c:v>
                      </c:pt>
                      <c:pt idx="69">
                        <c:v>0</c:v>
                      </c:pt>
                      <c:pt idx="70">
                        <c:v>2</c:v>
                      </c:pt>
                      <c:pt idx="71">
                        <c:v>2</c:v>
                      </c:pt>
                      <c:pt idx="72">
                        <c:v>1</c:v>
                      </c:pt>
                      <c:pt idx="73">
                        <c:v>1</c:v>
                      </c:pt>
                      <c:pt idx="74">
                        <c:v>1</c:v>
                      </c:pt>
                      <c:pt idx="75">
                        <c:v>0</c:v>
                      </c:pt>
                      <c:pt idx="76">
                        <c:v>0</c:v>
                      </c:pt>
                      <c:pt idx="77">
                        <c:v>0</c:v>
                      </c:pt>
                      <c:pt idx="78">
                        <c:v>2</c:v>
                      </c:pt>
                      <c:pt idx="79">
                        <c:v>2</c:v>
                      </c:pt>
                      <c:pt idx="80">
                        <c:v>2</c:v>
                      </c:pt>
                      <c:pt idx="81">
                        <c:v>1</c:v>
                      </c:pt>
                      <c:pt idx="82">
                        <c:v>1</c:v>
                      </c:pt>
                      <c:pt idx="83">
                        <c:v>1</c:v>
                      </c:pt>
                      <c:pt idx="84">
                        <c:v>1</c:v>
                      </c:pt>
                      <c:pt idx="85">
                        <c:v>1</c:v>
                      </c:pt>
                      <c:pt idx="86">
                        <c:v>1</c:v>
                      </c:pt>
                      <c:pt idx="87">
                        <c:v>1</c:v>
                      </c:pt>
                      <c:pt idx="88">
                        <c:v>1</c:v>
                      </c:pt>
                      <c:pt idx="89">
                        <c:v>1</c:v>
                      </c:pt>
                      <c:pt idx="90">
                        <c:v>1</c:v>
                      </c:pt>
                      <c:pt idx="91">
                        <c:v>1</c:v>
                      </c:pt>
                      <c:pt idx="92">
                        <c:v>1</c:v>
                      </c:pt>
                      <c:pt idx="93">
                        <c:v>1</c:v>
                      </c:pt>
                    </c:numCache>
                  </c:numRef>
                </c:val>
                <c:smooth val="0"/>
                <c:extLst xmlns:c15="http://schemas.microsoft.com/office/drawing/2012/chart">
                  <c:ext xmlns:c16="http://schemas.microsoft.com/office/drawing/2014/chart" uri="{C3380CC4-5D6E-409C-BE32-E72D297353CC}">
                    <c16:uniqueId val="{00000006-5F61-41E1-B7F7-F5C08685124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Tabelle5!$B$9</c15:sqref>
                        </c15:formulaRef>
                      </c:ext>
                    </c:extLst>
                    <c:strCache>
                      <c:ptCount val="1"/>
                      <c:pt idx="0">
                        <c:v>ANTIADIPOSITA, EXKL. DIÄTETIKA</c:v>
                      </c:pt>
                    </c:strCache>
                  </c:strRef>
                </c:tx>
                <c:spPr>
                  <a:ln w="28575" cap="rnd">
                    <a:solidFill>
                      <a:schemeClr val="accent2">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Tabelle5!$C$9:$CR$9</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7-5F61-41E1-B7F7-F5C08685124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Tabelle5!$B$10</c15:sqref>
                        </c15:formulaRef>
                      </c:ext>
                    </c:extLst>
                    <c:strCache>
                      <c:ptCount val="1"/>
                      <c:pt idx="0">
                        <c:v>DIGESTIVA, INKL. ENZYME</c:v>
                      </c:pt>
                    </c:strCache>
                  </c:strRef>
                </c:tx>
                <c:spPr>
                  <a:ln w="28575" cap="rnd">
                    <a:solidFill>
                      <a:schemeClr val="accent3">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Tabelle5!$C$10:$CR$10</c15:sqref>
                        </c15:formulaRef>
                      </c:ext>
                    </c:extLst>
                    <c:numCache>
                      <c:formatCode>General</c:formatCode>
                      <c:ptCount val="9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2</c:v>
                      </c:pt>
                      <c:pt idx="16">
                        <c:v>2</c:v>
                      </c:pt>
                      <c:pt idx="17">
                        <c:v>2</c:v>
                      </c:pt>
                      <c:pt idx="18">
                        <c:v>2</c:v>
                      </c:pt>
                      <c:pt idx="19">
                        <c:v>2</c:v>
                      </c:pt>
                      <c:pt idx="20">
                        <c:v>2</c:v>
                      </c:pt>
                      <c:pt idx="21">
                        <c:v>1</c:v>
                      </c:pt>
                      <c:pt idx="22">
                        <c:v>1</c:v>
                      </c:pt>
                      <c:pt idx="23">
                        <c:v>2</c:v>
                      </c:pt>
                      <c:pt idx="24">
                        <c:v>2</c:v>
                      </c:pt>
                      <c:pt idx="25">
                        <c:v>2</c:v>
                      </c:pt>
                      <c:pt idx="26">
                        <c:v>2</c:v>
                      </c:pt>
                      <c:pt idx="27">
                        <c:v>2</c:v>
                      </c:pt>
                      <c:pt idx="28">
                        <c:v>2</c:v>
                      </c:pt>
                      <c:pt idx="29">
                        <c:v>2</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8-5F61-41E1-B7F7-F5C08685124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Tabelle5!$B$11</c15:sqref>
                        </c15:formulaRef>
                      </c:ext>
                    </c:extLst>
                    <c:strCache>
                      <c:ptCount val="1"/>
                      <c:pt idx="0">
                        <c:v>ANTIDIABETIKA</c:v>
                      </c:pt>
                    </c:strCache>
                  </c:strRef>
                </c:tx>
                <c:spPr>
                  <a:ln w="28575" cap="rnd">
                    <a:solidFill>
                      <a:schemeClr val="accent4">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Tabelle5!$C$11:$CR$11</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1</c:v>
                      </c:pt>
                      <c:pt idx="24">
                        <c:v>0</c:v>
                      </c:pt>
                      <c:pt idx="25">
                        <c:v>1</c:v>
                      </c:pt>
                      <c:pt idx="26">
                        <c:v>1</c:v>
                      </c:pt>
                      <c:pt idx="27">
                        <c:v>1</c:v>
                      </c:pt>
                      <c:pt idx="28">
                        <c:v>1</c:v>
                      </c:pt>
                      <c:pt idx="29">
                        <c:v>1</c:v>
                      </c:pt>
                      <c:pt idx="30">
                        <c:v>1</c:v>
                      </c:pt>
                      <c:pt idx="31">
                        <c:v>1</c:v>
                      </c:pt>
                      <c:pt idx="32">
                        <c:v>3</c:v>
                      </c:pt>
                      <c:pt idx="33">
                        <c:v>2</c:v>
                      </c:pt>
                      <c:pt idx="34">
                        <c:v>3</c:v>
                      </c:pt>
                      <c:pt idx="35">
                        <c:v>3</c:v>
                      </c:pt>
                      <c:pt idx="36">
                        <c:v>2</c:v>
                      </c:pt>
                      <c:pt idx="37">
                        <c:v>3</c:v>
                      </c:pt>
                      <c:pt idx="38">
                        <c:v>3</c:v>
                      </c:pt>
                      <c:pt idx="39">
                        <c:v>2</c:v>
                      </c:pt>
                      <c:pt idx="40">
                        <c:v>2</c:v>
                      </c:pt>
                      <c:pt idx="41">
                        <c:v>2</c:v>
                      </c:pt>
                      <c:pt idx="42">
                        <c:v>2</c:v>
                      </c:pt>
                      <c:pt idx="43">
                        <c:v>2</c:v>
                      </c:pt>
                      <c:pt idx="44">
                        <c:v>0</c:v>
                      </c:pt>
                      <c:pt idx="45">
                        <c:v>0</c:v>
                      </c:pt>
                      <c:pt idx="46">
                        <c:v>0</c:v>
                      </c:pt>
                      <c:pt idx="47">
                        <c:v>1</c:v>
                      </c:pt>
                      <c:pt idx="48">
                        <c:v>2</c:v>
                      </c:pt>
                      <c:pt idx="49">
                        <c:v>4</c:v>
                      </c:pt>
                      <c:pt idx="50">
                        <c:v>2</c:v>
                      </c:pt>
                      <c:pt idx="51">
                        <c:v>0</c:v>
                      </c:pt>
                      <c:pt idx="52">
                        <c:v>0</c:v>
                      </c:pt>
                      <c:pt idx="53">
                        <c:v>0</c:v>
                      </c:pt>
                      <c:pt idx="54">
                        <c:v>0</c:v>
                      </c:pt>
                      <c:pt idx="55">
                        <c:v>0</c:v>
                      </c:pt>
                      <c:pt idx="56">
                        <c:v>0</c:v>
                      </c:pt>
                      <c:pt idx="57">
                        <c:v>0</c:v>
                      </c:pt>
                      <c:pt idx="58">
                        <c:v>1</c:v>
                      </c:pt>
                      <c:pt idx="59">
                        <c:v>2</c:v>
                      </c:pt>
                      <c:pt idx="60">
                        <c:v>4</c:v>
                      </c:pt>
                      <c:pt idx="61">
                        <c:v>4</c:v>
                      </c:pt>
                      <c:pt idx="62">
                        <c:v>1</c:v>
                      </c:pt>
                      <c:pt idx="63">
                        <c:v>3</c:v>
                      </c:pt>
                      <c:pt idx="64">
                        <c:v>1</c:v>
                      </c:pt>
                      <c:pt idx="65">
                        <c:v>2</c:v>
                      </c:pt>
                      <c:pt idx="66">
                        <c:v>1</c:v>
                      </c:pt>
                      <c:pt idx="67">
                        <c:v>4</c:v>
                      </c:pt>
                      <c:pt idx="68">
                        <c:v>5</c:v>
                      </c:pt>
                      <c:pt idx="69">
                        <c:v>3</c:v>
                      </c:pt>
                      <c:pt idx="70">
                        <c:v>8</c:v>
                      </c:pt>
                      <c:pt idx="71">
                        <c:v>15</c:v>
                      </c:pt>
                      <c:pt idx="72">
                        <c:v>12</c:v>
                      </c:pt>
                      <c:pt idx="73">
                        <c:v>11</c:v>
                      </c:pt>
                      <c:pt idx="74">
                        <c:v>13</c:v>
                      </c:pt>
                      <c:pt idx="75">
                        <c:v>5</c:v>
                      </c:pt>
                      <c:pt idx="76">
                        <c:v>1</c:v>
                      </c:pt>
                      <c:pt idx="77">
                        <c:v>10</c:v>
                      </c:pt>
                      <c:pt idx="78">
                        <c:v>12</c:v>
                      </c:pt>
                      <c:pt idx="79">
                        <c:v>14</c:v>
                      </c:pt>
                      <c:pt idx="80">
                        <c:v>11</c:v>
                      </c:pt>
                      <c:pt idx="81">
                        <c:v>11</c:v>
                      </c:pt>
                      <c:pt idx="82">
                        <c:v>3</c:v>
                      </c:pt>
                      <c:pt idx="83">
                        <c:v>2</c:v>
                      </c:pt>
                      <c:pt idx="84">
                        <c:v>2</c:v>
                      </c:pt>
                      <c:pt idx="85">
                        <c:v>1</c:v>
                      </c:pt>
                      <c:pt idx="86">
                        <c:v>1</c:v>
                      </c:pt>
                      <c:pt idx="87">
                        <c:v>1</c:v>
                      </c:pt>
                      <c:pt idx="88">
                        <c:v>1</c:v>
                      </c:pt>
                      <c:pt idx="89">
                        <c:v>1</c:v>
                      </c:pt>
                      <c:pt idx="90">
                        <c:v>1</c:v>
                      </c:pt>
                      <c:pt idx="91">
                        <c:v>1</c:v>
                      </c:pt>
                      <c:pt idx="92">
                        <c:v>1</c:v>
                      </c:pt>
                      <c:pt idx="93">
                        <c:v>1</c:v>
                      </c:pt>
                    </c:numCache>
                  </c:numRef>
                </c:val>
                <c:smooth val="0"/>
                <c:extLst xmlns:c15="http://schemas.microsoft.com/office/drawing/2012/chart">
                  <c:ext xmlns:c16="http://schemas.microsoft.com/office/drawing/2014/chart" uri="{C3380CC4-5D6E-409C-BE32-E72D297353CC}">
                    <c16:uniqueId val="{00000009-5F61-41E1-B7F7-F5C086851244}"/>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Tabelle5!$B$12</c15:sqref>
                        </c15:formulaRef>
                      </c:ext>
                    </c:extLst>
                    <c:strCache>
                      <c:ptCount val="1"/>
                      <c:pt idx="0">
                        <c:v>VITAMINE</c:v>
                      </c:pt>
                    </c:strCache>
                  </c:strRef>
                </c:tx>
                <c:spPr>
                  <a:ln w="28575" cap="rnd">
                    <a:solidFill>
                      <a:schemeClr val="accent5">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Tabelle5!$C$12:$CR$12</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1</c:v>
                      </c:pt>
                      <c:pt idx="38">
                        <c:v>1</c:v>
                      </c:pt>
                      <c:pt idx="39">
                        <c:v>1</c:v>
                      </c:pt>
                      <c:pt idx="40">
                        <c:v>1</c:v>
                      </c:pt>
                      <c:pt idx="41">
                        <c:v>1</c:v>
                      </c:pt>
                      <c:pt idx="42">
                        <c:v>1</c:v>
                      </c:pt>
                      <c:pt idx="43">
                        <c:v>1</c:v>
                      </c:pt>
                      <c:pt idx="44">
                        <c:v>1</c:v>
                      </c:pt>
                      <c:pt idx="45">
                        <c:v>1</c:v>
                      </c:pt>
                      <c:pt idx="46">
                        <c:v>1</c:v>
                      </c:pt>
                      <c:pt idx="47">
                        <c:v>1</c:v>
                      </c:pt>
                      <c:pt idx="48">
                        <c:v>2</c:v>
                      </c:pt>
                      <c:pt idx="49">
                        <c:v>3</c:v>
                      </c:pt>
                      <c:pt idx="50">
                        <c:v>3</c:v>
                      </c:pt>
                      <c:pt idx="51">
                        <c:v>3</c:v>
                      </c:pt>
                      <c:pt idx="52">
                        <c:v>3</c:v>
                      </c:pt>
                      <c:pt idx="53">
                        <c:v>3</c:v>
                      </c:pt>
                      <c:pt idx="54">
                        <c:v>3</c:v>
                      </c:pt>
                      <c:pt idx="55">
                        <c:v>4</c:v>
                      </c:pt>
                      <c:pt idx="56">
                        <c:v>3</c:v>
                      </c:pt>
                      <c:pt idx="57">
                        <c:v>3</c:v>
                      </c:pt>
                      <c:pt idx="58">
                        <c:v>3</c:v>
                      </c:pt>
                      <c:pt idx="59">
                        <c:v>3</c:v>
                      </c:pt>
                      <c:pt idx="60">
                        <c:v>3</c:v>
                      </c:pt>
                      <c:pt idx="61">
                        <c:v>4</c:v>
                      </c:pt>
                      <c:pt idx="62">
                        <c:v>5</c:v>
                      </c:pt>
                      <c:pt idx="63">
                        <c:v>4</c:v>
                      </c:pt>
                      <c:pt idx="64">
                        <c:v>3</c:v>
                      </c:pt>
                      <c:pt idx="65">
                        <c:v>3</c:v>
                      </c:pt>
                      <c:pt idx="66">
                        <c:v>3</c:v>
                      </c:pt>
                      <c:pt idx="67">
                        <c:v>5</c:v>
                      </c:pt>
                      <c:pt idx="68">
                        <c:v>4</c:v>
                      </c:pt>
                      <c:pt idx="69">
                        <c:v>3</c:v>
                      </c:pt>
                      <c:pt idx="70">
                        <c:v>3</c:v>
                      </c:pt>
                      <c:pt idx="71">
                        <c:v>2</c:v>
                      </c:pt>
                      <c:pt idx="72">
                        <c:v>2</c:v>
                      </c:pt>
                      <c:pt idx="73">
                        <c:v>2</c:v>
                      </c:pt>
                      <c:pt idx="74">
                        <c:v>2</c:v>
                      </c:pt>
                      <c:pt idx="75">
                        <c:v>3</c:v>
                      </c:pt>
                      <c:pt idx="76">
                        <c:v>3</c:v>
                      </c:pt>
                      <c:pt idx="77">
                        <c:v>6</c:v>
                      </c:pt>
                      <c:pt idx="78">
                        <c:v>5</c:v>
                      </c:pt>
                      <c:pt idx="79">
                        <c:v>4</c:v>
                      </c:pt>
                      <c:pt idx="80">
                        <c:v>2</c:v>
                      </c:pt>
                      <c:pt idx="81">
                        <c:v>1</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A-5F61-41E1-B7F7-F5C086851244}"/>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Tabelle5!$B$13</c15:sqref>
                        </c15:formulaRef>
                      </c:ext>
                    </c:extLst>
                    <c:strCache>
                      <c:ptCount val="1"/>
                      <c:pt idx="0">
                        <c:v>MINERALSTOFFE</c:v>
                      </c:pt>
                    </c:strCache>
                  </c:strRef>
                </c:tx>
                <c:spPr>
                  <a:ln w="28575" cap="rnd">
                    <a:solidFill>
                      <a:schemeClr val="accent6">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Tabelle5!$C$13:$CR$13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c:v>
                      </c:pt>
                      <c:pt idx="65">
                        <c:v>1</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B-5F61-41E1-B7F7-F5C086851244}"/>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Tabelle5!$B$14</c15:sqref>
                        </c15:formulaRef>
                      </c:ext>
                    </c:extLst>
                    <c:strCache>
                      <c:ptCount val="1"/>
                      <c:pt idx="0">
                        <c:v>TONIKA</c:v>
                      </c:pt>
                    </c:strCache>
                  </c:strRef>
                </c:tx>
                <c:spPr>
                  <a:ln w="28575" cap="rnd">
                    <a:solidFill>
                      <a:schemeClr val="accent1">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Tabelle5!$C$14:$CR$14</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C-5F61-41E1-B7F7-F5C086851244}"/>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Tabelle5!$B$15</c15:sqref>
                        </c15:formulaRef>
                      </c:ext>
                    </c:extLst>
                    <c:strCache>
                      <c:ptCount val="1"/>
                      <c:pt idx="0">
                        <c:v>ANABOLIKA ZUR SYSTEMISCHEN ANWENDUNG</c:v>
                      </c:pt>
                    </c:strCache>
                  </c:strRef>
                </c:tx>
                <c:spPr>
                  <a:ln w="28575" cap="rnd">
                    <a:solidFill>
                      <a:schemeClr val="accent2">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Tabelle5!$C$15:$CR$15</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D-5F61-41E1-B7F7-F5C086851244}"/>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Tabelle5!$B$16</c15:sqref>
                        </c15:formulaRef>
                      </c:ext>
                    </c:extLst>
                    <c:strCache>
                      <c:ptCount val="1"/>
                      <c:pt idx="0">
                        <c:v>APPETIT STIMULIERENDE MITTEL</c:v>
                      </c:pt>
                    </c:strCache>
                  </c:strRef>
                </c:tx>
                <c:spPr>
                  <a:ln w="28575" cap="rnd">
                    <a:solidFill>
                      <a:schemeClr val="accent3">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Tabelle5!$C$16:$CR$16</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0E-5F61-41E1-B7F7-F5C086851244}"/>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Tabelle5!$B$17</c15:sqref>
                        </c15:formulaRef>
                      </c:ext>
                    </c:extLst>
                    <c:strCache>
                      <c:ptCount val="1"/>
                      <c:pt idx="0">
                        <c:v>ANDERE MITTEL FÜR DAS ALIMENTÄRE SYSTEM UND DEN STOFFWECHSEL</c:v>
                      </c:pt>
                    </c:strCache>
                  </c:strRef>
                </c:tx>
                <c:spPr>
                  <a:ln w="28575" cap="rnd">
                    <a:solidFill>
                      <a:schemeClr val="accent4">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Tabelle5!$C$17:$CR$17</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c:v>
                      </c:pt>
                      <c:pt idx="29">
                        <c:v>1</c:v>
                      </c:pt>
                      <c:pt idx="30">
                        <c:v>3</c:v>
                      </c:pt>
                      <c:pt idx="31">
                        <c:v>3</c:v>
                      </c:pt>
                      <c:pt idx="32">
                        <c:v>3</c:v>
                      </c:pt>
                      <c:pt idx="33">
                        <c:v>0</c:v>
                      </c:pt>
                      <c:pt idx="34">
                        <c:v>1</c:v>
                      </c:pt>
                      <c:pt idx="35">
                        <c:v>1</c:v>
                      </c:pt>
                      <c:pt idx="36">
                        <c:v>0</c:v>
                      </c:pt>
                      <c:pt idx="37">
                        <c:v>1</c:v>
                      </c:pt>
                      <c:pt idx="38">
                        <c:v>1</c:v>
                      </c:pt>
                      <c:pt idx="39">
                        <c:v>0</c:v>
                      </c:pt>
                      <c:pt idx="40">
                        <c:v>0</c:v>
                      </c:pt>
                      <c:pt idx="41">
                        <c:v>0</c:v>
                      </c:pt>
                      <c:pt idx="42">
                        <c:v>1</c:v>
                      </c:pt>
                      <c:pt idx="43">
                        <c:v>1</c:v>
                      </c:pt>
                      <c:pt idx="44">
                        <c:v>0</c:v>
                      </c:pt>
                      <c:pt idx="45">
                        <c:v>0</c:v>
                      </c:pt>
                      <c:pt idx="46">
                        <c:v>0</c:v>
                      </c:pt>
                      <c:pt idx="47">
                        <c:v>0</c:v>
                      </c:pt>
                      <c:pt idx="48">
                        <c:v>0</c:v>
                      </c:pt>
                      <c:pt idx="49">
                        <c:v>2</c:v>
                      </c:pt>
                      <c:pt idx="50">
                        <c:v>3</c:v>
                      </c:pt>
                      <c:pt idx="51">
                        <c:v>3</c:v>
                      </c:pt>
                      <c:pt idx="52">
                        <c:v>3</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numCache>
                  </c:numRef>
                </c:val>
                <c:smooth val="0"/>
                <c:extLst xmlns:c15="http://schemas.microsoft.com/office/drawing/2012/chart">
                  <c:ext xmlns:c16="http://schemas.microsoft.com/office/drawing/2014/chart" uri="{C3380CC4-5D6E-409C-BE32-E72D297353CC}">
                    <c16:uniqueId val="{0000000F-5F61-41E1-B7F7-F5C086851244}"/>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Tabelle5!$B$18</c15:sqref>
                        </c15:formulaRef>
                      </c:ext>
                    </c:extLst>
                    <c:strCache>
                      <c:ptCount val="1"/>
                      <c:pt idx="0">
                        <c:v>ANTITHROMBOTISCHE MITTEL</c:v>
                      </c:pt>
                    </c:strCache>
                  </c:strRef>
                </c:tx>
                <c:spPr>
                  <a:ln w="28575" cap="rnd">
                    <a:solidFill>
                      <a:schemeClr val="accent5">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Tabelle5!$C$18:$CR$18</c15:sqref>
                        </c15:formulaRef>
                      </c:ext>
                    </c:extLst>
                    <c:numCache>
                      <c:formatCode>General</c:formatCode>
                      <c:ptCount val="94"/>
                      <c:pt idx="0">
                        <c:v>0</c:v>
                      </c:pt>
                      <c:pt idx="1">
                        <c:v>0</c:v>
                      </c:pt>
                      <c:pt idx="2">
                        <c:v>0</c:v>
                      </c:pt>
                      <c:pt idx="3">
                        <c:v>0</c:v>
                      </c:pt>
                      <c:pt idx="4">
                        <c:v>0</c:v>
                      </c:pt>
                      <c:pt idx="5">
                        <c:v>0</c:v>
                      </c:pt>
                      <c:pt idx="6">
                        <c:v>1</c:v>
                      </c:pt>
                      <c:pt idx="7">
                        <c:v>1</c:v>
                      </c:pt>
                      <c:pt idx="8">
                        <c:v>2</c:v>
                      </c:pt>
                      <c:pt idx="9">
                        <c:v>2</c:v>
                      </c:pt>
                      <c:pt idx="10">
                        <c:v>2</c:v>
                      </c:pt>
                      <c:pt idx="11">
                        <c:v>4</c:v>
                      </c:pt>
                      <c:pt idx="12">
                        <c:v>4</c:v>
                      </c:pt>
                      <c:pt idx="13">
                        <c:v>5</c:v>
                      </c:pt>
                      <c:pt idx="14">
                        <c:v>3</c:v>
                      </c:pt>
                      <c:pt idx="15">
                        <c:v>3</c:v>
                      </c:pt>
                      <c:pt idx="16">
                        <c:v>2</c:v>
                      </c:pt>
                      <c:pt idx="17">
                        <c:v>1</c:v>
                      </c:pt>
                      <c:pt idx="18">
                        <c:v>1</c:v>
                      </c:pt>
                      <c:pt idx="19">
                        <c:v>1</c:v>
                      </c:pt>
                      <c:pt idx="20">
                        <c:v>5</c:v>
                      </c:pt>
                      <c:pt idx="21">
                        <c:v>5</c:v>
                      </c:pt>
                      <c:pt idx="22">
                        <c:v>6</c:v>
                      </c:pt>
                      <c:pt idx="23">
                        <c:v>6</c:v>
                      </c:pt>
                      <c:pt idx="24">
                        <c:v>6</c:v>
                      </c:pt>
                      <c:pt idx="25">
                        <c:v>6</c:v>
                      </c:pt>
                      <c:pt idx="26">
                        <c:v>7</c:v>
                      </c:pt>
                      <c:pt idx="27">
                        <c:v>6</c:v>
                      </c:pt>
                      <c:pt idx="28">
                        <c:v>5</c:v>
                      </c:pt>
                      <c:pt idx="29">
                        <c:v>5</c:v>
                      </c:pt>
                      <c:pt idx="30">
                        <c:v>6</c:v>
                      </c:pt>
                      <c:pt idx="31">
                        <c:v>6</c:v>
                      </c:pt>
                      <c:pt idx="32">
                        <c:v>6</c:v>
                      </c:pt>
                      <c:pt idx="33">
                        <c:v>5</c:v>
                      </c:pt>
                      <c:pt idx="34">
                        <c:v>5</c:v>
                      </c:pt>
                      <c:pt idx="35">
                        <c:v>5</c:v>
                      </c:pt>
                      <c:pt idx="36">
                        <c:v>7</c:v>
                      </c:pt>
                      <c:pt idx="37">
                        <c:v>7</c:v>
                      </c:pt>
                      <c:pt idx="38">
                        <c:v>7</c:v>
                      </c:pt>
                      <c:pt idx="39">
                        <c:v>7</c:v>
                      </c:pt>
                      <c:pt idx="40">
                        <c:v>7</c:v>
                      </c:pt>
                      <c:pt idx="41">
                        <c:v>5</c:v>
                      </c:pt>
                      <c:pt idx="42">
                        <c:v>5</c:v>
                      </c:pt>
                      <c:pt idx="43">
                        <c:v>5</c:v>
                      </c:pt>
                      <c:pt idx="44">
                        <c:v>5</c:v>
                      </c:pt>
                      <c:pt idx="45">
                        <c:v>5</c:v>
                      </c:pt>
                      <c:pt idx="46">
                        <c:v>5</c:v>
                      </c:pt>
                      <c:pt idx="47">
                        <c:v>6</c:v>
                      </c:pt>
                      <c:pt idx="48">
                        <c:v>6</c:v>
                      </c:pt>
                      <c:pt idx="49">
                        <c:v>6</c:v>
                      </c:pt>
                      <c:pt idx="50">
                        <c:v>6</c:v>
                      </c:pt>
                      <c:pt idx="51">
                        <c:v>6</c:v>
                      </c:pt>
                      <c:pt idx="52">
                        <c:v>7</c:v>
                      </c:pt>
                      <c:pt idx="53">
                        <c:v>6</c:v>
                      </c:pt>
                      <c:pt idx="54">
                        <c:v>8</c:v>
                      </c:pt>
                      <c:pt idx="55">
                        <c:v>7</c:v>
                      </c:pt>
                      <c:pt idx="56">
                        <c:v>8</c:v>
                      </c:pt>
                      <c:pt idx="57">
                        <c:v>7</c:v>
                      </c:pt>
                      <c:pt idx="58">
                        <c:v>7</c:v>
                      </c:pt>
                      <c:pt idx="59">
                        <c:v>7</c:v>
                      </c:pt>
                      <c:pt idx="60">
                        <c:v>3</c:v>
                      </c:pt>
                      <c:pt idx="61">
                        <c:v>3</c:v>
                      </c:pt>
                      <c:pt idx="62">
                        <c:v>5</c:v>
                      </c:pt>
                      <c:pt idx="63">
                        <c:v>5</c:v>
                      </c:pt>
                      <c:pt idx="64">
                        <c:v>6</c:v>
                      </c:pt>
                      <c:pt idx="65">
                        <c:v>6</c:v>
                      </c:pt>
                      <c:pt idx="66">
                        <c:v>8</c:v>
                      </c:pt>
                      <c:pt idx="67">
                        <c:v>8</c:v>
                      </c:pt>
                      <c:pt idx="68">
                        <c:v>7</c:v>
                      </c:pt>
                      <c:pt idx="69">
                        <c:v>8</c:v>
                      </c:pt>
                      <c:pt idx="70">
                        <c:v>8</c:v>
                      </c:pt>
                      <c:pt idx="71">
                        <c:v>9</c:v>
                      </c:pt>
                      <c:pt idx="72">
                        <c:v>10</c:v>
                      </c:pt>
                      <c:pt idx="73">
                        <c:v>8</c:v>
                      </c:pt>
                      <c:pt idx="74">
                        <c:v>9</c:v>
                      </c:pt>
                      <c:pt idx="75">
                        <c:v>8</c:v>
                      </c:pt>
                      <c:pt idx="76">
                        <c:v>5</c:v>
                      </c:pt>
                      <c:pt idx="77">
                        <c:v>5</c:v>
                      </c:pt>
                      <c:pt idx="78">
                        <c:v>7</c:v>
                      </c:pt>
                      <c:pt idx="79">
                        <c:v>8</c:v>
                      </c:pt>
                      <c:pt idx="80">
                        <c:v>5</c:v>
                      </c:pt>
                      <c:pt idx="81">
                        <c:v>5</c:v>
                      </c:pt>
                      <c:pt idx="82">
                        <c:v>3</c:v>
                      </c:pt>
                      <c:pt idx="83">
                        <c:v>3</c:v>
                      </c:pt>
                      <c:pt idx="84">
                        <c:v>3</c:v>
                      </c:pt>
                      <c:pt idx="85">
                        <c:v>3</c:v>
                      </c:pt>
                      <c:pt idx="86">
                        <c:v>3</c:v>
                      </c:pt>
                      <c:pt idx="87">
                        <c:v>3</c:v>
                      </c:pt>
                      <c:pt idx="88">
                        <c:v>3</c:v>
                      </c:pt>
                      <c:pt idx="89">
                        <c:v>3</c:v>
                      </c:pt>
                      <c:pt idx="90">
                        <c:v>3</c:v>
                      </c:pt>
                      <c:pt idx="91">
                        <c:v>3</c:v>
                      </c:pt>
                      <c:pt idx="92">
                        <c:v>3</c:v>
                      </c:pt>
                      <c:pt idx="93">
                        <c:v>3</c:v>
                      </c:pt>
                    </c:numCache>
                  </c:numRef>
                </c:val>
                <c:smooth val="0"/>
                <c:extLst xmlns:c15="http://schemas.microsoft.com/office/drawing/2012/chart">
                  <c:ext xmlns:c16="http://schemas.microsoft.com/office/drawing/2014/chart" uri="{C3380CC4-5D6E-409C-BE32-E72D297353CC}">
                    <c16:uniqueId val="{00000010-5F61-41E1-B7F7-F5C086851244}"/>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Tabelle5!$B$19</c15:sqref>
                        </c15:formulaRef>
                      </c:ext>
                    </c:extLst>
                    <c:strCache>
                      <c:ptCount val="1"/>
                      <c:pt idx="0">
                        <c:v>ANTIHÄMORRHAGIKA</c:v>
                      </c:pt>
                    </c:strCache>
                  </c:strRef>
                </c:tx>
                <c:spPr>
                  <a:ln w="28575" cap="rnd">
                    <a:solidFill>
                      <a:schemeClr val="accent6">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Tabelle5!$C$19:$CR$19</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1</c:v>
                      </c:pt>
                      <c:pt idx="15">
                        <c:v>1</c:v>
                      </c:pt>
                      <c:pt idx="16">
                        <c:v>1</c:v>
                      </c:pt>
                      <c:pt idx="17">
                        <c:v>0</c:v>
                      </c:pt>
                      <c:pt idx="18">
                        <c:v>0</c:v>
                      </c:pt>
                      <c:pt idx="19">
                        <c:v>0</c:v>
                      </c:pt>
                      <c:pt idx="20">
                        <c:v>0</c:v>
                      </c:pt>
                      <c:pt idx="21">
                        <c:v>0</c:v>
                      </c:pt>
                      <c:pt idx="22">
                        <c:v>1</c:v>
                      </c:pt>
                      <c:pt idx="23">
                        <c:v>1</c:v>
                      </c:pt>
                      <c:pt idx="24">
                        <c:v>1</c:v>
                      </c:pt>
                      <c:pt idx="25">
                        <c:v>1</c:v>
                      </c:pt>
                      <c:pt idx="26">
                        <c:v>1</c:v>
                      </c:pt>
                      <c:pt idx="27">
                        <c:v>1</c:v>
                      </c:pt>
                      <c:pt idx="28">
                        <c:v>2</c:v>
                      </c:pt>
                      <c:pt idx="29">
                        <c:v>2</c:v>
                      </c:pt>
                      <c:pt idx="30">
                        <c:v>2</c:v>
                      </c:pt>
                      <c:pt idx="31">
                        <c:v>1</c:v>
                      </c:pt>
                      <c:pt idx="32">
                        <c:v>1</c:v>
                      </c:pt>
                      <c:pt idx="33">
                        <c:v>1</c:v>
                      </c:pt>
                      <c:pt idx="34">
                        <c:v>2</c:v>
                      </c:pt>
                      <c:pt idx="35">
                        <c:v>2</c:v>
                      </c:pt>
                      <c:pt idx="36">
                        <c:v>2</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1</c:v>
                      </c:pt>
                      <c:pt idx="72">
                        <c:v>1</c:v>
                      </c:pt>
                      <c:pt idx="73">
                        <c:v>1</c:v>
                      </c:pt>
                      <c:pt idx="74">
                        <c:v>1</c:v>
                      </c:pt>
                      <c:pt idx="75">
                        <c:v>1</c:v>
                      </c:pt>
                      <c:pt idx="76">
                        <c:v>1</c:v>
                      </c:pt>
                      <c:pt idx="77">
                        <c:v>1</c:v>
                      </c:pt>
                      <c:pt idx="78">
                        <c:v>2</c:v>
                      </c:pt>
                      <c:pt idx="79">
                        <c:v>2</c:v>
                      </c:pt>
                      <c:pt idx="80">
                        <c:v>2</c:v>
                      </c:pt>
                      <c:pt idx="81">
                        <c:v>1</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1-5F61-41E1-B7F7-F5C086851244}"/>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Tabelle5!$B$20</c15:sqref>
                        </c15:formulaRef>
                      </c:ext>
                    </c:extLst>
                    <c:strCache>
                      <c:ptCount val="1"/>
                      <c:pt idx="0">
                        <c:v>ANTIANÄMIKA</c:v>
                      </c:pt>
                    </c:strCache>
                  </c:strRef>
                </c:tx>
                <c:spPr>
                  <a:ln w="28575" cap="rnd">
                    <a:solidFill>
                      <a:schemeClr val="accent1">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Tabelle5!$C$20:$CR$20</c15:sqref>
                        </c15:formulaRef>
                      </c:ext>
                    </c:extLst>
                    <c:numCache>
                      <c:formatCode>General</c:formatCode>
                      <c:ptCount val="9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c:v>
                      </c:pt>
                      <c:pt idx="62">
                        <c:v>2</c:v>
                      </c:pt>
                      <c:pt idx="63">
                        <c:v>0</c:v>
                      </c:pt>
                      <c:pt idx="64">
                        <c:v>1</c:v>
                      </c:pt>
                      <c:pt idx="65">
                        <c:v>1</c:v>
                      </c:pt>
                      <c:pt idx="66">
                        <c:v>0</c:v>
                      </c:pt>
                      <c:pt idx="67">
                        <c:v>1</c:v>
                      </c:pt>
                      <c:pt idx="68">
                        <c:v>1</c:v>
                      </c:pt>
                      <c:pt idx="69">
                        <c:v>1</c:v>
                      </c:pt>
                      <c:pt idx="70">
                        <c:v>0</c:v>
                      </c:pt>
                      <c:pt idx="71">
                        <c:v>2</c:v>
                      </c:pt>
                      <c:pt idx="72">
                        <c:v>1</c:v>
                      </c:pt>
                      <c:pt idx="73">
                        <c:v>1</c:v>
                      </c:pt>
                      <c:pt idx="74">
                        <c:v>0</c:v>
                      </c:pt>
                      <c:pt idx="75">
                        <c:v>0</c:v>
                      </c:pt>
                      <c:pt idx="76">
                        <c:v>0</c:v>
                      </c:pt>
                      <c:pt idx="77">
                        <c:v>0</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numCache>
                  </c:numRef>
                </c:val>
                <c:smooth val="0"/>
                <c:extLst xmlns:c15="http://schemas.microsoft.com/office/drawing/2012/chart">
                  <c:ext xmlns:c16="http://schemas.microsoft.com/office/drawing/2014/chart" uri="{C3380CC4-5D6E-409C-BE32-E72D297353CC}">
                    <c16:uniqueId val="{00000012-5F61-41E1-B7F7-F5C086851244}"/>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Tabelle5!$B$21</c15:sqref>
                        </c15:formulaRef>
                      </c:ext>
                    </c:extLst>
                    <c:strCache>
                      <c:ptCount val="1"/>
                      <c:pt idx="0">
                        <c:v>BLUTERSATZMITTEL UND PERFUSIONSLÖSUNGEN</c:v>
                      </c:pt>
                    </c:strCache>
                  </c:strRef>
                </c:tx>
                <c:spPr>
                  <a:ln w="28575" cap="rnd">
                    <a:solidFill>
                      <a:schemeClr val="accent2">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Tabelle5!$C$21:$CR$21</c15:sqref>
                        </c15:formulaRef>
                      </c:ext>
                    </c:extLst>
                    <c:numCache>
                      <c:formatCode>General</c:formatCode>
                      <c:ptCount val="94"/>
                      <c:pt idx="0">
                        <c:v>0</c:v>
                      </c:pt>
                      <c:pt idx="1">
                        <c:v>0</c:v>
                      </c:pt>
                      <c:pt idx="2">
                        <c:v>0</c:v>
                      </c:pt>
                      <c:pt idx="3">
                        <c:v>0</c:v>
                      </c:pt>
                      <c:pt idx="4">
                        <c:v>1</c:v>
                      </c:pt>
                      <c:pt idx="5">
                        <c:v>2</c:v>
                      </c:pt>
                      <c:pt idx="6">
                        <c:v>4</c:v>
                      </c:pt>
                      <c:pt idx="7">
                        <c:v>3</c:v>
                      </c:pt>
                      <c:pt idx="8">
                        <c:v>0</c:v>
                      </c:pt>
                      <c:pt idx="9">
                        <c:v>0</c:v>
                      </c:pt>
                      <c:pt idx="10">
                        <c:v>0</c:v>
                      </c:pt>
                      <c:pt idx="11">
                        <c:v>0</c:v>
                      </c:pt>
                      <c:pt idx="12">
                        <c:v>0</c:v>
                      </c:pt>
                      <c:pt idx="13">
                        <c:v>1</c:v>
                      </c:pt>
                      <c:pt idx="14">
                        <c:v>2</c:v>
                      </c:pt>
                      <c:pt idx="15">
                        <c:v>1</c:v>
                      </c:pt>
                      <c:pt idx="16">
                        <c:v>0</c:v>
                      </c:pt>
                      <c:pt idx="17">
                        <c:v>0</c:v>
                      </c:pt>
                      <c:pt idx="18">
                        <c:v>0</c:v>
                      </c:pt>
                      <c:pt idx="19">
                        <c:v>0</c:v>
                      </c:pt>
                      <c:pt idx="20">
                        <c:v>0</c:v>
                      </c:pt>
                      <c:pt idx="21">
                        <c:v>1</c:v>
                      </c:pt>
                      <c:pt idx="22">
                        <c:v>1</c:v>
                      </c:pt>
                      <c:pt idx="23">
                        <c:v>0</c:v>
                      </c:pt>
                      <c:pt idx="24">
                        <c:v>0</c:v>
                      </c:pt>
                      <c:pt idx="25">
                        <c:v>0</c:v>
                      </c:pt>
                      <c:pt idx="26">
                        <c:v>0</c:v>
                      </c:pt>
                      <c:pt idx="27">
                        <c:v>0</c:v>
                      </c:pt>
                      <c:pt idx="28">
                        <c:v>0</c:v>
                      </c:pt>
                      <c:pt idx="29">
                        <c:v>1</c:v>
                      </c:pt>
                      <c:pt idx="30">
                        <c:v>1</c:v>
                      </c:pt>
                      <c:pt idx="31">
                        <c:v>1</c:v>
                      </c:pt>
                      <c:pt idx="32">
                        <c:v>1</c:v>
                      </c:pt>
                      <c:pt idx="33">
                        <c:v>1</c:v>
                      </c:pt>
                      <c:pt idx="34">
                        <c:v>1</c:v>
                      </c:pt>
                      <c:pt idx="35">
                        <c:v>1</c:v>
                      </c:pt>
                      <c:pt idx="36">
                        <c:v>1</c:v>
                      </c:pt>
                      <c:pt idx="37">
                        <c:v>0</c:v>
                      </c:pt>
                      <c:pt idx="38">
                        <c:v>0</c:v>
                      </c:pt>
                      <c:pt idx="39">
                        <c:v>0</c:v>
                      </c:pt>
                      <c:pt idx="40">
                        <c:v>0</c:v>
                      </c:pt>
                      <c:pt idx="41">
                        <c:v>0</c:v>
                      </c:pt>
                      <c:pt idx="42">
                        <c:v>0</c:v>
                      </c:pt>
                      <c:pt idx="43">
                        <c:v>1</c:v>
                      </c:pt>
                      <c:pt idx="44">
                        <c:v>1</c:v>
                      </c:pt>
                      <c:pt idx="45">
                        <c:v>3</c:v>
                      </c:pt>
                      <c:pt idx="46">
                        <c:v>2</c:v>
                      </c:pt>
                      <c:pt idx="47">
                        <c:v>1</c:v>
                      </c:pt>
                      <c:pt idx="48">
                        <c:v>0</c:v>
                      </c:pt>
                      <c:pt idx="49">
                        <c:v>0</c:v>
                      </c:pt>
                      <c:pt idx="50">
                        <c:v>1</c:v>
                      </c:pt>
                      <c:pt idx="51">
                        <c:v>1</c:v>
                      </c:pt>
                      <c:pt idx="52">
                        <c:v>2</c:v>
                      </c:pt>
                      <c:pt idx="53">
                        <c:v>2</c:v>
                      </c:pt>
                      <c:pt idx="54">
                        <c:v>3</c:v>
                      </c:pt>
                      <c:pt idx="55">
                        <c:v>3</c:v>
                      </c:pt>
                      <c:pt idx="56">
                        <c:v>1</c:v>
                      </c:pt>
                      <c:pt idx="57">
                        <c:v>1</c:v>
                      </c:pt>
                      <c:pt idx="58">
                        <c:v>2</c:v>
                      </c:pt>
                      <c:pt idx="59">
                        <c:v>3</c:v>
                      </c:pt>
                      <c:pt idx="60">
                        <c:v>2</c:v>
                      </c:pt>
                      <c:pt idx="61">
                        <c:v>5</c:v>
                      </c:pt>
                      <c:pt idx="62">
                        <c:v>3</c:v>
                      </c:pt>
                      <c:pt idx="63">
                        <c:v>4</c:v>
                      </c:pt>
                      <c:pt idx="64">
                        <c:v>2</c:v>
                      </c:pt>
                      <c:pt idx="65">
                        <c:v>2</c:v>
                      </c:pt>
                      <c:pt idx="66">
                        <c:v>5</c:v>
                      </c:pt>
                      <c:pt idx="67">
                        <c:v>3</c:v>
                      </c:pt>
                      <c:pt idx="68">
                        <c:v>2</c:v>
                      </c:pt>
                      <c:pt idx="69">
                        <c:v>1</c:v>
                      </c:pt>
                      <c:pt idx="70">
                        <c:v>1</c:v>
                      </c:pt>
                      <c:pt idx="71">
                        <c:v>1</c:v>
                      </c:pt>
                      <c:pt idx="72">
                        <c:v>1</c:v>
                      </c:pt>
                      <c:pt idx="73">
                        <c:v>0</c:v>
                      </c:pt>
                      <c:pt idx="74">
                        <c:v>0</c:v>
                      </c:pt>
                      <c:pt idx="75">
                        <c:v>0</c:v>
                      </c:pt>
                      <c:pt idx="76">
                        <c:v>0</c:v>
                      </c:pt>
                      <c:pt idx="77">
                        <c:v>0</c:v>
                      </c:pt>
                      <c:pt idx="78">
                        <c:v>2</c:v>
                      </c:pt>
                      <c:pt idx="79">
                        <c:v>2</c:v>
                      </c:pt>
                      <c:pt idx="80">
                        <c:v>1</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3-5F61-41E1-B7F7-F5C086851244}"/>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Tabelle5!$B$22</c15:sqref>
                        </c15:formulaRef>
                      </c:ext>
                    </c:extLst>
                    <c:strCache>
                      <c:ptCount val="1"/>
                      <c:pt idx="0">
                        <c:v>ANDERE HÄMATOLOGIKA</c:v>
                      </c:pt>
                    </c:strCache>
                  </c:strRef>
                </c:tx>
                <c:spPr>
                  <a:ln w="28575" cap="rnd">
                    <a:solidFill>
                      <a:schemeClr val="accent3">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Tabelle5!$C$22:$CR$22</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c:v>
                      </c:pt>
                      <c:pt idx="66">
                        <c:v>1</c:v>
                      </c:pt>
                      <c:pt idx="67">
                        <c:v>1</c:v>
                      </c:pt>
                      <c:pt idx="68">
                        <c:v>1</c:v>
                      </c:pt>
                      <c:pt idx="69">
                        <c:v>0</c:v>
                      </c:pt>
                      <c:pt idx="70">
                        <c:v>0</c:v>
                      </c:pt>
                      <c:pt idx="71">
                        <c:v>0</c:v>
                      </c:pt>
                      <c:pt idx="72">
                        <c:v>1</c:v>
                      </c:pt>
                      <c:pt idx="73">
                        <c:v>1</c:v>
                      </c:pt>
                      <c:pt idx="74">
                        <c:v>1</c:v>
                      </c:pt>
                      <c:pt idx="75">
                        <c:v>1</c:v>
                      </c:pt>
                      <c:pt idx="76">
                        <c:v>1</c:v>
                      </c:pt>
                      <c:pt idx="77">
                        <c:v>1</c:v>
                      </c:pt>
                      <c:pt idx="78">
                        <c:v>2</c:v>
                      </c:pt>
                      <c:pt idx="79">
                        <c:v>2</c:v>
                      </c:pt>
                      <c:pt idx="80">
                        <c:v>1</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4-5F61-41E1-B7F7-F5C086851244}"/>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Tabelle5!$B$23</c15:sqref>
                        </c15:formulaRef>
                      </c:ext>
                    </c:extLst>
                    <c:strCache>
                      <c:ptCount val="1"/>
                      <c:pt idx="0">
                        <c:v>HERZTHERAPIE</c:v>
                      </c:pt>
                    </c:strCache>
                  </c:strRef>
                </c:tx>
                <c:spPr>
                  <a:ln w="28575" cap="rnd">
                    <a:solidFill>
                      <a:schemeClr val="accent4">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Tabelle5!$C$23:$CR$23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3</c:v>
                      </c:pt>
                      <c:pt idx="15">
                        <c:v>3</c:v>
                      </c:pt>
                      <c:pt idx="16">
                        <c:v>2</c:v>
                      </c:pt>
                      <c:pt idx="17">
                        <c:v>2</c:v>
                      </c:pt>
                      <c:pt idx="18">
                        <c:v>4</c:v>
                      </c:pt>
                      <c:pt idx="19">
                        <c:v>2</c:v>
                      </c:pt>
                      <c:pt idx="20">
                        <c:v>3</c:v>
                      </c:pt>
                      <c:pt idx="21">
                        <c:v>2</c:v>
                      </c:pt>
                      <c:pt idx="22">
                        <c:v>2</c:v>
                      </c:pt>
                      <c:pt idx="23">
                        <c:v>2</c:v>
                      </c:pt>
                      <c:pt idx="24">
                        <c:v>1</c:v>
                      </c:pt>
                      <c:pt idx="25">
                        <c:v>1</c:v>
                      </c:pt>
                      <c:pt idx="26">
                        <c:v>1</c:v>
                      </c:pt>
                      <c:pt idx="27">
                        <c:v>1</c:v>
                      </c:pt>
                      <c:pt idx="28">
                        <c:v>3</c:v>
                      </c:pt>
                      <c:pt idx="29">
                        <c:v>2</c:v>
                      </c:pt>
                      <c:pt idx="30">
                        <c:v>2</c:v>
                      </c:pt>
                      <c:pt idx="31">
                        <c:v>2</c:v>
                      </c:pt>
                      <c:pt idx="32">
                        <c:v>2</c:v>
                      </c:pt>
                      <c:pt idx="33">
                        <c:v>2</c:v>
                      </c:pt>
                      <c:pt idx="34">
                        <c:v>2</c:v>
                      </c:pt>
                      <c:pt idx="35">
                        <c:v>2</c:v>
                      </c:pt>
                      <c:pt idx="36">
                        <c:v>3</c:v>
                      </c:pt>
                      <c:pt idx="37">
                        <c:v>4</c:v>
                      </c:pt>
                      <c:pt idx="38">
                        <c:v>3</c:v>
                      </c:pt>
                      <c:pt idx="39">
                        <c:v>1</c:v>
                      </c:pt>
                      <c:pt idx="40">
                        <c:v>1</c:v>
                      </c:pt>
                      <c:pt idx="41">
                        <c:v>3</c:v>
                      </c:pt>
                      <c:pt idx="42">
                        <c:v>3</c:v>
                      </c:pt>
                      <c:pt idx="43">
                        <c:v>1</c:v>
                      </c:pt>
                      <c:pt idx="44">
                        <c:v>1</c:v>
                      </c:pt>
                      <c:pt idx="45">
                        <c:v>1</c:v>
                      </c:pt>
                      <c:pt idx="46">
                        <c:v>2</c:v>
                      </c:pt>
                      <c:pt idx="47">
                        <c:v>3</c:v>
                      </c:pt>
                      <c:pt idx="48">
                        <c:v>3</c:v>
                      </c:pt>
                      <c:pt idx="49">
                        <c:v>2</c:v>
                      </c:pt>
                      <c:pt idx="50">
                        <c:v>1</c:v>
                      </c:pt>
                      <c:pt idx="51">
                        <c:v>1</c:v>
                      </c:pt>
                      <c:pt idx="52">
                        <c:v>0</c:v>
                      </c:pt>
                      <c:pt idx="53">
                        <c:v>0</c:v>
                      </c:pt>
                      <c:pt idx="54">
                        <c:v>0</c:v>
                      </c:pt>
                      <c:pt idx="55">
                        <c:v>0</c:v>
                      </c:pt>
                      <c:pt idx="56">
                        <c:v>0</c:v>
                      </c:pt>
                      <c:pt idx="57">
                        <c:v>1</c:v>
                      </c:pt>
                      <c:pt idx="58">
                        <c:v>0</c:v>
                      </c:pt>
                      <c:pt idx="59">
                        <c:v>0</c:v>
                      </c:pt>
                      <c:pt idx="60">
                        <c:v>0</c:v>
                      </c:pt>
                      <c:pt idx="61">
                        <c:v>1</c:v>
                      </c:pt>
                      <c:pt idx="62">
                        <c:v>1</c:v>
                      </c:pt>
                      <c:pt idx="63">
                        <c:v>2</c:v>
                      </c:pt>
                      <c:pt idx="64">
                        <c:v>1</c:v>
                      </c:pt>
                      <c:pt idx="65">
                        <c:v>4</c:v>
                      </c:pt>
                      <c:pt idx="66">
                        <c:v>3</c:v>
                      </c:pt>
                      <c:pt idx="67">
                        <c:v>4</c:v>
                      </c:pt>
                      <c:pt idx="68">
                        <c:v>5</c:v>
                      </c:pt>
                      <c:pt idx="69">
                        <c:v>3</c:v>
                      </c:pt>
                      <c:pt idx="70">
                        <c:v>7</c:v>
                      </c:pt>
                      <c:pt idx="71">
                        <c:v>8</c:v>
                      </c:pt>
                      <c:pt idx="72">
                        <c:v>9</c:v>
                      </c:pt>
                      <c:pt idx="73">
                        <c:v>9</c:v>
                      </c:pt>
                      <c:pt idx="74">
                        <c:v>9</c:v>
                      </c:pt>
                      <c:pt idx="75">
                        <c:v>10</c:v>
                      </c:pt>
                      <c:pt idx="76">
                        <c:v>11</c:v>
                      </c:pt>
                      <c:pt idx="77">
                        <c:v>9</c:v>
                      </c:pt>
                      <c:pt idx="78">
                        <c:v>8</c:v>
                      </c:pt>
                      <c:pt idx="79">
                        <c:v>8</c:v>
                      </c:pt>
                      <c:pt idx="80">
                        <c:v>9</c:v>
                      </c:pt>
                      <c:pt idx="81">
                        <c:v>7</c:v>
                      </c:pt>
                      <c:pt idx="82">
                        <c:v>2</c:v>
                      </c:pt>
                      <c:pt idx="83">
                        <c:v>1</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5-5F61-41E1-B7F7-F5C086851244}"/>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Tabelle5!$B$24</c15:sqref>
                        </c15:formulaRef>
                      </c:ext>
                    </c:extLst>
                    <c:strCache>
                      <c:ptCount val="1"/>
                      <c:pt idx="0">
                        <c:v>ANTIHYPERTENSIVA</c:v>
                      </c:pt>
                    </c:strCache>
                  </c:strRef>
                </c:tx>
                <c:spPr>
                  <a:ln w="28575" cap="rnd">
                    <a:solidFill>
                      <a:schemeClr val="accent5">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Tabelle5!$C$24:$CR$24</c15:sqref>
                        </c15:formulaRef>
                      </c:ext>
                    </c:extLst>
                    <c:numCache>
                      <c:formatCode>General</c:formatCode>
                      <c:ptCount val="94"/>
                      <c:pt idx="0">
                        <c:v>0</c:v>
                      </c:pt>
                      <c:pt idx="1">
                        <c:v>0</c:v>
                      </c:pt>
                      <c:pt idx="2">
                        <c:v>0</c:v>
                      </c:pt>
                      <c:pt idx="3">
                        <c:v>0</c:v>
                      </c:pt>
                      <c:pt idx="4">
                        <c:v>0</c:v>
                      </c:pt>
                      <c:pt idx="5">
                        <c:v>1</c:v>
                      </c:pt>
                      <c:pt idx="6">
                        <c:v>1</c:v>
                      </c:pt>
                      <c:pt idx="7">
                        <c:v>1</c:v>
                      </c:pt>
                      <c:pt idx="8">
                        <c:v>0</c:v>
                      </c:pt>
                      <c:pt idx="9">
                        <c:v>0</c:v>
                      </c:pt>
                      <c:pt idx="10">
                        <c:v>0</c:v>
                      </c:pt>
                      <c:pt idx="11">
                        <c:v>0</c:v>
                      </c:pt>
                      <c:pt idx="12">
                        <c:v>1</c:v>
                      </c:pt>
                      <c:pt idx="13">
                        <c:v>1</c:v>
                      </c:pt>
                      <c:pt idx="14">
                        <c:v>1</c:v>
                      </c:pt>
                      <c:pt idx="15">
                        <c:v>2</c:v>
                      </c:pt>
                      <c:pt idx="16">
                        <c:v>3</c:v>
                      </c:pt>
                      <c:pt idx="17">
                        <c:v>2</c:v>
                      </c:pt>
                      <c:pt idx="18">
                        <c:v>2</c:v>
                      </c:pt>
                      <c:pt idx="19">
                        <c:v>1</c:v>
                      </c:pt>
                      <c:pt idx="20">
                        <c:v>1</c:v>
                      </c:pt>
                      <c:pt idx="21">
                        <c:v>0</c:v>
                      </c:pt>
                      <c:pt idx="22">
                        <c:v>0</c:v>
                      </c:pt>
                      <c:pt idx="23">
                        <c:v>0</c:v>
                      </c:pt>
                      <c:pt idx="24">
                        <c:v>0</c:v>
                      </c:pt>
                      <c:pt idx="25">
                        <c:v>1</c:v>
                      </c:pt>
                      <c:pt idx="26">
                        <c:v>1</c:v>
                      </c:pt>
                      <c:pt idx="27">
                        <c:v>0</c:v>
                      </c:pt>
                      <c:pt idx="28">
                        <c:v>0</c:v>
                      </c:pt>
                      <c:pt idx="29">
                        <c:v>0</c:v>
                      </c:pt>
                      <c:pt idx="30">
                        <c:v>1</c:v>
                      </c:pt>
                      <c:pt idx="31">
                        <c:v>1</c:v>
                      </c:pt>
                      <c:pt idx="32">
                        <c:v>1</c:v>
                      </c:pt>
                      <c:pt idx="33">
                        <c:v>1</c:v>
                      </c:pt>
                      <c:pt idx="34">
                        <c:v>3</c:v>
                      </c:pt>
                      <c:pt idx="35">
                        <c:v>3</c:v>
                      </c:pt>
                      <c:pt idx="36">
                        <c:v>2</c:v>
                      </c:pt>
                      <c:pt idx="37">
                        <c:v>3</c:v>
                      </c:pt>
                      <c:pt idx="38">
                        <c:v>3</c:v>
                      </c:pt>
                      <c:pt idx="39">
                        <c:v>2</c:v>
                      </c:pt>
                      <c:pt idx="40">
                        <c:v>2</c:v>
                      </c:pt>
                      <c:pt idx="41">
                        <c:v>2</c:v>
                      </c:pt>
                      <c:pt idx="42">
                        <c:v>2</c:v>
                      </c:pt>
                      <c:pt idx="43">
                        <c:v>1</c:v>
                      </c:pt>
                      <c:pt idx="44">
                        <c:v>1</c:v>
                      </c:pt>
                      <c:pt idx="45">
                        <c:v>1</c:v>
                      </c:pt>
                      <c:pt idx="46">
                        <c:v>0</c:v>
                      </c:pt>
                      <c:pt idx="47">
                        <c:v>2</c:v>
                      </c:pt>
                      <c:pt idx="48">
                        <c:v>2</c:v>
                      </c:pt>
                      <c:pt idx="49">
                        <c:v>2</c:v>
                      </c:pt>
                      <c:pt idx="50">
                        <c:v>1</c:v>
                      </c:pt>
                      <c:pt idx="51">
                        <c:v>1</c:v>
                      </c:pt>
                      <c:pt idx="52">
                        <c:v>2</c:v>
                      </c:pt>
                      <c:pt idx="53">
                        <c:v>3</c:v>
                      </c:pt>
                      <c:pt idx="54">
                        <c:v>4</c:v>
                      </c:pt>
                      <c:pt idx="55">
                        <c:v>8</c:v>
                      </c:pt>
                      <c:pt idx="56">
                        <c:v>8</c:v>
                      </c:pt>
                      <c:pt idx="57">
                        <c:v>9</c:v>
                      </c:pt>
                      <c:pt idx="58">
                        <c:v>9</c:v>
                      </c:pt>
                      <c:pt idx="59">
                        <c:v>11</c:v>
                      </c:pt>
                      <c:pt idx="60">
                        <c:v>11</c:v>
                      </c:pt>
                      <c:pt idx="61">
                        <c:v>8</c:v>
                      </c:pt>
                      <c:pt idx="62">
                        <c:v>8</c:v>
                      </c:pt>
                      <c:pt idx="63">
                        <c:v>6</c:v>
                      </c:pt>
                      <c:pt idx="64">
                        <c:v>6</c:v>
                      </c:pt>
                      <c:pt idx="65">
                        <c:v>3</c:v>
                      </c:pt>
                      <c:pt idx="66">
                        <c:v>2</c:v>
                      </c:pt>
                      <c:pt idx="67">
                        <c:v>2</c:v>
                      </c:pt>
                      <c:pt idx="68">
                        <c:v>2</c:v>
                      </c:pt>
                      <c:pt idx="69">
                        <c:v>4</c:v>
                      </c:pt>
                      <c:pt idx="70">
                        <c:v>7</c:v>
                      </c:pt>
                      <c:pt idx="71">
                        <c:v>7</c:v>
                      </c:pt>
                      <c:pt idx="72">
                        <c:v>7</c:v>
                      </c:pt>
                      <c:pt idx="73">
                        <c:v>7</c:v>
                      </c:pt>
                      <c:pt idx="74">
                        <c:v>7</c:v>
                      </c:pt>
                      <c:pt idx="75">
                        <c:v>7</c:v>
                      </c:pt>
                      <c:pt idx="76">
                        <c:v>8</c:v>
                      </c:pt>
                      <c:pt idx="77">
                        <c:v>6</c:v>
                      </c:pt>
                      <c:pt idx="78">
                        <c:v>5</c:v>
                      </c:pt>
                      <c:pt idx="79">
                        <c:v>6</c:v>
                      </c:pt>
                      <c:pt idx="80">
                        <c:v>5</c:v>
                      </c:pt>
                      <c:pt idx="81">
                        <c:v>4</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6-5F61-41E1-B7F7-F5C086851244}"/>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Tabelle5!$B$25</c15:sqref>
                        </c15:formulaRef>
                      </c:ext>
                    </c:extLst>
                    <c:strCache>
                      <c:ptCount val="1"/>
                      <c:pt idx="0">
                        <c:v>DIURETIKA</c:v>
                      </c:pt>
                    </c:strCache>
                  </c:strRef>
                </c:tx>
                <c:spPr>
                  <a:ln w="28575" cap="rnd">
                    <a:solidFill>
                      <a:schemeClr val="accent6">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Tabelle5!$C$25:$CR$25</c15:sqref>
                        </c15:formulaRef>
                      </c:ext>
                    </c:extLst>
                    <c:numCache>
                      <c:formatCode>General</c:formatCode>
                      <c:ptCount val="94"/>
                      <c:pt idx="0">
                        <c:v>0</c:v>
                      </c:pt>
                      <c:pt idx="1">
                        <c:v>0</c:v>
                      </c:pt>
                      <c:pt idx="2">
                        <c:v>0</c:v>
                      </c:pt>
                      <c:pt idx="3">
                        <c:v>0</c:v>
                      </c:pt>
                      <c:pt idx="4">
                        <c:v>1</c:v>
                      </c:pt>
                      <c:pt idx="5">
                        <c:v>0</c:v>
                      </c:pt>
                      <c:pt idx="6">
                        <c:v>1</c:v>
                      </c:pt>
                      <c:pt idx="7">
                        <c:v>1</c:v>
                      </c:pt>
                      <c:pt idx="8">
                        <c:v>1</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2</c:v>
                      </c:pt>
                      <c:pt idx="26">
                        <c:v>1</c:v>
                      </c:pt>
                      <c:pt idx="27">
                        <c:v>3</c:v>
                      </c:pt>
                      <c:pt idx="28">
                        <c:v>3</c:v>
                      </c:pt>
                      <c:pt idx="29">
                        <c:v>3</c:v>
                      </c:pt>
                      <c:pt idx="30">
                        <c:v>1</c:v>
                      </c:pt>
                      <c:pt idx="31">
                        <c:v>1</c:v>
                      </c:pt>
                      <c:pt idx="32">
                        <c:v>1</c:v>
                      </c:pt>
                      <c:pt idx="33">
                        <c:v>1</c:v>
                      </c:pt>
                      <c:pt idx="34">
                        <c:v>1</c:v>
                      </c:pt>
                      <c:pt idx="35">
                        <c:v>1</c:v>
                      </c:pt>
                      <c:pt idx="36">
                        <c:v>3</c:v>
                      </c:pt>
                      <c:pt idx="37">
                        <c:v>3</c:v>
                      </c:pt>
                      <c:pt idx="38">
                        <c:v>2</c:v>
                      </c:pt>
                      <c:pt idx="39">
                        <c:v>1</c:v>
                      </c:pt>
                      <c:pt idx="40">
                        <c:v>1</c:v>
                      </c:pt>
                      <c:pt idx="41">
                        <c:v>1</c:v>
                      </c:pt>
                      <c:pt idx="42">
                        <c:v>1</c:v>
                      </c:pt>
                      <c:pt idx="43">
                        <c:v>1</c:v>
                      </c:pt>
                      <c:pt idx="44">
                        <c:v>1</c:v>
                      </c:pt>
                      <c:pt idx="45">
                        <c:v>1</c:v>
                      </c:pt>
                      <c:pt idx="46">
                        <c:v>1</c:v>
                      </c:pt>
                      <c:pt idx="47">
                        <c:v>0</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2</c:v>
                      </c:pt>
                      <c:pt idx="67">
                        <c:v>2</c:v>
                      </c:pt>
                      <c:pt idx="68">
                        <c:v>1</c:v>
                      </c:pt>
                      <c:pt idx="69">
                        <c:v>2</c:v>
                      </c:pt>
                      <c:pt idx="70">
                        <c:v>2</c:v>
                      </c:pt>
                      <c:pt idx="71">
                        <c:v>2</c:v>
                      </c:pt>
                      <c:pt idx="72">
                        <c:v>10</c:v>
                      </c:pt>
                      <c:pt idx="73">
                        <c:v>10</c:v>
                      </c:pt>
                      <c:pt idx="74">
                        <c:v>12</c:v>
                      </c:pt>
                      <c:pt idx="75">
                        <c:v>9</c:v>
                      </c:pt>
                      <c:pt idx="76">
                        <c:v>9</c:v>
                      </c:pt>
                      <c:pt idx="77">
                        <c:v>7</c:v>
                      </c:pt>
                      <c:pt idx="78">
                        <c:v>2</c:v>
                      </c:pt>
                      <c:pt idx="79">
                        <c:v>2</c:v>
                      </c:pt>
                      <c:pt idx="80">
                        <c:v>1</c:v>
                      </c:pt>
                      <c:pt idx="81">
                        <c:v>1</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7-5F61-41E1-B7F7-F5C086851244}"/>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Tabelle5!$B$26</c15:sqref>
                        </c15:formulaRef>
                      </c:ext>
                    </c:extLst>
                    <c:strCache>
                      <c:ptCount val="1"/>
                      <c:pt idx="0">
                        <c:v>PERIPHERE VASODILATATOREN</c:v>
                      </c:pt>
                    </c:strCache>
                  </c:strRef>
                </c:tx>
                <c:spPr>
                  <a:ln w="28575" cap="rnd">
                    <a:solidFill>
                      <a:schemeClr val="accent1">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Tabelle5!$C$26:$CR$26</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8-5F61-41E1-B7F7-F5C086851244}"/>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Tabelle5!$B$27</c15:sqref>
                        </c15:formulaRef>
                      </c:ext>
                    </c:extLst>
                    <c:strCache>
                      <c:ptCount val="1"/>
                      <c:pt idx="0">
                        <c:v>VASOPROTEKTOREN</c:v>
                      </c:pt>
                    </c:strCache>
                  </c:strRef>
                </c:tx>
                <c:spPr>
                  <a:ln w="28575" cap="rnd">
                    <a:solidFill>
                      <a:schemeClr val="accent2">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Tabelle5!$C$27:$CR$27</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1</c:v>
                      </c:pt>
                      <c:pt idx="45">
                        <c:v>1</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1</c:v>
                      </c:pt>
                      <c:pt idx="67">
                        <c:v>0</c:v>
                      </c:pt>
                      <c:pt idx="68">
                        <c:v>0</c:v>
                      </c:pt>
                      <c:pt idx="69">
                        <c:v>0</c:v>
                      </c:pt>
                      <c:pt idx="70">
                        <c:v>0</c:v>
                      </c:pt>
                      <c:pt idx="71">
                        <c:v>0</c:v>
                      </c:pt>
                      <c:pt idx="72">
                        <c:v>0</c:v>
                      </c:pt>
                      <c:pt idx="73">
                        <c:v>0</c:v>
                      </c:pt>
                      <c:pt idx="74">
                        <c:v>0</c:v>
                      </c:pt>
                      <c:pt idx="75">
                        <c:v>0</c:v>
                      </c:pt>
                      <c:pt idx="76">
                        <c:v>0</c:v>
                      </c:pt>
                      <c:pt idx="77">
                        <c:v>1</c:v>
                      </c:pt>
                      <c:pt idx="78">
                        <c:v>1</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9-5F61-41E1-B7F7-F5C086851244}"/>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Tabelle5!$B$28</c15:sqref>
                        </c15:formulaRef>
                      </c:ext>
                    </c:extLst>
                    <c:strCache>
                      <c:ptCount val="1"/>
                      <c:pt idx="0">
                        <c:v>ANDERE HERZ- UND KREISLAUFMITTEL</c:v>
                      </c:pt>
                    </c:strCache>
                  </c:strRef>
                </c:tx>
                <c:spPr>
                  <a:ln w="28575" cap="rnd">
                    <a:solidFill>
                      <a:schemeClr val="accent3">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Tabelle5!$C$28:$CR$28</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A-5F61-41E1-B7F7-F5C086851244}"/>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Tabelle5!$B$29</c15:sqref>
                        </c15:formulaRef>
                      </c:ext>
                    </c:extLst>
                    <c:strCache>
                      <c:ptCount val="1"/>
                      <c:pt idx="0">
                        <c:v>BETA-ADRENOZEPTORANTAGONISTEN</c:v>
                      </c:pt>
                    </c:strCache>
                  </c:strRef>
                </c:tx>
                <c:spPr>
                  <a:ln w="28575" cap="rnd">
                    <a:solidFill>
                      <a:schemeClr val="accent4">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Tabelle5!$C$29:$CR$29</c15:sqref>
                        </c15:formulaRef>
                      </c:ext>
                    </c:extLst>
                    <c:numCache>
                      <c:formatCode>General</c:formatCode>
                      <c:ptCount val="94"/>
                      <c:pt idx="0">
                        <c:v>1</c:v>
                      </c:pt>
                      <c:pt idx="1">
                        <c:v>1</c:v>
                      </c:pt>
                      <c:pt idx="2">
                        <c:v>1</c:v>
                      </c:pt>
                      <c:pt idx="3">
                        <c:v>1</c:v>
                      </c:pt>
                      <c:pt idx="4">
                        <c:v>1</c:v>
                      </c:pt>
                      <c:pt idx="5">
                        <c:v>1</c:v>
                      </c:pt>
                      <c:pt idx="6">
                        <c:v>1</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4</c:v>
                      </c:pt>
                      <c:pt idx="37">
                        <c:v>4</c:v>
                      </c:pt>
                      <c:pt idx="38">
                        <c:v>5</c:v>
                      </c:pt>
                      <c:pt idx="39">
                        <c:v>6</c:v>
                      </c:pt>
                      <c:pt idx="40">
                        <c:v>6</c:v>
                      </c:pt>
                      <c:pt idx="41">
                        <c:v>5</c:v>
                      </c:pt>
                      <c:pt idx="42">
                        <c:v>6</c:v>
                      </c:pt>
                      <c:pt idx="43">
                        <c:v>7</c:v>
                      </c:pt>
                      <c:pt idx="44">
                        <c:v>12</c:v>
                      </c:pt>
                      <c:pt idx="45">
                        <c:v>11</c:v>
                      </c:pt>
                      <c:pt idx="46">
                        <c:v>11</c:v>
                      </c:pt>
                      <c:pt idx="47">
                        <c:v>11</c:v>
                      </c:pt>
                      <c:pt idx="48">
                        <c:v>9</c:v>
                      </c:pt>
                      <c:pt idx="49">
                        <c:v>6</c:v>
                      </c:pt>
                      <c:pt idx="50">
                        <c:v>6</c:v>
                      </c:pt>
                      <c:pt idx="51">
                        <c:v>5</c:v>
                      </c:pt>
                      <c:pt idx="52">
                        <c:v>3</c:v>
                      </c:pt>
                      <c:pt idx="53">
                        <c:v>3</c:v>
                      </c:pt>
                      <c:pt idx="54">
                        <c:v>2</c:v>
                      </c:pt>
                      <c:pt idx="55">
                        <c:v>2</c:v>
                      </c:pt>
                      <c:pt idx="56">
                        <c:v>1</c:v>
                      </c:pt>
                      <c:pt idx="57">
                        <c:v>3</c:v>
                      </c:pt>
                      <c:pt idx="58">
                        <c:v>6</c:v>
                      </c:pt>
                      <c:pt idx="59">
                        <c:v>7</c:v>
                      </c:pt>
                      <c:pt idx="60">
                        <c:v>7</c:v>
                      </c:pt>
                      <c:pt idx="61">
                        <c:v>6</c:v>
                      </c:pt>
                      <c:pt idx="62">
                        <c:v>6</c:v>
                      </c:pt>
                      <c:pt idx="63">
                        <c:v>4</c:v>
                      </c:pt>
                      <c:pt idx="64">
                        <c:v>3</c:v>
                      </c:pt>
                      <c:pt idx="65">
                        <c:v>2</c:v>
                      </c:pt>
                      <c:pt idx="66">
                        <c:v>0</c:v>
                      </c:pt>
                      <c:pt idx="67">
                        <c:v>0</c:v>
                      </c:pt>
                      <c:pt idx="68">
                        <c:v>0</c:v>
                      </c:pt>
                      <c:pt idx="69">
                        <c:v>0</c:v>
                      </c:pt>
                      <c:pt idx="70">
                        <c:v>18</c:v>
                      </c:pt>
                      <c:pt idx="71">
                        <c:v>16</c:v>
                      </c:pt>
                      <c:pt idx="72">
                        <c:v>10</c:v>
                      </c:pt>
                      <c:pt idx="73">
                        <c:v>9</c:v>
                      </c:pt>
                      <c:pt idx="74">
                        <c:v>9</c:v>
                      </c:pt>
                      <c:pt idx="75">
                        <c:v>6</c:v>
                      </c:pt>
                      <c:pt idx="76">
                        <c:v>2</c:v>
                      </c:pt>
                      <c:pt idx="77">
                        <c:v>3</c:v>
                      </c:pt>
                      <c:pt idx="78">
                        <c:v>2</c:v>
                      </c:pt>
                      <c:pt idx="79">
                        <c:v>3</c:v>
                      </c:pt>
                      <c:pt idx="80">
                        <c:v>2</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B-5F61-41E1-B7F7-F5C086851244}"/>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Tabelle5!$B$30</c15:sqref>
                        </c15:formulaRef>
                      </c:ext>
                    </c:extLst>
                    <c:strCache>
                      <c:ptCount val="1"/>
                      <c:pt idx="0">
                        <c:v>CALCIUMKANALBLOCKER</c:v>
                      </c:pt>
                    </c:strCache>
                  </c:strRef>
                </c:tx>
                <c:spPr>
                  <a:ln w="28575" cap="rnd">
                    <a:solidFill>
                      <a:schemeClr val="accent5">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Tabelle5!$C$30:$CR$30</c15:sqref>
                        </c15:formulaRef>
                      </c:ext>
                    </c:extLst>
                    <c:numCache>
                      <c:formatCode>General</c:formatCode>
                      <c:ptCount val="94"/>
                      <c:pt idx="0">
                        <c:v>0</c:v>
                      </c:pt>
                      <c:pt idx="1">
                        <c:v>2</c:v>
                      </c:pt>
                      <c:pt idx="2">
                        <c:v>2</c:v>
                      </c:pt>
                      <c:pt idx="3">
                        <c:v>2</c:v>
                      </c:pt>
                      <c:pt idx="4">
                        <c:v>2</c:v>
                      </c:pt>
                      <c:pt idx="5">
                        <c:v>2</c:v>
                      </c:pt>
                      <c:pt idx="6">
                        <c:v>2</c:v>
                      </c:pt>
                      <c:pt idx="7">
                        <c:v>2</c:v>
                      </c:pt>
                      <c:pt idx="8">
                        <c:v>2</c:v>
                      </c:pt>
                      <c:pt idx="9">
                        <c:v>0</c:v>
                      </c:pt>
                      <c:pt idx="10">
                        <c:v>0</c:v>
                      </c:pt>
                      <c:pt idx="11">
                        <c:v>0</c:v>
                      </c:pt>
                      <c:pt idx="12">
                        <c:v>0</c:v>
                      </c:pt>
                      <c:pt idx="13">
                        <c:v>0</c:v>
                      </c:pt>
                      <c:pt idx="14">
                        <c:v>1</c:v>
                      </c:pt>
                      <c:pt idx="15">
                        <c:v>1</c:v>
                      </c:pt>
                      <c:pt idx="16">
                        <c:v>1</c:v>
                      </c:pt>
                      <c:pt idx="17">
                        <c:v>2</c:v>
                      </c:pt>
                      <c:pt idx="18">
                        <c:v>2</c:v>
                      </c:pt>
                      <c:pt idx="19">
                        <c:v>2</c:v>
                      </c:pt>
                      <c:pt idx="20">
                        <c:v>2</c:v>
                      </c:pt>
                      <c:pt idx="21">
                        <c:v>2</c:v>
                      </c:pt>
                      <c:pt idx="22">
                        <c:v>2</c:v>
                      </c:pt>
                      <c:pt idx="23">
                        <c:v>2</c:v>
                      </c:pt>
                      <c:pt idx="24">
                        <c:v>2</c:v>
                      </c:pt>
                      <c:pt idx="25">
                        <c:v>2</c:v>
                      </c:pt>
                      <c:pt idx="26">
                        <c:v>3</c:v>
                      </c:pt>
                      <c:pt idx="27">
                        <c:v>4</c:v>
                      </c:pt>
                      <c:pt idx="28">
                        <c:v>4</c:v>
                      </c:pt>
                      <c:pt idx="29">
                        <c:v>4</c:v>
                      </c:pt>
                      <c:pt idx="30">
                        <c:v>4</c:v>
                      </c:pt>
                      <c:pt idx="31">
                        <c:v>2</c:v>
                      </c:pt>
                      <c:pt idx="32">
                        <c:v>2</c:v>
                      </c:pt>
                      <c:pt idx="33">
                        <c:v>2</c:v>
                      </c:pt>
                      <c:pt idx="34">
                        <c:v>2</c:v>
                      </c:pt>
                      <c:pt idx="35">
                        <c:v>3</c:v>
                      </c:pt>
                      <c:pt idx="36">
                        <c:v>5</c:v>
                      </c:pt>
                      <c:pt idx="37">
                        <c:v>4</c:v>
                      </c:pt>
                      <c:pt idx="38">
                        <c:v>5</c:v>
                      </c:pt>
                      <c:pt idx="39">
                        <c:v>4</c:v>
                      </c:pt>
                      <c:pt idx="40">
                        <c:v>4</c:v>
                      </c:pt>
                      <c:pt idx="41">
                        <c:v>4</c:v>
                      </c:pt>
                      <c:pt idx="42">
                        <c:v>4</c:v>
                      </c:pt>
                      <c:pt idx="43">
                        <c:v>5</c:v>
                      </c:pt>
                      <c:pt idx="44">
                        <c:v>5</c:v>
                      </c:pt>
                      <c:pt idx="45">
                        <c:v>6</c:v>
                      </c:pt>
                      <c:pt idx="46">
                        <c:v>5</c:v>
                      </c:pt>
                      <c:pt idx="47">
                        <c:v>5</c:v>
                      </c:pt>
                      <c:pt idx="48">
                        <c:v>6</c:v>
                      </c:pt>
                      <c:pt idx="49">
                        <c:v>4</c:v>
                      </c:pt>
                      <c:pt idx="50">
                        <c:v>4</c:v>
                      </c:pt>
                      <c:pt idx="51">
                        <c:v>3</c:v>
                      </c:pt>
                      <c:pt idx="52">
                        <c:v>2</c:v>
                      </c:pt>
                      <c:pt idx="53">
                        <c:v>2</c:v>
                      </c:pt>
                      <c:pt idx="54">
                        <c:v>2</c:v>
                      </c:pt>
                      <c:pt idx="55">
                        <c:v>2</c:v>
                      </c:pt>
                      <c:pt idx="56">
                        <c:v>2</c:v>
                      </c:pt>
                      <c:pt idx="57">
                        <c:v>2</c:v>
                      </c:pt>
                      <c:pt idx="58">
                        <c:v>0</c:v>
                      </c:pt>
                      <c:pt idx="59">
                        <c:v>0</c:v>
                      </c:pt>
                      <c:pt idx="60">
                        <c:v>0</c:v>
                      </c:pt>
                      <c:pt idx="61">
                        <c:v>0</c:v>
                      </c:pt>
                      <c:pt idx="62">
                        <c:v>1</c:v>
                      </c:pt>
                      <c:pt idx="63">
                        <c:v>1</c:v>
                      </c:pt>
                      <c:pt idx="64">
                        <c:v>2</c:v>
                      </c:pt>
                      <c:pt idx="65">
                        <c:v>2</c:v>
                      </c:pt>
                      <c:pt idx="66">
                        <c:v>5</c:v>
                      </c:pt>
                      <c:pt idx="67">
                        <c:v>6</c:v>
                      </c:pt>
                      <c:pt idx="68">
                        <c:v>4</c:v>
                      </c:pt>
                      <c:pt idx="69">
                        <c:v>6</c:v>
                      </c:pt>
                      <c:pt idx="70">
                        <c:v>8</c:v>
                      </c:pt>
                      <c:pt idx="71">
                        <c:v>6</c:v>
                      </c:pt>
                      <c:pt idx="72">
                        <c:v>5</c:v>
                      </c:pt>
                      <c:pt idx="73">
                        <c:v>4</c:v>
                      </c:pt>
                      <c:pt idx="74">
                        <c:v>3</c:v>
                      </c:pt>
                      <c:pt idx="75">
                        <c:v>4</c:v>
                      </c:pt>
                      <c:pt idx="76">
                        <c:v>6</c:v>
                      </c:pt>
                      <c:pt idx="77">
                        <c:v>7</c:v>
                      </c:pt>
                      <c:pt idx="78">
                        <c:v>5</c:v>
                      </c:pt>
                      <c:pt idx="79">
                        <c:v>5</c:v>
                      </c:pt>
                      <c:pt idx="80">
                        <c:v>7</c:v>
                      </c:pt>
                      <c:pt idx="81">
                        <c:v>7</c:v>
                      </c:pt>
                      <c:pt idx="82">
                        <c:v>2</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C-5F61-41E1-B7F7-F5C086851244}"/>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Tabelle5!$B$32</c15:sqref>
                        </c15:formulaRef>
                      </c:ext>
                    </c:extLst>
                    <c:strCache>
                      <c:ptCount val="1"/>
                      <c:pt idx="0">
                        <c:v>MITTEL, DIE DEN LIPIDSTOFFWECHSEL BEEINFLUSSEN</c:v>
                      </c:pt>
                    </c:strCache>
                  </c:strRef>
                </c:tx>
                <c:spPr>
                  <a:ln w="28575" cap="rnd">
                    <a:solidFill>
                      <a:schemeClr val="accent1">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Tabelle5!$C$32:$CR$32</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3</c:v>
                      </c:pt>
                      <c:pt idx="14">
                        <c:v>3</c:v>
                      </c:pt>
                      <c:pt idx="15">
                        <c:v>3</c:v>
                      </c:pt>
                      <c:pt idx="16">
                        <c:v>3</c:v>
                      </c:pt>
                      <c:pt idx="17">
                        <c:v>3</c:v>
                      </c:pt>
                      <c:pt idx="18">
                        <c:v>3</c:v>
                      </c:pt>
                      <c:pt idx="19">
                        <c:v>3</c:v>
                      </c:pt>
                      <c:pt idx="20">
                        <c:v>3</c:v>
                      </c:pt>
                      <c:pt idx="21">
                        <c:v>6</c:v>
                      </c:pt>
                      <c:pt idx="22">
                        <c:v>7</c:v>
                      </c:pt>
                      <c:pt idx="23">
                        <c:v>4</c:v>
                      </c:pt>
                      <c:pt idx="24">
                        <c:v>6</c:v>
                      </c:pt>
                      <c:pt idx="25">
                        <c:v>6</c:v>
                      </c:pt>
                      <c:pt idx="26">
                        <c:v>6</c:v>
                      </c:pt>
                      <c:pt idx="27">
                        <c:v>6</c:v>
                      </c:pt>
                      <c:pt idx="28">
                        <c:v>5</c:v>
                      </c:pt>
                      <c:pt idx="29">
                        <c:v>5</c:v>
                      </c:pt>
                      <c:pt idx="30">
                        <c:v>4</c:v>
                      </c:pt>
                      <c:pt idx="31">
                        <c:v>3</c:v>
                      </c:pt>
                      <c:pt idx="32">
                        <c:v>3</c:v>
                      </c:pt>
                      <c:pt idx="33">
                        <c:v>2</c:v>
                      </c:pt>
                      <c:pt idx="34">
                        <c:v>2</c:v>
                      </c:pt>
                      <c:pt idx="35">
                        <c:v>2</c:v>
                      </c:pt>
                      <c:pt idx="36">
                        <c:v>4</c:v>
                      </c:pt>
                      <c:pt idx="37">
                        <c:v>4</c:v>
                      </c:pt>
                      <c:pt idx="38">
                        <c:v>4</c:v>
                      </c:pt>
                      <c:pt idx="39">
                        <c:v>5</c:v>
                      </c:pt>
                      <c:pt idx="40">
                        <c:v>4</c:v>
                      </c:pt>
                      <c:pt idx="41">
                        <c:v>4</c:v>
                      </c:pt>
                      <c:pt idx="42">
                        <c:v>4</c:v>
                      </c:pt>
                      <c:pt idx="43">
                        <c:v>5</c:v>
                      </c:pt>
                      <c:pt idx="44">
                        <c:v>4</c:v>
                      </c:pt>
                      <c:pt idx="45">
                        <c:v>2</c:v>
                      </c:pt>
                      <c:pt idx="46">
                        <c:v>2</c:v>
                      </c:pt>
                      <c:pt idx="47">
                        <c:v>2</c:v>
                      </c:pt>
                      <c:pt idx="48">
                        <c:v>2</c:v>
                      </c:pt>
                      <c:pt idx="49">
                        <c:v>1</c:v>
                      </c:pt>
                      <c:pt idx="50">
                        <c:v>1</c:v>
                      </c:pt>
                      <c:pt idx="51">
                        <c:v>1</c:v>
                      </c:pt>
                      <c:pt idx="52">
                        <c:v>1</c:v>
                      </c:pt>
                      <c:pt idx="53">
                        <c:v>1</c:v>
                      </c:pt>
                      <c:pt idx="54">
                        <c:v>1</c:v>
                      </c:pt>
                      <c:pt idx="55">
                        <c:v>3</c:v>
                      </c:pt>
                      <c:pt idx="56">
                        <c:v>2</c:v>
                      </c:pt>
                      <c:pt idx="57">
                        <c:v>2</c:v>
                      </c:pt>
                      <c:pt idx="58">
                        <c:v>2</c:v>
                      </c:pt>
                      <c:pt idx="59">
                        <c:v>2</c:v>
                      </c:pt>
                      <c:pt idx="60">
                        <c:v>1</c:v>
                      </c:pt>
                      <c:pt idx="61">
                        <c:v>1</c:v>
                      </c:pt>
                      <c:pt idx="62">
                        <c:v>1</c:v>
                      </c:pt>
                      <c:pt idx="63">
                        <c:v>1</c:v>
                      </c:pt>
                      <c:pt idx="64">
                        <c:v>1</c:v>
                      </c:pt>
                      <c:pt idx="65">
                        <c:v>1</c:v>
                      </c:pt>
                      <c:pt idx="66">
                        <c:v>2</c:v>
                      </c:pt>
                      <c:pt idx="67">
                        <c:v>1</c:v>
                      </c:pt>
                      <c:pt idx="68">
                        <c:v>1</c:v>
                      </c:pt>
                      <c:pt idx="69">
                        <c:v>1</c:v>
                      </c:pt>
                      <c:pt idx="70">
                        <c:v>1</c:v>
                      </c:pt>
                      <c:pt idx="71">
                        <c:v>3</c:v>
                      </c:pt>
                      <c:pt idx="72">
                        <c:v>4</c:v>
                      </c:pt>
                      <c:pt idx="73">
                        <c:v>13</c:v>
                      </c:pt>
                      <c:pt idx="74">
                        <c:v>15</c:v>
                      </c:pt>
                      <c:pt idx="75">
                        <c:v>20</c:v>
                      </c:pt>
                      <c:pt idx="76">
                        <c:v>25</c:v>
                      </c:pt>
                      <c:pt idx="77">
                        <c:v>22</c:v>
                      </c:pt>
                      <c:pt idx="78">
                        <c:v>20</c:v>
                      </c:pt>
                      <c:pt idx="79">
                        <c:v>13</c:v>
                      </c:pt>
                      <c:pt idx="80">
                        <c:v>11</c:v>
                      </c:pt>
                      <c:pt idx="81">
                        <c:v>9</c:v>
                      </c:pt>
                      <c:pt idx="82">
                        <c:v>3</c:v>
                      </c:pt>
                      <c:pt idx="83">
                        <c:v>2</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E-5F61-41E1-B7F7-F5C086851244}"/>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Tabelle5!$B$33</c15:sqref>
                        </c15:formulaRef>
                      </c:ext>
                    </c:extLst>
                    <c:strCache>
                      <c:ptCount val="1"/>
                      <c:pt idx="0">
                        <c:v>ANTIMYKOTIKA ZUR DERMATOLOGISCHEN ANWENDUNG</c:v>
                      </c:pt>
                    </c:strCache>
                  </c:strRef>
                </c:tx>
                <c:spPr>
                  <a:ln w="28575" cap="rnd">
                    <a:solidFill>
                      <a:schemeClr val="accent2">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Tabelle5!$C$33:$CR$33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1</c:v>
                      </c:pt>
                      <c:pt idx="59">
                        <c:v>0</c:v>
                      </c:pt>
                      <c:pt idx="60">
                        <c:v>0</c:v>
                      </c:pt>
                      <c:pt idx="61">
                        <c:v>1</c:v>
                      </c:pt>
                      <c:pt idx="62">
                        <c:v>0</c:v>
                      </c:pt>
                      <c:pt idx="63">
                        <c:v>0</c:v>
                      </c:pt>
                      <c:pt idx="64">
                        <c:v>0</c:v>
                      </c:pt>
                      <c:pt idx="65">
                        <c:v>0</c:v>
                      </c:pt>
                      <c:pt idx="66">
                        <c:v>0</c:v>
                      </c:pt>
                      <c:pt idx="67">
                        <c:v>0</c:v>
                      </c:pt>
                      <c:pt idx="68">
                        <c:v>0</c:v>
                      </c:pt>
                      <c:pt idx="69">
                        <c:v>0</c:v>
                      </c:pt>
                      <c:pt idx="70">
                        <c:v>0</c:v>
                      </c:pt>
                      <c:pt idx="71">
                        <c:v>1</c:v>
                      </c:pt>
                      <c:pt idx="72">
                        <c:v>1</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1F-5F61-41E1-B7F7-F5C086851244}"/>
                  </c:ext>
                </c:extLst>
              </c15:ser>
            </c15:filteredLineSeries>
            <c15:filteredLineSeries>
              <c15:ser>
                <c:idx val="32"/>
                <c:order val="32"/>
                <c:tx>
                  <c:strRef>
                    <c:extLst xmlns:c15="http://schemas.microsoft.com/office/drawing/2012/chart">
                      <c:ext xmlns:c15="http://schemas.microsoft.com/office/drawing/2012/chart" uri="{02D57815-91ED-43cb-92C2-25804820EDAC}">
                        <c15:formulaRef>
                          <c15:sqref>Tabelle5!$B$34</c15:sqref>
                        </c15:formulaRef>
                      </c:ext>
                    </c:extLst>
                    <c:strCache>
                      <c:ptCount val="1"/>
                      <c:pt idx="0">
                        <c:v>EMOLLIENTIA UND HAUTSCHUTZMITTEL</c:v>
                      </c:pt>
                    </c:strCache>
                  </c:strRef>
                </c:tx>
                <c:spPr>
                  <a:ln w="28575" cap="rnd">
                    <a:solidFill>
                      <a:schemeClr val="accent3">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Tabelle5!$C$34:$CR$34</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0-5F61-41E1-B7F7-F5C086851244}"/>
                  </c:ext>
                </c:extLst>
              </c15:ser>
            </c15:filteredLineSeries>
            <c15:filteredLineSeries>
              <c15:ser>
                <c:idx val="33"/>
                <c:order val="33"/>
                <c:tx>
                  <c:strRef>
                    <c:extLst xmlns:c15="http://schemas.microsoft.com/office/drawing/2012/chart">
                      <c:ext xmlns:c15="http://schemas.microsoft.com/office/drawing/2012/chart" uri="{02D57815-91ED-43cb-92C2-25804820EDAC}">
                        <c15:formulaRef>
                          <c15:sqref>Tabelle5!$B$35</c15:sqref>
                        </c15:formulaRef>
                      </c:ext>
                    </c:extLst>
                    <c:strCache>
                      <c:ptCount val="1"/>
                      <c:pt idx="0">
                        <c:v>ZUBEREITUNGEN ZUR BEHANDLUNG VON WUNDEN UND GESCHWÜREN</c:v>
                      </c:pt>
                    </c:strCache>
                  </c:strRef>
                </c:tx>
                <c:spPr>
                  <a:ln w="28575" cap="rnd">
                    <a:solidFill>
                      <a:schemeClr val="accent4">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Tabelle5!$C$35:$CR$35</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1-5F61-41E1-B7F7-F5C086851244}"/>
                  </c:ext>
                </c:extLst>
              </c15:ser>
            </c15:filteredLineSeries>
            <c15:filteredLineSeries>
              <c15:ser>
                <c:idx val="34"/>
                <c:order val="34"/>
                <c:tx>
                  <c:strRef>
                    <c:extLst xmlns:c15="http://schemas.microsoft.com/office/drawing/2012/chart">
                      <c:ext xmlns:c15="http://schemas.microsoft.com/office/drawing/2012/chart" uri="{02D57815-91ED-43cb-92C2-25804820EDAC}">
                        <c15:formulaRef>
                          <c15:sqref>Tabelle5!$B$36</c15:sqref>
                        </c15:formulaRef>
                      </c:ext>
                    </c:extLst>
                    <c:strCache>
                      <c:ptCount val="1"/>
                      <c:pt idx="0">
                        <c:v>ANTIPRURIGINOSA, INKL. ANTIHISTAMINIKA, ANÄSTHETIKA ETC.</c:v>
                      </c:pt>
                    </c:strCache>
                  </c:strRef>
                </c:tx>
                <c:spPr>
                  <a:ln w="28575" cap="rnd">
                    <a:solidFill>
                      <a:schemeClr val="accent5">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Tabelle5!$C$36:$CR$36</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2-5F61-41E1-B7F7-F5C086851244}"/>
                  </c:ext>
                </c:extLst>
              </c15:ser>
            </c15:filteredLineSeries>
            <c15:filteredLineSeries>
              <c15:ser>
                <c:idx val="35"/>
                <c:order val="35"/>
                <c:tx>
                  <c:strRef>
                    <c:extLst xmlns:c15="http://schemas.microsoft.com/office/drawing/2012/chart">
                      <c:ext xmlns:c15="http://schemas.microsoft.com/office/drawing/2012/chart" uri="{02D57815-91ED-43cb-92C2-25804820EDAC}">
                        <c15:formulaRef>
                          <c15:sqref>Tabelle5!$B$37</c15:sqref>
                        </c15:formulaRef>
                      </c:ext>
                    </c:extLst>
                    <c:strCache>
                      <c:ptCount val="1"/>
                      <c:pt idx="0">
                        <c:v>ANTIPSORIATIKA</c:v>
                      </c:pt>
                    </c:strCache>
                  </c:strRef>
                </c:tx>
                <c:spPr>
                  <a:ln w="28575" cap="rnd">
                    <a:solidFill>
                      <a:schemeClr val="accent6">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Tabelle5!$C$37:$CR$37</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1</c:v>
                      </c:pt>
                      <c:pt idx="28">
                        <c:v>1</c:v>
                      </c:pt>
                      <c:pt idx="29">
                        <c:v>1</c:v>
                      </c:pt>
                      <c:pt idx="30">
                        <c:v>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1</c:v>
                      </c:pt>
                      <c:pt idx="51">
                        <c:v>1</c:v>
                      </c:pt>
                      <c:pt idx="52">
                        <c:v>1</c:v>
                      </c:pt>
                      <c:pt idx="53">
                        <c:v>1</c:v>
                      </c:pt>
                      <c:pt idx="54">
                        <c:v>1</c:v>
                      </c:pt>
                      <c:pt idx="55">
                        <c:v>1</c:v>
                      </c:pt>
                      <c:pt idx="56">
                        <c:v>1</c:v>
                      </c:pt>
                      <c:pt idx="57">
                        <c:v>0</c:v>
                      </c:pt>
                      <c:pt idx="58">
                        <c:v>0</c:v>
                      </c:pt>
                      <c:pt idx="59">
                        <c:v>0</c:v>
                      </c:pt>
                      <c:pt idx="60">
                        <c:v>1</c:v>
                      </c:pt>
                      <c:pt idx="61">
                        <c:v>1</c:v>
                      </c:pt>
                      <c:pt idx="62">
                        <c:v>0</c:v>
                      </c:pt>
                      <c:pt idx="63">
                        <c:v>0</c:v>
                      </c:pt>
                      <c:pt idx="64">
                        <c:v>0</c:v>
                      </c:pt>
                      <c:pt idx="65">
                        <c:v>0</c:v>
                      </c:pt>
                      <c:pt idx="66">
                        <c:v>0</c:v>
                      </c:pt>
                      <c:pt idx="67">
                        <c:v>1</c:v>
                      </c:pt>
                      <c:pt idx="68">
                        <c:v>1</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3-5F61-41E1-B7F7-F5C086851244}"/>
                  </c:ext>
                </c:extLst>
              </c15:ser>
            </c15:filteredLineSeries>
            <c15:filteredLineSeries>
              <c15:ser>
                <c:idx val="36"/>
                <c:order val="36"/>
                <c:tx>
                  <c:strRef>
                    <c:extLst xmlns:c15="http://schemas.microsoft.com/office/drawing/2012/chart">
                      <c:ext xmlns:c15="http://schemas.microsoft.com/office/drawing/2012/chart" uri="{02D57815-91ED-43cb-92C2-25804820EDAC}">
                        <c15:formulaRef>
                          <c15:sqref>Tabelle5!$B$38</c15:sqref>
                        </c15:formulaRef>
                      </c:ext>
                    </c:extLst>
                    <c:strCache>
                      <c:ptCount val="1"/>
                      <c:pt idx="0">
                        <c:v>ANTIBIOTIKA UND CHEMOTHERAPEUTIKA ZUR DERMATOLOGISCHEN ANWENDUNG</c:v>
                      </c:pt>
                    </c:strCache>
                  </c:strRef>
                </c:tx>
                <c:spPr>
                  <a:ln w="28575" cap="rnd">
                    <a:solidFill>
                      <a:schemeClr val="accent1">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Tabelle5!$C$38:$CR$38</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2</c:v>
                      </c:pt>
                      <c:pt idx="38">
                        <c:v>3</c:v>
                      </c:pt>
                      <c:pt idx="39">
                        <c:v>3</c:v>
                      </c:pt>
                      <c:pt idx="40">
                        <c:v>0</c:v>
                      </c:pt>
                      <c:pt idx="41">
                        <c:v>0</c:v>
                      </c:pt>
                      <c:pt idx="42">
                        <c:v>1</c:v>
                      </c:pt>
                      <c:pt idx="43">
                        <c:v>1</c:v>
                      </c:pt>
                      <c:pt idx="44">
                        <c:v>1</c:v>
                      </c:pt>
                      <c:pt idx="45">
                        <c:v>1</c:v>
                      </c:pt>
                      <c:pt idx="46">
                        <c:v>1</c:v>
                      </c:pt>
                      <c:pt idx="47">
                        <c:v>0</c:v>
                      </c:pt>
                      <c:pt idx="48">
                        <c:v>0</c:v>
                      </c:pt>
                      <c:pt idx="49">
                        <c:v>0</c:v>
                      </c:pt>
                      <c:pt idx="50">
                        <c:v>0</c:v>
                      </c:pt>
                      <c:pt idx="51">
                        <c:v>1</c:v>
                      </c:pt>
                      <c:pt idx="52">
                        <c:v>1</c:v>
                      </c:pt>
                      <c:pt idx="53">
                        <c:v>0</c:v>
                      </c:pt>
                      <c:pt idx="54">
                        <c:v>0</c:v>
                      </c:pt>
                      <c:pt idx="55">
                        <c:v>0</c:v>
                      </c:pt>
                      <c:pt idx="56">
                        <c:v>1</c:v>
                      </c:pt>
                      <c:pt idx="57">
                        <c:v>0</c:v>
                      </c:pt>
                      <c:pt idx="58">
                        <c:v>0</c:v>
                      </c:pt>
                      <c:pt idx="59">
                        <c:v>0</c:v>
                      </c:pt>
                      <c:pt idx="60">
                        <c:v>0</c:v>
                      </c:pt>
                      <c:pt idx="61">
                        <c:v>0</c:v>
                      </c:pt>
                      <c:pt idx="62">
                        <c:v>0</c:v>
                      </c:pt>
                      <c:pt idx="63">
                        <c:v>1</c:v>
                      </c:pt>
                      <c:pt idx="64">
                        <c:v>1</c:v>
                      </c:pt>
                      <c:pt idx="65">
                        <c:v>1</c:v>
                      </c:pt>
                      <c:pt idx="66">
                        <c:v>0</c:v>
                      </c:pt>
                      <c:pt idx="67">
                        <c:v>0</c:v>
                      </c:pt>
                      <c:pt idx="68">
                        <c:v>0</c:v>
                      </c:pt>
                      <c:pt idx="69">
                        <c:v>0</c:v>
                      </c:pt>
                      <c:pt idx="70">
                        <c:v>0</c:v>
                      </c:pt>
                      <c:pt idx="71">
                        <c:v>0</c:v>
                      </c:pt>
                      <c:pt idx="72">
                        <c:v>1</c:v>
                      </c:pt>
                      <c:pt idx="73">
                        <c:v>1</c:v>
                      </c:pt>
                      <c:pt idx="74">
                        <c:v>2</c:v>
                      </c:pt>
                      <c:pt idx="75">
                        <c:v>2</c:v>
                      </c:pt>
                      <c:pt idx="76">
                        <c:v>3</c:v>
                      </c:pt>
                      <c:pt idx="77">
                        <c:v>2</c:v>
                      </c:pt>
                      <c:pt idx="78">
                        <c:v>0</c:v>
                      </c:pt>
                      <c:pt idx="79">
                        <c:v>1</c:v>
                      </c:pt>
                      <c:pt idx="80">
                        <c:v>1</c:v>
                      </c:pt>
                      <c:pt idx="81">
                        <c:v>1</c:v>
                      </c:pt>
                      <c:pt idx="82">
                        <c:v>1</c:v>
                      </c:pt>
                      <c:pt idx="83">
                        <c:v>1</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4-5F61-41E1-B7F7-F5C086851244}"/>
                  </c:ext>
                </c:extLst>
              </c15:ser>
            </c15:filteredLineSeries>
            <c15:filteredLineSeries>
              <c15:ser>
                <c:idx val="37"/>
                <c:order val="37"/>
                <c:tx>
                  <c:strRef>
                    <c:extLst xmlns:c15="http://schemas.microsoft.com/office/drawing/2012/chart">
                      <c:ext xmlns:c15="http://schemas.microsoft.com/office/drawing/2012/chart" uri="{02D57815-91ED-43cb-92C2-25804820EDAC}">
                        <c15:formulaRef>
                          <c15:sqref>Tabelle5!$B$39</c15:sqref>
                        </c15:formulaRef>
                      </c:ext>
                    </c:extLst>
                    <c:strCache>
                      <c:ptCount val="1"/>
                      <c:pt idx="0">
                        <c:v>CORTICOSTEROIDE, DERMATOLOGISCHE ZUBEREITUNGEN</c:v>
                      </c:pt>
                    </c:strCache>
                  </c:strRef>
                </c:tx>
                <c:spPr>
                  <a:ln w="28575" cap="rnd">
                    <a:solidFill>
                      <a:schemeClr val="accent2">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Tabelle5!$C$39:$CR$39</c15:sqref>
                        </c15:formulaRef>
                      </c:ext>
                    </c:extLst>
                    <c:numCache>
                      <c:formatCode>General</c:formatCode>
                      <c:ptCount val="94"/>
                      <c:pt idx="0">
                        <c:v>0</c:v>
                      </c:pt>
                      <c:pt idx="1">
                        <c:v>0</c:v>
                      </c:pt>
                      <c:pt idx="2">
                        <c:v>0</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3</c:v>
                      </c:pt>
                      <c:pt idx="35">
                        <c:v>3</c:v>
                      </c:pt>
                      <c:pt idx="36">
                        <c:v>3</c:v>
                      </c:pt>
                      <c:pt idx="37">
                        <c:v>3</c:v>
                      </c:pt>
                      <c:pt idx="38">
                        <c:v>3</c:v>
                      </c:pt>
                      <c:pt idx="39">
                        <c:v>3</c:v>
                      </c:pt>
                      <c:pt idx="40">
                        <c:v>3</c:v>
                      </c:pt>
                      <c:pt idx="41">
                        <c:v>4</c:v>
                      </c:pt>
                      <c:pt idx="42">
                        <c:v>3</c:v>
                      </c:pt>
                      <c:pt idx="43">
                        <c:v>3</c:v>
                      </c:pt>
                      <c:pt idx="44">
                        <c:v>3</c:v>
                      </c:pt>
                      <c:pt idx="45">
                        <c:v>3</c:v>
                      </c:pt>
                      <c:pt idx="46">
                        <c:v>3</c:v>
                      </c:pt>
                      <c:pt idx="47">
                        <c:v>4</c:v>
                      </c:pt>
                      <c:pt idx="48">
                        <c:v>3</c:v>
                      </c:pt>
                      <c:pt idx="49">
                        <c:v>3</c:v>
                      </c:pt>
                      <c:pt idx="50">
                        <c:v>2</c:v>
                      </c:pt>
                      <c:pt idx="51">
                        <c:v>2</c:v>
                      </c:pt>
                      <c:pt idx="52">
                        <c:v>2</c:v>
                      </c:pt>
                      <c:pt idx="53">
                        <c:v>3</c:v>
                      </c:pt>
                      <c:pt idx="54">
                        <c:v>4</c:v>
                      </c:pt>
                      <c:pt idx="55">
                        <c:v>5</c:v>
                      </c:pt>
                      <c:pt idx="56">
                        <c:v>3</c:v>
                      </c:pt>
                      <c:pt idx="57">
                        <c:v>1</c:v>
                      </c:pt>
                      <c:pt idx="58">
                        <c:v>1</c:v>
                      </c:pt>
                      <c:pt idx="59">
                        <c:v>1</c:v>
                      </c:pt>
                      <c:pt idx="60">
                        <c:v>2</c:v>
                      </c:pt>
                      <c:pt idx="61">
                        <c:v>2</c:v>
                      </c:pt>
                      <c:pt idx="62">
                        <c:v>1</c:v>
                      </c:pt>
                      <c:pt idx="63">
                        <c:v>2</c:v>
                      </c:pt>
                      <c:pt idx="64">
                        <c:v>2</c:v>
                      </c:pt>
                      <c:pt idx="65">
                        <c:v>3</c:v>
                      </c:pt>
                      <c:pt idx="66">
                        <c:v>3</c:v>
                      </c:pt>
                      <c:pt idx="67">
                        <c:v>1</c:v>
                      </c:pt>
                      <c:pt idx="68">
                        <c:v>2</c:v>
                      </c:pt>
                      <c:pt idx="69">
                        <c:v>4</c:v>
                      </c:pt>
                      <c:pt idx="70">
                        <c:v>3</c:v>
                      </c:pt>
                      <c:pt idx="71">
                        <c:v>4</c:v>
                      </c:pt>
                      <c:pt idx="72">
                        <c:v>1</c:v>
                      </c:pt>
                      <c:pt idx="73">
                        <c:v>1</c:v>
                      </c:pt>
                      <c:pt idx="74">
                        <c:v>1</c:v>
                      </c:pt>
                      <c:pt idx="75">
                        <c:v>0</c:v>
                      </c:pt>
                      <c:pt idx="76">
                        <c:v>3</c:v>
                      </c:pt>
                      <c:pt idx="77">
                        <c:v>2</c:v>
                      </c:pt>
                      <c:pt idx="78">
                        <c:v>2</c:v>
                      </c:pt>
                      <c:pt idx="79">
                        <c:v>1</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5-5F61-41E1-B7F7-F5C086851244}"/>
                  </c:ext>
                </c:extLst>
              </c15:ser>
            </c15:filteredLineSeries>
            <c15:filteredLineSeries>
              <c15:ser>
                <c:idx val="38"/>
                <c:order val="38"/>
                <c:tx>
                  <c:strRef>
                    <c:extLst xmlns:c15="http://schemas.microsoft.com/office/drawing/2012/chart">
                      <c:ext xmlns:c15="http://schemas.microsoft.com/office/drawing/2012/chart" uri="{02D57815-91ED-43cb-92C2-25804820EDAC}">
                        <c15:formulaRef>
                          <c15:sqref>Tabelle5!$B$40</c15:sqref>
                        </c15:formulaRef>
                      </c:ext>
                    </c:extLst>
                    <c:strCache>
                      <c:ptCount val="1"/>
                      <c:pt idx="0">
                        <c:v>ANTISEPTIKA UND DESINFEKTIONSMITTEL</c:v>
                      </c:pt>
                    </c:strCache>
                  </c:strRef>
                </c:tx>
                <c:spPr>
                  <a:ln w="28575" cap="rnd">
                    <a:solidFill>
                      <a:schemeClr val="accent3">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Tabelle5!$C$40:$CR$40</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1</c:v>
                      </c:pt>
                      <c:pt idx="51">
                        <c:v>1</c:v>
                      </c:pt>
                      <c:pt idx="52">
                        <c:v>1</c:v>
                      </c:pt>
                      <c:pt idx="53">
                        <c:v>2</c:v>
                      </c:pt>
                      <c:pt idx="54">
                        <c:v>2</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6-5F61-41E1-B7F7-F5C086851244}"/>
                  </c:ext>
                </c:extLst>
              </c15:ser>
            </c15:filteredLineSeries>
            <c15:filteredLineSeries>
              <c15:ser>
                <c:idx val="39"/>
                <c:order val="39"/>
                <c:tx>
                  <c:strRef>
                    <c:extLst xmlns:c15="http://schemas.microsoft.com/office/drawing/2012/chart">
                      <c:ext xmlns:c15="http://schemas.microsoft.com/office/drawing/2012/chart" uri="{02D57815-91ED-43cb-92C2-25804820EDAC}">
                        <c15:formulaRef>
                          <c15:sqref>Tabelle5!$B$41</c15:sqref>
                        </c15:formulaRef>
                      </c:ext>
                    </c:extLst>
                    <c:strCache>
                      <c:ptCount val="1"/>
                      <c:pt idx="0">
                        <c:v>MEDIZINISCHE VERBÄNDE</c:v>
                      </c:pt>
                    </c:strCache>
                  </c:strRef>
                </c:tx>
                <c:spPr>
                  <a:ln w="28575" cap="rnd">
                    <a:solidFill>
                      <a:schemeClr val="accent4">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Tabelle5!$C$41:$CR$41</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7-5F61-41E1-B7F7-F5C086851244}"/>
                  </c:ext>
                </c:extLst>
              </c15:ser>
            </c15:filteredLineSeries>
            <c15:filteredLineSeries>
              <c15:ser>
                <c:idx val="40"/>
                <c:order val="40"/>
                <c:tx>
                  <c:strRef>
                    <c:extLst xmlns:c15="http://schemas.microsoft.com/office/drawing/2012/chart">
                      <c:ext xmlns:c15="http://schemas.microsoft.com/office/drawing/2012/chart" uri="{02D57815-91ED-43cb-92C2-25804820EDAC}">
                        <c15:formulaRef>
                          <c15:sqref>Tabelle5!$B$42</c15:sqref>
                        </c15:formulaRef>
                      </c:ext>
                    </c:extLst>
                    <c:strCache>
                      <c:ptCount val="1"/>
                      <c:pt idx="0">
                        <c:v>AKNEMITTEL</c:v>
                      </c:pt>
                    </c:strCache>
                  </c:strRef>
                </c:tx>
                <c:spPr>
                  <a:ln w="28575" cap="rnd">
                    <a:solidFill>
                      <a:schemeClr val="accent5">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Tabelle5!$C$42:$CR$42</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1</c:v>
                      </c:pt>
                      <c:pt idx="28">
                        <c:v>1</c:v>
                      </c:pt>
                      <c:pt idx="29">
                        <c:v>1</c:v>
                      </c:pt>
                      <c:pt idx="30">
                        <c:v>1</c:v>
                      </c:pt>
                      <c:pt idx="31">
                        <c:v>1</c:v>
                      </c:pt>
                      <c:pt idx="32">
                        <c:v>1</c:v>
                      </c:pt>
                      <c:pt idx="33">
                        <c:v>1</c:v>
                      </c:pt>
                      <c:pt idx="34">
                        <c:v>1</c:v>
                      </c:pt>
                      <c:pt idx="35">
                        <c:v>1</c:v>
                      </c:pt>
                      <c:pt idx="36">
                        <c:v>0</c:v>
                      </c:pt>
                      <c:pt idx="37">
                        <c:v>0</c:v>
                      </c:pt>
                      <c:pt idx="38">
                        <c:v>2</c:v>
                      </c:pt>
                      <c:pt idx="39">
                        <c:v>2</c:v>
                      </c:pt>
                      <c:pt idx="40">
                        <c:v>3</c:v>
                      </c:pt>
                      <c:pt idx="41">
                        <c:v>3</c:v>
                      </c:pt>
                      <c:pt idx="42">
                        <c:v>3</c:v>
                      </c:pt>
                      <c:pt idx="43">
                        <c:v>3</c:v>
                      </c:pt>
                      <c:pt idx="44">
                        <c:v>4</c:v>
                      </c:pt>
                      <c:pt idx="45">
                        <c:v>4</c:v>
                      </c:pt>
                      <c:pt idx="46">
                        <c:v>4</c:v>
                      </c:pt>
                      <c:pt idx="47">
                        <c:v>3</c:v>
                      </c:pt>
                      <c:pt idx="48">
                        <c:v>3</c:v>
                      </c:pt>
                      <c:pt idx="49">
                        <c:v>3</c:v>
                      </c:pt>
                      <c:pt idx="50">
                        <c:v>2</c:v>
                      </c:pt>
                      <c:pt idx="51">
                        <c:v>2</c:v>
                      </c:pt>
                      <c:pt idx="52">
                        <c:v>3</c:v>
                      </c:pt>
                      <c:pt idx="53">
                        <c:v>5</c:v>
                      </c:pt>
                      <c:pt idx="54">
                        <c:v>3</c:v>
                      </c:pt>
                      <c:pt idx="55">
                        <c:v>4</c:v>
                      </c:pt>
                      <c:pt idx="56">
                        <c:v>1</c:v>
                      </c:pt>
                      <c:pt idx="57">
                        <c:v>1</c:v>
                      </c:pt>
                      <c:pt idx="58">
                        <c:v>1</c:v>
                      </c:pt>
                      <c:pt idx="59">
                        <c:v>1</c:v>
                      </c:pt>
                      <c:pt idx="60">
                        <c:v>2</c:v>
                      </c:pt>
                      <c:pt idx="61">
                        <c:v>2</c:v>
                      </c:pt>
                      <c:pt idx="62">
                        <c:v>1</c:v>
                      </c:pt>
                      <c:pt idx="63">
                        <c:v>1</c:v>
                      </c:pt>
                      <c:pt idx="64">
                        <c:v>1</c:v>
                      </c:pt>
                      <c:pt idx="65">
                        <c:v>0</c:v>
                      </c:pt>
                      <c:pt idx="66">
                        <c:v>0</c:v>
                      </c:pt>
                      <c:pt idx="67">
                        <c:v>0</c:v>
                      </c:pt>
                      <c:pt idx="68">
                        <c:v>0</c:v>
                      </c:pt>
                      <c:pt idx="69">
                        <c:v>0</c:v>
                      </c:pt>
                      <c:pt idx="70">
                        <c:v>0</c:v>
                      </c:pt>
                      <c:pt idx="71">
                        <c:v>1</c:v>
                      </c:pt>
                      <c:pt idx="72">
                        <c:v>0</c:v>
                      </c:pt>
                      <c:pt idx="73">
                        <c:v>0</c:v>
                      </c:pt>
                      <c:pt idx="74">
                        <c:v>0</c:v>
                      </c:pt>
                      <c:pt idx="75">
                        <c:v>0</c:v>
                      </c:pt>
                      <c:pt idx="76">
                        <c:v>0</c:v>
                      </c:pt>
                      <c:pt idx="77">
                        <c:v>1</c:v>
                      </c:pt>
                      <c:pt idx="78">
                        <c:v>3</c:v>
                      </c:pt>
                      <c:pt idx="79">
                        <c:v>1</c:v>
                      </c:pt>
                      <c:pt idx="80">
                        <c:v>2</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8-5F61-41E1-B7F7-F5C086851244}"/>
                  </c:ext>
                </c:extLst>
              </c15:ser>
            </c15:filteredLineSeries>
            <c15:filteredLineSeries>
              <c15:ser>
                <c:idx val="41"/>
                <c:order val="41"/>
                <c:tx>
                  <c:strRef>
                    <c:extLst xmlns:c15="http://schemas.microsoft.com/office/drawing/2012/chart">
                      <c:ext xmlns:c15="http://schemas.microsoft.com/office/drawing/2012/chart" uri="{02D57815-91ED-43cb-92C2-25804820EDAC}">
                        <c15:formulaRef>
                          <c15:sqref>Tabelle5!$B$43</c15:sqref>
                        </c15:formulaRef>
                      </c:ext>
                    </c:extLst>
                    <c:strCache>
                      <c:ptCount val="1"/>
                      <c:pt idx="0">
                        <c:v>ANDERE DERMATIKA</c:v>
                      </c:pt>
                    </c:strCache>
                  </c:strRef>
                </c:tx>
                <c:spPr>
                  <a:ln w="28575" cap="rnd">
                    <a:solidFill>
                      <a:schemeClr val="accent6">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Tabelle5!$C$43:$CR$43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1</c:v>
                      </c:pt>
                      <c:pt idx="76">
                        <c:v>2</c:v>
                      </c:pt>
                      <c:pt idx="77">
                        <c:v>2</c:v>
                      </c:pt>
                      <c:pt idx="78">
                        <c:v>2</c:v>
                      </c:pt>
                      <c:pt idx="79">
                        <c:v>2</c:v>
                      </c:pt>
                      <c:pt idx="80">
                        <c:v>2</c:v>
                      </c:pt>
                      <c:pt idx="81">
                        <c:v>2</c:v>
                      </c:pt>
                      <c:pt idx="82">
                        <c:v>2</c:v>
                      </c:pt>
                      <c:pt idx="83">
                        <c:v>2</c:v>
                      </c:pt>
                      <c:pt idx="84">
                        <c:v>1</c:v>
                      </c:pt>
                      <c:pt idx="85">
                        <c:v>1</c:v>
                      </c:pt>
                      <c:pt idx="86">
                        <c:v>1</c:v>
                      </c:pt>
                      <c:pt idx="87">
                        <c:v>1</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9-5F61-41E1-B7F7-F5C086851244}"/>
                  </c:ext>
                </c:extLst>
              </c15:ser>
            </c15:filteredLineSeries>
            <c15:filteredLineSeries>
              <c15:ser>
                <c:idx val="42"/>
                <c:order val="42"/>
                <c:tx>
                  <c:strRef>
                    <c:extLst xmlns:c15="http://schemas.microsoft.com/office/drawing/2012/chart">
                      <c:ext xmlns:c15="http://schemas.microsoft.com/office/drawing/2012/chart" uri="{02D57815-91ED-43cb-92C2-25804820EDAC}">
                        <c15:formulaRef>
                          <c15:sqref>Tabelle5!$B$44</c15:sqref>
                        </c15:formulaRef>
                      </c:ext>
                    </c:extLst>
                    <c:strCache>
                      <c:ptCount val="1"/>
                      <c:pt idx="0">
                        <c:v>GYNÄKOLOGISCHE ANTIINFEKTIVA UND ANTISEPTIKA</c:v>
                      </c:pt>
                    </c:strCache>
                  </c:strRef>
                </c:tx>
                <c:spPr>
                  <a:ln w="28575" cap="rnd">
                    <a:solidFill>
                      <a:schemeClr val="accent1">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Tabelle5!$C$44:$CR$44</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1</c:v>
                      </c:pt>
                      <c:pt idx="71">
                        <c:v>1</c:v>
                      </c:pt>
                      <c:pt idx="72">
                        <c:v>1</c:v>
                      </c:pt>
                      <c:pt idx="73">
                        <c:v>1</c:v>
                      </c:pt>
                      <c:pt idx="74">
                        <c:v>2</c:v>
                      </c:pt>
                      <c:pt idx="75">
                        <c:v>2</c:v>
                      </c:pt>
                      <c:pt idx="76">
                        <c:v>2</c:v>
                      </c:pt>
                      <c:pt idx="77">
                        <c:v>1</c:v>
                      </c:pt>
                      <c:pt idx="78">
                        <c:v>2</c:v>
                      </c:pt>
                      <c:pt idx="79">
                        <c:v>2</c:v>
                      </c:pt>
                      <c:pt idx="80">
                        <c:v>1</c:v>
                      </c:pt>
                      <c:pt idx="81">
                        <c:v>1</c:v>
                      </c:pt>
                      <c:pt idx="82">
                        <c:v>1</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A-5F61-41E1-B7F7-F5C086851244}"/>
                  </c:ext>
                </c:extLst>
              </c15:ser>
            </c15:filteredLineSeries>
            <c15:filteredLineSeries>
              <c15:ser>
                <c:idx val="43"/>
                <c:order val="43"/>
                <c:tx>
                  <c:strRef>
                    <c:extLst xmlns:c15="http://schemas.microsoft.com/office/drawing/2012/chart">
                      <c:ext xmlns:c15="http://schemas.microsoft.com/office/drawing/2012/chart" uri="{02D57815-91ED-43cb-92C2-25804820EDAC}">
                        <c15:formulaRef>
                          <c15:sqref>Tabelle5!$B$45</c15:sqref>
                        </c15:formulaRef>
                      </c:ext>
                    </c:extLst>
                    <c:strCache>
                      <c:ptCount val="1"/>
                      <c:pt idx="0">
                        <c:v>ANDERE GYNÄKOLOGIKA</c:v>
                      </c:pt>
                    </c:strCache>
                  </c:strRef>
                </c:tx>
                <c:spPr>
                  <a:ln w="28575" cap="rnd">
                    <a:solidFill>
                      <a:schemeClr val="accent2">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Tabelle5!$C$45:$CR$45</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c:v>
                      </c:pt>
                      <c:pt idx="30">
                        <c:v>2</c:v>
                      </c:pt>
                      <c:pt idx="31">
                        <c:v>2</c:v>
                      </c:pt>
                      <c:pt idx="32">
                        <c:v>2</c:v>
                      </c:pt>
                      <c:pt idx="33">
                        <c:v>0</c:v>
                      </c:pt>
                      <c:pt idx="34">
                        <c:v>1</c:v>
                      </c:pt>
                      <c:pt idx="35">
                        <c:v>1</c:v>
                      </c:pt>
                      <c:pt idx="36">
                        <c:v>5</c:v>
                      </c:pt>
                      <c:pt idx="37">
                        <c:v>5</c:v>
                      </c:pt>
                      <c:pt idx="38">
                        <c:v>4</c:v>
                      </c:pt>
                      <c:pt idx="39">
                        <c:v>4</c:v>
                      </c:pt>
                      <c:pt idx="40">
                        <c:v>5</c:v>
                      </c:pt>
                      <c:pt idx="41">
                        <c:v>5</c:v>
                      </c:pt>
                      <c:pt idx="42">
                        <c:v>5</c:v>
                      </c:pt>
                      <c:pt idx="43">
                        <c:v>7</c:v>
                      </c:pt>
                      <c:pt idx="44">
                        <c:v>7</c:v>
                      </c:pt>
                      <c:pt idx="45">
                        <c:v>7</c:v>
                      </c:pt>
                      <c:pt idx="46">
                        <c:v>5</c:v>
                      </c:pt>
                      <c:pt idx="47">
                        <c:v>5</c:v>
                      </c:pt>
                      <c:pt idx="48">
                        <c:v>3</c:v>
                      </c:pt>
                      <c:pt idx="49">
                        <c:v>3</c:v>
                      </c:pt>
                      <c:pt idx="50">
                        <c:v>3</c:v>
                      </c:pt>
                      <c:pt idx="51">
                        <c:v>3</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1</c:v>
                      </c:pt>
                      <c:pt idx="69">
                        <c:v>1</c:v>
                      </c:pt>
                      <c:pt idx="70">
                        <c:v>1</c:v>
                      </c:pt>
                      <c:pt idx="71">
                        <c:v>2</c:v>
                      </c:pt>
                      <c:pt idx="72">
                        <c:v>2</c:v>
                      </c:pt>
                      <c:pt idx="73">
                        <c:v>0</c:v>
                      </c:pt>
                      <c:pt idx="74">
                        <c:v>0</c:v>
                      </c:pt>
                      <c:pt idx="75">
                        <c:v>0</c:v>
                      </c:pt>
                      <c:pt idx="76">
                        <c:v>0</c:v>
                      </c:pt>
                      <c:pt idx="77">
                        <c:v>2</c:v>
                      </c:pt>
                      <c:pt idx="78">
                        <c:v>1</c:v>
                      </c:pt>
                      <c:pt idx="79">
                        <c:v>1</c:v>
                      </c:pt>
                      <c:pt idx="80">
                        <c:v>1</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B-5F61-41E1-B7F7-F5C086851244}"/>
                  </c:ext>
                </c:extLst>
              </c15:ser>
            </c15:filteredLineSeries>
            <c15:filteredLineSeries>
              <c15:ser>
                <c:idx val="44"/>
                <c:order val="44"/>
                <c:tx>
                  <c:strRef>
                    <c:extLst xmlns:c15="http://schemas.microsoft.com/office/drawing/2012/chart">
                      <c:ext xmlns:c15="http://schemas.microsoft.com/office/drawing/2012/chart" uri="{02D57815-91ED-43cb-92C2-25804820EDAC}">
                        <c15:formulaRef>
                          <c15:sqref>Tabelle5!$B$46</c15:sqref>
                        </c15:formulaRef>
                      </c:ext>
                    </c:extLst>
                    <c:strCache>
                      <c:ptCount val="1"/>
                      <c:pt idx="0">
                        <c:v>SEXUALHORMONE UND MODULATOREN DES GENITALSYSTEMS</c:v>
                      </c:pt>
                    </c:strCache>
                  </c:strRef>
                </c:tx>
                <c:spPr>
                  <a:ln w="28575" cap="rnd">
                    <a:solidFill>
                      <a:schemeClr val="accent3">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Tabelle5!$C$46:$CR$46</c15:sqref>
                        </c15:formulaRef>
                      </c:ext>
                    </c:extLst>
                    <c:numCache>
                      <c:formatCode>General</c:formatCode>
                      <c:ptCount val="94"/>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2</c:v>
                      </c:pt>
                      <c:pt idx="24">
                        <c:v>1</c:v>
                      </c:pt>
                      <c:pt idx="25">
                        <c:v>1</c:v>
                      </c:pt>
                      <c:pt idx="26">
                        <c:v>1</c:v>
                      </c:pt>
                      <c:pt idx="27">
                        <c:v>1</c:v>
                      </c:pt>
                      <c:pt idx="28">
                        <c:v>1</c:v>
                      </c:pt>
                      <c:pt idx="29">
                        <c:v>0</c:v>
                      </c:pt>
                      <c:pt idx="30">
                        <c:v>0</c:v>
                      </c:pt>
                      <c:pt idx="31">
                        <c:v>0</c:v>
                      </c:pt>
                      <c:pt idx="32">
                        <c:v>0</c:v>
                      </c:pt>
                      <c:pt idx="33">
                        <c:v>1</c:v>
                      </c:pt>
                      <c:pt idx="34">
                        <c:v>1</c:v>
                      </c:pt>
                      <c:pt idx="35">
                        <c:v>0</c:v>
                      </c:pt>
                      <c:pt idx="36">
                        <c:v>2</c:v>
                      </c:pt>
                      <c:pt idx="37">
                        <c:v>1</c:v>
                      </c:pt>
                      <c:pt idx="38">
                        <c:v>1</c:v>
                      </c:pt>
                      <c:pt idx="39">
                        <c:v>1</c:v>
                      </c:pt>
                      <c:pt idx="40">
                        <c:v>2</c:v>
                      </c:pt>
                      <c:pt idx="41">
                        <c:v>2</c:v>
                      </c:pt>
                      <c:pt idx="42">
                        <c:v>4</c:v>
                      </c:pt>
                      <c:pt idx="43">
                        <c:v>6</c:v>
                      </c:pt>
                      <c:pt idx="44">
                        <c:v>6</c:v>
                      </c:pt>
                      <c:pt idx="45">
                        <c:v>5</c:v>
                      </c:pt>
                      <c:pt idx="46">
                        <c:v>5</c:v>
                      </c:pt>
                      <c:pt idx="47">
                        <c:v>5</c:v>
                      </c:pt>
                      <c:pt idx="48">
                        <c:v>4</c:v>
                      </c:pt>
                      <c:pt idx="49">
                        <c:v>4</c:v>
                      </c:pt>
                      <c:pt idx="50">
                        <c:v>6</c:v>
                      </c:pt>
                      <c:pt idx="51">
                        <c:v>8</c:v>
                      </c:pt>
                      <c:pt idx="52">
                        <c:v>8</c:v>
                      </c:pt>
                      <c:pt idx="53">
                        <c:v>6</c:v>
                      </c:pt>
                      <c:pt idx="54">
                        <c:v>6</c:v>
                      </c:pt>
                      <c:pt idx="55">
                        <c:v>9</c:v>
                      </c:pt>
                      <c:pt idx="56">
                        <c:v>5</c:v>
                      </c:pt>
                      <c:pt idx="57">
                        <c:v>6</c:v>
                      </c:pt>
                      <c:pt idx="58">
                        <c:v>6</c:v>
                      </c:pt>
                      <c:pt idx="59">
                        <c:v>4</c:v>
                      </c:pt>
                      <c:pt idx="60">
                        <c:v>2</c:v>
                      </c:pt>
                      <c:pt idx="61">
                        <c:v>3</c:v>
                      </c:pt>
                      <c:pt idx="62">
                        <c:v>3</c:v>
                      </c:pt>
                      <c:pt idx="63">
                        <c:v>3</c:v>
                      </c:pt>
                      <c:pt idx="64">
                        <c:v>4</c:v>
                      </c:pt>
                      <c:pt idx="65">
                        <c:v>5</c:v>
                      </c:pt>
                      <c:pt idx="66">
                        <c:v>5</c:v>
                      </c:pt>
                      <c:pt idx="67">
                        <c:v>4</c:v>
                      </c:pt>
                      <c:pt idx="68">
                        <c:v>3</c:v>
                      </c:pt>
                      <c:pt idx="69">
                        <c:v>3</c:v>
                      </c:pt>
                      <c:pt idx="70">
                        <c:v>3</c:v>
                      </c:pt>
                      <c:pt idx="71">
                        <c:v>3</c:v>
                      </c:pt>
                      <c:pt idx="72">
                        <c:v>2</c:v>
                      </c:pt>
                      <c:pt idx="73">
                        <c:v>4</c:v>
                      </c:pt>
                      <c:pt idx="74">
                        <c:v>5</c:v>
                      </c:pt>
                      <c:pt idx="75">
                        <c:v>6</c:v>
                      </c:pt>
                      <c:pt idx="76">
                        <c:v>6</c:v>
                      </c:pt>
                      <c:pt idx="77">
                        <c:v>5</c:v>
                      </c:pt>
                      <c:pt idx="78">
                        <c:v>3</c:v>
                      </c:pt>
                      <c:pt idx="79">
                        <c:v>4</c:v>
                      </c:pt>
                      <c:pt idx="80">
                        <c:v>2</c:v>
                      </c:pt>
                      <c:pt idx="81">
                        <c:v>1</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C-5F61-41E1-B7F7-F5C086851244}"/>
                  </c:ext>
                </c:extLst>
              </c15:ser>
            </c15:filteredLineSeries>
            <c15:filteredLineSeries>
              <c15:ser>
                <c:idx val="45"/>
                <c:order val="45"/>
                <c:tx>
                  <c:strRef>
                    <c:extLst xmlns:c15="http://schemas.microsoft.com/office/drawing/2012/chart">
                      <c:ext xmlns:c15="http://schemas.microsoft.com/office/drawing/2012/chart" uri="{02D57815-91ED-43cb-92C2-25804820EDAC}">
                        <c15:formulaRef>
                          <c15:sqref>Tabelle5!$B$47</c15:sqref>
                        </c15:formulaRef>
                      </c:ext>
                    </c:extLst>
                    <c:strCache>
                      <c:ptCount val="1"/>
                      <c:pt idx="0">
                        <c:v>UROLOGIKA</c:v>
                      </c:pt>
                    </c:strCache>
                  </c:strRef>
                </c:tx>
                <c:spPr>
                  <a:ln w="28575" cap="rnd">
                    <a:solidFill>
                      <a:schemeClr val="accent4">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Tabelle5!$C$47:$CR$47</c15:sqref>
                        </c15:formulaRef>
                      </c:ext>
                    </c:extLst>
                    <c:numCache>
                      <c:formatCode>General</c:formatCode>
                      <c:ptCount val="94"/>
                      <c:pt idx="0">
                        <c:v>0</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2</c:v>
                      </c:pt>
                      <c:pt idx="20">
                        <c:v>2</c:v>
                      </c:pt>
                      <c:pt idx="21">
                        <c:v>1</c:v>
                      </c:pt>
                      <c:pt idx="22">
                        <c:v>1</c:v>
                      </c:pt>
                      <c:pt idx="23">
                        <c:v>1</c:v>
                      </c:pt>
                      <c:pt idx="24">
                        <c:v>1</c:v>
                      </c:pt>
                      <c:pt idx="25">
                        <c:v>1</c:v>
                      </c:pt>
                      <c:pt idx="26">
                        <c:v>1</c:v>
                      </c:pt>
                      <c:pt idx="27">
                        <c:v>1</c:v>
                      </c:pt>
                      <c:pt idx="28">
                        <c:v>1</c:v>
                      </c:pt>
                      <c:pt idx="29">
                        <c:v>2</c:v>
                      </c:pt>
                      <c:pt idx="30">
                        <c:v>2</c:v>
                      </c:pt>
                      <c:pt idx="31">
                        <c:v>2</c:v>
                      </c:pt>
                      <c:pt idx="32">
                        <c:v>2</c:v>
                      </c:pt>
                      <c:pt idx="33">
                        <c:v>4</c:v>
                      </c:pt>
                      <c:pt idx="34">
                        <c:v>4</c:v>
                      </c:pt>
                      <c:pt idx="35">
                        <c:v>4</c:v>
                      </c:pt>
                      <c:pt idx="36">
                        <c:v>4</c:v>
                      </c:pt>
                      <c:pt idx="37">
                        <c:v>3</c:v>
                      </c:pt>
                      <c:pt idx="38">
                        <c:v>3</c:v>
                      </c:pt>
                      <c:pt idx="39">
                        <c:v>3</c:v>
                      </c:pt>
                      <c:pt idx="40">
                        <c:v>1</c:v>
                      </c:pt>
                      <c:pt idx="41">
                        <c:v>1</c:v>
                      </c:pt>
                      <c:pt idx="42">
                        <c:v>1</c:v>
                      </c:pt>
                      <c:pt idx="43">
                        <c:v>0</c:v>
                      </c:pt>
                      <c:pt idx="44">
                        <c:v>0</c:v>
                      </c:pt>
                      <c:pt idx="45">
                        <c:v>0</c:v>
                      </c:pt>
                      <c:pt idx="46">
                        <c:v>0</c:v>
                      </c:pt>
                      <c:pt idx="47">
                        <c:v>0</c:v>
                      </c:pt>
                      <c:pt idx="48">
                        <c:v>1</c:v>
                      </c:pt>
                      <c:pt idx="49">
                        <c:v>3</c:v>
                      </c:pt>
                      <c:pt idx="50">
                        <c:v>3</c:v>
                      </c:pt>
                      <c:pt idx="51">
                        <c:v>3</c:v>
                      </c:pt>
                      <c:pt idx="52">
                        <c:v>2</c:v>
                      </c:pt>
                      <c:pt idx="53">
                        <c:v>2</c:v>
                      </c:pt>
                      <c:pt idx="54">
                        <c:v>2</c:v>
                      </c:pt>
                      <c:pt idx="55">
                        <c:v>1</c:v>
                      </c:pt>
                      <c:pt idx="56">
                        <c:v>3</c:v>
                      </c:pt>
                      <c:pt idx="57">
                        <c:v>4</c:v>
                      </c:pt>
                      <c:pt idx="58">
                        <c:v>4</c:v>
                      </c:pt>
                      <c:pt idx="59">
                        <c:v>3</c:v>
                      </c:pt>
                      <c:pt idx="60">
                        <c:v>3</c:v>
                      </c:pt>
                      <c:pt idx="61">
                        <c:v>2</c:v>
                      </c:pt>
                      <c:pt idx="62">
                        <c:v>0</c:v>
                      </c:pt>
                      <c:pt idx="63">
                        <c:v>0</c:v>
                      </c:pt>
                      <c:pt idx="64">
                        <c:v>0</c:v>
                      </c:pt>
                      <c:pt idx="65">
                        <c:v>1</c:v>
                      </c:pt>
                      <c:pt idx="66">
                        <c:v>0</c:v>
                      </c:pt>
                      <c:pt idx="67">
                        <c:v>0</c:v>
                      </c:pt>
                      <c:pt idx="68">
                        <c:v>0</c:v>
                      </c:pt>
                      <c:pt idx="69">
                        <c:v>0</c:v>
                      </c:pt>
                      <c:pt idx="70">
                        <c:v>1</c:v>
                      </c:pt>
                      <c:pt idx="71">
                        <c:v>3</c:v>
                      </c:pt>
                      <c:pt idx="72">
                        <c:v>3</c:v>
                      </c:pt>
                      <c:pt idx="73">
                        <c:v>4</c:v>
                      </c:pt>
                      <c:pt idx="74">
                        <c:v>5</c:v>
                      </c:pt>
                      <c:pt idx="75">
                        <c:v>6</c:v>
                      </c:pt>
                      <c:pt idx="76">
                        <c:v>8</c:v>
                      </c:pt>
                      <c:pt idx="77">
                        <c:v>12</c:v>
                      </c:pt>
                      <c:pt idx="78">
                        <c:v>14</c:v>
                      </c:pt>
                      <c:pt idx="79">
                        <c:v>14</c:v>
                      </c:pt>
                      <c:pt idx="80">
                        <c:v>13</c:v>
                      </c:pt>
                      <c:pt idx="81">
                        <c:v>9</c:v>
                      </c:pt>
                      <c:pt idx="82">
                        <c:v>7</c:v>
                      </c:pt>
                      <c:pt idx="83">
                        <c:v>5</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D-5F61-41E1-B7F7-F5C086851244}"/>
                  </c:ext>
                </c:extLst>
              </c15:ser>
            </c15:filteredLineSeries>
            <c15:filteredLineSeries>
              <c15:ser>
                <c:idx val="46"/>
                <c:order val="46"/>
                <c:tx>
                  <c:strRef>
                    <c:extLst xmlns:c15="http://schemas.microsoft.com/office/drawing/2012/chart">
                      <c:ext xmlns:c15="http://schemas.microsoft.com/office/drawing/2012/chart" uri="{02D57815-91ED-43cb-92C2-25804820EDAC}">
                        <c15:formulaRef>
                          <c15:sqref>Tabelle5!$B$48</c15:sqref>
                        </c15:formulaRef>
                      </c:ext>
                    </c:extLst>
                    <c:strCache>
                      <c:ptCount val="1"/>
                      <c:pt idx="0">
                        <c:v>HYPOPHYSEN- UND HYPOTHALAMUSHORMONE UND ANALOGA</c:v>
                      </c:pt>
                    </c:strCache>
                  </c:strRef>
                </c:tx>
                <c:spPr>
                  <a:ln w="28575" cap="rnd">
                    <a:solidFill>
                      <a:schemeClr val="accent5">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Tabelle5!$C$48:$CR$48</c15:sqref>
                        </c15:formulaRef>
                      </c:ext>
                    </c:extLst>
                    <c:numCache>
                      <c:formatCode>General</c:formatCode>
                      <c:ptCount val="94"/>
                      <c:pt idx="0">
                        <c:v>0</c:v>
                      </c:pt>
                      <c:pt idx="1">
                        <c:v>0</c:v>
                      </c:pt>
                      <c:pt idx="2">
                        <c:v>0</c:v>
                      </c:pt>
                      <c:pt idx="3">
                        <c:v>0</c:v>
                      </c:pt>
                      <c:pt idx="4">
                        <c:v>0</c:v>
                      </c:pt>
                      <c:pt idx="5">
                        <c:v>0</c:v>
                      </c:pt>
                      <c:pt idx="6">
                        <c:v>0</c:v>
                      </c:pt>
                      <c:pt idx="7">
                        <c:v>0</c:v>
                      </c:pt>
                      <c:pt idx="8">
                        <c:v>1</c:v>
                      </c:pt>
                      <c:pt idx="9">
                        <c:v>1</c:v>
                      </c:pt>
                      <c:pt idx="10">
                        <c:v>2</c:v>
                      </c:pt>
                      <c:pt idx="11">
                        <c:v>2</c:v>
                      </c:pt>
                      <c:pt idx="12">
                        <c:v>2</c:v>
                      </c:pt>
                      <c:pt idx="13">
                        <c:v>1</c:v>
                      </c:pt>
                      <c:pt idx="14">
                        <c:v>0</c:v>
                      </c:pt>
                      <c:pt idx="15">
                        <c:v>0</c:v>
                      </c:pt>
                      <c:pt idx="16">
                        <c:v>0</c:v>
                      </c:pt>
                      <c:pt idx="17">
                        <c:v>0</c:v>
                      </c:pt>
                      <c:pt idx="18">
                        <c:v>0</c:v>
                      </c:pt>
                      <c:pt idx="19">
                        <c:v>0</c:v>
                      </c:pt>
                      <c:pt idx="20">
                        <c:v>0</c:v>
                      </c:pt>
                      <c:pt idx="21">
                        <c:v>0</c:v>
                      </c:pt>
                      <c:pt idx="22">
                        <c:v>0</c:v>
                      </c:pt>
                      <c:pt idx="23">
                        <c:v>0</c:v>
                      </c:pt>
                      <c:pt idx="24">
                        <c:v>1</c:v>
                      </c:pt>
                      <c:pt idx="25">
                        <c:v>5</c:v>
                      </c:pt>
                      <c:pt idx="26">
                        <c:v>5</c:v>
                      </c:pt>
                      <c:pt idx="27">
                        <c:v>5</c:v>
                      </c:pt>
                      <c:pt idx="28">
                        <c:v>3</c:v>
                      </c:pt>
                      <c:pt idx="29">
                        <c:v>0</c:v>
                      </c:pt>
                      <c:pt idx="30">
                        <c:v>2</c:v>
                      </c:pt>
                      <c:pt idx="31">
                        <c:v>2</c:v>
                      </c:pt>
                      <c:pt idx="32">
                        <c:v>2</c:v>
                      </c:pt>
                      <c:pt idx="33">
                        <c:v>1</c:v>
                      </c:pt>
                      <c:pt idx="34">
                        <c:v>1</c:v>
                      </c:pt>
                      <c:pt idx="35">
                        <c:v>1</c:v>
                      </c:pt>
                      <c:pt idx="36">
                        <c:v>0</c:v>
                      </c:pt>
                      <c:pt idx="37">
                        <c:v>0</c:v>
                      </c:pt>
                      <c:pt idx="38">
                        <c:v>0</c:v>
                      </c:pt>
                      <c:pt idx="39">
                        <c:v>0</c:v>
                      </c:pt>
                      <c:pt idx="40">
                        <c:v>2</c:v>
                      </c:pt>
                      <c:pt idx="41">
                        <c:v>2</c:v>
                      </c:pt>
                      <c:pt idx="42">
                        <c:v>2</c:v>
                      </c:pt>
                      <c:pt idx="43">
                        <c:v>2</c:v>
                      </c:pt>
                      <c:pt idx="44">
                        <c:v>3</c:v>
                      </c:pt>
                      <c:pt idx="45">
                        <c:v>3</c:v>
                      </c:pt>
                      <c:pt idx="46">
                        <c:v>4</c:v>
                      </c:pt>
                      <c:pt idx="47">
                        <c:v>4</c:v>
                      </c:pt>
                      <c:pt idx="48">
                        <c:v>5</c:v>
                      </c:pt>
                      <c:pt idx="49">
                        <c:v>5</c:v>
                      </c:pt>
                      <c:pt idx="50">
                        <c:v>5</c:v>
                      </c:pt>
                      <c:pt idx="51">
                        <c:v>4</c:v>
                      </c:pt>
                      <c:pt idx="52">
                        <c:v>4</c:v>
                      </c:pt>
                      <c:pt idx="53">
                        <c:v>4</c:v>
                      </c:pt>
                      <c:pt idx="54">
                        <c:v>3</c:v>
                      </c:pt>
                      <c:pt idx="55">
                        <c:v>4</c:v>
                      </c:pt>
                      <c:pt idx="56">
                        <c:v>4</c:v>
                      </c:pt>
                      <c:pt idx="57">
                        <c:v>4</c:v>
                      </c:pt>
                      <c:pt idx="58">
                        <c:v>4</c:v>
                      </c:pt>
                      <c:pt idx="59">
                        <c:v>4</c:v>
                      </c:pt>
                      <c:pt idx="60">
                        <c:v>4</c:v>
                      </c:pt>
                      <c:pt idx="61">
                        <c:v>3</c:v>
                      </c:pt>
                      <c:pt idx="62">
                        <c:v>3</c:v>
                      </c:pt>
                      <c:pt idx="63">
                        <c:v>3</c:v>
                      </c:pt>
                      <c:pt idx="64">
                        <c:v>2</c:v>
                      </c:pt>
                      <c:pt idx="65">
                        <c:v>2</c:v>
                      </c:pt>
                      <c:pt idx="66">
                        <c:v>2</c:v>
                      </c:pt>
                      <c:pt idx="67">
                        <c:v>2</c:v>
                      </c:pt>
                      <c:pt idx="68">
                        <c:v>2</c:v>
                      </c:pt>
                      <c:pt idx="69">
                        <c:v>2</c:v>
                      </c:pt>
                      <c:pt idx="70">
                        <c:v>4</c:v>
                      </c:pt>
                      <c:pt idx="71">
                        <c:v>5</c:v>
                      </c:pt>
                      <c:pt idx="72">
                        <c:v>8</c:v>
                      </c:pt>
                      <c:pt idx="73">
                        <c:v>11</c:v>
                      </c:pt>
                      <c:pt idx="74">
                        <c:v>10</c:v>
                      </c:pt>
                      <c:pt idx="75">
                        <c:v>9</c:v>
                      </c:pt>
                      <c:pt idx="76">
                        <c:v>8</c:v>
                      </c:pt>
                      <c:pt idx="77">
                        <c:v>8</c:v>
                      </c:pt>
                      <c:pt idx="78">
                        <c:v>10</c:v>
                      </c:pt>
                      <c:pt idx="79">
                        <c:v>10</c:v>
                      </c:pt>
                      <c:pt idx="80">
                        <c:v>7</c:v>
                      </c:pt>
                      <c:pt idx="81">
                        <c:v>4</c:v>
                      </c:pt>
                      <c:pt idx="82">
                        <c:v>4</c:v>
                      </c:pt>
                      <c:pt idx="83">
                        <c:v>3</c:v>
                      </c:pt>
                      <c:pt idx="84">
                        <c:v>3</c:v>
                      </c:pt>
                      <c:pt idx="85">
                        <c:v>3</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E-5F61-41E1-B7F7-F5C086851244}"/>
                  </c:ext>
                </c:extLst>
              </c15:ser>
            </c15:filteredLineSeries>
            <c15:filteredLineSeries>
              <c15:ser>
                <c:idx val="47"/>
                <c:order val="47"/>
                <c:tx>
                  <c:strRef>
                    <c:extLst xmlns:c15="http://schemas.microsoft.com/office/drawing/2012/chart">
                      <c:ext xmlns:c15="http://schemas.microsoft.com/office/drawing/2012/chart" uri="{02D57815-91ED-43cb-92C2-25804820EDAC}">
                        <c15:formulaRef>
                          <c15:sqref>Tabelle5!$B$49</c15:sqref>
                        </c15:formulaRef>
                      </c:ext>
                    </c:extLst>
                    <c:strCache>
                      <c:ptCount val="1"/>
                      <c:pt idx="0">
                        <c:v>CORTICOSTEROIDE ZUR SYSTEMISCHEN ANWENDUNG</c:v>
                      </c:pt>
                    </c:strCache>
                  </c:strRef>
                </c:tx>
                <c:spPr>
                  <a:ln w="28575" cap="rnd">
                    <a:solidFill>
                      <a:schemeClr val="accent6">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Tabelle5!$C$49:$CR$49</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1</c:v>
                      </c:pt>
                      <c:pt idx="15">
                        <c:v>1</c:v>
                      </c:pt>
                      <c:pt idx="16">
                        <c:v>4</c:v>
                      </c:pt>
                      <c:pt idx="17">
                        <c:v>4</c:v>
                      </c:pt>
                      <c:pt idx="18">
                        <c:v>5</c:v>
                      </c:pt>
                      <c:pt idx="19">
                        <c:v>5</c:v>
                      </c:pt>
                      <c:pt idx="20">
                        <c:v>5</c:v>
                      </c:pt>
                      <c:pt idx="21">
                        <c:v>4</c:v>
                      </c:pt>
                      <c:pt idx="22">
                        <c:v>4</c:v>
                      </c:pt>
                      <c:pt idx="23">
                        <c:v>1</c:v>
                      </c:pt>
                      <c:pt idx="24">
                        <c:v>1</c:v>
                      </c:pt>
                      <c:pt idx="25">
                        <c:v>0</c:v>
                      </c:pt>
                      <c:pt idx="26">
                        <c:v>0</c:v>
                      </c:pt>
                      <c:pt idx="27">
                        <c:v>0</c:v>
                      </c:pt>
                      <c:pt idx="28">
                        <c:v>3</c:v>
                      </c:pt>
                      <c:pt idx="29">
                        <c:v>3</c:v>
                      </c:pt>
                      <c:pt idx="30">
                        <c:v>8</c:v>
                      </c:pt>
                      <c:pt idx="31">
                        <c:v>8</c:v>
                      </c:pt>
                      <c:pt idx="32">
                        <c:v>10</c:v>
                      </c:pt>
                      <c:pt idx="33">
                        <c:v>10</c:v>
                      </c:pt>
                      <c:pt idx="34">
                        <c:v>10</c:v>
                      </c:pt>
                      <c:pt idx="35">
                        <c:v>10</c:v>
                      </c:pt>
                      <c:pt idx="36">
                        <c:v>8</c:v>
                      </c:pt>
                      <c:pt idx="37">
                        <c:v>8</c:v>
                      </c:pt>
                      <c:pt idx="38">
                        <c:v>6</c:v>
                      </c:pt>
                      <c:pt idx="39">
                        <c:v>6</c:v>
                      </c:pt>
                      <c:pt idx="40">
                        <c:v>5</c:v>
                      </c:pt>
                      <c:pt idx="41">
                        <c:v>3</c:v>
                      </c:pt>
                      <c:pt idx="42">
                        <c:v>3</c:v>
                      </c:pt>
                      <c:pt idx="43">
                        <c:v>3</c:v>
                      </c:pt>
                      <c:pt idx="44">
                        <c:v>5</c:v>
                      </c:pt>
                      <c:pt idx="45">
                        <c:v>6</c:v>
                      </c:pt>
                      <c:pt idx="46">
                        <c:v>5</c:v>
                      </c:pt>
                      <c:pt idx="47">
                        <c:v>4</c:v>
                      </c:pt>
                      <c:pt idx="48">
                        <c:v>4</c:v>
                      </c:pt>
                      <c:pt idx="49">
                        <c:v>4</c:v>
                      </c:pt>
                      <c:pt idx="50">
                        <c:v>5</c:v>
                      </c:pt>
                      <c:pt idx="51">
                        <c:v>5</c:v>
                      </c:pt>
                      <c:pt idx="52">
                        <c:v>4</c:v>
                      </c:pt>
                      <c:pt idx="53">
                        <c:v>4</c:v>
                      </c:pt>
                      <c:pt idx="54">
                        <c:v>5</c:v>
                      </c:pt>
                      <c:pt idx="55">
                        <c:v>4</c:v>
                      </c:pt>
                      <c:pt idx="56">
                        <c:v>4</c:v>
                      </c:pt>
                      <c:pt idx="57">
                        <c:v>4</c:v>
                      </c:pt>
                      <c:pt idx="58">
                        <c:v>4</c:v>
                      </c:pt>
                      <c:pt idx="59">
                        <c:v>5</c:v>
                      </c:pt>
                      <c:pt idx="60">
                        <c:v>5</c:v>
                      </c:pt>
                      <c:pt idx="61">
                        <c:v>5</c:v>
                      </c:pt>
                      <c:pt idx="62">
                        <c:v>7</c:v>
                      </c:pt>
                      <c:pt idx="63">
                        <c:v>10</c:v>
                      </c:pt>
                      <c:pt idx="64">
                        <c:v>15</c:v>
                      </c:pt>
                      <c:pt idx="65">
                        <c:v>17</c:v>
                      </c:pt>
                      <c:pt idx="66">
                        <c:v>11</c:v>
                      </c:pt>
                      <c:pt idx="67">
                        <c:v>11</c:v>
                      </c:pt>
                      <c:pt idx="68">
                        <c:v>10</c:v>
                      </c:pt>
                      <c:pt idx="69">
                        <c:v>18</c:v>
                      </c:pt>
                      <c:pt idx="70">
                        <c:v>20</c:v>
                      </c:pt>
                      <c:pt idx="71">
                        <c:v>17</c:v>
                      </c:pt>
                      <c:pt idx="72">
                        <c:v>13</c:v>
                      </c:pt>
                      <c:pt idx="73">
                        <c:v>12</c:v>
                      </c:pt>
                      <c:pt idx="74">
                        <c:v>11</c:v>
                      </c:pt>
                      <c:pt idx="75">
                        <c:v>18</c:v>
                      </c:pt>
                      <c:pt idx="76">
                        <c:v>16</c:v>
                      </c:pt>
                      <c:pt idx="77">
                        <c:v>15</c:v>
                      </c:pt>
                      <c:pt idx="78">
                        <c:v>13</c:v>
                      </c:pt>
                      <c:pt idx="79">
                        <c:v>10</c:v>
                      </c:pt>
                      <c:pt idx="80">
                        <c:v>9</c:v>
                      </c:pt>
                      <c:pt idx="81">
                        <c:v>5</c:v>
                      </c:pt>
                      <c:pt idx="82">
                        <c:v>3</c:v>
                      </c:pt>
                      <c:pt idx="83">
                        <c:v>3</c:v>
                      </c:pt>
                      <c:pt idx="84">
                        <c:v>3</c:v>
                      </c:pt>
                      <c:pt idx="85">
                        <c:v>3</c:v>
                      </c:pt>
                      <c:pt idx="86">
                        <c:v>3</c:v>
                      </c:pt>
                      <c:pt idx="87">
                        <c:v>3</c:v>
                      </c:pt>
                      <c:pt idx="88">
                        <c:v>1</c:v>
                      </c:pt>
                      <c:pt idx="89">
                        <c:v>1</c:v>
                      </c:pt>
                      <c:pt idx="90">
                        <c:v>1</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2F-5F61-41E1-B7F7-F5C086851244}"/>
                  </c:ext>
                </c:extLst>
              </c15:ser>
            </c15:filteredLineSeries>
            <c15:filteredLineSeries>
              <c15:ser>
                <c:idx val="48"/>
                <c:order val="48"/>
                <c:tx>
                  <c:strRef>
                    <c:extLst xmlns:c15="http://schemas.microsoft.com/office/drawing/2012/chart">
                      <c:ext xmlns:c15="http://schemas.microsoft.com/office/drawing/2012/chart" uri="{02D57815-91ED-43cb-92C2-25804820EDAC}">
                        <c15:formulaRef>
                          <c15:sqref>Tabelle5!$B$50</c15:sqref>
                        </c15:formulaRef>
                      </c:ext>
                    </c:extLst>
                    <c:strCache>
                      <c:ptCount val="1"/>
                      <c:pt idx="0">
                        <c:v>SCHILDDRÜSENTHERAPIE</c:v>
                      </c:pt>
                    </c:strCache>
                  </c:strRef>
                </c:tx>
                <c:spPr>
                  <a:ln w="28575" cap="rnd">
                    <a:solidFill>
                      <a:schemeClr val="accent1">
                        <a:lumMod val="50000"/>
                        <a:lumOff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Tabelle5!$C$50:$CR$50</c15:sqref>
                        </c15:formulaRef>
                      </c:ext>
                    </c:extLst>
                    <c:numCache>
                      <c:formatCode>General</c:formatCode>
                      <c:ptCount val="94"/>
                      <c:pt idx="0">
                        <c:v>1</c:v>
                      </c:pt>
                      <c:pt idx="1">
                        <c:v>1</c:v>
                      </c:pt>
                      <c:pt idx="2">
                        <c:v>1</c:v>
                      </c:pt>
                      <c:pt idx="3">
                        <c:v>1</c:v>
                      </c:pt>
                      <c:pt idx="4">
                        <c:v>1</c:v>
                      </c:pt>
                      <c:pt idx="5">
                        <c:v>1</c:v>
                      </c:pt>
                      <c:pt idx="6">
                        <c:v>2</c:v>
                      </c:pt>
                      <c:pt idx="7">
                        <c:v>2</c:v>
                      </c:pt>
                      <c:pt idx="8">
                        <c:v>2</c:v>
                      </c:pt>
                      <c:pt idx="9">
                        <c:v>2</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1</c:v>
                      </c:pt>
                      <c:pt idx="26">
                        <c:v>2</c:v>
                      </c:pt>
                      <c:pt idx="27">
                        <c:v>3</c:v>
                      </c:pt>
                      <c:pt idx="28">
                        <c:v>3</c:v>
                      </c:pt>
                      <c:pt idx="29">
                        <c:v>3</c:v>
                      </c:pt>
                      <c:pt idx="30">
                        <c:v>3</c:v>
                      </c:pt>
                      <c:pt idx="31">
                        <c:v>3</c:v>
                      </c:pt>
                      <c:pt idx="32">
                        <c:v>4</c:v>
                      </c:pt>
                      <c:pt idx="33">
                        <c:v>6</c:v>
                      </c:pt>
                      <c:pt idx="34">
                        <c:v>6</c:v>
                      </c:pt>
                      <c:pt idx="35">
                        <c:v>16</c:v>
                      </c:pt>
                      <c:pt idx="36">
                        <c:v>18</c:v>
                      </c:pt>
                      <c:pt idx="37">
                        <c:v>17</c:v>
                      </c:pt>
                      <c:pt idx="38">
                        <c:v>18</c:v>
                      </c:pt>
                      <c:pt idx="39">
                        <c:v>18</c:v>
                      </c:pt>
                      <c:pt idx="40">
                        <c:v>27</c:v>
                      </c:pt>
                      <c:pt idx="41">
                        <c:v>20</c:v>
                      </c:pt>
                      <c:pt idx="42">
                        <c:v>19</c:v>
                      </c:pt>
                      <c:pt idx="43">
                        <c:v>15</c:v>
                      </c:pt>
                      <c:pt idx="44">
                        <c:v>8</c:v>
                      </c:pt>
                      <c:pt idx="45">
                        <c:v>3</c:v>
                      </c:pt>
                      <c:pt idx="46">
                        <c:v>1</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c:v>
                      </c:pt>
                      <c:pt idx="62">
                        <c:v>0</c:v>
                      </c:pt>
                      <c:pt idx="63">
                        <c:v>1</c:v>
                      </c:pt>
                      <c:pt idx="64">
                        <c:v>1</c:v>
                      </c:pt>
                      <c:pt idx="65">
                        <c:v>2</c:v>
                      </c:pt>
                      <c:pt idx="66">
                        <c:v>2</c:v>
                      </c:pt>
                      <c:pt idx="67">
                        <c:v>2</c:v>
                      </c:pt>
                      <c:pt idx="68">
                        <c:v>2</c:v>
                      </c:pt>
                      <c:pt idx="69">
                        <c:v>2</c:v>
                      </c:pt>
                      <c:pt idx="70">
                        <c:v>2</c:v>
                      </c:pt>
                      <c:pt idx="71">
                        <c:v>2</c:v>
                      </c:pt>
                      <c:pt idx="72">
                        <c:v>1</c:v>
                      </c:pt>
                      <c:pt idx="73">
                        <c:v>0</c:v>
                      </c:pt>
                      <c:pt idx="74">
                        <c:v>0</c:v>
                      </c:pt>
                      <c:pt idx="75">
                        <c:v>7</c:v>
                      </c:pt>
                      <c:pt idx="76">
                        <c:v>8</c:v>
                      </c:pt>
                      <c:pt idx="77">
                        <c:v>4</c:v>
                      </c:pt>
                      <c:pt idx="78">
                        <c:v>0</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numCache>
                  </c:numRef>
                </c:val>
                <c:smooth val="0"/>
                <c:extLst xmlns:c15="http://schemas.microsoft.com/office/drawing/2012/chart">
                  <c:ext xmlns:c16="http://schemas.microsoft.com/office/drawing/2014/chart" uri="{C3380CC4-5D6E-409C-BE32-E72D297353CC}">
                    <c16:uniqueId val="{00000030-5F61-41E1-B7F7-F5C086851244}"/>
                  </c:ext>
                </c:extLst>
              </c15:ser>
            </c15:filteredLineSeries>
            <c15:filteredLineSeries>
              <c15:ser>
                <c:idx val="49"/>
                <c:order val="49"/>
                <c:tx>
                  <c:strRef>
                    <c:extLst xmlns:c15="http://schemas.microsoft.com/office/drawing/2012/chart">
                      <c:ext xmlns:c15="http://schemas.microsoft.com/office/drawing/2012/chart" uri="{02D57815-91ED-43cb-92C2-25804820EDAC}">
                        <c15:formulaRef>
                          <c15:sqref>Tabelle5!$B$51</c15:sqref>
                        </c15:formulaRef>
                      </c:ext>
                    </c:extLst>
                    <c:strCache>
                      <c:ptCount val="1"/>
                      <c:pt idx="0">
                        <c:v>PANKREASHORMONE</c:v>
                      </c:pt>
                    </c:strCache>
                  </c:strRef>
                </c:tx>
                <c:spPr>
                  <a:ln w="28575" cap="rnd">
                    <a:solidFill>
                      <a:schemeClr val="accent2">
                        <a:lumMod val="50000"/>
                        <a:lumOff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Tabelle5!$C$51:$CR$51</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c:v>
                      </c:pt>
                      <c:pt idx="60">
                        <c:v>1</c:v>
                      </c:pt>
                      <c:pt idx="61">
                        <c:v>0</c:v>
                      </c:pt>
                      <c:pt idx="62">
                        <c:v>1</c:v>
                      </c:pt>
                      <c:pt idx="63">
                        <c:v>0</c:v>
                      </c:pt>
                      <c:pt idx="64">
                        <c:v>2</c:v>
                      </c:pt>
                      <c:pt idx="65">
                        <c:v>2</c:v>
                      </c:pt>
                      <c:pt idx="66">
                        <c:v>0</c:v>
                      </c:pt>
                      <c:pt idx="67">
                        <c:v>1</c:v>
                      </c:pt>
                      <c:pt idx="68">
                        <c:v>1</c:v>
                      </c:pt>
                      <c:pt idx="69">
                        <c:v>1</c:v>
                      </c:pt>
                      <c:pt idx="70">
                        <c:v>1</c:v>
                      </c:pt>
                      <c:pt idx="71">
                        <c:v>1</c:v>
                      </c:pt>
                      <c:pt idx="72">
                        <c:v>1</c:v>
                      </c:pt>
                      <c:pt idx="73">
                        <c:v>0</c:v>
                      </c:pt>
                      <c:pt idx="74">
                        <c:v>0</c:v>
                      </c:pt>
                      <c:pt idx="75">
                        <c:v>0</c:v>
                      </c:pt>
                      <c:pt idx="76">
                        <c:v>0</c:v>
                      </c:pt>
                      <c:pt idx="77">
                        <c:v>1</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1-5F61-41E1-B7F7-F5C086851244}"/>
                  </c:ext>
                </c:extLst>
              </c15:ser>
            </c15:filteredLineSeries>
            <c15:filteredLineSeries>
              <c15:ser>
                <c:idx val="50"/>
                <c:order val="50"/>
                <c:tx>
                  <c:strRef>
                    <c:extLst xmlns:c15="http://schemas.microsoft.com/office/drawing/2012/chart">
                      <c:ext xmlns:c15="http://schemas.microsoft.com/office/drawing/2012/chart" uri="{02D57815-91ED-43cb-92C2-25804820EDAC}">
                        <c15:formulaRef>
                          <c15:sqref>Tabelle5!$B$52</c15:sqref>
                        </c15:formulaRef>
                      </c:ext>
                    </c:extLst>
                    <c:strCache>
                      <c:ptCount val="1"/>
                      <c:pt idx="0">
                        <c:v>CALCIUMHOMÖOSTASE</c:v>
                      </c:pt>
                    </c:strCache>
                  </c:strRef>
                </c:tx>
                <c:spPr>
                  <a:ln w="28575" cap="rnd">
                    <a:solidFill>
                      <a:schemeClr val="accent3">
                        <a:lumMod val="50000"/>
                        <a:lumOff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Tabelle5!$C$52:$CR$52</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3</c:v>
                      </c:pt>
                      <c:pt idx="70">
                        <c:v>3</c:v>
                      </c:pt>
                      <c:pt idx="71">
                        <c:v>3</c:v>
                      </c:pt>
                      <c:pt idx="72">
                        <c:v>3</c:v>
                      </c:pt>
                      <c:pt idx="73">
                        <c:v>3</c:v>
                      </c:pt>
                      <c:pt idx="74">
                        <c:v>3</c:v>
                      </c:pt>
                      <c:pt idx="75">
                        <c:v>3</c:v>
                      </c:pt>
                      <c:pt idx="76">
                        <c:v>6</c:v>
                      </c:pt>
                      <c:pt idx="77">
                        <c:v>6</c:v>
                      </c:pt>
                      <c:pt idx="78">
                        <c:v>6</c:v>
                      </c:pt>
                      <c:pt idx="79">
                        <c:v>6</c:v>
                      </c:pt>
                      <c:pt idx="80">
                        <c:v>4</c:v>
                      </c:pt>
                      <c:pt idx="81">
                        <c:v>1</c:v>
                      </c:pt>
                      <c:pt idx="82">
                        <c:v>1</c:v>
                      </c:pt>
                      <c:pt idx="83">
                        <c:v>1</c:v>
                      </c:pt>
                      <c:pt idx="84">
                        <c:v>1</c:v>
                      </c:pt>
                      <c:pt idx="85">
                        <c:v>1</c:v>
                      </c:pt>
                      <c:pt idx="86">
                        <c:v>1</c:v>
                      </c:pt>
                      <c:pt idx="87">
                        <c:v>1</c:v>
                      </c:pt>
                      <c:pt idx="88">
                        <c:v>1</c:v>
                      </c:pt>
                      <c:pt idx="89">
                        <c:v>1</c:v>
                      </c:pt>
                      <c:pt idx="90">
                        <c:v>1</c:v>
                      </c:pt>
                      <c:pt idx="91">
                        <c:v>1</c:v>
                      </c:pt>
                      <c:pt idx="92">
                        <c:v>1</c:v>
                      </c:pt>
                      <c:pt idx="93">
                        <c:v>1</c:v>
                      </c:pt>
                    </c:numCache>
                  </c:numRef>
                </c:val>
                <c:smooth val="0"/>
                <c:extLst xmlns:c15="http://schemas.microsoft.com/office/drawing/2012/chart">
                  <c:ext xmlns:c16="http://schemas.microsoft.com/office/drawing/2014/chart" uri="{C3380CC4-5D6E-409C-BE32-E72D297353CC}">
                    <c16:uniqueId val="{00000032-5F61-41E1-B7F7-F5C086851244}"/>
                  </c:ext>
                </c:extLst>
              </c15:ser>
            </c15:filteredLineSeries>
            <c15:filteredLineSeries>
              <c15:ser>
                <c:idx val="52"/>
                <c:order val="52"/>
                <c:tx>
                  <c:strRef>
                    <c:extLst xmlns:c15="http://schemas.microsoft.com/office/drawing/2012/chart">
                      <c:ext xmlns:c15="http://schemas.microsoft.com/office/drawing/2012/chart" uri="{02D57815-91ED-43cb-92C2-25804820EDAC}">
                        <c15:formulaRef>
                          <c15:sqref>Tabelle5!$B$54</c15:sqref>
                        </c15:formulaRef>
                      </c:ext>
                    </c:extLst>
                    <c:strCache>
                      <c:ptCount val="1"/>
                      <c:pt idx="0">
                        <c:v>ANTIMYKOTIKA ZUR SYSTEMISCHEN ANWENDUNG</c:v>
                      </c:pt>
                    </c:strCache>
                  </c:strRef>
                </c:tx>
                <c:spPr>
                  <a:ln w="28575" cap="rnd">
                    <a:solidFill>
                      <a:schemeClr val="accent5">
                        <a:lumMod val="50000"/>
                        <a:lumOff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Tabelle5!$C$54:$CR$54</c15:sqref>
                        </c15:formulaRef>
                      </c:ext>
                    </c:extLst>
                    <c:numCache>
                      <c:formatCode>General</c:formatCode>
                      <c:ptCount val="94"/>
                      <c:pt idx="0">
                        <c:v>0</c:v>
                      </c:pt>
                      <c:pt idx="1">
                        <c:v>0</c:v>
                      </c:pt>
                      <c:pt idx="2">
                        <c:v>0</c:v>
                      </c:pt>
                      <c:pt idx="3">
                        <c:v>0</c:v>
                      </c:pt>
                      <c:pt idx="4">
                        <c:v>0</c:v>
                      </c:pt>
                      <c:pt idx="5">
                        <c:v>0</c:v>
                      </c:pt>
                      <c:pt idx="6">
                        <c:v>0</c:v>
                      </c:pt>
                      <c:pt idx="7">
                        <c:v>2</c:v>
                      </c:pt>
                      <c:pt idx="8">
                        <c:v>2</c:v>
                      </c:pt>
                      <c:pt idx="9">
                        <c:v>0</c:v>
                      </c:pt>
                      <c:pt idx="10">
                        <c:v>0</c:v>
                      </c:pt>
                      <c:pt idx="11">
                        <c:v>1</c:v>
                      </c:pt>
                      <c:pt idx="12">
                        <c:v>1</c:v>
                      </c:pt>
                      <c:pt idx="13">
                        <c:v>1</c:v>
                      </c:pt>
                      <c:pt idx="14">
                        <c:v>1</c:v>
                      </c:pt>
                      <c:pt idx="15">
                        <c:v>0</c:v>
                      </c:pt>
                      <c:pt idx="16">
                        <c:v>0</c:v>
                      </c:pt>
                      <c:pt idx="17">
                        <c:v>0</c:v>
                      </c:pt>
                      <c:pt idx="18">
                        <c:v>0</c:v>
                      </c:pt>
                      <c:pt idx="19">
                        <c:v>0</c:v>
                      </c:pt>
                      <c:pt idx="20">
                        <c:v>0</c:v>
                      </c:pt>
                      <c:pt idx="21">
                        <c:v>0</c:v>
                      </c:pt>
                      <c:pt idx="22">
                        <c:v>1</c:v>
                      </c:pt>
                      <c:pt idx="23">
                        <c:v>1</c:v>
                      </c:pt>
                      <c:pt idx="24">
                        <c:v>0</c:v>
                      </c:pt>
                      <c:pt idx="25">
                        <c:v>1</c:v>
                      </c:pt>
                      <c:pt idx="26">
                        <c:v>1</c:v>
                      </c:pt>
                      <c:pt idx="27">
                        <c:v>1</c:v>
                      </c:pt>
                      <c:pt idx="28">
                        <c:v>1</c:v>
                      </c:pt>
                      <c:pt idx="29">
                        <c:v>0</c:v>
                      </c:pt>
                      <c:pt idx="30">
                        <c:v>0</c:v>
                      </c:pt>
                      <c:pt idx="31">
                        <c:v>0</c:v>
                      </c:pt>
                      <c:pt idx="32">
                        <c:v>0</c:v>
                      </c:pt>
                      <c:pt idx="33">
                        <c:v>1</c:v>
                      </c:pt>
                      <c:pt idx="34">
                        <c:v>1</c:v>
                      </c:pt>
                      <c:pt idx="35">
                        <c:v>2</c:v>
                      </c:pt>
                      <c:pt idx="36">
                        <c:v>2</c:v>
                      </c:pt>
                      <c:pt idx="37">
                        <c:v>4</c:v>
                      </c:pt>
                      <c:pt idx="38">
                        <c:v>5</c:v>
                      </c:pt>
                      <c:pt idx="39">
                        <c:v>5</c:v>
                      </c:pt>
                      <c:pt idx="40">
                        <c:v>4</c:v>
                      </c:pt>
                      <c:pt idx="41">
                        <c:v>2</c:v>
                      </c:pt>
                      <c:pt idx="42">
                        <c:v>3</c:v>
                      </c:pt>
                      <c:pt idx="43">
                        <c:v>3</c:v>
                      </c:pt>
                      <c:pt idx="44">
                        <c:v>2</c:v>
                      </c:pt>
                      <c:pt idx="45">
                        <c:v>2</c:v>
                      </c:pt>
                      <c:pt idx="46">
                        <c:v>2</c:v>
                      </c:pt>
                      <c:pt idx="47">
                        <c:v>2</c:v>
                      </c:pt>
                      <c:pt idx="48">
                        <c:v>3</c:v>
                      </c:pt>
                      <c:pt idx="49">
                        <c:v>3</c:v>
                      </c:pt>
                      <c:pt idx="50">
                        <c:v>4</c:v>
                      </c:pt>
                      <c:pt idx="51">
                        <c:v>4</c:v>
                      </c:pt>
                      <c:pt idx="52">
                        <c:v>2</c:v>
                      </c:pt>
                      <c:pt idx="53">
                        <c:v>2</c:v>
                      </c:pt>
                      <c:pt idx="54">
                        <c:v>2</c:v>
                      </c:pt>
                      <c:pt idx="55">
                        <c:v>2</c:v>
                      </c:pt>
                      <c:pt idx="56">
                        <c:v>1</c:v>
                      </c:pt>
                      <c:pt idx="57">
                        <c:v>1</c:v>
                      </c:pt>
                      <c:pt idx="58">
                        <c:v>1</c:v>
                      </c:pt>
                      <c:pt idx="59">
                        <c:v>2</c:v>
                      </c:pt>
                      <c:pt idx="60">
                        <c:v>1</c:v>
                      </c:pt>
                      <c:pt idx="61">
                        <c:v>1</c:v>
                      </c:pt>
                      <c:pt idx="62">
                        <c:v>1</c:v>
                      </c:pt>
                      <c:pt idx="63">
                        <c:v>1</c:v>
                      </c:pt>
                      <c:pt idx="64">
                        <c:v>0</c:v>
                      </c:pt>
                      <c:pt idx="65">
                        <c:v>0</c:v>
                      </c:pt>
                      <c:pt idx="66">
                        <c:v>1</c:v>
                      </c:pt>
                      <c:pt idx="67">
                        <c:v>1</c:v>
                      </c:pt>
                      <c:pt idx="68">
                        <c:v>1</c:v>
                      </c:pt>
                      <c:pt idx="69">
                        <c:v>1</c:v>
                      </c:pt>
                      <c:pt idx="70">
                        <c:v>1</c:v>
                      </c:pt>
                      <c:pt idx="71">
                        <c:v>2</c:v>
                      </c:pt>
                      <c:pt idx="72">
                        <c:v>2</c:v>
                      </c:pt>
                      <c:pt idx="73">
                        <c:v>2</c:v>
                      </c:pt>
                      <c:pt idx="74">
                        <c:v>2</c:v>
                      </c:pt>
                      <c:pt idx="75">
                        <c:v>2</c:v>
                      </c:pt>
                      <c:pt idx="76">
                        <c:v>2</c:v>
                      </c:pt>
                      <c:pt idx="77">
                        <c:v>2</c:v>
                      </c:pt>
                      <c:pt idx="78">
                        <c:v>3</c:v>
                      </c:pt>
                      <c:pt idx="79">
                        <c:v>4</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numCache>
                  </c:numRef>
                </c:val>
                <c:smooth val="0"/>
                <c:extLst xmlns:c15="http://schemas.microsoft.com/office/drawing/2012/chart">
                  <c:ext xmlns:c16="http://schemas.microsoft.com/office/drawing/2014/chart" uri="{C3380CC4-5D6E-409C-BE32-E72D297353CC}">
                    <c16:uniqueId val="{00000034-5F61-41E1-B7F7-F5C086851244}"/>
                  </c:ext>
                </c:extLst>
              </c15:ser>
            </c15:filteredLineSeries>
            <c15:filteredLineSeries>
              <c15:ser>
                <c:idx val="53"/>
                <c:order val="53"/>
                <c:tx>
                  <c:strRef>
                    <c:extLst xmlns:c15="http://schemas.microsoft.com/office/drawing/2012/chart">
                      <c:ext xmlns:c15="http://schemas.microsoft.com/office/drawing/2012/chart" uri="{02D57815-91ED-43cb-92C2-25804820EDAC}">
                        <c15:formulaRef>
                          <c15:sqref>Tabelle5!$B$55</c15:sqref>
                        </c15:formulaRef>
                      </c:ext>
                    </c:extLst>
                    <c:strCache>
                      <c:ptCount val="1"/>
                      <c:pt idx="0">
                        <c:v>MITTEL GEGEN MYKOBAKTERIEN</c:v>
                      </c:pt>
                    </c:strCache>
                  </c:strRef>
                </c:tx>
                <c:spPr>
                  <a:ln w="28575" cap="rnd">
                    <a:solidFill>
                      <a:schemeClr val="accent6">
                        <a:lumMod val="50000"/>
                        <a:lumOff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Tabelle5!$C$55:$CR$55</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1</c:v>
                      </c:pt>
                      <c:pt idx="15">
                        <c:v>1</c:v>
                      </c:pt>
                      <c:pt idx="16">
                        <c:v>1</c:v>
                      </c:pt>
                      <c:pt idx="17">
                        <c:v>1</c:v>
                      </c:pt>
                      <c:pt idx="18">
                        <c:v>1</c:v>
                      </c:pt>
                      <c:pt idx="19">
                        <c:v>1</c:v>
                      </c:pt>
                      <c:pt idx="20">
                        <c:v>1</c:v>
                      </c:pt>
                      <c:pt idx="21">
                        <c:v>2</c:v>
                      </c:pt>
                      <c:pt idx="22">
                        <c:v>1</c:v>
                      </c:pt>
                      <c:pt idx="23">
                        <c:v>1</c:v>
                      </c:pt>
                      <c:pt idx="24">
                        <c:v>1</c:v>
                      </c:pt>
                      <c:pt idx="25">
                        <c:v>1</c:v>
                      </c:pt>
                      <c:pt idx="26">
                        <c:v>1</c:v>
                      </c:pt>
                      <c:pt idx="27">
                        <c:v>1</c:v>
                      </c:pt>
                      <c:pt idx="28">
                        <c:v>0</c:v>
                      </c:pt>
                      <c:pt idx="29">
                        <c:v>1</c:v>
                      </c:pt>
                      <c:pt idx="30">
                        <c:v>1</c:v>
                      </c:pt>
                      <c:pt idx="31">
                        <c:v>1</c:v>
                      </c:pt>
                      <c:pt idx="32">
                        <c:v>0</c:v>
                      </c:pt>
                      <c:pt idx="33">
                        <c:v>2</c:v>
                      </c:pt>
                      <c:pt idx="34">
                        <c:v>2</c:v>
                      </c:pt>
                      <c:pt idx="35">
                        <c:v>1</c:v>
                      </c:pt>
                      <c:pt idx="36">
                        <c:v>0</c:v>
                      </c:pt>
                      <c:pt idx="37">
                        <c:v>1</c:v>
                      </c:pt>
                      <c:pt idx="38">
                        <c:v>1</c:v>
                      </c:pt>
                      <c:pt idx="39">
                        <c:v>1</c:v>
                      </c:pt>
                      <c:pt idx="40">
                        <c:v>2</c:v>
                      </c:pt>
                      <c:pt idx="41">
                        <c:v>2</c:v>
                      </c:pt>
                      <c:pt idx="42">
                        <c:v>1</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1</c:v>
                      </c:pt>
                      <c:pt idx="59">
                        <c:v>1</c:v>
                      </c:pt>
                      <c:pt idx="60">
                        <c:v>0</c:v>
                      </c:pt>
                      <c:pt idx="61">
                        <c:v>0</c:v>
                      </c:pt>
                      <c:pt idx="62">
                        <c:v>0</c:v>
                      </c:pt>
                      <c:pt idx="63">
                        <c:v>1</c:v>
                      </c:pt>
                      <c:pt idx="64">
                        <c:v>0</c:v>
                      </c:pt>
                      <c:pt idx="65">
                        <c:v>0</c:v>
                      </c:pt>
                      <c:pt idx="66">
                        <c:v>0</c:v>
                      </c:pt>
                      <c:pt idx="67">
                        <c:v>0</c:v>
                      </c:pt>
                      <c:pt idx="68">
                        <c:v>0</c:v>
                      </c:pt>
                      <c:pt idx="69">
                        <c:v>0</c:v>
                      </c:pt>
                      <c:pt idx="70">
                        <c:v>0</c:v>
                      </c:pt>
                      <c:pt idx="71">
                        <c:v>0</c:v>
                      </c:pt>
                      <c:pt idx="72">
                        <c:v>0</c:v>
                      </c:pt>
                      <c:pt idx="73">
                        <c:v>0</c:v>
                      </c:pt>
                      <c:pt idx="74">
                        <c:v>0</c:v>
                      </c:pt>
                      <c:pt idx="75">
                        <c:v>1</c:v>
                      </c:pt>
                      <c:pt idx="76">
                        <c:v>1</c:v>
                      </c:pt>
                      <c:pt idx="77">
                        <c:v>1</c:v>
                      </c:pt>
                      <c:pt idx="78">
                        <c:v>2</c:v>
                      </c:pt>
                      <c:pt idx="79">
                        <c:v>1</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5-5F61-41E1-B7F7-F5C086851244}"/>
                  </c:ext>
                </c:extLst>
              </c15:ser>
            </c15:filteredLineSeries>
            <c15:filteredLineSeries>
              <c15:ser>
                <c:idx val="54"/>
                <c:order val="54"/>
                <c:tx>
                  <c:strRef>
                    <c:extLst xmlns:c15="http://schemas.microsoft.com/office/drawing/2012/chart">
                      <c:ext xmlns:c15="http://schemas.microsoft.com/office/drawing/2012/chart" uri="{02D57815-91ED-43cb-92C2-25804820EDAC}">
                        <c15:formulaRef>
                          <c15:sqref>Tabelle5!$B$56</c15:sqref>
                        </c15:formulaRef>
                      </c:ext>
                    </c:extLst>
                    <c:strCache>
                      <c:ptCount val="1"/>
                      <c:pt idx="0">
                        <c:v>ANTIVIRALE MITTEL ZUR SYSTEMISCHEN ANWENDUNG</c:v>
                      </c:pt>
                    </c:strCache>
                  </c:strRef>
                </c:tx>
                <c:spPr>
                  <a:ln w="28575" cap="rnd">
                    <a:solidFill>
                      <a:schemeClr val="accent1"/>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Tabelle5!$C$56:$CR$56</c15:sqref>
                        </c15:formulaRef>
                      </c:ext>
                    </c:extLst>
                    <c:numCache>
                      <c:formatCode>General</c:formatCode>
                      <c:ptCount val="94"/>
                      <c:pt idx="0">
                        <c:v>1</c:v>
                      </c:pt>
                      <c:pt idx="1">
                        <c:v>1</c:v>
                      </c:pt>
                      <c:pt idx="2">
                        <c:v>1</c:v>
                      </c:pt>
                      <c:pt idx="3">
                        <c:v>1</c:v>
                      </c:pt>
                      <c:pt idx="4">
                        <c:v>2</c:v>
                      </c:pt>
                      <c:pt idx="5">
                        <c:v>1</c:v>
                      </c:pt>
                      <c:pt idx="6">
                        <c:v>1</c:v>
                      </c:pt>
                      <c:pt idx="7">
                        <c:v>1</c:v>
                      </c:pt>
                      <c:pt idx="8">
                        <c:v>1</c:v>
                      </c:pt>
                      <c:pt idx="9">
                        <c:v>0</c:v>
                      </c:pt>
                      <c:pt idx="10">
                        <c:v>0</c:v>
                      </c:pt>
                      <c:pt idx="11">
                        <c:v>0</c:v>
                      </c:pt>
                      <c:pt idx="12">
                        <c:v>1</c:v>
                      </c:pt>
                      <c:pt idx="13">
                        <c:v>1</c:v>
                      </c:pt>
                      <c:pt idx="14">
                        <c:v>2</c:v>
                      </c:pt>
                      <c:pt idx="15">
                        <c:v>3</c:v>
                      </c:pt>
                      <c:pt idx="16">
                        <c:v>2</c:v>
                      </c:pt>
                      <c:pt idx="17">
                        <c:v>1</c:v>
                      </c:pt>
                      <c:pt idx="18">
                        <c:v>3</c:v>
                      </c:pt>
                      <c:pt idx="19">
                        <c:v>3</c:v>
                      </c:pt>
                      <c:pt idx="20">
                        <c:v>3</c:v>
                      </c:pt>
                      <c:pt idx="21">
                        <c:v>3</c:v>
                      </c:pt>
                      <c:pt idx="22">
                        <c:v>3</c:v>
                      </c:pt>
                      <c:pt idx="23">
                        <c:v>3</c:v>
                      </c:pt>
                      <c:pt idx="24">
                        <c:v>5</c:v>
                      </c:pt>
                      <c:pt idx="25">
                        <c:v>5</c:v>
                      </c:pt>
                      <c:pt idx="26">
                        <c:v>9</c:v>
                      </c:pt>
                      <c:pt idx="27">
                        <c:v>11</c:v>
                      </c:pt>
                      <c:pt idx="28">
                        <c:v>12</c:v>
                      </c:pt>
                      <c:pt idx="29">
                        <c:v>10</c:v>
                      </c:pt>
                      <c:pt idx="30">
                        <c:v>11</c:v>
                      </c:pt>
                      <c:pt idx="31">
                        <c:v>7</c:v>
                      </c:pt>
                      <c:pt idx="32">
                        <c:v>6</c:v>
                      </c:pt>
                      <c:pt idx="33">
                        <c:v>6</c:v>
                      </c:pt>
                      <c:pt idx="34">
                        <c:v>7</c:v>
                      </c:pt>
                      <c:pt idx="35">
                        <c:v>5</c:v>
                      </c:pt>
                      <c:pt idx="36">
                        <c:v>15</c:v>
                      </c:pt>
                      <c:pt idx="37">
                        <c:v>18</c:v>
                      </c:pt>
                      <c:pt idx="38">
                        <c:v>16</c:v>
                      </c:pt>
                      <c:pt idx="39">
                        <c:v>10</c:v>
                      </c:pt>
                      <c:pt idx="40">
                        <c:v>9</c:v>
                      </c:pt>
                      <c:pt idx="41">
                        <c:v>7</c:v>
                      </c:pt>
                      <c:pt idx="42">
                        <c:v>6</c:v>
                      </c:pt>
                      <c:pt idx="43">
                        <c:v>6</c:v>
                      </c:pt>
                      <c:pt idx="44">
                        <c:v>6</c:v>
                      </c:pt>
                      <c:pt idx="45">
                        <c:v>6</c:v>
                      </c:pt>
                      <c:pt idx="46">
                        <c:v>4</c:v>
                      </c:pt>
                      <c:pt idx="47">
                        <c:v>4</c:v>
                      </c:pt>
                      <c:pt idx="48">
                        <c:v>3</c:v>
                      </c:pt>
                      <c:pt idx="49">
                        <c:v>3</c:v>
                      </c:pt>
                      <c:pt idx="50">
                        <c:v>2</c:v>
                      </c:pt>
                      <c:pt idx="51">
                        <c:v>2</c:v>
                      </c:pt>
                      <c:pt idx="52">
                        <c:v>1</c:v>
                      </c:pt>
                      <c:pt idx="53">
                        <c:v>1</c:v>
                      </c:pt>
                      <c:pt idx="54">
                        <c:v>1</c:v>
                      </c:pt>
                      <c:pt idx="55">
                        <c:v>0</c:v>
                      </c:pt>
                      <c:pt idx="56">
                        <c:v>0</c:v>
                      </c:pt>
                      <c:pt idx="57">
                        <c:v>1</c:v>
                      </c:pt>
                      <c:pt idx="58">
                        <c:v>0</c:v>
                      </c:pt>
                      <c:pt idx="59">
                        <c:v>0</c:v>
                      </c:pt>
                      <c:pt idx="60">
                        <c:v>0</c:v>
                      </c:pt>
                      <c:pt idx="61">
                        <c:v>1</c:v>
                      </c:pt>
                      <c:pt idx="62">
                        <c:v>1</c:v>
                      </c:pt>
                      <c:pt idx="63">
                        <c:v>2</c:v>
                      </c:pt>
                      <c:pt idx="64">
                        <c:v>0</c:v>
                      </c:pt>
                      <c:pt idx="65">
                        <c:v>1</c:v>
                      </c:pt>
                      <c:pt idx="66">
                        <c:v>0</c:v>
                      </c:pt>
                      <c:pt idx="67">
                        <c:v>0</c:v>
                      </c:pt>
                      <c:pt idx="68">
                        <c:v>0</c:v>
                      </c:pt>
                      <c:pt idx="69">
                        <c:v>0</c:v>
                      </c:pt>
                      <c:pt idx="70">
                        <c:v>0</c:v>
                      </c:pt>
                      <c:pt idx="71">
                        <c:v>1</c:v>
                      </c:pt>
                      <c:pt idx="72">
                        <c:v>1</c:v>
                      </c:pt>
                      <c:pt idx="73">
                        <c:v>0</c:v>
                      </c:pt>
                      <c:pt idx="74">
                        <c:v>0</c:v>
                      </c:pt>
                      <c:pt idx="75">
                        <c:v>0</c:v>
                      </c:pt>
                      <c:pt idx="76">
                        <c:v>0</c:v>
                      </c:pt>
                      <c:pt idx="77">
                        <c:v>1</c:v>
                      </c:pt>
                      <c:pt idx="78">
                        <c:v>3</c:v>
                      </c:pt>
                      <c:pt idx="79">
                        <c:v>4</c:v>
                      </c:pt>
                      <c:pt idx="80">
                        <c:v>3</c:v>
                      </c:pt>
                      <c:pt idx="81">
                        <c:v>2</c:v>
                      </c:pt>
                      <c:pt idx="82">
                        <c:v>1</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6-5F61-41E1-B7F7-F5C086851244}"/>
                  </c:ext>
                </c:extLst>
              </c15:ser>
            </c15:filteredLineSeries>
            <c15:filteredLineSeries>
              <c15:ser>
                <c:idx val="55"/>
                <c:order val="55"/>
                <c:tx>
                  <c:strRef>
                    <c:extLst xmlns:c15="http://schemas.microsoft.com/office/drawing/2012/chart">
                      <c:ext xmlns:c15="http://schemas.microsoft.com/office/drawing/2012/chart" uri="{02D57815-91ED-43cb-92C2-25804820EDAC}">
                        <c15:formulaRef>
                          <c15:sqref>Tabelle5!$B$57</c15:sqref>
                        </c15:formulaRef>
                      </c:ext>
                    </c:extLst>
                    <c:strCache>
                      <c:ptCount val="1"/>
                      <c:pt idx="0">
                        <c:v>IMMUNSERA UND IMMUNGLOBULINE</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Tabelle5!$C$57:$CR$57</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1</c:v>
                      </c:pt>
                      <c:pt idx="11">
                        <c:v>1</c:v>
                      </c:pt>
                      <c:pt idx="12">
                        <c:v>1</c:v>
                      </c:pt>
                      <c:pt idx="13">
                        <c:v>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c:v>
                      </c:pt>
                      <c:pt idx="31">
                        <c:v>1</c:v>
                      </c:pt>
                      <c:pt idx="32">
                        <c:v>1</c:v>
                      </c:pt>
                      <c:pt idx="33">
                        <c:v>7</c:v>
                      </c:pt>
                      <c:pt idx="34">
                        <c:v>6</c:v>
                      </c:pt>
                      <c:pt idx="35">
                        <c:v>6</c:v>
                      </c:pt>
                      <c:pt idx="36">
                        <c:v>6</c:v>
                      </c:pt>
                      <c:pt idx="37">
                        <c:v>6</c:v>
                      </c:pt>
                      <c:pt idx="38">
                        <c:v>7</c:v>
                      </c:pt>
                      <c:pt idx="39">
                        <c:v>7</c:v>
                      </c:pt>
                      <c:pt idx="40">
                        <c:v>7</c:v>
                      </c:pt>
                      <c:pt idx="41">
                        <c:v>7</c:v>
                      </c:pt>
                      <c:pt idx="42">
                        <c:v>6</c:v>
                      </c:pt>
                      <c:pt idx="43">
                        <c:v>1</c:v>
                      </c:pt>
                      <c:pt idx="44">
                        <c:v>1</c:v>
                      </c:pt>
                      <c:pt idx="45">
                        <c:v>1</c:v>
                      </c:pt>
                      <c:pt idx="46">
                        <c:v>1</c:v>
                      </c:pt>
                      <c:pt idx="47">
                        <c:v>4</c:v>
                      </c:pt>
                      <c:pt idx="48">
                        <c:v>3</c:v>
                      </c:pt>
                      <c:pt idx="49">
                        <c:v>4</c:v>
                      </c:pt>
                      <c:pt idx="50">
                        <c:v>4</c:v>
                      </c:pt>
                      <c:pt idx="51">
                        <c:v>4</c:v>
                      </c:pt>
                      <c:pt idx="52">
                        <c:v>4</c:v>
                      </c:pt>
                      <c:pt idx="53">
                        <c:v>4</c:v>
                      </c:pt>
                      <c:pt idx="54">
                        <c:v>4</c:v>
                      </c:pt>
                      <c:pt idx="55">
                        <c:v>5</c:v>
                      </c:pt>
                      <c:pt idx="56">
                        <c:v>5</c:v>
                      </c:pt>
                      <c:pt idx="57">
                        <c:v>9</c:v>
                      </c:pt>
                      <c:pt idx="58">
                        <c:v>10</c:v>
                      </c:pt>
                      <c:pt idx="59">
                        <c:v>10</c:v>
                      </c:pt>
                      <c:pt idx="60">
                        <c:v>10</c:v>
                      </c:pt>
                      <c:pt idx="61">
                        <c:v>11</c:v>
                      </c:pt>
                      <c:pt idx="62">
                        <c:v>11</c:v>
                      </c:pt>
                      <c:pt idx="63">
                        <c:v>11</c:v>
                      </c:pt>
                      <c:pt idx="64">
                        <c:v>11</c:v>
                      </c:pt>
                      <c:pt idx="65">
                        <c:v>12</c:v>
                      </c:pt>
                      <c:pt idx="66">
                        <c:v>14</c:v>
                      </c:pt>
                      <c:pt idx="67">
                        <c:v>14</c:v>
                      </c:pt>
                      <c:pt idx="68">
                        <c:v>14</c:v>
                      </c:pt>
                      <c:pt idx="69">
                        <c:v>14</c:v>
                      </c:pt>
                      <c:pt idx="70">
                        <c:v>13</c:v>
                      </c:pt>
                      <c:pt idx="71">
                        <c:v>12</c:v>
                      </c:pt>
                      <c:pt idx="72">
                        <c:v>12</c:v>
                      </c:pt>
                      <c:pt idx="73">
                        <c:v>10</c:v>
                      </c:pt>
                      <c:pt idx="74">
                        <c:v>7</c:v>
                      </c:pt>
                      <c:pt idx="75">
                        <c:v>7</c:v>
                      </c:pt>
                      <c:pt idx="76">
                        <c:v>6</c:v>
                      </c:pt>
                      <c:pt idx="77">
                        <c:v>5</c:v>
                      </c:pt>
                      <c:pt idx="78">
                        <c:v>4</c:v>
                      </c:pt>
                      <c:pt idx="79">
                        <c:v>4</c:v>
                      </c:pt>
                      <c:pt idx="80">
                        <c:v>4</c:v>
                      </c:pt>
                      <c:pt idx="81">
                        <c:v>4</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7-5F61-41E1-B7F7-F5C086851244}"/>
                  </c:ext>
                </c:extLst>
              </c15:ser>
            </c15:filteredLineSeries>
            <c15:filteredLineSeries>
              <c15:ser>
                <c:idx val="56"/>
                <c:order val="56"/>
                <c:tx>
                  <c:strRef>
                    <c:extLst xmlns:c15="http://schemas.microsoft.com/office/drawing/2012/chart">
                      <c:ext xmlns:c15="http://schemas.microsoft.com/office/drawing/2012/chart" uri="{02D57815-91ED-43cb-92C2-25804820EDAC}">
                        <c15:formulaRef>
                          <c15:sqref>Tabelle5!$B$58</c15:sqref>
                        </c15:formulaRef>
                      </c:ext>
                    </c:extLst>
                    <c:strCache>
                      <c:ptCount val="1"/>
                      <c:pt idx="0">
                        <c:v>IMPFSTOFFE</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Tabelle5!$C$58:$CR$58</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8-5F61-41E1-B7F7-F5C086851244}"/>
                  </c:ext>
                </c:extLst>
              </c15:ser>
            </c15:filteredLineSeries>
            <c15:filteredLineSeries>
              <c15:ser>
                <c:idx val="58"/>
                <c:order val="58"/>
                <c:tx>
                  <c:strRef>
                    <c:extLst xmlns:c15="http://schemas.microsoft.com/office/drawing/2012/chart">
                      <c:ext xmlns:c15="http://schemas.microsoft.com/office/drawing/2012/chart" uri="{02D57815-91ED-43cb-92C2-25804820EDAC}">
                        <c15:formulaRef>
                          <c15:sqref>Tabelle5!$B$60</c15:sqref>
                        </c15:formulaRef>
                      </c:ext>
                    </c:extLst>
                    <c:strCache>
                      <c:ptCount val="1"/>
                      <c:pt idx="0">
                        <c:v>ENDOKRINE THERAPIE</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Tabelle5!$C$60:$CR$60</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1</c:v>
                      </c:pt>
                      <c:pt idx="22">
                        <c:v>1</c:v>
                      </c:pt>
                      <c:pt idx="23">
                        <c:v>1</c:v>
                      </c:pt>
                      <c:pt idx="24">
                        <c:v>1</c:v>
                      </c:pt>
                      <c:pt idx="25">
                        <c:v>1</c:v>
                      </c:pt>
                      <c:pt idx="26">
                        <c:v>1</c:v>
                      </c:pt>
                      <c:pt idx="27">
                        <c:v>1</c:v>
                      </c:pt>
                      <c:pt idx="28">
                        <c:v>1</c:v>
                      </c:pt>
                      <c:pt idx="29">
                        <c:v>1</c:v>
                      </c:pt>
                      <c:pt idx="30">
                        <c:v>1</c:v>
                      </c:pt>
                      <c:pt idx="31">
                        <c:v>0</c:v>
                      </c:pt>
                      <c:pt idx="32">
                        <c:v>0</c:v>
                      </c:pt>
                      <c:pt idx="33">
                        <c:v>0</c:v>
                      </c:pt>
                      <c:pt idx="34">
                        <c:v>0</c:v>
                      </c:pt>
                      <c:pt idx="35">
                        <c:v>0</c:v>
                      </c:pt>
                      <c:pt idx="36">
                        <c:v>4</c:v>
                      </c:pt>
                      <c:pt idx="37">
                        <c:v>4</c:v>
                      </c:pt>
                      <c:pt idx="38">
                        <c:v>2</c:v>
                      </c:pt>
                      <c:pt idx="39">
                        <c:v>2</c:v>
                      </c:pt>
                      <c:pt idx="40">
                        <c:v>2</c:v>
                      </c:pt>
                      <c:pt idx="41">
                        <c:v>2</c:v>
                      </c:pt>
                      <c:pt idx="42">
                        <c:v>2</c:v>
                      </c:pt>
                      <c:pt idx="43">
                        <c:v>3</c:v>
                      </c:pt>
                      <c:pt idx="44">
                        <c:v>3</c:v>
                      </c:pt>
                      <c:pt idx="45">
                        <c:v>3</c:v>
                      </c:pt>
                      <c:pt idx="46">
                        <c:v>2</c:v>
                      </c:pt>
                      <c:pt idx="47">
                        <c:v>2</c:v>
                      </c:pt>
                      <c:pt idx="48">
                        <c:v>1</c:v>
                      </c:pt>
                      <c:pt idx="49">
                        <c:v>1</c:v>
                      </c:pt>
                      <c:pt idx="50">
                        <c:v>1</c:v>
                      </c:pt>
                      <c:pt idx="51">
                        <c:v>1</c:v>
                      </c:pt>
                      <c:pt idx="52">
                        <c:v>1</c:v>
                      </c:pt>
                      <c:pt idx="53">
                        <c:v>3</c:v>
                      </c:pt>
                      <c:pt idx="54">
                        <c:v>5</c:v>
                      </c:pt>
                      <c:pt idx="55">
                        <c:v>5</c:v>
                      </c:pt>
                      <c:pt idx="56">
                        <c:v>7</c:v>
                      </c:pt>
                      <c:pt idx="57">
                        <c:v>6</c:v>
                      </c:pt>
                      <c:pt idx="58">
                        <c:v>6</c:v>
                      </c:pt>
                      <c:pt idx="59">
                        <c:v>10</c:v>
                      </c:pt>
                      <c:pt idx="60">
                        <c:v>14</c:v>
                      </c:pt>
                      <c:pt idx="61">
                        <c:v>14</c:v>
                      </c:pt>
                      <c:pt idx="62">
                        <c:v>13</c:v>
                      </c:pt>
                      <c:pt idx="63">
                        <c:v>13</c:v>
                      </c:pt>
                      <c:pt idx="64">
                        <c:v>12</c:v>
                      </c:pt>
                      <c:pt idx="65">
                        <c:v>13</c:v>
                      </c:pt>
                      <c:pt idx="66">
                        <c:v>12</c:v>
                      </c:pt>
                      <c:pt idx="67">
                        <c:v>9</c:v>
                      </c:pt>
                      <c:pt idx="68">
                        <c:v>8</c:v>
                      </c:pt>
                      <c:pt idx="69">
                        <c:v>8</c:v>
                      </c:pt>
                      <c:pt idx="70">
                        <c:v>6</c:v>
                      </c:pt>
                      <c:pt idx="71">
                        <c:v>6</c:v>
                      </c:pt>
                      <c:pt idx="72">
                        <c:v>7</c:v>
                      </c:pt>
                      <c:pt idx="73">
                        <c:v>5</c:v>
                      </c:pt>
                      <c:pt idx="74">
                        <c:v>4</c:v>
                      </c:pt>
                      <c:pt idx="75">
                        <c:v>3</c:v>
                      </c:pt>
                      <c:pt idx="76">
                        <c:v>3</c:v>
                      </c:pt>
                      <c:pt idx="77">
                        <c:v>2</c:v>
                      </c:pt>
                      <c:pt idx="78">
                        <c:v>2</c:v>
                      </c:pt>
                      <c:pt idx="79">
                        <c:v>3</c:v>
                      </c:pt>
                      <c:pt idx="80">
                        <c:v>3</c:v>
                      </c:pt>
                      <c:pt idx="81">
                        <c:v>2</c:v>
                      </c:pt>
                      <c:pt idx="82">
                        <c:v>2</c:v>
                      </c:pt>
                      <c:pt idx="83">
                        <c:v>2</c:v>
                      </c:pt>
                      <c:pt idx="84">
                        <c:v>2</c:v>
                      </c:pt>
                      <c:pt idx="85">
                        <c:v>2</c:v>
                      </c:pt>
                      <c:pt idx="86">
                        <c:v>2</c:v>
                      </c:pt>
                      <c:pt idx="87">
                        <c:v>2</c:v>
                      </c:pt>
                      <c:pt idx="88">
                        <c:v>2</c:v>
                      </c:pt>
                      <c:pt idx="89">
                        <c:v>2</c:v>
                      </c:pt>
                      <c:pt idx="90">
                        <c:v>2</c:v>
                      </c:pt>
                      <c:pt idx="91">
                        <c:v>2</c:v>
                      </c:pt>
                      <c:pt idx="92">
                        <c:v>2</c:v>
                      </c:pt>
                      <c:pt idx="93">
                        <c:v>2</c:v>
                      </c:pt>
                    </c:numCache>
                  </c:numRef>
                </c:val>
                <c:smooth val="0"/>
                <c:extLst xmlns:c15="http://schemas.microsoft.com/office/drawing/2012/chart">
                  <c:ext xmlns:c16="http://schemas.microsoft.com/office/drawing/2014/chart" uri="{C3380CC4-5D6E-409C-BE32-E72D297353CC}">
                    <c16:uniqueId val="{0000003A-5F61-41E1-B7F7-F5C086851244}"/>
                  </c:ext>
                </c:extLst>
              </c15:ser>
            </c15:filteredLineSeries>
            <c15:filteredLineSeries>
              <c15:ser>
                <c:idx val="59"/>
                <c:order val="59"/>
                <c:tx>
                  <c:strRef>
                    <c:extLst xmlns:c15="http://schemas.microsoft.com/office/drawing/2012/chart">
                      <c:ext xmlns:c15="http://schemas.microsoft.com/office/drawing/2012/chart" uri="{02D57815-91ED-43cb-92C2-25804820EDAC}">
                        <c15:formulaRef>
                          <c15:sqref>Tabelle5!$B$61</c15:sqref>
                        </c15:formulaRef>
                      </c:ext>
                    </c:extLst>
                    <c:strCache>
                      <c:ptCount val="1"/>
                      <c:pt idx="0">
                        <c:v>IMMUNSTIMULANZIEN</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Tabelle5!$C$61:$CR$61</c15:sqref>
                        </c15:formulaRef>
                      </c:ext>
                    </c:extLst>
                    <c:numCache>
                      <c:formatCode>General</c:formatCode>
                      <c:ptCount val="94"/>
                      <c:pt idx="0">
                        <c:v>0</c:v>
                      </c:pt>
                      <c:pt idx="1">
                        <c:v>0</c:v>
                      </c:pt>
                      <c:pt idx="2">
                        <c:v>0</c:v>
                      </c:pt>
                      <c:pt idx="3">
                        <c:v>0</c:v>
                      </c:pt>
                      <c:pt idx="4">
                        <c:v>0</c:v>
                      </c:pt>
                      <c:pt idx="5">
                        <c:v>0</c:v>
                      </c:pt>
                      <c:pt idx="6">
                        <c:v>0</c:v>
                      </c:pt>
                      <c:pt idx="7">
                        <c:v>1</c:v>
                      </c:pt>
                      <c:pt idx="8">
                        <c:v>1</c:v>
                      </c:pt>
                      <c:pt idx="9">
                        <c:v>1</c:v>
                      </c:pt>
                      <c:pt idx="10">
                        <c:v>0</c:v>
                      </c:pt>
                      <c:pt idx="11">
                        <c:v>0</c:v>
                      </c:pt>
                      <c:pt idx="12">
                        <c:v>0</c:v>
                      </c:pt>
                      <c:pt idx="13">
                        <c:v>0</c:v>
                      </c:pt>
                      <c:pt idx="14">
                        <c:v>0</c:v>
                      </c:pt>
                      <c:pt idx="15">
                        <c:v>0</c:v>
                      </c:pt>
                      <c:pt idx="16">
                        <c:v>0</c:v>
                      </c:pt>
                      <c:pt idx="17">
                        <c:v>0</c:v>
                      </c:pt>
                      <c:pt idx="18">
                        <c:v>0</c:v>
                      </c:pt>
                      <c:pt idx="19">
                        <c:v>0</c:v>
                      </c:pt>
                      <c:pt idx="20">
                        <c:v>0</c:v>
                      </c:pt>
                      <c:pt idx="21">
                        <c:v>2</c:v>
                      </c:pt>
                      <c:pt idx="22">
                        <c:v>2</c:v>
                      </c:pt>
                      <c:pt idx="23">
                        <c:v>2</c:v>
                      </c:pt>
                      <c:pt idx="24">
                        <c:v>1</c:v>
                      </c:pt>
                      <c:pt idx="25">
                        <c:v>0</c:v>
                      </c:pt>
                      <c:pt idx="26">
                        <c:v>0</c:v>
                      </c:pt>
                      <c:pt idx="27">
                        <c:v>0</c:v>
                      </c:pt>
                      <c:pt idx="28">
                        <c:v>0</c:v>
                      </c:pt>
                      <c:pt idx="29">
                        <c:v>0</c:v>
                      </c:pt>
                      <c:pt idx="30">
                        <c:v>0</c:v>
                      </c:pt>
                      <c:pt idx="31">
                        <c:v>1</c:v>
                      </c:pt>
                      <c:pt idx="32">
                        <c:v>1</c:v>
                      </c:pt>
                      <c:pt idx="33">
                        <c:v>1</c:v>
                      </c:pt>
                      <c:pt idx="34">
                        <c:v>2</c:v>
                      </c:pt>
                      <c:pt idx="35">
                        <c:v>3</c:v>
                      </c:pt>
                      <c:pt idx="36">
                        <c:v>3</c:v>
                      </c:pt>
                      <c:pt idx="37">
                        <c:v>4</c:v>
                      </c:pt>
                      <c:pt idx="38">
                        <c:v>4</c:v>
                      </c:pt>
                      <c:pt idx="39">
                        <c:v>4</c:v>
                      </c:pt>
                      <c:pt idx="40">
                        <c:v>4</c:v>
                      </c:pt>
                      <c:pt idx="41">
                        <c:v>4</c:v>
                      </c:pt>
                      <c:pt idx="42">
                        <c:v>5</c:v>
                      </c:pt>
                      <c:pt idx="43">
                        <c:v>5</c:v>
                      </c:pt>
                      <c:pt idx="44">
                        <c:v>4</c:v>
                      </c:pt>
                      <c:pt idx="45">
                        <c:v>5</c:v>
                      </c:pt>
                      <c:pt idx="46">
                        <c:v>4</c:v>
                      </c:pt>
                      <c:pt idx="47">
                        <c:v>4</c:v>
                      </c:pt>
                      <c:pt idx="48">
                        <c:v>5</c:v>
                      </c:pt>
                      <c:pt idx="49">
                        <c:v>5</c:v>
                      </c:pt>
                      <c:pt idx="50">
                        <c:v>5</c:v>
                      </c:pt>
                      <c:pt idx="51">
                        <c:v>5</c:v>
                      </c:pt>
                      <c:pt idx="52">
                        <c:v>4</c:v>
                      </c:pt>
                      <c:pt idx="53">
                        <c:v>4</c:v>
                      </c:pt>
                      <c:pt idx="54">
                        <c:v>4</c:v>
                      </c:pt>
                      <c:pt idx="55">
                        <c:v>4</c:v>
                      </c:pt>
                      <c:pt idx="56">
                        <c:v>4</c:v>
                      </c:pt>
                      <c:pt idx="57">
                        <c:v>4</c:v>
                      </c:pt>
                      <c:pt idx="58">
                        <c:v>3</c:v>
                      </c:pt>
                      <c:pt idx="59">
                        <c:v>3</c:v>
                      </c:pt>
                      <c:pt idx="60">
                        <c:v>3</c:v>
                      </c:pt>
                      <c:pt idx="61">
                        <c:v>3</c:v>
                      </c:pt>
                      <c:pt idx="62">
                        <c:v>4</c:v>
                      </c:pt>
                      <c:pt idx="63">
                        <c:v>3</c:v>
                      </c:pt>
                      <c:pt idx="64">
                        <c:v>2</c:v>
                      </c:pt>
                      <c:pt idx="65">
                        <c:v>2</c:v>
                      </c:pt>
                      <c:pt idx="66">
                        <c:v>2</c:v>
                      </c:pt>
                      <c:pt idx="67">
                        <c:v>2</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B-5F61-41E1-B7F7-F5C086851244}"/>
                  </c:ext>
                </c:extLst>
              </c15:ser>
            </c15:filteredLineSeries>
            <c15:filteredLineSeries>
              <c15:ser>
                <c:idx val="60"/>
                <c:order val="60"/>
                <c:tx>
                  <c:strRef>
                    <c:extLst xmlns:c15="http://schemas.microsoft.com/office/drawing/2012/chart">
                      <c:ext xmlns:c15="http://schemas.microsoft.com/office/drawing/2012/chart" uri="{02D57815-91ED-43cb-92C2-25804820EDAC}">
                        <c15:formulaRef>
                          <c15:sqref>Tabelle5!$B$62</c15:sqref>
                        </c15:formulaRef>
                      </c:ext>
                    </c:extLst>
                    <c:strCache>
                      <c:ptCount val="1"/>
                      <c:pt idx="0">
                        <c:v>IMMUNSUPPRESSIVA</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Tabelle5!$C$62:$CR$62</c15:sqref>
                        </c15:formulaRef>
                      </c:ext>
                    </c:extLst>
                    <c:numCache>
                      <c:formatCode>General</c:formatCode>
                      <c:ptCount val="94"/>
                      <c:pt idx="0">
                        <c:v>2</c:v>
                      </c:pt>
                      <c:pt idx="1">
                        <c:v>2</c:v>
                      </c:pt>
                      <c:pt idx="2">
                        <c:v>2</c:v>
                      </c:pt>
                      <c:pt idx="3">
                        <c:v>3</c:v>
                      </c:pt>
                      <c:pt idx="4">
                        <c:v>3</c:v>
                      </c:pt>
                      <c:pt idx="5">
                        <c:v>2</c:v>
                      </c:pt>
                      <c:pt idx="6">
                        <c:v>2</c:v>
                      </c:pt>
                      <c:pt idx="7">
                        <c:v>2</c:v>
                      </c:pt>
                      <c:pt idx="8">
                        <c:v>3</c:v>
                      </c:pt>
                      <c:pt idx="9">
                        <c:v>3</c:v>
                      </c:pt>
                      <c:pt idx="10">
                        <c:v>2</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3</c:v>
                      </c:pt>
                      <c:pt idx="56">
                        <c:v>6</c:v>
                      </c:pt>
                      <c:pt idx="57">
                        <c:v>6</c:v>
                      </c:pt>
                      <c:pt idx="58">
                        <c:v>5</c:v>
                      </c:pt>
                      <c:pt idx="59">
                        <c:v>5</c:v>
                      </c:pt>
                      <c:pt idx="60">
                        <c:v>6</c:v>
                      </c:pt>
                      <c:pt idx="61">
                        <c:v>5</c:v>
                      </c:pt>
                      <c:pt idx="62">
                        <c:v>3</c:v>
                      </c:pt>
                      <c:pt idx="63">
                        <c:v>3</c:v>
                      </c:pt>
                      <c:pt idx="64">
                        <c:v>3</c:v>
                      </c:pt>
                      <c:pt idx="65">
                        <c:v>3</c:v>
                      </c:pt>
                      <c:pt idx="66">
                        <c:v>3</c:v>
                      </c:pt>
                      <c:pt idx="67">
                        <c:v>4</c:v>
                      </c:pt>
                      <c:pt idx="68">
                        <c:v>4</c:v>
                      </c:pt>
                      <c:pt idx="69">
                        <c:v>4</c:v>
                      </c:pt>
                      <c:pt idx="70">
                        <c:v>7</c:v>
                      </c:pt>
                      <c:pt idx="71">
                        <c:v>9</c:v>
                      </c:pt>
                      <c:pt idx="72">
                        <c:v>7</c:v>
                      </c:pt>
                      <c:pt idx="73">
                        <c:v>7</c:v>
                      </c:pt>
                      <c:pt idx="74">
                        <c:v>8</c:v>
                      </c:pt>
                      <c:pt idx="75">
                        <c:v>11</c:v>
                      </c:pt>
                      <c:pt idx="76">
                        <c:v>9</c:v>
                      </c:pt>
                      <c:pt idx="77">
                        <c:v>12</c:v>
                      </c:pt>
                      <c:pt idx="78">
                        <c:v>9</c:v>
                      </c:pt>
                      <c:pt idx="79">
                        <c:v>9</c:v>
                      </c:pt>
                      <c:pt idx="80">
                        <c:v>7</c:v>
                      </c:pt>
                      <c:pt idx="81">
                        <c:v>6</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C-5F61-41E1-B7F7-F5C086851244}"/>
                  </c:ext>
                </c:extLst>
              </c15:ser>
            </c15:filteredLineSeries>
            <c15:filteredLineSeries>
              <c15:ser>
                <c:idx val="61"/>
                <c:order val="61"/>
                <c:tx>
                  <c:strRef>
                    <c:extLst xmlns:c15="http://schemas.microsoft.com/office/drawing/2012/chart">
                      <c:ext xmlns:c15="http://schemas.microsoft.com/office/drawing/2012/chart" uri="{02D57815-91ED-43cb-92C2-25804820EDAC}">
                        <c15:formulaRef>
                          <c15:sqref>Tabelle5!$B$63</c15:sqref>
                        </c15:formulaRef>
                      </c:ext>
                    </c:extLst>
                    <c:strCache>
                      <c:ptCount val="1"/>
                      <c:pt idx="0">
                        <c:v>ANTIPHLOGISTIKA UND ANTIRHEUMATIKA</c:v>
                      </c:pt>
                    </c:strCache>
                  </c:strRef>
                </c:tx>
                <c:spPr>
                  <a:ln w="28575" cap="rnd">
                    <a:solidFill>
                      <a:schemeClr val="accent2">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Tabelle5!$C$63:$CR$63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1</c:v>
                      </c:pt>
                      <c:pt idx="19">
                        <c:v>2</c:v>
                      </c:pt>
                      <c:pt idx="20">
                        <c:v>2</c:v>
                      </c:pt>
                      <c:pt idx="21">
                        <c:v>2</c:v>
                      </c:pt>
                      <c:pt idx="22">
                        <c:v>0</c:v>
                      </c:pt>
                      <c:pt idx="23">
                        <c:v>0</c:v>
                      </c:pt>
                      <c:pt idx="24">
                        <c:v>5</c:v>
                      </c:pt>
                      <c:pt idx="25">
                        <c:v>5</c:v>
                      </c:pt>
                      <c:pt idx="26">
                        <c:v>5</c:v>
                      </c:pt>
                      <c:pt idx="27">
                        <c:v>5</c:v>
                      </c:pt>
                      <c:pt idx="28">
                        <c:v>5</c:v>
                      </c:pt>
                      <c:pt idx="29">
                        <c:v>5</c:v>
                      </c:pt>
                      <c:pt idx="30">
                        <c:v>3</c:v>
                      </c:pt>
                      <c:pt idx="31">
                        <c:v>4</c:v>
                      </c:pt>
                      <c:pt idx="32">
                        <c:v>3</c:v>
                      </c:pt>
                      <c:pt idx="33">
                        <c:v>5</c:v>
                      </c:pt>
                      <c:pt idx="34">
                        <c:v>6</c:v>
                      </c:pt>
                      <c:pt idx="35">
                        <c:v>6</c:v>
                      </c:pt>
                      <c:pt idx="36">
                        <c:v>6</c:v>
                      </c:pt>
                      <c:pt idx="37">
                        <c:v>8</c:v>
                      </c:pt>
                      <c:pt idx="38">
                        <c:v>6</c:v>
                      </c:pt>
                      <c:pt idx="39">
                        <c:v>6</c:v>
                      </c:pt>
                      <c:pt idx="40">
                        <c:v>8</c:v>
                      </c:pt>
                      <c:pt idx="41">
                        <c:v>5</c:v>
                      </c:pt>
                      <c:pt idx="42">
                        <c:v>5</c:v>
                      </c:pt>
                      <c:pt idx="43">
                        <c:v>5</c:v>
                      </c:pt>
                      <c:pt idx="44">
                        <c:v>5</c:v>
                      </c:pt>
                      <c:pt idx="45">
                        <c:v>1</c:v>
                      </c:pt>
                      <c:pt idx="46">
                        <c:v>1</c:v>
                      </c:pt>
                      <c:pt idx="47">
                        <c:v>1</c:v>
                      </c:pt>
                      <c:pt idx="48">
                        <c:v>1</c:v>
                      </c:pt>
                      <c:pt idx="49">
                        <c:v>1</c:v>
                      </c:pt>
                      <c:pt idx="50">
                        <c:v>1</c:v>
                      </c:pt>
                      <c:pt idx="51">
                        <c:v>1</c:v>
                      </c:pt>
                      <c:pt idx="52">
                        <c:v>1</c:v>
                      </c:pt>
                      <c:pt idx="53">
                        <c:v>1</c:v>
                      </c:pt>
                      <c:pt idx="54">
                        <c:v>1</c:v>
                      </c:pt>
                      <c:pt idx="55">
                        <c:v>1</c:v>
                      </c:pt>
                      <c:pt idx="56">
                        <c:v>2</c:v>
                      </c:pt>
                      <c:pt idx="57">
                        <c:v>1</c:v>
                      </c:pt>
                      <c:pt idx="58">
                        <c:v>1</c:v>
                      </c:pt>
                      <c:pt idx="59">
                        <c:v>1</c:v>
                      </c:pt>
                      <c:pt idx="60">
                        <c:v>1</c:v>
                      </c:pt>
                      <c:pt idx="61">
                        <c:v>2</c:v>
                      </c:pt>
                      <c:pt idx="62">
                        <c:v>2</c:v>
                      </c:pt>
                      <c:pt idx="63">
                        <c:v>2</c:v>
                      </c:pt>
                      <c:pt idx="64">
                        <c:v>2</c:v>
                      </c:pt>
                      <c:pt idx="65">
                        <c:v>4</c:v>
                      </c:pt>
                      <c:pt idx="66">
                        <c:v>4</c:v>
                      </c:pt>
                      <c:pt idx="67">
                        <c:v>4</c:v>
                      </c:pt>
                      <c:pt idx="68">
                        <c:v>4</c:v>
                      </c:pt>
                      <c:pt idx="69">
                        <c:v>3</c:v>
                      </c:pt>
                      <c:pt idx="70">
                        <c:v>1</c:v>
                      </c:pt>
                      <c:pt idx="71">
                        <c:v>6</c:v>
                      </c:pt>
                      <c:pt idx="72">
                        <c:v>6</c:v>
                      </c:pt>
                      <c:pt idx="73">
                        <c:v>6</c:v>
                      </c:pt>
                      <c:pt idx="74">
                        <c:v>6</c:v>
                      </c:pt>
                      <c:pt idx="75">
                        <c:v>5</c:v>
                      </c:pt>
                      <c:pt idx="76">
                        <c:v>6</c:v>
                      </c:pt>
                      <c:pt idx="77">
                        <c:v>3</c:v>
                      </c:pt>
                      <c:pt idx="78">
                        <c:v>4</c:v>
                      </c:pt>
                      <c:pt idx="79">
                        <c:v>4</c:v>
                      </c:pt>
                      <c:pt idx="80">
                        <c:v>2</c:v>
                      </c:pt>
                      <c:pt idx="81">
                        <c:v>1</c:v>
                      </c:pt>
                      <c:pt idx="82">
                        <c:v>1</c:v>
                      </c:pt>
                      <c:pt idx="83">
                        <c:v>1</c:v>
                      </c:pt>
                      <c:pt idx="84">
                        <c:v>1</c:v>
                      </c:pt>
                      <c:pt idx="85">
                        <c:v>1</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D-5F61-41E1-B7F7-F5C086851244}"/>
                  </c:ext>
                </c:extLst>
              </c15:ser>
            </c15:filteredLineSeries>
            <c15:filteredLineSeries>
              <c15:ser>
                <c:idx val="62"/>
                <c:order val="62"/>
                <c:tx>
                  <c:strRef>
                    <c:extLst xmlns:c15="http://schemas.microsoft.com/office/drawing/2012/chart">
                      <c:ext xmlns:c15="http://schemas.microsoft.com/office/drawing/2012/chart" uri="{02D57815-91ED-43cb-92C2-25804820EDAC}">
                        <c15:formulaRef>
                          <c15:sqref>Tabelle5!$B$64</c15:sqref>
                        </c15:formulaRef>
                      </c:ext>
                    </c:extLst>
                    <c:strCache>
                      <c:ptCount val="1"/>
                      <c:pt idx="0">
                        <c:v>TOPISCHE MITTEL GEGEN GELENK- UND MUSKELSCHMERZEN</c:v>
                      </c:pt>
                    </c:strCache>
                  </c:strRef>
                </c:tx>
                <c:spPr>
                  <a:ln w="28575" cap="rnd">
                    <a:solidFill>
                      <a:schemeClr val="accent3">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Tabelle5!$C$64:$CR$64</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3E-5F61-41E1-B7F7-F5C086851244}"/>
                  </c:ext>
                </c:extLst>
              </c15:ser>
            </c15:filteredLineSeries>
            <c15:filteredLineSeries>
              <c15:ser>
                <c:idx val="63"/>
                <c:order val="63"/>
                <c:tx>
                  <c:strRef>
                    <c:extLst xmlns:c15="http://schemas.microsoft.com/office/drawing/2012/chart">
                      <c:ext xmlns:c15="http://schemas.microsoft.com/office/drawing/2012/chart" uri="{02D57815-91ED-43cb-92C2-25804820EDAC}">
                        <c15:formulaRef>
                          <c15:sqref>Tabelle5!$B$65</c15:sqref>
                        </c15:formulaRef>
                      </c:ext>
                    </c:extLst>
                    <c:strCache>
                      <c:ptCount val="1"/>
                      <c:pt idx="0">
                        <c:v>MUSKELRELAXANZIEN</c:v>
                      </c:pt>
                    </c:strCache>
                  </c:strRef>
                </c:tx>
                <c:spPr>
                  <a:ln w="28575" cap="rnd">
                    <a:solidFill>
                      <a:schemeClr val="accent4">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Tabelle5!$C$65:$CR$65</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1</c:v>
                      </c:pt>
                      <c:pt idx="19">
                        <c:v>1</c:v>
                      </c:pt>
                      <c:pt idx="20">
                        <c:v>1</c:v>
                      </c:pt>
                      <c:pt idx="21">
                        <c:v>1</c:v>
                      </c:pt>
                      <c:pt idx="22">
                        <c:v>0</c:v>
                      </c:pt>
                      <c:pt idx="23">
                        <c:v>0</c:v>
                      </c:pt>
                      <c:pt idx="24">
                        <c:v>0</c:v>
                      </c:pt>
                      <c:pt idx="25">
                        <c:v>0</c:v>
                      </c:pt>
                      <c:pt idx="26">
                        <c:v>0</c:v>
                      </c:pt>
                      <c:pt idx="27">
                        <c:v>0</c:v>
                      </c:pt>
                      <c:pt idx="28">
                        <c:v>0</c:v>
                      </c:pt>
                      <c:pt idx="29">
                        <c:v>3</c:v>
                      </c:pt>
                      <c:pt idx="30">
                        <c:v>3</c:v>
                      </c:pt>
                      <c:pt idx="31">
                        <c:v>3</c:v>
                      </c:pt>
                      <c:pt idx="32">
                        <c:v>3</c:v>
                      </c:pt>
                      <c:pt idx="33">
                        <c:v>3</c:v>
                      </c:pt>
                      <c:pt idx="34">
                        <c:v>3</c:v>
                      </c:pt>
                      <c:pt idx="35">
                        <c:v>3</c:v>
                      </c:pt>
                      <c:pt idx="36">
                        <c:v>0</c:v>
                      </c:pt>
                      <c:pt idx="37">
                        <c:v>0</c:v>
                      </c:pt>
                      <c:pt idx="38">
                        <c:v>1</c:v>
                      </c:pt>
                      <c:pt idx="39">
                        <c:v>1</c:v>
                      </c:pt>
                      <c:pt idx="40">
                        <c:v>1</c:v>
                      </c:pt>
                      <c:pt idx="41">
                        <c:v>1</c:v>
                      </c:pt>
                      <c:pt idx="42">
                        <c:v>0</c:v>
                      </c:pt>
                      <c:pt idx="43">
                        <c:v>2</c:v>
                      </c:pt>
                      <c:pt idx="44">
                        <c:v>2</c:v>
                      </c:pt>
                      <c:pt idx="45">
                        <c:v>3</c:v>
                      </c:pt>
                      <c:pt idx="46">
                        <c:v>3</c:v>
                      </c:pt>
                      <c:pt idx="47">
                        <c:v>3</c:v>
                      </c:pt>
                      <c:pt idx="48">
                        <c:v>3</c:v>
                      </c:pt>
                      <c:pt idx="49">
                        <c:v>3</c:v>
                      </c:pt>
                      <c:pt idx="50">
                        <c:v>3</c:v>
                      </c:pt>
                      <c:pt idx="51">
                        <c:v>3</c:v>
                      </c:pt>
                      <c:pt idx="52">
                        <c:v>2</c:v>
                      </c:pt>
                      <c:pt idx="53">
                        <c:v>0</c:v>
                      </c:pt>
                      <c:pt idx="54">
                        <c:v>0</c:v>
                      </c:pt>
                      <c:pt idx="55">
                        <c:v>0</c:v>
                      </c:pt>
                      <c:pt idx="56">
                        <c:v>2</c:v>
                      </c:pt>
                      <c:pt idx="57">
                        <c:v>0</c:v>
                      </c:pt>
                      <c:pt idx="58">
                        <c:v>0</c:v>
                      </c:pt>
                      <c:pt idx="59">
                        <c:v>1</c:v>
                      </c:pt>
                      <c:pt idx="60">
                        <c:v>0</c:v>
                      </c:pt>
                      <c:pt idx="61">
                        <c:v>2</c:v>
                      </c:pt>
                      <c:pt idx="62">
                        <c:v>2</c:v>
                      </c:pt>
                      <c:pt idx="63">
                        <c:v>2</c:v>
                      </c:pt>
                      <c:pt idx="64">
                        <c:v>2</c:v>
                      </c:pt>
                      <c:pt idx="65">
                        <c:v>4</c:v>
                      </c:pt>
                      <c:pt idx="66">
                        <c:v>3</c:v>
                      </c:pt>
                      <c:pt idx="67">
                        <c:v>1</c:v>
                      </c:pt>
                      <c:pt idx="68">
                        <c:v>0</c:v>
                      </c:pt>
                      <c:pt idx="69">
                        <c:v>2</c:v>
                      </c:pt>
                      <c:pt idx="70">
                        <c:v>2</c:v>
                      </c:pt>
                      <c:pt idx="71">
                        <c:v>2</c:v>
                      </c:pt>
                      <c:pt idx="72">
                        <c:v>2</c:v>
                      </c:pt>
                      <c:pt idx="73">
                        <c:v>0</c:v>
                      </c:pt>
                      <c:pt idx="74">
                        <c:v>0</c:v>
                      </c:pt>
                      <c:pt idx="75">
                        <c:v>0</c:v>
                      </c:pt>
                      <c:pt idx="76">
                        <c:v>0</c:v>
                      </c:pt>
                      <c:pt idx="77">
                        <c:v>0</c:v>
                      </c:pt>
                      <c:pt idx="78">
                        <c:v>1</c:v>
                      </c:pt>
                      <c:pt idx="79">
                        <c:v>2</c:v>
                      </c:pt>
                      <c:pt idx="80">
                        <c:v>1</c:v>
                      </c:pt>
                      <c:pt idx="81">
                        <c:v>1</c:v>
                      </c:pt>
                      <c:pt idx="82">
                        <c:v>2</c:v>
                      </c:pt>
                      <c:pt idx="83">
                        <c:v>2</c:v>
                      </c:pt>
                      <c:pt idx="84">
                        <c:v>2</c:v>
                      </c:pt>
                      <c:pt idx="85">
                        <c:v>2</c:v>
                      </c:pt>
                      <c:pt idx="86">
                        <c:v>2</c:v>
                      </c:pt>
                      <c:pt idx="87">
                        <c:v>2</c:v>
                      </c:pt>
                      <c:pt idx="88">
                        <c:v>2</c:v>
                      </c:pt>
                      <c:pt idx="89">
                        <c:v>2</c:v>
                      </c:pt>
                      <c:pt idx="90">
                        <c:v>2</c:v>
                      </c:pt>
                      <c:pt idx="91">
                        <c:v>2</c:v>
                      </c:pt>
                      <c:pt idx="92">
                        <c:v>2</c:v>
                      </c:pt>
                      <c:pt idx="93">
                        <c:v>2</c:v>
                      </c:pt>
                    </c:numCache>
                  </c:numRef>
                </c:val>
                <c:smooth val="0"/>
                <c:extLst xmlns:c15="http://schemas.microsoft.com/office/drawing/2012/chart">
                  <c:ext xmlns:c16="http://schemas.microsoft.com/office/drawing/2014/chart" uri="{C3380CC4-5D6E-409C-BE32-E72D297353CC}">
                    <c16:uniqueId val="{0000003F-5F61-41E1-B7F7-F5C086851244}"/>
                  </c:ext>
                </c:extLst>
              </c15:ser>
            </c15:filteredLineSeries>
            <c15:filteredLineSeries>
              <c15:ser>
                <c:idx val="64"/>
                <c:order val="64"/>
                <c:tx>
                  <c:strRef>
                    <c:extLst xmlns:c15="http://schemas.microsoft.com/office/drawing/2012/chart">
                      <c:ext xmlns:c15="http://schemas.microsoft.com/office/drawing/2012/chart" uri="{02D57815-91ED-43cb-92C2-25804820EDAC}">
                        <c15:formulaRef>
                          <c15:sqref>Tabelle5!$B$66</c15:sqref>
                        </c15:formulaRef>
                      </c:ext>
                    </c:extLst>
                    <c:strCache>
                      <c:ptCount val="1"/>
                      <c:pt idx="0">
                        <c:v>GICHTMITTEL</c:v>
                      </c:pt>
                    </c:strCache>
                  </c:strRef>
                </c:tx>
                <c:spPr>
                  <a:ln w="28575" cap="rnd">
                    <a:solidFill>
                      <a:schemeClr val="accent5">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Tabelle5!$C$66:$CR$66</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1</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1</c:v>
                      </c:pt>
                      <c:pt idx="71">
                        <c:v>1</c:v>
                      </c:pt>
                      <c:pt idx="72">
                        <c:v>1</c:v>
                      </c:pt>
                      <c:pt idx="73">
                        <c:v>1</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0-5F61-41E1-B7F7-F5C086851244}"/>
                  </c:ext>
                </c:extLst>
              </c15:ser>
            </c15:filteredLineSeries>
            <c15:filteredLineSeries>
              <c15:ser>
                <c:idx val="65"/>
                <c:order val="65"/>
                <c:tx>
                  <c:strRef>
                    <c:extLst xmlns:c15="http://schemas.microsoft.com/office/drawing/2012/chart">
                      <c:ext xmlns:c15="http://schemas.microsoft.com/office/drawing/2012/chart" uri="{02D57815-91ED-43cb-92C2-25804820EDAC}">
                        <c15:formulaRef>
                          <c15:sqref>Tabelle5!$B$67</c15:sqref>
                        </c15:formulaRef>
                      </c:ext>
                    </c:extLst>
                    <c:strCache>
                      <c:ptCount val="1"/>
                      <c:pt idx="0">
                        <c:v>MITTEL ZUR BEHANDLUNG VON KNOCHENERKRANKUNGEN</c:v>
                      </c:pt>
                    </c:strCache>
                  </c:strRef>
                </c:tx>
                <c:spPr>
                  <a:ln w="28575" cap="rnd">
                    <a:solidFill>
                      <a:schemeClr val="accent6">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Tabelle5!$C$67:$CR$67</c15:sqref>
                        </c15:formulaRef>
                      </c:ext>
                    </c:extLst>
                    <c:numCache>
                      <c:formatCode>General</c:formatCode>
                      <c:ptCount val="94"/>
                      <c:pt idx="0">
                        <c:v>1</c:v>
                      </c:pt>
                      <c:pt idx="1">
                        <c:v>1</c:v>
                      </c:pt>
                      <c:pt idx="2">
                        <c:v>1</c:v>
                      </c:pt>
                      <c:pt idx="3">
                        <c:v>1</c:v>
                      </c:pt>
                      <c:pt idx="4">
                        <c:v>1</c:v>
                      </c:pt>
                      <c:pt idx="5">
                        <c:v>1</c:v>
                      </c:pt>
                      <c:pt idx="6">
                        <c:v>0</c:v>
                      </c:pt>
                      <c:pt idx="7">
                        <c:v>0</c:v>
                      </c:pt>
                      <c:pt idx="8">
                        <c:v>0</c:v>
                      </c:pt>
                      <c:pt idx="9">
                        <c:v>0</c:v>
                      </c:pt>
                      <c:pt idx="10">
                        <c:v>0</c:v>
                      </c:pt>
                      <c:pt idx="11">
                        <c:v>0</c:v>
                      </c:pt>
                      <c:pt idx="12">
                        <c:v>0</c:v>
                      </c:pt>
                      <c:pt idx="13">
                        <c:v>0</c:v>
                      </c:pt>
                      <c:pt idx="14">
                        <c:v>0</c:v>
                      </c:pt>
                      <c:pt idx="15">
                        <c:v>0</c:v>
                      </c:pt>
                      <c:pt idx="16">
                        <c:v>1</c:v>
                      </c:pt>
                      <c:pt idx="17">
                        <c:v>1</c:v>
                      </c:pt>
                      <c:pt idx="18">
                        <c:v>1</c:v>
                      </c:pt>
                      <c:pt idx="19">
                        <c:v>1</c:v>
                      </c:pt>
                      <c:pt idx="20">
                        <c:v>1</c:v>
                      </c:pt>
                      <c:pt idx="21">
                        <c:v>4</c:v>
                      </c:pt>
                      <c:pt idx="22">
                        <c:v>4</c:v>
                      </c:pt>
                      <c:pt idx="23">
                        <c:v>4</c:v>
                      </c:pt>
                      <c:pt idx="24">
                        <c:v>4</c:v>
                      </c:pt>
                      <c:pt idx="25">
                        <c:v>3</c:v>
                      </c:pt>
                      <c:pt idx="26">
                        <c:v>3</c:v>
                      </c:pt>
                      <c:pt idx="27">
                        <c:v>3</c:v>
                      </c:pt>
                      <c:pt idx="28">
                        <c:v>3</c:v>
                      </c:pt>
                      <c:pt idx="29">
                        <c:v>3</c:v>
                      </c:pt>
                      <c:pt idx="30">
                        <c:v>3</c:v>
                      </c:pt>
                      <c:pt idx="31">
                        <c:v>2</c:v>
                      </c:pt>
                      <c:pt idx="32">
                        <c:v>2</c:v>
                      </c:pt>
                      <c:pt idx="33">
                        <c:v>2</c:v>
                      </c:pt>
                      <c:pt idx="34">
                        <c:v>2</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0</c:v>
                      </c:pt>
                      <c:pt idx="70">
                        <c:v>2</c:v>
                      </c:pt>
                      <c:pt idx="71">
                        <c:v>3</c:v>
                      </c:pt>
                      <c:pt idx="72">
                        <c:v>4</c:v>
                      </c:pt>
                      <c:pt idx="73">
                        <c:v>5</c:v>
                      </c:pt>
                      <c:pt idx="74">
                        <c:v>3</c:v>
                      </c:pt>
                      <c:pt idx="75">
                        <c:v>3</c:v>
                      </c:pt>
                      <c:pt idx="76">
                        <c:v>2</c:v>
                      </c:pt>
                      <c:pt idx="77">
                        <c:v>2</c:v>
                      </c:pt>
                      <c:pt idx="78">
                        <c:v>3</c:v>
                      </c:pt>
                      <c:pt idx="79">
                        <c:v>3</c:v>
                      </c:pt>
                      <c:pt idx="80">
                        <c:v>2</c:v>
                      </c:pt>
                      <c:pt idx="81">
                        <c:v>2</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1-5F61-41E1-B7F7-F5C086851244}"/>
                  </c:ext>
                </c:extLst>
              </c15:ser>
            </c15:filteredLineSeries>
            <c15:filteredLineSeries>
              <c15:ser>
                <c:idx val="66"/>
                <c:order val="66"/>
                <c:tx>
                  <c:strRef>
                    <c:extLst xmlns:c15="http://schemas.microsoft.com/office/drawing/2012/chart">
                      <c:ext xmlns:c15="http://schemas.microsoft.com/office/drawing/2012/chart" uri="{02D57815-91ED-43cb-92C2-25804820EDAC}">
                        <c15:formulaRef>
                          <c15:sqref>Tabelle5!$B$68</c15:sqref>
                        </c15:formulaRef>
                      </c:ext>
                    </c:extLst>
                    <c:strCache>
                      <c:ptCount val="1"/>
                      <c:pt idx="0">
                        <c:v>ANDERE MITTEL GEGEN STÖRUNGEN DES MUSKEL- UND SKELETTSYSTEMS</c:v>
                      </c:pt>
                    </c:strCache>
                  </c:strRef>
                </c:tx>
                <c:spPr>
                  <a:ln w="28575" cap="rnd">
                    <a:solidFill>
                      <a:schemeClr val="accent1">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Tabelle5!$C$68:$CR$68</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2-5F61-41E1-B7F7-F5C086851244}"/>
                  </c:ext>
                </c:extLst>
              </c15:ser>
            </c15:filteredLineSeries>
            <c15:filteredLineSeries>
              <c15:ser>
                <c:idx val="67"/>
                <c:order val="67"/>
                <c:tx>
                  <c:strRef>
                    <c:extLst xmlns:c15="http://schemas.microsoft.com/office/drawing/2012/chart">
                      <c:ext xmlns:c15="http://schemas.microsoft.com/office/drawing/2012/chart" uri="{02D57815-91ED-43cb-92C2-25804820EDAC}">
                        <c15:formulaRef>
                          <c15:sqref>Tabelle5!$B$69</c15:sqref>
                        </c15:formulaRef>
                      </c:ext>
                    </c:extLst>
                    <c:strCache>
                      <c:ptCount val="1"/>
                      <c:pt idx="0">
                        <c:v>ANÄSTHETIKA</c:v>
                      </c:pt>
                    </c:strCache>
                  </c:strRef>
                </c:tx>
                <c:spPr>
                  <a:ln w="28575" cap="rnd">
                    <a:solidFill>
                      <a:schemeClr val="accent2">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Tabelle5!$C$69:$CR$69</c15:sqref>
                        </c15:formulaRef>
                      </c:ext>
                    </c:extLst>
                    <c:numCache>
                      <c:formatCode>General</c:formatCode>
                      <c:ptCount val="94"/>
                      <c:pt idx="0">
                        <c:v>3</c:v>
                      </c:pt>
                      <c:pt idx="1">
                        <c:v>3</c:v>
                      </c:pt>
                      <c:pt idx="2">
                        <c:v>3</c:v>
                      </c:pt>
                      <c:pt idx="3">
                        <c:v>3</c:v>
                      </c:pt>
                      <c:pt idx="4">
                        <c:v>3</c:v>
                      </c:pt>
                      <c:pt idx="5">
                        <c:v>3</c:v>
                      </c:pt>
                      <c:pt idx="6">
                        <c:v>3</c:v>
                      </c:pt>
                      <c:pt idx="7">
                        <c:v>3</c:v>
                      </c:pt>
                      <c:pt idx="8">
                        <c:v>3</c:v>
                      </c:pt>
                      <c:pt idx="9">
                        <c:v>3</c:v>
                      </c:pt>
                      <c:pt idx="10">
                        <c:v>3</c:v>
                      </c:pt>
                      <c:pt idx="11">
                        <c:v>3</c:v>
                      </c:pt>
                      <c:pt idx="12">
                        <c:v>3</c:v>
                      </c:pt>
                      <c:pt idx="13">
                        <c:v>0</c:v>
                      </c:pt>
                      <c:pt idx="14">
                        <c:v>0</c:v>
                      </c:pt>
                      <c:pt idx="15">
                        <c:v>1</c:v>
                      </c:pt>
                      <c:pt idx="16">
                        <c:v>1</c:v>
                      </c:pt>
                      <c:pt idx="17">
                        <c:v>1</c:v>
                      </c:pt>
                      <c:pt idx="18">
                        <c:v>0</c:v>
                      </c:pt>
                      <c:pt idx="19">
                        <c:v>0</c:v>
                      </c:pt>
                      <c:pt idx="20">
                        <c:v>0</c:v>
                      </c:pt>
                      <c:pt idx="21">
                        <c:v>0</c:v>
                      </c:pt>
                      <c:pt idx="22">
                        <c:v>0</c:v>
                      </c:pt>
                      <c:pt idx="23">
                        <c:v>0</c:v>
                      </c:pt>
                      <c:pt idx="24">
                        <c:v>1</c:v>
                      </c:pt>
                      <c:pt idx="25">
                        <c:v>2</c:v>
                      </c:pt>
                      <c:pt idx="26">
                        <c:v>2</c:v>
                      </c:pt>
                      <c:pt idx="27">
                        <c:v>4</c:v>
                      </c:pt>
                      <c:pt idx="28">
                        <c:v>3</c:v>
                      </c:pt>
                      <c:pt idx="29">
                        <c:v>3</c:v>
                      </c:pt>
                      <c:pt idx="30">
                        <c:v>3</c:v>
                      </c:pt>
                      <c:pt idx="31">
                        <c:v>2</c:v>
                      </c:pt>
                      <c:pt idx="32">
                        <c:v>2</c:v>
                      </c:pt>
                      <c:pt idx="33">
                        <c:v>3</c:v>
                      </c:pt>
                      <c:pt idx="34">
                        <c:v>3</c:v>
                      </c:pt>
                      <c:pt idx="35">
                        <c:v>3</c:v>
                      </c:pt>
                      <c:pt idx="36">
                        <c:v>3</c:v>
                      </c:pt>
                      <c:pt idx="37">
                        <c:v>13</c:v>
                      </c:pt>
                      <c:pt idx="38">
                        <c:v>15</c:v>
                      </c:pt>
                      <c:pt idx="39">
                        <c:v>13</c:v>
                      </c:pt>
                      <c:pt idx="40">
                        <c:v>11</c:v>
                      </c:pt>
                      <c:pt idx="41">
                        <c:v>10</c:v>
                      </c:pt>
                      <c:pt idx="42">
                        <c:v>9</c:v>
                      </c:pt>
                      <c:pt idx="43">
                        <c:v>7</c:v>
                      </c:pt>
                      <c:pt idx="44">
                        <c:v>5</c:v>
                      </c:pt>
                      <c:pt idx="45">
                        <c:v>6</c:v>
                      </c:pt>
                      <c:pt idx="46">
                        <c:v>7</c:v>
                      </c:pt>
                      <c:pt idx="47">
                        <c:v>7</c:v>
                      </c:pt>
                      <c:pt idx="48">
                        <c:v>7</c:v>
                      </c:pt>
                      <c:pt idx="49">
                        <c:v>7</c:v>
                      </c:pt>
                      <c:pt idx="50">
                        <c:v>8</c:v>
                      </c:pt>
                      <c:pt idx="51">
                        <c:v>8</c:v>
                      </c:pt>
                      <c:pt idx="52">
                        <c:v>7</c:v>
                      </c:pt>
                      <c:pt idx="53">
                        <c:v>7</c:v>
                      </c:pt>
                      <c:pt idx="54">
                        <c:v>6</c:v>
                      </c:pt>
                      <c:pt idx="55">
                        <c:v>5</c:v>
                      </c:pt>
                      <c:pt idx="56">
                        <c:v>4</c:v>
                      </c:pt>
                      <c:pt idx="57">
                        <c:v>8</c:v>
                      </c:pt>
                      <c:pt idx="58">
                        <c:v>11</c:v>
                      </c:pt>
                      <c:pt idx="59">
                        <c:v>10</c:v>
                      </c:pt>
                      <c:pt idx="60">
                        <c:v>9</c:v>
                      </c:pt>
                      <c:pt idx="61">
                        <c:v>8</c:v>
                      </c:pt>
                      <c:pt idx="62">
                        <c:v>6</c:v>
                      </c:pt>
                      <c:pt idx="63">
                        <c:v>5</c:v>
                      </c:pt>
                      <c:pt idx="64">
                        <c:v>5</c:v>
                      </c:pt>
                      <c:pt idx="65">
                        <c:v>8</c:v>
                      </c:pt>
                      <c:pt idx="66">
                        <c:v>12</c:v>
                      </c:pt>
                      <c:pt idx="67">
                        <c:v>10</c:v>
                      </c:pt>
                      <c:pt idx="68">
                        <c:v>13</c:v>
                      </c:pt>
                      <c:pt idx="69">
                        <c:v>9</c:v>
                      </c:pt>
                      <c:pt idx="70">
                        <c:v>11</c:v>
                      </c:pt>
                      <c:pt idx="71">
                        <c:v>16</c:v>
                      </c:pt>
                      <c:pt idx="72">
                        <c:v>15</c:v>
                      </c:pt>
                      <c:pt idx="73">
                        <c:v>17</c:v>
                      </c:pt>
                      <c:pt idx="74">
                        <c:v>20</c:v>
                      </c:pt>
                      <c:pt idx="75">
                        <c:v>21</c:v>
                      </c:pt>
                      <c:pt idx="76">
                        <c:v>21</c:v>
                      </c:pt>
                      <c:pt idx="77">
                        <c:v>15</c:v>
                      </c:pt>
                      <c:pt idx="78">
                        <c:v>15</c:v>
                      </c:pt>
                      <c:pt idx="79">
                        <c:v>16</c:v>
                      </c:pt>
                      <c:pt idx="80">
                        <c:v>12</c:v>
                      </c:pt>
                      <c:pt idx="81">
                        <c:v>10</c:v>
                      </c:pt>
                      <c:pt idx="82">
                        <c:v>8</c:v>
                      </c:pt>
                      <c:pt idx="83">
                        <c:v>8</c:v>
                      </c:pt>
                      <c:pt idx="84">
                        <c:v>8</c:v>
                      </c:pt>
                      <c:pt idx="85">
                        <c:v>8</c:v>
                      </c:pt>
                      <c:pt idx="86">
                        <c:v>8</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3-5F61-41E1-B7F7-F5C086851244}"/>
                  </c:ext>
                </c:extLst>
              </c15:ser>
            </c15:filteredLineSeries>
            <c15:filteredLineSeries>
              <c15:ser>
                <c:idx val="69"/>
                <c:order val="69"/>
                <c:tx>
                  <c:strRef>
                    <c:extLst xmlns:c15="http://schemas.microsoft.com/office/drawing/2012/chart">
                      <c:ext xmlns:c15="http://schemas.microsoft.com/office/drawing/2012/chart" uri="{02D57815-91ED-43cb-92C2-25804820EDAC}">
                        <c15:formulaRef>
                          <c15:sqref>Tabelle5!$B$71</c15:sqref>
                        </c15:formulaRef>
                      </c:ext>
                    </c:extLst>
                    <c:strCache>
                      <c:ptCount val="1"/>
                      <c:pt idx="0">
                        <c:v>ANTIEPILEPTIKA</c:v>
                      </c:pt>
                    </c:strCache>
                  </c:strRef>
                </c:tx>
                <c:spPr>
                  <a:ln w="28575" cap="rnd">
                    <a:solidFill>
                      <a:schemeClr val="accent4">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Tabelle5!$C$71:$CR$71</c15:sqref>
                        </c15:formulaRef>
                      </c:ext>
                    </c:extLst>
                    <c:numCache>
                      <c:formatCode>General</c:formatCode>
                      <c:ptCount val="94"/>
                      <c:pt idx="0">
                        <c:v>0</c:v>
                      </c:pt>
                      <c:pt idx="1">
                        <c:v>0</c:v>
                      </c:pt>
                      <c:pt idx="2">
                        <c:v>0</c:v>
                      </c:pt>
                      <c:pt idx="3">
                        <c:v>0</c:v>
                      </c:pt>
                      <c:pt idx="4">
                        <c:v>0</c:v>
                      </c:pt>
                      <c:pt idx="5">
                        <c:v>0</c:v>
                      </c:pt>
                      <c:pt idx="6">
                        <c:v>0</c:v>
                      </c:pt>
                      <c:pt idx="7">
                        <c:v>1</c:v>
                      </c:pt>
                      <c:pt idx="8">
                        <c:v>1</c:v>
                      </c:pt>
                      <c:pt idx="9">
                        <c:v>2</c:v>
                      </c:pt>
                      <c:pt idx="10">
                        <c:v>1</c:v>
                      </c:pt>
                      <c:pt idx="11">
                        <c:v>1</c:v>
                      </c:pt>
                      <c:pt idx="12">
                        <c:v>0</c:v>
                      </c:pt>
                      <c:pt idx="13">
                        <c:v>0</c:v>
                      </c:pt>
                      <c:pt idx="14">
                        <c:v>0</c:v>
                      </c:pt>
                      <c:pt idx="15">
                        <c:v>0</c:v>
                      </c:pt>
                      <c:pt idx="16">
                        <c:v>0</c:v>
                      </c:pt>
                      <c:pt idx="17">
                        <c:v>0</c:v>
                      </c:pt>
                      <c:pt idx="18">
                        <c:v>0</c:v>
                      </c:pt>
                      <c:pt idx="19">
                        <c:v>0</c:v>
                      </c:pt>
                      <c:pt idx="20">
                        <c:v>0</c:v>
                      </c:pt>
                      <c:pt idx="21">
                        <c:v>1</c:v>
                      </c:pt>
                      <c:pt idx="22">
                        <c:v>2</c:v>
                      </c:pt>
                      <c:pt idx="23">
                        <c:v>2</c:v>
                      </c:pt>
                      <c:pt idx="24">
                        <c:v>3</c:v>
                      </c:pt>
                      <c:pt idx="25">
                        <c:v>4</c:v>
                      </c:pt>
                      <c:pt idx="26">
                        <c:v>6</c:v>
                      </c:pt>
                      <c:pt idx="27">
                        <c:v>6</c:v>
                      </c:pt>
                      <c:pt idx="28">
                        <c:v>6</c:v>
                      </c:pt>
                      <c:pt idx="29">
                        <c:v>4</c:v>
                      </c:pt>
                      <c:pt idx="30">
                        <c:v>4</c:v>
                      </c:pt>
                      <c:pt idx="31">
                        <c:v>4</c:v>
                      </c:pt>
                      <c:pt idx="32">
                        <c:v>2</c:v>
                      </c:pt>
                      <c:pt idx="33">
                        <c:v>12</c:v>
                      </c:pt>
                      <c:pt idx="34">
                        <c:v>13</c:v>
                      </c:pt>
                      <c:pt idx="35">
                        <c:v>15</c:v>
                      </c:pt>
                      <c:pt idx="36">
                        <c:v>25</c:v>
                      </c:pt>
                      <c:pt idx="37">
                        <c:v>26</c:v>
                      </c:pt>
                      <c:pt idx="38">
                        <c:v>19</c:v>
                      </c:pt>
                      <c:pt idx="39">
                        <c:v>18</c:v>
                      </c:pt>
                      <c:pt idx="40">
                        <c:v>18</c:v>
                      </c:pt>
                      <c:pt idx="41">
                        <c:v>27</c:v>
                      </c:pt>
                      <c:pt idx="42">
                        <c:v>26</c:v>
                      </c:pt>
                      <c:pt idx="43">
                        <c:v>25</c:v>
                      </c:pt>
                      <c:pt idx="44">
                        <c:v>21</c:v>
                      </c:pt>
                      <c:pt idx="45">
                        <c:v>19</c:v>
                      </c:pt>
                      <c:pt idx="46">
                        <c:v>13</c:v>
                      </c:pt>
                      <c:pt idx="47">
                        <c:v>14</c:v>
                      </c:pt>
                      <c:pt idx="48">
                        <c:v>15</c:v>
                      </c:pt>
                      <c:pt idx="49">
                        <c:v>11</c:v>
                      </c:pt>
                      <c:pt idx="50">
                        <c:v>11</c:v>
                      </c:pt>
                      <c:pt idx="51">
                        <c:v>12</c:v>
                      </c:pt>
                      <c:pt idx="52">
                        <c:v>8</c:v>
                      </c:pt>
                      <c:pt idx="53">
                        <c:v>7</c:v>
                      </c:pt>
                      <c:pt idx="54">
                        <c:v>6</c:v>
                      </c:pt>
                      <c:pt idx="55">
                        <c:v>6</c:v>
                      </c:pt>
                      <c:pt idx="56">
                        <c:v>9</c:v>
                      </c:pt>
                      <c:pt idx="57">
                        <c:v>9</c:v>
                      </c:pt>
                      <c:pt idx="58">
                        <c:v>10</c:v>
                      </c:pt>
                      <c:pt idx="59">
                        <c:v>10</c:v>
                      </c:pt>
                      <c:pt idx="60">
                        <c:v>9</c:v>
                      </c:pt>
                      <c:pt idx="61">
                        <c:v>8</c:v>
                      </c:pt>
                      <c:pt idx="62">
                        <c:v>10</c:v>
                      </c:pt>
                      <c:pt idx="63">
                        <c:v>13</c:v>
                      </c:pt>
                      <c:pt idx="64">
                        <c:v>14</c:v>
                      </c:pt>
                      <c:pt idx="65">
                        <c:v>13</c:v>
                      </c:pt>
                      <c:pt idx="66">
                        <c:v>8</c:v>
                      </c:pt>
                      <c:pt idx="67">
                        <c:v>7</c:v>
                      </c:pt>
                      <c:pt idx="68">
                        <c:v>5</c:v>
                      </c:pt>
                      <c:pt idx="69">
                        <c:v>8</c:v>
                      </c:pt>
                      <c:pt idx="70">
                        <c:v>18</c:v>
                      </c:pt>
                      <c:pt idx="71">
                        <c:v>26</c:v>
                      </c:pt>
                      <c:pt idx="72">
                        <c:v>21</c:v>
                      </c:pt>
                      <c:pt idx="73">
                        <c:v>19</c:v>
                      </c:pt>
                      <c:pt idx="74">
                        <c:v>19</c:v>
                      </c:pt>
                      <c:pt idx="75">
                        <c:v>23</c:v>
                      </c:pt>
                      <c:pt idx="76">
                        <c:v>21</c:v>
                      </c:pt>
                      <c:pt idx="77">
                        <c:v>18</c:v>
                      </c:pt>
                      <c:pt idx="78">
                        <c:v>19</c:v>
                      </c:pt>
                      <c:pt idx="79">
                        <c:v>19</c:v>
                      </c:pt>
                      <c:pt idx="80">
                        <c:v>14</c:v>
                      </c:pt>
                      <c:pt idx="81">
                        <c:v>7</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5-5F61-41E1-B7F7-F5C086851244}"/>
                  </c:ext>
                </c:extLst>
              </c15:ser>
            </c15:filteredLineSeries>
            <c15:filteredLineSeries>
              <c15:ser>
                <c:idx val="70"/>
                <c:order val="70"/>
                <c:tx>
                  <c:strRef>
                    <c:extLst xmlns:c15="http://schemas.microsoft.com/office/drawing/2012/chart">
                      <c:ext xmlns:c15="http://schemas.microsoft.com/office/drawing/2012/chart" uri="{02D57815-91ED-43cb-92C2-25804820EDAC}">
                        <c15:formulaRef>
                          <c15:sqref>Tabelle5!$B$72</c15:sqref>
                        </c15:formulaRef>
                      </c:ext>
                    </c:extLst>
                    <c:strCache>
                      <c:ptCount val="1"/>
                      <c:pt idx="0">
                        <c:v>ANTIPARKINSONMITTEL</c:v>
                      </c:pt>
                    </c:strCache>
                  </c:strRef>
                </c:tx>
                <c:spPr>
                  <a:ln w="28575" cap="rnd">
                    <a:solidFill>
                      <a:schemeClr val="accent5">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Tabelle5!$C$72:$CR$72</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5</c:v>
                      </c:pt>
                      <c:pt idx="24">
                        <c:v>5</c:v>
                      </c:pt>
                      <c:pt idx="25">
                        <c:v>5</c:v>
                      </c:pt>
                      <c:pt idx="26">
                        <c:v>9</c:v>
                      </c:pt>
                      <c:pt idx="27">
                        <c:v>9</c:v>
                      </c:pt>
                      <c:pt idx="28">
                        <c:v>8</c:v>
                      </c:pt>
                      <c:pt idx="29">
                        <c:v>8</c:v>
                      </c:pt>
                      <c:pt idx="30">
                        <c:v>8</c:v>
                      </c:pt>
                      <c:pt idx="31">
                        <c:v>8</c:v>
                      </c:pt>
                      <c:pt idx="32">
                        <c:v>8</c:v>
                      </c:pt>
                      <c:pt idx="33">
                        <c:v>9</c:v>
                      </c:pt>
                      <c:pt idx="34">
                        <c:v>9</c:v>
                      </c:pt>
                      <c:pt idx="35">
                        <c:v>12</c:v>
                      </c:pt>
                      <c:pt idx="36">
                        <c:v>14</c:v>
                      </c:pt>
                      <c:pt idx="37">
                        <c:v>11</c:v>
                      </c:pt>
                      <c:pt idx="38">
                        <c:v>11</c:v>
                      </c:pt>
                      <c:pt idx="39">
                        <c:v>15</c:v>
                      </c:pt>
                      <c:pt idx="40">
                        <c:v>15</c:v>
                      </c:pt>
                      <c:pt idx="41">
                        <c:v>14</c:v>
                      </c:pt>
                      <c:pt idx="42">
                        <c:v>11</c:v>
                      </c:pt>
                      <c:pt idx="43">
                        <c:v>10</c:v>
                      </c:pt>
                      <c:pt idx="44">
                        <c:v>10</c:v>
                      </c:pt>
                      <c:pt idx="45">
                        <c:v>9</c:v>
                      </c:pt>
                      <c:pt idx="46">
                        <c:v>11</c:v>
                      </c:pt>
                      <c:pt idx="47">
                        <c:v>9</c:v>
                      </c:pt>
                      <c:pt idx="48">
                        <c:v>10</c:v>
                      </c:pt>
                      <c:pt idx="49">
                        <c:v>9</c:v>
                      </c:pt>
                      <c:pt idx="50">
                        <c:v>7</c:v>
                      </c:pt>
                      <c:pt idx="51">
                        <c:v>5</c:v>
                      </c:pt>
                      <c:pt idx="52">
                        <c:v>2</c:v>
                      </c:pt>
                      <c:pt idx="53">
                        <c:v>4</c:v>
                      </c:pt>
                      <c:pt idx="54">
                        <c:v>2</c:v>
                      </c:pt>
                      <c:pt idx="55">
                        <c:v>8</c:v>
                      </c:pt>
                      <c:pt idx="56">
                        <c:v>7</c:v>
                      </c:pt>
                      <c:pt idx="57">
                        <c:v>7</c:v>
                      </c:pt>
                      <c:pt idx="58">
                        <c:v>7</c:v>
                      </c:pt>
                      <c:pt idx="59">
                        <c:v>7</c:v>
                      </c:pt>
                      <c:pt idx="60">
                        <c:v>6</c:v>
                      </c:pt>
                      <c:pt idx="61">
                        <c:v>6</c:v>
                      </c:pt>
                      <c:pt idx="62">
                        <c:v>5</c:v>
                      </c:pt>
                      <c:pt idx="63">
                        <c:v>6</c:v>
                      </c:pt>
                      <c:pt idx="64">
                        <c:v>6</c:v>
                      </c:pt>
                      <c:pt idx="65">
                        <c:v>5</c:v>
                      </c:pt>
                      <c:pt idx="66">
                        <c:v>6</c:v>
                      </c:pt>
                      <c:pt idx="67">
                        <c:v>6</c:v>
                      </c:pt>
                      <c:pt idx="68">
                        <c:v>3</c:v>
                      </c:pt>
                      <c:pt idx="69">
                        <c:v>3</c:v>
                      </c:pt>
                      <c:pt idx="70">
                        <c:v>3</c:v>
                      </c:pt>
                      <c:pt idx="71">
                        <c:v>4</c:v>
                      </c:pt>
                      <c:pt idx="72">
                        <c:v>4</c:v>
                      </c:pt>
                      <c:pt idx="73">
                        <c:v>4</c:v>
                      </c:pt>
                      <c:pt idx="74">
                        <c:v>5</c:v>
                      </c:pt>
                      <c:pt idx="75">
                        <c:v>5</c:v>
                      </c:pt>
                      <c:pt idx="76">
                        <c:v>4</c:v>
                      </c:pt>
                      <c:pt idx="77">
                        <c:v>4</c:v>
                      </c:pt>
                      <c:pt idx="78">
                        <c:v>4</c:v>
                      </c:pt>
                      <c:pt idx="79">
                        <c:v>6</c:v>
                      </c:pt>
                      <c:pt idx="80">
                        <c:v>5</c:v>
                      </c:pt>
                      <c:pt idx="81">
                        <c:v>3</c:v>
                      </c:pt>
                      <c:pt idx="82">
                        <c:v>1</c:v>
                      </c:pt>
                      <c:pt idx="83">
                        <c:v>1</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6-5F61-41E1-B7F7-F5C086851244}"/>
                  </c:ext>
                </c:extLst>
              </c15:ser>
            </c15:filteredLineSeries>
            <c15:filteredLineSeries>
              <c15:ser>
                <c:idx val="71"/>
                <c:order val="71"/>
                <c:tx>
                  <c:strRef>
                    <c:extLst xmlns:c15="http://schemas.microsoft.com/office/drawing/2012/chart">
                      <c:ext xmlns:c15="http://schemas.microsoft.com/office/drawing/2012/chart" uri="{02D57815-91ED-43cb-92C2-25804820EDAC}">
                        <c15:formulaRef>
                          <c15:sqref>Tabelle5!$B$73</c15:sqref>
                        </c15:formulaRef>
                      </c:ext>
                    </c:extLst>
                    <c:strCache>
                      <c:ptCount val="1"/>
                      <c:pt idx="0">
                        <c:v>PSYCHOLEPTIKA</c:v>
                      </c:pt>
                    </c:strCache>
                  </c:strRef>
                </c:tx>
                <c:spPr>
                  <a:ln w="28575" cap="rnd">
                    <a:solidFill>
                      <a:schemeClr val="accent6">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Tabelle5!$C$73:$CR$73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1</c:v>
                      </c:pt>
                      <c:pt idx="15">
                        <c:v>1</c:v>
                      </c:pt>
                      <c:pt idx="16">
                        <c:v>1</c:v>
                      </c:pt>
                      <c:pt idx="17">
                        <c:v>1</c:v>
                      </c:pt>
                      <c:pt idx="18">
                        <c:v>1</c:v>
                      </c:pt>
                      <c:pt idx="19">
                        <c:v>1</c:v>
                      </c:pt>
                      <c:pt idx="20">
                        <c:v>1</c:v>
                      </c:pt>
                      <c:pt idx="21">
                        <c:v>1</c:v>
                      </c:pt>
                      <c:pt idx="22">
                        <c:v>1</c:v>
                      </c:pt>
                      <c:pt idx="23">
                        <c:v>1</c:v>
                      </c:pt>
                      <c:pt idx="24">
                        <c:v>2</c:v>
                      </c:pt>
                      <c:pt idx="25">
                        <c:v>3</c:v>
                      </c:pt>
                      <c:pt idx="26">
                        <c:v>3</c:v>
                      </c:pt>
                      <c:pt idx="27">
                        <c:v>4</c:v>
                      </c:pt>
                      <c:pt idx="28">
                        <c:v>5</c:v>
                      </c:pt>
                      <c:pt idx="29">
                        <c:v>4</c:v>
                      </c:pt>
                      <c:pt idx="30">
                        <c:v>3</c:v>
                      </c:pt>
                      <c:pt idx="31">
                        <c:v>3</c:v>
                      </c:pt>
                      <c:pt idx="32">
                        <c:v>1</c:v>
                      </c:pt>
                      <c:pt idx="33">
                        <c:v>2</c:v>
                      </c:pt>
                      <c:pt idx="34">
                        <c:v>2</c:v>
                      </c:pt>
                      <c:pt idx="35">
                        <c:v>2</c:v>
                      </c:pt>
                      <c:pt idx="36">
                        <c:v>13</c:v>
                      </c:pt>
                      <c:pt idx="37">
                        <c:v>22</c:v>
                      </c:pt>
                      <c:pt idx="38">
                        <c:v>20</c:v>
                      </c:pt>
                      <c:pt idx="39">
                        <c:v>16</c:v>
                      </c:pt>
                      <c:pt idx="40">
                        <c:v>14</c:v>
                      </c:pt>
                      <c:pt idx="41">
                        <c:v>10</c:v>
                      </c:pt>
                      <c:pt idx="42">
                        <c:v>9</c:v>
                      </c:pt>
                      <c:pt idx="43">
                        <c:v>10</c:v>
                      </c:pt>
                      <c:pt idx="44">
                        <c:v>9</c:v>
                      </c:pt>
                      <c:pt idx="45">
                        <c:v>6</c:v>
                      </c:pt>
                      <c:pt idx="46">
                        <c:v>5</c:v>
                      </c:pt>
                      <c:pt idx="47">
                        <c:v>7</c:v>
                      </c:pt>
                      <c:pt idx="48">
                        <c:v>9</c:v>
                      </c:pt>
                      <c:pt idx="49">
                        <c:v>10</c:v>
                      </c:pt>
                      <c:pt idx="50">
                        <c:v>10</c:v>
                      </c:pt>
                      <c:pt idx="51">
                        <c:v>9</c:v>
                      </c:pt>
                      <c:pt idx="52">
                        <c:v>11</c:v>
                      </c:pt>
                      <c:pt idx="53">
                        <c:v>16</c:v>
                      </c:pt>
                      <c:pt idx="54">
                        <c:v>12</c:v>
                      </c:pt>
                      <c:pt idx="55">
                        <c:v>12</c:v>
                      </c:pt>
                      <c:pt idx="56">
                        <c:v>14</c:v>
                      </c:pt>
                      <c:pt idx="57">
                        <c:v>10</c:v>
                      </c:pt>
                      <c:pt idx="58">
                        <c:v>8</c:v>
                      </c:pt>
                      <c:pt idx="59">
                        <c:v>8</c:v>
                      </c:pt>
                      <c:pt idx="60">
                        <c:v>7</c:v>
                      </c:pt>
                      <c:pt idx="61">
                        <c:v>6</c:v>
                      </c:pt>
                      <c:pt idx="62">
                        <c:v>6</c:v>
                      </c:pt>
                      <c:pt idx="63">
                        <c:v>7</c:v>
                      </c:pt>
                      <c:pt idx="64">
                        <c:v>7</c:v>
                      </c:pt>
                      <c:pt idx="65">
                        <c:v>9</c:v>
                      </c:pt>
                      <c:pt idx="66">
                        <c:v>9</c:v>
                      </c:pt>
                      <c:pt idx="67">
                        <c:v>9</c:v>
                      </c:pt>
                      <c:pt idx="68">
                        <c:v>10</c:v>
                      </c:pt>
                      <c:pt idx="69">
                        <c:v>10</c:v>
                      </c:pt>
                      <c:pt idx="70">
                        <c:v>12</c:v>
                      </c:pt>
                      <c:pt idx="71">
                        <c:v>20</c:v>
                      </c:pt>
                      <c:pt idx="72">
                        <c:v>21</c:v>
                      </c:pt>
                      <c:pt idx="73">
                        <c:v>22</c:v>
                      </c:pt>
                      <c:pt idx="74">
                        <c:v>24</c:v>
                      </c:pt>
                      <c:pt idx="75">
                        <c:v>23</c:v>
                      </c:pt>
                      <c:pt idx="76">
                        <c:v>25</c:v>
                      </c:pt>
                      <c:pt idx="77">
                        <c:v>41</c:v>
                      </c:pt>
                      <c:pt idx="78">
                        <c:v>39</c:v>
                      </c:pt>
                      <c:pt idx="79">
                        <c:v>22</c:v>
                      </c:pt>
                      <c:pt idx="80">
                        <c:v>14</c:v>
                      </c:pt>
                      <c:pt idx="81">
                        <c:v>13</c:v>
                      </c:pt>
                      <c:pt idx="82">
                        <c:v>5</c:v>
                      </c:pt>
                      <c:pt idx="83">
                        <c:v>3</c:v>
                      </c:pt>
                      <c:pt idx="84">
                        <c:v>2</c:v>
                      </c:pt>
                      <c:pt idx="85">
                        <c:v>2</c:v>
                      </c:pt>
                      <c:pt idx="86">
                        <c:v>2</c:v>
                      </c:pt>
                      <c:pt idx="87">
                        <c:v>1</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7-5F61-41E1-B7F7-F5C086851244}"/>
                  </c:ext>
                </c:extLst>
              </c15:ser>
            </c15:filteredLineSeries>
            <c15:filteredLineSeries>
              <c15:ser>
                <c:idx val="72"/>
                <c:order val="72"/>
                <c:tx>
                  <c:strRef>
                    <c:extLst xmlns:c15="http://schemas.microsoft.com/office/drawing/2012/chart">
                      <c:ext xmlns:c15="http://schemas.microsoft.com/office/drawing/2012/chart" uri="{02D57815-91ED-43cb-92C2-25804820EDAC}">
                        <c15:formulaRef>
                          <c15:sqref>Tabelle5!$B$74</c15:sqref>
                        </c15:formulaRef>
                      </c:ext>
                    </c:extLst>
                    <c:strCache>
                      <c:ptCount val="1"/>
                      <c:pt idx="0">
                        <c:v>PSYCHOANALEPTIKA</c:v>
                      </c:pt>
                    </c:strCache>
                  </c:strRef>
                </c:tx>
                <c:spPr>
                  <a:ln w="28575" cap="rnd">
                    <a:solidFill>
                      <a:schemeClr val="accent1">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Tabelle5!$C$74:$CR$74</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1</c:v>
                      </c:pt>
                      <c:pt idx="23">
                        <c:v>1</c:v>
                      </c:pt>
                      <c:pt idx="24">
                        <c:v>1</c:v>
                      </c:pt>
                      <c:pt idx="25">
                        <c:v>3</c:v>
                      </c:pt>
                      <c:pt idx="26">
                        <c:v>4</c:v>
                      </c:pt>
                      <c:pt idx="27">
                        <c:v>6</c:v>
                      </c:pt>
                      <c:pt idx="28">
                        <c:v>6</c:v>
                      </c:pt>
                      <c:pt idx="29">
                        <c:v>7</c:v>
                      </c:pt>
                      <c:pt idx="30">
                        <c:v>6</c:v>
                      </c:pt>
                      <c:pt idx="31">
                        <c:v>6</c:v>
                      </c:pt>
                      <c:pt idx="32">
                        <c:v>10</c:v>
                      </c:pt>
                      <c:pt idx="33">
                        <c:v>20</c:v>
                      </c:pt>
                      <c:pt idx="34">
                        <c:v>19</c:v>
                      </c:pt>
                      <c:pt idx="35">
                        <c:v>23</c:v>
                      </c:pt>
                      <c:pt idx="36">
                        <c:v>30</c:v>
                      </c:pt>
                      <c:pt idx="37">
                        <c:v>28</c:v>
                      </c:pt>
                      <c:pt idx="38">
                        <c:v>24</c:v>
                      </c:pt>
                      <c:pt idx="39">
                        <c:v>24</c:v>
                      </c:pt>
                      <c:pt idx="40">
                        <c:v>22</c:v>
                      </c:pt>
                      <c:pt idx="41">
                        <c:v>23</c:v>
                      </c:pt>
                      <c:pt idx="42">
                        <c:v>23</c:v>
                      </c:pt>
                      <c:pt idx="43">
                        <c:v>16</c:v>
                      </c:pt>
                      <c:pt idx="44">
                        <c:v>18</c:v>
                      </c:pt>
                      <c:pt idx="45">
                        <c:v>15</c:v>
                      </c:pt>
                      <c:pt idx="46">
                        <c:v>14</c:v>
                      </c:pt>
                      <c:pt idx="47">
                        <c:v>12</c:v>
                      </c:pt>
                      <c:pt idx="48">
                        <c:v>10</c:v>
                      </c:pt>
                      <c:pt idx="49">
                        <c:v>5</c:v>
                      </c:pt>
                      <c:pt idx="50">
                        <c:v>5</c:v>
                      </c:pt>
                      <c:pt idx="51">
                        <c:v>4</c:v>
                      </c:pt>
                      <c:pt idx="52">
                        <c:v>5</c:v>
                      </c:pt>
                      <c:pt idx="53">
                        <c:v>5</c:v>
                      </c:pt>
                      <c:pt idx="54">
                        <c:v>3</c:v>
                      </c:pt>
                      <c:pt idx="55">
                        <c:v>6</c:v>
                      </c:pt>
                      <c:pt idx="56">
                        <c:v>5</c:v>
                      </c:pt>
                      <c:pt idx="57">
                        <c:v>6</c:v>
                      </c:pt>
                      <c:pt idx="58">
                        <c:v>6</c:v>
                      </c:pt>
                      <c:pt idx="59">
                        <c:v>5</c:v>
                      </c:pt>
                      <c:pt idx="60">
                        <c:v>2</c:v>
                      </c:pt>
                      <c:pt idx="61">
                        <c:v>3</c:v>
                      </c:pt>
                      <c:pt idx="62">
                        <c:v>3</c:v>
                      </c:pt>
                      <c:pt idx="63">
                        <c:v>3</c:v>
                      </c:pt>
                      <c:pt idx="64">
                        <c:v>3</c:v>
                      </c:pt>
                      <c:pt idx="65">
                        <c:v>3</c:v>
                      </c:pt>
                      <c:pt idx="66">
                        <c:v>3</c:v>
                      </c:pt>
                      <c:pt idx="67">
                        <c:v>3</c:v>
                      </c:pt>
                      <c:pt idx="68">
                        <c:v>3</c:v>
                      </c:pt>
                      <c:pt idx="69">
                        <c:v>3</c:v>
                      </c:pt>
                      <c:pt idx="70">
                        <c:v>3</c:v>
                      </c:pt>
                      <c:pt idx="71">
                        <c:v>3</c:v>
                      </c:pt>
                      <c:pt idx="72">
                        <c:v>5</c:v>
                      </c:pt>
                      <c:pt idx="73">
                        <c:v>4</c:v>
                      </c:pt>
                      <c:pt idx="74">
                        <c:v>6</c:v>
                      </c:pt>
                      <c:pt idx="75">
                        <c:v>7</c:v>
                      </c:pt>
                      <c:pt idx="76">
                        <c:v>7</c:v>
                      </c:pt>
                      <c:pt idx="77">
                        <c:v>11</c:v>
                      </c:pt>
                      <c:pt idx="78">
                        <c:v>21</c:v>
                      </c:pt>
                      <c:pt idx="79">
                        <c:v>22</c:v>
                      </c:pt>
                      <c:pt idx="80">
                        <c:v>15</c:v>
                      </c:pt>
                      <c:pt idx="81">
                        <c:v>14</c:v>
                      </c:pt>
                      <c:pt idx="82">
                        <c:v>10</c:v>
                      </c:pt>
                      <c:pt idx="83">
                        <c:v>9</c:v>
                      </c:pt>
                      <c:pt idx="84">
                        <c:v>8</c:v>
                      </c:pt>
                      <c:pt idx="85">
                        <c:v>1</c:v>
                      </c:pt>
                      <c:pt idx="86">
                        <c:v>1</c:v>
                      </c:pt>
                      <c:pt idx="87">
                        <c:v>1</c:v>
                      </c:pt>
                      <c:pt idx="88">
                        <c:v>1</c:v>
                      </c:pt>
                      <c:pt idx="89">
                        <c:v>1</c:v>
                      </c:pt>
                      <c:pt idx="90">
                        <c:v>1</c:v>
                      </c:pt>
                      <c:pt idx="91">
                        <c:v>1</c:v>
                      </c:pt>
                      <c:pt idx="92">
                        <c:v>1</c:v>
                      </c:pt>
                      <c:pt idx="93">
                        <c:v>1</c:v>
                      </c:pt>
                    </c:numCache>
                  </c:numRef>
                </c:val>
                <c:smooth val="0"/>
                <c:extLst xmlns:c15="http://schemas.microsoft.com/office/drawing/2012/chart">
                  <c:ext xmlns:c16="http://schemas.microsoft.com/office/drawing/2014/chart" uri="{C3380CC4-5D6E-409C-BE32-E72D297353CC}">
                    <c16:uniqueId val="{00000048-5F61-41E1-B7F7-F5C086851244}"/>
                  </c:ext>
                </c:extLst>
              </c15:ser>
            </c15:filteredLineSeries>
            <c15:filteredLineSeries>
              <c15:ser>
                <c:idx val="73"/>
                <c:order val="73"/>
                <c:tx>
                  <c:strRef>
                    <c:extLst xmlns:c15="http://schemas.microsoft.com/office/drawing/2012/chart">
                      <c:ext xmlns:c15="http://schemas.microsoft.com/office/drawing/2012/chart" uri="{02D57815-91ED-43cb-92C2-25804820EDAC}">
                        <c15:formulaRef>
                          <c15:sqref>Tabelle5!$B$75</c15:sqref>
                        </c15:formulaRef>
                      </c:ext>
                    </c:extLst>
                    <c:strCache>
                      <c:ptCount val="1"/>
                      <c:pt idx="0">
                        <c:v>ANDERE MITTEL FÜR DAS NERVENSYSTEM</c:v>
                      </c:pt>
                    </c:strCache>
                  </c:strRef>
                </c:tx>
                <c:spPr>
                  <a:ln w="28575" cap="rnd">
                    <a:solidFill>
                      <a:schemeClr val="accent2">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Tabelle5!$C$75:$CR$75</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2</c:v>
                      </c:pt>
                      <c:pt idx="15">
                        <c:v>2</c:v>
                      </c:pt>
                      <c:pt idx="16">
                        <c:v>2</c:v>
                      </c:pt>
                      <c:pt idx="17">
                        <c:v>1</c:v>
                      </c:pt>
                      <c:pt idx="18">
                        <c:v>1</c:v>
                      </c:pt>
                      <c:pt idx="19">
                        <c:v>1</c:v>
                      </c:pt>
                      <c:pt idx="20">
                        <c:v>1</c:v>
                      </c:pt>
                      <c:pt idx="21">
                        <c:v>0</c:v>
                      </c:pt>
                      <c:pt idx="22">
                        <c:v>0</c:v>
                      </c:pt>
                      <c:pt idx="23">
                        <c:v>0</c:v>
                      </c:pt>
                      <c:pt idx="24">
                        <c:v>0</c:v>
                      </c:pt>
                      <c:pt idx="25">
                        <c:v>0</c:v>
                      </c:pt>
                      <c:pt idx="26">
                        <c:v>0</c:v>
                      </c:pt>
                      <c:pt idx="27">
                        <c:v>0</c:v>
                      </c:pt>
                      <c:pt idx="28">
                        <c:v>0</c:v>
                      </c:pt>
                      <c:pt idx="29">
                        <c:v>0</c:v>
                      </c:pt>
                      <c:pt idx="30">
                        <c:v>0</c:v>
                      </c:pt>
                      <c:pt idx="31">
                        <c:v>1</c:v>
                      </c:pt>
                      <c:pt idx="32">
                        <c:v>1</c:v>
                      </c:pt>
                      <c:pt idx="33">
                        <c:v>1</c:v>
                      </c:pt>
                      <c:pt idx="34">
                        <c:v>2</c:v>
                      </c:pt>
                      <c:pt idx="35">
                        <c:v>3</c:v>
                      </c:pt>
                      <c:pt idx="36">
                        <c:v>3</c:v>
                      </c:pt>
                      <c:pt idx="37">
                        <c:v>1</c:v>
                      </c:pt>
                      <c:pt idx="38">
                        <c:v>1</c:v>
                      </c:pt>
                      <c:pt idx="39">
                        <c:v>1</c:v>
                      </c:pt>
                      <c:pt idx="40">
                        <c:v>1</c:v>
                      </c:pt>
                      <c:pt idx="41">
                        <c:v>1</c:v>
                      </c:pt>
                      <c:pt idx="42">
                        <c:v>1</c:v>
                      </c:pt>
                      <c:pt idx="43">
                        <c:v>1</c:v>
                      </c:pt>
                      <c:pt idx="44">
                        <c:v>1</c:v>
                      </c:pt>
                      <c:pt idx="45">
                        <c:v>3</c:v>
                      </c:pt>
                      <c:pt idx="46">
                        <c:v>3</c:v>
                      </c:pt>
                      <c:pt idx="47">
                        <c:v>3</c:v>
                      </c:pt>
                      <c:pt idx="48">
                        <c:v>3</c:v>
                      </c:pt>
                      <c:pt idx="49">
                        <c:v>0</c:v>
                      </c:pt>
                      <c:pt idx="50">
                        <c:v>0</c:v>
                      </c:pt>
                      <c:pt idx="51">
                        <c:v>0</c:v>
                      </c:pt>
                      <c:pt idx="52">
                        <c:v>0</c:v>
                      </c:pt>
                      <c:pt idx="53">
                        <c:v>0</c:v>
                      </c:pt>
                      <c:pt idx="54">
                        <c:v>0</c:v>
                      </c:pt>
                      <c:pt idx="55">
                        <c:v>0</c:v>
                      </c:pt>
                      <c:pt idx="56">
                        <c:v>0</c:v>
                      </c:pt>
                      <c:pt idx="57">
                        <c:v>0</c:v>
                      </c:pt>
                      <c:pt idx="58">
                        <c:v>0</c:v>
                      </c:pt>
                      <c:pt idx="59">
                        <c:v>3</c:v>
                      </c:pt>
                      <c:pt idx="60">
                        <c:v>4</c:v>
                      </c:pt>
                      <c:pt idx="61">
                        <c:v>3</c:v>
                      </c:pt>
                      <c:pt idx="62">
                        <c:v>4</c:v>
                      </c:pt>
                      <c:pt idx="63">
                        <c:v>3</c:v>
                      </c:pt>
                      <c:pt idx="64">
                        <c:v>3</c:v>
                      </c:pt>
                      <c:pt idx="65">
                        <c:v>4</c:v>
                      </c:pt>
                      <c:pt idx="66">
                        <c:v>3</c:v>
                      </c:pt>
                      <c:pt idx="67">
                        <c:v>4</c:v>
                      </c:pt>
                      <c:pt idx="68">
                        <c:v>4</c:v>
                      </c:pt>
                      <c:pt idx="69">
                        <c:v>5</c:v>
                      </c:pt>
                      <c:pt idx="70">
                        <c:v>6</c:v>
                      </c:pt>
                      <c:pt idx="71">
                        <c:v>7</c:v>
                      </c:pt>
                      <c:pt idx="72">
                        <c:v>7</c:v>
                      </c:pt>
                      <c:pt idx="73">
                        <c:v>7</c:v>
                      </c:pt>
                      <c:pt idx="74">
                        <c:v>8</c:v>
                      </c:pt>
                      <c:pt idx="75">
                        <c:v>9</c:v>
                      </c:pt>
                      <c:pt idx="76">
                        <c:v>8</c:v>
                      </c:pt>
                      <c:pt idx="77">
                        <c:v>9</c:v>
                      </c:pt>
                      <c:pt idx="78">
                        <c:v>7</c:v>
                      </c:pt>
                      <c:pt idx="79">
                        <c:v>6</c:v>
                      </c:pt>
                      <c:pt idx="80">
                        <c:v>6</c:v>
                      </c:pt>
                      <c:pt idx="81">
                        <c:v>5</c:v>
                      </c:pt>
                      <c:pt idx="82">
                        <c:v>1</c:v>
                      </c:pt>
                      <c:pt idx="83">
                        <c:v>1</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9-5F61-41E1-B7F7-F5C086851244}"/>
                  </c:ext>
                </c:extLst>
              </c15:ser>
            </c15:filteredLineSeries>
            <c15:filteredLineSeries>
              <c15:ser>
                <c:idx val="74"/>
                <c:order val="74"/>
                <c:tx>
                  <c:strRef>
                    <c:extLst xmlns:c15="http://schemas.microsoft.com/office/drawing/2012/chart">
                      <c:ext xmlns:c15="http://schemas.microsoft.com/office/drawing/2012/chart" uri="{02D57815-91ED-43cb-92C2-25804820EDAC}">
                        <c15:formulaRef>
                          <c15:sqref>Tabelle5!$B$76</c15:sqref>
                        </c15:formulaRef>
                      </c:ext>
                    </c:extLst>
                    <c:strCache>
                      <c:ptCount val="1"/>
                      <c:pt idx="0">
                        <c:v>MITTEL GEGEN PROTOZOEN-ERKRANKUNGEN</c:v>
                      </c:pt>
                    </c:strCache>
                  </c:strRef>
                </c:tx>
                <c:spPr>
                  <a:ln w="28575" cap="rnd">
                    <a:solidFill>
                      <a:schemeClr val="accent3">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Tabelle5!$C$76:$CR$76</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4</c:v>
                      </c:pt>
                      <c:pt idx="38">
                        <c:v>3</c:v>
                      </c:pt>
                      <c:pt idx="39">
                        <c:v>3</c:v>
                      </c:pt>
                      <c:pt idx="40">
                        <c:v>3</c:v>
                      </c:pt>
                      <c:pt idx="41">
                        <c:v>3</c:v>
                      </c:pt>
                      <c:pt idx="42">
                        <c:v>1</c:v>
                      </c:pt>
                      <c:pt idx="43">
                        <c:v>1</c:v>
                      </c:pt>
                      <c:pt idx="44">
                        <c:v>1</c:v>
                      </c:pt>
                      <c:pt idx="45">
                        <c:v>1</c:v>
                      </c:pt>
                      <c:pt idx="46">
                        <c:v>1</c:v>
                      </c:pt>
                      <c:pt idx="47">
                        <c:v>1</c:v>
                      </c:pt>
                      <c:pt idx="48">
                        <c:v>1</c:v>
                      </c:pt>
                      <c:pt idx="49">
                        <c:v>1</c:v>
                      </c:pt>
                      <c:pt idx="50">
                        <c:v>1</c:v>
                      </c:pt>
                      <c:pt idx="51">
                        <c:v>1</c:v>
                      </c:pt>
                      <c:pt idx="52">
                        <c:v>1</c:v>
                      </c:pt>
                      <c:pt idx="53">
                        <c:v>0</c:v>
                      </c:pt>
                      <c:pt idx="54">
                        <c:v>1</c:v>
                      </c:pt>
                      <c:pt idx="55">
                        <c:v>0</c:v>
                      </c:pt>
                      <c:pt idx="56">
                        <c:v>0</c:v>
                      </c:pt>
                      <c:pt idx="57">
                        <c:v>0</c:v>
                      </c:pt>
                      <c:pt idx="58">
                        <c:v>0</c:v>
                      </c:pt>
                      <c:pt idx="59">
                        <c:v>0</c:v>
                      </c:pt>
                      <c:pt idx="60">
                        <c:v>0</c:v>
                      </c:pt>
                      <c:pt idx="61">
                        <c:v>0</c:v>
                      </c:pt>
                      <c:pt idx="62">
                        <c:v>1</c:v>
                      </c:pt>
                      <c:pt idx="63">
                        <c:v>0</c:v>
                      </c:pt>
                      <c:pt idx="64">
                        <c:v>0</c:v>
                      </c:pt>
                      <c:pt idx="65">
                        <c:v>0</c:v>
                      </c:pt>
                      <c:pt idx="66">
                        <c:v>0</c:v>
                      </c:pt>
                      <c:pt idx="67">
                        <c:v>0</c:v>
                      </c:pt>
                      <c:pt idx="68">
                        <c:v>0</c:v>
                      </c:pt>
                      <c:pt idx="69">
                        <c:v>0</c:v>
                      </c:pt>
                      <c:pt idx="70">
                        <c:v>1</c:v>
                      </c:pt>
                      <c:pt idx="71">
                        <c:v>1</c:v>
                      </c:pt>
                      <c:pt idx="72">
                        <c:v>1</c:v>
                      </c:pt>
                      <c:pt idx="73">
                        <c:v>1</c:v>
                      </c:pt>
                      <c:pt idx="74">
                        <c:v>1</c:v>
                      </c:pt>
                      <c:pt idx="75">
                        <c:v>1</c:v>
                      </c:pt>
                      <c:pt idx="76">
                        <c:v>1</c:v>
                      </c:pt>
                      <c:pt idx="77">
                        <c:v>1</c:v>
                      </c:pt>
                      <c:pt idx="78">
                        <c:v>1</c:v>
                      </c:pt>
                      <c:pt idx="79">
                        <c:v>1</c:v>
                      </c:pt>
                      <c:pt idx="80">
                        <c:v>1</c:v>
                      </c:pt>
                      <c:pt idx="81">
                        <c:v>1</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A-5F61-41E1-B7F7-F5C086851244}"/>
                  </c:ext>
                </c:extLst>
              </c15:ser>
            </c15:filteredLineSeries>
            <c15:filteredLineSeries>
              <c15:ser>
                <c:idx val="75"/>
                <c:order val="75"/>
                <c:tx>
                  <c:strRef>
                    <c:extLst xmlns:c15="http://schemas.microsoft.com/office/drawing/2012/chart">
                      <c:ext xmlns:c15="http://schemas.microsoft.com/office/drawing/2012/chart" uri="{02D57815-91ED-43cb-92C2-25804820EDAC}">
                        <c15:formulaRef>
                          <c15:sqref>Tabelle5!$B$77</c15:sqref>
                        </c15:formulaRef>
                      </c:ext>
                    </c:extLst>
                    <c:strCache>
                      <c:ptCount val="1"/>
                      <c:pt idx="0">
                        <c:v>ANTHELMINTHIKA</c:v>
                      </c:pt>
                    </c:strCache>
                  </c:strRef>
                </c:tx>
                <c:spPr>
                  <a:ln w="28575" cap="rnd">
                    <a:solidFill>
                      <a:schemeClr val="accent4">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Tabelle5!$C$77:$CR$77</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1</c:v>
                      </c:pt>
                      <c:pt idx="12">
                        <c:v>2</c:v>
                      </c:pt>
                      <c:pt idx="13">
                        <c:v>2</c:v>
                      </c:pt>
                      <c:pt idx="14">
                        <c:v>2</c:v>
                      </c:pt>
                      <c:pt idx="15">
                        <c:v>2</c:v>
                      </c:pt>
                      <c:pt idx="16">
                        <c:v>1</c:v>
                      </c:pt>
                      <c:pt idx="17">
                        <c:v>1</c:v>
                      </c:pt>
                      <c:pt idx="18">
                        <c:v>1</c:v>
                      </c:pt>
                      <c:pt idx="19">
                        <c:v>1</c:v>
                      </c:pt>
                      <c:pt idx="20">
                        <c:v>0</c:v>
                      </c:pt>
                      <c:pt idx="21">
                        <c:v>0</c:v>
                      </c:pt>
                      <c:pt idx="22">
                        <c:v>0</c:v>
                      </c:pt>
                      <c:pt idx="23">
                        <c:v>0</c:v>
                      </c:pt>
                      <c:pt idx="24">
                        <c:v>0</c:v>
                      </c:pt>
                      <c:pt idx="25">
                        <c:v>0</c:v>
                      </c:pt>
                      <c:pt idx="26">
                        <c:v>0</c:v>
                      </c:pt>
                      <c:pt idx="27">
                        <c:v>1</c:v>
                      </c:pt>
                      <c:pt idx="28">
                        <c:v>1</c:v>
                      </c:pt>
                      <c:pt idx="29">
                        <c:v>2</c:v>
                      </c:pt>
                      <c:pt idx="30">
                        <c:v>1</c:v>
                      </c:pt>
                      <c:pt idx="31">
                        <c:v>1</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1</c:v>
                      </c:pt>
                      <c:pt idx="77">
                        <c:v>1</c:v>
                      </c:pt>
                      <c:pt idx="78">
                        <c:v>1</c:v>
                      </c:pt>
                      <c:pt idx="79">
                        <c:v>1</c:v>
                      </c:pt>
                      <c:pt idx="80">
                        <c:v>1</c:v>
                      </c:pt>
                      <c:pt idx="81">
                        <c:v>1</c:v>
                      </c:pt>
                      <c:pt idx="82">
                        <c:v>1</c:v>
                      </c:pt>
                      <c:pt idx="83">
                        <c:v>1</c:v>
                      </c:pt>
                      <c:pt idx="84">
                        <c:v>1</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B-5F61-41E1-B7F7-F5C086851244}"/>
                  </c:ext>
                </c:extLst>
              </c15:ser>
            </c15:filteredLineSeries>
            <c15:filteredLineSeries>
              <c15:ser>
                <c:idx val="76"/>
                <c:order val="76"/>
                <c:tx>
                  <c:strRef>
                    <c:extLst xmlns:c15="http://schemas.microsoft.com/office/drawing/2012/chart">
                      <c:ext xmlns:c15="http://schemas.microsoft.com/office/drawing/2012/chart" uri="{02D57815-91ED-43cb-92C2-25804820EDAC}">
                        <c15:formulaRef>
                          <c15:sqref>Tabelle5!$B$78</c15:sqref>
                        </c15:formulaRef>
                      </c:ext>
                    </c:extLst>
                    <c:strCache>
                      <c:ptCount val="1"/>
                      <c:pt idx="0">
                        <c:v>MITTEL GEGEN EKTOPARASITEN, INKL. ANTISCABIOSA, INSEKTIZIDE UND REPELLENZIEN</c:v>
                      </c:pt>
                    </c:strCache>
                  </c:strRef>
                </c:tx>
                <c:spPr>
                  <a:ln w="28575" cap="rnd">
                    <a:solidFill>
                      <a:schemeClr val="accent5">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Tabelle5!$C$78:$CR$78</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C-5F61-41E1-B7F7-F5C086851244}"/>
                  </c:ext>
                </c:extLst>
              </c15:ser>
            </c15:filteredLineSeries>
            <c15:filteredLineSeries>
              <c15:ser>
                <c:idx val="77"/>
                <c:order val="77"/>
                <c:tx>
                  <c:strRef>
                    <c:extLst xmlns:c15="http://schemas.microsoft.com/office/drawing/2012/chart">
                      <c:ext xmlns:c15="http://schemas.microsoft.com/office/drawing/2012/chart" uri="{02D57815-91ED-43cb-92C2-25804820EDAC}">
                        <c15:formulaRef>
                          <c15:sqref>Tabelle5!$B$79</c15:sqref>
                        </c15:formulaRef>
                      </c:ext>
                    </c:extLst>
                    <c:strCache>
                      <c:ptCount val="1"/>
                      <c:pt idx="0">
                        <c:v>RHINOLOGIKA</c:v>
                      </c:pt>
                    </c:strCache>
                  </c:strRef>
                </c:tx>
                <c:spPr>
                  <a:ln w="28575" cap="rnd">
                    <a:solidFill>
                      <a:schemeClr val="accent6">
                        <a:lumMod val="8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Tabelle5!$C$79:$CR$79</c15:sqref>
                        </c15:formulaRef>
                      </c:ext>
                    </c:extLst>
                    <c:numCache>
                      <c:formatCode>General</c:formatCode>
                      <c:ptCount val="9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6</c:v>
                      </c:pt>
                      <c:pt idx="74">
                        <c:v>5</c:v>
                      </c:pt>
                      <c:pt idx="75">
                        <c:v>5</c:v>
                      </c:pt>
                      <c:pt idx="76">
                        <c:v>7</c:v>
                      </c:pt>
                      <c:pt idx="77">
                        <c:v>7</c:v>
                      </c:pt>
                      <c:pt idx="78">
                        <c:v>4</c:v>
                      </c:pt>
                      <c:pt idx="79">
                        <c:v>4</c:v>
                      </c:pt>
                      <c:pt idx="80">
                        <c:v>2</c:v>
                      </c:pt>
                      <c:pt idx="81">
                        <c:v>2</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D-5F61-41E1-B7F7-F5C086851244}"/>
                  </c:ext>
                </c:extLst>
              </c15:ser>
            </c15:filteredLineSeries>
            <c15:filteredLineSeries>
              <c15:ser>
                <c:idx val="78"/>
                <c:order val="78"/>
                <c:tx>
                  <c:strRef>
                    <c:extLst xmlns:c15="http://schemas.microsoft.com/office/drawing/2012/chart">
                      <c:ext xmlns:c15="http://schemas.microsoft.com/office/drawing/2012/chart" uri="{02D57815-91ED-43cb-92C2-25804820EDAC}">
                        <c15:formulaRef>
                          <c15:sqref>Tabelle5!$B$80</c15:sqref>
                        </c15:formulaRef>
                      </c:ext>
                    </c:extLst>
                    <c:strCache>
                      <c:ptCount val="1"/>
                      <c:pt idx="0">
                        <c:v>HALS- UND RACHENTHERAPEUTIKA</c:v>
                      </c:pt>
                    </c:strCache>
                  </c:strRef>
                </c:tx>
                <c:spPr>
                  <a:ln w="28575" cap="rnd">
                    <a:solidFill>
                      <a:schemeClr val="accent1">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Tabelle5!$C$80:$CR$80</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E-5F61-41E1-B7F7-F5C086851244}"/>
                  </c:ext>
                </c:extLst>
              </c15:ser>
            </c15:filteredLineSeries>
            <c15:filteredLineSeries>
              <c15:ser>
                <c:idx val="79"/>
                <c:order val="79"/>
                <c:tx>
                  <c:strRef>
                    <c:extLst xmlns:c15="http://schemas.microsoft.com/office/drawing/2012/chart">
                      <c:ext xmlns:c15="http://schemas.microsoft.com/office/drawing/2012/chart" uri="{02D57815-91ED-43cb-92C2-25804820EDAC}">
                        <c15:formulaRef>
                          <c15:sqref>Tabelle5!$B$81</c15:sqref>
                        </c15:formulaRef>
                      </c:ext>
                    </c:extLst>
                    <c:strCache>
                      <c:ptCount val="1"/>
                      <c:pt idx="0">
                        <c:v>MITTEL BEI OBSTRUKTIVEN ATEMWEGSERKRANKUNGEN</c:v>
                      </c:pt>
                    </c:strCache>
                  </c:strRef>
                </c:tx>
                <c:spPr>
                  <a:ln w="28575" cap="rnd">
                    <a:solidFill>
                      <a:schemeClr val="accent2">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Tabelle5!$C$81:$CR$81</c15:sqref>
                        </c15:formulaRef>
                      </c:ext>
                    </c:extLst>
                    <c:numCache>
                      <c:formatCode>General</c:formatCode>
                      <c:ptCount val="94"/>
                      <c:pt idx="0">
                        <c:v>0</c:v>
                      </c:pt>
                      <c:pt idx="1">
                        <c:v>0</c:v>
                      </c:pt>
                      <c:pt idx="2">
                        <c:v>0</c:v>
                      </c:pt>
                      <c:pt idx="3">
                        <c:v>0</c:v>
                      </c:pt>
                      <c:pt idx="4">
                        <c:v>0</c:v>
                      </c:pt>
                      <c:pt idx="5">
                        <c:v>0</c:v>
                      </c:pt>
                      <c:pt idx="6">
                        <c:v>0</c:v>
                      </c:pt>
                      <c:pt idx="7">
                        <c:v>1</c:v>
                      </c:pt>
                      <c:pt idx="8">
                        <c:v>1</c:v>
                      </c:pt>
                      <c:pt idx="9">
                        <c:v>0</c:v>
                      </c:pt>
                      <c:pt idx="10">
                        <c:v>1</c:v>
                      </c:pt>
                      <c:pt idx="11">
                        <c:v>1</c:v>
                      </c:pt>
                      <c:pt idx="12">
                        <c:v>1</c:v>
                      </c:pt>
                      <c:pt idx="13">
                        <c:v>1</c:v>
                      </c:pt>
                      <c:pt idx="14">
                        <c:v>1</c:v>
                      </c:pt>
                      <c:pt idx="15">
                        <c:v>1</c:v>
                      </c:pt>
                      <c:pt idx="16">
                        <c:v>1</c:v>
                      </c:pt>
                      <c:pt idx="17">
                        <c:v>3</c:v>
                      </c:pt>
                      <c:pt idx="18">
                        <c:v>3</c:v>
                      </c:pt>
                      <c:pt idx="19">
                        <c:v>1</c:v>
                      </c:pt>
                      <c:pt idx="20">
                        <c:v>1</c:v>
                      </c:pt>
                      <c:pt idx="21">
                        <c:v>1</c:v>
                      </c:pt>
                      <c:pt idx="22">
                        <c:v>1</c:v>
                      </c:pt>
                      <c:pt idx="23">
                        <c:v>1</c:v>
                      </c:pt>
                      <c:pt idx="24">
                        <c:v>1</c:v>
                      </c:pt>
                      <c:pt idx="25">
                        <c:v>2</c:v>
                      </c:pt>
                      <c:pt idx="26">
                        <c:v>2</c:v>
                      </c:pt>
                      <c:pt idx="27">
                        <c:v>2</c:v>
                      </c:pt>
                      <c:pt idx="28">
                        <c:v>2</c:v>
                      </c:pt>
                      <c:pt idx="29">
                        <c:v>2</c:v>
                      </c:pt>
                      <c:pt idx="30">
                        <c:v>2</c:v>
                      </c:pt>
                      <c:pt idx="31">
                        <c:v>2</c:v>
                      </c:pt>
                      <c:pt idx="32">
                        <c:v>2</c:v>
                      </c:pt>
                      <c:pt idx="33">
                        <c:v>2</c:v>
                      </c:pt>
                      <c:pt idx="34">
                        <c:v>1</c:v>
                      </c:pt>
                      <c:pt idx="35">
                        <c:v>1</c:v>
                      </c:pt>
                      <c:pt idx="36">
                        <c:v>3</c:v>
                      </c:pt>
                      <c:pt idx="37">
                        <c:v>5</c:v>
                      </c:pt>
                      <c:pt idx="38">
                        <c:v>4</c:v>
                      </c:pt>
                      <c:pt idx="39">
                        <c:v>4</c:v>
                      </c:pt>
                      <c:pt idx="40">
                        <c:v>2</c:v>
                      </c:pt>
                      <c:pt idx="41">
                        <c:v>2</c:v>
                      </c:pt>
                      <c:pt idx="42">
                        <c:v>3</c:v>
                      </c:pt>
                      <c:pt idx="43">
                        <c:v>3</c:v>
                      </c:pt>
                      <c:pt idx="44">
                        <c:v>3</c:v>
                      </c:pt>
                      <c:pt idx="45">
                        <c:v>3</c:v>
                      </c:pt>
                      <c:pt idx="46">
                        <c:v>3</c:v>
                      </c:pt>
                      <c:pt idx="47">
                        <c:v>5</c:v>
                      </c:pt>
                      <c:pt idx="48">
                        <c:v>5</c:v>
                      </c:pt>
                      <c:pt idx="49">
                        <c:v>6</c:v>
                      </c:pt>
                      <c:pt idx="50">
                        <c:v>7</c:v>
                      </c:pt>
                      <c:pt idx="51">
                        <c:v>7</c:v>
                      </c:pt>
                      <c:pt idx="52">
                        <c:v>6</c:v>
                      </c:pt>
                      <c:pt idx="53">
                        <c:v>6</c:v>
                      </c:pt>
                      <c:pt idx="54">
                        <c:v>6</c:v>
                      </c:pt>
                      <c:pt idx="55">
                        <c:v>6</c:v>
                      </c:pt>
                      <c:pt idx="56">
                        <c:v>6</c:v>
                      </c:pt>
                      <c:pt idx="57">
                        <c:v>6</c:v>
                      </c:pt>
                      <c:pt idx="58">
                        <c:v>5</c:v>
                      </c:pt>
                      <c:pt idx="59">
                        <c:v>4</c:v>
                      </c:pt>
                      <c:pt idx="60">
                        <c:v>4</c:v>
                      </c:pt>
                      <c:pt idx="61">
                        <c:v>5</c:v>
                      </c:pt>
                      <c:pt idx="62">
                        <c:v>7</c:v>
                      </c:pt>
                      <c:pt idx="63">
                        <c:v>6</c:v>
                      </c:pt>
                      <c:pt idx="64">
                        <c:v>11</c:v>
                      </c:pt>
                      <c:pt idx="65">
                        <c:v>9</c:v>
                      </c:pt>
                      <c:pt idx="66">
                        <c:v>5</c:v>
                      </c:pt>
                      <c:pt idx="67">
                        <c:v>8</c:v>
                      </c:pt>
                      <c:pt idx="68">
                        <c:v>6</c:v>
                      </c:pt>
                      <c:pt idx="69">
                        <c:v>4</c:v>
                      </c:pt>
                      <c:pt idx="70">
                        <c:v>6</c:v>
                      </c:pt>
                      <c:pt idx="71">
                        <c:v>9</c:v>
                      </c:pt>
                      <c:pt idx="72">
                        <c:v>10</c:v>
                      </c:pt>
                      <c:pt idx="73">
                        <c:v>10</c:v>
                      </c:pt>
                      <c:pt idx="74">
                        <c:v>11</c:v>
                      </c:pt>
                      <c:pt idx="75">
                        <c:v>11</c:v>
                      </c:pt>
                      <c:pt idx="76">
                        <c:v>14</c:v>
                      </c:pt>
                      <c:pt idx="77">
                        <c:v>14</c:v>
                      </c:pt>
                      <c:pt idx="78">
                        <c:v>16</c:v>
                      </c:pt>
                      <c:pt idx="79">
                        <c:v>14</c:v>
                      </c:pt>
                      <c:pt idx="80">
                        <c:v>11</c:v>
                      </c:pt>
                      <c:pt idx="81">
                        <c:v>8</c:v>
                      </c:pt>
                      <c:pt idx="82">
                        <c:v>1</c:v>
                      </c:pt>
                      <c:pt idx="83">
                        <c:v>1</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4F-5F61-41E1-B7F7-F5C086851244}"/>
                  </c:ext>
                </c:extLst>
              </c15:ser>
            </c15:filteredLineSeries>
            <c15:filteredLineSeries>
              <c15:ser>
                <c:idx val="80"/>
                <c:order val="80"/>
                <c:tx>
                  <c:strRef>
                    <c:extLst xmlns:c15="http://schemas.microsoft.com/office/drawing/2012/chart">
                      <c:ext xmlns:c15="http://schemas.microsoft.com/office/drawing/2012/chart" uri="{02D57815-91ED-43cb-92C2-25804820EDAC}">
                        <c15:formulaRef>
                          <c15:sqref>Tabelle5!$B$82</c15:sqref>
                        </c15:formulaRef>
                      </c:ext>
                    </c:extLst>
                    <c:strCache>
                      <c:ptCount val="1"/>
                      <c:pt idx="0">
                        <c:v>BRUSTEINREIBUNGEN UND ANDERE INHALATE</c:v>
                      </c:pt>
                    </c:strCache>
                  </c:strRef>
                </c:tx>
                <c:spPr>
                  <a:ln w="28575" cap="rnd">
                    <a:solidFill>
                      <a:schemeClr val="accent3">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Tabelle5!$C$82:$CR$82</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0-5F61-41E1-B7F7-F5C086851244}"/>
                  </c:ext>
                </c:extLst>
              </c15:ser>
            </c15:filteredLineSeries>
            <c15:filteredLineSeries>
              <c15:ser>
                <c:idx val="81"/>
                <c:order val="81"/>
                <c:tx>
                  <c:strRef>
                    <c:extLst xmlns:c15="http://schemas.microsoft.com/office/drawing/2012/chart">
                      <c:ext xmlns:c15="http://schemas.microsoft.com/office/drawing/2012/chart" uri="{02D57815-91ED-43cb-92C2-25804820EDAC}">
                        <c15:formulaRef>
                          <c15:sqref>Tabelle5!$B$83</c15:sqref>
                        </c15:formulaRef>
                      </c:ext>
                    </c:extLst>
                    <c:strCache>
                      <c:ptCount val="1"/>
                      <c:pt idx="0">
                        <c:v>HUSTEN- UND ERKÄLTUNGSMITTEL</c:v>
                      </c:pt>
                    </c:strCache>
                  </c:strRef>
                </c:tx>
                <c:spPr>
                  <a:ln w="28575" cap="rnd">
                    <a:solidFill>
                      <a:schemeClr val="accent4">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Tabelle5!$C$83:$CR$83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1</c:v>
                      </c:pt>
                      <c:pt idx="38">
                        <c:v>1</c:v>
                      </c:pt>
                      <c:pt idx="39">
                        <c:v>0</c:v>
                      </c:pt>
                      <c:pt idx="40">
                        <c:v>0</c:v>
                      </c:pt>
                      <c:pt idx="41">
                        <c:v>0</c:v>
                      </c:pt>
                      <c:pt idx="42">
                        <c:v>0</c:v>
                      </c:pt>
                      <c:pt idx="43">
                        <c:v>0</c:v>
                      </c:pt>
                      <c:pt idx="44">
                        <c:v>1</c:v>
                      </c:pt>
                      <c:pt idx="45">
                        <c:v>1</c:v>
                      </c:pt>
                      <c:pt idx="46">
                        <c:v>1</c:v>
                      </c:pt>
                      <c:pt idx="47">
                        <c:v>1</c:v>
                      </c:pt>
                      <c:pt idx="48">
                        <c:v>1</c:v>
                      </c:pt>
                      <c:pt idx="49">
                        <c:v>1</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1</c:v>
                      </c:pt>
                      <c:pt idx="75">
                        <c:v>1</c:v>
                      </c:pt>
                      <c:pt idx="76">
                        <c:v>1</c:v>
                      </c:pt>
                      <c:pt idx="77">
                        <c:v>1</c:v>
                      </c:pt>
                      <c:pt idx="78">
                        <c:v>1</c:v>
                      </c:pt>
                      <c:pt idx="79">
                        <c:v>1</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1-5F61-41E1-B7F7-F5C086851244}"/>
                  </c:ext>
                </c:extLst>
              </c15:ser>
            </c15:filteredLineSeries>
            <c15:filteredLineSeries>
              <c15:ser>
                <c:idx val="82"/>
                <c:order val="82"/>
                <c:tx>
                  <c:strRef>
                    <c:extLst xmlns:c15="http://schemas.microsoft.com/office/drawing/2012/chart">
                      <c:ext xmlns:c15="http://schemas.microsoft.com/office/drawing/2012/chart" uri="{02D57815-91ED-43cb-92C2-25804820EDAC}">
                        <c15:formulaRef>
                          <c15:sqref>Tabelle5!$B$84</c15:sqref>
                        </c15:formulaRef>
                      </c:ext>
                    </c:extLst>
                    <c:strCache>
                      <c:ptCount val="1"/>
                      <c:pt idx="0">
                        <c:v>ANTIHISTAMINIKA ZUR SYSTEMISCHEN ANWENDUNG</c:v>
                      </c:pt>
                    </c:strCache>
                  </c:strRef>
                </c:tx>
                <c:spPr>
                  <a:ln w="28575" cap="rnd">
                    <a:solidFill>
                      <a:schemeClr val="accent5">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Tabelle5!$C$84:$CR$84</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2</c:v>
                      </c:pt>
                      <c:pt idx="74">
                        <c:v>2</c:v>
                      </c:pt>
                      <c:pt idx="75">
                        <c:v>2</c:v>
                      </c:pt>
                      <c:pt idx="76">
                        <c:v>2</c:v>
                      </c:pt>
                      <c:pt idx="77">
                        <c:v>2</c:v>
                      </c:pt>
                      <c:pt idx="78">
                        <c:v>1</c:v>
                      </c:pt>
                      <c:pt idx="79">
                        <c:v>1</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2-5F61-41E1-B7F7-F5C086851244}"/>
                  </c:ext>
                </c:extLst>
              </c15:ser>
            </c15:filteredLineSeries>
            <c15:filteredLineSeries>
              <c15:ser>
                <c:idx val="83"/>
                <c:order val="83"/>
                <c:tx>
                  <c:strRef>
                    <c:extLst xmlns:c15="http://schemas.microsoft.com/office/drawing/2012/chart">
                      <c:ext xmlns:c15="http://schemas.microsoft.com/office/drawing/2012/chart" uri="{02D57815-91ED-43cb-92C2-25804820EDAC}">
                        <c15:formulaRef>
                          <c15:sqref>Tabelle5!$B$85</c15:sqref>
                        </c15:formulaRef>
                      </c:ext>
                    </c:extLst>
                    <c:strCache>
                      <c:ptCount val="1"/>
                      <c:pt idx="0">
                        <c:v>ANDERE MITTEL FÜR DEN RESPIRATIONSTRAKT</c:v>
                      </c:pt>
                    </c:strCache>
                  </c:strRef>
                </c:tx>
                <c:spPr>
                  <a:ln w="28575" cap="rnd">
                    <a:solidFill>
                      <a:schemeClr val="accent6">
                        <a:lumMod val="60000"/>
                        <a:lumOff val="4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Tabelle5!$C$85:$CR$85</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3-5F61-41E1-B7F7-F5C086851244}"/>
                  </c:ext>
                </c:extLst>
              </c15:ser>
            </c15:filteredLineSeries>
            <c15:filteredLineSeries>
              <c15:ser>
                <c:idx val="84"/>
                <c:order val="84"/>
                <c:tx>
                  <c:strRef>
                    <c:extLst xmlns:c15="http://schemas.microsoft.com/office/drawing/2012/chart">
                      <c:ext xmlns:c15="http://schemas.microsoft.com/office/drawing/2012/chart" uri="{02D57815-91ED-43cb-92C2-25804820EDAC}">
                        <c15:formulaRef>
                          <c15:sqref>Tabelle5!$B$86</c15:sqref>
                        </c15:formulaRef>
                      </c:ext>
                    </c:extLst>
                    <c:strCache>
                      <c:ptCount val="1"/>
                      <c:pt idx="0">
                        <c:v>OPHTHALMIKA**</c:v>
                      </c:pt>
                    </c:strCache>
                  </c:strRef>
                </c:tx>
                <c:spPr>
                  <a:ln w="28575" cap="rnd">
                    <a:solidFill>
                      <a:schemeClr val="accent1">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Tabelle5!$C$86:$CR$86</c15:sqref>
                        </c15:formulaRef>
                      </c:ext>
                    </c:extLst>
                    <c:numCache>
                      <c:formatCode>General</c:formatCode>
                      <c:ptCount val="94"/>
                      <c:pt idx="0">
                        <c:v>0</c:v>
                      </c:pt>
                      <c:pt idx="1">
                        <c:v>0</c:v>
                      </c:pt>
                      <c:pt idx="2">
                        <c:v>0</c:v>
                      </c:pt>
                      <c:pt idx="3">
                        <c:v>0</c:v>
                      </c:pt>
                      <c:pt idx="4">
                        <c:v>0</c:v>
                      </c:pt>
                      <c:pt idx="5">
                        <c:v>0</c:v>
                      </c:pt>
                      <c:pt idx="6">
                        <c:v>0</c:v>
                      </c:pt>
                      <c:pt idx="7">
                        <c:v>0</c:v>
                      </c:pt>
                      <c:pt idx="8">
                        <c:v>0</c:v>
                      </c:pt>
                      <c:pt idx="9">
                        <c:v>1</c:v>
                      </c:pt>
                      <c:pt idx="10">
                        <c:v>1</c:v>
                      </c:pt>
                      <c:pt idx="11">
                        <c:v>1</c:v>
                      </c:pt>
                      <c:pt idx="12">
                        <c:v>1</c:v>
                      </c:pt>
                      <c:pt idx="13">
                        <c:v>1</c:v>
                      </c:pt>
                      <c:pt idx="14">
                        <c:v>1</c:v>
                      </c:pt>
                      <c:pt idx="15">
                        <c:v>1</c:v>
                      </c:pt>
                      <c:pt idx="16">
                        <c:v>1</c:v>
                      </c:pt>
                      <c:pt idx="17">
                        <c:v>1</c:v>
                      </c:pt>
                      <c:pt idx="18">
                        <c:v>1</c:v>
                      </c:pt>
                      <c:pt idx="19">
                        <c:v>1</c:v>
                      </c:pt>
                      <c:pt idx="20">
                        <c:v>1</c:v>
                      </c:pt>
                      <c:pt idx="21">
                        <c:v>1</c:v>
                      </c:pt>
                      <c:pt idx="22">
                        <c:v>2</c:v>
                      </c:pt>
                      <c:pt idx="23">
                        <c:v>2</c:v>
                      </c:pt>
                      <c:pt idx="24">
                        <c:v>1</c:v>
                      </c:pt>
                      <c:pt idx="25">
                        <c:v>2</c:v>
                      </c:pt>
                      <c:pt idx="26">
                        <c:v>2</c:v>
                      </c:pt>
                      <c:pt idx="27">
                        <c:v>2</c:v>
                      </c:pt>
                      <c:pt idx="28">
                        <c:v>1</c:v>
                      </c:pt>
                      <c:pt idx="29">
                        <c:v>2</c:v>
                      </c:pt>
                      <c:pt idx="30">
                        <c:v>2</c:v>
                      </c:pt>
                      <c:pt idx="31">
                        <c:v>2</c:v>
                      </c:pt>
                      <c:pt idx="32">
                        <c:v>2</c:v>
                      </c:pt>
                      <c:pt idx="33">
                        <c:v>3</c:v>
                      </c:pt>
                      <c:pt idx="34">
                        <c:v>3</c:v>
                      </c:pt>
                      <c:pt idx="35">
                        <c:v>2</c:v>
                      </c:pt>
                      <c:pt idx="36">
                        <c:v>0</c:v>
                      </c:pt>
                      <c:pt idx="37">
                        <c:v>0</c:v>
                      </c:pt>
                      <c:pt idx="38">
                        <c:v>0</c:v>
                      </c:pt>
                      <c:pt idx="39">
                        <c:v>0</c:v>
                      </c:pt>
                      <c:pt idx="40">
                        <c:v>1</c:v>
                      </c:pt>
                      <c:pt idx="41">
                        <c:v>2</c:v>
                      </c:pt>
                      <c:pt idx="42">
                        <c:v>2</c:v>
                      </c:pt>
                      <c:pt idx="43">
                        <c:v>2</c:v>
                      </c:pt>
                      <c:pt idx="44">
                        <c:v>2</c:v>
                      </c:pt>
                      <c:pt idx="45">
                        <c:v>2</c:v>
                      </c:pt>
                      <c:pt idx="46">
                        <c:v>3</c:v>
                      </c:pt>
                      <c:pt idx="47">
                        <c:v>2</c:v>
                      </c:pt>
                      <c:pt idx="48">
                        <c:v>2</c:v>
                      </c:pt>
                      <c:pt idx="49">
                        <c:v>2</c:v>
                      </c:pt>
                      <c:pt idx="50">
                        <c:v>1</c:v>
                      </c:pt>
                      <c:pt idx="51">
                        <c:v>2</c:v>
                      </c:pt>
                      <c:pt idx="52">
                        <c:v>3</c:v>
                      </c:pt>
                      <c:pt idx="53">
                        <c:v>2</c:v>
                      </c:pt>
                      <c:pt idx="54">
                        <c:v>2</c:v>
                      </c:pt>
                      <c:pt idx="55">
                        <c:v>2</c:v>
                      </c:pt>
                      <c:pt idx="56">
                        <c:v>2</c:v>
                      </c:pt>
                      <c:pt idx="57">
                        <c:v>2</c:v>
                      </c:pt>
                      <c:pt idx="58">
                        <c:v>2</c:v>
                      </c:pt>
                      <c:pt idx="59">
                        <c:v>2</c:v>
                      </c:pt>
                      <c:pt idx="60">
                        <c:v>3</c:v>
                      </c:pt>
                      <c:pt idx="61">
                        <c:v>5</c:v>
                      </c:pt>
                      <c:pt idx="62">
                        <c:v>8</c:v>
                      </c:pt>
                      <c:pt idx="63">
                        <c:v>4</c:v>
                      </c:pt>
                      <c:pt idx="64">
                        <c:v>3</c:v>
                      </c:pt>
                      <c:pt idx="65">
                        <c:v>4</c:v>
                      </c:pt>
                      <c:pt idx="66">
                        <c:v>3</c:v>
                      </c:pt>
                      <c:pt idx="67">
                        <c:v>4</c:v>
                      </c:pt>
                      <c:pt idx="68">
                        <c:v>4</c:v>
                      </c:pt>
                      <c:pt idx="69">
                        <c:v>5</c:v>
                      </c:pt>
                      <c:pt idx="70">
                        <c:v>7</c:v>
                      </c:pt>
                      <c:pt idx="71">
                        <c:v>6</c:v>
                      </c:pt>
                      <c:pt idx="72">
                        <c:v>7</c:v>
                      </c:pt>
                      <c:pt idx="73">
                        <c:v>5</c:v>
                      </c:pt>
                      <c:pt idx="74">
                        <c:v>6</c:v>
                      </c:pt>
                      <c:pt idx="75">
                        <c:v>7</c:v>
                      </c:pt>
                      <c:pt idx="76">
                        <c:v>9</c:v>
                      </c:pt>
                      <c:pt idx="77">
                        <c:v>8</c:v>
                      </c:pt>
                      <c:pt idx="78">
                        <c:v>10</c:v>
                      </c:pt>
                      <c:pt idx="79">
                        <c:v>10</c:v>
                      </c:pt>
                      <c:pt idx="80">
                        <c:v>8</c:v>
                      </c:pt>
                      <c:pt idx="81">
                        <c:v>8</c:v>
                      </c:pt>
                      <c:pt idx="82">
                        <c:v>3</c:v>
                      </c:pt>
                      <c:pt idx="83">
                        <c:v>2</c:v>
                      </c:pt>
                      <c:pt idx="84">
                        <c:v>2</c:v>
                      </c:pt>
                      <c:pt idx="85">
                        <c:v>1</c:v>
                      </c:pt>
                      <c:pt idx="86">
                        <c:v>1</c:v>
                      </c:pt>
                      <c:pt idx="87">
                        <c:v>1</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4-5F61-41E1-B7F7-F5C086851244}"/>
                  </c:ext>
                </c:extLst>
              </c15:ser>
            </c15:filteredLineSeries>
            <c15:filteredLineSeries>
              <c15:ser>
                <c:idx val="85"/>
                <c:order val="85"/>
                <c:tx>
                  <c:strRef>
                    <c:extLst xmlns:c15="http://schemas.microsoft.com/office/drawing/2012/chart">
                      <c:ext xmlns:c15="http://schemas.microsoft.com/office/drawing/2012/chart" uri="{02D57815-91ED-43cb-92C2-25804820EDAC}">
                        <c15:formulaRef>
                          <c15:sqref>Tabelle5!$B$87</c15:sqref>
                        </c15:formulaRef>
                      </c:ext>
                    </c:extLst>
                    <c:strCache>
                      <c:ptCount val="1"/>
                      <c:pt idx="0">
                        <c:v>OTOLOGIKA</c:v>
                      </c:pt>
                    </c:strCache>
                  </c:strRef>
                </c:tx>
                <c:spPr>
                  <a:ln w="28575" cap="rnd">
                    <a:solidFill>
                      <a:schemeClr val="accent2">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Tabelle5!$C$87:$CR$87</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1</c:v>
                      </c:pt>
                      <c:pt idx="73">
                        <c:v>1</c:v>
                      </c:pt>
                      <c:pt idx="74">
                        <c:v>0</c:v>
                      </c:pt>
                      <c:pt idx="75">
                        <c:v>0</c:v>
                      </c:pt>
                      <c:pt idx="76">
                        <c:v>1</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5-5F61-41E1-B7F7-F5C086851244}"/>
                  </c:ext>
                </c:extLst>
              </c15:ser>
            </c15:filteredLineSeries>
            <c15:filteredLineSeries>
              <c15:ser>
                <c:idx val="86"/>
                <c:order val="86"/>
                <c:tx>
                  <c:strRef>
                    <c:extLst xmlns:c15="http://schemas.microsoft.com/office/drawing/2012/chart">
                      <c:ext xmlns:c15="http://schemas.microsoft.com/office/drawing/2012/chart" uri="{02D57815-91ED-43cb-92C2-25804820EDAC}">
                        <c15:formulaRef>
                          <c15:sqref>Tabelle5!$B$88</c15:sqref>
                        </c15:formulaRef>
                      </c:ext>
                    </c:extLst>
                    <c:strCache>
                      <c:ptCount val="1"/>
                      <c:pt idx="0">
                        <c:v>OPHTHALMOLOGISCHE UND OTOLOGISCHE ZUBEREITUNGEN</c:v>
                      </c:pt>
                    </c:strCache>
                  </c:strRef>
                </c:tx>
                <c:spPr>
                  <a:ln w="28575" cap="rnd">
                    <a:solidFill>
                      <a:schemeClr val="accent3">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Tabelle5!$C$88:$CR$88</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6-5F61-41E1-B7F7-F5C086851244}"/>
                  </c:ext>
                </c:extLst>
              </c15:ser>
            </c15:filteredLineSeries>
            <c15:filteredLineSeries>
              <c15:ser>
                <c:idx val="87"/>
                <c:order val="87"/>
                <c:tx>
                  <c:strRef>
                    <c:extLst xmlns:c15="http://schemas.microsoft.com/office/drawing/2012/chart">
                      <c:ext xmlns:c15="http://schemas.microsoft.com/office/drawing/2012/chart" uri="{02D57815-91ED-43cb-92C2-25804820EDAC}">
                        <c15:formulaRef>
                          <c15:sqref>Tabelle5!$B$89</c15:sqref>
                        </c15:formulaRef>
                      </c:ext>
                    </c:extLst>
                    <c:strCache>
                      <c:ptCount val="1"/>
                      <c:pt idx="0">
                        <c:v>ALLERGENE</c:v>
                      </c:pt>
                    </c:strCache>
                  </c:strRef>
                </c:tx>
                <c:spPr>
                  <a:ln w="28575" cap="rnd">
                    <a:solidFill>
                      <a:schemeClr val="accent4">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Tabelle5!$C$89:$CR$89</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7-5F61-41E1-B7F7-F5C086851244}"/>
                  </c:ext>
                </c:extLst>
              </c15:ser>
            </c15:filteredLineSeries>
            <c15:filteredLineSeries>
              <c15:ser>
                <c:idx val="88"/>
                <c:order val="88"/>
                <c:tx>
                  <c:strRef>
                    <c:extLst xmlns:c15="http://schemas.microsoft.com/office/drawing/2012/chart">
                      <c:ext xmlns:c15="http://schemas.microsoft.com/office/drawing/2012/chart" uri="{02D57815-91ED-43cb-92C2-25804820EDAC}">
                        <c15:formulaRef>
                          <c15:sqref>Tabelle5!$B$90</c15:sqref>
                        </c15:formulaRef>
                      </c:ext>
                    </c:extLst>
                    <c:strCache>
                      <c:ptCount val="1"/>
                      <c:pt idx="0">
                        <c:v>ALLE ÜBRIGEN THERAPEUTISCHEN MITTEL</c:v>
                      </c:pt>
                    </c:strCache>
                  </c:strRef>
                </c:tx>
                <c:spPr>
                  <a:ln w="28575" cap="rnd">
                    <a:solidFill>
                      <a:schemeClr val="accent5">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Tabelle5!$C$90:$CR$90</c15:sqref>
                        </c15:formulaRef>
                      </c:ext>
                    </c:extLst>
                    <c:numCache>
                      <c:formatCode>General</c:formatCode>
                      <c:ptCount val="94"/>
                      <c:pt idx="0">
                        <c:v>2</c:v>
                      </c:pt>
                      <c:pt idx="1">
                        <c:v>2</c:v>
                      </c:pt>
                      <c:pt idx="2">
                        <c:v>2</c:v>
                      </c:pt>
                      <c:pt idx="3">
                        <c:v>2</c:v>
                      </c:pt>
                      <c:pt idx="4">
                        <c:v>2</c:v>
                      </c:pt>
                      <c:pt idx="5">
                        <c:v>2</c:v>
                      </c:pt>
                      <c:pt idx="6">
                        <c:v>2</c:v>
                      </c:pt>
                      <c:pt idx="7">
                        <c:v>2</c:v>
                      </c:pt>
                      <c:pt idx="8">
                        <c:v>2</c:v>
                      </c:pt>
                      <c:pt idx="9">
                        <c:v>1</c:v>
                      </c:pt>
                      <c:pt idx="10">
                        <c:v>1</c:v>
                      </c:pt>
                      <c:pt idx="11">
                        <c:v>1</c:v>
                      </c:pt>
                      <c:pt idx="12">
                        <c:v>2</c:v>
                      </c:pt>
                      <c:pt idx="13">
                        <c:v>2</c:v>
                      </c:pt>
                      <c:pt idx="14">
                        <c:v>1</c:v>
                      </c:pt>
                      <c:pt idx="15">
                        <c:v>0</c:v>
                      </c:pt>
                      <c:pt idx="16">
                        <c:v>0</c:v>
                      </c:pt>
                      <c:pt idx="17">
                        <c:v>0</c:v>
                      </c:pt>
                      <c:pt idx="18">
                        <c:v>1</c:v>
                      </c:pt>
                      <c:pt idx="19">
                        <c:v>1</c:v>
                      </c:pt>
                      <c:pt idx="20">
                        <c:v>2</c:v>
                      </c:pt>
                      <c:pt idx="21">
                        <c:v>2</c:v>
                      </c:pt>
                      <c:pt idx="22">
                        <c:v>3</c:v>
                      </c:pt>
                      <c:pt idx="23">
                        <c:v>3</c:v>
                      </c:pt>
                      <c:pt idx="24">
                        <c:v>2</c:v>
                      </c:pt>
                      <c:pt idx="25">
                        <c:v>2</c:v>
                      </c:pt>
                      <c:pt idx="26">
                        <c:v>0</c:v>
                      </c:pt>
                      <c:pt idx="27">
                        <c:v>0</c:v>
                      </c:pt>
                      <c:pt idx="28">
                        <c:v>0</c:v>
                      </c:pt>
                      <c:pt idx="29">
                        <c:v>0</c:v>
                      </c:pt>
                      <c:pt idx="30">
                        <c:v>0</c:v>
                      </c:pt>
                      <c:pt idx="31">
                        <c:v>0</c:v>
                      </c:pt>
                      <c:pt idx="32">
                        <c:v>0</c:v>
                      </c:pt>
                      <c:pt idx="33">
                        <c:v>0</c:v>
                      </c:pt>
                      <c:pt idx="34">
                        <c:v>1</c:v>
                      </c:pt>
                      <c:pt idx="35">
                        <c:v>1</c:v>
                      </c:pt>
                      <c:pt idx="36">
                        <c:v>3</c:v>
                      </c:pt>
                      <c:pt idx="37">
                        <c:v>3</c:v>
                      </c:pt>
                      <c:pt idx="38">
                        <c:v>3</c:v>
                      </c:pt>
                      <c:pt idx="39">
                        <c:v>4</c:v>
                      </c:pt>
                      <c:pt idx="40">
                        <c:v>4</c:v>
                      </c:pt>
                      <c:pt idx="41">
                        <c:v>4</c:v>
                      </c:pt>
                      <c:pt idx="42">
                        <c:v>3</c:v>
                      </c:pt>
                      <c:pt idx="43">
                        <c:v>3</c:v>
                      </c:pt>
                      <c:pt idx="44">
                        <c:v>4</c:v>
                      </c:pt>
                      <c:pt idx="45">
                        <c:v>4</c:v>
                      </c:pt>
                      <c:pt idx="46">
                        <c:v>3</c:v>
                      </c:pt>
                      <c:pt idx="47">
                        <c:v>3</c:v>
                      </c:pt>
                      <c:pt idx="48">
                        <c:v>4</c:v>
                      </c:pt>
                      <c:pt idx="49">
                        <c:v>4</c:v>
                      </c:pt>
                      <c:pt idx="50">
                        <c:v>4</c:v>
                      </c:pt>
                      <c:pt idx="51">
                        <c:v>4</c:v>
                      </c:pt>
                      <c:pt idx="52">
                        <c:v>3</c:v>
                      </c:pt>
                      <c:pt idx="53">
                        <c:v>3</c:v>
                      </c:pt>
                      <c:pt idx="54">
                        <c:v>3</c:v>
                      </c:pt>
                      <c:pt idx="55">
                        <c:v>3</c:v>
                      </c:pt>
                      <c:pt idx="56">
                        <c:v>2</c:v>
                      </c:pt>
                      <c:pt idx="57">
                        <c:v>4</c:v>
                      </c:pt>
                      <c:pt idx="58">
                        <c:v>4</c:v>
                      </c:pt>
                      <c:pt idx="59">
                        <c:v>4</c:v>
                      </c:pt>
                      <c:pt idx="60">
                        <c:v>5</c:v>
                      </c:pt>
                      <c:pt idx="61">
                        <c:v>5</c:v>
                      </c:pt>
                      <c:pt idx="62">
                        <c:v>5</c:v>
                      </c:pt>
                      <c:pt idx="63">
                        <c:v>9</c:v>
                      </c:pt>
                      <c:pt idx="64">
                        <c:v>9</c:v>
                      </c:pt>
                      <c:pt idx="65">
                        <c:v>9</c:v>
                      </c:pt>
                      <c:pt idx="66">
                        <c:v>9</c:v>
                      </c:pt>
                      <c:pt idx="67">
                        <c:v>7</c:v>
                      </c:pt>
                      <c:pt idx="68">
                        <c:v>8</c:v>
                      </c:pt>
                      <c:pt idx="69">
                        <c:v>8</c:v>
                      </c:pt>
                      <c:pt idx="70">
                        <c:v>8</c:v>
                      </c:pt>
                      <c:pt idx="71">
                        <c:v>7</c:v>
                      </c:pt>
                      <c:pt idx="72">
                        <c:v>6</c:v>
                      </c:pt>
                      <c:pt idx="73">
                        <c:v>8</c:v>
                      </c:pt>
                      <c:pt idx="74">
                        <c:v>9</c:v>
                      </c:pt>
                      <c:pt idx="75">
                        <c:v>9</c:v>
                      </c:pt>
                      <c:pt idx="76">
                        <c:v>8</c:v>
                      </c:pt>
                      <c:pt idx="77">
                        <c:v>7</c:v>
                      </c:pt>
                      <c:pt idx="78">
                        <c:v>6</c:v>
                      </c:pt>
                      <c:pt idx="79">
                        <c:v>6</c:v>
                      </c:pt>
                      <c:pt idx="80">
                        <c:v>4</c:v>
                      </c:pt>
                      <c:pt idx="81">
                        <c:v>3</c:v>
                      </c:pt>
                      <c:pt idx="82">
                        <c:v>2</c:v>
                      </c:pt>
                      <c:pt idx="83">
                        <c:v>2</c:v>
                      </c:pt>
                      <c:pt idx="84">
                        <c:v>2</c:v>
                      </c:pt>
                      <c:pt idx="85">
                        <c:v>1</c:v>
                      </c:pt>
                      <c:pt idx="86">
                        <c:v>1</c:v>
                      </c:pt>
                      <c:pt idx="87">
                        <c:v>1</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8-5F61-41E1-B7F7-F5C086851244}"/>
                  </c:ext>
                </c:extLst>
              </c15:ser>
            </c15:filteredLineSeries>
            <c15:filteredLineSeries>
              <c15:ser>
                <c:idx val="89"/>
                <c:order val="89"/>
                <c:tx>
                  <c:strRef>
                    <c:extLst xmlns:c15="http://schemas.microsoft.com/office/drawing/2012/chart">
                      <c:ext xmlns:c15="http://schemas.microsoft.com/office/drawing/2012/chart" uri="{02D57815-91ED-43cb-92C2-25804820EDAC}">
                        <c15:formulaRef>
                          <c15:sqref>Tabelle5!$B$91</c15:sqref>
                        </c15:formulaRef>
                      </c:ext>
                    </c:extLst>
                    <c:strCache>
                      <c:ptCount val="1"/>
                      <c:pt idx="0">
                        <c:v>DIAGNOSTIKA</c:v>
                      </c:pt>
                    </c:strCache>
                  </c:strRef>
                </c:tx>
                <c:spPr>
                  <a:ln w="28575" cap="rnd">
                    <a:solidFill>
                      <a:schemeClr val="accent6">
                        <a:lumMod val="5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Tabelle5!$C$91:$CR$91</c15:sqref>
                        </c15:formulaRef>
                      </c:ext>
                    </c:extLst>
                    <c:numCache>
                      <c:formatCode>General</c:formatCode>
                      <c:ptCount val="94"/>
                      <c:pt idx="0">
                        <c:v>1</c:v>
                      </c:pt>
                      <c:pt idx="1">
                        <c:v>1</c:v>
                      </c:pt>
                      <c:pt idx="2">
                        <c:v>1</c:v>
                      </c:pt>
                      <c:pt idx="3">
                        <c:v>1</c:v>
                      </c:pt>
                      <c:pt idx="4">
                        <c:v>1</c:v>
                      </c:pt>
                      <c:pt idx="5">
                        <c:v>1</c:v>
                      </c:pt>
                      <c:pt idx="6">
                        <c:v>1</c:v>
                      </c:pt>
                      <c:pt idx="7">
                        <c:v>1</c:v>
                      </c:pt>
                      <c:pt idx="8">
                        <c:v>2</c:v>
                      </c:pt>
                      <c:pt idx="9">
                        <c:v>2</c:v>
                      </c:pt>
                      <c:pt idx="10">
                        <c:v>1</c:v>
                      </c:pt>
                      <c:pt idx="11">
                        <c:v>1</c:v>
                      </c:pt>
                      <c:pt idx="12">
                        <c:v>1</c:v>
                      </c:pt>
                      <c:pt idx="13">
                        <c:v>1</c:v>
                      </c:pt>
                      <c:pt idx="14">
                        <c:v>1</c:v>
                      </c:pt>
                      <c:pt idx="15">
                        <c:v>1</c:v>
                      </c:pt>
                      <c:pt idx="16">
                        <c:v>1</c:v>
                      </c:pt>
                      <c:pt idx="17">
                        <c:v>2</c:v>
                      </c:pt>
                      <c:pt idx="18">
                        <c:v>2</c:v>
                      </c:pt>
                      <c:pt idx="19">
                        <c:v>3</c:v>
                      </c:pt>
                      <c:pt idx="20">
                        <c:v>3</c:v>
                      </c:pt>
                      <c:pt idx="21">
                        <c:v>2</c:v>
                      </c:pt>
                      <c:pt idx="22">
                        <c:v>2</c:v>
                      </c:pt>
                      <c:pt idx="23">
                        <c:v>2</c:v>
                      </c:pt>
                      <c:pt idx="24">
                        <c:v>2</c:v>
                      </c:pt>
                      <c:pt idx="25">
                        <c:v>3</c:v>
                      </c:pt>
                      <c:pt idx="26">
                        <c:v>3</c:v>
                      </c:pt>
                      <c:pt idx="27">
                        <c:v>3</c:v>
                      </c:pt>
                      <c:pt idx="28">
                        <c:v>3</c:v>
                      </c:pt>
                      <c:pt idx="29">
                        <c:v>3</c:v>
                      </c:pt>
                      <c:pt idx="30">
                        <c:v>4</c:v>
                      </c:pt>
                      <c:pt idx="31">
                        <c:v>4</c:v>
                      </c:pt>
                      <c:pt idx="32">
                        <c:v>4</c:v>
                      </c:pt>
                      <c:pt idx="33">
                        <c:v>4</c:v>
                      </c:pt>
                      <c:pt idx="34">
                        <c:v>3</c:v>
                      </c:pt>
                      <c:pt idx="35">
                        <c:v>3</c:v>
                      </c:pt>
                      <c:pt idx="36">
                        <c:v>3</c:v>
                      </c:pt>
                      <c:pt idx="37">
                        <c:v>2</c:v>
                      </c:pt>
                      <c:pt idx="38">
                        <c:v>2</c:v>
                      </c:pt>
                      <c:pt idx="39">
                        <c:v>2</c:v>
                      </c:pt>
                      <c:pt idx="40">
                        <c:v>2</c:v>
                      </c:pt>
                      <c:pt idx="41">
                        <c:v>2</c:v>
                      </c:pt>
                      <c:pt idx="42">
                        <c:v>2</c:v>
                      </c:pt>
                      <c:pt idx="43">
                        <c:v>2</c:v>
                      </c:pt>
                      <c:pt idx="44">
                        <c:v>2</c:v>
                      </c:pt>
                      <c:pt idx="45">
                        <c:v>2</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2</c:v>
                      </c:pt>
                      <c:pt idx="67">
                        <c:v>2</c:v>
                      </c:pt>
                      <c:pt idx="68">
                        <c:v>2</c:v>
                      </c:pt>
                      <c:pt idx="69">
                        <c:v>3</c:v>
                      </c:pt>
                      <c:pt idx="70">
                        <c:v>3</c:v>
                      </c:pt>
                      <c:pt idx="71">
                        <c:v>3</c:v>
                      </c:pt>
                      <c:pt idx="72">
                        <c:v>3</c:v>
                      </c:pt>
                      <c:pt idx="73">
                        <c:v>3</c:v>
                      </c:pt>
                      <c:pt idx="74">
                        <c:v>3</c:v>
                      </c:pt>
                      <c:pt idx="75">
                        <c:v>3</c:v>
                      </c:pt>
                      <c:pt idx="76">
                        <c:v>3</c:v>
                      </c:pt>
                      <c:pt idx="77">
                        <c:v>3</c:v>
                      </c:pt>
                      <c:pt idx="78">
                        <c:v>3</c:v>
                      </c:pt>
                      <c:pt idx="79">
                        <c:v>3</c:v>
                      </c:pt>
                      <c:pt idx="80">
                        <c:v>3</c:v>
                      </c:pt>
                      <c:pt idx="81">
                        <c:v>3</c:v>
                      </c:pt>
                      <c:pt idx="82">
                        <c:v>1</c:v>
                      </c:pt>
                      <c:pt idx="83">
                        <c:v>1</c:v>
                      </c:pt>
                      <c:pt idx="84">
                        <c:v>1</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9-5F61-41E1-B7F7-F5C086851244}"/>
                  </c:ext>
                </c:extLst>
              </c15:ser>
            </c15:filteredLineSeries>
            <c15:filteredLineSeries>
              <c15:ser>
                <c:idx val="90"/>
                <c:order val="90"/>
                <c:tx>
                  <c:strRef>
                    <c:extLst xmlns:c15="http://schemas.microsoft.com/office/drawing/2012/chart">
                      <c:ext xmlns:c15="http://schemas.microsoft.com/office/drawing/2012/chart" uri="{02D57815-91ED-43cb-92C2-25804820EDAC}">
                        <c15:formulaRef>
                          <c15:sqref>Tabelle5!$B$92</c15:sqref>
                        </c15:formulaRef>
                      </c:ext>
                    </c:extLst>
                    <c:strCache>
                      <c:ptCount val="1"/>
                      <c:pt idx="0">
                        <c:v>ALLGEMEINE DIÄTETIKA</c:v>
                      </c:pt>
                    </c:strCache>
                  </c:strRef>
                </c:tx>
                <c:spPr>
                  <a:ln w="28575" cap="rnd">
                    <a:solidFill>
                      <a:schemeClr val="accent1">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Tabelle5!$C$92:$CR$92</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A-5F61-41E1-B7F7-F5C086851244}"/>
                  </c:ext>
                </c:extLst>
              </c15:ser>
            </c15:filteredLineSeries>
            <c15:filteredLineSeries>
              <c15:ser>
                <c:idx val="91"/>
                <c:order val="91"/>
                <c:tx>
                  <c:strRef>
                    <c:extLst xmlns:c15="http://schemas.microsoft.com/office/drawing/2012/chart">
                      <c:ext xmlns:c15="http://schemas.microsoft.com/office/drawing/2012/chart" uri="{02D57815-91ED-43cb-92C2-25804820EDAC}">
                        <c15:formulaRef>
                          <c15:sqref>Tabelle5!$B$93</c15:sqref>
                        </c15:formulaRef>
                      </c:ext>
                    </c:extLst>
                    <c:strCache>
                      <c:ptCount val="1"/>
                      <c:pt idx="0">
                        <c:v>ALLE ÜBRIGEN NICHTTHERAPEUTISCHEN MITTEL</c:v>
                      </c:pt>
                    </c:strCache>
                  </c:strRef>
                </c:tx>
                <c:spPr>
                  <a:ln w="28575" cap="rnd">
                    <a:solidFill>
                      <a:schemeClr val="accent2">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Tabelle5!$C$93:$CR$93</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B-5F61-41E1-B7F7-F5C086851244}"/>
                  </c:ext>
                </c:extLst>
              </c15:ser>
            </c15:filteredLineSeries>
            <c15:filteredLineSeries>
              <c15:ser>
                <c:idx val="92"/>
                <c:order val="92"/>
                <c:tx>
                  <c:strRef>
                    <c:extLst xmlns:c15="http://schemas.microsoft.com/office/drawing/2012/chart">
                      <c:ext xmlns:c15="http://schemas.microsoft.com/office/drawing/2012/chart" uri="{02D57815-91ED-43cb-92C2-25804820EDAC}">
                        <c15:formulaRef>
                          <c15:sqref>Tabelle5!$B$94</c15:sqref>
                        </c15:formulaRef>
                      </c:ext>
                    </c:extLst>
                    <c:strCache>
                      <c:ptCount val="1"/>
                      <c:pt idx="0">
                        <c:v>KONTRASTMITTEL</c:v>
                      </c:pt>
                    </c:strCache>
                  </c:strRef>
                </c:tx>
                <c:spPr>
                  <a:ln w="28575" cap="rnd">
                    <a:solidFill>
                      <a:schemeClr val="accent3">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Tabelle5!$C$94:$CR$94</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c:v>
                      </c:pt>
                      <c:pt idx="24">
                        <c:v>1</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c:v>
                      </c:pt>
                      <c:pt idx="65">
                        <c:v>2</c:v>
                      </c:pt>
                      <c:pt idx="66">
                        <c:v>2</c:v>
                      </c:pt>
                      <c:pt idx="67">
                        <c:v>2</c:v>
                      </c:pt>
                      <c:pt idx="68">
                        <c:v>1</c:v>
                      </c:pt>
                      <c:pt idx="69">
                        <c:v>1</c:v>
                      </c:pt>
                      <c:pt idx="70">
                        <c:v>1</c:v>
                      </c:pt>
                      <c:pt idx="71">
                        <c:v>1</c:v>
                      </c:pt>
                      <c:pt idx="72">
                        <c:v>0</c:v>
                      </c:pt>
                      <c:pt idx="73">
                        <c:v>0</c:v>
                      </c:pt>
                      <c:pt idx="74">
                        <c:v>0</c:v>
                      </c:pt>
                      <c:pt idx="75">
                        <c:v>0</c:v>
                      </c:pt>
                      <c:pt idx="76">
                        <c:v>0</c:v>
                      </c:pt>
                      <c:pt idx="77">
                        <c:v>1</c:v>
                      </c:pt>
                      <c:pt idx="78">
                        <c:v>1</c:v>
                      </c:pt>
                      <c:pt idx="79">
                        <c:v>1</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C-5F61-41E1-B7F7-F5C086851244}"/>
                  </c:ext>
                </c:extLst>
              </c15:ser>
            </c15:filteredLineSeries>
            <c15:filteredLineSeries>
              <c15:ser>
                <c:idx val="93"/>
                <c:order val="93"/>
                <c:tx>
                  <c:strRef>
                    <c:extLst xmlns:c15="http://schemas.microsoft.com/office/drawing/2012/chart">
                      <c:ext xmlns:c15="http://schemas.microsoft.com/office/drawing/2012/chart" uri="{02D57815-91ED-43cb-92C2-25804820EDAC}">
                        <c15:formulaRef>
                          <c15:sqref>Tabelle5!$B$95</c15:sqref>
                        </c15:formulaRef>
                      </c:ext>
                    </c:extLst>
                    <c:strCache>
                      <c:ptCount val="1"/>
                      <c:pt idx="0">
                        <c:v>RADIODIAGNOSTIKA</c:v>
                      </c:pt>
                    </c:strCache>
                  </c:strRef>
                </c:tx>
                <c:spPr>
                  <a:ln w="28575" cap="rnd">
                    <a:solidFill>
                      <a:schemeClr val="accent4">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Tabelle5!$C$95:$CR$95</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D-5F61-41E1-B7F7-F5C086851244}"/>
                  </c:ext>
                </c:extLst>
              </c15:ser>
            </c15:filteredLineSeries>
            <c15:filteredLineSeries>
              <c15:ser>
                <c:idx val="94"/>
                <c:order val="94"/>
                <c:tx>
                  <c:strRef>
                    <c:extLst xmlns:c15="http://schemas.microsoft.com/office/drawing/2012/chart">
                      <c:ext xmlns:c15="http://schemas.microsoft.com/office/drawing/2012/chart" uri="{02D57815-91ED-43cb-92C2-25804820EDAC}">
                        <c15:formulaRef>
                          <c15:sqref>Tabelle5!$B$96</c15:sqref>
                        </c15:formulaRef>
                      </c:ext>
                    </c:extLst>
                    <c:strCache>
                      <c:ptCount val="1"/>
                      <c:pt idx="0">
                        <c:v>RADIOTHERAPEUTIKA</c:v>
                      </c:pt>
                    </c:strCache>
                  </c:strRef>
                </c:tx>
                <c:spPr>
                  <a:ln w="28575" cap="rnd">
                    <a:solidFill>
                      <a:schemeClr val="accent5">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Tabelle5!$C$96:$CR$96</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3</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E-5F61-41E1-B7F7-F5C086851244}"/>
                  </c:ext>
                </c:extLst>
              </c15:ser>
            </c15:filteredLineSeries>
            <c15:filteredLineSeries>
              <c15:ser>
                <c:idx val="95"/>
                <c:order val="95"/>
                <c:tx>
                  <c:strRef>
                    <c:extLst xmlns:c15="http://schemas.microsoft.com/office/drawing/2012/chart">
                      <c:ext xmlns:c15="http://schemas.microsoft.com/office/drawing/2012/chart" uri="{02D57815-91ED-43cb-92C2-25804820EDAC}">
                        <c15:formulaRef>
                          <c15:sqref>Tabelle5!$B$97</c15:sqref>
                        </c15:formulaRef>
                      </c:ext>
                    </c:extLst>
                    <c:strCache>
                      <c:ptCount val="1"/>
                      <c:pt idx="0">
                        <c:v>WUNDVERBÄNDE</c:v>
                      </c:pt>
                    </c:strCache>
                  </c:strRef>
                </c:tx>
                <c:spPr>
                  <a:ln w="28575" cap="rnd">
                    <a:solidFill>
                      <a:schemeClr val="accent6">
                        <a:lumMod val="70000"/>
                        <a:lumOff val="3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Tabelle5!$C$97:$CR$97</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5F-5F61-41E1-B7F7-F5C086851244}"/>
                  </c:ext>
                </c:extLst>
              </c15:ser>
            </c15:filteredLineSeries>
            <c15:filteredLineSeries>
              <c15:ser>
                <c:idx val="96"/>
                <c:order val="96"/>
                <c:tx>
                  <c:strRef>
                    <c:extLst xmlns:c15="http://schemas.microsoft.com/office/drawing/2012/chart">
                      <c:ext xmlns:c15="http://schemas.microsoft.com/office/drawing/2012/chart" uri="{02D57815-91ED-43cb-92C2-25804820EDAC}">
                        <c15:formulaRef>
                          <c15:sqref>Tabelle5!$B$98</c15:sqref>
                        </c15:formulaRef>
                      </c:ext>
                    </c:extLst>
                    <c:strCache>
                      <c:ptCount val="1"/>
                      <c:pt idx="0">
                        <c:v>HOMÖOPATHIKA UND ANTHROPOSOPHIKA</c:v>
                      </c:pt>
                    </c:strCache>
                  </c:strRef>
                </c:tx>
                <c:spPr>
                  <a:ln w="28575" cap="rnd">
                    <a:solidFill>
                      <a:schemeClr val="accent1">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Tabelle5!$C$98:$CR$98</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60-5F61-41E1-B7F7-F5C086851244}"/>
                  </c:ext>
                </c:extLst>
              </c15:ser>
            </c15:filteredLineSeries>
            <c15:filteredLineSeries>
              <c15:ser>
                <c:idx val="97"/>
                <c:order val="97"/>
                <c:tx>
                  <c:strRef>
                    <c:extLst xmlns:c15="http://schemas.microsoft.com/office/drawing/2012/chart">
                      <c:ext xmlns:c15="http://schemas.microsoft.com/office/drawing/2012/chart" uri="{02D57815-91ED-43cb-92C2-25804820EDAC}">
                        <c15:formulaRef>
                          <c15:sqref>Tabelle5!$B$99</c15:sqref>
                        </c15:formulaRef>
                      </c:ext>
                    </c:extLst>
                    <c:strCache>
                      <c:ptCount val="1"/>
                      <c:pt idx="0">
                        <c:v>REZEPTUREN</c:v>
                      </c:pt>
                    </c:strCache>
                  </c:strRef>
                </c:tx>
                <c:spPr>
                  <a:ln w="28575" cap="rnd">
                    <a:solidFill>
                      <a:schemeClr val="accent2">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Tabelle5!$C$99:$CR$99</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61-5F61-41E1-B7F7-F5C086851244}"/>
                  </c:ext>
                </c:extLst>
              </c15:ser>
            </c15:filteredLineSeries>
            <c15:filteredLineSeries>
              <c15:ser>
                <c:idx val="98"/>
                <c:order val="98"/>
                <c:tx>
                  <c:strRef>
                    <c:extLst xmlns:c15="http://schemas.microsoft.com/office/drawing/2012/chart">
                      <c:ext xmlns:c15="http://schemas.microsoft.com/office/drawing/2012/chart" uri="{02D57815-91ED-43cb-92C2-25804820EDAC}">
                        <c15:formulaRef>
                          <c15:sqref>Tabelle5!$B$100</c15:sqref>
                        </c15:formulaRef>
                      </c:ext>
                    </c:extLst>
                    <c:strCache>
                      <c:ptCount val="1"/>
                      <c:pt idx="0">
                        <c:v>SONDERGRUPPEN</c:v>
                      </c:pt>
                    </c:strCache>
                  </c:strRef>
                </c:tx>
                <c:spPr>
                  <a:ln w="28575" cap="rnd">
                    <a:solidFill>
                      <a:schemeClr val="accent3">
                        <a:lumMod val="7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Tabelle5!$C$1:$CR$1</c15:sqref>
                        </c15:formulaRef>
                      </c:ext>
                    </c:extLst>
                    <c:strCache>
                      <c:ptCount val="94"/>
                      <c:pt idx="0">
                        <c:v>2017-01-01</c:v>
                      </c:pt>
                      <c:pt idx="1">
                        <c:v>2017-02-01</c:v>
                      </c:pt>
                      <c:pt idx="2">
                        <c:v>2017-03-01</c:v>
                      </c:pt>
                      <c:pt idx="3">
                        <c:v>2017-04-01</c:v>
                      </c:pt>
                      <c:pt idx="4">
                        <c:v>2017-05-01</c:v>
                      </c:pt>
                      <c:pt idx="5">
                        <c:v>2017-06-01</c:v>
                      </c:pt>
                      <c:pt idx="6">
                        <c:v>2017-07-01</c:v>
                      </c:pt>
                      <c:pt idx="7">
                        <c:v>2017-08-01</c:v>
                      </c:pt>
                      <c:pt idx="8">
                        <c:v>2017-09-01</c:v>
                      </c:pt>
                      <c:pt idx="9">
                        <c:v>2017-10-01</c:v>
                      </c:pt>
                      <c:pt idx="10">
                        <c:v>2017-11-01</c:v>
                      </c:pt>
                      <c:pt idx="11">
                        <c:v>2017-12-01</c:v>
                      </c:pt>
                      <c:pt idx="12">
                        <c:v>2018-01-01</c:v>
                      </c:pt>
                      <c:pt idx="13">
                        <c:v>2018-02-01</c:v>
                      </c:pt>
                      <c:pt idx="14">
                        <c:v>2018-03-01</c:v>
                      </c:pt>
                      <c:pt idx="15">
                        <c:v>2018-04-01</c:v>
                      </c:pt>
                      <c:pt idx="16">
                        <c:v>2018-05-01</c:v>
                      </c:pt>
                      <c:pt idx="17">
                        <c:v>2018-06-01</c:v>
                      </c:pt>
                      <c:pt idx="18">
                        <c:v>2018-07-01</c:v>
                      </c:pt>
                      <c:pt idx="19">
                        <c:v>2018-08-01</c:v>
                      </c:pt>
                      <c:pt idx="20">
                        <c:v>2018-09-01</c:v>
                      </c:pt>
                      <c:pt idx="21">
                        <c:v>2018-10-01</c:v>
                      </c:pt>
                      <c:pt idx="22">
                        <c:v>2018-11-01</c:v>
                      </c:pt>
                      <c:pt idx="23">
                        <c:v>2018-12-01</c:v>
                      </c:pt>
                      <c:pt idx="24">
                        <c:v>2019-01-01</c:v>
                      </c:pt>
                      <c:pt idx="25">
                        <c:v>2019-02-01</c:v>
                      </c:pt>
                      <c:pt idx="26">
                        <c:v>2019-03-01</c:v>
                      </c:pt>
                      <c:pt idx="27">
                        <c:v>2019-04-01</c:v>
                      </c:pt>
                      <c:pt idx="28">
                        <c:v>2019-05-01</c:v>
                      </c:pt>
                      <c:pt idx="29">
                        <c:v>2019-06-01</c:v>
                      </c:pt>
                      <c:pt idx="30">
                        <c:v>2019-07-01</c:v>
                      </c:pt>
                      <c:pt idx="31">
                        <c:v>2019-08-01</c:v>
                      </c:pt>
                      <c:pt idx="32">
                        <c:v>2019-09-01</c:v>
                      </c:pt>
                      <c:pt idx="33">
                        <c:v>2019-10-01</c:v>
                      </c:pt>
                      <c:pt idx="34">
                        <c:v>2019-11-01</c:v>
                      </c:pt>
                      <c:pt idx="35">
                        <c:v>2019-12-01</c:v>
                      </c:pt>
                      <c:pt idx="36">
                        <c:v>2020-03-01</c:v>
                      </c:pt>
                      <c:pt idx="37">
                        <c:v>2020-04-01</c:v>
                      </c:pt>
                      <c:pt idx="38">
                        <c:v>2020-05-01</c:v>
                      </c:pt>
                      <c:pt idx="39">
                        <c:v>2020-06-01</c:v>
                      </c:pt>
                      <c:pt idx="40">
                        <c:v>2020-07-01</c:v>
                      </c:pt>
                      <c:pt idx="41">
                        <c:v>2020-08-01</c:v>
                      </c:pt>
                      <c:pt idx="42">
                        <c:v>2020-09-01</c:v>
                      </c:pt>
                      <c:pt idx="43">
                        <c:v>2020-10-01</c:v>
                      </c:pt>
                      <c:pt idx="44">
                        <c:v>2020-11-01</c:v>
                      </c:pt>
                      <c:pt idx="45">
                        <c:v>2020-12-01</c:v>
                      </c:pt>
                      <c:pt idx="46">
                        <c:v>2021-01-01</c:v>
                      </c:pt>
                      <c:pt idx="47">
                        <c:v>2021-02-01</c:v>
                      </c:pt>
                      <c:pt idx="48">
                        <c:v>2021-03-01</c:v>
                      </c:pt>
                      <c:pt idx="49">
                        <c:v>2021-04-01</c:v>
                      </c:pt>
                      <c:pt idx="50">
                        <c:v>2021-05-01</c:v>
                      </c:pt>
                      <c:pt idx="51">
                        <c:v>2021-06-01</c:v>
                      </c:pt>
                      <c:pt idx="52">
                        <c:v>2021-07-01</c:v>
                      </c:pt>
                      <c:pt idx="53">
                        <c:v>2021-08-01</c:v>
                      </c:pt>
                      <c:pt idx="54">
                        <c:v>2021-09-01</c:v>
                      </c:pt>
                      <c:pt idx="55">
                        <c:v>2021-10-01</c:v>
                      </c:pt>
                      <c:pt idx="56">
                        <c:v>2021-11-01</c:v>
                      </c:pt>
                      <c:pt idx="57">
                        <c:v>2021-12-01</c:v>
                      </c:pt>
                      <c:pt idx="58">
                        <c:v>2022-01-01</c:v>
                      </c:pt>
                      <c:pt idx="59">
                        <c:v>2022-02-01</c:v>
                      </c:pt>
                      <c:pt idx="60">
                        <c:v>2022-03-01</c:v>
                      </c:pt>
                      <c:pt idx="61">
                        <c:v>2022-04-01</c:v>
                      </c:pt>
                      <c:pt idx="62">
                        <c:v>2022-05-01</c:v>
                      </c:pt>
                      <c:pt idx="63">
                        <c:v>2022-06-01</c:v>
                      </c:pt>
                      <c:pt idx="64">
                        <c:v>2022-07-01</c:v>
                      </c:pt>
                      <c:pt idx="65">
                        <c:v>2022-08-01</c:v>
                      </c:pt>
                      <c:pt idx="66">
                        <c:v>2022-09-01</c:v>
                      </c:pt>
                      <c:pt idx="67">
                        <c:v>2022-10-01</c:v>
                      </c:pt>
                      <c:pt idx="68">
                        <c:v>2022-11-01</c:v>
                      </c:pt>
                      <c:pt idx="69">
                        <c:v>2022-12-01</c:v>
                      </c:pt>
                      <c:pt idx="70">
                        <c:v>2023-01-01</c:v>
                      </c:pt>
                      <c:pt idx="71">
                        <c:v>2023-02-01</c:v>
                      </c:pt>
                      <c:pt idx="72">
                        <c:v>2023-03-01</c:v>
                      </c:pt>
                      <c:pt idx="73">
                        <c:v>2023-04-01</c:v>
                      </c:pt>
                      <c:pt idx="74">
                        <c:v>2023-05-01</c:v>
                      </c:pt>
                      <c:pt idx="75">
                        <c:v>2023-06-01</c:v>
                      </c:pt>
                      <c:pt idx="76">
                        <c:v>2023-07-01</c:v>
                      </c:pt>
                      <c:pt idx="77">
                        <c:v>2023-08-01</c:v>
                      </c:pt>
                      <c:pt idx="78">
                        <c:v>2023-09-01</c:v>
                      </c:pt>
                      <c:pt idx="79">
                        <c:v>2023-10-01</c:v>
                      </c:pt>
                      <c:pt idx="80">
                        <c:v>2023-11-01</c:v>
                      </c:pt>
                      <c:pt idx="81">
                        <c:v>2023-12-01</c:v>
                      </c:pt>
                      <c:pt idx="82">
                        <c:v>2024-01-01</c:v>
                      </c:pt>
                      <c:pt idx="83">
                        <c:v>2024-02-01</c:v>
                      </c:pt>
                      <c:pt idx="84">
                        <c:v>2024-03-01</c:v>
                      </c:pt>
                      <c:pt idx="85">
                        <c:v>2024-04-01</c:v>
                      </c:pt>
                      <c:pt idx="86">
                        <c:v>2024-05-01</c:v>
                      </c:pt>
                      <c:pt idx="87">
                        <c:v>2024-06-01</c:v>
                      </c:pt>
                      <c:pt idx="88">
                        <c:v>2024-07-01</c:v>
                      </c:pt>
                      <c:pt idx="89">
                        <c:v>2024-08-01</c:v>
                      </c:pt>
                      <c:pt idx="90">
                        <c:v>2024-09-01</c:v>
                      </c:pt>
                      <c:pt idx="91">
                        <c:v>2024-10-01</c:v>
                      </c:pt>
                      <c:pt idx="92">
                        <c:v>2024-11-01</c:v>
                      </c:pt>
                      <c:pt idx="93">
                        <c:v>2024-12-01</c:v>
                      </c:pt>
                    </c:strCache>
                  </c:strRef>
                </c:cat>
                <c:val>
                  <c:numRef>
                    <c:extLst xmlns:c15="http://schemas.microsoft.com/office/drawing/2012/chart">
                      <c:ext xmlns:c15="http://schemas.microsoft.com/office/drawing/2012/chart" uri="{02D57815-91ED-43cb-92C2-25804820EDAC}">
                        <c15:formulaRef>
                          <c15:sqref>Tabelle5!$C$100:$CR$100</c15:sqref>
                        </c15:formulaRef>
                      </c:ext>
                    </c:extLst>
                    <c:numCache>
                      <c:formatCode>General</c:formatCode>
                      <c:ptCount val="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xmlns:c15="http://schemas.microsoft.com/office/drawing/2012/chart">
                  <c:ext xmlns:c16="http://schemas.microsoft.com/office/drawing/2014/chart" uri="{C3380CC4-5D6E-409C-BE32-E72D297353CC}">
                    <c16:uniqueId val="{00000062-5F61-41E1-B7F7-F5C086851244}"/>
                  </c:ext>
                </c:extLst>
              </c15:ser>
            </c15:filteredLineSeries>
          </c:ext>
        </c:extLst>
      </c:lineChart>
      <c:catAx>
        <c:axId val="69380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13562960"/>
        <c:crosses val="autoZero"/>
        <c:auto val="1"/>
        <c:lblAlgn val="ctr"/>
        <c:lblOffset val="100"/>
        <c:noMultiLvlLbl val="0"/>
      </c:catAx>
      <c:valAx>
        <c:axId val="31356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3801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9532DDF6-D91C-4FD1-A6F4-CE8B6B0F8DB4}">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9532DDF6-D91C-4FD1-A6F4-CE8B6B0F8DB4}">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137660</xdr:colOff>
      <xdr:row>3146</xdr:row>
      <xdr:rowOff>49748</xdr:rowOff>
    </xdr:from>
    <xdr:to>
      <xdr:col>9</xdr:col>
      <xdr:colOff>370029</xdr:colOff>
      <xdr:row>3169</xdr:row>
      <xdr:rowOff>93267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00095D6-CE93-80E5-563E-2A18BE135D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64737" y="580132715"/>
              <a:ext cx="5934808" cy="4473167"/>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-2722</xdr:colOff>
      <xdr:row>126</xdr:row>
      <xdr:rowOff>83820</xdr:rowOff>
    </xdr:from>
    <xdr:to>
      <xdr:col>105</xdr:col>
      <xdr:colOff>174171</xdr:colOff>
      <xdr:row>208</xdr:row>
      <xdr:rowOff>34019</xdr:rowOff>
    </xdr:to>
    <xdr:graphicFrame macro="">
      <xdr:nvGraphicFramePr>
        <xdr:cNvPr id="5" name="Diagramm 4">
          <a:extLst>
            <a:ext uri="{FF2B5EF4-FFF2-40B4-BE49-F238E27FC236}">
              <a16:creationId xmlns:a16="http://schemas.microsoft.com/office/drawing/2014/main" id="{94B694C3-DB81-BEBF-9500-0A16912AC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698500</xdr:colOff>
      <xdr:row>0</xdr:row>
      <xdr:rowOff>0</xdr:rowOff>
    </xdr:from>
    <xdr:to>
      <xdr:col>105</xdr:col>
      <xdr:colOff>444500</xdr:colOff>
      <xdr:row>161</xdr:row>
      <xdr:rowOff>127000</xdr:rowOff>
    </xdr:to>
    <xdr:graphicFrame macro="">
      <xdr:nvGraphicFramePr>
        <xdr:cNvPr id="2" name="Diagramm 1">
          <a:extLst>
            <a:ext uri="{FF2B5EF4-FFF2-40B4-BE49-F238E27FC236}">
              <a16:creationId xmlns:a16="http://schemas.microsoft.com/office/drawing/2014/main" id="{D92138CC-DEE5-6839-3639-0C1481D04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448408</xdr:colOff>
      <xdr:row>24</xdr:row>
      <xdr:rowOff>84047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F3062A1-039A-49C0-B13F-BDD337ADBD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5934808" cy="4473167"/>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27</xdr:col>
      <xdr:colOff>571500</xdr:colOff>
      <xdr:row>108</xdr:row>
      <xdr:rowOff>117764</xdr:rowOff>
    </xdr:from>
    <xdr:to>
      <xdr:col>89</xdr:col>
      <xdr:colOff>484909</xdr:colOff>
      <xdr:row>285</xdr:row>
      <xdr:rowOff>0</xdr:rowOff>
    </xdr:to>
    <xdr:graphicFrame macro="">
      <xdr:nvGraphicFramePr>
        <xdr:cNvPr id="2" name="Diagramm 1">
          <a:extLst>
            <a:ext uri="{FF2B5EF4-FFF2-40B4-BE49-F238E27FC236}">
              <a16:creationId xmlns:a16="http://schemas.microsoft.com/office/drawing/2014/main" id="{0B5EAEF2-FFC8-85DD-92A3-032B07282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udentkit.sharepoint.com/Users/olesuhrmann/Desktop/delteted_shortages.xlsx" TargetMode="External"/><Relationship Id="rId1" Type="http://schemas.openxmlformats.org/officeDocument/2006/relationships/externalLinkPath" Target="https://studentkit.sharepoint.com/Users/olesuhrmann/Desktop/delteted_shorta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elle1"/>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Scheel, Amara" id="{AC23137A-A097-46E5-8E5E-B5AC68AF4130}" userId="S::uyvep@student.kit.edu::1d246254-a983-4b91-9d48-92c44d7a134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E73BA4-C049-4D4A-8575-3BD7F033D7FF}" name="Table1" displayName="Table1" ref="A1:X3144" totalsRowShown="0" headerRowDxfId="130" dataDxfId="128" headerRowBorderDxfId="129" tableBorderDxfId="127">
  <autoFilter ref="A1:X3144" xr:uid="{50E73BA4-C049-4D4A-8575-3BD7F033D7FF}"/>
  <sortState xmlns:xlrd2="http://schemas.microsoft.com/office/spreadsheetml/2017/richdata2" ref="A2:X3144">
    <sortCondition ref="L1:L3144"/>
  </sortState>
  <tableColumns count="24">
    <tableColumn id="21" xr3:uid="{8B3A458C-7F6C-AF44-9D24-B83C4833C26D}" name="Report_ID" dataDxfId="126"/>
    <tableColumn id="1" xr3:uid="{F2C8A884-CA2B-4063-89E0-32EA70BDD270}" name="PZN" dataDxfId="125"/>
    <tableColumn id="2" xr3:uid="{4A01CA6D-4749-4D07-915B-DCE19996A150}" name="ENR" dataDxfId="124"/>
    <tableColumn id="3" xr3:uid="{702D44A3-22AA-4542-A457-D633A518F27A}" name="Meldungsart" dataDxfId="123"/>
    <tableColumn id="4" xr3:uid="{DCDA71A8-9FFD-46EC-AD01-987B1E48C612}" name="Beginn" dataDxfId="122"/>
    <tableColumn id="5" xr3:uid="{C5723BDB-8B74-4BC4-BE1E-F570CC8A8FAB}" name="Ende" dataDxfId="121"/>
    <tableColumn id="18" xr3:uid="{FDF2E9BE-29FC-A644-965C-0E254FDB79CD}" name="Dauer (Tage)" dataDxfId="120">
      <calculatedColumnFormula>[1]Tabelle1!F2-[1]Tabelle1!E2</calculatedColumnFormula>
    </tableColumn>
    <tableColumn id="27" xr3:uid="{D6D3B997-C3E1-F44D-ACEB-20B74D9E06B2}" name="Datum der Erstmeldung" dataDxfId="119"/>
    <tableColumn id="6" xr3:uid="{171158A7-6C5C-4B89-BBD3-3D7AF5EB88CC}" name="Datum der letzten Meldung" dataDxfId="118"/>
    <tableColumn id="7" xr3:uid="{2DD054A9-91B7-42FE-9BA1-73603A0E1B0C}" name="Art des Grundes" dataDxfId="117"/>
    <tableColumn id="8" xr3:uid="{E913A3DF-B8DC-4742-9F9F-03810214CDC4}" name="Arzneimittlbezeichnung" dataDxfId="116"/>
    <tableColumn id="9" xr3:uid="{06D3A706-0A2F-4416-BB52-54DC82B98285}" name="Atc Code" dataDxfId="115"/>
    <tableColumn id="10" xr3:uid="{80368F12-178D-485C-ADFD-DF04599978F7}" name="Wirkstoffe" dataDxfId="114"/>
    <tableColumn id="11" xr3:uid="{848C6F13-5129-41A4-B3AB-2C78C539CD0C}" name="Krankenhausrelevant" dataDxfId="113"/>
    <tableColumn id="12" xr3:uid="{EDD61E3C-ECDD-43C1-8F2B-71948ECE7B04}" name="Zulassungsinhaber" dataDxfId="112"/>
    <tableColumn id="13" xr3:uid="{85EE1EE0-B4C8-4BB2-BE72-E5A498496C38}" name="Telefon" dataDxfId="111"/>
    <tableColumn id="14" xr3:uid="{738EB896-4C4B-4452-A4D3-359B812840B9}" name="E-Mail" dataDxfId="110"/>
    <tableColumn id="15" xr3:uid="{4C72C10D-2274-415C-ADF7-91E5AF098E02}" name="Grund" dataDxfId="109"/>
    <tableColumn id="16" xr3:uid="{081F8B2B-9A76-43EF-A0FD-1B0E4E3A14D6}" name="Anm. zum Grund" dataDxfId="108"/>
    <tableColumn id="17" xr3:uid="{6D057171-EE3A-42B0-881C-A301E7755EFE}" name="Alternativpräparat" dataDxfId="107"/>
    <tableColumn id="19" xr3:uid="{A670C699-EE7C-4E7B-98BF-D7968560164A}" name="Info an Fachkreise" dataDxfId="106"/>
    <tableColumn id="20" xr3:uid="{D3FE0642-1B74-49DD-8311-603EE995D709}" name="Darreichungsform" dataDxfId="105"/>
    <tableColumn id="22" xr3:uid="{F1082EE9-4412-4759-B7F6-7217B70AB862}" name="Obergruppe" dataDxfId="104">
      <calculatedColumnFormula>VLOOKUP(Table1[[#This Row],[Obergruppe ATC-Code]],Tabelle3!$A$2:$B$100,2)</calculatedColumnFormula>
    </tableColumn>
    <tableColumn id="23" xr3:uid="{F21A814E-DC9F-49C9-9D29-50CC60336EC8}" name="Obergruppe ATC-Code" dataDxfId="103">
      <calculatedColumnFormula xml:space="preserve"> LEFT(Table1[[#This Row],[Atc Code]],3)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1C74CE-90A5-48A3-AA14-84EED8C8FF5E}" name="Tabelle2" displayName="Tabelle2" ref="B1:CT101" totalsRowCount="1" headerRowDxfId="102" totalsRowDxfId="101">
  <autoFilter ref="B1:CT100" xr:uid="{241C74CE-90A5-48A3-AA14-84EED8C8FF5E}"/>
  <tableColumns count="97">
    <tableColumn id="16" xr3:uid="{E14B4C5A-A098-43E9-8CCD-ED33BE58D406}" name="Spalte1" totalsRowLabel="addiert" dataDxfId="100" totalsRowDxfId="99"/>
    <tableColumn id="1" xr3:uid="{01841675-FBF3-4037-B013-480CC7ABA7A8}" name="2017-01-01" totalsRowFunction="custom" totalsRowDxfId="98">
      <calculatedColumnFormula>COUNTIFS(INDIRECT("Table1[Beginn]"),"&lt;="&amp;C$1,INDIRECT("Table1[Ende]"),"&gt;="&amp;C$1,INDIRECT("Table1[Obergruppe ATC-Code]"),Tabelle3!$A2)</calculatedColumnFormula>
      <totalsRowFormula>SUM(Tabelle2[2017-01-01])</totalsRowFormula>
    </tableColumn>
    <tableColumn id="2" xr3:uid="{6DA272C6-BF33-4498-8423-DFC664FE9B86}" name="2017-02-01" totalsRowFunction="custom" totalsRowDxfId="97">
      <calculatedColumnFormula>COUNTIFS(INDIRECT("Table1[Beginn]"),"&lt;="&amp;D$1,INDIRECT("Table1[Ende]"),"&gt;="&amp;D$1,INDIRECT("Table1[Obergruppe ATC-Code]"),Tabelle3!$A2)</calculatedColumnFormula>
      <totalsRowFormula>SUM(Tabelle2[2017-02-01])</totalsRowFormula>
    </tableColumn>
    <tableColumn id="3" xr3:uid="{DE538F85-B511-467C-B0EC-63480B513EF1}" name="2017-03-01" totalsRowFunction="custom" totalsRowDxfId="96">
      <calculatedColumnFormula>COUNTIFS(INDIRECT("Table1[Beginn]"),"&lt;="&amp;E$1,INDIRECT("Table1[Ende]"),"&gt;="&amp;E$1,INDIRECT("Table1[Obergruppe ATC-Code]"),Tabelle3!$A2)</calculatedColumnFormula>
      <totalsRowFormula>SUM(Tabelle2[2017-03-01])</totalsRowFormula>
    </tableColumn>
    <tableColumn id="4" xr3:uid="{EE49EA7C-E1A0-40BD-A0E9-ED33EFA08873}" name="2017-04-01" totalsRowFunction="custom" totalsRowDxfId="95">
      <calculatedColumnFormula>COUNTIFS(INDIRECT("Table1[Beginn]"),"&lt;="&amp;F$1,INDIRECT("Table1[Ende]"),"&gt;="&amp;F$1,INDIRECT("Table1[Obergruppe ATC-Code]"),Tabelle3!$A2)</calculatedColumnFormula>
      <totalsRowFormula>SUM(Tabelle2[2017-04-01])</totalsRowFormula>
    </tableColumn>
    <tableColumn id="5" xr3:uid="{5A7D4F8E-B6DF-407E-8243-0F8F68EDB527}" name="2017-05-01" totalsRowFunction="custom" totalsRowDxfId="94">
      <calculatedColumnFormula>COUNTIFS(INDIRECT("Table1[Beginn]"),"&lt;="&amp;G$1,INDIRECT("Table1[Ende]"),"&gt;="&amp;G$1,INDIRECT("Table1[Obergruppe ATC-Code]"),Tabelle3!$A2)</calculatedColumnFormula>
      <totalsRowFormula>SUM(Tabelle2[2017-05-01])</totalsRowFormula>
    </tableColumn>
    <tableColumn id="6" xr3:uid="{FC4CB48B-98F7-419B-BFEE-AEAB6B71A176}" name="2017-06-01" totalsRowFunction="custom" totalsRowDxfId="93">
      <calculatedColumnFormula>COUNTIFS(INDIRECT("Table1[Beginn]"),"&lt;="&amp;H$1,INDIRECT("Table1[Ende]"),"&gt;="&amp;H$1,INDIRECT("Table1[Obergruppe ATC-Code]"),Tabelle3!$A2)</calculatedColumnFormula>
      <totalsRowFormula>SUM(Tabelle2[2017-06-01])</totalsRowFormula>
    </tableColumn>
    <tableColumn id="7" xr3:uid="{3935524D-09EC-48CD-A8E4-2CD42491387A}" name="2017-07-01" totalsRowFunction="custom" totalsRowDxfId="92">
      <calculatedColumnFormula>COUNTIFS(INDIRECT("Table1[Beginn]"),"&lt;="&amp;I$1,INDIRECT("Table1[Ende]"),"&gt;="&amp;I$1,INDIRECT("Table1[Obergruppe ATC-Code]"),Tabelle3!$A2)</calculatedColumnFormula>
      <totalsRowFormula>SUM(Tabelle2[2017-07-01])</totalsRowFormula>
    </tableColumn>
    <tableColumn id="8" xr3:uid="{B84D0525-DC38-4A3B-832A-2B355241416E}" name="2017-08-01" totalsRowFunction="custom" totalsRowDxfId="91">
      <calculatedColumnFormula>COUNTIFS(INDIRECT("Table1[Beginn]"),"&lt;="&amp;J$1,INDIRECT("Table1[Ende]"),"&gt;="&amp;J$1,INDIRECT("Table1[Obergruppe ATC-Code]"),Tabelle3!$A2)</calculatedColumnFormula>
      <totalsRowFormula>SUM(Tabelle2[2017-02-01])</totalsRowFormula>
    </tableColumn>
    <tableColumn id="9" xr3:uid="{BCC51871-4CB8-41B8-848E-12311804C01F}" name="2017-09-01" totalsRowFunction="custom" totalsRowDxfId="90">
      <calculatedColumnFormula>COUNTIFS(INDIRECT("Table1[Beginn]"),"&lt;="&amp;K$1,INDIRECT("Table1[Ende]"),"&gt;="&amp;K$1,INDIRECT("Table1[Obergruppe ATC-Code]"),Tabelle3!$A2)</calculatedColumnFormula>
      <totalsRowFormula>SUM(Tabelle2[2017-03-01])</totalsRowFormula>
    </tableColumn>
    <tableColumn id="10" xr3:uid="{D04E45C3-DB2F-4C65-B02A-CC11E20F229F}" name="2017-10-01" totalsRowFunction="custom" totalsRowDxfId="89">
      <calculatedColumnFormula>COUNTIFS(INDIRECT("Table1[Beginn]"),"&lt;="&amp;L$1,INDIRECT("Table1[Ende]"),"&gt;="&amp;L$1,INDIRECT("Table1[Obergruppe ATC-Code]"),Tabelle3!$A2)</calculatedColumnFormula>
      <totalsRowFormula>SUM(Tabelle2[2017-04-01])</totalsRowFormula>
    </tableColumn>
    <tableColumn id="11" xr3:uid="{E28E9701-05EB-44EA-A362-232A1C061E22}" name="2017-11-01" totalsRowFunction="custom" totalsRowDxfId="88">
      <calculatedColumnFormula>COUNTIFS(INDIRECT("Table1[Beginn]"),"&lt;="&amp;M$1,INDIRECT("Table1[Ende]"),"&gt;="&amp;M$1,INDIRECT("Table1[Obergruppe ATC-Code]"),Tabelle3!$A2)</calculatedColumnFormula>
      <totalsRowFormula>SUM(Tabelle2[2017-05-01])</totalsRowFormula>
    </tableColumn>
    <tableColumn id="12" xr3:uid="{62F022F8-2651-4304-852B-BAFD4B8D3554}" name="2017-12-01" totalsRowFunction="custom" totalsRowDxfId="87">
      <calculatedColumnFormula>COUNTIFS(INDIRECT("Table1[Beginn]"),"&lt;="&amp;N$1,INDIRECT("Table1[Ende]"),"&gt;="&amp;N$1,INDIRECT("Table1[Obergruppe ATC-Code]"),Tabelle3!$A2)</calculatedColumnFormula>
      <totalsRowFormula>SUM(Tabelle2[2017-06-01])</totalsRowFormula>
    </tableColumn>
    <tableColumn id="13" xr3:uid="{96BFA814-D784-47B3-9903-AD0552CF10C4}" name="2018-01-01" totalsRowFunction="custom" totalsRowDxfId="86">
      <calculatedColumnFormula>COUNTIFS(INDIRECT("Table1[Beginn]"),"&lt;="&amp;O$1,INDIRECT("Table1[Ende]"),"&gt;="&amp;O$1,INDIRECT("Table1[Obergruppe ATC-Code]"),Tabelle3!$A2)</calculatedColumnFormula>
      <totalsRowFormula>SUM(Tabelle2[2017-07-01])</totalsRowFormula>
    </tableColumn>
    <tableColumn id="133" xr3:uid="{9D4E443C-2AFC-434D-920A-997BC4908A3B}" name="2018-02-01" totalsRowFunction="custom" totalsRowDxfId="85">
      <calculatedColumnFormula>COUNTIFS(INDIRECT("Table1[Beginn]"),"&lt;="&amp;P$1,INDIRECT("Table1[Ende]"),"&gt;="&amp;P$1,INDIRECT("Table1[Obergruppe ATC-Code]"),Tabelle3!$A2)</calculatedColumnFormula>
      <totalsRowFormula>SUM(Tabelle2[2017-08-01])</totalsRowFormula>
    </tableColumn>
    <tableColumn id="132" xr3:uid="{46CB161C-A881-4164-9CC8-98B1ED9A8589}" name="2018-03-01" totalsRowFunction="custom" totalsRowDxfId="84">
      <calculatedColumnFormula>COUNTIFS(INDIRECT("Table1[Beginn]"),"&lt;="&amp;Q$1,INDIRECT("Table1[Ende]"),"&gt;="&amp;Q$1,INDIRECT("Table1[Obergruppe ATC-Code]"),Tabelle3!$A2)</calculatedColumnFormula>
      <totalsRowFormula>SUM(Tabelle2[2017-02-01])</totalsRowFormula>
    </tableColumn>
    <tableColumn id="131" xr3:uid="{C677E931-43C7-4859-8EFE-DE119E3F1F3C}" name="2018-04-01" totalsRowFunction="custom" totalsRowDxfId="83">
      <calculatedColumnFormula>COUNTIFS(INDIRECT("Table1[Beginn]"),"&lt;="&amp;R$1,INDIRECT("Table1[Ende]"),"&gt;="&amp;R$1,INDIRECT("Table1[Obergruppe ATC-Code]"),Tabelle3!$A2)</calculatedColumnFormula>
      <totalsRowFormula>SUM(Tabelle2[2017-03-01])</totalsRowFormula>
    </tableColumn>
    <tableColumn id="130" xr3:uid="{0C09D237-02E7-409C-9F0A-EAE1D5111638}" name="2018-05-01" totalsRowFunction="custom" totalsRowDxfId="82">
      <calculatedColumnFormula>COUNTIFS(INDIRECT("Table1[Beginn]"),"&lt;="&amp;S$1,INDIRECT("Table1[Ende]"),"&gt;="&amp;S$1,INDIRECT("Table1[Obergruppe ATC-Code]"),Tabelle3!$A2)</calculatedColumnFormula>
      <totalsRowFormula>SUM(Tabelle2[2017-04-01])</totalsRowFormula>
    </tableColumn>
    <tableColumn id="129" xr3:uid="{B113A121-317D-4F7C-8BD4-6B7C3DD09E38}" name="2018-06-01" totalsRowFunction="custom" totalsRowDxfId="81">
      <calculatedColumnFormula>COUNTIFS(INDIRECT("Table1[Beginn]"),"&lt;="&amp;T$1,INDIRECT("Table1[Ende]"),"&gt;="&amp;T$1,INDIRECT("Table1[Obergruppe ATC-Code]"),Tabelle3!$A2)</calculatedColumnFormula>
      <totalsRowFormula>SUM(Tabelle2[2017-05-01])</totalsRowFormula>
    </tableColumn>
    <tableColumn id="128" xr3:uid="{BF7C817A-BC5C-49BC-95E6-A439B54B665F}" name="2018-07-01" totalsRowFunction="custom" totalsRowDxfId="80">
      <calculatedColumnFormula>COUNTIFS(INDIRECT("Table1[Beginn]"),"&lt;="&amp;U$1,INDIRECT("Table1[Ende]"),"&gt;="&amp;U$1,INDIRECT("Table1[Obergruppe ATC-Code]"),Tabelle3!$A2)</calculatedColumnFormula>
      <totalsRowFormula>SUM(Tabelle2[2017-06-01])</totalsRowFormula>
    </tableColumn>
    <tableColumn id="127" xr3:uid="{5E91277E-CE9F-4EBC-B553-7D2428081E95}" name="2018-08-01" totalsRowFunction="custom" totalsRowDxfId="79">
      <calculatedColumnFormula>COUNTIFS(INDIRECT("Table1[Beginn]"),"&lt;="&amp;V$1,INDIRECT("Table1[Ende]"),"&gt;="&amp;V$1,INDIRECT("Table1[Obergruppe ATC-Code]"),Tabelle3!$A2)</calculatedColumnFormula>
      <totalsRowFormula>SUM(Tabelle2[2017-07-01])</totalsRowFormula>
    </tableColumn>
    <tableColumn id="126" xr3:uid="{06DF9E06-B4EE-4CB3-8161-C1E72239B5A1}" name="2018-09-01" totalsRowFunction="custom" totalsRowDxfId="78">
      <calculatedColumnFormula>COUNTIFS(INDIRECT("Table1[Beginn]"),"&lt;="&amp;W$1,INDIRECT("Table1[Ende]"),"&gt;="&amp;W$1,INDIRECT("Table1[Obergruppe ATC-Code]"),Tabelle3!$A2)</calculatedColumnFormula>
      <totalsRowFormula>SUM(Tabelle2[2017-08-01])</totalsRowFormula>
    </tableColumn>
    <tableColumn id="125" xr3:uid="{0717F558-F128-4705-A6CC-8CAB7C204ED4}" name="2018-10-01" totalsRowFunction="custom" totalsRowDxfId="77">
      <calculatedColumnFormula>COUNTIFS(INDIRECT("Table1[Beginn]"),"&lt;="&amp;X$1,INDIRECT("Table1[Ende]"),"&gt;="&amp;X$1,INDIRECT("Table1[Obergruppe ATC-Code]"),Tabelle3!$A2)</calculatedColumnFormula>
      <totalsRowFormula>SUM(Tabelle2[2017-03-01])</totalsRowFormula>
    </tableColumn>
    <tableColumn id="124" xr3:uid="{6BB80E4C-2ED2-48A4-B4C0-0302512C2976}" name="2018-11-01" totalsRowFunction="custom" totalsRowDxfId="76">
      <calculatedColumnFormula>COUNTIFS(INDIRECT("Table1[Beginn]"),"&lt;="&amp;Y$1,INDIRECT("Table1[Ende]"),"&gt;="&amp;Y$1,INDIRECT("Table1[Obergruppe ATC-Code]"),Tabelle3!$A2)</calculatedColumnFormula>
      <totalsRowFormula>SUM(Tabelle2[2017-04-01])</totalsRowFormula>
    </tableColumn>
    <tableColumn id="123" xr3:uid="{1F7CD0F4-CACF-4370-B8EC-105FE2E4CCBB}" name="2018-12-01" totalsRowFunction="custom" totalsRowDxfId="75">
      <calculatedColumnFormula>COUNTIFS(INDIRECT("Table1[Beginn]"),"&lt;="&amp;Z$1,INDIRECT("Table1[Ende]"),"&gt;="&amp;Z$1,INDIRECT("Table1[Obergruppe ATC-Code]"),Tabelle3!$A2)</calculatedColumnFormula>
      <totalsRowFormula>SUM(Tabelle2[2017-05-01])</totalsRowFormula>
    </tableColumn>
    <tableColumn id="122" xr3:uid="{3A9D00B1-0559-4430-8051-2E0D0D73F073}" name="2019-01-01" totalsRowFunction="custom" totalsRowDxfId="74">
      <calculatedColumnFormula>COUNTIFS(INDIRECT("Table1[Beginn]"),"&lt;="&amp;AA$1,INDIRECT("Table1[Ende]"),"&gt;="&amp;AA$1,INDIRECT("Table1[Obergruppe ATC-Code]"),Tabelle3!$A2)</calculatedColumnFormula>
      <totalsRowFormula>SUM(Tabelle2[2017-06-01])</totalsRowFormula>
    </tableColumn>
    <tableColumn id="121" xr3:uid="{1C78FDC6-EED2-4545-93FB-ECD1FFF837B7}" name="2019-02-01" totalsRowFunction="custom" totalsRowDxfId="73">
      <calculatedColumnFormula>COUNTIFS(INDIRECT("Table1[Beginn]"),"&lt;="&amp;AB$1,INDIRECT("Table1[Ende]"),"&gt;="&amp;AB$1,INDIRECT("Table1[Obergruppe ATC-Code]"),Tabelle3!$A2)</calculatedColumnFormula>
      <totalsRowFormula>SUM(Tabelle2[2017-07-01])</totalsRowFormula>
    </tableColumn>
    <tableColumn id="120" xr3:uid="{BE618761-B644-42E8-B187-E24D835F4D32}" name="2019-03-01" totalsRowFunction="custom" totalsRowDxfId="72">
      <calculatedColumnFormula>COUNTIFS(INDIRECT("Table1[Beginn]"),"&lt;="&amp;AC$1,INDIRECT("Table1[Ende]"),"&gt;="&amp;AC$1,INDIRECT("Table1[Obergruppe ATC-Code]"),Tabelle3!$A2)</calculatedColumnFormula>
      <totalsRowFormula>SUM(Tabelle2[2017-08-01])</totalsRowFormula>
    </tableColumn>
    <tableColumn id="119" xr3:uid="{A6F509DB-F04A-4C09-BF28-1D6378723992}" name="2019-04-01" totalsRowFunction="custom" totalsRowDxfId="71">
      <calculatedColumnFormula>COUNTIFS(INDIRECT("Table1[Beginn]"),"&lt;="&amp;AD$1,INDIRECT("Table1[Ende]"),"&gt;="&amp;AD$1,INDIRECT("Table1[Obergruppe ATC-Code]"),Tabelle3!$A2)</calculatedColumnFormula>
      <totalsRowFormula>SUM(Tabelle2[2017-09-01])</totalsRowFormula>
    </tableColumn>
    <tableColumn id="118" xr3:uid="{D683DD17-DA4A-40DE-B37E-507575C1086D}" name="2019-05-01" totalsRowFunction="custom" totalsRowDxfId="70">
      <calculatedColumnFormula>COUNTIFS(INDIRECT("Table1[Beginn]"),"&lt;="&amp;AE$1,INDIRECT("Table1[Ende]"),"&gt;="&amp;AE$1,INDIRECT("Table1[Obergruppe ATC-Code]"),Tabelle3!$A2)</calculatedColumnFormula>
      <totalsRowFormula>SUM(Tabelle2[2017-03-01])</totalsRowFormula>
    </tableColumn>
    <tableColumn id="117" xr3:uid="{C57696EA-B342-478D-8469-B05F4128DC72}" name="2019-06-01" totalsRowFunction="custom" totalsRowDxfId="69">
      <calculatedColumnFormula>COUNTIFS(INDIRECT("Table1[Beginn]"),"&lt;="&amp;AF$1,INDIRECT("Table1[Ende]"),"&gt;="&amp;AF$1,INDIRECT("Table1[Obergruppe ATC-Code]"),Tabelle3!$A2)</calculatedColumnFormula>
      <totalsRowFormula>SUM(Tabelle2[2017-04-01])</totalsRowFormula>
    </tableColumn>
    <tableColumn id="116" xr3:uid="{D1CE10A8-8FD1-4601-8061-CE5A5102F40A}" name="2019-07-01" totalsRowFunction="custom" totalsRowDxfId="68">
      <calculatedColumnFormula>COUNTIFS(INDIRECT("Table1[Beginn]"),"&lt;="&amp;AG$1,INDIRECT("Table1[Ende]"),"&gt;="&amp;AG$1,INDIRECT("Table1[Obergruppe ATC-Code]"),Tabelle3!$A2)</calculatedColumnFormula>
      <totalsRowFormula>SUM(Tabelle2[2017-05-01])</totalsRowFormula>
    </tableColumn>
    <tableColumn id="115" xr3:uid="{68DFE881-5D50-4E71-AB06-B6298F18DCA7}" name="2019-08-01" totalsRowFunction="custom" totalsRowDxfId="67">
      <calculatedColumnFormula>COUNTIFS(INDIRECT("Table1[Beginn]"),"&lt;="&amp;AH$1,INDIRECT("Table1[Ende]"),"&gt;="&amp;AH$1,INDIRECT("Table1[Obergruppe ATC-Code]"),Tabelle3!$A2)</calculatedColumnFormula>
      <totalsRowFormula>SUM(Tabelle2[2017-06-01])</totalsRowFormula>
    </tableColumn>
    <tableColumn id="114" xr3:uid="{C868D0B8-0F4F-4FFE-822B-84C6DF0ABC81}" name="2019-09-01" totalsRowFunction="custom" totalsRowDxfId="66">
      <calculatedColumnFormula>COUNTIFS(INDIRECT("Table1[Beginn]"),"&lt;="&amp;AI$1,INDIRECT("Table1[Ende]"),"&gt;="&amp;AI$1,INDIRECT("Table1[Obergruppe ATC-Code]"),Tabelle3!$A2)</calculatedColumnFormula>
      <totalsRowFormula>SUM(Tabelle2[2017-07-01])</totalsRowFormula>
    </tableColumn>
    <tableColumn id="113" xr3:uid="{B9C0A6B8-B70F-4794-A3E7-2075227E4818}" name="2019-10-01" totalsRowFunction="custom" totalsRowDxfId="65">
      <calculatedColumnFormula>COUNTIFS(INDIRECT("Table1[Beginn]"),"&lt;="&amp;AJ$1,INDIRECT("Table1[Ende]"),"&gt;="&amp;AJ$1,INDIRECT("Table1[Obergruppe ATC-Code]"),Tabelle3!$A2)</calculatedColumnFormula>
      <totalsRowFormula>SUM(Tabelle2[2017-08-01])</totalsRowFormula>
    </tableColumn>
    <tableColumn id="112" xr3:uid="{E60A6A05-29A3-4480-91C6-41156B67D7E0}" name="2019-11-01" totalsRowFunction="custom" totalsRowDxfId="64">
      <calculatedColumnFormula>COUNTIFS(INDIRECT("Table1[Beginn]"),"&lt;="&amp;AK$1,INDIRECT("Table1[Ende]"),"&gt;="&amp;AK$1,INDIRECT("Table1[Obergruppe ATC-Code]"),Tabelle3!$A2)</calculatedColumnFormula>
      <totalsRowFormula>SUM(Tabelle2[2017-09-01])</totalsRowFormula>
    </tableColumn>
    <tableColumn id="111" xr3:uid="{88F19C88-EC35-4133-98E2-AD973D3698FB}" name="2019-12-01" totalsRowFunction="custom" totalsRowDxfId="63">
      <calculatedColumnFormula>COUNTIFS(INDIRECT("Table1[Beginn]"),"&lt;="&amp;AL$1,INDIRECT("Table1[Ende]"),"&gt;="&amp;AL$1,INDIRECT("Table1[Obergruppe ATC-Code]"),Tabelle3!$A2)</calculatedColumnFormula>
      <totalsRowFormula>SUM(Tabelle2[2017-04-01])</totalsRowFormula>
    </tableColumn>
    <tableColumn id="110" xr3:uid="{5751CBDD-A6D2-40BC-B59C-F40B895BEB36}" name="2020-01-01" totalsRowFunction="custom" totalsRowDxfId="62">
      <calculatedColumnFormula>COUNTIFS(INDIRECT("Table1[Beginn]"),"&lt;="&amp;AM$1,INDIRECT("Table1[Ende]"),"&gt;="&amp;AM$1,INDIRECT("Table1[Obergruppe ATC-Code]"),Tabelle3!$A2)</calculatedColumnFormula>
      <totalsRowFormula>SUM(Tabelle2[2017-05-01])</totalsRowFormula>
    </tableColumn>
    <tableColumn id="109" xr3:uid="{08B4C5E2-8199-4111-BCC3-2FB7AE2BFF03}" name="2020-02-01" totalsRowFunction="custom" totalsRowDxfId="61">
      <calculatedColumnFormula>COUNTIFS(INDIRECT("Table1[Beginn]"),"&lt;="&amp;AN$1,INDIRECT("Table1[Ende]"),"&gt;="&amp;AN$1,INDIRECT("Table1[Obergruppe ATC-Code]"),Tabelle3!$A2)</calculatedColumnFormula>
      <totalsRowFormula>SUM(Tabelle2[2017-06-01])</totalsRowFormula>
    </tableColumn>
    <tableColumn id="108" xr3:uid="{48E9395D-EF73-462F-8C4D-621EB2CE6476}" name="2020-03-01" totalsRowFunction="custom" totalsRowDxfId="60">
      <calculatedColumnFormula>COUNTIFS(INDIRECT("Table1[Beginn]"),"&lt;="&amp;AO$1,INDIRECT("Table1[Ende]"),"&gt;="&amp;AO$1,INDIRECT("Table1[Obergruppe ATC-Code]"),Tabelle3!$A2)</calculatedColumnFormula>
      <totalsRowFormula>SUM(Tabelle2[2017-07-01])</totalsRowFormula>
    </tableColumn>
    <tableColumn id="107" xr3:uid="{B1E09EFF-E4AF-4485-8E6A-A1540C2BEAF2}" name="2020-04-01" totalsRowFunction="custom" totalsRowDxfId="59">
      <calculatedColumnFormula>COUNTIFS(INDIRECT("Table1[Beginn]"),"&lt;="&amp;AP$1,INDIRECT("Table1[Ende]"),"&gt;="&amp;AP$1,INDIRECT("Table1[Obergruppe ATC-Code]"),Tabelle3!$A2)</calculatedColumnFormula>
      <totalsRowFormula>SUM(Tabelle2[2017-08-01])</totalsRowFormula>
    </tableColumn>
    <tableColumn id="106" xr3:uid="{84C26C2E-E46A-4797-8706-4D668423F67F}" name="2020-05-01" totalsRowFunction="custom" totalsRowDxfId="58">
      <calculatedColumnFormula>COUNTIFS(INDIRECT("Table1[Beginn]"),"&lt;="&amp;AQ$1,INDIRECT("Table1[Ende]"),"&gt;="&amp;AQ$1,INDIRECT("Table1[Obergruppe ATC-Code]"),Tabelle3!$A2)</calculatedColumnFormula>
      <totalsRowFormula>SUM(Tabelle2[2017-09-01])</totalsRowFormula>
    </tableColumn>
    <tableColumn id="105" xr3:uid="{2F4EFD9D-40FC-48FE-9497-6C34221E9EA5}" name="2020-06-01" totalsRowFunction="custom" totalsRowDxfId="57">
      <calculatedColumnFormula>COUNTIFS(INDIRECT("Table1[Beginn]"),"&lt;="&amp;AR$1,INDIRECT("Table1[Ende]"),"&gt;="&amp;AR$1,INDIRECT("Table1[Obergruppe ATC-Code]"),Tabelle3!$A2)</calculatedColumnFormula>
      <totalsRowFormula>SUM(Tabelle2[2017-10-01])</totalsRowFormula>
    </tableColumn>
    <tableColumn id="104" xr3:uid="{60FB9C85-72ED-4E54-A38A-13A6034823A4}" name="2020-07-01" totalsRowFunction="custom" totalsRowDxfId="56">
      <calculatedColumnFormula>COUNTIFS(INDIRECT("Table1[Beginn]"),"&lt;="&amp;AS$1,INDIRECT("Table1[Ende]"),"&gt;="&amp;AS$1,INDIRECT("Table1[Obergruppe ATC-Code]"),Tabelle3!$A2)</calculatedColumnFormula>
      <totalsRowFormula>SUM(Tabelle2[2017-04-01])</totalsRowFormula>
    </tableColumn>
    <tableColumn id="103" xr3:uid="{455A602F-333C-4306-9031-176D41D6AE45}" name="2020-08-01" totalsRowFunction="custom" totalsRowDxfId="55">
      <calculatedColumnFormula>COUNTIFS(INDIRECT("Table1[Beginn]"),"&lt;="&amp;AT$1,INDIRECT("Table1[Ende]"),"&gt;="&amp;AT$1,INDIRECT("Table1[Obergruppe ATC-Code]"),Tabelle3!$A2)</calculatedColumnFormula>
      <totalsRowFormula>SUM(Tabelle2[2017-05-01])</totalsRowFormula>
    </tableColumn>
    <tableColumn id="102" xr3:uid="{5F968D61-F156-4F32-A1B4-80DDEB586B6D}" name="2020-09-01" totalsRowFunction="custom" totalsRowDxfId="54">
      <calculatedColumnFormula>COUNTIFS(INDIRECT("Table1[Beginn]"),"&lt;="&amp;AU$1,INDIRECT("Table1[Ende]"),"&gt;="&amp;AU$1,INDIRECT("Table1[Obergruppe ATC-Code]"),Tabelle3!$A2)</calculatedColumnFormula>
      <totalsRowFormula>SUM(Tabelle2[2017-06-01])</totalsRowFormula>
    </tableColumn>
    <tableColumn id="101" xr3:uid="{658D3B5C-F4AE-426B-A4BF-DAD2FCF19079}" name="2020-10-01" totalsRowFunction="custom" totalsRowDxfId="53">
      <calculatedColumnFormula>COUNTIFS(INDIRECT("Table1[Beginn]"),"&lt;="&amp;AV$1,INDIRECT("Table1[Ende]"),"&gt;="&amp;AV$1,INDIRECT("Table1[Obergruppe ATC-Code]"),Tabelle3!$A2)</calculatedColumnFormula>
      <totalsRowFormula>SUM(Tabelle2[2017-07-01])</totalsRowFormula>
    </tableColumn>
    <tableColumn id="100" xr3:uid="{AEA30A67-CA8D-48FA-A89D-52CC6933FC11}" name="2020-11-01" totalsRowFunction="custom" totalsRowDxfId="52">
      <calculatedColumnFormula>COUNTIFS(INDIRECT("Table1[Beginn]"),"&lt;="&amp;AW$1,INDIRECT("Table1[Ende]"),"&gt;="&amp;AW$1,INDIRECT("Table1[Obergruppe ATC-Code]"),Tabelle3!$A2)</calculatedColumnFormula>
      <totalsRowFormula>SUM(Tabelle2[2017-08-01])</totalsRowFormula>
    </tableColumn>
    <tableColumn id="99" xr3:uid="{6DA13FED-2971-4A74-9991-54BF9B72A5C0}" name="2020-12-01" totalsRowFunction="custom" totalsRowDxfId="51">
      <calculatedColumnFormula>COUNTIFS(INDIRECT("Table1[Beginn]"),"&lt;="&amp;AX$1,INDIRECT("Table1[Ende]"),"&gt;="&amp;AX$1,INDIRECT("Table1[Obergruppe ATC-Code]"),Tabelle3!$A2)</calculatedColumnFormula>
      <totalsRowFormula>SUM(Tabelle2[2017-09-01])</totalsRowFormula>
    </tableColumn>
    <tableColumn id="98" xr3:uid="{1D8C028C-D386-4E27-B2FC-FEDC18FA98C1}" name="2021-01-01" totalsRowFunction="custom" totalsRowDxfId="50">
      <calculatedColumnFormula>COUNTIFS(INDIRECT("Table1[Beginn]"),"&lt;="&amp;AY$1,INDIRECT("Table1[Ende]"),"&gt;="&amp;AY$1,INDIRECT("Table1[Obergruppe ATC-Code]"),Tabelle3!$A2)</calculatedColumnFormula>
      <totalsRowFormula>SUM(Tabelle2[2017-10-01])</totalsRowFormula>
    </tableColumn>
    <tableColumn id="97" xr3:uid="{5F1BA2A1-B30D-4604-86C6-07DC706E4E86}" name="2021-02-01" totalsRowFunction="custom" totalsRowDxfId="49">
      <calculatedColumnFormula>COUNTIFS(INDIRECT("Table1[Beginn]"),"&lt;="&amp;AZ$1,INDIRECT("Table1[Ende]"),"&gt;="&amp;AZ$1,INDIRECT("Table1[Obergruppe ATC-Code]"),Tabelle3!$A2)</calculatedColumnFormula>
      <totalsRowFormula>SUM(Tabelle2[2017-05-01])</totalsRowFormula>
    </tableColumn>
    <tableColumn id="96" xr3:uid="{E62032A7-68CA-4F85-928A-757BED6AE0EF}" name="2021-03-01" totalsRowFunction="custom" totalsRowDxfId="48">
      <calculatedColumnFormula>COUNTIFS(INDIRECT("Table1[Beginn]"),"&lt;="&amp;BA$1,INDIRECT("Table1[Ende]"),"&gt;="&amp;BA$1,INDIRECT("Table1[Obergruppe ATC-Code]"),Tabelle3!$A2)</calculatedColumnFormula>
      <totalsRowFormula>SUM(Tabelle2[2017-06-01])</totalsRowFormula>
    </tableColumn>
    <tableColumn id="95" xr3:uid="{62E16E04-B116-4A04-9156-3AE4028D51A8}" name="2021-04-01" totalsRowFunction="custom" totalsRowDxfId="47">
      <calculatedColumnFormula>COUNTIFS(INDIRECT("Table1[Beginn]"),"&lt;="&amp;BB$1,INDIRECT("Table1[Ende]"),"&gt;="&amp;BB$1,INDIRECT("Table1[Obergruppe ATC-Code]"),Tabelle3!$A2)</calculatedColumnFormula>
      <totalsRowFormula>SUM(Tabelle2[2017-07-01])</totalsRowFormula>
    </tableColumn>
    <tableColumn id="94" xr3:uid="{F5843D82-4BFF-494E-8D27-0D52802B9E63}" name="2021-05-01" totalsRowFunction="custom" totalsRowDxfId="46">
      <calculatedColumnFormula>COUNTIFS(INDIRECT("Table1[Beginn]"),"&lt;="&amp;BC$1,INDIRECT("Table1[Ende]"),"&gt;="&amp;BC$1,INDIRECT("Table1[Obergruppe ATC-Code]"),Tabelle3!$A2)</calculatedColumnFormula>
      <totalsRowFormula>SUM(Tabelle2[2017-08-01])</totalsRowFormula>
    </tableColumn>
    <tableColumn id="93" xr3:uid="{53A17E28-8553-4F29-A56A-59F2BB7DA5CA}" name="2021-06-01" totalsRowFunction="custom" totalsRowDxfId="45">
      <calculatedColumnFormula>COUNTIFS(INDIRECT("Table1[Beginn]"),"&lt;="&amp;BD$1,INDIRECT("Table1[Ende]"),"&gt;="&amp;BD$1,INDIRECT("Table1[Obergruppe ATC-Code]"),Tabelle3!$A2)</calculatedColumnFormula>
      <totalsRowFormula>SUM(Tabelle2[2017-09-01])</totalsRowFormula>
    </tableColumn>
    <tableColumn id="92" xr3:uid="{FB03DA0A-97A8-4CF3-A068-27883F57984C}" name="2021-07-01" totalsRowFunction="custom" totalsRowDxfId="44">
      <calculatedColumnFormula>COUNTIFS(INDIRECT("Table1[Beginn]"),"&lt;="&amp;BE$1,INDIRECT("Table1[Ende]"),"&gt;="&amp;BE$1,INDIRECT("Table1[Obergruppe ATC-Code]"),Tabelle3!$A2)</calculatedColumnFormula>
      <totalsRowFormula>SUM(Tabelle2[2017-10-01])</totalsRowFormula>
    </tableColumn>
    <tableColumn id="91" xr3:uid="{51D4896B-4DB8-4BD1-9BB9-4833BBF93751}" name="2021-08-01" totalsRowFunction="custom" totalsRowDxfId="43">
      <calculatedColumnFormula>COUNTIFS(INDIRECT("Table1[Beginn]"),"&lt;="&amp;BF$1,INDIRECT("Table1[Ende]"),"&gt;="&amp;BF$1,INDIRECT("Table1[Obergruppe ATC-Code]"),Tabelle3!$A2)</calculatedColumnFormula>
      <totalsRowFormula>SUM(Tabelle2[2017-11-01])</totalsRowFormula>
    </tableColumn>
    <tableColumn id="90" xr3:uid="{B827B9EE-CD02-4F64-BE83-3F6E50FFC384}" name="2021-09-01" totalsRowFunction="custom" totalsRowDxfId="42">
      <calculatedColumnFormula>COUNTIFS(INDIRECT("Table1[Beginn]"),"&lt;="&amp;BG$1,INDIRECT("Table1[Ende]"),"&gt;="&amp;BG$1,INDIRECT("Table1[Obergruppe ATC-Code]"),Tabelle3!$A2)</calculatedColumnFormula>
      <totalsRowFormula>SUM(Tabelle2[2017-05-01])</totalsRowFormula>
    </tableColumn>
    <tableColumn id="89" xr3:uid="{B76902D6-28C5-4842-BB9D-2B5526D4AAF7}" name="2021-10-01" totalsRowFunction="custom" totalsRowDxfId="41">
      <calculatedColumnFormula>COUNTIFS(INDIRECT("Table1[Beginn]"),"&lt;="&amp;BH$1,INDIRECT("Table1[Ende]"),"&gt;="&amp;BH$1,INDIRECT("Table1[Obergruppe ATC-Code]"),Tabelle3!$A2)</calculatedColumnFormula>
      <totalsRowFormula>SUM(Tabelle2[2017-06-01])</totalsRowFormula>
    </tableColumn>
    <tableColumn id="88" xr3:uid="{64720A0A-5DCB-4CEC-929F-D97A4C61C77A}" name="2021-11-01" totalsRowFunction="custom" totalsRowDxfId="40">
      <calculatedColumnFormula>COUNTIFS(INDIRECT("Table1[Beginn]"),"&lt;="&amp;BI$1,INDIRECT("Table1[Ende]"),"&gt;="&amp;BI$1,INDIRECT("Table1[Obergruppe ATC-Code]"),Tabelle3!$A2)</calculatedColumnFormula>
      <totalsRowFormula>SUM(Tabelle2[2017-07-01])</totalsRowFormula>
    </tableColumn>
    <tableColumn id="87" xr3:uid="{770C17B8-6387-410E-BDD4-D1B322A9DA05}" name="2021-12-01" totalsRowFunction="custom" totalsRowDxfId="39">
      <calculatedColumnFormula>COUNTIFS(INDIRECT("Table1[Beginn]"),"&lt;="&amp;BJ$1,INDIRECT("Table1[Ende]"),"&gt;="&amp;BJ$1,INDIRECT("Table1[Obergruppe ATC-Code]"),Tabelle3!$A2)</calculatedColumnFormula>
      <totalsRowFormula>SUM(Tabelle2[2017-08-01])</totalsRowFormula>
    </tableColumn>
    <tableColumn id="86" xr3:uid="{19ADA5E3-A2E1-49AF-95AE-A2FA50D9CFB4}" name="2022-01-01" totalsRowFunction="custom" totalsRowDxfId="38">
      <calculatedColumnFormula>COUNTIFS(INDIRECT("Table1[Beginn]"),"&lt;="&amp;BK$1,INDIRECT("Table1[Ende]"),"&gt;="&amp;BK$1,INDIRECT("Table1[Obergruppe ATC-Code]"),Tabelle3!$A2)</calculatedColumnFormula>
      <totalsRowFormula>SUM(Tabelle2[2017-09-01])</totalsRowFormula>
    </tableColumn>
    <tableColumn id="85" xr3:uid="{EB3D455C-3997-41C9-B5CC-6AA5779D3825}" name="2022-02-01" totalsRowFunction="custom" totalsRowDxfId="37">
      <calculatedColumnFormula>COUNTIFS(INDIRECT("Table1[Beginn]"),"&lt;="&amp;BL$1,INDIRECT("Table1[Ende]"),"&gt;="&amp;BL$1,INDIRECT("Table1[Obergruppe ATC-Code]"),Tabelle3!$A2)</calculatedColumnFormula>
      <totalsRowFormula>SUM(Tabelle2[2017-10-01])</totalsRowFormula>
    </tableColumn>
    <tableColumn id="84" xr3:uid="{EF7B0B91-3188-48C1-8DB0-F21A0995269D}" name="2022-03-01" totalsRowFunction="custom" totalsRowDxfId="36">
      <calculatedColumnFormula>COUNTIFS(INDIRECT("Table1[Beginn]"),"&lt;="&amp;BM$1,INDIRECT("Table1[Ende]"),"&gt;="&amp;BM$1,INDIRECT("Table1[Obergruppe ATC-Code]"),Tabelle3!$A2)</calculatedColumnFormula>
      <totalsRowFormula>SUM(Tabelle2[2017-11-01])</totalsRowFormula>
    </tableColumn>
    <tableColumn id="83" xr3:uid="{3A318B5D-7BC4-4E30-83CE-4346ADB4D99B}" name="2022-04-01" totalsRowFunction="custom" totalsRowDxfId="35">
      <calculatedColumnFormula>COUNTIFS(INDIRECT("Table1[Beginn]"),"&lt;="&amp;BN$1,INDIRECT("Table1[Ende]"),"&gt;="&amp;BN$1,INDIRECT("Table1[Obergruppe ATC-Code]"),Tabelle3!$A2)</calculatedColumnFormula>
      <totalsRowFormula>SUM(Tabelle2[2017-06-01])</totalsRowFormula>
    </tableColumn>
    <tableColumn id="82" xr3:uid="{F83E761B-EB86-4D56-B06B-1722E38A3477}" name="2022-05-01" totalsRowFunction="custom" totalsRowDxfId="34">
      <calculatedColumnFormula>COUNTIFS(INDIRECT("Table1[Beginn]"),"&lt;="&amp;BO$1,INDIRECT("Table1[Ende]"),"&gt;="&amp;BO$1,INDIRECT("Table1[Obergruppe ATC-Code]"),Tabelle3!$A2)</calculatedColumnFormula>
      <totalsRowFormula>SUM(Tabelle2[2017-07-01])</totalsRowFormula>
    </tableColumn>
    <tableColumn id="81" xr3:uid="{6446A070-76D7-4570-9A1B-B8889AAD4D57}" name="2022-06-01" totalsRowFunction="custom" totalsRowDxfId="33">
      <calculatedColumnFormula>COUNTIFS(INDIRECT("Table1[Beginn]"),"&lt;="&amp;BP$1,INDIRECT("Table1[Ende]"),"&gt;="&amp;BP$1,INDIRECT("Table1[Obergruppe ATC-Code]"),Tabelle3!$A2)</calculatedColumnFormula>
      <totalsRowFormula>SUM(Tabelle2[2017-08-01])</totalsRowFormula>
    </tableColumn>
    <tableColumn id="80" xr3:uid="{8F91F773-C91A-4873-B5E7-C6F5CA3AACE2}" name="2022-07-01" totalsRowFunction="custom" totalsRowDxfId="32">
      <calculatedColumnFormula>COUNTIFS(INDIRECT("Table1[Beginn]"),"&lt;="&amp;BQ$1,INDIRECT("Table1[Ende]"),"&gt;="&amp;BQ$1,INDIRECT("Table1[Obergruppe ATC-Code]"),Tabelle3!$A2)</calculatedColumnFormula>
      <totalsRowFormula>SUM(Tabelle2[2017-09-01])</totalsRowFormula>
    </tableColumn>
    <tableColumn id="79" xr3:uid="{219576B2-F40D-4F8F-A192-94230435BBD8}" name="2022-08-01" totalsRowFunction="custom" totalsRowDxfId="31">
      <calculatedColumnFormula>COUNTIFS(INDIRECT("Table1[Beginn]"),"&lt;="&amp;BR$1,INDIRECT("Table1[Ende]"),"&gt;="&amp;BR$1,INDIRECT("Table1[Obergruppe ATC-Code]"),Tabelle3!$A2)</calculatedColumnFormula>
      <totalsRowFormula>SUM(Tabelle2[2017-10-01])</totalsRowFormula>
    </tableColumn>
    <tableColumn id="78" xr3:uid="{42D64B6C-F634-4D51-B9F8-425912AFA255}" name="2022-09-01" totalsRowFunction="custom" totalsRowDxfId="30">
      <calculatedColumnFormula>COUNTIFS(INDIRECT("Table1[Beginn]"),"&lt;="&amp;BS$1,INDIRECT("Table1[Ende]"),"&gt;="&amp;BS$1,INDIRECT("Table1[Obergruppe ATC-Code]"),Tabelle3!$A2)</calculatedColumnFormula>
      <totalsRowFormula>SUM(Tabelle2[2017-11-01])</totalsRowFormula>
    </tableColumn>
    <tableColumn id="77" xr3:uid="{03D8A0EC-E7A4-45AD-ADEB-D9DBF23F2D7B}" name="2022-10-01" totalsRowFunction="custom" totalsRowDxfId="29">
      <calculatedColumnFormula>COUNTIFS(INDIRECT("Table1[Beginn]"),"&lt;="&amp;BT$1,INDIRECT("Table1[Ende]"),"&gt;="&amp;BT$1,INDIRECT("Table1[Obergruppe ATC-Code]"),Tabelle3!$A2)</calculatedColumnFormula>
      <totalsRowFormula>SUM(Tabelle2[2017-12-01])</totalsRowFormula>
    </tableColumn>
    <tableColumn id="76" xr3:uid="{E713AC0F-3503-4B9A-82C1-6F5F49450758}" name="2022-11-01" totalsRowFunction="custom" totalsRowDxfId="28">
      <calculatedColumnFormula>COUNTIFS(INDIRECT("Table1[Beginn]"),"&lt;="&amp;BU$1,INDIRECT("Table1[Ende]"),"&gt;="&amp;BU$1,INDIRECT("Table1[Obergruppe ATC-Code]"),Tabelle3!$A2)</calculatedColumnFormula>
      <totalsRowFormula>SUM(Tabelle2[2017-06-01])</totalsRowFormula>
    </tableColumn>
    <tableColumn id="75" xr3:uid="{31098611-C5ED-43CF-82CD-82D2A69D7CDC}" name="2022-12-01" totalsRowFunction="custom" totalsRowDxfId="27">
      <calculatedColumnFormula>COUNTIFS(INDIRECT("Table1[Beginn]"),"&lt;="&amp;BV$1,INDIRECT("Table1[Ende]"),"&gt;="&amp;BV$1,INDIRECT("Table1[Obergruppe ATC-Code]"),Tabelle3!$A2)</calculatedColumnFormula>
      <totalsRowFormula>SUM(Tabelle2[2017-07-01])</totalsRowFormula>
    </tableColumn>
    <tableColumn id="74" xr3:uid="{AA523771-8EFB-4F7A-84F6-DCBDB7AE1251}" name="2023-01-01" totalsRowFunction="custom" totalsRowDxfId="26">
      <calculatedColumnFormula>COUNTIFS(INDIRECT("Table1[Beginn]"),"&lt;="&amp;BW$1,INDIRECT("Table1[Ende]"),"&gt;="&amp;BW$1,INDIRECT("Table1[Obergruppe ATC-Code]"),Tabelle3!$A2)</calculatedColumnFormula>
      <totalsRowFormula>SUM(Tabelle2[2017-08-01])</totalsRowFormula>
    </tableColumn>
    <tableColumn id="73" xr3:uid="{98438034-A2AD-4382-B604-331DB9D97ED8}" name="2023-02-01" totalsRowFunction="custom" totalsRowDxfId="25">
      <calculatedColumnFormula>COUNTIFS(INDIRECT("Table1[Beginn]"),"&lt;="&amp;BX$1,INDIRECT("Table1[Ende]"),"&gt;="&amp;BX$1,INDIRECT("Table1[Obergruppe ATC-Code]"),Tabelle3!$A2)</calculatedColumnFormula>
      <totalsRowFormula>SUM(Tabelle2[2017-09-01])</totalsRowFormula>
    </tableColumn>
    <tableColumn id="72" xr3:uid="{EF16C23F-42C4-4582-89E1-5C552AA65C4F}" name="2023-03-01" totalsRowFunction="custom" totalsRowDxfId="24">
      <calculatedColumnFormula>COUNTIFS(INDIRECT("Table1[Beginn]"),"&lt;="&amp;BY$1,INDIRECT("Table1[Ende]"),"&gt;="&amp;BY$1,INDIRECT("Table1[Obergruppe ATC-Code]"),Tabelle3!$A2)</calculatedColumnFormula>
      <totalsRowFormula>SUM(Tabelle2[2017-10-01])</totalsRowFormula>
    </tableColumn>
    <tableColumn id="71" xr3:uid="{5A378151-EB70-4582-930D-3AFDE0EB865E}" name="2023-04-01" totalsRowFunction="custom" totalsRowDxfId="23">
      <calculatedColumnFormula>COUNTIFS(INDIRECT("Table1[Beginn]"),"&lt;="&amp;BZ$1,INDIRECT("Table1[Ende]"),"&gt;="&amp;BZ$1,INDIRECT("Table1[Obergruppe ATC-Code]"),Tabelle3!$A2)</calculatedColumnFormula>
      <totalsRowFormula>SUM(Tabelle2[2017-11-01])</totalsRowFormula>
    </tableColumn>
    <tableColumn id="70" xr3:uid="{E6DCA622-E292-4768-AA72-0C2F425F98EB}" name="2023-05-01" totalsRowFunction="custom" totalsRowDxfId="22">
      <calculatedColumnFormula>COUNTIFS(INDIRECT("Table1[Beginn]"),"&lt;="&amp;CA$1,INDIRECT("Table1[Ende]"),"&gt;="&amp;CA$1,INDIRECT("Table1[Obergruppe ATC-Code]"),Tabelle3!$A2)</calculatedColumnFormula>
      <totalsRowFormula>SUM(Tabelle2[2017-12-01])</totalsRowFormula>
    </tableColumn>
    <tableColumn id="69" xr3:uid="{A52CC76B-C78B-4C9F-B722-368DA05923A5}" name="2023-06-01" totalsRowFunction="custom" totalsRowDxfId="21">
      <calculatedColumnFormula>COUNTIFS(INDIRECT("Table1[Beginn]"),"&lt;="&amp;CB$1,INDIRECT("Table1[Ende]"),"&gt;="&amp;CB$1,INDIRECT("Table1[Obergruppe ATC-Code]"),Tabelle3!$A2)</calculatedColumnFormula>
      <totalsRowFormula>SUM(Tabelle2[2017-07-01])</totalsRowFormula>
    </tableColumn>
    <tableColumn id="68" xr3:uid="{21EA11DE-93D7-4E2C-A4A9-6212AA6A2595}" name="2023-07-01" totalsRowFunction="custom" totalsRowDxfId="20">
      <calculatedColumnFormula>COUNTIFS(INDIRECT("Table1[Beginn]"),"&lt;="&amp;CC$1,INDIRECT("Table1[Ende]"),"&gt;="&amp;CC$1,INDIRECT("Table1[Obergruppe ATC-Code]"),Tabelle3!$A2)</calculatedColumnFormula>
      <totalsRowFormula>SUM(Tabelle2[2017-08-01])</totalsRowFormula>
    </tableColumn>
    <tableColumn id="67" xr3:uid="{0C3CDA6A-E14A-4C19-A51A-56F20055D041}" name="2023-08-01" totalsRowFunction="custom" totalsRowDxfId="19">
      <calculatedColumnFormula>COUNTIFS(INDIRECT("Table1[Beginn]"),"&lt;="&amp;CD$1,INDIRECT("Table1[Ende]"),"&gt;="&amp;CD$1,INDIRECT("Table1[Obergruppe ATC-Code]"),Tabelle3!$A2)</calculatedColumnFormula>
      <totalsRowFormula>SUM(Tabelle2[2017-09-01])</totalsRowFormula>
    </tableColumn>
    <tableColumn id="66" xr3:uid="{C17FE08C-D022-4E70-ACF9-850052C095E7}" name="2023-09-01" totalsRowFunction="custom" totalsRowDxfId="18">
      <calculatedColumnFormula>COUNTIFS(INDIRECT("Table1[Beginn]"),"&lt;="&amp;CE$1,INDIRECT("Table1[Ende]"),"&gt;="&amp;CE$1,INDIRECT("Table1[Obergruppe ATC-Code]"),Tabelle3!$A2)</calculatedColumnFormula>
      <totalsRowFormula>SUM(Tabelle2[2017-10-01])</totalsRowFormula>
    </tableColumn>
    <tableColumn id="65" xr3:uid="{5A39F8A0-354C-452B-91AC-C8657677A621}" name="2023-10-01" totalsRowFunction="custom" totalsRowDxfId="17">
      <calculatedColumnFormula>COUNTIFS(INDIRECT("Table1[Beginn]"),"&lt;="&amp;CF$1,INDIRECT("Table1[Ende]"),"&gt;="&amp;CF$1,INDIRECT("Table1[Obergruppe ATC-Code]"),Tabelle3!$A2)</calculatedColumnFormula>
      <totalsRowFormula>SUM(Tabelle2[2017-11-01])</totalsRowFormula>
    </tableColumn>
    <tableColumn id="64" xr3:uid="{DEBEA134-DB30-4C14-892D-5F5B981D4D0B}" name="2023-11-01" totalsRowFunction="custom" totalsRowDxfId="16">
      <calculatedColumnFormula>COUNTIFS(INDIRECT("Table1[Beginn]"),"&lt;="&amp;CG$1,INDIRECT("Table1[Ende]"),"&gt;="&amp;CG$1,INDIRECT("Table1[Obergruppe ATC-Code]"),Tabelle3!$A2)</calculatedColumnFormula>
      <totalsRowFormula>SUM(Tabelle2[2017-12-01])</totalsRowFormula>
    </tableColumn>
    <tableColumn id="63" xr3:uid="{0D2AB939-567C-491C-863B-E007477FBBC1}" name="2023-12-01" totalsRowFunction="custom" totalsRowDxfId="15">
      <calculatedColumnFormula>COUNTIFS(INDIRECT("Table1[Beginn]"),"&lt;="&amp;CH$1,INDIRECT("Table1[Ende]"),"&gt;="&amp;CH$1,INDIRECT("Table1[Obergruppe ATC-Code]"),Tabelle3!$A2)</calculatedColumnFormula>
      <totalsRowFormula>SUM(Tabelle2[2018-01-01])</totalsRowFormula>
    </tableColumn>
    <tableColumn id="62" xr3:uid="{D1698810-6D6D-4D18-ACEF-BBCD3628C375}" name="2024-01-01" totalsRowFunction="custom" totalsRowDxfId="14">
      <calculatedColumnFormula>COUNTIFS(INDIRECT("Table1[Beginn]"),"&lt;="&amp;CI$1,INDIRECT("Table1[Ende]"),"&gt;="&amp;CI$1,INDIRECT("Table1[Obergruppe ATC-Code]"),Tabelle3!$A2)</calculatedColumnFormula>
      <totalsRowFormula>SUM(Tabelle2[2017-07-01])</totalsRowFormula>
    </tableColumn>
    <tableColumn id="61" xr3:uid="{3B4042AA-90BF-43CF-93AF-AE882F23EEEB}" name="2024-02-01" totalsRowFunction="custom" totalsRowDxfId="13">
      <calculatedColumnFormula>COUNTIFS(INDIRECT("Table1[Beginn]"),"&lt;="&amp;CJ$1,INDIRECT("Table1[Ende]"),"&gt;="&amp;CJ$1,INDIRECT("Table1[Obergruppe ATC-Code]"),Tabelle3!$A2)</calculatedColumnFormula>
      <totalsRowFormula>SUM(Tabelle2[2017-08-01])</totalsRowFormula>
    </tableColumn>
    <tableColumn id="60" xr3:uid="{8295FE3C-C7BB-49D2-B6DB-D12FD998F96F}" name="2024-03-01" totalsRowFunction="custom" totalsRowDxfId="12">
      <calculatedColumnFormula>COUNTIFS(INDIRECT("Table1[Beginn]"),"&lt;="&amp;CK$1,INDIRECT("Table1[Ende]"),"&gt;="&amp;CK$1,INDIRECT("Table1[Obergruppe ATC-Code]"),Tabelle3!$A2)</calculatedColumnFormula>
      <totalsRowFormula>SUM(Tabelle2[2017-09-01])</totalsRowFormula>
    </tableColumn>
    <tableColumn id="59" xr3:uid="{CF1E4AEA-A597-42B4-A161-94E91BFF1170}" name="2024-04-01" totalsRowFunction="custom" totalsRowDxfId="11">
      <calculatedColumnFormula>COUNTIFS(INDIRECT("Table1[Beginn]"),"&lt;="&amp;CL$1,INDIRECT("Table1[Ende]"),"&gt;="&amp;CL$1,INDIRECT("Table1[Obergruppe ATC-Code]"),Tabelle3!$A2)</calculatedColumnFormula>
      <totalsRowFormula>SUM(Tabelle2[2017-10-01])</totalsRowFormula>
    </tableColumn>
    <tableColumn id="58" xr3:uid="{4E292AAF-7BF8-4BD0-AA7C-C78364B0190F}" name="2024-05-01" totalsRowFunction="custom" totalsRowDxfId="10">
      <calculatedColumnFormula>COUNTIFS(INDIRECT("Table1[Beginn]"),"&lt;="&amp;CM$1,INDIRECT("Table1[Ende]"),"&gt;="&amp;CM$1,INDIRECT("Table1[Obergruppe ATC-Code]"),Tabelle3!$A2)</calculatedColumnFormula>
      <totalsRowFormula>SUM(Tabelle2[2017-11-01])</totalsRowFormula>
    </tableColumn>
    <tableColumn id="57" xr3:uid="{D247DE88-5D18-4497-9F2F-AE09532F4002}" name="2024-06-01" totalsRowFunction="custom" totalsRowDxfId="9">
      <calculatedColumnFormula>COUNTIFS(INDIRECT("Table1[Beginn]"),"&lt;="&amp;CN$1,INDIRECT("Table1[Ende]"),"&gt;="&amp;CN$1,INDIRECT("Table1[Obergruppe ATC-Code]"),Tabelle3!$A2)</calculatedColumnFormula>
      <totalsRowFormula>SUM(Tabelle2[2017-12-01])</totalsRowFormula>
    </tableColumn>
    <tableColumn id="56" xr3:uid="{4E8BD332-FF9E-4C16-9D35-C61D8A846A3A}" name="2024-07-01" totalsRowFunction="custom" totalsRowDxfId="8">
      <calculatedColumnFormula>COUNTIFS(INDIRECT("Table1[Beginn]"),"&lt;="&amp;CO$1,INDIRECT("Table1[Ende]"),"&gt;="&amp;CO$1,INDIRECT("Table1[Obergruppe ATC-Code]"),Tabelle3!$A2)</calculatedColumnFormula>
      <totalsRowFormula>SUM(Tabelle2[2018-01-01])</totalsRowFormula>
    </tableColumn>
    <tableColumn id="55" xr3:uid="{5A84107F-1AA2-4CE0-90A5-D0F5B969E6C3}" name="2024-08-01" totalsRowFunction="custom" totalsRowDxfId="7">
      <calculatedColumnFormula>COUNTIFS(INDIRECT("Table1[Beginn]"),"&lt;="&amp;CP$1,INDIRECT("Table1[Ende]"),"&gt;="&amp;CP$1,INDIRECT("Table1[Obergruppe ATC-Code]"),Tabelle3!$A2)</calculatedColumnFormula>
      <totalsRowFormula>SUM(Tabelle2[2017-08-01])</totalsRowFormula>
    </tableColumn>
    <tableColumn id="54" xr3:uid="{6C14F550-D696-4EAF-BFB8-68A51995407D}" name="2024-09-01" totalsRowFunction="custom" totalsRowDxfId="6">
      <calculatedColumnFormula>COUNTIFS(INDIRECT("Table1[Beginn]"),"&lt;="&amp;CQ$1,INDIRECT("Table1[Ende]"),"&gt;="&amp;CQ$1,INDIRECT("Table1[Obergruppe ATC-Code]"),Tabelle3!$A2)</calculatedColumnFormula>
      <totalsRowFormula>SUM(Tabelle2[2017-09-01])</totalsRowFormula>
    </tableColumn>
    <tableColumn id="53" xr3:uid="{A11648F9-D03B-4AF3-B527-A1980FD0BDAE}" name="2024-10-01" totalsRowFunction="custom" totalsRowDxfId="5">
      <calculatedColumnFormula>COUNTIFS(INDIRECT("Table1[Beginn]"),"&lt;="&amp;CR$1,INDIRECT("Table1[Ende]"),"&gt;="&amp;CR$1,INDIRECT("Table1[Obergruppe ATC-Code]"),Tabelle3!$A2)</calculatedColumnFormula>
      <totalsRowFormula>SUM(Tabelle2[2017-10-01])</totalsRowFormula>
    </tableColumn>
    <tableColumn id="52" xr3:uid="{C464573F-51D4-4A98-AB2B-30F09B401BA0}" name="2024-11-01" totalsRowFunction="custom" totalsRowDxfId="4">
      <calculatedColumnFormula>COUNTIFS(INDIRECT("Table1[Beginn]"),"&lt;="&amp;CS$1,INDIRECT("Table1[Ende]"),"&gt;="&amp;CS$1,INDIRECT("Table1[Obergruppe ATC-Code]"),Tabelle3!$A2)</calculatedColumnFormula>
      <totalsRowFormula>SUM(Tabelle2[2017-11-01])</totalsRowFormula>
    </tableColumn>
    <tableColumn id="51" xr3:uid="{ECA72D67-2815-4263-99D2-7CE690F969D4}" name="2024-12-01" totalsRowFunction="custom" totalsRowDxfId="3">
      <calculatedColumnFormula>COUNTIFS(INDIRECT("Table1[Beginn]"),"&lt;="&amp;CT$1,INDIRECT("Table1[Ende]"),"&gt;="&amp;CT$1,INDIRECT("Table1[Obergruppe ATC-Code]"),Tabelle3!$A2)</calculatedColumnFormula>
      <totalsRowFormula>SUM(Tabelle2[2017-12-01])</totalsRow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0A5F98-95A1-4899-9E0E-0414F05E181D}" name="Tabelle3" displayName="Tabelle3" ref="A1:CR101" totalsRowShown="0" headerRowDxfId="2">
  <autoFilter ref="A1:CR101" xr:uid="{740A5F98-95A1-4899-9E0E-0414F05E181D}"/>
  <tableColumns count="96">
    <tableColumn id="1" xr3:uid="{B53C81F5-4B95-4849-B7CD-2BA1A2D70EFF}" name="Spalte2"/>
    <tableColumn id="2" xr3:uid="{0846EDCC-2188-4447-B2D2-1A2BE68F6252}" name="Spalte1"/>
    <tableColumn id="3" xr3:uid="{B0567C50-C90C-4AB2-AB93-F5B94E21752F}" name="2017-01-01"/>
    <tableColumn id="4" xr3:uid="{3EFAE0D5-1F83-47C2-B88C-3D9FD911FD20}" name="2017-02-01"/>
    <tableColumn id="5" xr3:uid="{56BA0FB7-143A-4F3B-A4F0-AF5FA5767A2B}" name="2017-03-01"/>
    <tableColumn id="6" xr3:uid="{E860E279-A99F-482B-B083-0994E6077A23}" name="2017-04-01"/>
    <tableColumn id="7" xr3:uid="{3161470F-D473-44B2-95C3-7784D0C5BDEB}" name="2017-05-01"/>
    <tableColumn id="8" xr3:uid="{7D1FED9C-CB56-49BC-B72D-9B3A913ACBC4}" name="2017-06-01"/>
    <tableColumn id="9" xr3:uid="{A4E49312-0996-44F6-81DC-E686F6696C08}" name="2017-07-01"/>
    <tableColumn id="10" xr3:uid="{B2CCDEF7-12CC-4EA0-BBD4-EF1D4905BB78}" name="2017-08-01"/>
    <tableColumn id="11" xr3:uid="{2C5F4C33-8114-48DC-927E-5867F76A1B46}" name="2017-09-01"/>
    <tableColumn id="12" xr3:uid="{33DF27BC-AB94-422C-8822-53E3F5717427}" name="2017-10-01"/>
    <tableColumn id="13" xr3:uid="{AC29F8E7-48C4-4435-A697-24C0E3385C95}" name="2017-11-01"/>
    <tableColumn id="14" xr3:uid="{639C99F5-2AAB-435E-B15F-9A9F4961CC5D}" name="2017-12-01"/>
    <tableColumn id="15" xr3:uid="{3DC244F8-C71B-4399-9302-1194BA4908BD}" name="2018-01-01"/>
    <tableColumn id="16" xr3:uid="{357F2224-A467-4163-84DF-E50855A52817}" name="2018-02-01"/>
    <tableColumn id="17" xr3:uid="{B5B10714-BD1F-4788-B6E4-BFBD5121A889}" name="2018-03-01"/>
    <tableColumn id="18" xr3:uid="{36E4CA93-07F7-45BE-AF60-4DBBF90C3000}" name="2018-04-01"/>
    <tableColumn id="19" xr3:uid="{49A46980-688F-4511-A6D5-296D610366DE}" name="2018-05-01"/>
    <tableColumn id="20" xr3:uid="{73761E19-1906-4853-A8CC-1710B5DD5C12}" name="2018-06-01"/>
    <tableColumn id="21" xr3:uid="{5522DA16-8AE4-43EA-92C7-8C363D98A7FF}" name="2018-07-01"/>
    <tableColumn id="22" xr3:uid="{640B1C12-0E0B-4C70-8FE0-01DCE518AF04}" name="2018-08-01"/>
    <tableColumn id="23" xr3:uid="{EF01612A-3CCB-4E34-B13F-07365017377E}" name="2018-09-01"/>
    <tableColumn id="24" xr3:uid="{D84CC5CB-00C0-4FFA-B510-CFDAD0848245}" name="2018-10-01"/>
    <tableColumn id="25" xr3:uid="{53513CAB-E357-43D0-9FB7-EEDADD567A8E}" name="2018-11-01"/>
    <tableColumn id="26" xr3:uid="{0136E1A5-5D28-4F8F-A4DD-0C2E20816AD3}" name="2018-12-01"/>
    <tableColumn id="27" xr3:uid="{ECFB7183-9000-4A21-B3E6-80C96E275E95}" name="2019-01-01"/>
    <tableColumn id="28" xr3:uid="{BDD107C0-DD25-4C50-AC78-D5606094256B}" name="2019-02-01"/>
    <tableColumn id="29" xr3:uid="{82B84789-DDC2-4C05-A2E4-07A333BE6AC6}" name="2019-03-01"/>
    <tableColumn id="30" xr3:uid="{90B20A6B-7CF9-4E2D-8A8A-8646596A89C9}" name="2019-04-01"/>
    <tableColumn id="31" xr3:uid="{035D0328-4DA1-41FD-8045-A3CF504C45EC}" name="2019-05-01"/>
    <tableColumn id="32" xr3:uid="{8DBF00CD-048D-4759-B8E2-287CE9D39B98}" name="2019-06-01"/>
    <tableColumn id="33" xr3:uid="{483CD602-3A6C-4DC2-B8AD-69169EFD5825}" name="2019-07-01"/>
    <tableColumn id="34" xr3:uid="{D58B1F29-AAA7-48F7-A9B6-E8307189B935}" name="2019-08-01"/>
    <tableColumn id="35" xr3:uid="{CA2AE571-D367-4A51-B268-EE765917E09D}" name="2019-09-01"/>
    <tableColumn id="36" xr3:uid="{09B79CA7-F3CC-4201-8305-AACE9299ABD4}" name="2019-10-01"/>
    <tableColumn id="37" xr3:uid="{C9452CDA-762F-4880-B3EC-0F53D11733C4}" name="2019-11-01"/>
    <tableColumn id="38" xr3:uid="{4973801A-4031-43FB-8C3C-21BF3FA2A539}" name="2019-12-01"/>
    <tableColumn id="39" xr3:uid="{018E7156-1C9C-4EF7-BD9C-7A8D53638395}" name="2020-03-01"/>
    <tableColumn id="40" xr3:uid="{03180DFF-EE0C-4743-854B-9D321B0F474C}" name="2020-04-01"/>
    <tableColumn id="41" xr3:uid="{B44B6606-566B-4440-8FE9-9DB6223279DC}" name="2020-05-01"/>
    <tableColumn id="42" xr3:uid="{35CAC9C6-6519-41BA-84D8-69C56AC6E332}" name="2020-06-01"/>
    <tableColumn id="43" xr3:uid="{0E02921A-2D1D-472C-97D1-8F66913C863B}" name="2020-07-01"/>
    <tableColumn id="44" xr3:uid="{E3EF1DC5-2606-4481-92AE-D5024CC19180}" name="2020-08-01"/>
    <tableColumn id="45" xr3:uid="{3FA9186F-82A9-4600-962F-933E2E9BCC96}" name="2020-09-01"/>
    <tableColumn id="46" xr3:uid="{E508D3AE-093D-4070-8230-B32846D6ADF9}" name="2020-10-01"/>
    <tableColumn id="47" xr3:uid="{2BFEF030-BA25-4F6A-BF40-A13BBDD16C54}" name="2020-11-01"/>
    <tableColumn id="48" xr3:uid="{D3F81B0B-1A7B-496B-8A5D-0DA97C3EBEC3}" name="2020-12-01"/>
    <tableColumn id="49" xr3:uid="{6C8CCA9A-B3D4-4D77-BA97-7B773C2873A4}" name="2021-01-01"/>
    <tableColumn id="50" xr3:uid="{5B2C32DB-F57C-405E-BFA6-EAE960BB9FA0}" name="2021-02-01"/>
    <tableColumn id="51" xr3:uid="{C7E64C3E-2A55-4BE7-A630-39BFAA4DE86F}" name="2021-03-01"/>
    <tableColumn id="52" xr3:uid="{C56BAB2E-288D-450F-99E0-1A2C61D0947C}" name="2021-04-01"/>
    <tableColumn id="53" xr3:uid="{7E390B02-C06D-47A5-A003-DE188112670F}" name="2021-05-01"/>
    <tableColumn id="54" xr3:uid="{EE994F41-BBB6-408E-9FE2-1B97D1CA78D7}" name="2021-06-01"/>
    <tableColumn id="55" xr3:uid="{E3FE5BA3-07A6-4CDD-8016-26F28BDB17E9}" name="2021-07-01"/>
    <tableColumn id="56" xr3:uid="{01C1CAD7-DB8A-4A34-889A-DEADCD39032C}" name="2021-08-01"/>
    <tableColumn id="57" xr3:uid="{3ECFAC01-639D-46F6-AF6A-DB7F7654DD9C}" name="2021-09-01"/>
    <tableColumn id="58" xr3:uid="{29B18EF8-DA30-4483-8C06-940BDC5AE904}" name="2021-10-01"/>
    <tableColumn id="59" xr3:uid="{61E81AE5-A76C-48D4-B5DD-56466BB465DA}" name="2021-11-01"/>
    <tableColumn id="60" xr3:uid="{9273AF3F-DBE9-4EA9-9EBC-6E94A880CFB9}" name="2021-12-01"/>
    <tableColumn id="61" xr3:uid="{F8D8F4CE-FBD6-43A4-A6D3-9D5FBC1A1E45}" name="2022-01-01"/>
    <tableColumn id="62" xr3:uid="{E01224AC-FEA5-4D32-99AD-E84D347A902F}" name="2022-02-01"/>
    <tableColumn id="63" xr3:uid="{B60CBED1-51B9-4B3E-B80B-D5860B6E28BF}" name="2022-03-01"/>
    <tableColumn id="64" xr3:uid="{9EFE5292-880D-412F-A6F6-52F1ABAF2DC3}" name="2022-04-01"/>
    <tableColumn id="65" xr3:uid="{FEA66DB2-046F-4FDB-84EF-262887AA307E}" name="2022-05-01"/>
    <tableColumn id="66" xr3:uid="{C5DA3058-2197-416C-A810-5DEC3A145BF4}" name="2022-06-01"/>
    <tableColumn id="67" xr3:uid="{FFF43E7D-E8E0-453F-81D5-C572E3ABB2BE}" name="2022-07-01"/>
    <tableColumn id="68" xr3:uid="{295A8BFD-87D8-44A4-B193-E051AD0F4597}" name="2022-08-01"/>
    <tableColumn id="69" xr3:uid="{46D72DC4-DC6D-4143-A36C-569CFBEB90BA}" name="2022-09-01"/>
    <tableColumn id="70" xr3:uid="{5D79810F-5AE9-430F-BC8A-F51627022F22}" name="2022-10-01"/>
    <tableColumn id="71" xr3:uid="{DA5069E2-01CF-483B-9D27-78FD94706429}" name="2022-11-01"/>
    <tableColumn id="72" xr3:uid="{2D5466C5-D3C6-46D2-B226-CD9DC05C6D78}" name="2022-12-01"/>
    <tableColumn id="73" xr3:uid="{80A5D526-01B5-437C-BA9C-2C4E7027D51A}" name="2023-01-01"/>
    <tableColumn id="74" xr3:uid="{DF227576-FF71-4947-A6B0-2CBAC5B90D20}" name="2023-02-01"/>
    <tableColumn id="75" xr3:uid="{DB389964-A428-41D8-9086-F5101F045443}" name="2023-03-01"/>
    <tableColumn id="76" xr3:uid="{BCB7EE5C-E0EE-4CB1-B1FB-2C3F9584AA96}" name="2023-04-01"/>
    <tableColumn id="77" xr3:uid="{A92128AC-0408-4214-B7B8-28D02640D54A}" name="2023-05-01"/>
    <tableColumn id="78" xr3:uid="{32907984-0F91-41F2-A0DC-A135823DD033}" name="2023-06-01"/>
    <tableColumn id="79" xr3:uid="{DC073B9E-B8EC-44C4-8CF0-B1E77786701C}" name="2023-07-01"/>
    <tableColumn id="80" xr3:uid="{26712C9D-FBFD-486A-9172-3C2E45CCAE29}" name="2023-08-01"/>
    <tableColumn id="81" xr3:uid="{3A9B4CFB-2CB8-4581-A3E1-A3D5877CFC9C}" name="2023-09-01"/>
    <tableColumn id="82" xr3:uid="{D2EA0058-BD37-4261-BE86-FEF53BB201BD}" name="2023-10-01"/>
    <tableColumn id="83" xr3:uid="{E226C050-B6EB-4E3A-905B-7EF71D7135C7}" name="2023-11-01"/>
    <tableColumn id="84" xr3:uid="{A3C42FBB-57B9-4EC8-AD81-4F7DD73A3909}" name="2023-12-01"/>
    <tableColumn id="85" xr3:uid="{4A0E6957-5038-463C-940A-79761650F450}" name="2024-01-01"/>
    <tableColumn id="86" xr3:uid="{5E420CC3-F755-4CBC-A1D2-1F5AED5F5C32}" name="2024-02-01"/>
    <tableColumn id="87" xr3:uid="{0F37D0DB-3E54-4E5E-A642-243BC0EE398C}" name="2024-03-01"/>
    <tableColumn id="88" xr3:uid="{D3D7DCE1-1DEC-4029-87D0-D2FE8CEF2A2F}" name="2024-04-01"/>
    <tableColumn id="89" xr3:uid="{6B4450E2-2043-4880-A88A-0CE990D4A7B7}" name="2024-05-01"/>
    <tableColumn id="90" xr3:uid="{84B70BE7-FB59-41AB-9454-E90806D3D7EF}" name="2024-06-01"/>
    <tableColumn id="91" xr3:uid="{0FC14F48-CF79-4331-AEDA-3999A3DA2064}" name="2024-07-01"/>
    <tableColumn id="92" xr3:uid="{C4F896C4-5F14-4A9F-B1BB-B99D73ED9BAF}" name="2024-08-01"/>
    <tableColumn id="93" xr3:uid="{CA568A82-77A6-4753-8F00-5B7A337C3156}" name="2024-09-01"/>
    <tableColumn id="94" xr3:uid="{75DC8FD4-6391-45D8-80CE-12FCFB6EAFD9}" name="2024-10-01"/>
    <tableColumn id="95" xr3:uid="{66D97FB2-9975-43A4-9552-118627C32E4E}" name="2024-11-01"/>
    <tableColumn id="96" xr3:uid="{A22B0D75-BC4A-4585-BE77-69BB823CBD3D}" name="2024-12-0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5" dT="2023-12-07T12:56:54.70" personId="{AC23137A-A097-46E5-8E5E-B5AC68AF4130}" id="{407607FD-3EAA-4078-8CDB-53C610DE98F4}">
    <text xml:space="preserve">pzn: 0, 00000000, 99999999, ungewünschte kommas und - raugenommen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154"/>
  <sheetViews>
    <sheetView topLeftCell="D3145" zoomScale="91" zoomScaleNormal="58" workbookViewId="0">
      <selection activeCell="J3166" sqref="J3166"/>
    </sheetView>
  </sheetViews>
  <sheetFormatPr defaultColWidth="11.44140625" defaultRowHeight="15" customHeight="1"/>
  <cols>
    <col min="1" max="1" width="11.44140625" style="4"/>
    <col min="2" max="2" width="18.6640625" style="16" bestFit="1" customWidth="1"/>
    <col min="3" max="3" width="11.44140625" style="1" customWidth="1"/>
    <col min="4" max="4" width="23.33203125" style="5" customWidth="1"/>
    <col min="5" max="5" width="17.109375" style="36" customWidth="1"/>
    <col min="6" max="6" width="24.109375" style="36" customWidth="1"/>
    <col min="7" max="7" width="25.44140625" style="38" customWidth="1"/>
    <col min="8" max="8" width="17" style="1" customWidth="1"/>
    <col min="9" max="9" width="16.6640625" style="1" customWidth="1"/>
    <col min="10" max="10" width="23.109375" style="1" customWidth="1"/>
    <col min="11" max="11" width="38" style="1" customWidth="1"/>
    <col min="12" max="13" width="11.44140625" style="1"/>
    <col min="14" max="14" width="11.6640625" style="1" customWidth="1"/>
    <col min="15" max="15" width="20.6640625" style="1" customWidth="1"/>
    <col min="16" max="17" width="11.44140625" style="1" customWidth="1"/>
    <col min="18" max="18" width="25" style="1" customWidth="1"/>
    <col min="19" max="19" width="18.109375" style="5" customWidth="1"/>
    <col min="20" max="20" width="11.44140625" style="1" customWidth="1"/>
    <col min="21" max="21" width="17.33203125" style="1" bestFit="1" customWidth="1"/>
    <col min="22" max="22" width="25.109375" style="1" customWidth="1"/>
    <col min="23" max="23" width="30.44140625" style="1" customWidth="1"/>
    <col min="24" max="24" width="16.6640625" style="1" customWidth="1"/>
    <col min="25" max="16384" width="11.44140625" style="1"/>
  </cols>
  <sheetData>
    <row r="1" spans="1:24" ht="14.4">
      <c r="A1" s="2" t="s">
        <v>0</v>
      </c>
      <c r="B1" s="23" t="s">
        <v>1</v>
      </c>
      <c r="C1" s="2" t="s">
        <v>2</v>
      </c>
      <c r="D1" s="2" t="s">
        <v>3</v>
      </c>
      <c r="E1" s="35" t="s">
        <v>4</v>
      </c>
      <c r="F1" s="35" t="s">
        <v>5</v>
      </c>
      <c r="G1" s="37" t="s">
        <v>6</v>
      </c>
      <c r="H1" s="6" t="s">
        <v>7</v>
      </c>
      <c r="I1" s="6"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ht="14.4">
      <c r="A2" s="14">
        <v>1852</v>
      </c>
      <c r="B2" s="24" t="s">
        <v>24</v>
      </c>
      <c r="C2" s="1">
        <v>70733</v>
      </c>
      <c r="D2" s="1" t="s">
        <v>25</v>
      </c>
      <c r="E2" s="36">
        <v>44929</v>
      </c>
      <c r="F2" s="36">
        <v>44965</v>
      </c>
      <c r="G2" s="38">
        <f t="shared" ref="G2:G65" si="0">F2-E2</f>
        <v>36</v>
      </c>
      <c r="H2" s="5">
        <v>44938</v>
      </c>
      <c r="I2" s="5">
        <v>44967</v>
      </c>
      <c r="J2" s="1" t="s">
        <v>26</v>
      </c>
      <c r="K2" s="1" t="s">
        <v>27</v>
      </c>
      <c r="L2" s="1" t="s">
        <v>28</v>
      </c>
      <c r="M2" s="1" t="s">
        <v>29</v>
      </c>
      <c r="N2" s="1" t="s">
        <v>30</v>
      </c>
      <c r="O2" s="1" t="s">
        <v>31</v>
      </c>
      <c r="Q2" s="1" t="s">
        <v>32</v>
      </c>
      <c r="R2" s="1" t="s">
        <v>33</v>
      </c>
      <c r="S2" s="1" t="s">
        <v>34</v>
      </c>
      <c r="U2" s="1" t="s">
        <v>35</v>
      </c>
      <c r="V2" s="1" t="s">
        <v>36</v>
      </c>
      <c r="W2" s="1" t="str">
        <f>VLOOKUP(Table1[[#This Row],[Obergruppe ATC-Code]],Tabelle3!$A$2:$B$100,2)</f>
        <v>STOMATOLOGIKA</v>
      </c>
      <c r="X2" s="1" t="str">
        <f xml:space="preserve"> LEFT(Table1[[#This Row],[Atc Code]],3)</f>
        <v>A01</v>
      </c>
    </row>
    <row r="3" spans="1:24" ht="14.4">
      <c r="A3" s="14">
        <v>1851</v>
      </c>
      <c r="B3" s="24" t="s">
        <v>37</v>
      </c>
      <c r="C3" s="1">
        <v>70733</v>
      </c>
      <c r="D3" s="1" t="s">
        <v>25</v>
      </c>
      <c r="E3" s="36">
        <v>45141</v>
      </c>
      <c r="F3" s="36">
        <v>45187</v>
      </c>
      <c r="G3" s="38">
        <f t="shared" si="0"/>
        <v>46</v>
      </c>
      <c r="H3" s="5">
        <v>45146</v>
      </c>
      <c r="I3" s="5">
        <v>45190</v>
      </c>
      <c r="J3" s="1" t="s">
        <v>26</v>
      </c>
      <c r="K3" s="1" t="s">
        <v>27</v>
      </c>
      <c r="L3" s="1" t="s">
        <v>28</v>
      </c>
      <c r="M3" s="1" t="s">
        <v>29</v>
      </c>
      <c r="N3" s="1" t="s">
        <v>38</v>
      </c>
      <c r="O3" s="1" t="s">
        <v>31</v>
      </c>
      <c r="P3" s="1">
        <v>498964186105</v>
      </c>
      <c r="Q3" s="1" t="s">
        <v>39</v>
      </c>
      <c r="R3" s="1" t="s">
        <v>33</v>
      </c>
      <c r="S3" s="1"/>
      <c r="U3" s="1" t="s">
        <v>35</v>
      </c>
      <c r="V3" s="1" t="s">
        <v>36</v>
      </c>
      <c r="W3" s="1" t="str">
        <f>VLOOKUP(Table1[[#This Row],[Obergruppe ATC-Code]],Tabelle3!$A$2:$B$100,2)</f>
        <v>STOMATOLOGIKA</v>
      </c>
      <c r="X3" s="1" t="str">
        <f xml:space="preserve"> LEFT(Table1[[#This Row],[Atc Code]],3)</f>
        <v>A01</v>
      </c>
    </row>
    <row r="4" spans="1:24" ht="14.4">
      <c r="A4" s="14">
        <v>1648</v>
      </c>
      <c r="B4" s="24" t="s">
        <v>40</v>
      </c>
      <c r="C4" s="1">
        <v>2140871</v>
      </c>
      <c r="D4" s="1" t="s">
        <v>25</v>
      </c>
      <c r="E4" s="36">
        <v>42887</v>
      </c>
      <c r="F4" s="36">
        <v>42947</v>
      </c>
      <c r="G4" s="38">
        <f t="shared" si="0"/>
        <v>60</v>
      </c>
      <c r="H4" s="5">
        <v>42892</v>
      </c>
      <c r="I4" s="5">
        <v>42929</v>
      </c>
      <c r="J4" s="1" t="s">
        <v>41</v>
      </c>
      <c r="K4" s="1" t="s">
        <v>42</v>
      </c>
      <c r="L4" s="1" t="s">
        <v>43</v>
      </c>
      <c r="M4" s="1" t="s">
        <v>44</v>
      </c>
      <c r="N4" s="1" t="s">
        <v>30</v>
      </c>
      <c r="O4" s="1" t="s">
        <v>45</v>
      </c>
      <c r="P4" s="1" t="s">
        <v>46</v>
      </c>
      <c r="Q4" s="1" t="s">
        <v>47</v>
      </c>
      <c r="R4" s="1" t="s">
        <v>48</v>
      </c>
      <c r="S4" s="1"/>
      <c r="U4" s="1" t="s">
        <v>35</v>
      </c>
      <c r="V4" s="1" t="s">
        <v>49</v>
      </c>
      <c r="W4" s="1" t="str">
        <f>VLOOKUP(Table1[[#This Row],[Obergruppe ATC-Code]],Tabelle3!$A$2:$B$100,2)</f>
        <v>STOMATOLOGIKA</v>
      </c>
      <c r="X4" s="1" t="str">
        <f xml:space="preserve"> LEFT(Table1[[#This Row],[Atc Code]],3)</f>
        <v>A01</v>
      </c>
    </row>
    <row r="5" spans="1:24" ht="14.4">
      <c r="A5" s="14">
        <v>1921</v>
      </c>
      <c r="B5" s="24" t="s">
        <v>50</v>
      </c>
      <c r="C5" s="1">
        <v>2140512</v>
      </c>
      <c r="D5" s="1" t="s">
        <v>25</v>
      </c>
      <c r="E5" s="36">
        <v>43891</v>
      </c>
      <c r="F5" s="36">
        <v>44074</v>
      </c>
      <c r="G5" s="38">
        <f t="shared" si="0"/>
        <v>183</v>
      </c>
      <c r="H5" s="5">
        <v>43910</v>
      </c>
      <c r="I5" s="5">
        <v>44075</v>
      </c>
      <c r="J5" s="1" t="s">
        <v>41</v>
      </c>
      <c r="K5" s="1" t="s">
        <v>51</v>
      </c>
      <c r="L5" s="1" t="s">
        <v>43</v>
      </c>
      <c r="M5" s="1" t="s">
        <v>44</v>
      </c>
      <c r="N5" s="1" t="s">
        <v>38</v>
      </c>
      <c r="O5" s="1" t="s">
        <v>52</v>
      </c>
      <c r="P5" s="1" t="s">
        <v>53</v>
      </c>
      <c r="Q5" s="1" t="s">
        <v>54</v>
      </c>
      <c r="R5" s="1" t="s">
        <v>48</v>
      </c>
      <c r="S5" s="1"/>
      <c r="U5" s="1" t="s">
        <v>35</v>
      </c>
      <c r="V5" s="1" t="s">
        <v>49</v>
      </c>
      <c r="W5" s="1" t="str">
        <f>VLOOKUP(Table1[[#This Row],[Obergruppe ATC-Code]],Tabelle3!$A$2:$B$100,2)</f>
        <v>STOMATOLOGIKA</v>
      </c>
      <c r="X5" s="1" t="str">
        <f xml:space="preserve"> LEFT(Table1[[#This Row],[Atc Code]],3)</f>
        <v>A01</v>
      </c>
    </row>
    <row r="6" spans="1:24" ht="14.4">
      <c r="A6" s="14">
        <v>1647</v>
      </c>
      <c r="B6" s="24" t="s">
        <v>40</v>
      </c>
      <c r="C6" s="1">
        <v>2140871</v>
      </c>
      <c r="D6" s="1" t="s">
        <v>25</v>
      </c>
      <c r="E6" s="36">
        <v>43983</v>
      </c>
      <c r="F6" s="36">
        <v>44104</v>
      </c>
      <c r="G6" s="38">
        <f t="shared" si="0"/>
        <v>121</v>
      </c>
      <c r="H6" s="5">
        <v>44012</v>
      </c>
      <c r="I6" s="5">
        <v>44085</v>
      </c>
      <c r="J6" s="1" t="s">
        <v>41</v>
      </c>
      <c r="K6" s="1" t="s">
        <v>42</v>
      </c>
      <c r="L6" s="1" t="s">
        <v>43</v>
      </c>
      <c r="M6" s="1" t="s">
        <v>44</v>
      </c>
      <c r="N6" s="1" t="s">
        <v>30</v>
      </c>
      <c r="O6" s="1" t="s">
        <v>45</v>
      </c>
      <c r="P6" s="1" t="s">
        <v>55</v>
      </c>
      <c r="Q6" s="1" t="s">
        <v>56</v>
      </c>
      <c r="R6" s="1" t="s">
        <v>26</v>
      </c>
      <c r="S6" s="1"/>
      <c r="U6" s="1" t="s">
        <v>57</v>
      </c>
      <c r="V6" s="1" t="s">
        <v>49</v>
      </c>
      <c r="W6" s="1" t="str">
        <f>VLOOKUP(Table1[[#This Row],[Obergruppe ATC-Code]],Tabelle3!$A$2:$B$100,2)</f>
        <v>STOMATOLOGIKA</v>
      </c>
      <c r="X6" s="1" t="str">
        <f xml:space="preserve"> LEFT(Table1[[#This Row],[Atc Code]],3)</f>
        <v>A01</v>
      </c>
    </row>
    <row r="7" spans="1:24" ht="14.4">
      <c r="A7" s="14">
        <v>2183</v>
      </c>
      <c r="B7" s="24" t="s">
        <v>58</v>
      </c>
      <c r="C7" s="1">
        <v>801728</v>
      </c>
      <c r="D7" s="1" t="s">
        <v>25</v>
      </c>
      <c r="E7" s="36">
        <v>44228</v>
      </c>
      <c r="F7" s="36">
        <v>44474</v>
      </c>
      <c r="G7" s="38">
        <f t="shared" si="0"/>
        <v>246</v>
      </c>
      <c r="H7" s="5">
        <v>44183</v>
      </c>
      <c r="I7" s="5">
        <v>44474</v>
      </c>
      <c r="J7" s="1" t="s">
        <v>41</v>
      </c>
      <c r="K7" s="1" t="s">
        <v>59</v>
      </c>
      <c r="L7" s="1" t="s">
        <v>60</v>
      </c>
      <c r="M7" s="1" t="s">
        <v>61</v>
      </c>
      <c r="N7" s="1" t="s">
        <v>30</v>
      </c>
      <c r="O7" s="1" t="s">
        <v>62</v>
      </c>
      <c r="P7" s="1" t="s">
        <v>63</v>
      </c>
      <c r="Q7" s="1" t="s">
        <v>64</v>
      </c>
      <c r="R7" s="1" t="s">
        <v>65</v>
      </c>
      <c r="S7" s="1" t="s">
        <v>66</v>
      </c>
      <c r="U7" s="1" t="s">
        <v>35</v>
      </c>
      <c r="V7" s="1" t="s">
        <v>67</v>
      </c>
      <c r="W7" s="1" t="str">
        <f>VLOOKUP(Table1[[#This Row],[Obergruppe ATC-Code]],Tabelle3!$A$2:$B$100,2)</f>
        <v>STOMATOLOGIKA</v>
      </c>
      <c r="X7" s="1" t="str">
        <f xml:space="preserve"> LEFT(Table1[[#This Row],[Atc Code]],3)</f>
        <v>A01</v>
      </c>
    </row>
    <row r="8" spans="1:24" ht="14.4">
      <c r="A8" s="14">
        <v>632</v>
      </c>
      <c r="B8" s="24">
        <v>4109633</v>
      </c>
      <c r="C8" s="1">
        <v>2110381</v>
      </c>
      <c r="D8" s="1" t="s">
        <v>25</v>
      </c>
      <c r="E8" s="36">
        <v>43739</v>
      </c>
      <c r="F8" s="36">
        <v>44074</v>
      </c>
      <c r="G8" s="38">
        <f t="shared" si="0"/>
        <v>335</v>
      </c>
      <c r="H8" s="5">
        <v>43740</v>
      </c>
      <c r="I8" s="5">
        <v>44047</v>
      </c>
      <c r="J8" s="1" t="s">
        <v>41</v>
      </c>
      <c r="K8" s="1" t="s">
        <v>68</v>
      </c>
      <c r="L8" s="1" t="s">
        <v>69</v>
      </c>
      <c r="M8" s="1" t="s">
        <v>70</v>
      </c>
      <c r="N8" s="1" t="s">
        <v>30</v>
      </c>
      <c r="O8" s="1" t="s">
        <v>45</v>
      </c>
      <c r="P8" s="1" t="s">
        <v>71</v>
      </c>
      <c r="Q8" s="1" t="s">
        <v>72</v>
      </c>
      <c r="R8" s="1" t="s">
        <v>48</v>
      </c>
      <c r="S8" s="1"/>
      <c r="T8" s="1" t="s">
        <v>73</v>
      </c>
      <c r="U8" s="1" t="s">
        <v>35</v>
      </c>
      <c r="V8" s="1" t="s">
        <v>74</v>
      </c>
      <c r="W8" s="1" t="str">
        <f>VLOOKUP(Table1[[#This Row],[Obergruppe ATC-Code]],Tabelle3!$A$2:$B$100,2)</f>
        <v>MITTEL BEI SÄURE BEDINGTEN ERKRANKUNGEN</v>
      </c>
      <c r="X8" s="1" t="str">
        <f xml:space="preserve"> LEFT(Table1[[#This Row],[Atc Code]],3)</f>
        <v>A02</v>
      </c>
    </row>
    <row r="9" spans="1:24" ht="14.4">
      <c r="A9" s="14">
        <v>3019</v>
      </c>
      <c r="B9" s="24" t="s">
        <v>75</v>
      </c>
      <c r="C9" s="1">
        <v>2125706</v>
      </c>
      <c r="D9" s="1" t="s">
        <v>25</v>
      </c>
      <c r="E9" s="36">
        <v>44228</v>
      </c>
      <c r="F9" s="36">
        <v>44316</v>
      </c>
      <c r="G9" s="38">
        <f t="shared" si="0"/>
        <v>88</v>
      </c>
      <c r="H9" s="5">
        <v>44249</v>
      </c>
      <c r="I9" s="5">
        <v>44265</v>
      </c>
      <c r="J9" s="1" t="s">
        <v>26</v>
      </c>
      <c r="K9" s="1" t="s">
        <v>76</v>
      </c>
      <c r="L9" s="1" t="s">
        <v>69</v>
      </c>
      <c r="M9" s="1" t="s">
        <v>77</v>
      </c>
      <c r="N9" s="1" t="s">
        <v>38</v>
      </c>
      <c r="O9" s="1" t="s">
        <v>78</v>
      </c>
      <c r="P9" s="1" t="s">
        <v>79</v>
      </c>
      <c r="Q9" s="1" t="s">
        <v>80</v>
      </c>
      <c r="R9" s="1" t="s">
        <v>33</v>
      </c>
      <c r="S9" s="1"/>
      <c r="U9" s="1" t="s">
        <v>35</v>
      </c>
      <c r="V9" s="1" t="s">
        <v>49</v>
      </c>
      <c r="W9" s="1" t="str">
        <f>VLOOKUP(Table1[[#This Row],[Obergruppe ATC-Code]],Tabelle3!$A$2:$B$100,2)</f>
        <v>MITTEL BEI SÄURE BEDINGTEN ERKRANKUNGEN</v>
      </c>
      <c r="X9" s="1" t="str">
        <f xml:space="preserve"> LEFT(Table1[[#This Row],[Atc Code]],3)</f>
        <v>A02</v>
      </c>
    </row>
    <row r="10" spans="1:24" ht="14.4">
      <c r="A10" s="14">
        <v>3009</v>
      </c>
      <c r="B10" s="24" t="s">
        <v>81</v>
      </c>
      <c r="C10" s="1">
        <v>2125707</v>
      </c>
      <c r="D10" s="1" t="s">
        <v>25</v>
      </c>
      <c r="E10" s="36">
        <v>43862</v>
      </c>
      <c r="F10" s="36">
        <v>44316</v>
      </c>
      <c r="G10" s="38">
        <f t="shared" si="0"/>
        <v>454</v>
      </c>
      <c r="H10" s="5">
        <v>44249</v>
      </c>
      <c r="I10" s="5">
        <v>44312</v>
      </c>
      <c r="J10" s="1" t="s">
        <v>26</v>
      </c>
      <c r="K10" s="1" t="s">
        <v>82</v>
      </c>
      <c r="L10" s="1" t="s">
        <v>69</v>
      </c>
      <c r="M10" s="1" t="s">
        <v>77</v>
      </c>
      <c r="N10" s="1" t="s">
        <v>38</v>
      </c>
      <c r="O10" s="1" t="s">
        <v>78</v>
      </c>
      <c r="P10" s="1" t="s">
        <v>79</v>
      </c>
      <c r="Q10" s="1" t="s">
        <v>80</v>
      </c>
      <c r="R10" s="1" t="s">
        <v>33</v>
      </c>
      <c r="S10" s="1"/>
      <c r="U10" s="1" t="s">
        <v>35</v>
      </c>
      <c r="V10" s="1" t="s">
        <v>49</v>
      </c>
      <c r="W10" s="1" t="str">
        <f>VLOOKUP(Table1[[#This Row],[Obergruppe ATC-Code]],Tabelle3!$A$2:$B$100,2)</f>
        <v>MITTEL BEI SÄURE BEDINGTEN ERKRANKUNGEN</v>
      </c>
      <c r="X10" s="1" t="str">
        <f xml:space="preserve"> LEFT(Table1[[#This Row],[Atc Code]],3)</f>
        <v>A02</v>
      </c>
    </row>
    <row r="11" spans="1:24" ht="14.4">
      <c r="A11" s="14">
        <v>3008</v>
      </c>
      <c r="B11" s="24" t="s">
        <v>83</v>
      </c>
      <c r="C11" s="1">
        <v>2125705</v>
      </c>
      <c r="D11" s="1" t="s">
        <v>25</v>
      </c>
      <c r="E11" s="36">
        <v>43891</v>
      </c>
      <c r="F11" s="36">
        <v>44316</v>
      </c>
      <c r="G11" s="38">
        <f t="shared" si="0"/>
        <v>425</v>
      </c>
      <c r="H11" s="5">
        <v>44249</v>
      </c>
      <c r="I11" s="5">
        <v>44312</v>
      </c>
      <c r="J11" s="1" t="s">
        <v>26</v>
      </c>
      <c r="K11" s="1" t="s">
        <v>84</v>
      </c>
      <c r="L11" s="1" t="s">
        <v>69</v>
      </c>
      <c r="M11" s="1" t="s">
        <v>77</v>
      </c>
      <c r="N11" s="1" t="s">
        <v>38</v>
      </c>
      <c r="O11" s="1" t="s">
        <v>78</v>
      </c>
      <c r="P11" s="1" t="s">
        <v>79</v>
      </c>
      <c r="Q11" s="1" t="s">
        <v>80</v>
      </c>
      <c r="R11" s="1" t="s">
        <v>33</v>
      </c>
      <c r="S11" s="1"/>
      <c r="U11" s="1" t="s">
        <v>35</v>
      </c>
      <c r="V11" s="1" t="s">
        <v>49</v>
      </c>
      <c r="W11" s="1" t="str">
        <f>VLOOKUP(Table1[[#This Row],[Obergruppe ATC-Code]],Tabelle3!$A$2:$B$100,2)</f>
        <v>MITTEL BEI SÄURE BEDINGTEN ERKRANKUNGEN</v>
      </c>
      <c r="X11" s="1" t="str">
        <f xml:space="preserve"> LEFT(Table1[[#This Row],[Atc Code]],3)</f>
        <v>A02</v>
      </c>
    </row>
    <row r="12" spans="1:24" ht="14.4">
      <c r="A12" s="14">
        <v>2459</v>
      </c>
      <c r="B12" s="24" t="s">
        <v>85</v>
      </c>
      <c r="C12" s="1">
        <v>2125706</v>
      </c>
      <c r="D12" s="1" t="s">
        <v>25</v>
      </c>
      <c r="E12" s="36">
        <v>45117</v>
      </c>
      <c r="F12" s="36">
        <v>45214</v>
      </c>
      <c r="G12" s="38">
        <f t="shared" si="0"/>
        <v>97</v>
      </c>
      <c r="H12" s="5">
        <v>45125</v>
      </c>
      <c r="I12" s="5">
        <v>45215</v>
      </c>
      <c r="J12" s="1" t="s">
        <v>26</v>
      </c>
      <c r="K12" s="1" t="s">
        <v>76</v>
      </c>
      <c r="L12" s="1" t="s">
        <v>69</v>
      </c>
      <c r="M12" s="1" t="s">
        <v>77</v>
      </c>
      <c r="N12" s="1" t="s">
        <v>38</v>
      </c>
      <c r="O12" s="1" t="s">
        <v>78</v>
      </c>
      <c r="P12" s="1">
        <v>8944232460</v>
      </c>
      <c r="Q12" s="1" t="s">
        <v>86</v>
      </c>
      <c r="R12" s="1" t="s">
        <v>26</v>
      </c>
      <c r="S12" s="1"/>
      <c r="U12" s="1" t="s">
        <v>35</v>
      </c>
      <c r="V12" s="1" t="s">
        <v>49</v>
      </c>
      <c r="W12" s="1" t="str">
        <f>VLOOKUP(Table1[[#This Row],[Obergruppe ATC-Code]],Tabelle3!$A$2:$B$100,2)</f>
        <v>MITTEL BEI SÄURE BEDINGTEN ERKRANKUNGEN</v>
      </c>
      <c r="X12" s="1" t="str">
        <f xml:space="preserve"> LEFT(Table1[[#This Row],[Atc Code]],3)</f>
        <v>A02</v>
      </c>
    </row>
    <row r="13" spans="1:24" ht="14.4">
      <c r="A13" s="14">
        <v>2390</v>
      </c>
      <c r="B13" s="24" t="s">
        <v>87</v>
      </c>
      <c r="C13" s="1">
        <v>2125707</v>
      </c>
      <c r="D13" s="1" t="s">
        <v>25</v>
      </c>
      <c r="E13" s="36">
        <v>45120</v>
      </c>
      <c r="F13" s="36">
        <v>45214</v>
      </c>
      <c r="G13" s="38">
        <f t="shared" si="0"/>
        <v>94</v>
      </c>
      <c r="H13" s="5">
        <v>45125</v>
      </c>
      <c r="I13" s="5">
        <v>45215</v>
      </c>
      <c r="J13" s="1" t="s">
        <v>26</v>
      </c>
      <c r="K13" s="1" t="s">
        <v>82</v>
      </c>
      <c r="L13" s="1" t="s">
        <v>69</v>
      </c>
      <c r="M13" s="1" t="s">
        <v>77</v>
      </c>
      <c r="N13" s="1" t="s">
        <v>38</v>
      </c>
      <c r="O13" s="1" t="s">
        <v>78</v>
      </c>
      <c r="P13" s="1">
        <v>8944232460</v>
      </c>
      <c r="Q13" s="1" t="s">
        <v>86</v>
      </c>
      <c r="R13" s="1" t="s">
        <v>26</v>
      </c>
      <c r="S13" s="1"/>
      <c r="U13" s="1" t="s">
        <v>35</v>
      </c>
      <c r="V13" s="1" t="s">
        <v>49</v>
      </c>
      <c r="W13" s="1" t="str">
        <f>VLOOKUP(Table1[[#This Row],[Obergruppe ATC-Code]],Tabelle3!$A$2:$B$100,2)</f>
        <v>MITTEL BEI SÄURE BEDINGTEN ERKRANKUNGEN</v>
      </c>
      <c r="X13" s="1" t="str">
        <f xml:space="preserve"> LEFT(Table1[[#This Row],[Atc Code]],3)</f>
        <v>A02</v>
      </c>
    </row>
    <row r="14" spans="1:24" ht="14.4">
      <c r="A14" s="14">
        <v>3030</v>
      </c>
      <c r="B14" s="1">
        <v>7581514</v>
      </c>
      <c r="C14" s="1">
        <v>2123230</v>
      </c>
      <c r="D14" s="1" t="s">
        <v>25</v>
      </c>
      <c r="E14" s="36">
        <v>43739</v>
      </c>
      <c r="F14" s="36">
        <v>44196</v>
      </c>
      <c r="G14" s="38">
        <f t="shared" si="0"/>
        <v>457</v>
      </c>
      <c r="H14" s="5">
        <v>43756</v>
      </c>
      <c r="I14" s="5">
        <v>44035</v>
      </c>
      <c r="J14" s="1" t="s">
        <v>41</v>
      </c>
      <c r="K14" s="1" t="s">
        <v>88</v>
      </c>
      <c r="L14" s="1" t="s">
        <v>89</v>
      </c>
      <c r="M14" s="1" t="s">
        <v>90</v>
      </c>
      <c r="N14" s="1" t="s">
        <v>30</v>
      </c>
      <c r="O14" s="1" t="s">
        <v>91</v>
      </c>
      <c r="P14" s="1" t="s">
        <v>92</v>
      </c>
      <c r="Q14" s="1" t="s">
        <v>93</v>
      </c>
      <c r="R14" s="1" t="s">
        <v>48</v>
      </c>
      <c r="S14" s="1"/>
      <c r="U14" s="1" t="s">
        <v>57</v>
      </c>
      <c r="V14" s="1" t="s">
        <v>94</v>
      </c>
      <c r="W14" s="1" t="str">
        <f>VLOOKUP(Table1[[#This Row],[Obergruppe ATC-Code]],Tabelle3!$A$2:$B$100,2)</f>
        <v>MITTEL BEI SÄURE BEDINGTEN ERKRANKUNGEN</v>
      </c>
      <c r="X14" s="1" t="str">
        <f xml:space="preserve"> LEFT(Table1[[#This Row],[Atc Code]],3)</f>
        <v>A02</v>
      </c>
    </row>
    <row r="15" spans="1:24" ht="14.4">
      <c r="A15" s="14">
        <v>2960</v>
      </c>
      <c r="B15" s="24" t="s">
        <v>95</v>
      </c>
      <c r="C15" s="1">
        <v>2127087</v>
      </c>
      <c r="D15" s="1" t="s">
        <v>25</v>
      </c>
      <c r="E15" s="36">
        <v>43709</v>
      </c>
      <c r="F15" s="36">
        <v>44382</v>
      </c>
      <c r="G15" s="38">
        <f t="shared" si="0"/>
        <v>673</v>
      </c>
      <c r="H15" s="5">
        <v>43957</v>
      </c>
      <c r="I15" s="5">
        <v>44382</v>
      </c>
      <c r="J15" s="1" t="s">
        <v>41</v>
      </c>
      <c r="K15" s="1" t="s">
        <v>96</v>
      </c>
      <c r="L15" s="1" t="s">
        <v>89</v>
      </c>
      <c r="M15" s="1" t="s">
        <v>90</v>
      </c>
      <c r="N15" s="1" t="s">
        <v>30</v>
      </c>
      <c r="O15" s="1" t="s">
        <v>97</v>
      </c>
      <c r="P15" s="1">
        <v>214403990</v>
      </c>
      <c r="Q15" s="1" t="s">
        <v>98</v>
      </c>
      <c r="R15" s="1" t="s">
        <v>26</v>
      </c>
      <c r="S15" s="1"/>
      <c r="U15" s="1" t="s">
        <v>35</v>
      </c>
      <c r="V15" s="1" t="s">
        <v>99</v>
      </c>
      <c r="W15" s="1" t="str">
        <f>VLOOKUP(Table1[[#This Row],[Obergruppe ATC-Code]],Tabelle3!$A$2:$B$100,2)</f>
        <v>MITTEL BEI SÄURE BEDINGTEN ERKRANKUNGEN</v>
      </c>
      <c r="X15" s="1" t="str">
        <f xml:space="preserve"> LEFT(Table1[[#This Row],[Atc Code]],3)</f>
        <v>A02</v>
      </c>
    </row>
    <row r="16" spans="1:24" ht="14.4">
      <c r="A16" s="14">
        <v>3029</v>
      </c>
      <c r="B16" s="1">
        <v>7568028</v>
      </c>
      <c r="C16" s="1">
        <v>2136410</v>
      </c>
      <c r="D16" s="1" t="s">
        <v>25</v>
      </c>
      <c r="E16" s="36">
        <v>43709</v>
      </c>
      <c r="F16" s="36">
        <v>44382</v>
      </c>
      <c r="G16" s="38">
        <f t="shared" si="0"/>
        <v>673</v>
      </c>
      <c r="H16" s="5">
        <v>43957</v>
      </c>
      <c r="I16" s="5">
        <v>44382</v>
      </c>
      <c r="J16" s="1" t="s">
        <v>41</v>
      </c>
      <c r="K16" s="1" t="s">
        <v>100</v>
      </c>
      <c r="L16" s="1" t="s">
        <v>89</v>
      </c>
      <c r="M16" s="1" t="s">
        <v>90</v>
      </c>
      <c r="N16" s="1" t="s">
        <v>30</v>
      </c>
      <c r="O16" s="1" t="s">
        <v>97</v>
      </c>
      <c r="P16" s="1">
        <v>214403990</v>
      </c>
      <c r="Q16" s="1" t="s">
        <v>98</v>
      </c>
      <c r="R16" s="1" t="s">
        <v>26</v>
      </c>
      <c r="S16" s="1"/>
      <c r="U16" s="1" t="s">
        <v>35</v>
      </c>
      <c r="V16" s="1" t="s">
        <v>99</v>
      </c>
      <c r="W16" s="1" t="str">
        <f>VLOOKUP(Table1[[#This Row],[Obergruppe ATC-Code]],Tabelle3!$A$2:$B$100,2)</f>
        <v>MITTEL BEI SÄURE BEDINGTEN ERKRANKUNGEN</v>
      </c>
      <c r="X16" s="1" t="str">
        <f xml:space="preserve"> LEFT(Table1[[#This Row],[Atc Code]],3)</f>
        <v>A02</v>
      </c>
    </row>
    <row r="17" spans="1:24" ht="14.4">
      <c r="A17" s="14">
        <v>2303</v>
      </c>
      <c r="B17" s="24" t="s">
        <v>101</v>
      </c>
      <c r="C17" s="1">
        <v>2134272</v>
      </c>
      <c r="D17" s="1" t="s">
        <v>102</v>
      </c>
      <c r="E17" s="36">
        <v>43709</v>
      </c>
      <c r="F17" s="36">
        <v>45473</v>
      </c>
      <c r="G17" s="38">
        <f t="shared" si="0"/>
        <v>1764</v>
      </c>
      <c r="H17" s="5">
        <v>43728</v>
      </c>
      <c r="I17" s="5">
        <v>45098</v>
      </c>
      <c r="J17" s="1" t="s">
        <v>26</v>
      </c>
      <c r="K17" s="1" t="s">
        <v>103</v>
      </c>
      <c r="L17" s="1" t="s">
        <v>89</v>
      </c>
      <c r="M17" s="1" t="s">
        <v>90</v>
      </c>
      <c r="N17" s="1" t="s">
        <v>30</v>
      </c>
      <c r="O17" s="1" t="s">
        <v>45</v>
      </c>
      <c r="P17" s="1" t="s">
        <v>104</v>
      </c>
      <c r="Q17" s="1" t="s">
        <v>105</v>
      </c>
      <c r="R17" s="1" t="s">
        <v>26</v>
      </c>
      <c r="S17" s="1"/>
      <c r="U17" s="1" t="s">
        <v>57</v>
      </c>
      <c r="V17" s="1" t="s">
        <v>99</v>
      </c>
      <c r="W17" s="1" t="str">
        <f>VLOOKUP(Table1[[#This Row],[Obergruppe ATC-Code]],Tabelle3!$A$2:$B$100,2)</f>
        <v>MITTEL BEI SÄURE BEDINGTEN ERKRANKUNGEN</v>
      </c>
      <c r="X17" s="1" t="str">
        <f xml:space="preserve"> LEFT(Table1[[#This Row],[Atc Code]],3)</f>
        <v>A02</v>
      </c>
    </row>
    <row r="18" spans="1:24" ht="14.4">
      <c r="A18" s="14">
        <v>2302</v>
      </c>
      <c r="B18" s="24" t="s">
        <v>106</v>
      </c>
      <c r="C18" s="1">
        <v>2134278</v>
      </c>
      <c r="D18" s="1" t="s">
        <v>102</v>
      </c>
      <c r="E18" s="36">
        <v>43709</v>
      </c>
      <c r="F18" s="36">
        <v>45473</v>
      </c>
      <c r="G18" s="38">
        <f t="shared" si="0"/>
        <v>1764</v>
      </c>
      <c r="H18" s="5">
        <v>43728</v>
      </c>
      <c r="I18" s="5">
        <v>45098</v>
      </c>
      <c r="J18" s="1" t="s">
        <v>26</v>
      </c>
      <c r="K18" s="1" t="s">
        <v>107</v>
      </c>
      <c r="L18" s="1" t="s">
        <v>89</v>
      </c>
      <c r="M18" s="1" t="s">
        <v>90</v>
      </c>
      <c r="N18" s="1" t="s">
        <v>30</v>
      </c>
      <c r="O18" s="1" t="s">
        <v>45</v>
      </c>
      <c r="P18" s="1" t="s">
        <v>104</v>
      </c>
      <c r="Q18" s="1" t="s">
        <v>105</v>
      </c>
      <c r="R18" s="1" t="s">
        <v>26</v>
      </c>
      <c r="S18" s="1"/>
      <c r="U18" s="1" t="s">
        <v>57</v>
      </c>
      <c r="V18" s="1" t="s">
        <v>99</v>
      </c>
      <c r="W18" s="1" t="str">
        <f>VLOOKUP(Table1[[#This Row],[Obergruppe ATC-Code]],Tabelle3!$A$2:$B$100,2)</f>
        <v>MITTEL BEI SÄURE BEDINGTEN ERKRANKUNGEN</v>
      </c>
      <c r="X18" s="1" t="str">
        <f xml:space="preserve"> LEFT(Table1[[#This Row],[Atc Code]],3)</f>
        <v>A02</v>
      </c>
    </row>
    <row r="19" spans="1:24" ht="14.4">
      <c r="A19" s="14">
        <v>893</v>
      </c>
      <c r="B19" s="24">
        <v>7430749</v>
      </c>
      <c r="C19" s="1">
        <v>2134537</v>
      </c>
      <c r="D19" s="1" t="s">
        <v>102</v>
      </c>
      <c r="E19" s="36">
        <v>43709</v>
      </c>
      <c r="F19" s="36">
        <v>45473</v>
      </c>
      <c r="G19" s="38">
        <f t="shared" si="0"/>
        <v>1764</v>
      </c>
      <c r="H19" s="5">
        <v>43728</v>
      </c>
      <c r="I19" s="5">
        <v>45098</v>
      </c>
      <c r="J19" s="1" t="s">
        <v>26</v>
      </c>
      <c r="K19" s="1" t="s">
        <v>108</v>
      </c>
      <c r="L19" s="1" t="s">
        <v>89</v>
      </c>
      <c r="M19" s="1" t="s">
        <v>90</v>
      </c>
      <c r="N19" s="1" t="s">
        <v>30</v>
      </c>
      <c r="O19" s="1" t="s">
        <v>45</v>
      </c>
      <c r="P19" s="1" t="s">
        <v>104</v>
      </c>
      <c r="Q19" s="1" t="s">
        <v>105</v>
      </c>
      <c r="R19" s="1" t="s">
        <v>26</v>
      </c>
      <c r="S19" s="1"/>
      <c r="U19" s="1" t="s">
        <v>57</v>
      </c>
      <c r="V19" s="1" t="s">
        <v>74</v>
      </c>
      <c r="W19" s="1" t="str">
        <f>VLOOKUP(Table1[[#This Row],[Obergruppe ATC-Code]],Tabelle3!$A$2:$B$100,2)</f>
        <v>MITTEL BEI SÄURE BEDINGTEN ERKRANKUNGEN</v>
      </c>
      <c r="X19" s="1" t="str">
        <f xml:space="preserve"> LEFT(Table1[[#This Row],[Atc Code]],3)</f>
        <v>A02</v>
      </c>
    </row>
    <row r="20" spans="1:24" ht="14.4">
      <c r="A20" s="14">
        <v>3028</v>
      </c>
      <c r="B20" s="1">
        <v>7258718</v>
      </c>
      <c r="C20" s="1">
        <v>2130559</v>
      </c>
      <c r="D20" s="1" t="s">
        <v>102</v>
      </c>
      <c r="E20" s="36">
        <v>44075</v>
      </c>
      <c r="F20" s="36">
        <v>45291</v>
      </c>
      <c r="G20" s="38">
        <f t="shared" si="0"/>
        <v>1216</v>
      </c>
      <c r="H20" s="5">
        <v>44104</v>
      </c>
      <c r="I20" s="5">
        <v>45120</v>
      </c>
      <c r="J20" s="1" t="s">
        <v>26</v>
      </c>
      <c r="K20" s="1" t="s">
        <v>109</v>
      </c>
      <c r="L20" s="1" t="s">
        <v>89</v>
      </c>
      <c r="M20" s="1" t="s">
        <v>90</v>
      </c>
      <c r="N20" s="1" t="s">
        <v>38</v>
      </c>
      <c r="O20" s="1" t="s">
        <v>110</v>
      </c>
      <c r="P20" s="1" t="s">
        <v>111</v>
      </c>
      <c r="Q20" s="1" t="s">
        <v>112</v>
      </c>
      <c r="R20" s="1" t="s">
        <v>113</v>
      </c>
      <c r="S20" s="1"/>
      <c r="U20" s="1" t="s">
        <v>35</v>
      </c>
      <c r="V20" s="1" t="s">
        <v>99</v>
      </c>
      <c r="W20" s="1" t="str">
        <f>VLOOKUP(Table1[[#This Row],[Obergruppe ATC-Code]],Tabelle3!$A$2:$B$100,2)</f>
        <v>MITTEL BEI SÄURE BEDINGTEN ERKRANKUNGEN</v>
      </c>
      <c r="X20" s="1" t="str">
        <f xml:space="preserve"> LEFT(Table1[[#This Row],[Atc Code]],3)</f>
        <v>A02</v>
      </c>
    </row>
    <row r="21" spans="1:24" ht="14.4">
      <c r="A21" s="14">
        <v>3027</v>
      </c>
      <c r="B21" s="1">
        <v>7258687</v>
      </c>
      <c r="C21" s="1">
        <v>2130558</v>
      </c>
      <c r="D21" s="1" t="s">
        <v>102</v>
      </c>
      <c r="E21" s="36">
        <v>44075</v>
      </c>
      <c r="F21" s="36">
        <v>45291</v>
      </c>
      <c r="G21" s="38">
        <f t="shared" si="0"/>
        <v>1216</v>
      </c>
      <c r="H21" s="5">
        <v>44104</v>
      </c>
      <c r="I21" s="5">
        <v>45120</v>
      </c>
      <c r="J21" s="1" t="s">
        <v>26</v>
      </c>
      <c r="K21" s="1" t="s">
        <v>114</v>
      </c>
      <c r="L21" s="1" t="s">
        <v>89</v>
      </c>
      <c r="M21" s="1" t="s">
        <v>90</v>
      </c>
      <c r="N21" s="1" t="s">
        <v>38</v>
      </c>
      <c r="O21" s="1" t="s">
        <v>110</v>
      </c>
      <c r="P21" s="1" t="s">
        <v>111</v>
      </c>
      <c r="Q21" s="1" t="s">
        <v>112</v>
      </c>
      <c r="R21" s="1" t="s">
        <v>113</v>
      </c>
      <c r="S21" s="1"/>
      <c r="U21" s="1" t="s">
        <v>35</v>
      </c>
      <c r="V21" s="1" t="s">
        <v>99</v>
      </c>
      <c r="W21" s="1" t="str">
        <f>VLOOKUP(Table1[[#This Row],[Obergruppe ATC-Code]],Tabelle3!$A$2:$B$100,2)</f>
        <v>MITTEL BEI SÄURE BEDINGTEN ERKRANKUNGEN</v>
      </c>
      <c r="X21" s="1" t="str">
        <f xml:space="preserve"> LEFT(Table1[[#This Row],[Atc Code]],3)</f>
        <v>A02</v>
      </c>
    </row>
    <row r="22" spans="1:24" ht="14.4">
      <c r="A22" s="14">
        <v>1813</v>
      </c>
      <c r="B22" s="24" t="s">
        <v>115</v>
      </c>
      <c r="C22" s="1">
        <v>2134271</v>
      </c>
      <c r="D22" s="1" t="s">
        <v>102</v>
      </c>
      <c r="E22" s="36">
        <v>43709</v>
      </c>
      <c r="F22" s="36">
        <v>45473</v>
      </c>
      <c r="G22" s="38">
        <f t="shared" si="0"/>
        <v>1764</v>
      </c>
      <c r="H22" s="5">
        <v>43728</v>
      </c>
      <c r="I22" s="5">
        <v>45125</v>
      </c>
      <c r="J22" s="1" t="s">
        <v>26</v>
      </c>
      <c r="K22" s="1" t="s">
        <v>116</v>
      </c>
      <c r="L22" s="1" t="s">
        <v>89</v>
      </c>
      <c r="M22" s="1" t="s">
        <v>90</v>
      </c>
      <c r="N22" s="1" t="s">
        <v>38</v>
      </c>
      <c r="O22" s="1" t="s">
        <v>117</v>
      </c>
      <c r="P22" s="1" t="s">
        <v>104</v>
      </c>
      <c r="Q22" s="1" t="s">
        <v>118</v>
      </c>
      <c r="R22" s="1" t="s">
        <v>26</v>
      </c>
      <c r="S22" s="1"/>
      <c r="U22" s="1" t="s">
        <v>57</v>
      </c>
      <c r="V22" s="1" t="s">
        <v>99</v>
      </c>
      <c r="W22" s="1" t="str">
        <f>VLOOKUP(Table1[[#This Row],[Obergruppe ATC-Code]],Tabelle3!$A$2:$B$100,2)</f>
        <v>MITTEL BEI SÄURE BEDINGTEN ERKRANKUNGEN</v>
      </c>
      <c r="X22" s="1" t="str">
        <f xml:space="preserve"> LEFT(Table1[[#This Row],[Atc Code]],3)</f>
        <v>A02</v>
      </c>
    </row>
    <row r="23" spans="1:24" ht="14.4">
      <c r="A23" s="14">
        <v>165</v>
      </c>
      <c r="B23" s="24">
        <v>1016931</v>
      </c>
      <c r="C23" s="1">
        <v>2134277</v>
      </c>
      <c r="D23" s="1" t="s">
        <v>102</v>
      </c>
      <c r="E23" s="36">
        <v>43709</v>
      </c>
      <c r="F23" s="36">
        <v>45473</v>
      </c>
      <c r="G23" s="38">
        <f t="shared" si="0"/>
        <v>1764</v>
      </c>
      <c r="H23" s="5">
        <v>43728</v>
      </c>
      <c r="I23" s="5">
        <v>45125</v>
      </c>
      <c r="J23" s="1" t="s">
        <v>26</v>
      </c>
      <c r="K23" s="1" t="s">
        <v>119</v>
      </c>
      <c r="L23" s="1" t="s">
        <v>89</v>
      </c>
      <c r="M23" s="1" t="s">
        <v>90</v>
      </c>
      <c r="N23" s="1" t="s">
        <v>30</v>
      </c>
      <c r="O23" s="1" t="s">
        <v>117</v>
      </c>
      <c r="P23" s="1" t="s">
        <v>104</v>
      </c>
      <c r="Q23" s="1" t="s">
        <v>118</v>
      </c>
      <c r="R23" s="1" t="s">
        <v>26</v>
      </c>
      <c r="S23" s="1"/>
      <c r="U23" s="1" t="s">
        <v>57</v>
      </c>
      <c r="V23" s="1" t="s">
        <v>99</v>
      </c>
      <c r="W23" s="1" t="str">
        <f>VLOOKUP(Table1[[#This Row],[Obergruppe ATC-Code]],Tabelle3!$A$2:$B$100,2)</f>
        <v>MITTEL BEI SÄURE BEDINGTEN ERKRANKUNGEN</v>
      </c>
      <c r="X23" s="1" t="str">
        <f xml:space="preserve"> LEFT(Table1[[#This Row],[Atc Code]],3)</f>
        <v>A02</v>
      </c>
    </row>
    <row r="24" spans="1:24" ht="14.4">
      <c r="A24" s="14">
        <v>97</v>
      </c>
      <c r="B24" s="24">
        <v>592704</v>
      </c>
      <c r="C24" s="1">
        <v>2142653</v>
      </c>
      <c r="D24" s="1" t="s">
        <v>25</v>
      </c>
      <c r="E24" s="36">
        <v>43800</v>
      </c>
      <c r="F24" s="36">
        <v>44074</v>
      </c>
      <c r="G24" s="38">
        <f t="shared" si="0"/>
        <v>274</v>
      </c>
      <c r="H24" s="5">
        <v>43803</v>
      </c>
      <c r="I24" s="5">
        <v>44047</v>
      </c>
      <c r="J24" s="1" t="s">
        <v>26</v>
      </c>
      <c r="K24" s="1" t="s">
        <v>120</v>
      </c>
      <c r="L24" s="1" t="s">
        <v>121</v>
      </c>
      <c r="M24" s="1" t="s">
        <v>122</v>
      </c>
      <c r="N24" s="1" t="s">
        <v>30</v>
      </c>
      <c r="O24" s="1" t="s">
        <v>123</v>
      </c>
      <c r="P24" s="1" t="s">
        <v>124</v>
      </c>
      <c r="Q24" s="1" t="s">
        <v>125</v>
      </c>
      <c r="R24" s="1" t="s">
        <v>33</v>
      </c>
      <c r="S24" s="1"/>
      <c r="U24" s="1" t="s">
        <v>35</v>
      </c>
      <c r="V24" s="1" t="s">
        <v>99</v>
      </c>
      <c r="W24" s="1" t="str">
        <f>VLOOKUP(Table1[[#This Row],[Obergruppe ATC-Code]],Tabelle3!$A$2:$B$100,2)</f>
        <v>MITTEL BEI SÄURE BEDINGTEN ERKRANKUNGEN</v>
      </c>
      <c r="X24" s="1" t="str">
        <f xml:space="preserve"> LEFT(Table1[[#This Row],[Atc Code]],3)</f>
        <v>A02</v>
      </c>
    </row>
    <row r="25" spans="1:24" ht="14.4">
      <c r="A25" s="14">
        <v>99</v>
      </c>
      <c r="B25" s="24">
        <v>592733</v>
      </c>
      <c r="C25" s="1">
        <v>2142654</v>
      </c>
      <c r="D25" s="1" t="s">
        <v>25</v>
      </c>
      <c r="E25" s="36">
        <v>43800</v>
      </c>
      <c r="F25" s="36">
        <v>44227</v>
      </c>
      <c r="G25" s="38">
        <f t="shared" si="0"/>
        <v>427</v>
      </c>
      <c r="H25" s="5">
        <v>43803</v>
      </c>
      <c r="I25" s="5">
        <v>44200</v>
      </c>
      <c r="J25" s="1" t="s">
        <v>26</v>
      </c>
      <c r="K25" s="1" t="s">
        <v>126</v>
      </c>
      <c r="L25" s="1" t="s">
        <v>121</v>
      </c>
      <c r="M25" s="1" t="s">
        <v>122</v>
      </c>
      <c r="N25" s="1" t="s">
        <v>30</v>
      </c>
      <c r="O25" s="1" t="s">
        <v>123</v>
      </c>
      <c r="P25" s="1" t="s">
        <v>124</v>
      </c>
      <c r="Q25" s="1" t="s">
        <v>125</v>
      </c>
      <c r="R25" s="1" t="s">
        <v>33</v>
      </c>
      <c r="S25" s="1"/>
      <c r="U25" s="1" t="s">
        <v>35</v>
      </c>
      <c r="V25" s="1" t="s">
        <v>99</v>
      </c>
      <c r="W25" s="1" t="str">
        <f>VLOOKUP(Table1[[#This Row],[Obergruppe ATC-Code]],Tabelle3!$A$2:$B$100,2)</f>
        <v>MITTEL BEI SÄURE BEDINGTEN ERKRANKUNGEN</v>
      </c>
      <c r="X25" s="1" t="str">
        <f xml:space="preserve"> LEFT(Table1[[#This Row],[Atc Code]],3)</f>
        <v>A02</v>
      </c>
    </row>
    <row r="26" spans="1:24" ht="14.4">
      <c r="A26" s="14">
        <v>100</v>
      </c>
      <c r="B26" s="24">
        <v>592733</v>
      </c>
      <c r="C26" s="1">
        <v>2142654</v>
      </c>
      <c r="D26" s="1" t="s">
        <v>25</v>
      </c>
      <c r="E26" s="36">
        <v>44774</v>
      </c>
      <c r="F26" s="36">
        <v>45014</v>
      </c>
      <c r="G26" s="38">
        <f t="shared" si="0"/>
        <v>240</v>
      </c>
      <c r="H26" s="5">
        <v>44937</v>
      </c>
      <c r="I26" s="5">
        <v>45020</v>
      </c>
      <c r="J26" s="1" t="s">
        <v>41</v>
      </c>
      <c r="K26" s="1" t="s">
        <v>126</v>
      </c>
      <c r="L26" s="1" t="s">
        <v>121</v>
      </c>
      <c r="M26" s="1" t="s">
        <v>122</v>
      </c>
      <c r="N26" s="1" t="s">
        <v>38</v>
      </c>
      <c r="O26" s="1" t="s">
        <v>123</v>
      </c>
      <c r="Q26" s="1" t="s">
        <v>127</v>
      </c>
      <c r="R26" s="1" t="s">
        <v>128</v>
      </c>
      <c r="S26" s="1" t="s">
        <v>129</v>
      </c>
      <c r="U26" s="1" t="s">
        <v>130</v>
      </c>
      <c r="V26" s="1" t="s">
        <v>99</v>
      </c>
      <c r="W26" s="1" t="str">
        <f>VLOOKUP(Table1[[#This Row],[Obergruppe ATC-Code]],Tabelle3!$A$2:$B$100,2)</f>
        <v>MITTEL BEI SÄURE BEDINGTEN ERKRANKUNGEN</v>
      </c>
      <c r="X26" s="1" t="str">
        <f xml:space="preserve"> LEFT(Table1[[#This Row],[Atc Code]],3)</f>
        <v>A02</v>
      </c>
    </row>
    <row r="27" spans="1:24" ht="14.4">
      <c r="A27" s="14">
        <v>98</v>
      </c>
      <c r="B27" s="24">
        <v>592704</v>
      </c>
      <c r="C27" s="1">
        <v>2142653</v>
      </c>
      <c r="D27" s="1" t="s">
        <v>25</v>
      </c>
      <c r="E27" s="36">
        <v>44866</v>
      </c>
      <c r="F27" s="36">
        <v>45054</v>
      </c>
      <c r="G27" s="38">
        <f t="shared" si="0"/>
        <v>188</v>
      </c>
      <c r="H27" s="5">
        <v>44937</v>
      </c>
      <c r="I27" s="5">
        <v>45077</v>
      </c>
      <c r="J27" s="1" t="s">
        <v>41</v>
      </c>
      <c r="K27" s="1" t="s">
        <v>120</v>
      </c>
      <c r="L27" s="1" t="s">
        <v>121</v>
      </c>
      <c r="M27" s="1" t="s">
        <v>122</v>
      </c>
      <c r="N27" s="1" t="s">
        <v>38</v>
      </c>
      <c r="O27" s="1" t="s">
        <v>123</v>
      </c>
      <c r="Q27" s="1" t="s">
        <v>127</v>
      </c>
      <c r="R27" s="1" t="s">
        <v>128</v>
      </c>
      <c r="S27" s="1" t="s">
        <v>131</v>
      </c>
      <c r="U27" s="1" t="s">
        <v>130</v>
      </c>
      <c r="V27" s="1" t="s">
        <v>99</v>
      </c>
      <c r="W27" s="1" t="str">
        <f>VLOOKUP(Table1[[#This Row],[Obergruppe ATC-Code]],Tabelle3!$A$2:$B$100,2)</f>
        <v>MITTEL BEI SÄURE BEDINGTEN ERKRANKUNGEN</v>
      </c>
      <c r="X27" s="1" t="str">
        <f xml:space="preserve"> LEFT(Table1[[#This Row],[Atc Code]],3)</f>
        <v>A02</v>
      </c>
    </row>
    <row r="28" spans="1:24" ht="14.4">
      <c r="A28" s="14">
        <v>1744</v>
      </c>
      <c r="B28" s="24" t="s">
        <v>132</v>
      </c>
      <c r="C28" s="1">
        <v>2141619</v>
      </c>
      <c r="D28" s="1" t="s">
        <v>25</v>
      </c>
      <c r="E28" s="36">
        <v>44683</v>
      </c>
      <c r="F28" s="36">
        <v>45107</v>
      </c>
      <c r="G28" s="38">
        <f t="shared" si="0"/>
        <v>424</v>
      </c>
      <c r="H28" s="5">
        <v>44945</v>
      </c>
      <c r="I28" s="5">
        <v>45125</v>
      </c>
      <c r="J28" s="1" t="s">
        <v>26</v>
      </c>
      <c r="K28" s="1" t="s">
        <v>133</v>
      </c>
      <c r="L28" s="1" t="s">
        <v>121</v>
      </c>
      <c r="M28" s="1" t="s">
        <v>122</v>
      </c>
      <c r="N28" s="1" t="s">
        <v>30</v>
      </c>
      <c r="O28" s="1" t="s">
        <v>45</v>
      </c>
      <c r="Q28" s="1" t="s">
        <v>118</v>
      </c>
      <c r="R28" s="1" t="s">
        <v>26</v>
      </c>
      <c r="S28" s="1"/>
      <c r="U28" s="1" t="s">
        <v>130</v>
      </c>
      <c r="V28" s="1" t="s">
        <v>99</v>
      </c>
      <c r="W28" s="1" t="str">
        <f>VLOOKUP(Table1[[#This Row],[Obergruppe ATC-Code]],Tabelle3!$A$2:$B$100,2)</f>
        <v>MITTEL BEI SÄURE BEDINGTEN ERKRANKUNGEN</v>
      </c>
      <c r="X28" s="1" t="str">
        <f xml:space="preserve"> LEFT(Table1[[#This Row],[Atc Code]],3)</f>
        <v>A02</v>
      </c>
    </row>
    <row r="29" spans="1:24" ht="14.4">
      <c r="A29" s="14">
        <v>1743</v>
      </c>
      <c r="B29" s="24" t="s">
        <v>134</v>
      </c>
      <c r="C29" s="1">
        <v>2141599</v>
      </c>
      <c r="D29" s="1" t="s">
        <v>25</v>
      </c>
      <c r="E29" s="36">
        <v>44683</v>
      </c>
      <c r="F29" s="36">
        <v>45107</v>
      </c>
      <c r="G29" s="38">
        <f t="shared" si="0"/>
        <v>424</v>
      </c>
      <c r="H29" s="5">
        <v>44945</v>
      </c>
      <c r="I29" s="5">
        <v>45125</v>
      </c>
      <c r="J29" s="1" t="s">
        <v>26</v>
      </c>
      <c r="K29" s="1" t="s">
        <v>135</v>
      </c>
      <c r="L29" s="1" t="s">
        <v>121</v>
      </c>
      <c r="M29" s="1" t="s">
        <v>122</v>
      </c>
      <c r="N29" s="1" t="s">
        <v>30</v>
      </c>
      <c r="O29" s="1" t="s">
        <v>45</v>
      </c>
      <c r="Q29" s="1" t="s">
        <v>118</v>
      </c>
      <c r="R29" s="1" t="s">
        <v>26</v>
      </c>
      <c r="S29" s="1"/>
      <c r="U29" s="1" t="s">
        <v>130</v>
      </c>
      <c r="V29" s="1" t="s">
        <v>99</v>
      </c>
      <c r="W29" s="1" t="str">
        <f>VLOOKUP(Table1[[#This Row],[Obergruppe ATC-Code]],Tabelle3!$A$2:$B$100,2)</f>
        <v>MITTEL BEI SÄURE BEDINGTEN ERKRANKUNGEN</v>
      </c>
      <c r="X29" s="1" t="str">
        <f xml:space="preserve"> LEFT(Table1[[#This Row],[Atc Code]],3)</f>
        <v>A02</v>
      </c>
    </row>
    <row r="30" spans="1:24" ht="14.4">
      <c r="A30" s="14">
        <v>1944</v>
      </c>
      <c r="B30" s="24" t="s">
        <v>136</v>
      </c>
      <c r="C30" s="1">
        <v>2168099</v>
      </c>
      <c r="D30" s="1" t="s">
        <v>25</v>
      </c>
      <c r="E30" s="36">
        <v>44967</v>
      </c>
      <c r="F30" s="36">
        <v>45070</v>
      </c>
      <c r="G30" s="38">
        <f t="shared" si="0"/>
        <v>103</v>
      </c>
      <c r="H30" s="5">
        <v>44967</v>
      </c>
      <c r="I30" s="5">
        <v>45072</v>
      </c>
      <c r="J30" s="1" t="s">
        <v>26</v>
      </c>
      <c r="K30" s="1" t="s">
        <v>137</v>
      </c>
      <c r="L30" s="1" t="s">
        <v>138</v>
      </c>
      <c r="M30" s="1" t="s">
        <v>139</v>
      </c>
      <c r="N30" s="1" t="s">
        <v>38</v>
      </c>
      <c r="O30" s="1" t="s">
        <v>140</v>
      </c>
      <c r="Q30" s="1" t="s">
        <v>141</v>
      </c>
      <c r="R30" s="1" t="s">
        <v>142</v>
      </c>
      <c r="S30" s="1"/>
      <c r="U30" s="1" t="s">
        <v>130</v>
      </c>
      <c r="V30" s="1" t="s">
        <v>143</v>
      </c>
      <c r="W30" s="1" t="str">
        <f>VLOOKUP(Table1[[#This Row],[Obergruppe ATC-Code]],Tabelle3!$A$2:$B$100,2)</f>
        <v>MITTEL BEI SÄURE BEDINGTEN ERKRANKUNGEN</v>
      </c>
      <c r="X30" s="1" t="str">
        <f xml:space="preserve"> LEFT(Table1[[#This Row],[Atc Code]],3)</f>
        <v>A02</v>
      </c>
    </row>
    <row r="31" spans="1:24" ht="14.4">
      <c r="A31" s="14">
        <v>1945</v>
      </c>
      <c r="B31" s="24" t="s">
        <v>144</v>
      </c>
      <c r="C31" s="1">
        <v>2168100</v>
      </c>
      <c r="D31" s="1" t="s">
        <v>25</v>
      </c>
      <c r="E31" s="36">
        <v>44967</v>
      </c>
      <c r="F31" s="36">
        <v>45091</v>
      </c>
      <c r="G31" s="38">
        <f t="shared" si="0"/>
        <v>124</v>
      </c>
      <c r="H31" s="5">
        <v>44967</v>
      </c>
      <c r="I31" s="5">
        <v>45091</v>
      </c>
      <c r="J31" s="1" t="s">
        <v>26</v>
      </c>
      <c r="K31" s="1" t="s">
        <v>145</v>
      </c>
      <c r="L31" s="1" t="s">
        <v>138</v>
      </c>
      <c r="M31" s="1" t="s">
        <v>139</v>
      </c>
      <c r="N31" s="1" t="s">
        <v>38</v>
      </c>
      <c r="O31" s="1" t="s">
        <v>140</v>
      </c>
      <c r="Q31" s="1" t="s">
        <v>141</v>
      </c>
      <c r="R31" s="1" t="s">
        <v>142</v>
      </c>
      <c r="S31" s="1"/>
      <c r="U31" s="1" t="s">
        <v>130</v>
      </c>
      <c r="V31" s="1" t="s">
        <v>143</v>
      </c>
      <c r="W31" s="1" t="str">
        <f>VLOOKUP(Table1[[#This Row],[Obergruppe ATC-Code]],Tabelle3!$A$2:$B$100,2)</f>
        <v>MITTEL BEI SÄURE BEDINGTEN ERKRANKUNGEN</v>
      </c>
      <c r="X31" s="1" t="str">
        <f xml:space="preserve"> LEFT(Table1[[#This Row],[Atc Code]],3)</f>
        <v>A02</v>
      </c>
    </row>
    <row r="32" spans="1:24" ht="14.4">
      <c r="A32" s="14">
        <v>1987</v>
      </c>
      <c r="B32" s="24" t="s">
        <v>146</v>
      </c>
      <c r="C32" s="1">
        <v>2158277</v>
      </c>
      <c r="D32" s="1" t="s">
        <v>25</v>
      </c>
      <c r="E32" s="36">
        <v>43800</v>
      </c>
      <c r="F32" s="36">
        <v>43861</v>
      </c>
      <c r="G32" s="38">
        <f t="shared" si="0"/>
        <v>61</v>
      </c>
      <c r="H32" s="5">
        <v>43770</v>
      </c>
      <c r="I32" s="5">
        <v>43819</v>
      </c>
      <c r="J32" s="1" t="s">
        <v>26</v>
      </c>
      <c r="K32" s="1" t="s">
        <v>147</v>
      </c>
      <c r="L32" s="1" t="s">
        <v>148</v>
      </c>
      <c r="M32" s="1" t="s">
        <v>149</v>
      </c>
      <c r="N32" s="1" t="s">
        <v>30</v>
      </c>
      <c r="O32" s="1" t="s">
        <v>150</v>
      </c>
      <c r="P32" s="1" t="s">
        <v>151</v>
      </c>
      <c r="Q32" s="1" t="s">
        <v>152</v>
      </c>
      <c r="R32" s="1" t="s">
        <v>33</v>
      </c>
      <c r="S32" s="1"/>
      <c r="T32" s="1" t="s">
        <v>153</v>
      </c>
      <c r="U32" s="1" t="s">
        <v>35</v>
      </c>
      <c r="V32" s="1" t="s">
        <v>154</v>
      </c>
      <c r="W32" s="1" t="str">
        <f>VLOOKUP(Table1[[#This Row],[Obergruppe ATC-Code]],Tabelle3!$A$2:$B$100,2)</f>
        <v>MITTEL BEI SÄURE BEDINGTEN ERKRANKUNGEN</v>
      </c>
      <c r="X32" s="1" t="str">
        <f xml:space="preserve"> LEFT(Table1[[#This Row],[Atc Code]],3)</f>
        <v>A02</v>
      </c>
    </row>
    <row r="33" spans="1:24" ht="14.4">
      <c r="A33" s="14">
        <v>2843</v>
      </c>
      <c r="B33" s="24" t="s">
        <v>155</v>
      </c>
      <c r="C33" s="1">
        <v>2200519</v>
      </c>
      <c r="D33" s="1" t="s">
        <v>25</v>
      </c>
      <c r="E33" s="36">
        <v>43891</v>
      </c>
      <c r="F33" s="36">
        <v>44165</v>
      </c>
      <c r="G33" s="38">
        <f t="shared" si="0"/>
        <v>274</v>
      </c>
      <c r="H33" s="5">
        <v>43957</v>
      </c>
      <c r="I33" s="5">
        <v>44194</v>
      </c>
      <c r="J33" s="1" t="s">
        <v>41</v>
      </c>
      <c r="K33" s="1" t="s">
        <v>156</v>
      </c>
      <c r="L33" s="1" t="s">
        <v>148</v>
      </c>
      <c r="M33" s="1" t="s">
        <v>157</v>
      </c>
      <c r="N33" s="1" t="s">
        <v>30</v>
      </c>
      <c r="O33" s="1" t="s">
        <v>97</v>
      </c>
      <c r="P33" s="1">
        <v>214403990</v>
      </c>
      <c r="Q33" s="1" t="s">
        <v>98</v>
      </c>
      <c r="R33" s="1" t="s">
        <v>26</v>
      </c>
      <c r="S33" s="1"/>
      <c r="U33" s="1" t="s">
        <v>35</v>
      </c>
      <c r="V33" s="1" t="s">
        <v>158</v>
      </c>
      <c r="W33" s="1" t="str">
        <f>VLOOKUP(Table1[[#This Row],[Obergruppe ATC-Code]],Tabelle3!$A$2:$B$100,2)</f>
        <v>MITTEL BEI SÄURE BEDINGTEN ERKRANKUNGEN</v>
      </c>
      <c r="X33" s="1" t="str">
        <f xml:space="preserve"> LEFT(Table1[[#This Row],[Atc Code]],3)</f>
        <v>A02</v>
      </c>
    </row>
    <row r="34" spans="1:24" ht="14.4">
      <c r="A34" s="14">
        <v>2842</v>
      </c>
      <c r="B34" s="24" t="s">
        <v>159</v>
      </c>
      <c r="C34" s="1">
        <v>2200518</v>
      </c>
      <c r="D34" s="1" t="s">
        <v>25</v>
      </c>
      <c r="E34" s="36">
        <v>43891</v>
      </c>
      <c r="F34" s="36">
        <v>44165</v>
      </c>
      <c r="G34" s="38">
        <f t="shared" si="0"/>
        <v>274</v>
      </c>
      <c r="H34" s="5">
        <v>43957</v>
      </c>
      <c r="I34" s="5">
        <v>44194</v>
      </c>
      <c r="J34" s="1" t="s">
        <v>41</v>
      </c>
      <c r="K34" s="1" t="s">
        <v>160</v>
      </c>
      <c r="L34" s="1" t="s">
        <v>148</v>
      </c>
      <c r="M34" s="1" t="s">
        <v>157</v>
      </c>
      <c r="N34" s="1" t="s">
        <v>30</v>
      </c>
      <c r="O34" s="1" t="s">
        <v>97</v>
      </c>
      <c r="P34" s="1">
        <v>214403990</v>
      </c>
      <c r="Q34" s="1" t="s">
        <v>98</v>
      </c>
      <c r="R34" s="1" t="s">
        <v>26</v>
      </c>
      <c r="S34" s="1"/>
      <c r="U34" s="1" t="s">
        <v>35</v>
      </c>
      <c r="V34" s="1" t="s">
        <v>158</v>
      </c>
      <c r="W34" s="1" t="str">
        <f>VLOOKUP(Table1[[#This Row],[Obergruppe ATC-Code]],Tabelle3!$A$2:$B$100,2)</f>
        <v>MITTEL BEI SÄURE BEDINGTEN ERKRANKUNGEN</v>
      </c>
      <c r="X34" s="1" t="str">
        <f xml:space="preserve"> LEFT(Table1[[#This Row],[Atc Code]],3)</f>
        <v>A02</v>
      </c>
    </row>
    <row r="35" spans="1:24" ht="14.4">
      <c r="A35" s="14">
        <v>3031</v>
      </c>
      <c r="B35" s="1">
        <v>11068633</v>
      </c>
      <c r="C35" s="1">
        <v>2191507</v>
      </c>
      <c r="D35" s="1" t="s">
        <v>102</v>
      </c>
      <c r="E35" s="36">
        <v>43831</v>
      </c>
      <c r="F35" s="36">
        <v>44742</v>
      </c>
      <c r="G35" s="38">
        <f t="shared" si="0"/>
        <v>911</v>
      </c>
      <c r="H35" s="5">
        <v>43951</v>
      </c>
      <c r="I35" s="5">
        <v>44959</v>
      </c>
      <c r="J35" s="1" t="s">
        <v>41</v>
      </c>
      <c r="K35" s="1" t="s">
        <v>161</v>
      </c>
      <c r="L35" s="1" t="s">
        <v>148</v>
      </c>
      <c r="M35" s="1" t="s">
        <v>149</v>
      </c>
      <c r="N35" s="1" t="s">
        <v>30</v>
      </c>
      <c r="O35" s="1" t="s">
        <v>162</v>
      </c>
      <c r="P35" s="1" t="s">
        <v>163</v>
      </c>
      <c r="Q35" s="1" t="s">
        <v>164</v>
      </c>
      <c r="R35" s="1" t="s">
        <v>165</v>
      </c>
      <c r="S35" s="1" t="s">
        <v>166</v>
      </c>
      <c r="U35" s="1" t="s">
        <v>35</v>
      </c>
      <c r="V35" s="1" t="s">
        <v>167</v>
      </c>
      <c r="W35" s="1" t="str">
        <f>VLOOKUP(Table1[[#This Row],[Obergruppe ATC-Code]],Tabelle3!$A$2:$B$100,2)</f>
        <v>MITTEL BEI SÄURE BEDINGTEN ERKRANKUNGEN</v>
      </c>
      <c r="X35" s="1" t="str">
        <f xml:space="preserve"> LEFT(Table1[[#This Row],[Atc Code]],3)</f>
        <v>A02</v>
      </c>
    </row>
    <row r="36" spans="1:24" ht="14.4">
      <c r="A36" s="14">
        <v>1141</v>
      </c>
      <c r="B36" s="24">
        <v>9705624</v>
      </c>
      <c r="C36" s="1">
        <v>2178257</v>
      </c>
      <c r="D36" s="1" t="s">
        <v>25</v>
      </c>
      <c r="E36" s="36">
        <v>43891</v>
      </c>
      <c r="F36" s="36">
        <v>44012</v>
      </c>
      <c r="G36" s="38">
        <f t="shared" si="0"/>
        <v>121</v>
      </c>
      <c r="H36" s="5">
        <v>43936</v>
      </c>
      <c r="I36" s="5">
        <v>43991</v>
      </c>
      <c r="J36" s="1" t="s">
        <v>41</v>
      </c>
      <c r="K36" s="1" t="s">
        <v>168</v>
      </c>
      <c r="L36" s="1" t="s">
        <v>169</v>
      </c>
      <c r="M36" s="1" t="s">
        <v>170</v>
      </c>
      <c r="N36" s="1" t="s">
        <v>38</v>
      </c>
      <c r="O36" s="1" t="s">
        <v>171</v>
      </c>
      <c r="P36" s="1" t="s">
        <v>172</v>
      </c>
      <c r="Q36" s="1" t="s">
        <v>173</v>
      </c>
      <c r="R36" s="1" t="s">
        <v>26</v>
      </c>
      <c r="S36" s="1"/>
      <c r="U36" s="1" t="s">
        <v>35</v>
      </c>
      <c r="V36" s="1" t="s">
        <v>174</v>
      </c>
      <c r="W36" s="1" t="str">
        <f>VLOOKUP(Table1[[#This Row],[Obergruppe ATC-Code]],Tabelle3!$A$2:$B$100,2)</f>
        <v>MITTEL BEI SÄURE BEDINGTEN ERKRANKUNGEN</v>
      </c>
      <c r="X36" s="1" t="str">
        <f xml:space="preserve"> LEFT(Table1[[#This Row],[Atc Code]],3)</f>
        <v>A02</v>
      </c>
    </row>
    <row r="37" spans="1:24" ht="14.4">
      <c r="A37" s="14">
        <v>1142</v>
      </c>
      <c r="B37" s="24">
        <v>9705624</v>
      </c>
      <c r="C37" s="1">
        <v>2178257</v>
      </c>
      <c r="D37" s="1" t="s">
        <v>175</v>
      </c>
      <c r="E37" s="36">
        <v>45188</v>
      </c>
      <c r="F37" s="36">
        <v>45230</v>
      </c>
      <c r="G37" s="38">
        <f t="shared" si="0"/>
        <v>42</v>
      </c>
      <c r="H37" s="5">
        <v>45191</v>
      </c>
      <c r="I37" s="5">
        <v>45191</v>
      </c>
      <c r="J37" s="1" t="s">
        <v>26</v>
      </c>
      <c r="K37" s="1" t="s">
        <v>168</v>
      </c>
      <c r="L37" s="1" t="s">
        <v>169</v>
      </c>
      <c r="M37" s="1" t="s">
        <v>176</v>
      </c>
      <c r="N37" s="1" t="s">
        <v>30</v>
      </c>
      <c r="O37" s="1" t="s">
        <v>177</v>
      </c>
      <c r="P37" s="1" t="s">
        <v>178</v>
      </c>
      <c r="Q37" s="1" t="s">
        <v>179</v>
      </c>
      <c r="R37" s="1" t="s">
        <v>113</v>
      </c>
      <c r="S37" s="1"/>
      <c r="U37" s="1" t="s">
        <v>35</v>
      </c>
      <c r="V37" s="1" t="s">
        <v>174</v>
      </c>
      <c r="W37" s="1" t="str">
        <f>VLOOKUP(Table1[[#This Row],[Obergruppe ATC-Code]],Tabelle3!$A$2:$B$100,2)</f>
        <v>MITTEL BEI SÄURE BEDINGTEN ERKRANKUNGEN</v>
      </c>
      <c r="X37" s="1" t="str">
        <f xml:space="preserve"> LEFT(Table1[[#This Row],[Atc Code]],3)</f>
        <v>A02</v>
      </c>
    </row>
    <row r="38" spans="1:24" ht="14.4">
      <c r="A38" s="14">
        <v>1925</v>
      </c>
      <c r="B38" s="24" t="s">
        <v>180</v>
      </c>
      <c r="C38" s="1">
        <v>739722</v>
      </c>
      <c r="D38" s="1" t="s">
        <v>25</v>
      </c>
      <c r="E38" s="36">
        <v>45000</v>
      </c>
      <c r="F38" s="36">
        <v>45147</v>
      </c>
      <c r="G38" s="38">
        <f t="shared" si="0"/>
        <v>147</v>
      </c>
      <c r="H38" s="5">
        <v>45127</v>
      </c>
      <c r="I38" s="5">
        <v>45147</v>
      </c>
      <c r="J38" s="1" t="s">
        <v>26</v>
      </c>
      <c r="K38" s="1" t="s">
        <v>181</v>
      </c>
      <c r="L38" s="1" t="s">
        <v>182</v>
      </c>
      <c r="M38" s="1" t="s">
        <v>183</v>
      </c>
      <c r="N38" s="1" t="s">
        <v>30</v>
      </c>
      <c r="O38" s="1" t="s">
        <v>184</v>
      </c>
      <c r="Q38" s="1" t="s">
        <v>185</v>
      </c>
      <c r="R38" s="1" t="s">
        <v>26</v>
      </c>
      <c r="S38" s="1" t="s">
        <v>186</v>
      </c>
      <c r="U38" s="1" t="s">
        <v>35</v>
      </c>
      <c r="V38" s="1" t="s">
        <v>74</v>
      </c>
      <c r="W38" s="1" t="str">
        <f>VLOOKUP(Table1[[#This Row],[Obergruppe ATC-Code]],Tabelle3!$A$2:$B$100,2)</f>
        <v>MITTEL BEI FUNKTIONELLEN GASTROINTESTINALEN STÖRUNGEN</v>
      </c>
      <c r="X38" s="1" t="str">
        <f xml:space="preserve"> LEFT(Table1[[#This Row],[Atc Code]],3)</f>
        <v>A03</v>
      </c>
    </row>
    <row r="39" spans="1:24" ht="14.4">
      <c r="A39" s="14">
        <v>19</v>
      </c>
      <c r="B39" s="24">
        <v>85829</v>
      </c>
      <c r="C39" s="1">
        <v>5010629</v>
      </c>
      <c r="D39" s="1" t="s">
        <v>25</v>
      </c>
      <c r="E39" s="36">
        <v>44365</v>
      </c>
      <c r="F39" s="36">
        <v>44418</v>
      </c>
      <c r="G39" s="38">
        <f t="shared" si="0"/>
        <v>53</v>
      </c>
      <c r="H39" s="5">
        <v>44365</v>
      </c>
      <c r="I39" s="5">
        <v>44418</v>
      </c>
      <c r="J39" s="1" t="s">
        <v>26</v>
      </c>
      <c r="K39" s="1" t="s">
        <v>187</v>
      </c>
      <c r="L39" s="1" t="s">
        <v>188</v>
      </c>
      <c r="M39" s="1" t="s">
        <v>189</v>
      </c>
      <c r="N39" s="1" t="s">
        <v>30</v>
      </c>
      <c r="O39" s="1" t="s">
        <v>190</v>
      </c>
      <c r="P39" s="1" t="s">
        <v>191</v>
      </c>
      <c r="Q39" s="1" t="s">
        <v>192</v>
      </c>
      <c r="R39" s="1" t="s">
        <v>113</v>
      </c>
      <c r="S39" s="1" t="s">
        <v>193</v>
      </c>
      <c r="U39" s="1" t="s">
        <v>130</v>
      </c>
      <c r="V39" s="1" t="s">
        <v>74</v>
      </c>
      <c r="W39" s="1" t="str">
        <f>VLOOKUP(Table1[[#This Row],[Obergruppe ATC-Code]],Tabelle3!$A$2:$B$100,2)</f>
        <v>MITTEL BEI FUNKTIONELLEN GASTROINTESTINALEN STÖRUNGEN</v>
      </c>
      <c r="X39" s="1" t="str">
        <f xml:space="preserve"> LEFT(Table1[[#This Row],[Atc Code]],3)</f>
        <v>A03</v>
      </c>
    </row>
    <row r="40" spans="1:24" ht="14.4">
      <c r="A40" s="14">
        <v>2576</v>
      </c>
      <c r="B40" s="24" t="s">
        <v>194</v>
      </c>
      <c r="C40" s="1">
        <v>2110156</v>
      </c>
      <c r="D40" s="1" t="s">
        <v>25</v>
      </c>
      <c r="E40" s="36">
        <v>43831</v>
      </c>
      <c r="F40" s="36">
        <v>44743</v>
      </c>
      <c r="G40" s="38">
        <f t="shared" si="0"/>
        <v>912</v>
      </c>
      <c r="H40" s="5">
        <v>43894</v>
      </c>
      <c r="I40" s="5">
        <v>44798</v>
      </c>
      <c r="J40" s="1" t="s">
        <v>26</v>
      </c>
      <c r="K40" s="1" t="s">
        <v>195</v>
      </c>
      <c r="L40" s="1" t="s">
        <v>196</v>
      </c>
      <c r="M40" s="1" t="s">
        <v>197</v>
      </c>
      <c r="N40" s="1" t="s">
        <v>30</v>
      </c>
      <c r="O40" s="1" t="s">
        <v>110</v>
      </c>
      <c r="P40" s="1" t="s">
        <v>111</v>
      </c>
      <c r="Q40" s="1" t="s">
        <v>112</v>
      </c>
      <c r="R40" s="1" t="s">
        <v>113</v>
      </c>
      <c r="S40" s="1" t="s">
        <v>198</v>
      </c>
      <c r="U40" s="1" t="s">
        <v>35</v>
      </c>
      <c r="V40" s="1" t="s">
        <v>199</v>
      </c>
      <c r="W40" s="1" t="str">
        <f>VLOOKUP(Table1[[#This Row],[Obergruppe ATC-Code]],Tabelle3!$A$2:$B$100,2)</f>
        <v>MITTEL BEI FUNKTIONELLEN GASTROINTESTINALEN STÖRUNGEN</v>
      </c>
      <c r="X40" s="1" t="str">
        <f xml:space="preserve"> LEFT(Table1[[#This Row],[Atc Code]],3)</f>
        <v>A03</v>
      </c>
    </row>
    <row r="41" spans="1:24" ht="14.4">
      <c r="A41" s="14">
        <v>998</v>
      </c>
      <c r="B41" s="24">
        <v>8641862</v>
      </c>
      <c r="C41" s="1">
        <v>2111303</v>
      </c>
      <c r="D41" s="1" t="s">
        <v>175</v>
      </c>
      <c r="E41" s="36">
        <v>45132</v>
      </c>
      <c r="F41" s="36">
        <v>45219</v>
      </c>
      <c r="G41" s="38">
        <f t="shared" si="0"/>
        <v>87</v>
      </c>
      <c r="H41" s="5">
        <v>45142</v>
      </c>
      <c r="I41" s="5">
        <v>45142</v>
      </c>
      <c r="J41" s="1" t="s">
        <v>26</v>
      </c>
      <c r="K41" s="1" t="s">
        <v>200</v>
      </c>
      <c r="L41" s="1" t="s">
        <v>196</v>
      </c>
      <c r="M41" s="1" t="s">
        <v>197</v>
      </c>
      <c r="N41" s="1" t="s">
        <v>38</v>
      </c>
      <c r="O41" s="1" t="s">
        <v>123</v>
      </c>
      <c r="Q41" s="1" t="s">
        <v>201</v>
      </c>
      <c r="R41" s="1" t="s">
        <v>113</v>
      </c>
      <c r="S41" s="1"/>
      <c r="U41" s="1" t="s">
        <v>130</v>
      </c>
      <c r="V41" s="1" t="s">
        <v>49</v>
      </c>
      <c r="W41" s="1" t="str">
        <f>VLOOKUP(Table1[[#This Row],[Obergruppe ATC-Code]],Tabelle3!$A$2:$B$100,2)</f>
        <v>MITTEL BEI FUNKTIONELLEN GASTROINTESTINALEN STÖRUNGEN</v>
      </c>
      <c r="X41" s="1" t="str">
        <f xml:space="preserve"> LEFT(Table1[[#This Row],[Atc Code]],3)</f>
        <v>A03</v>
      </c>
    </row>
    <row r="42" spans="1:24" ht="14.4">
      <c r="A42" s="14">
        <v>2330</v>
      </c>
      <c r="B42" s="47" t="s">
        <v>202</v>
      </c>
      <c r="C42" s="1">
        <v>2107552</v>
      </c>
      <c r="D42" s="1" t="s">
        <v>102</v>
      </c>
      <c r="E42" s="36">
        <v>44991</v>
      </c>
      <c r="F42" s="36">
        <v>45271</v>
      </c>
      <c r="G42" s="38">
        <f t="shared" si="0"/>
        <v>280</v>
      </c>
      <c r="H42" s="5">
        <v>45071</v>
      </c>
      <c r="I42" s="5">
        <v>45200</v>
      </c>
      <c r="J42" s="1" t="s">
        <v>26</v>
      </c>
      <c r="K42" s="1" t="s">
        <v>203</v>
      </c>
      <c r="L42" s="1" t="s">
        <v>196</v>
      </c>
      <c r="M42" s="1" t="s">
        <v>197</v>
      </c>
      <c r="N42" s="1" t="s">
        <v>38</v>
      </c>
      <c r="O42" s="1" t="s">
        <v>91</v>
      </c>
      <c r="Q42" s="1" t="s">
        <v>93</v>
      </c>
      <c r="R42" s="1" t="s">
        <v>26</v>
      </c>
      <c r="S42" s="1"/>
      <c r="U42" s="1" t="s">
        <v>130</v>
      </c>
      <c r="V42" s="1" t="s">
        <v>49</v>
      </c>
      <c r="W42" s="1" t="str">
        <f>VLOOKUP(Table1[[#This Row],[Obergruppe ATC-Code]],Tabelle3!$A$2:$B$100,2)</f>
        <v>MITTEL BEI FUNKTIONELLEN GASTROINTESTINALEN STÖRUNGEN</v>
      </c>
      <c r="X42" s="1" t="str">
        <f xml:space="preserve"> LEFT(Table1[[#This Row],[Atc Code]],3)</f>
        <v>A03</v>
      </c>
    </row>
    <row r="43" spans="1:24" ht="14.4">
      <c r="A43" s="14">
        <v>393</v>
      </c>
      <c r="B43" s="47">
        <v>2258406</v>
      </c>
      <c r="C43" s="1">
        <v>2100694</v>
      </c>
      <c r="D43" s="1" t="s">
        <v>25</v>
      </c>
      <c r="E43" s="36">
        <v>44256</v>
      </c>
      <c r="F43" s="36">
        <v>44400</v>
      </c>
      <c r="G43" s="38">
        <f t="shared" si="0"/>
        <v>144</v>
      </c>
      <c r="H43" s="5">
        <v>44284</v>
      </c>
      <c r="I43" s="5">
        <v>44400</v>
      </c>
      <c r="K43" s="1" t="s">
        <v>204</v>
      </c>
      <c r="L43" s="1" t="s">
        <v>205</v>
      </c>
      <c r="M43" s="1" t="s">
        <v>206</v>
      </c>
      <c r="N43" s="1" t="s">
        <v>30</v>
      </c>
      <c r="O43" s="1" t="s">
        <v>62</v>
      </c>
      <c r="P43" s="1" t="s">
        <v>64</v>
      </c>
      <c r="Q43" s="1" t="s">
        <v>63</v>
      </c>
      <c r="S43" s="1"/>
      <c r="U43" s="1" t="s">
        <v>35</v>
      </c>
      <c r="V43" s="1" t="s">
        <v>74</v>
      </c>
      <c r="W43" s="1" t="str">
        <f>VLOOKUP(Table1[[#This Row],[Obergruppe ATC-Code]],Tabelle3!$A$2:$B$100,2)</f>
        <v>MITTEL BEI FUNKTIONELLEN GASTROINTESTINALEN STÖRUNGEN</v>
      </c>
      <c r="X43" s="1" t="str">
        <f xml:space="preserve"> LEFT(Table1[[#This Row],[Atc Code]],3)</f>
        <v>A03</v>
      </c>
    </row>
    <row r="44" spans="1:24" ht="14.4">
      <c r="A44" s="14">
        <v>392</v>
      </c>
      <c r="B44" s="24">
        <v>2258406</v>
      </c>
      <c r="C44" s="1">
        <v>2100694</v>
      </c>
      <c r="D44" s="1" t="s">
        <v>25</v>
      </c>
      <c r="E44" s="36">
        <v>44487</v>
      </c>
      <c r="F44" s="36">
        <v>44725</v>
      </c>
      <c r="G44" s="38">
        <f t="shared" si="0"/>
        <v>238</v>
      </c>
      <c r="H44" s="5">
        <v>44488</v>
      </c>
      <c r="I44" s="5">
        <v>44725</v>
      </c>
      <c r="J44" s="1" t="s">
        <v>26</v>
      </c>
      <c r="K44" s="1" t="s">
        <v>204</v>
      </c>
      <c r="L44" s="1" t="s">
        <v>205</v>
      </c>
      <c r="M44" s="1" t="s">
        <v>206</v>
      </c>
      <c r="N44" s="1" t="s">
        <v>30</v>
      </c>
      <c r="O44" s="1" t="s">
        <v>62</v>
      </c>
      <c r="P44" s="1" t="s">
        <v>207</v>
      </c>
      <c r="Q44" s="1" t="s">
        <v>64</v>
      </c>
      <c r="R44" s="1" t="s">
        <v>33</v>
      </c>
      <c r="S44" s="1" t="s">
        <v>208</v>
      </c>
      <c r="U44" s="1" t="s">
        <v>35</v>
      </c>
      <c r="V44" s="1" t="s">
        <v>74</v>
      </c>
      <c r="W44" s="1" t="str">
        <f>VLOOKUP(Table1[[#This Row],[Obergruppe ATC-Code]],Tabelle3!$A$2:$B$100,2)</f>
        <v>MITTEL BEI FUNKTIONELLEN GASTROINTESTINALEN STÖRUNGEN</v>
      </c>
      <c r="X44" s="1" t="str">
        <f xml:space="preserve"> LEFT(Table1[[#This Row],[Atc Code]],3)</f>
        <v>A03</v>
      </c>
    </row>
    <row r="45" spans="1:24" ht="14.4">
      <c r="A45" s="14">
        <v>2222</v>
      </c>
      <c r="B45" s="24" t="s">
        <v>209</v>
      </c>
      <c r="C45" s="1">
        <v>2166115</v>
      </c>
      <c r="D45" s="1" t="s">
        <v>25</v>
      </c>
      <c r="E45" s="36">
        <v>43556</v>
      </c>
      <c r="F45" s="36">
        <v>43646</v>
      </c>
      <c r="G45" s="38">
        <f t="shared" si="0"/>
        <v>90</v>
      </c>
      <c r="H45" s="5">
        <v>43552</v>
      </c>
      <c r="I45" s="5">
        <v>43634</v>
      </c>
      <c r="J45" s="1" t="s">
        <v>41</v>
      </c>
      <c r="K45" s="1" t="s">
        <v>210</v>
      </c>
      <c r="L45" s="1" t="s">
        <v>211</v>
      </c>
      <c r="M45" s="1" t="s">
        <v>212</v>
      </c>
      <c r="N45" s="1" t="s">
        <v>30</v>
      </c>
      <c r="O45" s="1" t="s">
        <v>213</v>
      </c>
      <c r="P45" s="1" t="s">
        <v>214</v>
      </c>
      <c r="Q45" s="1" t="s">
        <v>215</v>
      </c>
      <c r="R45" s="1" t="s">
        <v>65</v>
      </c>
      <c r="S45" s="1"/>
      <c r="U45" s="1" t="s">
        <v>35</v>
      </c>
      <c r="V45" s="1" t="s">
        <v>216</v>
      </c>
      <c r="W45" s="1" t="str">
        <f>VLOOKUP(Table1[[#This Row],[Obergruppe ATC-Code]],Tabelle3!$A$2:$B$100,2)</f>
        <v>ANTIEMETIKA UND MITTEL GEGEN ÜBELKEIT</v>
      </c>
      <c r="X45" s="1" t="str">
        <f xml:space="preserve"> LEFT(Table1[[#This Row],[Atc Code]],3)</f>
        <v>A04</v>
      </c>
    </row>
    <row r="46" spans="1:24" ht="14.4">
      <c r="A46" s="14">
        <v>2070</v>
      </c>
      <c r="B46" s="24" t="s">
        <v>217</v>
      </c>
      <c r="C46" s="1">
        <v>2159058</v>
      </c>
      <c r="D46" s="1" t="s">
        <v>25</v>
      </c>
      <c r="E46" s="36">
        <v>43891</v>
      </c>
      <c r="F46" s="36">
        <v>43982</v>
      </c>
      <c r="G46" s="38">
        <f t="shared" si="0"/>
        <v>91</v>
      </c>
      <c r="H46" s="5">
        <v>43916</v>
      </c>
      <c r="I46" s="5">
        <v>44144</v>
      </c>
      <c r="J46" s="1" t="s">
        <v>41</v>
      </c>
      <c r="K46" s="1" t="s">
        <v>218</v>
      </c>
      <c r="L46" s="1" t="s">
        <v>211</v>
      </c>
      <c r="M46" s="1" t="s">
        <v>219</v>
      </c>
      <c r="N46" s="1" t="s">
        <v>30</v>
      </c>
      <c r="O46" s="1" t="s">
        <v>220</v>
      </c>
      <c r="P46" s="1" t="s">
        <v>221</v>
      </c>
      <c r="Q46" s="1" t="s">
        <v>222</v>
      </c>
      <c r="R46" s="1" t="s">
        <v>26</v>
      </c>
      <c r="S46" s="1"/>
      <c r="U46" s="1" t="s">
        <v>35</v>
      </c>
      <c r="V46" s="1" t="s">
        <v>74</v>
      </c>
      <c r="W46" s="1" t="str">
        <f>VLOOKUP(Table1[[#This Row],[Obergruppe ATC-Code]],Tabelle3!$A$2:$B$100,2)</f>
        <v>ANTIEMETIKA UND MITTEL GEGEN ÜBELKEIT</v>
      </c>
      <c r="X46" s="1" t="str">
        <f xml:space="preserve"> LEFT(Table1[[#This Row],[Atc Code]],3)</f>
        <v>A04</v>
      </c>
    </row>
    <row r="47" spans="1:24" ht="14.4">
      <c r="A47" s="14">
        <v>1011</v>
      </c>
      <c r="B47" s="24">
        <v>8725091</v>
      </c>
      <c r="C47" s="1">
        <v>2137196</v>
      </c>
      <c r="D47" s="1" t="s">
        <v>25</v>
      </c>
      <c r="E47" s="36">
        <v>44610</v>
      </c>
      <c r="F47" s="36">
        <v>44720</v>
      </c>
      <c r="G47" s="38">
        <f t="shared" si="0"/>
        <v>110</v>
      </c>
      <c r="H47" s="5">
        <v>44641</v>
      </c>
      <c r="I47" s="5">
        <v>44719</v>
      </c>
      <c r="J47" s="1" t="s">
        <v>26</v>
      </c>
      <c r="K47" s="1" t="s">
        <v>223</v>
      </c>
      <c r="L47" s="1" t="s">
        <v>211</v>
      </c>
      <c r="M47" s="1" t="s">
        <v>219</v>
      </c>
      <c r="N47" s="1" t="s">
        <v>38</v>
      </c>
      <c r="O47" s="1" t="s">
        <v>224</v>
      </c>
      <c r="P47" s="1" t="s">
        <v>92</v>
      </c>
      <c r="Q47" s="1" t="s">
        <v>93</v>
      </c>
      <c r="R47" s="1" t="s">
        <v>26</v>
      </c>
      <c r="S47" s="1"/>
      <c r="U47" s="1" t="s">
        <v>35</v>
      </c>
      <c r="V47" s="1" t="s">
        <v>225</v>
      </c>
      <c r="W47" s="1" t="str">
        <f>VLOOKUP(Table1[[#This Row],[Obergruppe ATC-Code]],Tabelle3!$A$2:$B$100,2)</f>
        <v>ANTIEMETIKA UND MITTEL GEGEN ÜBELKEIT</v>
      </c>
      <c r="X47" s="1" t="str">
        <f xml:space="preserve"> LEFT(Table1[[#This Row],[Atc Code]],3)</f>
        <v>A04</v>
      </c>
    </row>
    <row r="48" spans="1:24" ht="14.4">
      <c r="A48" s="14">
        <v>1010</v>
      </c>
      <c r="B48" s="24">
        <v>8725091</v>
      </c>
      <c r="C48" s="1">
        <v>2137196</v>
      </c>
      <c r="D48" s="1" t="s">
        <v>102</v>
      </c>
      <c r="E48" s="36">
        <v>44879</v>
      </c>
      <c r="F48" s="36">
        <v>45291</v>
      </c>
      <c r="G48" s="38">
        <f t="shared" si="0"/>
        <v>412</v>
      </c>
      <c r="H48" s="5">
        <v>44855</v>
      </c>
      <c r="I48" s="5">
        <v>45106</v>
      </c>
      <c r="J48" s="1" t="s">
        <v>26</v>
      </c>
      <c r="K48" s="1" t="s">
        <v>223</v>
      </c>
      <c r="L48" s="1" t="s">
        <v>211</v>
      </c>
      <c r="M48" s="1" t="s">
        <v>219</v>
      </c>
      <c r="N48" s="1" t="s">
        <v>38</v>
      </c>
      <c r="O48" s="1" t="s">
        <v>91</v>
      </c>
      <c r="Q48" s="1" t="s">
        <v>93</v>
      </c>
      <c r="R48" s="1" t="s">
        <v>26</v>
      </c>
      <c r="S48" s="1"/>
      <c r="U48" s="1" t="s">
        <v>130</v>
      </c>
      <c r="V48" s="1" t="s">
        <v>225</v>
      </c>
      <c r="W48" s="1" t="str">
        <f>VLOOKUP(Table1[[#This Row],[Obergruppe ATC-Code]],Tabelle3!$A$2:$B$100,2)</f>
        <v>ANTIEMETIKA UND MITTEL GEGEN ÜBELKEIT</v>
      </c>
      <c r="X48" s="1" t="str">
        <f xml:space="preserve"> LEFT(Table1[[#This Row],[Atc Code]],3)</f>
        <v>A04</v>
      </c>
    </row>
    <row r="49" spans="1:24" ht="14.4">
      <c r="A49" s="14">
        <v>1012</v>
      </c>
      <c r="B49" s="24">
        <v>8725145</v>
      </c>
      <c r="C49" s="1">
        <v>2141350</v>
      </c>
      <c r="D49" s="1" t="s">
        <v>25</v>
      </c>
      <c r="E49" s="36">
        <v>44804</v>
      </c>
      <c r="F49" s="36">
        <v>45166</v>
      </c>
      <c r="G49" s="38">
        <f t="shared" si="0"/>
        <v>362</v>
      </c>
      <c r="H49" s="5">
        <v>44804</v>
      </c>
      <c r="I49" s="5">
        <v>45175</v>
      </c>
      <c r="J49" s="1" t="s">
        <v>26</v>
      </c>
      <c r="K49" s="1" t="s">
        <v>226</v>
      </c>
      <c r="L49" s="1" t="s">
        <v>211</v>
      </c>
      <c r="M49" s="1" t="s">
        <v>212</v>
      </c>
      <c r="N49" s="1" t="s">
        <v>38</v>
      </c>
      <c r="O49" s="1" t="s">
        <v>91</v>
      </c>
      <c r="P49" s="1" t="s">
        <v>92</v>
      </c>
      <c r="Q49" s="1" t="s">
        <v>93</v>
      </c>
      <c r="R49" s="1" t="s">
        <v>26</v>
      </c>
      <c r="S49" s="1"/>
      <c r="U49" s="1" t="s">
        <v>130</v>
      </c>
      <c r="V49" s="1" t="s">
        <v>216</v>
      </c>
      <c r="W49" s="1" t="str">
        <f>VLOOKUP(Table1[[#This Row],[Obergruppe ATC-Code]],Tabelle3!$A$2:$B$100,2)</f>
        <v>ANTIEMETIKA UND MITTEL GEGEN ÜBELKEIT</v>
      </c>
      <c r="X49" s="1" t="str">
        <f xml:space="preserve"> LEFT(Table1[[#This Row],[Atc Code]],3)</f>
        <v>A04</v>
      </c>
    </row>
    <row r="50" spans="1:24" ht="14.4">
      <c r="A50" s="14">
        <v>1013</v>
      </c>
      <c r="B50" s="24">
        <v>8725155</v>
      </c>
      <c r="C50" s="1">
        <v>2141349</v>
      </c>
      <c r="D50" s="1" t="s">
        <v>25</v>
      </c>
      <c r="E50" s="36">
        <v>44804</v>
      </c>
      <c r="F50" s="36">
        <v>45176</v>
      </c>
      <c r="G50" s="38">
        <f t="shared" si="0"/>
        <v>372</v>
      </c>
      <c r="H50" s="5">
        <v>44804</v>
      </c>
      <c r="I50" s="5">
        <v>45177</v>
      </c>
      <c r="J50" s="1" t="s">
        <v>26</v>
      </c>
      <c r="K50" s="1" t="s">
        <v>227</v>
      </c>
      <c r="L50" s="1" t="s">
        <v>211</v>
      </c>
      <c r="M50" s="1" t="s">
        <v>212</v>
      </c>
      <c r="N50" s="1" t="s">
        <v>38</v>
      </c>
      <c r="O50" s="1" t="s">
        <v>91</v>
      </c>
      <c r="P50" s="1" t="s">
        <v>92</v>
      </c>
      <c r="Q50" s="1" t="s">
        <v>93</v>
      </c>
      <c r="R50" s="1" t="s">
        <v>26</v>
      </c>
      <c r="S50" s="1"/>
      <c r="U50" s="1" t="s">
        <v>130</v>
      </c>
      <c r="V50" s="1" t="s">
        <v>216</v>
      </c>
      <c r="W50" s="1" t="str">
        <f>VLOOKUP(Table1[[#This Row],[Obergruppe ATC-Code]],Tabelle3!$A$2:$B$100,2)</f>
        <v>ANTIEMETIKA UND MITTEL GEGEN ÜBELKEIT</v>
      </c>
      <c r="X50" s="1" t="str">
        <f xml:space="preserve"> LEFT(Table1[[#This Row],[Atc Code]],3)</f>
        <v>A04</v>
      </c>
    </row>
    <row r="51" spans="1:24" ht="14.4">
      <c r="A51" s="14">
        <v>2089</v>
      </c>
      <c r="B51" s="24" t="s">
        <v>228</v>
      </c>
      <c r="C51" s="1">
        <v>2708711</v>
      </c>
      <c r="D51" s="1" t="s">
        <v>25</v>
      </c>
      <c r="E51" s="36">
        <v>43556</v>
      </c>
      <c r="F51" s="36">
        <v>43677</v>
      </c>
      <c r="G51" s="38">
        <f t="shared" si="0"/>
        <v>121</v>
      </c>
      <c r="H51" s="5">
        <v>43595</v>
      </c>
      <c r="I51" s="5">
        <v>43637</v>
      </c>
      <c r="J51" s="1" t="s">
        <v>41</v>
      </c>
      <c r="K51" s="1" t="s">
        <v>229</v>
      </c>
      <c r="L51" s="1" t="s">
        <v>230</v>
      </c>
      <c r="M51" s="1" t="s">
        <v>231</v>
      </c>
      <c r="N51" s="1" t="s">
        <v>30</v>
      </c>
      <c r="O51" s="1" t="s">
        <v>232</v>
      </c>
      <c r="P51" s="1" t="s">
        <v>233</v>
      </c>
      <c r="Q51" s="1" t="s">
        <v>234</v>
      </c>
      <c r="R51" s="1" t="s">
        <v>26</v>
      </c>
      <c r="S51" s="1"/>
      <c r="T51" s="1" t="s">
        <v>235</v>
      </c>
      <c r="U51" s="1" t="s">
        <v>35</v>
      </c>
      <c r="V51" s="1" t="s">
        <v>236</v>
      </c>
      <c r="W51" s="1" t="str">
        <f>VLOOKUP(Table1[[#This Row],[Obergruppe ATC-Code]],Tabelle3!$A$2:$B$100,2)</f>
        <v>ANTIEMETIKA UND MITTEL GEGEN ÜBELKEIT</v>
      </c>
      <c r="X51" s="1" t="str">
        <f xml:space="preserve"> LEFT(Table1[[#This Row],[Atc Code]],3)</f>
        <v>A04</v>
      </c>
    </row>
    <row r="52" spans="1:24" ht="14.4">
      <c r="A52" s="14">
        <v>2259</v>
      </c>
      <c r="B52" s="24" t="s">
        <v>237</v>
      </c>
      <c r="C52" s="1">
        <v>2161455</v>
      </c>
      <c r="D52" s="1" t="s">
        <v>25</v>
      </c>
      <c r="E52" s="36">
        <v>43891</v>
      </c>
      <c r="F52" s="36">
        <v>44227</v>
      </c>
      <c r="G52" s="38">
        <f t="shared" si="0"/>
        <v>336</v>
      </c>
      <c r="H52" s="5">
        <v>43917</v>
      </c>
      <c r="I52" s="5">
        <v>44208</v>
      </c>
      <c r="J52" s="1" t="s">
        <v>26</v>
      </c>
      <c r="K52" s="1" t="s">
        <v>238</v>
      </c>
      <c r="L52" s="1" t="s">
        <v>230</v>
      </c>
      <c r="M52" s="1" t="s">
        <v>239</v>
      </c>
      <c r="N52" s="1" t="s">
        <v>30</v>
      </c>
      <c r="O52" s="1" t="s">
        <v>45</v>
      </c>
      <c r="P52" s="1" t="s">
        <v>104</v>
      </c>
      <c r="Q52" s="1" t="s">
        <v>105</v>
      </c>
      <c r="R52" s="1" t="s">
        <v>33</v>
      </c>
      <c r="S52" s="1"/>
      <c r="U52" s="1" t="s">
        <v>35</v>
      </c>
      <c r="V52" s="1" t="s">
        <v>99</v>
      </c>
      <c r="W52" s="1" t="str">
        <f>VLOOKUP(Table1[[#This Row],[Obergruppe ATC-Code]],Tabelle3!$A$2:$B$100,2)</f>
        <v>ANTIEMETIKA UND MITTEL GEGEN ÜBELKEIT</v>
      </c>
      <c r="X52" s="1" t="str">
        <f xml:space="preserve"> LEFT(Table1[[#This Row],[Atc Code]],3)</f>
        <v>A04</v>
      </c>
    </row>
    <row r="53" spans="1:24" ht="14.4">
      <c r="A53" s="14">
        <v>2088</v>
      </c>
      <c r="B53" s="24" t="s">
        <v>228</v>
      </c>
      <c r="C53" s="1">
        <v>2708711</v>
      </c>
      <c r="D53" s="1" t="s">
        <v>25</v>
      </c>
      <c r="E53" s="36">
        <v>44105</v>
      </c>
      <c r="F53" s="36">
        <v>44286</v>
      </c>
      <c r="G53" s="38">
        <f t="shared" si="0"/>
        <v>181</v>
      </c>
      <c r="H53" s="5">
        <v>44111</v>
      </c>
      <c r="I53" s="5">
        <v>44267</v>
      </c>
      <c r="J53" s="1" t="s">
        <v>41</v>
      </c>
      <c r="K53" s="1" t="s">
        <v>229</v>
      </c>
      <c r="L53" s="1" t="s">
        <v>230</v>
      </c>
      <c r="M53" s="1" t="s">
        <v>231</v>
      </c>
      <c r="N53" s="1" t="s">
        <v>30</v>
      </c>
      <c r="O53" s="1" t="s">
        <v>232</v>
      </c>
      <c r="P53" s="1" t="s">
        <v>240</v>
      </c>
      <c r="Q53" s="1" t="s">
        <v>241</v>
      </c>
      <c r="R53" s="1" t="s">
        <v>26</v>
      </c>
      <c r="S53" s="1"/>
      <c r="T53" s="1" t="s">
        <v>235</v>
      </c>
      <c r="U53" s="1" t="s">
        <v>35</v>
      </c>
      <c r="V53" s="1" t="s">
        <v>236</v>
      </c>
      <c r="W53" s="1" t="str">
        <f>VLOOKUP(Table1[[#This Row],[Obergruppe ATC-Code]],Tabelle3!$A$2:$B$100,2)</f>
        <v>ANTIEMETIKA UND MITTEL GEGEN ÜBELKEIT</v>
      </c>
      <c r="X53" s="1" t="str">
        <f xml:space="preserve"> LEFT(Table1[[#This Row],[Atc Code]],3)</f>
        <v>A04</v>
      </c>
    </row>
    <row r="54" spans="1:24" ht="14.4">
      <c r="A54" s="14">
        <v>1612</v>
      </c>
      <c r="B54" s="24">
        <v>17825130</v>
      </c>
      <c r="C54" s="1">
        <v>2104597</v>
      </c>
      <c r="D54" s="1" t="s">
        <v>25</v>
      </c>
      <c r="E54" s="36">
        <v>43435</v>
      </c>
      <c r="F54" s="36">
        <v>43496</v>
      </c>
      <c r="G54" s="38">
        <f t="shared" si="0"/>
        <v>61</v>
      </c>
      <c r="H54" s="5">
        <v>43455</v>
      </c>
      <c r="I54" s="5">
        <v>43488</v>
      </c>
      <c r="J54" s="1" t="s">
        <v>41</v>
      </c>
      <c r="K54" s="1" t="s">
        <v>242</v>
      </c>
      <c r="L54" s="1" t="s">
        <v>243</v>
      </c>
      <c r="M54" s="1" t="s">
        <v>244</v>
      </c>
      <c r="N54" s="1" t="s">
        <v>30</v>
      </c>
      <c r="O54" s="1" t="s">
        <v>245</v>
      </c>
      <c r="P54" s="1" t="s">
        <v>246</v>
      </c>
      <c r="Q54" s="1" t="s">
        <v>247</v>
      </c>
      <c r="R54" s="1" t="s">
        <v>26</v>
      </c>
      <c r="S54" s="1"/>
      <c r="U54" s="1" t="s">
        <v>35</v>
      </c>
      <c r="V54" s="1" t="s">
        <v>236</v>
      </c>
      <c r="W54" s="1" t="str">
        <f>VLOOKUP(Table1[[#This Row],[Obergruppe ATC-Code]],Tabelle3!$A$2:$B$100,2)</f>
        <v>ANTIEMETIKA UND MITTEL GEGEN ÜBELKEIT</v>
      </c>
      <c r="X54" s="1" t="str">
        <f xml:space="preserve"> LEFT(Table1[[#This Row],[Atc Code]],3)</f>
        <v>A04</v>
      </c>
    </row>
    <row r="55" spans="1:24" ht="14.4">
      <c r="A55" s="14">
        <v>1611</v>
      </c>
      <c r="B55" s="24">
        <v>17825130</v>
      </c>
      <c r="C55" s="1">
        <v>2104597</v>
      </c>
      <c r="D55" s="1" t="s">
        <v>25</v>
      </c>
      <c r="E55" s="36">
        <v>43647</v>
      </c>
      <c r="F55" s="36">
        <v>43708</v>
      </c>
      <c r="G55" s="38">
        <f t="shared" si="0"/>
        <v>61</v>
      </c>
      <c r="H55" s="5">
        <v>43642</v>
      </c>
      <c r="I55" s="5">
        <v>43672</v>
      </c>
      <c r="J55" s="1" t="s">
        <v>26</v>
      </c>
      <c r="K55" s="1" t="s">
        <v>242</v>
      </c>
      <c r="L55" s="1" t="s">
        <v>243</v>
      </c>
      <c r="M55" s="1" t="s">
        <v>244</v>
      </c>
      <c r="N55" s="1" t="s">
        <v>30</v>
      </c>
      <c r="O55" s="1" t="s">
        <v>245</v>
      </c>
      <c r="P55" s="1" t="s">
        <v>246</v>
      </c>
      <c r="Q55" s="1" t="s">
        <v>247</v>
      </c>
      <c r="R55" s="1" t="s">
        <v>33</v>
      </c>
      <c r="S55" s="1"/>
      <c r="U55" s="1" t="s">
        <v>35</v>
      </c>
      <c r="V55" s="1" t="s">
        <v>236</v>
      </c>
      <c r="W55" s="1" t="str">
        <f>VLOOKUP(Table1[[#This Row],[Obergruppe ATC-Code]],Tabelle3!$A$2:$B$100,2)</f>
        <v>ANTIEMETIKA UND MITTEL GEGEN ÜBELKEIT</v>
      </c>
      <c r="X55" s="1" t="str">
        <f xml:space="preserve"> LEFT(Table1[[#This Row],[Atc Code]],3)</f>
        <v>A04</v>
      </c>
    </row>
    <row r="56" spans="1:24" ht="14.4">
      <c r="A56" s="14">
        <v>1610</v>
      </c>
      <c r="B56" s="24">
        <v>17825130</v>
      </c>
      <c r="C56" s="1">
        <v>2104597</v>
      </c>
      <c r="D56" s="1" t="s">
        <v>175</v>
      </c>
      <c r="E56" s="36">
        <v>45047</v>
      </c>
      <c r="F56" s="36">
        <v>45473</v>
      </c>
      <c r="G56" s="38">
        <f t="shared" si="0"/>
        <v>426</v>
      </c>
      <c r="H56" s="5">
        <v>45044</v>
      </c>
      <c r="I56" s="5">
        <v>45044</v>
      </c>
      <c r="J56" s="1" t="s">
        <v>26</v>
      </c>
      <c r="K56" s="1" t="s">
        <v>242</v>
      </c>
      <c r="L56" s="1" t="s">
        <v>243</v>
      </c>
      <c r="M56" s="1" t="s">
        <v>244</v>
      </c>
      <c r="N56" s="1" t="s">
        <v>38</v>
      </c>
      <c r="O56" s="1" t="s">
        <v>248</v>
      </c>
      <c r="P56" s="1" t="s">
        <v>249</v>
      </c>
      <c r="Q56" s="1" t="s">
        <v>250</v>
      </c>
      <c r="R56" s="1" t="s">
        <v>142</v>
      </c>
      <c r="S56" s="1" t="s">
        <v>48</v>
      </c>
      <c r="U56" s="1" t="s">
        <v>130</v>
      </c>
      <c r="V56" s="1" t="s">
        <v>236</v>
      </c>
      <c r="W56" s="1" t="str">
        <f>VLOOKUP(Table1[[#This Row],[Obergruppe ATC-Code]],Tabelle3!$A$2:$B$100,2)</f>
        <v>ANTIEMETIKA UND MITTEL GEGEN ÜBELKEIT</v>
      </c>
      <c r="X56" s="1" t="str">
        <f xml:space="preserve"> LEFT(Table1[[#This Row],[Atc Code]],3)</f>
        <v>A04</v>
      </c>
    </row>
    <row r="57" spans="1:24" ht="14.4">
      <c r="A57" s="14">
        <v>2638</v>
      </c>
      <c r="B57" s="24" t="s">
        <v>251</v>
      </c>
      <c r="C57" s="1">
        <v>2713264</v>
      </c>
      <c r="D57" s="1" t="s">
        <v>25</v>
      </c>
      <c r="E57" s="36">
        <v>43009</v>
      </c>
      <c r="F57" s="36">
        <v>43100</v>
      </c>
      <c r="G57" s="38">
        <f t="shared" si="0"/>
        <v>91</v>
      </c>
      <c r="H57" s="5">
        <v>43031</v>
      </c>
      <c r="I57" s="5">
        <v>43080</v>
      </c>
      <c r="J57" s="1" t="s">
        <v>26</v>
      </c>
      <c r="K57" s="1" t="s">
        <v>252</v>
      </c>
      <c r="L57" s="1" t="s">
        <v>253</v>
      </c>
      <c r="M57" s="1" t="s">
        <v>254</v>
      </c>
      <c r="N57" s="1" t="s">
        <v>30</v>
      </c>
      <c r="O57" s="1" t="s">
        <v>255</v>
      </c>
      <c r="P57" s="1" t="s">
        <v>256</v>
      </c>
      <c r="Q57" s="1" t="s">
        <v>257</v>
      </c>
      <c r="R57" s="1" t="s">
        <v>33</v>
      </c>
      <c r="S57" s="1"/>
      <c r="T57" s="1" t="s">
        <v>258</v>
      </c>
      <c r="U57" s="1" t="s">
        <v>35</v>
      </c>
      <c r="V57" s="1" t="s">
        <v>259</v>
      </c>
      <c r="W57" s="1" t="str">
        <f>VLOOKUP(Table1[[#This Row],[Obergruppe ATC-Code]],Tabelle3!$A$2:$B$100,2)</f>
        <v>ANTIEMETIKA UND MITTEL GEGEN ÜBELKEIT</v>
      </c>
      <c r="X57" s="1" t="str">
        <f xml:space="preserve"> LEFT(Table1[[#This Row],[Atc Code]],3)</f>
        <v>A04</v>
      </c>
    </row>
    <row r="58" spans="1:24" ht="14.4">
      <c r="A58" s="14">
        <v>2637</v>
      </c>
      <c r="B58" s="24" t="s">
        <v>251</v>
      </c>
      <c r="C58" s="1">
        <v>2713264</v>
      </c>
      <c r="D58" s="1" t="s">
        <v>25</v>
      </c>
      <c r="E58" s="36">
        <v>43101</v>
      </c>
      <c r="F58" s="36">
        <v>43220</v>
      </c>
      <c r="G58" s="38">
        <f t="shared" si="0"/>
        <v>119</v>
      </c>
      <c r="H58" s="5">
        <v>43122</v>
      </c>
      <c r="I58" s="5">
        <v>43154</v>
      </c>
      <c r="J58" s="1" t="s">
        <v>26</v>
      </c>
      <c r="K58" s="1" t="s">
        <v>252</v>
      </c>
      <c r="L58" s="1" t="s">
        <v>253</v>
      </c>
      <c r="M58" s="1" t="s">
        <v>254</v>
      </c>
      <c r="N58" s="1" t="s">
        <v>30</v>
      </c>
      <c r="O58" s="1" t="s">
        <v>255</v>
      </c>
      <c r="P58" s="1" t="s">
        <v>256</v>
      </c>
      <c r="Q58" s="1" t="s">
        <v>257</v>
      </c>
      <c r="R58" s="1" t="s">
        <v>33</v>
      </c>
      <c r="S58" s="1"/>
      <c r="T58" s="1" t="s">
        <v>258</v>
      </c>
      <c r="U58" s="1" t="s">
        <v>35</v>
      </c>
      <c r="V58" s="1" t="s">
        <v>259</v>
      </c>
      <c r="W58" s="1" t="str">
        <f>VLOOKUP(Table1[[#This Row],[Obergruppe ATC-Code]],Tabelle3!$A$2:$B$100,2)</f>
        <v>ANTIEMETIKA UND MITTEL GEGEN ÜBELKEIT</v>
      </c>
      <c r="X58" s="1" t="str">
        <f xml:space="preserve"> LEFT(Table1[[#This Row],[Atc Code]],3)</f>
        <v>A04</v>
      </c>
    </row>
    <row r="59" spans="1:24" ht="14.4">
      <c r="A59" s="14">
        <v>1955</v>
      </c>
      <c r="B59" s="24" t="s">
        <v>260</v>
      </c>
      <c r="C59" s="1">
        <v>2702455</v>
      </c>
      <c r="D59" s="1" t="s">
        <v>25</v>
      </c>
      <c r="E59" s="36">
        <v>42917</v>
      </c>
      <c r="F59" s="36">
        <v>43524</v>
      </c>
      <c r="G59" s="38">
        <f t="shared" si="0"/>
        <v>607</v>
      </c>
      <c r="H59" s="5">
        <v>42940</v>
      </c>
      <c r="I59" s="5">
        <v>43496</v>
      </c>
      <c r="J59" s="1" t="s">
        <v>26</v>
      </c>
      <c r="K59" s="1" t="s">
        <v>261</v>
      </c>
      <c r="L59" s="1" t="s">
        <v>253</v>
      </c>
      <c r="M59" s="1" t="s">
        <v>254</v>
      </c>
      <c r="N59" s="1" t="s">
        <v>30</v>
      </c>
      <c r="O59" s="1" t="s">
        <v>255</v>
      </c>
      <c r="P59" s="1" t="s">
        <v>256</v>
      </c>
      <c r="Q59" s="1" t="s">
        <v>257</v>
      </c>
      <c r="R59" s="1" t="s">
        <v>33</v>
      </c>
      <c r="S59" s="1"/>
      <c r="T59" s="1" t="s">
        <v>258</v>
      </c>
      <c r="U59" s="1" t="s">
        <v>35</v>
      </c>
      <c r="V59" s="1" t="s">
        <v>262</v>
      </c>
      <c r="W59" s="1" t="str">
        <f>VLOOKUP(Table1[[#This Row],[Obergruppe ATC-Code]],Tabelle3!$A$2:$B$100,2)</f>
        <v>ANTIEMETIKA UND MITTEL GEGEN ÜBELKEIT</v>
      </c>
      <c r="X59" s="1" t="str">
        <f xml:space="preserve"> LEFT(Table1[[#This Row],[Atc Code]],3)</f>
        <v>A04</v>
      </c>
    </row>
    <row r="60" spans="1:24" ht="14.4">
      <c r="A60" s="14">
        <v>2806</v>
      </c>
      <c r="B60" s="24" t="s">
        <v>263</v>
      </c>
      <c r="C60" s="1">
        <v>2202258</v>
      </c>
      <c r="D60" s="1" t="s">
        <v>25</v>
      </c>
      <c r="E60" s="36">
        <v>43709</v>
      </c>
      <c r="F60" s="36">
        <v>43830</v>
      </c>
      <c r="G60" s="38">
        <f t="shared" si="0"/>
        <v>121</v>
      </c>
      <c r="H60" s="5">
        <v>43739</v>
      </c>
      <c r="I60" s="5">
        <v>43776</v>
      </c>
      <c r="J60" s="1" t="s">
        <v>26</v>
      </c>
      <c r="K60" s="1" t="s">
        <v>264</v>
      </c>
      <c r="L60" s="1" t="s">
        <v>253</v>
      </c>
      <c r="M60" s="1" t="s">
        <v>254</v>
      </c>
      <c r="N60" s="1" t="s">
        <v>30</v>
      </c>
      <c r="O60" s="1" t="s">
        <v>265</v>
      </c>
      <c r="P60" s="1" t="s">
        <v>266</v>
      </c>
      <c r="Q60" s="1" t="s">
        <v>267</v>
      </c>
      <c r="R60" s="1" t="s">
        <v>33</v>
      </c>
      <c r="S60" s="1"/>
      <c r="U60" s="1" t="s">
        <v>57</v>
      </c>
      <c r="V60" s="1" t="s">
        <v>262</v>
      </c>
      <c r="W60" s="1" t="str">
        <f>VLOOKUP(Table1[[#This Row],[Obergruppe ATC-Code]],Tabelle3!$A$2:$B$100,2)</f>
        <v>ANTIEMETIKA UND MITTEL GEGEN ÜBELKEIT</v>
      </c>
      <c r="X60" s="1" t="str">
        <f xml:space="preserve"> LEFT(Table1[[#This Row],[Atc Code]],3)</f>
        <v>A04</v>
      </c>
    </row>
    <row r="61" spans="1:24" ht="14.4">
      <c r="A61" s="14">
        <v>2636</v>
      </c>
      <c r="B61" s="24" t="s">
        <v>251</v>
      </c>
      <c r="C61" s="1">
        <v>2713264</v>
      </c>
      <c r="D61" s="1" t="s">
        <v>25</v>
      </c>
      <c r="E61" s="36">
        <v>43466</v>
      </c>
      <c r="F61" s="36">
        <v>43921</v>
      </c>
      <c r="G61" s="38">
        <f t="shared" si="0"/>
        <v>455</v>
      </c>
      <c r="H61" s="5">
        <v>43364</v>
      </c>
      <c r="I61" s="5">
        <v>43868</v>
      </c>
      <c r="J61" s="1" t="s">
        <v>26</v>
      </c>
      <c r="K61" s="1" t="s">
        <v>252</v>
      </c>
      <c r="L61" s="1" t="s">
        <v>253</v>
      </c>
      <c r="M61" s="1" t="s">
        <v>254</v>
      </c>
      <c r="N61" s="1" t="s">
        <v>30</v>
      </c>
      <c r="O61" s="1" t="s">
        <v>255</v>
      </c>
      <c r="P61" s="1" t="s">
        <v>256</v>
      </c>
      <c r="Q61" s="1" t="s">
        <v>257</v>
      </c>
      <c r="R61" s="1" t="s">
        <v>33</v>
      </c>
      <c r="S61" s="1"/>
      <c r="T61" s="1" t="s">
        <v>258</v>
      </c>
      <c r="U61" s="1" t="s">
        <v>35</v>
      </c>
      <c r="V61" s="1" t="s">
        <v>259</v>
      </c>
      <c r="W61" s="1" t="str">
        <f>VLOOKUP(Table1[[#This Row],[Obergruppe ATC-Code]],Tabelle3!$A$2:$B$100,2)</f>
        <v>ANTIEMETIKA UND MITTEL GEGEN ÜBELKEIT</v>
      </c>
      <c r="X61" s="1" t="str">
        <f xml:space="preserve"> LEFT(Table1[[#This Row],[Atc Code]],3)</f>
        <v>A04</v>
      </c>
    </row>
    <row r="62" spans="1:24" ht="14.4">
      <c r="A62" s="14">
        <v>2321</v>
      </c>
      <c r="B62" s="24" t="s">
        <v>268</v>
      </c>
      <c r="C62" s="1">
        <v>2708127</v>
      </c>
      <c r="D62" s="1" t="s">
        <v>25</v>
      </c>
      <c r="E62" s="36">
        <v>43983</v>
      </c>
      <c r="F62" s="36">
        <v>44135</v>
      </c>
      <c r="G62" s="38">
        <f t="shared" si="0"/>
        <v>152</v>
      </c>
      <c r="H62" s="5">
        <v>44013</v>
      </c>
      <c r="I62" s="5">
        <v>44028</v>
      </c>
      <c r="J62" s="1" t="s">
        <v>26</v>
      </c>
      <c r="K62" s="1" t="s">
        <v>269</v>
      </c>
      <c r="L62" s="1" t="s">
        <v>253</v>
      </c>
      <c r="M62" s="1" t="s">
        <v>270</v>
      </c>
      <c r="N62" s="1" t="s">
        <v>30</v>
      </c>
      <c r="O62" s="1" t="s">
        <v>255</v>
      </c>
      <c r="P62" s="1" t="s">
        <v>256</v>
      </c>
      <c r="Q62" s="1" t="s">
        <v>257</v>
      </c>
      <c r="R62" s="1" t="s">
        <v>33</v>
      </c>
      <c r="S62" s="1"/>
      <c r="T62" s="1" t="s">
        <v>258</v>
      </c>
      <c r="U62" s="1" t="s">
        <v>35</v>
      </c>
      <c r="V62" s="1" t="s">
        <v>154</v>
      </c>
      <c r="W62" s="1" t="str">
        <f>VLOOKUP(Table1[[#This Row],[Obergruppe ATC-Code]],Tabelle3!$A$2:$B$100,2)</f>
        <v>ANTIEMETIKA UND MITTEL GEGEN ÜBELKEIT</v>
      </c>
      <c r="X62" s="1" t="str">
        <f xml:space="preserve"> LEFT(Table1[[#This Row],[Atc Code]],3)</f>
        <v>A04</v>
      </c>
    </row>
    <row r="63" spans="1:24" ht="14.4">
      <c r="A63" s="14">
        <v>2734</v>
      </c>
      <c r="B63" s="24" t="s">
        <v>271</v>
      </c>
      <c r="C63" s="1">
        <v>422652</v>
      </c>
      <c r="D63" s="1" t="s">
        <v>25</v>
      </c>
      <c r="E63" s="36">
        <v>43617</v>
      </c>
      <c r="F63" s="36">
        <v>43890</v>
      </c>
      <c r="G63" s="38">
        <f t="shared" si="0"/>
        <v>273</v>
      </c>
      <c r="H63" s="5">
        <v>43647</v>
      </c>
      <c r="I63" s="5">
        <v>43882</v>
      </c>
      <c r="J63" s="1" t="s">
        <v>41</v>
      </c>
      <c r="K63" s="1" t="s">
        <v>272</v>
      </c>
      <c r="L63" s="1" t="s">
        <v>273</v>
      </c>
      <c r="M63" s="1" t="s">
        <v>274</v>
      </c>
      <c r="N63" s="1" t="s">
        <v>30</v>
      </c>
      <c r="O63" s="1" t="s">
        <v>275</v>
      </c>
      <c r="P63" s="1" t="s">
        <v>276</v>
      </c>
      <c r="Q63" s="1" t="s">
        <v>277</v>
      </c>
      <c r="R63" s="1" t="s">
        <v>26</v>
      </c>
      <c r="S63" s="1"/>
      <c r="T63" s="1" t="s">
        <v>278</v>
      </c>
      <c r="U63" s="1" t="s">
        <v>35</v>
      </c>
      <c r="V63" s="1" t="s">
        <v>279</v>
      </c>
      <c r="W63" s="1" t="str">
        <f>VLOOKUP(Table1[[#This Row],[Obergruppe ATC-Code]],Tabelle3!$A$2:$B$100,2)</f>
        <v>GALLEN- UND LEBERTHERAPIE</v>
      </c>
      <c r="X63" s="1" t="str">
        <f xml:space="preserve"> LEFT(Table1[[#This Row],[Atc Code]],3)</f>
        <v>A05</v>
      </c>
    </row>
    <row r="64" spans="1:24" ht="14.4">
      <c r="A64" s="14">
        <v>3001</v>
      </c>
      <c r="B64" s="24" t="s">
        <v>280</v>
      </c>
      <c r="C64" s="1">
        <v>718559</v>
      </c>
      <c r="D64" s="1" t="s">
        <v>25</v>
      </c>
      <c r="E64" s="36">
        <v>44228</v>
      </c>
      <c r="F64" s="36">
        <v>44286</v>
      </c>
      <c r="G64" s="38">
        <f t="shared" si="0"/>
        <v>58</v>
      </c>
      <c r="H64" s="5">
        <v>44231</v>
      </c>
      <c r="I64" s="5">
        <v>44244</v>
      </c>
      <c r="J64" s="1" t="s">
        <v>41</v>
      </c>
      <c r="K64" s="1" t="s">
        <v>281</v>
      </c>
      <c r="L64" s="1" t="s">
        <v>273</v>
      </c>
      <c r="M64" s="1" t="s">
        <v>274</v>
      </c>
      <c r="N64" s="1" t="s">
        <v>30</v>
      </c>
      <c r="O64" s="1" t="s">
        <v>275</v>
      </c>
      <c r="P64" s="1" t="s">
        <v>282</v>
      </c>
      <c r="Q64" s="1" t="s">
        <v>283</v>
      </c>
      <c r="R64" s="1" t="s">
        <v>26</v>
      </c>
      <c r="S64" s="1"/>
      <c r="T64" s="1" t="s">
        <v>284</v>
      </c>
      <c r="U64" s="1" t="s">
        <v>35</v>
      </c>
      <c r="V64" s="1" t="s">
        <v>285</v>
      </c>
      <c r="W64" s="1" t="str">
        <f>VLOOKUP(Table1[[#This Row],[Obergruppe ATC-Code]],Tabelle3!$A$2:$B$100,2)</f>
        <v>GALLEN- UND LEBERTHERAPIE</v>
      </c>
      <c r="X64" s="1" t="str">
        <f xml:space="preserve"> LEFT(Table1[[#This Row],[Atc Code]],3)</f>
        <v>A05</v>
      </c>
    </row>
    <row r="65" spans="1:24" ht="14.4">
      <c r="A65" s="14">
        <v>937</v>
      </c>
      <c r="B65" s="24">
        <v>7620622</v>
      </c>
      <c r="C65" s="1">
        <v>423433</v>
      </c>
      <c r="D65" s="1" t="s">
        <v>25</v>
      </c>
      <c r="E65" s="36">
        <v>44228</v>
      </c>
      <c r="F65" s="36">
        <v>44286</v>
      </c>
      <c r="G65" s="38">
        <f t="shared" si="0"/>
        <v>58</v>
      </c>
      <c r="H65" s="5">
        <v>44231</v>
      </c>
      <c r="I65" s="5">
        <v>44245</v>
      </c>
      <c r="J65" s="1" t="s">
        <v>41</v>
      </c>
      <c r="K65" s="1" t="s">
        <v>286</v>
      </c>
      <c r="L65" s="1" t="s">
        <v>273</v>
      </c>
      <c r="M65" s="1" t="s">
        <v>274</v>
      </c>
      <c r="N65" s="1" t="s">
        <v>30</v>
      </c>
      <c r="O65" s="1" t="s">
        <v>275</v>
      </c>
      <c r="P65" s="1" t="s">
        <v>282</v>
      </c>
      <c r="Q65" s="1" t="s">
        <v>283</v>
      </c>
      <c r="R65" s="1" t="s">
        <v>26</v>
      </c>
      <c r="S65" s="1"/>
      <c r="T65" s="1" t="s">
        <v>278</v>
      </c>
      <c r="U65" s="1" t="s">
        <v>35</v>
      </c>
      <c r="V65" s="1" t="s">
        <v>285</v>
      </c>
      <c r="W65" s="1" t="str">
        <f>VLOOKUP(Table1[[#This Row],[Obergruppe ATC-Code]],Tabelle3!$A$2:$B$100,2)</f>
        <v>GALLEN- UND LEBERTHERAPIE</v>
      </c>
      <c r="X65" s="1" t="str">
        <f xml:space="preserve"> LEFT(Table1[[#This Row],[Atc Code]],3)</f>
        <v>A05</v>
      </c>
    </row>
    <row r="66" spans="1:24" ht="14.4">
      <c r="A66" s="14">
        <v>2735</v>
      </c>
      <c r="B66" s="24" t="s">
        <v>271</v>
      </c>
      <c r="C66" s="1">
        <v>422652</v>
      </c>
      <c r="D66" s="1" t="s">
        <v>25</v>
      </c>
      <c r="E66" s="36">
        <v>44197</v>
      </c>
      <c r="F66" s="36">
        <v>44347</v>
      </c>
      <c r="G66" s="38">
        <f t="shared" ref="G66:G129" si="1">F66-E66</f>
        <v>150</v>
      </c>
      <c r="H66" s="5">
        <v>44211</v>
      </c>
      <c r="I66" s="5">
        <v>44342</v>
      </c>
      <c r="J66" s="1" t="s">
        <v>41</v>
      </c>
      <c r="K66" s="1" t="s">
        <v>272</v>
      </c>
      <c r="L66" s="1" t="s">
        <v>273</v>
      </c>
      <c r="M66" s="1" t="s">
        <v>274</v>
      </c>
      <c r="N66" s="1" t="s">
        <v>30</v>
      </c>
      <c r="O66" s="1" t="s">
        <v>275</v>
      </c>
      <c r="P66" s="1" t="s">
        <v>276</v>
      </c>
      <c r="Q66" s="1" t="s">
        <v>287</v>
      </c>
      <c r="R66" s="1" t="s">
        <v>26</v>
      </c>
      <c r="S66" s="1"/>
      <c r="U66" s="1" t="s">
        <v>35</v>
      </c>
      <c r="V66" s="1" t="s">
        <v>279</v>
      </c>
      <c r="W66" s="1" t="str">
        <f>VLOOKUP(Table1[[#This Row],[Obergruppe ATC-Code]],Tabelle3!$A$2:$B$100,2)</f>
        <v>GALLEN- UND LEBERTHERAPIE</v>
      </c>
      <c r="X66" s="1" t="str">
        <f xml:space="preserve"> LEFT(Table1[[#This Row],[Atc Code]],3)</f>
        <v>A05</v>
      </c>
    </row>
    <row r="67" spans="1:24" ht="14.4">
      <c r="A67" s="14">
        <v>938</v>
      </c>
      <c r="B67" s="24">
        <v>7620622</v>
      </c>
      <c r="C67" s="1">
        <v>423433</v>
      </c>
      <c r="D67" s="1" t="s">
        <v>25</v>
      </c>
      <c r="E67" s="36">
        <v>44411</v>
      </c>
      <c r="F67" s="36">
        <v>44425</v>
      </c>
      <c r="G67" s="38">
        <f t="shared" si="1"/>
        <v>14</v>
      </c>
      <c r="H67" s="5">
        <v>44414</v>
      </c>
      <c r="I67" s="5">
        <v>44425</v>
      </c>
      <c r="J67" s="1" t="s">
        <v>41</v>
      </c>
      <c r="K67" s="1" t="s">
        <v>286</v>
      </c>
      <c r="L67" s="1" t="s">
        <v>273</v>
      </c>
      <c r="M67" s="1" t="s">
        <v>274</v>
      </c>
      <c r="N67" s="1" t="s">
        <v>38</v>
      </c>
      <c r="O67" s="1" t="s">
        <v>275</v>
      </c>
      <c r="Q67" s="1" t="s">
        <v>288</v>
      </c>
      <c r="R67" s="1" t="s">
        <v>128</v>
      </c>
      <c r="S67" s="1"/>
      <c r="T67" s="1" t="s">
        <v>278</v>
      </c>
      <c r="U67" s="1" t="s">
        <v>35</v>
      </c>
      <c r="V67" s="1" t="s">
        <v>285</v>
      </c>
      <c r="W67" s="1" t="str">
        <f>VLOOKUP(Table1[[#This Row],[Obergruppe ATC-Code]],Tabelle3!$A$2:$B$100,2)</f>
        <v>GALLEN- UND LEBERTHERAPIE</v>
      </c>
      <c r="X67" s="1" t="str">
        <f xml:space="preserve"> LEFT(Table1[[#This Row],[Atc Code]],3)</f>
        <v>A05</v>
      </c>
    </row>
    <row r="68" spans="1:24" ht="14.4">
      <c r="A68" s="14">
        <v>940</v>
      </c>
      <c r="B68" s="24">
        <v>7620639</v>
      </c>
      <c r="C68" s="1">
        <v>423433</v>
      </c>
      <c r="D68" s="1" t="s">
        <v>25</v>
      </c>
      <c r="E68" s="36">
        <v>44704</v>
      </c>
      <c r="F68" s="36">
        <v>44735</v>
      </c>
      <c r="G68" s="38">
        <f t="shared" si="1"/>
        <v>31</v>
      </c>
      <c r="H68" s="5">
        <v>44705</v>
      </c>
      <c r="I68" s="5">
        <v>44739</v>
      </c>
      <c r="J68" s="1" t="s">
        <v>41</v>
      </c>
      <c r="K68" s="1" t="s">
        <v>286</v>
      </c>
      <c r="L68" s="1" t="s">
        <v>273</v>
      </c>
      <c r="M68" s="1" t="s">
        <v>274</v>
      </c>
      <c r="N68" s="1" t="s">
        <v>38</v>
      </c>
      <c r="O68" s="1" t="s">
        <v>275</v>
      </c>
      <c r="Q68" s="1" t="s">
        <v>288</v>
      </c>
      <c r="R68" s="1" t="s">
        <v>128</v>
      </c>
      <c r="S68" s="1"/>
      <c r="U68" s="1" t="s">
        <v>130</v>
      </c>
      <c r="V68" s="1" t="s">
        <v>285</v>
      </c>
      <c r="W68" s="1" t="str">
        <f>VLOOKUP(Table1[[#This Row],[Obergruppe ATC-Code]],Tabelle3!$A$2:$B$100,2)</f>
        <v>GALLEN- UND LEBERTHERAPIE</v>
      </c>
      <c r="X68" s="1" t="str">
        <f xml:space="preserve"> LEFT(Table1[[#This Row],[Atc Code]],3)</f>
        <v>A05</v>
      </c>
    </row>
    <row r="69" spans="1:24" ht="14.4">
      <c r="A69" s="14">
        <v>939</v>
      </c>
      <c r="B69" s="24">
        <v>7620622</v>
      </c>
      <c r="C69" s="1">
        <v>423433</v>
      </c>
      <c r="D69" s="1" t="s">
        <v>25</v>
      </c>
      <c r="E69" s="36">
        <v>44742</v>
      </c>
      <c r="F69" s="36">
        <v>44826</v>
      </c>
      <c r="G69" s="38">
        <f t="shared" si="1"/>
        <v>84</v>
      </c>
      <c r="H69" s="5">
        <v>44754</v>
      </c>
      <c r="I69" s="5">
        <v>44826</v>
      </c>
      <c r="J69" s="1" t="s">
        <v>41</v>
      </c>
      <c r="K69" s="1" t="s">
        <v>286</v>
      </c>
      <c r="L69" s="1" t="s">
        <v>273</v>
      </c>
      <c r="M69" s="1" t="s">
        <v>274</v>
      </c>
      <c r="N69" s="1" t="s">
        <v>38</v>
      </c>
      <c r="O69" s="1" t="s">
        <v>275</v>
      </c>
      <c r="Q69" s="1" t="s">
        <v>283</v>
      </c>
      <c r="R69" s="1" t="s">
        <v>128</v>
      </c>
      <c r="S69" s="1"/>
      <c r="U69" s="1" t="s">
        <v>130</v>
      </c>
      <c r="V69" s="1" t="s">
        <v>285</v>
      </c>
      <c r="W69" s="1" t="str">
        <f>VLOOKUP(Table1[[#This Row],[Obergruppe ATC-Code]],Tabelle3!$A$2:$B$100,2)</f>
        <v>GALLEN- UND LEBERTHERAPIE</v>
      </c>
      <c r="X69" s="1" t="str">
        <f xml:space="preserve"> LEFT(Table1[[#This Row],[Atc Code]],3)</f>
        <v>A05</v>
      </c>
    </row>
    <row r="70" spans="1:24" ht="14.4">
      <c r="A70" s="14">
        <v>1840</v>
      </c>
      <c r="B70" s="24" t="s">
        <v>289</v>
      </c>
      <c r="C70" s="1">
        <v>422652</v>
      </c>
      <c r="D70" s="1" t="s">
        <v>25</v>
      </c>
      <c r="E70" s="36">
        <v>44777</v>
      </c>
      <c r="F70" s="36">
        <v>44993</v>
      </c>
      <c r="G70" s="38">
        <f t="shared" si="1"/>
        <v>216</v>
      </c>
      <c r="H70" s="5">
        <v>44796</v>
      </c>
      <c r="I70" s="5">
        <v>44993</v>
      </c>
      <c r="J70" s="1" t="s">
        <v>41</v>
      </c>
      <c r="K70" s="1" t="s">
        <v>272</v>
      </c>
      <c r="L70" s="1" t="s">
        <v>273</v>
      </c>
      <c r="M70" s="1" t="s">
        <v>274</v>
      </c>
      <c r="N70" s="1" t="s">
        <v>30</v>
      </c>
      <c r="O70" s="1" t="s">
        <v>275</v>
      </c>
      <c r="Q70" s="1" t="s">
        <v>290</v>
      </c>
      <c r="R70" s="1" t="s">
        <v>128</v>
      </c>
      <c r="S70" s="1"/>
      <c r="U70" s="1" t="s">
        <v>35</v>
      </c>
      <c r="V70" s="1" t="s">
        <v>279</v>
      </c>
      <c r="W70" s="1" t="str">
        <f>VLOOKUP(Table1[[#This Row],[Obergruppe ATC-Code]],Tabelle3!$A$2:$B$100,2)</f>
        <v>GALLEN- UND LEBERTHERAPIE</v>
      </c>
      <c r="X70" s="1" t="str">
        <f xml:space="preserve"> LEFT(Table1[[#This Row],[Atc Code]],3)</f>
        <v>A05</v>
      </c>
    </row>
    <row r="71" spans="1:24" ht="14.4">
      <c r="A71" s="14">
        <v>2350</v>
      </c>
      <c r="B71" s="24" t="s">
        <v>291</v>
      </c>
      <c r="C71" s="1">
        <v>423433</v>
      </c>
      <c r="D71" s="1" t="s">
        <v>25</v>
      </c>
      <c r="E71" s="36">
        <v>44907</v>
      </c>
      <c r="F71" s="36">
        <v>45058</v>
      </c>
      <c r="G71" s="38">
        <f t="shared" si="1"/>
        <v>151</v>
      </c>
      <c r="H71" s="5">
        <v>44984</v>
      </c>
      <c r="I71" s="5">
        <v>45058</v>
      </c>
      <c r="J71" s="1" t="s">
        <v>26</v>
      </c>
      <c r="K71" s="1" t="s">
        <v>286</v>
      </c>
      <c r="L71" s="1" t="s">
        <v>273</v>
      </c>
      <c r="M71" s="1" t="s">
        <v>274</v>
      </c>
      <c r="N71" s="1" t="s">
        <v>38</v>
      </c>
      <c r="O71" s="1" t="s">
        <v>275</v>
      </c>
      <c r="Q71" s="1" t="s">
        <v>292</v>
      </c>
      <c r="R71" s="1" t="s">
        <v>113</v>
      </c>
      <c r="S71" s="1" t="s">
        <v>293</v>
      </c>
      <c r="U71" s="1" t="s">
        <v>130</v>
      </c>
      <c r="V71" s="1" t="s">
        <v>285</v>
      </c>
      <c r="W71" s="1" t="str">
        <f>VLOOKUP(Table1[[#This Row],[Obergruppe ATC-Code]],Tabelle3!$A$2:$B$100,2)</f>
        <v>GALLEN- UND LEBERTHERAPIE</v>
      </c>
      <c r="X71" s="1" t="str">
        <f xml:space="preserve"> LEFT(Table1[[#This Row],[Atc Code]],3)</f>
        <v>A05</v>
      </c>
    </row>
    <row r="72" spans="1:24" ht="14.4">
      <c r="A72" s="14">
        <v>2324</v>
      </c>
      <c r="B72" s="24" t="s">
        <v>294</v>
      </c>
      <c r="C72" s="1">
        <v>718559</v>
      </c>
      <c r="D72" s="1" t="s">
        <v>25</v>
      </c>
      <c r="E72" s="36">
        <v>44900</v>
      </c>
      <c r="F72" s="36">
        <v>45119</v>
      </c>
      <c r="G72" s="38">
        <f t="shared" si="1"/>
        <v>219</v>
      </c>
      <c r="H72" s="5">
        <v>44984</v>
      </c>
      <c r="I72" s="5">
        <v>45119</v>
      </c>
      <c r="J72" s="1" t="s">
        <v>26</v>
      </c>
      <c r="K72" s="1" t="s">
        <v>281</v>
      </c>
      <c r="L72" s="1" t="s">
        <v>273</v>
      </c>
      <c r="M72" s="1" t="s">
        <v>274</v>
      </c>
      <c r="N72" s="1" t="s">
        <v>38</v>
      </c>
      <c r="O72" s="1" t="s">
        <v>275</v>
      </c>
      <c r="Q72" s="1" t="s">
        <v>292</v>
      </c>
      <c r="R72" s="1" t="s">
        <v>113</v>
      </c>
      <c r="S72" s="1" t="s">
        <v>293</v>
      </c>
      <c r="U72" s="1" t="s">
        <v>130</v>
      </c>
      <c r="V72" s="1" t="s">
        <v>285</v>
      </c>
      <c r="W72" s="1" t="str">
        <f>VLOOKUP(Table1[[#This Row],[Obergruppe ATC-Code]],Tabelle3!$A$2:$B$100,2)</f>
        <v>GALLEN- UND LEBERTHERAPIE</v>
      </c>
      <c r="X72" s="1" t="str">
        <f xml:space="preserve"> LEFT(Table1[[#This Row],[Atc Code]],3)</f>
        <v>A05</v>
      </c>
    </row>
    <row r="73" spans="1:24" ht="14.4">
      <c r="A73" s="14">
        <v>2262</v>
      </c>
      <c r="B73" s="24" t="s">
        <v>295</v>
      </c>
      <c r="C73" s="1">
        <v>2704469</v>
      </c>
      <c r="D73" s="1" t="s">
        <v>25</v>
      </c>
      <c r="E73" s="36">
        <v>43282</v>
      </c>
      <c r="F73" s="36">
        <v>43373</v>
      </c>
      <c r="G73" s="38">
        <f t="shared" si="1"/>
        <v>91</v>
      </c>
      <c r="H73" s="5">
        <v>43054</v>
      </c>
      <c r="I73" s="5">
        <v>43370</v>
      </c>
      <c r="J73" s="1" t="s">
        <v>41</v>
      </c>
      <c r="K73" s="1" t="s">
        <v>296</v>
      </c>
      <c r="L73" s="1" t="s">
        <v>297</v>
      </c>
      <c r="M73" s="1" t="s">
        <v>298</v>
      </c>
      <c r="N73" s="1" t="s">
        <v>30</v>
      </c>
      <c r="O73" s="1" t="s">
        <v>299</v>
      </c>
      <c r="P73" s="1" t="s">
        <v>300</v>
      </c>
      <c r="Q73" s="1" t="s">
        <v>301</v>
      </c>
      <c r="R73" s="1" t="s">
        <v>26</v>
      </c>
      <c r="S73" s="1"/>
      <c r="U73" s="1" t="s">
        <v>35</v>
      </c>
      <c r="V73" s="1" t="s">
        <v>74</v>
      </c>
      <c r="W73" s="1" t="str">
        <f>VLOOKUP(Table1[[#This Row],[Obergruppe ATC-Code]],Tabelle3!$A$2:$B$100,2)</f>
        <v>MITTEL GEGEN OBSTIPATION</v>
      </c>
      <c r="X73" s="1" t="str">
        <f xml:space="preserve"> LEFT(Table1[[#This Row],[Atc Code]],3)</f>
        <v>A06</v>
      </c>
    </row>
    <row r="74" spans="1:24" ht="14.4">
      <c r="A74" s="14">
        <v>2263</v>
      </c>
      <c r="B74" s="24" t="s">
        <v>295</v>
      </c>
      <c r="C74" s="1">
        <v>2704471</v>
      </c>
      <c r="D74" s="1" t="s">
        <v>25</v>
      </c>
      <c r="E74" s="36">
        <v>43282</v>
      </c>
      <c r="F74" s="36">
        <v>43373</v>
      </c>
      <c r="G74" s="38">
        <f t="shared" si="1"/>
        <v>91</v>
      </c>
      <c r="H74" s="5">
        <v>43054</v>
      </c>
      <c r="I74" s="5">
        <v>43370</v>
      </c>
      <c r="J74" s="1" t="s">
        <v>41</v>
      </c>
      <c r="K74" s="1" t="s">
        <v>302</v>
      </c>
      <c r="L74" s="1" t="s">
        <v>297</v>
      </c>
      <c r="M74" s="1" t="s">
        <v>298</v>
      </c>
      <c r="N74" s="1" t="s">
        <v>30</v>
      </c>
      <c r="O74" s="1" t="s">
        <v>299</v>
      </c>
      <c r="P74" s="1" t="s">
        <v>300</v>
      </c>
      <c r="Q74" s="1" t="s">
        <v>301</v>
      </c>
      <c r="R74" s="1" t="s">
        <v>26</v>
      </c>
      <c r="S74" s="1"/>
      <c r="U74" s="1" t="s">
        <v>35</v>
      </c>
      <c r="V74" s="1" t="s">
        <v>74</v>
      </c>
      <c r="W74" s="1" t="str">
        <f>VLOOKUP(Table1[[#This Row],[Obergruppe ATC-Code]],Tabelle3!$A$2:$B$100,2)</f>
        <v>MITTEL GEGEN OBSTIPATION</v>
      </c>
      <c r="X74" s="1" t="str">
        <f xml:space="preserve"> LEFT(Table1[[#This Row],[Atc Code]],3)</f>
        <v>A06</v>
      </c>
    </row>
    <row r="75" spans="1:24" ht="14.4">
      <c r="A75" s="14">
        <v>2562</v>
      </c>
      <c r="B75" s="24" t="s">
        <v>303</v>
      </c>
      <c r="C75" s="1">
        <v>2711482</v>
      </c>
      <c r="D75" s="1" t="s">
        <v>25</v>
      </c>
      <c r="E75" s="36">
        <v>43497</v>
      </c>
      <c r="F75" s="36">
        <v>43555</v>
      </c>
      <c r="G75" s="38">
        <f t="shared" si="1"/>
        <v>58</v>
      </c>
      <c r="H75" s="5">
        <v>43523</v>
      </c>
      <c r="I75" s="5">
        <v>43552</v>
      </c>
      <c r="J75" s="1" t="s">
        <v>41</v>
      </c>
      <c r="K75" s="1" t="s">
        <v>304</v>
      </c>
      <c r="L75" s="1" t="s">
        <v>305</v>
      </c>
      <c r="M75" s="1" t="s">
        <v>306</v>
      </c>
      <c r="N75" s="1" t="s">
        <v>30</v>
      </c>
      <c r="O75" s="1" t="s">
        <v>307</v>
      </c>
      <c r="P75" s="1" t="s">
        <v>233</v>
      </c>
      <c r="Q75" s="1" t="s">
        <v>234</v>
      </c>
      <c r="R75" s="1" t="s">
        <v>65</v>
      </c>
      <c r="S75" s="1"/>
      <c r="U75" s="1" t="s">
        <v>35</v>
      </c>
      <c r="V75" s="1" t="s">
        <v>99</v>
      </c>
      <c r="W75" s="1" t="str">
        <f>VLOOKUP(Table1[[#This Row],[Obergruppe ATC-Code]],Tabelle3!$A$2:$B$100,2)</f>
        <v>MITTEL GEGEN OBSTIPATION</v>
      </c>
      <c r="X75" s="1" t="str">
        <f xml:space="preserve"> LEFT(Table1[[#This Row],[Atc Code]],3)</f>
        <v>A06</v>
      </c>
    </row>
    <row r="76" spans="1:24" ht="14.4">
      <c r="A76" s="14">
        <v>2561</v>
      </c>
      <c r="B76" s="24" t="s">
        <v>303</v>
      </c>
      <c r="C76" s="1">
        <v>2711480</v>
      </c>
      <c r="D76" s="1" t="s">
        <v>25</v>
      </c>
      <c r="E76" s="36">
        <v>43617</v>
      </c>
      <c r="F76" s="36">
        <v>43708</v>
      </c>
      <c r="G76" s="38">
        <f t="shared" si="1"/>
        <v>91</v>
      </c>
      <c r="H76" s="5">
        <v>43640</v>
      </c>
      <c r="I76" s="5">
        <v>43658</v>
      </c>
      <c r="J76" s="1" t="s">
        <v>41</v>
      </c>
      <c r="K76" s="1" t="s">
        <v>308</v>
      </c>
      <c r="L76" s="1" t="s">
        <v>305</v>
      </c>
      <c r="M76" s="1" t="s">
        <v>306</v>
      </c>
      <c r="N76" s="1" t="s">
        <v>30</v>
      </c>
      <c r="O76" s="1" t="s">
        <v>307</v>
      </c>
      <c r="P76" s="1" t="s">
        <v>233</v>
      </c>
      <c r="Q76" s="1" t="s">
        <v>234</v>
      </c>
      <c r="R76" s="1" t="s">
        <v>26</v>
      </c>
      <c r="S76" s="1"/>
      <c r="T76" s="1" t="s">
        <v>309</v>
      </c>
      <c r="U76" s="1" t="s">
        <v>35</v>
      </c>
      <c r="V76" s="1" t="s">
        <v>99</v>
      </c>
      <c r="W76" s="1" t="str">
        <f>VLOOKUP(Table1[[#This Row],[Obergruppe ATC-Code]],Tabelle3!$A$2:$B$100,2)</f>
        <v>MITTEL GEGEN OBSTIPATION</v>
      </c>
      <c r="X76" s="1" t="str">
        <f xml:space="preserve"> LEFT(Table1[[#This Row],[Atc Code]],3)</f>
        <v>A06</v>
      </c>
    </row>
    <row r="77" spans="1:24" ht="14.4">
      <c r="A77" s="14">
        <v>1193</v>
      </c>
      <c r="B77" s="24">
        <v>10763489</v>
      </c>
      <c r="C77" s="1">
        <v>2715717</v>
      </c>
      <c r="D77" s="1" t="s">
        <v>25</v>
      </c>
      <c r="E77" s="36">
        <v>44886</v>
      </c>
      <c r="F77" s="36">
        <v>44922</v>
      </c>
      <c r="G77" s="38">
        <f t="shared" si="1"/>
        <v>36</v>
      </c>
      <c r="H77" s="5">
        <v>44902</v>
      </c>
      <c r="I77" s="5">
        <v>44935</v>
      </c>
      <c r="J77" s="1" t="s">
        <v>41</v>
      </c>
      <c r="K77" s="1" t="s">
        <v>310</v>
      </c>
      <c r="L77" s="1" t="s">
        <v>305</v>
      </c>
      <c r="M77" s="1" t="s">
        <v>306</v>
      </c>
      <c r="N77" s="1" t="s">
        <v>38</v>
      </c>
      <c r="O77" s="1" t="s">
        <v>311</v>
      </c>
      <c r="P77" s="1">
        <v>492114161190</v>
      </c>
      <c r="Q77" s="1" t="s">
        <v>241</v>
      </c>
      <c r="R77" s="1" t="s">
        <v>128</v>
      </c>
      <c r="S77" s="1" t="s">
        <v>312</v>
      </c>
      <c r="U77" s="1" t="s">
        <v>130</v>
      </c>
      <c r="V77" s="1" t="s">
        <v>99</v>
      </c>
      <c r="W77" s="1" t="str">
        <f>VLOOKUP(Table1[[#This Row],[Obergruppe ATC-Code]],Tabelle3!$A$2:$B$100,2)</f>
        <v>MITTEL GEGEN OBSTIPATION</v>
      </c>
      <c r="X77" s="1" t="str">
        <f xml:space="preserve"> LEFT(Table1[[#This Row],[Atc Code]],3)</f>
        <v>A06</v>
      </c>
    </row>
    <row r="78" spans="1:24" ht="14.4">
      <c r="A78" s="14">
        <v>2716</v>
      </c>
      <c r="B78" s="24" t="s">
        <v>313</v>
      </c>
      <c r="C78" s="1">
        <v>2714093</v>
      </c>
      <c r="D78" s="1" t="s">
        <v>25</v>
      </c>
      <c r="E78" s="36">
        <v>43862</v>
      </c>
      <c r="F78" s="36">
        <v>43921</v>
      </c>
      <c r="G78" s="38">
        <f t="shared" si="1"/>
        <v>59</v>
      </c>
      <c r="H78" s="5">
        <v>43886</v>
      </c>
      <c r="I78" s="5">
        <v>43920</v>
      </c>
      <c r="J78" s="1" t="s">
        <v>41</v>
      </c>
      <c r="K78" s="1" t="s">
        <v>314</v>
      </c>
      <c r="L78" s="1" t="s">
        <v>315</v>
      </c>
      <c r="M78" s="1" t="s">
        <v>316</v>
      </c>
      <c r="N78" s="1" t="s">
        <v>38</v>
      </c>
      <c r="O78" s="1" t="s">
        <v>171</v>
      </c>
      <c r="P78" s="1" t="s">
        <v>172</v>
      </c>
      <c r="Q78" s="1" t="s">
        <v>173</v>
      </c>
      <c r="R78" s="1" t="s">
        <v>26</v>
      </c>
      <c r="S78" s="1"/>
      <c r="U78" s="1" t="s">
        <v>35</v>
      </c>
      <c r="V78" s="1" t="s">
        <v>262</v>
      </c>
      <c r="W78" s="1" t="str">
        <f>VLOOKUP(Table1[[#This Row],[Obergruppe ATC-Code]],Tabelle3!$A$2:$B$100,2)</f>
        <v>MITTEL GEGEN OBSTIPATION</v>
      </c>
      <c r="X78" s="1" t="str">
        <f xml:space="preserve"> LEFT(Table1[[#This Row],[Atc Code]],3)</f>
        <v>A06</v>
      </c>
    </row>
    <row r="79" spans="1:24" ht="14.4">
      <c r="A79" s="14">
        <v>1869</v>
      </c>
      <c r="B79" s="24" t="s">
        <v>317</v>
      </c>
      <c r="C79" s="1">
        <v>2140332</v>
      </c>
      <c r="D79" s="1" t="s">
        <v>25</v>
      </c>
      <c r="E79" s="36">
        <v>43040</v>
      </c>
      <c r="F79" s="36">
        <v>43343</v>
      </c>
      <c r="G79" s="38">
        <f t="shared" si="1"/>
        <v>303</v>
      </c>
      <c r="H79" s="5">
        <v>43130</v>
      </c>
      <c r="I79" s="5">
        <v>43290</v>
      </c>
      <c r="J79" s="1" t="s">
        <v>41</v>
      </c>
      <c r="K79" s="1" t="s">
        <v>318</v>
      </c>
      <c r="L79" s="1" t="s">
        <v>319</v>
      </c>
      <c r="M79" s="1" t="s">
        <v>320</v>
      </c>
      <c r="N79" s="1" t="s">
        <v>30</v>
      </c>
      <c r="O79" s="1" t="s">
        <v>321</v>
      </c>
      <c r="P79" s="1" t="s">
        <v>322</v>
      </c>
      <c r="Q79" s="1" t="s">
        <v>323</v>
      </c>
      <c r="R79" s="1" t="s">
        <v>26</v>
      </c>
      <c r="S79" s="1"/>
      <c r="U79" s="1" t="s">
        <v>35</v>
      </c>
      <c r="V79" s="1" t="s">
        <v>324</v>
      </c>
      <c r="W79" s="1" t="str">
        <f>VLOOKUP(Table1[[#This Row],[Obergruppe ATC-Code]],Tabelle3!$A$2:$B$100,2)</f>
        <v>ANTIDIARRHOIKA UND INTESTINALE ANTIPHLOGISTIKA/ANTIINFEKTIVA</v>
      </c>
      <c r="X79" s="1" t="str">
        <f xml:space="preserve"> LEFT(Table1[[#This Row],[Atc Code]],3)</f>
        <v>A07</v>
      </c>
    </row>
    <row r="80" spans="1:24" ht="14.4">
      <c r="A80" s="14">
        <v>1866</v>
      </c>
      <c r="B80" s="24" t="s">
        <v>317</v>
      </c>
      <c r="C80" s="1">
        <v>419615</v>
      </c>
      <c r="D80" s="1" t="s">
        <v>25</v>
      </c>
      <c r="E80" s="36">
        <v>43101</v>
      </c>
      <c r="F80" s="36">
        <v>43373</v>
      </c>
      <c r="G80" s="38">
        <f t="shared" si="1"/>
        <v>272</v>
      </c>
      <c r="H80" s="5">
        <v>43130</v>
      </c>
      <c r="I80" s="5">
        <v>43332</v>
      </c>
      <c r="J80" s="1" t="s">
        <v>41</v>
      </c>
      <c r="K80" s="1" t="s">
        <v>325</v>
      </c>
      <c r="L80" s="1" t="s">
        <v>319</v>
      </c>
      <c r="M80" s="1" t="s">
        <v>320</v>
      </c>
      <c r="N80" s="1" t="s">
        <v>30</v>
      </c>
      <c r="O80" s="1" t="s">
        <v>321</v>
      </c>
      <c r="P80" s="1" t="s">
        <v>322</v>
      </c>
      <c r="Q80" s="1" t="s">
        <v>323</v>
      </c>
      <c r="R80" s="1" t="s">
        <v>26</v>
      </c>
      <c r="S80" s="1"/>
      <c r="U80" s="1" t="s">
        <v>35</v>
      </c>
      <c r="V80" s="1" t="s">
        <v>262</v>
      </c>
      <c r="W80" s="1" t="str">
        <f>VLOOKUP(Table1[[#This Row],[Obergruppe ATC-Code]],Tabelle3!$A$2:$B$100,2)</f>
        <v>ANTIDIARRHOIKA UND INTESTINALE ANTIPHLOGISTIKA/ANTIINFEKTIVA</v>
      </c>
      <c r="X80" s="1" t="str">
        <f xml:space="preserve"> LEFT(Table1[[#This Row],[Atc Code]],3)</f>
        <v>A07</v>
      </c>
    </row>
    <row r="81" spans="1:24" ht="14.4">
      <c r="A81" s="14">
        <v>1868</v>
      </c>
      <c r="B81" s="24" t="s">
        <v>317</v>
      </c>
      <c r="C81" s="1">
        <v>2140332</v>
      </c>
      <c r="D81" s="1" t="s">
        <v>25</v>
      </c>
      <c r="E81" s="36">
        <v>43374</v>
      </c>
      <c r="F81" s="36">
        <v>43496</v>
      </c>
      <c r="G81" s="38">
        <f t="shared" si="1"/>
        <v>122</v>
      </c>
      <c r="H81" s="5">
        <v>43383</v>
      </c>
      <c r="I81" s="5">
        <v>43434</v>
      </c>
      <c r="J81" s="1" t="s">
        <v>41</v>
      </c>
      <c r="K81" s="1" t="s">
        <v>318</v>
      </c>
      <c r="L81" s="1" t="s">
        <v>319</v>
      </c>
      <c r="M81" s="1" t="s">
        <v>320</v>
      </c>
      <c r="N81" s="1" t="s">
        <v>30</v>
      </c>
      <c r="O81" s="1" t="s">
        <v>321</v>
      </c>
      <c r="P81" s="1" t="s">
        <v>322</v>
      </c>
      <c r="Q81" s="1" t="s">
        <v>323</v>
      </c>
      <c r="R81" s="1" t="s">
        <v>26</v>
      </c>
      <c r="S81" s="1"/>
      <c r="U81" s="1" t="s">
        <v>35</v>
      </c>
      <c r="V81" s="1" t="s">
        <v>324</v>
      </c>
      <c r="W81" s="1" t="str">
        <f>VLOOKUP(Table1[[#This Row],[Obergruppe ATC-Code]],Tabelle3!$A$2:$B$100,2)</f>
        <v>ANTIDIARRHOIKA UND INTESTINALE ANTIPHLOGISTIKA/ANTIINFEKTIVA</v>
      </c>
      <c r="X81" s="1" t="str">
        <f xml:space="preserve"> LEFT(Table1[[#This Row],[Atc Code]],3)</f>
        <v>A07</v>
      </c>
    </row>
    <row r="82" spans="1:24" ht="14.4">
      <c r="A82" s="14">
        <v>1867</v>
      </c>
      <c r="B82" s="24" t="s">
        <v>317</v>
      </c>
      <c r="C82" s="1">
        <v>2140332</v>
      </c>
      <c r="D82" s="1" t="s">
        <v>25</v>
      </c>
      <c r="E82" s="36">
        <v>43586</v>
      </c>
      <c r="F82" s="36">
        <v>43677</v>
      </c>
      <c r="G82" s="38">
        <f t="shared" si="1"/>
        <v>91</v>
      </c>
      <c r="H82" s="5">
        <v>43588</v>
      </c>
      <c r="I82" s="5">
        <v>43634</v>
      </c>
      <c r="J82" s="1" t="s">
        <v>41</v>
      </c>
      <c r="K82" s="1" t="s">
        <v>318</v>
      </c>
      <c r="L82" s="1" t="s">
        <v>319</v>
      </c>
      <c r="M82" s="1" t="s">
        <v>320</v>
      </c>
      <c r="N82" s="1" t="s">
        <v>30</v>
      </c>
      <c r="O82" s="1" t="s">
        <v>321</v>
      </c>
      <c r="P82" s="1" t="s">
        <v>326</v>
      </c>
      <c r="Q82" s="1" t="s">
        <v>327</v>
      </c>
      <c r="R82" s="1" t="s">
        <v>26</v>
      </c>
      <c r="S82" s="1"/>
      <c r="U82" s="1" t="s">
        <v>35</v>
      </c>
      <c r="V82" s="1" t="s">
        <v>324</v>
      </c>
      <c r="W82" s="1" t="str">
        <f>VLOOKUP(Table1[[#This Row],[Obergruppe ATC-Code]],Tabelle3!$A$2:$B$100,2)</f>
        <v>ANTIDIARRHOIKA UND INTESTINALE ANTIPHLOGISTIKA/ANTIINFEKTIVA</v>
      </c>
      <c r="X82" s="1" t="str">
        <f xml:space="preserve"> LEFT(Table1[[#This Row],[Atc Code]],3)</f>
        <v>A07</v>
      </c>
    </row>
    <row r="83" spans="1:24" ht="14.4">
      <c r="A83" s="14">
        <v>1725</v>
      </c>
      <c r="B83" s="24" t="s">
        <v>328</v>
      </c>
      <c r="C83" s="1">
        <v>419615</v>
      </c>
      <c r="D83" s="1" t="s">
        <v>25</v>
      </c>
      <c r="E83" s="36">
        <v>44922</v>
      </c>
      <c r="F83" s="36">
        <v>45054</v>
      </c>
      <c r="G83" s="38">
        <f t="shared" si="1"/>
        <v>132</v>
      </c>
      <c r="H83" s="5">
        <v>44900</v>
      </c>
      <c r="I83" s="5">
        <v>45054</v>
      </c>
      <c r="J83" s="1" t="s">
        <v>26</v>
      </c>
      <c r="K83" s="1" t="s">
        <v>325</v>
      </c>
      <c r="L83" s="1" t="s">
        <v>319</v>
      </c>
      <c r="M83" s="1" t="s">
        <v>320</v>
      </c>
      <c r="N83" s="1" t="s">
        <v>30</v>
      </c>
      <c r="O83" s="1" t="s">
        <v>329</v>
      </c>
      <c r="P83" s="1" t="s">
        <v>330</v>
      </c>
      <c r="Q83" s="1" t="s">
        <v>331</v>
      </c>
      <c r="R83" s="1" t="s">
        <v>113</v>
      </c>
      <c r="S83" s="1" t="s">
        <v>332</v>
      </c>
      <c r="U83" s="1" t="s">
        <v>35</v>
      </c>
      <c r="V83" s="1" t="s">
        <v>262</v>
      </c>
      <c r="W83" s="1" t="str">
        <f>VLOOKUP(Table1[[#This Row],[Obergruppe ATC-Code]],Tabelle3!$A$2:$B$100,2)</f>
        <v>ANTIDIARRHOIKA UND INTESTINALE ANTIPHLOGISTIKA/ANTIINFEKTIVA</v>
      </c>
      <c r="X83" s="1" t="str">
        <f xml:space="preserve"> LEFT(Table1[[#This Row],[Atc Code]],3)</f>
        <v>A07</v>
      </c>
    </row>
    <row r="84" spans="1:24" ht="14.4">
      <c r="A84" s="14">
        <v>405</v>
      </c>
      <c r="B84" s="24">
        <v>2421355</v>
      </c>
      <c r="C84" s="1">
        <v>70621</v>
      </c>
      <c r="D84" s="1" t="s">
        <v>25</v>
      </c>
      <c r="E84" s="36">
        <v>44907</v>
      </c>
      <c r="F84" s="36">
        <v>44974</v>
      </c>
      <c r="G84" s="38">
        <f t="shared" si="1"/>
        <v>67</v>
      </c>
      <c r="H84" s="5">
        <v>44909</v>
      </c>
      <c r="I84" s="5">
        <v>44974</v>
      </c>
      <c r="J84" s="1" t="s">
        <v>26</v>
      </c>
      <c r="K84" s="1" t="s">
        <v>333</v>
      </c>
      <c r="L84" s="1" t="s">
        <v>334</v>
      </c>
      <c r="M84" s="1" t="s">
        <v>29</v>
      </c>
      <c r="N84" s="1" t="s">
        <v>30</v>
      </c>
      <c r="O84" s="1" t="s">
        <v>31</v>
      </c>
      <c r="Q84" s="1" t="s">
        <v>32</v>
      </c>
      <c r="R84" s="1" t="s">
        <v>33</v>
      </c>
      <c r="S84" s="1" t="s">
        <v>335</v>
      </c>
      <c r="U84" s="1" t="s">
        <v>35</v>
      </c>
      <c r="V84" s="1" t="s">
        <v>49</v>
      </c>
      <c r="W84" s="1" t="str">
        <f>VLOOKUP(Table1[[#This Row],[Obergruppe ATC-Code]],Tabelle3!$A$2:$B$100,2)</f>
        <v>ANTIDIARRHOIKA UND INTESTINALE ANTIPHLOGISTIKA/ANTIINFEKTIVA</v>
      </c>
      <c r="X84" s="1" t="str">
        <f xml:space="preserve"> LEFT(Table1[[#This Row],[Atc Code]],3)</f>
        <v>A07</v>
      </c>
    </row>
    <row r="85" spans="1:24" ht="14.4">
      <c r="A85" s="14">
        <v>1365</v>
      </c>
      <c r="B85" s="24">
        <v>13414714</v>
      </c>
      <c r="C85" s="1">
        <v>2199760</v>
      </c>
      <c r="D85" s="1" t="s">
        <v>175</v>
      </c>
      <c r="E85" s="36">
        <v>45170</v>
      </c>
      <c r="F85" s="36">
        <v>45657</v>
      </c>
      <c r="G85" s="38">
        <f t="shared" si="1"/>
        <v>487</v>
      </c>
      <c r="H85" s="5">
        <v>45146</v>
      </c>
      <c r="I85" s="5">
        <v>45146</v>
      </c>
      <c r="J85" s="1" t="s">
        <v>41</v>
      </c>
      <c r="K85" s="1" t="s">
        <v>336</v>
      </c>
      <c r="L85" s="1" t="s">
        <v>337</v>
      </c>
      <c r="M85" s="1" t="s">
        <v>338</v>
      </c>
      <c r="N85" s="1" t="s">
        <v>38</v>
      </c>
      <c r="O85" s="1" t="s">
        <v>339</v>
      </c>
      <c r="P85" s="1" t="s">
        <v>340</v>
      </c>
      <c r="Q85" s="1" t="s">
        <v>341</v>
      </c>
      <c r="R85" s="1" t="s">
        <v>128</v>
      </c>
      <c r="S85" s="1"/>
      <c r="U85" s="1" t="s">
        <v>35</v>
      </c>
      <c r="V85" s="1" t="s">
        <v>342</v>
      </c>
      <c r="W85" s="1" t="str">
        <f>VLOOKUP(Table1[[#This Row],[Obergruppe ATC-Code]],Tabelle3!$A$2:$B$100,2)</f>
        <v>ANTIDIARRHOIKA UND INTESTINALE ANTIPHLOGISTIKA/ANTIINFEKTIVA</v>
      </c>
      <c r="X85" s="1" t="str">
        <f xml:space="preserve"> LEFT(Table1[[#This Row],[Atc Code]],3)</f>
        <v>A07</v>
      </c>
    </row>
    <row r="86" spans="1:24" ht="14.4">
      <c r="A86" s="14">
        <v>2182</v>
      </c>
      <c r="B86" s="24" t="s">
        <v>343</v>
      </c>
      <c r="C86" s="1">
        <v>2134563</v>
      </c>
      <c r="D86" s="1" t="s">
        <v>25</v>
      </c>
      <c r="E86" s="36">
        <v>44659</v>
      </c>
      <c r="F86" s="36">
        <v>44685</v>
      </c>
      <c r="G86" s="38">
        <f t="shared" si="1"/>
        <v>26</v>
      </c>
      <c r="H86" s="5">
        <v>44659</v>
      </c>
      <c r="I86" s="5">
        <v>44686</v>
      </c>
      <c r="J86" s="1" t="s">
        <v>41</v>
      </c>
      <c r="K86" s="1" t="s">
        <v>344</v>
      </c>
      <c r="L86" s="1" t="s">
        <v>345</v>
      </c>
      <c r="M86" s="1" t="s">
        <v>346</v>
      </c>
      <c r="N86" s="1" t="s">
        <v>38</v>
      </c>
      <c r="O86" s="1" t="s">
        <v>347</v>
      </c>
      <c r="P86" s="1" t="s">
        <v>348</v>
      </c>
      <c r="Q86" s="1" t="s">
        <v>349</v>
      </c>
      <c r="R86" s="1" t="s">
        <v>128</v>
      </c>
      <c r="S86" s="1" t="s">
        <v>350</v>
      </c>
      <c r="T86" s="1" t="s">
        <v>351</v>
      </c>
      <c r="U86" s="1" t="s">
        <v>35</v>
      </c>
      <c r="V86" s="1" t="s">
        <v>352</v>
      </c>
      <c r="W86" s="1" t="str">
        <f>VLOOKUP(Table1[[#This Row],[Obergruppe ATC-Code]],Tabelle3!$A$2:$B$100,2)</f>
        <v>ANTIDIARRHOIKA UND INTESTINALE ANTIPHLOGISTIKA/ANTIINFEKTIVA</v>
      </c>
      <c r="X86" s="1" t="str">
        <f xml:space="preserve"> LEFT(Table1[[#This Row],[Atc Code]],3)</f>
        <v>A07</v>
      </c>
    </row>
    <row r="87" spans="1:24" ht="14.4">
      <c r="A87" s="14">
        <v>1459</v>
      </c>
      <c r="B87" s="24">
        <v>14398182</v>
      </c>
      <c r="C87" s="1">
        <v>2192324</v>
      </c>
      <c r="D87" s="1" t="s">
        <v>102</v>
      </c>
      <c r="E87" s="36">
        <v>45154</v>
      </c>
      <c r="F87" s="36">
        <v>45260</v>
      </c>
      <c r="G87" s="38">
        <f t="shared" si="1"/>
        <v>106</v>
      </c>
      <c r="H87" s="5">
        <v>45154</v>
      </c>
      <c r="I87" s="5">
        <v>45204</v>
      </c>
      <c r="J87" s="1" t="s">
        <v>41</v>
      </c>
      <c r="K87" s="1" t="s">
        <v>353</v>
      </c>
      <c r="L87" s="1" t="s">
        <v>354</v>
      </c>
      <c r="M87" s="1" t="s">
        <v>355</v>
      </c>
      <c r="N87" s="1" t="s">
        <v>38</v>
      </c>
      <c r="O87" s="1" t="s">
        <v>356</v>
      </c>
      <c r="P87" s="1">
        <v>494315852134</v>
      </c>
      <c r="Q87" s="1" t="s">
        <v>357</v>
      </c>
      <c r="R87" s="1" t="s">
        <v>128</v>
      </c>
      <c r="S87" s="1" t="s">
        <v>358</v>
      </c>
      <c r="U87" s="1" t="s">
        <v>130</v>
      </c>
      <c r="V87" s="1" t="s">
        <v>359</v>
      </c>
      <c r="W87" s="1" t="str">
        <f>VLOOKUP(Table1[[#This Row],[Obergruppe ATC-Code]],Tabelle3!$A$2:$B$100,2)</f>
        <v>ANTIDIARRHOIKA UND INTESTINALE ANTIPHLOGISTIKA/ANTIINFEKTIVA</v>
      </c>
      <c r="X87" s="1" t="str">
        <f xml:space="preserve"> LEFT(Table1[[#This Row],[Atc Code]],3)</f>
        <v>A07</v>
      </c>
    </row>
    <row r="88" spans="1:24" ht="14.4">
      <c r="A88" s="14">
        <v>2193</v>
      </c>
      <c r="B88" s="24" t="s">
        <v>360</v>
      </c>
      <c r="C88" s="1">
        <v>2116573</v>
      </c>
      <c r="D88" s="1" t="s">
        <v>25</v>
      </c>
      <c r="E88" s="36">
        <v>43678</v>
      </c>
      <c r="F88" s="36">
        <v>43769</v>
      </c>
      <c r="G88" s="38">
        <f t="shared" si="1"/>
        <v>91</v>
      </c>
      <c r="H88" s="5">
        <v>43683</v>
      </c>
      <c r="I88" s="5">
        <v>43805</v>
      </c>
      <c r="J88" s="1" t="s">
        <v>41</v>
      </c>
      <c r="K88" s="1" t="s">
        <v>361</v>
      </c>
      <c r="L88" s="1" t="s">
        <v>362</v>
      </c>
      <c r="M88" s="1" t="s">
        <v>363</v>
      </c>
      <c r="N88" s="1" t="s">
        <v>30</v>
      </c>
      <c r="O88" s="1" t="s">
        <v>364</v>
      </c>
      <c r="P88" s="1" t="s">
        <v>365</v>
      </c>
      <c r="Q88" s="1" t="s">
        <v>366</v>
      </c>
      <c r="R88" s="1" t="s">
        <v>48</v>
      </c>
      <c r="S88" s="1"/>
      <c r="U88" s="1" t="s">
        <v>35</v>
      </c>
      <c r="V88" s="1" t="s">
        <v>367</v>
      </c>
      <c r="W88" s="1" t="str">
        <f>VLOOKUP(Table1[[#This Row],[Obergruppe ATC-Code]],Tabelle3!$A$2:$B$100,2)</f>
        <v>ANTIDIARRHOIKA UND INTESTINALE ANTIPHLOGISTIKA/ANTIINFEKTIVA</v>
      </c>
      <c r="X88" s="1" t="str">
        <f xml:space="preserve"> LEFT(Table1[[#This Row],[Atc Code]],3)</f>
        <v>A07</v>
      </c>
    </row>
    <row r="89" spans="1:24" ht="14.4">
      <c r="A89" s="14">
        <v>2970</v>
      </c>
      <c r="B89" s="24" t="s">
        <v>368</v>
      </c>
      <c r="C89" s="1">
        <v>161329</v>
      </c>
      <c r="D89" s="1" t="s">
        <v>25</v>
      </c>
      <c r="E89" s="36">
        <v>43891</v>
      </c>
      <c r="F89" s="36">
        <v>43982</v>
      </c>
      <c r="G89" s="38">
        <f t="shared" si="1"/>
        <v>91</v>
      </c>
      <c r="H89" s="5">
        <v>43914</v>
      </c>
      <c r="I89" s="5">
        <v>43971</v>
      </c>
      <c r="J89" s="1" t="s">
        <v>41</v>
      </c>
      <c r="K89" s="1" t="s">
        <v>369</v>
      </c>
      <c r="L89" s="1" t="s">
        <v>362</v>
      </c>
      <c r="M89" s="1" t="s">
        <v>363</v>
      </c>
      <c r="N89" s="1" t="s">
        <v>38</v>
      </c>
      <c r="O89" s="1" t="s">
        <v>321</v>
      </c>
      <c r="P89" s="1" t="s">
        <v>370</v>
      </c>
      <c r="Q89" s="1" t="s">
        <v>327</v>
      </c>
      <c r="R89" s="1" t="s">
        <v>48</v>
      </c>
      <c r="S89" s="1"/>
      <c r="T89" s="1" t="s">
        <v>371</v>
      </c>
      <c r="U89" s="1" t="s">
        <v>35</v>
      </c>
      <c r="V89" s="1" t="s">
        <v>49</v>
      </c>
      <c r="W89" s="1" t="str">
        <f>VLOOKUP(Table1[[#This Row],[Obergruppe ATC-Code]],Tabelle3!$A$2:$B$100,2)</f>
        <v>ANTIDIARRHOIKA UND INTESTINALE ANTIPHLOGISTIKA/ANTIINFEKTIVA</v>
      </c>
      <c r="X89" s="1" t="str">
        <f xml:space="preserve"> LEFT(Table1[[#This Row],[Atc Code]],3)</f>
        <v>A07</v>
      </c>
    </row>
    <row r="90" spans="1:24" ht="14.4">
      <c r="A90" s="14">
        <v>2041</v>
      </c>
      <c r="B90" s="24" t="s">
        <v>372</v>
      </c>
      <c r="C90" s="1">
        <v>2159239</v>
      </c>
      <c r="D90" s="1" t="s">
        <v>25</v>
      </c>
      <c r="E90" s="36">
        <v>43525</v>
      </c>
      <c r="F90" s="36">
        <v>44012</v>
      </c>
      <c r="G90" s="38">
        <f t="shared" si="1"/>
        <v>487</v>
      </c>
      <c r="H90" s="5">
        <v>43553</v>
      </c>
      <c r="I90" s="5">
        <v>44008</v>
      </c>
      <c r="J90" s="1" t="s">
        <v>41</v>
      </c>
      <c r="K90" s="1" t="s">
        <v>373</v>
      </c>
      <c r="L90" s="1" t="s">
        <v>362</v>
      </c>
      <c r="M90" s="1" t="s">
        <v>363</v>
      </c>
      <c r="N90" s="1" t="s">
        <v>38</v>
      </c>
      <c r="O90" s="1" t="s">
        <v>91</v>
      </c>
      <c r="P90" s="1" t="s">
        <v>374</v>
      </c>
      <c r="Q90" s="1" t="s">
        <v>375</v>
      </c>
      <c r="R90" s="1" t="s">
        <v>48</v>
      </c>
      <c r="S90" s="1"/>
      <c r="U90" s="1" t="s">
        <v>35</v>
      </c>
      <c r="V90" s="1" t="s">
        <v>367</v>
      </c>
      <c r="W90" s="1" t="str">
        <f>VLOOKUP(Table1[[#This Row],[Obergruppe ATC-Code]],Tabelle3!$A$2:$B$100,2)</f>
        <v>ANTIDIARRHOIKA UND INTESTINALE ANTIPHLOGISTIKA/ANTIINFEKTIVA</v>
      </c>
      <c r="X90" s="1" t="str">
        <f xml:space="preserve"> LEFT(Table1[[#This Row],[Atc Code]],3)</f>
        <v>A07</v>
      </c>
    </row>
    <row r="91" spans="1:24" ht="14.4">
      <c r="A91" s="14">
        <v>3032</v>
      </c>
      <c r="B91" s="1">
        <v>4947759</v>
      </c>
      <c r="C91" s="1">
        <v>2116571</v>
      </c>
      <c r="D91" s="1" t="s">
        <v>25</v>
      </c>
      <c r="E91" s="36">
        <v>43709</v>
      </c>
      <c r="F91" s="36">
        <v>44012</v>
      </c>
      <c r="G91" s="38">
        <f t="shared" si="1"/>
        <v>303</v>
      </c>
      <c r="H91" s="5">
        <v>43705</v>
      </c>
      <c r="I91" s="5">
        <v>44013</v>
      </c>
      <c r="J91" s="1" t="s">
        <v>41</v>
      </c>
      <c r="K91" s="1" t="s">
        <v>376</v>
      </c>
      <c r="L91" s="1" t="s">
        <v>362</v>
      </c>
      <c r="M91" s="1" t="s">
        <v>363</v>
      </c>
      <c r="N91" s="1" t="s">
        <v>30</v>
      </c>
      <c r="O91" s="1" t="s">
        <v>62</v>
      </c>
      <c r="P91" s="1" t="s">
        <v>63</v>
      </c>
      <c r="Q91" s="1" t="s">
        <v>64</v>
      </c>
      <c r="R91" s="1" t="s">
        <v>26</v>
      </c>
      <c r="S91" s="1"/>
      <c r="U91" s="1" t="s">
        <v>35</v>
      </c>
      <c r="V91" s="1" t="s">
        <v>367</v>
      </c>
      <c r="W91" s="1" t="str">
        <f>VLOOKUP(Table1[[#This Row],[Obergruppe ATC-Code]],Tabelle3!$A$2:$B$100,2)</f>
        <v>ANTIDIARRHOIKA UND INTESTINALE ANTIPHLOGISTIKA/ANTIINFEKTIVA</v>
      </c>
      <c r="X91" s="1" t="str">
        <f xml:space="preserve"> LEFT(Table1[[#This Row],[Atc Code]],3)</f>
        <v>A07</v>
      </c>
    </row>
    <row r="92" spans="1:24" ht="15" customHeight="1">
      <c r="A92" s="14">
        <v>2968</v>
      </c>
      <c r="B92" s="24" t="s">
        <v>368</v>
      </c>
      <c r="C92" s="1">
        <v>161306</v>
      </c>
      <c r="D92" s="1" t="s">
        <v>25</v>
      </c>
      <c r="E92" s="36">
        <v>43983</v>
      </c>
      <c r="F92" s="36">
        <v>44135</v>
      </c>
      <c r="G92" s="38">
        <f t="shared" si="1"/>
        <v>152</v>
      </c>
      <c r="H92" s="5">
        <v>43978</v>
      </c>
      <c r="I92" s="5">
        <v>44124</v>
      </c>
      <c r="J92" s="1" t="s">
        <v>41</v>
      </c>
      <c r="K92" s="1" t="s">
        <v>377</v>
      </c>
      <c r="L92" s="1" t="s">
        <v>362</v>
      </c>
      <c r="M92" s="1" t="s">
        <v>363</v>
      </c>
      <c r="N92" s="1" t="s">
        <v>30</v>
      </c>
      <c r="O92" s="1" t="s">
        <v>321</v>
      </c>
      <c r="P92" s="1" t="s">
        <v>326</v>
      </c>
      <c r="Q92" s="1" t="s">
        <v>327</v>
      </c>
      <c r="R92" s="1" t="s">
        <v>48</v>
      </c>
      <c r="S92" s="1"/>
      <c r="T92" s="1" t="s">
        <v>371</v>
      </c>
      <c r="U92" s="1" t="s">
        <v>35</v>
      </c>
      <c r="V92" s="1" t="s">
        <v>367</v>
      </c>
      <c r="W92" s="1" t="str">
        <f>VLOOKUP(Table1[[#This Row],[Obergruppe ATC-Code]],Tabelle3!$A$2:$B$100,2)</f>
        <v>ANTIDIARRHOIKA UND INTESTINALE ANTIPHLOGISTIKA/ANTIINFEKTIVA</v>
      </c>
      <c r="X92" s="1" t="str">
        <f xml:space="preserve"> LEFT(Table1[[#This Row],[Atc Code]],3)</f>
        <v>A07</v>
      </c>
    </row>
    <row r="93" spans="1:24" ht="14.4">
      <c r="A93" s="14">
        <v>2969</v>
      </c>
      <c r="B93" s="24" t="s">
        <v>368</v>
      </c>
      <c r="C93" s="1">
        <v>161329</v>
      </c>
      <c r="D93" s="1" t="s">
        <v>25</v>
      </c>
      <c r="E93" s="36">
        <v>44105</v>
      </c>
      <c r="F93" s="36">
        <v>44255</v>
      </c>
      <c r="G93" s="38">
        <f t="shared" si="1"/>
        <v>150</v>
      </c>
      <c r="H93" s="5">
        <v>44124</v>
      </c>
      <c r="I93" s="5">
        <v>44236</v>
      </c>
      <c r="J93" s="1" t="s">
        <v>41</v>
      </c>
      <c r="K93" s="1" t="s">
        <v>369</v>
      </c>
      <c r="L93" s="1" t="s">
        <v>362</v>
      </c>
      <c r="M93" s="1" t="s">
        <v>363</v>
      </c>
      <c r="N93" s="1" t="s">
        <v>38</v>
      </c>
      <c r="O93" s="1" t="s">
        <v>321</v>
      </c>
      <c r="P93" s="1" t="s">
        <v>370</v>
      </c>
      <c r="Q93" s="1" t="s">
        <v>327</v>
      </c>
      <c r="R93" s="1" t="s">
        <v>48</v>
      </c>
      <c r="S93" s="1"/>
      <c r="T93" s="1" t="s">
        <v>371</v>
      </c>
      <c r="U93" s="1" t="s">
        <v>35</v>
      </c>
      <c r="V93" s="1" t="s">
        <v>49</v>
      </c>
      <c r="W93" s="1" t="str">
        <f>VLOOKUP(Table1[[#This Row],[Obergruppe ATC-Code]],Tabelle3!$A$2:$B$100,2)</f>
        <v>ANTIDIARRHOIKA UND INTESTINALE ANTIPHLOGISTIKA/ANTIINFEKTIVA</v>
      </c>
      <c r="X93" s="1" t="str">
        <f xml:space="preserve"> LEFT(Table1[[#This Row],[Atc Code]],3)</f>
        <v>A07</v>
      </c>
    </row>
    <row r="94" spans="1:24" ht="14.4">
      <c r="A94" s="14">
        <v>1977</v>
      </c>
      <c r="B94" s="24" t="s">
        <v>378</v>
      </c>
      <c r="C94" s="1">
        <v>2127172</v>
      </c>
      <c r="D94" s="1" t="s">
        <v>25</v>
      </c>
      <c r="E94" s="36">
        <v>44845</v>
      </c>
      <c r="F94" s="36">
        <v>44882</v>
      </c>
      <c r="G94" s="38">
        <f t="shared" si="1"/>
        <v>37</v>
      </c>
      <c r="H94" s="5">
        <v>44845</v>
      </c>
      <c r="I94" s="5">
        <v>44882</v>
      </c>
      <c r="J94" s="1" t="s">
        <v>26</v>
      </c>
      <c r="K94" s="1" t="s">
        <v>379</v>
      </c>
      <c r="L94" s="1" t="s">
        <v>380</v>
      </c>
      <c r="M94" s="1" t="s">
        <v>381</v>
      </c>
      <c r="N94" s="1" t="s">
        <v>38</v>
      </c>
      <c r="O94" s="1" t="s">
        <v>356</v>
      </c>
      <c r="P94" s="1">
        <v>4315852134</v>
      </c>
      <c r="Q94" s="1" t="s">
        <v>357</v>
      </c>
      <c r="R94" s="1" t="s">
        <v>113</v>
      </c>
      <c r="S94" s="1"/>
      <c r="U94" s="1" t="s">
        <v>130</v>
      </c>
      <c r="V94" s="1" t="s">
        <v>359</v>
      </c>
      <c r="W94" s="1" t="str">
        <f>VLOOKUP(Table1[[#This Row],[Obergruppe ATC-Code]],Tabelle3!$A$2:$B$100,2)</f>
        <v>ANTIDIARRHOIKA UND INTESTINALE ANTIPHLOGISTIKA/ANTIINFEKTIVA</v>
      </c>
      <c r="X94" s="1" t="str">
        <f xml:space="preserve"> LEFT(Table1[[#This Row],[Atc Code]],3)</f>
        <v>A07</v>
      </c>
    </row>
    <row r="95" spans="1:24" ht="14.4">
      <c r="A95" s="14">
        <v>1495</v>
      </c>
      <c r="B95" s="24">
        <v>15619030</v>
      </c>
      <c r="C95" s="1">
        <v>2202543</v>
      </c>
      <c r="D95" s="1" t="s">
        <v>25</v>
      </c>
      <c r="E95" s="36">
        <v>45187</v>
      </c>
      <c r="F95" s="36">
        <v>45194</v>
      </c>
      <c r="G95" s="38">
        <f t="shared" si="1"/>
        <v>7</v>
      </c>
      <c r="H95" s="5">
        <v>45145</v>
      </c>
      <c r="I95" s="5">
        <v>45194</v>
      </c>
      <c r="J95" s="1" t="s">
        <v>41</v>
      </c>
      <c r="K95" s="1" t="s">
        <v>382</v>
      </c>
      <c r="L95" s="1" t="s">
        <v>380</v>
      </c>
      <c r="M95" s="1" t="s">
        <v>381</v>
      </c>
      <c r="N95" s="1" t="s">
        <v>38</v>
      </c>
      <c r="O95" s="1" t="s">
        <v>383</v>
      </c>
      <c r="Q95" s="1" t="s">
        <v>384</v>
      </c>
      <c r="R95" s="1" t="s">
        <v>128</v>
      </c>
      <c r="S95" s="1" t="s">
        <v>385</v>
      </c>
      <c r="U95" s="1" t="s">
        <v>35</v>
      </c>
      <c r="V95" s="1" t="s">
        <v>386</v>
      </c>
      <c r="W95" s="1" t="str">
        <f>VLOOKUP(Table1[[#This Row],[Obergruppe ATC-Code]],Tabelle3!$A$2:$B$100,2)</f>
        <v>ANTIDIARRHOIKA UND INTESTINALE ANTIPHLOGISTIKA/ANTIINFEKTIVA</v>
      </c>
      <c r="X95" s="1" t="str">
        <f xml:space="preserve"> LEFT(Table1[[#This Row],[Atc Code]],3)</f>
        <v>A07</v>
      </c>
    </row>
    <row r="96" spans="1:24" ht="14.4">
      <c r="A96" s="14">
        <v>2962</v>
      </c>
      <c r="B96" s="24" t="s">
        <v>387</v>
      </c>
      <c r="C96" s="1">
        <v>751835</v>
      </c>
      <c r="D96" s="1" t="s">
        <v>25</v>
      </c>
      <c r="E96" s="36">
        <v>43191</v>
      </c>
      <c r="F96" s="36">
        <v>43281</v>
      </c>
      <c r="G96" s="38">
        <f t="shared" si="1"/>
        <v>90</v>
      </c>
      <c r="H96" s="5">
        <v>43238</v>
      </c>
      <c r="I96" s="5">
        <v>43273</v>
      </c>
      <c r="J96" s="1" t="s">
        <v>41</v>
      </c>
      <c r="K96" s="1" t="s">
        <v>388</v>
      </c>
      <c r="L96" s="1" t="s">
        <v>389</v>
      </c>
      <c r="M96" s="1" t="s">
        <v>390</v>
      </c>
      <c r="N96" s="1" t="s">
        <v>30</v>
      </c>
      <c r="O96" s="1" t="s">
        <v>391</v>
      </c>
      <c r="P96" s="1">
        <v>383485390</v>
      </c>
      <c r="Q96" s="1" t="s">
        <v>392</v>
      </c>
      <c r="R96" s="1" t="s">
        <v>26</v>
      </c>
      <c r="S96" s="1"/>
      <c r="T96" s="1" t="s">
        <v>393</v>
      </c>
      <c r="U96" s="1" t="s">
        <v>35</v>
      </c>
      <c r="V96" s="1" t="s">
        <v>158</v>
      </c>
      <c r="W96" s="1" t="str">
        <f>VLOOKUP(Table1[[#This Row],[Obergruppe ATC-Code]],Tabelle3!$A$2:$B$100,2)</f>
        <v>DIGESTIVA, INKL. ENZYME</v>
      </c>
      <c r="X96" s="1" t="str">
        <f xml:space="preserve"> LEFT(Table1[[#This Row],[Atc Code]],3)</f>
        <v>A09</v>
      </c>
    </row>
    <row r="97" spans="1:24" ht="14.4">
      <c r="A97" s="14">
        <v>2961</v>
      </c>
      <c r="B97" s="24" t="s">
        <v>387</v>
      </c>
      <c r="C97" s="1">
        <v>751835</v>
      </c>
      <c r="D97" s="1" t="s">
        <v>25</v>
      </c>
      <c r="E97" s="36">
        <v>43282</v>
      </c>
      <c r="F97" s="36">
        <v>43373</v>
      </c>
      <c r="G97" s="38">
        <f t="shared" si="1"/>
        <v>91</v>
      </c>
      <c r="H97" s="5">
        <v>43298</v>
      </c>
      <c r="I97" s="5">
        <v>43367</v>
      </c>
      <c r="J97" s="1" t="s">
        <v>41</v>
      </c>
      <c r="K97" s="1" t="s">
        <v>388</v>
      </c>
      <c r="L97" s="1" t="s">
        <v>389</v>
      </c>
      <c r="M97" s="1" t="s">
        <v>390</v>
      </c>
      <c r="N97" s="1" t="s">
        <v>30</v>
      </c>
      <c r="O97" s="1" t="s">
        <v>391</v>
      </c>
      <c r="P97" s="1">
        <v>383485390</v>
      </c>
      <c r="Q97" s="1" t="s">
        <v>392</v>
      </c>
      <c r="R97" s="1" t="s">
        <v>26</v>
      </c>
      <c r="S97" s="1"/>
      <c r="T97" s="1" t="s">
        <v>393</v>
      </c>
      <c r="U97" s="1" t="s">
        <v>35</v>
      </c>
      <c r="V97" s="1" t="s">
        <v>158</v>
      </c>
      <c r="W97" s="1" t="str">
        <f>VLOOKUP(Table1[[#This Row],[Obergruppe ATC-Code]],Tabelle3!$A$2:$B$100,2)</f>
        <v>DIGESTIVA, INKL. ENZYME</v>
      </c>
      <c r="X97" s="1" t="str">
        <f xml:space="preserve"> LEFT(Table1[[#This Row],[Atc Code]],3)</f>
        <v>A09</v>
      </c>
    </row>
    <row r="98" spans="1:24" ht="14.4">
      <c r="A98" s="14">
        <v>2208</v>
      </c>
      <c r="B98" s="24" t="s">
        <v>394</v>
      </c>
      <c r="C98" s="1">
        <v>2155219</v>
      </c>
      <c r="D98" s="1" t="s">
        <v>25</v>
      </c>
      <c r="E98" s="36">
        <v>43435</v>
      </c>
      <c r="F98" s="36">
        <v>43646</v>
      </c>
      <c r="G98" s="38">
        <f t="shared" si="1"/>
        <v>211</v>
      </c>
      <c r="H98" s="5">
        <v>43234</v>
      </c>
      <c r="I98" s="5">
        <v>43616</v>
      </c>
      <c r="J98" s="1" t="s">
        <v>41</v>
      </c>
      <c r="K98" s="1" t="s">
        <v>395</v>
      </c>
      <c r="L98" s="1" t="s">
        <v>389</v>
      </c>
      <c r="M98" s="1" t="s">
        <v>390</v>
      </c>
      <c r="N98" s="1" t="s">
        <v>38</v>
      </c>
      <c r="O98" s="1" t="s">
        <v>396</v>
      </c>
      <c r="P98" s="1" t="s">
        <v>397</v>
      </c>
      <c r="Q98" s="1" t="s">
        <v>398</v>
      </c>
      <c r="R98" s="1" t="s">
        <v>26</v>
      </c>
      <c r="S98" s="1"/>
      <c r="U98" s="1" t="s">
        <v>35</v>
      </c>
      <c r="V98" s="1" t="s">
        <v>158</v>
      </c>
      <c r="W98" s="1" t="str">
        <f>VLOOKUP(Table1[[#This Row],[Obergruppe ATC-Code]],Tabelle3!$A$2:$B$100,2)</f>
        <v>DIGESTIVA, INKL. ENZYME</v>
      </c>
      <c r="X98" s="1" t="str">
        <f xml:space="preserve"> LEFT(Table1[[#This Row],[Atc Code]],3)</f>
        <v>A09</v>
      </c>
    </row>
    <row r="99" spans="1:24" ht="14.4">
      <c r="A99" s="14">
        <v>1831</v>
      </c>
      <c r="B99" s="24" t="s">
        <v>399</v>
      </c>
      <c r="C99" s="1">
        <v>2150106</v>
      </c>
      <c r="D99" s="1" t="s">
        <v>25</v>
      </c>
      <c r="E99" s="36">
        <v>42095</v>
      </c>
      <c r="F99" s="36">
        <v>45138</v>
      </c>
      <c r="G99" s="38">
        <f t="shared" si="1"/>
        <v>3043</v>
      </c>
      <c r="H99" s="5">
        <v>43223</v>
      </c>
      <c r="I99" s="5">
        <v>45058</v>
      </c>
      <c r="J99" s="1" t="s">
        <v>41</v>
      </c>
      <c r="K99" s="1" t="s">
        <v>400</v>
      </c>
      <c r="L99" s="1" t="s">
        <v>389</v>
      </c>
      <c r="M99" s="1" t="s">
        <v>390</v>
      </c>
      <c r="N99" s="1" t="s">
        <v>38</v>
      </c>
      <c r="O99" s="1" t="s">
        <v>401</v>
      </c>
      <c r="P99" s="1" t="s">
        <v>402</v>
      </c>
      <c r="Q99" s="1" t="s">
        <v>403</v>
      </c>
      <c r="R99" s="1" t="s">
        <v>26</v>
      </c>
      <c r="S99" s="1" t="s">
        <v>404</v>
      </c>
      <c r="T99" s="1" t="s">
        <v>405</v>
      </c>
      <c r="U99" s="1" t="s">
        <v>57</v>
      </c>
      <c r="V99" s="1" t="s">
        <v>406</v>
      </c>
      <c r="W99" s="1" t="str">
        <f>VLOOKUP(Table1[[#This Row],[Obergruppe ATC-Code]],Tabelle3!$A$2:$B$100,2)</f>
        <v>DIGESTIVA, INKL. ENZYME</v>
      </c>
      <c r="X99" s="1" t="str">
        <f xml:space="preserve"> LEFT(Table1[[#This Row],[Atc Code]],3)</f>
        <v>A09</v>
      </c>
    </row>
    <row r="100" spans="1:24" ht="14.4">
      <c r="A100" s="14">
        <v>2236</v>
      </c>
      <c r="B100" s="24" t="s">
        <v>407</v>
      </c>
      <c r="C100" s="1">
        <v>2711295</v>
      </c>
      <c r="D100" s="1" t="s">
        <v>25</v>
      </c>
      <c r="E100" s="36">
        <v>44228</v>
      </c>
      <c r="F100" s="36">
        <v>44316</v>
      </c>
      <c r="G100" s="38">
        <f t="shared" si="1"/>
        <v>88</v>
      </c>
      <c r="H100" s="5">
        <v>44265</v>
      </c>
      <c r="I100" s="5">
        <v>44294</v>
      </c>
      <c r="J100" s="1" t="s">
        <v>41</v>
      </c>
      <c r="K100" s="1" t="s">
        <v>408</v>
      </c>
      <c r="L100" s="1" t="s">
        <v>409</v>
      </c>
      <c r="M100" s="1" t="s">
        <v>410</v>
      </c>
      <c r="N100" s="1" t="s">
        <v>30</v>
      </c>
      <c r="O100" s="1" t="s">
        <v>62</v>
      </c>
      <c r="P100" s="1" t="s">
        <v>63</v>
      </c>
      <c r="Q100" s="1" t="s">
        <v>64</v>
      </c>
      <c r="R100" s="1" t="s">
        <v>26</v>
      </c>
      <c r="S100" s="1"/>
      <c r="U100" s="1" t="s">
        <v>35</v>
      </c>
      <c r="V100" s="1" t="s">
        <v>74</v>
      </c>
      <c r="W100" s="1" t="str">
        <f>VLOOKUP(Table1[[#This Row],[Obergruppe ATC-Code]],Tabelle3!$A$2:$B$100,2)</f>
        <v>ANTIDIABETIKA</v>
      </c>
      <c r="X100" s="1" t="str">
        <f xml:space="preserve"> LEFT(Table1[[#This Row],[Atc Code]],3)</f>
        <v>A10</v>
      </c>
    </row>
    <row r="101" spans="1:24" ht="14.4">
      <c r="A101" s="14">
        <v>2237</v>
      </c>
      <c r="B101" s="24" t="s">
        <v>407</v>
      </c>
      <c r="C101" s="1">
        <v>2711296</v>
      </c>
      <c r="D101" s="1" t="s">
        <v>25</v>
      </c>
      <c r="E101" s="36">
        <v>44256</v>
      </c>
      <c r="F101" s="36">
        <v>44316</v>
      </c>
      <c r="G101" s="38">
        <f t="shared" si="1"/>
        <v>60</v>
      </c>
      <c r="H101" s="5">
        <v>44265</v>
      </c>
      <c r="I101" s="5">
        <v>44294</v>
      </c>
      <c r="J101" s="1" t="s">
        <v>41</v>
      </c>
      <c r="K101" s="1" t="s">
        <v>411</v>
      </c>
      <c r="L101" s="1" t="s">
        <v>409</v>
      </c>
      <c r="M101" s="1" t="s">
        <v>410</v>
      </c>
      <c r="N101" s="1" t="s">
        <v>38</v>
      </c>
      <c r="O101" s="1" t="s">
        <v>62</v>
      </c>
      <c r="P101" s="1" t="s">
        <v>63</v>
      </c>
      <c r="Q101" s="1" t="s">
        <v>64</v>
      </c>
      <c r="R101" s="1" t="s">
        <v>26</v>
      </c>
      <c r="S101" s="1"/>
      <c r="U101" s="1" t="s">
        <v>35</v>
      </c>
      <c r="V101" s="1" t="s">
        <v>74</v>
      </c>
      <c r="W101" s="1" t="str">
        <f>VLOOKUP(Table1[[#This Row],[Obergruppe ATC-Code]],Tabelle3!$A$2:$B$100,2)</f>
        <v>ANTIDIABETIKA</v>
      </c>
      <c r="X101" s="1" t="str">
        <f xml:space="preserve"> LEFT(Table1[[#This Row],[Atc Code]],3)</f>
        <v>A10</v>
      </c>
    </row>
    <row r="102" spans="1:24" ht="14.4">
      <c r="A102" s="14">
        <v>1877</v>
      </c>
      <c r="B102" s="24" t="s">
        <v>412</v>
      </c>
      <c r="C102" s="1" t="s">
        <v>413</v>
      </c>
      <c r="D102" s="1" t="s">
        <v>25</v>
      </c>
      <c r="E102" s="36">
        <v>44693</v>
      </c>
      <c r="F102" s="36">
        <v>44768</v>
      </c>
      <c r="G102" s="38">
        <f t="shared" si="1"/>
        <v>75</v>
      </c>
      <c r="H102" s="5">
        <v>44693</v>
      </c>
      <c r="I102" s="5">
        <v>44768</v>
      </c>
      <c r="J102" s="1" t="s">
        <v>41</v>
      </c>
      <c r="K102" s="1" t="s">
        <v>414</v>
      </c>
      <c r="L102" s="1" t="s">
        <v>409</v>
      </c>
      <c r="M102" s="1" t="s">
        <v>410</v>
      </c>
      <c r="N102" s="1" t="s">
        <v>30</v>
      </c>
      <c r="O102" s="1" t="s">
        <v>62</v>
      </c>
      <c r="P102" s="1" t="s">
        <v>63</v>
      </c>
      <c r="Q102" s="1" t="s">
        <v>64</v>
      </c>
      <c r="R102" s="1" t="s">
        <v>26</v>
      </c>
      <c r="S102" s="1" t="s">
        <v>415</v>
      </c>
      <c r="T102" s="1" t="s">
        <v>416</v>
      </c>
      <c r="U102" s="1" t="s">
        <v>35</v>
      </c>
      <c r="V102" s="1" t="s">
        <v>74</v>
      </c>
      <c r="W102" s="1" t="str">
        <f>VLOOKUP(Table1[[#This Row],[Obergruppe ATC-Code]],Tabelle3!$A$2:$B$100,2)</f>
        <v>ANTIDIABETIKA</v>
      </c>
      <c r="X102" s="1" t="str">
        <f xml:space="preserve"> LEFT(Table1[[#This Row],[Atc Code]],3)</f>
        <v>A10</v>
      </c>
    </row>
    <row r="103" spans="1:24" ht="14.4">
      <c r="A103" s="14">
        <v>2440</v>
      </c>
      <c r="B103" s="24" t="s">
        <v>417</v>
      </c>
      <c r="C103" s="1" t="s">
        <v>418</v>
      </c>
      <c r="D103" s="1" t="s">
        <v>25</v>
      </c>
      <c r="E103" s="36">
        <v>44830</v>
      </c>
      <c r="F103" s="36">
        <v>44880</v>
      </c>
      <c r="G103" s="38">
        <f t="shared" si="1"/>
        <v>50</v>
      </c>
      <c r="H103" s="5">
        <v>44831</v>
      </c>
      <c r="I103" s="5">
        <v>44881</v>
      </c>
      <c r="J103" s="1" t="s">
        <v>26</v>
      </c>
      <c r="K103" s="1" t="s">
        <v>419</v>
      </c>
      <c r="L103" s="1" t="s">
        <v>409</v>
      </c>
      <c r="M103" s="1" t="s">
        <v>410</v>
      </c>
      <c r="N103" s="1" t="s">
        <v>30</v>
      </c>
      <c r="O103" s="1" t="s">
        <v>62</v>
      </c>
      <c r="P103" s="1" t="s">
        <v>63</v>
      </c>
      <c r="Q103" s="1" t="s">
        <v>64</v>
      </c>
      <c r="R103" s="1" t="s">
        <v>33</v>
      </c>
      <c r="S103" s="1"/>
      <c r="U103" s="1" t="s">
        <v>35</v>
      </c>
      <c r="V103" s="1" t="s">
        <v>74</v>
      </c>
      <c r="W103" s="1" t="str">
        <f>VLOOKUP(Table1[[#This Row],[Obergruppe ATC-Code]],Tabelle3!$A$2:$B$100,2)</f>
        <v>ANTIDIABETIKA</v>
      </c>
      <c r="X103" s="1" t="str">
        <f xml:space="preserve"> LEFT(Table1[[#This Row],[Atc Code]],3)</f>
        <v>A10</v>
      </c>
    </row>
    <row r="104" spans="1:24" ht="14.4">
      <c r="A104" s="14">
        <v>1047</v>
      </c>
      <c r="B104" s="24">
        <v>8923075</v>
      </c>
      <c r="C104" s="1">
        <v>2700546</v>
      </c>
      <c r="D104" s="1" t="s">
        <v>175</v>
      </c>
      <c r="E104" s="36">
        <v>44980</v>
      </c>
      <c r="F104" s="36">
        <v>45807</v>
      </c>
      <c r="G104" s="38">
        <f t="shared" si="1"/>
        <v>827</v>
      </c>
      <c r="H104" s="5">
        <v>44980</v>
      </c>
      <c r="I104" s="5">
        <v>44980</v>
      </c>
      <c r="J104" s="1" t="s">
        <v>26</v>
      </c>
      <c r="K104" s="1" t="s">
        <v>420</v>
      </c>
      <c r="L104" s="1" t="s">
        <v>409</v>
      </c>
      <c r="M104" s="1" t="s">
        <v>410</v>
      </c>
      <c r="N104" s="1" t="s">
        <v>30</v>
      </c>
      <c r="O104" s="1" t="s">
        <v>62</v>
      </c>
      <c r="P104" s="1" t="s">
        <v>63</v>
      </c>
      <c r="Q104" s="1" t="s">
        <v>64</v>
      </c>
      <c r="R104" s="1" t="s">
        <v>113</v>
      </c>
      <c r="S104" s="1" t="s">
        <v>421</v>
      </c>
      <c r="U104" s="1" t="s">
        <v>130</v>
      </c>
      <c r="V104" s="1" t="s">
        <v>74</v>
      </c>
      <c r="W104" s="1" t="str">
        <f>VLOOKUP(Table1[[#This Row],[Obergruppe ATC-Code]],Tabelle3!$A$2:$B$100,2)</f>
        <v>ANTIDIABETIKA</v>
      </c>
      <c r="X104" s="1" t="str">
        <f xml:space="preserve"> LEFT(Table1[[#This Row],[Atc Code]],3)</f>
        <v>A10</v>
      </c>
    </row>
    <row r="105" spans="1:24" ht="14.4">
      <c r="A105" s="14">
        <v>2439</v>
      </c>
      <c r="B105" s="24" t="s">
        <v>417</v>
      </c>
      <c r="C105" s="1" t="s">
        <v>418</v>
      </c>
      <c r="D105" s="1" t="s">
        <v>25</v>
      </c>
      <c r="E105" s="36">
        <v>44918</v>
      </c>
      <c r="F105" s="36">
        <v>45077</v>
      </c>
      <c r="G105" s="38">
        <f t="shared" si="1"/>
        <v>159</v>
      </c>
      <c r="H105" s="5">
        <v>44923</v>
      </c>
      <c r="I105" s="5">
        <v>45078</v>
      </c>
      <c r="J105" s="1" t="s">
        <v>26</v>
      </c>
      <c r="K105" s="1" t="s">
        <v>419</v>
      </c>
      <c r="L105" s="1" t="s">
        <v>409</v>
      </c>
      <c r="M105" s="1" t="s">
        <v>410</v>
      </c>
      <c r="N105" s="1" t="s">
        <v>30</v>
      </c>
      <c r="O105" s="1" t="s">
        <v>62</v>
      </c>
      <c r="P105" s="1">
        <v>8005252010</v>
      </c>
      <c r="Q105" s="1" t="s">
        <v>64</v>
      </c>
      <c r="R105" s="1" t="s">
        <v>33</v>
      </c>
      <c r="S105" s="1" t="s">
        <v>422</v>
      </c>
      <c r="U105" s="1" t="s">
        <v>57</v>
      </c>
      <c r="V105" s="1" t="s">
        <v>74</v>
      </c>
      <c r="W105" s="1" t="str">
        <f>VLOOKUP(Table1[[#This Row],[Obergruppe ATC-Code]],Tabelle3!$A$2:$B$100,2)</f>
        <v>ANTIDIABETIKA</v>
      </c>
      <c r="X105" s="1" t="str">
        <f xml:space="preserve"> LEFT(Table1[[#This Row],[Atc Code]],3)</f>
        <v>A10</v>
      </c>
    </row>
    <row r="106" spans="1:24" ht="14.4">
      <c r="A106" s="14">
        <v>1876</v>
      </c>
      <c r="B106" s="24" t="s">
        <v>423</v>
      </c>
      <c r="C106" s="1" t="s">
        <v>424</v>
      </c>
      <c r="D106" s="1" t="s">
        <v>25</v>
      </c>
      <c r="E106" s="36">
        <v>44918</v>
      </c>
      <c r="F106" s="36">
        <v>45077</v>
      </c>
      <c r="G106" s="38">
        <f t="shared" si="1"/>
        <v>159</v>
      </c>
      <c r="H106" s="5">
        <v>44923</v>
      </c>
      <c r="I106" s="5">
        <v>45078</v>
      </c>
      <c r="J106" s="1" t="s">
        <v>26</v>
      </c>
      <c r="K106" s="1" t="s">
        <v>425</v>
      </c>
      <c r="L106" s="1" t="s">
        <v>409</v>
      </c>
      <c r="M106" s="1" t="s">
        <v>410</v>
      </c>
      <c r="N106" s="1" t="s">
        <v>30</v>
      </c>
      <c r="O106" s="1" t="s">
        <v>62</v>
      </c>
      <c r="P106" s="1">
        <v>8005252010</v>
      </c>
      <c r="Q106" s="1" t="s">
        <v>64</v>
      </c>
      <c r="R106" s="1" t="s">
        <v>33</v>
      </c>
      <c r="S106" s="1" t="s">
        <v>426</v>
      </c>
      <c r="U106" s="1" t="s">
        <v>57</v>
      </c>
      <c r="V106" s="1" t="s">
        <v>74</v>
      </c>
      <c r="W106" s="1" t="str">
        <f>VLOOKUP(Table1[[#This Row],[Obergruppe ATC-Code]],Tabelle3!$A$2:$B$100,2)</f>
        <v>ANTIDIABETIKA</v>
      </c>
      <c r="X106" s="1" t="str">
        <f xml:space="preserve"> LEFT(Table1[[#This Row],[Atc Code]],3)</f>
        <v>A10</v>
      </c>
    </row>
    <row r="107" spans="1:24" ht="14.4">
      <c r="A107" s="14">
        <v>72</v>
      </c>
      <c r="B107" s="24">
        <v>536752</v>
      </c>
      <c r="C107" s="1">
        <v>2701929</v>
      </c>
      <c r="D107" s="1" t="s">
        <v>175</v>
      </c>
      <c r="E107" s="36">
        <v>45112</v>
      </c>
      <c r="F107" s="36">
        <v>45291</v>
      </c>
      <c r="G107" s="38">
        <f t="shared" si="1"/>
        <v>179</v>
      </c>
      <c r="H107" s="5">
        <v>45112</v>
      </c>
      <c r="I107" s="5">
        <v>45112</v>
      </c>
      <c r="J107" s="1" t="s">
        <v>26</v>
      </c>
      <c r="K107" s="1" t="s">
        <v>427</v>
      </c>
      <c r="L107" s="1" t="s">
        <v>409</v>
      </c>
      <c r="M107" s="1" t="s">
        <v>410</v>
      </c>
      <c r="N107" s="1" t="s">
        <v>30</v>
      </c>
      <c r="O107" s="1" t="s">
        <v>428</v>
      </c>
      <c r="P107" s="1">
        <v>61319031144</v>
      </c>
      <c r="Q107" s="1" t="s">
        <v>429</v>
      </c>
      <c r="R107" s="1" t="s">
        <v>33</v>
      </c>
      <c r="S107" s="1"/>
      <c r="T107" s="1" t="s">
        <v>430</v>
      </c>
      <c r="U107" s="1" t="s">
        <v>130</v>
      </c>
      <c r="V107" s="1" t="s">
        <v>74</v>
      </c>
      <c r="W107" s="1" t="str">
        <f>VLOOKUP(Table1[[#This Row],[Obergruppe ATC-Code]],Tabelle3!$A$2:$B$100,2)</f>
        <v>ANTIDIABETIKA</v>
      </c>
      <c r="X107" s="1" t="str">
        <f xml:space="preserve"> LEFT(Table1[[#This Row],[Atc Code]],3)</f>
        <v>A10</v>
      </c>
    </row>
    <row r="108" spans="1:24" ht="14.4">
      <c r="A108" s="14">
        <v>71</v>
      </c>
      <c r="B108" s="24">
        <v>536692</v>
      </c>
      <c r="C108" s="1">
        <v>2701926</v>
      </c>
      <c r="D108" s="1" t="s">
        <v>175</v>
      </c>
      <c r="E108" s="36">
        <v>45120</v>
      </c>
      <c r="F108" s="36">
        <v>45291</v>
      </c>
      <c r="G108" s="38">
        <f t="shared" si="1"/>
        <v>171</v>
      </c>
      <c r="H108" s="5">
        <v>45120</v>
      </c>
      <c r="I108" s="5">
        <v>45120</v>
      </c>
      <c r="J108" s="1" t="s">
        <v>26</v>
      </c>
      <c r="K108" s="1" t="s">
        <v>431</v>
      </c>
      <c r="L108" s="1" t="s">
        <v>409</v>
      </c>
      <c r="M108" s="1" t="s">
        <v>410</v>
      </c>
      <c r="N108" s="1" t="s">
        <v>38</v>
      </c>
      <c r="O108" s="1" t="s">
        <v>428</v>
      </c>
      <c r="P108" s="1">
        <v>61319031144</v>
      </c>
      <c r="Q108" s="1" t="s">
        <v>429</v>
      </c>
      <c r="R108" s="1" t="s">
        <v>33</v>
      </c>
      <c r="S108" s="1"/>
      <c r="T108" s="1" t="s">
        <v>432</v>
      </c>
      <c r="U108" s="1" t="s">
        <v>130</v>
      </c>
      <c r="V108" s="1" t="s">
        <v>74</v>
      </c>
      <c r="W108" s="1" t="str">
        <f>VLOOKUP(Table1[[#This Row],[Obergruppe ATC-Code]],Tabelle3!$A$2:$B$100,2)</f>
        <v>ANTIDIABETIKA</v>
      </c>
      <c r="X108" s="1" t="str">
        <f xml:space="preserve"> LEFT(Table1[[#This Row],[Atc Code]],3)</f>
        <v>A10</v>
      </c>
    </row>
    <row r="109" spans="1:24" ht="14.4">
      <c r="A109" s="14">
        <v>1531</v>
      </c>
      <c r="B109" s="24">
        <v>16508404</v>
      </c>
      <c r="C109" s="1">
        <v>2715306</v>
      </c>
      <c r="D109" s="1" t="s">
        <v>25</v>
      </c>
      <c r="E109" s="36">
        <v>44704</v>
      </c>
      <c r="F109" s="36">
        <v>44734</v>
      </c>
      <c r="G109" s="38">
        <f t="shared" si="1"/>
        <v>30</v>
      </c>
      <c r="H109" s="5">
        <v>44720</v>
      </c>
      <c r="I109" s="5">
        <v>44736</v>
      </c>
      <c r="J109" s="1" t="s">
        <v>26</v>
      </c>
      <c r="K109" s="1" t="s">
        <v>433</v>
      </c>
      <c r="L109" s="1" t="s">
        <v>434</v>
      </c>
      <c r="M109" s="1" t="s">
        <v>435</v>
      </c>
      <c r="N109" s="1" t="s">
        <v>38</v>
      </c>
      <c r="O109" s="1" t="s">
        <v>436</v>
      </c>
      <c r="P109" s="1">
        <v>491632730322</v>
      </c>
      <c r="Q109" s="1" t="s">
        <v>437</v>
      </c>
      <c r="R109" s="1" t="s">
        <v>113</v>
      </c>
      <c r="S109" s="1"/>
      <c r="T109" s="1" t="s">
        <v>438</v>
      </c>
      <c r="U109" s="1" t="s">
        <v>130</v>
      </c>
      <c r="V109" s="1" t="s">
        <v>439</v>
      </c>
      <c r="W109" s="1" t="str">
        <f>VLOOKUP(Table1[[#This Row],[Obergruppe ATC-Code]],Tabelle3!$A$2:$B$100,2)</f>
        <v>ANTIDIABETIKA</v>
      </c>
      <c r="X109" s="1" t="str">
        <f xml:space="preserve"> LEFT(Table1[[#This Row],[Atc Code]],3)</f>
        <v>A10</v>
      </c>
    </row>
    <row r="110" spans="1:24" ht="14.4">
      <c r="A110" s="14">
        <v>1529</v>
      </c>
      <c r="B110" s="24">
        <v>16508367</v>
      </c>
      <c r="C110" s="1">
        <v>2715305</v>
      </c>
      <c r="D110" s="1" t="s">
        <v>25</v>
      </c>
      <c r="E110" s="36">
        <v>44720</v>
      </c>
      <c r="F110" s="36">
        <v>44734</v>
      </c>
      <c r="G110" s="38">
        <f t="shared" si="1"/>
        <v>14</v>
      </c>
      <c r="H110" s="5">
        <v>44720</v>
      </c>
      <c r="I110" s="5">
        <v>44736</v>
      </c>
      <c r="J110" s="1" t="s">
        <v>26</v>
      </c>
      <c r="K110" s="1" t="s">
        <v>433</v>
      </c>
      <c r="L110" s="1" t="s">
        <v>434</v>
      </c>
      <c r="M110" s="1" t="s">
        <v>435</v>
      </c>
      <c r="N110" s="1" t="s">
        <v>30</v>
      </c>
      <c r="O110" s="1" t="s">
        <v>436</v>
      </c>
      <c r="P110" s="1">
        <v>491632730322</v>
      </c>
      <c r="Q110" s="1" t="s">
        <v>437</v>
      </c>
      <c r="R110" s="1" t="s">
        <v>113</v>
      </c>
      <c r="S110" s="1"/>
      <c r="T110" s="1" t="s">
        <v>440</v>
      </c>
      <c r="U110" s="1" t="s">
        <v>130</v>
      </c>
      <c r="V110" s="1" t="s">
        <v>439</v>
      </c>
      <c r="W110" s="1" t="str">
        <f>VLOOKUP(Table1[[#This Row],[Obergruppe ATC-Code]],Tabelle3!$A$2:$B$100,2)</f>
        <v>ANTIDIABETIKA</v>
      </c>
      <c r="X110" s="1" t="str">
        <f xml:space="preserve"> LEFT(Table1[[#This Row],[Atc Code]],3)</f>
        <v>A10</v>
      </c>
    </row>
    <row r="111" spans="1:24" ht="14.4">
      <c r="A111" s="14">
        <v>1528</v>
      </c>
      <c r="B111" s="24">
        <v>16508367</v>
      </c>
      <c r="C111" s="1">
        <v>2715305</v>
      </c>
      <c r="D111" s="1" t="s">
        <v>25</v>
      </c>
      <c r="E111" s="36">
        <v>44764</v>
      </c>
      <c r="F111" s="36">
        <v>44792</v>
      </c>
      <c r="G111" s="38">
        <f t="shared" si="1"/>
        <v>28</v>
      </c>
      <c r="H111" s="5">
        <v>44762</v>
      </c>
      <c r="I111" s="5">
        <v>44792</v>
      </c>
      <c r="J111" s="1" t="s">
        <v>26</v>
      </c>
      <c r="K111" s="1" t="s">
        <v>433</v>
      </c>
      <c r="L111" s="1" t="s">
        <v>434</v>
      </c>
      <c r="M111" s="1" t="s">
        <v>435</v>
      </c>
      <c r="N111" s="1" t="s">
        <v>30</v>
      </c>
      <c r="O111" s="1" t="s">
        <v>436</v>
      </c>
      <c r="P111" s="1">
        <v>4961722732224</v>
      </c>
      <c r="Q111" s="1" t="s">
        <v>441</v>
      </c>
      <c r="R111" s="1" t="s">
        <v>33</v>
      </c>
      <c r="S111" s="1" t="s">
        <v>442</v>
      </c>
      <c r="T111" s="1" t="s">
        <v>440</v>
      </c>
      <c r="U111" s="1" t="s">
        <v>35</v>
      </c>
      <c r="V111" s="1" t="s">
        <v>439</v>
      </c>
      <c r="W111" s="1" t="str">
        <f>VLOOKUP(Table1[[#This Row],[Obergruppe ATC-Code]],Tabelle3!$A$2:$B$100,2)</f>
        <v>ANTIDIABETIKA</v>
      </c>
      <c r="X111" s="1" t="str">
        <f xml:space="preserve"> LEFT(Table1[[#This Row],[Atc Code]],3)</f>
        <v>A10</v>
      </c>
    </row>
    <row r="112" spans="1:24" ht="14.4">
      <c r="A112" s="14">
        <v>1530</v>
      </c>
      <c r="B112" s="24">
        <v>16508404</v>
      </c>
      <c r="C112" s="1">
        <v>2715306</v>
      </c>
      <c r="D112" s="1" t="s">
        <v>25</v>
      </c>
      <c r="E112" s="36">
        <v>44755</v>
      </c>
      <c r="F112" s="36">
        <v>44795</v>
      </c>
      <c r="G112" s="38">
        <f t="shared" si="1"/>
        <v>40</v>
      </c>
      <c r="H112" s="5">
        <v>44762</v>
      </c>
      <c r="I112" s="5">
        <v>44796</v>
      </c>
      <c r="J112" s="1" t="s">
        <v>26</v>
      </c>
      <c r="K112" s="1" t="s">
        <v>433</v>
      </c>
      <c r="L112" s="1" t="s">
        <v>434</v>
      </c>
      <c r="M112" s="1" t="s">
        <v>435</v>
      </c>
      <c r="N112" s="1" t="s">
        <v>38</v>
      </c>
      <c r="O112" s="1" t="s">
        <v>436</v>
      </c>
      <c r="Q112" s="1" t="s">
        <v>441</v>
      </c>
      <c r="R112" s="1" t="s">
        <v>33</v>
      </c>
      <c r="S112" s="1"/>
      <c r="T112" s="1" t="s">
        <v>438</v>
      </c>
      <c r="U112" s="1" t="s">
        <v>35</v>
      </c>
      <c r="V112" s="1" t="s">
        <v>439</v>
      </c>
      <c r="W112" s="1" t="str">
        <f>VLOOKUP(Table1[[#This Row],[Obergruppe ATC-Code]],Tabelle3!$A$2:$B$100,2)</f>
        <v>ANTIDIABETIKA</v>
      </c>
      <c r="X112" s="1" t="str">
        <f xml:space="preserve"> LEFT(Table1[[#This Row],[Atc Code]],3)</f>
        <v>A10</v>
      </c>
    </row>
    <row r="113" spans="1:24" ht="14.4">
      <c r="A113" s="14">
        <v>856</v>
      </c>
      <c r="B113" s="24">
        <v>7242485</v>
      </c>
      <c r="C113" s="1">
        <v>2700028</v>
      </c>
      <c r="D113" s="1" t="s">
        <v>25</v>
      </c>
      <c r="E113" s="36">
        <v>44777</v>
      </c>
      <c r="F113" s="36">
        <v>44799</v>
      </c>
      <c r="G113" s="38">
        <f t="shared" si="1"/>
        <v>22</v>
      </c>
      <c r="H113" s="5">
        <v>44797</v>
      </c>
      <c r="I113" s="5">
        <v>44810</v>
      </c>
      <c r="J113" s="1" t="s">
        <v>26</v>
      </c>
      <c r="K113" s="1" t="s">
        <v>443</v>
      </c>
      <c r="L113" s="1" t="s">
        <v>434</v>
      </c>
      <c r="M113" s="1" t="s">
        <v>435</v>
      </c>
      <c r="N113" s="1" t="s">
        <v>38</v>
      </c>
      <c r="O113" s="1" t="s">
        <v>436</v>
      </c>
      <c r="Q113" s="1" t="s">
        <v>441</v>
      </c>
      <c r="R113" s="1" t="s">
        <v>33</v>
      </c>
      <c r="S113" s="1"/>
      <c r="U113" s="1" t="s">
        <v>35</v>
      </c>
      <c r="V113" s="1" t="s">
        <v>74</v>
      </c>
      <c r="W113" s="1" t="str">
        <f>VLOOKUP(Table1[[#This Row],[Obergruppe ATC-Code]],Tabelle3!$A$2:$B$100,2)</f>
        <v>ANTIDIABETIKA</v>
      </c>
      <c r="X113" s="1" t="str">
        <f xml:space="preserve"> LEFT(Table1[[#This Row],[Atc Code]],3)</f>
        <v>A10</v>
      </c>
    </row>
    <row r="114" spans="1:24" ht="14.4">
      <c r="A114" s="14">
        <v>859</v>
      </c>
      <c r="B114" s="24">
        <v>7242491</v>
      </c>
      <c r="C114" s="1">
        <v>2702480</v>
      </c>
      <c r="D114" s="1" t="s">
        <v>25</v>
      </c>
      <c r="E114" s="36">
        <v>44790</v>
      </c>
      <c r="F114" s="36">
        <v>44823</v>
      </c>
      <c r="G114" s="38">
        <f t="shared" si="1"/>
        <v>33</v>
      </c>
      <c r="H114" s="5">
        <v>44797</v>
      </c>
      <c r="I114" s="5">
        <v>44824</v>
      </c>
      <c r="J114" s="1" t="s">
        <v>26</v>
      </c>
      <c r="K114" s="1" t="s">
        <v>444</v>
      </c>
      <c r="L114" s="1" t="s">
        <v>434</v>
      </c>
      <c r="M114" s="1" t="s">
        <v>435</v>
      </c>
      <c r="N114" s="1" t="s">
        <v>38</v>
      </c>
      <c r="O114" s="1" t="s">
        <v>436</v>
      </c>
      <c r="P114" s="1" t="s">
        <v>445</v>
      </c>
      <c r="Q114" s="1" t="s">
        <v>441</v>
      </c>
      <c r="R114" s="1" t="s">
        <v>33</v>
      </c>
      <c r="S114" s="1" t="s">
        <v>446</v>
      </c>
      <c r="U114" s="1" t="s">
        <v>35</v>
      </c>
      <c r="V114" s="1" t="s">
        <v>74</v>
      </c>
      <c r="W114" s="1" t="str">
        <f>VLOOKUP(Table1[[#This Row],[Obergruppe ATC-Code]],Tabelle3!$A$2:$B$100,2)</f>
        <v>ANTIDIABETIKA</v>
      </c>
      <c r="X114" s="1" t="str">
        <f xml:space="preserve"> LEFT(Table1[[#This Row],[Atc Code]],3)</f>
        <v>A10</v>
      </c>
    </row>
    <row r="115" spans="1:24" ht="14.4">
      <c r="A115" s="14">
        <v>858</v>
      </c>
      <c r="B115" s="24">
        <v>7242491</v>
      </c>
      <c r="C115" s="1">
        <v>2702480</v>
      </c>
      <c r="D115" s="1" t="s">
        <v>25</v>
      </c>
      <c r="E115" s="36">
        <v>44872</v>
      </c>
      <c r="F115" s="36">
        <v>44886</v>
      </c>
      <c r="G115" s="38">
        <f t="shared" si="1"/>
        <v>14</v>
      </c>
      <c r="H115" s="5">
        <v>44872</v>
      </c>
      <c r="I115" s="5">
        <v>44887</v>
      </c>
      <c r="J115" s="1" t="s">
        <v>41</v>
      </c>
      <c r="K115" s="1" t="s">
        <v>444</v>
      </c>
      <c r="L115" s="1" t="s">
        <v>434</v>
      </c>
      <c r="M115" s="1" t="s">
        <v>435</v>
      </c>
      <c r="N115" s="1" t="s">
        <v>38</v>
      </c>
      <c r="O115" s="1" t="s">
        <v>436</v>
      </c>
      <c r="P115" s="1" t="s">
        <v>445</v>
      </c>
      <c r="R115" s="1" t="s">
        <v>65</v>
      </c>
      <c r="S115" s="1"/>
      <c r="U115" s="1" t="s">
        <v>130</v>
      </c>
      <c r="V115" s="1" t="s">
        <v>74</v>
      </c>
      <c r="W115" s="1" t="str">
        <f>VLOOKUP(Table1[[#This Row],[Obergruppe ATC-Code]],Tabelle3!$A$2:$B$100,2)</f>
        <v>ANTIDIABETIKA</v>
      </c>
      <c r="X115" s="1" t="str">
        <f xml:space="preserve"> LEFT(Table1[[#This Row],[Atc Code]],3)</f>
        <v>A10</v>
      </c>
    </row>
    <row r="116" spans="1:24" ht="14.4">
      <c r="A116" s="14">
        <v>855</v>
      </c>
      <c r="B116" s="24">
        <v>7242485</v>
      </c>
      <c r="C116" s="1">
        <v>2700028</v>
      </c>
      <c r="D116" s="1" t="s">
        <v>25</v>
      </c>
      <c r="E116" s="36">
        <v>44872</v>
      </c>
      <c r="F116" s="36">
        <v>44886</v>
      </c>
      <c r="G116" s="38">
        <f t="shared" si="1"/>
        <v>14</v>
      </c>
      <c r="H116" s="5">
        <v>44872</v>
      </c>
      <c r="I116" s="5">
        <v>44887</v>
      </c>
      <c r="J116" s="1" t="s">
        <v>41</v>
      </c>
      <c r="K116" s="1" t="s">
        <v>443</v>
      </c>
      <c r="L116" s="1" t="s">
        <v>434</v>
      </c>
      <c r="M116" s="1" t="s">
        <v>435</v>
      </c>
      <c r="N116" s="1" t="s">
        <v>30</v>
      </c>
      <c r="O116" s="1" t="s">
        <v>436</v>
      </c>
      <c r="P116" s="1" t="s">
        <v>445</v>
      </c>
      <c r="R116" s="1" t="s">
        <v>26</v>
      </c>
      <c r="S116" s="1"/>
      <c r="U116" s="1" t="s">
        <v>130</v>
      </c>
      <c r="V116" s="1" t="s">
        <v>74</v>
      </c>
      <c r="W116" s="1" t="str">
        <f>VLOOKUP(Table1[[#This Row],[Obergruppe ATC-Code]],Tabelle3!$A$2:$B$100,2)</f>
        <v>ANTIDIABETIKA</v>
      </c>
      <c r="X116" s="1" t="str">
        <f xml:space="preserve"> LEFT(Table1[[#This Row],[Atc Code]],3)</f>
        <v>A10</v>
      </c>
    </row>
    <row r="117" spans="1:24" ht="14.4">
      <c r="A117" s="14">
        <v>1352</v>
      </c>
      <c r="B117" s="24">
        <v>12910612</v>
      </c>
      <c r="C117" s="1">
        <v>2714427</v>
      </c>
      <c r="D117" s="1" t="s">
        <v>25</v>
      </c>
      <c r="E117" s="36">
        <v>44879</v>
      </c>
      <c r="F117" s="36">
        <v>44888</v>
      </c>
      <c r="G117" s="38">
        <f t="shared" si="1"/>
        <v>9</v>
      </c>
      <c r="H117" s="5">
        <v>44880</v>
      </c>
      <c r="I117" s="5">
        <v>44888</v>
      </c>
      <c r="J117" s="1" t="s">
        <v>26</v>
      </c>
      <c r="K117" s="1" t="s">
        <v>447</v>
      </c>
      <c r="L117" s="1" t="s">
        <v>434</v>
      </c>
      <c r="M117" s="1" t="s">
        <v>435</v>
      </c>
      <c r="N117" s="1" t="s">
        <v>30</v>
      </c>
      <c r="O117" s="1" t="s">
        <v>448</v>
      </c>
      <c r="P117" s="1">
        <v>8005252010</v>
      </c>
      <c r="Q117" s="1" t="s">
        <v>64</v>
      </c>
      <c r="R117" s="1" t="s">
        <v>26</v>
      </c>
      <c r="S117" s="1" t="s">
        <v>449</v>
      </c>
      <c r="U117" s="1" t="s">
        <v>130</v>
      </c>
      <c r="V117" s="1" t="s">
        <v>74</v>
      </c>
      <c r="W117" s="1" t="str">
        <f>VLOOKUP(Table1[[#This Row],[Obergruppe ATC-Code]],Tabelle3!$A$2:$B$100,2)</f>
        <v>ANTIDIABETIKA</v>
      </c>
      <c r="X117" s="1" t="str">
        <f xml:space="preserve"> LEFT(Table1[[#This Row],[Atc Code]],3)</f>
        <v>A10</v>
      </c>
    </row>
    <row r="118" spans="1:24" ht="14.4">
      <c r="A118" s="14">
        <v>1353</v>
      </c>
      <c r="B118" s="24">
        <v>12910635</v>
      </c>
      <c r="C118" s="1">
        <v>2714425</v>
      </c>
      <c r="D118" s="1" t="s">
        <v>25</v>
      </c>
      <c r="E118" s="36">
        <v>44879</v>
      </c>
      <c r="F118" s="36">
        <v>44895</v>
      </c>
      <c r="G118" s="38">
        <f t="shared" si="1"/>
        <v>16</v>
      </c>
      <c r="H118" s="5">
        <v>44879</v>
      </c>
      <c r="I118" s="5">
        <v>44895</v>
      </c>
      <c r="J118" s="1" t="s">
        <v>26</v>
      </c>
      <c r="K118" s="1" t="s">
        <v>450</v>
      </c>
      <c r="L118" s="1" t="s">
        <v>434</v>
      </c>
      <c r="M118" s="1" t="s">
        <v>435</v>
      </c>
      <c r="N118" s="1" t="s">
        <v>30</v>
      </c>
      <c r="O118" s="1" t="s">
        <v>448</v>
      </c>
      <c r="P118" s="1">
        <v>8005252010</v>
      </c>
      <c r="Q118" s="1" t="s">
        <v>451</v>
      </c>
      <c r="R118" s="1" t="s">
        <v>26</v>
      </c>
      <c r="S118" s="1" t="s">
        <v>452</v>
      </c>
      <c r="U118" s="1" t="s">
        <v>130</v>
      </c>
      <c r="V118" s="1" t="s">
        <v>74</v>
      </c>
      <c r="W118" s="1" t="str">
        <f>VLOOKUP(Table1[[#This Row],[Obergruppe ATC-Code]],Tabelle3!$A$2:$B$100,2)</f>
        <v>ANTIDIABETIKA</v>
      </c>
      <c r="X118" s="1" t="str">
        <f xml:space="preserve"> LEFT(Table1[[#This Row],[Atc Code]],3)</f>
        <v>A10</v>
      </c>
    </row>
    <row r="119" spans="1:24" ht="14.4">
      <c r="A119" s="14">
        <v>852</v>
      </c>
      <c r="B119" s="24">
        <v>7242485</v>
      </c>
      <c r="C119" s="1">
        <v>2700028</v>
      </c>
      <c r="D119" s="1" t="s">
        <v>25</v>
      </c>
      <c r="E119" s="36">
        <v>44895</v>
      </c>
      <c r="F119" s="36">
        <v>44914</v>
      </c>
      <c r="G119" s="38">
        <f t="shared" si="1"/>
        <v>19</v>
      </c>
      <c r="H119" s="5">
        <v>44902</v>
      </c>
      <c r="I119" s="5">
        <v>44917</v>
      </c>
      <c r="J119" s="1" t="s">
        <v>41</v>
      </c>
      <c r="K119" s="1" t="s">
        <v>443</v>
      </c>
      <c r="L119" s="1" t="s">
        <v>434</v>
      </c>
      <c r="M119" s="1" t="s">
        <v>435</v>
      </c>
      <c r="N119" s="1" t="s">
        <v>38</v>
      </c>
      <c r="O119" s="1" t="s">
        <v>436</v>
      </c>
      <c r="P119" s="1" t="s">
        <v>445</v>
      </c>
      <c r="R119" s="1" t="s">
        <v>128</v>
      </c>
      <c r="S119" s="1"/>
      <c r="T119" s="1" t="s">
        <v>453</v>
      </c>
      <c r="U119" s="1" t="s">
        <v>130</v>
      </c>
      <c r="V119" s="1" t="s">
        <v>74</v>
      </c>
      <c r="W119" s="1" t="str">
        <f>VLOOKUP(Table1[[#This Row],[Obergruppe ATC-Code]],Tabelle3!$A$2:$B$100,2)</f>
        <v>ANTIDIABETIKA</v>
      </c>
      <c r="X119" s="1" t="str">
        <f xml:space="preserve"> LEFT(Table1[[#This Row],[Atc Code]],3)</f>
        <v>A10</v>
      </c>
    </row>
    <row r="120" spans="1:24" ht="14.4">
      <c r="A120" s="14">
        <v>854</v>
      </c>
      <c r="B120" s="24">
        <v>7242485</v>
      </c>
      <c r="C120" s="1">
        <v>2700028</v>
      </c>
      <c r="D120" s="1" t="s">
        <v>25</v>
      </c>
      <c r="E120" s="36">
        <v>44928</v>
      </c>
      <c r="F120" s="36">
        <v>44937</v>
      </c>
      <c r="G120" s="38">
        <f t="shared" si="1"/>
        <v>9</v>
      </c>
      <c r="H120" s="5">
        <v>44935</v>
      </c>
      <c r="I120" s="5">
        <v>44937</v>
      </c>
      <c r="J120" s="1" t="s">
        <v>41</v>
      </c>
      <c r="K120" s="1" t="s">
        <v>443</v>
      </c>
      <c r="L120" s="1" t="s">
        <v>434</v>
      </c>
      <c r="M120" s="1" t="s">
        <v>435</v>
      </c>
      <c r="N120" s="1" t="s">
        <v>30</v>
      </c>
      <c r="O120" s="1" t="s">
        <v>436</v>
      </c>
      <c r="P120" s="1" t="s">
        <v>445</v>
      </c>
      <c r="R120" s="1" t="s">
        <v>128</v>
      </c>
      <c r="S120" s="1"/>
      <c r="U120" s="1" t="s">
        <v>130</v>
      </c>
      <c r="V120" s="1" t="s">
        <v>74</v>
      </c>
      <c r="W120" s="1" t="str">
        <f>VLOOKUP(Table1[[#This Row],[Obergruppe ATC-Code]],Tabelle3!$A$2:$B$100,2)</f>
        <v>ANTIDIABETIKA</v>
      </c>
      <c r="X120" s="1" t="str">
        <f xml:space="preserve"> LEFT(Table1[[#This Row],[Atc Code]],3)</f>
        <v>A10</v>
      </c>
    </row>
    <row r="121" spans="1:24" ht="14.4">
      <c r="A121" s="14">
        <v>2877</v>
      </c>
      <c r="B121" s="24" t="s">
        <v>454</v>
      </c>
      <c r="C121" s="1" t="s">
        <v>455</v>
      </c>
      <c r="D121" s="1" t="s">
        <v>25</v>
      </c>
      <c r="E121" s="36">
        <v>44943</v>
      </c>
      <c r="F121" s="36">
        <v>44960</v>
      </c>
      <c r="G121" s="38">
        <f t="shared" si="1"/>
        <v>17</v>
      </c>
      <c r="H121" s="5">
        <v>44946</v>
      </c>
      <c r="I121" s="5">
        <v>44967</v>
      </c>
      <c r="J121" s="1" t="s">
        <v>41</v>
      </c>
      <c r="K121" s="1" t="s">
        <v>456</v>
      </c>
      <c r="L121" s="1" t="s">
        <v>434</v>
      </c>
      <c r="M121" s="1" t="s">
        <v>435</v>
      </c>
      <c r="N121" s="1" t="s">
        <v>30</v>
      </c>
      <c r="O121" s="1" t="s">
        <v>436</v>
      </c>
      <c r="P121" s="1" t="s">
        <v>445</v>
      </c>
      <c r="R121" s="1" t="s">
        <v>128</v>
      </c>
      <c r="S121" s="1"/>
      <c r="U121" s="1" t="s">
        <v>130</v>
      </c>
      <c r="V121" s="1" t="s">
        <v>439</v>
      </c>
      <c r="W121" s="1" t="str">
        <f>VLOOKUP(Table1[[#This Row],[Obergruppe ATC-Code]],Tabelle3!$A$2:$B$100,2)</f>
        <v>ANTIDIABETIKA</v>
      </c>
      <c r="X121" s="1" t="str">
        <f xml:space="preserve"> LEFT(Table1[[#This Row],[Atc Code]],3)</f>
        <v>A10</v>
      </c>
    </row>
    <row r="122" spans="1:24" ht="14.4">
      <c r="A122" s="14">
        <v>1532</v>
      </c>
      <c r="B122" s="24">
        <v>16508410</v>
      </c>
      <c r="C122" s="1">
        <v>2715302</v>
      </c>
      <c r="D122" s="1" t="s">
        <v>25</v>
      </c>
      <c r="E122" s="36">
        <v>44932</v>
      </c>
      <c r="F122" s="36">
        <v>44982</v>
      </c>
      <c r="G122" s="38">
        <f t="shared" si="1"/>
        <v>50</v>
      </c>
      <c r="H122" s="5">
        <v>44946</v>
      </c>
      <c r="I122" s="5">
        <v>44986</v>
      </c>
      <c r="J122" s="1" t="s">
        <v>41</v>
      </c>
      <c r="K122" s="1" t="s">
        <v>457</v>
      </c>
      <c r="L122" s="1" t="s">
        <v>434</v>
      </c>
      <c r="M122" s="1" t="s">
        <v>435</v>
      </c>
      <c r="N122" s="1" t="s">
        <v>30</v>
      </c>
      <c r="O122" s="1" t="s">
        <v>436</v>
      </c>
      <c r="P122" s="1" t="s">
        <v>445</v>
      </c>
      <c r="R122" s="1" t="s">
        <v>128</v>
      </c>
      <c r="S122" s="1"/>
      <c r="U122" s="1" t="s">
        <v>130</v>
      </c>
      <c r="V122" s="1" t="s">
        <v>439</v>
      </c>
      <c r="W122" s="1" t="str">
        <f>VLOOKUP(Table1[[#This Row],[Obergruppe ATC-Code]],Tabelle3!$A$2:$B$100,2)</f>
        <v>ANTIDIABETIKA</v>
      </c>
      <c r="X122" s="1" t="str">
        <f xml:space="preserve"> LEFT(Table1[[#This Row],[Atc Code]],3)</f>
        <v>A10</v>
      </c>
    </row>
    <row r="123" spans="1:24" ht="14.4">
      <c r="A123" s="14">
        <v>174</v>
      </c>
      <c r="B123" s="24">
        <v>1043106</v>
      </c>
      <c r="C123" s="1">
        <v>2702547</v>
      </c>
      <c r="D123" s="1" t="s">
        <v>25</v>
      </c>
      <c r="E123" s="36">
        <v>45028</v>
      </c>
      <c r="F123" s="36">
        <v>45057</v>
      </c>
      <c r="G123" s="38">
        <f t="shared" si="1"/>
        <v>29</v>
      </c>
      <c r="H123" s="5">
        <v>45054</v>
      </c>
      <c r="I123" s="5">
        <v>45061</v>
      </c>
      <c r="J123" s="1" t="s">
        <v>26</v>
      </c>
      <c r="K123" s="1" t="s">
        <v>458</v>
      </c>
      <c r="L123" s="1" t="s">
        <v>434</v>
      </c>
      <c r="M123" s="1" t="s">
        <v>435</v>
      </c>
      <c r="N123" s="1" t="s">
        <v>38</v>
      </c>
      <c r="O123" s="1" t="s">
        <v>436</v>
      </c>
      <c r="P123" s="1" t="s">
        <v>459</v>
      </c>
      <c r="Q123" s="1" t="s">
        <v>441</v>
      </c>
      <c r="R123" s="1" t="s">
        <v>33</v>
      </c>
      <c r="S123" s="1"/>
      <c r="U123" s="1" t="s">
        <v>130</v>
      </c>
      <c r="V123" s="1" t="s">
        <v>74</v>
      </c>
      <c r="W123" s="1" t="str">
        <f>VLOOKUP(Table1[[#This Row],[Obergruppe ATC-Code]],Tabelle3!$A$2:$B$100,2)</f>
        <v>ANTIDIABETIKA</v>
      </c>
      <c r="X123" s="1" t="str">
        <f xml:space="preserve"> LEFT(Table1[[#This Row],[Atc Code]],3)</f>
        <v>A10</v>
      </c>
    </row>
    <row r="124" spans="1:24" ht="14.4">
      <c r="A124" s="14">
        <v>853</v>
      </c>
      <c r="B124" s="24">
        <v>7242485</v>
      </c>
      <c r="C124" s="1">
        <v>2700028</v>
      </c>
      <c r="D124" s="1" t="s">
        <v>25</v>
      </c>
      <c r="E124" s="36">
        <v>45056</v>
      </c>
      <c r="F124" s="36">
        <v>45076</v>
      </c>
      <c r="G124" s="38">
        <f t="shared" si="1"/>
        <v>20</v>
      </c>
      <c r="H124" s="5">
        <v>45054</v>
      </c>
      <c r="I124" s="5">
        <v>45077</v>
      </c>
      <c r="J124" s="1" t="s">
        <v>26</v>
      </c>
      <c r="K124" s="1" t="s">
        <v>443</v>
      </c>
      <c r="L124" s="1" t="s">
        <v>434</v>
      </c>
      <c r="M124" s="1" t="s">
        <v>435</v>
      </c>
      <c r="N124" s="1" t="s">
        <v>30</v>
      </c>
      <c r="O124" s="1" t="s">
        <v>436</v>
      </c>
      <c r="P124" s="1" t="s">
        <v>459</v>
      </c>
      <c r="Q124" s="1" t="s">
        <v>441</v>
      </c>
      <c r="R124" s="1" t="s">
        <v>33</v>
      </c>
      <c r="S124" s="1"/>
      <c r="U124" s="1" t="s">
        <v>130</v>
      </c>
      <c r="V124" s="1" t="s">
        <v>74</v>
      </c>
      <c r="W124" s="1" t="str">
        <f>VLOOKUP(Table1[[#This Row],[Obergruppe ATC-Code]],Tabelle3!$A$2:$B$100,2)</f>
        <v>ANTIDIABETIKA</v>
      </c>
      <c r="X124" s="1" t="str">
        <f xml:space="preserve"> LEFT(Table1[[#This Row],[Atc Code]],3)</f>
        <v>A10</v>
      </c>
    </row>
    <row r="125" spans="1:24" ht="14.4">
      <c r="A125" s="14">
        <v>857</v>
      </c>
      <c r="B125" s="24">
        <v>7242491</v>
      </c>
      <c r="C125" s="1">
        <v>2702480</v>
      </c>
      <c r="D125" s="1" t="s">
        <v>25</v>
      </c>
      <c r="E125" s="36">
        <v>45058</v>
      </c>
      <c r="F125" s="36">
        <v>45078</v>
      </c>
      <c r="G125" s="38">
        <f t="shared" si="1"/>
        <v>20</v>
      </c>
      <c r="H125" s="5">
        <v>45054</v>
      </c>
      <c r="I125" s="5">
        <v>45082</v>
      </c>
      <c r="J125" s="1" t="s">
        <v>26</v>
      </c>
      <c r="K125" s="1" t="s">
        <v>444</v>
      </c>
      <c r="L125" s="1" t="s">
        <v>434</v>
      </c>
      <c r="M125" s="1" t="s">
        <v>435</v>
      </c>
      <c r="N125" s="1" t="s">
        <v>38</v>
      </c>
      <c r="O125" s="1" t="s">
        <v>436</v>
      </c>
      <c r="P125" s="1" t="s">
        <v>445</v>
      </c>
      <c r="R125" s="1" t="s">
        <v>33</v>
      </c>
      <c r="S125" s="1"/>
      <c r="U125" s="1" t="s">
        <v>130</v>
      </c>
      <c r="V125" s="1" t="s">
        <v>74</v>
      </c>
      <c r="W125" s="1" t="str">
        <f>VLOOKUP(Table1[[#This Row],[Obergruppe ATC-Code]],Tabelle3!$A$2:$B$100,2)</f>
        <v>ANTIDIABETIKA</v>
      </c>
      <c r="X125" s="1" t="str">
        <f xml:space="preserve"> LEFT(Table1[[#This Row],[Atc Code]],3)</f>
        <v>A10</v>
      </c>
    </row>
    <row r="126" spans="1:24" ht="14.4">
      <c r="A126" s="14">
        <v>304</v>
      </c>
      <c r="B126" s="24">
        <v>1884981</v>
      </c>
      <c r="C126" s="1">
        <v>2702319</v>
      </c>
      <c r="D126" s="1" t="s">
        <v>25</v>
      </c>
      <c r="E126" s="36">
        <v>44816</v>
      </c>
      <c r="F126" s="36">
        <v>44826</v>
      </c>
      <c r="G126" s="38">
        <f t="shared" si="1"/>
        <v>10</v>
      </c>
      <c r="H126" s="5">
        <v>44816</v>
      </c>
      <c r="I126" s="5">
        <v>44826</v>
      </c>
      <c r="J126" s="1" t="s">
        <v>26</v>
      </c>
      <c r="K126" s="1" t="s">
        <v>460</v>
      </c>
      <c r="L126" s="1" t="s">
        <v>461</v>
      </c>
      <c r="M126" s="1" t="s">
        <v>462</v>
      </c>
      <c r="N126" s="1" t="s">
        <v>38</v>
      </c>
      <c r="O126" s="1" t="s">
        <v>428</v>
      </c>
      <c r="P126" s="1">
        <v>1706311655</v>
      </c>
      <c r="Q126" s="1" t="s">
        <v>463</v>
      </c>
      <c r="R126" s="1" t="s">
        <v>33</v>
      </c>
      <c r="S126" s="1" t="s">
        <v>464</v>
      </c>
      <c r="U126" s="1" t="s">
        <v>130</v>
      </c>
      <c r="V126" s="1" t="s">
        <v>74</v>
      </c>
      <c r="W126" s="1" t="str">
        <f>VLOOKUP(Table1[[#This Row],[Obergruppe ATC-Code]],Tabelle3!$A$2:$B$100,2)</f>
        <v>ANTIDIABETIKA</v>
      </c>
      <c r="X126" s="1" t="str">
        <f xml:space="preserve"> LEFT(Table1[[#This Row],[Atc Code]],3)</f>
        <v>A10</v>
      </c>
    </row>
    <row r="127" spans="1:24" ht="14.4">
      <c r="A127" s="14">
        <v>88</v>
      </c>
      <c r="B127" s="24">
        <v>558707</v>
      </c>
      <c r="C127" s="1">
        <v>2700813</v>
      </c>
      <c r="D127" s="1" t="s">
        <v>25</v>
      </c>
      <c r="E127" s="36">
        <v>44826</v>
      </c>
      <c r="F127" s="36">
        <v>44869</v>
      </c>
      <c r="G127" s="38">
        <f t="shared" si="1"/>
        <v>43</v>
      </c>
      <c r="H127" s="5">
        <v>44826</v>
      </c>
      <c r="I127" s="5">
        <v>44872</v>
      </c>
      <c r="J127" s="1" t="s">
        <v>26</v>
      </c>
      <c r="K127" s="1" t="s">
        <v>465</v>
      </c>
      <c r="L127" s="1" t="s">
        <v>461</v>
      </c>
      <c r="M127" s="1" t="s">
        <v>462</v>
      </c>
      <c r="N127" s="1" t="s">
        <v>38</v>
      </c>
      <c r="O127" s="1" t="s">
        <v>428</v>
      </c>
      <c r="P127" s="1">
        <v>1706311655</v>
      </c>
      <c r="Q127" s="1" t="s">
        <v>463</v>
      </c>
      <c r="R127" s="1" t="s">
        <v>113</v>
      </c>
      <c r="S127" s="1" t="s">
        <v>466</v>
      </c>
      <c r="T127" s="1" t="s">
        <v>467</v>
      </c>
      <c r="U127" s="1" t="s">
        <v>35</v>
      </c>
      <c r="V127" s="1" t="s">
        <v>74</v>
      </c>
      <c r="W127" s="1" t="str">
        <f>VLOOKUP(Table1[[#This Row],[Obergruppe ATC-Code]],Tabelle3!$A$2:$B$100,2)</f>
        <v>ANTIDIABETIKA</v>
      </c>
      <c r="X127" s="1" t="str">
        <f xml:space="preserve"> LEFT(Table1[[#This Row],[Atc Code]],3)</f>
        <v>A10</v>
      </c>
    </row>
    <row r="128" spans="1:24" ht="14.4">
      <c r="A128" s="14">
        <v>87</v>
      </c>
      <c r="B128" s="24">
        <v>558647</v>
      </c>
      <c r="C128" s="1">
        <v>2705855</v>
      </c>
      <c r="D128" s="1" t="s">
        <v>25</v>
      </c>
      <c r="E128" s="36">
        <v>44867</v>
      </c>
      <c r="F128" s="36">
        <v>44879</v>
      </c>
      <c r="G128" s="38">
        <f t="shared" si="1"/>
        <v>12</v>
      </c>
      <c r="H128" s="5">
        <v>44867</v>
      </c>
      <c r="I128" s="5">
        <v>44881</v>
      </c>
      <c r="J128" s="1" t="s">
        <v>26</v>
      </c>
      <c r="K128" s="1" t="s">
        <v>468</v>
      </c>
      <c r="L128" s="1" t="s">
        <v>461</v>
      </c>
      <c r="M128" s="1" t="s">
        <v>462</v>
      </c>
      <c r="N128" s="1" t="s">
        <v>38</v>
      </c>
      <c r="O128" s="1" t="s">
        <v>428</v>
      </c>
      <c r="P128" s="1">
        <v>61319031144</v>
      </c>
      <c r="Q128" s="1" t="s">
        <v>463</v>
      </c>
      <c r="R128" s="1" t="s">
        <v>113</v>
      </c>
      <c r="S128" s="1" t="s">
        <v>466</v>
      </c>
      <c r="U128" s="1" t="s">
        <v>35</v>
      </c>
      <c r="V128" s="1" t="s">
        <v>74</v>
      </c>
      <c r="W128" s="1" t="str">
        <f>VLOOKUP(Table1[[#This Row],[Obergruppe ATC-Code]],Tabelle3!$A$2:$B$100,2)</f>
        <v>ANTIDIABETIKA</v>
      </c>
      <c r="X128" s="1" t="str">
        <f xml:space="preserve"> LEFT(Table1[[#This Row],[Atc Code]],3)</f>
        <v>A10</v>
      </c>
    </row>
    <row r="129" spans="1:24" ht="14.4">
      <c r="A129" s="14">
        <v>303</v>
      </c>
      <c r="B129" s="24">
        <v>1884981</v>
      </c>
      <c r="C129" s="1">
        <v>2702319</v>
      </c>
      <c r="D129" s="1" t="s">
        <v>25</v>
      </c>
      <c r="E129" s="36">
        <v>44867</v>
      </c>
      <c r="F129" s="36">
        <v>44886</v>
      </c>
      <c r="G129" s="38">
        <f t="shared" si="1"/>
        <v>19</v>
      </c>
      <c r="H129" s="5">
        <v>44867</v>
      </c>
      <c r="I129" s="5">
        <v>44886</v>
      </c>
      <c r="J129" s="1" t="s">
        <v>26</v>
      </c>
      <c r="K129" s="1" t="s">
        <v>460</v>
      </c>
      <c r="L129" s="1" t="s">
        <v>461</v>
      </c>
      <c r="M129" s="1" t="s">
        <v>462</v>
      </c>
      <c r="N129" s="1" t="s">
        <v>38</v>
      </c>
      <c r="O129" s="1" t="s">
        <v>428</v>
      </c>
      <c r="P129" s="1">
        <v>61319031144</v>
      </c>
      <c r="Q129" s="1" t="s">
        <v>463</v>
      </c>
      <c r="R129" s="1" t="s">
        <v>113</v>
      </c>
      <c r="S129" s="1" t="s">
        <v>466</v>
      </c>
      <c r="T129" s="1" t="s">
        <v>467</v>
      </c>
      <c r="U129" s="1" t="s">
        <v>35</v>
      </c>
      <c r="V129" s="1" t="s">
        <v>74</v>
      </c>
      <c r="W129" s="1" t="str">
        <f>VLOOKUP(Table1[[#This Row],[Obergruppe ATC-Code]],Tabelle3!$A$2:$B$100,2)</f>
        <v>ANTIDIABETIKA</v>
      </c>
      <c r="X129" s="1" t="str">
        <f xml:space="preserve"> LEFT(Table1[[#This Row],[Atc Code]],3)</f>
        <v>A10</v>
      </c>
    </row>
    <row r="130" spans="1:24" ht="14.4">
      <c r="A130" s="14">
        <v>1552</v>
      </c>
      <c r="B130" s="24">
        <v>16634474</v>
      </c>
      <c r="C130" s="1">
        <v>7001469</v>
      </c>
      <c r="D130" s="1" t="s">
        <v>25</v>
      </c>
      <c r="E130" s="36">
        <v>44903</v>
      </c>
      <c r="F130" s="36">
        <v>44916</v>
      </c>
      <c r="G130" s="38">
        <f t="shared" ref="G130:G193" si="2">F130-E130</f>
        <v>13</v>
      </c>
      <c r="H130" s="5">
        <v>44903</v>
      </c>
      <c r="I130" s="5">
        <v>44916</v>
      </c>
      <c r="J130" s="1" t="s">
        <v>26</v>
      </c>
      <c r="K130" s="1" t="s">
        <v>469</v>
      </c>
      <c r="L130" s="1" t="s">
        <v>461</v>
      </c>
      <c r="M130" s="1" t="s">
        <v>462</v>
      </c>
      <c r="N130" s="1" t="s">
        <v>38</v>
      </c>
      <c r="O130" s="1" t="s">
        <v>428</v>
      </c>
      <c r="P130" s="1">
        <v>61319031144</v>
      </c>
      <c r="Q130" s="1" t="s">
        <v>463</v>
      </c>
      <c r="R130" s="1" t="s">
        <v>113</v>
      </c>
      <c r="S130" s="1" t="s">
        <v>470</v>
      </c>
      <c r="T130" s="1" t="s">
        <v>471</v>
      </c>
      <c r="U130" s="1" t="s">
        <v>35</v>
      </c>
      <c r="V130" s="1" t="s">
        <v>472</v>
      </c>
      <c r="W130" s="1" t="str">
        <f>VLOOKUP(Table1[[#This Row],[Obergruppe ATC-Code]],Tabelle3!$A$2:$B$100,2)</f>
        <v>ANTIDIABETIKA</v>
      </c>
      <c r="X130" s="1" t="str">
        <f xml:space="preserve"> LEFT(Table1[[#This Row],[Atc Code]],3)</f>
        <v>A10</v>
      </c>
    </row>
    <row r="131" spans="1:24" ht="14.4">
      <c r="A131" s="14">
        <v>302</v>
      </c>
      <c r="B131" s="24">
        <v>1884952</v>
      </c>
      <c r="C131" s="1">
        <v>2702318</v>
      </c>
      <c r="D131" s="1" t="s">
        <v>25</v>
      </c>
      <c r="E131" s="36">
        <v>44826</v>
      </c>
      <c r="F131" s="36">
        <v>44926</v>
      </c>
      <c r="G131" s="38">
        <f t="shared" si="2"/>
        <v>100</v>
      </c>
      <c r="H131" s="5">
        <v>44826</v>
      </c>
      <c r="I131" s="5">
        <v>44930</v>
      </c>
      <c r="J131" s="1" t="s">
        <v>26</v>
      </c>
      <c r="K131" s="1" t="s">
        <v>473</v>
      </c>
      <c r="L131" s="1" t="s">
        <v>461</v>
      </c>
      <c r="M131" s="1" t="s">
        <v>462</v>
      </c>
      <c r="N131" s="1" t="s">
        <v>38</v>
      </c>
      <c r="O131" s="1" t="s">
        <v>428</v>
      </c>
      <c r="P131" s="1">
        <v>61319031144</v>
      </c>
      <c r="Q131" s="1" t="s">
        <v>463</v>
      </c>
      <c r="R131" s="1" t="s">
        <v>113</v>
      </c>
      <c r="S131" s="1" t="s">
        <v>466</v>
      </c>
      <c r="T131" s="1" t="s">
        <v>474</v>
      </c>
      <c r="U131" s="1" t="s">
        <v>35</v>
      </c>
      <c r="V131" s="1" t="s">
        <v>74</v>
      </c>
      <c r="W131" s="1" t="str">
        <f>VLOOKUP(Table1[[#This Row],[Obergruppe ATC-Code]],Tabelle3!$A$2:$B$100,2)</f>
        <v>ANTIDIABETIKA</v>
      </c>
      <c r="X131" s="1" t="str">
        <f xml:space="preserve"> LEFT(Table1[[#This Row],[Atc Code]],3)</f>
        <v>A10</v>
      </c>
    </row>
    <row r="132" spans="1:24" ht="14.4">
      <c r="A132" s="14">
        <v>1331</v>
      </c>
      <c r="B132" s="24">
        <v>12595168</v>
      </c>
      <c r="C132" s="1">
        <v>2713280</v>
      </c>
      <c r="D132" s="1" t="s">
        <v>25</v>
      </c>
      <c r="E132" s="36">
        <v>44952</v>
      </c>
      <c r="F132" s="36">
        <v>44958</v>
      </c>
      <c r="G132" s="38">
        <f t="shared" si="2"/>
        <v>6</v>
      </c>
      <c r="H132" s="5">
        <v>44952</v>
      </c>
      <c r="I132" s="5">
        <v>44958</v>
      </c>
      <c r="J132" s="1" t="s">
        <v>26</v>
      </c>
      <c r="K132" s="1" t="s">
        <v>475</v>
      </c>
      <c r="L132" s="1" t="s">
        <v>461</v>
      </c>
      <c r="M132" s="1" t="s">
        <v>462</v>
      </c>
      <c r="N132" s="1" t="s">
        <v>38</v>
      </c>
      <c r="O132" s="1" t="s">
        <v>428</v>
      </c>
      <c r="P132" s="1">
        <v>61319031144</v>
      </c>
      <c r="Q132" s="1" t="s">
        <v>463</v>
      </c>
      <c r="R132" s="1" t="s">
        <v>113</v>
      </c>
      <c r="S132" s="1" t="s">
        <v>470</v>
      </c>
      <c r="T132" s="1" t="s">
        <v>476</v>
      </c>
      <c r="U132" s="1" t="s">
        <v>57</v>
      </c>
      <c r="V132" s="1" t="s">
        <v>74</v>
      </c>
      <c r="W132" s="1" t="str">
        <f>VLOOKUP(Table1[[#This Row],[Obergruppe ATC-Code]],Tabelle3!$A$2:$B$100,2)</f>
        <v>ANTIDIABETIKA</v>
      </c>
      <c r="X132" s="1" t="str">
        <f xml:space="preserve"> LEFT(Table1[[#This Row],[Atc Code]],3)</f>
        <v>A10</v>
      </c>
    </row>
    <row r="133" spans="1:24" ht="14.4">
      <c r="A133" s="14">
        <v>1548</v>
      </c>
      <c r="B133" s="24">
        <v>16634468</v>
      </c>
      <c r="C133" s="1">
        <v>7001468</v>
      </c>
      <c r="D133" s="1" t="s">
        <v>25</v>
      </c>
      <c r="E133" s="36">
        <v>44916</v>
      </c>
      <c r="F133" s="36">
        <v>44979</v>
      </c>
      <c r="G133" s="38">
        <f t="shared" si="2"/>
        <v>63</v>
      </c>
      <c r="H133" s="5">
        <v>44916</v>
      </c>
      <c r="I133" s="5">
        <v>44979</v>
      </c>
      <c r="J133" s="1" t="s">
        <v>26</v>
      </c>
      <c r="K133" s="1" t="s">
        <v>469</v>
      </c>
      <c r="L133" s="1" t="s">
        <v>461</v>
      </c>
      <c r="M133" s="1" t="s">
        <v>462</v>
      </c>
      <c r="N133" s="1" t="s">
        <v>38</v>
      </c>
      <c r="O133" s="1" t="s">
        <v>428</v>
      </c>
      <c r="P133" s="1">
        <v>61319031144</v>
      </c>
      <c r="Q133" s="1" t="s">
        <v>463</v>
      </c>
      <c r="R133" s="1" t="s">
        <v>113</v>
      </c>
      <c r="S133" s="1" t="s">
        <v>470</v>
      </c>
      <c r="T133" s="1" t="s">
        <v>477</v>
      </c>
      <c r="U133" s="1" t="s">
        <v>130</v>
      </c>
      <c r="V133" s="1" t="s">
        <v>472</v>
      </c>
      <c r="W133" s="1" t="str">
        <f>VLOOKUP(Table1[[#This Row],[Obergruppe ATC-Code]],Tabelle3!$A$2:$B$100,2)</f>
        <v>ANTIDIABETIKA</v>
      </c>
      <c r="X133" s="1" t="str">
        <f xml:space="preserve"> LEFT(Table1[[#This Row],[Atc Code]],3)</f>
        <v>A10</v>
      </c>
    </row>
    <row r="134" spans="1:24" ht="14.4">
      <c r="A134" s="14">
        <v>1328</v>
      </c>
      <c r="B134" s="24">
        <v>12595139</v>
      </c>
      <c r="C134" s="1">
        <v>2713275</v>
      </c>
      <c r="D134" s="1" t="s">
        <v>25</v>
      </c>
      <c r="E134" s="36">
        <v>44931</v>
      </c>
      <c r="F134" s="36">
        <v>44977</v>
      </c>
      <c r="G134" s="38">
        <f t="shared" si="2"/>
        <v>46</v>
      </c>
      <c r="H134" s="5">
        <v>44931</v>
      </c>
      <c r="I134" s="5">
        <v>44979</v>
      </c>
      <c r="J134" s="1" t="s">
        <v>26</v>
      </c>
      <c r="K134" s="1" t="s">
        <v>478</v>
      </c>
      <c r="L134" s="1" t="s">
        <v>461</v>
      </c>
      <c r="M134" s="1" t="s">
        <v>462</v>
      </c>
      <c r="N134" s="1" t="s">
        <v>38</v>
      </c>
      <c r="O134" s="1" t="s">
        <v>428</v>
      </c>
      <c r="P134" s="1">
        <v>61319031144</v>
      </c>
      <c r="Q134" s="1" t="s">
        <v>463</v>
      </c>
      <c r="R134" s="1" t="s">
        <v>113</v>
      </c>
      <c r="S134" s="1" t="s">
        <v>470</v>
      </c>
      <c r="T134" s="1" t="s">
        <v>479</v>
      </c>
      <c r="U134" s="1" t="s">
        <v>35</v>
      </c>
      <c r="V134" s="1" t="s">
        <v>74</v>
      </c>
      <c r="W134" s="1" t="str">
        <f>VLOOKUP(Table1[[#This Row],[Obergruppe ATC-Code]],Tabelle3!$A$2:$B$100,2)</f>
        <v>ANTIDIABETIKA</v>
      </c>
      <c r="X134" s="1" t="str">
        <f xml:space="preserve"> LEFT(Table1[[#This Row],[Atc Code]],3)</f>
        <v>A10</v>
      </c>
    </row>
    <row r="135" spans="1:24" ht="14.4">
      <c r="A135" s="14">
        <v>301</v>
      </c>
      <c r="B135" s="24">
        <v>1884952</v>
      </c>
      <c r="C135" s="1">
        <v>2702318</v>
      </c>
      <c r="D135" s="1" t="s">
        <v>25</v>
      </c>
      <c r="E135" s="36">
        <v>44952</v>
      </c>
      <c r="F135" s="36">
        <v>44985</v>
      </c>
      <c r="G135" s="38">
        <f t="shared" si="2"/>
        <v>33</v>
      </c>
      <c r="H135" s="5">
        <v>44952</v>
      </c>
      <c r="I135" s="5">
        <v>44986</v>
      </c>
      <c r="J135" s="1" t="s">
        <v>26</v>
      </c>
      <c r="K135" s="1" t="s">
        <v>473</v>
      </c>
      <c r="L135" s="1" t="s">
        <v>461</v>
      </c>
      <c r="M135" s="1" t="s">
        <v>462</v>
      </c>
      <c r="N135" s="1" t="s">
        <v>38</v>
      </c>
      <c r="O135" s="1" t="s">
        <v>428</v>
      </c>
      <c r="P135" s="1">
        <v>61319031144</v>
      </c>
      <c r="Q135" s="1" t="s">
        <v>463</v>
      </c>
      <c r="R135" s="1" t="s">
        <v>113</v>
      </c>
      <c r="S135" s="1" t="s">
        <v>470</v>
      </c>
      <c r="T135" s="1" t="s">
        <v>474</v>
      </c>
      <c r="U135" s="1" t="s">
        <v>57</v>
      </c>
      <c r="V135" s="1" t="s">
        <v>74</v>
      </c>
      <c r="W135" s="1" t="str">
        <f>VLOOKUP(Table1[[#This Row],[Obergruppe ATC-Code]],Tabelle3!$A$2:$B$100,2)</f>
        <v>ANTIDIABETIKA</v>
      </c>
      <c r="X135" s="1" t="str">
        <f xml:space="preserve"> LEFT(Table1[[#This Row],[Atc Code]],3)</f>
        <v>A10</v>
      </c>
    </row>
    <row r="136" spans="1:24" ht="14.4">
      <c r="A136" s="14">
        <v>1330</v>
      </c>
      <c r="B136" s="24">
        <v>12595151</v>
      </c>
      <c r="C136" s="1">
        <v>2713276</v>
      </c>
      <c r="D136" s="1" t="s">
        <v>25</v>
      </c>
      <c r="E136" s="36">
        <v>44986</v>
      </c>
      <c r="F136" s="36">
        <v>44993</v>
      </c>
      <c r="G136" s="38">
        <f t="shared" si="2"/>
        <v>7</v>
      </c>
      <c r="H136" s="5">
        <v>44987</v>
      </c>
      <c r="I136" s="5">
        <v>44993</v>
      </c>
      <c r="J136" s="1" t="s">
        <v>26</v>
      </c>
      <c r="K136" s="1" t="s">
        <v>480</v>
      </c>
      <c r="L136" s="1" t="s">
        <v>461</v>
      </c>
      <c r="M136" s="1" t="s">
        <v>462</v>
      </c>
      <c r="N136" s="1" t="s">
        <v>38</v>
      </c>
      <c r="O136" s="1" t="s">
        <v>428</v>
      </c>
      <c r="P136" s="1">
        <v>61319031144</v>
      </c>
      <c r="Q136" s="1" t="s">
        <v>429</v>
      </c>
      <c r="R136" s="1" t="s">
        <v>113</v>
      </c>
      <c r="S136" s="1" t="s">
        <v>481</v>
      </c>
      <c r="T136" s="1" t="s">
        <v>482</v>
      </c>
      <c r="U136" s="1" t="s">
        <v>130</v>
      </c>
      <c r="V136" s="1" t="s">
        <v>74</v>
      </c>
      <c r="W136" s="1" t="str">
        <f>VLOOKUP(Table1[[#This Row],[Obergruppe ATC-Code]],Tabelle3!$A$2:$B$100,2)</f>
        <v>ANTIDIABETIKA</v>
      </c>
      <c r="X136" s="1" t="str">
        <f xml:space="preserve"> LEFT(Table1[[#This Row],[Atc Code]],3)</f>
        <v>A10</v>
      </c>
    </row>
    <row r="137" spans="1:24" ht="14.4">
      <c r="A137" s="14">
        <v>1551</v>
      </c>
      <c r="B137" s="24">
        <v>16634474</v>
      </c>
      <c r="C137" s="1">
        <v>7001469</v>
      </c>
      <c r="D137" s="1" t="s">
        <v>25</v>
      </c>
      <c r="E137" s="36">
        <v>44938</v>
      </c>
      <c r="F137" s="36">
        <v>45034</v>
      </c>
      <c r="G137" s="38">
        <f t="shared" si="2"/>
        <v>96</v>
      </c>
      <c r="H137" s="5">
        <v>44938</v>
      </c>
      <c r="I137" s="5">
        <v>45034</v>
      </c>
      <c r="J137" s="1" t="s">
        <v>26</v>
      </c>
      <c r="K137" s="1" t="s">
        <v>469</v>
      </c>
      <c r="L137" s="1" t="s">
        <v>461</v>
      </c>
      <c r="M137" s="1" t="s">
        <v>462</v>
      </c>
      <c r="N137" s="1" t="s">
        <v>38</v>
      </c>
      <c r="O137" s="1" t="s">
        <v>428</v>
      </c>
      <c r="P137" s="1">
        <v>61319031144</v>
      </c>
      <c r="Q137" s="1" t="s">
        <v>429</v>
      </c>
      <c r="R137" s="1" t="s">
        <v>113</v>
      </c>
      <c r="S137" s="1" t="s">
        <v>470</v>
      </c>
      <c r="T137" s="1" t="s">
        <v>471</v>
      </c>
      <c r="U137" s="1" t="s">
        <v>130</v>
      </c>
      <c r="V137" s="1" t="s">
        <v>472</v>
      </c>
      <c r="W137" s="1" t="str">
        <f>VLOOKUP(Table1[[#This Row],[Obergruppe ATC-Code]],Tabelle3!$A$2:$B$100,2)</f>
        <v>ANTIDIABETIKA</v>
      </c>
      <c r="X137" s="1" t="str">
        <f xml:space="preserve"> LEFT(Table1[[#This Row],[Atc Code]],3)</f>
        <v>A10</v>
      </c>
    </row>
    <row r="138" spans="1:24" ht="14.4">
      <c r="A138" s="14">
        <v>1547</v>
      </c>
      <c r="B138" s="24">
        <v>16634468</v>
      </c>
      <c r="C138" s="1">
        <v>7001468</v>
      </c>
      <c r="D138" s="1" t="s">
        <v>25</v>
      </c>
      <c r="E138" s="36">
        <v>45021</v>
      </c>
      <c r="F138" s="36">
        <v>45098</v>
      </c>
      <c r="G138" s="38">
        <f t="shared" si="2"/>
        <v>77</v>
      </c>
      <c r="H138" s="5">
        <v>45021</v>
      </c>
      <c r="I138" s="5">
        <v>45098</v>
      </c>
      <c r="J138" s="1" t="s">
        <v>26</v>
      </c>
      <c r="K138" s="1" t="s">
        <v>469</v>
      </c>
      <c r="L138" s="1" t="s">
        <v>461</v>
      </c>
      <c r="M138" s="1" t="s">
        <v>462</v>
      </c>
      <c r="N138" s="1" t="s">
        <v>38</v>
      </c>
      <c r="O138" s="1" t="s">
        <v>428</v>
      </c>
      <c r="P138" s="1">
        <v>61319031144</v>
      </c>
      <c r="Q138" s="1" t="s">
        <v>429</v>
      </c>
      <c r="R138" s="1" t="s">
        <v>113</v>
      </c>
      <c r="S138" s="1" t="s">
        <v>470</v>
      </c>
      <c r="T138" s="1" t="s">
        <v>483</v>
      </c>
      <c r="U138" s="1" t="s">
        <v>130</v>
      </c>
      <c r="V138" s="1" t="s">
        <v>472</v>
      </c>
      <c r="W138" s="1" t="str">
        <f>VLOOKUP(Table1[[#This Row],[Obergruppe ATC-Code]],Tabelle3!$A$2:$B$100,2)</f>
        <v>ANTIDIABETIKA</v>
      </c>
      <c r="X138" s="1" t="str">
        <f xml:space="preserve"> LEFT(Table1[[#This Row],[Atc Code]],3)</f>
        <v>A10</v>
      </c>
    </row>
    <row r="139" spans="1:24" ht="14.4">
      <c r="A139" s="14">
        <v>1329</v>
      </c>
      <c r="B139" s="24">
        <v>12595151</v>
      </c>
      <c r="C139" s="1">
        <v>2713276</v>
      </c>
      <c r="D139" s="1" t="s">
        <v>25</v>
      </c>
      <c r="E139" s="36">
        <v>45076</v>
      </c>
      <c r="F139" s="36">
        <v>45098</v>
      </c>
      <c r="G139" s="38">
        <f t="shared" si="2"/>
        <v>22</v>
      </c>
      <c r="H139" s="5">
        <v>45076</v>
      </c>
      <c r="I139" s="5">
        <v>45098</v>
      </c>
      <c r="J139" s="1" t="s">
        <v>26</v>
      </c>
      <c r="K139" s="1" t="s">
        <v>480</v>
      </c>
      <c r="L139" s="1" t="s">
        <v>461</v>
      </c>
      <c r="M139" s="1" t="s">
        <v>462</v>
      </c>
      <c r="N139" s="1" t="s">
        <v>38</v>
      </c>
      <c r="O139" s="1" t="s">
        <v>428</v>
      </c>
      <c r="P139" s="1">
        <v>61319031144</v>
      </c>
      <c r="Q139" s="1" t="s">
        <v>429</v>
      </c>
      <c r="R139" s="1" t="s">
        <v>113</v>
      </c>
      <c r="S139" s="1" t="s">
        <v>470</v>
      </c>
      <c r="T139" s="1" t="s">
        <v>482</v>
      </c>
      <c r="U139" s="1" t="s">
        <v>130</v>
      </c>
      <c r="V139" s="1" t="s">
        <v>74</v>
      </c>
      <c r="W139" s="1" t="str">
        <f>VLOOKUP(Table1[[#This Row],[Obergruppe ATC-Code]],Tabelle3!$A$2:$B$100,2)</f>
        <v>ANTIDIABETIKA</v>
      </c>
      <c r="X139" s="1" t="str">
        <f xml:space="preserve"> LEFT(Table1[[#This Row],[Atc Code]],3)</f>
        <v>A10</v>
      </c>
    </row>
    <row r="140" spans="1:24" ht="14.4">
      <c r="A140" s="14">
        <v>1550</v>
      </c>
      <c r="B140" s="24">
        <v>16634474</v>
      </c>
      <c r="C140" s="1">
        <v>7001469</v>
      </c>
      <c r="D140" s="1" t="s">
        <v>25</v>
      </c>
      <c r="E140" s="36">
        <v>45112</v>
      </c>
      <c r="F140" s="36">
        <v>45126</v>
      </c>
      <c r="G140" s="38">
        <f t="shared" si="2"/>
        <v>14</v>
      </c>
      <c r="H140" s="5">
        <v>45112</v>
      </c>
      <c r="I140" s="5">
        <v>45127</v>
      </c>
      <c r="J140" s="1" t="s">
        <v>26</v>
      </c>
      <c r="K140" s="1" t="s">
        <v>469</v>
      </c>
      <c r="L140" s="1" t="s">
        <v>461</v>
      </c>
      <c r="M140" s="1" t="s">
        <v>462</v>
      </c>
      <c r="N140" s="1" t="s">
        <v>30</v>
      </c>
      <c r="O140" s="1" t="s">
        <v>428</v>
      </c>
      <c r="P140" s="1">
        <v>61319031144</v>
      </c>
      <c r="Q140" s="1" t="s">
        <v>429</v>
      </c>
      <c r="R140" s="1" t="s">
        <v>113</v>
      </c>
      <c r="S140" s="1" t="s">
        <v>470</v>
      </c>
      <c r="T140" s="1" t="s">
        <v>471</v>
      </c>
      <c r="U140" s="1" t="s">
        <v>130</v>
      </c>
      <c r="V140" s="1" t="s">
        <v>472</v>
      </c>
      <c r="W140" s="1" t="str">
        <f>VLOOKUP(Table1[[#This Row],[Obergruppe ATC-Code]],Tabelle3!$A$2:$B$100,2)</f>
        <v>ANTIDIABETIKA</v>
      </c>
      <c r="X140" s="1" t="str">
        <f xml:space="preserve"> LEFT(Table1[[#This Row],[Atc Code]],3)</f>
        <v>A10</v>
      </c>
    </row>
    <row r="141" spans="1:24" ht="14.4">
      <c r="A141" s="14">
        <v>1202</v>
      </c>
      <c r="B141" s="24">
        <v>11072505</v>
      </c>
      <c r="C141" s="1">
        <v>2712151</v>
      </c>
      <c r="D141" s="1" t="s">
        <v>25</v>
      </c>
      <c r="E141" s="36">
        <v>45112</v>
      </c>
      <c r="F141" s="36">
        <v>45126</v>
      </c>
      <c r="G141" s="38">
        <f t="shared" si="2"/>
        <v>14</v>
      </c>
      <c r="H141" s="5">
        <v>45112</v>
      </c>
      <c r="I141" s="5">
        <v>45127</v>
      </c>
      <c r="J141" s="1" t="s">
        <v>26</v>
      </c>
      <c r="K141" s="1" t="s">
        <v>484</v>
      </c>
      <c r="L141" s="1" t="s">
        <v>461</v>
      </c>
      <c r="M141" s="1" t="s">
        <v>462</v>
      </c>
      <c r="N141" s="1" t="s">
        <v>38</v>
      </c>
      <c r="O141" s="1" t="s">
        <v>428</v>
      </c>
      <c r="P141" s="1">
        <v>61319031144</v>
      </c>
      <c r="Q141" s="1" t="s">
        <v>429</v>
      </c>
      <c r="R141" s="1" t="s">
        <v>113</v>
      </c>
      <c r="S141" s="1" t="s">
        <v>470</v>
      </c>
      <c r="T141" s="1" t="s">
        <v>477</v>
      </c>
      <c r="U141" s="1" t="s">
        <v>130</v>
      </c>
      <c r="V141" s="1" t="s">
        <v>74</v>
      </c>
      <c r="W141" s="1" t="str">
        <f>VLOOKUP(Table1[[#This Row],[Obergruppe ATC-Code]],Tabelle3!$A$2:$B$100,2)</f>
        <v>ANTIDIABETIKA</v>
      </c>
      <c r="X141" s="1" t="str">
        <f xml:space="preserve"> LEFT(Table1[[#This Row],[Atc Code]],3)</f>
        <v>A10</v>
      </c>
    </row>
    <row r="142" spans="1:24" ht="14.4">
      <c r="A142" s="14">
        <v>1174</v>
      </c>
      <c r="B142" s="24">
        <v>10180724</v>
      </c>
      <c r="C142" s="1">
        <v>2711804</v>
      </c>
      <c r="D142" s="1" t="s">
        <v>25</v>
      </c>
      <c r="E142" s="36">
        <v>45147</v>
      </c>
      <c r="F142" s="36">
        <v>45168</v>
      </c>
      <c r="G142" s="38">
        <f t="shared" si="2"/>
        <v>21</v>
      </c>
      <c r="H142" s="5">
        <v>45147</v>
      </c>
      <c r="I142" s="5">
        <v>45168</v>
      </c>
      <c r="J142" s="1" t="s">
        <v>26</v>
      </c>
      <c r="K142" s="1" t="s">
        <v>485</v>
      </c>
      <c r="L142" s="1" t="s">
        <v>461</v>
      </c>
      <c r="M142" s="1" t="s">
        <v>462</v>
      </c>
      <c r="N142" s="1" t="s">
        <v>38</v>
      </c>
      <c r="O142" s="1" t="s">
        <v>428</v>
      </c>
      <c r="P142" s="1">
        <v>61319031144</v>
      </c>
      <c r="Q142" s="1" t="s">
        <v>429</v>
      </c>
      <c r="R142" s="1" t="s">
        <v>113</v>
      </c>
      <c r="S142" s="1" t="s">
        <v>470</v>
      </c>
      <c r="T142" s="1" t="s">
        <v>486</v>
      </c>
      <c r="U142" s="1" t="s">
        <v>130</v>
      </c>
      <c r="V142" s="1" t="s">
        <v>74</v>
      </c>
      <c r="W142" s="1" t="str">
        <f>VLOOKUP(Table1[[#This Row],[Obergruppe ATC-Code]],Tabelle3!$A$2:$B$100,2)</f>
        <v>ANTIDIABETIKA</v>
      </c>
      <c r="X142" s="1" t="str">
        <f xml:space="preserve"> LEFT(Table1[[#This Row],[Atc Code]],3)</f>
        <v>A10</v>
      </c>
    </row>
    <row r="143" spans="1:24" ht="14.4">
      <c r="A143" s="14">
        <v>1175</v>
      </c>
      <c r="B143" s="24">
        <v>10180724</v>
      </c>
      <c r="C143" s="1">
        <v>2711804</v>
      </c>
      <c r="D143" s="1" t="s">
        <v>175</v>
      </c>
      <c r="E143" s="36">
        <v>45187</v>
      </c>
      <c r="F143" s="36">
        <v>45246</v>
      </c>
      <c r="G143" s="38">
        <f t="shared" si="2"/>
        <v>59</v>
      </c>
      <c r="H143" s="5">
        <v>45182</v>
      </c>
      <c r="I143" s="5">
        <v>45182</v>
      </c>
      <c r="J143" s="1" t="s">
        <v>41</v>
      </c>
      <c r="K143" s="1" t="s">
        <v>485</v>
      </c>
      <c r="L143" s="1" t="s">
        <v>461</v>
      </c>
      <c r="M143" s="1" t="s">
        <v>462</v>
      </c>
      <c r="N143" s="1" t="s">
        <v>30</v>
      </c>
      <c r="O143" s="1" t="s">
        <v>428</v>
      </c>
      <c r="P143" s="1">
        <v>61319031144</v>
      </c>
      <c r="Q143" s="1" t="s">
        <v>429</v>
      </c>
      <c r="R143" s="1" t="s">
        <v>128</v>
      </c>
      <c r="S143" s="1" t="s">
        <v>487</v>
      </c>
      <c r="T143" s="1" t="s">
        <v>488</v>
      </c>
      <c r="U143" s="1" t="s">
        <v>130</v>
      </c>
      <c r="V143" s="1" t="s">
        <v>74</v>
      </c>
      <c r="W143" s="1" t="str">
        <f>VLOOKUP(Table1[[#This Row],[Obergruppe ATC-Code]],Tabelle3!$A$2:$B$100,2)</f>
        <v>ANTIDIABETIKA</v>
      </c>
      <c r="X143" s="1" t="str">
        <f xml:space="preserve"> LEFT(Table1[[#This Row],[Atc Code]],3)</f>
        <v>A10</v>
      </c>
    </row>
    <row r="144" spans="1:24" ht="14.4">
      <c r="A144" s="14">
        <v>1549</v>
      </c>
      <c r="B144" s="24">
        <v>16634474</v>
      </c>
      <c r="C144" s="1">
        <v>7001469</v>
      </c>
      <c r="D144" s="1" t="s">
        <v>25</v>
      </c>
      <c r="E144" s="36">
        <v>45189</v>
      </c>
      <c r="F144" s="36">
        <v>45210</v>
      </c>
      <c r="G144" s="38">
        <f t="shared" si="2"/>
        <v>21</v>
      </c>
      <c r="H144" s="5">
        <v>45189</v>
      </c>
      <c r="I144" s="5">
        <v>45210</v>
      </c>
      <c r="J144" s="1" t="s">
        <v>26</v>
      </c>
      <c r="K144" s="1" t="s">
        <v>469</v>
      </c>
      <c r="L144" s="1" t="s">
        <v>461</v>
      </c>
      <c r="M144" s="1" t="s">
        <v>462</v>
      </c>
      <c r="N144" s="1" t="s">
        <v>38</v>
      </c>
      <c r="O144" s="1" t="s">
        <v>428</v>
      </c>
      <c r="P144" s="1">
        <v>61319031144</v>
      </c>
      <c r="Q144" s="1" t="s">
        <v>429</v>
      </c>
      <c r="R144" s="1" t="s">
        <v>113</v>
      </c>
      <c r="S144" s="1" t="s">
        <v>470</v>
      </c>
      <c r="T144" s="1" t="s">
        <v>471</v>
      </c>
      <c r="U144" s="1" t="s">
        <v>130</v>
      </c>
      <c r="V144" s="1" t="s">
        <v>472</v>
      </c>
      <c r="W144" s="1" t="str">
        <f>VLOOKUP(Table1[[#This Row],[Obergruppe ATC-Code]],Tabelle3!$A$2:$B$100,2)</f>
        <v>ANTIDIABETIKA</v>
      </c>
      <c r="X144" s="1" t="str">
        <f xml:space="preserve"> LEFT(Table1[[#This Row],[Atc Code]],3)</f>
        <v>A10</v>
      </c>
    </row>
    <row r="145" spans="1:24" ht="14.4">
      <c r="A145" s="14">
        <v>1201</v>
      </c>
      <c r="B145" s="24">
        <v>11072505</v>
      </c>
      <c r="C145" s="1">
        <v>2712151</v>
      </c>
      <c r="D145" s="1" t="s">
        <v>25</v>
      </c>
      <c r="E145" s="36">
        <v>45135</v>
      </c>
      <c r="F145" s="36">
        <v>45210</v>
      </c>
      <c r="G145" s="38">
        <f t="shared" si="2"/>
        <v>75</v>
      </c>
      <c r="H145" s="5">
        <v>45133</v>
      </c>
      <c r="I145" s="5">
        <v>45210</v>
      </c>
      <c r="J145" s="1" t="s">
        <v>26</v>
      </c>
      <c r="K145" s="1" t="s">
        <v>484</v>
      </c>
      <c r="L145" s="1" t="s">
        <v>461</v>
      </c>
      <c r="M145" s="1" t="s">
        <v>462</v>
      </c>
      <c r="N145" s="1" t="s">
        <v>38</v>
      </c>
      <c r="O145" s="1" t="s">
        <v>428</v>
      </c>
      <c r="P145" s="1">
        <v>61319031144</v>
      </c>
      <c r="Q145" s="1" t="s">
        <v>429</v>
      </c>
      <c r="R145" s="1" t="s">
        <v>113</v>
      </c>
      <c r="S145" s="1" t="s">
        <v>470</v>
      </c>
      <c r="T145" s="1" t="s">
        <v>486</v>
      </c>
      <c r="U145" s="1" t="s">
        <v>130</v>
      </c>
      <c r="V145" s="1" t="s">
        <v>74</v>
      </c>
      <c r="W145" s="1" t="str">
        <f>VLOOKUP(Table1[[#This Row],[Obergruppe ATC-Code]],Tabelle3!$A$2:$B$100,2)</f>
        <v>ANTIDIABETIKA</v>
      </c>
      <c r="X145" s="1" t="str">
        <f xml:space="preserve"> LEFT(Table1[[#This Row],[Atc Code]],3)</f>
        <v>A10</v>
      </c>
    </row>
    <row r="146" spans="1:24" ht="15" customHeight="1">
      <c r="A146" s="14">
        <v>2212</v>
      </c>
      <c r="B146" s="24" t="s">
        <v>489</v>
      </c>
      <c r="C146" s="1" t="s">
        <v>490</v>
      </c>
      <c r="D146" s="1" t="s">
        <v>25</v>
      </c>
      <c r="E146" s="36">
        <v>44973</v>
      </c>
      <c r="F146" s="36">
        <v>45068</v>
      </c>
      <c r="G146" s="38">
        <f t="shared" si="2"/>
        <v>95</v>
      </c>
      <c r="H146" s="5">
        <v>44974</v>
      </c>
      <c r="I146" s="5">
        <v>45068</v>
      </c>
      <c r="J146" s="1" t="s">
        <v>26</v>
      </c>
      <c r="K146" s="1" t="s">
        <v>491</v>
      </c>
      <c r="L146" s="1" t="s">
        <v>492</v>
      </c>
      <c r="M146" s="1" t="s">
        <v>493</v>
      </c>
      <c r="N146" s="1" t="s">
        <v>30</v>
      </c>
      <c r="O146" s="1" t="s">
        <v>62</v>
      </c>
      <c r="P146" s="1">
        <v>8005252010</v>
      </c>
      <c r="Q146" s="1" t="s">
        <v>64</v>
      </c>
      <c r="R146" s="1" t="s">
        <v>26</v>
      </c>
      <c r="S146" s="1" t="s">
        <v>494</v>
      </c>
      <c r="U146" s="1" t="s">
        <v>35</v>
      </c>
      <c r="V146" s="1" t="s">
        <v>74</v>
      </c>
      <c r="W146" s="1" t="str">
        <f>VLOOKUP(Table1[[#This Row],[Obergruppe ATC-Code]],Tabelle3!$A$2:$B$100,2)</f>
        <v>ANTIDIABETIKA</v>
      </c>
      <c r="X146" s="1" t="str">
        <f xml:space="preserve"> LEFT(Table1[[#This Row],[Atc Code]],3)</f>
        <v>A10</v>
      </c>
    </row>
    <row r="147" spans="1:24" ht="14.4">
      <c r="A147" s="14">
        <v>1879</v>
      </c>
      <c r="B147" s="24" t="s">
        <v>495</v>
      </c>
      <c r="C147" s="1">
        <v>2706662</v>
      </c>
      <c r="D147" s="1" t="s">
        <v>25</v>
      </c>
      <c r="E147" s="36">
        <v>44287</v>
      </c>
      <c r="F147" s="36">
        <v>44344</v>
      </c>
      <c r="G147" s="38">
        <f t="shared" si="2"/>
        <v>57</v>
      </c>
      <c r="H147" s="5">
        <v>44334</v>
      </c>
      <c r="I147" s="5">
        <v>44348</v>
      </c>
      <c r="J147" s="1" t="s">
        <v>41</v>
      </c>
      <c r="K147" s="1" t="s">
        <v>496</v>
      </c>
      <c r="L147" s="1" t="s">
        <v>497</v>
      </c>
      <c r="M147" s="1" t="s">
        <v>410</v>
      </c>
      <c r="N147" s="1" t="s">
        <v>38</v>
      </c>
      <c r="O147" s="1" t="s">
        <v>62</v>
      </c>
      <c r="P147" s="1" t="s">
        <v>63</v>
      </c>
      <c r="Q147" s="1" t="s">
        <v>64</v>
      </c>
      <c r="R147" s="1" t="s">
        <v>65</v>
      </c>
      <c r="S147" s="1"/>
      <c r="U147" s="1" t="s">
        <v>35</v>
      </c>
      <c r="V147" s="1" t="s">
        <v>498</v>
      </c>
      <c r="W147" s="1" t="str">
        <f>VLOOKUP(Table1[[#This Row],[Obergruppe ATC-Code]],Tabelle3!$A$2:$B$100,2)</f>
        <v>ANTIDIABETIKA</v>
      </c>
      <c r="X147" s="1" t="str">
        <f xml:space="preserve"> LEFT(Table1[[#This Row],[Atc Code]],3)</f>
        <v>A10</v>
      </c>
    </row>
    <row r="148" spans="1:24" ht="14.4">
      <c r="A148" s="14">
        <v>1880</v>
      </c>
      <c r="B148" s="24" t="s">
        <v>495</v>
      </c>
      <c r="C148" s="1">
        <v>2706665</v>
      </c>
      <c r="D148" s="1" t="s">
        <v>25</v>
      </c>
      <c r="E148" s="36">
        <v>44287</v>
      </c>
      <c r="F148" s="36">
        <v>44344</v>
      </c>
      <c r="G148" s="38">
        <f t="shared" si="2"/>
        <v>57</v>
      </c>
      <c r="H148" s="5">
        <v>44334</v>
      </c>
      <c r="I148" s="5">
        <v>44348</v>
      </c>
      <c r="J148" s="1" t="s">
        <v>41</v>
      </c>
      <c r="K148" s="1" t="s">
        <v>499</v>
      </c>
      <c r="L148" s="1" t="s">
        <v>497</v>
      </c>
      <c r="M148" s="1" t="s">
        <v>410</v>
      </c>
      <c r="N148" s="1" t="s">
        <v>38</v>
      </c>
      <c r="O148" s="1" t="s">
        <v>62</v>
      </c>
      <c r="P148" s="1" t="s">
        <v>63</v>
      </c>
      <c r="Q148" s="1" t="s">
        <v>64</v>
      </c>
      <c r="R148" s="1" t="s">
        <v>65</v>
      </c>
      <c r="S148" s="1"/>
      <c r="U148" s="1" t="s">
        <v>35</v>
      </c>
      <c r="V148" s="1" t="s">
        <v>498</v>
      </c>
      <c r="W148" s="1" t="str">
        <f>VLOOKUP(Table1[[#This Row],[Obergruppe ATC-Code]],Tabelle3!$A$2:$B$100,2)</f>
        <v>ANTIDIABETIKA</v>
      </c>
      <c r="X148" s="1" t="str">
        <f xml:space="preserve"> LEFT(Table1[[#This Row],[Atc Code]],3)</f>
        <v>A10</v>
      </c>
    </row>
    <row r="149" spans="1:24" ht="14.4">
      <c r="A149" s="14">
        <v>2438</v>
      </c>
      <c r="B149" s="24" t="s">
        <v>500</v>
      </c>
      <c r="C149" s="1" t="s">
        <v>501</v>
      </c>
      <c r="D149" s="1" t="s">
        <v>25</v>
      </c>
      <c r="E149" s="36">
        <v>44918</v>
      </c>
      <c r="F149" s="36">
        <v>45077</v>
      </c>
      <c r="G149" s="38">
        <f t="shared" si="2"/>
        <v>159</v>
      </c>
      <c r="H149" s="5">
        <v>44923</v>
      </c>
      <c r="I149" s="5">
        <v>45078</v>
      </c>
      <c r="J149" s="1" t="s">
        <v>26</v>
      </c>
      <c r="K149" s="1" t="s">
        <v>502</v>
      </c>
      <c r="L149" s="1" t="s">
        <v>497</v>
      </c>
      <c r="M149" s="1" t="s">
        <v>410</v>
      </c>
      <c r="N149" s="1" t="s">
        <v>30</v>
      </c>
      <c r="O149" s="1" t="s">
        <v>62</v>
      </c>
      <c r="P149" s="1">
        <v>8005252010</v>
      </c>
      <c r="Q149" s="1" t="s">
        <v>64</v>
      </c>
      <c r="R149" s="1" t="s">
        <v>33</v>
      </c>
      <c r="S149" s="1" t="s">
        <v>426</v>
      </c>
      <c r="U149" s="1" t="s">
        <v>57</v>
      </c>
      <c r="V149" s="1" t="s">
        <v>498</v>
      </c>
      <c r="W149" s="1" t="str">
        <f>VLOOKUP(Table1[[#This Row],[Obergruppe ATC-Code]],Tabelle3!$A$2:$B$100,2)</f>
        <v>ANTIDIABETIKA</v>
      </c>
      <c r="X149" s="1" t="str">
        <f xml:space="preserve"> LEFT(Table1[[#This Row],[Atc Code]],3)</f>
        <v>A10</v>
      </c>
    </row>
    <row r="150" spans="1:24" ht="14.4" customHeight="1">
      <c r="A150" s="14">
        <v>1878</v>
      </c>
      <c r="B150" s="24" t="s">
        <v>503</v>
      </c>
      <c r="C150" s="1" t="s">
        <v>504</v>
      </c>
      <c r="D150" s="1" t="s">
        <v>25</v>
      </c>
      <c r="E150" s="36">
        <v>44918</v>
      </c>
      <c r="F150" s="36">
        <v>45077</v>
      </c>
      <c r="G150" s="38">
        <f t="shared" si="2"/>
        <v>159</v>
      </c>
      <c r="H150" s="5">
        <v>44923</v>
      </c>
      <c r="I150" s="5">
        <v>45078</v>
      </c>
      <c r="J150" s="1" t="s">
        <v>26</v>
      </c>
      <c r="K150" s="1" t="s">
        <v>496</v>
      </c>
      <c r="L150" s="1" t="s">
        <v>497</v>
      </c>
      <c r="M150" s="1" t="s">
        <v>410</v>
      </c>
      <c r="N150" s="1" t="s">
        <v>30</v>
      </c>
      <c r="O150" s="1" t="s">
        <v>62</v>
      </c>
      <c r="P150" s="1">
        <v>8005252010</v>
      </c>
      <c r="Q150" s="1" t="s">
        <v>64</v>
      </c>
      <c r="R150" s="1" t="s">
        <v>33</v>
      </c>
      <c r="S150" s="1" t="s">
        <v>426</v>
      </c>
      <c r="U150" s="1" t="s">
        <v>57</v>
      </c>
      <c r="V150" s="1" t="s">
        <v>498</v>
      </c>
      <c r="W150" s="1" t="str">
        <f>VLOOKUP(Table1[[#This Row],[Obergruppe ATC-Code]],Tabelle3!$A$2:$B$100,2)</f>
        <v>ANTIDIABETIKA</v>
      </c>
      <c r="X150" s="1" t="str">
        <f xml:space="preserve"> LEFT(Table1[[#This Row],[Atc Code]],3)</f>
        <v>A10</v>
      </c>
    </row>
    <row r="151" spans="1:24" ht="14.4" customHeight="1">
      <c r="A151" s="14">
        <v>83</v>
      </c>
      <c r="B151" s="24">
        <v>546555</v>
      </c>
      <c r="C151" s="1">
        <v>2702006</v>
      </c>
      <c r="D151" s="1" t="s">
        <v>175</v>
      </c>
      <c r="E151" s="36">
        <v>45120</v>
      </c>
      <c r="F151" s="36">
        <v>45291</v>
      </c>
      <c r="G151" s="38">
        <f t="shared" si="2"/>
        <v>171</v>
      </c>
      <c r="H151" s="5">
        <v>45120</v>
      </c>
      <c r="I151" s="5">
        <v>45120</v>
      </c>
      <c r="J151" s="1" t="s">
        <v>26</v>
      </c>
      <c r="K151" s="1" t="s">
        <v>505</v>
      </c>
      <c r="L151" s="1" t="s">
        <v>497</v>
      </c>
      <c r="M151" s="1" t="s">
        <v>506</v>
      </c>
      <c r="N151" s="1" t="s">
        <v>38</v>
      </c>
      <c r="O151" s="1" t="s">
        <v>428</v>
      </c>
      <c r="P151" s="1">
        <v>61319031144</v>
      </c>
      <c r="Q151" s="1" t="s">
        <v>429</v>
      </c>
      <c r="R151" s="1" t="s">
        <v>33</v>
      </c>
      <c r="S151" s="1"/>
      <c r="T151" s="1" t="s">
        <v>507</v>
      </c>
      <c r="U151" s="1" t="s">
        <v>130</v>
      </c>
      <c r="V151" s="1" t="s">
        <v>508</v>
      </c>
      <c r="W151" s="1" t="str">
        <f>VLOOKUP(Table1[[#This Row],[Obergruppe ATC-Code]],Tabelle3!$A$2:$B$100,2)</f>
        <v>ANTIDIABETIKA</v>
      </c>
      <c r="X151" s="1" t="str">
        <f xml:space="preserve"> LEFT(Table1[[#This Row],[Atc Code]],3)</f>
        <v>A10</v>
      </c>
    </row>
    <row r="152" spans="1:24" ht="14.4">
      <c r="A152" s="14">
        <v>2441</v>
      </c>
      <c r="B152" s="24" t="s">
        <v>509</v>
      </c>
      <c r="C152" s="1" t="s">
        <v>510</v>
      </c>
      <c r="D152" s="1" t="s">
        <v>25</v>
      </c>
      <c r="E152" s="36">
        <v>44571</v>
      </c>
      <c r="F152" s="36">
        <v>44571</v>
      </c>
      <c r="G152" s="38">
        <f t="shared" si="2"/>
        <v>0</v>
      </c>
      <c r="H152" s="5">
        <v>44511</v>
      </c>
      <c r="I152" s="5">
        <v>44571</v>
      </c>
      <c r="J152" s="1" t="s">
        <v>26</v>
      </c>
      <c r="K152" s="1" t="s">
        <v>511</v>
      </c>
      <c r="L152" s="1" t="s">
        <v>512</v>
      </c>
      <c r="M152" s="1" t="s">
        <v>513</v>
      </c>
      <c r="N152" s="1" t="s">
        <v>30</v>
      </c>
      <c r="O152" s="1" t="s">
        <v>62</v>
      </c>
      <c r="P152" s="1" t="s">
        <v>63</v>
      </c>
      <c r="Q152" s="1" t="s">
        <v>64</v>
      </c>
      <c r="R152" s="1" t="s">
        <v>33</v>
      </c>
      <c r="S152" s="1" t="s">
        <v>514</v>
      </c>
      <c r="T152" s="1" t="s">
        <v>515</v>
      </c>
      <c r="U152" s="1" t="s">
        <v>35</v>
      </c>
      <c r="V152" s="1" t="s">
        <v>498</v>
      </c>
      <c r="W152" s="1" t="str">
        <f>VLOOKUP(Table1[[#This Row],[Obergruppe ATC-Code]],Tabelle3!$A$2:$B$100,2)</f>
        <v>ANTIDIABETIKA</v>
      </c>
      <c r="X152" s="1" t="str">
        <f xml:space="preserve"> LEFT(Table1[[#This Row],[Atc Code]],3)</f>
        <v>A10</v>
      </c>
    </row>
    <row r="153" spans="1:24" ht="14.4">
      <c r="A153" s="14">
        <v>1882</v>
      </c>
      <c r="B153" s="24" t="s">
        <v>516</v>
      </c>
      <c r="C153" s="1" t="s">
        <v>517</v>
      </c>
      <c r="D153" s="1" t="s">
        <v>25</v>
      </c>
      <c r="E153" s="36">
        <v>44918</v>
      </c>
      <c r="F153" s="36">
        <v>45077</v>
      </c>
      <c r="G153" s="38">
        <f t="shared" si="2"/>
        <v>159</v>
      </c>
      <c r="H153" s="5">
        <v>44923</v>
      </c>
      <c r="I153" s="5">
        <v>45078</v>
      </c>
      <c r="J153" s="1" t="s">
        <v>26</v>
      </c>
      <c r="K153" s="1" t="s">
        <v>518</v>
      </c>
      <c r="L153" s="1" t="s">
        <v>512</v>
      </c>
      <c r="M153" s="1" t="s">
        <v>410</v>
      </c>
      <c r="N153" s="1" t="s">
        <v>30</v>
      </c>
      <c r="O153" s="1" t="s">
        <v>62</v>
      </c>
      <c r="P153" s="1">
        <v>8005252010</v>
      </c>
      <c r="Q153" s="1" t="s">
        <v>64</v>
      </c>
      <c r="R153" s="1" t="s">
        <v>33</v>
      </c>
      <c r="S153" s="1" t="s">
        <v>426</v>
      </c>
      <c r="U153" s="1" t="s">
        <v>57</v>
      </c>
      <c r="V153" s="1" t="s">
        <v>498</v>
      </c>
      <c r="W153" s="1" t="str">
        <f>VLOOKUP(Table1[[#This Row],[Obergruppe ATC-Code]],Tabelle3!$A$2:$B$100,2)</f>
        <v>ANTIDIABETIKA</v>
      </c>
      <c r="X153" s="1" t="str">
        <f xml:space="preserve"> LEFT(Table1[[#This Row],[Atc Code]],3)</f>
        <v>A10</v>
      </c>
    </row>
    <row r="154" spans="1:24" ht="14.4">
      <c r="A154" s="14">
        <v>1046</v>
      </c>
      <c r="B154" s="24">
        <v>8922897</v>
      </c>
      <c r="C154" s="1">
        <v>2701471</v>
      </c>
      <c r="D154" s="1" t="s">
        <v>25</v>
      </c>
      <c r="E154" s="36">
        <v>44918</v>
      </c>
      <c r="F154" s="36">
        <v>45077</v>
      </c>
      <c r="G154" s="38">
        <f t="shared" si="2"/>
        <v>159</v>
      </c>
      <c r="H154" s="5">
        <v>44923</v>
      </c>
      <c r="I154" s="5">
        <v>45078</v>
      </c>
      <c r="J154" s="1" t="s">
        <v>26</v>
      </c>
      <c r="K154" s="1" t="s">
        <v>519</v>
      </c>
      <c r="L154" s="1" t="s">
        <v>512</v>
      </c>
      <c r="M154" s="1" t="s">
        <v>410</v>
      </c>
      <c r="N154" s="1" t="s">
        <v>30</v>
      </c>
      <c r="O154" s="1" t="s">
        <v>62</v>
      </c>
      <c r="P154" s="1">
        <v>8005252010</v>
      </c>
      <c r="Q154" s="1" t="s">
        <v>64</v>
      </c>
      <c r="R154" s="1" t="s">
        <v>33</v>
      </c>
      <c r="S154" s="1" t="s">
        <v>426</v>
      </c>
      <c r="U154" s="1" t="s">
        <v>57</v>
      </c>
      <c r="V154" s="1" t="s">
        <v>498</v>
      </c>
      <c r="W154" s="1" t="str">
        <f>VLOOKUP(Table1[[#This Row],[Obergruppe ATC-Code]],Tabelle3!$A$2:$B$100,2)</f>
        <v>ANTIDIABETIKA</v>
      </c>
      <c r="X154" s="1" t="str">
        <f xml:space="preserve"> LEFT(Table1[[#This Row],[Atc Code]],3)</f>
        <v>A10</v>
      </c>
    </row>
    <row r="155" spans="1:24" ht="14.4">
      <c r="A155" s="14">
        <v>76</v>
      </c>
      <c r="B155" s="24">
        <v>542356</v>
      </c>
      <c r="C155" s="1">
        <v>2702253</v>
      </c>
      <c r="D155" s="1" t="s">
        <v>175</v>
      </c>
      <c r="E155" s="36">
        <v>45112</v>
      </c>
      <c r="F155" s="36">
        <v>45291</v>
      </c>
      <c r="G155" s="38">
        <f t="shared" si="2"/>
        <v>179</v>
      </c>
      <c r="H155" s="5">
        <v>45112</v>
      </c>
      <c r="I155" s="5">
        <v>45112</v>
      </c>
      <c r="J155" s="1" t="s">
        <v>26</v>
      </c>
      <c r="K155" s="1" t="s">
        <v>520</v>
      </c>
      <c r="L155" s="1" t="s">
        <v>512</v>
      </c>
      <c r="M155" s="1" t="s">
        <v>521</v>
      </c>
      <c r="N155" s="1" t="s">
        <v>30</v>
      </c>
      <c r="O155" s="1" t="s">
        <v>428</v>
      </c>
      <c r="P155" s="1">
        <v>61319031144</v>
      </c>
      <c r="Q155" s="1" t="s">
        <v>429</v>
      </c>
      <c r="R155" s="1" t="s">
        <v>33</v>
      </c>
      <c r="S155" s="1"/>
      <c r="T155" s="1" t="s">
        <v>522</v>
      </c>
      <c r="U155" s="1" t="s">
        <v>130</v>
      </c>
      <c r="V155" s="1" t="s">
        <v>508</v>
      </c>
      <c r="W155" s="1" t="str">
        <f>VLOOKUP(Table1[[#This Row],[Obergruppe ATC-Code]],Tabelle3!$A$2:$B$100,2)</f>
        <v>ANTIDIABETIKA</v>
      </c>
      <c r="X155" s="1" t="str">
        <f xml:space="preserve"> LEFT(Table1[[#This Row],[Atc Code]],3)</f>
        <v>A10</v>
      </c>
    </row>
    <row r="156" spans="1:24" ht="14.4">
      <c r="A156" s="14">
        <v>74</v>
      </c>
      <c r="B156" s="24">
        <v>541581</v>
      </c>
      <c r="C156" s="1">
        <v>2702241</v>
      </c>
      <c r="D156" s="1" t="s">
        <v>175</v>
      </c>
      <c r="E156" s="36">
        <v>45112</v>
      </c>
      <c r="F156" s="36">
        <v>45291</v>
      </c>
      <c r="G156" s="38">
        <f t="shared" si="2"/>
        <v>179</v>
      </c>
      <c r="H156" s="5">
        <v>45112</v>
      </c>
      <c r="I156" s="5">
        <v>45112</v>
      </c>
      <c r="J156" s="1" t="s">
        <v>26</v>
      </c>
      <c r="K156" s="1" t="s">
        <v>523</v>
      </c>
      <c r="L156" s="1" t="s">
        <v>512</v>
      </c>
      <c r="M156" s="1" t="s">
        <v>521</v>
      </c>
      <c r="N156" s="1" t="s">
        <v>30</v>
      </c>
      <c r="O156" s="1" t="s">
        <v>428</v>
      </c>
      <c r="P156" s="1">
        <v>61319031144</v>
      </c>
      <c r="Q156" s="1" t="s">
        <v>429</v>
      </c>
      <c r="R156" s="1" t="s">
        <v>33</v>
      </c>
      <c r="S156" s="1"/>
      <c r="T156" s="1" t="s">
        <v>524</v>
      </c>
      <c r="U156" s="1" t="s">
        <v>130</v>
      </c>
      <c r="V156" s="1" t="s">
        <v>508</v>
      </c>
      <c r="W156" s="1" t="str">
        <f>VLOOKUP(Table1[[#This Row],[Obergruppe ATC-Code]],Tabelle3!$A$2:$B$100,2)</f>
        <v>ANTIDIABETIKA</v>
      </c>
      <c r="X156" s="1" t="str">
        <f xml:space="preserve"> LEFT(Table1[[#This Row],[Atc Code]],3)</f>
        <v>A10</v>
      </c>
    </row>
    <row r="157" spans="1:24" ht="14.4">
      <c r="A157" s="14">
        <v>78</v>
      </c>
      <c r="B157" s="24">
        <v>542882</v>
      </c>
      <c r="C157" s="1">
        <v>2702254</v>
      </c>
      <c r="D157" s="1" t="s">
        <v>25</v>
      </c>
      <c r="E157" s="36">
        <v>45127</v>
      </c>
      <c r="F157" s="36">
        <v>45154</v>
      </c>
      <c r="G157" s="38">
        <f t="shared" si="2"/>
        <v>27</v>
      </c>
      <c r="H157" s="5">
        <v>45127</v>
      </c>
      <c r="I157" s="5">
        <v>45154</v>
      </c>
      <c r="J157" s="1" t="s">
        <v>26</v>
      </c>
      <c r="K157" s="1" t="s">
        <v>525</v>
      </c>
      <c r="L157" s="1" t="s">
        <v>512</v>
      </c>
      <c r="M157" s="1" t="s">
        <v>521</v>
      </c>
      <c r="N157" s="1" t="s">
        <v>38</v>
      </c>
      <c r="O157" s="1" t="s">
        <v>428</v>
      </c>
      <c r="P157" s="1">
        <v>61319031144</v>
      </c>
      <c r="Q157" s="1" t="s">
        <v>429</v>
      </c>
      <c r="R157" s="1" t="s">
        <v>26</v>
      </c>
      <c r="S157" s="1"/>
      <c r="U157" s="1" t="s">
        <v>130</v>
      </c>
      <c r="V157" s="1" t="s">
        <v>508</v>
      </c>
      <c r="W157" s="1" t="str">
        <f>VLOOKUP(Table1[[#This Row],[Obergruppe ATC-Code]],Tabelle3!$A$2:$B$100,2)</f>
        <v>ANTIDIABETIKA</v>
      </c>
      <c r="X157" s="1" t="str">
        <f xml:space="preserve"> LEFT(Table1[[#This Row],[Atc Code]],3)</f>
        <v>A10</v>
      </c>
    </row>
    <row r="158" spans="1:24" ht="14.4">
      <c r="A158" s="14">
        <v>73</v>
      </c>
      <c r="B158" s="24">
        <v>541463</v>
      </c>
      <c r="C158" s="1">
        <v>2702238</v>
      </c>
      <c r="D158" s="1" t="s">
        <v>175</v>
      </c>
      <c r="E158" s="36">
        <v>45161</v>
      </c>
      <c r="F158" s="36">
        <v>45291</v>
      </c>
      <c r="G158" s="38">
        <f t="shared" si="2"/>
        <v>130</v>
      </c>
      <c r="H158" s="5">
        <v>45161</v>
      </c>
      <c r="I158" s="5">
        <v>45161</v>
      </c>
      <c r="J158" s="1" t="s">
        <v>26</v>
      </c>
      <c r="K158" s="1" t="s">
        <v>526</v>
      </c>
      <c r="L158" s="1" t="s">
        <v>512</v>
      </c>
      <c r="M158" s="1" t="s">
        <v>521</v>
      </c>
      <c r="N158" s="1" t="s">
        <v>30</v>
      </c>
      <c r="O158" s="1" t="s">
        <v>428</v>
      </c>
      <c r="P158" s="1">
        <v>61319031144</v>
      </c>
      <c r="Q158" s="1" t="s">
        <v>429</v>
      </c>
      <c r="R158" s="1" t="s">
        <v>33</v>
      </c>
      <c r="S158" s="1"/>
      <c r="T158" s="1" t="s">
        <v>527</v>
      </c>
      <c r="U158" s="1" t="s">
        <v>130</v>
      </c>
      <c r="V158" s="1" t="s">
        <v>508</v>
      </c>
      <c r="W158" s="1" t="str">
        <f>VLOOKUP(Table1[[#This Row],[Obergruppe ATC-Code]],Tabelle3!$A$2:$B$100,2)</f>
        <v>ANTIDIABETIKA</v>
      </c>
      <c r="X158" s="1" t="str">
        <f xml:space="preserve"> LEFT(Table1[[#This Row],[Atc Code]],3)</f>
        <v>A10</v>
      </c>
    </row>
    <row r="159" spans="1:24" ht="14.4">
      <c r="A159" s="14">
        <v>77</v>
      </c>
      <c r="B159" s="24">
        <v>542882</v>
      </c>
      <c r="C159" s="1">
        <v>2702254</v>
      </c>
      <c r="D159" s="1" t="s">
        <v>102</v>
      </c>
      <c r="E159" s="36">
        <v>45175</v>
      </c>
      <c r="F159" s="36">
        <v>45217</v>
      </c>
      <c r="G159" s="38">
        <f t="shared" si="2"/>
        <v>42</v>
      </c>
      <c r="H159" s="5">
        <v>45175</v>
      </c>
      <c r="I159" s="5">
        <v>45196</v>
      </c>
      <c r="J159" s="1" t="s">
        <v>26</v>
      </c>
      <c r="K159" s="1" t="s">
        <v>525</v>
      </c>
      <c r="L159" s="1" t="s">
        <v>512</v>
      </c>
      <c r="M159" s="1" t="s">
        <v>521</v>
      </c>
      <c r="N159" s="1" t="s">
        <v>38</v>
      </c>
      <c r="O159" s="1" t="s">
        <v>428</v>
      </c>
      <c r="P159" s="1">
        <v>61319031144</v>
      </c>
      <c r="Q159" s="1" t="s">
        <v>429</v>
      </c>
      <c r="R159" s="1" t="s">
        <v>113</v>
      </c>
      <c r="S159" s="1"/>
      <c r="U159" s="1" t="s">
        <v>130</v>
      </c>
      <c r="V159" s="1" t="s">
        <v>508</v>
      </c>
      <c r="W159" s="1" t="str">
        <f>VLOOKUP(Table1[[#This Row],[Obergruppe ATC-Code]],Tabelle3!$A$2:$B$100,2)</f>
        <v>ANTIDIABETIKA</v>
      </c>
      <c r="X159" s="1" t="str">
        <f xml:space="preserve"> LEFT(Table1[[#This Row],[Atc Code]],3)</f>
        <v>A10</v>
      </c>
    </row>
    <row r="160" spans="1:24" ht="14.4">
      <c r="A160" s="14">
        <v>75</v>
      </c>
      <c r="B160" s="24">
        <v>541629</v>
      </c>
      <c r="C160" s="1">
        <v>2702242</v>
      </c>
      <c r="D160" s="1" t="s">
        <v>175</v>
      </c>
      <c r="E160" s="36">
        <v>45236</v>
      </c>
      <c r="F160" s="36">
        <v>45315</v>
      </c>
      <c r="G160" s="38">
        <f t="shared" si="2"/>
        <v>79</v>
      </c>
      <c r="H160" s="5">
        <v>45196</v>
      </c>
      <c r="I160" s="5">
        <v>45196</v>
      </c>
      <c r="J160" s="1" t="s">
        <v>26</v>
      </c>
      <c r="K160" s="1" t="s">
        <v>528</v>
      </c>
      <c r="L160" s="1" t="s">
        <v>512</v>
      </c>
      <c r="M160" s="1" t="s">
        <v>521</v>
      </c>
      <c r="N160" s="1" t="s">
        <v>30</v>
      </c>
      <c r="O160" s="1" t="s">
        <v>428</v>
      </c>
      <c r="Q160" s="1" t="s">
        <v>429</v>
      </c>
      <c r="R160" s="1" t="s">
        <v>113</v>
      </c>
      <c r="S160" s="1" t="s">
        <v>470</v>
      </c>
      <c r="T160" s="1" t="s">
        <v>529</v>
      </c>
      <c r="U160" s="1" t="s">
        <v>130</v>
      </c>
      <c r="V160" s="1" t="s">
        <v>508</v>
      </c>
      <c r="W160" s="1" t="str">
        <f>VLOOKUP(Table1[[#This Row],[Obergruppe ATC-Code]],Tabelle3!$A$2:$B$100,2)</f>
        <v>ANTIDIABETIKA</v>
      </c>
      <c r="X160" s="1" t="str">
        <f xml:space="preserve"> LEFT(Table1[[#This Row],[Atc Code]],3)</f>
        <v>A10</v>
      </c>
    </row>
    <row r="161" spans="1:24" ht="14.4">
      <c r="A161" s="14">
        <v>1496</v>
      </c>
      <c r="B161" s="24">
        <v>15624485</v>
      </c>
      <c r="C161" s="1">
        <v>2715857</v>
      </c>
      <c r="D161" s="1" t="s">
        <v>25</v>
      </c>
      <c r="E161" s="36">
        <v>45145</v>
      </c>
      <c r="F161" s="36">
        <v>45184</v>
      </c>
      <c r="G161" s="38">
        <f t="shared" si="2"/>
        <v>39</v>
      </c>
      <c r="H161" s="5">
        <v>45155</v>
      </c>
      <c r="I161" s="5">
        <v>45184</v>
      </c>
      <c r="J161" s="1" t="s">
        <v>26</v>
      </c>
      <c r="K161" s="1" t="s">
        <v>530</v>
      </c>
      <c r="L161" s="1" t="s">
        <v>531</v>
      </c>
      <c r="M161" s="1" t="s">
        <v>532</v>
      </c>
      <c r="N161" s="1" t="s">
        <v>38</v>
      </c>
      <c r="O161" s="1" t="s">
        <v>62</v>
      </c>
      <c r="P161" s="1" t="s">
        <v>63</v>
      </c>
      <c r="Q161" s="1" t="s">
        <v>64</v>
      </c>
      <c r="R161" s="1" t="s">
        <v>33</v>
      </c>
      <c r="S161" s="1" t="s">
        <v>533</v>
      </c>
      <c r="T161" s="1" t="s">
        <v>534</v>
      </c>
      <c r="U161" s="1" t="s">
        <v>35</v>
      </c>
      <c r="V161" s="1" t="s">
        <v>74</v>
      </c>
      <c r="W161" s="1" t="str">
        <f>VLOOKUP(Table1[[#This Row],[Obergruppe ATC-Code]],Tabelle3!$A$2:$B$100,2)</f>
        <v>ANTIDIABETIKA</v>
      </c>
      <c r="X161" s="1" t="str">
        <f xml:space="preserve"> LEFT(Table1[[#This Row],[Atc Code]],3)</f>
        <v>A10</v>
      </c>
    </row>
    <row r="162" spans="1:24" ht="14.4">
      <c r="A162" s="14">
        <v>1278</v>
      </c>
      <c r="B162" s="24">
        <v>11695063</v>
      </c>
      <c r="C162" s="1">
        <v>2709887</v>
      </c>
      <c r="D162" s="1" t="s">
        <v>25</v>
      </c>
      <c r="E162" s="36">
        <v>44991</v>
      </c>
      <c r="F162" s="36">
        <v>44999</v>
      </c>
      <c r="G162" s="38">
        <f t="shared" si="2"/>
        <v>8</v>
      </c>
      <c r="H162" s="5">
        <v>44988</v>
      </c>
      <c r="I162" s="5">
        <v>44999</v>
      </c>
      <c r="J162" s="1" t="s">
        <v>26</v>
      </c>
      <c r="K162" s="1" t="s">
        <v>535</v>
      </c>
      <c r="L162" s="1" t="s">
        <v>536</v>
      </c>
      <c r="M162" s="1" t="s">
        <v>537</v>
      </c>
      <c r="N162" s="1" t="s">
        <v>38</v>
      </c>
      <c r="O162" s="1" t="s">
        <v>428</v>
      </c>
      <c r="P162" s="1">
        <v>61319031144</v>
      </c>
      <c r="Q162" s="1" t="s">
        <v>429</v>
      </c>
      <c r="R162" s="1" t="s">
        <v>113</v>
      </c>
      <c r="S162" s="1" t="s">
        <v>481</v>
      </c>
      <c r="T162" s="1" t="s">
        <v>538</v>
      </c>
      <c r="U162" s="1" t="s">
        <v>130</v>
      </c>
      <c r="V162" s="1" t="s">
        <v>74</v>
      </c>
      <c r="W162" s="1" t="str">
        <f>VLOOKUP(Table1[[#This Row],[Obergruppe ATC-Code]],Tabelle3!$A$2:$B$100,2)</f>
        <v>ANTIDIABETIKA</v>
      </c>
      <c r="X162" s="1" t="str">
        <f xml:space="preserve"> LEFT(Table1[[#This Row],[Atc Code]],3)</f>
        <v>A10</v>
      </c>
    </row>
    <row r="163" spans="1:24" ht="14.4">
      <c r="A163" s="14">
        <v>1456</v>
      </c>
      <c r="B163" s="24">
        <v>14362600</v>
      </c>
      <c r="C163" s="1">
        <v>2714975</v>
      </c>
      <c r="D163" s="1" t="s">
        <v>25</v>
      </c>
      <c r="E163" s="36">
        <v>44977</v>
      </c>
      <c r="F163" s="36">
        <v>45000</v>
      </c>
      <c r="G163" s="38">
        <f t="shared" si="2"/>
        <v>23</v>
      </c>
      <c r="H163" s="5">
        <v>44980</v>
      </c>
      <c r="I163" s="5">
        <v>45000</v>
      </c>
      <c r="J163" s="1" t="s">
        <v>26</v>
      </c>
      <c r="K163" s="1" t="s">
        <v>539</v>
      </c>
      <c r="L163" s="1" t="s">
        <v>536</v>
      </c>
      <c r="M163" s="1" t="s">
        <v>537</v>
      </c>
      <c r="N163" s="1" t="s">
        <v>38</v>
      </c>
      <c r="O163" s="1" t="s">
        <v>428</v>
      </c>
      <c r="P163" s="1">
        <v>61319031144</v>
      </c>
      <c r="Q163" s="1" t="s">
        <v>429</v>
      </c>
      <c r="R163" s="1" t="s">
        <v>113</v>
      </c>
      <c r="S163" s="1" t="s">
        <v>470</v>
      </c>
      <c r="U163" s="1" t="s">
        <v>130</v>
      </c>
      <c r="V163" s="1" t="s">
        <v>74</v>
      </c>
      <c r="W163" s="1" t="str">
        <f>VLOOKUP(Table1[[#This Row],[Obergruppe ATC-Code]],Tabelle3!$A$2:$B$100,2)</f>
        <v>ANTIDIABETIKA</v>
      </c>
      <c r="X163" s="1" t="str">
        <f xml:space="preserve"> LEFT(Table1[[#This Row],[Atc Code]],3)</f>
        <v>A10</v>
      </c>
    </row>
    <row r="164" spans="1:24" ht="14.4">
      <c r="A164" s="14">
        <v>1455</v>
      </c>
      <c r="B164" s="24">
        <v>14362600</v>
      </c>
      <c r="C164" s="1">
        <v>2714975</v>
      </c>
      <c r="D164" s="1" t="s">
        <v>25</v>
      </c>
      <c r="E164" s="36">
        <v>45021</v>
      </c>
      <c r="F164" s="36">
        <v>45042</v>
      </c>
      <c r="G164" s="38">
        <f t="shared" si="2"/>
        <v>21</v>
      </c>
      <c r="H164" s="5">
        <v>45021</v>
      </c>
      <c r="I164" s="5">
        <v>45042</v>
      </c>
      <c r="J164" s="1" t="s">
        <v>26</v>
      </c>
      <c r="K164" s="1" t="s">
        <v>539</v>
      </c>
      <c r="L164" s="1" t="s">
        <v>536</v>
      </c>
      <c r="M164" s="1" t="s">
        <v>537</v>
      </c>
      <c r="N164" s="1" t="s">
        <v>38</v>
      </c>
      <c r="O164" s="1" t="s">
        <v>428</v>
      </c>
      <c r="P164" s="1">
        <v>61319031144</v>
      </c>
      <c r="Q164" s="1" t="s">
        <v>429</v>
      </c>
      <c r="R164" s="1" t="s">
        <v>113</v>
      </c>
      <c r="S164" s="1" t="s">
        <v>470</v>
      </c>
      <c r="U164" s="1" t="s">
        <v>130</v>
      </c>
      <c r="V164" s="1" t="s">
        <v>74</v>
      </c>
      <c r="W164" s="1" t="str">
        <f>VLOOKUP(Table1[[#This Row],[Obergruppe ATC-Code]],Tabelle3!$A$2:$B$100,2)</f>
        <v>ANTIDIABETIKA</v>
      </c>
      <c r="X164" s="1" t="str">
        <f xml:space="preserve"> LEFT(Table1[[#This Row],[Atc Code]],3)</f>
        <v>A10</v>
      </c>
    </row>
    <row r="165" spans="1:24" ht="14.4">
      <c r="A165" s="14">
        <v>1280</v>
      </c>
      <c r="B165" s="24">
        <v>11695086</v>
      </c>
      <c r="C165" s="1">
        <v>2709890</v>
      </c>
      <c r="D165" s="1" t="s">
        <v>25</v>
      </c>
      <c r="E165" s="36">
        <v>44991</v>
      </c>
      <c r="F165" s="36">
        <v>45048</v>
      </c>
      <c r="G165" s="38">
        <f t="shared" si="2"/>
        <v>57</v>
      </c>
      <c r="H165" s="5">
        <v>44980</v>
      </c>
      <c r="I165" s="5">
        <v>45049</v>
      </c>
      <c r="J165" s="1" t="s">
        <v>26</v>
      </c>
      <c r="K165" s="1" t="s">
        <v>540</v>
      </c>
      <c r="L165" s="1" t="s">
        <v>536</v>
      </c>
      <c r="M165" s="1" t="s">
        <v>537</v>
      </c>
      <c r="N165" s="1" t="s">
        <v>38</v>
      </c>
      <c r="O165" s="1" t="s">
        <v>428</v>
      </c>
      <c r="P165" s="1">
        <v>61319031144</v>
      </c>
      <c r="Q165" s="1" t="s">
        <v>429</v>
      </c>
      <c r="R165" s="1" t="s">
        <v>113</v>
      </c>
      <c r="S165" s="1" t="s">
        <v>470</v>
      </c>
      <c r="T165" s="1" t="s">
        <v>541</v>
      </c>
      <c r="U165" s="1" t="s">
        <v>57</v>
      </c>
      <c r="V165" s="1" t="s">
        <v>74</v>
      </c>
      <c r="W165" s="1" t="str">
        <f>VLOOKUP(Table1[[#This Row],[Obergruppe ATC-Code]],Tabelle3!$A$2:$B$100,2)</f>
        <v>ANTIDIABETIKA</v>
      </c>
      <c r="X165" s="1" t="str">
        <f xml:space="preserve"> LEFT(Table1[[#This Row],[Atc Code]],3)</f>
        <v>A10</v>
      </c>
    </row>
    <row r="166" spans="1:24" ht="14.4">
      <c r="A166" s="14">
        <v>1277</v>
      </c>
      <c r="B166" s="24">
        <v>11695057</v>
      </c>
      <c r="C166" s="1">
        <v>2709886</v>
      </c>
      <c r="D166" s="1" t="s">
        <v>25</v>
      </c>
      <c r="E166" s="36">
        <v>45110</v>
      </c>
      <c r="F166" s="36">
        <v>45133</v>
      </c>
      <c r="G166" s="38">
        <f t="shared" si="2"/>
        <v>23</v>
      </c>
      <c r="H166" s="5"/>
      <c r="I166" s="5">
        <v>45106</v>
      </c>
      <c r="J166" s="1" t="s">
        <v>26</v>
      </c>
      <c r="K166" s="1" t="s">
        <v>542</v>
      </c>
      <c r="L166" s="1" t="s">
        <v>536</v>
      </c>
      <c r="M166" s="1" t="s">
        <v>537</v>
      </c>
      <c r="N166" s="1" t="s">
        <v>38</v>
      </c>
      <c r="O166" s="1" t="s">
        <v>428</v>
      </c>
      <c r="P166" s="1">
        <v>61319031144</v>
      </c>
      <c r="Q166" s="1" t="s">
        <v>429</v>
      </c>
      <c r="R166" s="1" t="s">
        <v>33</v>
      </c>
      <c r="S166" s="1" t="s">
        <v>487</v>
      </c>
      <c r="T166" s="1" t="s">
        <v>543</v>
      </c>
      <c r="U166" s="1" t="s">
        <v>130</v>
      </c>
      <c r="V166" s="1" t="s">
        <v>74</v>
      </c>
      <c r="W166" s="1" t="str">
        <f>VLOOKUP(Table1[[#This Row],[Obergruppe ATC-Code]],Tabelle3!$A$2:$B$100,2)</f>
        <v>ANTIDIABETIKA</v>
      </c>
      <c r="X166" s="1" t="str">
        <f xml:space="preserve"> LEFT(Table1[[#This Row],[Atc Code]],3)</f>
        <v>A10</v>
      </c>
    </row>
    <row r="167" spans="1:24" ht="14.4">
      <c r="A167" s="14">
        <v>1276</v>
      </c>
      <c r="B167" s="24">
        <v>11695057</v>
      </c>
      <c r="C167" s="1">
        <v>2709886</v>
      </c>
      <c r="D167" s="1" t="s">
        <v>25</v>
      </c>
      <c r="E167" s="36">
        <v>45110</v>
      </c>
      <c r="F167" s="36">
        <v>45133</v>
      </c>
      <c r="G167" s="38">
        <f t="shared" si="2"/>
        <v>23</v>
      </c>
      <c r="H167" s="5">
        <v>45106</v>
      </c>
      <c r="I167" s="5">
        <v>45133</v>
      </c>
      <c r="J167" s="1" t="s">
        <v>26</v>
      </c>
      <c r="K167" s="1" t="s">
        <v>542</v>
      </c>
      <c r="L167" s="1" t="s">
        <v>536</v>
      </c>
      <c r="M167" s="1" t="s">
        <v>537</v>
      </c>
      <c r="N167" s="1" t="s">
        <v>38</v>
      </c>
      <c r="O167" s="1" t="s">
        <v>428</v>
      </c>
      <c r="P167" s="1">
        <v>61319031144</v>
      </c>
      <c r="Q167" s="1" t="s">
        <v>429</v>
      </c>
      <c r="R167" s="1" t="s">
        <v>33</v>
      </c>
      <c r="S167" s="1" t="s">
        <v>487</v>
      </c>
      <c r="T167" s="1" t="s">
        <v>543</v>
      </c>
      <c r="U167" s="1" t="s">
        <v>130</v>
      </c>
      <c r="V167" s="1" t="s">
        <v>74</v>
      </c>
      <c r="W167" s="1" t="str">
        <f>VLOOKUP(Table1[[#This Row],[Obergruppe ATC-Code]],Tabelle3!$A$2:$B$100,2)</f>
        <v>ANTIDIABETIKA</v>
      </c>
      <c r="X167" s="1" t="str">
        <f xml:space="preserve"> LEFT(Table1[[#This Row],[Atc Code]],3)</f>
        <v>A10</v>
      </c>
    </row>
    <row r="168" spans="1:24" ht="14.4">
      <c r="A168" s="14">
        <v>1279</v>
      </c>
      <c r="B168" s="24">
        <v>11695063</v>
      </c>
      <c r="C168" s="1">
        <v>2709887</v>
      </c>
      <c r="D168" s="1" t="s">
        <v>25</v>
      </c>
      <c r="E168" s="36">
        <v>45111</v>
      </c>
      <c r="F168" s="36">
        <v>45175</v>
      </c>
      <c r="G168" s="38">
        <f t="shared" si="2"/>
        <v>64</v>
      </c>
      <c r="H168" s="5">
        <v>45106</v>
      </c>
      <c r="I168" s="5">
        <v>45175</v>
      </c>
      <c r="J168" s="1" t="s">
        <v>26</v>
      </c>
      <c r="K168" s="1" t="s">
        <v>535</v>
      </c>
      <c r="L168" s="1" t="s">
        <v>536</v>
      </c>
      <c r="M168" s="1" t="s">
        <v>537</v>
      </c>
      <c r="N168" s="1" t="s">
        <v>38</v>
      </c>
      <c r="O168" s="1" t="s">
        <v>428</v>
      </c>
      <c r="P168" s="1">
        <v>61319031144</v>
      </c>
      <c r="Q168" s="1" t="s">
        <v>429</v>
      </c>
      <c r="R168" s="1" t="s">
        <v>33</v>
      </c>
      <c r="S168" s="1" t="s">
        <v>487</v>
      </c>
      <c r="T168" s="1" t="s">
        <v>543</v>
      </c>
      <c r="U168" s="1" t="s">
        <v>130</v>
      </c>
      <c r="V168" s="1" t="s">
        <v>74</v>
      </c>
      <c r="W168" s="1" t="str">
        <f>VLOOKUP(Table1[[#This Row],[Obergruppe ATC-Code]],Tabelle3!$A$2:$B$100,2)</f>
        <v>ANTIDIABETIKA</v>
      </c>
      <c r="X168" s="1" t="str">
        <f xml:space="preserve"> LEFT(Table1[[#This Row],[Atc Code]],3)</f>
        <v>A10</v>
      </c>
    </row>
    <row r="169" spans="1:24" ht="14.4">
      <c r="A169" s="14">
        <v>1909</v>
      </c>
      <c r="B169" s="24" t="s">
        <v>544</v>
      </c>
      <c r="C169" s="1">
        <v>2151643</v>
      </c>
      <c r="D169" s="1" t="s">
        <v>25</v>
      </c>
      <c r="E169" s="36">
        <v>43405</v>
      </c>
      <c r="F169" s="36">
        <v>43465</v>
      </c>
      <c r="G169" s="38">
        <f t="shared" si="2"/>
        <v>60</v>
      </c>
      <c r="H169" s="5">
        <v>43430</v>
      </c>
      <c r="I169" s="5">
        <v>43454</v>
      </c>
      <c r="J169" s="1" t="s">
        <v>26</v>
      </c>
      <c r="K169" s="1" t="s">
        <v>545</v>
      </c>
      <c r="L169" s="1" t="s">
        <v>546</v>
      </c>
      <c r="M169" s="1" t="s">
        <v>547</v>
      </c>
      <c r="N169" s="1" t="s">
        <v>30</v>
      </c>
      <c r="O169" s="1" t="s">
        <v>548</v>
      </c>
      <c r="P169" s="1">
        <v>8004288373</v>
      </c>
      <c r="Q169" s="1" t="s">
        <v>549</v>
      </c>
      <c r="R169" s="1" t="s">
        <v>33</v>
      </c>
      <c r="S169" s="1"/>
      <c r="U169" s="1" t="s">
        <v>35</v>
      </c>
      <c r="V169" s="1" t="s">
        <v>99</v>
      </c>
      <c r="W169" s="1" t="str">
        <f>VLOOKUP(Table1[[#This Row],[Obergruppe ATC-Code]],Tabelle3!$A$2:$B$100,2)</f>
        <v>ANTIDIABETIKA</v>
      </c>
      <c r="X169" s="1" t="str">
        <f xml:space="preserve"> LEFT(Table1[[#This Row],[Atc Code]],3)</f>
        <v>A10</v>
      </c>
    </row>
    <row r="170" spans="1:24" ht="14.4">
      <c r="A170" s="14">
        <v>1908</v>
      </c>
      <c r="B170" s="24" t="s">
        <v>544</v>
      </c>
      <c r="C170" s="1">
        <v>2151643</v>
      </c>
      <c r="D170" s="1" t="s">
        <v>25</v>
      </c>
      <c r="E170" s="36">
        <v>43497</v>
      </c>
      <c r="F170" s="36">
        <v>43616</v>
      </c>
      <c r="G170" s="38">
        <f t="shared" si="2"/>
        <v>119</v>
      </c>
      <c r="H170" s="5">
        <v>43522</v>
      </c>
      <c r="I170" s="5">
        <v>43612</v>
      </c>
      <c r="J170" s="1" t="s">
        <v>26</v>
      </c>
      <c r="K170" s="1" t="s">
        <v>545</v>
      </c>
      <c r="L170" s="1" t="s">
        <v>546</v>
      </c>
      <c r="M170" s="1" t="s">
        <v>547</v>
      </c>
      <c r="N170" s="1" t="s">
        <v>30</v>
      </c>
      <c r="O170" s="1" t="s">
        <v>548</v>
      </c>
      <c r="P170" s="1">
        <v>8004288373</v>
      </c>
      <c r="Q170" s="1" t="s">
        <v>549</v>
      </c>
      <c r="R170" s="1" t="s">
        <v>33</v>
      </c>
      <c r="S170" s="1"/>
      <c r="U170" s="1" t="s">
        <v>35</v>
      </c>
      <c r="V170" s="1" t="s">
        <v>99</v>
      </c>
      <c r="W170" s="1" t="str">
        <f>VLOOKUP(Table1[[#This Row],[Obergruppe ATC-Code]],Tabelle3!$A$2:$B$100,2)</f>
        <v>ANTIDIABETIKA</v>
      </c>
      <c r="X170" s="1" t="str">
        <f xml:space="preserve"> LEFT(Table1[[#This Row],[Atc Code]],3)</f>
        <v>A10</v>
      </c>
    </row>
    <row r="171" spans="1:24" ht="14.4">
      <c r="A171" s="14">
        <v>1907</v>
      </c>
      <c r="B171" s="24" t="s">
        <v>544</v>
      </c>
      <c r="C171" s="1">
        <v>2151643</v>
      </c>
      <c r="D171" s="1" t="s">
        <v>25</v>
      </c>
      <c r="E171" s="36">
        <v>43617</v>
      </c>
      <c r="F171" s="36">
        <v>43738</v>
      </c>
      <c r="G171" s="38">
        <f t="shared" si="2"/>
        <v>121</v>
      </c>
      <c r="H171" s="5">
        <v>43630</v>
      </c>
      <c r="I171" s="5">
        <v>43727</v>
      </c>
      <c r="J171" s="1" t="s">
        <v>26</v>
      </c>
      <c r="K171" s="1" t="s">
        <v>545</v>
      </c>
      <c r="L171" s="1" t="s">
        <v>546</v>
      </c>
      <c r="M171" s="1" t="s">
        <v>547</v>
      </c>
      <c r="N171" s="1" t="s">
        <v>30</v>
      </c>
      <c r="O171" s="1" t="s">
        <v>548</v>
      </c>
      <c r="P171" s="1">
        <v>8004288373</v>
      </c>
      <c r="Q171" s="1" t="s">
        <v>549</v>
      </c>
      <c r="R171" s="1" t="s">
        <v>33</v>
      </c>
      <c r="S171" s="1"/>
      <c r="U171" s="1" t="s">
        <v>35</v>
      </c>
      <c r="V171" s="1" t="s">
        <v>99</v>
      </c>
      <c r="W171" s="1" t="str">
        <f>VLOOKUP(Table1[[#This Row],[Obergruppe ATC-Code]],Tabelle3!$A$2:$B$100,2)</f>
        <v>ANTIDIABETIKA</v>
      </c>
      <c r="X171" s="1" t="str">
        <f xml:space="preserve"> LEFT(Table1[[#This Row],[Atc Code]],3)</f>
        <v>A10</v>
      </c>
    </row>
    <row r="172" spans="1:24" ht="14.4">
      <c r="A172" s="14">
        <v>232</v>
      </c>
      <c r="B172" s="24">
        <v>1332709</v>
      </c>
      <c r="C172" s="1">
        <v>207899</v>
      </c>
      <c r="D172" s="1" t="s">
        <v>25</v>
      </c>
      <c r="E172" s="36">
        <v>43709</v>
      </c>
      <c r="F172" s="36">
        <v>43830</v>
      </c>
      <c r="G172" s="38">
        <f t="shared" si="2"/>
        <v>121</v>
      </c>
      <c r="H172" s="5">
        <v>43721</v>
      </c>
      <c r="I172" s="5">
        <v>43808</v>
      </c>
      <c r="J172" s="1" t="s">
        <v>26</v>
      </c>
      <c r="K172" s="1" t="s">
        <v>550</v>
      </c>
      <c r="L172" s="1" t="s">
        <v>546</v>
      </c>
      <c r="M172" s="1" t="s">
        <v>547</v>
      </c>
      <c r="N172" s="1" t="s">
        <v>30</v>
      </c>
      <c r="O172" s="1" t="s">
        <v>548</v>
      </c>
      <c r="P172" s="1">
        <v>8004288373</v>
      </c>
      <c r="Q172" s="1" t="s">
        <v>549</v>
      </c>
      <c r="R172" s="1" t="s">
        <v>33</v>
      </c>
      <c r="S172" s="1"/>
      <c r="U172" s="1" t="s">
        <v>35</v>
      </c>
      <c r="V172" s="1" t="s">
        <v>99</v>
      </c>
      <c r="W172" s="1" t="str">
        <f>VLOOKUP(Table1[[#This Row],[Obergruppe ATC-Code]],Tabelle3!$A$2:$B$100,2)</f>
        <v>ANTIDIABETIKA</v>
      </c>
      <c r="X172" s="1" t="str">
        <f xml:space="preserve"> LEFT(Table1[[#This Row],[Atc Code]],3)</f>
        <v>A10</v>
      </c>
    </row>
    <row r="173" spans="1:24" ht="14.4">
      <c r="A173" s="14">
        <v>1906</v>
      </c>
      <c r="B173" s="24" t="s">
        <v>544</v>
      </c>
      <c r="C173" s="1">
        <v>2151643</v>
      </c>
      <c r="D173" s="1" t="s">
        <v>25</v>
      </c>
      <c r="E173" s="36">
        <v>43770</v>
      </c>
      <c r="F173" s="36">
        <v>43890</v>
      </c>
      <c r="G173" s="38">
        <f t="shared" si="2"/>
        <v>120</v>
      </c>
      <c r="H173" s="5">
        <v>43753</v>
      </c>
      <c r="I173" s="5">
        <v>43860</v>
      </c>
      <c r="J173" s="1" t="s">
        <v>26</v>
      </c>
      <c r="K173" s="1" t="s">
        <v>545</v>
      </c>
      <c r="L173" s="1" t="s">
        <v>546</v>
      </c>
      <c r="M173" s="1" t="s">
        <v>547</v>
      </c>
      <c r="N173" s="1" t="s">
        <v>30</v>
      </c>
      <c r="O173" s="1" t="s">
        <v>548</v>
      </c>
      <c r="P173" s="1">
        <v>8004288373</v>
      </c>
      <c r="Q173" s="1" t="s">
        <v>549</v>
      </c>
      <c r="R173" s="1" t="s">
        <v>33</v>
      </c>
      <c r="S173" s="1"/>
      <c r="U173" s="1" t="s">
        <v>35</v>
      </c>
      <c r="V173" s="1" t="s">
        <v>99</v>
      </c>
      <c r="W173" s="1" t="str">
        <f>VLOOKUP(Table1[[#This Row],[Obergruppe ATC-Code]],Tabelle3!$A$2:$B$100,2)</f>
        <v>ANTIDIABETIKA</v>
      </c>
      <c r="X173" s="1" t="str">
        <f xml:space="preserve"> LEFT(Table1[[#This Row],[Atc Code]],3)</f>
        <v>A10</v>
      </c>
    </row>
    <row r="174" spans="1:24" ht="14.4">
      <c r="A174" s="14">
        <v>233</v>
      </c>
      <c r="B174" s="24">
        <v>1332738</v>
      </c>
      <c r="C174" s="1">
        <v>373818</v>
      </c>
      <c r="D174" s="1" t="s">
        <v>25</v>
      </c>
      <c r="E174" s="36">
        <v>43709</v>
      </c>
      <c r="F174" s="36">
        <v>43861</v>
      </c>
      <c r="G174" s="38">
        <f t="shared" si="2"/>
        <v>152</v>
      </c>
      <c r="H174" s="5">
        <v>43721</v>
      </c>
      <c r="I174" s="5">
        <v>43860</v>
      </c>
      <c r="J174" s="1" t="s">
        <v>26</v>
      </c>
      <c r="K174" s="1" t="s">
        <v>551</v>
      </c>
      <c r="L174" s="1" t="s">
        <v>546</v>
      </c>
      <c r="M174" s="1" t="s">
        <v>547</v>
      </c>
      <c r="N174" s="1" t="s">
        <v>30</v>
      </c>
      <c r="O174" s="1" t="s">
        <v>548</v>
      </c>
      <c r="P174" s="1">
        <v>8004288373</v>
      </c>
      <c r="Q174" s="1" t="s">
        <v>549</v>
      </c>
      <c r="R174" s="1" t="s">
        <v>33</v>
      </c>
      <c r="S174" s="1"/>
      <c r="U174" s="1" t="s">
        <v>35</v>
      </c>
      <c r="V174" s="1" t="s">
        <v>99</v>
      </c>
      <c r="W174" s="1" t="str">
        <f>VLOOKUP(Table1[[#This Row],[Obergruppe ATC-Code]],Tabelle3!$A$2:$B$100,2)</f>
        <v>ANTIDIABETIKA</v>
      </c>
      <c r="X174" s="1" t="str">
        <f xml:space="preserve"> LEFT(Table1[[#This Row],[Atc Code]],3)</f>
        <v>A10</v>
      </c>
    </row>
    <row r="175" spans="1:24" ht="14.4">
      <c r="A175" s="14">
        <v>2112</v>
      </c>
      <c r="B175" s="24" t="s">
        <v>552</v>
      </c>
      <c r="C175" s="1">
        <v>2156819</v>
      </c>
      <c r="D175" s="1" t="s">
        <v>25</v>
      </c>
      <c r="E175" s="36">
        <v>43831</v>
      </c>
      <c r="F175" s="36">
        <v>43921</v>
      </c>
      <c r="G175" s="38">
        <f t="shared" si="2"/>
        <v>90</v>
      </c>
      <c r="H175" s="5">
        <v>43864</v>
      </c>
      <c r="I175" s="5">
        <v>43866</v>
      </c>
      <c r="J175" s="1" t="s">
        <v>41</v>
      </c>
      <c r="K175" s="1" t="s">
        <v>553</v>
      </c>
      <c r="L175" s="1" t="s">
        <v>546</v>
      </c>
      <c r="M175" s="1" t="s">
        <v>547</v>
      </c>
      <c r="N175" s="1" t="s">
        <v>30</v>
      </c>
      <c r="O175" s="1" t="s">
        <v>554</v>
      </c>
      <c r="P175" s="1" t="s">
        <v>266</v>
      </c>
      <c r="Q175" s="1" t="s">
        <v>555</v>
      </c>
      <c r="R175" s="1" t="s">
        <v>48</v>
      </c>
      <c r="S175" s="1"/>
      <c r="U175" s="1" t="s">
        <v>57</v>
      </c>
      <c r="V175" s="1" t="s">
        <v>99</v>
      </c>
      <c r="W175" s="1" t="str">
        <f>VLOOKUP(Table1[[#This Row],[Obergruppe ATC-Code]],Tabelle3!$A$2:$B$100,2)</f>
        <v>ANTIDIABETIKA</v>
      </c>
      <c r="X175" s="1" t="str">
        <f xml:space="preserve"> LEFT(Table1[[#This Row],[Atc Code]],3)</f>
        <v>A10</v>
      </c>
    </row>
    <row r="176" spans="1:24" ht="14.4">
      <c r="A176" s="14">
        <v>1722</v>
      </c>
      <c r="B176" s="24" t="s">
        <v>556</v>
      </c>
      <c r="C176" s="1">
        <v>2135233</v>
      </c>
      <c r="D176" s="1" t="s">
        <v>25</v>
      </c>
      <c r="E176" s="36">
        <v>43831</v>
      </c>
      <c r="F176" s="36">
        <v>43921</v>
      </c>
      <c r="G176" s="38">
        <f t="shared" si="2"/>
        <v>90</v>
      </c>
      <c r="H176" s="5">
        <v>43864</v>
      </c>
      <c r="I176" s="5">
        <v>43866</v>
      </c>
      <c r="J176" s="1" t="s">
        <v>41</v>
      </c>
      <c r="K176" s="1" t="s">
        <v>557</v>
      </c>
      <c r="L176" s="1" t="s">
        <v>546</v>
      </c>
      <c r="M176" s="1" t="s">
        <v>547</v>
      </c>
      <c r="N176" s="1" t="s">
        <v>30</v>
      </c>
      <c r="O176" s="1" t="s">
        <v>554</v>
      </c>
      <c r="P176" s="1" t="s">
        <v>266</v>
      </c>
      <c r="Q176" s="1" t="s">
        <v>555</v>
      </c>
      <c r="R176" s="1" t="s">
        <v>48</v>
      </c>
      <c r="S176" s="1"/>
      <c r="U176" s="1" t="s">
        <v>57</v>
      </c>
      <c r="V176" s="1" t="s">
        <v>99</v>
      </c>
      <c r="W176" s="1" t="str">
        <f>VLOOKUP(Table1[[#This Row],[Obergruppe ATC-Code]],Tabelle3!$A$2:$B$100,2)</f>
        <v>ANTIDIABETIKA</v>
      </c>
      <c r="X176" s="1" t="str">
        <f xml:space="preserve"> LEFT(Table1[[#This Row],[Atc Code]],3)</f>
        <v>A10</v>
      </c>
    </row>
    <row r="177" spans="1:24" ht="14.4">
      <c r="A177" s="14">
        <v>1659</v>
      </c>
      <c r="B177" s="24" t="s">
        <v>558</v>
      </c>
      <c r="C177" s="1">
        <v>2135234</v>
      </c>
      <c r="D177" s="1" t="s">
        <v>25</v>
      </c>
      <c r="E177" s="36">
        <v>43922</v>
      </c>
      <c r="F177" s="36">
        <v>43982</v>
      </c>
      <c r="G177" s="38">
        <f t="shared" si="2"/>
        <v>60</v>
      </c>
      <c r="H177" s="5">
        <v>43922</v>
      </c>
      <c r="I177" s="5">
        <v>43955</v>
      </c>
      <c r="J177" s="1" t="s">
        <v>41</v>
      </c>
      <c r="K177" s="1" t="s">
        <v>559</v>
      </c>
      <c r="L177" s="1" t="s">
        <v>546</v>
      </c>
      <c r="M177" s="1" t="s">
        <v>547</v>
      </c>
      <c r="N177" s="1" t="s">
        <v>38</v>
      </c>
      <c r="O177" s="1" t="s">
        <v>554</v>
      </c>
      <c r="P177" s="1" t="s">
        <v>266</v>
      </c>
      <c r="Q177" s="1" t="s">
        <v>267</v>
      </c>
      <c r="R177" s="1" t="s">
        <v>26</v>
      </c>
      <c r="S177" s="1"/>
      <c r="U177" s="1" t="s">
        <v>35</v>
      </c>
      <c r="V177" s="1" t="s">
        <v>99</v>
      </c>
      <c r="W177" s="1" t="str">
        <f>VLOOKUP(Table1[[#This Row],[Obergruppe ATC-Code]],Tabelle3!$A$2:$B$100,2)</f>
        <v>ANTIDIABETIKA</v>
      </c>
      <c r="X177" s="1" t="str">
        <f xml:space="preserve"> LEFT(Table1[[#This Row],[Atc Code]],3)</f>
        <v>A10</v>
      </c>
    </row>
    <row r="178" spans="1:24" ht="14.4">
      <c r="A178" s="14">
        <v>2111</v>
      </c>
      <c r="B178" s="24" t="s">
        <v>552</v>
      </c>
      <c r="C178" s="1">
        <v>2156819</v>
      </c>
      <c r="D178" s="1" t="s">
        <v>25</v>
      </c>
      <c r="E178" s="36">
        <v>43922</v>
      </c>
      <c r="F178" s="36">
        <v>44135</v>
      </c>
      <c r="G178" s="38">
        <f t="shared" si="2"/>
        <v>213</v>
      </c>
      <c r="H178" s="5">
        <v>43922</v>
      </c>
      <c r="I178" s="5">
        <v>44105</v>
      </c>
      <c r="J178" s="1" t="s">
        <v>41</v>
      </c>
      <c r="K178" s="1" t="s">
        <v>553</v>
      </c>
      <c r="L178" s="1" t="s">
        <v>546</v>
      </c>
      <c r="M178" s="1" t="s">
        <v>547</v>
      </c>
      <c r="N178" s="1" t="s">
        <v>38</v>
      </c>
      <c r="O178" s="1" t="s">
        <v>554</v>
      </c>
      <c r="P178" s="1" t="s">
        <v>266</v>
      </c>
      <c r="Q178" s="1" t="s">
        <v>267</v>
      </c>
      <c r="R178" s="1" t="s">
        <v>26</v>
      </c>
      <c r="S178" s="1"/>
      <c r="U178" s="1" t="s">
        <v>35</v>
      </c>
      <c r="V178" s="1" t="s">
        <v>99</v>
      </c>
      <c r="W178" s="1" t="str">
        <f>VLOOKUP(Table1[[#This Row],[Obergruppe ATC-Code]],Tabelle3!$A$2:$B$100,2)</f>
        <v>ANTIDIABETIKA</v>
      </c>
      <c r="X178" s="1" t="str">
        <f xml:space="preserve"> LEFT(Table1[[#This Row],[Atc Code]],3)</f>
        <v>A10</v>
      </c>
    </row>
    <row r="179" spans="1:24" ht="14.4">
      <c r="A179" s="14">
        <v>1721</v>
      </c>
      <c r="B179" s="24" t="s">
        <v>556</v>
      </c>
      <c r="C179" s="1">
        <v>2135233</v>
      </c>
      <c r="D179" s="1" t="s">
        <v>25</v>
      </c>
      <c r="E179" s="36">
        <v>43922</v>
      </c>
      <c r="F179" s="36">
        <v>44135</v>
      </c>
      <c r="G179" s="38">
        <f t="shared" si="2"/>
        <v>213</v>
      </c>
      <c r="H179" s="5">
        <v>43922</v>
      </c>
      <c r="I179" s="5">
        <v>44105</v>
      </c>
      <c r="J179" s="1" t="s">
        <v>41</v>
      </c>
      <c r="K179" s="1" t="s">
        <v>557</v>
      </c>
      <c r="L179" s="1" t="s">
        <v>546</v>
      </c>
      <c r="M179" s="1" t="s">
        <v>547</v>
      </c>
      <c r="N179" s="1" t="s">
        <v>38</v>
      </c>
      <c r="O179" s="1" t="s">
        <v>554</v>
      </c>
      <c r="P179" s="1" t="s">
        <v>266</v>
      </c>
      <c r="Q179" s="1" t="s">
        <v>267</v>
      </c>
      <c r="R179" s="1" t="s">
        <v>26</v>
      </c>
      <c r="S179" s="1"/>
      <c r="U179" s="1" t="s">
        <v>35</v>
      </c>
      <c r="V179" s="1" t="s">
        <v>99</v>
      </c>
      <c r="W179" s="1" t="str">
        <f>VLOOKUP(Table1[[#This Row],[Obergruppe ATC-Code]],Tabelle3!$A$2:$B$100,2)</f>
        <v>ANTIDIABETIKA</v>
      </c>
      <c r="X179" s="1" t="str">
        <f xml:space="preserve"> LEFT(Table1[[#This Row],[Atc Code]],3)</f>
        <v>A10</v>
      </c>
    </row>
    <row r="180" spans="1:24" ht="14.4">
      <c r="A180" s="14">
        <v>1592</v>
      </c>
      <c r="B180" s="24">
        <v>17507140</v>
      </c>
      <c r="C180" s="1">
        <v>2205006</v>
      </c>
      <c r="D180" s="1" t="s">
        <v>175</v>
      </c>
      <c r="E180" s="36">
        <v>45128</v>
      </c>
      <c r="F180" s="36">
        <v>45352</v>
      </c>
      <c r="G180" s="38">
        <f t="shared" si="2"/>
        <v>224</v>
      </c>
      <c r="H180" s="5">
        <v>45142</v>
      </c>
      <c r="I180" s="5">
        <v>45142</v>
      </c>
      <c r="J180" s="1" t="s">
        <v>41</v>
      </c>
      <c r="K180" s="1" t="s">
        <v>560</v>
      </c>
      <c r="L180" s="1" t="s">
        <v>561</v>
      </c>
      <c r="M180" s="1" t="s">
        <v>562</v>
      </c>
      <c r="N180" s="1" t="s">
        <v>38</v>
      </c>
      <c r="O180" s="1" t="s">
        <v>123</v>
      </c>
      <c r="Q180" s="1" t="s">
        <v>201</v>
      </c>
      <c r="R180" s="1" t="s">
        <v>128</v>
      </c>
      <c r="S180" s="1"/>
      <c r="U180" s="1" t="s">
        <v>130</v>
      </c>
      <c r="V180" s="1" t="s">
        <v>99</v>
      </c>
      <c r="W180" s="1" t="str">
        <f>VLOOKUP(Table1[[#This Row],[Obergruppe ATC-Code]],Tabelle3!$A$2:$B$100,2)</f>
        <v>ANTIDIABETIKA</v>
      </c>
      <c r="X180" s="1" t="str">
        <f xml:space="preserve"> LEFT(Table1[[#This Row],[Atc Code]],3)</f>
        <v>A10</v>
      </c>
    </row>
    <row r="181" spans="1:24" ht="14.4">
      <c r="A181" s="14">
        <v>1564</v>
      </c>
      <c r="B181" s="24">
        <v>16840400</v>
      </c>
      <c r="C181" s="1">
        <v>7005770</v>
      </c>
      <c r="D181" s="1" t="s">
        <v>25</v>
      </c>
      <c r="E181" s="36">
        <v>44578</v>
      </c>
      <c r="F181" s="36">
        <v>44665</v>
      </c>
      <c r="G181" s="38">
        <f t="shared" si="2"/>
        <v>87</v>
      </c>
      <c r="H181" s="5">
        <v>44580</v>
      </c>
      <c r="I181" s="5">
        <v>44665</v>
      </c>
      <c r="J181" s="1" t="s">
        <v>26</v>
      </c>
      <c r="K181" s="1" t="s">
        <v>563</v>
      </c>
      <c r="L181" s="1" t="s">
        <v>564</v>
      </c>
      <c r="M181" s="1" t="s">
        <v>565</v>
      </c>
      <c r="N181" s="1" t="s">
        <v>38</v>
      </c>
      <c r="O181" s="1" t="s">
        <v>436</v>
      </c>
      <c r="P181" s="1" t="s">
        <v>566</v>
      </c>
      <c r="Q181" s="1" t="s">
        <v>567</v>
      </c>
      <c r="R181" s="1" t="s">
        <v>113</v>
      </c>
      <c r="S181" s="1"/>
      <c r="U181" s="1" t="s">
        <v>35</v>
      </c>
      <c r="V181" s="1" t="s">
        <v>74</v>
      </c>
      <c r="W181" s="1" t="str">
        <f>VLOOKUP(Table1[[#This Row],[Obergruppe ATC-Code]],Tabelle3!$A$2:$B$100,2)</f>
        <v>ANTIDIABETIKA</v>
      </c>
      <c r="X181" s="1" t="str">
        <f xml:space="preserve"> LEFT(Table1[[#This Row],[Atc Code]],3)</f>
        <v>A10</v>
      </c>
    </row>
    <row r="182" spans="1:24" ht="14.4">
      <c r="A182" s="14">
        <v>1561</v>
      </c>
      <c r="B182" s="24">
        <v>16840392</v>
      </c>
      <c r="C182" s="1">
        <v>7005769</v>
      </c>
      <c r="D182" s="1" t="s">
        <v>25</v>
      </c>
      <c r="E182" s="36">
        <v>44596</v>
      </c>
      <c r="F182" s="36">
        <v>44665</v>
      </c>
      <c r="G182" s="38">
        <f t="shared" si="2"/>
        <v>69</v>
      </c>
      <c r="H182" s="5">
        <v>44580</v>
      </c>
      <c r="I182" s="5">
        <v>44665</v>
      </c>
      <c r="J182" s="1" t="s">
        <v>26</v>
      </c>
      <c r="K182" s="1" t="s">
        <v>563</v>
      </c>
      <c r="L182" s="1" t="s">
        <v>564</v>
      </c>
      <c r="M182" s="1" t="s">
        <v>565</v>
      </c>
      <c r="N182" s="1" t="s">
        <v>38</v>
      </c>
      <c r="O182" s="1" t="s">
        <v>436</v>
      </c>
      <c r="P182" s="1" t="s">
        <v>566</v>
      </c>
      <c r="Q182" s="1" t="s">
        <v>567</v>
      </c>
      <c r="R182" s="1" t="s">
        <v>113</v>
      </c>
      <c r="S182" s="1"/>
      <c r="U182" s="1" t="s">
        <v>35</v>
      </c>
      <c r="V182" s="1" t="s">
        <v>74</v>
      </c>
      <c r="W182" s="1" t="str">
        <f>VLOOKUP(Table1[[#This Row],[Obergruppe ATC-Code]],Tabelle3!$A$2:$B$100,2)</f>
        <v>ANTIDIABETIKA</v>
      </c>
      <c r="X182" s="1" t="str">
        <f xml:space="preserve"> LEFT(Table1[[#This Row],[Atc Code]],3)</f>
        <v>A10</v>
      </c>
    </row>
    <row r="183" spans="1:24" ht="14.4">
      <c r="A183" s="14">
        <v>1560</v>
      </c>
      <c r="B183" s="24">
        <v>16840363</v>
      </c>
      <c r="C183" s="1">
        <v>7005767</v>
      </c>
      <c r="D183" s="1" t="s">
        <v>25</v>
      </c>
      <c r="E183" s="36">
        <v>44536</v>
      </c>
      <c r="F183" s="36">
        <v>44665</v>
      </c>
      <c r="G183" s="38">
        <f t="shared" si="2"/>
        <v>129</v>
      </c>
      <c r="H183" s="5">
        <v>44575</v>
      </c>
      <c r="I183" s="5">
        <v>44665</v>
      </c>
      <c r="J183" s="1" t="s">
        <v>26</v>
      </c>
      <c r="K183" s="1" t="s">
        <v>568</v>
      </c>
      <c r="L183" s="1" t="s">
        <v>564</v>
      </c>
      <c r="M183" s="1" t="s">
        <v>565</v>
      </c>
      <c r="N183" s="1" t="s">
        <v>38</v>
      </c>
      <c r="O183" s="1" t="s">
        <v>436</v>
      </c>
      <c r="P183" s="1" t="s">
        <v>566</v>
      </c>
      <c r="Q183" s="1" t="s">
        <v>567</v>
      </c>
      <c r="R183" s="1" t="s">
        <v>113</v>
      </c>
      <c r="S183" s="1"/>
      <c r="U183" s="1" t="s">
        <v>35</v>
      </c>
      <c r="V183" s="1" t="s">
        <v>74</v>
      </c>
      <c r="W183" s="1" t="str">
        <f>VLOOKUP(Table1[[#This Row],[Obergruppe ATC-Code]],Tabelle3!$A$2:$B$100,2)</f>
        <v>ANTIDIABETIKA</v>
      </c>
      <c r="X183" s="1" t="str">
        <f xml:space="preserve"> LEFT(Table1[[#This Row],[Atc Code]],3)</f>
        <v>A10</v>
      </c>
    </row>
    <row r="184" spans="1:24" ht="14.4">
      <c r="A184" s="14">
        <v>1558</v>
      </c>
      <c r="B184" s="24">
        <v>16840340</v>
      </c>
      <c r="C184" s="1">
        <v>7005766</v>
      </c>
      <c r="D184" s="1" t="s">
        <v>25</v>
      </c>
      <c r="E184" s="36">
        <v>44617</v>
      </c>
      <c r="F184" s="36">
        <v>44665</v>
      </c>
      <c r="G184" s="38">
        <f t="shared" si="2"/>
        <v>48</v>
      </c>
      <c r="H184" s="5">
        <v>44580</v>
      </c>
      <c r="I184" s="5">
        <v>44665</v>
      </c>
      <c r="J184" s="1" t="s">
        <v>26</v>
      </c>
      <c r="K184" s="1" t="s">
        <v>568</v>
      </c>
      <c r="L184" s="1" t="s">
        <v>564</v>
      </c>
      <c r="M184" s="1" t="s">
        <v>565</v>
      </c>
      <c r="N184" s="1" t="s">
        <v>38</v>
      </c>
      <c r="O184" s="1" t="s">
        <v>436</v>
      </c>
      <c r="P184" s="1" t="s">
        <v>569</v>
      </c>
      <c r="Q184" s="1" t="s">
        <v>567</v>
      </c>
      <c r="R184" s="1" t="s">
        <v>113</v>
      </c>
      <c r="S184" s="1"/>
      <c r="U184" s="1" t="s">
        <v>35</v>
      </c>
      <c r="V184" s="1" t="s">
        <v>74</v>
      </c>
      <c r="W184" s="1" t="str">
        <f>VLOOKUP(Table1[[#This Row],[Obergruppe ATC-Code]],Tabelle3!$A$2:$B$100,2)</f>
        <v>ANTIDIABETIKA</v>
      </c>
      <c r="X184" s="1" t="str">
        <f xml:space="preserve"> LEFT(Table1[[#This Row],[Atc Code]],3)</f>
        <v>A10</v>
      </c>
    </row>
    <row r="185" spans="1:24" ht="14.4">
      <c r="A185" s="14">
        <v>1563</v>
      </c>
      <c r="B185" s="24">
        <v>16840400</v>
      </c>
      <c r="C185" s="1">
        <v>7005770</v>
      </c>
      <c r="D185" s="1" t="s">
        <v>25</v>
      </c>
      <c r="E185" s="36">
        <v>44953</v>
      </c>
      <c r="F185" s="36">
        <v>44970</v>
      </c>
      <c r="G185" s="38">
        <f t="shared" si="2"/>
        <v>17</v>
      </c>
      <c r="H185" s="5">
        <v>44967</v>
      </c>
      <c r="I185" s="5">
        <v>44971</v>
      </c>
      <c r="J185" s="1" t="s">
        <v>26</v>
      </c>
      <c r="K185" s="1" t="s">
        <v>563</v>
      </c>
      <c r="L185" s="1" t="s">
        <v>564</v>
      </c>
      <c r="M185" s="1" t="s">
        <v>565</v>
      </c>
      <c r="N185" s="1" t="s">
        <v>38</v>
      </c>
      <c r="O185" s="1" t="s">
        <v>436</v>
      </c>
      <c r="P185" s="1" t="s">
        <v>445</v>
      </c>
      <c r="R185" s="1" t="s">
        <v>113</v>
      </c>
      <c r="S185" s="1"/>
      <c r="T185" s="1" t="s">
        <v>570</v>
      </c>
      <c r="U185" s="1" t="s">
        <v>130</v>
      </c>
      <c r="V185" s="1" t="s">
        <v>74</v>
      </c>
      <c r="W185" s="1" t="str">
        <f>VLOOKUP(Table1[[#This Row],[Obergruppe ATC-Code]],Tabelle3!$A$2:$B$100,2)</f>
        <v>ANTIDIABETIKA</v>
      </c>
      <c r="X185" s="1" t="str">
        <f xml:space="preserve"> LEFT(Table1[[#This Row],[Atc Code]],3)</f>
        <v>A10</v>
      </c>
    </row>
    <row r="186" spans="1:24" ht="14.4">
      <c r="A186" s="14">
        <v>1562</v>
      </c>
      <c r="B186" s="24">
        <v>16840400</v>
      </c>
      <c r="C186" s="1">
        <v>7005770</v>
      </c>
      <c r="D186" s="1" t="s">
        <v>25</v>
      </c>
      <c r="E186" s="36">
        <v>45044</v>
      </c>
      <c r="F186" s="36">
        <v>45062</v>
      </c>
      <c r="G186" s="38">
        <f t="shared" si="2"/>
        <v>18</v>
      </c>
      <c r="H186" s="5">
        <v>45051</v>
      </c>
      <c r="I186" s="5">
        <v>45062</v>
      </c>
      <c r="J186" s="1" t="s">
        <v>26</v>
      </c>
      <c r="K186" s="1" t="s">
        <v>563</v>
      </c>
      <c r="L186" s="1" t="s">
        <v>564</v>
      </c>
      <c r="M186" s="1" t="s">
        <v>565</v>
      </c>
      <c r="N186" s="1" t="s">
        <v>38</v>
      </c>
      <c r="O186" s="1" t="s">
        <v>436</v>
      </c>
      <c r="P186" s="1" t="s">
        <v>445</v>
      </c>
      <c r="Q186" s="1" t="s">
        <v>441</v>
      </c>
      <c r="R186" s="1" t="s">
        <v>113</v>
      </c>
      <c r="S186" s="1" t="s">
        <v>571</v>
      </c>
      <c r="T186" s="1" t="s">
        <v>570</v>
      </c>
      <c r="U186" s="1" t="s">
        <v>35</v>
      </c>
      <c r="V186" s="1" t="s">
        <v>74</v>
      </c>
      <c r="W186" s="1" t="str">
        <f>VLOOKUP(Table1[[#This Row],[Obergruppe ATC-Code]],Tabelle3!$A$2:$B$100,2)</f>
        <v>ANTIDIABETIKA</v>
      </c>
      <c r="X186" s="1" t="str">
        <f xml:space="preserve"> LEFT(Table1[[#This Row],[Atc Code]],3)</f>
        <v>A10</v>
      </c>
    </row>
    <row r="187" spans="1:24" ht="14.4">
      <c r="A187" s="14">
        <v>1437</v>
      </c>
      <c r="B187" s="24">
        <v>14264033</v>
      </c>
      <c r="C187" s="1">
        <v>2711487</v>
      </c>
      <c r="D187" s="1" t="s">
        <v>25</v>
      </c>
      <c r="E187" s="36">
        <v>45114</v>
      </c>
      <c r="F187" s="36">
        <v>45124</v>
      </c>
      <c r="G187" s="38">
        <f t="shared" si="2"/>
        <v>10</v>
      </c>
      <c r="H187" s="5">
        <v>45114</v>
      </c>
      <c r="I187" s="5">
        <v>45124</v>
      </c>
      <c r="J187" s="1" t="s">
        <v>26</v>
      </c>
      <c r="K187" s="1" t="s">
        <v>572</v>
      </c>
      <c r="L187" s="1" t="s">
        <v>564</v>
      </c>
      <c r="M187" s="1" t="s">
        <v>565</v>
      </c>
      <c r="N187" s="1" t="s">
        <v>38</v>
      </c>
      <c r="O187" s="1" t="s">
        <v>436</v>
      </c>
      <c r="P187" s="1" t="s">
        <v>573</v>
      </c>
      <c r="Q187" s="1" t="s">
        <v>441</v>
      </c>
      <c r="R187" s="1" t="s">
        <v>113</v>
      </c>
      <c r="S187" s="1"/>
      <c r="T187" s="1" t="s">
        <v>574</v>
      </c>
      <c r="U187" s="1" t="s">
        <v>35</v>
      </c>
      <c r="V187" s="1" t="s">
        <v>74</v>
      </c>
      <c r="W187" s="1" t="str">
        <f>VLOOKUP(Table1[[#This Row],[Obergruppe ATC-Code]],Tabelle3!$A$2:$B$100,2)</f>
        <v>ANTIDIABETIKA</v>
      </c>
      <c r="X187" s="1" t="str">
        <f xml:space="preserve"> LEFT(Table1[[#This Row],[Atc Code]],3)</f>
        <v>A10</v>
      </c>
    </row>
    <row r="188" spans="1:24" ht="14.4">
      <c r="A188" s="14">
        <v>1559</v>
      </c>
      <c r="B188" s="24">
        <v>16840363</v>
      </c>
      <c r="C188" s="1">
        <v>7005767</v>
      </c>
      <c r="D188" s="1" t="s">
        <v>25</v>
      </c>
      <c r="E188" s="36">
        <v>45114</v>
      </c>
      <c r="F188" s="36">
        <v>45135</v>
      </c>
      <c r="G188" s="38">
        <f t="shared" si="2"/>
        <v>21</v>
      </c>
      <c r="H188" s="5">
        <v>45114</v>
      </c>
      <c r="I188" s="5">
        <v>45135</v>
      </c>
      <c r="J188" s="1" t="s">
        <v>26</v>
      </c>
      <c r="K188" s="1" t="s">
        <v>568</v>
      </c>
      <c r="L188" s="1" t="s">
        <v>564</v>
      </c>
      <c r="M188" s="1" t="s">
        <v>565</v>
      </c>
      <c r="N188" s="1" t="s">
        <v>38</v>
      </c>
      <c r="O188" s="1" t="s">
        <v>436</v>
      </c>
      <c r="P188" s="1" t="s">
        <v>575</v>
      </c>
      <c r="Q188" s="1" t="s">
        <v>441</v>
      </c>
      <c r="R188" s="1" t="s">
        <v>113</v>
      </c>
      <c r="S188" s="1"/>
      <c r="T188" s="1" t="s">
        <v>576</v>
      </c>
      <c r="U188" s="1" t="s">
        <v>35</v>
      </c>
      <c r="V188" s="1" t="s">
        <v>74</v>
      </c>
      <c r="W188" s="1" t="str">
        <f>VLOOKUP(Table1[[#This Row],[Obergruppe ATC-Code]],Tabelle3!$A$2:$B$100,2)</f>
        <v>ANTIDIABETIKA</v>
      </c>
      <c r="X188" s="1" t="str">
        <f xml:space="preserve"> LEFT(Table1[[#This Row],[Atc Code]],3)</f>
        <v>A10</v>
      </c>
    </row>
    <row r="189" spans="1:24" ht="14.4">
      <c r="A189" s="14">
        <v>1489</v>
      </c>
      <c r="B189" s="24">
        <v>15398557</v>
      </c>
      <c r="C189" s="1">
        <v>2714968</v>
      </c>
      <c r="D189" s="1" t="s">
        <v>25</v>
      </c>
      <c r="E189" s="36">
        <v>44848</v>
      </c>
      <c r="F189" s="36">
        <v>44889</v>
      </c>
      <c r="G189" s="38">
        <f t="shared" si="2"/>
        <v>41</v>
      </c>
      <c r="H189" s="5">
        <v>44848</v>
      </c>
      <c r="I189" s="5">
        <v>44889</v>
      </c>
      <c r="J189" s="1" t="s">
        <v>26</v>
      </c>
      <c r="K189" s="1" t="s">
        <v>577</v>
      </c>
      <c r="L189" s="1" t="s">
        <v>578</v>
      </c>
      <c r="M189" s="1" t="s">
        <v>579</v>
      </c>
      <c r="N189" s="1" t="s">
        <v>38</v>
      </c>
      <c r="O189" s="1" t="s">
        <v>428</v>
      </c>
      <c r="P189" s="1">
        <v>1706311655</v>
      </c>
      <c r="Q189" s="1" t="s">
        <v>463</v>
      </c>
      <c r="R189" s="1" t="s">
        <v>113</v>
      </c>
      <c r="S189" s="1" t="s">
        <v>580</v>
      </c>
      <c r="U189" s="1" t="s">
        <v>130</v>
      </c>
      <c r="V189" s="1" t="s">
        <v>74</v>
      </c>
      <c r="W189" s="1" t="str">
        <f>VLOOKUP(Table1[[#This Row],[Obergruppe ATC-Code]],Tabelle3!$A$2:$B$100,2)</f>
        <v>ANTIDIABETIKA</v>
      </c>
      <c r="X189" s="1" t="str">
        <f xml:space="preserve"> LEFT(Table1[[#This Row],[Atc Code]],3)</f>
        <v>A10</v>
      </c>
    </row>
    <row r="190" spans="1:24" ht="14.4">
      <c r="A190" s="14">
        <v>1484</v>
      </c>
      <c r="B190" s="24">
        <v>15398540</v>
      </c>
      <c r="C190" s="1">
        <v>2714967</v>
      </c>
      <c r="D190" s="1" t="s">
        <v>25</v>
      </c>
      <c r="E190" s="36">
        <v>44825</v>
      </c>
      <c r="F190" s="36">
        <v>44907</v>
      </c>
      <c r="G190" s="38">
        <f t="shared" si="2"/>
        <v>82</v>
      </c>
      <c r="H190" s="5">
        <v>44825</v>
      </c>
      <c r="I190" s="5">
        <v>44907</v>
      </c>
      <c r="J190" s="1" t="s">
        <v>26</v>
      </c>
      <c r="K190" s="1" t="s">
        <v>581</v>
      </c>
      <c r="L190" s="1" t="s">
        <v>578</v>
      </c>
      <c r="M190" s="1" t="s">
        <v>579</v>
      </c>
      <c r="N190" s="1" t="s">
        <v>38</v>
      </c>
      <c r="O190" s="1" t="s">
        <v>428</v>
      </c>
      <c r="P190" s="1">
        <v>61319031144</v>
      </c>
      <c r="Q190" s="1" t="s">
        <v>463</v>
      </c>
      <c r="R190" s="1" t="s">
        <v>113</v>
      </c>
      <c r="S190" s="1" t="s">
        <v>580</v>
      </c>
      <c r="T190" s="1" t="s">
        <v>582</v>
      </c>
      <c r="U190" s="1" t="s">
        <v>130</v>
      </c>
      <c r="V190" s="1" t="s">
        <v>74</v>
      </c>
      <c r="W190" s="1" t="str">
        <f>VLOOKUP(Table1[[#This Row],[Obergruppe ATC-Code]],Tabelle3!$A$2:$B$100,2)</f>
        <v>ANTIDIABETIKA</v>
      </c>
      <c r="X190" s="1" t="str">
        <f xml:space="preserve"> LEFT(Table1[[#This Row],[Atc Code]],3)</f>
        <v>A10</v>
      </c>
    </row>
    <row r="191" spans="1:24" ht="14.4">
      <c r="A191" s="14">
        <v>1488</v>
      </c>
      <c r="B191" s="24">
        <v>15398557</v>
      </c>
      <c r="C191" s="1">
        <v>2714968</v>
      </c>
      <c r="D191" s="1" t="s">
        <v>25</v>
      </c>
      <c r="E191" s="36">
        <v>44916</v>
      </c>
      <c r="F191" s="36">
        <v>44930</v>
      </c>
      <c r="G191" s="38">
        <f t="shared" si="2"/>
        <v>14</v>
      </c>
      <c r="H191" s="5">
        <v>44916</v>
      </c>
      <c r="I191" s="5">
        <v>44930</v>
      </c>
      <c r="J191" s="1" t="s">
        <v>26</v>
      </c>
      <c r="K191" s="1" t="s">
        <v>577</v>
      </c>
      <c r="L191" s="1" t="s">
        <v>578</v>
      </c>
      <c r="M191" s="1" t="s">
        <v>579</v>
      </c>
      <c r="N191" s="1" t="s">
        <v>38</v>
      </c>
      <c r="O191" s="1" t="s">
        <v>428</v>
      </c>
      <c r="P191" s="1">
        <v>61319031144</v>
      </c>
      <c r="Q191" s="1" t="s">
        <v>463</v>
      </c>
      <c r="R191" s="1" t="s">
        <v>113</v>
      </c>
      <c r="S191" s="1" t="s">
        <v>470</v>
      </c>
      <c r="U191" s="1" t="s">
        <v>130</v>
      </c>
      <c r="V191" s="1" t="s">
        <v>74</v>
      </c>
      <c r="W191" s="1" t="str">
        <f>VLOOKUP(Table1[[#This Row],[Obergruppe ATC-Code]],Tabelle3!$A$2:$B$100,2)</f>
        <v>ANTIDIABETIKA</v>
      </c>
      <c r="X191" s="1" t="str">
        <f xml:space="preserve"> LEFT(Table1[[#This Row],[Atc Code]],3)</f>
        <v>A10</v>
      </c>
    </row>
    <row r="192" spans="1:24" ht="14.4">
      <c r="A192" s="14">
        <v>1487</v>
      </c>
      <c r="B192" s="24">
        <v>15398557</v>
      </c>
      <c r="C192" s="1">
        <v>2714968</v>
      </c>
      <c r="D192" s="1" t="s">
        <v>25</v>
      </c>
      <c r="E192" s="36">
        <v>44949</v>
      </c>
      <c r="F192" s="36">
        <v>44958</v>
      </c>
      <c r="G192" s="38">
        <f t="shared" si="2"/>
        <v>9</v>
      </c>
      <c r="H192" s="5">
        <v>44949</v>
      </c>
      <c r="I192" s="5">
        <v>44958</v>
      </c>
      <c r="J192" s="1" t="s">
        <v>26</v>
      </c>
      <c r="K192" s="1" t="s">
        <v>577</v>
      </c>
      <c r="L192" s="1" t="s">
        <v>578</v>
      </c>
      <c r="M192" s="1" t="s">
        <v>579</v>
      </c>
      <c r="N192" s="1" t="s">
        <v>38</v>
      </c>
      <c r="O192" s="1" t="s">
        <v>428</v>
      </c>
      <c r="P192" s="1">
        <v>61319031144</v>
      </c>
      <c r="Q192" s="1" t="s">
        <v>463</v>
      </c>
      <c r="R192" s="1" t="s">
        <v>113</v>
      </c>
      <c r="S192" s="1" t="s">
        <v>481</v>
      </c>
      <c r="U192" s="1" t="s">
        <v>57</v>
      </c>
      <c r="V192" s="1" t="s">
        <v>74</v>
      </c>
      <c r="W192" s="1" t="str">
        <f>VLOOKUP(Table1[[#This Row],[Obergruppe ATC-Code]],Tabelle3!$A$2:$B$100,2)</f>
        <v>ANTIDIABETIKA</v>
      </c>
      <c r="X192" s="1" t="str">
        <f xml:space="preserve"> LEFT(Table1[[#This Row],[Atc Code]],3)</f>
        <v>A10</v>
      </c>
    </row>
    <row r="193" spans="1:24" ht="14.4">
      <c r="A193" s="14">
        <v>1481</v>
      </c>
      <c r="B193" s="24">
        <v>15398534</v>
      </c>
      <c r="C193" s="1">
        <v>2714966</v>
      </c>
      <c r="D193" s="1" t="s">
        <v>25</v>
      </c>
      <c r="E193" s="36">
        <v>44986</v>
      </c>
      <c r="F193" s="36">
        <v>45034</v>
      </c>
      <c r="G193" s="38">
        <f t="shared" si="2"/>
        <v>48</v>
      </c>
      <c r="H193" s="5">
        <v>44987</v>
      </c>
      <c r="I193" s="5">
        <v>45034</v>
      </c>
      <c r="J193" s="1" t="s">
        <v>26</v>
      </c>
      <c r="K193" s="1" t="s">
        <v>583</v>
      </c>
      <c r="L193" s="1" t="s">
        <v>578</v>
      </c>
      <c r="M193" s="1" t="s">
        <v>579</v>
      </c>
      <c r="N193" s="1" t="s">
        <v>38</v>
      </c>
      <c r="O193" s="1" t="s">
        <v>428</v>
      </c>
      <c r="P193" s="1">
        <v>61319031144</v>
      </c>
      <c r="Q193" s="1" t="s">
        <v>429</v>
      </c>
      <c r="R193" s="1" t="s">
        <v>113</v>
      </c>
      <c r="S193" s="1" t="s">
        <v>481</v>
      </c>
      <c r="T193" s="1" t="s">
        <v>584</v>
      </c>
      <c r="U193" s="1" t="s">
        <v>130</v>
      </c>
      <c r="V193" s="1" t="s">
        <v>74</v>
      </c>
      <c r="W193" s="1" t="str">
        <f>VLOOKUP(Table1[[#This Row],[Obergruppe ATC-Code]],Tabelle3!$A$2:$B$100,2)</f>
        <v>ANTIDIABETIKA</v>
      </c>
      <c r="X193" s="1" t="str">
        <f xml:space="preserve"> LEFT(Table1[[#This Row],[Atc Code]],3)</f>
        <v>A10</v>
      </c>
    </row>
    <row r="194" spans="1:24" ht="14.4">
      <c r="A194" s="14">
        <v>1479</v>
      </c>
      <c r="B194" s="24">
        <v>15398528</v>
      </c>
      <c r="C194" s="1">
        <v>2714965</v>
      </c>
      <c r="D194" s="1" t="s">
        <v>25</v>
      </c>
      <c r="E194" s="36">
        <v>45028</v>
      </c>
      <c r="F194" s="36">
        <v>45042</v>
      </c>
      <c r="G194" s="38">
        <f t="shared" ref="G194:G257" si="3">F194-E194</f>
        <v>14</v>
      </c>
      <c r="H194" s="5">
        <v>45028</v>
      </c>
      <c r="I194" s="5">
        <v>45042</v>
      </c>
      <c r="J194" s="1" t="s">
        <v>26</v>
      </c>
      <c r="K194" s="1" t="s">
        <v>585</v>
      </c>
      <c r="L194" s="1" t="s">
        <v>578</v>
      </c>
      <c r="M194" s="1" t="s">
        <v>579</v>
      </c>
      <c r="N194" s="1" t="s">
        <v>38</v>
      </c>
      <c r="O194" s="1" t="s">
        <v>428</v>
      </c>
      <c r="P194" s="1">
        <v>61319031144</v>
      </c>
      <c r="Q194" s="1" t="s">
        <v>429</v>
      </c>
      <c r="R194" s="1" t="s">
        <v>113</v>
      </c>
      <c r="S194" s="1" t="s">
        <v>470</v>
      </c>
      <c r="U194" s="1" t="s">
        <v>130</v>
      </c>
      <c r="V194" s="1" t="s">
        <v>74</v>
      </c>
      <c r="W194" s="1" t="str">
        <f>VLOOKUP(Table1[[#This Row],[Obergruppe ATC-Code]],Tabelle3!$A$2:$B$100,2)</f>
        <v>ANTIDIABETIKA</v>
      </c>
      <c r="X194" s="1" t="str">
        <f xml:space="preserve"> LEFT(Table1[[#This Row],[Atc Code]],3)</f>
        <v>A10</v>
      </c>
    </row>
    <row r="195" spans="1:24" ht="14.4">
      <c r="A195" s="14">
        <v>1486</v>
      </c>
      <c r="B195" s="24">
        <v>15398557</v>
      </c>
      <c r="C195" s="1">
        <v>2714968</v>
      </c>
      <c r="D195" s="1" t="s">
        <v>25</v>
      </c>
      <c r="E195" s="36">
        <v>45022</v>
      </c>
      <c r="F195" s="36">
        <v>45049</v>
      </c>
      <c r="G195" s="38">
        <f t="shared" si="3"/>
        <v>27</v>
      </c>
      <c r="H195" s="5">
        <v>45014</v>
      </c>
      <c r="I195" s="5">
        <v>45049</v>
      </c>
      <c r="J195" s="1" t="s">
        <v>26</v>
      </c>
      <c r="K195" s="1" t="s">
        <v>577</v>
      </c>
      <c r="L195" s="1" t="s">
        <v>578</v>
      </c>
      <c r="M195" s="1" t="s">
        <v>579</v>
      </c>
      <c r="N195" s="1" t="s">
        <v>38</v>
      </c>
      <c r="O195" s="1" t="s">
        <v>428</v>
      </c>
      <c r="P195" s="1">
        <v>61319031144</v>
      </c>
      <c r="Q195" s="1" t="s">
        <v>429</v>
      </c>
      <c r="R195" s="1" t="s">
        <v>113</v>
      </c>
      <c r="S195" s="1" t="s">
        <v>586</v>
      </c>
      <c r="U195" s="1" t="s">
        <v>57</v>
      </c>
      <c r="V195" s="1" t="s">
        <v>74</v>
      </c>
      <c r="W195" s="1" t="str">
        <f>VLOOKUP(Table1[[#This Row],[Obergruppe ATC-Code]],Tabelle3!$A$2:$B$100,2)</f>
        <v>ANTIDIABETIKA</v>
      </c>
      <c r="X195" s="1" t="str">
        <f xml:space="preserve"> LEFT(Table1[[#This Row],[Atc Code]],3)</f>
        <v>A10</v>
      </c>
    </row>
    <row r="196" spans="1:24" ht="14.4">
      <c r="A196" s="14">
        <v>1483</v>
      </c>
      <c r="B196" s="24">
        <v>15398540</v>
      </c>
      <c r="C196" s="1">
        <v>2714967</v>
      </c>
      <c r="D196" s="1" t="s">
        <v>25</v>
      </c>
      <c r="E196" s="36">
        <v>45068</v>
      </c>
      <c r="F196" s="36">
        <v>45076</v>
      </c>
      <c r="G196" s="38">
        <f t="shared" si="3"/>
        <v>8</v>
      </c>
      <c r="H196" s="5">
        <v>45068</v>
      </c>
      <c r="I196" s="5">
        <v>45076</v>
      </c>
      <c r="J196" s="1" t="s">
        <v>26</v>
      </c>
      <c r="K196" s="1" t="s">
        <v>581</v>
      </c>
      <c r="L196" s="1" t="s">
        <v>578</v>
      </c>
      <c r="M196" s="1" t="s">
        <v>579</v>
      </c>
      <c r="N196" s="1" t="s">
        <v>38</v>
      </c>
      <c r="O196" s="1" t="s">
        <v>428</v>
      </c>
      <c r="P196" s="1">
        <v>61319031144</v>
      </c>
      <c r="Q196" s="1" t="s">
        <v>429</v>
      </c>
      <c r="R196" s="1" t="s">
        <v>113</v>
      </c>
      <c r="S196" s="1" t="s">
        <v>470</v>
      </c>
      <c r="T196" s="1" t="s">
        <v>582</v>
      </c>
      <c r="U196" s="1" t="s">
        <v>130</v>
      </c>
      <c r="V196" s="1" t="s">
        <v>74</v>
      </c>
      <c r="W196" s="1" t="str">
        <f>VLOOKUP(Table1[[#This Row],[Obergruppe ATC-Code]],Tabelle3!$A$2:$B$100,2)</f>
        <v>ANTIDIABETIKA</v>
      </c>
      <c r="X196" s="1" t="str">
        <f xml:space="preserve"> LEFT(Table1[[#This Row],[Atc Code]],3)</f>
        <v>A10</v>
      </c>
    </row>
    <row r="197" spans="1:24" ht="14.4">
      <c r="A197" s="14">
        <v>1485</v>
      </c>
      <c r="B197" s="24">
        <v>15398557</v>
      </c>
      <c r="C197" s="1">
        <v>2714968</v>
      </c>
      <c r="D197" s="1" t="s">
        <v>25</v>
      </c>
      <c r="E197" s="36">
        <v>45068</v>
      </c>
      <c r="F197" s="36">
        <v>45090</v>
      </c>
      <c r="G197" s="38">
        <f t="shared" si="3"/>
        <v>22</v>
      </c>
      <c r="H197" s="5">
        <v>45068</v>
      </c>
      <c r="I197" s="5">
        <v>45090</v>
      </c>
      <c r="J197" s="1" t="s">
        <v>26</v>
      </c>
      <c r="K197" s="1" t="s">
        <v>577</v>
      </c>
      <c r="L197" s="1" t="s">
        <v>578</v>
      </c>
      <c r="M197" s="1" t="s">
        <v>579</v>
      </c>
      <c r="N197" s="1" t="s">
        <v>38</v>
      </c>
      <c r="O197" s="1" t="s">
        <v>428</v>
      </c>
      <c r="P197" s="1">
        <v>61319031144</v>
      </c>
      <c r="Q197" s="1" t="s">
        <v>429</v>
      </c>
      <c r="R197" s="1" t="s">
        <v>113</v>
      </c>
      <c r="S197" s="1" t="s">
        <v>470</v>
      </c>
      <c r="U197" s="1" t="s">
        <v>130</v>
      </c>
      <c r="V197" s="1" t="s">
        <v>74</v>
      </c>
      <c r="W197" s="1" t="str">
        <f>VLOOKUP(Table1[[#This Row],[Obergruppe ATC-Code]],Tabelle3!$A$2:$B$100,2)</f>
        <v>ANTIDIABETIKA</v>
      </c>
      <c r="X197" s="1" t="str">
        <f xml:space="preserve"> LEFT(Table1[[#This Row],[Atc Code]],3)</f>
        <v>A10</v>
      </c>
    </row>
    <row r="198" spans="1:24" ht="14.4">
      <c r="A198" s="14">
        <v>1482</v>
      </c>
      <c r="B198" s="24">
        <v>15398540</v>
      </c>
      <c r="C198" s="1">
        <v>2714967</v>
      </c>
      <c r="D198" s="1" t="s">
        <v>25</v>
      </c>
      <c r="E198" s="36">
        <v>45145</v>
      </c>
      <c r="F198" s="36">
        <v>45175</v>
      </c>
      <c r="G198" s="38">
        <f t="shared" si="3"/>
        <v>30</v>
      </c>
      <c r="H198" s="5">
        <v>45140</v>
      </c>
      <c r="I198" s="5">
        <v>45175</v>
      </c>
      <c r="J198" s="1" t="s">
        <v>26</v>
      </c>
      <c r="K198" s="1" t="s">
        <v>581</v>
      </c>
      <c r="L198" s="1" t="s">
        <v>578</v>
      </c>
      <c r="M198" s="1" t="s">
        <v>579</v>
      </c>
      <c r="N198" s="1" t="s">
        <v>38</v>
      </c>
      <c r="O198" s="1" t="s">
        <v>428</v>
      </c>
      <c r="P198" s="1">
        <v>61319031144</v>
      </c>
      <c r="Q198" s="1" t="s">
        <v>429</v>
      </c>
      <c r="R198" s="1" t="s">
        <v>113</v>
      </c>
      <c r="S198" s="1" t="s">
        <v>470</v>
      </c>
      <c r="T198" s="1" t="s">
        <v>582</v>
      </c>
      <c r="U198" s="1" t="s">
        <v>130</v>
      </c>
      <c r="V198" s="1" t="s">
        <v>74</v>
      </c>
      <c r="W198" s="1" t="str">
        <f>VLOOKUP(Table1[[#This Row],[Obergruppe ATC-Code]],Tabelle3!$A$2:$B$100,2)</f>
        <v>ANTIDIABETIKA</v>
      </c>
      <c r="X198" s="1" t="str">
        <f xml:space="preserve"> LEFT(Table1[[#This Row],[Atc Code]],3)</f>
        <v>A10</v>
      </c>
    </row>
    <row r="199" spans="1:24" ht="14.4">
      <c r="A199" s="14">
        <v>1480</v>
      </c>
      <c r="B199" s="24">
        <v>15398534</v>
      </c>
      <c r="C199" s="1">
        <v>2714966</v>
      </c>
      <c r="D199" s="1" t="s">
        <v>175</v>
      </c>
      <c r="E199" s="36">
        <v>45196</v>
      </c>
      <c r="F199" s="36">
        <v>45291</v>
      </c>
      <c r="G199" s="38">
        <f t="shared" si="3"/>
        <v>95</v>
      </c>
      <c r="H199" s="5">
        <v>45196</v>
      </c>
      <c r="I199" s="5">
        <v>45196</v>
      </c>
      <c r="J199" s="1" t="s">
        <v>26</v>
      </c>
      <c r="K199" s="1" t="s">
        <v>583</v>
      </c>
      <c r="L199" s="1" t="s">
        <v>578</v>
      </c>
      <c r="M199" s="1" t="s">
        <v>579</v>
      </c>
      <c r="N199" s="1" t="s">
        <v>38</v>
      </c>
      <c r="O199" s="1" t="s">
        <v>428</v>
      </c>
      <c r="Q199" s="1" t="s">
        <v>429</v>
      </c>
      <c r="R199" s="1" t="s">
        <v>113</v>
      </c>
      <c r="S199" s="1" t="s">
        <v>470</v>
      </c>
      <c r="T199" s="1" t="s">
        <v>584</v>
      </c>
      <c r="U199" s="1" t="s">
        <v>130</v>
      </c>
      <c r="V199" s="1" t="s">
        <v>74</v>
      </c>
      <c r="W199" s="1" t="str">
        <f>VLOOKUP(Table1[[#This Row],[Obergruppe ATC-Code]],Tabelle3!$A$2:$B$100,2)</f>
        <v>ANTIDIABETIKA</v>
      </c>
      <c r="X199" s="1" t="str">
        <f xml:space="preserve"> LEFT(Table1[[#This Row],[Atc Code]],3)</f>
        <v>A10</v>
      </c>
    </row>
    <row r="200" spans="1:24" ht="14.4">
      <c r="A200" s="14">
        <v>1478</v>
      </c>
      <c r="B200" s="24">
        <v>15398528</v>
      </c>
      <c r="C200" s="1">
        <v>2714965</v>
      </c>
      <c r="D200" s="1" t="s">
        <v>175</v>
      </c>
      <c r="E200" s="36">
        <v>45196</v>
      </c>
      <c r="F200" s="36">
        <v>45291</v>
      </c>
      <c r="G200" s="38">
        <f t="shared" si="3"/>
        <v>95</v>
      </c>
      <c r="H200" s="5">
        <v>45196</v>
      </c>
      <c r="I200" s="5">
        <v>45196</v>
      </c>
      <c r="J200" s="1" t="s">
        <v>26</v>
      </c>
      <c r="K200" s="1" t="s">
        <v>585</v>
      </c>
      <c r="L200" s="1" t="s">
        <v>578</v>
      </c>
      <c r="M200" s="1" t="s">
        <v>579</v>
      </c>
      <c r="N200" s="1" t="s">
        <v>38</v>
      </c>
      <c r="O200" s="1" t="s">
        <v>428</v>
      </c>
      <c r="P200" s="1">
        <v>61319031144</v>
      </c>
      <c r="Q200" s="1" t="s">
        <v>429</v>
      </c>
      <c r="R200" s="1" t="s">
        <v>113</v>
      </c>
      <c r="S200" s="1" t="s">
        <v>470</v>
      </c>
      <c r="U200" s="1" t="s">
        <v>130</v>
      </c>
      <c r="V200" s="1" t="s">
        <v>74</v>
      </c>
      <c r="W200" s="1" t="str">
        <f>VLOOKUP(Table1[[#This Row],[Obergruppe ATC-Code]],Tabelle3!$A$2:$B$100,2)</f>
        <v>ANTIDIABETIKA</v>
      </c>
      <c r="X200" s="1" t="str">
        <f xml:space="preserve"> LEFT(Table1[[#This Row],[Atc Code]],3)</f>
        <v>A10</v>
      </c>
    </row>
    <row r="201" spans="1:24" ht="14.4">
      <c r="A201" s="14">
        <v>1524</v>
      </c>
      <c r="B201" s="24">
        <v>16351693</v>
      </c>
      <c r="C201" s="1">
        <v>2714784</v>
      </c>
      <c r="D201" s="1" t="s">
        <v>25</v>
      </c>
      <c r="E201" s="36">
        <v>44673</v>
      </c>
      <c r="F201" s="36">
        <v>44713</v>
      </c>
      <c r="G201" s="38">
        <f t="shared" si="3"/>
        <v>40</v>
      </c>
      <c r="H201" s="5">
        <v>44673</v>
      </c>
      <c r="I201" s="5">
        <v>44713</v>
      </c>
      <c r="J201" s="1" t="s">
        <v>26</v>
      </c>
      <c r="K201" s="1" t="s">
        <v>587</v>
      </c>
      <c r="L201" s="1" t="s">
        <v>588</v>
      </c>
      <c r="M201" s="1" t="s">
        <v>589</v>
      </c>
      <c r="N201" s="1" t="s">
        <v>38</v>
      </c>
      <c r="O201" s="1" t="s">
        <v>590</v>
      </c>
      <c r="P201" s="1">
        <v>498945611873</v>
      </c>
      <c r="Q201" s="1" t="s">
        <v>591</v>
      </c>
      <c r="R201" s="1" t="s">
        <v>113</v>
      </c>
      <c r="S201" s="1"/>
      <c r="U201" s="1" t="s">
        <v>35</v>
      </c>
      <c r="V201" s="1" t="s">
        <v>99</v>
      </c>
      <c r="W201" s="1" t="str">
        <f>VLOOKUP(Table1[[#This Row],[Obergruppe ATC-Code]],Tabelle3!$A$2:$B$100,2)</f>
        <v>ANTIDIABETIKA</v>
      </c>
      <c r="X201" s="1" t="str">
        <f xml:space="preserve"> LEFT(Table1[[#This Row],[Atc Code]],3)</f>
        <v>A10</v>
      </c>
    </row>
    <row r="202" spans="1:24" ht="14.4">
      <c r="A202" s="14">
        <v>2102</v>
      </c>
      <c r="B202" s="24" t="s">
        <v>592</v>
      </c>
      <c r="C202" s="1">
        <v>3000071</v>
      </c>
      <c r="D202" s="1" t="s">
        <v>102</v>
      </c>
      <c r="E202" s="36">
        <v>44967</v>
      </c>
      <c r="F202" s="36">
        <v>45260</v>
      </c>
      <c r="G202" s="38">
        <f t="shared" si="3"/>
        <v>293</v>
      </c>
      <c r="H202" s="5">
        <v>44967</v>
      </c>
      <c r="I202" s="5">
        <v>45141</v>
      </c>
      <c r="J202" s="1" t="s">
        <v>26</v>
      </c>
      <c r="K202" s="1" t="s">
        <v>593</v>
      </c>
      <c r="L202" s="1" t="s">
        <v>594</v>
      </c>
      <c r="M202" s="1" t="s">
        <v>595</v>
      </c>
      <c r="N202" s="1" t="s">
        <v>38</v>
      </c>
      <c r="O202" s="1" t="s">
        <v>140</v>
      </c>
      <c r="Q202" s="1" t="s">
        <v>141</v>
      </c>
      <c r="R202" s="1" t="s">
        <v>113</v>
      </c>
      <c r="S202" s="1"/>
      <c r="U202" s="1" t="s">
        <v>130</v>
      </c>
      <c r="V202" s="1" t="s">
        <v>596</v>
      </c>
      <c r="W202" s="1" t="str">
        <f>VLOOKUP(Table1[[#This Row],[Obergruppe ATC-Code]],Tabelle3!$A$2:$B$100,2)</f>
        <v>VITAMINE</v>
      </c>
      <c r="X202" s="1" t="str">
        <f xml:space="preserve"> LEFT(Table1[[#This Row],[Atc Code]],3)</f>
        <v>A11</v>
      </c>
    </row>
    <row r="203" spans="1:24" ht="14.4">
      <c r="A203" s="14">
        <v>1621</v>
      </c>
      <c r="B203" s="24">
        <v>18083765</v>
      </c>
      <c r="C203" s="1">
        <v>245799</v>
      </c>
      <c r="D203" s="1" t="s">
        <v>25</v>
      </c>
      <c r="E203" s="36">
        <v>44287</v>
      </c>
      <c r="F203" s="36">
        <v>44936</v>
      </c>
      <c r="G203" s="38">
        <f t="shared" si="3"/>
        <v>649</v>
      </c>
      <c r="H203" s="5">
        <v>44134</v>
      </c>
      <c r="I203" s="5">
        <v>44958</v>
      </c>
      <c r="J203" s="1" t="s">
        <v>41</v>
      </c>
      <c r="K203" s="1" t="s">
        <v>597</v>
      </c>
      <c r="L203" s="1" t="s">
        <v>598</v>
      </c>
      <c r="M203" s="1" t="s">
        <v>599</v>
      </c>
      <c r="N203" s="1" t="s">
        <v>30</v>
      </c>
      <c r="O203" s="1" t="s">
        <v>600</v>
      </c>
      <c r="P203" s="1">
        <v>-422351</v>
      </c>
      <c r="Q203" s="1" t="s">
        <v>601</v>
      </c>
      <c r="R203" s="1" t="s">
        <v>165</v>
      </c>
      <c r="S203" s="1" t="s">
        <v>602</v>
      </c>
      <c r="U203" s="1" t="s">
        <v>35</v>
      </c>
      <c r="V203" s="1" t="s">
        <v>596</v>
      </c>
      <c r="W203" s="1" t="str">
        <f>VLOOKUP(Table1[[#This Row],[Obergruppe ATC-Code]],Tabelle3!$A$2:$B$100,2)</f>
        <v>VITAMINE</v>
      </c>
      <c r="X203" s="1" t="str">
        <f xml:space="preserve"> LEFT(Table1[[#This Row],[Atc Code]],3)</f>
        <v>A11</v>
      </c>
    </row>
    <row r="204" spans="1:24" ht="14.4">
      <c r="A204" s="14">
        <v>18</v>
      </c>
      <c r="B204" s="24">
        <v>83919</v>
      </c>
      <c r="C204" s="1">
        <v>245813</v>
      </c>
      <c r="D204" s="1" t="s">
        <v>25</v>
      </c>
      <c r="E204" s="36">
        <v>44256</v>
      </c>
      <c r="F204" s="36">
        <v>44936</v>
      </c>
      <c r="G204" s="38">
        <f t="shared" si="3"/>
        <v>680</v>
      </c>
      <c r="H204" s="5">
        <v>44134</v>
      </c>
      <c r="I204" s="5">
        <v>44958</v>
      </c>
      <c r="J204" s="1" t="s">
        <v>41</v>
      </c>
      <c r="K204" s="1" t="s">
        <v>603</v>
      </c>
      <c r="L204" s="1" t="s">
        <v>598</v>
      </c>
      <c r="M204" s="1" t="s">
        <v>599</v>
      </c>
      <c r="N204" s="1" t="s">
        <v>30</v>
      </c>
      <c r="O204" s="1" t="s">
        <v>600</v>
      </c>
      <c r="P204" s="1">
        <v>-422351</v>
      </c>
      <c r="Q204" s="1" t="s">
        <v>601</v>
      </c>
      <c r="R204" s="1" t="s">
        <v>165</v>
      </c>
      <c r="S204" s="1" t="s">
        <v>602</v>
      </c>
      <c r="U204" s="1" t="s">
        <v>35</v>
      </c>
      <c r="V204" s="1" t="s">
        <v>604</v>
      </c>
      <c r="W204" s="1" t="str">
        <f>VLOOKUP(Table1[[#This Row],[Obergruppe ATC-Code]],Tabelle3!$A$2:$B$100,2)</f>
        <v>VITAMINE</v>
      </c>
      <c r="X204" s="1" t="str">
        <f xml:space="preserve"> LEFT(Table1[[#This Row],[Atc Code]],3)</f>
        <v>A11</v>
      </c>
    </row>
    <row r="205" spans="1:24" ht="14.4">
      <c r="A205" s="14">
        <v>2605</v>
      </c>
      <c r="B205" s="24" t="s">
        <v>605</v>
      </c>
      <c r="C205" s="1">
        <v>2204962</v>
      </c>
      <c r="D205" s="1" t="s">
        <v>102</v>
      </c>
      <c r="E205" s="36">
        <v>45124</v>
      </c>
      <c r="F205" s="36">
        <v>45230</v>
      </c>
      <c r="G205" s="38">
        <f t="shared" si="3"/>
        <v>106</v>
      </c>
      <c r="H205" s="5">
        <v>45126</v>
      </c>
      <c r="I205" s="5">
        <v>45187</v>
      </c>
      <c r="J205" s="1" t="s">
        <v>26</v>
      </c>
      <c r="K205" s="1" t="s">
        <v>606</v>
      </c>
      <c r="L205" s="1" t="s">
        <v>607</v>
      </c>
      <c r="M205" s="1" t="s">
        <v>608</v>
      </c>
      <c r="N205" s="1" t="s">
        <v>38</v>
      </c>
      <c r="O205" s="1" t="s">
        <v>140</v>
      </c>
      <c r="Q205" s="1" t="s">
        <v>141</v>
      </c>
      <c r="R205" s="1" t="s">
        <v>26</v>
      </c>
      <c r="S205" s="1"/>
      <c r="U205" s="1" t="s">
        <v>130</v>
      </c>
      <c r="V205" s="1" t="s">
        <v>604</v>
      </c>
      <c r="W205" s="1" t="str">
        <f>VLOOKUP(Table1[[#This Row],[Obergruppe ATC-Code]],Tabelle3!$A$2:$B$100,2)</f>
        <v>VITAMINE</v>
      </c>
      <c r="X205" s="1" t="str">
        <f xml:space="preserve"> LEFT(Table1[[#This Row],[Atc Code]],3)</f>
        <v>A11</v>
      </c>
    </row>
    <row r="206" spans="1:24" ht="14.4">
      <c r="A206" s="14">
        <v>2604</v>
      </c>
      <c r="B206" s="24" t="s">
        <v>609</v>
      </c>
      <c r="C206" s="1">
        <v>2204961</v>
      </c>
      <c r="D206" s="1" t="s">
        <v>25</v>
      </c>
      <c r="E206" s="36">
        <v>45124</v>
      </c>
      <c r="F206" s="36">
        <v>45182</v>
      </c>
      <c r="G206" s="38">
        <f t="shared" si="3"/>
        <v>58</v>
      </c>
      <c r="H206" s="5">
        <v>45126</v>
      </c>
      <c r="I206" s="5">
        <v>45187</v>
      </c>
      <c r="J206" s="1" t="s">
        <v>26</v>
      </c>
      <c r="K206" s="1" t="s">
        <v>610</v>
      </c>
      <c r="L206" s="1" t="s">
        <v>607</v>
      </c>
      <c r="M206" s="1" t="s">
        <v>608</v>
      </c>
      <c r="N206" s="1" t="s">
        <v>38</v>
      </c>
      <c r="O206" s="1" t="s">
        <v>140</v>
      </c>
      <c r="Q206" s="1" t="s">
        <v>141</v>
      </c>
      <c r="R206" s="1" t="s">
        <v>26</v>
      </c>
      <c r="S206" s="1"/>
      <c r="U206" s="1" t="s">
        <v>130</v>
      </c>
      <c r="V206" s="1" t="s">
        <v>604</v>
      </c>
      <c r="W206" s="1" t="str">
        <f>VLOOKUP(Table1[[#This Row],[Obergruppe ATC-Code]],Tabelle3!$A$2:$B$100,2)</f>
        <v>VITAMINE</v>
      </c>
      <c r="X206" s="1" t="str">
        <f xml:space="preserve"> LEFT(Table1[[#This Row],[Atc Code]],3)</f>
        <v>A11</v>
      </c>
    </row>
    <row r="207" spans="1:24" ht="14.4">
      <c r="A207" s="14">
        <v>1223</v>
      </c>
      <c r="B207" s="24">
        <v>11228404</v>
      </c>
      <c r="C207" s="1">
        <v>2204963</v>
      </c>
      <c r="D207" s="1" t="s">
        <v>102</v>
      </c>
      <c r="E207" s="36">
        <v>45124</v>
      </c>
      <c r="F207" s="36">
        <v>45230</v>
      </c>
      <c r="G207" s="38">
        <f t="shared" si="3"/>
        <v>106</v>
      </c>
      <c r="H207" s="5">
        <v>45126</v>
      </c>
      <c r="I207" s="5">
        <v>45215</v>
      </c>
      <c r="J207" s="1" t="s">
        <v>26</v>
      </c>
      <c r="K207" s="1" t="s">
        <v>611</v>
      </c>
      <c r="L207" s="1" t="s">
        <v>607</v>
      </c>
      <c r="M207" s="1" t="s">
        <v>608</v>
      </c>
      <c r="N207" s="1" t="s">
        <v>38</v>
      </c>
      <c r="O207" s="1" t="s">
        <v>140</v>
      </c>
      <c r="Q207" s="1" t="s">
        <v>141</v>
      </c>
      <c r="R207" s="1" t="s">
        <v>26</v>
      </c>
      <c r="S207" s="1"/>
      <c r="U207" s="1" t="s">
        <v>130</v>
      </c>
      <c r="V207" s="1" t="s">
        <v>604</v>
      </c>
      <c r="W207" s="1" t="str">
        <f>VLOOKUP(Table1[[#This Row],[Obergruppe ATC-Code]],Tabelle3!$A$2:$B$100,2)</f>
        <v>VITAMINE</v>
      </c>
      <c r="X207" s="1" t="str">
        <f xml:space="preserve"> LEFT(Table1[[#This Row],[Atc Code]],3)</f>
        <v>A11</v>
      </c>
    </row>
    <row r="208" spans="1:24" ht="14.4">
      <c r="A208" s="14">
        <v>737</v>
      </c>
      <c r="B208" s="24">
        <v>4973596</v>
      </c>
      <c r="C208" s="1">
        <v>2159175</v>
      </c>
      <c r="D208" s="1" t="s">
        <v>25</v>
      </c>
      <c r="E208" s="36">
        <v>44445</v>
      </c>
      <c r="F208" s="36">
        <v>44470</v>
      </c>
      <c r="G208" s="38">
        <f t="shared" si="3"/>
        <v>25</v>
      </c>
      <c r="H208" s="5">
        <v>44456</v>
      </c>
      <c r="I208" s="5">
        <v>44470</v>
      </c>
      <c r="J208" s="1" t="s">
        <v>26</v>
      </c>
      <c r="K208" s="1" t="s">
        <v>612</v>
      </c>
      <c r="L208" s="1" t="s">
        <v>613</v>
      </c>
      <c r="M208" s="1" t="s">
        <v>614</v>
      </c>
      <c r="N208" s="1" t="s">
        <v>30</v>
      </c>
      <c r="O208" s="1" t="s">
        <v>615</v>
      </c>
      <c r="P208" s="1">
        <v>49349542470</v>
      </c>
      <c r="Q208" s="1" t="s">
        <v>616</v>
      </c>
      <c r="R208" s="1" t="s">
        <v>26</v>
      </c>
      <c r="S208" s="1" t="s">
        <v>617</v>
      </c>
      <c r="T208" s="1" t="s">
        <v>618</v>
      </c>
      <c r="U208" s="1" t="s">
        <v>35</v>
      </c>
      <c r="V208" s="1" t="s">
        <v>74</v>
      </c>
      <c r="W208" s="1" t="str">
        <f>VLOOKUP(Table1[[#This Row],[Obergruppe ATC-Code]],Tabelle3!$A$2:$B$100,2)</f>
        <v>VITAMINE</v>
      </c>
      <c r="X208" s="1" t="str">
        <f xml:space="preserve"> LEFT(Table1[[#This Row],[Atc Code]],3)</f>
        <v>A11</v>
      </c>
    </row>
    <row r="209" spans="1:24" ht="14.4">
      <c r="A209" s="14">
        <v>739</v>
      </c>
      <c r="B209" s="24">
        <v>4973596</v>
      </c>
      <c r="C209" s="1">
        <v>2159175</v>
      </c>
      <c r="D209" s="1" t="s">
        <v>25</v>
      </c>
      <c r="E209" s="36">
        <v>44648</v>
      </c>
      <c r="F209" s="36">
        <v>44690</v>
      </c>
      <c r="G209" s="38">
        <f t="shared" si="3"/>
        <v>42</v>
      </c>
      <c r="H209" s="5">
        <v>44650</v>
      </c>
      <c r="I209" s="5">
        <v>44691</v>
      </c>
      <c r="J209" s="1" t="s">
        <v>26</v>
      </c>
      <c r="K209" s="1" t="s">
        <v>612</v>
      </c>
      <c r="L209" s="1" t="s">
        <v>613</v>
      </c>
      <c r="M209" s="1" t="s">
        <v>614</v>
      </c>
      <c r="N209" s="1" t="s">
        <v>38</v>
      </c>
      <c r="O209" s="1" t="s">
        <v>615</v>
      </c>
      <c r="P209" s="1">
        <v>349542470</v>
      </c>
      <c r="Q209" s="1" t="s">
        <v>619</v>
      </c>
      <c r="R209" s="1" t="s">
        <v>33</v>
      </c>
      <c r="S209" s="1" t="s">
        <v>620</v>
      </c>
      <c r="U209" s="1" t="s">
        <v>35</v>
      </c>
      <c r="V209" s="1" t="s">
        <v>74</v>
      </c>
      <c r="W209" s="1" t="str">
        <f>VLOOKUP(Table1[[#This Row],[Obergruppe ATC-Code]],Tabelle3!$A$2:$B$100,2)</f>
        <v>VITAMINE</v>
      </c>
      <c r="X209" s="1" t="str">
        <f xml:space="preserve"> LEFT(Table1[[#This Row],[Atc Code]],3)</f>
        <v>A11</v>
      </c>
    </row>
    <row r="210" spans="1:24" ht="14.4">
      <c r="A210" s="14">
        <v>738</v>
      </c>
      <c r="B210" s="24">
        <v>4973596</v>
      </c>
      <c r="C210" s="1">
        <v>2159175</v>
      </c>
      <c r="D210" s="1" t="s">
        <v>25</v>
      </c>
      <c r="E210" s="36">
        <v>44816</v>
      </c>
      <c r="F210" s="36">
        <v>44841</v>
      </c>
      <c r="G210" s="38">
        <f t="shared" si="3"/>
        <v>25</v>
      </c>
      <c r="H210" s="5">
        <v>44819</v>
      </c>
      <c r="I210" s="5">
        <v>44845</v>
      </c>
      <c r="J210" s="1" t="s">
        <v>26</v>
      </c>
      <c r="K210" s="1" t="s">
        <v>612</v>
      </c>
      <c r="L210" s="1" t="s">
        <v>613</v>
      </c>
      <c r="M210" s="1" t="s">
        <v>614</v>
      </c>
      <c r="N210" s="1" t="s">
        <v>38</v>
      </c>
      <c r="O210" s="1" t="s">
        <v>615</v>
      </c>
      <c r="P210" s="1">
        <v>349542470</v>
      </c>
      <c r="Q210" s="1" t="s">
        <v>621</v>
      </c>
      <c r="R210" s="1" t="s">
        <v>33</v>
      </c>
      <c r="S210" s="1"/>
      <c r="U210" s="1" t="s">
        <v>35</v>
      </c>
      <c r="V210" s="1" t="s">
        <v>74</v>
      </c>
      <c r="W210" s="1" t="str">
        <f>VLOOKUP(Table1[[#This Row],[Obergruppe ATC-Code]],Tabelle3!$A$2:$B$100,2)</f>
        <v>VITAMINE</v>
      </c>
      <c r="X210" s="1" t="str">
        <f xml:space="preserve"> LEFT(Table1[[#This Row],[Atc Code]],3)</f>
        <v>A11</v>
      </c>
    </row>
    <row r="211" spans="1:24" ht="14.4">
      <c r="A211" s="14">
        <v>736</v>
      </c>
      <c r="B211" s="24">
        <v>4973573</v>
      </c>
      <c r="C211" s="1">
        <v>2159174</v>
      </c>
      <c r="D211" s="1" t="s">
        <v>25</v>
      </c>
      <c r="E211" s="36">
        <v>44816</v>
      </c>
      <c r="F211" s="36">
        <v>44840</v>
      </c>
      <c r="G211" s="38">
        <f t="shared" si="3"/>
        <v>24</v>
      </c>
      <c r="H211" s="5">
        <v>44819</v>
      </c>
      <c r="I211" s="5">
        <v>44845</v>
      </c>
      <c r="J211" s="1" t="s">
        <v>26</v>
      </c>
      <c r="K211" s="1" t="s">
        <v>622</v>
      </c>
      <c r="L211" s="1" t="s">
        <v>613</v>
      </c>
      <c r="M211" s="1" t="s">
        <v>614</v>
      </c>
      <c r="N211" s="1" t="s">
        <v>30</v>
      </c>
      <c r="O211" s="1" t="s">
        <v>615</v>
      </c>
      <c r="P211" s="1" t="s">
        <v>623</v>
      </c>
      <c r="Q211" s="1" t="s">
        <v>621</v>
      </c>
      <c r="R211" s="1" t="s">
        <v>33</v>
      </c>
      <c r="S211" s="1"/>
      <c r="U211" s="1" t="s">
        <v>35</v>
      </c>
      <c r="V211" s="1" t="s">
        <v>74</v>
      </c>
      <c r="W211" s="1" t="str">
        <f>VLOOKUP(Table1[[#This Row],[Obergruppe ATC-Code]],Tabelle3!$A$2:$B$100,2)</f>
        <v>VITAMINE</v>
      </c>
      <c r="X211" s="1" t="str">
        <f xml:space="preserve"> LEFT(Table1[[#This Row],[Atc Code]],3)</f>
        <v>A11</v>
      </c>
    </row>
    <row r="212" spans="1:24" ht="14.4">
      <c r="A212" s="14">
        <v>1041</v>
      </c>
      <c r="B212" s="24">
        <v>8890482</v>
      </c>
      <c r="C212" s="1">
        <v>2140191</v>
      </c>
      <c r="D212" s="1" t="s">
        <v>25</v>
      </c>
      <c r="E212" s="36">
        <v>44858</v>
      </c>
      <c r="F212" s="36">
        <v>44873</v>
      </c>
      <c r="G212" s="38">
        <f t="shared" si="3"/>
        <v>15</v>
      </c>
      <c r="H212" s="5">
        <v>44861</v>
      </c>
      <c r="I212" s="5">
        <v>44873</v>
      </c>
      <c r="J212" s="1" t="s">
        <v>26</v>
      </c>
      <c r="K212" s="1" t="s">
        <v>624</v>
      </c>
      <c r="L212" s="1" t="s">
        <v>613</v>
      </c>
      <c r="M212" s="1" t="s">
        <v>614</v>
      </c>
      <c r="N212" s="1" t="s">
        <v>30</v>
      </c>
      <c r="O212" s="1" t="s">
        <v>615</v>
      </c>
      <c r="P212" s="1">
        <v>49349542470</v>
      </c>
      <c r="Q212" s="1" t="s">
        <v>619</v>
      </c>
      <c r="R212" s="1" t="s">
        <v>33</v>
      </c>
      <c r="S212" s="1" t="s">
        <v>625</v>
      </c>
      <c r="T212" s="1" t="s">
        <v>626</v>
      </c>
      <c r="U212" s="1" t="s">
        <v>35</v>
      </c>
      <c r="V212" s="1" t="s">
        <v>604</v>
      </c>
      <c r="W212" s="1" t="str">
        <f>VLOOKUP(Table1[[#This Row],[Obergruppe ATC-Code]],Tabelle3!$A$2:$B$100,2)</f>
        <v>VITAMINE</v>
      </c>
      <c r="X212" s="1" t="str">
        <f xml:space="preserve"> LEFT(Table1[[#This Row],[Atc Code]],3)</f>
        <v>A11</v>
      </c>
    </row>
    <row r="213" spans="1:24" ht="14.4">
      <c r="A213" s="14">
        <v>1042</v>
      </c>
      <c r="B213" s="24">
        <v>8890507</v>
      </c>
      <c r="C213" s="1">
        <v>2140191</v>
      </c>
      <c r="D213" s="1" t="s">
        <v>25</v>
      </c>
      <c r="E213" s="36">
        <v>44935</v>
      </c>
      <c r="F213" s="36">
        <v>44959</v>
      </c>
      <c r="G213" s="38">
        <f t="shared" si="3"/>
        <v>24</v>
      </c>
      <c r="H213" s="5">
        <v>44938</v>
      </c>
      <c r="I213" s="5">
        <v>44963</v>
      </c>
      <c r="J213" s="1" t="s">
        <v>26</v>
      </c>
      <c r="K213" s="1" t="s">
        <v>624</v>
      </c>
      <c r="L213" s="1" t="s">
        <v>613</v>
      </c>
      <c r="M213" s="1" t="s">
        <v>614</v>
      </c>
      <c r="N213" s="1" t="s">
        <v>38</v>
      </c>
      <c r="O213" s="1" t="s">
        <v>615</v>
      </c>
      <c r="P213" s="1">
        <v>49349542470</v>
      </c>
      <c r="Q213" s="1" t="s">
        <v>619</v>
      </c>
      <c r="R213" s="1" t="s">
        <v>33</v>
      </c>
      <c r="S213" s="1"/>
      <c r="T213" s="1" t="s">
        <v>626</v>
      </c>
      <c r="U213" s="1" t="s">
        <v>35</v>
      </c>
      <c r="V213" s="1" t="s">
        <v>604</v>
      </c>
      <c r="W213" s="1" t="str">
        <f>VLOOKUP(Table1[[#This Row],[Obergruppe ATC-Code]],Tabelle3!$A$2:$B$100,2)</f>
        <v>VITAMINE</v>
      </c>
      <c r="X213" s="1" t="str">
        <f xml:space="preserve"> LEFT(Table1[[#This Row],[Atc Code]],3)</f>
        <v>A11</v>
      </c>
    </row>
    <row r="214" spans="1:24" ht="14.4">
      <c r="A214" s="14">
        <v>2435</v>
      </c>
      <c r="B214" s="24" t="s">
        <v>627</v>
      </c>
      <c r="C214" s="1">
        <v>2140190</v>
      </c>
      <c r="D214" s="1" t="s">
        <v>25</v>
      </c>
      <c r="E214" s="36">
        <v>45071</v>
      </c>
      <c r="F214" s="36">
        <v>45120</v>
      </c>
      <c r="G214" s="38">
        <f t="shared" si="3"/>
        <v>49</v>
      </c>
      <c r="H214" s="5">
        <v>45078</v>
      </c>
      <c r="I214" s="5">
        <v>45121</v>
      </c>
      <c r="J214" s="1" t="s">
        <v>26</v>
      </c>
      <c r="K214" s="1" t="s">
        <v>628</v>
      </c>
      <c r="L214" s="1" t="s">
        <v>613</v>
      </c>
      <c r="M214" s="1" t="s">
        <v>614</v>
      </c>
      <c r="N214" s="1" t="s">
        <v>30</v>
      </c>
      <c r="O214" s="1" t="s">
        <v>615</v>
      </c>
      <c r="P214" s="1">
        <v>349542470</v>
      </c>
      <c r="Q214" s="1" t="s">
        <v>621</v>
      </c>
      <c r="R214" s="1" t="s">
        <v>113</v>
      </c>
      <c r="S214" s="1"/>
      <c r="U214" s="1" t="s">
        <v>35</v>
      </c>
      <c r="V214" s="1" t="s">
        <v>604</v>
      </c>
      <c r="W214" s="1" t="str">
        <f>VLOOKUP(Table1[[#This Row],[Obergruppe ATC-Code]],Tabelle3!$A$2:$B$100,2)</f>
        <v>VITAMINE</v>
      </c>
      <c r="X214" s="1" t="str">
        <f xml:space="preserve"> LEFT(Table1[[#This Row],[Atc Code]],3)</f>
        <v>A11</v>
      </c>
    </row>
    <row r="215" spans="1:24" ht="14.4">
      <c r="A215" s="14">
        <v>1040</v>
      </c>
      <c r="B215" s="24">
        <v>8890453</v>
      </c>
      <c r="C215" s="1">
        <v>2140190</v>
      </c>
      <c r="D215" s="1" t="s">
        <v>25</v>
      </c>
      <c r="E215" s="36">
        <v>45119</v>
      </c>
      <c r="F215" s="36">
        <v>45139</v>
      </c>
      <c r="G215" s="38">
        <f t="shared" si="3"/>
        <v>20</v>
      </c>
      <c r="H215" s="5">
        <v>45134</v>
      </c>
      <c r="I215" s="5">
        <v>45149</v>
      </c>
      <c r="J215" s="1" t="s">
        <v>26</v>
      </c>
      <c r="K215" s="1" t="s">
        <v>628</v>
      </c>
      <c r="L215" s="1" t="s">
        <v>613</v>
      </c>
      <c r="M215" s="1" t="s">
        <v>614</v>
      </c>
      <c r="N215" s="1" t="s">
        <v>30</v>
      </c>
      <c r="O215" s="1" t="s">
        <v>615</v>
      </c>
      <c r="P215" s="1">
        <v>349542470</v>
      </c>
      <c r="Q215" s="1" t="s">
        <v>621</v>
      </c>
      <c r="R215" s="1" t="s">
        <v>113</v>
      </c>
      <c r="S215" s="1"/>
      <c r="T215" s="1" t="s">
        <v>629</v>
      </c>
      <c r="U215" s="1" t="s">
        <v>35</v>
      </c>
      <c r="V215" s="1" t="s">
        <v>604</v>
      </c>
      <c r="W215" s="1" t="str">
        <f>VLOOKUP(Table1[[#This Row],[Obergruppe ATC-Code]],Tabelle3!$A$2:$B$100,2)</f>
        <v>VITAMINE</v>
      </c>
      <c r="X215" s="1" t="str">
        <f xml:space="preserve"> LEFT(Table1[[#This Row],[Atc Code]],3)</f>
        <v>A11</v>
      </c>
    </row>
    <row r="216" spans="1:24" ht="14.4">
      <c r="A216" s="14">
        <v>119</v>
      </c>
      <c r="B216" s="24">
        <v>679049</v>
      </c>
      <c r="C216" s="1">
        <v>813051</v>
      </c>
      <c r="D216" s="1" t="s">
        <v>25</v>
      </c>
      <c r="E216" s="36">
        <v>44656</v>
      </c>
      <c r="F216" s="36">
        <v>44738</v>
      </c>
      <c r="G216" s="38">
        <f t="shared" si="3"/>
        <v>82</v>
      </c>
      <c r="H216" s="5">
        <v>44656</v>
      </c>
      <c r="I216" s="5">
        <v>44746</v>
      </c>
      <c r="J216" s="1" t="s">
        <v>41</v>
      </c>
      <c r="K216" s="1" t="s">
        <v>630</v>
      </c>
      <c r="L216" s="1" t="s">
        <v>631</v>
      </c>
      <c r="M216" s="1" t="s">
        <v>632</v>
      </c>
      <c r="N216" s="1" t="s">
        <v>30</v>
      </c>
      <c r="O216" s="1" t="s">
        <v>364</v>
      </c>
      <c r="P216" s="1" t="s">
        <v>633</v>
      </c>
      <c r="Q216" s="1" t="s">
        <v>634</v>
      </c>
      <c r="R216" s="1" t="s">
        <v>48</v>
      </c>
      <c r="S216" s="1"/>
      <c r="U216" s="1" t="s">
        <v>35</v>
      </c>
      <c r="V216" s="1" t="s">
        <v>74</v>
      </c>
      <c r="W216" s="1" t="str">
        <f>VLOOKUP(Table1[[#This Row],[Obergruppe ATC-Code]],Tabelle3!$A$2:$B$100,2)</f>
        <v>VITAMINE</v>
      </c>
      <c r="X216" s="1" t="str">
        <f xml:space="preserve"> LEFT(Table1[[#This Row],[Atc Code]],3)</f>
        <v>A11</v>
      </c>
    </row>
    <row r="217" spans="1:24" ht="14.4">
      <c r="A217" s="14">
        <v>223</v>
      </c>
      <c r="B217" s="24">
        <v>1254346</v>
      </c>
      <c r="C217" s="1">
        <v>813973</v>
      </c>
      <c r="D217" s="1" t="s">
        <v>102</v>
      </c>
      <c r="E217" s="36">
        <v>43831</v>
      </c>
      <c r="F217" s="36">
        <v>45291</v>
      </c>
      <c r="G217" s="38">
        <f t="shared" si="3"/>
        <v>1460</v>
      </c>
      <c r="H217" s="5">
        <v>43854</v>
      </c>
      <c r="I217" s="5">
        <v>44931</v>
      </c>
      <c r="J217" s="1" t="s">
        <v>41</v>
      </c>
      <c r="K217" s="1" t="s">
        <v>635</v>
      </c>
      <c r="L217" s="1" t="s">
        <v>636</v>
      </c>
      <c r="M217" s="1" t="s">
        <v>637</v>
      </c>
      <c r="N217" s="1" t="s">
        <v>30</v>
      </c>
      <c r="O217" s="1" t="s">
        <v>364</v>
      </c>
      <c r="P217" s="1">
        <v>30816960</v>
      </c>
      <c r="Q217" s="1" t="s">
        <v>366</v>
      </c>
      <c r="R217" s="1" t="s">
        <v>48</v>
      </c>
      <c r="S217" s="1" t="s">
        <v>638</v>
      </c>
      <c r="U217" s="1" t="s">
        <v>35</v>
      </c>
      <c r="V217" s="1" t="s">
        <v>639</v>
      </c>
      <c r="W217" s="1" t="str">
        <f>VLOOKUP(Table1[[#This Row],[Obergruppe ATC-Code]],Tabelle3!$A$2:$B$100,2)</f>
        <v>VITAMINE</v>
      </c>
      <c r="X217" s="1" t="str">
        <f xml:space="preserve"> LEFT(Table1[[#This Row],[Atc Code]],3)</f>
        <v>A11</v>
      </c>
    </row>
    <row r="218" spans="1:24" ht="14.4">
      <c r="A218" s="14">
        <v>2376</v>
      </c>
      <c r="B218" s="24" t="s">
        <v>640</v>
      </c>
      <c r="C218" s="1">
        <v>72844</v>
      </c>
      <c r="D218" s="1" t="s">
        <v>102</v>
      </c>
      <c r="E218" s="36">
        <v>44725</v>
      </c>
      <c r="F218" s="36">
        <v>45291</v>
      </c>
      <c r="G218" s="38">
        <f t="shared" si="3"/>
        <v>566</v>
      </c>
      <c r="H218" s="5">
        <v>44725</v>
      </c>
      <c r="I218" s="5">
        <v>45089</v>
      </c>
      <c r="J218" s="1" t="s">
        <v>41</v>
      </c>
      <c r="K218" s="1" t="s">
        <v>641</v>
      </c>
      <c r="L218" s="1" t="s">
        <v>642</v>
      </c>
      <c r="M218" s="1" t="s">
        <v>643</v>
      </c>
      <c r="N218" s="1" t="s">
        <v>30</v>
      </c>
      <c r="O218" s="1" t="s">
        <v>644</v>
      </c>
      <c r="P218" s="1" t="s">
        <v>645</v>
      </c>
      <c r="Q218" s="1" t="s">
        <v>646</v>
      </c>
      <c r="R218" s="1" t="s">
        <v>128</v>
      </c>
      <c r="S218" s="1" t="s">
        <v>647</v>
      </c>
      <c r="U218" s="1" t="s">
        <v>35</v>
      </c>
      <c r="V218" s="1" t="s">
        <v>648</v>
      </c>
      <c r="W218" s="1" t="str">
        <f>VLOOKUP(Table1[[#This Row],[Obergruppe ATC-Code]],Tabelle3!$A$2:$B$100,2)</f>
        <v>MINERALSTOFFE</v>
      </c>
      <c r="X218" s="1" t="str">
        <f xml:space="preserve"> LEFT(Table1[[#This Row],[Atc Code]],3)</f>
        <v>A12</v>
      </c>
    </row>
    <row r="219" spans="1:24" ht="14.4">
      <c r="A219" s="14">
        <v>1654</v>
      </c>
      <c r="B219" s="24" t="s">
        <v>649</v>
      </c>
      <c r="C219" s="1">
        <v>72873</v>
      </c>
      <c r="D219" s="1" t="s">
        <v>102</v>
      </c>
      <c r="E219" s="36">
        <v>44783</v>
      </c>
      <c r="F219" s="36">
        <v>45291</v>
      </c>
      <c r="G219" s="38">
        <f t="shared" si="3"/>
        <v>508</v>
      </c>
      <c r="H219" s="5">
        <v>44782</v>
      </c>
      <c r="I219" s="5">
        <v>45089</v>
      </c>
      <c r="J219" s="1" t="s">
        <v>41</v>
      </c>
      <c r="K219" s="1" t="s">
        <v>650</v>
      </c>
      <c r="L219" s="1" t="s">
        <v>642</v>
      </c>
      <c r="M219" s="1" t="s">
        <v>651</v>
      </c>
      <c r="N219" s="1" t="s">
        <v>30</v>
      </c>
      <c r="O219" s="1" t="s">
        <v>644</v>
      </c>
      <c r="P219" s="1" t="s">
        <v>645</v>
      </c>
      <c r="Q219" s="1" t="s">
        <v>646</v>
      </c>
      <c r="R219" s="1" t="s">
        <v>128</v>
      </c>
      <c r="S219" s="1" t="s">
        <v>647</v>
      </c>
      <c r="U219" s="1" t="s">
        <v>130</v>
      </c>
      <c r="V219" s="1" t="s">
        <v>652</v>
      </c>
      <c r="W219" s="1" t="str">
        <f>VLOOKUP(Table1[[#This Row],[Obergruppe ATC-Code]],Tabelle3!$A$2:$B$100,2)</f>
        <v>MINERALSTOFFE</v>
      </c>
      <c r="X219" s="1" t="str">
        <f xml:space="preserve"> LEFT(Table1[[#This Row],[Atc Code]],3)</f>
        <v>A12</v>
      </c>
    </row>
    <row r="220" spans="1:24" ht="14.4">
      <c r="A220" s="14">
        <v>2957</v>
      </c>
      <c r="B220" s="25" t="s">
        <v>653</v>
      </c>
      <c r="C220" s="1">
        <v>2105494</v>
      </c>
      <c r="D220" s="1" t="s">
        <v>25</v>
      </c>
      <c r="E220" s="36">
        <v>43647</v>
      </c>
      <c r="F220" s="36">
        <v>43738</v>
      </c>
      <c r="G220" s="38">
        <f t="shared" si="3"/>
        <v>91</v>
      </c>
      <c r="H220" s="5">
        <v>43663</v>
      </c>
      <c r="I220" s="5">
        <v>43738</v>
      </c>
      <c r="J220" s="1" t="s">
        <v>41</v>
      </c>
      <c r="K220" s="1" t="s">
        <v>654</v>
      </c>
      <c r="L220" s="1" t="s">
        <v>655</v>
      </c>
      <c r="M220" s="1" t="s">
        <v>656</v>
      </c>
      <c r="N220" s="1" t="s">
        <v>30</v>
      </c>
      <c r="O220" s="1" t="s">
        <v>657</v>
      </c>
      <c r="P220" s="1">
        <v>545196900</v>
      </c>
      <c r="Q220" s="1" t="s">
        <v>658</v>
      </c>
      <c r="R220" s="1" t="s">
        <v>26</v>
      </c>
      <c r="S220" s="1"/>
      <c r="U220" s="1" t="s">
        <v>35</v>
      </c>
      <c r="V220" s="1" t="s">
        <v>74</v>
      </c>
      <c r="W220" s="1" t="str">
        <f>VLOOKUP(Table1[[#This Row],[Obergruppe ATC-Code]],Tabelle3!$A$2:$B$100,2)</f>
        <v>ANDERE MITTEL FÜR DAS ALIMENTÄRE SYSTEM UND DEN STOFFWECHSEL</v>
      </c>
      <c r="X220" s="1" t="str">
        <f xml:space="preserve"> LEFT(Table1[[#This Row],[Atc Code]],3)</f>
        <v>A16</v>
      </c>
    </row>
    <row r="221" spans="1:24" ht="14.4">
      <c r="A221" s="14">
        <v>2093</v>
      </c>
      <c r="B221" s="24" t="s">
        <v>659</v>
      </c>
      <c r="C221" s="1">
        <v>2105495</v>
      </c>
      <c r="D221" s="1" t="s">
        <v>25</v>
      </c>
      <c r="E221" s="36">
        <v>43647</v>
      </c>
      <c r="F221" s="36">
        <v>43738</v>
      </c>
      <c r="G221" s="38">
        <f t="shared" si="3"/>
        <v>91</v>
      </c>
      <c r="H221" s="5">
        <v>43663</v>
      </c>
      <c r="I221" s="5">
        <v>43738</v>
      </c>
      <c r="J221" s="1" t="s">
        <v>41</v>
      </c>
      <c r="K221" s="1" t="s">
        <v>660</v>
      </c>
      <c r="L221" s="1" t="s">
        <v>655</v>
      </c>
      <c r="M221" s="1" t="s">
        <v>656</v>
      </c>
      <c r="N221" s="1" t="s">
        <v>38</v>
      </c>
      <c r="O221" s="1" t="s">
        <v>657</v>
      </c>
      <c r="P221" s="1">
        <v>545196900</v>
      </c>
      <c r="Q221" s="1" t="s">
        <v>658</v>
      </c>
      <c r="R221" s="1" t="s">
        <v>26</v>
      </c>
      <c r="S221" s="1"/>
      <c r="U221" s="1" t="s">
        <v>35</v>
      </c>
      <c r="V221" s="1" t="s">
        <v>225</v>
      </c>
      <c r="W221" s="1" t="str">
        <f>VLOOKUP(Table1[[#This Row],[Obergruppe ATC-Code]],Tabelle3!$A$2:$B$100,2)</f>
        <v>ANDERE MITTEL FÜR DAS ALIMENTÄRE SYSTEM UND DEN STOFFWECHSEL</v>
      </c>
      <c r="X221" s="1" t="str">
        <f xml:space="preserve"> LEFT(Table1[[#This Row],[Atc Code]],3)</f>
        <v>A16</v>
      </c>
    </row>
    <row r="222" spans="1:24" ht="14.4">
      <c r="A222" s="14">
        <v>525</v>
      </c>
      <c r="B222" s="24">
        <v>3303623</v>
      </c>
      <c r="C222" s="1">
        <v>140876</v>
      </c>
      <c r="D222" s="1" t="s">
        <v>25</v>
      </c>
      <c r="E222" s="36">
        <v>44287</v>
      </c>
      <c r="F222" s="36">
        <v>45838</v>
      </c>
      <c r="G222" s="38">
        <f t="shared" si="3"/>
        <v>1551</v>
      </c>
      <c r="H222" s="5">
        <v>44406</v>
      </c>
      <c r="I222" s="5">
        <v>44411</v>
      </c>
      <c r="J222" s="1" t="s">
        <v>41</v>
      </c>
      <c r="K222" s="1" t="s">
        <v>661</v>
      </c>
      <c r="L222" s="1" t="s">
        <v>662</v>
      </c>
      <c r="M222" s="1" t="s">
        <v>663</v>
      </c>
      <c r="N222" s="1" t="s">
        <v>30</v>
      </c>
      <c r="O222" s="1" t="s">
        <v>664</v>
      </c>
      <c r="P222" s="1" t="s">
        <v>665</v>
      </c>
      <c r="Q222" s="1" t="s">
        <v>666</v>
      </c>
      <c r="R222" s="1" t="s">
        <v>26</v>
      </c>
      <c r="S222" s="1" t="s">
        <v>667</v>
      </c>
      <c r="T222" s="1" t="s">
        <v>668</v>
      </c>
      <c r="U222" s="1" t="s">
        <v>35</v>
      </c>
      <c r="V222" s="1" t="s">
        <v>639</v>
      </c>
      <c r="W222" s="1" t="str">
        <f>VLOOKUP(Table1[[#This Row],[Obergruppe ATC-Code]],Tabelle3!$A$2:$B$100,2)</f>
        <v>ANDERE MITTEL FÜR DAS ALIMENTÄRE SYSTEM UND DEN STOFFWECHSEL</v>
      </c>
      <c r="X222" s="1" t="str">
        <f xml:space="preserve"> LEFT(Table1[[#This Row],[Atc Code]],3)</f>
        <v>A16</v>
      </c>
    </row>
    <row r="223" spans="1:24" ht="14.4">
      <c r="A223" s="14">
        <v>524</v>
      </c>
      <c r="B223" s="24">
        <v>3303617</v>
      </c>
      <c r="C223" s="1">
        <v>140847</v>
      </c>
      <c r="D223" s="1" t="s">
        <v>25</v>
      </c>
      <c r="E223" s="36">
        <v>44287</v>
      </c>
      <c r="F223" s="36">
        <v>45961</v>
      </c>
      <c r="G223" s="38">
        <f t="shared" si="3"/>
        <v>1674</v>
      </c>
      <c r="H223" s="5">
        <v>44406</v>
      </c>
      <c r="I223" s="5">
        <v>44438</v>
      </c>
      <c r="J223" s="1" t="s">
        <v>41</v>
      </c>
      <c r="K223" s="1" t="s">
        <v>669</v>
      </c>
      <c r="L223" s="1" t="s">
        <v>662</v>
      </c>
      <c r="M223" s="1" t="s">
        <v>663</v>
      </c>
      <c r="N223" s="1" t="s">
        <v>30</v>
      </c>
      <c r="O223" s="1" t="s">
        <v>664</v>
      </c>
      <c r="P223" s="1" t="s">
        <v>665</v>
      </c>
      <c r="Q223" s="1" t="s">
        <v>666</v>
      </c>
      <c r="R223" s="1" t="s">
        <v>26</v>
      </c>
      <c r="S223" s="1" t="s">
        <v>670</v>
      </c>
      <c r="T223" s="1" t="s">
        <v>671</v>
      </c>
      <c r="U223" s="1" t="s">
        <v>35</v>
      </c>
      <c r="V223" s="1" t="s">
        <v>639</v>
      </c>
      <c r="W223" s="1" t="str">
        <f>VLOOKUP(Table1[[#This Row],[Obergruppe ATC-Code]],Tabelle3!$A$2:$B$100,2)</f>
        <v>ANDERE MITTEL FÜR DAS ALIMENTÄRE SYSTEM UND DEN STOFFWECHSEL</v>
      </c>
      <c r="X223" s="1" t="str">
        <f xml:space="preserve"> LEFT(Table1[[#This Row],[Atc Code]],3)</f>
        <v>A16</v>
      </c>
    </row>
    <row r="224" spans="1:24" ht="14.4">
      <c r="A224" s="14">
        <v>1806</v>
      </c>
      <c r="B224" s="24" t="s">
        <v>672</v>
      </c>
      <c r="C224" s="1">
        <v>2700663</v>
      </c>
      <c r="D224" s="1" t="s">
        <v>25</v>
      </c>
      <c r="E224" s="36">
        <v>43586</v>
      </c>
      <c r="F224" s="36">
        <v>43738</v>
      </c>
      <c r="G224" s="38">
        <f t="shared" si="3"/>
        <v>152</v>
      </c>
      <c r="H224" s="5">
        <v>43600</v>
      </c>
      <c r="I224" s="5">
        <v>43725</v>
      </c>
      <c r="J224" s="1" t="s">
        <v>41</v>
      </c>
      <c r="K224" s="1" t="s">
        <v>673</v>
      </c>
      <c r="L224" s="1" t="s">
        <v>674</v>
      </c>
      <c r="M224" s="1" t="s">
        <v>675</v>
      </c>
      <c r="N224" s="1" t="s">
        <v>30</v>
      </c>
      <c r="O224" s="1" t="s">
        <v>676</v>
      </c>
      <c r="P224" s="1" t="s">
        <v>300</v>
      </c>
      <c r="Q224" s="1" t="s">
        <v>301</v>
      </c>
      <c r="R224" s="1" t="s">
        <v>26</v>
      </c>
      <c r="S224" s="1"/>
      <c r="U224" s="1" t="s">
        <v>35</v>
      </c>
      <c r="V224" s="1" t="s">
        <v>677</v>
      </c>
      <c r="W224" s="1" t="str">
        <f>VLOOKUP(Table1[[#This Row],[Obergruppe ATC-Code]],Tabelle3!$A$2:$B$100,2)</f>
        <v>ANDERE MITTEL FÜR DAS ALIMENTÄRE SYSTEM UND DEN STOFFWECHSEL</v>
      </c>
      <c r="X224" s="1" t="str">
        <f xml:space="preserve"> LEFT(Table1[[#This Row],[Atc Code]],3)</f>
        <v>A16</v>
      </c>
    </row>
    <row r="225" spans="1:24" ht="14.4">
      <c r="A225" s="14">
        <v>1804</v>
      </c>
      <c r="B225" s="24" t="s">
        <v>678</v>
      </c>
      <c r="C225" s="1">
        <v>2700661</v>
      </c>
      <c r="D225" s="1" t="s">
        <v>25</v>
      </c>
      <c r="E225" s="36">
        <v>43922</v>
      </c>
      <c r="F225" s="36">
        <v>43982</v>
      </c>
      <c r="G225" s="38">
        <f t="shared" si="3"/>
        <v>60</v>
      </c>
      <c r="H225" s="5">
        <v>43937</v>
      </c>
      <c r="I225" s="5">
        <v>43956</v>
      </c>
      <c r="J225" s="1" t="s">
        <v>41</v>
      </c>
      <c r="K225" s="1" t="s">
        <v>679</v>
      </c>
      <c r="L225" s="1" t="s">
        <v>674</v>
      </c>
      <c r="M225" s="1" t="s">
        <v>675</v>
      </c>
      <c r="N225" s="1" t="s">
        <v>38</v>
      </c>
      <c r="O225" s="1" t="s">
        <v>680</v>
      </c>
      <c r="P225" s="1" t="s">
        <v>681</v>
      </c>
      <c r="Q225" s="1" t="s">
        <v>682</v>
      </c>
      <c r="R225" s="1" t="s">
        <v>48</v>
      </c>
      <c r="S225" s="1"/>
      <c r="T225" s="1" t="s">
        <v>683</v>
      </c>
      <c r="U225" s="1" t="s">
        <v>35</v>
      </c>
      <c r="V225" s="1" t="s">
        <v>49</v>
      </c>
      <c r="W225" s="1" t="str">
        <f>VLOOKUP(Table1[[#This Row],[Obergruppe ATC-Code]],Tabelle3!$A$2:$B$100,2)</f>
        <v>ANDERE MITTEL FÜR DAS ALIMENTÄRE SYSTEM UND DEN STOFFWECHSEL</v>
      </c>
      <c r="X225" s="1" t="str">
        <f xml:space="preserve"> LEFT(Table1[[#This Row],[Atc Code]],3)</f>
        <v>A16</v>
      </c>
    </row>
    <row r="226" spans="1:24" ht="14.4">
      <c r="A226" s="14">
        <v>1803</v>
      </c>
      <c r="B226" s="24" t="s">
        <v>678</v>
      </c>
      <c r="C226" s="1">
        <v>2700661</v>
      </c>
      <c r="D226" s="1" t="s">
        <v>25</v>
      </c>
      <c r="E226" s="36">
        <v>44075</v>
      </c>
      <c r="F226" s="36">
        <v>44135</v>
      </c>
      <c r="G226" s="38">
        <f t="shared" si="3"/>
        <v>60</v>
      </c>
      <c r="H226" s="5">
        <v>44091</v>
      </c>
      <c r="I226" s="5">
        <v>44123</v>
      </c>
      <c r="J226" s="1" t="s">
        <v>26</v>
      </c>
      <c r="K226" s="1" t="s">
        <v>679</v>
      </c>
      <c r="L226" s="1" t="s">
        <v>674</v>
      </c>
      <c r="M226" s="1" t="s">
        <v>675</v>
      </c>
      <c r="N226" s="1" t="s">
        <v>38</v>
      </c>
      <c r="O226" s="1" t="s">
        <v>680</v>
      </c>
      <c r="P226" s="1" t="s">
        <v>681</v>
      </c>
      <c r="Q226" s="1" t="s">
        <v>682</v>
      </c>
      <c r="R226" s="1" t="s">
        <v>33</v>
      </c>
      <c r="S226" s="1"/>
      <c r="T226" s="1" t="s">
        <v>683</v>
      </c>
      <c r="U226" s="1" t="s">
        <v>35</v>
      </c>
      <c r="V226" s="1" t="s">
        <v>49</v>
      </c>
      <c r="W226" s="1" t="str">
        <f>VLOOKUP(Table1[[#This Row],[Obergruppe ATC-Code]],Tabelle3!$A$2:$B$100,2)</f>
        <v>ANDERE MITTEL FÜR DAS ALIMENTÄRE SYSTEM UND DEN STOFFWECHSEL</v>
      </c>
      <c r="X226" s="1" t="str">
        <f xml:space="preserve"> LEFT(Table1[[#This Row],[Atc Code]],3)</f>
        <v>A16</v>
      </c>
    </row>
    <row r="227" spans="1:24" ht="14.4">
      <c r="A227" s="14">
        <v>1805</v>
      </c>
      <c r="B227" s="24" t="s">
        <v>672</v>
      </c>
      <c r="C227" s="1">
        <v>2700663</v>
      </c>
      <c r="D227" s="1" t="s">
        <v>25</v>
      </c>
      <c r="E227" s="36">
        <v>44317</v>
      </c>
      <c r="F227" s="36">
        <v>44384</v>
      </c>
      <c r="G227" s="38">
        <f t="shared" si="3"/>
        <v>67</v>
      </c>
      <c r="H227" s="5">
        <v>44328</v>
      </c>
      <c r="I227" s="5">
        <v>44384</v>
      </c>
      <c r="J227" s="1" t="s">
        <v>41</v>
      </c>
      <c r="K227" s="1" t="s">
        <v>673</v>
      </c>
      <c r="L227" s="1" t="s">
        <v>674</v>
      </c>
      <c r="M227" s="1" t="s">
        <v>675</v>
      </c>
      <c r="N227" s="1" t="s">
        <v>30</v>
      </c>
      <c r="O227" s="1" t="s">
        <v>680</v>
      </c>
      <c r="P227" s="1" t="s">
        <v>684</v>
      </c>
      <c r="Q227" s="1" t="s">
        <v>685</v>
      </c>
      <c r="R227" s="1" t="s">
        <v>48</v>
      </c>
      <c r="S227" s="1"/>
      <c r="T227" s="1" t="s">
        <v>683</v>
      </c>
      <c r="U227" s="1" t="s">
        <v>35</v>
      </c>
      <c r="V227" s="1" t="s">
        <v>677</v>
      </c>
      <c r="W227" s="1" t="str">
        <f>VLOOKUP(Table1[[#This Row],[Obergruppe ATC-Code]],Tabelle3!$A$2:$B$100,2)</f>
        <v>ANDERE MITTEL FÜR DAS ALIMENTÄRE SYSTEM UND DEN STOFFWECHSEL</v>
      </c>
      <c r="X227" s="1" t="str">
        <f xml:space="preserve"> LEFT(Table1[[#This Row],[Atc Code]],3)</f>
        <v>A16</v>
      </c>
    </row>
    <row r="228" spans="1:24" ht="14.4">
      <c r="A228" s="14">
        <v>3037</v>
      </c>
      <c r="B228" s="1">
        <v>13348561</v>
      </c>
      <c r="C228" s="1">
        <v>2713929</v>
      </c>
      <c r="D228" s="1" t="s">
        <v>25</v>
      </c>
      <c r="E228" s="36">
        <v>43770</v>
      </c>
      <c r="F228" s="36">
        <v>43861</v>
      </c>
      <c r="G228" s="38">
        <f t="shared" si="3"/>
        <v>91</v>
      </c>
      <c r="H228" s="5">
        <v>43774</v>
      </c>
      <c r="I228" s="5">
        <v>43860</v>
      </c>
      <c r="J228" s="1" t="s">
        <v>41</v>
      </c>
      <c r="K228" s="1" t="s">
        <v>686</v>
      </c>
      <c r="L228" s="1" t="s">
        <v>687</v>
      </c>
      <c r="M228" s="1" t="s">
        <v>688</v>
      </c>
      <c r="N228" s="1" t="s">
        <v>30</v>
      </c>
      <c r="O228" s="1" t="s">
        <v>689</v>
      </c>
      <c r="P228" s="1" t="s">
        <v>690</v>
      </c>
      <c r="Q228" s="1" t="s">
        <v>691</v>
      </c>
      <c r="R228" s="1" t="s">
        <v>26</v>
      </c>
      <c r="S228" s="1"/>
      <c r="U228" s="1" t="s">
        <v>35</v>
      </c>
      <c r="V228" s="1" t="s">
        <v>324</v>
      </c>
      <c r="W228" s="1" t="str">
        <f>VLOOKUP(Table1[[#This Row],[Obergruppe ATC-Code]],Tabelle3!$A$2:$B$100,2)</f>
        <v>ANDERE MITTEL FÜR DAS ALIMENTÄRE SYSTEM UND DEN STOFFWECHSEL</v>
      </c>
      <c r="X228" s="1" t="str">
        <f xml:space="preserve"> LEFT(Table1[[#This Row],[Atc Code]],3)</f>
        <v>A16</v>
      </c>
    </row>
    <row r="229" spans="1:24" ht="14.4">
      <c r="A229" s="14">
        <v>2702</v>
      </c>
      <c r="B229" s="24" t="s">
        <v>692</v>
      </c>
      <c r="C229" s="1">
        <v>2130494</v>
      </c>
      <c r="D229" s="1" t="s">
        <v>25</v>
      </c>
      <c r="E229" s="36">
        <v>43891</v>
      </c>
      <c r="F229" s="36">
        <v>44043</v>
      </c>
      <c r="G229" s="38">
        <f t="shared" si="3"/>
        <v>152</v>
      </c>
      <c r="H229" s="5">
        <v>43908</v>
      </c>
      <c r="I229" s="5">
        <v>44061</v>
      </c>
      <c r="J229" s="1" t="s">
        <v>26</v>
      </c>
      <c r="K229" s="1" t="s">
        <v>693</v>
      </c>
      <c r="L229" s="1" t="s">
        <v>694</v>
      </c>
      <c r="M229" s="1" t="s">
        <v>695</v>
      </c>
      <c r="N229" s="1" t="s">
        <v>38</v>
      </c>
      <c r="O229" s="1" t="s">
        <v>117</v>
      </c>
      <c r="P229" s="1" t="s">
        <v>104</v>
      </c>
      <c r="Q229" s="1" t="s">
        <v>105</v>
      </c>
      <c r="R229" s="1" t="s">
        <v>33</v>
      </c>
      <c r="S229" s="1"/>
      <c r="U229" s="1" t="s">
        <v>35</v>
      </c>
      <c r="V229" s="1" t="s">
        <v>49</v>
      </c>
      <c r="W229" s="1" t="str">
        <f>VLOOKUP(Table1[[#This Row],[Obergruppe ATC-Code]],Tabelle3!$A$2:$B$100,2)</f>
        <v>ANTITHROMBOTISCHE MITTEL</v>
      </c>
      <c r="X229" s="1" t="str">
        <f xml:space="preserve"> LEFT(Table1[[#This Row],[Atc Code]],3)</f>
        <v>B01</v>
      </c>
    </row>
    <row r="230" spans="1:24" ht="14.4">
      <c r="A230" s="14">
        <v>2964</v>
      </c>
      <c r="B230" s="24" t="s">
        <v>696</v>
      </c>
      <c r="C230" s="1">
        <v>894724</v>
      </c>
      <c r="D230" s="1" t="s">
        <v>25</v>
      </c>
      <c r="E230" s="36">
        <v>43891</v>
      </c>
      <c r="F230" s="36">
        <v>44043</v>
      </c>
      <c r="G230" s="38">
        <f t="shared" si="3"/>
        <v>152</v>
      </c>
      <c r="H230" s="5">
        <v>43908</v>
      </c>
      <c r="I230" s="5">
        <v>44061</v>
      </c>
      <c r="J230" s="1" t="s">
        <v>26</v>
      </c>
      <c r="K230" s="1" t="s">
        <v>697</v>
      </c>
      <c r="L230" s="1" t="s">
        <v>698</v>
      </c>
      <c r="M230" s="1" t="s">
        <v>695</v>
      </c>
      <c r="N230" s="1" t="s">
        <v>30</v>
      </c>
      <c r="O230" s="1" t="s">
        <v>45</v>
      </c>
      <c r="P230" s="1" t="s">
        <v>104</v>
      </c>
      <c r="Q230" s="1" t="s">
        <v>105</v>
      </c>
      <c r="R230" s="1" t="s">
        <v>33</v>
      </c>
      <c r="S230" s="1"/>
      <c r="U230" s="1" t="s">
        <v>35</v>
      </c>
      <c r="V230" s="1" t="s">
        <v>49</v>
      </c>
      <c r="W230" s="1" t="str">
        <f>VLOOKUP(Table1[[#This Row],[Obergruppe ATC-Code]],Tabelle3!$A$2:$B$100,2)</f>
        <v>ANTITHROMBOTISCHE MITTEL</v>
      </c>
      <c r="X230" s="1" t="str">
        <f xml:space="preserve"> LEFT(Table1[[#This Row],[Atc Code]],3)</f>
        <v>B01</v>
      </c>
    </row>
    <row r="231" spans="1:24" ht="14.4">
      <c r="A231" s="14">
        <v>1179</v>
      </c>
      <c r="B231" s="24">
        <v>10269542</v>
      </c>
      <c r="C231" s="1">
        <v>2181074</v>
      </c>
      <c r="D231" s="1" t="s">
        <v>25</v>
      </c>
      <c r="E231" s="36">
        <v>45071</v>
      </c>
      <c r="F231" s="36">
        <v>45093</v>
      </c>
      <c r="G231" s="38">
        <f t="shared" si="3"/>
        <v>22</v>
      </c>
      <c r="H231" s="5">
        <v>45077</v>
      </c>
      <c r="I231" s="5">
        <v>45099</v>
      </c>
      <c r="J231" s="1" t="s">
        <v>26</v>
      </c>
      <c r="K231" s="1" t="s">
        <v>699</v>
      </c>
      <c r="L231" s="1" t="s">
        <v>698</v>
      </c>
      <c r="M231" s="1" t="s">
        <v>695</v>
      </c>
      <c r="N231" s="1" t="s">
        <v>38</v>
      </c>
      <c r="O231" s="1" t="s">
        <v>78</v>
      </c>
      <c r="P231" s="1">
        <v>8944232460</v>
      </c>
      <c r="Q231" s="1" t="s">
        <v>86</v>
      </c>
      <c r="R231" s="1" t="s">
        <v>33</v>
      </c>
      <c r="S231" s="1"/>
      <c r="U231" s="1" t="s">
        <v>35</v>
      </c>
      <c r="V231" s="1" t="s">
        <v>49</v>
      </c>
      <c r="W231" s="1" t="str">
        <f>VLOOKUP(Table1[[#This Row],[Obergruppe ATC-Code]],Tabelle3!$A$2:$B$100,2)</f>
        <v>ANTITHROMBOTISCHE MITTEL</v>
      </c>
      <c r="X231" s="1" t="str">
        <f xml:space="preserve"> LEFT(Table1[[#This Row],[Atc Code]],3)</f>
        <v>B01</v>
      </c>
    </row>
    <row r="232" spans="1:24" ht="14.4">
      <c r="A232" s="14">
        <v>2004</v>
      </c>
      <c r="B232" s="24" t="s">
        <v>700</v>
      </c>
      <c r="C232" s="1">
        <v>2105396</v>
      </c>
      <c r="D232" s="1" t="s">
        <v>25</v>
      </c>
      <c r="E232" s="36">
        <v>43070</v>
      </c>
      <c r="F232" s="36">
        <v>43159</v>
      </c>
      <c r="G232" s="38">
        <f t="shared" si="3"/>
        <v>89</v>
      </c>
      <c r="H232" s="5">
        <v>43052</v>
      </c>
      <c r="I232" s="5">
        <v>43116</v>
      </c>
      <c r="J232" s="1" t="s">
        <v>41</v>
      </c>
      <c r="K232" s="1" t="s">
        <v>701</v>
      </c>
      <c r="L232" s="1" t="s">
        <v>702</v>
      </c>
      <c r="M232" s="1" t="s">
        <v>703</v>
      </c>
      <c r="N232" s="1" t="s">
        <v>30</v>
      </c>
      <c r="O232" s="1" t="s">
        <v>45</v>
      </c>
      <c r="P232" s="1" t="s">
        <v>704</v>
      </c>
      <c r="Q232" s="1" t="s">
        <v>47</v>
      </c>
      <c r="R232" s="1" t="s">
        <v>65</v>
      </c>
      <c r="S232" s="1"/>
      <c r="U232" s="1" t="s">
        <v>57</v>
      </c>
      <c r="V232" s="1" t="s">
        <v>74</v>
      </c>
      <c r="W232" s="1" t="str">
        <f>VLOOKUP(Table1[[#This Row],[Obergruppe ATC-Code]],Tabelle3!$A$2:$B$100,2)</f>
        <v>ANTITHROMBOTISCHE MITTEL</v>
      </c>
      <c r="X232" s="1" t="str">
        <f xml:space="preserve"> LEFT(Table1[[#This Row],[Atc Code]],3)</f>
        <v>B01</v>
      </c>
    </row>
    <row r="233" spans="1:24" ht="14.4">
      <c r="A233" s="14">
        <v>1572</v>
      </c>
      <c r="B233" s="24">
        <v>16910193</v>
      </c>
      <c r="C233" s="1">
        <v>2105394</v>
      </c>
      <c r="D233" s="1" t="s">
        <v>25</v>
      </c>
      <c r="E233" s="36">
        <v>42979</v>
      </c>
      <c r="F233" s="36">
        <v>43220</v>
      </c>
      <c r="G233" s="38">
        <f t="shared" si="3"/>
        <v>241</v>
      </c>
      <c r="H233" s="5">
        <v>42993</v>
      </c>
      <c r="I233" s="5">
        <v>43182</v>
      </c>
      <c r="J233" s="1" t="s">
        <v>41</v>
      </c>
      <c r="K233" s="1" t="s">
        <v>705</v>
      </c>
      <c r="L233" s="1" t="s">
        <v>702</v>
      </c>
      <c r="M233" s="1" t="s">
        <v>703</v>
      </c>
      <c r="N233" s="1" t="s">
        <v>30</v>
      </c>
      <c r="O233" s="1" t="s">
        <v>45</v>
      </c>
      <c r="P233" s="1" t="s">
        <v>55</v>
      </c>
      <c r="Q233" s="1" t="s">
        <v>47</v>
      </c>
      <c r="R233" s="1" t="s">
        <v>48</v>
      </c>
      <c r="S233" s="1"/>
      <c r="T233" s="1" t="s">
        <v>706</v>
      </c>
      <c r="U233" s="1" t="s">
        <v>57</v>
      </c>
      <c r="V233" s="1" t="s">
        <v>74</v>
      </c>
      <c r="W233" s="1" t="str">
        <f>VLOOKUP(Table1[[#This Row],[Obergruppe ATC-Code]],Tabelle3!$A$2:$B$100,2)</f>
        <v>ANTITHROMBOTISCHE MITTEL</v>
      </c>
      <c r="X233" s="1" t="str">
        <f xml:space="preserve"> LEFT(Table1[[#This Row],[Atc Code]],3)</f>
        <v>B01</v>
      </c>
    </row>
    <row r="234" spans="1:24" ht="14.4">
      <c r="A234" s="14">
        <v>1730</v>
      </c>
      <c r="B234" s="24" t="s">
        <v>707</v>
      </c>
      <c r="C234" s="1">
        <v>2107347</v>
      </c>
      <c r="D234" s="1" t="s">
        <v>25</v>
      </c>
      <c r="E234" s="36">
        <v>43132</v>
      </c>
      <c r="F234" s="36">
        <v>43251</v>
      </c>
      <c r="G234" s="38">
        <f t="shared" si="3"/>
        <v>119</v>
      </c>
      <c r="H234" s="5">
        <v>43151</v>
      </c>
      <c r="I234" s="5">
        <v>43263</v>
      </c>
      <c r="J234" s="1" t="s">
        <v>26</v>
      </c>
      <c r="K234" s="1" t="s">
        <v>708</v>
      </c>
      <c r="L234" s="1" t="s">
        <v>702</v>
      </c>
      <c r="M234" s="1" t="s">
        <v>703</v>
      </c>
      <c r="N234" s="1" t="s">
        <v>30</v>
      </c>
      <c r="O234" s="1" t="s">
        <v>213</v>
      </c>
      <c r="P234" s="1" t="s">
        <v>709</v>
      </c>
      <c r="Q234" s="1" t="s">
        <v>215</v>
      </c>
      <c r="R234" s="1" t="s">
        <v>33</v>
      </c>
      <c r="S234" s="1"/>
      <c r="U234" s="1" t="s">
        <v>57</v>
      </c>
      <c r="V234" s="1" t="s">
        <v>74</v>
      </c>
      <c r="W234" s="1" t="str">
        <f>VLOOKUP(Table1[[#This Row],[Obergruppe ATC-Code]],Tabelle3!$A$2:$B$100,2)</f>
        <v>ANTITHROMBOTISCHE MITTEL</v>
      </c>
      <c r="X234" s="1" t="str">
        <f xml:space="preserve"> LEFT(Table1[[#This Row],[Atc Code]],3)</f>
        <v>B01</v>
      </c>
    </row>
    <row r="235" spans="1:24" ht="14.4">
      <c r="A235" s="14">
        <v>1571</v>
      </c>
      <c r="B235" s="24">
        <v>16910193</v>
      </c>
      <c r="C235" s="1">
        <v>2105394</v>
      </c>
      <c r="D235" s="1" t="s">
        <v>25</v>
      </c>
      <c r="E235" s="36">
        <v>44572</v>
      </c>
      <c r="F235" s="36">
        <v>44760</v>
      </c>
      <c r="G235" s="38">
        <f t="shared" si="3"/>
        <v>188</v>
      </c>
      <c r="H235" s="5">
        <v>44572</v>
      </c>
      <c r="I235" s="5">
        <v>44760</v>
      </c>
      <c r="J235" s="1" t="s">
        <v>41</v>
      </c>
      <c r="K235" s="1" t="s">
        <v>705</v>
      </c>
      <c r="L235" s="1" t="s">
        <v>702</v>
      </c>
      <c r="M235" s="1" t="s">
        <v>710</v>
      </c>
      <c r="N235" s="1" t="s">
        <v>30</v>
      </c>
      <c r="O235" s="1" t="s">
        <v>45</v>
      </c>
      <c r="P235" s="1" t="s">
        <v>71</v>
      </c>
      <c r="Q235" s="1" t="s">
        <v>56</v>
      </c>
      <c r="R235" s="1" t="s">
        <v>128</v>
      </c>
      <c r="S235" s="1"/>
      <c r="T235" s="1" t="s">
        <v>711</v>
      </c>
      <c r="U235" s="1" t="s">
        <v>35</v>
      </c>
      <c r="V235" s="1" t="s">
        <v>74</v>
      </c>
      <c r="W235" s="1" t="str">
        <f>VLOOKUP(Table1[[#This Row],[Obergruppe ATC-Code]],Tabelle3!$A$2:$B$100,2)</f>
        <v>ANTITHROMBOTISCHE MITTEL</v>
      </c>
      <c r="X235" s="1" t="str">
        <f xml:space="preserve"> LEFT(Table1[[#This Row],[Atc Code]],3)</f>
        <v>B01</v>
      </c>
    </row>
    <row r="236" spans="1:24" ht="14.4">
      <c r="A236" s="14">
        <v>2999</v>
      </c>
      <c r="B236" s="24" t="s">
        <v>712</v>
      </c>
      <c r="C236" s="1">
        <v>913663</v>
      </c>
      <c r="D236" s="1" t="s">
        <v>25</v>
      </c>
      <c r="E236" s="36">
        <v>43070</v>
      </c>
      <c r="F236" s="36">
        <v>43159</v>
      </c>
      <c r="G236" s="38">
        <f t="shared" si="3"/>
        <v>89</v>
      </c>
      <c r="H236" s="5">
        <v>43052</v>
      </c>
      <c r="I236" s="5">
        <v>43165</v>
      </c>
      <c r="J236" s="1" t="s">
        <v>41</v>
      </c>
      <c r="K236" s="1" t="s">
        <v>713</v>
      </c>
      <c r="L236" s="1" t="s">
        <v>714</v>
      </c>
      <c r="M236" s="1" t="s">
        <v>703</v>
      </c>
      <c r="N236" s="1" t="s">
        <v>30</v>
      </c>
      <c r="O236" s="1" t="s">
        <v>45</v>
      </c>
      <c r="P236" s="1" t="s">
        <v>704</v>
      </c>
      <c r="Q236" s="1" t="s">
        <v>47</v>
      </c>
      <c r="R236" s="1" t="s">
        <v>65</v>
      </c>
      <c r="S236" s="1"/>
      <c r="U236" s="1" t="s">
        <v>35</v>
      </c>
      <c r="V236" s="1" t="s">
        <v>652</v>
      </c>
      <c r="W236" s="1" t="str">
        <f>VLOOKUP(Table1[[#This Row],[Obergruppe ATC-Code]],Tabelle3!$A$2:$B$100,2)</f>
        <v>ANTITHROMBOTISCHE MITTEL</v>
      </c>
      <c r="X236" s="1" t="str">
        <f xml:space="preserve"> LEFT(Table1[[#This Row],[Atc Code]],3)</f>
        <v>B01</v>
      </c>
    </row>
    <row r="237" spans="1:24" ht="14.4">
      <c r="A237" s="14">
        <v>1574</v>
      </c>
      <c r="B237" s="24">
        <v>16910224</v>
      </c>
      <c r="C237" s="1">
        <v>144638</v>
      </c>
      <c r="D237" s="1" t="s">
        <v>25</v>
      </c>
      <c r="E237" s="36">
        <v>42979</v>
      </c>
      <c r="F237" s="36">
        <v>43220</v>
      </c>
      <c r="G237" s="38">
        <f t="shared" si="3"/>
        <v>241</v>
      </c>
      <c r="H237" s="5">
        <v>42993</v>
      </c>
      <c r="I237" s="5">
        <v>43182</v>
      </c>
      <c r="J237" s="1" t="s">
        <v>41</v>
      </c>
      <c r="K237" s="1" t="s">
        <v>715</v>
      </c>
      <c r="L237" s="1" t="s">
        <v>714</v>
      </c>
      <c r="M237" s="1" t="s">
        <v>703</v>
      </c>
      <c r="N237" s="1" t="s">
        <v>30</v>
      </c>
      <c r="O237" s="1" t="s">
        <v>45</v>
      </c>
      <c r="P237" s="1" t="s">
        <v>55</v>
      </c>
      <c r="Q237" s="1" t="s">
        <v>47</v>
      </c>
      <c r="R237" s="1" t="s">
        <v>48</v>
      </c>
      <c r="S237" s="1"/>
      <c r="T237" s="1" t="s">
        <v>706</v>
      </c>
      <c r="U237" s="1" t="s">
        <v>57</v>
      </c>
      <c r="V237" s="1" t="s">
        <v>74</v>
      </c>
      <c r="W237" s="1" t="str">
        <f>VLOOKUP(Table1[[#This Row],[Obergruppe ATC-Code]],Tabelle3!$A$2:$B$100,2)</f>
        <v>ANTITHROMBOTISCHE MITTEL</v>
      </c>
      <c r="X237" s="1" t="str">
        <f xml:space="preserve"> LEFT(Table1[[#This Row],[Atc Code]],3)</f>
        <v>B01</v>
      </c>
    </row>
    <row r="238" spans="1:24" ht="14.4">
      <c r="A238" s="14">
        <v>2855</v>
      </c>
      <c r="B238" s="24" t="s">
        <v>716</v>
      </c>
      <c r="C238" s="1">
        <v>391377</v>
      </c>
      <c r="D238" s="1" t="s">
        <v>25</v>
      </c>
      <c r="E238" s="36">
        <v>43405</v>
      </c>
      <c r="F238" s="36">
        <v>43585</v>
      </c>
      <c r="G238" s="38">
        <f t="shared" si="3"/>
        <v>180</v>
      </c>
      <c r="H238" s="5">
        <v>43427</v>
      </c>
      <c r="I238" s="5">
        <v>43588</v>
      </c>
      <c r="J238" s="1" t="s">
        <v>41</v>
      </c>
      <c r="K238" s="1" t="s">
        <v>717</v>
      </c>
      <c r="L238" s="1" t="s">
        <v>714</v>
      </c>
      <c r="M238" s="1" t="s">
        <v>703</v>
      </c>
      <c r="N238" s="1" t="s">
        <v>30</v>
      </c>
      <c r="O238" s="1" t="s">
        <v>718</v>
      </c>
      <c r="P238" s="1" t="s">
        <v>719</v>
      </c>
      <c r="Q238" s="1" t="s">
        <v>720</v>
      </c>
      <c r="R238" s="1" t="s">
        <v>165</v>
      </c>
      <c r="S238" s="1"/>
      <c r="T238" s="1" t="s">
        <v>711</v>
      </c>
      <c r="U238" s="1" t="s">
        <v>57</v>
      </c>
      <c r="V238" s="1" t="s">
        <v>74</v>
      </c>
      <c r="W238" s="1" t="str">
        <f>VLOOKUP(Table1[[#This Row],[Obergruppe ATC-Code]],Tabelle3!$A$2:$B$100,2)</f>
        <v>ANTITHROMBOTISCHE MITTEL</v>
      </c>
      <c r="X238" s="1" t="str">
        <f xml:space="preserve"> LEFT(Table1[[#This Row],[Atc Code]],3)</f>
        <v>B01</v>
      </c>
    </row>
    <row r="239" spans="1:24" ht="14.4">
      <c r="A239" s="14">
        <v>1573</v>
      </c>
      <c r="B239" s="24">
        <v>16910224</v>
      </c>
      <c r="C239" s="1">
        <v>144638</v>
      </c>
      <c r="D239" s="1" t="s">
        <v>25</v>
      </c>
      <c r="E239" s="36">
        <v>44607</v>
      </c>
      <c r="F239" s="36">
        <v>44704</v>
      </c>
      <c r="G239" s="38">
        <f t="shared" si="3"/>
        <v>97</v>
      </c>
      <c r="H239" s="5">
        <v>44572</v>
      </c>
      <c r="I239" s="5">
        <v>44704</v>
      </c>
      <c r="J239" s="1" t="s">
        <v>41</v>
      </c>
      <c r="K239" s="1" t="s">
        <v>715</v>
      </c>
      <c r="L239" s="1" t="s">
        <v>714</v>
      </c>
      <c r="M239" s="1" t="s">
        <v>710</v>
      </c>
      <c r="N239" s="1" t="s">
        <v>30</v>
      </c>
      <c r="O239" s="1" t="s">
        <v>45</v>
      </c>
      <c r="P239" s="1" t="s">
        <v>71</v>
      </c>
      <c r="Q239" s="1" t="s">
        <v>56</v>
      </c>
      <c r="R239" s="1" t="s">
        <v>128</v>
      </c>
      <c r="S239" s="1"/>
      <c r="T239" s="1" t="s">
        <v>711</v>
      </c>
      <c r="U239" s="1" t="s">
        <v>35</v>
      </c>
      <c r="V239" s="1" t="s">
        <v>74</v>
      </c>
      <c r="W239" s="1" t="str">
        <f>VLOOKUP(Table1[[#This Row],[Obergruppe ATC-Code]],Tabelle3!$A$2:$B$100,2)</f>
        <v>ANTITHROMBOTISCHE MITTEL</v>
      </c>
      <c r="X239" s="1" t="str">
        <f xml:space="preserve"> LEFT(Table1[[#This Row],[Atc Code]],3)</f>
        <v>B01</v>
      </c>
    </row>
    <row r="240" spans="1:24" ht="14.4">
      <c r="A240" s="14">
        <v>1649</v>
      </c>
      <c r="B240" s="24" t="s">
        <v>721</v>
      </c>
      <c r="C240" s="1" t="s">
        <v>722</v>
      </c>
      <c r="D240" s="1" t="s">
        <v>25</v>
      </c>
      <c r="E240" s="36">
        <v>44558</v>
      </c>
      <c r="F240" s="36">
        <v>44580</v>
      </c>
      <c r="G240" s="38">
        <f t="shared" si="3"/>
        <v>22</v>
      </c>
      <c r="H240" s="5">
        <v>44568</v>
      </c>
      <c r="I240" s="5">
        <v>44611</v>
      </c>
      <c r="J240" s="1" t="s">
        <v>41</v>
      </c>
      <c r="K240" s="1" t="s">
        <v>723</v>
      </c>
      <c r="L240" s="1" t="s">
        <v>724</v>
      </c>
      <c r="M240" s="1" t="s">
        <v>725</v>
      </c>
      <c r="N240" s="1" t="s">
        <v>30</v>
      </c>
      <c r="O240" s="1" t="s">
        <v>448</v>
      </c>
      <c r="P240" s="1">
        <v>8005252010</v>
      </c>
      <c r="Q240" s="1" t="s">
        <v>64</v>
      </c>
      <c r="R240" s="1" t="s">
        <v>128</v>
      </c>
      <c r="S240" s="1" t="s">
        <v>726</v>
      </c>
      <c r="U240" s="1" t="s">
        <v>130</v>
      </c>
      <c r="V240" s="1" t="s">
        <v>99</v>
      </c>
      <c r="W240" s="1" t="str">
        <f>VLOOKUP(Table1[[#This Row],[Obergruppe ATC-Code]],Tabelle3!$A$2:$B$100,2)</f>
        <v>ANTITHROMBOTISCHE MITTEL</v>
      </c>
      <c r="X240" s="1" t="str">
        <f xml:space="preserve"> LEFT(Table1[[#This Row],[Atc Code]],3)</f>
        <v>B01</v>
      </c>
    </row>
    <row r="241" spans="1:24" ht="14.4">
      <c r="A241" s="14">
        <v>222</v>
      </c>
      <c r="B241" s="24">
        <v>1236905</v>
      </c>
      <c r="C241" s="1">
        <v>2704620</v>
      </c>
      <c r="D241" s="1" t="s">
        <v>25</v>
      </c>
      <c r="E241" s="36">
        <v>44658</v>
      </c>
      <c r="F241" s="36">
        <v>44678</v>
      </c>
      <c r="G241" s="38">
        <f t="shared" si="3"/>
        <v>20</v>
      </c>
      <c r="H241" s="5">
        <v>44664</v>
      </c>
      <c r="I241" s="5">
        <v>44678</v>
      </c>
      <c r="J241" s="1" t="s">
        <v>26</v>
      </c>
      <c r="K241" s="1" t="s">
        <v>727</v>
      </c>
      <c r="L241" s="1" t="s">
        <v>724</v>
      </c>
      <c r="M241" s="1" t="s">
        <v>725</v>
      </c>
      <c r="N241" s="1" t="s">
        <v>30</v>
      </c>
      <c r="O241" s="1" t="s">
        <v>448</v>
      </c>
      <c r="P241" s="1" t="s">
        <v>63</v>
      </c>
      <c r="Q241" s="1" t="s">
        <v>64</v>
      </c>
      <c r="R241" s="1" t="s">
        <v>26</v>
      </c>
      <c r="S241" s="1" t="s">
        <v>728</v>
      </c>
      <c r="U241" s="1" t="s">
        <v>130</v>
      </c>
      <c r="V241" s="1" t="s">
        <v>99</v>
      </c>
      <c r="W241" s="1" t="str">
        <f>VLOOKUP(Table1[[#This Row],[Obergruppe ATC-Code]],Tabelle3!$A$2:$B$100,2)</f>
        <v>ANTITHROMBOTISCHE MITTEL</v>
      </c>
      <c r="X241" s="1" t="str">
        <f xml:space="preserve"> LEFT(Table1[[#This Row],[Atc Code]],3)</f>
        <v>B01</v>
      </c>
    </row>
    <row r="242" spans="1:24" ht="14.4">
      <c r="A242" s="14">
        <v>1198</v>
      </c>
      <c r="B242" s="24">
        <v>10946333</v>
      </c>
      <c r="C242" s="1">
        <v>2169755</v>
      </c>
      <c r="D242" s="1" t="s">
        <v>25</v>
      </c>
      <c r="E242" s="36">
        <v>44657</v>
      </c>
      <c r="F242" s="36">
        <v>45075</v>
      </c>
      <c r="G242" s="38">
        <f t="shared" si="3"/>
        <v>418</v>
      </c>
      <c r="H242" s="5">
        <v>45043</v>
      </c>
      <c r="I242" s="5">
        <v>45098</v>
      </c>
      <c r="J242" s="1" t="s">
        <v>26</v>
      </c>
      <c r="K242" s="1" t="s">
        <v>729</v>
      </c>
      <c r="L242" s="1" t="s">
        <v>724</v>
      </c>
      <c r="M242" s="1" t="s">
        <v>730</v>
      </c>
      <c r="N242" s="1" t="s">
        <v>38</v>
      </c>
      <c r="O242" s="1" t="s">
        <v>45</v>
      </c>
      <c r="Q242" s="1" t="s">
        <v>731</v>
      </c>
      <c r="R242" s="1" t="s">
        <v>732</v>
      </c>
      <c r="S242" s="1"/>
      <c r="U242" s="1" t="s">
        <v>130</v>
      </c>
      <c r="V242" s="1" t="s">
        <v>99</v>
      </c>
      <c r="W242" s="1" t="str">
        <f>VLOOKUP(Table1[[#This Row],[Obergruppe ATC-Code]],Tabelle3!$A$2:$B$100,2)</f>
        <v>ANTITHROMBOTISCHE MITTEL</v>
      </c>
      <c r="X242" s="1" t="str">
        <f xml:space="preserve"> LEFT(Table1[[#This Row],[Atc Code]],3)</f>
        <v>B01</v>
      </c>
    </row>
    <row r="243" spans="1:24" ht="15" customHeight="1">
      <c r="A243" s="14">
        <v>8</v>
      </c>
      <c r="B243" s="24">
        <v>51055</v>
      </c>
      <c r="C243" s="1">
        <v>2700388</v>
      </c>
      <c r="D243" s="1" t="s">
        <v>25</v>
      </c>
      <c r="E243" s="36">
        <v>45141</v>
      </c>
      <c r="F243" s="36">
        <v>45188</v>
      </c>
      <c r="G243" s="38">
        <f t="shared" si="3"/>
        <v>47</v>
      </c>
      <c r="H243" s="5">
        <v>45142</v>
      </c>
      <c r="I243" s="5">
        <v>45195</v>
      </c>
      <c r="J243" s="1" t="s">
        <v>26</v>
      </c>
      <c r="K243" s="1" t="s">
        <v>723</v>
      </c>
      <c r="L243" s="1" t="s">
        <v>724</v>
      </c>
      <c r="M243" s="1" t="s">
        <v>725</v>
      </c>
      <c r="N243" s="1" t="s">
        <v>30</v>
      </c>
      <c r="O243" s="1" t="s">
        <v>448</v>
      </c>
      <c r="P243" s="1" t="s">
        <v>733</v>
      </c>
      <c r="Q243" s="1" t="s">
        <v>64</v>
      </c>
      <c r="R243" s="1" t="s">
        <v>142</v>
      </c>
      <c r="S243" s="1" t="s">
        <v>734</v>
      </c>
      <c r="U243" s="1" t="s">
        <v>130</v>
      </c>
      <c r="V243" s="1" t="s">
        <v>99</v>
      </c>
      <c r="W243" s="1" t="str">
        <f>VLOOKUP(Table1[[#This Row],[Obergruppe ATC-Code]],Tabelle3!$A$2:$B$100,2)</f>
        <v>ANTITHROMBOTISCHE MITTEL</v>
      </c>
      <c r="X243" s="1" t="str">
        <f xml:space="preserve"> LEFT(Table1[[#This Row],[Atc Code]],3)</f>
        <v>B01</v>
      </c>
    </row>
    <row r="244" spans="1:24" ht="14.4">
      <c r="A244" s="14">
        <v>976</v>
      </c>
      <c r="B244" s="24">
        <v>7781928</v>
      </c>
      <c r="C244" s="1">
        <v>2176350</v>
      </c>
      <c r="D244" s="1" t="s">
        <v>25</v>
      </c>
      <c r="E244" s="36">
        <v>44287</v>
      </c>
      <c r="F244" s="36">
        <v>44347</v>
      </c>
      <c r="G244" s="38">
        <f t="shared" si="3"/>
        <v>60</v>
      </c>
      <c r="H244" s="5">
        <v>44015</v>
      </c>
      <c r="I244" s="5">
        <v>44337</v>
      </c>
      <c r="J244" s="1" t="s">
        <v>41</v>
      </c>
      <c r="K244" s="1" t="s">
        <v>735</v>
      </c>
      <c r="L244" s="1" t="s">
        <v>736</v>
      </c>
      <c r="M244" s="1" t="s">
        <v>737</v>
      </c>
      <c r="N244" s="1" t="s">
        <v>30</v>
      </c>
      <c r="O244" s="1" t="s">
        <v>738</v>
      </c>
      <c r="P244" s="1" t="s">
        <v>719</v>
      </c>
      <c r="Q244" s="1" t="s">
        <v>739</v>
      </c>
      <c r="R244" s="1" t="s">
        <v>26</v>
      </c>
      <c r="S244" s="1"/>
      <c r="U244" s="1" t="s">
        <v>35</v>
      </c>
      <c r="V244" s="1" t="s">
        <v>740</v>
      </c>
      <c r="W244" s="1" t="str">
        <f>VLOOKUP(Table1[[#This Row],[Obergruppe ATC-Code]],Tabelle3!$A$2:$B$100,2)</f>
        <v>ANTITHROMBOTISCHE MITTEL</v>
      </c>
      <c r="X244" s="1" t="str">
        <f xml:space="preserve"> LEFT(Table1[[#This Row],[Atc Code]],3)</f>
        <v>B01</v>
      </c>
    </row>
    <row r="245" spans="1:24" ht="14.4">
      <c r="A245" s="14">
        <v>2703</v>
      </c>
      <c r="B245" s="24" t="s">
        <v>741</v>
      </c>
      <c r="C245" s="1">
        <v>2197089</v>
      </c>
      <c r="D245" s="1" t="s">
        <v>25</v>
      </c>
      <c r="E245" s="36">
        <v>44348</v>
      </c>
      <c r="F245" s="36">
        <v>44398</v>
      </c>
      <c r="G245" s="38">
        <f t="shared" si="3"/>
        <v>50</v>
      </c>
      <c r="H245" s="5">
        <v>44334</v>
      </c>
      <c r="I245" s="5">
        <v>44398</v>
      </c>
      <c r="J245" s="1" t="s">
        <v>41</v>
      </c>
      <c r="K245" s="1" t="s">
        <v>742</v>
      </c>
      <c r="L245" s="1" t="s">
        <v>736</v>
      </c>
      <c r="M245" s="1" t="s">
        <v>737</v>
      </c>
      <c r="N245" s="1" t="s">
        <v>30</v>
      </c>
      <c r="O245" s="1" t="s">
        <v>743</v>
      </c>
      <c r="P245" s="1" t="s">
        <v>744</v>
      </c>
      <c r="Q245" s="1" t="s">
        <v>745</v>
      </c>
      <c r="R245" s="1" t="s">
        <v>48</v>
      </c>
      <c r="S245" s="1"/>
      <c r="U245" s="1" t="s">
        <v>35</v>
      </c>
      <c r="V245" s="1" t="s">
        <v>154</v>
      </c>
      <c r="W245" s="1" t="str">
        <f>VLOOKUP(Table1[[#This Row],[Obergruppe ATC-Code]],Tabelle3!$A$2:$B$100,2)</f>
        <v>ANTITHROMBOTISCHE MITTEL</v>
      </c>
      <c r="X245" s="1" t="str">
        <f xml:space="preserve"> LEFT(Table1[[#This Row],[Atc Code]],3)</f>
        <v>B01</v>
      </c>
    </row>
    <row r="246" spans="1:24" ht="14.4">
      <c r="A246" s="14">
        <v>977</v>
      </c>
      <c r="B246" s="24">
        <v>7781928</v>
      </c>
      <c r="C246" s="1">
        <v>2176350</v>
      </c>
      <c r="D246" s="1" t="s">
        <v>25</v>
      </c>
      <c r="E246" s="36">
        <v>44440</v>
      </c>
      <c r="F246" s="36">
        <v>44682</v>
      </c>
      <c r="G246" s="38">
        <f t="shared" si="3"/>
        <v>242</v>
      </c>
      <c r="H246" s="5">
        <v>44459</v>
      </c>
      <c r="I246" s="5">
        <v>44675</v>
      </c>
      <c r="J246" s="1" t="s">
        <v>41</v>
      </c>
      <c r="K246" s="1" t="s">
        <v>735</v>
      </c>
      <c r="L246" s="1" t="s">
        <v>736</v>
      </c>
      <c r="M246" s="1" t="s">
        <v>737</v>
      </c>
      <c r="N246" s="1" t="s">
        <v>30</v>
      </c>
      <c r="O246" s="1" t="s">
        <v>738</v>
      </c>
      <c r="P246" s="1" t="s">
        <v>746</v>
      </c>
      <c r="Q246" s="1" t="s">
        <v>739</v>
      </c>
      <c r="R246" s="1" t="s">
        <v>48</v>
      </c>
      <c r="S246" s="1" t="s">
        <v>747</v>
      </c>
      <c r="U246" s="1" t="s">
        <v>130</v>
      </c>
      <c r="V246" s="1" t="s">
        <v>740</v>
      </c>
      <c r="W246" s="1" t="str">
        <f>VLOOKUP(Table1[[#This Row],[Obergruppe ATC-Code]],Tabelle3!$A$2:$B$100,2)</f>
        <v>ANTITHROMBOTISCHE MITTEL</v>
      </c>
      <c r="X246" s="1" t="str">
        <f xml:space="preserve"> LEFT(Table1[[#This Row],[Atc Code]],3)</f>
        <v>B01</v>
      </c>
    </row>
    <row r="247" spans="1:24" ht="14.4">
      <c r="A247" s="14">
        <v>1418</v>
      </c>
      <c r="B247" s="24">
        <v>14001658</v>
      </c>
      <c r="C247" s="1">
        <v>2714226</v>
      </c>
      <c r="D247" s="1" t="s">
        <v>25</v>
      </c>
      <c r="E247" s="36">
        <v>44732</v>
      </c>
      <c r="F247" s="36">
        <v>44964</v>
      </c>
      <c r="G247" s="38">
        <f t="shared" si="3"/>
        <v>232</v>
      </c>
      <c r="H247" s="5">
        <v>44690</v>
      </c>
      <c r="I247" s="5">
        <v>44967</v>
      </c>
      <c r="J247" s="1" t="s">
        <v>41</v>
      </c>
      <c r="K247" s="1" t="s">
        <v>748</v>
      </c>
      <c r="L247" s="1" t="s">
        <v>749</v>
      </c>
      <c r="M247" s="1" t="s">
        <v>750</v>
      </c>
      <c r="N247" s="1" t="s">
        <v>30</v>
      </c>
      <c r="O247" s="1" t="s">
        <v>751</v>
      </c>
      <c r="P247" s="1" t="s">
        <v>752</v>
      </c>
      <c r="Q247" s="1" t="s">
        <v>753</v>
      </c>
      <c r="R247" s="1" t="s">
        <v>26</v>
      </c>
      <c r="S247" s="1"/>
      <c r="U247" s="1" t="s">
        <v>35</v>
      </c>
      <c r="V247" s="1" t="s">
        <v>754</v>
      </c>
      <c r="W247" s="1" t="str">
        <f>VLOOKUP(Table1[[#This Row],[Obergruppe ATC-Code]],Tabelle3!$A$2:$B$100,2)</f>
        <v>ANTITHROMBOTISCHE MITTEL</v>
      </c>
      <c r="X247" s="1" t="str">
        <f xml:space="preserve"> LEFT(Table1[[#This Row],[Atc Code]],3)</f>
        <v>B01</v>
      </c>
    </row>
    <row r="248" spans="1:24" ht="14.4">
      <c r="A248" s="14">
        <v>1419</v>
      </c>
      <c r="B248" s="24">
        <v>14001693</v>
      </c>
      <c r="C248" s="1">
        <v>2714227</v>
      </c>
      <c r="D248" s="1" t="s">
        <v>25</v>
      </c>
      <c r="E248" s="36">
        <v>44767</v>
      </c>
      <c r="F248" s="36">
        <v>45055</v>
      </c>
      <c r="G248" s="38">
        <f t="shared" si="3"/>
        <v>288</v>
      </c>
      <c r="H248" s="5">
        <v>44690</v>
      </c>
      <c r="I248" s="5">
        <v>45057</v>
      </c>
      <c r="J248" s="1" t="s">
        <v>41</v>
      </c>
      <c r="K248" s="1" t="s">
        <v>755</v>
      </c>
      <c r="L248" s="1" t="s">
        <v>749</v>
      </c>
      <c r="M248" s="1" t="s">
        <v>750</v>
      </c>
      <c r="N248" s="1" t="s">
        <v>30</v>
      </c>
      <c r="O248" s="1" t="s">
        <v>751</v>
      </c>
      <c r="P248" s="1" t="s">
        <v>752</v>
      </c>
      <c r="Q248" s="1" t="s">
        <v>753</v>
      </c>
      <c r="R248" s="1" t="s">
        <v>26</v>
      </c>
      <c r="S248" s="1"/>
      <c r="U248" s="1" t="s">
        <v>35</v>
      </c>
      <c r="V248" s="1" t="s">
        <v>754</v>
      </c>
      <c r="W248" s="1" t="str">
        <f>VLOOKUP(Table1[[#This Row],[Obergruppe ATC-Code]],Tabelle3!$A$2:$B$100,2)</f>
        <v>ANTITHROMBOTISCHE MITTEL</v>
      </c>
      <c r="X248" s="1" t="str">
        <f xml:space="preserve"> LEFT(Table1[[#This Row],[Atc Code]],3)</f>
        <v>B01</v>
      </c>
    </row>
    <row r="249" spans="1:24" ht="14.4">
      <c r="A249" s="14">
        <v>38</v>
      </c>
      <c r="B249" s="24">
        <v>210602</v>
      </c>
      <c r="C249" s="1">
        <v>2700671</v>
      </c>
      <c r="D249" s="1" t="s">
        <v>25</v>
      </c>
      <c r="E249" s="36">
        <v>43525</v>
      </c>
      <c r="F249" s="36">
        <v>43555</v>
      </c>
      <c r="G249" s="38">
        <f t="shared" si="3"/>
        <v>30</v>
      </c>
      <c r="H249" s="5">
        <v>43511</v>
      </c>
      <c r="I249" s="5">
        <v>43556</v>
      </c>
      <c r="J249" s="1" t="s">
        <v>41</v>
      </c>
      <c r="K249" s="1" t="s">
        <v>756</v>
      </c>
      <c r="L249" s="1" t="s">
        <v>757</v>
      </c>
      <c r="M249" s="1" t="s">
        <v>758</v>
      </c>
      <c r="N249" s="1" t="s">
        <v>30</v>
      </c>
      <c r="O249" s="1" t="s">
        <v>759</v>
      </c>
      <c r="P249" s="1" t="s">
        <v>760</v>
      </c>
      <c r="Q249" s="1" t="s">
        <v>761</v>
      </c>
      <c r="R249" s="1" t="s">
        <v>26</v>
      </c>
      <c r="S249" s="1"/>
      <c r="T249" s="1" t="s">
        <v>762</v>
      </c>
      <c r="U249" s="1" t="s">
        <v>35</v>
      </c>
      <c r="V249" s="1" t="s">
        <v>648</v>
      </c>
      <c r="W249" s="1" t="str">
        <f>VLOOKUP(Table1[[#This Row],[Obergruppe ATC-Code]],Tabelle3!$A$2:$B$100,2)</f>
        <v>ANTITHROMBOTISCHE MITTEL</v>
      </c>
      <c r="X249" s="1" t="str">
        <f xml:space="preserve"> LEFT(Table1[[#This Row],[Atc Code]],3)</f>
        <v>B01</v>
      </c>
    </row>
    <row r="250" spans="1:24" ht="14.4">
      <c r="A250" s="14">
        <v>36</v>
      </c>
      <c r="B250" s="24">
        <v>210594</v>
      </c>
      <c r="C250" s="1">
        <v>2700670</v>
      </c>
      <c r="D250" s="1" t="s">
        <v>25</v>
      </c>
      <c r="E250" s="36">
        <v>43647</v>
      </c>
      <c r="F250" s="36">
        <v>43738</v>
      </c>
      <c r="G250" s="38">
        <f t="shared" si="3"/>
        <v>91</v>
      </c>
      <c r="H250" s="5">
        <v>43511</v>
      </c>
      <c r="I250" s="5">
        <v>43556</v>
      </c>
      <c r="J250" s="1" t="s">
        <v>41</v>
      </c>
      <c r="K250" s="1" t="s">
        <v>763</v>
      </c>
      <c r="L250" s="1" t="s">
        <v>757</v>
      </c>
      <c r="M250" s="1" t="s">
        <v>758</v>
      </c>
      <c r="N250" s="1" t="s">
        <v>30</v>
      </c>
      <c r="O250" s="1" t="s">
        <v>759</v>
      </c>
      <c r="P250" s="1" t="s">
        <v>760</v>
      </c>
      <c r="Q250" s="1" t="s">
        <v>761</v>
      </c>
      <c r="R250" s="1" t="s">
        <v>26</v>
      </c>
      <c r="S250" s="1"/>
      <c r="T250" s="1" t="s">
        <v>764</v>
      </c>
      <c r="U250" s="1" t="s">
        <v>35</v>
      </c>
      <c r="V250" s="1" t="s">
        <v>74</v>
      </c>
      <c r="W250" s="1" t="str">
        <f>VLOOKUP(Table1[[#This Row],[Obergruppe ATC-Code]],Tabelle3!$A$2:$B$100,2)</f>
        <v>ANTITHROMBOTISCHE MITTEL</v>
      </c>
      <c r="X250" s="1" t="str">
        <f xml:space="preserve"> LEFT(Table1[[#This Row],[Atc Code]],3)</f>
        <v>B01</v>
      </c>
    </row>
    <row r="251" spans="1:24" ht="14.4">
      <c r="A251" s="14">
        <v>40</v>
      </c>
      <c r="B251" s="24">
        <v>210602</v>
      </c>
      <c r="C251" s="1">
        <v>2700671</v>
      </c>
      <c r="D251" s="1" t="s">
        <v>25</v>
      </c>
      <c r="E251" s="36">
        <v>44502</v>
      </c>
      <c r="F251" s="36">
        <v>44530</v>
      </c>
      <c r="G251" s="38">
        <f t="shared" si="3"/>
        <v>28</v>
      </c>
      <c r="H251" s="5">
        <v>44504</v>
      </c>
      <c r="I251" s="5">
        <v>44530</v>
      </c>
      <c r="J251" s="1" t="s">
        <v>41</v>
      </c>
      <c r="K251" s="1" t="s">
        <v>756</v>
      </c>
      <c r="L251" s="1" t="s">
        <v>757</v>
      </c>
      <c r="M251" s="1" t="s">
        <v>758</v>
      </c>
      <c r="N251" s="1" t="s">
        <v>30</v>
      </c>
      <c r="O251" s="1" t="s">
        <v>765</v>
      </c>
      <c r="P251" s="1">
        <v>8001223355</v>
      </c>
      <c r="Q251" s="1" t="s">
        <v>761</v>
      </c>
      <c r="R251" s="1" t="s">
        <v>26</v>
      </c>
      <c r="S251" s="1" t="s">
        <v>766</v>
      </c>
      <c r="U251" s="1" t="s">
        <v>130</v>
      </c>
      <c r="V251" s="1" t="s">
        <v>648</v>
      </c>
      <c r="W251" s="1" t="str">
        <f>VLOOKUP(Table1[[#This Row],[Obergruppe ATC-Code]],Tabelle3!$A$2:$B$100,2)</f>
        <v>ANTITHROMBOTISCHE MITTEL</v>
      </c>
      <c r="X251" s="1" t="str">
        <f xml:space="preserve"> LEFT(Table1[[#This Row],[Atc Code]],3)</f>
        <v>B01</v>
      </c>
    </row>
    <row r="252" spans="1:24" ht="14.4">
      <c r="A252" s="14">
        <v>39</v>
      </c>
      <c r="B252" s="24">
        <v>210602</v>
      </c>
      <c r="C252" s="1">
        <v>2700671</v>
      </c>
      <c r="D252" s="1" t="s">
        <v>25</v>
      </c>
      <c r="E252" s="36">
        <v>45177</v>
      </c>
      <c r="F252" s="36">
        <v>45215</v>
      </c>
      <c r="G252" s="38">
        <f t="shared" si="3"/>
        <v>38</v>
      </c>
      <c r="H252" s="5">
        <v>45173</v>
      </c>
      <c r="I252" s="5">
        <v>45215</v>
      </c>
      <c r="J252" s="1" t="s">
        <v>41</v>
      </c>
      <c r="K252" s="1" t="s">
        <v>756</v>
      </c>
      <c r="L252" s="1" t="s">
        <v>757</v>
      </c>
      <c r="M252" s="1" t="s">
        <v>758</v>
      </c>
      <c r="N252" s="1" t="s">
        <v>30</v>
      </c>
      <c r="O252" s="1" t="s">
        <v>765</v>
      </c>
      <c r="P252" s="1">
        <v>8001223355</v>
      </c>
      <c r="Q252" s="1" t="s">
        <v>761</v>
      </c>
      <c r="R252" s="1" t="s">
        <v>128</v>
      </c>
      <c r="S252" s="1" t="s">
        <v>767</v>
      </c>
      <c r="U252" s="1" t="s">
        <v>130</v>
      </c>
      <c r="V252" s="1" t="s">
        <v>648</v>
      </c>
      <c r="W252" s="1" t="str">
        <f>VLOOKUP(Table1[[#This Row],[Obergruppe ATC-Code]],Tabelle3!$A$2:$B$100,2)</f>
        <v>ANTITHROMBOTISCHE MITTEL</v>
      </c>
      <c r="X252" s="1" t="str">
        <f xml:space="preserve"> LEFT(Table1[[#This Row],[Atc Code]],3)</f>
        <v>B01</v>
      </c>
    </row>
    <row r="253" spans="1:24" ht="14.4">
      <c r="A253" s="14">
        <v>37</v>
      </c>
      <c r="B253" s="24">
        <v>210594</v>
      </c>
      <c r="C253" s="1">
        <v>2700670</v>
      </c>
      <c r="D253" s="1" t="s">
        <v>25</v>
      </c>
      <c r="E253" s="36">
        <v>45152</v>
      </c>
      <c r="F253" s="36">
        <v>45215</v>
      </c>
      <c r="G253" s="38">
        <f t="shared" si="3"/>
        <v>63</v>
      </c>
      <c r="H253" s="5">
        <v>45154</v>
      </c>
      <c r="I253" s="5">
        <v>45215</v>
      </c>
      <c r="J253" s="1" t="s">
        <v>41</v>
      </c>
      <c r="K253" s="1" t="s">
        <v>763</v>
      </c>
      <c r="L253" s="1" t="s">
        <v>757</v>
      </c>
      <c r="M253" s="1" t="s">
        <v>758</v>
      </c>
      <c r="N253" s="1" t="s">
        <v>30</v>
      </c>
      <c r="O253" s="1" t="s">
        <v>765</v>
      </c>
      <c r="P253" s="1">
        <v>8001223355</v>
      </c>
      <c r="Q253" s="1" t="s">
        <v>761</v>
      </c>
      <c r="R253" s="1" t="s">
        <v>128</v>
      </c>
      <c r="S253" s="1" t="s">
        <v>767</v>
      </c>
      <c r="U253" s="1" t="s">
        <v>130</v>
      </c>
      <c r="V253" s="1" t="s">
        <v>74</v>
      </c>
      <c r="W253" s="1" t="str">
        <f>VLOOKUP(Table1[[#This Row],[Obergruppe ATC-Code]],Tabelle3!$A$2:$B$100,2)</f>
        <v>ANTITHROMBOTISCHE MITTEL</v>
      </c>
      <c r="X253" s="1" t="str">
        <f xml:space="preserve"> LEFT(Table1[[#This Row],[Atc Code]],3)</f>
        <v>B01</v>
      </c>
    </row>
    <row r="254" spans="1:24" ht="14.4">
      <c r="A254" s="14">
        <v>1191</v>
      </c>
      <c r="B254" s="24">
        <v>10552203</v>
      </c>
      <c r="C254" s="1">
        <v>2179189</v>
      </c>
      <c r="D254" s="1" t="s">
        <v>102</v>
      </c>
      <c r="E254" s="36">
        <v>44727</v>
      </c>
      <c r="F254" s="36">
        <v>45657</v>
      </c>
      <c r="G254" s="38">
        <f t="shared" si="3"/>
        <v>930</v>
      </c>
      <c r="H254" s="5">
        <v>44683</v>
      </c>
      <c r="I254" s="5">
        <v>45177</v>
      </c>
      <c r="J254" s="1" t="s">
        <v>41</v>
      </c>
      <c r="K254" s="1" t="s">
        <v>768</v>
      </c>
      <c r="L254" s="1" t="s">
        <v>769</v>
      </c>
      <c r="M254" s="1" t="s">
        <v>770</v>
      </c>
      <c r="N254" s="1" t="s">
        <v>30</v>
      </c>
      <c r="O254" s="1" t="s">
        <v>771</v>
      </c>
      <c r="P254" s="1" t="s">
        <v>772</v>
      </c>
      <c r="Q254" s="1" t="s">
        <v>773</v>
      </c>
      <c r="R254" s="1" t="s">
        <v>128</v>
      </c>
      <c r="S254" s="1" t="s">
        <v>774</v>
      </c>
      <c r="U254" s="1" t="s">
        <v>57</v>
      </c>
      <c r="V254" s="1" t="s">
        <v>167</v>
      </c>
      <c r="W254" s="1" t="str">
        <f>VLOOKUP(Table1[[#This Row],[Obergruppe ATC-Code]],Tabelle3!$A$2:$B$100,2)</f>
        <v>ANTITHROMBOTISCHE MITTEL</v>
      </c>
      <c r="X254" s="1" t="str">
        <f xml:space="preserve"> LEFT(Table1[[#This Row],[Atc Code]],3)</f>
        <v>B01</v>
      </c>
    </row>
    <row r="255" spans="1:24" ht="14.4">
      <c r="A255" s="14">
        <v>2030</v>
      </c>
      <c r="B255" s="24" t="s">
        <v>775</v>
      </c>
      <c r="C255" s="1">
        <v>2142414</v>
      </c>
      <c r="D255" s="1" t="s">
        <v>102</v>
      </c>
      <c r="E255" s="36">
        <v>44684</v>
      </c>
      <c r="F255" s="36">
        <v>45657</v>
      </c>
      <c r="G255" s="38">
        <f t="shared" si="3"/>
        <v>973</v>
      </c>
      <c r="H255" s="5">
        <v>44683</v>
      </c>
      <c r="I255" s="5">
        <v>45177</v>
      </c>
      <c r="J255" s="1" t="s">
        <v>41</v>
      </c>
      <c r="K255" s="1" t="s">
        <v>776</v>
      </c>
      <c r="L255" s="1" t="s">
        <v>777</v>
      </c>
      <c r="M255" s="1" t="s">
        <v>770</v>
      </c>
      <c r="N255" s="1" t="s">
        <v>30</v>
      </c>
      <c r="O255" s="1" t="s">
        <v>771</v>
      </c>
      <c r="P255" s="1" t="s">
        <v>772</v>
      </c>
      <c r="Q255" s="1" t="s">
        <v>773</v>
      </c>
      <c r="R255" s="1" t="s">
        <v>128</v>
      </c>
      <c r="S255" s="1"/>
      <c r="U255" s="1" t="s">
        <v>57</v>
      </c>
      <c r="V255" s="1" t="s">
        <v>778</v>
      </c>
      <c r="W255" s="1" t="str">
        <f>VLOOKUP(Table1[[#This Row],[Obergruppe ATC-Code]],Tabelle3!$A$2:$B$100,2)</f>
        <v>ANTITHROMBOTISCHE MITTEL</v>
      </c>
      <c r="X255" s="1" t="str">
        <f xml:space="preserve"> LEFT(Table1[[#This Row],[Atc Code]],3)</f>
        <v>B01</v>
      </c>
    </row>
    <row r="256" spans="1:24" ht="14.4">
      <c r="A256" s="14">
        <v>2027</v>
      </c>
      <c r="B256" s="24" t="s">
        <v>779</v>
      </c>
      <c r="C256" s="1">
        <v>2100901</v>
      </c>
      <c r="D256" s="1" t="s">
        <v>25</v>
      </c>
      <c r="E256" s="36">
        <v>43344</v>
      </c>
      <c r="F256" s="36">
        <v>44607</v>
      </c>
      <c r="G256" s="38">
        <f t="shared" si="3"/>
        <v>1263</v>
      </c>
      <c r="H256" s="5">
        <v>43237</v>
      </c>
      <c r="I256" s="5">
        <v>44607</v>
      </c>
      <c r="J256" s="1" t="s">
        <v>26</v>
      </c>
      <c r="K256" s="1" t="s">
        <v>780</v>
      </c>
      <c r="L256" s="1" t="s">
        <v>781</v>
      </c>
      <c r="M256" s="1" t="s">
        <v>782</v>
      </c>
      <c r="N256" s="1" t="s">
        <v>30</v>
      </c>
      <c r="O256" s="1" t="s">
        <v>783</v>
      </c>
      <c r="P256" s="1" t="s">
        <v>784</v>
      </c>
      <c r="Q256" s="1" t="s">
        <v>785</v>
      </c>
      <c r="R256" s="1" t="s">
        <v>26</v>
      </c>
      <c r="S256" s="1" t="s">
        <v>786</v>
      </c>
      <c r="U256" s="1" t="s">
        <v>57</v>
      </c>
      <c r="V256" s="1" t="s">
        <v>787</v>
      </c>
      <c r="W256" s="1" t="str">
        <f>VLOOKUP(Table1[[#This Row],[Obergruppe ATC-Code]],Tabelle3!$A$2:$B$100,2)</f>
        <v>ANTITHROMBOTISCHE MITTEL</v>
      </c>
      <c r="X256" s="1" t="str">
        <f xml:space="preserve"> LEFT(Table1[[#This Row],[Atc Code]],3)</f>
        <v>B01</v>
      </c>
    </row>
    <row r="257" spans="1:24" ht="14.4">
      <c r="A257" s="14">
        <v>514</v>
      </c>
      <c r="B257" s="25">
        <v>3258265</v>
      </c>
      <c r="C257" s="1">
        <v>2100900</v>
      </c>
      <c r="D257" s="1" t="s">
        <v>25</v>
      </c>
      <c r="E257" s="36">
        <v>43344</v>
      </c>
      <c r="F257" s="36">
        <v>44607</v>
      </c>
      <c r="G257" s="38">
        <f t="shared" si="3"/>
        <v>1263</v>
      </c>
      <c r="H257" s="5">
        <v>43346</v>
      </c>
      <c r="I257" s="5">
        <v>44607</v>
      </c>
      <c r="J257" s="1" t="s">
        <v>26</v>
      </c>
      <c r="K257" s="1" t="s">
        <v>788</v>
      </c>
      <c r="L257" s="1" t="s">
        <v>781</v>
      </c>
      <c r="M257" s="1" t="s">
        <v>782</v>
      </c>
      <c r="N257" s="1" t="s">
        <v>30</v>
      </c>
      <c r="O257" s="1" t="s">
        <v>783</v>
      </c>
      <c r="P257" s="1" t="s">
        <v>784</v>
      </c>
      <c r="Q257" s="1" t="s">
        <v>785</v>
      </c>
      <c r="R257" s="1" t="s">
        <v>26</v>
      </c>
      <c r="S257" s="1" t="s">
        <v>786</v>
      </c>
      <c r="U257" s="1" t="s">
        <v>57</v>
      </c>
      <c r="V257" s="1" t="s">
        <v>787</v>
      </c>
      <c r="W257" s="1" t="str">
        <f>VLOOKUP(Table1[[#This Row],[Obergruppe ATC-Code]],Tabelle3!$A$2:$B$100,2)</f>
        <v>ANTITHROMBOTISCHE MITTEL</v>
      </c>
      <c r="X257" s="1" t="str">
        <f xml:space="preserve"> LEFT(Table1[[#This Row],[Atc Code]],3)</f>
        <v>B01</v>
      </c>
    </row>
    <row r="258" spans="1:24" ht="14.4">
      <c r="A258" s="14">
        <v>513</v>
      </c>
      <c r="B258" s="25">
        <v>3258259</v>
      </c>
      <c r="C258" s="1">
        <v>2100899</v>
      </c>
      <c r="D258" s="1" t="s">
        <v>25</v>
      </c>
      <c r="E258" s="36">
        <v>43221</v>
      </c>
      <c r="F258" s="36">
        <v>44607</v>
      </c>
      <c r="G258" s="38">
        <f t="shared" ref="G258:G321" si="4">F258-E258</f>
        <v>1386</v>
      </c>
      <c r="H258" s="5">
        <v>43237</v>
      </c>
      <c r="I258" s="5">
        <v>44607</v>
      </c>
      <c r="J258" s="1" t="s">
        <v>26</v>
      </c>
      <c r="K258" s="1" t="s">
        <v>789</v>
      </c>
      <c r="L258" s="1" t="s">
        <v>781</v>
      </c>
      <c r="M258" s="1" t="s">
        <v>782</v>
      </c>
      <c r="N258" s="1" t="s">
        <v>30</v>
      </c>
      <c r="O258" s="1" t="s">
        <v>783</v>
      </c>
      <c r="P258" s="1" t="s">
        <v>784</v>
      </c>
      <c r="Q258" s="1" t="s">
        <v>785</v>
      </c>
      <c r="R258" s="1" t="s">
        <v>26</v>
      </c>
      <c r="S258" s="1" t="s">
        <v>786</v>
      </c>
      <c r="U258" s="1" t="s">
        <v>57</v>
      </c>
      <c r="V258" s="1" t="s">
        <v>787</v>
      </c>
      <c r="W258" s="1" t="str">
        <f>VLOOKUP(Table1[[#This Row],[Obergruppe ATC-Code]],Tabelle3!$A$2:$B$100,2)</f>
        <v>ANTITHROMBOTISCHE MITTEL</v>
      </c>
      <c r="X258" s="1" t="str">
        <f xml:space="preserve"> LEFT(Table1[[#This Row],[Atc Code]],3)</f>
        <v>B01</v>
      </c>
    </row>
    <row r="259" spans="1:24" ht="14.4">
      <c r="A259" s="14">
        <v>512</v>
      </c>
      <c r="B259" s="24">
        <v>3258242</v>
      </c>
      <c r="C259" s="1">
        <v>2100898</v>
      </c>
      <c r="D259" s="1" t="s">
        <v>25</v>
      </c>
      <c r="E259" s="36">
        <v>43344</v>
      </c>
      <c r="F259" s="36">
        <v>44607</v>
      </c>
      <c r="G259" s="38">
        <f t="shared" si="4"/>
        <v>1263</v>
      </c>
      <c r="H259" s="5">
        <v>43346</v>
      </c>
      <c r="I259" s="5">
        <v>44607</v>
      </c>
      <c r="J259" s="1" t="s">
        <v>26</v>
      </c>
      <c r="K259" s="1" t="s">
        <v>790</v>
      </c>
      <c r="L259" s="1" t="s">
        <v>781</v>
      </c>
      <c r="M259" s="1" t="s">
        <v>782</v>
      </c>
      <c r="N259" s="1" t="s">
        <v>30</v>
      </c>
      <c r="O259" s="1" t="s">
        <v>783</v>
      </c>
      <c r="P259" s="1" t="s">
        <v>784</v>
      </c>
      <c r="Q259" s="1" t="s">
        <v>785</v>
      </c>
      <c r="R259" s="1" t="s">
        <v>26</v>
      </c>
      <c r="S259" s="1" t="s">
        <v>786</v>
      </c>
      <c r="U259" s="1" t="s">
        <v>57</v>
      </c>
      <c r="V259" s="1" t="s">
        <v>787</v>
      </c>
      <c r="W259" s="1" t="str">
        <f>VLOOKUP(Table1[[#This Row],[Obergruppe ATC-Code]],Tabelle3!$A$2:$B$100,2)</f>
        <v>ANTITHROMBOTISCHE MITTEL</v>
      </c>
      <c r="X259" s="1" t="str">
        <f xml:space="preserve"> LEFT(Table1[[#This Row],[Atc Code]],3)</f>
        <v>B01</v>
      </c>
    </row>
    <row r="260" spans="1:24" ht="14.4">
      <c r="A260" s="14">
        <v>511</v>
      </c>
      <c r="B260" s="24">
        <v>3258236</v>
      </c>
      <c r="C260" s="1">
        <v>2100897</v>
      </c>
      <c r="D260" s="1" t="s">
        <v>25</v>
      </c>
      <c r="E260" s="36">
        <v>43344</v>
      </c>
      <c r="F260" s="36">
        <v>44607</v>
      </c>
      <c r="G260" s="38">
        <f t="shared" si="4"/>
        <v>1263</v>
      </c>
      <c r="H260" s="5">
        <v>43346</v>
      </c>
      <c r="I260" s="5">
        <v>44607</v>
      </c>
      <c r="J260" s="1" t="s">
        <v>26</v>
      </c>
      <c r="K260" s="1" t="s">
        <v>791</v>
      </c>
      <c r="L260" s="1" t="s">
        <v>781</v>
      </c>
      <c r="M260" s="1" t="s">
        <v>782</v>
      </c>
      <c r="N260" s="1" t="s">
        <v>30</v>
      </c>
      <c r="O260" s="1" t="s">
        <v>783</v>
      </c>
      <c r="P260" s="1" t="s">
        <v>784</v>
      </c>
      <c r="Q260" s="1" t="s">
        <v>785</v>
      </c>
      <c r="R260" s="1" t="s">
        <v>26</v>
      </c>
      <c r="S260" s="1" t="s">
        <v>786</v>
      </c>
      <c r="U260" s="1" t="s">
        <v>57</v>
      </c>
      <c r="V260" s="1" t="s">
        <v>787</v>
      </c>
      <c r="W260" s="1" t="str">
        <f>VLOOKUP(Table1[[#This Row],[Obergruppe ATC-Code]],Tabelle3!$A$2:$B$100,2)</f>
        <v>ANTITHROMBOTISCHE MITTEL</v>
      </c>
      <c r="X260" s="1" t="str">
        <f xml:space="preserve"> LEFT(Table1[[#This Row],[Atc Code]],3)</f>
        <v>B01</v>
      </c>
    </row>
    <row r="261" spans="1:24" ht="14.4">
      <c r="A261" s="14">
        <v>1590</v>
      </c>
      <c r="B261" s="24">
        <v>17483149</v>
      </c>
      <c r="C261" s="1">
        <v>2201629</v>
      </c>
      <c r="D261" s="1" t="s">
        <v>25</v>
      </c>
      <c r="E261" s="36">
        <v>44792</v>
      </c>
      <c r="F261" s="36">
        <v>44844</v>
      </c>
      <c r="G261" s="38">
        <f t="shared" si="4"/>
        <v>52</v>
      </c>
      <c r="H261" s="5">
        <v>44810</v>
      </c>
      <c r="I261" s="5">
        <v>44852</v>
      </c>
      <c r="J261" s="1" t="s">
        <v>26</v>
      </c>
      <c r="K261" s="1" t="s">
        <v>792</v>
      </c>
      <c r="L261" s="1" t="s">
        <v>781</v>
      </c>
      <c r="M261" s="1" t="s">
        <v>782</v>
      </c>
      <c r="N261" s="1" t="s">
        <v>30</v>
      </c>
      <c r="O261" s="1" t="s">
        <v>793</v>
      </c>
      <c r="P261" s="1" t="s">
        <v>794</v>
      </c>
      <c r="Q261" s="1" t="s">
        <v>795</v>
      </c>
      <c r="R261" s="1" t="s">
        <v>113</v>
      </c>
      <c r="S261" s="1"/>
      <c r="U261" s="1" t="s">
        <v>130</v>
      </c>
      <c r="V261" s="1" t="s">
        <v>796</v>
      </c>
      <c r="W261" s="1" t="str">
        <f>VLOOKUP(Table1[[#This Row],[Obergruppe ATC-Code]],Tabelle3!$A$2:$B$100,2)</f>
        <v>ANTITHROMBOTISCHE MITTEL</v>
      </c>
      <c r="X261" s="1" t="str">
        <f xml:space="preserve"> LEFT(Table1[[#This Row],[Atc Code]],3)</f>
        <v>B01</v>
      </c>
    </row>
    <row r="262" spans="1:24" ht="14.4">
      <c r="A262" s="14">
        <v>1591</v>
      </c>
      <c r="B262" s="24">
        <v>17483161</v>
      </c>
      <c r="C262" s="1">
        <v>2201630</v>
      </c>
      <c r="D262" s="1" t="s">
        <v>25</v>
      </c>
      <c r="E262" s="36">
        <v>44792</v>
      </c>
      <c r="F262" s="36">
        <v>44945</v>
      </c>
      <c r="G262" s="38">
        <f t="shared" si="4"/>
        <v>153</v>
      </c>
      <c r="H262" s="5">
        <v>44810</v>
      </c>
      <c r="I262" s="5">
        <v>44945</v>
      </c>
      <c r="J262" s="1" t="s">
        <v>26</v>
      </c>
      <c r="K262" s="1" t="s">
        <v>792</v>
      </c>
      <c r="L262" s="1" t="s">
        <v>781</v>
      </c>
      <c r="M262" s="1" t="s">
        <v>782</v>
      </c>
      <c r="N262" s="1" t="s">
        <v>30</v>
      </c>
      <c r="O262" s="1" t="s">
        <v>793</v>
      </c>
      <c r="P262" s="1" t="s">
        <v>794</v>
      </c>
      <c r="Q262" s="1" t="s">
        <v>795</v>
      </c>
      <c r="R262" s="1" t="s">
        <v>113</v>
      </c>
      <c r="S262" s="1"/>
      <c r="U262" s="1" t="s">
        <v>130</v>
      </c>
      <c r="V262" s="1" t="s">
        <v>796</v>
      </c>
      <c r="W262" s="1" t="str">
        <f>VLOOKUP(Table1[[#This Row],[Obergruppe ATC-Code]],Tabelle3!$A$2:$B$100,2)</f>
        <v>ANTITHROMBOTISCHE MITTEL</v>
      </c>
      <c r="X262" s="1" t="str">
        <f xml:space="preserve"> LEFT(Table1[[#This Row],[Atc Code]],3)</f>
        <v>B01</v>
      </c>
    </row>
    <row r="263" spans="1:24" ht="14.4">
      <c r="A263" s="14">
        <v>1588</v>
      </c>
      <c r="B263" s="24">
        <v>17483132</v>
      </c>
      <c r="C263" s="1">
        <v>2201628</v>
      </c>
      <c r="D263" s="1" t="s">
        <v>25</v>
      </c>
      <c r="E263" s="36">
        <v>44949</v>
      </c>
      <c r="F263" s="36">
        <v>45013</v>
      </c>
      <c r="G263" s="38">
        <f t="shared" si="4"/>
        <v>64</v>
      </c>
      <c r="H263" s="5">
        <v>44945</v>
      </c>
      <c r="I263" s="5">
        <v>45013</v>
      </c>
      <c r="J263" s="1" t="s">
        <v>26</v>
      </c>
      <c r="K263" s="1" t="s">
        <v>792</v>
      </c>
      <c r="L263" s="1" t="s">
        <v>781</v>
      </c>
      <c r="M263" s="1" t="s">
        <v>782</v>
      </c>
      <c r="N263" s="1" t="s">
        <v>30</v>
      </c>
      <c r="O263" s="1" t="s">
        <v>793</v>
      </c>
      <c r="P263" s="1" t="s">
        <v>794</v>
      </c>
      <c r="Q263" s="1" t="s">
        <v>795</v>
      </c>
      <c r="R263" s="1" t="s">
        <v>113</v>
      </c>
      <c r="S263" s="1"/>
      <c r="U263" s="1" t="s">
        <v>130</v>
      </c>
      <c r="V263" s="1" t="s">
        <v>796</v>
      </c>
      <c r="W263" s="1" t="str">
        <f>VLOOKUP(Table1[[#This Row],[Obergruppe ATC-Code]],Tabelle3!$A$2:$B$100,2)</f>
        <v>ANTITHROMBOTISCHE MITTEL</v>
      </c>
      <c r="X263" s="1" t="str">
        <f xml:space="preserve"> LEFT(Table1[[#This Row],[Atc Code]],3)</f>
        <v>B01</v>
      </c>
    </row>
    <row r="264" spans="1:24" ht="14.4">
      <c r="A264" s="14">
        <v>1589</v>
      </c>
      <c r="B264" s="24">
        <v>17483149</v>
      </c>
      <c r="C264" s="1">
        <v>2201629</v>
      </c>
      <c r="D264" s="1" t="s">
        <v>25</v>
      </c>
      <c r="E264" s="36">
        <v>44949</v>
      </c>
      <c r="F264" s="36">
        <v>45100</v>
      </c>
      <c r="G264" s="38">
        <f t="shared" si="4"/>
        <v>151</v>
      </c>
      <c r="H264" s="5">
        <v>44945</v>
      </c>
      <c r="I264" s="5">
        <v>45107</v>
      </c>
      <c r="J264" s="1" t="s">
        <v>26</v>
      </c>
      <c r="K264" s="1" t="s">
        <v>792</v>
      </c>
      <c r="L264" s="1" t="s">
        <v>781</v>
      </c>
      <c r="M264" s="1" t="s">
        <v>782</v>
      </c>
      <c r="N264" s="1" t="s">
        <v>30</v>
      </c>
      <c r="O264" s="1" t="s">
        <v>793</v>
      </c>
      <c r="P264" s="1" t="s">
        <v>794</v>
      </c>
      <c r="Q264" s="1" t="s">
        <v>795</v>
      </c>
      <c r="R264" s="1" t="s">
        <v>113</v>
      </c>
      <c r="S264" s="1"/>
      <c r="U264" s="1" t="s">
        <v>130</v>
      </c>
      <c r="V264" s="1" t="s">
        <v>796</v>
      </c>
      <c r="W264" s="1" t="str">
        <f>VLOOKUP(Table1[[#This Row],[Obergruppe ATC-Code]],Tabelle3!$A$2:$B$100,2)</f>
        <v>ANTITHROMBOTISCHE MITTEL</v>
      </c>
      <c r="X264" s="1" t="str">
        <f xml:space="preserve"> LEFT(Table1[[#This Row],[Atc Code]],3)</f>
        <v>B01</v>
      </c>
    </row>
    <row r="265" spans="1:24" ht="14.4">
      <c r="A265" s="14">
        <v>1587</v>
      </c>
      <c r="B265" s="24">
        <v>17483132</v>
      </c>
      <c r="C265" s="1">
        <v>2201628</v>
      </c>
      <c r="D265" s="1" t="s">
        <v>25</v>
      </c>
      <c r="E265" s="36">
        <v>45068</v>
      </c>
      <c r="F265" s="36">
        <v>45068</v>
      </c>
      <c r="G265" s="38">
        <f t="shared" si="4"/>
        <v>0</v>
      </c>
      <c r="H265" s="5">
        <v>45068</v>
      </c>
      <c r="I265" s="5">
        <v>45135</v>
      </c>
      <c r="J265" s="1" t="s">
        <v>26</v>
      </c>
      <c r="K265" s="1" t="s">
        <v>792</v>
      </c>
      <c r="L265" s="1" t="s">
        <v>781</v>
      </c>
      <c r="M265" s="1" t="s">
        <v>782</v>
      </c>
      <c r="N265" s="1" t="s">
        <v>30</v>
      </c>
      <c r="O265" s="1" t="s">
        <v>793</v>
      </c>
      <c r="P265" s="1" t="s">
        <v>797</v>
      </c>
      <c r="Q265" s="1" t="s">
        <v>795</v>
      </c>
      <c r="R265" s="1" t="s">
        <v>113</v>
      </c>
      <c r="S265" s="1"/>
      <c r="U265" s="1" t="s">
        <v>35</v>
      </c>
      <c r="V265" s="1" t="s">
        <v>796</v>
      </c>
      <c r="W265" s="1" t="str">
        <f>VLOOKUP(Table1[[#This Row],[Obergruppe ATC-Code]],Tabelle3!$A$2:$B$100,2)</f>
        <v>ANTITHROMBOTISCHE MITTEL</v>
      </c>
      <c r="X265" s="1" t="str">
        <f xml:space="preserve"> LEFT(Table1[[#This Row],[Atc Code]],3)</f>
        <v>B01</v>
      </c>
    </row>
    <row r="266" spans="1:24" ht="14.4">
      <c r="A266" s="14">
        <v>251</v>
      </c>
      <c r="B266" s="24">
        <v>1440250</v>
      </c>
      <c r="C266" s="1">
        <v>2702474</v>
      </c>
      <c r="D266" s="1" t="s">
        <v>25</v>
      </c>
      <c r="E266" s="36">
        <v>44377</v>
      </c>
      <c r="F266" s="36">
        <v>44561</v>
      </c>
      <c r="G266" s="38">
        <f t="shared" si="4"/>
        <v>184</v>
      </c>
      <c r="H266" s="5">
        <v>44362</v>
      </c>
      <c r="I266" s="5">
        <v>44550</v>
      </c>
      <c r="J266" s="1" t="s">
        <v>41</v>
      </c>
      <c r="K266" s="1" t="s">
        <v>798</v>
      </c>
      <c r="L266" s="1" t="s">
        <v>799</v>
      </c>
      <c r="M266" s="1" t="s">
        <v>800</v>
      </c>
      <c r="N266" s="1" t="s">
        <v>30</v>
      </c>
      <c r="O266" s="1" t="s">
        <v>801</v>
      </c>
      <c r="P266" s="1">
        <v>8007790900</v>
      </c>
      <c r="Q266" s="1" t="s">
        <v>773</v>
      </c>
      <c r="R266" s="1" t="s">
        <v>26</v>
      </c>
      <c r="S266" s="1"/>
      <c r="T266" s="1" t="s">
        <v>802</v>
      </c>
      <c r="U266" s="1" t="s">
        <v>57</v>
      </c>
      <c r="V266" s="1" t="s">
        <v>803</v>
      </c>
      <c r="W266" s="1" t="str">
        <f>VLOOKUP(Table1[[#This Row],[Obergruppe ATC-Code]],Tabelle3!$A$2:$B$100,2)</f>
        <v>ANTITHROMBOTISCHE MITTEL</v>
      </c>
      <c r="X266" s="1" t="str">
        <f xml:space="preserve"> LEFT(Table1[[#This Row],[Atc Code]],3)</f>
        <v>B01</v>
      </c>
    </row>
    <row r="267" spans="1:24" ht="14.4">
      <c r="A267" s="14">
        <v>250</v>
      </c>
      <c r="B267" s="24">
        <v>1440250</v>
      </c>
      <c r="C267" s="1">
        <v>2702474</v>
      </c>
      <c r="D267" s="1" t="s">
        <v>102</v>
      </c>
      <c r="E267" s="36">
        <v>44684</v>
      </c>
      <c r="F267" s="36">
        <v>45657</v>
      </c>
      <c r="G267" s="38">
        <f t="shared" si="4"/>
        <v>973</v>
      </c>
      <c r="H267" s="5">
        <v>44683</v>
      </c>
      <c r="I267" s="5">
        <v>45177</v>
      </c>
      <c r="J267" s="1" t="s">
        <v>41</v>
      </c>
      <c r="K267" s="1" t="s">
        <v>798</v>
      </c>
      <c r="L267" s="1" t="s">
        <v>799</v>
      </c>
      <c r="M267" s="1" t="s">
        <v>800</v>
      </c>
      <c r="N267" s="1" t="s">
        <v>30</v>
      </c>
      <c r="O267" s="1" t="s">
        <v>801</v>
      </c>
      <c r="P267" s="1" t="s">
        <v>772</v>
      </c>
      <c r="Q267" s="1" t="s">
        <v>773</v>
      </c>
      <c r="R267" s="1" t="s">
        <v>128</v>
      </c>
      <c r="S267" s="1" t="s">
        <v>804</v>
      </c>
      <c r="T267" s="1" t="s">
        <v>802</v>
      </c>
      <c r="U267" s="1" t="s">
        <v>57</v>
      </c>
      <c r="V267" s="1" t="s">
        <v>803</v>
      </c>
      <c r="W267" s="1" t="str">
        <f>VLOOKUP(Table1[[#This Row],[Obergruppe ATC-Code]],Tabelle3!$A$2:$B$100,2)</f>
        <v>ANTITHROMBOTISCHE MITTEL</v>
      </c>
      <c r="X267" s="1" t="str">
        <f xml:space="preserve"> LEFT(Table1[[#This Row],[Atc Code]],3)</f>
        <v>B01</v>
      </c>
    </row>
    <row r="268" spans="1:24" ht="14.4">
      <c r="A268" s="14">
        <v>2512</v>
      </c>
      <c r="B268" s="24" t="s">
        <v>805</v>
      </c>
      <c r="C268" s="1">
        <v>2710238</v>
      </c>
      <c r="D268" s="1" t="s">
        <v>25</v>
      </c>
      <c r="E268" s="36">
        <v>44228</v>
      </c>
      <c r="F268" s="36">
        <v>44286</v>
      </c>
      <c r="G268" s="38">
        <f t="shared" si="4"/>
        <v>58</v>
      </c>
      <c r="H268" s="5">
        <v>44225</v>
      </c>
      <c r="I268" s="5">
        <v>44253</v>
      </c>
      <c r="J268" s="1" t="s">
        <v>41</v>
      </c>
      <c r="K268" s="1" t="s">
        <v>806</v>
      </c>
      <c r="L268" s="1" t="s">
        <v>807</v>
      </c>
      <c r="M268" s="1" t="s">
        <v>808</v>
      </c>
      <c r="N268" s="1" t="s">
        <v>38</v>
      </c>
      <c r="O268" s="1" t="s">
        <v>751</v>
      </c>
      <c r="P268" s="1" t="s">
        <v>752</v>
      </c>
      <c r="Q268" s="1" t="s">
        <v>753</v>
      </c>
      <c r="R268" s="1" t="s">
        <v>26</v>
      </c>
      <c r="S268" s="1"/>
      <c r="T268" s="1" t="s">
        <v>809</v>
      </c>
      <c r="U268" s="1" t="s">
        <v>35</v>
      </c>
      <c r="V268" s="1" t="s">
        <v>99</v>
      </c>
      <c r="W268" s="1" t="str">
        <f>VLOOKUP(Table1[[#This Row],[Obergruppe ATC-Code]],Tabelle3!$A$2:$B$100,2)</f>
        <v>ANTITHROMBOTISCHE MITTEL</v>
      </c>
      <c r="X268" s="1" t="str">
        <f xml:space="preserve"> LEFT(Table1[[#This Row],[Atc Code]],3)</f>
        <v>B01</v>
      </c>
    </row>
    <row r="269" spans="1:24" ht="14.4">
      <c r="A269" s="14">
        <v>1514</v>
      </c>
      <c r="B269" s="24">
        <v>16155472</v>
      </c>
      <c r="C269" s="1">
        <v>2716086</v>
      </c>
      <c r="D269" s="1" t="s">
        <v>25</v>
      </c>
      <c r="E269" s="36">
        <v>44421</v>
      </c>
      <c r="F269" s="36">
        <v>44452</v>
      </c>
      <c r="G269" s="38">
        <f t="shared" si="4"/>
        <v>31</v>
      </c>
      <c r="H269" s="5">
        <v>44413</v>
      </c>
      <c r="I269" s="5">
        <v>44452</v>
      </c>
      <c r="J269" s="1" t="s">
        <v>26</v>
      </c>
      <c r="K269" s="1" t="s">
        <v>810</v>
      </c>
      <c r="L269" s="1" t="s">
        <v>807</v>
      </c>
      <c r="M269" s="1" t="s">
        <v>808</v>
      </c>
      <c r="N269" s="1" t="s">
        <v>30</v>
      </c>
      <c r="O269" s="1" t="s">
        <v>751</v>
      </c>
      <c r="Q269" s="1" t="s">
        <v>753</v>
      </c>
      <c r="R269" s="1" t="s">
        <v>113</v>
      </c>
      <c r="S269" s="1"/>
      <c r="U269" s="1" t="s">
        <v>35</v>
      </c>
      <c r="V269" s="1" t="s">
        <v>811</v>
      </c>
      <c r="W269" s="1" t="str">
        <f>VLOOKUP(Table1[[#This Row],[Obergruppe ATC-Code]],Tabelle3!$A$2:$B$100,2)</f>
        <v>ANTITHROMBOTISCHE MITTEL</v>
      </c>
      <c r="X269" s="1" t="str">
        <f xml:space="preserve"> LEFT(Table1[[#This Row],[Atc Code]],3)</f>
        <v>B01</v>
      </c>
    </row>
    <row r="270" spans="1:24" ht="14.4">
      <c r="A270" s="14">
        <v>1513</v>
      </c>
      <c r="B270" s="24">
        <v>16155472</v>
      </c>
      <c r="C270" s="1">
        <v>2716086</v>
      </c>
      <c r="D270" s="1" t="s">
        <v>25</v>
      </c>
      <c r="E270" s="36">
        <v>44482</v>
      </c>
      <c r="F270" s="36">
        <v>44503</v>
      </c>
      <c r="G270" s="38">
        <f t="shared" si="4"/>
        <v>21</v>
      </c>
      <c r="H270" s="5">
        <v>44481</v>
      </c>
      <c r="I270" s="5">
        <v>44504</v>
      </c>
      <c r="J270" s="1" t="s">
        <v>41</v>
      </c>
      <c r="K270" s="1" t="s">
        <v>810</v>
      </c>
      <c r="L270" s="1" t="s">
        <v>807</v>
      </c>
      <c r="M270" s="1" t="s">
        <v>808</v>
      </c>
      <c r="N270" s="1" t="s">
        <v>30</v>
      </c>
      <c r="O270" s="1" t="s">
        <v>751</v>
      </c>
      <c r="P270" s="1" t="s">
        <v>812</v>
      </c>
      <c r="Q270" s="1" t="s">
        <v>813</v>
      </c>
      <c r="R270" s="1" t="s">
        <v>26</v>
      </c>
      <c r="S270" s="1"/>
      <c r="U270" s="1" t="s">
        <v>35</v>
      </c>
      <c r="V270" s="1" t="s">
        <v>811</v>
      </c>
      <c r="W270" s="1" t="str">
        <f>VLOOKUP(Table1[[#This Row],[Obergruppe ATC-Code]],Tabelle3!$A$2:$B$100,2)</f>
        <v>ANTITHROMBOTISCHE MITTEL</v>
      </c>
      <c r="X270" s="1" t="str">
        <f xml:space="preserve"> LEFT(Table1[[#This Row],[Atc Code]],3)</f>
        <v>B01</v>
      </c>
    </row>
    <row r="271" spans="1:24" ht="14.4">
      <c r="A271" s="14">
        <v>1512</v>
      </c>
      <c r="B271" s="24">
        <v>16155472</v>
      </c>
      <c r="C271" s="1">
        <v>2716086</v>
      </c>
      <c r="D271" s="1" t="s">
        <v>25</v>
      </c>
      <c r="E271" s="36">
        <v>44663</v>
      </c>
      <c r="F271" s="36">
        <v>44735</v>
      </c>
      <c r="G271" s="38">
        <f t="shared" si="4"/>
        <v>72</v>
      </c>
      <c r="H271" s="5">
        <v>44664</v>
      </c>
      <c r="I271" s="5">
        <v>44741</v>
      </c>
      <c r="J271" s="1" t="s">
        <v>41</v>
      </c>
      <c r="K271" s="1" t="s">
        <v>810</v>
      </c>
      <c r="L271" s="1" t="s">
        <v>807</v>
      </c>
      <c r="M271" s="1" t="s">
        <v>808</v>
      </c>
      <c r="N271" s="1" t="s">
        <v>30</v>
      </c>
      <c r="O271" s="1" t="s">
        <v>751</v>
      </c>
      <c r="P271" s="1" t="s">
        <v>812</v>
      </c>
      <c r="Q271" s="1" t="s">
        <v>813</v>
      </c>
      <c r="R271" s="1" t="s">
        <v>128</v>
      </c>
      <c r="S271" s="1"/>
      <c r="U271" s="1" t="s">
        <v>35</v>
      </c>
      <c r="V271" s="1" t="s">
        <v>811</v>
      </c>
      <c r="W271" s="1" t="str">
        <f>VLOOKUP(Table1[[#This Row],[Obergruppe ATC-Code]],Tabelle3!$A$2:$B$100,2)</f>
        <v>ANTITHROMBOTISCHE MITTEL</v>
      </c>
      <c r="X271" s="1" t="str">
        <f xml:space="preserve"> LEFT(Table1[[#This Row],[Atc Code]],3)</f>
        <v>B01</v>
      </c>
    </row>
    <row r="272" spans="1:24" ht="14.4">
      <c r="A272" s="14">
        <v>1515</v>
      </c>
      <c r="B272" s="24">
        <v>16155489</v>
      </c>
      <c r="C272" s="1">
        <v>2716087</v>
      </c>
      <c r="D272" s="1" t="s">
        <v>102</v>
      </c>
      <c r="E272" s="36">
        <v>44971</v>
      </c>
      <c r="F272" s="36">
        <v>45291</v>
      </c>
      <c r="G272" s="38">
        <f t="shared" si="4"/>
        <v>320</v>
      </c>
      <c r="H272" s="5">
        <v>44958</v>
      </c>
      <c r="I272" s="5">
        <v>45058</v>
      </c>
      <c r="J272" s="1" t="s">
        <v>41</v>
      </c>
      <c r="K272" s="1" t="s">
        <v>810</v>
      </c>
      <c r="L272" s="1" t="s">
        <v>807</v>
      </c>
      <c r="M272" s="1" t="s">
        <v>808</v>
      </c>
      <c r="N272" s="1" t="s">
        <v>30</v>
      </c>
      <c r="O272" s="1" t="s">
        <v>751</v>
      </c>
      <c r="P272" s="1" t="s">
        <v>814</v>
      </c>
      <c r="Q272" s="1" t="s">
        <v>753</v>
      </c>
      <c r="R272" s="1" t="s">
        <v>128</v>
      </c>
      <c r="S272" s="1"/>
      <c r="U272" s="1" t="s">
        <v>35</v>
      </c>
      <c r="V272" s="1" t="s">
        <v>811</v>
      </c>
      <c r="W272" s="1" t="str">
        <f>VLOOKUP(Table1[[#This Row],[Obergruppe ATC-Code]],Tabelle3!$A$2:$B$100,2)</f>
        <v>ANTITHROMBOTISCHE MITTEL</v>
      </c>
      <c r="X272" s="1" t="str">
        <f xml:space="preserve"> LEFT(Table1[[#This Row],[Atc Code]],3)</f>
        <v>B01</v>
      </c>
    </row>
    <row r="273" spans="1:24" ht="14.4">
      <c r="A273" s="14">
        <v>1511</v>
      </c>
      <c r="B273" s="24">
        <v>16155472</v>
      </c>
      <c r="C273" s="1">
        <v>2716086</v>
      </c>
      <c r="D273" s="1" t="s">
        <v>102</v>
      </c>
      <c r="E273" s="36">
        <v>45036</v>
      </c>
      <c r="F273" s="36">
        <v>45291</v>
      </c>
      <c r="G273" s="38">
        <f t="shared" si="4"/>
        <v>255</v>
      </c>
      <c r="H273" s="5">
        <v>45037</v>
      </c>
      <c r="I273" s="5">
        <v>45135</v>
      </c>
      <c r="J273" s="1" t="s">
        <v>41</v>
      </c>
      <c r="K273" s="1" t="s">
        <v>810</v>
      </c>
      <c r="L273" s="1" t="s">
        <v>807</v>
      </c>
      <c r="M273" s="1" t="s">
        <v>808</v>
      </c>
      <c r="N273" s="1" t="s">
        <v>30</v>
      </c>
      <c r="O273" s="1" t="s">
        <v>751</v>
      </c>
      <c r="P273" s="1" t="s">
        <v>814</v>
      </c>
      <c r="Q273" s="1" t="s">
        <v>813</v>
      </c>
      <c r="R273" s="1" t="s">
        <v>128</v>
      </c>
      <c r="S273" s="1"/>
      <c r="U273" s="1" t="s">
        <v>35</v>
      </c>
      <c r="V273" s="1" t="s">
        <v>811</v>
      </c>
      <c r="W273" s="1" t="str">
        <f>VLOOKUP(Table1[[#This Row],[Obergruppe ATC-Code]],Tabelle3!$A$2:$B$100,2)</f>
        <v>ANTITHROMBOTISCHE MITTEL</v>
      </c>
      <c r="X273" s="1" t="str">
        <f xml:space="preserve"> LEFT(Table1[[#This Row],[Atc Code]],3)</f>
        <v>B01</v>
      </c>
    </row>
    <row r="274" spans="1:24" ht="14.4">
      <c r="A274" s="14">
        <v>639</v>
      </c>
      <c r="B274" s="24">
        <v>4191818</v>
      </c>
      <c r="C274" s="1">
        <v>2702634</v>
      </c>
      <c r="D274" s="1" t="s">
        <v>25</v>
      </c>
      <c r="E274" s="36">
        <v>42917</v>
      </c>
      <c r="F274" s="36">
        <v>42978</v>
      </c>
      <c r="G274" s="38">
        <f t="shared" si="4"/>
        <v>61</v>
      </c>
      <c r="H274" s="5">
        <v>43017</v>
      </c>
      <c r="I274" s="5">
        <v>43031</v>
      </c>
      <c r="J274" s="1" t="s">
        <v>41</v>
      </c>
      <c r="K274" s="1" t="s">
        <v>815</v>
      </c>
      <c r="L274" s="1" t="s">
        <v>816</v>
      </c>
      <c r="M274" s="1" t="s">
        <v>817</v>
      </c>
      <c r="N274" s="1" t="s">
        <v>30</v>
      </c>
      <c r="O274" s="1" t="s">
        <v>818</v>
      </c>
      <c r="P274" s="1" t="s">
        <v>819</v>
      </c>
      <c r="Q274" s="1" t="s">
        <v>820</v>
      </c>
      <c r="R274" s="1" t="s">
        <v>26</v>
      </c>
      <c r="S274" s="1"/>
      <c r="U274" s="1" t="s">
        <v>57</v>
      </c>
      <c r="V274" s="1" t="s">
        <v>74</v>
      </c>
      <c r="W274" s="1" t="str">
        <f>VLOOKUP(Table1[[#This Row],[Obergruppe ATC-Code]],Tabelle3!$A$2:$B$100,2)</f>
        <v>ANTITHROMBOTISCHE MITTEL</v>
      </c>
      <c r="X274" s="1" t="str">
        <f xml:space="preserve"> LEFT(Table1[[#This Row],[Atc Code]],3)</f>
        <v>B01</v>
      </c>
    </row>
    <row r="275" spans="1:24" ht="14.4">
      <c r="A275" s="14">
        <v>638</v>
      </c>
      <c r="B275" s="24">
        <v>4191801</v>
      </c>
      <c r="C275" s="1">
        <v>2702511</v>
      </c>
      <c r="D275" s="1" t="s">
        <v>25</v>
      </c>
      <c r="E275" s="36">
        <v>44868</v>
      </c>
      <c r="F275" s="36">
        <v>45006</v>
      </c>
      <c r="G275" s="38">
        <f t="shared" si="4"/>
        <v>138</v>
      </c>
      <c r="H275" s="5">
        <v>44883</v>
      </c>
      <c r="I275" s="5">
        <v>45006</v>
      </c>
      <c r="J275" s="1" t="s">
        <v>26</v>
      </c>
      <c r="K275" s="1" t="s">
        <v>821</v>
      </c>
      <c r="L275" s="1" t="s">
        <v>816</v>
      </c>
      <c r="M275" s="1" t="s">
        <v>817</v>
      </c>
      <c r="N275" s="1" t="s">
        <v>30</v>
      </c>
      <c r="O275" s="1" t="s">
        <v>822</v>
      </c>
      <c r="P275" s="1" t="s">
        <v>823</v>
      </c>
      <c r="Q275" s="1" t="s">
        <v>824</v>
      </c>
      <c r="R275" s="1" t="s">
        <v>33</v>
      </c>
      <c r="S275" s="1"/>
      <c r="T275" s="1" t="s">
        <v>825</v>
      </c>
      <c r="U275" s="1" t="s">
        <v>57</v>
      </c>
      <c r="V275" s="1" t="s">
        <v>74</v>
      </c>
      <c r="W275" s="1" t="str">
        <f>VLOOKUP(Table1[[#This Row],[Obergruppe ATC-Code]],Tabelle3!$A$2:$B$100,2)</f>
        <v>ANTITHROMBOTISCHE MITTEL</v>
      </c>
      <c r="X275" s="1" t="str">
        <f xml:space="preserve"> LEFT(Table1[[#This Row],[Atc Code]],3)</f>
        <v>B01</v>
      </c>
    </row>
    <row r="276" spans="1:24" ht="14.4">
      <c r="A276" s="14">
        <v>640</v>
      </c>
      <c r="B276" s="24">
        <v>4191818</v>
      </c>
      <c r="C276" s="1">
        <v>2702634</v>
      </c>
      <c r="D276" s="1" t="s">
        <v>25</v>
      </c>
      <c r="E276" s="36">
        <v>44974</v>
      </c>
      <c r="F276" s="36">
        <v>45078</v>
      </c>
      <c r="G276" s="38">
        <f t="shared" si="4"/>
        <v>104</v>
      </c>
      <c r="H276" s="5">
        <v>44986</v>
      </c>
      <c r="I276" s="5">
        <v>45078</v>
      </c>
      <c r="J276" s="1" t="s">
        <v>26</v>
      </c>
      <c r="K276" s="1" t="s">
        <v>815</v>
      </c>
      <c r="L276" s="1" t="s">
        <v>816</v>
      </c>
      <c r="M276" s="1" t="s">
        <v>817</v>
      </c>
      <c r="N276" s="1" t="s">
        <v>30</v>
      </c>
      <c r="O276" s="1" t="s">
        <v>822</v>
      </c>
      <c r="P276" s="1" t="s">
        <v>823</v>
      </c>
      <c r="Q276" s="1" t="s">
        <v>824</v>
      </c>
      <c r="R276" s="1" t="s">
        <v>33</v>
      </c>
      <c r="S276" s="1"/>
      <c r="U276" s="1" t="s">
        <v>35</v>
      </c>
      <c r="V276" s="1" t="s">
        <v>74</v>
      </c>
      <c r="W276" s="1" t="str">
        <f>VLOOKUP(Table1[[#This Row],[Obergruppe ATC-Code]],Tabelle3!$A$2:$B$100,2)</f>
        <v>ANTITHROMBOTISCHE MITTEL</v>
      </c>
      <c r="X276" s="1" t="str">
        <f xml:space="preserve"> LEFT(Table1[[#This Row],[Atc Code]],3)</f>
        <v>B01</v>
      </c>
    </row>
    <row r="277" spans="1:24" ht="14.4">
      <c r="A277" s="14">
        <v>641</v>
      </c>
      <c r="B277" s="24">
        <v>4191876</v>
      </c>
      <c r="C277" s="1">
        <v>2702640</v>
      </c>
      <c r="D277" s="1" t="s">
        <v>25</v>
      </c>
      <c r="E277" s="36">
        <v>45180</v>
      </c>
      <c r="F277" s="36">
        <v>45205</v>
      </c>
      <c r="G277" s="38">
        <f t="shared" si="4"/>
        <v>25</v>
      </c>
      <c r="H277" s="5">
        <v>45194</v>
      </c>
      <c r="I277" s="5">
        <v>45208</v>
      </c>
      <c r="J277" s="1" t="s">
        <v>26</v>
      </c>
      <c r="K277" s="1" t="s">
        <v>826</v>
      </c>
      <c r="L277" s="1" t="s">
        <v>816</v>
      </c>
      <c r="M277" s="1" t="s">
        <v>817</v>
      </c>
      <c r="N277" s="1" t="s">
        <v>38</v>
      </c>
      <c r="O277" s="1" t="s">
        <v>822</v>
      </c>
      <c r="P277" s="1" t="s">
        <v>823</v>
      </c>
      <c r="Q277" s="1" t="s">
        <v>824</v>
      </c>
      <c r="R277" s="1" t="s">
        <v>33</v>
      </c>
      <c r="S277" s="1"/>
      <c r="U277" s="1" t="s">
        <v>35</v>
      </c>
      <c r="V277" s="1" t="s">
        <v>74</v>
      </c>
      <c r="W277" s="1" t="str">
        <f>VLOOKUP(Table1[[#This Row],[Obergruppe ATC-Code]],Tabelle3!$A$2:$B$100,2)</f>
        <v>ANTITHROMBOTISCHE MITTEL</v>
      </c>
      <c r="X277" s="1" t="str">
        <f xml:space="preserve"> LEFT(Table1[[#This Row],[Atc Code]],3)</f>
        <v>B01</v>
      </c>
    </row>
    <row r="278" spans="1:24" ht="14.4">
      <c r="A278" s="14">
        <v>2757</v>
      </c>
      <c r="B278" s="24" t="s">
        <v>827</v>
      </c>
      <c r="C278" s="1">
        <v>2193771</v>
      </c>
      <c r="D278" s="1" t="s">
        <v>25</v>
      </c>
      <c r="E278" s="36">
        <v>43770</v>
      </c>
      <c r="F278" s="36">
        <v>43921</v>
      </c>
      <c r="G278" s="38">
        <f t="shared" si="4"/>
        <v>151</v>
      </c>
      <c r="H278" s="5">
        <v>43816</v>
      </c>
      <c r="I278" s="5">
        <v>43894</v>
      </c>
      <c r="J278" s="1" t="s">
        <v>26</v>
      </c>
      <c r="K278" s="1" t="s">
        <v>828</v>
      </c>
      <c r="L278" s="1" t="s">
        <v>829</v>
      </c>
      <c r="M278" s="1" t="s">
        <v>830</v>
      </c>
      <c r="N278" s="1" t="s">
        <v>30</v>
      </c>
      <c r="O278" s="1" t="s">
        <v>831</v>
      </c>
      <c r="P278" s="1" t="s">
        <v>832</v>
      </c>
      <c r="Q278" s="1" t="s">
        <v>833</v>
      </c>
      <c r="R278" s="1" t="s">
        <v>33</v>
      </c>
      <c r="S278" s="1"/>
      <c r="U278" s="1" t="s">
        <v>35</v>
      </c>
      <c r="V278" s="1" t="s">
        <v>99</v>
      </c>
      <c r="W278" s="1" t="str">
        <f>VLOOKUP(Table1[[#This Row],[Obergruppe ATC-Code]],Tabelle3!$A$2:$B$100,2)</f>
        <v>ANTIHÄMORRHAGIKA</v>
      </c>
      <c r="X278" s="1" t="str">
        <f xml:space="preserve"> LEFT(Table1[[#This Row],[Atc Code]],3)</f>
        <v>B02</v>
      </c>
    </row>
    <row r="279" spans="1:24" ht="14.4">
      <c r="A279" s="14">
        <v>1617</v>
      </c>
      <c r="B279" s="24">
        <v>18009970</v>
      </c>
      <c r="C279" s="1">
        <v>2134579</v>
      </c>
      <c r="D279" s="1" t="s">
        <v>175</v>
      </c>
      <c r="E279" s="36">
        <v>45168</v>
      </c>
      <c r="F279" s="36">
        <v>45260</v>
      </c>
      <c r="G279" s="38">
        <f t="shared" si="4"/>
        <v>92</v>
      </c>
      <c r="H279" s="5">
        <v>45168</v>
      </c>
      <c r="I279" s="5">
        <v>45168</v>
      </c>
      <c r="J279" s="1" t="s">
        <v>41</v>
      </c>
      <c r="K279" s="1" t="s">
        <v>834</v>
      </c>
      <c r="L279" s="1" t="s">
        <v>835</v>
      </c>
      <c r="M279" s="1" t="s">
        <v>836</v>
      </c>
      <c r="N279" s="1" t="s">
        <v>30</v>
      </c>
      <c r="O279" s="1" t="s">
        <v>837</v>
      </c>
      <c r="P279" s="1" t="s">
        <v>838</v>
      </c>
      <c r="Q279" s="1" t="s">
        <v>839</v>
      </c>
      <c r="R279" s="1" t="s">
        <v>128</v>
      </c>
      <c r="S279" s="1" t="s">
        <v>840</v>
      </c>
      <c r="U279" s="1" t="s">
        <v>35</v>
      </c>
      <c r="V279" s="1" t="s">
        <v>648</v>
      </c>
      <c r="W279" s="1" t="str">
        <f>VLOOKUP(Table1[[#This Row],[Obergruppe ATC-Code]],Tabelle3!$A$2:$B$100,2)</f>
        <v>ANTIHÄMORRHAGIKA</v>
      </c>
      <c r="X279" s="1" t="str">
        <f xml:space="preserve"> LEFT(Table1[[#This Row],[Atc Code]],3)</f>
        <v>B02</v>
      </c>
    </row>
    <row r="280" spans="1:24" ht="14.4">
      <c r="A280" s="14">
        <v>2701</v>
      </c>
      <c r="B280" s="24" t="s">
        <v>841</v>
      </c>
      <c r="C280" s="1">
        <v>2613347</v>
      </c>
      <c r="D280" s="1" t="s">
        <v>102</v>
      </c>
      <c r="E280" s="36">
        <v>43586</v>
      </c>
      <c r="F280" s="36">
        <v>45291</v>
      </c>
      <c r="G280" s="38">
        <f t="shared" si="4"/>
        <v>1705</v>
      </c>
      <c r="H280" s="5">
        <v>43613</v>
      </c>
      <c r="I280" s="5">
        <v>45027</v>
      </c>
      <c r="J280" s="1" t="s">
        <v>26</v>
      </c>
      <c r="K280" s="1" t="s">
        <v>842</v>
      </c>
      <c r="L280" s="1" t="s">
        <v>843</v>
      </c>
      <c r="M280" s="1" t="s">
        <v>844</v>
      </c>
      <c r="N280" s="1" t="s">
        <v>30</v>
      </c>
      <c r="O280" s="1" t="s">
        <v>845</v>
      </c>
      <c r="P280" s="1" t="s">
        <v>846</v>
      </c>
      <c r="Q280" s="1" t="s">
        <v>847</v>
      </c>
      <c r="R280" s="1" t="s">
        <v>33</v>
      </c>
      <c r="S280" s="1"/>
      <c r="T280" s="1" t="s">
        <v>848</v>
      </c>
      <c r="U280" s="1" t="s">
        <v>35</v>
      </c>
      <c r="V280" s="1" t="s">
        <v>803</v>
      </c>
      <c r="W280" s="1" t="str">
        <f>VLOOKUP(Table1[[#This Row],[Obergruppe ATC-Code]],Tabelle3!$A$2:$B$100,2)</f>
        <v>ANTIHÄMORRHAGIKA</v>
      </c>
      <c r="X280" s="1" t="str">
        <f xml:space="preserve"> LEFT(Table1[[#This Row],[Atc Code]],3)</f>
        <v>B02</v>
      </c>
    </row>
    <row r="281" spans="1:24" ht="14.4">
      <c r="A281" s="14">
        <v>1321</v>
      </c>
      <c r="B281" s="24">
        <v>12571883</v>
      </c>
      <c r="C281" s="1">
        <v>2673918</v>
      </c>
      <c r="D281" s="1" t="s">
        <v>25</v>
      </c>
      <c r="E281" s="36">
        <v>44883</v>
      </c>
      <c r="F281" s="36">
        <v>44939</v>
      </c>
      <c r="G281" s="38">
        <f t="shared" si="4"/>
        <v>56</v>
      </c>
      <c r="H281" s="5">
        <v>44880</v>
      </c>
      <c r="I281" s="5">
        <v>44939</v>
      </c>
      <c r="J281" s="1" t="s">
        <v>26</v>
      </c>
      <c r="K281" s="1" t="s">
        <v>849</v>
      </c>
      <c r="L281" s="1" t="s">
        <v>850</v>
      </c>
      <c r="M281" s="1" t="s">
        <v>851</v>
      </c>
      <c r="N281" s="1" t="s">
        <v>30</v>
      </c>
      <c r="O281" s="1" t="s">
        <v>852</v>
      </c>
      <c r="P281" s="1" t="s">
        <v>853</v>
      </c>
      <c r="Q281" s="1" t="s">
        <v>854</v>
      </c>
      <c r="R281" s="1" t="s">
        <v>113</v>
      </c>
      <c r="S281" s="1"/>
      <c r="T281" s="1" t="s">
        <v>855</v>
      </c>
      <c r="U281" s="1" t="s">
        <v>130</v>
      </c>
      <c r="V281" s="1" t="s">
        <v>803</v>
      </c>
      <c r="W281" s="1" t="str">
        <f>VLOOKUP(Table1[[#This Row],[Obergruppe ATC-Code]],Tabelle3!$A$2:$B$100,2)</f>
        <v>ANTIHÄMORRHAGIKA</v>
      </c>
      <c r="X281" s="1" t="str">
        <f xml:space="preserve"> LEFT(Table1[[#This Row],[Atc Code]],3)</f>
        <v>B02</v>
      </c>
    </row>
    <row r="282" spans="1:24" ht="14.4">
      <c r="A282" s="14">
        <v>2211</v>
      </c>
      <c r="B282" s="24" t="s">
        <v>856</v>
      </c>
      <c r="C282" s="1">
        <v>2604246</v>
      </c>
      <c r="D282" s="1" t="s">
        <v>25</v>
      </c>
      <c r="E282" s="36">
        <v>43132</v>
      </c>
      <c r="F282" s="36">
        <v>43251</v>
      </c>
      <c r="G282" s="38">
        <f t="shared" si="4"/>
        <v>119</v>
      </c>
      <c r="H282" s="5">
        <v>43153</v>
      </c>
      <c r="I282" s="5">
        <v>43236</v>
      </c>
      <c r="J282" s="1" t="s">
        <v>41</v>
      </c>
      <c r="K282" s="1" t="s">
        <v>857</v>
      </c>
      <c r="L282" s="1" t="s">
        <v>858</v>
      </c>
      <c r="M282" s="1" t="s">
        <v>859</v>
      </c>
      <c r="N282" s="1" t="s">
        <v>30</v>
      </c>
      <c r="O282" s="1" t="s">
        <v>845</v>
      </c>
      <c r="P282" s="1" t="s">
        <v>860</v>
      </c>
      <c r="Q282" s="1" t="s">
        <v>861</v>
      </c>
      <c r="R282" s="1" t="s">
        <v>65</v>
      </c>
      <c r="S282" s="1"/>
      <c r="U282" s="1" t="s">
        <v>35</v>
      </c>
      <c r="V282" s="1" t="s">
        <v>862</v>
      </c>
      <c r="W282" s="1" t="str">
        <f>VLOOKUP(Table1[[#This Row],[Obergruppe ATC-Code]],Tabelle3!$A$2:$B$100,2)</f>
        <v>ANTIHÄMORRHAGIKA</v>
      </c>
      <c r="X282" s="1" t="str">
        <f xml:space="preserve"> LEFT(Table1[[#This Row],[Atc Code]],3)</f>
        <v>B02</v>
      </c>
    </row>
    <row r="283" spans="1:24" ht="14.4">
      <c r="A283" s="14">
        <v>2210</v>
      </c>
      <c r="B283" s="24" t="s">
        <v>856</v>
      </c>
      <c r="C283" s="1">
        <v>2604246</v>
      </c>
      <c r="D283" s="1" t="s">
        <v>25</v>
      </c>
      <c r="E283" s="36">
        <v>43405</v>
      </c>
      <c r="F283" s="36">
        <v>43677</v>
      </c>
      <c r="G283" s="38">
        <f t="shared" si="4"/>
        <v>272</v>
      </c>
      <c r="H283" s="5">
        <v>43446</v>
      </c>
      <c r="I283" s="5">
        <v>43670</v>
      </c>
      <c r="J283" s="1" t="s">
        <v>26</v>
      </c>
      <c r="K283" s="1" t="s">
        <v>857</v>
      </c>
      <c r="L283" s="1" t="s">
        <v>858</v>
      </c>
      <c r="M283" s="1" t="s">
        <v>859</v>
      </c>
      <c r="N283" s="1" t="s">
        <v>30</v>
      </c>
      <c r="O283" s="1" t="s">
        <v>845</v>
      </c>
      <c r="P283" s="1" t="s">
        <v>860</v>
      </c>
      <c r="Q283" s="1" t="s">
        <v>861</v>
      </c>
      <c r="R283" s="1" t="s">
        <v>33</v>
      </c>
      <c r="S283" s="1"/>
      <c r="U283" s="1" t="s">
        <v>35</v>
      </c>
      <c r="V283" s="1" t="s">
        <v>862</v>
      </c>
      <c r="W283" s="1" t="str">
        <f>VLOOKUP(Table1[[#This Row],[Obergruppe ATC-Code]],Tabelle3!$A$2:$B$100,2)</f>
        <v>ANTIHÄMORRHAGIKA</v>
      </c>
      <c r="X283" s="1" t="str">
        <f xml:space="preserve"> LEFT(Table1[[#This Row],[Atc Code]],3)</f>
        <v>B02</v>
      </c>
    </row>
    <row r="284" spans="1:24" ht="14.4">
      <c r="A284" s="14">
        <v>275</v>
      </c>
      <c r="B284" s="24">
        <v>1608910</v>
      </c>
      <c r="C284" s="1">
        <v>160465</v>
      </c>
      <c r="D284" s="1" t="s">
        <v>25</v>
      </c>
      <c r="E284" s="36">
        <v>42917</v>
      </c>
      <c r="F284" s="36">
        <v>43312</v>
      </c>
      <c r="G284" s="38">
        <f t="shared" si="4"/>
        <v>395</v>
      </c>
      <c r="H284" s="5">
        <v>42933</v>
      </c>
      <c r="I284" s="5">
        <v>43312</v>
      </c>
      <c r="J284" s="1" t="s">
        <v>41</v>
      </c>
      <c r="K284" s="1" t="s">
        <v>863</v>
      </c>
      <c r="L284" s="1" t="s">
        <v>864</v>
      </c>
      <c r="M284" s="1" t="s">
        <v>865</v>
      </c>
      <c r="N284" s="1" t="s">
        <v>30</v>
      </c>
      <c r="O284" s="1" t="s">
        <v>866</v>
      </c>
      <c r="P284" s="1" t="s">
        <v>867</v>
      </c>
      <c r="Q284" s="1" t="s">
        <v>868</v>
      </c>
      <c r="R284" s="1" t="s">
        <v>65</v>
      </c>
      <c r="S284" s="1"/>
      <c r="T284" s="1" t="s">
        <v>869</v>
      </c>
      <c r="U284" s="1" t="s">
        <v>57</v>
      </c>
      <c r="V284" s="1" t="s">
        <v>596</v>
      </c>
      <c r="W284" s="1" t="str">
        <f>VLOOKUP(Table1[[#This Row],[Obergruppe ATC-Code]],Tabelle3!$A$2:$B$100,2)</f>
        <v>ANTIANÄMIKA</v>
      </c>
      <c r="X284" s="1" t="str">
        <f xml:space="preserve"> LEFT(Table1[[#This Row],[Atc Code]],3)</f>
        <v>B03</v>
      </c>
    </row>
    <row r="285" spans="1:24" ht="14.4">
      <c r="A285" s="14">
        <v>1715</v>
      </c>
      <c r="B285" s="24" t="s">
        <v>870</v>
      </c>
      <c r="C285" s="1">
        <v>160465</v>
      </c>
      <c r="D285" s="1" t="s">
        <v>102</v>
      </c>
      <c r="E285" s="36">
        <v>45152</v>
      </c>
      <c r="F285" s="36">
        <v>45869</v>
      </c>
      <c r="G285" s="38">
        <f t="shared" si="4"/>
        <v>717</v>
      </c>
      <c r="H285" s="5">
        <v>45152</v>
      </c>
      <c r="I285" s="5">
        <v>45153</v>
      </c>
      <c r="J285" s="1" t="s">
        <v>41</v>
      </c>
      <c r="K285" s="1" t="s">
        <v>863</v>
      </c>
      <c r="L285" s="1" t="s">
        <v>864</v>
      </c>
      <c r="M285" s="1" t="s">
        <v>865</v>
      </c>
      <c r="N285" s="1" t="s">
        <v>30</v>
      </c>
      <c r="O285" s="1" t="s">
        <v>866</v>
      </c>
      <c r="P285" s="1" t="s">
        <v>871</v>
      </c>
      <c r="R285" s="1" t="s">
        <v>48</v>
      </c>
      <c r="S285" s="1" t="s">
        <v>872</v>
      </c>
      <c r="U285" s="1" t="s">
        <v>130</v>
      </c>
      <c r="V285" s="1" t="s">
        <v>596</v>
      </c>
      <c r="W285" s="1" t="str">
        <f>VLOOKUP(Table1[[#This Row],[Obergruppe ATC-Code]],Tabelle3!$A$2:$B$100,2)</f>
        <v>ANTIANÄMIKA</v>
      </c>
      <c r="X285" s="1" t="str">
        <f xml:space="preserve"> LEFT(Table1[[#This Row],[Atc Code]],3)</f>
        <v>B03</v>
      </c>
    </row>
    <row r="286" spans="1:24" ht="14.4">
      <c r="A286" s="14">
        <v>490</v>
      </c>
      <c r="B286" s="24">
        <v>3075375</v>
      </c>
      <c r="C286" s="1">
        <v>385744</v>
      </c>
      <c r="D286" s="1" t="s">
        <v>25</v>
      </c>
      <c r="E286" s="36">
        <v>44729</v>
      </c>
      <c r="F286" s="36">
        <v>44795</v>
      </c>
      <c r="G286" s="38">
        <f t="shared" si="4"/>
        <v>66</v>
      </c>
      <c r="H286" s="5">
        <v>44732</v>
      </c>
      <c r="I286" s="5">
        <v>44796</v>
      </c>
      <c r="J286" s="1" t="s">
        <v>41</v>
      </c>
      <c r="K286" s="1" t="s">
        <v>873</v>
      </c>
      <c r="L286" s="1" t="s">
        <v>874</v>
      </c>
      <c r="M286" s="1" t="s">
        <v>875</v>
      </c>
      <c r="N286" s="1" t="s">
        <v>30</v>
      </c>
      <c r="O286" s="1" t="s">
        <v>62</v>
      </c>
      <c r="P286" s="1" t="s">
        <v>63</v>
      </c>
      <c r="Q286" s="1" t="s">
        <v>64</v>
      </c>
      <c r="R286" s="1" t="s">
        <v>65</v>
      </c>
      <c r="S286" s="1"/>
      <c r="U286" s="1" t="s">
        <v>35</v>
      </c>
      <c r="V286" s="1" t="s">
        <v>74</v>
      </c>
      <c r="W286" s="1" t="str">
        <f>VLOOKUP(Table1[[#This Row],[Obergruppe ATC-Code]],Tabelle3!$A$2:$B$100,2)</f>
        <v>ANTIANÄMIKA</v>
      </c>
      <c r="X286" s="1" t="str">
        <f xml:space="preserve"> LEFT(Table1[[#This Row],[Atc Code]],3)</f>
        <v>B03</v>
      </c>
    </row>
    <row r="287" spans="1:24" ht="14.4">
      <c r="A287" s="14">
        <v>487</v>
      </c>
      <c r="B287" s="24">
        <v>3075375</v>
      </c>
      <c r="C287" s="1">
        <v>385744</v>
      </c>
      <c r="D287" s="1" t="s">
        <v>25</v>
      </c>
      <c r="E287" s="36">
        <v>44827</v>
      </c>
      <c r="F287" s="36">
        <v>44900</v>
      </c>
      <c r="G287" s="38">
        <f t="shared" si="4"/>
        <v>73</v>
      </c>
      <c r="H287" s="5">
        <v>44826</v>
      </c>
      <c r="I287" s="5">
        <v>44900</v>
      </c>
      <c r="J287" s="1" t="s">
        <v>41</v>
      </c>
      <c r="K287" s="1" t="s">
        <v>873</v>
      </c>
      <c r="L287" s="1" t="s">
        <v>874</v>
      </c>
      <c r="M287" s="1" t="s">
        <v>875</v>
      </c>
      <c r="N287" s="1" t="s">
        <v>30</v>
      </c>
      <c r="O287" s="1" t="s">
        <v>62</v>
      </c>
      <c r="P287" s="1" t="s">
        <v>63</v>
      </c>
      <c r="Q287" s="1" t="s">
        <v>64</v>
      </c>
      <c r="R287" s="1" t="s">
        <v>65</v>
      </c>
      <c r="S287" s="1" t="s">
        <v>876</v>
      </c>
      <c r="T287" s="1" t="s">
        <v>877</v>
      </c>
      <c r="U287" s="1" t="s">
        <v>35</v>
      </c>
      <c r="V287" s="1" t="s">
        <v>74</v>
      </c>
      <c r="W287" s="1" t="str">
        <f>VLOOKUP(Table1[[#This Row],[Obergruppe ATC-Code]],Tabelle3!$A$2:$B$100,2)</f>
        <v>ANTIANÄMIKA</v>
      </c>
      <c r="X287" s="1" t="str">
        <f xml:space="preserve"> LEFT(Table1[[#This Row],[Atc Code]],3)</f>
        <v>B03</v>
      </c>
    </row>
    <row r="288" spans="1:24" ht="14.4">
      <c r="A288" s="14">
        <v>486</v>
      </c>
      <c r="B288" s="24">
        <v>3075346</v>
      </c>
      <c r="C288" s="1">
        <v>1441686</v>
      </c>
      <c r="D288" s="1" t="s">
        <v>25</v>
      </c>
      <c r="E288" s="36">
        <v>44946</v>
      </c>
      <c r="F288" s="36">
        <v>44985</v>
      </c>
      <c r="G288" s="38">
        <f t="shared" si="4"/>
        <v>39</v>
      </c>
      <c r="H288" s="5">
        <v>44946</v>
      </c>
      <c r="I288" s="5">
        <v>44985</v>
      </c>
      <c r="J288" s="1" t="s">
        <v>41</v>
      </c>
      <c r="K288" s="1" t="s">
        <v>878</v>
      </c>
      <c r="L288" s="1" t="s">
        <v>874</v>
      </c>
      <c r="M288" s="1" t="s">
        <v>875</v>
      </c>
      <c r="N288" s="1" t="s">
        <v>30</v>
      </c>
      <c r="O288" s="1" t="s">
        <v>62</v>
      </c>
      <c r="P288" s="1">
        <v>8005252010</v>
      </c>
      <c r="Q288" s="1" t="s">
        <v>64</v>
      </c>
      <c r="R288" s="1" t="s">
        <v>128</v>
      </c>
      <c r="S288" s="1" t="s">
        <v>879</v>
      </c>
      <c r="U288" s="1" t="s">
        <v>35</v>
      </c>
      <c r="V288" s="1" t="s">
        <v>74</v>
      </c>
      <c r="W288" s="1" t="str">
        <f>VLOOKUP(Table1[[#This Row],[Obergruppe ATC-Code]],Tabelle3!$A$2:$B$100,2)</f>
        <v>ANTIANÄMIKA</v>
      </c>
      <c r="X288" s="1" t="str">
        <f xml:space="preserve"> LEFT(Table1[[#This Row],[Atc Code]],3)</f>
        <v>B03</v>
      </c>
    </row>
    <row r="289" spans="1:24" ht="14.4">
      <c r="A289" s="14">
        <v>485</v>
      </c>
      <c r="B289" s="24">
        <v>3075346</v>
      </c>
      <c r="C289" s="1">
        <v>1441686</v>
      </c>
      <c r="D289" s="1" t="s">
        <v>25</v>
      </c>
      <c r="E289" s="36">
        <v>45021</v>
      </c>
      <c r="F289" s="36">
        <v>45030</v>
      </c>
      <c r="G289" s="38">
        <f t="shared" si="4"/>
        <v>9</v>
      </c>
      <c r="H289" s="5">
        <v>45020</v>
      </c>
      <c r="I289" s="5">
        <v>45030</v>
      </c>
      <c r="J289" s="1" t="s">
        <v>41</v>
      </c>
      <c r="K289" s="1" t="s">
        <v>878</v>
      </c>
      <c r="L289" s="1" t="s">
        <v>874</v>
      </c>
      <c r="M289" s="1" t="s">
        <v>875</v>
      </c>
      <c r="N289" s="1" t="s">
        <v>30</v>
      </c>
      <c r="O289" s="1" t="s">
        <v>62</v>
      </c>
      <c r="P289" s="1" t="s">
        <v>63</v>
      </c>
      <c r="Q289" s="1" t="s">
        <v>64</v>
      </c>
      <c r="R289" s="1" t="s">
        <v>128</v>
      </c>
      <c r="S289" s="1" t="s">
        <v>880</v>
      </c>
      <c r="U289" s="1" t="s">
        <v>35</v>
      </c>
      <c r="V289" s="1" t="s">
        <v>74</v>
      </c>
      <c r="W289" s="1" t="str">
        <f>VLOOKUP(Table1[[#This Row],[Obergruppe ATC-Code]],Tabelle3!$A$2:$B$100,2)</f>
        <v>ANTIANÄMIKA</v>
      </c>
      <c r="X289" s="1" t="str">
        <f xml:space="preserve"> LEFT(Table1[[#This Row],[Atc Code]],3)</f>
        <v>B03</v>
      </c>
    </row>
    <row r="290" spans="1:24" ht="14.4">
      <c r="A290" s="14">
        <v>489</v>
      </c>
      <c r="B290" s="24">
        <v>3075375</v>
      </c>
      <c r="C290" s="1">
        <v>385744</v>
      </c>
      <c r="D290" s="1" t="s">
        <v>25</v>
      </c>
      <c r="E290" s="36">
        <v>44946</v>
      </c>
      <c r="F290" s="36">
        <v>45041</v>
      </c>
      <c r="G290" s="38">
        <f t="shared" si="4"/>
        <v>95</v>
      </c>
      <c r="H290" s="5">
        <v>44946</v>
      </c>
      <c r="I290" s="5">
        <v>45041</v>
      </c>
      <c r="J290" s="1" t="s">
        <v>41</v>
      </c>
      <c r="K290" s="1" t="s">
        <v>873</v>
      </c>
      <c r="L290" s="1" t="s">
        <v>874</v>
      </c>
      <c r="M290" s="1" t="s">
        <v>875</v>
      </c>
      <c r="N290" s="1" t="s">
        <v>30</v>
      </c>
      <c r="O290" s="1" t="s">
        <v>62</v>
      </c>
      <c r="P290" s="1">
        <v>8005252010</v>
      </c>
      <c r="Q290" s="1" t="s">
        <v>64</v>
      </c>
      <c r="R290" s="1" t="s">
        <v>128</v>
      </c>
      <c r="S290" s="1" t="s">
        <v>879</v>
      </c>
      <c r="U290" s="1" t="s">
        <v>35</v>
      </c>
      <c r="V290" s="1" t="s">
        <v>74</v>
      </c>
      <c r="W290" s="1" t="str">
        <f>VLOOKUP(Table1[[#This Row],[Obergruppe ATC-Code]],Tabelle3!$A$2:$B$100,2)</f>
        <v>ANTIANÄMIKA</v>
      </c>
      <c r="X290" s="1" t="str">
        <f xml:space="preserve"> LEFT(Table1[[#This Row],[Atc Code]],3)</f>
        <v>B03</v>
      </c>
    </row>
    <row r="291" spans="1:24" ht="14.4">
      <c r="A291" s="14">
        <v>488</v>
      </c>
      <c r="B291" s="24">
        <v>3075375</v>
      </c>
      <c r="C291" s="1">
        <v>385744</v>
      </c>
      <c r="D291" s="1" t="s">
        <v>25</v>
      </c>
      <c r="E291" s="36">
        <v>45141</v>
      </c>
      <c r="F291" s="36">
        <v>45191</v>
      </c>
      <c r="G291" s="38">
        <f t="shared" si="4"/>
        <v>50</v>
      </c>
      <c r="H291" s="5">
        <v>45141</v>
      </c>
      <c r="I291" s="5">
        <v>45191</v>
      </c>
      <c r="J291" s="1" t="s">
        <v>26</v>
      </c>
      <c r="K291" s="1" t="s">
        <v>873</v>
      </c>
      <c r="L291" s="1" t="s">
        <v>874</v>
      </c>
      <c r="M291" s="1" t="s">
        <v>875</v>
      </c>
      <c r="N291" s="1" t="s">
        <v>38</v>
      </c>
      <c r="O291" s="1" t="s">
        <v>62</v>
      </c>
      <c r="P291" s="1">
        <v>8005252010</v>
      </c>
      <c r="Q291" s="1" t="s">
        <v>881</v>
      </c>
      <c r="R291" s="1" t="s">
        <v>113</v>
      </c>
      <c r="S291" s="1" t="s">
        <v>879</v>
      </c>
      <c r="U291" s="1" t="s">
        <v>130</v>
      </c>
      <c r="V291" s="1" t="s">
        <v>74</v>
      </c>
      <c r="W291" s="1" t="str">
        <f>VLOOKUP(Table1[[#This Row],[Obergruppe ATC-Code]],Tabelle3!$A$2:$B$100,2)</f>
        <v>ANTIANÄMIKA</v>
      </c>
      <c r="X291" s="1" t="str">
        <f xml:space="preserve"> LEFT(Table1[[#This Row],[Atc Code]],3)</f>
        <v>B03</v>
      </c>
    </row>
    <row r="292" spans="1:24" ht="14.4">
      <c r="A292" s="14">
        <v>849</v>
      </c>
      <c r="B292" s="24">
        <v>7146994</v>
      </c>
      <c r="C292" s="1">
        <v>3000296</v>
      </c>
      <c r="D292" s="1" t="s">
        <v>25</v>
      </c>
      <c r="E292" s="36">
        <v>44631</v>
      </c>
      <c r="F292" s="36">
        <v>44689</v>
      </c>
      <c r="G292" s="38">
        <f t="shared" si="4"/>
        <v>58</v>
      </c>
      <c r="H292" s="5">
        <v>44631</v>
      </c>
      <c r="I292" s="5">
        <v>44687</v>
      </c>
      <c r="J292" s="1" t="s">
        <v>26</v>
      </c>
      <c r="K292" s="1" t="s">
        <v>882</v>
      </c>
      <c r="L292" s="1" t="s">
        <v>883</v>
      </c>
      <c r="M292" s="1" t="s">
        <v>884</v>
      </c>
      <c r="N292" s="1" t="s">
        <v>30</v>
      </c>
      <c r="O292" s="1" t="s">
        <v>615</v>
      </c>
      <c r="P292" s="1">
        <v>49349542470</v>
      </c>
      <c r="Q292" s="1" t="s">
        <v>616</v>
      </c>
      <c r="R292" s="1" t="s">
        <v>33</v>
      </c>
      <c r="S292" s="1" t="s">
        <v>885</v>
      </c>
      <c r="T292" s="1" t="s">
        <v>886</v>
      </c>
      <c r="U292" s="1" t="s">
        <v>35</v>
      </c>
      <c r="V292" s="1" t="s">
        <v>74</v>
      </c>
      <c r="W292" s="1" t="str">
        <f>VLOOKUP(Table1[[#This Row],[Obergruppe ATC-Code]],Tabelle3!$A$2:$B$100,2)</f>
        <v>ANTIANÄMIKA</v>
      </c>
      <c r="X292" s="1" t="str">
        <f xml:space="preserve"> LEFT(Table1[[#This Row],[Atc Code]],3)</f>
        <v>B03</v>
      </c>
    </row>
    <row r="293" spans="1:24" ht="14.4">
      <c r="A293" s="14">
        <v>848</v>
      </c>
      <c r="B293" s="24">
        <v>7146988</v>
      </c>
      <c r="C293" s="1">
        <v>3000296</v>
      </c>
      <c r="D293" s="1" t="s">
        <v>25</v>
      </c>
      <c r="E293" s="36">
        <v>44670</v>
      </c>
      <c r="F293" s="36">
        <v>44690</v>
      </c>
      <c r="G293" s="38">
        <f t="shared" si="4"/>
        <v>20</v>
      </c>
      <c r="H293" s="5">
        <v>44672</v>
      </c>
      <c r="I293" s="5">
        <v>44687</v>
      </c>
      <c r="J293" s="1" t="s">
        <v>26</v>
      </c>
      <c r="K293" s="1" t="s">
        <v>882</v>
      </c>
      <c r="L293" s="1" t="s">
        <v>883</v>
      </c>
      <c r="M293" s="1" t="s">
        <v>884</v>
      </c>
      <c r="N293" s="1" t="s">
        <v>30</v>
      </c>
      <c r="O293" s="1" t="s">
        <v>615</v>
      </c>
      <c r="P293" s="1">
        <v>349542470</v>
      </c>
      <c r="Q293" s="1" t="s">
        <v>621</v>
      </c>
      <c r="R293" s="1" t="s">
        <v>33</v>
      </c>
      <c r="S293" s="1" t="s">
        <v>887</v>
      </c>
      <c r="U293" s="1" t="s">
        <v>35</v>
      </c>
      <c r="V293" s="1" t="s">
        <v>74</v>
      </c>
      <c r="W293" s="1" t="str">
        <f>VLOOKUP(Table1[[#This Row],[Obergruppe ATC-Code]],Tabelle3!$A$2:$B$100,2)</f>
        <v>ANTIANÄMIKA</v>
      </c>
      <c r="X293" s="1" t="str">
        <f xml:space="preserve"> LEFT(Table1[[#This Row],[Atc Code]],3)</f>
        <v>B03</v>
      </c>
    </row>
    <row r="294" spans="1:24" ht="14.4">
      <c r="A294" s="14">
        <v>34</v>
      </c>
      <c r="B294" s="24">
        <v>200271</v>
      </c>
      <c r="C294" s="1">
        <v>2604239</v>
      </c>
      <c r="D294" s="1" t="s">
        <v>25</v>
      </c>
      <c r="E294" s="36">
        <v>44799</v>
      </c>
      <c r="F294" s="36">
        <v>44834</v>
      </c>
      <c r="G294" s="38">
        <f t="shared" si="4"/>
        <v>35</v>
      </c>
      <c r="H294" s="5">
        <v>44799</v>
      </c>
      <c r="I294" s="5">
        <v>44839</v>
      </c>
      <c r="J294" s="1" t="s">
        <v>26</v>
      </c>
      <c r="K294" s="1" t="s">
        <v>888</v>
      </c>
      <c r="L294" s="1" t="s">
        <v>889</v>
      </c>
      <c r="M294" s="1" t="s">
        <v>890</v>
      </c>
      <c r="N294" s="1" t="s">
        <v>30</v>
      </c>
      <c r="O294" s="1" t="s">
        <v>891</v>
      </c>
      <c r="Q294" s="1" t="s">
        <v>892</v>
      </c>
      <c r="R294" s="1" t="s">
        <v>26</v>
      </c>
      <c r="S294" s="1" t="s">
        <v>893</v>
      </c>
      <c r="T294" s="1" t="s">
        <v>894</v>
      </c>
      <c r="U294" s="1" t="s">
        <v>130</v>
      </c>
      <c r="V294" s="1" t="s">
        <v>225</v>
      </c>
      <c r="W294" s="1" t="str">
        <f>VLOOKUP(Table1[[#This Row],[Obergruppe ATC-Code]],Tabelle3!$A$2:$B$100,2)</f>
        <v>BLUTERSATZMITTEL UND PERFUSIONSLÖSUNGEN</v>
      </c>
      <c r="X294" s="1" t="str">
        <f xml:space="preserve"> LEFT(Table1[[#This Row],[Atc Code]],3)</f>
        <v>B05</v>
      </c>
    </row>
    <row r="295" spans="1:24" ht="14.4">
      <c r="A295" s="14">
        <v>35</v>
      </c>
      <c r="B295" s="24">
        <v>200271</v>
      </c>
      <c r="C295" s="1">
        <v>2604239</v>
      </c>
      <c r="D295" s="1" t="s">
        <v>25</v>
      </c>
      <c r="E295" s="36">
        <v>44799</v>
      </c>
      <c r="F295" s="36">
        <v>44834</v>
      </c>
      <c r="G295" s="38">
        <f t="shared" si="4"/>
        <v>35</v>
      </c>
      <c r="H295" s="5">
        <v>44799</v>
      </c>
      <c r="I295" s="5">
        <v>44839</v>
      </c>
      <c r="J295" s="1" t="s">
        <v>26</v>
      </c>
      <c r="K295" s="1" t="s">
        <v>888</v>
      </c>
      <c r="L295" s="1" t="s">
        <v>889</v>
      </c>
      <c r="M295" s="1" t="s">
        <v>890</v>
      </c>
      <c r="N295" s="1" t="s">
        <v>30</v>
      </c>
      <c r="O295" s="1" t="s">
        <v>891</v>
      </c>
      <c r="Q295" s="1" t="s">
        <v>892</v>
      </c>
      <c r="R295" s="1" t="s">
        <v>26</v>
      </c>
      <c r="S295" s="1" t="s">
        <v>893</v>
      </c>
      <c r="T295" s="1" t="s">
        <v>894</v>
      </c>
      <c r="U295" s="1" t="s">
        <v>130</v>
      </c>
      <c r="V295" s="1" t="s">
        <v>225</v>
      </c>
      <c r="W295" s="1" t="str">
        <f>VLOOKUP(Table1[[#This Row],[Obergruppe ATC-Code]],Tabelle3!$A$2:$B$100,2)</f>
        <v>BLUTERSATZMITTEL UND PERFUSIONSLÖSUNGEN</v>
      </c>
      <c r="X295" s="1" t="str">
        <f xml:space="preserve"> LEFT(Table1[[#This Row],[Atc Code]],3)</f>
        <v>B05</v>
      </c>
    </row>
    <row r="296" spans="1:24" ht="14.4">
      <c r="A296" s="14">
        <v>2841</v>
      </c>
      <c r="B296" s="24" t="s">
        <v>895</v>
      </c>
      <c r="C296" s="1">
        <v>2166697</v>
      </c>
      <c r="D296" s="1" t="s">
        <v>25</v>
      </c>
      <c r="E296" s="36">
        <v>44317</v>
      </c>
      <c r="F296" s="36">
        <v>44481</v>
      </c>
      <c r="G296" s="38">
        <f t="shared" si="4"/>
        <v>164</v>
      </c>
      <c r="H296" s="5">
        <v>44316</v>
      </c>
      <c r="I296" s="5">
        <v>44480</v>
      </c>
      <c r="J296" s="1" t="s">
        <v>41</v>
      </c>
      <c r="K296" s="1" t="s">
        <v>896</v>
      </c>
      <c r="L296" s="1" t="s">
        <v>897</v>
      </c>
      <c r="M296" s="1" t="s">
        <v>898</v>
      </c>
      <c r="N296" s="1" t="s">
        <v>30</v>
      </c>
      <c r="O296" s="1" t="s">
        <v>213</v>
      </c>
      <c r="P296" s="1" t="s">
        <v>899</v>
      </c>
      <c r="Q296" s="1" t="s">
        <v>215</v>
      </c>
      <c r="R296" s="1" t="s">
        <v>26</v>
      </c>
      <c r="S296" s="1"/>
      <c r="T296" s="1" t="s">
        <v>900</v>
      </c>
      <c r="U296" s="1" t="s">
        <v>57</v>
      </c>
      <c r="V296" s="1" t="s">
        <v>648</v>
      </c>
      <c r="W296" s="1" t="str">
        <f>VLOOKUP(Table1[[#This Row],[Obergruppe ATC-Code]],Tabelle3!$A$2:$B$100,2)</f>
        <v>BLUTERSATZMITTEL UND PERFUSIONSLÖSUNGEN</v>
      </c>
      <c r="X296" s="1" t="str">
        <f xml:space="preserve"> LEFT(Table1[[#This Row],[Atc Code]],3)</f>
        <v>B05</v>
      </c>
    </row>
    <row r="297" spans="1:24" ht="14.4">
      <c r="A297" s="14">
        <v>1830</v>
      </c>
      <c r="B297" s="24" t="s">
        <v>901</v>
      </c>
      <c r="C297" s="1">
        <v>2138720</v>
      </c>
      <c r="D297" s="1" t="s">
        <v>25</v>
      </c>
      <c r="E297" s="36">
        <v>43374</v>
      </c>
      <c r="F297" s="36">
        <v>43434</v>
      </c>
      <c r="G297" s="38">
        <f t="shared" si="4"/>
        <v>60</v>
      </c>
      <c r="H297" s="5">
        <v>43388</v>
      </c>
      <c r="I297" s="5">
        <v>43411</v>
      </c>
      <c r="J297" s="1" t="s">
        <v>41</v>
      </c>
      <c r="K297" s="1" t="s">
        <v>902</v>
      </c>
      <c r="L297" s="1" t="s">
        <v>903</v>
      </c>
      <c r="M297" s="1" t="s">
        <v>904</v>
      </c>
      <c r="N297" s="1" t="s">
        <v>30</v>
      </c>
      <c r="O297" s="1" t="s">
        <v>220</v>
      </c>
      <c r="P297" s="1">
        <v>61726080</v>
      </c>
      <c r="Q297" s="1" t="s">
        <v>222</v>
      </c>
      <c r="R297" s="1" t="s">
        <v>26</v>
      </c>
      <c r="S297" s="1"/>
      <c r="T297" s="1" t="s">
        <v>905</v>
      </c>
      <c r="U297" s="1" t="s">
        <v>57</v>
      </c>
      <c r="V297" s="1" t="s">
        <v>648</v>
      </c>
      <c r="W297" s="1" t="str">
        <f>VLOOKUP(Table1[[#This Row],[Obergruppe ATC-Code]],Tabelle3!$A$2:$B$100,2)</f>
        <v>BLUTERSATZMITTEL UND PERFUSIONSLÖSUNGEN</v>
      </c>
      <c r="X297" s="1" t="str">
        <f xml:space="preserve"> LEFT(Table1[[#This Row],[Atc Code]],3)</f>
        <v>B05</v>
      </c>
    </row>
    <row r="298" spans="1:24" ht="14.4">
      <c r="A298" s="14">
        <v>454</v>
      </c>
      <c r="B298" s="24">
        <v>2765132</v>
      </c>
      <c r="C298" s="1">
        <v>2102829</v>
      </c>
      <c r="D298" s="1" t="s">
        <v>25</v>
      </c>
      <c r="E298" s="36">
        <v>44581</v>
      </c>
      <c r="F298" s="36">
        <v>44608</v>
      </c>
      <c r="G298" s="38">
        <f t="shared" si="4"/>
        <v>27</v>
      </c>
      <c r="H298" s="5">
        <v>44587</v>
      </c>
      <c r="I298" s="5">
        <v>44620</v>
      </c>
      <c r="J298" s="1" t="s">
        <v>26</v>
      </c>
      <c r="K298" s="1" t="s">
        <v>906</v>
      </c>
      <c r="L298" s="1" t="s">
        <v>903</v>
      </c>
      <c r="M298" s="1" t="s">
        <v>907</v>
      </c>
      <c r="N298" s="1" t="s">
        <v>30</v>
      </c>
      <c r="O298" s="1" t="s">
        <v>220</v>
      </c>
      <c r="P298" s="1">
        <v>61726080</v>
      </c>
      <c r="Q298" s="1" t="s">
        <v>908</v>
      </c>
      <c r="R298" s="1" t="s">
        <v>26</v>
      </c>
      <c r="S298" s="1"/>
      <c r="U298" s="1" t="s">
        <v>57</v>
      </c>
      <c r="V298" s="1" t="s">
        <v>648</v>
      </c>
      <c r="W298" s="1" t="str">
        <f>VLOOKUP(Table1[[#This Row],[Obergruppe ATC-Code]],Tabelle3!$A$2:$B$100,2)</f>
        <v>BLUTERSATZMITTEL UND PERFUSIONSLÖSUNGEN</v>
      </c>
      <c r="X298" s="1" t="str">
        <f xml:space="preserve"> LEFT(Table1[[#This Row],[Atc Code]],3)</f>
        <v>B05</v>
      </c>
    </row>
    <row r="299" spans="1:24" ht="14.4">
      <c r="A299" s="14">
        <v>529</v>
      </c>
      <c r="B299" s="24">
        <v>3336249</v>
      </c>
      <c r="C299" s="1">
        <v>2113384</v>
      </c>
      <c r="D299" s="1" t="s">
        <v>25</v>
      </c>
      <c r="E299" s="36">
        <v>44627</v>
      </c>
      <c r="F299" s="36">
        <v>44645</v>
      </c>
      <c r="G299" s="38">
        <f t="shared" si="4"/>
        <v>18</v>
      </c>
      <c r="H299" s="5">
        <v>44627</v>
      </c>
      <c r="I299" s="5">
        <v>44645</v>
      </c>
      <c r="J299" s="1" t="s">
        <v>41</v>
      </c>
      <c r="K299" s="1" t="s">
        <v>909</v>
      </c>
      <c r="L299" s="1" t="s">
        <v>903</v>
      </c>
      <c r="M299" s="1" t="s">
        <v>910</v>
      </c>
      <c r="N299" s="1" t="s">
        <v>30</v>
      </c>
      <c r="O299" s="1" t="s">
        <v>213</v>
      </c>
      <c r="P299" s="1">
        <v>566191477309</v>
      </c>
      <c r="Q299" s="1" t="s">
        <v>911</v>
      </c>
      <c r="R299" s="1" t="s">
        <v>128</v>
      </c>
      <c r="S299" s="1"/>
      <c r="U299" s="1" t="s">
        <v>130</v>
      </c>
      <c r="V299" s="1" t="s">
        <v>648</v>
      </c>
      <c r="W299" s="1" t="str">
        <f>VLOOKUP(Table1[[#This Row],[Obergruppe ATC-Code]],Tabelle3!$A$2:$B$100,2)</f>
        <v>BLUTERSATZMITTEL UND PERFUSIONSLÖSUNGEN</v>
      </c>
      <c r="X299" s="1" t="str">
        <f xml:space="preserve"> LEFT(Table1[[#This Row],[Atc Code]],3)</f>
        <v>B05</v>
      </c>
    </row>
    <row r="300" spans="1:24" ht="14.4">
      <c r="A300" s="14">
        <v>827</v>
      </c>
      <c r="B300" s="24">
        <v>6977747</v>
      </c>
      <c r="C300" s="1">
        <v>2113931</v>
      </c>
      <c r="D300" s="1" t="s">
        <v>25</v>
      </c>
      <c r="E300" s="36">
        <v>44552</v>
      </c>
      <c r="F300" s="36">
        <v>44672</v>
      </c>
      <c r="G300" s="38">
        <f t="shared" si="4"/>
        <v>120</v>
      </c>
      <c r="H300" s="5">
        <v>44557</v>
      </c>
      <c r="I300" s="5">
        <v>44694</v>
      </c>
      <c r="J300" s="1" t="s">
        <v>26</v>
      </c>
      <c r="K300" s="1" t="s">
        <v>912</v>
      </c>
      <c r="L300" s="1" t="s">
        <v>903</v>
      </c>
      <c r="M300" s="1" t="s">
        <v>913</v>
      </c>
      <c r="N300" s="1" t="s">
        <v>30</v>
      </c>
      <c r="O300" s="1" t="s">
        <v>220</v>
      </c>
      <c r="P300" s="1">
        <v>61726080</v>
      </c>
      <c r="Q300" s="1" t="s">
        <v>908</v>
      </c>
      <c r="R300" s="1" t="s">
        <v>26</v>
      </c>
      <c r="S300" s="1"/>
      <c r="U300" s="1" t="s">
        <v>57</v>
      </c>
      <c r="V300" s="1" t="s">
        <v>648</v>
      </c>
      <c r="W300" s="1" t="str">
        <f>VLOOKUP(Table1[[#This Row],[Obergruppe ATC-Code]],Tabelle3!$A$2:$B$100,2)</f>
        <v>BLUTERSATZMITTEL UND PERFUSIONSLÖSUNGEN</v>
      </c>
      <c r="X300" s="1" t="str">
        <f xml:space="preserve"> LEFT(Table1[[#This Row],[Atc Code]],3)</f>
        <v>B05</v>
      </c>
    </row>
    <row r="301" spans="1:24" ht="14.4">
      <c r="A301" s="14">
        <v>696</v>
      </c>
      <c r="B301" s="24">
        <v>4744252</v>
      </c>
      <c r="C301" s="1">
        <v>2109284</v>
      </c>
      <c r="D301" s="1" t="s">
        <v>25</v>
      </c>
      <c r="E301" s="36">
        <v>44652</v>
      </c>
      <c r="F301" s="36">
        <v>44742</v>
      </c>
      <c r="G301" s="38">
        <f t="shared" si="4"/>
        <v>90</v>
      </c>
      <c r="H301" s="5">
        <v>44643</v>
      </c>
      <c r="I301" s="5">
        <v>44742</v>
      </c>
      <c r="J301" s="1" t="s">
        <v>41</v>
      </c>
      <c r="K301" s="1" t="s">
        <v>914</v>
      </c>
      <c r="L301" s="1" t="s">
        <v>903</v>
      </c>
      <c r="M301" s="1" t="s">
        <v>915</v>
      </c>
      <c r="N301" s="1" t="s">
        <v>30</v>
      </c>
      <c r="O301" s="1" t="s">
        <v>248</v>
      </c>
      <c r="Q301" s="1" t="s">
        <v>250</v>
      </c>
      <c r="R301" s="1" t="s">
        <v>128</v>
      </c>
      <c r="S301" s="1"/>
      <c r="T301" s="1" t="s">
        <v>916</v>
      </c>
      <c r="U301" s="1" t="s">
        <v>57</v>
      </c>
      <c r="V301" s="1" t="s">
        <v>648</v>
      </c>
      <c r="W301" s="1" t="str">
        <f>VLOOKUP(Table1[[#This Row],[Obergruppe ATC-Code]],Tabelle3!$A$2:$B$100,2)</f>
        <v>BLUTERSATZMITTEL UND PERFUSIONSLÖSUNGEN</v>
      </c>
      <c r="X301" s="1" t="str">
        <f xml:space="preserve"> LEFT(Table1[[#This Row],[Atc Code]],3)</f>
        <v>B05</v>
      </c>
    </row>
    <row r="302" spans="1:24" ht="14.4">
      <c r="A302" s="14">
        <v>610</v>
      </c>
      <c r="B302" s="24">
        <v>3986929</v>
      </c>
      <c r="C302" s="1">
        <v>2108561</v>
      </c>
      <c r="D302" s="1" t="s">
        <v>25</v>
      </c>
      <c r="E302" s="36">
        <v>44652</v>
      </c>
      <c r="F302" s="36">
        <v>44742</v>
      </c>
      <c r="G302" s="38">
        <f t="shared" si="4"/>
        <v>90</v>
      </c>
      <c r="H302" s="5">
        <v>44643</v>
      </c>
      <c r="I302" s="5">
        <v>44742</v>
      </c>
      <c r="J302" s="1" t="s">
        <v>41</v>
      </c>
      <c r="K302" s="1" t="s">
        <v>917</v>
      </c>
      <c r="L302" s="1" t="s">
        <v>903</v>
      </c>
      <c r="M302" s="1" t="s">
        <v>918</v>
      </c>
      <c r="N302" s="1" t="s">
        <v>38</v>
      </c>
      <c r="O302" s="1" t="s">
        <v>248</v>
      </c>
      <c r="Q302" s="1" t="s">
        <v>250</v>
      </c>
      <c r="R302" s="1" t="s">
        <v>128</v>
      </c>
      <c r="S302" s="1"/>
      <c r="T302" s="1" t="s">
        <v>919</v>
      </c>
      <c r="U302" s="1" t="s">
        <v>130</v>
      </c>
      <c r="V302" s="1" t="s">
        <v>648</v>
      </c>
      <c r="W302" s="1" t="str">
        <f>VLOOKUP(Table1[[#This Row],[Obergruppe ATC-Code]],Tabelle3!$A$2:$B$100,2)</f>
        <v>BLUTERSATZMITTEL UND PERFUSIONSLÖSUNGEN</v>
      </c>
      <c r="X302" s="1" t="str">
        <f xml:space="preserve"> LEFT(Table1[[#This Row],[Atc Code]],3)</f>
        <v>B05</v>
      </c>
    </row>
    <row r="303" spans="1:24" ht="14.4">
      <c r="A303" s="14">
        <v>474</v>
      </c>
      <c r="B303" s="24">
        <v>3061120</v>
      </c>
      <c r="C303" s="1">
        <v>2106200</v>
      </c>
      <c r="D303" s="1" t="s">
        <v>25</v>
      </c>
      <c r="E303" s="36">
        <v>44652</v>
      </c>
      <c r="F303" s="36">
        <v>44742</v>
      </c>
      <c r="G303" s="38">
        <f t="shared" si="4"/>
        <v>90</v>
      </c>
      <c r="H303" s="5">
        <v>44643</v>
      </c>
      <c r="I303" s="5">
        <v>44742</v>
      </c>
      <c r="J303" s="1" t="s">
        <v>41</v>
      </c>
      <c r="K303" s="1" t="s">
        <v>920</v>
      </c>
      <c r="L303" s="1" t="s">
        <v>903</v>
      </c>
      <c r="M303" s="1" t="s">
        <v>918</v>
      </c>
      <c r="N303" s="1" t="s">
        <v>30</v>
      </c>
      <c r="O303" s="1" t="s">
        <v>248</v>
      </c>
      <c r="Q303" s="1" t="s">
        <v>250</v>
      </c>
      <c r="R303" s="1" t="s">
        <v>128</v>
      </c>
      <c r="S303" s="1"/>
      <c r="T303" s="1" t="s">
        <v>919</v>
      </c>
      <c r="U303" s="1" t="s">
        <v>130</v>
      </c>
      <c r="V303" s="1" t="s">
        <v>648</v>
      </c>
      <c r="W303" s="1" t="str">
        <f>VLOOKUP(Table1[[#This Row],[Obergruppe ATC-Code]],Tabelle3!$A$2:$B$100,2)</f>
        <v>BLUTERSATZMITTEL UND PERFUSIONSLÖSUNGEN</v>
      </c>
      <c r="X303" s="1" t="str">
        <f xml:space="preserve"> LEFT(Table1[[#This Row],[Atc Code]],3)</f>
        <v>B05</v>
      </c>
    </row>
    <row r="304" spans="1:24" ht="14.4">
      <c r="A304" s="14">
        <v>453</v>
      </c>
      <c r="B304" s="24">
        <v>2765132</v>
      </c>
      <c r="C304" s="1">
        <v>2102829</v>
      </c>
      <c r="D304" s="1" t="s">
        <v>25</v>
      </c>
      <c r="E304" s="36">
        <v>44747</v>
      </c>
      <c r="F304" s="36">
        <v>44763</v>
      </c>
      <c r="G304" s="38">
        <f t="shared" si="4"/>
        <v>16</v>
      </c>
      <c r="H304" s="5">
        <v>44749</v>
      </c>
      <c r="I304" s="5">
        <v>44763</v>
      </c>
      <c r="J304" s="1" t="s">
        <v>26</v>
      </c>
      <c r="K304" s="1" t="s">
        <v>906</v>
      </c>
      <c r="L304" s="1" t="s">
        <v>903</v>
      </c>
      <c r="M304" s="1" t="s">
        <v>907</v>
      </c>
      <c r="N304" s="1" t="s">
        <v>30</v>
      </c>
      <c r="O304" s="1" t="s">
        <v>220</v>
      </c>
      <c r="P304" s="1">
        <v>61726080</v>
      </c>
      <c r="Q304" s="1" t="s">
        <v>908</v>
      </c>
      <c r="R304" s="1" t="s">
        <v>33</v>
      </c>
      <c r="S304" s="1" t="s">
        <v>921</v>
      </c>
      <c r="U304" s="1" t="s">
        <v>130</v>
      </c>
      <c r="V304" s="1" t="s">
        <v>648</v>
      </c>
      <c r="W304" s="1" t="str">
        <f>VLOOKUP(Table1[[#This Row],[Obergruppe ATC-Code]],Tabelle3!$A$2:$B$100,2)</f>
        <v>BLUTERSATZMITTEL UND PERFUSIONSLÖSUNGEN</v>
      </c>
      <c r="X304" s="1" t="str">
        <f xml:space="preserve"> LEFT(Table1[[#This Row],[Atc Code]],3)</f>
        <v>B05</v>
      </c>
    </row>
    <row r="305" spans="1:24" ht="14.4">
      <c r="A305" s="14">
        <v>2288</v>
      </c>
      <c r="B305" s="24" t="s">
        <v>922</v>
      </c>
      <c r="C305" s="1">
        <v>2113931</v>
      </c>
      <c r="D305" s="1" t="s">
        <v>25</v>
      </c>
      <c r="E305" s="36">
        <v>44754</v>
      </c>
      <c r="F305" s="36">
        <v>44868</v>
      </c>
      <c r="G305" s="38">
        <f t="shared" si="4"/>
        <v>114</v>
      </c>
      <c r="H305" s="5">
        <v>44775</v>
      </c>
      <c r="I305" s="5">
        <v>44868</v>
      </c>
      <c r="J305" s="1" t="s">
        <v>41</v>
      </c>
      <c r="K305" s="1" t="s">
        <v>912</v>
      </c>
      <c r="L305" s="1" t="s">
        <v>903</v>
      </c>
      <c r="M305" s="1" t="s">
        <v>913</v>
      </c>
      <c r="N305" s="1" t="s">
        <v>30</v>
      </c>
      <c r="O305" s="1" t="s">
        <v>220</v>
      </c>
      <c r="P305" s="1">
        <v>61726080</v>
      </c>
      <c r="Q305" s="1" t="s">
        <v>908</v>
      </c>
      <c r="R305" s="1" t="s">
        <v>26</v>
      </c>
      <c r="S305" s="1"/>
      <c r="T305" s="1" t="s">
        <v>923</v>
      </c>
      <c r="U305" s="1" t="s">
        <v>130</v>
      </c>
      <c r="V305" s="1" t="s">
        <v>648</v>
      </c>
      <c r="W305" s="1" t="str">
        <f>VLOOKUP(Table1[[#This Row],[Obergruppe ATC-Code]],Tabelle3!$A$2:$B$100,2)</f>
        <v>BLUTERSATZMITTEL UND PERFUSIONSLÖSUNGEN</v>
      </c>
      <c r="X305" s="1" t="str">
        <f xml:space="preserve"> LEFT(Table1[[#This Row],[Atc Code]],3)</f>
        <v>B05</v>
      </c>
    </row>
    <row r="306" spans="1:24" ht="14.4">
      <c r="A306" s="14">
        <v>993</v>
      </c>
      <c r="B306" s="24">
        <v>8602744</v>
      </c>
      <c r="C306" s="1">
        <v>2134164</v>
      </c>
      <c r="D306" s="1" t="s">
        <v>25</v>
      </c>
      <c r="E306" s="36">
        <v>42917</v>
      </c>
      <c r="F306" s="36">
        <v>42978</v>
      </c>
      <c r="G306" s="38">
        <f t="shared" si="4"/>
        <v>61</v>
      </c>
      <c r="H306" s="5">
        <v>42936</v>
      </c>
      <c r="I306" s="5">
        <v>42958</v>
      </c>
      <c r="J306" s="1" t="s">
        <v>41</v>
      </c>
      <c r="K306" s="1" t="s">
        <v>924</v>
      </c>
      <c r="L306" s="1" t="s">
        <v>925</v>
      </c>
      <c r="M306" s="1" t="s">
        <v>926</v>
      </c>
      <c r="N306" s="1" t="s">
        <v>30</v>
      </c>
      <c r="O306" s="1" t="s">
        <v>220</v>
      </c>
      <c r="P306" s="1">
        <v>61726080</v>
      </c>
      <c r="Q306" s="1" t="s">
        <v>222</v>
      </c>
      <c r="R306" s="1" t="s">
        <v>26</v>
      </c>
      <c r="S306" s="1"/>
      <c r="T306" s="1" t="s">
        <v>927</v>
      </c>
      <c r="U306" s="1" t="s">
        <v>57</v>
      </c>
      <c r="V306" s="1" t="s">
        <v>928</v>
      </c>
      <c r="W306" s="1" t="str">
        <f>VLOOKUP(Table1[[#This Row],[Obergruppe ATC-Code]],Tabelle3!$A$2:$B$100,2)</f>
        <v>BLUTERSATZMITTEL UND PERFUSIONSLÖSUNGEN</v>
      </c>
      <c r="X306" s="1" t="str">
        <f xml:space="preserve"> LEFT(Table1[[#This Row],[Atc Code]],3)</f>
        <v>B05</v>
      </c>
    </row>
    <row r="307" spans="1:24" ht="14.4">
      <c r="A307" s="14">
        <v>2323</v>
      </c>
      <c r="B307" s="24" t="s">
        <v>929</v>
      </c>
      <c r="C307" s="1">
        <v>2102559</v>
      </c>
      <c r="D307" s="1" t="s">
        <v>25</v>
      </c>
      <c r="E307" s="36">
        <v>43160</v>
      </c>
      <c r="F307" s="36">
        <v>43190</v>
      </c>
      <c r="G307" s="38">
        <f t="shared" si="4"/>
        <v>30</v>
      </c>
      <c r="H307" s="5">
        <v>43173</v>
      </c>
      <c r="I307" s="5">
        <v>43193</v>
      </c>
      <c r="J307" s="1" t="s">
        <v>41</v>
      </c>
      <c r="K307" s="1" t="s">
        <v>930</v>
      </c>
      <c r="L307" s="1" t="s">
        <v>925</v>
      </c>
      <c r="M307" s="1" t="s">
        <v>931</v>
      </c>
      <c r="N307" s="1" t="s">
        <v>30</v>
      </c>
      <c r="O307" s="1" t="s">
        <v>220</v>
      </c>
      <c r="P307" s="1">
        <v>61726080</v>
      </c>
      <c r="Q307" s="1" t="s">
        <v>222</v>
      </c>
      <c r="R307" s="1" t="s">
        <v>26</v>
      </c>
      <c r="S307" s="1"/>
      <c r="T307" s="1" t="s">
        <v>905</v>
      </c>
      <c r="U307" s="1" t="s">
        <v>57</v>
      </c>
      <c r="V307" s="1" t="s">
        <v>932</v>
      </c>
      <c r="W307" s="1" t="str">
        <f>VLOOKUP(Table1[[#This Row],[Obergruppe ATC-Code]],Tabelle3!$A$2:$B$100,2)</f>
        <v>BLUTERSATZMITTEL UND PERFUSIONSLÖSUNGEN</v>
      </c>
      <c r="X307" s="1" t="str">
        <f xml:space="preserve"> LEFT(Table1[[#This Row],[Atc Code]],3)</f>
        <v>B05</v>
      </c>
    </row>
    <row r="308" spans="1:24" ht="14.4">
      <c r="A308" s="14">
        <v>1704</v>
      </c>
      <c r="B308" s="24" t="s">
        <v>933</v>
      </c>
      <c r="C308" s="1">
        <v>2133151</v>
      </c>
      <c r="D308" s="1" t="s">
        <v>25</v>
      </c>
      <c r="E308" s="36">
        <v>44692</v>
      </c>
      <c r="F308" s="36">
        <v>44773</v>
      </c>
      <c r="G308" s="38">
        <f t="shared" si="4"/>
        <v>81</v>
      </c>
      <c r="H308" s="5">
        <v>44705</v>
      </c>
      <c r="I308" s="5">
        <v>44768</v>
      </c>
      <c r="J308" s="1" t="s">
        <v>41</v>
      </c>
      <c r="K308" s="1" t="s">
        <v>934</v>
      </c>
      <c r="L308" s="1" t="s">
        <v>925</v>
      </c>
      <c r="M308" s="1" t="s">
        <v>935</v>
      </c>
      <c r="N308" s="1" t="s">
        <v>30</v>
      </c>
      <c r="O308" s="1" t="s">
        <v>220</v>
      </c>
      <c r="P308" s="1" t="s">
        <v>936</v>
      </c>
      <c r="Q308" s="1" t="s">
        <v>937</v>
      </c>
      <c r="R308" s="1" t="s">
        <v>65</v>
      </c>
      <c r="S308" s="1" t="s">
        <v>938</v>
      </c>
      <c r="U308" s="1" t="s">
        <v>57</v>
      </c>
      <c r="V308" s="1" t="s">
        <v>928</v>
      </c>
      <c r="W308" s="1" t="str">
        <f>VLOOKUP(Table1[[#This Row],[Obergruppe ATC-Code]],Tabelle3!$A$2:$B$100,2)</f>
        <v>BLUTERSATZMITTEL UND PERFUSIONSLÖSUNGEN</v>
      </c>
      <c r="X308" s="1" t="str">
        <f xml:space="preserve"> LEFT(Table1[[#This Row],[Atc Code]],3)</f>
        <v>B05</v>
      </c>
    </row>
    <row r="309" spans="1:24" ht="14.4">
      <c r="A309" s="14">
        <v>994</v>
      </c>
      <c r="B309" s="24">
        <v>8602744</v>
      </c>
      <c r="C309" s="1">
        <v>2134164</v>
      </c>
      <c r="D309" s="1" t="s">
        <v>175</v>
      </c>
      <c r="E309" s="36">
        <v>45169</v>
      </c>
      <c r="F309" s="36">
        <v>45245</v>
      </c>
      <c r="G309" s="38">
        <f t="shared" si="4"/>
        <v>76</v>
      </c>
      <c r="H309" s="5">
        <v>45169</v>
      </c>
      <c r="I309" s="5">
        <v>45169</v>
      </c>
      <c r="J309" s="1" t="s">
        <v>41</v>
      </c>
      <c r="K309" s="1" t="s">
        <v>924</v>
      </c>
      <c r="L309" s="1" t="s">
        <v>925</v>
      </c>
      <c r="M309" s="1" t="s">
        <v>926</v>
      </c>
      <c r="N309" s="1" t="s">
        <v>30</v>
      </c>
      <c r="O309" s="1" t="s">
        <v>220</v>
      </c>
      <c r="P309" s="1">
        <v>61726080</v>
      </c>
      <c r="Q309" s="1" t="s">
        <v>908</v>
      </c>
      <c r="R309" s="1" t="s">
        <v>128</v>
      </c>
      <c r="S309" s="1"/>
      <c r="U309" s="1" t="s">
        <v>130</v>
      </c>
      <c r="V309" s="1" t="s">
        <v>928</v>
      </c>
      <c r="W309" s="1" t="str">
        <f>VLOOKUP(Table1[[#This Row],[Obergruppe ATC-Code]],Tabelle3!$A$2:$B$100,2)</f>
        <v>BLUTERSATZMITTEL UND PERFUSIONSLÖSUNGEN</v>
      </c>
      <c r="X309" s="1" t="str">
        <f xml:space="preserve"> LEFT(Table1[[#This Row],[Atc Code]],3)</f>
        <v>B05</v>
      </c>
    </row>
    <row r="310" spans="1:24" ht="14.4">
      <c r="A310" s="14">
        <v>507</v>
      </c>
      <c r="B310" s="24">
        <v>3131518</v>
      </c>
      <c r="C310" s="1">
        <v>2107086</v>
      </c>
      <c r="D310" s="1" t="s">
        <v>25</v>
      </c>
      <c r="E310" s="36">
        <v>44166</v>
      </c>
      <c r="F310" s="36">
        <v>44255</v>
      </c>
      <c r="G310" s="38">
        <f t="shared" si="4"/>
        <v>89</v>
      </c>
      <c r="H310" s="5">
        <v>44161</v>
      </c>
      <c r="I310" s="5">
        <v>44231</v>
      </c>
      <c r="J310" s="1" t="s">
        <v>41</v>
      </c>
      <c r="K310" s="1" t="s">
        <v>939</v>
      </c>
      <c r="L310" s="1" t="s">
        <v>940</v>
      </c>
      <c r="M310" s="1" t="s">
        <v>941</v>
      </c>
      <c r="N310" s="1" t="s">
        <v>30</v>
      </c>
      <c r="O310" s="1" t="s">
        <v>220</v>
      </c>
      <c r="P310" s="1" t="s">
        <v>221</v>
      </c>
      <c r="Q310" s="1" t="s">
        <v>222</v>
      </c>
      <c r="R310" s="1" t="s">
        <v>942</v>
      </c>
      <c r="S310" s="1" t="s">
        <v>943</v>
      </c>
      <c r="T310" s="1" t="s">
        <v>944</v>
      </c>
      <c r="U310" s="1" t="s">
        <v>57</v>
      </c>
      <c r="V310" s="1" t="s">
        <v>648</v>
      </c>
      <c r="W310" s="1" t="str">
        <f>VLOOKUP(Table1[[#This Row],[Obergruppe ATC-Code]],Tabelle3!$A$2:$B$100,2)</f>
        <v>BLUTERSATZMITTEL UND PERFUSIONSLÖSUNGEN</v>
      </c>
      <c r="X310" s="1" t="str">
        <f xml:space="preserve"> LEFT(Table1[[#This Row],[Atc Code]],3)</f>
        <v>B05</v>
      </c>
    </row>
    <row r="311" spans="1:24" ht="14.4">
      <c r="A311" s="14">
        <v>2209</v>
      </c>
      <c r="B311" s="24" t="s">
        <v>945</v>
      </c>
      <c r="C311" s="1">
        <v>2172142</v>
      </c>
      <c r="D311" s="1" t="s">
        <v>25</v>
      </c>
      <c r="E311" s="36">
        <v>43191</v>
      </c>
      <c r="F311" s="36">
        <v>43220</v>
      </c>
      <c r="G311" s="38">
        <f t="shared" si="4"/>
        <v>29</v>
      </c>
      <c r="H311" s="5">
        <v>43200</v>
      </c>
      <c r="I311" s="5">
        <v>43252</v>
      </c>
      <c r="J311" s="1" t="s">
        <v>41</v>
      </c>
      <c r="K311" s="1" t="s">
        <v>946</v>
      </c>
      <c r="L311" s="1" t="s">
        <v>947</v>
      </c>
      <c r="M311" s="1" t="s">
        <v>948</v>
      </c>
      <c r="N311" s="1" t="s">
        <v>30</v>
      </c>
      <c r="O311" s="1" t="s">
        <v>220</v>
      </c>
      <c r="P311" s="1">
        <v>61726080</v>
      </c>
      <c r="Q311" s="1" t="s">
        <v>222</v>
      </c>
      <c r="R311" s="1" t="s">
        <v>26</v>
      </c>
      <c r="S311" s="1"/>
      <c r="T311" s="1" t="s">
        <v>949</v>
      </c>
      <c r="U311" s="1" t="s">
        <v>57</v>
      </c>
      <c r="V311" s="1" t="s">
        <v>932</v>
      </c>
      <c r="W311" s="1" t="str">
        <f>VLOOKUP(Table1[[#This Row],[Obergruppe ATC-Code]],Tabelle3!$A$2:$B$100,2)</f>
        <v>BLUTERSATZMITTEL UND PERFUSIONSLÖSUNGEN</v>
      </c>
      <c r="X311" s="1" t="str">
        <f xml:space="preserve"> LEFT(Table1[[#This Row],[Atc Code]],3)</f>
        <v>B05</v>
      </c>
    </row>
    <row r="312" spans="1:24" ht="14.4">
      <c r="A312" s="14">
        <v>3048</v>
      </c>
      <c r="B312" s="1">
        <v>9717633</v>
      </c>
      <c r="C312" s="1">
        <v>723632</v>
      </c>
      <c r="D312" s="1" t="s">
        <v>25</v>
      </c>
      <c r="E312" s="36">
        <v>43617</v>
      </c>
      <c r="F312" s="36">
        <v>43830</v>
      </c>
      <c r="G312" s="38">
        <f t="shared" si="4"/>
        <v>213</v>
      </c>
      <c r="H312" s="5">
        <v>43633</v>
      </c>
      <c r="I312" s="5">
        <v>43836</v>
      </c>
      <c r="J312" s="1" t="s">
        <v>41</v>
      </c>
      <c r="K312" s="1" t="s">
        <v>950</v>
      </c>
      <c r="L312" s="1" t="s">
        <v>951</v>
      </c>
      <c r="M312" s="1" t="s">
        <v>952</v>
      </c>
      <c r="N312" s="1" t="s">
        <v>30</v>
      </c>
      <c r="O312" s="1" t="s">
        <v>213</v>
      </c>
      <c r="P312" s="1" t="s">
        <v>214</v>
      </c>
      <c r="Q312" s="1" t="s">
        <v>215</v>
      </c>
      <c r="R312" s="1" t="s">
        <v>26</v>
      </c>
      <c r="S312" s="1"/>
      <c r="T312" s="1" t="s">
        <v>953</v>
      </c>
      <c r="U312" s="1" t="s">
        <v>57</v>
      </c>
      <c r="V312" s="1" t="s">
        <v>279</v>
      </c>
      <c r="W312" s="1" t="str">
        <f>VLOOKUP(Table1[[#This Row],[Obergruppe ATC-Code]],Tabelle3!$A$2:$B$100,2)</f>
        <v>BLUTERSATZMITTEL UND PERFUSIONSLÖSUNGEN</v>
      </c>
      <c r="X312" s="1" t="str">
        <f xml:space="preserve"> LEFT(Table1[[#This Row],[Atc Code]],3)</f>
        <v>B05</v>
      </c>
    </row>
    <row r="313" spans="1:24" ht="14.4">
      <c r="A313" s="14">
        <v>1726</v>
      </c>
      <c r="B313" s="24" t="s">
        <v>954</v>
      </c>
      <c r="C313" s="1">
        <v>100285</v>
      </c>
      <c r="D313" s="1" t="s">
        <v>25</v>
      </c>
      <c r="E313" s="36">
        <v>45163</v>
      </c>
      <c r="F313" s="36">
        <v>45215</v>
      </c>
      <c r="G313" s="38">
        <f t="shared" si="4"/>
        <v>52</v>
      </c>
      <c r="H313" s="5">
        <v>45166</v>
      </c>
      <c r="I313" s="5">
        <v>45215</v>
      </c>
      <c r="J313" s="1" t="s">
        <v>41</v>
      </c>
      <c r="K313" s="1" t="s">
        <v>955</v>
      </c>
      <c r="L313" s="1" t="s">
        <v>956</v>
      </c>
      <c r="M313" s="1" t="s">
        <v>957</v>
      </c>
      <c r="N313" s="1" t="s">
        <v>30</v>
      </c>
      <c r="O313" s="1" t="s">
        <v>220</v>
      </c>
      <c r="P313" s="1">
        <v>61726867883</v>
      </c>
      <c r="Q313" s="1" t="s">
        <v>958</v>
      </c>
      <c r="R313" s="1" t="s">
        <v>65</v>
      </c>
      <c r="S313" s="1"/>
      <c r="U313" s="1" t="s">
        <v>130</v>
      </c>
      <c r="V313" s="1" t="s">
        <v>648</v>
      </c>
      <c r="W313" s="1" t="str">
        <f>VLOOKUP(Table1[[#This Row],[Obergruppe ATC-Code]],Tabelle3!$A$2:$B$100,2)</f>
        <v>BLUTERSATZMITTEL UND PERFUSIONSLÖSUNGEN</v>
      </c>
      <c r="X313" s="1" t="str">
        <f xml:space="preserve"> LEFT(Table1[[#This Row],[Atc Code]],3)</f>
        <v>B05</v>
      </c>
    </row>
    <row r="314" spans="1:24" ht="14.4">
      <c r="A314" s="14">
        <v>3049</v>
      </c>
      <c r="B314" s="1">
        <v>7446383</v>
      </c>
      <c r="C314" s="1">
        <v>2130493</v>
      </c>
      <c r="D314" s="1" t="s">
        <v>25</v>
      </c>
      <c r="E314" s="36">
        <v>42887</v>
      </c>
      <c r="F314" s="36">
        <v>42947</v>
      </c>
      <c r="G314" s="38">
        <f t="shared" si="4"/>
        <v>60</v>
      </c>
      <c r="H314" s="5">
        <v>42902</v>
      </c>
      <c r="I314" s="5">
        <v>42948</v>
      </c>
      <c r="J314" s="1" t="s">
        <v>41</v>
      </c>
      <c r="K314" s="1" t="s">
        <v>959</v>
      </c>
      <c r="L314" s="1" t="s">
        <v>960</v>
      </c>
      <c r="M314" s="1" t="s">
        <v>961</v>
      </c>
      <c r="N314" s="1" t="s">
        <v>30</v>
      </c>
      <c r="O314" s="1" t="s">
        <v>248</v>
      </c>
      <c r="P314" s="1" t="s">
        <v>962</v>
      </c>
      <c r="Q314" s="1" t="s">
        <v>963</v>
      </c>
      <c r="R314" s="1" t="s">
        <v>26</v>
      </c>
      <c r="S314" s="1"/>
      <c r="U314" s="1" t="s">
        <v>35</v>
      </c>
      <c r="V314" s="1" t="s">
        <v>279</v>
      </c>
      <c r="W314" s="1" t="str">
        <f>VLOOKUP(Table1[[#This Row],[Obergruppe ATC-Code]],Tabelle3!$A$2:$B$100,2)</f>
        <v>BLUTERSATZMITTEL UND PERFUSIONSLÖSUNGEN</v>
      </c>
      <c r="X314" s="1" t="str">
        <f xml:space="preserve"> LEFT(Table1[[#This Row],[Atc Code]],3)</f>
        <v>B05</v>
      </c>
    </row>
    <row r="315" spans="1:24" ht="14.4">
      <c r="A315" s="14">
        <v>1847</v>
      </c>
      <c r="B315" s="24" t="s">
        <v>964</v>
      </c>
      <c r="C315" s="1">
        <v>2171047</v>
      </c>
      <c r="D315" s="1" t="s">
        <v>25</v>
      </c>
      <c r="E315" s="36">
        <v>42856</v>
      </c>
      <c r="F315" s="36">
        <v>42978</v>
      </c>
      <c r="G315" s="38">
        <f t="shared" si="4"/>
        <v>122</v>
      </c>
      <c r="H315" s="5">
        <v>42878</v>
      </c>
      <c r="I315" s="5">
        <v>42958</v>
      </c>
      <c r="J315" s="1" t="s">
        <v>41</v>
      </c>
      <c r="K315" s="1" t="s">
        <v>965</v>
      </c>
      <c r="L315" s="1" t="s">
        <v>960</v>
      </c>
      <c r="M315" s="1" t="s">
        <v>966</v>
      </c>
      <c r="N315" s="1" t="s">
        <v>30</v>
      </c>
      <c r="O315" s="1" t="s">
        <v>967</v>
      </c>
      <c r="P315" s="1" t="s">
        <v>968</v>
      </c>
      <c r="Q315" s="1" t="s">
        <v>969</v>
      </c>
      <c r="R315" s="1" t="s">
        <v>48</v>
      </c>
      <c r="S315" s="1"/>
      <c r="T315" s="1" t="s">
        <v>970</v>
      </c>
      <c r="U315" s="1" t="s">
        <v>35</v>
      </c>
      <c r="V315" s="1" t="s">
        <v>279</v>
      </c>
      <c r="W315" s="1" t="str">
        <f>VLOOKUP(Table1[[#This Row],[Obergruppe ATC-Code]],Tabelle3!$A$2:$B$100,2)</f>
        <v>BLUTERSATZMITTEL UND PERFUSIONSLÖSUNGEN</v>
      </c>
      <c r="X315" s="1" t="str">
        <f xml:space="preserve"> LEFT(Table1[[#This Row],[Atc Code]],3)</f>
        <v>B05</v>
      </c>
    </row>
    <row r="316" spans="1:24" ht="14.4">
      <c r="A316" s="14">
        <v>878</v>
      </c>
      <c r="B316" s="24">
        <v>7419624</v>
      </c>
      <c r="C316" s="1">
        <v>2130220</v>
      </c>
      <c r="D316" s="1" t="s">
        <v>25</v>
      </c>
      <c r="E316" s="36">
        <v>44788</v>
      </c>
      <c r="F316" s="36">
        <v>44994</v>
      </c>
      <c r="G316" s="38">
        <f t="shared" si="4"/>
        <v>206</v>
      </c>
      <c r="H316" s="5">
        <v>44785</v>
      </c>
      <c r="I316" s="5">
        <v>44994</v>
      </c>
      <c r="J316" s="1" t="s">
        <v>41</v>
      </c>
      <c r="K316" s="1" t="s">
        <v>971</v>
      </c>
      <c r="L316" s="1" t="s">
        <v>972</v>
      </c>
      <c r="M316" s="1" t="s">
        <v>973</v>
      </c>
      <c r="N316" s="1" t="s">
        <v>38</v>
      </c>
      <c r="O316" s="1" t="s">
        <v>213</v>
      </c>
      <c r="Q316" s="1" t="s">
        <v>974</v>
      </c>
      <c r="R316" s="1" t="s">
        <v>128</v>
      </c>
      <c r="S316" s="1"/>
      <c r="U316" s="1" t="s">
        <v>130</v>
      </c>
      <c r="V316" s="1" t="s">
        <v>279</v>
      </c>
      <c r="W316" s="1" t="str">
        <f>VLOOKUP(Table1[[#This Row],[Obergruppe ATC-Code]],Tabelle3!$A$2:$B$100,2)</f>
        <v>BLUTERSATZMITTEL UND PERFUSIONSLÖSUNGEN</v>
      </c>
      <c r="X316" s="1" t="str">
        <f xml:space="preserve"> LEFT(Table1[[#This Row],[Atc Code]],3)</f>
        <v>B05</v>
      </c>
    </row>
    <row r="317" spans="1:24" ht="14.4">
      <c r="A317" s="14">
        <v>270</v>
      </c>
      <c r="B317" s="24">
        <v>1579798</v>
      </c>
      <c r="C317" s="1">
        <v>723655</v>
      </c>
      <c r="D317" s="1" t="s">
        <v>25</v>
      </c>
      <c r="E317" s="36">
        <v>44105</v>
      </c>
      <c r="F317" s="36">
        <v>44196</v>
      </c>
      <c r="G317" s="38">
        <f t="shared" si="4"/>
        <v>91</v>
      </c>
      <c r="H317" s="5">
        <v>44133</v>
      </c>
      <c r="I317" s="5">
        <v>44181</v>
      </c>
      <c r="J317" s="1" t="s">
        <v>26</v>
      </c>
      <c r="K317" s="1" t="s">
        <v>975</v>
      </c>
      <c r="L317" s="1" t="s">
        <v>976</v>
      </c>
      <c r="M317" s="1" t="s">
        <v>977</v>
      </c>
      <c r="N317" s="1" t="s">
        <v>30</v>
      </c>
      <c r="O317" s="1" t="s">
        <v>213</v>
      </c>
      <c r="P317" s="1" t="s">
        <v>899</v>
      </c>
      <c r="Q317" s="1" t="s">
        <v>215</v>
      </c>
      <c r="R317" s="1" t="s">
        <v>33</v>
      </c>
      <c r="S317" s="1"/>
      <c r="T317" s="1" t="s">
        <v>978</v>
      </c>
      <c r="U317" s="1" t="s">
        <v>35</v>
      </c>
      <c r="V317" s="1" t="s">
        <v>279</v>
      </c>
      <c r="W317" s="1" t="str">
        <f>VLOOKUP(Table1[[#This Row],[Obergruppe ATC-Code]],Tabelle3!$A$2:$B$100,2)</f>
        <v>BLUTERSATZMITTEL UND PERFUSIONSLÖSUNGEN</v>
      </c>
      <c r="X317" s="1" t="str">
        <f xml:space="preserve"> LEFT(Table1[[#This Row],[Atc Code]],3)</f>
        <v>B05</v>
      </c>
    </row>
    <row r="318" spans="1:24" ht="14.4">
      <c r="A318" s="14">
        <v>2991</v>
      </c>
      <c r="B318" s="24" t="s">
        <v>979</v>
      </c>
      <c r="C318" s="1">
        <v>96595</v>
      </c>
      <c r="D318" s="1" t="s">
        <v>25</v>
      </c>
      <c r="E318" s="36">
        <v>43132</v>
      </c>
      <c r="F318" s="36">
        <v>43159</v>
      </c>
      <c r="G318" s="38">
        <f t="shared" si="4"/>
        <v>27</v>
      </c>
      <c r="H318" s="5">
        <v>43144</v>
      </c>
      <c r="I318" s="5">
        <v>43145</v>
      </c>
      <c r="J318" s="1" t="s">
        <v>41</v>
      </c>
      <c r="K318" s="1" t="s">
        <v>980</v>
      </c>
      <c r="L318" s="1" t="s">
        <v>981</v>
      </c>
      <c r="M318" s="1" t="s">
        <v>982</v>
      </c>
      <c r="N318" s="1" t="s">
        <v>30</v>
      </c>
      <c r="O318" s="1" t="s">
        <v>220</v>
      </c>
      <c r="P318" s="1" t="s">
        <v>221</v>
      </c>
      <c r="Q318" s="1" t="s">
        <v>222</v>
      </c>
      <c r="R318" s="1" t="s">
        <v>65</v>
      </c>
      <c r="S318" s="1"/>
      <c r="U318" s="1" t="s">
        <v>57</v>
      </c>
      <c r="V318" s="1" t="s">
        <v>648</v>
      </c>
      <c r="W318" s="1" t="str">
        <f>VLOOKUP(Table1[[#This Row],[Obergruppe ATC-Code]],Tabelle3!$A$2:$B$100,2)</f>
        <v>BLUTERSATZMITTEL UND PERFUSIONSLÖSUNGEN</v>
      </c>
      <c r="X318" s="1" t="str">
        <f xml:space="preserve"> LEFT(Table1[[#This Row],[Atc Code]],3)</f>
        <v>B05</v>
      </c>
    </row>
    <row r="319" spans="1:24" ht="14.4">
      <c r="A319" s="14">
        <v>2990</v>
      </c>
      <c r="B319" s="24" t="s">
        <v>979</v>
      </c>
      <c r="C319" s="1">
        <v>96595</v>
      </c>
      <c r="D319" s="1" t="s">
        <v>25</v>
      </c>
      <c r="E319" s="36">
        <v>43160</v>
      </c>
      <c r="F319" s="36">
        <v>43190</v>
      </c>
      <c r="G319" s="38">
        <f t="shared" si="4"/>
        <v>30</v>
      </c>
      <c r="H319" s="5">
        <v>43166</v>
      </c>
      <c r="I319" s="5">
        <v>43173</v>
      </c>
      <c r="J319" s="1" t="s">
        <v>41</v>
      </c>
      <c r="K319" s="1" t="s">
        <v>980</v>
      </c>
      <c r="L319" s="1" t="s">
        <v>981</v>
      </c>
      <c r="M319" s="1" t="s">
        <v>982</v>
      </c>
      <c r="N319" s="1" t="s">
        <v>30</v>
      </c>
      <c r="O319" s="1" t="s">
        <v>220</v>
      </c>
      <c r="P319" s="1" t="s">
        <v>221</v>
      </c>
      <c r="Q319" s="1" t="s">
        <v>222</v>
      </c>
      <c r="R319" s="1" t="s">
        <v>65</v>
      </c>
      <c r="S319" s="1"/>
      <c r="U319" s="1" t="s">
        <v>57</v>
      </c>
      <c r="V319" s="1" t="s">
        <v>648</v>
      </c>
      <c r="W319" s="1" t="str">
        <f>VLOOKUP(Table1[[#This Row],[Obergruppe ATC-Code]],Tabelle3!$A$2:$B$100,2)</f>
        <v>BLUTERSATZMITTEL UND PERFUSIONSLÖSUNGEN</v>
      </c>
      <c r="X319" s="1" t="str">
        <f xml:space="preserve"> LEFT(Table1[[#This Row],[Atc Code]],3)</f>
        <v>B05</v>
      </c>
    </row>
    <row r="320" spans="1:24" ht="14.4">
      <c r="A320" s="14">
        <v>3050</v>
      </c>
      <c r="B320" s="39" t="s">
        <v>983</v>
      </c>
      <c r="C320" s="1">
        <v>948822</v>
      </c>
      <c r="D320" s="1" t="s">
        <v>25</v>
      </c>
      <c r="E320" s="36">
        <v>44166</v>
      </c>
      <c r="F320" s="36">
        <v>44227</v>
      </c>
      <c r="G320" s="38">
        <f t="shared" si="4"/>
        <v>61</v>
      </c>
      <c r="H320" s="5">
        <v>44182</v>
      </c>
      <c r="I320" s="5">
        <v>44210</v>
      </c>
      <c r="J320" s="1" t="s">
        <v>41</v>
      </c>
      <c r="K320" s="1" t="s">
        <v>984</v>
      </c>
      <c r="L320" s="1" t="s">
        <v>981</v>
      </c>
      <c r="M320" s="1" t="s">
        <v>982</v>
      </c>
      <c r="N320" s="1" t="s">
        <v>30</v>
      </c>
      <c r="O320" s="1" t="s">
        <v>220</v>
      </c>
      <c r="P320" s="1" t="s">
        <v>221</v>
      </c>
      <c r="Q320" s="1" t="s">
        <v>222</v>
      </c>
      <c r="R320" s="1" t="s">
        <v>65</v>
      </c>
      <c r="S320" s="1"/>
      <c r="T320" s="1" t="s">
        <v>944</v>
      </c>
      <c r="U320" s="1" t="s">
        <v>35</v>
      </c>
      <c r="V320" s="1" t="s">
        <v>74</v>
      </c>
      <c r="W320" s="1" t="str">
        <f>VLOOKUP(Table1[[#This Row],[Obergruppe ATC-Code]],Tabelle3!$A$2:$B$100,2)</f>
        <v>BLUTERSATZMITTEL UND PERFUSIONSLÖSUNGEN</v>
      </c>
      <c r="X320" s="1" t="str">
        <f xml:space="preserve"> LEFT(Table1[[#This Row],[Atc Code]],3)</f>
        <v>B05</v>
      </c>
    </row>
    <row r="321" spans="1:24" ht="14.4">
      <c r="A321" s="14">
        <v>2579</v>
      </c>
      <c r="B321" s="24" t="s">
        <v>985</v>
      </c>
      <c r="C321" s="1">
        <v>2193926</v>
      </c>
      <c r="D321" s="1" t="s">
        <v>25</v>
      </c>
      <c r="E321" s="36">
        <v>42917</v>
      </c>
      <c r="F321" s="36">
        <v>42978</v>
      </c>
      <c r="G321" s="38">
        <f t="shared" si="4"/>
        <v>61</v>
      </c>
      <c r="H321" s="5">
        <v>42936</v>
      </c>
      <c r="I321" s="5">
        <v>42947</v>
      </c>
      <c r="J321" s="1" t="s">
        <v>41</v>
      </c>
      <c r="K321" s="1" t="s">
        <v>986</v>
      </c>
      <c r="L321" s="1" t="s">
        <v>987</v>
      </c>
      <c r="M321" s="1" t="s">
        <v>988</v>
      </c>
      <c r="N321" s="1" t="s">
        <v>30</v>
      </c>
      <c r="O321" s="1" t="s">
        <v>220</v>
      </c>
      <c r="P321" s="1">
        <v>61726080</v>
      </c>
      <c r="Q321" s="1" t="s">
        <v>222</v>
      </c>
      <c r="R321" s="1" t="s">
        <v>26</v>
      </c>
      <c r="S321" s="1"/>
      <c r="T321" s="1" t="s">
        <v>989</v>
      </c>
      <c r="U321" s="1" t="s">
        <v>57</v>
      </c>
      <c r="V321" s="1" t="s">
        <v>279</v>
      </c>
      <c r="W321" s="1" t="str">
        <f>VLOOKUP(Table1[[#This Row],[Obergruppe ATC-Code]],Tabelle3!$A$2:$B$100,2)</f>
        <v>BLUTERSATZMITTEL UND PERFUSIONSLÖSUNGEN</v>
      </c>
      <c r="X321" s="1" t="str">
        <f xml:space="preserve"> LEFT(Table1[[#This Row],[Atc Code]],3)</f>
        <v>B05</v>
      </c>
    </row>
    <row r="322" spans="1:24" ht="14.4">
      <c r="A322" s="14">
        <v>2578</v>
      </c>
      <c r="B322" s="24" t="s">
        <v>985</v>
      </c>
      <c r="C322" s="1">
        <v>2193926</v>
      </c>
      <c r="D322" s="1" t="s">
        <v>25</v>
      </c>
      <c r="E322" s="36">
        <v>43862</v>
      </c>
      <c r="F322" s="36">
        <v>43921</v>
      </c>
      <c r="G322" s="38">
        <f t="shared" ref="G322:G385" si="5">F322-E322</f>
        <v>59</v>
      </c>
      <c r="H322" s="5">
        <v>43857</v>
      </c>
      <c r="I322" s="5">
        <v>43892</v>
      </c>
      <c r="J322" s="1" t="s">
        <v>41</v>
      </c>
      <c r="K322" s="1" t="s">
        <v>986</v>
      </c>
      <c r="L322" s="1" t="s">
        <v>987</v>
      </c>
      <c r="M322" s="1" t="s">
        <v>988</v>
      </c>
      <c r="N322" s="1" t="s">
        <v>30</v>
      </c>
      <c r="O322" s="1" t="s">
        <v>220</v>
      </c>
      <c r="P322" s="1">
        <v>61726080</v>
      </c>
      <c r="Q322" s="1" t="s">
        <v>222</v>
      </c>
      <c r="R322" s="1" t="s">
        <v>26</v>
      </c>
      <c r="S322" s="1"/>
      <c r="T322" s="1" t="s">
        <v>989</v>
      </c>
      <c r="U322" s="1" t="s">
        <v>35</v>
      </c>
      <c r="V322" s="1" t="s">
        <v>279</v>
      </c>
      <c r="W322" s="1" t="str">
        <f>VLOOKUP(Table1[[#This Row],[Obergruppe ATC-Code]],Tabelle3!$A$2:$B$100,2)</f>
        <v>BLUTERSATZMITTEL UND PERFUSIONSLÖSUNGEN</v>
      </c>
      <c r="X322" s="1" t="str">
        <f xml:space="preserve"> LEFT(Table1[[#This Row],[Atc Code]],3)</f>
        <v>B05</v>
      </c>
    </row>
    <row r="323" spans="1:24" ht="14.4">
      <c r="A323" s="14">
        <v>1140</v>
      </c>
      <c r="B323" s="24">
        <v>9704010</v>
      </c>
      <c r="C323" s="1">
        <v>5039776</v>
      </c>
      <c r="D323" s="1" t="s">
        <v>25</v>
      </c>
      <c r="E323" s="36">
        <v>44739</v>
      </c>
      <c r="F323" s="36">
        <v>44838</v>
      </c>
      <c r="G323" s="38">
        <f t="shared" si="5"/>
        <v>99</v>
      </c>
      <c r="H323" s="5">
        <v>44733</v>
      </c>
      <c r="I323" s="5">
        <v>44838</v>
      </c>
      <c r="J323" s="1" t="s">
        <v>41</v>
      </c>
      <c r="K323" s="1" t="s">
        <v>990</v>
      </c>
      <c r="L323" s="1" t="s">
        <v>991</v>
      </c>
      <c r="M323" s="1" t="s">
        <v>992</v>
      </c>
      <c r="N323" s="1" t="s">
        <v>38</v>
      </c>
      <c r="O323" s="1" t="s">
        <v>213</v>
      </c>
      <c r="P323" s="1" t="s">
        <v>993</v>
      </c>
      <c r="Q323" s="1" t="s">
        <v>974</v>
      </c>
      <c r="R323" s="1" t="s">
        <v>128</v>
      </c>
      <c r="S323" s="1"/>
      <c r="U323" s="1" t="s">
        <v>130</v>
      </c>
      <c r="V323" s="1" t="s">
        <v>279</v>
      </c>
      <c r="W323" s="1" t="str">
        <f>VLOOKUP(Table1[[#This Row],[Obergruppe ATC-Code]],Tabelle3!$A$2:$B$100,2)</f>
        <v>BLUTERSATZMITTEL UND PERFUSIONSLÖSUNGEN</v>
      </c>
      <c r="X323" s="1" t="str">
        <f xml:space="preserve"> LEFT(Table1[[#This Row],[Atc Code]],3)</f>
        <v>B05</v>
      </c>
    </row>
    <row r="324" spans="1:24" ht="14.4">
      <c r="A324" s="14">
        <v>1452</v>
      </c>
      <c r="B324" s="24">
        <v>14303313</v>
      </c>
      <c r="C324" s="1">
        <v>2200006</v>
      </c>
      <c r="D324" s="1" t="s">
        <v>25</v>
      </c>
      <c r="E324" s="36">
        <v>44418</v>
      </c>
      <c r="F324" s="36">
        <v>44474</v>
      </c>
      <c r="G324" s="38">
        <f t="shared" si="5"/>
        <v>56</v>
      </c>
      <c r="H324" s="5">
        <v>44420</v>
      </c>
      <c r="I324" s="5">
        <v>44473</v>
      </c>
      <c r="J324" s="1" t="s">
        <v>41</v>
      </c>
      <c r="K324" s="1" t="s">
        <v>994</v>
      </c>
      <c r="L324" s="1" t="s">
        <v>995</v>
      </c>
      <c r="M324" s="1" t="s">
        <v>996</v>
      </c>
      <c r="N324" s="1" t="s">
        <v>38</v>
      </c>
      <c r="O324" s="1" t="s">
        <v>213</v>
      </c>
      <c r="Q324" s="1" t="s">
        <v>974</v>
      </c>
      <c r="R324" s="1" t="s">
        <v>128</v>
      </c>
      <c r="S324" s="1"/>
      <c r="U324" s="1" t="s">
        <v>130</v>
      </c>
      <c r="V324" s="1" t="s">
        <v>154</v>
      </c>
      <c r="W324" s="1" t="str">
        <f>VLOOKUP(Table1[[#This Row],[Obergruppe ATC-Code]],Tabelle3!$A$2:$B$100,2)</f>
        <v>BLUTERSATZMITTEL UND PERFUSIONSLÖSUNGEN</v>
      </c>
      <c r="X324" s="1" t="str">
        <f xml:space="preserve"> LEFT(Table1[[#This Row],[Atc Code]],3)</f>
        <v>B05</v>
      </c>
    </row>
    <row r="325" spans="1:24" ht="14.4">
      <c r="A325" s="14">
        <v>970</v>
      </c>
      <c r="B325" s="24">
        <v>7765148</v>
      </c>
      <c r="C325" s="1">
        <v>2126629</v>
      </c>
      <c r="D325" s="1" t="s">
        <v>25</v>
      </c>
      <c r="E325" s="36">
        <v>44355</v>
      </c>
      <c r="F325" s="36">
        <v>44666</v>
      </c>
      <c r="G325" s="38">
        <f t="shared" si="5"/>
        <v>311</v>
      </c>
      <c r="H325" s="5">
        <v>44355</v>
      </c>
      <c r="I325" s="5">
        <v>44665</v>
      </c>
      <c r="J325" s="1" t="s">
        <v>41</v>
      </c>
      <c r="K325" s="1" t="s">
        <v>997</v>
      </c>
      <c r="L325" s="1" t="s">
        <v>995</v>
      </c>
      <c r="M325" s="1" t="s">
        <v>998</v>
      </c>
      <c r="N325" s="1" t="s">
        <v>30</v>
      </c>
      <c r="O325" s="1" t="s">
        <v>248</v>
      </c>
      <c r="Q325" s="1" t="s">
        <v>999</v>
      </c>
      <c r="R325" s="1" t="s">
        <v>128</v>
      </c>
      <c r="S325" s="1" t="s">
        <v>1000</v>
      </c>
      <c r="T325" s="1" t="s">
        <v>1001</v>
      </c>
      <c r="U325" s="1" t="s">
        <v>57</v>
      </c>
      <c r="V325" s="1" t="s">
        <v>154</v>
      </c>
      <c r="W325" s="1" t="str">
        <f>VLOOKUP(Table1[[#This Row],[Obergruppe ATC-Code]],Tabelle3!$A$2:$B$100,2)</f>
        <v>BLUTERSATZMITTEL UND PERFUSIONSLÖSUNGEN</v>
      </c>
      <c r="X325" s="1" t="str">
        <f xml:space="preserve"> LEFT(Table1[[#This Row],[Atc Code]],3)</f>
        <v>B05</v>
      </c>
    </row>
    <row r="326" spans="1:24" ht="14.4">
      <c r="A326" s="14">
        <v>2265</v>
      </c>
      <c r="B326" s="24" t="s">
        <v>1002</v>
      </c>
      <c r="C326" s="1">
        <v>3000248</v>
      </c>
      <c r="D326" s="1" t="s">
        <v>25</v>
      </c>
      <c r="E326" s="36">
        <v>43132</v>
      </c>
      <c r="F326" s="36">
        <v>43220</v>
      </c>
      <c r="G326" s="38">
        <f t="shared" si="5"/>
        <v>88</v>
      </c>
      <c r="H326" s="5">
        <v>43138</v>
      </c>
      <c r="I326" s="5">
        <v>43174</v>
      </c>
      <c r="J326" s="1" t="s">
        <v>41</v>
      </c>
      <c r="K326" s="1" t="s">
        <v>1003</v>
      </c>
      <c r="L326" s="1" t="s">
        <v>1004</v>
      </c>
      <c r="M326" s="1" t="s">
        <v>1005</v>
      </c>
      <c r="N326" s="1" t="s">
        <v>30</v>
      </c>
      <c r="O326" s="1" t="s">
        <v>184</v>
      </c>
      <c r="P326" s="1">
        <v>49303384270</v>
      </c>
      <c r="Q326" s="1" t="s">
        <v>1006</v>
      </c>
      <c r="R326" s="1" t="s">
        <v>26</v>
      </c>
      <c r="S326" s="1"/>
      <c r="U326" s="1" t="s">
        <v>35</v>
      </c>
      <c r="V326" s="1" t="s">
        <v>1007</v>
      </c>
      <c r="W326" s="1" t="str">
        <f>VLOOKUP(Table1[[#This Row],[Obergruppe ATC-Code]],Tabelle3!$A$2:$B$100,2)</f>
        <v>ANDERE HÄMATOLOGIKA</v>
      </c>
      <c r="X326" s="1" t="str">
        <f xml:space="preserve"> LEFT(Table1[[#This Row],[Atc Code]],3)</f>
        <v>B06</v>
      </c>
    </row>
    <row r="327" spans="1:24" ht="14.4">
      <c r="A327" s="14">
        <v>815</v>
      </c>
      <c r="B327" s="24">
        <v>6785628</v>
      </c>
      <c r="C327" s="1">
        <v>3000247</v>
      </c>
      <c r="D327" s="1" t="s">
        <v>25</v>
      </c>
      <c r="E327" s="36">
        <v>43132</v>
      </c>
      <c r="F327" s="36">
        <v>43220</v>
      </c>
      <c r="G327" s="38">
        <f t="shared" si="5"/>
        <v>88</v>
      </c>
      <c r="H327" s="5">
        <v>43138</v>
      </c>
      <c r="I327" s="5">
        <v>43174</v>
      </c>
      <c r="J327" s="1" t="s">
        <v>41</v>
      </c>
      <c r="K327" s="1" t="s">
        <v>1008</v>
      </c>
      <c r="L327" s="1" t="s">
        <v>1004</v>
      </c>
      <c r="M327" s="1" t="s">
        <v>1005</v>
      </c>
      <c r="N327" s="1" t="s">
        <v>30</v>
      </c>
      <c r="O327" s="1" t="s">
        <v>184</v>
      </c>
      <c r="P327" s="1">
        <v>49303384270</v>
      </c>
      <c r="Q327" s="1" t="s">
        <v>1006</v>
      </c>
      <c r="R327" s="1" t="s">
        <v>26</v>
      </c>
      <c r="S327" s="1"/>
      <c r="U327" s="1" t="s">
        <v>35</v>
      </c>
      <c r="V327" s="1" t="s">
        <v>1009</v>
      </c>
      <c r="W327" s="1" t="str">
        <f>VLOOKUP(Table1[[#This Row],[Obergruppe ATC-Code]],Tabelle3!$A$2:$B$100,2)</f>
        <v>ANDERE HÄMATOLOGIKA</v>
      </c>
      <c r="X327" s="1" t="str">
        <f xml:space="preserve"> LEFT(Table1[[#This Row],[Atc Code]],3)</f>
        <v>B06</v>
      </c>
    </row>
    <row r="328" spans="1:24" ht="14.4">
      <c r="A328" s="14">
        <v>2264</v>
      </c>
      <c r="B328" s="24" t="s">
        <v>1002</v>
      </c>
      <c r="C328" s="1">
        <v>3000248</v>
      </c>
      <c r="D328" s="1" t="s">
        <v>102</v>
      </c>
      <c r="E328" s="36">
        <v>45169</v>
      </c>
      <c r="F328" s="36">
        <v>45230</v>
      </c>
      <c r="G328" s="38">
        <f t="shared" si="5"/>
        <v>61</v>
      </c>
      <c r="H328" s="5">
        <v>45177</v>
      </c>
      <c r="I328" s="5">
        <v>45191</v>
      </c>
      <c r="J328" s="1" t="s">
        <v>26</v>
      </c>
      <c r="K328" s="1" t="s">
        <v>1003</v>
      </c>
      <c r="L328" s="1" t="s">
        <v>1004</v>
      </c>
      <c r="M328" s="1" t="s">
        <v>1005</v>
      </c>
      <c r="N328" s="1" t="s">
        <v>30</v>
      </c>
      <c r="O328" s="1" t="s">
        <v>184</v>
      </c>
      <c r="P328" s="1" t="s">
        <v>1010</v>
      </c>
      <c r="Q328" s="1" t="s">
        <v>185</v>
      </c>
      <c r="R328" s="1" t="s">
        <v>26</v>
      </c>
      <c r="S328" s="1" t="s">
        <v>1011</v>
      </c>
      <c r="U328" s="1" t="s">
        <v>130</v>
      </c>
      <c r="V328" s="1" t="s">
        <v>1007</v>
      </c>
      <c r="W328" s="1" t="str">
        <f>VLOOKUP(Table1[[#This Row],[Obergruppe ATC-Code]],Tabelle3!$A$2:$B$100,2)</f>
        <v>ANDERE HÄMATOLOGIKA</v>
      </c>
      <c r="X328" s="1" t="str">
        <f xml:space="preserve"> LEFT(Table1[[#This Row],[Atc Code]],3)</f>
        <v>B06</v>
      </c>
    </row>
    <row r="329" spans="1:24" ht="14.4">
      <c r="A329" s="14">
        <v>814</v>
      </c>
      <c r="B329" s="24">
        <v>6785628</v>
      </c>
      <c r="C329" s="1">
        <v>3000247</v>
      </c>
      <c r="D329" s="1" t="s">
        <v>102</v>
      </c>
      <c r="E329" s="36">
        <v>44959</v>
      </c>
      <c r="F329" s="36">
        <v>45251</v>
      </c>
      <c r="G329" s="38">
        <f t="shared" si="5"/>
        <v>292</v>
      </c>
      <c r="H329" s="5">
        <v>45140</v>
      </c>
      <c r="I329" s="5">
        <v>45204</v>
      </c>
      <c r="J329" s="1" t="s">
        <v>26</v>
      </c>
      <c r="K329" s="1" t="s">
        <v>1008</v>
      </c>
      <c r="L329" s="1" t="s">
        <v>1004</v>
      </c>
      <c r="M329" s="1" t="s">
        <v>1005</v>
      </c>
      <c r="N329" s="1" t="s">
        <v>30</v>
      </c>
      <c r="O329" s="1" t="s">
        <v>184</v>
      </c>
      <c r="P329" s="1" t="s">
        <v>1010</v>
      </c>
      <c r="Q329" s="1" t="s">
        <v>185</v>
      </c>
      <c r="R329" s="1" t="s">
        <v>142</v>
      </c>
      <c r="S329" s="1" t="s">
        <v>1012</v>
      </c>
      <c r="T329" s="1" t="s">
        <v>1013</v>
      </c>
      <c r="U329" s="1" t="s">
        <v>35</v>
      </c>
      <c r="V329" s="1" t="s">
        <v>1009</v>
      </c>
      <c r="W329" s="1" t="str">
        <f>VLOOKUP(Table1[[#This Row],[Obergruppe ATC-Code]],Tabelle3!$A$2:$B$100,2)</f>
        <v>ANDERE HÄMATOLOGIKA</v>
      </c>
      <c r="X329" s="1" t="str">
        <f xml:space="preserve"> LEFT(Table1[[#This Row],[Atc Code]],3)</f>
        <v>B06</v>
      </c>
    </row>
    <row r="330" spans="1:24" ht="14.4">
      <c r="A330" s="14">
        <v>2887</v>
      </c>
      <c r="B330" s="24" t="s">
        <v>1014</v>
      </c>
      <c r="C330" s="1">
        <v>7000735</v>
      </c>
      <c r="D330" s="1" t="s">
        <v>25</v>
      </c>
      <c r="E330" s="36">
        <v>44755</v>
      </c>
      <c r="F330" s="36">
        <v>44873</v>
      </c>
      <c r="G330" s="38">
        <f t="shared" si="5"/>
        <v>118</v>
      </c>
      <c r="H330" s="5">
        <v>44755</v>
      </c>
      <c r="I330" s="5">
        <v>44873</v>
      </c>
      <c r="J330" s="1" t="s">
        <v>41</v>
      </c>
      <c r="K330" s="1" t="s">
        <v>1015</v>
      </c>
      <c r="L330" s="1" t="s">
        <v>1016</v>
      </c>
      <c r="M330" s="1" t="s">
        <v>1017</v>
      </c>
      <c r="N330" s="1" t="s">
        <v>30</v>
      </c>
      <c r="O330" s="1" t="s">
        <v>45</v>
      </c>
      <c r="P330" s="1" t="s">
        <v>71</v>
      </c>
      <c r="Q330" s="1" t="s">
        <v>56</v>
      </c>
      <c r="R330" s="1" t="s">
        <v>128</v>
      </c>
      <c r="S330" s="1"/>
      <c r="U330" s="1" t="s">
        <v>130</v>
      </c>
      <c r="V330" s="1" t="s">
        <v>1018</v>
      </c>
      <c r="W330" s="1" t="str">
        <f>VLOOKUP(Table1[[#This Row],[Obergruppe ATC-Code]],Tabelle3!$A$2:$B$100,2)</f>
        <v>ANDERE HÄMATOLOGIKA</v>
      </c>
      <c r="X330" s="1" t="str">
        <f xml:space="preserve"> LEFT(Table1[[#This Row],[Atc Code]],3)</f>
        <v>B06</v>
      </c>
    </row>
    <row r="331" spans="1:24" ht="14.4">
      <c r="A331" s="14">
        <v>234</v>
      </c>
      <c r="B331" s="24">
        <v>1342702</v>
      </c>
      <c r="C331" s="1">
        <v>2105902</v>
      </c>
      <c r="D331" s="1" t="s">
        <v>25</v>
      </c>
      <c r="E331" s="36">
        <v>44655</v>
      </c>
      <c r="F331" s="36">
        <v>44673</v>
      </c>
      <c r="G331" s="38">
        <f t="shared" si="5"/>
        <v>18</v>
      </c>
      <c r="H331" s="5">
        <v>44656</v>
      </c>
      <c r="I331" s="5">
        <v>44676</v>
      </c>
      <c r="J331" s="1" t="s">
        <v>26</v>
      </c>
      <c r="K331" s="1" t="s">
        <v>1019</v>
      </c>
      <c r="L331" s="1" t="s">
        <v>1020</v>
      </c>
      <c r="M331" s="1" t="s">
        <v>1021</v>
      </c>
      <c r="N331" s="1" t="s">
        <v>38</v>
      </c>
      <c r="O331" s="1" t="s">
        <v>615</v>
      </c>
      <c r="P331" s="1">
        <v>349542470</v>
      </c>
      <c r="Q331" s="1" t="s">
        <v>619</v>
      </c>
      <c r="R331" s="1" t="s">
        <v>33</v>
      </c>
      <c r="S331" s="1" t="s">
        <v>887</v>
      </c>
      <c r="U331" s="1" t="s">
        <v>35</v>
      </c>
      <c r="V331" s="1" t="s">
        <v>49</v>
      </c>
      <c r="W331" s="1" t="str">
        <f>VLOOKUP(Table1[[#This Row],[Obergruppe ATC-Code]],Tabelle3!$A$2:$B$100,2)</f>
        <v>HERZTHERAPIE</v>
      </c>
      <c r="X331" s="1" t="str">
        <f xml:space="preserve"> LEFT(Table1[[#This Row],[Atc Code]],3)</f>
        <v>C01</v>
      </c>
    </row>
    <row r="332" spans="1:24" ht="14.4">
      <c r="A332" s="14">
        <v>2134</v>
      </c>
      <c r="B332" s="25" t="s">
        <v>1022</v>
      </c>
      <c r="C332" s="1">
        <v>2103511</v>
      </c>
      <c r="D332" s="1" t="s">
        <v>25</v>
      </c>
      <c r="E332" s="36">
        <v>43862</v>
      </c>
      <c r="F332" s="36">
        <v>43921</v>
      </c>
      <c r="G332" s="38">
        <f t="shared" si="5"/>
        <v>59</v>
      </c>
      <c r="H332" s="5">
        <v>43875</v>
      </c>
      <c r="I332" s="5">
        <v>43893</v>
      </c>
      <c r="J332" s="1" t="s">
        <v>41</v>
      </c>
      <c r="K332" s="1" t="s">
        <v>1023</v>
      </c>
      <c r="L332" s="1" t="s">
        <v>1024</v>
      </c>
      <c r="M332" s="1" t="s">
        <v>1025</v>
      </c>
      <c r="N332" s="1" t="s">
        <v>30</v>
      </c>
      <c r="O332" s="1" t="s">
        <v>548</v>
      </c>
      <c r="P332" s="1">
        <v>8004288373</v>
      </c>
      <c r="Q332" s="1" t="s">
        <v>549</v>
      </c>
      <c r="R332" s="1" t="s">
        <v>65</v>
      </c>
      <c r="S332" s="1"/>
      <c r="T332" s="1" t="s">
        <v>1026</v>
      </c>
      <c r="U332" s="1" t="s">
        <v>57</v>
      </c>
      <c r="V332" s="1" t="s">
        <v>74</v>
      </c>
      <c r="W332" s="1" t="str">
        <f>VLOOKUP(Table1[[#This Row],[Obergruppe ATC-Code]],Tabelle3!$A$2:$B$100,2)</f>
        <v>HERZTHERAPIE</v>
      </c>
      <c r="X332" s="1" t="str">
        <f xml:space="preserve"> LEFT(Table1[[#This Row],[Atc Code]],3)</f>
        <v>C01</v>
      </c>
    </row>
    <row r="333" spans="1:24" ht="14.4">
      <c r="A333" s="14">
        <v>2972</v>
      </c>
      <c r="B333" s="24" t="s">
        <v>1027</v>
      </c>
      <c r="C333" s="1">
        <v>305923</v>
      </c>
      <c r="D333" s="1" t="s">
        <v>25</v>
      </c>
      <c r="E333" s="36">
        <v>44136</v>
      </c>
      <c r="F333" s="36">
        <v>44227</v>
      </c>
      <c r="G333" s="38">
        <f t="shared" si="5"/>
        <v>91</v>
      </c>
      <c r="H333" s="5">
        <v>44165</v>
      </c>
      <c r="I333" s="5">
        <v>44223</v>
      </c>
      <c r="J333" s="1" t="s">
        <v>26</v>
      </c>
      <c r="K333" s="1" t="s">
        <v>1028</v>
      </c>
      <c r="L333" s="1" t="s">
        <v>1024</v>
      </c>
      <c r="M333" s="1" t="s">
        <v>1025</v>
      </c>
      <c r="N333" s="1" t="s">
        <v>30</v>
      </c>
      <c r="O333" s="1" t="s">
        <v>548</v>
      </c>
      <c r="P333" s="1">
        <v>8004288373</v>
      </c>
      <c r="Q333" s="1" t="s">
        <v>549</v>
      </c>
      <c r="R333" s="1" t="s">
        <v>33</v>
      </c>
      <c r="S333" s="1"/>
      <c r="U333" s="1" t="s">
        <v>35</v>
      </c>
      <c r="V333" s="1" t="s">
        <v>49</v>
      </c>
      <c r="W333" s="1" t="str">
        <f>VLOOKUP(Table1[[#This Row],[Obergruppe ATC-Code]],Tabelle3!$A$2:$B$100,2)</f>
        <v>HERZTHERAPIE</v>
      </c>
      <c r="X333" s="1" t="str">
        <f xml:space="preserve"> LEFT(Table1[[#This Row],[Atc Code]],3)</f>
        <v>C01</v>
      </c>
    </row>
    <row r="334" spans="1:24" ht="14.4">
      <c r="A334" s="14">
        <v>2974</v>
      </c>
      <c r="B334" s="24" t="s">
        <v>1029</v>
      </c>
      <c r="C334" s="1">
        <v>105584</v>
      </c>
      <c r="D334" s="1" t="s">
        <v>25</v>
      </c>
      <c r="E334" s="36">
        <v>44197</v>
      </c>
      <c r="F334" s="36">
        <v>44286</v>
      </c>
      <c r="G334" s="38">
        <f t="shared" si="5"/>
        <v>89</v>
      </c>
      <c r="H334" s="5">
        <v>44229</v>
      </c>
      <c r="I334" s="5">
        <v>44271</v>
      </c>
      <c r="J334" s="1" t="s">
        <v>41</v>
      </c>
      <c r="K334" s="1" t="s">
        <v>1030</v>
      </c>
      <c r="L334" s="1" t="s">
        <v>1024</v>
      </c>
      <c r="M334" s="1" t="s">
        <v>1025</v>
      </c>
      <c r="N334" s="1" t="s">
        <v>38</v>
      </c>
      <c r="O334" s="1" t="s">
        <v>548</v>
      </c>
      <c r="P334" s="1">
        <v>8004288373</v>
      </c>
      <c r="Q334" s="1" t="s">
        <v>549</v>
      </c>
      <c r="R334" s="1" t="s">
        <v>65</v>
      </c>
      <c r="S334" s="1"/>
      <c r="U334" s="1" t="s">
        <v>35</v>
      </c>
      <c r="V334" s="1" t="s">
        <v>49</v>
      </c>
      <c r="W334" s="1" t="str">
        <f>VLOOKUP(Table1[[#This Row],[Obergruppe ATC-Code]],Tabelle3!$A$2:$B$100,2)</f>
        <v>HERZTHERAPIE</v>
      </c>
      <c r="X334" s="1" t="str">
        <f xml:space="preserve"> LEFT(Table1[[#This Row],[Atc Code]],3)</f>
        <v>C01</v>
      </c>
    </row>
    <row r="335" spans="1:24" ht="14.4">
      <c r="A335" s="14">
        <v>2971</v>
      </c>
      <c r="B335" s="24" t="s">
        <v>1027</v>
      </c>
      <c r="C335" s="1">
        <v>305923</v>
      </c>
      <c r="D335" s="1" t="s">
        <v>25</v>
      </c>
      <c r="E335" s="36">
        <v>44228</v>
      </c>
      <c r="F335" s="36">
        <v>44316</v>
      </c>
      <c r="G335" s="38">
        <f t="shared" si="5"/>
        <v>88</v>
      </c>
      <c r="H335" s="5">
        <v>44251</v>
      </c>
      <c r="I335" s="5">
        <v>44271</v>
      </c>
      <c r="J335" s="1" t="s">
        <v>41</v>
      </c>
      <c r="K335" s="1" t="s">
        <v>1028</v>
      </c>
      <c r="L335" s="1" t="s">
        <v>1024</v>
      </c>
      <c r="M335" s="1" t="s">
        <v>1025</v>
      </c>
      <c r="N335" s="1" t="s">
        <v>30</v>
      </c>
      <c r="O335" s="1" t="s">
        <v>548</v>
      </c>
      <c r="P335" s="1">
        <v>8004288373</v>
      </c>
      <c r="Q335" s="1" t="s">
        <v>549</v>
      </c>
      <c r="R335" s="1" t="s">
        <v>65</v>
      </c>
      <c r="S335" s="1"/>
      <c r="U335" s="1" t="s">
        <v>57</v>
      </c>
      <c r="V335" s="1" t="s">
        <v>49</v>
      </c>
      <c r="W335" s="1" t="str">
        <f>VLOOKUP(Table1[[#This Row],[Obergruppe ATC-Code]],Tabelle3!$A$2:$B$100,2)</f>
        <v>HERZTHERAPIE</v>
      </c>
      <c r="X335" s="1" t="str">
        <f xml:space="preserve"> LEFT(Table1[[#This Row],[Atc Code]],3)</f>
        <v>C01</v>
      </c>
    </row>
    <row r="336" spans="1:24" ht="14.4">
      <c r="A336" s="14">
        <v>2973</v>
      </c>
      <c r="B336" s="24" t="s">
        <v>1031</v>
      </c>
      <c r="C336" s="1">
        <v>2100943</v>
      </c>
      <c r="D336" s="1" t="s">
        <v>25</v>
      </c>
      <c r="E336" s="36">
        <v>44228</v>
      </c>
      <c r="F336" s="36">
        <v>44377</v>
      </c>
      <c r="G336" s="38">
        <f t="shared" si="5"/>
        <v>149</v>
      </c>
      <c r="H336" s="5">
        <v>44244</v>
      </c>
      <c r="I336" s="5">
        <v>44280</v>
      </c>
      <c r="J336" s="1" t="s">
        <v>41</v>
      </c>
      <c r="K336" s="1" t="s">
        <v>1032</v>
      </c>
      <c r="L336" s="1" t="s">
        <v>1024</v>
      </c>
      <c r="M336" s="1" t="s">
        <v>1025</v>
      </c>
      <c r="N336" s="1" t="s">
        <v>38</v>
      </c>
      <c r="O336" s="1" t="s">
        <v>548</v>
      </c>
      <c r="P336" s="1">
        <v>8004288373</v>
      </c>
      <c r="Q336" s="1" t="s">
        <v>549</v>
      </c>
      <c r="R336" s="1" t="s">
        <v>65</v>
      </c>
      <c r="S336" s="1"/>
      <c r="U336" s="1" t="s">
        <v>57</v>
      </c>
      <c r="V336" s="1" t="s">
        <v>49</v>
      </c>
      <c r="W336" s="1" t="str">
        <f>VLOOKUP(Table1[[#This Row],[Obergruppe ATC-Code]],Tabelle3!$A$2:$B$100,2)</f>
        <v>HERZTHERAPIE</v>
      </c>
      <c r="X336" s="1" t="str">
        <f xml:space="preserve"> LEFT(Table1[[#This Row],[Atc Code]],3)</f>
        <v>C01</v>
      </c>
    </row>
    <row r="337" spans="1:24" ht="14.4">
      <c r="A337" s="14">
        <v>2099</v>
      </c>
      <c r="B337" s="24" t="s">
        <v>1033</v>
      </c>
      <c r="C337" s="1">
        <v>3000655</v>
      </c>
      <c r="D337" s="1" t="s">
        <v>25</v>
      </c>
      <c r="E337" s="36">
        <v>44743</v>
      </c>
      <c r="F337" s="36">
        <v>44776</v>
      </c>
      <c r="G337" s="38">
        <f t="shared" si="5"/>
        <v>33</v>
      </c>
      <c r="H337" s="5">
        <v>44770</v>
      </c>
      <c r="I337" s="5">
        <v>44776</v>
      </c>
      <c r="J337" s="1" t="s">
        <v>41</v>
      </c>
      <c r="K337" s="1" t="s">
        <v>1034</v>
      </c>
      <c r="L337" s="1" t="s">
        <v>1024</v>
      </c>
      <c r="M337" s="1" t="s">
        <v>1025</v>
      </c>
      <c r="N337" s="1" t="s">
        <v>38</v>
      </c>
      <c r="O337" s="1" t="s">
        <v>1035</v>
      </c>
      <c r="Q337" s="1" t="s">
        <v>1036</v>
      </c>
      <c r="R337" s="1" t="s">
        <v>128</v>
      </c>
      <c r="S337" s="1"/>
      <c r="U337" s="1" t="s">
        <v>130</v>
      </c>
      <c r="V337" s="1" t="s">
        <v>49</v>
      </c>
      <c r="W337" s="1" t="str">
        <f>VLOOKUP(Table1[[#This Row],[Obergruppe ATC-Code]],Tabelle3!$A$2:$B$100,2)</f>
        <v>HERZTHERAPIE</v>
      </c>
      <c r="X337" s="1" t="str">
        <f xml:space="preserve"> LEFT(Table1[[#This Row],[Atc Code]],3)</f>
        <v>C01</v>
      </c>
    </row>
    <row r="338" spans="1:24" ht="14.4">
      <c r="A338" s="14">
        <v>2060</v>
      </c>
      <c r="B338" s="24" t="s">
        <v>1037</v>
      </c>
      <c r="C338" s="1">
        <v>305923</v>
      </c>
      <c r="D338" s="1" t="s">
        <v>25</v>
      </c>
      <c r="E338" s="36">
        <v>44812</v>
      </c>
      <c r="F338" s="36">
        <v>44894</v>
      </c>
      <c r="G338" s="38">
        <f t="shared" si="5"/>
        <v>82</v>
      </c>
      <c r="H338" s="5">
        <v>44816</v>
      </c>
      <c r="I338" s="5">
        <v>44894</v>
      </c>
      <c r="J338" s="1" t="s">
        <v>41</v>
      </c>
      <c r="K338" s="1" t="s">
        <v>1028</v>
      </c>
      <c r="L338" s="1" t="s">
        <v>1024</v>
      </c>
      <c r="M338" s="1" t="s">
        <v>1025</v>
      </c>
      <c r="N338" s="1" t="s">
        <v>30</v>
      </c>
      <c r="O338" s="1" t="s">
        <v>548</v>
      </c>
      <c r="P338" s="1">
        <v>8004288373</v>
      </c>
      <c r="Q338" s="1" t="s">
        <v>549</v>
      </c>
      <c r="R338" s="1" t="s">
        <v>128</v>
      </c>
      <c r="S338" s="1" t="s">
        <v>1038</v>
      </c>
      <c r="U338" s="1" t="s">
        <v>35</v>
      </c>
      <c r="V338" s="1" t="s">
        <v>49</v>
      </c>
      <c r="W338" s="1" t="str">
        <f>VLOOKUP(Table1[[#This Row],[Obergruppe ATC-Code]],Tabelle3!$A$2:$B$100,2)</f>
        <v>HERZTHERAPIE</v>
      </c>
      <c r="X338" s="1" t="str">
        <f xml:space="preserve"> LEFT(Table1[[#This Row],[Atc Code]],3)</f>
        <v>C01</v>
      </c>
    </row>
    <row r="339" spans="1:24" ht="14.4">
      <c r="A339" s="14">
        <v>1949</v>
      </c>
      <c r="B339" s="24" t="s">
        <v>1039</v>
      </c>
      <c r="C339" s="1">
        <v>2100943</v>
      </c>
      <c r="D339" s="1" t="s">
        <v>25</v>
      </c>
      <c r="E339" s="36">
        <v>44757</v>
      </c>
      <c r="F339" s="36">
        <v>44894</v>
      </c>
      <c r="G339" s="38">
        <f t="shared" si="5"/>
        <v>137</v>
      </c>
      <c r="H339" s="5">
        <v>44768</v>
      </c>
      <c r="I339" s="5">
        <v>44894</v>
      </c>
      <c r="J339" s="1" t="s">
        <v>41</v>
      </c>
      <c r="K339" s="1" t="s">
        <v>1032</v>
      </c>
      <c r="L339" s="1" t="s">
        <v>1024</v>
      </c>
      <c r="M339" s="1" t="s">
        <v>1025</v>
      </c>
      <c r="N339" s="1" t="s">
        <v>30</v>
      </c>
      <c r="O339" s="1" t="s">
        <v>548</v>
      </c>
      <c r="P339" s="1">
        <v>8004288373</v>
      </c>
      <c r="Q339" s="1" t="s">
        <v>549</v>
      </c>
      <c r="R339" s="1" t="s">
        <v>128</v>
      </c>
      <c r="S339" s="1" t="s">
        <v>1038</v>
      </c>
      <c r="T339" s="1" t="s">
        <v>1040</v>
      </c>
      <c r="U339" s="1" t="s">
        <v>35</v>
      </c>
      <c r="V339" s="1" t="s">
        <v>49</v>
      </c>
      <c r="W339" s="1" t="str">
        <f>VLOOKUP(Table1[[#This Row],[Obergruppe ATC-Code]],Tabelle3!$A$2:$B$100,2)</f>
        <v>HERZTHERAPIE</v>
      </c>
      <c r="X339" s="1" t="str">
        <f xml:space="preserve"> LEFT(Table1[[#This Row],[Atc Code]],3)</f>
        <v>C01</v>
      </c>
    </row>
    <row r="340" spans="1:24" ht="14.4">
      <c r="A340" s="14">
        <v>1705</v>
      </c>
      <c r="B340" s="24" t="s">
        <v>1041</v>
      </c>
      <c r="C340" s="1">
        <v>105584</v>
      </c>
      <c r="D340" s="1" t="s">
        <v>25</v>
      </c>
      <c r="E340" s="36">
        <v>44791</v>
      </c>
      <c r="F340" s="36">
        <v>44894</v>
      </c>
      <c r="G340" s="38">
        <f t="shared" si="5"/>
        <v>103</v>
      </c>
      <c r="H340" s="5">
        <v>44796</v>
      </c>
      <c r="I340" s="5">
        <v>44894</v>
      </c>
      <c r="J340" s="1" t="s">
        <v>41</v>
      </c>
      <c r="K340" s="1" t="s">
        <v>1030</v>
      </c>
      <c r="L340" s="1" t="s">
        <v>1024</v>
      </c>
      <c r="M340" s="1" t="s">
        <v>1025</v>
      </c>
      <c r="N340" s="1" t="s">
        <v>30</v>
      </c>
      <c r="O340" s="1" t="s">
        <v>548</v>
      </c>
      <c r="P340" s="1">
        <v>8004288373</v>
      </c>
      <c r="Q340" s="1" t="s">
        <v>549</v>
      </c>
      <c r="R340" s="1" t="s">
        <v>128</v>
      </c>
      <c r="S340" s="1" t="s">
        <v>1038</v>
      </c>
      <c r="U340" s="1" t="s">
        <v>35</v>
      </c>
      <c r="V340" s="1" t="s">
        <v>49</v>
      </c>
      <c r="W340" s="1" t="str">
        <f>VLOOKUP(Table1[[#This Row],[Obergruppe ATC-Code]],Tabelle3!$A$2:$B$100,2)</f>
        <v>HERZTHERAPIE</v>
      </c>
      <c r="X340" s="1" t="str">
        <f xml:space="preserve"> LEFT(Table1[[#This Row],[Atc Code]],3)</f>
        <v>C01</v>
      </c>
    </row>
    <row r="341" spans="1:24" ht="14.4">
      <c r="A341" s="14">
        <v>2098</v>
      </c>
      <c r="B341" s="24" t="s">
        <v>1033</v>
      </c>
      <c r="C341" s="1">
        <v>3000655</v>
      </c>
      <c r="D341" s="1" t="s">
        <v>25</v>
      </c>
      <c r="E341" s="36">
        <v>44872</v>
      </c>
      <c r="F341" s="36">
        <v>45110</v>
      </c>
      <c r="G341" s="38">
        <f t="shared" si="5"/>
        <v>238</v>
      </c>
      <c r="H341" s="5">
        <v>44902</v>
      </c>
      <c r="I341" s="5">
        <v>45133</v>
      </c>
      <c r="J341" s="1" t="s">
        <v>26</v>
      </c>
      <c r="K341" s="1" t="s">
        <v>1034</v>
      </c>
      <c r="L341" s="1" t="s">
        <v>1024</v>
      </c>
      <c r="M341" s="1" t="s">
        <v>1025</v>
      </c>
      <c r="N341" s="1" t="s">
        <v>38</v>
      </c>
      <c r="O341" s="1" t="s">
        <v>1035</v>
      </c>
      <c r="P341" s="1" t="s">
        <v>1042</v>
      </c>
      <c r="R341" s="1" t="s">
        <v>113</v>
      </c>
      <c r="S341" s="1" t="s">
        <v>1043</v>
      </c>
      <c r="U341" s="1" t="s">
        <v>130</v>
      </c>
      <c r="V341" s="1" t="s">
        <v>49</v>
      </c>
      <c r="W341" s="1" t="str">
        <f>VLOOKUP(Table1[[#This Row],[Obergruppe ATC-Code]],Tabelle3!$A$2:$B$100,2)</f>
        <v>HERZTHERAPIE</v>
      </c>
      <c r="X341" s="1" t="str">
        <f xml:space="preserve"> LEFT(Table1[[#This Row],[Atc Code]],3)</f>
        <v>C01</v>
      </c>
    </row>
    <row r="342" spans="1:24" ht="14.4">
      <c r="A342" s="14">
        <v>376</v>
      </c>
      <c r="B342" s="24">
        <v>2158372</v>
      </c>
      <c r="C342" s="1">
        <v>2100075</v>
      </c>
      <c r="D342" s="1" t="s">
        <v>25</v>
      </c>
      <c r="E342" s="36">
        <v>43132</v>
      </c>
      <c r="F342" s="36">
        <v>43220</v>
      </c>
      <c r="G342" s="38">
        <f t="shared" si="5"/>
        <v>88</v>
      </c>
      <c r="H342" s="5">
        <v>43160</v>
      </c>
      <c r="I342" s="5">
        <v>43185</v>
      </c>
      <c r="J342" s="1" t="s">
        <v>41</v>
      </c>
      <c r="K342" s="1" t="s">
        <v>1044</v>
      </c>
      <c r="L342" s="1" t="s">
        <v>1045</v>
      </c>
      <c r="M342" s="1" t="s">
        <v>1046</v>
      </c>
      <c r="N342" s="1" t="s">
        <v>30</v>
      </c>
      <c r="O342" s="1" t="s">
        <v>818</v>
      </c>
      <c r="P342" s="1" t="s">
        <v>819</v>
      </c>
      <c r="Q342" s="1" t="s">
        <v>1047</v>
      </c>
      <c r="R342" s="1" t="s">
        <v>26</v>
      </c>
      <c r="S342" s="1"/>
      <c r="U342" s="1" t="s">
        <v>35</v>
      </c>
      <c r="V342" s="1" t="s">
        <v>49</v>
      </c>
      <c r="W342" s="1" t="str">
        <f>VLOOKUP(Table1[[#This Row],[Obergruppe ATC-Code]],Tabelle3!$A$2:$B$100,2)</f>
        <v>HERZTHERAPIE</v>
      </c>
      <c r="X342" s="1" t="str">
        <f xml:space="preserve"> LEFT(Table1[[#This Row],[Atc Code]],3)</f>
        <v>C01</v>
      </c>
    </row>
    <row r="343" spans="1:24" ht="14.4">
      <c r="A343" s="14">
        <v>377</v>
      </c>
      <c r="B343" s="24">
        <v>2158372</v>
      </c>
      <c r="C343" s="1">
        <v>2100075</v>
      </c>
      <c r="D343" s="1" t="s">
        <v>25</v>
      </c>
      <c r="E343" s="36">
        <v>44685</v>
      </c>
      <c r="F343" s="36">
        <v>44727</v>
      </c>
      <c r="G343" s="38">
        <f t="shared" si="5"/>
        <v>42</v>
      </c>
      <c r="H343" s="5">
        <v>44672</v>
      </c>
      <c r="I343" s="5">
        <v>44727</v>
      </c>
      <c r="J343" s="1" t="s">
        <v>26</v>
      </c>
      <c r="K343" s="1" t="s">
        <v>1044</v>
      </c>
      <c r="L343" s="1" t="s">
        <v>1045</v>
      </c>
      <c r="M343" s="1" t="s">
        <v>1046</v>
      </c>
      <c r="N343" s="1" t="s">
        <v>38</v>
      </c>
      <c r="O343" s="1" t="s">
        <v>818</v>
      </c>
      <c r="P343" s="1" t="s">
        <v>1048</v>
      </c>
      <c r="Q343" s="1" t="s">
        <v>1047</v>
      </c>
      <c r="R343" s="1" t="s">
        <v>26</v>
      </c>
      <c r="S343" s="1" t="s">
        <v>1049</v>
      </c>
      <c r="U343" s="1" t="s">
        <v>130</v>
      </c>
      <c r="V343" s="1" t="s">
        <v>49</v>
      </c>
      <c r="W343" s="1" t="str">
        <f>VLOOKUP(Table1[[#This Row],[Obergruppe ATC-Code]],Tabelle3!$A$2:$B$100,2)</f>
        <v>HERZTHERAPIE</v>
      </c>
      <c r="X343" s="1" t="str">
        <f xml:space="preserve"> LEFT(Table1[[#This Row],[Atc Code]],3)</f>
        <v>C01</v>
      </c>
    </row>
    <row r="344" spans="1:24" ht="14.4">
      <c r="A344" s="14">
        <v>3055</v>
      </c>
      <c r="B344" s="24" t="s">
        <v>1050</v>
      </c>
      <c r="C344" s="1">
        <v>899963</v>
      </c>
      <c r="D344" s="1" t="s">
        <v>25</v>
      </c>
      <c r="E344" s="36">
        <v>43160</v>
      </c>
      <c r="F344" s="36">
        <v>43251</v>
      </c>
      <c r="G344" s="38">
        <f t="shared" si="5"/>
        <v>91</v>
      </c>
      <c r="H344" s="5">
        <v>43188</v>
      </c>
      <c r="I344" s="5">
        <v>43223</v>
      </c>
      <c r="J344" s="1" t="s">
        <v>41</v>
      </c>
      <c r="K344" s="1" t="s">
        <v>1051</v>
      </c>
      <c r="L344" s="1" t="s">
        <v>1052</v>
      </c>
      <c r="M344" s="1" t="s">
        <v>1053</v>
      </c>
      <c r="N344" s="1" t="s">
        <v>38</v>
      </c>
      <c r="O344" s="1" t="s">
        <v>1054</v>
      </c>
      <c r="P344" s="1" t="s">
        <v>1055</v>
      </c>
      <c r="Q344" s="1" t="s">
        <v>1056</v>
      </c>
      <c r="R344" s="1" t="s">
        <v>65</v>
      </c>
      <c r="S344" s="1"/>
      <c r="U344" s="1" t="s">
        <v>35</v>
      </c>
      <c r="V344" s="1" t="s">
        <v>99</v>
      </c>
      <c r="W344" s="1" t="str">
        <f>VLOOKUP(Table1[[#This Row],[Obergruppe ATC-Code]],Tabelle3!$A$2:$B$100,2)</f>
        <v>HERZTHERAPIE</v>
      </c>
      <c r="X344" s="1" t="str">
        <f xml:space="preserve"> LEFT(Table1[[#This Row],[Atc Code]],3)</f>
        <v>C01</v>
      </c>
    </row>
    <row r="345" spans="1:24" ht="14.4">
      <c r="A345" s="14">
        <v>120</v>
      </c>
      <c r="B345" s="24">
        <v>679658</v>
      </c>
      <c r="C345" s="1">
        <v>3005755</v>
      </c>
      <c r="D345" s="1" t="s">
        <v>25</v>
      </c>
      <c r="E345" s="36">
        <v>44746</v>
      </c>
      <c r="F345" s="36">
        <v>44791</v>
      </c>
      <c r="G345" s="38">
        <f t="shared" si="5"/>
        <v>45</v>
      </c>
      <c r="H345" s="5">
        <v>44749</v>
      </c>
      <c r="I345" s="5">
        <v>44791</v>
      </c>
      <c r="J345" s="1" t="s">
        <v>26</v>
      </c>
      <c r="K345" s="1" t="s">
        <v>1057</v>
      </c>
      <c r="L345" s="1" t="s">
        <v>1058</v>
      </c>
      <c r="M345" s="1" t="s">
        <v>1059</v>
      </c>
      <c r="N345" s="1" t="s">
        <v>30</v>
      </c>
      <c r="O345" s="1" t="s">
        <v>615</v>
      </c>
      <c r="P345" s="1" t="s">
        <v>623</v>
      </c>
      <c r="Q345" s="1" t="s">
        <v>621</v>
      </c>
      <c r="R345" s="1" t="s">
        <v>33</v>
      </c>
      <c r="S345" s="1" t="s">
        <v>1060</v>
      </c>
      <c r="T345" s="1" t="s">
        <v>1061</v>
      </c>
      <c r="U345" s="1" t="s">
        <v>35</v>
      </c>
      <c r="V345" s="1" t="s">
        <v>74</v>
      </c>
      <c r="W345" s="1" t="str">
        <f>VLOOKUP(Table1[[#This Row],[Obergruppe ATC-Code]],Tabelle3!$A$2:$B$100,2)</f>
        <v>HERZTHERAPIE</v>
      </c>
      <c r="X345" s="1" t="str">
        <f xml:space="preserve"> LEFT(Table1[[#This Row],[Atc Code]],3)</f>
        <v>C01</v>
      </c>
    </row>
    <row r="346" spans="1:24" ht="14.4">
      <c r="A346" s="14">
        <v>121</v>
      </c>
      <c r="B346" s="24">
        <v>679664</v>
      </c>
      <c r="C346" s="1">
        <v>3005756</v>
      </c>
      <c r="D346" s="1" t="s">
        <v>25</v>
      </c>
      <c r="E346" s="36">
        <v>44908</v>
      </c>
      <c r="F346" s="36">
        <v>44972</v>
      </c>
      <c r="G346" s="38">
        <f t="shared" si="5"/>
        <v>64</v>
      </c>
      <c r="H346" s="5">
        <v>44916</v>
      </c>
      <c r="I346" s="5">
        <v>44974</v>
      </c>
      <c r="J346" s="1" t="s">
        <v>26</v>
      </c>
      <c r="K346" s="1" t="s">
        <v>1062</v>
      </c>
      <c r="L346" s="1" t="s">
        <v>1058</v>
      </c>
      <c r="M346" s="1" t="s">
        <v>1059</v>
      </c>
      <c r="N346" s="1" t="s">
        <v>30</v>
      </c>
      <c r="O346" s="1" t="s">
        <v>615</v>
      </c>
      <c r="P346" s="1">
        <v>349542470</v>
      </c>
      <c r="Q346" s="1" t="s">
        <v>621</v>
      </c>
      <c r="R346" s="1" t="s">
        <v>33</v>
      </c>
      <c r="S346" s="1"/>
      <c r="U346" s="1" t="s">
        <v>35</v>
      </c>
      <c r="V346" s="1" t="s">
        <v>74</v>
      </c>
      <c r="W346" s="1" t="str">
        <f>VLOOKUP(Table1[[#This Row],[Obergruppe ATC-Code]],Tabelle3!$A$2:$B$100,2)</f>
        <v>HERZTHERAPIE</v>
      </c>
      <c r="X346" s="1" t="str">
        <f xml:space="preserve"> LEFT(Table1[[#This Row],[Atc Code]],3)</f>
        <v>C01</v>
      </c>
    </row>
    <row r="347" spans="1:24" ht="14.4">
      <c r="A347" s="14">
        <v>230</v>
      </c>
      <c r="B347" s="24">
        <v>1313764</v>
      </c>
      <c r="C347" s="1">
        <v>1225422</v>
      </c>
      <c r="D347" s="1" t="s">
        <v>175</v>
      </c>
      <c r="E347" s="36">
        <v>45212</v>
      </c>
      <c r="F347" s="36">
        <v>45291</v>
      </c>
      <c r="G347" s="38">
        <f t="shared" si="5"/>
        <v>79</v>
      </c>
      <c r="H347" s="5">
        <v>45152</v>
      </c>
      <c r="I347" s="5">
        <v>45152</v>
      </c>
      <c r="J347" s="1" t="s">
        <v>41</v>
      </c>
      <c r="K347" s="1" t="s">
        <v>1063</v>
      </c>
      <c r="L347" s="1" t="s">
        <v>1058</v>
      </c>
      <c r="M347" s="1" t="s">
        <v>1064</v>
      </c>
      <c r="N347" s="1" t="s">
        <v>38</v>
      </c>
      <c r="O347" s="1" t="s">
        <v>818</v>
      </c>
      <c r="P347" s="1" t="s">
        <v>1048</v>
      </c>
      <c r="Q347" s="1" t="s">
        <v>1047</v>
      </c>
      <c r="R347" s="1" t="s">
        <v>128</v>
      </c>
      <c r="S347" s="1"/>
      <c r="U347" s="1" t="s">
        <v>130</v>
      </c>
      <c r="V347" s="1" t="s">
        <v>74</v>
      </c>
      <c r="W347" s="1" t="str">
        <f>VLOOKUP(Table1[[#This Row],[Obergruppe ATC-Code]],Tabelle3!$A$2:$B$100,2)</f>
        <v>HERZTHERAPIE</v>
      </c>
      <c r="X347" s="1" t="str">
        <f xml:space="preserve"> LEFT(Table1[[#This Row],[Atc Code]],3)</f>
        <v>C01</v>
      </c>
    </row>
    <row r="348" spans="1:24" ht="14.4">
      <c r="A348" s="14">
        <v>362</v>
      </c>
      <c r="B348" s="24">
        <v>2067020</v>
      </c>
      <c r="C348" s="1">
        <v>2100358</v>
      </c>
      <c r="D348" s="1" t="s">
        <v>25</v>
      </c>
      <c r="E348" s="36">
        <v>45029</v>
      </c>
      <c r="F348" s="36">
        <v>45097</v>
      </c>
      <c r="G348" s="38">
        <f t="shared" si="5"/>
        <v>68</v>
      </c>
      <c r="H348" s="5">
        <v>45035</v>
      </c>
      <c r="I348" s="5">
        <v>45098</v>
      </c>
      <c r="J348" s="1" t="s">
        <v>26</v>
      </c>
      <c r="K348" s="1" t="s">
        <v>1065</v>
      </c>
      <c r="L348" s="1" t="s">
        <v>1066</v>
      </c>
      <c r="M348" s="1" t="s">
        <v>1067</v>
      </c>
      <c r="N348" s="1" t="s">
        <v>30</v>
      </c>
      <c r="O348" s="1" t="s">
        <v>1054</v>
      </c>
      <c r="P348" s="1" t="s">
        <v>1068</v>
      </c>
      <c r="Q348" s="1" t="s">
        <v>824</v>
      </c>
      <c r="R348" s="1" t="s">
        <v>113</v>
      </c>
      <c r="S348" s="1"/>
      <c r="U348" s="1" t="s">
        <v>35</v>
      </c>
      <c r="V348" s="1" t="s">
        <v>74</v>
      </c>
      <c r="W348" s="1" t="str">
        <f>VLOOKUP(Table1[[#This Row],[Obergruppe ATC-Code]],Tabelle3!$A$2:$B$100,2)</f>
        <v>HERZTHERAPIE</v>
      </c>
      <c r="X348" s="1" t="str">
        <f xml:space="preserve"> LEFT(Table1[[#This Row],[Atc Code]],3)</f>
        <v>C01</v>
      </c>
    </row>
    <row r="349" spans="1:24" ht="14.4">
      <c r="A349" s="14">
        <v>1199</v>
      </c>
      <c r="B349" s="24">
        <v>10946617</v>
      </c>
      <c r="C349" s="1">
        <v>2102089</v>
      </c>
      <c r="D349" s="1" t="s">
        <v>25</v>
      </c>
      <c r="E349" s="36">
        <v>44964</v>
      </c>
      <c r="F349" s="36">
        <v>45112</v>
      </c>
      <c r="G349" s="38">
        <f t="shared" si="5"/>
        <v>148</v>
      </c>
      <c r="H349" s="5">
        <v>45077</v>
      </c>
      <c r="I349" s="5">
        <v>45112</v>
      </c>
      <c r="J349" s="1" t="s">
        <v>41</v>
      </c>
      <c r="K349" s="1" t="s">
        <v>1069</v>
      </c>
      <c r="L349" s="1" t="s">
        <v>1070</v>
      </c>
      <c r="M349" s="1" t="s">
        <v>1071</v>
      </c>
      <c r="N349" s="1" t="s">
        <v>30</v>
      </c>
      <c r="O349" s="1" t="s">
        <v>1054</v>
      </c>
      <c r="P349" s="1" t="s">
        <v>1072</v>
      </c>
      <c r="Q349" s="1" t="s">
        <v>824</v>
      </c>
      <c r="R349" s="1" t="s">
        <v>128</v>
      </c>
      <c r="S349" s="1"/>
      <c r="U349" s="1" t="s">
        <v>35</v>
      </c>
      <c r="V349" s="1" t="s">
        <v>74</v>
      </c>
      <c r="W349" s="1" t="str">
        <f>VLOOKUP(Table1[[#This Row],[Obergruppe ATC-Code]],Tabelle3!$A$2:$B$100,2)</f>
        <v>HERZTHERAPIE</v>
      </c>
      <c r="X349" s="1" t="str">
        <f xml:space="preserve"> LEFT(Table1[[#This Row],[Atc Code]],3)</f>
        <v>C01</v>
      </c>
    </row>
    <row r="350" spans="1:24" ht="14.4">
      <c r="A350" s="14">
        <v>3056</v>
      </c>
      <c r="B350" s="46" t="s">
        <v>1073</v>
      </c>
      <c r="C350" s="1">
        <v>2146221</v>
      </c>
      <c r="D350" s="1" t="s">
        <v>25</v>
      </c>
      <c r="E350" s="36">
        <v>43891</v>
      </c>
      <c r="F350" s="36">
        <v>44012</v>
      </c>
      <c r="G350" s="38">
        <f t="shared" si="5"/>
        <v>121</v>
      </c>
      <c r="H350" s="5">
        <v>43916</v>
      </c>
      <c r="I350" s="5">
        <v>44000</v>
      </c>
      <c r="J350" s="1" t="s">
        <v>26</v>
      </c>
      <c r="K350" s="1" t="s">
        <v>1074</v>
      </c>
      <c r="L350" s="1" t="s">
        <v>1075</v>
      </c>
      <c r="M350" s="1" t="s">
        <v>1076</v>
      </c>
      <c r="N350" s="1" t="s">
        <v>30</v>
      </c>
      <c r="O350" s="1" t="s">
        <v>45</v>
      </c>
      <c r="P350" s="1" t="s">
        <v>104</v>
      </c>
      <c r="Q350" s="1" t="s">
        <v>105</v>
      </c>
      <c r="R350" s="1" t="s">
        <v>33</v>
      </c>
      <c r="S350" s="1"/>
      <c r="U350" s="1" t="s">
        <v>35</v>
      </c>
      <c r="V350" s="1" t="s">
        <v>652</v>
      </c>
      <c r="W350" s="1" t="str">
        <f>VLOOKUP(Table1[[#This Row],[Obergruppe ATC-Code]],Tabelle3!$A$2:$B$100,2)</f>
        <v>HERZTHERAPIE</v>
      </c>
      <c r="X350" s="1" t="str">
        <f xml:space="preserve"> LEFT(Table1[[#This Row],[Atc Code]],3)</f>
        <v>C01</v>
      </c>
    </row>
    <row r="351" spans="1:24" ht="14.4">
      <c r="A351" s="14">
        <v>419</v>
      </c>
      <c r="B351" s="24">
        <v>2499423</v>
      </c>
      <c r="C351" s="1">
        <v>2170304</v>
      </c>
      <c r="D351" s="1" t="s">
        <v>25</v>
      </c>
      <c r="E351" s="36">
        <v>44953</v>
      </c>
      <c r="F351" s="36">
        <v>44974</v>
      </c>
      <c r="G351" s="38">
        <f t="shared" si="5"/>
        <v>21</v>
      </c>
      <c r="H351" s="5">
        <v>44952</v>
      </c>
      <c r="I351" s="5">
        <v>44984</v>
      </c>
      <c r="J351" s="1" t="s">
        <v>26</v>
      </c>
      <c r="K351" s="1" t="s">
        <v>1077</v>
      </c>
      <c r="L351" s="1" t="s">
        <v>1075</v>
      </c>
      <c r="M351" s="1" t="s">
        <v>1076</v>
      </c>
      <c r="N351" s="1" t="s">
        <v>30</v>
      </c>
      <c r="O351" s="1" t="s">
        <v>1078</v>
      </c>
      <c r="Q351" s="1" t="s">
        <v>1079</v>
      </c>
      <c r="R351" s="1" t="s">
        <v>113</v>
      </c>
      <c r="S351" s="1" t="s">
        <v>113</v>
      </c>
      <c r="U351" s="1" t="s">
        <v>130</v>
      </c>
      <c r="V351" s="1" t="s">
        <v>74</v>
      </c>
      <c r="W351" s="1" t="str">
        <f>VLOOKUP(Table1[[#This Row],[Obergruppe ATC-Code]],Tabelle3!$A$2:$B$100,2)</f>
        <v>HERZTHERAPIE</v>
      </c>
      <c r="X351" s="1" t="str">
        <f xml:space="preserve"> LEFT(Table1[[#This Row],[Atc Code]],3)</f>
        <v>C01</v>
      </c>
    </row>
    <row r="352" spans="1:24" ht="14.4">
      <c r="A352" s="14">
        <v>378</v>
      </c>
      <c r="B352" s="24">
        <v>2170304</v>
      </c>
      <c r="C352" s="1">
        <v>2170304</v>
      </c>
      <c r="D352" s="1" t="s">
        <v>25</v>
      </c>
      <c r="E352" s="36">
        <v>44984</v>
      </c>
      <c r="F352" s="36">
        <v>45000</v>
      </c>
      <c r="G352" s="38">
        <f t="shared" si="5"/>
        <v>16</v>
      </c>
      <c r="H352" s="5">
        <v>44984</v>
      </c>
      <c r="I352" s="5">
        <v>45000</v>
      </c>
      <c r="J352" s="1" t="s">
        <v>26</v>
      </c>
      <c r="K352" s="1" t="s">
        <v>1077</v>
      </c>
      <c r="L352" s="1" t="s">
        <v>1075</v>
      </c>
      <c r="M352" s="1" t="s">
        <v>1076</v>
      </c>
      <c r="N352" s="1" t="s">
        <v>30</v>
      </c>
      <c r="O352" s="1" t="s">
        <v>1078</v>
      </c>
      <c r="Q352" s="1" t="s">
        <v>1079</v>
      </c>
      <c r="R352" s="1" t="s">
        <v>113</v>
      </c>
      <c r="S352" s="1"/>
      <c r="U352" s="1" t="s">
        <v>35</v>
      </c>
      <c r="V352" s="1" t="s">
        <v>74</v>
      </c>
      <c r="W352" s="1" t="str">
        <f>VLOOKUP(Table1[[#This Row],[Obergruppe ATC-Code]],Tabelle3!$A$2:$B$100,2)</f>
        <v>HERZTHERAPIE</v>
      </c>
      <c r="X352" s="1" t="str">
        <f xml:space="preserve"> LEFT(Table1[[#This Row],[Atc Code]],3)</f>
        <v>C01</v>
      </c>
    </row>
    <row r="353" spans="1:24" ht="14.4">
      <c r="A353" s="14">
        <v>1092</v>
      </c>
      <c r="B353" s="24">
        <v>9266722</v>
      </c>
      <c r="C353" s="1">
        <v>2174800</v>
      </c>
      <c r="D353" s="1" t="s">
        <v>25</v>
      </c>
      <c r="E353" s="36">
        <v>44914</v>
      </c>
      <c r="F353" s="36">
        <v>45022</v>
      </c>
      <c r="G353" s="38">
        <f t="shared" si="5"/>
        <v>108</v>
      </c>
      <c r="H353" s="5">
        <v>44914</v>
      </c>
      <c r="I353" s="5">
        <v>45022</v>
      </c>
      <c r="J353" s="1" t="s">
        <v>41</v>
      </c>
      <c r="K353" s="1" t="s">
        <v>1080</v>
      </c>
      <c r="L353" s="1" t="s">
        <v>1075</v>
      </c>
      <c r="M353" s="1" t="s">
        <v>1076</v>
      </c>
      <c r="N353" s="1" t="s">
        <v>38</v>
      </c>
      <c r="O353" s="1" t="s">
        <v>1081</v>
      </c>
      <c r="P353" s="1">
        <v>491607047311</v>
      </c>
      <c r="Q353" s="1" t="s">
        <v>1082</v>
      </c>
      <c r="R353" s="1" t="s">
        <v>128</v>
      </c>
      <c r="S353" s="1" t="s">
        <v>1083</v>
      </c>
      <c r="U353" s="1" t="s">
        <v>130</v>
      </c>
      <c r="V353" s="1" t="s">
        <v>1084</v>
      </c>
      <c r="W353" s="1" t="str">
        <f>VLOOKUP(Table1[[#This Row],[Obergruppe ATC-Code]],Tabelle3!$A$2:$B$100,2)</f>
        <v>HERZTHERAPIE</v>
      </c>
      <c r="X353" s="1" t="str">
        <f xml:space="preserve"> LEFT(Table1[[#This Row],[Atc Code]],3)</f>
        <v>C01</v>
      </c>
    </row>
    <row r="354" spans="1:24" ht="14.4">
      <c r="A354" s="14">
        <v>683</v>
      </c>
      <c r="B354" s="24">
        <v>4599382</v>
      </c>
      <c r="C354" s="1">
        <v>2141453</v>
      </c>
      <c r="D354" s="1" t="s">
        <v>25</v>
      </c>
      <c r="E354" s="36">
        <v>44935</v>
      </c>
      <c r="F354" s="36">
        <v>45028</v>
      </c>
      <c r="G354" s="38">
        <f t="shared" si="5"/>
        <v>93</v>
      </c>
      <c r="H354" s="5">
        <v>44937</v>
      </c>
      <c r="I354" s="5">
        <v>45028</v>
      </c>
      <c r="J354" s="1" t="s">
        <v>26</v>
      </c>
      <c r="K354" s="1" t="s">
        <v>1085</v>
      </c>
      <c r="L354" s="1" t="s">
        <v>1075</v>
      </c>
      <c r="M354" s="1" t="s">
        <v>1076</v>
      </c>
      <c r="N354" s="1" t="s">
        <v>30</v>
      </c>
      <c r="O354" s="1" t="s">
        <v>62</v>
      </c>
      <c r="P354" s="1">
        <v>8005252010</v>
      </c>
      <c r="Q354" s="1" t="s">
        <v>64</v>
      </c>
      <c r="R354" s="1" t="s">
        <v>113</v>
      </c>
      <c r="S354" s="1" t="s">
        <v>1086</v>
      </c>
      <c r="U354" s="1" t="s">
        <v>35</v>
      </c>
      <c r="V354" s="1" t="s">
        <v>74</v>
      </c>
      <c r="W354" s="1" t="str">
        <f>VLOOKUP(Table1[[#This Row],[Obergruppe ATC-Code]],Tabelle3!$A$2:$B$100,2)</f>
        <v>HERZTHERAPIE</v>
      </c>
      <c r="X354" s="1" t="str">
        <f xml:space="preserve"> LEFT(Table1[[#This Row],[Atc Code]],3)</f>
        <v>C01</v>
      </c>
    </row>
    <row r="355" spans="1:24" ht="14.4">
      <c r="A355" s="14">
        <v>418</v>
      </c>
      <c r="B355" s="24">
        <v>2499423</v>
      </c>
      <c r="C355" s="1">
        <v>2170304</v>
      </c>
      <c r="D355" s="1" t="s">
        <v>25</v>
      </c>
      <c r="E355" s="36">
        <v>45106</v>
      </c>
      <c r="F355" s="36">
        <v>45133</v>
      </c>
      <c r="G355" s="38">
        <f t="shared" si="5"/>
        <v>27</v>
      </c>
      <c r="H355" s="5">
        <v>45106</v>
      </c>
      <c r="I355" s="5">
        <v>45133</v>
      </c>
      <c r="J355" s="1" t="s">
        <v>26</v>
      </c>
      <c r="K355" s="1" t="s">
        <v>1077</v>
      </c>
      <c r="L355" s="1" t="s">
        <v>1075</v>
      </c>
      <c r="M355" s="1" t="s">
        <v>1076</v>
      </c>
      <c r="N355" s="1" t="s">
        <v>30</v>
      </c>
      <c r="O355" s="1" t="s">
        <v>1078</v>
      </c>
      <c r="P355" s="1">
        <v>8945450250</v>
      </c>
      <c r="Q355" s="1" t="s">
        <v>1079</v>
      </c>
      <c r="R355" s="1" t="s">
        <v>26</v>
      </c>
      <c r="S355" s="1" t="s">
        <v>1087</v>
      </c>
      <c r="U355" s="1" t="s">
        <v>130</v>
      </c>
      <c r="V355" s="1" t="s">
        <v>74</v>
      </c>
      <c r="W355" s="1" t="str">
        <f>VLOOKUP(Table1[[#This Row],[Obergruppe ATC-Code]],Tabelle3!$A$2:$B$100,2)</f>
        <v>HERZTHERAPIE</v>
      </c>
      <c r="X355" s="1" t="str">
        <f xml:space="preserve"> LEFT(Table1[[#This Row],[Atc Code]],3)</f>
        <v>C01</v>
      </c>
    </row>
    <row r="356" spans="1:24" ht="14.4">
      <c r="A356" s="14">
        <v>1091</v>
      </c>
      <c r="B356" s="24">
        <v>9266722</v>
      </c>
      <c r="C356" s="1">
        <v>2174800</v>
      </c>
      <c r="D356" s="1" t="s">
        <v>102</v>
      </c>
      <c r="E356" s="36">
        <v>45099</v>
      </c>
      <c r="F356" s="36">
        <v>45322</v>
      </c>
      <c r="G356" s="38">
        <f t="shared" si="5"/>
        <v>223</v>
      </c>
      <c r="H356" s="5">
        <v>45099</v>
      </c>
      <c r="I356" s="5">
        <v>45175</v>
      </c>
      <c r="J356" s="1" t="s">
        <v>41</v>
      </c>
      <c r="K356" s="1" t="s">
        <v>1080</v>
      </c>
      <c r="L356" s="1" t="s">
        <v>1075</v>
      </c>
      <c r="M356" s="1" t="s">
        <v>1076</v>
      </c>
      <c r="N356" s="1" t="s">
        <v>30</v>
      </c>
      <c r="O356" s="1" t="s">
        <v>1081</v>
      </c>
      <c r="P356" s="1">
        <v>51518050245</v>
      </c>
      <c r="Q356" s="1" t="s">
        <v>1082</v>
      </c>
      <c r="R356" s="1" t="s">
        <v>128</v>
      </c>
      <c r="S356" s="1"/>
      <c r="U356" s="1" t="s">
        <v>130</v>
      </c>
      <c r="V356" s="1" t="s">
        <v>1084</v>
      </c>
      <c r="W356" s="1" t="str">
        <f>VLOOKUP(Table1[[#This Row],[Obergruppe ATC-Code]],Tabelle3!$A$2:$B$100,2)</f>
        <v>HERZTHERAPIE</v>
      </c>
      <c r="X356" s="1" t="str">
        <f xml:space="preserve"> LEFT(Table1[[#This Row],[Atc Code]],3)</f>
        <v>C01</v>
      </c>
    </row>
    <row r="357" spans="1:24" ht="14.4">
      <c r="A357" s="14">
        <v>755</v>
      </c>
      <c r="B357" s="24">
        <v>5387618</v>
      </c>
      <c r="C357" s="1">
        <v>2705426</v>
      </c>
      <c r="D357" s="1" t="s">
        <v>25</v>
      </c>
      <c r="E357" s="36">
        <v>44524</v>
      </c>
      <c r="F357" s="36">
        <v>44538</v>
      </c>
      <c r="G357" s="38">
        <f t="shared" si="5"/>
        <v>14</v>
      </c>
      <c r="H357" s="5">
        <v>44525</v>
      </c>
      <c r="I357" s="5">
        <v>44538</v>
      </c>
      <c r="J357" s="1" t="s">
        <v>26</v>
      </c>
      <c r="K357" s="1" t="s">
        <v>1088</v>
      </c>
      <c r="L357" s="1" t="s">
        <v>1089</v>
      </c>
      <c r="M357" s="1" t="s">
        <v>1090</v>
      </c>
      <c r="N357" s="1" t="s">
        <v>30</v>
      </c>
      <c r="O357" s="1" t="s">
        <v>448</v>
      </c>
      <c r="P357" s="1" t="s">
        <v>63</v>
      </c>
      <c r="Q357" s="1" t="s">
        <v>64</v>
      </c>
      <c r="R357" s="1" t="s">
        <v>26</v>
      </c>
      <c r="S357" s="1" t="s">
        <v>1091</v>
      </c>
      <c r="U357" s="1" t="s">
        <v>35</v>
      </c>
      <c r="V357" s="1" t="s">
        <v>99</v>
      </c>
      <c r="W357" s="1" t="str">
        <f>VLOOKUP(Table1[[#This Row],[Obergruppe ATC-Code]],Tabelle3!$A$2:$B$100,2)</f>
        <v>HERZTHERAPIE</v>
      </c>
      <c r="X357" s="1" t="str">
        <f xml:space="preserve"> LEFT(Table1[[#This Row],[Atc Code]],3)</f>
        <v>C01</v>
      </c>
    </row>
    <row r="358" spans="1:24" ht="14.4">
      <c r="A358" s="14">
        <v>766</v>
      </c>
      <c r="B358" s="24">
        <v>5875631</v>
      </c>
      <c r="C358" s="1">
        <v>444642</v>
      </c>
      <c r="D358" s="1" t="s">
        <v>25</v>
      </c>
      <c r="E358" s="36">
        <v>43586</v>
      </c>
      <c r="F358" s="36">
        <v>43738</v>
      </c>
      <c r="G358" s="38">
        <f t="shared" si="5"/>
        <v>152</v>
      </c>
      <c r="H358" s="5">
        <v>43591</v>
      </c>
      <c r="I358" s="5">
        <v>43608</v>
      </c>
      <c r="J358" s="1" t="s">
        <v>41</v>
      </c>
      <c r="K358" s="1" t="s">
        <v>1092</v>
      </c>
      <c r="L358" s="1" t="s">
        <v>1093</v>
      </c>
      <c r="M358" s="1" t="s">
        <v>1094</v>
      </c>
      <c r="N358" s="1" t="s">
        <v>30</v>
      </c>
      <c r="O358" s="1" t="s">
        <v>62</v>
      </c>
      <c r="P358" s="1" t="s">
        <v>63</v>
      </c>
      <c r="Q358" s="1" t="s">
        <v>64</v>
      </c>
      <c r="R358" s="1" t="s">
        <v>26</v>
      </c>
      <c r="S358" s="1"/>
      <c r="U358" s="1" t="s">
        <v>35</v>
      </c>
      <c r="V358" s="1" t="s">
        <v>74</v>
      </c>
      <c r="W358" s="1" t="str">
        <f>VLOOKUP(Table1[[#This Row],[Obergruppe ATC-Code]],Tabelle3!$A$2:$B$100,2)</f>
        <v>HERZTHERAPIE</v>
      </c>
      <c r="X358" s="1" t="str">
        <f xml:space="preserve"> LEFT(Table1[[#This Row],[Atc Code]],3)</f>
        <v>C01</v>
      </c>
    </row>
    <row r="359" spans="1:24" ht="14.4">
      <c r="A359" s="14">
        <v>765</v>
      </c>
      <c r="B359" s="24">
        <v>5875631</v>
      </c>
      <c r="C359" s="1">
        <v>444642</v>
      </c>
      <c r="D359" s="1" t="s">
        <v>25</v>
      </c>
      <c r="E359" s="36">
        <v>43739</v>
      </c>
      <c r="F359" s="36">
        <v>43830</v>
      </c>
      <c r="G359" s="38">
        <f t="shared" si="5"/>
        <v>91</v>
      </c>
      <c r="H359" s="5">
        <v>43728</v>
      </c>
      <c r="I359" s="5">
        <v>43763</v>
      </c>
      <c r="J359" s="1" t="s">
        <v>41</v>
      </c>
      <c r="K359" s="1" t="s">
        <v>1092</v>
      </c>
      <c r="L359" s="1" t="s">
        <v>1093</v>
      </c>
      <c r="M359" s="1" t="s">
        <v>1094</v>
      </c>
      <c r="N359" s="1" t="s">
        <v>30</v>
      </c>
      <c r="O359" s="1" t="s">
        <v>62</v>
      </c>
      <c r="P359" s="1" t="s">
        <v>63</v>
      </c>
      <c r="Q359" s="1" t="s">
        <v>64</v>
      </c>
      <c r="R359" s="1" t="s">
        <v>65</v>
      </c>
      <c r="S359" s="1"/>
      <c r="U359" s="1" t="s">
        <v>35</v>
      </c>
      <c r="V359" s="1" t="s">
        <v>74</v>
      </c>
      <c r="W359" s="1" t="str">
        <f>VLOOKUP(Table1[[#This Row],[Obergruppe ATC-Code]],Tabelle3!$A$2:$B$100,2)</f>
        <v>HERZTHERAPIE</v>
      </c>
      <c r="X359" s="1" t="str">
        <f xml:space="preserve"> LEFT(Table1[[#This Row],[Atc Code]],3)</f>
        <v>C01</v>
      </c>
    </row>
    <row r="360" spans="1:24" ht="14.4">
      <c r="A360" s="14">
        <v>1658</v>
      </c>
      <c r="B360" s="24" t="s">
        <v>1095</v>
      </c>
      <c r="C360" s="1">
        <v>1445916</v>
      </c>
      <c r="D360" s="1" t="s">
        <v>25</v>
      </c>
      <c r="E360" s="36">
        <v>43922</v>
      </c>
      <c r="F360" s="36">
        <v>43951</v>
      </c>
      <c r="G360" s="38">
        <f t="shared" si="5"/>
        <v>29</v>
      </c>
      <c r="H360" s="5">
        <v>43928</v>
      </c>
      <c r="I360" s="5">
        <v>43951</v>
      </c>
      <c r="J360" s="1" t="s">
        <v>41</v>
      </c>
      <c r="K360" s="1" t="s">
        <v>1096</v>
      </c>
      <c r="L360" s="1" t="s">
        <v>1093</v>
      </c>
      <c r="M360" s="1" t="s">
        <v>1094</v>
      </c>
      <c r="N360" s="1" t="s">
        <v>30</v>
      </c>
      <c r="O360" s="1" t="s">
        <v>62</v>
      </c>
      <c r="P360" s="1" t="s">
        <v>63</v>
      </c>
      <c r="Q360" s="1" t="s">
        <v>64</v>
      </c>
      <c r="R360" s="1" t="s">
        <v>26</v>
      </c>
      <c r="S360" s="1"/>
      <c r="U360" s="1" t="s">
        <v>35</v>
      </c>
      <c r="V360" s="1" t="s">
        <v>74</v>
      </c>
      <c r="W360" s="1" t="str">
        <f>VLOOKUP(Table1[[#This Row],[Obergruppe ATC-Code]],Tabelle3!$A$2:$B$100,2)</f>
        <v>HERZTHERAPIE</v>
      </c>
      <c r="X360" s="1" t="str">
        <f xml:space="preserve"> LEFT(Table1[[#This Row],[Atc Code]],3)</f>
        <v>C01</v>
      </c>
    </row>
    <row r="361" spans="1:24" ht="14.4">
      <c r="A361" s="14">
        <v>764</v>
      </c>
      <c r="B361" s="24">
        <v>5875631</v>
      </c>
      <c r="C361" s="1">
        <v>444642</v>
      </c>
      <c r="D361" s="1" t="s">
        <v>25</v>
      </c>
      <c r="E361" s="36">
        <v>44044</v>
      </c>
      <c r="F361" s="36">
        <v>44104</v>
      </c>
      <c r="G361" s="38">
        <f t="shared" si="5"/>
        <v>60</v>
      </c>
      <c r="H361" s="5">
        <v>44039</v>
      </c>
      <c r="I361" s="5">
        <v>44076</v>
      </c>
      <c r="J361" s="1" t="s">
        <v>41</v>
      </c>
      <c r="K361" s="1" t="s">
        <v>1092</v>
      </c>
      <c r="L361" s="1" t="s">
        <v>1093</v>
      </c>
      <c r="M361" s="1" t="s">
        <v>1094</v>
      </c>
      <c r="N361" s="1" t="s">
        <v>30</v>
      </c>
      <c r="O361" s="1" t="s">
        <v>62</v>
      </c>
      <c r="P361" s="1" t="s">
        <v>63</v>
      </c>
      <c r="Q361" s="1" t="s">
        <v>64</v>
      </c>
      <c r="R361" s="1" t="s">
        <v>65</v>
      </c>
      <c r="S361" s="1"/>
      <c r="T361" s="1" t="s">
        <v>1097</v>
      </c>
      <c r="U361" s="1" t="s">
        <v>35</v>
      </c>
      <c r="V361" s="1" t="s">
        <v>74</v>
      </c>
      <c r="W361" s="1" t="str">
        <f>VLOOKUP(Table1[[#This Row],[Obergruppe ATC-Code]],Tabelle3!$A$2:$B$100,2)</f>
        <v>HERZTHERAPIE</v>
      </c>
      <c r="X361" s="1" t="str">
        <f xml:space="preserve"> LEFT(Table1[[#This Row],[Atc Code]],3)</f>
        <v>C01</v>
      </c>
    </row>
    <row r="362" spans="1:24" ht="14.4">
      <c r="A362" s="14">
        <v>1498</v>
      </c>
      <c r="B362" s="24">
        <v>15820737</v>
      </c>
      <c r="C362" s="1">
        <v>2201015</v>
      </c>
      <c r="D362" s="1" t="s">
        <v>25</v>
      </c>
      <c r="E362" s="36">
        <v>44903</v>
      </c>
      <c r="F362" s="36">
        <v>44922</v>
      </c>
      <c r="G362" s="38">
        <f t="shared" si="5"/>
        <v>19</v>
      </c>
      <c r="H362" s="5">
        <v>44900</v>
      </c>
      <c r="I362" s="5">
        <v>44922</v>
      </c>
      <c r="J362" s="1" t="s">
        <v>41</v>
      </c>
      <c r="K362" s="1" t="s">
        <v>1098</v>
      </c>
      <c r="L362" s="1" t="s">
        <v>1093</v>
      </c>
      <c r="M362" s="1" t="s">
        <v>1099</v>
      </c>
      <c r="N362" s="1" t="s">
        <v>30</v>
      </c>
      <c r="O362" s="1" t="s">
        <v>1100</v>
      </c>
      <c r="Q362" s="1" t="s">
        <v>1101</v>
      </c>
      <c r="R362" s="1" t="s">
        <v>128</v>
      </c>
      <c r="S362" s="1"/>
      <c r="T362" s="1" t="s">
        <v>1097</v>
      </c>
      <c r="U362" s="1" t="s">
        <v>35</v>
      </c>
      <c r="V362" s="1" t="s">
        <v>648</v>
      </c>
      <c r="W362" s="1" t="str">
        <f>VLOOKUP(Table1[[#This Row],[Obergruppe ATC-Code]],Tabelle3!$A$2:$B$100,2)</f>
        <v>HERZTHERAPIE</v>
      </c>
      <c r="X362" s="1" t="str">
        <f xml:space="preserve"> LEFT(Table1[[#This Row],[Atc Code]],3)</f>
        <v>C01</v>
      </c>
    </row>
    <row r="363" spans="1:24" ht="14.4">
      <c r="A363" s="14">
        <v>1391</v>
      </c>
      <c r="B363" s="24">
        <v>13827617</v>
      </c>
      <c r="C363" s="1">
        <v>73045</v>
      </c>
      <c r="D363" s="1" t="s">
        <v>25</v>
      </c>
      <c r="E363" s="36">
        <v>43586</v>
      </c>
      <c r="F363" s="36">
        <v>43646</v>
      </c>
      <c r="G363" s="38">
        <f t="shared" si="5"/>
        <v>60</v>
      </c>
      <c r="H363" s="5">
        <v>43607</v>
      </c>
      <c r="I363" s="5">
        <v>43648</v>
      </c>
      <c r="J363" s="1" t="s">
        <v>41</v>
      </c>
      <c r="K363" s="1" t="s">
        <v>1102</v>
      </c>
      <c r="L363" s="1" t="s">
        <v>1103</v>
      </c>
      <c r="M363" s="1" t="s">
        <v>1104</v>
      </c>
      <c r="N363" s="1" t="s">
        <v>30</v>
      </c>
      <c r="O363" s="1" t="s">
        <v>220</v>
      </c>
      <c r="P363" s="1" t="s">
        <v>221</v>
      </c>
      <c r="Q363" s="1" t="s">
        <v>222</v>
      </c>
      <c r="R363" s="1" t="s">
        <v>48</v>
      </c>
      <c r="S363" s="1"/>
      <c r="T363" s="1" t="s">
        <v>1105</v>
      </c>
      <c r="U363" s="1" t="s">
        <v>35</v>
      </c>
      <c r="V363" s="1" t="s">
        <v>279</v>
      </c>
      <c r="W363" s="1" t="str">
        <f>VLOOKUP(Table1[[#This Row],[Obergruppe ATC-Code]],Tabelle3!$A$2:$B$100,2)</f>
        <v>HERZTHERAPIE</v>
      </c>
      <c r="X363" s="1" t="str">
        <f xml:space="preserve"> LEFT(Table1[[#This Row],[Atc Code]],3)</f>
        <v>C01</v>
      </c>
    </row>
    <row r="364" spans="1:24" ht="14.4">
      <c r="A364" s="14">
        <v>1392</v>
      </c>
      <c r="B364" s="24">
        <v>13827617</v>
      </c>
      <c r="C364" s="1">
        <v>73045</v>
      </c>
      <c r="D364" s="1" t="s">
        <v>25</v>
      </c>
      <c r="E364" s="36">
        <v>43891</v>
      </c>
      <c r="F364" s="36">
        <v>43982</v>
      </c>
      <c r="G364" s="38">
        <f t="shared" si="5"/>
        <v>91</v>
      </c>
      <c r="H364" s="5">
        <v>43916</v>
      </c>
      <c r="I364" s="5">
        <v>43979</v>
      </c>
      <c r="J364" s="1" t="s">
        <v>26</v>
      </c>
      <c r="K364" s="1" t="s">
        <v>1102</v>
      </c>
      <c r="L364" s="1" t="s">
        <v>1103</v>
      </c>
      <c r="M364" s="1" t="s">
        <v>1104</v>
      </c>
      <c r="N364" s="1" t="s">
        <v>30</v>
      </c>
      <c r="O364" s="1" t="s">
        <v>220</v>
      </c>
      <c r="P364" s="1" t="s">
        <v>221</v>
      </c>
      <c r="Q364" s="1" t="s">
        <v>222</v>
      </c>
      <c r="R364" s="1" t="s">
        <v>33</v>
      </c>
      <c r="S364" s="1"/>
      <c r="U364" s="1" t="s">
        <v>35</v>
      </c>
      <c r="V364" s="1" t="s">
        <v>279</v>
      </c>
      <c r="W364" s="1" t="str">
        <f>VLOOKUP(Table1[[#This Row],[Obergruppe ATC-Code]],Tabelle3!$A$2:$B$100,2)</f>
        <v>HERZTHERAPIE</v>
      </c>
      <c r="X364" s="1" t="str">
        <f xml:space="preserve"> LEFT(Table1[[#This Row],[Atc Code]],3)</f>
        <v>C01</v>
      </c>
    </row>
    <row r="365" spans="1:24" ht="14.4">
      <c r="A365" s="14">
        <v>84</v>
      </c>
      <c r="B365" s="24">
        <v>557027</v>
      </c>
      <c r="C365" s="1">
        <v>2132903</v>
      </c>
      <c r="D365" s="1" t="s">
        <v>25</v>
      </c>
      <c r="E365" s="36">
        <v>43435</v>
      </c>
      <c r="F365" s="36">
        <v>43555</v>
      </c>
      <c r="G365" s="38">
        <f t="shared" si="5"/>
        <v>120</v>
      </c>
      <c r="H365" s="5">
        <v>43480</v>
      </c>
      <c r="I365" s="5">
        <v>43546</v>
      </c>
      <c r="J365" s="1" t="s">
        <v>41</v>
      </c>
      <c r="K365" s="1" t="s">
        <v>1106</v>
      </c>
      <c r="L365" s="1" t="s">
        <v>1107</v>
      </c>
      <c r="M365" s="1" t="s">
        <v>1108</v>
      </c>
      <c r="N365" s="1" t="s">
        <v>30</v>
      </c>
      <c r="O365" s="1" t="s">
        <v>220</v>
      </c>
      <c r="P365" s="1" t="s">
        <v>221</v>
      </c>
      <c r="Q365" s="1" t="s">
        <v>222</v>
      </c>
      <c r="R365" s="1" t="s">
        <v>65</v>
      </c>
      <c r="S365" s="1"/>
      <c r="U365" s="1" t="s">
        <v>57</v>
      </c>
      <c r="V365" s="1" t="s">
        <v>648</v>
      </c>
      <c r="W365" s="1" t="str">
        <f>VLOOKUP(Table1[[#This Row],[Obergruppe ATC-Code]],Tabelle3!$A$2:$B$100,2)</f>
        <v>HERZTHERAPIE</v>
      </c>
      <c r="X365" s="1" t="str">
        <f xml:space="preserve"> LEFT(Table1[[#This Row],[Atc Code]],3)</f>
        <v>C01</v>
      </c>
    </row>
    <row r="366" spans="1:24" ht="14.4">
      <c r="A366" s="14">
        <v>85</v>
      </c>
      <c r="B366" s="24">
        <v>557027</v>
      </c>
      <c r="C366" s="1">
        <v>2132903</v>
      </c>
      <c r="D366" s="1" t="s">
        <v>25</v>
      </c>
      <c r="E366" s="36">
        <v>44770</v>
      </c>
      <c r="F366" s="36">
        <v>44883</v>
      </c>
      <c r="G366" s="38">
        <f t="shared" si="5"/>
        <v>113</v>
      </c>
      <c r="H366" s="5">
        <v>44740</v>
      </c>
      <c r="I366" s="5">
        <v>44886</v>
      </c>
      <c r="J366" s="1" t="s">
        <v>41</v>
      </c>
      <c r="K366" s="1" t="s">
        <v>1106</v>
      </c>
      <c r="L366" s="1" t="s">
        <v>1107</v>
      </c>
      <c r="M366" s="1" t="s">
        <v>1108</v>
      </c>
      <c r="N366" s="1" t="s">
        <v>38</v>
      </c>
      <c r="O366" s="1" t="s">
        <v>220</v>
      </c>
      <c r="P366" s="1">
        <v>1726839188</v>
      </c>
      <c r="Q366" s="1" t="s">
        <v>1109</v>
      </c>
      <c r="R366" s="1" t="s">
        <v>128</v>
      </c>
      <c r="S366" s="1"/>
      <c r="U366" s="1" t="s">
        <v>57</v>
      </c>
      <c r="V366" s="1" t="s">
        <v>648</v>
      </c>
      <c r="W366" s="1" t="str">
        <f>VLOOKUP(Table1[[#This Row],[Obergruppe ATC-Code]],Tabelle3!$A$2:$B$100,2)</f>
        <v>HERZTHERAPIE</v>
      </c>
      <c r="X366" s="1" t="str">
        <f xml:space="preserve"> LEFT(Table1[[#This Row],[Atc Code]],3)</f>
        <v>C01</v>
      </c>
    </row>
    <row r="367" spans="1:24" ht="14.4">
      <c r="A367" s="14">
        <v>2952</v>
      </c>
      <c r="B367" s="24" t="s">
        <v>1110</v>
      </c>
      <c r="C367" s="1">
        <v>2113579</v>
      </c>
      <c r="D367" s="1" t="s">
        <v>25</v>
      </c>
      <c r="E367" s="36">
        <v>43160</v>
      </c>
      <c r="F367" s="36">
        <v>43220</v>
      </c>
      <c r="G367" s="38">
        <f t="shared" si="5"/>
        <v>60</v>
      </c>
      <c r="H367" s="5">
        <v>43193</v>
      </c>
      <c r="I367" s="5">
        <v>43217</v>
      </c>
      <c r="J367" s="1" t="s">
        <v>41</v>
      </c>
      <c r="K367" s="1" t="s">
        <v>1111</v>
      </c>
      <c r="L367" s="1" t="s">
        <v>1112</v>
      </c>
      <c r="M367" s="1" t="s">
        <v>1113</v>
      </c>
      <c r="N367" s="1" t="s">
        <v>30</v>
      </c>
      <c r="O367" s="1" t="s">
        <v>1114</v>
      </c>
      <c r="P367" s="1" t="s">
        <v>1055</v>
      </c>
      <c r="Q367" s="1" t="s">
        <v>1056</v>
      </c>
      <c r="R367" s="1" t="s">
        <v>26</v>
      </c>
      <c r="S367" s="1"/>
      <c r="U367" s="1" t="s">
        <v>35</v>
      </c>
      <c r="V367" s="1" t="s">
        <v>74</v>
      </c>
      <c r="W367" s="1" t="str">
        <f>VLOOKUP(Table1[[#This Row],[Obergruppe ATC-Code]],Tabelle3!$A$2:$B$100,2)</f>
        <v>HERZTHERAPIE</v>
      </c>
      <c r="X367" s="1" t="str">
        <f xml:space="preserve"> LEFT(Table1[[#This Row],[Atc Code]],3)</f>
        <v>C01</v>
      </c>
    </row>
    <row r="368" spans="1:24" ht="14.4">
      <c r="A368" s="14">
        <v>2951</v>
      </c>
      <c r="B368" s="24" t="s">
        <v>1110</v>
      </c>
      <c r="C368" s="1">
        <v>2113579</v>
      </c>
      <c r="D368" s="1" t="s">
        <v>25</v>
      </c>
      <c r="E368" s="36">
        <v>43252</v>
      </c>
      <c r="F368" s="36">
        <v>43312</v>
      </c>
      <c r="G368" s="38">
        <f t="shared" si="5"/>
        <v>60</v>
      </c>
      <c r="H368" s="5">
        <v>43278</v>
      </c>
      <c r="I368" s="5">
        <v>43290</v>
      </c>
      <c r="J368" s="1" t="s">
        <v>41</v>
      </c>
      <c r="K368" s="1" t="s">
        <v>1111</v>
      </c>
      <c r="L368" s="1" t="s">
        <v>1112</v>
      </c>
      <c r="M368" s="1" t="s">
        <v>1113</v>
      </c>
      <c r="N368" s="1" t="s">
        <v>30</v>
      </c>
      <c r="O368" s="1" t="s">
        <v>1114</v>
      </c>
      <c r="P368" s="1" t="s">
        <v>1115</v>
      </c>
      <c r="Q368" s="1" t="s">
        <v>1116</v>
      </c>
      <c r="R368" s="1" t="s">
        <v>26</v>
      </c>
      <c r="S368" s="1"/>
      <c r="U368" s="1" t="s">
        <v>35</v>
      </c>
      <c r="V368" s="1" t="s">
        <v>74</v>
      </c>
      <c r="W368" s="1" t="str">
        <f>VLOOKUP(Table1[[#This Row],[Obergruppe ATC-Code]],Tabelle3!$A$2:$B$100,2)</f>
        <v>HERZTHERAPIE</v>
      </c>
      <c r="X368" s="1" t="str">
        <f xml:space="preserve"> LEFT(Table1[[#This Row],[Atc Code]],3)</f>
        <v>C01</v>
      </c>
    </row>
    <row r="369" spans="1:24" ht="14.4">
      <c r="A369" s="14">
        <v>2950</v>
      </c>
      <c r="B369" s="24" t="s">
        <v>1110</v>
      </c>
      <c r="C369" s="1">
        <v>2113579</v>
      </c>
      <c r="D369" s="1" t="s">
        <v>25</v>
      </c>
      <c r="E369" s="36">
        <v>43282</v>
      </c>
      <c r="F369" s="36">
        <v>43373</v>
      </c>
      <c r="G369" s="38">
        <f t="shared" si="5"/>
        <v>91</v>
      </c>
      <c r="H369" s="5">
        <v>43304</v>
      </c>
      <c r="I369" s="5">
        <v>43349</v>
      </c>
      <c r="J369" s="1" t="s">
        <v>41</v>
      </c>
      <c r="K369" s="1" t="s">
        <v>1111</v>
      </c>
      <c r="L369" s="1" t="s">
        <v>1112</v>
      </c>
      <c r="M369" s="1" t="s">
        <v>1113</v>
      </c>
      <c r="N369" s="1" t="s">
        <v>30</v>
      </c>
      <c r="O369" s="1" t="s">
        <v>1114</v>
      </c>
      <c r="P369" s="1" t="s">
        <v>1115</v>
      </c>
      <c r="Q369" s="1" t="s">
        <v>1116</v>
      </c>
      <c r="R369" s="1" t="s">
        <v>26</v>
      </c>
      <c r="S369" s="1"/>
      <c r="U369" s="1" t="s">
        <v>57</v>
      </c>
      <c r="V369" s="1" t="s">
        <v>74</v>
      </c>
      <c r="W369" s="1" t="str">
        <f>VLOOKUP(Table1[[#This Row],[Obergruppe ATC-Code]],Tabelle3!$A$2:$B$100,2)</f>
        <v>HERZTHERAPIE</v>
      </c>
      <c r="X369" s="1" t="str">
        <f xml:space="preserve"> LEFT(Table1[[#This Row],[Atc Code]],3)</f>
        <v>C01</v>
      </c>
    </row>
    <row r="370" spans="1:24" ht="14.4">
      <c r="A370" s="14">
        <v>1738</v>
      </c>
      <c r="B370" s="24" t="s">
        <v>1117</v>
      </c>
      <c r="C370" s="1">
        <v>2165312</v>
      </c>
      <c r="D370" s="1" t="s">
        <v>25</v>
      </c>
      <c r="E370" s="36">
        <v>43282</v>
      </c>
      <c r="F370" s="36">
        <v>43373</v>
      </c>
      <c r="G370" s="38">
        <f t="shared" si="5"/>
        <v>91</v>
      </c>
      <c r="H370" s="5">
        <v>43306</v>
      </c>
      <c r="I370" s="5">
        <v>43369</v>
      </c>
      <c r="J370" s="1" t="s">
        <v>41</v>
      </c>
      <c r="K370" s="1" t="s">
        <v>1118</v>
      </c>
      <c r="L370" s="1" t="s">
        <v>1112</v>
      </c>
      <c r="M370" s="1" t="s">
        <v>1119</v>
      </c>
      <c r="N370" s="1" t="s">
        <v>30</v>
      </c>
      <c r="O370" s="1" t="s">
        <v>1114</v>
      </c>
      <c r="P370" s="1" t="s">
        <v>1115</v>
      </c>
      <c r="Q370" s="1" t="s">
        <v>1116</v>
      </c>
      <c r="R370" s="1" t="s">
        <v>26</v>
      </c>
      <c r="S370" s="1"/>
      <c r="U370" s="1" t="s">
        <v>57</v>
      </c>
      <c r="V370" s="1" t="s">
        <v>74</v>
      </c>
      <c r="W370" s="1" t="str">
        <f>VLOOKUP(Table1[[#This Row],[Obergruppe ATC-Code]],Tabelle3!$A$2:$B$100,2)</f>
        <v>HERZTHERAPIE</v>
      </c>
      <c r="X370" s="1" t="str">
        <f xml:space="preserve"> LEFT(Table1[[#This Row],[Atc Code]],3)</f>
        <v>C01</v>
      </c>
    </row>
    <row r="371" spans="1:24" ht="14.4">
      <c r="A371" s="14">
        <v>2949</v>
      </c>
      <c r="B371" s="24" t="s">
        <v>1110</v>
      </c>
      <c r="C371" s="1">
        <v>2113579</v>
      </c>
      <c r="D371" s="1" t="s">
        <v>25</v>
      </c>
      <c r="E371" s="36">
        <v>43344</v>
      </c>
      <c r="F371" s="36">
        <v>43404</v>
      </c>
      <c r="G371" s="38">
        <f t="shared" si="5"/>
        <v>60</v>
      </c>
      <c r="H371" s="5">
        <v>43362</v>
      </c>
      <c r="I371" s="5">
        <v>43402</v>
      </c>
      <c r="J371" s="1" t="s">
        <v>41</v>
      </c>
      <c r="K371" s="1" t="s">
        <v>1111</v>
      </c>
      <c r="L371" s="1" t="s">
        <v>1112</v>
      </c>
      <c r="M371" s="1" t="s">
        <v>1113</v>
      </c>
      <c r="N371" s="1" t="s">
        <v>30</v>
      </c>
      <c r="O371" s="1" t="s">
        <v>1114</v>
      </c>
      <c r="P371" s="1" t="s">
        <v>1115</v>
      </c>
      <c r="Q371" s="1" t="s">
        <v>1116</v>
      </c>
      <c r="R371" s="1" t="s">
        <v>26</v>
      </c>
      <c r="S371" s="1"/>
      <c r="U371" s="1" t="s">
        <v>57</v>
      </c>
      <c r="V371" s="1" t="s">
        <v>74</v>
      </c>
      <c r="W371" s="1" t="str">
        <f>VLOOKUP(Table1[[#This Row],[Obergruppe ATC-Code]],Tabelle3!$A$2:$B$100,2)</f>
        <v>HERZTHERAPIE</v>
      </c>
      <c r="X371" s="1" t="str">
        <f xml:space="preserve"> LEFT(Table1[[#This Row],[Atc Code]],3)</f>
        <v>C01</v>
      </c>
    </row>
    <row r="372" spans="1:24" ht="14.4">
      <c r="A372" s="14">
        <v>1737</v>
      </c>
      <c r="B372" s="24" t="s">
        <v>1117</v>
      </c>
      <c r="C372" s="1">
        <v>2165312</v>
      </c>
      <c r="D372" s="1" t="s">
        <v>25</v>
      </c>
      <c r="E372" s="36">
        <v>43374</v>
      </c>
      <c r="F372" s="36">
        <v>43434</v>
      </c>
      <c r="G372" s="38">
        <f t="shared" si="5"/>
        <v>60</v>
      </c>
      <c r="H372" s="5">
        <v>43378</v>
      </c>
      <c r="I372" s="5">
        <v>43419</v>
      </c>
      <c r="J372" s="1" t="s">
        <v>41</v>
      </c>
      <c r="K372" s="1" t="s">
        <v>1118</v>
      </c>
      <c r="L372" s="1" t="s">
        <v>1112</v>
      </c>
      <c r="M372" s="1" t="s">
        <v>1119</v>
      </c>
      <c r="N372" s="1" t="s">
        <v>30</v>
      </c>
      <c r="O372" s="1" t="s">
        <v>1114</v>
      </c>
      <c r="P372" s="1" t="s">
        <v>1115</v>
      </c>
      <c r="Q372" s="1" t="s">
        <v>1116</v>
      </c>
      <c r="R372" s="1" t="s">
        <v>26</v>
      </c>
      <c r="S372" s="1"/>
      <c r="U372" s="1" t="s">
        <v>57</v>
      </c>
      <c r="V372" s="1" t="s">
        <v>74</v>
      </c>
      <c r="W372" s="1" t="str">
        <f>VLOOKUP(Table1[[#This Row],[Obergruppe ATC-Code]],Tabelle3!$A$2:$B$100,2)</f>
        <v>HERZTHERAPIE</v>
      </c>
      <c r="X372" s="1" t="str">
        <f xml:space="preserve"> LEFT(Table1[[#This Row],[Atc Code]],3)</f>
        <v>C01</v>
      </c>
    </row>
    <row r="373" spans="1:24" ht="14.4">
      <c r="A373" s="14">
        <v>2948</v>
      </c>
      <c r="B373" s="25" t="s">
        <v>1110</v>
      </c>
      <c r="C373" s="1">
        <v>2113579</v>
      </c>
      <c r="D373" s="1" t="s">
        <v>25</v>
      </c>
      <c r="E373" s="36">
        <v>43556</v>
      </c>
      <c r="F373" s="36">
        <v>43616</v>
      </c>
      <c r="G373" s="38">
        <f t="shared" si="5"/>
        <v>60</v>
      </c>
      <c r="H373" s="5">
        <v>43585</v>
      </c>
      <c r="I373" s="5">
        <v>43601</v>
      </c>
      <c r="J373" s="1" t="s">
        <v>41</v>
      </c>
      <c r="K373" s="1" t="s">
        <v>1111</v>
      </c>
      <c r="L373" s="1" t="s">
        <v>1112</v>
      </c>
      <c r="M373" s="1" t="s">
        <v>1113</v>
      </c>
      <c r="N373" s="1" t="s">
        <v>30</v>
      </c>
      <c r="O373" s="1" t="s">
        <v>1114</v>
      </c>
      <c r="P373" s="1" t="s">
        <v>1115</v>
      </c>
      <c r="Q373" s="1" t="s">
        <v>1116</v>
      </c>
      <c r="R373" s="1" t="s">
        <v>26</v>
      </c>
      <c r="S373" s="1"/>
      <c r="U373" s="1" t="s">
        <v>35</v>
      </c>
      <c r="V373" s="1" t="s">
        <v>74</v>
      </c>
      <c r="W373" s="1" t="str">
        <f>VLOOKUP(Table1[[#This Row],[Obergruppe ATC-Code]],Tabelle3!$A$2:$B$100,2)</f>
        <v>HERZTHERAPIE</v>
      </c>
      <c r="X373" s="1" t="str">
        <f xml:space="preserve"> LEFT(Table1[[#This Row],[Atc Code]],3)</f>
        <v>C01</v>
      </c>
    </row>
    <row r="374" spans="1:24" ht="14.4">
      <c r="A374" s="14">
        <v>160</v>
      </c>
      <c r="B374" s="24">
        <v>993248</v>
      </c>
      <c r="C374" s="1">
        <v>91497</v>
      </c>
      <c r="D374" s="1" t="s">
        <v>25</v>
      </c>
      <c r="E374" s="36">
        <v>43922</v>
      </c>
      <c r="F374" s="36">
        <v>43982</v>
      </c>
      <c r="G374" s="38">
        <f t="shared" si="5"/>
        <v>60</v>
      </c>
      <c r="H374" s="5">
        <v>43930</v>
      </c>
      <c r="I374" s="5">
        <v>43978</v>
      </c>
      <c r="J374" s="1" t="s">
        <v>41</v>
      </c>
      <c r="K374" s="1" t="s">
        <v>1120</v>
      </c>
      <c r="L374" s="1" t="s">
        <v>1112</v>
      </c>
      <c r="M374" s="1" t="s">
        <v>1113</v>
      </c>
      <c r="N374" s="1" t="s">
        <v>30</v>
      </c>
      <c r="O374" s="1" t="s">
        <v>62</v>
      </c>
      <c r="P374" s="1" t="s">
        <v>63</v>
      </c>
      <c r="Q374" s="1" t="s">
        <v>64</v>
      </c>
      <c r="R374" s="1" t="s">
        <v>48</v>
      </c>
      <c r="S374" s="1"/>
      <c r="U374" s="1" t="s">
        <v>35</v>
      </c>
      <c r="V374" s="1" t="s">
        <v>74</v>
      </c>
      <c r="W374" s="1" t="str">
        <f>VLOOKUP(Table1[[#This Row],[Obergruppe ATC-Code]],Tabelle3!$A$2:$B$100,2)</f>
        <v>HERZTHERAPIE</v>
      </c>
      <c r="X374" s="1" t="str">
        <f xml:space="preserve"> LEFT(Table1[[#This Row],[Atc Code]],3)</f>
        <v>C01</v>
      </c>
    </row>
    <row r="375" spans="1:24" ht="14.4">
      <c r="A375" s="14">
        <v>22</v>
      </c>
      <c r="B375" s="24">
        <v>109369</v>
      </c>
      <c r="C375" s="1">
        <v>196724</v>
      </c>
      <c r="D375" s="1" t="s">
        <v>25</v>
      </c>
      <c r="E375" s="36">
        <v>44013</v>
      </c>
      <c r="F375" s="36">
        <v>44104</v>
      </c>
      <c r="G375" s="38">
        <f t="shared" si="5"/>
        <v>91</v>
      </c>
      <c r="H375" s="5">
        <v>44039</v>
      </c>
      <c r="I375" s="5">
        <v>44076</v>
      </c>
      <c r="J375" s="1" t="s">
        <v>41</v>
      </c>
      <c r="K375" s="1" t="s">
        <v>1121</v>
      </c>
      <c r="L375" s="1" t="s">
        <v>1112</v>
      </c>
      <c r="M375" s="1" t="s">
        <v>1113</v>
      </c>
      <c r="N375" s="1" t="s">
        <v>30</v>
      </c>
      <c r="O375" s="1" t="s">
        <v>62</v>
      </c>
      <c r="P375" s="1" t="s">
        <v>63</v>
      </c>
      <c r="Q375" s="1" t="s">
        <v>64</v>
      </c>
      <c r="R375" s="1" t="s">
        <v>65</v>
      </c>
      <c r="S375" s="1"/>
      <c r="T375" s="1" t="s">
        <v>1122</v>
      </c>
      <c r="U375" s="1" t="s">
        <v>35</v>
      </c>
      <c r="V375" s="1" t="s">
        <v>74</v>
      </c>
      <c r="W375" s="1" t="str">
        <f>VLOOKUP(Table1[[#This Row],[Obergruppe ATC-Code]],Tabelle3!$A$2:$B$100,2)</f>
        <v>HERZTHERAPIE</v>
      </c>
      <c r="X375" s="1" t="str">
        <f xml:space="preserve"> LEFT(Table1[[#This Row],[Atc Code]],3)</f>
        <v>C01</v>
      </c>
    </row>
    <row r="376" spans="1:24" ht="14.4">
      <c r="A376" s="14">
        <v>159</v>
      </c>
      <c r="B376" s="24">
        <v>993248</v>
      </c>
      <c r="C376" s="1">
        <v>91497</v>
      </c>
      <c r="D376" s="1" t="s">
        <v>25</v>
      </c>
      <c r="E376" s="36">
        <v>44890</v>
      </c>
      <c r="F376" s="36">
        <v>44936</v>
      </c>
      <c r="G376" s="38">
        <f t="shared" si="5"/>
        <v>46</v>
      </c>
      <c r="H376" s="5">
        <v>44897</v>
      </c>
      <c r="I376" s="5">
        <v>44929</v>
      </c>
      <c r="J376" s="1" t="s">
        <v>41</v>
      </c>
      <c r="K376" s="1" t="s">
        <v>1120</v>
      </c>
      <c r="L376" s="1" t="s">
        <v>1112</v>
      </c>
      <c r="M376" s="1" t="s">
        <v>1113</v>
      </c>
      <c r="N376" s="1" t="s">
        <v>30</v>
      </c>
      <c r="O376" s="1" t="s">
        <v>1123</v>
      </c>
      <c r="P376" s="1">
        <v>38343914465</v>
      </c>
      <c r="Q376" s="1" t="s">
        <v>1124</v>
      </c>
      <c r="R376" s="1" t="s">
        <v>65</v>
      </c>
      <c r="S376" s="1"/>
      <c r="T376" s="1" t="s">
        <v>1125</v>
      </c>
      <c r="U376" s="1" t="s">
        <v>130</v>
      </c>
      <c r="V376" s="1" t="s">
        <v>74</v>
      </c>
      <c r="W376" s="1" t="str">
        <f>VLOOKUP(Table1[[#This Row],[Obergruppe ATC-Code]],Tabelle3!$A$2:$B$100,2)</f>
        <v>HERZTHERAPIE</v>
      </c>
      <c r="X376" s="1" t="str">
        <f xml:space="preserve"> LEFT(Table1[[#This Row],[Atc Code]],3)</f>
        <v>C01</v>
      </c>
    </row>
    <row r="377" spans="1:24" ht="14.4">
      <c r="A377" s="14">
        <v>158</v>
      </c>
      <c r="B377" s="24">
        <v>993248</v>
      </c>
      <c r="C377" s="1">
        <v>91497</v>
      </c>
      <c r="D377" s="1" t="s">
        <v>25</v>
      </c>
      <c r="E377" s="36">
        <v>44967</v>
      </c>
      <c r="F377" s="36">
        <v>44980</v>
      </c>
      <c r="G377" s="38">
        <f t="shared" si="5"/>
        <v>13</v>
      </c>
      <c r="H377" s="5">
        <v>44970</v>
      </c>
      <c r="I377" s="5">
        <v>44981</v>
      </c>
      <c r="J377" s="1" t="s">
        <v>26</v>
      </c>
      <c r="K377" s="1" t="s">
        <v>1120</v>
      </c>
      <c r="L377" s="1" t="s">
        <v>1112</v>
      </c>
      <c r="M377" s="1" t="s">
        <v>1113</v>
      </c>
      <c r="N377" s="1" t="s">
        <v>30</v>
      </c>
      <c r="O377" s="1" t="s">
        <v>1123</v>
      </c>
      <c r="P377" s="1">
        <v>38344914465</v>
      </c>
      <c r="Q377" s="1" t="s">
        <v>1126</v>
      </c>
      <c r="R377" s="1" t="s">
        <v>26</v>
      </c>
      <c r="S377" s="1" t="s">
        <v>1127</v>
      </c>
      <c r="T377" s="1" t="s">
        <v>1125</v>
      </c>
      <c r="U377" s="1" t="s">
        <v>130</v>
      </c>
      <c r="V377" s="1" t="s">
        <v>74</v>
      </c>
      <c r="W377" s="1" t="str">
        <f>VLOOKUP(Table1[[#This Row],[Obergruppe ATC-Code]],Tabelle3!$A$2:$B$100,2)</f>
        <v>HERZTHERAPIE</v>
      </c>
      <c r="X377" s="1" t="str">
        <f xml:space="preserve"> LEFT(Table1[[#This Row],[Atc Code]],3)</f>
        <v>C01</v>
      </c>
    </row>
    <row r="378" spans="1:24" ht="14.4">
      <c r="A378" s="14">
        <v>157</v>
      </c>
      <c r="B378" s="24">
        <v>993248</v>
      </c>
      <c r="C378" s="1">
        <v>91497</v>
      </c>
      <c r="D378" s="1" t="s">
        <v>25</v>
      </c>
      <c r="E378" s="36">
        <v>45086</v>
      </c>
      <c r="F378" s="36">
        <v>45104</v>
      </c>
      <c r="G378" s="38">
        <f t="shared" si="5"/>
        <v>18</v>
      </c>
      <c r="H378" s="5">
        <v>45093</v>
      </c>
      <c r="I378" s="5">
        <v>45105</v>
      </c>
      <c r="J378" s="1" t="s">
        <v>26</v>
      </c>
      <c r="K378" s="1" t="s">
        <v>1120</v>
      </c>
      <c r="L378" s="1" t="s">
        <v>1112</v>
      </c>
      <c r="M378" s="1" t="s">
        <v>1113</v>
      </c>
      <c r="N378" s="1" t="s">
        <v>30</v>
      </c>
      <c r="O378" s="1" t="s">
        <v>1123</v>
      </c>
      <c r="P378" s="1" t="s">
        <v>1128</v>
      </c>
      <c r="Q378" s="1" t="s">
        <v>1124</v>
      </c>
      <c r="R378" s="1" t="s">
        <v>26</v>
      </c>
      <c r="S378" s="1"/>
      <c r="T378" s="1" t="s">
        <v>1125</v>
      </c>
      <c r="U378" s="1" t="s">
        <v>130</v>
      </c>
      <c r="V378" s="1" t="s">
        <v>74</v>
      </c>
      <c r="W378" s="1" t="str">
        <f>VLOOKUP(Table1[[#This Row],[Obergruppe ATC-Code]],Tabelle3!$A$2:$B$100,2)</f>
        <v>HERZTHERAPIE</v>
      </c>
      <c r="X378" s="1" t="str">
        <f xml:space="preserve"> LEFT(Table1[[#This Row],[Atc Code]],3)</f>
        <v>C01</v>
      </c>
    </row>
    <row r="379" spans="1:24" ht="14.4">
      <c r="A379" s="14">
        <v>2061</v>
      </c>
      <c r="B379" s="24" t="s">
        <v>1129</v>
      </c>
      <c r="C379" s="1">
        <v>2110209</v>
      </c>
      <c r="D379" s="1" t="s">
        <v>25</v>
      </c>
      <c r="E379" s="36">
        <v>44637</v>
      </c>
      <c r="F379" s="36">
        <v>44742</v>
      </c>
      <c r="G379" s="38">
        <f t="shared" si="5"/>
        <v>105</v>
      </c>
      <c r="H379" s="5">
        <v>44637</v>
      </c>
      <c r="I379" s="5">
        <v>44742</v>
      </c>
      <c r="J379" s="1" t="s">
        <v>26</v>
      </c>
      <c r="K379" s="1" t="s">
        <v>1130</v>
      </c>
      <c r="L379" s="1" t="s">
        <v>1131</v>
      </c>
      <c r="M379" s="1" t="s">
        <v>1132</v>
      </c>
      <c r="N379" s="1" t="s">
        <v>38</v>
      </c>
      <c r="O379" s="1" t="s">
        <v>110</v>
      </c>
      <c r="P379" s="1">
        <v>733396510</v>
      </c>
      <c r="R379" s="1" t="s">
        <v>113</v>
      </c>
      <c r="S379" s="1" t="s">
        <v>1133</v>
      </c>
      <c r="U379" s="1" t="s">
        <v>130</v>
      </c>
      <c r="V379" s="1" t="s">
        <v>199</v>
      </c>
      <c r="W379" s="1" t="str">
        <f>VLOOKUP(Table1[[#This Row],[Obergruppe ATC-Code]],Tabelle3!$A$2:$B$100,2)</f>
        <v>HERZTHERAPIE</v>
      </c>
      <c r="X379" s="1" t="str">
        <f xml:space="preserve"> LEFT(Table1[[#This Row],[Atc Code]],3)</f>
        <v>C01</v>
      </c>
    </row>
    <row r="380" spans="1:24" ht="14.4">
      <c r="A380" s="14">
        <v>2412</v>
      </c>
      <c r="B380" s="24" t="s">
        <v>1134</v>
      </c>
      <c r="C380" s="1">
        <v>2106433</v>
      </c>
      <c r="D380" s="1" t="s">
        <v>25</v>
      </c>
      <c r="E380" s="36">
        <v>44044</v>
      </c>
      <c r="F380" s="36">
        <v>44135</v>
      </c>
      <c r="G380" s="38">
        <f t="shared" si="5"/>
        <v>91</v>
      </c>
      <c r="H380" s="5">
        <v>44076</v>
      </c>
      <c r="I380" s="5">
        <v>44134</v>
      </c>
      <c r="J380" s="1" t="s">
        <v>41</v>
      </c>
      <c r="K380" s="1" t="s">
        <v>1135</v>
      </c>
      <c r="L380" s="1" t="s">
        <v>1136</v>
      </c>
      <c r="M380" s="1" t="s">
        <v>1137</v>
      </c>
      <c r="N380" s="1" t="s">
        <v>30</v>
      </c>
      <c r="O380" s="1" t="s">
        <v>62</v>
      </c>
      <c r="P380" s="1" t="s">
        <v>63</v>
      </c>
      <c r="Q380" s="1" t="s">
        <v>64</v>
      </c>
      <c r="R380" s="1" t="s">
        <v>26</v>
      </c>
      <c r="S380" s="1"/>
      <c r="T380" s="1" t="s">
        <v>1138</v>
      </c>
      <c r="U380" s="1" t="s">
        <v>35</v>
      </c>
      <c r="V380" s="1" t="s">
        <v>49</v>
      </c>
      <c r="W380" s="1" t="str">
        <f>VLOOKUP(Table1[[#This Row],[Obergruppe ATC-Code]],Tabelle3!$A$2:$B$100,2)</f>
        <v>HERZTHERAPIE</v>
      </c>
      <c r="X380" s="1" t="str">
        <f xml:space="preserve"> LEFT(Table1[[#This Row],[Atc Code]],3)</f>
        <v>C01</v>
      </c>
    </row>
    <row r="381" spans="1:24" ht="14.4">
      <c r="A381" s="14">
        <v>2424</v>
      </c>
      <c r="B381" s="24" t="s">
        <v>1139</v>
      </c>
      <c r="C381" s="1">
        <v>2138389</v>
      </c>
      <c r="D381" s="1" t="s">
        <v>102</v>
      </c>
      <c r="E381" s="36">
        <v>44924</v>
      </c>
      <c r="F381" s="36">
        <v>45231</v>
      </c>
      <c r="G381" s="38">
        <f t="shared" si="5"/>
        <v>307</v>
      </c>
      <c r="H381" s="5">
        <v>44958</v>
      </c>
      <c r="I381" s="5">
        <v>45128</v>
      </c>
      <c r="J381" s="1" t="s">
        <v>41</v>
      </c>
      <c r="K381" s="1" t="s">
        <v>1140</v>
      </c>
      <c r="L381" s="1" t="s">
        <v>1136</v>
      </c>
      <c r="M381" s="1" t="s">
        <v>1137</v>
      </c>
      <c r="N381" s="1" t="s">
        <v>38</v>
      </c>
      <c r="O381" s="1" t="s">
        <v>123</v>
      </c>
      <c r="Q381" s="1" t="s">
        <v>1141</v>
      </c>
      <c r="R381" s="1" t="s">
        <v>128</v>
      </c>
      <c r="S381" s="1" t="s">
        <v>1142</v>
      </c>
      <c r="U381" s="1" t="s">
        <v>130</v>
      </c>
      <c r="V381" s="1" t="s">
        <v>359</v>
      </c>
      <c r="W381" s="1" t="str">
        <f>VLOOKUP(Table1[[#This Row],[Obergruppe ATC-Code]],Tabelle3!$A$2:$B$100,2)</f>
        <v>HERZTHERAPIE</v>
      </c>
      <c r="X381" s="1" t="str">
        <f xml:space="preserve"> LEFT(Table1[[#This Row],[Atc Code]],3)</f>
        <v>C01</v>
      </c>
    </row>
    <row r="382" spans="1:24" ht="14.4">
      <c r="A382" s="14">
        <v>2414</v>
      </c>
      <c r="B382" s="24" t="s">
        <v>1143</v>
      </c>
      <c r="C382" s="1">
        <v>2106432</v>
      </c>
      <c r="D382" s="1" t="s">
        <v>175</v>
      </c>
      <c r="E382" s="36">
        <v>44966</v>
      </c>
      <c r="F382" s="36">
        <v>45268</v>
      </c>
      <c r="G382" s="38">
        <f t="shared" si="5"/>
        <v>302</v>
      </c>
      <c r="H382" s="5">
        <v>45142</v>
      </c>
      <c r="I382" s="5">
        <v>45142</v>
      </c>
      <c r="J382" s="1" t="s">
        <v>41</v>
      </c>
      <c r="K382" s="1" t="s">
        <v>1144</v>
      </c>
      <c r="L382" s="1" t="s">
        <v>1136</v>
      </c>
      <c r="M382" s="1" t="s">
        <v>1137</v>
      </c>
      <c r="N382" s="1" t="s">
        <v>38</v>
      </c>
      <c r="O382" s="1" t="s">
        <v>1123</v>
      </c>
      <c r="Q382" s="1" t="s">
        <v>1126</v>
      </c>
      <c r="R382" s="1" t="s">
        <v>128</v>
      </c>
      <c r="S382" s="1"/>
      <c r="U382" s="1" t="s">
        <v>35</v>
      </c>
      <c r="V382" s="1" t="s">
        <v>359</v>
      </c>
      <c r="W382" s="1" t="str">
        <f>VLOOKUP(Table1[[#This Row],[Obergruppe ATC-Code]],Tabelle3!$A$2:$B$100,2)</f>
        <v>HERZTHERAPIE</v>
      </c>
      <c r="X382" s="1" t="str">
        <f xml:space="preserve"> LEFT(Table1[[#This Row],[Atc Code]],3)</f>
        <v>C01</v>
      </c>
    </row>
    <row r="383" spans="1:24" ht="14.4">
      <c r="A383" s="14">
        <v>2413</v>
      </c>
      <c r="B383" s="24" t="s">
        <v>1145</v>
      </c>
      <c r="C383" s="1">
        <v>2106431</v>
      </c>
      <c r="D383" s="1" t="s">
        <v>102</v>
      </c>
      <c r="E383" s="36">
        <v>44966</v>
      </c>
      <c r="F383" s="36">
        <v>45287</v>
      </c>
      <c r="G383" s="38">
        <f t="shared" si="5"/>
        <v>321</v>
      </c>
      <c r="H383" s="5">
        <v>45142</v>
      </c>
      <c r="I383" s="5">
        <v>45142</v>
      </c>
      <c r="J383" s="1" t="s">
        <v>41</v>
      </c>
      <c r="K383" s="1" t="s">
        <v>1146</v>
      </c>
      <c r="L383" s="1" t="s">
        <v>1136</v>
      </c>
      <c r="M383" s="1" t="s">
        <v>1137</v>
      </c>
      <c r="N383" s="1" t="s">
        <v>38</v>
      </c>
      <c r="O383" s="1" t="s">
        <v>1123</v>
      </c>
      <c r="Q383" s="1" t="s">
        <v>1126</v>
      </c>
      <c r="R383" s="1" t="s">
        <v>128</v>
      </c>
      <c r="S383" s="1"/>
      <c r="U383" s="1" t="s">
        <v>35</v>
      </c>
      <c r="V383" s="1" t="s">
        <v>49</v>
      </c>
      <c r="W383" s="1" t="str">
        <f>VLOOKUP(Table1[[#This Row],[Obergruppe ATC-Code]],Tabelle3!$A$2:$B$100,2)</f>
        <v>HERZTHERAPIE</v>
      </c>
      <c r="X383" s="1" t="str">
        <f xml:space="preserve"> LEFT(Table1[[#This Row],[Atc Code]],3)</f>
        <v>C01</v>
      </c>
    </row>
    <row r="384" spans="1:24" ht="14.4">
      <c r="A384" s="14">
        <v>2411</v>
      </c>
      <c r="B384" s="24" t="s">
        <v>1147</v>
      </c>
      <c r="C384" s="1">
        <v>2106433</v>
      </c>
      <c r="D384" s="1" t="s">
        <v>102</v>
      </c>
      <c r="E384" s="36">
        <v>44911</v>
      </c>
      <c r="F384" s="36">
        <v>45252</v>
      </c>
      <c r="G384" s="38">
        <f t="shared" si="5"/>
        <v>341</v>
      </c>
      <c r="H384" s="5">
        <v>45142</v>
      </c>
      <c r="I384" s="5">
        <v>45142</v>
      </c>
      <c r="J384" s="1" t="s">
        <v>41</v>
      </c>
      <c r="K384" s="1" t="s">
        <v>1135</v>
      </c>
      <c r="L384" s="1" t="s">
        <v>1136</v>
      </c>
      <c r="M384" s="1" t="s">
        <v>1137</v>
      </c>
      <c r="N384" s="1" t="s">
        <v>38</v>
      </c>
      <c r="O384" s="1" t="s">
        <v>1123</v>
      </c>
      <c r="Q384" s="1" t="s">
        <v>1126</v>
      </c>
      <c r="R384" s="1" t="s">
        <v>128</v>
      </c>
      <c r="S384" s="1"/>
      <c r="U384" s="1" t="s">
        <v>35</v>
      </c>
      <c r="V384" s="1" t="s">
        <v>49</v>
      </c>
      <c r="W384" s="1" t="str">
        <f>VLOOKUP(Table1[[#This Row],[Obergruppe ATC-Code]],Tabelle3!$A$2:$B$100,2)</f>
        <v>HERZTHERAPIE</v>
      </c>
      <c r="X384" s="1" t="str">
        <f xml:space="preserve"> LEFT(Table1[[#This Row],[Atc Code]],3)</f>
        <v>C01</v>
      </c>
    </row>
    <row r="385" spans="1:24" ht="14.4">
      <c r="A385" s="14">
        <v>1602</v>
      </c>
      <c r="B385" s="24">
        <v>17571066</v>
      </c>
      <c r="C385" s="1">
        <v>2104740</v>
      </c>
      <c r="D385" s="1" t="s">
        <v>25</v>
      </c>
      <c r="E385" s="36">
        <v>43221</v>
      </c>
      <c r="F385" s="36">
        <v>43312</v>
      </c>
      <c r="G385" s="38">
        <f t="shared" si="5"/>
        <v>91</v>
      </c>
      <c r="H385" s="5">
        <v>43242</v>
      </c>
      <c r="I385" s="5">
        <v>43312</v>
      </c>
      <c r="J385" s="1" t="s">
        <v>41</v>
      </c>
      <c r="K385" s="1" t="s">
        <v>1148</v>
      </c>
      <c r="L385" s="1" t="s">
        <v>1149</v>
      </c>
      <c r="M385" s="1" t="s">
        <v>1150</v>
      </c>
      <c r="N385" s="1" t="s">
        <v>30</v>
      </c>
      <c r="O385" s="1" t="s">
        <v>866</v>
      </c>
      <c r="P385" s="1" t="s">
        <v>867</v>
      </c>
      <c r="Q385" s="1" t="s">
        <v>868</v>
      </c>
      <c r="R385" s="1" t="s">
        <v>26</v>
      </c>
      <c r="S385" s="1"/>
      <c r="U385" s="1" t="s">
        <v>57</v>
      </c>
      <c r="V385" s="1" t="s">
        <v>1151</v>
      </c>
      <c r="W385" s="1" t="str">
        <f>VLOOKUP(Table1[[#This Row],[Obergruppe ATC-Code]],Tabelle3!$A$2:$B$100,2)</f>
        <v>HERZTHERAPIE</v>
      </c>
      <c r="X385" s="1" t="str">
        <f xml:space="preserve"> LEFT(Table1[[#This Row],[Atc Code]],3)</f>
        <v>C01</v>
      </c>
    </row>
    <row r="386" spans="1:24" ht="14.4">
      <c r="A386" s="14">
        <v>427</v>
      </c>
      <c r="B386" s="24">
        <v>2583448</v>
      </c>
      <c r="C386" s="1">
        <v>2103177</v>
      </c>
      <c r="D386" s="1" t="s">
        <v>25</v>
      </c>
      <c r="E386" s="36">
        <v>44606</v>
      </c>
      <c r="F386" s="36">
        <v>44615</v>
      </c>
      <c r="G386" s="38">
        <f t="shared" ref="G386:G449" si="6">F386-E386</f>
        <v>9</v>
      </c>
      <c r="H386" s="5">
        <v>44614</v>
      </c>
      <c r="I386" s="5">
        <v>44616</v>
      </c>
      <c r="J386" s="1" t="s">
        <v>41</v>
      </c>
      <c r="K386" s="1" t="s">
        <v>1152</v>
      </c>
      <c r="L386" s="1" t="s">
        <v>1149</v>
      </c>
      <c r="M386" s="1" t="s">
        <v>1150</v>
      </c>
      <c r="N386" s="1" t="s">
        <v>30</v>
      </c>
      <c r="O386" s="1" t="s">
        <v>329</v>
      </c>
      <c r="P386" s="1" t="s">
        <v>1153</v>
      </c>
      <c r="Q386" s="1" t="s">
        <v>331</v>
      </c>
      <c r="R386" s="1" t="s">
        <v>128</v>
      </c>
      <c r="S386" s="1"/>
      <c r="U386" s="1" t="s">
        <v>130</v>
      </c>
      <c r="V386" s="1" t="s">
        <v>279</v>
      </c>
      <c r="W386" s="1" t="str">
        <f>VLOOKUP(Table1[[#This Row],[Obergruppe ATC-Code]],Tabelle3!$A$2:$B$100,2)</f>
        <v>HERZTHERAPIE</v>
      </c>
      <c r="X386" s="1" t="str">
        <f xml:space="preserve"> LEFT(Table1[[#This Row],[Atc Code]],3)</f>
        <v>C01</v>
      </c>
    </row>
    <row r="387" spans="1:24" ht="14.4">
      <c r="A387" s="14">
        <v>1601</v>
      </c>
      <c r="B387" s="24">
        <v>17571066</v>
      </c>
      <c r="C387" s="1">
        <v>2104740</v>
      </c>
      <c r="D387" s="1" t="s">
        <v>102</v>
      </c>
      <c r="E387" s="36">
        <v>45127</v>
      </c>
      <c r="F387" s="36">
        <v>45350</v>
      </c>
      <c r="G387" s="38">
        <f t="shared" si="6"/>
        <v>223</v>
      </c>
      <c r="H387" s="5">
        <v>45159</v>
      </c>
      <c r="I387" s="5">
        <v>45159</v>
      </c>
      <c r="J387" s="1" t="s">
        <v>26</v>
      </c>
      <c r="K387" s="1" t="s">
        <v>1148</v>
      </c>
      <c r="L387" s="1" t="s">
        <v>1149</v>
      </c>
      <c r="M387" s="1" t="s">
        <v>1150</v>
      </c>
      <c r="N387" s="1" t="s">
        <v>38</v>
      </c>
      <c r="O387" s="1" t="s">
        <v>1154</v>
      </c>
      <c r="P387" s="1" t="s">
        <v>1155</v>
      </c>
      <c r="Q387" s="1" t="s">
        <v>1156</v>
      </c>
      <c r="R387" s="1" t="s">
        <v>113</v>
      </c>
      <c r="S387" s="1" t="s">
        <v>1157</v>
      </c>
      <c r="T387" s="1" t="s">
        <v>1158</v>
      </c>
      <c r="U387" s="1" t="s">
        <v>35</v>
      </c>
      <c r="V387" s="1" t="s">
        <v>1151</v>
      </c>
      <c r="W387" s="1" t="str">
        <f>VLOOKUP(Table1[[#This Row],[Obergruppe ATC-Code]],Tabelle3!$A$2:$B$100,2)</f>
        <v>HERZTHERAPIE</v>
      </c>
      <c r="X387" s="1" t="str">
        <f xml:space="preserve"> LEFT(Table1[[#This Row],[Atc Code]],3)</f>
        <v>C01</v>
      </c>
    </row>
    <row r="388" spans="1:24" ht="14.4">
      <c r="A388" s="14">
        <v>790</v>
      </c>
      <c r="B388" s="24">
        <v>6324726</v>
      </c>
      <c r="C388" s="1">
        <v>2130124</v>
      </c>
      <c r="D388" s="1" t="s">
        <v>25</v>
      </c>
      <c r="E388" s="36">
        <v>43405</v>
      </c>
      <c r="F388" s="36">
        <v>43465</v>
      </c>
      <c r="G388" s="38">
        <f t="shared" si="6"/>
        <v>60</v>
      </c>
      <c r="H388" s="5">
        <v>43418</v>
      </c>
      <c r="I388" s="5">
        <v>43452</v>
      </c>
      <c r="J388" s="1" t="s">
        <v>41</v>
      </c>
      <c r="K388" s="1" t="s">
        <v>1159</v>
      </c>
      <c r="L388" s="1" t="s">
        <v>1160</v>
      </c>
      <c r="M388" s="1" t="s">
        <v>1161</v>
      </c>
      <c r="N388" s="1" t="s">
        <v>30</v>
      </c>
      <c r="O388" s="1" t="s">
        <v>62</v>
      </c>
      <c r="P388" s="1" t="s">
        <v>63</v>
      </c>
      <c r="Q388" s="1" t="s">
        <v>64</v>
      </c>
      <c r="R388" s="1" t="s">
        <v>26</v>
      </c>
      <c r="S388" s="1"/>
      <c r="U388" s="1" t="s">
        <v>35</v>
      </c>
      <c r="V388" s="1" t="s">
        <v>74</v>
      </c>
      <c r="W388" s="1" t="str">
        <f>VLOOKUP(Table1[[#This Row],[Obergruppe ATC-Code]],Tabelle3!$A$2:$B$100,2)</f>
        <v>HERZTHERAPIE</v>
      </c>
      <c r="X388" s="1" t="str">
        <f xml:space="preserve"> LEFT(Table1[[#This Row],[Atc Code]],3)</f>
        <v>C01</v>
      </c>
    </row>
    <row r="389" spans="1:24" ht="14.4">
      <c r="A389" s="14">
        <v>791</v>
      </c>
      <c r="B389" s="24">
        <v>6324726</v>
      </c>
      <c r="C389" s="1">
        <v>2130124</v>
      </c>
      <c r="D389" s="1" t="s">
        <v>102</v>
      </c>
      <c r="E389" s="36">
        <v>45030</v>
      </c>
      <c r="F389" s="36">
        <v>45291</v>
      </c>
      <c r="G389" s="38">
        <f t="shared" si="6"/>
        <v>261</v>
      </c>
      <c r="H389" s="5">
        <v>45034</v>
      </c>
      <c r="I389" s="5">
        <v>45184</v>
      </c>
      <c r="J389" s="1" t="s">
        <v>41</v>
      </c>
      <c r="K389" s="1" t="s">
        <v>1159</v>
      </c>
      <c r="L389" s="1" t="s">
        <v>1160</v>
      </c>
      <c r="M389" s="1" t="s">
        <v>1161</v>
      </c>
      <c r="N389" s="1" t="s">
        <v>30</v>
      </c>
      <c r="O389" s="1" t="s">
        <v>62</v>
      </c>
      <c r="P389" s="1" t="s">
        <v>63</v>
      </c>
      <c r="Q389" s="1" t="s">
        <v>64</v>
      </c>
      <c r="R389" s="1" t="s">
        <v>26</v>
      </c>
      <c r="S389" s="1" t="s">
        <v>1162</v>
      </c>
      <c r="U389" s="1" t="s">
        <v>57</v>
      </c>
      <c r="V389" s="1" t="s">
        <v>74</v>
      </c>
      <c r="W389" s="1" t="str">
        <f>VLOOKUP(Table1[[#This Row],[Obergruppe ATC-Code]],Tabelle3!$A$2:$B$100,2)</f>
        <v>HERZTHERAPIE</v>
      </c>
      <c r="X389" s="1" t="str">
        <f xml:space="preserve"> LEFT(Table1[[#This Row],[Atc Code]],3)</f>
        <v>C01</v>
      </c>
    </row>
    <row r="390" spans="1:24" ht="14.4">
      <c r="A390" s="14">
        <v>988</v>
      </c>
      <c r="B390" s="24">
        <v>8523832</v>
      </c>
      <c r="C390" s="1">
        <v>2139298</v>
      </c>
      <c r="D390" s="1" t="s">
        <v>25</v>
      </c>
      <c r="E390" s="36">
        <v>43647</v>
      </c>
      <c r="F390" s="36">
        <v>43861</v>
      </c>
      <c r="G390" s="38">
        <f t="shared" si="6"/>
        <v>214</v>
      </c>
      <c r="H390" s="5">
        <v>43657</v>
      </c>
      <c r="I390" s="5">
        <v>43857</v>
      </c>
      <c r="J390" s="1" t="s">
        <v>41</v>
      </c>
      <c r="K390" s="1" t="s">
        <v>1163</v>
      </c>
      <c r="L390" s="1" t="s">
        <v>1164</v>
      </c>
      <c r="M390" s="1" t="s">
        <v>1161</v>
      </c>
      <c r="N390" s="1" t="s">
        <v>30</v>
      </c>
      <c r="O390" s="1" t="s">
        <v>62</v>
      </c>
      <c r="P390" s="1" t="s">
        <v>63</v>
      </c>
      <c r="Q390" s="1" t="s">
        <v>64</v>
      </c>
      <c r="R390" s="1" t="s">
        <v>165</v>
      </c>
      <c r="S390" s="1"/>
      <c r="U390" s="1" t="s">
        <v>35</v>
      </c>
      <c r="V390" s="1" t="s">
        <v>648</v>
      </c>
      <c r="W390" s="1" t="str">
        <f>VLOOKUP(Table1[[#This Row],[Obergruppe ATC-Code]],Tabelle3!$A$2:$B$100,2)</f>
        <v>HERZTHERAPIE</v>
      </c>
      <c r="X390" s="1" t="str">
        <f xml:space="preserve"> LEFT(Table1[[#This Row],[Atc Code]],3)</f>
        <v>C01</v>
      </c>
    </row>
    <row r="391" spans="1:24" ht="14.4">
      <c r="A391" s="14">
        <v>1615</v>
      </c>
      <c r="B391" s="24">
        <v>17923772</v>
      </c>
      <c r="C391" s="1">
        <v>2190459</v>
      </c>
      <c r="D391" s="1" t="s">
        <v>25</v>
      </c>
      <c r="E391" s="36">
        <v>45061</v>
      </c>
      <c r="F391" s="36">
        <v>45169</v>
      </c>
      <c r="G391" s="38">
        <f t="shared" si="6"/>
        <v>108</v>
      </c>
      <c r="H391" s="5">
        <v>45058</v>
      </c>
      <c r="I391" s="5">
        <v>45174</v>
      </c>
      <c r="J391" s="1" t="s">
        <v>26</v>
      </c>
      <c r="K391" s="1" t="s">
        <v>1165</v>
      </c>
      <c r="L391" s="1" t="s">
        <v>1164</v>
      </c>
      <c r="M391" s="1" t="s">
        <v>1161</v>
      </c>
      <c r="N391" s="1" t="s">
        <v>30</v>
      </c>
      <c r="O391" s="1" t="s">
        <v>1166</v>
      </c>
      <c r="Q391" s="1" t="s">
        <v>1167</v>
      </c>
      <c r="R391" s="1" t="s">
        <v>113</v>
      </c>
      <c r="S391" s="1" t="s">
        <v>1168</v>
      </c>
      <c r="U391" s="1" t="s">
        <v>130</v>
      </c>
      <c r="V391" s="1" t="s">
        <v>74</v>
      </c>
      <c r="W391" s="1" t="str">
        <f>VLOOKUP(Table1[[#This Row],[Obergruppe ATC-Code]],Tabelle3!$A$2:$B$100,2)</f>
        <v>HERZTHERAPIE</v>
      </c>
      <c r="X391" s="1" t="str">
        <f xml:space="preserve"> LEFT(Table1[[#This Row],[Atc Code]],3)</f>
        <v>C01</v>
      </c>
    </row>
    <row r="392" spans="1:24" ht="14.4">
      <c r="A392" s="14">
        <v>989</v>
      </c>
      <c r="B392" s="24">
        <v>8523832</v>
      </c>
      <c r="C392" s="1">
        <v>2139298</v>
      </c>
      <c r="D392" s="1" t="s">
        <v>102</v>
      </c>
      <c r="E392" s="36">
        <v>44998</v>
      </c>
      <c r="F392" s="36">
        <v>45291</v>
      </c>
      <c r="G392" s="38">
        <f t="shared" si="6"/>
        <v>293</v>
      </c>
      <c r="H392" s="5">
        <v>45000</v>
      </c>
      <c r="I392" s="5">
        <v>45184</v>
      </c>
      <c r="J392" s="1" t="s">
        <v>41</v>
      </c>
      <c r="K392" s="1" t="s">
        <v>1163</v>
      </c>
      <c r="L392" s="1" t="s">
        <v>1164</v>
      </c>
      <c r="M392" s="1" t="s">
        <v>1161</v>
      </c>
      <c r="N392" s="1" t="s">
        <v>30</v>
      </c>
      <c r="O392" s="1" t="s">
        <v>62</v>
      </c>
      <c r="P392" s="1" t="s">
        <v>733</v>
      </c>
      <c r="Q392" s="1" t="s">
        <v>64</v>
      </c>
      <c r="R392" s="1" t="s">
        <v>26</v>
      </c>
      <c r="S392" s="1" t="s">
        <v>1169</v>
      </c>
      <c r="U392" s="1" t="s">
        <v>57</v>
      </c>
      <c r="V392" s="1" t="s">
        <v>648</v>
      </c>
      <c r="W392" s="1" t="str">
        <f>VLOOKUP(Table1[[#This Row],[Obergruppe ATC-Code]],Tabelle3!$A$2:$B$100,2)</f>
        <v>HERZTHERAPIE</v>
      </c>
      <c r="X392" s="1" t="str">
        <f xml:space="preserve"> LEFT(Table1[[#This Row],[Atc Code]],3)</f>
        <v>C01</v>
      </c>
    </row>
    <row r="393" spans="1:24" ht="14.4">
      <c r="A393" s="14">
        <v>1043</v>
      </c>
      <c r="B393" s="24">
        <v>8895947</v>
      </c>
      <c r="C393" s="1">
        <v>2706029</v>
      </c>
      <c r="D393" s="1" t="s">
        <v>25</v>
      </c>
      <c r="E393" s="36">
        <v>44846</v>
      </c>
      <c r="F393" s="36">
        <v>44985</v>
      </c>
      <c r="G393" s="38">
        <f t="shared" si="6"/>
        <v>139</v>
      </c>
      <c r="H393" s="5">
        <v>44848</v>
      </c>
      <c r="I393" s="5">
        <v>44986</v>
      </c>
      <c r="J393" s="1" t="s">
        <v>41</v>
      </c>
      <c r="K393" s="1" t="s">
        <v>1170</v>
      </c>
      <c r="L393" s="1" t="s">
        <v>1171</v>
      </c>
      <c r="M393" s="1" t="s">
        <v>1172</v>
      </c>
      <c r="N393" s="1" t="s">
        <v>38</v>
      </c>
      <c r="O393" s="1" t="s">
        <v>1173</v>
      </c>
      <c r="Q393" s="1" t="s">
        <v>1174</v>
      </c>
      <c r="R393" s="1" t="s">
        <v>128</v>
      </c>
      <c r="S393" s="1"/>
      <c r="U393" s="1" t="s">
        <v>130</v>
      </c>
      <c r="V393" s="1" t="s">
        <v>74</v>
      </c>
      <c r="W393" s="1" t="str">
        <f>VLOOKUP(Table1[[#This Row],[Obergruppe ATC-Code]],Tabelle3!$A$2:$B$100,2)</f>
        <v>HERZTHERAPIE</v>
      </c>
      <c r="X393" s="1" t="str">
        <f xml:space="preserve"> LEFT(Table1[[#This Row],[Atc Code]],3)</f>
        <v>C01</v>
      </c>
    </row>
    <row r="394" spans="1:24" ht="14.4">
      <c r="A394" s="14">
        <v>384</v>
      </c>
      <c r="B394" s="24">
        <v>2191151</v>
      </c>
      <c r="C394" s="1">
        <v>321879</v>
      </c>
      <c r="D394" s="1" t="s">
        <v>25</v>
      </c>
      <c r="E394" s="36">
        <v>43191</v>
      </c>
      <c r="F394" s="36">
        <v>43251</v>
      </c>
      <c r="G394" s="38">
        <f t="shared" si="6"/>
        <v>60</v>
      </c>
      <c r="H394" s="5">
        <v>43250</v>
      </c>
      <c r="I394" s="5">
        <v>43262</v>
      </c>
      <c r="J394" s="1" t="s">
        <v>26</v>
      </c>
      <c r="K394" s="1" t="s">
        <v>1175</v>
      </c>
      <c r="L394" s="1" t="s">
        <v>1176</v>
      </c>
      <c r="M394" s="1" t="s">
        <v>1177</v>
      </c>
      <c r="N394" s="1" t="s">
        <v>30</v>
      </c>
      <c r="O394" s="1" t="s">
        <v>600</v>
      </c>
      <c r="P394" s="1" t="s">
        <v>1178</v>
      </c>
      <c r="Q394" s="1" t="s">
        <v>1179</v>
      </c>
      <c r="R394" s="1" t="s">
        <v>33</v>
      </c>
      <c r="S394" s="1"/>
      <c r="T394" s="1" t="s">
        <v>1180</v>
      </c>
      <c r="U394" s="1" t="s">
        <v>35</v>
      </c>
      <c r="V394" s="1" t="s">
        <v>99</v>
      </c>
      <c r="W394" s="1" t="str">
        <f>VLOOKUP(Table1[[#This Row],[Obergruppe ATC-Code]],Tabelle3!$A$2:$B$100,2)</f>
        <v>ANTIHYPERTENSIVA</v>
      </c>
      <c r="X394" s="1" t="str">
        <f xml:space="preserve"> LEFT(Table1[[#This Row],[Atc Code]],3)</f>
        <v>C02</v>
      </c>
    </row>
    <row r="395" spans="1:24" ht="14.4">
      <c r="A395" s="14">
        <v>2147</v>
      </c>
      <c r="B395" s="24" t="s">
        <v>1181</v>
      </c>
      <c r="C395" s="1">
        <v>3001951</v>
      </c>
      <c r="D395" s="1" t="s">
        <v>25</v>
      </c>
      <c r="E395" s="36">
        <v>43221</v>
      </c>
      <c r="F395" s="36">
        <v>43281</v>
      </c>
      <c r="G395" s="38">
        <f t="shared" si="6"/>
        <v>60</v>
      </c>
      <c r="H395" s="5">
        <v>43242</v>
      </c>
      <c r="I395" s="5">
        <v>43272</v>
      </c>
      <c r="J395" s="1" t="s">
        <v>41</v>
      </c>
      <c r="K395" s="1" t="s">
        <v>1182</v>
      </c>
      <c r="L395" s="1" t="s">
        <v>1176</v>
      </c>
      <c r="M395" s="1" t="s">
        <v>1177</v>
      </c>
      <c r="N395" s="1" t="s">
        <v>30</v>
      </c>
      <c r="O395" s="1" t="s">
        <v>1123</v>
      </c>
      <c r="P395" s="1">
        <v>383485390</v>
      </c>
      <c r="Q395" s="1" t="s">
        <v>392</v>
      </c>
      <c r="R395" s="1" t="s">
        <v>26</v>
      </c>
      <c r="S395" s="1"/>
      <c r="U395" s="1" t="s">
        <v>35</v>
      </c>
      <c r="V395" s="1" t="s">
        <v>49</v>
      </c>
      <c r="W395" s="1" t="str">
        <f>VLOOKUP(Table1[[#This Row],[Obergruppe ATC-Code]],Tabelle3!$A$2:$B$100,2)</f>
        <v>ANTIHYPERTENSIVA</v>
      </c>
      <c r="X395" s="1" t="str">
        <f xml:space="preserve"> LEFT(Table1[[#This Row],[Atc Code]],3)</f>
        <v>C02</v>
      </c>
    </row>
    <row r="396" spans="1:24" ht="14.4">
      <c r="A396" s="14">
        <v>2574</v>
      </c>
      <c r="B396" s="24" t="s">
        <v>1183</v>
      </c>
      <c r="C396" s="1">
        <v>688195</v>
      </c>
      <c r="D396" s="1" t="s">
        <v>25</v>
      </c>
      <c r="E396" s="36">
        <v>43101</v>
      </c>
      <c r="F396" s="36">
        <v>43312</v>
      </c>
      <c r="G396" s="38">
        <f t="shared" si="6"/>
        <v>211</v>
      </c>
      <c r="H396" s="5">
        <v>43243</v>
      </c>
      <c r="I396" s="5">
        <v>43320</v>
      </c>
      <c r="J396" s="1" t="s">
        <v>41</v>
      </c>
      <c r="K396" s="1" t="s">
        <v>1184</v>
      </c>
      <c r="L396" s="1" t="s">
        <v>1176</v>
      </c>
      <c r="M396" s="1" t="s">
        <v>1177</v>
      </c>
      <c r="N396" s="1" t="s">
        <v>30</v>
      </c>
      <c r="O396" s="1" t="s">
        <v>123</v>
      </c>
      <c r="P396" s="1" t="s">
        <v>1185</v>
      </c>
      <c r="Q396" s="1" t="s">
        <v>1186</v>
      </c>
      <c r="R396" s="1" t="s">
        <v>26</v>
      </c>
      <c r="S396" s="1"/>
      <c r="U396" s="1" t="s">
        <v>35</v>
      </c>
      <c r="V396" s="1" t="s">
        <v>99</v>
      </c>
      <c r="W396" s="1" t="str">
        <f>VLOOKUP(Table1[[#This Row],[Obergruppe ATC-Code]],Tabelle3!$A$2:$B$100,2)</f>
        <v>ANTIHYPERTENSIVA</v>
      </c>
      <c r="X396" s="1" t="str">
        <f xml:space="preserve"> LEFT(Table1[[#This Row],[Atc Code]],3)</f>
        <v>C02</v>
      </c>
    </row>
    <row r="397" spans="1:24" ht="14.4">
      <c r="A397" s="14">
        <v>2146</v>
      </c>
      <c r="B397" s="24" t="s">
        <v>1181</v>
      </c>
      <c r="C397" s="1">
        <v>3001951</v>
      </c>
      <c r="D397" s="1" t="s">
        <v>25</v>
      </c>
      <c r="E397" s="36">
        <v>43282</v>
      </c>
      <c r="F397" s="36">
        <v>43373</v>
      </c>
      <c r="G397" s="38">
        <f t="shared" si="6"/>
        <v>91</v>
      </c>
      <c r="H397" s="5">
        <v>43298</v>
      </c>
      <c r="I397" s="5">
        <v>43367</v>
      </c>
      <c r="J397" s="1" t="s">
        <v>41</v>
      </c>
      <c r="K397" s="1" t="s">
        <v>1182</v>
      </c>
      <c r="L397" s="1" t="s">
        <v>1176</v>
      </c>
      <c r="M397" s="1" t="s">
        <v>1177</v>
      </c>
      <c r="N397" s="1" t="s">
        <v>30</v>
      </c>
      <c r="O397" s="1" t="s">
        <v>1123</v>
      </c>
      <c r="P397" s="1">
        <v>383485390</v>
      </c>
      <c r="Q397" s="1" t="s">
        <v>392</v>
      </c>
      <c r="R397" s="1" t="s">
        <v>48</v>
      </c>
      <c r="S397" s="1"/>
      <c r="U397" s="1" t="s">
        <v>35</v>
      </c>
      <c r="V397" s="1" t="s">
        <v>49</v>
      </c>
      <c r="W397" s="1" t="str">
        <f>VLOOKUP(Table1[[#This Row],[Obergruppe ATC-Code]],Tabelle3!$A$2:$B$100,2)</f>
        <v>ANTIHYPERTENSIVA</v>
      </c>
      <c r="X397" s="1" t="str">
        <f xml:space="preserve"> LEFT(Table1[[#This Row],[Atc Code]],3)</f>
        <v>C02</v>
      </c>
    </row>
    <row r="398" spans="1:24" ht="14.4">
      <c r="A398" s="14">
        <v>2145</v>
      </c>
      <c r="B398" s="24" t="s">
        <v>1181</v>
      </c>
      <c r="C398" s="1">
        <v>3001951</v>
      </c>
      <c r="D398" s="1" t="s">
        <v>25</v>
      </c>
      <c r="E398" s="36">
        <v>43831</v>
      </c>
      <c r="F398" s="36">
        <v>44104</v>
      </c>
      <c r="G398" s="38">
        <f t="shared" si="6"/>
        <v>273</v>
      </c>
      <c r="H398" s="5">
        <v>43847</v>
      </c>
      <c r="I398" s="5">
        <v>44077</v>
      </c>
      <c r="J398" s="1" t="s">
        <v>41</v>
      </c>
      <c r="K398" s="1" t="s">
        <v>1182</v>
      </c>
      <c r="L398" s="1" t="s">
        <v>1176</v>
      </c>
      <c r="M398" s="1" t="s">
        <v>1177</v>
      </c>
      <c r="N398" s="1" t="s">
        <v>30</v>
      </c>
      <c r="O398" s="1" t="s">
        <v>1123</v>
      </c>
      <c r="P398" s="1">
        <v>383485390</v>
      </c>
      <c r="Q398" s="1" t="s">
        <v>1187</v>
      </c>
      <c r="R398" s="1" t="s">
        <v>48</v>
      </c>
      <c r="S398" s="1"/>
      <c r="U398" s="1" t="s">
        <v>35</v>
      </c>
      <c r="V398" s="1" t="s">
        <v>49</v>
      </c>
      <c r="W398" s="1" t="str">
        <f>VLOOKUP(Table1[[#This Row],[Obergruppe ATC-Code]],Tabelle3!$A$2:$B$100,2)</f>
        <v>ANTIHYPERTENSIVA</v>
      </c>
      <c r="X398" s="1" t="str">
        <f xml:space="preserve"> LEFT(Table1[[#This Row],[Atc Code]],3)</f>
        <v>C02</v>
      </c>
    </row>
    <row r="399" spans="1:24" ht="14.4">
      <c r="A399" s="14">
        <v>2573</v>
      </c>
      <c r="B399" s="24" t="s">
        <v>1183</v>
      </c>
      <c r="C399" s="1">
        <v>688195</v>
      </c>
      <c r="D399" s="1" t="s">
        <v>25</v>
      </c>
      <c r="E399" s="36">
        <v>43647</v>
      </c>
      <c r="F399" s="36">
        <v>44196</v>
      </c>
      <c r="G399" s="38">
        <f t="shared" si="6"/>
        <v>549</v>
      </c>
      <c r="H399" s="5">
        <v>43647</v>
      </c>
      <c r="I399" s="5">
        <v>44168</v>
      </c>
      <c r="J399" s="1" t="s">
        <v>41</v>
      </c>
      <c r="K399" s="1" t="s">
        <v>1184</v>
      </c>
      <c r="L399" s="1" t="s">
        <v>1176</v>
      </c>
      <c r="M399" s="1" t="s">
        <v>1177</v>
      </c>
      <c r="N399" s="1" t="s">
        <v>30</v>
      </c>
      <c r="O399" s="1" t="s">
        <v>123</v>
      </c>
      <c r="P399" s="1" t="s">
        <v>1185</v>
      </c>
      <c r="Q399" s="1" t="s">
        <v>1186</v>
      </c>
      <c r="R399" s="1" t="s">
        <v>26</v>
      </c>
      <c r="S399" s="1"/>
      <c r="U399" s="1" t="s">
        <v>35</v>
      </c>
      <c r="V399" s="1" t="s">
        <v>99</v>
      </c>
      <c r="W399" s="1" t="str">
        <f>VLOOKUP(Table1[[#This Row],[Obergruppe ATC-Code]],Tabelle3!$A$2:$B$100,2)</f>
        <v>ANTIHYPERTENSIVA</v>
      </c>
      <c r="X399" s="1" t="str">
        <f xml:space="preserve"> LEFT(Table1[[#This Row],[Atc Code]],3)</f>
        <v>C02</v>
      </c>
    </row>
    <row r="400" spans="1:24" ht="14.4">
      <c r="A400" s="14">
        <v>2517</v>
      </c>
      <c r="B400" s="24" t="s">
        <v>1188</v>
      </c>
      <c r="C400" s="1" t="s">
        <v>1189</v>
      </c>
      <c r="D400" s="1" t="s">
        <v>25</v>
      </c>
      <c r="E400" s="36">
        <v>44593</v>
      </c>
      <c r="F400" s="36">
        <v>44704</v>
      </c>
      <c r="G400" s="38">
        <f t="shared" si="6"/>
        <v>111</v>
      </c>
      <c r="H400" s="5">
        <v>44589</v>
      </c>
      <c r="I400" s="5">
        <v>44706</v>
      </c>
      <c r="J400" s="1" t="s">
        <v>26</v>
      </c>
      <c r="K400" s="1" t="s">
        <v>1190</v>
      </c>
      <c r="L400" s="1" t="s">
        <v>1191</v>
      </c>
      <c r="M400" s="1" t="s">
        <v>1192</v>
      </c>
      <c r="N400" s="1" t="s">
        <v>38</v>
      </c>
      <c r="O400" s="1" t="s">
        <v>45</v>
      </c>
      <c r="Q400" s="1" t="s">
        <v>1193</v>
      </c>
      <c r="R400" s="1" t="s">
        <v>113</v>
      </c>
      <c r="S400" s="1"/>
      <c r="U400" s="1" t="s">
        <v>130</v>
      </c>
      <c r="V400" s="1" t="s">
        <v>49</v>
      </c>
      <c r="W400" s="1" t="str">
        <f>VLOOKUP(Table1[[#This Row],[Obergruppe ATC-Code]],Tabelle3!$A$2:$B$100,2)</f>
        <v>ANTIHYPERTENSIVA</v>
      </c>
      <c r="X400" s="1" t="str">
        <f xml:space="preserve"> LEFT(Table1[[#This Row],[Atc Code]],3)</f>
        <v>C02</v>
      </c>
    </row>
    <row r="401" spans="1:24" ht="14.4">
      <c r="A401" s="14">
        <v>2072</v>
      </c>
      <c r="B401" s="24" t="s">
        <v>1194</v>
      </c>
      <c r="C401" s="1" t="s">
        <v>1195</v>
      </c>
      <c r="D401" s="1" t="s">
        <v>25</v>
      </c>
      <c r="E401" s="36">
        <v>44531</v>
      </c>
      <c r="F401" s="36">
        <v>44697</v>
      </c>
      <c r="G401" s="38">
        <f t="shared" si="6"/>
        <v>166</v>
      </c>
      <c r="H401" s="5">
        <v>44536</v>
      </c>
      <c r="I401" s="5">
        <v>44706</v>
      </c>
      <c r="J401" s="1" t="s">
        <v>26</v>
      </c>
      <c r="K401" s="1" t="s">
        <v>1196</v>
      </c>
      <c r="L401" s="1" t="s">
        <v>1191</v>
      </c>
      <c r="M401" s="1" t="s">
        <v>1192</v>
      </c>
      <c r="N401" s="1" t="s">
        <v>38</v>
      </c>
      <c r="O401" s="1" t="s">
        <v>45</v>
      </c>
      <c r="Q401" s="1" t="s">
        <v>118</v>
      </c>
      <c r="R401" s="1" t="s">
        <v>113</v>
      </c>
      <c r="S401" s="1"/>
      <c r="U401" s="1" t="s">
        <v>130</v>
      </c>
      <c r="V401" s="1" t="s">
        <v>49</v>
      </c>
      <c r="W401" s="1" t="str">
        <f>VLOOKUP(Table1[[#This Row],[Obergruppe ATC-Code]],Tabelle3!$A$2:$B$100,2)</f>
        <v>ANTIHYPERTENSIVA</v>
      </c>
      <c r="X401" s="1" t="str">
        <f xml:space="preserve"> LEFT(Table1[[#This Row],[Atc Code]],3)</f>
        <v>C02</v>
      </c>
    </row>
    <row r="402" spans="1:24" ht="14.4">
      <c r="A402" s="14">
        <v>2819</v>
      </c>
      <c r="B402" s="24" t="s">
        <v>1197</v>
      </c>
      <c r="C402" s="1">
        <v>2133999</v>
      </c>
      <c r="D402" s="1" t="s">
        <v>25</v>
      </c>
      <c r="E402" s="36">
        <v>43922</v>
      </c>
      <c r="F402" s="36">
        <v>43982</v>
      </c>
      <c r="G402" s="38">
        <f t="shared" si="6"/>
        <v>60</v>
      </c>
      <c r="H402" s="5">
        <v>43942</v>
      </c>
      <c r="I402" s="5">
        <v>43984</v>
      </c>
      <c r="J402" s="1" t="s">
        <v>41</v>
      </c>
      <c r="K402" s="1" t="s">
        <v>1198</v>
      </c>
      <c r="L402" s="1" t="s">
        <v>1199</v>
      </c>
      <c r="M402" s="1" t="s">
        <v>1192</v>
      </c>
      <c r="N402" s="1" t="s">
        <v>30</v>
      </c>
      <c r="O402" s="1" t="s">
        <v>1078</v>
      </c>
      <c r="P402" s="1">
        <v>8945450202</v>
      </c>
      <c r="Q402" s="1" t="s">
        <v>1200</v>
      </c>
      <c r="R402" s="1" t="s">
        <v>48</v>
      </c>
      <c r="S402" s="1"/>
      <c r="T402" s="1" t="s">
        <v>1201</v>
      </c>
      <c r="U402" s="1" t="s">
        <v>35</v>
      </c>
      <c r="V402" s="1" t="s">
        <v>74</v>
      </c>
      <c r="W402" s="1" t="str">
        <f>VLOOKUP(Table1[[#This Row],[Obergruppe ATC-Code]],Tabelle3!$A$2:$B$100,2)</f>
        <v>ANTIHYPERTENSIVA</v>
      </c>
      <c r="X402" s="1" t="str">
        <f xml:space="preserve"> LEFT(Table1[[#This Row],[Atc Code]],3)</f>
        <v>C02</v>
      </c>
    </row>
    <row r="403" spans="1:24" ht="14.4">
      <c r="A403" s="14">
        <v>2650</v>
      </c>
      <c r="B403" s="24" t="s">
        <v>1202</v>
      </c>
      <c r="C403" s="1" t="s">
        <v>1203</v>
      </c>
      <c r="D403" s="1" t="s">
        <v>102</v>
      </c>
      <c r="E403" s="36">
        <v>45177</v>
      </c>
      <c r="F403" s="36">
        <v>45247</v>
      </c>
      <c r="G403" s="38">
        <f t="shared" si="6"/>
        <v>70</v>
      </c>
      <c r="H403" s="5">
        <v>45168</v>
      </c>
      <c r="I403" s="5">
        <v>45204</v>
      </c>
      <c r="J403" s="1" t="s">
        <v>41</v>
      </c>
      <c r="K403" s="1" t="s">
        <v>1204</v>
      </c>
      <c r="L403" s="1" t="s">
        <v>1205</v>
      </c>
      <c r="M403" s="1" t="s">
        <v>1206</v>
      </c>
      <c r="N403" s="1" t="s">
        <v>38</v>
      </c>
      <c r="O403" s="1" t="s">
        <v>1207</v>
      </c>
      <c r="P403" s="1" t="s">
        <v>853</v>
      </c>
      <c r="Q403" s="1" t="s">
        <v>854</v>
      </c>
      <c r="R403" s="1" t="s">
        <v>128</v>
      </c>
      <c r="S403" s="1"/>
      <c r="U403" s="1" t="s">
        <v>130</v>
      </c>
      <c r="V403" s="1" t="s">
        <v>386</v>
      </c>
      <c r="W403" s="1" t="str">
        <f>VLOOKUP(Table1[[#This Row],[Obergruppe ATC-Code]],Tabelle3!$A$2:$B$100,2)</f>
        <v>ANTIHYPERTENSIVA</v>
      </c>
      <c r="X403" s="1" t="str">
        <f xml:space="preserve"> LEFT(Table1[[#This Row],[Atc Code]],3)</f>
        <v>C02</v>
      </c>
    </row>
    <row r="404" spans="1:24" ht="14.4">
      <c r="A404" s="14">
        <v>2985</v>
      </c>
      <c r="B404" s="25" t="s">
        <v>1208</v>
      </c>
      <c r="C404" s="1">
        <v>2101449</v>
      </c>
      <c r="D404" s="1" t="s">
        <v>25</v>
      </c>
      <c r="E404" s="36">
        <v>43497</v>
      </c>
      <c r="F404" s="36">
        <v>43555</v>
      </c>
      <c r="G404" s="38">
        <f t="shared" si="6"/>
        <v>58</v>
      </c>
      <c r="H404" s="5">
        <v>43528</v>
      </c>
      <c r="I404" s="5">
        <v>43537</v>
      </c>
      <c r="J404" s="1" t="s">
        <v>41</v>
      </c>
      <c r="K404" s="1" t="s">
        <v>1209</v>
      </c>
      <c r="L404" s="1" t="s">
        <v>1210</v>
      </c>
      <c r="M404" s="1" t="s">
        <v>1211</v>
      </c>
      <c r="N404" s="1" t="s">
        <v>30</v>
      </c>
      <c r="O404" s="1" t="s">
        <v>1212</v>
      </c>
      <c r="P404" s="1" t="s">
        <v>1213</v>
      </c>
      <c r="Q404" s="1" t="s">
        <v>1214</v>
      </c>
      <c r="R404" s="1" t="s">
        <v>65</v>
      </c>
      <c r="S404" s="1"/>
      <c r="T404" s="1" t="s">
        <v>1215</v>
      </c>
      <c r="U404" s="1" t="s">
        <v>35</v>
      </c>
      <c r="V404" s="1" t="s">
        <v>199</v>
      </c>
      <c r="W404" s="1" t="str">
        <f>VLOOKUP(Table1[[#This Row],[Obergruppe ATC-Code]],Tabelle3!$A$2:$B$100,2)</f>
        <v>ANTIHYPERTENSIVA</v>
      </c>
      <c r="X404" s="1" t="str">
        <f xml:space="preserve"> LEFT(Table1[[#This Row],[Atc Code]],3)</f>
        <v>C02</v>
      </c>
    </row>
    <row r="405" spans="1:24" ht="14.4">
      <c r="A405" s="14">
        <v>2984</v>
      </c>
      <c r="B405" s="25" t="s">
        <v>1208</v>
      </c>
      <c r="C405" s="1">
        <v>2101449</v>
      </c>
      <c r="D405" s="1" t="s">
        <v>25</v>
      </c>
      <c r="E405" s="36">
        <v>43770</v>
      </c>
      <c r="F405" s="36">
        <v>43830</v>
      </c>
      <c r="G405" s="38">
        <f t="shared" si="6"/>
        <v>60</v>
      </c>
      <c r="H405" s="5">
        <v>43783</v>
      </c>
      <c r="I405" s="5">
        <v>43815</v>
      </c>
      <c r="J405" s="1" t="s">
        <v>41</v>
      </c>
      <c r="K405" s="1" t="s">
        <v>1209</v>
      </c>
      <c r="L405" s="1" t="s">
        <v>1210</v>
      </c>
      <c r="M405" s="1" t="s">
        <v>1211</v>
      </c>
      <c r="N405" s="1" t="s">
        <v>30</v>
      </c>
      <c r="O405" s="1" t="s">
        <v>1212</v>
      </c>
      <c r="P405" s="1" t="s">
        <v>1216</v>
      </c>
      <c r="Q405" s="1" t="s">
        <v>1217</v>
      </c>
      <c r="R405" s="1" t="s">
        <v>65</v>
      </c>
      <c r="S405" s="1"/>
      <c r="T405" s="1" t="s">
        <v>1215</v>
      </c>
      <c r="U405" s="1" t="s">
        <v>35</v>
      </c>
      <c r="V405" s="1" t="s">
        <v>199</v>
      </c>
      <c r="W405" s="1" t="str">
        <f>VLOOKUP(Table1[[#This Row],[Obergruppe ATC-Code]],Tabelle3!$A$2:$B$100,2)</f>
        <v>ANTIHYPERTENSIVA</v>
      </c>
      <c r="X405" s="1" t="str">
        <f xml:space="preserve"> LEFT(Table1[[#This Row],[Atc Code]],3)</f>
        <v>C02</v>
      </c>
    </row>
    <row r="406" spans="1:24" ht="14.4">
      <c r="A406" s="14">
        <v>2020</v>
      </c>
      <c r="B406" s="24" t="s">
        <v>1218</v>
      </c>
      <c r="C406" s="1">
        <v>2107313</v>
      </c>
      <c r="D406" s="1" t="s">
        <v>25</v>
      </c>
      <c r="E406" s="36">
        <v>43770</v>
      </c>
      <c r="F406" s="36">
        <v>43830</v>
      </c>
      <c r="G406" s="38">
        <f t="shared" si="6"/>
        <v>60</v>
      </c>
      <c r="H406" s="5">
        <v>43783</v>
      </c>
      <c r="I406" s="5">
        <v>43815</v>
      </c>
      <c r="J406" s="1" t="s">
        <v>41</v>
      </c>
      <c r="K406" s="1" t="s">
        <v>1219</v>
      </c>
      <c r="L406" s="1" t="s">
        <v>1210</v>
      </c>
      <c r="M406" s="1" t="s">
        <v>1211</v>
      </c>
      <c r="N406" s="1" t="s">
        <v>30</v>
      </c>
      <c r="O406" s="1" t="s">
        <v>1212</v>
      </c>
      <c r="P406" s="1" t="s">
        <v>1216</v>
      </c>
      <c r="Q406" s="1" t="s">
        <v>1217</v>
      </c>
      <c r="R406" s="1" t="s">
        <v>65</v>
      </c>
      <c r="S406" s="1"/>
      <c r="T406" s="1" t="s">
        <v>1220</v>
      </c>
      <c r="U406" s="1" t="s">
        <v>35</v>
      </c>
      <c r="V406" s="1" t="s">
        <v>199</v>
      </c>
      <c r="W406" s="1" t="str">
        <f>VLOOKUP(Table1[[#This Row],[Obergruppe ATC-Code]],Tabelle3!$A$2:$B$100,2)</f>
        <v>ANTIHYPERTENSIVA</v>
      </c>
      <c r="X406" s="1" t="str">
        <f xml:space="preserve"> LEFT(Table1[[#This Row],[Atc Code]],3)</f>
        <v>C02</v>
      </c>
    </row>
    <row r="407" spans="1:24" ht="14.4">
      <c r="A407" s="14">
        <v>2983</v>
      </c>
      <c r="B407" s="25" t="s">
        <v>1208</v>
      </c>
      <c r="C407" s="1">
        <v>2101449</v>
      </c>
      <c r="D407" s="1" t="s">
        <v>25</v>
      </c>
      <c r="E407" s="36">
        <v>44228</v>
      </c>
      <c r="F407" s="36">
        <v>44316</v>
      </c>
      <c r="G407" s="38">
        <f t="shared" si="6"/>
        <v>88</v>
      </c>
      <c r="H407" s="5">
        <v>44250</v>
      </c>
      <c r="I407" s="5">
        <v>44301</v>
      </c>
      <c r="J407" s="1" t="s">
        <v>26</v>
      </c>
      <c r="K407" s="1" t="s">
        <v>1209</v>
      </c>
      <c r="L407" s="1" t="s">
        <v>1210</v>
      </c>
      <c r="M407" s="1" t="s">
        <v>1211</v>
      </c>
      <c r="N407" s="1" t="s">
        <v>30</v>
      </c>
      <c r="O407" s="1" t="s">
        <v>1212</v>
      </c>
      <c r="P407" s="1" t="s">
        <v>1221</v>
      </c>
      <c r="Q407" s="1" t="s">
        <v>1222</v>
      </c>
      <c r="R407" s="1" t="s">
        <v>33</v>
      </c>
      <c r="S407" s="1"/>
      <c r="T407" s="1" t="s">
        <v>1215</v>
      </c>
      <c r="U407" s="1" t="s">
        <v>35</v>
      </c>
      <c r="V407" s="1" t="s">
        <v>199</v>
      </c>
      <c r="W407" s="1" t="str">
        <f>VLOOKUP(Table1[[#This Row],[Obergruppe ATC-Code]],Tabelle3!$A$2:$B$100,2)</f>
        <v>ANTIHYPERTENSIVA</v>
      </c>
      <c r="X407" s="1" t="str">
        <f xml:space="preserve"> LEFT(Table1[[#This Row],[Atc Code]],3)</f>
        <v>C02</v>
      </c>
    </row>
    <row r="408" spans="1:24" ht="14.4">
      <c r="A408" s="14">
        <v>3057</v>
      </c>
      <c r="B408" s="24" t="s">
        <v>1223</v>
      </c>
      <c r="C408" s="1">
        <v>2107314</v>
      </c>
      <c r="D408" s="1" t="s">
        <v>25</v>
      </c>
      <c r="E408" s="36">
        <v>44228</v>
      </c>
      <c r="F408" s="36">
        <v>44347</v>
      </c>
      <c r="G408" s="38">
        <f t="shared" si="6"/>
        <v>119</v>
      </c>
      <c r="H408" s="5">
        <v>44250</v>
      </c>
      <c r="I408" s="5">
        <v>44342</v>
      </c>
      <c r="J408" s="1" t="s">
        <v>26</v>
      </c>
      <c r="K408" s="1" t="s">
        <v>1224</v>
      </c>
      <c r="L408" s="1" t="s">
        <v>1210</v>
      </c>
      <c r="M408" s="1" t="s">
        <v>1211</v>
      </c>
      <c r="N408" s="1" t="s">
        <v>30</v>
      </c>
      <c r="O408" s="1" t="s">
        <v>1212</v>
      </c>
      <c r="P408" s="1" t="s">
        <v>1221</v>
      </c>
      <c r="Q408" s="1" t="s">
        <v>1222</v>
      </c>
      <c r="R408" s="1" t="s">
        <v>33</v>
      </c>
      <c r="S408" s="1"/>
      <c r="T408" s="1" t="s">
        <v>1225</v>
      </c>
      <c r="U408" s="1" t="s">
        <v>35</v>
      </c>
      <c r="V408" s="1" t="s">
        <v>199</v>
      </c>
      <c r="W408" s="1" t="str">
        <f>VLOOKUP(Table1[[#This Row],[Obergruppe ATC-Code]],Tabelle3!$A$2:$B$100,2)</f>
        <v>ANTIHYPERTENSIVA</v>
      </c>
      <c r="X408" s="1" t="str">
        <f xml:space="preserve"> LEFT(Table1[[#This Row],[Atc Code]],3)</f>
        <v>C02</v>
      </c>
    </row>
    <row r="409" spans="1:24" ht="14.4">
      <c r="A409" s="14">
        <v>2022</v>
      </c>
      <c r="B409" s="24" t="s">
        <v>1226</v>
      </c>
      <c r="C409" s="1">
        <v>2101449</v>
      </c>
      <c r="D409" s="1" t="s">
        <v>25</v>
      </c>
      <c r="E409" s="36">
        <v>44386</v>
      </c>
      <c r="F409" s="36">
        <v>44771</v>
      </c>
      <c r="G409" s="38">
        <f t="shared" si="6"/>
        <v>385</v>
      </c>
      <c r="H409" s="5">
        <v>44386</v>
      </c>
      <c r="I409" s="5">
        <v>44771</v>
      </c>
      <c r="J409" s="1" t="s">
        <v>26</v>
      </c>
      <c r="K409" s="1" t="s">
        <v>1209</v>
      </c>
      <c r="L409" s="1" t="s">
        <v>1210</v>
      </c>
      <c r="M409" s="1" t="s">
        <v>1211</v>
      </c>
      <c r="N409" s="1" t="s">
        <v>30</v>
      </c>
      <c r="O409" s="1" t="s">
        <v>1212</v>
      </c>
      <c r="P409" s="1" t="s">
        <v>1221</v>
      </c>
      <c r="Q409" s="1" t="s">
        <v>1222</v>
      </c>
      <c r="R409" s="1" t="s">
        <v>113</v>
      </c>
      <c r="S409" s="1"/>
      <c r="T409" s="1" t="s">
        <v>1215</v>
      </c>
      <c r="U409" s="1" t="s">
        <v>35</v>
      </c>
      <c r="V409" s="1" t="s">
        <v>199</v>
      </c>
      <c r="W409" s="1" t="str">
        <f>VLOOKUP(Table1[[#This Row],[Obergruppe ATC-Code]],Tabelle3!$A$2:$B$100,2)</f>
        <v>ANTIHYPERTENSIVA</v>
      </c>
      <c r="X409" s="1" t="str">
        <f xml:space="preserve"> LEFT(Table1[[#This Row],[Atc Code]],3)</f>
        <v>C02</v>
      </c>
    </row>
    <row r="410" spans="1:24" ht="14.4">
      <c r="A410" s="14">
        <v>2021</v>
      </c>
      <c r="B410" s="24" t="s">
        <v>1227</v>
      </c>
      <c r="C410" s="1">
        <v>2107314</v>
      </c>
      <c r="D410" s="1" t="s">
        <v>25</v>
      </c>
      <c r="E410" s="36">
        <v>44368</v>
      </c>
      <c r="F410" s="36">
        <v>44771</v>
      </c>
      <c r="G410" s="38">
        <f t="shared" si="6"/>
        <v>403</v>
      </c>
      <c r="H410" s="5">
        <v>44368</v>
      </c>
      <c r="I410" s="5">
        <v>44771</v>
      </c>
      <c r="J410" s="1" t="s">
        <v>26</v>
      </c>
      <c r="K410" s="1" t="s">
        <v>1224</v>
      </c>
      <c r="L410" s="1" t="s">
        <v>1210</v>
      </c>
      <c r="M410" s="1" t="s">
        <v>1211</v>
      </c>
      <c r="N410" s="1" t="s">
        <v>30</v>
      </c>
      <c r="O410" s="1" t="s">
        <v>1212</v>
      </c>
      <c r="P410" s="1" t="s">
        <v>1221</v>
      </c>
      <c r="Q410" s="1" t="s">
        <v>1222</v>
      </c>
      <c r="R410" s="1" t="s">
        <v>113</v>
      </c>
      <c r="S410" s="1"/>
      <c r="T410" s="1" t="s">
        <v>1225</v>
      </c>
      <c r="U410" s="1" t="s">
        <v>35</v>
      </c>
      <c r="V410" s="1" t="s">
        <v>199</v>
      </c>
      <c r="W410" s="1" t="str">
        <f>VLOOKUP(Table1[[#This Row],[Obergruppe ATC-Code]],Tabelle3!$A$2:$B$100,2)</f>
        <v>ANTIHYPERTENSIVA</v>
      </c>
      <c r="X410" s="1" t="str">
        <f xml:space="preserve"> LEFT(Table1[[#This Row],[Atc Code]],3)</f>
        <v>C02</v>
      </c>
    </row>
    <row r="411" spans="1:24" ht="14.4">
      <c r="A411" s="14">
        <v>2019</v>
      </c>
      <c r="B411" s="24" t="s">
        <v>1228</v>
      </c>
      <c r="C411" s="1">
        <v>2107313</v>
      </c>
      <c r="D411" s="1" t="s">
        <v>25</v>
      </c>
      <c r="E411" s="36">
        <v>44348</v>
      </c>
      <c r="F411" s="36">
        <v>44771</v>
      </c>
      <c r="G411" s="38">
        <f t="shared" si="6"/>
        <v>423</v>
      </c>
      <c r="H411" s="5">
        <v>44350</v>
      </c>
      <c r="I411" s="5">
        <v>44771</v>
      </c>
      <c r="J411" s="1" t="s">
        <v>26</v>
      </c>
      <c r="K411" s="1" t="s">
        <v>1219</v>
      </c>
      <c r="L411" s="1" t="s">
        <v>1210</v>
      </c>
      <c r="M411" s="1" t="s">
        <v>1211</v>
      </c>
      <c r="N411" s="1" t="s">
        <v>30</v>
      </c>
      <c r="O411" s="1" t="s">
        <v>1212</v>
      </c>
      <c r="P411" s="1" t="s">
        <v>1221</v>
      </c>
      <c r="Q411" s="1" t="s">
        <v>1222</v>
      </c>
      <c r="R411" s="1" t="s">
        <v>113</v>
      </c>
      <c r="S411" s="1"/>
      <c r="T411" s="1" t="s">
        <v>1220</v>
      </c>
      <c r="U411" s="1" t="s">
        <v>35</v>
      </c>
      <c r="V411" s="1" t="s">
        <v>199</v>
      </c>
      <c r="W411" s="1" t="str">
        <f>VLOOKUP(Table1[[#This Row],[Obergruppe ATC-Code]],Tabelle3!$A$2:$B$100,2)</f>
        <v>ANTIHYPERTENSIVA</v>
      </c>
      <c r="X411" s="1" t="str">
        <f xml:space="preserve"> LEFT(Table1[[#This Row],[Atc Code]],3)</f>
        <v>C02</v>
      </c>
    </row>
    <row r="412" spans="1:24" ht="14.4">
      <c r="A412" s="14">
        <v>2659</v>
      </c>
      <c r="B412" s="24" t="s">
        <v>1229</v>
      </c>
      <c r="C412" s="1">
        <v>2191242</v>
      </c>
      <c r="D412" s="1" t="s">
        <v>25</v>
      </c>
      <c r="E412" s="36">
        <v>44448</v>
      </c>
      <c r="F412" s="36">
        <v>44775</v>
      </c>
      <c r="G412" s="38">
        <f t="shared" si="6"/>
        <v>327</v>
      </c>
      <c r="H412" s="5">
        <v>44448</v>
      </c>
      <c r="I412" s="5">
        <v>44775</v>
      </c>
      <c r="J412" s="1" t="s">
        <v>26</v>
      </c>
      <c r="K412" s="1" t="s">
        <v>1230</v>
      </c>
      <c r="L412" s="1" t="s">
        <v>1210</v>
      </c>
      <c r="M412" s="1" t="s">
        <v>1211</v>
      </c>
      <c r="N412" s="1" t="s">
        <v>30</v>
      </c>
      <c r="O412" s="1" t="s">
        <v>1231</v>
      </c>
      <c r="P412" s="1" t="s">
        <v>1232</v>
      </c>
      <c r="Q412" s="1" t="s">
        <v>1233</v>
      </c>
      <c r="R412" s="1" t="s">
        <v>113</v>
      </c>
      <c r="S412" s="1"/>
      <c r="U412" s="1" t="s">
        <v>130</v>
      </c>
      <c r="V412" s="1" t="s">
        <v>199</v>
      </c>
      <c r="W412" s="1" t="str">
        <f>VLOOKUP(Table1[[#This Row],[Obergruppe ATC-Code]],Tabelle3!$A$2:$B$100,2)</f>
        <v>ANTIHYPERTENSIVA</v>
      </c>
      <c r="X412" s="1" t="str">
        <f xml:space="preserve"> LEFT(Table1[[#This Row],[Atc Code]],3)</f>
        <v>C02</v>
      </c>
    </row>
    <row r="413" spans="1:24" ht="14.4">
      <c r="A413" s="14">
        <v>2657</v>
      </c>
      <c r="B413" s="24" t="s">
        <v>1234</v>
      </c>
      <c r="C413" s="1">
        <v>2191241</v>
      </c>
      <c r="D413" s="1" t="s">
        <v>25</v>
      </c>
      <c r="E413" s="36">
        <v>44448</v>
      </c>
      <c r="F413" s="36">
        <v>44775</v>
      </c>
      <c r="G413" s="38">
        <f t="shared" si="6"/>
        <v>327</v>
      </c>
      <c r="H413" s="5">
        <v>44448</v>
      </c>
      <c r="I413" s="5">
        <v>44775</v>
      </c>
      <c r="J413" s="1" t="s">
        <v>26</v>
      </c>
      <c r="K413" s="1" t="s">
        <v>1235</v>
      </c>
      <c r="L413" s="1" t="s">
        <v>1210</v>
      </c>
      <c r="M413" s="1" t="s">
        <v>1211</v>
      </c>
      <c r="N413" s="1" t="s">
        <v>30</v>
      </c>
      <c r="O413" s="1" t="s">
        <v>1231</v>
      </c>
      <c r="P413" s="1" t="s">
        <v>1232</v>
      </c>
      <c r="Q413" s="1" t="s">
        <v>1233</v>
      </c>
      <c r="R413" s="1" t="s">
        <v>113</v>
      </c>
      <c r="S413" s="1"/>
      <c r="U413" s="1" t="s">
        <v>130</v>
      </c>
      <c r="V413" s="1" t="s">
        <v>199</v>
      </c>
      <c r="W413" s="1" t="str">
        <f>VLOOKUP(Table1[[#This Row],[Obergruppe ATC-Code]],Tabelle3!$A$2:$B$100,2)</f>
        <v>ANTIHYPERTENSIVA</v>
      </c>
      <c r="X413" s="1" t="str">
        <f xml:space="preserve"> LEFT(Table1[[#This Row],[Atc Code]],3)</f>
        <v>C02</v>
      </c>
    </row>
    <row r="414" spans="1:24" ht="14.4">
      <c r="A414" s="14">
        <v>2655</v>
      </c>
      <c r="B414" s="24" t="s">
        <v>1236</v>
      </c>
      <c r="C414" s="1">
        <v>2191240</v>
      </c>
      <c r="D414" s="1" t="s">
        <v>25</v>
      </c>
      <c r="E414" s="36">
        <v>44448</v>
      </c>
      <c r="F414" s="36">
        <v>44775</v>
      </c>
      <c r="G414" s="38">
        <f t="shared" si="6"/>
        <v>327</v>
      </c>
      <c r="H414" s="5">
        <v>44448</v>
      </c>
      <c r="I414" s="5">
        <v>44775</v>
      </c>
      <c r="J414" s="1" t="s">
        <v>26</v>
      </c>
      <c r="K414" s="1" t="s">
        <v>1237</v>
      </c>
      <c r="L414" s="1" t="s">
        <v>1210</v>
      </c>
      <c r="M414" s="1" t="s">
        <v>1211</v>
      </c>
      <c r="N414" s="1" t="s">
        <v>30</v>
      </c>
      <c r="O414" s="1" t="s">
        <v>1231</v>
      </c>
      <c r="P414" s="1" t="s">
        <v>1232</v>
      </c>
      <c r="Q414" s="1" t="s">
        <v>1233</v>
      </c>
      <c r="R414" s="1" t="s">
        <v>113</v>
      </c>
      <c r="S414" s="1"/>
      <c r="U414" s="1" t="s">
        <v>35</v>
      </c>
      <c r="V414" s="1" t="s">
        <v>199</v>
      </c>
      <c r="W414" s="1" t="str">
        <f>VLOOKUP(Table1[[#This Row],[Obergruppe ATC-Code]],Tabelle3!$A$2:$B$100,2)</f>
        <v>ANTIHYPERTENSIVA</v>
      </c>
      <c r="X414" s="1" t="str">
        <f xml:space="preserve"> LEFT(Table1[[#This Row],[Atc Code]],3)</f>
        <v>C02</v>
      </c>
    </row>
    <row r="415" spans="1:24" ht="14.4">
      <c r="A415" s="14">
        <v>2658</v>
      </c>
      <c r="B415" s="24" t="s">
        <v>1238</v>
      </c>
      <c r="C415" s="1">
        <v>2191242</v>
      </c>
      <c r="D415" s="1" t="s">
        <v>102</v>
      </c>
      <c r="E415" s="36">
        <v>44914</v>
      </c>
      <c r="F415" s="36">
        <v>45291</v>
      </c>
      <c r="G415" s="38">
        <f t="shared" si="6"/>
        <v>377</v>
      </c>
      <c r="H415" s="5">
        <v>44911</v>
      </c>
      <c r="I415" s="5">
        <v>44956</v>
      </c>
      <c r="J415" s="1" t="s">
        <v>26</v>
      </c>
      <c r="K415" s="1" t="s">
        <v>1230</v>
      </c>
      <c r="L415" s="1" t="s">
        <v>1210</v>
      </c>
      <c r="M415" s="1" t="s">
        <v>1211</v>
      </c>
      <c r="N415" s="1" t="s">
        <v>30</v>
      </c>
      <c r="O415" s="1" t="s">
        <v>1231</v>
      </c>
      <c r="P415" s="1">
        <v>21038809700</v>
      </c>
      <c r="Q415" s="1" t="s">
        <v>1233</v>
      </c>
      <c r="R415" s="1" t="s">
        <v>142</v>
      </c>
      <c r="S415" s="1"/>
      <c r="U415" s="1" t="s">
        <v>130</v>
      </c>
      <c r="V415" s="1" t="s">
        <v>199</v>
      </c>
      <c r="W415" s="1" t="str">
        <f>VLOOKUP(Table1[[#This Row],[Obergruppe ATC-Code]],Tabelle3!$A$2:$B$100,2)</f>
        <v>ANTIHYPERTENSIVA</v>
      </c>
      <c r="X415" s="1" t="str">
        <f xml:space="preserve"> LEFT(Table1[[#This Row],[Atc Code]],3)</f>
        <v>C02</v>
      </c>
    </row>
    <row r="416" spans="1:24" ht="14.4">
      <c r="A416" s="14">
        <v>2656</v>
      </c>
      <c r="B416" s="24" t="s">
        <v>1234</v>
      </c>
      <c r="C416" s="1">
        <v>2191241</v>
      </c>
      <c r="D416" s="1" t="s">
        <v>102</v>
      </c>
      <c r="E416" s="36">
        <v>44914</v>
      </c>
      <c r="F416" s="36">
        <v>45291</v>
      </c>
      <c r="G416" s="38">
        <f t="shared" si="6"/>
        <v>377</v>
      </c>
      <c r="H416" s="5">
        <v>44911</v>
      </c>
      <c r="I416" s="5">
        <v>44956</v>
      </c>
      <c r="J416" s="1" t="s">
        <v>26</v>
      </c>
      <c r="K416" s="1" t="s">
        <v>1235</v>
      </c>
      <c r="L416" s="1" t="s">
        <v>1210</v>
      </c>
      <c r="M416" s="1" t="s">
        <v>1211</v>
      </c>
      <c r="N416" s="1" t="s">
        <v>30</v>
      </c>
      <c r="O416" s="1" t="s">
        <v>1231</v>
      </c>
      <c r="P416" s="1">
        <v>21038809700</v>
      </c>
      <c r="Q416" s="1" t="s">
        <v>1233</v>
      </c>
      <c r="R416" s="1" t="s">
        <v>142</v>
      </c>
      <c r="S416" s="1"/>
      <c r="U416" s="1" t="s">
        <v>130</v>
      </c>
      <c r="V416" s="1" t="s">
        <v>199</v>
      </c>
      <c r="W416" s="1" t="str">
        <f>VLOOKUP(Table1[[#This Row],[Obergruppe ATC-Code]],Tabelle3!$A$2:$B$100,2)</f>
        <v>ANTIHYPERTENSIVA</v>
      </c>
      <c r="X416" s="1" t="str">
        <f xml:space="preserve"> LEFT(Table1[[#This Row],[Atc Code]],3)</f>
        <v>C02</v>
      </c>
    </row>
    <row r="417" spans="1:24" ht="14.4">
      <c r="A417" s="14">
        <v>2654</v>
      </c>
      <c r="B417" s="24" t="s">
        <v>1236</v>
      </c>
      <c r="C417" s="1">
        <v>2191240</v>
      </c>
      <c r="D417" s="1" t="s">
        <v>102</v>
      </c>
      <c r="E417" s="36">
        <v>44914</v>
      </c>
      <c r="F417" s="36">
        <v>45291</v>
      </c>
      <c r="G417" s="38">
        <f t="shared" si="6"/>
        <v>377</v>
      </c>
      <c r="H417" s="5">
        <v>44911</v>
      </c>
      <c r="I417" s="5">
        <v>44956</v>
      </c>
      <c r="J417" s="1" t="s">
        <v>26</v>
      </c>
      <c r="K417" s="1" t="s">
        <v>1237</v>
      </c>
      <c r="L417" s="1" t="s">
        <v>1210</v>
      </c>
      <c r="M417" s="1" t="s">
        <v>1211</v>
      </c>
      <c r="N417" s="1" t="s">
        <v>30</v>
      </c>
      <c r="O417" s="1" t="s">
        <v>1231</v>
      </c>
      <c r="P417" s="1">
        <v>21038809700</v>
      </c>
      <c r="Q417" s="1" t="s">
        <v>1233</v>
      </c>
      <c r="R417" s="1" t="s">
        <v>142</v>
      </c>
      <c r="S417" s="1"/>
      <c r="U417" s="1" t="s">
        <v>35</v>
      </c>
      <c r="V417" s="1" t="s">
        <v>199</v>
      </c>
      <c r="W417" s="1" t="str">
        <f>VLOOKUP(Table1[[#This Row],[Obergruppe ATC-Code]],Tabelle3!$A$2:$B$100,2)</f>
        <v>ANTIHYPERTENSIVA</v>
      </c>
      <c r="X417" s="1" t="str">
        <f xml:space="preserve"> LEFT(Table1[[#This Row],[Atc Code]],3)</f>
        <v>C02</v>
      </c>
    </row>
    <row r="418" spans="1:24" ht="14.4">
      <c r="A418" s="14">
        <v>1436</v>
      </c>
      <c r="B418" s="24">
        <v>14261419</v>
      </c>
      <c r="C418" s="1">
        <v>2164906</v>
      </c>
      <c r="D418" s="1" t="s">
        <v>102</v>
      </c>
      <c r="E418" s="36">
        <v>44805</v>
      </c>
      <c r="F418" s="36">
        <v>45215</v>
      </c>
      <c r="G418" s="38">
        <f t="shared" si="6"/>
        <v>410</v>
      </c>
      <c r="H418" s="5">
        <v>44771</v>
      </c>
      <c r="I418" s="5">
        <v>45146</v>
      </c>
      <c r="J418" s="1" t="s">
        <v>26</v>
      </c>
      <c r="K418" s="1" t="s">
        <v>1239</v>
      </c>
      <c r="L418" s="1" t="s">
        <v>1210</v>
      </c>
      <c r="M418" s="1" t="s">
        <v>1211</v>
      </c>
      <c r="N418" s="1" t="s">
        <v>30</v>
      </c>
      <c r="O418" s="1" t="s">
        <v>1240</v>
      </c>
      <c r="P418" s="1" t="s">
        <v>1241</v>
      </c>
      <c r="Q418" s="1" t="s">
        <v>1242</v>
      </c>
      <c r="R418" s="1" t="s">
        <v>26</v>
      </c>
      <c r="S418" s="1"/>
      <c r="U418" s="1" t="s">
        <v>130</v>
      </c>
      <c r="V418" s="1" t="s">
        <v>74</v>
      </c>
      <c r="W418" s="1" t="str">
        <f>VLOOKUP(Table1[[#This Row],[Obergruppe ATC-Code]],Tabelle3!$A$2:$B$100,2)</f>
        <v>ANTIHYPERTENSIVA</v>
      </c>
      <c r="X418" s="1" t="str">
        <f xml:space="preserve"> LEFT(Table1[[#This Row],[Atc Code]],3)</f>
        <v>C02</v>
      </c>
    </row>
    <row r="419" spans="1:24" ht="14.4">
      <c r="A419" s="14">
        <v>1435</v>
      </c>
      <c r="B419" s="24">
        <v>14261402</v>
      </c>
      <c r="C419" s="1">
        <v>2164904</v>
      </c>
      <c r="D419" s="1" t="s">
        <v>102</v>
      </c>
      <c r="E419" s="36">
        <v>44820</v>
      </c>
      <c r="F419" s="36">
        <v>45215</v>
      </c>
      <c r="G419" s="38">
        <f t="shared" si="6"/>
        <v>395</v>
      </c>
      <c r="H419" s="5">
        <v>44771</v>
      </c>
      <c r="I419" s="5">
        <v>45146</v>
      </c>
      <c r="J419" s="1" t="s">
        <v>26</v>
      </c>
      <c r="K419" s="1" t="s">
        <v>1243</v>
      </c>
      <c r="L419" s="1" t="s">
        <v>1210</v>
      </c>
      <c r="M419" s="1" t="s">
        <v>1211</v>
      </c>
      <c r="N419" s="1" t="s">
        <v>30</v>
      </c>
      <c r="O419" s="1" t="s">
        <v>1240</v>
      </c>
      <c r="P419" s="1" t="s">
        <v>1241</v>
      </c>
      <c r="Q419" s="1" t="s">
        <v>1242</v>
      </c>
      <c r="R419" s="1" t="s">
        <v>26</v>
      </c>
      <c r="S419" s="1"/>
      <c r="U419" s="1" t="s">
        <v>130</v>
      </c>
      <c r="V419" s="1" t="s">
        <v>74</v>
      </c>
      <c r="W419" s="1" t="str">
        <f>VLOOKUP(Table1[[#This Row],[Obergruppe ATC-Code]],Tabelle3!$A$2:$B$100,2)</f>
        <v>ANTIHYPERTENSIVA</v>
      </c>
      <c r="X419" s="1" t="str">
        <f xml:space="preserve"> LEFT(Table1[[#This Row],[Atc Code]],3)</f>
        <v>C02</v>
      </c>
    </row>
    <row r="420" spans="1:24" ht="14.4">
      <c r="A420" s="14">
        <v>1137</v>
      </c>
      <c r="B420" s="24">
        <v>9615743</v>
      </c>
      <c r="C420" s="1">
        <v>2175114</v>
      </c>
      <c r="D420" s="1" t="s">
        <v>25</v>
      </c>
      <c r="E420" s="36">
        <v>45084</v>
      </c>
      <c r="F420" s="36">
        <v>45168</v>
      </c>
      <c r="G420" s="38">
        <f t="shared" si="6"/>
        <v>84</v>
      </c>
      <c r="H420" s="5">
        <v>45084</v>
      </c>
      <c r="I420" s="5">
        <v>45166</v>
      </c>
      <c r="J420" s="1" t="s">
        <v>26</v>
      </c>
      <c r="K420" s="1" t="s">
        <v>1244</v>
      </c>
      <c r="L420" s="1" t="s">
        <v>1210</v>
      </c>
      <c r="M420" s="1" t="s">
        <v>1211</v>
      </c>
      <c r="N420" s="1" t="s">
        <v>30</v>
      </c>
      <c r="O420" s="1" t="s">
        <v>1231</v>
      </c>
      <c r="P420" s="1">
        <v>21038809708</v>
      </c>
      <c r="Q420" s="1" t="s">
        <v>1245</v>
      </c>
      <c r="R420" s="1" t="s">
        <v>113</v>
      </c>
      <c r="S420" s="1"/>
      <c r="U420" s="1" t="s">
        <v>35</v>
      </c>
      <c r="V420" s="1" t="s">
        <v>1246</v>
      </c>
      <c r="W420" s="1" t="str">
        <f>VLOOKUP(Table1[[#This Row],[Obergruppe ATC-Code]],Tabelle3!$A$2:$B$100,2)</f>
        <v>ANTIHYPERTENSIVA</v>
      </c>
      <c r="X420" s="1" t="str">
        <f xml:space="preserve"> LEFT(Table1[[#This Row],[Atc Code]],3)</f>
        <v>C02</v>
      </c>
    </row>
    <row r="421" spans="1:24" ht="14.4">
      <c r="A421" s="14">
        <v>2931</v>
      </c>
      <c r="B421" s="25" t="s">
        <v>1247</v>
      </c>
      <c r="C421" s="1">
        <v>2101839</v>
      </c>
      <c r="D421" s="1" t="s">
        <v>25</v>
      </c>
      <c r="E421" s="36">
        <v>42887</v>
      </c>
      <c r="F421" s="36">
        <v>42978</v>
      </c>
      <c r="G421" s="38">
        <f t="shared" si="6"/>
        <v>91</v>
      </c>
      <c r="H421" s="5">
        <v>42908</v>
      </c>
      <c r="I421" s="5">
        <v>42975</v>
      </c>
      <c r="J421" s="1" t="s">
        <v>41</v>
      </c>
      <c r="K421" s="1" t="s">
        <v>1248</v>
      </c>
      <c r="L421" s="1" t="s">
        <v>1249</v>
      </c>
      <c r="M421" s="1" t="s">
        <v>1250</v>
      </c>
      <c r="N421" s="1" t="s">
        <v>38</v>
      </c>
      <c r="O421" s="1" t="s">
        <v>321</v>
      </c>
      <c r="P421" s="1" t="s">
        <v>1251</v>
      </c>
      <c r="Q421" s="1" t="s">
        <v>1252</v>
      </c>
      <c r="R421" s="1" t="s">
        <v>65</v>
      </c>
      <c r="S421" s="1"/>
      <c r="U421" s="1" t="s">
        <v>35</v>
      </c>
      <c r="V421" s="1" t="s">
        <v>49</v>
      </c>
      <c r="W421" s="1" t="str">
        <f>VLOOKUP(Table1[[#This Row],[Obergruppe ATC-Code]],Tabelle3!$A$2:$B$100,2)</f>
        <v>ANTIHYPERTENSIVA</v>
      </c>
      <c r="X421" s="1" t="str">
        <f xml:space="preserve"> LEFT(Table1[[#This Row],[Atc Code]],3)</f>
        <v>C02</v>
      </c>
    </row>
    <row r="422" spans="1:24" ht="14.4">
      <c r="A422" s="14">
        <v>1969</v>
      </c>
      <c r="B422" s="24" t="s">
        <v>1253</v>
      </c>
      <c r="C422" s="1">
        <v>2101839</v>
      </c>
      <c r="D422" s="1" t="s">
        <v>25</v>
      </c>
      <c r="E422" s="36">
        <v>44573</v>
      </c>
      <c r="F422" s="36">
        <v>44623</v>
      </c>
      <c r="G422" s="38">
        <f t="shared" si="6"/>
        <v>50</v>
      </c>
      <c r="H422" s="5">
        <v>44578</v>
      </c>
      <c r="I422" s="5">
        <v>44624</v>
      </c>
      <c r="J422" s="1" t="s">
        <v>26</v>
      </c>
      <c r="K422" s="1" t="s">
        <v>1248</v>
      </c>
      <c r="L422" s="1" t="s">
        <v>1249</v>
      </c>
      <c r="M422" s="1" t="s">
        <v>1250</v>
      </c>
      <c r="N422" s="1" t="s">
        <v>38</v>
      </c>
      <c r="O422" s="1" t="s">
        <v>329</v>
      </c>
      <c r="P422" s="1" t="s">
        <v>1254</v>
      </c>
      <c r="Q422" s="1" t="s">
        <v>331</v>
      </c>
      <c r="R422" s="1" t="s">
        <v>26</v>
      </c>
      <c r="S422" s="1" t="s">
        <v>1255</v>
      </c>
      <c r="U422" s="1" t="s">
        <v>35</v>
      </c>
      <c r="V422" s="1" t="s">
        <v>49</v>
      </c>
      <c r="W422" s="1" t="str">
        <f>VLOOKUP(Table1[[#This Row],[Obergruppe ATC-Code]],Tabelle3!$A$2:$B$100,2)</f>
        <v>ANTIHYPERTENSIVA</v>
      </c>
      <c r="X422" s="1" t="str">
        <f xml:space="preserve"> LEFT(Table1[[#This Row],[Atc Code]],3)</f>
        <v>C02</v>
      </c>
    </row>
    <row r="423" spans="1:24" ht="14.4">
      <c r="A423" s="14">
        <v>414</v>
      </c>
      <c r="B423" s="24">
        <v>2492303</v>
      </c>
      <c r="C423" s="1">
        <v>2101841</v>
      </c>
      <c r="D423" s="1" t="s">
        <v>25</v>
      </c>
      <c r="E423" s="36">
        <v>44432</v>
      </c>
      <c r="F423" s="36">
        <v>44630</v>
      </c>
      <c r="G423" s="38">
        <f t="shared" si="6"/>
        <v>198</v>
      </c>
      <c r="H423" s="5">
        <v>44432</v>
      </c>
      <c r="I423" s="5">
        <v>44631</v>
      </c>
      <c r="J423" s="1" t="s">
        <v>26</v>
      </c>
      <c r="K423" s="1" t="s">
        <v>1256</v>
      </c>
      <c r="L423" s="1" t="s">
        <v>1249</v>
      </c>
      <c r="M423" s="1" t="s">
        <v>1250</v>
      </c>
      <c r="N423" s="1" t="s">
        <v>38</v>
      </c>
      <c r="O423" s="1" t="s">
        <v>329</v>
      </c>
      <c r="P423" s="1">
        <v>8008535555</v>
      </c>
      <c r="Q423" s="1" t="s">
        <v>327</v>
      </c>
      <c r="R423" s="1" t="s">
        <v>26</v>
      </c>
      <c r="S423" s="1" t="s">
        <v>1257</v>
      </c>
      <c r="U423" s="1" t="s">
        <v>35</v>
      </c>
      <c r="V423" s="1" t="s">
        <v>49</v>
      </c>
      <c r="W423" s="1" t="str">
        <f>VLOOKUP(Table1[[#This Row],[Obergruppe ATC-Code]],Tabelle3!$A$2:$B$100,2)</f>
        <v>ANTIHYPERTENSIVA</v>
      </c>
      <c r="X423" s="1" t="str">
        <f xml:space="preserve"> LEFT(Table1[[#This Row],[Atc Code]],3)</f>
        <v>C02</v>
      </c>
    </row>
    <row r="424" spans="1:24" ht="14.4">
      <c r="A424" s="14">
        <v>413</v>
      </c>
      <c r="B424" s="24">
        <v>2492295</v>
      </c>
      <c r="C424" s="1">
        <v>2101841</v>
      </c>
      <c r="D424" s="1" t="s">
        <v>25</v>
      </c>
      <c r="E424" s="36">
        <v>44462</v>
      </c>
      <c r="F424" s="36">
        <v>44630</v>
      </c>
      <c r="G424" s="38">
        <f t="shared" si="6"/>
        <v>168</v>
      </c>
      <c r="H424" s="5">
        <v>44463</v>
      </c>
      <c r="I424" s="5">
        <v>44631</v>
      </c>
      <c r="J424" s="1" t="s">
        <v>26</v>
      </c>
      <c r="K424" s="1" t="s">
        <v>1256</v>
      </c>
      <c r="L424" s="1" t="s">
        <v>1249</v>
      </c>
      <c r="M424" s="1" t="s">
        <v>1250</v>
      </c>
      <c r="N424" s="1" t="s">
        <v>38</v>
      </c>
      <c r="O424" s="1" t="s">
        <v>329</v>
      </c>
      <c r="P424" s="1">
        <v>8008535555</v>
      </c>
      <c r="Q424" s="1" t="s">
        <v>327</v>
      </c>
      <c r="R424" s="1" t="s">
        <v>26</v>
      </c>
      <c r="S424" s="1" t="s">
        <v>1257</v>
      </c>
      <c r="U424" s="1" t="s">
        <v>35</v>
      </c>
      <c r="V424" s="1" t="s">
        <v>49</v>
      </c>
      <c r="W424" s="1" t="str">
        <f>VLOOKUP(Table1[[#This Row],[Obergruppe ATC-Code]],Tabelle3!$A$2:$B$100,2)</f>
        <v>ANTIHYPERTENSIVA</v>
      </c>
      <c r="X424" s="1" t="str">
        <f xml:space="preserve"> LEFT(Table1[[#This Row],[Atc Code]],3)</f>
        <v>C02</v>
      </c>
    </row>
    <row r="425" spans="1:24" ht="14.4">
      <c r="A425" s="14">
        <v>1971</v>
      </c>
      <c r="B425" s="24" t="s">
        <v>1258</v>
      </c>
      <c r="C425" s="1">
        <v>2101841</v>
      </c>
      <c r="D425" s="1" t="s">
        <v>25</v>
      </c>
      <c r="E425" s="36">
        <v>44790</v>
      </c>
      <c r="F425" s="36">
        <v>44832</v>
      </c>
      <c r="G425" s="38">
        <f t="shared" si="6"/>
        <v>42</v>
      </c>
      <c r="H425" s="5">
        <v>44799</v>
      </c>
      <c r="I425" s="5">
        <v>44833</v>
      </c>
      <c r="J425" s="1" t="s">
        <v>26</v>
      </c>
      <c r="K425" s="1" t="s">
        <v>1256</v>
      </c>
      <c r="L425" s="1" t="s">
        <v>1249</v>
      </c>
      <c r="M425" s="1" t="s">
        <v>1250</v>
      </c>
      <c r="N425" s="1" t="s">
        <v>38</v>
      </c>
      <c r="O425" s="1" t="s">
        <v>329</v>
      </c>
      <c r="P425" s="1" t="s">
        <v>1259</v>
      </c>
      <c r="Q425" s="1" t="s">
        <v>331</v>
      </c>
      <c r="R425" s="1" t="s">
        <v>732</v>
      </c>
      <c r="S425" s="1"/>
      <c r="U425" s="1" t="s">
        <v>35</v>
      </c>
      <c r="V425" s="1" t="s">
        <v>49</v>
      </c>
      <c r="W425" s="1" t="str">
        <f>VLOOKUP(Table1[[#This Row],[Obergruppe ATC-Code]],Tabelle3!$A$2:$B$100,2)</f>
        <v>ANTIHYPERTENSIVA</v>
      </c>
      <c r="X425" s="1" t="str">
        <f xml:space="preserve"> LEFT(Table1[[#This Row],[Atc Code]],3)</f>
        <v>C02</v>
      </c>
    </row>
    <row r="426" spans="1:24" ht="14.4">
      <c r="A426" s="14">
        <v>1970</v>
      </c>
      <c r="B426" s="24" t="s">
        <v>1258</v>
      </c>
      <c r="C426" s="1">
        <v>2101841</v>
      </c>
      <c r="D426" s="1" t="s">
        <v>25</v>
      </c>
      <c r="E426" s="36">
        <v>44872</v>
      </c>
      <c r="F426" s="36">
        <v>45124</v>
      </c>
      <c r="G426" s="38">
        <f t="shared" si="6"/>
        <v>252</v>
      </c>
      <c r="H426" s="5">
        <v>44873</v>
      </c>
      <c r="I426" s="5">
        <v>45124</v>
      </c>
      <c r="J426" s="1" t="s">
        <v>26</v>
      </c>
      <c r="K426" s="1" t="s">
        <v>1256</v>
      </c>
      <c r="L426" s="1" t="s">
        <v>1249</v>
      </c>
      <c r="M426" s="1" t="s">
        <v>1250</v>
      </c>
      <c r="N426" s="1" t="s">
        <v>30</v>
      </c>
      <c r="O426" s="1" t="s">
        <v>329</v>
      </c>
      <c r="P426" s="1" t="s">
        <v>1259</v>
      </c>
      <c r="Q426" s="1" t="s">
        <v>331</v>
      </c>
      <c r="R426" s="1" t="s">
        <v>26</v>
      </c>
      <c r="S426" s="1" t="s">
        <v>1260</v>
      </c>
      <c r="U426" s="1" t="s">
        <v>35</v>
      </c>
      <c r="V426" s="1" t="s">
        <v>49</v>
      </c>
      <c r="W426" s="1" t="str">
        <f>VLOOKUP(Table1[[#This Row],[Obergruppe ATC-Code]],Tabelle3!$A$2:$B$100,2)</f>
        <v>ANTIHYPERTENSIVA</v>
      </c>
      <c r="X426" s="1" t="str">
        <f xml:space="preserve"> LEFT(Table1[[#This Row],[Atc Code]],3)</f>
        <v>C02</v>
      </c>
    </row>
    <row r="427" spans="1:24" ht="14.4">
      <c r="A427" s="14">
        <v>1968</v>
      </c>
      <c r="B427" s="24" t="s">
        <v>1253</v>
      </c>
      <c r="C427" s="1">
        <v>2101839</v>
      </c>
      <c r="D427" s="1" t="s">
        <v>25</v>
      </c>
      <c r="E427" s="36">
        <v>44872</v>
      </c>
      <c r="F427" s="36">
        <v>45121</v>
      </c>
      <c r="G427" s="38">
        <f t="shared" si="6"/>
        <v>249</v>
      </c>
      <c r="H427" s="5">
        <v>44873</v>
      </c>
      <c r="I427" s="5">
        <v>45124</v>
      </c>
      <c r="J427" s="1" t="s">
        <v>26</v>
      </c>
      <c r="K427" s="1" t="s">
        <v>1248</v>
      </c>
      <c r="L427" s="1" t="s">
        <v>1249</v>
      </c>
      <c r="M427" s="1" t="s">
        <v>1250</v>
      </c>
      <c r="N427" s="1" t="s">
        <v>30</v>
      </c>
      <c r="O427" s="1" t="s">
        <v>329</v>
      </c>
      <c r="P427" s="1" t="s">
        <v>1259</v>
      </c>
      <c r="Q427" s="1" t="s">
        <v>331</v>
      </c>
      <c r="R427" s="1" t="s">
        <v>26</v>
      </c>
      <c r="S427" s="1"/>
      <c r="U427" s="1" t="s">
        <v>35</v>
      </c>
      <c r="V427" s="1" t="s">
        <v>49</v>
      </c>
      <c r="W427" s="1" t="str">
        <f>VLOOKUP(Table1[[#This Row],[Obergruppe ATC-Code]],Tabelle3!$A$2:$B$100,2)</f>
        <v>ANTIHYPERTENSIVA</v>
      </c>
      <c r="X427" s="1" t="str">
        <f xml:space="preserve"> LEFT(Table1[[#This Row],[Atc Code]],3)</f>
        <v>C02</v>
      </c>
    </row>
    <row r="428" spans="1:24" ht="14.4">
      <c r="A428" s="14">
        <v>1967</v>
      </c>
      <c r="B428" s="24" t="s">
        <v>1253</v>
      </c>
      <c r="C428" s="1">
        <v>2101839</v>
      </c>
      <c r="D428" s="1" t="s">
        <v>175</v>
      </c>
      <c r="E428" s="36">
        <v>45229</v>
      </c>
      <c r="F428" s="36">
        <v>45291</v>
      </c>
      <c r="G428" s="38">
        <f t="shared" si="6"/>
        <v>62</v>
      </c>
      <c r="H428" s="5">
        <v>45211</v>
      </c>
      <c r="I428" s="5">
        <v>45211</v>
      </c>
      <c r="J428" s="1" t="s">
        <v>41</v>
      </c>
      <c r="K428" s="1" t="s">
        <v>1248</v>
      </c>
      <c r="L428" s="1" t="s">
        <v>1249</v>
      </c>
      <c r="M428" s="1" t="s">
        <v>1250</v>
      </c>
      <c r="N428" s="1" t="s">
        <v>30</v>
      </c>
      <c r="O428" s="1" t="s">
        <v>329</v>
      </c>
      <c r="P428" s="1" t="s">
        <v>1259</v>
      </c>
      <c r="Q428" s="1" t="s">
        <v>331</v>
      </c>
      <c r="R428" s="1" t="s">
        <v>26</v>
      </c>
      <c r="S428" s="1"/>
      <c r="U428" s="1" t="s">
        <v>35</v>
      </c>
      <c r="V428" s="1" t="s">
        <v>49</v>
      </c>
      <c r="W428" s="1" t="str">
        <f>VLOOKUP(Table1[[#This Row],[Obergruppe ATC-Code]],Tabelle3!$A$2:$B$100,2)</f>
        <v>ANTIHYPERTENSIVA</v>
      </c>
      <c r="X428" s="1" t="str">
        <f xml:space="preserve"> LEFT(Table1[[#This Row],[Atc Code]],3)</f>
        <v>C02</v>
      </c>
    </row>
    <row r="429" spans="1:24" ht="14.4">
      <c r="A429" s="14">
        <v>3058</v>
      </c>
      <c r="B429" s="1">
        <v>345443</v>
      </c>
      <c r="C429" s="1">
        <v>2110001</v>
      </c>
      <c r="D429" s="1" t="s">
        <v>25</v>
      </c>
      <c r="E429" s="36">
        <v>42856</v>
      </c>
      <c r="F429" s="36">
        <v>42886</v>
      </c>
      <c r="G429" s="38">
        <f t="shared" si="6"/>
        <v>30</v>
      </c>
      <c r="H429" s="5">
        <v>42879</v>
      </c>
      <c r="I429" s="5">
        <v>42886</v>
      </c>
      <c r="J429" s="1" t="s">
        <v>26</v>
      </c>
      <c r="K429" s="1" t="s">
        <v>1261</v>
      </c>
      <c r="L429" s="1" t="s">
        <v>1262</v>
      </c>
      <c r="M429" s="1" t="s">
        <v>1263</v>
      </c>
      <c r="N429" s="1" t="s">
        <v>30</v>
      </c>
      <c r="O429" s="1" t="s">
        <v>177</v>
      </c>
      <c r="P429" s="1">
        <v>33426294000</v>
      </c>
      <c r="Q429" s="1" t="s">
        <v>1264</v>
      </c>
      <c r="R429" s="1" t="s">
        <v>33</v>
      </c>
      <c r="S429" s="1"/>
      <c r="U429" s="1" t="s">
        <v>35</v>
      </c>
      <c r="V429" s="1" t="s">
        <v>49</v>
      </c>
      <c r="W429" s="1" t="str">
        <f>VLOOKUP(Table1[[#This Row],[Obergruppe ATC-Code]],Tabelle3!$A$2:$B$100,2)</f>
        <v>DIURETIKA</v>
      </c>
      <c r="X429" s="1" t="str">
        <f xml:space="preserve"> LEFT(Table1[[#This Row],[Atc Code]],3)</f>
        <v>C03</v>
      </c>
    </row>
    <row r="430" spans="1:24" ht="14.4">
      <c r="A430" s="14">
        <v>2835</v>
      </c>
      <c r="B430" s="24" t="s">
        <v>1265</v>
      </c>
      <c r="C430" s="1">
        <v>2107704</v>
      </c>
      <c r="D430" s="1" t="s">
        <v>25</v>
      </c>
      <c r="E430" s="36">
        <v>43497</v>
      </c>
      <c r="F430" s="36">
        <v>43524</v>
      </c>
      <c r="G430" s="38">
        <f t="shared" si="6"/>
        <v>27</v>
      </c>
      <c r="H430" s="5">
        <v>43501</v>
      </c>
      <c r="I430" s="5">
        <v>43536</v>
      </c>
      <c r="J430" s="1" t="s">
        <v>41</v>
      </c>
      <c r="K430" s="1" t="s">
        <v>1266</v>
      </c>
      <c r="L430" s="1" t="s">
        <v>1267</v>
      </c>
      <c r="M430" s="1" t="s">
        <v>1268</v>
      </c>
      <c r="N430" s="1" t="s">
        <v>38</v>
      </c>
      <c r="O430" s="1" t="s">
        <v>396</v>
      </c>
      <c r="P430" s="1" t="s">
        <v>1269</v>
      </c>
      <c r="Q430" s="1" t="s">
        <v>1270</v>
      </c>
      <c r="R430" s="1" t="s">
        <v>26</v>
      </c>
      <c r="S430" s="1"/>
      <c r="U430" s="1" t="s">
        <v>35</v>
      </c>
      <c r="V430" s="1" t="s">
        <v>49</v>
      </c>
      <c r="W430" s="1" t="str">
        <f>VLOOKUP(Table1[[#This Row],[Obergruppe ATC-Code]],Tabelle3!$A$2:$B$100,2)</f>
        <v>DIURETIKA</v>
      </c>
      <c r="X430" s="1" t="str">
        <f xml:space="preserve"> LEFT(Table1[[#This Row],[Atc Code]],3)</f>
        <v>C03</v>
      </c>
    </row>
    <row r="431" spans="1:24" ht="14.4">
      <c r="A431" s="14">
        <v>2833</v>
      </c>
      <c r="B431" s="24" t="s">
        <v>1271</v>
      </c>
      <c r="C431" s="1">
        <v>2107703</v>
      </c>
      <c r="D431" s="1" t="s">
        <v>25</v>
      </c>
      <c r="E431" s="36">
        <v>43497</v>
      </c>
      <c r="F431" s="36">
        <v>43524</v>
      </c>
      <c r="G431" s="38">
        <f t="shared" si="6"/>
        <v>27</v>
      </c>
      <c r="H431" s="5">
        <v>43501</v>
      </c>
      <c r="I431" s="5">
        <v>43536</v>
      </c>
      <c r="J431" s="1" t="s">
        <v>41</v>
      </c>
      <c r="K431" s="1" t="s">
        <v>1272</v>
      </c>
      <c r="L431" s="1" t="s">
        <v>1267</v>
      </c>
      <c r="M431" s="1" t="s">
        <v>1268</v>
      </c>
      <c r="N431" s="1" t="s">
        <v>38</v>
      </c>
      <c r="O431" s="1" t="s">
        <v>396</v>
      </c>
      <c r="P431" s="1" t="s">
        <v>1269</v>
      </c>
      <c r="Q431" s="1" t="s">
        <v>1270</v>
      </c>
      <c r="R431" s="1" t="s">
        <v>26</v>
      </c>
      <c r="S431" s="1"/>
      <c r="U431" s="1" t="s">
        <v>57</v>
      </c>
      <c r="V431" s="1" t="s">
        <v>49</v>
      </c>
      <c r="W431" s="1" t="str">
        <f>VLOOKUP(Table1[[#This Row],[Obergruppe ATC-Code]],Tabelle3!$A$2:$B$100,2)</f>
        <v>DIURETIKA</v>
      </c>
      <c r="X431" s="1" t="str">
        <f xml:space="preserve"> LEFT(Table1[[#This Row],[Atc Code]],3)</f>
        <v>C03</v>
      </c>
    </row>
    <row r="432" spans="1:24" ht="14.4">
      <c r="A432" s="14">
        <v>2832</v>
      </c>
      <c r="B432" s="24" t="s">
        <v>1271</v>
      </c>
      <c r="C432" s="1">
        <v>2107703</v>
      </c>
      <c r="D432" s="1" t="s">
        <v>25</v>
      </c>
      <c r="E432" s="36">
        <v>43556</v>
      </c>
      <c r="F432" s="36">
        <v>43585</v>
      </c>
      <c r="G432" s="38">
        <f t="shared" si="6"/>
        <v>29</v>
      </c>
      <c r="H432" s="5">
        <v>43553</v>
      </c>
      <c r="I432" s="5">
        <v>43579</v>
      </c>
      <c r="J432" s="1" t="s">
        <v>41</v>
      </c>
      <c r="K432" s="1" t="s">
        <v>1272</v>
      </c>
      <c r="L432" s="1" t="s">
        <v>1267</v>
      </c>
      <c r="M432" s="1" t="s">
        <v>1268</v>
      </c>
      <c r="N432" s="1" t="s">
        <v>38</v>
      </c>
      <c r="O432" s="1" t="s">
        <v>396</v>
      </c>
      <c r="P432" s="1" t="s">
        <v>1269</v>
      </c>
      <c r="Q432" s="1" t="s">
        <v>1270</v>
      </c>
      <c r="R432" s="1" t="s">
        <v>26</v>
      </c>
      <c r="S432" s="1"/>
      <c r="U432" s="1" t="s">
        <v>35</v>
      </c>
      <c r="V432" s="1" t="s">
        <v>49</v>
      </c>
      <c r="W432" s="1" t="str">
        <f>VLOOKUP(Table1[[#This Row],[Obergruppe ATC-Code]],Tabelle3!$A$2:$B$100,2)</f>
        <v>DIURETIKA</v>
      </c>
      <c r="X432" s="1" t="str">
        <f xml:space="preserve"> LEFT(Table1[[#This Row],[Atc Code]],3)</f>
        <v>C03</v>
      </c>
    </row>
    <row r="433" spans="1:24" ht="14.4">
      <c r="A433" s="14">
        <v>2834</v>
      </c>
      <c r="B433" s="24" t="s">
        <v>1265</v>
      </c>
      <c r="C433" s="1">
        <v>2107704</v>
      </c>
      <c r="D433" s="1" t="s">
        <v>25</v>
      </c>
      <c r="E433" s="36">
        <v>43556</v>
      </c>
      <c r="F433" s="36">
        <v>43646</v>
      </c>
      <c r="G433" s="38">
        <f t="shared" si="6"/>
        <v>90</v>
      </c>
      <c r="H433" s="5">
        <v>43553</v>
      </c>
      <c r="I433" s="5">
        <v>43620</v>
      </c>
      <c r="J433" s="1" t="s">
        <v>41</v>
      </c>
      <c r="K433" s="1" t="s">
        <v>1266</v>
      </c>
      <c r="L433" s="1" t="s">
        <v>1267</v>
      </c>
      <c r="M433" s="1" t="s">
        <v>1268</v>
      </c>
      <c r="N433" s="1" t="s">
        <v>38</v>
      </c>
      <c r="O433" s="1" t="s">
        <v>396</v>
      </c>
      <c r="P433" s="1" t="s">
        <v>1269</v>
      </c>
      <c r="Q433" s="1" t="s">
        <v>1270</v>
      </c>
      <c r="R433" s="1" t="s">
        <v>26</v>
      </c>
      <c r="S433" s="1"/>
      <c r="U433" s="1" t="s">
        <v>35</v>
      </c>
      <c r="V433" s="1" t="s">
        <v>49</v>
      </c>
      <c r="W433" s="1" t="str">
        <f>VLOOKUP(Table1[[#This Row],[Obergruppe ATC-Code]],Tabelle3!$A$2:$B$100,2)</f>
        <v>DIURETIKA</v>
      </c>
      <c r="X433" s="1" t="str">
        <f xml:space="preserve"> LEFT(Table1[[#This Row],[Atc Code]],3)</f>
        <v>C03</v>
      </c>
    </row>
    <row r="434" spans="1:24" ht="14.4">
      <c r="A434" s="14">
        <v>1853</v>
      </c>
      <c r="B434" s="24" t="s">
        <v>1273</v>
      </c>
      <c r="C434" s="1">
        <v>2153823</v>
      </c>
      <c r="D434" s="1" t="s">
        <v>25</v>
      </c>
      <c r="E434" s="36">
        <v>43862</v>
      </c>
      <c r="F434" s="36">
        <v>43921</v>
      </c>
      <c r="G434" s="38">
        <f t="shared" si="6"/>
        <v>59</v>
      </c>
      <c r="H434" s="5">
        <v>43878</v>
      </c>
      <c r="I434" s="5">
        <v>43894</v>
      </c>
      <c r="J434" s="1" t="s">
        <v>41</v>
      </c>
      <c r="K434" s="1" t="s">
        <v>1274</v>
      </c>
      <c r="L434" s="1" t="s">
        <v>1275</v>
      </c>
      <c r="M434" s="1" t="s">
        <v>1276</v>
      </c>
      <c r="N434" s="1" t="s">
        <v>30</v>
      </c>
      <c r="O434" s="1" t="s">
        <v>1277</v>
      </c>
      <c r="P434" s="1" t="s">
        <v>1278</v>
      </c>
      <c r="Q434" s="1" t="s">
        <v>1279</v>
      </c>
      <c r="R434" s="1" t="s">
        <v>26</v>
      </c>
      <c r="S434" s="1"/>
      <c r="U434" s="1" t="s">
        <v>35</v>
      </c>
      <c r="V434" s="1" t="s">
        <v>49</v>
      </c>
      <c r="W434" s="1" t="str">
        <f>VLOOKUP(Table1[[#This Row],[Obergruppe ATC-Code]],Tabelle3!$A$2:$B$100,2)</f>
        <v>DIURETIKA</v>
      </c>
      <c r="X434" s="1" t="str">
        <f xml:space="preserve"> LEFT(Table1[[#This Row],[Atc Code]],3)</f>
        <v>C03</v>
      </c>
    </row>
    <row r="435" spans="1:24" ht="14.4">
      <c r="A435" s="14">
        <v>2641</v>
      </c>
      <c r="B435" s="24" t="s">
        <v>1280</v>
      </c>
      <c r="C435" s="1">
        <v>2126346</v>
      </c>
      <c r="D435" s="1" t="s">
        <v>25</v>
      </c>
      <c r="E435" s="36">
        <v>43525</v>
      </c>
      <c r="F435" s="36">
        <v>43951</v>
      </c>
      <c r="G435" s="38">
        <f t="shared" si="6"/>
        <v>426</v>
      </c>
      <c r="H435" s="5">
        <v>43543</v>
      </c>
      <c r="I435" s="5">
        <v>43923</v>
      </c>
      <c r="J435" s="1" t="s">
        <v>41</v>
      </c>
      <c r="K435" s="1" t="s">
        <v>1281</v>
      </c>
      <c r="L435" s="1" t="s">
        <v>1282</v>
      </c>
      <c r="M435" s="1" t="s">
        <v>1283</v>
      </c>
      <c r="N435" s="1" t="s">
        <v>30</v>
      </c>
      <c r="O435" s="1" t="s">
        <v>1284</v>
      </c>
      <c r="P435" s="1" t="s">
        <v>1285</v>
      </c>
      <c r="Q435" s="1" t="s">
        <v>1286</v>
      </c>
      <c r="R435" s="1" t="s">
        <v>48</v>
      </c>
      <c r="S435" s="1"/>
      <c r="U435" s="1" t="s">
        <v>35</v>
      </c>
      <c r="V435" s="1" t="s">
        <v>262</v>
      </c>
      <c r="W435" s="1" t="str">
        <f>VLOOKUP(Table1[[#This Row],[Obergruppe ATC-Code]],Tabelle3!$A$2:$B$100,2)</f>
        <v>DIURETIKA</v>
      </c>
      <c r="X435" s="1" t="str">
        <f xml:space="preserve"> LEFT(Table1[[#This Row],[Atc Code]],3)</f>
        <v>C03</v>
      </c>
    </row>
    <row r="436" spans="1:24" ht="14.4">
      <c r="A436" s="14">
        <v>693</v>
      </c>
      <c r="B436" s="24">
        <v>4686299</v>
      </c>
      <c r="C436" s="1">
        <v>2135018</v>
      </c>
      <c r="D436" s="1" t="s">
        <v>25</v>
      </c>
      <c r="E436" s="36">
        <v>42917</v>
      </c>
      <c r="F436" s="36">
        <v>43039</v>
      </c>
      <c r="G436" s="38">
        <f t="shared" si="6"/>
        <v>122</v>
      </c>
      <c r="H436" s="5">
        <v>42958</v>
      </c>
      <c r="I436" s="5">
        <v>43019</v>
      </c>
      <c r="J436" s="1" t="s">
        <v>26</v>
      </c>
      <c r="K436" s="1" t="s">
        <v>1287</v>
      </c>
      <c r="L436" s="1" t="s">
        <v>1288</v>
      </c>
      <c r="M436" s="1" t="s">
        <v>1289</v>
      </c>
      <c r="N436" s="1" t="s">
        <v>30</v>
      </c>
      <c r="O436" s="1" t="s">
        <v>62</v>
      </c>
      <c r="P436" s="1" t="s">
        <v>63</v>
      </c>
      <c r="Q436" s="1" t="s">
        <v>64</v>
      </c>
      <c r="R436" s="1" t="s">
        <v>33</v>
      </c>
      <c r="S436" s="1"/>
      <c r="U436" s="1" t="s">
        <v>35</v>
      </c>
      <c r="V436" s="1" t="s">
        <v>74</v>
      </c>
      <c r="W436" s="1" t="str">
        <f>VLOOKUP(Table1[[#This Row],[Obergruppe ATC-Code]],Tabelle3!$A$2:$B$100,2)</f>
        <v>DIURETIKA</v>
      </c>
      <c r="X436" s="1" t="str">
        <f xml:space="preserve"> LEFT(Table1[[#This Row],[Atc Code]],3)</f>
        <v>C03</v>
      </c>
    </row>
    <row r="437" spans="1:24" ht="14.4">
      <c r="A437" s="14">
        <v>690</v>
      </c>
      <c r="B437" s="24">
        <v>4661336</v>
      </c>
      <c r="C437" s="1">
        <v>2112043</v>
      </c>
      <c r="D437" s="1" t="s">
        <v>25</v>
      </c>
      <c r="E437" s="36">
        <v>44791</v>
      </c>
      <c r="F437" s="36">
        <v>44853</v>
      </c>
      <c r="G437" s="38">
        <f t="shared" si="6"/>
        <v>62</v>
      </c>
      <c r="H437" s="5">
        <v>44791</v>
      </c>
      <c r="I437" s="5">
        <v>44853</v>
      </c>
      <c r="J437" s="1" t="s">
        <v>26</v>
      </c>
      <c r="K437" s="1" t="s">
        <v>1290</v>
      </c>
      <c r="L437" s="1" t="s">
        <v>1288</v>
      </c>
      <c r="M437" s="1" t="s">
        <v>1289</v>
      </c>
      <c r="N437" s="1" t="s">
        <v>30</v>
      </c>
      <c r="O437" s="1" t="s">
        <v>62</v>
      </c>
      <c r="P437" s="1">
        <v>8005252010</v>
      </c>
      <c r="Q437" s="1" t="s">
        <v>881</v>
      </c>
      <c r="R437" s="1" t="s">
        <v>26</v>
      </c>
      <c r="S437" s="1" t="s">
        <v>1291</v>
      </c>
      <c r="U437" s="1" t="s">
        <v>35</v>
      </c>
      <c r="V437" s="1" t="s">
        <v>1292</v>
      </c>
      <c r="W437" s="1" t="str">
        <f>VLOOKUP(Table1[[#This Row],[Obergruppe ATC-Code]],Tabelle3!$A$2:$B$100,2)</f>
        <v>DIURETIKA</v>
      </c>
      <c r="X437" s="1" t="str">
        <f xml:space="preserve"> LEFT(Table1[[#This Row],[Atc Code]],3)</f>
        <v>C03</v>
      </c>
    </row>
    <row r="438" spans="1:24" ht="14.4">
      <c r="A438" s="14">
        <v>694</v>
      </c>
      <c r="B438" s="24">
        <v>4686299</v>
      </c>
      <c r="C438" s="1">
        <v>2135018</v>
      </c>
      <c r="D438" s="1" t="s">
        <v>25</v>
      </c>
      <c r="E438" s="36">
        <v>44895</v>
      </c>
      <c r="F438" s="36">
        <v>44966</v>
      </c>
      <c r="G438" s="38">
        <f t="shared" si="6"/>
        <v>71</v>
      </c>
      <c r="H438" s="5">
        <v>44897</v>
      </c>
      <c r="I438" s="5">
        <v>44966</v>
      </c>
      <c r="J438" s="1" t="s">
        <v>26</v>
      </c>
      <c r="K438" s="1" t="s">
        <v>1287</v>
      </c>
      <c r="L438" s="1" t="s">
        <v>1288</v>
      </c>
      <c r="M438" s="1" t="s">
        <v>1289</v>
      </c>
      <c r="N438" s="1" t="s">
        <v>30</v>
      </c>
      <c r="O438" s="1" t="s">
        <v>62</v>
      </c>
      <c r="P438" s="1">
        <v>8005252010</v>
      </c>
      <c r="Q438" s="1" t="s">
        <v>64</v>
      </c>
      <c r="R438" s="1" t="s">
        <v>26</v>
      </c>
      <c r="S438" s="1" t="s">
        <v>1293</v>
      </c>
      <c r="U438" s="1" t="s">
        <v>35</v>
      </c>
      <c r="V438" s="1" t="s">
        <v>74</v>
      </c>
      <c r="W438" s="1" t="str">
        <f>VLOOKUP(Table1[[#This Row],[Obergruppe ATC-Code]],Tabelle3!$A$2:$B$100,2)</f>
        <v>DIURETIKA</v>
      </c>
      <c r="X438" s="1" t="str">
        <f xml:space="preserve"> LEFT(Table1[[#This Row],[Atc Code]],3)</f>
        <v>C03</v>
      </c>
    </row>
    <row r="439" spans="1:24" ht="14.4">
      <c r="A439" s="14">
        <v>1874</v>
      </c>
      <c r="B439" s="24" t="s">
        <v>1294</v>
      </c>
      <c r="C439" s="1">
        <v>132227</v>
      </c>
      <c r="D439" s="1" t="s">
        <v>25</v>
      </c>
      <c r="E439" s="36">
        <v>44972</v>
      </c>
      <c r="F439" s="36">
        <v>45057</v>
      </c>
      <c r="G439" s="38">
        <f t="shared" si="6"/>
        <v>85</v>
      </c>
      <c r="H439" s="5">
        <v>44980</v>
      </c>
      <c r="I439" s="5">
        <v>45058</v>
      </c>
      <c r="J439" s="1" t="s">
        <v>26</v>
      </c>
      <c r="K439" s="1" t="s">
        <v>1295</v>
      </c>
      <c r="L439" s="1" t="s">
        <v>1288</v>
      </c>
      <c r="M439" s="1" t="s">
        <v>1296</v>
      </c>
      <c r="N439" s="1" t="s">
        <v>30</v>
      </c>
      <c r="O439" s="1" t="s">
        <v>62</v>
      </c>
      <c r="P439" s="1" t="s">
        <v>63</v>
      </c>
      <c r="Q439" s="1" t="s">
        <v>64</v>
      </c>
      <c r="R439" s="1" t="s">
        <v>26</v>
      </c>
      <c r="S439" s="1"/>
      <c r="U439" s="1" t="s">
        <v>35</v>
      </c>
      <c r="V439" s="1" t="s">
        <v>49</v>
      </c>
      <c r="W439" s="1" t="str">
        <f>VLOOKUP(Table1[[#This Row],[Obergruppe ATC-Code]],Tabelle3!$A$2:$B$100,2)</f>
        <v>DIURETIKA</v>
      </c>
      <c r="X439" s="1" t="str">
        <f xml:space="preserve"> LEFT(Table1[[#This Row],[Atc Code]],3)</f>
        <v>C03</v>
      </c>
    </row>
    <row r="440" spans="1:24" ht="14.4">
      <c r="A440" s="14">
        <v>420</v>
      </c>
      <c r="B440" s="24">
        <v>2510969</v>
      </c>
      <c r="C440" s="1">
        <v>132196</v>
      </c>
      <c r="D440" s="1" t="s">
        <v>25</v>
      </c>
      <c r="E440" s="36">
        <v>44972</v>
      </c>
      <c r="F440" s="36">
        <v>45057</v>
      </c>
      <c r="G440" s="38">
        <f t="shared" si="6"/>
        <v>85</v>
      </c>
      <c r="H440" s="5">
        <v>44980</v>
      </c>
      <c r="I440" s="5">
        <v>45058</v>
      </c>
      <c r="J440" s="1" t="s">
        <v>26</v>
      </c>
      <c r="K440" s="1" t="s">
        <v>1297</v>
      </c>
      <c r="L440" s="1" t="s">
        <v>1288</v>
      </c>
      <c r="M440" s="1" t="s">
        <v>1296</v>
      </c>
      <c r="N440" s="1" t="s">
        <v>30</v>
      </c>
      <c r="O440" s="1" t="s">
        <v>62</v>
      </c>
      <c r="P440" s="1" t="s">
        <v>63</v>
      </c>
      <c r="Q440" s="1" t="s">
        <v>64</v>
      </c>
      <c r="R440" s="1" t="s">
        <v>26</v>
      </c>
      <c r="S440" s="1"/>
      <c r="U440" s="1" t="s">
        <v>35</v>
      </c>
      <c r="V440" s="1" t="s">
        <v>49</v>
      </c>
      <c r="W440" s="1" t="str">
        <f>VLOOKUP(Table1[[#This Row],[Obergruppe ATC-Code]],Tabelle3!$A$2:$B$100,2)</f>
        <v>DIURETIKA</v>
      </c>
      <c r="X440" s="1" t="str">
        <f xml:space="preserve"> LEFT(Table1[[#This Row],[Atc Code]],3)</f>
        <v>C03</v>
      </c>
    </row>
    <row r="441" spans="1:24" ht="14.4">
      <c r="A441" s="14">
        <v>923</v>
      </c>
      <c r="B441" s="24">
        <v>7605953</v>
      </c>
      <c r="C441" s="1">
        <v>2136544</v>
      </c>
      <c r="D441" s="1" t="s">
        <v>25</v>
      </c>
      <c r="E441" s="36">
        <v>45033</v>
      </c>
      <c r="F441" s="36">
        <v>45125</v>
      </c>
      <c r="G441" s="38">
        <f t="shared" si="6"/>
        <v>92</v>
      </c>
      <c r="H441" s="5">
        <v>45033</v>
      </c>
      <c r="I441" s="5">
        <v>45125</v>
      </c>
      <c r="J441" s="1" t="s">
        <v>41</v>
      </c>
      <c r="K441" s="1" t="s">
        <v>1298</v>
      </c>
      <c r="L441" s="1" t="s">
        <v>1288</v>
      </c>
      <c r="M441" s="1" t="s">
        <v>1296</v>
      </c>
      <c r="N441" s="1" t="s">
        <v>30</v>
      </c>
      <c r="O441" s="1" t="s">
        <v>45</v>
      </c>
      <c r="P441" s="1" t="s">
        <v>1299</v>
      </c>
      <c r="Q441" s="1" t="s">
        <v>1300</v>
      </c>
      <c r="R441" s="1" t="s">
        <v>128</v>
      </c>
      <c r="S441" s="1"/>
      <c r="U441" s="1" t="s">
        <v>130</v>
      </c>
      <c r="V441" s="1" t="s">
        <v>74</v>
      </c>
      <c r="W441" s="1" t="str">
        <f>VLOOKUP(Table1[[#This Row],[Obergruppe ATC-Code]],Tabelle3!$A$2:$B$100,2)</f>
        <v>DIURETIKA</v>
      </c>
      <c r="X441" s="1" t="str">
        <f xml:space="preserve"> LEFT(Table1[[#This Row],[Atc Code]],3)</f>
        <v>C03</v>
      </c>
    </row>
    <row r="442" spans="1:24" ht="14.4">
      <c r="A442" s="14">
        <v>260</v>
      </c>
      <c r="B442" s="24">
        <v>1479542</v>
      </c>
      <c r="C442" s="1">
        <v>2105941</v>
      </c>
      <c r="D442" s="1" t="s">
        <v>25</v>
      </c>
      <c r="E442" s="36">
        <v>45033</v>
      </c>
      <c r="F442" s="36">
        <v>45125</v>
      </c>
      <c r="G442" s="38">
        <f t="shared" si="6"/>
        <v>92</v>
      </c>
      <c r="H442" s="5">
        <v>45033</v>
      </c>
      <c r="I442" s="5">
        <v>45125</v>
      </c>
      <c r="J442" s="1" t="s">
        <v>41</v>
      </c>
      <c r="K442" s="1" t="s">
        <v>1301</v>
      </c>
      <c r="L442" s="1" t="s">
        <v>1288</v>
      </c>
      <c r="M442" s="1" t="s">
        <v>1289</v>
      </c>
      <c r="N442" s="1" t="s">
        <v>30</v>
      </c>
      <c r="O442" s="1" t="s">
        <v>45</v>
      </c>
      <c r="P442" s="1" t="s">
        <v>1299</v>
      </c>
      <c r="Q442" s="1" t="s">
        <v>1300</v>
      </c>
      <c r="R442" s="1" t="s">
        <v>128</v>
      </c>
      <c r="S442" s="1"/>
      <c r="U442" s="1" t="s">
        <v>130</v>
      </c>
      <c r="V442" s="1" t="s">
        <v>648</v>
      </c>
      <c r="W442" s="1" t="str">
        <f>VLOOKUP(Table1[[#This Row],[Obergruppe ATC-Code]],Tabelle3!$A$2:$B$100,2)</f>
        <v>DIURETIKA</v>
      </c>
      <c r="X442" s="1" t="str">
        <f xml:space="preserve"> LEFT(Table1[[#This Row],[Atc Code]],3)</f>
        <v>C03</v>
      </c>
    </row>
    <row r="443" spans="1:24" ht="14.4">
      <c r="A443" s="14">
        <v>692</v>
      </c>
      <c r="B443" s="24">
        <v>4686276</v>
      </c>
      <c r="C443" s="1">
        <v>132084</v>
      </c>
      <c r="D443" s="1" t="s">
        <v>175</v>
      </c>
      <c r="E443" s="36">
        <v>45153</v>
      </c>
      <c r="F443" s="36">
        <v>45226</v>
      </c>
      <c r="G443" s="38">
        <f t="shared" si="6"/>
        <v>73</v>
      </c>
      <c r="H443" s="5">
        <v>45153</v>
      </c>
      <c r="I443" s="5">
        <v>45153</v>
      </c>
      <c r="J443" s="1" t="s">
        <v>26</v>
      </c>
      <c r="K443" s="1" t="s">
        <v>1302</v>
      </c>
      <c r="L443" s="1" t="s">
        <v>1288</v>
      </c>
      <c r="M443" s="1" t="s">
        <v>1289</v>
      </c>
      <c r="N443" s="1" t="s">
        <v>30</v>
      </c>
      <c r="O443" s="1" t="s">
        <v>62</v>
      </c>
      <c r="P443" s="1">
        <v>8005252010</v>
      </c>
      <c r="Q443" s="1" t="s">
        <v>64</v>
      </c>
      <c r="R443" s="1" t="s">
        <v>26</v>
      </c>
      <c r="S443" s="1" t="s">
        <v>421</v>
      </c>
      <c r="U443" s="1" t="s">
        <v>35</v>
      </c>
      <c r="V443" s="1" t="s">
        <v>74</v>
      </c>
      <c r="W443" s="1" t="str">
        <f>VLOOKUP(Table1[[#This Row],[Obergruppe ATC-Code]],Tabelle3!$A$2:$B$100,2)</f>
        <v>DIURETIKA</v>
      </c>
      <c r="X443" s="1" t="str">
        <f xml:space="preserve"> LEFT(Table1[[#This Row],[Atc Code]],3)</f>
        <v>C03</v>
      </c>
    </row>
    <row r="444" spans="1:24" ht="14.4">
      <c r="A444" s="14">
        <v>1775</v>
      </c>
      <c r="B444" s="24" t="s">
        <v>1303</v>
      </c>
      <c r="C444" s="1">
        <v>2158033</v>
      </c>
      <c r="D444" s="1" t="s">
        <v>25</v>
      </c>
      <c r="E444" s="36">
        <v>44981</v>
      </c>
      <c r="F444" s="36">
        <v>45048</v>
      </c>
      <c r="G444" s="38">
        <f t="shared" si="6"/>
        <v>67</v>
      </c>
      <c r="H444" s="5">
        <v>44981</v>
      </c>
      <c r="I444" s="5">
        <v>45048</v>
      </c>
      <c r="J444" s="1" t="s">
        <v>26</v>
      </c>
      <c r="K444" s="1" t="s">
        <v>1304</v>
      </c>
      <c r="L444" s="1" t="s">
        <v>1305</v>
      </c>
      <c r="M444" s="1" t="s">
        <v>1306</v>
      </c>
      <c r="N444" s="1" t="s">
        <v>38</v>
      </c>
      <c r="O444" s="1" t="s">
        <v>52</v>
      </c>
      <c r="Q444" s="1" t="s">
        <v>54</v>
      </c>
      <c r="R444" s="1" t="s">
        <v>113</v>
      </c>
      <c r="S444" s="1"/>
      <c r="U444" s="1" t="s">
        <v>130</v>
      </c>
      <c r="V444" s="1" t="s">
        <v>49</v>
      </c>
      <c r="W444" s="1" t="str">
        <f>VLOOKUP(Table1[[#This Row],[Obergruppe ATC-Code]],Tabelle3!$A$2:$B$100,2)</f>
        <v>DIURETIKA</v>
      </c>
      <c r="X444" s="1" t="str">
        <f xml:space="preserve"> LEFT(Table1[[#This Row],[Atc Code]],3)</f>
        <v>C03</v>
      </c>
    </row>
    <row r="445" spans="1:24" ht="14.4">
      <c r="A445" s="14">
        <v>2205</v>
      </c>
      <c r="B445" s="24" t="s">
        <v>1307</v>
      </c>
      <c r="C445" s="1">
        <v>2161090</v>
      </c>
      <c r="D445" s="1" t="s">
        <v>25</v>
      </c>
      <c r="E445" s="36">
        <v>44981</v>
      </c>
      <c r="F445" s="36">
        <v>45141</v>
      </c>
      <c r="G445" s="38">
        <f t="shared" si="6"/>
        <v>160</v>
      </c>
      <c r="H445" s="5">
        <v>44981</v>
      </c>
      <c r="I445" s="5">
        <v>45141</v>
      </c>
      <c r="J445" s="1" t="s">
        <v>26</v>
      </c>
      <c r="K445" s="1" t="s">
        <v>1308</v>
      </c>
      <c r="L445" s="1" t="s">
        <v>1305</v>
      </c>
      <c r="M445" s="1" t="s">
        <v>1306</v>
      </c>
      <c r="N445" s="1" t="s">
        <v>38</v>
      </c>
      <c r="O445" s="1" t="s">
        <v>52</v>
      </c>
      <c r="Q445" s="1" t="s">
        <v>54</v>
      </c>
      <c r="R445" s="1" t="s">
        <v>113</v>
      </c>
      <c r="S445" s="1"/>
      <c r="U445" s="1" t="s">
        <v>130</v>
      </c>
      <c r="V445" s="1" t="s">
        <v>49</v>
      </c>
      <c r="W445" s="1" t="str">
        <f>VLOOKUP(Table1[[#This Row],[Obergruppe ATC-Code]],Tabelle3!$A$2:$B$100,2)</f>
        <v>DIURETIKA</v>
      </c>
      <c r="X445" s="1" t="str">
        <f xml:space="preserve"> LEFT(Table1[[#This Row],[Atc Code]],3)</f>
        <v>C03</v>
      </c>
    </row>
    <row r="446" spans="1:24" ht="14.4">
      <c r="A446" s="14">
        <v>2065</v>
      </c>
      <c r="B446" s="24" t="s">
        <v>1309</v>
      </c>
      <c r="C446" s="1">
        <v>2161093</v>
      </c>
      <c r="D446" s="1" t="s">
        <v>25</v>
      </c>
      <c r="E446" s="36">
        <v>44981</v>
      </c>
      <c r="F446" s="36">
        <v>45141</v>
      </c>
      <c r="G446" s="38">
        <f t="shared" si="6"/>
        <v>160</v>
      </c>
      <c r="H446" s="5">
        <v>44981</v>
      </c>
      <c r="I446" s="5">
        <v>45141</v>
      </c>
      <c r="J446" s="1" t="s">
        <v>26</v>
      </c>
      <c r="K446" s="1" t="s">
        <v>1310</v>
      </c>
      <c r="L446" s="1" t="s">
        <v>1305</v>
      </c>
      <c r="M446" s="1" t="s">
        <v>1306</v>
      </c>
      <c r="N446" s="1" t="s">
        <v>38</v>
      </c>
      <c r="O446" s="1" t="s">
        <v>91</v>
      </c>
      <c r="Q446" s="1" t="s">
        <v>93</v>
      </c>
      <c r="R446" s="1" t="s">
        <v>113</v>
      </c>
      <c r="S446" s="1"/>
      <c r="U446" s="1" t="s">
        <v>130</v>
      </c>
      <c r="V446" s="1" t="s">
        <v>49</v>
      </c>
      <c r="W446" s="1" t="str">
        <f>VLOOKUP(Table1[[#This Row],[Obergruppe ATC-Code]],Tabelle3!$A$2:$B$100,2)</f>
        <v>DIURETIKA</v>
      </c>
      <c r="X446" s="1" t="str">
        <f xml:space="preserve"> LEFT(Table1[[#This Row],[Atc Code]],3)</f>
        <v>C03</v>
      </c>
    </row>
    <row r="447" spans="1:24" ht="14.4">
      <c r="A447" s="14">
        <v>1776</v>
      </c>
      <c r="B447" s="24" t="s">
        <v>1311</v>
      </c>
      <c r="C447" s="1">
        <v>2161091</v>
      </c>
      <c r="D447" s="1" t="s">
        <v>25</v>
      </c>
      <c r="E447" s="36">
        <v>44981</v>
      </c>
      <c r="F447" s="36">
        <v>45141</v>
      </c>
      <c r="G447" s="38">
        <f t="shared" si="6"/>
        <v>160</v>
      </c>
      <c r="H447" s="5">
        <v>44981</v>
      </c>
      <c r="I447" s="5">
        <v>45141</v>
      </c>
      <c r="J447" s="1" t="s">
        <v>26</v>
      </c>
      <c r="K447" s="1" t="s">
        <v>1312</v>
      </c>
      <c r="L447" s="1" t="s">
        <v>1305</v>
      </c>
      <c r="M447" s="1" t="s">
        <v>1306</v>
      </c>
      <c r="N447" s="1" t="s">
        <v>38</v>
      </c>
      <c r="O447" s="1" t="s">
        <v>52</v>
      </c>
      <c r="Q447" s="1" t="s">
        <v>54</v>
      </c>
      <c r="R447" s="1" t="s">
        <v>113</v>
      </c>
      <c r="S447" s="1"/>
      <c r="U447" s="1" t="s">
        <v>130</v>
      </c>
      <c r="V447" s="1" t="s">
        <v>49</v>
      </c>
      <c r="W447" s="1" t="str">
        <f>VLOOKUP(Table1[[#This Row],[Obergruppe ATC-Code]],Tabelle3!$A$2:$B$100,2)</f>
        <v>DIURETIKA</v>
      </c>
      <c r="X447" s="1" t="str">
        <f xml:space="preserve"> LEFT(Table1[[#This Row],[Atc Code]],3)</f>
        <v>C03</v>
      </c>
    </row>
    <row r="448" spans="1:24" ht="14.4">
      <c r="A448" s="14">
        <v>2206</v>
      </c>
      <c r="B448" s="24" t="s">
        <v>1313</v>
      </c>
      <c r="C448" s="1">
        <v>2161089</v>
      </c>
      <c r="D448" s="1" t="s">
        <v>25</v>
      </c>
      <c r="E448" s="36">
        <v>44981</v>
      </c>
      <c r="F448" s="36">
        <v>45156</v>
      </c>
      <c r="G448" s="38">
        <f t="shared" si="6"/>
        <v>175</v>
      </c>
      <c r="H448" s="5">
        <v>44981</v>
      </c>
      <c r="I448" s="5">
        <v>45156</v>
      </c>
      <c r="J448" s="1" t="s">
        <v>26</v>
      </c>
      <c r="K448" s="1" t="s">
        <v>1314</v>
      </c>
      <c r="L448" s="1" t="s">
        <v>1305</v>
      </c>
      <c r="M448" s="1" t="s">
        <v>1306</v>
      </c>
      <c r="N448" s="1" t="s">
        <v>38</v>
      </c>
      <c r="O448" s="1" t="s">
        <v>52</v>
      </c>
      <c r="Q448" s="1" t="s">
        <v>54</v>
      </c>
      <c r="R448" s="1" t="s">
        <v>113</v>
      </c>
      <c r="S448" s="1"/>
      <c r="U448" s="1" t="s">
        <v>130</v>
      </c>
      <c r="V448" s="1" t="s">
        <v>49</v>
      </c>
      <c r="W448" s="1" t="str">
        <f>VLOOKUP(Table1[[#This Row],[Obergruppe ATC-Code]],Tabelle3!$A$2:$B$100,2)</f>
        <v>DIURETIKA</v>
      </c>
      <c r="X448" s="1" t="str">
        <f xml:space="preserve"> LEFT(Table1[[#This Row],[Atc Code]],3)</f>
        <v>C03</v>
      </c>
    </row>
    <row r="449" spans="1:24" ht="14.4">
      <c r="A449" s="14">
        <v>2066</v>
      </c>
      <c r="B449" s="24" t="s">
        <v>1315</v>
      </c>
      <c r="C449" s="1">
        <v>2161094</v>
      </c>
      <c r="D449" s="1" t="s">
        <v>25</v>
      </c>
      <c r="E449" s="36">
        <v>44981</v>
      </c>
      <c r="F449" s="36">
        <v>45156</v>
      </c>
      <c r="G449" s="38">
        <f t="shared" si="6"/>
        <v>175</v>
      </c>
      <c r="H449" s="5">
        <v>44981</v>
      </c>
      <c r="I449" s="5">
        <v>45156</v>
      </c>
      <c r="J449" s="1" t="s">
        <v>26</v>
      </c>
      <c r="K449" s="1" t="s">
        <v>1316</v>
      </c>
      <c r="L449" s="1" t="s">
        <v>1305</v>
      </c>
      <c r="M449" s="1" t="s">
        <v>1306</v>
      </c>
      <c r="N449" s="1" t="s">
        <v>38</v>
      </c>
      <c r="O449" s="1" t="s">
        <v>91</v>
      </c>
      <c r="Q449" s="1" t="s">
        <v>93</v>
      </c>
      <c r="R449" s="1" t="s">
        <v>113</v>
      </c>
      <c r="S449" s="1"/>
      <c r="U449" s="1" t="s">
        <v>130</v>
      </c>
      <c r="V449" s="1" t="s">
        <v>49</v>
      </c>
      <c r="W449" s="1" t="str">
        <f>VLOOKUP(Table1[[#This Row],[Obergruppe ATC-Code]],Tabelle3!$A$2:$B$100,2)</f>
        <v>DIURETIKA</v>
      </c>
      <c r="X449" s="1" t="str">
        <f xml:space="preserve"> LEFT(Table1[[#This Row],[Atc Code]],3)</f>
        <v>C03</v>
      </c>
    </row>
    <row r="450" spans="1:24" ht="14.4">
      <c r="A450" s="14">
        <v>2064</v>
      </c>
      <c r="B450" s="24" t="s">
        <v>1317</v>
      </c>
      <c r="C450" s="1">
        <v>2161092</v>
      </c>
      <c r="D450" s="1" t="s">
        <v>25</v>
      </c>
      <c r="E450" s="36">
        <v>44981</v>
      </c>
      <c r="F450" s="36">
        <v>45156</v>
      </c>
      <c r="G450" s="38">
        <f t="shared" ref="G450:G513" si="7">F450-E450</f>
        <v>175</v>
      </c>
      <c r="H450" s="5">
        <v>44981</v>
      </c>
      <c r="I450" s="5">
        <v>45156</v>
      </c>
      <c r="J450" s="1" t="s">
        <v>26</v>
      </c>
      <c r="K450" s="1" t="s">
        <v>1318</v>
      </c>
      <c r="L450" s="1" t="s">
        <v>1305</v>
      </c>
      <c r="M450" s="1" t="s">
        <v>1306</v>
      </c>
      <c r="N450" s="1" t="s">
        <v>38</v>
      </c>
      <c r="O450" s="1" t="s">
        <v>91</v>
      </c>
      <c r="Q450" s="1" t="s">
        <v>93</v>
      </c>
      <c r="R450" s="1" t="s">
        <v>113</v>
      </c>
      <c r="S450" s="1"/>
      <c r="U450" s="1" t="s">
        <v>130</v>
      </c>
      <c r="V450" s="1" t="s">
        <v>49</v>
      </c>
      <c r="W450" s="1" t="str">
        <f>VLOOKUP(Table1[[#This Row],[Obergruppe ATC-Code]],Tabelle3!$A$2:$B$100,2)</f>
        <v>DIURETIKA</v>
      </c>
      <c r="X450" s="1" t="str">
        <f xml:space="preserve"> LEFT(Table1[[#This Row],[Atc Code]],3)</f>
        <v>C03</v>
      </c>
    </row>
    <row r="451" spans="1:24" ht="14.4">
      <c r="A451" s="14">
        <v>2536</v>
      </c>
      <c r="B451" s="24" t="s">
        <v>1319</v>
      </c>
      <c r="C451" s="1">
        <v>2192161</v>
      </c>
      <c r="D451" s="1" t="s">
        <v>25</v>
      </c>
      <c r="E451" s="36">
        <v>43891</v>
      </c>
      <c r="F451" s="36">
        <v>44227</v>
      </c>
      <c r="G451" s="38">
        <f t="shared" si="7"/>
        <v>336</v>
      </c>
      <c r="H451" s="5">
        <v>43917</v>
      </c>
      <c r="I451" s="5">
        <v>44208</v>
      </c>
      <c r="J451" s="1" t="s">
        <v>26</v>
      </c>
      <c r="K451" s="1" t="s">
        <v>1320</v>
      </c>
      <c r="L451" s="1" t="s">
        <v>1321</v>
      </c>
      <c r="M451" s="1" t="s">
        <v>1322</v>
      </c>
      <c r="N451" s="1" t="s">
        <v>38</v>
      </c>
      <c r="O451" s="1" t="s">
        <v>117</v>
      </c>
      <c r="P451" s="1" t="s">
        <v>104</v>
      </c>
      <c r="Q451" s="1" t="s">
        <v>105</v>
      </c>
      <c r="R451" s="1" t="s">
        <v>33</v>
      </c>
      <c r="S451" s="1"/>
      <c r="U451" s="1" t="s">
        <v>35</v>
      </c>
      <c r="V451" s="1" t="s">
        <v>99</v>
      </c>
      <c r="W451" s="1" t="str">
        <f>VLOOKUP(Table1[[#This Row],[Obergruppe ATC-Code]],Tabelle3!$A$2:$B$100,2)</f>
        <v>DIURETIKA</v>
      </c>
      <c r="X451" s="1" t="str">
        <f xml:space="preserve"> LEFT(Table1[[#This Row],[Atc Code]],3)</f>
        <v>C03</v>
      </c>
    </row>
    <row r="452" spans="1:24" ht="14.4">
      <c r="A452" s="14">
        <v>409</v>
      </c>
      <c r="B452" s="24">
        <v>2481110</v>
      </c>
      <c r="C452" s="1">
        <v>2102405</v>
      </c>
      <c r="D452" s="1" t="s">
        <v>102</v>
      </c>
      <c r="E452" s="36">
        <v>44256</v>
      </c>
      <c r="F452" s="36">
        <v>45291</v>
      </c>
      <c r="G452" s="38">
        <f t="shared" si="7"/>
        <v>1035</v>
      </c>
      <c r="H452" s="5">
        <v>44272</v>
      </c>
      <c r="I452" s="5">
        <v>45098</v>
      </c>
      <c r="J452" s="1" t="s">
        <v>26</v>
      </c>
      <c r="K452" s="1" t="s">
        <v>1323</v>
      </c>
      <c r="L452" s="1" t="s">
        <v>1324</v>
      </c>
      <c r="M452" s="1" t="s">
        <v>1325</v>
      </c>
      <c r="N452" s="1" t="s">
        <v>38</v>
      </c>
      <c r="O452" s="1" t="s">
        <v>615</v>
      </c>
      <c r="P452" s="1" t="s">
        <v>1326</v>
      </c>
      <c r="Q452" s="1" t="s">
        <v>621</v>
      </c>
      <c r="R452" s="1" t="s">
        <v>732</v>
      </c>
      <c r="S452" s="1"/>
      <c r="U452" s="1" t="s">
        <v>35</v>
      </c>
      <c r="V452" s="1" t="s">
        <v>99</v>
      </c>
      <c r="W452" s="1" t="str">
        <f>VLOOKUP(Table1[[#This Row],[Obergruppe ATC-Code]],Tabelle3!$A$2:$B$100,2)</f>
        <v>DIURETIKA</v>
      </c>
      <c r="X452" s="1" t="str">
        <f xml:space="preserve"> LEFT(Table1[[#This Row],[Atc Code]],3)</f>
        <v>C03</v>
      </c>
    </row>
    <row r="453" spans="1:24" ht="14.4">
      <c r="A453" s="14">
        <v>2587</v>
      </c>
      <c r="B453" s="24" t="s">
        <v>1327</v>
      </c>
      <c r="C453" s="1">
        <v>2711694</v>
      </c>
      <c r="D453" s="1" t="s">
        <v>25</v>
      </c>
      <c r="E453" s="36">
        <v>43586</v>
      </c>
      <c r="F453" s="36">
        <v>43646</v>
      </c>
      <c r="G453" s="38">
        <f t="shared" si="7"/>
        <v>60</v>
      </c>
      <c r="H453" s="5">
        <v>43608</v>
      </c>
      <c r="I453" s="5">
        <v>43621</v>
      </c>
      <c r="J453" s="1" t="s">
        <v>41</v>
      </c>
      <c r="K453" s="1" t="s">
        <v>1328</v>
      </c>
      <c r="L453" s="1" t="s">
        <v>1329</v>
      </c>
      <c r="M453" s="1" t="s">
        <v>1330</v>
      </c>
      <c r="N453" s="1" t="s">
        <v>38</v>
      </c>
      <c r="O453" s="1" t="s">
        <v>1331</v>
      </c>
      <c r="P453" s="1" t="s">
        <v>1332</v>
      </c>
      <c r="Q453" s="1" t="s">
        <v>1333</v>
      </c>
      <c r="R453" s="1" t="s">
        <v>26</v>
      </c>
      <c r="S453" s="1"/>
      <c r="U453" s="1" t="s">
        <v>35</v>
      </c>
      <c r="V453" s="1" t="s">
        <v>49</v>
      </c>
      <c r="W453" s="1" t="str">
        <f>VLOOKUP(Table1[[#This Row],[Obergruppe ATC-Code]],Tabelle3!$A$2:$B$100,2)</f>
        <v>DIURETIKA</v>
      </c>
      <c r="X453" s="1" t="str">
        <f xml:space="preserve"> LEFT(Table1[[#This Row],[Atc Code]],3)</f>
        <v>C03</v>
      </c>
    </row>
    <row r="454" spans="1:24" ht="14.4">
      <c r="A454" s="14">
        <v>2780</v>
      </c>
      <c r="B454" s="24" t="s">
        <v>1334</v>
      </c>
      <c r="C454" s="1">
        <v>2713963</v>
      </c>
      <c r="D454" s="1" t="s">
        <v>25</v>
      </c>
      <c r="E454" s="36">
        <v>43922</v>
      </c>
      <c r="F454" s="36">
        <v>43982</v>
      </c>
      <c r="G454" s="38">
        <f t="shared" si="7"/>
        <v>60</v>
      </c>
      <c r="H454" s="5">
        <v>43921</v>
      </c>
      <c r="I454" s="5">
        <v>43921</v>
      </c>
      <c r="J454" s="1" t="s">
        <v>41</v>
      </c>
      <c r="K454" s="1" t="s">
        <v>1335</v>
      </c>
      <c r="L454" s="1" t="s">
        <v>1329</v>
      </c>
      <c r="M454" s="1" t="s">
        <v>1330</v>
      </c>
      <c r="N454" s="1" t="s">
        <v>30</v>
      </c>
      <c r="O454" s="1" t="s">
        <v>1331</v>
      </c>
      <c r="P454" s="1" t="s">
        <v>1332</v>
      </c>
      <c r="Q454" s="1" t="s">
        <v>1333</v>
      </c>
      <c r="R454" s="1" t="s">
        <v>26</v>
      </c>
      <c r="S454" s="1"/>
      <c r="U454" s="1" t="s">
        <v>35</v>
      </c>
      <c r="V454" s="1" t="s">
        <v>49</v>
      </c>
      <c r="W454" s="1" t="str">
        <f>VLOOKUP(Table1[[#This Row],[Obergruppe ATC-Code]],Tabelle3!$A$2:$B$100,2)</f>
        <v>DIURETIKA</v>
      </c>
      <c r="X454" s="1" t="str">
        <f xml:space="preserve"> LEFT(Table1[[#This Row],[Atc Code]],3)</f>
        <v>C03</v>
      </c>
    </row>
    <row r="455" spans="1:24" ht="14.4">
      <c r="A455" s="14">
        <v>46</v>
      </c>
      <c r="B455" s="24">
        <v>264288</v>
      </c>
      <c r="C455" s="1">
        <v>450909</v>
      </c>
      <c r="D455" s="1" t="s">
        <v>25</v>
      </c>
      <c r="E455" s="36">
        <v>44802</v>
      </c>
      <c r="F455" s="36">
        <v>44817</v>
      </c>
      <c r="G455" s="38">
        <f t="shared" si="7"/>
        <v>15</v>
      </c>
      <c r="H455" s="5">
        <v>44816</v>
      </c>
      <c r="I455" s="5">
        <v>44818</v>
      </c>
      <c r="J455" s="1" t="s">
        <v>26</v>
      </c>
      <c r="K455" s="1" t="s">
        <v>1336</v>
      </c>
      <c r="L455" s="1" t="s">
        <v>1337</v>
      </c>
      <c r="M455" s="1" t="s">
        <v>1338</v>
      </c>
      <c r="N455" s="1" t="s">
        <v>38</v>
      </c>
      <c r="O455" s="1" t="s">
        <v>1339</v>
      </c>
      <c r="P455" s="1">
        <v>498003384726</v>
      </c>
      <c r="Q455" s="1" t="s">
        <v>1340</v>
      </c>
      <c r="R455" s="1" t="s">
        <v>113</v>
      </c>
      <c r="S455" s="1"/>
      <c r="U455" s="1" t="s">
        <v>130</v>
      </c>
      <c r="V455" s="1" t="s">
        <v>74</v>
      </c>
      <c r="W455" s="1" t="str">
        <f>VLOOKUP(Table1[[#This Row],[Obergruppe ATC-Code]],Tabelle3!$A$2:$B$100,2)</f>
        <v>VASOPROTEKTOREN</v>
      </c>
      <c r="X455" s="1" t="str">
        <f xml:space="preserve"> LEFT(Table1[[#This Row],[Atc Code]],3)</f>
        <v>C05</v>
      </c>
    </row>
    <row r="456" spans="1:24" ht="14.4">
      <c r="A456" s="14">
        <v>45</v>
      </c>
      <c r="B456" s="24">
        <v>264288</v>
      </c>
      <c r="C456" s="1">
        <v>450909</v>
      </c>
      <c r="D456" s="1" t="s">
        <v>25</v>
      </c>
      <c r="E456" s="36">
        <v>45120</v>
      </c>
      <c r="F456" s="36">
        <v>45174</v>
      </c>
      <c r="G456" s="38">
        <f t="shared" si="7"/>
        <v>54</v>
      </c>
      <c r="H456" s="5">
        <v>45120</v>
      </c>
      <c r="I456" s="5">
        <v>45176</v>
      </c>
      <c r="J456" s="1" t="s">
        <v>26</v>
      </c>
      <c r="K456" s="1" t="s">
        <v>1336</v>
      </c>
      <c r="L456" s="1" t="s">
        <v>1337</v>
      </c>
      <c r="M456" s="1" t="s">
        <v>1338</v>
      </c>
      <c r="N456" s="1" t="s">
        <v>38</v>
      </c>
      <c r="O456" s="1" t="s">
        <v>1339</v>
      </c>
      <c r="Q456" s="1" t="s">
        <v>1341</v>
      </c>
      <c r="R456" s="1" t="s">
        <v>113</v>
      </c>
      <c r="S456" s="1"/>
      <c r="U456" s="1" t="s">
        <v>35</v>
      </c>
      <c r="V456" s="1" t="s">
        <v>74</v>
      </c>
      <c r="W456" s="1" t="str">
        <f>VLOOKUP(Table1[[#This Row],[Obergruppe ATC-Code]],Tabelle3!$A$2:$B$100,2)</f>
        <v>VASOPROTEKTOREN</v>
      </c>
      <c r="X456" s="1" t="str">
        <f xml:space="preserve"> LEFT(Table1[[#This Row],[Atc Code]],3)</f>
        <v>C05</v>
      </c>
    </row>
    <row r="457" spans="1:24" ht="14.4">
      <c r="A457" s="14">
        <v>506</v>
      </c>
      <c r="B457" s="24">
        <v>3130536</v>
      </c>
      <c r="C457" s="1">
        <v>2106019</v>
      </c>
      <c r="D457" s="1" t="s">
        <v>25</v>
      </c>
      <c r="E457" s="36">
        <v>44105</v>
      </c>
      <c r="F457" s="36">
        <v>44196</v>
      </c>
      <c r="G457" s="38">
        <f t="shared" si="7"/>
        <v>91</v>
      </c>
      <c r="H457" s="5">
        <v>44119</v>
      </c>
      <c r="I457" s="5">
        <v>44183</v>
      </c>
      <c r="J457" s="1" t="s">
        <v>41</v>
      </c>
      <c r="K457" s="1" t="s">
        <v>1342</v>
      </c>
      <c r="L457" s="1" t="s">
        <v>1343</v>
      </c>
      <c r="M457" s="1" t="s">
        <v>1344</v>
      </c>
      <c r="N457" s="1" t="s">
        <v>38</v>
      </c>
      <c r="O457" s="1" t="s">
        <v>1345</v>
      </c>
      <c r="P457" s="1">
        <v>4917643235900</v>
      </c>
      <c r="Q457" s="1" t="s">
        <v>1346</v>
      </c>
      <c r="R457" s="1" t="s">
        <v>48</v>
      </c>
      <c r="S457" s="1"/>
      <c r="T457" s="1" t="s">
        <v>1347</v>
      </c>
      <c r="U457" s="1" t="s">
        <v>35</v>
      </c>
      <c r="V457" s="1" t="s">
        <v>1348</v>
      </c>
      <c r="W457" s="1" t="str">
        <f>VLOOKUP(Table1[[#This Row],[Obergruppe ATC-Code]],Tabelle3!$A$2:$B$100,2)</f>
        <v>VASOPROTEKTOREN</v>
      </c>
      <c r="X457" s="1" t="str">
        <f xml:space="preserve"> LEFT(Table1[[#This Row],[Atc Code]],3)</f>
        <v>C05</v>
      </c>
    </row>
    <row r="458" spans="1:24" ht="14.4">
      <c r="A458" s="14">
        <v>48</v>
      </c>
      <c r="B458" s="24">
        <v>292965</v>
      </c>
      <c r="C458" s="1">
        <v>328999</v>
      </c>
      <c r="D458" s="1" t="s">
        <v>25</v>
      </c>
      <c r="E458" s="36">
        <v>44523</v>
      </c>
      <c r="F458" s="36">
        <v>44537</v>
      </c>
      <c r="G458" s="38">
        <f t="shared" si="7"/>
        <v>14</v>
      </c>
      <c r="H458" s="5">
        <v>44523</v>
      </c>
      <c r="I458" s="5">
        <v>44537</v>
      </c>
      <c r="J458" s="1" t="s">
        <v>26</v>
      </c>
      <c r="K458" s="1" t="s">
        <v>1349</v>
      </c>
      <c r="L458" s="1" t="s">
        <v>1350</v>
      </c>
      <c r="M458" s="1" t="s">
        <v>1351</v>
      </c>
      <c r="N458" s="1" t="s">
        <v>38</v>
      </c>
      <c r="O458" s="1" t="s">
        <v>615</v>
      </c>
      <c r="Q458" s="1" t="s">
        <v>1352</v>
      </c>
      <c r="R458" s="1" t="s">
        <v>113</v>
      </c>
      <c r="S458" s="1"/>
      <c r="T458" s="1" t="s">
        <v>1353</v>
      </c>
      <c r="U458" s="1" t="s">
        <v>35</v>
      </c>
      <c r="V458" s="1" t="s">
        <v>99</v>
      </c>
      <c r="W458" s="1" t="str">
        <f>VLOOKUP(Table1[[#This Row],[Obergruppe ATC-Code]],Tabelle3!$A$2:$B$100,2)</f>
        <v>BETA-ADRENOZEPTORANTAGONISTEN</v>
      </c>
      <c r="X458" s="1" t="str">
        <f xml:space="preserve"> LEFT(Table1[[#This Row],[Atc Code]],3)</f>
        <v>C07</v>
      </c>
    </row>
    <row r="459" spans="1:24" ht="14.4">
      <c r="A459" s="14">
        <v>876</v>
      </c>
      <c r="B459" s="24">
        <v>7392641</v>
      </c>
      <c r="C459" s="1">
        <v>2109390</v>
      </c>
      <c r="D459" s="1" t="s">
        <v>25</v>
      </c>
      <c r="E459" s="36">
        <v>44403</v>
      </c>
      <c r="F459" s="36">
        <v>44585</v>
      </c>
      <c r="G459" s="38">
        <f t="shared" si="7"/>
        <v>182</v>
      </c>
      <c r="H459" s="5">
        <v>44406</v>
      </c>
      <c r="I459" s="5">
        <v>44585</v>
      </c>
      <c r="J459" s="1" t="s">
        <v>26</v>
      </c>
      <c r="K459" s="1" t="s">
        <v>1354</v>
      </c>
      <c r="L459" s="1" t="s">
        <v>1350</v>
      </c>
      <c r="M459" s="1" t="s">
        <v>1351</v>
      </c>
      <c r="N459" s="1" t="s">
        <v>38</v>
      </c>
      <c r="O459" s="1" t="s">
        <v>615</v>
      </c>
      <c r="P459" s="1">
        <v>49349542470</v>
      </c>
      <c r="Q459" s="1" t="s">
        <v>616</v>
      </c>
      <c r="R459" s="1" t="s">
        <v>26</v>
      </c>
      <c r="S459" s="1" t="s">
        <v>1355</v>
      </c>
      <c r="U459" s="1" t="s">
        <v>35</v>
      </c>
      <c r="V459" s="1" t="s">
        <v>199</v>
      </c>
      <c r="W459" s="1" t="str">
        <f>VLOOKUP(Table1[[#This Row],[Obergruppe ATC-Code]],Tabelle3!$A$2:$B$100,2)</f>
        <v>BETA-ADRENOZEPTORANTAGONISTEN</v>
      </c>
      <c r="X459" s="1" t="str">
        <f xml:space="preserve"> LEFT(Table1[[#This Row],[Atc Code]],3)</f>
        <v>C07</v>
      </c>
    </row>
    <row r="460" spans="1:24" ht="14.4">
      <c r="A460" s="14">
        <v>874</v>
      </c>
      <c r="B460" s="24">
        <v>7392629</v>
      </c>
      <c r="C460" s="1">
        <v>2109389</v>
      </c>
      <c r="D460" s="1" t="s">
        <v>25</v>
      </c>
      <c r="E460" s="36">
        <v>44523</v>
      </c>
      <c r="F460" s="36">
        <v>44585</v>
      </c>
      <c r="G460" s="38">
        <f t="shared" si="7"/>
        <v>62</v>
      </c>
      <c r="H460" s="5">
        <v>44523</v>
      </c>
      <c r="I460" s="5">
        <v>44585</v>
      </c>
      <c r="J460" s="1" t="s">
        <v>26</v>
      </c>
      <c r="K460" s="1" t="s">
        <v>1356</v>
      </c>
      <c r="L460" s="1" t="s">
        <v>1350</v>
      </c>
      <c r="M460" s="1" t="s">
        <v>1351</v>
      </c>
      <c r="N460" s="1" t="s">
        <v>38</v>
      </c>
      <c r="O460" s="1" t="s">
        <v>615</v>
      </c>
      <c r="P460" s="1">
        <v>49349542470</v>
      </c>
      <c r="Q460" s="1" t="s">
        <v>616</v>
      </c>
      <c r="R460" s="1" t="s">
        <v>26</v>
      </c>
      <c r="S460" s="1" t="s">
        <v>1357</v>
      </c>
      <c r="U460" s="1" t="s">
        <v>35</v>
      </c>
      <c r="V460" s="1" t="s">
        <v>199</v>
      </c>
      <c r="W460" s="1" t="str">
        <f>VLOOKUP(Table1[[#This Row],[Obergruppe ATC-Code]],Tabelle3!$A$2:$B$100,2)</f>
        <v>BETA-ADRENOZEPTORANTAGONISTEN</v>
      </c>
      <c r="X460" s="1" t="str">
        <f xml:space="preserve"> LEFT(Table1[[#This Row],[Atc Code]],3)</f>
        <v>C07</v>
      </c>
    </row>
    <row r="461" spans="1:24" ht="14.4">
      <c r="A461" s="14">
        <v>415</v>
      </c>
      <c r="B461" s="24">
        <v>2492987</v>
      </c>
      <c r="C461" s="1">
        <v>328999</v>
      </c>
      <c r="D461" s="1" t="s">
        <v>25</v>
      </c>
      <c r="E461" s="36">
        <v>44655</v>
      </c>
      <c r="F461" s="36">
        <v>44663</v>
      </c>
      <c r="G461" s="38">
        <f t="shared" si="7"/>
        <v>8</v>
      </c>
      <c r="H461" s="5">
        <v>44656</v>
      </c>
      <c r="I461" s="5">
        <v>44663</v>
      </c>
      <c r="J461" s="1" t="s">
        <v>26</v>
      </c>
      <c r="K461" s="1" t="s">
        <v>1349</v>
      </c>
      <c r="L461" s="1" t="s">
        <v>1350</v>
      </c>
      <c r="M461" s="1" t="s">
        <v>1351</v>
      </c>
      <c r="N461" s="1" t="s">
        <v>38</v>
      </c>
      <c r="O461" s="1" t="s">
        <v>615</v>
      </c>
      <c r="P461" s="1">
        <v>349542470</v>
      </c>
      <c r="Q461" s="1" t="s">
        <v>619</v>
      </c>
      <c r="R461" s="1" t="s">
        <v>33</v>
      </c>
      <c r="S461" s="1" t="s">
        <v>887</v>
      </c>
      <c r="U461" s="1" t="s">
        <v>35</v>
      </c>
      <c r="V461" s="1" t="s">
        <v>99</v>
      </c>
      <c r="W461" s="1" t="str">
        <f>VLOOKUP(Table1[[#This Row],[Obergruppe ATC-Code]],Tabelle3!$A$2:$B$100,2)</f>
        <v>BETA-ADRENOZEPTORANTAGONISTEN</v>
      </c>
      <c r="X461" s="1" t="str">
        <f xml:space="preserve"> LEFT(Table1[[#This Row],[Atc Code]],3)</f>
        <v>C07</v>
      </c>
    </row>
    <row r="462" spans="1:24" ht="14.4">
      <c r="A462" s="14">
        <v>1963</v>
      </c>
      <c r="B462" s="24" t="s">
        <v>1358</v>
      </c>
      <c r="C462" s="1" t="s">
        <v>1359</v>
      </c>
      <c r="D462" s="1" t="s">
        <v>25</v>
      </c>
      <c r="E462" s="36">
        <v>44562</v>
      </c>
      <c r="F462" s="36">
        <v>44742</v>
      </c>
      <c r="G462" s="38">
        <f t="shared" si="7"/>
        <v>180</v>
      </c>
      <c r="H462" s="5">
        <v>44574</v>
      </c>
      <c r="I462" s="5">
        <v>44760</v>
      </c>
      <c r="J462" s="1" t="s">
        <v>26</v>
      </c>
      <c r="K462" s="1" t="s">
        <v>1360</v>
      </c>
      <c r="L462" s="1" t="s">
        <v>1350</v>
      </c>
      <c r="M462" s="1" t="s">
        <v>1351</v>
      </c>
      <c r="N462" s="1" t="s">
        <v>38</v>
      </c>
      <c r="O462" s="1" t="s">
        <v>45</v>
      </c>
      <c r="Q462" s="1" t="s">
        <v>118</v>
      </c>
      <c r="R462" s="1" t="s">
        <v>26</v>
      </c>
      <c r="S462" s="1"/>
      <c r="U462" s="1" t="s">
        <v>130</v>
      </c>
      <c r="V462" s="1" t="s">
        <v>99</v>
      </c>
      <c r="W462" s="1" t="str">
        <f>VLOOKUP(Table1[[#This Row],[Obergruppe ATC-Code]],Tabelle3!$A$2:$B$100,2)</f>
        <v>BETA-ADRENOZEPTORANTAGONISTEN</v>
      </c>
      <c r="X462" s="1" t="str">
        <f xml:space="preserve"> LEFT(Table1[[#This Row],[Atc Code]],3)</f>
        <v>C07</v>
      </c>
    </row>
    <row r="463" spans="1:24" ht="14.4">
      <c r="A463" s="14">
        <v>1816</v>
      </c>
      <c r="B463" s="24" t="s">
        <v>1361</v>
      </c>
      <c r="C463" s="1" t="s">
        <v>1362</v>
      </c>
      <c r="D463" s="1" t="s">
        <v>25</v>
      </c>
      <c r="E463" s="36">
        <v>44562</v>
      </c>
      <c r="F463" s="36">
        <v>44757</v>
      </c>
      <c r="G463" s="38">
        <f t="shared" si="7"/>
        <v>195</v>
      </c>
      <c r="H463" s="5">
        <v>44574</v>
      </c>
      <c r="I463" s="5">
        <v>44768</v>
      </c>
      <c r="J463" s="1" t="s">
        <v>26</v>
      </c>
      <c r="K463" s="1" t="s">
        <v>1363</v>
      </c>
      <c r="L463" s="1" t="s">
        <v>1350</v>
      </c>
      <c r="M463" s="1" t="s">
        <v>1351</v>
      </c>
      <c r="N463" s="1" t="s">
        <v>38</v>
      </c>
      <c r="O463" s="1" t="s">
        <v>117</v>
      </c>
      <c r="Q463" s="1" t="s">
        <v>118</v>
      </c>
      <c r="R463" s="1" t="s">
        <v>26</v>
      </c>
      <c r="S463" s="1"/>
      <c r="U463" s="1" t="s">
        <v>130</v>
      </c>
      <c r="V463" s="1" t="s">
        <v>99</v>
      </c>
      <c r="W463" s="1" t="str">
        <f>VLOOKUP(Table1[[#This Row],[Obergruppe ATC-Code]],Tabelle3!$A$2:$B$100,2)</f>
        <v>BETA-ADRENOZEPTORANTAGONISTEN</v>
      </c>
      <c r="X463" s="1" t="str">
        <f xml:space="preserve"> LEFT(Table1[[#This Row],[Atc Code]],3)</f>
        <v>C07</v>
      </c>
    </row>
    <row r="464" spans="1:24" ht="14.4">
      <c r="A464" s="14">
        <v>875</v>
      </c>
      <c r="B464" s="24">
        <v>7392641</v>
      </c>
      <c r="C464" s="1">
        <v>2109390</v>
      </c>
      <c r="D464" s="1" t="s">
        <v>25</v>
      </c>
      <c r="E464" s="36">
        <v>45033</v>
      </c>
      <c r="F464" s="36">
        <v>45086</v>
      </c>
      <c r="G464" s="38">
        <f t="shared" si="7"/>
        <v>53</v>
      </c>
      <c r="H464" s="5">
        <v>45035</v>
      </c>
      <c r="I464" s="5">
        <v>45090</v>
      </c>
      <c r="J464" s="1" t="s">
        <v>41</v>
      </c>
      <c r="K464" s="1" t="s">
        <v>1354</v>
      </c>
      <c r="L464" s="1" t="s">
        <v>1350</v>
      </c>
      <c r="M464" s="1" t="s">
        <v>1351</v>
      </c>
      <c r="N464" s="1" t="s">
        <v>38</v>
      </c>
      <c r="O464" s="1" t="s">
        <v>615</v>
      </c>
      <c r="P464" s="1">
        <v>49349542470</v>
      </c>
      <c r="Q464" s="1" t="s">
        <v>619</v>
      </c>
      <c r="R464" s="1" t="s">
        <v>26</v>
      </c>
      <c r="S464" s="1"/>
      <c r="U464" s="1" t="s">
        <v>35</v>
      </c>
      <c r="V464" s="1" t="s">
        <v>199</v>
      </c>
      <c r="W464" s="1" t="str">
        <f>VLOOKUP(Table1[[#This Row],[Obergruppe ATC-Code]],Tabelle3!$A$2:$B$100,2)</f>
        <v>BETA-ADRENOZEPTORANTAGONISTEN</v>
      </c>
      <c r="X464" s="1" t="str">
        <f xml:space="preserve"> LEFT(Table1[[#This Row],[Atc Code]],3)</f>
        <v>C07</v>
      </c>
    </row>
    <row r="465" spans="1:24" ht="14.4">
      <c r="A465" s="14">
        <v>873</v>
      </c>
      <c r="B465" s="24">
        <v>7392629</v>
      </c>
      <c r="C465" s="1">
        <v>2109389</v>
      </c>
      <c r="D465" s="1" t="s">
        <v>25</v>
      </c>
      <c r="E465" s="36">
        <v>45054</v>
      </c>
      <c r="F465" s="36">
        <v>45086</v>
      </c>
      <c r="G465" s="38">
        <f t="shared" si="7"/>
        <v>32</v>
      </c>
      <c r="H465" s="5">
        <v>45056</v>
      </c>
      <c r="I465" s="5">
        <v>45090</v>
      </c>
      <c r="J465" s="1" t="s">
        <v>26</v>
      </c>
      <c r="K465" s="1" t="s">
        <v>1356</v>
      </c>
      <c r="L465" s="1" t="s">
        <v>1350</v>
      </c>
      <c r="M465" s="1" t="s">
        <v>1351</v>
      </c>
      <c r="N465" s="1" t="s">
        <v>38</v>
      </c>
      <c r="O465" s="1" t="s">
        <v>615</v>
      </c>
      <c r="P465" s="1">
        <v>49349542470</v>
      </c>
      <c r="Q465" s="1" t="s">
        <v>619</v>
      </c>
      <c r="R465" s="1" t="s">
        <v>33</v>
      </c>
      <c r="S465" s="1"/>
      <c r="U465" s="1" t="s">
        <v>35</v>
      </c>
      <c r="V465" s="1" t="s">
        <v>199</v>
      </c>
      <c r="W465" s="1" t="str">
        <f>VLOOKUP(Table1[[#This Row],[Obergruppe ATC-Code]],Tabelle3!$A$2:$B$100,2)</f>
        <v>BETA-ADRENOZEPTORANTAGONISTEN</v>
      </c>
      <c r="X465" s="1" t="str">
        <f xml:space="preserve"> LEFT(Table1[[#This Row],[Atc Code]],3)</f>
        <v>C07</v>
      </c>
    </row>
    <row r="466" spans="1:24" ht="14.4">
      <c r="A466" s="14">
        <v>872</v>
      </c>
      <c r="B466" s="24">
        <v>7392629</v>
      </c>
      <c r="C466" s="1">
        <v>2109389</v>
      </c>
      <c r="D466" s="1" t="s">
        <v>25</v>
      </c>
      <c r="E466" s="36">
        <v>45156</v>
      </c>
      <c r="F466" s="36">
        <v>45174</v>
      </c>
      <c r="G466" s="38">
        <f t="shared" si="7"/>
        <v>18</v>
      </c>
      <c r="H466" s="5">
        <v>45161</v>
      </c>
      <c r="I466" s="5">
        <v>45176</v>
      </c>
      <c r="J466" s="1" t="s">
        <v>26</v>
      </c>
      <c r="K466" s="1" t="s">
        <v>1356</v>
      </c>
      <c r="L466" s="1" t="s">
        <v>1350</v>
      </c>
      <c r="M466" s="1" t="s">
        <v>1351</v>
      </c>
      <c r="N466" s="1" t="s">
        <v>38</v>
      </c>
      <c r="O466" s="1" t="s">
        <v>615</v>
      </c>
      <c r="P466" s="1">
        <v>49349542470</v>
      </c>
      <c r="Q466" s="1" t="s">
        <v>621</v>
      </c>
      <c r="R466" s="1" t="s">
        <v>33</v>
      </c>
      <c r="S466" s="1"/>
      <c r="U466" s="1" t="s">
        <v>35</v>
      </c>
      <c r="V466" s="1" t="s">
        <v>199</v>
      </c>
      <c r="W466" s="1" t="str">
        <f>VLOOKUP(Table1[[#This Row],[Obergruppe ATC-Code]],Tabelle3!$A$2:$B$100,2)</f>
        <v>BETA-ADRENOZEPTORANTAGONISTEN</v>
      </c>
      <c r="X466" s="1" t="str">
        <f xml:space="preserve"> LEFT(Table1[[#This Row],[Atc Code]],3)</f>
        <v>C07</v>
      </c>
    </row>
    <row r="467" spans="1:24" ht="14.4">
      <c r="A467" s="14">
        <v>141</v>
      </c>
      <c r="B467" s="24">
        <v>850520</v>
      </c>
      <c r="C467" s="1">
        <v>2161498</v>
      </c>
      <c r="D467" s="1" t="s">
        <v>25</v>
      </c>
      <c r="E467" s="36">
        <v>43862</v>
      </c>
      <c r="F467" s="36">
        <v>44043</v>
      </c>
      <c r="G467" s="38">
        <f t="shared" si="7"/>
        <v>181</v>
      </c>
      <c r="H467" s="5">
        <v>43875</v>
      </c>
      <c r="I467" s="5">
        <v>44013</v>
      </c>
      <c r="J467" s="1" t="s">
        <v>26</v>
      </c>
      <c r="K467" s="1" t="s">
        <v>1364</v>
      </c>
      <c r="L467" s="1" t="s">
        <v>1365</v>
      </c>
      <c r="M467" s="1" t="s">
        <v>1366</v>
      </c>
      <c r="N467" s="1" t="s">
        <v>38</v>
      </c>
      <c r="O467" s="1" t="s">
        <v>91</v>
      </c>
      <c r="P467" s="1" t="s">
        <v>92</v>
      </c>
      <c r="Q467" s="1" t="s">
        <v>93</v>
      </c>
      <c r="R467" s="1" t="s">
        <v>33</v>
      </c>
      <c r="S467" s="1"/>
      <c r="U467" s="1" t="s">
        <v>35</v>
      </c>
      <c r="V467" s="1" t="s">
        <v>359</v>
      </c>
      <c r="W467" s="1" t="str">
        <f>VLOOKUP(Table1[[#This Row],[Obergruppe ATC-Code]],Tabelle3!$A$2:$B$100,2)</f>
        <v>BETA-ADRENOZEPTORANTAGONISTEN</v>
      </c>
      <c r="X467" s="1" t="str">
        <f xml:space="preserve"> LEFT(Table1[[#This Row],[Atc Code]],3)</f>
        <v>C07</v>
      </c>
    </row>
    <row r="468" spans="1:24" ht="14.4">
      <c r="A468" s="14">
        <v>2301</v>
      </c>
      <c r="B468" s="24" t="s">
        <v>1367</v>
      </c>
      <c r="C468" s="1">
        <v>2176460</v>
      </c>
      <c r="D468" s="1" t="s">
        <v>25</v>
      </c>
      <c r="E468" s="36">
        <v>44075</v>
      </c>
      <c r="F468" s="36">
        <v>44165</v>
      </c>
      <c r="G468" s="38">
        <f t="shared" si="7"/>
        <v>90</v>
      </c>
      <c r="H468" s="5">
        <v>44139</v>
      </c>
      <c r="I468" s="5">
        <v>44159</v>
      </c>
      <c r="J468" s="1" t="s">
        <v>41</v>
      </c>
      <c r="K468" s="1" t="s">
        <v>1368</v>
      </c>
      <c r="L468" s="1" t="s">
        <v>1365</v>
      </c>
      <c r="M468" s="1" t="s">
        <v>1366</v>
      </c>
      <c r="N468" s="1" t="s">
        <v>30</v>
      </c>
      <c r="O468" s="1" t="s">
        <v>110</v>
      </c>
      <c r="P468" s="1" t="s">
        <v>111</v>
      </c>
      <c r="Q468" s="1" t="s">
        <v>112</v>
      </c>
      <c r="R468" s="1" t="s">
        <v>26</v>
      </c>
      <c r="S468" s="1"/>
      <c r="U468" s="1" t="s">
        <v>35</v>
      </c>
      <c r="V468" s="1" t="s">
        <v>359</v>
      </c>
      <c r="W468" s="1" t="str">
        <f>VLOOKUP(Table1[[#This Row],[Obergruppe ATC-Code]],Tabelle3!$A$2:$B$100,2)</f>
        <v>BETA-ADRENOZEPTORANTAGONISTEN</v>
      </c>
      <c r="X468" s="1" t="str">
        <f xml:space="preserve"> LEFT(Table1[[#This Row],[Atc Code]],3)</f>
        <v>C07</v>
      </c>
    </row>
    <row r="469" spans="1:24" ht="14.4">
      <c r="A469" s="14">
        <v>2033</v>
      </c>
      <c r="B469" s="24" t="s">
        <v>1369</v>
      </c>
      <c r="C469" s="1">
        <v>2148991</v>
      </c>
      <c r="D469" s="1" t="s">
        <v>25</v>
      </c>
      <c r="E469" s="36">
        <v>44136</v>
      </c>
      <c r="F469" s="36">
        <v>44255</v>
      </c>
      <c r="G469" s="38">
        <f t="shared" si="7"/>
        <v>119</v>
      </c>
      <c r="H469" s="5">
        <v>44159</v>
      </c>
      <c r="I469" s="5">
        <v>44237</v>
      </c>
      <c r="J469" s="1" t="s">
        <v>41</v>
      </c>
      <c r="K469" s="1" t="s">
        <v>1370</v>
      </c>
      <c r="L469" s="1" t="s">
        <v>1365</v>
      </c>
      <c r="M469" s="1" t="s">
        <v>1371</v>
      </c>
      <c r="N469" s="1" t="s">
        <v>30</v>
      </c>
      <c r="O469" s="1" t="s">
        <v>110</v>
      </c>
      <c r="P469" s="1" t="s">
        <v>111</v>
      </c>
      <c r="Q469" s="1" t="s">
        <v>112</v>
      </c>
      <c r="R469" s="1" t="s">
        <v>26</v>
      </c>
      <c r="S469" s="1"/>
      <c r="U469" s="1" t="s">
        <v>35</v>
      </c>
      <c r="V469" s="1" t="s">
        <v>359</v>
      </c>
      <c r="W469" s="1" t="str">
        <f>VLOOKUP(Table1[[#This Row],[Obergruppe ATC-Code]],Tabelle3!$A$2:$B$100,2)</f>
        <v>BETA-ADRENOZEPTORANTAGONISTEN</v>
      </c>
      <c r="X469" s="1" t="str">
        <f xml:space="preserve"> LEFT(Table1[[#This Row],[Atc Code]],3)</f>
        <v>C07</v>
      </c>
    </row>
    <row r="470" spans="1:24" ht="14.4">
      <c r="A470" s="14">
        <v>1694</v>
      </c>
      <c r="B470" s="24" t="s">
        <v>1372</v>
      </c>
      <c r="C470" s="1">
        <v>2161502</v>
      </c>
      <c r="D470" s="1" t="s">
        <v>25</v>
      </c>
      <c r="E470" s="36">
        <v>43862</v>
      </c>
      <c r="F470" s="36">
        <v>44255</v>
      </c>
      <c r="G470" s="38">
        <f t="shared" si="7"/>
        <v>393</v>
      </c>
      <c r="H470" s="5">
        <v>43886</v>
      </c>
      <c r="I470" s="5">
        <v>44253</v>
      </c>
      <c r="J470" s="1" t="s">
        <v>26</v>
      </c>
      <c r="K470" s="1" t="s">
        <v>1373</v>
      </c>
      <c r="L470" s="1" t="s">
        <v>1365</v>
      </c>
      <c r="M470" s="1" t="s">
        <v>1366</v>
      </c>
      <c r="N470" s="1" t="s">
        <v>30</v>
      </c>
      <c r="O470" s="1" t="s">
        <v>52</v>
      </c>
      <c r="P470" s="1" t="s">
        <v>53</v>
      </c>
      <c r="Q470" s="1" t="s">
        <v>54</v>
      </c>
      <c r="R470" s="1" t="s">
        <v>33</v>
      </c>
      <c r="S470" s="1"/>
      <c r="U470" s="1" t="s">
        <v>35</v>
      </c>
      <c r="V470" s="1" t="s">
        <v>359</v>
      </c>
      <c r="W470" s="1" t="str">
        <f>VLOOKUP(Table1[[#This Row],[Obergruppe ATC-Code]],Tabelle3!$A$2:$B$100,2)</f>
        <v>BETA-ADRENOZEPTORANTAGONISTEN</v>
      </c>
      <c r="X470" s="1" t="str">
        <f xml:space="preserve"> LEFT(Table1[[#This Row],[Atc Code]],3)</f>
        <v>C07</v>
      </c>
    </row>
    <row r="471" spans="1:24" ht="14.4">
      <c r="A471" s="14">
        <v>1793</v>
      </c>
      <c r="B471" s="24" t="s">
        <v>1374</v>
      </c>
      <c r="C471" s="1">
        <v>2161497</v>
      </c>
      <c r="D471" s="1" t="s">
        <v>25</v>
      </c>
      <c r="E471" s="36">
        <v>43862</v>
      </c>
      <c r="F471" s="36">
        <v>44286</v>
      </c>
      <c r="G471" s="38">
        <f t="shared" si="7"/>
        <v>424</v>
      </c>
      <c r="H471" s="5">
        <v>43875</v>
      </c>
      <c r="I471" s="5">
        <v>44278</v>
      </c>
      <c r="J471" s="1" t="s">
        <v>26</v>
      </c>
      <c r="K471" s="1" t="s">
        <v>1375</v>
      </c>
      <c r="L471" s="1" t="s">
        <v>1365</v>
      </c>
      <c r="M471" s="1" t="s">
        <v>1366</v>
      </c>
      <c r="N471" s="1" t="s">
        <v>38</v>
      </c>
      <c r="O471" s="1" t="s">
        <v>91</v>
      </c>
      <c r="P471" s="1" t="s">
        <v>92</v>
      </c>
      <c r="Q471" s="1" t="s">
        <v>93</v>
      </c>
      <c r="R471" s="1" t="s">
        <v>33</v>
      </c>
      <c r="S471" s="1"/>
      <c r="U471" s="1" t="s">
        <v>35</v>
      </c>
      <c r="V471" s="1" t="s">
        <v>359</v>
      </c>
      <c r="W471" s="1" t="str">
        <f>VLOOKUP(Table1[[#This Row],[Obergruppe ATC-Code]],Tabelle3!$A$2:$B$100,2)</f>
        <v>BETA-ADRENOZEPTORANTAGONISTEN</v>
      </c>
      <c r="X471" s="1" t="str">
        <f xml:space="preserve"> LEFT(Table1[[#This Row],[Atc Code]],3)</f>
        <v>C07</v>
      </c>
    </row>
    <row r="472" spans="1:24" ht="14.4">
      <c r="A472" s="14">
        <v>2684</v>
      </c>
      <c r="B472" s="24" t="s">
        <v>1376</v>
      </c>
      <c r="C472" s="1">
        <v>2143237</v>
      </c>
      <c r="D472" s="1" t="s">
        <v>25</v>
      </c>
      <c r="E472" s="36">
        <v>44136</v>
      </c>
      <c r="F472" s="36">
        <v>44377</v>
      </c>
      <c r="G472" s="38">
        <f t="shared" si="7"/>
        <v>241</v>
      </c>
      <c r="H472" s="5">
        <v>44137</v>
      </c>
      <c r="I472" s="5">
        <v>44376</v>
      </c>
      <c r="J472" s="1" t="s">
        <v>41</v>
      </c>
      <c r="K472" s="1" t="s">
        <v>1377</v>
      </c>
      <c r="L472" s="1" t="s">
        <v>1365</v>
      </c>
      <c r="M472" s="1" t="s">
        <v>1371</v>
      </c>
      <c r="N472" s="1" t="s">
        <v>38</v>
      </c>
      <c r="O472" s="1" t="s">
        <v>91</v>
      </c>
      <c r="P472" s="1" t="s">
        <v>92</v>
      </c>
      <c r="Q472" s="1" t="s">
        <v>93</v>
      </c>
      <c r="R472" s="1" t="s">
        <v>48</v>
      </c>
      <c r="S472" s="1"/>
      <c r="U472" s="1" t="s">
        <v>35</v>
      </c>
      <c r="V472" s="1" t="s">
        <v>359</v>
      </c>
      <c r="W472" s="1" t="str">
        <f>VLOOKUP(Table1[[#This Row],[Obergruppe ATC-Code]],Tabelle3!$A$2:$B$100,2)</f>
        <v>BETA-ADRENOZEPTORANTAGONISTEN</v>
      </c>
      <c r="X472" s="1" t="str">
        <f xml:space="preserve"> LEFT(Table1[[#This Row],[Atc Code]],3)</f>
        <v>C07</v>
      </c>
    </row>
    <row r="473" spans="1:24" ht="14.4">
      <c r="A473" s="14">
        <v>2241</v>
      </c>
      <c r="B473" s="24" t="s">
        <v>1378</v>
      </c>
      <c r="C473" s="1">
        <v>2114047</v>
      </c>
      <c r="D473" s="1" t="s">
        <v>25</v>
      </c>
      <c r="E473" s="36">
        <v>44136</v>
      </c>
      <c r="F473" s="36">
        <v>44377</v>
      </c>
      <c r="G473" s="38">
        <f t="shared" si="7"/>
        <v>241</v>
      </c>
      <c r="H473" s="5">
        <v>44165</v>
      </c>
      <c r="I473" s="5">
        <v>44376</v>
      </c>
      <c r="J473" s="1" t="s">
        <v>41</v>
      </c>
      <c r="K473" s="1" t="s">
        <v>1379</v>
      </c>
      <c r="L473" s="1" t="s">
        <v>1365</v>
      </c>
      <c r="M473" s="1" t="s">
        <v>1371</v>
      </c>
      <c r="N473" s="1" t="s">
        <v>38</v>
      </c>
      <c r="O473" s="1" t="s">
        <v>91</v>
      </c>
      <c r="P473" s="1" t="s">
        <v>92</v>
      </c>
      <c r="Q473" s="1" t="s">
        <v>93</v>
      </c>
      <c r="R473" s="1" t="s">
        <v>48</v>
      </c>
      <c r="S473" s="1"/>
      <c r="U473" s="1" t="s">
        <v>35</v>
      </c>
      <c r="V473" s="1" t="s">
        <v>359</v>
      </c>
      <c r="W473" s="1" t="str">
        <f>VLOOKUP(Table1[[#This Row],[Obergruppe ATC-Code]],Tabelle3!$A$2:$B$100,2)</f>
        <v>BETA-ADRENOZEPTORANTAGONISTEN</v>
      </c>
      <c r="X473" s="1" t="str">
        <f xml:space="preserve"> LEFT(Table1[[#This Row],[Atc Code]],3)</f>
        <v>C07</v>
      </c>
    </row>
    <row r="474" spans="1:24" ht="14.4">
      <c r="A474" s="14">
        <v>1695</v>
      </c>
      <c r="B474" s="24" t="s">
        <v>1380</v>
      </c>
      <c r="C474" s="1">
        <v>2161503</v>
      </c>
      <c r="D474" s="1" t="s">
        <v>25</v>
      </c>
      <c r="E474" s="36">
        <v>43862</v>
      </c>
      <c r="F474" s="36">
        <v>44392</v>
      </c>
      <c r="G474" s="38">
        <f t="shared" si="7"/>
        <v>530</v>
      </c>
      <c r="H474" s="5">
        <v>43886</v>
      </c>
      <c r="I474" s="5">
        <v>44392</v>
      </c>
      <c r="J474" s="1" t="s">
        <v>26</v>
      </c>
      <c r="K474" s="1" t="s">
        <v>1381</v>
      </c>
      <c r="L474" s="1" t="s">
        <v>1365</v>
      </c>
      <c r="M474" s="1" t="s">
        <v>1366</v>
      </c>
      <c r="N474" s="1" t="s">
        <v>30</v>
      </c>
      <c r="O474" s="1" t="s">
        <v>52</v>
      </c>
      <c r="P474" s="1" t="s">
        <v>53</v>
      </c>
      <c r="Q474" s="1" t="s">
        <v>54</v>
      </c>
      <c r="R474" s="1" t="s">
        <v>33</v>
      </c>
      <c r="S474" s="1"/>
      <c r="U474" s="1" t="s">
        <v>35</v>
      </c>
      <c r="V474" s="1" t="s">
        <v>359</v>
      </c>
      <c r="W474" s="1" t="str">
        <f>VLOOKUP(Table1[[#This Row],[Obergruppe ATC-Code]],Tabelle3!$A$2:$B$100,2)</f>
        <v>BETA-ADRENOZEPTORANTAGONISTEN</v>
      </c>
      <c r="X474" s="1" t="str">
        <f xml:space="preserve"> LEFT(Table1[[#This Row],[Atc Code]],3)</f>
        <v>C07</v>
      </c>
    </row>
    <row r="475" spans="1:24" ht="14.4">
      <c r="A475" s="14">
        <v>144</v>
      </c>
      <c r="B475" s="24">
        <v>870505</v>
      </c>
      <c r="C475" s="1">
        <v>2143239</v>
      </c>
      <c r="D475" s="1" t="s">
        <v>25</v>
      </c>
      <c r="E475" s="36">
        <v>44136</v>
      </c>
      <c r="F475" s="36">
        <v>44435</v>
      </c>
      <c r="G475" s="38">
        <f t="shared" si="7"/>
        <v>299</v>
      </c>
      <c r="H475" s="5">
        <v>44137</v>
      </c>
      <c r="I475" s="5">
        <v>44435</v>
      </c>
      <c r="J475" s="1" t="s">
        <v>41</v>
      </c>
      <c r="K475" s="1" t="s">
        <v>1382</v>
      </c>
      <c r="L475" s="1" t="s">
        <v>1365</v>
      </c>
      <c r="M475" s="1" t="s">
        <v>1371</v>
      </c>
      <c r="N475" s="1" t="s">
        <v>38</v>
      </c>
      <c r="O475" s="1" t="s">
        <v>52</v>
      </c>
      <c r="P475" s="1" t="s">
        <v>53</v>
      </c>
      <c r="Q475" s="1" t="s">
        <v>54</v>
      </c>
      <c r="R475" s="1" t="s">
        <v>48</v>
      </c>
      <c r="S475" s="1"/>
      <c r="U475" s="1" t="s">
        <v>35</v>
      </c>
      <c r="V475" s="1" t="s">
        <v>359</v>
      </c>
      <c r="W475" s="1" t="str">
        <f>VLOOKUP(Table1[[#This Row],[Obergruppe ATC-Code]],Tabelle3!$A$2:$B$100,2)</f>
        <v>BETA-ADRENOZEPTORANTAGONISTEN</v>
      </c>
      <c r="X475" s="1" t="str">
        <f xml:space="preserve"> LEFT(Table1[[#This Row],[Atc Code]],3)</f>
        <v>C07</v>
      </c>
    </row>
    <row r="476" spans="1:24" ht="14.4">
      <c r="A476" s="14">
        <v>2389</v>
      </c>
      <c r="B476" s="24" t="s">
        <v>1383</v>
      </c>
      <c r="C476" s="1">
        <v>2135896</v>
      </c>
      <c r="D476" s="1" t="s">
        <v>25</v>
      </c>
      <c r="E476" s="36">
        <v>44136</v>
      </c>
      <c r="F476" s="36">
        <v>44470</v>
      </c>
      <c r="G476" s="38">
        <f t="shared" si="7"/>
        <v>334</v>
      </c>
      <c r="H476" s="5">
        <v>44165</v>
      </c>
      <c r="I476" s="5">
        <v>44470</v>
      </c>
      <c r="J476" s="1" t="s">
        <v>41</v>
      </c>
      <c r="K476" s="1" t="s">
        <v>1384</v>
      </c>
      <c r="L476" s="1" t="s">
        <v>1365</v>
      </c>
      <c r="M476" s="1" t="s">
        <v>1371</v>
      </c>
      <c r="N476" s="1" t="s">
        <v>38</v>
      </c>
      <c r="O476" s="1" t="s">
        <v>52</v>
      </c>
      <c r="P476" s="1" t="s">
        <v>53</v>
      </c>
      <c r="Q476" s="1" t="s">
        <v>54</v>
      </c>
      <c r="R476" s="1" t="s">
        <v>48</v>
      </c>
      <c r="S476" s="1"/>
      <c r="U476" s="1" t="s">
        <v>35</v>
      </c>
      <c r="V476" s="1" t="s">
        <v>359</v>
      </c>
      <c r="W476" s="1" t="str">
        <f>VLOOKUP(Table1[[#This Row],[Obergruppe ATC-Code]],Tabelle3!$A$2:$B$100,2)</f>
        <v>BETA-ADRENOZEPTORANTAGONISTEN</v>
      </c>
      <c r="X476" s="1" t="str">
        <f xml:space="preserve"> LEFT(Table1[[#This Row],[Atc Code]],3)</f>
        <v>C07</v>
      </c>
    </row>
    <row r="477" spans="1:24" ht="14.4">
      <c r="A477" s="14">
        <v>1586</v>
      </c>
      <c r="B477" s="24">
        <v>17420812</v>
      </c>
      <c r="C477" s="1">
        <v>2161495</v>
      </c>
      <c r="D477" s="1" t="s">
        <v>175</v>
      </c>
      <c r="E477" s="36">
        <v>45174</v>
      </c>
      <c r="F477" s="36">
        <v>45247</v>
      </c>
      <c r="G477" s="38">
        <f t="shared" si="7"/>
        <v>73</v>
      </c>
      <c r="H477" s="5">
        <v>45200</v>
      </c>
      <c r="I477" s="5">
        <v>45200</v>
      </c>
      <c r="J477" s="1" t="s">
        <v>26</v>
      </c>
      <c r="K477" s="1" t="s">
        <v>1385</v>
      </c>
      <c r="L477" s="1" t="s">
        <v>1365</v>
      </c>
      <c r="M477" s="1" t="s">
        <v>1366</v>
      </c>
      <c r="N477" s="1" t="s">
        <v>38</v>
      </c>
      <c r="O477" s="1" t="s">
        <v>91</v>
      </c>
      <c r="Q477" s="1" t="s">
        <v>93</v>
      </c>
      <c r="R477" s="1" t="s">
        <v>26</v>
      </c>
      <c r="S477" s="1"/>
      <c r="U477" s="1" t="s">
        <v>130</v>
      </c>
      <c r="V477" s="1" t="s">
        <v>359</v>
      </c>
      <c r="W477" s="1" t="str">
        <f>VLOOKUP(Table1[[#This Row],[Obergruppe ATC-Code]],Tabelle3!$A$2:$B$100,2)</f>
        <v>BETA-ADRENOZEPTORANTAGONISTEN</v>
      </c>
      <c r="X477" s="1" t="str">
        <f xml:space="preserve"> LEFT(Table1[[#This Row],[Atc Code]],3)</f>
        <v>C07</v>
      </c>
    </row>
    <row r="478" spans="1:24" ht="14.4">
      <c r="A478" s="14">
        <v>142</v>
      </c>
      <c r="B478" s="24">
        <v>850520</v>
      </c>
      <c r="C478" s="1">
        <v>2161498</v>
      </c>
      <c r="D478" s="1" t="s">
        <v>175</v>
      </c>
      <c r="E478" s="36">
        <v>45175</v>
      </c>
      <c r="F478" s="36">
        <v>45218</v>
      </c>
      <c r="G478" s="38">
        <f t="shared" si="7"/>
        <v>43</v>
      </c>
      <c r="H478" s="5">
        <v>45200</v>
      </c>
      <c r="I478" s="5">
        <v>45200</v>
      </c>
      <c r="J478" s="1" t="s">
        <v>26</v>
      </c>
      <c r="K478" s="1" t="s">
        <v>1364</v>
      </c>
      <c r="L478" s="1" t="s">
        <v>1365</v>
      </c>
      <c r="M478" s="1" t="s">
        <v>1366</v>
      </c>
      <c r="N478" s="1" t="s">
        <v>38</v>
      </c>
      <c r="O478" s="1" t="s">
        <v>91</v>
      </c>
      <c r="Q478" s="1" t="s">
        <v>93</v>
      </c>
      <c r="R478" s="1" t="s">
        <v>26</v>
      </c>
      <c r="S478" s="1"/>
      <c r="U478" s="1" t="s">
        <v>130</v>
      </c>
      <c r="V478" s="1" t="s">
        <v>359</v>
      </c>
      <c r="W478" s="1" t="str">
        <f>VLOOKUP(Table1[[#This Row],[Obergruppe ATC-Code]],Tabelle3!$A$2:$B$100,2)</f>
        <v>BETA-ADRENOZEPTORANTAGONISTEN</v>
      </c>
      <c r="X478" s="1" t="str">
        <f xml:space="preserve"> LEFT(Table1[[#This Row],[Atc Code]],3)</f>
        <v>C07</v>
      </c>
    </row>
    <row r="479" spans="1:24" ht="14.4">
      <c r="A479" s="14">
        <v>1771</v>
      </c>
      <c r="B479" s="24" t="s">
        <v>1386</v>
      </c>
      <c r="C479" s="1">
        <v>2146660</v>
      </c>
      <c r="D479" s="1" t="s">
        <v>25</v>
      </c>
      <c r="E479" s="36">
        <v>44105</v>
      </c>
      <c r="F479" s="36">
        <v>44347</v>
      </c>
      <c r="G479" s="38">
        <f t="shared" si="7"/>
        <v>242</v>
      </c>
      <c r="H479" s="5">
        <v>44116</v>
      </c>
      <c r="I479" s="5">
        <v>44299</v>
      </c>
      <c r="J479" s="1" t="s">
        <v>26</v>
      </c>
      <c r="K479" s="1" t="s">
        <v>1387</v>
      </c>
      <c r="L479" s="1" t="s">
        <v>1388</v>
      </c>
      <c r="M479" s="1" t="s">
        <v>1389</v>
      </c>
      <c r="N479" s="1" t="s">
        <v>30</v>
      </c>
      <c r="O479" s="1" t="s">
        <v>548</v>
      </c>
      <c r="P479" s="1">
        <v>8004288373</v>
      </c>
      <c r="Q479" s="1" t="s">
        <v>549</v>
      </c>
      <c r="R479" s="1" t="s">
        <v>33</v>
      </c>
      <c r="S479" s="1"/>
      <c r="T479" s="1" t="s">
        <v>1390</v>
      </c>
      <c r="U479" s="1" t="s">
        <v>35</v>
      </c>
      <c r="V479" s="1" t="s">
        <v>99</v>
      </c>
      <c r="W479" s="1" t="str">
        <f>VLOOKUP(Table1[[#This Row],[Obergruppe ATC-Code]],Tabelle3!$A$2:$B$100,2)</f>
        <v>BETA-ADRENOZEPTORANTAGONISTEN</v>
      </c>
      <c r="X479" s="1" t="str">
        <f xml:space="preserve"> LEFT(Table1[[#This Row],[Atc Code]],3)</f>
        <v>C07</v>
      </c>
    </row>
    <row r="480" spans="1:24" ht="14.4">
      <c r="A480" s="14">
        <v>2874</v>
      </c>
      <c r="B480" s="24" t="s">
        <v>1391</v>
      </c>
      <c r="C480" s="1">
        <v>2203707</v>
      </c>
      <c r="D480" s="1" t="s">
        <v>25</v>
      </c>
      <c r="E480" s="36">
        <v>44564</v>
      </c>
      <c r="F480" s="36">
        <v>44690</v>
      </c>
      <c r="G480" s="38">
        <f t="shared" si="7"/>
        <v>126</v>
      </c>
      <c r="H480" s="5">
        <v>44592</v>
      </c>
      <c r="I480" s="5">
        <v>44691</v>
      </c>
      <c r="J480" s="1" t="s">
        <v>26</v>
      </c>
      <c r="K480" s="1" t="s">
        <v>1392</v>
      </c>
      <c r="L480" s="1" t="s">
        <v>1388</v>
      </c>
      <c r="M480" s="1" t="s">
        <v>1389</v>
      </c>
      <c r="N480" s="1" t="s">
        <v>38</v>
      </c>
      <c r="O480" s="1" t="s">
        <v>265</v>
      </c>
      <c r="Q480" s="1" t="s">
        <v>267</v>
      </c>
      <c r="R480" s="1" t="s">
        <v>113</v>
      </c>
      <c r="S480" s="1"/>
      <c r="U480" s="1" t="s">
        <v>130</v>
      </c>
      <c r="V480" s="1" t="s">
        <v>99</v>
      </c>
      <c r="W480" s="1" t="str">
        <f>VLOOKUP(Table1[[#This Row],[Obergruppe ATC-Code]],Tabelle3!$A$2:$B$100,2)</f>
        <v>BETA-ADRENOZEPTORANTAGONISTEN</v>
      </c>
      <c r="X480" s="1" t="str">
        <f xml:space="preserve"> LEFT(Table1[[#This Row],[Atc Code]],3)</f>
        <v>C07</v>
      </c>
    </row>
    <row r="481" spans="1:24" ht="14.4">
      <c r="A481" s="14">
        <v>1950</v>
      </c>
      <c r="B481" s="24" t="s">
        <v>1393</v>
      </c>
      <c r="C481" s="1">
        <v>2171908</v>
      </c>
      <c r="D481" s="1" t="s">
        <v>25</v>
      </c>
      <c r="E481" s="36">
        <v>44593</v>
      </c>
      <c r="F481" s="36">
        <v>44697</v>
      </c>
      <c r="G481" s="38">
        <f t="shared" si="7"/>
        <v>104</v>
      </c>
      <c r="H481" s="5">
        <v>44593</v>
      </c>
      <c r="I481" s="5">
        <v>44697</v>
      </c>
      <c r="J481" s="1" t="s">
        <v>26</v>
      </c>
      <c r="K481" s="1" t="s">
        <v>1394</v>
      </c>
      <c r="L481" s="1" t="s">
        <v>1388</v>
      </c>
      <c r="M481" s="1" t="s">
        <v>1389</v>
      </c>
      <c r="N481" s="1" t="s">
        <v>38</v>
      </c>
      <c r="O481" s="1" t="s">
        <v>52</v>
      </c>
      <c r="P481" s="1" t="s">
        <v>53</v>
      </c>
      <c r="Q481" s="1" t="s">
        <v>1395</v>
      </c>
      <c r="R481" s="1" t="s">
        <v>113</v>
      </c>
      <c r="S481" s="1"/>
      <c r="U481" s="1" t="s">
        <v>35</v>
      </c>
      <c r="V481" s="1" t="s">
        <v>99</v>
      </c>
      <c r="W481" s="1" t="str">
        <f>VLOOKUP(Table1[[#This Row],[Obergruppe ATC-Code]],Tabelle3!$A$2:$B$100,2)</f>
        <v>BETA-ADRENOZEPTORANTAGONISTEN</v>
      </c>
      <c r="X481" s="1" t="str">
        <f xml:space="preserve"> LEFT(Table1[[#This Row],[Atc Code]],3)</f>
        <v>C07</v>
      </c>
    </row>
    <row r="482" spans="1:24" ht="14.4">
      <c r="A482" s="14">
        <v>2116</v>
      </c>
      <c r="B482" s="24" t="s">
        <v>1396</v>
      </c>
      <c r="C482" s="1">
        <v>2171878</v>
      </c>
      <c r="D482" s="1" t="s">
        <v>25</v>
      </c>
      <c r="E482" s="36">
        <v>44593</v>
      </c>
      <c r="F482" s="36">
        <v>44774</v>
      </c>
      <c r="G482" s="38">
        <f t="shared" si="7"/>
        <v>181</v>
      </c>
      <c r="H482" s="5">
        <v>44593</v>
      </c>
      <c r="I482" s="5">
        <v>44778</v>
      </c>
      <c r="J482" s="1" t="s">
        <v>26</v>
      </c>
      <c r="K482" s="1" t="s">
        <v>1397</v>
      </c>
      <c r="L482" s="1" t="s">
        <v>1388</v>
      </c>
      <c r="M482" s="1" t="s">
        <v>1389</v>
      </c>
      <c r="N482" s="1" t="s">
        <v>38</v>
      </c>
      <c r="O482" s="1" t="s">
        <v>91</v>
      </c>
      <c r="P482" s="1" t="s">
        <v>92</v>
      </c>
      <c r="Q482" s="1" t="s">
        <v>93</v>
      </c>
      <c r="R482" s="1" t="s">
        <v>113</v>
      </c>
      <c r="S482" s="1"/>
      <c r="U482" s="1" t="s">
        <v>35</v>
      </c>
      <c r="V482" s="1" t="s">
        <v>99</v>
      </c>
      <c r="W482" s="1" t="str">
        <f>VLOOKUP(Table1[[#This Row],[Obergruppe ATC-Code]],Tabelle3!$A$2:$B$100,2)</f>
        <v>BETA-ADRENOZEPTORANTAGONISTEN</v>
      </c>
      <c r="X482" s="1" t="str">
        <f xml:space="preserve"> LEFT(Table1[[#This Row],[Atc Code]],3)</f>
        <v>C07</v>
      </c>
    </row>
    <row r="483" spans="1:24" ht="14.4">
      <c r="A483" s="14">
        <v>2876</v>
      </c>
      <c r="B483" s="24" t="s">
        <v>1398</v>
      </c>
      <c r="C483" s="1">
        <v>2203709</v>
      </c>
      <c r="D483" s="1" t="s">
        <v>25</v>
      </c>
      <c r="E483" s="36">
        <v>44900</v>
      </c>
      <c r="F483" s="36">
        <v>44970</v>
      </c>
      <c r="G483" s="38">
        <f t="shared" si="7"/>
        <v>70</v>
      </c>
      <c r="H483" s="5">
        <v>44914</v>
      </c>
      <c r="I483" s="5">
        <v>44971</v>
      </c>
      <c r="J483" s="1" t="s">
        <v>41</v>
      </c>
      <c r="K483" s="1" t="s">
        <v>1399</v>
      </c>
      <c r="L483" s="1" t="s">
        <v>1388</v>
      </c>
      <c r="M483" s="1" t="s">
        <v>1389</v>
      </c>
      <c r="N483" s="1" t="s">
        <v>38</v>
      </c>
      <c r="O483" s="1" t="s">
        <v>265</v>
      </c>
      <c r="P483" s="1" t="s">
        <v>266</v>
      </c>
      <c r="Q483" s="1" t="s">
        <v>267</v>
      </c>
      <c r="R483" s="1" t="s">
        <v>26</v>
      </c>
      <c r="S483" s="1" t="s">
        <v>1400</v>
      </c>
      <c r="U483" s="1" t="s">
        <v>130</v>
      </c>
      <c r="V483" s="1" t="s">
        <v>49</v>
      </c>
      <c r="W483" s="1" t="str">
        <f>VLOOKUP(Table1[[#This Row],[Obergruppe ATC-Code]],Tabelle3!$A$2:$B$100,2)</f>
        <v>BETA-ADRENOZEPTORANTAGONISTEN</v>
      </c>
      <c r="X483" s="1" t="str">
        <f xml:space="preserve"> LEFT(Table1[[#This Row],[Atc Code]],3)</f>
        <v>C07</v>
      </c>
    </row>
    <row r="484" spans="1:24" ht="14.4">
      <c r="A484" s="14">
        <v>2875</v>
      </c>
      <c r="B484" s="24" t="s">
        <v>1401</v>
      </c>
      <c r="C484" s="1">
        <v>2203708</v>
      </c>
      <c r="D484" s="1" t="s">
        <v>25</v>
      </c>
      <c r="E484" s="36">
        <v>44900</v>
      </c>
      <c r="F484" s="36">
        <v>44981</v>
      </c>
      <c r="G484" s="38">
        <f t="shared" si="7"/>
        <v>81</v>
      </c>
      <c r="H484" s="5">
        <v>44914</v>
      </c>
      <c r="I484" s="5">
        <v>44971</v>
      </c>
      <c r="J484" s="1" t="s">
        <v>41</v>
      </c>
      <c r="K484" s="1" t="s">
        <v>1402</v>
      </c>
      <c r="L484" s="1" t="s">
        <v>1388</v>
      </c>
      <c r="M484" s="1" t="s">
        <v>1389</v>
      </c>
      <c r="N484" s="1" t="s">
        <v>38</v>
      </c>
      <c r="O484" s="1" t="s">
        <v>265</v>
      </c>
      <c r="P484" s="1" t="s">
        <v>266</v>
      </c>
      <c r="Q484" s="1" t="s">
        <v>267</v>
      </c>
      <c r="R484" s="1" t="s">
        <v>26</v>
      </c>
      <c r="S484" s="1" t="s">
        <v>1403</v>
      </c>
      <c r="U484" s="1" t="s">
        <v>130</v>
      </c>
      <c r="V484" s="1" t="s">
        <v>49</v>
      </c>
      <c r="W484" s="1" t="str">
        <f>VLOOKUP(Table1[[#This Row],[Obergruppe ATC-Code]],Tabelle3!$A$2:$B$100,2)</f>
        <v>BETA-ADRENOZEPTORANTAGONISTEN</v>
      </c>
      <c r="X484" s="1" t="str">
        <f xml:space="preserve"> LEFT(Table1[[#This Row],[Atc Code]],3)</f>
        <v>C07</v>
      </c>
    </row>
    <row r="485" spans="1:24" ht="14.4">
      <c r="A485" s="14">
        <v>1810</v>
      </c>
      <c r="B485" s="24" t="s">
        <v>1404</v>
      </c>
      <c r="C485" s="1">
        <v>2138610</v>
      </c>
      <c r="D485" s="1" t="s">
        <v>25</v>
      </c>
      <c r="E485" s="36">
        <v>44900</v>
      </c>
      <c r="F485" s="36">
        <v>44970</v>
      </c>
      <c r="G485" s="38">
        <f t="shared" si="7"/>
        <v>70</v>
      </c>
      <c r="H485" s="5">
        <v>44915</v>
      </c>
      <c r="I485" s="5">
        <v>44971</v>
      </c>
      <c r="J485" s="1" t="s">
        <v>41</v>
      </c>
      <c r="K485" s="1" t="s">
        <v>1405</v>
      </c>
      <c r="L485" s="1" t="s">
        <v>1388</v>
      </c>
      <c r="M485" s="1" t="s">
        <v>1389</v>
      </c>
      <c r="N485" s="1" t="s">
        <v>38</v>
      </c>
      <c r="O485" s="1" t="s">
        <v>554</v>
      </c>
      <c r="P485" s="1" t="s">
        <v>266</v>
      </c>
      <c r="Q485" s="1" t="s">
        <v>267</v>
      </c>
      <c r="R485" s="1" t="s">
        <v>26</v>
      </c>
      <c r="S485" s="1" t="s">
        <v>1406</v>
      </c>
      <c r="U485" s="1" t="s">
        <v>130</v>
      </c>
      <c r="V485" s="1" t="s">
        <v>99</v>
      </c>
      <c r="W485" s="1" t="str">
        <f>VLOOKUP(Table1[[#This Row],[Obergruppe ATC-Code]],Tabelle3!$A$2:$B$100,2)</f>
        <v>BETA-ADRENOZEPTORANTAGONISTEN</v>
      </c>
      <c r="X485" s="1" t="str">
        <f xml:space="preserve"> LEFT(Table1[[#This Row],[Atc Code]],3)</f>
        <v>C07</v>
      </c>
    </row>
    <row r="486" spans="1:24" ht="14.4">
      <c r="A486" s="14">
        <v>1527</v>
      </c>
      <c r="B486" s="24">
        <v>16498829</v>
      </c>
      <c r="C486" s="1">
        <v>2203711</v>
      </c>
      <c r="D486" s="1" t="s">
        <v>25</v>
      </c>
      <c r="E486" s="36">
        <v>44900</v>
      </c>
      <c r="F486" s="36">
        <v>44970</v>
      </c>
      <c r="G486" s="38">
        <f t="shared" si="7"/>
        <v>70</v>
      </c>
      <c r="H486" s="5">
        <v>44914</v>
      </c>
      <c r="I486" s="5">
        <v>44971</v>
      </c>
      <c r="J486" s="1" t="s">
        <v>41</v>
      </c>
      <c r="K486" s="1" t="s">
        <v>1407</v>
      </c>
      <c r="L486" s="1" t="s">
        <v>1388</v>
      </c>
      <c r="M486" s="1" t="s">
        <v>1389</v>
      </c>
      <c r="N486" s="1" t="s">
        <v>38</v>
      </c>
      <c r="O486" s="1" t="s">
        <v>265</v>
      </c>
      <c r="P486" s="1" t="s">
        <v>266</v>
      </c>
      <c r="Q486" s="1" t="s">
        <v>267</v>
      </c>
      <c r="R486" s="1" t="s">
        <v>26</v>
      </c>
      <c r="S486" s="1" t="s">
        <v>1408</v>
      </c>
      <c r="U486" s="1" t="s">
        <v>130</v>
      </c>
      <c r="V486" s="1" t="s">
        <v>49</v>
      </c>
      <c r="W486" s="1" t="str">
        <f>VLOOKUP(Table1[[#This Row],[Obergruppe ATC-Code]],Tabelle3!$A$2:$B$100,2)</f>
        <v>BETA-ADRENOZEPTORANTAGONISTEN</v>
      </c>
      <c r="X486" s="1" t="str">
        <f xml:space="preserve"> LEFT(Table1[[#This Row],[Atc Code]],3)</f>
        <v>C07</v>
      </c>
    </row>
    <row r="487" spans="1:24" ht="14.4">
      <c r="A487" s="14">
        <v>156</v>
      </c>
      <c r="B487" s="24">
        <v>992846</v>
      </c>
      <c r="C487" s="1">
        <v>2138609</v>
      </c>
      <c r="D487" s="1" t="s">
        <v>25</v>
      </c>
      <c r="E487" s="36">
        <v>44900</v>
      </c>
      <c r="F487" s="36">
        <v>44970</v>
      </c>
      <c r="G487" s="38">
        <f t="shared" si="7"/>
        <v>70</v>
      </c>
      <c r="H487" s="5">
        <v>44915</v>
      </c>
      <c r="I487" s="5">
        <v>44971</v>
      </c>
      <c r="J487" s="1" t="s">
        <v>41</v>
      </c>
      <c r="K487" s="1" t="s">
        <v>1409</v>
      </c>
      <c r="L487" s="1" t="s">
        <v>1388</v>
      </c>
      <c r="M487" s="1" t="s">
        <v>1389</v>
      </c>
      <c r="N487" s="1" t="s">
        <v>38</v>
      </c>
      <c r="O487" s="1" t="s">
        <v>554</v>
      </c>
      <c r="P487" s="1" t="s">
        <v>266</v>
      </c>
      <c r="Q487" s="1" t="s">
        <v>267</v>
      </c>
      <c r="R487" s="1" t="s">
        <v>26</v>
      </c>
      <c r="S487" s="1" t="s">
        <v>1410</v>
      </c>
      <c r="U487" s="1" t="s">
        <v>130</v>
      </c>
      <c r="V487" s="1" t="s">
        <v>99</v>
      </c>
      <c r="W487" s="1" t="str">
        <f>VLOOKUP(Table1[[#This Row],[Obergruppe ATC-Code]],Tabelle3!$A$2:$B$100,2)</f>
        <v>BETA-ADRENOZEPTORANTAGONISTEN</v>
      </c>
      <c r="X487" s="1" t="str">
        <f xml:space="preserve"> LEFT(Table1[[#This Row],[Atc Code]],3)</f>
        <v>C07</v>
      </c>
    </row>
    <row r="488" spans="1:24" ht="14.4">
      <c r="A488" s="14">
        <v>2117</v>
      </c>
      <c r="B488" s="24" t="s">
        <v>1411</v>
      </c>
      <c r="C488" s="1">
        <v>2171879</v>
      </c>
      <c r="D488" s="1" t="s">
        <v>25</v>
      </c>
      <c r="E488" s="36">
        <v>44911</v>
      </c>
      <c r="F488" s="36">
        <v>44979</v>
      </c>
      <c r="G488" s="38">
        <f t="shared" si="7"/>
        <v>68</v>
      </c>
      <c r="H488" s="5">
        <v>44911</v>
      </c>
      <c r="I488" s="5">
        <v>44979</v>
      </c>
      <c r="J488" s="1" t="s">
        <v>26</v>
      </c>
      <c r="K488" s="1" t="s">
        <v>1412</v>
      </c>
      <c r="L488" s="1" t="s">
        <v>1388</v>
      </c>
      <c r="M488" s="1" t="s">
        <v>1389</v>
      </c>
      <c r="N488" s="1" t="s">
        <v>38</v>
      </c>
      <c r="O488" s="1" t="s">
        <v>91</v>
      </c>
      <c r="Q488" s="1" t="s">
        <v>93</v>
      </c>
      <c r="R488" s="1" t="s">
        <v>113</v>
      </c>
      <c r="S488" s="1"/>
      <c r="U488" s="1" t="s">
        <v>35</v>
      </c>
      <c r="V488" s="1" t="s">
        <v>99</v>
      </c>
      <c r="W488" s="1" t="str">
        <f>VLOOKUP(Table1[[#This Row],[Obergruppe ATC-Code]],Tabelle3!$A$2:$B$100,2)</f>
        <v>BETA-ADRENOZEPTORANTAGONISTEN</v>
      </c>
      <c r="X488" s="1" t="str">
        <f xml:space="preserve"> LEFT(Table1[[#This Row],[Atc Code]],3)</f>
        <v>C07</v>
      </c>
    </row>
    <row r="489" spans="1:24" ht="14.4">
      <c r="A489" s="14">
        <v>2214</v>
      </c>
      <c r="B489" s="24" t="s">
        <v>1413</v>
      </c>
      <c r="C489" s="1">
        <v>2171910</v>
      </c>
      <c r="D489" s="1" t="s">
        <v>25</v>
      </c>
      <c r="E489" s="36">
        <v>44911</v>
      </c>
      <c r="F489" s="36">
        <v>44987</v>
      </c>
      <c r="G489" s="38">
        <f t="shared" si="7"/>
        <v>76</v>
      </c>
      <c r="H489" s="5">
        <v>44911</v>
      </c>
      <c r="I489" s="5">
        <v>44987</v>
      </c>
      <c r="J489" s="1" t="s">
        <v>26</v>
      </c>
      <c r="K489" s="1" t="s">
        <v>1414</v>
      </c>
      <c r="L489" s="1" t="s">
        <v>1388</v>
      </c>
      <c r="M489" s="1" t="s">
        <v>1389</v>
      </c>
      <c r="N489" s="1" t="s">
        <v>38</v>
      </c>
      <c r="O489" s="1" t="s">
        <v>52</v>
      </c>
      <c r="Q489" s="1" t="s">
        <v>54</v>
      </c>
      <c r="R489" s="1" t="s">
        <v>113</v>
      </c>
      <c r="S489" s="1"/>
      <c r="U489" s="1" t="s">
        <v>35</v>
      </c>
      <c r="V489" s="1" t="s">
        <v>99</v>
      </c>
      <c r="W489" s="1" t="str">
        <f>VLOOKUP(Table1[[#This Row],[Obergruppe ATC-Code]],Tabelle3!$A$2:$B$100,2)</f>
        <v>BETA-ADRENOZEPTORANTAGONISTEN</v>
      </c>
      <c r="X489" s="1" t="str">
        <f xml:space="preserve"> LEFT(Table1[[#This Row],[Atc Code]],3)</f>
        <v>C07</v>
      </c>
    </row>
    <row r="490" spans="1:24" ht="14.4">
      <c r="A490" s="14">
        <v>2079</v>
      </c>
      <c r="B490" s="24" t="s">
        <v>1415</v>
      </c>
      <c r="C490" s="1">
        <v>2138603</v>
      </c>
      <c r="D490" s="1" t="s">
        <v>25</v>
      </c>
      <c r="E490" s="36">
        <v>44911</v>
      </c>
      <c r="F490" s="36">
        <v>45019</v>
      </c>
      <c r="G490" s="38">
        <f t="shared" si="7"/>
        <v>108</v>
      </c>
      <c r="H490" s="5">
        <v>44911</v>
      </c>
      <c r="I490" s="5">
        <v>45019</v>
      </c>
      <c r="J490" s="1" t="s">
        <v>26</v>
      </c>
      <c r="K490" s="1" t="s">
        <v>1416</v>
      </c>
      <c r="L490" s="1" t="s">
        <v>1388</v>
      </c>
      <c r="M490" s="1" t="s">
        <v>1389</v>
      </c>
      <c r="N490" s="1" t="s">
        <v>38</v>
      </c>
      <c r="O490" s="1" t="s">
        <v>52</v>
      </c>
      <c r="Q490" s="1" t="s">
        <v>54</v>
      </c>
      <c r="R490" s="1" t="s">
        <v>113</v>
      </c>
      <c r="S490" s="1"/>
      <c r="U490" s="1" t="s">
        <v>35</v>
      </c>
      <c r="V490" s="1" t="s">
        <v>99</v>
      </c>
      <c r="W490" s="1" t="str">
        <f>VLOOKUP(Table1[[#This Row],[Obergruppe ATC-Code]],Tabelle3!$A$2:$B$100,2)</f>
        <v>BETA-ADRENOZEPTORANTAGONISTEN</v>
      </c>
      <c r="X490" s="1" t="str">
        <f xml:space="preserve"> LEFT(Table1[[#This Row],[Atc Code]],3)</f>
        <v>C07</v>
      </c>
    </row>
    <row r="491" spans="1:24" ht="14.4">
      <c r="A491" s="14">
        <v>1769</v>
      </c>
      <c r="B491" s="24" t="s">
        <v>1417</v>
      </c>
      <c r="C491" s="1">
        <v>2137243</v>
      </c>
      <c r="D491" s="1" t="s">
        <v>25</v>
      </c>
      <c r="E491" s="36">
        <v>44911</v>
      </c>
      <c r="F491" s="36">
        <v>45048</v>
      </c>
      <c r="G491" s="38">
        <f t="shared" si="7"/>
        <v>137</v>
      </c>
      <c r="H491" s="5">
        <v>44911</v>
      </c>
      <c r="I491" s="5">
        <v>45048</v>
      </c>
      <c r="J491" s="1" t="s">
        <v>26</v>
      </c>
      <c r="K491" s="1" t="s">
        <v>1418</v>
      </c>
      <c r="L491" s="1" t="s">
        <v>1388</v>
      </c>
      <c r="M491" s="1" t="s">
        <v>1389</v>
      </c>
      <c r="N491" s="1" t="s">
        <v>38</v>
      </c>
      <c r="O491" s="1" t="s">
        <v>91</v>
      </c>
      <c r="Q491" s="1" t="s">
        <v>93</v>
      </c>
      <c r="R491" s="1" t="s">
        <v>113</v>
      </c>
      <c r="S491" s="1"/>
      <c r="U491" s="1" t="s">
        <v>35</v>
      </c>
      <c r="V491" s="1" t="s">
        <v>99</v>
      </c>
      <c r="W491" s="1" t="str">
        <f>VLOOKUP(Table1[[#This Row],[Obergruppe ATC-Code]],Tabelle3!$A$2:$B$100,2)</f>
        <v>BETA-ADRENOZEPTORANTAGONISTEN</v>
      </c>
      <c r="X491" s="1" t="str">
        <f xml:space="preserve"> LEFT(Table1[[#This Row],[Atc Code]],3)</f>
        <v>C07</v>
      </c>
    </row>
    <row r="492" spans="1:24" ht="14.4">
      <c r="A492" s="14">
        <v>2082</v>
      </c>
      <c r="B492" s="24" t="s">
        <v>1419</v>
      </c>
      <c r="C492" s="1">
        <v>2138606</v>
      </c>
      <c r="D492" s="1" t="s">
        <v>25</v>
      </c>
      <c r="E492" s="36">
        <v>44911</v>
      </c>
      <c r="F492" s="36">
        <v>45058</v>
      </c>
      <c r="G492" s="38">
        <f t="shared" si="7"/>
        <v>147</v>
      </c>
      <c r="H492" s="5">
        <v>44911</v>
      </c>
      <c r="I492" s="5">
        <v>45058</v>
      </c>
      <c r="J492" s="1" t="s">
        <v>26</v>
      </c>
      <c r="K492" s="1" t="s">
        <v>1420</v>
      </c>
      <c r="L492" s="1" t="s">
        <v>1388</v>
      </c>
      <c r="M492" s="1" t="s">
        <v>1389</v>
      </c>
      <c r="N492" s="1" t="s">
        <v>38</v>
      </c>
      <c r="O492" s="1" t="s">
        <v>52</v>
      </c>
      <c r="Q492" s="1" t="s">
        <v>54</v>
      </c>
      <c r="R492" s="1" t="s">
        <v>113</v>
      </c>
      <c r="S492" s="1"/>
      <c r="U492" s="1" t="s">
        <v>35</v>
      </c>
      <c r="V492" s="1" t="s">
        <v>99</v>
      </c>
      <c r="W492" s="1" t="str">
        <f>VLOOKUP(Table1[[#This Row],[Obergruppe ATC-Code]],Tabelle3!$A$2:$B$100,2)</f>
        <v>BETA-ADRENOZEPTORANTAGONISTEN</v>
      </c>
      <c r="X492" s="1" t="str">
        <f xml:space="preserve"> LEFT(Table1[[#This Row],[Atc Code]],3)</f>
        <v>C07</v>
      </c>
    </row>
    <row r="493" spans="1:24" ht="14.4">
      <c r="A493" s="14">
        <v>1768</v>
      </c>
      <c r="B493" s="24" t="s">
        <v>1421</v>
      </c>
      <c r="C493" s="1">
        <v>2137246</v>
      </c>
      <c r="D493" s="1" t="s">
        <v>25</v>
      </c>
      <c r="E493" s="36">
        <v>44911</v>
      </c>
      <c r="F493" s="36">
        <v>45058</v>
      </c>
      <c r="G493" s="38">
        <f t="shared" si="7"/>
        <v>147</v>
      </c>
      <c r="H493" s="5">
        <v>44911</v>
      </c>
      <c r="I493" s="5">
        <v>45058</v>
      </c>
      <c r="J493" s="1" t="s">
        <v>26</v>
      </c>
      <c r="K493" s="1" t="s">
        <v>1422</v>
      </c>
      <c r="L493" s="1" t="s">
        <v>1388</v>
      </c>
      <c r="M493" s="1" t="s">
        <v>1389</v>
      </c>
      <c r="N493" s="1" t="s">
        <v>38</v>
      </c>
      <c r="O493" s="1" t="s">
        <v>91</v>
      </c>
      <c r="Q493" s="1" t="s">
        <v>93</v>
      </c>
      <c r="R493" s="1" t="s">
        <v>113</v>
      </c>
      <c r="S493" s="1"/>
      <c r="U493" s="1" t="s">
        <v>35</v>
      </c>
      <c r="V493" s="1" t="s">
        <v>99</v>
      </c>
      <c r="W493" s="1" t="str">
        <f>VLOOKUP(Table1[[#This Row],[Obergruppe ATC-Code]],Tabelle3!$A$2:$B$100,2)</f>
        <v>BETA-ADRENOZEPTORANTAGONISTEN</v>
      </c>
      <c r="X493" s="1" t="str">
        <f xml:space="preserve"> LEFT(Table1[[#This Row],[Atc Code]],3)</f>
        <v>C07</v>
      </c>
    </row>
    <row r="494" spans="1:24" ht="14.4">
      <c r="A494" s="14">
        <v>2118</v>
      </c>
      <c r="B494" s="24" t="s">
        <v>1423</v>
      </c>
      <c r="C494" s="1">
        <v>2171880</v>
      </c>
      <c r="D494" s="1" t="s">
        <v>25</v>
      </c>
      <c r="E494" s="36">
        <v>44911</v>
      </c>
      <c r="F494" s="36">
        <v>45065</v>
      </c>
      <c r="G494" s="38">
        <f t="shared" si="7"/>
        <v>154</v>
      </c>
      <c r="H494" s="5">
        <v>44911</v>
      </c>
      <c r="I494" s="5">
        <v>45065</v>
      </c>
      <c r="J494" s="1" t="s">
        <v>26</v>
      </c>
      <c r="K494" s="1" t="s">
        <v>1424</v>
      </c>
      <c r="L494" s="1" t="s">
        <v>1388</v>
      </c>
      <c r="M494" s="1" t="s">
        <v>1389</v>
      </c>
      <c r="N494" s="1" t="s">
        <v>38</v>
      </c>
      <c r="O494" s="1" t="s">
        <v>91</v>
      </c>
      <c r="Q494" s="1" t="s">
        <v>93</v>
      </c>
      <c r="R494" s="1" t="s">
        <v>113</v>
      </c>
      <c r="S494" s="1"/>
      <c r="U494" s="1" t="s">
        <v>35</v>
      </c>
      <c r="V494" s="1" t="s">
        <v>99</v>
      </c>
      <c r="W494" s="1" t="str">
        <f>VLOOKUP(Table1[[#This Row],[Obergruppe ATC-Code]],Tabelle3!$A$2:$B$100,2)</f>
        <v>BETA-ADRENOZEPTORANTAGONISTEN</v>
      </c>
      <c r="X494" s="1" t="str">
        <f xml:space="preserve"> LEFT(Table1[[#This Row],[Atc Code]],3)</f>
        <v>C07</v>
      </c>
    </row>
    <row r="495" spans="1:24" ht="14.4">
      <c r="A495" s="14">
        <v>2213</v>
      </c>
      <c r="B495" s="24" t="s">
        <v>1425</v>
      </c>
      <c r="C495" s="1">
        <v>2171909</v>
      </c>
      <c r="D495" s="1" t="s">
        <v>25</v>
      </c>
      <c r="E495" s="36">
        <v>44911</v>
      </c>
      <c r="F495" s="36">
        <v>45081</v>
      </c>
      <c r="G495" s="38">
        <f t="shared" si="7"/>
        <v>170</v>
      </c>
      <c r="H495" s="5">
        <v>44911</v>
      </c>
      <c r="I495" s="5">
        <v>45081</v>
      </c>
      <c r="J495" s="1" t="s">
        <v>26</v>
      </c>
      <c r="K495" s="1" t="s">
        <v>1426</v>
      </c>
      <c r="L495" s="1" t="s">
        <v>1388</v>
      </c>
      <c r="M495" s="1" t="s">
        <v>1389</v>
      </c>
      <c r="N495" s="1" t="s">
        <v>38</v>
      </c>
      <c r="O495" s="1" t="s">
        <v>52</v>
      </c>
      <c r="Q495" s="1" t="s">
        <v>54</v>
      </c>
      <c r="R495" s="1" t="s">
        <v>113</v>
      </c>
      <c r="S495" s="1"/>
      <c r="U495" s="1" t="s">
        <v>130</v>
      </c>
      <c r="V495" s="1" t="s">
        <v>99</v>
      </c>
      <c r="W495" s="1" t="str">
        <f>VLOOKUP(Table1[[#This Row],[Obergruppe ATC-Code]],Tabelle3!$A$2:$B$100,2)</f>
        <v>BETA-ADRENOZEPTORANTAGONISTEN</v>
      </c>
      <c r="X495" s="1" t="str">
        <f xml:space="preserve"> LEFT(Table1[[#This Row],[Atc Code]],3)</f>
        <v>C07</v>
      </c>
    </row>
    <row r="496" spans="1:24" ht="14.4">
      <c r="A496" s="14">
        <v>2873</v>
      </c>
      <c r="B496" s="24" t="s">
        <v>1391</v>
      </c>
      <c r="C496" s="1">
        <v>2203707</v>
      </c>
      <c r="D496" s="1" t="s">
        <v>25</v>
      </c>
      <c r="E496" s="36">
        <v>44900</v>
      </c>
      <c r="F496" s="36">
        <v>45096</v>
      </c>
      <c r="G496" s="38">
        <f t="shared" si="7"/>
        <v>196</v>
      </c>
      <c r="H496" s="5">
        <v>44914</v>
      </c>
      <c r="I496" s="5">
        <v>45096</v>
      </c>
      <c r="J496" s="1" t="s">
        <v>41</v>
      </c>
      <c r="K496" s="1" t="s">
        <v>1392</v>
      </c>
      <c r="L496" s="1" t="s">
        <v>1388</v>
      </c>
      <c r="M496" s="1" t="s">
        <v>1389</v>
      </c>
      <c r="N496" s="1" t="s">
        <v>38</v>
      </c>
      <c r="O496" s="1" t="s">
        <v>265</v>
      </c>
      <c r="P496" s="1" t="s">
        <v>266</v>
      </c>
      <c r="Q496" s="1" t="s">
        <v>267</v>
      </c>
      <c r="R496" s="1" t="s">
        <v>26</v>
      </c>
      <c r="S496" s="1" t="s">
        <v>1427</v>
      </c>
      <c r="U496" s="1" t="s">
        <v>130</v>
      </c>
      <c r="V496" s="1" t="s">
        <v>99</v>
      </c>
      <c r="W496" s="1" t="str">
        <f>VLOOKUP(Table1[[#This Row],[Obergruppe ATC-Code]],Tabelle3!$A$2:$B$100,2)</f>
        <v>BETA-ADRENOZEPTORANTAGONISTEN</v>
      </c>
      <c r="X496" s="1" t="str">
        <f xml:space="preserve"> LEFT(Table1[[#This Row],[Atc Code]],3)</f>
        <v>C07</v>
      </c>
    </row>
    <row r="497" spans="1:24" ht="14.4">
      <c r="A497" s="14">
        <v>1220</v>
      </c>
      <c r="B497" s="25">
        <v>11162562</v>
      </c>
      <c r="C497" s="1">
        <v>2180102</v>
      </c>
      <c r="D497" s="1" t="s">
        <v>25</v>
      </c>
      <c r="E497" s="36">
        <v>42705</v>
      </c>
      <c r="F497" s="36">
        <v>43131</v>
      </c>
      <c r="G497" s="38">
        <f t="shared" si="7"/>
        <v>426</v>
      </c>
      <c r="H497" s="5">
        <v>42732</v>
      </c>
      <c r="I497" s="5">
        <v>43117</v>
      </c>
      <c r="J497" s="1" t="s">
        <v>41</v>
      </c>
      <c r="K497" s="1" t="s">
        <v>1428</v>
      </c>
      <c r="L497" s="1" t="s">
        <v>1429</v>
      </c>
      <c r="M497" s="1" t="s">
        <v>1430</v>
      </c>
      <c r="N497" s="1" t="s">
        <v>30</v>
      </c>
      <c r="O497" s="1" t="s">
        <v>1431</v>
      </c>
      <c r="P497" s="1" t="s">
        <v>1432</v>
      </c>
      <c r="Q497" s="1" t="s">
        <v>647</v>
      </c>
      <c r="R497" s="1" t="s">
        <v>48</v>
      </c>
      <c r="S497" s="1"/>
      <c r="U497" s="1" t="s">
        <v>57</v>
      </c>
      <c r="V497" s="1" t="s">
        <v>1433</v>
      </c>
      <c r="W497" s="1" t="str">
        <f>VLOOKUP(Table1[[#This Row],[Obergruppe ATC-Code]],Tabelle3!$A$2:$B$100,2)</f>
        <v>BETA-ADRENOZEPTORANTAGONISTEN</v>
      </c>
      <c r="X497" s="1" t="str">
        <f xml:space="preserve"> LEFT(Table1[[#This Row],[Atc Code]],3)</f>
        <v>C07</v>
      </c>
    </row>
    <row r="498" spans="1:24" ht="14.4">
      <c r="A498" s="14">
        <v>2197</v>
      </c>
      <c r="B498" s="24" t="s">
        <v>1434</v>
      </c>
      <c r="C498" s="1">
        <v>2166095</v>
      </c>
      <c r="D498" s="1" t="s">
        <v>25</v>
      </c>
      <c r="E498" s="36">
        <v>43983</v>
      </c>
      <c r="F498" s="36">
        <v>44165</v>
      </c>
      <c r="G498" s="38">
        <f t="shared" si="7"/>
        <v>182</v>
      </c>
      <c r="H498" s="5">
        <v>43984</v>
      </c>
      <c r="I498" s="5">
        <v>44139</v>
      </c>
      <c r="J498" s="1" t="s">
        <v>26</v>
      </c>
      <c r="K498" s="1" t="s">
        <v>1435</v>
      </c>
      <c r="L498" s="1" t="s">
        <v>1436</v>
      </c>
      <c r="M498" s="1" t="s">
        <v>1437</v>
      </c>
      <c r="N498" s="1" t="s">
        <v>30</v>
      </c>
      <c r="O498" s="1" t="s">
        <v>123</v>
      </c>
      <c r="P498" s="1" t="s">
        <v>124</v>
      </c>
      <c r="Q498" s="1" t="s">
        <v>125</v>
      </c>
      <c r="R498" s="1" t="s">
        <v>33</v>
      </c>
      <c r="S498" s="1"/>
      <c r="U498" s="1" t="s">
        <v>35</v>
      </c>
      <c r="V498" s="1" t="s">
        <v>49</v>
      </c>
      <c r="W498" s="1" t="str">
        <f>VLOOKUP(Table1[[#This Row],[Obergruppe ATC-Code]],Tabelle3!$A$2:$B$100,2)</f>
        <v>BETA-ADRENOZEPTORANTAGONISTEN</v>
      </c>
      <c r="X498" s="1" t="str">
        <f xml:space="preserve"> LEFT(Table1[[#This Row],[Atc Code]],3)</f>
        <v>C07</v>
      </c>
    </row>
    <row r="499" spans="1:24" ht="14.4">
      <c r="A499" s="14">
        <v>2460</v>
      </c>
      <c r="B499" s="24" t="s">
        <v>1438</v>
      </c>
      <c r="C499" s="1">
        <v>2172058</v>
      </c>
      <c r="D499" s="1" t="s">
        <v>25</v>
      </c>
      <c r="E499" s="36">
        <v>43952</v>
      </c>
      <c r="F499" s="36">
        <v>44286</v>
      </c>
      <c r="G499" s="38">
        <f t="shared" si="7"/>
        <v>334</v>
      </c>
      <c r="H499" s="5">
        <v>43979</v>
      </c>
      <c r="I499" s="5">
        <v>44294</v>
      </c>
      <c r="J499" s="1" t="s">
        <v>26</v>
      </c>
      <c r="K499" s="1" t="s">
        <v>1439</v>
      </c>
      <c r="L499" s="1" t="s">
        <v>1436</v>
      </c>
      <c r="M499" s="1" t="s">
        <v>1437</v>
      </c>
      <c r="N499" s="1" t="s">
        <v>38</v>
      </c>
      <c r="O499" s="1" t="s">
        <v>1440</v>
      </c>
      <c r="P499" s="1" t="s">
        <v>1441</v>
      </c>
      <c r="Q499" s="1" t="s">
        <v>1442</v>
      </c>
      <c r="R499" s="1" t="s">
        <v>33</v>
      </c>
      <c r="S499" s="1"/>
      <c r="U499" s="1" t="s">
        <v>35</v>
      </c>
      <c r="V499" s="1" t="s">
        <v>49</v>
      </c>
      <c r="W499" s="1" t="str">
        <f>VLOOKUP(Table1[[#This Row],[Obergruppe ATC-Code]],Tabelle3!$A$2:$B$100,2)</f>
        <v>BETA-ADRENOZEPTORANTAGONISTEN</v>
      </c>
      <c r="X499" s="1" t="str">
        <f xml:space="preserve"> LEFT(Table1[[#This Row],[Atc Code]],3)</f>
        <v>C07</v>
      </c>
    </row>
    <row r="500" spans="1:24" ht="14.4">
      <c r="A500" s="14">
        <v>1359</v>
      </c>
      <c r="B500" s="24">
        <v>13251324</v>
      </c>
      <c r="C500" s="1">
        <v>2194096</v>
      </c>
      <c r="D500" s="1" t="s">
        <v>25</v>
      </c>
      <c r="E500" s="36">
        <v>43405</v>
      </c>
      <c r="F500" s="36">
        <v>43861</v>
      </c>
      <c r="G500" s="38">
        <f t="shared" si="7"/>
        <v>456</v>
      </c>
      <c r="H500" s="5">
        <v>43472</v>
      </c>
      <c r="I500" s="5">
        <v>43840</v>
      </c>
      <c r="J500" s="1" t="s">
        <v>41</v>
      </c>
      <c r="K500" s="1" t="s">
        <v>1443</v>
      </c>
      <c r="L500" s="1" t="s">
        <v>1444</v>
      </c>
      <c r="M500" s="1" t="s">
        <v>1445</v>
      </c>
      <c r="N500" s="1" t="s">
        <v>30</v>
      </c>
      <c r="O500" s="1" t="s">
        <v>1446</v>
      </c>
      <c r="P500" s="1" t="s">
        <v>1447</v>
      </c>
      <c r="Q500" s="1" t="s">
        <v>1448</v>
      </c>
      <c r="R500" s="1" t="s">
        <v>26</v>
      </c>
      <c r="S500" s="1"/>
      <c r="T500" s="1" t="s">
        <v>1449</v>
      </c>
      <c r="U500" s="1" t="s">
        <v>57</v>
      </c>
      <c r="V500" s="1" t="s">
        <v>1450</v>
      </c>
      <c r="W500" s="1" t="str">
        <f>VLOOKUP(Table1[[#This Row],[Obergruppe ATC-Code]],Tabelle3!$A$2:$B$100,2)</f>
        <v>BETA-ADRENOZEPTORANTAGONISTEN</v>
      </c>
      <c r="X500" s="1" t="str">
        <f xml:space="preserve"> LEFT(Table1[[#This Row],[Atc Code]],3)</f>
        <v>C07</v>
      </c>
    </row>
    <row r="501" spans="1:24" ht="14.4">
      <c r="A501" s="14">
        <v>1360</v>
      </c>
      <c r="B501" s="24">
        <v>13251324</v>
      </c>
      <c r="C501" s="1">
        <v>2194096</v>
      </c>
      <c r="D501" s="1" t="s">
        <v>175</v>
      </c>
      <c r="E501" s="36">
        <v>45117</v>
      </c>
      <c r="F501" s="36">
        <v>45260</v>
      </c>
      <c r="G501" s="38">
        <f t="shared" si="7"/>
        <v>143</v>
      </c>
      <c r="H501" s="5">
        <v>45121</v>
      </c>
      <c r="I501" s="5">
        <v>45121</v>
      </c>
      <c r="J501" s="1" t="s">
        <v>26</v>
      </c>
      <c r="K501" s="1" t="s">
        <v>1443</v>
      </c>
      <c r="L501" s="1" t="s">
        <v>1444</v>
      </c>
      <c r="M501" s="1" t="s">
        <v>1445</v>
      </c>
      <c r="N501" s="1" t="s">
        <v>30</v>
      </c>
      <c r="O501" s="1" t="s">
        <v>1446</v>
      </c>
      <c r="P501" s="1" t="s">
        <v>1451</v>
      </c>
      <c r="Q501" s="1" t="s">
        <v>1452</v>
      </c>
      <c r="R501" s="1" t="s">
        <v>26</v>
      </c>
      <c r="S501" s="1" t="s">
        <v>1453</v>
      </c>
      <c r="U501" s="1" t="s">
        <v>130</v>
      </c>
      <c r="V501" s="1" t="s">
        <v>1450</v>
      </c>
      <c r="W501" s="1" t="str">
        <f>VLOOKUP(Table1[[#This Row],[Obergruppe ATC-Code]],Tabelle3!$A$2:$B$100,2)</f>
        <v>BETA-ADRENOZEPTORANTAGONISTEN</v>
      </c>
      <c r="X501" s="1" t="str">
        <f xml:space="preserve"> LEFT(Table1[[#This Row],[Atc Code]],3)</f>
        <v>C07</v>
      </c>
    </row>
    <row r="502" spans="1:24" ht="14.4">
      <c r="A502" s="14">
        <v>2159</v>
      </c>
      <c r="B502" s="24" t="s">
        <v>1454</v>
      </c>
      <c r="C502" s="1">
        <v>2124128</v>
      </c>
      <c r="D502" s="1" t="s">
        <v>25</v>
      </c>
      <c r="E502" s="36">
        <v>44547</v>
      </c>
      <c r="F502" s="36">
        <v>44651</v>
      </c>
      <c r="G502" s="38">
        <f t="shared" si="7"/>
        <v>104</v>
      </c>
      <c r="H502" s="5">
        <v>44547</v>
      </c>
      <c r="I502" s="5">
        <v>44655</v>
      </c>
      <c r="J502" s="1" t="s">
        <v>26</v>
      </c>
      <c r="K502" s="1" t="s">
        <v>1455</v>
      </c>
      <c r="L502" s="1" t="s">
        <v>1456</v>
      </c>
      <c r="M502" s="1" t="s">
        <v>1457</v>
      </c>
      <c r="N502" s="1" t="s">
        <v>38</v>
      </c>
      <c r="O502" s="1" t="s">
        <v>91</v>
      </c>
      <c r="P502" s="1" t="s">
        <v>92</v>
      </c>
      <c r="Q502" s="1" t="s">
        <v>93</v>
      </c>
      <c r="R502" s="1" t="s">
        <v>26</v>
      </c>
      <c r="S502" s="1"/>
      <c r="U502" s="1" t="s">
        <v>35</v>
      </c>
      <c r="V502" s="1" t="s">
        <v>49</v>
      </c>
      <c r="W502" s="1" t="str">
        <f>VLOOKUP(Table1[[#This Row],[Obergruppe ATC-Code]],Tabelle3!$A$2:$B$100,2)</f>
        <v>BETA-ADRENOZEPTORANTAGONISTEN</v>
      </c>
      <c r="X502" s="1" t="str">
        <f xml:space="preserve"> LEFT(Table1[[#This Row],[Atc Code]],3)</f>
        <v>C07</v>
      </c>
    </row>
    <row r="503" spans="1:24" ht="14.4">
      <c r="A503" s="14">
        <v>366</v>
      </c>
      <c r="B503" s="24">
        <v>2091840</v>
      </c>
      <c r="C503" s="1">
        <v>2129008</v>
      </c>
      <c r="D503" s="1" t="s">
        <v>25</v>
      </c>
      <c r="E503" s="36">
        <v>44166</v>
      </c>
      <c r="F503" s="36">
        <v>44286</v>
      </c>
      <c r="G503" s="38">
        <f t="shared" si="7"/>
        <v>120</v>
      </c>
      <c r="H503" s="5">
        <v>44179</v>
      </c>
      <c r="I503" s="5">
        <v>44280</v>
      </c>
      <c r="J503" s="1" t="s">
        <v>41</v>
      </c>
      <c r="K503" s="1" t="s">
        <v>1458</v>
      </c>
      <c r="L503" s="1" t="s">
        <v>1459</v>
      </c>
      <c r="M503" s="1" t="s">
        <v>1460</v>
      </c>
      <c r="N503" s="1" t="s">
        <v>38</v>
      </c>
      <c r="O503" s="1" t="s">
        <v>548</v>
      </c>
      <c r="P503" s="1">
        <v>8004288373</v>
      </c>
      <c r="Q503" s="1" t="s">
        <v>549</v>
      </c>
      <c r="R503" s="1" t="s">
        <v>65</v>
      </c>
      <c r="S503" s="1"/>
      <c r="U503" s="1" t="s">
        <v>35</v>
      </c>
      <c r="V503" s="1" t="s">
        <v>99</v>
      </c>
      <c r="W503" s="1" t="str">
        <f>VLOOKUP(Table1[[#This Row],[Obergruppe ATC-Code]],Tabelle3!$A$2:$B$100,2)</f>
        <v>BETA-ADRENOZEPTORANTAGONISTEN</v>
      </c>
      <c r="X503" s="1" t="str">
        <f xml:space="preserve"> LEFT(Table1[[#This Row],[Atc Code]],3)</f>
        <v>C07</v>
      </c>
    </row>
    <row r="504" spans="1:24" ht="14.4">
      <c r="A504" s="14">
        <v>1965</v>
      </c>
      <c r="B504" s="24" t="s">
        <v>1461</v>
      </c>
      <c r="C504" s="1">
        <v>2146827</v>
      </c>
      <c r="D504" s="1" t="s">
        <v>25</v>
      </c>
      <c r="E504" s="36">
        <v>44911</v>
      </c>
      <c r="F504" s="36">
        <v>44946</v>
      </c>
      <c r="G504" s="38">
        <f t="shared" si="7"/>
        <v>35</v>
      </c>
      <c r="H504" s="5">
        <v>44911</v>
      </c>
      <c r="I504" s="5">
        <v>44946</v>
      </c>
      <c r="J504" s="1" t="s">
        <v>26</v>
      </c>
      <c r="K504" s="1" t="s">
        <v>1462</v>
      </c>
      <c r="L504" s="1" t="s">
        <v>1459</v>
      </c>
      <c r="M504" s="1" t="s">
        <v>1460</v>
      </c>
      <c r="N504" s="1" t="s">
        <v>38</v>
      </c>
      <c r="O504" s="1" t="s">
        <v>91</v>
      </c>
      <c r="Q504" s="1" t="s">
        <v>93</v>
      </c>
      <c r="R504" s="1" t="s">
        <v>113</v>
      </c>
      <c r="S504" s="1"/>
      <c r="U504" s="1" t="s">
        <v>35</v>
      </c>
      <c r="V504" s="1" t="s">
        <v>99</v>
      </c>
      <c r="W504" s="1" t="str">
        <f>VLOOKUP(Table1[[#This Row],[Obergruppe ATC-Code]],Tabelle3!$A$2:$B$100,2)</f>
        <v>BETA-ADRENOZEPTORANTAGONISTEN</v>
      </c>
      <c r="X504" s="1" t="str">
        <f xml:space="preserve"> LEFT(Table1[[#This Row],[Atc Code]],3)</f>
        <v>C07</v>
      </c>
    </row>
    <row r="505" spans="1:24" ht="14.4">
      <c r="A505" s="14">
        <v>1964</v>
      </c>
      <c r="B505" s="24" t="s">
        <v>1463</v>
      </c>
      <c r="C505" s="1">
        <v>2146823</v>
      </c>
      <c r="D505" s="1" t="s">
        <v>25</v>
      </c>
      <c r="E505" s="36">
        <v>44911</v>
      </c>
      <c r="F505" s="36">
        <v>44946</v>
      </c>
      <c r="G505" s="38">
        <f t="shared" si="7"/>
        <v>35</v>
      </c>
      <c r="H505" s="5">
        <v>44911</v>
      </c>
      <c r="I505" s="5">
        <v>44946</v>
      </c>
      <c r="J505" s="1" t="s">
        <v>26</v>
      </c>
      <c r="K505" s="1" t="s">
        <v>1464</v>
      </c>
      <c r="L505" s="1" t="s">
        <v>1459</v>
      </c>
      <c r="M505" s="1" t="s">
        <v>1460</v>
      </c>
      <c r="N505" s="1" t="s">
        <v>38</v>
      </c>
      <c r="O505" s="1" t="s">
        <v>91</v>
      </c>
      <c r="Q505" s="1" t="s">
        <v>93</v>
      </c>
      <c r="R505" s="1" t="s">
        <v>113</v>
      </c>
      <c r="S505" s="1"/>
      <c r="U505" s="1" t="s">
        <v>35</v>
      </c>
      <c r="V505" s="1" t="s">
        <v>99</v>
      </c>
      <c r="W505" s="1" t="str">
        <f>VLOOKUP(Table1[[#This Row],[Obergruppe ATC-Code]],Tabelle3!$A$2:$B$100,2)</f>
        <v>BETA-ADRENOZEPTORANTAGONISTEN</v>
      </c>
      <c r="X505" s="1" t="str">
        <f xml:space="preserve"> LEFT(Table1[[#This Row],[Atc Code]],3)</f>
        <v>C07</v>
      </c>
    </row>
    <row r="506" spans="1:24" ht="14.4">
      <c r="A506" s="14">
        <v>1890</v>
      </c>
      <c r="B506" s="24" t="s">
        <v>1465</v>
      </c>
      <c r="C506" s="1">
        <v>2146822</v>
      </c>
      <c r="D506" s="1" t="s">
        <v>25</v>
      </c>
      <c r="E506" s="36">
        <v>44911</v>
      </c>
      <c r="F506" s="36">
        <v>45156</v>
      </c>
      <c r="G506" s="38">
        <f t="shared" si="7"/>
        <v>245</v>
      </c>
      <c r="H506" s="5">
        <v>44911</v>
      </c>
      <c r="I506" s="5">
        <v>45156</v>
      </c>
      <c r="J506" s="1" t="s">
        <v>26</v>
      </c>
      <c r="K506" s="1" t="s">
        <v>1466</v>
      </c>
      <c r="L506" s="1" t="s">
        <v>1459</v>
      </c>
      <c r="M506" s="1" t="s">
        <v>1460</v>
      </c>
      <c r="N506" s="1" t="s">
        <v>38</v>
      </c>
      <c r="O506" s="1" t="s">
        <v>52</v>
      </c>
      <c r="Q506" s="1" t="s">
        <v>54</v>
      </c>
      <c r="R506" s="1" t="s">
        <v>113</v>
      </c>
      <c r="S506" s="1"/>
      <c r="U506" s="1" t="s">
        <v>35</v>
      </c>
      <c r="V506" s="1" t="s">
        <v>99</v>
      </c>
      <c r="W506" s="1" t="str">
        <f>VLOOKUP(Table1[[#This Row],[Obergruppe ATC-Code]],Tabelle3!$A$2:$B$100,2)</f>
        <v>BETA-ADRENOZEPTORANTAGONISTEN</v>
      </c>
      <c r="X506" s="1" t="str">
        <f xml:space="preserve"> LEFT(Table1[[#This Row],[Atc Code]],3)</f>
        <v>C07</v>
      </c>
    </row>
    <row r="507" spans="1:24" ht="14.4">
      <c r="A507" s="14">
        <v>1889</v>
      </c>
      <c r="B507" s="24" t="s">
        <v>1467</v>
      </c>
      <c r="C507" s="1">
        <v>2146826</v>
      </c>
      <c r="D507" s="1" t="s">
        <v>25</v>
      </c>
      <c r="E507" s="36">
        <v>44911</v>
      </c>
      <c r="F507" s="36">
        <v>45156</v>
      </c>
      <c r="G507" s="38">
        <f t="shared" si="7"/>
        <v>245</v>
      </c>
      <c r="H507" s="5">
        <v>44911</v>
      </c>
      <c r="I507" s="5">
        <v>45156</v>
      </c>
      <c r="J507" s="1" t="s">
        <v>26</v>
      </c>
      <c r="K507" s="1" t="s">
        <v>1468</v>
      </c>
      <c r="L507" s="1" t="s">
        <v>1459</v>
      </c>
      <c r="M507" s="1" t="s">
        <v>1460</v>
      </c>
      <c r="N507" s="1" t="s">
        <v>38</v>
      </c>
      <c r="O507" s="1" t="s">
        <v>52</v>
      </c>
      <c r="Q507" s="1" t="s">
        <v>54</v>
      </c>
      <c r="R507" s="1" t="s">
        <v>113</v>
      </c>
      <c r="S507" s="1"/>
      <c r="U507" s="1" t="s">
        <v>35</v>
      </c>
      <c r="V507" s="1" t="s">
        <v>99</v>
      </c>
      <c r="W507" s="1" t="str">
        <f>VLOOKUP(Table1[[#This Row],[Obergruppe ATC-Code]],Tabelle3!$A$2:$B$100,2)</f>
        <v>BETA-ADRENOZEPTORANTAGONISTEN</v>
      </c>
      <c r="X507" s="1" t="str">
        <f xml:space="preserve"> LEFT(Table1[[#This Row],[Atc Code]],3)</f>
        <v>C07</v>
      </c>
    </row>
    <row r="508" spans="1:24" ht="14.4">
      <c r="A508" s="14">
        <v>860</v>
      </c>
      <c r="B508" s="24">
        <v>7260419</v>
      </c>
      <c r="C508" s="1">
        <v>2103995</v>
      </c>
      <c r="D508" s="1" t="s">
        <v>25</v>
      </c>
      <c r="E508" s="36">
        <v>44562</v>
      </c>
      <c r="F508" s="36">
        <v>44804</v>
      </c>
      <c r="G508" s="38">
        <f t="shared" si="7"/>
        <v>242</v>
      </c>
      <c r="H508" s="5">
        <v>44574</v>
      </c>
      <c r="I508" s="5">
        <v>44831</v>
      </c>
      <c r="J508" s="1" t="s">
        <v>26</v>
      </c>
      <c r="K508" s="1" t="s">
        <v>1469</v>
      </c>
      <c r="L508" s="1" t="s">
        <v>1470</v>
      </c>
      <c r="M508" s="1" t="s">
        <v>1471</v>
      </c>
      <c r="N508" s="1" t="s">
        <v>38</v>
      </c>
      <c r="O508" s="1" t="s">
        <v>45</v>
      </c>
      <c r="Q508" s="1" t="s">
        <v>118</v>
      </c>
      <c r="R508" s="1" t="s">
        <v>26</v>
      </c>
      <c r="S508" s="1"/>
      <c r="U508" s="1" t="s">
        <v>130</v>
      </c>
      <c r="V508" s="1" t="s">
        <v>99</v>
      </c>
      <c r="W508" s="1" t="str">
        <f>VLOOKUP(Table1[[#This Row],[Obergruppe ATC-Code]],Tabelle3!$A$2:$B$100,2)</f>
        <v>BETA-ADRENOZEPTORANTAGONISTEN</v>
      </c>
      <c r="X508" s="1" t="str">
        <f xml:space="preserve"> LEFT(Table1[[#This Row],[Atc Code]],3)</f>
        <v>C07</v>
      </c>
    </row>
    <row r="509" spans="1:24" ht="14.4">
      <c r="A509" s="14">
        <v>3062</v>
      </c>
      <c r="B509" s="3">
        <v>758085</v>
      </c>
      <c r="C509" s="1">
        <v>2131223</v>
      </c>
      <c r="D509" s="1" t="s">
        <v>25</v>
      </c>
      <c r="E509" s="36">
        <v>42767</v>
      </c>
      <c r="F509" s="36">
        <v>43008</v>
      </c>
      <c r="G509" s="38">
        <f t="shared" si="7"/>
        <v>241</v>
      </c>
      <c r="H509" s="5">
        <v>42787</v>
      </c>
      <c r="I509" s="5">
        <v>43047</v>
      </c>
      <c r="J509" s="1" t="s">
        <v>41</v>
      </c>
      <c r="K509" s="1" t="s">
        <v>1472</v>
      </c>
      <c r="L509" s="1" t="s">
        <v>1473</v>
      </c>
      <c r="M509" s="1" t="s">
        <v>1474</v>
      </c>
      <c r="N509" s="1" t="s">
        <v>38</v>
      </c>
      <c r="O509" s="1" t="s">
        <v>1475</v>
      </c>
      <c r="P509" s="1" t="s">
        <v>752</v>
      </c>
      <c r="Q509" s="1" t="s">
        <v>647</v>
      </c>
      <c r="R509" s="1" t="s">
        <v>26</v>
      </c>
      <c r="S509" s="1"/>
      <c r="U509" s="1" t="s">
        <v>35</v>
      </c>
      <c r="V509" s="1" t="s">
        <v>359</v>
      </c>
      <c r="W509" s="1" t="str">
        <f>VLOOKUP(Table1[[#This Row],[Obergruppe ATC-Code]],Tabelle3!$A$2:$B$100,2)</f>
        <v>CALCIUMKANALBLOCKER</v>
      </c>
      <c r="X509" s="1" t="str">
        <f xml:space="preserve"> LEFT(Table1[[#This Row],[Atc Code]],3)</f>
        <v>C08</v>
      </c>
    </row>
    <row r="510" spans="1:24" ht="14.4">
      <c r="A510" s="14">
        <v>3061</v>
      </c>
      <c r="B510" s="3">
        <v>758079</v>
      </c>
      <c r="C510" s="1">
        <v>2131221</v>
      </c>
      <c r="D510" s="1" t="s">
        <v>25</v>
      </c>
      <c r="E510" s="36">
        <v>42767</v>
      </c>
      <c r="F510" s="36">
        <v>43008</v>
      </c>
      <c r="G510" s="38">
        <f t="shared" si="7"/>
        <v>241</v>
      </c>
      <c r="H510" s="5">
        <v>42787</v>
      </c>
      <c r="I510" s="5">
        <v>43047</v>
      </c>
      <c r="J510" s="1" t="s">
        <v>41</v>
      </c>
      <c r="K510" s="1" t="s">
        <v>1476</v>
      </c>
      <c r="L510" s="1" t="s">
        <v>1473</v>
      </c>
      <c r="M510" s="1" t="s">
        <v>1474</v>
      </c>
      <c r="N510" s="1" t="s">
        <v>38</v>
      </c>
      <c r="O510" s="1" t="s">
        <v>1475</v>
      </c>
      <c r="P510" s="1" t="s">
        <v>752</v>
      </c>
      <c r="Q510" s="1" t="s">
        <v>647</v>
      </c>
      <c r="R510" s="1" t="s">
        <v>26</v>
      </c>
      <c r="S510" s="1"/>
      <c r="U510" s="1" t="s">
        <v>35</v>
      </c>
      <c r="V510" s="1" t="s">
        <v>359</v>
      </c>
      <c r="W510" s="1" t="str">
        <f>VLOOKUP(Table1[[#This Row],[Obergruppe ATC-Code]],Tabelle3!$A$2:$B$100,2)</f>
        <v>CALCIUMKANALBLOCKER</v>
      </c>
      <c r="X510" s="1" t="str">
        <f xml:space="preserve"> LEFT(Table1[[#This Row],[Atc Code]],3)</f>
        <v>C08</v>
      </c>
    </row>
    <row r="511" spans="1:24" ht="14.4">
      <c r="A511" s="14">
        <v>3060</v>
      </c>
      <c r="B511" s="49" t="s">
        <v>1477</v>
      </c>
      <c r="C511" s="1">
        <v>2105149</v>
      </c>
      <c r="D511" s="1" t="s">
        <v>25</v>
      </c>
      <c r="E511" s="36">
        <v>43525</v>
      </c>
      <c r="F511" s="36">
        <v>43677</v>
      </c>
      <c r="G511" s="38">
        <f t="shared" si="7"/>
        <v>152</v>
      </c>
      <c r="H511" s="5">
        <v>43542</v>
      </c>
      <c r="I511" s="5">
        <v>43644</v>
      </c>
      <c r="J511" s="1" t="s">
        <v>41</v>
      </c>
      <c r="K511" s="1" t="s">
        <v>1478</v>
      </c>
      <c r="L511" s="1" t="s">
        <v>1473</v>
      </c>
      <c r="M511" s="1" t="s">
        <v>1474</v>
      </c>
      <c r="N511" s="1" t="s">
        <v>30</v>
      </c>
      <c r="O511" s="1" t="s">
        <v>1475</v>
      </c>
      <c r="P511" s="1" t="s">
        <v>752</v>
      </c>
      <c r="Q511" s="1" t="s">
        <v>753</v>
      </c>
      <c r="R511" s="1" t="s">
        <v>26</v>
      </c>
      <c r="S511" s="1"/>
      <c r="T511" s="1" t="s">
        <v>1479</v>
      </c>
      <c r="U511" s="1" t="s">
        <v>35</v>
      </c>
      <c r="V511" s="1" t="s">
        <v>648</v>
      </c>
      <c r="W511" s="1" t="str">
        <f>VLOOKUP(Table1[[#This Row],[Obergruppe ATC-Code]],Tabelle3!$A$2:$B$100,2)</f>
        <v>CALCIUMKANALBLOCKER</v>
      </c>
      <c r="X511" s="1" t="str">
        <f xml:space="preserve"> LEFT(Table1[[#This Row],[Atc Code]],3)</f>
        <v>C08</v>
      </c>
    </row>
    <row r="512" spans="1:24" ht="14.4">
      <c r="A512" s="14">
        <v>3059</v>
      </c>
      <c r="B512" s="40">
        <v>3005104</v>
      </c>
      <c r="C512" s="1">
        <v>2105149</v>
      </c>
      <c r="D512" s="1" t="s">
        <v>25</v>
      </c>
      <c r="E512" s="36">
        <v>43891</v>
      </c>
      <c r="F512" s="36">
        <v>43982</v>
      </c>
      <c r="G512" s="38">
        <f t="shared" si="7"/>
        <v>91</v>
      </c>
      <c r="H512" s="5">
        <v>43921</v>
      </c>
      <c r="I512" s="5">
        <v>43970</v>
      </c>
      <c r="J512" s="1" t="s">
        <v>41</v>
      </c>
      <c r="K512" s="1" t="s">
        <v>1478</v>
      </c>
      <c r="L512" s="1" t="s">
        <v>1473</v>
      </c>
      <c r="M512" s="1" t="s">
        <v>1474</v>
      </c>
      <c r="N512" s="1" t="s">
        <v>30</v>
      </c>
      <c r="O512" s="1" t="s">
        <v>1475</v>
      </c>
      <c r="P512" s="1" t="s">
        <v>752</v>
      </c>
      <c r="Q512" s="1" t="s">
        <v>753</v>
      </c>
      <c r="R512" s="1" t="s">
        <v>26</v>
      </c>
      <c r="S512" s="1"/>
      <c r="T512" s="1" t="s">
        <v>1479</v>
      </c>
      <c r="U512" s="1" t="s">
        <v>35</v>
      </c>
      <c r="V512" s="1" t="s">
        <v>648</v>
      </c>
      <c r="W512" s="1" t="str">
        <f>VLOOKUP(Table1[[#This Row],[Obergruppe ATC-Code]],Tabelle3!$A$2:$B$100,2)</f>
        <v>CALCIUMKANALBLOCKER</v>
      </c>
      <c r="X512" s="1" t="str">
        <f xml:space="preserve"> LEFT(Table1[[#This Row],[Atc Code]],3)</f>
        <v>C08</v>
      </c>
    </row>
    <row r="513" spans="1:24" ht="14.4">
      <c r="A513" s="14">
        <v>1619</v>
      </c>
      <c r="B513" s="24">
        <v>18054284</v>
      </c>
      <c r="C513" s="1">
        <v>2121956</v>
      </c>
      <c r="D513" s="1" t="s">
        <v>25</v>
      </c>
      <c r="E513" s="36">
        <v>43952</v>
      </c>
      <c r="F513" s="36">
        <v>44196</v>
      </c>
      <c r="G513" s="38">
        <f t="shared" si="7"/>
        <v>244</v>
      </c>
      <c r="H513" s="5">
        <v>43944</v>
      </c>
      <c r="I513" s="5">
        <v>44125</v>
      </c>
      <c r="J513" s="1" t="s">
        <v>41</v>
      </c>
      <c r="K513" s="1" t="s">
        <v>1480</v>
      </c>
      <c r="L513" s="1" t="s">
        <v>1473</v>
      </c>
      <c r="M513" s="1" t="s">
        <v>1474</v>
      </c>
      <c r="N513" s="1" t="s">
        <v>38</v>
      </c>
      <c r="O513" s="1" t="s">
        <v>78</v>
      </c>
      <c r="P513" s="1" t="s">
        <v>79</v>
      </c>
      <c r="Q513" s="1" t="s">
        <v>80</v>
      </c>
      <c r="R513" s="1" t="s">
        <v>26</v>
      </c>
      <c r="S513" s="1"/>
      <c r="U513" s="1" t="s">
        <v>35</v>
      </c>
      <c r="V513" s="1" t="s">
        <v>359</v>
      </c>
      <c r="W513" s="1" t="str">
        <f>VLOOKUP(Table1[[#This Row],[Obergruppe ATC-Code]],Tabelle3!$A$2:$B$100,2)</f>
        <v>CALCIUMKANALBLOCKER</v>
      </c>
      <c r="X513" s="1" t="str">
        <f xml:space="preserve"> LEFT(Table1[[#This Row],[Atc Code]],3)</f>
        <v>C08</v>
      </c>
    </row>
    <row r="514" spans="1:24" ht="14.4">
      <c r="A514" s="14">
        <v>1618</v>
      </c>
      <c r="B514" s="24">
        <v>18054284</v>
      </c>
      <c r="C514" s="1">
        <v>2121956</v>
      </c>
      <c r="D514" s="1" t="s">
        <v>25</v>
      </c>
      <c r="E514" s="36">
        <v>44166</v>
      </c>
      <c r="F514" s="36">
        <v>44286</v>
      </c>
      <c r="G514" s="38">
        <f t="shared" ref="G514:G577" si="8">F514-E514</f>
        <v>120</v>
      </c>
      <c r="H514" s="5">
        <v>44162</v>
      </c>
      <c r="I514" s="5">
        <v>44278</v>
      </c>
      <c r="J514" s="1" t="s">
        <v>41</v>
      </c>
      <c r="K514" s="1" t="s">
        <v>1480</v>
      </c>
      <c r="L514" s="1" t="s">
        <v>1473</v>
      </c>
      <c r="M514" s="1" t="s">
        <v>1474</v>
      </c>
      <c r="N514" s="1" t="s">
        <v>30</v>
      </c>
      <c r="O514" s="1" t="s">
        <v>78</v>
      </c>
      <c r="P514" s="1" t="s">
        <v>79</v>
      </c>
      <c r="Q514" s="1" t="s">
        <v>80</v>
      </c>
      <c r="R514" s="1" t="s">
        <v>26</v>
      </c>
      <c r="S514" s="1"/>
      <c r="U514" s="1" t="s">
        <v>35</v>
      </c>
      <c r="V514" s="1" t="s">
        <v>359</v>
      </c>
      <c r="W514" s="1" t="str">
        <f>VLOOKUP(Table1[[#This Row],[Obergruppe ATC-Code]],Tabelle3!$A$2:$B$100,2)</f>
        <v>CALCIUMKANALBLOCKER</v>
      </c>
      <c r="X514" s="1" t="str">
        <f xml:space="preserve"> LEFT(Table1[[#This Row],[Atc Code]],3)</f>
        <v>C08</v>
      </c>
    </row>
    <row r="515" spans="1:24" ht="14.4">
      <c r="A515" s="14">
        <v>2167</v>
      </c>
      <c r="B515" s="24" t="s">
        <v>1481</v>
      </c>
      <c r="C515" s="1">
        <v>2121767</v>
      </c>
      <c r="D515" s="1" t="s">
        <v>25</v>
      </c>
      <c r="E515" s="36">
        <v>44798</v>
      </c>
      <c r="F515" s="36">
        <v>44851</v>
      </c>
      <c r="G515" s="38">
        <f t="shared" si="8"/>
        <v>53</v>
      </c>
      <c r="H515" s="5">
        <v>44798</v>
      </c>
      <c r="I515" s="5">
        <v>44845</v>
      </c>
      <c r="J515" s="1" t="s">
        <v>26</v>
      </c>
      <c r="K515" s="1" t="s">
        <v>1482</v>
      </c>
      <c r="L515" s="1" t="s">
        <v>1473</v>
      </c>
      <c r="M515" s="1" t="s">
        <v>1474</v>
      </c>
      <c r="N515" s="1" t="s">
        <v>38</v>
      </c>
      <c r="O515" s="1" t="s">
        <v>110</v>
      </c>
      <c r="P515" s="1">
        <v>733396510</v>
      </c>
      <c r="Q515" s="1" t="s">
        <v>1141</v>
      </c>
      <c r="R515" s="1" t="s">
        <v>113</v>
      </c>
      <c r="S515" s="1"/>
      <c r="U515" s="1" t="s">
        <v>130</v>
      </c>
      <c r="V515" s="1" t="s">
        <v>604</v>
      </c>
      <c r="W515" s="1" t="str">
        <f>VLOOKUP(Table1[[#This Row],[Obergruppe ATC-Code]],Tabelle3!$A$2:$B$100,2)</f>
        <v>CALCIUMKANALBLOCKER</v>
      </c>
      <c r="X515" s="1" t="str">
        <f xml:space="preserve"> LEFT(Table1[[#This Row],[Atc Code]],3)</f>
        <v>C08</v>
      </c>
    </row>
    <row r="516" spans="1:24" ht="14.4">
      <c r="A516" s="14">
        <v>2165</v>
      </c>
      <c r="B516" s="24" t="s">
        <v>1483</v>
      </c>
      <c r="C516" s="1">
        <v>2121768</v>
      </c>
      <c r="D516" s="1" t="s">
        <v>25</v>
      </c>
      <c r="E516" s="36">
        <v>44798</v>
      </c>
      <c r="F516" s="36">
        <v>44851</v>
      </c>
      <c r="G516" s="38">
        <f t="shared" si="8"/>
        <v>53</v>
      </c>
      <c r="H516" s="5">
        <v>44798</v>
      </c>
      <c r="I516" s="5">
        <v>44845</v>
      </c>
      <c r="J516" s="1" t="s">
        <v>26</v>
      </c>
      <c r="K516" s="1" t="s">
        <v>1484</v>
      </c>
      <c r="L516" s="1" t="s">
        <v>1473</v>
      </c>
      <c r="M516" s="1" t="s">
        <v>1474</v>
      </c>
      <c r="N516" s="1" t="s">
        <v>38</v>
      </c>
      <c r="O516" s="1" t="s">
        <v>110</v>
      </c>
      <c r="P516" s="1">
        <v>49733396510</v>
      </c>
      <c r="Q516" s="1" t="s">
        <v>1141</v>
      </c>
      <c r="R516" s="1" t="s">
        <v>113</v>
      </c>
      <c r="S516" s="1" t="s">
        <v>1485</v>
      </c>
      <c r="U516" s="1" t="s">
        <v>130</v>
      </c>
      <c r="V516" s="1" t="s">
        <v>604</v>
      </c>
      <c r="W516" s="1" t="str">
        <f>VLOOKUP(Table1[[#This Row],[Obergruppe ATC-Code]],Tabelle3!$A$2:$B$100,2)</f>
        <v>CALCIUMKANALBLOCKER</v>
      </c>
      <c r="X516" s="1" t="str">
        <f xml:space="preserve"> LEFT(Table1[[#This Row],[Atc Code]],3)</f>
        <v>C08</v>
      </c>
    </row>
    <row r="517" spans="1:24" ht="14.4">
      <c r="A517" s="14">
        <v>2164</v>
      </c>
      <c r="B517" s="24" t="s">
        <v>1486</v>
      </c>
      <c r="C517" s="1">
        <v>2121768</v>
      </c>
      <c r="D517" s="1" t="s">
        <v>25</v>
      </c>
      <c r="E517" s="36">
        <v>44897</v>
      </c>
      <c r="F517" s="36">
        <v>45021</v>
      </c>
      <c r="G517" s="38">
        <f t="shared" si="8"/>
        <v>124</v>
      </c>
      <c r="H517" s="5">
        <v>44936</v>
      </c>
      <c r="I517" s="5">
        <v>45021</v>
      </c>
      <c r="J517" s="1" t="s">
        <v>26</v>
      </c>
      <c r="K517" s="1" t="s">
        <v>1484</v>
      </c>
      <c r="L517" s="1" t="s">
        <v>1473</v>
      </c>
      <c r="M517" s="1" t="s">
        <v>1474</v>
      </c>
      <c r="N517" s="1" t="s">
        <v>38</v>
      </c>
      <c r="O517" s="1" t="s">
        <v>110</v>
      </c>
      <c r="P517" s="1">
        <v>49733396510</v>
      </c>
      <c r="Q517" s="1" t="s">
        <v>1141</v>
      </c>
      <c r="R517" s="1" t="s">
        <v>113</v>
      </c>
      <c r="S517" s="1" t="s">
        <v>1487</v>
      </c>
      <c r="U517" s="1" t="s">
        <v>130</v>
      </c>
      <c r="V517" s="1" t="s">
        <v>604</v>
      </c>
      <c r="W517" s="1" t="str">
        <f>VLOOKUP(Table1[[#This Row],[Obergruppe ATC-Code]],Tabelle3!$A$2:$B$100,2)</f>
        <v>CALCIUMKANALBLOCKER</v>
      </c>
      <c r="X517" s="1" t="str">
        <f xml:space="preserve"> LEFT(Table1[[#This Row],[Atc Code]],3)</f>
        <v>C08</v>
      </c>
    </row>
    <row r="518" spans="1:24" ht="14.4">
      <c r="A518" s="14">
        <v>1620</v>
      </c>
      <c r="B518" s="24">
        <v>18054284</v>
      </c>
      <c r="C518" s="1">
        <v>2121956</v>
      </c>
      <c r="D518" s="1" t="s">
        <v>25</v>
      </c>
      <c r="E518" s="36">
        <v>45146</v>
      </c>
      <c r="F518" s="36">
        <v>45147</v>
      </c>
      <c r="G518" s="38">
        <f t="shared" si="8"/>
        <v>1</v>
      </c>
      <c r="H518" s="5">
        <v>45146</v>
      </c>
      <c r="I518" s="5">
        <v>45146</v>
      </c>
      <c r="J518" s="1" t="s">
        <v>41</v>
      </c>
      <c r="K518" s="1" t="s">
        <v>1488</v>
      </c>
      <c r="L518" s="1" t="s">
        <v>1473</v>
      </c>
      <c r="M518" s="1" t="s">
        <v>1474</v>
      </c>
      <c r="N518" s="1" t="s">
        <v>38</v>
      </c>
      <c r="O518" s="1" t="s">
        <v>1489</v>
      </c>
      <c r="Q518" s="1" t="s">
        <v>1490</v>
      </c>
      <c r="R518" s="1" t="s">
        <v>128</v>
      </c>
      <c r="S518" s="1"/>
      <c r="U518" s="1" t="s">
        <v>130</v>
      </c>
      <c r="V518" s="1" t="s">
        <v>359</v>
      </c>
      <c r="W518" s="1" t="str">
        <f>VLOOKUP(Table1[[#This Row],[Obergruppe ATC-Code]],Tabelle3!$A$2:$B$100,2)</f>
        <v>CALCIUMKANALBLOCKER</v>
      </c>
      <c r="X518" s="1" t="str">
        <f xml:space="preserve"> LEFT(Table1[[#This Row],[Atc Code]],3)</f>
        <v>C08</v>
      </c>
    </row>
    <row r="519" spans="1:24" ht="14.4">
      <c r="A519" s="14">
        <v>2166</v>
      </c>
      <c r="B519" s="24" t="s">
        <v>1481</v>
      </c>
      <c r="C519" s="1">
        <v>2121767</v>
      </c>
      <c r="D519" s="1" t="s">
        <v>25</v>
      </c>
      <c r="E519" s="36">
        <v>44897</v>
      </c>
      <c r="F519" s="36">
        <v>45148</v>
      </c>
      <c r="G519" s="38">
        <f t="shared" si="8"/>
        <v>251</v>
      </c>
      <c r="H519" s="5">
        <v>44936</v>
      </c>
      <c r="I519" s="5">
        <v>45148</v>
      </c>
      <c r="J519" s="1" t="s">
        <v>26</v>
      </c>
      <c r="K519" s="1" t="s">
        <v>1482</v>
      </c>
      <c r="L519" s="1" t="s">
        <v>1473</v>
      </c>
      <c r="M519" s="1" t="s">
        <v>1474</v>
      </c>
      <c r="N519" s="1" t="s">
        <v>38</v>
      </c>
      <c r="O519" s="1" t="s">
        <v>110</v>
      </c>
      <c r="P519" s="1">
        <v>49733396510</v>
      </c>
      <c r="Q519" s="1" t="s">
        <v>112</v>
      </c>
      <c r="R519" s="1" t="s">
        <v>113</v>
      </c>
      <c r="S519" s="1"/>
      <c r="U519" s="1" t="s">
        <v>130</v>
      </c>
      <c r="V519" s="1" t="s">
        <v>604</v>
      </c>
      <c r="W519" s="1" t="str">
        <f>VLOOKUP(Table1[[#This Row],[Obergruppe ATC-Code]],Tabelle3!$A$2:$B$100,2)</f>
        <v>CALCIUMKANALBLOCKER</v>
      </c>
      <c r="X519" s="1" t="str">
        <f xml:space="preserve"> LEFT(Table1[[#This Row],[Atc Code]],3)</f>
        <v>C08</v>
      </c>
    </row>
    <row r="520" spans="1:24" ht="14.4">
      <c r="A520" s="14">
        <v>2287</v>
      </c>
      <c r="B520" s="24" t="s">
        <v>1491</v>
      </c>
      <c r="C520" s="1">
        <v>2132328</v>
      </c>
      <c r="D520" s="1" t="s">
        <v>102</v>
      </c>
      <c r="E520" s="36">
        <v>44834</v>
      </c>
      <c r="F520" s="36">
        <v>45291</v>
      </c>
      <c r="G520" s="38">
        <f t="shared" si="8"/>
        <v>457</v>
      </c>
      <c r="H520" s="5">
        <v>44789</v>
      </c>
      <c r="I520" s="5">
        <v>45149</v>
      </c>
      <c r="J520" s="1" t="s">
        <v>41</v>
      </c>
      <c r="K520" s="1" t="s">
        <v>1492</v>
      </c>
      <c r="L520" s="1" t="s">
        <v>1473</v>
      </c>
      <c r="M520" s="1" t="s">
        <v>1474</v>
      </c>
      <c r="N520" s="1" t="s">
        <v>38</v>
      </c>
      <c r="O520" s="1" t="s">
        <v>45</v>
      </c>
      <c r="Q520" s="1" t="s">
        <v>1493</v>
      </c>
      <c r="R520" s="1" t="s">
        <v>48</v>
      </c>
      <c r="S520" s="1"/>
      <c r="U520" s="1" t="s">
        <v>130</v>
      </c>
      <c r="V520" s="1" t="s">
        <v>359</v>
      </c>
      <c r="W520" s="1" t="str">
        <f>VLOOKUP(Table1[[#This Row],[Obergruppe ATC-Code]],Tabelle3!$A$2:$B$100,2)</f>
        <v>CALCIUMKANALBLOCKER</v>
      </c>
      <c r="X520" s="1" t="str">
        <f xml:space="preserve"> LEFT(Table1[[#This Row],[Atc Code]],3)</f>
        <v>C08</v>
      </c>
    </row>
    <row r="521" spans="1:24" ht="14.4">
      <c r="A521" s="14">
        <v>164</v>
      </c>
      <c r="B521" s="24">
        <v>1016612</v>
      </c>
      <c r="C521" s="1">
        <v>2132330</v>
      </c>
      <c r="D521" s="1" t="s">
        <v>102</v>
      </c>
      <c r="E521" s="36">
        <v>44743</v>
      </c>
      <c r="F521" s="36">
        <v>45291</v>
      </c>
      <c r="G521" s="38">
        <f t="shared" si="8"/>
        <v>548</v>
      </c>
      <c r="H521" s="5">
        <v>44789</v>
      </c>
      <c r="I521" s="5">
        <v>45149</v>
      </c>
      <c r="J521" s="1" t="s">
        <v>41</v>
      </c>
      <c r="K521" s="1" t="s">
        <v>1494</v>
      </c>
      <c r="L521" s="1" t="s">
        <v>1473</v>
      </c>
      <c r="M521" s="1" t="s">
        <v>1474</v>
      </c>
      <c r="N521" s="1" t="s">
        <v>38</v>
      </c>
      <c r="O521" s="1" t="s">
        <v>117</v>
      </c>
      <c r="Q521" s="1" t="s">
        <v>1495</v>
      </c>
      <c r="R521" s="1" t="s">
        <v>48</v>
      </c>
      <c r="S521" s="1"/>
      <c r="U521" s="1" t="s">
        <v>130</v>
      </c>
      <c r="V521" s="1" t="s">
        <v>359</v>
      </c>
      <c r="W521" s="1" t="str">
        <f>VLOOKUP(Table1[[#This Row],[Obergruppe ATC-Code]],Tabelle3!$A$2:$B$100,2)</f>
        <v>CALCIUMKANALBLOCKER</v>
      </c>
      <c r="X521" s="1" t="str">
        <f xml:space="preserve"> LEFT(Table1[[#This Row],[Atc Code]],3)</f>
        <v>C08</v>
      </c>
    </row>
    <row r="522" spans="1:24" ht="14.4">
      <c r="A522" s="14">
        <v>1962</v>
      </c>
      <c r="B522" s="24" t="s">
        <v>1496</v>
      </c>
      <c r="C522" s="1">
        <v>2144586</v>
      </c>
      <c r="D522" s="1" t="s">
        <v>25</v>
      </c>
      <c r="E522" s="36">
        <v>43556</v>
      </c>
      <c r="F522" s="36">
        <v>43677</v>
      </c>
      <c r="G522" s="38">
        <f t="shared" si="8"/>
        <v>121</v>
      </c>
      <c r="H522" s="5">
        <v>43580</v>
      </c>
      <c r="I522" s="5">
        <v>43677</v>
      </c>
      <c r="J522" s="1" t="s">
        <v>41</v>
      </c>
      <c r="K522" s="1" t="s">
        <v>1497</v>
      </c>
      <c r="L522" s="1" t="s">
        <v>1498</v>
      </c>
      <c r="M522" s="1" t="s">
        <v>1499</v>
      </c>
      <c r="N522" s="1" t="s">
        <v>30</v>
      </c>
      <c r="O522" s="1" t="s">
        <v>91</v>
      </c>
      <c r="P522" s="1" t="s">
        <v>374</v>
      </c>
      <c r="Q522" s="1" t="s">
        <v>375</v>
      </c>
      <c r="R522" s="1" t="s">
        <v>26</v>
      </c>
      <c r="S522" s="1"/>
      <c r="U522" s="1" t="s">
        <v>35</v>
      </c>
      <c r="V522" s="1" t="s">
        <v>99</v>
      </c>
      <c r="W522" s="1" t="str">
        <f>VLOOKUP(Table1[[#This Row],[Obergruppe ATC-Code]],Tabelle3!$A$2:$B$100,2)</f>
        <v>CALCIUMKANALBLOCKER</v>
      </c>
      <c r="X522" s="1" t="str">
        <f xml:space="preserve"> LEFT(Table1[[#This Row],[Atc Code]],3)</f>
        <v>C08</v>
      </c>
    </row>
    <row r="523" spans="1:24" ht="14.4">
      <c r="A523" s="14">
        <v>573</v>
      </c>
      <c r="B523" s="24">
        <v>3673194</v>
      </c>
      <c r="C523" s="1">
        <v>2104209</v>
      </c>
      <c r="D523" s="1" t="s">
        <v>25</v>
      </c>
      <c r="E523" s="36">
        <v>43800</v>
      </c>
      <c r="F523" s="36">
        <v>43921</v>
      </c>
      <c r="G523" s="38">
        <f t="shared" si="8"/>
        <v>121</v>
      </c>
      <c r="H523" s="5">
        <v>43818</v>
      </c>
      <c r="I523" s="5">
        <v>43894</v>
      </c>
      <c r="J523" s="1" t="s">
        <v>41</v>
      </c>
      <c r="K523" s="1" t="s">
        <v>1500</v>
      </c>
      <c r="L523" s="1" t="s">
        <v>1498</v>
      </c>
      <c r="M523" s="1" t="s">
        <v>1499</v>
      </c>
      <c r="N523" s="1" t="s">
        <v>30</v>
      </c>
      <c r="O523" s="1" t="s">
        <v>1475</v>
      </c>
      <c r="P523" s="1" t="s">
        <v>752</v>
      </c>
      <c r="Q523" s="1" t="s">
        <v>753</v>
      </c>
      <c r="R523" s="1" t="s">
        <v>26</v>
      </c>
      <c r="S523" s="1"/>
      <c r="T523" s="1" t="s">
        <v>1501</v>
      </c>
      <c r="U523" s="1" t="s">
        <v>35</v>
      </c>
      <c r="V523" s="1" t="s">
        <v>648</v>
      </c>
      <c r="W523" s="1" t="str">
        <f>VLOOKUP(Table1[[#This Row],[Obergruppe ATC-Code]],Tabelle3!$A$2:$B$100,2)</f>
        <v>CALCIUMKANALBLOCKER</v>
      </c>
      <c r="X523" s="1" t="str">
        <f xml:space="preserve"> LEFT(Table1[[#This Row],[Atc Code]],3)</f>
        <v>C08</v>
      </c>
    </row>
    <row r="524" spans="1:24" ht="14.4">
      <c r="A524" s="14">
        <v>575</v>
      </c>
      <c r="B524" s="24">
        <v>3673254</v>
      </c>
      <c r="C524" s="1">
        <v>2104211</v>
      </c>
      <c r="D524" s="1" t="s">
        <v>25</v>
      </c>
      <c r="E524" s="36">
        <v>43160</v>
      </c>
      <c r="F524" s="36">
        <v>44372</v>
      </c>
      <c r="G524" s="38">
        <f t="shared" si="8"/>
        <v>1212</v>
      </c>
      <c r="H524" s="5">
        <v>43167</v>
      </c>
      <c r="I524" s="5">
        <v>44389</v>
      </c>
      <c r="J524" s="1" t="s">
        <v>41</v>
      </c>
      <c r="K524" s="1" t="s">
        <v>1500</v>
      </c>
      <c r="L524" s="1" t="s">
        <v>1498</v>
      </c>
      <c r="M524" s="1" t="s">
        <v>1499</v>
      </c>
      <c r="N524" s="1" t="s">
        <v>30</v>
      </c>
      <c r="O524" s="1" t="s">
        <v>1475</v>
      </c>
      <c r="P524" s="1" t="s">
        <v>752</v>
      </c>
      <c r="Q524" s="1" t="s">
        <v>753</v>
      </c>
      <c r="R524" s="1" t="s">
        <v>26</v>
      </c>
      <c r="S524" s="1"/>
      <c r="T524" s="1" t="s">
        <v>1502</v>
      </c>
      <c r="U524" s="1" t="s">
        <v>35</v>
      </c>
      <c r="V524" s="1" t="s">
        <v>99</v>
      </c>
      <c r="W524" s="1" t="str">
        <f>VLOOKUP(Table1[[#This Row],[Obergruppe ATC-Code]],Tabelle3!$A$2:$B$100,2)</f>
        <v>CALCIUMKANALBLOCKER</v>
      </c>
      <c r="X524" s="1" t="str">
        <f xml:space="preserve"> LEFT(Table1[[#This Row],[Atc Code]],3)</f>
        <v>C08</v>
      </c>
    </row>
    <row r="525" spans="1:24" ht="14.4">
      <c r="A525" s="14">
        <v>577</v>
      </c>
      <c r="B525" s="24">
        <v>3673254</v>
      </c>
      <c r="C525" s="1">
        <v>2104211</v>
      </c>
      <c r="D525" s="1" t="s">
        <v>25</v>
      </c>
      <c r="E525" s="36">
        <v>44788</v>
      </c>
      <c r="F525" s="36">
        <v>44929</v>
      </c>
      <c r="G525" s="38">
        <f t="shared" si="8"/>
        <v>141</v>
      </c>
      <c r="H525" s="5">
        <v>44788</v>
      </c>
      <c r="I525" s="5">
        <v>44935</v>
      </c>
      <c r="J525" s="1" t="s">
        <v>26</v>
      </c>
      <c r="K525" s="1" t="s">
        <v>1500</v>
      </c>
      <c r="L525" s="1" t="s">
        <v>1498</v>
      </c>
      <c r="M525" s="1" t="s">
        <v>1499</v>
      </c>
      <c r="N525" s="1" t="s">
        <v>30</v>
      </c>
      <c r="O525" s="1" t="s">
        <v>1475</v>
      </c>
      <c r="P525" s="1" t="s">
        <v>1503</v>
      </c>
      <c r="Q525" s="1" t="s">
        <v>753</v>
      </c>
      <c r="R525" s="1" t="s">
        <v>26</v>
      </c>
      <c r="S525" s="1" t="s">
        <v>1504</v>
      </c>
      <c r="U525" s="1" t="s">
        <v>35</v>
      </c>
      <c r="V525" s="1" t="s">
        <v>99</v>
      </c>
      <c r="W525" s="1" t="str">
        <f>VLOOKUP(Table1[[#This Row],[Obergruppe ATC-Code]],Tabelle3!$A$2:$B$100,2)</f>
        <v>CALCIUMKANALBLOCKER</v>
      </c>
      <c r="X525" s="1" t="str">
        <f xml:space="preserve"> LEFT(Table1[[#This Row],[Atc Code]],3)</f>
        <v>C08</v>
      </c>
    </row>
    <row r="526" spans="1:24" ht="14.4">
      <c r="A526" s="14">
        <v>1961</v>
      </c>
      <c r="B526" s="24" t="s">
        <v>1496</v>
      </c>
      <c r="C526" s="1">
        <v>2144586</v>
      </c>
      <c r="D526" s="1" t="s">
        <v>25</v>
      </c>
      <c r="E526" s="36">
        <v>44676</v>
      </c>
      <c r="F526" s="36">
        <v>44938</v>
      </c>
      <c r="G526" s="38">
        <f t="shared" si="8"/>
        <v>262</v>
      </c>
      <c r="H526" s="5">
        <v>44676</v>
      </c>
      <c r="I526" s="5">
        <v>44938</v>
      </c>
      <c r="J526" s="1" t="s">
        <v>26</v>
      </c>
      <c r="K526" s="1" t="s">
        <v>1497</v>
      </c>
      <c r="L526" s="1" t="s">
        <v>1498</v>
      </c>
      <c r="M526" s="1" t="s">
        <v>1499</v>
      </c>
      <c r="N526" s="1" t="s">
        <v>38</v>
      </c>
      <c r="O526" s="1" t="s">
        <v>91</v>
      </c>
      <c r="P526" s="1" t="s">
        <v>92</v>
      </c>
      <c r="Q526" s="1" t="s">
        <v>1505</v>
      </c>
      <c r="R526" s="1" t="s">
        <v>26</v>
      </c>
      <c r="S526" s="1" t="s">
        <v>1506</v>
      </c>
      <c r="U526" s="1" t="s">
        <v>57</v>
      </c>
      <c r="V526" s="1" t="s">
        <v>99</v>
      </c>
      <c r="W526" s="1" t="str">
        <f>VLOOKUP(Table1[[#This Row],[Obergruppe ATC-Code]],Tabelle3!$A$2:$B$100,2)</f>
        <v>CALCIUMKANALBLOCKER</v>
      </c>
      <c r="X526" s="1" t="str">
        <f xml:space="preserve"> LEFT(Table1[[#This Row],[Atc Code]],3)</f>
        <v>C08</v>
      </c>
    </row>
    <row r="527" spans="1:24" ht="14.4">
      <c r="A527" s="14">
        <v>1427</v>
      </c>
      <c r="B527" s="24">
        <v>14169079</v>
      </c>
      <c r="C527" s="1">
        <v>2160762</v>
      </c>
      <c r="D527" s="1" t="s">
        <v>25</v>
      </c>
      <c r="E527" s="36">
        <v>44873</v>
      </c>
      <c r="F527" s="36">
        <v>44978</v>
      </c>
      <c r="G527" s="38">
        <f t="shared" si="8"/>
        <v>105</v>
      </c>
      <c r="H527" s="5">
        <v>44874</v>
      </c>
      <c r="I527" s="5">
        <v>44978</v>
      </c>
      <c r="J527" s="1" t="s">
        <v>26</v>
      </c>
      <c r="K527" s="1" t="s">
        <v>1507</v>
      </c>
      <c r="L527" s="1" t="s">
        <v>1498</v>
      </c>
      <c r="M527" s="1" t="s">
        <v>1499</v>
      </c>
      <c r="N527" s="1" t="s">
        <v>30</v>
      </c>
      <c r="O527" s="1" t="s">
        <v>1240</v>
      </c>
      <c r="P527" s="1">
        <v>5182586690</v>
      </c>
      <c r="Q527" s="1" t="s">
        <v>1242</v>
      </c>
      <c r="R527" s="1" t="s">
        <v>732</v>
      </c>
      <c r="S527" s="1" t="s">
        <v>1508</v>
      </c>
      <c r="U527" s="1" t="s">
        <v>130</v>
      </c>
      <c r="V527" s="1" t="s">
        <v>648</v>
      </c>
      <c r="W527" s="1" t="str">
        <f>VLOOKUP(Table1[[#This Row],[Obergruppe ATC-Code]],Tabelle3!$A$2:$B$100,2)</f>
        <v>CALCIUMKANALBLOCKER</v>
      </c>
      <c r="X527" s="1" t="str">
        <f xml:space="preserve"> LEFT(Table1[[#This Row],[Atc Code]],3)</f>
        <v>C08</v>
      </c>
    </row>
    <row r="528" spans="1:24" ht="14.4">
      <c r="A528" s="14">
        <v>574</v>
      </c>
      <c r="B528" s="24">
        <v>3673194</v>
      </c>
      <c r="C528" s="1">
        <v>2104209</v>
      </c>
      <c r="D528" s="1" t="s">
        <v>25</v>
      </c>
      <c r="E528" s="36">
        <v>44875</v>
      </c>
      <c r="F528" s="36">
        <v>44986</v>
      </c>
      <c r="G528" s="38">
        <f t="shared" si="8"/>
        <v>111</v>
      </c>
      <c r="H528" s="5">
        <v>44875</v>
      </c>
      <c r="I528" s="5">
        <v>44985</v>
      </c>
      <c r="J528" s="1" t="s">
        <v>26</v>
      </c>
      <c r="K528" s="1" t="s">
        <v>1500</v>
      </c>
      <c r="L528" s="1" t="s">
        <v>1498</v>
      </c>
      <c r="M528" s="1" t="s">
        <v>1499</v>
      </c>
      <c r="N528" s="1" t="s">
        <v>30</v>
      </c>
      <c r="O528" s="1" t="s">
        <v>1475</v>
      </c>
      <c r="P528" s="1" t="s">
        <v>812</v>
      </c>
      <c r="Q528" s="1" t="s">
        <v>813</v>
      </c>
      <c r="R528" s="1" t="s">
        <v>26</v>
      </c>
      <c r="S528" s="1" t="s">
        <v>1509</v>
      </c>
      <c r="U528" s="1" t="s">
        <v>35</v>
      </c>
      <c r="V528" s="1" t="s">
        <v>648</v>
      </c>
      <c r="W528" s="1" t="str">
        <f>VLOOKUP(Table1[[#This Row],[Obergruppe ATC-Code]],Tabelle3!$A$2:$B$100,2)</f>
        <v>CALCIUMKANALBLOCKER</v>
      </c>
      <c r="X528" s="1" t="str">
        <f xml:space="preserve"> LEFT(Table1[[#This Row],[Atc Code]],3)</f>
        <v>C08</v>
      </c>
    </row>
    <row r="529" spans="1:24" ht="14.4">
      <c r="A529" s="14">
        <v>1960</v>
      </c>
      <c r="B529" s="24" t="s">
        <v>1496</v>
      </c>
      <c r="C529" s="1">
        <v>2144586</v>
      </c>
      <c r="D529" s="1" t="s">
        <v>102</v>
      </c>
      <c r="E529" s="36">
        <v>45061</v>
      </c>
      <c r="F529" s="36">
        <v>45291</v>
      </c>
      <c r="G529" s="38">
        <f t="shared" si="8"/>
        <v>230</v>
      </c>
      <c r="H529" s="5">
        <v>45021</v>
      </c>
      <c r="I529" s="5">
        <v>45191</v>
      </c>
      <c r="J529" s="1" t="s">
        <v>41</v>
      </c>
      <c r="K529" s="1" t="s">
        <v>1497</v>
      </c>
      <c r="L529" s="1" t="s">
        <v>1498</v>
      </c>
      <c r="M529" s="1" t="s">
        <v>1499</v>
      </c>
      <c r="N529" s="1" t="s">
        <v>30</v>
      </c>
      <c r="O529" s="1" t="s">
        <v>91</v>
      </c>
      <c r="Q529" s="1" t="s">
        <v>93</v>
      </c>
      <c r="R529" s="1" t="s">
        <v>128</v>
      </c>
      <c r="S529" s="1"/>
      <c r="U529" s="1" t="s">
        <v>130</v>
      </c>
      <c r="V529" s="1" t="s">
        <v>99</v>
      </c>
      <c r="W529" s="1" t="str">
        <f>VLOOKUP(Table1[[#This Row],[Obergruppe ATC-Code]],Tabelle3!$A$2:$B$100,2)</f>
        <v>CALCIUMKANALBLOCKER</v>
      </c>
      <c r="X529" s="1" t="str">
        <f xml:space="preserve"> LEFT(Table1[[#This Row],[Atc Code]],3)</f>
        <v>C08</v>
      </c>
    </row>
    <row r="530" spans="1:24" ht="14.4">
      <c r="A530" s="14">
        <v>779</v>
      </c>
      <c r="B530" s="24">
        <v>6151384</v>
      </c>
      <c r="C530" s="1">
        <v>2114855</v>
      </c>
      <c r="D530" s="1" t="s">
        <v>175</v>
      </c>
      <c r="E530" s="36">
        <v>45203</v>
      </c>
      <c r="F530" s="36">
        <v>45322</v>
      </c>
      <c r="G530" s="38">
        <f t="shared" si="8"/>
        <v>119</v>
      </c>
      <c r="H530" s="5">
        <v>45197</v>
      </c>
      <c r="I530" s="5">
        <v>45197</v>
      </c>
      <c r="J530" s="1" t="s">
        <v>26</v>
      </c>
      <c r="K530" s="1" t="s">
        <v>1510</v>
      </c>
      <c r="L530" s="1" t="s">
        <v>1498</v>
      </c>
      <c r="M530" s="1" t="s">
        <v>1499</v>
      </c>
      <c r="N530" s="1" t="s">
        <v>30</v>
      </c>
      <c r="O530" s="1" t="s">
        <v>1475</v>
      </c>
      <c r="P530" s="1" t="s">
        <v>814</v>
      </c>
      <c r="Q530" s="1" t="s">
        <v>753</v>
      </c>
      <c r="R530" s="1" t="s">
        <v>26</v>
      </c>
      <c r="S530" s="1" t="s">
        <v>1511</v>
      </c>
      <c r="U530" s="1" t="s">
        <v>35</v>
      </c>
      <c r="V530" s="1" t="s">
        <v>99</v>
      </c>
      <c r="W530" s="1" t="str">
        <f>VLOOKUP(Table1[[#This Row],[Obergruppe ATC-Code]],Tabelle3!$A$2:$B$100,2)</f>
        <v>CALCIUMKANALBLOCKER</v>
      </c>
      <c r="X530" s="1" t="str">
        <f xml:space="preserve"> LEFT(Table1[[#This Row],[Atc Code]],3)</f>
        <v>C08</v>
      </c>
    </row>
    <row r="531" spans="1:24" ht="14.4">
      <c r="A531" s="14">
        <v>576</v>
      </c>
      <c r="B531" s="24">
        <v>3673254</v>
      </c>
      <c r="C531" s="1">
        <v>2104211</v>
      </c>
      <c r="D531" s="1" t="s">
        <v>175</v>
      </c>
      <c r="E531" s="36">
        <v>45203</v>
      </c>
      <c r="F531" s="36">
        <v>45322</v>
      </c>
      <c r="G531" s="38">
        <f t="shared" si="8"/>
        <v>119</v>
      </c>
      <c r="H531" s="5">
        <v>45197</v>
      </c>
      <c r="I531" s="5">
        <v>45197</v>
      </c>
      <c r="J531" s="1" t="s">
        <v>26</v>
      </c>
      <c r="K531" s="1" t="s">
        <v>1500</v>
      </c>
      <c r="L531" s="1" t="s">
        <v>1498</v>
      </c>
      <c r="M531" s="1" t="s">
        <v>1499</v>
      </c>
      <c r="N531" s="1" t="s">
        <v>30</v>
      </c>
      <c r="O531" s="1" t="s">
        <v>1475</v>
      </c>
      <c r="P531" s="1" t="s">
        <v>814</v>
      </c>
      <c r="Q531" s="1" t="s">
        <v>753</v>
      </c>
      <c r="R531" s="1" t="s">
        <v>26</v>
      </c>
      <c r="S531" s="1" t="s">
        <v>1511</v>
      </c>
      <c r="U531" s="1" t="s">
        <v>35</v>
      </c>
      <c r="V531" s="1" t="s">
        <v>99</v>
      </c>
      <c r="W531" s="1" t="str">
        <f>VLOOKUP(Table1[[#This Row],[Obergruppe ATC-Code]],Tabelle3!$A$2:$B$100,2)</f>
        <v>CALCIUMKANALBLOCKER</v>
      </c>
      <c r="X531" s="1" t="str">
        <f xml:space="preserve"> LEFT(Table1[[#This Row],[Atc Code]],3)</f>
        <v>C08</v>
      </c>
    </row>
    <row r="532" spans="1:24" ht="14.4">
      <c r="A532" s="14">
        <v>699</v>
      </c>
      <c r="B532" s="24">
        <v>4751789</v>
      </c>
      <c r="C532" s="1">
        <v>2127165</v>
      </c>
      <c r="D532" s="1" t="s">
        <v>25</v>
      </c>
      <c r="E532" s="36">
        <v>43252</v>
      </c>
      <c r="F532" s="36">
        <v>43343</v>
      </c>
      <c r="G532" s="38">
        <f t="shared" si="8"/>
        <v>91</v>
      </c>
      <c r="H532" s="5">
        <v>43256</v>
      </c>
      <c r="I532" s="5">
        <v>43332</v>
      </c>
      <c r="J532" s="1" t="s">
        <v>41</v>
      </c>
      <c r="K532" s="1" t="s">
        <v>1512</v>
      </c>
      <c r="L532" s="1" t="s">
        <v>1513</v>
      </c>
      <c r="M532" s="1" t="s">
        <v>1514</v>
      </c>
      <c r="N532" s="1" t="s">
        <v>30</v>
      </c>
      <c r="O532" s="1" t="s">
        <v>1475</v>
      </c>
      <c r="P532" s="1" t="s">
        <v>1515</v>
      </c>
      <c r="Q532" s="1" t="s">
        <v>753</v>
      </c>
      <c r="R532" s="1" t="s">
        <v>48</v>
      </c>
      <c r="S532" s="1"/>
      <c r="T532" s="1" t="s">
        <v>1516</v>
      </c>
      <c r="U532" s="1" t="s">
        <v>35</v>
      </c>
      <c r="V532" s="1" t="s">
        <v>1292</v>
      </c>
      <c r="W532" s="1" t="str">
        <f>VLOOKUP(Table1[[#This Row],[Obergruppe ATC-Code]],Tabelle3!$A$2:$B$100,2)</f>
        <v>CALCIUMKANALBLOCKER</v>
      </c>
      <c r="X532" s="1" t="str">
        <f xml:space="preserve"> LEFT(Table1[[#This Row],[Atc Code]],3)</f>
        <v>C08</v>
      </c>
    </row>
    <row r="533" spans="1:24" ht="14.4">
      <c r="A533" s="14">
        <v>698</v>
      </c>
      <c r="B533" s="24">
        <v>4751789</v>
      </c>
      <c r="C533" s="1">
        <v>2127165</v>
      </c>
      <c r="D533" s="1" t="s">
        <v>25</v>
      </c>
      <c r="E533" s="36">
        <v>43344</v>
      </c>
      <c r="F533" s="36">
        <v>43830</v>
      </c>
      <c r="G533" s="38">
        <f t="shared" si="8"/>
        <v>486</v>
      </c>
      <c r="H533" s="5">
        <v>43369</v>
      </c>
      <c r="I533" s="5">
        <v>43791</v>
      </c>
      <c r="J533" s="1" t="s">
        <v>41</v>
      </c>
      <c r="K533" s="1" t="s">
        <v>1512</v>
      </c>
      <c r="L533" s="1" t="s">
        <v>1513</v>
      </c>
      <c r="M533" s="1" t="s">
        <v>1514</v>
      </c>
      <c r="N533" s="1" t="s">
        <v>30</v>
      </c>
      <c r="O533" s="1" t="s">
        <v>1475</v>
      </c>
      <c r="P533" s="1" t="s">
        <v>1515</v>
      </c>
      <c r="Q533" s="1" t="s">
        <v>753</v>
      </c>
      <c r="R533" s="1" t="s">
        <v>26</v>
      </c>
      <c r="S533" s="1"/>
      <c r="T533" s="1" t="s">
        <v>1516</v>
      </c>
      <c r="U533" s="1" t="s">
        <v>35</v>
      </c>
      <c r="V533" s="1" t="s">
        <v>1292</v>
      </c>
      <c r="W533" s="1" t="str">
        <f>VLOOKUP(Table1[[#This Row],[Obergruppe ATC-Code]],Tabelle3!$A$2:$B$100,2)</f>
        <v>CALCIUMKANALBLOCKER</v>
      </c>
      <c r="X533" s="1" t="str">
        <f xml:space="preserve"> LEFT(Table1[[#This Row],[Atc Code]],3)</f>
        <v>C08</v>
      </c>
    </row>
    <row r="534" spans="1:24" ht="14.4">
      <c r="A534" s="14">
        <v>697</v>
      </c>
      <c r="B534" s="24">
        <v>4751789</v>
      </c>
      <c r="C534" s="1">
        <v>2127165</v>
      </c>
      <c r="D534" s="1" t="s">
        <v>25</v>
      </c>
      <c r="E534" s="36">
        <v>44256</v>
      </c>
      <c r="F534" s="36">
        <v>44347</v>
      </c>
      <c r="G534" s="38">
        <f t="shared" si="8"/>
        <v>91</v>
      </c>
      <c r="H534" s="5">
        <v>44273</v>
      </c>
      <c r="I534" s="5">
        <v>44315</v>
      </c>
      <c r="J534" s="1" t="s">
        <v>1517</v>
      </c>
      <c r="K534" s="1" t="s">
        <v>1512</v>
      </c>
      <c r="L534" s="1" t="s">
        <v>1513</v>
      </c>
      <c r="M534" s="1" t="s">
        <v>1514</v>
      </c>
      <c r="N534" s="1" t="s">
        <v>30</v>
      </c>
      <c r="O534" s="1" t="s">
        <v>1475</v>
      </c>
      <c r="P534" s="1" t="s">
        <v>1515</v>
      </c>
      <c r="Q534" s="1" t="s">
        <v>753</v>
      </c>
      <c r="R534" s="1" t="s">
        <v>65</v>
      </c>
      <c r="S534" s="1"/>
      <c r="T534" s="1" t="s">
        <v>1516</v>
      </c>
      <c r="U534" s="1" t="s">
        <v>35</v>
      </c>
      <c r="V534" s="1" t="s">
        <v>1292</v>
      </c>
      <c r="W534" s="1" t="str">
        <f>VLOOKUP(Table1[[#This Row],[Obergruppe ATC-Code]],Tabelle3!$A$2:$B$100,2)</f>
        <v>CALCIUMKANALBLOCKER</v>
      </c>
      <c r="X534" s="1" t="str">
        <f xml:space="preserve"> LEFT(Table1[[#This Row],[Atc Code]],3)</f>
        <v>C08</v>
      </c>
    </row>
    <row r="535" spans="1:24" ht="14.4">
      <c r="A535" s="14">
        <v>1692</v>
      </c>
      <c r="B535" s="24" t="s">
        <v>1518</v>
      </c>
      <c r="C535" s="1">
        <v>2142220</v>
      </c>
      <c r="D535" s="1" t="s">
        <v>175</v>
      </c>
      <c r="E535" s="36">
        <v>45090</v>
      </c>
      <c r="F535" s="36">
        <v>45291</v>
      </c>
      <c r="G535" s="38">
        <f t="shared" si="8"/>
        <v>201</v>
      </c>
      <c r="H535" s="5">
        <v>45092</v>
      </c>
      <c r="I535" s="5">
        <v>45092</v>
      </c>
      <c r="J535" s="1" t="s">
        <v>26</v>
      </c>
      <c r="K535" s="1" t="s">
        <v>1519</v>
      </c>
      <c r="L535" s="1" t="s">
        <v>1513</v>
      </c>
      <c r="M535" s="1" t="s">
        <v>1514</v>
      </c>
      <c r="N535" s="1" t="s">
        <v>38</v>
      </c>
      <c r="O535" s="1" t="s">
        <v>110</v>
      </c>
      <c r="P535" s="1">
        <v>49733396510</v>
      </c>
      <c r="Q535" s="1" t="s">
        <v>1141</v>
      </c>
      <c r="R535" s="1" t="s">
        <v>113</v>
      </c>
      <c r="S535" s="1"/>
      <c r="U535" s="1" t="s">
        <v>130</v>
      </c>
      <c r="V535" s="1" t="s">
        <v>99</v>
      </c>
      <c r="W535" s="1" t="str">
        <f>VLOOKUP(Table1[[#This Row],[Obergruppe ATC-Code]],Tabelle3!$A$2:$B$100,2)</f>
        <v>CALCIUMKANALBLOCKER</v>
      </c>
      <c r="X535" s="1" t="str">
        <f xml:space="preserve"> LEFT(Table1[[#This Row],[Atc Code]],3)</f>
        <v>C08</v>
      </c>
    </row>
    <row r="536" spans="1:24" ht="14.4">
      <c r="A536" s="14">
        <v>1693</v>
      </c>
      <c r="B536" s="24" t="s">
        <v>1520</v>
      </c>
      <c r="C536" s="1">
        <v>2142221</v>
      </c>
      <c r="D536" s="1" t="s">
        <v>102</v>
      </c>
      <c r="E536" s="36">
        <v>45090</v>
      </c>
      <c r="F536" s="36">
        <v>45291</v>
      </c>
      <c r="G536" s="38">
        <f t="shared" si="8"/>
        <v>201</v>
      </c>
      <c r="H536" s="5">
        <v>45092</v>
      </c>
      <c r="I536" s="5">
        <v>45167</v>
      </c>
      <c r="J536" s="1" t="s">
        <v>26</v>
      </c>
      <c r="K536" s="1" t="s">
        <v>1521</v>
      </c>
      <c r="L536" s="1" t="s">
        <v>1513</v>
      </c>
      <c r="M536" s="1" t="s">
        <v>1514</v>
      </c>
      <c r="N536" s="1" t="s">
        <v>38</v>
      </c>
      <c r="O536" s="1" t="s">
        <v>110</v>
      </c>
      <c r="P536" s="1">
        <v>49733396510</v>
      </c>
      <c r="Q536" s="1" t="s">
        <v>1141</v>
      </c>
      <c r="R536" s="1" t="s">
        <v>113</v>
      </c>
      <c r="S536" s="1"/>
      <c r="U536" s="1" t="s">
        <v>130</v>
      </c>
      <c r="V536" s="1" t="s">
        <v>99</v>
      </c>
      <c r="W536" s="1" t="str">
        <f>VLOOKUP(Table1[[#This Row],[Obergruppe ATC-Code]],Tabelle3!$A$2:$B$100,2)</f>
        <v>CALCIUMKANALBLOCKER</v>
      </c>
      <c r="X536" s="1" t="str">
        <f xml:space="preserve"> LEFT(Table1[[#This Row],[Atc Code]],3)</f>
        <v>C08</v>
      </c>
    </row>
    <row r="537" spans="1:24" ht="14.4">
      <c r="A537" s="14">
        <v>500</v>
      </c>
      <c r="B537" s="24">
        <v>3117636</v>
      </c>
      <c r="C537" s="1">
        <v>2107721</v>
      </c>
      <c r="D537" s="1" t="s">
        <v>25</v>
      </c>
      <c r="E537" s="36">
        <v>44105</v>
      </c>
      <c r="F537" s="36">
        <v>44286</v>
      </c>
      <c r="G537" s="38">
        <f t="shared" si="8"/>
        <v>181</v>
      </c>
      <c r="H537" s="5">
        <v>44118</v>
      </c>
      <c r="I537" s="5">
        <v>44284</v>
      </c>
      <c r="J537" s="1" t="s">
        <v>41</v>
      </c>
      <c r="K537" s="1" t="s">
        <v>1522</v>
      </c>
      <c r="L537" s="1" t="s">
        <v>1523</v>
      </c>
      <c r="M537" s="1" t="s">
        <v>1524</v>
      </c>
      <c r="N537" s="1" t="s">
        <v>30</v>
      </c>
      <c r="O537" s="1" t="s">
        <v>91</v>
      </c>
      <c r="P537" s="1" t="s">
        <v>92</v>
      </c>
      <c r="Q537" s="1" t="s">
        <v>93</v>
      </c>
      <c r="R537" s="1" t="s">
        <v>26</v>
      </c>
      <c r="S537" s="1"/>
      <c r="U537" s="1" t="s">
        <v>35</v>
      </c>
      <c r="V537" s="1" t="s">
        <v>74</v>
      </c>
      <c r="W537" s="1" t="str">
        <f>VLOOKUP(Table1[[#This Row],[Obergruppe ATC-Code]],Tabelle3!$A$2:$B$100,2)</f>
        <v>CALCIUMKANALBLOCKER</v>
      </c>
      <c r="X537" s="1" t="str">
        <f xml:space="preserve"> LEFT(Table1[[#This Row],[Atc Code]],3)</f>
        <v>C08</v>
      </c>
    </row>
    <row r="538" spans="1:24" ht="14.4">
      <c r="A538" s="14">
        <v>70</v>
      </c>
      <c r="B538" s="24">
        <v>530896</v>
      </c>
      <c r="C538" s="1">
        <v>899578</v>
      </c>
      <c r="D538" s="1" t="s">
        <v>25</v>
      </c>
      <c r="E538" s="36">
        <v>45112</v>
      </c>
      <c r="F538" s="36">
        <v>45146</v>
      </c>
      <c r="G538" s="38">
        <f t="shared" si="8"/>
        <v>34</v>
      </c>
      <c r="H538" s="5">
        <v>45124</v>
      </c>
      <c r="I538" s="5">
        <v>45146</v>
      </c>
      <c r="J538" s="1" t="s">
        <v>26</v>
      </c>
      <c r="K538" s="1" t="s">
        <v>1525</v>
      </c>
      <c r="L538" s="1" t="s">
        <v>1523</v>
      </c>
      <c r="M538" s="1" t="s">
        <v>1524</v>
      </c>
      <c r="N538" s="1" t="s">
        <v>30</v>
      </c>
      <c r="O538" s="1" t="s">
        <v>1054</v>
      </c>
      <c r="P538" s="1" t="s">
        <v>823</v>
      </c>
      <c r="Q538" s="1" t="s">
        <v>824</v>
      </c>
      <c r="R538" s="1" t="s">
        <v>113</v>
      </c>
      <c r="S538" s="1"/>
      <c r="U538" s="1" t="s">
        <v>35</v>
      </c>
      <c r="V538" s="1" t="s">
        <v>74</v>
      </c>
      <c r="W538" s="1" t="str">
        <f>VLOOKUP(Table1[[#This Row],[Obergruppe ATC-Code]],Tabelle3!$A$2:$B$100,2)</f>
        <v>CALCIUMKANALBLOCKER</v>
      </c>
      <c r="X538" s="1" t="str">
        <f xml:space="preserve"> LEFT(Table1[[#This Row],[Atc Code]],3)</f>
        <v>C08</v>
      </c>
    </row>
    <row r="539" spans="1:24" ht="14.4">
      <c r="A539" s="14">
        <v>3068</v>
      </c>
      <c r="B539" s="1" t="s">
        <v>1526</v>
      </c>
      <c r="C539" s="1">
        <v>2128654</v>
      </c>
      <c r="D539" s="1" t="s">
        <v>25</v>
      </c>
      <c r="E539" s="36">
        <v>43891</v>
      </c>
      <c r="F539" s="36">
        <v>44561</v>
      </c>
      <c r="G539" s="38">
        <f t="shared" si="8"/>
        <v>670</v>
      </c>
      <c r="H539" s="5">
        <v>43908</v>
      </c>
      <c r="I539" s="5">
        <v>44537</v>
      </c>
      <c r="J539" s="1" t="s">
        <v>41</v>
      </c>
      <c r="K539" s="1" t="s">
        <v>1527</v>
      </c>
      <c r="L539" s="1" t="s">
        <v>1528</v>
      </c>
      <c r="M539" s="1" t="s">
        <v>1529</v>
      </c>
      <c r="N539" s="1" t="s">
        <v>30</v>
      </c>
      <c r="O539" s="1" t="s">
        <v>110</v>
      </c>
      <c r="P539" s="1" t="s">
        <v>1530</v>
      </c>
      <c r="Q539" s="1" t="s">
        <v>1141</v>
      </c>
      <c r="R539" s="1" t="s">
        <v>26</v>
      </c>
      <c r="S539" s="1"/>
      <c r="U539" s="1" t="s">
        <v>35</v>
      </c>
      <c r="V539" s="1" t="s">
        <v>199</v>
      </c>
      <c r="W539" s="1" t="str">
        <f>VLOOKUP(Table1[[#This Row],[Obergruppe ATC-Code]],Tabelle3!$A$2:$B$100,2)</f>
        <v>CALCIUMKANALBLOCKER</v>
      </c>
      <c r="X539" s="1" t="str">
        <f xml:space="preserve"> LEFT(Table1[[#This Row],[Atc Code]],3)</f>
        <v>C08</v>
      </c>
    </row>
    <row r="540" spans="1:24" ht="14.4">
      <c r="A540" s="14">
        <v>3067</v>
      </c>
      <c r="B540" s="1" t="s">
        <v>1531</v>
      </c>
      <c r="C540" s="1">
        <v>2110950</v>
      </c>
      <c r="D540" s="1" t="s">
        <v>25</v>
      </c>
      <c r="E540" s="36">
        <v>43891</v>
      </c>
      <c r="F540" s="36">
        <v>44561</v>
      </c>
      <c r="G540" s="38">
        <f t="shared" si="8"/>
        <v>670</v>
      </c>
      <c r="H540" s="5">
        <v>43908</v>
      </c>
      <c r="I540" s="5">
        <v>44537</v>
      </c>
      <c r="J540" s="1" t="s">
        <v>41</v>
      </c>
      <c r="K540" s="1" t="s">
        <v>1532</v>
      </c>
      <c r="L540" s="1" t="s">
        <v>1528</v>
      </c>
      <c r="M540" s="1" t="s">
        <v>1529</v>
      </c>
      <c r="N540" s="1" t="s">
        <v>30</v>
      </c>
      <c r="O540" s="1" t="s">
        <v>110</v>
      </c>
      <c r="P540" s="1" t="s">
        <v>1530</v>
      </c>
      <c r="Q540" s="1" t="s">
        <v>1141</v>
      </c>
      <c r="R540" s="1" t="s">
        <v>26</v>
      </c>
      <c r="S540" s="1"/>
      <c r="U540" s="1" t="s">
        <v>35</v>
      </c>
      <c r="V540" s="1" t="s">
        <v>199</v>
      </c>
      <c r="W540" s="1" t="str">
        <f>VLOOKUP(Table1[[#This Row],[Obergruppe ATC-Code]],Tabelle3!$A$2:$B$100,2)</f>
        <v>CALCIUMKANALBLOCKER</v>
      </c>
      <c r="X540" s="1" t="str">
        <f xml:space="preserve"> LEFT(Table1[[#This Row],[Atc Code]],3)</f>
        <v>C08</v>
      </c>
    </row>
    <row r="541" spans="1:24" ht="14.4">
      <c r="A541" s="14">
        <v>162</v>
      </c>
      <c r="B541" s="24">
        <v>1015239</v>
      </c>
      <c r="C541" s="1">
        <v>2133221</v>
      </c>
      <c r="D541" s="1" t="s">
        <v>25</v>
      </c>
      <c r="E541" s="36">
        <v>44586</v>
      </c>
      <c r="F541" s="36">
        <v>44643</v>
      </c>
      <c r="G541" s="38">
        <f t="shared" si="8"/>
        <v>57</v>
      </c>
      <c r="H541" s="5">
        <v>44588</v>
      </c>
      <c r="I541" s="5">
        <v>44642</v>
      </c>
      <c r="J541" s="1" t="s">
        <v>26</v>
      </c>
      <c r="K541" s="1" t="s">
        <v>1533</v>
      </c>
      <c r="L541" s="1" t="s">
        <v>1534</v>
      </c>
      <c r="M541" s="1" t="s">
        <v>1535</v>
      </c>
      <c r="N541" s="1" t="s">
        <v>38</v>
      </c>
      <c r="O541" s="1" t="s">
        <v>117</v>
      </c>
      <c r="Q541" s="1" t="s">
        <v>1193</v>
      </c>
      <c r="R541" s="1" t="s">
        <v>26</v>
      </c>
      <c r="S541" s="1"/>
      <c r="U541" s="1" t="s">
        <v>130</v>
      </c>
      <c r="V541" s="1" t="s">
        <v>49</v>
      </c>
      <c r="W541" s="1" t="str">
        <f>VLOOKUP(Table1[[#This Row],[Obergruppe ATC-Code]],Tabelle3!$A$2:$B$100,2)</f>
        <v>MITTEL MIT WIRKUNG AUF DAS RENIN-ANGIOTENSIN-SYSTEM</v>
      </c>
      <c r="X541" s="1" t="str">
        <f xml:space="preserve"> LEFT(Table1[[#This Row],[Atc Code]],3)</f>
        <v>C09</v>
      </c>
    </row>
    <row r="542" spans="1:24" ht="14.4">
      <c r="A542" s="14">
        <v>161</v>
      </c>
      <c r="B542" s="24">
        <v>1015156</v>
      </c>
      <c r="C542" s="1">
        <v>2133219</v>
      </c>
      <c r="D542" s="1" t="s">
        <v>25</v>
      </c>
      <c r="E542" s="36">
        <v>44585</v>
      </c>
      <c r="F542" s="36">
        <v>44643</v>
      </c>
      <c r="G542" s="38">
        <f t="shared" si="8"/>
        <v>58</v>
      </c>
      <c r="H542" s="5">
        <v>44586</v>
      </c>
      <c r="I542" s="5">
        <v>44642</v>
      </c>
      <c r="J542" s="1" t="s">
        <v>26</v>
      </c>
      <c r="K542" s="1" t="s">
        <v>1536</v>
      </c>
      <c r="L542" s="1" t="s">
        <v>1534</v>
      </c>
      <c r="M542" s="1" t="s">
        <v>1535</v>
      </c>
      <c r="N542" s="1" t="s">
        <v>38</v>
      </c>
      <c r="O542" s="1" t="s">
        <v>117</v>
      </c>
      <c r="P542" s="1" t="s">
        <v>647</v>
      </c>
      <c r="Q542" s="1" t="s">
        <v>1193</v>
      </c>
      <c r="R542" s="1" t="s">
        <v>26</v>
      </c>
      <c r="S542" s="1"/>
      <c r="U542" s="1" t="s">
        <v>130</v>
      </c>
      <c r="V542" s="1" t="s">
        <v>49</v>
      </c>
      <c r="W542" s="1" t="str">
        <f>VLOOKUP(Table1[[#This Row],[Obergruppe ATC-Code]],Tabelle3!$A$2:$B$100,2)</f>
        <v>MITTEL MIT WIRKUNG AUF DAS RENIN-ANGIOTENSIN-SYSTEM</v>
      </c>
      <c r="X542" s="1" t="str">
        <f xml:space="preserve"> LEFT(Table1[[#This Row],[Atc Code]],3)</f>
        <v>C09</v>
      </c>
    </row>
    <row r="543" spans="1:24" ht="14.4">
      <c r="A543" s="14">
        <v>1114</v>
      </c>
      <c r="B543" s="24">
        <v>9425801</v>
      </c>
      <c r="C543" s="1">
        <v>2173288</v>
      </c>
      <c r="D543" s="1" t="s">
        <v>25</v>
      </c>
      <c r="E543" s="36">
        <v>43739</v>
      </c>
      <c r="F543" s="36">
        <v>43982</v>
      </c>
      <c r="G543" s="38">
        <f t="shared" si="8"/>
        <v>243</v>
      </c>
      <c r="H543" s="5">
        <v>43866</v>
      </c>
      <c r="I543" s="5">
        <v>43963</v>
      </c>
      <c r="J543" s="1" t="s">
        <v>41</v>
      </c>
      <c r="K543" s="1" t="s">
        <v>1537</v>
      </c>
      <c r="L543" s="1" t="s">
        <v>1538</v>
      </c>
      <c r="M543" s="1" t="s">
        <v>1539</v>
      </c>
      <c r="N543" s="1" t="s">
        <v>38</v>
      </c>
      <c r="O543" s="1" t="s">
        <v>1440</v>
      </c>
      <c r="P543" s="1" t="s">
        <v>1441</v>
      </c>
      <c r="Q543" s="1" t="s">
        <v>1442</v>
      </c>
      <c r="R543" s="1" t="s">
        <v>65</v>
      </c>
      <c r="S543" s="1"/>
      <c r="U543" s="1" t="s">
        <v>35</v>
      </c>
      <c r="V543" s="1" t="s">
        <v>49</v>
      </c>
      <c r="W543" s="1" t="str">
        <f>VLOOKUP(Table1[[#This Row],[Obergruppe ATC-Code]],Tabelle3!$A$2:$B$100,2)</f>
        <v>MITTEL MIT WIRKUNG AUF DAS RENIN-ANGIOTENSIN-SYSTEM</v>
      </c>
      <c r="X543" s="1" t="str">
        <f xml:space="preserve"> LEFT(Table1[[#This Row],[Atc Code]],3)</f>
        <v>C09</v>
      </c>
    </row>
    <row r="544" spans="1:24" ht="14.4">
      <c r="A544" s="14">
        <v>1115</v>
      </c>
      <c r="B544" s="24">
        <v>9425801</v>
      </c>
      <c r="C544" s="1">
        <v>2173288</v>
      </c>
      <c r="D544" s="1" t="s">
        <v>25</v>
      </c>
      <c r="E544" s="36">
        <v>44963</v>
      </c>
      <c r="F544" s="36">
        <v>44991</v>
      </c>
      <c r="G544" s="38">
        <f t="shared" si="8"/>
        <v>28</v>
      </c>
      <c r="H544" s="5">
        <v>44967</v>
      </c>
      <c r="I544" s="5">
        <v>44995</v>
      </c>
      <c r="J544" s="1" t="s">
        <v>26</v>
      </c>
      <c r="K544" s="1" t="s">
        <v>1537</v>
      </c>
      <c r="L544" s="1" t="s">
        <v>1538</v>
      </c>
      <c r="M544" s="1" t="s">
        <v>1539</v>
      </c>
      <c r="N544" s="1" t="s">
        <v>38</v>
      </c>
      <c r="O544" s="1" t="s">
        <v>1440</v>
      </c>
      <c r="P544" s="1" t="s">
        <v>1540</v>
      </c>
      <c r="Q544" s="1" t="s">
        <v>1541</v>
      </c>
      <c r="R544" s="1" t="s">
        <v>113</v>
      </c>
      <c r="S544" s="1"/>
      <c r="U544" s="1" t="s">
        <v>35</v>
      </c>
      <c r="V544" s="1" t="s">
        <v>49</v>
      </c>
      <c r="W544" s="1" t="str">
        <f>VLOOKUP(Table1[[#This Row],[Obergruppe ATC-Code]],Tabelle3!$A$2:$B$100,2)</f>
        <v>MITTEL MIT WIRKUNG AUF DAS RENIN-ANGIOTENSIN-SYSTEM</v>
      </c>
      <c r="X544" s="1" t="str">
        <f xml:space="preserve"> LEFT(Table1[[#This Row],[Atc Code]],3)</f>
        <v>C09</v>
      </c>
    </row>
    <row r="545" spans="1:24" ht="14.4">
      <c r="A545" s="14">
        <v>1930</v>
      </c>
      <c r="B545" s="24" t="s">
        <v>1542</v>
      </c>
      <c r="C545" s="1">
        <v>2156526</v>
      </c>
      <c r="D545" s="1" t="s">
        <v>25</v>
      </c>
      <c r="E545" s="36">
        <v>44406</v>
      </c>
      <c r="F545" s="36">
        <v>44484</v>
      </c>
      <c r="G545" s="38">
        <f t="shared" si="8"/>
        <v>78</v>
      </c>
      <c r="H545" s="5">
        <v>44406</v>
      </c>
      <c r="I545" s="5">
        <v>44469</v>
      </c>
      <c r="J545" s="1" t="s">
        <v>26</v>
      </c>
      <c r="K545" s="1" t="s">
        <v>1543</v>
      </c>
      <c r="L545" s="1" t="s">
        <v>1544</v>
      </c>
      <c r="M545" s="1" t="s">
        <v>1545</v>
      </c>
      <c r="N545" s="1" t="s">
        <v>38</v>
      </c>
      <c r="O545" s="1" t="s">
        <v>554</v>
      </c>
      <c r="P545" s="1" t="s">
        <v>266</v>
      </c>
      <c r="Q545" s="1" t="s">
        <v>267</v>
      </c>
      <c r="R545" s="1" t="s">
        <v>113</v>
      </c>
      <c r="S545" s="1"/>
      <c r="U545" s="1" t="s">
        <v>130</v>
      </c>
      <c r="V545" s="1" t="s">
        <v>49</v>
      </c>
      <c r="W545" s="1" t="str">
        <f>VLOOKUP(Table1[[#This Row],[Obergruppe ATC-Code]],Tabelle3!$A$2:$B$100,2)</f>
        <v>MITTEL MIT WIRKUNG AUF DAS RENIN-ANGIOTENSIN-SYSTEM</v>
      </c>
      <c r="X545" s="1" t="str">
        <f xml:space="preserve"> LEFT(Table1[[#This Row],[Atc Code]],3)</f>
        <v>C09</v>
      </c>
    </row>
    <row r="546" spans="1:24" ht="14.4">
      <c r="A546" s="14">
        <v>315</v>
      </c>
      <c r="B546" s="24">
        <v>1983625</v>
      </c>
      <c r="C546" s="1">
        <v>2156527</v>
      </c>
      <c r="D546" s="1" t="s">
        <v>25</v>
      </c>
      <c r="E546" s="36">
        <v>44406</v>
      </c>
      <c r="F546" s="36">
        <v>44469</v>
      </c>
      <c r="G546" s="38">
        <f t="shared" si="8"/>
        <v>63</v>
      </c>
      <c r="H546" s="5">
        <v>44406</v>
      </c>
      <c r="I546" s="5">
        <v>44469</v>
      </c>
      <c r="J546" s="1" t="s">
        <v>26</v>
      </c>
      <c r="K546" s="1" t="s">
        <v>1546</v>
      </c>
      <c r="L546" s="1" t="s">
        <v>1544</v>
      </c>
      <c r="M546" s="1" t="s">
        <v>1545</v>
      </c>
      <c r="N546" s="1" t="s">
        <v>38</v>
      </c>
      <c r="O546" s="1" t="s">
        <v>554</v>
      </c>
      <c r="P546" s="1" t="s">
        <v>266</v>
      </c>
      <c r="Q546" s="1" t="s">
        <v>267</v>
      </c>
      <c r="R546" s="1" t="s">
        <v>113</v>
      </c>
      <c r="S546" s="1"/>
      <c r="U546" s="1" t="s">
        <v>130</v>
      </c>
      <c r="V546" s="1" t="s">
        <v>49</v>
      </c>
      <c r="W546" s="1" t="str">
        <f>VLOOKUP(Table1[[#This Row],[Obergruppe ATC-Code]],Tabelle3!$A$2:$B$100,2)</f>
        <v>MITTEL MIT WIRKUNG AUF DAS RENIN-ANGIOTENSIN-SYSTEM</v>
      </c>
      <c r="X546" s="1" t="str">
        <f xml:space="preserve"> LEFT(Table1[[#This Row],[Atc Code]],3)</f>
        <v>C09</v>
      </c>
    </row>
    <row r="547" spans="1:24" ht="14.4">
      <c r="A547" s="14">
        <v>1931</v>
      </c>
      <c r="B547" s="24" t="s">
        <v>1547</v>
      </c>
      <c r="C547" s="1">
        <v>2156528</v>
      </c>
      <c r="D547" s="1" t="s">
        <v>25</v>
      </c>
      <c r="E547" s="36">
        <v>44406</v>
      </c>
      <c r="F547" s="36">
        <v>44484</v>
      </c>
      <c r="G547" s="38">
        <f t="shared" si="8"/>
        <v>78</v>
      </c>
      <c r="H547" s="5">
        <v>44406</v>
      </c>
      <c r="I547" s="5">
        <v>44488</v>
      </c>
      <c r="J547" s="1" t="s">
        <v>26</v>
      </c>
      <c r="K547" s="1" t="s">
        <v>1548</v>
      </c>
      <c r="L547" s="1" t="s">
        <v>1544</v>
      </c>
      <c r="M547" s="1" t="s">
        <v>1545</v>
      </c>
      <c r="N547" s="1" t="s">
        <v>38</v>
      </c>
      <c r="O547" s="1" t="s">
        <v>554</v>
      </c>
      <c r="P547" s="1" t="s">
        <v>1549</v>
      </c>
      <c r="Q547" s="1" t="s">
        <v>267</v>
      </c>
      <c r="R547" s="1" t="s">
        <v>113</v>
      </c>
      <c r="S547" s="1"/>
      <c r="U547" s="1" t="s">
        <v>130</v>
      </c>
      <c r="V547" s="1" t="s">
        <v>49</v>
      </c>
      <c r="W547" s="1" t="str">
        <f>VLOOKUP(Table1[[#This Row],[Obergruppe ATC-Code]],Tabelle3!$A$2:$B$100,2)</f>
        <v>MITTEL MIT WIRKUNG AUF DAS RENIN-ANGIOTENSIN-SYSTEM</v>
      </c>
      <c r="X547" s="1" t="str">
        <f xml:space="preserve"> LEFT(Table1[[#This Row],[Atc Code]],3)</f>
        <v>C09</v>
      </c>
    </row>
    <row r="548" spans="1:24" ht="14.4">
      <c r="A548" s="14">
        <v>180</v>
      </c>
      <c r="B548" s="24">
        <v>1097941</v>
      </c>
      <c r="C548" s="1">
        <v>2150293</v>
      </c>
      <c r="D548" s="1" t="s">
        <v>25</v>
      </c>
      <c r="E548" s="36">
        <v>44474</v>
      </c>
      <c r="F548" s="36">
        <v>44532</v>
      </c>
      <c r="G548" s="38">
        <f t="shared" si="8"/>
        <v>58</v>
      </c>
      <c r="H548" s="5">
        <v>44484</v>
      </c>
      <c r="I548" s="5">
        <v>44532</v>
      </c>
      <c r="J548" s="1" t="s">
        <v>26</v>
      </c>
      <c r="K548" s="1" t="s">
        <v>1550</v>
      </c>
      <c r="L548" s="1" t="s">
        <v>1544</v>
      </c>
      <c r="M548" s="1" t="s">
        <v>1545</v>
      </c>
      <c r="N548" s="1" t="s">
        <v>30</v>
      </c>
      <c r="O548" s="1" t="s">
        <v>62</v>
      </c>
      <c r="P548" s="1" t="s">
        <v>63</v>
      </c>
      <c r="Q548" s="1" t="s">
        <v>64</v>
      </c>
      <c r="R548" s="1" t="s">
        <v>113</v>
      </c>
      <c r="S548" s="1" t="s">
        <v>1551</v>
      </c>
      <c r="U548" s="1" t="s">
        <v>35</v>
      </c>
      <c r="V548" s="1" t="s">
        <v>49</v>
      </c>
      <c r="W548" s="1" t="str">
        <f>VLOOKUP(Table1[[#This Row],[Obergruppe ATC-Code]],Tabelle3!$A$2:$B$100,2)</f>
        <v>MITTEL MIT WIRKUNG AUF DAS RENIN-ANGIOTENSIN-SYSTEM</v>
      </c>
      <c r="X548" s="1" t="str">
        <f xml:space="preserve"> LEFT(Table1[[#This Row],[Atc Code]],3)</f>
        <v>C09</v>
      </c>
    </row>
    <row r="549" spans="1:24" ht="14.4">
      <c r="A549" s="14">
        <v>181</v>
      </c>
      <c r="B549" s="24">
        <v>1097987</v>
      </c>
      <c r="C549" s="1">
        <v>2150294</v>
      </c>
      <c r="D549" s="1" t="s">
        <v>175</v>
      </c>
      <c r="E549" s="36">
        <v>45189</v>
      </c>
      <c r="F549" s="36">
        <v>45243</v>
      </c>
      <c r="G549" s="38">
        <f t="shared" si="8"/>
        <v>54</v>
      </c>
      <c r="H549" s="5">
        <v>45189</v>
      </c>
      <c r="I549" s="5">
        <v>45189</v>
      </c>
      <c r="J549" s="1" t="s">
        <v>41</v>
      </c>
      <c r="K549" s="1" t="s">
        <v>1552</v>
      </c>
      <c r="L549" s="1" t="s">
        <v>1544</v>
      </c>
      <c r="M549" s="1" t="s">
        <v>1545</v>
      </c>
      <c r="N549" s="1" t="s">
        <v>30</v>
      </c>
      <c r="O549" s="1" t="s">
        <v>62</v>
      </c>
      <c r="P549" s="1">
        <v>8005252010</v>
      </c>
      <c r="Q549" s="1" t="s">
        <v>64</v>
      </c>
      <c r="R549" s="1" t="s">
        <v>65</v>
      </c>
      <c r="S549" s="1" t="s">
        <v>1553</v>
      </c>
      <c r="U549" s="1" t="s">
        <v>130</v>
      </c>
      <c r="V549" s="1" t="s">
        <v>49</v>
      </c>
      <c r="W549" s="1" t="str">
        <f>VLOOKUP(Table1[[#This Row],[Obergruppe ATC-Code]],Tabelle3!$A$2:$B$100,2)</f>
        <v>MITTEL MIT WIRKUNG AUF DAS RENIN-ANGIOTENSIN-SYSTEM</v>
      </c>
      <c r="X549" s="1" t="str">
        <f xml:space="preserve"> LEFT(Table1[[#This Row],[Atc Code]],3)</f>
        <v>C09</v>
      </c>
    </row>
    <row r="550" spans="1:24" ht="14.4">
      <c r="A550" s="14">
        <v>179</v>
      </c>
      <c r="B550" s="24">
        <v>1097941</v>
      </c>
      <c r="C550" s="1">
        <v>2150293</v>
      </c>
      <c r="D550" s="1" t="s">
        <v>175</v>
      </c>
      <c r="E550" s="36">
        <v>45189</v>
      </c>
      <c r="F550" s="36">
        <v>45250</v>
      </c>
      <c r="G550" s="38">
        <f t="shared" si="8"/>
        <v>61</v>
      </c>
      <c r="H550" s="5">
        <v>45189</v>
      </c>
      <c r="I550" s="5">
        <v>45189</v>
      </c>
      <c r="J550" s="1" t="s">
        <v>41</v>
      </c>
      <c r="K550" s="1" t="s">
        <v>1550</v>
      </c>
      <c r="L550" s="1" t="s">
        <v>1544</v>
      </c>
      <c r="M550" s="1" t="s">
        <v>1545</v>
      </c>
      <c r="N550" s="1" t="s">
        <v>30</v>
      </c>
      <c r="O550" s="1" t="s">
        <v>62</v>
      </c>
      <c r="P550" s="1">
        <v>8005252010</v>
      </c>
      <c r="Q550" s="1" t="s">
        <v>64</v>
      </c>
      <c r="R550" s="1" t="s">
        <v>65</v>
      </c>
      <c r="S550" s="1" t="s">
        <v>1553</v>
      </c>
      <c r="U550" s="1" t="s">
        <v>130</v>
      </c>
      <c r="V550" s="1" t="s">
        <v>49</v>
      </c>
      <c r="W550" s="1" t="str">
        <f>VLOOKUP(Table1[[#This Row],[Obergruppe ATC-Code]],Tabelle3!$A$2:$B$100,2)</f>
        <v>MITTEL MIT WIRKUNG AUF DAS RENIN-ANGIOTENSIN-SYSTEM</v>
      </c>
      <c r="X550" s="1" t="str">
        <f xml:space="preserve"> LEFT(Table1[[#This Row],[Atc Code]],3)</f>
        <v>C09</v>
      </c>
    </row>
    <row r="551" spans="1:24" ht="14.4">
      <c r="A551" s="14">
        <v>1285</v>
      </c>
      <c r="B551" s="24">
        <v>11856224</v>
      </c>
      <c r="C551" s="1">
        <v>2117443</v>
      </c>
      <c r="D551" s="1" t="s">
        <v>102</v>
      </c>
      <c r="E551" s="36">
        <v>44662</v>
      </c>
      <c r="F551" s="36">
        <v>45322</v>
      </c>
      <c r="G551" s="38">
        <f t="shared" si="8"/>
        <v>660</v>
      </c>
      <c r="H551" s="5">
        <v>44672</v>
      </c>
      <c r="I551" s="5">
        <v>44890</v>
      </c>
      <c r="J551" s="1" t="s">
        <v>26</v>
      </c>
      <c r="K551" s="1" t="s">
        <v>1554</v>
      </c>
      <c r="L551" s="1" t="s">
        <v>1555</v>
      </c>
      <c r="M551" s="1" t="s">
        <v>1556</v>
      </c>
      <c r="N551" s="1" t="s">
        <v>30</v>
      </c>
      <c r="O551" s="1" t="s">
        <v>329</v>
      </c>
      <c r="P551" s="1" t="s">
        <v>1259</v>
      </c>
      <c r="Q551" s="1" t="s">
        <v>331</v>
      </c>
      <c r="R551" s="1" t="s">
        <v>26</v>
      </c>
      <c r="S551" s="1"/>
      <c r="T551" s="1" t="s">
        <v>1557</v>
      </c>
      <c r="U551" s="1" t="s">
        <v>57</v>
      </c>
      <c r="V551" s="1" t="s">
        <v>99</v>
      </c>
      <c r="W551" s="1" t="str">
        <f>VLOOKUP(Table1[[#This Row],[Obergruppe ATC-Code]],Tabelle3!$A$2:$B$100,2)</f>
        <v>MITTEL MIT WIRKUNG AUF DAS RENIN-ANGIOTENSIN-SYSTEM</v>
      </c>
      <c r="X551" s="1" t="str">
        <f xml:space="preserve"> LEFT(Table1[[#This Row],[Atc Code]],3)</f>
        <v>C09</v>
      </c>
    </row>
    <row r="552" spans="1:24" ht="15" customHeight="1">
      <c r="A552" s="14">
        <v>584</v>
      </c>
      <c r="B552" s="24">
        <v>3738829</v>
      </c>
      <c r="C552" s="1">
        <v>2117445</v>
      </c>
      <c r="D552" s="1" t="s">
        <v>102</v>
      </c>
      <c r="E552" s="36">
        <v>44662</v>
      </c>
      <c r="F552" s="36">
        <v>45322</v>
      </c>
      <c r="G552" s="38">
        <f t="shared" si="8"/>
        <v>660</v>
      </c>
      <c r="H552" s="5">
        <v>44672</v>
      </c>
      <c r="I552" s="5">
        <v>44890</v>
      </c>
      <c r="J552" s="1" t="s">
        <v>26</v>
      </c>
      <c r="K552" s="1" t="s">
        <v>1558</v>
      </c>
      <c r="L552" s="1" t="s">
        <v>1555</v>
      </c>
      <c r="M552" s="1" t="s">
        <v>1556</v>
      </c>
      <c r="N552" s="1" t="s">
        <v>30</v>
      </c>
      <c r="O552" s="1" t="s">
        <v>329</v>
      </c>
      <c r="P552" s="1" t="s">
        <v>1153</v>
      </c>
      <c r="Q552" s="1" t="s">
        <v>331</v>
      </c>
      <c r="R552" s="1" t="s">
        <v>26</v>
      </c>
      <c r="S552" s="1"/>
      <c r="T552" s="1" t="s">
        <v>1559</v>
      </c>
      <c r="U552" s="1" t="s">
        <v>57</v>
      </c>
      <c r="V552" s="1" t="s">
        <v>99</v>
      </c>
      <c r="W552" s="1" t="str">
        <f>VLOOKUP(Table1[[#This Row],[Obergruppe ATC-Code]],Tabelle3!$A$2:$B$100,2)</f>
        <v>MITTEL MIT WIRKUNG AUF DAS RENIN-ANGIOTENSIN-SYSTEM</v>
      </c>
      <c r="X552" s="1" t="str">
        <f xml:space="preserve"> LEFT(Table1[[#This Row],[Atc Code]],3)</f>
        <v>C09</v>
      </c>
    </row>
    <row r="553" spans="1:24" ht="14.4">
      <c r="A553" s="14">
        <v>583</v>
      </c>
      <c r="B553" s="24">
        <v>3738798</v>
      </c>
      <c r="C553" s="1">
        <v>2117444</v>
      </c>
      <c r="D553" s="1" t="s">
        <v>102</v>
      </c>
      <c r="E553" s="36">
        <v>44662</v>
      </c>
      <c r="F553" s="36">
        <v>45322</v>
      </c>
      <c r="G553" s="38">
        <f t="shared" si="8"/>
        <v>660</v>
      </c>
      <c r="H553" s="5">
        <v>44672</v>
      </c>
      <c r="I553" s="5">
        <v>44890</v>
      </c>
      <c r="J553" s="1" t="s">
        <v>26</v>
      </c>
      <c r="K553" s="1" t="s">
        <v>1560</v>
      </c>
      <c r="L553" s="1" t="s">
        <v>1555</v>
      </c>
      <c r="M553" s="1" t="s">
        <v>1556</v>
      </c>
      <c r="N553" s="1" t="s">
        <v>30</v>
      </c>
      <c r="O553" s="1" t="s">
        <v>329</v>
      </c>
      <c r="P553" s="1" t="s">
        <v>1259</v>
      </c>
      <c r="Q553" s="1" t="s">
        <v>331</v>
      </c>
      <c r="R553" s="1" t="s">
        <v>26</v>
      </c>
      <c r="S553" s="1"/>
      <c r="T553" s="1" t="s">
        <v>1559</v>
      </c>
      <c r="U553" s="1" t="s">
        <v>57</v>
      </c>
      <c r="V553" s="1" t="s">
        <v>99</v>
      </c>
      <c r="W553" s="1" t="str">
        <f>VLOOKUP(Table1[[#This Row],[Obergruppe ATC-Code]],Tabelle3!$A$2:$B$100,2)</f>
        <v>MITTEL MIT WIRKUNG AUF DAS RENIN-ANGIOTENSIN-SYSTEM</v>
      </c>
      <c r="X553" s="1" t="str">
        <f xml:space="preserve"> LEFT(Table1[[#This Row],[Atc Code]],3)</f>
        <v>C09</v>
      </c>
    </row>
    <row r="554" spans="1:24" ht="14.4">
      <c r="A554" s="14">
        <v>668</v>
      </c>
      <c r="B554" s="24">
        <v>4351736</v>
      </c>
      <c r="C554" s="1">
        <v>2163308</v>
      </c>
      <c r="D554" s="1" t="s">
        <v>175</v>
      </c>
      <c r="E554" s="36">
        <v>44999</v>
      </c>
      <c r="F554" s="36">
        <v>45230</v>
      </c>
      <c r="G554" s="38">
        <f t="shared" si="8"/>
        <v>231</v>
      </c>
      <c r="H554" s="5">
        <v>45182</v>
      </c>
      <c r="I554" s="5">
        <v>45182</v>
      </c>
      <c r="J554" s="1" t="s">
        <v>26</v>
      </c>
      <c r="K554" s="1" t="s">
        <v>1561</v>
      </c>
      <c r="L554" s="1" t="s">
        <v>1562</v>
      </c>
      <c r="M554" s="1" t="s">
        <v>1563</v>
      </c>
      <c r="N554" s="1" t="s">
        <v>38</v>
      </c>
      <c r="O554" s="1" t="s">
        <v>110</v>
      </c>
      <c r="P554" s="1">
        <v>49733396510</v>
      </c>
      <c r="Q554" s="1" t="s">
        <v>112</v>
      </c>
      <c r="R554" s="1" t="s">
        <v>113</v>
      </c>
      <c r="S554" s="1"/>
      <c r="U554" s="1" t="s">
        <v>130</v>
      </c>
      <c r="V554" s="1" t="s">
        <v>99</v>
      </c>
      <c r="W554" s="1" t="str">
        <f>VLOOKUP(Table1[[#This Row],[Obergruppe ATC-Code]],Tabelle3!$A$2:$B$100,2)</f>
        <v>MITTEL MIT WIRKUNG AUF DAS RENIN-ANGIOTENSIN-SYSTEM</v>
      </c>
      <c r="X554" s="1" t="str">
        <f xml:space="preserve"> LEFT(Table1[[#This Row],[Atc Code]],3)</f>
        <v>C09</v>
      </c>
    </row>
    <row r="555" spans="1:24" ht="14.4">
      <c r="A555" s="14">
        <v>667</v>
      </c>
      <c r="B555" s="24">
        <v>4351707</v>
      </c>
      <c r="C555" s="1">
        <v>2163307</v>
      </c>
      <c r="D555" s="1" t="s">
        <v>175</v>
      </c>
      <c r="E555" s="36">
        <v>45152</v>
      </c>
      <c r="F555" s="36">
        <v>45230</v>
      </c>
      <c r="G555" s="38">
        <f t="shared" si="8"/>
        <v>78</v>
      </c>
      <c r="H555" s="5">
        <v>45182</v>
      </c>
      <c r="I555" s="5">
        <v>45182</v>
      </c>
      <c r="J555" s="1" t="s">
        <v>26</v>
      </c>
      <c r="K555" s="1" t="s">
        <v>1564</v>
      </c>
      <c r="L555" s="1" t="s">
        <v>1562</v>
      </c>
      <c r="M555" s="1" t="s">
        <v>1563</v>
      </c>
      <c r="N555" s="1" t="s">
        <v>38</v>
      </c>
      <c r="O555" s="1" t="s">
        <v>110</v>
      </c>
      <c r="P555" s="1">
        <v>49733396510</v>
      </c>
      <c r="Q555" s="1" t="s">
        <v>112</v>
      </c>
      <c r="R555" s="1" t="s">
        <v>113</v>
      </c>
      <c r="S555" s="1"/>
      <c r="U555" s="1" t="s">
        <v>130</v>
      </c>
      <c r="V555" s="1" t="s">
        <v>99</v>
      </c>
      <c r="W555" s="1" t="str">
        <f>VLOOKUP(Table1[[#This Row],[Obergruppe ATC-Code]],Tabelle3!$A$2:$B$100,2)</f>
        <v>MITTEL MIT WIRKUNG AUF DAS RENIN-ANGIOTENSIN-SYSTEM</v>
      </c>
      <c r="X555" s="1" t="str">
        <f xml:space="preserve"> LEFT(Table1[[#This Row],[Atc Code]],3)</f>
        <v>C09</v>
      </c>
    </row>
    <row r="556" spans="1:24" ht="14.4">
      <c r="A556" s="14">
        <v>691</v>
      </c>
      <c r="B556" s="24">
        <v>4679342</v>
      </c>
      <c r="C556" s="1">
        <v>2126621</v>
      </c>
      <c r="D556" s="1" t="s">
        <v>175</v>
      </c>
      <c r="E556" s="36">
        <v>45189</v>
      </c>
      <c r="F556" s="36">
        <v>45250</v>
      </c>
      <c r="G556" s="38">
        <f t="shared" si="8"/>
        <v>61</v>
      </c>
      <c r="H556" s="5">
        <v>45189</v>
      </c>
      <c r="I556" s="5">
        <v>45189</v>
      </c>
      <c r="J556" s="1" t="s">
        <v>41</v>
      </c>
      <c r="K556" s="1" t="s">
        <v>1565</v>
      </c>
      <c r="L556" s="1" t="s">
        <v>1566</v>
      </c>
      <c r="M556" s="1" t="s">
        <v>1567</v>
      </c>
      <c r="N556" s="1" t="s">
        <v>30</v>
      </c>
      <c r="O556" s="1" t="s">
        <v>62</v>
      </c>
      <c r="P556" s="1">
        <v>8005252010</v>
      </c>
      <c r="Q556" s="1" t="s">
        <v>64</v>
      </c>
      <c r="R556" s="1" t="s">
        <v>65</v>
      </c>
      <c r="S556" s="1" t="s">
        <v>1553</v>
      </c>
      <c r="U556" s="1" t="s">
        <v>130</v>
      </c>
      <c r="V556" s="1" t="s">
        <v>49</v>
      </c>
      <c r="W556" s="1" t="str">
        <f>VLOOKUP(Table1[[#This Row],[Obergruppe ATC-Code]],Tabelle3!$A$2:$B$100,2)</f>
        <v>MITTEL MIT WIRKUNG AUF DAS RENIN-ANGIOTENSIN-SYSTEM</v>
      </c>
      <c r="X556" s="1" t="str">
        <f xml:space="preserve"> LEFT(Table1[[#This Row],[Atc Code]],3)</f>
        <v>C09</v>
      </c>
    </row>
    <row r="557" spans="1:24" ht="14.4">
      <c r="A557" s="14">
        <v>688</v>
      </c>
      <c r="B557" s="24">
        <v>4627865</v>
      </c>
      <c r="C557" s="1">
        <v>2129555</v>
      </c>
      <c r="D557" s="1" t="s">
        <v>102</v>
      </c>
      <c r="E557" s="36">
        <v>44623</v>
      </c>
      <c r="F557" s="36">
        <v>45322</v>
      </c>
      <c r="G557" s="38">
        <f t="shared" si="8"/>
        <v>699</v>
      </c>
      <c r="H557" s="5">
        <v>44637</v>
      </c>
      <c r="I557" s="5">
        <v>44890</v>
      </c>
      <c r="J557" s="1" t="s">
        <v>26</v>
      </c>
      <c r="K557" s="1" t="s">
        <v>1568</v>
      </c>
      <c r="L557" s="1" t="s">
        <v>1569</v>
      </c>
      <c r="M557" s="1" t="s">
        <v>1570</v>
      </c>
      <c r="N557" s="1" t="s">
        <v>30</v>
      </c>
      <c r="O557" s="1" t="s">
        <v>329</v>
      </c>
      <c r="P557" s="1" t="s">
        <v>1259</v>
      </c>
      <c r="Q557" s="1" t="s">
        <v>331</v>
      </c>
      <c r="R557" s="1" t="s">
        <v>26</v>
      </c>
      <c r="S557" s="1"/>
      <c r="T557" s="1" t="s">
        <v>1571</v>
      </c>
      <c r="U557" s="1" t="s">
        <v>57</v>
      </c>
      <c r="V557" s="1" t="s">
        <v>99</v>
      </c>
      <c r="W557" s="1" t="str">
        <f>VLOOKUP(Table1[[#This Row],[Obergruppe ATC-Code]],Tabelle3!$A$2:$B$100,2)</f>
        <v>MITTEL MIT WIRKUNG AUF DAS RENIN-ANGIOTENSIN-SYSTEM</v>
      </c>
      <c r="X557" s="1" t="str">
        <f xml:space="preserve"> LEFT(Table1[[#This Row],[Atc Code]],3)</f>
        <v>C09</v>
      </c>
    </row>
    <row r="558" spans="1:24" ht="14.4">
      <c r="A558" s="14">
        <v>687</v>
      </c>
      <c r="B558" s="24">
        <v>4627836</v>
      </c>
      <c r="C558" s="1">
        <v>2126902</v>
      </c>
      <c r="D558" s="1" t="s">
        <v>102</v>
      </c>
      <c r="E558" s="36">
        <v>44623</v>
      </c>
      <c r="F558" s="36">
        <v>45322</v>
      </c>
      <c r="G558" s="38">
        <f t="shared" si="8"/>
        <v>699</v>
      </c>
      <c r="H558" s="5">
        <v>44637</v>
      </c>
      <c r="I558" s="5">
        <v>44890</v>
      </c>
      <c r="J558" s="1" t="s">
        <v>26</v>
      </c>
      <c r="K558" s="1" t="s">
        <v>1572</v>
      </c>
      <c r="L558" s="1" t="s">
        <v>1569</v>
      </c>
      <c r="M558" s="1" t="s">
        <v>1570</v>
      </c>
      <c r="N558" s="1" t="s">
        <v>30</v>
      </c>
      <c r="O558" s="1" t="s">
        <v>329</v>
      </c>
      <c r="P558" s="1" t="s">
        <v>1259</v>
      </c>
      <c r="Q558" s="1" t="s">
        <v>331</v>
      </c>
      <c r="R558" s="1" t="s">
        <v>26</v>
      </c>
      <c r="S558" s="1"/>
      <c r="T558" s="1" t="s">
        <v>1573</v>
      </c>
      <c r="U558" s="1" t="s">
        <v>57</v>
      </c>
      <c r="V558" s="1" t="s">
        <v>99</v>
      </c>
      <c r="W558" s="1" t="str">
        <f>VLOOKUP(Table1[[#This Row],[Obergruppe ATC-Code]],Tabelle3!$A$2:$B$100,2)</f>
        <v>MITTEL MIT WIRKUNG AUF DAS RENIN-ANGIOTENSIN-SYSTEM</v>
      </c>
      <c r="X558" s="1" t="str">
        <f xml:space="preserve"> LEFT(Table1[[#This Row],[Atc Code]],3)</f>
        <v>C09</v>
      </c>
    </row>
    <row r="559" spans="1:24" ht="14.4">
      <c r="A559" s="14">
        <v>150</v>
      </c>
      <c r="B559" s="24">
        <v>923236</v>
      </c>
      <c r="C559" s="1">
        <v>2126905</v>
      </c>
      <c r="D559" s="1" t="s">
        <v>102</v>
      </c>
      <c r="E559" s="36">
        <v>44623</v>
      </c>
      <c r="F559" s="36">
        <v>45322</v>
      </c>
      <c r="G559" s="38">
        <f t="shared" si="8"/>
        <v>699</v>
      </c>
      <c r="H559" s="5">
        <v>44637</v>
      </c>
      <c r="I559" s="5">
        <v>44890</v>
      </c>
      <c r="J559" s="1" t="s">
        <v>26</v>
      </c>
      <c r="K559" s="1" t="s">
        <v>1574</v>
      </c>
      <c r="L559" s="1" t="s">
        <v>1569</v>
      </c>
      <c r="M559" s="1" t="s">
        <v>1570</v>
      </c>
      <c r="N559" s="1" t="s">
        <v>30</v>
      </c>
      <c r="O559" s="1" t="s">
        <v>329</v>
      </c>
      <c r="P559" s="1" t="s">
        <v>1259</v>
      </c>
      <c r="Q559" s="1" t="s">
        <v>331</v>
      </c>
      <c r="R559" s="1" t="s">
        <v>26</v>
      </c>
      <c r="S559" s="1"/>
      <c r="T559" s="1" t="s">
        <v>1575</v>
      </c>
      <c r="U559" s="1" t="s">
        <v>57</v>
      </c>
      <c r="V559" s="1" t="s">
        <v>99</v>
      </c>
      <c r="W559" s="1" t="str">
        <f>VLOOKUP(Table1[[#This Row],[Obergruppe ATC-Code]],Tabelle3!$A$2:$B$100,2)</f>
        <v>MITTEL MIT WIRKUNG AUF DAS RENIN-ANGIOTENSIN-SYSTEM</v>
      </c>
      <c r="X559" s="1" t="str">
        <f xml:space="preserve"> LEFT(Table1[[#This Row],[Atc Code]],3)</f>
        <v>C09</v>
      </c>
    </row>
    <row r="560" spans="1:24" ht="14.4">
      <c r="A560" s="14">
        <v>1503</v>
      </c>
      <c r="B560" s="24">
        <v>16020625</v>
      </c>
      <c r="C560" s="1">
        <v>2204120</v>
      </c>
      <c r="D560" s="1" t="s">
        <v>175</v>
      </c>
      <c r="E560" s="36">
        <v>45200</v>
      </c>
      <c r="F560" s="36">
        <v>45351</v>
      </c>
      <c r="G560" s="38">
        <f t="shared" si="8"/>
        <v>151</v>
      </c>
      <c r="H560" s="5">
        <v>45204</v>
      </c>
      <c r="I560" s="5">
        <v>45204</v>
      </c>
      <c r="J560" s="1" t="s">
        <v>41</v>
      </c>
      <c r="K560" s="1" t="s">
        <v>1576</v>
      </c>
      <c r="L560" s="1" t="s">
        <v>1577</v>
      </c>
      <c r="M560" s="1" t="s">
        <v>1578</v>
      </c>
      <c r="N560" s="1" t="s">
        <v>38</v>
      </c>
      <c r="O560" s="1" t="s">
        <v>1489</v>
      </c>
      <c r="Q560" s="1" t="s">
        <v>1490</v>
      </c>
      <c r="R560" s="1" t="s">
        <v>128</v>
      </c>
      <c r="S560" s="1"/>
      <c r="U560" s="1" t="s">
        <v>130</v>
      </c>
      <c r="V560" s="1" t="s">
        <v>49</v>
      </c>
      <c r="W560" s="1" t="str">
        <f>VLOOKUP(Table1[[#This Row],[Obergruppe ATC-Code]],Tabelle3!$A$2:$B$100,2)</f>
        <v>MITTEL MIT WIRKUNG AUF DAS RENIN-ANGIOTENSIN-SYSTEM</v>
      </c>
      <c r="X560" s="1" t="str">
        <f xml:space="preserve"> LEFT(Table1[[#This Row],[Atc Code]],3)</f>
        <v>C09</v>
      </c>
    </row>
    <row r="561" spans="1:24" ht="14.4">
      <c r="A561" s="14">
        <v>2946</v>
      </c>
      <c r="B561" s="24" t="s">
        <v>1579</v>
      </c>
      <c r="C561" s="1">
        <v>2154539</v>
      </c>
      <c r="D561" s="1" t="s">
        <v>25</v>
      </c>
      <c r="E561" s="36">
        <v>43617</v>
      </c>
      <c r="F561" s="36">
        <v>43646</v>
      </c>
      <c r="G561" s="38">
        <f t="shared" si="8"/>
        <v>29</v>
      </c>
      <c r="H561" s="5">
        <v>43614</v>
      </c>
      <c r="I561" s="5">
        <v>43648</v>
      </c>
      <c r="J561" s="1" t="s">
        <v>26</v>
      </c>
      <c r="K561" s="1" t="s">
        <v>1580</v>
      </c>
      <c r="L561" s="1" t="s">
        <v>1581</v>
      </c>
      <c r="M561" s="1" t="s">
        <v>1582</v>
      </c>
      <c r="N561" s="1" t="s">
        <v>38</v>
      </c>
      <c r="O561" s="1" t="s">
        <v>1583</v>
      </c>
      <c r="P561" s="1" t="s">
        <v>1584</v>
      </c>
      <c r="Q561" s="1" t="s">
        <v>1585</v>
      </c>
      <c r="R561" s="1" t="s">
        <v>33</v>
      </c>
      <c r="S561" s="1"/>
      <c r="U561" s="1" t="s">
        <v>35</v>
      </c>
      <c r="V561" s="1" t="s">
        <v>49</v>
      </c>
      <c r="W561" s="1" t="str">
        <f>VLOOKUP(Table1[[#This Row],[Obergruppe ATC-Code]],Tabelle3!$A$2:$B$100,2)</f>
        <v>MITTEL MIT WIRKUNG AUF DAS RENIN-ANGIOTENSIN-SYSTEM</v>
      </c>
      <c r="X561" s="1" t="str">
        <f xml:space="preserve"> LEFT(Table1[[#This Row],[Atc Code]],3)</f>
        <v>C09</v>
      </c>
    </row>
    <row r="562" spans="1:24" ht="14.4" customHeight="1">
      <c r="A562" s="14">
        <v>2909</v>
      </c>
      <c r="B562" s="24" t="s">
        <v>1586</v>
      </c>
      <c r="C562" s="1">
        <v>2186230</v>
      </c>
      <c r="D562" s="1" t="s">
        <v>25</v>
      </c>
      <c r="E562" s="36">
        <v>43282</v>
      </c>
      <c r="F562" s="36">
        <v>43465</v>
      </c>
      <c r="G562" s="38">
        <f t="shared" si="8"/>
        <v>183</v>
      </c>
      <c r="H562" s="5">
        <v>43293</v>
      </c>
      <c r="I562" s="5">
        <v>43363</v>
      </c>
      <c r="J562" s="1" t="s">
        <v>41</v>
      </c>
      <c r="K562" s="1" t="s">
        <v>1587</v>
      </c>
      <c r="L562" s="1" t="s">
        <v>1588</v>
      </c>
      <c r="M562" s="1" t="s">
        <v>1589</v>
      </c>
      <c r="N562" s="1" t="s">
        <v>30</v>
      </c>
      <c r="O562" s="1" t="s">
        <v>1284</v>
      </c>
      <c r="P562" s="1" t="s">
        <v>1285</v>
      </c>
      <c r="Q562" s="1" t="s">
        <v>1286</v>
      </c>
      <c r="R562" s="1" t="s">
        <v>26</v>
      </c>
      <c r="S562" s="1"/>
      <c r="U562" s="1" t="s">
        <v>57</v>
      </c>
      <c r="V562" s="1" t="s">
        <v>99</v>
      </c>
      <c r="W562" s="1" t="str">
        <f>VLOOKUP(Table1[[#This Row],[Obergruppe ATC-Code]],Tabelle3!$A$2:$B$100,2)</f>
        <v>MITTEL MIT WIRKUNG AUF DAS RENIN-ANGIOTENSIN-SYSTEM</v>
      </c>
      <c r="X562" s="1" t="str">
        <f xml:space="preserve"> LEFT(Table1[[#This Row],[Atc Code]],3)</f>
        <v>C09</v>
      </c>
    </row>
    <row r="563" spans="1:24" ht="14.4">
      <c r="A563" s="14">
        <v>1627</v>
      </c>
      <c r="B563" s="25">
        <v>18352225</v>
      </c>
      <c r="C563" s="1">
        <v>2172118</v>
      </c>
      <c r="D563" s="1" t="s">
        <v>25</v>
      </c>
      <c r="E563" s="36">
        <v>43282</v>
      </c>
      <c r="F563" s="36">
        <v>43465</v>
      </c>
      <c r="G563" s="38">
        <f t="shared" si="8"/>
        <v>183</v>
      </c>
      <c r="H563" s="5">
        <v>43293</v>
      </c>
      <c r="I563" s="5">
        <v>43363</v>
      </c>
      <c r="J563" s="1" t="s">
        <v>41</v>
      </c>
      <c r="K563" s="1" t="s">
        <v>1590</v>
      </c>
      <c r="L563" s="1" t="s">
        <v>1588</v>
      </c>
      <c r="M563" s="1" t="s">
        <v>1589</v>
      </c>
      <c r="N563" s="1" t="s">
        <v>30</v>
      </c>
      <c r="O563" s="1" t="s">
        <v>1284</v>
      </c>
      <c r="P563" s="1" t="s">
        <v>1285</v>
      </c>
      <c r="Q563" s="1" t="s">
        <v>1286</v>
      </c>
      <c r="R563" s="1" t="s">
        <v>26</v>
      </c>
      <c r="S563" s="1"/>
      <c r="U563" s="1" t="s">
        <v>57</v>
      </c>
      <c r="V563" s="1" t="s">
        <v>99</v>
      </c>
      <c r="W563" s="1" t="str">
        <f>VLOOKUP(Table1[[#This Row],[Obergruppe ATC-Code]],Tabelle3!$A$2:$B$100,2)</f>
        <v>MITTEL MIT WIRKUNG AUF DAS RENIN-ANGIOTENSIN-SYSTEM</v>
      </c>
      <c r="X563" s="1" t="str">
        <f xml:space="preserve"> LEFT(Table1[[#This Row],[Atc Code]],3)</f>
        <v>C09</v>
      </c>
    </row>
    <row r="564" spans="1:24" ht="14.4">
      <c r="A564" s="14">
        <v>1244</v>
      </c>
      <c r="B564" s="25">
        <v>11358414</v>
      </c>
      <c r="C564" s="1">
        <v>2172119</v>
      </c>
      <c r="D564" s="1" t="s">
        <v>25</v>
      </c>
      <c r="E564" s="36">
        <v>43282</v>
      </c>
      <c r="F564" s="36">
        <v>43465</v>
      </c>
      <c r="G564" s="38">
        <f t="shared" si="8"/>
        <v>183</v>
      </c>
      <c r="H564" s="5">
        <v>43293</v>
      </c>
      <c r="I564" s="5">
        <v>43363</v>
      </c>
      <c r="J564" s="1" t="s">
        <v>41</v>
      </c>
      <c r="K564" s="1" t="s">
        <v>1591</v>
      </c>
      <c r="L564" s="1" t="s">
        <v>1588</v>
      </c>
      <c r="M564" s="1" t="s">
        <v>1589</v>
      </c>
      <c r="N564" s="1" t="s">
        <v>30</v>
      </c>
      <c r="O564" s="1" t="s">
        <v>1284</v>
      </c>
      <c r="P564" s="1" t="s">
        <v>1285</v>
      </c>
      <c r="Q564" s="1" t="s">
        <v>1286</v>
      </c>
      <c r="R564" s="1" t="s">
        <v>26</v>
      </c>
      <c r="S564" s="1"/>
      <c r="U564" s="1" t="s">
        <v>57</v>
      </c>
      <c r="V564" s="1" t="s">
        <v>99</v>
      </c>
      <c r="W564" s="1" t="str">
        <f>VLOOKUP(Table1[[#This Row],[Obergruppe ATC-Code]],Tabelle3!$A$2:$B$100,2)</f>
        <v>MITTEL MIT WIRKUNG AUF DAS RENIN-ANGIOTENSIN-SYSTEM</v>
      </c>
      <c r="X564" s="1" t="str">
        <f xml:space="preserve"> LEFT(Table1[[#This Row],[Atc Code]],3)</f>
        <v>C09</v>
      </c>
    </row>
    <row r="565" spans="1:24" ht="14.4">
      <c r="A565" s="14">
        <v>1241</v>
      </c>
      <c r="B565" s="25">
        <v>11306469</v>
      </c>
      <c r="C565" s="1">
        <v>2172120</v>
      </c>
      <c r="D565" s="1" t="s">
        <v>25</v>
      </c>
      <c r="E565" s="36">
        <v>43282</v>
      </c>
      <c r="F565" s="36">
        <v>43465</v>
      </c>
      <c r="G565" s="38">
        <f t="shared" si="8"/>
        <v>183</v>
      </c>
      <c r="H565" s="5">
        <v>43293</v>
      </c>
      <c r="I565" s="5">
        <v>43363</v>
      </c>
      <c r="J565" s="1" t="s">
        <v>41</v>
      </c>
      <c r="K565" s="1" t="s">
        <v>1592</v>
      </c>
      <c r="L565" s="1" t="s">
        <v>1588</v>
      </c>
      <c r="M565" s="1" t="s">
        <v>1589</v>
      </c>
      <c r="N565" s="1" t="s">
        <v>30</v>
      </c>
      <c r="O565" s="1" t="s">
        <v>1284</v>
      </c>
      <c r="P565" s="1" t="s">
        <v>1285</v>
      </c>
      <c r="Q565" s="1" t="s">
        <v>1286</v>
      </c>
      <c r="R565" s="1" t="s">
        <v>26</v>
      </c>
      <c r="S565" s="1"/>
      <c r="U565" s="1" t="s">
        <v>57</v>
      </c>
      <c r="V565" s="1" t="s">
        <v>99</v>
      </c>
      <c r="W565" s="1" t="str">
        <f>VLOOKUP(Table1[[#This Row],[Obergruppe ATC-Code]],Tabelle3!$A$2:$B$100,2)</f>
        <v>MITTEL MIT WIRKUNG AUF DAS RENIN-ANGIOTENSIN-SYSTEM</v>
      </c>
      <c r="X565" s="1" t="str">
        <f xml:space="preserve"> LEFT(Table1[[#This Row],[Atc Code]],3)</f>
        <v>C09</v>
      </c>
    </row>
    <row r="566" spans="1:24" ht="14.4">
      <c r="A566" s="14">
        <v>2366</v>
      </c>
      <c r="B566" s="24" t="s">
        <v>1593</v>
      </c>
      <c r="C566" s="1">
        <v>2176194</v>
      </c>
      <c r="D566" s="1" t="s">
        <v>25</v>
      </c>
      <c r="E566" s="36">
        <v>43282</v>
      </c>
      <c r="F566" s="36">
        <v>43496</v>
      </c>
      <c r="G566" s="38">
        <f t="shared" si="8"/>
        <v>214</v>
      </c>
      <c r="H566" s="5">
        <v>43293</v>
      </c>
      <c r="I566" s="5">
        <v>43503</v>
      </c>
      <c r="J566" s="1" t="s">
        <v>41</v>
      </c>
      <c r="K566" s="1" t="s">
        <v>1594</v>
      </c>
      <c r="L566" s="1" t="s">
        <v>1588</v>
      </c>
      <c r="M566" s="1" t="s">
        <v>1589</v>
      </c>
      <c r="N566" s="1" t="s">
        <v>30</v>
      </c>
      <c r="O566" s="1" t="s">
        <v>123</v>
      </c>
      <c r="P566" s="1" t="s">
        <v>1595</v>
      </c>
      <c r="Q566" s="1" t="s">
        <v>1596</v>
      </c>
      <c r="R566" s="1" t="s">
        <v>165</v>
      </c>
      <c r="S566" s="1"/>
      <c r="U566" s="1" t="s">
        <v>57</v>
      </c>
      <c r="V566" s="1" t="s">
        <v>99</v>
      </c>
      <c r="W566" s="1" t="str">
        <f>VLOOKUP(Table1[[#This Row],[Obergruppe ATC-Code]],Tabelle3!$A$2:$B$100,2)</f>
        <v>MITTEL MIT WIRKUNG AUF DAS RENIN-ANGIOTENSIN-SYSTEM</v>
      </c>
      <c r="X566" s="1" t="str">
        <f xml:space="preserve"> LEFT(Table1[[#This Row],[Atc Code]],3)</f>
        <v>C09</v>
      </c>
    </row>
    <row r="567" spans="1:24" ht="14.4">
      <c r="A567" s="14">
        <v>2363</v>
      </c>
      <c r="B567" s="24" t="s">
        <v>1597</v>
      </c>
      <c r="C567" s="1">
        <v>2176191</v>
      </c>
      <c r="D567" s="1" t="s">
        <v>25</v>
      </c>
      <c r="E567" s="36">
        <v>43282</v>
      </c>
      <c r="F567" s="36">
        <v>43496</v>
      </c>
      <c r="G567" s="38">
        <f t="shared" si="8"/>
        <v>214</v>
      </c>
      <c r="H567" s="5">
        <v>43293</v>
      </c>
      <c r="I567" s="5">
        <v>43503</v>
      </c>
      <c r="J567" s="1" t="s">
        <v>41</v>
      </c>
      <c r="K567" s="1" t="s">
        <v>1598</v>
      </c>
      <c r="L567" s="1" t="s">
        <v>1588</v>
      </c>
      <c r="M567" s="1" t="s">
        <v>1589</v>
      </c>
      <c r="N567" s="1" t="s">
        <v>30</v>
      </c>
      <c r="O567" s="1" t="s">
        <v>123</v>
      </c>
      <c r="P567" s="1" t="s">
        <v>1595</v>
      </c>
      <c r="Q567" s="1" t="s">
        <v>1596</v>
      </c>
      <c r="R567" s="1" t="s">
        <v>165</v>
      </c>
      <c r="S567" s="1"/>
      <c r="U567" s="1" t="s">
        <v>57</v>
      </c>
      <c r="V567" s="1" t="s">
        <v>99</v>
      </c>
      <c r="W567" s="1" t="str">
        <f>VLOOKUP(Table1[[#This Row],[Obergruppe ATC-Code]],Tabelle3!$A$2:$B$100,2)</f>
        <v>MITTEL MIT WIRKUNG AUF DAS RENIN-ANGIOTENSIN-SYSTEM</v>
      </c>
      <c r="X567" s="1" t="str">
        <f xml:space="preserve"> LEFT(Table1[[#This Row],[Atc Code]],3)</f>
        <v>C09</v>
      </c>
    </row>
    <row r="568" spans="1:24" ht="14.4">
      <c r="A568" s="14">
        <v>2486</v>
      </c>
      <c r="B568" s="24" t="s">
        <v>1599</v>
      </c>
      <c r="C568" s="1">
        <v>2181922</v>
      </c>
      <c r="D568" s="1" t="s">
        <v>25</v>
      </c>
      <c r="E568" s="36">
        <v>43405</v>
      </c>
      <c r="F568" s="36">
        <v>43646</v>
      </c>
      <c r="G568" s="38">
        <f t="shared" si="8"/>
        <v>241</v>
      </c>
      <c r="H568" s="5">
        <v>43438</v>
      </c>
      <c r="I568" s="5">
        <v>43648</v>
      </c>
      <c r="J568" s="1" t="s">
        <v>41</v>
      </c>
      <c r="K568" s="1" t="s">
        <v>1600</v>
      </c>
      <c r="L568" s="1" t="s">
        <v>1588</v>
      </c>
      <c r="M568" s="1" t="s">
        <v>1589</v>
      </c>
      <c r="N568" s="1" t="s">
        <v>30</v>
      </c>
      <c r="O568" s="1" t="s">
        <v>1601</v>
      </c>
      <c r="P568" s="1" t="s">
        <v>1602</v>
      </c>
      <c r="Q568" s="1" t="s">
        <v>1603</v>
      </c>
      <c r="R568" s="1" t="s">
        <v>26</v>
      </c>
      <c r="S568" s="1"/>
      <c r="U568" s="1" t="s">
        <v>35</v>
      </c>
      <c r="V568" s="1" t="s">
        <v>99</v>
      </c>
      <c r="W568" s="1" t="str">
        <f>VLOOKUP(Table1[[#This Row],[Obergruppe ATC-Code]],Tabelle3!$A$2:$B$100,2)</f>
        <v>MITTEL MIT WIRKUNG AUF DAS RENIN-ANGIOTENSIN-SYSTEM</v>
      </c>
      <c r="X568" s="1" t="str">
        <f xml:space="preserve"> LEFT(Table1[[#This Row],[Atc Code]],3)</f>
        <v>C09</v>
      </c>
    </row>
    <row r="569" spans="1:24" ht="14.4">
      <c r="A569" s="14">
        <v>2478</v>
      </c>
      <c r="B569" s="24" t="s">
        <v>1604</v>
      </c>
      <c r="C569" s="1">
        <v>2181921</v>
      </c>
      <c r="D569" s="1" t="s">
        <v>25</v>
      </c>
      <c r="E569" s="36">
        <v>43405</v>
      </c>
      <c r="F569" s="36">
        <v>43646</v>
      </c>
      <c r="G569" s="38">
        <f t="shared" si="8"/>
        <v>241</v>
      </c>
      <c r="H569" s="5">
        <v>43438</v>
      </c>
      <c r="I569" s="5">
        <v>43648</v>
      </c>
      <c r="J569" s="1" t="s">
        <v>41</v>
      </c>
      <c r="K569" s="1" t="s">
        <v>1605</v>
      </c>
      <c r="L569" s="1" t="s">
        <v>1588</v>
      </c>
      <c r="M569" s="1" t="s">
        <v>1589</v>
      </c>
      <c r="N569" s="1" t="s">
        <v>30</v>
      </c>
      <c r="O569" s="1" t="s">
        <v>1601</v>
      </c>
      <c r="P569" s="1" t="s">
        <v>1602</v>
      </c>
      <c r="Q569" s="1" t="s">
        <v>1603</v>
      </c>
      <c r="R569" s="1" t="s">
        <v>26</v>
      </c>
      <c r="S569" s="1"/>
      <c r="U569" s="1" t="s">
        <v>35</v>
      </c>
      <c r="V569" s="1" t="s">
        <v>99</v>
      </c>
      <c r="W569" s="1" t="str">
        <f>VLOOKUP(Table1[[#This Row],[Obergruppe ATC-Code]],Tabelle3!$A$2:$B$100,2)</f>
        <v>MITTEL MIT WIRKUNG AUF DAS RENIN-ANGIOTENSIN-SYSTEM</v>
      </c>
      <c r="X569" s="1" t="str">
        <f xml:space="preserve"> LEFT(Table1[[#This Row],[Atc Code]],3)</f>
        <v>C09</v>
      </c>
    </row>
    <row r="570" spans="1:24" ht="14.4">
      <c r="A570" s="14">
        <v>2476</v>
      </c>
      <c r="B570" s="24" t="s">
        <v>1606</v>
      </c>
      <c r="C570" s="1">
        <v>2181920</v>
      </c>
      <c r="D570" s="1" t="s">
        <v>25</v>
      </c>
      <c r="E570" s="36">
        <v>43405</v>
      </c>
      <c r="F570" s="36">
        <v>43646</v>
      </c>
      <c r="G570" s="38">
        <f t="shared" si="8"/>
        <v>241</v>
      </c>
      <c r="H570" s="5">
        <v>43438</v>
      </c>
      <c r="I570" s="5">
        <v>43648</v>
      </c>
      <c r="J570" s="1" t="s">
        <v>41</v>
      </c>
      <c r="K570" s="1" t="s">
        <v>1607</v>
      </c>
      <c r="L570" s="1" t="s">
        <v>1588</v>
      </c>
      <c r="M570" s="1" t="s">
        <v>1589</v>
      </c>
      <c r="N570" s="1" t="s">
        <v>30</v>
      </c>
      <c r="O570" s="1" t="s">
        <v>1601</v>
      </c>
      <c r="P570" s="1" t="s">
        <v>1602</v>
      </c>
      <c r="Q570" s="1" t="s">
        <v>1603</v>
      </c>
      <c r="R570" s="1" t="s">
        <v>26</v>
      </c>
      <c r="S570" s="1"/>
      <c r="U570" s="1" t="s">
        <v>35</v>
      </c>
      <c r="V570" s="1" t="s">
        <v>99</v>
      </c>
      <c r="W570" s="1" t="str">
        <f>VLOOKUP(Table1[[#This Row],[Obergruppe ATC-Code]],Tabelle3!$A$2:$B$100,2)</f>
        <v>MITTEL MIT WIRKUNG AUF DAS RENIN-ANGIOTENSIN-SYSTEM</v>
      </c>
      <c r="X570" s="1" t="str">
        <f xml:space="preserve"> LEFT(Table1[[#This Row],[Atc Code]],3)</f>
        <v>C09</v>
      </c>
    </row>
    <row r="571" spans="1:24" ht="14.4">
      <c r="A571" s="14">
        <v>3075</v>
      </c>
      <c r="B571" s="3">
        <v>9239582</v>
      </c>
      <c r="C571" s="1">
        <v>2181919</v>
      </c>
      <c r="D571" s="1" t="s">
        <v>25</v>
      </c>
      <c r="E571" s="36">
        <v>43405</v>
      </c>
      <c r="F571" s="36">
        <v>43646</v>
      </c>
      <c r="G571" s="38">
        <f t="shared" si="8"/>
        <v>241</v>
      </c>
      <c r="H571" s="5">
        <v>43438</v>
      </c>
      <c r="I571" s="5">
        <v>43648</v>
      </c>
      <c r="J571" s="1" t="s">
        <v>41</v>
      </c>
      <c r="K571" s="1" t="s">
        <v>1608</v>
      </c>
      <c r="L571" s="1" t="s">
        <v>1588</v>
      </c>
      <c r="M571" s="1" t="s">
        <v>1589</v>
      </c>
      <c r="N571" s="1" t="s">
        <v>30</v>
      </c>
      <c r="O571" s="1" t="s">
        <v>1601</v>
      </c>
      <c r="P571" s="1" t="s">
        <v>1602</v>
      </c>
      <c r="Q571" s="1" t="s">
        <v>1603</v>
      </c>
      <c r="R571" s="1" t="s">
        <v>26</v>
      </c>
      <c r="S571" s="1"/>
      <c r="U571" s="1" t="s">
        <v>35</v>
      </c>
      <c r="V571" s="1" t="s">
        <v>99</v>
      </c>
      <c r="W571" s="1" t="str">
        <f>VLOOKUP(Table1[[#This Row],[Obergruppe ATC-Code]],Tabelle3!$A$2:$B$100,2)</f>
        <v>MITTEL MIT WIRKUNG AUF DAS RENIN-ANGIOTENSIN-SYSTEM</v>
      </c>
      <c r="X571" s="1" t="str">
        <f xml:space="preserve"> LEFT(Table1[[#This Row],[Atc Code]],3)</f>
        <v>C09</v>
      </c>
    </row>
    <row r="572" spans="1:24" ht="14.4">
      <c r="A572" s="14">
        <v>2421</v>
      </c>
      <c r="B572" s="24" t="s">
        <v>1609</v>
      </c>
      <c r="C572" s="1">
        <v>2184053</v>
      </c>
      <c r="D572" s="1" t="s">
        <v>25</v>
      </c>
      <c r="E572" s="36">
        <v>43374</v>
      </c>
      <c r="F572" s="36">
        <v>43708</v>
      </c>
      <c r="G572" s="38">
        <f t="shared" si="8"/>
        <v>334</v>
      </c>
      <c r="H572" s="5">
        <v>43497</v>
      </c>
      <c r="I572" s="5">
        <v>43691</v>
      </c>
      <c r="J572" s="1" t="s">
        <v>26</v>
      </c>
      <c r="K572" s="1" t="s">
        <v>1610</v>
      </c>
      <c r="L572" s="1" t="s">
        <v>1588</v>
      </c>
      <c r="M572" s="1" t="s">
        <v>1589</v>
      </c>
      <c r="N572" s="1" t="s">
        <v>30</v>
      </c>
      <c r="O572" s="1" t="s">
        <v>97</v>
      </c>
      <c r="P572" s="1">
        <v>214403990</v>
      </c>
      <c r="Q572" s="1" t="s">
        <v>98</v>
      </c>
      <c r="R572" s="1" t="s">
        <v>33</v>
      </c>
      <c r="S572" s="1"/>
      <c r="U572" s="1" t="s">
        <v>35</v>
      </c>
      <c r="V572" s="1" t="s">
        <v>99</v>
      </c>
      <c r="W572" s="1" t="str">
        <f>VLOOKUP(Table1[[#This Row],[Obergruppe ATC-Code]],Tabelle3!$A$2:$B$100,2)</f>
        <v>MITTEL MIT WIRKUNG AUF DAS RENIN-ANGIOTENSIN-SYSTEM</v>
      </c>
      <c r="X572" s="1" t="str">
        <f xml:space="preserve"> LEFT(Table1[[#This Row],[Atc Code]],3)</f>
        <v>C09</v>
      </c>
    </row>
    <row r="573" spans="1:24" ht="14.4">
      <c r="A573" s="14">
        <v>2362</v>
      </c>
      <c r="B573" s="24" t="s">
        <v>1611</v>
      </c>
      <c r="C573" s="1">
        <v>2184055</v>
      </c>
      <c r="D573" s="1" t="s">
        <v>25</v>
      </c>
      <c r="E573" s="36">
        <v>43374</v>
      </c>
      <c r="F573" s="36">
        <v>43708</v>
      </c>
      <c r="G573" s="38">
        <f t="shared" si="8"/>
        <v>334</v>
      </c>
      <c r="H573" s="5">
        <v>43497</v>
      </c>
      <c r="I573" s="5">
        <v>43691</v>
      </c>
      <c r="J573" s="1" t="s">
        <v>26</v>
      </c>
      <c r="K573" s="1" t="s">
        <v>1612</v>
      </c>
      <c r="L573" s="1" t="s">
        <v>1588</v>
      </c>
      <c r="M573" s="1" t="s">
        <v>1589</v>
      </c>
      <c r="N573" s="1" t="s">
        <v>30</v>
      </c>
      <c r="O573" s="1" t="s">
        <v>97</v>
      </c>
      <c r="P573" s="1">
        <v>214403990</v>
      </c>
      <c r="Q573" s="1" t="s">
        <v>98</v>
      </c>
      <c r="R573" s="1" t="s">
        <v>33</v>
      </c>
      <c r="S573" s="1"/>
      <c r="U573" s="1" t="s">
        <v>35</v>
      </c>
      <c r="V573" s="1" t="s">
        <v>99</v>
      </c>
      <c r="W573" s="1" t="str">
        <f>VLOOKUP(Table1[[#This Row],[Obergruppe ATC-Code]],Tabelle3!$A$2:$B$100,2)</f>
        <v>MITTEL MIT WIRKUNG AUF DAS RENIN-ANGIOTENSIN-SYSTEM</v>
      </c>
      <c r="X573" s="1" t="str">
        <f xml:space="preserve"> LEFT(Table1[[#This Row],[Atc Code]],3)</f>
        <v>C09</v>
      </c>
    </row>
    <row r="574" spans="1:24" ht="14.4">
      <c r="A574" s="14">
        <v>2382</v>
      </c>
      <c r="B574" s="24" t="s">
        <v>1613</v>
      </c>
      <c r="C574" s="1">
        <v>2184054</v>
      </c>
      <c r="D574" s="1" t="s">
        <v>25</v>
      </c>
      <c r="E574" s="36">
        <v>43374</v>
      </c>
      <c r="F574" s="36">
        <v>43738</v>
      </c>
      <c r="G574" s="38">
        <f t="shared" si="8"/>
        <v>364</v>
      </c>
      <c r="H574" s="5">
        <v>43497</v>
      </c>
      <c r="I574" s="5">
        <v>43735</v>
      </c>
      <c r="J574" s="1" t="s">
        <v>26</v>
      </c>
      <c r="K574" s="1" t="s">
        <v>1614</v>
      </c>
      <c r="L574" s="1" t="s">
        <v>1588</v>
      </c>
      <c r="M574" s="1" t="s">
        <v>1589</v>
      </c>
      <c r="N574" s="1" t="s">
        <v>30</v>
      </c>
      <c r="O574" s="1" t="s">
        <v>97</v>
      </c>
      <c r="P574" s="1">
        <v>214403990</v>
      </c>
      <c r="Q574" s="1" t="s">
        <v>98</v>
      </c>
      <c r="R574" s="1" t="s">
        <v>33</v>
      </c>
      <c r="S574" s="1"/>
      <c r="U574" s="1" t="s">
        <v>35</v>
      </c>
      <c r="V574" s="1" t="s">
        <v>99</v>
      </c>
      <c r="W574" s="1" t="str">
        <f>VLOOKUP(Table1[[#This Row],[Obergruppe ATC-Code]],Tabelle3!$A$2:$B$100,2)</f>
        <v>MITTEL MIT WIRKUNG AUF DAS RENIN-ANGIOTENSIN-SYSTEM</v>
      </c>
      <c r="X574" s="1" t="str">
        <f xml:space="preserve"> LEFT(Table1[[#This Row],[Atc Code]],3)</f>
        <v>C09</v>
      </c>
    </row>
    <row r="575" spans="1:24" ht="14.4">
      <c r="A575" s="14">
        <v>952</v>
      </c>
      <c r="B575" s="24">
        <v>7758349</v>
      </c>
      <c r="C575" s="1">
        <v>2176195</v>
      </c>
      <c r="D575" s="1" t="s">
        <v>25</v>
      </c>
      <c r="E575" s="36">
        <v>43282</v>
      </c>
      <c r="F575" s="36">
        <v>43769</v>
      </c>
      <c r="G575" s="38">
        <f t="shared" si="8"/>
        <v>487</v>
      </c>
      <c r="H575" s="5">
        <v>43292</v>
      </c>
      <c r="I575" s="5">
        <v>43746</v>
      </c>
      <c r="J575" s="1" t="s">
        <v>41</v>
      </c>
      <c r="K575" s="1" t="s">
        <v>1615</v>
      </c>
      <c r="L575" s="1" t="s">
        <v>1588</v>
      </c>
      <c r="M575" s="1" t="s">
        <v>1589</v>
      </c>
      <c r="N575" s="1" t="s">
        <v>30</v>
      </c>
      <c r="O575" s="1" t="s">
        <v>110</v>
      </c>
      <c r="P575" s="1" t="s">
        <v>111</v>
      </c>
      <c r="Q575" s="1" t="s">
        <v>112</v>
      </c>
      <c r="R575" s="1" t="s">
        <v>48</v>
      </c>
      <c r="S575" s="1"/>
      <c r="U575" s="1" t="s">
        <v>57</v>
      </c>
      <c r="V575" s="1" t="s">
        <v>99</v>
      </c>
      <c r="W575" s="1" t="str">
        <f>VLOOKUP(Table1[[#This Row],[Obergruppe ATC-Code]],Tabelle3!$A$2:$B$100,2)</f>
        <v>MITTEL MIT WIRKUNG AUF DAS RENIN-ANGIOTENSIN-SYSTEM</v>
      </c>
      <c r="X575" s="1" t="str">
        <f xml:space="preserve"> LEFT(Table1[[#This Row],[Atc Code]],3)</f>
        <v>C09</v>
      </c>
    </row>
    <row r="576" spans="1:24" ht="14.4">
      <c r="A576" s="14">
        <v>2341</v>
      </c>
      <c r="B576" s="24" t="s">
        <v>1616</v>
      </c>
      <c r="C576" s="1">
        <v>2176645</v>
      </c>
      <c r="D576" s="1" t="s">
        <v>25</v>
      </c>
      <c r="E576" s="36">
        <v>43282</v>
      </c>
      <c r="F576" s="36">
        <v>43830</v>
      </c>
      <c r="G576" s="38">
        <f t="shared" si="8"/>
        <v>548</v>
      </c>
      <c r="H576" s="5">
        <v>43291</v>
      </c>
      <c r="I576" s="5">
        <v>43795</v>
      </c>
      <c r="J576" s="1" t="s">
        <v>41</v>
      </c>
      <c r="K576" s="1" t="s">
        <v>1617</v>
      </c>
      <c r="L576" s="1" t="s">
        <v>1588</v>
      </c>
      <c r="M576" s="1" t="s">
        <v>1589</v>
      </c>
      <c r="N576" s="1" t="s">
        <v>30</v>
      </c>
      <c r="O576" s="1" t="s">
        <v>91</v>
      </c>
      <c r="P576" s="1" t="s">
        <v>374</v>
      </c>
      <c r="Q576" s="1" t="s">
        <v>375</v>
      </c>
      <c r="R576" s="1" t="s">
        <v>26</v>
      </c>
      <c r="S576" s="1"/>
      <c r="U576" s="1" t="s">
        <v>57</v>
      </c>
      <c r="V576" s="1" t="s">
        <v>99</v>
      </c>
      <c r="W576" s="1" t="str">
        <f>VLOOKUP(Table1[[#This Row],[Obergruppe ATC-Code]],Tabelle3!$A$2:$B$100,2)</f>
        <v>MITTEL MIT WIRKUNG AUF DAS RENIN-ANGIOTENSIN-SYSTEM</v>
      </c>
      <c r="X576" s="1" t="str">
        <f xml:space="preserve"> LEFT(Table1[[#This Row],[Atc Code]],3)</f>
        <v>C09</v>
      </c>
    </row>
    <row r="577" spans="1:24" ht="14.4">
      <c r="A577" s="14">
        <v>2340</v>
      </c>
      <c r="B577" s="24" t="s">
        <v>1618</v>
      </c>
      <c r="C577" s="1">
        <v>2176646</v>
      </c>
      <c r="D577" s="1" t="s">
        <v>25</v>
      </c>
      <c r="E577" s="36">
        <v>43282</v>
      </c>
      <c r="F577" s="36">
        <v>43830</v>
      </c>
      <c r="G577" s="38">
        <f t="shared" si="8"/>
        <v>548</v>
      </c>
      <c r="H577" s="5">
        <v>43291</v>
      </c>
      <c r="I577" s="5">
        <v>43795</v>
      </c>
      <c r="J577" s="1" t="s">
        <v>41</v>
      </c>
      <c r="K577" s="1" t="s">
        <v>1619</v>
      </c>
      <c r="L577" s="1" t="s">
        <v>1588</v>
      </c>
      <c r="M577" s="1" t="s">
        <v>1589</v>
      </c>
      <c r="N577" s="1" t="s">
        <v>30</v>
      </c>
      <c r="O577" s="1" t="s">
        <v>91</v>
      </c>
      <c r="P577" s="1" t="s">
        <v>374</v>
      </c>
      <c r="Q577" s="1" t="s">
        <v>375</v>
      </c>
      <c r="R577" s="1" t="s">
        <v>26</v>
      </c>
      <c r="S577" s="1"/>
      <c r="U577" s="1" t="s">
        <v>57</v>
      </c>
      <c r="V577" s="1" t="s">
        <v>99</v>
      </c>
      <c r="W577" s="1" t="str">
        <f>VLOOKUP(Table1[[#This Row],[Obergruppe ATC-Code]],Tabelle3!$A$2:$B$100,2)</f>
        <v>MITTEL MIT WIRKUNG AUF DAS RENIN-ANGIOTENSIN-SYSTEM</v>
      </c>
      <c r="X577" s="1" t="str">
        <f xml:space="preserve"> LEFT(Table1[[#This Row],[Atc Code]],3)</f>
        <v>C09</v>
      </c>
    </row>
    <row r="578" spans="1:24" ht="14.4">
      <c r="A578" s="14">
        <v>2339</v>
      </c>
      <c r="B578" s="24" t="s">
        <v>1620</v>
      </c>
      <c r="C578" s="1">
        <v>2176644</v>
      </c>
      <c r="D578" s="1" t="s">
        <v>25</v>
      </c>
      <c r="E578" s="36">
        <v>43282</v>
      </c>
      <c r="F578" s="36">
        <v>43830</v>
      </c>
      <c r="G578" s="38">
        <f t="shared" ref="G578:G641" si="9">F578-E578</f>
        <v>548</v>
      </c>
      <c r="H578" s="5">
        <v>43291</v>
      </c>
      <c r="I578" s="5">
        <v>43795</v>
      </c>
      <c r="J578" s="1" t="s">
        <v>41</v>
      </c>
      <c r="K578" s="1" t="s">
        <v>1621</v>
      </c>
      <c r="L578" s="1" t="s">
        <v>1588</v>
      </c>
      <c r="M578" s="1" t="s">
        <v>1589</v>
      </c>
      <c r="N578" s="1" t="s">
        <v>30</v>
      </c>
      <c r="O578" s="1" t="s">
        <v>91</v>
      </c>
      <c r="P578" s="1" t="s">
        <v>374</v>
      </c>
      <c r="Q578" s="1" t="s">
        <v>375</v>
      </c>
      <c r="R578" s="1" t="s">
        <v>26</v>
      </c>
      <c r="S578" s="1"/>
      <c r="U578" s="1" t="s">
        <v>57</v>
      </c>
      <c r="V578" s="1" t="s">
        <v>99</v>
      </c>
      <c r="W578" s="1" t="str">
        <f>VLOOKUP(Table1[[#This Row],[Obergruppe ATC-Code]],Tabelle3!$A$2:$B$100,2)</f>
        <v>MITTEL MIT WIRKUNG AUF DAS RENIN-ANGIOTENSIN-SYSTEM</v>
      </c>
      <c r="X578" s="1" t="str">
        <f xml:space="preserve"> LEFT(Table1[[#This Row],[Atc Code]],3)</f>
        <v>C09</v>
      </c>
    </row>
    <row r="579" spans="1:24" ht="14.4">
      <c r="A579" s="14">
        <v>2338</v>
      </c>
      <c r="B579" s="24" t="s">
        <v>1622</v>
      </c>
      <c r="C579" s="1">
        <v>2176643</v>
      </c>
      <c r="D579" s="1" t="s">
        <v>25</v>
      </c>
      <c r="E579" s="36">
        <v>43282</v>
      </c>
      <c r="F579" s="36">
        <v>43830</v>
      </c>
      <c r="G579" s="38">
        <f t="shared" si="9"/>
        <v>548</v>
      </c>
      <c r="H579" s="5">
        <v>43291</v>
      </c>
      <c r="I579" s="5">
        <v>43795</v>
      </c>
      <c r="J579" s="1" t="s">
        <v>41</v>
      </c>
      <c r="K579" s="1" t="s">
        <v>1623</v>
      </c>
      <c r="L579" s="1" t="s">
        <v>1588</v>
      </c>
      <c r="M579" s="1" t="s">
        <v>1589</v>
      </c>
      <c r="N579" s="1" t="s">
        <v>30</v>
      </c>
      <c r="O579" s="1" t="s">
        <v>91</v>
      </c>
      <c r="P579" s="1" t="s">
        <v>374</v>
      </c>
      <c r="Q579" s="1" t="s">
        <v>375</v>
      </c>
      <c r="R579" s="1" t="s">
        <v>26</v>
      </c>
      <c r="S579" s="1"/>
      <c r="U579" s="1" t="s">
        <v>57</v>
      </c>
      <c r="V579" s="1" t="s">
        <v>99</v>
      </c>
      <c r="W579" s="1" t="str">
        <f>VLOOKUP(Table1[[#This Row],[Obergruppe ATC-Code]],Tabelle3!$A$2:$B$100,2)</f>
        <v>MITTEL MIT WIRKUNG AUF DAS RENIN-ANGIOTENSIN-SYSTEM</v>
      </c>
      <c r="X579" s="1" t="str">
        <f xml:space="preserve"> LEFT(Table1[[#This Row],[Atc Code]],3)</f>
        <v>C09</v>
      </c>
    </row>
    <row r="580" spans="1:24" ht="14.4">
      <c r="A580" s="14">
        <v>2335</v>
      </c>
      <c r="B580" s="24" t="s">
        <v>1624</v>
      </c>
      <c r="C580" s="1">
        <v>2176618</v>
      </c>
      <c r="D580" s="1" t="s">
        <v>25</v>
      </c>
      <c r="E580" s="36">
        <v>43282</v>
      </c>
      <c r="F580" s="36">
        <v>43830</v>
      </c>
      <c r="G580" s="38">
        <f t="shared" si="9"/>
        <v>548</v>
      </c>
      <c r="H580" s="5">
        <v>43292</v>
      </c>
      <c r="I580" s="5">
        <v>43795</v>
      </c>
      <c r="J580" s="1" t="s">
        <v>41</v>
      </c>
      <c r="K580" s="1" t="s">
        <v>1625</v>
      </c>
      <c r="L580" s="1" t="s">
        <v>1588</v>
      </c>
      <c r="M580" s="1" t="s">
        <v>1589</v>
      </c>
      <c r="N580" s="1" t="s">
        <v>30</v>
      </c>
      <c r="O580" s="1" t="s">
        <v>52</v>
      </c>
      <c r="P580" s="1" t="s">
        <v>53</v>
      </c>
      <c r="Q580" s="1" t="s">
        <v>54</v>
      </c>
      <c r="R580" s="1" t="s">
        <v>26</v>
      </c>
      <c r="S580" s="1"/>
      <c r="U580" s="1" t="s">
        <v>57</v>
      </c>
      <c r="V580" s="1" t="s">
        <v>99</v>
      </c>
      <c r="W580" s="1" t="str">
        <f>VLOOKUP(Table1[[#This Row],[Obergruppe ATC-Code]],Tabelle3!$A$2:$B$100,2)</f>
        <v>MITTEL MIT WIRKUNG AUF DAS RENIN-ANGIOTENSIN-SYSTEM</v>
      </c>
      <c r="X580" s="1" t="str">
        <f xml:space="preserve"> LEFT(Table1[[#This Row],[Atc Code]],3)</f>
        <v>C09</v>
      </c>
    </row>
    <row r="581" spans="1:24" ht="14.4">
      <c r="A581" s="14">
        <v>908</v>
      </c>
      <c r="B581" s="25">
        <v>7582057</v>
      </c>
      <c r="C581" s="1">
        <v>2176617</v>
      </c>
      <c r="D581" s="1" t="s">
        <v>25</v>
      </c>
      <c r="E581" s="36">
        <v>43282</v>
      </c>
      <c r="F581" s="36">
        <v>43830</v>
      </c>
      <c r="G581" s="38">
        <f t="shared" si="9"/>
        <v>548</v>
      </c>
      <c r="H581" s="5">
        <v>43292</v>
      </c>
      <c r="I581" s="5">
        <v>43795</v>
      </c>
      <c r="J581" s="1" t="s">
        <v>41</v>
      </c>
      <c r="K581" s="1" t="s">
        <v>1626</v>
      </c>
      <c r="L581" s="1" t="s">
        <v>1588</v>
      </c>
      <c r="M581" s="1" t="s">
        <v>1589</v>
      </c>
      <c r="N581" s="1" t="s">
        <v>30</v>
      </c>
      <c r="O581" s="1" t="s">
        <v>52</v>
      </c>
      <c r="P581" s="1" t="s">
        <v>53</v>
      </c>
      <c r="Q581" s="1" t="s">
        <v>54</v>
      </c>
      <c r="R581" s="1" t="s">
        <v>26</v>
      </c>
      <c r="S581" s="1"/>
      <c r="U581" s="1" t="s">
        <v>57</v>
      </c>
      <c r="V581" s="1" t="s">
        <v>99</v>
      </c>
      <c r="W581" s="1" t="str">
        <f>VLOOKUP(Table1[[#This Row],[Obergruppe ATC-Code]],Tabelle3!$A$2:$B$100,2)</f>
        <v>MITTEL MIT WIRKUNG AUF DAS RENIN-ANGIOTENSIN-SYSTEM</v>
      </c>
      <c r="X581" s="1" t="str">
        <f xml:space="preserve"> LEFT(Table1[[#This Row],[Atc Code]],3)</f>
        <v>C09</v>
      </c>
    </row>
    <row r="582" spans="1:24" ht="14.4">
      <c r="A582" s="14">
        <v>907</v>
      </c>
      <c r="B582" s="25">
        <v>7581655</v>
      </c>
      <c r="C582" s="1">
        <v>2176616</v>
      </c>
      <c r="D582" s="1" t="s">
        <v>25</v>
      </c>
      <c r="E582" s="36">
        <v>43282</v>
      </c>
      <c r="F582" s="36">
        <v>43830</v>
      </c>
      <c r="G582" s="38">
        <f t="shared" si="9"/>
        <v>548</v>
      </c>
      <c r="H582" s="5">
        <v>43292</v>
      </c>
      <c r="I582" s="5">
        <v>43795</v>
      </c>
      <c r="J582" s="1" t="s">
        <v>41</v>
      </c>
      <c r="K582" s="1" t="s">
        <v>1627</v>
      </c>
      <c r="L582" s="1" t="s">
        <v>1588</v>
      </c>
      <c r="M582" s="1" t="s">
        <v>1589</v>
      </c>
      <c r="N582" s="1" t="s">
        <v>30</v>
      </c>
      <c r="O582" s="1" t="s">
        <v>52</v>
      </c>
      <c r="P582" s="1" t="s">
        <v>53</v>
      </c>
      <c r="Q582" s="1" t="s">
        <v>54</v>
      </c>
      <c r="R582" s="1" t="s">
        <v>26</v>
      </c>
      <c r="S582" s="1"/>
      <c r="U582" s="1" t="s">
        <v>57</v>
      </c>
      <c r="V582" s="1" t="s">
        <v>99</v>
      </c>
      <c r="W582" s="1" t="str">
        <f>VLOOKUP(Table1[[#This Row],[Obergruppe ATC-Code]],Tabelle3!$A$2:$B$100,2)</f>
        <v>MITTEL MIT WIRKUNG AUF DAS RENIN-ANGIOTENSIN-SYSTEM</v>
      </c>
      <c r="X582" s="1" t="str">
        <f xml:space="preserve"> LEFT(Table1[[#This Row],[Atc Code]],3)</f>
        <v>C09</v>
      </c>
    </row>
    <row r="583" spans="1:24" ht="14.4">
      <c r="A583" s="14">
        <v>906</v>
      </c>
      <c r="B583" s="25">
        <v>7581224</v>
      </c>
      <c r="C583" s="1">
        <v>2176615</v>
      </c>
      <c r="D583" s="1" t="s">
        <v>25</v>
      </c>
      <c r="E583" s="36">
        <v>43282</v>
      </c>
      <c r="F583" s="36">
        <v>43830</v>
      </c>
      <c r="G583" s="38">
        <f t="shared" si="9"/>
        <v>548</v>
      </c>
      <c r="H583" s="5">
        <v>43292</v>
      </c>
      <c r="I583" s="5">
        <v>43795</v>
      </c>
      <c r="J583" s="1" t="s">
        <v>41</v>
      </c>
      <c r="K583" s="1" t="s">
        <v>1628</v>
      </c>
      <c r="L583" s="1" t="s">
        <v>1588</v>
      </c>
      <c r="M583" s="1" t="s">
        <v>1589</v>
      </c>
      <c r="N583" s="1" t="s">
        <v>30</v>
      </c>
      <c r="O583" s="1" t="s">
        <v>52</v>
      </c>
      <c r="P583" s="1" t="s">
        <v>53</v>
      </c>
      <c r="Q583" s="1" t="s">
        <v>54</v>
      </c>
      <c r="R583" s="1" t="s">
        <v>26</v>
      </c>
      <c r="S583" s="1"/>
      <c r="U583" s="1" t="s">
        <v>57</v>
      </c>
      <c r="V583" s="1" t="s">
        <v>99</v>
      </c>
      <c r="W583" s="1" t="str">
        <f>VLOOKUP(Table1[[#This Row],[Obergruppe ATC-Code]],Tabelle3!$A$2:$B$100,2)</f>
        <v>MITTEL MIT WIRKUNG AUF DAS RENIN-ANGIOTENSIN-SYSTEM</v>
      </c>
      <c r="X583" s="1" t="str">
        <f xml:space="preserve"> LEFT(Table1[[#This Row],[Atc Code]],3)</f>
        <v>C09</v>
      </c>
    </row>
    <row r="584" spans="1:24" ht="14.4">
      <c r="A584" s="14">
        <v>1017</v>
      </c>
      <c r="B584" s="25">
        <v>8798888</v>
      </c>
      <c r="C584" s="1">
        <v>2186539</v>
      </c>
      <c r="D584" s="1" t="s">
        <v>25</v>
      </c>
      <c r="E584" s="36">
        <v>43374</v>
      </c>
      <c r="F584" s="36">
        <v>43799</v>
      </c>
      <c r="G584" s="38">
        <f t="shared" si="9"/>
        <v>425</v>
      </c>
      <c r="H584" s="5">
        <v>43497</v>
      </c>
      <c r="I584" s="5">
        <v>43798</v>
      </c>
      <c r="J584" s="1" t="s">
        <v>26</v>
      </c>
      <c r="K584" s="1" t="s">
        <v>1629</v>
      </c>
      <c r="L584" s="1" t="s">
        <v>1588</v>
      </c>
      <c r="M584" s="1" t="s">
        <v>1589</v>
      </c>
      <c r="N584" s="1" t="s">
        <v>30</v>
      </c>
      <c r="O584" s="1" t="s">
        <v>97</v>
      </c>
      <c r="P584" s="1">
        <v>214403990</v>
      </c>
      <c r="Q584" s="1" t="s">
        <v>98</v>
      </c>
      <c r="R584" s="1" t="s">
        <v>33</v>
      </c>
      <c r="S584" s="1"/>
      <c r="U584" s="1" t="s">
        <v>35</v>
      </c>
      <c r="V584" s="1" t="s">
        <v>99</v>
      </c>
      <c r="W584" s="1" t="str">
        <f>VLOOKUP(Table1[[#This Row],[Obergruppe ATC-Code]],Tabelle3!$A$2:$B$100,2)</f>
        <v>MITTEL MIT WIRKUNG AUF DAS RENIN-ANGIOTENSIN-SYSTEM</v>
      </c>
      <c r="X584" s="1" t="str">
        <f xml:space="preserve"> LEFT(Table1[[#This Row],[Atc Code]],3)</f>
        <v>C09</v>
      </c>
    </row>
    <row r="585" spans="1:24" ht="14.4">
      <c r="A585" s="14">
        <v>956</v>
      </c>
      <c r="B585" s="24">
        <v>7758409</v>
      </c>
      <c r="C585" s="1">
        <v>2176197</v>
      </c>
      <c r="D585" s="1" t="s">
        <v>25</v>
      </c>
      <c r="E585" s="36">
        <v>43282</v>
      </c>
      <c r="F585" s="36">
        <v>43861</v>
      </c>
      <c r="G585" s="38">
        <f t="shared" si="9"/>
        <v>579</v>
      </c>
      <c r="H585" s="5">
        <v>43292</v>
      </c>
      <c r="I585" s="5">
        <v>43844</v>
      </c>
      <c r="J585" s="1" t="s">
        <v>41</v>
      </c>
      <c r="K585" s="1" t="s">
        <v>1630</v>
      </c>
      <c r="L585" s="1" t="s">
        <v>1588</v>
      </c>
      <c r="M585" s="1" t="s">
        <v>1589</v>
      </c>
      <c r="N585" s="1" t="s">
        <v>30</v>
      </c>
      <c r="O585" s="1" t="s">
        <v>110</v>
      </c>
      <c r="P585" s="1" t="s">
        <v>111</v>
      </c>
      <c r="Q585" s="1" t="s">
        <v>112</v>
      </c>
      <c r="R585" s="1" t="s">
        <v>48</v>
      </c>
      <c r="S585" s="1"/>
      <c r="U585" s="1" t="s">
        <v>57</v>
      </c>
      <c r="V585" s="1" t="s">
        <v>99</v>
      </c>
      <c r="W585" s="1" t="str">
        <f>VLOOKUP(Table1[[#This Row],[Obergruppe ATC-Code]],Tabelle3!$A$2:$B$100,2)</f>
        <v>MITTEL MIT WIRKUNG AUF DAS RENIN-ANGIOTENSIN-SYSTEM</v>
      </c>
      <c r="X585" s="1" t="str">
        <f xml:space="preserve"> LEFT(Table1[[#This Row],[Atc Code]],3)</f>
        <v>C09</v>
      </c>
    </row>
    <row r="586" spans="1:24" ht="14.4">
      <c r="A586" s="14">
        <v>954</v>
      </c>
      <c r="B586" s="24">
        <v>7758378</v>
      </c>
      <c r="C586" s="1">
        <v>2176196</v>
      </c>
      <c r="D586" s="1" t="s">
        <v>25</v>
      </c>
      <c r="E586" s="36">
        <v>43282</v>
      </c>
      <c r="F586" s="36">
        <v>43861</v>
      </c>
      <c r="G586" s="38">
        <f t="shared" si="9"/>
        <v>579</v>
      </c>
      <c r="H586" s="5">
        <v>43292</v>
      </c>
      <c r="I586" s="5">
        <v>43844</v>
      </c>
      <c r="J586" s="1" t="s">
        <v>41</v>
      </c>
      <c r="K586" s="1" t="s">
        <v>1631</v>
      </c>
      <c r="L586" s="1" t="s">
        <v>1588</v>
      </c>
      <c r="M586" s="1" t="s">
        <v>1589</v>
      </c>
      <c r="N586" s="1" t="s">
        <v>30</v>
      </c>
      <c r="O586" s="1" t="s">
        <v>110</v>
      </c>
      <c r="P586" s="1" t="s">
        <v>111</v>
      </c>
      <c r="Q586" s="1" t="s">
        <v>112</v>
      </c>
      <c r="R586" s="1" t="s">
        <v>48</v>
      </c>
      <c r="S586" s="1"/>
      <c r="U586" s="1" t="s">
        <v>57</v>
      </c>
      <c r="V586" s="1" t="s">
        <v>99</v>
      </c>
      <c r="W586" s="1" t="str">
        <f>VLOOKUP(Table1[[#This Row],[Obergruppe ATC-Code]],Tabelle3!$A$2:$B$100,2)</f>
        <v>MITTEL MIT WIRKUNG AUF DAS RENIN-ANGIOTENSIN-SYSTEM</v>
      </c>
      <c r="X586" s="1" t="str">
        <f xml:space="preserve"> LEFT(Table1[[#This Row],[Atc Code]],3)</f>
        <v>C09</v>
      </c>
    </row>
    <row r="587" spans="1:24" ht="14.4">
      <c r="A587" s="14">
        <v>2365</v>
      </c>
      <c r="B587" s="24" t="s">
        <v>1632</v>
      </c>
      <c r="C587" s="1">
        <v>2176193</v>
      </c>
      <c r="D587" s="1" t="s">
        <v>25</v>
      </c>
      <c r="E587" s="36">
        <v>43282</v>
      </c>
      <c r="F587" s="36">
        <v>43861</v>
      </c>
      <c r="G587" s="38">
        <f t="shared" si="9"/>
        <v>579</v>
      </c>
      <c r="H587" s="5">
        <v>43293</v>
      </c>
      <c r="I587" s="5">
        <v>43859</v>
      </c>
      <c r="J587" s="1" t="s">
        <v>41</v>
      </c>
      <c r="K587" s="1" t="s">
        <v>1633</v>
      </c>
      <c r="L587" s="1" t="s">
        <v>1588</v>
      </c>
      <c r="M587" s="1" t="s">
        <v>1589</v>
      </c>
      <c r="N587" s="1" t="s">
        <v>30</v>
      </c>
      <c r="O587" s="1" t="s">
        <v>123</v>
      </c>
      <c r="P587" s="1" t="s">
        <v>1595</v>
      </c>
      <c r="Q587" s="1" t="s">
        <v>1596</v>
      </c>
      <c r="R587" s="1" t="s">
        <v>165</v>
      </c>
      <c r="S587" s="1"/>
      <c r="U587" s="1" t="s">
        <v>57</v>
      </c>
      <c r="V587" s="1" t="s">
        <v>99</v>
      </c>
      <c r="W587" s="1" t="str">
        <f>VLOOKUP(Table1[[#This Row],[Obergruppe ATC-Code]],Tabelle3!$A$2:$B$100,2)</f>
        <v>MITTEL MIT WIRKUNG AUF DAS RENIN-ANGIOTENSIN-SYSTEM</v>
      </c>
      <c r="X587" s="1" t="str">
        <f xml:space="preserve"> LEFT(Table1[[#This Row],[Atc Code]],3)</f>
        <v>C09</v>
      </c>
    </row>
    <row r="588" spans="1:24" ht="14.4">
      <c r="A588" s="14">
        <v>2704</v>
      </c>
      <c r="B588" s="24" t="s">
        <v>1634</v>
      </c>
      <c r="C588" s="1">
        <v>2176726</v>
      </c>
      <c r="D588" s="1" t="s">
        <v>25</v>
      </c>
      <c r="E588" s="36">
        <v>43282</v>
      </c>
      <c r="F588" s="36">
        <v>44227</v>
      </c>
      <c r="G588" s="38">
        <f t="shared" si="9"/>
        <v>945</v>
      </c>
      <c r="H588" s="5">
        <v>43293</v>
      </c>
      <c r="I588" s="5">
        <v>43866</v>
      </c>
      <c r="J588" s="1" t="s">
        <v>26</v>
      </c>
      <c r="K588" s="1" t="s">
        <v>1635</v>
      </c>
      <c r="L588" s="1" t="s">
        <v>1588</v>
      </c>
      <c r="M588" s="1" t="s">
        <v>1589</v>
      </c>
      <c r="N588" s="1" t="s">
        <v>38</v>
      </c>
      <c r="O588" s="1" t="s">
        <v>1636</v>
      </c>
      <c r="P588" s="1" t="s">
        <v>1637</v>
      </c>
      <c r="Q588" s="1" t="s">
        <v>1638</v>
      </c>
      <c r="R588" s="1" t="s">
        <v>33</v>
      </c>
      <c r="S588" s="1"/>
      <c r="U588" s="1" t="s">
        <v>35</v>
      </c>
      <c r="V588" s="1" t="s">
        <v>99</v>
      </c>
      <c r="W588" s="1" t="str">
        <f>VLOOKUP(Table1[[#This Row],[Obergruppe ATC-Code]],Tabelle3!$A$2:$B$100,2)</f>
        <v>MITTEL MIT WIRKUNG AUF DAS RENIN-ANGIOTENSIN-SYSTEM</v>
      </c>
      <c r="X588" s="1" t="str">
        <f xml:space="preserve"> LEFT(Table1[[#This Row],[Atc Code]],3)</f>
        <v>C09</v>
      </c>
    </row>
    <row r="589" spans="1:24" ht="14.4">
      <c r="A589" s="14">
        <v>2705</v>
      </c>
      <c r="B589" s="24" t="s">
        <v>1634</v>
      </c>
      <c r="C589" s="1">
        <v>2176727</v>
      </c>
      <c r="D589" s="1" t="s">
        <v>25</v>
      </c>
      <c r="E589" s="36">
        <v>43282</v>
      </c>
      <c r="F589" s="36">
        <v>44227</v>
      </c>
      <c r="G589" s="38">
        <f t="shared" si="9"/>
        <v>945</v>
      </c>
      <c r="H589" s="5">
        <v>43293</v>
      </c>
      <c r="I589" s="5">
        <v>43866</v>
      </c>
      <c r="J589" s="1" t="s">
        <v>26</v>
      </c>
      <c r="K589" s="1" t="s">
        <v>1635</v>
      </c>
      <c r="L589" s="1" t="s">
        <v>1588</v>
      </c>
      <c r="M589" s="1" t="s">
        <v>1589</v>
      </c>
      <c r="N589" s="1" t="s">
        <v>38</v>
      </c>
      <c r="O589" s="1" t="s">
        <v>1636</v>
      </c>
      <c r="P589" s="1" t="s">
        <v>1637</v>
      </c>
      <c r="Q589" s="1" t="s">
        <v>1638</v>
      </c>
      <c r="R589" s="1" t="s">
        <v>33</v>
      </c>
      <c r="S589" s="1"/>
      <c r="U589" s="1" t="s">
        <v>35</v>
      </c>
      <c r="V589" s="1" t="s">
        <v>99</v>
      </c>
      <c r="W589" s="1" t="str">
        <f>VLOOKUP(Table1[[#This Row],[Obergruppe ATC-Code]],Tabelle3!$A$2:$B$100,2)</f>
        <v>MITTEL MIT WIRKUNG AUF DAS RENIN-ANGIOTENSIN-SYSTEM</v>
      </c>
      <c r="X589" s="1" t="str">
        <f xml:space="preserve"> LEFT(Table1[[#This Row],[Atc Code]],3)</f>
        <v>C09</v>
      </c>
    </row>
    <row r="590" spans="1:24" ht="14.4">
      <c r="A590" s="14">
        <v>2690</v>
      </c>
      <c r="B590" s="24" t="s">
        <v>1639</v>
      </c>
      <c r="C590" s="1">
        <v>2176728</v>
      </c>
      <c r="D590" s="1" t="s">
        <v>25</v>
      </c>
      <c r="E590" s="36">
        <v>43282</v>
      </c>
      <c r="F590" s="36">
        <v>44227</v>
      </c>
      <c r="G590" s="38">
        <f t="shared" si="9"/>
        <v>945</v>
      </c>
      <c r="H590" s="5">
        <v>43293</v>
      </c>
      <c r="I590" s="5">
        <v>43866</v>
      </c>
      <c r="J590" s="1" t="s">
        <v>26</v>
      </c>
      <c r="K590" s="1" t="s">
        <v>1640</v>
      </c>
      <c r="L590" s="1" t="s">
        <v>1588</v>
      </c>
      <c r="M590" s="1" t="s">
        <v>1589</v>
      </c>
      <c r="N590" s="1" t="s">
        <v>38</v>
      </c>
      <c r="O590" s="1" t="s">
        <v>1636</v>
      </c>
      <c r="P590" s="1" t="s">
        <v>1637</v>
      </c>
      <c r="Q590" s="1" t="s">
        <v>1638</v>
      </c>
      <c r="R590" s="1" t="s">
        <v>33</v>
      </c>
      <c r="S590" s="1"/>
      <c r="U590" s="1" t="s">
        <v>35</v>
      </c>
      <c r="V590" s="1" t="s">
        <v>99</v>
      </c>
      <c r="W590" s="1" t="str">
        <f>VLOOKUP(Table1[[#This Row],[Obergruppe ATC-Code]],Tabelle3!$A$2:$B$100,2)</f>
        <v>MITTEL MIT WIRKUNG AUF DAS RENIN-ANGIOTENSIN-SYSTEM</v>
      </c>
      <c r="X590" s="1" t="str">
        <f xml:space="preserve"> LEFT(Table1[[#This Row],[Atc Code]],3)</f>
        <v>C09</v>
      </c>
    </row>
    <row r="591" spans="1:24" ht="14.4">
      <c r="A591" s="14">
        <v>2997</v>
      </c>
      <c r="B591" s="24" t="s">
        <v>1641</v>
      </c>
      <c r="C591" s="1">
        <v>2170450</v>
      </c>
      <c r="D591" s="1" t="s">
        <v>25</v>
      </c>
      <c r="E591" s="36">
        <v>43282</v>
      </c>
      <c r="F591" s="36">
        <v>43861</v>
      </c>
      <c r="G591" s="38">
        <f t="shared" si="9"/>
        <v>579</v>
      </c>
      <c r="H591" s="5">
        <v>43290</v>
      </c>
      <c r="I591" s="5">
        <v>43867</v>
      </c>
      <c r="J591" s="1" t="s">
        <v>41</v>
      </c>
      <c r="K591" s="1" t="s">
        <v>1642</v>
      </c>
      <c r="L591" s="1" t="s">
        <v>1588</v>
      </c>
      <c r="M591" s="1" t="s">
        <v>1589</v>
      </c>
      <c r="N591" s="1" t="s">
        <v>30</v>
      </c>
      <c r="O591" s="1" t="s">
        <v>45</v>
      </c>
      <c r="P591" s="1" t="s">
        <v>104</v>
      </c>
      <c r="Q591" s="1" t="s">
        <v>105</v>
      </c>
      <c r="R591" s="1" t="s">
        <v>26</v>
      </c>
      <c r="S591" s="1"/>
      <c r="U591" s="1" t="s">
        <v>57</v>
      </c>
      <c r="V591" s="1" t="s">
        <v>99</v>
      </c>
      <c r="W591" s="1" t="str">
        <f>VLOOKUP(Table1[[#This Row],[Obergruppe ATC-Code]],Tabelle3!$A$2:$B$100,2)</f>
        <v>MITTEL MIT WIRKUNG AUF DAS RENIN-ANGIOTENSIN-SYSTEM</v>
      </c>
      <c r="X591" s="1" t="str">
        <f xml:space="preserve"> LEFT(Table1[[#This Row],[Atc Code]],3)</f>
        <v>C09</v>
      </c>
    </row>
    <row r="592" spans="1:24" ht="14.4">
      <c r="A592" s="14">
        <v>2277</v>
      </c>
      <c r="B592" s="24" t="s">
        <v>1643</v>
      </c>
      <c r="C592" s="1">
        <v>2179320</v>
      </c>
      <c r="D592" s="1" t="s">
        <v>25</v>
      </c>
      <c r="E592" s="36">
        <v>43282</v>
      </c>
      <c r="F592" s="36">
        <v>43861</v>
      </c>
      <c r="G592" s="38">
        <f t="shared" si="9"/>
        <v>579</v>
      </c>
      <c r="H592" s="5">
        <v>43290</v>
      </c>
      <c r="I592" s="5">
        <v>43867</v>
      </c>
      <c r="J592" s="1" t="s">
        <v>41</v>
      </c>
      <c r="K592" s="1" t="s">
        <v>1644</v>
      </c>
      <c r="L592" s="1" t="s">
        <v>1588</v>
      </c>
      <c r="M592" s="1" t="s">
        <v>1589</v>
      </c>
      <c r="N592" s="1" t="s">
        <v>30</v>
      </c>
      <c r="O592" s="1" t="s">
        <v>45</v>
      </c>
      <c r="P592" s="1" t="s">
        <v>104</v>
      </c>
      <c r="Q592" s="1" t="s">
        <v>105</v>
      </c>
      <c r="R592" s="1" t="s">
        <v>26</v>
      </c>
      <c r="S592" s="1"/>
      <c r="U592" s="1" t="s">
        <v>57</v>
      </c>
      <c r="V592" s="1" t="s">
        <v>99</v>
      </c>
      <c r="W592" s="1" t="str">
        <f>VLOOKUP(Table1[[#This Row],[Obergruppe ATC-Code]],Tabelle3!$A$2:$B$100,2)</f>
        <v>MITTEL MIT WIRKUNG AUF DAS RENIN-ANGIOTENSIN-SYSTEM</v>
      </c>
      <c r="X592" s="1" t="str">
        <f xml:space="preserve"> LEFT(Table1[[#This Row],[Atc Code]],3)</f>
        <v>C09</v>
      </c>
    </row>
    <row r="593" spans="1:24" ht="14.4">
      <c r="A593" s="14">
        <v>2276</v>
      </c>
      <c r="B593" s="24" t="s">
        <v>1645</v>
      </c>
      <c r="C593" s="1">
        <v>2170452</v>
      </c>
      <c r="D593" s="1" t="s">
        <v>25</v>
      </c>
      <c r="E593" s="36">
        <v>43282</v>
      </c>
      <c r="F593" s="36">
        <v>43861</v>
      </c>
      <c r="G593" s="38">
        <f t="shared" si="9"/>
        <v>579</v>
      </c>
      <c r="H593" s="5">
        <v>43290</v>
      </c>
      <c r="I593" s="5">
        <v>43867</v>
      </c>
      <c r="J593" s="1" t="s">
        <v>41</v>
      </c>
      <c r="K593" s="1" t="s">
        <v>1646</v>
      </c>
      <c r="L593" s="1" t="s">
        <v>1588</v>
      </c>
      <c r="M593" s="1" t="s">
        <v>1589</v>
      </c>
      <c r="N593" s="1" t="s">
        <v>30</v>
      </c>
      <c r="O593" s="1" t="s">
        <v>45</v>
      </c>
      <c r="P593" s="1" t="s">
        <v>104</v>
      </c>
      <c r="Q593" s="1" t="s">
        <v>105</v>
      </c>
      <c r="R593" s="1" t="s">
        <v>26</v>
      </c>
      <c r="S593" s="1"/>
      <c r="U593" s="1" t="s">
        <v>57</v>
      </c>
      <c r="V593" s="1" t="s">
        <v>99</v>
      </c>
      <c r="W593" s="1" t="str">
        <f>VLOOKUP(Table1[[#This Row],[Obergruppe ATC-Code]],Tabelle3!$A$2:$B$100,2)</f>
        <v>MITTEL MIT WIRKUNG AUF DAS RENIN-ANGIOTENSIN-SYSTEM</v>
      </c>
      <c r="X593" s="1" t="str">
        <f xml:space="preserve"> LEFT(Table1[[#This Row],[Atc Code]],3)</f>
        <v>C09</v>
      </c>
    </row>
    <row r="594" spans="1:24" ht="14.4">
      <c r="A594" s="14">
        <v>2275</v>
      </c>
      <c r="B594" s="24" t="s">
        <v>1647</v>
      </c>
      <c r="C594" s="1">
        <v>2170451</v>
      </c>
      <c r="D594" s="1" t="s">
        <v>25</v>
      </c>
      <c r="E594" s="36">
        <v>43282</v>
      </c>
      <c r="F594" s="36">
        <v>43861</v>
      </c>
      <c r="G594" s="38">
        <f t="shared" si="9"/>
        <v>579</v>
      </c>
      <c r="H594" s="5">
        <v>43290</v>
      </c>
      <c r="I594" s="5">
        <v>43867</v>
      </c>
      <c r="J594" s="1" t="s">
        <v>41</v>
      </c>
      <c r="K594" s="1" t="s">
        <v>1648</v>
      </c>
      <c r="L594" s="1" t="s">
        <v>1588</v>
      </c>
      <c r="M594" s="1" t="s">
        <v>1589</v>
      </c>
      <c r="N594" s="1" t="s">
        <v>30</v>
      </c>
      <c r="O594" s="1" t="s">
        <v>45</v>
      </c>
      <c r="P594" s="1" t="s">
        <v>104</v>
      </c>
      <c r="Q594" s="1" t="s">
        <v>105</v>
      </c>
      <c r="R594" s="1" t="s">
        <v>26</v>
      </c>
      <c r="S594" s="1"/>
      <c r="U594" s="1" t="s">
        <v>57</v>
      </c>
      <c r="V594" s="1" t="s">
        <v>99</v>
      </c>
      <c r="W594" s="1" t="str">
        <f>VLOOKUP(Table1[[#This Row],[Obergruppe ATC-Code]],Tabelle3!$A$2:$B$100,2)</f>
        <v>MITTEL MIT WIRKUNG AUF DAS RENIN-ANGIOTENSIN-SYSTEM</v>
      </c>
      <c r="X594" s="1" t="str">
        <f xml:space="preserve"> LEFT(Table1[[#This Row],[Atc Code]],3)</f>
        <v>C09</v>
      </c>
    </row>
    <row r="595" spans="1:24" ht="14.4">
      <c r="A595" s="14">
        <v>3074</v>
      </c>
      <c r="B595" s="1">
        <v>6906173</v>
      </c>
      <c r="C595" s="1">
        <v>2170449</v>
      </c>
      <c r="D595" s="1" t="s">
        <v>25</v>
      </c>
      <c r="E595" s="36">
        <v>43282</v>
      </c>
      <c r="F595" s="36">
        <v>43861</v>
      </c>
      <c r="G595" s="38">
        <f t="shared" si="9"/>
        <v>579</v>
      </c>
      <c r="H595" s="5">
        <v>43290</v>
      </c>
      <c r="I595" s="5">
        <v>43867</v>
      </c>
      <c r="J595" s="1" t="s">
        <v>41</v>
      </c>
      <c r="K595" s="1" t="s">
        <v>1649</v>
      </c>
      <c r="L595" s="1" t="s">
        <v>1588</v>
      </c>
      <c r="M595" s="1" t="s">
        <v>1589</v>
      </c>
      <c r="N595" s="1" t="s">
        <v>30</v>
      </c>
      <c r="O595" s="1" t="s">
        <v>45</v>
      </c>
      <c r="P595" s="1" t="s">
        <v>104</v>
      </c>
      <c r="Q595" s="1" t="s">
        <v>105</v>
      </c>
      <c r="R595" s="1" t="s">
        <v>26</v>
      </c>
      <c r="S595" s="1"/>
      <c r="U595" s="1" t="s">
        <v>57</v>
      </c>
      <c r="V595" s="1" t="s">
        <v>99</v>
      </c>
      <c r="W595" s="1" t="str">
        <f>VLOOKUP(Table1[[#This Row],[Obergruppe ATC-Code]],Tabelle3!$A$2:$B$100,2)</f>
        <v>MITTEL MIT WIRKUNG AUF DAS RENIN-ANGIOTENSIN-SYSTEM</v>
      </c>
      <c r="X595" s="1" t="str">
        <f xml:space="preserve"> LEFT(Table1[[#This Row],[Atc Code]],3)</f>
        <v>C09</v>
      </c>
    </row>
    <row r="596" spans="1:24" ht="14.4">
      <c r="A596" s="14">
        <v>2364</v>
      </c>
      <c r="B596" s="24" t="s">
        <v>1650</v>
      </c>
      <c r="C596" s="1">
        <v>2176192</v>
      </c>
      <c r="D596" s="1" t="s">
        <v>25</v>
      </c>
      <c r="E596" s="36">
        <v>43647</v>
      </c>
      <c r="F596" s="36">
        <v>43890</v>
      </c>
      <c r="G596" s="38">
        <f t="shared" si="9"/>
        <v>243</v>
      </c>
      <c r="H596" s="5">
        <v>43293</v>
      </c>
      <c r="I596" s="5">
        <v>43868</v>
      </c>
      <c r="J596" s="1" t="s">
        <v>41</v>
      </c>
      <c r="K596" s="1" t="s">
        <v>1651</v>
      </c>
      <c r="L596" s="1" t="s">
        <v>1588</v>
      </c>
      <c r="M596" s="1" t="s">
        <v>1589</v>
      </c>
      <c r="N596" s="1" t="s">
        <v>30</v>
      </c>
      <c r="O596" s="1" t="s">
        <v>123</v>
      </c>
      <c r="P596" s="1" t="s">
        <v>1595</v>
      </c>
      <c r="Q596" s="1" t="s">
        <v>1596</v>
      </c>
      <c r="R596" s="1" t="s">
        <v>165</v>
      </c>
      <c r="S596" s="1"/>
      <c r="U596" s="1" t="s">
        <v>57</v>
      </c>
      <c r="V596" s="1" t="s">
        <v>99</v>
      </c>
      <c r="W596" s="1" t="str">
        <f>VLOOKUP(Table1[[#This Row],[Obergruppe ATC-Code]],Tabelle3!$A$2:$B$100,2)</f>
        <v>MITTEL MIT WIRKUNG AUF DAS RENIN-ANGIOTENSIN-SYSTEM</v>
      </c>
      <c r="X596" s="1" t="str">
        <f xml:space="preserve"> LEFT(Table1[[#This Row],[Atc Code]],3)</f>
        <v>C09</v>
      </c>
    </row>
    <row r="597" spans="1:24" ht="14.4">
      <c r="A597" s="14">
        <v>2359</v>
      </c>
      <c r="B597" s="24" t="s">
        <v>1652</v>
      </c>
      <c r="C597" s="1">
        <v>2176198</v>
      </c>
      <c r="D597" s="1" t="s">
        <v>25</v>
      </c>
      <c r="E597" s="36">
        <v>43282</v>
      </c>
      <c r="F597" s="36">
        <v>43982</v>
      </c>
      <c r="G597" s="38">
        <f t="shared" si="9"/>
        <v>700</v>
      </c>
      <c r="H597" s="5">
        <v>43292</v>
      </c>
      <c r="I597" s="5">
        <v>43963</v>
      </c>
      <c r="J597" s="1" t="s">
        <v>41</v>
      </c>
      <c r="K597" s="1" t="s">
        <v>1653</v>
      </c>
      <c r="L597" s="1" t="s">
        <v>1588</v>
      </c>
      <c r="M597" s="1" t="s">
        <v>1589</v>
      </c>
      <c r="N597" s="1" t="s">
        <v>30</v>
      </c>
      <c r="O597" s="1" t="s">
        <v>110</v>
      </c>
      <c r="P597" s="1" t="s">
        <v>111</v>
      </c>
      <c r="Q597" s="1" t="s">
        <v>112</v>
      </c>
      <c r="R597" s="1" t="s">
        <v>48</v>
      </c>
      <c r="S597" s="1"/>
      <c r="U597" s="1" t="s">
        <v>57</v>
      </c>
      <c r="V597" s="1" t="s">
        <v>99</v>
      </c>
      <c r="W597" s="1" t="str">
        <f>VLOOKUP(Table1[[#This Row],[Obergruppe ATC-Code]],Tabelle3!$A$2:$B$100,2)</f>
        <v>MITTEL MIT WIRKUNG AUF DAS RENIN-ANGIOTENSIN-SYSTEM</v>
      </c>
      <c r="X597" s="1" t="str">
        <f xml:space="preserve"> LEFT(Table1[[#This Row],[Atc Code]],3)</f>
        <v>C09</v>
      </c>
    </row>
    <row r="598" spans="1:24" ht="14.4">
      <c r="A598" s="14">
        <v>2760</v>
      </c>
      <c r="B598" s="24" t="s">
        <v>1654</v>
      </c>
      <c r="C598" s="1">
        <v>2173952</v>
      </c>
      <c r="D598" s="1" t="s">
        <v>25</v>
      </c>
      <c r="E598" s="36">
        <v>43282</v>
      </c>
      <c r="F598" s="36">
        <v>44196</v>
      </c>
      <c r="G598" s="38">
        <f t="shared" si="9"/>
        <v>914</v>
      </c>
      <c r="H598" s="5">
        <v>43292</v>
      </c>
      <c r="I598" s="5">
        <v>44126</v>
      </c>
      <c r="J598" s="1" t="s">
        <v>41</v>
      </c>
      <c r="K598" s="1" t="s">
        <v>1655</v>
      </c>
      <c r="L598" s="1" t="s">
        <v>1588</v>
      </c>
      <c r="M598" s="1" t="s">
        <v>1589</v>
      </c>
      <c r="N598" s="1" t="s">
        <v>30</v>
      </c>
      <c r="O598" s="1" t="s">
        <v>1489</v>
      </c>
      <c r="P598" s="1" t="s">
        <v>1656</v>
      </c>
      <c r="Q598" s="1" t="s">
        <v>1657</v>
      </c>
      <c r="R598" s="1" t="s">
        <v>48</v>
      </c>
      <c r="S598" s="1"/>
      <c r="U598" s="1" t="s">
        <v>35</v>
      </c>
      <c r="V598" s="1" t="s">
        <v>99</v>
      </c>
      <c r="W598" s="1" t="str">
        <f>VLOOKUP(Table1[[#This Row],[Obergruppe ATC-Code]],Tabelle3!$A$2:$B$100,2)</f>
        <v>MITTEL MIT WIRKUNG AUF DAS RENIN-ANGIOTENSIN-SYSTEM</v>
      </c>
      <c r="X598" s="1" t="str">
        <f xml:space="preserve"> LEFT(Table1[[#This Row],[Atc Code]],3)</f>
        <v>C09</v>
      </c>
    </row>
    <row r="599" spans="1:24" ht="14.4">
      <c r="A599" s="14">
        <v>2759</v>
      </c>
      <c r="B599" s="24" t="s">
        <v>1658</v>
      </c>
      <c r="C599" s="1">
        <v>2173951</v>
      </c>
      <c r="D599" s="1" t="s">
        <v>25</v>
      </c>
      <c r="E599" s="36">
        <v>43282</v>
      </c>
      <c r="F599" s="36">
        <v>44196</v>
      </c>
      <c r="G599" s="38">
        <f t="shared" si="9"/>
        <v>914</v>
      </c>
      <c r="H599" s="5">
        <v>43292</v>
      </c>
      <c r="I599" s="5">
        <v>44126</v>
      </c>
      <c r="J599" s="1" t="s">
        <v>41</v>
      </c>
      <c r="K599" s="1" t="s">
        <v>1659</v>
      </c>
      <c r="L599" s="1" t="s">
        <v>1588</v>
      </c>
      <c r="M599" s="1" t="s">
        <v>1589</v>
      </c>
      <c r="N599" s="1" t="s">
        <v>30</v>
      </c>
      <c r="O599" s="1" t="s">
        <v>1489</v>
      </c>
      <c r="P599" s="1" t="s">
        <v>1656</v>
      </c>
      <c r="Q599" s="1" t="s">
        <v>1657</v>
      </c>
      <c r="R599" s="1" t="s">
        <v>48</v>
      </c>
      <c r="S599" s="1"/>
      <c r="U599" s="1" t="s">
        <v>35</v>
      </c>
      <c r="V599" s="1" t="s">
        <v>99</v>
      </c>
      <c r="W599" s="1" t="str">
        <f>VLOOKUP(Table1[[#This Row],[Obergruppe ATC-Code]],Tabelle3!$A$2:$B$100,2)</f>
        <v>MITTEL MIT WIRKUNG AUF DAS RENIN-ANGIOTENSIN-SYSTEM</v>
      </c>
      <c r="X599" s="1" t="str">
        <f xml:space="preserve"> LEFT(Table1[[#This Row],[Atc Code]],3)</f>
        <v>C09</v>
      </c>
    </row>
    <row r="600" spans="1:24" ht="14.4">
      <c r="A600" s="14">
        <v>2470</v>
      </c>
      <c r="B600" s="24" t="s">
        <v>1660</v>
      </c>
      <c r="C600" s="1">
        <v>2177618</v>
      </c>
      <c r="D600" s="1" t="s">
        <v>25</v>
      </c>
      <c r="E600" s="36">
        <v>43282</v>
      </c>
      <c r="F600" s="36">
        <v>44165</v>
      </c>
      <c r="G600" s="38">
        <f t="shared" si="9"/>
        <v>883</v>
      </c>
      <c r="H600" s="5">
        <v>43293</v>
      </c>
      <c r="I600" s="5">
        <v>44139</v>
      </c>
      <c r="J600" s="1" t="s">
        <v>41</v>
      </c>
      <c r="K600" s="1" t="s">
        <v>1661</v>
      </c>
      <c r="L600" s="1" t="s">
        <v>1588</v>
      </c>
      <c r="M600" s="1" t="s">
        <v>1589</v>
      </c>
      <c r="N600" s="1" t="s">
        <v>30</v>
      </c>
      <c r="O600" s="1" t="s">
        <v>265</v>
      </c>
      <c r="P600" s="1" t="s">
        <v>1662</v>
      </c>
      <c r="Q600" s="1" t="s">
        <v>64</v>
      </c>
      <c r="R600" s="1" t="s">
        <v>26</v>
      </c>
      <c r="S600" s="1"/>
      <c r="U600" s="1" t="s">
        <v>35</v>
      </c>
      <c r="V600" s="1" t="s">
        <v>99</v>
      </c>
      <c r="W600" s="1" t="str">
        <f>VLOOKUP(Table1[[#This Row],[Obergruppe ATC-Code]],Tabelle3!$A$2:$B$100,2)</f>
        <v>MITTEL MIT WIRKUNG AUF DAS RENIN-ANGIOTENSIN-SYSTEM</v>
      </c>
      <c r="X600" s="1" t="str">
        <f xml:space="preserve"> LEFT(Table1[[#This Row],[Atc Code]],3)</f>
        <v>C09</v>
      </c>
    </row>
    <row r="601" spans="1:24" ht="14.4">
      <c r="A601" s="14">
        <v>2379</v>
      </c>
      <c r="B601" s="24" t="s">
        <v>1663</v>
      </c>
      <c r="C601" s="1">
        <v>2171422</v>
      </c>
      <c r="D601" s="1" t="s">
        <v>25</v>
      </c>
      <c r="E601" s="36">
        <v>43282</v>
      </c>
      <c r="F601" s="36">
        <v>44165</v>
      </c>
      <c r="G601" s="38">
        <f t="shared" si="9"/>
        <v>883</v>
      </c>
      <c r="H601" s="5">
        <v>43293</v>
      </c>
      <c r="I601" s="5">
        <v>44139</v>
      </c>
      <c r="J601" s="1" t="s">
        <v>41</v>
      </c>
      <c r="K601" s="1" t="s">
        <v>1664</v>
      </c>
      <c r="L601" s="1" t="s">
        <v>1588</v>
      </c>
      <c r="M601" s="1" t="s">
        <v>1589</v>
      </c>
      <c r="N601" s="1" t="s">
        <v>30</v>
      </c>
      <c r="O601" s="1" t="s">
        <v>265</v>
      </c>
      <c r="P601" s="1" t="s">
        <v>1662</v>
      </c>
      <c r="Q601" s="1" t="s">
        <v>64</v>
      </c>
      <c r="R601" s="1" t="s">
        <v>26</v>
      </c>
      <c r="S601" s="1"/>
      <c r="U601" s="1" t="s">
        <v>35</v>
      </c>
      <c r="V601" s="1" t="s">
        <v>99</v>
      </c>
      <c r="W601" s="1" t="str">
        <f>VLOOKUP(Table1[[#This Row],[Obergruppe ATC-Code]],Tabelle3!$A$2:$B$100,2)</f>
        <v>MITTEL MIT WIRKUNG AUF DAS RENIN-ANGIOTENSIN-SYSTEM</v>
      </c>
      <c r="X601" s="1" t="str">
        <f xml:space="preserve"> LEFT(Table1[[#This Row],[Atc Code]],3)</f>
        <v>C09</v>
      </c>
    </row>
    <row r="602" spans="1:24" ht="14.4">
      <c r="A602" s="14">
        <v>2378</v>
      </c>
      <c r="B602" s="24" t="s">
        <v>1665</v>
      </c>
      <c r="C602" s="1">
        <v>2171421</v>
      </c>
      <c r="D602" s="1" t="s">
        <v>25</v>
      </c>
      <c r="E602" s="36">
        <v>43282</v>
      </c>
      <c r="F602" s="36">
        <v>44165</v>
      </c>
      <c r="G602" s="38">
        <f t="shared" si="9"/>
        <v>883</v>
      </c>
      <c r="H602" s="5">
        <v>43293</v>
      </c>
      <c r="I602" s="5">
        <v>44139</v>
      </c>
      <c r="J602" s="1" t="s">
        <v>41</v>
      </c>
      <c r="K602" s="1" t="s">
        <v>1666</v>
      </c>
      <c r="L602" s="1" t="s">
        <v>1588</v>
      </c>
      <c r="M602" s="1" t="s">
        <v>1589</v>
      </c>
      <c r="N602" s="1" t="s">
        <v>30</v>
      </c>
      <c r="O602" s="1" t="s">
        <v>265</v>
      </c>
      <c r="P602" s="1" t="s">
        <v>1662</v>
      </c>
      <c r="Q602" s="1" t="s">
        <v>64</v>
      </c>
      <c r="R602" s="1" t="s">
        <v>26</v>
      </c>
      <c r="S602" s="1"/>
      <c r="U602" s="1" t="s">
        <v>35</v>
      </c>
      <c r="V602" s="1" t="s">
        <v>99</v>
      </c>
      <c r="W602" s="1" t="str">
        <f>VLOOKUP(Table1[[#This Row],[Obergruppe ATC-Code]],Tabelle3!$A$2:$B$100,2)</f>
        <v>MITTEL MIT WIRKUNG AUF DAS RENIN-ANGIOTENSIN-SYSTEM</v>
      </c>
      <c r="X602" s="1" t="str">
        <f xml:space="preserve"> LEFT(Table1[[#This Row],[Atc Code]],3)</f>
        <v>C09</v>
      </c>
    </row>
    <row r="603" spans="1:24" ht="14.4">
      <c r="A603" s="14">
        <v>984</v>
      </c>
      <c r="B603" s="25">
        <v>8440313</v>
      </c>
      <c r="C603" s="1">
        <v>2171420</v>
      </c>
      <c r="D603" s="1" t="s">
        <v>25</v>
      </c>
      <c r="E603" s="36">
        <v>43282</v>
      </c>
      <c r="F603" s="36">
        <v>44165</v>
      </c>
      <c r="G603" s="38">
        <f t="shared" si="9"/>
        <v>883</v>
      </c>
      <c r="H603" s="5">
        <v>43293</v>
      </c>
      <c r="I603" s="5">
        <v>44139</v>
      </c>
      <c r="J603" s="1" t="s">
        <v>41</v>
      </c>
      <c r="K603" s="1" t="s">
        <v>1667</v>
      </c>
      <c r="L603" s="1" t="s">
        <v>1588</v>
      </c>
      <c r="M603" s="1" t="s">
        <v>1589</v>
      </c>
      <c r="N603" s="1" t="s">
        <v>30</v>
      </c>
      <c r="O603" s="1" t="s">
        <v>265</v>
      </c>
      <c r="P603" s="1" t="s">
        <v>1662</v>
      </c>
      <c r="Q603" s="1" t="s">
        <v>64</v>
      </c>
      <c r="R603" s="1" t="s">
        <v>26</v>
      </c>
      <c r="S603" s="1"/>
      <c r="U603" s="1" t="s">
        <v>35</v>
      </c>
      <c r="V603" s="1" t="s">
        <v>99</v>
      </c>
      <c r="W603" s="1" t="str">
        <f>VLOOKUP(Table1[[#This Row],[Obergruppe ATC-Code]],Tabelle3!$A$2:$B$100,2)</f>
        <v>MITTEL MIT WIRKUNG AUF DAS RENIN-ANGIOTENSIN-SYSTEM</v>
      </c>
      <c r="X603" s="1" t="str">
        <f xml:space="preserve"> LEFT(Table1[[#This Row],[Atc Code]],3)</f>
        <v>C09</v>
      </c>
    </row>
    <row r="604" spans="1:24" ht="14.4">
      <c r="A604" s="14">
        <v>3005</v>
      </c>
      <c r="B604" s="24" t="s">
        <v>1668</v>
      </c>
      <c r="C604" s="1">
        <v>2170448</v>
      </c>
      <c r="D604" s="1" t="s">
        <v>25</v>
      </c>
      <c r="E604" s="36">
        <v>43282</v>
      </c>
      <c r="F604" s="36">
        <v>44196</v>
      </c>
      <c r="G604" s="38">
        <f t="shared" si="9"/>
        <v>914</v>
      </c>
      <c r="H604" s="5">
        <v>43290</v>
      </c>
      <c r="I604" s="5">
        <v>44175</v>
      </c>
      <c r="J604" s="1" t="s">
        <v>41</v>
      </c>
      <c r="K604" s="1" t="s">
        <v>1669</v>
      </c>
      <c r="L604" s="1" t="s">
        <v>1588</v>
      </c>
      <c r="M604" s="1" t="s">
        <v>1589</v>
      </c>
      <c r="N604" s="1" t="s">
        <v>30</v>
      </c>
      <c r="O604" s="1" t="s">
        <v>117</v>
      </c>
      <c r="P604" s="1" t="s">
        <v>104</v>
      </c>
      <c r="Q604" s="1" t="s">
        <v>105</v>
      </c>
      <c r="R604" s="1" t="s">
        <v>26</v>
      </c>
      <c r="S604" s="1"/>
      <c r="U604" s="1" t="s">
        <v>57</v>
      </c>
      <c r="V604" s="1" t="s">
        <v>99</v>
      </c>
      <c r="W604" s="1" t="str">
        <f>VLOOKUP(Table1[[#This Row],[Obergruppe ATC-Code]],Tabelle3!$A$2:$B$100,2)</f>
        <v>MITTEL MIT WIRKUNG AUF DAS RENIN-ANGIOTENSIN-SYSTEM</v>
      </c>
      <c r="X604" s="1" t="str">
        <f xml:space="preserve"> LEFT(Table1[[#This Row],[Atc Code]],3)</f>
        <v>C09</v>
      </c>
    </row>
    <row r="605" spans="1:24" ht="14.4">
      <c r="A605" s="14">
        <v>3004</v>
      </c>
      <c r="B605" s="24" t="s">
        <v>1670</v>
      </c>
      <c r="C605" s="1">
        <v>2170447</v>
      </c>
      <c r="D605" s="1" t="s">
        <v>25</v>
      </c>
      <c r="E605" s="36">
        <v>43282</v>
      </c>
      <c r="F605" s="36">
        <v>44196</v>
      </c>
      <c r="G605" s="38">
        <f t="shared" si="9"/>
        <v>914</v>
      </c>
      <c r="H605" s="5">
        <v>43290</v>
      </c>
      <c r="I605" s="5">
        <v>44175</v>
      </c>
      <c r="J605" s="1" t="s">
        <v>41</v>
      </c>
      <c r="K605" s="1" t="s">
        <v>1671</v>
      </c>
      <c r="L605" s="1" t="s">
        <v>1588</v>
      </c>
      <c r="M605" s="1" t="s">
        <v>1589</v>
      </c>
      <c r="N605" s="1" t="s">
        <v>30</v>
      </c>
      <c r="O605" s="1" t="s">
        <v>117</v>
      </c>
      <c r="P605" s="1" t="s">
        <v>104</v>
      </c>
      <c r="Q605" s="1" t="s">
        <v>105</v>
      </c>
      <c r="R605" s="1" t="s">
        <v>26</v>
      </c>
      <c r="S605" s="1"/>
      <c r="U605" s="1" t="s">
        <v>57</v>
      </c>
      <c r="V605" s="1" t="s">
        <v>99</v>
      </c>
      <c r="W605" s="1" t="str">
        <f>VLOOKUP(Table1[[#This Row],[Obergruppe ATC-Code]],Tabelle3!$A$2:$B$100,2)</f>
        <v>MITTEL MIT WIRKUNG AUF DAS RENIN-ANGIOTENSIN-SYSTEM</v>
      </c>
      <c r="X605" s="1" t="str">
        <f xml:space="preserve"> LEFT(Table1[[#This Row],[Atc Code]],3)</f>
        <v>C09</v>
      </c>
    </row>
    <row r="606" spans="1:24" ht="14.4">
      <c r="A606" s="14">
        <v>3003</v>
      </c>
      <c r="B606" s="24" t="s">
        <v>1672</v>
      </c>
      <c r="C606" s="1">
        <v>2170446</v>
      </c>
      <c r="D606" s="1" t="s">
        <v>25</v>
      </c>
      <c r="E606" s="36">
        <v>43282</v>
      </c>
      <c r="F606" s="36">
        <v>44196</v>
      </c>
      <c r="G606" s="38">
        <f t="shared" si="9"/>
        <v>914</v>
      </c>
      <c r="H606" s="5">
        <v>43290</v>
      </c>
      <c r="I606" s="5">
        <v>44175</v>
      </c>
      <c r="J606" s="1" t="s">
        <v>41</v>
      </c>
      <c r="K606" s="1" t="s">
        <v>1673</v>
      </c>
      <c r="L606" s="1" t="s">
        <v>1588</v>
      </c>
      <c r="M606" s="1" t="s">
        <v>1589</v>
      </c>
      <c r="N606" s="1" t="s">
        <v>30</v>
      </c>
      <c r="O606" s="1" t="s">
        <v>117</v>
      </c>
      <c r="P606" s="1" t="s">
        <v>104</v>
      </c>
      <c r="Q606" s="1" t="s">
        <v>105</v>
      </c>
      <c r="R606" s="1" t="s">
        <v>26</v>
      </c>
      <c r="S606" s="1"/>
      <c r="U606" s="1" t="s">
        <v>57</v>
      </c>
      <c r="V606" s="1" t="s">
        <v>99</v>
      </c>
      <c r="W606" s="1" t="str">
        <f>VLOOKUP(Table1[[#This Row],[Obergruppe ATC-Code]],Tabelle3!$A$2:$B$100,2)</f>
        <v>MITTEL MIT WIRKUNG AUF DAS RENIN-ANGIOTENSIN-SYSTEM</v>
      </c>
      <c r="X606" s="1" t="str">
        <f xml:space="preserve"> LEFT(Table1[[#This Row],[Atc Code]],3)</f>
        <v>C09</v>
      </c>
    </row>
    <row r="607" spans="1:24" ht="14.4">
      <c r="A607" s="14">
        <v>2348</v>
      </c>
      <c r="B607" s="24" t="s">
        <v>1674</v>
      </c>
      <c r="C607" s="1">
        <v>2179321</v>
      </c>
      <c r="D607" s="1" t="s">
        <v>25</v>
      </c>
      <c r="E607" s="36">
        <v>43282</v>
      </c>
      <c r="F607" s="36">
        <v>44196</v>
      </c>
      <c r="G607" s="38">
        <f t="shared" si="9"/>
        <v>914</v>
      </c>
      <c r="H607" s="5">
        <v>43290</v>
      </c>
      <c r="I607" s="5">
        <v>44175</v>
      </c>
      <c r="J607" s="1" t="s">
        <v>41</v>
      </c>
      <c r="K607" s="1" t="s">
        <v>1675</v>
      </c>
      <c r="L607" s="1" t="s">
        <v>1588</v>
      </c>
      <c r="M607" s="1" t="s">
        <v>1589</v>
      </c>
      <c r="N607" s="1" t="s">
        <v>30</v>
      </c>
      <c r="O607" s="1" t="s">
        <v>117</v>
      </c>
      <c r="P607" s="1" t="s">
        <v>104</v>
      </c>
      <c r="Q607" s="1" t="s">
        <v>105</v>
      </c>
      <c r="R607" s="1" t="s">
        <v>26</v>
      </c>
      <c r="S607" s="1"/>
      <c r="U607" s="1" t="s">
        <v>57</v>
      </c>
      <c r="V607" s="1" t="s">
        <v>99</v>
      </c>
      <c r="W607" s="1" t="str">
        <f>VLOOKUP(Table1[[#This Row],[Obergruppe ATC-Code]],Tabelle3!$A$2:$B$100,2)</f>
        <v>MITTEL MIT WIRKUNG AUF DAS RENIN-ANGIOTENSIN-SYSTEM</v>
      </c>
      <c r="X607" s="1" t="str">
        <f xml:space="preserve"> LEFT(Table1[[#This Row],[Atc Code]],3)</f>
        <v>C09</v>
      </c>
    </row>
    <row r="608" spans="1:24" ht="14.4">
      <c r="A608" s="14">
        <v>2343</v>
      </c>
      <c r="B608" s="25" t="s">
        <v>1676</v>
      </c>
      <c r="C608" s="1">
        <v>2170455</v>
      </c>
      <c r="D608" s="1" t="s">
        <v>25</v>
      </c>
      <c r="E608" s="36">
        <v>43282</v>
      </c>
      <c r="F608" s="36">
        <v>44196</v>
      </c>
      <c r="G608" s="38">
        <f t="shared" si="9"/>
        <v>914</v>
      </c>
      <c r="H608" s="5">
        <v>43290</v>
      </c>
      <c r="I608" s="5">
        <v>44175</v>
      </c>
      <c r="J608" s="1" t="s">
        <v>41</v>
      </c>
      <c r="K608" s="1" t="s">
        <v>1677</v>
      </c>
      <c r="L608" s="1" t="s">
        <v>1588</v>
      </c>
      <c r="M608" s="1" t="s">
        <v>1589</v>
      </c>
      <c r="N608" s="1" t="s">
        <v>30</v>
      </c>
      <c r="O608" s="1" t="s">
        <v>117</v>
      </c>
      <c r="P608" s="1" t="s">
        <v>104</v>
      </c>
      <c r="Q608" s="1" t="s">
        <v>105</v>
      </c>
      <c r="R608" s="1" t="s">
        <v>26</v>
      </c>
      <c r="S608" s="1"/>
      <c r="U608" s="1" t="s">
        <v>57</v>
      </c>
      <c r="V608" s="1" t="s">
        <v>99</v>
      </c>
      <c r="W608" s="1" t="str">
        <f>VLOOKUP(Table1[[#This Row],[Obergruppe ATC-Code]],Tabelle3!$A$2:$B$100,2)</f>
        <v>MITTEL MIT WIRKUNG AUF DAS RENIN-ANGIOTENSIN-SYSTEM</v>
      </c>
      <c r="X608" s="1" t="str">
        <f xml:space="preserve"> LEFT(Table1[[#This Row],[Atc Code]],3)</f>
        <v>C09</v>
      </c>
    </row>
    <row r="609" spans="1:24" ht="14.4">
      <c r="A609" s="14">
        <v>928</v>
      </c>
      <c r="B609" s="25">
        <v>7607656</v>
      </c>
      <c r="C609" s="1">
        <v>2170445</v>
      </c>
      <c r="D609" s="1" t="s">
        <v>25</v>
      </c>
      <c r="E609" s="36">
        <v>43282</v>
      </c>
      <c r="F609" s="36">
        <v>44196</v>
      </c>
      <c r="G609" s="38">
        <f t="shared" si="9"/>
        <v>914</v>
      </c>
      <c r="H609" s="5">
        <v>43290</v>
      </c>
      <c r="I609" s="5">
        <v>44175</v>
      </c>
      <c r="J609" s="1" t="s">
        <v>41</v>
      </c>
      <c r="K609" s="1" t="s">
        <v>1678</v>
      </c>
      <c r="L609" s="1" t="s">
        <v>1588</v>
      </c>
      <c r="M609" s="1" t="s">
        <v>1589</v>
      </c>
      <c r="N609" s="1" t="s">
        <v>30</v>
      </c>
      <c r="O609" s="1" t="s">
        <v>117</v>
      </c>
      <c r="P609" s="1" t="s">
        <v>104</v>
      </c>
      <c r="Q609" s="1" t="s">
        <v>105</v>
      </c>
      <c r="R609" s="1" t="s">
        <v>26</v>
      </c>
      <c r="S609" s="1"/>
      <c r="U609" s="1" t="s">
        <v>57</v>
      </c>
      <c r="V609" s="1" t="s">
        <v>99</v>
      </c>
      <c r="W609" s="1" t="str">
        <f>VLOOKUP(Table1[[#This Row],[Obergruppe ATC-Code]],Tabelle3!$A$2:$B$100,2)</f>
        <v>MITTEL MIT WIRKUNG AUF DAS RENIN-ANGIOTENSIN-SYSTEM</v>
      </c>
      <c r="X609" s="1" t="str">
        <f xml:space="preserve"> LEFT(Table1[[#This Row],[Atc Code]],3)</f>
        <v>C09</v>
      </c>
    </row>
    <row r="610" spans="1:24" ht="14.4">
      <c r="A610" s="14">
        <v>909</v>
      </c>
      <c r="B610" s="25">
        <v>7586167</v>
      </c>
      <c r="C610" s="1">
        <v>2170456</v>
      </c>
      <c r="D610" s="1" t="s">
        <v>25</v>
      </c>
      <c r="E610" s="36">
        <v>43282</v>
      </c>
      <c r="F610" s="36">
        <v>44196</v>
      </c>
      <c r="G610" s="38">
        <f t="shared" si="9"/>
        <v>914</v>
      </c>
      <c r="H610" s="5">
        <v>43290</v>
      </c>
      <c r="I610" s="5">
        <v>44175</v>
      </c>
      <c r="J610" s="1" t="s">
        <v>41</v>
      </c>
      <c r="K610" s="1" t="s">
        <v>1679</v>
      </c>
      <c r="L610" s="1" t="s">
        <v>1588</v>
      </c>
      <c r="M610" s="1" t="s">
        <v>1589</v>
      </c>
      <c r="N610" s="1" t="s">
        <v>30</v>
      </c>
      <c r="O610" s="1" t="s">
        <v>117</v>
      </c>
      <c r="P610" s="1" t="s">
        <v>104</v>
      </c>
      <c r="Q610" s="1" t="s">
        <v>105</v>
      </c>
      <c r="R610" s="1" t="s">
        <v>26</v>
      </c>
      <c r="S610" s="1"/>
      <c r="U610" s="1" t="s">
        <v>57</v>
      </c>
      <c r="V610" s="1" t="s">
        <v>99</v>
      </c>
      <c r="W610" s="1" t="str">
        <f>VLOOKUP(Table1[[#This Row],[Obergruppe ATC-Code]],Tabelle3!$A$2:$B$100,2)</f>
        <v>MITTEL MIT WIRKUNG AUF DAS RENIN-ANGIOTENSIN-SYSTEM</v>
      </c>
      <c r="X610" s="1" t="str">
        <f xml:space="preserve"> LEFT(Table1[[#This Row],[Atc Code]],3)</f>
        <v>C09</v>
      </c>
    </row>
    <row r="611" spans="1:24" ht="14.4">
      <c r="A611" s="14">
        <v>2483</v>
      </c>
      <c r="B611" s="24" t="s">
        <v>1680</v>
      </c>
      <c r="C611" s="1">
        <v>2181707</v>
      </c>
      <c r="D611" s="1" t="s">
        <v>25</v>
      </c>
      <c r="E611" s="36">
        <v>43282</v>
      </c>
      <c r="F611" s="36">
        <v>44286</v>
      </c>
      <c r="G611" s="38">
        <f t="shared" si="9"/>
        <v>1004</v>
      </c>
      <c r="H611" s="5">
        <v>43297</v>
      </c>
      <c r="I611" s="5">
        <v>44263</v>
      </c>
      <c r="J611" s="1" t="s">
        <v>41</v>
      </c>
      <c r="K611" s="1" t="s">
        <v>1681</v>
      </c>
      <c r="L611" s="1" t="s">
        <v>1588</v>
      </c>
      <c r="M611" s="1" t="s">
        <v>1589</v>
      </c>
      <c r="N611" s="1" t="s">
        <v>30</v>
      </c>
      <c r="O611" s="1" t="s">
        <v>1682</v>
      </c>
      <c r="P611" s="1" t="s">
        <v>1683</v>
      </c>
      <c r="Q611" s="1" t="s">
        <v>1684</v>
      </c>
      <c r="R611" s="1" t="s">
        <v>48</v>
      </c>
      <c r="S611" s="1"/>
      <c r="U611" s="1" t="s">
        <v>57</v>
      </c>
      <c r="V611" s="1" t="s">
        <v>99</v>
      </c>
      <c r="W611" s="1" t="str">
        <f>VLOOKUP(Table1[[#This Row],[Obergruppe ATC-Code]],Tabelle3!$A$2:$B$100,2)</f>
        <v>MITTEL MIT WIRKUNG AUF DAS RENIN-ANGIOTENSIN-SYSTEM</v>
      </c>
      <c r="X611" s="1" t="str">
        <f xml:space="preserve"> LEFT(Table1[[#This Row],[Atc Code]],3)</f>
        <v>C09</v>
      </c>
    </row>
    <row r="612" spans="1:24" ht="14.4">
      <c r="A612" s="14">
        <v>3072</v>
      </c>
      <c r="B612" s="24" t="s">
        <v>1685</v>
      </c>
      <c r="C612" s="1">
        <v>2178503</v>
      </c>
      <c r="D612" s="1" t="s">
        <v>25</v>
      </c>
      <c r="E612" s="36">
        <v>43282</v>
      </c>
      <c r="F612" s="36">
        <v>44286</v>
      </c>
      <c r="G612" s="38">
        <f t="shared" si="9"/>
        <v>1004</v>
      </c>
      <c r="H612" s="5">
        <v>43297</v>
      </c>
      <c r="I612" s="5">
        <v>44286</v>
      </c>
      <c r="J612" s="1" t="s">
        <v>41</v>
      </c>
      <c r="K612" s="1" t="s">
        <v>1686</v>
      </c>
      <c r="L612" s="1" t="s">
        <v>1588</v>
      </c>
      <c r="M612" s="1" t="s">
        <v>1589</v>
      </c>
      <c r="N612" s="1" t="s">
        <v>30</v>
      </c>
      <c r="O612" s="1" t="s">
        <v>1687</v>
      </c>
      <c r="P612" s="1" t="s">
        <v>1688</v>
      </c>
      <c r="Q612" s="1" t="s">
        <v>1689</v>
      </c>
      <c r="R612" s="1" t="s">
        <v>26</v>
      </c>
      <c r="S612" s="1"/>
      <c r="U612" s="1" t="s">
        <v>35</v>
      </c>
      <c r="V612" s="1" t="s">
        <v>99</v>
      </c>
      <c r="W612" s="1" t="str">
        <f>VLOOKUP(Table1[[#This Row],[Obergruppe ATC-Code]],Tabelle3!$A$2:$B$100,2)</f>
        <v>MITTEL MIT WIRKUNG AUF DAS RENIN-ANGIOTENSIN-SYSTEM</v>
      </c>
      <c r="X612" s="1" t="str">
        <f xml:space="preserve"> LEFT(Table1[[#This Row],[Atc Code]],3)</f>
        <v>C09</v>
      </c>
    </row>
    <row r="613" spans="1:24" ht="14.4">
      <c r="A613" s="14">
        <v>3071</v>
      </c>
      <c r="B613" s="3" t="s">
        <v>1690</v>
      </c>
      <c r="C613" s="1">
        <v>2178502</v>
      </c>
      <c r="D613" s="1" t="s">
        <v>25</v>
      </c>
      <c r="E613" s="36">
        <v>43282</v>
      </c>
      <c r="F613" s="36">
        <v>44286</v>
      </c>
      <c r="G613" s="38">
        <f t="shared" si="9"/>
        <v>1004</v>
      </c>
      <c r="H613" s="5">
        <v>43297</v>
      </c>
      <c r="I613" s="5">
        <v>44286</v>
      </c>
      <c r="J613" s="1" t="s">
        <v>41</v>
      </c>
      <c r="K613" s="1" t="s">
        <v>1691</v>
      </c>
      <c r="L613" s="1" t="s">
        <v>1588</v>
      </c>
      <c r="M613" s="1" t="s">
        <v>1589</v>
      </c>
      <c r="N613" s="1" t="s">
        <v>30</v>
      </c>
      <c r="O613" s="1" t="s">
        <v>1687</v>
      </c>
      <c r="P613" s="1" t="s">
        <v>1688</v>
      </c>
      <c r="Q613" s="1" t="s">
        <v>1689</v>
      </c>
      <c r="R613" s="1" t="s">
        <v>26</v>
      </c>
      <c r="S613" s="1"/>
      <c r="U613" s="1" t="s">
        <v>35</v>
      </c>
      <c r="V613" s="1" t="s">
        <v>99</v>
      </c>
      <c r="W613" s="1" t="str">
        <f>VLOOKUP(Table1[[#This Row],[Obergruppe ATC-Code]],Tabelle3!$A$2:$B$100,2)</f>
        <v>MITTEL MIT WIRKUNG AUF DAS RENIN-ANGIOTENSIN-SYSTEM</v>
      </c>
      <c r="X613" s="1" t="str">
        <f xml:space="preserve"> LEFT(Table1[[#This Row],[Atc Code]],3)</f>
        <v>C09</v>
      </c>
    </row>
    <row r="614" spans="1:24" ht="14.4">
      <c r="A614" s="14">
        <v>2446</v>
      </c>
      <c r="B614" s="24" t="s">
        <v>1692</v>
      </c>
      <c r="C614" s="1">
        <v>2188890</v>
      </c>
      <c r="D614" s="1" t="s">
        <v>25</v>
      </c>
      <c r="E614" s="36">
        <v>43282</v>
      </c>
      <c r="F614" s="36">
        <v>44286</v>
      </c>
      <c r="G614" s="38">
        <f t="shared" si="9"/>
        <v>1004</v>
      </c>
      <c r="H614" s="5">
        <v>43297</v>
      </c>
      <c r="I614" s="5">
        <v>44286</v>
      </c>
      <c r="J614" s="1" t="s">
        <v>41</v>
      </c>
      <c r="K614" s="1" t="s">
        <v>1693</v>
      </c>
      <c r="L614" s="1" t="s">
        <v>1588</v>
      </c>
      <c r="M614" s="1" t="s">
        <v>1589</v>
      </c>
      <c r="N614" s="1" t="s">
        <v>30</v>
      </c>
      <c r="O614" s="1" t="s">
        <v>1687</v>
      </c>
      <c r="P614" s="1" t="s">
        <v>1688</v>
      </c>
      <c r="Q614" s="1" t="s">
        <v>1689</v>
      </c>
      <c r="R614" s="1" t="s">
        <v>26</v>
      </c>
      <c r="S614" s="1"/>
      <c r="U614" s="1" t="s">
        <v>35</v>
      </c>
      <c r="V614" s="1" t="s">
        <v>99</v>
      </c>
      <c r="W614" s="1" t="str">
        <f>VLOOKUP(Table1[[#This Row],[Obergruppe ATC-Code]],Tabelle3!$A$2:$B$100,2)</f>
        <v>MITTEL MIT WIRKUNG AUF DAS RENIN-ANGIOTENSIN-SYSTEM</v>
      </c>
      <c r="X614" s="1" t="str">
        <f xml:space="preserve"> LEFT(Table1[[#This Row],[Atc Code]],3)</f>
        <v>C09</v>
      </c>
    </row>
    <row r="615" spans="1:24" ht="14.4">
      <c r="A615" s="14">
        <v>2445</v>
      </c>
      <c r="B615" s="24" t="s">
        <v>1694</v>
      </c>
      <c r="C615" s="1">
        <v>2178504</v>
      </c>
      <c r="D615" s="1" t="s">
        <v>25</v>
      </c>
      <c r="E615" s="36">
        <v>43282</v>
      </c>
      <c r="F615" s="36">
        <v>44286</v>
      </c>
      <c r="G615" s="38">
        <f t="shared" si="9"/>
        <v>1004</v>
      </c>
      <c r="H615" s="5">
        <v>43297</v>
      </c>
      <c r="I615" s="5">
        <v>44286</v>
      </c>
      <c r="J615" s="1" t="s">
        <v>41</v>
      </c>
      <c r="K615" s="1" t="s">
        <v>1695</v>
      </c>
      <c r="L615" s="1" t="s">
        <v>1588</v>
      </c>
      <c r="M615" s="1" t="s">
        <v>1589</v>
      </c>
      <c r="N615" s="1" t="s">
        <v>30</v>
      </c>
      <c r="O615" s="1" t="s">
        <v>1687</v>
      </c>
      <c r="P615" s="1" t="s">
        <v>1688</v>
      </c>
      <c r="Q615" s="1" t="s">
        <v>1689</v>
      </c>
      <c r="R615" s="1" t="s">
        <v>26</v>
      </c>
      <c r="S615" s="1"/>
      <c r="U615" s="1" t="s">
        <v>35</v>
      </c>
      <c r="V615" s="1" t="s">
        <v>99</v>
      </c>
      <c r="W615" s="1" t="str">
        <f>VLOOKUP(Table1[[#This Row],[Obergruppe ATC-Code]],Tabelle3!$A$2:$B$100,2)</f>
        <v>MITTEL MIT WIRKUNG AUF DAS RENIN-ANGIOTENSIN-SYSTEM</v>
      </c>
      <c r="X615" s="1" t="str">
        <f xml:space="preserve"> LEFT(Table1[[#This Row],[Atc Code]],3)</f>
        <v>C09</v>
      </c>
    </row>
    <row r="616" spans="1:24" ht="14.4">
      <c r="A616" s="14">
        <v>2477</v>
      </c>
      <c r="B616" s="24" t="s">
        <v>1696</v>
      </c>
      <c r="C616" s="1">
        <v>2181921</v>
      </c>
      <c r="D616" s="1" t="s">
        <v>25</v>
      </c>
      <c r="E616" s="36">
        <v>44409</v>
      </c>
      <c r="F616" s="36">
        <v>44448</v>
      </c>
      <c r="G616" s="38">
        <f t="shared" si="9"/>
        <v>39</v>
      </c>
      <c r="H616" s="5">
        <v>44414</v>
      </c>
      <c r="I616" s="5">
        <v>44452</v>
      </c>
      <c r="J616" s="1" t="s">
        <v>26</v>
      </c>
      <c r="K616" s="1" t="s">
        <v>1605</v>
      </c>
      <c r="L616" s="1" t="s">
        <v>1588</v>
      </c>
      <c r="M616" s="1" t="s">
        <v>1589</v>
      </c>
      <c r="N616" s="1" t="s">
        <v>30</v>
      </c>
      <c r="O616" s="1" t="s">
        <v>1697</v>
      </c>
      <c r="P616" s="1" t="s">
        <v>823</v>
      </c>
      <c r="Q616" s="1" t="s">
        <v>1698</v>
      </c>
      <c r="R616" s="1" t="s">
        <v>26</v>
      </c>
      <c r="S616" s="1"/>
      <c r="U616" s="1" t="s">
        <v>130</v>
      </c>
      <c r="V616" s="1" t="s">
        <v>99</v>
      </c>
      <c r="W616" s="1" t="str">
        <f>VLOOKUP(Table1[[#This Row],[Obergruppe ATC-Code]],Tabelle3!$A$2:$B$100,2)</f>
        <v>MITTEL MIT WIRKUNG AUF DAS RENIN-ANGIOTENSIN-SYSTEM</v>
      </c>
      <c r="X616" s="1" t="str">
        <f xml:space="preserve"> LEFT(Table1[[#This Row],[Atc Code]],3)</f>
        <v>C09</v>
      </c>
    </row>
    <row r="617" spans="1:24" ht="14.4">
      <c r="A617" s="14">
        <v>957</v>
      </c>
      <c r="B617" s="24">
        <v>7758409</v>
      </c>
      <c r="C617" s="1">
        <v>2176197</v>
      </c>
      <c r="D617" s="1" t="s">
        <v>25</v>
      </c>
      <c r="E617" s="36">
        <v>44532</v>
      </c>
      <c r="F617" s="36">
        <v>44574</v>
      </c>
      <c r="G617" s="38">
        <f t="shared" si="9"/>
        <v>42</v>
      </c>
      <c r="H617" s="5">
        <v>44532</v>
      </c>
      <c r="I617" s="5">
        <v>44574</v>
      </c>
      <c r="J617" s="1" t="s">
        <v>26</v>
      </c>
      <c r="K617" s="1" t="s">
        <v>1630</v>
      </c>
      <c r="L617" s="1" t="s">
        <v>1588</v>
      </c>
      <c r="M617" s="1" t="s">
        <v>1589</v>
      </c>
      <c r="N617" s="1" t="s">
        <v>38</v>
      </c>
      <c r="O617" s="1" t="s">
        <v>110</v>
      </c>
      <c r="Q617" s="1" t="s">
        <v>112</v>
      </c>
      <c r="R617" s="1" t="s">
        <v>113</v>
      </c>
      <c r="S617" s="1"/>
      <c r="U617" s="1" t="s">
        <v>130</v>
      </c>
      <c r="V617" s="1" t="s">
        <v>99</v>
      </c>
      <c r="W617" s="1" t="str">
        <f>VLOOKUP(Table1[[#This Row],[Obergruppe ATC-Code]],Tabelle3!$A$2:$B$100,2)</f>
        <v>MITTEL MIT WIRKUNG AUF DAS RENIN-ANGIOTENSIN-SYSTEM</v>
      </c>
      <c r="X617" s="1" t="str">
        <f xml:space="preserve"> LEFT(Table1[[#This Row],[Atc Code]],3)</f>
        <v>C09</v>
      </c>
    </row>
    <row r="618" spans="1:24" ht="14.4">
      <c r="A618" s="14">
        <v>953</v>
      </c>
      <c r="B618" s="24">
        <v>7758349</v>
      </c>
      <c r="C618" s="1">
        <v>2176195</v>
      </c>
      <c r="D618" s="1" t="s">
        <v>25</v>
      </c>
      <c r="E618" s="36">
        <v>44532</v>
      </c>
      <c r="F618" s="36">
        <v>44574</v>
      </c>
      <c r="G618" s="38">
        <f t="shared" si="9"/>
        <v>42</v>
      </c>
      <c r="H618" s="5">
        <v>44532</v>
      </c>
      <c r="I618" s="5">
        <v>44574</v>
      </c>
      <c r="J618" s="1" t="s">
        <v>26</v>
      </c>
      <c r="K618" s="1" t="s">
        <v>1615</v>
      </c>
      <c r="L618" s="1" t="s">
        <v>1588</v>
      </c>
      <c r="M618" s="1" t="s">
        <v>1589</v>
      </c>
      <c r="N618" s="1" t="s">
        <v>38</v>
      </c>
      <c r="O618" s="1" t="s">
        <v>110</v>
      </c>
      <c r="Q618" s="1" t="s">
        <v>112</v>
      </c>
      <c r="R618" s="1" t="s">
        <v>26</v>
      </c>
      <c r="S618" s="1"/>
      <c r="U618" s="1" t="s">
        <v>130</v>
      </c>
      <c r="V618" s="1" t="s">
        <v>99</v>
      </c>
      <c r="W618" s="1" t="str">
        <f>VLOOKUP(Table1[[#This Row],[Obergruppe ATC-Code]],Tabelle3!$A$2:$B$100,2)</f>
        <v>MITTEL MIT WIRKUNG AUF DAS RENIN-ANGIOTENSIN-SYSTEM</v>
      </c>
      <c r="X618" s="1" t="str">
        <f xml:space="preserve"> LEFT(Table1[[#This Row],[Atc Code]],3)</f>
        <v>C09</v>
      </c>
    </row>
    <row r="619" spans="1:24" ht="14.4">
      <c r="A619" s="14">
        <v>955</v>
      </c>
      <c r="B619" s="24">
        <v>7758378</v>
      </c>
      <c r="C619" s="1">
        <v>2176196</v>
      </c>
      <c r="D619" s="1" t="s">
        <v>25</v>
      </c>
      <c r="E619" s="36">
        <v>44532</v>
      </c>
      <c r="F619" s="36">
        <v>44607</v>
      </c>
      <c r="G619" s="38">
        <f t="shared" si="9"/>
        <v>75</v>
      </c>
      <c r="H619" s="5">
        <v>44532</v>
      </c>
      <c r="I619" s="5">
        <v>44607</v>
      </c>
      <c r="J619" s="1" t="s">
        <v>26</v>
      </c>
      <c r="K619" s="1" t="s">
        <v>1631</v>
      </c>
      <c r="L619" s="1" t="s">
        <v>1588</v>
      </c>
      <c r="M619" s="1" t="s">
        <v>1589</v>
      </c>
      <c r="N619" s="1" t="s">
        <v>38</v>
      </c>
      <c r="O619" s="1" t="s">
        <v>110</v>
      </c>
      <c r="Q619" s="1" t="s">
        <v>112</v>
      </c>
      <c r="R619" s="1" t="s">
        <v>26</v>
      </c>
      <c r="S619" s="1"/>
      <c r="U619" s="1" t="s">
        <v>130</v>
      </c>
      <c r="V619" s="1" t="s">
        <v>99</v>
      </c>
      <c r="W619" s="1" t="str">
        <f>VLOOKUP(Table1[[#This Row],[Obergruppe ATC-Code]],Tabelle3!$A$2:$B$100,2)</f>
        <v>MITTEL MIT WIRKUNG AUF DAS RENIN-ANGIOTENSIN-SYSTEM</v>
      </c>
      <c r="X619" s="1" t="str">
        <f xml:space="preserve"> LEFT(Table1[[#This Row],[Atc Code]],3)</f>
        <v>C09</v>
      </c>
    </row>
    <row r="620" spans="1:24" ht="14.4">
      <c r="A620" s="14">
        <v>959</v>
      </c>
      <c r="B620" s="24">
        <v>7758409</v>
      </c>
      <c r="C620" s="1">
        <v>2176197</v>
      </c>
      <c r="D620" s="1" t="s">
        <v>25</v>
      </c>
      <c r="E620" s="36">
        <v>44685</v>
      </c>
      <c r="F620" s="36">
        <v>44701</v>
      </c>
      <c r="G620" s="38">
        <f t="shared" si="9"/>
        <v>16</v>
      </c>
      <c r="H620" s="5">
        <v>44685</v>
      </c>
      <c r="I620" s="5">
        <v>44705</v>
      </c>
      <c r="J620" s="1" t="s">
        <v>26</v>
      </c>
      <c r="K620" s="1" t="s">
        <v>1630</v>
      </c>
      <c r="L620" s="1" t="s">
        <v>1588</v>
      </c>
      <c r="M620" s="1" t="s">
        <v>1589</v>
      </c>
      <c r="N620" s="1" t="s">
        <v>38</v>
      </c>
      <c r="O620" s="1" t="s">
        <v>110</v>
      </c>
      <c r="P620" s="1">
        <v>49733396510</v>
      </c>
      <c r="R620" s="1" t="s">
        <v>113</v>
      </c>
      <c r="S620" s="1" t="s">
        <v>647</v>
      </c>
      <c r="U620" s="1" t="s">
        <v>130</v>
      </c>
      <c r="V620" s="1" t="s">
        <v>99</v>
      </c>
      <c r="W620" s="1" t="str">
        <f>VLOOKUP(Table1[[#This Row],[Obergruppe ATC-Code]],Tabelle3!$A$2:$B$100,2)</f>
        <v>MITTEL MIT WIRKUNG AUF DAS RENIN-ANGIOTENSIN-SYSTEM</v>
      </c>
      <c r="X620" s="1" t="str">
        <f xml:space="preserve"> LEFT(Table1[[#This Row],[Atc Code]],3)</f>
        <v>C09</v>
      </c>
    </row>
    <row r="621" spans="1:24" ht="14.4">
      <c r="A621" s="14">
        <v>2482</v>
      </c>
      <c r="B621" s="24" t="s">
        <v>1699</v>
      </c>
      <c r="C621" s="1">
        <v>2181707</v>
      </c>
      <c r="D621" s="1" t="s">
        <v>102</v>
      </c>
      <c r="E621" s="36">
        <v>44524</v>
      </c>
      <c r="F621" s="36">
        <v>45291</v>
      </c>
      <c r="G621" s="38">
        <f t="shared" si="9"/>
        <v>767</v>
      </c>
      <c r="H621" s="5">
        <v>44524</v>
      </c>
      <c r="I621" s="5">
        <v>44930</v>
      </c>
      <c r="J621" s="1" t="s">
        <v>41</v>
      </c>
      <c r="K621" s="1" t="s">
        <v>1681</v>
      </c>
      <c r="L621" s="1" t="s">
        <v>1588</v>
      </c>
      <c r="M621" s="1" t="s">
        <v>1589</v>
      </c>
      <c r="N621" s="1" t="s">
        <v>38</v>
      </c>
      <c r="O621" s="1" t="s">
        <v>1682</v>
      </c>
      <c r="P621" s="1">
        <v>49602394800</v>
      </c>
      <c r="Q621" s="1" t="s">
        <v>1684</v>
      </c>
      <c r="R621" s="1" t="s">
        <v>128</v>
      </c>
      <c r="S621" s="1"/>
      <c r="U621" s="1" t="s">
        <v>130</v>
      </c>
      <c r="V621" s="1" t="s">
        <v>99</v>
      </c>
      <c r="W621" s="1" t="str">
        <f>VLOOKUP(Table1[[#This Row],[Obergruppe ATC-Code]],Tabelle3!$A$2:$B$100,2)</f>
        <v>MITTEL MIT WIRKUNG AUF DAS RENIN-ANGIOTENSIN-SYSTEM</v>
      </c>
      <c r="X621" s="1" t="str">
        <f xml:space="preserve"> LEFT(Table1[[#This Row],[Atc Code]],3)</f>
        <v>C09</v>
      </c>
    </row>
    <row r="622" spans="1:24" ht="15" customHeight="1">
      <c r="A622" s="14">
        <v>2481</v>
      </c>
      <c r="B622" s="24" t="s">
        <v>1700</v>
      </c>
      <c r="C622" s="1">
        <v>2181706</v>
      </c>
      <c r="D622" s="1" t="s">
        <v>102</v>
      </c>
      <c r="E622" s="36">
        <v>43282</v>
      </c>
      <c r="F622" s="36">
        <v>45291</v>
      </c>
      <c r="G622" s="38">
        <f t="shared" si="9"/>
        <v>2009</v>
      </c>
      <c r="H622" s="5">
        <v>43297</v>
      </c>
      <c r="I622" s="5">
        <v>44930</v>
      </c>
      <c r="J622" s="1" t="s">
        <v>41</v>
      </c>
      <c r="K622" s="1" t="s">
        <v>1701</v>
      </c>
      <c r="L622" s="1" t="s">
        <v>1588</v>
      </c>
      <c r="M622" s="1" t="s">
        <v>1589</v>
      </c>
      <c r="N622" s="1" t="s">
        <v>30</v>
      </c>
      <c r="O622" s="1" t="s">
        <v>1682</v>
      </c>
      <c r="P622" s="1" t="s">
        <v>1683</v>
      </c>
      <c r="Q622" s="1" t="s">
        <v>1684</v>
      </c>
      <c r="R622" s="1" t="s">
        <v>48</v>
      </c>
      <c r="S622" s="1"/>
      <c r="U622" s="1" t="s">
        <v>35</v>
      </c>
      <c r="V622" s="1" t="s">
        <v>99</v>
      </c>
      <c r="W622" s="1" t="str">
        <f>VLOOKUP(Table1[[#This Row],[Obergruppe ATC-Code]],Tabelle3!$A$2:$B$100,2)</f>
        <v>MITTEL MIT WIRKUNG AUF DAS RENIN-ANGIOTENSIN-SYSTEM</v>
      </c>
      <c r="X622" s="1" t="str">
        <f xml:space="preserve"> LEFT(Table1[[#This Row],[Atc Code]],3)</f>
        <v>C09</v>
      </c>
    </row>
    <row r="623" spans="1:24" ht="14.4">
      <c r="A623" s="14">
        <v>958</v>
      </c>
      <c r="B623" s="24">
        <v>7758409</v>
      </c>
      <c r="C623" s="1">
        <v>2176197</v>
      </c>
      <c r="D623" s="1" t="s">
        <v>175</v>
      </c>
      <c r="E623" s="36">
        <v>45204</v>
      </c>
      <c r="F623" s="36">
        <v>45244</v>
      </c>
      <c r="G623" s="38">
        <f t="shared" si="9"/>
        <v>40</v>
      </c>
      <c r="H623" s="5">
        <v>45204</v>
      </c>
      <c r="I623" s="5">
        <v>45204</v>
      </c>
      <c r="J623" s="1" t="s">
        <v>26</v>
      </c>
      <c r="K623" s="1" t="s">
        <v>1630</v>
      </c>
      <c r="L623" s="1" t="s">
        <v>1588</v>
      </c>
      <c r="M623" s="1" t="s">
        <v>1589</v>
      </c>
      <c r="N623" s="1" t="s">
        <v>38</v>
      </c>
      <c r="O623" s="1" t="s">
        <v>110</v>
      </c>
      <c r="P623" s="1">
        <v>49733396510</v>
      </c>
      <c r="Q623" s="1" t="s">
        <v>112</v>
      </c>
      <c r="R623" s="1" t="s">
        <v>113</v>
      </c>
      <c r="S623" s="1"/>
      <c r="U623" s="1" t="s">
        <v>130</v>
      </c>
      <c r="V623" s="1" t="s">
        <v>99</v>
      </c>
      <c r="W623" s="1" t="str">
        <f>VLOOKUP(Table1[[#This Row],[Obergruppe ATC-Code]],Tabelle3!$A$2:$B$100,2)</f>
        <v>MITTEL MIT WIRKUNG AUF DAS RENIN-ANGIOTENSIN-SYSTEM</v>
      </c>
      <c r="X623" s="1" t="str">
        <f xml:space="preserve"> LEFT(Table1[[#This Row],[Atc Code]],3)</f>
        <v>C09</v>
      </c>
    </row>
    <row r="624" spans="1:24" ht="14.4">
      <c r="A624" s="14">
        <v>2492</v>
      </c>
      <c r="B624" s="24" t="s">
        <v>1702</v>
      </c>
      <c r="C624" s="1">
        <v>2181763</v>
      </c>
      <c r="D624" s="1" t="s">
        <v>25</v>
      </c>
      <c r="E624" s="36">
        <v>43770</v>
      </c>
      <c r="F624" s="36">
        <v>43861</v>
      </c>
      <c r="G624" s="38">
        <f t="shared" si="9"/>
        <v>91</v>
      </c>
      <c r="H624" s="5">
        <v>43788</v>
      </c>
      <c r="I624" s="5">
        <v>43840</v>
      </c>
      <c r="J624" s="1" t="s">
        <v>26</v>
      </c>
      <c r="K624" s="1" t="s">
        <v>1703</v>
      </c>
      <c r="L624" s="1" t="s">
        <v>1704</v>
      </c>
      <c r="M624" s="1" t="s">
        <v>1705</v>
      </c>
      <c r="N624" s="1" t="s">
        <v>30</v>
      </c>
      <c r="O624" s="1" t="s">
        <v>123</v>
      </c>
      <c r="P624" s="1" t="s">
        <v>124</v>
      </c>
      <c r="Q624" s="1" t="s">
        <v>125</v>
      </c>
      <c r="R624" s="1" t="s">
        <v>33</v>
      </c>
      <c r="S624" s="1"/>
      <c r="U624" s="1" t="s">
        <v>35</v>
      </c>
      <c r="V624" s="1" t="s">
        <v>49</v>
      </c>
      <c r="W624" s="1" t="str">
        <f>VLOOKUP(Table1[[#This Row],[Obergruppe ATC-Code]],Tabelle3!$A$2:$B$100,2)</f>
        <v>MITTEL MIT WIRKUNG AUF DAS RENIN-ANGIOTENSIN-SYSTEM</v>
      </c>
      <c r="X624" s="1" t="str">
        <f xml:space="preserve"> LEFT(Table1[[#This Row],[Atc Code]],3)</f>
        <v>C09</v>
      </c>
    </row>
    <row r="625" spans="1:24" ht="14.4">
      <c r="A625" s="14">
        <v>2506</v>
      </c>
      <c r="B625" s="24" t="s">
        <v>1706</v>
      </c>
      <c r="C625" s="1">
        <v>2187303</v>
      </c>
      <c r="D625" s="1" t="s">
        <v>25</v>
      </c>
      <c r="E625" s="36">
        <v>43770</v>
      </c>
      <c r="F625" s="36">
        <v>43861</v>
      </c>
      <c r="G625" s="38">
        <f t="shared" si="9"/>
        <v>91</v>
      </c>
      <c r="H625" s="5">
        <v>43789</v>
      </c>
      <c r="I625" s="5">
        <v>43844</v>
      </c>
      <c r="J625" s="1" t="s">
        <v>26</v>
      </c>
      <c r="K625" s="1" t="s">
        <v>1707</v>
      </c>
      <c r="L625" s="1" t="s">
        <v>1704</v>
      </c>
      <c r="M625" s="1" t="s">
        <v>1705</v>
      </c>
      <c r="N625" s="1" t="s">
        <v>30</v>
      </c>
      <c r="O625" s="1" t="s">
        <v>1687</v>
      </c>
      <c r="P625" s="1" t="s">
        <v>1708</v>
      </c>
      <c r="Q625" s="1" t="s">
        <v>1689</v>
      </c>
      <c r="R625" s="1" t="s">
        <v>33</v>
      </c>
      <c r="S625" s="1"/>
      <c r="U625" s="1" t="s">
        <v>35</v>
      </c>
      <c r="V625" s="1" t="s">
        <v>49</v>
      </c>
      <c r="W625" s="1" t="str">
        <f>VLOOKUP(Table1[[#This Row],[Obergruppe ATC-Code]],Tabelle3!$A$2:$B$100,2)</f>
        <v>MITTEL MIT WIRKUNG AUF DAS RENIN-ANGIOTENSIN-SYSTEM</v>
      </c>
      <c r="X625" s="1" t="str">
        <f xml:space="preserve"> LEFT(Table1[[#This Row],[Atc Code]],3)</f>
        <v>C09</v>
      </c>
    </row>
    <row r="626" spans="1:24" ht="14.4">
      <c r="A626" s="14">
        <v>2505</v>
      </c>
      <c r="B626" s="24" t="s">
        <v>1706</v>
      </c>
      <c r="C626" s="1">
        <v>2187303</v>
      </c>
      <c r="D626" s="1" t="s">
        <v>25</v>
      </c>
      <c r="E626" s="36">
        <v>43831</v>
      </c>
      <c r="F626" s="36">
        <v>43921</v>
      </c>
      <c r="G626" s="38">
        <f t="shared" si="9"/>
        <v>90</v>
      </c>
      <c r="H626" s="5">
        <v>43854</v>
      </c>
      <c r="I626" s="5">
        <v>43906</v>
      </c>
      <c r="J626" s="1" t="s">
        <v>26</v>
      </c>
      <c r="K626" s="1" t="s">
        <v>1707</v>
      </c>
      <c r="L626" s="1" t="s">
        <v>1704</v>
      </c>
      <c r="M626" s="1" t="s">
        <v>1705</v>
      </c>
      <c r="N626" s="1" t="s">
        <v>30</v>
      </c>
      <c r="O626" s="1" t="s">
        <v>1687</v>
      </c>
      <c r="P626" s="1" t="s">
        <v>1708</v>
      </c>
      <c r="Q626" s="1" t="s">
        <v>1689</v>
      </c>
      <c r="R626" s="1" t="s">
        <v>33</v>
      </c>
      <c r="S626" s="1"/>
      <c r="U626" s="1" t="s">
        <v>35</v>
      </c>
      <c r="V626" s="1" t="s">
        <v>49</v>
      </c>
      <c r="W626" s="1" t="str">
        <f>VLOOKUP(Table1[[#This Row],[Obergruppe ATC-Code]],Tabelle3!$A$2:$B$100,2)</f>
        <v>MITTEL MIT WIRKUNG AUF DAS RENIN-ANGIOTENSIN-SYSTEM</v>
      </c>
      <c r="X626" s="1" t="str">
        <f xml:space="preserve"> LEFT(Table1[[#This Row],[Atc Code]],3)</f>
        <v>C09</v>
      </c>
    </row>
    <row r="627" spans="1:24" ht="14.4">
      <c r="A627" s="14">
        <v>2503</v>
      </c>
      <c r="B627" s="24" t="s">
        <v>1709</v>
      </c>
      <c r="C627" s="1">
        <v>2187302</v>
      </c>
      <c r="D627" s="1" t="s">
        <v>25</v>
      </c>
      <c r="E627" s="36">
        <v>43831</v>
      </c>
      <c r="F627" s="36">
        <v>44012</v>
      </c>
      <c r="G627" s="38">
        <f t="shared" si="9"/>
        <v>181</v>
      </c>
      <c r="H627" s="5">
        <v>43854</v>
      </c>
      <c r="I627" s="5">
        <v>43963</v>
      </c>
      <c r="J627" s="1" t="s">
        <v>26</v>
      </c>
      <c r="K627" s="1" t="s">
        <v>1710</v>
      </c>
      <c r="L627" s="1" t="s">
        <v>1704</v>
      </c>
      <c r="M627" s="1" t="s">
        <v>1705</v>
      </c>
      <c r="N627" s="1" t="s">
        <v>30</v>
      </c>
      <c r="O627" s="1" t="s">
        <v>1687</v>
      </c>
      <c r="P627" s="1" t="s">
        <v>1708</v>
      </c>
      <c r="Q627" s="1" t="s">
        <v>1689</v>
      </c>
      <c r="R627" s="1" t="s">
        <v>33</v>
      </c>
      <c r="S627" s="1"/>
      <c r="U627" s="1" t="s">
        <v>35</v>
      </c>
      <c r="V627" s="1" t="s">
        <v>49</v>
      </c>
      <c r="W627" s="1" t="str">
        <f>VLOOKUP(Table1[[#This Row],[Obergruppe ATC-Code]],Tabelle3!$A$2:$B$100,2)</f>
        <v>MITTEL MIT WIRKUNG AUF DAS RENIN-ANGIOTENSIN-SYSTEM</v>
      </c>
      <c r="X627" s="1" t="str">
        <f xml:space="preserve"> LEFT(Table1[[#This Row],[Atc Code]],3)</f>
        <v>C09</v>
      </c>
    </row>
    <row r="628" spans="1:24" ht="14.4">
      <c r="A628" s="14">
        <v>2504</v>
      </c>
      <c r="B628" s="24" t="s">
        <v>1706</v>
      </c>
      <c r="C628" s="1">
        <v>2187303</v>
      </c>
      <c r="D628" s="1" t="s">
        <v>25</v>
      </c>
      <c r="E628" s="36">
        <v>43952</v>
      </c>
      <c r="F628" s="36">
        <v>44012</v>
      </c>
      <c r="G628" s="38">
        <f t="shared" si="9"/>
        <v>60</v>
      </c>
      <c r="H628" s="5">
        <v>43978</v>
      </c>
      <c r="I628" s="5">
        <v>43991</v>
      </c>
      <c r="J628" s="1" t="s">
        <v>26</v>
      </c>
      <c r="K628" s="1" t="s">
        <v>1707</v>
      </c>
      <c r="L628" s="1" t="s">
        <v>1704</v>
      </c>
      <c r="M628" s="1" t="s">
        <v>1705</v>
      </c>
      <c r="N628" s="1" t="s">
        <v>30</v>
      </c>
      <c r="O628" s="1" t="s">
        <v>1687</v>
      </c>
      <c r="P628" s="1" t="s">
        <v>1708</v>
      </c>
      <c r="Q628" s="1" t="s">
        <v>1689</v>
      </c>
      <c r="R628" s="1" t="s">
        <v>33</v>
      </c>
      <c r="S628" s="1"/>
      <c r="U628" s="1" t="s">
        <v>35</v>
      </c>
      <c r="V628" s="1" t="s">
        <v>49</v>
      </c>
      <c r="W628" s="1" t="str">
        <f>VLOOKUP(Table1[[#This Row],[Obergruppe ATC-Code]],Tabelle3!$A$2:$B$100,2)</f>
        <v>MITTEL MIT WIRKUNG AUF DAS RENIN-ANGIOTENSIN-SYSTEM</v>
      </c>
      <c r="X628" s="1" t="str">
        <f xml:space="preserve"> LEFT(Table1[[#This Row],[Atc Code]],3)</f>
        <v>C09</v>
      </c>
    </row>
    <row r="629" spans="1:24" ht="14.4">
      <c r="A629" s="14">
        <v>2490</v>
      </c>
      <c r="B629" s="24" t="s">
        <v>1711</v>
      </c>
      <c r="C629" s="1">
        <v>2181761</v>
      </c>
      <c r="D629" s="1" t="s">
        <v>25</v>
      </c>
      <c r="E629" s="36">
        <v>43770</v>
      </c>
      <c r="F629" s="36">
        <v>44012</v>
      </c>
      <c r="G629" s="38">
        <f t="shared" si="9"/>
        <v>242</v>
      </c>
      <c r="H629" s="5">
        <v>43788</v>
      </c>
      <c r="I629" s="5">
        <v>43992</v>
      </c>
      <c r="J629" s="1" t="s">
        <v>26</v>
      </c>
      <c r="K629" s="1" t="s">
        <v>1712</v>
      </c>
      <c r="L629" s="1" t="s">
        <v>1704</v>
      </c>
      <c r="M629" s="1" t="s">
        <v>1705</v>
      </c>
      <c r="N629" s="1" t="s">
        <v>30</v>
      </c>
      <c r="O629" s="1" t="s">
        <v>123</v>
      </c>
      <c r="P629" s="1" t="s">
        <v>124</v>
      </c>
      <c r="Q629" s="1" t="s">
        <v>125</v>
      </c>
      <c r="R629" s="1" t="s">
        <v>33</v>
      </c>
      <c r="S629" s="1"/>
      <c r="U629" s="1" t="s">
        <v>35</v>
      </c>
      <c r="V629" s="1" t="s">
        <v>49</v>
      </c>
      <c r="W629" s="1" t="str">
        <f>VLOOKUP(Table1[[#This Row],[Obergruppe ATC-Code]],Tabelle3!$A$2:$B$100,2)</f>
        <v>MITTEL MIT WIRKUNG AUF DAS RENIN-ANGIOTENSIN-SYSTEM</v>
      </c>
      <c r="X629" s="1" t="str">
        <f xml:space="preserve"> LEFT(Table1[[#This Row],[Atc Code]],3)</f>
        <v>C09</v>
      </c>
    </row>
    <row r="630" spans="1:24" ht="14.4">
      <c r="A630" s="14">
        <v>2501</v>
      </c>
      <c r="B630" s="24" t="s">
        <v>1713</v>
      </c>
      <c r="C630" s="1">
        <v>2187301</v>
      </c>
      <c r="D630" s="1" t="s">
        <v>25</v>
      </c>
      <c r="E630" s="36">
        <v>43952</v>
      </c>
      <c r="F630" s="36">
        <v>44074</v>
      </c>
      <c r="G630" s="38">
        <f t="shared" si="9"/>
        <v>122</v>
      </c>
      <c r="H630" s="5">
        <v>43978</v>
      </c>
      <c r="I630" s="5">
        <v>44046</v>
      </c>
      <c r="J630" s="1" t="s">
        <v>26</v>
      </c>
      <c r="K630" s="1" t="s">
        <v>1714</v>
      </c>
      <c r="L630" s="1" t="s">
        <v>1704</v>
      </c>
      <c r="M630" s="1" t="s">
        <v>1705</v>
      </c>
      <c r="N630" s="1" t="s">
        <v>30</v>
      </c>
      <c r="O630" s="1" t="s">
        <v>1687</v>
      </c>
      <c r="P630" s="1" t="s">
        <v>1708</v>
      </c>
      <c r="Q630" s="1" t="s">
        <v>1689</v>
      </c>
      <c r="R630" s="1" t="s">
        <v>33</v>
      </c>
      <c r="S630" s="1"/>
      <c r="U630" s="1" t="s">
        <v>35</v>
      </c>
      <c r="V630" s="1" t="s">
        <v>49</v>
      </c>
      <c r="W630" s="1" t="str">
        <f>VLOOKUP(Table1[[#This Row],[Obergruppe ATC-Code]],Tabelle3!$A$2:$B$100,2)</f>
        <v>MITTEL MIT WIRKUNG AUF DAS RENIN-ANGIOTENSIN-SYSTEM</v>
      </c>
      <c r="X630" s="1" t="str">
        <f xml:space="preserve"> LEFT(Table1[[#This Row],[Atc Code]],3)</f>
        <v>C09</v>
      </c>
    </row>
    <row r="631" spans="1:24" ht="14.4">
      <c r="A631" s="14">
        <v>2493</v>
      </c>
      <c r="B631" s="24" t="s">
        <v>1715</v>
      </c>
      <c r="C631" s="1">
        <v>2181762</v>
      </c>
      <c r="D631" s="1" t="s">
        <v>25</v>
      </c>
      <c r="E631" s="36">
        <v>43770</v>
      </c>
      <c r="F631" s="36">
        <v>44074</v>
      </c>
      <c r="G631" s="38">
        <f t="shared" si="9"/>
        <v>304</v>
      </c>
      <c r="H631" s="5">
        <v>43788</v>
      </c>
      <c r="I631" s="5">
        <v>44047</v>
      </c>
      <c r="J631" s="1" t="s">
        <v>26</v>
      </c>
      <c r="K631" s="1" t="s">
        <v>1716</v>
      </c>
      <c r="L631" s="1" t="s">
        <v>1704</v>
      </c>
      <c r="M631" s="1" t="s">
        <v>1705</v>
      </c>
      <c r="N631" s="1" t="s">
        <v>30</v>
      </c>
      <c r="O631" s="1" t="s">
        <v>123</v>
      </c>
      <c r="P631" s="1" t="s">
        <v>124</v>
      </c>
      <c r="Q631" s="1" t="s">
        <v>125</v>
      </c>
      <c r="R631" s="1" t="s">
        <v>33</v>
      </c>
      <c r="S631" s="1"/>
      <c r="U631" s="1" t="s">
        <v>35</v>
      </c>
      <c r="V631" s="1" t="s">
        <v>49</v>
      </c>
      <c r="W631" s="1" t="str">
        <f>VLOOKUP(Table1[[#This Row],[Obergruppe ATC-Code]],Tabelle3!$A$2:$B$100,2)</f>
        <v>MITTEL MIT WIRKUNG AUF DAS RENIN-ANGIOTENSIN-SYSTEM</v>
      </c>
      <c r="X631" s="1" t="str">
        <f xml:space="preserve"> LEFT(Table1[[#This Row],[Atc Code]],3)</f>
        <v>C09</v>
      </c>
    </row>
    <row r="632" spans="1:24" ht="14.4">
      <c r="A632" s="14">
        <v>2507</v>
      </c>
      <c r="B632" s="24" t="s">
        <v>1717</v>
      </c>
      <c r="C632" s="1">
        <v>2187304</v>
      </c>
      <c r="D632" s="1" t="s">
        <v>25</v>
      </c>
      <c r="E632" s="36">
        <v>43800</v>
      </c>
      <c r="F632" s="36">
        <v>44074</v>
      </c>
      <c r="G632" s="38">
        <f t="shared" si="9"/>
        <v>274</v>
      </c>
      <c r="H632" s="5">
        <v>43815</v>
      </c>
      <c r="I632" s="5">
        <v>44055</v>
      </c>
      <c r="J632" s="1" t="s">
        <v>26</v>
      </c>
      <c r="K632" s="1" t="s">
        <v>1718</v>
      </c>
      <c r="L632" s="1" t="s">
        <v>1704</v>
      </c>
      <c r="M632" s="1" t="s">
        <v>1705</v>
      </c>
      <c r="N632" s="1" t="s">
        <v>30</v>
      </c>
      <c r="O632" s="1" t="s">
        <v>1687</v>
      </c>
      <c r="P632" s="1" t="s">
        <v>1708</v>
      </c>
      <c r="Q632" s="1" t="s">
        <v>1689</v>
      </c>
      <c r="R632" s="1" t="s">
        <v>33</v>
      </c>
      <c r="S632" s="1"/>
      <c r="U632" s="1" t="s">
        <v>35</v>
      </c>
      <c r="V632" s="1" t="s">
        <v>49</v>
      </c>
      <c r="W632" s="1" t="str">
        <f>VLOOKUP(Table1[[#This Row],[Obergruppe ATC-Code]],Tabelle3!$A$2:$B$100,2)</f>
        <v>MITTEL MIT WIRKUNG AUF DAS RENIN-ANGIOTENSIN-SYSTEM</v>
      </c>
      <c r="X632" s="1" t="str">
        <f xml:space="preserve"> LEFT(Table1[[#This Row],[Atc Code]],3)</f>
        <v>C09</v>
      </c>
    </row>
    <row r="633" spans="1:24" ht="14.4">
      <c r="A633" s="14">
        <v>2502</v>
      </c>
      <c r="B633" s="24" t="s">
        <v>1709</v>
      </c>
      <c r="C633" s="1">
        <v>2187302</v>
      </c>
      <c r="D633" s="1" t="s">
        <v>25</v>
      </c>
      <c r="E633" s="36">
        <v>43983</v>
      </c>
      <c r="F633" s="36">
        <v>44074</v>
      </c>
      <c r="G633" s="38">
        <f t="shared" si="9"/>
        <v>91</v>
      </c>
      <c r="H633" s="5">
        <v>43991</v>
      </c>
      <c r="I633" s="5">
        <v>44055</v>
      </c>
      <c r="J633" s="1" t="s">
        <v>26</v>
      </c>
      <c r="K633" s="1" t="s">
        <v>1710</v>
      </c>
      <c r="L633" s="1" t="s">
        <v>1704</v>
      </c>
      <c r="M633" s="1" t="s">
        <v>1705</v>
      </c>
      <c r="N633" s="1" t="s">
        <v>30</v>
      </c>
      <c r="O633" s="1" t="s">
        <v>1687</v>
      </c>
      <c r="P633" s="1" t="s">
        <v>1708</v>
      </c>
      <c r="Q633" s="1" t="s">
        <v>1689</v>
      </c>
      <c r="R633" s="1" t="s">
        <v>33</v>
      </c>
      <c r="S633" s="1"/>
      <c r="U633" s="1" t="s">
        <v>35</v>
      </c>
      <c r="V633" s="1" t="s">
        <v>49</v>
      </c>
      <c r="W633" s="1" t="str">
        <f>VLOOKUP(Table1[[#This Row],[Obergruppe ATC-Code]],Tabelle3!$A$2:$B$100,2)</f>
        <v>MITTEL MIT WIRKUNG AUF DAS RENIN-ANGIOTENSIN-SYSTEM</v>
      </c>
      <c r="X633" s="1" t="str">
        <f xml:space="preserve"> LEFT(Table1[[#This Row],[Atc Code]],3)</f>
        <v>C09</v>
      </c>
    </row>
    <row r="634" spans="1:24" ht="14.4">
      <c r="A634" s="14">
        <v>2489</v>
      </c>
      <c r="B634" s="24" t="s">
        <v>1719</v>
      </c>
      <c r="C634" s="1">
        <v>2181760</v>
      </c>
      <c r="D634" s="1" t="s">
        <v>25</v>
      </c>
      <c r="E634" s="36">
        <v>43800</v>
      </c>
      <c r="F634" s="36">
        <v>44104</v>
      </c>
      <c r="G634" s="38">
        <f t="shared" si="9"/>
        <v>304</v>
      </c>
      <c r="H634" s="5">
        <v>43788</v>
      </c>
      <c r="I634" s="5">
        <v>44077</v>
      </c>
      <c r="J634" s="1" t="s">
        <v>26</v>
      </c>
      <c r="K634" s="1" t="s">
        <v>1720</v>
      </c>
      <c r="L634" s="1" t="s">
        <v>1704</v>
      </c>
      <c r="M634" s="1" t="s">
        <v>1705</v>
      </c>
      <c r="N634" s="1" t="s">
        <v>30</v>
      </c>
      <c r="O634" s="1" t="s">
        <v>123</v>
      </c>
      <c r="P634" s="1" t="s">
        <v>124</v>
      </c>
      <c r="Q634" s="1" t="s">
        <v>125</v>
      </c>
      <c r="R634" s="1" t="s">
        <v>33</v>
      </c>
      <c r="S634" s="1"/>
      <c r="U634" s="1" t="s">
        <v>35</v>
      </c>
      <c r="V634" s="1" t="s">
        <v>49</v>
      </c>
      <c r="W634" s="1" t="str">
        <f>VLOOKUP(Table1[[#This Row],[Obergruppe ATC-Code]],Tabelle3!$A$2:$B$100,2)</f>
        <v>MITTEL MIT WIRKUNG AUF DAS RENIN-ANGIOTENSIN-SYSTEM</v>
      </c>
      <c r="X634" s="1" t="str">
        <f xml:space="preserve"> LEFT(Table1[[#This Row],[Atc Code]],3)</f>
        <v>C09</v>
      </c>
    </row>
    <row r="635" spans="1:24" ht="14.4">
      <c r="A635" s="14">
        <v>2458</v>
      </c>
      <c r="B635" s="24" t="s">
        <v>1721</v>
      </c>
      <c r="C635" s="1">
        <v>2177014</v>
      </c>
      <c r="D635" s="1" t="s">
        <v>25</v>
      </c>
      <c r="E635" s="36">
        <v>43891</v>
      </c>
      <c r="F635" s="36">
        <v>44135</v>
      </c>
      <c r="G635" s="38">
        <f t="shared" si="9"/>
        <v>244</v>
      </c>
      <c r="H635" s="5">
        <v>43917</v>
      </c>
      <c r="I635" s="5">
        <v>44138</v>
      </c>
      <c r="J635" s="1" t="s">
        <v>26</v>
      </c>
      <c r="K635" s="1" t="s">
        <v>1722</v>
      </c>
      <c r="L635" s="1" t="s">
        <v>1704</v>
      </c>
      <c r="M635" s="1" t="s">
        <v>1705</v>
      </c>
      <c r="N635" s="1" t="s">
        <v>38</v>
      </c>
      <c r="O635" s="1" t="s">
        <v>117</v>
      </c>
      <c r="P635" s="1" t="s">
        <v>104</v>
      </c>
      <c r="Q635" s="1" t="s">
        <v>105</v>
      </c>
      <c r="R635" s="1" t="s">
        <v>33</v>
      </c>
      <c r="S635" s="1"/>
      <c r="U635" s="1" t="s">
        <v>35</v>
      </c>
      <c r="V635" s="1" t="s">
        <v>49</v>
      </c>
      <c r="W635" s="1" t="str">
        <f>VLOOKUP(Table1[[#This Row],[Obergruppe ATC-Code]],Tabelle3!$A$2:$B$100,2)</f>
        <v>MITTEL MIT WIRKUNG AUF DAS RENIN-ANGIOTENSIN-SYSTEM</v>
      </c>
      <c r="X635" s="1" t="str">
        <f xml:space="preserve"> LEFT(Table1[[#This Row],[Atc Code]],3)</f>
        <v>C09</v>
      </c>
    </row>
    <row r="636" spans="1:24" ht="14.4">
      <c r="A636" s="14">
        <v>2434</v>
      </c>
      <c r="B636" s="24" t="s">
        <v>1723</v>
      </c>
      <c r="C636" s="1">
        <v>2176910</v>
      </c>
      <c r="D636" s="1" t="s">
        <v>25</v>
      </c>
      <c r="E636" s="36">
        <v>43891</v>
      </c>
      <c r="F636" s="36">
        <v>44196</v>
      </c>
      <c r="G636" s="38">
        <f t="shared" si="9"/>
        <v>305</v>
      </c>
      <c r="H636" s="5">
        <v>43917</v>
      </c>
      <c r="I636" s="5">
        <v>44138</v>
      </c>
      <c r="J636" s="1" t="s">
        <v>26</v>
      </c>
      <c r="K636" s="1" t="s">
        <v>1724</v>
      </c>
      <c r="L636" s="1" t="s">
        <v>1704</v>
      </c>
      <c r="M636" s="1" t="s">
        <v>1705</v>
      </c>
      <c r="N636" s="1" t="s">
        <v>30</v>
      </c>
      <c r="O636" s="1" t="s">
        <v>45</v>
      </c>
      <c r="P636" s="1" t="s">
        <v>104</v>
      </c>
      <c r="Q636" s="1" t="s">
        <v>105</v>
      </c>
      <c r="R636" s="1" t="s">
        <v>33</v>
      </c>
      <c r="S636" s="1"/>
      <c r="U636" s="1" t="s">
        <v>35</v>
      </c>
      <c r="V636" s="1" t="s">
        <v>49</v>
      </c>
      <c r="W636" s="1" t="str">
        <f>VLOOKUP(Table1[[#This Row],[Obergruppe ATC-Code]],Tabelle3!$A$2:$B$100,2)</f>
        <v>MITTEL MIT WIRKUNG AUF DAS RENIN-ANGIOTENSIN-SYSTEM</v>
      </c>
      <c r="X636" s="1" t="str">
        <f xml:space="preserve"> LEFT(Table1[[#This Row],[Atc Code]],3)</f>
        <v>C09</v>
      </c>
    </row>
    <row r="637" spans="1:24" ht="14.4">
      <c r="A637" s="14">
        <v>2491</v>
      </c>
      <c r="B637" s="24" t="s">
        <v>1702</v>
      </c>
      <c r="C637" s="1">
        <v>2181763</v>
      </c>
      <c r="D637" s="1" t="s">
        <v>25</v>
      </c>
      <c r="E637" s="36">
        <v>43891</v>
      </c>
      <c r="F637" s="36">
        <v>44165</v>
      </c>
      <c r="G637" s="38">
        <f t="shared" si="9"/>
        <v>274</v>
      </c>
      <c r="H637" s="5">
        <v>43936</v>
      </c>
      <c r="I637" s="5">
        <v>44139</v>
      </c>
      <c r="J637" s="1" t="s">
        <v>26</v>
      </c>
      <c r="K637" s="1" t="s">
        <v>1703</v>
      </c>
      <c r="L637" s="1" t="s">
        <v>1704</v>
      </c>
      <c r="M637" s="1" t="s">
        <v>1705</v>
      </c>
      <c r="N637" s="1" t="s">
        <v>30</v>
      </c>
      <c r="O637" s="1" t="s">
        <v>123</v>
      </c>
      <c r="P637" s="1" t="s">
        <v>124</v>
      </c>
      <c r="Q637" s="1" t="s">
        <v>125</v>
      </c>
      <c r="R637" s="1" t="s">
        <v>33</v>
      </c>
      <c r="S637" s="1"/>
      <c r="U637" s="1" t="s">
        <v>35</v>
      </c>
      <c r="V637" s="1" t="s">
        <v>49</v>
      </c>
      <c r="W637" s="1" t="str">
        <f>VLOOKUP(Table1[[#This Row],[Obergruppe ATC-Code]],Tabelle3!$A$2:$B$100,2)</f>
        <v>MITTEL MIT WIRKUNG AUF DAS RENIN-ANGIOTENSIN-SYSTEM</v>
      </c>
      <c r="X637" s="1" t="str">
        <f xml:space="preserve"> LEFT(Table1[[#This Row],[Atc Code]],3)</f>
        <v>C09</v>
      </c>
    </row>
    <row r="638" spans="1:24" ht="14.4">
      <c r="A638" s="14">
        <v>2495</v>
      </c>
      <c r="B638" s="24" t="s">
        <v>1725</v>
      </c>
      <c r="C638" s="1">
        <v>2175287</v>
      </c>
      <c r="D638" s="1" t="s">
        <v>102</v>
      </c>
      <c r="E638" s="36">
        <v>44927</v>
      </c>
      <c r="F638" s="36">
        <v>45260</v>
      </c>
      <c r="G638" s="38">
        <f t="shared" si="9"/>
        <v>333</v>
      </c>
      <c r="H638" s="5">
        <v>44960</v>
      </c>
      <c r="I638" s="5">
        <v>45204</v>
      </c>
      <c r="J638" s="1" t="s">
        <v>26</v>
      </c>
      <c r="K638" s="1" t="s">
        <v>1726</v>
      </c>
      <c r="L638" s="1" t="s">
        <v>1704</v>
      </c>
      <c r="M638" s="1" t="s">
        <v>1705</v>
      </c>
      <c r="N638" s="1" t="s">
        <v>38</v>
      </c>
      <c r="O638" s="1" t="s">
        <v>97</v>
      </c>
      <c r="Q638" s="1" t="s">
        <v>1727</v>
      </c>
      <c r="R638" s="1" t="s">
        <v>26</v>
      </c>
      <c r="S638" s="1"/>
      <c r="U638" s="1" t="s">
        <v>130</v>
      </c>
      <c r="V638" s="1" t="s">
        <v>49</v>
      </c>
      <c r="W638" s="1" t="str">
        <f>VLOOKUP(Table1[[#This Row],[Obergruppe ATC-Code]],Tabelle3!$A$2:$B$100,2)</f>
        <v>MITTEL MIT WIRKUNG AUF DAS RENIN-ANGIOTENSIN-SYSTEM</v>
      </c>
      <c r="X638" s="1" t="str">
        <f xml:space="preserve"> LEFT(Table1[[#This Row],[Atc Code]],3)</f>
        <v>C09</v>
      </c>
    </row>
    <row r="639" spans="1:24" ht="14.4">
      <c r="A639" s="14">
        <v>2496</v>
      </c>
      <c r="B639" s="24" t="s">
        <v>1728</v>
      </c>
      <c r="C639" s="1">
        <v>2175289</v>
      </c>
      <c r="D639" s="1" t="s">
        <v>102</v>
      </c>
      <c r="E639" s="36">
        <v>45017</v>
      </c>
      <c r="F639" s="36">
        <v>45260</v>
      </c>
      <c r="G639" s="38">
        <f t="shared" si="9"/>
        <v>243</v>
      </c>
      <c r="H639" s="5">
        <v>45204</v>
      </c>
      <c r="I639" s="5">
        <v>45216</v>
      </c>
      <c r="J639" s="1" t="s">
        <v>26</v>
      </c>
      <c r="K639" s="1" t="s">
        <v>1729</v>
      </c>
      <c r="L639" s="1" t="s">
        <v>1704</v>
      </c>
      <c r="M639" s="1" t="s">
        <v>1705</v>
      </c>
      <c r="N639" s="1" t="s">
        <v>30</v>
      </c>
      <c r="O639" s="1" t="s">
        <v>97</v>
      </c>
      <c r="Q639" s="1" t="s">
        <v>1727</v>
      </c>
      <c r="R639" s="1" t="s">
        <v>26</v>
      </c>
      <c r="S639" s="1"/>
      <c r="U639" s="1" t="s">
        <v>130</v>
      </c>
      <c r="V639" s="1" t="s">
        <v>49</v>
      </c>
      <c r="W639" s="1" t="str">
        <f>VLOOKUP(Table1[[#This Row],[Obergruppe ATC-Code]],Tabelle3!$A$2:$B$100,2)</f>
        <v>MITTEL MIT WIRKUNG AUF DAS RENIN-ANGIOTENSIN-SYSTEM</v>
      </c>
      <c r="X639" s="1" t="str">
        <f xml:space="preserve"> LEFT(Table1[[#This Row],[Atc Code]],3)</f>
        <v>C09</v>
      </c>
    </row>
    <row r="640" spans="1:24" ht="14.4">
      <c r="A640" s="14">
        <v>1306</v>
      </c>
      <c r="B640" s="24">
        <v>12443197</v>
      </c>
      <c r="C640" s="1">
        <v>2172085</v>
      </c>
      <c r="D640" s="1" t="s">
        <v>25</v>
      </c>
      <c r="E640" s="36">
        <v>43922</v>
      </c>
      <c r="F640" s="36">
        <v>44012</v>
      </c>
      <c r="G640" s="38">
        <f t="shared" si="9"/>
        <v>90</v>
      </c>
      <c r="H640" s="5">
        <v>43921</v>
      </c>
      <c r="I640" s="5">
        <v>43984</v>
      </c>
      <c r="J640" s="1" t="s">
        <v>41</v>
      </c>
      <c r="K640" s="1" t="s">
        <v>1730</v>
      </c>
      <c r="L640" s="1" t="s">
        <v>1731</v>
      </c>
      <c r="M640" s="1" t="s">
        <v>1732</v>
      </c>
      <c r="N640" s="1" t="s">
        <v>30</v>
      </c>
      <c r="O640" s="1" t="s">
        <v>1489</v>
      </c>
      <c r="P640" s="1" t="s">
        <v>1733</v>
      </c>
      <c r="Q640" s="1" t="s">
        <v>1734</v>
      </c>
      <c r="R640" s="1" t="s">
        <v>26</v>
      </c>
      <c r="S640" s="1"/>
      <c r="U640" s="1" t="s">
        <v>35</v>
      </c>
      <c r="V640" s="1" t="s">
        <v>99</v>
      </c>
      <c r="W640" s="1" t="str">
        <f>VLOOKUP(Table1[[#This Row],[Obergruppe ATC-Code]],Tabelle3!$A$2:$B$100,2)</f>
        <v>MITTEL MIT WIRKUNG AUF DAS RENIN-ANGIOTENSIN-SYSTEM</v>
      </c>
      <c r="X640" s="1" t="str">
        <f xml:space="preserve"> LEFT(Table1[[#This Row],[Atc Code]],3)</f>
        <v>C09</v>
      </c>
    </row>
    <row r="641" spans="1:24" ht="14.4">
      <c r="A641" s="14">
        <v>1282</v>
      </c>
      <c r="B641" s="24">
        <v>11732870</v>
      </c>
      <c r="C641" s="1">
        <v>2172742</v>
      </c>
      <c r="D641" s="1" t="s">
        <v>25</v>
      </c>
      <c r="E641" s="36">
        <v>43922</v>
      </c>
      <c r="F641" s="36">
        <v>43982</v>
      </c>
      <c r="G641" s="38">
        <f t="shared" si="9"/>
        <v>60</v>
      </c>
      <c r="H641" s="5">
        <v>43921</v>
      </c>
      <c r="I641" s="5">
        <v>43984</v>
      </c>
      <c r="J641" s="1" t="s">
        <v>41</v>
      </c>
      <c r="K641" s="1" t="s">
        <v>1735</v>
      </c>
      <c r="L641" s="1" t="s">
        <v>1731</v>
      </c>
      <c r="M641" s="1" t="s">
        <v>1732</v>
      </c>
      <c r="N641" s="1" t="s">
        <v>30</v>
      </c>
      <c r="O641" s="1" t="s">
        <v>1489</v>
      </c>
      <c r="P641" s="1" t="s">
        <v>1733</v>
      </c>
      <c r="Q641" s="1" t="s">
        <v>1734</v>
      </c>
      <c r="R641" s="1" t="s">
        <v>26</v>
      </c>
      <c r="S641" s="1"/>
      <c r="U641" s="1" t="s">
        <v>35</v>
      </c>
      <c r="V641" s="1" t="s">
        <v>99</v>
      </c>
      <c r="W641" s="1" t="str">
        <f>VLOOKUP(Table1[[#This Row],[Obergruppe ATC-Code]],Tabelle3!$A$2:$B$100,2)</f>
        <v>MITTEL MIT WIRKUNG AUF DAS RENIN-ANGIOTENSIN-SYSTEM</v>
      </c>
      <c r="X641" s="1" t="str">
        <f xml:space="preserve"> LEFT(Table1[[#This Row],[Atc Code]],3)</f>
        <v>C09</v>
      </c>
    </row>
    <row r="642" spans="1:24" ht="14.4">
      <c r="A642" s="14">
        <v>168</v>
      </c>
      <c r="B642" s="24">
        <v>1027372</v>
      </c>
      <c r="C642" s="1">
        <v>2150798</v>
      </c>
      <c r="D642" s="1" t="s">
        <v>25</v>
      </c>
      <c r="E642" s="36">
        <v>44524</v>
      </c>
      <c r="F642" s="36">
        <v>44628</v>
      </c>
      <c r="G642" s="38">
        <f t="shared" ref="G642:G705" si="10">F642-E642</f>
        <v>104</v>
      </c>
      <c r="H642" s="5">
        <v>44550</v>
      </c>
      <c r="I642" s="5">
        <v>44629</v>
      </c>
      <c r="J642" s="1" t="s">
        <v>26</v>
      </c>
      <c r="K642" s="1" t="s">
        <v>1736</v>
      </c>
      <c r="L642" s="1" t="s">
        <v>1731</v>
      </c>
      <c r="M642" s="1" t="s">
        <v>1732</v>
      </c>
      <c r="N642" s="1" t="s">
        <v>38</v>
      </c>
      <c r="O642" s="1" t="s">
        <v>1339</v>
      </c>
      <c r="P642" s="1">
        <v>498003384726</v>
      </c>
      <c r="Q642" s="1" t="s">
        <v>1340</v>
      </c>
      <c r="R642" s="1" t="s">
        <v>113</v>
      </c>
      <c r="S642" s="1"/>
      <c r="U642" s="1" t="s">
        <v>35</v>
      </c>
      <c r="V642" s="1" t="s">
        <v>99</v>
      </c>
      <c r="W642" s="1" t="str">
        <f>VLOOKUP(Table1[[#This Row],[Obergruppe ATC-Code]],Tabelle3!$A$2:$B$100,2)</f>
        <v>MITTEL MIT WIRKUNG AUF DAS RENIN-ANGIOTENSIN-SYSTEM</v>
      </c>
      <c r="X642" s="1" t="str">
        <f xml:space="preserve"> LEFT(Table1[[#This Row],[Atc Code]],3)</f>
        <v>C09</v>
      </c>
    </row>
    <row r="643" spans="1:24" ht="14.4">
      <c r="A643" s="14">
        <v>1283</v>
      </c>
      <c r="B643" s="24">
        <v>11732870</v>
      </c>
      <c r="C643" s="1">
        <v>2172742</v>
      </c>
      <c r="D643" s="1" t="s">
        <v>25</v>
      </c>
      <c r="E643" s="36">
        <v>44481</v>
      </c>
      <c r="F643" s="36">
        <v>44687</v>
      </c>
      <c r="G643" s="38">
        <f t="shared" si="10"/>
        <v>206</v>
      </c>
      <c r="H643" s="5">
        <v>44481</v>
      </c>
      <c r="I643" s="5">
        <v>44687</v>
      </c>
      <c r="J643" s="1" t="s">
        <v>26</v>
      </c>
      <c r="K643" s="1" t="s">
        <v>1735</v>
      </c>
      <c r="L643" s="1" t="s">
        <v>1731</v>
      </c>
      <c r="M643" s="1" t="s">
        <v>1732</v>
      </c>
      <c r="N643" s="1" t="s">
        <v>38</v>
      </c>
      <c r="O643" s="1" t="s">
        <v>1489</v>
      </c>
      <c r="Q643" s="1" t="s">
        <v>1737</v>
      </c>
      <c r="R643" s="1" t="s">
        <v>26</v>
      </c>
      <c r="S643" s="1"/>
      <c r="U643" s="1" t="s">
        <v>130</v>
      </c>
      <c r="V643" s="1" t="s">
        <v>99</v>
      </c>
      <c r="W643" s="1" t="str">
        <f>VLOOKUP(Table1[[#This Row],[Obergruppe ATC-Code]],Tabelle3!$A$2:$B$100,2)</f>
        <v>MITTEL MIT WIRKUNG AUF DAS RENIN-ANGIOTENSIN-SYSTEM</v>
      </c>
      <c r="X643" s="1" t="str">
        <f xml:space="preserve"> LEFT(Table1[[#This Row],[Atc Code]],3)</f>
        <v>C09</v>
      </c>
    </row>
    <row r="644" spans="1:24" ht="14.4">
      <c r="A644" s="14">
        <v>1307</v>
      </c>
      <c r="B644" s="24">
        <v>12443197</v>
      </c>
      <c r="C644" s="1">
        <v>2172085</v>
      </c>
      <c r="D644" s="1" t="s">
        <v>25</v>
      </c>
      <c r="E644" s="36">
        <v>44481</v>
      </c>
      <c r="F644" s="36">
        <v>44776</v>
      </c>
      <c r="G644" s="38">
        <f t="shared" si="10"/>
        <v>295</v>
      </c>
      <c r="H644" s="5">
        <v>44481</v>
      </c>
      <c r="I644" s="5">
        <v>44776</v>
      </c>
      <c r="J644" s="1" t="s">
        <v>26</v>
      </c>
      <c r="K644" s="1" t="s">
        <v>1730</v>
      </c>
      <c r="L644" s="1" t="s">
        <v>1731</v>
      </c>
      <c r="M644" s="1" t="s">
        <v>1732</v>
      </c>
      <c r="N644" s="1" t="s">
        <v>38</v>
      </c>
      <c r="O644" s="1" t="s">
        <v>1489</v>
      </c>
      <c r="Q644" s="1" t="s">
        <v>1737</v>
      </c>
      <c r="R644" s="1" t="s">
        <v>732</v>
      </c>
      <c r="S644" s="1"/>
      <c r="U644" s="1" t="s">
        <v>130</v>
      </c>
      <c r="V644" s="1" t="s">
        <v>99</v>
      </c>
      <c r="W644" s="1" t="str">
        <f>VLOOKUP(Table1[[#This Row],[Obergruppe ATC-Code]],Tabelle3!$A$2:$B$100,2)</f>
        <v>MITTEL MIT WIRKUNG AUF DAS RENIN-ANGIOTENSIN-SYSTEM</v>
      </c>
      <c r="X644" s="1" t="str">
        <f xml:space="preserve"> LEFT(Table1[[#This Row],[Atc Code]],3)</f>
        <v>C09</v>
      </c>
    </row>
    <row r="645" spans="1:24" ht="14.4">
      <c r="A645" s="14">
        <v>2357</v>
      </c>
      <c r="B645" s="24" t="s">
        <v>1738</v>
      </c>
      <c r="C645" s="1">
        <v>2176955</v>
      </c>
      <c r="D645" s="1" t="s">
        <v>25</v>
      </c>
      <c r="E645" s="36">
        <v>43282</v>
      </c>
      <c r="F645" s="36">
        <v>43404</v>
      </c>
      <c r="G645" s="38">
        <f t="shared" si="10"/>
        <v>122</v>
      </c>
      <c r="H645" s="5">
        <v>43292</v>
      </c>
      <c r="I645" s="5">
        <v>43391</v>
      </c>
      <c r="J645" s="1" t="s">
        <v>41</v>
      </c>
      <c r="K645" s="1" t="s">
        <v>1739</v>
      </c>
      <c r="L645" s="1" t="s">
        <v>1740</v>
      </c>
      <c r="M645" s="1" t="s">
        <v>1741</v>
      </c>
      <c r="N645" s="1" t="s">
        <v>30</v>
      </c>
      <c r="O645" s="1" t="s">
        <v>110</v>
      </c>
      <c r="P645" s="1" t="s">
        <v>111</v>
      </c>
      <c r="Q645" s="1" t="s">
        <v>112</v>
      </c>
      <c r="R645" s="1" t="s">
        <v>48</v>
      </c>
      <c r="S645" s="1"/>
      <c r="U645" s="1" t="s">
        <v>57</v>
      </c>
      <c r="V645" s="1" t="s">
        <v>99</v>
      </c>
      <c r="W645" s="1" t="str">
        <f>VLOOKUP(Table1[[#This Row],[Obergruppe ATC-Code]],Tabelle3!$A$2:$B$100,2)</f>
        <v>MITTEL MIT WIRKUNG AUF DAS RENIN-ANGIOTENSIN-SYSTEM</v>
      </c>
      <c r="X645" s="1" t="str">
        <f xml:space="preserve"> LEFT(Table1[[#This Row],[Atc Code]],3)</f>
        <v>C09</v>
      </c>
    </row>
    <row r="646" spans="1:24" ht="14.4">
      <c r="A646" s="14">
        <v>963</v>
      </c>
      <c r="B646" s="24">
        <v>7758504</v>
      </c>
      <c r="C646" s="1">
        <v>2176953</v>
      </c>
      <c r="D646" s="1" t="s">
        <v>25</v>
      </c>
      <c r="E646" s="36">
        <v>43282</v>
      </c>
      <c r="F646" s="36">
        <v>43404</v>
      </c>
      <c r="G646" s="38">
        <f t="shared" si="10"/>
        <v>122</v>
      </c>
      <c r="H646" s="5">
        <v>43292</v>
      </c>
      <c r="I646" s="5">
        <v>43391</v>
      </c>
      <c r="J646" s="1" t="s">
        <v>41</v>
      </c>
      <c r="K646" s="1" t="s">
        <v>1742</v>
      </c>
      <c r="L646" s="1" t="s">
        <v>1740</v>
      </c>
      <c r="M646" s="1" t="s">
        <v>1741</v>
      </c>
      <c r="N646" s="1" t="s">
        <v>30</v>
      </c>
      <c r="O646" s="1" t="s">
        <v>110</v>
      </c>
      <c r="P646" s="1" t="s">
        <v>111</v>
      </c>
      <c r="Q646" s="1" t="s">
        <v>112</v>
      </c>
      <c r="R646" s="1" t="s">
        <v>48</v>
      </c>
      <c r="S646" s="1"/>
      <c r="U646" s="1" t="s">
        <v>57</v>
      </c>
      <c r="V646" s="1" t="s">
        <v>99</v>
      </c>
      <c r="W646" s="1" t="str">
        <f>VLOOKUP(Table1[[#This Row],[Obergruppe ATC-Code]],Tabelle3!$A$2:$B$100,2)</f>
        <v>MITTEL MIT WIRKUNG AUF DAS RENIN-ANGIOTENSIN-SYSTEM</v>
      </c>
      <c r="X646" s="1" t="str">
        <f xml:space="preserve"> LEFT(Table1[[#This Row],[Atc Code]],3)</f>
        <v>C09</v>
      </c>
    </row>
    <row r="647" spans="1:24" ht="14.4">
      <c r="A647" s="14">
        <v>2648</v>
      </c>
      <c r="B647" s="24" t="s">
        <v>1743</v>
      </c>
      <c r="C647" s="1">
        <v>2180355</v>
      </c>
      <c r="D647" s="1" t="s">
        <v>25</v>
      </c>
      <c r="E647" s="36">
        <v>43282</v>
      </c>
      <c r="F647" s="36">
        <v>43465</v>
      </c>
      <c r="G647" s="38">
        <f t="shared" si="10"/>
        <v>183</v>
      </c>
      <c r="H647" s="5">
        <v>43293</v>
      </c>
      <c r="I647" s="5">
        <v>43437</v>
      </c>
      <c r="J647" s="1" t="s">
        <v>41</v>
      </c>
      <c r="K647" s="1" t="s">
        <v>1744</v>
      </c>
      <c r="L647" s="1" t="s">
        <v>1740</v>
      </c>
      <c r="M647" s="1" t="s">
        <v>1741</v>
      </c>
      <c r="N647" s="1" t="s">
        <v>30</v>
      </c>
      <c r="O647" s="1" t="s">
        <v>1284</v>
      </c>
      <c r="P647" s="1" t="s">
        <v>1285</v>
      </c>
      <c r="Q647" s="1" t="s">
        <v>1286</v>
      </c>
      <c r="R647" s="1" t="s">
        <v>26</v>
      </c>
      <c r="S647" s="1"/>
      <c r="U647" s="1" t="s">
        <v>57</v>
      </c>
      <c r="V647" s="1" t="s">
        <v>99</v>
      </c>
      <c r="W647" s="1" t="str">
        <f>VLOOKUP(Table1[[#This Row],[Obergruppe ATC-Code]],Tabelle3!$A$2:$B$100,2)</f>
        <v>MITTEL MIT WIRKUNG AUF DAS RENIN-ANGIOTENSIN-SYSTEM</v>
      </c>
      <c r="X647" s="1" t="str">
        <f xml:space="preserve"> LEFT(Table1[[#This Row],[Atc Code]],3)</f>
        <v>C09</v>
      </c>
    </row>
    <row r="648" spans="1:24" ht="14.4">
      <c r="A648" s="14">
        <v>2647</v>
      </c>
      <c r="B648" s="24" t="s">
        <v>1745</v>
      </c>
      <c r="C648" s="1">
        <v>2180354</v>
      </c>
      <c r="D648" s="1" t="s">
        <v>25</v>
      </c>
      <c r="E648" s="36">
        <v>43282</v>
      </c>
      <c r="F648" s="36">
        <v>43465</v>
      </c>
      <c r="G648" s="38">
        <f t="shared" si="10"/>
        <v>183</v>
      </c>
      <c r="H648" s="5">
        <v>43293</v>
      </c>
      <c r="I648" s="5">
        <v>43437</v>
      </c>
      <c r="J648" s="1" t="s">
        <v>41</v>
      </c>
      <c r="K648" s="1" t="s">
        <v>1746</v>
      </c>
      <c r="L648" s="1" t="s">
        <v>1740</v>
      </c>
      <c r="M648" s="1" t="s">
        <v>1741</v>
      </c>
      <c r="N648" s="1" t="s">
        <v>30</v>
      </c>
      <c r="O648" s="1" t="s">
        <v>1284</v>
      </c>
      <c r="P648" s="1" t="s">
        <v>1285</v>
      </c>
      <c r="Q648" s="1" t="s">
        <v>1286</v>
      </c>
      <c r="R648" s="1" t="s">
        <v>26</v>
      </c>
      <c r="S648" s="1"/>
      <c r="U648" s="1" t="s">
        <v>57</v>
      </c>
      <c r="V648" s="1" t="s">
        <v>99</v>
      </c>
      <c r="W648" s="1" t="str">
        <f>VLOOKUP(Table1[[#This Row],[Obergruppe ATC-Code]],Tabelle3!$A$2:$B$100,2)</f>
        <v>MITTEL MIT WIRKUNG AUF DAS RENIN-ANGIOTENSIN-SYSTEM</v>
      </c>
      <c r="X648" s="1" t="str">
        <f xml:space="preserve"> LEFT(Table1[[#This Row],[Atc Code]],3)</f>
        <v>C09</v>
      </c>
    </row>
    <row r="649" spans="1:24" ht="14.4">
      <c r="A649" s="14">
        <v>2646</v>
      </c>
      <c r="B649" s="24" t="s">
        <v>1747</v>
      </c>
      <c r="C649" s="1">
        <v>2174840</v>
      </c>
      <c r="D649" s="1" t="s">
        <v>25</v>
      </c>
      <c r="E649" s="36">
        <v>43282</v>
      </c>
      <c r="F649" s="36">
        <v>43465</v>
      </c>
      <c r="G649" s="38">
        <f t="shared" si="10"/>
        <v>183</v>
      </c>
      <c r="H649" s="5">
        <v>43293</v>
      </c>
      <c r="I649" s="5">
        <v>43437</v>
      </c>
      <c r="J649" s="1" t="s">
        <v>41</v>
      </c>
      <c r="K649" s="1" t="s">
        <v>1748</v>
      </c>
      <c r="L649" s="1" t="s">
        <v>1740</v>
      </c>
      <c r="M649" s="1" t="s">
        <v>1741</v>
      </c>
      <c r="N649" s="1" t="s">
        <v>30</v>
      </c>
      <c r="O649" s="1" t="s">
        <v>1284</v>
      </c>
      <c r="P649" s="1" t="s">
        <v>1285</v>
      </c>
      <c r="Q649" s="1" t="s">
        <v>1286</v>
      </c>
      <c r="R649" s="1" t="s">
        <v>26</v>
      </c>
      <c r="S649" s="1"/>
      <c r="U649" s="1" t="s">
        <v>57</v>
      </c>
      <c r="V649" s="1" t="s">
        <v>99</v>
      </c>
      <c r="W649" s="1" t="str">
        <f>VLOOKUP(Table1[[#This Row],[Obergruppe ATC-Code]],Tabelle3!$A$2:$B$100,2)</f>
        <v>MITTEL MIT WIRKUNG AUF DAS RENIN-ANGIOTENSIN-SYSTEM</v>
      </c>
      <c r="X649" s="1" t="str">
        <f xml:space="preserve"> LEFT(Table1[[#This Row],[Atc Code]],3)</f>
        <v>C09</v>
      </c>
    </row>
    <row r="650" spans="1:24" ht="14.4" customHeight="1">
      <c r="A650" s="14">
        <v>1246</v>
      </c>
      <c r="B650" s="24">
        <v>11358495</v>
      </c>
      <c r="C650" s="1">
        <v>2174839</v>
      </c>
      <c r="D650" s="1" t="s">
        <v>25</v>
      </c>
      <c r="E650" s="36">
        <v>43282</v>
      </c>
      <c r="F650" s="36">
        <v>43465</v>
      </c>
      <c r="G650" s="38">
        <f t="shared" si="10"/>
        <v>183</v>
      </c>
      <c r="H650" s="5">
        <v>43293</v>
      </c>
      <c r="I650" s="5">
        <v>43437</v>
      </c>
      <c r="J650" s="1" t="s">
        <v>41</v>
      </c>
      <c r="K650" s="1" t="s">
        <v>1749</v>
      </c>
      <c r="L650" s="1" t="s">
        <v>1740</v>
      </c>
      <c r="M650" s="1" t="s">
        <v>1741</v>
      </c>
      <c r="N650" s="1" t="s">
        <v>30</v>
      </c>
      <c r="O650" s="1" t="s">
        <v>1284</v>
      </c>
      <c r="P650" s="1" t="s">
        <v>1285</v>
      </c>
      <c r="Q650" s="1" t="s">
        <v>1286</v>
      </c>
      <c r="R650" s="1" t="s">
        <v>26</v>
      </c>
      <c r="S650" s="1"/>
      <c r="U650" s="1" t="s">
        <v>57</v>
      </c>
      <c r="V650" s="1" t="s">
        <v>99</v>
      </c>
      <c r="W650" s="1" t="str">
        <f>VLOOKUP(Table1[[#This Row],[Obergruppe ATC-Code]],Tabelle3!$A$2:$B$100,2)</f>
        <v>MITTEL MIT WIRKUNG AUF DAS RENIN-ANGIOTENSIN-SYSTEM</v>
      </c>
      <c r="X650" s="1" t="str">
        <f xml:space="preserve"> LEFT(Table1[[#This Row],[Atc Code]],3)</f>
        <v>C09</v>
      </c>
    </row>
    <row r="651" spans="1:24" ht="14.4" customHeight="1">
      <c r="A651" s="14">
        <v>1245</v>
      </c>
      <c r="B651" s="24">
        <v>11358414</v>
      </c>
      <c r="C651" s="1">
        <v>2174838</v>
      </c>
      <c r="D651" s="1" t="s">
        <v>25</v>
      </c>
      <c r="E651" s="36">
        <v>43282</v>
      </c>
      <c r="F651" s="36">
        <v>43465</v>
      </c>
      <c r="G651" s="38">
        <f t="shared" si="10"/>
        <v>183</v>
      </c>
      <c r="H651" s="5">
        <v>43293</v>
      </c>
      <c r="I651" s="5">
        <v>43437</v>
      </c>
      <c r="J651" s="1" t="s">
        <v>41</v>
      </c>
      <c r="K651" s="1" t="s">
        <v>1750</v>
      </c>
      <c r="L651" s="1" t="s">
        <v>1740</v>
      </c>
      <c r="M651" s="1" t="s">
        <v>1741</v>
      </c>
      <c r="N651" s="1" t="s">
        <v>30</v>
      </c>
      <c r="O651" s="1" t="s">
        <v>1284</v>
      </c>
      <c r="P651" s="1" t="s">
        <v>1285</v>
      </c>
      <c r="Q651" s="1" t="s">
        <v>1286</v>
      </c>
      <c r="R651" s="1" t="s">
        <v>26</v>
      </c>
      <c r="S651" s="1"/>
      <c r="U651" s="1" t="s">
        <v>57</v>
      </c>
      <c r="V651" s="1" t="s">
        <v>99</v>
      </c>
      <c r="W651" s="1" t="str">
        <f>VLOOKUP(Table1[[#This Row],[Obergruppe ATC-Code]],Tabelle3!$A$2:$B$100,2)</f>
        <v>MITTEL MIT WIRKUNG AUF DAS RENIN-ANGIOTENSIN-SYSTEM</v>
      </c>
      <c r="X651" s="1" t="str">
        <f xml:space="preserve"> LEFT(Table1[[#This Row],[Atc Code]],3)</f>
        <v>C09</v>
      </c>
    </row>
    <row r="652" spans="1:24" ht="14.4">
      <c r="A652" s="14">
        <v>2368</v>
      </c>
      <c r="B652" s="24" t="s">
        <v>1751</v>
      </c>
      <c r="C652" s="1">
        <v>2176956</v>
      </c>
      <c r="D652" s="1" t="s">
        <v>25</v>
      </c>
      <c r="E652" s="36">
        <v>43282</v>
      </c>
      <c r="F652" s="36">
        <v>43496</v>
      </c>
      <c r="G652" s="38">
        <f t="shared" si="10"/>
        <v>214</v>
      </c>
      <c r="H652" s="5">
        <v>43305</v>
      </c>
      <c r="I652" s="5">
        <v>43489</v>
      </c>
      <c r="J652" s="1" t="s">
        <v>41</v>
      </c>
      <c r="K652" s="1" t="s">
        <v>1752</v>
      </c>
      <c r="L652" s="1" t="s">
        <v>1740</v>
      </c>
      <c r="M652" s="1" t="s">
        <v>1741</v>
      </c>
      <c r="N652" s="1" t="s">
        <v>30</v>
      </c>
      <c r="O652" s="1" t="s">
        <v>110</v>
      </c>
      <c r="P652" s="1" t="s">
        <v>111</v>
      </c>
      <c r="Q652" s="1" t="s">
        <v>112</v>
      </c>
      <c r="R652" s="1" t="s">
        <v>48</v>
      </c>
      <c r="S652" s="1"/>
      <c r="U652" s="1" t="s">
        <v>57</v>
      </c>
      <c r="V652" s="1" t="s">
        <v>99</v>
      </c>
      <c r="W652" s="1" t="str">
        <f>VLOOKUP(Table1[[#This Row],[Obergruppe ATC-Code]],Tabelle3!$A$2:$B$100,2)</f>
        <v>MITTEL MIT WIRKUNG AUF DAS RENIN-ANGIOTENSIN-SYSTEM</v>
      </c>
      <c r="X652" s="1" t="str">
        <f xml:space="preserve"> LEFT(Table1[[#This Row],[Atc Code]],3)</f>
        <v>C09</v>
      </c>
    </row>
    <row r="653" spans="1:24" ht="14.4">
      <c r="A653" s="14">
        <v>972</v>
      </c>
      <c r="B653" s="25">
        <v>7778429</v>
      </c>
      <c r="C653" s="1">
        <v>2176960</v>
      </c>
      <c r="D653" s="1" t="s">
        <v>25</v>
      </c>
      <c r="E653" s="36">
        <v>43282</v>
      </c>
      <c r="F653" s="36">
        <v>43524</v>
      </c>
      <c r="G653" s="38">
        <f t="shared" si="10"/>
        <v>242</v>
      </c>
      <c r="H653" s="5">
        <v>43293</v>
      </c>
      <c r="I653" s="5">
        <v>43503</v>
      </c>
      <c r="J653" s="1" t="s">
        <v>41</v>
      </c>
      <c r="K653" s="1" t="s">
        <v>1753</v>
      </c>
      <c r="L653" s="1" t="s">
        <v>1740</v>
      </c>
      <c r="M653" s="1" t="s">
        <v>1741</v>
      </c>
      <c r="N653" s="1" t="s">
        <v>30</v>
      </c>
      <c r="O653" s="1" t="s">
        <v>123</v>
      </c>
      <c r="P653" s="1" t="s">
        <v>1595</v>
      </c>
      <c r="Q653" s="1" t="s">
        <v>1596</v>
      </c>
      <c r="R653" s="1" t="s">
        <v>165</v>
      </c>
      <c r="S653" s="1"/>
      <c r="U653" s="1" t="s">
        <v>57</v>
      </c>
      <c r="V653" s="1" t="s">
        <v>99</v>
      </c>
      <c r="W653" s="1" t="str">
        <f>VLOOKUP(Table1[[#This Row],[Obergruppe ATC-Code]],Tabelle3!$A$2:$B$100,2)</f>
        <v>MITTEL MIT WIRKUNG AUF DAS RENIN-ANGIOTENSIN-SYSTEM</v>
      </c>
      <c r="X653" s="1" t="str">
        <f xml:space="preserve"> LEFT(Table1[[#This Row],[Atc Code]],3)</f>
        <v>C09</v>
      </c>
    </row>
    <row r="654" spans="1:24" ht="14.4">
      <c r="A654" s="14">
        <v>967</v>
      </c>
      <c r="B654" s="25">
        <v>7758579</v>
      </c>
      <c r="C654" s="1">
        <v>2176954</v>
      </c>
      <c r="D654" s="1" t="s">
        <v>25</v>
      </c>
      <c r="E654" s="36">
        <v>43374</v>
      </c>
      <c r="F654" s="36">
        <v>43524</v>
      </c>
      <c r="G654" s="38">
        <f t="shared" si="10"/>
        <v>150</v>
      </c>
      <c r="H654" s="5">
        <v>43390</v>
      </c>
      <c r="I654" s="5">
        <v>43516</v>
      </c>
      <c r="J654" s="1" t="s">
        <v>41</v>
      </c>
      <c r="K654" s="1" t="s">
        <v>1754</v>
      </c>
      <c r="L654" s="1" t="s">
        <v>1740</v>
      </c>
      <c r="M654" s="1" t="s">
        <v>1741</v>
      </c>
      <c r="N654" s="1" t="s">
        <v>30</v>
      </c>
      <c r="O654" s="1" t="s">
        <v>110</v>
      </c>
      <c r="P654" s="1" t="s">
        <v>111</v>
      </c>
      <c r="Q654" s="1" t="s">
        <v>112</v>
      </c>
      <c r="R654" s="1" t="s">
        <v>165</v>
      </c>
      <c r="S654" s="1"/>
      <c r="U654" s="1" t="s">
        <v>35</v>
      </c>
      <c r="V654" s="1" t="s">
        <v>99</v>
      </c>
      <c r="W654" s="1" t="str">
        <f>VLOOKUP(Table1[[#This Row],[Obergruppe ATC-Code]],Tabelle3!$A$2:$B$100,2)</f>
        <v>MITTEL MIT WIRKUNG AUF DAS RENIN-ANGIOTENSIN-SYSTEM</v>
      </c>
      <c r="X654" s="1" t="str">
        <f xml:space="preserve"> LEFT(Table1[[#This Row],[Atc Code]],3)</f>
        <v>C09</v>
      </c>
    </row>
    <row r="655" spans="1:24" ht="14.4">
      <c r="A655" s="14">
        <v>975</v>
      </c>
      <c r="B655" s="25">
        <v>7778530</v>
      </c>
      <c r="C655" s="1">
        <v>2176961</v>
      </c>
      <c r="D655" s="1" t="s">
        <v>25</v>
      </c>
      <c r="E655" s="36">
        <v>43282</v>
      </c>
      <c r="F655" s="36">
        <v>43555</v>
      </c>
      <c r="G655" s="38">
        <f t="shared" si="10"/>
        <v>273</v>
      </c>
      <c r="H655" s="5">
        <v>43293</v>
      </c>
      <c r="I655" s="5">
        <v>43544</v>
      </c>
      <c r="J655" s="1" t="s">
        <v>41</v>
      </c>
      <c r="K655" s="1" t="s">
        <v>1755</v>
      </c>
      <c r="L655" s="1" t="s">
        <v>1740</v>
      </c>
      <c r="M655" s="1" t="s">
        <v>1741</v>
      </c>
      <c r="N655" s="1" t="s">
        <v>30</v>
      </c>
      <c r="O655" s="1" t="s">
        <v>123</v>
      </c>
      <c r="P655" s="1" t="s">
        <v>1595</v>
      </c>
      <c r="Q655" s="1" t="s">
        <v>1596</v>
      </c>
      <c r="R655" s="1" t="s">
        <v>165</v>
      </c>
      <c r="S655" s="1"/>
      <c r="U655" s="1" t="s">
        <v>57</v>
      </c>
      <c r="V655" s="1" t="s">
        <v>99</v>
      </c>
      <c r="W655" s="1" t="str">
        <f>VLOOKUP(Table1[[#This Row],[Obergruppe ATC-Code]],Tabelle3!$A$2:$B$100,2)</f>
        <v>MITTEL MIT WIRKUNG AUF DAS RENIN-ANGIOTENSIN-SYSTEM</v>
      </c>
      <c r="X655" s="1" t="str">
        <f xml:space="preserve"> LEFT(Table1[[#This Row],[Atc Code]],3)</f>
        <v>C09</v>
      </c>
    </row>
    <row r="656" spans="1:24" ht="14.4">
      <c r="A656" s="14">
        <v>973</v>
      </c>
      <c r="B656" s="25">
        <v>7778501</v>
      </c>
      <c r="C656" s="1">
        <v>2176959</v>
      </c>
      <c r="D656" s="1" t="s">
        <v>25</v>
      </c>
      <c r="E656" s="36">
        <v>43282</v>
      </c>
      <c r="F656" s="36">
        <v>43555</v>
      </c>
      <c r="G656" s="38">
        <f t="shared" si="10"/>
        <v>273</v>
      </c>
      <c r="H656" s="5">
        <v>43293</v>
      </c>
      <c r="I656" s="5">
        <v>43544</v>
      </c>
      <c r="J656" s="1" t="s">
        <v>41</v>
      </c>
      <c r="K656" s="1" t="s">
        <v>1756</v>
      </c>
      <c r="L656" s="1" t="s">
        <v>1740</v>
      </c>
      <c r="M656" s="1" t="s">
        <v>1741</v>
      </c>
      <c r="N656" s="1" t="s">
        <v>30</v>
      </c>
      <c r="O656" s="1" t="s">
        <v>123</v>
      </c>
      <c r="P656" s="1" t="s">
        <v>1595</v>
      </c>
      <c r="Q656" s="1" t="s">
        <v>1596</v>
      </c>
      <c r="R656" s="1" t="s">
        <v>165</v>
      </c>
      <c r="S656" s="1"/>
      <c r="U656" s="1" t="s">
        <v>57</v>
      </c>
      <c r="V656" s="1" t="s">
        <v>99</v>
      </c>
      <c r="W656" s="1" t="str">
        <f>VLOOKUP(Table1[[#This Row],[Obergruppe ATC-Code]],Tabelle3!$A$2:$B$100,2)</f>
        <v>MITTEL MIT WIRKUNG AUF DAS RENIN-ANGIOTENSIN-SYSTEM</v>
      </c>
      <c r="X656" s="1" t="str">
        <f xml:space="preserve"> LEFT(Table1[[#This Row],[Atc Code]],3)</f>
        <v>C09</v>
      </c>
    </row>
    <row r="657" spans="1:24" ht="14.4">
      <c r="A657" s="14">
        <v>962</v>
      </c>
      <c r="B657" s="24">
        <v>7758504</v>
      </c>
      <c r="C657" s="1">
        <v>2176953</v>
      </c>
      <c r="D657" s="1" t="s">
        <v>25</v>
      </c>
      <c r="E657" s="36">
        <v>43435</v>
      </c>
      <c r="F657" s="36">
        <v>43555</v>
      </c>
      <c r="G657" s="38">
        <f t="shared" si="10"/>
        <v>120</v>
      </c>
      <c r="H657" s="5">
        <v>43447</v>
      </c>
      <c r="I657" s="5">
        <v>43550</v>
      </c>
      <c r="J657" s="1" t="s">
        <v>41</v>
      </c>
      <c r="K657" s="1" t="s">
        <v>1742</v>
      </c>
      <c r="L657" s="1" t="s">
        <v>1740</v>
      </c>
      <c r="M657" s="1" t="s">
        <v>1741</v>
      </c>
      <c r="N657" s="1" t="s">
        <v>30</v>
      </c>
      <c r="O657" s="1" t="s">
        <v>110</v>
      </c>
      <c r="P657" s="1" t="s">
        <v>111</v>
      </c>
      <c r="Q657" s="1" t="s">
        <v>112</v>
      </c>
      <c r="R657" s="1" t="s">
        <v>48</v>
      </c>
      <c r="S657" s="1"/>
      <c r="U657" s="1" t="s">
        <v>35</v>
      </c>
      <c r="V657" s="1" t="s">
        <v>99</v>
      </c>
      <c r="W657" s="1" t="str">
        <f>VLOOKUP(Table1[[#This Row],[Obergruppe ATC-Code]],Tabelle3!$A$2:$B$100,2)</f>
        <v>MITTEL MIT WIRKUNG AUF DAS RENIN-ANGIOTENSIN-SYSTEM</v>
      </c>
      <c r="X657" s="1" t="str">
        <f xml:space="preserve"> LEFT(Table1[[#This Row],[Atc Code]],3)</f>
        <v>C09</v>
      </c>
    </row>
    <row r="658" spans="1:24" ht="14.4">
      <c r="A658" s="14">
        <v>3083</v>
      </c>
      <c r="B658" s="3" t="s">
        <v>1757</v>
      </c>
      <c r="C658" s="1">
        <v>2189035</v>
      </c>
      <c r="D658" s="1" t="s">
        <v>25</v>
      </c>
      <c r="E658" s="36">
        <v>43405</v>
      </c>
      <c r="F658" s="36">
        <v>43646</v>
      </c>
      <c r="G658" s="38">
        <f t="shared" si="10"/>
        <v>241</v>
      </c>
      <c r="H658" s="5">
        <v>43438</v>
      </c>
      <c r="I658" s="5">
        <v>43648</v>
      </c>
      <c r="J658" s="1" t="s">
        <v>41</v>
      </c>
      <c r="K658" s="1" t="s">
        <v>1758</v>
      </c>
      <c r="L658" s="1" t="s">
        <v>1740</v>
      </c>
      <c r="M658" s="1" t="s">
        <v>1741</v>
      </c>
      <c r="N658" s="1" t="s">
        <v>30</v>
      </c>
      <c r="O658" s="1" t="s">
        <v>1601</v>
      </c>
      <c r="P658" s="1" t="s">
        <v>1602</v>
      </c>
      <c r="Q658" s="1" t="s">
        <v>1603</v>
      </c>
      <c r="R658" s="1" t="s">
        <v>26</v>
      </c>
      <c r="S658" s="1"/>
      <c r="U658" s="1" t="s">
        <v>35</v>
      </c>
      <c r="V658" s="1" t="s">
        <v>99</v>
      </c>
      <c r="W658" s="1" t="str">
        <f>VLOOKUP(Table1[[#This Row],[Obergruppe ATC-Code]],Tabelle3!$A$2:$B$100,2)</f>
        <v>MITTEL MIT WIRKUNG AUF DAS RENIN-ANGIOTENSIN-SYSTEM</v>
      </c>
      <c r="X658" s="1" t="str">
        <f xml:space="preserve"> LEFT(Table1[[#This Row],[Atc Code]],3)</f>
        <v>C09</v>
      </c>
    </row>
    <row r="659" spans="1:24" ht="14.4">
      <c r="A659" s="14">
        <v>3082</v>
      </c>
      <c r="B659" s="24" t="s">
        <v>1759</v>
      </c>
      <c r="C659" s="1">
        <v>2189034</v>
      </c>
      <c r="D659" s="1" t="s">
        <v>25</v>
      </c>
      <c r="E659" s="36">
        <v>43405</v>
      </c>
      <c r="F659" s="36">
        <v>43646</v>
      </c>
      <c r="G659" s="38">
        <f t="shared" si="10"/>
        <v>241</v>
      </c>
      <c r="H659" s="5">
        <v>43438</v>
      </c>
      <c r="I659" s="5">
        <v>43648</v>
      </c>
      <c r="J659" s="1" t="s">
        <v>41</v>
      </c>
      <c r="K659" s="1" t="s">
        <v>1760</v>
      </c>
      <c r="L659" s="1" t="s">
        <v>1740</v>
      </c>
      <c r="M659" s="1" t="s">
        <v>1741</v>
      </c>
      <c r="N659" s="1" t="s">
        <v>30</v>
      </c>
      <c r="O659" s="1" t="s">
        <v>1601</v>
      </c>
      <c r="P659" s="1" t="s">
        <v>1602</v>
      </c>
      <c r="Q659" s="1" t="s">
        <v>1603</v>
      </c>
      <c r="R659" s="1" t="s">
        <v>26</v>
      </c>
      <c r="S659" s="1"/>
      <c r="U659" s="1" t="s">
        <v>35</v>
      </c>
      <c r="V659" s="1" t="s">
        <v>99</v>
      </c>
      <c r="W659" s="1" t="str">
        <f>VLOOKUP(Table1[[#This Row],[Obergruppe ATC-Code]],Tabelle3!$A$2:$B$100,2)</f>
        <v>MITTEL MIT WIRKUNG AUF DAS RENIN-ANGIOTENSIN-SYSTEM</v>
      </c>
      <c r="X659" s="1" t="str">
        <f xml:space="preserve"> LEFT(Table1[[#This Row],[Atc Code]],3)</f>
        <v>C09</v>
      </c>
    </row>
    <row r="660" spans="1:24" ht="14.4">
      <c r="A660" s="14">
        <v>3081</v>
      </c>
      <c r="B660" s="3" t="s">
        <v>1761</v>
      </c>
      <c r="C660" s="1">
        <v>2185226</v>
      </c>
      <c r="D660" s="1" t="s">
        <v>25</v>
      </c>
      <c r="E660" s="36">
        <v>43405</v>
      </c>
      <c r="F660" s="36">
        <v>43646</v>
      </c>
      <c r="G660" s="38">
        <f t="shared" si="10"/>
        <v>241</v>
      </c>
      <c r="H660" s="5">
        <v>43438</v>
      </c>
      <c r="I660" s="5">
        <v>43648</v>
      </c>
      <c r="J660" s="1" t="s">
        <v>41</v>
      </c>
      <c r="K660" s="1" t="s">
        <v>1762</v>
      </c>
      <c r="L660" s="1" t="s">
        <v>1740</v>
      </c>
      <c r="M660" s="1" t="s">
        <v>1741</v>
      </c>
      <c r="N660" s="1" t="s">
        <v>30</v>
      </c>
      <c r="O660" s="1" t="s">
        <v>1601</v>
      </c>
      <c r="P660" s="1" t="s">
        <v>1602</v>
      </c>
      <c r="Q660" s="1" t="s">
        <v>1603</v>
      </c>
      <c r="R660" s="1" t="s">
        <v>26</v>
      </c>
      <c r="S660" s="1"/>
      <c r="U660" s="1" t="s">
        <v>35</v>
      </c>
      <c r="V660" s="1" t="s">
        <v>99</v>
      </c>
      <c r="W660" s="1" t="str">
        <f>VLOOKUP(Table1[[#This Row],[Obergruppe ATC-Code]],Tabelle3!$A$2:$B$100,2)</f>
        <v>MITTEL MIT WIRKUNG AUF DAS RENIN-ANGIOTENSIN-SYSTEM</v>
      </c>
      <c r="X660" s="1" t="str">
        <f xml:space="preserve"> LEFT(Table1[[#This Row],[Atc Code]],3)</f>
        <v>C09</v>
      </c>
    </row>
    <row r="661" spans="1:24" ht="14.4">
      <c r="A661" s="14">
        <v>3080</v>
      </c>
      <c r="B661" s="24" t="s">
        <v>1763</v>
      </c>
      <c r="C661" s="1">
        <v>2185225</v>
      </c>
      <c r="D661" s="1" t="s">
        <v>25</v>
      </c>
      <c r="E661" s="36">
        <v>43405</v>
      </c>
      <c r="F661" s="36">
        <v>43646</v>
      </c>
      <c r="G661" s="38">
        <f t="shared" si="10"/>
        <v>241</v>
      </c>
      <c r="H661" s="5">
        <v>43438</v>
      </c>
      <c r="I661" s="5">
        <v>43648</v>
      </c>
      <c r="J661" s="1" t="s">
        <v>41</v>
      </c>
      <c r="K661" s="1" t="s">
        <v>1764</v>
      </c>
      <c r="L661" s="1" t="s">
        <v>1740</v>
      </c>
      <c r="M661" s="1" t="s">
        <v>1741</v>
      </c>
      <c r="N661" s="1" t="s">
        <v>30</v>
      </c>
      <c r="O661" s="1" t="s">
        <v>1601</v>
      </c>
      <c r="P661" s="1" t="s">
        <v>1602</v>
      </c>
      <c r="Q661" s="1" t="s">
        <v>1603</v>
      </c>
      <c r="R661" s="1" t="s">
        <v>26</v>
      </c>
      <c r="S661" s="1"/>
      <c r="U661" s="1" t="s">
        <v>35</v>
      </c>
      <c r="V661" s="1" t="s">
        <v>99</v>
      </c>
      <c r="W661" s="1" t="str">
        <f>VLOOKUP(Table1[[#This Row],[Obergruppe ATC-Code]],Tabelle3!$A$2:$B$100,2)</f>
        <v>MITTEL MIT WIRKUNG AUF DAS RENIN-ANGIOTENSIN-SYSTEM</v>
      </c>
      <c r="X661" s="1" t="str">
        <f xml:space="preserve"> LEFT(Table1[[#This Row],[Atc Code]],3)</f>
        <v>C09</v>
      </c>
    </row>
    <row r="662" spans="1:24" ht="14.4">
      <c r="A662" s="14">
        <v>3079</v>
      </c>
      <c r="B662" s="24" t="s">
        <v>1765</v>
      </c>
      <c r="C662" s="1">
        <v>2185224</v>
      </c>
      <c r="D662" s="1" t="s">
        <v>25</v>
      </c>
      <c r="E662" s="36">
        <v>43405</v>
      </c>
      <c r="F662" s="36">
        <v>43646</v>
      </c>
      <c r="G662" s="38">
        <f t="shared" si="10"/>
        <v>241</v>
      </c>
      <c r="H662" s="5">
        <v>43438</v>
      </c>
      <c r="I662" s="5">
        <v>43648</v>
      </c>
      <c r="J662" s="1" t="s">
        <v>41</v>
      </c>
      <c r="K662" s="1" t="s">
        <v>1766</v>
      </c>
      <c r="L662" s="1" t="s">
        <v>1740</v>
      </c>
      <c r="M662" s="1" t="s">
        <v>1741</v>
      </c>
      <c r="N662" s="1" t="s">
        <v>30</v>
      </c>
      <c r="O662" s="1" t="s">
        <v>1601</v>
      </c>
      <c r="P662" s="1" t="s">
        <v>1603</v>
      </c>
      <c r="Q662" s="1" t="s">
        <v>1767</v>
      </c>
      <c r="R662" s="1" t="s">
        <v>26</v>
      </c>
      <c r="S662" s="1"/>
      <c r="U662" s="1" t="s">
        <v>35</v>
      </c>
      <c r="V662" s="1" t="s">
        <v>99</v>
      </c>
      <c r="W662" s="1" t="str">
        <f>VLOOKUP(Table1[[#This Row],[Obergruppe ATC-Code]],Tabelle3!$A$2:$B$100,2)</f>
        <v>MITTEL MIT WIRKUNG AUF DAS RENIN-ANGIOTENSIN-SYSTEM</v>
      </c>
      <c r="X662" s="1" t="str">
        <f xml:space="preserve"> LEFT(Table1[[#This Row],[Atc Code]],3)</f>
        <v>C09</v>
      </c>
    </row>
    <row r="663" spans="1:24" ht="14.4">
      <c r="A663" s="14">
        <v>965</v>
      </c>
      <c r="B663" s="25">
        <v>7758533</v>
      </c>
      <c r="C663" s="1">
        <v>2176955</v>
      </c>
      <c r="D663" s="1" t="s">
        <v>25</v>
      </c>
      <c r="E663" s="36">
        <v>43435</v>
      </c>
      <c r="F663" s="36">
        <v>43769</v>
      </c>
      <c r="G663" s="38">
        <f t="shared" si="10"/>
        <v>334</v>
      </c>
      <c r="H663" s="5">
        <v>43446</v>
      </c>
      <c r="I663" s="5">
        <v>43746</v>
      </c>
      <c r="J663" s="1" t="s">
        <v>41</v>
      </c>
      <c r="K663" s="1" t="s">
        <v>1739</v>
      </c>
      <c r="L663" s="1" t="s">
        <v>1740</v>
      </c>
      <c r="M663" s="1" t="s">
        <v>1741</v>
      </c>
      <c r="N663" s="1" t="s">
        <v>30</v>
      </c>
      <c r="O663" s="1" t="s">
        <v>110</v>
      </c>
      <c r="P663" s="1" t="s">
        <v>111</v>
      </c>
      <c r="Q663" s="1" t="s">
        <v>112</v>
      </c>
      <c r="R663" s="1" t="s">
        <v>48</v>
      </c>
      <c r="S663" s="1"/>
      <c r="U663" s="1" t="s">
        <v>57</v>
      </c>
      <c r="V663" s="1" t="s">
        <v>99</v>
      </c>
      <c r="W663" s="1" t="str">
        <f>VLOOKUP(Table1[[#This Row],[Obergruppe ATC-Code]],Tabelle3!$A$2:$B$100,2)</f>
        <v>MITTEL MIT WIRKUNG AUF DAS RENIN-ANGIOTENSIN-SYSTEM</v>
      </c>
      <c r="X663" s="1" t="str">
        <f xml:space="preserve"> LEFT(Table1[[#This Row],[Atc Code]],3)</f>
        <v>C09</v>
      </c>
    </row>
    <row r="664" spans="1:24" ht="14.4">
      <c r="A664" s="14">
        <v>961</v>
      </c>
      <c r="B664" s="24">
        <v>7758504</v>
      </c>
      <c r="C664" s="1">
        <v>2176953</v>
      </c>
      <c r="D664" s="1" t="s">
        <v>25</v>
      </c>
      <c r="E664" s="36">
        <v>43647</v>
      </c>
      <c r="F664" s="36">
        <v>43769</v>
      </c>
      <c r="G664" s="38">
        <f t="shared" si="10"/>
        <v>122</v>
      </c>
      <c r="H664" s="5">
        <v>43656</v>
      </c>
      <c r="I664" s="5">
        <v>43746</v>
      </c>
      <c r="J664" s="1" t="s">
        <v>41</v>
      </c>
      <c r="K664" s="1" t="s">
        <v>1742</v>
      </c>
      <c r="L664" s="1" t="s">
        <v>1740</v>
      </c>
      <c r="M664" s="1" t="s">
        <v>1741</v>
      </c>
      <c r="N664" s="1" t="s">
        <v>30</v>
      </c>
      <c r="O664" s="1" t="s">
        <v>110</v>
      </c>
      <c r="P664" s="1" t="s">
        <v>111</v>
      </c>
      <c r="Q664" s="1" t="s">
        <v>112</v>
      </c>
      <c r="R664" s="1" t="s">
        <v>48</v>
      </c>
      <c r="S664" s="1"/>
      <c r="U664" s="1" t="s">
        <v>35</v>
      </c>
      <c r="V664" s="1" t="s">
        <v>99</v>
      </c>
      <c r="W664" s="1" t="str">
        <f>VLOOKUP(Table1[[#This Row],[Obergruppe ATC-Code]],Tabelle3!$A$2:$B$100,2)</f>
        <v>MITTEL MIT WIRKUNG AUF DAS RENIN-ANGIOTENSIN-SYSTEM</v>
      </c>
      <c r="X664" s="1" t="str">
        <f xml:space="preserve"> LEFT(Table1[[#This Row],[Atc Code]],3)</f>
        <v>C09</v>
      </c>
    </row>
    <row r="665" spans="1:24" ht="14.4">
      <c r="A665" s="14">
        <v>960</v>
      </c>
      <c r="B665" s="25">
        <v>7758467</v>
      </c>
      <c r="C665" s="1">
        <v>2176952</v>
      </c>
      <c r="D665" s="1" t="s">
        <v>25</v>
      </c>
      <c r="E665" s="36">
        <v>43282</v>
      </c>
      <c r="F665" s="36">
        <v>43769</v>
      </c>
      <c r="G665" s="38">
        <f t="shared" si="10"/>
        <v>487</v>
      </c>
      <c r="H665" s="5">
        <v>43305</v>
      </c>
      <c r="I665" s="5">
        <v>43746</v>
      </c>
      <c r="J665" s="1" t="s">
        <v>41</v>
      </c>
      <c r="K665" s="1" t="s">
        <v>1768</v>
      </c>
      <c r="L665" s="1" t="s">
        <v>1740</v>
      </c>
      <c r="M665" s="1" t="s">
        <v>1741</v>
      </c>
      <c r="N665" s="1" t="s">
        <v>30</v>
      </c>
      <c r="O665" s="1" t="s">
        <v>110</v>
      </c>
      <c r="P665" s="1" t="s">
        <v>111</v>
      </c>
      <c r="Q665" s="1" t="s">
        <v>112</v>
      </c>
      <c r="R665" s="1" t="s">
        <v>48</v>
      </c>
      <c r="S665" s="1"/>
      <c r="U665" s="1" t="s">
        <v>57</v>
      </c>
      <c r="V665" s="1" t="s">
        <v>99</v>
      </c>
      <c r="W665" s="1" t="str">
        <f>VLOOKUP(Table1[[#This Row],[Obergruppe ATC-Code]],Tabelle3!$A$2:$B$100,2)</f>
        <v>MITTEL MIT WIRKUNG AUF DAS RENIN-ANGIOTENSIN-SYSTEM</v>
      </c>
      <c r="X665" s="1" t="str">
        <f xml:space="preserve"> LEFT(Table1[[#This Row],[Atc Code]],3)</f>
        <v>C09</v>
      </c>
    </row>
    <row r="666" spans="1:24" ht="14.4">
      <c r="A666" s="14">
        <v>2342</v>
      </c>
      <c r="B666" s="24" t="s">
        <v>1769</v>
      </c>
      <c r="C666" s="1">
        <v>2176651</v>
      </c>
      <c r="D666" s="1" t="s">
        <v>25</v>
      </c>
      <c r="E666" s="36">
        <v>43282</v>
      </c>
      <c r="F666" s="36">
        <v>43830</v>
      </c>
      <c r="G666" s="38">
        <f t="shared" si="10"/>
        <v>548</v>
      </c>
      <c r="H666" s="5">
        <v>43291</v>
      </c>
      <c r="I666" s="5">
        <v>43795</v>
      </c>
      <c r="J666" s="1" t="s">
        <v>41</v>
      </c>
      <c r="K666" s="1" t="s">
        <v>1770</v>
      </c>
      <c r="L666" s="1" t="s">
        <v>1740</v>
      </c>
      <c r="M666" s="1" t="s">
        <v>1741</v>
      </c>
      <c r="N666" s="1" t="s">
        <v>30</v>
      </c>
      <c r="O666" s="1" t="s">
        <v>91</v>
      </c>
      <c r="P666" s="1" t="s">
        <v>374</v>
      </c>
      <c r="Q666" s="1" t="s">
        <v>375</v>
      </c>
      <c r="R666" s="1" t="s">
        <v>26</v>
      </c>
      <c r="S666" s="1"/>
      <c r="U666" s="1" t="s">
        <v>57</v>
      </c>
      <c r="V666" s="1" t="s">
        <v>99</v>
      </c>
      <c r="W666" s="1" t="str">
        <f>VLOOKUP(Table1[[#This Row],[Obergruppe ATC-Code]],Tabelle3!$A$2:$B$100,2)</f>
        <v>MITTEL MIT WIRKUNG AUF DAS RENIN-ANGIOTENSIN-SYSTEM</v>
      </c>
      <c r="X666" s="1" t="str">
        <f xml:space="preserve"> LEFT(Table1[[#This Row],[Atc Code]],3)</f>
        <v>C09</v>
      </c>
    </row>
    <row r="667" spans="1:24" ht="14.4">
      <c r="A667" s="14">
        <v>2334</v>
      </c>
      <c r="B667" s="24" t="s">
        <v>1771</v>
      </c>
      <c r="C667" s="1">
        <v>2176611</v>
      </c>
      <c r="D667" s="1" t="s">
        <v>25</v>
      </c>
      <c r="E667" s="36">
        <v>43282</v>
      </c>
      <c r="F667" s="36">
        <v>43830</v>
      </c>
      <c r="G667" s="38">
        <f t="shared" si="10"/>
        <v>548</v>
      </c>
      <c r="H667" s="5">
        <v>43292</v>
      </c>
      <c r="I667" s="5">
        <v>43795</v>
      </c>
      <c r="J667" s="1" t="s">
        <v>41</v>
      </c>
      <c r="K667" s="1" t="s">
        <v>1772</v>
      </c>
      <c r="L667" s="1" t="s">
        <v>1740</v>
      </c>
      <c r="M667" s="1" t="s">
        <v>1741</v>
      </c>
      <c r="N667" s="1" t="s">
        <v>30</v>
      </c>
      <c r="O667" s="1" t="s">
        <v>52</v>
      </c>
      <c r="P667" s="1" t="s">
        <v>53</v>
      </c>
      <c r="Q667" s="1" t="s">
        <v>54</v>
      </c>
      <c r="R667" s="1" t="s">
        <v>26</v>
      </c>
      <c r="S667" s="1"/>
      <c r="U667" s="1" t="s">
        <v>57</v>
      </c>
      <c r="V667" s="1" t="s">
        <v>99</v>
      </c>
      <c r="W667" s="1" t="str">
        <f>VLOOKUP(Table1[[#This Row],[Obergruppe ATC-Code]],Tabelle3!$A$2:$B$100,2)</f>
        <v>MITTEL MIT WIRKUNG AUF DAS RENIN-ANGIOTENSIN-SYSTEM</v>
      </c>
      <c r="X667" s="1" t="str">
        <f xml:space="preserve"> LEFT(Table1[[#This Row],[Atc Code]],3)</f>
        <v>C09</v>
      </c>
    </row>
    <row r="668" spans="1:24" ht="14.4">
      <c r="A668" s="14">
        <v>2333</v>
      </c>
      <c r="B668" s="24" t="s">
        <v>1773</v>
      </c>
      <c r="C668" s="1">
        <v>2176610</v>
      </c>
      <c r="D668" s="1" t="s">
        <v>25</v>
      </c>
      <c r="E668" s="36">
        <v>43282</v>
      </c>
      <c r="F668" s="36">
        <v>43830</v>
      </c>
      <c r="G668" s="38">
        <f t="shared" si="10"/>
        <v>548</v>
      </c>
      <c r="H668" s="5">
        <v>43292</v>
      </c>
      <c r="I668" s="5">
        <v>43795</v>
      </c>
      <c r="J668" s="1" t="s">
        <v>41</v>
      </c>
      <c r="K668" s="1" t="s">
        <v>1774</v>
      </c>
      <c r="L668" s="1" t="s">
        <v>1740</v>
      </c>
      <c r="M668" s="1" t="s">
        <v>1741</v>
      </c>
      <c r="N668" s="1" t="s">
        <v>30</v>
      </c>
      <c r="O668" s="1" t="s">
        <v>52</v>
      </c>
      <c r="P668" s="1" t="s">
        <v>53</v>
      </c>
      <c r="Q668" s="1" t="s">
        <v>54</v>
      </c>
      <c r="R668" s="1" t="s">
        <v>26</v>
      </c>
      <c r="S668" s="1"/>
      <c r="U668" s="1" t="s">
        <v>57</v>
      </c>
      <c r="V668" s="1" t="s">
        <v>99</v>
      </c>
      <c r="W668" s="1" t="str">
        <f>VLOOKUP(Table1[[#This Row],[Obergruppe ATC-Code]],Tabelle3!$A$2:$B$100,2)</f>
        <v>MITTEL MIT WIRKUNG AUF DAS RENIN-ANGIOTENSIN-SYSTEM</v>
      </c>
      <c r="X668" s="1" t="str">
        <f xml:space="preserve"> LEFT(Table1[[#This Row],[Atc Code]],3)</f>
        <v>C09</v>
      </c>
    </row>
    <row r="669" spans="1:24" ht="14.4">
      <c r="A669" s="14">
        <v>927</v>
      </c>
      <c r="B669" s="25">
        <v>7607314</v>
      </c>
      <c r="C669" s="1">
        <v>2176650</v>
      </c>
      <c r="D669" s="1" t="s">
        <v>25</v>
      </c>
      <c r="E669" s="36">
        <v>43282</v>
      </c>
      <c r="F669" s="36">
        <v>43830</v>
      </c>
      <c r="G669" s="38">
        <f t="shared" si="10"/>
        <v>548</v>
      </c>
      <c r="H669" s="5">
        <v>43291</v>
      </c>
      <c r="I669" s="5">
        <v>43795</v>
      </c>
      <c r="J669" s="1" t="s">
        <v>41</v>
      </c>
      <c r="K669" s="1" t="s">
        <v>1775</v>
      </c>
      <c r="L669" s="1" t="s">
        <v>1740</v>
      </c>
      <c r="M669" s="1" t="s">
        <v>1741</v>
      </c>
      <c r="N669" s="1" t="s">
        <v>30</v>
      </c>
      <c r="O669" s="1" t="s">
        <v>91</v>
      </c>
      <c r="P669" s="1" t="s">
        <v>374</v>
      </c>
      <c r="Q669" s="1" t="s">
        <v>375</v>
      </c>
      <c r="R669" s="1" t="s">
        <v>26</v>
      </c>
      <c r="S669" s="1"/>
      <c r="U669" s="1" t="s">
        <v>57</v>
      </c>
      <c r="V669" s="1" t="s">
        <v>99</v>
      </c>
      <c r="W669" s="1" t="str">
        <f>VLOOKUP(Table1[[#This Row],[Obergruppe ATC-Code]],Tabelle3!$A$2:$B$100,2)</f>
        <v>MITTEL MIT WIRKUNG AUF DAS RENIN-ANGIOTENSIN-SYSTEM</v>
      </c>
      <c r="X669" s="1" t="str">
        <f xml:space="preserve"> LEFT(Table1[[#This Row],[Atc Code]],3)</f>
        <v>C09</v>
      </c>
    </row>
    <row r="670" spans="1:24" ht="14.4">
      <c r="A670" s="14">
        <v>926</v>
      </c>
      <c r="B670" s="25">
        <v>7607277</v>
      </c>
      <c r="C670" s="1">
        <v>2176649</v>
      </c>
      <c r="D670" s="1" t="s">
        <v>25</v>
      </c>
      <c r="E670" s="36">
        <v>43282</v>
      </c>
      <c r="F670" s="36">
        <v>43830</v>
      </c>
      <c r="G670" s="38">
        <f t="shared" si="10"/>
        <v>548</v>
      </c>
      <c r="H670" s="5">
        <v>43291</v>
      </c>
      <c r="I670" s="5">
        <v>43795</v>
      </c>
      <c r="J670" s="1" t="s">
        <v>41</v>
      </c>
      <c r="K670" s="1" t="s">
        <v>1776</v>
      </c>
      <c r="L670" s="1" t="s">
        <v>1740</v>
      </c>
      <c r="M670" s="1" t="s">
        <v>1741</v>
      </c>
      <c r="N670" s="1" t="s">
        <v>30</v>
      </c>
      <c r="O670" s="1" t="s">
        <v>91</v>
      </c>
      <c r="P670" s="1" t="s">
        <v>374</v>
      </c>
      <c r="Q670" s="1" t="s">
        <v>375</v>
      </c>
      <c r="R670" s="1" t="s">
        <v>26</v>
      </c>
      <c r="S670" s="1"/>
      <c r="U670" s="1" t="s">
        <v>57</v>
      </c>
      <c r="V670" s="1" t="s">
        <v>99</v>
      </c>
      <c r="W670" s="1" t="str">
        <f>VLOOKUP(Table1[[#This Row],[Obergruppe ATC-Code]],Tabelle3!$A$2:$B$100,2)</f>
        <v>MITTEL MIT WIRKUNG AUF DAS RENIN-ANGIOTENSIN-SYSTEM</v>
      </c>
      <c r="X670" s="1" t="str">
        <f xml:space="preserve"> LEFT(Table1[[#This Row],[Atc Code]],3)</f>
        <v>C09</v>
      </c>
    </row>
    <row r="671" spans="1:24" ht="14.4">
      <c r="A671" s="14">
        <v>925</v>
      </c>
      <c r="B671" s="25">
        <v>7607248</v>
      </c>
      <c r="C671" s="1">
        <v>2176648</v>
      </c>
      <c r="D671" s="1" t="s">
        <v>25</v>
      </c>
      <c r="E671" s="36">
        <v>43282</v>
      </c>
      <c r="F671" s="36">
        <v>43830</v>
      </c>
      <c r="G671" s="38">
        <f t="shared" si="10"/>
        <v>548</v>
      </c>
      <c r="H671" s="5">
        <v>43291</v>
      </c>
      <c r="I671" s="5">
        <v>43795</v>
      </c>
      <c r="J671" s="1" t="s">
        <v>41</v>
      </c>
      <c r="K671" s="1" t="s">
        <v>1777</v>
      </c>
      <c r="L671" s="1" t="s">
        <v>1740</v>
      </c>
      <c r="M671" s="1" t="s">
        <v>1741</v>
      </c>
      <c r="N671" s="1" t="s">
        <v>30</v>
      </c>
      <c r="O671" s="1" t="s">
        <v>91</v>
      </c>
      <c r="P671" s="1" t="s">
        <v>374</v>
      </c>
      <c r="Q671" s="1" t="s">
        <v>375</v>
      </c>
      <c r="R671" s="1" t="s">
        <v>26</v>
      </c>
      <c r="S671" s="1"/>
      <c r="U671" s="1" t="s">
        <v>57</v>
      </c>
      <c r="V671" s="1" t="s">
        <v>99</v>
      </c>
      <c r="W671" s="1" t="str">
        <f>VLOOKUP(Table1[[#This Row],[Obergruppe ATC-Code]],Tabelle3!$A$2:$B$100,2)</f>
        <v>MITTEL MIT WIRKUNG AUF DAS RENIN-ANGIOTENSIN-SYSTEM</v>
      </c>
      <c r="X671" s="1" t="str">
        <f xml:space="preserve"> LEFT(Table1[[#This Row],[Atc Code]],3)</f>
        <v>C09</v>
      </c>
    </row>
    <row r="672" spans="1:24" ht="14.4">
      <c r="A672" s="14">
        <v>924</v>
      </c>
      <c r="B672" s="25">
        <v>7607188</v>
      </c>
      <c r="C672" s="1">
        <v>2176647</v>
      </c>
      <c r="D672" s="1" t="s">
        <v>25</v>
      </c>
      <c r="E672" s="36">
        <v>43282</v>
      </c>
      <c r="F672" s="36">
        <v>43830</v>
      </c>
      <c r="G672" s="38">
        <f t="shared" si="10"/>
        <v>548</v>
      </c>
      <c r="H672" s="5">
        <v>43291</v>
      </c>
      <c r="I672" s="5">
        <v>43795</v>
      </c>
      <c r="J672" s="1" t="s">
        <v>41</v>
      </c>
      <c r="K672" s="1" t="s">
        <v>1778</v>
      </c>
      <c r="L672" s="1" t="s">
        <v>1740</v>
      </c>
      <c r="M672" s="1" t="s">
        <v>1741</v>
      </c>
      <c r="N672" s="1" t="s">
        <v>30</v>
      </c>
      <c r="O672" s="1" t="s">
        <v>91</v>
      </c>
      <c r="P672" s="1" t="s">
        <v>374</v>
      </c>
      <c r="Q672" s="1" t="s">
        <v>375</v>
      </c>
      <c r="R672" s="1" t="s">
        <v>26</v>
      </c>
      <c r="S672" s="1"/>
      <c r="U672" s="1" t="s">
        <v>57</v>
      </c>
      <c r="V672" s="1" t="s">
        <v>99</v>
      </c>
      <c r="W672" s="1" t="str">
        <f>VLOOKUP(Table1[[#This Row],[Obergruppe ATC-Code]],Tabelle3!$A$2:$B$100,2)</f>
        <v>MITTEL MIT WIRKUNG AUF DAS RENIN-ANGIOTENSIN-SYSTEM</v>
      </c>
      <c r="X672" s="1" t="str">
        <f xml:space="preserve"> LEFT(Table1[[#This Row],[Atc Code]],3)</f>
        <v>C09</v>
      </c>
    </row>
    <row r="673" spans="1:24" ht="14.4">
      <c r="A673" s="14">
        <v>905</v>
      </c>
      <c r="B673" s="25">
        <v>7581135</v>
      </c>
      <c r="C673" s="1">
        <v>2176614</v>
      </c>
      <c r="D673" s="1" t="s">
        <v>25</v>
      </c>
      <c r="E673" s="36">
        <v>43282</v>
      </c>
      <c r="F673" s="36">
        <v>43830</v>
      </c>
      <c r="G673" s="38">
        <f t="shared" si="10"/>
        <v>548</v>
      </c>
      <c r="H673" s="5">
        <v>43292</v>
      </c>
      <c r="I673" s="5">
        <v>43795</v>
      </c>
      <c r="J673" s="1" t="s">
        <v>41</v>
      </c>
      <c r="K673" s="1" t="s">
        <v>1779</v>
      </c>
      <c r="L673" s="1" t="s">
        <v>1740</v>
      </c>
      <c r="M673" s="1" t="s">
        <v>1741</v>
      </c>
      <c r="N673" s="1" t="s">
        <v>30</v>
      </c>
      <c r="O673" s="1" t="s">
        <v>52</v>
      </c>
      <c r="P673" s="1" t="s">
        <v>53</v>
      </c>
      <c r="Q673" s="1" t="s">
        <v>54</v>
      </c>
      <c r="R673" s="1" t="s">
        <v>26</v>
      </c>
      <c r="S673" s="1"/>
      <c r="U673" s="1" t="s">
        <v>57</v>
      </c>
      <c r="V673" s="1" t="s">
        <v>99</v>
      </c>
      <c r="W673" s="1" t="str">
        <f>VLOOKUP(Table1[[#This Row],[Obergruppe ATC-Code]],Tabelle3!$A$2:$B$100,2)</f>
        <v>MITTEL MIT WIRKUNG AUF DAS RENIN-ANGIOTENSIN-SYSTEM</v>
      </c>
      <c r="X673" s="1" t="str">
        <f xml:space="preserve"> LEFT(Table1[[#This Row],[Atc Code]],3)</f>
        <v>C09</v>
      </c>
    </row>
    <row r="674" spans="1:24" ht="14.4">
      <c r="A674" s="14">
        <v>904</v>
      </c>
      <c r="B674" s="25">
        <v>7581106</v>
      </c>
      <c r="C674" s="1">
        <v>2176613</v>
      </c>
      <c r="D674" s="1" t="s">
        <v>25</v>
      </c>
      <c r="E674" s="36">
        <v>43282</v>
      </c>
      <c r="F674" s="36">
        <v>43830</v>
      </c>
      <c r="G674" s="38">
        <f t="shared" si="10"/>
        <v>548</v>
      </c>
      <c r="H674" s="5">
        <v>43292</v>
      </c>
      <c r="I674" s="5">
        <v>43795</v>
      </c>
      <c r="J674" s="1" t="s">
        <v>41</v>
      </c>
      <c r="K674" s="1" t="s">
        <v>1780</v>
      </c>
      <c r="L674" s="1" t="s">
        <v>1740</v>
      </c>
      <c r="M674" s="1" t="s">
        <v>1741</v>
      </c>
      <c r="N674" s="1" t="s">
        <v>30</v>
      </c>
      <c r="O674" s="1" t="s">
        <v>52</v>
      </c>
      <c r="P674" s="1" t="s">
        <v>53</v>
      </c>
      <c r="Q674" s="1" t="s">
        <v>54</v>
      </c>
      <c r="R674" s="1" t="s">
        <v>26</v>
      </c>
      <c r="S674" s="1"/>
      <c r="U674" s="1" t="s">
        <v>57</v>
      </c>
      <c r="V674" s="1" t="s">
        <v>99</v>
      </c>
      <c r="W674" s="1" t="str">
        <f>VLOOKUP(Table1[[#This Row],[Obergruppe ATC-Code]],Tabelle3!$A$2:$B$100,2)</f>
        <v>MITTEL MIT WIRKUNG AUF DAS RENIN-ANGIOTENSIN-SYSTEM</v>
      </c>
      <c r="X674" s="1" t="str">
        <f xml:space="preserve"> LEFT(Table1[[#This Row],[Atc Code]],3)</f>
        <v>C09</v>
      </c>
    </row>
    <row r="675" spans="1:24" ht="14.4">
      <c r="A675" s="14">
        <v>903</v>
      </c>
      <c r="B675" s="25">
        <v>7581075</v>
      </c>
      <c r="C675" s="1">
        <v>2176612</v>
      </c>
      <c r="D675" s="1" t="s">
        <v>25</v>
      </c>
      <c r="E675" s="36">
        <v>43282</v>
      </c>
      <c r="F675" s="36">
        <v>43830</v>
      </c>
      <c r="G675" s="38">
        <f t="shared" si="10"/>
        <v>548</v>
      </c>
      <c r="H675" s="5">
        <v>43292</v>
      </c>
      <c r="I675" s="5">
        <v>43795</v>
      </c>
      <c r="J675" s="1" t="s">
        <v>41</v>
      </c>
      <c r="K675" s="1" t="s">
        <v>1781</v>
      </c>
      <c r="L675" s="1" t="s">
        <v>1740</v>
      </c>
      <c r="M675" s="1" t="s">
        <v>1741</v>
      </c>
      <c r="N675" s="1" t="s">
        <v>30</v>
      </c>
      <c r="O675" s="1" t="s">
        <v>52</v>
      </c>
      <c r="P675" s="1" t="s">
        <v>53</v>
      </c>
      <c r="Q675" s="1" t="s">
        <v>54</v>
      </c>
      <c r="R675" s="1" t="s">
        <v>26</v>
      </c>
      <c r="S675" s="1"/>
      <c r="U675" s="1" t="s">
        <v>57</v>
      </c>
      <c r="V675" s="1" t="s">
        <v>99</v>
      </c>
      <c r="W675" s="1" t="str">
        <f>VLOOKUP(Table1[[#This Row],[Obergruppe ATC-Code]],Tabelle3!$A$2:$B$100,2)</f>
        <v>MITTEL MIT WIRKUNG AUF DAS RENIN-ANGIOTENSIN-SYSTEM</v>
      </c>
      <c r="X675" s="1" t="str">
        <f xml:space="preserve"> LEFT(Table1[[#This Row],[Atc Code]],3)</f>
        <v>C09</v>
      </c>
    </row>
    <row r="676" spans="1:24" ht="14.4">
      <c r="A676" s="14">
        <v>2367</v>
      </c>
      <c r="B676" s="24" t="s">
        <v>1751</v>
      </c>
      <c r="C676" s="1">
        <v>2176956</v>
      </c>
      <c r="D676" s="1" t="s">
        <v>25</v>
      </c>
      <c r="E676" s="36">
        <v>43497</v>
      </c>
      <c r="F676" s="36">
        <v>43861</v>
      </c>
      <c r="G676" s="38">
        <f t="shared" si="10"/>
        <v>364</v>
      </c>
      <c r="H676" s="5">
        <v>43516</v>
      </c>
      <c r="I676" s="5">
        <v>43844</v>
      </c>
      <c r="J676" s="1" t="s">
        <v>41</v>
      </c>
      <c r="K676" s="1" t="s">
        <v>1752</v>
      </c>
      <c r="L676" s="1" t="s">
        <v>1740</v>
      </c>
      <c r="M676" s="1" t="s">
        <v>1741</v>
      </c>
      <c r="N676" s="1" t="s">
        <v>30</v>
      </c>
      <c r="O676" s="1" t="s">
        <v>110</v>
      </c>
      <c r="P676" s="1" t="s">
        <v>111</v>
      </c>
      <c r="Q676" s="1" t="s">
        <v>112</v>
      </c>
      <c r="R676" s="1" t="s">
        <v>165</v>
      </c>
      <c r="S676" s="1"/>
      <c r="U676" s="1" t="s">
        <v>35</v>
      </c>
      <c r="V676" s="1" t="s">
        <v>99</v>
      </c>
      <c r="W676" s="1" t="str">
        <f>VLOOKUP(Table1[[#This Row],[Obergruppe ATC-Code]],Tabelle3!$A$2:$B$100,2)</f>
        <v>MITTEL MIT WIRKUNG AUF DAS RENIN-ANGIOTENSIN-SYSTEM</v>
      </c>
      <c r="X676" s="1" t="str">
        <f xml:space="preserve"> LEFT(Table1[[#This Row],[Atc Code]],3)</f>
        <v>C09</v>
      </c>
    </row>
    <row r="677" spans="1:24" ht="14.4">
      <c r="A677" s="14">
        <v>966</v>
      </c>
      <c r="B677" s="25">
        <v>7758579</v>
      </c>
      <c r="C677" s="1">
        <v>2176954</v>
      </c>
      <c r="D677" s="1" t="s">
        <v>25</v>
      </c>
      <c r="E677" s="36">
        <v>43374</v>
      </c>
      <c r="F677" s="36">
        <v>43861</v>
      </c>
      <c r="G677" s="38">
        <f t="shared" si="10"/>
        <v>487</v>
      </c>
      <c r="H677" s="5">
        <v>43613</v>
      </c>
      <c r="I677" s="5">
        <v>43844</v>
      </c>
      <c r="J677" s="1" t="s">
        <v>41</v>
      </c>
      <c r="K677" s="1" t="s">
        <v>1754</v>
      </c>
      <c r="L677" s="1" t="s">
        <v>1740</v>
      </c>
      <c r="M677" s="1" t="s">
        <v>1741</v>
      </c>
      <c r="N677" s="1" t="s">
        <v>30</v>
      </c>
      <c r="O677" s="1" t="s">
        <v>110</v>
      </c>
      <c r="P677" s="1" t="s">
        <v>111</v>
      </c>
      <c r="Q677" s="1" t="s">
        <v>112</v>
      </c>
      <c r="R677" s="1" t="s">
        <v>165</v>
      </c>
      <c r="S677" s="1"/>
      <c r="U677" s="1" t="s">
        <v>35</v>
      </c>
      <c r="V677" s="1" t="s">
        <v>99</v>
      </c>
      <c r="W677" s="1" t="str">
        <f>VLOOKUP(Table1[[#This Row],[Obergruppe ATC-Code]],Tabelle3!$A$2:$B$100,2)</f>
        <v>MITTEL MIT WIRKUNG AUF DAS RENIN-ANGIOTENSIN-SYSTEM</v>
      </c>
      <c r="X677" s="1" t="str">
        <f xml:space="preserve"> LEFT(Table1[[#This Row],[Atc Code]],3)</f>
        <v>C09</v>
      </c>
    </row>
    <row r="678" spans="1:24" ht="14.4">
      <c r="A678" s="14">
        <v>2280</v>
      </c>
      <c r="B678" s="24" t="s">
        <v>1782</v>
      </c>
      <c r="C678" s="1">
        <v>2170463</v>
      </c>
      <c r="D678" s="1" t="s">
        <v>25</v>
      </c>
      <c r="E678" s="36">
        <v>43282</v>
      </c>
      <c r="F678" s="36">
        <v>43861</v>
      </c>
      <c r="G678" s="38">
        <f t="shared" si="10"/>
        <v>579</v>
      </c>
      <c r="H678" s="5">
        <v>43290</v>
      </c>
      <c r="I678" s="5">
        <v>43867</v>
      </c>
      <c r="J678" s="1" t="s">
        <v>41</v>
      </c>
      <c r="K678" s="1" t="s">
        <v>1783</v>
      </c>
      <c r="L678" s="1" t="s">
        <v>1740</v>
      </c>
      <c r="M678" s="1" t="s">
        <v>1741</v>
      </c>
      <c r="N678" s="1" t="s">
        <v>30</v>
      </c>
      <c r="O678" s="1" t="s">
        <v>45</v>
      </c>
      <c r="P678" s="1" t="s">
        <v>104</v>
      </c>
      <c r="Q678" s="1" t="s">
        <v>105</v>
      </c>
      <c r="R678" s="1" t="s">
        <v>26</v>
      </c>
      <c r="S678" s="1"/>
      <c r="U678" s="1" t="s">
        <v>57</v>
      </c>
      <c r="V678" s="1" t="s">
        <v>99</v>
      </c>
      <c r="W678" s="1" t="str">
        <f>VLOOKUP(Table1[[#This Row],[Obergruppe ATC-Code]],Tabelle3!$A$2:$B$100,2)</f>
        <v>MITTEL MIT WIRKUNG AUF DAS RENIN-ANGIOTENSIN-SYSTEM</v>
      </c>
      <c r="X678" s="1" t="str">
        <f xml:space="preserve"> LEFT(Table1[[#This Row],[Atc Code]],3)</f>
        <v>C09</v>
      </c>
    </row>
    <row r="679" spans="1:24" ht="14.4">
      <c r="A679" s="14">
        <v>2279</v>
      </c>
      <c r="B679" s="24" t="s">
        <v>1784</v>
      </c>
      <c r="C679" s="1">
        <v>2170462</v>
      </c>
      <c r="D679" s="1" t="s">
        <v>25</v>
      </c>
      <c r="E679" s="36">
        <v>43282</v>
      </c>
      <c r="F679" s="36">
        <v>43861</v>
      </c>
      <c r="G679" s="38">
        <f t="shared" si="10"/>
        <v>579</v>
      </c>
      <c r="H679" s="5">
        <v>43290</v>
      </c>
      <c r="I679" s="5">
        <v>43867</v>
      </c>
      <c r="J679" s="1" t="s">
        <v>41</v>
      </c>
      <c r="K679" s="1" t="s">
        <v>1785</v>
      </c>
      <c r="L679" s="1" t="s">
        <v>1740</v>
      </c>
      <c r="M679" s="1" t="s">
        <v>1741</v>
      </c>
      <c r="N679" s="1" t="s">
        <v>30</v>
      </c>
      <c r="O679" s="1" t="s">
        <v>45</v>
      </c>
      <c r="P679" s="1" t="s">
        <v>104</v>
      </c>
      <c r="Q679" s="1" t="s">
        <v>105</v>
      </c>
      <c r="R679" s="1" t="s">
        <v>26</v>
      </c>
      <c r="S679" s="1"/>
      <c r="U679" s="1" t="s">
        <v>57</v>
      </c>
      <c r="V679" s="1" t="s">
        <v>99</v>
      </c>
      <c r="W679" s="1" t="str">
        <f>VLOOKUP(Table1[[#This Row],[Obergruppe ATC-Code]],Tabelle3!$A$2:$B$100,2)</f>
        <v>MITTEL MIT WIRKUNG AUF DAS RENIN-ANGIOTENSIN-SYSTEM</v>
      </c>
      <c r="X679" s="1" t="str">
        <f xml:space="preserve"> LEFT(Table1[[#This Row],[Atc Code]],3)</f>
        <v>C09</v>
      </c>
    </row>
    <row r="680" spans="1:24" ht="14.4">
      <c r="A680" s="14">
        <v>981</v>
      </c>
      <c r="B680" s="25">
        <v>8409510</v>
      </c>
      <c r="C680" s="1">
        <v>2180476</v>
      </c>
      <c r="D680" s="1" t="s">
        <v>25</v>
      </c>
      <c r="E680" s="36">
        <v>43282</v>
      </c>
      <c r="F680" s="36">
        <v>44012</v>
      </c>
      <c r="G680" s="38">
        <f t="shared" si="10"/>
        <v>730</v>
      </c>
      <c r="H680" s="5">
        <v>43293</v>
      </c>
      <c r="I680" s="5">
        <v>43958</v>
      </c>
      <c r="J680" s="1" t="s">
        <v>41</v>
      </c>
      <c r="K680" s="1" t="s">
        <v>1786</v>
      </c>
      <c r="L680" s="1" t="s">
        <v>1740</v>
      </c>
      <c r="M680" s="1" t="s">
        <v>1741</v>
      </c>
      <c r="N680" s="1" t="s">
        <v>30</v>
      </c>
      <c r="O680" s="1" t="s">
        <v>265</v>
      </c>
      <c r="P680" s="1" t="s">
        <v>1662</v>
      </c>
      <c r="Q680" s="1" t="s">
        <v>64</v>
      </c>
      <c r="R680" s="1" t="s">
        <v>26</v>
      </c>
      <c r="S680" s="1"/>
      <c r="U680" s="1" t="s">
        <v>35</v>
      </c>
      <c r="V680" s="1" t="s">
        <v>99</v>
      </c>
      <c r="W680" s="1" t="str">
        <f>VLOOKUP(Table1[[#This Row],[Obergruppe ATC-Code]],Tabelle3!$A$2:$B$100,2)</f>
        <v>MITTEL MIT WIRKUNG AUF DAS RENIN-ANGIOTENSIN-SYSTEM</v>
      </c>
      <c r="X680" s="1" t="str">
        <f xml:space="preserve"> LEFT(Table1[[#This Row],[Atc Code]],3)</f>
        <v>C09</v>
      </c>
    </row>
    <row r="681" spans="1:24" ht="14.4">
      <c r="A681" s="14">
        <v>979</v>
      </c>
      <c r="B681" s="25">
        <v>8409421</v>
      </c>
      <c r="C681" s="1">
        <v>2180474</v>
      </c>
      <c r="D681" s="1" t="s">
        <v>25</v>
      </c>
      <c r="E681" s="36">
        <v>43282</v>
      </c>
      <c r="F681" s="36">
        <v>44012</v>
      </c>
      <c r="G681" s="38">
        <f t="shared" si="10"/>
        <v>730</v>
      </c>
      <c r="H681" s="5">
        <v>43293</v>
      </c>
      <c r="I681" s="5">
        <v>43958</v>
      </c>
      <c r="J681" s="1" t="s">
        <v>41</v>
      </c>
      <c r="K681" s="1" t="s">
        <v>1787</v>
      </c>
      <c r="L681" s="1" t="s">
        <v>1740</v>
      </c>
      <c r="M681" s="1" t="s">
        <v>1741</v>
      </c>
      <c r="N681" s="1" t="s">
        <v>30</v>
      </c>
      <c r="O681" s="1" t="s">
        <v>265</v>
      </c>
      <c r="P681" s="1" t="s">
        <v>1662</v>
      </c>
      <c r="Q681" s="1" t="s">
        <v>64</v>
      </c>
      <c r="R681" s="1" t="s">
        <v>26</v>
      </c>
      <c r="S681" s="1"/>
      <c r="U681" s="1" t="s">
        <v>35</v>
      </c>
      <c r="V681" s="1" t="s">
        <v>99</v>
      </c>
      <c r="W681" s="1" t="str">
        <f>VLOOKUP(Table1[[#This Row],[Obergruppe ATC-Code]],Tabelle3!$A$2:$B$100,2)</f>
        <v>MITTEL MIT WIRKUNG AUF DAS RENIN-ANGIOTENSIN-SYSTEM</v>
      </c>
      <c r="X681" s="1" t="str">
        <f xml:space="preserve"> LEFT(Table1[[#This Row],[Atc Code]],3)</f>
        <v>C09</v>
      </c>
    </row>
    <row r="682" spans="1:24" ht="14.4">
      <c r="A682" s="14">
        <v>1079</v>
      </c>
      <c r="B682" s="25">
        <v>9123738</v>
      </c>
      <c r="C682" s="1">
        <v>2180478</v>
      </c>
      <c r="D682" s="1" t="s">
        <v>25</v>
      </c>
      <c r="E682" s="36">
        <v>43282</v>
      </c>
      <c r="F682" s="36">
        <v>44012</v>
      </c>
      <c r="G682" s="38">
        <f t="shared" si="10"/>
        <v>730</v>
      </c>
      <c r="H682" s="5">
        <v>43293</v>
      </c>
      <c r="I682" s="5">
        <v>43987</v>
      </c>
      <c r="J682" s="1" t="s">
        <v>41</v>
      </c>
      <c r="K682" s="1" t="s">
        <v>1788</v>
      </c>
      <c r="L682" s="1" t="s">
        <v>1740</v>
      </c>
      <c r="M682" s="1" t="s">
        <v>1741</v>
      </c>
      <c r="N682" s="1" t="s">
        <v>30</v>
      </c>
      <c r="O682" s="1" t="s">
        <v>265</v>
      </c>
      <c r="P682" s="1" t="s">
        <v>1662</v>
      </c>
      <c r="Q682" s="1" t="s">
        <v>64</v>
      </c>
      <c r="R682" s="1" t="s">
        <v>26</v>
      </c>
      <c r="S682" s="1"/>
      <c r="U682" s="1" t="s">
        <v>35</v>
      </c>
      <c r="V682" s="1" t="s">
        <v>99</v>
      </c>
      <c r="W682" s="1" t="str">
        <f>VLOOKUP(Table1[[#This Row],[Obergruppe ATC-Code]],Tabelle3!$A$2:$B$100,2)</f>
        <v>MITTEL MIT WIRKUNG AUF DAS RENIN-ANGIOTENSIN-SYSTEM</v>
      </c>
      <c r="X682" s="1" t="str">
        <f xml:space="preserve"> LEFT(Table1[[#This Row],[Atc Code]],3)</f>
        <v>C09</v>
      </c>
    </row>
    <row r="683" spans="1:24" ht="14.4">
      <c r="A683" s="14">
        <v>980</v>
      </c>
      <c r="B683" s="25">
        <v>8409450</v>
      </c>
      <c r="C683" s="1">
        <v>2180475</v>
      </c>
      <c r="D683" s="1" t="s">
        <v>25</v>
      </c>
      <c r="E683" s="36">
        <v>43282</v>
      </c>
      <c r="F683" s="36">
        <v>44012</v>
      </c>
      <c r="G683" s="38">
        <f t="shared" si="10"/>
        <v>730</v>
      </c>
      <c r="H683" s="5">
        <v>43293</v>
      </c>
      <c r="I683" s="5">
        <v>43987</v>
      </c>
      <c r="J683" s="1" t="s">
        <v>41</v>
      </c>
      <c r="K683" s="1" t="s">
        <v>1789</v>
      </c>
      <c r="L683" s="1" t="s">
        <v>1740</v>
      </c>
      <c r="M683" s="1" t="s">
        <v>1741</v>
      </c>
      <c r="N683" s="1" t="s">
        <v>30</v>
      </c>
      <c r="O683" s="1" t="s">
        <v>265</v>
      </c>
      <c r="P683" s="1" t="s">
        <v>1662</v>
      </c>
      <c r="Q683" s="1" t="s">
        <v>64</v>
      </c>
      <c r="R683" s="1" t="s">
        <v>26</v>
      </c>
      <c r="S683" s="1"/>
      <c r="U683" s="1" t="s">
        <v>35</v>
      </c>
      <c r="V683" s="1" t="s">
        <v>99</v>
      </c>
      <c r="W683" s="1" t="str">
        <f>VLOOKUP(Table1[[#This Row],[Obergruppe ATC-Code]],Tabelle3!$A$2:$B$100,2)</f>
        <v>MITTEL MIT WIRKUNG AUF DAS RENIN-ANGIOTENSIN-SYSTEM</v>
      </c>
      <c r="X683" s="1" t="str">
        <f xml:space="preserve"> LEFT(Table1[[#This Row],[Atc Code]],3)</f>
        <v>C09</v>
      </c>
    </row>
    <row r="684" spans="1:24" ht="14.4">
      <c r="A684" s="14">
        <v>1078</v>
      </c>
      <c r="B684" s="25">
        <v>9123678</v>
      </c>
      <c r="C684" s="1">
        <v>2180477</v>
      </c>
      <c r="D684" s="1" t="s">
        <v>25</v>
      </c>
      <c r="E684" s="36">
        <v>43282</v>
      </c>
      <c r="F684" s="36">
        <v>44012</v>
      </c>
      <c r="G684" s="38">
        <f t="shared" si="10"/>
        <v>730</v>
      </c>
      <c r="H684" s="5">
        <v>43293</v>
      </c>
      <c r="I684" s="5">
        <v>44049</v>
      </c>
      <c r="J684" s="1" t="s">
        <v>41</v>
      </c>
      <c r="K684" s="1" t="s">
        <v>1790</v>
      </c>
      <c r="L684" s="1" t="s">
        <v>1740</v>
      </c>
      <c r="M684" s="1" t="s">
        <v>1741</v>
      </c>
      <c r="N684" s="1" t="s">
        <v>30</v>
      </c>
      <c r="O684" s="1" t="s">
        <v>265</v>
      </c>
      <c r="P684" s="1" t="s">
        <v>1662</v>
      </c>
      <c r="Q684" s="1" t="s">
        <v>64</v>
      </c>
      <c r="R684" s="1" t="s">
        <v>26</v>
      </c>
      <c r="S684" s="1"/>
      <c r="U684" s="1" t="s">
        <v>35</v>
      </c>
      <c r="V684" s="1" t="s">
        <v>99</v>
      </c>
      <c r="W684" s="1" t="str">
        <f>VLOOKUP(Table1[[#This Row],[Obergruppe ATC-Code]],Tabelle3!$A$2:$B$100,2)</f>
        <v>MITTEL MIT WIRKUNG AUF DAS RENIN-ANGIOTENSIN-SYSTEM</v>
      </c>
      <c r="X684" s="1" t="str">
        <f xml:space="preserve"> LEFT(Table1[[#This Row],[Atc Code]],3)</f>
        <v>C09</v>
      </c>
    </row>
    <row r="685" spans="1:24" ht="14.4">
      <c r="A685" s="14">
        <v>2358</v>
      </c>
      <c r="B685" s="24" t="s">
        <v>1791</v>
      </c>
      <c r="C685" s="1">
        <v>2176954</v>
      </c>
      <c r="D685" s="1" t="s">
        <v>25</v>
      </c>
      <c r="E685" s="36">
        <v>43952</v>
      </c>
      <c r="F685" s="36">
        <v>44165</v>
      </c>
      <c r="G685" s="38">
        <f t="shared" si="10"/>
        <v>213</v>
      </c>
      <c r="H685" s="5">
        <v>43977</v>
      </c>
      <c r="I685" s="5">
        <v>44146</v>
      </c>
      <c r="J685" s="1" t="s">
        <v>41</v>
      </c>
      <c r="K685" s="1" t="s">
        <v>1754</v>
      </c>
      <c r="L685" s="1" t="s">
        <v>1740</v>
      </c>
      <c r="M685" s="1" t="s">
        <v>1741</v>
      </c>
      <c r="N685" s="1" t="s">
        <v>30</v>
      </c>
      <c r="O685" s="1" t="s">
        <v>110</v>
      </c>
      <c r="P685" s="1" t="s">
        <v>111</v>
      </c>
      <c r="Q685" s="1" t="s">
        <v>112</v>
      </c>
      <c r="R685" s="1" t="s">
        <v>165</v>
      </c>
      <c r="S685" s="1"/>
      <c r="U685" s="1" t="s">
        <v>35</v>
      </c>
      <c r="V685" s="1" t="s">
        <v>99</v>
      </c>
      <c r="W685" s="1" t="str">
        <f>VLOOKUP(Table1[[#This Row],[Obergruppe ATC-Code]],Tabelle3!$A$2:$B$100,2)</f>
        <v>MITTEL MIT WIRKUNG AUF DAS RENIN-ANGIOTENSIN-SYSTEM</v>
      </c>
      <c r="X685" s="1" t="str">
        <f xml:space="preserve"> LEFT(Table1[[#This Row],[Atc Code]],3)</f>
        <v>C09</v>
      </c>
    </row>
    <row r="686" spans="1:24" ht="14.4">
      <c r="A686" s="14">
        <v>974</v>
      </c>
      <c r="B686" s="25">
        <v>7778530</v>
      </c>
      <c r="C686" s="1">
        <v>2176956</v>
      </c>
      <c r="D686" s="1" t="s">
        <v>25</v>
      </c>
      <c r="E686" s="36">
        <v>43922</v>
      </c>
      <c r="F686" s="36">
        <v>44165</v>
      </c>
      <c r="G686" s="38">
        <f t="shared" si="10"/>
        <v>243</v>
      </c>
      <c r="H686" s="5">
        <v>43950</v>
      </c>
      <c r="I686" s="5">
        <v>44167</v>
      </c>
      <c r="J686" s="1" t="s">
        <v>41</v>
      </c>
      <c r="K686" s="1" t="s">
        <v>1752</v>
      </c>
      <c r="L686" s="1" t="s">
        <v>1740</v>
      </c>
      <c r="M686" s="1" t="s">
        <v>1741</v>
      </c>
      <c r="N686" s="1" t="s">
        <v>30</v>
      </c>
      <c r="O686" s="1" t="s">
        <v>110</v>
      </c>
      <c r="P686" s="1" t="s">
        <v>111</v>
      </c>
      <c r="Q686" s="1" t="s">
        <v>112</v>
      </c>
      <c r="R686" s="1" t="s">
        <v>165</v>
      </c>
      <c r="S686" s="1"/>
      <c r="U686" s="1" t="s">
        <v>35</v>
      </c>
      <c r="V686" s="1" t="s">
        <v>99</v>
      </c>
      <c r="W686" s="1" t="str">
        <f>VLOOKUP(Table1[[#This Row],[Obergruppe ATC-Code]],Tabelle3!$A$2:$B$100,2)</f>
        <v>MITTEL MIT WIRKUNG AUF DAS RENIN-ANGIOTENSIN-SYSTEM</v>
      </c>
      <c r="X686" s="1" t="str">
        <f xml:space="preserve"> LEFT(Table1[[#This Row],[Atc Code]],3)</f>
        <v>C09</v>
      </c>
    </row>
    <row r="687" spans="1:24" ht="14.4">
      <c r="A687" s="14">
        <v>2372</v>
      </c>
      <c r="B687" s="24" t="s">
        <v>1792</v>
      </c>
      <c r="C687" s="1">
        <v>2170466</v>
      </c>
      <c r="D687" s="1" t="s">
        <v>25</v>
      </c>
      <c r="E687" s="36">
        <v>43282</v>
      </c>
      <c r="F687" s="36">
        <v>44196</v>
      </c>
      <c r="G687" s="38">
        <f t="shared" si="10"/>
        <v>914</v>
      </c>
      <c r="H687" s="5">
        <v>43290</v>
      </c>
      <c r="I687" s="5">
        <v>44175</v>
      </c>
      <c r="J687" s="1" t="s">
        <v>41</v>
      </c>
      <c r="K687" s="1" t="s">
        <v>1793</v>
      </c>
      <c r="L687" s="1" t="s">
        <v>1740</v>
      </c>
      <c r="M687" s="1" t="s">
        <v>1741</v>
      </c>
      <c r="N687" s="1" t="s">
        <v>30</v>
      </c>
      <c r="O687" s="1" t="s">
        <v>117</v>
      </c>
      <c r="P687" s="1" t="s">
        <v>104</v>
      </c>
      <c r="Q687" s="1" t="s">
        <v>105</v>
      </c>
      <c r="R687" s="1" t="s">
        <v>26</v>
      </c>
      <c r="S687" s="1"/>
      <c r="U687" s="1" t="s">
        <v>57</v>
      </c>
      <c r="V687" s="1" t="s">
        <v>99</v>
      </c>
      <c r="W687" s="1" t="str">
        <f>VLOOKUP(Table1[[#This Row],[Obergruppe ATC-Code]],Tabelle3!$A$2:$B$100,2)</f>
        <v>MITTEL MIT WIRKUNG AUF DAS RENIN-ANGIOTENSIN-SYSTEM</v>
      </c>
      <c r="X687" s="1" t="str">
        <f xml:space="preserve"> LEFT(Table1[[#This Row],[Atc Code]],3)</f>
        <v>C09</v>
      </c>
    </row>
    <row r="688" spans="1:24" ht="14.4">
      <c r="A688" s="14">
        <v>2347</v>
      </c>
      <c r="B688" s="24" t="s">
        <v>1794</v>
      </c>
      <c r="C688" s="1">
        <v>2180532</v>
      </c>
      <c r="D688" s="1" t="s">
        <v>25</v>
      </c>
      <c r="E688" s="36">
        <v>43282</v>
      </c>
      <c r="F688" s="36">
        <v>44196</v>
      </c>
      <c r="G688" s="38">
        <f t="shared" si="10"/>
        <v>914</v>
      </c>
      <c r="H688" s="5">
        <v>43290</v>
      </c>
      <c r="I688" s="5">
        <v>44175</v>
      </c>
      <c r="J688" s="1" t="s">
        <v>41</v>
      </c>
      <c r="K688" s="1" t="s">
        <v>1795</v>
      </c>
      <c r="L688" s="1" t="s">
        <v>1740</v>
      </c>
      <c r="M688" s="1" t="s">
        <v>1741</v>
      </c>
      <c r="N688" s="1" t="s">
        <v>30</v>
      </c>
      <c r="O688" s="1" t="s">
        <v>117</v>
      </c>
      <c r="P688" s="1" t="s">
        <v>104</v>
      </c>
      <c r="Q688" s="1" t="s">
        <v>105</v>
      </c>
      <c r="R688" s="1" t="s">
        <v>26</v>
      </c>
      <c r="S688" s="1"/>
      <c r="U688" s="1" t="s">
        <v>57</v>
      </c>
      <c r="V688" s="1" t="s">
        <v>99</v>
      </c>
      <c r="W688" s="1" t="str">
        <f>VLOOKUP(Table1[[#This Row],[Obergruppe ATC-Code]],Tabelle3!$A$2:$B$100,2)</f>
        <v>MITTEL MIT WIRKUNG AUF DAS RENIN-ANGIOTENSIN-SYSTEM</v>
      </c>
      <c r="X688" s="1" t="str">
        <f xml:space="preserve"> LEFT(Table1[[#This Row],[Atc Code]],3)</f>
        <v>C09</v>
      </c>
    </row>
    <row r="689" spans="1:24" ht="14.4">
      <c r="A689" s="14">
        <v>2345</v>
      </c>
      <c r="B689" s="24" t="s">
        <v>1796</v>
      </c>
      <c r="C689" s="1">
        <v>2170458</v>
      </c>
      <c r="D689" s="1" t="s">
        <v>25</v>
      </c>
      <c r="E689" s="36">
        <v>43282</v>
      </c>
      <c r="F689" s="36">
        <v>44196</v>
      </c>
      <c r="G689" s="38">
        <f t="shared" si="10"/>
        <v>914</v>
      </c>
      <c r="H689" s="5">
        <v>43290</v>
      </c>
      <c r="I689" s="5">
        <v>44175</v>
      </c>
      <c r="J689" s="1" t="s">
        <v>41</v>
      </c>
      <c r="K689" s="1" t="s">
        <v>1797</v>
      </c>
      <c r="L689" s="1" t="s">
        <v>1740</v>
      </c>
      <c r="M689" s="1" t="s">
        <v>1741</v>
      </c>
      <c r="N689" s="1" t="s">
        <v>30</v>
      </c>
      <c r="O689" s="1" t="s">
        <v>117</v>
      </c>
      <c r="P689" s="1" t="s">
        <v>104</v>
      </c>
      <c r="Q689" s="1" t="s">
        <v>105</v>
      </c>
      <c r="R689" s="1" t="s">
        <v>26</v>
      </c>
      <c r="S689" s="1"/>
      <c r="U689" s="1" t="s">
        <v>57</v>
      </c>
      <c r="V689" s="1" t="s">
        <v>99</v>
      </c>
      <c r="W689" s="1" t="str">
        <f>VLOOKUP(Table1[[#This Row],[Obergruppe ATC-Code]],Tabelle3!$A$2:$B$100,2)</f>
        <v>MITTEL MIT WIRKUNG AUF DAS RENIN-ANGIOTENSIN-SYSTEM</v>
      </c>
      <c r="X689" s="1" t="str">
        <f xml:space="preserve"> LEFT(Table1[[#This Row],[Atc Code]],3)</f>
        <v>C09</v>
      </c>
    </row>
    <row r="690" spans="1:24" ht="14.4">
      <c r="A690" s="14">
        <v>2346</v>
      </c>
      <c r="B690" s="24" t="s">
        <v>1796</v>
      </c>
      <c r="C690" s="1">
        <v>2170459</v>
      </c>
      <c r="D690" s="1" t="s">
        <v>25</v>
      </c>
      <c r="E690" s="36">
        <v>43282</v>
      </c>
      <c r="F690" s="36">
        <v>44196</v>
      </c>
      <c r="G690" s="38">
        <f t="shared" si="10"/>
        <v>914</v>
      </c>
      <c r="H690" s="5">
        <v>43290</v>
      </c>
      <c r="I690" s="5">
        <v>44175</v>
      </c>
      <c r="J690" s="1" t="s">
        <v>41</v>
      </c>
      <c r="K690" s="1" t="s">
        <v>1798</v>
      </c>
      <c r="L690" s="1" t="s">
        <v>1740</v>
      </c>
      <c r="M690" s="1" t="s">
        <v>1741</v>
      </c>
      <c r="N690" s="1" t="s">
        <v>30</v>
      </c>
      <c r="O690" s="1" t="s">
        <v>117</v>
      </c>
      <c r="P690" s="1" t="s">
        <v>104</v>
      </c>
      <c r="Q690" s="1" t="s">
        <v>105</v>
      </c>
      <c r="R690" s="1" t="s">
        <v>26</v>
      </c>
      <c r="S690" s="1"/>
      <c r="U690" s="1" t="s">
        <v>57</v>
      </c>
      <c r="V690" s="1" t="s">
        <v>99</v>
      </c>
      <c r="W690" s="1" t="str">
        <f>VLOOKUP(Table1[[#This Row],[Obergruppe ATC-Code]],Tabelle3!$A$2:$B$100,2)</f>
        <v>MITTEL MIT WIRKUNG AUF DAS RENIN-ANGIOTENSIN-SYSTEM</v>
      </c>
      <c r="X690" s="1" t="str">
        <f xml:space="preserve"> LEFT(Table1[[#This Row],[Atc Code]],3)</f>
        <v>C09</v>
      </c>
    </row>
    <row r="691" spans="1:24" ht="14.4">
      <c r="A691" s="14">
        <v>2344</v>
      </c>
      <c r="B691" s="24" t="s">
        <v>1799</v>
      </c>
      <c r="C691" s="1">
        <v>2170457</v>
      </c>
      <c r="D691" s="1" t="s">
        <v>25</v>
      </c>
      <c r="E691" s="36">
        <v>43282</v>
      </c>
      <c r="F691" s="36">
        <v>44196</v>
      </c>
      <c r="G691" s="38">
        <f t="shared" si="10"/>
        <v>914</v>
      </c>
      <c r="H691" s="5">
        <v>43290</v>
      </c>
      <c r="I691" s="5">
        <v>44175</v>
      </c>
      <c r="J691" s="1" t="s">
        <v>41</v>
      </c>
      <c r="K691" s="1" t="s">
        <v>1800</v>
      </c>
      <c r="L691" s="1" t="s">
        <v>1740</v>
      </c>
      <c r="M691" s="1" t="s">
        <v>1741</v>
      </c>
      <c r="N691" s="1" t="s">
        <v>30</v>
      </c>
      <c r="O691" s="1" t="s">
        <v>117</v>
      </c>
      <c r="P691" s="1" t="s">
        <v>104</v>
      </c>
      <c r="Q691" s="1" t="s">
        <v>105</v>
      </c>
      <c r="R691" s="1" t="s">
        <v>26</v>
      </c>
      <c r="S691" s="1"/>
      <c r="U691" s="1" t="s">
        <v>57</v>
      </c>
      <c r="V691" s="1" t="s">
        <v>99</v>
      </c>
      <c r="W691" s="1" t="str">
        <f>VLOOKUP(Table1[[#This Row],[Obergruppe ATC-Code]],Tabelle3!$A$2:$B$100,2)</f>
        <v>MITTEL MIT WIRKUNG AUF DAS RENIN-ANGIOTENSIN-SYSTEM</v>
      </c>
      <c r="X691" s="1" t="str">
        <f xml:space="preserve"> LEFT(Table1[[#This Row],[Atc Code]],3)</f>
        <v>C09</v>
      </c>
    </row>
    <row r="692" spans="1:24" ht="14.4">
      <c r="A692" s="14">
        <v>2282</v>
      </c>
      <c r="B692" s="24" t="s">
        <v>1801</v>
      </c>
      <c r="C692" s="1">
        <v>2180535</v>
      </c>
      <c r="D692" s="1" t="s">
        <v>25</v>
      </c>
      <c r="E692" s="36">
        <v>43282</v>
      </c>
      <c r="F692" s="36">
        <v>44196</v>
      </c>
      <c r="G692" s="38">
        <f t="shared" si="10"/>
        <v>914</v>
      </c>
      <c r="H692" s="5">
        <v>43290</v>
      </c>
      <c r="I692" s="5">
        <v>44175</v>
      </c>
      <c r="J692" s="1" t="s">
        <v>41</v>
      </c>
      <c r="K692" s="1" t="s">
        <v>1802</v>
      </c>
      <c r="L692" s="1" t="s">
        <v>1740</v>
      </c>
      <c r="M692" s="1" t="s">
        <v>1741</v>
      </c>
      <c r="N692" s="1" t="s">
        <v>30</v>
      </c>
      <c r="O692" s="1" t="s">
        <v>45</v>
      </c>
      <c r="P692" s="1" t="s">
        <v>104</v>
      </c>
      <c r="Q692" s="1" t="s">
        <v>105</v>
      </c>
      <c r="R692" s="1" t="s">
        <v>26</v>
      </c>
      <c r="S692" s="1"/>
      <c r="U692" s="1" t="s">
        <v>57</v>
      </c>
      <c r="V692" s="1" t="s">
        <v>99</v>
      </c>
      <c r="W692" s="1" t="str">
        <f>VLOOKUP(Table1[[#This Row],[Obergruppe ATC-Code]],Tabelle3!$A$2:$B$100,2)</f>
        <v>MITTEL MIT WIRKUNG AUF DAS RENIN-ANGIOTENSIN-SYSTEM</v>
      </c>
      <c r="X692" s="1" t="str">
        <f xml:space="preserve"> LEFT(Table1[[#This Row],[Atc Code]],3)</f>
        <v>C09</v>
      </c>
    </row>
    <row r="693" spans="1:24" ht="14.4">
      <c r="A693" s="14">
        <v>2281</v>
      </c>
      <c r="B693" s="24" t="s">
        <v>1803</v>
      </c>
      <c r="C693" s="1">
        <v>2180534</v>
      </c>
      <c r="D693" s="1" t="s">
        <v>25</v>
      </c>
      <c r="E693" s="36">
        <v>43282</v>
      </c>
      <c r="F693" s="36">
        <v>44196</v>
      </c>
      <c r="G693" s="38">
        <f t="shared" si="10"/>
        <v>914</v>
      </c>
      <c r="H693" s="5">
        <v>43290</v>
      </c>
      <c r="I693" s="5">
        <v>44175</v>
      </c>
      <c r="J693" s="1" t="s">
        <v>41</v>
      </c>
      <c r="K693" s="1" t="s">
        <v>1804</v>
      </c>
      <c r="L693" s="1" t="s">
        <v>1740</v>
      </c>
      <c r="M693" s="1" t="s">
        <v>1741</v>
      </c>
      <c r="N693" s="1" t="s">
        <v>30</v>
      </c>
      <c r="O693" s="1" t="s">
        <v>45</v>
      </c>
      <c r="P693" s="1" t="s">
        <v>104</v>
      </c>
      <c r="Q693" s="1" t="s">
        <v>105</v>
      </c>
      <c r="R693" s="1" t="s">
        <v>26</v>
      </c>
      <c r="S693" s="1"/>
      <c r="U693" s="1" t="s">
        <v>57</v>
      </c>
      <c r="V693" s="1" t="s">
        <v>99</v>
      </c>
      <c r="W693" s="1" t="str">
        <f>VLOOKUP(Table1[[#This Row],[Obergruppe ATC-Code]],Tabelle3!$A$2:$B$100,2)</f>
        <v>MITTEL MIT WIRKUNG AUF DAS RENIN-ANGIOTENSIN-SYSTEM</v>
      </c>
      <c r="X693" s="1" t="str">
        <f xml:space="preserve"> LEFT(Table1[[#This Row],[Atc Code]],3)</f>
        <v>C09</v>
      </c>
    </row>
    <row r="694" spans="1:24" ht="14.4">
      <c r="A694" s="14">
        <v>2278</v>
      </c>
      <c r="B694" s="24" t="s">
        <v>1805</v>
      </c>
      <c r="C694" s="1">
        <v>2170460</v>
      </c>
      <c r="D694" s="1" t="s">
        <v>25</v>
      </c>
      <c r="E694" s="36">
        <v>43282</v>
      </c>
      <c r="F694" s="36">
        <v>44196</v>
      </c>
      <c r="G694" s="38">
        <f t="shared" si="10"/>
        <v>914</v>
      </c>
      <c r="H694" s="5">
        <v>43290</v>
      </c>
      <c r="I694" s="5">
        <v>44175</v>
      </c>
      <c r="J694" s="1" t="s">
        <v>41</v>
      </c>
      <c r="K694" s="1" t="s">
        <v>1806</v>
      </c>
      <c r="L694" s="1" t="s">
        <v>1740</v>
      </c>
      <c r="M694" s="1" t="s">
        <v>1741</v>
      </c>
      <c r="N694" s="1" t="s">
        <v>30</v>
      </c>
      <c r="O694" s="1" t="s">
        <v>45</v>
      </c>
      <c r="P694" s="1" t="s">
        <v>104</v>
      </c>
      <c r="Q694" s="1" t="s">
        <v>105</v>
      </c>
      <c r="R694" s="1" t="s">
        <v>26</v>
      </c>
      <c r="S694" s="1"/>
      <c r="U694" s="1" t="s">
        <v>57</v>
      </c>
      <c r="V694" s="1" t="s">
        <v>99</v>
      </c>
      <c r="W694" s="1" t="str">
        <f>VLOOKUP(Table1[[#This Row],[Obergruppe ATC-Code]],Tabelle3!$A$2:$B$100,2)</f>
        <v>MITTEL MIT WIRKUNG AUF DAS RENIN-ANGIOTENSIN-SYSTEM</v>
      </c>
      <c r="X694" s="1" t="str">
        <f xml:space="preserve"> LEFT(Table1[[#This Row],[Atc Code]],3)</f>
        <v>C09</v>
      </c>
    </row>
    <row r="695" spans="1:24" ht="14.4">
      <c r="A695" s="14">
        <v>932</v>
      </c>
      <c r="B695" s="25">
        <v>7608791</v>
      </c>
      <c r="C695" s="1">
        <v>2180533</v>
      </c>
      <c r="D695" s="1" t="s">
        <v>25</v>
      </c>
      <c r="E695" s="36">
        <v>43282</v>
      </c>
      <c r="F695" s="36">
        <v>44196</v>
      </c>
      <c r="G695" s="38">
        <f t="shared" si="10"/>
        <v>914</v>
      </c>
      <c r="H695" s="5">
        <v>43291</v>
      </c>
      <c r="I695" s="5">
        <v>44175</v>
      </c>
      <c r="J695" s="1" t="s">
        <v>41</v>
      </c>
      <c r="K695" s="1" t="s">
        <v>1807</v>
      </c>
      <c r="L695" s="1" t="s">
        <v>1740</v>
      </c>
      <c r="M695" s="1" t="s">
        <v>1741</v>
      </c>
      <c r="N695" s="1" t="s">
        <v>30</v>
      </c>
      <c r="O695" s="1" t="s">
        <v>117</v>
      </c>
      <c r="P695" s="1" t="s">
        <v>104</v>
      </c>
      <c r="Q695" s="1" t="s">
        <v>105</v>
      </c>
      <c r="R695" s="1" t="s">
        <v>26</v>
      </c>
      <c r="S695" s="1"/>
      <c r="U695" s="1" t="s">
        <v>57</v>
      </c>
      <c r="V695" s="1" t="s">
        <v>99</v>
      </c>
      <c r="W695" s="1" t="str">
        <f>VLOOKUP(Table1[[#This Row],[Obergruppe ATC-Code]],Tabelle3!$A$2:$B$100,2)</f>
        <v>MITTEL MIT WIRKUNG AUF DAS RENIN-ANGIOTENSIN-SYSTEM</v>
      </c>
      <c r="X695" s="1" t="str">
        <f xml:space="preserve"> LEFT(Table1[[#This Row],[Atc Code]],3)</f>
        <v>C09</v>
      </c>
    </row>
    <row r="696" spans="1:24" ht="14.4">
      <c r="A696" s="14">
        <v>931</v>
      </c>
      <c r="B696" s="25">
        <v>7608472</v>
      </c>
      <c r="C696" s="1">
        <v>2180536</v>
      </c>
      <c r="D696" s="1" t="s">
        <v>25</v>
      </c>
      <c r="E696" s="36">
        <v>43282</v>
      </c>
      <c r="F696" s="36">
        <v>44196</v>
      </c>
      <c r="G696" s="38">
        <f t="shared" si="10"/>
        <v>914</v>
      </c>
      <c r="H696" s="5">
        <v>43290</v>
      </c>
      <c r="I696" s="5">
        <v>44175</v>
      </c>
      <c r="J696" s="1" t="s">
        <v>41</v>
      </c>
      <c r="K696" s="1" t="s">
        <v>1808</v>
      </c>
      <c r="L696" s="1" t="s">
        <v>1740</v>
      </c>
      <c r="M696" s="1" t="s">
        <v>1741</v>
      </c>
      <c r="N696" s="1" t="s">
        <v>30</v>
      </c>
      <c r="O696" s="1" t="s">
        <v>117</v>
      </c>
      <c r="P696" s="1" t="s">
        <v>104</v>
      </c>
      <c r="Q696" s="1" t="s">
        <v>105</v>
      </c>
      <c r="R696" s="1" t="s">
        <v>26</v>
      </c>
      <c r="S696" s="1"/>
      <c r="U696" s="1" t="s">
        <v>57</v>
      </c>
      <c r="V696" s="1" t="s">
        <v>99</v>
      </c>
      <c r="W696" s="1" t="str">
        <f>VLOOKUP(Table1[[#This Row],[Obergruppe ATC-Code]],Tabelle3!$A$2:$B$100,2)</f>
        <v>MITTEL MIT WIRKUNG AUF DAS RENIN-ANGIOTENSIN-SYSTEM</v>
      </c>
      <c r="X696" s="1" t="str">
        <f xml:space="preserve"> LEFT(Table1[[#This Row],[Atc Code]],3)</f>
        <v>C09</v>
      </c>
    </row>
    <row r="697" spans="1:24" ht="14.4">
      <c r="A697" s="14">
        <v>930</v>
      </c>
      <c r="B697" s="25">
        <v>7608437</v>
      </c>
      <c r="C697" s="1">
        <v>2170467</v>
      </c>
      <c r="D697" s="1" t="s">
        <v>25</v>
      </c>
      <c r="E697" s="36">
        <v>43282</v>
      </c>
      <c r="F697" s="36">
        <v>44196</v>
      </c>
      <c r="G697" s="38">
        <f t="shared" si="10"/>
        <v>914</v>
      </c>
      <c r="H697" s="5">
        <v>43290</v>
      </c>
      <c r="I697" s="5">
        <v>44175</v>
      </c>
      <c r="J697" s="1" t="s">
        <v>41</v>
      </c>
      <c r="K697" s="1" t="s">
        <v>1809</v>
      </c>
      <c r="L697" s="1" t="s">
        <v>1740</v>
      </c>
      <c r="M697" s="1" t="s">
        <v>1741</v>
      </c>
      <c r="N697" s="1" t="s">
        <v>30</v>
      </c>
      <c r="O697" s="1" t="s">
        <v>117</v>
      </c>
      <c r="P697" s="1" t="s">
        <v>104</v>
      </c>
      <c r="Q697" s="1" t="s">
        <v>105</v>
      </c>
      <c r="R697" s="1" t="s">
        <v>26</v>
      </c>
      <c r="S697" s="1"/>
      <c r="U697" s="1" t="s">
        <v>57</v>
      </c>
      <c r="V697" s="1" t="s">
        <v>99</v>
      </c>
      <c r="W697" s="1" t="str">
        <f>VLOOKUP(Table1[[#This Row],[Obergruppe ATC-Code]],Tabelle3!$A$2:$B$100,2)</f>
        <v>MITTEL MIT WIRKUNG AUF DAS RENIN-ANGIOTENSIN-SYSTEM</v>
      </c>
      <c r="X697" s="1" t="str">
        <f xml:space="preserve"> LEFT(Table1[[#This Row],[Atc Code]],3)</f>
        <v>C09</v>
      </c>
    </row>
    <row r="698" spans="1:24" ht="14.4">
      <c r="A698" s="14">
        <v>929</v>
      </c>
      <c r="B698" s="25">
        <v>7608383</v>
      </c>
      <c r="C698" s="1">
        <v>2170464</v>
      </c>
      <c r="D698" s="1" t="s">
        <v>25</v>
      </c>
      <c r="E698" s="36">
        <v>43282</v>
      </c>
      <c r="F698" s="36">
        <v>44196</v>
      </c>
      <c r="G698" s="38">
        <f t="shared" si="10"/>
        <v>914</v>
      </c>
      <c r="H698" s="5">
        <v>43290</v>
      </c>
      <c r="I698" s="5">
        <v>44175</v>
      </c>
      <c r="J698" s="1" t="s">
        <v>41</v>
      </c>
      <c r="K698" s="1" t="s">
        <v>1810</v>
      </c>
      <c r="L698" s="1" t="s">
        <v>1740</v>
      </c>
      <c r="M698" s="1" t="s">
        <v>1741</v>
      </c>
      <c r="N698" s="1" t="s">
        <v>30</v>
      </c>
      <c r="O698" s="1" t="s">
        <v>117</v>
      </c>
      <c r="P698" s="1" t="s">
        <v>104</v>
      </c>
      <c r="Q698" s="1" t="s">
        <v>105</v>
      </c>
      <c r="R698" s="1" t="s">
        <v>26</v>
      </c>
      <c r="S698" s="1"/>
      <c r="U698" s="1" t="s">
        <v>57</v>
      </c>
      <c r="V698" s="1" t="s">
        <v>99</v>
      </c>
      <c r="W698" s="1" t="str">
        <f>VLOOKUP(Table1[[#This Row],[Obergruppe ATC-Code]],Tabelle3!$A$2:$B$100,2)</f>
        <v>MITTEL MIT WIRKUNG AUF DAS RENIN-ANGIOTENSIN-SYSTEM</v>
      </c>
      <c r="X698" s="1" t="str">
        <f xml:space="preserve"> LEFT(Table1[[#This Row],[Atc Code]],3)</f>
        <v>C09</v>
      </c>
    </row>
    <row r="699" spans="1:24" ht="14.4">
      <c r="A699" s="14">
        <v>2451</v>
      </c>
      <c r="B699" s="24" t="s">
        <v>1811</v>
      </c>
      <c r="C699" s="1">
        <v>2184370</v>
      </c>
      <c r="D699" s="1" t="s">
        <v>25</v>
      </c>
      <c r="E699" s="36">
        <v>43282</v>
      </c>
      <c r="F699" s="36">
        <v>44286</v>
      </c>
      <c r="G699" s="38">
        <f t="shared" si="10"/>
        <v>1004</v>
      </c>
      <c r="H699" s="5">
        <v>43297</v>
      </c>
      <c r="I699" s="5">
        <v>44286</v>
      </c>
      <c r="J699" s="1" t="s">
        <v>41</v>
      </c>
      <c r="K699" s="1" t="s">
        <v>1812</v>
      </c>
      <c r="L699" s="1" t="s">
        <v>1740</v>
      </c>
      <c r="M699" s="1" t="s">
        <v>1741</v>
      </c>
      <c r="N699" s="1" t="s">
        <v>30</v>
      </c>
      <c r="O699" s="1" t="s">
        <v>1687</v>
      </c>
      <c r="P699" s="1" t="s">
        <v>1688</v>
      </c>
      <c r="Q699" s="1" t="s">
        <v>1689</v>
      </c>
      <c r="R699" s="1" t="s">
        <v>26</v>
      </c>
      <c r="S699" s="1"/>
      <c r="U699" s="1" t="s">
        <v>35</v>
      </c>
      <c r="V699" s="1" t="s">
        <v>99</v>
      </c>
      <c r="W699" s="1" t="str">
        <f>VLOOKUP(Table1[[#This Row],[Obergruppe ATC-Code]],Tabelle3!$A$2:$B$100,2)</f>
        <v>MITTEL MIT WIRKUNG AUF DAS RENIN-ANGIOTENSIN-SYSTEM</v>
      </c>
      <c r="X699" s="1" t="str">
        <f xml:space="preserve"> LEFT(Table1[[#This Row],[Atc Code]],3)</f>
        <v>C09</v>
      </c>
    </row>
    <row r="700" spans="1:24" ht="14.4">
      <c r="A700" s="14">
        <v>2450</v>
      </c>
      <c r="B700" s="24" t="s">
        <v>1813</v>
      </c>
      <c r="C700" s="1">
        <v>2184369</v>
      </c>
      <c r="D700" s="1" t="s">
        <v>25</v>
      </c>
      <c r="E700" s="36">
        <v>43282</v>
      </c>
      <c r="F700" s="36">
        <v>44286</v>
      </c>
      <c r="G700" s="38">
        <f t="shared" si="10"/>
        <v>1004</v>
      </c>
      <c r="H700" s="5">
        <v>43297</v>
      </c>
      <c r="I700" s="5">
        <v>44286</v>
      </c>
      <c r="J700" s="1" t="s">
        <v>41</v>
      </c>
      <c r="K700" s="1" t="s">
        <v>1814</v>
      </c>
      <c r="L700" s="1" t="s">
        <v>1740</v>
      </c>
      <c r="M700" s="1" t="s">
        <v>1741</v>
      </c>
      <c r="N700" s="1" t="s">
        <v>30</v>
      </c>
      <c r="O700" s="1" t="s">
        <v>1687</v>
      </c>
      <c r="P700" s="1" t="s">
        <v>1688</v>
      </c>
      <c r="Q700" s="1" t="s">
        <v>1689</v>
      </c>
      <c r="R700" s="1" t="s">
        <v>26</v>
      </c>
      <c r="S700" s="1"/>
      <c r="U700" s="1" t="s">
        <v>35</v>
      </c>
      <c r="V700" s="1" t="s">
        <v>99</v>
      </c>
      <c r="W700" s="1" t="str">
        <f>VLOOKUP(Table1[[#This Row],[Obergruppe ATC-Code]],Tabelle3!$A$2:$B$100,2)</f>
        <v>MITTEL MIT WIRKUNG AUF DAS RENIN-ANGIOTENSIN-SYSTEM</v>
      </c>
      <c r="X700" s="1" t="str">
        <f xml:space="preserve"> LEFT(Table1[[#This Row],[Atc Code]],3)</f>
        <v>C09</v>
      </c>
    </row>
    <row r="701" spans="1:24" ht="14.4">
      <c r="A701" s="14">
        <v>2449</v>
      </c>
      <c r="B701" s="24" t="s">
        <v>1815</v>
      </c>
      <c r="C701" s="1">
        <v>2180401</v>
      </c>
      <c r="D701" s="1" t="s">
        <v>25</v>
      </c>
      <c r="E701" s="36">
        <v>43282</v>
      </c>
      <c r="F701" s="36">
        <v>44286</v>
      </c>
      <c r="G701" s="38">
        <f t="shared" si="10"/>
        <v>1004</v>
      </c>
      <c r="H701" s="5">
        <v>43297</v>
      </c>
      <c r="I701" s="5">
        <v>44286</v>
      </c>
      <c r="J701" s="1" t="s">
        <v>41</v>
      </c>
      <c r="K701" s="1" t="s">
        <v>1816</v>
      </c>
      <c r="L701" s="1" t="s">
        <v>1740</v>
      </c>
      <c r="M701" s="1" t="s">
        <v>1741</v>
      </c>
      <c r="N701" s="1" t="s">
        <v>30</v>
      </c>
      <c r="O701" s="1" t="s">
        <v>1687</v>
      </c>
      <c r="P701" s="1" t="s">
        <v>1688</v>
      </c>
      <c r="Q701" s="1" t="s">
        <v>1689</v>
      </c>
      <c r="R701" s="1" t="s">
        <v>26</v>
      </c>
      <c r="S701" s="1"/>
      <c r="U701" s="1" t="s">
        <v>35</v>
      </c>
      <c r="V701" s="1" t="s">
        <v>99</v>
      </c>
      <c r="W701" s="1" t="str">
        <f>VLOOKUP(Table1[[#This Row],[Obergruppe ATC-Code]],Tabelle3!$A$2:$B$100,2)</f>
        <v>MITTEL MIT WIRKUNG AUF DAS RENIN-ANGIOTENSIN-SYSTEM</v>
      </c>
      <c r="X701" s="1" t="str">
        <f xml:space="preserve"> LEFT(Table1[[#This Row],[Atc Code]],3)</f>
        <v>C09</v>
      </c>
    </row>
    <row r="702" spans="1:24" ht="14.4">
      <c r="A702" s="14">
        <v>2448</v>
      </c>
      <c r="B702" s="24" t="s">
        <v>1817</v>
      </c>
      <c r="C702" s="1">
        <v>2180400</v>
      </c>
      <c r="D702" s="1" t="s">
        <v>25</v>
      </c>
      <c r="E702" s="36">
        <v>43282</v>
      </c>
      <c r="F702" s="36">
        <v>44286</v>
      </c>
      <c r="G702" s="38">
        <f t="shared" si="10"/>
        <v>1004</v>
      </c>
      <c r="H702" s="5">
        <v>43297</v>
      </c>
      <c r="I702" s="5">
        <v>44286</v>
      </c>
      <c r="J702" s="1" t="s">
        <v>41</v>
      </c>
      <c r="K702" s="1" t="s">
        <v>1818</v>
      </c>
      <c r="L702" s="1" t="s">
        <v>1740</v>
      </c>
      <c r="M702" s="1" t="s">
        <v>1741</v>
      </c>
      <c r="N702" s="1" t="s">
        <v>30</v>
      </c>
      <c r="O702" s="1" t="s">
        <v>1687</v>
      </c>
      <c r="P702" s="1" t="s">
        <v>1688</v>
      </c>
      <c r="Q702" s="1" t="s">
        <v>1689</v>
      </c>
      <c r="R702" s="1" t="s">
        <v>26</v>
      </c>
      <c r="S702" s="1"/>
      <c r="U702" s="1" t="s">
        <v>35</v>
      </c>
      <c r="V702" s="1" t="s">
        <v>99</v>
      </c>
      <c r="W702" s="1" t="str">
        <f>VLOOKUP(Table1[[#This Row],[Obergruppe ATC-Code]],Tabelle3!$A$2:$B$100,2)</f>
        <v>MITTEL MIT WIRKUNG AUF DAS RENIN-ANGIOTENSIN-SYSTEM</v>
      </c>
      <c r="X702" s="1" t="str">
        <f xml:space="preserve"> LEFT(Table1[[#This Row],[Atc Code]],3)</f>
        <v>C09</v>
      </c>
    </row>
    <row r="703" spans="1:24" ht="14.4">
      <c r="A703" s="14">
        <v>2447</v>
      </c>
      <c r="B703" s="24" t="s">
        <v>1819</v>
      </c>
      <c r="C703" s="1">
        <v>2180399</v>
      </c>
      <c r="D703" s="1" t="s">
        <v>25</v>
      </c>
      <c r="E703" s="36">
        <v>43282</v>
      </c>
      <c r="F703" s="36">
        <v>44286</v>
      </c>
      <c r="G703" s="38">
        <f t="shared" si="10"/>
        <v>1004</v>
      </c>
      <c r="H703" s="5">
        <v>43297</v>
      </c>
      <c r="I703" s="5">
        <v>44286</v>
      </c>
      <c r="J703" s="1" t="s">
        <v>41</v>
      </c>
      <c r="K703" s="1" t="s">
        <v>1820</v>
      </c>
      <c r="L703" s="1" t="s">
        <v>1740</v>
      </c>
      <c r="M703" s="1" t="s">
        <v>1741</v>
      </c>
      <c r="N703" s="1" t="s">
        <v>30</v>
      </c>
      <c r="O703" s="1" t="s">
        <v>1687</v>
      </c>
      <c r="P703" s="1" t="s">
        <v>1688</v>
      </c>
      <c r="Q703" s="1" t="s">
        <v>1689</v>
      </c>
      <c r="R703" s="1" t="s">
        <v>26</v>
      </c>
      <c r="S703" s="1"/>
      <c r="U703" s="1" t="s">
        <v>35</v>
      </c>
      <c r="V703" s="1" t="s">
        <v>99</v>
      </c>
      <c r="W703" s="1" t="str">
        <f>VLOOKUP(Table1[[#This Row],[Obergruppe ATC-Code]],Tabelle3!$A$2:$B$100,2)</f>
        <v>MITTEL MIT WIRKUNG AUF DAS RENIN-ANGIOTENSIN-SYSTEM</v>
      </c>
      <c r="X703" s="1" t="str">
        <f xml:space="preserve"> LEFT(Table1[[#This Row],[Atc Code]],3)</f>
        <v>C09</v>
      </c>
    </row>
    <row r="704" spans="1:24" ht="14.4">
      <c r="A704" s="14">
        <v>964</v>
      </c>
      <c r="B704" s="24">
        <v>7758504</v>
      </c>
      <c r="C704" s="1">
        <v>2176953</v>
      </c>
      <c r="D704" s="1" t="s">
        <v>25</v>
      </c>
      <c r="E704" s="36">
        <v>44532</v>
      </c>
      <c r="F704" s="36">
        <v>44656</v>
      </c>
      <c r="G704" s="38">
        <f t="shared" si="10"/>
        <v>124</v>
      </c>
      <c r="H704" s="5">
        <v>44532</v>
      </c>
      <c r="I704" s="5">
        <v>44656</v>
      </c>
      <c r="J704" s="1" t="s">
        <v>26</v>
      </c>
      <c r="K704" s="1" t="s">
        <v>1742</v>
      </c>
      <c r="L704" s="1" t="s">
        <v>1740</v>
      </c>
      <c r="M704" s="1" t="s">
        <v>1741</v>
      </c>
      <c r="N704" s="1" t="s">
        <v>38</v>
      </c>
      <c r="O704" s="1" t="s">
        <v>110</v>
      </c>
      <c r="Q704" s="1" t="s">
        <v>112</v>
      </c>
      <c r="R704" s="1" t="s">
        <v>26</v>
      </c>
      <c r="S704" s="1"/>
      <c r="U704" s="1" t="s">
        <v>130</v>
      </c>
      <c r="V704" s="1" t="s">
        <v>99</v>
      </c>
      <c r="W704" s="1" t="str">
        <f>VLOOKUP(Table1[[#This Row],[Obergruppe ATC-Code]],Tabelle3!$A$2:$B$100,2)</f>
        <v>MITTEL MIT WIRKUNG AUF DAS RENIN-ANGIOTENSIN-SYSTEM</v>
      </c>
      <c r="X704" s="1" t="str">
        <f xml:space="preserve"> LEFT(Table1[[#This Row],[Atc Code]],3)</f>
        <v>C09</v>
      </c>
    </row>
    <row r="705" spans="1:24" ht="14.4">
      <c r="A705" s="14">
        <v>2361</v>
      </c>
      <c r="B705" s="24" t="s">
        <v>1821</v>
      </c>
      <c r="C705" s="1">
        <v>2180295</v>
      </c>
      <c r="D705" s="1" t="s">
        <v>102</v>
      </c>
      <c r="E705" s="36">
        <v>43282</v>
      </c>
      <c r="F705" s="36">
        <v>45291</v>
      </c>
      <c r="G705" s="38">
        <f t="shared" si="10"/>
        <v>2009</v>
      </c>
      <c r="H705" s="5">
        <v>43291</v>
      </c>
      <c r="I705" s="5">
        <v>45169</v>
      </c>
      <c r="J705" s="1" t="s">
        <v>26</v>
      </c>
      <c r="K705" s="1" t="s">
        <v>1822</v>
      </c>
      <c r="L705" s="1" t="s">
        <v>1740</v>
      </c>
      <c r="M705" s="1" t="s">
        <v>1741</v>
      </c>
      <c r="N705" s="1" t="s">
        <v>30</v>
      </c>
      <c r="O705" s="1" t="s">
        <v>97</v>
      </c>
      <c r="P705" s="1">
        <v>214403990</v>
      </c>
      <c r="Q705" s="1" t="s">
        <v>1727</v>
      </c>
      <c r="R705" s="1" t="s">
        <v>26</v>
      </c>
      <c r="S705" s="1"/>
      <c r="U705" s="1" t="s">
        <v>57</v>
      </c>
      <c r="V705" s="1" t="s">
        <v>99</v>
      </c>
      <c r="W705" s="1" t="str">
        <f>VLOOKUP(Table1[[#This Row],[Obergruppe ATC-Code]],Tabelle3!$A$2:$B$100,2)</f>
        <v>MITTEL MIT WIRKUNG AUF DAS RENIN-ANGIOTENSIN-SYSTEM</v>
      </c>
      <c r="X705" s="1" t="str">
        <f xml:space="preserve"> LEFT(Table1[[#This Row],[Atc Code]],3)</f>
        <v>C09</v>
      </c>
    </row>
    <row r="706" spans="1:24" ht="14.4">
      <c r="A706" s="14">
        <v>2360</v>
      </c>
      <c r="B706" s="24" t="s">
        <v>1823</v>
      </c>
      <c r="C706" s="1">
        <v>2180294</v>
      </c>
      <c r="D706" s="1" t="s">
        <v>102</v>
      </c>
      <c r="E706" s="36">
        <v>43282</v>
      </c>
      <c r="F706" s="36">
        <v>45291</v>
      </c>
      <c r="G706" s="38">
        <f t="shared" ref="G706:G769" si="11">F706-E706</f>
        <v>2009</v>
      </c>
      <c r="H706" s="5">
        <v>43291</v>
      </c>
      <c r="I706" s="5">
        <v>45169</v>
      </c>
      <c r="J706" s="1" t="s">
        <v>26</v>
      </c>
      <c r="K706" s="1" t="s">
        <v>1824</v>
      </c>
      <c r="L706" s="1" t="s">
        <v>1740</v>
      </c>
      <c r="M706" s="1" t="s">
        <v>1741</v>
      </c>
      <c r="N706" s="1" t="s">
        <v>30</v>
      </c>
      <c r="O706" s="1" t="s">
        <v>97</v>
      </c>
      <c r="P706" s="1">
        <v>214403990</v>
      </c>
      <c r="Q706" s="1" t="s">
        <v>98</v>
      </c>
      <c r="R706" s="1" t="s">
        <v>26</v>
      </c>
      <c r="S706" s="1"/>
      <c r="U706" s="1" t="s">
        <v>57</v>
      </c>
      <c r="V706" s="1" t="s">
        <v>99</v>
      </c>
      <c r="W706" s="1" t="str">
        <f>VLOOKUP(Table1[[#This Row],[Obergruppe ATC-Code]],Tabelle3!$A$2:$B$100,2)</f>
        <v>MITTEL MIT WIRKUNG AUF DAS RENIN-ANGIOTENSIN-SYSTEM</v>
      </c>
      <c r="X706" s="1" t="str">
        <f xml:space="preserve"> LEFT(Table1[[#This Row],[Atc Code]],3)</f>
        <v>C09</v>
      </c>
    </row>
    <row r="707" spans="1:24" ht="14.4">
      <c r="A707" s="14">
        <v>968</v>
      </c>
      <c r="B707" s="25">
        <v>7762121</v>
      </c>
      <c r="C707" s="1">
        <v>2180296</v>
      </c>
      <c r="D707" s="1" t="s">
        <v>102</v>
      </c>
      <c r="E707" s="36">
        <v>43282</v>
      </c>
      <c r="F707" s="36">
        <v>45291</v>
      </c>
      <c r="G707" s="38">
        <f t="shared" si="11"/>
        <v>2009</v>
      </c>
      <c r="H707" s="5">
        <v>43291</v>
      </c>
      <c r="I707" s="5">
        <v>45169</v>
      </c>
      <c r="J707" s="1" t="s">
        <v>26</v>
      </c>
      <c r="K707" s="1" t="s">
        <v>1825</v>
      </c>
      <c r="L707" s="1" t="s">
        <v>1740</v>
      </c>
      <c r="M707" s="1" t="s">
        <v>1741</v>
      </c>
      <c r="N707" s="1" t="s">
        <v>30</v>
      </c>
      <c r="O707" s="1" t="s">
        <v>97</v>
      </c>
      <c r="Q707" s="1" t="s">
        <v>1727</v>
      </c>
      <c r="R707" s="1" t="s">
        <v>26</v>
      </c>
      <c r="S707" s="1"/>
      <c r="U707" s="1" t="s">
        <v>57</v>
      </c>
      <c r="V707" s="1" t="s">
        <v>99</v>
      </c>
      <c r="W707" s="1" t="str">
        <f>VLOOKUP(Table1[[#This Row],[Obergruppe ATC-Code]],Tabelle3!$A$2:$B$100,2)</f>
        <v>MITTEL MIT WIRKUNG AUF DAS RENIN-ANGIOTENSIN-SYSTEM</v>
      </c>
      <c r="X707" s="1" t="str">
        <f xml:space="preserve"> LEFT(Table1[[#This Row],[Atc Code]],3)</f>
        <v>C09</v>
      </c>
    </row>
    <row r="708" spans="1:24" ht="14.4">
      <c r="A708" s="14">
        <v>470</v>
      </c>
      <c r="B708" s="24">
        <v>2912509</v>
      </c>
      <c r="C708" s="1">
        <v>2703318</v>
      </c>
      <c r="D708" s="1" t="s">
        <v>25</v>
      </c>
      <c r="E708" s="36">
        <v>44788</v>
      </c>
      <c r="F708" s="36">
        <v>44810</v>
      </c>
      <c r="G708" s="38">
        <f t="shared" si="11"/>
        <v>22</v>
      </c>
      <c r="H708" s="5">
        <v>44796</v>
      </c>
      <c r="I708" s="5">
        <v>44810</v>
      </c>
      <c r="J708" s="1" t="s">
        <v>41</v>
      </c>
      <c r="K708" s="1" t="s">
        <v>1826</v>
      </c>
      <c r="L708" s="1" t="s">
        <v>1827</v>
      </c>
      <c r="M708" s="1" t="s">
        <v>1828</v>
      </c>
      <c r="N708" s="1" t="s">
        <v>30</v>
      </c>
      <c r="O708" s="1" t="s">
        <v>448</v>
      </c>
      <c r="P708" s="1" t="s">
        <v>63</v>
      </c>
      <c r="Q708" s="1" t="s">
        <v>64</v>
      </c>
      <c r="R708" s="1" t="s">
        <v>26</v>
      </c>
      <c r="S708" s="1"/>
      <c r="U708" s="1" t="s">
        <v>130</v>
      </c>
      <c r="V708" s="1" t="s">
        <v>99</v>
      </c>
      <c r="W708" s="1" t="str">
        <f>VLOOKUP(Table1[[#This Row],[Obergruppe ATC-Code]],Tabelle3!$A$2:$B$100,2)</f>
        <v>MITTEL MIT WIRKUNG AUF DAS RENIN-ANGIOTENSIN-SYSTEM</v>
      </c>
      <c r="X708" s="1" t="str">
        <f xml:space="preserve"> LEFT(Table1[[#This Row],[Atc Code]],3)</f>
        <v>C09</v>
      </c>
    </row>
    <row r="709" spans="1:24" ht="14.4">
      <c r="A709" s="14">
        <v>1995</v>
      </c>
      <c r="B709" s="24" t="s">
        <v>1829</v>
      </c>
      <c r="C709" s="1" t="s">
        <v>1830</v>
      </c>
      <c r="D709" s="1" t="s">
        <v>25</v>
      </c>
      <c r="E709" s="36">
        <v>44788</v>
      </c>
      <c r="F709" s="36">
        <v>44900</v>
      </c>
      <c r="G709" s="38">
        <f t="shared" si="11"/>
        <v>112</v>
      </c>
      <c r="H709" s="5">
        <v>44796</v>
      </c>
      <c r="I709" s="5">
        <v>44900</v>
      </c>
      <c r="J709" s="1" t="s">
        <v>41</v>
      </c>
      <c r="K709" s="1" t="s">
        <v>1831</v>
      </c>
      <c r="L709" s="1" t="s">
        <v>1827</v>
      </c>
      <c r="M709" s="1" t="s">
        <v>1828</v>
      </c>
      <c r="N709" s="1" t="s">
        <v>30</v>
      </c>
      <c r="O709" s="1" t="s">
        <v>448</v>
      </c>
      <c r="P709" s="1" t="s">
        <v>63</v>
      </c>
      <c r="Q709" s="1" t="s">
        <v>64</v>
      </c>
      <c r="R709" s="1" t="s">
        <v>26</v>
      </c>
      <c r="S709" s="1"/>
      <c r="U709" s="1" t="s">
        <v>35</v>
      </c>
      <c r="V709" s="1" t="s">
        <v>99</v>
      </c>
      <c r="W709" s="1" t="str">
        <f>VLOOKUP(Table1[[#This Row],[Obergruppe ATC-Code]],Tabelle3!$A$2:$B$100,2)</f>
        <v>MITTEL MIT WIRKUNG AUF DAS RENIN-ANGIOTENSIN-SYSTEM</v>
      </c>
      <c r="X709" s="1" t="str">
        <f xml:space="preserve"> LEFT(Table1[[#This Row],[Atc Code]],3)</f>
        <v>C09</v>
      </c>
    </row>
    <row r="710" spans="1:24" ht="14.4">
      <c r="A710" s="14">
        <v>455</v>
      </c>
      <c r="B710" s="24">
        <v>2766628</v>
      </c>
      <c r="C710" s="1">
        <v>2702659</v>
      </c>
      <c r="D710" s="1" t="s">
        <v>25</v>
      </c>
      <c r="E710" s="36">
        <v>44788</v>
      </c>
      <c r="F710" s="36">
        <v>44907</v>
      </c>
      <c r="G710" s="38">
        <f t="shared" si="11"/>
        <v>119</v>
      </c>
      <c r="H710" s="5">
        <v>44796</v>
      </c>
      <c r="I710" s="5">
        <v>44908</v>
      </c>
      <c r="J710" s="1" t="s">
        <v>41</v>
      </c>
      <c r="K710" s="1" t="s">
        <v>1832</v>
      </c>
      <c r="L710" s="1" t="s">
        <v>1827</v>
      </c>
      <c r="M710" s="1" t="s">
        <v>1828</v>
      </c>
      <c r="N710" s="1" t="s">
        <v>30</v>
      </c>
      <c r="O710" s="1" t="s">
        <v>448</v>
      </c>
      <c r="P710" s="1" t="s">
        <v>63</v>
      </c>
      <c r="Q710" s="1" t="s">
        <v>64</v>
      </c>
      <c r="R710" s="1" t="s">
        <v>26</v>
      </c>
      <c r="S710" s="1"/>
      <c r="U710" s="1" t="s">
        <v>35</v>
      </c>
      <c r="V710" s="1" t="s">
        <v>99</v>
      </c>
      <c r="W710" s="1" t="str">
        <f>VLOOKUP(Table1[[#This Row],[Obergruppe ATC-Code]],Tabelle3!$A$2:$B$100,2)</f>
        <v>MITTEL MIT WIRKUNG AUF DAS RENIN-ANGIOTENSIN-SYSTEM</v>
      </c>
      <c r="X710" s="1" t="str">
        <f xml:space="preserve"> LEFT(Table1[[#This Row],[Atc Code]],3)</f>
        <v>C09</v>
      </c>
    </row>
    <row r="711" spans="1:24" ht="14.4">
      <c r="A711" s="14">
        <v>1100</v>
      </c>
      <c r="B711" s="25">
        <v>9297562</v>
      </c>
      <c r="C711" s="1">
        <v>2184122</v>
      </c>
      <c r="D711" s="1" t="s">
        <v>25</v>
      </c>
      <c r="E711" s="36">
        <v>43891</v>
      </c>
      <c r="F711" s="36">
        <v>44012</v>
      </c>
      <c r="G711" s="38">
        <f t="shared" si="11"/>
        <v>121</v>
      </c>
      <c r="H711" s="5">
        <v>43917</v>
      </c>
      <c r="I711" s="5">
        <v>44025</v>
      </c>
      <c r="J711" s="1" t="s">
        <v>26</v>
      </c>
      <c r="K711" s="1" t="s">
        <v>1833</v>
      </c>
      <c r="L711" s="1" t="s">
        <v>1834</v>
      </c>
      <c r="M711" s="1" t="s">
        <v>1835</v>
      </c>
      <c r="N711" s="1" t="s">
        <v>38</v>
      </c>
      <c r="O711" s="1" t="s">
        <v>117</v>
      </c>
      <c r="P711" s="1" t="s">
        <v>104</v>
      </c>
      <c r="Q711" s="1" t="s">
        <v>105</v>
      </c>
      <c r="R711" s="1" t="s">
        <v>33</v>
      </c>
      <c r="S711" s="1"/>
      <c r="U711" s="1" t="s">
        <v>35</v>
      </c>
      <c r="V711" s="1" t="s">
        <v>49</v>
      </c>
      <c r="W711" s="1" t="str">
        <f>VLOOKUP(Table1[[#This Row],[Obergruppe ATC-Code]],Tabelle3!$A$2:$B$100,2)</f>
        <v>MITTEL MIT WIRKUNG AUF DAS RENIN-ANGIOTENSIN-SYSTEM</v>
      </c>
      <c r="X711" s="1" t="str">
        <f xml:space="preserve"> LEFT(Table1[[#This Row],[Atc Code]],3)</f>
        <v>C09</v>
      </c>
    </row>
    <row r="712" spans="1:24" ht="14.4">
      <c r="A712" s="14">
        <v>467</v>
      </c>
      <c r="B712" s="25">
        <v>2846511</v>
      </c>
      <c r="C712" s="1">
        <v>2152531</v>
      </c>
      <c r="D712" s="1" t="s">
        <v>25</v>
      </c>
      <c r="E712" s="36">
        <v>43466</v>
      </c>
      <c r="F712" s="36">
        <v>43555</v>
      </c>
      <c r="G712" s="38">
        <f t="shared" si="11"/>
        <v>89</v>
      </c>
      <c r="H712" s="5">
        <v>43501</v>
      </c>
      <c r="I712" s="5">
        <v>43542</v>
      </c>
      <c r="J712" s="1" t="s">
        <v>41</v>
      </c>
      <c r="K712" s="1" t="s">
        <v>1836</v>
      </c>
      <c r="L712" s="1" t="s">
        <v>1837</v>
      </c>
      <c r="M712" s="1" t="s">
        <v>1838</v>
      </c>
      <c r="N712" s="1" t="s">
        <v>30</v>
      </c>
      <c r="O712" s="1" t="s">
        <v>91</v>
      </c>
      <c r="P712" s="1" t="s">
        <v>374</v>
      </c>
      <c r="Q712" s="1" t="s">
        <v>375</v>
      </c>
      <c r="R712" s="1" t="s">
        <v>48</v>
      </c>
      <c r="S712" s="1"/>
      <c r="U712" s="1" t="s">
        <v>35</v>
      </c>
      <c r="V712" s="1" t="s">
        <v>99</v>
      </c>
      <c r="W712" s="1" t="str">
        <f>VLOOKUP(Table1[[#This Row],[Obergruppe ATC-Code]],Tabelle3!$A$2:$B$100,2)</f>
        <v>MITTEL, DIE DEN LIPIDSTOFFWECHSEL BEEINFLUSSEN</v>
      </c>
      <c r="X712" s="1" t="str">
        <f xml:space="preserve"> LEFT(Table1[[#This Row],[Atc Code]],3)</f>
        <v>C10</v>
      </c>
    </row>
    <row r="713" spans="1:24" ht="14.4">
      <c r="A713" s="14">
        <v>1850</v>
      </c>
      <c r="B713" s="24" t="s">
        <v>1839</v>
      </c>
      <c r="C713" s="1">
        <v>2152556</v>
      </c>
      <c r="D713" s="1" t="s">
        <v>25</v>
      </c>
      <c r="E713" s="36">
        <v>43466</v>
      </c>
      <c r="F713" s="36">
        <v>43555</v>
      </c>
      <c r="G713" s="38">
        <f t="shared" si="11"/>
        <v>89</v>
      </c>
      <c r="H713" s="5">
        <v>43502</v>
      </c>
      <c r="I713" s="5">
        <v>43551</v>
      </c>
      <c r="J713" s="1" t="s">
        <v>41</v>
      </c>
      <c r="K713" s="1" t="s">
        <v>1840</v>
      </c>
      <c r="L713" s="1" t="s">
        <v>1837</v>
      </c>
      <c r="M713" s="1" t="s">
        <v>1838</v>
      </c>
      <c r="N713" s="1" t="s">
        <v>30</v>
      </c>
      <c r="O713" s="1" t="s">
        <v>52</v>
      </c>
      <c r="P713" s="1" t="s">
        <v>53</v>
      </c>
      <c r="Q713" s="1" t="s">
        <v>54</v>
      </c>
      <c r="R713" s="1" t="s">
        <v>48</v>
      </c>
      <c r="S713" s="1"/>
      <c r="U713" s="1" t="s">
        <v>35</v>
      </c>
      <c r="V713" s="1" t="s">
        <v>99</v>
      </c>
      <c r="W713" s="1" t="str">
        <f>VLOOKUP(Table1[[#This Row],[Obergruppe ATC-Code]],Tabelle3!$A$2:$B$100,2)</f>
        <v>MITTEL, DIE DEN LIPIDSTOFFWECHSEL BEEINFLUSSEN</v>
      </c>
      <c r="X713" s="1" t="str">
        <f xml:space="preserve"> LEFT(Table1[[#This Row],[Atc Code]],3)</f>
        <v>C10</v>
      </c>
    </row>
    <row r="714" spans="1:24" ht="14.4">
      <c r="A714" s="14">
        <v>1696</v>
      </c>
      <c r="B714" s="24" t="s">
        <v>1841</v>
      </c>
      <c r="C714" s="1">
        <v>2153870</v>
      </c>
      <c r="D714" s="1" t="s">
        <v>25</v>
      </c>
      <c r="E714" s="36">
        <v>43405</v>
      </c>
      <c r="F714" s="36">
        <v>43585</v>
      </c>
      <c r="G714" s="38">
        <f t="shared" si="11"/>
        <v>180</v>
      </c>
      <c r="H714" s="5">
        <v>43497</v>
      </c>
      <c r="I714" s="5">
        <v>43578</v>
      </c>
      <c r="J714" s="1" t="s">
        <v>26</v>
      </c>
      <c r="K714" s="1" t="s">
        <v>1842</v>
      </c>
      <c r="L714" s="1" t="s">
        <v>1837</v>
      </c>
      <c r="M714" s="1" t="s">
        <v>1838</v>
      </c>
      <c r="N714" s="1" t="s">
        <v>30</v>
      </c>
      <c r="O714" s="1" t="s">
        <v>97</v>
      </c>
      <c r="P714" s="1">
        <v>214403990</v>
      </c>
      <c r="Q714" s="1" t="s">
        <v>98</v>
      </c>
      <c r="R714" s="1" t="s">
        <v>33</v>
      </c>
      <c r="S714" s="1"/>
      <c r="U714" s="1" t="s">
        <v>35</v>
      </c>
      <c r="V714" s="1" t="s">
        <v>99</v>
      </c>
      <c r="W714" s="1" t="str">
        <f>VLOOKUP(Table1[[#This Row],[Obergruppe ATC-Code]],Tabelle3!$A$2:$B$100,2)</f>
        <v>MITTEL, DIE DEN LIPIDSTOFFWECHSEL BEEINFLUSSEN</v>
      </c>
      <c r="X714" s="1" t="str">
        <f xml:space="preserve"> LEFT(Table1[[#This Row],[Atc Code]],3)</f>
        <v>C10</v>
      </c>
    </row>
    <row r="715" spans="1:24" ht="14.4">
      <c r="A715" s="14">
        <v>836</v>
      </c>
      <c r="B715" s="25">
        <v>7021749</v>
      </c>
      <c r="C715" s="1">
        <v>2186718</v>
      </c>
      <c r="D715" s="1" t="s">
        <v>25</v>
      </c>
      <c r="E715" s="36">
        <v>43374</v>
      </c>
      <c r="F715" s="36">
        <v>43646</v>
      </c>
      <c r="G715" s="38">
        <f t="shared" si="11"/>
        <v>272</v>
      </c>
      <c r="H715" s="5">
        <v>43497</v>
      </c>
      <c r="I715" s="5">
        <v>43630</v>
      </c>
      <c r="J715" s="1" t="s">
        <v>26</v>
      </c>
      <c r="K715" s="1" t="s">
        <v>1843</v>
      </c>
      <c r="L715" s="1" t="s">
        <v>1837</v>
      </c>
      <c r="M715" s="1" t="s">
        <v>1838</v>
      </c>
      <c r="N715" s="1" t="s">
        <v>30</v>
      </c>
      <c r="O715" s="1" t="s">
        <v>97</v>
      </c>
      <c r="P715" s="1">
        <v>214403990</v>
      </c>
      <c r="Q715" s="1" t="s">
        <v>98</v>
      </c>
      <c r="R715" s="1" t="s">
        <v>33</v>
      </c>
      <c r="S715" s="1"/>
      <c r="U715" s="1" t="s">
        <v>35</v>
      </c>
      <c r="V715" s="1" t="s">
        <v>99</v>
      </c>
      <c r="W715" s="1" t="str">
        <f>VLOOKUP(Table1[[#This Row],[Obergruppe ATC-Code]],Tabelle3!$A$2:$B$100,2)</f>
        <v>MITTEL, DIE DEN LIPIDSTOFFWECHSEL BEEINFLUSSEN</v>
      </c>
      <c r="X715" s="1" t="str">
        <f xml:space="preserve"> LEFT(Table1[[#This Row],[Atc Code]],3)</f>
        <v>C10</v>
      </c>
    </row>
    <row r="716" spans="1:24" ht="14.4">
      <c r="A716" s="14">
        <v>42</v>
      </c>
      <c r="B716" s="25">
        <v>232265</v>
      </c>
      <c r="C716" s="1">
        <v>2153871</v>
      </c>
      <c r="D716" s="1" t="s">
        <v>25</v>
      </c>
      <c r="E716" s="36">
        <v>43556</v>
      </c>
      <c r="F716" s="36">
        <v>43677</v>
      </c>
      <c r="G716" s="38">
        <f t="shared" si="11"/>
        <v>121</v>
      </c>
      <c r="H716" s="5">
        <v>43578</v>
      </c>
      <c r="I716" s="5">
        <v>43672</v>
      </c>
      <c r="J716" s="1" t="s">
        <v>26</v>
      </c>
      <c r="K716" s="1" t="s">
        <v>1844</v>
      </c>
      <c r="L716" s="1" t="s">
        <v>1837</v>
      </c>
      <c r="M716" s="1" t="s">
        <v>1838</v>
      </c>
      <c r="N716" s="1" t="s">
        <v>30</v>
      </c>
      <c r="O716" s="1" t="s">
        <v>97</v>
      </c>
      <c r="P716" s="1">
        <v>214403990</v>
      </c>
      <c r="Q716" s="1" t="s">
        <v>98</v>
      </c>
      <c r="R716" s="1" t="s">
        <v>33</v>
      </c>
      <c r="S716" s="1"/>
      <c r="U716" s="1" t="s">
        <v>35</v>
      </c>
      <c r="V716" s="1" t="s">
        <v>99</v>
      </c>
      <c r="W716" s="1" t="str">
        <f>VLOOKUP(Table1[[#This Row],[Obergruppe ATC-Code]],Tabelle3!$A$2:$B$100,2)</f>
        <v>MITTEL, DIE DEN LIPIDSTOFFWECHSEL BEEINFLUSSEN</v>
      </c>
      <c r="X716" s="1" t="str">
        <f xml:space="preserve"> LEFT(Table1[[#This Row],[Atc Code]],3)</f>
        <v>C10</v>
      </c>
    </row>
    <row r="717" spans="1:24" ht="14.4">
      <c r="A717" s="14">
        <v>41</v>
      </c>
      <c r="B717" s="25">
        <v>232176</v>
      </c>
      <c r="C717" s="1">
        <v>2153869</v>
      </c>
      <c r="D717" s="1" t="s">
        <v>25</v>
      </c>
      <c r="E717" s="36">
        <v>43556</v>
      </c>
      <c r="F717" s="36">
        <v>43738</v>
      </c>
      <c r="G717" s="38">
        <f t="shared" si="11"/>
        <v>182</v>
      </c>
      <c r="H717" s="5">
        <v>43578</v>
      </c>
      <c r="I717" s="5">
        <v>43735</v>
      </c>
      <c r="J717" s="1" t="s">
        <v>26</v>
      </c>
      <c r="K717" s="1" t="s">
        <v>1845</v>
      </c>
      <c r="L717" s="1" t="s">
        <v>1837</v>
      </c>
      <c r="M717" s="1" t="s">
        <v>1838</v>
      </c>
      <c r="N717" s="1" t="s">
        <v>30</v>
      </c>
      <c r="O717" s="1" t="s">
        <v>97</v>
      </c>
      <c r="P717" s="1">
        <v>214403990</v>
      </c>
      <c r="Q717" s="1" t="s">
        <v>98</v>
      </c>
      <c r="R717" s="1" t="s">
        <v>33</v>
      </c>
      <c r="S717" s="1"/>
      <c r="U717" s="1" t="s">
        <v>35</v>
      </c>
      <c r="V717" s="1" t="s">
        <v>99</v>
      </c>
      <c r="W717" s="1" t="str">
        <f>VLOOKUP(Table1[[#This Row],[Obergruppe ATC-Code]],Tabelle3!$A$2:$B$100,2)</f>
        <v>MITTEL, DIE DEN LIPIDSTOFFWECHSEL BEEINFLUSSEN</v>
      </c>
      <c r="X717" s="1" t="str">
        <f xml:space="preserve"> LEFT(Table1[[#This Row],[Atc Code]],3)</f>
        <v>C10</v>
      </c>
    </row>
    <row r="718" spans="1:24" ht="14.4">
      <c r="A718" s="14">
        <v>837</v>
      </c>
      <c r="B718" s="25">
        <v>7021896</v>
      </c>
      <c r="C718" s="1">
        <v>2186720</v>
      </c>
      <c r="D718" s="1" t="s">
        <v>25</v>
      </c>
      <c r="E718" s="36">
        <v>43374</v>
      </c>
      <c r="F718" s="36">
        <v>44043</v>
      </c>
      <c r="G718" s="38">
        <f t="shared" si="11"/>
        <v>669</v>
      </c>
      <c r="H718" s="5">
        <v>43497</v>
      </c>
      <c r="I718" s="5">
        <v>44046</v>
      </c>
      <c r="J718" s="1" t="s">
        <v>26</v>
      </c>
      <c r="K718" s="1" t="s">
        <v>1846</v>
      </c>
      <c r="L718" s="1" t="s">
        <v>1837</v>
      </c>
      <c r="M718" s="1" t="s">
        <v>1838</v>
      </c>
      <c r="N718" s="1" t="s">
        <v>30</v>
      </c>
      <c r="O718" s="1" t="s">
        <v>97</v>
      </c>
      <c r="P718" s="1">
        <v>214403990</v>
      </c>
      <c r="Q718" s="1" t="s">
        <v>98</v>
      </c>
      <c r="R718" s="1" t="s">
        <v>33</v>
      </c>
      <c r="S718" s="1"/>
      <c r="U718" s="1" t="s">
        <v>35</v>
      </c>
      <c r="V718" s="1" t="s">
        <v>99</v>
      </c>
      <c r="W718" s="1" t="str">
        <f>VLOOKUP(Table1[[#This Row],[Obergruppe ATC-Code]],Tabelle3!$A$2:$B$100,2)</f>
        <v>MITTEL, DIE DEN LIPIDSTOFFWECHSEL BEEINFLUSSEN</v>
      </c>
      <c r="X718" s="1" t="str">
        <f xml:space="preserve"> LEFT(Table1[[#This Row],[Atc Code]],3)</f>
        <v>C10</v>
      </c>
    </row>
    <row r="719" spans="1:24" ht="14.4">
      <c r="A719" s="14">
        <v>2298</v>
      </c>
      <c r="B719" s="24" t="s">
        <v>1847</v>
      </c>
      <c r="C719" s="1">
        <v>2186719</v>
      </c>
      <c r="D719" s="1" t="s">
        <v>25</v>
      </c>
      <c r="E719" s="36">
        <v>43374</v>
      </c>
      <c r="F719" s="36">
        <v>44135</v>
      </c>
      <c r="G719" s="38">
        <f t="shared" si="11"/>
        <v>761</v>
      </c>
      <c r="H719" s="5">
        <v>43497</v>
      </c>
      <c r="I719" s="5">
        <v>44137</v>
      </c>
      <c r="J719" s="1" t="s">
        <v>26</v>
      </c>
      <c r="K719" s="1" t="s">
        <v>1848</v>
      </c>
      <c r="L719" s="1" t="s">
        <v>1837</v>
      </c>
      <c r="M719" s="1" t="s">
        <v>1838</v>
      </c>
      <c r="N719" s="1" t="s">
        <v>30</v>
      </c>
      <c r="O719" s="1" t="s">
        <v>97</v>
      </c>
      <c r="P719" s="1">
        <v>214403990</v>
      </c>
      <c r="Q719" s="1" t="s">
        <v>98</v>
      </c>
      <c r="R719" s="1" t="s">
        <v>33</v>
      </c>
      <c r="S719" s="1"/>
      <c r="U719" s="1" t="s">
        <v>35</v>
      </c>
      <c r="V719" s="1" t="s">
        <v>99</v>
      </c>
      <c r="W719" s="1" t="str">
        <f>VLOOKUP(Table1[[#This Row],[Obergruppe ATC-Code]],Tabelle3!$A$2:$B$100,2)</f>
        <v>MITTEL, DIE DEN LIPIDSTOFFWECHSEL BEEINFLUSSEN</v>
      </c>
      <c r="X719" s="1" t="str">
        <f xml:space="preserve"> LEFT(Table1[[#This Row],[Atc Code]],3)</f>
        <v>C10</v>
      </c>
    </row>
    <row r="720" spans="1:24" ht="14.4">
      <c r="A720" s="14">
        <v>2522</v>
      </c>
      <c r="B720" s="24" t="s">
        <v>1849</v>
      </c>
      <c r="C720" s="1">
        <v>2150624</v>
      </c>
      <c r="D720" s="1" t="s">
        <v>25</v>
      </c>
      <c r="E720" s="36">
        <v>45103</v>
      </c>
      <c r="F720" s="36">
        <v>45134</v>
      </c>
      <c r="G720" s="38">
        <f t="shared" si="11"/>
        <v>31</v>
      </c>
      <c r="H720" s="5">
        <v>45107</v>
      </c>
      <c r="I720" s="5">
        <v>45134</v>
      </c>
      <c r="J720" s="1" t="s">
        <v>41</v>
      </c>
      <c r="K720" s="1" t="s">
        <v>1850</v>
      </c>
      <c r="L720" s="1" t="s">
        <v>1837</v>
      </c>
      <c r="M720" s="1" t="s">
        <v>1838</v>
      </c>
      <c r="N720" s="1" t="s">
        <v>38</v>
      </c>
      <c r="O720" s="1" t="s">
        <v>140</v>
      </c>
      <c r="Q720" s="1" t="s">
        <v>141</v>
      </c>
      <c r="R720" s="1" t="s">
        <v>942</v>
      </c>
      <c r="S720" s="1"/>
      <c r="U720" s="1" t="s">
        <v>130</v>
      </c>
      <c r="V720" s="1" t="s">
        <v>99</v>
      </c>
      <c r="W720" s="1" t="str">
        <f>VLOOKUP(Table1[[#This Row],[Obergruppe ATC-Code]],Tabelle3!$A$2:$B$100,2)</f>
        <v>MITTEL, DIE DEN LIPIDSTOFFWECHSEL BEEINFLUSSEN</v>
      </c>
      <c r="X720" s="1" t="str">
        <f xml:space="preserve"> LEFT(Table1[[#This Row],[Atc Code]],3)</f>
        <v>C10</v>
      </c>
    </row>
    <row r="721" spans="1:24" ht="14.4">
      <c r="A721" s="14">
        <v>2521</v>
      </c>
      <c r="B721" s="24" t="s">
        <v>1851</v>
      </c>
      <c r="C721" s="1">
        <v>2150623</v>
      </c>
      <c r="D721" s="1" t="s">
        <v>25</v>
      </c>
      <c r="E721" s="36">
        <v>45103</v>
      </c>
      <c r="F721" s="36">
        <v>45131</v>
      </c>
      <c r="G721" s="38">
        <f t="shared" si="11"/>
        <v>28</v>
      </c>
      <c r="H721" s="5">
        <v>45107</v>
      </c>
      <c r="I721" s="5">
        <v>45134</v>
      </c>
      <c r="J721" s="1" t="s">
        <v>41</v>
      </c>
      <c r="K721" s="1" t="s">
        <v>1852</v>
      </c>
      <c r="L721" s="1" t="s">
        <v>1837</v>
      </c>
      <c r="M721" s="1" t="s">
        <v>1838</v>
      </c>
      <c r="N721" s="1" t="s">
        <v>38</v>
      </c>
      <c r="O721" s="1" t="s">
        <v>140</v>
      </c>
      <c r="Q721" s="1" t="s">
        <v>141</v>
      </c>
      <c r="R721" s="1" t="s">
        <v>942</v>
      </c>
      <c r="S721" s="1"/>
      <c r="U721" s="1" t="s">
        <v>130</v>
      </c>
      <c r="V721" s="1" t="s">
        <v>99</v>
      </c>
      <c r="W721" s="1" t="str">
        <f>VLOOKUP(Table1[[#This Row],[Obergruppe ATC-Code]],Tabelle3!$A$2:$B$100,2)</f>
        <v>MITTEL, DIE DEN LIPIDSTOFFWECHSEL BEEINFLUSSEN</v>
      </c>
      <c r="X721" s="1" t="str">
        <f xml:space="preserve"> LEFT(Table1[[#This Row],[Atc Code]],3)</f>
        <v>C10</v>
      </c>
    </row>
    <row r="722" spans="1:24" ht="14.4">
      <c r="A722" s="14">
        <v>1153</v>
      </c>
      <c r="B722" s="24">
        <v>9900685</v>
      </c>
      <c r="C722" s="1">
        <v>2150622</v>
      </c>
      <c r="D722" s="1" t="s">
        <v>102</v>
      </c>
      <c r="E722" s="36">
        <v>45103</v>
      </c>
      <c r="F722" s="36">
        <v>45230</v>
      </c>
      <c r="G722" s="38">
        <f t="shared" si="11"/>
        <v>127</v>
      </c>
      <c r="H722" s="5">
        <v>45107</v>
      </c>
      <c r="I722" s="5">
        <v>45180</v>
      </c>
      <c r="J722" s="1" t="s">
        <v>41</v>
      </c>
      <c r="K722" s="1" t="s">
        <v>1853</v>
      </c>
      <c r="L722" s="1" t="s">
        <v>1837</v>
      </c>
      <c r="M722" s="1" t="s">
        <v>1838</v>
      </c>
      <c r="N722" s="1" t="s">
        <v>38</v>
      </c>
      <c r="O722" s="1" t="s">
        <v>140</v>
      </c>
      <c r="Q722" s="1" t="s">
        <v>141</v>
      </c>
      <c r="R722" s="1" t="s">
        <v>942</v>
      </c>
      <c r="S722" s="1"/>
      <c r="U722" s="1" t="s">
        <v>130</v>
      </c>
      <c r="V722" s="1" t="s">
        <v>99</v>
      </c>
      <c r="W722" s="1" t="str">
        <f>VLOOKUP(Table1[[#This Row],[Obergruppe ATC-Code]],Tabelle3!$A$2:$B$100,2)</f>
        <v>MITTEL, DIE DEN LIPIDSTOFFWECHSEL BEEINFLUSSEN</v>
      </c>
      <c r="X722" s="1" t="str">
        <f xml:space="preserve"> LEFT(Table1[[#This Row],[Atc Code]],3)</f>
        <v>C10</v>
      </c>
    </row>
    <row r="723" spans="1:24" ht="14.4">
      <c r="A723" s="14">
        <v>2480</v>
      </c>
      <c r="B723" s="24" t="s">
        <v>1854</v>
      </c>
      <c r="C723" s="1">
        <v>2180408</v>
      </c>
      <c r="D723" s="1" t="s">
        <v>25</v>
      </c>
      <c r="E723" s="36">
        <v>43891</v>
      </c>
      <c r="F723" s="36">
        <v>44012</v>
      </c>
      <c r="G723" s="38">
        <f t="shared" si="11"/>
        <v>121</v>
      </c>
      <c r="H723" s="5">
        <v>43916</v>
      </c>
      <c r="I723" s="5">
        <v>43999</v>
      </c>
      <c r="J723" s="1" t="s">
        <v>26</v>
      </c>
      <c r="K723" s="1" t="s">
        <v>1855</v>
      </c>
      <c r="L723" s="1" t="s">
        <v>1856</v>
      </c>
      <c r="M723" s="1" t="s">
        <v>1857</v>
      </c>
      <c r="N723" s="1" t="s">
        <v>30</v>
      </c>
      <c r="O723" s="1" t="s">
        <v>45</v>
      </c>
      <c r="P723" s="1" t="s">
        <v>104</v>
      </c>
      <c r="Q723" s="1" t="s">
        <v>105</v>
      </c>
      <c r="R723" s="1" t="s">
        <v>33</v>
      </c>
      <c r="S723" s="1"/>
      <c r="U723" s="1" t="s">
        <v>35</v>
      </c>
      <c r="V723" s="1" t="s">
        <v>99</v>
      </c>
      <c r="W723" s="1" t="str">
        <f>VLOOKUP(Table1[[#This Row],[Obergruppe ATC-Code]],Tabelle3!$A$2:$B$100,2)</f>
        <v>MITTEL, DIE DEN LIPIDSTOFFWECHSEL BEEINFLUSSEN</v>
      </c>
      <c r="X723" s="1" t="str">
        <f xml:space="preserve"> LEFT(Table1[[#This Row],[Atc Code]],3)</f>
        <v>C10</v>
      </c>
    </row>
    <row r="724" spans="1:24" ht="14.4">
      <c r="A724" s="14">
        <v>1109</v>
      </c>
      <c r="B724" s="25">
        <v>9374920</v>
      </c>
      <c r="C724" s="1">
        <v>2179136</v>
      </c>
      <c r="D724" s="1" t="s">
        <v>25</v>
      </c>
      <c r="E724" s="36">
        <v>43891</v>
      </c>
      <c r="F724" s="36">
        <v>44012</v>
      </c>
      <c r="G724" s="38">
        <f t="shared" si="11"/>
        <v>121</v>
      </c>
      <c r="H724" s="5">
        <v>43916</v>
      </c>
      <c r="I724" s="5">
        <v>44021</v>
      </c>
      <c r="J724" s="1" t="s">
        <v>26</v>
      </c>
      <c r="K724" s="1" t="s">
        <v>1858</v>
      </c>
      <c r="L724" s="1" t="s">
        <v>1856</v>
      </c>
      <c r="M724" s="1" t="s">
        <v>1859</v>
      </c>
      <c r="N724" s="1" t="s">
        <v>38</v>
      </c>
      <c r="O724" s="1" t="s">
        <v>117</v>
      </c>
      <c r="P724" s="1" t="s">
        <v>104</v>
      </c>
      <c r="Q724" s="1" t="s">
        <v>105</v>
      </c>
      <c r="R724" s="1" t="s">
        <v>33</v>
      </c>
      <c r="S724" s="1"/>
      <c r="U724" s="1" t="s">
        <v>35</v>
      </c>
      <c r="V724" s="1" t="s">
        <v>99</v>
      </c>
      <c r="W724" s="1" t="str">
        <f>VLOOKUP(Table1[[#This Row],[Obergruppe ATC-Code]],Tabelle3!$A$2:$B$100,2)</f>
        <v>MITTEL, DIE DEN LIPIDSTOFFWECHSEL BEEINFLUSSEN</v>
      </c>
      <c r="X724" s="1" t="str">
        <f xml:space="preserve"> LEFT(Table1[[#This Row],[Atc Code]],3)</f>
        <v>C10</v>
      </c>
    </row>
    <row r="725" spans="1:24" ht="14.4">
      <c r="A725" s="14">
        <v>1107</v>
      </c>
      <c r="B725" s="24">
        <v>9327702</v>
      </c>
      <c r="C725" s="1">
        <v>2193859</v>
      </c>
      <c r="D725" s="1" t="s">
        <v>25</v>
      </c>
      <c r="E725" s="36">
        <v>45127</v>
      </c>
      <c r="F725" s="36">
        <v>45198</v>
      </c>
      <c r="G725" s="38">
        <f t="shared" si="11"/>
        <v>71</v>
      </c>
      <c r="H725" s="5">
        <v>45140</v>
      </c>
      <c r="I725" s="5">
        <v>45198</v>
      </c>
      <c r="J725" s="1" t="s">
        <v>41</v>
      </c>
      <c r="K725" s="1" t="s">
        <v>1860</v>
      </c>
      <c r="L725" s="1" t="s">
        <v>1856</v>
      </c>
      <c r="M725" s="1" t="s">
        <v>1861</v>
      </c>
      <c r="N725" s="1" t="s">
        <v>38</v>
      </c>
      <c r="O725" s="1" t="s">
        <v>123</v>
      </c>
      <c r="Q725" s="1" t="s">
        <v>201</v>
      </c>
      <c r="R725" s="1" t="s">
        <v>128</v>
      </c>
      <c r="S725" s="1"/>
      <c r="U725" s="1" t="s">
        <v>130</v>
      </c>
      <c r="V725" s="1" t="s">
        <v>99</v>
      </c>
      <c r="W725" s="1" t="str">
        <f>VLOOKUP(Table1[[#This Row],[Obergruppe ATC-Code]],Tabelle3!$A$2:$B$100,2)</f>
        <v>MITTEL, DIE DEN LIPIDSTOFFWECHSEL BEEINFLUSSEN</v>
      </c>
      <c r="X725" s="1" t="str">
        <f xml:space="preserve"> LEFT(Table1[[#This Row],[Atc Code]],3)</f>
        <v>C10</v>
      </c>
    </row>
    <row r="726" spans="1:24" ht="14.4">
      <c r="A726" s="14">
        <v>2792</v>
      </c>
      <c r="B726" s="24" t="s">
        <v>1862</v>
      </c>
      <c r="C726" s="1">
        <v>2193812</v>
      </c>
      <c r="D726" s="1" t="s">
        <v>25</v>
      </c>
      <c r="E726" s="36">
        <v>44105</v>
      </c>
      <c r="F726" s="36">
        <v>44286</v>
      </c>
      <c r="G726" s="38">
        <f t="shared" si="11"/>
        <v>181</v>
      </c>
      <c r="H726" s="5">
        <v>44109</v>
      </c>
      <c r="I726" s="5">
        <v>44257</v>
      </c>
      <c r="J726" s="1" t="s">
        <v>26</v>
      </c>
      <c r="K726" s="1" t="s">
        <v>1863</v>
      </c>
      <c r="L726" s="1" t="s">
        <v>1864</v>
      </c>
      <c r="M726" s="1" t="s">
        <v>1865</v>
      </c>
      <c r="N726" s="1" t="s">
        <v>38</v>
      </c>
      <c r="O726" s="1" t="s">
        <v>162</v>
      </c>
      <c r="P726" s="1" t="s">
        <v>163</v>
      </c>
      <c r="Q726" s="1" t="s">
        <v>164</v>
      </c>
      <c r="R726" s="1" t="s">
        <v>33</v>
      </c>
      <c r="S726" s="1"/>
      <c r="U726" s="1" t="s">
        <v>35</v>
      </c>
      <c r="V726" s="1" t="s">
        <v>99</v>
      </c>
      <c r="W726" s="1" t="str">
        <f>VLOOKUP(Table1[[#This Row],[Obergruppe ATC-Code]],Tabelle3!$A$2:$B$100,2)</f>
        <v>MITTEL, DIE DEN LIPIDSTOFFWECHSEL BEEINFLUSSEN</v>
      </c>
      <c r="X726" s="1" t="str">
        <f xml:space="preserve"> LEFT(Table1[[#This Row],[Atc Code]],3)</f>
        <v>C10</v>
      </c>
    </row>
    <row r="727" spans="1:24" ht="14.4">
      <c r="A727" s="14">
        <v>2741</v>
      </c>
      <c r="B727" s="24" t="s">
        <v>1866</v>
      </c>
      <c r="C727" s="1">
        <v>2192407</v>
      </c>
      <c r="D727" s="1" t="s">
        <v>25</v>
      </c>
      <c r="E727" s="36">
        <v>45050</v>
      </c>
      <c r="F727" s="36">
        <v>45141</v>
      </c>
      <c r="G727" s="38">
        <f t="shared" si="11"/>
        <v>91</v>
      </c>
      <c r="H727" s="5">
        <v>45103</v>
      </c>
      <c r="I727" s="5">
        <v>45141</v>
      </c>
      <c r="J727" s="1" t="s">
        <v>26</v>
      </c>
      <c r="K727" s="1" t="s">
        <v>1867</v>
      </c>
      <c r="L727" s="1" t="s">
        <v>1864</v>
      </c>
      <c r="M727" s="1" t="s">
        <v>1865</v>
      </c>
      <c r="N727" s="1" t="s">
        <v>38</v>
      </c>
      <c r="O727" s="1" t="s">
        <v>91</v>
      </c>
      <c r="Q727" s="1" t="s">
        <v>93</v>
      </c>
      <c r="R727" s="1" t="s">
        <v>113</v>
      </c>
      <c r="S727" s="1"/>
      <c r="U727" s="1" t="s">
        <v>130</v>
      </c>
      <c r="V727" s="1" t="s">
        <v>99</v>
      </c>
      <c r="W727" s="1" t="str">
        <f>VLOOKUP(Table1[[#This Row],[Obergruppe ATC-Code]],Tabelle3!$A$2:$B$100,2)</f>
        <v>MITTEL, DIE DEN LIPIDSTOFFWECHSEL BEEINFLUSSEN</v>
      </c>
      <c r="X727" s="1" t="str">
        <f xml:space="preserve"> LEFT(Table1[[#This Row],[Atc Code]],3)</f>
        <v>C10</v>
      </c>
    </row>
    <row r="728" spans="1:24" ht="14.4">
      <c r="A728" s="14">
        <v>2815</v>
      </c>
      <c r="B728" s="24" t="s">
        <v>1868</v>
      </c>
      <c r="C728" s="1">
        <v>2197634</v>
      </c>
      <c r="D728" s="1" t="s">
        <v>25</v>
      </c>
      <c r="E728" s="36">
        <v>45009</v>
      </c>
      <c r="F728" s="36">
        <v>45152</v>
      </c>
      <c r="G728" s="38">
        <f t="shared" si="11"/>
        <v>143</v>
      </c>
      <c r="H728" s="5">
        <v>45009</v>
      </c>
      <c r="I728" s="5">
        <v>45153</v>
      </c>
      <c r="J728" s="1" t="s">
        <v>26</v>
      </c>
      <c r="K728" s="1" t="s">
        <v>1869</v>
      </c>
      <c r="L728" s="1" t="s">
        <v>1864</v>
      </c>
      <c r="M728" s="1" t="s">
        <v>1865</v>
      </c>
      <c r="N728" s="1" t="s">
        <v>38</v>
      </c>
      <c r="O728" s="1" t="s">
        <v>140</v>
      </c>
      <c r="Q728" s="1" t="s">
        <v>141</v>
      </c>
      <c r="R728" s="1" t="s">
        <v>142</v>
      </c>
      <c r="S728" s="1"/>
      <c r="U728" s="1" t="s">
        <v>130</v>
      </c>
      <c r="V728" s="1" t="s">
        <v>99</v>
      </c>
      <c r="W728" s="1" t="str">
        <f>VLOOKUP(Table1[[#This Row],[Obergruppe ATC-Code]],Tabelle3!$A$2:$B$100,2)</f>
        <v>MITTEL, DIE DEN LIPIDSTOFFWECHSEL BEEINFLUSSEN</v>
      </c>
      <c r="X728" s="1" t="str">
        <f xml:space="preserve"> LEFT(Table1[[#This Row],[Atc Code]],3)</f>
        <v>C10</v>
      </c>
    </row>
    <row r="729" spans="1:24" ht="14.4">
      <c r="A729" s="14">
        <v>2847</v>
      </c>
      <c r="B729" s="24" t="s">
        <v>1870</v>
      </c>
      <c r="C729" s="1">
        <v>2193814</v>
      </c>
      <c r="D729" s="1" t="s">
        <v>102</v>
      </c>
      <c r="E729" s="36">
        <v>44991</v>
      </c>
      <c r="F729" s="36">
        <v>45291</v>
      </c>
      <c r="G729" s="38">
        <f t="shared" si="11"/>
        <v>300</v>
      </c>
      <c r="H729" s="5">
        <v>44992</v>
      </c>
      <c r="I729" s="5">
        <v>45167</v>
      </c>
      <c r="J729" s="1" t="s">
        <v>26</v>
      </c>
      <c r="K729" s="1" t="s">
        <v>1871</v>
      </c>
      <c r="L729" s="1" t="s">
        <v>1864</v>
      </c>
      <c r="M729" s="1" t="s">
        <v>1865</v>
      </c>
      <c r="N729" s="1" t="s">
        <v>38</v>
      </c>
      <c r="O729" s="1" t="s">
        <v>162</v>
      </c>
      <c r="P729" s="1" t="s">
        <v>163</v>
      </c>
      <c r="R729" s="1" t="s">
        <v>33</v>
      </c>
      <c r="S729" s="1"/>
      <c r="U729" s="1" t="s">
        <v>35</v>
      </c>
      <c r="V729" s="1" t="s">
        <v>99</v>
      </c>
      <c r="W729" s="1" t="str">
        <f>VLOOKUP(Table1[[#This Row],[Obergruppe ATC-Code]],Tabelle3!$A$2:$B$100,2)</f>
        <v>MITTEL, DIE DEN LIPIDSTOFFWECHSEL BEEINFLUSSEN</v>
      </c>
      <c r="X729" s="1" t="str">
        <f xml:space="preserve"> LEFT(Table1[[#This Row],[Atc Code]],3)</f>
        <v>C10</v>
      </c>
    </row>
    <row r="730" spans="1:24" ht="14.4">
      <c r="A730" s="14">
        <v>2793</v>
      </c>
      <c r="B730" s="24" t="s">
        <v>1872</v>
      </c>
      <c r="C730" s="1">
        <v>2193813</v>
      </c>
      <c r="D730" s="1" t="s">
        <v>102</v>
      </c>
      <c r="E730" s="36">
        <v>44991</v>
      </c>
      <c r="F730" s="36">
        <v>45291</v>
      </c>
      <c r="G730" s="38">
        <f t="shared" si="11"/>
        <v>300</v>
      </c>
      <c r="H730" s="5">
        <v>44978</v>
      </c>
      <c r="I730" s="5">
        <v>45167</v>
      </c>
      <c r="J730" s="1" t="s">
        <v>26</v>
      </c>
      <c r="K730" s="1" t="s">
        <v>1873</v>
      </c>
      <c r="L730" s="1" t="s">
        <v>1864</v>
      </c>
      <c r="M730" s="1" t="s">
        <v>1865</v>
      </c>
      <c r="N730" s="1" t="s">
        <v>38</v>
      </c>
      <c r="O730" s="1" t="s">
        <v>162</v>
      </c>
      <c r="P730" s="1" t="s">
        <v>163</v>
      </c>
      <c r="R730" s="1" t="s">
        <v>33</v>
      </c>
      <c r="S730" s="1"/>
      <c r="U730" s="1" t="s">
        <v>35</v>
      </c>
      <c r="V730" s="1" t="s">
        <v>99</v>
      </c>
      <c r="W730" s="1" t="str">
        <f>VLOOKUP(Table1[[#This Row],[Obergruppe ATC-Code]],Tabelle3!$A$2:$B$100,2)</f>
        <v>MITTEL, DIE DEN LIPIDSTOFFWECHSEL BEEINFLUSSEN</v>
      </c>
      <c r="X730" s="1" t="str">
        <f xml:space="preserve"> LEFT(Table1[[#This Row],[Atc Code]],3)</f>
        <v>C10</v>
      </c>
    </row>
    <row r="731" spans="1:24" ht="14.4">
      <c r="A731" s="14">
        <v>2791</v>
      </c>
      <c r="B731" s="24" t="s">
        <v>1874</v>
      </c>
      <c r="C731" s="1">
        <v>2193812</v>
      </c>
      <c r="D731" s="1" t="s">
        <v>102</v>
      </c>
      <c r="E731" s="36">
        <v>44991</v>
      </c>
      <c r="F731" s="36">
        <v>45291</v>
      </c>
      <c r="G731" s="38">
        <f t="shared" si="11"/>
        <v>300</v>
      </c>
      <c r="H731" s="5">
        <v>44992</v>
      </c>
      <c r="I731" s="5">
        <v>45167</v>
      </c>
      <c r="J731" s="1" t="s">
        <v>26</v>
      </c>
      <c r="K731" s="1" t="s">
        <v>1863</v>
      </c>
      <c r="L731" s="1" t="s">
        <v>1864</v>
      </c>
      <c r="M731" s="1" t="s">
        <v>1865</v>
      </c>
      <c r="N731" s="1" t="s">
        <v>38</v>
      </c>
      <c r="O731" s="1" t="s">
        <v>162</v>
      </c>
      <c r="P731" s="1" t="s">
        <v>163</v>
      </c>
      <c r="R731" s="1" t="s">
        <v>33</v>
      </c>
      <c r="S731" s="1"/>
      <c r="U731" s="1" t="s">
        <v>35</v>
      </c>
      <c r="V731" s="1" t="s">
        <v>99</v>
      </c>
      <c r="W731" s="1" t="str">
        <f>VLOOKUP(Table1[[#This Row],[Obergruppe ATC-Code]],Tabelle3!$A$2:$B$100,2)</f>
        <v>MITTEL, DIE DEN LIPIDSTOFFWECHSEL BEEINFLUSSEN</v>
      </c>
      <c r="X731" s="1" t="str">
        <f xml:space="preserve"> LEFT(Table1[[#This Row],[Atc Code]],3)</f>
        <v>C10</v>
      </c>
    </row>
    <row r="732" spans="1:24" ht="14.4">
      <c r="A732" s="14">
        <v>2790</v>
      </c>
      <c r="B732" s="24" t="s">
        <v>1875</v>
      </c>
      <c r="C732" s="1">
        <v>2193811</v>
      </c>
      <c r="D732" s="1" t="s">
        <v>102</v>
      </c>
      <c r="E732" s="36">
        <v>44991</v>
      </c>
      <c r="F732" s="36">
        <v>45291</v>
      </c>
      <c r="G732" s="38">
        <f t="shared" si="11"/>
        <v>300</v>
      </c>
      <c r="H732" s="5">
        <v>44972</v>
      </c>
      <c r="I732" s="5">
        <v>45167</v>
      </c>
      <c r="J732" s="1" t="s">
        <v>26</v>
      </c>
      <c r="K732" s="1" t="s">
        <v>1876</v>
      </c>
      <c r="L732" s="1" t="s">
        <v>1864</v>
      </c>
      <c r="M732" s="1" t="s">
        <v>1865</v>
      </c>
      <c r="N732" s="1" t="s">
        <v>38</v>
      </c>
      <c r="O732" s="1" t="s">
        <v>162</v>
      </c>
      <c r="P732" s="1" t="s">
        <v>163</v>
      </c>
      <c r="R732" s="1" t="s">
        <v>33</v>
      </c>
      <c r="S732" s="1"/>
      <c r="U732" s="1" t="s">
        <v>35</v>
      </c>
      <c r="V732" s="1" t="s">
        <v>99</v>
      </c>
      <c r="W732" s="1" t="str">
        <f>VLOOKUP(Table1[[#This Row],[Obergruppe ATC-Code]],Tabelle3!$A$2:$B$100,2)</f>
        <v>MITTEL, DIE DEN LIPIDSTOFFWECHSEL BEEINFLUSSEN</v>
      </c>
      <c r="X732" s="1" t="str">
        <f xml:space="preserve"> LEFT(Table1[[#This Row],[Atc Code]],3)</f>
        <v>C10</v>
      </c>
    </row>
    <row r="733" spans="1:24" ht="14.4">
      <c r="A733" s="14">
        <v>2894</v>
      </c>
      <c r="B733" s="24" t="s">
        <v>1877</v>
      </c>
      <c r="C733" s="1">
        <v>2192412</v>
      </c>
      <c r="D733" s="1" t="s">
        <v>102</v>
      </c>
      <c r="E733" s="36">
        <v>45090</v>
      </c>
      <c r="F733" s="36">
        <v>45233</v>
      </c>
      <c r="G733" s="38">
        <f t="shared" si="11"/>
        <v>143</v>
      </c>
      <c r="H733" s="5">
        <v>45103</v>
      </c>
      <c r="I733" s="5">
        <v>45177</v>
      </c>
      <c r="J733" s="1" t="s">
        <v>26</v>
      </c>
      <c r="K733" s="1" t="s">
        <v>1878</v>
      </c>
      <c r="L733" s="1" t="s">
        <v>1864</v>
      </c>
      <c r="M733" s="1" t="s">
        <v>1865</v>
      </c>
      <c r="N733" s="1" t="s">
        <v>38</v>
      </c>
      <c r="O733" s="1" t="s">
        <v>52</v>
      </c>
      <c r="Q733" s="1" t="s">
        <v>54</v>
      </c>
      <c r="R733" s="1" t="s">
        <v>113</v>
      </c>
      <c r="S733" s="1"/>
      <c r="U733" s="1" t="s">
        <v>35</v>
      </c>
      <c r="V733" s="1" t="s">
        <v>99</v>
      </c>
      <c r="W733" s="1" t="str">
        <f>VLOOKUP(Table1[[#This Row],[Obergruppe ATC-Code]],Tabelle3!$A$2:$B$100,2)</f>
        <v>MITTEL, DIE DEN LIPIDSTOFFWECHSEL BEEINFLUSSEN</v>
      </c>
      <c r="X733" s="1" t="str">
        <f xml:space="preserve"> LEFT(Table1[[#This Row],[Atc Code]],3)</f>
        <v>C10</v>
      </c>
    </row>
    <row r="734" spans="1:24" ht="14.4">
      <c r="A734" s="14">
        <v>1396</v>
      </c>
      <c r="B734" s="24">
        <v>13836071</v>
      </c>
      <c r="C734" s="1">
        <v>2197102</v>
      </c>
      <c r="D734" s="1" t="s">
        <v>25</v>
      </c>
      <c r="E734" s="36">
        <v>45099</v>
      </c>
      <c r="F734" s="36">
        <v>45191</v>
      </c>
      <c r="G734" s="38">
        <f t="shared" si="11"/>
        <v>92</v>
      </c>
      <c r="H734" s="5">
        <v>45099</v>
      </c>
      <c r="I734" s="5">
        <v>45183</v>
      </c>
      <c r="J734" s="1" t="s">
        <v>41</v>
      </c>
      <c r="K734" s="1" t="s">
        <v>1879</v>
      </c>
      <c r="L734" s="1" t="s">
        <v>1864</v>
      </c>
      <c r="M734" s="1" t="s">
        <v>1865</v>
      </c>
      <c r="N734" s="1" t="s">
        <v>38</v>
      </c>
      <c r="O734" s="1" t="s">
        <v>1489</v>
      </c>
      <c r="Q734" s="1" t="s">
        <v>1490</v>
      </c>
      <c r="R734" s="1" t="s">
        <v>128</v>
      </c>
      <c r="S734" s="1"/>
      <c r="U734" s="1" t="s">
        <v>130</v>
      </c>
      <c r="V734" s="1" t="s">
        <v>99</v>
      </c>
      <c r="W734" s="1" t="str">
        <f>VLOOKUP(Table1[[#This Row],[Obergruppe ATC-Code]],Tabelle3!$A$2:$B$100,2)</f>
        <v>MITTEL, DIE DEN LIPIDSTOFFWECHSEL BEEINFLUSSEN</v>
      </c>
      <c r="X734" s="1" t="str">
        <f xml:space="preserve"> LEFT(Table1[[#This Row],[Atc Code]],3)</f>
        <v>C10</v>
      </c>
    </row>
    <row r="735" spans="1:24" ht="14.4">
      <c r="A735" s="14">
        <v>1395</v>
      </c>
      <c r="B735" s="24">
        <v>13836065</v>
      </c>
      <c r="C735" s="1">
        <v>2197101</v>
      </c>
      <c r="D735" s="1" t="s">
        <v>25</v>
      </c>
      <c r="E735" s="36">
        <v>44991</v>
      </c>
      <c r="F735" s="36">
        <v>45191</v>
      </c>
      <c r="G735" s="38">
        <f t="shared" si="11"/>
        <v>200</v>
      </c>
      <c r="H735" s="5">
        <v>44991</v>
      </c>
      <c r="I735" s="5">
        <v>45183</v>
      </c>
      <c r="J735" s="1" t="s">
        <v>26</v>
      </c>
      <c r="K735" s="1" t="s">
        <v>1880</v>
      </c>
      <c r="L735" s="1" t="s">
        <v>1864</v>
      </c>
      <c r="M735" s="1" t="s">
        <v>1865</v>
      </c>
      <c r="N735" s="1" t="s">
        <v>38</v>
      </c>
      <c r="O735" s="1" t="s">
        <v>1489</v>
      </c>
      <c r="P735" s="1" t="s">
        <v>647</v>
      </c>
      <c r="Q735" s="1" t="s">
        <v>1490</v>
      </c>
      <c r="R735" s="1" t="s">
        <v>33</v>
      </c>
      <c r="S735" s="1" t="s">
        <v>647</v>
      </c>
      <c r="U735" s="1" t="s">
        <v>130</v>
      </c>
      <c r="V735" s="1" t="s">
        <v>99</v>
      </c>
      <c r="W735" s="1" t="str">
        <f>VLOOKUP(Table1[[#This Row],[Obergruppe ATC-Code]],Tabelle3!$A$2:$B$100,2)</f>
        <v>MITTEL, DIE DEN LIPIDSTOFFWECHSEL BEEINFLUSSEN</v>
      </c>
      <c r="X735" s="1" t="str">
        <f xml:space="preserve"> LEFT(Table1[[#This Row],[Atc Code]],3)</f>
        <v>C10</v>
      </c>
    </row>
    <row r="736" spans="1:24" ht="14.4">
      <c r="A736" s="14">
        <v>2743</v>
      </c>
      <c r="B736" s="24" t="s">
        <v>1881</v>
      </c>
      <c r="C736" s="1">
        <v>2192409</v>
      </c>
      <c r="D736" s="1" t="s">
        <v>25</v>
      </c>
      <c r="E736" s="36">
        <v>45072</v>
      </c>
      <c r="F736" s="36">
        <v>45191</v>
      </c>
      <c r="G736" s="38">
        <f t="shared" si="11"/>
        <v>119</v>
      </c>
      <c r="H736" s="5">
        <v>45103</v>
      </c>
      <c r="I736" s="5">
        <v>45191</v>
      </c>
      <c r="J736" s="1" t="s">
        <v>26</v>
      </c>
      <c r="K736" s="1" t="s">
        <v>1882</v>
      </c>
      <c r="L736" s="1" t="s">
        <v>1864</v>
      </c>
      <c r="M736" s="1" t="s">
        <v>1865</v>
      </c>
      <c r="N736" s="1" t="s">
        <v>38</v>
      </c>
      <c r="O736" s="1" t="s">
        <v>91</v>
      </c>
      <c r="Q736" s="1" t="s">
        <v>93</v>
      </c>
      <c r="R736" s="1" t="s">
        <v>113</v>
      </c>
      <c r="S736" s="1"/>
      <c r="U736" s="1" t="s">
        <v>35</v>
      </c>
      <c r="V736" s="1" t="s">
        <v>99</v>
      </c>
      <c r="W736" s="1" t="str">
        <f>VLOOKUP(Table1[[#This Row],[Obergruppe ATC-Code]],Tabelle3!$A$2:$B$100,2)</f>
        <v>MITTEL, DIE DEN LIPIDSTOFFWECHSEL BEEINFLUSSEN</v>
      </c>
      <c r="X736" s="1" t="str">
        <f xml:space="preserve"> LEFT(Table1[[#This Row],[Atc Code]],3)</f>
        <v>C10</v>
      </c>
    </row>
    <row r="737" spans="1:24" ht="14.4">
      <c r="A737" s="14">
        <v>2742</v>
      </c>
      <c r="B737" s="24" t="s">
        <v>1883</v>
      </c>
      <c r="C737" s="1">
        <v>2192408</v>
      </c>
      <c r="D737" s="1" t="s">
        <v>25</v>
      </c>
      <c r="E737" s="36">
        <v>44973</v>
      </c>
      <c r="F737" s="36">
        <v>45198</v>
      </c>
      <c r="G737" s="38">
        <f t="shared" si="11"/>
        <v>225</v>
      </c>
      <c r="H737" s="5">
        <v>45103</v>
      </c>
      <c r="I737" s="5">
        <v>45200</v>
      </c>
      <c r="J737" s="1" t="s">
        <v>26</v>
      </c>
      <c r="K737" s="1" t="s">
        <v>1884</v>
      </c>
      <c r="L737" s="1" t="s">
        <v>1864</v>
      </c>
      <c r="M737" s="1" t="s">
        <v>1865</v>
      </c>
      <c r="N737" s="1" t="s">
        <v>38</v>
      </c>
      <c r="O737" s="1" t="s">
        <v>91</v>
      </c>
      <c r="Q737" s="1" t="s">
        <v>93</v>
      </c>
      <c r="R737" s="1" t="s">
        <v>113</v>
      </c>
      <c r="S737" s="1"/>
      <c r="U737" s="1" t="s">
        <v>130</v>
      </c>
      <c r="V737" s="1" t="s">
        <v>99</v>
      </c>
      <c r="W737" s="1" t="str">
        <f>VLOOKUP(Table1[[#This Row],[Obergruppe ATC-Code]],Tabelle3!$A$2:$B$100,2)</f>
        <v>MITTEL, DIE DEN LIPIDSTOFFWECHSEL BEEINFLUSSEN</v>
      </c>
      <c r="X737" s="1" t="str">
        <f xml:space="preserve"> LEFT(Table1[[#This Row],[Atc Code]],3)</f>
        <v>C10</v>
      </c>
    </row>
    <row r="738" spans="1:24" ht="14.4">
      <c r="A738" s="14">
        <v>1585</v>
      </c>
      <c r="B738" s="24">
        <v>17412161</v>
      </c>
      <c r="C738" s="1">
        <v>2192414</v>
      </c>
      <c r="D738" s="1" t="s">
        <v>102</v>
      </c>
      <c r="E738" s="36">
        <v>45063</v>
      </c>
      <c r="F738" s="36">
        <v>45233</v>
      </c>
      <c r="G738" s="38">
        <f t="shared" si="11"/>
        <v>170</v>
      </c>
      <c r="H738" s="5">
        <v>45103</v>
      </c>
      <c r="I738" s="5">
        <v>45200</v>
      </c>
      <c r="J738" s="1" t="s">
        <v>26</v>
      </c>
      <c r="K738" s="1" t="s">
        <v>1885</v>
      </c>
      <c r="L738" s="1" t="s">
        <v>1864</v>
      </c>
      <c r="M738" s="1" t="s">
        <v>1865</v>
      </c>
      <c r="N738" s="1" t="s">
        <v>38</v>
      </c>
      <c r="O738" s="1" t="s">
        <v>52</v>
      </c>
      <c r="Q738" s="1" t="s">
        <v>54</v>
      </c>
      <c r="R738" s="1" t="s">
        <v>113</v>
      </c>
      <c r="S738" s="1"/>
      <c r="U738" s="1" t="s">
        <v>35</v>
      </c>
      <c r="V738" s="1" t="s">
        <v>99</v>
      </c>
      <c r="W738" s="1" t="str">
        <f>VLOOKUP(Table1[[#This Row],[Obergruppe ATC-Code]],Tabelle3!$A$2:$B$100,2)</f>
        <v>MITTEL, DIE DEN LIPIDSTOFFWECHSEL BEEINFLUSSEN</v>
      </c>
      <c r="X738" s="1" t="str">
        <f xml:space="preserve"> LEFT(Table1[[#This Row],[Atc Code]],3)</f>
        <v>C10</v>
      </c>
    </row>
    <row r="739" spans="1:24" ht="14.4">
      <c r="A739" s="14">
        <v>2745</v>
      </c>
      <c r="B739" s="24" t="s">
        <v>1886</v>
      </c>
      <c r="C739" s="1">
        <v>2197633</v>
      </c>
      <c r="D739" s="1" t="s">
        <v>102</v>
      </c>
      <c r="E739" s="36">
        <v>45009</v>
      </c>
      <c r="F739" s="36">
        <v>45341</v>
      </c>
      <c r="G739" s="38">
        <f t="shared" si="11"/>
        <v>332</v>
      </c>
      <c r="H739" s="5">
        <v>45009</v>
      </c>
      <c r="I739" s="5">
        <v>45203</v>
      </c>
      <c r="J739" s="1" t="s">
        <v>26</v>
      </c>
      <c r="K739" s="1" t="s">
        <v>1887</v>
      </c>
      <c r="L739" s="1" t="s">
        <v>1864</v>
      </c>
      <c r="M739" s="1" t="s">
        <v>1865</v>
      </c>
      <c r="N739" s="1" t="s">
        <v>38</v>
      </c>
      <c r="O739" s="1" t="s">
        <v>140</v>
      </c>
      <c r="Q739" s="1" t="s">
        <v>141</v>
      </c>
      <c r="R739" s="1" t="s">
        <v>113</v>
      </c>
      <c r="S739" s="1"/>
      <c r="U739" s="1" t="s">
        <v>130</v>
      </c>
      <c r="V739" s="1" t="s">
        <v>99</v>
      </c>
      <c r="W739" s="1" t="str">
        <f>VLOOKUP(Table1[[#This Row],[Obergruppe ATC-Code]],Tabelle3!$A$2:$B$100,2)</f>
        <v>MITTEL, DIE DEN LIPIDSTOFFWECHSEL BEEINFLUSSEN</v>
      </c>
      <c r="X739" s="1" t="str">
        <f xml:space="preserve"> LEFT(Table1[[#This Row],[Atc Code]],3)</f>
        <v>C10</v>
      </c>
    </row>
    <row r="740" spans="1:24" ht="14.4">
      <c r="A740" s="14">
        <v>2744</v>
      </c>
      <c r="B740" s="24" t="s">
        <v>1888</v>
      </c>
      <c r="C740" s="1">
        <v>2197632</v>
      </c>
      <c r="D740" s="1" t="s">
        <v>102</v>
      </c>
      <c r="E740" s="36">
        <v>45009</v>
      </c>
      <c r="F740" s="36">
        <v>45323</v>
      </c>
      <c r="G740" s="38">
        <f t="shared" si="11"/>
        <v>314</v>
      </c>
      <c r="H740" s="5">
        <v>45009</v>
      </c>
      <c r="I740" s="5">
        <v>45203</v>
      </c>
      <c r="J740" s="1" t="s">
        <v>26</v>
      </c>
      <c r="K740" s="1" t="s">
        <v>1889</v>
      </c>
      <c r="L740" s="1" t="s">
        <v>1864</v>
      </c>
      <c r="M740" s="1" t="s">
        <v>1865</v>
      </c>
      <c r="N740" s="1" t="s">
        <v>38</v>
      </c>
      <c r="O740" s="1" t="s">
        <v>140</v>
      </c>
      <c r="Q740" s="1" t="s">
        <v>141</v>
      </c>
      <c r="R740" s="1" t="s">
        <v>113</v>
      </c>
      <c r="S740" s="1"/>
      <c r="U740" s="1" t="s">
        <v>130</v>
      </c>
      <c r="V740" s="1" t="s">
        <v>99</v>
      </c>
      <c r="W740" s="1" t="str">
        <f>VLOOKUP(Table1[[#This Row],[Obergruppe ATC-Code]],Tabelle3!$A$2:$B$100,2)</f>
        <v>MITTEL, DIE DEN LIPIDSTOFFWECHSEL BEEINFLUSSEN</v>
      </c>
      <c r="X740" s="1" t="str">
        <f xml:space="preserve"> LEFT(Table1[[#This Row],[Atc Code]],3)</f>
        <v>C10</v>
      </c>
    </row>
    <row r="741" spans="1:24" ht="14.4">
      <c r="A741" s="14">
        <v>1369</v>
      </c>
      <c r="B741" s="24">
        <v>13588578</v>
      </c>
      <c r="C741" s="1">
        <v>2197631</v>
      </c>
      <c r="D741" s="1" t="s">
        <v>102</v>
      </c>
      <c r="E741" s="36">
        <v>45009</v>
      </c>
      <c r="F741" s="36">
        <v>45322</v>
      </c>
      <c r="G741" s="38">
        <f t="shared" si="11"/>
        <v>313</v>
      </c>
      <c r="H741" s="5">
        <v>45009</v>
      </c>
      <c r="I741" s="5">
        <v>45203</v>
      </c>
      <c r="J741" s="1" t="s">
        <v>26</v>
      </c>
      <c r="K741" s="1" t="s">
        <v>1890</v>
      </c>
      <c r="L741" s="1" t="s">
        <v>1864</v>
      </c>
      <c r="M741" s="1" t="s">
        <v>1865</v>
      </c>
      <c r="N741" s="1" t="s">
        <v>38</v>
      </c>
      <c r="O741" s="1" t="s">
        <v>140</v>
      </c>
      <c r="Q741" s="1" t="s">
        <v>141</v>
      </c>
      <c r="R741" s="1" t="s">
        <v>142</v>
      </c>
      <c r="S741" s="1"/>
      <c r="U741" s="1" t="s">
        <v>130</v>
      </c>
      <c r="V741" s="1" t="s">
        <v>99</v>
      </c>
      <c r="W741" s="1" t="str">
        <f>VLOOKUP(Table1[[#This Row],[Obergruppe ATC-Code]],Tabelle3!$A$2:$B$100,2)</f>
        <v>MITTEL, DIE DEN LIPIDSTOFFWECHSEL BEEINFLUSSEN</v>
      </c>
      <c r="X741" s="1" t="str">
        <f xml:space="preserve"> LEFT(Table1[[#This Row],[Atc Code]],3)</f>
        <v>C10</v>
      </c>
    </row>
    <row r="742" spans="1:24" ht="14.4">
      <c r="A742" s="14">
        <v>2895</v>
      </c>
      <c r="B742" s="24" t="s">
        <v>1891</v>
      </c>
      <c r="C742" s="1">
        <v>2192413</v>
      </c>
      <c r="D742" s="1" t="s">
        <v>102</v>
      </c>
      <c r="E742" s="36">
        <v>45048</v>
      </c>
      <c r="F742" s="36">
        <v>45289</v>
      </c>
      <c r="G742" s="38">
        <f t="shared" si="11"/>
        <v>241</v>
      </c>
      <c r="H742" s="5">
        <v>45103</v>
      </c>
      <c r="I742" s="5">
        <v>45215</v>
      </c>
      <c r="J742" s="1" t="s">
        <v>26</v>
      </c>
      <c r="K742" s="1" t="s">
        <v>1892</v>
      </c>
      <c r="L742" s="1" t="s">
        <v>1864</v>
      </c>
      <c r="M742" s="1" t="s">
        <v>1865</v>
      </c>
      <c r="N742" s="1" t="s">
        <v>38</v>
      </c>
      <c r="O742" s="1" t="s">
        <v>52</v>
      </c>
      <c r="Q742" s="1" t="s">
        <v>54</v>
      </c>
      <c r="R742" s="1" t="s">
        <v>113</v>
      </c>
      <c r="S742" s="1"/>
      <c r="U742" s="1" t="s">
        <v>35</v>
      </c>
      <c r="V742" s="1" t="s">
        <v>99</v>
      </c>
      <c r="W742" s="1" t="str">
        <f>VLOOKUP(Table1[[#This Row],[Obergruppe ATC-Code]],Tabelle3!$A$2:$B$100,2)</f>
        <v>MITTEL, DIE DEN LIPIDSTOFFWECHSEL BEEINFLUSSEN</v>
      </c>
      <c r="X742" s="1" t="str">
        <f xml:space="preserve"> LEFT(Table1[[#This Row],[Atc Code]],3)</f>
        <v>C10</v>
      </c>
    </row>
    <row r="743" spans="1:24" ht="14.4">
      <c r="A743" s="14">
        <v>1368</v>
      </c>
      <c r="B743" s="24">
        <v>13569724</v>
      </c>
      <c r="C743" s="1">
        <v>2192410</v>
      </c>
      <c r="D743" s="1" t="s">
        <v>102</v>
      </c>
      <c r="E743" s="36">
        <v>45051</v>
      </c>
      <c r="F743" s="36">
        <v>45218</v>
      </c>
      <c r="G743" s="38">
        <f t="shared" si="11"/>
        <v>167</v>
      </c>
      <c r="H743" s="5">
        <v>45103</v>
      </c>
      <c r="I743" s="5">
        <v>45215</v>
      </c>
      <c r="J743" s="1" t="s">
        <v>26</v>
      </c>
      <c r="K743" s="1" t="s">
        <v>1893</v>
      </c>
      <c r="L743" s="1" t="s">
        <v>1864</v>
      </c>
      <c r="M743" s="1" t="s">
        <v>1865</v>
      </c>
      <c r="N743" s="1" t="s">
        <v>38</v>
      </c>
      <c r="O743" s="1" t="s">
        <v>91</v>
      </c>
      <c r="Q743" s="1" t="s">
        <v>93</v>
      </c>
      <c r="R743" s="1" t="s">
        <v>113</v>
      </c>
      <c r="S743" s="1"/>
      <c r="U743" s="1" t="s">
        <v>35</v>
      </c>
      <c r="V743" s="1" t="s">
        <v>99</v>
      </c>
      <c r="W743" s="1" t="str">
        <f>VLOOKUP(Table1[[#This Row],[Obergruppe ATC-Code]],Tabelle3!$A$2:$B$100,2)</f>
        <v>MITTEL, DIE DEN LIPIDSTOFFWECHSEL BEEINFLUSSEN</v>
      </c>
      <c r="X743" s="1" t="str">
        <f xml:space="preserve"> LEFT(Table1[[#This Row],[Atc Code]],3)</f>
        <v>C10</v>
      </c>
    </row>
    <row r="744" spans="1:24" ht="14.4">
      <c r="A744" s="14">
        <v>2796</v>
      </c>
      <c r="B744" s="24" t="s">
        <v>1894</v>
      </c>
      <c r="C744" s="1">
        <v>2111782</v>
      </c>
      <c r="D744" s="1" t="s">
        <v>25</v>
      </c>
      <c r="E744" s="36">
        <v>43983</v>
      </c>
      <c r="F744" s="36">
        <v>44074</v>
      </c>
      <c r="G744" s="38">
        <f t="shared" si="11"/>
        <v>91</v>
      </c>
      <c r="H744" s="5">
        <v>44006</v>
      </c>
      <c r="I744" s="5">
        <v>44068</v>
      </c>
      <c r="J744" s="1" t="s">
        <v>26</v>
      </c>
      <c r="K744" s="1" t="s">
        <v>1895</v>
      </c>
      <c r="L744" s="1" t="s">
        <v>1896</v>
      </c>
      <c r="M744" s="1" t="s">
        <v>1897</v>
      </c>
      <c r="N744" s="1" t="s">
        <v>30</v>
      </c>
      <c r="O744" s="1" t="s">
        <v>110</v>
      </c>
      <c r="P744" s="1" t="s">
        <v>111</v>
      </c>
      <c r="Q744" s="1" t="s">
        <v>112</v>
      </c>
      <c r="R744" s="1" t="s">
        <v>33</v>
      </c>
      <c r="S744" s="1"/>
      <c r="U744" s="1" t="s">
        <v>35</v>
      </c>
      <c r="V744" s="1" t="s">
        <v>99</v>
      </c>
      <c r="W744" s="1" t="str">
        <f>VLOOKUP(Table1[[#This Row],[Obergruppe ATC-Code]],Tabelle3!$A$2:$B$100,2)</f>
        <v>MITTEL, DIE DEN LIPIDSTOFFWECHSEL BEEINFLUSSEN</v>
      </c>
      <c r="X744" s="1" t="str">
        <f xml:space="preserve"> LEFT(Table1[[#This Row],[Atc Code]],3)</f>
        <v>C10</v>
      </c>
    </row>
    <row r="745" spans="1:24" ht="14.4">
      <c r="A745" s="14">
        <v>2795</v>
      </c>
      <c r="B745" s="24" t="s">
        <v>1894</v>
      </c>
      <c r="C745" s="1">
        <v>2111782</v>
      </c>
      <c r="D745" s="1" t="s">
        <v>25</v>
      </c>
      <c r="E745" s="36">
        <v>44075</v>
      </c>
      <c r="F745" s="36">
        <v>44165</v>
      </c>
      <c r="G745" s="38">
        <f t="shared" si="11"/>
        <v>90</v>
      </c>
      <c r="H745" s="5">
        <v>44083</v>
      </c>
      <c r="I745" s="5">
        <v>44139</v>
      </c>
      <c r="J745" s="1" t="s">
        <v>26</v>
      </c>
      <c r="K745" s="1" t="s">
        <v>1895</v>
      </c>
      <c r="L745" s="1" t="s">
        <v>1896</v>
      </c>
      <c r="M745" s="1" t="s">
        <v>1897</v>
      </c>
      <c r="N745" s="1" t="s">
        <v>30</v>
      </c>
      <c r="O745" s="1" t="s">
        <v>110</v>
      </c>
      <c r="P745" s="1" t="s">
        <v>111</v>
      </c>
      <c r="Q745" s="1" t="s">
        <v>112</v>
      </c>
      <c r="R745" s="1" t="s">
        <v>33</v>
      </c>
      <c r="S745" s="1"/>
      <c r="U745" s="1" t="s">
        <v>35</v>
      </c>
      <c r="V745" s="1" t="s">
        <v>99</v>
      </c>
      <c r="W745" s="1" t="str">
        <f>VLOOKUP(Table1[[#This Row],[Obergruppe ATC-Code]],Tabelle3!$A$2:$B$100,2)</f>
        <v>MITTEL, DIE DEN LIPIDSTOFFWECHSEL BEEINFLUSSEN</v>
      </c>
      <c r="X745" s="1" t="str">
        <f xml:space="preserve"> LEFT(Table1[[#This Row],[Atc Code]],3)</f>
        <v>C10</v>
      </c>
    </row>
    <row r="746" spans="1:24" ht="14.4">
      <c r="A746" s="14">
        <v>2119</v>
      </c>
      <c r="B746" s="24" t="s">
        <v>1898</v>
      </c>
      <c r="C746" s="1">
        <v>2111785</v>
      </c>
      <c r="D746" s="1" t="s">
        <v>102</v>
      </c>
      <c r="E746" s="36">
        <v>44013</v>
      </c>
      <c r="F746" s="36">
        <v>45291</v>
      </c>
      <c r="G746" s="38">
        <f t="shared" si="11"/>
        <v>1278</v>
      </c>
      <c r="H746" s="5">
        <v>44020</v>
      </c>
      <c r="I746" s="5">
        <v>45106</v>
      </c>
      <c r="J746" s="1" t="s">
        <v>26</v>
      </c>
      <c r="K746" s="1" t="s">
        <v>1899</v>
      </c>
      <c r="L746" s="1" t="s">
        <v>1896</v>
      </c>
      <c r="M746" s="1" t="s">
        <v>1897</v>
      </c>
      <c r="N746" s="1" t="s">
        <v>38</v>
      </c>
      <c r="O746" s="1" t="s">
        <v>110</v>
      </c>
      <c r="P746" s="1">
        <v>49733396510</v>
      </c>
      <c r="Q746" s="1" t="s">
        <v>112</v>
      </c>
      <c r="R746" s="1" t="s">
        <v>113</v>
      </c>
      <c r="S746" s="1"/>
      <c r="U746" s="1" t="s">
        <v>35</v>
      </c>
      <c r="V746" s="1" t="s">
        <v>359</v>
      </c>
      <c r="W746" s="1" t="str">
        <f>VLOOKUP(Table1[[#This Row],[Obergruppe ATC-Code]],Tabelle3!$A$2:$B$100,2)</f>
        <v>MITTEL, DIE DEN LIPIDSTOFFWECHSEL BEEINFLUSSEN</v>
      </c>
      <c r="X746" s="1" t="str">
        <f xml:space="preserve"> LEFT(Table1[[#This Row],[Atc Code]],3)</f>
        <v>C10</v>
      </c>
    </row>
    <row r="747" spans="1:24" ht="14.4">
      <c r="A747" s="14">
        <v>813</v>
      </c>
      <c r="B747" s="24">
        <v>6735524</v>
      </c>
      <c r="C747" s="1">
        <v>143685</v>
      </c>
      <c r="D747" s="1" t="s">
        <v>25</v>
      </c>
      <c r="E747" s="36">
        <v>44782</v>
      </c>
      <c r="F747" s="36">
        <v>44805</v>
      </c>
      <c r="G747" s="38">
        <f t="shared" si="11"/>
        <v>23</v>
      </c>
      <c r="H747" s="5">
        <v>44797</v>
      </c>
      <c r="I747" s="5">
        <v>44806</v>
      </c>
      <c r="J747" s="1" t="s">
        <v>26</v>
      </c>
      <c r="K747" s="1" t="s">
        <v>1900</v>
      </c>
      <c r="L747" s="1" t="s">
        <v>1901</v>
      </c>
      <c r="M747" s="1" t="s">
        <v>1902</v>
      </c>
      <c r="N747" s="1" t="s">
        <v>38</v>
      </c>
      <c r="O747" s="1" t="s">
        <v>275</v>
      </c>
      <c r="Q747" s="1" t="s">
        <v>283</v>
      </c>
      <c r="R747" s="1" t="s">
        <v>26</v>
      </c>
      <c r="S747" s="1"/>
      <c r="U747" s="1" t="s">
        <v>35</v>
      </c>
      <c r="V747" s="1" t="s">
        <v>1903</v>
      </c>
      <c r="W747" s="1" t="str">
        <f>VLOOKUP(Table1[[#This Row],[Obergruppe ATC-Code]],Tabelle3!$A$2:$B$100,2)</f>
        <v>MITTEL, DIE DEN LIPIDSTOFFWECHSEL BEEINFLUSSEN</v>
      </c>
      <c r="X747" s="1" t="str">
        <f xml:space="preserve"> LEFT(Table1[[#This Row],[Atc Code]],3)</f>
        <v>C10</v>
      </c>
    </row>
    <row r="748" spans="1:24" ht="14.4">
      <c r="A748" s="14">
        <v>1356</v>
      </c>
      <c r="B748" s="24">
        <v>13156703</v>
      </c>
      <c r="C748" s="1">
        <v>2192217</v>
      </c>
      <c r="D748" s="1" t="s">
        <v>25</v>
      </c>
      <c r="E748" s="36">
        <v>44044</v>
      </c>
      <c r="F748" s="36">
        <v>44165</v>
      </c>
      <c r="G748" s="38">
        <f t="shared" si="11"/>
        <v>121</v>
      </c>
      <c r="H748" s="5">
        <v>44075</v>
      </c>
      <c r="I748" s="5">
        <v>44181</v>
      </c>
      <c r="J748" s="1" t="s">
        <v>26</v>
      </c>
      <c r="K748" s="1" t="s">
        <v>1904</v>
      </c>
      <c r="L748" s="1" t="s">
        <v>1905</v>
      </c>
      <c r="M748" s="1" t="s">
        <v>1906</v>
      </c>
      <c r="N748" s="1" t="s">
        <v>38</v>
      </c>
      <c r="O748" s="1" t="s">
        <v>1440</v>
      </c>
      <c r="P748" s="1" t="s">
        <v>1441</v>
      </c>
      <c r="Q748" s="1" t="s">
        <v>1442</v>
      </c>
      <c r="R748" s="1" t="s">
        <v>33</v>
      </c>
      <c r="S748" s="1"/>
      <c r="U748" s="1" t="s">
        <v>35</v>
      </c>
      <c r="V748" s="1" t="s">
        <v>49</v>
      </c>
      <c r="W748" s="1" t="str">
        <f>VLOOKUP(Table1[[#This Row],[Obergruppe ATC-Code]],Tabelle3!$A$2:$B$100,2)</f>
        <v>MITTEL, DIE DEN LIPIDSTOFFWECHSEL BEEINFLUSSEN</v>
      </c>
      <c r="X748" s="1" t="str">
        <f xml:space="preserve"> LEFT(Table1[[#This Row],[Atc Code]],3)</f>
        <v>C10</v>
      </c>
    </row>
    <row r="749" spans="1:24" ht="14.4">
      <c r="A749" s="14">
        <v>1357</v>
      </c>
      <c r="B749" s="24">
        <v>13156703</v>
      </c>
      <c r="C749" s="1">
        <v>2192217</v>
      </c>
      <c r="D749" s="1" t="s">
        <v>25</v>
      </c>
      <c r="E749" s="36">
        <v>44443</v>
      </c>
      <c r="F749" s="36">
        <v>44487</v>
      </c>
      <c r="G749" s="38">
        <f t="shared" si="11"/>
        <v>44</v>
      </c>
      <c r="H749" s="5">
        <v>44476</v>
      </c>
      <c r="I749" s="5">
        <v>44490</v>
      </c>
      <c r="J749" s="1" t="s">
        <v>26</v>
      </c>
      <c r="K749" s="1" t="s">
        <v>1904</v>
      </c>
      <c r="L749" s="1" t="s">
        <v>1905</v>
      </c>
      <c r="M749" s="1" t="s">
        <v>1906</v>
      </c>
      <c r="N749" s="1" t="s">
        <v>38</v>
      </c>
      <c r="O749" s="1" t="s">
        <v>1440</v>
      </c>
      <c r="P749" s="1" t="s">
        <v>1907</v>
      </c>
      <c r="Q749" s="1" t="s">
        <v>1541</v>
      </c>
      <c r="R749" s="1" t="s">
        <v>33</v>
      </c>
      <c r="S749" s="1"/>
      <c r="U749" s="1" t="s">
        <v>35</v>
      </c>
      <c r="V749" s="1" t="s">
        <v>49</v>
      </c>
      <c r="W749" s="1" t="str">
        <f>VLOOKUP(Table1[[#This Row],[Obergruppe ATC-Code]],Tabelle3!$A$2:$B$100,2)</f>
        <v>MITTEL, DIE DEN LIPIDSTOFFWECHSEL BEEINFLUSSEN</v>
      </c>
      <c r="X749" s="1" t="str">
        <f xml:space="preserve"> LEFT(Table1[[#This Row],[Atc Code]],3)</f>
        <v>C10</v>
      </c>
    </row>
    <row r="750" spans="1:24" ht="14.4">
      <c r="A750" s="14">
        <v>2736</v>
      </c>
      <c r="B750" s="24" t="s">
        <v>1908</v>
      </c>
      <c r="C750" s="1">
        <v>2192217</v>
      </c>
      <c r="D750" s="1" t="s">
        <v>25</v>
      </c>
      <c r="E750" s="36">
        <v>44466</v>
      </c>
      <c r="F750" s="36">
        <v>44602</v>
      </c>
      <c r="G750" s="38">
        <f t="shared" si="11"/>
        <v>136</v>
      </c>
      <c r="H750" s="5">
        <v>44476</v>
      </c>
      <c r="I750" s="5">
        <v>44631</v>
      </c>
      <c r="J750" s="1" t="s">
        <v>26</v>
      </c>
      <c r="K750" s="1" t="s">
        <v>1904</v>
      </c>
      <c r="L750" s="1" t="s">
        <v>1905</v>
      </c>
      <c r="M750" s="1" t="s">
        <v>1906</v>
      </c>
      <c r="N750" s="1" t="s">
        <v>38</v>
      </c>
      <c r="O750" s="1" t="s">
        <v>1440</v>
      </c>
      <c r="P750" s="1" t="s">
        <v>1907</v>
      </c>
      <c r="Q750" s="1" t="s">
        <v>1541</v>
      </c>
      <c r="R750" s="1" t="s">
        <v>113</v>
      </c>
      <c r="S750" s="1"/>
      <c r="U750" s="1" t="s">
        <v>35</v>
      </c>
      <c r="V750" s="1" t="s">
        <v>49</v>
      </c>
      <c r="W750" s="1" t="str">
        <f>VLOOKUP(Table1[[#This Row],[Obergruppe ATC-Code]],Tabelle3!$A$2:$B$100,2)</f>
        <v>MITTEL, DIE DEN LIPIDSTOFFWECHSEL BEEINFLUSSEN</v>
      </c>
      <c r="X750" s="1" t="str">
        <f xml:space="preserve"> LEFT(Table1[[#This Row],[Atc Code]],3)</f>
        <v>C10</v>
      </c>
    </row>
    <row r="751" spans="1:24" ht="14.4">
      <c r="A751" s="14">
        <v>1443</v>
      </c>
      <c r="B751" s="24">
        <v>14266204</v>
      </c>
      <c r="C751" s="1">
        <v>2200581</v>
      </c>
      <c r="D751" s="1" t="s">
        <v>25</v>
      </c>
      <c r="E751" s="36">
        <v>44952</v>
      </c>
      <c r="F751" s="36">
        <v>45071</v>
      </c>
      <c r="G751" s="38">
        <f t="shared" si="11"/>
        <v>119</v>
      </c>
      <c r="H751" s="5">
        <v>44967</v>
      </c>
      <c r="I751" s="5">
        <v>45076</v>
      </c>
      <c r="J751" s="1" t="s">
        <v>26</v>
      </c>
      <c r="K751" s="1" t="s">
        <v>1909</v>
      </c>
      <c r="L751" s="1" t="s">
        <v>1910</v>
      </c>
      <c r="M751" s="1" t="s">
        <v>1911</v>
      </c>
      <c r="N751" s="1" t="s">
        <v>38</v>
      </c>
      <c r="O751" s="1" t="s">
        <v>1440</v>
      </c>
      <c r="P751" s="1" t="s">
        <v>1540</v>
      </c>
      <c r="Q751" s="1" t="s">
        <v>1541</v>
      </c>
      <c r="R751" s="1" t="s">
        <v>113</v>
      </c>
      <c r="S751" s="1"/>
      <c r="U751" s="1" t="s">
        <v>35</v>
      </c>
      <c r="V751" s="1" t="s">
        <v>49</v>
      </c>
      <c r="W751" s="1" t="str">
        <f>VLOOKUP(Table1[[#This Row],[Obergruppe ATC-Code]],Tabelle3!$A$2:$B$100,2)</f>
        <v>MITTEL, DIE DEN LIPIDSTOFFWECHSEL BEEINFLUSSEN</v>
      </c>
      <c r="X751" s="1" t="str">
        <f xml:space="preserve"> LEFT(Table1[[#This Row],[Atc Code]],3)</f>
        <v>C10</v>
      </c>
    </row>
    <row r="752" spans="1:24" ht="14.4">
      <c r="A752" s="14">
        <v>2802</v>
      </c>
      <c r="B752" s="24" t="s">
        <v>1912</v>
      </c>
      <c r="C752" s="1">
        <v>2200582</v>
      </c>
      <c r="D752" s="1" t="s">
        <v>25</v>
      </c>
      <c r="E752" s="36">
        <v>44949</v>
      </c>
      <c r="F752" s="36">
        <v>45176</v>
      </c>
      <c r="G752" s="38">
        <f t="shared" si="11"/>
        <v>227</v>
      </c>
      <c r="H752" s="5">
        <v>44967</v>
      </c>
      <c r="I752" s="5">
        <v>45180</v>
      </c>
      <c r="J752" s="1" t="s">
        <v>26</v>
      </c>
      <c r="K752" s="1" t="s">
        <v>1913</v>
      </c>
      <c r="L752" s="1" t="s">
        <v>1910</v>
      </c>
      <c r="M752" s="1" t="s">
        <v>1911</v>
      </c>
      <c r="N752" s="1" t="s">
        <v>38</v>
      </c>
      <c r="O752" s="1" t="s">
        <v>1440</v>
      </c>
      <c r="P752" s="1" t="s">
        <v>1540</v>
      </c>
      <c r="Q752" s="1" t="s">
        <v>1541</v>
      </c>
      <c r="R752" s="1" t="s">
        <v>113</v>
      </c>
      <c r="S752" s="1"/>
      <c r="U752" s="1" t="s">
        <v>35</v>
      </c>
      <c r="V752" s="1" t="s">
        <v>49</v>
      </c>
      <c r="W752" s="1" t="str">
        <f>VLOOKUP(Table1[[#This Row],[Obergruppe ATC-Code]],Tabelle3!$A$2:$B$100,2)</f>
        <v>MITTEL, DIE DEN LIPIDSTOFFWECHSEL BEEINFLUSSEN</v>
      </c>
      <c r="X752" s="1" t="str">
        <f xml:space="preserve"> LEFT(Table1[[#This Row],[Atc Code]],3)</f>
        <v>C10</v>
      </c>
    </row>
    <row r="753" spans="1:24" ht="14.4">
      <c r="A753" s="14">
        <v>2801</v>
      </c>
      <c r="B753" s="24" t="s">
        <v>1914</v>
      </c>
      <c r="C753" s="1">
        <v>2200583</v>
      </c>
      <c r="D753" s="1" t="s">
        <v>25</v>
      </c>
      <c r="E753" s="36">
        <v>45070</v>
      </c>
      <c r="F753" s="36">
        <v>45176</v>
      </c>
      <c r="G753" s="38">
        <f t="shared" si="11"/>
        <v>106</v>
      </c>
      <c r="H753" s="5">
        <v>45078</v>
      </c>
      <c r="I753" s="5">
        <v>45180</v>
      </c>
      <c r="J753" s="1" t="s">
        <v>26</v>
      </c>
      <c r="K753" s="1" t="s">
        <v>1915</v>
      </c>
      <c r="L753" s="1" t="s">
        <v>1910</v>
      </c>
      <c r="M753" s="1" t="s">
        <v>1911</v>
      </c>
      <c r="N753" s="1" t="s">
        <v>38</v>
      </c>
      <c r="O753" s="1" t="s">
        <v>1440</v>
      </c>
      <c r="Q753" s="1" t="s">
        <v>1916</v>
      </c>
      <c r="R753" s="1" t="s">
        <v>113</v>
      </c>
      <c r="S753" s="1"/>
      <c r="U753" s="1" t="s">
        <v>35</v>
      </c>
      <c r="V753" s="1" t="s">
        <v>49</v>
      </c>
      <c r="W753" s="1" t="str">
        <f>VLOOKUP(Table1[[#This Row],[Obergruppe ATC-Code]],Tabelle3!$A$2:$B$100,2)</f>
        <v>MITTEL, DIE DEN LIPIDSTOFFWECHSEL BEEINFLUSSEN</v>
      </c>
      <c r="X753" s="1" t="str">
        <f xml:space="preserve"> LEFT(Table1[[#This Row],[Atc Code]],3)</f>
        <v>C10</v>
      </c>
    </row>
    <row r="754" spans="1:24" ht="14.4">
      <c r="A754" s="14">
        <v>3085</v>
      </c>
      <c r="B754" s="3" t="s">
        <v>1917</v>
      </c>
      <c r="C754" s="1">
        <v>2190224</v>
      </c>
      <c r="D754" s="1" t="s">
        <v>25</v>
      </c>
      <c r="E754" s="36">
        <v>43132</v>
      </c>
      <c r="F754" s="36">
        <v>43434</v>
      </c>
      <c r="G754" s="38">
        <f t="shared" si="11"/>
        <v>302</v>
      </c>
      <c r="H754" s="5">
        <v>43133</v>
      </c>
      <c r="I754" s="5">
        <v>43409</v>
      </c>
      <c r="J754" s="1" t="s">
        <v>26</v>
      </c>
      <c r="K754" s="1" t="s">
        <v>1918</v>
      </c>
      <c r="L754" s="1" t="s">
        <v>1919</v>
      </c>
      <c r="M754" s="1" t="s">
        <v>1920</v>
      </c>
      <c r="N754" s="1" t="s">
        <v>38</v>
      </c>
      <c r="O754" s="1" t="s">
        <v>1921</v>
      </c>
      <c r="P754" s="1" t="s">
        <v>256</v>
      </c>
      <c r="Q754" s="1" t="s">
        <v>257</v>
      </c>
      <c r="R754" s="1" t="s">
        <v>33</v>
      </c>
      <c r="S754" s="1"/>
      <c r="U754" s="1" t="s">
        <v>35</v>
      </c>
      <c r="V754" s="1" t="s">
        <v>99</v>
      </c>
      <c r="W754" s="1" t="str">
        <f>VLOOKUP(Table1[[#This Row],[Obergruppe ATC-Code]],Tabelle3!$A$2:$B$100,2)</f>
        <v>MITTEL, DIE DEN LIPIDSTOFFWECHSEL BEEINFLUSSEN</v>
      </c>
      <c r="X754" s="1" t="str">
        <f xml:space="preserve"> LEFT(Table1[[#This Row],[Atc Code]],3)</f>
        <v>C10</v>
      </c>
    </row>
    <row r="755" spans="1:24" ht="14.4">
      <c r="A755" s="14">
        <v>3086</v>
      </c>
      <c r="B755" s="3">
        <v>10538410</v>
      </c>
      <c r="C755" s="1">
        <v>2190225</v>
      </c>
      <c r="D755" s="1" t="s">
        <v>25</v>
      </c>
      <c r="E755" s="36">
        <v>43132</v>
      </c>
      <c r="F755" s="36">
        <v>43434</v>
      </c>
      <c r="G755" s="38">
        <f t="shared" si="11"/>
        <v>302</v>
      </c>
      <c r="H755" s="5">
        <v>43133</v>
      </c>
      <c r="I755" s="5">
        <v>43409</v>
      </c>
      <c r="J755" s="1" t="s">
        <v>26</v>
      </c>
      <c r="K755" s="1" t="s">
        <v>1922</v>
      </c>
      <c r="L755" s="1" t="s">
        <v>1919</v>
      </c>
      <c r="M755" s="1" t="s">
        <v>1920</v>
      </c>
      <c r="N755" s="1" t="s">
        <v>38</v>
      </c>
      <c r="O755" s="1" t="s">
        <v>1921</v>
      </c>
      <c r="P755" s="1" t="s">
        <v>256</v>
      </c>
      <c r="Q755" s="1" t="s">
        <v>257</v>
      </c>
      <c r="R755" s="1" t="s">
        <v>33</v>
      </c>
      <c r="S755" s="1"/>
      <c r="U755" s="1" t="s">
        <v>35</v>
      </c>
      <c r="V755" s="1" t="s">
        <v>99</v>
      </c>
      <c r="W755" s="1" t="str">
        <f>VLOOKUP(Table1[[#This Row],[Obergruppe ATC-Code]],Tabelle3!$A$2:$B$100,2)</f>
        <v>MITTEL, DIE DEN LIPIDSTOFFWECHSEL BEEINFLUSSEN</v>
      </c>
      <c r="X755" s="1" t="str">
        <f xml:space="preserve"> LEFT(Table1[[#This Row],[Atc Code]],3)</f>
        <v>C10</v>
      </c>
    </row>
    <row r="756" spans="1:24" ht="14.4">
      <c r="A756" s="14">
        <v>3084</v>
      </c>
      <c r="B756" s="3">
        <v>10538261</v>
      </c>
      <c r="C756" s="1">
        <v>2190223</v>
      </c>
      <c r="D756" s="1" t="s">
        <v>25</v>
      </c>
      <c r="E756" s="36">
        <v>43132</v>
      </c>
      <c r="F756" s="36">
        <v>43434</v>
      </c>
      <c r="G756" s="38">
        <f t="shared" si="11"/>
        <v>302</v>
      </c>
      <c r="H756" s="5">
        <v>43133</v>
      </c>
      <c r="I756" s="5">
        <v>43409</v>
      </c>
      <c r="J756" s="1" t="s">
        <v>26</v>
      </c>
      <c r="K756" s="1" t="s">
        <v>1923</v>
      </c>
      <c r="L756" s="1" t="s">
        <v>1919</v>
      </c>
      <c r="M756" s="1" t="s">
        <v>1920</v>
      </c>
      <c r="N756" s="1" t="s">
        <v>30</v>
      </c>
      <c r="O756" s="1" t="s">
        <v>1921</v>
      </c>
      <c r="P756" s="1" t="s">
        <v>256</v>
      </c>
      <c r="Q756" s="1" t="s">
        <v>257</v>
      </c>
      <c r="R756" s="1" t="s">
        <v>33</v>
      </c>
      <c r="S756" s="1"/>
      <c r="U756" s="1" t="s">
        <v>35</v>
      </c>
      <c r="V756" s="1" t="s">
        <v>99</v>
      </c>
      <c r="W756" s="1" t="str">
        <f>VLOOKUP(Table1[[#This Row],[Obergruppe ATC-Code]],Tabelle3!$A$2:$B$100,2)</f>
        <v>MITTEL, DIE DEN LIPIDSTOFFWECHSEL BEEINFLUSSEN</v>
      </c>
      <c r="X756" s="1" t="str">
        <f xml:space="preserve"> LEFT(Table1[[#This Row],[Atc Code]],3)</f>
        <v>C10</v>
      </c>
    </row>
    <row r="757" spans="1:24" ht="14.4">
      <c r="A757" s="14">
        <v>1583</v>
      </c>
      <c r="B757" s="24">
        <v>17244746</v>
      </c>
      <c r="C757" s="1">
        <v>2205683</v>
      </c>
      <c r="D757" s="1" t="s">
        <v>25</v>
      </c>
      <c r="E757" s="36">
        <v>45049</v>
      </c>
      <c r="F757" s="36">
        <v>45075</v>
      </c>
      <c r="G757" s="38">
        <f t="shared" si="11"/>
        <v>26</v>
      </c>
      <c r="H757" s="5">
        <v>45049</v>
      </c>
      <c r="I757" s="5">
        <v>45077</v>
      </c>
      <c r="J757" s="1" t="s">
        <v>41</v>
      </c>
      <c r="K757" s="1" t="s">
        <v>1924</v>
      </c>
      <c r="L757" s="1" t="s">
        <v>1919</v>
      </c>
      <c r="M757" s="1" t="s">
        <v>1920</v>
      </c>
      <c r="N757" s="1" t="s">
        <v>38</v>
      </c>
      <c r="O757" s="1" t="s">
        <v>162</v>
      </c>
      <c r="P757" s="1">
        <v>3079740400</v>
      </c>
      <c r="R757" s="1" t="s">
        <v>128</v>
      </c>
      <c r="S757" s="1"/>
      <c r="U757" s="1" t="s">
        <v>35</v>
      </c>
      <c r="V757" s="1" t="s">
        <v>99</v>
      </c>
      <c r="W757" s="1" t="str">
        <f>VLOOKUP(Table1[[#This Row],[Obergruppe ATC-Code]],Tabelle3!$A$2:$B$100,2)</f>
        <v>MITTEL, DIE DEN LIPIDSTOFFWECHSEL BEEINFLUSSEN</v>
      </c>
      <c r="X757" s="1" t="str">
        <f xml:space="preserve"> LEFT(Table1[[#This Row],[Atc Code]],3)</f>
        <v>C10</v>
      </c>
    </row>
    <row r="758" spans="1:24" ht="14.4">
      <c r="A758" s="14">
        <v>1581</v>
      </c>
      <c r="B758" s="24">
        <v>17244663</v>
      </c>
      <c r="C758" s="1">
        <v>2205680</v>
      </c>
      <c r="D758" s="1" t="s">
        <v>25</v>
      </c>
      <c r="E758" s="36">
        <v>45033</v>
      </c>
      <c r="F758" s="36">
        <v>45082</v>
      </c>
      <c r="G758" s="38">
        <f t="shared" si="11"/>
        <v>49</v>
      </c>
      <c r="H758" s="5">
        <v>45034</v>
      </c>
      <c r="I758" s="5">
        <v>45085</v>
      </c>
      <c r="J758" s="1" t="s">
        <v>26</v>
      </c>
      <c r="K758" s="1" t="s">
        <v>1925</v>
      </c>
      <c r="L758" s="1" t="s">
        <v>1919</v>
      </c>
      <c r="M758" s="1" t="s">
        <v>1920</v>
      </c>
      <c r="N758" s="1" t="s">
        <v>38</v>
      </c>
      <c r="O758" s="1" t="s">
        <v>162</v>
      </c>
      <c r="P758" s="1" t="s">
        <v>163</v>
      </c>
      <c r="R758" s="1" t="s">
        <v>33</v>
      </c>
      <c r="S758" s="1"/>
      <c r="U758" s="1" t="s">
        <v>35</v>
      </c>
      <c r="V758" s="1" t="s">
        <v>99</v>
      </c>
      <c r="W758" s="1" t="str">
        <f>VLOOKUP(Table1[[#This Row],[Obergruppe ATC-Code]],Tabelle3!$A$2:$B$100,2)</f>
        <v>MITTEL, DIE DEN LIPIDSTOFFWECHSEL BEEINFLUSSEN</v>
      </c>
      <c r="X758" s="1" t="str">
        <f xml:space="preserve"> LEFT(Table1[[#This Row],[Atc Code]],3)</f>
        <v>C10</v>
      </c>
    </row>
    <row r="759" spans="1:24" ht="14.4">
      <c r="A759" s="14">
        <v>2890</v>
      </c>
      <c r="B759" s="24" t="s">
        <v>1926</v>
      </c>
      <c r="C759" s="1">
        <v>2205682</v>
      </c>
      <c r="D759" s="1" t="s">
        <v>25</v>
      </c>
      <c r="E759" s="36">
        <v>45033</v>
      </c>
      <c r="F759" s="36">
        <v>45138</v>
      </c>
      <c r="G759" s="38">
        <f t="shared" si="11"/>
        <v>105</v>
      </c>
      <c r="H759" s="5">
        <v>45034</v>
      </c>
      <c r="I759" s="5">
        <v>45140</v>
      </c>
      <c r="J759" s="1" t="s">
        <v>26</v>
      </c>
      <c r="K759" s="1" t="s">
        <v>1927</v>
      </c>
      <c r="L759" s="1" t="s">
        <v>1919</v>
      </c>
      <c r="M759" s="1" t="s">
        <v>1920</v>
      </c>
      <c r="N759" s="1" t="s">
        <v>38</v>
      </c>
      <c r="O759" s="1" t="s">
        <v>162</v>
      </c>
      <c r="P759" s="1" t="s">
        <v>163</v>
      </c>
      <c r="R759" s="1" t="s">
        <v>33</v>
      </c>
      <c r="S759" s="1"/>
      <c r="U759" s="1" t="s">
        <v>35</v>
      </c>
      <c r="V759" s="1" t="s">
        <v>99</v>
      </c>
      <c r="W759" s="1" t="str">
        <f>VLOOKUP(Table1[[#This Row],[Obergruppe ATC-Code]],Tabelle3!$A$2:$B$100,2)</f>
        <v>MITTEL, DIE DEN LIPIDSTOFFWECHSEL BEEINFLUSSEN</v>
      </c>
      <c r="X759" s="1" t="str">
        <f xml:space="preserve"> LEFT(Table1[[#This Row],[Atc Code]],3)</f>
        <v>C10</v>
      </c>
    </row>
    <row r="760" spans="1:24" ht="14.4">
      <c r="A760" s="14">
        <v>1582</v>
      </c>
      <c r="B760" s="24">
        <v>17244692</v>
      </c>
      <c r="C760" s="1">
        <v>2205681</v>
      </c>
      <c r="D760" s="1" t="s">
        <v>25</v>
      </c>
      <c r="E760" s="36">
        <v>45099</v>
      </c>
      <c r="F760" s="36">
        <v>45132</v>
      </c>
      <c r="G760" s="38">
        <f t="shared" si="11"/>
        <v>33</v>
      </c>
      <c r="H760" s="5">
        <v>45103</v>
      </c>
      <c r="I760" s="5">
        <v>45140</v>
      </c>
      <c r="J760" s="1" t="s">
        <v>26</v>
      </c>
      <c r="K760" s="1" t="s">
        <v>1928</v>
      </c>
      <c r="L760" s="1" t="s">
        <v>1919</v>
      </c>
      <c r="M760" s="1" t="s">
        <v>1920</v>
      </c>
      <c r="N760" s="1" t="s">
        <v>38</v>
      </c>
      <c r="O760" s="1" t="s">
        <v>162</v>
      </c>
      <c r="P760" s="1" t="s">
        <v>163</v>
      </c>
      <c r="R760" s="1" t="s">
        <v>33</v>
      </c>
      <c r="S760" s="1"/>
      <c r="U760" s="1" t="s">
        <v>35</v>
      </c>
      <c r="V760" s="1" t="s">
        <v>99</v>
      </c>
      <c r="W760" s="1" t="str">
        <f>VLOOKUP(Table1[[#This Row],[Obergruppe ATC-Code]],Tabelle3!$A$2:$B$100,2)</f>
        <v>MITTEL, DIE DEN LIPIDSTOFFWECHSEL BEEINFLUSSEN</v>
      </c>
      <c r="X760" s="1" t="str">
        <f xml:space="preserve"> LEFT(Table1[[#This Row],[Atc Code]],3)</f>
        <v>C10</v>
      </c>
    </row>
    <row r="761" spans="1:24" ht="14.4">
      <c r="A761" s="14">
        <v>1819</v>
      </c>
      <c r="B761" s="24" t="s">
        <v>1929</v>
      </c>
      <c r="C761" s="1">
        <v>2161543</v>
      </c>
      <c r="D761" s="1" t="s">
        <v>25</v>
      </c>
      <c r="E761" s="36">
        <v>44547</v>
      </c>
      <c r="F761" s="36">
        <v>44580</v>
      </c>
      <c r="G761" s="38">
        <f t="shared" si="11"/>
        <v>33</v>
      </c>
      <c r="H761" s="5">
        <v>44547</v>
      </c>
      <c r="I761" s="5">
        <v>44580</v>
      </c>
      <c r="J761" s="1" t="s">
        <v>26</v>
      </c>
      <c r="K761" s="1" t="s">
        <v>1930</v>
      </c>
      <c r="L761" s="1" t="s">
        <v>1931</v>
      </c>
      <c r="M761" s="1" t="s">
        <v>1932</v>
      </c>
      <c r="N761" s="1" t="s">
        <v>38</v>
      </c>
      <c r="O761" s="1" t="s">
        <v>52</v>
      </c>
      <c r="P761" s="1" t="s">
        <v>53</v>
      </c>
      <c r="Q761" s="1" t="s">
        <v>54</v>
      </c>
      <c r="R761" s="1" t="s">
        <v>26</v>
      </c>
      <c r="S761" s="1"/>
      <c r="U761" s="1" t="s">
        <v>35</v>
      </c>
      <c r="V761" s="1" t="s">
        <v>49</v>
      </c>
      <c r="W761" s="1" t="str">
        <f>VLOOKUP(Table1[[#This Row],[Obergruppe ATC-Code]],Tabelle3!$A$2:$B$100,2)</f>
        <v>ANTIMYKOTIKA ZUR DERMATOLOGISCHEN ANWENDUNG</v>
      </c>
      <c r="X761" s="1" t="str">
        <f xml:space="preserve"> LEFT(Table1[[#This Row],[Atc Code]],3)</f>
        <v>D01</v>
      </c>
    </row>
    <row r="762" spans="1:24" ht="14.4">
      <c r="A762" s="14">
        <v>7</v>
      </c>
      <c r="B762" s="24">
        <v>29021</v>
      </c>
      <c r="C762" s="1">
        <v>2155640</v>
      </c>
      <c r="D762" s="1" t="s">
        <v>25</v>
      </c>
      <c r="E762" s="36">
        <v>44649</v>
      </c>
      <c r="F762" s="36">
        <v>44681</v>
      </c>
      <c r="G762" s="38">
        <f t="shared" si="11"/>
        <v>32</v>
      </c>
      <c r="H762" s="5">
        <v>44648</v>
      </c>
      <c r="I762" s="5">
        <v>44684</v>
      </c>
      <c r="J762" s="1" t="s">
        <v>41</v>
      </c>
      <c r="K762" s="1" t="s">
        <v>1933</v>
      </c>
      <c r="L762" s="1" t="s">
        <v>1931</v>
      </c>
      <c r="M762" s="1" t="s">
        <v>1932</v>
      </c>
      <c r="N762" s="1" t="s">
        <v>38</v>
      </c>
      <c r="O762" s="1" t="s">
        <v>31</v>
      </c>
      <c r="Q762" s="1" t="s">
        <v>32</v>
      </c>
      <c r="R762" s="1" t="s">
        <v>26</v>
      </c>
      <c r="S762" s="1"/>
      <c r="U762" s="1" t="s">
        <v>130</v>
      </c>
      <c r="V762" s="1" t="s">
        <v>49</v>
      </c>
      <c r="W762" s="1" t="str">
        <f>VLOOKUP(Table1[[#This Row],[Obergruppe ATC-Code]],Tabelle3!$A$2:$B$100,2)</f>
        <v>ANTIMYKOTIKA ZUR DERMATOLOGISCHEN ANWENDUNG</v>
      </c>
      <c r="X762" s="1" t="str">
        <f xml:space="preserve"> LEFT(Table1[[#This Row],[Atc Code]],3)</f>
        <v>D01</v>
      </c>
    </row>
    <row r="763" spans="1:24" ht="14.4">
      <c r="A763" s="14">
        <v>6</v>
      </c>
      <c r="B763" s="24">
        <v>29021</v>
      </c>
      <c r="C763" s="1">
        <v>2155640</v>
      </c>
      <c r="D763" s="1" t="s">
        <v>25</v>
      </c>
      <c r="E763" s="36">
        <v>44929</v>
      </c>
      <c r="F763" s="36">
        <v>45014</v>
      </c>
      <c r="G763" s="38">
        <f t="shared" si="11"/>
        <v>85</v>
      </c>
      <c r="H763" s="5">
        <v>44938</v>
      </c>
      <c r="I763" s="5">
        <v>45015</v>
      </c>
      <c r="J763" s="1" t="s">
        <v>26</v>
      </c>
      <c r="K763" s="1" t="s">
        <v>1933</v>
      </c>
      <c r="L763" s="1" t="s">
        <v>1931</v>
      </c>
      <c r="M763" s="1" t="s">
        <v>1932</v>
      </c>
      <c r="N763" s="1" t="s">
        <v>38</v>
      </c>
      <c r="O763" s="1" t="s">
        <v>31</v>
      </c>
      <c r="Q763" s="1" t="s">
        <v>32</v>
      </c>
      <c r="R763" s="1" t="s">
        <v>33</v>
      </c>
      <c r="S763" s="1" t="s">
        <v>1934</v>
      </c>
      <c r="U763" s="1" t="s">
        <v>35</v>
      </c>
      <c r="V763" s="1" t="s">
        <v>49</v>
      </c>
      <c r="W763" s="1" t="str">
        <f>VLOOKUP(Table1[[#This Row],[Obergruppe ATC-Code]],Tabelle3!$A$2:$B$100,2)</f>
        <v>ANTIMYKOTIKA ZUR DERMATOLOGISCHEN ANWENDUNG</v>
      </c>
      <c r="X763" s="1" t="str">
        <f xml:space="preserve"> LEFT(Table1[[#This Row],[Atc Code]],3)</f>
        <v>D01</v>
      </c>
    </row>
    <row r="764" spans="1:24" ht="14.4">
      <c r="A764" s="14">
        <v>416</v>
      </c>
      <c r="B764" s="24">
        <v>2494704</v>
      </c>
      <c r="C764" s="1">
        <v>2102019</v>
      </c>
      <c r="D764" s="1" t="s">
        <v>25</v>
      </c>
      <c r="E764" s="36">
        <v>45092</v>
      </c>
      <c r="F764" s="36">
        <v>45104</v>
      </c>
      <c r="G764" s="38">
        <f t="shared" si="11"/>
        <v>12</v>
      </c>
      <c r="H764" s="5">
        <v>45098</v>
      </c>
      <c r="I764" s="5">
        <v>45104</v>
      </c>
      <c r="J764" s="1" t="s">
        <v>26</v>
      </c>
      <c r="K764" s="1" t="s">
        <v>1935</v>
      </c>
      <c r="L764" s="1" t="s">
        <v>1936</v>
      </c>
      <c r="M764" s="1" t="s">
        <v>1937</v>
      </c>
      <c r="N764" s="1" t="s">
        <v>30</v>
      </c>
      <c r="O764" s="1" t="s">
        <v>31</v>
      </c>
      <c r="P764" s="1">
        <v>498964186105</v>
      </c>
      <c r="Q764" s="1" t="s">
        <v>39</v>
      </c>
      <c r="R764" s="1" t="s">
        <v>33</v>
      </c>
      <c r="S764" s="1"/>
      <c r="U764" s="1" t="s">
        <v>130</v>
      </c>
      <c r="V764" s="1" t="s">
        <v>1938</v>
      </c>
      <c r="W764" s="1" t="str">
        <f>VLOOKUP(Table1[[#This Row],[Obergruppe ATC-Code]],Tabelle3!$A$2:$B$100,2)</f>
        <v>EMOLLIENTIA UND HAUTSCHUTZMITTEL</v>
      </c>
      <c r="X764" s="1" t="str">
        <f xml:space="preserve"> LEFT(Table1[[#This Row],[Atc Code]],3)</f>
        <v>D02</v>
      </c>
    </row>
    <row r="765" spans="1:24" ht="14.4">
      <c r="A765" s="14">
        <v>700</v>
      </c>
      <c r="B765" s="24">
        <v>4767744</v>
      </c>
      <c r="C765" s="1">
        <v>2112888</v>
      </c>
      <c r="D765" s="1" t="s">
        <v>25</v>
      </c>
      <c r="E765" s="36">
        <v>43525</v>
      </c>
      <c r="F765" s="36">
        <v>43677</v>
      </c>
      <c r="G765" s="38">
        <f t="shared" si="11"/>
        <v>152</v>
      </c>
      <c r="H765" s="5">
        <v>43537</v>
      </c>
      <c r="I765" s="5">
        <v>43623</v>
      </c>
      <c r="J765" s="1" t="s">
        <v>41</v>
      </c>
      <c r="K765" s="1" t="s">
        <v>1939</v>
      </c>
      <c r="L765" s="1" t="s">
        <v>1940</v>
      </c>
      <c r="M765" s="1" t="s">
        <v>1941</v>
      </c>
      <c r="N765" s="1" t="s">
        <v>30</v>
      </c>
      <c r="O765" s="1" t="s">
        <v>91</v>
      </c>
      <c r="P765" s="1" t="s">
        <v>374</v>
      </c>
      <c r="Q765" s="1" t="s">
        <v>375</v>
      </c>
      <c r="R765" s="1" t="s">
        <v>26</v>
      </c>
      <c r="S765" s="1"/>
      <c r="U765" s="1" t="s">
        <v>35</v>
      </c>
      <c r="V765" s="1" t="s">
        <v>74</v>
      </c>
      <c r="W765" s="1" t="str">
        <f>VLOOKUP(Table1[[#This Row],[Obergruppe ATC-Code]],Tabelle3!$A$2:$B$100,2)</f>
        <v>ANTIPSORIATIKA</v>
      </c>
      <c r="X765" s="1" t="str">
        <f xml:space="preserve"> LEFT(Table1[[#This Row],[Atc Code]],3)</f>
        <v>D05</v>
      </c>
    </row>
    <row r="766" spans="1:24" ht="14.4">
      <c r="A766" s="14">
        <v>851</v>
      </c>
      <c r="B766" s="24">
        <v>7211071</v>
      </c>
      <c r="C766" s="1">
        <v>2128917</v>
      </c>
      <c r="D766" s="1" t="s">
        <v>25</v>
      </c>
      <c r="E766" s="36">
        <v>44306</v>
      </c>
      <c r="F766" s="36">
        <v>44510</v>
      </c>
      <c r="G766" s="38">
        <f t="shared" si="11"/>
        <v>204</v>
      </c>
      <c r="H766" s="5">
        <v>44376</v>
      </c>
      <c r="I766" s="5">
        <v>44512</v>
      </c>
      <c r="J766" s="1" t="s">
        <v>41</v>
      </c>
      <c r="K766" s="1" t="s">
        <v>1942</v>
      </c>
      <c r="L766" s="1" t="s">
        <v>1943</v>
      </c>
      <c r="M766" s="1" t="s">
        <v>1941</v>
      </c>
      <c r="N766" s="1" t="s">
        <v>38</v>
      </c>
      <c r="O766" s="1" t="s">
        <v>783</v>
      </c>
      <c r="Q766" s="1" t="s">
        <v>1944</v>
      </c>
      <c r="R766" s="1" t="s">
        <v>165</v>
      </c>
      <c r="S766" s="1"/>
      <c r="U766" s="1" t="s">
        <v>130</v>
      </c>
      <c r="V766" s="1" t="s">
        <v>74</v>
      </c>
      <c r="W766" s="1" t="str">
        <f>VLOOKUP(Table1[[#This Row],[Obergruppe ATC-Code]],Tabelle3!$A$2:$B$100,2)</f>
        <v>ANTIPSORIATIKA</v>
      </c>
      <c r="X766" s="1" t="str">
        <f xml:space="preserve"> LEFT(Table1[[#This Row],[Atc Code]],3)</f>
        <v>D05</v>
      </c>
    </row>
    <row r="767" spans="1:24" ht="14.4">
      <c r="A767" s="14">
        <v>2474</v>
      </c>
      <c r="B767" s="24" t="s">
        <v>1945</v>
      </c>
      <c r="C767" s="1">
        <v>2181208</v>
      </c>
      <c r="D767" s="1" t="s">
        <v>25</v>
      </c>
      <c r="E767" s="36">
        <v>44613</v>
      </c>
      <c r="F767" s="36">
        <v>44681</v>
      </c>
      <c r="G767" s="38">
        <f t="shared" si="11"/>
        <v>68</v>
      </c>
      <c r="H767" s="5">
        <v>44614</v>
      </c>
      <c r="I767" s="5">
        <v>44684</v>
      </c>
      <c r="J767" s="1" t="s">
        <v>41</v>
      </c>
      <c r="K767" s="1" t="s">
        <v>1946</v>
      </c>
      <c r="L767" s="1" t="s">
        <v>1947</v>
      </c>
      <c r="M767" s="1" t="s">
        <v>1948</v>
      </c>
      <c r="N767" s="1" t="s">
        <v>38</v>
      </c>
      <c r="O767" s="1" t="s">
        <v>31</v>
      </c>
      <c r="Q767" s="1" t="s">
        <v>32</v>
      </c>
      <c r="R767" s="1" t="s">
        <v>26</v>
      </c>
      <c r="S767" s="1"/>
      <c r="U767" s="1" t="s">
        <v>35</v>
      </c>
      <c r="V767" s="1" t="s">
        <v>262</v>
      </c>
      <c r="W767" s="1" t="str">
        <f>VLOOKUP(Table1[[#This Row],[Obergruppe ATC-Code]],Tabelle3!$A$2:$B$100,2)</f>
        <v>ANTIPSORIATIKA</v>
      </c>
      <c r="X767" s="1" t="str">
        <f xml:space="preserve"> LEFT(Table1[[#This Row],[Atc Code]],3)</f>
        <v>D05</v>
      </c>
    </row>
    <row r="768" spans="1:24" ht="14.4">
      <c r="A768" s="14">
        <v>1085</v>
      </c>
      <c r="B768" s="24">
        <v>9223167</v>
      </c>
      <c r="C768" s="1">
        <v>2181209</v>
      </c>
      <c r="D768" s="1" t="s">
        <v>25</v>
      </c>
      <c r="E768" s="36">
        <v>44760</v>
      </c>
      <c r="F768" s="36">
        <v>44763</v>
      </c>
      <c r="G768" s="38">
        <f t="shared" si="11"/>
        <v>3</v>
      </c>
      <c r="H768" s="5">
        <v>44761</v>
      </c>
      <c r="I768" s="5">
        <v>44767</v>
      </c>
      <c r="J768" s="1" t="s">
        <v>26</v>
      </c>
      <c r="K768" s="1" t="s">
        <v>1949</v>
      </c>
      <c r="L768" s="1" t="s">
        <v>1947</v>
      </c>
      <c r="M768" s="1" t="s">
        <v>1948</v>
      </c>
      <c r="N768" s="1" t="s">
        <v>38</v>
      </c>
      <c r="O768" s="1" t="s">
        <v>31</v>
      </c>
      <c r="Q768" s="1" t="s">
        <v>32</v>
      </c>
      <c r="R768" s="1" t="s">
        <v>33</v>
      </c>
      <c r="S768" s="1" t="s">
        <v>1950</v>
      </c>
      <c r="U768" s="1" t="s">
        <v>35</v>
      </c>
      <c r="V768" s="1" t="s">
        <v>262</v>
      </c>
      <c r="W768" s="1" t="str">
        <f>VLOOKUP(Table1[[#This Row],[Obergruppe ATC-Code]],Tabelle3!$A$2:$B$100,2)</f>
        <v>ANTIPSORIATIKA</v>
      </c>
      <c r="X768" s="1" t="str">
        <f xml:space="preserve"> LEFT(Table1[[#This Row],[Atc Code]],3)</f>
        <v>D05</v>
      </c>
    </row>
    <row r="769" spans="1:24" ht="14.4">
      <c r="A769" s="14">
        <v>2473</v>
      </c>
      <c r="B769" s="24" t="s">
        <v>1945</v>
      </c>
      <c r="C769" s="1">
        <v>2181208</v>
      </c>
      <c r="D769" s="1" t="s">
        <v>25</v>
      </c>
      <c r="E769" s="36">
        <v>44817</v>
      </c>
      <c r="F769" s="36">
        <v>44907</v>
      </c>
      <c r="G769" s="38">
        <f t="shared" si="11"/>
        <v>90</v>
      </c>
      <c r="H769" s="5">
        <v>44824</v>
      </c>
      <c r="I769" s="5">
        <v>44908</v>
      </c>
      <c r="J769" s="1" t="s">
        <v>26</v>
      </c>
      <c r="K769" s="1" t="s">
        <v>1946</v>
      </c>
      <c r="L769" s="1" t="s">
        <v>1947</v>
      </c>
      <c r="M769" s="1" t="s">
        <v>1948</v>
      </c>
      <c r="N769" s="1" t="s">
        <v>38</v>
      </c>
      <c r="O769" s="1" t="s">
        <v>31</v>
      </c>
      <c r="Q769" s="1" t="s">
        <v>32</v>
      </c>
      <c r="R769" s="1" t="s">
        <v>33</v>
      </c>
      <c r="S769" s="1" t="s">
        <v>1951</v>
      </c>
      <c r="U769" s="1" t="s">
        <v>35</v>
      </c>
      <c r="V769" s="1" t="s">
        <v>262</v>
      </c>
      <c r="W769" s="1" t="str">
        <f>VLOOKUP(Table1[[#This Row],[Obergruppe ATC-Code]],Tabelle3!$A$2:$B$100,2)</f>
        <v>ANTIPSORIATIKA</v>
      </c>
      <c r="X769" s="1" t="str">
        <f xml:space="preserve"> LEFT(Table1[[#This Row],[Atc Code]],3)</f>
        <v>D05</v>
      </c>
    </row>
    <row r="770" spans="1:24" ht="14.4">
      <c r="A770" s="14">
        <v>257</v>
      </c>
      <c r="B770" s="24">
        <v>1462323</v>
      </c>
      <c r="C770" s="1">
        <v>424272</v>
      </c>
      <c r="D770" s="1" t="s">
        <v>25</v>
      </c>
      <c r="E770" s="36">
        <v>43922</v>
      </c>
      <c r="F770" s="36">
        <v>44012</v>
      </c>
      <c r="G770" s="38">
        <f t="shared" ref="G770:G833" si="12">F770-E770</f>
        <v>90</v>
      </c>
      <c r="H770" s="5">
        <v>43930</v>
      </c>
      <c r="I770" s="5">
        <v>44011</v>
      </c>
      <c r="J770" s="1" t="s">
        <v>26</v>
      </c>
      <c r="K770" s="1" t="s">
        <v>1952</v>
      </c>
      <c r="L770" s="1" t="s">
        <v>1953</v>
      </c>
      <c r="M770" s="1" t="s">
        <v>1954</v>
      </c>
      <c r="N770" s="1" t="s">
        <v>30</v>
      </c>
      <c r="O770" s="1" t="s">
        <v>1955</v>
      </c>
      <c r="P770" s="1" t="s">
        <v>1956</v>
      </c>
      <c r="Q770" s="1" t="s">
        <v>1957</v>
      </c>
      <c r="R770" s="1" t="s">
        <v>33</v>
      </c>
      <c r="S770" s="1"/>
      <c r="U770" s="1" t="s">
        <v>35</v>
      </c>
      <c r="V770" s="1" t="s">
        <v>1958</v>
      </c>
      <c r="W770" s="1" t="str">
        <f>VLOOKUP(Table1[[#This Row],[Obergruppe ATC-Code]],Tabelle3!$A$2:$B$100,2)</f>
        <v>ANTIBIOTIKA UND CHEMOTHERAPEUTIKA ZUR DERMATOLOGISCHEN ANWENDUNG</v>
      </c>
      <c r="X770" s="1" t="str">
        <f xml:space="preserve"> LEFT(Table1[[#This Row],[Atc Code]],3)</f>
        <v>D06</v>
      </c>
    </row>
    <row r="771" spans="1:24" ht="14.4">
      <c r="A771" s="14">
        <v>256</v>
      </c>
      <c r="B771" s="24">
        <v>1462323</v>
      </c>
      <c r="C771" s="1">
        <v>424272</v>
      </c>
      <c r="D771" s="1" t="s">
        <v>25</v>
      </c>
      <c r="E771" s="36">
        <v>44166</v>
      </c>
      <c r="F771" s="36">
        <v>44227</v>
      </c>
      <c r="G771" s="38">
        <f t="shared" si="12"/>
        <v>61</v>
      </c>
      <c r="H771" s="5">
        <v>44210</v>
      </c>
      <c r="I771" s="5">
        <v>44224</v>
      </c>
      <c r="J771" s="1" t="s">
        <v>26</v>
      </c>
      <c r="K771" s="1" t="s">
        <v>1952</v>
      </c>
      <c r="L771" s="1" t="s">
        <v>1953</v>
      </c>
      <c r="M771" s="1" t="s">
        <v>1954</v>
      </c>
      <c r="N771" s="1" t="s">
        <v>30</v>
      </c>
      <c r="O771" s="1" t="s">
        <v>1955</v>
      </c>
      <c r="P771" s="1" t="s">
        <v>1956</v>
      </c>
      <c r="Q771" s="1" t="s">
        <v>1957</v>
      </c>
      <c r="R771" s="1" t="s">
        <v>33</v>
      </c>
      <c r="S771" s="1"/>
      <c r="U771" s="1" t="s">
        <v>35</v>
      </c>
      <c r="V771" s="1" t="s">
        <v>1958</v>
      </c>
      <c r="W771" s="1" t="str">
        <f>VLOOKUP(Table1[[#This Row],[Obergruppe ATC-Code]],Tabelle3!$A$2:$B$100,2)</f>
        <v>ANTIBIOTIKA UND CHEMOTHERAPEUTIKA ZUR DERMATOLOGISCHEN ANWENDUNG</v>
      </c>
      <c r="X771" s="1" t="str">
        <f xml:space="preserve"> LEFT(Table1[[#This Row],[Atc Code]],3)</f>
        <v>D06</v>
      </c>
    </row>
    <row r="772" spans="1:24" ht="14.4">
      <c r="A772" s="14">
        <v>299</v>
      </c>
      <c r="B772" s="24">
        <v>1872392</v>
      </c>
      <c r="C772" s="1">
        <v>424272</v>
      </c>
      <c r="D772" s="1" t="s">
        <v>25</v>
      </c>
      <c r="E772" s="36">
        <v>44348</v>
      </c>
      <c r="F772" s="36">
        <v>44389</v>
      </c>
      <c r="G772" s="38">
        <f t="shared" si="12"/>
        <v>41</v>
      </c>
      <c r="H772" s="5">
        <v>44348</v>
      </c>
      <c r="I772" s="5">
        <v>44389</v>
      </c>
      <c r="J772" s="1" t="s">
        <v>41</v>
      </c>
      <c r="K772" s="1" t="s">
        <v>1952</v>
      </c>
      <c r="L772" s="1" t="s">
        <v>1953</v>
      </c>
      <c r="M772" s="1" t="s">
        <v>1954</v>
      </c>
      <c r="N772" s="1" t="s">
        <v>38</v>
      </c>
      <c r="O772" s="1" t="s">
        <v>1955</v>
      </c>
      <c r="P772" s="1" t="s">
        <v>1959</v>
      </c>
      <c r="Q772" s="1" t="s">
        <v>1960</v>
      </c>
      <c r="R772" s="1" t="s">
        <v>128</v>
      </c>
      <c r="S772" s="1"/>
      <c r="T772" s="1" t="s">
        <v>1961</v>
      </c>
      <c r="U772" s="1" t="s">
        <v>35</v>
      </c>
      <c r="V772" s="1" t="s">
        <v>1958</v>
      </c>
      <c r="W772" s="1" t="str">
        <f>VLOOKUP(Table1[[#This Row],[Obergruppe ATC-Code]],Tabelle3!$A$2:$B$100,2)</f>
        <v>ANTIBIOTIKA UND CHEMOTHERAPEUTIKA ZUR DERMATOLOGISCHEN ANWENDUNG</v>
      </c>
      <c r="X772" s="1" t="str">
        <f xml:space="preserve"> LEFT(Table1[[#This Row],[Atc Code]],3)</f>
        <v>D06</v>
      </c>
    </row>
    <row r="773" spans="1:24" ht="14.4">
      <c r="A773" s="14">
        <v>255</v>
      </c>
      <c r="B773" s="24">
        <v>1462323</v>
      </c>
      <c r="C773" s="1">
        <v>424272</v>
      </c>
      <c r="D773" s="1" t="s">
        <v>25</v>
      </c>
      <c r="E773" s="36">
        <v>44487</v>
      </c>
      <c r="F773" s="36">
        <v>44488</v>
      </c>
      <c r="G773" s="38">
        <f t="shared" si="12"/>
        <v>1</v>
      </c>
      <c r="H773" s="5">
        <v>44480</v>
      </c>
      <c r="I773" s="5">
        <v>44497</v>
      </c>
      <c r="J773" s="1" t="s">
        <v>41</v>
      </c>
      <c r="K773" s="1" t="s">
        <v>1952</v>
      </c>
      <c r="L773" s="1" t="s">
        <v>1953</v>
      </c>
      <c r="M773" s="1" t="s">
        <v>1954</v>
      </c>
      <c r="N773" s="1" t="s">
        <v>30</v>
      </c>
      <c r="O773" s="1" t="s">
        <v>1955</v>
      </c>
      <c r="P773" s="1">
        <v>4961022010</v>
      </c>
      <c r="Q773" s="1" t="s">
        <v>1962</v>
      </c>
      <c r="R773" s="1" t="s">
        <v>128</v>
      </c>
      <c r="S773" s="1"/>
      <c r="T773" s="1" t="s">
        <v>1961</v>
      </c>
      <c r="U773" s="1" t="s">
        <v>35</v>
      </c>
      <c r="V773" s="1" t="s">
        <v>1958</v>
      </c>
      <c r="W773" s="1" t="str">
        <f>VLOOKUP(Table1[[#This Row],[Obergruppe ATC-Code]],Tabelle3!$A$2:$B$100,2)</f>
        <v>ANTIBIOTIKA UND CHEMOTHERAPEUTIKA ZUR DERMATOLOGISCHEN ANWENDUNG</v>
      </c>
      <c r="X773" s="1" t="str">
        <f xml:space="preserve"> LEFT(Table1[[#This Row],[Atc Code]],3)</f>
        <v>D06</v>
      </c>
    </row>
    <row r="774" spans="1:24" ht="14.4">
      <c r="A774" s="14">
        <v>298</v>
      </c>
      <c r="B774" s="24">
        <v>1872392</v>
      </c>
      <c r="C774" s="1">
        <v>424272</v>
      </c>
      <c r="D774" s="1" t="s">
        <v>25</v>
      </c>
      <c r="E774" s="36">
        <v>44480</v>
      </c>
      <c r="F774" s="36">
        <v>44529</v>
      </c>
      <c r="G774" s="38">
        <f t="shared" si="12"/>
        <v>49</v>
      </c>
      <c r="H774" s="5">
        <v>44480</v>
      </c>
      <c r="I774" s="5">
        <v>44539</v>
      </c>
      <c r="J774" s="1" t="s">
        <v>41</v>
      </c>
      <c r="K774" s="1" t="s">
        <v>1952</v>
      </c>
      <c r="L774" s="1" t="s">
        <v>1953</v>
      </c>
      <c r="M774" s="1" t="s">
        <v>1954</v>
      </c>
      <c r="N774" s="1" t="s">
        <v>30</v>
      </c>
      <c r="O774" s="1" t="s">
        <v>1955</v>
      </c>
      <c r="P774" s="1">
        <v>4961022010</v>
      </c>
      <c r="Q774" s="1" t="s">
        <v>1962</v>
      </c>
      <c r="R774" s="1" t="s">
        <v>128</v>
      </c>
      <c r="S774" s="1"/>
      <c r="T774" s="1" t="s">
        <v>1961</v>
      </c>
      <c r="U774" s="1" t="s">
        <v>35</v>
      </c>
      <c r="V774" s="1" t="s">
        <v>1958</v>
      </c>
      <c r="W774" s="1" t="str">
        <f>VLOOKUP(Table1[[#This Row],[Obergruppe ATC-Code]],Tabelle3!$A$2:$B$100,2)</f>
        <v>ANTIBIOTIKA UND CHEMOTHERAPEUTIKA ZUR DERMATOLOGISCHEN ANWENDUNG</v>
      </c>
      <c r="X774" s="1" t="str">
        <f xml:space="preserve"> LEFT(Table1[[#This Row],[Atc Code]],3)</f>
        <v>D06</v>
      </c>
    </row>
    <row r="775" spans="1:24" ht="14.4">
      <c r="A775" s="14">
        <v>277</v>
      </c>
      <c r="B775" s="24">
        <v>1664245</v>
      </c>
      <c r="C775" s="1">
        <v>2124821</v>
      </c>
      <c r="D775" s="1" t="s">
        <v>25</v>
      </c>
      <c r="E775" s="36">
        <v>43891</v>
      </c>
      <c r="F775" s="36">
        <v>44012</v>
      </c>
      <c r="G775" s="38">
        <f t="shared" si="12"/>
        <v>121</v>
      </c>
      <c r="H775" s="5">
        <v>43910</v>
      </c>
      <c r="I775" s="5">
        <v>44035</v>
      </c>
      <c r="J775" s="1" t="s">
        <v>41</v>
      </c>
      <c r="K775" s="1" t="s">
        <v>1963</v>
      </c>
      <c r="L775" s="1" t="s">
        <v>1964</v>
      </c>
      <c r="M775" s="1" t="s">
        <v>1965</v>
      </c>
      <c r="N775" s="1" t="s">
        <v>38</v>
      </c>
      <c r="O775" s="1" t="s">
        <v>52</v>
      </c>
      <c r="P775" s="1" t="s">
        <v>53</v>
      </c>
      <c r="Q775" s="1" t="s">
        <v>54</v>
      </c>
      <c r="R775" s="1" t="s">
        <v>48</v>
      </c>
      <c r="S775" s="1"/>
      <c r="U775" s="1" t="s">
        <v>35</v>
      </c>
      <c r="V775" s="1" t="s">
        <v>1966</v>
      </c>
      <c r="W775" s="1" t="str">
        <f>VLOOKUP(Table1[[#This Row],[Obergruppe ATC-Code]],Tabelle3!$A$2:$B$100,2)</f>
        <v>ANTIBIOTIKA UND CHEMOTHERAPEUTIKA ZUR DERMATOLOGISCHEN ANWENDUNG</v>
      </c>
      <c r="X775" s="1" t="str">
        <f xml:space="preserve"> LEFT(Table1[[#This Row],[Atc Code]],3)</f>
        <v>D06</v>
      </c>
    </row>
    <row r="776" spans="1:24" ht="14.4">
      <c r="A776" s="14">
        <v>2800</v>
      </c>
      <c r="B776" s="24" t="s">
        <v>1967</v>
      </c>
      <c r="C776" s="1">
        <v>2199569</v>
      </c>
      <c r="D776" s="1" t="s">
        <v>25</v>
      </c>
      <c r="E776" s="36">
        <v>44972</v>
      </c>
      <c r="F776" s="36">
        <v>45108</v>
      </c>
      <c r="G776" s="38">
        <f t="shared" si="12"/>
        <v>136</v>
      </c>
      <c r="H776" s="5">
        <v>45056</v>
      </c>
      <c r="I776" s="5">
        <v>45112</v>
      </c>
      <c r="J776" s="1" t="s">
        <v>26</v>
      </c>
      <c r="K776" s="1" t="s">
        <v>1968</v>
      </c>
      <c r="L776" s="1" t="s">
        <v>1969</v>
      </c>
      <c r="M776" s="1" t="s">
        <v>1970</v>
      </c>
      <c r="N776" s="1" t="s">
        <v>30</v>
      </c>
      <c r="O776" s="1" t="s">
        <v>97</v>
      </c>
      <c r="Q776" s="1" t="s">
        <v>1727</v>
      </c>
      <c r="R776" s="1" t="s">
        <v>113</v>
      </c>
      <c r="S776" s="1"/>
      <c r="U776" s="1" t="s">
        <v>130</v>
      </c>
      <c r="V776" s="1" t="s">
        <v>1966</v>
      </c>
      <c r="W776" s="1" t="str">
        <f>VLOOKUP(Table1[[#This Row],[Obergruppe ATC-Code]],Tabelle3!$A$2:$B$100,2)</f>
        <v>ANTIBIOTIKA UND CHEMOTHERAPEUTIKA ZUR DERMATOLOGISCHEN ANWENDUNG</v>
      </c>
      <c r="X776" s="1" t="str">
        <f xml:space="preserve"> LEFT(Table1[[#This Row],[Atc Code]],3)</f>
        <v>D06</v>
      </c>
    </row>
    <row r="777" spans="1:24" ht="14.4">
      <c r="A777" s="14">
        <v>209</v>
      </c>
      <c r="B777" s="24">
        <v>1140430</v>
      </c>
      <c r="C777" s="1">
        <v>2709663</v>
      </c>
      <c r="D777" s="1" t="s">
        <v>25</v>
      </c>
      <c r="E777" s="36">
        <v>45022</v>
      </c>
      <c r="F777" s="36">
        <v>45140</v>
      </c>
      <c r="G777" s="38">
        <f t="shared" si="12"/>
        <v>118</v>
      </c>
      <c r="H777" s="5">
        <v>45055</v>
      </c>
      <c r="I777" s="5">
        <v>45140</v>
      </c>
      <c r="J777" s="1" t="s">
        <v>41</v>
      </c>
      <c r="K777" s="1" t="s">
        <v>1971</v>
      </c>
      <c r="L777" s="1" t="s">
        <v>1969</v>
      </c>
      <c r="M777" s="1" t="s">
        <v>1970</v>
      </c>
      <c r="N777" s="1" t="s">
        <v>38</v>
      </c>
      <c r="O777" s="1" t="s">
        <v>1972</v>
      </c>
      <c r="P777" s="1">
        <v>8000700800</v>
      </c>
      <c r="Q777" s="1" t="s">
        <v>824</v>
      </c>
      <c r="R777" s="1" t="s">
        <v>128</v>
      </c>
      <c r="S777" s="1"/>
      <c r="T777" s="1" t="s">
        <v>1973</v>
      </c>
      <c r="U777" s="1" t="s">
        <v>35</v>
      </c>
      <c r="V777" s="1" t="s">
        <v>1966</v>
      </c>
      <c r="W777" s="1" t="str">
        <f>VLOOKUP(Table1[[#This Row],[Obergruppe ATC-Code]],Tabelle3!$A$2:$B$100,2)</f>
        <v>ANTIBIOTIKA UND CHEMOTHERAPEUTIKA ZUR DERMATOLOGISCHEN ANWENDUNG</v>
      </c>
      <c r="X777" s="1" t="str">
        <f xml:space="preserve"> LEFT(Table1[[#This Row],[Atc Code]],3)</f>
        <v>D06</v>
      </c>
    </row>
    <row r="778" spans="1:24" ht="14.4">
      <c r="A778" s="14">
        <v>751</v>
      </c>
      <c r="B778" s="24">
        <v>5368673</v>
      </c>
      <c r="C778" s="1">
        <v>2708571</v>
      </c>
      <c r="D778" s="1" t="s">
        <v>25</v>
      </c>
      <c r="E778" s="36">
        <v>45104</v>
      </c>
      <c r="F778" s="36">
        <v>45166</v>
      </c>
      <c r="G778" s="38">
        <f t="shared" si="12"/>
        <v>62</v>
      </c>
      <c r="H778" s="5">
        <v>45118</v>
      </c>
      <c r="I778" s="5">
        <v>45167</v>
      </c>
      <c r="J778" s="1" t="s">
        <v>26</v>
      </c>
      <c r="K778" s="1" t="s">
        <v>1974</v>
      </c>
      <c r="L778" s="1" t="s">
        <v>1969</v>
      </c>
      <c r="M778" s="1" t="s">
        <v>1970</v>
      </c>
      <c r="N778" s="1" t="s">
        <v>38</v>
      </c>
      <c r="O778" s="1" t="s">
        <v>1972</v>
      </c>
      <c r="P778" s="1" t="s">
        <v>823</v>
      </c>
      <c r="Q778" s="1" t="s">
        <v>824</v>
      </c>
      <c r="R778" s="1" t="s">
        <v>142</v>
      </c>
      <c r="S778" s="1"/>
      <c r="T778" s="1" t="s">
        <v>1975</v>
      </c>
      <c r="U778" s="1" t="s">
        <v>35</v>
      </c>
      <c r="V778" s="1" t="s">
        <v>1966</v>
      </c>
      <c r="W778" s="1" t="str">
        <f>VLOOKUP(Table1[[#This Row],[Obergruppe ATC-Code]],Tabelle3!$A$2:$B$100,2)</f>
        <v>ANTIBIOTIKA UND CHEMOTHERAPEUTIKA ZUR DERMATOLOGISCHEN ANWENDUNG</v>
      </c>
      <c r="X778" s="1" t="str">
        <f xml:space="preserve"> LEFT(Table1[[#This Row],[Atc Code]],3)</f>
        <v>D06</v>
      </c>
    </row>
    <row r="779" spans="1:24" ht="14.4">
      <c r="A779" s="14">
        <v>208</v>
      </c>
      <c r="B779" s="24">
        <v>1140430</v>
      </c>
      <c r="C779" s="1">
        <v>2709663</v>
      </c>
      <c r="D779" s="1" t="s">
        <v>175</v>
      </c>
      <c r="E779" s="36">
        <v>45182</v>
      </c>
      <c r="F779" s="36">
        <v>45337</v>
      </c>
      <c r="G779" s="38">
        <f t="shared" si="12"/>
        <v>155</v>
      </c>
      <c r="H779" s="5">
        <v>45198</v>
      </c>
      <c r="I779" s="5">
        <v>45198</v>
      </c>
      <c r="J779" s="1" t="s">
        <v>41</v>
      </c>
      <c r="K779" s="1" t="s">
        <v>1971</v>
      </c>
      <c r="L779" s="1" t="s">
        <v>1969</v>
      </c>
      <c r="M779" s="1" t="s">
        <v>1970</v>
      </c>
      <c r="N779" s="1" t="s">
        <v>38</v>
      </c>
      <c r="O779" s="1" t="s">
        <v>1972</v>
      </c>
      <c r="P779" s="1" t="s">
        <v>823</v>
      </c>
      <c r="Q779" s="1" t="s">
        <v>824</v>
      </c>
      <c r="R779" s="1" t="s">
        <v>128</v>
      </c>
      <c r="S779" s="1"/>
      <c r="T779" s="1" t="s">
        <v>1973</v>
      </c>
      <c r="U779" s="1" t="s">
        <v>35</v>
      </c>
      <c r="V779" s="1" t="s">
        <v>1966</v>
      </c>
      <c r="W779" s="1" t="str">
        <f>VLOOKUP(Table1[[#This Row],[Obergruppe ATC-Code]],Tabelle3!$A$2:$B$100,2)</f>
        <v>ANTIBIOTIKA UND CHEMOTHERAPEUTIKA ZUR DERMATOLOGISCHEN ANWENDUNG</v>
      </c>
      <c r="X779" s="1" t="str">
        <f xml:space="preserve"> LEFT(Table1[[#This Row],[Atc Code]],3)</f>
        <v>D06</v>
      </c>
    </row>
    <row r="780" spans="1:24" ht="14.4">
      <c r="A780" s="14">
        <v>3088</v>
      </c>
      <c r="B780" s="46" t="s">
        <v>1976</v>
      </c>
      <c r="C780" s="1">
        <v>2143082</v>
      </c>
      <c r="D780" s="1" t="s">
        <v>25</v>
      </c>
      <c r="E780" s="36">
        <v>43952</v>
      </c>
      <c r="F780" s="36">
        <v>44012</v>
      </c>
      <c r="G780" s="38">
        <f t="shared" si="12"/>
        <v>60</v>
      </c>
      <c r="H780" s="5">
        <v>43980</v>
      </c>
      <c r="I780" s="5">
        <v>44018</v>
      </c>
      <c r="J780" s="1" t="s">
        <v>41</v>
      </c>
      <c r="K780" s="1" t="s">
        <v>1977</v>
      </c>
      <c r="L780" s="1" t="s">
        <v>1978</v>
      </c>
      <c r="M780" s="1" t="s">
        <v>44</v>
      </c>
      <c r="N780" s="1" t="s">
        <v>38</v>
      </c>
      <c r="O780" s="1" t="s">
        <v>1979</v>
      </c>
      <c r="P780" s="1" t="s">
        <v>1980</v>
      </c>
      <c r="Q780" s="1" t="s">
        <v>1981</v>
      </c>
      <c r="R780" s="1" t="s">
        <v>26</v>
      </c>
      <c r="S780" s="1"/>
      <c r="T780" s="1" t="s">
        <v>1982</v>
      </c>
      <c r="U780" s="1" t="s">
        <v>35</v>
      </c>
      <c r="V780" s="1" t="s">
        <v>1983</v>
      </c>
      <c r="W780" s="1" t="str">
        <f>VLOOKUP(Table1[[#This Row],[Obergruppe ATC-Code]],Tabelle3!$A$2:$B$100,2)</f>
        <v>ANTIBIOTIKA UND CHEMOTHERAPEUTIKA ZUR DERMATOLOGISCHEN ANWENDUNG</v>
      </c>
      <c r="X780" s="1" t="str">
        <f xml:space="preserve"> LEFT(Table1[[#This Row],[Atc Code]],3)</f>
        <v>D06</v>
      </c>
    </row>
    <row r="781" spans="1:24" ht="14.4">
      <c r="A781" s="14">
        <v>570</v>
      </c>
      <c r="B781" s="24">
        <v>3567463</v>
      </c>
      <c r="C781" s="1">
        <v>2158824</v>
      </c>
      <c r="D781" s="1" t="s">
        <v>25</v>
      </c>
      <c r="E781" s="36">
        <v>44075</v>
      </c>
      <c r="F781" s="36">
        <v>44165</v>
      </c>
      <c r="G781" s="38">
        <f t="shared" si="12"/>
        <v>90</v>
      </c>
      <c r="H781" s="5">
        <v>44091</v>
      </c>
      <c r="I781" s="5">
        <v>44138</v>
      </c>
      <c r="J781" s="1" t="s">
        <v>41</v>
      </c>
      <c r="K781" s="1" t="s">
        <v>1984</v>
      </c>
      <c r="L781" s="1" t="s">
        <v>1978</v>
      </c>
      <c r="M781" s="1" t="s">
        <v>44</v>
      </c>
      <c r="N781" s="1" t="s">
        <v>38</v>
      </c>
      <c r="O781" s="1" t="s">
        <v>1985</v>
      </c>
      <c r="P781" s="1" t="s">
        <v>1986</v>
      </c>
      <c r="Q781" s="1" t="s">
        <v>1987</v>
      </c>
      <c r="R781" s="1" t="s">
        <v>26</v>
      </c>
      <c r="S781" s="1"/>
      <c r="T781" s="1" t="s">
        <v>1982</v>
      </c>
      <c r="U781" s="1" t="s">
        <v>35</v>
      </c>
      <c r="V781" s="1" t="s">
        <v>1966</v>
      </c>
      <c r="W781" s="1" t="str">
        <f>VLOOKUP(Table1[[#This Row],[Obergruppe ATC-Code]],Tabelle3!$A$2:$B$100,2)</f>
        <v>ANTIBIOTIKA UND CHEMOTHERAPEUTIKA ZUR DERMATOLOGISCHEN ANWENDUNG</v>
      </c>
      <c r="X781" s="1" t="str">
        <f xml:space="preserve"> LEFT(Table1[[#This Row],[Atc Code]],3)</f>
        <v>D06</v>
      </c>
    </row>
    <row r="782" spans="1:24" ht="14.4">
      <c r="A782" s="14">
        <v>571</v>
      </c>
      <c r="B782" s="24">
        <v>3567463</v>
      </c>
      <c r="C782" s="1">
        <v>2158824</v>
      </c>
      <c r="D782" s="1" t="s">
        <v>25</v>
      </c>
      <c r="E782" s="36">
        <v>44698</v>
      </c>
      <c r="F782" s="36">
        <v>44795</v>
      </c>
      <c r="G782" s="38">
        <f t="shared" si="12"/>
        <v>97</v>
      </c>
      <c r="H782" s="5">
        <v>44704</v>
      </c>
      <c r="I782" s="5">
        <v>44790</v>
      </c>
      <c r="J782" s="1" t="s">
        <v>41</v>
      </c>
      <c r="K782" s="1" t="s">
        <v>1984</v>
      </c>
      <c r="L782" s="1" t="s">
        <v>1978</v>
      </c>
      <c r="M782" s="1" t="s">
        <v>44</v>
      </c>
      <c r="N782" s="1" t="s">
        <v>38</v>
      </c>
      <c r="O782" s="1" t="s">
        <v>1988</v>
      </c>
      <c r="P782" s="1">
        <v>76145261234</v>
      </c>
      <c r="Q782" s="1" t="s">
        <v>1989</v>
      </c>
      <c r="R782" s="1" t="s">
        <v>128</v>
      </c>
      <c r="S782" s="1" t="s">
        <v>1990</v>
      </c>
      <c r="U782" s="1" t="s">
        <v>130</v>
      </c>
      <c r="V782" s="1" t="s">
        <v>1966</v>
      </c>
      <c r="W782" s="1" t="str">
        <f>VLOOKUP(Table1[[#This Row],[Obergruppe ATC-Code]],Tabelle3!$A$2:$B$100,2)</f>
        <v>ANTIBIOTIKA UND CHEMOTHERAPEUTIKA ZUR DERMATOLOGISCHEN ANWENDUNG</v>
      </c>
      <c r="X782" s="1" t="str">
        <f xml:space="preserve"> LEFT(Table1[[#This Row],[Atc Code]],3)</f>
        <v>D06</v>
      </c>
    </row>
    <row r="783" spans="1:24" ht="14.4">
      <c r="A783" s="14">
        <v>802</v>
      </c>
      <c r="B783" s="24">
        <v>6630788</v>
      </c>
      <c r="C783" s="1">
        <v>70928</v>
      </c>
      <c r="D783" s="1" t="s">
        <v>25</v>
      </c>
      <c r="E783" s="36">
        <v>45159</v>
      </c>
      <c r="F783" s="36">
        <v>45189</v>
      </c>
      <c r="G783" s="38">
        <f t="shared" si="12"/>
        <v>30</v>
      </c>
      <c r="H783" s="5">
        <v>45162</v>
      </c>
      <c r="I783" s="5">
        <v>45190</v>
      </c>
      <c r="J783" s="1" t="s">
        <v>26</v>
      </c>
      <c r="K783" s="1" t="s">
        <v>1991</v>
      </c>
      <c r="L783" s="1" t="s">
        <v>1992</v>
      </c>
      <c r="M783" s="1" t="s">
        <v>1993</v>
      </c>
      <c r="N783" s="1" t="s">
        <v>38</v>
      </c>
      <c r="O783" s="1" t="s">
        <v>31</v>
      </c>
      <c r="P783" s="1" t="s">
        <v>1994</v>
      </c>
      <c r="Q783" s="1" t="s">
        <v>39</v>
      </c>
      <c r="R783" s="1" t="s">
        <v>33</v>
      </c>
      <c r="S783" s="1"/>
      <c r="T783" s="1" t="s">
        <v>1995</v>
      </c>
      <c r="U783" s="1" t="s">
        <v>130</v>
      </c>
      <c r="V783" s="1" t="s">
        <v>1996</v>
      </c>
      <c r="W783" s="1" t="str">
        <f>VLOOKUP(Table1[[#This Row],[Obergruppe ATC-Code]],Tabelle3!$A$2:$B$100,2)</f>
        <v>CORTICOSTEROIDE, DERMATOLOGISCHE ZUBEREITUNGEN</v>
      </c>
      <c r="X783" s="1" t="str">
        <f xml:space="preserve"> LEFT(Table1[[#This Row],[Atc Code]],3)</f>
        <v>D07</v>
      </c>
    </row>
    <row r="784" spans="1:24" ht="14.4">
      <c r="A784" s="14">
        <v>187</v>
      </c>
      <c r="B784" s="24">
        <v>1115969</v>
      </c>
      <c r="C784" s="1">
        <v>2115962</v>
      </c>
      <c r="D784" s="1" t="s">
        <v>25</v>
      </c>
      <c r="E784" s="36">
        <v>44760</v>
      </c>
      <c r="F784" s="36">
        <v>44820</v>
      </c>
      <c r="G784" s="38">
        <f t="shared" si="12"/>
        <v>60</v>
      </c>
      <c r="H784" s="5">
        <v>44760</v>
      </c>
      <c r="I784" s="5">
        <v>44824</v>
      </c>
      <c r="J784" s="1" t="s">
        <v>26</v>
      </c>
      <c r="K784" s="1" t="s">
        <v>1997</v>
      </c>
      <c r="L784" s="1" t="s">
        <v>1998</v>
      </c>
      <c r="M784" s="1" t="s">
        <v>1999</v>
      </c>
      <c r="N784" s="1" t="s">
        <v>30</v>
      </c>
      <c r="O784" s="1" t="s">
        <v>31</v>
      </c>
      <c r="Q784" s="1" t="s">
        <v>32</v>
      </c>
      <c r="R784" s="1" t="s">
        <v>113</v>
      </c>
      <c r="S784" s="1"/>
      <c r="U784" s="1" t="s">
        <v>35</v>
      </c>
      <c r="V784" s="1" t="s">
        <v>1966</v>
      </c>
      <c r="W784" s="1" t="str">
        <f>VLOOKUP(Table1[[#This Row],[Obergruppe ATC-Code]],Tabelle3!$A$2:$B$100,2)</f>
        <v>CORTICOSTEROIDE, DERMATOLOGISCHE ZUBEREITUNGEN</v>
      </c>
      <c r="X784" s="1" t="str">
        <f xml:space="preserve"> LEFT(Table1[[#This Row],[Atc Code]],3)</f>
        <v>D07</v>
      </c>
    </row>
    <row r="785" spans="1:24" ht="14.4">
      <c r="A785" s="14">
        <v>296</v>
      </c>
      <c r="B785" s="24">
        <v>1854299</v>
      </c>
      <c r="C785" s="1">
        <v>451257</v>
      </c>
      <c r="D785" s="1" t="s">
        <v>25</v>
      </c>
      <c r="E785" s="36">
        <v>43770</v>
      </c>
      <c r="F785" s="36">
        <v>44074</v>
      </c>
      <c r="G785" s="38">
        <f t="shared" si="12"/>
        <v>304</v>
      </c>
      <c r="H785" s="5">
        <v>43798</v>
      </c>
      <c r="I785" s="5">
        <v>43998</v>
      </c>
      <c r="J785" s="1" t="s">
        <v>26</v>
      </c>
      <c r="K785" s="1" t="s">
        <v>2000</v>
      </c>
      <c r="L785" s="1" t="s">
        <v>2001</v>
      </c>
      <c r="M785" s="1" t="s">
        <v>2002</v>
      </c>
      <c r="N785" s="1" t="s">
        <v>30</v>
      </c>
      <c r="O785" s="1" t="s">
        <v>1921</v>
      </c>
      <c r="P785" s="1" t="s">
        <v>256</v>
      </c>
      <c r="Q785" s="1" t="s">
        <v>257</v>
      </c>
      <c r="R785" s="1" t="s">
        <v>33</v>
      </c>
      <c r="S785" s="1"/>
      <c r="T785" s="1" t="s">
        <v>2003</v>
      </c>
      <c r="U785" s="1" t="s">
        <v>35</v>
      </c>
      <c r="V785" s="1" t="s">
        <v>1958</v>
      </c>
      <c r="W785" s="1" t="str">
        <f>VLOOKUP(Table1[[#This Row],[Obergruppe ATC-Code]],Tabelle3!$A$2:$B$100,2)</f>
        <v>CORTICOSTEROIDE, DERMATOLOGISCHE ZUBEREITUNGEN</v>
      </c>
      <c r="X785" s="1" t="str">
        <f xml:space="preserve"> LEFT(Table1[[#This Row],[Atc Code]],3)</f>
        <v>D07</v>
      </c>
    </row>
    <row r="786" spans="1:24" ht="14.4">
      <c r="A786" s="14">
        <v>27</v>
      </c>
      <c r="B786" s="24">
        <v>165238</v>
      </c>
      <c r="C786" s="1">
        <v>2136963</v>
      </c>
      <c r="D786" s="1" t="s">
        <v>25</v>
      </c>
      <c r="E786" s="36">
        <v>44439</v>
      </c>
      <c r="F786" s="36">
        <v>44480</v>
      </c>
      <c r="G786" s="38">
        <f t="shared" si="12"/>
        <v>41</v>
      </c>
      <c r="H786" s="5">
        <v>44411</v>
      </c>
      <c r="I786" s="5">
        <v>44480</v>
      </c>
      <c r="J786" s="1" t="s">
        <v>26</v>
      </c>
      <c r="K786" s="1" t="s">
        <v>2004</v>
      </c>
      <c r="L786" s="1" t="s">
        <v>2001</v>
      </c>
      <c r="M786" s="1" t="s">
        <v>2005</v>
      </c>
      <c r="N786" s="1" t="s">
        <v>38</v>
      </c>
      <c r="O786" s="1" t="s">
        <v>31</v>
      </c>
      <c r="Q786" s="1" t="s">
        <v>32</v>
      </c>
      <c r="R786" s="1" t="s">
        <v>113</v>
      </c>
      <c r="S786" s="1"/>
      <c r="U786" s="1" t="s">
        <v>35</v>
      </c>
      <c r="V786" s="1" t="s">
        <v>1958</v>
      </c>
      <c r="W786" s="1" t="str">
        <f>VLOOKUP(Table1[[#This Row],[Obergruppe ATC-Code]],Tabelle3!$A$2:$B$100,2)</f>
        <v>CORTICOSTEROIDE, DERMATOLOGISCHE ZUBEREITUNGEN</v>
      </c>
      <c r="X786" s="1" t="str">
        <f xml:space="preserve"> LEFT(Table1[[#This Row],[Atc Code]],3)</f>
        <v>D07</v>
      </c>
    </row>
    <row r="787" spans="1:24" ht="14.4">
      <c r="A787" s="14">
        <v>26</v>
      </c>
      <c r="B787" s="24">
        <v>165221</v>
      </c>
      <c r="C787" s="1">
        <v>2136963</v>
      </c>
      <c r="D787" s="1" t="s">
        <v>25</v>
      </c>
      <c r="E787" s="36">
        <v>44423</v>
      </c>
      <c r="F787" s="36">
        <v>44500</v>
      </c>
      <c r="G787" s="38">
        <f t="shared" si="12"/>
        <v>77</v>
      </c>
      <c r="H787" s="5">
        <v>44411</v>
      </c>
      <c r="I787" s="5">
        <v>44551</v>
      </c>
      <c r="J787" s="1" t="s">
        <v>26</v>
      </c>
      <c r="K787" s="1" t="s">
        <v>2004</v>
      </c>
      <c r="L787" s="1" t="s">
        <v>2001</v>
      </c>
      <c r="M787" s="1" t="s">
        <v>2005</v>
      </c>
      <c r="N787" s="1" t="s">
        <v>38</v>
      </c>
      <c r="O787" s="1" t="s">
        <v>31</v>
      </c>
      <c r="Q787" s="1" t="s">
        <v>32</v>
      </c>
      <c r="R787" s="1" t="s">
        <v>113</v>
      </c>
      <c r="S787" s="1"/>
      <c r="U787" s="1" t="s">
        <v>35</v>
      </c>
      <c r="V787" s="1" t="s">
        <v>1958</v>
      </c>
      <c r="W787" s="1" t="str">
        <f>VLOOKUP(Table1[[#This Row],[Obergruppe ATC-Code]],Tabelle3!$A$2:$B$100,2)</f>
        <v>CORTICOSTEROIDE, DERMATOLOGISCHE ZUBEREITUNGEN</v>
      </c>
      <c r="X787" s="1" t="str">
        <f xml:space="preserve"> LEFT(Table1[[#This Row],[Atc Code]],3)</f>
        <v>D07</v>
      </c>
    </row>
    <row r="788" spans="1:24" ht="14.4">
      <c r="A788" s="14">
        <v>782</v>
      </c>
      <c r="B788" s="24">
        <v>6160791</v>
      </c>
      <c r="C788" s="1">
        <v>451286</v>
      </c>
      <c r="D788" s="1" t="s">
        <v>25</v>
      </c>
      <c r="E788" s="36">
        <v>44606</v>
      </c>
      <c r="F788" s="36">
        <v>44680</v>
      </c>
      <c r="G788" s="38">
        <f t="shared" si="12"/>
        <v>74</v>
      </c>
      <c r="H788" s="5">
        <v>44608</v>
      </c>
      <c r="I788" s="5">
        <v>44687</v>
      </c>
      <c r="J788" s="1" t="s">
        <v>26</v>
      </c>
      <c r="K788" s="1" t="s">
        <v>2006</v>
      </c>
      <c r="L788" s="1" t="s">
        <v>2001</v>
      </c>
      <c r="M788" s="1" t="s">
        <v>2002</v>
      </c>
      <c r="N788" s="1" t="s">
        <v>38</v>
      </c>
      <c r="O788" s="1" t="s">
        <v>1339</v>
      </c>
      <c r="P788" s="1">
        <v>498003384726</v>
      </c>
      <c r="Q788" s="1" t="s">
        <v>1340</v>
      </c>
      <c r="R788" s="1" t="s">
        <v>26</v>
      </c>
      <c r="S788" s="1"/>
      <c r="U788" s="1" t="s">
        <v>35</v>
      </c>
      <c r="V788" s="1" t="s">
        <v>1966</v>
      </c>
      <c r="W788" s="1" t="str">
        <f>VLOOKUP(Table1[[#This Row],[Obergruppe ATC-Code]],Tabelle3!$A$2:$B$100,2)</f>
        <v>CORTICOSTEROIDE, DERMATOLOGISCHE ZUBEREITUNGEN</v>
      </c>
      <c r="X788" s="1" t="str">
        <f xml:space="preserve"> LEFT(Table1[[#This Row],[Atc Code]],3)</f>
        <v>D07</v>
      </c>
    </row>
    <row r="789" spans="1:24" ht="14.4">
      <c r="A789" s="14">
        <v>297</v>
      </c>
      <c r="B789" s="24">
        <v>1854299</v>
      </c>
      <c r="C789" s="1">
        <v>451257</v>
      </c>
      <c r="D789" s="1" t="s">
        <v>25</v>
      </c>
      <c r="E789" s="36">
        <v>44628</v>
      </c>
      <c r="F789" s="36">
        <v>44719</v>
      </c>
      <c r="G789" s="38">
        <f t="shared" si="12"/>
        <v>91</v>
      </c>
      <c r="H789" s="5">
        <v>44627</v>
      </c>
      <c r="I789" s="5">
        <v>44720</v>
      </c>
      <c r="J789" s="1" t="s">
        <v>26</v>
      </c>
      <c r="K789" s="1" t="s">
        <v>2000</v>
      </c>
      <c r="L789" s="1" t="s">
        <v>2001</v>
      </c>
      <c r="M789" s="1" t="s">
        <v>2002</v>
      </c>
      <c r="N789" s="1" t="s">
        <v>38</v>
      </c>
      <c r="O789" s="1" t="s">
        <v>1339</v>
      </c>
      <c r="P789" s="1">
        <v>498003384726</v>
      </c>
      <c r="Q789" s="1" t="s">
        <v>1340</v>
      </c>
      <c r="R789" s="1" t="s">
        <v>113</v>
      </c>
      <c r="S789" s="1"/>
      <c r="U789" s="1" t="s">
        <v>35</v>
      </c>
      <c r="V789" s="1" t="s">
        <v>1958</v>
      </c>
      <c r="W789" s="1" t="str">
        <f>VLOOKUP(Table1[[#This Row],[Obergruppe ATC-Code]],Tabelle3!$A$2:$B$100,2)</f>
        <v>CORTICOSTEROIDE, DERMATOLOGISCHE ZUBEREITUNGEN</v>
      </c>
      <c r="X789" s="1" t="str">
        <f xml:space="preserve"> LEFT(Table1[[#This Row],[Atc Code]],3)</f>
        <v>D07</v>
      </c>
    </row>
    <row r="790" spans="1:24" ht="14.4">
      <c r="A790" s="14">
        <v>456</v>
      </c>
      <c r="B790" s="24">
        <v>2777595</v>
      </c>
      <c r="C790" s="1">
        <v>2103380</v>
      </c>
      <c r="D790" s="1" t="s">
        <v>25</v>
      </c>
      <c r="E790" s="36">
        <v>44732</v>
      </c>
      <c r="F790" s="36">
        <v>44768</v>
      </c>
      <c r="G790" s="38">
        <f t="shared" si="12"/>
        <v>36</v>
      </c>
      <c r="H790" s="5">
        <v>44735</v>
      </c>
      <c r="I790" s="5">
        <v>44770</v>
      </c>
      <c r="J790" s="1" t="s">
        <v>26</v>
      </c>
      <c r="K790" s="1" t="s">
        <v>2007</v>
      </c>
      <c r="L790" s="1" t="s">
        <v>2001</v>
      </c>
      <c r="M790" s="1" t="s">
        <v>2002</v>
      </c>
      <c r="N790" s="1" t="s">
        <v>38</v>
      </c>
      <c r="O790" s="1" t="s">
        <v>1339</v>
      </c>
      <c r="P790" s="1">
        <v>498003384726</v>
      </c>
      <c r="Q790" s="1" t="s">
        <v>1340</v>
      </c>
      <c r="R790" s="1" t="s">
        <v>113</v>
      </c>
      <c r="S790" s="1"/>
      <c r="U790" s="1" t="s">
        <v>35</v>
      </c>
      <c r="V790" s="1" t="s">
        <v>1958</v>
      </c>
      <c r="W790" s="1" t="str">
        <f>VLOOKUP(Table1[[#This Row],[Obergruppe ATC-Code]],Tabelle3!$A$2:$B$100,2)</f>
        <v>CORTICOSTEROIDE, DERMATOLOGISCHE ZUBEREITUNGEN</v>
      </c>
      <c r="X790" s="1" t="str">
        <f xml:space="preserve"> LEFT(Table1[[#This Row],[Atc Code]],3)</f>
        <v>D07</v>
      </c>
    </row>
    <row r="791" spans="1:24" ht="14.4">
      <c r="A791" s="14">
        <v>780</v>
      </c>
      <c r="B791" s="24">
        <v>6160791</v>
      </c>
      <c r="C791" s="1">
        <v>451286</v>
      </c>
      <c r="D791" s="1" t="s">
        <v>25</v>
      </c>
      <c r="E791" s="36">
        <v>44867</v>
      </c>
      <c r="F791" s="36">
        <v>44909</v>
      </c>
      <c r="G791" s="38">
        <f t="shared" si="12"/>
        <v>42</v>
      </c>
      <c r="H791" s="5">
        <v>44875</v>
      </c>
      <c r="I791" s="5">
        <v>44911</v>
      </c>
      <c r="J791" s="1" t="s">
        <v>26</v>
      </c>
      <c r="K791" s="1" t="s">
        <v>2006</v>
      </c>
      <c r="L791" s="1" t="s">
        <v>2001</v>
      </c>
      <c r="M791" s="1" t="s">
        <v>2002</v>
      </c>
      <c r="N791" s="1" t="s">
        <v>38</v>
      </c>
      <c r="O791" s="1" t="s">
        <v>1339</v>
      </c>
      <c r="Q791" s="1" t="s">
        <v>2008</v>
      </c>
      <c r="R791" s="1" t="s">
        <v>33</v>
      </c>
      <c r="S791" s="1"/>
      <c r="T791" s="1" t="s">
        <v>2009</v>
      </c>
      <c r="U791" s="1" t="s">
        <v>35</v>
      </c>
      <c r="V791" s="1" t="s">
        <v>1966</v>
      </c>
      <c r="W791" s="1" t="str">
        <f>VLOOKUP(Table1[[#This Row],[Obergruppe ATC-Code]],Tabelle3!$A$2:$B$100,2)</f>
        <v>CORTICOSTEROIDE, DERMATOLOGISCHE ZUBEREITUNGEN</v>
      </c>
      <c r="X791" s="1" t="str">
        <f xml:space="preserve"> LEFT(Table1[[#This Row],[Atc Code]],3)</f>
        <v>D07</v>
      </c>
    </row>
    <row r="792" spans="1:24" ht="14.4">
      <c r="A792" s="14">
        <v>1674</v>
      </c>
      <c r="B792" s="24" t="s">
        <v>2010</v>
      </c>
      <c r="C792" s="1">
        <v>2136969</v>
      </c>
      <c r="D792" s="1" t="s">
        <v>25</v>
      </c>
      <c r="E792" s="36">
        <v>44853</v>
      </c>
      <c r="F792" s="36">
        <v>44914</v>
      </c>
      <c r="G792" s="38">
        <f t="shared" si="12"/>
        <v>61</v>
      </c>
      <c r="H792" s="5">
        <v>44872</v>
      </c>
      <c r="I792" s="5">
        <v>44917</v>
      </c>
      <c r="J792" s="1" t="s">
        <v>26</v>
      </c>
      <c r="K792" s="1" t="s">
        <v>2011</v>
      </c>
      <c r="L792" s="1" t="s">
        <v>2001</v>
      </c>
      <c r="M792" s="1" t="s">
        <v>2005</v>
      </c>
      <c r="N792" s="1" t="s">
        <v>38</v>
      </c>
      <c r="O792" s="1" t="s">
        <v>31</v>
      </c>
      <c r="Q792" s="1" t="s">
        <v>32</v>
      </c>
      <c r="R792" s="1" t="s">
        <v>33</v>
      </c>
      <c r="S792" s="1" t="s">
        <v>2012</v>
      </c>
      <c r="U792" s="1" t="s">
        <v>35</v>
      </c>
      <c r="V792" s="1" t="s">
        <v>932</v>
      </c>
      <c r="W792" s="1" t="str">
        <f>VLOOKUP(Table1[[#This Row],[Obergruppe ATC-Code]],Tabelle3!$A$2:$B$100,2)</f>
        <v>CORTICOSTEROIDE, DERMATOLOGISCHE ZUBEREITUNGEN</v>
      </c>
      <c r="X792" s="1" t="str">
        <f xml:space="preserve"> LEFT(Table1[[#This Row],[Atc Code]],3)</f>
        <v>D07</v>
      </c>
    </row>
    <row r="793" spans="1:24" ht="14.4">
      <c r="A793" s="14">
        <v>352</v>
      </c>
      <c r="B793" s="24">
        <v>2051384</v>
      </c>
      <c r="C793" s="1">
        <v>2149646</v>
      </c>
      <c r="D793" s="1" t="s">
        <v>25</v>
      </c>
      <c r="E793" s="36">
        <v>44879</v>
      </c>
      <c r="F793" s="36">
        <v>44973</v>
      </c>
      <c r="G793" s="38">
        <f t="shared" si="12"/>
        <v>94</v>
      </c>
      <c r="H793" s="5">
        <v>44882</v>
      </c>
      <c r="I793" s="5">
        <v>44974</v>
      </c>
      <c r="J793" s="1" t="s">
        <v>26</v>
      </c>
      <c r="K793" s="1" t="s">
        <v>2013</v>
      </c>
      <c r="L793" s="1" t="s">
        <v>2001</v>
      </c>
      <c r="M793" s="1" t="s">
        <v>2005</v>
      </c>
      <c r="N793" s="1" t="s">
        <v>38</v>
      </c>
      <c r="O793" s="1" t="s">
        <v>31</v>
      </c>
      <c r="Q793" s="1" t="s">
        <v>32</v>
      </c>
      <c r="R793" s="1" t="s">
        <v>113</v>
      </c>
      <c r="S793" s="1" t="s">
        <v>2014</v>
      </c>
      <c r="U793" s="1" t="s">
        <v>35</v>
      </c>
      <c r="V793" s="1" t="s">
        <v>1996</v>
      </c>
      <c r="W793" s="1" t="str">
        <f>VLOOKUP(Table1[[#This Row],[Obergruppe ATC-Code]],Tabelle3!$A$2:$B$100,2)</f>
        <v>CORTICOSTEROIDE, DERMATOLOGISCHE ZUBEREITUNGEN</v>
      </c>
      <c r="X793" s="1" t="str">
        <f xml:space="preserve"> LEFT(Table1[[#This Row],[Atc Code]],3)</f>
        <v>D07</v>
      </c>
    </row>
    <row r="794" spans="1:24" ht="14.4">
      <c r="A794" s="14">
        <v>1675</v>
      </c>
      <c r="B794" s="24" t="s">
        <v>2015</v>
      </c>
      <c r="C794" s="1">
        <v>2136969</v>
      </c>
      <c r="D794" s="1" t="s">
        <v>25</v>
      </c>
      <c r="E794" s="36">
        <v>44915</v>
      </c>
      <c r="F794" s="36">
        <v>44978</v>
      </c>
      <c r="G794" s="38">
        <f t="shared" si="12"/>
        <v>63</v>
      </c>
      <c r="H794" s="5">
        <v>44931</v>
      </c>
      <c r="I794" s="5">
        <v>44980</v>
      </c>
      <c r="J794" s="1" t="s">
        <v>26</v>
      </c>
      <c r="K794" s="1" t="s">
        <v>2011</v>
      </c>
      <c r="L794" s="1" t="s">
        <v>2001</v>
      </c>
      <c r="M794" s="1" t="s">
        <v>2005</v>
      </c>
      <c r="N794" s="1" t="s">
        <v>38</v>
      </c>
      <c r="O794" s="1" t="s">
        <v>31</v>
      </c>
      <c r="Q794" s="1" t="s">
        <v>32</v>
      </c>
      <c r="R794" s="1" t="s">
        <v>33</v>
      </c>
      <c r="S794" s="1" t="s">
        <v>2016</v>
      </c>
      <c r="U794" s="1" t="s">
        <v>35</v>
      </c>
      <c r="V794" s="1" t="s">
        <v>932</v>
      </c>
      <c r="W794" s="1" t="str">
        <f>VLOOKUP(Table1[[#This Row],[Obergruppe ATC-Code]],Tabelle3!$A$2:$B$100,2)</f>
        <v>CORTICOSTEROIDE, DERMATOLOGISCHE ZUBEREITUNGEN</v>
      </c>
      <c r="X794" s="1" t="str">
        <f xml:space="preserve"> LEFT(Table1[[#This Row],[Atc Code]],3)</f>
        <v>D07</v>
      </c>
    </row>
    <row r="795" spans="1:24" ht="14.4">
      <c r="A795" s="14">
        <v>284</v>
      </c>
      <c r="B795" s="24">
        <v>1697724</v>
      </c>
      <c r="C795" s="1">
        <v>451286</v>
      </c>
      <c r="D795" s="1" t="s">
        <v>25</v>
      </c>
      <c r="E795" s="36">
        <v>45008</v>
      </c>
      <c r="F795" s="36">
        <v>45072</v>
      </c>
      <c r="G795" s="38">
        <f t="shared" si="12"/>
        <v>64</v>
      </c>
      <c r="H795" s="5">
        <v>45012</v>
      </c>
      <c r="I795" s="5">
        <v>45077</v>
      </c>
      <c r="J795" s="1" t="s">
        <v>26</v>
      </c>
      <c r="K795" s="1" t="s">
        <v>2006</v>
      </c>
      <c r="L795" s="1" t="s">
        <v>2001</v>
      </c>
      <c r="M795" s="1" t="s">
        <v>2002</v>
      </c>
      <c r="N795" s="1" t="s">
        <v>38</v>
      </c>
      <c r="O795" s="1" t="s">
        <v>1339</v>
      </c>
      <c r="Q795" s="1" t="s">
        <v>1341</v>
      </c>
      <c r="R795" s="1" t="s">
        <v>33</v>
      </c>
      <c r="S795" s="1"/>
      <c r="U795" s="1" t="s">
        <v>35</v>
      </c>
      <c r="V795" s="1" t="s">
        <v>1966</v>
      </c>
      <c r="W795" s="1" t="str">
        <f>VLOOKUP(Table1[[#This Row],[Obergruppe ATC-Code]],Tabelle3!$A$2:$B$100,2)</f>
        <v>CORTICOSTEROIDE, DERMATOLOGISCHE ZUBEREITUNGEN</v>
      </c>
      <c r="X795" s="1" t="str">
        <f xml:space="preserve"> LEFT(Table1[[#This Row],[Atc Code]],3)</f>
        <v>D07</v>
      </c>
    </row>
    <row r="796" spans="1:24" ht="14.4">
      <c r="A796" s="14">
        <v>781</v>
      </c>
      <c r="B796" s="24">
        <v>6160791</v>
      </c>
      <c r="C796" s="1">
        <v>451286</v>
      </c>
      <c r="D796" s="1" t="s">
        <v>25</v>
      </c>
      <c r="E796" s="36">
        <v>45093</v>
      </c>
      <c r="F796" s="36">
        <v>45114</v>
      </c>
      <c r="G796" s="38">
        <f t="shared" si="12"/>
        <v>21</v>
      </c>
      <c r="H796" s="5">
        <v>45099</v>
      </c>
      <c r="I796" s="5">
        <v>45114</v>
      </c>
      <c r="J796" s="1" t="s">
        <v>26</v>
      </c>
      <c r="K796" s="1" t="s">
        <v>2006</v>
      </c>
      <c r="L796" s="1" t="s">
        <v>2001</v>
      </c>
      <c r="M796" s="1" t="s">
        <v>2002</v>
      </c>
      <c r="N796" s="1" t="s">
        <v>38</v>
      </c>
      <c r="O796" s="1" t="s">
        <v>1339</v>
      </c>
      <c r="P796" s="1">
        <v>436645446577</v>
      </c>
      <c r="Q796" s="1" t="s">
        <v>2008</v>
      </c>
      <c r="R796" s="1" t="s">
        <v>113</v>
      </c>
      <c r="S796" s="1"/>
      <c r="U796" s="1" t="s">
        <v>130</v>
      </c>
      <c r="V796" s="1" t="s">
        <v>1966</v>
      </c>
      <c r="W796" s="1" t="str">
        <f>VLOOKUP(Table1[[#This Row],[Obergruppe ATC-Code]],Tabelle3!$A$2:$B$100,2)</f>
        <v>CORTICOSTEROIDE, DERMATOLOGISCHE ZUBEREITUNGEN</v>
      </c>
      <c r="X796" s="1" t="str">
        <f xml:space="preserve"> LEFT(Table1[[#This Row],[Atc Code]],3)</f>
        <v>D07</v>
      </c>
    </row>
    <row r="797" spans="1:24" ht="14.4">
      <c r="A797" s="14">
        <v>351</v>
      </c>
      <c r="B797" s="24">
        <v>2051243</v>
      </c>
      <c r="C797" s="1">
        <v>2149646</v>
      </c>
      <c r="D797" s="1" t="s">
        <v>25</v>
      </c>
      <c r="E797" s="36">
        <v>45090</v>
      </c>
      <c r="F797" s="36">
        <v>45140</v>
      </c>
      <c r="G797" s="38">
        <f t="shared" si="12"/>
        <v>50</v>
      </c>
      <c r="H797" s="5">
        <v>45098</v>
      </c>
      <c r="I797" s="5">
        <v>45142</v>
      </c>
      <c r="J797" s="1" t="s">
        <v>26</v>
      </c>
      <c r="K797" s="1" t="s">
        <v>2013</v>
      </c>
      <c r="L797" s="1" t="s">
        <v>2001</v>
      </c>
      <c r="M797" s="1" t="s">
        <v>2005</v>
      </c>
      <c r="N797" s="1" t="s">
        <v>38</v>
      </c>
      <c r="O797" s="1" t="s">
        <v>31</v>
      </c>
      <c r="P797" s="1">
        <v>498964186105</v>
      </c>
      <c r="Q797" s="1" t="s">
        <v>39</v>
      </c>
      <c r="R797" s="1" t="s">
        <v>33</v>
      </c>
      <c r="S797" s="1"/>
      <c r="U797" s="1" t="s">
        <v>130</v>
      </c>
      <c r="V797" s="1" t="s">
        <v>1996</v>
      </c>
      <c r="W797" s="1" t="str">
        <f>VLOOKUP(Table1[[#This Row],[Obergruppe ATC-Code]],Tabelle3!$A$2:$B$100,2)</f>
        <v>CORTICOSTEROIDE, DERMATOLOGISCHE ZUBEREITUNGEN</v>
      </c>
      <c r="X797" s="1" t="str">
        <f xml:space="preserve"> LEFT(Table1[[#This Row],[Atc Code]],3)</f>
        <v>D07</v>
      </c>
    </row>
    <row r="798" spans="1:24" ht="14.4">
      <c r="A798" s="14">
        <v>744</v>
      </c>
      <c r="B798" s="25">
        <v>5025654</v>
      </c>
      <c r="C798" s="1">
        <v>2176774</v>
      </c>
      <c r="D798" s="1" t="s">
        <v>25</v>
      </c>
      <c r="E798" s="36">
        <v>42826</v>
      </c>
      <c r="F798" s="36">
        <v>44500</v>
      </c>
      <c r="G798" s="38">
        <f t="shared" si="12"/>
        <v>1674</v>
      </c>
      <c r="H798" s="5">
        <v>43028</v>
      </c>
      <c r="I798" s="5">
        <v>43705</v>
      </c>
      <c r="J798" s="1" t="s">
        <v>41</v>
      </c>
      <c r="K798" s="1" t="s">
        <v>2017</v>
      </c>
      <c r="L798" s="1" t="s">
        <v>2018</v>
      </c>
      <c r="M798" s="1" t="s">
        <v>2019</v>
      </c>
      <c r="N798" s="1" t="s">
        <v>38</v>
      </c>
      <c r="O798" s="1" t="s">
        <v>2020</v>
      </c>
      <c r="P798" s="1" t="s">
        <v>2021</v>
      </c>
      <c r="Q798" s="1" t="s">
        <v>2022</v>
      </c>
      <c r="R798" s="1" t="s">
        <v>65</v>
      </c>
      <c r="S798" s="1"/>
      <c r="U798" s="1" t="s">
        <v>57</v>
      </c>
      <c r="V798" s="1" t="s">
        <v>1958</v>
      </c>
      <c r="W798" s="1" t="str">
        <f>VLOOKUP(Table1[[#This Row],[Obergruppe ATC-Code]],Tabelle3!$A$2:$B$100,2)</f>
        <v>CORTICOSTEROIDE, DERMATOLOGISCHE ZUBEREITUNGEN</v>
      </c>
      <c r="X798" s="1" t="str">
        <f xml:space="preserve"> LEFT(Table1[[#This Row],[Atc Code]],3)</f>
        <v>D07</v>
      </c>
    </row>
    <row r="799" spans="1:24" ht="14.4">
      <c r="A799" s="14">
        <v>1022</v>
      </c>
      <c r="B799" s="24">
        <v>8820458</v>
      </c>
      <c r="C799" s="1">
        <v>2170319</v>
      </c>
      <c r="D799" s="1" t="s">
        <v>25</v>
      </c>
      <c r="E799" s="36">
        <v>44044</v>
      </c>
      <c r="F799" s="36">
        <v>44135</v>
      </c>
      <c r="G799" s="38">
        <f t="shared" si="12"/>
        <v>91</v>
      </c>
      <c r="H799" s="5">
        <v>44075</v>
      </c>
      <c r="I799" s="5">
        <v>44127</v>
      </c>
      <c r="J799" s="1" t="s">
        <v>41</v>
      </c>
      <c r="K799" s="1" t="s">
        <v>2023</v>
      </c>
      <c r="L799" s="1" t="s">
        <v>2018</v>
      </c>
      <c r="M799" s="1" t="s">
        <v>2019</v>
      </c>
      <c r="N799" s="1" t="s">
        <v>38</v>
      </c>
      <c r="O799" s="1" t="s">
        <v>1440</v>
      </c>
      <c r="P799" s="1" t="s">
        <v>1441</v>
      </c>
      <c r="Q799" s="1" t="s">
        <v>1442</v>
      </c>
      <c r="R799" s="1" t="s">
        <v>26</v>
      </c>
      <c r="S799" s="1"/>
      <c r="U799" s="1" t="s">
        <v>35</v>
      </c>
      <c r="V799" s="1" t="s">
        <v>1958</v>
      </c>
      <c r="W799" s="1" t="str">
        <f>VLOOKUP(Table1[[#This Row],[Obergruppe ATC-Code]],Tabelle3!$A$2:$B$100,2)</f>
        <v>CORTICOSTEROIDE, DERMATOLOGISCHE ZUBEREITUNGEN</v>
      </c>
      <c r="X799" s="1" t="str">
        <f xml:space="preserve"> LEFT(Table1[[#This Row],[Atc Code]],3)</f>
        <v>D07</v>
      </c>
    </row>
    <row r="800" spans="1:24" ht="14.4">
      <c r="A800" s="14">
        <v>1021</v>
      </c>
      <c r="B800" s="24">
        <v>8820458</v>
      </c>
      <c r="C800" s="1">
        <v>2170319</v>
      </c>
      <c r="D800" s="1" t="s">
        <v>25</v>
      </c>
      <c r="E800" s="36">
        <v>44136</v>
      </c>
      <c r="F800" s="36">
        <v>44255</v>
      </c>
      <c r="G800" s="38">
        <f t="shared" si="12"/>
        <v>119</v>
      </c>
      <c r="H800" s="5">
        <v>44145</v>
      </c>
      <c r="I800" s="5">
        <v>44258</v>
      </c>
      <c r="J800" s="1" t="s">
        <v>41</v>
      </c>
      <c r="K800" s="1" t="s">
        <v>2023</v>
      </c>
      <c r="L800" s="1" t="s">
        <v>2018</v>
      </c>
      <c r="M800" s="1" t="s">
        <v>2019</v>
      </c>
      <c r="N800" s="1" t="s">
        <v>38</v>
      </c>
      <c r="O800" s="1" t="s">
        <v>1440</v>
      </c>
      <c r="P800" s="1" t="s">
        <v>1441</v>
      </c>
      <c r="Q800" s="1" t="s">
        <v>1916</v>
      </c>
      <c r="R800" s="1" t="s">
        <v>26</v>
      </c>
      <c r="S800" s="1"/>
      <c r="U800" s="1" t="s">
        <v>35</v>
      </c>
      <c r="V800" s="1" t="s">
        <v>1958</v>
      </c>
      <c r="W800" s="1" t="str">
        <f>VLOOKUP(Table1[[#This Row],[Obergruppe ATC-Code]],Tabelle3!$A$2:$B$100,2)</f>
        <v>CORTICOSTEROIDE, DERMATOLOGISCHE ZUBEREITUNGEN</v>
      </c>
      <c r="X800" s="1" t="str">
        <f xml:space="preserve"> LEFT(Table1[[#This Row],[Atc Code]],3)</f>
        <v>D07</v>
      </c>
    </row>
    <row r="801" spans="1:24" ht="14.4">
      <c r="A801" s="14">
        <v>1132</v>
      </c>
      <c r="B801" s="24">
        <v>9516975</v>
      </c>
      <c r="C801" s="1">
        <v>2177446</v>
      </c>
      <c r="D801" s="1" t="s">
        <v>25</v>
      </c>
      <c r="E801" s="36">
        <v>44228</v>
      </c>
      <c r="F801" s="36">
        <v>44316</v>
      </c>
      <c r="G801" s="38">
        <f t="shared" si="12"/>
        <v>88</v>
      </c>
      <c r="H801" s="5">
        <v>44242</v>
      </c>
      <c r="I801" s="5">
        <v>44316</v>
      </c>
      <c r="J801" s="1" t="s">
        <v>41</v>
      </c>
      <c r="K801" s="1" t="s">
        <v>2024</v>
      </c>
      <c r="L801" s="1" t="s">
        <v>2018</v>
      </c>
      <c r="M801" s="1" t="s">
        <v>2019</v>
      </c>
      <c r="N801" s="1" t="s">
        <v>38</v>
      </c>
      <c r="O801" s="1" t="s">
        <v>1440</v>
      </c>
      <c r="P801" s="1" t="s">
        <v>1441</v>
      </c>
      <c r="Q801" s="1" t="s">
        <v>1916</v>
      </c>
      <c r="R801" s="1" t="s">
        <v>26</v>
      </c>
      <c r="S801" s="1"/>
      <c r="U801" s="1" t="s">
        <v>35</v>
      </c>
      <c r="V801" s="1" t="s">
        <v>1966</v>
      </c>
      <c r="W801" s="1" t="str">
        <f>VLOOKUP(Table1[[#This Row],[Obergruppe ATC-Code]],Tabelle3!$A$2:$B$100,2)</f>
        <v>CORTICOSTEROIDE, DERMATOLOGISCHE ZUBEREITUNGEN</v>
      </c>
      <c r="X801" s="1" t="str">
        <f xml:space="preserve"> LEFT(Table1[[#This Row],[Atc Code]],3)</f>
        <v>D07</v>
      </c>
    </row>
    <row r="802" spans="1:24" ht="14.4">
      <c r="A802" s="14">
        <v>1134</v>
      </c>
      <c r="B802" s="24">
        <v>9516981</v>
      </c>
      <c r="C802" s="1">
        <v>2177446</v>
      </c>
      <c r="D802" s="1" t="s">
        <v>25</v>
      </c>
      <c r="E802" s="36">
        <v>44405</v>
      </c>
      <c r="F802" s="36">
        <v>44435</v>
      </c>
      <c r="G802" s="38">
        <f t="shared" si="12"/>
        <v>30</v>
      </c>
      <c r="H802" s="5">
        <v>44410</v>
      </c>
      <c r="I802" s="5">
        <v>44442</v>
      </c>
      <c r="J802" s="1" t="s">
        <v>26</v>
      </c>
      <c r="K802" s="1" t="s">
        <v>2024</v>
      </c>
      <c r="L802" s="1" t="s">
        <v>2018</v>
      </c>
      <c r="M802" s="1" t="s">
        <v>2019</v>
      </c>
      <c r="N802" s="1" t="s">
        <v>38</v>
      </c>
      <c r="O802" s="1" t="s">
        <v>1440</v>
      </c>
      <c r="P802" s="1" t="s">
        <v>1907</v>
      </c>
      <c r="Q802" s="1" t="s">
        <v>1541</v>
      </c>
      <c r="R802" s="1" t="s">
        <v>113</v>
      </c>
      <c r="S802" s="1"/>
      <c r="U802" s="1" t="s">
        <v>130</v>
      </c>
      <c r="V802" s="1" t="s">
        <v>1966</v>
      </c>
      <c r="W802" s="1" t="str">
        <f>VLOOKUP(Table1[[#This Row],[Obergruppe ATC-Code]],Tabelle3!$A$2:$B$100,2)</f>
        <v>CORTICOSTEROIDE, DERMATOLOGISCHE ZUBEREITUNGEN</v>
      </c>
      <c r="X802" s="1" t="str">
        <f xml:space="preserve"> LEFT(Table1[[#This Row],[Atc Code]],3)</f>
        <v>D07</v>
      </c>
    </row>
    <row r="803" spans="1:24" ht="14.4">
      <c r="A803" s="14">
        <v>1133</v>
      </c>
      <c r="B803" s="24">
        <v>9516975</v>
      </c>
      <c r="C803" s="1">
        <v>2177446</v>
      </c>
      <c r="D803" s="1" t="s">
        <v>25</v>
      </c>
      <c r="E803" s="36">
        <v>44468</v>
      </c>
      <c r="F803" s="36">
        <v>44530</v>
      </c>
      <c r="G803" s="38">
        <f t="shared" si="12"/>
        <v>62</v>
      </c>
      <c r="H803" s="5">
        <v>44476</v>
      </c>
      <c r="I803" s="5">
        <v>44537</v>
      </c>
      <c r="J803" s="1" t="s">
        <v>26</v>
      </c>
      <c r="K803" s="1" t="s">
        <v>2024</v>
      </c>
      <c r="L803" s="1" t="s">
        <v>2018</v>
      </c>
      <c r="M803" s="1" t="s">
        <v>2019</v>
      </c>
      <c r="N803" s="1" t="s">
        <v>38</v>
      </c>
      <c r="O803" s="1" t="s">
        <v>1440</v>
      </c>
      <c r="P803" s="1" t="s">
        <v>1907</v>
      </c>
      <c r="Q803" s="1" t="s">
        <v>1541</v>
      </c>
      <c r="R803" s="1" t="s">
        <v>33</v>
      </c>
      <c r="S803" s="1"/>
      <c r="U803" s="1" t="s">
        <v>35</v>
      </c>
      <c r="V803" s="1" t="s">
        <v>1966</v>
      </c>
      <c r="W803" s="1" t="str">
        <f>VLOOKUP(Table1[[#This Row],[Obergruppe ATC-Code]],Tabelle3!$A$2:$B$100,2)</f>
        <v>CORTICOSTEROIDE, DERMATOLOGISCHE ZUBEREITUNGEN</v>
      </c>
      <c r="X803" s="1" t="str">
        <f xml:space="preserve"> LEFT(Table1[[#This Row],[Atc Code]],3)</f>
        <v>D07</v>
      </c>
    </row>
    <row r="804" spans="1:24" ht="14.4">
      <c r="A804" s="14">
        <v>1023</v>
      </c>
      <c r="B804" s="24">
        <v>8820458</v>
      </c>
      <c r="C804" s="1">
        <v>2170319</v>
      </c>
      <c r="D804" s="1" t="s">
        <v>25</v>
      </c>
      <c r="E804" s="36">
        <v>44482</v>
      </c>
      <c r="F804" s="36">
        <v>44512</v>
      </c>
      <c r="G804" s="38">
        <f t="shared" si="12"/>
        <v>30</v>
      </c>
      <c r="H804" s="5">
        <v>44491</v>
      </c>
      <c r="I804" s="5">
        <v>44537</v>
      </c>
      <c r="J804" s="1" t="s">
        <v>26</v>
      </c>
      <c r="K804" s="1" t="s">
        <v>2023</v>
      </c>
      <c r="L804" s="1" t="s">
        <v>2018</v>
      </c>
      <c r="M804" s="1" t="s">
        <v>2019</v>
      </c>
      <c r="N804" s="1" t="s">
        <v>38</v>
      </c>
      <c r="O804" s="1" t="s">
        <v>1440</v>
      </c>
      <c r="P804" s="1" t="s">
        <v>1540</v>
      </c>
      <c r="Q804" s="1" t="s">
        <v>1541</v>
      </c>
      <c r="R804" s="1" t="s">
        <v>26</v>
      </c>
      <c r="S804" s="1"/>
      <c r="U804" s="1" t="s">
        <v>35</v>
      </c>
      <c r="V804" s="1" t="s">
        <v>1958</v>
      </c>
      <c r="W804" s="1" t="str">
        <f>VLOOKUP(Table1[[#This Row],[Obergruppe ATC-Code]],Tabelle3!$A$2:$B$100,2)</f>
        <v>CORTICOSTEROIDE, DERMATOLOGISCHE ZUBEREITUNGEN</v>
      </c>
      <c r="X804" s="1" t="str">
        <f xml:space="preserve"> LEFT(Table1[[#This Row],[Atc Code]],3)</f>
        <v>D07</v>
      </c>
    </row>
    <row r="805" spans="1:24" ht="14.4">
      <c r="A805" s="14">
        <v>2422</v>
      </c>
      <c r="B805" s="24" t="s">
        <v>2025</v>
      </c>
      <c r="C805" s="1">
        <v>2170319</v>
      </c>
      <c r="D805" s="1" t="s">
        <v>25</v>
      </c>
      <c r="E805" s="36">
        <v>44496</v>
      </c>
      <c r="F805" s="36">
        <v>44631</v>
      </c>
      <c r="G805" s="38">
        <f t="shared" si="12"/>
        <v>135</v>
      </c>
      <c r="H805" s="5">
        <v>44537</v>
      </c>
      <c r="I805" s="5">
        <v>44648</v>
      </c>
      <c r="J805" s="1" t="s">
        <v>26</v>
      </c>
      <c r="K805" s="1" t="s">
        <v>2023</v>
      </c>
      <c r="L805" s="1" t="s">
        <v>2018</v>
      </c>
      <c r="M805" s="1" t="s">
        <v>2019</v>
      </c>
      <c r="N805" s="1" t="s">
        <v>38</v>
      </c>
      <c r="O805" s="1" t="s">
        <v>1440</v>
      </c>
      <c r="P805" s="1" t="s">
        <v>1540</v>
      </c>
      <c r="Q805" s="1" t="s">
        <v>1541</v>
      </c>
      <c r="R805" s="1" t="s">
        <v>113</v>
      </c>
      <c r="S805" s="1"/>
      <c r="U805" s="1" t="s">
        <v>35</v>
      </c>
      <c r="V805" s="1" t="s">
        <v>1958</v>
      </c>
      <c r="W805" s="1" t="str">
        <f>VLOOKUP(Table1[[#This Row],[Obergruppe ATC-Code]],Tabelle3!$A$2:$B$100,2)</f>
        <v>CORTICOSTEROIDE, DERMATOLOGISCHE ZUBEREITUNGEN</v>
      </c>
      <c r="X805" s="1" t="str">
        <f xml:space="preserve"> LEFT(Table1[[#This Row],[Atc Code]],3)</f>
        <v>D07</v>
      </c>
    </row>
    <row r="806" spans="1:24" ht="14.4">
      <c r="A806" s="14">
        <v>3089</v>
      </c>
      <c r="B806" s="1">
        <v>5025714</v>
      </c>
      <c r="C806" s="1">
        <v>2184272</v>
      </c>
      <c r="D806" s="1" t="s">
        <v>25</v>
      </c>
      <c r="E806" s="36">
        <v>42826</v>
      </c>
      <c r="F806" s="36">
        <v>44482</v>
      </c>
      <c r="G806" s="38">
        <f t="shared" si="12"/>
        <v>1656</v>
      </c>
      <c r="H806" s="5">
        <v>43028</v>
      </c>
      <c r="I806" s="5">
        <v>44715</v>
      </c>
      <c r="J806" s="1" t="s">
        <v>41</v>
      </c>
      <c r="K806" s="1" t="s">
        <v>2026</v>
      </c>
      <c r="L806" s="1" t="s">
        <v>2018</v>
      </c>
      <c r="M806" s="1" t="s">
        <v>2019</v>
      </c>
      <c r="N806" s="1" t="s">
        <v>38</v>
      </c>
      <c r="O806" s="1" t="s">
        <v>2020</v>
      </c>
      <c r="P806" s="1" t="s">
        <v>2021</v>
      </c>
      <c r="Q806" s="1" t="s">
        <v>2022</v>
      </c>
      <c r="R806" s="1" t="s">
        <v>65</v>
      </c>
      <c r="S806" s="1" t="s">
        <v>2027</v>
      </c>
      <c r="T806" s="1" t="s">
        <v>2028</v>
      </c>
      <c r="U806" s="1" t="s">
        <v>57</v>
      </c>
      <c r="V806" s="1" t="s">
        <v>2029</v>
      </c>
      <c r="W806" s="1" t="str">
        <f>VLOOKUP(Table1[[#This Row],[Obergruppe ATC-Code]],Tabelle3!$A$2:$B$100,2)</f>
        <v>CORTICOSTEROIDE, DERMATOLOGISCHE ZUBEREITUNGEN</v>
      </c>
      <c r="X806" s="1" t="str">
        <f xml:space="preserve"> LEFT(Table1[[#This Row],[Atc Code]],3)</f>
        <v>D07</v>
      </c>
    </row>
    <row r="807" spans="1:24" ht="14.4">
      <c r="A807" s="14">
        <v>2423</v>
      </c>
      <c r="B807" s="24" t="s">
        <v>2030</v>
      </c>
      <c r="C807" s="1">
        <v>2170319</v>
      </c>
      <c r="D807" s="1" t="s">
        <v>25</v>
      </c>
      <c r="E807" s="36">
        <v>44748</v>
      </c>
      <c r="F807" s="36">
        <v>44867</v>
      </c>
      <c r="G807" s="38">
        <f t="shared" si="12"/>
        <v>119</v>
      </c>
      <c r="H807" s="5">
        <v>44762</v>
      </c>
      <c r="I807" s="5">
        <v>44865</v>
      </c>
      <c r="J807" s="1" t="s">
        <v>26</v>
      </c>
      <c r="K807" s="1" t="s">
        <v>2023</v>
      </c>
      <c r="L807" s="1" t="s">
        <v>2018</v>
      </c>
      <c r="M807" s="1" t="s">
        <v>2019</v>
      </c>
      <c r="N807" s="1" t="s">
        <v>38</v>
      </c>
      <c r="O807" s="1" t="s">
        <v>1440</v>
      </c>
      <c r="P807" s="1" t="s">
        <v>1540</v>
      </c>
      <c r="Q807" s="1" t="s">
        <v>1541</v>
      </c>
      <c r="R807" s="1" t="s">
        <v>113</v>
      </c>
      <c r="S807" s="1"/>
      <c r="U807" s="1" t="s">
        <v>130</v>
      </c>
      <c r="V807" s="1" t="s">
        <v>1958</v>
      </c>
      <c r="W807" s="1" t="str">
        <f>VLOOKUP(Table1[[#This Row],[Obergruppe ATC-Code]],Tabelle3!$A$2:$B$100,2)</f>
        <v>CORTICOSTEROIDE, DERMATOLOGISCHE ZUBEREITUNGEN</v>
      </c>
      <c r="X807" s="1" t="str">
        <f xml:space="preserve"> LEFT(Table1[[#This Row],[Atc Code]],3)</f>
        <v>D07</v>
      </c>
    </row>
    <row r="808" spans="1:24" ht="14.4">
      <c r="A808" s="14">
        <v>609</v>
      </c>
      <c r="B808" s="24">
        <v>3954958</v>
      </c>
      <c r="C808" s="1">
        <v>2184545</v>
      </c>
      <c r="D808" s="1" t="s">
        <v>25</v>
      </c>
      <c r="E808" s="36">
        <v>44872</v>
      </c>
      <c r="F808" s="36">
        <v>44973</v>
      </c>
      <c r="G808" s="38">
        <f t="shared" si="12"/>
        <v>101</v>
      </c>
      <c r="H808" s="5">
        <v>44873</v>
      </c>
      <c r="I808" s="5">
        <v>44977</v>
      </c>
      <c r="J808" s="1" t="s">
        <v>26</v>
      </c>
      <c r="K808" s="1" t="s">
        <v>2031</v>
      </c>
      <c r="L808" s="1" t="s">
        <v>2032</v>
      </c>
      <c r="M808" s="1" t="s">
        <v>2033</v>
      </c>
      <c r="N808" s="1" t="s">
        <v>38</v>
      </c>
      <c r="O808" s="1" t="s">
        <v>78</v>
      </c>
      <c r="P808" s="1">
        <v>49894423246220</v>
      </c>
      <c r="Q808" s="1" t="s">
        <v>2034</v>
      </c>
      <c r="R808" s="1" t="s">
        <v>113</v>
      </c>
      <c r="S808" s="1"/>
      <c r="T808" s="1" t="s">
        <v>2035</v>
      </c>
      <c r="U808" s="1" t="s">
        <v>35</v>
      </c>
      <c r="V808" s="1" t="s">
        <v>1996</v>
      </c>
      <c r="W808" s="1" t="str">
        <f>VLOOKUP(Table1[[#This Row],[Obergruppe ATC-Code]],Tabelle3!$A$2:$B$100,2)</f>
        <v>CORTICOSTEROIDE, DERMATOLOGISCHE ZUBEREITUNGEN</v>
      </c>
      <c r="X808" s="1" t="str">
        <f xml:space="preserve"> LEFT(Table1[[#This Row],[Atc Code]],3)</f>
        <v>D07</v>
      </c>
    </row>
    <row r="809" spans="1:24" ht="14.4">
      <c r="A809" s="14">
        <v>2289</v>
      </c>
      <c r="B809" s="24" t="s">
        <v>2036</v>
      </c>
      <c r="C809" s="1">
        <v>2149881</v>
      </c>
      <c r="D809" s="1" t="s">
        <v>25</v>
      </c>
      <c r="E809" s="36">
        <v>44711</v>
      </c>
      <c r="F809" s="36">
        <v>44806</v>
      </c>
      <c r="G809" s="38">
        <f t="shared" si="12"/>
        <v>95</v>
      </c>
      <c r="H809" s="5">
        <v>44711</v>
      </c>
      <c r="I809" s="5">
        <v>44806</v>
      </c>
      <c r="J809" s="1" t="s">
        <v>41</v>
      </c>
      <c r="K809" s="1" t="s">
        <v>2037</v>
      </c>
      <c r="L809" s="1" t="s">
        <v>2038</v>
      </c>
      <c r="M809" s="1" t="s">
        <v>2039</v>
      </c>
      <c r="N809" s="1" t="s">
        <v>38</v>
      </c>
      <c r="O809" s="1" t="s">
        <v>31</v>
      </c>
      <c r="Q809" s="1" t="s">
        <v>32</v>
      </c>
      <c r="R809" s="1" t="s">
        <v>128</v>
      </c>
      <c r="S809" s="1"/>
      <c r="U809" s="1" t="s">
        <v>35</v>
      </c>
      <c r="V809" s="1" t="s">
        <v>225</v>
      </c>
      <c r="W809" s="1" t="str">
        <f>VLOOKUP(Table1[[#This Row],[Obergruppe ATC-Code]],Tabelle3!$A$2:$B$100,2)</f>
        <v>CORTICOSTEROIDE, DERMATOLOGISCHE ZUBEREITUNGEN</v>
      </c>
      <c r="X809" s="1" t="str">
        <f xml:space="preserve"> LEFT(Table1[[#This Row],[Atc Code]],3)</f>
        <v>D07</v>
      </c>
    </row>
    <row r="810" spans="1:24" ht="14.4">
      <c r="A810" s="14">
        <v>375</v>
      </c>
      <c r="B810" s="24">
        <v>2149881</v>
      </c>
      <c r="C810" s="1">
        <v>2149881</v>
      </c>
      <c r="D810" s="1" t="s">
        <v>25</v>
      </c>
      <c r="E810" s="36">
        <v>44936</v>
      </c>
      <c r="F810" s="36">
        <v>44987</v>
      </c>
      <c r="G810" s="38">
        <f t="shared" si="12"/>
        <v>51</v>
      </c>
      <c r="H810" s="5">
        <v>44938</v>
      </c>
      <c r="I810" s="5">
        <v>44988</v>
      </c>
      <c r="J810" s="1" t="s">
        <v>26</v>
      </c>
      <c r="K810" s="1" t="s">
        <v>2037</v>
      </c>
      <c r="L810" s="1" t="s">
        <v>2038</v>
      </c>
      <c r="M810" s="1" t="s">
        <v>2039</v>
      </c>
      <c r="N810" s="1" t="s">
        <v>38</v>
      </c>
      <c r="O810" s="1" t="s">
        <v>31</v>
      </c>
      <c r="Q810" s="1" t="s">
        <v>32</v>
      </c>
      <c r="R810" s="1" t="s">
        <v>33</v>
      </c>
      <c r="S810" s="1" t="s">
        <v>2040</v>
      </c>
      <c r="U810" s="1" t="s">
        <v>35</v>
      </c>
      <c r="V810" s="1" t="s">
        <v>225</v>
      </c>
      <c r="W810" s="1" t="str">
        <f>VLOOKUP(Table1[[#This Row],[Obergruppe ATC-Code]],Tabelle3!$A$2:$B$100,2)</f>
        <v>CORTICOSTEROIDE, DERMATOLOGISCHE ZUBEREITUNGEN</v>
      </c>
      <c r="X810" s="1" t="str">
        <f xml:space="preserve"> LEFT(Table1[[#This Row],[Atc Code]],3)</f>
        <v>D07</v>
      </c>
    </row>
    <row r="811" spans="1:24" ht="14.4">
      <c r="A811" s="14">
        <v>1926</v>
      </c>
      <c r="B811" s="24" t="s">
        <v>2041</v>
      </c>
      <c r="C811" s="1" t="s">
        <v>2042</v>
      </c>
      <c r="D811" s="1" t="s">
        <v>175</v>
      </c>
      <c r="E811" s="36">
        <v>45080</v>
      </c>
      <c r="F811" s="36">
        <v>45230</v>
      </c>
      <c r="G811" s="38">
        <f t="shared" si="12"/>
        <v>150</v>
      </c>
      <c r="H811" s="5">
        <v>45145</v>
      </c>
      <c r="I811" s="5">
        <v>45145</v>
      </c>
      <c r="J811" s="1" t="s">
        <v>26</v>
      </c>
      <c r="K811" s="1" t="s">
        <v>2043</v>
      </c>
      <c r="L811" s="1" t="s">
        <v>2044</v>
      </c>
      <c r="M811" s="1" t="s">
        <v>2045</v>
      </c>
      <c r="N811" s="1" t="s">
        <v>38</v>
      </c>
      <c r="O811" s="1" t="s">
        <v>184</v>
      </c>
      <c r="P811" s="1" t="s">
        <v>1010</v>
      </c>
      <c r="Q811" s="1" t="s">
        <v>185</v>
      </c>
      <c r="R811" s="1" t="s">
        <v>732</v>
      </c>
      <c r="S811" s="1" t="s">
        <v>2046</v>
      </c>
      <c r="U811" s="1" t="s">
        <v>130</v>
      </c>
      <c r="V811" s="1" t="s">
        <v>1958</v>
      </c>
      <c r="W811" s="1" t="str">
        <f>VLOOKUP(Table1[[#This Row],[Obergruppe ATC-Code]],Tabelle3!$A$2:$B$100,2)</f>
        <v>CORTICOSTEROIDE, DERMATOLOGISCHE ZUBEREITUNGEN</v>
      </c>
      <c r="X811" s="1" t="str">
        <f xml:space="preserve"> LEFT(Table1[[#This Row],[Atc Code]],3)</f>
        <v>D07</v>
      </c>
    </row>
    <row r="812" spans="1:24" ht="14.4">
      <c r="A812" s="14">
        <v>1001</v>
      </c>
      <c r="B812" s="24">
        <v>8665621</v>
      </c>
      <c r="C812" s="1">
        <v>304378</v>
      </c>
      <c r="D812" s="1" t="s">
        <v>25</v>
      </c>
      <c r="E812" s="36">
        <v>44298</v>
      </c>
      <c r="F812" s="36">
        <v>44452</v>
      </c>
      <c r="G812" s="38">
        <f t="shared" si="12"/>
        <v>154</v>
      </c>
      <c r="H812" s="5">
        <v>44407</v>
      </c>
      <c r="I812" s="5">
        <v>44452</v>
      </c>
      <c r="J812" s="1" t="s">
        <v>26</v>
      </c>
      <c r="K812" s="1" t="s">
        <v>2047</v>
      </c>
      <c r="L812" s="1" t="s">
        <v>2048</v>
      </c>
      <c r="M812" s="1" t="s">
        <v>2049</v>
      </c>
      <c r="N812" s="1" t="s">
        <v>38</v>
      </c>
      <c r="O812" s="1" t="s">
        <v>1979</v>
      </c>
      <c r="Q812" s="1" t="s">
        <v>2050</v>
      </c>
      <c r="R812" s="1" t="s">
        <v>26</v>
      </c>
      <c r="S812" s="1" t="s">
        <v>2051</v>
      </c>
      <c r="T812" s="1" t="s">
        <v>2052</v>
      </c>
      <c r="U812" s="1" t="s">
        <v>35</v>
      </c>
      <c r="V812" s="1" t="s">
        <v>1966</v>
      </c>
      <c r="W812" s="1" t="str">
        <f>VLOOKUP(Table1[[#This Row],[Obergruppe ATC-Code]],Tabelle3!$A$2:$B$100,2)</f>
        <v>ANTISEPTIKA UND DESINFEKTIONSMITTEL</v>
      </c>
      <c r="X812" s="1" t="str">
        <f xml:space="preserve"> LEFT(Table1[[#This Row],[Atc Code]],3)</f>
        <v>D08</v>
      </c>
    </row>
    <row r="813" spans="1:24" ht="14.4">
      <c r="A813" s="14">
        <v>1000</v>
      </c>
      <c r="B813" s="24">
        <v>8665615</v>
      </c>
      <c r="C813" s="1">
        <v>304378</v>
      </c>
      <c r="D813" s="1" t="s">
        <v>25</v>
      </c>
      <c r="E813" s="36">
        <v>44389</v>
      </c>
      <c r="F813" s="36">
        <v>44452</v>
      </c>
      <c r="G813" s="38">
        <f t="shared" si="12"/>
        <v>63</v>
      </c>
      <c r="H813" s="5">
        <v>44400</v>
      </c>
      <c r="I813" s="5">
        <v>44452</v>
      </c>
      <c r="J813" s="1" t="s">
        <v>26</v>
      </c>
      <c r="K813" s="1" t="s">
        <v>2047</v>
      </c>
      <c r="L813" s="1" t="s">
        <v>2048</v>
      </c>
      <c r="M813" s="1" t="s">
        <v>2049</v>
      </c>
      <c r="N813" s="1" t="s">
        <v>38</v>
      </c>
      <c r="O813" s="1" t="s">
        <v>1979</v>
      </c>
      <c r="Q813" s="1" t="s">
        <v>2050</v>
      </c>
      <c r="R813" s="1" t="s">
        <v>26</v>
      </c>
      <c r="S813" s="1" t="s">
        <v>2051</v>
      </c>
      <c r="U813" s="1" t="s">
        <v>35</v>
      </c>
      <c r="V813" s="1" t="s">
        <v>1966</v>
      </c>
      <c r="W813" s="1" t="str">
        <f>VLOOKUP(Table1[[#This Row],[Obergruppe ATC-Code]],Tabelle3!$A$2:$B$100,2)</f>
        <v>ANTISEPTIKA UND DESINFEKTIONSMITTEL</v>
      </c>
      <c r="X813" s="1" t="str">
        <f xml:space="preserve"> LEFT(Table1[[#This Row],[Atc Code]],3)</f>
        <v>D08</v>
      </c>
    </row>
    <row r="814" spans="1:24" ht="14.4">
      <c r="A814" s="14">
        <v>861</v>
      </c>
      <c r="B814" s="24">
        <v>7271825</v>
      </c>
      <c r="C814" s="1">
        <v>2131385</v>
      </c>
      <c r="D814" s="1" t="s">
        <v>25</v>
      </c>
      <c r="E814" s="36">
        <v>44013</v>
      </c>
      <c r="F814" s="36">
        <v>44104</v>
      </c>
      <c r="G814" s="38">
        <f t="shared" si="12"/>
        <v>91</v>
      </c>
      <c r="H814" s="5">
        <v>44063</v>
      </c>
      <c r="I814" s="5">
        <v>44092</v>
      </c>
      <c r="J814" s="1" t="s">
        <v>41</v>
      </c>
      <c r="K814" s="1" t="s">
        <v>2053</v>
      </c>
      <c r="L814" s="1" t="s">
        <v>2054</v>
      </c>
      <c r="M814" s="1" t="s">
        <v>2055</v>
      </c>
      <c r="N814" s="1" t="s">
        <v>38</v>
      </c>
      <c r="O814" s="1" t="s">
        <v>1979</v>
      </c>
      <c r="P814" s="1" t="s">
        <v>1980</v>
      </c>
      <c r="Q814" s="1" t="s">
        <v>1981</v>
      </c>
      <c r="R814" s="1" t="s">
        <v>26</v>
      </c>
      <c r="S814" s="1"/>
      <c r="T814" s="1" t="s">
        <v>2056</v>
      </c>
      <c r="U814" s="1" t="s">
        <v>35</v>
      </c>
      <c r="V814" s="1" t="s">
        <v>1983</v>
      </c>
      <c r="W814" s="1" t="str">
        <f>VLOOKUP(Table1[[#This Row],[Obergruppe ATC-Code]],Tabelle3!$A$2:$B$100,2)</f>
        <v>AKNEMITTEL</v>
      </c>
      <c r="X814" s="1" t="str">
        <f xml:space="preserve"> LEFT(Table1[[#This Row],[Atc Code]],3)</f>
        <v>D10</v>
      </c>
    </row>
    <row r="815" spans="1:24" ht="14.4">
      <c r="A815" s="14">
        <v>862</v>
      </c>
      <c r="B815" s="24">
        <v>7271825</v>
      </c>
      <c r="C815" s="1">
        <v>2131385</v>
      </c>
      <c r="D815" s="1" t="s">
        <v>25</v>
      </c>
      <c r="E815" s="36">
        <v>45124</v>
      </c>
      <c r="F815" s="36">
        <v>45194</v>
      </c>
      <c r="G815" s="38">
        <f t="shared" si="12"/>
        <v>70</v>
      </c>
      <c r="H815" s="5">
        <v>45169</v>
      </c>
      <c r="I815" s="5">
        <v>45208</v>
      </c>
      <c r="J815" s="1" t="s">
        <v>26</v>
      </c>
      <c r="K815" s="1" t="s">
        <v>2053</v>
      </c>
      <c r="L815" s="1" t="s">
        <v>2054</v>
      </c>
      <c r="M815" s="1" t="s">
        <v>2055</v>
      </c>
      <c r="N815" s="1" t="s">
        <v>38</v>
      </c>
      <c r="O815" s="1" t="s">
        <v>1979</v>
      </c>
      <c r="Q815" s="1" t="s">
        <v>2050</v>
      </c>
      <c r="R815" s="1" t="s">
        <v>113</v>
      </c>
      <c r="S815" s="1"/>
      <c r="T815" s="1" t="s">
        <v>2056</v>
      </c>
      <c r="U815" s="1" t="s">
        <v>35</v>
      </c>
      <c r="V815" s="1" t="s">
        <v>1983</v>
      </c>
      <c r="W815" s="1" t="str">
        <f>VLOOKUP(Table1[[#This Row],[Obergruppe ATC-Code]],Tabelle3!$A$2:$B$100,2)</f>
        <v>AKNEMITTEL</v>
      </c>
      <c r="X815" s="1" t="str">
        <f xml:space="preserve"> LEFT(Table1[[#This Row],[Atc Code]],3)</f>
        <v>D10</v>
      </c>
    </row>
    <row r="816" spans="1:24" ht="14.4">
      <c r="A816" s="14">
        <v>1317</v>
      </c>
      <c r="B816" s="24">
        <v>12554146</v>
      </c>
      <c r="C816" s="1">
        <v>2196168</v>
      </c>
      <c r="D816" s="1" t="s">
        <v>25</v>
      </c>
      <c r="E816" s="36">
        <v>43525</v>
      </c>
      <c r="F816" s="36">
        <v>43708</v>
      </c>
      <c r="G816" s="38">
        <f t="shared" si="12"/>
        <v>183</v>
      </c>
      <c r="H816" s="5">
        <v>43640</v>
      </c>
      <c r="I816" s="5">
        <v>43683</v>
      </c>
      <c r="J816" s="1" t="s">
        <v>41</v>
      </c>
      <c r="K816" s="1" t="s">
        <v>2057</v>
      </c>
      <c r="L816" s="1" t="s">
        <v>2058</v>
      </c>
      <c r="M816" s="1" t="s">
        <v>2059</v>
      </c>
      <c r="N816" s="1" t="s">
        <v>30</v>
      </c>
      <c r="O816" s="1" t="s">
        <v>1979</v>
      </c>
      <c r="P816" s="1" t="s">
        <v>1980</v>
      </c>
      <c r="Q816" s="1" t="s">
        <v>1981</v>
      </c>
      <c r="R816" s="1" t="s">
        <v>48</v>
      </c>
      <c r="S816" s="1"/>
      <c r="T816" s="1" t="s">
        <v>2060</v>
      </c>
      <c r="U816" s="1" t="s">
        <v>35</v>
      </c>
      <c r="V816" s="1" t="s">
        <v>1983</v>
      </c>
      <c r="W816" s="1" t="str">
        <f>VLOOKUP(Table1[[#This Row],[Obergruppe ATC-Code]],Tabelle3!$A$2:$B$100,2)</f>
        <v>AKNEMITTEL</v>
      </c>
      <c r="X816" s="1" t="str">
        <f xml:space="preserve"> LEFT(Table1[[#This Row],[Atc Code]],3)</f>
        <v>D10</v>
      </c>
    </row>
    <row r="817" spans="1:24" ht="14.4">
      <c r="A817" s="14">
        <v>1316</v>
      </c>
      <c r="B817" s="24">
        <v>12554146</v>
      </c>
      <c r="C817" s="1">
        <v>2196168</v>
      </c>
      <c r="D817" s="1" t="s">
        <v>25</v>
      </c>
      <c r="E817" s="36">
        <v>43831</v>
      </c>
      <c r="F817" s="36">
        <v>43890</v>
      </c>
      <c r="G817" s="38">
        <f t="shared" si="12"/>
        <v>59</v>
      </c>
      <c r="H817" s="5">
        <v>43872</v>
      </c>
      <c r="I817" s="5">
        <v>43894</v>
      </c>
      <c r="J817" s="1" t="s">
        <v>41</v>
      </c>
      <c r="K817" s="1" t="s">
        <v>2057</v>
      </c>
      <c r="L817" s="1" t="s">
        <v>2058</v>
      </c>
      <c r="M817" s="1" t="s">
        <v>2059</v>
      </c>
      <c r="N817" s="1" t="s">
        <v>38</v>
      </c>
      <c r="O817" s="1" t="s">
        <v>1979</v>
      </c>
      <c r="P817" s="1" t="s">
        <v>1980</v>
      </c>
      <c r="Q817" s="1" t="s">
        <v>1981</v>
      </c>
      <c r="R817" s="1" t="s">
        <v>26</v>
      </c>
      <c r="S817" s="1"/>
      <c r="T817" s="1" t="s">
        <v>2060</v>
      </c>
      <c r="U817" s="1" t="s">
        <v>35</v>
      </c>
      <c r="V817" s="1" t="s">
        <v>1983</v>
      </c>
      <c r="W817" s="1" t="str">
        <f>VLOOKUP(Table1[[#This Row],[Obergruppe ATC-Code]],Tabelle3!$A$2:$B$100,2)</f>
        <v>AKNEMITTEL</v>
      </c>
      <c r="X817" s="1" t="str">
        <f xml:space="preserve"> LEFT(Table1[[#This Row],[Atc Code]],3)</f>
        <v>D10</v>
      </c>
    </row>
    <row r="818" spans="1:24" ht="14.4">
      <c r="A818" s="14">
        <v>1315</v>
      </c>
      <c r="B818" s="24">
        <v>12554146</v>
      </c>
      <c r="C818" s="1">
        <v>2196168</v>
      </c>
      <c r="D818" s="1" t="s">
        <v>25</v>
      </c>
      <c r="E818" s="36">
        <v>44136</v>
      </c>
      <c r="F818" s="36">
        <v>44227</v>
      </c>
      <c r="G818" s="38">
        <f t="shared" si="12"/>
        <v>91</v>
      </c>
      <c r="H818" s="5">
        <v>44209</v>
      </c>
      <c r="I818" s="5">
        <v>44228</v>
      </c>
      <c r="J818" s="1" t="s">
        <v>41</v>
      </c>
      <c r="K818" s="1" t="s">
        <v>2057</v>
      </c>
      <c r="L818" s="1" t="s">
        <v>2058</v>
      </c>
      <c r="M818" s="1" t="s">
        <v>2059</v>
      </c>
      <c r="N818" s="1" t="s">
        <v>38</v>
      </c>
      <c r="O818" s="1" t="s">
        <v>1979</v>
      </c>
      <c r="P818" s="1" t="s">
        <v>1980</v>
      </c>
      <c r="Q818" s="1" t="s">
        <v>1981</v>
      </c>
      <c r="R818" s="1" t="s">
        <v>48</v>
      </c>
      <c r="S818" s="1"/>
      <c r="T818" s="1" t="s">
        <v>2060</v>
      </c>
      <c r="U818" s="1" t="s">
        <v>35</v>
      </c>
      <c r="V818" s="1" t="s">
        <v>1983</v>
      </c>
      <c r="W818" s="1" t="str">
        <f>VLOOKUP(Table1[[#This Row],[Obergruppe ATC-Code]],Tabelle3!$A$2:$B$100,2)</f>
        <v>AKNEMITTEL</v>
      </c>
      <c r="X818" s="1" t="str">
        <f xml:space="preserve"> LEFT(Table1[[#This Row],[Atc Code]],3)</f>
        <v>D10</v>
      </c>
    </row>
    <row r="819" spans="1:24" ht="14.4">
      <c r="A819" s="14">
        <v>1314</v>
      </c>
      <c r="B819" s="24">
        <v>12554146</v>
      </c>
      <c r="C819" s="1">
        <v>2196168</v>
      </c>
      <c r="D819" s="1" t="s">
        <v>25</v>
      </c>
      <c r="E819" s="36">
        <v>43831</v>
      </c>
      <c r="F819" s="36">
        <v>43890</v>
      </c>
      <c r="G819" s="38">
        <f t="shared" si="12"/>
        <v>59</v>
      </c>
      <c r="H819" s="5">
        <v>44238</v>
      </c>
      <c r="I819" s="5">
        <v>44256</v>
      </c>
      <c r="J819" s="1" t="s">
        <v>41</v>
      </c>
      <c r="K819" s="1" t="s">
        <v>2057</v>
      </c>
      <c r="L819" s="1" t="s">
        <v>2058</v>
      </c>
      <c r="M819" s="1" t="s">
        <v>2059</v>
      </c>
      <c r="N819" s="1" t="s">
        <v>38</v>
      </c>
      <c r="O819" s="1" t="s">
        <v>1979</v>
      </c>
      <c r="P819" s="1" t="s">
        <v>1980</v>
      </c>
      <c r="Q819" s="1" t="s">
        <v>1981</v>
      </c>
      <c r="R819" s="1" t="s">
        <v>48</v>
      </c>
      <c r="S819" s="1"/>
      <c r="T819" s="1" t="s">
        <v>2060</v>
      </c>
      <c r="U819" s="1" t="s">
        <v>35</v>
      </c>
      <c r="V819" s="1" t="s">
        <v>1983</v>
      </c>
      <c r="W819" s="1" t="str">
        <f>VLOOKUP(Table1[[#This Row],[Obergruppe ATC-Code]],Tabelle3!$A$2:$B$100,2)</f>
        <v>AKNEMITTEL</v>
      </c>
      <c r="X819" s="1" t="str">
        <f xml:space="preserve"> LEFT(Table1[[#This Row],[Atc Code]],3)</f>
        <v>D10</v>
      </c>
    </row>
    <row r="820" spans="1:24" ht="14.4">
      <c r="A820" s="14">
        <v>1313</v>
      </c>
      <c r="B820" s="24">
        <v>12554146</v>
      </c>
      <c r="C820" s="1">
        <v>2196168</v>
      </c>
      <c r="D820" s="1" t="s">
        <v>25</v>
      </c>
      <c r="E820" s="36">
        <v>44256</v>
      </c>
      <c r="F820" s="36">
        <v>44316</v>
      </c>
      <c r="G820" s="38">
        <f t="shared" si="12"/>
        <v>60</v>
      </c>
      <c r="H820" s="5">
        <v>44295</v>
      </c>
      <c r="I820" s="5">
        <v>44323</v>
      </c>
      <c r="J820" s="1" t="s">
        <v>41</v>
      </c>
      <c r="K820" s="1" t="s">
        <v>2057</v>
      </c>
      <c r="L820" s="1" t="s">
        <v>2058</v>
      </c>
      <c r="M820" s="1" t="s">
        <v>2059</v>
      </c>
      <c r="N820" s="1" t="s">
        <v>38</v>
      </c>
      <c r="O820" s="1" t="s">
        <v>1979</v>
      </c>
      <c r="P820" s="1" t="s">
        <v>1980</v>
      </c>
      <c r="Q820" s="1" t="s">
        <v>1981</v>
      </c>
      <c r="R820" s="1" t="s">
        <v>48</v>
      </c>
      <c r="S820" s="1"/>
      <c r="T820" s="1" t="s">
        <v>2060</v>
      </c>
      <c r="U820" s="1" t="s">
        <v>35</v>
      </c>
      <c r="V820" s="1" t="s">
        <v>1983</v>
      </c>
      <c r="W820" s="1" t="str">
        <f>VLOOKUP(Table1[[#This Row],[Obergruppe ATC-Code]],Tabelle3!$A$2:$B$100,2)</f>
        <v>AKNEMITTEL</v>
      </c>
      <c r="X820" s="1" t="str">
        <f xml:space="preserve"> LEFT(Table1[[#This Row],[Atc Code]],3)</f>
        <v>D10</v>
      </c>
    </row>
    <row r="821" spans="1:24" ht="14.4">
      <c r="A821" s="14">
        <v>1318</v>
      </c>
      <c r="B821" s="24">
        <v>12554146</v>
      </c>
      <c r="C821" s="1">
        <v>2196168</v>
      </c>
      <c r="D821" s="1" t="s">
        <v>25</v>
      </c>
      <c r="E821" s="36">
        <v>44613</v>
      </c>
      <c r="F821" s="36">
        <v>44746</v>
      </c>
      <c r="G821" s="38">
        <f t="shared" si="12"/>
        <v>133</v>
      </c>
      <c r="H821" s="5">
        <v>44655</v>
      </c>
      <c r="I821" s="5">
        <v>44749</v>
      </c>
      <c r="J821" s="1" t="s">
        <v>26</v>
      </c>
      <c r="K821" s="1" t="s">
        <v>2057</v>
      </c>
      <c r="L821" s="1" t="s">
        <v>2058</v>
      </c>
      <c r="M821" s="1" t="s">
        <v>2061</v>
      </c>
      <c r="N821" s="1" t="s">
        <v>38</v>
      </c>
      <c r="O821" s="1" t="s">
        <v>1979</v>
      </c>
      <c r="Q821" s="1" t="s">
        <v>2050</v>
      </c>
      <c r="R821" s="1" t="s">
        <v>26</v>
      </c>
      <c r="S821" s="1"/>
      <c r="T821" s="1" t="s">
        <v>2060</v>
      </c>
      <c r="U821" s="1" t="s">
        <v>35</v>
      </c>
      <c r="V821" s="1" t="s">
        <v>1983</v>
      </c>
      <c r="W821" s="1" t="str">
        <f>VLOOKUP(Table1[[#This Row],[Obergruppe ATC-Code]],Tabelle3!$A$2:$B$100,2)</f>
        <v>AKNEMITTEL</v>
      </c>
      <c r="X821" s="1" t="str">
        <f xml:space="preserve"> LEFT(Table1[[#This Row],[Atc Code]],3)</f>
        <v>D10</v>
      </c>
    </row>
    <row r="822" spans="1:24" ht="14.4">
      <c r="A822" s="14">
        <v>1319</v>
      </c>
      <c r="B822" s="24">
        <v>12554152</v>
      </c>
      <c r="C822" s="1">
        <v>2196168</v>
      </c>
      <c r="D822" s="1" t="s">
        <v>25</v>
      </c>
      <c r="E822" s="36">
        <v>44957</v>
      </c>
      <c r="F822" s="36">
        <v>44980</v>
      </c>
      <c r="G822" s="38">
        <f t="shared" si="12"/>
        <v>23</v>
      </c>
      <c r="H822" s="5">
        <v>44959</v>
      </c>
      <c r="I822" s="5">
        <v>44980</v>
      </c>
      <c r="J822" s="1" t="s">
        <v>41</v>
      </c>
      <c r="K822" s="1" t="s">
        <v>2057</v>
      </c>
      <c r="L822" s="1" t="s">
        <v>2058</v>
      </c>
      <c r="M822" s="1" t="s">
        <v>2061</v>
      </c>
      <c r="N822" s="1" t="s">
        <v>38</v>
      </c>
      <c r="O822" s="1" t="s">
        <v>1979</v>
      </c>
      <c r="Q822" s="1" t="s">
        <v>2050</v>
      </c>
      <c r="R822" s="1" t="s">
        <v>26</v>
      </c>
      <c r="S822" s="1" t="s">
        <v>2062</v>
      </c>
      <c r="T822" s="1" t="s">
        <v>2060</v>
      </c>
      <c r="U822" s="1" t="s">
        <v>35</v>
      </c>
      <c r="V822" s="1" t="s">
        <v>1983</v>
      </c>
      <c r="W822" s="1" t="str">
        <f>VLOOKUP(Table1[[#This Row],[Obergruppe ATC-Code]],Tabelle3!$A$2:$B$100,2)</f>
        <v>AKNEMITTEL</v>
      </c>
      <c r="X822" s="1" t="str">
        <f xml:space="preserve"> LEFT(Table1[[#This Row],[Atc Code]],3)</f>
        <v>D10</v>
      </c>
    </row>
    <row r="823" spans="1:24" ht="14.4">
      <c r="A823" s="14">
        <v>1320</v>
      </c>
      <c r="B823" s="24">
        <v>12554152</v>
      </c>
      <c r="C823" s="1">
        <v>2196168</v>
      </c>
      <c r="D823" s="1" t="s">
        <v>102</v>
      </c>
      <c r="E823" s="36">
        <v>45166</v>
      </c>
      <c r="F823" s="36">
        <v>45233</v>
      </c>
      <c r="G823" s="38">
        <f t="shared" si="12"/>
        <v>67</v>
      </c>
      <c r="H823" s="5">
        <v>45169</v>
      </c>
      <c r="I823" s="5">
        <v>45210</v>
      </c>
      <c r="J823" s="1" t="s">
        <v>41</v>
      </c>
      <c r="K823" s="1" t="s">
        <v>2057</v>
      </c>
      <c r="L823" s="1" t="s">
        <v>2058</v>
      </c>
      <c r="M823" s="1" t="s">
        <v>2061</v>
      </c>
      <c r="N823" s="1" t="s">
        <v>38</v>
      </c>
      <c r="O823" s="1" t="s">
        <v>1979</v>
      </c>
      <c r="Q823" s="1" t="s">
        <v>2050</v>
      </c>
      <c r="R823" s="1" t="s">
        <v>65</v>
      </c>
      <c r="S823" s="1"/>
      <c r="U823" s="1" t="s">
        <v>35</v>
      </c>
      <c r="V823" s="1" t="s">
        <v>1983</v>
      </c>
      <c r="W823" s="1" t="str">
        <f>VLOOKUP(Table1[[#This Row],[Obergruppe ATC-Code]],Tabelle3!$A$2:$B$100,2)</f>
        <v>AKNEMITTEL</v>
      </c>
      <c r="X823" s="1" t="str">
        <f xml:space="preserve"> LEFT(Table1[[#This Row],[Atc Code]],3)</f>
        <v>D10</v>
      </c>
    </row>
    <row r="824" spans="1:24" ht="14.4">
      <c r="A824" s="14">
        <v>1083</v>
      </c>
      <c r="B824" s="24">
        <v>9206275</v>
      </c>
      <c r="C824" s="1">
        <v>2102967</v>
      </c>
      <c r="D824" s="1" t="s">
        <v>25</v>
      </c>
      <c r="E824" s="36">
        <v>43709</v>
      </c>
      <c r="F824" s="36">
        <v>43861</v>
      </c>
      <c r="G824" s="38">
        <f t="shared" si="12"/>
        <v>152</v>
      </c>
      <c r="H824" s="5">
        <v>43756</v>
      </c>
      <c r="I824" s="5">
        <v>43837</v>
      </c>
      <c r="J824" s="1" t="s">
        <v>41</v>
      </c>
      <c r="K824" s="1" t="s">
        <v>2063</v>
      </c>
      <c r="L824" s="1" t="s">
        <v>2064</v>
      </c>
      <c r="M824" s="1" t="s">
        <v>2065</v>
      </c>
      <c r="N824" s="1" t="s">
        <v>38</v>
      </c>
      <c r="O824" s="1" t="s">
        <v>1979</v>
      </c>
      <c r="P824" s="1" t="s">
        <v>1980</v>
      </c>
      <c r="Q824" s="1" t="s">
        <v>1981</v>
      </c>
      <c r="R824" s="1" t="s">
        <v>26</v>
      </c>
      <c r="S824" s="1"/>
      <c r="T824" s="1" t="s">
        <v>2066</v>
      </c>
      <c r="U824" s="1" t="s">
        <v>35</v>
      </c>
      <c r="V824" s="1" t="s">
        <v>2067</v>
      </c>
      <c r="W824" s="1" t="str">
        <f>VLOOKUP(Table1[[#This Row],[Obergruppe ATC-Code]],Tabelle3!$A$2:$B$100,2)</f>
        <v>AKNEMITTEL</v>
      </c>
      <c r="X824" s="1" t="str">
        <f xml:space="preserve"> LEFT(Table1[[#This Row],[Atc Code]],3)</f>
        <v>D10</v>
      </c>
    </row>
    <row r="825" spans="1:24" ht="14.4">
      <c r="A825" s="14">
        <v>1082</v>
      </c>
      <c r="B825" s="24">
        <v>9206275</v>
      </c>
      <c r="C825" s="1">
        <v>2102967</v>
      </c>
      <c r="D825" s="1" t="s">
        <v>25</v>
      </c>
      <c r="E825" s="36">
        <v>44105</v>
      </c>
      <c r="F825" s="36">
        <v>44196</v>
      </c>
      <c r="G825" s="38">
        <f t="shared" si="12"/>
        <v>91</v>
      </c>
      <c r="H825" s="5">
        <v>44134</v>
      </c>
      <c r="I825" s="5">
        <v>44176</v>
      </c>
      <c r="J825" s="1" t="s">
        <v>41</v>
      </c>
      <c r="K825" s="1" t="s">
        <v>2063</v>
      </c>
      <c r="L825" s="1" t="s">
        <v>2064</v>
      </c>
      <c r="M825" s="1" t="s">
        <v>2065</v>
      </c>
      <c r="N825" s="1" t="s">
        <v>38</v>
      </c>
      <c r="O825" s="1" t="s">
        <v>1979</v>
      </c>
      <c r="P825" s="1" t="s">
        <v>1980</v>
      </c>
      <c r="Q825" s="1" t="s">
        <v>1981</v>
      </c>
      <c r="R825" s="1" t="s">
        <v>26</v>
      </c>
      <c r="S825" s="1"/>
      <c r="T825" s="1" t="s">
        <v>2066</v>
      </c>
      <c r="U825" s="1" t="s">
        <v>35</v>
      </c>
      <c r="V825" s="1" t="s">
        <v>2067</v>
      </c>
      <c r="W825" s="1" t="str">
        <f>VLOOKUP(Table1[[#This Row],[Obergruppe ATC-Code]],Tabelle3!$A$2:$B$100,2)</f>
        <v>AKNEMITTEL</v>
      </c>
      <c r="X825" s="1" t="str">
        <f xml:space="preserve"> LEFT(Table1[[#This Row],[Atc Code]],3)</f>
        <v>D10</v>
      </c>
    </row>
    <row r="826" spans="1:24" ht="14.4">
      <c r="A826" s="14">
        <v>1471</v>
      </c>
      <c r="B826" s="24">
        <v>15250613</v>
      </c>
      <c r="C826" s="1">
        <v>2101859</v>
      </c>
      <c r="D826" s="1" t="s">
        <v>25</v>
      </c>
      <c r="E826" s="36">
        <v>44197</v>
      </c>
      <c r="F826" s="36">
        <v>44255</v>
      </c>
      <c r="G826" s="38">
        <f t="shared" si="12"/>
        <v>58</v>
      </c>
      <c r="H826" s="5">
        <v>44238</v>
      </c>
      <c r="I826" s="5">
        <v>44253</v>
      </c>
      <c r="J826" s="1" t="s">
        <v>41</v>
      </c>
      <c r="K826" s="1" t="s">
        <v>2068</v>
      </c>
      <c r="L826" s="1" t="s">
        <v>2064</v>
      </c>
      <c r="M826" s="1" t="s">
        <v>2065</v>
      </c>
      <c r="N826" s="1" t="s">
        <v>38</v>
      </c>
      <c r="O826" s="1" t="s">
        <v>1979</v>
      </c>
      <c r="P826" s="1" t="s">
        <v>1980</v>
      </c>
      <c r="Q826" s="1" t="s">
        <v>1981</v>
      </c>
      <c r="R826" s="1" t="s">
        <v>48</v>
      </c>
      <c r="S826" s="1"/>
      <c r="T826" s="1" t="s">
        <v>2069</v>
      </c>
      <c r="U826" s="1" t="s">
        <v>35</v>
      </c>
      <c r="V826" s="1" t="s">
        <v>1983</v>
      </c>
      <c r="W826" s="1" t="str">
        <f>VLOOKUP(Table1[[#This Row],[Obergruppe ATC-Code]],Tabelle3!$A$2:$B$100,2)</f>
        <v>AKNEMITTEL</v>
      </c>
      <c r="X826" s="1" t="str">
        <f xml:space="preserve"> LEFT(Table1[[#This Row],[Atc Code]],3)</f>
        <v>D10</v>
      </c>
    </row>
    <row r="827" spans="1:24" ht="14.4">
      <c r="A827" s="14">
        <v>1472</v>
      </c>
      <c r="B827" s="24">
        <v>15250613</v>
      </c>
      <c r="C827" s="1">
        <v>2101859</v>
      </c>
      <c r="D827" s="1" t="s">
        <v>25</v>
      </c>
      <c r="E827" s="36">
        <v>44368</v>
      </c>
      <c r="F827" s="36">
        <v>44421</v>
      </c>
      <c r="G827" s="38">
        <f t="shared" si="12"/>
        <v>53</v>
      </c>
      <c r="H827" s="5">
        <v>44407</v>
      </c>
      <c r="I827" s="5">
        <v>44421</v>
      </c>
      <c r="J827" s="1" t="s">
        <v>26</v>
      </c>
      <c r="K827" s="1" t="s">
        <v>2068</v>
      </c>
      <c r="L827" s="1" t="s">
        <v>2064</v>
      </c>
      <c r="M827" s="1" t="s">
        <v>2070</v>
      </c>
      <c r="N827" s="1" t="s">
        <v>38</v>
      </c>
      <c r="O827" s="1" t="s">
        <v>1979</v>
      </c>
      <c r="Q827" s="1" t="s">
        <v>2050</v>
      </c>
      <c r="R827" s="1" t="s">
        <v>26</v>
      </c>
      <c r="S827" s="1" t="s">
        <v>2071</v>
      </c>
      <c r="T827" s="1" t="s">
        <v>2069</v>
      </c>
      <c r="U827" s="1" t="s">
        <v>35</v>
      </c>
      <c r="V827" s="1" t="s">
        <v>1983</v>
      </c>
      <c r="W827" s="1" t="str">
        <f>VLOOKUP(Table1[[#This Row],[Obergruppe ATC-Code]],Tabelle3!$A$2:$B$100,2)</f>
        <v>AKNEMITTEL</v>
      </c>
      <c r="X827" s="1" t="str">
        <f xml:space="preserve"> LEFT(Table1[[#This Row],[Atc Code]],3)</f>
        <v>D10</v>
      </c>
    </row>
    <row r="828" spans="1:24" ht="14.4">
      <c r="A828" s="14">
        <v>1084</v>
      </c>
      <c r="B828" s="24">
        <v>9206281</v>
      </c>
      <c r="C828" s="1">
        <v>2102967</v>
      </c>
      <c r="D828" s="1" t="s">
        <v>25</v>
      </c>
      <c r="E828" s="36">
        <v>44389</v>
      </c>
      <c r="F828" s="36">
        <v>44428</v>
      </c>
      <c r="G828" s="38">
        <f t="shared" si="12"/>
        <v>39</v>
      </c>
      <c r="H828" s="5">
        <v>44418</v>
      </c>
      <c r="I828" s="5">
        <v>44428</v>
      </c>
      <c r="J828" s="1" t="s">
        <v>26</v>
      </c>
      <c r="K828" s="1" t="s">
        <v>2063</v>
      </c>
      <c r="L828" s="1" t="s">
        <v>2064</v>
      </c>
      <c r="M828" s="1" t="s">
        <v>2070</v>
      </c>
      <c r="N828" s="1" t="s">
        <v>38</v>
      </c>
      <c r="O828" s="1" t="s">
        <v>1979</v>
      </c>
      <c r="Q828" s="1" t="s">
        <v>2050</v>
      </c>
      <c r="R828" s="1" t="s">
        <v>26</v>
      </c>
      <c r="S828" s="1" t="s">
        <v>2072</v>
      </c>
      <c r="T828" s="1" t="s">
        <v>2066</v>
      </c>
      <c r="U828" s="1" t="s">
        <v>35</v>
      </c>
      <c r="V828" s="1" t="s">
        <v>2067</v>
      </c>
      <c r="W828" s="1" t="str">
        <f>VLOOKUP(Table1[[#This Row],[Obergruppe ATC-Code]],Tabelle3!$A$2:$B$100,2)</f>
        <v>AKNEMITTEL</v>
      </c>
      <c r="X828" s="1" t="str">
        <f xml:space="preserve"> LEFT(Table1[[#This Row],[Atc Code]],3)</f>
        <v>D10</v>
      </c>
    </row>
    <row r="829" spans="1:24" ht="14.4">
      <c r="A829" s="14">
        <v>1474</v>
      </c>
      <c r="B829" s="24">
        <v>15250642</v>
      </c>
      <c r="C829" s="1">
        <v>2101859</v>
      </c>
      <c r="D829" s="1" t="s">
        <v>25</v>
      </c>
      <c r="E829" s="36">
        <v>44389</v>
      </c>
      <c r="F829" s="36">
        <v>44441</v>
      </c>
      <c r="G829" s="38">
        <f t="shared" si="12"/>
        <v>52</v>
      </c>
      <c r="H829" s="5">
        <v>44418</v>
      </c>
      <c r="I829" s="5">
        <v>44441</v>
      </c>
      <c r="J829" s="1" t="s">
        <v>26</v>
      </c>
      <c r="K829" s="1" t="s">
        <v>2068</v>
      </c>
      <c r="L829" s="1" t="s">
        <v>2064</v>
      </c>
      <c r="M829" s="1" t="s">
        <v>2070</v>
      </c>
      <c r="N829" s="1" t="s">
        <v>38</v>
      </c>
      <c r="O829" s="1" t="s">
        <v>1979</v>
      </c>
      <c r="Q829" s="1" t="s">
        <v>2050</v>
      </c>
      <c r="R829" s="1" t="s">
        <v>26</v>
      </c>
      <c r="S829" s="1" t="s">
        <v>2072</v>
      </c>
      <c r="T829" s="1" t="s">
        <v>2069</v>
      </c>
      <c r="U829" s="1" t="s">
        <v>35</v>
      </c>
      <c r="V829" s="1" t="s">
        <v>1983</v>
      </c>
      <c r="W829" s="1" t="str">
        <f>VLOOKUP(Table1[[#This Row],[Obergruppe ATC-Code]],Tabelle3!$A$2:$B$100,2)</f>
        <v>AKNEMITTEL</v>
      </c>
      <c r="X829" s="1" t="str">
        <f xml:space="preserve"> LEFT(Table1[[#This Row],[Atc Code]],3)</f>
        <v>D10</v>
      </c>
    </row>
    <row r="830" spans="1:24" ht="14.4">
      <c r="A830" s="14">
        <v>1470</v>
      </c>
      <c r="B830" s="24">
        <v>15250553</v>
      </c>
      <c r="C830" s="1">
        <v>2101858</v>
      </c>
      <c r="D830" s="1" t="s">
        <v>25</v>
      </c>
      <c r="E830" s="36">
        <v>44424</v>
      </c>
      <c r="F830" s="36">
        <v>44477</v>
      </c>
      <c r="G830" s="38">
        <f t="shared" si="12"/>
        <v>53</v>
      </c>
      <c r="H830" s="5">
        <v>44439</v>
      </c>
      <c r="I830" s="5">
        <v>44477</v>
      </c>
      <c r="J830" s="1" t="s">
        <v>26</v>
      </c>
      <c r="K830" s="1" t="s">
        <v>2073</v>
      </c>
      <c r="L830" s="1" t="s">
        <v>2064</v>
      </c>
      <c r="M830" s="1" t="s">
        <v>2070</v>
      </c>
      <c r="N830" s="1" t="s">
        <v>38</v>
      </c>
      <c r="O830" s="1" t="s">
        <v>1979</v>
      </c>
      <c r="Q830" s="1" t="s">
        <v>2050</v>
      </c>
      <c r="R830" s="1" t="s">
        <v>26</v>
      </c>
      <c r="S830" s="1" t="s">
        <v>2074</v>
      </c>
      <c r="U830" s="1" t="s">
        <v>35</v>
      </c>
      <c r="V830" s="1" t="s">
        <v>1983</v>
      </c>
      <c r="W830" s="1" t="str">
        <f>VLOOKUP(Table1[[#This Row],[Obergruppe ATC-Code]],Tabelle3!$A$2:$B$100,2)</f>
        <v>AKNEMITTEL</v>
      </c>
      <c r="X830" s="1" t="str">
        <f xml:space="preserve"> LEFT(Table1[[#This Row],[Atc Code]],3)</f>
        <v>D10</v>
      </c>
    </row>
    <row r="831" spans="1:24" ht="14.4">
      <c r="A831" s="14">
        <v>1473</v>
      </c>
      <c r="B831" s="24">
        <v>15250613</v>
      </c>
      <c r="C831" s="1">
        <v>2101859</v>
      </c>
      <c r="D831" s="1" t="s">
        <v>25</v>
      </c>
      <c r="E831" s="36">
        <v>44445</v>
      </c>
      <c r="F831" s="36">
        <v>44482</v>
      </c>
      <c r="G831" s="38">
        <f t="shared" si="12"/>
        <v>37</v>
      </c>
      <c r="H831" s="5">
        <v>44460</v>
      </c>
      <c r="I831" s="5">
        <v>44487</v>
      </c>
      <c r="J831" s="1" t="s">
        <v>26</v>
      </c>
      <c r="K831" s="1" t="s">
        <v>2068</v>
      </c>
      <c r="L831" s="1" t="s">
        <v>2064</v>
      </c>
      <c r="M831" s="1" t="s">
        <v>2070</v>
      </c>
      <c r="N831" s="1" t="s">
        <v>38</v>
      </c>
      <c r="O831" s="1" t="s">
        <v>1979</v>
      </c>
      <c r="Q831" s="1" t="s">
        <v>2050</v>
      </c>
      <c r="R831" s="1" t="s">
        <v>26</v>
      </c>
      <c r="S831" s="1" t="s">
        <v>2074</v>
      </c>
      <c r="U831" s="1" t="s">
        <v>35</v>
      </c>
      <c r="V831" s="1" t="s">
        <v>1983</v>
      </c>
      <c r="W831" s="1" t="str">
        <f>VLOOKUP(Table1[[#This Row],[Obergruppe ATC-Code]],Tabelle3!$A$2:$B$100,2)</f>
        <v>AKNEMITTEL</v>
      </c>
      <c r="X831" s="1" t="str">
        <f xml:space="preserve"> LEFT(Table1[[#This Row],[Atc Code]],3)</f>
        <v>D10</v>
      </c>
    </row>
    <row r="832" spans="1:24" ht="14.4">
      <c r="A832" s="14">
        <v>1081</v>
      </c>
      <c r="B832" s="24">
        <v>9206275</v>
      </c>
      <c r="C832" s="1">
        <v>2102967</v>
      </c>
      <c r="D832" s="1" t="s">
        <v>25</v>
      </c>
      <c r="E832" s="36">
        <v>44445</v>
      </c>
      <c r="F832" s="36">
        <v>44490</v>
      </c>
      <c r="G832" s="38">
        <f t="shared" si="12"/>
        <v>45</v>
      </c>
      <c r="H832" s="5">
        <v>44461</v>
      </c>
      <c r="I832" s="5">
        <v>44491</v>
      </c>
      <c r="J832" s="1" t="s">
        <v>26</v>
      </c>
      <c r="K832" s="1" t="s">
        <v>2063</v>
      </c>
      <c r="L832" s="1" t="s">
        <v>2064</v>
      </c>
      <c r="M832" s="1" t="s">
        <v>2070</v>
      </c>
      <c r="N832" s="1" t="s">
        <v>38</v>
      </c>
      <c r="O832" s="1" t="s">
        <v>1979</v>
      </c>
      <c r="Q832" s="1" t="s">
        <v>2050</v>
      </c>
      <c r="R832" s="1" t="s">
        <v>113</v>
      </c>
      <c r="S832" s="1"/>
      <c r="T832" s="1" t="s">
        <v>2075</v>
      </c>
      <c r="U832" s="1" t="s">
        <v>35</v>
      </c>
      <c r="V832" s="1" t="s">
        <v>2067</v>
      </c>
      <c r="W832" s="1" t="str">
        <f>VLOOKUP(Table1[[#This Row],[Obergruppe ATC-Code]],Tabelle3!$A$2:$B$100,2)</f>
        <v>AKNEMITTEL</v>
      </c>
      <c r="X832" s="1" t="str">
        <f xml:space="preserve"> LEFT(Table1[[#This Row],[Atc Code]],3)</f>
        <v>D10</v>
      </c>
    </row>
    <row r="833" spans="1:24" ht="14.4">
      <c r="A833" s="14">
        <v>2535</v>
      </c>
      <c r="B833" s="24" t="s">
        <v>2076</v>
      </c>
      <c r="C833" s="1">
        <v>2185210</v>
      </c>
      <c r="D833" s="1" t="s">
        <v>175</v>
      </c>
      <c r="E833" s="36">
        <v>45208</v>
      </c>
      <c r="F833" s="36">
        <v>45245</v>
      </c>
      <c r="G833" s="38">
        <f t="shared" si="12"/>
        <v>37</v>
      </c>
      <c r="H833" s="5">
        <v>45208</v>
      </c>
      <c r="I833" s="5">
        <v>45208</v>
      </c>
      <c r="J833" s="1" t="s">
        <v>26</v>
      </c>
      <c r="K833" s="1" t="s">
        <v>2077</v>
      </c>
      <c r="L833" s="1" t="s">
        <v>2078</v>
      </c>
      <c r="M833" s="1" t="s">
        <v>2079</v>
      </c>
      <c r="N833" s="1" t="s">
        <v>38</v>
      </c>
      <c r="O833" s="1" t="s">
        <v>1054</v>
      </c>
      <c r="P833" s="1" t="s">
        <v>823</v>
      </c>
      <c r="Q833" s="1" t="s">
        <v>2080</v>
      </c>
      <c r="R833" s="1" t="s">
        <v>142</v>
      </c>
      <c r="S833" s="1"/>
      <c r="U833" s="1" t="s">
        <v>35</v>
      </c>
      <c r="V833" s="1" t="s">
        <v>1983</v>
      </c>
      <c r="W833" s="1" t="str">
        <f>VLOOKUP(Table1[[#This Row],[Obergruppe ATC-Code]],Tabelle3!$A$2:$B$100,2)</f>
        <v>AKNEMITTEL</v>
      </c>
      <c r="X833" s="1" t="str">
        <f xml:space="preserve"> LEFT(Table1[[#This Row],[Atc Code]],3)</f>
        <v>D10</v>
      </c>
    </row>
    <row r="834" spans="1:24" ht="14.4">
      <c r="A834" s="14">
        <v>444</v>
      </c>
      <c r="B834" s="25">
        <v>2728734</v>
      </c>
      <c r="C834" s="1">
        <v>2154101</v>
      </c>
      <c r="D834" s="1" t="s">
        <v>25</v>
      </c>
      <c r="E834" s="36">
        <v>43952</v>
      </c>
      <c r="F834" s="36">
        <v>44411</v>
      </c>
      <c r="G834" s="38">
        <f t="shared" ref="G834:G897" si="13">F834-E834</f>
        <v>459</v>
      </c>
      <c r="H834" s="5">
        <v>43962</v>
      </c>
      <c r="I834" s="5">
        <v>44411</v>
      </c>
      <c r="J834" s="1" t="s">
        <v>41</v>
      </c>
      <c r="K834" s="1" t="s">
        <v>2081</v>
      </c>
      <c r="L834" s="1" t="s">
        <v>2082</v>
      </c>
      <c r="M834" s="1" t="s">
        <v>2083</v>
      </c>
      <c r="N834" s="1" t="s">
        <v>38</v>
      </c>
      <c r="O834" s="1" t="s">
        <v>91</v>
      </c>
      <c r="P834" s="1" t="s">
        <v>92</v>
      </c>
      <c r="Q834" s="1" t="s">
        <v>93</v>
      </c>
      <c r="R834" s="1" t="s">
        <v>26</v>
      </c>
      <c r="S834" s="1"/>
      <c r="U834" s="1" t="s">
        <v>57</v>
      </c>
      <c r="V834" s="1" t="s">
        <v>604</v>
      </c>
      <c r="W834" s="1" t="str">
        <f>VLOOKUP(Table1[[#This Row],[Obergruppe ATC-Code]],Tabelle3!$A$2:$B$100,2)</f>
        <v>AKNEMITTEL</v>
      </c>
      <c r="X834" s="1" t="str">
        <f xml:space="preserve"> LEFT(Table1[[#This Row],[Atc Code]],3)</f>
        <v>D10</v>
      </c>
    </row>
    <row r="835" spans="1:24" ht="14.4">
      <c r="A835" s="14">
        <v>568</v>
      </c>
      <c r="B835" s="25">
        <v>3531867</v>
      </c>
      <c r="C835" s="1">
        <v>2154100</v>
      </c>
      <c r="D835" s="1" t="s">
        <v>25</v>
      </c>
      <c r="E835" s="36">
        <v>43952</v>
      </c>
      <c r="F835" s="36">
        <v>44677</v>
      </c>
      <c r="G835" s="38">
        <f t="shared" si="13"/>
        <v>725</v>
      </c>
      <c r="H835" s="5">
        <v>43962</v>
      </c>
      <c r="I835" s="5">
        <v>44677</v>
      </c>
      <c r="J835" s="1" t="s">
        <v>41</v>
      </c>
      <c r="K835" s="1" t="s">
        <v>2084</v>
      </c>
      <c r="L835" s="1" t="s">
        <v>2082</v>
      </c>
      <c r="M835" s="1" t="s">
        <v>2083</v>
      </c>
      <c r="N835" s="1" t="s">
        <v>38</v>
      </c>
      <c r="O835" s="1" t="s">
        <v>91</v>
      </c>
      <c r="P835" s="1" t="s">
        <v>92</v>
      </c>
      <c r="Q835" s="1" t="s">
        <v>93</v>
      </c>
      <c r="R835" s="1" t="s">
        <v>26</v>
      </c>
      <c r="S835" s="1"/>
      <c r="U835" s="1" t="s">
        <v>35</v>
      </c>
      <c r="V835" s="1" t="s">
        <v>604</v>
      </c>
      <c r="W835" s="1" t="str">
        <f>VLOOKUP(Table1[[#This Row],[Obergruppe ATC-Code]],Tabelle3!$A$2:$B$100,2)</f>
        <v>AKNEMITTEL</v>
      </c>
      <c r="X835" s="1" t="str">
        <f xml:space="preserve"> LEFT(Table1[[#This Row],[Atc Code]],3)</f>
        <v>D10</v>
      </c>
    </row>
    <row r="836" spans="1:24" ht="14.4">
      <c r="A836" s="14">
        <v>735</v>
      </c>
      <c r="B836" s="24">
        <v>4972444</v>
      </c>
      <c r="C836" s="1">
        <v>2111619</v>
      </c>
      <c r="D836" s="1" t="s">
        <v>25</v>
      </c>
      <c r="E836" s="36">
        <v>44838</v>
      </c>
      <c r="F836" s="36">
        <v>44853</v>
      </c>
      <c r="G836" s="38">
        <f t="shared" si="13"/>
        <v>15</v>
      </c>
      <c r="H836" s="5">
        <v>44845</v>
      </c>
      <c r="I836" s="5">
        <v>44854</v>
      </c>
      <c r="J836" s="1" t="s">
        <v>26</v>
      </c>
      <c r="K836" s="1" t="s">
        <v>2085</v>
      </c>
      <c r="L836" s="1" t="s">
        <v>2086</v>
      </c>
      <c r="M836" s="1" t="s">
        <v>2087</v>
      </c>
      <c r="N836" s="1" t="s">
        <v>38</v>
      </c>
      <c r="O836" s="1" t="s">
        <v>31</v>
      </c>
      <c r="Q836" s="1" t="s">
        <v>32</v>
      </c>
      <c r="R836" s="1" t="s">
        <v>33</v>
      </c>
      <c r="S836" s="1" t="s">
        <v>2088</v>
      </c>
      <c r="U836" s="1" t="s">
        <v>35</v>
      </c>
      <c r="V836" s="1" t="s">
        <v>49</v>
      </c>
      <c r="W836" s="1" t="str">
        <f>VLOOKUP(Table1[[#This Row],[Obergruppe ATC-Code]],Tabelle3!$A$2:$B$100,2)</f>
        <v>AKNEMITTEL</v>
      </c>
      <c r="X836" s="1" t="str">
        <f xml:space="preserve"> LEFT(Table1[[#This Row],[Atc Code]],3)</f>
        <v>D10</v>
      </c>
    </row>
    <row r="837" spans="1:24" ht="14.4">
      <c r="A837" s="14">
        <v>734</v>
      </c>
      <c r="B837" s="24">
        <v>4972444</v>
      </c>
      <c r="C837" s="1">
        <v>2111619</v>
      </c>
      <c r="D837" s="1" t="s">
        <v>25</v>
      </c>
      <c r="E837" s="36">
        <v>45148</v>
      </c>
      <c r="F837" s="36">
        <v>45176</v>
      </c>
      <c r="G837" s="38">
        <f t="shared" si="13"/>
        <v>28</v>
      </c>
      <c r="H837" s="5">
        <v>45154</v>
      </c>
      <c r="I837" s="5">
        <v>45183</v>
      </c>
      <c r="J837" s="1" t="s">
        <v>26</v>
      </c>
      <c r="K837" s="1" t="s">
        <v>2085</v>
      </c>
      <c r="L837" s="1" t="s">
        <v>2086</v>
      </c>
      <c r="M837" s="1" t="s">
        <v>2087</v>
      </c>
      <c r="N837" s="1" t="s">
        <v>38</v>
      </c>
      <c r="O837" s="1" t="s">
        <v>31</v>
      </c>
      <c r="P837" s="1">
        <v>498964186116</v>
      </c>
      <c r="Q837" s="1" t="s">
        <v>2089</v>
      </c>
      <c r="R837" s="1" t="s">
        <v>33</v>
      </c>
      <c r="S837" s="1"/>
      <c r="T837" s="1" t="s">
        <v>2090</v>
      </c>
      <c r="U837" s="1" t="s">
        <v>35</v>
      </c>
      <c r="V837" s="1" t="s">
        <v>49</v>
      </c>
      <c r="W837" s="1" t="str">
        <f>VLOOKUP(Table1[[#This Row],[Obergruppe ATC-Code]],Tabelle3!$A$2:$B$100,2)</f>
        <v>AKNEMITTEL</v>
      </c>
      <c r="X837" s="1" t="str">
        <f xml:space="preserve"> LEFT(Table1[[#This Row],[Atc Code]],3)</f>
        <v>D10</v>
      </c>
    </row>
    <row r="838" spans="1:24" ht="14.4">
      <c r="A838" s="14">
        <v>2571</v>
      </c>
      <c r="B838" s="24" t="s">
        <v>2091</v>
      </c>
      <c r="C838" s="1">
        <v>2188346</v>
      </c>
      <c r="D838" s="1" t="s">
        <v>175</v>
      </c>
      <c r="E838" s="36">
        <v>45077</v>
      </c>
      <c r="F838" s="36">
        <v>45473</v>
      </c>
      <c r="G838" s="38">
        <f t="shared" si="13"/>
        <v>396</v>
      </c>
      <c r="H838" s="5">
        <v>45124</v>
      </c>
      <c r="I838" s="5">
        <v>45124</v>
      </c>
      <c r="J838" s="1" t="s">
        <v>41</v>
      </c>
      <c r="K838" s="1" t="s">
        <v>2092</v>
      </c>
      <c r="L838" s="1" t="s">
        <v>2093</v>
      </c>
      <c r="M838" s="1" t="s">
        <v>2094</v>
      </c>
      <c r="N838" s="1" t="s">
        <v>38</v>
      </c>
      <c r="O838" s="1" t="s">
        <v>184</v>
      </c>
      <c r="Q838" s="1" t="s">
        <v>185</v>
      </c>
      <c r="R838" s="1" t="s">
        <v>48</v>
      </c>
      <c r="S838" s="1" t="s">
        <v>1011</v>
      </c>
      <c r="U838" s="1" t="s">
        <v>35</v>
      </c>
      <c r="V838" s="1" t="s">
        <v>639</v>
      </c>
      <c r="W838" s="1" t="str">
        <f>VLOOKUP(Table1[[#This Row],[Obergruppe ATC-Code]],Tabelle3!$A$2:$B$100,2)</f>
        <v>ANDERE DERMATIKA</v>
      </c>
      <c r="X838" s="1" t="str">
        <f xml:space="preserve"> LEFT(Table1[[#This Row],[Atc Code]],3)</f>
        <v>D11</v>
      </c>
    </row>
    <row r="839" spans="1:24" ht="14.4">
      <c r="A839" s="14">
        <v>1380</v>
      </c>
      <c r="B839" s="24">
        <v>13719276</v>
      </c>
      <c r="C839" s="1">
        <v>2196403</v>
      </c>
      <c r="D839" s="1" t="s">
        <v>25</v>
      </c>
      <c r="E839" s="36">
        <v>45111</v>
      </c>
      <c r="F839" s="36">
        <v>45128</v>
      </c>
      <c r="G839" s="38">
        <f t="shared" si="13"/>
        <v>17</v>
      </c>
      <c r="H839" s="5">
        <v>45120</v>
      </c>
      <c r="I839" s="5">
        <v>45131</v>
      </c>
      <c r="J839" s="1" t="s">
        <v>26</v>
      </c>
      <c r="K839" s="1" t="s">
        <v>2095</v>
      </c>
      <c r="L839" s="1" t="s">
        <v>2096</v>
      </c>
      <c r="M839" s="1" t="s">
        <v>2097</v>
      </c>
      <c r="N839" s="1" t="s">
        <v>38</v>
      </c>
      <c r="O839" s="1" t="s">
        <v>31</v>
      </c>
      <c r="P839" s="1">
        <v>498964186105</v>
      </c>
      <c r="Q839" s="1" t="s">
        <v>39</v>
      </c>
      <c r="R839" s="1" t="s">
        <v>33</v>
      </c>
      <c r="S839" s="1"/>
      <c r="U839" s="1" t="s">
        <v>130</v>
      </c>
      <c r="V839" s="1" t="s">
        <v>1996</v>
      </c>
      <c r="W839" s="1" t="str">
        <f>VLOOKUP(Table1[[#This Row],[Obergruppe ATC-Code]],Tabelle3!$A$2:$B$100,2)</f>
        <v>ANDERE DERMATIKA</v>
      </c>
      <c r="X839" s="1" t="str">
        <f xml:space="preserve"> LEFT(Table1[[#This Row],[Atc Code]],3)</f>
        <v>D11</v>
      </c>
    </row>
    <row r="840" spans="1:24" ht="14.4">
      <c r="A840" s="14">
        <v>2786</v>
      </c>
      <c r="B840" s="24" t="s">
        <v>2098</v>
      </c>
      <c r="C840" s="1">
        <v>2193900</v>
      </c>
      <c r="D840" s="1" t="s">
        <v>102</v>
      </c>
      <c r="E840" s="36">
        <v>45107</v>
      </c>
      <c r="F840" s="36">
        <v>45348</v>
      </c>
      <c r="G840" s="38">
        <f t="shared" si="13"/>
        <v>241</v>
      </c>
      <c r="H840" s="5">
        <v>45107</v>
      </c>
      <c r="I840" s="5">
        <v>45125</v>
      </c>
      <c r="J840" s="1" t="s">
        <v>41</v>
      </c>
      <c r="K840" s="1" t="s">
        <v>2099</v>
      </c>
      <c r="L840" s="1" t="s">
        <v>2100</v>
      </c>
      <c r="M840" s="1" t="s">
        <v>2101</v>
      </c>
      <c r="N840" s="1" t="s">
        <v>38</v>
      </c>
      <c r="O840" s="1" t="s">
        <v>1985</v>
      </c>
      <c r="P840" s="1">
        <v>76145261230</v>
      </c>
      <c r="Q840" s="1" t="s">
        <v>2102</v>
      </c>
      <c r="R840" s="1" t="s">
        <v>128</v>
      </c>
      <c r="S840" s="1"/>
      <c r="U840" s="1" t="s">
        <v>35</v>
      </c>
      <c r="V840" s="1" t="s">
        <v>1958</v>
      </c>
      <c r="W840" s="1" t="str">
        <f>VLOOKUP(Table1[[#This Row],[Obergruppe ATC-Code]],Tabelle3!$A$2:$B$100,2)</f>
        <v>ANDERE DERMATIKA</v>
      </c>
      <c r="X840" s="1" t="str">
        <f xml:space="preserve"> LEFT(Table1[[#This Row],[Atc Code]],3)</f>
        <v>D11</v>
      </c>
    </row>
    <row r="841" spans="1:24" ht="14.4">
      <c r="A841" s="14">
        <v>2996</v>
      </c>
      <c r="B841" s="24" t="s">
        <v>2103</v>
      </c>
      <c r="C841" s="1">
        <v>2171255</v>
      </c>
      <c r="D841" s="1" t="s">
        <v>25</v>
      </c>
      <c r="E841" s="36">
        <v>44075</v>
      </c>
      <c r="F841" s="36">
        <v>44135</v>
      </c>
      <c r="G841" s="38">
        <f t="shared" si="13"/>
        <v>60</v>
      </c>
      <c r="H841" s="5">
        <v>44067</v>
      </c>
      <c r="I841" s="5">
        <v>44118</v>
      </c>
      <c r="J841" s="1" t="s">
        <v>41</v>
      </c>
      <c r="K841" s="1" t="s">
        <v>2104</v>
      </c>
      <c r="L841" s="1" t="s">
        <v>2105</v>
      </c>
      <c r="M841" s="1" t="s">
        <v>2106</v>
      </c>
      <c r="N841" s="1" t="s">
        <v>38</v>
      </c>
      <c r="O841" s="1" t="s">
        <v>2107</v>
      </c>
      <c r="P841" s="1" t="s">
        <v>2108</v>
      </c>
      <c r="Q841" s="1" t="s">
        <v>761</v>
      </c>
      <c r="R841" s="1" t="s">
        <v>48</v>
      </c>
      <c r="S841" s="1"/>
      <c r="U841" s="1" t="s">
        <v>35</v>
      </c>
      <c r="V841" s="1" t="s">
        <v>604</v>
      </c>
      <c r="W841" s="1" t="str">
        <f>VLOOKUP(Table1[[#This Row],[Obergruppe ATC-Code]],Tabelle3!$A$2:$B$100,2)</f>
        <v>ANDERE DERMATIKA</v>
      </c>
      <c r="X841" s="1" t="str">
        <f xml:space="preserve"> LEFT(Table1[[#This Row],[Atc Code]],3)</f>
        <v>D11</v>
      </c>
    </row>
    <row r="842" spans="1:24" ht="14.4">
      <c r="A842" s="14">
        <v>833</v>
      </c>
      <c r="B842" s="24">
        <v>6996070</v>
      </c>
      <c r="C842" s="1">
        <v>2128680</v>
      </c>
      <c r="D842" s="1" t="s">
        <v>25</v>
      </c>
      <c r="E842" s="36">
        <v>45042</v>
      </c>
      <c r="F842" s="36">
        <v>45120</v>
      </c>
      <c r="G842" s="38">
        <f t="shared" si="13"/>
        <v>78</v>
      </c>
      <c r="H842" s="5">
        <v>45061</v>
      </c>
      <c r="I842" s="5">
        <v>45124</v>
      </c>
      <c r="J842" s="1" t="s">
        <v>26</v>
      </c>
      <c r="K842" s="1" t="s">
        <v>2109</v>
      </c>
      <c r="L842" s="1" t="s">
        <v>2110</v>
      </c>
      <c r="M842" s="1" t="s">
        <v>2111</v>
      </c>
      <c r="N842" s="1" t="s">
        <v>38</v>
      </c>
      <c r="O842" s="1" t="s">
        <v>329</v>
      </c>
      <c r="P842" s="1" t="s">
        <v>1259</v>
      </c>
      <c r="Q842" s="1" t="s">
        <v>331</v>
      </c>
      <c r="R842" s="1" t="s">
        <v>26</v>
      </c>
      <c r="S842" s="1" t="s">
        <v>2112</v>
      </c>
      <c r="U842" s="1" t="s">
        <v>35</v>
      </c>
      <c r="V842" s="1" t="s">
        <v>2113</v>
      </c>
      <c r="W842" s="1" t="str">
        <f>VLOOKUP(Table1[[#This Row],[Obergruppe ATC-Code]],Tabelle3!$A$2:$B$100,2)</f>
        <v>GYNÄKOLOGISCHE ANTIINFEKTIVA UND ANTISEPTIKA</v>
      </c>
      <c r="X842" s="1" t="str">
        <f xml:space="preserve"> LEFT(Table1[[#This Row],[Atc Code]],3)</f>
        <v>G01</v>
      </c>
    </row>
    <row r="843" spans="1:24" ht="14.4">
      <c r="A843" s="14">
        <v>387</v>
      </c>
      <c r="B843" s="24">
        <v>2240783</v>
      </c>
      <c r="C843" s="1">
        <v>2180783</v>
      </c>
      <c r="D843" s="1" t="s">
        <v>25</v>
      </c>
      <c r="E843" s="36">
        <v>45155</v>
      </c>
      <c r="F843" s="36">
        <v>45216</v>
      </c>
      <c r="G843" s="38">
        <f t="shared" si="13"/>
        <v>61</v>
      </c>
      <c r="H843" s="5">
        <v>45196</v>
      </c>
      <c r="I843" s="5">
        <v>45215</v>
      </c>
      <c r="J843" s="1" t="s">
        <v>26</v>
      </c>
      <c r="K843" s="1" t="s">
        <v>2114</v>
      </c>
      <c r="L843" s="1" t="s">
        <v>2115</v>
      </c>
      <c r="M843" s="1" t="s">
        <v>44</v>
      </c>
      <c r="N843" s="1" t="s">
        <v>38</v>
      </c>
      <c r="O843" s="1" t="s">
        <v>2116</v>
      </c>
      <c r="P843" s="1">
        <v>52188087640</v>
      </c>
      <c r="Q843" s="1" t="s">
        <v>2117</v>
      </c>
      <c r="R843" s="1" t="s">
        <v>142</v>
      </c>
      <c r="S843" s="1"/>
      <c r="U843" s="1" t="s">
        <v>130</v>
      </c>
      <c r="V843" s="1" t="s">
        <v>2118</v>
      </c>
      <c r="W843" s="1" t="str">
        <f>VLOOKUP(Table1[[#This Row],[Obergruppe ATC-Code]],Tabelle3!$A$2:$B$100,2)</f>
        <v>GYNÄKOLOGISCHE ANTIINFEKTIVA UND ANTISEPTIKA</v>
      </c>
      <c r="X843" s="1" t="str">
        <f xml:space="preserve"> LEFT(Table1[[#This Row],[Atc Code]],3)</f>
        <v>G01</v>
      </c>
    </row>
    <row r="844" spans="1:24" ht="14.4">
      <c r="A844" s="14">
        <v>381</v>
      </c>
      <c r="B844" s="24">
        <v>2182643</v>
      </c>
      <c r="C844" s="1">
        <v>1461602</v>
      </c>
      <c r="D844" s="1" t="s">
        <v>102</v>
      </c>
      <c r="E844" s="36">
        <v>44896</v>
      </c>
      <c r="F844" s="36">
        <v>45322</v>
      </c>
      <c r="G844" s="38">
        <f t="shared" si="13"/>
        <v>426</v>
      </c>
      <c r="H844" s="5">
        <v>44946</v>
      </c>
      <c r="I844" s="5">
        <v>45215</v>
      </c>
      <c r="J844" s="1" t="s">
        <v>26</v>
      </c>
      <c r="K844" s="1" t="s">
        <v>2119</v>
      </c>
      <c r="L844" s="1" t="s">
        <v>2115</v>
      </c>
      <c r="M844" s="1" t="s">
        <v>44</v>
      </c>
      <c r="N844" s="1" t="s">
        <v>38</v>
      </c>
      <c r="O844" s="1" t="s">
        <v>2116</v>
      </c>
      <c r="P844" s="1">
        <v>52188087640</v>
      </c>
      <c r="Q844" s="1" t="s">
        <v>2117</v>
      </c>
      <c r="R844" s="1" t="s">
        <v>142</v>
      </c>
      <c r="S844" s="1"/>
      <c r="U844" s="1" t="s">
        <v>130</v>
      </c>
      <c r="V844" s="1" t="s">
        <v>99</v>
      </c>
      <c r="W844" s="1" t="str">
        <f>VLOOKUP(Table1[[#This Row],[Obergruppe ATC-Code]],Tabelle3!$A$2:$B$100,2)</f>
        <v>GYNÄKOLOGISCHE ANTIINFEKTIVA UND ANTISEPTIKA</v>
      </c>
      <c r="X844" s="1" t="str">
        <f xml:space="preserve"> LEFT(Table1[[#This Row],[Atc Code]],3)</f>
        <v>G01</v>
      </c>
    </row>
    <row r="845" spans="1:24" ht="14.4">
      <c r="A845" s="14">
        <v>478</v>
      </c>
      <c r="B845" s="24">
        <v>3065112</v>
      </c>
      <c r="C845" s="1">
        <v>2104496</v>
      </c>
      <c r="D845" s="1" t="s">
        <v>25</v>
      </c>
      <c r="E845" s="36">
        <v>43647</v>
      </c>
      <c r="F845" s="36">
        <v>43738</v>
      </c>
      <c r="G845" s="38">
        <f t="shared" si="13"/>
        <v>91</v>
      </c>
      <c r="H845" s="5">
        <v>43644</v>
      </c>
      <c r="I845" s="5">
        <v>43712</v>
      </c>
      <c r="J845" s="1" t="s">
        <v>41</v>
      </c>
      <c r="K845" s="1" t="s">
        <v>2120</v>
      </c>
      <c r="L845" s="1" t="s">
        <v>2121</v>
      </c>
      <c r="M845" s="1" t="s">
        <v>2122</v>
      </c>
      <c r="N845" s="1" t="s">
        <v>38</v>
      </c>
      <c r="O845" s="1" t="s">
        <v>321</v>
      </c>
      <c r="P845" s="1" t="s">
        <v>326</v>
      </c>
      <c r="Q845" s="1" t="s">
        <v>327</v>
      </c>
      <c r="R845" s="1" t="s">
        <v>48</v>
      </c>
      <c r="S845" s="1"/>
      <c r="T845" s="1" t="s">
        <v>2123</v>
      </c>
      <c r="U845" s="1" t="s">
        <v>35</v>
      </c>
      <c r="V845" s="1" t="s">
        <v>2124</v>
      </c>
      <c r="W845" s="1" t="str">
        <f>VLOOKUP(Table1[[#This Row],[Obergruppe ATC-Code]],Tabelle3!$A$2:$B$100,2)</f>
        <v>ANDERE GYNÄKOLOGIKA</v>
      </c>
      <c r="X845" s="1" t="str">
        <f xml:space="preserve"> LEFT(Table1[[#This Row],[Atc Code]],3)</f>
        <v>G02</v>
      </c>
    </row>
    <row r="846" spans="1:24" ht="14.4">
      <c r="A846" s="14">
        <v>477</v>
      </c>
      <c r="B846" s="24">
        <v>3065112</v>
      </c>
      <c r="C846" s="1">
        <v>2104496</v>
      </c>
      <c r="D846" s="1" t="s">
        <v>25</v>
      </c>
      <c r="E846" s="36">
        <v>44013</v>
      </c>
      <c r="F846" s="36">
        <v>44104</v>
      </c>
      <c r="G846" s="38">
        <f t="shared" si="13"/>
        <v>91</v>
      </c>
      <c r="H846" s="5">
        <v>43879</v>
      </c>
      <c r="I846" s="5">
        <v>44077</v>
      </c>
      <c r="J846" s="1" t="s">
        <v>41</v>
      </c>
      <c r="K846" s="1" t="s">
        <v>2120</v>
      </c>
      <c r="L846" s="1" t="s">
        <v>2121</v>
      </c>
      <c r="M846" s="1" t="s">
        <v>2122</v>
      </c>
      <c r="N846" s="1" t="s">
        <v>38</v>
      </c>
      <c r="O846" s="1" t="s">
        <v>321</v>
      </c>
      <c r="P846" s="1" t="s">
        <v>326</v>
      </c>
      <c r="Q846" s="1" t="s">
        <v>327</v>
      </c>
      <c r="R846" s="1" t="s">
        <v>48</v>
      </c>
      <c r="S846" s="1"/>
      <c r="T846" s="1" t="s">
        <v>2123</v>
      </c>
      <c r="U846" s="1" t="s">
        <v>35</v>
      </c>
      <c r="V846" s="1" t="s">
        <v>2124</v>
      </c>
      <c r="W846" s="1" t="str">
        <f>VLOOKUP(Table1[[#This Row],[Obergruppe ATC-Code]],Tabelle3!$A$2:$B$100,2)</f>
        <v>ANDERE GYNÄKOLOGIKA</v>
      </c>
      <c r="X846" s="1" t="str">
        <f xml:space="preserve"> LEFT(Table1[[#This Row],[Atc Code]],3)</f>
        <v>G02</v>
      </c>
    </row>
    <row r="847" spans="1:24" ht="14.4">
      <c r="A847" s="14">
        <v>476</v>
      </c>
      <c r="B847" s="24">
        <v>3065112</v>
      </c>
      <c r="C847" s="1">
        <v>2104496</v>
      </c>
      <c r="D847" s="1" t="s">
        <v>25</v>
      </c>
      <c r="E847" s="36">
        <v>44854</v>
      </c>
      <c r="F847" s="36">
        <v>45008</v>
      </c>
      <c r="G847" s="38">
        <f t="shared" si="13"/>
        <v>154</v>
      </c>
      <c r="H847" s="5">
        <v>44854</v>
      </c>
      <c r="I847" s="5">
        <v>45009</v>
      </c>
      <c r="J847" s="1" t="s">
        <v>41</v>
      </c>
      <c r="K847" s="1" t="s">
        <v>2120</v>
      </c>
      <c r="L847" s="1" t="s">
        <v>2121</v>
      </c>
      <c r="M847" s="1" t="s">
        <v>2122</v>
      </c>
      <c r="N847" s="1" t="s">
        <v>38</v>
      </c>
      <c r="O847" s="1" t="s">
        <v>329</v>
      </c>
      <c r="P847" s="1" t="s">
        <v>2125</v>
      </c>
      <c r="Q847" s="1" t="s">
        <v>331</v>
      </c>
      <c r="R847" s="1" t="s">
        <v>128</v>
      </c>
      <c r="S847" s="1"/>
      <c r="U847" s="1" t="s">
        <v>35</v>
      </c>
      <c r="V847" s="1" t="s">
        <v>2124</v>
      </c>
      <c r="W847" s="1" t="str">
        <f>VLOOKUP(Table1[[#This Row],[Obergruppe ATC-Code]],Tabelle3!$A$2:$B$100,2)</f>
        <v>ANDERE GYNÄKOLOGIKA</v>
      </c>
      <c r="X847" s="1" t="str">
        <f xml:space="preserve"> LEFT(Table1[[#This Row],[Atc Code]],3)</f>
        <v>G02</v>
      </c>
    </row>
    <row r="848" spans="1:24" ht="14.4">
      <c r="A848" s="14">
        <v>475</v>
      </c>
      <c r="B848" s="24">
        <v>3065112</v>
      </c>
      <c r="C848" s="1">
        <v>2104496</v>
      </c>
      <c r="D848" s="1" t="s">
        <v>102</v>
      </c>
      <c r="E848" s="36">
        <v>45117</v>
      </c>
      <c r="F848" s="36">
        <v>45260</v>
      </c>
      <c r="G848" s="38">
        <f t="shared" si="13"/>
        <v>143</v>
      </c>
      <c r="H848" s="5">
        <v>45110</v>
      </c>
      <c r="I848" s="5">
        <v>45182</v>
      </c>
      <c r="J848" s="1" t="s">
        <v>26</v>
      </c>
      <c r="K848" s="1" t="s">
        <v>2120</v>
      </c>
      <c r="L848" s="1" t="s">
        <v>2121</v>
      </c>
      <c r="M848" s="1" t="s">
        <v>2122</v>
      </c>
      <c r="N848" s="1" t="s">
        <v>30</v>
      </c>
      <c r="O848" s="1" t="s">
        <v>329</v>
      </c>
      <c r="P848" s="1" t="s">
        <v>1153</v>
      </c>
      <c r="Q848" s="1" t="s">
        <v>331</v>
      </c>
      <c r="R848" s="1" t="s">
        <v>732</v>
      </c>
      <c r="S848" s="1"/>
      <c r="U848" s="1" t="s">
        <v>35</v>
      </c>
      <c r="V848" s="1" t="s">
        <v>2124</v>
      </c>
      <c r="W848" s="1" t="str">
        <f>VLOOKUP(Table1[[#This Row],[Obergruppe ATC-Code]],Tabelle3!$A$2:$B$100,2)</f>
        <v>ANDERE GYNÄKOLOGIKA</v>
      </c>
      <c r="X848" s="1" t="str">
        <f xml:space="preserve"> LEFT(Table1[[#This Row],[Atc Code]],3)</f>
        <v>G02</v>
      </c>
    </row>
    <row r="849" spans="1:24" ht="14.4">
      <c r="A849" s="14">
        <v>1578</v>
      </c>
      <c r="B849" s="24">
        <v>16945257</v>
      </c>
      <c r="C849" s="1">
        <v>2106714</v>
      </c>
      <c r="D849" s="1" t="s">
        <v>25</v>
      </c>
      <c r="E849" s="36">
        <v>43617</v>
      </c>
      <c r="F849" s="36">
        <v>43738</v>
      </c>
      <c r="G849" s="38">
        <f t="shared" si="13"/>
        <v>121</v>
      </c>
      <c r="H849" s="5">
        <v>43622</v>
      </c>
      <c r="I849" s="5">
        <v>43713</v>
      </c>
      <c r="J849" s="1" t="s">
        <v>41</v>
      </c>
      <c r="K849" s="1" t="s">
        <v>2126</v>
      </c>
      <c r="L849" s="1" t="s">
        <v>2127</v>
      </c>
      <c r="M849" s="1" t="s">
        <v>2128</v>
      </c>
      <c r="N849" s="1" t="s">
        <v>30</v>
      </c>
      <c r="O849" s="1" t="s">
        <v>2129</v>
      </c>
      <c r="P849" s="1" t="s">
        <v>2130</v>
      </c>
      <c r="Q849" s="1" t="s">
        <v>2131</v>
      </c>
      <c r="R849" s="1" t="s">
        <v>26</v>
      </c>
      <c r="S849" s="1"/>
      <c r="U849" s="1" t="s">
        <v>57</v>
      </c>
      <c r="V849" s="1" t="s">
        <v>154</v>
      </c>
      <c r="W849" s="1" t="str">
        <f>VLOOKUP(Table1[[#This Row],[Obergruppe ATC-Code]],Tabelle3!$A$2:$B$100,2)</f>
        <v>ANDERE GYNÄKOLOGIKA</v>
      </c>
      <c r="X849" s="1" t="str">
        <f xml:space="preserve"> LEFT(Table1[[#This Row],[Atc Code]],3)</f>
        <v>G02</v>
      </c>
    </row>
    <row r="850" spans="1:24" ht="14.4">
      <c r="A850" s="14">
        <v>1577</v>
      </c>
      <c r="B850" s="24">
        <v>16945257</v>
      </c>
      <c r="C850" s="1">
        <v>2106714</v>
      </c>
      <c r="D850" s="1" t="s">
        <v>25</v>
      </c>
      <c r="E850" s="36">
        <v>43770</v>
      </c>
      <c r="F850" s="36">
        <v>44043</v>
      </c>
      <c r="G850" s="38">
        <f t="shared" si="13"/>
        <v>273</v>
      </c>
      <c r="H850" s="5">
        <v>43798</v>
      </c>
      <c r="I850" s="5">
        <v>44007</v>
      </c>
      <c r="J850" s="1" t="s">
        <v>41</v>
      </c>
      <c r="K850" s="1" t="s">
        <v>2126</v>
      </c>
      <c r="L850" s="1" t="s">
        <v>2127</v>
      </c>
      <c r="M850" s="1" t="s">
        <v>2128</v>
      </c>
      <c r="N850" s="1" t="s">
        <v>30</v>
      </c>
      <c r="O850" s="1" t="s">
        <v>2129</v>
      </c>
      <c r="P850" s="1" t="s">
        <v>2132</v>
      </c>
      <c r="Q850" s="1" t="s">
        <v>2131</v>
      </c>
      <c r="R850" s="1" t="s">
        <v>48</v>
      </c>
      <c r="S850" s="1"/>
      <c r="U850" s="1" t="s">
        <v>57</v>
      </c>
      <c r="V850" s="1" t="s">
        <v>154</v>
      </c>
      <c r="W850" s="1" t="str">
        <f>VLOOKUP(Table1[[#This Row],[Obergruppe ATC-Code]],Tabelle3!$A$2:$B$100,2)</f>
        <v>ANDERE GYNÄKOLOGIKA</v>
      </c>
      <c r="X850" s="1" t="str">
        <f xml:space="preserve"> LEFT(Table1[[#This Row],[Atc Code]],3)</f>
        <v>G02</v>
      </c>
    </row>
    <row r="851" spans="1:24" ht="14.4">
      <c r="A851" s="14">
        <v>457</v>
      </c>
      <c r="B851" s="24">
        <v>2792755</v>
      </c>
      <c r="C851" s="1">
        <v>2103363</v>
      </c>
      <c r="D851" s="1" t="s">
        <v>25</v>
      </c>
      <c r="E851" s="36">
        <v>43862</v>
      </c>
      <c r="F851" s="36">
        <v>43951</v>
      </c>
      <c r="G851" s="38">
        <f t="shared" si="13"/>
        <v>89</v>
      </c>
      <c r="H851" s="5">
        <v>43871</v>
      </c>
      <c r="I851" s="5">
        <v>43935</v>
      </c>
      <c r="J851" s="1" t="s">
        <v>41</v>
      </c>
      <c r="K851" s="1" t="s">
        <v>2133</v>
      </c>
      <c r="L851" s="1" t="s">
        <v>2134</v>
      </c>
      <c r="M851" s="1" t="s">
        <v>2135</v>
      </c>
      <c r="N851" s="1" t="s">
        <v>30</v>
      </c>
      <c r="O851" s="1" t="s">
        <v>1078</v>
      </c>
      <c r="P851" s="1" t="s">
        <v>2136</v>
      </c>
      <c r="Q851" s="1" t="s">
        <v>2137</v>
      </c>
      <c r="R851" s="1" t="s">
        <v>65</v>
      </c>
      <c r="S851" s="1"/>
      <c r="U851" s="1" t="s">
        <v>35</v>
      </c>
      <c r="V851" s="1" t="s">
        <v>1450</v>
      </c>
      <c r="W851" s="1" t="str">
        <f>VLOOKUP(Table1[[#This Row],[Obergruppe ATC-Code]],Tabelle3!$A$2:$B$100,2)</f>
        <v>ANDERE GYNÄKOLOGIKA</v>
      </c>
      <c r="X851" s="1" t="str">
        <f xml:space="preserve"> LEFT(Table1[[#This Row],[Atc Code]],3)</f>
        <v>G02</v>
      </c>
    </row>
    <row r="852" spans="1:24" ht="14.4">
      <c r="A852" s="14">
        <v>458</v>
      </c>
      <c r="B852" s="24">
        <v>2792755</v>
      </c>
      <c r="C852" s="1">
        <v>2103363</v>
      </c>
      <c r="D852" s="1" t="s">
        <v>25</v>
      </c>
      <c r="E852" s="36">
        <v>45134</v>
      </c>
      <c r="F852" s="36">
        <v>45155</v>
      </c>
      <c r="G852" s="38">
        <f t="shared" si="13"/>
        <v>21</v>
      </c>
      <c r="H852" s="5">
        <v>45133</v>
      </c>
      <c r="I852" s="5">
        <v>45156</v>
      </c>
      <c r="J852" s="1" t="s">
        <v>41</v>
      </c>
      <c r="K852" s="1" t="s">
        <v>2133</v>
      </c>
      <c r="L852" s="1" t="s">
        <v>2134</v>
      </c>
      <c r="M852" s="1" t="s">
        <v>2135</v>
      </c>
      <c r="N852" s="1" t="s">
        <v>30</v>
      </c>
      <c r="O852" s="1" t="s">
        <v>1078</v>
      </c>
      <c r="P852" s="1">
        <v>498945450250</v>
      </c>
      <c r="Q852" s="1" t="s">
        <v>1079</v>
      </c>
      <c r="R852" s="1" t="s">
        <v>2138</v>
      </c>
      <c r="S852" s="1"/>
      <c r="U852" s="1" t="s">
        <v>130</v>
      </c>
      <c r="V852" s="1" t="s">
        <v>1450</v>
      </c>
      <c r="W852" s="1" t="str">
        <f>VLOOKUP(Table1[[#This Row],[Obergruppe ATC-Code]],Tabelle3!$A$2:$B$100,2)</f>
        <v>ANDERE GYNÄKOLOGIKA</v>
      </c>
      <c r="X852" s="1" t="str">
        <f xml:space="preserve"> LEFT(Table1[[#This Row],[Atc Code]],3)</f>
        <v>G02</v>
      </c>
    </row>
    <row r="853" spans="1:24" ht="14.4">
      <c r="A853" s="14">
        <v>942</v>
      </c>
      <c r="B853" s="25">
        <v>7668706</v>
      </c>
      <c r="C853" s="1">
        <v>2110672</v>
      </c>
      <c r="D853" s="1" t="s">
        <v>25</v>
      </c>
      <c r="E853" s="36">
        <v>43862</v>
      </c>
      <c r="F853" s="36">
        <v>44377</v>
      </c>
      <c r="G853" s="38">
        <f t="shared" si="13"/>
        <v>515</v>
      </c>
      <c r="H853" s="5">
        <v>43868</v>
      </c>
      <c r="I853" s="5">
        <v>44104</v>
      </c>
      <c r="J853" s="1" t="s">
        <v>41</v>
      </c>
      <c r="K853" s="1" t="s">
        <v>2139</v>
      </c>
      <c r="L853" s="1" t="s">
        <v>2140</v>
      </c>
      <c r="M853" s="1" t="s">
        <v>2141</v>
      </c>
      <c r="N853" s="1" t="s">
        <v>30</v>
      </c>
      <c r="O853" s="1" t="s">
        <v>117</v>
      </c>
      <c r="P853" s="1" t="s">
        <v>104</v>
      </c>
      <c r="Q853" s="1" t="s">
        <v>105</v>
      </c>
      <c r="R853" s="1" t="s">
        <v>65</v>
      </c>
      <c r="S853" s="1"/>
      <c r="U853" s="1" t="s">
        <v>35</v>
      </c>
      <c r="V853" s="1" t="s">
        <v>49</v>
      </c>
      <c r="W853" s="1" t="str">
        <f>VLOOKUP(Table1[[#This Row],[Obergruppe ATC-Code]],Tabelle3!$A$2:$B$100,2)</f>
        <v>ANDERE GYNÄKOLOGIKA</v>
      </c>
      <c r="X853" s="1" t="str">
        <f xml:space="preserve"> LEFT(Table1[[#This Row],[Atc Code]],3)</f>
        <v>G02</v>
      </c>
    </row>
    <row r="854" spans="1:24" ht="14.4">
      <c r="A854" s="14">
        <v>2337</v>
      </c>
      <c r="B854" s="24" t="s">
        <v>2142</v>
      </c>
      <c r="C854" s="1">
        <v>2113240</v>
      </c>
      <c r="D854" s="1" t="s">
        <v>25</v>
      </c>
      <c r="E854" s="36">
        <v>43862</v>
      </c>
      <c r="F854" s="36">
        <v>44377</v>
      </c>
      <c r="G854" s="38">
        <f t="shared" si="13"/>
        <v>515</v>
      </c>
      <c r="H854" s="5">
        <v>43868</v>
      </c>
      <c r="I854" s="5">
        <v>44159</v>
      </c>
      <c r="J854" s="1" t="s">
        <v>41</v>
      </c>
      <c r="K854" s="1" t="s">
        <v>2143</v>
      </c>
      <c r="L854" s="1" t="s">
        <v>2140</v>
      </c>
      <c r="M854" s="1" t="s">
        <v>2141</v>
      </c>
      <c r="N854" s="1" t="s">
        <v>30</v>
      </c>
      <c r="O854" s="1" t="s">
        <v>45</v>
      </c>
      <c r="P854" s="1" t="s">
        <v>104</v>
      </c>
      <c r="Q854" s="1" t="s">
        <v>105</v>
      </c>
      <c r="R854" s="1" t="s">
        <v>65</v>
      </c>
      <c r="S854" s="1"/>
      <c r="U854" s="1" t="s">
        <v>35</v>
      </c>
      <c r="V854" s="1" t="s">
        <v>49</v>
      </c>
      <c r="W854" s="1" t="str">
        <f>VLOOKUP(Table1[[#This Row],[Obergruppe ATC-Code]],Tabelle3!$A$2:$B$100,2)</f>
        <v>ANDERE GYNÄKOLOGIKA</v>
      </c>
      <c r="X854" s="1" t="str">
        <f xml:space="preserve"> LEFT(Table1[[#This Row],[Atc Code]],3)</f>
        <v>G02</v>
      </c>
    </row>
    <row r="855" spans="1:24" ht="14.4">
      <c r="A855" s="14">
        <v>1777</v>
      </c>
      <c r="B855" s="24" t="s">
        <v>2144</v>
      </c>
      <c r="C855" s="1">
        <v>2142662</v>
      </c>
      <c r="D855" s="1" t="s">
        <v>25</v>
      </c>
      <c r="E855" s="36">
        <v>43862</v>
      </c>
      <c r="F855" s="36">
        <v>44377</v>
      </c>
      <c r="G855" s="38">
        <f t="shared" si="13"/>
        <v>515</v>
      </c>
      <c r="H855" s="5">
        <v>43868</v>
      </c>
      <c r="I855" s="5">
        <v>44159</v>
      </c>
      <c r="J855" s="1" t="s">
        <v>41</v>
      </c>
      <c r="K855" s="1" t="s">
        <v>2145</v>
      </c>
      <c r="L855" s="1" t="s">
        <v>2140</v>
      </c>
      <c r="M855" s="1" t="s">
        <v>2141</v>
      </c>
      <c r="N855" s="1" t="s">
        <v>30</v>
      </c>
      <c r="O855" s="1" t="s">
        <v>117</v>
      </c>
      <c r="P855" s="1" t="s">
        <v>104</v>
      </c>
      <c r="Q855" s="1" t="s">
        <v>105</v>
      </c>
      <c r="R855" s="1" t="s">
        <v>65</v>
      </c>
      <c r="S855" s="1"/>
      <c r="U855" s="1" t="s">
        <v>35</v>
      </c>
      <c r="V855" s="1" t="s">
        <v>49</v>
      </c>
      <c r="W855" s="1" t="str">
        <f>VLOOKUP(Table1[[#This Row],[Obergruppe ATC-Code]],Tabelle3!$A$2:$B$100,2)</f>
        <v>ANDERE GYNÄKOLOGIKA</v>
      </c>
      <c r="X855" s="1" t="str">
        <f xml:space="preserve"> LEFT(Table1[[#This Row],[Atc Code]],3)</f>
        <v>G02</v>
      </c>
    </row>
    <row r="856" spans="1:24" ht="14.4">
      <c r="A856" s="14">
        <v>1929</v>
      </c>
      <c r="B856" s="24" t="s">
        <v>2146</v>
      </c>
      <c r="C856" s="1">
        <v>2101000</v>
      </c>
      <c r="D856" s="1" t="s">
        <v>25</v>
      </c>
      <c r="E856" s="36">
        <v>44044</v>
      </c>
      <c r="F856" s="36">
        <v>44196</v>
      </c>
      <c r="G856" s="38">
        <f t="shared" si="13"/>
        <v>152</v>
      </c>
      <c r="H856" s="5">
        <v>44067</v>
      </c>
      <c r="I856" s="5">
        <v>44210</v>
      </c>
      <c r="J856" s="1" t="s">
        <v>41</v>
      </c>
      <c r="K856" s="1" t="s">
        <v>2147</v>
      </c>
      <c r="L856" s="1" t="s">
        <v>2140</v>
      </c>
      <c r="M856" s="1" t="s">
        <v>2141</v>
      </c>
      <c r="N856" s="1" t="s">
        <v>38</v>
      </c>
      <c r="O856" s="1" t="s">
        <v>1114</v>
      </c>
      <c r="P856" s="1" t="s">
        <v>1072</v>
      </c>
      <c r="Q856" s="1" t="s">
        <v>1698</v>
      </c>
      <c r="R856" s="1" t="s">
        <v>26</v>
      </c>
      <c r="S856" s="1"/>
      <c r="U856" s="1" t="s">
        <v>35</v>
      </c>
      <c r="V856" s="1" t="s">
        <v>49</v>
      </c>
      <c r="W856" s="1" t="str">
        <f>VLOOKUP(Table1[[#This Row],[Obergruppe ATC-Code]],Tabelle3!$A$2:$B$100,2)</f>
        <v>ANDERE GYNÄKOLOGIKA</v>
      </c>
      <c r="X856" s="1" t="str">
        <f xml:space="preserve"> LEFT(Table1[[#This Row],[Atc Code]],3)</f>
        <v>G02</v>
      </c>
    </row>
    <row r="857" spans="1:24" ht="14.4">
      <c r="A857" s="14">
        <v>824</v>
      </c>
      <c r="B857" s="24">
        <v>6896782</v>
      </c>
      <c r="C857" s="1">
        <v>2132411</v>
      </c>
      <c r="D857" s="1" t="s">
        <v>25</v>
      </c>
      <c r="E857" s="36">
        <v>44105</v>
      </c>
      <c r="F857" s="36">
        <v>44196</v>
      </c>
      <c r="G857" s="38">
        <f t="shared" si="13"/>
        <v>91</v>
      </c>
      <c r="H857" s="5">
        <v>44127</v>
      </c>
      <c r="I857" s="5">
        <v>44169</v>
      </c>
      <c r="J857" s="1" t="s">
        <v>41</v>
      </c>
      <c r="K857" s="1" t="s">
        <v>2148</v>
      </c>
      <c r="L857" s="1" t="s">
        <v>2149</v>
      </c>
      <c r="M857" s="1" t="s">
        <v>2150</v>
      </c>
      <c r="N857" s="1" t="s">
        <v>30</v>
      </c>
      <c r="O857" s="1" t="s">
        <v>321</v>
      </c>
      <c r="P857" s="1" t="s">
        <v>326</v>
      </c>
      <c r="Q857" s="1" t="s">
        <v>327</v>
      </c>
      <c r="R857" s="1" t="s">
        <v>26</v>
      </c>
      <c r="S857" s="1"/>
      <c r="T857" s="1" t="s">
        <v>2151</v>
      </c>
      <c r="U857" s="1" t="s">
        <v>35</v>
      </c>
      <c r="V857" s="1" t="s">
        <v>49</v>
      </c>
      <c r="W857" s="1" t="str">
        <f>VLOOKUP(Table1[[#This Row],[Obergruppe ATC-Code]],Tabelle3!$A$2:$B$100,2)</f>
        <v>ANDERE GYNÄKOLOGIKA</v>
      </c>
      <c r="X857" s="1" t="str">
        <f xml:space="preserve"> LEFT(Table1[[#This Row],[Atc Code]],3)</f>
        <v>G02</v>
      </c>
    </row>
    <row r="858" spans="1:24" ht="14.4">
      <c r="A858" s="14">
        <v>1706</v>
      </c>
      <c r="B858" s="24" t="s">
        <v>2152</v>
      </c>
      <c r="C858" s="1">
        <v>2166339</v>
      </c>
      <c r="D858" s="1" t="s">
        <v>25</v>
      </c>
      <c r="E858" s="36">
        <v>44105</v>
      </c>
      <c r="F858" s="36">
        <v>44255</v>
      </c>
      <c r="G858" s="38">
        <f t="shared" si="13"/>
        <v>150</v>
      </c>
      <c r="H858" s="5">
        <v>44113</v>
      </c>
      <c r="I858" s="5">
        <v>44246</v>
      </c>
      <c r="J858" s="1" t="s">
        <v>41</v>
      </c>
      <c r="K858" s="1" t="s">
        <v>2153</v>
      </c>
      <c r="L858" s="1" t="s">
        <v>2149</v>
      </c>
      <c r="M858" s="1" t="s">
        <v>2150</v>
      </c>
      <c r="N858" s="1" t="s">
        <v>30</v>
      </c>
      <c r="O858" s="1" t="s">
        <v>45</v>
      </c>
      <c r="P858" s="1" t="s">
        <v>2154</v>
      </c>
      <c r="Q858" s="1" t="s">
        <v>118</v>
      </c>
      <c r="R858" s="1" t="s">
        <v>26</v>
      </c>
      <c r="S858" s="1"/>
      <c r="U858" s="1" t="s">
        <v>35</v>
      </c>
      <c r="V858" s="1" t="s">
        <v>49</v>
      </c>
      <c r="W858" s="1" t="str">
        <f>VLOOKUP(Table1[[#This Row],[Obergruppe ATC-Code]],Tabelle3!$A$2:$B$100,2)</f>
        <v>ANDERE GYNÄKOLOGIKA</v>
      </c>
      <c r="X858" s="1" t="str">
        <f xml:space="preserve"> LEFT(Table1[[#This Row],[Atc Code]],3)</f>
        <v>G02</v>
      </c>
    </row>
    <row r="859" spans="1:24" ht="14.4">
      <c r="A859" s="14">
        <v>1080</v>
      </c>
      <c r="B859" s="25">
        <v>9191817</v>
      </c>
      <c r="C859" s="1">
        <v>2166779</v>
      </c>
      <c r="D859" s="1" t="s">
        <v>25</v>
      </c>
      <c r="E859" s="36">
        <v>44105</v>
      </c>
      <c r="F859" s="36">
        <v>44255</v>
      </c>
      <c r="G859" s="38">
        <f t="shared" si="13"/>
        <v>150</v>
      </c>
      <c r="H859" s="5">
        <v>44113</v>
      </c>
      <c r="I859" s="5">
        <v>44246</v>
      </c>
      <c r="J859" s="1" t="s">
        <v>41</v>
      </c>
      <c r="K859" s="1" t="s">
        <v>2155</v>
      </c>
      <c r="L859" s="1" t="s">
        <v>2149</v>
      </c>
      <c r="M859" s="1" t="s">
        <v>2150</v>
      </c>
      <c r="N859" s="1" t="s">
        <v>38</v>
      </c>
      <c r="O859" s="1" t="s">
        <v>1035</v>
      </c>
      <c r="P859" s="1" t="s">
        <v>2154</v>
      </c>
      <c r="Q859" s="1" t="s">
        <v>118</v>
      </c>
      <c r="R859" s="1" t="s">
        <v>26</v>
      </c>
      <c r="S859" s="1"/>
      <c r="U859" s="1" t="s">
        <v>35</v>
      </c>
      <c r="V859" s="1" t="s">
        <v>49</v>
      </c>
      <c r="W859" s="1" t="str">
        <f>VLOOKUP(Table1[[#This Row],[Obergruppe ATC-Code]],Tabelle3!$A$2:$B$100,2)</f>
        <v>ANDERE GYNÄKOLOGIKA</v>
      </c>
      <c r="X859" s="1" t="str">
        <f xml:space="preserve"> LEFT(Table1[[#This Row],[Atc Code]],3)</f>
        <v>G02</v>
      </c>
    </row>
    <row r="860" spans="1:24" ht="14.4">
      <c r="A860" s="14">
        <v>1801</v>
      </c>
      <c r="B860" s="24" t="s">
        <v>2156</v>
      </c>
      <c r="C860" s="1">
        <v>2132411</v>
      </c>
      <c r="D860" s="1" t="s">
        <v>25</v>
      </c>
      <c r="E860" s="36">
        <v>44956</v>
      </c>
      <c r="F860" s="36">
        <v>44988</v>
      </c>
      <c r="G860" s="38">
        <f t="shared" si="13"/>
        <v>32</v>
      </c>
      <c r="H860" s="5">
        <v>44936</v>
      </c>
      <c r="I860" s="5">
        <v>44988</v>
      </c>
      <c r="J860" s="1" t="s">
        <v>26</v>
      </c>
      <c r="K860" s="1" t="s">
        <v>2148</v>
      </c>
      <c r="L860" s="1" t="s">
        <v>2149</v>
      </c>
      <c r="M860" s="1" t="s">
        <v>2150</v>
      </c>
      <c r="N860" s="1" t="s">
        <v>38</v>
      </c>
      <c r="O860" s="1" t="s">
        <v>329</v>
      </c>
      <c r="P860" s="1" t="s">
        <v>1153</v>
      </c>
      <c r="Q860" s="1" t="s">
        <v>331</v>
      </c>
      <c r="R860" s="1" t="s">
        <v>113</v>
      </c>
      <c r="S860" s="1"/>
      <c r="U860" s="1" t="s">
        <v>35</v>
      </c>
      <c r="V860" s="1" t="s">
        <v>49</v>
      </c>
      <c r="W860" s="1" t="str">
        <f>VLOOKUP(Table1[[#This Row],[Obergruppe ATC-Code]],Tabelle3!$A$2:$B$100,2)</f>
        <v>ANDERE GYNÄKOLOGIKA</v>
      </c>
      <c r="X860" s="1" t="str">
        <f xml:space="preserve"> LEFT(Table1[[#This Row],[Atc Code]],3)</f>
        <v>G02</v>
      </c>
    </row>
    <row r="861" spans="1:24" ht="14.4">
      <c r="A861" s="14">
        <v>1986</v>
      </c>
      <c r="B861" s="24" t="s">
        <v>2157</v>
      </c>
      <c r="C861" s="1">
        <v>728693</v>
      </c>
      <c r="D861" s="1" t="s">
        <v>25</v>
      </c>
      <c r="E861" s="36">
        <v>44044</v>
      </c>
      <c r="F861" s="36">
        <v>44558</v>
      </c>
      <c r="G861" s="38">
        <f t="shared" si="13"/>
        <v>514</v>
      </c>
      <c r="H861" s="5">
        <v>44109</v>
      </c>
      <c r="I861" s="5">
        <v>44558</v>
      </c>
      <c r="J861" s="1" t="s">
        <v>41</v>
      </c>
      <c r="K861" s="1" t="s">
        <v>2158</v>
      </c>
      <c r="L861" s="1" t="s">
        <v>2159</v>
      </c>
      <c r="M861" s="1" t="s">
        <v>2160</v>
      </c>
      <c r="N861" s="1" t="s">
        <v>30</v>
      </c>
      <c r="O861" s="1" t="s">
        <v>321</v>
      </c>
      <c r="P861" s="1" t="s">
        <v>2161</v>
      </c>
      <c r="Q861" s="1" t="s">
        <v>2162</v>
      </c>
      <c r="R861" s="1" t="s">
        <v>26</v>
      </c>
      <c r="S861" s="1"/>
      <c r="T861" s="1" t="s">
        <v>2163</v>
      </c>
      <c r="U861" s="1" t="s">
        <v>35</v>
      </c>
      <c r="V861" s="1" t="s">
        <v>99</v>
      </c>
      <c r="W861" s="1" t="str">
        <f>VLOOKUP(Table1[[#This Row],[Obergruppe ATC-Code]],Tabelle3!$A$2:$B$100,2)</f>
        <v>SEXUALHORMONE UND MODULATOREN DES GENITALSYSTEMS</v>
      </c>
      <c r="X861" s="1" t="str">
        <f xml:space="preserve"> LEFT(Table1[[#This Row],[Atc Code]],3)</f>
        <v>G03</v>
      </c>
    </row>
    <row r="862" spans="1:24" ht="14.4">
      <c r="A862" s="14">
        <v>1985</v>
      </c>
      <c r="B862" s="24" t="s">
        <v>2157</v>
      </c>
      <c r="C862" s="1">
        <v>728693</v>
      </c>
      <c r="D862" s="1" t="s">
        <v>102</v>
      </c>
      <c r="E862" s="36">
        <v>44805</v>
      </c>
      <c r="F862" s="36">
        <v>45260</v>
      </c>
      <c r="G862" s="38">
        <f t="shared" si="13"/>
        <v>455</v>
      </c>
      <c r="H862" s="5">
        <v>44797</v>
      </c>
      <c r="I862" s="5">
        <v>45071</v>
      </c>
      <c r="J862" s="1" t="s">
        <v>41</v>
      </c>
      <c r="K862" s="1" t="s">
        <v>2158</v>
      </c>
      <c r="L862" s="1" t="s">
        <v>2159</v>
      </c>
      <c r="M862" s="1" t="s">
        <v>2160</v>
      </c>
      <c r="N862" s="1" t="s">
        <v>38</v>
      </c>
      <c r="O862" s="1" t="s">
        <v>329</v>
      </c>
      <c r="P862" s="1" t="s">
        <v>1153</v>
      </c>
      <c r="Q862" s="1" t="s">
        <v>331</v>
      </c>
      <c r="R862" s="1" t="s">
        <v>128</v>
      </c>
      <c r="S862" s="1"/>
      <c r="U862" s="1" t="s">
        <v>35</v>
      </c>
      <c r="V862" s="1" t="s">
        <v>99</v>
      </c>
      <c r="W862" s="1" t="str">
        <f>VLOOKUP(Table1[[#This Row],[Obergruppe ATC-Code]],Tabelle3!$A$2:$B$100,2)</f>
        <v>SEXUALHORMONE UND MODULATOREN DES GENITALSYSTEMS</v>
      </c>
      <c r="X862" s="1" t="str">
        <f xml:space="preserve"> LEFT(Table1[[#This Row],[Atc Code]],3)</f>
        <v>G03</v>
      </c>
    </row>
    <row r="863" spans="1:24" ht="14.4">
      <c r="A863" s="14">
        <v>2534</v>
      </c>
      <c r="B863" s="24" t="s">
        <v>2164</v>
      </c>
      <c r="C863" s="1">
        <v>2191435</v>
      </c>
      <c r="D863" s="1" t="s">
        <v>25</v>
      </c>
      <c r="E863" s="36">
        <v>43891</v>
      </c>
      <c r="F863" s="36">
        <v>44043</v>
      </c>
      <c r="G863" s="38">
        <f t="shared" si="13"/>
        <v>152</v>
      </c>
      <c r="H863" s="5">
        <v>43910</v>
      </c>
      <c r="I863" s="5">
        <v>44013</v>
      </c>
      <c r="J863" s="1" t="s">
        <v>41</v>
      </c>
      <c r="K863" s="1" t="s">
        <v>2165</v>
      </c>
      <c r="L863" s="1" t="s">
        <v>2166</v>
      </c>
      <c r="M863" s="1" t="s">
        <v>2167</v>
      </c>
      <c r="N863" s="1" t="s">
        <v>38</v>
      </c>
      <c r="O863" s="1" t="s">
        <v>91</v>
      </c>
      <c r="P863" s="1" t="s">
        <v>92</v>
      </c>
      <c r="Q863" s="1" t="s">
        <v>93</v>
      </c>
      <c r="R863" s="1" t="s">
        <v>48</v>
      </c>
      <c r="S863" s="1"/>
      <c r="U863" s="1" t="s">
        <v>35</v>
      </c>
      <c r="V863" s="1" t="s">
        <v>99</v>
      </c>
      <c r="W863" s="1" t="str">
        <f>VLOOKUP(Table1[[#This Row],[Obergruppe ATC-Code]],Tabelle3!$A$2:$B$100,2)</f>
        <v>SEXUALHORMONE UND MODULATOREN DES GENITALSYSTEMS</v>
      </c>
      <c r="X863" s="1" t="str">
        <f xml:space="preserve"> LEFT(Table1[[#This Row],[Atc Code]],3)</f>
        <v>G03</v>
      </c>
    </row>
    <row r="864" spans="1:24" ht="14.4">
      <c r="A864" s="14">
        <v>484</v>
      </c>
      <c r="B864" s="24">
        <v>3071822</v>
      </c>
      <c r="C864" s="1">
        <v>2160360</v>
      </c>
      <c r="D864" s="1" t="s">
        <v>25</v>
      </c>
      <c r="E864" s="36">
        <v>45077</v>
      </c>
      <c r="F864" s="36">
        <v>45145</v>
      </c>
      <c r="G864" s="38">
        <f t="shared" si="13"/>
        <v>68</v>
      </c>
      <c r="H864" s="5">
        <v>45054</v>
      </c>
      <c r="I864" s="5">
        <v>45153</v>
      </c>
      <c r="J864" s="1" t="s">
        <v>41</v>
      </c>
      <c r="K864" s="1" t="s">
        <v>2168</v>
      </c>
      <c r="L864" s="1" t="s">
        <v>2166</v>
      </c>
      <c r="M864" s="1" t="s">
        <v>2167</v>
      </c>
      <c r="N864" s="1" t="s">
        <v>38</v>
      </c>
      <c r="O864" s="1" t="s">
        <v>2129</v>
      </c>
      <c r="P864" s="1">
        <v>36418797444</v>
      </c>
      <c r="Q864" s="1" t="s">
        <v>2131</v>
      </c>
      <c r="R864" s="1" t="s">
        <v>128</v>
      </c>
      <c r="S864" s="1"/>
      <c r="T864" s="1" t="s">
        <v>2169</v>
      </c>
      <c r="U864" s="1" t="s">
        <v>35</v>
      </c>
      <c r="V864" s="1" t="s">
        <v>639</v>
      </c>
      <c r="W864" s="1" t="str">
        <f>VLOOKUP(Table1[[#This Row],[Obergruppe ATC-Code]],Tabelle3!$A$2:$B$100,2)</f>
        <v>SEXUALHORMONE UND MODULATOREN DES GENITALSYSTEMS</v>
      </c>
      <c r="X864" s="1" t="str">
        <f xml:space="preserve"> LEFT(Table1[[#This Row],[Atc Code]],3)</f>
        <v>G03</v>
      </c>
    </row>
    <row r="865" spans="1:24" ht="14.4">
      <c r="A865" s="14">
        <v>3090</v>
      </c>
      <c r="B865" s="3">
        <v>1036750</v>
      </c>
      <c r="C865" s="1">
        <v>2164270</v>
      </c>
      <c r="D865" s="1" t="s">
        <v>25</v>
      </c>
      <c r="E865" s="36">
        <v>44105</v>
      </c>
      <c r="F865" s="36">
        <v>44165</v>
      </c>
      <c r="G865" s="38">
        <f t="shared" si="13"/>
        <v>60</v>
      </c>
      <c r="H865" s="5">
        <v>44112</v>
      </c>
      <c r="I865" s="5">
        <v>44162</v>
      </c>
      <c r="J865" s="1" t="s">
        <v>26</v>
      </c>
      <c r="K865" s="1" t="s">
        <v>2170</v>
      </c>
      <c r="L865" s="1" t="s">
        <v>2171</v>
      </c>
      <c r="M865" s="1" t="s">
        <v>2172</v>
      </c>
      <c r="N865" s="1" t="s">
        <v>38</v>
      </c>
      <c r="O865" s="1" t="s">
        <v>2129</v>
      </c>
      <c r="P865" s="1" t="s">
        <v>2173</v>
      </c>
      <c r="Q865" s="1" t="s">
        <v>2131</v>
      </c>
      <c r="R865" s="1" t="s">
        <v>33</v>
      </c>
      <c r="S865" s="1"/>
      <c r="T865" s="1" t="s">
        <v>2174</v>
      </c>
      <c r="U865" s="1" t="s">
        <v>57</v>
      </c>
      <c r="V865" s="1" t="s">
        <v>99</v>
      </c>
      <c r="W865" s="1" t="str">
        <f>VLOOKUP(Table1[[#This Row],[Obergruppe ATC-Code]],Tabelle3!$A$2:$B$100,2)</f>
        <v>SEXUALHORMONE UND MODULATOREN DES GENITALSYSTEMS</v>
      </c>
      <c r="X865" s="1" t="str">
        <f xml:space="preserve"> LEFT(Table1[[#This Row],[Atc Code]],3)</f>
        <v>G03</v>
      </c>
    </row>
    <row r="866" spans="1:24" ht="14.4">
      <c r="A866" s="14">
        <v>1717</v>
      </c>
      <c r="B866" s="24" t="s">
        <v>2175</v>
      </c>
      <c r="C866" s="1">
        <v>2164268</v>
      </c>
      <c r="D866" s="1" t="s">
        <v>25</v>
      </c>
      <c r="E866" s="36">
        <v>44105</v>
      </c>
      <c r="F866" s="36">
        <v>44255</v>
      </c>
      <c r="G866" s="38">
        <f t="shared" si="13"/>
        <v>150</v>
      </c>
      <c r="H866" s="5">
        <v>44112</v>
      </c>
      <c r="I866" s="5">
        <v>44230</v>
      </c>
      <c r="J866" s="1" t="s">
        <v>26</v>
      </c>
      <c r="K866" s="1" t="s">
        <v>2176</v>
      </c>
      <c r="L866" s="1" t="s">
        <v>2171</v>
      </c>
      <c r="M866" s="1" t="s">
        <v>2172</v>
      </c>
      <c r="N866" s="1" t="s">
        <v>38</v>
      </c>
      <c r="O866" s="1" t="s">
        <v>2129</v>
      </c>
      <c r="P866" s="1" t="s">
        <v>2173</v>
      </c>
      <c r="Q866" s="1" t="s">
        <v>2131</v>
      </c>
      <c r="R866" s="1" t="s">
        <v>33</v>
      </c>
      <c r="S866" s="1"/>
      <c r="T866" s="1" t="s">
        <v>2174</v>
      </c>
      <c r="U866" s="1" t="s">
        <v>57</v>
      </c>
      <c r="V866" s="1" t="s">
        <v>99</v>
      </c>
      <c r="W866" s="1" t="str">
        <f>VLOOKUP(Table1[[#This Row],[Obergruppe ATC-Code]],Tabelle3!$A$2:$B$100,2)</f>
        <v>SEXUALHORMONE UND MODULATOREN DES GENITALSYSTEMS</v>
      </c>
      <c r="X866" s="1" t="str">
        <f xml:space="preserve"> LEFT(Table1[[#This Row],[Atc Code]],3)</f>
        <v>G03</v>
      </c>
    </row>
    <row r="867" spans="1:24" ht="14.4">
      <c r="A867" s="14">
        <v>2942</v>
      </c>
      <c r="B867" s="24" t="s">
        <v>2177</v>
      </c>
      <c r="C867" s="1">
        <v>2133599</v>
      </c>
      <c r="D867" s="1" t="s">
        <v>25</v>
      </c>
      <c r="E867" s="36">
        <v>43405</v>
      </c>
      <c r="F867" s="36">
        <v>43465</v>
      </c>
      <c r="G867" s="38">
        <f t="shared" si="13"/>
        <v>60</v>
      </c>
      <c r="H867" s="5">
        <v>43404</v>
      </c>
      <c r="I867" s="5">
        <v>43431</v>
      </c>
      <c r="J867" s="1" t="s">
        <v>41</v>
      </c>
      <c r="K867" s="1" t="s">
        <v>2178</v>
      </c>
      <c r="L867" s="1" t="s">
        <v>2179</v>
      </c>
      <c r="M867" s="1" t="s">
        <v>2167</v>
      </c>
      <c r="N867" s="1" t="s">
        <v>38</v>
      </c>
      <c r="O867" s="1" t="s">
        <v>321</v>
      </c>
      <c r="P867" s="1" t="s">
        <v>322</v>
      </c>
      <c r="Q867" s="1" t="s">
        <v>2180</v>
      </c>
      <c r="R867" s="1" t="s">
        <v>26</v>
      </c>
      <c r="S867" s="1"/>
      <c r="T867" s="1" t="s">
        <v>2181</v>
      </c>
      <c r="U867" s="1" t="s">
        <v>35</v>
      </c>
      <c r="V867" s="1" t="s">
        <v>2182</v>
      </c>
      <c r="W867" s="1" t="str">
        <f>VLOOKUP(Table1[[#This Row],[Obergruppe ATC-Code]],Tabelle3!$A$2:$B$100,2)</f>
        <v>SEXUALHORMONE UND MODULATOREN DES GENITALSYSTEMS</v>
      </c>
      <c r="X867" s="1" t="str">
        <f xml:space="preserve"> LEFT(Table1[[#This Row],[Atc Code]],3)</f>
        <v>G03</v>
      </c>
    </row>
    <row r="868" spans="1:24" ht="14.4">
      <c r="A868" s="14">
        <v>2941</v>
      </c>
      <c r="B868" s="24" t="s">
        <v>2177</v>
      </c>
      <c r="C868" s="1">
        <v>2133599</v>
      </c>
      <c r="D868" s="1" t="s">
        <v>25</v>
      </c>
      <c r="E868" s="36">
        <v>43435</v>
      </c>
      <c r="F868" s="36">
        <v>43616</v>
      </c>
      <c r="G868" s="38">
        <f t="shared" si="13"/>
        <v>181</v>
      </c>
      <c r="H868" s="5">
        <v>43439</v>
      </c>
      <c r="I868" s="5">
        <v>43567</v>
      </c>
      <c r="J868" s="1" t="s">
        <v>41</v>
      </c>
      <c r="K868" s="1" t="s">
        <v>2178</v>
      </c>
      <c r="L868" s="1" t="s">
        <v>2179</v>
      </c>
      <c r="M868" s="1" t="s">
        <v>2167</v>
      </c>
      <c r="N868" s="1" t="s">
        <v>38</v>
      </c>
      <c r="O868" s="1" t="s">
        <v>321</v>
      </c>
      <c r="P868" s="1" t="s">
        <v>322</v>
      </c>
      <c r="Q868" s="1" t="s">
        <v>2180</v>
      </c>
      <c r="R868" s="1" t="s">
        <v>48</v>
      </c>
      <c r="S868" s="1"/>
      <c r="T868" s="1" t="s">
        <v>2181</v>
      </c>
      <c r="U868" s="1" t="s">
        <v>57</v>
      </c>
      <c r="V868" s="1" t="s">
        <v>2182</v>
      </c>
      <c r="W868" s="1" t="str">
        <f>VLOOKUP(Table1[[#This Row],[Obergruppe ATC-Code]],Tabelle3!$A$2:$B$100,2)</f>
        <v>SEXUALHORMONE UND MODULATOREN DES GENITALSYSTEMS</v>
      </c>
      <c r="X868" s="1" t="str">
        <f xml:space="preserve"> LEFT(Table1[[#This Row],[Atc Code]],3)</f>
        <v>G03</v>
      </c>
    </row>
    <row r="869" spans="1:24" ht="14.4">
      <c r="A869" s="14">
        <v>1870</v>
      </c>
      <c r="B869" s="24" t="s">
        <v>2183</v>
      </c>
      <c r="C869" s="1">
        <v>2146695</v>
      </c>
      <c r="D869" s="1" t="s">
        <v>102</v>
      </c>
      <c r="E869" s="36">
        <v>45016</v>
      </c>
      <c r="F869" s="36">
        <v>45230</v>
      </c>
      <c r="G869" s="38">
        <f t="shared" si="13"/>
        <v>214</v>
      </c>
      <c r="H869" s="5">
        <v>45008</v>
      </c>
      <c r="I869" s="5">
        <v>45106</v>
      </c>
      <c r="J869" s="1" t="s">
        <v>41</v>
      </c>
      <c r="K869" s="1" t="s">
        <v>2184</v>
      </c>
      <c r="L869" s="1" t="s">
        <v>2185</v>
      </c>
      <c r="M869" s="1" t="s">
        <v>2186</v>
      </c>
      <c r="N869" s="1" t="s">
        <v>38</v>
      </c>
      <c r="O869" s="1" t="s">
        <v>818</v>
      </c>
      <c r="P869" s="1" t="s">
        <v>1048</v>
      </c>
      <c r="Q869" s="1" t="s">
        <v>1047</v>
      </c>
      <c r="R869" s="1" t="s">
        <v>942</v>
      </c>
      <c r="S869" s="1"/>
      <c r="U869" s="1" t="s">
        <v>130</v>
      </c>
      <c r="V869" s="1" t="s">
        <v>99</v>
      </c>
      <c r="W869" s="1" t="str">
        <f>VLOOKUP(Table1[[#This Row],[Obergruppe ATC-Code]],Tabelle3!$A$2:$B$100,2)</f>
        <v>SEXUALHORMONE UND MODULATOREN DES GENITALSYSTEMS</v>
      </c>
      <c r="X869" s="1" t="str">
        <f xml:space="preserve"> LEFT(Table1[[#This Row],[Atc Code]],3)</f>
        <v>G03</v>
      </c>
    </row>
    <row r="870" spans="1:24" ht="14.4">
      <c r="A870" s="14">
        <v>870</v>
      </c>
      <c r="B870" s="24">
        <v>7342169</v>
      </c>
      <c r="C870" s="1">
        <v>2109010</v>
      </c>
      <c r="D870" s="1" t="s">
        <v>25</v>
      </c>
      <c r="E870" s="36">
        <v>44993</v>
      </c>
      <c r="F870" s="36">
        <v>45126</v>
      </c>
      <c r="G870" s="38">
        <f t="shared" si="13"/>
        <v>133</v>
      </c>
      <c r="H870" s="5">
        <v>44993</v>
      </c>
      <c r="I870" s="5">
        <v>45126</v>
      </c>
      <c r="J870" s="1" t="s">
        <v>26</v>
      </c>
      <c r="K870" s="1" t="s">
        <v>2187</v>
      </c>
      <c r="L870" s="1" t="s">
        <v>2185</v>
      </c>
      <c r="M870" s="1" t="s">
        <v>2186</v>
      </c>
      <c r="N870" s="1" t="s">
        <v>38</v>
      </c>
      <c r="O870" s="1" t="s">
        <v>818</v>
      </c>
      <c r="P870" s="1" t="s">
        <v>1048</v>
      </c>
      <c r="Q870" s="1" t="s">
        <v>1047</v>
      </c>
      <c r="R870" s="1" t="s">
        <v>33</v>
      </c>
      <c r="S870" s="1"/>
      <c r="U870" s="1" t="s">
        <v>130</v>
      </c>
      <c r="V870" s="1" t="s">
        <v>2188</v>
      </c>
      <c r="W870" s="1" t="str">
        <f>VLOOKUP(Table1[[#This Row],[Obergruppe ATC-Code]],Tabelle3!$A$2:$B$100,2)</f>
        <v>SEXUALHORMONE UND MODULATOREN DES GENITALSYSTEMS</v>
      </c>
      <c r="X870" s="1" t="str">
        <f xml:space="preserve"> LEFT(Table1[[#This Row],[Atc Code]],3)</f>
        <v>G03</v>
      </c>
    </row>
    <row r="871" spans="1:24" ht="14.4">
      <c r="A871" s="14">
        <v>1979</v>
      </c>
      <c r="B871" s="24" t="s">
        <v>2189</v>
      </c>
      <c r="C871" s="1">
        <v>3000361</v>
      </c>
      <c r="D871" s="1" t="s">
        <v>25</v>
      </c>
      <c r="E871" s="36">
        <v>43891</v>
      </c>
      <c r="F871" s="36">
        <v>43921</v>
      </c>
      <c r="G871" s="38">
        <f t="shared" si="13"/>
        <v>30</v>
      </c>
      <c r="H871" s="5">
        <v>43901</v>
      </c>
      <c r="I871" s="5">
        <v>43915</v>
      </c>
      <c r="J871" s="1" t="s">
        <v>26</v>
      </c>
      <c r="K871" s="1" t="s">
        <v>2190</v>
      </c>
      <c r="L871" s="1" t="s">
        <v>2191</v>
      </c>
      <c r="M871" s="1" t="s">
        <v>2192</v>
      </c>
      <c r="N871" s="1" t="s">
        <v>38</v>
      </c>
      <c r="O871" s="1" t="s">
        <v>2129</v>
      </c>
      <c r="P871" s="1" t="s">
        <v>2193</v>
      </c>
      <c r="Q871" s="1" t="s">
        <v>2194</v>
      </c>
      <c r="R871" s="1" t="s">
        <v>33</v>
      </c>
      <c r="S871" s="1"/>
      <c r="U871" s="1" t="s">
        <v>35</v>
      </c>
      <c r="V871" s="1" t="s">
        <v>639</v>
      </c>
      <c r="W871" s="1" t="str">
        <f>VLOOKUP(Table1[[#This Row],[Obergruppe ATC-Code]],Tabelle3!$A$2:$B$100,2)</f>
        <v>SEXUALHORMONE UND MODULATOREN DES GENITALSYSTEMS</v>
      </c>
      <c r="X871" s="1" t="str">
        <f xml:space="preserve"> LEFT(Table1[[#This Row],[Atc Code]],3)</f>
        <v>G03</v>
      </c>
    </row>
    <row r="872" spans="1:24" ht="14.4">
      <c r="A872" s="14">
        <v>1626</v>
      </c>
      <c r="B872" s="25">
        <v>18160187</v>
      </c>
      <c r="C872" s="1">
        <v>2105173</v>
      </c>
      <c r="D872" s="1" t="s">
        <v>25</v>
      </c>
      <c r="E872" s="36">
        <v>42948</v>
      </c>
      <c r="F872" s="36">
        <v>42978</v>
      </c>
      <c r="G872" s="38">
        <f t="shared" si="13"/>
        <v>30</v>
      </c>
      <c r="H872" s="5">
        <v>42949</v>
      </c>
      <c r="I872" s="5">
        <v>42977</v>
      </c>
      <c r="J872" s="1" t="s">
        <v>41</v>
      </c>
      <c r="K872" s="1" t="s">
        <v>2195</v>
      </c>
      <c r="L872" s="1" t="s">
        <v>2196</v>
      </c>
      <c r="M872" s="1" t="s">
        <v>2197</v>
      </c>
      <c r="N872" s="1" t="s">
        <v>30</v>
      </c>
      <c r="O872" s="1" t="s">
        <v>321</v>
      </c>
      <c r="P872" s="1" t="s">
        <v>2198</v>
      </c>
      <c r="Q872" s="1" t="s">
        <v>1252</v>
      </c>
      <c r="R872" s="1" t="s">
        <v>26</v>
      </c>
      <c r="S872" s="1"/>
      <c r="T872" s="1" t="s">
        <v>2199</v>
      </c>
      <c r="U872" s="1" t="s">
        <v>35</v>
      </c>
      <c r="V872" s="1" t="s">
        <v>498</v>
      </c>
      <c r="W872" s="1" t="str">
        <f>VLOOKUP(Table1[[#This Row],[Obergruppe ATC-Code]],Tabelle3!$A$2:$B$100,2)</f>
        <v>SEXUALHORMONE UND MODULATOREN DES GENITALSYSTEMS</v>
      </c>
      <c r="X872" s="1" t="str">
        <f xml:space="preserve"> LEFT(Table1[[#This Row],[Atc Code]],3)</f>
        <v>G03</v>
      </c>
    </row>
    <row r="873" spans="1:24" ht="14.4">
      <c r="A873" s="14">
        <v>1089</v>
      </c>
      <c r="B873" s="24">
        <v>9252341</v>
      </c>
      <c r="C873" s="1">
        <v>2169347</v>
      </c>
      <c r="D873" s="1" t="s">
        <v>25</v>
      </c>
      <c r="E873" s="36">
        <v>43739</v>
      </c>
      <c r="F873" s="36">
        <v>43799</v>
      </c>
      <c r="G873" s="38">
        <f t="shared" si="13"/>
        <v>60</v>
      </c>
      <c r="H873" s="5">
        <v>43697</v>
      </c>
      <c r="I873" s="5">
        <v>43747</v>
      </c>
      <c r="J873" s="1" t="s">
        <v>41</v>
      </c>
      <c r="K873" s="1" t="s">
        <v>2200</v>
      </c>
      <c r="L873" s="1" t="s">
        <v>2196</v>
      </c>
      <c r="M873" s="1" t="s">
        <v>2197</v>
      </c>
      <c r="N873" s="1" t="s">
        <v>38</v>
      </c>
      <c r="O873" s="1" t="s">
        <v>321</v>
      </c>
      <c r="P873" s="1" t="s">
        <v>326</v>
      </c>
      <c r="Q873" s="1" t="s">
        <v>327</v>
      </c>
      <c r="R873" s="1" t="s">
        <v>48</v>
      </c>
      <c r="S873" s="1"/>
      <c r="T873" s="1" t="s">
        <v>2201</v>
      </c>
      <c r="U873" s="1" t="s">
        <v>35</v>
      </c>
      <c r="V873" s="1" t="s">
        <v>508</v>
      </c>
      <c r="W873" s="1" t="str">
        <f>VLOOKUP(Table1[[#This Row],[Obergruppe ATC-Code]],Tabelle3!$A$2:$B$100,2)</f>
        <v>SEXUALHORMONE UND MODULATOREN DES GENITALSYSTEMS</v>
      </c>
      <c r="X873" s="1" t="str">
        <f xml:space="preserve"> LEFT(Table1[[#This Row],[Atc Code]],3)</f>
        <v>G03</v>
      </c>
    </row>
    <row r="874" spans="1:24" ht="14.4">
      <c r="A874" s="14">
        <v>1090</v>
      </c>
      <c r="B874" s="24">
        <v>9252341</v>
      </c>
      <c r="C874" s="1">
        <v>2169347</v>
      </c>
      <c r="D874" s="1" t="s">
        <v>25</v>
      </c>
      <c r="E874" s="36">
        <v>44075</v>
      </c>
      <c r="F874" s="36">
        <v>44377</v>
      </c>
      <c r="G874" s="38">
        <f t="shared" si="13"/>
        <v>302</v>
      </c>
      <c r="H874" s="5">
        <v>44102</v>
      </c>
      <c r="I874" s="5">
        <v>44358</v>
      </c>
      <c r="J874" s="1" t="s">
        <v>41</v>
      </c>
      <c r="K874" s="1" t="s">
        <v>2200</v>
      </c>
      <c r="L874" s="1" t="s">
        <v>2196</v>
      </c>
      <c r="M874" s="1" t="s">
        <v>2197</v>
      </c>
      <c r="N874" s="1" t="s">
        <v>30</v>
      </c>
      <c r="O874" s="1" t="s">
        <v>321</v>
      </c>
      <c r="P874" s="1" t="s">
        <v>326</v>
      </c>
      <c r="Q874" s="1" t="s">
        <v>327</v>
      </c>
      <c r="R874" s="1" t="s">
        <v>942</v>
      </c>
      <c r="S874" s="1" t="s">
        <v>943</v>
      </c>
      <c r="U874" s="1" t="s">
        <v>35</v>
      </c>
      <c r="V874" s="1" t="s">
        <v>508</v>
      </c>
      <c r="W874" s="1" t="str">
        <f>VLOOKUP(Table1[[#This Row],[Obergruppe ATC-Code]],Tabelle3!$A$2:$B$100,2)</f>
        <v>SEXUALHORMONE UND MODULATOREN DES GENITALSYSTEMS</v>
      </c>
      <c r="X874" s="1" t="str">
        <f xml:space="preserve"> LEFT(Table1[[#This Row],[Atc Code]],3)</f>
        <v>G03</v>
      </c>
    </row>
    <row r="875" spans="1:24" ht="14.4">
      <c r="A875" s="14">
        <v>1088</v>
      </c>
      <c r="B875" s="24">
        <v>9252341</v>
      </c>
      <c r="C875" s="1">
        <v>2169347</v>
      </c>
      <c r="D875" s="1" t="s">
        <v>25</v>
      </c>
      <c r="E875" s="36">
        <v>44390</v>
      </c>
      <c r="F875" s="36">
        <v>44487</v>
      </c>
      <c r="G875" s="38">
        <f t="shared" si="13"/>
        <v>97</v>
      </c>
      <c r="H875" s="5">
        <v>44392</v>
      </c>
      <c r="I875" s="5">
        <v>44487</v>
      </c>
      <c r="J875" s="1" t="s">
        <v>26</v>
      </c>
      <c r="K875" s="1" t="s">
        <v>2200</v>
      </c>
      <c r="L875" s="1" t="s">
        <v>2196</v>
      </c>
      <c r="M875" s="1" t="s">
        <v>2197</v>
      </c>
      <c r="N875" s="1" t="s">
        <v>38</v>
      </c>
      <c r="O875" s="1" t="s">
        <v>329</v>
      </c>
      <c r="P875" s="1" t="s">
        <v>2161</v>
      </c>
      <c r="Q875" s="1" t="s">
        <v>2162</v>
      </c>
      <c r="R875" s="1" t="s">
        <v>113</v>
      </c>
      <c r="S875" s="1" t="s">
        <v>2202</v>
      </c>
      <c r="U875" s="1" t="s">
        <v>35</v>
      </c>
      <c r="V875" s="1" t="s">
        <v>508</v>
      </c>
      <c r="W875" s="1" t="str">
        <f>VLOOKUP(Table1[[#This Row],[Obergruppe ATC-Code]],Tabelle3!$A$2:$B$100,2)</f>
        <v>SEXUALHORMONE UND MODULATOREN DES GENITALSYSTEMS</v>
      </c>
      <c r="X875" s="1" t="str">
        <f xml:space="preserve"> LEFT(Table1[[#This Row],[Atc Code]],3)</f>
        <v>G03</v>
      </c>
    </row>
    <row r="876" spans="1:24" ht="14.4">
      <c r="A876" s="14">
        <v>1959</v>
      </c>
      <c r="B876" s="24" t="s">
        <v>2203</v>
      </c>
      <c r="C876" s="1">
        <v>2105173</v>
      </c>
      <c r="D876" s="1" t="s">
        <v>25</v>
      </c>
      <c r="E876" s="36">
        <v>44075</v>
      </c>
      <c r="F876" s="36">
        <v>44500</v>
      </c>
      <c r="G876" s="38">
        <f t="shared" si="13"/>
        <v>425</v>
      </c>
      <c r="H876" s="5">
        <v>44095</v>
      </c>
      <c r="I876" s="5">
        <v>44581</v>
      </c>
      <c r="J876" s="1" t="s">
        <v>41</v>
      </c>
      <c r="K876" s="1" t="s">
        <v>2195</v>
      </c>
      <c r="L876" s="1" t="s">
        <v>2196</v>
      </c>
      <c r="M876" s="1" t="s">
        <v>2197</v>
      </c>
      <c r="N876" s="1" t="s">
        <v>30</v>
      </c>
      <c r="O876" s="1" t="s">
        <v>321</v>
      </c>
      <c r="P876" s="1" t="s">
        <v>326</v>
      </c>
      <c r="Q876" s="1" t="s">
        <v>327</v>
      </c>
      <c r="R876" s="1" t="s">
        <v>48</v>
      </c>
      <c r="S876" s="1"/>
      <c r="U876" s="1" t="s">
        <v>35</v>
      </c>
      <c r="V876" s="1" t="s">
        <v>498</v>
      </c>
      <c r="W876" s="1" t="str">
        <f>VLOOKUP(Table1[[#This Row],[Obergruppe ATC-Code]],Tabelle3!$A$2:$B$100,2)</f>
        <v>SEXUALHORMONE UND MODULATOREN DES GENITALSYSTEMS</v>
      </c>
      <c r="X876" s="1" t="str">
        <f xml:space="preserve"> LEFT(Table1[[#This Row],[Atc Code]],3)</f>
        <v>G03</v>
      </c>
    </row>
    <row r="877" spans="1:24" ht="14.4">
      <c r="A877" s="14">
        <v>59</v>
      </c>
      <c r="B877" s="24">
        <v>413156</v>
      </c>
      <c r="C877" s="1">
        <v>2164953</v>
      </c>
      <c r="D877" s="1" t="s">
        <v>25</v>
      </c>
      <c r="E877" s="36">
        <v>44013</v>
      </c>
      <c r="F877" s="36">
        <v>44104</v>
      </c>
      <c r="G877" s="38">
        <f t="shared" si="13"/>
        <v>91</v>
      </c>
      <c r="H877" s="5">
        <v>44032</v>
      </c>
      <c r="I877" s="5">
        <v>44082</v>
      </c>
      <c r="J877" s="1" t="s">
        <v>41</v>
      </c>
      <c r="K877" s="1" t="s">
        <v>2204</v>
      </c>
      <c r="L877" s="1" t="s">
        <v>2205</v>
      </c>
      <c r="M877" s="1" t="s">
        <v>2206</v>
      </c>
      <c r="N877" s="1" t="s">
        <v>30</v>
      </c>
      <c r="O877" s="1" t="s">
        <v>232</v>
      </c>
      <c r="P877" s="1" t="s">
        <v>233</v>
      </c>
      <c r="Q877" s="1" t="s">
        <v>234</v>
      </c>
      <c r="R877" s="1" t="s">
        <v>26</v>
      </c>
      <c r="S877" s="1"/>
      <c r="T877" s="1" t="s">
        <v>2207</v>
      </c>
      <c r="U877" s="1" t="s">
        <v>35</v>
      </c>
      <c r="V877" s="1" t="s">
        <v>1983</v>
      </c>
      <c r="W877" s="1" t="str">
        <f>VLOOKUP(Table1[[#This Row],[Obergruppe ATC-Code]],Tabelle3!$A$2:$B$100,2)</f>
        <v>SEXUALHORMONE UND MODULATOREN DES GENITALSYSTEMS</v>
      </c>
      <c r="X877" s="1" t="str">
        <f xml:space="preserve"> LEFT(Table1[[#This Row],[Atc Code]],3)</f>
        <v>G03</v>
      </c>
    </row>
    <row r="878" spans="1:24" ht="14.4">
      <c r="A878" s="14">
        <v>58</v>
      </c>
      <c r="B878" s="24">
        <v>413156</v>
      </c>
      <c r="C878" s="1">
        <v>2164953</v>
      </c>
      <c r="D878" s="1" t="s">
        <v>102</v>
      </c>
      <c r="E878" s="36">
        <v>45047</v>
      </c>
      <c r="F878" s="36">
        <v>45291</v>
      </c>
      <c r="G878" s="38">
        <f t="shared" si="13"/>
        <v>244</v>
      </c>
      <c r="H878" s="5">
        <v>45051</v>
      </c>
      <c r="I878" s="5">
        <v>45205</v>
      </c>
      <c r="J878" s="1" t="s">
        <v>26</v>
      </c>
      <c r="K878" s="1" t="s">
        <v>2204</v>
      </c>
      <c r="L878" s="1" t="s">
        <v>2205</v>
      </c>
      <c r="M878" s="1" t="s">
        <v>2206</v>
      </c>
      <c r="N878" s="1" t="s">
        <v>30</v>
      </c>
      <c r="O878" s="1" t="s">
        <v>311</v>
      </c>
      <c r="Q878" s="1" t="s">
        <v>241</v>
      </c>
      <c r="R878" s="1" t="s">
        <v>26</v>
      </c>
      <c r="S878" s="1"/>
      <c r="U878" s="1" t="s">
        <v>130</v>
      </c>
      <c r="V878" s="1" t="s">
        <v>1983</v>
      </c>
      <c r="W878" s="1" t="str">
        <f>VLOOKUP(Table1[[#This Row],[Obergruppe ATC-Code]],Tabelle3!$A$2:$B$100,2)</f>
        <v>SEXUALHORMONE UND MODULATOREN DES GENITALSYSTEMS</v>
      </c>
      <c r="X878" s="1" t="str">
        <f xml:space="preserve"> LEFT(Table1[[#This Row],[Atc Code]],3)</f>
        <v>G03</v>
      </c>
    </row>
    <row r="879" spans="1:24" ht="14.4">
      <c r="A879" s="14">
        <v>1792</v>
      </c>
      <c r="B879" s="24" t="s">
        <v>2208</v>
      </c>
      <c r="C879" s="1">
        <v>2151411</v>
      </c>
      <c r="D879" s="1" t="s">
        <v>25</v>
      </c>
      <c r="E879" s="36">
        <v>44547</v>
      </c>
      <c r="F879" s="36">
        <v>44593</v>
      </c>
      <c r="G879" s="38">
        <f t="shared" si="13"/>
        <v>46</v>
      </c>
      <c r="H879" s="5">
        <v>44547</v>
      </c>
      <c r="I879" s="5">
        <v>44593</v>
      </c>
      <c r="J879" s="1" t="s">
        <v>26</v>
      </c>
      <c r="K879" s="1" t="s">
        <v>2209</v>
      </c>
      <c r="L879" s="1" t="s">
        <v>2210</v>
      </c>
      <c r="M879" s="1" t="s">
        <v>2211</v>
      </c>
      <c r="N879" s="1" t="s">
        <v>38</v>
      </c>
      <c r="O879" s="1" t="s">
        <v>52</v>
      </c>
      <c r="P879" s="1" t="s">
        <v>53</v>
      </c>
      <c r="Q879" s="1" t="s">
        <v>54</v>
      </c>
      <c r="R879" s="1" t="s">
        <v>26</v>
      </c>
      <c r="S879" s="1"/>
      <c r="U879" s="1" t="s">
        <v>35</v>
      </c>
      <c r="V879" s="1" t="s">
        <v>99</v>
      </c>
      <c r="W879" s="1" t="str">
        <f>VLOOKUP(Table1[[#This Row],[Obergruppe ATC-Code]],Tabelle3!$A$2:$B$100,2)</f>
        <v>SEXUALHORMONE UND MODULATOREN DES GENITALSYSTEMS</v>
      </c>
      <c r="X879" s="1" t="str">
        <f xml:space="preserve"> LEFT(Table1[[#This Row],[Atc Code]],3)</f>
        <v>G03</v>
      </c>
    </row>
    <row r="880" spans="1:24" ht="14.4">
      <c r="A880" s="14">
        <v>316</v>
      </c>
      <c r="B880" s="24">
        <v>2021377</v>
      </c>
      <c r="C880" s="1">
        <v>2100328</v>
      </c>
      <c r="D880" s="1" t="s">
        <v>25</v>
      </c>
      <c r="E880" s="36">
        <v>44317</v>
      </c>
      <c r="F880" s="36">
        <v>44389</v>
      </c>
      <c r="G880" s="38">
        <f t="shared" si="13"/>
        <v>72</v>
      </c>
      <c r="H880" s="5">
        <v>44323</v>
      </c>
      <c r="I880" s="5">
        <v>44389</v>
      </c>
      <c r="J880" s="1" t="s">
        <v>41</v>
      </c>
      <c r="K880" s="1" t="s">
        <v>2212</v>
      </c>
      <c r="L880" s="1" t="s">
        <v>2213</v>
      </c>
      <c r="M880" s="1" t="s">
        <v>2214</v>
      </c>
      <c r="N880" s="1" t="s">
        <v>38</v>
      </c>
      <c r="O880" s="1" t="s">
        <v>818</v>
      </c>
      <c r="P880" s="1">
        <v>498993083800</v>
      </c>
      <c r="Q880" s="1" t="s">
        <v>2215</v>
      </c>
      <c r="R880" s="1" t="s">
        <v>26</v>
      </c>
      <c r="S880" s="1"/>
      <c r="T880" s="1" t="s">
        <v>2216</v>
      </c>
      <c r="U880" s="1" t="s">
        <v>57</v>
      </c>
      <c r="V880" s="1" t="s">
        <v>2113</v>
      </c>
      <c r="W880" s="1" t="str">
        <f>VLOOKUP(Table1[[#This Row],[Obergruppe ATC-Code]],Tabelle3!$A$2:$B$100,2)</f>
        <v>SEXUALHORMONE UND MODULATOREN DES GENITALSYSTEMS</v>
      </c>
      <c r="X880" s="1" t="str">
        <f xml:space="preserve"> LEFT(Table1[[#This Row],[Atc Code]],3)</f>
        <v>G03</v>
      </c>
    </row>
    <row r="881" spans="1:24" ht="14.4">
      <c r="A881" s="14">
        <v>317</v>
      </c>
      <c r="B881" s="24">
        <v>2021377</v>
      </c>
      <c r="C881" s="1">
        <v>2100328</v>
      </c>
      <c r="D881" s="1" t="s">
        <v>25</v>
      </c>
      <c r="E881" s="36">
        <v>44317</v>
      </c>
      <c r="F881" s="36">
        <v>44389</v>
      </c>
      <c r="G881" s="38">
        <f t="shared" si="13"/>
        <v>72</v>
      </c>
      <c r="H881" s="5">
        <v>44334</v>
      </c>
      <c r="I881" s="5">
        <v>44389</v>
      </c>
      <c r="J881" s="1" t="s">
        <v>41</v>
      </c>
      <c r="K881" s="1" t="s">
        <v>2212</v>
      </c>
      <c r="L881" s="1" t="s">
        <v>2213</v>
      </c>
      <c r="M881" s="1" t="s">
        <v>2214</v>
      </c>
      <c r="N881" s="1" t="s">
        <v>38</v>
      </c>
      <c r="O881" s="1" t="s">
        <v>818</v>
      </c>
      <c r="P881" s="1">
        <v>498993083800</v>
      </c>
      <c r="Q881" s="1" t="s">
        <v>2215</v>
      </c>
      <c r="R881" s="1" t="s">
        <v>26</v>
      </c>
      <c r="S881" s="1"/>
      <c r="T881" s="1" t="s">
        <v>2216</v>
      </c>
      <c r="U881" s="1" t="s">
        <v>57</v>
      </c>
      <c r="V881" s="1" t="s">
        <v>2113</v>
      </c>
      <c r="W881" s="1" t="str">
        <f>VLOOKUP(Table1[[#This Row],[Obergruppe ATC-Code]],Tabelle3!$A$2:$B$100,2)</f>
        <v>SEXUALHORMONE UND MODULATOREN DES GENITALSYSTEMS</v>
      </c>
      <c r="X881" s="1" t="str">
        <f xml:space="preserve"> LEFT(Table1[[#This Row],[Atc Code]],3)</f>
        <v>G03</v>
      </c>
    </row>
    <row r="882" spans="1:24" ht="14.4">
      <c r="A882" s="14">
        <v>331</v>
      </c>
      <c r="B882" s="24">
        <v>2021377</v>
      </c>
      <c r="C882" s="1">
        <v>2100328</v>
      </c>
      <c r="D882" s="1" t="s">
        <v>25</v>
      </c>
      <c r="E882" s="36">
        <v>44377</v>
      </c>
      <c r="F882" s="36">
        <v>44391</v>
      </c>
      <c r="G882" s="38">
        <f t="shared" si="13"/>
        <v>14</v>
      </c>
      <c r="H882" s="5">
        <v>44377</v>
      </c>
      <c r="I882" s="5">
        <v>44391</v>
      </c>
      <c r="J882" s="1" t="s">
        <v>26</v>
      </c>
      <c r="K882" s="1" t="s">
        <v>2212</v>
      </c>
      <c r="L882" s="1" t="s">
        <v>2213</v>
      </c>
      <c r="M882" s="1" t="s">
        <v>2214</v>
      </c>
      <c r="N882" s="1" t="s">
        <v>38</v>
      </c>
      <c r="O882" s="1" t="s">
        <v>818</v>
      </c>
      <c r="P882" s="1" t="s">
        <v>2217</v>
      </c>
      <c r="Q882" s="1" t="s">
        <v>1047</v>
      </c>
      <c r="R882" s="1" t="s">
        <v>113</v>
      </c>
      <c r="S882" s="1" t="s">
        <v>2218</v>
      </c>
      <c r="U882" s="1" t="s">
        <v>130</v>
      </c>
      <c r="V882" s="1" t="s">
        <v>2113</v>
      </c>
      <c r="W882" s="1" t="str">
        <f>VLOOKUP(Table1[[#This Row],[Obergruppe ATC-Code]],Tabelle3!$A$2:$B$100,2)</f>
        <v>SEXUALHORMONE UND MODULATOREN DES GENITALSYSTEMS</v>
      </c>
      <c r="X882" s="1" t="str">
        <f xml:space="preserve"> LEFT(Table1[[#This Row],[Atc Code]],3)</f>
        <v>G03</v>
      </c>
    </row>
    <row r="883" spans="1:24" ht="14.4">
      <c r="A883" s="14">
        <v>330</v>
      </c>
      <c r="B883" s="24">
        <v>2021377</v>
      </c>
      <c r="C883" s="1">
        <v>2100328</v>
      </c>
      <c r="D883" s="1" t="s">
        <v>25</v>
      </c>
      <c r="E883" s="36">
        <v>44473</v>
      </c>
      <c r="F883" s="36">
        <v>44496</v>
      </c>
      <c r="G883" s="38">
        <f t="shared" si="13"/>
        <v>23</v>
      </c>
      <c r="H883" s="5">
        <v>44477</v>
      </c>
      <c r="I883" s="5">
        <v>44496</v>
      </c>
      <c r="J883" s="1" t="s">
        <v>26</v>
      </c>
      <c r="K883" s="1" t="s">
        <v>2212</v>
      </c>
      <c r="L883" s="1" t="s">
        <v>2213</v>
      </c>
      <c r="M883" s="1" t="s">
        <v>2214</v>
      </c>
      <c r="N883" s="1" t="s">
        <v>38</v>
      </c>
      <c r="O883" s="1" t="s">
        <v>818</v>
      </c>
      <c r="P883" s="1" t="s">
        <v>2217</v>
      </c>
      <c r="Q883" s="1" t="s">
        <v>2219</v>
      </c>
      <c r="R883" s="1" t="s">
        <v>113</v>
      </c>
      <c r="S883" s="1"/>
      <c r="U883" s="1" t="s">
        <v>130</v>
      </c>
      <c r="V883" s="1" t="s">
        <v>2113</v>
      </c>
      <c r="W883" s="1" t="str">
        <f>VLOOKUP(Table1[[#This Row],[Obergruppe ATC-Code]],Tabelle3!$A$2:$B$100,2)</f>
        <v>SEXUALHORMONE UND MODULATOREN DES GENITALSYSTEMS</v>
      </c>
      <c r="X883" s="1" t="str">
        <f xml:space="preserve"> LEFT(Table1[[#This Row],[Atc Code]],3)</f>
        <v>G03</v>
      </c>
    </row>
    <row r="884" spans="1:24" ht="14.4">
      <c r="A884" s="14">
        <v>329</v>
      </c>
      <c r="B884" s="24">
        <v>2021377</v>
      </c>
      <c r="C884" s="1">
        <v>2100328</v>
      </c>
      <c r="D884" s="1" t="s">
        <v>25</v>
      </c>
      <c r="E884" s="36">
        <v>44515</v>
      </c>
      <c r="F884" s="36">
        <v>44539</v>
      </c>
      <c r="G884" s="38">
        <f t="shared" si="13"/>
        <v>24</v>
      </c>
      <c r="H884" s="5">
        <v>44510</v>
      </c>
      <c r="I884" s="5">
        <v>44539</v>
      </c>
      <c r="J884" s="1" t="s">
        <v>26</v>
      </c>
      <c r="K884" s="1" t="s">
        <v>2212</v>
      </c>
      <c r="L884" s="1" t="s">
        <v>2213</v>
      </c>
      <c r="M884" s="1" t="s">
        <v>2214</v>
      </c>
      <c r="N884" s="1" t="s">
        <v>38</v>
      </c>
      <c r="O884" s="1" t="s">
        <v>818</v>
      </c>
      <c r="P884" s="1" t="s">
        <v>2217</v>
      </c>
      <c r="Q884" s="1" t="s">
        <v>1047</v>
      </c>
      <c r="R884" s="1" t="s">
        <v>113</v>
      </c>
      <c r="S884" s="1"/>
      <c r="U884" s="1" t="s">
        <v>130</v>
      </c>
      <c r="V884" s="1" t="s">
        <v>2113</v>
      </c>
      <c r="W884" s="1" t="str">
        <f>VLOOKUP(Table1[[#This Row],[Obergruppe ATC-Code]],Tabelle3!$A$2:$B$100,2)</f>
        <v>SEXUALHORMONE UND MODULATOREN DES GENITALSYSTEMS</v>
      </c>
      <c r="X884" s="1" t="str">
        <f xml:space="preserve"> LEFT(Table1[[#This Row],[Atc Code]],3)</f>
        <v>G03</v>
      </c>
    </row>
    <row r="885" spans="1:24" ht="14.4">
      <c r="A885" s="14">
        <v>401</v>
      </c>
      <c r="B885" s="24">
        <v>2407970</v>
      </c>
      <c r="C885" s="1">
        <v>2101546</v>
      </c>
      <c r="D885" s="1" t="s">
        <v>25</v>
      </c>
      <c r="E885" s="36">
        <v>44543</v>
      </c>
      <c r="F885" s="36">
        <v>44585</v>
      </c>
      <c r="G885" s="38">
        <f t="shared" si="13"/>
        <v>42</v>
      </c>
      <c r="H885" s="5">
        <v>44537</v>
      </c>
      <c r="I885" s="5">
        <v>44585</v>
      </c>
      <c r="J885" s="1" t="s">
        <v>26</v>
      </c>
      <c r="K885" s="1" t="s">
        <v>2220</v>
      </c>
      <c r="L885" s="1" t="s">
        <v>2213</v>
      </c>
      <c r="M885" s="1" t="s">
        <v>2214</v>
      </c>
      <c r="N885" s="1" t="s">
        <v>38</v>
      </c>
      <c r="O885" s="1" t="s">
        <v>818</v>
      </c>
      <c r="P885" s="1" t="s">
        <v>2217</v>
      </c>
      <c r="Q885" s="1" t="s">
        <v>1047</v>
      </c>
      <c r="R885" s="1" t="s">
        <v>113</v>
      </c>
      <c r="S885" s="1"/>
      <c r="U885" s="1" t="s">
        <v>130</v>
      </c>
      <c r="V885" s="1" t="s">
        <v>2118</v>
      </c>
      <c r="W885" s="1" t="str">
        <f>VLOOKUP(Table1[[#This Row],[Obergruppe ATC-Code]],Tabelle3!$A$2:$B$100,2)</f>
        <v>SEXUALHORMONE UND MODULATOREN DES GENITALSYSTEMS</v>
      </c>
      <c r="X885" s="1" t="str">
        <f xml:space="preserve"> LEFT(Table1[[#This Row],[Atc Code]],3)</f>
        <v>G03</v>
      </c>
    </row>
    <row r="886" spans="1:24" ht="14.4">
      <c r="A886" s="14">
        <v>400</v>
      </c>
      <c r="B886" s="24">
        <v>2407970</v>
      </c>
      <c r="C886" s="1">
        <v>2101546</v>
      </c>
      <c r="D886" s="1" t="s">
        <v>25</v>
      </c>
      <c r="E886" s="36">
        <v>44636</v>
      </c>
      <c r="F886" s="36">
        <v>44671</v>
      </c>
      <c r="G886" s="38">
        <f t="shared" si="13"/>
        <v>35</v>
      </c>
      <c r="H886" s="5">
        <v>44592</v>
      </c>
      <c r="I886" s="5">
        <v>44671</v>
      </c>
      <c r="J886" s="1" t="s">
        <v>26</v>
      </c>
      <c r="K886" s="1" t="s">
        <v>2220</v>
      </c>
      <c r="L886" s="1" t="s">
        <v>2213</v>
      </c>
      <c r="M886" s="1" t="s">
        <v>2214</v>
      </c>
      <c r="N886" s="1" t="s">
        <v>38</v>
      </c>
      <c r="O886" s="1" t="s">
        <v>818</v>
      </c>
      <c r="P886" s="1" t="s">
        <v>2217</v>
      </c>
      <c r="Q886" s="1" t="s">
        <v>1047</v>
      </c>
      <c r="R886" s="1" t="s">
        <v>113</v>
      </c>
      <c r="S886" s="1"/>
      <c r="U886" s="1" t="s">
        <v>130</v>
      </c>
      <c r="V886" s="1" t="s">
        <v>2118</v>
      </c>
      <c r="W886" s="1" t="str">
        <f>VLOOKUP(Table1[[#This Row],[Obergruppe ATC-Code]],Tabelle3!$A$2:$B$100,2)</f>
        <v>SEXUALHORMONE UND MODULATOREN DES GENITALSYSTEMS</v>
      </c>
      <c r="X886" s="1" t="str">
        <f xml:space="preserve"> LEFT(Table1[[#This Row],[Atc Code]],3)</f>
        <v>G03</v>
      </c>
    </row>
    <row r="887" spans="1:24" ht="14.4">
      <c r="A887" s="14">
        <v>319</v>
      </c>
      <c r="B887" s="24">
        <v>2021377</v>
      </c>
      <c r="C887" s="1">
        <v>2100328</v>
      </c>
      <c r="D887" s="1" t="s">
        <v>25</v>
      </c>
      <c r="E887" s="36">
        <v>44677</v>
      </c>
      <c r="F887" s="36">
        <v>44690</v>
      </c>
      <c r="G887" s="38">
        <f t="shared" si="13"/>
        <v>13</v>
      </c>
      <c r="H887" s="5">
        <v>44671</v>
      </c>
      <c r="I887" s="5">
        <v>44690</v>
      </c>
      <c r="J887" s="1" t="s">
        <v>26</v>
      </c>
      <c r="K887" s="1" t="s">
        <v>2212</v>
      </c>
      <c r="L887" s="1" t="s">
        <v>2213</v>
      </c>
      <c r="M887" s="1" t="s">
        <v>2214</v>
      </c>
      <c r="N887" s="1" t="s">
        <v>38</v>
      </c>
      <c r="O887" s="1" t="s">
        <v>818</v>
      </c>
      <c r="P887" s="1" t="s">
        <v>1048</v>
      </c>
      <c r="Q887" s="1" t="s">
        <v>1047</v>
      </c>
      <c r="R887" s="1" t="s">
        <v>113</v>
      </c>
      <c r="S887" s="1"/>
      <c r="T887" s="1" t="s">
        <v>2221</v>
      </c>
      <c r="U887" s="1" t="s">
        <v>130</v>
      </c>
      <c r="V887" s="1" t="s">
        <v>2113</v>
      </c>
      <c r="W887" s="1" t="str">
        <f>VLOOKUP(Table1[[#This Row],[Obergruppe ATC-Code]],Tabelle3!$A$2:$B$100,2)</f>
        <v>SEXUALHORMONE UND MODULATOREN DES GENITALSYSTEMS</v>
      </c>
      <c r="X887" s="1" t="str">
        <f xml:space="preserve"> LEFT(Table1[[#This Row],[Atc Code]],3)</f>
        <v>G03</v>
      </c>
    </row>
    <row r="888" spans="1:24" ht="14.4">
      <c r="A888" s="14">
        <v>328</v>
      </c>
      <c r="B888" s="24">
        <v>2021377</v>
      </c>
      <c r="C888" s="1">
        <v>2100328</v>
      </c>
      <c r="D888" s="1" t="s">
        <v>25</v>
      </c>
      <c r="E888" s="36">
        <v>44712</v>
      </c>
      <c r="F888" s="36">
        <v>44734</v>
      </c>
      <c r="G888" s="38">
        <f t="shared" si="13"/>
        <v>22</v>
      </c>
      <c r="H888" s="5">
        <v>44712</v>
      </c>
      <c r="I888" s="5">
        <v>44734</v>
      </c>
      <c r="J888" s="1" t="s">
        <v>26</v>
      </c>
      <c r="K888" s="1" t="s">
        <v>2212</v>
      </c>
      <c r="L888" s="1" t="s">
        <v>2213</v>
      </c>
      <c r="M888" s="1" t="s">
        <v>2214</v>
      </c>
      <c r="N888" s="1" t="s">
        <v>38</v>
      </c>
      <c r="O888" s="1" t="s">
        <v>818</v>
      </c>
      <c r="P888" s="1" t="s">
        <v>2222</v>
      </c>
      <c r="Q888" s="1" t="s">
        <v>1047</v>
      </c>
      <c r="R888" s="1" t="s">
        <v>113</v>
      </c>
      <c r="S888" s="1"/>
      <c r="U888" s="1" t="s">
        <v>130</v>
      </c>
      <c r="V888" s="1" t="s">
        <v>2113</v>
      </c>
      <c r="W888" s="1" t="str">
        <f>VLOOKUP(Table1[[#This Row],[Obergruppe ATC-Code]],Tabelle3!$A$2:$B$100,2)</f>
        <v>SEXUALHORMONE UND MODULATOREN DES GENITALSYSTEMS</v>
      </c>
      <c r="X888" s="1" t="str">
        <f xml:space="preserve"> LEFT(Table1[[#This Row],[Atc Code]],3)</f>
        <v>G03</v>
      </c>
    </row>
    <row r="889" spans="1:24" ht="14.4">
      <c r="A889" s="14">
        <v>327</v>
      </c>
      <c r="B889" s="24">
        <v>2021377</v>
      </c>
      <c r="C889" s="1">
        <v>2100328</v>
      </c>
      <c r="D889" s="1" t="s">
        <v>25</v>
      </c>
      <c r="E889" s="36">
        <v>44750</v>
      </c>
      <c r="F889" s="36">
        <v>44774</v>
      </c>
      <c r="G889" s="38">
        <f t="shared" si="13"/>
        <v>24</v>
      </c>
      <c r="H889" s="5">
        <v>44750</v>
      </c>
      <c r="I889" s="5">
        <v>44774</v>
      </c>
      <c r="J889" s="1" t="s">
        <v>26</v>
      </c>
      <c r="K889" s="1" t="s">
        <v>2212</v>
      </c>
      <c r="L889" s="1" t="s">
        <v>2213</v>
      </c>
      <c r="M889" s="1" t="s">
        <v>2214</v>
      </c>
      <c r="N889" s="1" t="s">
        <v>38</v>
      </c>
      <c r="O889" s="1" t="s">
        <v>818</v>
      </c>
      <c r="P889" s="1" t="s">
        <v>2222</v>
      </c>
      <c r="Q889" s="1" t="s">
        <v>1047</v>
      </c>
      <c r="R889" s="1" t="s">
        <v>113</v>
      </c>
      <c r="S889" s="1"/>
      <c r="U889" s="1" t="s">
        <v>130</v>
      </c>
      <c r="V889" s="1" t="s">
        <v>2113</v>
      </c>
      <c r="W889" s="1" t="str">
        <f>VLOOKUP(Table1[[#This Row],[Obergruppe ATC-Code]],Tabelle3!$A$2:$B$100,2)</f>
        <v>SEXUALHORMONE UND MODULATOREN DES GENITALSYSTEMS</v>
      </c>
      <c r="X889" s="1" t="str">
        <f xml:space="preserve"> LEFT(Table1[[#This Row],[Atc Code]],3)</f>
        <v>G03</v>
      </c>
    </row>
    <row r="890" spans="1:24" ht="14.4">
      <c r="A890" s="14">
        <v>326</v>
      </c>
      <c r="B890" s="24">
        <v>2021377</v>
      </c>
      <c r="C890" s="1">
        <v>2100328</v>
      </c>
      <c r="D890" s="1" t="s">
        <v>25</v>
      </c>
      <c r="E890" s="36">
        <v>44800</v>
      </c>
      <c r="F890" s="36">
        <v>44827</v>
      </c>
      <c r="G890" s="38">
        <f t="shared" si="13"/>
        <v>27</v>
      </c>
      <c r="H890" s="5">
        <v>44791</v>
      </c>
      <c r="I890" s="5">
        <v>44830</v>
      </c>
      <c r="J890" s="1" t="s">
        <v>26</v>
      </c>
      <c r="K890" s="1" t="s">
        <v>2212</v>
      </c>
      <c r="L890" s="1" t="s">
        <v>2213</v>
      </c>
      <c r="M890" s="1" t="s">
        <v>2214</v>
      </c>
      <c r="N890" s="1" t="s">
        <v>38</v>
      </c>
      <c r="O890" s="1" t="s">
        <v>818</v>
      </c>
      <c r="P890" s="1" t="s">
        <v>2222</v>
      </c>
      <c r="Q890" s="1" t="s">
        <v>1047</v>
      </c>
      <c r="R890" s="1" t="s">
        <v>113</v>
      </c>
      <c r="S890" s="1"/>
      <c r="U890" s="1" t="s">
        <v>130</v>
      </c>
      <c r="V890" s="1" t="s">
        <v>2113</v>
      </c>
      <c r="W890" s="1" t="str">
        <f>VLOOKUP(Table1[[#This Row],[Obergruppe ATC-Code]],Tabelle3!$A$2:$B$100,2)</f>
        <v>SEXUALHORMONE UND MODULATOREN DES GENITALSYSTEMS</v>
      </c>
      <c r="X890" s="1" t="str">
        <f xml:space="preserve"> LEFT(Table1[[#This Row],[Atc Code]],3)</f>
        <v>G03</v>
      </c>
    </row>
    <row r="891" spans="1:24" ht="14.4">
      <c r="A891" s="14">
        <v>325</v>
      </c>
      <c r="B891" s="24">
        <v>2021377</v>
      </c>
      <c r="C891" s="1">
        <v>2100328</v>
      </c>
      <c r="D891" s="1" t="s">
        <v>25</v>
      </c>
      <c r="E891" s="36">
        <v>44832</v>
      </c>
      <c r="F891" s="36">
        <v>44859</v>
      </c>
      <c r="G891" s="38">
        <f t="shared" si="13"/>
        <v>27</v>
      </c>
      <c r="H891" s="5">
        <v>44831</v>
      </c>
      <c r="I891" s="5">
        <v>44859</v>
      </c>
      <c r="J891" s="1" t="s">
        <v>26</v>
      </c>
      <c r="K891" s="1" t="s">
        <v>2212</v>
      </c>
      <c r="L891" s="1" t="s">
        <v>2213</v>
      </c>
      <c r="M891" s="1" t="s">
        <v>2214</v>
      </c>
      <c r="N891" s="1" t="s">
        <v>38</v>
      </c>
      <c r="O891" s="1" t="s">
        <v>818</v>
      </c>
      <c r="P891" s="1" t="s">
        <v>2222</v>
      </c>
      <c r="Q891" s="1" t="s">
        <v>1047</v>
      </c>
      <c r="R891" s="1" t="s">
        <v>113</v>
      </c>
      <c r="S891" s="1"/>
      <c r="U891" s="1" t="s">
        <v>130</v>
      </c>
      <c r="V891" s="1" t="s">
        <v>2113</v>
      </c>
      <c r="W891" s="1" t="str">
        <f>VLOOKUP(Table1[[#This Row],[Obergruppe ATC-Code]],Tabelle3!$A$2:$B$100,2)</f>
        <v>SEXUALHORMONE UND MODULATOREN DES GENITALSYSTEMS</v>
      </c>
      <c r="X891" s="1" t="str">
        <f xml:space="preserve"> LEFT(Table1[[#This Row],[Atc Code]],3)</f>
        <v>G03</v>
      </c>
    </row>
    <row r="892" spans="1:24" ht="14.4">
      <c r="A892" s="14">
        <v>318</v>
      </c>
      <c r="B892" s="24">
        <v>2021377</v>
      </c>
      <c r="C892" s="1">
        <v>2100328</v>
      </c>
      <c r="D892" s="1" t="s">
        <v>25</v>
      </c>
      <c r="E892" s="36">
        <v>44861</v>
      </c>
      <c r="F892" s="36">
        <v>44911</v>
      </c>
      <c r="G892" s="38">
        <f t="shared" si="13"/>
        <v>50</v>
      </c>
      <c r="H892" s="5">
        <v>44861</v>
      </c>
      <c r="I892" s="5">
        <v>44911</v>
      </c>
      <c r="J892" s="1" t="s">
        <v>26</v>
      </c>
      <c r="K892" s="1" t="s">
        <v>2212</v>
      </c>
      <c r="L892" s="1" t="s">
        <v>2213</v>
      </c>
      <c r="M892" s="1" t="s">
        <v>2214</v>
      </c>
      <c r="N892" s="1" t="s">
        <v>38</v>
      </c>
      <c r="O892" s="1" t="s">
        <v>818</v>
      </c>
      <c r="P892" s="1" t="s">
        <v>2222</v>
      </c>
      <c r="Q892" s="1" t="s">
        <v>1047</v>
      </c>
      <c r="R892" s="1" t="s">
        <v>113</v>
      </c>
      <c r="S892" s="1"/>
      <c r="T892" s="1" t="s">
        <v>2221</v>
      </c>
      <c r="U892" s="1" t="s">
        <v>130</v>
      </c>
      <c r="V892" s="1" t="s">
        <v>2113</v>
      </c>
      <c r="W892" s="1" t="str">
        <f>VLOOKUP(Table1[[#This Row],[Obergruppe ATC-Code]],Tabelle3!$A$2:$B$100,2)</f>
        <v>SEXUALHORMONE UND MODULATOREN DES GENITALSYSTEMS</v>
      </c>
      <c r="X892" s="1" t="str">
        <f xml:space="preserve"> LEFT(Table1[[#This Row],[Atc Code]],3)</f>
        <v>G03</v>
      </c>
    </row>
    <row r="893" spans="1:24" ht="14.4">
      <c r="A893" s="14">
        <v>324</v>
      </c>
      <c r="B893" s="24">
        <v>2021377</v>
      </c>
      <c r="C893" s="1">
        <v>2100328</v>
      </c>
      <c r="D893" s="1" t="s">
        <v>25</v>
      </c>
      <c r="E893" s="36">
        <v>44915</v>
      </c>
      <c r="F893" s="36">
        <v>44944</v>
      </c>
      <c r="G893" s="38">
        <f t="shared" si="13"/>
        <v>29</v>
      </c>
      <c r="H893" s="5">
        <v>44915</v>
      </c>
      <c r="I893" s="5">
        <v>44944</v>
      </c>
      <c r="J893" s="1" t="s">
        <v>26</v>
      </c>
      <c r="K893" s="1" t="s">
        <v>2212</v>
      </c>
      <c r="L893" s="1" t="s">
        <v>2213</v>
      </c>
      <c r="M893" s="1" t="s">
        <v>2214</v>
      </c>
      <c r="N893" s="1" t="s">
        <v>38</v>
      </c>
      <c r="O893" s="1" t="s">
        <v>818</v>
      </c>
      <c r="P893" s="1" t="s">
        <v>2222</v>
      </c>
      <c r="Q893" s="1" t="s">
        <v>1047</v>
      </c>
      <c r="R893" s="1" t="s">
        <v>113</v>
      </c>
      <c r="S893" s="1"/>
      <c r="U893" s="1" t="s">
        <v>130</v>
      </c>
      <c r="V893" s="1" t="s">
        <v>2113</v>
      </c>
      <c r="W893" s="1" t="str">
        <f>VLOOKUP(Table1[[#This Row],[Obergruppe ATC-Code]],Tabelle3!$A$2:$B$100,2)</f>
        <v>SEXUALHORMONE UND MODULATOREN DES GENITALSYSTEMS</v>
      </c>
      <c r="X893" s="1" t="str">
        <f xml:space="preserve"> LEFT(Table1[[#This Row],[Atc Code]],3)</f>
        <v>G03</v>
      </c>
    </row>
    <row r="894" spans="1:24" ht="14.4">
      <c r="A894" s="14">
        <v>323</v>
      </c>
      <c r="B894" s="24">
        <v>2021377</v>
      </c>
      <c r="C894" s="1">
        <v>2100328</v>
      </c>
      <c r="D894" s="1" t="s">
        <v>25</v>
      </c>
      <c r="E894" s="36">
        <v>44949</v>
      </c>
      <c r="F894" s="36">
        <v>45006</v>
      </c>
      <c r="G894" s="38">
        <f t="shared" si="13"/>
        <v>57</v>
      </c>
      <c r="H894" s="5">
        <v>44949</v>
      </c>
      <c r="I894" s="5">
        <v>45005</v>
      </c>
      <c r="J894" s="1" t="s">
        <v>26</v>
      </c>
      <c r="K894" s="1" t="s">
        <v>2212</v>
      </c>
      <c r="L894" s="1" t="s">
        <v>2213</v>
      </c>
      <c r="M894" s="1" t="s">
        <v>2214</v>
      </c>
      <c r="N894" s="1" t="s">
        <v>38</v>
      </c>
      <c r="O894" s="1" t="s">
        <v>818</v>
      </c>
      <c r="P894" s="1" t="s">
        <v>2222</v>
      </c>
      <c r="Q894" s="1" t="s">
        <v>1047</v>
      </c>
      <c r="R894" s="1" t="s">
        <v>113</v>
      </c>
      <c r="S894" s="1"/>
      <c r="U894" s="1" t="s">
        <v>130</v>
      </c>
      <c r="V894" s="1" t="s">
        <v>2113</v>
      </c>
      <c r="W894" s="1" t="str">
        <f>VLOOKUP(Table1[[#This Row],[Obergruppe ATC-Code]],Tabelle3!$A$2:$B$100,2)</f>
        <v>SEXUALHORMONE UND MODULATOREN DES GENITALSYSTEMS</v>
      </c>
      <c r="X894" s="1" t="str">
        <f xml:space="preserve"> LEFT(Table1[[#This Row],[Atc Code]],3)</f>
        <v>G03</v>
      </c>
    </row>
    <row r="895" spans="1:24" ht="14.4">
      <c r="A895" s="14">
        <v>322</v>
      </c>
      <c r="B895" s="24">
        <v>2021377</v>
      </c>
      <c r="C895" s="1">
        <v>2100328</v>
      </c>
      <c r="D895" s="1" t="s">
        <v>25</v>
      </c>
      <c r="E895" s="36">
        <v>45008</v>
      </c>
      <c r="F895" s="36">
        <v>45062</v>
      </c>
      <c r="G895" s="38">
        <f t="shared" si="13"/>
        <v>54</v>
      </c>
      <c r="H895" s="5">
        <v>45008</v>
      </c>
      <c r="I895" s="5">
        <v>45062</v>
      </c>
      <c r="J895" s="1" t="s">
        <v>26</v>
      </c>
      <c r="K895" s="1" t="s">
        <v>2212</v>
      </c>
      <c r="L895" s="1" t="s">
        <v>2213</v>
      </c>
      <c r="M895" s="1" t="s">
        <v>2214</v>
      </c>
      <c r="N895" s="1" t="s">
        <v>38</v>
      </c>
      <c r="O895" s="1" t="s">
        <v>818</v>
      </c>
      <c r="P895" s="1" t="s">
        <v>1048</v>
      </c>
      <c r="Q895" s="1" t="s">
        <v>1047</v>
      </c>
      <c r="R895" s="1" t="s">
        <v>113</v>
      </c>
      <c r="S895" s="1"/>
      <c r="U895" s="1" t="s">
        <v>130</v>
      </c>
      <c r="V895" s="1" t="s">
        <v>2113</v>
      </c>
      <c r="W895" s="1" t="str">
        <f>VLOOKUP(Table1[[#This Row],[Obergruppe ATC-Code]],Tabelle3!$A$2:$B$100,2)</f>
        <v>SEXUALHORMONE UND MODULATOREN DES GENITALSYSTEMS</v>
      </c>
      <c r="X895" s="1" t="str">
        <f xml:space="preserve"> LEFT(Table1[[#This Row],[Atc Code]],3)</f>
        <v>G03</v>
      </c>
    </row>
    <row r="896" spans="1:24" ht="14.4">
      <c r="A896" s="14">
        <v>321</v>
      </c>
      <c r="B896" s="24">
        <v>2021377</v>
      </c>
      <c r="C896" s="1">
        <v>2100328</v>
      </c>
      <c r="D896" s="1" t="s">
        <v>25</v>
      </c>
      <c r="E896" s="36">
        <v>45069</v>
      </c>
      <c r="F896" s="36">
        <v>45168</v>
      </c>
      <c r="G896" s="38">
        <f t="shared" si="13"/>
        <v>99</v>
      </c>
      <c r="H896" s="5">
        <v>45069</v>
      </c>
      <c r="I896" s="5">
        <v>45168</v>
      </c>
      <c r="J896" s="1" t="s">
        <v>26</v>
      </c>
      <c r="K896" s="1" t="s">
        <v>2212</v>
      </c>
      <c r="L896" s="1" t="s">
        <v>2213</v>
      </c>
      <c r="M896" s="1" t="s">
        <v>2214</v>
      </c>
      <c r="N896" s="1" t="s">
        <v>38</v>
      </c>
      <c r="O896" s="1" t="s">
        <v>818</v>
      </c>
      <c r="P896" s="1" t="s">
        <v>1048</v>
      </c>
      <c r="Q896" s="1" t="s">
        <v>2223</v>
      </c>
      <c r="R896" s="1" t="s">
        <v>113</v>
      </c>
      <c r="S896" s="1"/>
      <c r="U896" s="1" t="s">
        <v>130</v>
      </c>
      <c r="V896" s="1" t="s">
        <v>2113</v>
      </c>
      <c r="W896" s="1" t="str">
        <f>VLOOKUP(Table1[[#This Row],[Obergruppe ATC-Code]],Tabelle3!$A$2:$B$100,2)</f>
        <v>SEXUALHORMONE UND MODULATOREN DES GENITALSYSTEMS</v>
      </c>
      <c r="X896" s="1" t="str">
        <f xml:space="preserve"> LEFT(Table1[[#This Row],[Atc Code]],3)</f>
        <v>G03</v>
      </c>
    </row>
    <row r="897" spans="1:24" ht="14.4">
      <c r="A897" s="14">
        <v>320</v>
      </c>
      <c r="B897" s="24">
        <v>2021377</v>
      </c>
      <c r="C897" s="1">
        <v>2100328</v>
      </c>
      <c r="D897" s="1" t="s">
        <v>175</v>
      </c>
      <c r="E897" s="36">
        <v>45196</v>
      </c>
      <c r="F897" s="36">
        <v>45230</v>
      </c>
      <c r="G897" s="38">
        <f t="shared" si="13"/>
        <v>34</v>
      </c>
      <c r="H897" s="5">
        <v>45196</v>
      </c>
      <c r="I897" s="5">
        <v>45196</v>
      </c>
      <c r="J897" s="1" t="s">
        <v>26</v>
      </c>
      <c r="K897" s="1" t="s">
        <v>2212</v>
      </c>
      <c r="L897" s="1" t="s">
        <v>2213</v>
      </c>
      <c r="M897" s="1" t="s">
        <v>2214</v>
      </c>
      <c r="N897" s="1" t="s">
        <v>38</v>
      </c>
      <c r="O897" s="1" t="s">
        <v>818</v>
      </c>
      <c r="P897" s="1" t="s">
        <v>1048</v>
      </c>
      <c r="Q897" s="1" t="s">
        <v>1047</v>
      </c>
      <c r="R897" s="1" t="s">
        <v>33</v>
      </c>
      <c r="S897" s="1"/>
      <c r="U897" s="1" t="s">
        <v>130</v>
      </c>
      <c r="V897" s="1" t="s">
        <v>2113</v>
      </c>
      <c r="W897" s="1" t="str">
        <f>VLOOKUP(Table1[[#This Row],[Obergruppe ATC-Code]],Tabelle3!$A$2:$B$100,2)</f>
        <v>SEXUALHORMONE UND MODULATOREN DES GENITALSYSTEMS</v>
      </c>
      <c r="X897" s="1" t="str">
        <f xml:space="preserve"> LEFT(Table1[[#This Row],[Atc Code]],3)</f>
        <v>G03</v>
      </c>
    </row>
    <row r="898" spans="1:24" ht="14.4">
      <c r="A898" s="14">
        <v>2415</v>
      </c>
      <c r="B898" s="24" t="s">
        <v>2224</v>
      </c>
      <c r="C898" s="1">
        <v>608977</v>
      </c>
      <c r="D898" s="1" t="s">
        <v>25</v>
      </c>
      <c r="E898" s="36">
        <v>44533</v>
      </c>
      <c r="F898" s="36">
        <v>44609</v>
      </c>
      <c r="G898" s="38">
        <f t="shared" ref="G898:G961" si="14">F898-E898</f>
        <v>76</v>
      </c>
      <c r="H898" s="5">
        <v>44533</v>
      </c>
      <c r="I898" s="5">
        <v>44610</v>
      </c>
      <c r="J898" s="1" t="s">
        <v>26</v>
      </c>
      <c r="K898" s="1" t="s">
        <v>2225</v>
      </c>
      <c r="L898" s="1" t="s">
        <v>2226</v>
      </c>
      <c r="M898" s="1" t="s">
        <v>2197</v>
      </c>
      <c r="N898" s="1" t="s">
        <v>38</v>
      </c>
      <c r="O898" s="1" t="s">
        <v>91</v>
      </c>
      <c r="P898" s="1" t="s">
        <v>92</v>
      </c>
      <c r="Q898" s="1" t="s">
        <v>93</v>
      </c>
      <c r="R898" s="1" t="s">
        <v>113</v>
      </c>
      <c r="S898" s="1"/>
      <c r="U898" s="1" t="s">
        <v>35</v>
      </c>
      <c r="V898" s="1" t="s">
        <v>49</v>
      </c>
      <c r="W898" s="1" t="str">
        <f>VLOOKUP(Table1[[#This Row],[Obergruppe ATC-Code]],Tabelle3!$A$2:$B$100,2)</f>
        <v>SEXUALHORMONE UND MODULATOREN DES GENITALSYSTEMS</v>
      </c>
      <c r="X898" s="1" t="str">
        <f xml:space="preserve"> LEFT(Table1[[#This Row],[Atc Code]],3)</f>
        <v>G03</v>
      </c>
    </row>
    <row r="899" spans="1:24" ht="14.4">
      <c r="A899" s="14">
        <v>2272</v>
      </c>
      <c r="B899" s="24" t="s">
        <v>2227</v>
      </c>
      <c r="C899" s="1">
        <v>2170879</v>
      </c>
      <c r="D899" s="1" t="s">
        <v>25</v>
      </c>
      <c r="E899" s="36">
        <v>44470</v>
      </c>
      <c r="F899" s="36">
        <v>44470</v>
      </c>
      <c r="G899" s="38">
        <f t="shared" si="14"/>
        <v>0</v>
      </c>
      <c r="H899" s="5">
        <v>44407</v>
      </c>
      <c r="I899" s="5">
        <v>44473</v>
      </c>
      <c r="J899" s="1" t="s">
        <v>41</v>
      </c>
      <c r="K899" s="1" t="s">
        <v>2228</v>
      </c>
      <c r="L899" s="1" t="s">
        <v>2229</v>
      </c>
      <c r="M899" s="1" t="s">
        <v>2230</v>
      </c>
      <c r="N899" s="1" t="s">
        <v>38</v>
      </c>
      <c r="O899" s="1" t="s">
        <v>91</v>
      </c>
      <c r="P899" s="1" t="s">
        <v>92</v>
      </c>
      <c r="Q899" s="1" t="s">
        <v>93</v>
      </c>
      <c r="R899" s="1" t="s">
        <v>128</v>
      </c>
      <c r="S899" s="1"/>
      <c r="U899" s="1" t="s">
        <v>130</v>
      </c>
      <c r="V899" s="1" t="s">
        <v>236</v>
      </c>
      <c r="W899" s="1" t="str">
        <f>VLOOKUP(Table1[[#This Row],[Obergruppe ATC-Code]],Tabelle3!$A$2:$B$100,2)</f>
        <v>SEXUALHORMONE UND MODULATOREN DES GENITALSYSTEMS</v>
      </c>
      <c r="X899" s="1" t="str">
        <f xml:space="preserve"> LEFT(Table1[[#This Row],[Atc Code]],3)</f>
        <v>G03</v>
      </c>
    </row>
    <row r="900" spans="1:24" ht="14.4">
      <c r="A900" s="14">
        <v>2270</v>
      </c>
      <c r="B900" s="24" t="s">
        <v>2231</v>
      </c>
      <c r="C900" s="1">
        <v>2170878</v>
      </c>
      <c r="D900" s="1" t="s">
        <v>25</v>
      </c>
      <c r="E900" s="36">
        <v>44470</v>
      </c>
      <c r="F900" s="36">
        <v>44470</v>
      </c>
      <c r="G900" s="38">
        <f t="shared" si="14"/>
        <v>0</v>
      </c>
      <c r="H900" s="5">
        <v>44407</v>
      </c>
      <c r="I900" s="5">
        <v>44473</v>
      </c>
      <c r="J900" s="1" t="s">
        <v>41</v>
      </c>
      <c r="K900" s="1" t="s">
        <v>2232</v>
      </c>
      <c r="L900" s="1" t="s">
        <v>2229</v>
      </c>
      <c r="M900" s="1" t="s">
        <v>2230</v>
      </c>
      <c r="N900" s="1" t="s">
        <v>38</v>
      </c>
      <c r="O900" s="1" t="s">
        <v>91</v>
      </c>
      <c r="P900" s="1" t="s">
        <v>92</v>
      </c>
      <c r="Q900" s="1" t="s">
        <v>93</v>
      </c>
      <c r="R900" s="1" t="s">
        <v>128</v>
      </c>
      <c r="S900" s="1"/>
      <c r="U900" s="1" t="s">
        <v>130</v>
      </c>
      <c r="V900" s="1" t="s">
        <v>236</v>
      </c>
      <c r="W900" s="1" t="str">
        <f>VLOOKUP(Table1[[#This Row],[Obergruppe ATC-Code]],Tabelle3!$A$2:$B$100,2)</f>
        <v>SEXUALHORMONE UND MODULATOREN DES GENITALSYSTEMS</v>
      </c>
      <c r="X900" s="1" t="str">
        <f xml:space="preserve"> LEFT(Table1[[#This Row],[Atc Code]],3)</f>
        <v>G03</v>
      </c>
    </row>
    <row r="901" spans="1:24" ht="14.4">
      <c r="A901" s="14">
        <v>2271</v>
      </c>
      <c r="B901" s="24" t="s">
        <v>2227</v>
      </c>
      <c r="C901" s="1">
        <v>2170879</v>
      </c>
      <c r="D901" s="1" t="s">
        <v>25</v>
      </c>
      <c r="E901" s="36">
        <v>44721</v>
      </c>
      <c r="F901" s="36">
        <v>44844</v>
      </c>
      <c r="G901" s="38">
        <f t="shared" si="14"/>
        <v>123</v>
      </c>
      <c r="H901" s="5">
        <v>44721</v>
      </c>
      <c r="I901" s="5">
        <v>44844</v>
      </c>
      <c r="J901" s="1" t="s">
        <v>41</v>
      </c>
      <c r="K901" s="1" t="s">
        <v>2228</v>
      </c>
      <c r="L901" s="1" t="s">
        <v>2229</v>
      </c>
      <c r="M901" s="1" t="s">
        <v>2230</v>
      </c>
      <c r="N901" s="1" t="s">
        <v>38</v>
      </c>
      <c r="O901" s="1" t="s">
        <v>91</v>
      </c>
      <c r="P901" s="1" t="s">
        <v>92</v>
      </c>
      <c r="Q901" s="1" t="s">
        <v>93</v>
      </c>
      <c r="R901" s="1" t="s">
        <v>128</v>
      </c>
      <c r="S901" s="1"/>
      <c r="U901" s="1" t="s">
        <v>130</v>
      </c>
      <c r="V901" s="1" t="s">
        <v>236</v>
      </c>
      <c r="W901" s="1" t="str">
        <f>VLOOKUP(Table1[[#This Row],[Obergruppe ATC-Code]],Tabelle3!$A$2:$B$100,2)</f>
        <v>SEXUALHORMONE UND MODULATOREN DES GENITALSYSTEMS</v>
      </c>
      <c r="X901" s="1" t="str">
        <f xml:space="preserve"> LEFT(Table1[[#This Row],[Atc Code]],3)</f>
        <v>G03</v>
      </c>
    </row>
    <row r="902" spans="1:24" ht="14.4">
      <c r="A902" s="14">
        <v>2269</v>
      </c>
      <c r="B902" s="24" t="s">
        <v>2231</v>
      </c>
      <c r="C902" s="1">
        <v>2170878</v>
      </c>
      <c r="D902" s="1" t="s">
        <v>25</v>
      </c>
      <c r="E902" s="36">
        <v>44721</v>
      </c>
      <c r="F902" s="36">
        <v>44844</v>
      </c>
      <c r="G902" s="38">
        <f t="shared" si="14"/>
        <v>123</v>
      </c>
      <c r="H902" s="5">
        <v>44721</v>
      </c>
      <c r="I902" s="5">
        <v>44844</v>
      </c>
      <c r="J902" s="1" t="s">
        <v>41</v>
      </c>
      <c r="K902" s="1" t="s">
        <v>2232</v>
      </c>
      <c r="L902" s="1" t="s">
        <v>2229</v>
      </c>
      <c r="M902" s="1" t="s">
        <v>2230</v>
      </c>
      <c r="N902" s="1" t="s">
        <v>38</v>
      </c>
      <c r="O902" s="1" t="s">
        <v>91</v>
      </c>
      <c r="P902" s="1" t="s">
        <v>92</v>
      </c>
      <c r="Q902" s="1" t="s">
        <v>93</v>
      </c>
      <c r="R902" s="1" t="s">
        <v>128</v>
      </c>
      <c r="S902" s="1"/>
      <c r="U902" s="1" t="s">
        <v>130</v>
      </c>
      <c r="V902" s="1" t="s">
        <v>236</v>
      </c>
      <c r="W902" s="1" t="str">
        <f>VLOOKUP(Table1[[#This Row],[Obergruppe ATC-Code]],Tabelle3!$A$2:$B$100,2)</f>
        <v>SEXUALHORMONE UND MODULATOREN DES GENITALSYSTEMS</v>
      </c>
      <c r="X902" s="1" t="str">
        <f xml:space="preserve"> LEFT(Table1[[#This Row],[Atc Code]],3)</f>
        <v>G03</v>
      </c>
    </row>
    <row r="903" spans="1:24" ht="14.4">
      <c r="A903" s="14">
        <v>1905</v>
      </c>
      <c r="B903" s="24" t="s">
        <v>2233</v>
      </c>
      <c r="C903" s="1">
        <v>2157222</v>
      </c>
      <c r="D903" s="1" t="s">
        <v>25</v>
      </c>
      <c r="E903" s="36">
        <v>44105</v>
      </c>
      <c r="F903" s="36">
        <v>44447</v>
      </c>
      <c r="G903" s="38">
        <f t="shared" si="14"/>
        <v>342</v>
      </c>
      <c r="H903" s="5">
        <v>44110</v>
      </c>
      <c r="I903" s="5">
        <v>44441</v>
      </c>
      <c r="J903" s="1" t="s">
        <v>26</v>
      </c>
      <c r="K903" s="1" t="s">
        <v>2234</v>
      </c>
      <c r="L903" s="1" t="s">
        <v>2235</v>
      </c>
      <c r="M903" s="1" t="s">
        <v>2236</v>
      </c>
      <c r="N903" s="1" t="s">
        <v>38</v>
      </c>
      <c r="O903" s="1" t="s">
        <v>2129</v>
      </c>
      <c r="P903" s="1" t="s">
        <v>2173</v>
      </c>
      <c r="Q903" s="1" t="s">
        <v>2131</v>
      </c>
      <c r="R903" s="1" t="s">
        <v>33</v>
      </c>
      <c r="S903" s="1"/>
      <c r="T903" s="1" t="s">
        <v>2237</v>
      </c>
      <c r="U903" s="1" t="s">
        <v>57</v>
      </c>
      <c r="V903" s="1" t="s">
        <v>99</v>
      </c>
      <c r="W903" s="1" t="str">
        <f>VLOOKUP(Table1[[#This Row],[Obergruppe ATC-Code]],Tabelle3!$A$2:$B$100,2)</f>
        <v>SEXUALHORMONE UND MODULATOREN DES GENITALSYSTEMS</v>
      </c>
      <c r="X903" s="1" t="str">
        <f xml:space="preserve"> LEFT(Table1[[#This Row],[Atc Code]],3)</f>
        <v>G03</v>
      </c>
    </row>
    <row r="904" spans="1:24" ht="14.4">
      <c r="A904" s="14">
        <v>716</v>
      </c>
      <c r="B904" s="24">
        <v>4868304</v>
      </c>
      <c r="C904" s="1">
        <v>2141051</v>
      </c>
      <c r="D904" s="1" t="s">
        <v>25</v>
      </c>
      <c r="E904" s="36">
        <v>44322</v>
      </c>
      <c r="F904" s="36">
        <v>44589</v>
      </c>
      <c r="G904" s="38">
        <f t="shared" si="14"/>
        <v>267</v>
      </c>
      <c r="H904" s="5">
        <v>44405</v>
      </c>
      <c r="I904" s="5">
        <v>44599</v>
      </c>
      <c r="J904" s="1" t="s">
        <v>41</v>
      </c>
      <c r="K904" s="1" t="s">
        <v>2238</v>
      </c>
      <c r="L904" s="1" t="s">
        <v>2239</v>
      </c>
      <c r="M904" s="1" t="s">
        <v>2240</v>
      </c>
      <c r="N904" s="1" t="s">
        <v>38</v>
      </c>
      <c r="O904" s="1" t="s">
        <v>2129</v>
      </c>
      <c r="P904" s="1" t="s">
        <v>2173</v>
      </c>
      <c r="Q904" s="1" t="s">
        <v>2131</v>
      </c>
      <c r="R904" s="1" t="s">
        <v>128</v>
      </c>
      <c r="S904" s="1"/>
      <c r="U904" s="1" t="s">
        <v>35</v>
      </c>
      <c r="V904" s="1" t="s">
        <v>2241</v>
      </c>
      <c r="W904" s="1" t="str">
        <f>VLOOKUP(Table1[[#This Row],[Obergruppe ATC-Code]],Tabelle3!$A$2:$B$100,2)</f>
        <v>SEXUALHORMONE UND MODULATOREN DES GENITALSYSTEMS</v>
      </c>
      <c r="X904" s="1" t="str">
        <f xml:space="preserve"> LEFT(Table1[[#This Row],[Atc Code]],3)</f>
        <v>G03</v>
      </c>
    </row>
    <row r="905" spans="1:24" ht="14.4">
      <c r="A905" s="14">
        <v>715</v>
      </c>
      <c r="B905" s="24">
        <v>4868296</v>
      </c>
      <c r="C905" s="1">
        <v>2141051</v>
      </c>
      <c r="D905" s="1" t="s">
        <v>25</v>
      </c>
      <c r="E905" s="36">
        <v>44341</v>
      </c>
      <c r="F905" s="36">
        <v>44586</v>
      </c>
      <c r="G905" s="38">
        <f t="shared" si="14"/>
        <v>245</v>
      </c>
      <c r="H905" s="5">
        <v>44404</v>
      </c>
      <c r="I905" s="5">
        <v>44599</v>
      </c>
      <c r="J905" s="1" t="s">
        <v>41</v>
      </c>
      <c r="K905" s="1" t="s">
        <v>2238</v>
      </c>
      <c r="L905" s="1" t="s">
        <v>2239</v>
      </c>
      <c r="M905" s="1" t="s">
        <v>2240</v>
      </c>
      <c r="N905" s="1" t="s">
        <v>38</v>
      </c>
      <c r="O905" s="1" t="s">
        <v>2129</v>
      </c>
      <c r="P905" s="1" t="s">
        <v>2173</v>
      </c>
      <c r="Q905" s="1" t="s">
        <v>2131</v>
      </c>
      <c r="R905" s="1" t="s">
        <v>128</v>
      </c>
      <c r="S905" s="1"/>
      <c r="U905" s="1" t="s">
        <v>35</v>
      </c>
      <c r="V905" s="1" t="s">
        <v>2241</v>
      </c>
      <c r="W905" s="1" t="str">
        <f>VLOOKUP(Table1[[#This Row],[Obergruppe ATC-Code]],Tabelle3!$A$2:$B$100,2)</f>
        <v>SEXUALHORMONE UND MODULATOREN DES GENITALSYSTEMS</v>
      </c>
      <c r="X905" s="1" t="str">
        <f xml:space="preserve"> LEFT(Table1[[#This Row],[Atc Code]],3)</f>
        <v>G03</v>
      </c>
    </row>
    <row r="906" spans="1:24" ht="14.4">
      <c r="A906" s="14">
        <v>1294</v>
      </c>
      <c r="B906" s="24">
        <v>12352046</v>
      </c>
      <c r="C906" s="1">
        <v>2167816</v>
      </c>
      <c r="D906" s="1" t="s">
        <v>25</v>
      </c>
      <c r="E906" s="36">
        <v>44470</v>
      </c>
      <c r="F906" s="36">
        <v>44531</v>
      </c>
      <c r="G906" s="38">
        <f t="shared" si="14"/>
        <v>61</v>
      </c>
      <c r="H906" s="5">
        <v>44473</v>
      </c>
      <c r="I906" s="5">
        <v>44529</v>
      </c>
      <c r="J906" s="1" t="s">
        <v>41</v>
      </c>
      <c r="K906" s="1" t="s">
        <v>2242</v>
      </c>
      <c r="L906" s="1" t="s">
        <v>2243</v>
      </c>
      <c r="M906" s="1" t="s">
        <v>2244</v>
      </c>
      <c r="N906" s="1" t="s">
        <v>38</v>
      </c>
      <c r="O906" s="1" t="s">
        <v>356</v>
      </c>
      <c r="P906" s="1" t="s">
        <v>2245</v>
      </c>
      <c r="Q906" s="1" t="s">
        <v>357</v>
      </c>
      <c r="R906" s="1" t="s">
        <v>128</v>
      </c>
      <c r="S906" s="1" t="s">
        <v>2246</v>
      </c>
      <c r="U906" s="1" t="s">
        <v>130</v>
      </c>
      <c r="V906" s="1" t="s">
        <v>1007</v>
      </c>
      <c r="W906" s="1" t="str">
        <f>VLOOKUP(Table1[[#This Row],[Obergruppe ATC-Code]],Tabelle3!$A$2:$B$100,2)</f>
        <v>SEXUALHORMONE UND MODULATOREN DES GENITALSYSTEMS</v>
      </c>
      <c r="X906" s="1" t="str">
        <f xml:space="preserve"> LEFT(Table1[[#This Row],[Atc Code]],3)</f>
        <v>G03</v>
      </c>
    </row>
    <row r="907" spans="1:24" ht="14.4">
      <c r="A907" s="14">
        <v>774</v>
      </c>
      <c r="B907" s="24">
        <v>6090843</v>
      </c>
      <c r="C907" s="1">
        <v>2167815</v>
      </c>
      <c r="D907" s="1" t="s">
        <v>25</v>
      </c>
      <c r="E907" s="36">
        <v>44470</v>
      </c>
      <c r="F907" s="36">
        <v>44627</v>
      </c>
      <c r="G907" s="38">
        <f t="shared" si="14"/>
        <v>157</v>
      </c>
      <c r="H907" s="5">
        <v>44473</v>
      </c>
      <c r="I907" s="5">
        <v>44627</v>
      </c>
      <c r="J907" s="1" t="s">
        <v>41</v>
      </c>
      <c r="K907" s="1" t="s">
        <v>2247</v>
      </c>
      <c r="L907" s="1" t="s">
        <v>2243</v>
      </c>
      <c r="M907" s="1" t="s">
        <v>2244</v>
      </c>
      <c r="N907" s="1" t="s">
        <v>38</v>
      </c>
      <c r="O907" s="1" t="s">
        <v>356</v>
      </c>
      <c r="P907" s="1" t="s">
        <v>2245</v>
      </c>
      <c r="Q907" s="1" t="s">
        <v>357</v>
      </c>
      <c r="R907" s="1" t="s">
        <v>128</v>
      </c>
      <c r="S907" s="1" t="s">
        <v>2248</v>
      </c>
      <c r="U907" s="1" t="s">
        <v>130</v>
      </c>
      <c r="V907" s="1" t="s">
        <v>1007</v>
      </c>
      <c r="W907" s="1" t="str">
        <f>VLOOKUP(Table1[[#This Row],[Obergruppe ATC-Code]],Tabelle3!$A$2:$B$100,2)</f>
        <v>SEXUALHORMONE UND MODULATOREN DES GENITALSYSTEMS</v>
      </c>
      <c r="X907" s="1" t="str">
        <f xml:space="preserve"> LEFT(Table1[[#This Row],[Atc Code]],3)</f>
        <v>G03</v>
      </c>
    </row>
    <row r="908" spans="1:24" ht="14.4">
      <c r="A908" s="14">
        <v>773</v>
      </c>
      <c r="B908" s="24">
        <v>6090843</v>
      </c>
      <c r="C908" s="1">
        <v>2167815</v>
      </c>
      <c r="D908" s="1" t="s">
        <v>25</v>
      </c>
      <c r="E908" s="36">
        <v>44652</v>
      </c>
      <c r="F908" s="36">
        <v>44832</v>
      </c>
      <c r="G908" s="38">
        <f t="shared" si="14"/>
        <v>180</v>
      </c>
      <c r="H908" s="5">
        <v>44641</v>
      </c>
      <c r="I908" s="5">
        <v>44832</v>
      </c>
      <c r="J908" s="1" t="s">
        <v>41</v>
      </c>
      <c r="K908" s="1" t="s">
        <v>2247</v>
      </c>
      <c r="L908" s="1" t="s">
        <v>2243</v>
      </c>
      <c r="M908" s="1" t="s">
        <v>2244</v>
      </c>
      <c r="N908" s="1" t="s">
        <v>38</v>
      </c>
      <c r="O908" s="1" t="s">
        <v>356</v>
      </c>
      <c r="P908" s="1" t="s">
        <v>2245</v>
      </c>
      <c r="Q908" s="1" t="s">
        <v>357</v>
      </c>
      <c r="R908" s="1" t="s">
        <v>128</v>
      </c>
      <c r="S908" s="1" t="s">
        <v>2248</v>
      </c>
      <c r="U908" s="1" t="s">
        <v>130</v>
      </c>
      <c r="V908" s="1" t="s">
        <v>1007</v>
      </c>
      <c r="W908" s="1" t="str">
        <f>VLOOKUP(Table1[[#This Row],[Obergruppe ATC-Code]],Tabelle3!$A$2:$B$100,2)</f>
        <v>SEXUALHORMONE UND MODULATOREN DES GENITALSYSTEMS</v>
      </c>
      <c r="X908" s="1" t="str">
        <f xml:space="preserve"> LEFT(Table1[[#This Row],[Atc Code]],3)</f>
        <v>G03</v>
      </c>
    </row>
    <row r="909" spans="1:24" ht="14.4">
      <c r="A909" s="14">
        <v>2101</v>
      </c>
      <c r="B909" s="24" t="s">
        <v>2249</v>
      </c>
      <c r="C909" s="1">
        <v>2136522</v>
      </c>
      <c r="D909" s="1" t="s">
        <v>25</v>
      </c>
      <c r="E909" s="36">
        <v>44859</v>
      </c>
      <c r="F909" s="36">
        <v>44970</v>
      </c>
      <c r="G909" s="38">
        <f t="shared" si="14"/>
        <v>111</v>
      </c>
      <c r="H909" s="5">
        <v>44859</v>
      </c>
      <c r="I909" s="5">
        <v>44970</v>
      </c>
      <c r="J909" s="1" t="s">
        <v>41</v>
      </c>
      <c r="K909" s="1" t="s">
        <v>2250</v>
      </c>
      <c r="L909" s="1" t="s">
        <v>2251</v>
      </c>
      <c r="M909" s="1" t="s">
        <v>2252</v>
      </c>
      <c r="N909" s="1" t="s">
        <v>38</v>
      </c>
      <c r="O909" s="1" t="s">
        <v>356</v>
      </c>
      <c r="P909" s="1">
        <v>4315852134</v>
      </c>
      <c r="Q909" s="1" t="s">
        <v>357</v>
      </c>
      <c r="R909" s="1" t="s">
        <v>942</v>
      </c>
      <c r="S909" s="1"/>
      <c r="U909" s="1" t="s">
        <v>130</v>
      </c>
      <c r="V909" s="1" t="s">
        <v>1007</v>
      </c>
      <c r="W909" s="1" t="str">
        <f>VLOOKUP(Table1[[#This Row],[Obergruppe ATC-Code]],Tabelle3!$A$2:$B$100,2)</f>
        <v>SEXUALHORMONE UND MODULATOREN DES GENITALSYSTEMS</v>
      </c>
      <c r="X909" s="1" t="str">
        <f xml:space="preserve"> LEFT(Table1[[#This Row],[Atc Code]],3)</f>
        <v>G03</v>
      </c>
    </row>
    <row r="910" spans="1:24" ht="14.4">
      <c r="A910" s="14">
        <v>1887</v>
      </c>
      <c r="B910" s="24" t="s">
        <v>2253</v>
      </c>
      <c r="C910" s="1">
        <v>929701</v>
      </c>
      <c r="D910" s="1" t="s">
        <v>25</v>
      </c>
      <c r="E910" s="36">
        <v>44571</v>
      </c>
      <c r="F910" s="36">
        <v>44797</v>
      </c>
      <c r="G910" s="38">
        <f t="shared" si="14"/>
        <v>226</v>
      </c>
      <c r="H910" s="5">
        <v>44547</v>
      </c>
      <c r="I910" s="5">
        <v>44802</v>
      </c>
      <c r="J910" s="1" t="s">
        <v>41</v>
      </c>
      <c r="K910" s="1" t="s">
        <v>2254</v>
      </c>
      <c r="L910" s="1" t="s">
        <v>2255</v>
      </c>
      <c r="M910" s="1" t="s">
        <v>2256</v>
      </c>
      <c r="N910" s="1" t="s">
        <v>38</v>
      </c>
      <c r="O910" s="1" t="s">
        <v>2129</v>
      </c>
      <c r="P910" s="1" t="s">
        <v>2173</v>
      </c>
      <c r="Q910" s="1" t="s">
        <v>2131</v>
      </c>
      <c r="R910" s="1" t="s">
        <v>128</v>
      </c>
      <c r="S910" s="1"/>
      <c r="U910" s="1" t="s">
        <v>130</v>
      </c>
      <c r="V910" s="1" t="s">
        <v>49</v>
      </c>
      <c r="W910" s="1" t="str">
        <f>VLOOKUP(Table1[[#This Row],[Obergruppe ATC-Code]],Tabelle3!$A$2:$B$100,2)</f>
        <v>SEXUALHORMONE UND MODULATOREN DES GENITALSYSTEMS</v>
      </c>
      <c r="X910" s="1" t="str">
        <f xml:space="preserve"> LEFT(Table1[[#This Row],[Atc Code]],3)</f>
        <v>G03</v>
      </c>
    </row>
    <row r="911" spans="1:24" ht="14.4">
      <c r="A911" s="14">
        <v>1948</v>
      </c>
      <c r="B911" s="24" t="s">
        <v>2257</v>
      </c>
      <c r="C911" s="1">
        <v>2149403</v>
      </c>
      <c r="D911" s="1" t="s">
        <v>175</v>
      </c>
      <c r="E911" s="36">
        <v>45148</v>
      </c>
      <c r="F911" s="36">
        <v>45337</v>
      </c>
      <c r="G911" s="38">
        <f t="shared" si="14"/>
        <v>189</v>
      </c>
      <c r="H911" s="5">
        <v>45180</v>
      </c>
      <c r="I911" s="5">
        <v>45180</v>
      </c>
      <c r="J911" s="1" t="s">
        <v>26</v>
      </c>
      <c r="K911" s="1" t="s">
        <v>2258</v>
      </c>
      <c r="L911" s="1" t="s">
        <v>2259</v>
      </c>
      <c r="M911" s="1" t="s">
        <v>2260</v>
      </c>
      <c r="N911" s="1" t="s">
        <v>38</v>
      </c>
      <c r="O911" s="1" t="s">
        <v>2261</v>
      </c>
      <c r="Q911" s="1" t="s">
        <v>2262</v>
      </c>
      <c r="R911" s="1" t="s">
        <v>113</v>
      </c>
      <c r="S911" s="1" t="s">
        <v>2263</v>
      </c>
      <c r="U911" s="1" t="s">
        <v>35</v>
      </c>
      <c r="V911" s="1" t="s">
        <v>2264</v>
      </c>
      <c r="W911" s="1" t="str">
        <f>VLOOKUP(Table1[[#This Row],[Obergruppe ATC-Code]],Tabelle3!$A$2:$B$100,2)</f>
        <v>UROLOGIKA</v>
      </c>
      <c r="X911" s="1" t="str">
        <f xml:space="preserve"> LEFT(Table1[[#This Row],[Atc Code]],3)</f>
        <v>G04</v>
      </c>
    </row>
    <row r="912" spans="1:24" ht="14.4">
      <c r="A912" s="14">
        <v>2788</v>
      </c>
      <c r="B912" s="24" t="s">
        <v>2265</v>
      </c>
      <c r="C912" s="1">
        <v>2194785</v>
      </c>
      <c r="D912" s="1" t="s">
        <v>25</v>
      </c>
      <c r="E912" s="36">
        <v>45173</v>
      </c>
      <c r="F912" s="36">
        <v>45190</v>
      </c>
      <c r="G912" s="38">
        <f t="shared" si="14"/>
        <v>17</v>
      </c>
      <c r="H912" s="5">
        <v>45175</v>
      </c>
      <c r="I912" s="5">
        <v>45190</v>
      </c>
      <c r="J912" s="1" t="s">
        <v>41</v>
      </c>
      <c r="K912" s="1" t="s">
        <v>2266</v>
      </c>
      <c r="L912" s="1" t="s">
        <v>2267</v>
      </c>
      <c r="M912" s="1" t="s">
        <v>2268</v>
      </c>
      <c r="N912" s="1" t="s">
        <v>38</v>
      </c>
      <c r="O912" s="1" t="s">
        <v>1054</v>
      </c>
      <c r="P912" s="1" t="s">
        <v>823</v>
      </c>
      <c r="Q912" s="1" t="s">
        <v>824</v>
      </c>
      <c r="R912" s="1" t="s">
        <v>128</v>
      </c>
      <c r="S912" s="1"/>
      <c r="U912" s="1" t="s">
        <v>35</v>
      </c>
      <c r="V912" s="1" t="s">
        <v>99</v>
      </c>
      <c r="W912" s="1" t="str">
        <f>VLOOKUP(Table1[[#This Row],[Obergruppe ATC-Code]],Tabelle3!$A$2:$B$100,2)</f>
        <v>UROLOGIKA</v>
      </c>
      <c r="X912" s="1" t="str">
        <f xml:space="preserve"> LEFT(Table1[[#This Row],[Atc Code]],3)</f>
        <v>G04</v>
      </c>
    </row>
    <row r="913" spans="1:24" ht="14.4">
      <c r="A913" s="14">
        <v>1728</v>
      </c>
      <c r="B913" s="24" t="s">
        <v>2269</v>
      </c>
      <c r="C913" s="1" t="s">
        <v>2270</v>
      </c>
      <c r="D913" s="1" t="s">
        <v>102</v>
      </c>
      <c r="E913" s="36">
        <v>44998</v>
      </c>
      <c r="F913" s="36">
        <v>45260</v>
      </c>
      <c r="G913" s="38">
        <f t="shared" si="14"/>
        <v>262</v>
      </c>
      <c r="H913" s="5">
        <v>45012</v>
      </c>
      <c r="I913" s="5">
        <v>45163</v>
      </c>
      <c r="J913" s="1" t="s">
        <v>26</v>
      </c>
      <c r="K913" s="1" t="s">
        <v>2271</v>
      </c>
      <c r="L913" s="1" t="s">
        <v>2272</v>
      </c>
      <c r="M913" s="1" t="s">
        <v>2273</v>
      </c>
      <c r="N913" s="1" t="s">
        <v>38</v>
      </c>
      <c r="O913" s="1" t="s">
        <v>2274</v>
      </c>
      <c r="P913" s="1" t="s">
        <v>1153</v>
      </c>
      <c r="Q913" s="1" t="s">
        <v>331</v>
      </c>
      <c r="R913" s="1" t="s">
        <v>33</v>
      </c>
      <c r="S913" s="1"/>
      <c r="T913" s="1" t="s">
        <v>2275</v>
      </c>
      <c r="U913" s="1" t="s">
        <v>35</v>
      </c>
      <c r="V913" s="1" t="s">
        <v>359</v>
      </c>
      <c r="W913" s="1" t="str">
        <f>VLOOKUP(Table1[[#This Row],[Obergruppe ATC-Code]],Tabelle3!$A$2:$B$100,2)</f>
        <v>UROLOGIKA</v>
      </c>
      <c r="X913" s="1" t="str">
        <f xml:space="preserve"> LEFT(Table1[[#This Row],[Atc Code]],3)</f>
        <v>G04</v>
      </c>
    </row>
    <row r="914" spans="1:24" ht="14.4">
      <c r="A914" s="14">
        <v>1197</v>
      </c>
      <c r="B914" s="24">
        <v>10796342</v>
      </c>
      <c r="C914" s="1">
        <v>2703495</v>
      </c>
      <c r="D914" s="1" t="s">
        <v>102</v>
      </c>
      <c r="E914" s="36">
        <v>45082</v>
      </c>
      <c r="F914" s="36">
        <v>45260</v>
      </c>
      <c r="G914" s="38">
        <f t="shared" si="14"/>
        <v>178</v>
      </c>
      <c r="H914" s="5">
        <v>45076</v>
      </c>
      <c r="I914" s="5">
        <v>45163</v>
      </c>
      <c r="J914" s="1" t="s">
        <v>26</v>
      </c>
      <c r="K914" s="1" t="s">
        <v>2276</v>
      </c>
      <c r="L914" s="1" t="s">
        <v>2272</v>
      </c>
      <c r="M914" s="1" t="s">
        <v>2273</v>
      </c>
      <c r="N914" s="1" t="s">
        <v>30</v>
      </c>
      <c r="O914" s="1" t="s">
        <v>2274</v>
      </c>
      <c r="P914" s="1" t="s">
        <v>1153</v>
      </c>
      <c r="Q914" s="1" t="s">
        <v>331</v>
      </c>
      <c r="R914" s="1" t="s">
        <v>732</v>
      </c>
      <c r="S914" s="1"/>
      <c r="T914" s="1" t="s">
        <v>2277</v>
      </c>
      <c r="U914" s="1" t="s">
        <v>35</v>
      </c>
      <c r="V914" s="1" t="s">
        <v>359</v>
      </c>
      <c r="W914" s="1" t="str">
        <f>VLOOKUP(Table1[[#This Row],[Obergruppe ATC-Code]],Tabelle3!$A$2:$B$100,2)</f>
        <v>UROLOGIKA</v>
      </c>
      <c r="X914" s="1" t="str">
        <f xml:space="preserve"> LEFT(Table1[[#This Row],[Atc Code]],3)</f>
        <v>G04</v>
      </c>
    </row>
    <row r="915" spans="1:24" ht="14.4">
      <c r="A915" s="14">
        <v>778</v>
      </c>
      <c r="B915" s="24">
        <v>6140943</v>
      </c>
      <c r="C915" s="1">
        <v>2705331</v>
      </c>
      <c r="D915" s="1" t="s">
        <v>102</v>
      </c>
      <c r="E915" s="36">
        <v>45170</v>
      </c>
      <c r="F915" s="36">
        <v>45322</v>
      </c>
      <c r="G915" s="38">
        <f t="shared" si="14"/>
        <v>152</v>
      </c>
      <c r="H915" s="5">
        <v>45211</v>
      </c>
      <c r="I915" s="5">
        <v>45211</v>
      </c>
      <c r="J915" s="1" t="s">
        <v>41</v>
      </c>
      <c r="K915" s="1" t="s">
        <v>2278</v>
      </c>
      <c r="L915" s="1" t="s">
        <v>2272</v>
      </c>
      <c r="M915" s="1" t="s">
        <v>2273</v>
      </c>
      <c r="N915" s="1" t="s">
        <v>30</v>
      </c>
      <c r="O915" s="1" t="s">
        <v>2274</v>
      </c>
      <c r="P915" s="1" t="s">
        <v>1153</v>
      </c>
      <c r="Q915" s="1" t="s">
        <v>331</v>
      </c>
      <c r="R915" s="1" t="s">
        <v>128</v>
      </c>
      <c r="S915" s="1"/>
      <c r="U915" s="1" t="s">
        <v>35</v>
      </c>
      <c r="V915" s="1" t="s">
        <v>359</v>
      </c>
      <c r="W915" s="1" t="str">
        <f>VLOOKUP(Table1[[#This Row],[Obergruppe ATC-Code]],Tabelle3!$A$2:$B$100,2)</f>
        <v>UROLOGIKA</v>
      </c>
      <c r="X915" s="1" t="str">
        <f xml:space="preserve"> LEFT(Table1[[#This Row],[Atc Code]],3)</f>
        <v>G04</v>
      </c>
    </row>
    <row r="916" spans="1:24" ht="14.4">
      <c r="A916" s="14">
        <v>777</v>
      </c>
      <c r="B916" s="24">
        <v>6140937</v>
      </c>
      <c r="C916" s="1">
        <v>2705330</v>
      </c>
      <c r="D916" s="1" t="s">
        <v>102</v>
      </c>
      <c r="E916" s="36">
        <v>45108</v>
      </c>
      <c r="F916" s="36">
        <v>45351</v>
      </c>
      <c r="G916" s="38">
        <f t="shared" si="14"/>
        <v>243</v>
      </c>
      <c r="H916" s="5">
        <v>45211</v>
      </c>
      <c r="I916" s="5">
        <v>45211</v>
      </c>
      <c r="J916" s="1" t="s">
        <v>41</v>
      </c>
      <c r="K916" s="1" t="s">
        <v>2279</v>
      </c>
      <c r="L916" s="1" t="s">
        <v>2272</v>
      </c>
      <c r="M916" s="1" t="s">
        <v>2273</v>
      </c>
      <c r="N916" s="1" t="s">
        <v>30</v>
      </c>
      <c r="O916" s="1" t="s">
        <v>2274</v>
      </c>
      <c r="P916" s="1" t="s">
        <v>1153</v>
      </c>
      <c r="Q916" s="1" t="s">
        <v>331</v>
      </c>
      <c r="R916" s="1" t="s">
        <v>128</v>
      </c>
      <c r="S916" s="1"/>
      <c r="U916" s="1" t="s">
        <v>35</v>
      </c>
      <c r="V916" s="1" t="s">
        <v>359</v>
      </c>
      <c r="W916" s="1" t="str">
        <f>VLOOKUP(Table1[[#This Row],[Obergruppe ATC-Code]],Tabelle3!$A$2:$B$100,2)</f>
        <v>UROLOGIKA</v>
      </c>
      <c r="X916" s="1" t="str">
        <f xml:space="preserve"> LEFT(Table1[[#This Row],[Atc Code]],3)</f>
        <v>G04</v>
      </c>
    </row>
    <row r="917" spans="1:24" ht="14.4">
      <c r="A917" s="14">
        <v>89</v>
      </c>
      <c r="B917" s="24">
        <v>571808</v>
      </c>
      <c r="C917" s="1">
        <v>2707569</v>
      </c>
      <c r="D917" s="1" t="s">
        <v>175</v>
      </c>
      <c r="E917" s="36">
        <v>45078</v>
      </c>
      <c r="F917" s="36">
        <v>45322</v>
      </c>
      <c r="G917" s="38">
        <f t="shared" si="14"/>
        <v>244</v>
      </c>
      <c r="H917" s="5">
        <v>45211</v>
      </c>
      <c r="I917" s="5">
        <v>45211</v>
      </c>
      <c r="J917" s="1" t="s">
        <v>41</v>
      </c>
      <c r="K917" s="1" t="s">
        <v>2280</v>
      </c>
      <c r="L917" s="1" t="s">
        <v>2272</v>
      </c>
      <c r="M917" s="1" t="s">
        <v>2273</v>
      </c>
      <c r="N917" s="1" t="s">
        <v>30</v>
      </c>
      <c r="O917" s="1" t="s">
        <v>2274</v>
      </c>
      <c r="P917" s="1" t="s">
        <v>1153</v>
      </c>
      <c r="Q917" s="1" t="s">
        <v>331</v>
      </c>
      <c r="R917" s="1" t="s">
        <v>128</v>
      </c>
      <c r="S917" s="1"/>
      <c r="U917" s="1" t="s">
        <v>35</v>
      </c>
      <c r="V917" s="1" t="s">
        <v>359</v>
      </c>
      <c r="W917" s="1" t="str">
        <f>VLOOKUP(Table1[[#This Row],[Obergruppe ATC-Code]],Tabelle3!$A$2:$B$100,2)</f>
        <v>UROLOGIKA</v>
      </c>
      <c r="X917" s="1" t="str">
        <f xml:space="preserve"> LEFT(Table1[[#This Row],[Atc Code]],3)</f>
        <v>G04</v>
      </c>
    </row>
    <row r="918" spans="1:24" ht="14.4">
      <c r="A918" s="14">
        <v>3</v>
      </c>
      <c r="B918" s="24">
        <v>20540</v>
      </c>
      <c r="C918" s="1">
        <v>2703496</v>
      </c>
      <c r="D918" s="1" t="s">
        <v>175</v>
      </c>
      <c r="E918" s="36">
        <v>45138</v>
      </c>
      <c r="F918" s="36">
        <v>45351</v>
      </c>
      <c r="G918" s="38">
        <f t="shared" si="14"/>
        <v>213</v>
      </c>
      <c r="H918" s="5">
        <v>45211</v>
      </c>
      <c r="I918" s="5">
        <v>45211</v>
      </c>
      <c r="J918" s="1" t="s">
        <v>41</v>
      </c>
      <c r="K918" s="1" t="s">
        <v>2281</v>
      </c>
      <c r="L918" s="1" t="s">
        <v>2272</v>
      </c>
      <c r="M918" s="1" t="s">
        <v>2273</v>
      </c>
      <c r="N918" s="1" t="s">
        <v>30</v>
      </c>
      <c r="O918" s="1" t="s">
        <v>2274</v>
      </c>
      <c r="P918" s="1" t="s">
        <v>1153</v>
      </c>
      <c r="Q918" s="1" t="s">
        <v>331</v>
      </c>
      <c r="R918" s="1" t="s">
        <v>128</v>
      </c>
      <c r="S918" s="1"/>
      <c r="U918" s="1" t="s">
        <v>35</v>
      </c>
      <c r="V918" s="1" t="s">
        <v>359</v>
      </c>
      <c r="W918" s="1" t="str">
        <f>VLOOKUP(Table1[[#This Row],[Obergruppe ATC-Code]],Tabelle3!$A$2:$B$100,2)</f>
        <v>UROLOGIKA</v>
      </c>
      <c r="X918" s="1" t="str">
        <f xml:space="preserve"> LEFT(Table1[[#This Row],[Atc Code]],3)</f>
        <v>G04</v>
      </c>
    </row>
    <row r="919" spans="1:24" ht="14.4">
      <c r="A919" s="14">
        <v>2</v>
      </c>
      <c r="B919" s="24">
        <v>20511</v>
      </c>
      <c r="C919" s="1">
        <v>2703491</v>
      </c>
      <c r="D919" s="1" t="s">
        <v>175</v>
      </c>
      <c r="E919" s="36">
        <v>45139</v>
      </c>
      <c r="F919" s="36">
        <v>45351</v>
      </c>
      <c r="G919" s="38">
        <f t="shared" si="14"/>
        <v>212</v>
      </c>
      <c r="H919" s="5">
        <v>45211</v>
      </c>
      <c r="I919" s="5">
        <v>45211</v>
      </c>
      <c r="J919" s="1" t="s">
        <v>41</v>
      </c>
      <c r="K919" s="1" t="s">
        <v>2282</v>
      </c>
      <c r="L919" s="1" t="s">
        <v>2272</v>
      </c>
      <c r="M919" s="1" t="s">
        <v>2273</v>
      </c>
      <c r="N919" s="1" t="s">
        <v>38</v>
      </c>
      <c r="O919" s="1" t="s">
        <v>2274</v>
      </c>
      <c r="P919" s="1" t="s">
        <v>1153</v>
      </c>
      <c r="Q919" s="1" t="s">
        <v>331</v>
      </c>
      <c r="R919" s="1" t="s">
        <v>128</v>
      </c>
      <c r="S919" s="1"/>
      <c r="U919" s="1" t="s">
        <v>35</v>
      </c>
      <c r="V919" s="1" t="s">
        <v>359</v>
      </c>
      <c r="W919" s="1" t="str">
        <f>VLOOKUP(Table1[[#This Row],[Obergruppe ATC-Code]],Tabelle3!$A$2:$B$100,2)</f>
        <v>UROLOGIKA</v>
      </c>
      <c r="X919" s="1" t="str">
        <f xml:space="preserve"> LEFT(Table1[[#This Row],[Atc Code]],3)</f>
        <v>G04</v>
      </c>
    </row>
    <row r="920" spans="1:24" ht="14.4">
      <c r="A920" s="14">
        <v>2905</v>
      </c>
      <c r="B920" s="24" t="s">
        <v>2283</v>
      </c>
      <c r="C920" s="1">
        <v>7000589</v>
      </c>
      <c r="D920" s="1" t="s">
        <v>175</v>
      </c>
      <c r="E920" s="36">
        <v>45216</v>
      </c>
      <c r="F920" s="36">
        <v>45278</v>
      </c>
      <c r="G920" s="38">
        <f t="shared" si="14"/>
        <v>62</v>
      </c>
      <c r="H920" s="5">
        <v>45212</v>
      </c>
      <c r="I920" s="5">
        <v>45212</v>
      </c>
      <c r="J920" s="1" t="s">
        <v>26</v>
      </c>
      <c r="K920" s="1" t="s">
        <v>2284</v>
      </c>
      <c r="L920" s="1" t="s">
        <v>2272</v>
      </c>
      <c r="M920" s="1" t="s">
        <v>2273</v>
      </c>
      <c r="N920" s="1" t="s">
        <v>38</v>
      </c>
      <c r="O920" s="1" t="s">
        <v>140</v>
      </c>
      <c r="Q920" s="1" t="s">
        <v>141</v>
      </c>
      <c r="R920" s="1" t="s">
        <v>113</v>
      </c>
      <c r="S920" s="1"/>
      <c r="U920" s="1" t="s">
        <v>130</v>
      </c>
      <c r="V920" s="1" t="s">
        <v>359</v>
      </c>
      <c r="W920" s="1" t="str">
        <f>VLOOKUP(Table1[[#This Row],[Obergruppe ATC-Code]],Tabelle3!$A$2:$B$100,2)</f>
        <v>UROLOGIKA</v>
      </c>
      <c r="X920" s="1" t="str">
        <f xml:space="preserve"> LEFT(Table1[[#This Row],[Atc Code]],3)</f>
        <v>G04</v>
      </c>
    </row>
    <row r="921" spans="1:24" ht="14.4">
      <c r="A921" s="14">
        <v>2904</v>
      </c>
      <c r="B921" s="24" t="s">
        <v>2285</v>
      </c>
      <c r="C921" s="1">
        <v>7000588</v>
      </c>
      <c r="D921" s="1" t="s">
        <v>175</v>
      </c>
      <c r="E921" s="36">
        <v>45212</v>
      </c>
      <c r="F921" s="36">
        <v>45260</v>
      </c>
      <c r="G921" s="38">
        <f t="shared" si="14"/>
        <v>48</v>
      </c>
      <c r="H921" s="5">
        <v>45212</v>
      </c>
      <c r="I921" s="5">
        <v>45212</v>
      </c>
      <c r="J921" s="1" t="s">
        <v>26</v>
      </c>
      <c r="K921" s="1" t="s">
        <v>2286</v>
      </c>
      <c r="L921" s="1" t="s">
        <v>2272</v>
      </c>
      <c r="M921" s="1" t="s">
        <v>2273</v>
      </c>
      <c r="N921" s="1" t="s">
        <v>38</v>
      </c>
      <c r="O921" s="1" t="s">
        <v>140</v>
      </c>
      <c r="Q921" s="1" t="s">
        <v>141</v>
      </c>
      <c r="R921" s="1" t="s">
        <v>113</v>
      </c>
      <c r="S921" s="1"/>
      <c r="U921" s="1" t="s">
        <v>130</v>
      </c>
      <c r="V921" s="1" t="s">
        <v>359</v>
      </c>
      <c r="W921" s="1" t="str">
        <f>VLOOKUP(Table1[[#This Row],[Obergruppe ATC-Code]],Tabelle3!$A$2:$B$100,2)</f>
        <v>UROLOGIKA</v>
      </c>
      <c r="X921" s="1" t="str">
        <f xml:space="preserve"> LEFT(Table1[[#This Row],[Atc Code]],3)</f>
        <v>G04</v>
      </c>
    </row>
    <row r="922" spans="1:24" ht="14.4">
      <c r="A922" s="14">
        <v>945</v>
      </c>
      <c r="B922" s="24">
        <v>7692478</v>
      </c>
      <c r="C922" s="1">
        <v>2130671</v>
      </c>
      <c r="D922" s="1" t="s">
        <v>25</v>
      </c>
      <c r="E922" s="36">
        <v>43678</v>
      </c>
      <c r="F922" s="36">
        <v>43861</v>
      </c>
      <c r="G922" s="38">
        <f t="shared" si="14"/>
        <v>183</v>
      </c>
      <c r="H922" s="5">
        <v>43734</v>
      </c>
      <c r="I922" s="5">
        <v>43837</v>
      </c>
      <c r="J922" s="1" t="s">
        <v>41</v>
      </c>
      <c r="K922" s="1" t="s">
        <v>2287</v>
      </c>
      <c r="L922" s="1" t="s">
        <v>2288</v>
      </c>
      <c r="M922" s="1" t="s">
        <v>1150</v>
      </c>
      <c r="N922" s="1" t="s">
        <v>38</v>
      </c>
      <c r="O922" s="1" t="s">
        <v>321</v>
      </c>
      <c r="P922" s="1" t="s">
        <v>326</v>
      </c>
      <c r="Q922" s="1" t="s">
        <v>327</v>
      </c>
      <c r="R922" s="1" t="s">
        <v>48</v>
      </c>
      <c r="S922" s="1"/>
      <c r="T922" s="1" t="s">
        <v>2289</v>
      </c>
      <c r="U922" s="1" t="s">
        <v>35</v>
      </c>
      <c r="V922" s="1" t="s">
        <v>2290</v>
      </c>
      <c r="W922" s="1" t="str">
        <f>VLOOKUP(Table1[[#This Row],[Obergruppe ATC-Code]],Tabelle3!$A$2:$B$100,2)</f>
        <v>UROLOGIKA</v>
      </c>
      <c r="X922" s="1" t="str">
        <f xml:space="preserve"> LEFT(Table1[[#This Row],[Atc Code]],3)</f>
        <v>G04</v>
      </c>
    </row>
    <row r="923" spans="1:24" ht="14.4">
      <c r="A923" s="14">
        <v>944</v>
      </c>
      <c r="B923" s="24">
        <v>7692432</v>
      </c>
      <c r="C923" s="1">
        <v>2133829</v>
      </c>
      <c r="D923" s="1" t="s">
        <v>25</v>
      </c>
      <c r="E923" s="36">
        <v>43739</v>
      </c>
      <c r="F923" s="36">
        <v>43921</v>
      </c>
      <c r="G923" s="38">
        <f t="shared" si="14"/>
        <v>182</v>
      </c>
      <c r="H923" s="5">
        <v>43734</v>
      </c>
      <c r="I923" s="5">
        <v>43907</v>
      </c>
      <c r="J923" s="1" t="s">
        <v>41</v>
      </c>
      <c r="K923" s="1" t="s">
        <v>2291</v>
      </c>
      <c r="L923" s="1" t="s">
        <v>2288</v>
      </c>
      <c r="M923" s="1" t="s">
        <v>1150</v>
      </c>
      <c r="N923" s="1" t="s">
        <v>38</v>
      </c>
      <c r="O923" s="1" t="s">
        <v>321</v>
      </c>
      <c r="P923" s="1" t="s">
        <v>326</v>
      </c>
      <c r="Q923" s="1" t="s">
        <v>327</v>
      </c>
      <c r="R923" s="1" t="s">
        <v>48</v>
      </c>
      <c r="S923" s="1"/>
      <c r="T923" s="1" t="s">
        <v>2289</v>
      </c>
      <c r="U923" s="1" t="s">
        <v>35</v>
      </c>
      <c r="V923" s="1" t="s">
        <v>2290</v>
      </c>
      <c r="W923" s="1" t="str">
        <f>VLOOKUP(Table1[[#This Row],[Obergruppe ATC-Code]],Tabelle3!$A$2:$B$100,2)</f>
        <v>UROLOGIKA</v>
      </c>
      <c r="X923" s="1" t="str">
        <f xml:space="preserve"> LEFT(Table1[[#This Row],[Atc Code]],3)</f>
        <v>G04</v>
      </c>
    </row>
    <row r="924" spans="1:24" ht="15" customHeight="1">
      <c r="A924" s="14">
        <v>1325</v>
      </c>
      <c r="B924" s="25">
        <v>12586933</v>
      </c>
      <c r="C924" s="1">
        <v>2151311</v>
      </c>
      <c r="D924" s="1" t="s">
        <v>25</v>
      </c>
      <c r="E924" s="36">
        <v>43739</v>
      </c>
      <c r="F924" s="36">
        <v>44012</v>
      </c>
      <c r="G924" s="38">
        <f t="shared" si="14"/>
        <v>273</v>
      </c>
      <c r="H924" s="5">
        <v>43726</v>
      </c>
      <c r="I924" s="5">
        <v>44032</v>
      </c>
      <c r="J924" s="1" t="s">
        <v>41</v>
      </c>
      <c r="K924" s="1" t="s">
        <v>2292</v>
      </c>
      <c r="L924" s="1" t="s">
        <v>2288</v>
      </c>
      <c r="M924" s="1" t="s">
        <v>1150</v>
      </c>
      <c r="N924" s="1" t="s">
        <v>38</v>
      </c>
      <c r="O924" s="1" t="s">
        <v>321</v>
      </c>
      <c r="P924" s="1" t="s">
        <v>326</v>
      </c>
      <c r="Q924" s="1" t="s">
        <v>327</v>
      </c>
      <c r="R924" s="1" t="s">
        <v>48</v>
      </c>
      <c r="S924" s="1"/>
      <c r="T924" s="1" t="s">
        <v>2289</v>
      </c>
      <c r="U924" s="1" t="s">
        <v>35</v>
      </c>
      <c r="V924" s="1" t="s">
        <v>1007</v>
      </c>
      <c r="W924" s="1" t="str">
        <f>VLOOKUP(Table1[[#This Row],[Obergruppe ATC-Code]],Tabelle3!$A$2:$B$100,2)</f>
        <v>UROLOGIKA</v>
      </c>
      <c r="X924" s="1" t="str">
        <f xml:space="preserve"> LEFT(Table1[[#This Row],[Atc Code]],3)</f>
        <v>G04</v>
      </c>
    </row>
    <row r="925" spans="1:24" ht="14.4">
      <c r="A925" s="14">
        <v>2000</v>
      </c>
      <c r="B925" s="24" t="s">
        <v>2293</v>
      </c>
      <c r="C925" s="1">
        <v>2144803</v>
      </c>
      <c r="D925" s="1" t="s">
        <v>25</v>
      </c>
      <c r="E925" s="36">
        <v>44495</v>
      </c>
      <c r="F925" s="36">
        <v>44622</v>
      </c>
      <c r="G925" s="38">
        <f t="shared" si="14"/>
        <v>127</v>
      </c>
      <c r="H925" s="5">
        <v>44495</v>
      </c>
      <c r="I925" s="5">
        <v>44622</v>
      </c>
      <c r="J925" s="1" t="s">
        <v>41</v>
      </c>
      <c r="K925" s="1" t="s">
        <v>2294</v>
      </c>
      <c r="L925" s="1" t="s">
        <v>2288</v>
      </c>
      <c r="M925" s="1" t="s">
        <v>1150</v>
      </c>
      <c r="N925" s="1" t="s">
        <v>38</v>
      </c>
      <c r="O925" s="1" t="s">
        <v>1114</v>
      </c>
      <c r="P925" s="1" t="s">
        <v>823</v>
      </c>
      <c r="Q925" s="1" t="s">
        <v>824</v>
      </c>
      <c r="R925" s="1" t="s">
        <v>128</v>
      </c>
      <c r="S925" s="1"/>
      <c r="U925" s="1" t="s">
        <v>130</v>
      </c>
      <c r="V925" s="1" t="s">
        <v>2295</v>
      </c>
      <c r="W925" s="1" t="str">
        <f>VLOOKUP(Table1[[#This Row],[Obergruppe ATC-Code]],Tabelle3!$A$2:$B$100,2)</f>
        <v>UROLOGIKA</v>
      </c>
      <c r="X925" s="1" t="str">
        <f xml:space="preserve"> LEFT(Table1[[#This Row],[Atc Code]],3)</f>
        <v>G04</v>
      </c>
    </row>
    <row r="926" spans="1:24" ht="14.4">
      <c r="A926" s="14">
        <v>1989</v>
      </c>
      <c r="B926" s="24" t="s">
        <v>2296</v>
      </c>
      <c r="C926" s="1" t="s">
        <v>2297</v>
      </c>
      <c r="D926" s="1" t="s">
        <v>25</v>
      </c>
      <c r="E926" s="36">
        <v>44287</v>
      </c>
      <c r="F926" s="36">
        <v>44678</v>
      </c>
      <c r="G926" s="38">
        <f t="shared" si="14"/>
        <v>391</v>
      </c>
      <c r="H926" s="5">
        <v>44469</v>
      </c>
      <c r="I926" s="5">
        <v>44713</v>
      </c>
      <c r="J926" s="1" t="s">
        <v>41</v>
      </c>
      <c r="K926" s="1" t="s">
        <v>2298</v>
      </c>
      <c r="L926" s="1" t="s">
        <v>2288</v>
      </c>
      <c r="M926" s="1" t="s">
        <v>1150</v>
      </c>
      <c r="N926" s="1" t="s">
        <v>38</v>
      </c>
      <c r="O926" s="1" t="s">
        <v>1114</v>
      </c>
      <c r="P926" s="1" t="s">
        <v>823</v>
      </c>
      <c r="Q926" s="1" t="s">
        <v>824</v>
      </c>
      <c r="R926" s="1" t="s">
        <v>128</v>
      </c>
      <c r="S926" s="1"/>
      <c r="U926" s="1" t="s">
        <v>130</v>
      </c>
      <c r="V926" s="1" t="s">
        <v>2295</v>
      </c>
      <c r="W926" s="1" t="str">
        <f>VLOOKUP(Table1[[#This Row],[Obergruppe ATC-Code]],Tabelle3!$A$2:$B$100,2)</f>
        <v>UROLOGIKA</v>
      </c>
      <c r="X926" s="1" t="str">
        <f xml:space="preserve"> LEFT(Table1[[#This Row],[Atc Code]],3)</f>
        <v>G04</v>
      </c>
    </row>
    <row r="927" spans="1:24" ht="14.4">
      <c r="A927" s="14">
        <v>2995</v>
      </c>
      <c r="B927" s="24" t="s">
        <v>2299</v>
      </c>
      <c r="C927" s="1">
        <v>2705792</v>
      </c>
      <c r="D927" s="1" t="s">
        <v>25</v>
      </c>
      <c r="E927" s="36">
        <v>43313</v>
      </c>
      <c r="F927" s="36">
        <v>43373</v>
      </c>
      <c r="G927" s="38">
        <f t="shared" si="14"/>
        <v>60</v>
      </c>
      <c r="H927" s="5">
        <v>43328</v>
      </c>
      <c r="I927" s="5">
        <v>43357</v>
      </c>
      <c r="J927" s="1" t="s">
        <v>41</v>
      </c>
      <c r="K927" s="1" t="s">
        <v>2300</v>
      </c>
      <c r="L927" s="1" t="s">
        <v>2301</v>
      </c>
      <c r="M927" s="1" t="s">
        <v>2302</v>
      </c>
      <c r="N927" s="1" t="s">
        <v>30</v>
      </c>
      <c r="O927" s="1" t="s">
        <v>2303</v>
      </c>
      <c r="P927" s="1" t="s">
        <v>322</v>
      </c>
      <c r="Q927" s="1" t="s">
        <v>323</v>
      </c>
      <c r="R927" s="1" t="s">
        <v>26</v>
      </c>
      <c r="S927" s="1"/>
      <c r="U927" s="1" t="s">
        <v>35</v>
      </c>
      <c r="V927" s="1" t="s">
        <v>74</v>
      </c>
      <c r="W927" s="1" t="str">
        <f>VLOOKUP(Table1[[#This Row],[Obergruppe ATC-Code]],Tabelle3!$A$2:$B$100,2)</f>
        <v>UROLOGIKA</v>
      </c>
      <c r="X927" s="1" t="str">
        <f xml:space="preserve"> LEFT(Table1[[#This Row],[Atc Code]],3)</f>
        <v>G04</v>
      </c>
    </row>
    <row r="928" spans="1:24" ht="14.4">
      <c r="A928" s="14">
        <v>2994</v>
      </c>
      <c r="B928" s="24" t="s">
        <v>2304</v>
      </c>
      <c r="C928" s="1">
        <v>2705792</v>
      </c>
      <c r="D928" s="1" t="s">
        <v>25</v>
      </c>
      <c r="E928" s="36">
        <v>43617</v>
      </c>
      <c r="F928" s="36">
        <v>43677</v>
      </c>
      <c r="G928" s="38">
        <f t="shared" si="14"/>
        <v>60</v>
      </c>
      <c r="H928" s="5">
        <v>43620</v>
      </c>
      <c r="I928" s="5">
        <v>43648</v>
      </c>
      <c r="J928" s="1" t="s">
        <v>41</v>
      </c>
      <c r="K928" s="1" t="s">
        <v>2300</v>
      </c>
      <c r="L928" s="1" t="s">
        <v>2301</v>
      </c>
      <c r="M928" s="1" t="s">
        <v>2302</v>
      </c>
      <c r="N928" s="1" t="s">
        <v>30</v>
      </c>
      <c r="O928" s="1" t="s">
        <v>2303</v>
      </c>
      <c r="P928" s="1" t="s">
        <v>2305</v>
      </c>
      <c r="Q928" s="1" t="s">
        <v>327</v>
      </c>
      <c r="R928" s="1" t="s">
        <v>26</v>
      </c>
      <c r="S928" s="1"/>
      <c r="U928" s="1" t="s">
        <v>57</v>
      </c>
      <c r="V928" s="1" t="s">
        <v>74</v>
      </c>
      <c r="W928" s="1" t="str">
        <f>VLOOKUP(Table1[[#This Row],[Obergruppe ATC-Code]],Tabelle3!$A$2:$B$100,2)</f>
        <v>UROLOGIKA</v>
      </c>
      <c r="X928" s="1" t="str">
        <f xml:space="preserve"> LEFT(Table1[[#This Row],[Atc Code]],3)</f>
        <v>G04</v>
      </c>
    </row>
    <row r="929" spans="1:24" ht="14.4">
      <c r="A929" s="14">
        <v>2993</v>
      </c>
      <c r="B929" s="24" t="s">
        <v>2306</v>
      </c>
      <c r="C929" s="1">
        <v>2705792</v>
      </c>
      <c r="D929" s="1" t="s">
        <v>25</v>
      </c>
      <c r="E929" s="36">
        <v>43983</v>
      </c>
      <c r="F929" s="36">
        <v>44104</v>
      </c>
      <c r="G929" s="38">
        <f t="shared" si="14"/>
        <v>121</v>
      </c>
      <c r="H929" s="5">
        <v>43991</v>
      </c>
      <c r="I929" s="5">
        <v>44089</v>
      </c>
      <c r="J929" s="1" t="s">
        <v>41</v>
      </c>
      <c r="K929" s="1" t="s">
        <v>2300</v>
      </c>
      <c r="L929" s="1" t="s">
        <v>2301</v>
      </c>
      <c r="M929" s="1" t="s">
        <v>2302</v>
      </c>
      <c r="N929" s="1" t="s">
        <v>30</v>
      </c>
      <c r="O929" s="1" t="s">
        <v>2303</v>
      </c>
      <c r="P929" s="1" t="s">
        <v>2305</v>
      </c>
      <c r="Q929" s="1" t="s">
        <v>327</v>
      </c>
      <c r="R929" s="1" t="s">
        <v>65</v>
      </c>
      <c r="S929" s="1"/>
      <c r="U929" s="1" t="s">
        <v>35</v>
      </c>
      <c r="V929" s="1" t="s">
        <v>74</v>
      </c>
      <c r="W929" s="1" t="str">
        <f>VLOOKUP(Table1[[#This Row],[Obergruppe ATC-Code]],Tabelle3!$A$2:$B$100,2)</f>
        <v>UROLOGIKA</v>
      </c>
      <c r="X929" s="1" t="str">
        <f xml:space="preserve"> LEFT(Table1[[#This Row],[Atc Code]],3)</f>
        <v>G04</v>
      </c>
    </row>
    <row r="930" spans="1:24" ht="14.4">
      <c r="A930" s="14">
        <v>1138</v>
      </c>
      <c r="B930" s="24">
        <v>9684879</v>
      </c>
      <c r="C930" s="1">
        <v>2709260</v>
      </c>
      <c r="D930" s="1" t="s">
        <v>25</v>
      </c>
      <c r="E930" s="36">
        <v>44757</v>
      </c>
      <c r="F930" s="36">
        <v>44799</v>
      </c>
      <c r="G930" s="38">
        <f t="shared" si="14"/>
        <v>42</v>
      </c>
      <c r="H930" s="5">
        <v>44771</v>
      </c>
      <c r="I930" s="5">
        <v>44804</v>
      </c>
      <c r="J930" s="1" t="s">
        <v>26</v>
      </c>
      <c r="K930" s="1" t="s">
        <v>2307</v>
      </c>
      <c r="L930" s="1" t="s">
        <v>2301</v>
      </c>
      <c r="M930" s="1" t="s">
        <v>2302</v>
      </c>
      <c r="N930" s="1" t="s">
        <v>38</v>
      </c>
      <c r="O930" s="1" t="s">
        <v>2308</v>
      </c>
      <c r="P930" s="1" t="s">
        <v>2305</v>
      </c>
      <c r="Q930" s="1" t="s">
        <v>327</v>
      </c>
      <c r="R930" s="1" t="s">
        <v>113</v>
      </c>
      <c r="S930" s="1"/>
      <c r="U930" s="1" t="s">
        <v>130</v>
      </c>
      <c r="V930" s="1" t="s">
        <v>259</v>
      </c>
      <c r="W930" s="1" t="str">
        <f>VLOOKUP(Table1[[#This Row],[Obergruppe ATC-Code]],Tabelle3!$A$2:$B$100,2)</f>
        <v>UROLOGIKA</v>
      </c>
      <c r="X930" s="1" t="str">
        <f xml:space="preserve"> LEFT(Table1[[#This Row],[Atc Code]],3)</f>
        <v>G04</v>
      </c>
    </row>
    <row r="931" spans="1:24" ht="14.4">
      <c r="A931" s="14">
        <v>941</v>
      </c>
      <c r="B931" s="25">
        <v>7634506</v>
      </c>
      <c r="C931" s="1">
        <v>2136796</v>
      </c>
      <c r="D931" s="1" t="s">
        <v>25</v>
      </c>
      <c r="E931" s="36">
        <v>42856</v>
      </c>
      <c r="F931" s="36">
        <v>43982</v>
      </c>
      <c r="G931" s="38">
        <f t="shared" si="14"/>
        <v>1126</v>
      </c>
      <c r="H931" s="5">
        <v>42922</v>
      </c>
      <c r="I931" s="5">
        <v>43959</v>
      </c>
      <c r="J931" s="1" t="s">
        <v>41</v>
      </c>
      <c r="K931" s="1" t="s">
        <v>2309</v>
      </c>
      <c r="L931" s="1" t="s">
        <v>2310</v>
      </c>
      <c r="M931" s="1" t="s">
        <v>2311</v>
      </c>
      <c r="N931" s="1" t="s">
        <v>30</v>
      </c>
      <c r="O931" s="1" t="s">
        <v>2312</v>
      </c>
      <c r="P931" s="1" t="s">
        <v>2313</v>
      </c>
      <c r="Q931" s="1" t="s">
        <v>2314</v>
      </c>
      <c r="R931" s="1" t="s">
        <v>48</v>
      </c>
      <c r="S931" s="1"/>
      <c r="U931" s="1" t="s">
        <v>35</v>
      </c>
      <c r="V931" s="1" t="s">
        <v>262</v>
      </c>
      <c r="W931" s="1" t="str">
        <f>VLOOKUP(Table1[[#This Row],[Obergruppe ATC-Code]],Tabelle3!$A$2:$B$100,2)</f>
        <v>UROLOGIKA</v>
      </c>
      <c r="X931" s="1" t="str">
        <f xml:space="preserve"> LEFT(Table1[[#This Row],[Atc Code]],3)</f>
        <v>G04</v>
      </c>
    </row>
    <row r="932" spans="1:24" ht="14.4">
      <c r="A932" s="14">
        <v>978</v>
      </c>
      <c r="B932" s="24">
        <v>8400621</v>
      </c>
      <c r="C932" s="1">
        <v>873946</v>
      </c>
      <c r="D932" s="1" t="s">
        <v>25</v>
      </c>
      <c r="E932" s="36">
        <v>44501</v>
      </c>
      <c r="F932" s="36">
        <v>44663</v>
      </c>
      <c r="G932" s="38">
        <f t="shared" si="14"/>
        <v>162</v>
      </c>
      <c r="H932" s="5">
        <v>44519</v>
      </c>
      <c r="I932" s="5">
        <v>44663</v>
      </c>
      <c r="J932" s="1" t="s">
        <v>26</v>
      </c>
      <c r="K932" s="1" t="s">
        <v>2315</v>
      </c>
      <c r="L932" s="1" t="s">
        <v>2310</v>
      </c>
      <c r="M932" s="1" t="s">
        <v>2316</v>
      </c>
      <c r="N932" s="1" t="s">
        <v>38</v>
      </c>
      <c r="O932" s="1" t="s">
        <v>2312</v>
      </c>
      <c r="Q932" s="1" t="s">
        <v>2317</v>
      </c>
      <c r="R932" s="1" t="s">
        <v>33</v>
      </c>
      <c r="S932" s="1"/>
      <c r="U932" s="1" t="s">
        <v>35</v>
      </c>
      <c r="V932" s="1" t="s">
        <v>262</v>
      </c>
      <c r="W932" s="1" t="str">
        <f>VLOOKUP(Table1[[#This Row],[Obergruppe ATC-Code]],Tabelle3!$A$2:$B$100,2)</f>
        <v>UROLOGIKA</v>
      </c>
      <c r="X932" s="1" t="str">
        <f xml:space="preserve"> LEFT(Table1[[#This Row],[Atc Code]],3)</f>
        <v>G04</v>
      </c>
    </row>
    <row r="933" spans="1:24" ht="14.4">
      <c r="A933" s="14">
        <v>290</v>
      </c>
      <c r="B933" s="25">
        <v>1804574</v>
      </c>
      <c r="C933" s="1">
        <v>2163516</v>
      </c>
      <c r="D933" s="1" t="s">
        <v>25</v>
      </c>
      <c r="E933" s="36">
        <v>43891</v>
      </c>
      <c r="F933" s="36">
        <v>44012</v>
      </c>
      <c r="G933" s="38">
        <f t="shared" si="14"/>
        <v>121</v>
      </c>
      <c r="H933" s="5">
        <v>43917</v>
      </c>
      <c r="I933" s="5">
        <v>44021</v>
      </c>
      <c r="J933" s="1" t="s">
        <v>26</v>
      </c>
      <c r="K933" s="1" t="s">
        <v>2318</v>
      </c>
      <c r="L933" s="1" t="s">
        <v>2319</v>
      </c>
      <c r="M933" s="1" t="s">
        <v>2320</v>
      </c>
      <c r="N933" s="1" t="s">
        <v>38</v>
      </c>
      <c r="O933" s="1" t="s">
        <v>117</v>
      </c>
      <c r="P933" s="1" t="s">
        <v>104</v>
      </c>
      <c r="Q933" s="1" t="s">
        <v>105</v>
      </c>
      <c r="R933" s="1" t="s">
        <v>33</v>
      </c>
      <c r="S933" s="1"/>
      <c r="U933" s="1" t="s">
        <v>35</v>
      </c>
      <c r="V933" s="1" t="s">
        <v>2321</v>
      </c>
      <c r="W933" s="1" t="str">
        <f>VLOOKUP(Table1[[#This Row],[Obergruppe ATC-Code]],Tabelle3!$A$2:$B$100,2)</f>
        <v>UROLOGIKA</v>
      </c>
      <c r="X933" s="1" t="str">
        <f xml:space="preserve"> LEFT(Table1[[#This Row],[Atc Code]],3)</f>
        <v>G04</v>
      </c>
    </row>
    <row r="934" spans="1:24" ht="14.4">
      <c r="A934" s="14">
        <v>1508</v>
      </c>
      <c r="B934" s="24">
        <v>16139881</v>
      </c>
      <c r="C934" s="1">
        <v>2203433</v>
      </c>
      <c r="D934" s="1" t="s">
        <v>25</v>
      </c>
      <c r="E934" s="36">
        <v>44256</v>
      </c>
      <c r="F934" s="36">
        <v>44373</v>
      </c>
      <c r="G934" s="38">
        <f t="shared" si="14"/>
        <v>117</v>
      </c>
      <c r="H934" s="5">
        <v>44305</v>
      </c>
      <c r="I934" s="5">
        <v>44393</v>
      </c>
      <c r="J934" s="1" t="s">
        <v>26</v>
      </c>
      <c r="K934" s="1" t="s">
        <v>2322</v>
      </c>
      <c r="L934" s="1" t="s">
        <v>2323</v>
      </c>
      <c r="M934" s="1" t="s">
        <v>2324</v>
      </c>
      <c r="N934" s="1" t="s">
        <v>38</v>
      </c>
      <c r="O934" s="1" t="s">
        <v>1440</v>
      </c>
      <c r="P934" s="1" t="s">
        <v>1441</v>
      </c>
      <c r="Q934" s="1" t="s">
        <v>1916</v>
      </c>
      <c r="R934" s="1" t="s">
        <v>113</v>
      </c>
      <c r="S934" s="1"/>
      <c r="U934" s="1" t="s">
        <v>35</v>
      </c>
      <c r="V934" s="1" t="s">
        <v>2325</v>
      </c>
      <c r="W934" s="1" t="str">
        <f>VLOOKUP(Table1[[#This Row],[Obergruppe ATC-Code]],Tabelle3!$A$2:$B$100,2)</f>
        <v>UROLOGIKA</v>
      </c>
      <c r="X934" s="1" t="str">
        <f xml:space="preserve"> LEFT(Table1[[#This Row],[Atc Code]],3)</f>
        <v>G04</v>
      </c>
    </row>
    <row r="935" spans="1:24" ht="14.4">
      <c r="A935" s="14">
        <v>1510</v>
      </c>
      <c r="B935" s="24">
        <v>16139898</v>
      </c>
      <c r="C935" s="1">
        <v>2203433</v>
      </c>
      <c r="D935" s="1" t="s">
        <v>25</v>
      </c>
      <c r="E935" s="36">
        <v>44277</v>
      </c>
      <c r="F935" s="36">
        <v>44461</v>
      </c>
      <c r="G935" s="38">
        <f t="shared" si="14"/>
        <v>184</v>
      </c>
      <c r="H935" s="5">
        <v>44393</v>
      </c>
      <c r="I935" s="5">
        <v>44476</v>
      </c>
      <c r="J935" s="1" t="s">
        <v>26</v>
      </c>
      <c r="K935" s="1" t="s">
        <v>2322</v>
      </c>
      <c r="L935" s="1" t="s">
        <v>2323</v>
      </c>
      <c r="M935" s="1" t="s">
        <v>2324</v>
      </c>
      <c r="N935" s="1" t="s">
        <v>38</v>
      </c>
      <c r="O935" s="1" t="s">
        <v>1440</v>
      </c>
      <c r="P935" s="1" t="s">
        <v>1907</v>
      </c>
      <c r="Q935" s="1" t="s">
        <v>1541</v>
      </c>
      <c r="R935" s="1" t="s">
        <v>113</v>
      </c>
      <c r="S935" s="1" t="s">
        <v>2326</v>
      </c>
      <c r="U935" s="1" t="s">
        <v>130</v>
      </c>
      <c r="V935" s="1" t="s">
        <v>2325</v>
      </c>
      <c r="W935" s="1" t="str">
        <f>VLOOKUP(Table1[[#This Row],[Obergruppe ATC-Code]],Tabelle3!$A$2:$B$100,2)</f>
        <v>UROLOGIKA</v>
      </c>
      <c r="X935" s="1" t="str">
        <f xml:space="preserve"> LEFT(Table1[[#This Row],[Atc Code]],3)</f>
        <v>G04</v>
      </c>
    </row>
    <row r="936" spans="1:24" ht="14.4">
      <c r="A936" s="14">
        <v>1509</v>
      </c>
      <c r="B936" s="24">
        <v>16139898</v>
      </c>
      <c r="C936" s="1">
        <v>2203433</v>
      </c>
      <c r="D936" s="1" t="s">
        <v>25</v>
      </c>
      <c r="E936" s="36">
        <v>44530</v>
      </c>
      <c r="F936" s="36">
        <v>44565</v>
      </c>
      <c r="G936" s="38">
        <f t="shared" si="14"/>
        <v>35</v>
      </c>
      <c r="H936" s="5">
        <v>44537</v>
      </c>
      <c r="I936" s="5">
        <v>44599</v>
      </c>
      <c r="J936" s="1" t="s">
        <v>26</v>
      </c>
      <c r="K936" s="1" t="s">
        <v>2322</v>
      </c>
      <c r="L936" s="1" t="s">
        <v>2323</v>
      </c>
      <c r="M936" s="1" t="s">
        <v>2324</v>
      </c>
      <c r="N936" s="1" t="s">
        <v>38</v>
      </c>
      <c r="O936" s="1" t="s">
        <v>1440</v>
      </c>
      <c r="P936" s="1" t="s">
        <v>1540</v>
      </c>
      <c r="Q936" s="1" t="s">
        <v>1541</v>
      </c>
      <c r="R936" s="1" t="s">
        <v>26</v>
      </c>
      <c r="S936" s="1"/>
      <c r="U936" s="1" t="s">
        <v>35</v>
      </c>
      <c r="V936" s="1" t="s">
        <v>2325</v>
      </c>
      <c r="W936" s="1" t="str">
        <f>VLOOKUP(Table1[[#This Row],[Obergruppe ATC-Code]],Tabelle3!$A$2:$B$100,2)</f>
        <v>UROLOGIKA</v>
      </c>
      <c r="X936" s="1" t="str">
        <f xml:space="preserve"> LEFT(Table1[[#This Row],[Atc Code]],3)</f>
        <v>G04</v>
      </c>
    </row>
    <row r="937" spans="1:24" ht="14.4">
      <c r="A937" s="14">
        <v>2851</v>
      </c>
      <c r="B937" s="24" t="s">
        <v>2327</v>
      </c>
      <c r="C937" s="1">
        <v>2202350</v>
      </c>
      <c r="D937" s="1" t="s">
        <v>25</v>
      </c>
      <c r="E937" s="36">
        <v>44928</v>
      </c>
      <c r="F937" s="36">
        <v>45021</v>
      </c>
      <c r="G937" s="38">
        <f t="shared" si="14"/>
        <v>93</v>
      </c>
      <c r="H937" s="5">
        <v>44935</v>
      </c>
      <c r="I937" s="5">
        <v>45021</v>
      </c>
      <c r="J937" s="1" t="s">
        <v>26</v>
      </c>
      <c r="K937" s="1" t="s">
        <v>2328</v>
      </c>
      <c r="L937" s="1" t="s">
        <v>2323</v>
      </c>
      <c r="M937" s="1" t="s">
        <v>2324</v>
      </c>
      <c r="N937" s="1" t="s">
        <v>38</v>
      </c>
      <c r="O937" s="1" t="s">
        <v>110</v>
      </c>
      <c r="P937" s="1">
        <v>49733396510</v>
      </c>
      <c r="Q937" s="1" t="s">
        <v>1141</v>
      </c>
      <c r="R937" s="1" t="s">
        <v>113</v>
      </c>
      <c r="S937" s="1"/>
      <c r="U937" s="1" t="s">
        <v>130</v>
      </c>
      <c r="V937" s="1" t="s">
        <v>2329</v>
      </c>
      <c r="W937" s="1" t="str">
        <f>VLOOKUP(Table1[[#This Row],[Obergruppe ATC-Code]],Tabelle3!$A$2:$B$100,2)</f>
        <v>UROLOGIKA</v>
      </c>
      <c r="X937" s="1" t="str">
        <f xml:space="preserve"> LEFT(Table1[[#This Row],[Atc Code]],3)</f>
        <v>G04</v>
      </c>
    </row>
    <row r="938" spans="1:24" ht="14.4">
      <c r="A938" s="14">
        <v>2867</v>
      </c>
      <c r="B938" s="24" t="s">
        <v>2330</v>
      </c>
      <c r="C938" s="1">
        <v>2204918</v>
      </c>
      <c r="D938" s="1" t="s">
        <v>25</v>
      </c>
      <c r="E938" s="36">
        <v>44915</v>
      </c>
      <c r="F938" s="36">
        <v>45068</v>
      </c>
      <c r="G938" s="38">
        <f t="shared" si="14"/>
        <v>153</v>
      </c>
      <c r="H938" s="5">
        <v>45058</v>
      </c>
      <c r="I938" s="5">
        <v>45069</v>
      </c>
      <c r="J938" s="1" t="s">
        <v>26</v>
      </c>
      <c r="K938" s="1" t="s">
        <v>2331</v>
      </c>
      <c r="L938" s="1" t="s">
        <v>2323</v>
      </c>
      <c r="M938" s="1" t="s">
        <v>2324</v>
      </c>
      <c r="N938" s="1" t="s">
        <v>38</v>
      </c>
      <c r="O938" s="1" t="s">
        <v>2261</v>
      </c>
      <c r="Q938" s="1" t="s">
        <v>2262</v>
      </c>
      <c r="R938" s="1" t="s">
        <v>142</v>
      </c>
      <c r="S938" s="1"/>
      <c r="U938" s="1" t="s">
        <v>35</v>
      </c>
      <c r="V938" s="1" t="s">
        <v>2329</v>
      </c>
      <c r="W938" s="1" t="str">
        <f>VLOOKUP(Table1[[#This Row],[Obergruppe ATC-Code]],Tabelle3!$A$2:$B$100,2)</f>
        <v>UROLOGIKA</v>
      </c>
      <c r="X938" s="1" t="str">
        <f xml:space="preserve"> LEFT(Table1[[#This Row],[Atc Code]],3)</f>
        <v>G04</v>
      </c>
    </row>
    <row r="939" spans="1:24" ht="14.4">
      <c r="A939" s="14">
        <v>1924</v>
      </c>
      <c r="B939" s="24" t="s">
        <v>2332</v>
      </c>
      <c r="C939" s="1">
        <v>2176877</v>
      </c>
      <c r="D939" s="1" t="s">
        <v>25</v>
      </c>
      <c r="E939" s="36">
        <v>45065</v>
      </c>
      <c r="F939" s="36">
        <v>45159</v>
      </c>
      <c r="G939" s="38">
        <f t="shared" si="14"/>
        <v>94</v>
      </c>
      <c r="H939" s="5">
        <v>45081</v>
      </c>
      <c r="I939" s="5">
        <v>45156</v>
      </c>
      <c r="J939" s="1" t="s">
        <v>26</v>
      </c>
      <c r="K939" s="1" t="s">
        <v>2333</v>
      </c>
      <c r="L939" s="1" t="s">
        <v>2323</v>
      </c>
      <c r="M939" s="1" t="s">
        <v>2324</v>
      </c>
      <c r="N939" s="1" t="s">
        <v>38</v>
      </c>
      <c r="O939" s="1" t="s">
        <v>2107</v>
      </c>
      <c r="P939" s="1">
        <v>8001223355</v>
      </c>
      <c r="Q939" s="1" t="s">
        <v>761</v>
      </c>
      <c r="R939" s="1" t="s">
        <v>113</v>
      </c>
      <c r="S939" s="1"/>
      <c r="U939" s="1" t="s">
        <v>35</v>
      </c>
      <c r="V939" s="1" t="s">
        <v>2334</v>
      </c>
      <c r="W939" s="1" t="str">
        <f>VLOOKUP(Table1[[#This Row],[Obergruppe ATC-Code]],Tabelle3!$A$2:$B$100,2)</f>
        <v>UROLOGIKA</v>
      </c>
      <c r="X939" s="1" t="str">
        <f xml:space="preserve"> LEFT(Table1[[#This Row],[Atc Code]],3)</f>
        <v>G04</v>
      </c>
    </row>
    <row r="940" spans="1:24" ht="14.4">
      <c r="A940" s="14">
        <v>1923</v>
      </c>
      <c r="B940" s="24" t="s">
        <v>2332</v>
      </c>
      <c r="C940" s="1">
        <v>2176877</v>
      </c>
      <c r="D940" s="1" t="s">
        <v>175</v>
      </c>
      <c r="E940" s="36">
        <v>45159</v>
      </c>
      <c r="F940" s="36">
        <v>45224</v>
      </c>
      <c r="G940" s="38">
        <f t="shared" si="14"/>
        <v>65</v>
      </c>
      <c r="H940" s="5">
        <v>45169</v>
      </c>
      <c r="I940" s="5">
        <v>45169</v>
      </c>
      <c r="J940" s="1" t="s">
        <v>26</v>
      </c>
      <c r="K940" s="1" t="s">
        <v>2333</v>
      </c>
      <c r="L940" s="1" t="s">
        <v>2323</v>
      </c>
      <c r="M940" s="1" t="s">
        <v>2324</v>
      </c>
      <c r="N940" s="1" t="s">
        <v>38</v>
      </c>
      <c r="O940" s="1" t="s">
        <v>2107</v>
      </c>
      <c r="P940" s="1">
        <v>8001223355</v>
      </c>
      <c r="Q940" s="1" t="s">
        <v>761</v>
      </c>
      <c r="R940" s="1" t="s">
        <v>113</v>
      </c>
      <c r="S940" s="1"/>
      <c r="U940" s="1" t="s">
        <v>35</v>
      </c>
      <c r="V940" s="1" t="s">
        <v>2334</v>
      </c>
      <c r="W940" s="1" t="str">
        <f>VLOOKUP(Table1[[#This Row],[Obergruppe ATC-Code]],Tabelle3!$A$2:$B$100,2)</f>
        <v>UROLOGIKA</v>
      </c>
      <c r="X940" s="1" t="str">
        <f xml:space="preserve"> LEFT(Table1[[#This Row],[Atc Code]],3)</f>
        <v>G04</v>
      </c>
    </row>
    <row r="941" spans="1:24" ht="14.4">
      <c r="A941" s="14">
        <v>2852</v>
      </c>
      <c r="B941" s="24" t="s">
        <v>2335</v>
      </c>
      <c r="C941" s="1">
        <v>2203433</v>
      </c>
      <c r="D941" s="1" t="s">
        <v>102</v>
      </c>
      <c r="E941" s="36">
        <v>44928</v>
      </c>
      <c r="F941" s="36">
        <v>45324</v>
      </c>
      <c r="G941" s="38">
        <f t="shared" si="14"/>
        <v>396</v>
      </c>
      <c r="H941" s="5">
        <v>44943</v>
      </c>
      <c r="I941" s="5">
        <v>45180</v>
      </c>
      <c r="J941" s="1" t="s">
        <v>26</v>
      </c>
      <c r="K941" s="1" t="s">
        <v>2322</v>
      </c>
      <c r="L941" s="1" t="s">
        <v>2323</v>
      </c>
      <c r="M941" s="1" t="s">
        <v>2324</v>
      </c>
      <c r="N941" s="1" t="s">
        <v>38</v>
      </c>
      <c r="O941" s="1" t="s">
        <v>1440</v>
      </c>
      <c r="P941" s="1" t="s">
        <v>1540</v>
      </c>
      <c r="Q941" s="1" t="s">
        <v>1541</v>
      </c>
      <c r="R941" s="1" t="s">
        <v>113</v>
      </c>
      <c r="S941" s="1"/>
      <c r="U941" s="1" t="s">
        <v>35</v>
      </c>
      <c r="V941" s="1" t="s">
        <v>2325</v>
      </c>
      <c r="W941" s="1" t="str">
        <f>VLOOKUP(Table1[[#This Row],[Obergruppe ATC-Code]],Tabelle3!$A$2:$B$100,2)</f>
        <v>UROLOGIKA</v>
      </c>
      <c r="X941" s="1" t="str">
        <f xml:space="preserve"> LEFT(Table1[[#This Row],[Atc Code]],3)</f>
        <v>G04</v>
      </c>
    </row>
    <row r="942" spans="1:24" ht="14.4">
      <c r="A942" s="14">
        <v>2866</v>
      </c>
      <c r="B942" s="24" t="s">
        <v>2330</v>
      </c>
      <c r="C942" s="1">
        <v>2204918</v>
      </c>
      <c r="D942" s="1" t="s">
        <v>102</v>
      </c>
      <c r="E942" s="36">
        <v>45125</v>
      </c>
      <c r="F942" s="36">
        <v>45240</v>
      </c>
      <c r="G942" s="38">
        <f t="shared" si="14"/>
        <v>115</v>
      </c>
      <c r="H942" s="5">
        <v>45162</v>
      </c>
      <c r="I942" s="5">
        <v>45188</v>
      </c>
      <c r="J942" s="1" t="s">
        <v>26</v>
      </c>
      <c r="K942" s="1" t="s">
        <v>2331</v>
      </c>
      <c r="L942" s="1" t="s">
        <v>2323</v>
      </c>
      <c r="M942" s="1" t="s">
        <v>2324</v>
      </c>
      <c r="N942" s="1" t="s">
        <v>38</v>
      </c>
      <c r="O942" s="1" t="s">
        <v>2261</v>
      </c>
      <c r="Q942" s="1" t="s">
        <v>2262</v>
      </c>
      <c r="R942" s="1" t="s">
        <v>113</v>
      </c>
      <c r="S942" s="1" t="s">
        <v>2336</v>
      </c>
      <c r="U942" s="1" t="s">
        <v>35</v>
      </c>
      <c r="V942" s="1" t="s">
        <v>2329</v>
      </c>
      <c r="W942" s="1" t="str">
        <f>VLOOKUP(Table1[[#This Row],[Obergruppe ATC-Code]],Tabelle3!$A$2:$B$100,2)</f>
        <v>UROLOGIKA</v>
      </c>
      <c r="X942" s="1" t="str">
        <f xml:space="preserve"> LEFT(Table1[[#This Row],[Atc Code]],3)</f>
        <v>G04</v>
      </c>
    </row>
    <row r="943" spans="1:24" ht="14.4">
      <c r="A943" s="14">
        <v>2846</v>
      </c>
      <c r="B943" s="24" t="s">
        <v>2337</v>
      </c>
      <c r="C943" s="1">
        <v>2202152</v>
      </c>
      <c r="D943" s="1" t="s">
        <v>102</v>
      </c>
      <c r="E943" s="36">
        <v>45047</v>
      </c>
      <c r="F943" s="36">
        <v>45264</v>
      </c>
      <c r="G943" s="38">
        <f t="shared" si="14"/>
        <v>217</v>
      </c>
      <c r="H943" s="5">
        <v>45057</v>
      </c>
      <c r="I943" s="5">
        <v>45204</v>
      </c>
      <c r="J943" s="1" t="s">
        <v>41</v>
      </c>
      <c r="K943" s="1" t="s">
        <v>2338</v>
      </c>
      <c r="L943" s="1" t="s">
        <v>2323</v>
      </c>
      <c r="M943" s="1" t="s">
        <v>2324</v>
      </c>
      <c r="N943" s="1" t="s">
        <v>38</v>
      </c>
      <c r="O943" s="1" t="s">
        <v>265</v>
      </c>
      <c r="P943" s="1" t="s">
        <v>266</v>
      </c>
      <c r="Q943" s="1" t="s">
        <v>267</v>
      </c>
      <c r="R943" s="1" t="s">
        <v>128</v>
      </c>
      <c r="S943" s="1"/>
      <c r="U943" s="1" t="s">
        <v>130</v>
      </c>
      <c r="V943" s="1" t="s">
        <v>2329</v>
      </c>
      <c r="W943" s="1" t="str">
        <f>VLOOKUP(Table1[[#This Row],[Obergruppe ATC-Code]],Tabelle3!$A$2:$B$100,2)</f>
        <v>UROLOGIKA</v>
      </c>
      <c r="X943" s="1" t="str">
        <f xml:space="preserve"> LEFT(Table1[[#This Row],[Atc Code]],3)</f>
        <v>G04</v>
      </c>
    </row>
    <row r="944" spans="1:24" ht="14.4">
      <c r="A944" s="14">
        <v>2859</v>
      </c>
      <c r="B944" s="24" t="s">
        <v>2339</v>
      </c>
      <c r="C944" s="1">
        <v>2202354</v>
      </c>
      <c r="D944" s="1" t="s">
        <v>25</v>
      </c>
      <c r="E944" s="36">
        <v>45034</v>
      </c>
      <c r="F944" s="36">
        <v>45217</v>
      </c>
      <c r="G944" s="38">
        <f t="shared" si="14"/>
        <v>183</v>
      </c>
      <c r="H944" s="5">
        <v>45043</v>
      </c>
      <c r="I944" s="5">
        <v>45217</v>
      </c>
      <c r="J944" s="1" t="s">
        <v>26</v>
      </c>
      <c r="K944" s="1" t="s">
        <v>2340</v>
      </c>
      <c r="L944" s="1" t="s">
        <v>2323</v>
      </c>
      <c r="M944" s="1" t="s">
        <v>2324</v>
      </c>
      <c r="N944" s="1" t="s">
        <v>38</v>
      </c>
      <c r="O944" s="1" t="s">
        <v>1697</v>
      </c>
      <c r="P944" s="1" t="s">
        <v>823</v>
      </c>
      <c r="Q944" s="1" t="s">
        <v>824</v>
      </c>
      <c r="R944" s="1" t="s">
        <v>26</v>
      </c>
      <c r="S944" s="1"/>
      <c r="T944" s="1" t="s">
        <v>2341</v>
      </c>
      <c r="U944" s="1" t="s">
        <v>35</v>
      </c>
      <c r="V944" s="1" t="s">
        <v>2342</v>
      </c>
      <c r="W944" s="1" t="str">
        <f>VLOOKUP(Table1[[#This Row],[Obergruppe ATC-Code]],Tabelle3!$A$2:$B$100,2)</f>
        <v>UROLOGIKA</v>
      </c>
      <c r="X944" s="1" t="str">
        <f xml:space="preserve"> LEFT(Table1[[#This Row],[Atc Code]],3)</f>
        <v>G04</v>
      </c>
    </row>
    <row r="945" spans="1:24" ht="14.4">
      <c r="A945" s="14">
        <v>102</v>
      </c>
      <c r="B945" s="24">
        <v>629784</v>
      </c>
      <c r="C945" s="1">
        <v>2169626</v>
      </c>
      <c r="D945" s="1" t="s">
        <v>25</v>
      </c>
      <c r="E945" s="36">
        <v>45128</v>
      </c>
      <c r="F945" s="36">
        <v>45208</v>
      </c>
      <c r="G945" s="38">
        <f t="shared" si="14"/>
        <v>80</v>
      </c>
      <c r="H945" s="5">
        <v>45142</v>
      </c>
      <c r="I945" s="5">
        <v>45209</v>
      </c>
      <c r="J945" s="1" t="s">
        <v>26</v>
      </c>
      <c r="K945" s="1" t="s">
        <v>2343</v>
      </c>
      <c r="L945" s="1" t="s">
        <v>2344</v>
      </c>
      <c r="M945" s="1" t="s">
        <v>2345</v>
      </c>
      <c r="N945" s="1" t="s">
        <v>38</v>
      </c>
      <c r="O945" s="1" t="s">
        <v>123</v>
      </c>
      <c r="Q945" s="1" t="s">
        <v>201</v>
      </c>
      <c r="R945" s="1" t="s">
        <v>113</v>
      </c>
      <c r="S945" s="1"/>
      <c r="U945" s="1" t="s">
        <v>130</v>
      </c>
      <c r="V945" s="1" t="s">
        <v>99</v>
      </c>
      <c r="W945" s="1" t="str">
        <f>VLOOKUP(Table1[[#This Row],[Obergruppe ATC-Code]],Tabelle3!$A$2:$B$100,2)</f>
        <v>UROLOGIKA</v>
      </c>
      <c r="X945" s="1" t="str">
        <f xml:space="preserve"> LEFT(Table1[[#This Row],[Atc Code]],3)</f>
        <v>G04</v>
      </c>
    </row>
    <row r="946" spans="1:24" ht="14.4">
      <c r="A946" s="14">
        <v>3026</v>
      </c>
      <c r="B946" s="24" t="s">
        <v>2346</v>
      </c>
      <c r="C946" s="1">
        <v>94722</v>
      </c>
      <c r="D946" s="1" t="s">
        <v>25</v>
      </c>
      <c r="E946" s="36">
        <v>42979</v>
      </c>
      <c r="F946" s="36">
        <v>43039</v>
      </c>
      <c r="G946" s="38">
        <f t="shared" si="14"/>
        <v>60</v>
      </c>
      <c r="H946" s="5">
        <v>42997</v>
      </c>
      <c r="I946" s="5">
        <v>43038</v>
      </c>
      <c r="J946" s="1" t="s">
        <v>41</v>
      </c>
      <c r="K946" s="1" t="s">
        <v>2347</v>
      </c>
      <c r="L946" s="1" t="s">
        <v>2348</v>
      </c>
      <c r="M946" s="1" t="s">
        <v>2349</v>
      </c>
      <c r="N946" s="1" t="s">
        <v>30</v>
      </c>
      <c r="O946" s="1" t="s">
        <v>657</v>
      </c>
      <c r="P946" s="1" t="s">
        <v>2350</v>
      </c>
      <c r="Q946" s="1" t="s">
        <v>2351</v>
      </c>
      <c r="R946" s="1" t="s">
        <v>48</v>
      </c>
      <c r="S946" s="1"/>
      <c r="U946" s="1" t="s">
        <v>35</v>
      </c>
      <c r="V946" s="1" t="s">
        <v>74</v>
      </c>
      <c r="W946" s="1" t="str">
        <f>VLOOKUP(Table1[[#This Row],[Obergruppe ATC-Code]],Tabelle3!$A$2:$B$100,2)</f>
        <v>HYPOPHYSEN- UND HYPOTHALAMUSHORMONE UND ANALOGA</v>
      </c>
      <c r="X946" s="1" t="str">
        <f xml:space="preserve"> LEFT(Table1[[#This Row],[Atc Code]],3)</f>
        <v>H01</v>
      </c>
    </row>
    <row r="947" spans="1:24" ht="14.4">
      <c r="A947" s="14">
        <v>2731</v>
      </c>
      <c r="B947" s="24" t="s">
        <v>2352</v>
      </c>
      <c r="C947" s="1">
        <v>1445684</v>
      </c>
      <c r="D947" s="1" t="s">
        <v>25</v>
      </c>
      <c r="E947" s="36">
        <v>43040</v>
      </c>
      <c r="F947" s="36">
        <v>43159</v>
      </c>
      <c r="G947" s="38">
        <f t="shared" si="14"/>
        <v>119</v>
      </c>
      <c r="H947" s="5">
        <v>43083</v>
      </c>
      <c r="I947" s="5">
        <v>43110</v>
      </c>
      <c r="J947" s="1" t="s">
        <v>41</v>
      </c>
      <c r="K947" s="1" t="s">
        <v>2353</v>
      </c>
      <c r="L947" s="1" t="s">
        <v>2348</v>
      </c>
      <c r="M947" s="1" t="s">
        <v>2349</v>
      </c>
      <c r="N947" s="1" t="s">
        <v>30</v>
      </c>
      <c r="O947" s="1" t="s">
        <v>657</v>
      </c>
      <c r="P947" s="1" t="s">
        <v>2350</v>
      </c>
      <c r="Q947" s="1" t="s">
        <v>2351</v>
      </c>
      <c r="R947" s="1" t="s">
        <v>48</v>
      </c>
      <c r="S947" s="1"/>
      <c r="U947" s="1" t="s">
        <v>35</v>
      </c>
      <c r="V947" s="1" t="s">
        <v>508</v>
      </c>
      <c r="W947" s="1" t="str">
        <f>VLOOKUP(Table1[[#This Row],[Obergruppe ATC-Code]],Tabelle3!$A$2:$B$100,2)</f>
        <v>HYPOPHYSEN- UND HYPOTHALAMUSHORMONE UND ANALOGA</v>
      </c>
      <c r="X947" s="1" t="str">
        <f xml:space="preserve"> LEFT(Table1[[#This Row],[Atc Code]],3)</f>
        <v>H01</v>
      </c>
    </row>
    <row r="948" spans="1:24" ht="14.4">
      <c r="A948" s="14">
        <v>3025</v>
      </c>
      <c r="B948" s="24" t="s">
        <v>2346</v>
      </c>
      <c r="C948" s="1">
        <v>94722</v>
      </c>
      <c r="D948" s="1" t="s">
        <v>25</v>
      </c>
      <c r="E948" s="36">
        <v>43040</v>
      </c>
      <c r="F948" s="36">
        <v>43131</v>
      </c>
      <c r="G948" s="38">
        <f t="shared" si="14"/>
        <v>91</v>
      </c>
      <c r="H948" s="5">
        <v>43083</v>
      </c>
      <c r="I948" s="5">
        <v>43111</v>
      </c>
      <c r="J948" s="1" t="s">
        <v>41</v>
      </c>
      <c r="K948" s="1" t="s">
        <v>2347</v>
      </c>
      <c r="L948" s="1" t="s">
        <v>2348</v>
      </c>
      <c r="M948" s="1" t="s">
        <v>2349</v>
      </c>
      <c r="N948" s="1" t="s">
        <v>30</v>
      </c>
      <c r="O948" s="1" t="s">
        <v>657</v>
      </c>
      <c r="P948" s="1" t="s">
        <v>2350</v>
      </c>
      <c r="Q948" s="1" t="s">
        <v>2351</v>
      </c>
      <c r="R948" s="1" t="s">
        <v>48</v>
      </c>
      <c r="S948" s="1"/>
      <c r="U948" s="1" t="s">
        <v>35</v>
      </c>
      <c r="V948" s="1" t="s">
        <v>74</v>
      </c>
      <c r="W948" s="1" t="str">
        <f>VLOOKUP(Table1[[#This Row],[Obergruppe ATC-Code]],Tabelle3!$A$2:$B$100,2)</f>
        <v>HYPOPHYSEN- UND HYPOTHALAMUSHORMONE UND ANALOGA</v>
      </c>
      <c r="X948" s="1" t="str">
        <f xml:space="preserve"> LEFT(Table1[[#This Row],[Atc Code]],3)</f>
        <v>H01</v>
      </c>
    </row>
    <row r="949" spans="1:24" ht="14.4">
      <c r="A949" s="14">
        <v>3024</v>
      </c>
      <c r="B949" s="24" t="s">
        <v>2346</v>
      </c>
      <c r="C949" s="1">
        <v>94722</v>
      </c>
      <c r="D949" s="1" t="s">
        <v>25</v>
      </c>
      <c r="E949" s="36">
        <v>43647</v>
      </c>
      <c r="F949" s="36">
        <v>43738</v>
      </c>
      <c r="G949" s="38">
        <f t="shared" si="14"/>
        <v>91</v>
      </c>
      <c r="H949" s="5">
        <v>43663</v>
      </c>
      <c r="I949" s="5">
        <v>43692</v>
      </c>
      <c r="J949" s="1" t="s">
        <v>41</v>
      </c>
      <c r="K949" s="1" t="s">
        <v>2347</v>
      </c>
      <c r="L949" s="1" t="s">
        <v>2348</v>
      </c>
      <c r="M949" s="1" t="s">
        <v>2349</v>
      </c>
      <c r="N949" s="1" t="s">
        <v>30</v>
      </c>
      <c r="O949" s="1" t="s">
        <v>657</v>
      </c>
      <c r="P949" s="1">
        <v>545196900</v>
      </c>
      <c r="Q949" s="1" t="s">
        <v>658</v>
      </c>
      <c r="R949" s="1" t="s">
        <v>26</v>
      </c>
      <c r="S949" s="1"/>
      <c r="U949" s="1" t="s">
        <v>35</v>
      </c>
      <c r="V949" s="1" t="s">
        <v>74</v>
      </c>
      <c r="W949" s="1" t="str">
        <f>VLOOKUP(Table1[[#This Row],[Obergruppe ATC-Code]],Tabelle3!$A$2:$B$100,2)</f>
        <v>HYPOPHYSEN- UND HYPOTHALAMUSHORMONE UND ANALOGA</v>
      </c>
      <c r="X949" s="1" t="str">
        <f xml:space="preserve"> LEFT(Table1[[#This Row],[Atc Code]],3)</f>
        <v>H01</v>
      </c>
    </row>
    <row r="950" spans="1:24" ht="14.4">
      <c r="A950" s="14">
        <v>2730</v>
      </c>
      <c r="B950" s="24" t="s">
        <v>2352</v>
      </c>
      <c r="C950" s="1">
        <v>1445684</v>
      </c>
      <c r="D950" s="1" t="s">
        <v>25</v>
      </c>
      <c r="E950" s="36">
        <v>43647</v>
      </c>
      <c r="F950" s="36">
        <v>43830</v>
      </c>
      <c r="G950" s="38">
        <f t="shared" si="14"/>
        <v>183</v>
      </c>
      <c r="H950" s="5">
        <v>43663</v>
      </c>
      <c r="I950" s="5">
        <v>43809</v>
      </c>
      <c r="J950" s="1" t="s">
        <v>41</v>
      </c>
      <c r="K950" s="1" t="s">
        <v>2353</v>
      </c>
      <c r="L950" s="1" t="s">
        <v>2348</v>
      </c>
      <c r="M950" s="1" t="s">
        <v>2349</v>
      </c>
      <c r="N950" s="1" t="s">
        <v>30</v>
      </c>
      <c r="O950" s="1" t="s">
        <v>657</v>
      </c>
      <c r="P950" s="1">
        <v>545196900</v>
      </c>
      <c r="Q950" s="1" t="s">
        <v>658</v>
      </c>
      <c r="R950" s="1" t="s">
        <v>26</v>
      </c>
      <c r="S950" s="1"/>
      <c r="U950" s="1" t="s">
        <v>35</v>
      </c>
      <c r="V950" s="1" t="s">
        <v>508</v>
      </c>
      <c r="W950" s="1" t="str">
        <f>VLOOKUP(Table1[[#This Row],[Obergruppe ATC-Code]],Tabelle3!$A$2:$B$100,2)</f>
        <v>HYPOPHYSEN- UND HYPOTHALAMUSHORMONE UND ANALOGA</v>
      </c>
      <c r="X950" s="1" t="str">
        <f xml:space="preserve"> LEFT(Table1[[#This Row],[Atc Code]],3)</f>
        <v>H01</v>
      </c>
    </row>
    <row r="951" spans="1:24" ht="14.4">
      <c r="A951" s="14">
        <v>3091</v>
      </c>
      <c r="B951" s="3">
        <v>166114</v>
      </c>
      <c r="C951" s="1">
        <v>2700610</v>
      </c>
      <c r="D951" s="1" t="s">
        <v>25</v>
      </c>
      <c r="E951" s="36">
        <v>44197</v>
      </c>
      <c r="F951" s="36">
        <v>44347</v>
      </c>
      <c r="G951" s="38">
        <f t="shared" si="14"/>
        <v>150</v>
      </c>
      <c r="H951" s="5">
        <v>44204</v>
      </c>
      <c r="I951" s="5">
        <v>44321</v>
      </c>
      <c r="J951" s="1" t="s">
        <v>41</v>
      </c>
      <c r="K951" s="1" t="s">
        <v>2354</v>
      </c>
      <c r="L951" s="1" t="s">
        <v>2355</v>
      </c>
      <c r="M951" s="1" t="s">
        <v>2356</v>
      </c>
      <c r="N951" s="1" t="s">
        <v>30</v>
      </c>
      <c r="O951" s="1" t="s">
        <v>2357</v>
      </c>
      <c r="P951" s="1" t="s">
        <v>63</v>
      </c>
      <c r="Q951" s="1" t="s">
        <v>64</v>
      </c>
      <c r="R951" s="1" t="s">
        <v>65</v>
      </c>
      <c r="S951" s="1"/>
      <c r="U951" s="1" t="s">
        <v>35</v>
      </c>
      <c r="V951" s="1" t="s">
        <v>1151</v>
      </c>
      <c r="W951" s="1" t="str">
        <f>VLOOKUP(Table1[[#This Row],[Obergruppe ATC-Code]],Tabelle3!$A$2:$B$100,2)</f>
        <v>HYPOPHYSEN- UND HYPOTHALAMUSHORMONE UND ANALOGA</v>
      </c>
      <c r="X951" s="1" t="str">
        <f xml:space="preserve"> LEFT(Table1[[#This Row],[Atc Code]],3)</f>
        <v>H01</v>
      </c>
    </row>
    <row r="952" spans="1:24" ht="14.4">
      <c r="A952" s="14">
        <v>28</v>
      </c>
      <c r="B952" s="24">
        <v>166114</v>
      </c>
      <c r="C952" s="1">
        <v>2700611</v>
      </c>
      <c r="D952" s="1" t="s">
        <v>25</v>
      </c>
      <c r="E952" s="36">
        <v>45169</v>
      </c>
      <c r="F952" s="36">
        <v>45195</v>
      </c>
      <c r="G952" s="38">
        <f t="shared" si="14"/>
        <v>26</v>
      </c>
      <c r="H952" s="5">
        <v>45169</v>
      </c>
      <c r="I952" s="5">
        <v>45195</v>
      </c>
      <c r="J952" s="1" t="s">
        <v>41</v>
      </c>
      <c r="K952" s="1" t="s">
        <v>2354</v>
      </c>
      <c r="L952" s="1" t="s">
        <v>2355</v>
      </c>
      <c r="M952" s="1" t="s">
        <v>2356</v>
      </c>
      <c r="N952" s="1" t="s">
        <v>30</v>
      </c>
      <c r="O952" s="1" t="s">
        <v>2357</v>
      </c>
      <c r="P952" s="1" t="s">
        <v>2358</v>
      </c>
      <c r="Q952" s="1" t="s">
        <v>64</v>
      </c>
      <c r="R952" s="1" t="s">
        <v>65</v>
      </c>
      <c r="S952" s="1" t="s">
        <v>494</v>
      </c>
      <c r="U952" s="1" t="s">
        <v>35</v>
      </c>
      <c r="V952" s="1" t="s">
        <v>1151</v>
      </c>
      <c r="W952" s="1" t="str">
        <f>VLOOKUP(Table1[[#This Row],[Obergruppe ATC-Code]],Tabelle3!$A$2:$B$100,2)</f>
        <v>HYPOPHYSEN- UND HYPOTHALAMUSHORMONE UND ANALOGA</v>
      </c>
      <c r="X952" s="1" t="str">
        <f xml:space="preserve"> LEFT(Table1[[#This Row],[Atc Code]],3)</f>
        <v>H01</v>
      </c>
    </row>
    <row r="953" spans="1:24" ht="14.4">
      <c r="A953" s="14">
        <v>2219</v>
      </c>
      <c r="B953" s="24" t="s">
        <v>2359</v>
      </c>
      <c r="C953" s="1">
        <v>2178465</v>
      </c>
      <c r="D953" s="1" t="s">
        <v>25</v>
      </c>
      <c r="E953" s="36">
        <v>45006</v>
      </c>
      <c r="F953" s="36">
        <v>45071</v>
      </c>
      <c r="G953" s="38">
        <f t="shared" si="14"/>
        <v>65</v>
      </c>
      <c r="H953" s="5">
        <v>45006</v>
      </c>
      <c r="I953" s="5">
        <v>45071</v>
      </c>
      <c r="J953" s="1" t="s">
        <v>26</v>
      </c>
      <c r="K953" s="1" t="s">
        <v>2360</v>
      </c>
      <c r="L953" s="1" t="s">
        <v>2361</v>
      </c>
      <c r="M953" s="1" t="s">
        <v>2362</v>
      </c>
      <c r="N953" s="1" t="s">
        <v>38</v>
      </c>
      <c r="O953" s="1" t="s">
        <v>2363</v>
      </c>
      <c r="P953" s="1">
        <v>61319031144</v>
      </c>
      <c r="Q953" s="1" t="s">
        <v>429</v>
      </c>
      <c r="R953" s="1" t="s">
        <v>33</v>
      </c>
      <c r="S953" s="1" t="s">
        <v>487</v>
      </c>
      <c r="U953" s="1" t="s">
        <v>130</v>
      </c>
      <c r="V953" s="1" t="s">
        <v>2364</v>
      </c>
      <c r="W953" s="1" t="str">
        <f>VLOOKUP(Table1[[#This Row],[Obergruppe ATC-Code]],Tabelle3!$A$2:$B$100,2)</f>
        <v>HYPOPHYSEN- UND HYPOTHALAMUSHORMONE UND ANALOGA</v>
      </c>
      <c r="X953" s="1" t="str">
        <f xml:space="preserve"> LEFT(Table1[[#This Row],[Atc Code]],3)</f>
        <v>H01</v>
      </c>
    </row>
    <row r="954" spans="1:24" ht="14.4">
      <c r="A954" s="14">
        <v>2220</v>
      </c>
      <c r="B954" s="24" t="s">
        <v>2365</v>
      </c>
      <c r="C954" s="1">
        <v>2178466</v>
      </c>
      <c r="D954" s="1" t="s">
        <v>25</v>
      </c>
      <c r="E954" s="36">
        <v>45006</v>
      </c>
      <c r="F954" s="36">
        <v>45161</v>
      </c>
      <c r="G954" s="38">
        <f t="shared" si="14"/>
        <v>155</v>
      </c>
      <c r="H954" s="5">
        <v>45006</v>
      </c>
      <c r="I954" s="5">
        <v>45161</v>
      </c>
      <c r="J954" s="1" t="s">
        <v>26</v>
      </c>
      <c r="K954" s="1" t="s">
        <v>2366</v>
      </c>
      <c r="L954" s="1" t="s">
        <v>2361</v>
      </c>
      <c r="M954" s="1" t="s">
        <v>2362</v>
      </c>
      <c r="N954" s="1" t="s">
        <v>30</v>
      </c>
      <c r="O954" s="1" t="s">
        <v>2363</v>
      </c>
      <c r="P954" s="1">
        <v>61319031144</v>
      </c>
      <c r="Q954" s="1" t="s">
        <v>429</v>
      </c>
      <c r="R954" s="1" t="s">
        <v>33</v>
      </c>
      <c r="S954" s="1" t="s">
        <v>487</v>
      </c>
      <c r="T954" s="1" t="s">
        <v>2367</v>
      </c>
      <c r="U954" s="1" t="s">
        <v>130</v>
      </c>
      <c r="V954" s="1" t="s">
        <v>2364</v>
      </c>
      <c r="W954" s="1" t="str">
        <f>VLOOKUP(Table1[[#This Row],[Obergruppe ATC-Code]],Tabelle3!$A$2:$B$100,2)</f>
        <v>HYPOPHYSEN- UND HYPOTHALAMUSHORMONE UND ANALOGA</v>
      </c>
      <c r="X954" s="1" t="str">
        <f xml:space="preserve"> LEFT(Table1[[#This Row],[Atc Code]],3)</f>
        <v>H01</v>
      </c>
    </row>
    <row r="955" spans="1:24" ht="14.4">
      <c r="A955" s="14">
        <v>2218</v>
      </c>
      <c r="B955" s="24" t="s">
        <v>2359</v>
      </c>
      <c r="C955" s="1">
        <v>2178465</v>
      </c>
      <c r="D955" s="1" t="s">
        <v>102</v>
      </c>
      <c r="E955" s="36">
        <v>45098</v>
      </c>
      <c r="F955" s="36">
        <v>45231</v>
      </c>
      <c r="G955" s="38">
        <f t="shared" si="14"/>
        <v>133</v>
      </c>
      <c r="H955" s="5">
        <v>45098</v>
      </c>
      <c r="I955" s="5">
        <v>45161</v>
      </c>
      <c r="J955" s="1" t="s">
        <v>26</v>
      </c>
      <c r="K955" s="1" t="s">
        <v>2360</v>
      </c>
      <c r="L955" s="1" t="s">
        <v>2361</v>
      </c>
      <c r="M955" s="1" t="s">
        <v>2362</v>
      </c>
      <c r="N955" s="1" t="s">
        <v>30</v>
      </c>
      <c r="O955" s="1" t="s">
        <v>2363</v>
      </c>
      <c r="P955" s="1">
        <v>61319031144</v>
      </c>
      <c r="Q955" s="1" t="s">
        <v>429</v>
      </c>
      <c r="R955" s="1" t="s">
        <v>33</v>
      </c>
      <c r="S955" s="1" t="s">
        <v>487</v>
      </c>
      <c r="U955" s="1" t="s">
        <v>130</v>
      </c>
      <c r="V955" s="1" t="s">
        <v>2364</v>
      </c>
      <c r="W955" s="1" t="str">
        <f>VLOOKUP(Table1[[#This Row],[Obergruppe ATC-Code]],Tabelle3!$A$2:$B$100,2)</f>
        <v>HYPOPHYSEN- UND HYPOTHALAMUSHORMONE UND ANALOGA</v>
      </c>
      <c r="X955" s="1" t="str">
        <f xml:space="preserve"> LEFT(Table1[[#This Row],[Atc Code]],3)</f>
        <v>H01</v>
      </c>
    </row>
    <row r="956" spans="1:24" ht="14.4">
      <c r="A956" s="14">
        <v>2217</v>
      </c>
      <c r="B956" s="24" t="s">
        <v>2368</v>
      </c>
      <c r="C956" s="1">
        <v>2178464</v>
      </c>
      <c r="D956" s="1" t="s">
        <v>102</v>
      </c>
      <c r="E956" s="36">
        <v>45013</v>
      </c>
      <c r="F956" s="36">
        <v>45259</v>
      </c>
      <c r="G956" s="38">
        <f t="shared" si="14"/>
        <v>246</v>
      </c>
      <c r="H956" s="5">
        <v>45013</v>
      </c>
      <c r="I956" s="5">
        <v>45161</v>
      </c>
      <c r="J956" s="1" t="s">
        <v>26</v>
      </c>
      <c r="K956" s="1" t="s">
        <v>2369</v>
      </c>
      <c r="L956" s="1" t="s">
        <v>2361</v>
      </c>
      <c r="M956" s="1" t="s">
        <v>2362</v>
      </c>
      <c r="N956" s="1" t="s">
        <v>38</v>
      </c>
      <c r="O956" s="1" t="s">
        <v>2363</v>
      </c>
      <c r="P956" s="1">
        <v>61319031144</v>
      </c>
      <c r="Q956" s="1" t="s">
        <v>429</v>
      </c>
      <c r="R956" s="1" t="s">
        <v>33</v>
      </c>
      <c r="S956" s="1" t="s">
        <v>487</v>
      </c>
      <c r="U956" s="1" t="s">
        <v>57</v>
      </c>
      <c r="V956" s="1" t="s">
        <v>2364</v>
      </c>
      <c r="W956" s="1" t="str">
        <f>VLOOKUP(Table1[[#This Row],[Obergruppe ATC-Code]],Tabelle3!$A$2:$B$100,2)</f>
        <v>HYPOPHYSEN- UND HYPOTHALAMUSHORMONE UND ANALOGA</v>
      </c>
      <c r="X956" s="1" t="str">
        <f xml:space="preserve"> LEFT(Table1[[#This Row],[Atc Code]],3)</f>
        <v>H01</v>
      </c>
    </row>
    <row r="957" spans="1:24" ht="14.4">
      <c r="A957" s="14">
        <v>2221</v>
      </c>
      <c r="B957" s="24" t="s">
        <v>2365</v>
      </c>
      <c r="C957" s="1">
        <v>2178466</v>
      </c>
      <c r="D957" s="1" t="s">
        <v>102</v>
      </c>
      <c r="E957" s="36">
        <v>45161</v>
      </c>
      <c r="F957" s="36">
        <v>45231</v>
      </c>
      <c r="G957" s="38">
        <f t="shared" si="14"/>
        <v>70</v>
      </c>
      <c r="H957" s="5">
        <v>45161</v>
      </c>
      <c r="I957" s="5">
        <v>45182</v>
      </c>
      <c r="J957" s="1" t="s">
        <v>26</v>
      </c>
      <c r="K957" s="1" t="s">
        <v>2366</v>
      </c>
      <c r="L957" s="1" t="s">
        <v>2361</v>
      </c>
      <c r="M957" s="1" t="s">
        <v>2362</v>
      </c>
      <c r="N957" s="1" t="s">
        <v>30</v>
      </c>
      <c r="O957" s="1" t="s">
        <v>2363</v>
      </c>
      <c r="P957" s="1">
        <v>61319031144</v>
      </c>
      <c r="Q957" s="1" t="s">
        <v>429</v>
      </c>
      <c r="R957" s="1" t="s">
        <v>33</v>
      </c>
      <c r="S957" s="1" t="s">
        <v>487</v>
      </c>
      <c r="U957" s="1" t="s">
        <v>130</v>
      </c>
      <c r="V957" s="1" t="s">
        <v>2364</v>
      </c>
      <c r="W957" s="1" t="str">
        <f>VLOOKUP(Table1[[#This Row],[Obergruppe ATC-Code]],Tabelle3!$A$2:$B$100,2)</f>
        <v>HYPOPHYSEN- UND HYPOTHALAMUSHORMONE UND ANALOGA</v>
      </c>
      <c r="X957" s="1" t="str">
        <f xml:space="preserve"> LEFT(Table1[[#This Row],[Atc Code]],3)</f>
        <v>H01</v>
      </c>
    </row>
    <row r="958" spans="1:24" ht="14.4">
      <c r="A958" s="14">
        <v>65</v>
      </c>
      <c r="B958" s="24">
        <v>461681</v>
      </c>
      <c r="C958" s="1">
        <v>2703057</v>
      </c>
      <c r="D958" s="1" t="s">
        <v>175</v>
      </c>
      <c r="E958" s="36">
        <v>45189</v>
      </c>
      <c r="F958" s="36">
        <v>45229</v>
      </c>
      <c r="G958" s="38">
        <f t="shared" si="14"/>
        <v>40</v>
      </c>
      <c r="H958" s="5">
        <v>45194</v>
      </c>
      <c r="I958" s="5">
        <v>45194</v>
      </c>
      <c r="J958" s="1" t="s">
        <v>26</v>
      </c>
      <c r="K958" s="1" t="s">
        <v>2370</v>
      </c>
      <c r="L958" s="1" t="s">
        <v>2371</v>
      </c>
      <c r="M958" s="1" t="s">
        <v>2372</v>
      </c>
      <c r="N958" s="1" t="s">
        <v>30</v>
      </c>
      <c r="O958" s="1" t="s">
        <v>2274</v>
      </c>
      <c r="P958" s="1" t="s">
        <v>2125</v>
      </c>
      <c r="Q958" s="1" t="s">
        <v>331</v>
      </c>
      <c r="R958" s="1" t="s">
        <v>113</v>
      </c>
      <c r="S958" s="1"/>
      <c r="T958" s="1" t="s">
        <v>2373</v>
      </c>
      <c r="U958" s="1" t="s">
        <v>130</v>
      </c>
      <c r="V958" s="1" t="s">
        <v>803</v>
      </c>
      <c r="W958" s="1" t="str">
        <f>VLOOKUP(Table1[[#This Row],[Obergruppe ATC-Code]],Tabelle3!$A$2:$B$100,2)</f>
        <v>HYPOPHYSEN- UND HYPOTHALAMUSHORMONE UND ANALOGA</v>
      </c>
      <c r="X958" s="1" t="str">
        <f xml:space="preserve"> LEFT(Table1[[#This Row],[Atc Code]],3)</f>
        <v>H01</v>
      </c>
    </row>
    <row r="959" spans="1:24" ht="14.4">
      <c r="A959" s="14">
        <v>300</v>
      </c>
      <c r="B959" s="24">
        <v>1875433</v>
      </c>
      <c r="C959" s="1">
        <v>2100946</v>
      </c>
      <c r="D959" s="1" t="s">
        <v>25</v>
      </c>
      <c r="E959" s="36">
        <v>44974</v>
      </c>
      <c r="F959" s="36">
        <v>45019</v>
      </c>
      <c r="G959" s="38">
        <f t="shared" si="14"/>
        <v>45</v>
      </c>
      <c r="H959" s="5">
        <v>44974</v>
      </c>
      <c r="I959" s="5">
        <v>45019</v>
      </c>
      <c r="J959" s="1" t="s">
        <v>41</v>
      </c>
      <c r="K959" s="1" t="s">
        <v>2374</v>
      </c>
      <c r="L959" s="1" t="s">
        <v>2375</v>
      </c>
      <c r="M959" s="1" t="s">
        <v>2376</v>
      </c>
      <c r="N959" s="1" t="s">
        <v>38</v>
      </c>
      <c r="O959" s="1" t="s">
        <v>356</v>
      </c>
      <c r="P959" s="1">
        <v>494315852134</v>
      </c>
      <c r="Q959" s="1" t="s">
        <v>357</v>
      </c>
      <c r="R959" s="1" t="s">
        <v>128</v>
      </c>
      <c r="S959" s="1"/>
      <c r="U959" s="1" t="s">
        <v>130</v>
      </c>
      <c r="V959" s="1" t="s">
        <v>1007</v>
      </c>
      <c r="W959" s="1" t="str">
        <f>VLOOKUP(Table1[[#This Row],[Obergruppe ATC-Code]],Tabelle3!$A$2:$B$100,2)</f>
        <v>HYPOPHYSEN- UND HYPOTHALAMUSHORMONE UND ANALOGA</v>
      </c>
      <c r="X959" s="1" t="str">
        <f xml:space="preserve"> LEFT(Table1[[#This Row],[Atc Code]],3)</f>
        <v>H01</v>
      </c>
    </row>
    <row r="960" spans="1:24" ht="14.4">
      <c r="A960" s="14">
        <v>2487</v>
      </c>
      <c r="B960" s="24" t="s">
        <v>2377</v>
      </c>
      <c r="C960" s="1">
        <v>2139761</v>
      </c>
      <c r="D960" s="1" t="s">
        <v>25</v>
      </c>
      <c r="E960" s="36">
        <v>44013</v>
      </c>
      <c r="F960" s="36">
        <v>45107</v>
      </c>
      <c r="G960" s="38">
        <f t="shared" si="14"/>
        <v>1094</v>
      </c>
      <c r="H960" s="5">
        <v>44032</v>
      </c>
      <c r="I960" s="5">
        <v>44392</v>
      </c>
      <c r="J960" s="1" t="s">
        <v>41</v>
      </c>
      <c r="K960" s="1" t="s">
        <v>2378</v>
      </c>
      <c r="L960" s="1" t="s">
        <v>2379</v>
      </c>
      <c r="M960" s="1" t="s">
        <v>2380</v>
      </c>
      <c r="N960" s="1" t="s">
        <v>30</v>
      </c>
      <c r="O960" s="1" t="s">
        <v>356</v>
      </c>
      <c r="P960" s="1" t="s">
        <v>2381</v>
      </c>
      <c r="Q960" s="1" t="s">
        <v>2382</v>
      </c>
      <c r="R960" s="1" t="s">
        <v>26</v>
      </c>
      <c r="S960" s="1"/>
      <c r="T960" s="1" t="s">
        <v>2383</v>
      </c>
      <c r="U960" s="1" t="s">
        <v>35</v>
      </c>
      <c r="V960" s="1" t="s">
        <v>2384</v>
      </c>
      <c r="W960" s="1" t="str">
        <f>VLOOKUP(Table1[[#This Row],[Obergruppe ATC-Code]],Tabelle3!$A$2:$B$100,2)</f>
        <v>HYPOPHYSEN- UND HYPOTHALAMUSHORMONE UND ANALOGA</v>
      </c>
      <c r="X960" s="1" t="str">
        <f xml:space="preserve"> LEFT(Table1[[#This Row],[Atc Code]],3)</f>
        <v>H01</v>
      </c>
    </row>
    <row r="961" spans="1:24" ht="14.4">
      <c r="A961" s="14">
        <v>1700</v>
      </c>
      <c r="B961" s="24" t="s">
        <v>2385</v>
      </c>
      <c r="C961" s="1">
        <v>3001921</v>
      </c>
      <c r="D961" s="1" t="s">
        <v>25</v>
      </c>
      <c r="E961" s="36">
        <v>44013</v>
      </c>
      <c r="F961" s="36">
        <v>45107</v>
      </c>
      <c r="G961" s="38">
        <f t="shared" si="14"/>
        <v>1094</v>
      </c>
      <c r="H961" s="5">
        <v>44032</v>
      </c>
      <c r="I961" s="5">
        <v>44392</v>
      </c>
      <c r="J961" s="1" t="s">
        <v>41</v>
      </c>
      <c r="K961" s="1" t="s">
        <v>2386</v>
      </c>
      <c r="L961" s="1" t="s">
        <v>2379</v>
      </c>
      <c r="M961" s="1" t="s">
        <v>2380</v>
      </c>
      <c r="N961" s="1" t="s">
        <v>38</v>
      </c>
      <c r="O961" s="1" t="s">
        <v>356</v>
      </c>
      <c r="P961" s="1" t="s">
        <v>2381</v>
      </c>
      <c r="Q961" s="1" t="s">
        <v>2382</v>
      </c>
      <c r="R961" s="1" t="s">
        <v>26</v>
      </c>
      <c r="S961" s="1"/>
      <c r="T961" s="1" t="s">
        <v>2387</v>
      </c>
      <c r="U961" s="1" t="s">
        <v>35</v>
      </c>
      <c r="V961" s="1" t="s">
        <v>225</v>
      </c>
      <c r="W961" s="1" t="str">
        <f>VLOOKUP(Table1[[#This Row],[Obergruppe ATC-Code]],Tabelle3!$A$2:$B$100,2)</f>
        <v>HYPOPHYSEN- UND HYPOTHALAMUSHORMONE UND ANALOGA</v>
      </c>
      <c r="X961" s="1" t="str">
        <f xml:space="preserve"> LEFT(Table1[[#This Row],[Atc Code]],3)</f>
        <v>H01</v>
      </c>
    </row>
    <row r="962" spans="1:24" ht="14.4">
      <c r="A962" s="14">
        <v>1797</v>
      </c>
      <c r="B962" s="24" t="s">
        <v>2388</v>
      </c>
      <c r="C962" s="1">
        <v>2145814</v>
      </c>
      <c r="D962" s="1" t="s">
        <v>102</v>
      </c>
      <c r="E962" s="36">
        <v>45149</v>
      </c>
      <c r="F962" s="36">
        <v>45230</v>
      </c>
      <c r="G962" s="38">
        <f t="shared" ref="G962:G1025" si="15">F962-E962</f>
        <v>81</v>
      </c>
      <c r="H962" s="5">
        <v>45149</v>
      </c>
      <c r="I962" s="5">
        <v>45208</v>
      </c>
      <c r="J962" s="1" t="s">
        <v>41</v>
      </c>
      <c r="K962" s="1" t="s">
        <v>2389</v>
      </c>
      <c r="L962" s="1" t="s">
        <v>2379</v>
      </c>
      <c r="M962" s="1" t="s">
        <v>2380</v>
      </c>
      <c r="N962" s="1" t="s">
        <v>30</v>
      </c>
      <c r="O962" s="1" t="s">
        <v>2390</v>
      </c>
      <c r="P962" s="1">
        <v>3513363465</v>
      </c>
      <c r="Q962" s="1" t="s">
        <v>2391</v>
      </c>
      <c r="R962" s="1" t="s">
        <v>128</v>
      </c>
      <c r="S962" s="1" t="s">
        <v>2392</v>
      </c>
      <c r="U962" s="1" t="s">
        <v>130</v>
      </c>
      <c r="V962" s="1" t="s">
        <v>2384</v>
      </c>
      <c r="W962" s="1" t="str">
        <f>VLOOKUP(Table1[[#This Row],[Obergruppe ATC-Code]],Tabelle3!$A$2:$B$100,2)</f>
        <v>HYPOPHYSEN- UND HYPOTHALAMUSHORMONE UND ANALOGA</v>
      </c>
      <c r="X962" s="1" t="str">
        <f xml:space="preserve"> LEFT(Table1[[#This Row],[Atc Code]],3)</f>
        <v>H01</v>
      </c>
    </row>
    <row r="963" spans="1:24" ht="14.4">
      <c r="A963" s="14">
        <v>3092</v>
      </c>
      <c r="B963" s="51">
        <v>253020</v>
      </c>
      <c r="C963" s="1">
        <v>2132188</v>
      </c>
      <c r="D963" s="1" t="s">
        <v>25</v>
      </c>
      <c r="E963" s="36">
        <v>44136</v>
      </c>
      <c r="F963" s="36">
        <v>44412</v>
      </c>
      <c r="G963" s="38">
        <f t="shared" si="15"/>
        <v>276</v>
      </c>
      <c r="H963" s="5">
        <v>44055</v>
      </c>
      <c r="I963" s="5">
        <v>44412</v>
      </c>
      <c r="J963" s="1" t="s">
        <v>41</v>
      </c>
      <c r="K963" s="1" t="s">
        <v>2393</v>
      </c>
      <c r="L963" s="1" t="s">
        <v>2394</v>
      </c>
      <c r="M963" s="1" t="s">
        <v>2380</v>
      </c>
      <c r="N963" s="1" t="s">
        <v>38</v>
      </c>
      <c r="O963" s="1" t="s">
        <v>356</v>
      </c>
      <c r="P963" s="1" t="s">
        <v>2381</v>
      </c>
      <c r="Q963" s="1" t="s">
        <v>2382</v>
      </c>
      <c r="R963" s="1" t="s">
        <v>26</v>
      </c>
      <c r="S963" s="1"/>
      <c r="T963" s="1" t="s">
        <v>2387</v>
      </c>
      <c r="U963" s="1" t="s">
        <v>35</v>
      </c>
      <c r="V963" s="1" t="s">
        <v>225</v>
      </c>
      <c r="W963" s="1" t="str">
        <f>VLOOKUP(Table1[[#This Row],[Obergruppe ATC-Code]],Tabelle3!$A$2:$B$100,2)</f>
        <v>HYPOPHYSEN- UND HYPOTHALAMUSHORMONE UND ANALOGA</v>
      </c>
      <c r="X963" s="1" t="str">
        <f xml:space="preserve"> LEFT(Table1[[#This Row],[Atc Code]],3)</f>
        <v>H01</v>
      </c>
    </row>
    <row r="964" spans="1:24" ht="14.4">
      <c r="A964" s="14">
        <v>759</v>
      </c>
      <c r="B964" s="24">
        <v>5496483</v>
      </c>
      <c r="C964" s="1">
        <v>2169482</v>
      </c>
      <c r="D964" s="1" t="s">
        <v>25</v>
      </c>
      <c r="E964" s="36">
        <v>44679</v>
      </c>
      <c r="F964" s="36">
        <v>44727</v>
      </c>
      <c r="G964" s="38">
        <f t="shared" si="15"/>
        <v>48</v>
      </c>
      <c r="H964" s="5">
        <v>44679</v>
      </c>
      <c r="I964" s="5">
        <v>44732</v>
      </c>
      <c r="J964" s="1" t="s">
        <v>41</v>
      </c>
      <c r="K964" s="1" t="s">
        <v>2395</v>
      </c>
      <c r="L964" s="1" t="s">
        <v>2396</v>
      </c>
      <c r="M964" s="1" t="s">
        <v>2397</v>
      </c>
      <c r="N964" s="1" t="s">
        <v>38</v>
      </c>
      <c r="O964" s="1" t="s">
        <v>356</v>
      </c>
      <c r="P964" s="1" t="s">
        <v>2245</v>
      </c>
      <c r="Q964" s="1" t="s">
        <v>357</v>
      </c>
      <c r="R964" s="1" t="s">
        <v>128</v>
      </c>
      <c r="S964" s="1"/>
      <c r="U964" s="1" t="s">
        <v>130</v>
      </c>
      <c r="V964" s="1" t="s">
        <v>74</v>
      </c>
      <c r="W964" s="1" t="str">
        <f>VLOOKUP(Table1[[#This Row],[Obergruppe ATC-Code]],Tabelle3!$A$2:$B$100,2)</f>
        <v>HYPOPHYSEN- UND HYPOTHALAMUSHORMONE UND ANALOGA</v>
      </c>
      <c r="X964" s="1" t="str">
        <f xml:space="preserve"> LEFT(Table1[[#This Row],[Atc Code]],3)</f>
        <v>H01</v>
      </c>
    </row>
    <row r="965" spans="1:24" ht="14.4">
      <c r="A965" s="14">
        <v>2858</v>
      </c>
      <c r="B965" s="24" t="s">
        <v>2398</v>
      </c>
      <c r="C965" s="1">
        <v>209131</v>
      </c>
      <c r="D965" s="1" t="s">
        <v>25</v>
      </c>
      <c r="E965" s="36">
        <v>43466</v>
      </c>
      <c r="F965" s="36">
        <v>43585</v>
      </c>
      <c r="G965" s="38">
        <f t="shared" si="15"/>
        <v>119</v>
      </c>
      <c r="H965" s="5">
        <v>43461</v>
      </c>
      <c r="I965" s="5">
        <v>43560</v>
      </c>
      <c r="J965" s="1" t="s">
        <v>26</v>
      </c>
      <c r="K965" s="1" t="s">
        <v>2399</v>
      </c>
      <c r="L965" s="1" t="s">
        <v>2400</v>
      </c>
      <c r="M965" s="1" t="s">
        <v>2401</v>
      </c>
      <c r="N965" s="1" t="s">
        <v>30</v>
      </c>
      <c r="O965" s="1" t="s">
        <v>718</v>
      </c>
      <c r="P965" s="1" t="s">
        <v>719</v>
      </c>
      <c r="Q965" s="1" t="s">
        <v>720</v>
      </c>
      <c r="R965" s="1" t="s">
        <v>33</v>
      </c>
      <c r="S965" s="1"/>
      <c r="U965" s="1" t="s">
        <v>35</v>
      </c>
      <c r="V965" s="1" t="s">
        <v>74</v>
      </c>
      <c r="W965" s="1" t="str">
        <f>VLOOKUP(Table1[[#This Row],[Obergruppe ATC-Code]],Tabelle3!$A$2:$B$100,2)</f>
        <v>HYPOPHYSEN- UND HYPOTHALAMUSHORMONE UND ANALOGA</v>
      </c>
      <c r="X965" s="1" t="str">
        <f xml:space="preserve"> LEFT(Table1[[#This Row],[Atc Code]],3)</f>
        <v>H01</v>
      </c>
    </row>
    <row r="966" spans="1:24" ht="14.4">
      <c r="A966" s="14">
        <v>2857</v>
      </c>
      <c r="B966" s="24" t="s">
        <v>2402</v>
      </c>
      <c r="C966" s="1">
        <v>209119</v>
      </c>
      <c r="D966" s="1" t="s">
        <v>25</v>
      </c>
      <c r="E966" s="36">
        <v>43497</v>
      </c>
      <c r="F966" s="36">
        <v>43585</v>
      </c>
      <c r="G966" s="38">
        <f t="shared" si="15"/>
        <v>88</v>
      </c>
      <c r="H966" s="5">
        <v>43501</v>
      </c>
      <c r="I966" s="5">
        <v>43560</v>
      </c>
      <c r="J966" s="1" t="s">
        <v>26</v>
      </c>
      <c r="K966" s="1" t="s">
        <v>2403</v>
      </c>
      <c r="L966" s="1" t="s">
        <v>2400</v>
      </c>
      <c r="M966" s="1" t="s">
        <v>2401</v>
      </c>
      <c r="N966" s="1" t="s">
        <v>30</v>
      </c>
      <c r="O966" s="1" t="s">
        <v>718</v>
      </c>
      <c r="P966" s="1" t="s">
        <v>719</v>
      </c>
      <c r="Q966" s="1" t="s">
        <v>720</v>
      </c>
      <c r="R966" s="1" t="s">
        <v>33</v>
      </c>
      <c r="S966" s="1"/>
      <c r="U966" s="1" t="s">
        <v>35</v>
      </c>
      <c r="V966" s="1" t="s">
        <v>74</v>
      </c>
      <c r="W966" s="1" t="str">
        <f>VLOOKUP(Table1[[#This Row],[Obergruppe ATC-Code]],Tabelle3!$A$2:$B$100,2)</f>
        <v>HYPOPHYSEN- UND HYPOTHALAMUSHORMONE UND ANALOGA</v>
      </c>
      <c r="X966" s="1" t="str">
        <f xml:space="preserve"> LEFT(Table1[[#This Row],[Atc Code]],3)</f>
        <v>H01</v>
      </c>
    </row>
    <row r="967" spans="1:24" ht="14.4">
      <c r="A967" s="14">
        <v>1566</v>
      </c>
      <c r="B967" s="24">
        <v>16849795</v>
      </c>
      <c r="C967" s="1">
        <v>792024</v>
      </c>
      <c r="D967" s="1" t="s">
        <v>25</v>
      </c>
      <c r="E967" s="36">
        <v>43497</v>
      </c>
      <c r="F967" s="36">
        <v>43616</v>
      </c>
      <c r="G967" s="38">
        <f t="shared" si="15"/>
        <v>119</v>
      </c>
      <c r="H967" s="5">
        <v>43544</v>
      </c>
      <c r="I967" s="5">
        <v>43614</v>
      </c>
      <c r="J967" s="1" t="s">
        <v>41</v>
      </c>
      <c r="K967" s="1" t="s">
        <v>2404</v>
      </c>
      <c r="L967" s="1" t="s">
        <v>2400</v>
      </c>
      <c r="M967" s="1" t="s">
        <v>2401</v>
      </c>
      <c r="N967" s="1" t="s">
        <v>30</v>
      </c>
      <c r="O967" s="1" t="s">
        <v>91</v>
      </c>
      <c r="P967" s="1" t="s">
        <v>374</v>
      </c>
      <c r="Q967" s="1" t="s">
        <v>375</v>
      </c>
      <c r="R967" s="1" t="s">
        <v>48</v>
      </c>
      <c r="S967" s="1"/>
      <c r="U967" s="1" t="s">
        <v>57</v>
      </c>
      <c r="V967" s="1" t="s">
        <v>2405</v>
      </c>
      <c r="W967" s="1" t="str">
        <f>VLOOKUP(Table1[[#This Row],[Obergruppe ATC-Code]],Tabelle3!$A$2:$B$100,2)</f>
        <v>HYPOPHYSEN- UND HYPOTHALAMUSHORMONE UND ANALOGA</v>
      </c>
      <c r="X967" s="1" t="str">
        <f xml:space="preserve"> LEFT(Table1[[#This Row],[Atc Code]],3)</f>
        <v>H01</v>
      </c>
    </row>
    <row r="968" spans="1:24" ht="14.4">
      <c r="A968" s="14">
        <v>550</v>
      </c>
      <c r="B968" s="24">
        <v>3495433</v>
      </c>
      <c r="C968" s="1">
        <v>792053</v>
      </c>
      <c r="D968" s="1" t="s">
        <v>25</v>
      </c>
      <c r="E968" s="36">
        <v>43497</v>
      </c>
      <c r="F968" s="36">
        <v>43616</v>
      </c>
      <c r="G968" s="38">
        <f t="shared" si="15"/>
        <v>119</v>
      </c>
      <c r="H968" s="5">
        <v>43515</v>
      </c>
      <c r="I968" s="5">
        <v>43614</v>
      </c>
      <c r="J968" s="1" t="s">
        <v>41</v>
      </c>
      <c r="K968" s="1" t="s">
        <v>2406</v>
      </c>
      <c r="L968" s="1" t="s">
        <v>2400</v>
      </c>
      <c r="M968" s="1" t="s">
        <v>2401</v>
      </c>
      <c r="N968" s="1" t="s">
        <v>30</v>
      </c>
      <c r="O968" s="1" t="s">
        <v>91</v>
      </c>
      <c r="P968" s="1" t="s">
        <v>374</v>
      </c>
      <c r="Q968" s="1" t="s">
        <v>375</v>
      </c>
      <c r="R968" s="1" t="s">
        <v>48</v>
      </c>
      <c r="S968" s="1"/>
      <c r="U968" s="1" t="s">
        <v>35</v>
      </c>
      <c r="V968" s="1" t="s">
        <v>2405</v>
      </c>
      <c r="W968" s="1" t="str">
        <f>VLOOKUP(Table1[[#This Row],[Obergruppe ATC-Code]],Tabelle3!$A$2:$B$100,2)</f>
        <v>HYPOPHYSEN- UND HYPOTHALAMUSHORMONE UND ANALOGA</v>
      </c>
      <c r="X968" s="1" t="str">
        <f xml:space="preserve"> LEFT(Table1[[#This Row],[Atc Code]],3)</f>
        <v>H01</v>
      </c>
    </row>
    <row r="969" spans="1:24" ht="14.4">
      <c r="A969" s="14">
        <v>539</v>
      </c>
      <c r="B969" s="24">
        <v>3437097</v>
      </c>
      <c r="C969" s="1">
        <v>288768</v>
      </c>
      <c r="D969" s="1" t="s">
        <v>25</v>
      </c>
      <c r="E969" s="36">
        <v>43497</v>
      </c>
      <c r="F969" s="36">
        <v>43616</v>
      </c>
      <c r="G969" s="38">
        <f t="shared" si="15"/>
        <v>119</v>
      </c>
      <c r="H969" s="5">
        <v>43515</v>
      </c>
      <c r="I969" s="5">
        <v>43614</v>
      </c>
      <c r="J969" s="1" t="s">
        <v>41</v>
      </c>
      <c r="K969" s="1" t="s">
        <v>2407</v>
      </c>
      <c r="L969" s="1" t="s">
        <v>2400</v>
      </c>
      <c r="M969" s="1" t="s">
        <v>2401</v>
      </c>
      <c r="N969" s="1" t="s">
        <v>30</v>
      </c>
      <c r="O969" s="1" t="s">
        <v>91</v>
      </c>
      <c r="P969" s="1" t="s">
        <v>374</v>
      </c>
      <c r="Q969" s="1" t="s">
        <v>375</v>
      </c>
      <c r="R969" s="1" t="s">
        <v>48</v>
      </c>
      <c r="S969" s="1"/>
      <c r="U969" s="1" t="s">
        <v>57</v>
      </c>
      <c r="V969" s="1" t="s">
        <v>2405</v>
      </c>
      <c r="W969" s="1" t="str">
        <f>VLOOKUP(Table1[[#This Row],[Obergruppe ATC-Code]],Tabelle3!$A$2:$B$100,2)</f>
        <v>HYPOPHYSEN- UND HYPOTHALAMUSHORMONE UND ANALOGA</v>
      </c>
      <c r="X969" s="1" t="str">
        <f xml:space="preserve"> LEFT(Table1[[#This Row],[Atc Code]],3)</f>
        <v>H01</v>
      </c>
    </row>
    <row r="970" spans="1:24" ht="14.4">
      <c r="A970" s="14">
        <v>551</v>
      </c>
      <c r="B970" s="24">
        <v>3495433</v>
      </c>
      <c r="C970" s="1">
        <v>792053</v>
      </c>
      <c r="D970" s="1" t="s">
        <v>25</v>
      </c>
      <c r="E970" s="36">
        <v>44935</v>
      </c>
      <c r="F970" s="36">
        <v>45007</v>
      </c>
      <c r="G970" s="38">
        <f t="shared" si="15"/>
        <v>72</v>
      </c>
      <c r="H970" s="5">
        <v>44938</v>
      </c>
      <c r="I970" s="5">
        <v>45007</v>
      </c>
      <c r="J970" s="1" t="s">
        <v>26</v>
      </c>
      <c r="K970" s="1" t="s">
        <v>2406</v>
      </c>
      <c r="L970" s="1" t="s">
        <v>2400</v>
      </c>
      <c r="M970" s="1" t="s">
        <v>2401</v>
      </c>
      <c r="N970" s="1" t="s">
        <v>38</v>
      </c>
      <c r="O970" s="1" t="s">
        <v>91</v>
      </c>
      <c r="Q970" s="1" t="s">
        <v>93</v>
      </c>
      <c r="R970" s="1" t="s">
        <v>113</v>
      </c>
      <c r="S970" s="1"/>
      <c r="U970" s="1" t="s">
        <v>130</v>
      </c>
      <c r="V970" s="1" t="s">
        <v>2405</v>
      </c>
      <c r="W970" s="1" t="str">
        <f>VLOOKUP(Table1[[#This Row],[Obergruppe ATC-Code]],Tabelle3!$A$2:$B$100,2)</f>
        <v>HYPOPHYSEN- UND HYPOTHALAMUSHORMONE UND ANALOGA</v>
      </c>
      <c r="X970" s="1" t="str">
        <f xml:space="preserve"> LEFT(Table1[[#This Row],[Atc Code]],3)</f>
        <v>H01</v>
      </c>
    </row>
    <row r="971" spans="1:24" ht="14.4">
      <c r="A971" s="14">
        <v>505</v>
      </c>
      <c r="B971" s="24">
        <v>3127416</v>
      </c>
      <c r="C971" s="1">
        <v>2102255</v>
      </c>
      <c r="D971" s="1" t="s">
        <v>25</v>
      </c>
      <c r="E971" s="36">
        <v>44256</v>
      </c>
      <c r="F971" s="36">
        <v>44477</v>
      </c>
      <c r="G971" s="38">
        <f t="shared" si="15"/>
        <v>221</v>
      </c>
      <c r="H971" s="5">
        <v>44272</v>
      </c>
      <c r="I971" s="5">
        <v>44581</v>
      </c>
      <c r="J971" s="1" t="s">
        <v>26</v>
      </c>
      <c r="K971" s="1" t="s">
        <v>2408</v>
      </c>
      <c r="L971" s="1" t="s">
        <v>2409</v>
      </c>
      <c r="M971" s="1" t="s">
        <v>2410</v>
      </c>
      <c r="N971" s="1" t="s">
        <v>38</v>
      </c>
      <c r="O971" s="1" t="s">
        <v>1123</v>
      </c>
      <c r="P971" s="1" t="s">
        <v>2411</v>
      </c>
      <c r="Q971" s="1" t="s">
        <v>2412</v>
      </c>
      <c r="R971" s="1" t="s">
        <v>113</v>
      </c>
      <c r="S971" s="1"/>
      <c r="U971" s="1" t="s">
        <v>35</v>
      </c>
      <c r="V971" s="1" t="s">
        <v>225</v>
      </c>
      <c r="W971" s="1" t="str">
        <f>VLOOKUP(Table1[[#This Row],[Obergruppe ATC-Code]],Tabelle3!$A$2:$B$100,2)</f>
        <v>HYPOPHYSEN- UND HYPOTHALAMUSHORMONE UND ANALOGA</v>
      </c>
      <c r="X971" s="1" t="str">
        <f xml:space="preserve"> LEFT(Table1[[#This Row],[Atc Code]],3)</f>
        <v>H01</v>
      </c>
    </row>
    <row r="972" spans="1:24" ht="14.4">
      <c r="A972" s="14">
        <v>1004</v>
      </c>
      <c r="B972" s="24">
        <v>8695065</v>
      </c>
      <c r="C972" s="1">
        <v>2103822</v>
      </c>
      <c r="D972" s="1" t="s">
        <v>102</v>
      </c>
      <c r="E972" s="36">
        <v>44926</v>
      </c>
      <c r="F972" s="36">
        <v>45214</v>
      </c>
      <c r="G972" s="38">
        <f t="shared" si="15"/>
        <v>288</v>
      </c>
      <c r="H972" s="5">
        <v>44844</v>
      </c>
      <c r="I972" s="5">
        <v>45070</v>
      </c>
      <c r="J972" s="1" t="s">
        <v>41</v>
      </c>
      <c r="K972" s="1" t="s">
        <v>2413</v>
      </c>
      <c r="L972" s="1" t="s">
        <v>2414</v>
      </c>
      <c r="M972" s="1" t="s">
        <v>2415</v>
      </c>
      <c r="N972" s="1" t="s">
        <v>30</v>
      </c>
      <c r="O972" s="1" t="s">
        <v>2416</v>
      </c>
      <c r="P972" s="1" t="s">
        <v>2417</v>
      </c>
      <c r="Q972" s="1" t="s">
        <v>2418</v>
      </c>
      <c r="R972" s="1" t="s">
        <v>128</v>
      </c>
      <c r="S972" s="1"/>
      <c r="U972" s="1" t="s">
        <v>57</v>
      </c>
      <c r="V972" s="1" t="s">
        <v>2419</v>
      </c>
      <c r="W972" s="1" t="str">
        <f>VLOOKUP(Table1[[#This Row],[Obergruppe ATC-Code]],Tabelle3!$A$2:$B$100,2)</f>
        <v>HYPOPHYSEN- UND HYPOTHALAMUSHORMONE UND ANALOGA</v>
      </c>
      <c r="X972" s="1" t="str">
        <f xml:space="preserve"> LEFT(Table1[[#This Row],[Atc Code]],3)</f>
        <v>H01</v>
      </c>
    </row>
    <row r="973" spans="1:24" ht="14.4">
      <c r="A973" s="14">
        <v>1796</v>
      </c>
      <c r="B973" s="24" t="s">
        <v>2420</v>
      </c>
      <c r="C973" s="1">
        <v>2106568</v>
      </c>
      <c r="D973" s="1" t="s">
        <v>102</v>
      </c>
      <c r="E973" s="36">
        <v>44904</v>
      </c>
      <c r="F973" s="36">
        <v>45292</v>
      </c>
      <c r="G973" s="38">
        <f t="shared" si="15"/>
        <v>388</v>
      </c>
      <c r="H973" s="5">
        <v>44845</v>
      </c>
      <c r="I973" s="5">
        <v>45217</v>
      </c>
      <c r="J973" s="1" t="s">
        <v>41</v>
      </c>
      <c r="K973" s="1" t="s">
        <v>2421</v>
      </c>
      <c r="L973" s="1" t="s">
        <v>2414</v>
      </c>
      <c r="M973" s="1" t="s">
        <v>2415</v>
      </c>
      <c r="N973" s="1" t="s">
        <v>30</v>
      </c>
      <c r="O973" s="1" t="s">
        <v>2422</v>
      </c>
      <c r="Q973" s="1" t="s">
        <v>2423</v>
      </c>
      <c r="R973" s="1" t="s">
        <v>128</v>
      </c>
      <c r="S973" s="1"/>
      <c r="U973" s="1" t="s">
        <v>35</v>
      </c>
      <c r="V973" s="1" t="s">
        <v>154</v>
      </c>
      <c r="W973" s="1" t="str">
        <f>VLOOKUP(Table1[[#This Row],[Obergruppe ATC-Code]],Tabelle3!$A$2:$B$100,2)</f>
        <v>HYPOPHYSEN- UND HYPOTHALAMUSHORMONE UND ANALOGA</v>
      </c>
      <c r="X973" s="1" t="str">
        <f xml:space="preserve"> LEFT(Table1[[#This Row],[Atc Code]],3)</f>
        <v>H01</v>
      </c>
    </row>
    <row r="974" spans="1:24" ht="14.4">
      <c r="A974" s="14">
        <v>1828</v>
      </c>
      <c r="B974" s="24" t="s">
        <v>2424</v>
      </c>
      <c r="C974" s="1">
        <v>2163658</v>
      </c>
      <c r="D974" s="1" t="s">
        <v>25</v>
      </c>
      <c r="E974" s="36">
        <v>44442</v>
      </c>
      <c r="F974" s="36">
        <v>44649</v>
      </c>
      <c r="G974" s="38">
        <f t="shared" si="15"/>
        <v>207</v>
      </c>
      <c r="H974" s="5">
        <v>44442</v>
      </c>
      <c r="I974" s="5">
        <v>44649</v>
      </c>
      <c r="J974" s="1" t="s">
        <v>26</v>
      </c>
      <c r="K974" s="1" t="s">
        <v>2425</v>
      </c>
      <c r="L974" s="1" t="s">
        <v>2426</v>
      </c>
      <c r="M974" s="1" t="s">
        <v>2427</v>
      </c>
      <c r="N974" s="1" t="s">
        <v>38</v>
      </c>
      <c r="O974" s="1" t="s">
        <v>91</v>
      </c>
      <c r="P974" s="1" t="s">
        <v>92</v>
      </c>
      <c r="Q974" s="1" t="s">
        <v>93</v>
      </c>
      <c r="R974" s="1" t="s">
        <v>26</v>
      </c>
      <c r="S974" s="1"/>
      <c r="U974" s="1" t="s">
        <v>130</v>
      </c>
      <c r="V974" s="1" t="s">
        <v>74</v>
      </c>
      <c r="W974" s="1" t="str">
        <f>VLOOKUP(Table1[[#This Row],[Obergruppe ATC-Code]],Tabelle3!$A$2:$B$100,2)</f>
        <v>HYPOPHYSEN- UND HYPOTHALAMUSHORMONE UND ANALOGA</v>
      </c>
      <c r="X974" s="1" t="str">
        <f xml:space="preserve"> LEFT(Table1[[#This Row],[Atc Code]],3)</f>
        <v>H01</v>
      </c>
    </row>
    <row r="975" spans="1:24" ht="14.4">
      <c r="A975" s="14">
        <v>2261</v>
      </c>
      <c r="B975" s="24" t="s">
        <v>2428</v>
      </c>
      <c r="C975" s="1">
        <v>2163657</v>
      </c>
      <c r="D975" s="1" t="s">
        <v>25</v>
      </c>
      <c r="E975" s="36">
        <v>44498</v>
      </c>
      <c r="F975" s="36">
        <v>44665</v>
      </c>
      <c r="G975" s="38">
        <f t="shared" si="15"/>
        <v>167</v>
      </c>
      <c r="H975" s="5">
        <v>44498</v>
      </c>
      <c r="I975" s="5">
        <v>44665</v>
      </c>
      <c r="J975" s="1" t="s">
        <v>26</v>
      </c>
      <c r="K975" s="1" t="s">
        <v>2429</v>
      </c>
      <c r="L975" s="1" t="s">
        <v>2426</v>
      </c>
      <c r="M975" s="1" t="s">
        <v>2427</v>
      </c>
      <c r="N975" s="1" t="s">
        <v>38</v>
      </c>
      <c r="O975" s="1" t="s">
        <v>91</v>
      </c>
      <c r="P975" s="1" t="s">
        <v>92</v>
      </c>
      <c r="Q975" s="1" t="s">
        <v>93</v>
      </c>
      <c r="R975" s="1" t="s">
        <v>26</v>
      </c>
      <c r="S975" s="1"/>
      <c r="U975" s="1" t="s">
        <v>130</v>
      </c>
      <c r="V975" s="1" t="s">
        <v>74</v>
      </c>
      <c r="W975" s="1" t="str">
        <f>VLOOKUP(Table1[[#This Row],[Obergruppe ATC-Code]],Tabelle3!$A$2:$B$100,2)</f>
        <v>HYPOPHYSEN- UND HYPOTHALAMUSHORMONE UND ANALOGA</v>
      </c>
      <c r="X975" s="1" t="str">
        <f xml:space="preserve"> LEFT(Table1[[#This Row],[Atc Code]],3)</f>
        <v>H01</v>
      </c>
    </row>
    <row r="976" spans="1:24" ht="14.4">
      <c r="A976" s="14">
        <v>2785</v>
      </c>
      <c r="B976" s="24" t="s">
        <v>2430</v>
      </c>
      <c r="C976" s="1">
        <v>2201171</v>
      </c>
      <c r="D976" s="1" t="s">
        <v>175</v>
      </c>
      <c r="E976" s="36">
        <v>45017</v>
      </c>
      <c r="F976" s="36">
        <v>45383</v>
      </c>
      <c r="G976" s="38">
        <f t="shared" si="15"/>
        <v>366</v>
      </c>
      <c r="H976" s="5">
        <v>44950</v>
      </c>
      <c r="I976" s="5">
        <v>44950</v>
      </c>
      <c r="J976" s="1" t="s">
        <v>26</v>
      </c>
      <c r="K976" s="1" t="s">
        <v>2431</v>
      </c>
      <c r="L976" s="1" t="s">
        <v>2426</v>
      </c>
      <c r="M976" s="1" t="s">
        <v>2432</v>
      </c>
      <c r="N976" s="1" t="s">
        <v>30</v>
      </c>
      <c r="O976" s="1" t="s">
        <v>45</v>
      </c>
      <c r="P976" s="1" t="s">
        <v>2433</v>
      </c>
      <c r="Q976" s="1" t="s">
        <v>2434</v>
      </c>
      <c r="R976" s="1" t="s">
        <v>26</v>
      </c>
      <c r="S976" s="1"/>
      <c r="U976" s="1" t="s">
        <v>130</v>
      </c>
      <c r="V976" s="1" t="s">
        <v>2435</v>
      </c>
      <c r="W976" s="1" t="str">
        <f>VLOOKUP(Table1[[#This Row],[Obergruppe ATC-Code]],Tabelle3!$A$2:$B$100,2)</f>
        <v>HYPOPHYSEN- UND HYPOTHALAMUSHORMONE UND ANALOGA</v>
      </c>
      <c r="X976" s="1" t="str">
        <f xml:space="preserve"> LEFT(Table1[[#This Row],[Atc Code]],3)</f>
        <v>H01</v>
      </c>
    </row>
    <row r="977" spans="1:24" ht="14.4">
      <c r="A977" s="14">
        <v>2784</v>
      </c>
      <c r="B977" s="24" t="s">
        <v>2436</v>
      </c>
      <c r="C977" s="1">
        <v>2201170</v>
      </c>
      <c r="D977" s="1" t="s">
        <v>175</v>
      </c>
      <c r="E977" s="36">
        <v>44986</v>
      </c>
      <c r="F977" s="36">
        <v>45383</v>
      </c>
      <c r="G977" s="38">
        <f t="shared" si="15"/>
        <v>397</v>
      </c>
      <c r="H977" s="5">
        <v>44950</v>
      </c>
      <c r="I977" s="5">
        <v>44950</v>
      </c>
      <c r="J977" s="1" t="s">
        <v>26</v>
      </c>
      <c r="K977" s="1" t="s">
        <v>2437</v>
      </c>
      <c r="L977" s="1" t="s">
        <v>2426</v>
      </c>
      <c r="M977" s="1" t="s">
        <v>2432</v>
      </c>
      <c r="N977" s="1" t="s">
        <v>30</v>
      </c>
      <c r="O977" s="1" t="s">
        <v>45</v>
      </c>
      <c r="P977" s="1" t="s">
        <v>2438</v>
      </c>
      <c r="Q977" s="1" t="s">
        <v>2434</v>
      </c>
      <c r="R977" s="1" t="s">
        <v>26</v>
      </c>
      <c r="S977" s="1"/>
      <c r="U977" s="1" t="s">
        <v>130</v>
      </c>
      <c r="V977" s="1" t="s">
        <v>2435</v>
      </c>
      <c r="W977" s="1" t="str">
        <f>VLOOKUP(Table1[[#This Row],[Obergruppe ATC-Code]],Tabelle3!$A$2:$B$100,2)</f>
        <v>HYPOPHYSEN- UND HYPOTHALAMUSHORMONE UND ANALOGA</v>
      </c>
      <c r="X977" s="1" t="str">
        <f xml:space="preserve"> LEFT(Table1[[#This Row],[Atc Code]],3)</f>
        <v>H01</v>
      </c>
    </row>
    <row r="978" spans="1:24" ht="14.4">
      <c r="A978" s="14">
        <v>2783</v>
      </c>
      <c r="B978" s="24" t="s">
        <v>2439</v>
      </c>
      <c r="C978" s="1">
        <v>2201169</v>
      </c>
      <c r="D978" s="1" t="s">
        <v>175</v>
      </c>
      <c r="E978" s="36">
        <v>44986</v>
      </c>
      <c r="F978" s="36">
        <v>45383</v>
      </c>
      <c r="G978" s="38">
        <f t="shared" si="15"/>
        <v>397</v>
      </c>
      <c r="H978" s="5">
        <v>44950</v>
      </c>
      <c r="I978" s="5">
        <v>44950</v>
      </c>
      <c r="J978" s="1" t="s">
        <v>26</v>
      </c>
      <c r="K978" s="1" t="s">
        <v>2440</v>
      </c>
      <c r="L978" s="1" t="s">
        <v>2426</v>
      </c>
      <c r="M978" s="1" t="s">
        <v>2432</v>
      </c>
      <c r="N978" s="1" t="s">
        <v>30</v>
      </c>
      <c r="O978" s="1" t="s">
        <v>45</v>
      </c>
      <c r="P978" s="1" t="s">
        <v>2438</v>
      </c>
      <c r="Q978" s="1" t="s">
        <v>2434</v>
      </c>
      <c r="R978" s="1" t="s">
        <v>26</v>
      </c>
      <c r="S978" s="1"/>
      <c r="U978" s="1" t="s">
        <v>130</v>
      </c>
      <c r="V978" s="1" t="s">
        <v>2435</v>
      </c>
      <c r="W978" s="1" t="str">
        <f>VLOOKUP(Table1[[#This Row],[Obergruppe ATC-Code]],Tabelle3!$A$2:$B$100,2)</f>
        <v>HYPOPHYSEN- UND HYPOTHALAMUSHORMONE UND ANALOGA</v>
      </c>
      <c r="X978" s="1" t="str">
        <f xml:space="preserve"> LEFT(Table1[[#This Row],[Atc Code]],3)</f>
        <v>H01</v>
      </c>
    </row>
    <row r="979" spans="1:24" ht="14.4">
      <c r="A979" s="14">
        <v>307</v>
      </c>
      <c r="B979" s="24">
        <v>1950726</v>
      </c>
      <c r="C979" s="1">
        <v>451228</v>
      </c>
      <c r="D979" s="1" t="s">
        <v>25</v>
      </c>
      <c r="E979" s="36">
        <v>44949</v>
      </c>
      <c r="F979" s="36">
        <v>45111</v>
      </c>
      <c r="G979" s="38">
        <f t="shared" si="15"/>
        <v>162</v>
      </c>
      <c r="H979" s="5">
        <v>44956</v>
      </c>
      <c r="I979" s="5">
        <v>45112</v>
      </c>
      <c r="J979" s="1" t="s">
        <v>41</v>
      </c>
      <c r="K979" s="1" t="s">
        <v>2441</v>
      </c>
      <c r="L979" s="1" t="s">
        <v>2442</v>
      </c>
      <c r="M979" s="1" t="s">
        <v>2443</v>
      </c>
      <c r="N979" s="1" t="s">
        <v>30</v>
      </c>
      <c r="O979" s="1" t="s">
        <v>1339</v>
      </c>
      <c r="Q979" s="1" t="s">
        <v>1341</v>
      </c>
      <c r="R979" s="1" t="s">
        <v>165</v>
      </c>
      <c r="S979" s="1"/>
      <c r="U979" s="1" t="s">
        <v>130</v>
      </c>
      <c r="V979" s="1" t="s">
        <v>508</v>
      </c>
      <c r="W979" s="1" t="str">
        <f>VLOOKUP(Table1[[#This Row],[Obergruppe ATC-Code]],Tabelle3!$A$2:$B$100,2)</f>
        <v>CORTICOSTEROIDE ZUR SYSTEMISCHEN ANWENDUNG</v>
      </c>
      <c r="X979" s="1" t="str">
        <f xml:space="preserve"> LEFT(Table1[[#This Row],[Atc Code]],3)</f>
        <v>H02</v>
      </c>
    </row>
    <row r="980" spans="1:24" ht="14.4">
      <c r="A980" s="14">
        <v>306</v>
      </c>
      <c r="B980" s="24">
        <v>1950726</v>
      </c>
      <c r="C980" s="1">
        <v>451228</v>
      </c>
      <c r="D980" s="1" t="s">
        <v>175</v>
      </c>
      <c r="E980" s="36">
        <v>45132</v>
      </c>
      <c r="F980" s="36">
        <v>45230</v>
      </c>
      <c r="G980" s="38">
        <f t="shared" si="15"/>
        <v>98</v>
      </c>
      <c r="H980" s="5">
        <v>45134</v>
      </c>
      <c r="I980" s="5">
        <v>45134</v>
      </c>
      <c r="J980" s="1" t="s">
        <v>41</v>
      </c>
      <c r="K980" s="1" t="s">
        <v>2441</v>
      </c>
      <c r="L980" s="1" t="s">
        <v>2442</v>
      </c>
      <c r="M980" s="1" t="s">
        <v>2443</v>
      </c>
      <c r="N980" s="1" t="s">
        <v>30</v>
      </c>
      <c r="O980" s="1" t="s">
        <v>1339</v>
      </c>
      <c r="P980" s="1">
        <v>41763750450</v>
      </c>
      <c r="Q980" s="1" t="s">
        <v>2444</v>
      </c>
      <c r="R980" s="1" t="s">
        <v>26</v>
      </c>
      <c r="S980" s="1" t="s">
        <v>2445</v>
      </c>
      <c r="U980" s="1" t="s">
        <v>130</v>
      </c>
      <c r="V980" s="1" t="s">
        <v>508</v>
      </c>
      <c r="W980" s="1" t="str">
        <f>VLOOKUP(Table1[[#This Row],[Obergruppe ATC-Code]],Tabelle3!$A$2:$B$100,2)</f>
        <v>CORTICOSTEROIDE ZUR SYSTEMISCHEN ANWENDUNG</v>
      </c>
      <c r="X980" s="1" t="str">
        <f xml:space="preserve"> LEFT(Table1[[#This Row],[Atc Code]],3)</f>
        <v>H02</v>
      </c>
    </row>
    <row r="981" spans="1:24" ht="14.4">
      <c r="A981" s="14">
        <v>611</v>
      </c>
      <c r="B981" s="24">
        <v>3993378</v>
      </c>
      <c r="C981" s="1">
        <v>451145</v>
      </c>
      <c r="D981" s="1" t="s">
        <v>25</v>
      </c>
      <c r="E981" s="36">
        <v>43101</v>
      </c>
      <c r="F981" s="36">
        <v>43496</v>
      </c>
      <c r="G981" s="38">
        <f t="shared" si="15"/>
        <v>395</v>
      </c>
      <c r="H981" s="5">
        <v>43119</v>
      </c>
      <c r="I981" s="5">
        <v>43444</v>
      </c>
      <c r="J981" s="1" t="s">
        <v>26</v>
      </c>
      <c r="K981" s="1" t="s">
        <v>2446</v>
      </c>
      <c r="L981" s="1" t="s">
        <v>2447</v>
      </c>
      <c r="M981" s="1" t="s">
        <v>2448</v>
      </c>
      <c r="N981" s="1" t="s">
        <v>30</v>
      </c>
      <c r="O981" s="1" t="s">
        <v>1921</v>
      </c>
      <c r="P981" s="1" t="s">
        <v>256</v>
      </c>
      <c r="Q981" s="1" t="s">
        <v>257</v>
      </c>
      <c r="R981" s="1" t="s">
        <v>33</v>
      </c>
      <c r="S981" s="1"/>
      <c r="T981" s="1" t="s">
        <v>2449</v>
      </c>
      <c r="U981" s="1" t="s">
        <v>57</v>
      </c>
      <c r="V981" s="1" t="s">
        <v>1292</v>
      </c>
      <c r="W981" s="1" t="str">
        <f>VLOOKUP(Table1[[#This Row],[Obergruppe ATC-Code]],Tabelle3!$A$2:$B$100,2)</f>
        <v>CORTICOSTEROIDE ZUR SYSTEMISCHEN ANWENDUNG</v>
      </c>
      <c r="X981" s="1" t="str">
        <f xml:space="preserve"> LEFT(Table1[[#This Row],[Atc Code]],3)</f>
        <v>H02</v>
      </c>
    </row>
    <row r="982" spans="1:24" ht="14.4">
      <c r="A982" s="14">
        <v>31</v>
      </c>
      <c r="B982" s="24">
        <v>190905</v>
      </c>
      <c r="C982" s="1">
        <v>450944</v>
      </c>
      <c r="D982" s="1" t="s">
        <v>102</v>
      </c>
      <c r="E982" s="36">
        <v>44979</v>
      </c>
      <c r="F982" s="36">
        <v>45254</v>
      </c>
      <c r="G982" s="38">
        <f t="shared" si="15"/>
        <v>275</v>
      </c>
      <c r="H982" s="5">
        <v>44980</v>
      </c>
      <c r="I982" s="5">
        <v>45205</v>
      </c>
      <c r="J982" s="1" t="s">
        <v>41</v>
      </c>
      <c r="K982" s="1" t="s">
        <v>2450</v>
      </c>
      <c r="L982" s="1" t="s">
        <v>2447</v>
      </c>
      <c r="M982" s="1" t="s">
        <v>2451</v>
      </c>
      <c r="N982" s="1" t="s">
        <v>30</v>
      </c>
      <c r="O982" s="1" t="s">
        <v>1339</v>
      </c>
      <c r="Q982" s="1" t="s">
        <v>1341</v>
      </c>
      <c r="R982" s="1" t="s">
        <v>165</v>
      </c>
      <c r="S982" s="1"/>
      <c r="U982" s="1" t="s">
        <v>35</v>
      </c>
      <c r="V982" s="1" t="s">
        <v>508</v>
      </c>
      <c r="W982" s="1" t="str">
        <f>VLOOKUP(Table1[[#This Row],[Obergruppe ATC-Code]],Tabelle3!$A$2:$B$100,2)</f>
        <v>CORTICOSTEROIDE ZUR SYSTEMISCHEN ANWENDUNG</v>
      </c>
      <c r="X982" s="1" t="str">
        <f xml:space="preserve"> LEFT(Table1[[#This Row],[Atc Code]],3)</f>
        <v>H02</v>
      </c>
    </row>
    <row r="983" spans="1:24" ht="14.4">
      <c r="A983" s="14">
        <v>248</v>
      </c>
      <c r="B983" s="24">
        <v>1436509</v>
      </c>
      <c r="C983" s="1">
        <v>2142862</v>
      </c>
      <c r="D983" s="1" t="s">
        <v>25</v>
      </c>
      <c r="E983" s="36">
        <v>44317</v>
      </c>
      <c r="F983" s="36">
        <v>44354</v>
      </c>
      <c r="G983" s="38">
        <f t="shared" si="15"/>
        <v>37</v>
      </c>
      <c r="H983" s="5">
        <v>44335</v>
      </c>
      <c r="I983" s="5">
        <v>44354</v>
      </c>
      <c r="J983" s="1" t="s">
        <v>41</v>
      </c>
      <c r="K983" s="1" t="s">
        <v>2452</v>
      </c>
      <c r="L983" s="1" t="s">
        <v>2453</v>
      </c>
      <c r="M983" s="1" t="s">
        <v>2454</v>
      </c>
      <c r="N983" s="1" t="s">
        <v>38</v>
      </c>
      <c r="O983" s="1" t="s">
        <v>615</v>
      </c>
      <c r="P983" s="1" t="s">
        <v>1326</v>
      </c>
      <c r="Q983" s="1" t="s">
        <v>621</v>
      </c>
      <c r="R983" s="1" t="s">
        <v>26</v>
      </c>
      <c r="S983" s="1"/>
      <c r="T983" s="1" t="s">
        <v>2455</v>
      </c>
      <c r="U983" s="1" t="s">
        <v>35</v>
      </c>
      <c r="V983" s="1" t="s">
        <v>49</v>
      </c>
      <c r="W983" s="1" t="str">
        <f>VLOOKUP(Table1[[#This Row],[Obergruppe ATC-Code]],Tabelle3!$A$2:$B$100,2)</f>
        <v>CORTICOSTEROIDE ZUR SYSTEMISCHEN ANWENDUNG</v>
      </c>
      <c r="X983" s="1" t="str">
        <f xml:space="preserve"> LEFT(Table1[[#This Row],[Atc Code]],3)</f>
        <v>H02</v>
      </c>
    </row>
    <row r="984" spans="1:24" ht="14.4">
      <c r="A984" s="14">
        <v>1951</v>
      </c>
      <c r="B984" s="24" t="s">
        <v>2456</v>
      </c>
      <c r="C984" s="1">
        <v>2154668</v>
      </c>
      <c r="D984" s="1" t="s">
        <v>25</v>
      </c>
      <c r="E984" s="36">
        <v>44228</v>
      </c>
      <c r="F984" s="36">
        <v>44469</v>
      </c>
      <c r="G984" s="38">
        <f t="shared" si="15"/>
        <v>241</v>
      </c>
      <c r="H984" s="5">
        <v>44231</v>
      </c>
      <c r="I984" s="5">
        <v>44476</v>
      </c>
      <c r="J984" s="1" t="s">
        <v>26</v>
      </c>
      <c r="K984" s="1" t="s">
        <v>2457</v>
      </c>
      <c r="L984" s="1" t="s">
        <v>2453</v>
      </c>
      <c r="M984" s="1" t="s">
        <v>2454</v>
      </c>
      <c r="N984" s="1" t="s">
        <v>30</v>
      </c>
      <c r="O984" s="1" t="s">
        <v>45</v>
      </c>
      <c r="P984" s="1" t="s">
        <v>104</v>
      </c>
      <c r="Q984" s="1" t="s">
        <v>118</v>
      </c>
      <c r="R984" s="1" t="s">
        <v>33</v>
      </c>
      <c r="S984" s="1"/>
      <c r="U984" s="1" t="s">
        <v>35</v>
      </c>
      <c r="V984" s="1" t="s">
        <v>49</v>
      </c>
      <c r="W984" s="1" t="str">
        <f>VLOOKUP(Table1[[#This Row],[Obergruppe ATC-Code]],Tabelle3!$A$2:$B$100,2)</f>
        <v>CORTICOSTEROIDE ZUR SYSTEMISCHEN ANWENDUNG</v>
      </c>
      <c r="X984" s="1" t="str">
        <f xml:space="preserve"> LEFT(Table1[[#This Row],[Atc Code]],3)</f>
        <v>H02</v>
      </c>
    </row>
    <row r="985" spans="1:24" ht="14.4">
      <c r="A985" s="14">
        <v>2410</v>
      </c>
      <c r="B985" s="24" t="s">
        <v>2458</v>
      </c>
      <c r="C985" s="1">
        <v>2138321</v>
      </c>
      <c r="D985" s="1" t="s">
        <v>25</v>
      </c>
      <c r="E985" s="36">
        <v>44631</v>
      </c>
      <c r="F985" s="36">
        <v>44676</v>
      </c>
      <c r="G985" s="38">
        <f t="shared" si="15"/>
        <v>45</v>
      </c>
      <c r="H985" s="5">
        <v>44634</v>
      </c>
      <c r="I985" s="5">
        <v>44677</v>
      </c>
      <c r="J985" s="1" t="s">
        <v>26</v>
      </c>
      <c r="K985" s="1" t="s">
        <v>2459</v>
      </c>
      <c r="L985" s="1" t="s">
        <v>2453</v>
      </c>
      <c r="M985" s="1" t="s">
        <v>2460</v>
      </c>
      <c r="N985" s="1" t="s">
        <v>30</v>
      </c>
      <c r="O985" s="1" t="s">
        <v>615</v>
      </c>
      <c r="P985" s="1">
        <v>49349542470</v>
      </c>
      <c r="Q985" s="1" t="s">
        <v>616</v>
      </c>
      <c r="R985" s="1" t="s">
        <v>33</v>
      </c>
      <c r="S985" s="1" t="s">
        <v>885</v>
      </c>
      <c r="T985" s="1" t="s">
        <v>2461</v>
      </c>
      <c r="U985" s="1" t="s">
        <v>35</v>
      </c>
      <c r="V985" s="1" t="s">
        <v>74</v>
      </c>
      <c r="W985" s="1" t="str">
        <f>VLOOKUP(Table1[[#This Row],[Obergruppe ATC-Code]],Tabelle3!$A$2:$B$100,2)</f>
        <v>CORTICOSTEROIDE ZUR SYSTEMISCHEN ANWENDUNG</v>
      </c>
      <c r="X985" s="1" t="str">
        <f xml:space="preserve"> LEFT(Table1[[#This Row],[Atc Code]],3)</f>
        <v>H02</v>
      </c>
    </row>
    <row r="986" spans="1:24" ht="14.4">
      <c r="A986" s="14">
        <v>1007</v>
      </c>
      <c r="B986" s="24">
        <v>8704344</v>
      </c>
      <c r="C986" s="1">
        <v>2138185</v>
      </c>
      <c r="D986" s="1" t="s">
        <v>25</v>
      </c>
      <c r="E986" s="36">
        <v>44655</v>
      </c>
      <c r="F986" s="36">
        <v>44676</v>
      </c>
      <c r="G986" s="38">
        <f t="shared" si="15"/>
        <v>21</v>
      </c>
      <c r="H986" s="5">
        <v>44656</v>
      </c>
      <c r="I986" s="5">
        <v>44677</v>
      </c>
      <c r="J986" s="1" t="s">
        <v>26</v>
      </c>
      <c r="K986" s="1" t="s">
        <v>2462</v>
      </c>
      <c r="L986" s="1" t="s">
        <v>2453</v>
      </c>
      <c r="M986" s="1" t="s">
        <v>2460</v>
      </c>
      <c r="N986" s="1" t="s">
        <v>30</v>
      </c>
      <c r="O986" s="1" t="s">
        <v>615</v>
      </c>
      <c r="P986" s="1">
        <v>349542470</v>
      </c>
      <c r="Q986" s="1" t="s">
        <v>619</v>
      </c>
      <c r="R986" s="1" t="s">
        <v>33</v>
      </c>
      <c r="S986" s="1" t="s">
        <v>620</v>
      </c>
      <c r="U986" s="1" t="s">
        <v>35</v>
      </c>
      <c r="V986" s="1" t="s">
        <v>74</v>
      </c>
      <c r="W986" s="1" t="str">
        <f>VLOOKUP(Table1[[#This Row],[Obergruppe ATC-Code]],Tabelle3!$A$2:$B$100,2)</f>
        <v>CORTICOSTEROIDE ZUR SYSTEMISCHEN ANWENDUNG</v>
      </c>
      <c r="X986" s="1" t="str">
        <f xml:space="preserve"> LEFT(Table1[[#This Row],[Atc Code]],3)</f>
        <v>H02</v>
      </c>
    </row>
    <row r="987" spans="1:24" ht="14.4">
      <c r="A987" s="14">
        <v>1421</v>
      </c>
      <c r="B987" s="24">
        <v>14141891</v>
      </c>
      <c r="C987" s="1">
        <v>2138439</v>
      </c>
      <c r="D987" s="1" t="s">
        <v>25</v>
      </c>
      <c r="E987" s="36">
        <v>44690</v>
      </c>
      <c r="F987" s="36">
        <v>44705</v>
      </c>
      <c r="G987" s="38">
        <f t="shared" si="15"/>
        <v>15</v>
      </c>
      <c r="H987" s="5">
        <v>44691</v>
      </c>
      <c r="I987" s="5">
        <v>44706</v>
      </c>
      <c r="J987" s="1" t="s">
        <v>26</v>
      </c>
      <c r="K987" s="1" t="s">
        <v>2463</v>
      </c>
      <c r="L987" s="1" t="s">
        <v>2453</v>
      </c>
      <c r="M987" s="1" t="s">
        <v>2460</v>
      </c>
      <c r="N987" s="1" t="s">
        <v>38</v>
      </c>
      <c r="O987" s="1" t="s">
        <v>615</v>
      </c>
      <c r="P987" s="1">
        <v>349542470</v>
      </c>
      <c r="Q987" s="1" t="s">
        <v>621</v>
      </c>
      <c r="R987" s="1" t="s">
        <v>33</v>
      </c>
      <c r="S987" s="1" t="s">
        <v>2464</v>
      </c>
      <c r="T987" s="1" t="s">
        <v>2465</v>
      </c>
      <c r="U987" s="1" t="s">
        <v>130</v>
      </c>
      <c r="V987" s="1" t="s">
        <v>74</v>
      </c>
      <c r="W987" s="1" t="str">
        <f>VLOOKUP(Table1[[#This Row],[Obergruppe ATC-Code]],Tabelle3!$A$2:$B$100,2)</f>
        <v>CORTICOSTEROIDE ZUR SYSTEMISCHEN ANWENDUNG</v>
      </c>
      <c r="X987" s="1" t="str">
        <f xml:space="preserve"> LEFT(Table1[[#This Row],[Atc Code]],3)</f>
        <v>H02</v>
      </c>
    </row>
    <row r="988" spans="1:24" ht="14.4">
      <c r="A988" s="14">
        <v>1009</v>
      </c>
      <c r="B988" s="24">
        <v>8704404</v>
      </c>
      <c r="C988" s="1">
        <v>2138321</v>
      </c>
      <c r="D988" s="1" t="s">
        <v>25</v>
      </c>
      <c r="E988" s="36">
        <v>44690</v>
      </c>
      <c r="F988" s="36">
        <v>44715</v>
      </c>
      <c r="G988" s="38">
        <f t="shared" si="15"/>
        <v>25</v>
      </c>
      <c r="H988" s="5">
        <v>44691</v>
      </c>
      <c r="I988" s="5">
        <v>44715</v>
      </c>
      <c r="J988" s="1" t="s">
        <v>26</v>
      </c>
      <c r="K988" s="1" t="s">
        <v>2459</v>
      </c>
      <c r="L988" s="1" t="s">
        <v>2453</v>
      </c>
      <c r="M988" s="1" t="s">
        <v>2460</v>
      </c>
      <c r="N988" s="1" t="s">
        <v>38</v>
      </c>
      <c r="O988" s="1" t="s">
        <v>615</v>
      </c>
      <c r="P988" s="1">
        <v>349542470</v>
      </c>
      <c r="Q988" s="1" t="s">
        <v>621</v>
      </c>
      <c r="R988" s="1" t="s">
        <v>33</v>
      </c>
      <c r="S988" s="1" t="s">
        <v>2464</v>
      </c>
      <c r="T988" s="1" t="s">
        <v>2461</v>
      </c>
      <c r="U988" s="1" t="s">
        <v>35</v>
      </c>
      <c r="V988" s="1" t="s">
        <v>74</v>
      </c>
      <c r="W988" s="1" t="str">
        <f>VLOOKUP(Table1[[#This Row],[Obergruppe ATC-Code]],Tabelle3!$A$2:$B$100,2)</f>
        <v>CORTICOSTEROIDE ZUR SYSTEMISCHEN ANWENDUNG</v>
      </c>
      <c r="X988" s="1" t="str">
        <f xml:space="preserve"> LEFT(Table1[[#This Row],[Atc Code]],3)</f>
        <v>H02</v>
      </c>
    </row>
    <row r="989" spans="1:24" ht="14.4">
      <c r="A989" s="14">
        <v>1006</v>
      </c>
      <c r="B989" s="24">
        <v>8704344</v>
      </c>
      <c r="C989" s="1">
        <v>2138185</v>
      </c>
      <c r="D989" s="1" t="s">
        <v>25</v>
      </c>
      <c r="E989" s="36">
        <v>44719</v>
      </c>
      <c r="F989" s="36">
        <v>44746</v>
      </c>
      <c r="G989" s="38">
        <f t="shared" si="15"/>
        <v>27</v>
      </c>
      <c r="H989" s="5">
        <v>44722</v>
      </c>
      <c r="I989" s="5">
        <v>44747</v>
      </c>
      <c r="J989" s="1" t="s">
        <v>26</v>
      </c>
      <c r="K989" s="1" t="s">
        <v>2462</v>
      </c>
      <c r="L989" s="1" t="s">
        <v>2453</v>
      </c>
      <c r="M989" s="1" t="s">
        <v>2460</v>
      </c>
      <c r="N989" s="1" t="s">
        <v>38</v>
      </c>
      <c r="O989" s="1" t="s">
        <v>615</v>
      </c>
      <c r="P989" s="1">
        <v>349542470</v>
      </c>
      <c r="Q989" s="1" t="s">
        <v>2466</v>
      </c>
      <c r="R989" s="1" t="s">
        <v>33</v>
      </c>
      <c r="S989" s="1" t="s">
        <v>887</v>
      </c>
      <c r="U989" s="1" t="s">
        <v>35</v>
      </c>
      <c r="V989" s="1" t="s">
        <v>74</v>
      </c>
      <c r="W989" s="1" t="str">
        <f>VLOOKUP(Table1[[#This Row],[Obergruppe ATC-Code]],Tabelle3!$A$2:$B$100,2)</f>
        <v>CORTICOSTEROIDE ZUR SYSTEMISCHEN ANWENDUNG</v>
      </c>
      <c r="X989" s="1" t="str">
        <f xml:space="preserve"> LEFT(Table1[[#This Row],[Atc Code]],3)</f>
        <v>H02</v>
      </c>
    </row>
    <row r="990" spans="1:24" ht="15" customHeight="1">
      <c r="A990" s="14">
        <v>428</v>
      </c>
      <c r="B990" s="24">
        <v>2592861</v>
      </c>
      <c r="C990" s="1">
        <v>2140258</v>
      </c>
      <c r="D990" s="1" t="s">
        <v>25</v>
      </c>
      <c r="E990" s="36">
        <v>44679</v>
      </c>
      <c r="F990" s="36">
        <v>44750</v>
      </c>
      <c r="G990" s="38">
        <f t="shared" si="15"/>
        <v>71</v>
      </c>
      <c r="H990" s="5">
        <v>44676</v>
      </c>
      <c r="I990" s="5">
        <v>44750</v>
      </c>
      <c r="J990" s="1" t="s">
        <v>26</v>
      </c>
      <c r="K990" s="1" t="s">
        <v>2467</v>
      </c>
      <c r="L990" s="1" t="s">
        <v>2453</v>
      </c>
      <c r="M990" s="1" t="s">
        <v>2460</v>
      </c>
      <c r="N990" s="1" t="s">
        <v>38</v>
      </c>
      <c r="O990" s="1" t="s">
        <v>78</v>
      </c>
      <c r="P990" s="1" t="s">
        <v>2468</v>
      </c>
      <c r="Q990" s="1" t="s">
        <v>2034</v>
      </c>
      <c r="R990" s="1" t="s">
        <v>113</v>
      </c>
      <c r="S990" s="1" t="s">
        <v>2469</v>
      </c>
      <c r="T990" s="1" t="s">
        <v>2470</v>
      </c>
      <c r="U990" s="1" t="s">
        <v>35</v>
      </c>
      <c r="V990" s="1" t="s">
        <v>74</v>
      </c>
      <c r="W990" s="1" t="str">
        <f>VLOOKUP(Table1[[#This Row],[Obergruppe ATC-Code]],Tabelle3!$A$2:$B$100,2)</f>
        <v>CORTICOSTEROIDE ZUR SYSTEMISCHEN ANWENDUNG</v>
      </c>
      <c r="X990" s="1" t="str">
        <f xml:space="preserve"> LEFT(Table1[[#This Row],[Atc Code]],3)</f>
        <v>H02</v>
      </c>
    </row>
    <row r="991" spans="1:24" ht="15" customHeight="1">
      <c r="A991" s="14">
        <v>2408</v>
      </c>
      <c r="B991" s="24" t="s">
        <v>2471</v>
      </c>
      <c r="C991" s="1">
        <v>2138321</v>
      </c>
      <c r="D991" s="1" t="s">
        <v>25</v>
      </c>
      <c r="E991" s="36">
        <v>44746</v>
      </c>
      <c r="F991" s="36">
        <v>44811</v>
      </c>
      <c r="G991" s="38">
        <f t="shared" si="15"/>
        <v>65</v>
      </c>
      <c r="H991" s="5">
        <v>44749</v>
      </c>
      <c r="I991" s="5">
        <v>44812</v>
      </c>
      <c r="J991" s="1" t="s">
        <v>26</v>
      </c>
      <c r="K991" s="1" t="s">
        <v>2459</v>
      </c>
      <c r="L991" s="1" t="s">
        <v>2453</v>
      </c>
      <c r="M991" s="1" t="s">
        <v>2460</v>
      </c>
      <c r="N991" s="1" t="s">
        <v>38</v>
      </c>
      <c r="O991" s="1" t="s">
        <v>615</v>
      </c>
      <c r="P991" s="1" t="s">
        <v>623</v>
      </c>
      <c r="Q991" s="1" t="s">
        <v>621</v>
      </c>
      <c r="R991" s="1" t="s">
        <v>33</v>
      </c>
      <c r="S991" s="1" t="s">
        <v>1060</v>
      </c>
      <c r="T991" s="1" t="s">
        <v>2461</v>
      </c>
      <c r="U991" s="1" t="s">
        <v>35</v>
      </c>
      <c r="V991" s="1" t="s">
        <v>74</v>
      </c>
      <c r="W991" s="1" t="str">
        <f>VLOOKUP(Table1[[#This Row],[Obergruppe ATC-Code]],Tabelle3!$A$2:$B$100,2)</f>
        <v>CORTICOSTEROIDE ZUR SYSTEMISCHEN ANWENDUNG</v>
      </c>
      <c r="X991" s="1" t="str">
        <f xml:space="preserve"> LEFT(Table1[[#This Row],[Atc Code]],3)</f>
        <v>H02</v>
      </c>
    </row>
    <row r="992" spans="1:24" ht="14.4">
      <c r="A992" s="14">
        <v>2416</v>
      </c>
      <c r="B992" s="24" t="s">
        <v>2472</v>
      </c>
      <c r="C992" s="1">
        <v>2138185</v>
      </c>
      <c r="D992" s="1" t="s">
        <v>25</v>
      </c>
      <c r="E992" s="36">
        <v>44774</v>
      </c>
      <c r="F992" s="36">
        <v>44827</v>
      </c>
      <c r="G992" s="38">
        <f t="shared" si="15"/>
        <v>53</v>
      </c>
      <c r="H992" s="5">
        <v>44776</v>
      </c>
      <c r="I992" s="5">
        <v>44831</v>
      </c>
      <c r="J992" s="1" t="s">
        <v>26</v>
      </c>
      <c r="K992" s="1" t="s">
        <v>2462</v>
      </c>
      <c r="L992" s="1" t="s">
        <v>2453</v>
      </c>
      <c r="M992" s="1" t="s">
        <v>2460</v>
      </c>
      <c r="N992" s="1" t="s">
        <v>30</v>
      </c>
      <c r="O992" s="1" t="s">
        <v>615</v>
      </c>
      <c r="P992" s="1">
        <v>349542470</v>
      </c>
      <c r="Q992" s="1" t="s">
        <v>619</v>
      </c>
      <c r="R992" s="1" t="s">
        <v>33</v>
      </c>
      <c r="S992" s="1"/>
      <c r="T992" s="1" t="s">
        <v>2470</v>
      </c>
      <c r="U992" s="1" t="s">
        <v>35</v>
      </c>
      <c r="V992" s="1" t="s">
        <v>74</v>
      </c>
      <c r="W992" s="1" t="str">
        <f>VLOOKUP(Table1[[#This Row],[Obergruppe ATC-Code]],Tabelle3!$A$2:$B$100,2)</f>
        <v>CORTICOSTEROIDE ZUR SYSTEMISCHEN ANWENDUNG</v>
      </c>
      <c r="X992" s="1" t="str">
        <f xml:space="preserve"> LEFT(Table1[[#This Row],[Atc Code]],3)</f>
        <v>H02</v>
      </c>
    </row>
    <row r="993" spans="1:24" ht="14.4">
      <c r="A993" s="14">
        <v>1872</v>
      </c>
      <c r="B993" s="24" t="s">
        <v>2473</v>
      </c>
      <c r="C993" s="1">
        <v>2142862</v>
      </c>
      <c r="D993" s="1" t="s">
        <v>25</v>
      </c>
      <c r="E993" s="36">
        <v>44739</v>
      </c>
      <c r="F993" s="36">
        <v>44841</v>
      </c>
      <c r="G993" s="38">
        <f t="shared" si="15"/>
        <v>102</v>
      </c>
      <c r="H993" s="5">
        <v>44739</v>
      </c>
      <c r="I993" s="5">
        <v>44845</v>
      </c>
      <c r="J993" s="1" t="s">
        <v>26</v>
      </c>
      <c r="K993" s="1" t="s">
        <v>2452</v>
      </c>
      <c r="L993" s="1" t="s">
        <v>2453</v>
      </c>
      <c r="M993" s="1" t="s">
        <v>2454</v>
      </c>
      <c r="N993" s="1" t="s">
        <v>38</v>
      </c>
      <c r="O993" s="1" t="s">
        <v>615</v>
      </c>
      <c r="P993" s="1" t="s">
        <v>623</v>
      </c>
      <c r="Q993" s="1" t="s">
        <v>621</v>
      </c>
      <c r="R993" s="1" t="s">
        <v>33</v>
      </c>
      <c r="S993" s="1"/>
      <c r="T993" s="1" t="s">
        <v>2455</v>
      </c>
      <c r="U993" s="1" t="s">
        <v>35</v>
      </c>
      <c r="V993" s="1" t="s">
        <v>49</v>
      </c>
      <c r="W993" s="1" t="str">
        <f>VLOOKUP(Table1[[#This Row],[Obergruppe ATC-Code]],Tabelle3!$A$2:$B$100,2)</f>
        <v>CORTICOSTEROIDE ZUR SYSTEMISCHEN ANWENDUNG</v>
      </c>
      <c r="X993" s="1" t="str">
        <f xml:space="preserve"> LEFT(Table1[[#This Row],[Atc Code]],3)</f>
        <v>H02</v>
      </c>
    </row>
    <row r="994" spans="1:24" ht="14.4">
      <c r="A994" s="14">
        <v>2406</v>
      </c>
      <c r="B994" s="24" t="s">
        <v>2474</v>
      </c>
      <c r="C994" s="1">
        <v>2138185</v>
      </c>
      <c r="D994" s="1" t="s">
        <v>25</v>
      </c>
      <c r="E994" s="36">
        <v>44858</v>
      </c>
      <c r="F994" s="36">
        <v>44896</v>
      </c>
      <c r="G994" s="38">
        <f t="shared" si="15"/>
        <v>38</v>
      </c>
      <c r="H994" s="5">
        <v>44861</v>
      </c>
      <c r="I994" s="5">
        <v>44897</v>
      </c>
      <c r="J994" s="1" t="s">
        <v>26</v>
      </c>
      <c r="K994" s="1" t="s">
        <v>2462</v>
      </c>
      <c r="L994" s="1" t="s">
        <v>2453</v>
      </c>
      <c r="M994" s="1" t="s">
        <v>2460</v>
      </c>
      <c r="N994" s="1" t="s">
        <v>30</v>
      </c>
      <c r="O994" s="1" t="s">
        <v>615</v>
      </c>
      <c r="P994" s="1">
        <v>49349542470</v>
      </c>
      <c r="Q994" s="1" t="s">
        <v>619</v>
      </c>
      <c r="R994" s="1" t="s">
        <v>33</v>
      </c>
      <c r="S994" s="1"/>
      <c r="T994" s="1" t="s">
        <v>2470</v>
      </c>
      <c r="U994" s="1" t="s">
        <v>35</v>
      </c>
      <c r="V994" s="1" t="s">
        <v>74</v>
      </c>
      <c r="W994" s="1" t="str">
        <f>VLOOKUP(Table1[[#This Row],[Obergruppe ATC-Code]],Tabelle3!$A$2:$B$100,2)</f>
        <v>CORTICOSTEROIDE ZUR SYSTEMISCHEN ANWENDUNG</v>
      </c>
      <c r="X994" s="1" t="str">
        <f xml:space="preserve"> LEFT(Table1[[#This Row],[Atc Code]],3)</f>
        <v>H02</v>
      </c>
    </row>
    <row r="995" spans="1:24" ht="14.4">
      <c r="A995" s="14">
        <v>2407</v>
      </c>
      <c r="B995" s="24" t="s">
        <v>2475</v>
      </c>
      <c r="C995" s="1">
        <v>2138321</v>
      </c>
      <c r="D995" s="1" t="s">
        <v>25</v>
      </c>
      <c r="E995" s="36">
        <v>44879</v>
      </c>
      <c r="F995" s="36">
        <v>44935</v>
      </c>
      <c r="G995" s="38">
        <f t="shared" si="15"/>
        <v>56</v>
      </c>
      <c r="H995" s="5">
        <v>44881</v>
      </c>
      <c r="I995" s="5">
        <v>44944</v>
      </c>
      <c r="J995" s="1" t="s">
        <v>26</v>
      </c>
      <c r="K995" s="1" t="s">
        <v>2459</v>
      </c>
      <c r="L995" s="1" t="s">
        <v>2453</v>
      </c>
      <c r="M995" s="1" t="s">
        <v>2460</v>
      </c>
      <c r="N995" s="1" t="s">
        <v>30</v>
      </c>
      <c r="O995" s="1" t="s">
        <v>615</v>
      </c>
      <c r="P995" s="1">
        <v>49349542470</v>
      </c>
      <c r="Q995" s="1" t="s">
        <v>619</v>
      </c>
      <c r="R995" s="1" t="s">
        <v>33</v>
      </c>
      <c r="S995" s="1"/>
      <c r="T995" s="1" t="s">
        <v>2461</v>
      </c>
      <c r="U995" s="1" t="s">
        <v>35</v>
      </c>
      <c r="V995" s="1" t="s">
        <v>74</v>
      </c>
      <c r="W995" s="1" t="str">
        <f>VLOOKUP(Table1[[#This Row],[Obergruppe ATC-Code]],Tabelle3!$A$2:$B$100,2)</f>
        <v>CORTICOSTEROIDE ZUR SYSTEMISCHEN ANWENDUNG</v>
      </c>
      <c r="X995" s="1" t="str">
        <f xml:space="preserve"> LEFT(Table1[[#This Row],[Atc Code]],3)</f>
        <v>H02</v>
      </c>
    </row>
    <row r="996" spans="1:24" ht="14.4">
      <c r="A996" s="14">
        <v>2097</v>
      </c>
      <c r="B996" s="24" t="s">
        <v>2476</v>
      </c>
      <c r="C996" s="1">
        <v>3000402</v>
      </c>
      <c r="D996" s="1" t="s">
        <v>25</v>
      </c>
      <c r="E996" s="36">
        <v>44879</v>
      </c>
      <c r="F996" s="36">
        <v>44944</v>
      </c>
      <c r="G996" s="38">
        <f t="shared" si="15"/>
        <v>65</v>
      </c>
      <c r="H996" s="5">
        <v>44881</v>
      </c>
      <c r="I996" s="5">
        <v>44944</v>
      </c>
      <c r="J996" s="1" t="s">
        <v>26</v>
      </c>
      <c r="K996" s="1" t="s">
        <v>2477</v>
      </c>
      <c r="L996" s="1" t="s">
        <v>2453</v>
      </c>
      <c r="M996" s="1" t="s">
        <v>2454</v>
      </c>
      <c r="N996" s="1" t="s">
        <v>30</v>
      </c>
      <c r="O996" s="1" t="s">
        <v>615</v>
      </c>
      <c r="P996" s="1">
        <v>49349542470</v>
      </c>
      <c r="Q996" s="1" t="s">
        <v>619</v>
      </c>
      <c r="R996" s="1" t="s">
        <v>33</v>
      </c>
      <c r="S996" s="1"/>
      <c r="T996" s="1" t="s">
        <v>2478</v>
      </c>
      <c r="U996" s="1" t="s">
        <v>35</v>
      </c>
      <c r="V996" s="1" t="s">
        <v>49</v>
      </c>
      <c r="W996" s="1" t="str">
        <f>VLOOKUP(Table1[[#This Row],[Obergruppe ATC-Code]],Tabelle3!$A$2:$B$100,2)</f>
        <v>CORTICOSTEROIDE ZUR SYSTEMISCHEN ANWENDUNG</v>
      </c>
      <c r="X996" s="1" t="str">
        <f xml:space="preserve"> LEFT(Table1[[#This Row],[Atc Code]],3)</f>
        <v>H02</v>
      </c>
    </row>
    <row r="997" spans="1:24" ht="14.4">
      <c r="A997" s="14">
        <v>1835</v>
      </c>
      <c r="B997" s="24" t="s">
        <v>2479</v>
      </c>
      <c r="C997" s="1">
        <v>2150745</v>
      </c>
      <c r="D997" s="1" t="s">
        <v>25</v>
      </c>
      <c r="E997" s="36">
        <v>44881</v>
      </c>
      <c r="F997" s="36">
        <v>44960</v>
      </c>
      <c r="G997" s="38">
        <f t="shared" si="15"/>
        <v>79</v>
      </c>
      <c r="H997" s="5">
        <v>44839</v>
      </c>
      <c r="I997" s="5">
        <v>44963</v>
      </c>
      <c r="J997" s="1" t="s">
        <v>26</v>
      </c>
      <c r="K997" s="1" t="s">
        <v>2480</v>
      </c>
      <c r="L997" s="1" t="s">
        <v>2453</v>
      </c>
      <c r="M997" s="1" t="s">
        <v>2460</v>
      </c>
      <c r="N997" s="1" t="s">
        <v>38</v>
      </c>
      <c r="O997" s="1" t="s">
        <v>91</v>
      </c>
      <c r="Q997" s="1" t="s">
        <v>93</v>
      </c>
      <c r="R997" s="1" t="s">
        <v>33</v>
      </c>
      <c r="S997" s="1" t="s">
        <v>2481</v>
      </c>
      <c r="U997" s="1" t="s">
        <v>130</v>
      </c>
      <c r="V997" s="1" t="s">
        <v>74</v>
      </c>
      <c r="W997" s="1" t="str">
        <f>VLOOKUP(Table1[[#This Row],[Obergruppe ATC-Code]],Tabelle3!$A$2:$B$100,2)</f>
        <v>CORTICOSTEROIDE ZUR SYSTEMISCHEN ANWENDUNG</v>
      </c>
      <c r="X997" s="1" t="str">
        <f xml:space="preserve"> LEFT(Table1[[#This Row],[Atc Code]],3)</f>
        <v>H02</v>
      </c>
    </row>
    <row r="998" spans="1:24" ht="14.4">
      <c r="A998" s="14">
        <v>822</v>
      </c>
      <c r="B998" s="24">
        <v>6846672</v>
      </c>
      <c r="C998" s="1">
        <v>2161214</v>
      </c>
      <c r="D998" s="1" t="s">
        <v>25</v>
      </c>
      <c r="E998" s="36">
        <v>44916</v>
      </c>
      <c r="F998" s="36">
        <v>44963</v>
      </c>
      <c r="G998" s="38">
        <f t="shared" si="15"/>
        <v>47</v>
      </c>
      <c r="H998" s="5">
        <v>44929</v>
      </c>
      <c r="I998" s="5">
        <v>44970</v>
      </c>
      <c r="J998" s="1" t="s">
        <v>26</v>
      </c>
      <c r="K998" s="1" t="s">
        <v>2482</v>
      </c>
      <c r="L998" s="1" t="s">
        <v>2453</v>
      </c>
      <c r="M998" s="1" t="s">
        <v>2454</v>
      </c>
      <c r="N998" s="1" t="s">
        <v>38</v>
      </c>
      <c r="O998" s="1" t="s">
        <v>78</v>
      </c>
      <c r="P998" s="1" t="s">
        <v>2483</v>
      </c>
      <c r="Q998" s="1" t="s">
        <v>86</v>
      </c>
      <c r="R998" s="1" t="s">
        <v>33</v>
      </c>
      <c r="S998" s="1"/>
      <c r="T998" s="1" t="s">
        <v>2484</v>
      </c>
      <c r="U998" s="1" t="s">
        <v>35</v>
      </c>
      <c r="V998" s="1" t="s">
        <v>49</v>
      </c>
      <c r="W998" s="1" t="str">
        <f>VLOOKUP(Table1[[#This Row],[Obergruppe ATC-Code]],Tabelle3!$A$2:$B$100,2)</f>
        <v>CORTICOSTEROIDE ZUR SYSTEMISCHEN ANWENDUNG</v>
      </c>
      <c r="X998" s="1" t="str">
        <f xml:space="preserve"> LEFT(Table1[[#This Row],[Atc Code]],3)</f>
        <v>H02</v>
      </c>
    </row>
    <row r="999" spans="1:24" ht="14.4">
      <c r="A999" s="14">
        <v>226</v>
      </c>
      <c r="B999" s="24">
        <v>1276939</v>
      </c>
      <c r="C999" s="1">
        <v>2150748</v>
      </c>
      <c r="D999" s="1" t="s">
        <v>25</v>
      </c>
      <c r="E999" s="36">
        <v>44881</v>
      </c>
      <c r="F999" s="36">
        <v>44979</v>
      </c>
      <c r="G999" s="38">
        <f t="shared" si="15"/>
        <v>98</v>
      </c>
      <c r="H999" s="5">
        <v>44839</v>
      </c>
      <c r="I999" s="5">
        <v>44979</v>
      </c>
      <c r="J999" s="1" t="s">
        <v>26</v>
      </c>
      <c r="K999" s="1" t="s">
        <v>2485</v>
      </c>
      <c r="L999" s="1" t="s">
        <v>2453</v>
      </c>
      <c r="M999" s="1" t="s">
        <v>2460</v>
      </c>
      <c r="N999" s="1" t="s">
        <v>38</v>
      </c>
      <c r="O999" s="1" t="s">
        <v>91</v>
      </c>
      <c r="Q999" s="1" t="s">
        <v>93</v>
      </c>
      <c r="R999" s="1" t="s">
        <v>33</v>
      </c>
      <c r="S999" s="1"/>
      <c r="U999" s="1" t="s">
        <v>130</v>
      </c>
      <c r="V999" s="1" t="s">
        <v>74</v>
      </c>
      <c r="W999" s="1" t="str">
        <f>VLOOKUP(Table1[[#This Row],[Obergruppe ATC-Code]],Tabelle3!$A$2:$B$100,2)</f>
        <v>CORTICOSTEROIDE ZUR SYSTEMISCHEN ANWENDUNG</v>
      </c>
      <c r="X999" s="1" t="str">
        <f xml:space="preserve"> LEFT(Table1[[#This Row],[Atc Code]],3)</f>
        <v>H02</v>
      </c>
    </row>
    <row r="1000" spans="1:24" ht="14.4">
      <c r="A1000" s="14">
        <v>2405</v>
      </c>
      <c r="B1000" s="24" t="s">
        <v>2486</v>
      </c>
      <c r="C1000" s="1">
        <v>2138185</v>
      </c>
      <c r="D1000" s="1" t="s">
        <v>25</v>
      </c>
      <c r="E1000" s="36">
        <v>44915</v>
      </c>
      <c r="F1000" s="36">
        <v>45006</v>
      </c>
      <c r="G1000" s="38">
        <f t="shared" si="15"/>
        <v>91</v>
      </c>
      <c r="H1000" s="5">
        <v>44930</v>
      </c>
      <c r="I1000" s="5">
        <v>45008</v>
      </c>
      <c r="J1000" s="1" t="s">
        <v>26</v>
      </c>
      <c r="K1000" s="1" t="s">
        <v>2462</v>
      </c>
      <c r="L1000" s="1" t="s">
        <v>2453</v>
      </c>
      <c r="M1000" s="1" t="s">
        <v>2460</v>
      </c>
      <c r="N1000" s="1" t="s">
        <v>30</v>
      </c>
      <c r="O1000" s="1" t="s">
        <v>615</v>
      </c>
      <c r="P1000" s="1">
        <v>349542470</v>
      </c>
      <c r="Q1000" s="1" t="s">
        <v>621</v>
      </c>
      <c r="R1000" s="1" t="s">
        <v>33</v>
      </c>
      <c r="S1000" s="1"/>
      <c r="U1000" s="1" t="s">
        <v>35</v>
      </c>
      <c r="V1000" s="1" t="s">
        <v>74</v>
      </c>
      <c r="W1000" s="1" t="str">
        <f>VLOOKUP(Table1[[#This Row],[Obergruppe ATC-Code]],Tabelle3!$A$2:$B$100,2)</f>
        <v>CORTICOSTEROIDE ZUR SYSTEMISCHEN ANWENDUNG</v>
      </c>
      <c r="X1000" s="1" t="str">
        <f xml:space="preserve"> LEFT(Table1[[#This Row],[Atc Code]],3)</f>
        <v>H02</v>
      </c>
    </row>
    <row r="1001" spans="1:24" ht="14.4">
      <c r="A1001" s="14">
        <v>17</v>
      </c>
      <c r="B1001" s="24">
        <v>81990</v>
      </c>
      <c r="C1001" s="1">
        <v>2100487</v>
      </c>
      <c r="D1001" s="1" t="s">
        <v>25</v>
      </c>
      <c r="E1001" s="36">
        <v>44981</v>
      </c>
      <c r="F1001" s="36">
        <v>45029</v>
      </c>
      <c r="G1001" s="38">
        <f t="shared" si="15"/>
        <v>48</v>
      </c>
      <c r="H1001" s="5">
        <v>44984</v>
      </c>
      <c r="I1001" s="5">
        <v>45029</v>
      </c>
      <c r="J1001" s="1" t="s">
        <v>26</v>
      </c>
      <c r="K1001" s="1" t="s">
        <v>2487</v>
      </c>
      <c r="L1001" s="1" t="s">
        <v>2453</v>
      </c>
      <c r="M1001" s="1" t="s">
        <v>2460</v>
      </c>
      <c r="N1001" s="1" t="s">
        <v>38</v>
      </c>
      <c r="O1001" s="1" t="s">
        <v>548</v>
      </c>
      <c r="P1001" s="1">
        <v>8004288373</v>
      </c>
      <c r="Q1001" s="1" t="s">
        <v>549</v>
      </c>
      <c r="R1001" s="1" t="s">
        <v>113</v>
      </c>
      <c r="S1001" s="1"/>
      <c r="U1001" s="1" t="s">
        <v>35</v>
      </c>
      <c r="V1001" s="1" t="s">
        <v>74</v>
      </c>
      <c r="W1001" s="1" t="str">
        <f>VLOOKUP(Table1[[#This Row],[Obergruppe ATC-Code]],Tabelle3!$A$2:$B$100,2)</f>
        <v>CORTICOSTEROIDE ZUR SYSTEMISCHEN ANWENDUNG</v>
      </c>
      <c r="X1001" s="1" t="str">
        <f xml:space="preserve"> LEFT(Table1[[#This Row],[Atc Code]],3)</f>
        <v>H02</v>
      </c>
    </row>
    <row r="1002" spans="1:24" ht="14.4">
      <c r="A1002" s="14">
        <v>2409</v>
      </c>
      <c r="B1002" s="24" t="s">
        <v>2488</v>
      </c>
      <c r="C1002" s="1">
        <v>2138321</v>
      </c>
      <c r="D1002" s="1" t="s">
        <v>25</v>
      </c>
      <c r="E1002" s="36">
        <v>45013</v>
      </c>
      <c r="F1002" s="36">
        <v>45042</v>
      </c>
      <c r="G1002" s="38">
        <f t="shared" si="15"/>
        <v>29</v>
      </c>
      <c r="H1002" s="5">
        <v>45021</v>
      </c>
      <c r="I1002" s="5">
        <v>45044</v>
      </c>
      <c r="J1002" s="1" t="s">
        <v>26</v>
      </c>
      <c r="K1002" s="1" t="s">
        <v>2459</v>
      </c>
      <c r="L1002" s="1" t="s">
        <v>2453</v>
      </c>
      <c r="M1002" s="1" t="s">
        <v>2460</v>
      </c>
      <c r="N1002" s="1" t="s">
        <v>30</v>
      </c>
      <c r="O1002" s="1" t="s">
        <v>615</v>
      </c>
      <c r="P1002" s="1">
        <v>349542470</v>
      </c>
      <c r="Q1002" s="1" t="s">
        <v>621</v>
      </c>
      <c r="R1002" s="1" t="s">
        <v>33</v>
      </c>
      <c r="S1002" s="1"/>
      <c r="T1002" s="1" t="s">
        <v>2461</v>
      </c>
      <c r="U1002" s="1" t="s">
        <v>35</v>
      </c>
      <c r="V1002" s="1" t="s">
        <v>74</v>
      </c>
      <c r="W1002" s="1" t="str">
        <f>VLOOKUP(Table1[[#This Row],[Obergruppe ATC-Code]],Tabelle3!$A$2:$B$100,2)</f>
        <v>CORTICOSTEROIDE ZUR SYSTEMISCHEN ANWENDUNG</v>
      </c>
      <c r="X1002" s="1" t="str">
        <f xml:space="preserve"> LEFT(Table1[[#This Row],[Atc Code]],3)</f>
        <v>H02</v>
      </c>
    </row>
    <row r="1003" spans="1:24" ht="14.4">
      <c r="A1003" s="14">
        <v>249</v>
      </c>
      <c r="B1003" s="24">
        <v>1436509</v>
      </c>
      <c r="C1003" s="1">
        <v>2142862</v>
      </c>
      <c r="D1003" s="1" t="s">
        <v>25</v>
      </c>
      <c r="E1003" s="36">
        <v>45040</v>
      </c>
      <c r="F1003" s="36">
        <v>45072</v>
      </c>
      <c r="G1003" s="38">
        <f t="shared" si="15"/>
        <v>32</v>
      </c>
      <c r="H1003" s="5">
        <v>45041</v>
      </c>
      <c r="I1003" s="5">
        <v>45072</v>
      </c>
      <c r="J1003" s="1" t="s">
        <v>26</v>
      </c>
      <c r="K1003" s="1" t="s">
        <v>2452</v>
      </c>
      <c r="L1003" s="1" t="s">
        <v>2453</v>
      </c>
      <c r="M1003" s="1" t="s">
        <v>2454</v>
      </c>
      <c r="N1003" s="1" t="s">
        <v>38</v>
      </c>
      <c r="O1003" s="1" t="s">
        <v>615</v>
      </c>
      <c r="P1003" s="1">
        <v>49349542470</v>
      </c>
      <c r="Q1003" s="1" t="s">
        <v>619</v>
      </c>
      <c r="R1003" s="1" t="s">
        <v>33</v>
      </c>
      <c r="S1003" s="1"/>
      <c r="T1003" s="1" t="s">
        <v>2455</v>
      </c>
      <c r="U1003" s="1" t="s">
        <v>35</v>
      </c>
      <c r="V1003" s="1" t="s">
        <v>49</v>
      </c>
      <c r="W1003" s="1" t="str">
        <f>VLOOKUP(Table1[[#This Row],[Obergruppe ATC-Code]],Tabelle3!$A$2:$B$100,2)</f>
        <v>CORTICOSTEROIDE ZUR SYSTEMISCHEN ANWENDUNG</v>
      </c>
      <c r="X1003" s="1" t="str">
        <f xml:space="preserve"> LEFT(Table1[[#This Row],[Atc Code]],3)</f>
        <v>H02</v>
      </c>
    </row>
    <row r="1004" spans="1:24" ht="14.4">
      <c r="A1004" s="14">
        <v>1008</v>
      </c>
      <c r="B1004" s="24">
        <v>8704396</v>
      </c>
      <c r="C1004" s="1">
        <v>2138321</v>
      </c>
      <c r="D1004" s="1" t="s">
        <v>25</v>
      </c>
      <c r="E1004" s="36">
        <v>45048</v>
      </c>
      <c r="F1004" s="36">
        <v>45077</v>
      </c>
      <c r="G1004" s="38">
        <f t="shared" si="15"/>
        <v>29</v>
      </c>
      <c r="H1004" s="5">
        <v>45048</v>
      </c>
      <c r="I1004" s="5">
        <v>45085</v>
      </c>
      <c r="J1004" s="1" t="s">
        <v>26</v>
      </c>
      <c r="K1004" s="1" t="s">
        <v>2459</v>
      </c>
      <c r="L1004" s="1" t="s">
        <v>2453</v>
      </c>
      <c r="M1004" s="1" t="s">
        <v>2460</v>
      </c>
      <c r="N1004" s="1" t="s">
        <v>38</v>
      </c>
      <c r="O1004" s="1" t="s">
        <v>615</v>
      </c>
      <c r="P1004" s="1">
        <v>49349542470</v>
      </c>
      <c r="Q1004" s="1" t="s">
        <v>619</v>
      </c>
      <c r="R1004" s="1" t="s">
        <v>33</v>
      </c>
      <c r="S1004" s="1"/>
      <c r="T1004" s="1" t="s">
        <v>2461</v>
      </c>
      <c r="U1004" s="1" t="s">
        <v>35</v>
      </c>
      <c r="V1004" s="1" t="s">
        <v>74</v>
      </c>
      <c r="W1004" s="1" t="str">
        <f>VLOOKUP(Table1[[#This Row],[Obergruppe ATC-Code]],Tabelle3!$A$2:$B$100,2)</f>
        <v>CORTICOSTEROIDE ZUR SYSTEMISCHEN ANWENDUNG</v>
      </c>
      <c r="X1004" s="1" t="str">
        <f xml:space="preserve"> LEFT(Table1[[#This Row],[Atc Code]],3)</f>
        <v>H02</v>
      </c>
    </row>
    <row r="1005" spans="1:24" ht="14.4">
      <c r="A1005" s="14">
        <v>1005</v>
      </c>
      <c r="B1005" s="24">
        <v>8704338</v>
      </c>
      <c r="C1005" s="1">
        <v>2138185</v>
      </c>
      <c r="D1005" s="1" t="s">
        <v>25</v>
      </c>
      <c r="E1005" s="36">
        <v>45050</v>
      </c>
      <c r="F1005" s="36">
        <v>45114</v>
      </c>
      <c r="G1005" s="38">
        <f t="shared" si="15"/>
        <v>64</v>
      </c>
      <c r="H1005" s="5">
        <v>45056</v>
      </c>
      <c r="I1005" s="5">
        <v>45118</v>
      </c>
      <c r="J1005" s="1" t="s">
        <v>26</v>
      </c>
      <c r="K1005" s="1" t="s">
        <v>2462</v>
      </c>
      <c r="L1005" s="1" t="s">
        <v>2453</v>
      </c>
      <c r="M1005" s="1" t="s">
        <v>2460</v>
      </c>
      <c r="N1005" s="1" t="s">
        <v>30</v>
      </c>
      <c r="O1005" s="1" t="s">
        <v>615</v>
      </c>
      <c r="P1005" s="1">
        <v>49349542470</v>
      </c>
      <c r="Q1005" s="1" t="s">
        <v>619</v>
      </c>
      <c r="R1005" s="1" t="s">
        <v>33</v>
      </c>
      <c r="S1005" s="1"/>
      <c r="T1005" s="1" t="s">
        <v>2470</v>
      </c>
      <c r="U1005" s="1" t="s">
        <v>35</v>
      </c>
      <c r="V1005" s="1" t="s">
        <v>74</v>
      </c>
      <c r="W1005" s="1" t="str">
        <f>VLOOKUP(Table1[[#This Row],[Obergruppe ATC-Code]],Tabelle3!$A$2:$B$100,2)</f>
        <v>CORTICOSTEROIDE ZUR SYSTEMISCHEN ANWENDUNG</v>
      </c>
      <c r="X1005" s="1" t="str">
        <f xml:space="preserve"> LEFT(Table1[[#This Row],[Atc Code]],3)</f>
        <v>H02</v>
      </c>
    </row>
    <row r="1006" spans="1:24" ht="14.4">
      <c r="A1006" s="14">
        <v>431</v>
      </c>
      <c r="B1006" s="24">
        <v>2592878</v>
      </c>
      <c r="C1006" s="1">
        <v>2140259</v>
      </c>
      <c r="D1006" s="1" t="s">
        <v>102</v>
      </c>
      <c r="E1006" s="36">
        <v>45043</v>
      </c>
      <c r="F1006" s="36">
        <v>45233</v>
      </c>
      <c r="G1006" s="38">
        <f t="shared" si="15"/>
        <v>190</v>
      </c>
      <c r="H1006" s="5">
        <v>45055</v>
      </c>
      <c r="I1006" s="5">
        <v>45118</v>
      </c>
      <c r="J1006" s="1" t="s">
        <v>26</v>
      </c>
      <c r="K1006" s="1" t="s">
        <v>2489</v>
      </c>
      <c r="L1006" s="1" t="s">
        <v>2453</v>
      </c>
      <c r="M1006" s="1" t="s">
        <v>2460</v>
      </c>
      <c r="N1006" s="1" t="s">
        <v>38</v>
      </c>
      <c r="O1006" s="1" t="s">
        <v>78</v>
      </c>
      <c r="P1006" s="1">
        <v>8944232460</v>
      </c>
      <c r="Q1006" s="1" t="s">
        <v>86</v>
      </c>
      <c r="R1006" s="1" t="s">
        <v>33</v>
      </c>
      <c r="S1006" s="1"/>
      <c r="T1006" s="1" t="s">
        <v>2490</v>
      </c>
      <c r="U1006" s="1" t="s">
        <v>35</v>
      </c>
      <c r="V1006" s="1" t="s">
        <v>74</v>
      </c>
      <c r="W1006" s="1" t="str">
        <f>VLOOKUP(Table1[[#This Row],[Obergruppe ATC-Code]],Tabelle3!$A$2:$B$100,2)</f>
        <v>CORTICOSTEROIDE ZUR SYSTEMISCHEN ANWENDUNG</v>
      </c>
      <c r="X1006" s="1" t="str">
        <f xml:space="preserve"> LEFT(Table1[[#This Row],[Atc Code]],3)</f>
        <v>H02</v>
      </c>
    </row>
    <row r="1007" spans="1:24" ht="14.4">
      <c r="A1007" s="14">
        <v>430</v>
      </c>
      <c r="B1007" s="24">
        <v>2592861</v>
      </c>
      <c r="C1007" s="1">
        <v>2140258</v>
      </c>
      <c r="D1007" s="1" t="s">
        <v>25</v>
      </c>
      <c r="E1007" s="36">
        <v>45138</v>
      </c>
      <c r="F1007" s="36">
        <v>45148</v>
      </c>
      <c r="G1007" s="38">
        <f t="shared" si="15"/>
        <v>10</v>
      </c>
      <c r="H1007" s="5">
        <v>45146</v>
      </c>
      <c r="I1007" s="5">
        <v>45149</v>
      </c>
      <c r="J1007" s="1" t="s">
        <v>26</v>
      </c>
      <c r="K1007" s="1" t="s">
        <v>2467</v>
      </c>
      <c r="L1007" s="1" t="s">
        <v>2453</v>
      </c>
      <c r="M1007" s="1" t="s">
        <v>2460</v>
      </c>
      <c r="N1007" s="1" t="s">
        <v>38</v>
      </c>
      <c r="O1007" s="1" t="s">
        <v>78</v>
      </c>
      <c r="P1007" s="1">
        <v>8944232460</v>
      </c>
      <c r="Q1007" s="1" t="s">
        <v>86</v>
      </c>
      <c r="R1007" s="1" t="s">
        <v>33</v>
      </c>
      <c r="S1007" s="1"/>
      <c r="U1007" s="1" t="s">
        <v>35</v>
      </c>
      <c r="V1007" s="1" t="s">
        <v>74</v>
      </c>
      <c r="W1007" s="1" t="str">
        <f>VLOOKUP(Table1[[#This Row],[Obergruppe ATC-Code]],Tabelle3!$A$2:$B$100,2)</f>
        <v>CORTICOSTEROIDE ZUR SYSTEMISCHEN ANWENDUNG</v>
      </c>
      <c r="X1007" s="1" t="str">
        <f xml:space="preserve"> LEFT(Table1[[#This Row],[Atc Code]],3)</f>
        <v>H02</v>
      </c>
    </row>
    <row r="1008" spans="1:24" ht="14.4">
      <c r="A1008" s="14">
        <v>429</v>
      </c>
      <c r="B1008" s="24">
        <v>2592861</v>
      </c>
      <c r="C1008" s="1">
        <v>2140258</v>
      </c>
      <c r="D1008" s="1" t="s">
        <v>175</v>
      </c>
      <c r="E1008" s="36">
        <v>45212</v>
      </c>
      <c r="F1008" s="36">
        <v>45254</v>
      </c>
      <c r="G1008" s="38">
        <f t="shared" si="15"/>
        <v>42</v>
      </c>
      <c r="H1008" s="5">
        <v>45216</v>
      </c>
      <c r="I1008" s="5">
        <v>45216</v>
      </c>
      <c r="J1008" s="1" t="s">
        <v>26</v>
      </c>
      <c r="K1008" s="1" t="s">
        <v>2467</v>
      </c>
      <c r="L1008" s="1" t="s">
        <v>2453</v>
      </c>
      <c r="M1008" s="1" t="s">
        <v>2460</v>
      </c>
      <c r="N1008" s="1" t="s">
        <v>38</v>
      </c>
      <c r="O1008" s="1" t="s">
        <v>78</v>
      </c>
      <c r="P1008" s="1">
        <v>498944232460</v>
      </c>
      <c r="Q1008" s="1" t="s">
        <v>86</v>
      </c>
      <c r="R1008" s="1" t="s">
        <v>33</v>
      </c>
      <c r="S1008" s="1"/>
      <c r="U1008" s="1" t="s">
        <v>35</v>
      </c>
      <c r="V1008" s="1" t="s">
        <v>74</v>
      </c>
      <c r="W1008" s="1" t="str">
        <f>VLOOKUP(Table1[[#This Row],[Obergruppe ATC-Code]],Tabelle3!$A$2:$B$100,2)</f>
        <v>CORTICOSTEROIDE ZUR SYSTEMISCHEN ANWENDUNG</v>
      </c>
      <c r="X1008" s="1" t="str">
        <f xml:space="preserve"> LEFT(Table1[[#This Row],[Atc Code]],3)</f>
        <v>H02</v>
      </c>
    </row>
    <row r="1009" spans="1:24" ht="14.4">
      <c r="A1009" s="14">
        <v>3096</v>
      </c>
      <c r="B1009" s="1" t="s">
        <v>2491</v>
      </c>
      <c r="C1009" s="1">
        <v>2132487</v>
      </c>
      <c r="D1009" s="1" t="s">
        <v>25</v>
      </c>
      <c r="E1009" s="36">
        <v>43586</v>
      </c>
      <c r="F1009" s="36">
        <v>44043</v>
      </c>
      <c r="G1009" s="38">
        <f t="shared" si="15"/>
        <v>457</v>
      </c>
      <c r="H1009" s="5">
        <v>43612</v>
      </c>
      <c r="I1009" s="5">
        <v>44049</v>
      </c>
      <c r="J1009" s="1" t="s">
        <v>41</v>
      </c>
      <c r="K1009" s="1" t="s">
        <v>2492</v>
      </c>
      <c r="L1009" s="1" t="s">
        <v>2493</v>
      </c>
      <c r="M1009" s="1" t="s">
        <v>2494</v>
      </c>
      <c r="N1009" s="1" t="s">
        <v>30</v>
      </c>
      <c r="O1009" s="1" t="s">
        <v>554</v>
      </c>
      <c r="P1009" s="1" t="s">
        <v>266</v>
      </c>
      <c r="Q1009" s="1" t="s">
        <v>2495</v>
      </c>
      <c r="R1009" s="1" t="s">
        <v>48</v>
      </c>
      <c r="S1009" s="1"/>
      <c r="U1009" s="1" t="s">
        <v>35</v>
      </c>
      <c r="V1009" s="1" t="s">
        <v>49</v>
      </c>
      <c r="W1009" s="1" t="str">
        <f>VLOOKUP(Table1[[#This Row],[Obergruppe ATC-Code]],Tabelle3!$A$2:$B$100,2)</f>
        <v>CORTICOSTEROIDE ZUR SYSTEMISCHEN ANWENDUNG</v>
      </c>
      <c r="X1009" s="1" t="str">
        <f xml:space="preserve"> LEFT(Table1[[#This Row],[Atc Code]],3)</f>
        <v>H02</v>
      </c>
    </row>
    <row r="1010" spans="1:24" ht="14.4">
      <c r="A1010" s="14">
        <v>3095</v>
      </c>
      <c r="B1010" s="1">
        <v>7567069</v>
      </c>
      <c r="C1010" s="1">
        <v>2132143</v>
      </c>
      <c r="D1010" s="1" t="s">
        <v>25</v>
      </c>
      <c r="E1010" s="36">
        <v>43586</v>
      </c>
      <c r="F1010" s="36">
        <v>44043</v>
      </c>
      <c r="G1010" s="38">
        <f t="shared" si="15"/>
        <v>457</v>
      </c>
      <c r="H1010" s="5">
        <v>43612</v>
      </c>
      <c r="I1010" s="5">
        <v>44049</v>
      </c>
      <c r="J1010" s="1" t="s">
        <v>41</v>
      </c>
      <c r="K1010" s="1" t="s">
        <v>2496</v>
      </c>
      <c r="L1010" s="1" t="s">
        <v>2493</v>
      </c>
      <c r="M1010" s="1" t="s">
        <v>2494</v>
      </c>
      <c r="N1010" s="1" t="s">
        <v>30</v>
      </c>
      <c r="O1010" s="1" t="s">
        <v>554</v>
      </c>
      <c r="P1010" s="1" t="s">
        <v>266</v>
      </c>
      <c r="Q1010" s="1" t="s">
        <v>2495</v>
      </c>
      <c r="R1010" s="1" t="s">
        <v>48</v>
      </c>
      <c r="S1010" s="1"/>
      <c r="U1010" s="1" t="s">
        <v>35</v>
      </c>
      <c r="V1010" s="1" t="s">
        <v>49</v>
      </c>
      <c r="W1010" s="1" t="str">
        <f>VLOOKUP(Table1[[#This Row],[Obergruppe ATC-Code]],Tabelle3!$A$2:$B$100,2)</f>
        <v>CORTICOSTEROIDE ZUR SYSTEMISCHEN ANWENDUNG</v>
      </c>
      <c r="X1010" s="1" t="str">
        <f xml:space="preserve"> LEFT(Table1[[#This Row],[Atc Code]],3)</f>
        <v>H02</v>
      </c>
    </row>
    <row r="1011" spans="1:24" ht="14.4">
      <c r="A1011" s="14">
        <v>3094</v>
      </c>
      <c r="B1011" s="1">
        <v>4969198.3831901997</v>
      </c>
      <c r="C1011" s="1">
        <v>914852</v>
      </c>
      <c r="D1011" s="1" t="s">
        <v>25</v>
      </c>
      <c r="E1011" s="36">
        <v>43586</v>
      </c>
      <c r="F1011" s="36">
        <v>44043</v>
      </c>
      <c r="G1011" s="38">
        <f t="shared" si="15"/>
        <v>457</v>
      </c>
      <c r="H1011" s="5">
        <v>43612</v>
      </c>
      <c r="I1011" s="5">
        <v>44049</v>
      </c>
      <c r="J1011" s="1" t="s">
        <v>41</v>
      </c>
      <c r="K1011" s="1" t="s">
        <v>2497</v>
      </c>
      <c r="L1011" s="1" t="s">
        <v>2493</v>
      </c>
      <c r="M1011" s="1" t="s">
        <v>2494</v>
      </c>
      <c r="N1011" s="1" t="s">
        <v>30</v>
      </c>
      <c r="O1011" s="1" t="s">
        <v>554</v>
      </c>
      <c r="P1011" s="1" t="s">
        <v>266</v>
      </c>
      <c r="Q1011" s="1" t="s">
        <v>2495</v>
      </c>
      <c r="R1011" s="1" t="s">
        <v>48</v>
      </c>
      <c r="S1011" s="1"/>
      <c r="U1011" s="1" t="s">
        <v>35</v>
      </c>
      <c r="V1011" s="1" t="s">
        <v>49</v>
      </c>
      <c r="W1011" s="1" t="str">
        <f>VLOOKUP(Table1[[#This Row],[Obergruppe ATC-Code]],Tabelle3!$A$2:$B$100,2)</f>
        <v>CORTICOSTEROIDE ZUR SYSTEMISCHEN ANWENDUNG</v>
      </c>
      <c r="X1011" s="1" t="str">
        <f xml:space="preserve"> LEFT(Table1[[#This Row],[Atc Code]],3)</f>
        <v>H02</v>
      </c>
    </row>
    <row r="1012" spans="1:24" ht="14.4">
      <c r="A1012" s="14">
        <v>2180</v>
      </c>
      <c r="B1012" s="24" t="s">
        <v>2498</v>
      </c>
      <c r="C1012" s="1">
        <v>2151186</v>
      </c>
      <c r="D1012" s="1" t="s">
        <v>25</v>
      </c>
      <c r="E1012" s="36">
        <v>44136</v>
      </c>
      <c r="F1012" s="36">
        <v>44196</v>
      </c>
      <c r="G1012" s="38">
        <f t="shared" si="15"/>
        <v>60</v>
      </c>
      <c r="H1012" s="5">
        <v>44175</v>
      </c>
      <c r="I1012" s="5">
        <v>44183</v>
      </c>
      <c r="J1012" s="1" t="s">
        <v>41</v>
      </c>
      <c r="K1012" s="1" t="s">
        <v>2499</v>
      </c>
      <c r="L1012" s="1" t="s">
        <v>2493</v>
      </c>
      <c r="M1012" s="1" t="s">
        <v>2494</v>
      </c>
      <c r="N1012" s="1" t="s">
        <v>38</v>
      </c>
      <c r="O1012" s="1" t="s">
        <v>615</v>
      </c>
      <c r="P1012" s="1" t="s">
        <v>1326</v>
      </c>
      <c r="Q1012" s="1" t="s">
        <v>621</v>
      </c>
      <c r="R1012" s="1" t="s">
        <v>48</v>
      </c>
      <c r="S1012" s="1"/>
      <c r="T1012" s="1" t="s">
        <v>2500</v>
      </c>
      <c r="U1012" s="1" t="s">
        <v>35</v>
      </c>
      <c r="V1012" s="1" t="s">
        <v>49</v>
      </c>
      <c r="W1012" s="1" t="str">
        <f>VLOOKUP(Table1[[#This Row],[Obergruppe ATC-Code]],Tabelle3!$A$2:$B$100,2)</f>
        <v>CORTICOSTEROIDE ZUR SYSTEMISCHEN ANWENDUNG</v>
      </c>
      <c r="X1012" s="1" t="str">
        <f xml:space="preserve"> LEFT(Table1[[#This Row],[Atc Code]],3)</f>
        <v>H02</v>
      </c>
    </row>
    <row r="1013" spans="1:24" ht="14.4">
      <c r="A1013" s="14">
        <v>2375</v>
      </c>
      <c r="B1013" s="24" t="s">
        <v>2501</v>
      </c>
      <c r="C1013" s="1">
        <v>2132492</v>
      </c>
      <c r="D1013" s="1" t="s">
        <v>25</v>
      </c>
      <c r="E1013" s="36">
        <v>44592</v>
      </c>
      <c r="F1013" s="36">
        <v>44620</v>
      </c>
      <c r="G1013" s="38">
        <f t="shared" si="15"/>
        <v>28</v>
      </c>
      <c r="H1013" s="5">
        <v>44594</v>
      </c>
      <c r="I1013" s="5">
        <v>44623</v>
      </c>
      <c r="J1013" s="1" t="s">
        <v>26</v>
      </c>
      <c r="K1013" s="1" t="s">
        <v>2502</v>
      </c>
      <c r="L1013" s="1" t="s">
        <v>2493</v>
      </c>
      <c r="M1013" s="1" t="s">
        <v>2494</v>
      </c>
      <c r="N1013" s="1" t="s">
        <v>38</v>
      </c>
      <c r="O1013" s="1" t="s">
        <v>615</v>
      </c>
      <c r="P1013" s="1">
        <v>34954247491</v>
      </c>
      <c r="Q1013" s="1" t="s">
        <v>2503</v>
      </c>
      <c r="R1013" s="1" t="s">
        <v>113</v>
      </c>
      <c r="S1013" s="1"/>
      <c r="T1013" s="1" t="s">
        <v>2500</v>
      </c>
      <c r="U1013" s="1" t="s">
        <v>35</v>
      </c>
      <c r="V1013" s="1" t="s">
        <v>49</v>
      </c>
      <c r="W1013" s="1" t="str">
        <f>VLOOKUP(Table1[[#This Row],[Obergruppe ATC-Code]],Tabelle3!$A$2:$B$100,2)</f>
        <v>CORTICOSTEROIDE ZUR SYSTEMISCHEN ANWENDUNG</v>
      </c>
      <c r="X1013" s="1" t="str">
        <f xml:space="preserve"> LEFT(Table1[[#This Row],[Atc Code]],3)</f>
        <v>H02</v>
      </c>
    </row>
    <row r="1014" spans="1:24" ht="14.4">
      <c r="A1014" s="14">
        <v>1131</v>
      </c>
      <c r="B1014" s="24">
        <v>9507717</v>
      </c>
      <c r="C1014" s="1">
        <v>2181076</v>
      </c>
      <c r="D1014" s="1" t="s">
        <v>25</v>
      </c>
      <c r="E1014" s="36">
        <v>44739</v>
      </c>
      <c r="F1014" s="36">
        <v>44783</v>
      </c>
      <c r="G1014" s="38">
        <f t="shared" si="15"/>
        <v>44</v>
      </c>
      <c r="H1014" s="5">
        <v>44739</v>
      </c>
      <c r="I1014" s="5">
        <v>44783</v>
      </c>
      <c r="J1014" s="1" t="s">
        <v>26</v>
      </c>
      <c r="K1014" s="1" t="s">
        <v>2504</v>
      </c>
      <c r="L1014" s="1" t="s">
        <v>2493</v>
      </c>
      <c r="M1014" s="1" t="s">
        <v>2505</v>
      </c>
      <c r="N1014" s="1" t="s">
        <v>30</v>
      </c>
      <c r="O1014" s="1" t="s">
        <v>615</v>
      </c>
      <c r="P1014" s="1" t="s">
        <v>623</v>
      </c>
      <c r="Q1014" s="1" t="s">
        <v>621</v>
      </c>
      <c r="R1014" s="1" t="s">
        <v>33</v>
      </c>
      <c r="S1014" s="1" t="s">
        <v>1060</v>
      </c>
      <c r="T1014" s="1" t="s">
        <v>2506</v>
      </c>
      <c r="U1014" s="1" t="s">
        <v>35</v>
      </c>
      <c r="V1014" s="1" t="s">
        <v>2507</v>
      </c>
      <c r="W1014" s="1" t="str">
        <f>VLOOKUP(Table1[[#This Row],[Obergruppe ATC-Code]],Tabelle3!$A$2:$B$100,2)</f>
        <v>CORTICOSTEROIDE ZUR SYSTEMISCHEN ANWENDUNG</v>
      </c>
      <c r="X1014" s="1" t="str">
        <f xml:space="preserve"> LEFT(Table1[[#This Row],[Atc Code]],3)</f>
        <v>H02</v>
      </c>
    </row>
    <row r="1015" spans="1:24" ht="14.4">
      <c r="A1015" s="14">
        <v>2500</v>
      </c>
      <c r="B1015" s="24" t="s">
        <v>2508</v>
      </c>
      <c r="C1015" s="1">
        <v>2181075</v>
      </c>
      <c r="D1015" s="1" t="s">
        <v>25</v>
      </c>
      <c r="E1015" s="36">
        <v>44761</v>
      </c>
      <c r="F1015" s="36">
        <v>44791</v>
      </c>
      <c r="G1015" s="38">
        <f t="shared" si="15"/>
        <v>30</v>
      </c>
      <c r="H1015" s="5">
        <v>44761</v>
      </c>
      <c r="I1015" s="5">
        <v>44791</v>
      </c>
      <c r="J1015" s="1" t="s">
        <v>41</v>
      </c>
      <c r="K1015" s="1" t="s">
        <v>2509</v>
      </c>
      <c r="L1015" s="1" t="s">
        <v>2493</v>
      </c>
      <c r="M1015" s="1" t="s">
        <v>2505</v>
      </c>
      <c r="N1015" s="1" t="s">
        <v>38</v>
      </c>
      <c r="O1015" s="1" t="s">
        <v>615</v>
      </c>
      <c r="P1015" s="1">
        <v>349542470</v>
      </c>
      <c r="Q1015" s="1" t="s">
        <v>619</v>
      </c>
      <c r="R1015" s="1" t="s">
        <v>128</v>
      </c>
      <c r="S1015" s="1" t="s">
        <v>2510</v>
      </c>
      <c r="U1015" s="1" t="s">
        <v>35</v>
      </c>
      <c r="V1015" s="1" t="s">
        <v>2507</v>
      </c>
      <c r="W1015" s="1" t="str">
        <f>VLOOKUP(Table1[[#This Row],[Obergruppe ATC-Code]],Tabelle3!$A$2:$B$100,2)</f>
        <v>CORTICOSTEROIDE ZUR SYSTEMISCHEN ANWENDUNG</v>
      </c>
      <c r="X1015" s="1" t="str">
        <f xml:space="preserve"> LEFT(Table1[[#This Row],[Atc Code]],3)</f>
        <v>H02</v>
      </c>
    </row>
    <row r="1016" spans="1:24" ht="14.4">
      <c r="A1016" s="14">
        <v>1422</v>
      </c>
      <c r="B1016" s="24">
        <v>14141968</v>
      </c>
      <c r="C1016" s="1">
        <v>2181076</v>
      </c>
      <c r="D1016" s="1" t="s">
        <v>25</v>
      </c>
      <c r="E1016" s="36">
        <v>44802</v>
      </c>
      <c r="F1016" s="36">
        <v>44810</v>
      </c>
      <c r="G1016" s="38">
        <f t="shared" si="15"/>
        <v>8</v>
      </c>
      <c r="H1016" s="5">
        <v>44805</v>
      </c>
      <c r="I1016" s="5">
        <v>44810</v>
      </c>
      <c r="J1016" s="1" t="s">
        <v>26</v>
      </c>
      <c r="K1016" s="1" t="s">
        <v>2504</v>
      </c>
      <c r="L1016" s="1" t="s">
        <v>2493</v>
      </c>
      <c r="M1016" s="1" t="s">
        <v>2505</v>
      </c>
      <c r="N1016" s="1" t="s">
        <v>38</v>
      </c>
      <c r="O1016" s="1" t="s">
        <v>615</v>
      </c>
      <c r="P1016" s="1" t="s">
        <v>623</v>
      </c>
      <c r="Q1016" s="1" t="s">
        <v>621</v>
      </c>
      <c r="R1016" s="1" t="s">
        <v>33</v>
      </c>
      <c r="S1016" s="1"/>
      <c r="U1016" s="1" t="s">
        <v>35</v>
      </c>
      <c r="V1016" s="1" t="s">
        <v>2507</v>
      </c>
      <c r="W1016" s="1" t="str">
        <f>VLOOKUP(Table1[[#This Row],[Obergruppe ATC-Code]],Tabelle3!$A$2:$B$100,2)</f>
        <v>CORTICOSTEROIDE ZUR SYSTEMISCHEN ANWENDUNG</v>
      </c>
      <c r="X1016" s="1" t="str">
        <f xml:space="preserve"> LEFT(Table1[[#This Row],[Atc Code]],3)</f>
        <v>H02</v>
      </c>
    </row>
    <row r="1017" spans="1:24" ht="14.4">
      <c r="A1017" s="14">
        <v>1420</v>
      </c>
      <c r="B1017" s="24">
        <v>14141419</v>
      </c>
      <c r="C1017" s="1">
        <v>2132484</v>
      </c>
      <c r="D1017" s="1" t="s">
        <v>25</v>
      </c>
      <c r="E1017" s="36">
        <v>44774</v>
      </c>
      <c r="F1017" s="36">
        <v>44811</v>
      </c>
      <c r="G1017" s="38">
        <f t="shared" si="15"/>
        <v>37</v>
      </c>
      <c r="H1017" s="5">
        <v>44776</v>
      </c>
      <c r="I1017" s="5">
        <v>44812</v>
      </c>
      <c r="J1017" s="1" t="s">
        <v>26</v>
      </c>
      <c r="K1017" s="1" t="s">
        <v>2511</v>
      </c>
      <c r="L1017" s="1" t="s">
        <v>2493</v>
      </c>
      <c r="M1017" s="1" t="s">
        <v>2494</v>
      </c>
      <c r="N1017" s="1" t="s">
        <v>30</v>
      </c>
      <c r="O1017" s="1" t="s">
        <v>615</v>
      </c>
      <c r="P1017" s="1">
        <v>349542470</v>
      </c>
      <c r="Q1017" s="1" t="s">
        <v>619</v>
      </c>
      <c r="R1017" s="1" t="s">
        <v>33</v>
      </c>
      <c r="S1017" s="1"/>
      <c r="U1017" s="1" t="s">
        <v>35</v>
      </c>
      <c r="V1017" s="1" t="s">
        <v>49</v>
      </c>
      <c r="W1017" s="1" t="str">
        <f>VLOOKUP(Table1[[#This Row],[Obergruppe ATC-Code]],Tabelle3!$A$2:$B$100,2)</f>
        <v>CORTICOSTEROIDE ZUR SYSTEMISCHEN ANWENDUNG</v>
      </c>
      <c r="X1017" s="1" t="str">
        <f xml:space="preserve"> LEFT(Table1[[#This Row],[Atc Code]],3)</f>
        <v>H02</v>
      </c>
    </row>
    <row r="1018" spans="1:24" ht="14.4">
      <c r="A1018" s="14">
        <v>1423</v>
      </c>
      <c r="B1018" s="24">
        <v>14141974</v>
      </c>
      <c r="C1018" s="1">
        <v>2181075</v>
      </c>
      <c r="D1018" s="1" t="s">
        <v>25</v>
      </c>
      <c r="E1018" s="36">
        <v>44830</v>
      </c>
      <c r="F1018" s="36">
        <v>44848</v>
      </c>
      <c r="G1018" s="38">
        <f t="shared" si="15"/>
        <v>18</v>
      </c>
      <c r="H1018" s="5">
        <v>44831</v>
      </c>
      <c r="I1018" s="5">
        <v>44848</v>
      </c>
      <c r="J1018" s="1" t="s">
        <v>26</v>
      </c>
      <c r="K1018" s="1" t="s">
        <v>2509</v>
      </c>
      <c r="L1018" s="1" t="s">
        <v>2493</v>
      </c>
      <c r="M1018" s="1" t="s">
        <v>2505</v>
      </c>
      <c r="N1018" s="1" t="s">
        <v>30</v>
      </c>
      <c r="O1018" s="1" t="s">
        <v>615</v>
      </c>
      <c r="P1018" s="1">
        <v>49349542470</v>
      </c>
      <c r="Q1018" s="1" t="s">
        <v>619</v>
      </c>
      <c r="R1018" s="1" t="s">
        <v>33</v>
      </c>
      <c r="S1018" s="1"/>
      <c r="T1018" s="1" t="s">
        <v>2512</v>
      </c>
      <c r="U1018" s="1" t="s">
        <v>35</v>
      </c>
      <c r="V1018" s="1" t="s">
        <v>2507</v>
      </c>
      <c r="W1018" s="1" t="str">
        <f>VLOOKUP(Table1[[#This Row],[Obergruppe ATC-Code]],Tabelle3!$A$2:$B$100,2)</f>
        <v>CORTICOSTEROIDE ZUR SYSTEMISCHEN ANWENDUNG</v>
      </c>
      <c r="X1018" s="1" t="str">
        <f xml:space="preserve"> LEFT(Table1[[#This Row],[Atc Code]],3)</f>
        <v>H02</v>
      </c>
    </row>
    <row r="1019" spans="1:24" ht="14.4">
      <c r="A1019" s="14">
        <v>1130</v>
      </c>
      <c r="B1019" s="24">
        <v>9507700</v>
      </c>
      <c r="C1019" s="1">
        <v>2181076</v>
      </c>
      <c r="D1019" s="1" t="s">
        <v>25</v>
      </c>
      <c r="E1019" s="36">
        <v>44918</v>
      </c>
      <c r="F1019" s="36">
        <v>44951</v>
      </c>
      <c r="G1019" s="38">
        <f t="shared" si="15"/>
        <v>33</v>
      </c>
      <c r="H1019" s="5">
        <v>44930</v>
      </c>
      <c r="I1019" s="5">
        <v>44952</v>
      </c>
      <c r="J1019" s="1" t="s">
        <v>26</v>
      </c>
      <c r="K1019" s="1" t="s">
        <v>2504</v>
      </c>
      <c r="L1019" s="1" t="s">
        <v>2493</v>
      </c>
      <c r="M1019" s="1" t="s">
        <v>2505</v>
      </c>
      <c r="N1019" s="1" t="s">
        <v>30</v>
      </c>
      <c r="O1019" s="1" t="s">
        <v>615</v>
      </c>
      <c r="P1019" s="1">
        <v>349542470</v>
      </c>
      <c r="Q1019" s="1" t="s">
        <v>621</v>
      </c>
      <c r="R1019" s="1" t="s">
        <v>33</v>
      </c>
      <c r="S1019" s="1"/>
      <c r="T1019" s="1" t="s">
        <v>2506</v>
      </c>
      <c r="U1019" s="1" t="s">
        <v>35</v>
      </c>
      <c r="V1019" s="1" t="s">
        <v>2507</v>
      </c>
      <c r="W1019" s="1" t="str">
        <f>VLOOKUP(Table1[[#This Row],[Obergruppe ATC-Code]],Tabelle3!$A$2:$B$100,2)</f>
        <v>CORTICOSTEROIDE ZUR SYSTEMISCHEN ANWENDUNG</v>
      </c>
      <c r="X1019" s="1" t="str">
        <f xml:space="preserve"> LEFT(Table1[[#This Row],[Atc Code]],3)</f>
        <v>H02</v>
      </c>
    </row>
    <row r="1020" spans="1:24" ht="14.4">
      <c r="A1020" s="14">
        <v>2374</v>
      </c>
      <c r="B1020" s="24" t="s">
        <v>2513</v>
      </c>
      <c r="C1020" s="1">
        <v>2132488</v>
      </c>
      <c r="D1020" s="1" t="s">
        <v>25</v>
      </c>
      <c r="E1020" s="36">
        <v>44872</v>
      </c>
      <c r="F1020" s="36">
        <v>44950</v>
      </c>
      <c r="G1020" s="38">
        <f t="shared" si="15"/>
        <v>78</v>
      </c>
      <c r="H1020" s="5">
        <v>44873</v>
      </c>
      <c r="I1020" s="5">
        <v>44958</v>
      </c>
      <c r="J1020" s="1" t="s">
        <v>26</v>
      </c>
      <c r="K1020" s="1" t="s">
        <v>2514</v>
      </c>
      <c r="L1020" s="1" t="s">
        <v>2493</v>
      </c>
      <c r="M1020" s="1" t="s">
        <v>2494</v>
      </c>
      <c r="N1020" s="1" t="s">
        <v>30</v>
      </c>
      <c r="O1020" s="1" t="s">
        <v>615</v>
      </c>
      <c r="P1020" s="1">
        <v>349542470</v>
      </c>
      <c r="Q1020" s="1" t="s">
        <v>2503</v>
      </c>
      <c r="R1020" s="1" t="s">
        <v>33</v>
      </c>
      <c r="S1020" s="1"/>
      <c r="U1020" s="1" t="s">
        <v>35</v>
      </c>
      <c r="V1020" s="1" t="s">
        <v>49</v>
      </c>
      <c r="W1020" s="1" t="str">
        <f>VLOOKUP(Table1[[#This Row],[Obergruppe ATC-Code]],Tabelle3!$A$2:$B$100,2)</f>
        <v>CORTICOSTEROIDE ZUR SYSTEMISCHEN ANWENDUNG</v>
      </c>
      <c r="X1020" s="1" t="str">
        <f xml:space="preserve"> LEFT(Table1[[#This Row],[Atc Code]],3)</f>
        <v>H02</v>
      </c>
    </row>
    <row r="1021" spans="1:24" ht="14.4">
      <c r="A1021" s="14">
        <v>2373</v>
      </c>
      <c r="B1021" s="24" t="s">
        <v>2515</v>
      </c>
      <c r="C1021" s="1">
        <v>2132484</v>
      </c>
      <c r="D1021" s="1" t="s">
        <v>25</v>
      </c>
      <c r="E1021" s="36">
        <v>44911</v>
      </c>
      <c r="F1021" s="36">
        <v>44963</v>
      </c>
      <c r="G1021" s="38">
        <f t="shared" si="15"/>
        <v>52</v>
      </c>
      <c r="H1021" s="5">
        <v>44916</v>
      </c>
      <c r="I1021" s="5">
        <v>44963</v>
      </c>
      <c r="J1021" s="1" t="s">
        <v>26</v>
      </c>
      <c r="K1021" s="1" t="s">
        <v>2511</v>
      </c>
      <c r="L1021" s="1" t="s">
        <v>2493</v>
      </c>
      <c r="M1021" s="1" t="s">
        <v>2494</v>
      </c>
      <c r="N1021" s="1" t="s">
        <v>38</v>
      </c>
      <c r="O1021" s="1" t="s">
        <v>615</v>
      </c>
      <c r="P1021" s="1">
        <v>349542470</v>
      </c>
      <c r="Q1021" s="1" t="s">
        <v>621</v>
      </c>
      <c r="R1021" s="1" t="s">
        <v>33</v>
      </c>
      <c r="S1021" s="1"/>
      <c r="T1021" s="1" t="s">
        <v>2516</v>
      </c>
      <c r="U1021" s="1" t="s">
        <v>35</v>
      </c>
      <c r="V1021" s="1" t="s">
        <v>49</v>
      </c>
      <c r="W1021" s="1" t="str">
        <f>VLOOKUP(Table1[[#This Row],[Obergruppe ATC-Code]],Tabelle3!$A$2:$B$100,2)</f>
        <v>CORTICOSTEROIDE ZUR SYSTEMISCHEN ANWENDUNG</v>
      </c>
      <c r="X1021" s="1" t="str">
        <f xml:space="preserve"> LEFT(Table1[[#This Row],[Atc Code]],3)</f>
        <v>H02</v>
      </c>
    </row>
    <row r="1022" spans="1:24" ht="14.4">
      <c r="A1022" s="14">
        <v>983</v>
      </c>
      <c r="B1022" s="24">
        <v>8424231</v>
      </c>
      <c r="C1022" s="1">
        <v>2132492</v>
      </c>
      <c r="D1022" s="1" t="s">
        <v>25</v>
      </c>
      <c r="E1022" s="36">
        <v>44935</v>
      </c>
      <c r="F1022" s="36">
        <v>44959</v>
      </c>
      <c r="G1022" s="38">
        <f t="shared" si="15"/>
        <v>24</v>
      </c>
      <c r="H1022" s="5">
        <v>44938</v>
      </c>
      <c r="I1022" s="5">
        <v>44963</v>
      </c>
      <c r="J1022" s="1" t="s">
        <v>26</v>
      </c>
      <c r="K1022" s="1" t="s">
        <v>2502</v>
      </c>
      <c r="L1022" s="1" t="s">
        <v>2493</v>
      </c>
      <c r="M1022" s="1" t="s">
        <v>2494</v>
      </c>
      <c r="N1022" s="1" t="s">
        <v>38</v>
      </c>
      <c r="O1022" s="1" t="s">
        <v>615</v>
      </c>
      <c r="P1022" s="1">
        <v>49349542470</v>
      </c>
      <c r="Q1022" s="1" t="s">
        <v>619</v>
      </c>
      <c r="R1022" s="1" t="s">
        <v>33</v>
      </c>
      <c r="S1022" s="1"/>
      <c r="T1022" s="1" t="s">
        <v>2500</v>
      </c>
      <c r="U1022" s="1" t="s">
        <v>35</v>
      </c>
      <c r="V1022" s="1" t="s">
        <v>49</v>
      </c>
      <c r="W1022" s="1" t="str">
        <f>VLOOKUP(Table1[[#This Row],[Obergruppe ATC-Code]],Tabelle3!$A$2:$B$100,2)</f>
        <v>CORTICOSTEROIDE ZUR SYSTEMISCHEN ANWENDUNG</v>
      </c>
      <c r="X1022" s="1" t="str">
        <f xml:space="preserve"> LEFT(Table1[[#This Row],[Atc Code]],3)</f>
        <v>H02</v>
      </c>
    </row>
    <row r="1023" spans="1:24" ht="14.4">
      <c r="A1023" s="14">
        <v>1361</v>
      </c>
      <c r="B1023" s="24">
        <v>13335794</v>
      </c>
      <c r="C1023" s="1">
        <v>2194866</v>
      </c>
      <c r="D1023" s="1" t="s">
        <v>25</v>
      </c>
      <c r="E1023" s="36">
        <v>44984</v>
      </c>
      <c r="F1023" s="36">
        <v>45013</v>
      </c>
      <c r="G1023" s="38">
        <f t="shared" si="15"/>
        <v>29</v>
      </c>
      <c r="H1023" s="5">
        <v>44986</v>
      </c>
      <c r="I1023" s="5">
        <v>45015</v>
      </c>
      <c r="J1023" s="1" t="s">
        <v>26</v>
      </c>
      <c r="K1023" s="1" t="s">
        <v>2517</v>
      </c>
      <c r="L1023" s="1" t="s">
        <v>2493</v>
      </c>
      <c r="M1023" s="1" t="s">
        <v>2505</v>
      </c>
      <c r="N1023" s="1" t="s">
        <v>30</v>
      </c>
      <c r="O1023" s="1" t="s">
        <v>615</v>
      </c>
      <c r="P1023" s="1">
        <v>49349542470</v>
      </c>
      <c r="Q1023" s="1" t="s">
        <v>619</v>
      </c>
      <c r="R1023" s="1" t="s">
        <v>33</v>
      </c>
      <c r="S1023" s="1"/>
      <c r="U1023" s="1" t="s">
        <v>35</v>
      </c>
      <c r="V1023" s="1" t="s">
        <v>2507</v>
      </c>
      <c r="W1023" s="1" t="str">
        <f>VLOOKUP(Table1[[#This Row],[Obergruppe ATC-Code]],Tabelle3!$A$2:$B$100,2)</f>
        <v>CORTICOSTEROIDE ZUR SYSTEMISCHEN ANWENDUNG</v>
      </c>
      <c r="X1023" s="1" t="str">
        <f xml:space="preserve"> LEFT(Table1[[#This Row],[Atc Code]],3)</f>
        <v>H02</v>
      </c>
    </row>
    <row r="1024" spans="1:24" ht="14.4">
      <c r="A1024" s="14">
        <v>283</v>
      </c>
      <c r="B1024" s="24">
        <v>1693991</v>
      </c>
      <c r="C1024" s="1">
        <v>85717</v>
      </c>
      <c r="D1024" s="1" t="s">
        <v>175</v>
      </c>
      <c r="E1024" s="36">
        <v>45177</v>
      </c>
      <c r="F1024" s="36">
        <v>45536</v>
      </c>
      <c r="G1024" s="38">
        <f t="shared" si="15"/>
        <v>359</v>
      </c>
      <c r="H1024" s="5">
        <v>45135</v>
      </c>
      <c r="I1024" s="5">
        <v>45135</v>
      </c>
      <c r="J1024" s="1" t="s">
        <v>41</v>
      </c>
      <c r="K1024" s="1" t="s">
        <v>2518</v>
      </c>
      <c r="L1024" s="1" t="s">
        <v>2493</v>
      </c>
      <c r="M1024" s="1" t="s">
        <v>2505</v>
      </c>
      <c r="N1024" s="1" t="s">
        <v>30</v>
      </c>
      <c r="O1024" s="1" t="s">
        <v>2519</v>
      </c>
      <c r="P1024" s="1">
        <v>393385370735</v>
      </c>
      <c r="Q1024" s="1" t="s">
        <v>2520</v>
      </c>
      <c r="R1024" s="1" t="s">
        <v>48</v>
      </c>
      <c r="S1024" s="1" t="s">
        <v>2521</v>
      </c>
      <c r="T1024" s="1" t="s">
        <v>2522</v>
      </c>
      <c r="U1024" s="1" t="s">
        <v>35</v>
      </c>
      <c r="V1024" s="1" t="s">
        <v>2507</v>
      </c>
      <c r="W1024" s="1" t="str">
        <f>VLOOKUP(Table1[[#This Row],[Obergruppe ATC-Code]],Tabelle3!$A$2:$B$100,2)</f>
        <v>CORTICOSTEROIDE ZUR SYSTEMISCHEN ANWENDUNG</v>
      </c>
      <c r="X1024" s="1" t="str">
        <f xml:space="preserve"> LEFT(Table1[[#This Row],[Atc Code]],3)</f>
        <v>H02</v>
      </c>
    </row>
    <row r="1025" spans="1:24" ht="14.4">
      <c r="A1025" s="14">
        <v>2977</v>
      </c>
      <c r="B1025" s="24" t="s">
        <v>2523</v>
      </c>
      <c r="C1025" s="1">
        <v>165936</v>
      </c>
      <c r="D1025" s="1" t="s">
        <v>25</v>
      </c>
      <c r="E1025" s="36">
        <v>43221</v>
      </c>
      <c r="F1025" s="36">
        <v>43434</v>
      </c>
      <c r="G1025" s="38">
        <f t="shared" si="15"/>
        <v>213</v>
      </c>
      <c r="H1025" s="5">
        <v>43277</v>
      </c>
      <c r="I1025" s="5">
        <v>43424</v>
      </c>
      <c r="J1025" s="1" t="s">
        <v>26</v>
      </c>
      <c r="K1025" s="1" t="s">
        <v>2524</v>
      </c>
      <c r="L1025" s="1" t="s">
        <v>2525</v>
      </c>
      <c r="M1025" s="1" t="s">
        <v>61</v>
      </c>
      <c r="N1025" s="1" t="s">
        <v>30</v>
      </c>
      <c r="O1025" s="1" t="s">
        <v>554</v>
      </c>
      <c r="P1025" s="1" t="s">
        <v>1662</v>
      </c>
      <c r="Q1025" s="1" t="s">
        <v>64</v>
      </c>
      <c r="R1025" s="1" t="s">
        <v>33</v>
      </c>
      <c r="S1025" s="1"/>
      <c r="T1025" s="1" t="s">
        <v>2526</v>
      </c>
      <c r="U1025" s="1" t="s">
        <v>35</v>
      </c>
      <c r="V1025" s="1" t="s">
        <v>508</v>
      </c>
      <c r="W1025" s="1" t="str">
        <f>VLOOKUP(Table1[[#This Row],[Obergruppe ATC-Code]],Tabelle3!$A$2:$B$100,2)</f>
        <v>CORTICOSTEROIDE ZUR SYSTEMISCHEN ANWENDUNG</v>
      </c>
      <c r="X1025" s="1" t="str">
        <f xml:space="preserve"> LEFT(Table1[[#This Row],[Atc Code]],3)</f>
        <v>H02</v>
      </c>
    </row>
    <row r="1026" spans="1:24" ht="14.4">
      <c r="A1026" s="14">
        <v>2975</v>
      </c>
      <c r="B1026" s="24" t="s">
        <v>2527</v>
      </c>
      <c r="C1026" s="1">
        <v>165959</v>
      </c>
      <c r="D1026" s="1" t="s">
        <v>25</v>
      </c>
      <c r="E1026" s="36">
        <v>43221</v>
      </c>
      <c r="F1026" s="36">
        <v>43434</v>
      </c>
      <c r="G1026" s="38">
        <f t="shared" ref="G1026:G1089" si="16">F1026-E1026</f>
        <v>213</v>
      </c>
      <c r="H1026" s="5">
        <v>43276</v>
      </c>
      <c r="I1026" s="5">
        <v>43424</v>
      </c>
      <c r="J1026" s="1" t="s">
        <v>26</v>
      </c>
      <c r="K1026" s="1" t="s">
        <v>2528</v>
      </c>
      <c r="L1026" s="1" t="s">
        <v>2525</v>
      </c>
      <c r="M1026" s="1" t="s">
        <v>61</v>
      </c>
      <c r="N1026" s="1" t="s">
        <v>30</v>
      </c>
      <c r="O1026" s="1" t="s">
        <v>554</v>
      </c>
      <c r="P1026" s="1" t="s">
        <v>1662</v>
      </c>
      <c r="Q1026" s="1" t="s">
        <v>64</v>
      </c>
      <c r="R1026" s="1" t="s">
        <v>33</v>
      </c>
      <c r="S1026" s="1"/>
      <c r="T1026" s="1" t="s">
        <v>2529</v>
      </c>
      <c r="U1026" s="1" t="s">
        <v>35</v>
      </c>
      <c r="V1026" s="1" t="s">
        <v>508</v>
      </c>
      <c r="W1026" s="1" t="str">
        <f>VLOOKUP(Table1[[#This Row],[Obergruppe ATC-Code]],Tabelle3!$A$2:$B$100,2)</f>
        <v>CORTICOSTEROIDE ZUR SYSTEMISCHEN ANWENDUNG</v>
      </c>
      <c r="X1026" s="1" t="str">
        <f xml:space="preserve"> LEFT(Table1[[#This Row],[Atc Code]],3)</f>
        <v>H02</v>
      </c>
    </row>
    <row r="1027" spans="1:24" ht="14.4">
      <c r="A1027" s="14">
        <v>2930</v>
      </c>
      <c r="B1027" s="24" t="s">
        <v>2530</v>
      </c>
      <c r="C1027" s="1">
        <v>139577</v>
      </c>
      <c r="D1027" s="1" t="s">
        <v>25</v>
      </c>
      <c r="E1027" s="36">
        <v>43221</v>
      </c>
      <c r="F1027" s="36">
        <v>43434</v>
      </c>
      <c r="G1027" s="38">
        <f t="shared" si="16"/>
        <v>213</v>
      </c>
      <c r="H1027" s="5">
        <v>43277</v>
      </c>
      <c r="I1027" s="5">
        <v>43424</v>
      </c>
      <c r="J1027" s="1" t="s">
        <v>26</v>
      </c>
      <c r="K1027" s="1" t="s">
        <v>2531</v>
      </c>
      <c r="L1027" s="1" t="s">
        <v>2525</v>
      </c>
      <c r="M1027" s="1" t="s">
        <v>61</v>
      </c>
      <c r="N1027" s="1" t="s">
        <v>30</v>
      </c>
      <c r="O1027" s="1" t="s">
        <v>554</v>
      </c>
      <c r="P1027" s="1" t="s">
        <v>1662</v>
      </c>
      <c r="Q1027" s="1" t="s">
        <v>64</v>
      </c>
      <c r="R1027" s="1" t="s">
        <v>33</v>
      </c>
      <c r="S1027" s="1"/>
      <c r="T1027" s="1" t="s">
        <v>2526</v>
      </c>
      <c r="U1027" s="1" t="s">
        <v>35</v>
      </c>
      <c r="V1027" s="1" t="s">
        <v>508</v>
      </c>
      <c r="W1027" s="1" t="str">
        <f>VLOOKUP(Table1[[#This Row],[Obergruppe ATC-Code]],Tabelle3!$A$2:$B$100,2)</f>
        <v>CORTICOSTEROIDE ZUR SYSTEMISCHEN ANWENDUNG</v>
      </c>
      <c r="X1027" s="1" t="str">
        <f xml:space="preserve"> LEFT(Table1[[#This Row],[Atc Code]],3)</f>
        <v>H02</v>
      </c>
    </row>
    <row r="1028" spans="1:24" ht="14.4">
      <c r="A1028" s="14">
        <v>2976</v>
      </c>
      <c r="B1028" s="24" t="s">
        <v>2523</v>
      </c>
      <c r="C1028" s="1">
        <v>165936</v>
      </c>
      <c r="D1028" s="1" t="s">
        <v>25</v>
      </c>
      <c r="E1028" s="36">
        <v>43709</v>
      </c>
      <c r="F1028" s="36">
        <v>43951</v>
      </c>
      <c r="G1028" s="38">
        <f t="shared" si="16"/>
        <v>242</v>
      </c>
      <c r="H1028" s="5">
        <v>43728</v>
      </c>
      <c r="I1028" s="5">
        <v>43950</v>
      </c>
      <c r="J1028" s="1" t="s">
        <v>26</v>
      </c>
      <c r="K1028" s="1" t="s">
        <v>2524</v>
      </c>
      <c r="L1028" s="1" t="s">
        <v>2525</v>
      </c>
      <c r="M1028" s="1" t="s">
        <v>61</v>
      </c>
      <c r="N1028" s="1" t="s">
        <v>30</v>
      </c>
      <c r="O1028" s="1" t="s">
        <v>554</v>
      </c>
      <c r="P1028" s="1" t="s">
        <v>266</v>
      </c>
      <c r="Q1028" s="1" t="s">
        <v>2532</v>
      </c>
      <c r="R1028" s="1" t="s">
        <v>33</v>
      </c>
      <c r="S1028" s="1"/>
      <c r="T1028" s="1" t="s">
        <v>2526</v>
      </c>
      <c r="U1028" s="1" t="s">
        <v>35</v>
      </c>
      <c r="V1028" s="1" t="s">
        <v>508</v>
      </c>
      <c r="W1028" s="1" t="str">
        <f>VLOOKUP(Table1[[#This Row],[Obergruppe ATC-Code]],Tabelle3!$A$2:$B$100,2)</f>
        <v>CORTICOSTEROIDE ZUR SYSTEMISCHEN ANWENDUNG</v>
      </c>
      <c r="X1028" s="1" t="str">
        <f xml:space="preserve"> LEFT(Table1[[#This Row],[Atc Code]],3)</f>
        <v>H02</v>
      </c>
    </row>
    <row r="1029" spans="1:24" ht="14.4">
      <c r="A1029" s="14">
        <v>2929</v>
      </c>
      <c r="B1029" s="24" t="s">
        <v>2530</v>
      </c>
      <c r="C1029" s="1">
        <v>139577</v>
      </c>
      <c r="D1029" s="1" t="s">
        <v>25</v>
      </c>
      <c r="E1029" s="36">
        <v>43709</v>
      </c>
      <c r="F1029" s="36">
        <v>43951</v>
      </c>
      <c r="G1029" s="38">
        <f t="shared" si="16"/>
        <v>242</v>
      </c>
      <c r="H1029" s="5">
        <v>43728</v>
      </c>
      <c r="I1029" s="5">
        <v>43950</v>
      </c>
      <c r="J1029" s="1" t="s">
        <v>26</v>
      </c>
      <c r="K1029" s="1" t="s">
        <v>2531</v>
      </c>
      <c r="L1029" s="1" t="s">
        <v>2525</v>
      </c>
      <c r="M1029" s="1" t="s">
        <v>61</v>
      </c>
      <c r="N1029" s="1" t="s">
        <v>30</v>
      </c>
      <c r="O1029" s="1" t="s">
        <v>554</v>
      </c>
      <c r="P1029" s="1" t="s">
        <v>266</v>
      </c>
      <c r="Q1029" s="1" t="s">
        <v>555</v>
      </c>
      <c r="R1029" s="1" t="s">
        <v>33</v>
      </c>
      <c r="S1029" s="1"/>
      <c r="T1029" s="1" t="s">
        <v>2526</v>
      </c>
      <c r="U1029" s="1" t="s">
        <v>35</v>
      </c>
      <c r="V1029" s="1" t="s">
        <v>508</v>
      </c>
      <c r="W1029" s="1" t="str">
        <f>VLOOKUP(Table1[[#This Row],[Obergruppe ATC-Code]],Tabelle3!$A$2:$B$100,2)</f>
        <v>CORTICOSTEROIDE ZUR SYSTEMISCHEN ANWENDUNG</v>
      </c>
      <c r="X1029" s="1" t="str">
        <f xml:space="preserve"> LEFT(Table1[[#This Row],[Atc Code]],3)</f>
        <v>H02</v>
      </c>
    </row>
    <row r="1030" spans="1:24" ht="14.4">
      <c r="A1030" s="14">
        <v>587</v>
      </c>
      <c r="B1030" s="24">
        <v>3740080</v>
      </c>
      <c r="C1030" s="1">
        <v>108973</v>
      </c>
      <c r="D1030" s="1" t="s">
        <v>25</v>
      </c>
      <c r="E1030" s="36">
        <v>44166</v>
      </c>
      <c r="F1030" s="36">
        <v>44227</v>
      </c>
      <c r="G1030" s="38">
        <f t="shared" si="16"/>
        <v>61</v>
      </c>
      <c r="H1030" s="5">
        <v>44188</v>
      </c>
      <c r="I1030" s="5">
        <v>44207</v>
      </c>
      <c r="J1030" s="1" t="s">
        <v>26</v>
      </c>
      <c r="K1030" s="1" t="s">
        <v>2533</v>
      </c>
      <c r="L1030" s="1" t="s">
        <v>2525</v>
      </c>
      <c r="M1030" s="1" t="s">
        <v>2534</v>
      </c>
      <c r="N1030" s="1" t="s">
        <v>30</v>
      </c>
      <c r="O1030" s="1" t="s">
        <v>548</v>
      </c>
      <c r="P1030" s="1">
        <v>8004288373</v>
      </c>
      <c r="Q1030" s="1" t="s">
        <v>549</v>
      </c>
      <c r="R1030" s="1" t="s">
        <v>33</v>
      </c>
      <c r="S1030" s="1"/>
      <c r="U1030" s="1" t="s">
        <v>35</v>
      </c>
      <c r="V1030" s="1" t="s">
        <v>49</v>
      </c>
      <c r="W1030" s="1" t="str">
        <f>VLOOKUP(Table1[[#This Row],[Obergruppe ATC-Code]],Tabelle3!$A$2:$B$100,2)</f>
        <v>CORTICOSTEROIDE ZUR SYSTEMISCHEN ANWENDUNG</v>
      </c>
      <c r="X1030" s="1" t="str">
        <f xml:space="preserve"> LEFT(Table1[[#This Row],[Atc Code]],3)</f>
        <v>H02</v>
      </c>
    </row>
    <row r="1031" spans="1:24" ht="14.4">
      <c r="A1031" s="14">
        <v>1903</v>
      </c>
      <c r="B1031" s="24" t="s">
        <v>2535</v>
      </c>
      <c r="C1031" s="1">
        <v>2109242</v>
      </c>
      <c r="D1031" s="1" t="s">
        <v>25</v>
      </c>
      <c r="E1031" s="36">
        <v>44044</v>
      </c>
      <c r="F1031" s="36">
        <v>44227</v>
      </c>
      <c r="G1031" s="38">
        <f t="shared" si="16"/>
        <v>183</v>
      </c>
      <c r="H1031" s="5">
        <v>44054</v>
      </c>
      <c r="I1031" s="5">
        <v>44292</v>
      </c>
      <c r="J1031" s="1" t="s">
        <v>41</v>
      </c>
      <c r="K1031" s="1" t="s">
        <v>2536</v>
      </c>
      <c r="L1031" s="1" t="s">
        <v>2525</v>
      </c>
      <c r="M1031" s="1" t="s">
        <v>2537</v>
      </c>
      <c r="N1031" s="1" t="s">
        <v>30</v>
      </c>
      <c r="O1031" s="1" t="s">
        <v>548</v>
      </c>
      <c r="P1031" s="1">
        <v>8004288373</v>
      </c>
      <c r="Q1031" s="1" t="s">
        <v>549</v>
      </c>
      <c r="R1031" s="1" t="s">
        <v>26</v>
      </c>
      <c r="S1031" s="1"/>
      <c r="U1031" s="1" t="s">
        <v>35</v>
      </c>
      <c r="V1031" s="1" t="s">
        <v>2507</v>
      </c>
      <c r="W1031" s="1" t="str">
        <f>VLOOKUP(Table1[[#This Row],[Obergruppe ATC-Code]],Tabelle3!$A$2:$B$100,2)</f>
        <v>CORTICOSTEROIDE ZUR SYSTEMISCHEN ANWENDUNG</v>
      </c>
      <c r="X1031" s="1" t="str">
        <f xml:space="preserve"> LEFT(Table1[[#This Row],[Atc Code]],3)</f>
        <v>H02</v>
      </c>
    </row>
    <row r="1032" spans="1:24" ht="14.4">
      <c r="A1032" s="14">
        <v>1899</v>
      </c>
      <c r="B1032" s="24" t="s">
        <v>2538</v>
      </c>
      <c r="C1032" s="1">
        <v>2109241</v>
      </c>
      <c r="D1032" s="1" t="s">
        <v>25</v>
      </c>
      <c r="E1032" s="36">
        <v>44136</v>
      </c>
      <c r="F1032" s="36">
        <v>44742</v>
      </c>
      <c r="G1032" s="38">
        <f t="shared" si="16"/>
        <v>606</v>
      </c>
      <c r="H1032" s="5">
        <v>44054</v>
      </c>
      <c r="I1032" s="5">
        <v>44292</v>
      </c>
      <c r="J1032" s="1" t="s">
        <v>41</v>
      </c>
      <c r="K1032" s="1" t="s">
        <v>2539</v>
      </c>
      <c r="L1032" s="1" t="s">
        <v>2525</v>
      </c>
      <c r="M1032" s="1" t="s">
        <v>2537</v>
      </c>
      <c r="N1032" s="1" t="s">
        <v>30</v>
      </c>
      <c r="O1032" s="1" t="s">
        <v>548</v>
      </c>
      <c r="P1032" s="1">
        <v>8004288373</v>
      </c>
      <c r="Q1032" s="1" t="s">
        <v>549</v>
      </c>
      <c r="R1032" s="1" t="s">
        <v>26</v>
      </c>
      <c r="S1032" s="1"/>
      <c r="U1032" s="1" t="s">
        <v>35</v>
      </c>
      <c r="V1032" s="1" t="s">
        <v>2507</v>
      </c>
      <c r="W1032" s="1" t="str">
        <f>VLOOKUP(Table1[[#This Row],[Obergruppe ATC-Code]],Tabelle3!$A$2:$B$100,2)</f>
        <v>CORTICOSTEROIDE ZUR SYSTEMISCHEN ANWENDUNG</v>
      </c>
      <c r="X1032" s="1" t="str">
        <f xml:space="preserve"> LEFT(Table1[[#This Row],[Atc Code]],3)</f>
        <v>H02</v>
      </c>
    </row>
    <row r="1033" spans="1:24" ht="14.4">
      <c r="A1033" s="14">
        <v>588</v>
      </c>
      <c r="B1033" s="24">
        <v>3740080</v>
      </c>
      <c r="C1033" s="1">
        <v>108973</v>
      </c>
      <c r="D1033" s="1" t="s">
        <v>25</v>
      </c>
      <c r="E1033" s="36">
        <v>44417</v>
      </c>
      <c r="F1033" s="36">
        <v>44503</v>
      </c>
      <c r="G1033" s="38">
        <f t="shared" si="16"/>
        <v>86</v>
      </c>
      <c r="H1033" s="5">
        <v>44419</v>
      </c>
      <c r="I1033" s="5">
        <v>44503</v>
      </c>
      <c r="J1033" s="1" t="s">
        <v>41</v>
      </c>
      <c r="K1033" s="1" t="s">
        <v>2533</v>
      </c>
      <c r="L1033" s="1" t="s">
        <v>2525</v>
      </c>
      <c r="M1033" s="1" t="s">
        <v>2534</v>
      </c>
      <c r="N1033" s="1" t="s">
        <v>38</v>
      </c>
      <c r="O1033" s="1" t="s">
        <v>548</v>
      </c>
      <c r="P1033" s="1">
        <v>8004288373</v>
      </c>
      <c r="Q1033" s="1" t="s">
        <v>549</v>
      </c>
      <c r="R1033" s="1" t="s">
        <v>128</v>
      </c>
      <c r="S1033" s="1"/>
      <c r="U1033" s="1" t="s">
        <v>35</v>
      </c>
      <c r="V1033" s="1" t="s">
        <v>49</v>
      </c>
      <c r="W1033" s="1" t="str">
        <f>VLOOKUP(Table1[[#This Row],[Obergruppe ATC-Code]],Tabelle3!$A$2:$B$100,2)</f>
        <v>CORTICOSTEROIDE ZUR SYSTEMISCHEN ANWENDUNG</v>
      </c>
      <c r="X1033" s="1" t="str">
        <f xml:space="preserve"> LEFT(Table1[[#This Row],[Atc Code]],3)</f>
        <v>H02</v>
      </c>
    </row>
    <row r="1034" spans="1:24" ht="14.4">
      <c r="A1034" s="14">
        <v>1188</v>
      </c>
      <c r="B1034" s="24">
        <v>10420341</v>
      </c>
      <c r="C1034" s="1">
        <v>2188676</v>
      </c>
      <c r="D1034" s="1" t="s">
        <v>25</v>
      </c>
      <c r="E1034" s="36">
        <v>44743</v>
      </c>
      <c r="F1034" s="36">
        <v>44749</v>
      </c>
      <c r="G1034" s="38">
        <f t="shared" si="16"/>
        <v>6</v>
      </c>
      <c r="H1034" s="5">
        <v>44742</v>
      </c>
      <c r="I1034" s="5">
        <v>44748</v>
      </c>
      <c r="J1034" s="1" t="s">
        <v>26</v>
      </c>
      <c r="K1034" s="1" t="s">
        <v>2540</v>
      </c>
      <c r="L1034" s="1" t="s">
        <v>2525</v>
      </c>
      <c r="M1034" s="1" t="s">
        <v>2541</v>
      </c>
      <c r="N1034" s="1" t="s">
        <v>38</v>
      </c>
      <c r="O1034" s="1" t="s">
        <v>2542</v>
      </c>
      <c r="P1034" s="1" t="s">
        <v>2543</v>
      </c>
      <c r="Q1034" s="1" t="s">
        <v>2544</v>
      </c>
      <c r="R1034" s="1" t="s">
        <v>113</v>
      </c>
      <c r="S1034" s="1" t="s">
        <v>2545</v>
      </c>
      <c r="U1034" s="1" t="s">
        <v>35</v>
      </c>
      <c r="V1034" s="1" t="s">
        <v>1292</v>
      </c>
      <c r="W1034" s="1" t="str">
        <f>VLOOKUP(Table1[[#This Row],[Obergruppe ATC-Code]],Tabelle3!$A$2:$B$100,2)</f>
        <v>CORTICOSTEROIDE ZUR SYSTEMISCHEN ANWENDUNG</v>
      </c>
      <c r="X1034" s="1" t="str">
        <f xml:space="preserve"> LEFT(Table1[[#This Row],[Atc Code]],3)</f>
        <v>H02</v>
      </c>
    </row>
    <row r="1035" spans="1:24" ht="14.4">
      <c r="A1035" s="14">
        <v>1425</v>
      </c>
      <c r="B1035" s="24">
        <v>14142146</v>
      </c>
      <c r="C1035" s="1">
        <v>2140461</v>
      </c>
      <c r="D1035" s="1" t="s">
        <v>25</v>
      </c>
      <c r="E1035" s="36">
        <v>44774</v>
      </c>
      <c r="F1035" s="36">
        <v>44788</v>
      </c>
      <c r="G1035" s="38">
        <f t="shared" si="16"/>
        <v>14</v>
      </c>
      <c r="H1035" s="5">
        <v>44776</v>
      </c>
      <c r="I1035" s="5">
        <v>44789</v>
      </c>
      <c r="J1035" s="1" t="s">
        <v>26</v>
      </c>
      <c r="K1035" s="1" t="s">
        <v>2546</v>
      </c>
      <c r="L1035" s="1" t="s">
        <v>2525</v>
      </c>
      <c r="M1035" s="1" t="s">
        <v>2537</v>
      </c>
      <c r="N1035" s="1" t="s">
        <v>30</v>
      </c>
      <c r="O1035" s="1" t="s">
        <v>615</v>
      </c>
      <c r="P1035" s="1">
        <v>349542470</v>
      </c>
      <c r="Q1035" s="1" t="s">
        <v>619</v>
      </c>
      <c r="R1035" s="1" t="s">
        <v>33</v>
      </c>
      <c r="S1035" s="1"/>
      <c r="T1035" s="1" t="s">
        <v>2547</v>
      </c>
      <c r="U1035" s="1" t="s">
        <v>35</v>
      </c>
      <c r="V1035" s="1" t="s">
        <v>803</v>
      </c>
      <c r="W1035" s="1" t="str">
        <f>VLOOKUP(Table1[[#This Row],[Obergruppe ATC-Code]],Tabelle3!$A$2:$B$100,2)</f>
        <v>CORTICOSTEROIDE ZUR SYSTEMISCHEN ANWENDUNG</v>
      </c>
      <c r="X1035" s="1" t="str">
        <f xml:space="preserve"> LEFT(Table1[[#This Row],[Atc Code]],3)</f>
        <v>H02</v>
      </c>
    </row>
    <row r="1036" spans="1:24" ht="14.4">
      <c r="A1036" s="14">
        <v>586</v>
      </c>
      <c r="B1036" s="24">
        <v>3740080</v>
      </c>
      <c r="C1036" s="1">
        <v>108973</v>
      </c>
      <c r="D1036" s="1" t="s">
        <v>25</v>
      </c>
      <c r="E1036" s="36">
        <v>44711</v>
      </c>
      <c r="F1036" s="36">
        <v>44797</v>
      </c>
      <c r="G1036" s="38">
        <f t="shared" si="16"/>
        <v>86</v>
      </c>
      <c r="H1036" s="5">
        <v>44644</v>
      </c>
      <c r="I1036" s="5">
        <v>44798</v>
      </c>
      <c r="J1036" s="1" t="s">
        <v>26</v>
      </c>
      <c r="K1036" s="1" t="s">
        <v>2533</v>
      </c>
      <c r="L1036" s="1" t="s">
        <v>2525</v>
      </c>
      <c r="M1036" s="1" t="s">
        <v>2534</v>
      </c>
      <c r="N1036" s="1" t="s">
        <v>30</v>
      </c>
      <c r="O1036" s="1" t="s">
        <v>548</v>
      </c>
      <c r="P1036" s="1" t="s">
        <v>2548</v>
      </c>
      <c r="Q1036" s="1" t="s">
        <v>2549</v>
      </c>
      <c r="R1036" s="1" t="s">
        <v>26</v>
      </c>
      <c r="S1036" s="1"/>
      <c r="T1036" s="1" t="s">
        <v>2550</v>
      </c>
      <c r="U1036" s="1" t="s">
        <v>35</v>
      </c>
      <c r="V1036" s="1" t="s">
        <v>49</v>
      </c>
      <c r="W1036" s="1" t="str">
        <f>VLOOKUP(Table1[[#This Row],[Obergruppe ATC-Code]],Tabelle3!$A$2:$B$100,2)</f>
        <v>CORTICOSTEROIDE ZUR SYSTEMISCHEN ANWENDUNG</v>
      </c>
      <c r="X1036" s="1" t="str">
        <f xml:space="preserve"> LEFT(Table1[[#This Row],[Atc Code]],3)</f>
        <v>H02</v>
      </c>
    </row>
    <row r="1037" spans="1:24" ht="14.4">
      <c r="A1037" s="14">
        <v>43</v>
      </c>
      <c r="B1037" s="24">
        <v>235849</v>
      </c>
      <c r="C1037" s="1">
        <v>2140467</v>
      </c>
      <c r="D1037" s="1" t="s">
        <v>25</v>
      </c>
      <c r="E1037" s="36">
        <v>44739</v>
      </c>
      <c r="F1037" s="36">
        <v>44803</v>
      </c>
      <c r="G1037" s="38">
        <f t="shared" si="16"/>
        <v>64</v>
      </c>
      <c r="H1037" s="5">
        <v>44739</v>
      </c>
      <c r="I1037" s="5">
        <v>44803</v>
      </c>
      <c r="J1037" s="1" t="s">
        <v>26</v>
      </c>
      <c r="K1037" s="1" t="s">
        <v>2551</v>
      </c>
      <c r="L1037" s="1" t="s">
        <v>2525</v>
      </c>
      <c r="M1037" s="1" t="s">
        <v>2534</v>
      </c>
      <c r="N1037" s="1" t="s">
        <v>38</v>
      </c>
      <c r="O1037" s="1" t="s">
        <v>615</v>
      </c>
      <c r="P1037" s="1" t="s">
        <v>623</v>
      </c>
      <c r="Q1037" s="1" t="s">
        <v>621</v>
      </c>
      <c r="R1037" s="1" t="s">
        <v>33</v>
      </c>
      <c r="S1037" s="1"/>
      <c r="T1037" s="1" t="s">
        <v>2552</v>
      </c>
      <c r="U1037" s="1" t="s">
        <v>35</v>
      </c>
      <c r="V1037" s="1" t="s">
        <v>49</v>
      </c>
      <c r="W1037" s="1" t="str">
        <f>VLOOKUP(Table1[[#This Row],[Obergruppe ATC-Code]],Tabelle3!$A$2:$B$100,2)</f>
        <v>CORTICOSTEROIDE ZUR SYSTEMISCHEN ANWENDUNG</v>
      </c>
      <c r="X1037" s="1" t="str">
        <f xml:space="preserve"> LEFT(Table1[[#This Row],[Atc Code]],3)</f>
        <v>H02</v>
      </c>
    </row>
    <row r="1038" spans="1:24" ht="14.4">
      <c r="A1038" s="14">
        <v>1861</v>
      </c>
      <c r="B1038" s="24" t="s">
        <v>2553</v>
      </c>
      <c r="C1038" s="1">
        <v>2143114</v>
      </c>
      <c r="D1038" s="1" t="s">
        <v>25</v>
      </c>
      <c r="E1038" s="36">
        <v>44781</v>
      </c>
      <c r="F1038" s="36">
        <v>44841</v>
      </c>
      <c r="G1038" s="38">
        <f t="shared" si="16"/>
        <v>60</v>
      </c>
      <c r="H1038" s="5">
        <v>44783</v>
      </c>
      <c r="I1038" s="5">
        <v>44842</v>
      </c>
      <c r="J1038" s="1" t="s">
        <v>26</v>
      </c>
      <c r="K1038" s="1" t="s">
        <v>2554</v>
      </c>
      <c r="L1038" s="1" t="s">
        <v>2525</v>
      </c>
      <c r="M1038" s="1" t="s">
        <v>2537</v>
      </c>
      <c r="N1038" s="1" t="s">
        <v>30</v>
      </c>
      <c r="O1038" s="1" t="s">
        <v>615</v>
      </c>
      <c r="P1038" s="1" t="s">
        <v>623</v>
      </c>
      <c r="Q1038" s="1" t="s">
        <v>621</v>
      </c>
      <c r="R1038" s="1" t="s">
        <v>33</v>
      </c>
      <c r="S1038" s="1"/>
      <c r="T1038" s="1" t="s">
        <v>2555</v>
      </c>
      <c r="U1038" s="1" t="s">
        <v>35</v>
      </c>
      <c r="V1038" s="1" t="s">
        <v>1007</v>
      </c>
      <c r="W1038" s="1" t="str">
        <f>VLOOKUP(Table1[[#This Row],[Obergruppe ATC-Code]],Tabelle3!$A$2:$B$100,2)</f>
        <v>CORTICOSTEROIDE ZUR SYSTEMISCHEN ANWENDUNG</v>
      </c>
      <c r="X1038" s="1" t="str">
        <f xml:space="preserve"> LEFT(Table1[[#This Row],[Atc Code]],3)</f>
        <v>H02</v>
      </c>
    </row>
    <row r="1039" spans="1:24" ht="14.4">
      <c r="A1039" s="14">
        <v>585</v>
      </c>
      <c r="B1039" s="24">
        <v>3740080</v>
      </c>
      <c r="C1039" s="1">
        <v>108973</v>
      </c>
      <c r="D1039" s="1" t="s">
        <v>25</v>
      </c>
      <c r="E1039" s="36">
        <v>44809</v>
      </c>
      <c r="F1039" s="36">
        <v>44855</v>
      </c>
      <c r="G1039" s="38">
        <f t="shared" si="16"/>
        <v>46</v>
      </c>
      <c r="H1039" s="5">
        <v>44826</v>
      </c>
      <c r="I1039" s="5">
        <v>44855</v>
      </c>
      <c r="J1039" s="1" t="s">
        <v>41</v>
      </c>
      <c r="K1039" s="1" t="s">
        <v>2533</v>
      </c>
      <c r="L1039" s="1" t="s">
        <v>2525</v>
      </c>
      <c r="M1039" s="1" t="s">
        <v>2534</v>
      </c>
      <c r="N1039" s="1" t="s">
        <v>38</v>
      </c>
      <c r="O1039" s="1" t="s">
        <v>548</v>
      </c>
      <c r="P1039" s="1">
        <v>8004288373</v>
      </c>
      <c r="Q1039" s="1" t="s">
        <v>549</v>
      </c>
      <c r="R1039" s="1" t="s">
        <v>128</v>
      </c>
      <c r="S1039" s="1"/>
      <c r="T1039" s="1" t="s">
        <v>2550</v>
      </c>
      <c r="U1039" s="1" t="s">
        <v>35</v>
      </c>
      <c r="V1039" s="1" t="s">
        <v>49</v>
      </c>
      <c r="W1039" s="1" t="str">
        <f>VLOOKUP(Table1[[#This Row],[Obergruppe ATC-Code]],Tabelle3!$A$2:$B$100,2)</f>
        <v>CORTICOSTEROIDE ZUR SYSTEMISCHEN ANWENDUNG</v>
      </c>
      <c r="X1039" s="1" t="str">
        <f xml:space="preserve"> LEFT(Table1[[#This Row],[Atc Code]],3)</f>
        <v>H02</v>
      </c>
    </row>
    <row r="1040" spans="1:24" ht="14.4">
      <c r="A1040" s="14">
        <v>1854</v>
      </c>
      <c r="B1040" s="24" t="s">
        <v>2556</v>
      </c>
      <c r="C1040" s="1">
        <v>2140460</v>
      </c>
      <c r="D1040" s="1" t="s">
        <v>25</v>
      </c>
      <c r="E1040" s="36">
        <v>44739</v>
      </c>
      <c r="F1040" s="36">
        <v>44860</v>
      </c>
      <c r="G1040" s="38">
        <f t="shared" si="16"/>
        <v>121</v>
      </c>
      <c r="H1040" s="5">
        <v>44739</v>
      </c>
      <c r="I1040" s="5">
        <v>44867</v>
      </c>
      <c r="J1040" s="1" t="s">
        <v>26</v>
      </c>
      <c r="K1040" s="1" t="s">
        <v>2557</v>
      </c>
      <c r="L1040" s="1" t="s">
        <v>2525</v>
      </c>
      <c r="M1040" s="1" t="s">
        <v>2537</v>
      </c>
      <c r="N1040" s="1" t="s">
        <v>30</v>
      </c>
      <c r="O1040" s="1" t="s">
        <v>615</v>
      </c>
      <c r="P1040" s="1" t="s">
        <v>623</v>
      </c>
      <c r="Q1040" s="1" t="s">
        <v>621</v>
      </c>
      <c r="R1040" s="1" t="s">
        <v>33</v>
      </c>
      <c r="S1040" s="1"/>
      <c r="T1040" s="1" t="s">
        <v>2558</v>
      </c>
      <c r="U1040" s="1" t="s">
        <v>35</v>
      </c>
      <c r="V1040" s="1" t="s">
        <v>803</v>
      </c>
      <c r="W1040" s="1" t="str">
        <f>VLOOKUP(Table1[[#This Row],[Obergruppe ATC-Code]],Tabelle3!$A$2:$B$100,2)</f>
        <v>CORTICOSTEROIDE ZUR SYSTEMISCHEN ANWENDUNG</v>
      </c>
      <c r="X1040" s="1" t="str">
        <f xml:space="preserve"> LEFT(Table1[[#This Row],[Atc Code]],3)</f>
        <v>H02</v>
      </c>
    </row>
    <row r="1041" spans="1:24" ht="14.4">
      <c r="A1041" s="14">
        <v>371</v>
      </c>
      <c r="B1041" s="24">
        <v>2107908</v>
      </c>
      <c r="C1041" s="1">
        <v>2150528</v>
      </c>
      <c r="D1041" s="1" t="s">
        <v>25</v>
      </c>
      <c r="E1041" s="36">
        <v>44861</v>
      </c>
      <c r="F1041" s="36">
        <v>44876</v>
      </c>
      <c r="G1041" s="38">
        <f t="shared" si="16"/>
        <v>15</v>
      </c>
      <c r="H1041" s="5">
        <v>44867</v>
      </c>
      <c r="I1041" s="5">
        <v>44880</v>
      </c>
      <c r="J1041" s="1" t="s">
        <v>26</v>
      </c>
      <c r="K1041" s="1" t="s">
        <v>2559</v>
      </c>
      <c r="L1041" s="1" t="s">
        <v>2525</v>
      </c>
      <c r="M1041" s="1" t="s">
        <v>2534</v>
      </c>
      <c r="N1041" s="1" t="s">
        <v>38</v>
      </c>
      <c r="O1041" s="1" t="s">
        <v>78</v>
      </c>
      <c r="P1041" s="1">
        <v>49894423246220</v>
      </c>
      <c r="Q1041" s="1" t="s">
        <v>2034</v>
      </c>
      <c r="R1041" s="1" t="s">
        <v>33</v>
      </c>
      <c r="S1041" s="1"/>
      <c r="T1041" s="1" t="s">
        <v>2560</v>
      </c>
      <c r="U1041" s="1" t="s">
        <v>35</v>
      </c>
      <c r="V1041" s="1" t="s">
        <v>49</v>
      </c>
      <c r="W1041" s="1" t="str">
        <f>VLOOKUP(Table1[[#This Row],[Obergruppe ATC-Code]],Tabelle3!$A$2:$B$100,2)</f>
        <v>CORTICOSTEROIDE ZUR SYSTEMISCHEN ANWENDUNG</v>
      </c>
      <c r="X1041" s="1" t="str">
        <f xml:space="preserve"> LEFT(Table1[[#This Row],[Atc Code]],3)</f>
        <v>H02</v>
      </c>
    </row>
    <row r="1042" spans="1:24" ht="14.4">
      <c r="A1042" s="14">
        <v>152</v>
      </c>
      <c r="B1042" s="24">
        <v>946533</v>
      </c>
      <c r="C1042" s="1">
        <v>2109239</v>
      </c>
      <c r="D1042" s="1" t="s">
        <v>25</v>
      </c>
      <c r="E1042" s="36">
        <v>44872</v>
      </c>
      <c r="F1042" s="36">
        <v>44890</v>
      </c>
      <c r="G1042" s="38">
        <f t="shared" si="16"/>
        <v>18</v>
      </c>
      <c r="H1042" s="5">
        <v>44879</v>
      </c>
      <c r="I1042" s="5">
        <v>44893</v>
      </c>
      <c r="J1042" s="1" t="s">
        <v>41</v>
      </c>
      <c r="K1042" s="1" t="s">
        <v>2561</v>
      </c>
      <c r="L1042" s="1" t="s">
        <v>2525</v>
      </c>
      <c r="M1042" s="1" t="s">
        <v>2537</v>
      </c>
      <c r="N1042" s="1" t="s">
        <v>30</v>
      </c>
      <c r="O1042" s="1" t="s">
        <v>548</v>
      </c>
      <c r="P1042" s="1">
        <v>8004288373</v>
      </c>
      <c r="Q1042" s="1" t="s">
        <v>549</v>
      </c>
      <c r="R1042" s="1" t="s">
        <v>26</v>
      </c>
      <c r="S1042" s="1"/>
      <c r="U1042" s="1" t="s">
        <v>35</v>
      </c>
      <c r="V1042" s="1" t="s">
        <v>2507</v>
      </c>
      <c r="W1042" s="1" t="str">
        <f>VLOOKUP(Table1[[#This Row],[Obergruppe ATC-Code]],Tabelle3!$A$2:$B$100,2)</f>
        <v>CORTICOSTEROIDE ZUR SYSTEMISCHEN ANWENDUNG</v>
      </c>
      <c r="X1042" s="1" t="str">
        <f xml:space="preserve"> LEFT(Table1[[#This Row],[Atc Code]],3)</f>
        <v>H02</v>
      </c>
    </row>
    <row r="1043" spans="1:24" ht="14.4">
      <c r="A1043" s="14">
        <v>1966</v>
      </c>
      <c r="B1043" s="24" t="s">
        <v>2562</v>
      </c>
      <c r="C1043" s="1">
        <v>2150527</v>
      </c>
      <c r="D1043" s="1" t="s">
        <v>25</v>
      </c>
      <c r="E1043" s="36">
        <v>44664</v>
      </c>
      <c r="F1043" s="36">
        <v>44894</v>
      </c>
      <c r="G1043" s="38">
        <f t="shared" si="16"/>
        <v>230</v>
      </c>
      <c r="H1043" s="5">
        <v>44671</v>
      </c>
      <c r="I1043" s="5">
        <v>44894</v>
      </c>
      <c r="J1043" s="1" t="s">
        <v>26</v>
      </c>
      <c r="K1043" s="1" t="s">
        <v>2563</v>
      </c>
      <c r="L1043" s="1" t="s">
        <v>2525</v>
      </c>
      <c r="M1043" s="1" t="s">
        <v>2534</v>
      </c>
      <c r="N1043" s="1" t="s">
        <v>30</v>
      </c>
      <c r="O1043" s="1" t="s">
        <v>548</v>
      </c>
      <c r="P1043" s="1">
        <v>8004288373</v>
      </c>
      <c r="Q1043" s="1" t="s">
        <v>549</v>
      </c>
      <c r="R1043" s="1" t="s">
        <v>26</v>
      </c>
      <c r="S1043" s="1"/>
      <c r="U1043" s="1" t="s">
        <v>35</v>
      </c>
      <c r="V1043" s="1" t="s">
        <v>49</v>
      </c>
      <c r="W1043" s="1" t="str">
        <f>VLOOKUP(Table1[[#This Row],[Obergruppe ATC-Code]],Tabelle3!$A$2:$B$100,2)</f>
        <v>CORTICOSTEROIDE ZUR SYSTEMISCHEN ANWENDUNG</v>
      </c>
      <c r="X1043" s="1" t="str">
        <f xml:space="preserve"> LEFT(Table1[[#This Row],[Atc Code]],3)</f>
        <v>H02</v>
      </c>
    </row>
    <row r="1044" spans="1:24" ht="14.4">
      <c r="A1044" s="14">
        <v>1703</v>
      </c>
      <c r="B1044" s="24" t="s">
        <v>2564</v>
      </c>
      <c r="C1044" s="1">
        <v>2108456</v>
      </c>
      <c r="D1044" s="1" t="s">
        <v>25</v>
      </c>
      <c r="E1044" s="36">
        <v>44839</v>
      </c>
      <c r="F1044" s="36">
        <v>44894</v>
      </c>
      <c r="G1044" s="38">
        <f t="shared" si="16"/>
        <v>55</v>
      </c>
      <c r="H1044" s="5">
        <v>44844</v>
      </c>
      <c r="I1044" s="5">
        <v>44894</v>
      </c>
      <c r="J1044" s="1" t="s">
        <v>41</v>
      </c>
      <c r="K1044" s="1" t="s">
        <v>2565</v>
      </c>
      <c r="L1044" s="1" t="s">
        <v>2525</v>
      </c>
      <c r="M1044" s="1" t="s">
        <v>2534</v>
      </c>
      <c r="N1044" s="1" t="s">
        <v>30</v>
      </c>
      <c r="O1044" s="1" t="s">
        <v>548</v>
      </c>
      <c r="P1044" s="1">
        <v>8004288373</v>
      </c>
      <c r="Q1044" s="1" t="s">
        <v>549</v>
      </c>
      <c r="R1044" s="1" t="s">
        <v>26</v>
      </c>
      <c r="S1044" s="1" t="s">
        <v>1038</v>
      </c>
      <c r="U1044" s="1" t="s">
        <v>35</v>
      </c>
      <c r="V1044" s="1" t="s">
        <v>49</v>
      </c>
      <c r="W1044" s="1" t="str">
        <f>VLOOKUP(Table1[[#This Row],[Obergruppe ATC-Code]],Tabelle3!$A$2:$B$100,2)</f>
        <v>CORTICOSTEROIDE ZUR SYSTEMISCHEN ANWENDUNG</v>
      </c>
      <c r="X1044" s="1" t="str">
        <f xml:space="preserve"> LEFT(Table1[[#This Row],[Atc Code]],3)</f>
        <v>H02</v>
      </c>
    </row>
    <row r="1045" spans="1:24" ht="14.4">
      <c r="A1045" s="14">
        <v>1863</v>
      </c>
      <c r="B1045" s="24" t="s">
        <v>2566</v>
      </c>
      <c r="C1045" s="1">
        <v>2140401</v>
      </c>
      <c r="D1045" s="1" t="s">
        <v>25</v>
      </c>
      <c r="E1045" s="36">
        <v>44816</v>
      </c>
      <c r="F1045" s="36">
        <v>44896</v>
      </c>
      <c r="G1045" s="38">
        <f t="shared" si="16"/>
        <v>80</v>
      </c>
      <c r="H1045" s="5">
        <v>44818</v>
      </c>
      <c r="I1045" s="5">
        <v>44897</v>
      </c>
      <c r="J1045" s="1" t="s">
        <v>26</v>
      </c>
      <c r="K1045" s="1" t="s">
        <v>2567</v>
      </c>
      <c r="L1045" s="1" t="s">
        <v>2525</v>
      </c>
      <c r="M1045" s="1" t="s">
        <v>2537</v>
      </c>
      <c r="N1045" s="1" t="s">
        <v>30</v>
      </c>
      <c r="O1045" s="1" t="s">
        <v>615</v>
      </c>
      <c r="P1045" s="1">
        <v>4934954247478</v>
      </c>
      <c r="Q1045" s="1" t="s">
        <v>619</v>
      </c>
      <c r="R1045" s="1" t="s">
        <v>33</v>
      </c>
      <c r="S1045" s="1"/>
      <c r="T1045" s="1" t="s">
        <v>2568</v>
      </c>
      <c r="U1045" s="1" t="s">
        <v>35</v>
      </c>
      <c r="V1045" s="1" t="s">
        <v>1007</v>
      </c>
      <c r="W1045" s="1" t="str">
        <f>VLOOKUP(Table1[[#This Row],[Obergruppe ATC-Code]],Tabelle3!$A$2:$B$100,2)</f>
        <v>CORTICOSTEROIDE ZUR SYSTEMISCHEN ANWENDUNG</v>
      </c>
      <c r="X1045" s="1" t="str">
        <f xml:space="preserve"> LEFT(Table1[[#This Row],[Atc Code]],3)</f>
        <v>H02</v>
      </c>
    </row>
    <row r="1046" spans="1:24" ht="14.4">
      <c r="A1046" s="14">
        <v>1424</v>
      </c>
      <c r="B1046" s="24">
        <v>14142146</v>
      </c>
      <c r="C1046" s="1">
        <v>2140461</v>
      </c>
      <c r="D1046" s="1" t="s">
        <v>25</v>
      </c>
      <c r="E1046" s="36">
        <v>44844</v>
      </c>
      <c r="F1046" s="36">
        <v>44901</v>
      </c>
      <c r="G1046" s="38">
        <f t="shared" si="16"/>
        <v>57</v>
      </c>
      <c r="H1046" s="5">
        <v>44845</v>
      </c>
      <c r="I1046" s="5">
        <v>44904</v>
      </c>
      <c r="J1046" s="1" t="s">
        <v>26</v>
      </c>
      <c r="K1046" s="1" t="s">
        <v>2546</v>
      </c>
      <c r="L1046" s="1" t="s">
        <v>2525</v>
      </c>
      <c r="M1046" s="1" t="s">
        <v>2537</v>
      </c>
      <c r="N1046" s="1" t="s">
        <v>30</v>
      </c>
      <c r="O1046" s="1" t="s">
        <v>615</v>
      </c>
      <c r="P1046" s="1" t="s">
        <v>623</v>
      </c>
      <c r="Q1046" s="1" t="s">
        <v>621</v>
      </c>
      <c r="R1046" s="1" t="s">
        <v>33</v>
      </c>
      <c r="S1046" s="1"/>
      <c r="T1046" s="1" t="s">
        <v>2547</v>
      </c>
      <c r="U1046" s="1" t="s">
        <v>35</v>
      </c>
      <c r="V1046" s="1" t="s">
        <v>803</v>
      </c>
      <c r="W1046" s="1" t="str">
        <f>VLOOKUP(Table1[[#This Row],[Obergruppe ATC-Code]],Tabelle3!$A$2:$B$100,2)</f>
        <v>CORTICOSTEROIDE ZUR SYSTEMISCHEN ANWENDUNG</v>
      </c>
      <c r="X1046" s="1" t="str">
        <f xml:space="preserve"> LEFT(Table1[[#This Row],[Atc Code]],3)</f>
        <v>H02</v>
      </c>
    </row>
    <row r="1047" spans="1:24" ht="14.4">
      <c r="A1047" s="14">
        <v>370</v>
      </c>
      <c r="B1047" s="24">
        <v>2107908</v>
      </c>
      <c r="C1047" s="1">
        <v>2150528</v>
      </c>
      <c r="D1047" s="1" t="s">
        <v>25</v>
      </c>
      <c r="E1047" s="36">
        <v>44883</v>
      </c>
      <c r="F1047" s="36">
        <v>44916</v>
      </c>
      <c r="G1047" s="38">
        <f t="shared" si="16"/>
        <v>33</v>
      </c>
      <c r="H1047" s="5">
        <v>44894</v>
      </c>
      <c r="I1047" s="5">
        <v>44916</v>
      </c>
      <c r="J1047" s="1" t="s">
        <v>26</v>
      </c>
      <c r="K1047" s="1" t="s">
        <v>2559</v>
      </c>
      <c r="L1047" s="1" t="s">
        <v>2525</v>
      </c>
      <c r="M1047" s="1" t="s">
        <v>2534</v>
      </c>
      <c r="N1047" s="1" t="s">
        <v>38</v>
      </c>
      <c r="O1047" s="1" t="s">
        <v>78</v>
      </c>
      <c r="P1047" s="1">
        <v>49894423246220</v>
      </c>
      <c r="Q1047" s="1" t="s">
        <v>2034</v>
      </c>
      <c r="R1047" s="1" t="s">
        <v>33</v>
      </c>
      <c r="S1047" s="1"/>
      <c r="T1047" s="1" t="s">
        <v>2560</v>
      </c>
      <c r="U1047" s="1" t="s">
        <v>35</v>
      </c>
      <c r="V1047" s="1" t="s">
        <v>49</v>
      </c>
      <c r="W1047" s="1" t="str">
        <f>VLOOKUP(Table1[[#This Row],[Obergruppe ATC-Code]],Tabelle3!$A$2:$B$100,2)</f>
        <v>CORTICOSTEROIDE ZUR SYSTEMISCHEN ANWENDUNG</v>
      </c>
      <c r="X1047" s="1" t="str">
        <f xml:space="preserve"> LEFT(Table1[[#This Row],[Atc Code]],3)</f>
        <v>H02</v>
      </c>
    </row>
    <row r="1048" spans="1:24" ht="14.4">
      <c r="A1048" s="14">
        <v>1697</v>
      </c>
      <c r="B1048" s="24" t="s">
        <v>2569</v>
      </c>
      <c r="C1048" s="1">
        <v>2140467</v>
      </c>
      <c r="D1048" s="1" t="s">
        <v>25</v>
      </c>
      <c r="E1048" s="36">
        <v>44879</v>
      </c>
      <c r="F1048" s="36">
        <v>44916</v>
      </c>
      <c r="G1048" s="38">
        <f t="shared" si="16"/>
        <v>37</v>
      </c>
      <c r="H1048" s="5">
        <v>44881</v>
      </c>
      <c r="I1048" s="5">
        <v>44917</v>
      </c>
      <c r="J1048" s="1" t="s">
        <v>26</v>
      </c>
      <c r="K1048" s="1" t="s">
        <v>2551</v>
      </c>
      <c r="L1048" s="1" t="s">
        <v>2525</v>
      </c>
      <c r="M1048" s="1" t="s">
        <v>2534</v>
      </c>
      <c r="N1048" s="1" t="s">
        <v>30</v>
      </c>
      <c r="O1048" s="1" t="s">
        <v>615</v>
      </c>
      <c r="P1048" s="1">
        <v>49349542470</v>
      </c>
      <c r="Q1048" s="1" t="s">
        <v>619</v>
      </c>
      <c r="R1048" s="1" t="s">
        <v>33</v>
      </c>
      <c r="S1048" s="1"/>
      <c r="T1048" s="1" t="s">
        <v>2552</v>
      </c>
      <c r="U1048" s="1" t="s">
        <v>35</v>
      </c>
      <c r="V1048" s="1" t="s">
        <v>49</v>
      </c>
      <c r="W1048" s="1" t="str">
        <f>VLOOKUP(Table1[[#This Row],[Obergruppe ATC-Code]],Tabelle3!$A$2:$B$100,2)</f>
        <v>CORTICOSTEROIDE ZUR SYSTEMISCHEN ANWENDUNG</v>
      </c>
      <c r="X1048" s="1" t="str">
        <f xml:space="preserve"> LEFT(Table1[[#This Row],[Atc Code]],3)</f>
        <v>H02</v>
      </c>
    </row>
    <row r="1049" spans="1:24" ht="14.4">
      <c r="A1049" s="14">
        <v>896</v>
      </c>
      <c r="B1049" s="24">
        <v>7577889</v>
      </c>
      <c r="C1049" s="1">
        <v>2116365</v>
      </c>
      <c r="D1049" s="1" t="s">
        <v>25</v>
      </c>
      <c r="E1049" s="36">
        <v>44888</v>
      </c>
      <c r="F1049" s="36">
        <v>44923</v>
      </c>
      <c r="G1049" s="38">
        <f t="shared" si="16"/>
        <v>35</v>
      </c>
      <c r="H1049" s="5">
        <v>44889</v>
      </c>
      <c r="I1049" s="5">
        <v>44924</v>
      </c>
      <c r="J1049" s="1" t="s">
        <v>41</v>
      </c>
      <c r="K1049" s="1" t="s">
        <v>2570</v>
      </c>
      <c r="L1049" s="1" t="s">
        <v>2525</v>
      </c>
      <c r="M1049" s="1" t="s">
        <v>2537</v>
      </c>
      <c r="N1049" s="1" t="s">
        <v>30</v>
      </c>
      <c r="O1049" s="1" t="s">
        <v>548</v>
      </c>
      <c r="P1049" s="1">
        <v>8004288373</v>
      </c>
      <c r="Q1049" s="1" t="s">
        <v>549</v>
      </c>
      <c r="R1049" s="1" t="s">
        <v>26</v>
      </c>
      <c r="S1049" s="1"/>
      <c r="U1049" s="1" t="s">
        <v>35</v>
      </c>
      <c r="V1049" s="1" t="s">
        <v>2507</v>
      </c>
      <c r="W1049" s="1" t="str">
        <f>VLOOKUP(Table1[[#This Row],[Obergruppe ATC-Code]],Tabelle3!$A$2:$B$100,2)</f>
        <v>CORTICOSTEROIDE ZUR SYSTEMISCHEN ANWENDUNG</v>
      </c>
      <c r="X1049" s="1" t="str">
        <f xml:space="preserve"> LEFT(Table1[[#This Row],[Atc Code]],3)</f>
        <v>H02</v>
      </c>
    </row>
    <row r="1050" spans="1:24" ht="14.4">
      <c r="A1050" s="14">
        <v>360</v>
      </c>
      <c r="B1050" s="24">
        <v>2065110</v>
      </c>
      <c r="C1050" s="1">
        <v>2155205</v>
      </c>
      <c r="D1050" s="1" t="s">
        <v>25</v>
      </c>
      <c r="E1050" s="36">
        <v>44924</v>
      </c>
      <c r="F1050" s="36">
        <v>44938</v>
      </c>
      <c r="G1050" s="38">
        <f t="shared" si="16"/>
        <v>14</v>
      </c>
      <c r="H1050" s="5">
        <v>44930</v>
      </c>
      <c r="I1050" s="5">
        <v>44944</v>
      </c>
      <c r="J1050" s="1" t="s">
        <v>26</v>
      </c>
      <c r="K1050" s="1" t="s">
        <v>2571</v>
      </c>
      <c r="L1050" s="1" t="s">
        <v>2525</v>
      </c>
      <c r="M1050" s="1" t="s">
        <v>2534</v>
      </c>
      <c r="N1050" s="1" t="s">
        <v>30</v>
      </c>
      <c r="O1050" s="1" t="s">
        <v>615</v>
      </c>
      <c r="P1050" s="1">
        <v>349542470</v>
      </c>
      <c r="Q1050" s="1" t="s">
        <v>621</v>
      </c>
      <c r="R1050" s="1" t="s">
        <v>33</v>
      </c>
      <c r="S1050" s="1"/>
      <c r="T1050" s="1" t="s">
        <v>2572</v>
      </c>
      <c r="U1050" s="1" t="s">
        <v>35</v>
      </c>
      <c r="V1050" s="1" t="s">
        <v>49</v>
      </c>
      <c r="W1050" s="1" t="str">
        <f>VLOOKUP(Table1[[#This Row],[Obergruppe ATC-Code]],Tabelle3!$A$2:$B$100,2)</f>
        <v>CORTICOSTEROIDE ZUR SYSTEMISCHEN ANWENDUNG</v>
      </c>
      <c r="X1050" s="1" t="str">
        <f xml:space="preserve"> LEFT(Table1[[#This Row],[Atc Code]],3)</f>
        <v>H02</v>
      </c>
    </row>
    <row r="1051" spans="1:24" ht="14.4">
      <c r="A1051" s="14">
        <v>1724</v>
      </c>
      <c r="B1051" s="24" t="s">
        <v>2573</v>
      </c>
      <c r="C1051" s="1">
        <v>2140402</v>
      </c>
      <c r="D1051" s="1" t="s">
        <v>25</v>
      </c>
      <c r="E1051" s="36">
        <v>44916</v>
      </c>
      <c r="F1051" s="36">
        <v>44949</v>
      </c>
      <c r="G1051" s="38">
        <f t="shared" si="16"/>
        <v>33</v>
      </c>
      <c r="H1051" s="5">
        <v>44930</v>
      </c>
      <c r="I1051" s="5">
        <v>44952</v>
      </c>
      <c r="J1051" s="1" t="s">
        <v>26</v>
      </c>
      <c r="K1051" s="1" t="s">
        <v>2574</v>
      </c>
      <c r="L1051" s="1" t="s">
        <v>2525</v>
      </c>
      <c r="M1051" s="1" t="s">
        <v>2537</v>
      </c>
      <c r="N1051" s="1" t="s">
        <v>30</v>
      </c>
      <c r="O1051" s="1" t="s">
        <v>615</v>
      </c>
      <c r="P1051" s="1">
        <v>349542470</v>
      </c>
      <c r="Q1051" s="1" t="s">
        <v>621</v>
      </c>
      <c r="R1051" s="1" t="s">
        <v>33</v>
      </c>
      <c r="S1051" s="1"/>
      <c r="T1051" s="1" t="s">
        <v>2575</v>
      </c>
      <c r="U1051" s="1" t="s">
        <v>35</v>
      </c>
      <c r="V1051" s="1" t="s">
        <v>1007</v>
      </c>
      <c r="W1051" s="1" t="str">
        <f>VLOOKUP(Table1[[#This Row],[Obergruppe ATC-Code]],Tabelle3!$A$2:$B$100,2)</f>
        <v>CORTICOSTEROIDE ZUR SYSTEMISCHEN ANWENDUNG</v>
      </c>
      <c r="X1051" s="1" t="str">
        <f xml:space="preserve"> LEFT(Table1[[#This Row],[Atc Code]],3)</f>
        <v>H02</v>
      </c>
    </row>
    <row r="1052" spans="1:24" ht="14.4">
      <c r="A1052" s="14">
        <v>153</v>
      </c>
      <c r="B1052" s="24">
        <v>946622</v>
      </c>
      <c r="C1052" s="1">
        <v>2109240</v>
      </c>
      <c r="D1052" s="1" t="s">
        <v>25</v>
      </c>
      <c r="E1052" s="36">
        <v>44909</v>
      </c>
      <c r="F1052" s="36">
        <v>44963</v>
      </c>
      <c r="G1052" s="38">
        <f t="shared" si="16"/>
        <v>54</v>
      </c>
      <c r="H1052" s="5">
        <v>44911</v>
      </c>
      <c r="I1052" s="5">
        <v>44963</v>
      </c>
      <c r="J1052" s="1" t="s">
        <v>41</v>
      </c>
      <c r="K1052" s="1" t="s">
        <v>2576</v>
      </c>
      <c r="L1052" s="1" t="s">
        <v>2525</v>
      </c>
      <c r="M1052" s="1" t="s">
        <v>2537</v>
      </c>
      <c r="N1052" s="1" t="s">
        <v>30</v>
      </c>
      <c r="O1052" s="1" t="s">
        <v>548</v>
      </c>
      <c r="P1052" s="1">
        <v>8004288373</v>
      </c>
      <c r="Q1052" s="1" t="s">
        <v>549</v>
      </c>
      <c r="R1052" s="1" t="s">
        <v>26</v>
      </c>
      <c r="S1052" s="1"/>
      <c r="U1052" s="1" t="s">
        <v>35</v>
      </c>
      <c r="V1052" s="1" t="s">
        <v>2507</v>
      </c>
      <c r="W1052" s="1" t="str">
        <f>VLOOKUP(Table1[[#This Row],[Obergruppe ATC-Code]],Tabelle3!$A$2:$B$100,2)</f>
        <v>CORTICOSTEROIDE ZUR SYSTEMISCHEN ANWENDUNG</v>
      </c>
      <c r="X1052" s="1" t="str">
        <f xml:space="preserve"> LEFT(Table1[[#This Row],[Atc Code]],3)</f>
        <v>H02</v>
      </c>
    </row>
    <row r="1053" spans="1:24" ht="14.4">
      <c r="A1053" s="14">
        <v>151</v>
      </c>
      <c r="B1053" s="24">
        <v>946533</v>
      </c>
      <c r="C1053" s="1">
        <v>2109239</v>
      </c>
      <c r="D1053" s="1" t="s">
        <v>25</v>
      </c>
      <c r="E1053" s="36">
        <v>44907</v>
      </c>
      <c r="F1053" s="36">
        <v>44970</v>
      </c>
      <c r="G1053" s="38">
        <f t="shared" si="16"/>
        <v>63</v>
      </c>
      <c r="H1053" s="5">
        <v>44908</v>
      </c>
      <c r="I1053" s="5">
        <v>44970</v>
      </c>
      <c r="J1053" s="1" t="s">
        <v>41</v>
      </c>
      <c r="K1053" s="1" t="s">
        <v>2561</v>
      </c>
      <c r="L1053" s="1" t="s">
        <v>2525</v>
      </c>
      <c r="M1053" s="1" t="s">
        <v>2537</v>
      </c>
      <c r="N1053" s="1" t="s">
        <v>30</v>
      </c>
      <c r="O1053" s="1" t="s">
        <v>548</v>
      </c>
      <c r="P1053" s="1">
        <v>8004288373</v>
      </c>
      <c r="Q1053" s="1" t="s">
        <v>549</v>
      </c>
      <c r="R1053" s="1" t="s">
        <v>26</v>
      </c>
      <c r="S1053" s="1"/>
      <c r="U1053" s="1" t="s">
        <v>35</v>
      </c>
      <c r="V1053" s="1" t="s">
        <v>2507</v>
      </c>
      <c r="W1053" s="1" t="str">
        <f>VLOOKUP(Table1[[#This Row],[Obergruppe ATC-Code]],Tabelle3!$A$2:$B$100,2)</f>
        <v>CORTICOSTEROIDE ZUR SYSTEMISCHEN ANWENDUNG</v>
      </c>
      <c r="X1053" s="1" t="str">
        <f xml:space="preserve"> LEFT(Table1[[#This Row],[Atc Code]],3)</f>
        <v>H02</v>
      </c>
    </row>
    <row r="1054" spans="1:24" ht="14.4">
      <c r="A1054" s="14">
        <v>228</v>
      </c>
      <c r="B1054" s="24">
        <v>1300419</v>
      </c>
      <c r="C1054" s="1">
        <v>2150545</v>
      </c>
      <c r="D1054" s="1" t="s">
        <v>25</v>
      </c>
      <c r="E1054" s="36">
        <v>44958</v>
      </c>
      <c r="F1054" s="36">
        <v>44974</v>
      </c>
      <c r="G1054" s="38">
        <f t="shared" si="16"/>
        <v>16</v>
      </c>
      <c r="H1054" s="5">
        <v>44964</v>
      </c>
      <c r="I1054" s="5">
        <v>44977</v>
      </c>
      <c r="J1054" s="1" t="s">
        <v>26</v>
      </c>
      <c r="K1054" s="1" t="s">
        <v>2577</v>
      </c>
      <c r="L1054" s="1" t="s">
        <v>2525</v>
      </c>
      <c r="M1054" s="1" t="s">
        <v>2534</v>
      </c>
      <c r="N1054" s="1" t="s">
        <v>38</v>
      </c>
      <c r="O1054" s="1" t="s">
        <v>78</v>
      </c>
      <c r="P1054" s="1">
        <v>8944232460</v>
      </c>
      <c r="Q1054" s="1" t="s">
        <v>86</v>
      </c>
      <c r="R1054" s="1" t="s">
        <v>33</v>
      </c>
      <c r="S1054" s="1"/>
      <c r="U1054" s="1" t="s">
        <v>35</v>
      </c>
      <c r="V1054" s="1" t="s">
        <v>49</v>
      </c>
      <c r="W1054" s="1" t="str">
        <f>VLOOKUP(Table1[[#This Row],[Obergruppe ATC-Code]],Tabelle3!$A$2:$B$100,2)</f>
        <v>CORTICOSTEROIDE ZUR SYSTEMISCHEN ANWENDUNG</v>
      </c>
      <c r="X1054" s="1" t="str">
        <f xml:space="preserve"> LEFT(Table1[[#This Row],[Atc Code]],3)</f>
        <v>H02</v>
      </c>
    </row>
    <row r="1055" spans="1:24" ht="14.4">
      <c r="A1055" s="14">
        <v>1862</v>
      </c>
      <c r="B1055" s="24" t="s">
        <v>2578</v>
      </c>
      <c r="C1055" s="1">
        <v>2140401</v>
      </c>
      <c r="D1055" s="1" t="s">
        <v>25</v>
      </c>
      <c r="E1055" s="36">
        <v>44907</v>
      </c>
      <c r="F1055" s="36">
        <v>45008</v>
      </c>
      <c r="G1055" s="38">
        <f t="shared" si="16"/>
        <v>101</v>
      </c>
      <c r="H1055" s="5">
        <v>44909</v>
      </c>
      <c r="I1055" s="5">
        <v>45008</v>
      </c>
      <c r="J1055" s="1" t="s">
        <v>26</v>
      </c>
      <c r="K1055" s="1" t="s">
        <v>2567</v>
      </c>
      <c r="L1055" s="1" t="s">
        <v>2525</v>
      </c>
      <c r="M1055" s="1" t="s">
        <v>2537</v>
      </c>
      <c r="N1055" s="1" t="s">
        <v>38</v>
      </c>
      <c r="O1055" s="1" t="s">
        <v>615</v>
      </c>
      <c r="P1055" s="1">
        <v>49349542470</v>
      </c>
      <c r="Q1055" s="1" t="s">
        <v>619</v>
      </c>
      <c r="R1055" s="1" t="s">
        <v>33</v>
      </c>
      <c r="S1055" s="1"/>
      <c r="U1055" s="1" t="s">
        <v>35</v>
      </c>
      <c r="V1055" s="1" t="s">
        <v>1007</v>
      </c>
      <c r="W1055" s="1" t="str">
        <f>VLOOKUP(Table1[[#This Row],[Obergruppe ATC-Code]],Tabelle3!$A$2:$B$100,2)</f>
        <v>CORTICOSTEROIDE ZUR SYSTEMISCHEN ANWENDUNG</v>
      </c>
      <c r="X1055" s="1" t="str">
        <f xml:space="preserve"> LEFT(Table1[[#This Row],[Atc Code]],3)</f>
        <v>H02</v>
      </c>
    </row>
    <row r="1056" spans="1:24" ht="14.4">
      <c r="A1056" s="14">
        <v>1839</v>
      </c>
      <c r="B1056" s="24" t="s">
        <v>2579</v>
      </c>
      <c r="C1056" s="1">
        <v>2150545</v>
      </c>
      <c r="D1056" s="1" t="s">
        <v>25</v>
      </c>
      <c r="E1056" s="36">
        <v>44978</v>
      </c>
      <c r="F1056" s="36">
        <v>45015</v>
      </c>
      <c r="G1056" s="38">
        <f t="shared" si="16"/>
        <v>37</v>
      </c>
      <c r="H1056" s="5">
        <v>44985</v>
      </c>
      <c r="I1056" s="5">
        <v>45015</v>
      </c>
      <c r="J1056" s="1" t="s">
        <v>26</v>
      </c>
      <c r="K1056" s="1" t="s">
        <v>2577</v>
      </c>
      <c r="L1056" s="1" t="s">
        <v>2525</v>
      </c>
      <c r="M1056" s="1" t="s">
        <v>2534</v>
      </c>
      <c r="N1056" s="1" t="s">
        <v>38</v>
      </c>
      <c r="O1056" s="1" t="s">
        <v>78</v>
      </c>
      <c r="P1056" s="1">
        <v>8944232460</v>
      </c>
      <c r="Q1056" s="1" t="s">
        <v>86</v>
      </c>
      <c r="R1056" s="1" t="s">
        <v>33</v>
      </c>
      <c r="S1056" s="1"/>
      <c r="T1056" s="1" t="s">
        <v>2580</v>
      </c>
      <c r="U1056" s="1" t="s">
        <v>35</v>
      </c>
      <c r="V1056" s="1" t="s">
        <v>49</v>
      </c>
      <c r="W1056" s="1" t="str">
        <f>VLOOKUP(Table1[[#This Row],[Obergruppe ATC-Code]],Tabelle3!$A$2:$B$100,2)</f>
        <v>CORTICOSTEROIDE ZUR SYSTEMISCHEN ANWENDUNG</v>
      </c>
      <c r="X1056" s="1" t="str">
        <f xml:space="preserve"> LEFT(Table1[[#This Row],[Atc Code]],3)</f>
        <v>H02</v>
      </c>
    </row>
    <row r="1057" spans="1:24" ht="14.4">
      <c r="A1057" s="14">
        <v>1860</v>
      </c>
      <c r="B1057" s="24" t="s">
        <v>2581</v>
      </c>
      <c r="C1057" s="1">
        <v>2143114</v>
      </c>
      <c r="D1057" s="1" t="s">
        <v>25</v>
      </c>
      <c r="E1057" s="36">
        <v>44879</v>
      </c>
      <c r="F1057" s="36">
        <v>45055</v>
      </c>
      <c r="G1057" s="38">
        <f t="shared" si="16"/>
        <v>176</v>
      </c>
      <c r="H1057" s="5">
        <v>44881</v>
      </c>
      <c r="I1057" s="5">
        <v>45057</v>
      </c>
      <c r="J1057" s="1" t="s">
        <v>26</v>
      </c>
      <c r="K1057" s="1" t="s">
        <v>2554</v>
      </c>
      <c r="L1057" s="1" t="s">
        <v>2525</v>
      </c>
      <c r="M1057" s="1" t="s">
        <v>2537</v>
      </c>
      <c r="N1057" s="1" t="s">
        <v>30</v>
      </c>
      <c r="O1057" s="1" t="s">
        <v>615</v>
      </c>
      <c r="P1057" s="1">
        <v>49349542470</v>
      </c>
      <c r="Q1057" s="1" t="s">
        <v>619</v>
      </c>
      <c r="R1057" s="1" t="s">
        <v>33</v>
      </c>
      <c r="S1057" s="1"/>
      <c r="U1057" s="1" t="s">
        <v>35</v>
      </c>
      <c r="V1057" s="1" t="s">
        <v>1007</v>
      </c>
      <c r="W1057" s="1" t="str">
        <f>VLOOKUP(Table1[[#This Row],[Obergruppe ATC-Code]],Tabelle3!$A$2:$B$100,2)</f>
        <v>CORTICOSTEROIDE ZUR SYSTEMISCHEN ANWENDUNG</v>
      </c>
      <c r="X1057" s="1" t="str">
        <f xml:space="preserve"> LEFT(Table1[[#This Row],[Atc Code]],3)</f>
        <v>H02</v>
      </c>
    </row>
    <row r="1058" spans="1:24" ht="14.4">
      <c r="A1058" s="14">
        <v>709</v>
      </c>
      <c r="B1058" s="24">
        <v>4821484</v>
      </c>
      <c r="C1058" s="1">
        <v>2140631</v>
      </c>
      <c r="D1058" s="1" t="s">
        <v>25</v>
      </c>
      <c r="E1058" s="36">
        <v>45058</v>
      </c>
      <c r="F1058" s="36">
        <v>45082</v>
      </c>
      <c r="G1058" s="38">
        <f t="shared" si="16"/>
        <v>24</v>
      </c>
      <c r="H1058" s="5">
        <v>45078</v>
      </c>
      <c r="I1058" s="5">
        <v>45085</v>
      </c>
      <c r="J1058" s="1" t="s">
        <v>26</v>
      </c>
      <c r="K1058" s="1" t="s">
        <v>2582</v>
      </c>
      <c r="L1058" s="1" t="s">
        <v>2525</v>
      </c>
      <c r="M1058" s="1" t="s">
        <v>2534</v>
      </c>
      <c r="N1058" s="1" t="s">
        <v>38</v>
      </c>
      <c r="O1058" s="1" t="s">
        <v>615</v>
      </c>
      <c r="P1058" s="1">
        <v>349542470</v>
      </c>
      <c r="Q1058" s="1" t="s">
        <v>621</v>
      </c>
      <c r="R1058" s="1" t="s">
        <v>33</v>
      </c>
      <c r="S1058" s="1"/>
      <c r="T1058" s="1" t="s">
        <v>2550</v>
      </c>
      <c r="U1058" s="1" t="s">
        <v>35</v>
      </c>
      <c r="V1058" s="1" t="s">
        <v>49</v>
      </c>
      <c r="W1058" s="1" t="str">
        <f>VLOOKUP(Table1[[#This Row],[Obergruppe ATC-Code]],Tabelle3!$A$2:$B$100,2)</f>
        <v>CORTICOSTEROIDE ZUR SYSTEMISCHEN ANWENDUNG</v>
      </c>
      <c r="X1058" s="1" t="str">
        <f xml:space="preserve"> LEFT(Table1[[#This Row],[Atc Code]],3)</f>
        <v>H02</v>
      </c>
    </row>
    <row r="1059" spans="1:24" ht="14.4">
      <c r="A1059" s="14">
        <v>227</v>
      </c>
      <c r="B1059" s="24">
        <v>1300402</v>
      </c>
      <c r="C1059" s="1">
        <v>2150545</v>
      </c>
      <c r="D1059" s="1" t="s">
        <v>25</v>
      </c>
      <c r="E1059" s="36">
        <v>45061</v>
      </c>
      <c r="F1059" s="36">
        <v>45086</v>
      </c>
      <c r="G1059" s="38">
        <f t="shared" si="16"/>
        <v>25</v>
      </c>
      <c r="H1059" s="5">
        <v>45077</v>
      </c>
      <c r="I1059" s="5">
        <v>45086</v>
      </c>
      <c r="J1059" s="1" t="s">
        <v>26</v>
      </c>
      <c r="K1059" s="1" t="s">
        <v>2577</v>
      </c>
      <c r="L1059" s="1" t="s">
        <v>2525</v>
      </c>
      <c r="M1059" s="1" t="s">
        <v>2534</v>
      </c>
      <c r="N1059" s="1" t="s">
        <v>38</v>
      </c>
      <c r="O1059" s="1" t="s">
        <v>78</v>
      </c>
      <c r="P1059" s="1">
        <v>8944232460</v>
      </c>
      <c r="Q1059" s="1" t="s">
        <v>86</v>
      </c>
      <c r="R1059" s="1" t="s">
        <v>33</v>
      </c>
      <c r="S1059" s="1"/>
      <c r="U1059" s="1" t="s">
        <v>35</v>
      </c>
      <c r="V1059" s="1" t="s">
        <v>49</v>
      </c>
      <c r="W1059" s="1" t="str">
        <f>VLOOKUP(Table1[[#This Row],[Obergruppe ATC-Code]],Tabelle3!$A$2:$B$100,2)</f>
        <v>CORTICOSTEROIDE ZUR SYSTEMISCHEN ANWENDUNG</v>
      </c>
      <c r="X1059" s="1" t="str">
        <f xml:space="preserve"> LEFT(Table1[[#This Row],[Atc Code]],3)</f>
        <v>H02</v>
      </c>
    </row>
    <row r="1060" spans="1:24" ht="14.4">
      <c r="A1060" s="14">
        <v>1856</v>
      </c>
      <c r="B1060" s="24" t="s">
        <v>2583</v>
      </c>
      <c r="C1060" s="1">
        <v>2140461</v>
      </c>
      <c r="D1060" s="1" t="s">
        <v>25</v>
      </c>
      <c r="E1060" s="36">
        <v>44909</v>
      </c>
      <c r="F1060" s="36">
        <v>45091</v>
      </c>
      <c r="G1060" s="38">
        <f t="shared" si="16"/>
        <v>182</v>
      </c>
      <c r="H1060" s="5">
        <v>44916</v>
      </c>
      <c r="I1060" s="5">
        <v>45093</v>
      </c>
      <c r="J1060" s="1" t="s">
        <v>26</v>
      </c>
      <c r="K1060" s="1" t="s">
        <v>2546</v>
      </c>
      <c r="L1060" s="1" t="s">
        <v>2525</v>
      </c>
      <c r="M1060" s="1" t="s">
        <v>2537</v>
      </c>
      <c r="N1060" s="1" t="s">
        <v>30</v>
      </c>
      <c r="O1060" s="1" t="s">
        <v>615</v>
      </c>
      <c r="P1060" s="1">
        <v>349542470</v>
      </c>
      <c r="Q1060" s="1" t="s">
        <v>621</v>
      </c>
      <c r="R1060" s="1" t="s">
        <v>113</v>
      </c>
      <c r="S1060" s="1"/>
      <c r="U1060" s="1" t="s">
        <v>35</v>
      </c>
      <c r="V1060" s="1" t="s">
        <v>803</v>
      </c>
      <c r="W1060" s="1" t="str">
        <f>VLOOKUP(Table1[[#This Row],[Obergruppe ATC-Code]],Tabelle3!$A$2:$B$100,2)</f>
        <v>CORTICOSTEROIDE ZUR SYSTEMISCHEN ANWENDUNG</v>
      </c>
      <c r="X1060" s="1" t="str">
        <f xml:space="preserve"> LEFT(Table1[[#This Row],[Atc Code]],3)</f>
        <v>H02</v>
      </c>
    </row>
    <row r="1061" spans="1:24" ht="14.4">
      <c r="A1061" s="14">
        <v>1855</v>
      </c>
      <c r="B1061" s="24" t="s">
        <v>2556</v>
      </c>
      <c r="C1061" s="1">
        <v>2140460</v>
      </c>
      <c r="D1061" s="1" t="s">
        <v>25</v>
      </c>
      <c r="E1061" s="36">
        <v>44886</v>
      </c>
      <c r="F1061" s="36">
        <v>45090</v>
      </c>
      <c r="G1061" s="38">
        <f t="shared" si="16"/>
        <v>204</v>
      </c>
      <c r="H1061" s="5">
        <v>44887</v>
      </c>
      <c r="I1061" s="5">
        <v>45093</v>
      </c>
      <c r="J1061" s="1" t="s">
        <v>26</v>
      </c>
      <c r="K1061" s="1" t="s">
        <v>2557</v>
      </c>
      <c r="L1061" s="1" t="s">
        <v>2525</v>
      </c>
      <c r="M1061" s="1" t="s">
        <v>2537</v>
      </c>
      <c r="N1061" s="1" t="s">
        <v>30</v>
      </c>
      <c r="O1061" s="1" t="s">
        <v>615</v>
      </c>
      <c r="P1061" s="1">
        <v>49349542470</v>
      </c>
      <c r="Q1061" s="1" t="s">
        <v>619</v>
      </c>
      <c r="R1061" s="1" t="s">
        <v>113</v>
      </c>
      <c r="S1061" s="1"/>
      <c r="U1061" s="1" t="s">
        <v>35</v>
      </c>
      <c r="V1061" s="1" t="s">
        <v>803</v>
      </c>
      <c r="W1061" s="1" t="str">
        <f>VLOOKUP(Table1[[#This Row],[Obergruppe ATC-Code]],Tabelle3!$A$2:$B$100,2)</f>
        <v>CORTICOSTEROIDE ZUR SYSTEMISCHEN ANWENDUNG</v>
      </c>
      <c r="X1061" s="1" t="str">
        <f xml:space="preserve"> LEFT(Table1[[#This Row],[Atc Code]],3)</f>
        <v>H02</v>
      </c>
    </row>
    <row r="1062" spans="1:24" ht="14.4">
      <c r="A1062" s="14">
        <v>1859</v>
      </c>
      <c r="B1062" s="24" t="s">
        <v>2581</v>
      </c>
      <c r="C1062" s="1">
        <v>2143114</v>
      </c>
      <c r="D1062" s="1" t="s">
        <v>25</v>
      </c>
      <c r="E1062" s="36">
        <v>45061</v>
      </c>
      <c r="F1062" s="36">
        <v>45112</v>
      </c>
      <c r="G1062" s="38">
        <f t="shared" si="16"/>
        <v>51</v>
      </c>
      <c r="H1062" s="5">
        <v>45062</v>
      </c>
      <c r="I1062" s="5">
        <v>45114</v>
      </c>
      <c r="J1062" s="1" t="s">
        <v>26</v>
      </c>
      <c r="K1062" s="1" t="s">
        <v>2554</v>
      </c>
      <c r="L1062" s="1" t="s">
        <v>2525</v>
      </c>
      <c r="M1062" s="1" t="s">
        <v>2537</v>
      </c>
      <c r="N1062" s="1" t="s">
        <v>30</v>
      </c>
      <c r="O1062" s="1" t="s">
        <v>615</v>
      </c>
      <c r="P1062" s="1">
        <v>49349542470</v>
      </c>
      <c r="Q1062" s="1" t="s">
        <v>619</v>
      </c>
      <c r="R1062" s="1" t="s">
        <v>113</v>
      </c>
      <c r="S1062" s="1"/>
      <c r="U1062" s="1" t="s">
        <v>35</v>
      </c>
      <c r="V1062" s="1" t="s">
        <v>1007</v>
      </c>
      <c r="W1062" s="1" t="str">
        <f>VLOOKUP(Table1[[#This Row],[Obergruppe ATC-Code]],Tabelle3!$A$2:$B$100,2)</f>
        <v>CORTICOSTEROIDE ZUR SYSTEMISCHEN ANWENDUNG</v>
      </c>
      <c r="X1062" s="1" t="str">
        <f xml:space="preserve"> LEFT(Table1[[#This Row],[Atc Code]],3)</f>
        <v>H02</v>
      </c>
    </row>
    <row r="1063" spans="1:24" ht="14.4">
      <c r="A1063" s="14">
        <v>1667</v>
      </c>
      <c r="B1063" s="24" t="s">
        <v>2584</v>
      </c>
      <c r="C1063" s="1">
        <v>2140401</v>
      </c>
      <c r="D1063" s="1" t="s">
        <v>25</v>
      </c>
      <c r="E1063" s="36">
        <v>45015</v>
      </c>
      <c r="F1063" s="36">
        <v>45107</v>
      </c>
      <c r="G1063" s="38">
        <f t="shared" si="16"/>
        <v>92</v>
      </c>
      <c r="H1063" s="5">
        <v>45021</v>
      </c>
      <c r="I1063" s="5">
        <v>45114</v>
      </c>
      <c r="J1063" s="1" t="s">
        <v>26</v>
      </c>
      <c r="K1063" s="1" t="s">
        <v>2567</v>
      </c>
      <c r="L1063" s="1" t="s">
        <v>2525</v>
      </c>
      <c r="M1063" s="1" t="s">
        <v>2537</v>
      </c>
      <c r="N1063" s="1" t="s">
        <v>38</v>
      </c>
      <c r="O1063" s="1" t="s">
        <v>615</v>
      </c>
      <c r="P1063" s="1">
        <v>349542470</v>
      </c>
      <c r="Q1063" s="1" t="s">
        <v>621</v>
      </c>
      <c r="R1063" s="1" t="s">
        <v>113</v>
      </c>
      <c r="S1063" s="1"/>
      <c r="U1063" s="1" t="s">
        <v>35</v>
      </c>
      <c r="V1063" s="1" t="s">
        <v>1007</v>
      </c>
      <c r="W1063" s="1" t="str">
        <f>VLOOKUP(Table1[[#This Row],[Obergruppe ATC-Code]],Tabelle3!$A$2:$B$100,2)</f>
        <v>CORTICOSTEROIDE ZUR SYSTEMISCHEN ANWENDUNG</v>
      </c>
      <c r="X1063" s="1" t="str">
        <f xml:space="preserve"> LEFT(Table1[[#This Row],[Atc Code]],3)</f>
        <v>H02</v>
      </c>
    </row>
    <row r="1064" spans="1:24" ht="14.4">
      <c r="A1064" s="14">
        <v>369</v>
      </c>
      <c r="B1064" s="24">
        <v>2107877</v>
      </c>
      <c r="C1064" s="1">
        <v>2150528</v>
      </c>
      <c r="D1064" s="1" t="s">
        <v>25</v>
      </c>
      <c r="E1064" s="36">
        <v>45103</v>
      </c>
      <c r="F1064" s="36">
        <v>45121</v>
      </c>
      <c r="G1064" s="38">
        <f t="shared" si="16"/>
        <v>18</v>
      </c>
      <c r="H1064" s="5">
        <v>45105</v>
      </c>
      <c r="I1064" s="5">
        <v>45121</v>
      </c>
      <c r="J1064" s="1" t="s">
        <v>26</v>
      </c>
      <c r="K1064" s="1" t="s">
        <v>2559</v>
      </c>
      <c r="L1064" s="1" t="s">
        <v>2525</v>
      </c>
      <c r="M1064" s="1" t="s">
        <v>2534</v>
      </c>
      <c r="N1064" s="1" t="s">
        <v>38</v>
      </c>
      <c r="O1064" s="1" t="s">
        <v>78</v>
      </c>
      <c r="P1064" s="1">
        <v>8944232460</v>
      </c>
      <c r="Q1064" s="1" t="s">
        <v>86</v>
      </c>
      <c r="R1064" s="1" t="s">
        <v>33</v>
      </c>
      <c r="S1064" s="1"/>
      <c r="U1064" s="1" t="s">
        <v>35</v>
      </c>
      <c r="V1064" s="1" t="s">
        <v>49</v>
      </c>
      <c r="W1064" s="1" t="str">
        <f>VLOOKUP(Table1[[#This Row],[Obergruppe ATC-Code]],Tabelle3!$A$2:$B$100,2)</f>
        <v>CORTICOSTEROIDE ZUR SYSTEMISCHEN ANWENDUNG</v>
      </c>
      <c r="X1064" s="1" t="str">
        <f xml:space="preserve"> LEFT(Table1[[#This Row],[Atc Code]],3)</f>
        <v>H02</v>
      </c>
    </row>
    <row r="1065" spans="1:24" ht="14.4">
      <c r="A1065" s="14">
        <v>245</v>
      </c>
      <c r="B1065" s="24">
        <v>1401385</v>
      </c>
      <c r="C1065" s="1">
        <v>2145688</v>
      </c>
      <c r="D1065" s="1" t="s">
        <v>25</v>
      </c>
      <c r="E1065" s="36">
        <v>45103</v>
      </c>
      <c r="F1065" s="36">
        <v>45121</v>
      </c>
      <c r="G1065" s="38">
        <f t="shared" si="16"/>
        <v>18</v>
      </c>
      <c r="H1065" s="5">
        <v>45105</v>
      </c>
      <c r="I1065" s="5">
        <v>45121</v>
      </c>
      <c r="J1065" s="1" t="s">
        <v>26</v>
      </c>
      <c r="K1065" s="1" t="s">
        <v>2585</v>
      </c>
      <c r="L1065" s="1" t="s">
        <v>2525</v>
      </c>
      <c r="M1065" s="1" t="s">
        <v>2534</v>
      </c>
      <c r="N1065" s="1" t="s">
        <v>38</v>
      </c>
      <c r="O1065" s="1" t="s">
        <v>78</v>
      </c>
      <c r="P1065" s="1">
        <v>8944232460</v>
      </c>
      <c r="Q1065" s="1" t="s">
        <v>86</v>
      </c>
      <c r="R1065" s="1" t="s">
        <v>33</v>
      </c>
      <c r="S1065" s="1"/>
      <c r="U1065" s="1" t="s">
        <v>35</v>
      </c>
      <c r="V1065" s="1" t="s">
        <v>49</v>
      </c>
      <c r="W1065" s="1" t="str">
        <f>VLOOKUP(Table1[[#This Row],[Obergruppe ATC-Code]],Tabelle3!$A$2:$B$100,2)</f>
        <v>CORTICOSTEROIDE ZUR SYSTEMISCHEN ANWENDUNG</v>
      </c>
      <c r="X1065" s="1" t="str">
        <f xml:space="preserve"> LEFT(Table1[[#This Row],[Atc Code]],3)</f>
        <v>H02</v>
      </c>
    </row>
    <row r="1066" spans="1:24" ht="14.4">
      <c r="A1066" s="14">
        <v>361</v>
      </c>
      <c r="B1066" s="24">
        <v>2065127</v>
      </c>
      <c r="C1066" s="1">
        <v>2155205</v>
      </c>
      <c r="D1066" s="1" t="s">
        <v>25</v>
      </c>
      <c r="E1066" s="36">
        <v>45103</v>
      </c>
      <c r="F1066" s="36">
        <v>45128</v>
      </c>
      <c r="G1066" s="38">
        <f t="shared" si="16"/>
        <v>25</v>
      </c>
      <c r="H1066" s="5">
        <v>45119</v>
      </c>
      <c r="I1066" s="5">
        <v>45128</v>
      </c>
      <c r="J1066" s="1" t="s">
        <v>26</v>
      </c>
      <c r="K1066" s="1" t="s">
        <v>2571</v>
      </c>
      <c r="L1066" s="1" t="s">
        <v>2525</v>
      </c>
      <c r="M1066" s="1" t="s">
        <v>2534</v>
      </c>
      <c r="N1066" s="1" t="s">
        <v>38</v>
      </c>
      <c r="O1066" s="1" t="s">
        <v>615</v>
      </c>
      <c r="P1066" s="1">
        <v>349542470</v>
      </c>
      <c r="Q1066" s="1" t="s">
        <v>621</v>
      </c>
      <c r="R1066" s="1" t="s">
        <v>33</v>
      </c>
      <c r="S1066" s="1"/>
      <c r="U1066" s="1" t="s">
        <v>35</v>
      </c>
      <c r="V1066" s="1" t="s">
        <v>49</v>
      </c>
      <c r="W1066" s="1" t="str">
        <f>VLOOKUP(Table1[[#This Row],[Obergruppe ATC-Code]],Tabelle3!$A$2:$B$100,2)</f>
        <v>CORTICOSTEROIDE ZUR SYSTEMISCHEN ANWENDUNG</v>
      </c>
      <c r="X1066" s="1" t="str">
        <f xml:space="preserve"> LEFT(Table1[[#This Row],[Atc Code]],3)</f>
        <v>H02</v>
      </c>
    </row>
    <row r="1067" spans="1:24" ht="14.4">
      <c r="A1067" s="14">
        <v>368</v>
      </c>
      <c r="B1067" s="24">
        <v>2107854</v>
      </c>
      <c r="C1067" s="1">
        <v>2150528</v>
      </c>
      <c r="D1067" s="1" t="s">
        <v>25</v>
      </c>
      <c r="E1067" s="36">
        <v>45118</v>
      </c>
      <c r="F1067" s="36">
        <v>45140</v>
      </c>
      <c r="G1067" s="38">
        <f t="shared" si="16"/>
        <v>22</v>
      </c>
      <c r="H1067" s="5">
        <v>45132</v>
      </c>
      <c r="I1067" s="5">
        <v>45142</v>
      </c>
      <c r="J1067" s="1" t="s">
        <v>26</v>
      </c>
      <c r="K1067" s="1" t="s">
        <v>2559</v>
      </c>
      <c r="L1067" s="1" t="s">
        <v>2525</v>
      </c>
      <c r="M1067" s="1" t="s">
        <v>2534</v>
      </c>
      <c r="N1067" s="1" t="s">
        <v>38</v>
      </c>
      <c r="O1067" s="1" t="s">
        <v>78</v>
      </c>
      <c r="P1067" s="1">
        <v>8944232460</v>
      </c>
      <c r="Q1067" s="1" t="s">
        <v>86</v>
      </c>
      <c r="R1067" s="1" t="s">
        <v>33</v>
      </c>
      <c r="S1067" s="1"/>
      <c r="U1067" s="1" t="s">
        <v>35</v>
      </c>
      <c r="V1067" s="1" t="s">
        <v>49</v>
      </c>
      <c r="W1067" s="1" t="str">
        <f>VLOOKUP(Table1[[#This Row],[Obergruppe ATC-Code]],Tabelle3!$A$2:$B$100,2)</f>
        <v>CORTICOSTEROIDE ZUR SYSTEMISCHEN ANWENDUNG</v>
      </c>
      <c r="X1067" s="1" t="str">
        <f xml:space="preserve"> LEFT(Table1[[#This Row],[Atc Code]],3)</f>
        <v>H02</v>
      </c>
    </row>
    <row r="1068" spans="1:24" ht="14.4">
      <c r="A1068" s="14">
        <v>155</v>
      </c>
      <c r="B1068" s="24">
        <v>985177</v>
      </c>
      <c r="C1068" s="1">
        <v>2145780</v>
      </c>
      <c r="D1068" s="1" t="s">
        <v>25</v>
      </c>
      <c r="E1068" s="36">
        <v>45134</v>
      </c>
      <c r="F1068" s="36">
        <v>45173</v>
      </c>
      <c r="G1068" s="38">
        <f t="shared" si="16"/>
        <v>39</v>
      </c>
      <c r="H1068" s="5">
        <v>45146</v>
      </c>
      <c r="I1068" s="5">
        <v>45173</v>
      </c>
      <c r="J1068" s="1" t="s">
        <v>26</v>
      </c>
      <c r="K1068" s="1" t="s">
        <v>2586</v>
      </c>
      <c r="L1068" s="1" t="s">
        <v>2525</v>
      </c>
      <c r="M1068" s="1" t="s">
        <v>2534</v>
      </c>
      <c r="N1068" s="1" t="s">
        <v>38</v>
      </c>
      <c r="O1068" s="1" t="s">
        <v>78</v>
      </c>
      <c r="P1068" s="1">
        <v>8944232460</v>
      </c>
      <c r="Q1068" s="1" t="s">
        <v>86</v>
      </c>
      <c r="R1068" s="1" t="s">
        <v>33</v>
      </c>
      <c r="S1068" s="1"/>
      <c r="U1068" s="1" t="s">
        <v>35</v>
      </c>
      <c r="V1068" s="1" t="s">
        <v>49</v>
      </c>
      <c r="W1068" s="1" t="str">
        <f>VLOOKUP(Table1[[#This Row],[Obergruppe ATC-Code]],Tabelle3!$A$2:$B$100,2)</f>
        <v>CORTICOSTEROIDE ZUR SYSTEMISCHEN ANWENDUNG</v>
      </c>
      <c r="X1068" s="1" t="str">
        <f xml:space="preserve"> LEFT(Table1[[#This Row],[Atc Code]],3)</f>
        <v>H02</v>
      </c>
    </row>
    <row r="1069" spans="1:24" ht="14.4">
      <c r="A1069" s="14">
        <v>154</v>
      </c>
      <c r="B1069" s="24">
        <v>985154</v>
      </c>
      <c r="C1069" s="1">
        <v>2145688</v>
      </c>
      <c r="D1069" s="1" t="s">
        <v>25</v>
      </c>
      <c r="E1069" s="36">
        <v>45160</v>
      </c>
      <c r="F1069" s="36">
        <v>45181</v>
      </c>
      <c r="G1069" s="38">
        <f t="shared" si="16"/>
        <v>21</v>
      </c>
      <c r="H1069" s="5">
        <v>45167</v>
      </c>
      <c r="I1069" s="5">
        <v>45183</v>
      </c>
      <c r="J1069" s="1" t="s">
        <v>26</v>
      </c>
      <c r="K1069" s="1" t="s">
        <v>2585</v>
      </c>
      <c r="L1069" s="1" t="s">
        <v>2525</v>
      </c>
      <c r="M1069" s="1" t="s">
        <v>2534</v>
      </c>
      <c r="N1069" s="1" t="s">
        <v>38</v>
      </c>
      <c r="O1069" s="1" t="s">
        <v>78</v>
      </c>
      <c r="P1069" s="1">
        <v>498944232460</v>
      </c>
      <c r="Q1069" s="1" t="s">
        <v>86</v>
      </c>
      <c r="R1069" s="1" t="s">
        <v>33</v>
      </c>
      <c r="S1069" s="1"/>
      <c r="T1069" s="1" t="s">
        <v>2587</v>
      </c>
      <c r="U1069" s="1" t="s">
        <v>35</v>
      </c>
      <c r="V1069" s="1" t="s">
        <v>49</v>
      </c>
      <c r="W1069" s="1" t="str">
        <f>VLOOKUP(Table1[[#This Row],[Obergruppe ATC-Code]],Tabelle3!$A$2:$B$100,2)</f>
        <v>CORTICOSTEROIDE ZUR SYSTEMISCHEN ANWENDUNG</v>
      </c>
      <c r="X1069" s="1" t="str">
        <f xml:space="preserve"> LEFT(Table1[[#This Row],[Atc Code]],3)</f>
        <v>H02</v>
      </c>
    </row>
    <row r="1070" spans="1:24" ht="14.4">
      <c r="A1070" s="14">
        <v>367</v>
      </c>
      <c r="B1070" s="24">
        <v>2107854</v>
      </c>
      <c r="C1070" s="1">
        <v>2150528</v>
      </c>
      <c r="D1070" s="1" t="s">
        <v>25</v>
      </c>
      <c r="E1070" s="36">
        <v>45166</v>
      </c>
      <c r="F1070" s="36">
        <v>45184</v>
      </c>
      <c r="G1070" s="38">
        <f t="shared" si="16"/>
        <v>18</v>
      </c>
      <c r="H1070" s="5">
        <v>45181</v>
      </c>
      <c r="I1070" s="5">
        <v>45187</v>
      </c>
      <c r="J1070" s="1" t="s">
        <v>26</v>
      </c>
      <c r="K1070" s="1" t="s">
        <v>2559</v>
      </c>
      <c r="L1070" s="1" t="s">
        <v>2525</v>
      </c>
      <c r="M1070" s="1" t="s">
        <v>2534</v>
      </c>
      <c r="N1070" s="1" t="s">
        <v>38</v>
      </c>
      <c r="O1070" s="1" t="s">
        <v>78</v>
      </c>
      <c r="P1070" s="1">
        <v>498944232460</v>
      </c>
      <c r="Q1070" s="1" t="s">
        <v>86</v>
      </c>
      <c r="R1070" s="1" t="s">
        <v>33</v>
      </c>
      <c r="S1070" s="1"/>
      <c r="T1070" s="1" t="s">
        <v>2560</v>
      </c>
      <c r="U1070" s="1" t="s">
        <v>35</v>
      </c>
      <c r="V1070" s="1" t="s">
        <v>49</v>
      </c>
      <c r="W1070" s="1" t="str">
        <f>VLOOKUP(Table1[[#This Row],[Obergruppe ATC-Code]],Tabelle3!$A$2:$B$100,2)</f>
        <v>CORTICOSTEROIDE ZUR SYSTEMISCHEN ANWENDUNG</v>
      </c>
      <c r="X1070" s="1" t="str">
        <f xml:space="preserve"> LEFT(Table1[[#This Row],[Atc Code]],3)</f>
        <v>H02</v>
      </c>
    </row>
    <row r="1071" spans="1:24" ht="14.4">
      <c r="A1071" s="14">
        <v>235</v>
      </c>
      <c r="B1071" s="24">
        <v>1343446</v>
      </c>
      <c r="C1071" s="1">
        <v>2140460</v>
      </c>
      <c r="D1071" s="1" t="s">
        <v>25</v>
      </c>
      <c r="E1071" s="36">
        <v>45104</v>
      </c>
      <c r="F1071" s="36">
        <v>45197</v>
      </c>
      <c r="G1071" s="38">
        <f t="shared" si="16"/>
        <v>93</v>
      </c>
      <c r="H1071" s="5">
        <v>45111</v>
      </c>
      <c r="I1071" s="5">
        <v>45198</v>
      </c>
      <c r="J1071" s="1" t="s">
        <v>26</v>
      </c>
      <c r="K1071" s="1" t="s">
        <v>2557</v>
      </c>
      <c r="L1071" s="1" t="s">
        <v>2525</v>
      </c>
      <c r="M1071" s="1" t="s">
        <v>2537</v>
      </c>
      <c r="N1071" s="1" t="s">
        <v>30</v>
      </c>
      <c r="O1071" s="1" t="s">
        <v>615</v>
      </c>
      <c r="P1071" s="1">
        <v>49349542470</v>
      </c>
      <c r="Q1071" s="1" t="s">
        <v>619</v>
      </c>
      <c r="R1071" s="1" t="s">
        <v>113</v>
      </c>
      <c r="S1071" s="1"/>
      <c r="T1071" s="1" t="s">
        <v>2547</v>
      </c>
      <c r="U1071" s="1" t="s">
        <v>35</v>
      </c>
      <c r="V1071" s="1" t="s">
        <v>803</v>
      </c>
      <c r="W1071" s="1" t="str">
        <f>VLOOKUP(Table1[[#This Row],[Obergruppe ATC-Code]],Tabelle3!$A$2:$B$100,2)</f>
        <v>CORTICOSTEROIDE ZUR SYSTEMISCHEN ANWENDUNG</v>
      </c>
      <c r="X1071" s="1" t="str">
        <f xml:space="preserve"> LEFT(Table1[[#This Row],[Atc Code]],3)</f>
        <v>H02</v>
      </c>
    </row>
    <row r="1072" spans="1:24" ht="14.4">
      <c r="A1072" s="14">
        <v>1858</v>
      </c>
      <c r="B1072" s="24" t="s">
        <v>2588</v>
      </c>
      <c r="C1072" s="1">
        <v>2143114</v>
      </c>
      <c r="D1072" s="1" t="s">
        <v>102</v>
      </c>
      <c r="E1072" s="36">
        <v>45114</v>
      </c>
      <c r="F1072" s="36">
        <v>45230</v>
      </c>
      <c r="G1072" s="38">
        <f t="shared" si="16"/>
        <v>116</v>
      </c>
      <c r="H1072" s="5">
        <v>45120</v>
      </c>
      <c r="I1072" s="5">
        <v>45209</v>
      </c>
      <c r="J1072" s="1" t="s">
        <v>26</v>
      </c>
      <c r="K1072" s="1" t="s">
        <v>2554</v>
      </c>
      <c r="L1072" s="1" t="s">
        <v>2525</v>
      </c>
      <c r="M1072" s="1" t="s">
        <v>2537</v>
      </c>
      <c r="N1072" s="1" t="s">
        <v>30</v>
      </c>
      <c r="O1072" s="1" t="s">
        <v>615</v>
      </c>
      <c r="P1072" s="1">
        <v>349542470</v>
      </c>
      <c r="Q1072" s="1" t="s">
        <v>621</v>
      </c>
      <c r="R1072" s="1" t="s">
        <v>113</v>
      </c>
      <c r="S1072" s="1"/>
      <c r="U1072" s="1" t="s">
        <v>35</v>
      </c>
      <c r="V1072" s="1" t="s">
        <v>1007</v>
      </c>
      <c r="W1072" s="1" t="str">
        <f>VLOOKUP(Table1[[#This Row],[Obergruppe ATC-Code]],Tabelle3!$A$2:$B$100,2)</f>
        <v>CORTICOSTEROIDE ZUR SYSTEMISCHEN ANWENDUNG</v>
      </c>
      <c r="X1072" s="1" t="str">
        <f xml:space="preserve"> LEFT(Table1[[#This Row],[Atc Code]],3)</f>
        <v>H02</v>
      </c>
    </row>
    <row r="1073" spans="1:24" ht="14.4">
      <c r="A1073" s="14">
        <v>1857</v>
      </c>
      <c r="B1073" s="24" t="s">
        <v>2589</v>
      </c>
      <c r="C1073" s="1">
        <v>2140461</v>
      </c>
      <c r="D1073" s="1" t="s">
        <v>102</v>
      </c>
      <c r="E1073" s="36">
        <v>45114</v>
      </c>
      <c r="F1073" s="36">
        <v>45291</v>
      </c>
      <c r="G1073" s="38">
        <f t="shared" si="16"/>
        <v>177</v>
      </c>
      <c r="H1073" s="5">
        <v>45120</v>
      </c>
      <c r="I1073" s="5">
        <v>45209</v>
      </c>
      <c r="J1073" s="1" t="s">
        <v>26</v>
      </c>
      <c r="K1073" s="1" t="s">
        <v>2546</v>
      </c>
      <c r="L1073" s="1" t="s">
        <v>2525</v>
      </c>
      <c r="M1073" s="1" t="s">
        <v>2537</v>
      </c>
      <c r="N1073" s="1" t="s">
        <v>30</v>
      </c>
      <c r="O1073" s="1" t="s">
        <v>615</v>
      </c>
      <c r="P1073" s="1">
        <v>349542470</v>
      </c>
      <c r="Q1073" s="1" t="s">
        <v>621</v>
      </c>
      <c r="R1073" s="1" t="s">
        <v>113</v>
      </c>
      <c r="S1073" s="1"/>
      <c r="T1073" s="1" t="s">
        <v>2547</v>
      </c>
      <c r="U1073" s="1" t="s">
        <v>35</v>
      </c>
      <c r="V1073" s="1" t="s">
        <v>803</v>
      </c>
      <c r="W1073" s="1" t="str">
        <f>VLOOKUP(Table1[[#This Row],[Obergruppe ATC-Code]],Tabelle3!$A$2:$B$100,2)</f>
        <v>CORTICOSTEROIDE ZUR SYSTEMISCHEN ANWENDUNG</v>
      </c>
      <c r="X1073" s="1" t="str">
        <f xml:space="preserve"> LEFT(Table1[[#This Row],[Atc Code]],3)</f>
        <v>H02</v>
      </c>
    </row>
    <row r="1074" spans="1:24" ht="14.4">
      <c r="A1074" s="14">
        <v>236</v>
      </c>
      <c r="B1074" s="24">
        <v>1343618</v>
      </c>
      <c r="C1074" s="1">
        <v>2140401</v>
      </c>
      <c r="D1074" s="1" t="s">
        <v>102</v>
      </c>
      <c r="E1074" s="36">
        <v>45069</v>
      </c>
      <c r="F1074" s="36">
        <v>45245</v>
      </c>
      <c r="G1074" s="38">
        <f t="shared" si="16"/>
        <v>176</v>
      </c>
      <c r="H1074" s="5">
        <v>45120</v>
      </c>
      <c r="I1074" s="5">
        <v>45209</v>
      </c>
      <c r="J1074" s="1" t="s">
        <v>26</v>
      </c>
      <c r="K1074" s="1" t="s">
        <v>2567</v>
      </c>
      <c r="L1074" s="1" t="s">
        <v>2525</v>
      </c>
      <c r="M1074" s="1" t="s">
        <v>2537</v>
      </c>
      <c r="N1074" s="1" t="s">
        <v>30</v>
      </c>
      <c r="O1074" s="1" t="s">
        <v>615</v>
      </c>
      <c r="P1074" s="1">
        <v>349542470</v>
      </c>
      <c r="Q1074" s="1" t="s">
        <v>621</v>
      </c>
      <c r="R1074" s="1" t="s">
        <v>113</v>
      </c>
      <c r="S1074" s="1"/>
      <c r="T1074" s="1" t="s">
        <v>2568</v>
      </c>
      <c r="U1074" s="1" t="s">
        <v>35</v>
      </c>
      <c r="V1074" s="1" t="s">
        <v>1007</v>
      </c>
      <c r="W1074" s="1" t="str">
        <f>VLOOKUP(Table1[[#This Row],[Obergruppe ATC-Code]],Tabelle3!$A$2:$B$100,2)</f>
        <v>CORTICOSTEROIDE ZUR SYSTEMISCHEN ANWENDUNG</v>
      </c>
      <c r="X1074" s="1" t="str">
        <f xml:space="preserve"> LEFT(Table1[[#This Row],[Atc Code]],3)</f>
        <v>H02</v>
      </c>
    </row>
    <row r="1075" spans="1:24" ht="14.4">
      <c r="A1075" s="14">
        <v>1053</v>
      </c>
      <c r="B1075" s="4">
        <v>9065981</v>
      </c>
      <c r="C1075" s="1">
        <v>2167042</v>
      </c>
      <c r="D1075" s="1" t="s">
        <v>25</v>
      </c>
      <c r="E1075" s="36">
        <v>43647</v>
      </c>
      <c r="F1075" s="36">
        <v>43830</v>
      </c>
      <c r="G1075" s="38">
        <f t="shared" si="16"/>
        <v>183</v>
      </c>
      <c r="H1075" s="5">
        <v>43676</v>
      </c>
      <c r="I1075" s="5">
        <v>43839</v>
      </c>
      <c r="J1075" s="1" t="s">
        <v>26</v>
      </c>
      <c r="K1075" s="1" t="s">
        <v>2590</v>
      </c>
      <c r="L1075" s="1" t="s">
        <v>2591</v>
      </c>
      <c r="M1075" s="1" t="s">
        <v>2592</v>
      </c>
      <c r="N1075" s="1" t="s">
        <v>30</v>
      </c>
      <c r="O1075" s="1" t="s">
        <v>2593</v>
      </c>
      <c r="P1075" s="1" t="s">
        <v>2594</v>
      </c>
      <c r="Q1075" s="1" t="s">
        <v>2595</v>
      </c>
      <c r="R1075" s="1" t="s">
        <v>33</v>
      </c>
      <c r="S1075" s="1"/>
      <c r="U1075" s="1" t="s">
        <v>35</v>
      </c>
      <c r="V1075" s="1" t="s">
        <v>386</v>
      </c>
      <c r="W1075" s="1" t="str">
        <f>VLOOKUP(Table1[[#This Row],[Obergruppe ATC-Code]],Tabelle3!$A$2:$B$100,2)</f>
        <v>CORTICOSTEROIDE ZUR SYSTEMISCHEN ANWENDUNG</v>
      </c>
      <c r="X1075" s="1" t="str">
        <f xml:space="preserve"> LEFT(Table1[[#This Row],[Atc Code]],3)</f>
        <v>H02</v>
      </c>
    </row>
    <row r="1076" spans="1:24" ht="14.4">
      <c r="A1076" s="14">
        <v>2444</v>
      </c>
      <c r="B1076" s="24" t="s">
        <v>2596</v>
      </c>
      <c r="C1076" s="1">
        <v>2167041</v>
      </c>
      <c r="D1076" s="1" t="s">
        <v>25</v>
      </c>
      <c r="E1076" s="36">
        <v>43647</v>
      </c>
      <c r="F1076" s="36">
        <v>43830</v>
      </c>
      <c r="G1076" s="38">
        <f t="shared" si="16"/>
        <v>183</v>
      </c>
      <c r="H1076" s="5">
        <v>43676</v>
      </c>
      <c r="I1076" s="5">
        <v>43846</v>
      </c>
      <c r="J1076" s="1" t="s">
        <v>26</v>
      </c>
      <c r="K1076" s="1" t="s">
        <v>2597</v>
      </c>
      <c r="L1076" s="1" t="s">
        <v>2591</v>
      </c>
      <c r="M1076" s="1" t="s">
        <v>2592</v>
      </c>
      <c r="N1076" s="1" t="s">
        <v>30</v>
      </c>
      <c r="O1076" s="1" t="s">
        <v>2593</v>
      </c>
      <c r="P1076" s="1" t="s">
        <v>2594</v>
      </c>
      <c r="Q1076" s="1" t="s">
        <v>2595</v>
      </c>
      <c r="R1076" s="1" t="s">
        <v>33</v>
      </c>
      <c r="S1076" s="1"/>
      <c r="U1076" s="1" t="s">
        <v>35</v>
      </c>
      <c r="V1076" s="1" t="s">
        <v>386</v>
      </c>
      <c r="W1076" s="1" t="str">
        <f>VLOOKUP(Table1[[#This Row],[Obergruppe ATC-Code]],Tabelle3!$A$2:$B$100,2)</f>
        <v>CORTICOSTEROIDE ZUR SYSTEMISCHEN ANWENDUNG</v>
      </c>
      <c r="X1076" s="1" t="str">
        <f xml:space="preserve"> LEFT(Table1[[#This Row],[Atc Code]],3)</f>
        <v>H02</v>
      </c>
    </row>
    <row r="1077" spans="1:24" ht="14.4">
      <c r="A1077" s="14">
        <v>2443</v>
      </c>
      <c r="B1077" s="24" t="s">
        <v>2598</v>
      </c>
      <c r="C1077" s="1">
        <v>2167040</v>
      </c>
      <c r="D1077" s="1" t="s">
        <v>25</v>
      </c>
      <c r="E1077" s="36">
        <v>43647</v>
      </c>
      <c r="F1077" s="36">
        <v>44012</v>
      </c>
      <c r="G1077" s="38">
        <f t="shared" si="16"/>
        <v>365</v>
      </c>
      <c r="H1077" s="5">
        <v>43676</v>
      </c>
      <c r="I1077" s="5">
        <v>43992</v>
      </c>
      <c r="J1077" s="1" t="s">
        <v>26</v>
      </c>
      <c r="K1077" s="1" t="s">
        <v>2599</v>
      </c>
      <c r="L1077" s="1" t="s">
        <v>2591</v>
      </c>
      <c r="M1077" s="1" t="s">
        <v>2592</v>
      </c>
      <c r="N1077" s="1" t="s">
        <v>30</v>
      </c>
      <c r="O1077" s="1" t="s">
        <v>2593</v>
      </c>
      <c r="P1077" s="1" t="s">
        <v>2594</v>
      </c>
      <c r="Q1077" s="1" t="s">
        <v>2595</v>
      </c>
      <c r="R1077" s="1" t="s">
        <v>33</v>
      </c>
      <c r="S1077" s="1"/>
      <c r="U1077" s="1" t="s">
        <v>35</v>
      </c>
      <c r="V1077" s="1" t="s">
        <v>386</v>
      </c>
      <c r="W1077" s="1" t="str">
        <f>VLOOKUP(Table1[[#This Row],[Obergruppe ATC-Code]],Tabelle3!$A$2:$B$100,2)</f>
        <v>CORTICOSTEROIDE ZUR SYSTEMISCHEN ANWENDUNG</v>
      </c>
      <c r="X1077" s="1" t="str">
        <f xml:space="preserve"> LEFT(Table1[[#This Row],[Atc Code]],3)</f>
        <v>H02</v>
      </c>
    </row>
    <row r="1078" spans="1:24" ht="14.4">
      <c r="A1078" s="14">
        <v>708</v>
      </c>
      <c r="B1078" s="24">
        <v>4796645</v>
      </c>
      <c r="C1078" s="1">
        <v>329964</v>
      </c>
      <c r="D1078" s="1" t="s">
        <v>25</v>
      </c>
      <c r="E1078" s="36">
        <v>44621</v>
      </c>
      <c r="F1078" s="36">
        <v>44621</v>
      </c>
      <c r="G1078" s="38">
        <f t="shared" si="16"/>
        <v>0</v>
      </c>
      <c r="H1078" s="5">
        <v>44599</v>
      </c>
      <c r="I1078" s="5">
        <v>44617</v>
      </c>
      <c r="J1078" s="1" t="s">
        <v>26</v>
      </c>
      <c r="K1078" s="1" t="s">
        <v>2600</v>
      </c>
      <c r="L1078" s="1" t="s">
        <v>2591</v>
      </c>
      <c r="M1078" s="1" t="s">
        <v>2592</v>
      </c>
      <c r="N1078" s="1" t="s">
        <v>38</v>
      </c>
      <c r="O1078" s="1" t="s">
        <v>396</v>
      </c>
      <c r="P1078" s="1">
        <v>34954247491</v>
      </c>
      <c r="Q1078" s="1" t="s">
        <v>2503</v>
      </c>
      <c r="R1078" s="1" t="s">
        <v>113</v>
      </c>
      <c r="S1078" s="1"/>
      <c r="T1078" s="1" t="s">
        <v>2601</v>
      </c>
      <c r="U1078" s="1" t="s">
        <v>35</v>
      </c>
      <c r="V1078" s="1" t="s">
        <v>1348</v>
      </c>
      <c r="W1078" s="1" t="str">
        <f>VLOOKUP(Table1[[#This Row],[Obergruppe ATC-Code]],Tabelle3!$A$2:$B$100,2)</f>
        <v>CORTICOSTEROIDE ZUR SYSTEMISCHEN ANWENDUNG</v>
      </c>
      <c r="X1078" s="1" t="str">
        <f xml:space="preserve"> LEFT(Table1[[#This Row],[Atc Code]],3)</f>
        <v>H02</v>
      </c>
    </row>
    <row r="1079" spans="1:24" ht="14.4">
      <c r="A1079" s="14">
        <v>313</v>
      </c>
      <c r="B1079" s="24">
        <v>1982181</v>
      </c>
      <c r="C1079" s="1">
        <v>329964</v>
      </c>
      <c r="D1079" s="1" t="s">
        <v>25</v>
      </c>
      <c r="E1079" s="36">
        <v>44606</v>
      </c>
      <c r="F1079" s="36">
        <v>44617</v>
      </c>
      <c r="G1079" s="38">
        <f t="shared" si="16"/>
        <v>11</v>
      </c>
      <c r="H1079" s="5">
        <v>44599</v>
      </c>
      <c r="I1079" s="5">
        <v>44617</v>
      </c>
      <c r="J1079" s="1" t="s">
        <v>26</v>
      </c>
      <c r="K1079" s="1" t="s">
        <v>2600</v>
      </c>
      <c r="L1079" s="1" t="s">
        <v>2591</v>
      </c>
      <c r="M1079" s="1" t="s">
        <v>2592</v>
      </c>
      <c r="N1079" s="1" t="s">
        <v>38</v>
      </c>
      <c r="O1079" s="1" t="s">
        <v>396</v>
      </c>
      <c r="P1079" s="1">
        <v>34954247491</v>
      </c>
      <c r="Q1079" s="1" t="s">
        <v>2503</v>
      </c>
      <c r="R1079" s="1" t="s">
        <v>113</v>
      </c>
      <c r="S1079" s="1"/>
      <c r="T1079" s="1" t="s">
        <v>2601</v>
      </c>
      <c r="U1079" s="1" t="s">
        <v>35</v>
      </c>
      <c r="V1079" s="1" t="s">
        <v>1348</v>
      </c>
      <c r="W1079" s="1" t="str">
        <f>VLOOKUP(Table1[[#This Row],[Obergruppe ATC-Code]],Tabelle3!$A$2:$B$100,2)</f>
        <v>CORTICOSTEROIDE ZUR SYSTEMISCHEN ANWENDUNG</v>
      </c>
      <c r="X1079" s="1" t="str">
        <f xml:space="preserve"> LEFT(Table1[[#This Row],[Atc Code]],3)</f>
        <v>H02</v>
      </c>
    </row>
    <row r="1080" spans="1:24" ht="14.4">
      <c r="A1080" s="14">
        <v>1680</v>
      </c>
      <c r="B1080" s="24" t="s">
        <v>2602</v>
      </c>
      <c r="C1080" s="1">
        <v>109004</v>
      </c>
      <c r="D1080" s="1" t="s">
        <v>25</v>
      </c>
      <c r="E1080" s="36">
        <v>44676</v>
      </c>
      <c r="F1080" s="36">
        <v>44747</v>
      </c>
      <c r="G1080" s="38">
        <f t="shared" si="16"/>
        <v>71</v>
      </c>
      <c r="H1080" s="5">
        <v>44644</v>
      </c>
      <c r="I1080" s="5">
        <v>44748</v>
      </c>
      <c r="J1080" s="1" t="s">
        <v>26</v>
      </c>
      <c r="K1080" s="1" t="s">
        <v>2603</v>
      </c>
      <c r="L1080" s="1" t="s">
        <v>2591</v>
      </c>
      <c r="M1080" s="1" t="s">
        <v>2592</v>
      </c>
      <c r="N1080" s="1" t="s">
        <v>30</v>
      </c>
      <c r="O1080" s="1" t="s">
        <v>548</v>
      </c>
      <c r="P1080" s="1" t="s">
        <v>2548</v>
      </c>
      <c r="Q1080" s="1" t="s">
        <v>2549</v>
      </c>
      <c r="R1080" s="1" t="s">
        <v>26</v>
      </c>
      <c r="S1080" s="1"/>
      <c r="T1080" s="1" t="s">
        <v>2604</v>
      </c>
      <c r="U1080" s="1" t="s">
        <v>35</v>
      </c>
      <c r="V1080" s="1" t="s">
        <v>49</v>
      </c>
      <c r="W1080" s="1" t="str">
        <f>VLOOKUP(Table1[[#This Row],[Obergruppe ATC-Code]],Tabelle3!$A$2:$B$100,2)</f>
        <v>CORTICOSTEROIDE ZUR SYSTEMISCHEN ANWENDUNG</v>
      </c>
      <c r="X1080" s="1" t="str">
        <f xml:space="preserve"> LEFT(Table1[[#This Row],[Atc Code]],3)</f>
        <v>H02</v>
      </c>
    </row>
    <row r="1081" spans="1:24" ht="14.4">
      <c r="A1081" s="14">
        <v>1702</v>
      </c>
      <c r="B1081" s="24" t="s">
        <v>2605</v>
      </c>
      <c r="C1081" s="1">
        <v>2108453</v>
      </c>
      <c r="D1081" s="1" t="s">
        <v>25</v>
      </c>
      <c r="E1081" s="36">
        <v>44827</v>
      </c>
      <c r="F1081" s="36">
        <v>44854</v>
      </c>
      <c r="G1081" s="38">
        <f t="shared" si="16"/>
        <v>27</v>
      </c>
      <c r="H1081" s="5">
        <v>44840</v>
      </c>
      <c r="I1081" s="5">
        <v>44854</v>
      </c>
      <c r="J1081" s="1" t="s">
        <v>41</v>
      </c>
      <c r="K1081" s="1" t="s">
        <v>2606</v>
      </c>
      <c r="L1081" s="1" t="s">
        <v>2591</v>
      </c>
      <c r="M1081" s="1" t="s">
        <v>2592</v>
      </c>
      <c r="N1081" s="1" t="s">
        <v>30</v>
      </c>
      <c r="O1081" s="1" t="s">
        <v>548</v>
      </c>
      <c r="P1081" s="1">
        <v>8004288373</v>
      </c>
      <c r="Q1081" s="1" t="s">
        <v>549</v>
      </c>
      <c r="R1081" s="1" t="s">
        <v>65</v>
      </c>
      <c r="S1081" s="1"/>
      <c r="T1081" s="1" t="s">
        <v>2607</v>
      </c>
      <c r="U1081" s="1" t="s">
        <v>35</v>
      </c>
      <c r="V1081" s="1" t="s">
        <v>49</v>
      </c>
      <c r="W1081" s="1" t="str">
        <f>VLOOKUP(Table1[[#This Row],[Obergruppe ATC-Code]],Tabelle3!$A$2:$B$100,2)</f>
        <v>CORTICOSTEROIDE ZUR SYSTEMISCHEN ANWENDUNG</v>
      </c>
      <c r="X1081" s="1" t="str">
        <f xml:space="preserve"> LEFT(Table1[[#This Row],[Atc Code]],3)</f>
        <v>H02</v>
      </c>
    </row>
    <row r="1082" spans="1:24" ht="14.4">
      <c r="A1082" s="14">
        <v>379</v>
      </c>
      <c r="B1082" s="24">
        <v>2173472</v>
      </c>
      <c r="C1082" s="1">
        <v>2150328</v>
      </c>
      <c r="D1082" s="1" t="s">
        <v>25</v>
      </c>
      <c r="E1082" s="36">
        <v>45071</v>
      </c>
      <c r="F1082" s="36">
        <v>45134</v>
      </c>
      <c r="G1082" s="38">
        <f t="shared" si="16"/>
        <v>63</v>
      </c>
      <c r="H1082" s="5">
        <v>45077</v>
      </c>
      <c r="I1082" s="5">
        <v>45142</v>
      </c>
      <c r="J1082" s="1" t="s">
        <v>26</v>
      </c>
      <c r="K1082" s="1" t="s">
        <v>2608</v>
      </c>
      <c r="L1082" s="1" t="s">
        <v>2591</v>
      </c>
      <c r="M1082" s="1" t="s">
        <v>2592</v>
      </c>
      <c r="N1082" s="1" t="s">
        <v>38</v>
      </c>
      <c r="O1082" s="1" t="s">
        <v>78</v>
      </c>
      <c r="P1082" s="1">
        <v>8944232460</v>
      </c>
      <c r="Q1082" s="1" t="s">
        <v>86</v>
      </c>
      <c r="R1082" s="1" t="s">
        <v>33</v>
      </c>
      <c r="S1082" s="1"/>
      <c r="U1082" s="1" t="s">
        <v>35</v>
      </c>
      <c r="V1082" s="1" t="s">
        <v>49</v>
      </c>
      <c r="W1082" s="1" t="str">
        <f>VLOOKUP(Table1[[#This Row],[Obergruppe ATC-Code]],Tabelle3!$A$2:$B$100,2)</f>
        <v>CORTICOSTEROIDE ZUR SYSTEMISCHEN ANWENDUNG</v>
      </c>
      <c r="X1082" s="1" t="str">
        <f xml:space="preserve"> LEFT(Table1[[#This Row],[Atc Code]],3)</f>
        <v>H02</v>
      </c>
    </row>
    <row r="1083" spans="1:24" ht="14.4">
      <c r="A1083" s="14">
        <v>213</v>
      </c>
      <c r="B1083" s="24">
        <v>1163187</v>
      </c>
      <c r="C1083" s="1">
        <v>2122680</v>
      </c>
      <c r="D1083" s="1" t="s">
        <v>25</v>
      </c>
      <c r="E1083" s="36">
        <v>44760</v>
      </c>
      <c r="F1083" s="36">
        <v>44763</v>
      </c>
      <c r="G1083" s="38">
        <f t="shared" si="16"/>
        <v>3</v>
      </c>
      <c r="H1083" s="5">
        <v>44761</v>
      </c>
      <c r="I1083" s="5">
        <v>44767</v>
      </c>
      <c r="J1083" s="1" t="s">
        <v>26</v>
      </c>
      <c r="K1083" s="1" t="s">
        <v>2609</v>
      </c>
      <c r="L1083" s="1" t="s">
        <v>2610</v>
      </c>
      <c r="M1083" s="1" t="s">
        <v>1999</v>
      </c>
      <c r="N1083" s="1" t="s">
        <v>38</v>
      </c>
      <c r="O1083" s="1" t="s">
        <v>31</v>
      </c>
      <c r="Q1083" s="1" t="s">
        <v>32</v>
      </c>
      <c r="R1083" s="1" t="s">
        <v>33</v>
      </c>
      <c r="S1083" s="1"/>
      <c r="U1083" s="1" t="s">
        <v>35</v>
      </c>
      <c r="V1083" s="1" t="s">
        <v>2611</v>
      </c>
      <c r="W1083" s="1" t="str">
        <f>VLOOKUP(Table1[[#This Row],[Obergruppe ATC-Code]],Tabelle3!$A$2:$B$100,2)</f>
        <v>CORTICOSTEROIDE ZUR SYSTEMISCHEN ANWENDUNG</v>
      </c>
      <c r="X1083" s="1" t="str">
        <f xml:space="preserve"> LEFT(Table1[[#This Row],[Atc Code]],3)</f>
        <v>H02</v>
      </c>
    </row>
    <row r="1084" spans="1:24" ht="14.4">
      <c r="A1084" s="14">
        <v>220</v>
      </c>
      <c r="B1084" s="24">
        <v>1218646</v>
      </c>
      <c r="C1084" s="1">
        <v>1445721</v>
      </c>
      <c r="D1084" s="1" t="s">
        <v>25</v>
      </c>
      <c r="E1084" s="36">
        <v>44719</v>
      </c>
      <c r="F1084" s="36">
        <v>44774</v>
      </c>
      <c r="G1084" s="38">
        <f t="shared" si="16"/>
        <v>55</v>
      </c>
      <c r="H1084" s="5">
        <v>44720</v>
      </c>
      <c r="I1084" s="5">
        <v>44775</v>
      </c>
      <c r="J1084" s="1" t="s">
        <v>41</v>
      </c>
      <c r="K1084" s="1" t="s">
        <v>2612</v>
      </c>
      <c r="L1084" s="1" t="s">
        <v>2610</v>
      </c>
      <c r="M1084" s="1" t="s">
        <v>2613</v>
      </c>
      <c r="N1084" s="1" t="s">
        <v>30</v>
      </c>
      <c r="O1084" s="1" t="s">
        <v>31</v>
      </c>
      <c r="Q1084" s="1" t="s">
        <v>32</v>
      </c>
      <c r="R1084" s="1" t="s">
        <v>128</v>
      </c>
      <c r="S1084" s="1"/>
      <c r="U1084" s="1" t="s">
        <v>35</v>
      </c>
      <c r="V1084" s="1" t="s">
        <v>74</v>
      </c>
      <c r="W1084" s="1" t="str">
        <f>VLOOKUP(Table1[[#This Row],[Obergruppe ATC-Code]],Tabelle3!$A$2:$B$100,2)</f>
        <v>CORTICOSTEROIDE ZUR SYSTEMISCHEN ANWENDUNG</v>
      </c>
      <c r="X1084" s="1" t="str">
        <f xml:space="preserve"> LEFT(Table1[[#This Row],[Atc Code]],3)</f>
        <v>H02</v>
      </c>
    </row>
    <row r="1085" spans="1:24" ht="14.4">
      <c r="A1085" s="14">
        <v>1988</v>
      </c>
      <c r="B1085" s="24" t="s">
        <v>2614</v>
      </c>
      <c r="C1085" s="1">
        <v>1445632</v>
      </c>
      <c r="D1085" s="1" t="s">
        <v>25</v>
      </c>
      <c r="E1085" s="36">
        <v>44711</v>
      </c>
      <c r="F1085" s="36">
        <v>44790</v>
      </c>
      <c r="G1085" s="38">
        <f t="shared" si="16"/>
        <v>79</v>
      </c>
      <c r="H1085" s="5">
        <v>44711</v>
      </c>
      <c r="I1085" s="5">
        <v>44790</v>
      </c>
      <c r="J1085" s="1" t="s">
        <v>41</v>
      </c>
      <c r="K1085" s="1" t="s">
        <v>2615</v>
      </c>
      <c r="L1085" s="1" t="s">
        <v>2610</v>
      </c>
      <c r="M1085" s="1" t="s">
        <v>2613</v>
      </c>
      <c r="N1085" s="1" t="s">
        <v>30</v>
      </c>
      <c r="O1085" s="1" t="s">
        <v>31</v>
      </c>
      <c r="Q1085" s="1" t="s">
        <v>32</v>
      </c>
      <c r="R1085" s="1" t="s">
        <v>128</v>
      </c>
      <c r="S1085" s="1"/>
      <c r="U1085" s="1" t="s">
        <v>35</v>
      </c>
      <c r="V1085" s="1" t="s">
        <v>74</v>
      </c>
      <c r="W1085" s="1" t="str">
        <f>VLOOKUP(Table1[[#This Row],[Obergruppe ATC-Code]],Tabelle3!$A$2:$B$100,2)</f>
        <v>CORTICOSTEROIDE ZUR SYSTEMISCHEN ANWENDUNG</v>
      </c>
      <c r="X1085" s="1" t="str">
        <f xml:space="preserve"> LEFT(Table1[[#This Row],[Atc Code]],3)</f>
        <v>H02</v>
      </c>
    </row>
    <row r="1086" spans="1:24" ht="14.4">
      <c r="A1086" s="14">
        <v>186</v>
      </c>
      <c r="B1086" s="24">
        <v>1115780</v>
      </c>
      <c r="C1086" s="1">
        <v>2113064</v>
      </c>
      <c r="D1086" s="1" t="s">
        <v>25</v>
      </c>
      <c r="E1086" s="36">
        <v>44760</v>
      </c>
      <c r="F1086" s="36">
        <v>44803</v>
      </c>
      <c r="G1086" s="38">
        <f t="shared" si="16"/>
        <v>43</v>
      </c>
      <c r="H1086" s="5">
        <v>44760</v>
      </c>
      <c r="I1086" s="5">
        <v>44803</v>
      </c>
      <c r="J1086" s="1" t="s">
        <v>41</v>
      </c>
      <c r="K1086" s="1" t="s">
        <v>2616</v>
      </c>
      <c r="L1086" s="1" t="s">
        <v>2610</v>
      </c>
      <c r="M1086" s="1" t="s">
        <v>2617</v>
      </c>
      <c r="N1086" s="1" t="s">
        <v>38</v>
      </c>
      <c r="O1086" s="1" t="s">
        <v>31</v>
      </c>
      <c r="Q1086" s="1" t="s">
        <v>32</v>
      </c>
      <c r="R1086" s="1" t="s">
        <v>128</v>
      </c>
      <c r="S1086" s="1"/>
      <c r="U1086" s="1" t="s">
        <v>35</v>
      </c>
      <c r="V1086" s="1" t="s">
        <v>49</v>
      </c>
      <c r="W1086" s="1" t="str">
        <f>VLOOKUP(Table1[[#This Row],[Obergruppe ATC-Code]],Tabelle3!$A$2:$B$100,2)</f>
        <v>CORTICOSTEROIDE ZUR SYSTEMISCHEN ANWENDUNG</v>
      </c>
      <c r="X1086" s="1" t="str">
        <f xml:space="preserve"> LEFT(Table1[[#This Row],[Atc Code]],3)</f>
        <v>H02</v>
      </c>
    </row>
    <row r="1087" spans="1:24" ht="14.4">
      <c r="A1087" s="14">
        <v>1221</v>
      </c>
      <c r="B1087" s="24">
        <v>11213101</v>
      </c>
      <c r="C1087" s="1">
        <v>2113068</v>
      </c>
      <c r="D1087" s="1" t="s">
        <v>25</v>
      </c>
      <c r="E1087" s="36">
        <v>44855</v>
      </c>
      <c r="F1087" s="36">
        <v>44875</v>
      </c>
      <c r="G1087" s="38">
        <f t="shared" si="16"/>
        <v>20</v>
      </c>
      <c r="H1087" s="5">
        <v>44873</v>
      </c>
      <c r="I1087" s="5">
        <v>44881</v>
      </c>
      <c r="J1087" s="1" t="s">
        <v>26</v>
      </c>
      <c r="K1087" s="1" t="s">
        <v>2618</v>
      </c>
      <c r="L1087" s="1" t="s">
        <v>2610</v>
      </c>
      <c r="M1087" s="1" t="s">
        <v>1999</v>
      </c>
      <c r="N1087" s="1" t="s">
        <v>38</v>
      </c>
      <c r="O1087" s="1" t="s">
        <v>31</v>
      </c>
      <c r="Q1087" s="1" t="s">
        <v>32</v>
      </c>
      <c r="R1087" s="1" t="s">
        <v>33</v>
      </c>
      <c r="S1087" s="1" t="s">
        <v>2619</v>
      </c>
      <c r="U1087" s="1" t="s">
        <v>35</v>
      </c>
      <c r="V1087" s="1" t="s">
        <v>2611</v>
      </c>
      <c r="W1087" s="1" t="str">
        <f>VLOOKUP(Table1[[#This Row],[Obergruppe ATC-Code]],Tabelle3!$A$2:$B$100,2)</f>
        <v>CORTICOSTEROIDE ZUR SYSTEMISCHEN ANWENDUNG</v>
      </c>
      <c r="X1087" s="1" t="str">
        <f xml:space="preserve"> LEFT(Table1[[#This Row],[Atc Code]],3)</f>
        <v>H02</v>
      </c>
    </row>
    <row r="1088" spans="1:24" ht="14.4">
      <c r="A1088" s="14">
        <v>247</v>
      </c>
      <c r="B1088" s="24">
        <v>1433706</v>
      </c>
      <c r="C1088" s="1">
        <v>2122679</v>
      </c>
      <c r="D1088" s="1" t="s">
        <v>25</v>
      </c>
      <c r="E1088" s="36">
        <v>44937</v>
      </c>
      <c r="F1088" s="36">
        <v>44957</v>
      </c>
      <c r="G1088" s="38">
        <f t="shared" si="16"/>
        <v>20</v>
      </c>
      <c r="H1088" s="5">
        <v>44938</v>
      </c>
      <c r="I1088" s="5">
        <v>44958</v>
      </c>
      <c r="J1088" s="1" t="s">
        <v>26</v>
      </c>
      <c r="K1088" s="1" t="s">
        <v>2620</v>
      </c>
      <c r="L1088" s="1" t="s">
        <v>2610</v>
      </c>
      <c r="M1088" s="1" t="s">
        <v>1999</v>
      </c>
      <c r="N1088" s="1" t="s">
        <v>38</v>
      </c>
      <c r="O1088" s="1" t="s">
        <v>31</v>
      </c>
      <c r="Q1088" s="1" t="s">
        <v>32</v>
      </c>
      <c r="R1088" s="1" t="s">
        <v>33</v>
      </c>
      <c r="S1088" s="1"/>
      <c r="U1088" s="1" t="s">
        <v>35</v>
      </c>
      <c r="V1088" s="1" t="s">
        <v>2611</v>
      </c>
      <c r="W1088" s="1" t="str">
        <f>VLOOKUP(Table1[[#This Row],[Obergruppe ATC-Code]],Tabelle3!$A$2:$B$100,2)</f>
        <v>CORTICOSTEROIDE ZUR SYSTEMISCHEN ANWENDUNG</v>
      </c>
      <c r="X1088" s="1" t="str">
        <f xml:space="preserve"> LEFT(Table1[[#This Row],[Atc Code]],3)</f>
        <v>H02</v>
      </c>
    </row>
    <row r="1089" spans="1:24" ht="14.4">
      <c r="A1089" s="14">
        <v>188</v>
      </c>
      <c r="B1089" s="24">
        <v>1116207</v>
      </c>
      <c r="C1089" s="1">
        <v>2113068</v>
      </c>
      <c r="D1089" s="1" t="s">
        <v>25</v>
      </c>
      <c r="E1089" s="36">
        <v>45015</v>
      </c>
      <c r="F1089" s="36">
        <v>45028</v>
      </c>
      <c r="G1089" s="38">
        <f t="shared" si="16"/>
        <v>13</v>
      </c>
      <c r="H1089" s="5">
        <v>45035</v>
      </c>
      <c r="I1089" s="5">
        <v>45042</v>
      </c>
      <c r="J1089" s="1" t="s">
        <v>26</v>
      </c>
      <c r="K1089" s="1" t="s">
        <v>2618</v>
      </c>
      <c r="L1089" s="1" t="s">
        <v>2610</v>
      </c>
      <c r="M1089" s="1" t="s">
        <v>1999</v>
      </c>
      <c r="N1089" s="1" t="s">
        <v>30</v>
      </c>
      <c r="O1089" s="1" t="s">
        <v>31</v>
      </c>
      <c r="P1089" s="1">
        <v>498964186105</v>
      </c>
      <c r="Q1089" s="1" t="s">
        <v>39</v>
      </c>
      <c r="R1089" s="1" t="s">
        <v>33</v>
      </c>
      <c r="S1089" s="1"/>
      <c r="T1089" s="1" t="s">
        <v>2621</v>
      </c>
      <c r="U1089" s="1" t="s">
        <v>130</v>
      </c>
      <c r="V1089" s="1" t="s">
        <v>2611</v>
      </c>
      <c r="W1089" s="1" t="str">
        <f>VLOOKUP(Table1[[#This Row],[Obergruppe ATC-Code]],Tabelle3!$A$2:$B$100,2)</f>
        <v>CORTICOSTEROIDE ZUR SYSTEMISCHEN ANWENDUNG</v>
      </c>
      <c r="X1089" s="1" t="str">
        <f xml:space="preserve"> LEFT(Table1[[#This Row],[Atc Code]],3)</f>
        <v>H02</v>
      </c>
    </row>
    <row r="1090" spans="1:24" ht="14.4">
      <c r="A1090" s="14">
        <v>189</v>
      </c>
      <c r="B1090" s="24">
        <v>1116236</v>
      </c>
      <c r="C1090" s="1">
        <v>2113068</v>
      </c>
      <c r="D1090" s="1" t="s">
        <v>25</v>
      </c>
      <c r="E1090" s="36">
        <v>45062</v>
      </c>
      <c r="F1090" s="36">
        <v>45084</v>
      </c>
      <c r="G1090" s="38">
        <f t="shared" ref="G1090:G1153" si="17">F1090-E1090</f>
        <v>22</v>
      </c>
      <c r="H1090" s="5">
        <v>45071</v>
      </c>
      <c r="I1090" s="5">
        <v>45089</v>
      </c>
      <c r="J1090" s="1" t="s">
        <v>26</v>
      </c>
      <c r="K1090" s="1" t="s">
        <v>2618</v>
      </c>
      <c r="L1090" s="1" t="s">
        <v>2610</v>
      </c>
      <c r="M1090" s="1" t="s">
        <v>1999</v>
      </c>
      <c r="N1090" s="1" t="s">
        <v>30</v>
      </c>
      <c r="O1090" s="1" t="s">
        <v>31</v>
      </c>
      <c r="P1090" s="1">
        <v>498964186105</v>
      </c>
      <c r="Q1090" s="1" t="s">
        <v>39</v>
      </c>
      <c r="R1090" s="1" t="s">
        <v>33</v>
      </c>
      <c r="S1090" s="1"/>
      <c r="U1090" s="1" t="s">
        <v>130</v>
      </c>
      <c r="V1090" s="1" t="s">
        <v>2611</v>
      </c>
      <c r="W1090" s="1" t="str">
        <f>VLOOKUP(Table1[[#This Row],[Obergruppe ATC-Code]],Tabelle3!$A$2:$B$100,2)</f>
        <v>CORTICOSTEROIDE ZUR SYSTEMISCHEN ANWENDUNG</v>
      </c>
      <c r="X1090" s="1" t="str">
        <f xml:space="preserve"> LEFT(Table1[[#This Row],[Atc Code]],3)</f>
        <v>H02</v>
      </c>
    </row>
    <row r="1091" spans="1:24" ht="14.4">
      <c r="A1091" s="14">
        <v>185</v>
      </c>
      <c r="B1091" s="24">
        <v>1115774</v>
      </c>
      <c r="C1091" s="1">
        <v>2113064</v>
      </c>
      <c r="D1091" s="1" t="s">
        <v>25</v>
      </c>
      <c r="E1091" s="36">
        <v>45049</v>
      </c>
      <c r="F1091" s="36">
        <v>45121</v>
      </c>
      <c r="G1091" s="38">
        <f t="shared" si="17"/>
        <v>72</v>
      </c>
      <c r="H1091" s="5">
        <v>45049</v>
      </c>
      <c r="I1091" s="5">
        <v>45124</v>
      </c>
      <c r="J1091" s="1" t="s">
        <v>26</v>
      </c>
      <c r="K1091" s="1" t="s">
        <v>2616</v>
      </c>
      <c r="L1091" s="1" t="s">
        <v>2610</v>
      </c>
      <c r="M1091" s="1" t="s">
        <v>2617</v>
      </c>
      <c r="N1091" s="1" t="s">
        <v>38</v>
      </c>
      <c r="O1091" s="1" t="s">
        <v>31</v>
      </c>
      <c r="Q1091" s="1" t="s">
        <v>39</v>
      </c>
      <c r="R1091" s="1" t="s">
        <v>33</v>
      </c>
      <c r="S1091" s="1"/>
      <c r="T1091" s="1" t="s">
        <v>2622</v>
      </c>
      <c r="U1091" s="1" t="s">
        <v>35</v>
      </c>
      <c r="V1091" s="1" t="s">
        <v>49</v>
      </c>
      <c r="W1091" s="1" t="str">
        <f>VLOOKUP(Table1[[#This Row],[Obergruppe ATC-Code]],Tabelle3!$A$2:$B$100,2)</f>
        <v>CORTICOSTEROIDE ZUR SYSTEMISCHEN ANWENDUNG</v>
      </c>
      <c r="X1091" s="1" t="str">
        <f xml:space="preserve"> LEFT(Table1[[#This Row],[Atc Code]],3)</f>
        <v>H02</v>
      </c>
    </row>
    <row r="1092" spans="1:24" ht="14.4">
      <c r="A1092" s="14">
        <v>2032</v>
      </c>
      <c r="B1092" s="24" t="s">
        <v>2623</v>
      </c>
      <c r="C1092" s="1">
        <v>300162</v>
      </c>
      <c r="D1092" s="1" t="s">
        <v>175</v>
      </c>
      <c r="E1092" s="36">
        <v>44526</v>
      </c>
      <c r="F1092" s="36">
        <v>45291</v>
      </c>
      <c r="G1092" s="38">
        <f t="shared" si="17"/>
        <v>765</v>
      </c>
      <c r="H1092" s="5">
        <v>45140</v>
      </c>
      <c r="I1092" s="5">
        <v>45140</v>
      </c>
      <c r="J1092" s="1" t="s">
        <v>41</v>
      </c>
      <c r="K1092" s="1" t="s">
        <v>2624</v>
      </c>
      <c r="L1092" s="1" t="s">
        <v>2610</v>
      </c>
      <c r="M1092" s="1" t="s">
        <v>2625</v>
      </c>
      <c r="N1092" s="1" t="s">
        <v>38</v>
      </c>
      <c r="O1092" s="1" t="s">
        <v>184</v>
      </c>
      <c r="P1092" s="1" t="s">
        <v>1010</v>
      </c>
      <c r="Q1092" s="1" t="s">
        <v>185</v>
      </c>
      <c r="R1092" s="1" t="s">
        <v>128</v>
      </c>
      <c r="S1092" s="1" t="s">
        <v>1011</v>
      </c>
      <c r="U1092" s="1" t="s">
        <v>130</v>
      </c>
      <c r="V1092" s="1" t="s">
        <v>2611</v>
      </c>
      <c r="W1092" s="1" t="str">
        <f>VLOOKUP(Table1[[#This Row],[Obergruppe ATC-Code]],Tabelle3!$A$2:$B$100,2)</f>
        <v>CORTICOSTEROIDE ZUR SYSTEMISCHEN ANWENDUNG</v>
      </c>
      <c r="X1092" s="1" t="str">
        <f xml:space="preserve"> LEFT(Table1[[#This Row],[Atc Code]],3)</f>
        <v>H02</v>
      </c>
    </row>
    <row r="1093" spans="1:24" ht="14.4">
      <c r="A1093" s="14">
        <v>686</v>
      </c>
      <c r="B1093" s="24">
        <v>4612906</v>
      </c>
      <c r="C1093" s="1">
        <v>72086</v>
      </c>
      <c r="D1093" s="1" t="s">
        <v>25</v>
      </c>
      <c r="E1093" s="36">
        <v>45134</v>
      </c>
      <c r="F1093" s="36">
        <v>45154</v>
      </c>
      <c r="G1093" s="38">
        <f t="shared" si="17"/>
        <v>20</v>
      </c>
      <c r="H1093" s="5">
        <v>45140</v>
      </c>
      <c r="I1093" s="5">
        <v>45154</v>
      </c>
      <c r="J1093" s="1" t="s">
        <v>26</v>
      </c>
      <c r="K1093" s="1" t="s">
        <v>2626</v>
      </c>
      <c r="L1093" s="1" t="s">
        <v>2610</v>
      </c>
      <c r="M1093" s="1" t="s">
        <v>2613</v>
      </c>
      <c r="N1093" s="1" t="s">
        <v>30</v>
      </c>
      <c r="O1093" s="1" t="s">
        <v>31</v>
      </c>
      <c r="P1093" s="1">
        <v>498964186105</v>
      </c>
      <c r="Q1093" s="1" t="s">
        <v>39</v>
      </c>
      <c r="R1093" s="1" t="s">
        <v>33</v>
      </c>
      <c r="S1093" s="1"/>
      <c r="U1093" s="1" t="s">
        <v>130</v>
      </c>
      <c r="V1093" s="1" t="s">
        <v>74</v>
      </c>
      <c r="W1093" s="1" t="str">
        <f>VLOOKUP(Table1[[#This Row],[Obergruppe ATC-Code]],Tabelle3!$A$2:$B$100,2)</f>
        <v>CORTICOSTEROIDE ZUR SYSTEMISCHEN ANWENDUNG</v>
      </c>
      <c r="X1093" s="1" t="str">
        <f xml:space="preserve"> LEFT(Table1[[#This Row],[Atc Code]],3)</f>
        <v>H02</v>
      </c>
    </row>
    <row r="1094" spans="1:24" ht="14.4">
      <c r="A1094" s="14">
        <v>2143</v>
      </c>
      <c r="B1094" s="24" t="s">
        <v>2627</v>
      </c>
      <c r="C1094" s="1">
        <v>2113068</v>
      </c>
      <c r="D1094" s="1" t="s">
        <v>25</v>
      </c>
      <c r="E1094" s="36">
        <v>45134</v>
      </c>
      <c r="F1094" s="36">
        <v>45169</v>
      </c>
      <c r="G1094" s="38">
        <f t="shared" si="17"/>
        <v>35</v>
      </c>
      <c r="H1094" s="5">
        <v>45154</v>
      </c>
      <c r="I1094" s="5">
        <v>45169</v>
      </c>
      <c r="J1094" s="1" t="s">
        <v>26</v>
      </c>
      <c r="K1094" s="1" t="s">
        <v>2618</v>
      </c>
      <c r="L1094" s="1" t="s">
        <v>2610</v>
      </c>
      <c r="M1094" s="1" t="s">
        <v>1999</v>
      </c>
      <c r="N1094" s="1" t="s">
        <v>30</v>
      </c>
      <c r="O1094" s="1" t="s">
        <v>31</v>
      </c>
      <c r="P1094" s="1">
        <v>498964186116</v>
      </c>
      <c r="Q1094" s="1" t="s">
        <v>2089</v>
      </c>
      <c r="R1094" s="1" t="s">
        <v>33</v>
      </c>
      <c r="S1094" s="1"/>
      <c r="T1094" s="1" t="s">
        <v>2621</v>
      </c>
      <c r="U1094" s="1" t="s">
        <v>35</v>
      </c>
      <c r="V1094" s="1" t="s">
        <v>2611</v>
      </c>
      <c r="W1094" s="1" t="str">
        <f>VLOOKUP(Table1[[#This Row],[Obergruppe ATC-Code]],Tabelle3!$A$2:$B$100,2)</f>
        <v>CORTICOSTEROIDE ZUR SYSTEMISCHEN ANWENDUNG</v>
      </c>
      <c r="X1094" s="1" t="str">
        <f xml:space="preserve"> LEFT(Table1[[#This Row],[Atc Code]],3)</f>
        <v>H02</v>
      </c>
    </row>
    <row r="1095" spans="1:24" ht="14.4">
      <c r="A1095" s="14">
        <v>21</v>
      </c>
      <c r="B1095" s="24">
        <v>108861</v>
      </c>
      <c r="C1095" s="1">
        <v>2152306</v>
      </c>
      <c r="D1095" s="1" t="s">
        <v>25</v>
      </c>
      <c r="E1095" s="36">
        <v>44867</v>
      </c>
      <c r="F1095" s="36">
        <v>44914</v>
      </c>
      <c r="G1095" s="38">
        <f t="shared" si="17"/>
        <v>47</v>
      </c>
      <c r="H1095" s="5">
        <v>44873</v>
      </c>
      <c r="I1095" s="5">
        <v>44914</v>
      </c>
      <c r="J1095" s="1" t="s">
        <v>26</v>
      </c>
      <c r="K1095" s="1" t="s">
        <v>2628</v>
      </c>
      <c r="L1095" s="1" t="s">
        <v>2629</v>
      </c>
      <c r="M1095" s="1" t="s">
        <v>2630</v>
      </c>
      <c r="N1095" s="1" t="s">
        <v>38</v>
      </c>
      <c r="O1095" s="1" t="s">
        <v>78</v>
      </c>
      <c r="P1095" s="1">
        <v>49894423246220</v>
      </c>
      <c r="Q1095" s="1" t="s">
        <v>2034</v>
      </c>
      <c r="R1095" s="1" t="s">
        <v>33</v>
      </c>
      <c r="S1095" s="1"/>
      <c r="T1095" s="1" t="s">
        <v>2631</v>
      </c>
      <c r="U1095" s="1" t="s">
        <v>35</v>
      </c>
      <c r="V1095" s="1" t="s">
        <v>49</v>
      </c>
      <c r="W1095" s="1" t="str">
        <f>VLOOKUP(Table1[[#This Row],[Obergruppe ATC-Code]],Tabelle3!$A$2:$B$100,2)</f>
        <v>CORTICOSTEROIDE ZUR SYSTEMISCHEN ANWENDUNG</v>
      </c>
      <c r="X1095" s="1" t="str">
        <f xml:space="preserve"> LEFT(Table1[[#This Row],[Atc Code]],3)</f>
        <v>H02</v>
      </c>
    </row>
    <row r="1096" spans="1:24" ht="14.4">
      <c r="A1096" s="14">
        <v>2100</v>
      </c>
      <c r="B1096" s="24" t="s">
        <v>2632</v>
      </c>
      <c r="C1096" s="1">
        <v>3000401</v>
      </c>
      <c r="D1096" s="1" t="s">
        <v>25</v>
      </c>
      <c r="E1096" s="36">
        <v>44879</v>
      </c>
      <c r="F1096" s="36">
        <v>44916</v>
      </c>
      <c r="G1096" s="38">
        <f t="shared" si="17"/>
        <v>37</v>
      </c>
      <c r="H1096" s="5">
        <v>44881</v>
      </c>
      <c r="I1096" s="5">
        <v>44917</v>
      </c>
      <c r="J1096" s="1" t="s">
        <v>26</v>
      </c>
      <c r="K1096" s="1" t="s">
        <v>2633</v>
      </c>
      <c r="L1096" s="1" t="s">
        <v>2629</v>
      </c>
      <c r="M1096" s="1" t="s">
        <v>2630</v>
      </c>
      <c r="N1096" s="1" t="s">
        <v>30</v>
      </c>
      <c r="O1096" s="1" t="s">
        <v>615</v>
      </c>
      <c r="P1096" s="1">
        <v>49349542470</v>
      </c>
      <c r="Q1096" s="1" t="s">
        <v>619</v>
      </c>
      <c r="R1096" s="1" t="s">
        <v>33</v>
      </c>
      <c r="S1096" s="1"/>
      <c r="T1096" s="1" t="s">
        <v>2634</v>
      </c>
      <c r="U1096" s="1" t="s">
        <v>35</v>
      </c>
      <c r="V1096" s="1" t="s">
        <v>49</v>
      </c>
      <c r="W1096" s="1" t="str">
        <f>VLOOKUP(Table1[[#This Row],[Obergruppe ATC-Code]],Tabelle3!$A$2:$B$100,2)</f>
        <v>CORTICOSTEROIDE ZUR SYSTEMISCHEN ANWENDUNG</v>
      </c>
      <c r="X1096" s="1" t="str">
        <f xml:space="preserve"> LEFT(Table1[[#This Row],[Atc Code]],3)</f>
        <v>H02</v>
      </c>
    </row>
    <row r="1097" spans="1:24" ht="14.4">
      <c r="A1097" s="14">
        <v>2086</v>
      </c>
      <c r="B1097" s="24" t="s">
        <v>2635</v>
      </c>
      <c r="C1097" s="1">
        <v>625007</v>
      </c>
      <c r="D1097" s="1" t="s">
        <v>102</v>
      </c>
      <c r="E1097" s="36">
        <v>43647</v>
      </c>
      <c r="F1097" s="36">
        <v>45473</v>
      </c>
      <c r="G1097" s="38">
        <f t="shared" si="17"/>
        <v>1826</v>
      </c>
      <c r="H1097" s="5">
        <v>43672</v>
      </c>
      <c r="I1097" s="5">
        <v>45093</v>
      </c>
      <c r="J1097" s="1" t="s">
        <v>41</v>
      </c>
      <c r="K1097" s="1" t="s">
        <v>2636</v>
      </c>
      <c r="L1097" s="1" t="s">
        <v>2629</v>
      </c>
      <c r="M1097" s="1" t="s">
        <v>2637</v>
      </c>
      <c r="N1097" s="1" t="s">
        <v>30</v>
      </c>
      <c r="O1097" s="1" t="s">
        <v>718</v>
      </c>
      <c r="P1097" s="1" t="s">
        <v>719</v>
      </c>
      <c r="Q1097" s="1" t="s">
        <v>720</v>
      </c>
      <c r="R1097" s="1" t="s">
        <v>165</v>
      </c>
      <c r="S1097" s="1"/>
      <c r="U1097" s="1" t="s">
        <v>57</v>
      </c>
      <c r="V1097" s="1" t="s">
        <v>2638</v>
      </c>
      <c r="W1097" s="1" t="str">
        <f>VLOOKUP(Table1[[#This Row],[Obergruppe ATC-Code]],Tabelle3!$A$2:$B$100,2)</f>
        <v>CORTICOSTEROIDE ZUR SYSTEMISCHEN ANWENDUNG</v>
      </c>
      <c r="X1097" s="1" t="str">
        <f xml:space="preserve"> LEFT(Table1[[#This Row],[Atc Code]],3)</f>
        <v>H02</v>
      </c>
    </row>
    <row r="1098" spans="1:24" ht="14.4">
      <c r="A1098" s="14">
        <v>3097</v>
      </c>
      <c r="B1098" s="1">
        <v>3862417</v>
      </c>
      <c r="C1098" s="1">
        <v>802981</v>
      </c>
      <c r="D1098" s="1" t="s">
        <v>102</v>
      </c>
      <c r="E1098" s="36">
        <v>43647</v>
      </c>
      <c r="F1098" s="36">
        <v>45473</v>
      </c>
      <c r="G1098" s="38">
        <f t="shared" si="17"/>
        <v>1826</v>
      </c>
      <c r="H1098" s="5">
        <v>43675</v>
      </c>
      <c r="I1098" s="5">
        <v>45093</v>
      </c>
      <c r="J1098" s="1" t="s">
        <v>41</v>
      </c>
      <c r="K1098" s="1" t="s">
        <v>2639</v>
      </c>
      <c r="L1098" s="1" t="s">
        <v>2629</v>
      </c>
      <c r="M1098" s="1" t="s">
        <v>2637</v>
      </c>
      <c r="N1098" s="1" t="s">
        <v>30</v>
      </c>
      <c r="O1098" s="1" t="s">
        <v>718</v>
      </c>
      <c r="P1098" s="1" t="s">
        <v>719</v>
      </c>
      <c r="Q1098" s="1" t="s">
        <v>720</v>
      </c>
      <c r="R1098" s="1" t="s">
        <v>165</v>
      </c>
      <c r="S1098" s="1"/>
      <c r="T1098" s="1" t="s">
        <v>2640</v>
      </c>
      <c r="U1098" s="1" t="s">
        <v>35</v>
      </c>
      <c r="V1098" s="1" t="s">
        <v>2638</v>
      </c>
      <c r="W1098" s="1" t="str">
        <f>VLOOKUP(Table1[[#This Row],[Obergruppe ATC-Code]],Tabelle3!$A$2:$B$100,2)</f>
        <v>CORTICOSTEROIDE ZUR SYSTEMISCHEN ANWENDUNG</v>
      </c>
      <c r="X1098" s="1" t="str">
        <f xml:space="preserve"> LEFT(Table1[[#This Row],[Atc Code]],3)</f>
        <v>H02</v>
      </c>
    </row>
    <row r="1099" spans="1:24" ht="14.4">
      <c r="A1099" s="14">
        <v>20</v>
      </c>
      <c r="B1099" s="24">
        <v>108849</v>
      </c>
      <c r="C1099" s="1">
        <v>2152306</v>
      </c>
      <c r="D1099" s="1" t="s">
        <v>25</v>
      </c>
      <c r="E1099" s="36">
        <v>45078</v>
      </c>
      <c r="F1099" s="36">
        <v>45133</v>
      </c>
      <c r="G1099" s="38">
        <f t="shared" si="17"/>
        <v>55</v>
      </c>
      <c r="H1099" s="5">
        <v>45083</v>
      </c>
      <c r="I1099" s="5">
        <v>45142</v>
      </c>
      <c r="J1099" s="1" t="s">
        <v>26</v>
      </c>
      <c r="K1099" s="1" t="s">
        <v>2628</v>
      </c>
      <c r="L1099" s="1" t="s">
        <v>2629</v>
      </c>
      <c r="M1099" s="1" t="s">
        <v>2630</v>
      </c>
      <c r="N1099" s="1" t="s">
        <v>38</v>
      </c>
      <c r="O1099" s="1" t="s">
        <v>78</v>
      </c>
      <c r="P1099" s="1">
        <v>8944232460</v>
      </c>
      <c r="Q1099" s="1" t="s">
        <v>86</v>
      </c>
      <c r="R1099" s="1" t="s">
        <v>33</v>
      </c>
      <c r="S1099" s="1"/>
      <c r="T1099" s="1" t="s">
        <v>2631</v>
      </c>
      <c r="U1099" s="1" t="s">
        <v>35</v>
      </c>
      <c r="V1099" s="1" t="s">
        <v>49</v>
      </c>
      <c r="W1099" s="1" t="str">
        <f>VLOOKUP(Table1[[#This Row],[Obergruppe ATC-Code]],Tabelle3!$A$2:$B$100,2)</f>
        <v>CORTICOSTEROIDE ZUR SYSTEMISCHEN ANWENDUNG</v>
      </c>
      <c r="X1099" s="1" t="str">
        <f xml:space="preserve"> LEFT(Table1[[#This Row],[Atc Code]],3)</f>
        <v>H02</v>
      </c>
    </row>
    <row r="1100" spans="1:24" ht="14.4">
      <c r="A1100" s="14">
        <v>1954</v>
      </c>
      <c r="B1100" s="25" t="s">
        <v>2641</v>
      </c>
      <c r="C1100" s="1">
        <v>2100986</v>
      </c>
      <c r="D1100" s="1" t="s">
        <v>25</v>
      </c>
      <c r="E1100" s="36">
        <v>43282</v>
      </c>
      <c r="F1100" s="36">
        <v>43373</v>
      </c>
      <c r="G1100" s="38">
        <f t="shared" si="17"/>
        <v>91</v>
      </c>
      <c r="H1100" s="5">
        <v>43282</v>
      </c>
      <c r="I1100" s="5">
        <v>43373</v>
      </c>
      <c r="J1100" s="1" t="s">
        <v>26</v>
      </c>
      <c r="K1100" s="1" t="s">
        <v>2642</v>
      </c>
      <c r="L1100" s="1" t="s">
        <v>2643</v>
      </c>
      <c r="M1100" s="1" t="s">
        <v>2644</v>
      </c>
      <c r="N1100" s="1" t="s">
        <v>30</v>
      </c>
      <c r="O1100" s="1" t="s">
        <v>600</v>
      </c>
      <c r="P1100" s="1" t="s">
        <v>1178</v>
      </c>
      <c r="Q1100" s="1" t="s">
        <v>2645</v>
      </c>
      <c r="R1100" s="1" t="s">
        <v>33</v>
      </c>
      <c r="S1100" s="1"/>
      <c r="T1100" s="1" t="s">
        <v>2646</v>
      </c>
      <c r="U1100" s="1" t="s">
        <v>35</v>
      </c>
      <c r="V1100" s="1" t="s">
        <v>49</v>
      </c>
      <c r="W1100" s="1" t="str">
        <f>VLOOKUP(Table1[[#This Row],[Obergruppe ATC-Code]],Tabelle3!$A$2:$B$100,2)</f>
        <v>CORTICOSTEROIDE ZUR SYSTEMISCHEN ANWENDUNG</v>
      </c>
      <c r="X1100" s="1" t="str">
        <f xml:space="preserve"> LEFT(Table1[[#This Row],[Atc Code]],3)</f>
        <v>H02</v>
      </c>
    </row>
    <row r="1101" spans="1:24" ht="14.4">
      <c r="A1101" s="14">
        <v>1791</v>
      </c>
      <c r="B1101" s="24" t="s">
        <v>2647</v>
      </c>
      <c r="C1101" s="1">
        <v>2149804</v>
      </c>
      <c r="D1101" s="1" t="s">
        <v>25</v>
      </c>
      <c r="E1101" s="36">
        <v>42005</v>
      </c>
      <c r="F1101" s="36">
        <v>43496</v>
      </c>
      <c r="G1101" s="38">
        <f t="shared" si="17"/>
        <v>1491</v>
      </c>
      <c r="H1101" s="5">
        <v>42025</v>
      </c>
      <c r="I1101" s="5">
        <v>43496</v>
      </c>
      <c r="J1101" s="1" t="s">
        <v>41</v>
      </c>
      <c r="K1101" s="1" t="s">
        <v>2648</v>
      </c>
      <c r="L1101" s="1" t="s">
        <v>2649</v>
      </c>
      <c r="M1101" s="1" t="s">
        <v>2650</v>
      </c>
      <c r="N1101" s="1" t="s">
        <v>30</v>
      </c>
      <c r="O1101" s="1" t="s">
        <v>62</v>
      </c>
      <c r="P1101" s="1" t="s">
        <v>2651</v>
      </c>
      <c r="Q1101" s="1" t="s">
        <v>647</v>
      </c>
      <c r="R1101" s="1" t="s">
        <v>26</v>
      </c>
      <c r="S1101" s="1"/>
      <c r="U1101" s="1" t="s">
        <v>57</v>
      </c>
      <c r="V1101" s="1" t="s">
        <v>596</v>
      </c>
      <c r="W1101" s="1" t="str">
        <f>VLOOKUP(Table1[[#This Row],[Obergruppe ATC-Code]],Tabelle3!$A$2:$B$100,2)</f>
        <v>SCHILDDRÜSENTHERAPIE</v>
      </c>
      <c r="X1101" s="1" t="str">
        <f xml:space="preserve"> LEFT(Table1[[#This Row],[Atc Code]],3)</f>
        <v>H03</v>
      </c>
    </row>
    <row r="1102" spans="1:24" ht="14.4">
      <c r="A1102" s="14">
        <v>449</v>
      </c>
      <c r="B1102" s="25">
        <v>2754708</v>
      </c>
      <c r="C1102" s="1">
        <v>2167080</v>
      </c>
      <c r="D1102" s="1" t="s">
        <v>25</v>
      </c>
      <c r="E1102" s="36">
        <v>43739</v>
      </c>
      <c r="F1102" s="36">
        <v>43799</v>
      </c>
      <c r="G1102" s="38">
        <f t="shared" si="17"/>
        <v>60</v>
      </c>
      <c r="H1102" s="5">
        <v>43767</v>
      </c>
      <c r="I1102" s="5">
        <v>43789</v>
      </c>
      <c r="J1102" s="1" t="s">
        <v>26</v>
      </c>
      <c r="K1102" s="1" t="s">
        <v>2652</v>
      </c>
      <c r="L1102" s="1" t="s">
        <v>2649</v>
      </c>
      <c r="M1102" s="1" t="s">
        <v>2653</v>
      </c>
      <c r="N1102" s="1" t="s">
        <v>30</v>
      </c>
      <c r="O1102" s="1" t="s">
        <v>548</v>
      </c>
      <c r="P1102" s="1">
        <v>8004288373</v>
      </c>
      <c r="Q1102" s="1" t="s">
        <v>549</v>
      </c>
      <c r="R1102" s="1" t="s">
        <v>33</v>
      </c>
      <c r="S1102" s="1"/>
      <c r="U1102" s="1" t="s">
        <v>57</v>
      </c>
      <c r="V1102" s="1" t="s">
        <v>49</v>
      </c>
      <c r="W1102" s="1" t="str">
        <f>VLOOKUP(Table1[[#This Row],[Obergruppe ATC-Code]],Tabelle3!$A$2:$B$100,2)</f>
        <v>SCHILDDRÜSENTHERAPIE</v>
      </c>
      <c r="X1102" s="1" t="str">
        <f xml:space="preserve"> LEFT(Table1[[#This Row],[Atc Code]],3)</f>
        <v>H03</v>
      </c>
    </row>
    <row r="1103" spans="1:24" ht="14.4">
      <c r="A1103" s="14">
        <v>447</v>
      </c>
      <c r="B1103" s="25">
        <v>2754708</v>
      </c>
      <c r="C1103" s="1">
        <v>2143052</v>
      </c>
      <c r="D1103" s="1" t="s">
        <v>25</v>
      </c>
      <c r="E1103" s="36">
        <v>43739</v>
      </c>
      <c r="F1103" s="36">
        <v>43830</v>
      </c>
      <c r="G1103" s="38">
        <f t="shared" si="17"/>
        <v>91</v>
      </c>
      <c r="H1103" s="5">
        <v>43767</v>
      </c>
      <c r="I1103" s="5">
        <v>43812</v>
      </c>
      <c r="J1103" s="1" t="s">
        <v>26</v>
      </c>
      <c r="K1103" s="1" t="s">
        <v>2654</v>
      </c>
      <c r="L1103" s="1" t="s">
        <v>2649</v>
      </c>
      <c r="M1103" s="1" t="s">
        <v>2653</v>
      </c>
      <c r="N1103" s="1" t="s">
        <v>30</v>
      </c>
      <c r="O1103" s="1" t="s">
        <v>548</v>
      </c>
      <c r="P1103" s="1">
        <v>8004288373</v>
      </c>
      <c r="Q1103" s="1" t="s">
        <v>549</v>
      </c>
      <c r="R1103" s="1" t="s">
        <v>33</v>
      </c>
      <c r="S1103" s="1"/>
      <c r="U1103" s="1" t="s">
        <v>35</v>
      </c>
      <c r="V1103" s="1" t="s">
        <v>49</v>
      </c>
      <c r="W1103" s="1" t="str">
        <f>VLOOKUP(Table1[[#This Row],[Obergruppe ATC-Code]],Tabelle3!$A$2:$B$100,2)</f>
        <v>SCHILDDRÜSENTHERAPIE</v>
      </c>
      <c r="X1103" s="1" t="str">
        <f xml:space="preserve"> LEFT(Table1[[#This Row],[Atc Code]],3)</f>
        <v>H03</v>
      </c>
    </row>
    <row r="1104" spans="1:24" ht="14.4">
      <c r="A1104" s="14">
        <v>451</v>
      </c>
      <c r="B1104" s="25">
        <v>2754855</v>
      </c>
      <c r="C1104" s="1">
        <v>2143051</v>
      </c>
      <c r="D1104" s="1" t="s">
        <v>25</v>
      </c>
      <c r="E1104" s="36">
        <v>43800</v>
      </c>
      <c r="F1104" s="36">
        <v>43861</v>
      </c>
      <c r="G1104" s="38">
        <f t="shared" si="17"/>
        <v>61</v>
      </c>
      <c r="H1104" s="5">
        <v>43818</v>
      </c>
      <c r="I1104" s="5">
        <v>43837</v>
      </c>
      <c r="J1104" s="1" t="s">
        <v>26</v>
      </c>
      <c r="K1104" s="1" t="s">
        <v>2655</v>
      </c>
      <c r="L1104" s="1" t="s">
        <v>2649</v>
      </c>
      <c r="M1104" s="1" t="s">
        <v>2653</v>
      </c>
      <c r="N1104" s="1" t="s">
        <v>38</v>
      </c>
      <c r="O1104" s="1" t="s">
        <v>548</v>
      </c>
      <c r="P1104" s="1">
        <v>8004288373</v>
      </c>
      <c r="Q1104" s="1" t="s">
        <v>549</v>
      </c>
      <c r="R1104" s="1" t="s">
        <v>33</v>
      </c>
      <c r="S1104" s="1"/>
      <c r="U1104" s="1" t="s">
        <v>35</v>
      </c>
      <c r="V1104" s="1" t="s">
        <v>49</v>
      </c>
      <c r="W1104" s="1" t="str">
        <f>VLOOKUP(Table1[[#This Row],[Obergruppe ATC-Code]],Tabelle3!$A$2:$B$100,2)</f>
        <v>SCHILDDRÜSENTHERAPIE</v>
      </c>
      <c r="X1104" s="1" t="str">
        <f xml:space="preserve"> LEFT(Table1[[#This Row],[Atc Code]],3)</f>
        <v>H03</v>
      </c>
    </row>
    <row r="1105" spans="1:24" ht="14.4">
      <c r="A1105" s="14">
        <v>448</v>
      </c>
      <c r="B1105" s="25">
        <v>2754708</v>
      </c>
      <c r="C1105" s="1">
        <v>2167080</v>
      </c>
      <c r="D1105" s="1" t="s">
        <v>25</v>
      </c>
      <c r="E1105" s="36">
        <v>43800</v>
      </c>
      <c r="F1105" s="36">
        <v>43861</v>
      </c>
      <c r="G1105" s="38">
        <f t="shared" si="17"/>
        <v>61</v>
      </c>
      <c r="H1105" s="5">
        <v>43826</v>
      </c>
      <c r="I1105" s="5">
        <v>43861</v>
      </c>
      <c r="J1105" s="1" t="s">
        <v>26</v>
      </c>
      <c r="K1105" s="1" t="s">
        <v>2652</v>
      </c>
      <c r="L1105" s="1" t="s">
        <v>2649</v>
      </c>
      <c r="M1105" s="1" t="s">
        <v>2653</v>
      </c>
      <c r="N1105" s="1" t="s">
        <v>30</v>
      </c>
      <c r="O1105" s="1" t="s">
        <v>548</v>
      </c>
      <c r="P1105" s="1">
        <v>8004288373</v>
      </c>
      <c r="Q1105" s="1" t="s">
        <v>549</v>
      </c>
      <c r="R1105" s="1" t="s">
        <v>33</v>
      </c>
      <c r="S1105" s="1"/>
      <c r="U1105" s="1" t="s">
        <v>35</v>
      </c>
      <c r="V1105" s="1" t="s">
        <v>49</v>
      </c>
      <c r="W1105" s="1" t="str">
        <f>VLOOKUP(Table1[[#This Row],[Obergruppe ATC-Code]],Tabelle3!$A$2:$B$100,2)</f>
        <v>SCHILDDRÜSENTHERAPIE</v>
      </c>
      <c r="X1105" s="1" t="str">
        <f xml:space="preserve"> LEFT(Table1[[#This Row],[Atc Code]],3)</f>
        <v>H03</v>
      </c>
    </row>
    <row r="1106" spans="1:24" ht="14.4">
      <c r="A1106" s="14">
        <v>452</v>
      </c>
      <c r="B1106" s="25">
        <v>2754878</v>
      </c>
      <c r="C1106" s="1">
        <v>2143055</v>
      </c>
      <c r="D1106" s="1" t="s">
        <v>25</v>
      </c>
      <c r="E1106" s="36">
        <v>43831</v>
      </c>
      <c r="F1106" s="36">
        <v>43890</v>
      </c>
      <c r="G1106" s="38">
        <f t="shared" si="17"/>
        <v>59</v>
      </c>
      <c r="H1106" s="5">
        <v>43857</v>
      </c>
      <c r="I1106" s="5">
        <v>43880</v>
      </c>
      <c r="J1106" s="1" t="s">
        <v>26</v>
      </c>
      <c r="K1106" s="1" t="s">
        <v>2656</v>
      </c>
      <c r="L1106" s="1" t="s">
        <v>2649</v>
      </c>
      <c r="M1106" s="1" t="s">
        <v>2653</v>
      </c>
      <c r="N1106" s="1" t="s">
        <v>38</v>
      </c>
      <c r="O1106" s="1" t="s">
        <v>548</v>
      </c>
      <c r="P1106" s="1">
        <v>8004288373</v>
      </c>
      <c r="Q1106" s="1" t="s">
        <v>549</v>
      </c>
      <c r="R1106" s="1" t="s">
        <v>33</v>
      </c>
      <c r="S1106" s="1"/>
      <c r="U1106" s="1" t="s">
        <v>35</v>
      </c>
      <c r="V1106" s="1" t="s">
        <v>49</v>
      </c>
      <c r="W1106" s="1" t="str">
        <f>VLOOKUP(Table1[[#This Row],[Obergruppe ATC-Code]],Tabelle3!$A$2:$B$100,2)</f>
        <v>SCHILDDRÜSENTHERAPIE</v>
      </c>
      <c r="X1106" s="1" t="str">
        <f xml:space="preserve"> LEFT(Table1[[#This Row],[Atc Code]],3)</f>
        <v>H03</v>
      </c>
    </row>
    <row r="1107" spans="1:24" ht="14.4">
      <c r="A1107" s="14">
        <v>450</v>
      </c>
      <c r="B1107" s="25">
        <v>2754826</v>
      </c>
      <c r="C1107" s="1">
        <v>2143056</v>
      </c>
      <c r="D1107" s="1" t="s">
        <v>25</v>
      </c>
      <c r="E1107" s="36">
        <v>43862</v>
      </c>
      <c r="F1107" s="36">
        <v>43921</v>
      </c>
      <c r="G1107" s="38">
        <f t="shared" si="17"/>
        <v>59</v>
      </c>
      <c r="H1107" s="5">
        <v>43864</v>
      </c>
      <c r="I1107" s="5">
        <v>43923</v>
      </c>
      <c r="J1107" s="1" t="s">
        <v>26</v>
      </c>
      <c r="K1107" s="1" t="s">
        <v>2657</v>
      </c>
      <c r="L1107" s="1" t="s">
        <v>2649</v>
      </c>
      <c r="M1107" s="1" t="s">
        <v>2653</v>
      </c>
      <c r="N1107" s="1" t="s">
        <v>38</v>
      </c>
      <c r="O1107" s="1" t="s">
        <v>548</v>
      </c>
      <c r="P1107" s="1">
        <v>8004288373</v>
      </c>
      <c r="Q1107" s="1" t="s">
        <v>549</v>
      </c>
      <c r="R1107" s="1" t="s">
        <v>33</v>
      </c>
      <c r="S1107" s="1"/>
      <c r="U1107" s="1" t="s">
        <v>35</v>
      </c>
      <c r="V1107" s="1" t="s">
        <v>49</v>
      </c>
      <c r="W1107" s="1" t="str">
        <f>VLOOKUP(Table1[[#This Row],[Obergruppe ATC-Code]],Tabelle3!$A$2:$B$100,2)</f>
        <v>SCHILDDRÜSENTHERAPIE</v>
      </c>
      <c r="X1107" s="1" t="str">
        <f xml:space="preserve"> LEFT(Table1[[#This Row],[Atc Code]],3)</f>
        <v>H03</v>
      </c>
    </row>
    <row r="1108" spans="1:24" ht="14.4">
      <c r="A1108" s="14">
        <v>137</v>
      </c>
      <c r="B1108" s="25">
        <v>811856</v>
      </c>
      <c r="C1108" s="1">
        <v>2144661</v>
      </c>
      <c r="D1108" s="1" t="s">
        <v>25</v>
      </c>
      <c r="E1108" s="36">
        <v>43891</v>
      </c>
      <c r="F1108" s="36">
        <v>44043</v>
      </c>
      <c r="G1108" s="38">
        <f t="shared" si="17"/>
        <v>152</v>
      </c>
      <c r="H1108" s="5">
        <v>43910</v>
      </c>
      <c r="I1108" s="5">
        <v>44008</v>
      </c>
      <c r="J1108" s="1" t="s">
        <v>41</v>
      </c>
      <c r="K1108" s="1" t="s">
        <v>2658</v>
      </c>
      <c r="L1108" s="1" t="s">
        <v>2649</v>
      </c>
      <c r="M1108" s="1" t="s">
        <v>2653</v>
      </c>
      <c r="N1108" s="1" t="s">
        <v>38</v>
      </c>
      <c r="O1108" s="1" t="s">
        <v>91</v>
      </c>
      <c r="P1108" s="1" t="s">
        <v>92</v>
      </c>
      <c r="Q1108" s="1" t="s">
        <v>93</v>
      </c>
      <c r="R1108" s="1" t="s">
        <v>48</v>
      </c>
      <c r="S1108" s="1"/>
      <c r="U1108" s="1" t="s">
        <v>35</v>
      </c>
      <c r="V1108" s="1" t="s">
        <v>49</v>
      </c>
      <c r="W1108" s="1" t="str">
        <f>VLOOKUP(Table1[[#This Row],[Obergruppe ATC-Code]],Tabelle3!$A$2:$B$100,2)</f>
        <v>SCHILDDRÜSENTHERAPIE</v>
      </c>
      <c r="X1108" s="1" t="str">
        <f xml:space="preserve"> LEFT(Table1[[#This Row],[Atc Code]],3)</f>
        <v>H03</v>
      </c>
    </row>
    <row r="1109" spans="1:24" ht="14.4">
      <c r="A1109" s="14">
        <v>132</v>
      </c>
      <c r="B1109" s="24">
        <v>811810</v>
      </c>
      <c r="C1109" s="1">
        <v>2171354</v>
      </c>
      <c r="D1109" s="1" t="s">
        <v>25</v>
      </c>
      <c r="E1109" s="36">
        <v>43891</v>
      </c>
      <c r="F1109" s="36">
        <v>44043</v>
      </c>
      <c r="G1109" s="38">
        <f t="shared" si="17"/>
        <v>152</v>
      </c>
      <c r="H1109" s="5">
        <v>43910</v>
      </c>
      <c r="I1109" s="5">
        <v>44008</v>
      </c>
      <c r="J1109" s="1" t="s">
        <v>41</v>
      </c>
      <c r="K1109" s="1" t="s">
        <v>2659</v>
      </c>
      <c r="L1109" s="1" t="s">
        <v>2649</v>
      </c>
      <c r="M1109" s="1" t="s">
        <v>2653</v>
      </c>
      <c r="N1109" s="1" t="s">
        <v>38</v>
      </c>
      <c r="O1109" s="1" t="s">
        <v>91</v>
      </c>
      <c r="P1109" s="1" t="s">
        <v>92</v>
      </c>
      <c r="Q1109" s="1" t="s">
        <v>93</v>
      </c>
      <c r="R1109" s="1" t="s">
        <v>48</v>
      </c>
      <c r="S1109" s="1"/>
      <c r="U1109" s="1" t="s">
        <v>35</v>
      </c>
      <c r="V1109" s="1" t="s">
        <v>49</v>
      </c>
      <c r="W1109" s="1" t="str">
        <f>VLOOKUP(Table1[[#This Row],[Obergruppe ATC-Code]],Tabelle3!$A$2:$B$100,2)</f>
        <v>SCHILDDRÜSENTHERAPIE</v>
      </c>
      <c r="X1109" s="1" t="str">
        <f xml:space="preserve"> LEFT(Table1[[#This Row],[Atc Code]],3)</f>
        <v>H03</v>
      </c>
    </row>
    <row r="1110" spans="1:24" ht="14.4">
      <c r="A1110" s="14">
        <v>131</v>
      </c>
      <c r="B1110" s="25">
        <v>811804</v>
      </c>
      <c r="C1110" s="1">
        <v>2144659</v>
      </c>
      <c r="D1110" s="1" t="s">
        <v>25</v>
      </c>
      <c r="E1110" s="36">
        <v>43891</v>
      </c>
      <c r="F1110" s="36">
        <v>44043</v>
      </c>
      <c r="G1110" s="38">
        <f t="shared" si="17"/>
        <v>152</v>
      </c>
      <c r="H1110" s="5">
        <v>43910</v>
      </c>
      <c r="I1110" s="5">
        <v>44008</v>
      </c>
      <c r="J1110" s="1" t="s">
        <v>41</v>
      </c>
      <c r="K1110" s="1" t="s">
        <v>2660</v>
      </c>
      <c r="L1110" s="1" t="s">
        <v>2649</v>
      </c>
      <c r="M1110" s="1" t="s">
        <v>2653</v>
      </c>
      <c r="N1110" s="1" t="s">
        <v>38</v>
      </c>
      <c r="O1110" s="1" t="s">
        <v>91</v>
      </c>
      <c r="P1110" s="1" t="s">
        <v>92</v>
      </c>
      <c r="Q1110" s="1" t="s">
        <v>93</v>
      </c>
      <c r="R1110" s="1" t="s">
        <v>48</v>
      </c>
      <c r="S1110" s="1"/>
      <c r="U1110" s="1" t="s">
        <v>35</v>
      </c>
      <c r="V1110" s="1" t="s">
        <v>49</v>
      </c>
      <c r="W1110" s="1" t="str">
        <f>VLOOKUP(Table1[[#This Row],[Obergruppe ATC-Code]],Tabelle3!$A$2:$B$100,2)</f>
        <v>SCHILDDRÜSENTHERAPIE</v>
      </c>
      <c r="X1110" s="1" t="str">
        <f xml:space="preserve"> LEFT(Table1[[#This Row],[Atc Code]],3)</f>
        <v>H03</v>
      </c>
    </row>
    <row r="1111" spans="1:24" ht="14.4">
      <c r="A1111" s="14">
        <v>135</v>
      </c>
      <c r="B1111" s="24">
        <v>811833</v>
      </c>
      <c r="C1111" s="1">
        <v>2171355</v>
      </c>
      <c r="D1111" s="1" t="s">
        <v>25</v>
      </c>
      <c r="E1111" s="36">
        <v>43891</v>
      </c>
      <c r="F1111" s="36">
        <v>44043</v>
      </c>
      <c r="G1111" s="38">
        <f t="shared" si="17"/>
        <v>152</v>
      </c>
      <c r="H1111" s="5">
        <v>43910</v>
      </c>
      <c r="I1111" s="5">
        <v>44013</v>
      </c>
      <c r="J1111" s="1" t="s">
        <v>41</v>
      </c>
      <c r="K1111" s="1" t="s">
        <v>2658</v>
      </c>
      <c r="L1111" s="1" t="s">
        <v>2649</v>
      </c>
      <c r="M1111" s="1" t="s">
        <v>2653</v>
      </c>
      <c r="N1111" s="1" t="s">
        <v>38</v>
      </c>
      <c r="O1111" s="1" t="s">
        <v>91</v>
      </c>
      <c r="P1111" s="1" t="s">
        <v>92</v>
      </c>
      <c r="Q1111" s="1" t="s">
        <v>93</v>
      </c>
      <c r="R1111" s="1" t="s">
        <v>48</v>
      </c>
      <c r="S1111" s="1"/>
      <c r="U1111" s="1" t="s">
        <v>35</v>
      </c>
      <c r="V1111" s="1" t="s">
        <v>49</v>
      </c>
      <c r="W1111" s="1" t="str">
        <f>VLOOKUP(Table1[[#This Row],[Obergruppe ATC-Code]],Tabelle3!$A$2:$B$100,2)</f>
        <v>SCHILDDRÜSENTHERAPIE</v>
      </c>
      <c r="X1111" s="1" t="str">
        <f xml:space="preserve"> LEFT(Table1[[#This Row],[Atc Code]],3)</f>
        <v>H03</v>
      </c>
    </row>
    <row r="1112" spans="1:24" ht="14.4">
      <c r="A1112" s="14">
        <v>134</v>
      </c>
      <c r="B1112" s="25">
        <v>811827</v>
      </c>
      <c r="C1112" s="1">
        <v>2144660</v>
      </c>
      <c r="D1112" s="1" t="s">
        <v>25</v>
      </c>
      <c r="E1112" s="36">
        <v>43891</v>
      </c>
      <c r="F1112" s="36">
        <v>44043</v>
      </c>
      <c r="G1112" s="38">
        <f t="shared" si="17"/>
        <v>152</v>
      </c>
      <c r="H1112" s="5">
        <v>43910</v>
      </c>
      <c r="I1112" s="5">
        <v>44035</v>
      </c>
      <c r="J1112" s="1" t="s">
        <v>41</v>
      </c>
      <c r="K1112" s="1" t="s">
        <v>2659</v>
      </c>
      <c r="L1112" s="1" t="s">
        <v>2649</v>
      </c>
      <c r="M1112" s="1" t="s">
        <v>2653</v>
      </c>
      <c r="N1112" s="1" t="s">
        <v>38</v>
      </c>
      <c r="O1112" s="1" t="s">
        <v>91</v>
      </c>
      <c r="P1112" s="1" t="s">
        <v>92</v>
      </c>
      <c r="Q1112" s="1" t="s">
        <v>93</v>
      </c>
      <c r="R1112" s="1" t="s">
        <v>48</v>
      </c>
      <c r="S1112" s="1"/>
      <c r="U1112" s="1" t="s">
        <v>35</v>
      </c>
      <c r="V1112" s="1" t="s">
        <v>49</v>
      </c>
      <c r="W1112" s="1" t="str">
        <f>VLOOKUP(Table1[[#This Row],[Obergruppe ATC-Code]],Tabelle3!$A$2:$B$100,2)</f>
        <v>SCHILDDRÜSENTHERAPIE</v>
      </c>
      <c r="X1112" s="1" t="str">
        <f xml:space="preserve"> LEFT(Table1[[#This Row],[Atc Code]],3)</f>
        <v>H03</v>
      </c>
    </row>
    <row r="1113" spans="1:24" ht="14.4">
      <c r="A1113" s="14">
        <v>129</v>
      </c>
      <c r="B1113" s="24">
        <v>811796</v>
      </c>
      <c r="C1113" s="1">
        <v>2171353</v>
      </c>
      <c r="D1113" s="1" t="s">
        <v>25</v>
      </c>
      <c r="E1113" s="36">
        <v>43891</v>
      </c>
      <c r="F1113" s="36">
        <v>44043</v>
      </c>
      <c r="G1113" s="38">
        <f t="shared" si="17"/>
        <v>152</v>
      </c>
      <c r="H1113" s="5">
        <v>43910</v>
      </c>
      <c r="I1113" s="5">
        <v>44035</v>
      </c>
      <c r="J1113" s="1" t="s">
        <v>41</v>
      </c>
      <c r="K1113" s="1" t="s">
        <v>2660</v>
      </c>
      <c r="L1113" s="1" t="s">
        <v>2649</v>
      </c>
      <c r="M1113" s="1" t="s">
        <v>2653</v>
      </c>
      <c r="N1113" s="1" t="s">
        <v>38</v>
      </c>
      <c r="O1113" s="1" t="s">
        <v>91</v>
      </c>
      <c r="P1113" s="1" t="s">
        <v>92</v>
      </c>
      <c r="Q1113" s="1" t="s">
        <v>93</v>
      </c>
      <c r="R1113" s="1" t="s">
        <v>48</v>
      </c>
      <c r="S1113" s="1"/>
      <c r="U1113" s="1" t="s">
        <v>35</v>
      </c>
      <c r="V1113" s="1" t="s">
        <v>49</v>
      </c>
      <c r="W1113" s="1" t="str">
        <f>VLOOKUP(Table1[[#This Row],[Obergruppe ATC-Code]],Tabelle3!$A$2:$B$100,2)</f>
        <v>SCHILDDRÜSENTHERAPIE</v>
      </c>
      <c r="X1113" s="1" t="str">
        <f xml:space="preserve"> LEFT(Table1[[#This Row],[Atc Code]],3)</f>
        <v>H03</v>
      </c>
    </row>
    <row r="1114" spans="1:24" ht="14.4">
      <c r="A1114" s="14">
        <v>2250</v>
      </c>
      <c r="B1114" s="24" t="s">
        <v>2661</v>
      </c>
      <c r="C1114" s="1">
        <v>2171360</v>
      </c>
      <c r="D1114" s="1" t="s">
        <v>25</v>
      </c>
      <c r="E1114" s="36">
        <v>44013</v>
      </c>
      <c r="F1114" s="36">
        <v>44104</v>
      </c>
      <c r="G1114" s="38">
        <f t="shared" si="17"/>
        <v>91</v>
      </c>
      <c r="H1114" s="5">
        <v>44021</v>
      </c>
      <c r="I1114" s="5">
        <v>44104</v>
      </c>
      <c r="J1114" s="1" t="s">
        <v>41</v>
      </c>
      <c r="K1114" s="1" t="s">
        <v>2662</v>
      </c>
      <c r="L1114" s="1" t="s">
        <v>2649</v>
      </c>
      <c r="M1114" s="1" t="s">
        <v>2653</v>
      </c>
      <c r="N1114" s="1" t="s">
        <v>38</v>
      </c>
      <c r="O1114" s="1" t="s">
        <v>52</v>
      </c>
      <c r="P1114" s="1" t="s">
        <v>53</v>
      </c>
      <c r="Q1114" s="1" t="s">
        <v>54</v>
      </c>
      <c r="R1114" s="1" t="s">
        <v>26</v>
      </c>
      <c r="S1114" s="1"/>
      <c r="U1114" s="1" t="s">
        <v>35</v>
      </c>
      <c r="V1114" s="1" t="s">
        <v>49</v>
      </c>
      <c r="W1114" s="1" t="str">
        <f>VLOOKUP(Table1[[#This Row],[Obergruppe ATC-Code]],Tabelle3!$A$2:$B$100,2)</f>
        <v>SCHILDDRÜSENTHERAPIE</v>
      </c>
      <c r="X1114" s="1" t="str">
        <f xml:space="preserve"> LEFT(Table1[[#This Row],[Atc Code]],3)</f>
        <v>H03</v>
      </c>
    </row>
    <row r="1115" spans="1:24" ht="14.4">
      <c r="A1115" s="14">
        <v>796</v>
      </c>
      <c r="B1115" s="25">
        <v>6488729</v>
      </c>
      <c r="C1115" s="1">
        <v>2171359</v>
      </c>
      <c r="D1115" s="1" t="s">
        <v>25</v>
      </c>
      <c r="E1115" s="36">
        <v>44013</v>
      </c>
      <c r="F1115" s="36">
        <v>44104</v>
      </c>
      <c r="G1115" s="38">
        <f t="shared" si="17"/>
        <v>91</v>
      </c>
      <c r="H1115" s="5">
        <v>44021</v>
      </c>
      <c r="I1115" s="5">
        <v>44104</v>
      </c>
      <c r="J1115" s="1" t="s">
        <v>41</v>
      </c>
      <c r="K1115" s="1" t="s">
        <v>2663</v>
      </c>
      <c r="L1115" s="1" t="s">
        <v>2649</v>
      </c>
      <c r="M1115" s="1" t="s">
        <v>2653</v>
      </c>
      <c r="N1115" s="1" t="s">
        <v>38</v>
      </c>
      <c r="O1115" s="1" t="s">
        <v>52</v>
      </c>
      <c r="P1115" s="1" t="s">
        <v>53</v>
      </c>
      <c r="Q1115" s="1" t="s">
        <v>54</v>
      </c>
      <c r="R1115" s="1" t="s">
        <v>26</v>
      </c>
      <c r="S1115" s="1"/>
      <c r="U1115" s="1" t="s">
        <v>35</v>
      </c>
      <c r="V1115" s="1" t="s">
        <v>49</v>
      </c>
      <c r="W1115" s="1" t="str">
        <f>VLOOKUP(Table1[[#This Row],[Obergruppe ATC-Code]],Tabelle3!$A$2:$B$100,2)</f>
        <v>SCHILDDRÜSENTHERAPIE</v>
      </c>
      <c r="X1115" s="1" t="str">
        <f xml:space="preserve"> LEFT(Table1[[#This Row],[Atc Code]],3)</f>
        <v>H03</v>
      </c>
    </row>
    <row r="1116" spans="1:24" ht="14.4">
      <c r="A1116" s="14">
        <v>795</v>
      </c>
      <c r="B1116" s="25">
        <v>6488681</v>
      </c>
      <c r="C1116" s="1">
        <v>2171358</v>
      </c>
      <c r="D1116" s="1" t="s">
        <v>25</v>
      </c>
      <c r="E1116" s="36">
        <v>44013</v>
      </c>
      <c r="F1116" s="36">
        <v>44104</v>
      </c>
      <c r="G1116" s="38">
        <f t="shared" si="17"/>
        <v>91</v>
      </c>
      <c r="H1116" s="5">
        <v>44021</v>
      </c>
      <c r="I1116" s="5">
        <v>44104</v>
      </c>
      <c r="J1116" s="1" t="s">
        <v>41</v>
      </c>
      <c r="K1116" s="1" t="s">
        <v>2664</v>
      </c>
      <c r="L1116" s="1" t="s">
        <v>2649</v>
      </c>
      <c r="M1116" s="1" t="s">
        <v>2653</v>
      </c>
      <c r="N1116" s="1" t="s">
        <v>38</v>
      </c>
      <c r="O1116" s="1" t="s">
        <v>52</v>
      </c>
      <c r="P1116" s="1" t="s">
        <v>53</v>
      </c>
      <c r="Q1116" s="1" t="s">
        <v>54</v>
      </c>
      <c r="R1116" s="1" t="s">
        <v>26</v>
      </c>
      <c r="S1116" s="1"/>
      <c r="U1116" s="1" t="s">
        <v>35</v>
      </c>
      <c r="V1116" s="1" t="s">
        <v>49</v>
      </c>
      <c r="W1116" s="1" t="str">
        <f>VLOOKUP(Table1[[#This Row],[Obergruppe ATC-Code]],Tabelle3!$A$2:$B$100,2)</f>
        <v>SCHILDDRÜSENTHERAPIE</v>
      </c>
      <c r="X1116" s="1" t="str">
        <f xml:space="preserve"> LEFT(Table1[[#This Row],[Atc Code]],3)</f>
        <v>H03</v>
      </c>
    </row>
    <row r="1117" spans="1:24" ht="14.4">
      <c r="A1117" s="14">
        <v>793</v>
      </c>
      <c r="B1117" s="25">
        <v>6488617</v>
      </c>
      <c r="C1117" s="1">
        <v>2171356</v>
      </c>
      <c r="D1117" s="1" t="s">
        <v>25</v>
      </c>
      <c r="E1117" s="36">
        <v>44013</v>
      </c>
      <c r="F1117" s="36">
        <v>44104</v>
      </c>
      <c r="G1117" s="38">
        <f t="shared" si="17"/>
        <v>91</v>
      </c>
      <c r="H1117" s="5">
        <v>44021</v>
      </c>
      <c r="I1117" s="5">
        <v>44104</v>
      </c>
      <c r="J1117" s="1" t="s">
        <v>41</v>
      </c>
      <c r="K1117" s="1" t="s">
        <v>2665</v>
      </c>
      <c r="L1117" s="1" t="s">
        <v>2649</v>
      </c>
      <c r="M1117" s="1" t="s">
        <v>2653</v>
      </c>
      <c r="N1117" s="1" t="s">
        <v>38</v>
      </c>
      <c r="O1117" s="1" t="s">
        <v>52</v>
      </c>
      <c r="P1117" s="1" t="s">
        <v>53</v>
      </c>
      <c r="Q1117" s="1" t="s">
        <v>54</v>
      </c>
      <c r="R1117" s="1" t="s">
        <v>26</v>
      </c>
      <c r="S1117" s="1"/>
      <c r="U1117" s="1" t="s">
        <v>35</v>
      </c>
      <c r="V1117" s="1" t="s">
        <v>49</v>
      </c>
      <c r="W1117" s="1" t="str">
        <f>VLOOKUP(Table1[[#This Row],[Obergruppe ATC-Code]],Tabelle3!$A$2:$B$100,2)</f>
        <v>SCHILDDRÜSENTHERAPIE</v>
      </c>
      <c r="X1117" s="1" t="str">
        <f xml:space="preserve"> LEFT(Table1[[#This Row],[Atc Code]],3)</f>
        <v>H03</v>
      </c>
    </row>
    <row r="1118" spans="1:24" ht="14.4">
      <c r="A1118" s="14">
        <v>2251</v>
      </c>
      <c r="B1118" s="24" t="s">
        <v>2666</v>
      </c>
      <c r="C1118" s="1">
        <v>2171361</v>
      </c>
      <c r="D1118" s="1" t="s">
        <v>25</v>
      </c>
      <c r="E1118" s="36">
        <v>44013</v>
      </c>
      <c r="F1118" s="36">
        <v>44165</v>
      </c>
      <c r="G1118" s="38">
        <f t="shared" si="17"/>
        <v>152</v>
      </c>
      <c r="H1118" s="5">
        <v>44021</v>
      </c>
      <c r="I1118" s="5">
        <v>44138</v>
      </c>
      <c r="J1118" s="1" t="s">
        <v>41</v>
      </c>
      <c r="K1118" s="1" t="s">
        <v>2667</v>
      </c>
      <c r="L1118" s="1" t="s">
        <v>2649</v>
      </c>
      <c r="M1118" s="1" t="s">
        <v>2653</v>
      </c>
      <c r="N1118" s="1" t="s">
        <v>38</v>
      </c>
      <c r="O1118" s="1" t="s">
        <v>52</v>
      </c>
      <c r="P1118" s="1" t="s">
        <v>53</v>
      </c>
      <c r="Q1118" s="1" t="s">
        <v>54</v>
      </c>
      <c r="R1118" s="1" t="s">
        <v>26</v>
      </c>
      <c r="S1118" s="1"/>
      <c r="U1118" s="1" t="s">
        <v>35</v>
      </c>
      <c r="V1118" s="1" t="s">
        <v>49</v>
      </c>
      <c r="W1118" s="1" t="str">
        <f>VLOOKUP(Table1[[#This Row],[Obergruppe ATC-Code]],Tabelle3!$A$2:$B$100,2)</f>
        <v>SCHILDDRÜSENTHERAPIE</v>
      </c>
      <c r="X1118" s="1" t="str">
        <f xml:space="preserve"> LEFT(Table1[[#This Row],[Atc Code]],3)</f>
        <v>H03</v>
      </c>
    </row>
    <row r="1119" spans="1:24" ht="14.4">
      <c r="A1119" s="14">
        <v>797</v>
      </c>
      <c r="B1119" s="25">
        <v>6488913</v>
      </c>
      <c r="C1119" s="1">
        <v>2171362</v>
      </c>
      <c r="D1119" s="1" t="s">
        <v>25</v>
      </c>
      <c r="E1119" s="36">
        <v>43891</v>
      </c>
      <c r="F1119" s="36">
        <v>44165</v>
      </c>
      <c r="G1119" s="38">
        <f t="shared" si="17"/>
        <v>274</v>
      </c>
      <c r="H1119" s="5">
        <v>43910</v>
      </c>
      <c r="I1119" s="5">
        <v>44138</v>
      </c>
      <c r="J1119" s="1" t="s">
        <v>41</v>
      </c>
      <c r="K1119" s="1" t="s">
        <v>2668</v>
      </c>
      <c r="L1119" s="1" t="s">
        <v>2649</v>
      </c>
      <c r="M1119" s="1" t="s">
        <v>2653</v>
      </c>
      <c r="N1119" s="1" t="s">
        <v>38</v>
      </c>
      <c r="O1119" s="1" t="s">
        <v>52</v>
      </c>
      <c r="P1119" s="1" t="s">
        <v>53</v>
      </c>
      <c r="Q1119" s="1" t="s">
        <v>54</v>
      </c>
      <c r="R1119" s="1" t="s">
        <v>26</v>
      </c>
      <c r="S1119" s="1"/>
      <c r="U1119" s="1" t="s">
        <v>35</v>
      </c>
      <c r="V1119" s="1" t="s">
        <v>49</v>
      </c>
      <c r="W1119" s="1" t="str">
        <f>VLOOKUP(Table1[[#This Row],[Obergruppe ATC-Code]],Tabelle3!$A$2:$B$100,2)</f>
        <v>SCHILDDRÜSENTHERAPIE</v>
      </c>
      <c r="X1119" s="1" t="str">
        <f xml:space="preserve"> LEFT(Table1[[#This Row],[Atc Code]],3)</f>
        <v>H03</v>
      </c>
    </row>
    <row r="1120" spans="1:24" ht="14.4">
      <c r="A1120" s="14">
        <v>800</v>
      </c>
      <c r="B1120" s="25">
        <v>6489019</v>
      </c>
      <c r="C1120" s="1">
        <v>2171365</v>
      </c>
      <c r="D1120" s="1" t="s">
        <v>25</v>
      </c>
      <c r="E1120" s="36">
        <v>44013</v>
      </c>
      <c r="F1120" s="36">
        <v>44165</v>
      </c>
      <c r="G1120" s="38">
        <f t="shared" si="17"/>
        <v>152</v>
      </c>
      <c r="H1120" s="5">
        <v>44021</v>
      </c>
      <c r="I1120" s="5">
        <v>44165</v>
      </c>
      <c r="J1120" s="1" t="s">
        <v>41</v>
      </c>
      <c r="K1120" s="1" t="s">
        <v>2669</v>
      </c>
      <c r="L1120" s="1" t="s">
        <v>2649</v>
      </c>
      <c r="M1120" s="1" t="s">
        <v>2653</v>
      </c>
      <c r="N1120" s="1" t="s">
        <v>38</v>
      </c>
      <c r="O1120" s="1" t="s">
        <v>52</v>
      </c>
      <c r="P1120" s="1" t="s">
        <v>53</v>
      </c>
      <c r="Q1120" s="1" t="s">
        <v>54</v>
      </c>
      <c r="R1120" s="1" t="s">
        <v>26</v>
      </c>
      <c r="S1120" s="1"/>
      <c r="U1120" s="1" t="s">
        <v>35</v>
      </c>
      <c r="V1120" s="1" t="s">
        <v>49</v>
      </c>
      <c r="W1120" s="1" t="str">
        <f>VLOOKUP(Table1[[#This Row],[Obergruppe ATC-Code]],Tabelle3!$A$2:$B$100,2)</f>
        <v>SCHILDDRÜSENTHERAPIE</v>
      </c>
      <c r="X1120" s="1" t="str">
        <f xml:space="preserve"> LEFT(Table1[[#This Row],[Atc Code]],3)</f>
        <v>H03</v>
      </c>
    </row>
    <row r="1121" spans="1:24" ht="14.4">
      <c r="A1121" s="14">
        <v>799</v>
      </c>
      <c r="B1121" s="25">
        <v>6488965</v>
      </c>
      <c r="C1121" s="1">
        <v>2171364</v>
      </c>
      <c r="D1121" s="1" t="s">
        <v>25</v>
      </c>
      <c r="E1121" s="36">
        <v>44013</v>
      </c>
      <c r="F1121" s="36">
        <v>44165</v>
      </c>
      <c r="G1121" s="38">
        <f t="shared" si="17"/>
        <v>152</v>
      </c>
      <c r="H1121" s="5">
        <v>44021</v>
      </c>
      <c r="I1121" s="5">
        <v>44165</v>
      </c>
      <c r="J1121" s="1" t="s">
        <v>41</v>
      </c>
      <c r="K1121" s="1" t="s">
        <v>2670</v>
      </c>
      <c r="L1121" s="1" t="s">
        <v>2649</v>
      </c>
      <c r="M1121" s="1" t="s">
        <v>2653</v>
      </c>
      <c r="N1121" s="1" t="s">
        <v>38</v>
      </c>
      <c r="O1121" s="1" t="s">
        <v>52</v>
      </c>
      <c r="P1121" s="1" t="s">
        <v>53</v>
      </c>
      <c r="Q1121" s="1" t="s">
        <v>54</v>
      </c>
      <c r="R1121" s="1" t="s">
        <v>26</v>
      </c>
      <c r="S1121" s="1"/>
      <c r="U1121" s="1" t="s">
        <v>35</v>
      </c>
      <c r="V1121" s="1" t="s">
        <v>49</v>
      </c>
      <c r="W1121" s="1" t="str">
        <f>VLOOKUP(Table1[[#This Row],[Obergruppe ATC-Code]],Tabelle3!$A$2:$B$100,2)</f>
        <v>SCHILDDRÜSENTHERAPIE</v>
      </c>
      <c r="X1121" s="1" t="str">
        <f xml:space="preserve"> LEFT(Table1[[#This Row],[Atc Code]],3)</f>
        <v>H03</v>
      </c>
    </row>
    <row r="1122" spans="1:24" ht="14.4">
      <c r="A1122" s="14">
        <v>798</v>
      </c>
      <c r="B1122" s="25">
        <v>6488942</v>
      </c>
      <c r="C1122" s="1">
        <v>2171363</v>
      </c>
      <c r="D1122" s="1" t="s">
        <v>25</v>
      </c>
      <c r="E1122" s="36">
        <v>44013</v>
      </c>
      <c r="F1122" s="36">
        <v>44165</v>
      </c>
      <c r="G1122" s="38">
        <f t="shared" si="17"/>
        <v>152</v>
      </c>
      <c r="H1122" s="5">
        <v>44021</v>
      </c>
      <c r="I1122" s="5">
        <v>44165</v>
      </c>
      <c r="J1122" s="1" t="s">
        <v>41</v>
      </c>
      <c r="K1122" s="1" t="s">
        <v>2671</v>
      </c>
      <c r="L1122" s="1" t="s">
        <v>2649</v>
      </c>
      <c r="M1122" s="1" t="s">
        <v>2653</v>
      </c>
      <c r="N1122" s="1" t="s">
        <v>38</v>
      </c>
      <c r="O1122" s="1" t="s">
        <v>52</v>
      </c>
      <c r="P1122" s="1" t="s">
        <v>53</v>
      </c>
      <c r="Q1122" s="1" t="s">
        <v>54</v>
      </c>
      <c r="R1122" s="1" t="s">
        <v>26</v>
      </c>
      <c r="S1122" s="1"/>
      <c r="U1122" s="1" t="s">
        <v>35</v>
      </c>
      <c r="V1122" s="1" t="s">
        <v>49</v>
      </c>
      <c r="W1122" s="1" t="str">
        <f>VLOOKUP(Table1[[#This Row],[Obergruppe ATC-Code]],Tabelle3!$A$2:$B$100,2)</f>
        <v>SCHILDDRÜSENTHERAPIE</v>
      </c>
      <c r="X1122" s="1" t="str">
        <f xml:space="preserve"> LEFT(Table1[[#This Row],[Atc Code]],3)</f>
        <v>H03</v>
      </c>
    </row>
    <row r="1123" spans="1:24" ht="14.4">
      <c r="A1123" s="14">
        <v>794</v>
      </c>
      <c r="B1123" s="25">
        <v>6488669</v>
      </c>
      <c r="C1123" s="1">
        <v>2171357</v>
      </c>
      <c r="D1123" s="1" t="s">
        <v>25</v>
      </c>
      <c r="E1123" s="36">
        <v>43891</v>
      </c>
      <c r="F1123" s="36">
        <v>44165</v>
      </c>
      <c r="G1123" s="38">
        <f t="shared" si="17"/>
        <v>274</v>
      </c>
      <c r="H1123" s="5">
        <v>43910</v>
      </c>
      <c r="I1123" s="5">
        <v>44165</v>
      </c>
      <c r="J1123" s="1" t="s">
        <v>41</v>
      </c>
      <c r="K1123" s="1" t="s">
        <v>2672</v>
      </c>
      <c r="L1123" s="1" t="s">
        <v>2649</v>
      </c>
      <c r="M1123" s="1" t="s">
        <v>2653</v>
      </c>
      <c r="N1123" s="1" t="s">
        <v>38</v>
      </c>
      <c r="O1123" s="1" t="s">
        <v>52</v>
      </c>
      <c r="P1123" s="1" t="s">
        <v>53</v>
      </c>
      <c r="Q1123" s="1" t="s">
        <v>54</v>
      </c>
      <c r="R1123" s="1" t="s">
        <v>26</v>
      </c>
      <c r="S1123" s="1"/>
      <c r="U1123" s="1" t="s">
        <v>35</v>
      </c>
      <c r="V1123" s="1" t="s">
        <v>49</v>
      </c>
      <c r="W1123" s="1" t="str">
        <f>VLOOKUP(Table1[[#This Row],[Obergruppe ATC-Code]],Tabelle3!$A$2:$B$100,2)</f>
        <v>SCHILDDRÜSENTHERAPIE</v>
      </c>
      <c r="X1123" s="1" t="str">
        <f xml:space="preserve"> LEFT(Table1[[#This Row],[Atc Code]],3)</f>
        <v>H03</v>
      </c>
    </row>
    <row r="1124" spans="1:24" ht="14.4">
      <c r="A1124" s="14">
        <v>1938</v>
      </c>
      <c r="B1124" s="24" t="s">
        <v>2673</v>
      </c>
      <c r="C1124" s="1">
        <v>2148613</v>
      </c>
      <c r="D1124" s="1" t="s">
        <v>25</v>
      </c>
      <c r="E1124" s="36">
        <v>43466</v>
      </c>
      <c r="F1124" s="36">
        <v>44196</v>
      </c>
      <c r="G1124" s="38">
        <f t="shared" si="17"/>
        <v>730</v>
      </c>
      <c r="H1124" s="5">
        <v>43495</v>
      </c>
      <c r="I1124" s="5">
        <v>44175</v>
      </c>
      <c r="J1124" s="1" t="s">
        <v>41</v>
      </c>
      <c r="K1124" s="1" t="s">
        <v>2674</v>
      </c>
      <c r="L1124" s="1" t="s">
        <v>2649</v>
      </c>
      <c r="M1124" s="1" t="s">
        <v>2650</v>
      </c>
      <c r="N1124" s="1" t="s">
        <v>30</v>
      </c>
      <c r="O1124" s="1" t="s">
        <v>62</v>
      </c>
      <c r="P1124" s="1" t="s">
        <v>63</v>
      </c>
      <c r="Q1124" s="1" t="s">
        <v>64</v>
      </c>
      <c r="R1124" s="1" t="s">
        <v>65</v>
      </c>
      <c r="S1124" s="1"/>
      <c r="T1124" s="1" t="s">
        <v>2675</v>
      </c>
      <c r="U1124" s="1" t="s">
        <v>35</v>
      </c>
      <c r="V1124" s="1" t="s">
        <v>2507</v>
      </c>
      <c r="W1124" s="1" t="str">
        <f>VLOOKUP(Table1[[#This Row],[Obergruppe ATC-Code]],Tabelle3!$A$2:$B$100,2)</f>
        <v>SCHILDDRÜSENTHERAPIE</v>
      </c>
      <c r="X1124" s="1" t="str">
        <f xml:space="preserve"> LEFT(Table1[[#This Row],[Atc Code]],3)</f>
        <v>H03</v>
      </c>
    </row>
    <row r="1125" spans="1:24" ht="14.4">
      <c r="A1125" s="14">
        <v>359</v>
      </c>
      <c r="B1125" s="24">
        <v>2062583</v>
      </c>
      <c r="C1125" s="1">
        <v>80312</v>
      </c>
      <c r="D1125" s="1" t="s">
        <v>25</v>
      </c>
      <c r="E1125" s="36">
        <v>44685</v>
      </c>
      <c r="F1125" s="36">
        <v>44966</v>
      </c>
      <c r="G1125" s="38">
        <f t="shared" si="17"/>
        <v>281</v>
      </c>
      <c r="H1125" s="5">
        <v>44672</v>
      </c>
      <c r="I1125" s="5">
        <v>44966</v>
      </c>
      <c r="J1125" s="1" t="s">
        <v>26</v>
      </c>
      <c r="K1125" s="1" t="s">
        <v>2676</v>
      </c>
      <c r="L1125" s="1" t="s">
        <v>2649</v>
      </c>
      <c r="M1125" s="1" t="s">
        <v>2677</v>
      </c>
      <c r="N1125" s="1" t="s">
        <v>38</v>
      </c>
      <c r="O1125" s="1" t="s">
        <v>818</v>
      </c>
      <c r="P1125" s="1" t="s">
        <v>1048</v>
      </c>
      <c r="Q1125" s="1" t="s">
        <v>1047</v>
      </c>
      <c r="R1125" s="1" t="s">
        <v>26</v>
      </c>
      <c r="S1125" s="1"/>
      <c r="U1125" s="1" t="s">
        <v>130</v>
      </c>
      <c r="V1125" s="1" t="s">
        <v>49</v>
      </c>
      <c r="W1125" s="1" t="str">
        <f>VLOOKUP(Table1[[#This Row],[Obergruppe ATC-Code]],Tabelle3!$A$2:$B$100,2)</f>
        <v>SCHILDDRÜSENTHERAPIE</v>
      </c>
      <c r="X1125" s="1" t="str">
        <f xml:space="preserve"> LEFT(Table1[[#This Row],[Atc Code]],3)</f>
        <v>H03</v>
      </c>
    </row>
    <row r="1126" spans="1:24" ht="14.4">
      <c r="A1126" s="14">
        <v>358</v>
      </c>
      <c r="B1126" s="24">
        <v>2062560</v>
      </c>
      <c r="C1126" s="1">
        <v>80298</v>
      </c>
      <c r="D1126" s="1" t="s">
        <v>25</v>
      </c>
      <c r="E1126" s="36">
        <v>44754</v>
      </c>
      <c r="F1126" s="36">
        <v>44995</v>
      </c>
      <c r="G1126" s="38">
        <f t="shared" si="17"/>
        <v>241</v>
      </c>
      <c r="H1126" s="5">
        <v>44754</v>
      </c>
      <c r="I1126" s="5">
        <v>44994</v>
      </c>
      <c r="J1126" s="1" t="s">
        <v>26</v>
      </c>
      <c r="K1126" s="1" t="s">
        <v>2678</v>
      </c>
      <c r="L1126" s="1" t="s">
        <v>2649</v>
      </c>
      <c r="M1126" s="1" t="s">
        <v>2677</v>
      </c>
      <c r="N1126" s="1" t="s">
        <v>38</v>
      </c>
      <c r="O1126" s="1" t="s">
        <v>818</v>
      </c>
      <c r="P1126" s="1" t="s">
        <v>1048</v>
      </c>
      <c r="Q1126" s="1" t="s">
        <v>1047</v>
      </c>
      <c r="R1126" s="1" t="s">
        <v>26</v>
      </c>
      <c r="S1126" s="1"/>
      <c r="U1126" s="1" t="s">
        <v>130</v>
      </c>
      <c r="V1126" s="1" t="s">
        <v>49</v>
      </c>
      <c r="W1126" s="1" t="str">
        <f>VLOOKUP(Table1[[#This Row],[Obergruppe ATC-Code]],Tabelle3!$A$2:$B$100,2)</f>
        <v>SCHILDDRÜSENTHERAPIE</v>
      </c>
      <c r="X1126" s="1" t="str">
        <f xml:space="preserve"> LEFT(Table1[[#This Row],[Atc Code]],3)</f>
        <v>H03</v>
      </c>
    </row>
    <row r="1127" spans="1:24" ht="14.4">
      <c r="A1127" s="14">
        <v>357</v>
      </c>
      <c r="B1127" s="24">
        <v>2062560</v>
      </c>
      <c r="C1127" s="1">
        <v>80298</v>
      </c>
      <c r="D1127" s="1" t="s">
        <v>25</v>
      </c>
      <c r="E1127" s="36">
        <v>45078</v>
      </c>
      <c r="F1127" s="36">
        <v>45104</v>
      </c>
      <c r="G1127" s="38">
        <f t="shared" si="17"/>
        <v>26</v>
      </c>
      <c r="H1127" s="5">
        <v>45044</v>
      </c>
      <c r="I1127" s="5">
        <v>45106</v>
      </c>
      <c r="J1127" s="1" t="s">
        <v>41</v>
      </c>
      <c r="K1127" s="1" t="s">
        <v>2678</v>
      </c>
      <c r="L1127" s="1" t="s">
        <v>2649</v>
      </c>
      <c r="M1127" s="1" t="s">
        <v>2677</v>
      </c>
      <c r="N1127" s="1" t="s">
        <v>38</v>
      </c>
      <c r="O1127" s="1" t="s">
        <v>818</v>
      </c>
      <c r="P1127" s="1" t="s">
        <v>1048</v>
      </c>
      <c r="Q1127" s="1" t="s">
        <v>1047</v>
      </c>
      <c r="R1127" s="1" t="s">
        <v>128</v>
      </c>
      <c r="S1127" s="1"/>
      <c r="T1127" s="1" t="s">
        <v>2679</v>
      </c>
      <c r="U1127" s="1" t="s">
        <v>130</v>
      </c>
      <c r="V1127" s="1" t="s">
        <v>49</v>
      </c>
      <c r="W1127" s="1" t="str">
        <f>VLOOKUP(Table1[[#This Row],[Obergruppe ATC-Code]],Tabelle3!$A$2:$B$100,2)</f>
        <v>SCHILDDRÜSENTHERAPIE</v>
      </c>
      <c r="X1127" s="1" t="str">
        <f xml:space="preserve"> LEFT(Table1[[#This Row],[Atc Code]],3)</f>
        <v>H03</v>
      </c>
    </row>
    <row r="1128" spans="1:24" ht="14.4">
      <c r="A1128" s="14">
        <v>130</v>
      </c>
      <c r="B1128" s="24">
        <v>811796</v>
      </c>
      <c r="C1128" s="1">
        <v>2171353</v>
      </c>
      <c r="D1128" s="1" t="s">
        <v>25</v>
      </c>
      <c r="E1128" s="36">
        <v>45049</v>
      </c>
      <c r="F1128" s="36">
        <v>45120</v>
      </c>
      <c r="G1128" s="38">
        <f t="shared" si="17"/>
        <v>71</v>
      </c>
      <c r="H1128" s="5">
        <v>45097</v>
      </c>
      <c r="I1128" s="5">
        <v>45121</v>
      </c>
      <c r="J1128" s="1" t="s">
        <v>26</v>
      </c>
      <c r="K1128" s="1" t="s">
        <v>2660</v>
      </c>
      <c r="L1128" s="1" t="s">
        <v>2649</v>
      </c>
      <c r="M1128" s="1" t="s">
        <v>2653</v>
      </c>
      <c r="N1128" s="1" t="s">
        <v>38</v>
      </c>
      <c r="O1128" s="1" t="s">
        <v>91</v>
      </c>
      <c r="Q1128" s="1" t="s">
        <v>93</v>
      </c>
      <c r="R1128" s="1" t="s">
        <v>33</v>
      </c>
      <c r="S1128" s="1"/>
      <c r="U1128" s="1" t="s">
        <v>130</v>
      </c>
      <c r="V1128" s="1" t="s">
        <v>49</v>
      </c>
      <c r="W1128" s="1" t="str">
        <f>VLOOKUP(Table1[[#This Row],[Obergruppe ATC-Code]],Tabelle3!$A$2:$B$100,2)</f>
        <v>SCHILDDRÜSENTHERAPIE</v>
      </c>
      <c r="X1128" s="1" t="str">
        <f xml:space="preserve"> LEFT(Table1[[#This Row],[Atc Code]],3)</f>
        <v>H03</v>
      </c>
    </row>
    <row r="1129" spans="1:24" ht="14.4">
      <c r="A1129" s="14">
        <v>128</v>
      </c>
      <c r="B1129" s="24">
        <v>811767</v>
      </c>
      <c r="C1129" s="1">
        <v>2171352</v>
      </c>
      <c r="D1129" s="1" t="s">
        <v>25</v>
      </c>
      <c r="E1129" s="36">
        <v>45091</v>
      </c>
      <c r="F1129" s="36">
        <v>45118</v>
      </c>
      <c r="G1129" s="38">
        <f t="shared" si="17"/>
        <v>27</v>
      </c>
      <c r="H1129" s="5">
        <v>45097</v>
      </c>
      <c r="I1129" s="5">
        <v>45121</v>
      </c>
      <c r="J1129" s="1" t="s">
        <v>26</v>
      </c>
      <c r="K1129" s="1" t="s">
        <v>2680</v>
      </c>
      <c r="L1129" s="1" t="s">
        <v>2649</v>
      </c>
      <c r="M1129" s="1" t="s">
        <v>2653</v>
      </c>
      <c r="N1129" s="1" t="s">
        <v>38</v>
      </c>
      <c r="O1129" s="1" t="s">
        <v>91</v>
      </c>
      <c r="Q1129" s="1" t="s">
        <v>93</v>
      </c>
      <c r="R1129" s="1" t="s">
        <v>33</v>
      </c>
      <c r="S1129" s="1"/>
      <c r="U1129" s="1" t="s">
        <v>130</v>
      </c>
      <c r="V1129" s="1" t="s">
        <v>49</v>
      </c>
      <c r="W1129" s="1" t="str">
        <f>VLOOKUP(Table1[[#This Row],[Obergruppe ATC-Code]],Tabelle3!$A$2:$B$100,2)</f>
        <v>SCHILDDRÜSENTHERAPIE</v>
      </c>
      <c r="X1129" s="1" t="str">
        <f xml:space="preserve"> LEFT(Table1[[#This Row],[Atc Code]],3)</f>
        <v>H03</v>
      </c>
    </row>
    <row r="1130" spans="1:24" ht="14.4">
      <c r="A1130" s="14">
        <v>136</v>
      </c>
      <c r="B1130" s="24">
        <v>811833</v>
      </c>
      <c r="C1130" s="1">
        <v>2171355</v>
      </c>
      <c r="D1130" s="1" t="s">
        <v>25</v>
      </c>
      <c r="E1130" s="36">
        <v>45049</v>
      </c>
      <c r="F1130" s="36">
        <v>45134</v>
      </c>
      <c r="G1130" s="38">
        <f t="shared" si="17"/>
        <v>85</v>
      </c>
      <c r="H1130" s="5">
        <v>45097</v>
      </c>
      <c r="I1130" s="5">
        <v>45134</v>
      </c>
      <c r="J1130" s="1" t="s">
        <v>26</v>
      </c>
      <c r="K1130" s="1" t="s">
        <v>2658</v>
      </c>
      <c r="L1130" s="1" t="s">
        <v>2649</v>
      </c>
      <c r="M1130" s="1" t="s">
        <v>2653</v>
      </c>
      <c r="N1130" s="1" t="s">
        <v>38</v>
      </c>
      <c r="O1130" s="1" t="s">
        <v>91</v>
      </c>
      <c r="Q1130" s="1" t="s">
        <v>93</v>
      </c>
      <c r="R1130" s="1" t="s">
        <v>26</v>
      </c>
      <c r="S1130" s="1"/>
      <c r="U1130" s="1" t="s">
        <v>130</v>
      </c>
      <c r="V1130" s="1" t="s">
        <v>49</v>
      </c>
      <c r="W1130" s="1" t="str">
        <f>VLOOKUP(Table1[[#This Row],[Obergruppe ATC-Code]],Tabelle3!$A$2:$B$100,2)</f>
        <v>SCHILDDRÜSENTHERAPIE</v>
      </c>
      <c r="X1130" s="1" t="str">
        <f xml:space="preserve"> LEFT(Table1[[#This Row],[Atc Code]],3)</f>
        <v>H03</v>
      </c>
    </row>
    <row r="1131" spans="1:24" ht="14.4">
      <c r="A1131" s="14">
        <v>133</v>
      </c>
      <c r="B1131" s="24">
        <v>811810</v>
      </c>
      <c r="C1131" s="1">
        <v>2171354</v>
      </c>
      <c r="D1131" s="1" t="s">
        <v>25</v>
      </c>
      <c r="E1131" s="36">
        <v>45049</v>
      </c>
      <c r="F1131" s="36">
        <v>45134</v>
      </c>
      <c r="G1131" s="38">
        <f t="shared" si="17"/>
        <v>85</v>
      </c>
      <c r="H1131" s="5">
        <v>45097</v>
      </c>
      <c r="I1131" s="5">
        <v>45134</v>
      </c>
      <c r="J1131" s="1" t="s">
        <v>26</v>
      </c>
      <c r="K1131" s="1" t="s">
        <v>2659</v>
      </c>
      <c r="L1131" s="1" t="s">
        <v>2649</v>
      </c>
      <c r="M1131" s="1" t="s">
        <v>2653</v>
      </c>
      <c r="N1131" s="1" t="s">
        <v>38</v>
      </c>
      <c r="O1131" s="1" t="s">
        <v>91</v>
      </c>
      <c r="Q1131" s="1" t="s">
        <v>93</v>
      </c>
      <c r="R1131" s="1" t="s">
        <v>26</v>
      </c>
      <c r="S1131" s="1"/>
      <c r="U1131" s="1" t="s">
        <v>130</v>
      </c>
      <c r="V1131" s="1" t="s">
        <v>49</v>
      </c>
      <c r="W1131" s="1" t="str">
        <f>VLOOKUP(Table1[[#This Row],[Obergruppe ATC-Code]],Tabelle3!$A$2:$B$100,2)</f>
        <v>SCHILDDRÜSENTHERAPIE</v>
      </c>
      <c r="X1131" s="1" t="str">
        <f xml:space="preserve"> LEFT(Table1[[#This Row],[Atc Code]],3)</f>
        <v>H03</v>
      </c>
    </row>
    <row r="1132" spans="1:24" ht="14.4">
      <c r="A1132" s="14">
        <v>1781</v>
      </c>
      <c r="B1132" s="24" t="s">
        <v>2681</v>
      </c>
      <c r="C1132" s="1">
        <v>2144661</v>
      </c>
      <c r="D1132" s="1" t="s">
        <v>25</v>
      </c>
      <c r="E1132" s="36">
        <v>45049</v>
      </c>
      <c r="F1132" s="36">
        <v>45146</v>
      </c>
      <c r="G1132" s="38">
        <f t="shared" si="17"/>
        <v>97</v>
      </c>
      <c r="H1132" s="5">
        <v>45097</v>
      </c>
      <c r="I1132" s="5">
        <v>45152</v>
      </c>
      <c r="J1132" s="1" t="s">
        <v>26</v>
      </c>
      <c r="K1132" s="1" t="s">
        <v>2658</v>
      </c>
      <c r="L1132" s="1" t="s">
        <v>2649</v>
      </c>
      <c r="M1132" s="1" t="s">
        <v>2653</v>
      </c>
      <c r="N1132" s="1" t="s">
        <v>38</v>
      </c>
      <c r="O1132" s="1" t="s">
        <v>91</v>
      </c>
      <c r="Q1132" s="1" t="s">
        <v>93</v>
      </c>
      <c r="R1132" s="1" t="s">
        <v>26</v>
      </c>
      <c r="S1132" s="1"/>
      <c r="U1132" s="1" t="s">
        <v>130</v>
      </c>
      <c r="V1132" s="1" t="s">
        <v>49</v>
      </c>
      <c r="W1132" s="1" t="str">
        <f>VLOOKUP(Table1[[#This Row],[Obergruppe ATC-Code]],Tabelle3!$A$2:$B$100,2)</f>
        <v>SCHILDDRÜSENTHERAPIE</v>
      </c>
      <c r="X1132" s="1" t="str">
        <f xml:space="preserve"> LEFT(Table1[[#This Row],[Atc Code]],3)</f>
        <v>H03</v>
      </c>
    </row>
    <row r="1133" spans="1:24" ht="14.4">
      <c r="A1133" s="14">
        <v>1780</v>
      </c>
      <c r="B1133" s="24" t="s">
        <v>2682</v>
      </c>
      <c r="C1133" s="1">
        <v>2144660</v>
      </c>
      <c r="D1133" s="1" t="s">
        <v>25</v>
      </c>
      <c r="E1133" s="36">
        <v>45049</v>
      </c>
      <c r="F1133" s="36">
        <v>45146</v>
      </c>
      <c r="G1133" s="38">
        <f t="shared" si="17"/>
        <v>97</v>
      </c>
      <c r="H1133" s="5">
        <v>45097</v>
      </c>
      <c r="I1133" s="5">
        <v>45152</v>
      </c>
      <c r="J1133" s="1" t="s">
        <v>26</v>
      </c>
      <c r="K1133" s="1" t="s">
        <v>2659</v>
      </c>
      <c r="L1133" s="1" t="s">
        <v>2649</v>
      </c>
      <c r="M1133" s="1" t="s">
        <v>2653</v>
      </c>
      <c r="N1133" s="1" t="s">
        <v>38</v>
      </c>
      <c r="O1133" s="1" t="s">
        <v>91</v>
      </c>
      <c r="Q1133" s="1" t="s">
        <v>93</v>
      </c>
      <c r="R1133" s="1" t="s">
        <v>26</v>
      </c>
      <c r="S1133" s="1"/>
      <c r="U1133" s="1" t="s">
        <v>130</v>
      </c>
      <c r="V1133" s="1" t="s">
        <v>49</v>
      </c>
      <c r="W1133" s="1" t="str">
        <f>VLOOKUP(Table1[[#This Row],[Obergruppe ATC-Code]],Tabelle3!$A$2:$B$100,2)</f>
        <v>SCHILDDRÜSENTHERAPIE</v>
      </c>
      <c r="X1133" s="1" t="str">
        <f xml:space="preserve"> LEFT(Table1[[#This Row],[Atc Code]],3)</f>
        <v>H03</v>
      </c>
    </row>
    <row r="1134" spans="1:24" ht="14.4">
      <c r="A1134" s="14">
        <v>1779</v>
      </c>
      <c r="B1134" s="24" t="s">
        <v>2683</v>
      </c>
      <c r="C1134" s="1">
        <v>2144659</v>
      </c>
      <c r="D1134" s="1" t="s">
        <v>25</v>
      </c>
      <c r="E1134" s="36">
        <v>45049</v>
      </c>
      <c r="F1134" s="36">
        <v>45149</v>
      </c>
      <c r="G1134" s="38">
        <f t="shared" si="17"/>
        <v>100</v>
      </c>
      <c r="H1134" s="5">
        <v>45097</v>
      </c>
      <c r="I1134" s="5">
        <v>45152</v>
      </c>
      <c r="J1134" s="1" t="s">
        <v>26</v>
      </c>
      <c r="K1134" s="1" t="s">
        <v>2660</v>
      </c>
      <c r="L1134" s="1" t="s">
        <v>2649</v>
      </c>
      <c r="M1134" s="1" t="s">
        <v>2653</v>
      </c>
      <c r="N1134" s="1" t="s">
        <v>38</v>
      </c>
      <c r="O1134" s="1" t="s">
        <v>91</v>
      </c>
      <c r="Q1134" s="1" t="s">
        <v>93</v>
      </c>
      <c r="R1134" s="1" t="s">
        <v>33</v>
      </c>
      <c r="S1134" s="1"/>
      <c r="U1134" s="1" t="s">
        <v>130</v>
      </c>
      <c r="V1134" s="1" t="s">
        <v>49</v>
      </c>
      <c r="W1134" s="1" t="str">
        <f>VLOOKUP(Table1[[#This Row],[Obergruppe ATC-Code]],Tabelle3!$A$2:$B$100,2)</f>
        <v>SCHILDDRÜSENTHERAPIE</v>
      </c>
      <c r="X1134" s="1" t="str">
        <f xml:space="preserve"> LEFT(Table1[[#This Row],[Atc Code]],3)</f>
        <v>H03</v>
      </c>
    </row>
    <row r="1135" spans="1:24" ht="14.4">
      <c r="A1135" s="14">
        <v>1778</v>
      </c>
      <c r="B1135" s="24" t="s">
        <v>2684</v>
      </c>
      <c r="C1135" s="1">
        <v>2144658</v>
      </c>
      <c r="D1135" s="1" t="s">
        <v>25</v>
      </c>
      <c r="E1135" s="36">
        <v>45091</v>
      </c>
      <c r="F1135" s="36">
        <v>45147</v>
      </c>
      <c r="G1135" s="38">
        <f t="shared" si="17"/>
        <v>56</v>
      </c>
      <c r="H1135" s="5">
        <v>45097</v>
      </c>
      <c r="I1135" s="5">
        <v>45152</v>
      </c>
      <c r="J1135" s="1" t="s">
        <v>26</v>
      </c>
      <c r="K1135" s="1" t="s">
        <v>2680</v>
      </c>
      <c r="L1135" s="1" t="s">
        <v>2649</v>
      </c>
      <c r="M1135" s="1" t="s">
        <v>2653</v>
      </c>
      <c r="N1135" s="1" t="s">
        <v>38</v>
      </c>
      <c r="O1135" s="1" t="s">
        <v>91</v>
      </c>
      <c r="Q1135" s="1" t="s">
        <v>93</v>
      </c>
      <c r="R1135" s="1" t="s">
        <v>26</v>
      </c>
      <c r="S1135" s="1"/>
      <c r="U1135" s="1" t="s">
        <v>130</v>
      </c>
      <c r="V1135" s="1" t="s">
        <v>49</v>
      </c>
      <c r="W1135" s="1" t="str">
        <f>VLOOKUP(Table1[[#This Row],[Obergruppe ATC-Code]],Tabelle3!$A$2:$B$100,2)</f>
        <v>SCHILDDRÜSENTHERAPIE</v>
      </c>
      <c r="X1135" s="1" t="str">
        <f xml:space="preserve"> LEFT(Table1[[#This Row],[Atc Code]],3)</f>
        <v>H03</v>
      </c>
    </row>
    <row r="1136" spans="1:24" ht="14.4">
      <c r="A1136" s="14">
        <v>2939</v>
      </c>
      <c r="B1136" s="24" t="s">
        <v>2685</v>
      </c>
      <c r="C1136" s="1">
        <v>2104977</v>
      </c>
      <c r="D1136" s="1" t="s">
        <v>25</v>
      </c>
      <c r="E1136" s="36">
        <v>43525</v>
      </c>
      <c r="F1136" s="36">
        <v>43861</v>
      </c>
      <c r="G1136" s="38">
        <f t="shared" si="17"/>
        <v>336</v>
      </c>
      <c r="H1136" s="5">
        <v>43522</v>
      </c>
      <c r="I1136" s="5">
        <v>43861</v>
      </c>
      <c r="J1136" s="1" t="s">
        <v>26</v>
      </c>
      <c r="K1136" s="1" t="s">
        <v>2686</v>
      </c>
      <c r="L1136" s="1" t="s">
        <v>2687</v>
      </c>
      <c r="M1136" s="1" t="s">
        <v>2688</v>
      </c>
      <c r="N1136" s="1" t="s">
        <v>30</v>
      </c>
      <c r="O1136" s="1" t="s">
        <v>548</v>
      </c>
      <c r="P1136" s="1">
        <v>8004288373</v>
      </c>
      <c r="Q1136" s="1" t="s">
        <v>549</v>
      </c>
      <c r="R1136" s="1" t="s">
        <v>33</v>
      </c>
      <c r="S1136" s="1"/>
      <c r="T1136" s="1" t="s">
        <v>2689</v>
      </c>
      <c r="U1136" s="1" t="s">
        <v>35</v>
      </c>
      <c r="V1136" s="1" t="s">
        <v>49</v>
      </c>
      <c r="W1136" s="1" t="str">
        <f>VLOOKUP(Table1[[#This Row],[Obergruppe ATC-Code]],Tabelle3!$A$2:$B$100,2)</f>
        <v>SCHILDDRÜSENTHERAPIE</v>
      </c>
      <c r="X1136" s="1" t="str">
        <f xml:space="preserve"> LEFT(Table1[[#This Row],[Atc Code]],3)</f>
        <v>H03</v>
      </c>
    </row>
    <row r="1137" spans="1:24" ht="14.4">
      <c r="A1137" s="14">
        <v>2938</v>
      </c>
      <c r="B1137" s="25" t="s">
        <v>2685</v>
      </c>
      <c r="C1137" s="1">
        <v>2104977</v>
      </c>
      <c r="D1137" s="1" t="s">
        <v>25</v>
      </c>
      <c r="E1137" s="36">
        <v>43952</v>
      </c>
      <c r="F1137" s="36">
        <v>44074</v>
      </c>
      <c r="G1137" s="38">
        <f t="shared" si="17"/>
        <v>122</v>
      </c>
      <c r="H1137" s="5">
        <v>43971</v>
      </c>
      <c r="I1137" s="5">
        <v>44069</v>
      </c>
      <c r="J1137" s="1" t="s">
        <v>26</v>
      </c>
      <c r="K1137" s="1" t="s">
        <v>2686</v>
      </c>
      <c r="L1137" s="1" t="s">
        <v>2687</v>
      </c>
      <c r="M1137" s="1" t="s">
        <v>2688</v>
      </c>
      <c r="N1137" s="1" t="s">
        <v>30</v>
      </c>
      <c r="O1137" s="1" t="s">
        <v>548</v>
      </c>
      <c r="P1137" s="1">
        <v>8004288373</v>
      </c>
      <c r="Q1137" s="1" t="s">
        <v>549</v>
      </c>
      <c r="R1137" s="1" t="s">
        <v>33</v>
      </c>
      <c r="S1137" s="1"/>
      <c r="T1137" s="1" t="s">
        <v>2689</v>
      </c>
      <c r="U1137" s="1" t="s">
        <v>35</v>
      </c>
      <c r="V1137" s="1" t="s">
        <v>49</v>
      </c>
      <c r="W1137" s="1" t="str">
        <f>VLOOKUP(Table1[[#This Row],[Obergruppe ATC-Code]],Tabelle3!$A$2:$B$100,2)</f>
        <v>SCHILDDRÜSENTHERAPIE</v>
      </c>
      <c r="X1137" s="1" t="str">
        <f xml:space="preserve"> LEFT(Table1[[#This Row],[Atc Code]],3)</f>
        <v>H03</v>
      </c>
    </row>
    <row r="1138" spans="1:24" ht="14.4">
      <c r="A1138" s="14">
        <v>2186</v>
      </c>
      <c r="B1138" s="24" t="s">
        <v>2690</v>
      </c>
      <c r="C1138" s="1">
        <v>2150885</v>
      </c>
      <c r="D1138" s="1" t="s">
        <v>25</v>
      </c>
      <c r="E1138" s="36">
        <v>43556</v>
      </c>
      <c r="F1138" s="36">
        <v>43890</v>
      </c>
      <c r="G1138" s="38">
        <f t="shared" si="17"/>
        <v>334</v>
      </c>
      <c r="H1138" s="5">
        <v>43572</v>
      </c>
      <c r="I1138" s="5">
        <v>43889</v>
      </c>
      <c r="J1138" s="1" t="s">
        <v>41</v>
      </c>
      <c r="K1138" s="1" t="s">
        <v>2691</v>
      </c>
      <c r="L1138" s="1" t="s">
        <v>2692</v>
      </c>
      <c r="M1138" s="1" t="s">
        <v>2693</v>
      </c>
      <c r="N1138" s="1" t="s">
        <v>30</v>
      </c>
      <c r="O1138" s="1" t="s">
        <v>62</v>
      </c>
      <c r="P1138" s="1" t="s">
        <v>63</v>
      </c>
      <c r="Q1138" s="1" t="s">
        <v>64</v>
      </c>
      <c r="R1138" s="1" t="s">
        <v>65</v>
      </c>
      <c r="S1138" s="1"/>
      <c r="U1138" s="1" t="s">
        <v>35</v>
      </c>
      <c r="V1138" s="1" t="s">
        <v>1007</v>
      </c>
      <c r="W1138" s="1" t="str">
        <f>VLOOKUP(Table1[[#This Row],[Obergruppe ATC-Code]],Tabelle3!$A$2:$B$100,2)</f>
        <v>SCHILDDRÜSENTHERAPIE</v>
      </c>
      <c r="X1138" s="1" t="str">
        <f xml:space="preserve"> LEFT(Table1[[#This Row],[Atc Code]],3)</f>
        <v>H03</v>
      </c>
    </row>
    <row r="1139" spans="1:24" ht="14.4">
      <c r="A1139" s="14">
        <v>2185</v>
      </c>
      <c r="B1139" s="24" t="s">
        <v>2690</v>
      </c>
      <c r="C1139" s="1">
        <v>2150885</v>
      </c>
      <c r="D1139" s="1" t="s">
        <v>25</v>
      </c>
      <c r="E1139" s="36">
        <v>44166</v>
      </c>
      <c r="F1139" s="36">
        <v>44227</v>
      </c>
      <c r="G1139" s="38">
        <f t="shared" si="17"/>
        <v>61</v>
      </c>
      <c r="H1139" s="5">
        <v>44175</v>
      </c>
      <c r="I1139" s="5">
        <v>44225</v>
      </c>
      <c r="J1139" s="1" t="s">
        <v>41</v>
      </c>
      <c r="K1139" s="1" t="s">
        <v>2691</v>
      </c>
      <c r="L1139" s="1" t="s">
        <v>2692</v>
      </c>
      <c r="M1139" s="1" t="s">
        <v>2693</v>
      </c>
      <c r="N1139" s="1" t="s">
        <v>30</v>
      </c>
      <c r="O1139" s="1" t="s">
        <v>62</v>
      </c>
      <c r="P1139" s="1" t="s">
        <v>63</v>
      </c>
      <c r="Q1139" s="1" t="s">
        <v>64</v>
      </c>
      <c r="R1139" s="1" t="s">
        <v>65</v>
      </c>
      <c r="S1139" s="1"/>
      <c r="T1139" s="1" t="s">
        <v>2694</v>
      </c>
      <c r="U1139" s="1" t="s">
        <v>35</v>
      </c>
      <c r="V1139" s="1" t="s">
        <v>1007</v>
      </c>
      <c r="W1139" s="1" t="str">
        <f>VLOOKUP(Table1[[#This Row],[Obergruppe ATC-Code]],Tabelle3!$A$2:$B$100,2)</f>
        <v>SCHILDDRÜSENTHERAPIE</v>
      </c>
      <c r="X1139" s="1" t="str">
        <f xml:space="preserve"> LEFT(Table1[[#This Row],[Atc Code]],3)</f>
        <v>H03</v>
      </c>
    </row>
    <row r="1140" spans="1:24" ht="14.4">
      <c r="A1140" s="14">
        <v>2826</v>
      </c>
      <c r="B1140" s="24" t="s">
        <v>2695</v>
      </c>
      <c r="C1140" s="1">
        <v>110243</v>
      </c>
      <c r="D1140" s="1" t="s">
        <v>25</v>
      </c>
      <c r="E1140" s="36">
        <v>43709</v>
      </c>
      <c r="F1140" s="36">
        <v>43830</v>
      </c>
      <c r="G1140" s="38">
        <f t="shared" si="17"/>
        <v>121</v>
      </c>
      <c r="H1140" s="5">
        <v>43734</v>
      </c>
      <c r="I1140" s="5">
        <v>43812</v>
      </c>
      <c r="J1140" s="1" t="s">
        <v>26</v>
      </c>
      <c r="K1140" s="1" t="s">
        <v>2696</v>
      </c>
      <c r="L1140" s="1" t="s">
        <v>2697</v>
      </c>
      <c r="M1140" s="1" t="s">
        <v>2698</v>
      </c>
      <c r="N1140" s="1" t="s">
        <v>30</v>
      </c>
      <c r="O1140" s="1" t="s">
        <v>548</v>
      </c>
      <c r="P1140" s="1">
        <v>8004288373</v>
      </c>
      <c r="Q1140" s="1" t="s">
        <v>549</v>
      </c>
      <c r="R1140" s="1" t="s">
        <v>33</v>
      </c>
      <c r="S1140" s="1"/>
      <c r="U1140" s="1" t="s">
        <v>35</v>
      </c>
      <c r="V1140" s="1" t="s">
        <v>49</v>
      </c>
      <c r="W1140" s="1" t="str">
        <f>VLOOKUP(Table1[[#This Row],[Obergruppe ATC-Code]],Tabelle3!$A$2:$B$100,2)</f>
        <v>SCHILDDRÜSENTHERAPIE</v>
      </c>
      <c r="X1140" s="1" t="str">
        <f xml:space="preserve"> LEFT(Table1[[#This Row],[Atc Code]],3)</f>
        <v>H03</v>
      </c>
    </row>
    <row r="1141" spans="1:24" ht="14.4">
      <c r="A1141" s="14">
        <v>2945</v>
      </c>
      <c r="B1141" s="25" t="s">
        <v>2699</v>
      </c>
      <c r="C1141" s="1">
        <v>2104570</v>
      </c>
      <c r="D1141" s="1" t="s">
        <v>25</v>
      </c>
      <c r="E1141" s="36">
        <v>43800</v>
      </c>
      <c r="F1141" s="36">
        <v>43861</v>
      </c>
      <c r="G1141" s="38">
        <f t="shared" si="17"/>
        <v>61</v>
      </c>
      <c r="H1141" s="5">
        <v>43810</v>
      </c>
      <c r="I1141" s="5">
        <v>43838</v>
      </c>
      <c r="J1141" s="1" t="s">
        <v>26</v>
      </c>
      <c r="K1141" s="1" t="s">
        <v>2700</v>
      </c>
      <c r="L1141" s="1" t="s">
        <v>2697</v>
      </c>
      <c r="M1141" s="1" t="s">
        <v>2698</v>
      </c>
      <c r="N1141" s="1" t="s">
        <v>30</v>
      </c>
      <c r="O1141" s="1" t="s">
        <v>548</v>
      </c>
      <c r="P1141" s="1">
        <v>8004288373</v>
      </c>
      <c r="Q1141" s="1" t="s">
        <v>549</v>
      </c>
      <c r="R1141" s="1" t="s">
        <v>33</v>
      </c>
      <c r="S1141" s="1"/>
      <c r="U1141" s="1" t="s">
        <v>35</v>
      </c>
      <c r="V1141" s="1" t="s">
        <v>49</v>
      </c>
      <c r="W1141" s="1" t="str">
        <f>VLOOKUP(Table1[[#This Row],[Obergruppe ATC-Code]],Tabelle3!$A$2:$B$100,2)</f>
        <v>SCHILDDRÜSENTHERAPIE</v>
      </c>
      <c r="X1141" s="1" t="str">
        <f xml:space="preserve"> LEFT(Table1[[#This Row],[Atc Code]],3)</f>
        <v>H03</v>
      </c>
    </row>
    <row r="1142" spans="1:24" ht="14.4">
      <c r="A1142" s="14">
        <v>2944</v>
      </c>
      <c r="B1142" s="25" t="s">
        <v>2699</v>
      </c>
      <c r="C1142" s="1">
        <v>2104570</v>
      </c>
      <c r="D1142" s="1" t="s">
        <v>25</v>
      </c>
      <c r="E1142" s="36">
        <v>43862</v>
      </c>
      <c r="F1142" s="36">
        <v>43921</v>
      </c>
      <c r="G1142" s="38">
        <f t="shared" si="17"/>
        <v>59</v>
      </c>
      <c r="H1142" s="5">
        <v>43892</v>
      </c>
      <c r="I1142" s="5">
        <v>43913</v>
      </c>
      <c r="J1142" s="1" t="s">
        <v>26</v>
      </c>
      <c r="K1142" s="1" t="s">
        <v>2700</v>
      </c>
      <c r="L1142" s="1" t="s">
        <v>2697</v>
      </c>
      <c r="M1142" s="1" t="s">
        <v>2698</v>
      </c>
      <c r="N1142" s="1" t="s">
        <v>30</v>
      </c>
      <c r="O1142" s="1" t="s">
        <v>548</v>
      </c>
      <c r="P1142" s="1">
        <v>8004288373</v>
      </c>
      <c r="Q1142" s="1" t="s">
        <v>549</v>
      </c>
      <c r="R1142" s="1" t="s">
        <v>33</v>
      </c>
      <c r="S1142" s="1"/>
      <c r="U1142" s="1" t="s">
        <v>35</v>
      </c>
      <c r="V1142" s="1" t="s">
        <v>49</v>
      </c>
      <c r="W1142" s="1" t="str">
        <f>VLOOKUP(Table1[[#This Row],[Obergruppe ATC-Code]],Tabelle3!$A$2:$B$100,2)</f>
        <v>SCHILDDRÜSENTHERAPIE</v>
      </c>
      <c r="X1142" s="1" t="str">
        <f xml:space="preserve"> LEFT(Table1[[#This Row],[Atc Code]],3)</f>
        <v>H03</v>
      </c>
    </row>
    <row r="1143" spans="1:24" ht="14.4">
      <c r="A1143" s="14">
        <v>2825</v>
      </c>
      <c r="B1143" s="24" t="s">
        <v>2695</v>
      </c>
      <c r="C1143" s="1">
        <v>110243</v>
      </c>
      <c r="D1143" s="1" t="s">
        <v>25</v>
      </c>
      <c r="E1143" s="36">
        <v>43862</v>
      </c>
      <c r="F1143" s="36">
        <v>43921</v>
      </c>
      <c r="G1143" s="38">
        <f t="shared" si="17"/>
        <v>59</v>
      </c>
      <c r="H1143" s="5">
        <v>43892</v>
      </c>
      <c r="I1143" s="5">
        <v>43913</v>
      </c>
      <c r="J1143" s="1" t="s">
        <v>26</v>
      </c>
      <c r="K1143" s="1" t="s">
        <v>2696</v>
      </c>
      <c r="L1143" s="1" t="s">
        <v>2697</v>
      </c>
      <c r="M1143" s="1" t="s">
        <v>2698</v>
      </c>
      <c r="N1143" s="1" t="s">
        <v>30</v>
      </c>
      <c r="O1143" s="1" t="s">
        <v>548</v>
      </c>
      <c r="P1143" s="1">
        <v>8004288373</v>
      </c>
      <c r="Q1143" s="1" t="s">
        <v>549</v>
      </c>
      <c r="R1143" s="1" t="s">
        <v>33</v>
      </c>
      <c r="S1143" s="1"/>
      <c r="U1143" s="1" t="s">
        <v>35</v>
      </c>
      <c r="V1143" s="1" t="s">
        <v>49</v>
      </c>
      <c r="W1143" s="1" t="str">
        <f>VLOOKUP(Table1[[#This Row],[Obergruppe ATC-Code]],Tabelle3!$A$2:$B$100,2)</f>
        <v>SCHILDDRÜSENTHERAPIE</v>
      </c>
      <c r="X1143" s="1" t="str">
        <f xml:space="preserve"> LEFT(Table1[[#This Row],[Atc Code]],3)</f>
        <v>H03</v>
      </c>
    </row>
    <row r="1144" spans="1:24" ht="14.4">
      <c r="A1144" s="14">
        <v>2943</v>
      </c>
      <c r="B1144" s="24" t="s">
        <v>2699</v>
      </c>
      <c r="C1144" s="1">
        <v>2104570</v>
      </c>
      <c r="D1144" s="1" t="s">
        <v>25</v>
      </c>
      <c r="E1144" s="36">
        <v>43922</v>
      </c>
      <c r="F1144" s="36">
        <v>44043</v>
      </c>
      <c r="G1144" s="38">
        <f t="shared" si="17"/>
        <v>121</v>
      </c>
      <c r="H1144" s="5">
        <v>43957</v>
      </c>
      <c r="I1144" s="5">
        <v>44036</v>
      </c>
      <c r="J1144" s="1" t="s">
        <v>26</v>
      </c>
      <c r="K1144" s="1" t="s">
        <v>2700</v>
      </c>
      <c r="L1144" s="1" t="s">
        <v>2697</v>
      </c>
      <c r="M1144" s="1" t="s">
        <v>2698</v>
      </c>
      <c r="N1144" s="1" t="s">
        <v>30</v>
      </c>
      <c r="O1144" s="1" t="s">
        <v>548</v>
      </c>
      <c r="P1144" s="1">
        <v>8004288373</v>
      </c>
      <c r="Q1144" s="1" t="s">
        <v>549</v>
      </c>
      <c r="R1144" s="1" t="s">
        <v>33</v>
      </c>
      <c r="S1144" s="1"/>
      <c r="U1144" s="1" t="s">
        <v>35</v>
      </c>
      <c r="V1144" s="1" t="s">
        <v>49</v>
      </c>
      <c r="W1144" s="1" t="str">
        <f>VLOOKUP(Table1[[#This Row],[Obergruppe ATC-Code]],Tabelle3!$A$2:$B$100,2)</f>
        <v>SCHILDDRÜSENTHERAPIE</v>
      </c>
      <c r="X1144" s="1" t="str">
        <f xml:space="preserve"> LEFT(Table1[[#This Row],[Atc Code]],3)</f>
        <v>H03</v>
      </c>
    </row>
    <row r="1145" spans="1:24" ht="14.4">
      <c r="A1145" s="14">
        <v>2824</v>
      </c>
      <c r="B1145" s="24" t="s">
        <v>2695</v>
      </c>
      <c r="C1145" s="1">
        <v>110243</v>
      </c>
      <c r="D1145" s="1" t="s">
        <v>25</v>
      </c>
      <c r="E1145" s="36">
        <v>44105</v>
      </c>
      <c r="F1145" s="36">
        <v>44196</v>
      </c>
      <c r="G1145" s="38">
        <f t="shared" si="17"/>
        <v>91</v>
      </c>
      <c r="H1145" s="5">
        <v>44124</v>
      </c>
      <c r="I1145" s="5">
        <v>44168</v>
      </c>
      <c r="J1145" s="1" t="s">
        <v>26</v>
      </c>
      <c r="K1145" s="1" t="s">
        <v>2696</v>
      </c>
      <c r="L1145" s="1" t="s">
        <v>2697</v>
      </c>
      <c r="M1145" s="1" t="s">
        <v>2698</v>
      </c>
      <c r="N1145" s="1" t="s">
        <v>30</v>
      </c>
      <c r="O1145" s="1" t="s">
        <v>548</v>
      </c>
      <c r="P1145" s="1">
        <v>8004288373</v>
      </c>
      <c r="Q1145" s="1" t="s">
        <v>549</v>
      </c>
      <c r="R1145" s="1" t="s">
        <v>33</v>
      </c>
      <c r="S1145" s="1"/>
      <c r="U1145" s="1" t="s">
        <v>35</v>
      </c>
      <c r="V1145" s="1" t="s">
        <v>49</v>
      </c>
      <c r="W1145" s="1" t="str">
        <f>VLOOKUP(Table1[[#This Row],[Obergruppe ATC-Code]],Tabelle3!$A$2:$B$100,2)</f>
        <v>SCHILDDRÜSENTHERAPIE</v>
      </c>
      <c r="X1145" s="1" t="str">
        <f xml:space="preserve"> LEFT(Table1[[#This Row],[Atc Code]],3)</f>
        <v>H03</v>
      </c>
    </row>
    <row r="1146" spans="1:24" ht="14.4">
      <c r="A1146" s="14">
        <v>648</v>
      </c>
      <c r="B1146" s="25">
        <v>4250277</v>
      </c>
      <c r="C1146" s="1">
        <v>2148547</v>
      </c>
      <c r="D1146" s="1" t="s">
        <v>25</v>
      </c>
      <c r="E1146" s="36">
        <v>43800</v>
      </c>
      <c r="F1146" s="36">
        <v>43861</v>
      </c>
      <c r="G1146" s="38">
        <f t="shared" si="17"/>
        <v>61</v>
      </c>
      <c r="H1146" s="5">
        <v>43816</v>
      </c>
      <c r="I1146" s="5">
        <v>43861</v>
      </c>
      <c r="J1146" s="1" t="s">
        <v>41</v>
      </c>
      <c r="K1146" s="1" t="s">
        <v>2701</v>
      </c>
      <c r="L1146" s="1" t="s">
        <v>2702</v>
      </c>
      <c r="M1146" s="1" t="s">
        <v>2703</v>
      </c>
      <c r="N1146" s="1" t="s">
        <v>30</v>
      </c>
      <c r="O1146" s="1" t="s">
        <v>91</v>
      </c>
      <c r="P1146" s="1" t="s">
        <v>92</v>
      </c>
      <c r="Q1146" s="1" t="s">
        <v>93</v>
      </c>
      <c r="R1146" s="1" t="s">
        <v>26</v>
      </c>
      <c r="S1146" s="1"/>
      <c r="U1146" s="1" t="s">
        <v>35</v>
      </c>
      <c r="V1146" s="1" t="s">
        <v>49</v>
      </c>
      <c r="W1146" s="1" t="str">
        <f>VLOOKUP(Table1[[#This Row],[Obergruppe ATC-Code]],Tabelle3!$A$2:$B$100,2)</f>
        <v>SCHILDDRÜSENTHERAPIE</v>
      </c>
      <c r="X1146" s="1" t="str">
        <f xml:space="preserve"> LEFT(Table1[[#This Row],[Atc Code]],3)</f>
        <v>H03</v>
      </c>
    </row>
    <row r="1147" spans="1:24" ht="14.4">
      <c r="A1147" s="14">
        <v>647</v>
      </c>
      <c r="B1147" s="25">
        <v>4250260</v>
      </c>
      <c r="C1147" s="1">
        <v>2148545</v>
      </c>
      <c r="D1147" s="1" t="s">
        <v>25</v>
      </c>
      <c r="E1147" s="36">
        <v>43800</v>
      </c>
      <c r="F1147" s="36">
        <v>43861</v>
      </c>
      <c r="G1147" s="38">
        <f t="shared" si="17"/>
        <v>61</v>
      </c>
      <c r="H1147" s="5">
        <v>43816</v>
      </c>
      <c r="I1147" s="5">
        <v>43861</v>
      </c>
      <c r="J1147" s="1" t="s">
        <v>41</v>
      </c>
      <c r="K1147" s="1" t="s">
        <v>2704</v>
      </c>
      <c r="L1147" s="1" t="s">
        <v>2702</v>
      </c>
      <c r="M1147" s="1" t="s">
        <v>2703</v>
      </c>
      <c r="N1147" s="1" t="s">
        <v>30</v>
      </c>
      <c r="O1147" s="1" t="s">
        <v>91</v>
      </c>
      <c r="P1147" s="1" t="s">
        <v>92</v>
      </c>
      <c r="Q1147" s="1" t="s">
        <v>93</v>
      </c>
      <c r="R1147" s="1" t="s">
        <v>26</v>
      </c>
      <c r="S1147" s="1"/>
      <c r="U1147" s="1" t="s">
        <v>35</v>
      </c>
      <c r="V1147" s="1" t="s">
        <v>49</v>
      </c>
      <c r="W1147" s="1" t="str">
        <f>VLOOKUP(Table1[[#This Row],[Obergruppe ATC-Code]],Tabelle3!$A$2:$B$100,2)</f>
        <v>SCHILDDRÜSENTHERAPIE</v>
      </c>
      <c r="X1147" s="1" t="str">
        <f xml:space="preserve"> LEFT(Table1[[#This Row],[Atc Code]],3)</f>
        <v>H03</v>
      </c>
    </row>
    <row r="1148" spans="1:24" ht="14.4">
      <c r="A1148" s="14">
        <v>2114</v>
      </c>
      <c r="B1148" s="24" t="s">
        <v>2705</v>
      </c>
      <c r="C1148" s="1">
        <v>2148543</v>
      </c>
      <c r="D1148" s="1" t="s">
        <v>25</v>
      </c>
      <c r="E1148" s="36">
        <v>43800</v>
      </c>
      <c r="F1148" s="36">
        <v>44135</v>
      </c>
      <c r="G1148" s="38">
        <f t="shared" si="17"/>
        <v>335</v>
      </c>
      <c r="H1148" s="5">
        <v>43816</v>
      </c>
      <c r="I1148" s="5">
        <v>44118</v>
      </c>
      <c r="J1148" s="1" t="s">
        <v>41</v>
      </c>
      <c r="K1148" s="1" t="s">
        <v>2706</v>
      </c>
      <c r="L1148" s="1" t="s">
        <v>2702</v>
      </c>
      <c r="M1148" s="1" t="s">
        <v>2703</v>
      </c>
      <c r="N1148" s="1" t="s">
        <v>30</v>
      </c>
      <c r="O1148" s="1" t="s">
        <v>91</v>
      </c>
      <c r="P1148" s="1" t="s">
        <v>92</v>
      </c>
      <c r="Q1148" s="1" t="s">
        <v>93</v>
      </c>
      <c r="R1148" s="1" t="s">
        <v>26</v>
      </c>
      <c r="S1148" s="1"/>
      <c r="U1148" s="1" t="s">
        <v>35</v>
      </c>
      <c r="V1148" s="1" t="s">
        <v>49</v>
      </c>
      <c r="W1148" s="1" t="str">
        <f>VLOOKUP(Table1[[#This Row],[Obergruppe ATC-Code]],Tabelle3!$A$2:$B$100,2)</f>
        <v>SCHILDDRÜSENTHERAPIE</v>
      </c>
      <c r="X1148" s="1" t="str">
        <f xml:space="preserve"> LEFT(Table1[[#This Row],[Atc Code]],3)</f>
        <v>H03</v>
      </c>
    </row>
    <row r="1149" spans="1:24" ht="14.4">
      <c r="A1149" s="14">
        <v>636</v>
      </c>
      <c r="B1149" s="25">
        <v>4116113</v>
      </c>
      <c r="C1149" s="1">
        <v>2148549</v>
      </c>
      <c r="D1149" s="1" t="s">
        <v>25</v>
      </c>
      <c r="E1149" s="36">
        <v>43800</v>
      </c>
      <c r="F1149" s="36">
        <v>44135</v>
      </c>
      <c r="G1149" s="38">
        <f t="shared" si="17"/>
        <v>335</v>
      </c>
      <c r="H1149" s="5">
        <v>43816</v>
      </c>
      <c r="I1149" s="5">
        <v>44118</v>
      </c>
      <c r="J1149" s="1" t="s">
        <v>41</v>
      </c>
      <c r="K1149" s="1" t="s">
        <v>2707</v>
      </c>
      <c r="L1149" s="1" t="s">
        <v>2702</v>
      </c>
      <c r="M1149" s="1" t="s">
        <v>2703</v>
      </c>
      <c r="N1149" s="1" t="s">
        <v>30</v>
      </c>
      <c r="O1149" s="1" t="s">
        <v>91</v>
      </c>
      <c r="P1149" s="1" t="s">
        <v>92</v>
      </c>
      <c r="Q1149" s="1" t="s">
        <v>93</v>
      </c>
      <c r="R1149" s="1" t="s">
        <v>26</v>
      </c>
      <c r="S1149" s="1"/>
      <c r="U1149" s="1" t="s">
        <v>35</v>
      </c>
      <c r="V1149" s="1" t="s">
        <v>49</v>
      </c>
      <c r="W1149" s="1" t="str">
        <f>VLOOKUP(Table1[[#This Row],[Obergruppe ATC-Code]],Tabelle3!$A$2:$B$100,2)</f>
        <v>SCHILDDRÜSENTHERAPIE</v>
      </c>
      <c r="X1149" s="1" t="str">
        <f xml:space="preserve"> LEFT(Table1[[#This Row],[Atc Code]],3)</f>
        <v>H03</v>
      </c>
    </row>
    <row r="1150" spans="1:24" ht="14.4">
      <c r="A1150" s="14">
        <v>635</v>
      </c>
      <c r="B1150" s="25">
        <v>4116099</v>
      </c>
      <c r="C1150" s="1">
        <v>2148548</v>
      </c>
      <c r="D1150" s="1" t="s">
        <v>25</v>
      </c>
      <c r="E1150" s="36">
        <v>43800</v>
      </c>
      <c r="F1150" s="36">
        <v>44135</v>
      </c>
      <c r="G1150" s="38">
        <f t="shared" si="17"/>
        <v>335</v>
      </c>
      <c r="H1150" s="5">
        <v>43816</v>
      </c>
      <c r="I1150" s="5">
        <v>44118</v>
      </c>
      <c r="J1150" s="1" t="s">
        <v>41</v>
      </c>
      <c r="K1150" s="1" t="s">
        <v>2708</v>
      </c>
      <c r="L1150" s="1" t="s">
        <v>2702</v>
      </c>
      <c r="M1150" s="1" t="s">
        <v>2703</v>
      </c>
      <c r="N1150" s="1" t="s">
        <v>30</v>
      </c>
      <c r="O1150" s="1" t="s">
        <v>91</v>
      </c>
      <c r="P1150" s="1" t="s">
        <v>92</v>
      </c>
      <c r="Q1150" s="1" t="s">
        <v>93</v>
      </c>
      <c r="R1150" s="1" t="s">
        <v>26</v>
      </c>
      <c r="S1150" s="1"/>
      <c r="U1150" s="1" t="s">
        <v>35</v>
      </c>
      <c r="V1150" s="1" t="s">
        <v>49</v>
      </c>
      <c r="W1150" s="1" t="str">
        <f>VLOOKUP(Table1[[#This Row],[Obergruppe ATC-Code]],Tabelle3!$A$2:$B$100,2)</f>
        <v>SCHILDDRÜSENTHERAPIE</v>
      </c>
      <c r="X1150" s="1" t="str">
        <f xml:space="preserve"> LEFT(Table1[[#This Row],[Atc Code]],3)</f>
        <v>H03</v>
      </c>
    </row>
    <row r="1151" spans="1:24" ht="14.4">
      <c r="A1151" s="14">
        <v>634</v>
      </c>
      <c r="B1151" s="25">
        <v>4116076</v>
      </c>
      <c r="C1151" s="1">
        <v>2148546</v>
      </c>
      <c r="D1151" s="1" t="s">
        <v>25</v>
      </c>
      <c r="E1151" s="36">
        <v>43800</v>
      </c>
      <c r="F1151" s="36">
        <v>44135</v>
      </c>
      <c r="G1151" s="38">
        <f t="shared" si="17"/>
        <v>335</v>
      </c>
      <c r="H1151" s="5">
        <v>43816</v>
      </c>
      <c r="I1151" s="5">
        <v>44118</v>
      </c>
      <c r="J1151" s="1" t="s">
        <v>41</v>
      </c>
      <c r="K1151" s="1" t="s">
        <v>2709</v>
      </c>
      <c r="L1151" s="1" t="s">
        <v>2702</v>
      </c>
      <c r="M1151" s="1" t="s">
        <v>2703</v>
      </c>
      <c r="N1151" s="1" t="s">
        <v>30</v>
      </c>
      <c r="O1151" s="1" t="s">
        <v>91</v>
      </c>
      <c r="P1151" s="1" t="s">
        <v>92</v>
      </c>
      <c r="Q1151" s="1" t="s">
        <v>93</v>
      </c>
      <c r="R1151" s="1" t="s">
        <v>26</v>
      </c>
      <c r="S1151" s="1"/>
      <c r="U1151" s="1" t="s">
        <v>35</v>
      </c>
      <c r="V1151" s="1" t="s">
        <v>49</v>
      </c>
      <c r="W1151" s="1" t="str">
        <f>VLOOKUP(Table1[[#This Row],[Obergruppe ATC-Code]],Tabelle3!$A$2:$B$100,2)</f>
        <v>SCHILDDRÜSENTHERAPIE</v>
      </c>
      <c r="X1151" s="1" t="str">
        <f xml:space="preserve"> LEFT(Table1[[#This Row],[Atc Code]],3)</f>
        <v>H03</v>
      </c>
    </row>
    <row r="1152" spans="1:24" ht="14.4">
      <c r="A1152" s="14">
        <v>633</v>
      </c>
      <c r="B1152" s="25">
        <v>4116047</v>
      </c>
      <c r="C1152" s="1">
        <v>2148544</v>
      </c>
      <c r="D1152" s="1" t="s">
        <v>25</v>
      </c>
      <c r="E1152" s="36">
        <v>43800</v>
      </c>
      <c r="F1152" s="36">
        <v>44135</v>
      </c>
      <c r="G1152" s="38">
        <f t="shared" si="17"/>
        <v>335</v>
      </c>
      <c r="H1152" s="5">
        <v>43816</v>
      </c>
      <c r="I1152" s="5">
        <v>44118</v>
      </c>
      <c r="J1152" s="1" t="s">
        <v>41</v>
      </c>
      <c r="K1152" s="1" t="s">
        <v>2710</v>
      </c>
      <c r="L1152" s="1" t="s">
        <v>2702</v>
      </c>
      <c r="M1152" s="1" t="s">
        <v>2703</v>
      </c>
      <c r="N1152" s="1" t="s">
        <v>30</v>
      </c>
      <c r="O1152" s="1" t="s">
        <v>91</v>
      </c>
      <c r="P1152" s="1" t="s">
        <v>92</v>
      </c>
      <c r="Q1152" s="1" t="s">
        <v>93</v>
      </c>
      <c r="R1152" s="1" t="s">
        <v>26</v>
      </c>
      <c r="S1152" s="1"/>
      <c r="U1152" s="1" t="s">
        <v>35</v>
      </c>
      <c r="V1152" s="1" t="s">
        <v>49</v>
      </c>
      <c r="W1152" s="1" t="str">
        <f>VLOOKUP(Table1[[#This Row],[Obergruppe ATC-Code]],Tabelle3!$A$2:$B$100,2)</f>
        <v>SCHILDDRÜSENTHERAPIE</v>
      </c>
      <c r="X1152" s="1" t="str">
        <f xml:space="preserve"> LEFT(Table1[[#This Row],[Atc Code]],3)</f>
        <v>H03</v>
      </c>
    </row>
    <row r="1153" spans="1:24" ht="14.4">
      <c r="A1153" s="14">
        <v>110</v>
      </c>
      <c r="B1153" s="25">
        <v>659294</v>
      </c>
      <c r="C1153" s="1">
        <v>2144743</v>
      </c>
      <c r="D1153" s="1" t="s">
        <v>25</v>
      </c>
      <c r="E1153" s="36">
        <v>43800</v>
      </c>
      <c r="F1153" s="36">
        <v>44135</v>
      </c>
      <c r="G1153" s="38">
        <f t="shared" si="17"/>
        <v>335</v>
      </c>
      <c r="H1153" s="5">
        <v>43816</v>
      </c>
      <c r="I1153" s="5">
        <v>44132</v>
      </c>
      <c r="J1153" s="1" t="s">
        <v>41</v>
      </c>
      <c r="K1153" s="1" t="s">
        <v>2711</v>
      </c>
      <c r="L1153" s="1" t="s">
        <v>2702</v>
      </c>
      <c r="M1153" s="1" t="s">
        <v>2688</v>
      </c>
      <c r="N1153" s="1" t="s">
        <v>30</v>
      </c>
      <c r="O1153" s="1" t="s">
        <v>91</v>
      </c>
      <c r="P1153" s="1" t="s">
        <v>92</v>
      </c>
      <c r="Q1153" s="1" t="s">
        <v>93</v>
      </c>
      <c r="R1153" s="1" t="s">
        <v>26</v>
      </c>
      <c r="S1153" s="1"/>
      <c r="U1153" s="1" t="s">
        <v>57</v>
      </c>
      <c r="V1153" s="1" t="s">
        <v>49</v>
      </c>
      <c r="W1153" s="1" t="str">
        <f>VLOOKUP(Table1[[#This Row],[Obergruppe ATC-Code]],Tabelle3!$A$2:$B$100,2)</f>
        <v>SCHILDDRÜSENTHERAPIE</v>
      </c>
      <c r="X1153" s="1" t="str">
        <f xml:space="preserve"> LEFT(Table1[[#This Row],[Atc Code]],3)</f>
        <v>H03</v>
      </c>
    </row>
    <row r="1154" spans="1:24" ht="14.4">
      <c r="A1154" s="14">
        <v>1978</v>
      </c>
      <c r="B1154" s="24" t="s">
        <v>2712</v>
      </c>
      <c r="C1154" s="1">
        <v>2101956</v>
      </c>
      <c r="D1154" s="1" t="s">
        <v>25</v>
      </c>
      <c r="E1154" s="36">
        <v>43922</v>
      </c>
      <c r="F1154" s="36">
        <v>44104</v>
      </c>
      <c r="G1154" s="38">
        <f t="shared" ref="G1154:G1217" si="18">F1154-E1154</f>
        <v>182</v>
      </c>
      <c r="H1154" s="5">
        <v>43937</v>
      </c>
      <c r="I1154" s="5">
        <v>44081</v>
      </c>
      <c r="J1154" s="1" t="s">
        <v>41</v>
      </c>
      <c r="K1154" s="1" t="s">
        <v>2713</v>
      </c>
      <c r="L1154" s="1" t="s">
        <v>2714</v>
      </c>
      <c r="M1154" s="1" t="s">
        <v>2715</v>
      </c>
      <c r="N1154" s="1" t="s">
        <v>30</v>
      </c>
      <c r="O1154" s="1" t="s">
        <v>62</v>
      </c>
      <c r="P1154" s="1" t="s">
        <v>63</v>
      </c>
      <c r="Q1154" s="1" t="s">
        <v>64</v>
      </c>
      <c r="R1154" s="1" t="s">
        <v>26</v>
      </c>
      <c r="S1154" s="1"/>
      <c r="T1154" s="1" t="s">
        <v>2716</v>
      </c>
      <c r="U1154" s="1" t="s">
        <v>35</v>
      </c>
      <c r="V1154" s="1" t="s">
        <v>99</v>
      </c>
      <c r="W1154" s="1" t="str">
        <f>VLOOKUP(Table1[[#This Row],[Obergruppe ATC-Code]],Tabelle3!$A$2:$B$100,2)</f>
        <v>SCHILDDRÜSENTHERAPIE</v>
      </c>
      <c r="X1154" s="1" t="str">
        <f xml:space="preserve"> LEFT(Table1[[#This Row],[Atc Code]],3)</f>
        <v>H03</v>
      </c>
    </row>
    <row r="1155" spans="1:24" ht="14.4">
      <c r="A1155" s="14">
        <v>440</v>
      </c>
      <c r="B1155" s="24">
        <v>2708654</v>
      </c>
      <c r="C1155" s="1">
        <v>2102022</v>
      </c>
      <c r="D1155" s="1" t="s">
        <v>25</v>
      </c>
      <c r="E1155" s="36">
        <v>44013</v>
      </c>
      <c r="F1155" s="36">
        <v>44135</v>
      </c>
      <c r="G1155" s="38">
        <f t="shared" si="18"/>
        <v>122</v>
      </c>
      <c r="H1155" s="5">
        <v>44041</v>
      </c>
      <c r="I1155" s="5">
        <v>44095</v>
      </c>
      <c r="J1155" s="1" t="s">
        <v>26</v>
      </c>
      <c r="K1155" s="1" t="s">
        <v>2717</v>
      </c>
      <c r="L1155" s="1" t="s">
        <v>2714</v>
      </c>
      <c r="M1155" s="1" t="s">
        <v>2715</v>
      </c>
      <c r="N1155" s="1" t="s">
        <v>30</v>
      </c>
      <c r="O1155" s="1" t="s">
        <v>62</v>
      </c>
      <c r="P1155" s="1" t="s">
        <v>63</v>
      </c>
      <c r="Q1155" s="1" t="s">
        <v>64</v>
      </c>
      <c r="R1155" s="1" t="s">
        <v>33</v>
      </c>
      <c r="S1155" s="1"/>
      <c r="U1155" s="1" t="s">
        <v>35</v>
      </c>
      <c r="V1155" s="1" t="s">
        <v>74</v>
      </c>
      <c r="W1155" s="1" t="str">
        <f>VLOOKUP(Table1[[#This Row],[Obergruppe ATC-Code]],Tabelle3!$A$2:$B$100,2)</f>
        <v>SCHILDDRÜSENTHERAPIE</v>
      </c>
      <c r="X1155" s="1" t="str">
        <f xml:space="preserve"> LEFT(Table1[[#This Row],[Atc Code]],3)</f>
        <v>H03</v>
      </c>
    </row>
    <row r="1156" spans="1:24" ht="14.4">
      <c r="A1156" s="14">
        <v>441</v>
      </c>
      <c r="B1156" s="24">
        <v>2708654</v>
      </c>
      <c r="C1156" s="1">
        <v>2102022</v>
      </c>
      <c r="D1156" s="1" t="s">
        <v>25</v>
      </c>
      <c r="E1156" s="36">
        <v>44634</v>
      </c>
      <c r="F1156" s="36">
        <v>44679</v>
      </c>
      <c r="G1156" s="38">
        <f t="shared" si="18"/>
        <v>45</v>
      </c>
      <c r="H1156" s="5">
        <v>44634</v>
      </c>
      <c r="I1156" s="5">
        <v>44679</v>
      </c>
      <c r="J1156" s="1" t="s">
        <v>41</v>
      </c>
      <c r="K1156" s="1" t="s">
        <v>2717</v>
      </c>
      <c r="L1156" s="1" t="s">
        <v>2714</v>
      </c>
      <c r="M1156" s="1" t="s">
        <v>2715</v>
      </c>
      <c r="N1156" s="1" t="s">
        <v>30</v>
      </c>
      <c r="O1156" s="1" t="s">
        <v>62</v>
      </c>
      <c r="P1156" s="1" t="s">
        <v>63</v>
      </c>
      <c r="Q1156" s="1" t="s">
        <v>64</v>
      </c>
      <c r="R1156" s="1" t="s">
        <v>128</v>
      </c>
      <c r="S1156" s="1" t="s">
        <v>2718</v>
      </c>
      <c r="U1156" s="1" t="s">
        <v>35</v>
      </c>
      <c r="V1156" s="1" t="s">
        <v>74</v>
      </c>
      <c r="W1156" s="1" t="str">
        <f>VLOOKUP(Table1[[#This Row],[Obergruppe ATC-Code]],Tabelle3!$A$2:$B$100,2)</f>
        <v>SCHILDDRÜSENTHERAPIE</v>
      </c>
      <c r="X1156" s="1" t="str">
        <f xml:space="preserve"> LEFT(Table1[[#This Row],[Atc Code]],3)</f>
        <v>H03</v>
      </c>
    </row>
    <row r="1157" spans="1:24" ht="14.4">
      <c r="A1157" s="14">
        <v>69</v>
      </c>
      <c r="B1157" s="24">
        <v>528600</v>
      </c>
      <c r="C1157" s="1">
        <v>44463</v>
      </c>
      <c r="D1157" s="1" t="s">
        <v>175</v>
      </c>
      <c r="E1157" s="36">
        <v>45200</v>
      </c>
      <c r="F1157" s="36">
        <v>47027</v>
      </c>
      <c r="G1157" s="38">
        <f t="shared" si="18"/>
        <v>1827</v>
      </c>
      <c r="H1157" s="5">
        <v>45170</v>
      </c>
      <c r="I1157" s="5">
        <v>45170</v>
      </c>
      <c r="J1157" s="1" t="s">
        <v>26</v>
      </c>
      <c r="K1157" s="1" t="s">
        <v>2719</v>
      </c>
      <c r="L1157" s="1" t="s">
        <v>2720</v>
      </c>
      <c r="M1157" s="1" t="s">
        <v>2721</v>
      </c>
      <c r="N1157" s="1" t="s">
        <v>30</v>
      </c>
      <c r="O1157" s="1" t="s">
        <v>2722</v>
      </c>
      <c r="Q1157" s="1" t="s">
        <v>2723</v>
      </c>
      <c r="R1157" s="1" t="s">
        <v>732</v>
      </c>
      <c r="S1157" s="1" t="s">
        <v>2724</v>
      </c>
      <c r="U1157" s="1" t="s">
        <v>130</v>
      </c>
      <c r="V1157" s="1" t="s">
        <v>596</v>
      </c>
      <c r="W1157" s="1" t="str">
        <f>VLOOKUP(Table1[[#This Row],[Obergruppe ATC-Code]],Tabelle3!$A$2:$B$100,2)</f>
        <v>SCHILDDRÜSENTHERAPIE</v>
      </c>
      <c r="X1157" s="1" t="str">
        <f xml:space="preserve"> LEFT(Table1[[#This Row],[Atc Code]],3)</f>
        <v>H03</v>
      </c>
    </row>
    <row r="1158" spans="1:24" ht="14.4">
      <c r="A1158" s="14">
        <v>2937</v>
      </c>
      <c r="B1158" s="24" t="s">
        <v>2725</v>
      </c>
      <c r="C1158" s="1">
        <v>836431</v>
      </c>
      <c r="D1158" s="1" t="s">
        <v>25</v>
      </c>
      <c r="E1158" s="36">
        <v>42917</v>
      </c>
      <c r="F1158" s="36">
        <v>43039</v>
      </c>
      <c r="G1158" s="38">
        <f t="shared" si="18"/>
        <v>122</v>
      </c>
      <c r="H1158" s="5">
        <v>42958</v>
      </c>
      <c r="I1158" s="5">
        <v>43017</v>
      </c>
      <c r="J1158" s="1" t="s">
        <v>41</v>
      </c>
      <c r="K1158" s="1" t="s">
        <v>2726</v>
      </c>
      <c r="L1158" s="1" t="s">
        <v>2727</v>
      </c>
      <c r="M1158" s="1" t="s">
        <v>2728</v>
      </c>
      <c r="N1158" s="1" t="s">
        <v>38</v>
      </c>
      <c r="O1158" s="1" t="s">
        <v>62</v>
      </c>
      <c r="P1158" s="1" t="s">
        <v>63</v>
      </c>
      <c r="Q1158" s="1" t="s">
        <v>64</v>
      </c>
      <c r="R1158" s="1" t="s">
        <v>26</v>
      </c>
      <c r="S1158" s="1"/>
      <c r="U1158" s="1" t="s">
        <v>35</v>
      </c>
      <c r="V1158" s="1" t="s">
        <v>49</v>
      </c>
      <c r="W1158" s="1" t="str">
        <f>VLOOKUP(Table1[[#This Row],[Obergruppe ATC-Code]],Tabelle3!$A$2:$B$100,2)</f>
        <v>SCHILDDRÜSENTHERAPIE</v>
      </c>
      <c r="X1158" s="1" t="str">
        <f xml:space="preserve"> LEFT(Table1[[#This Row],[Atc Code]],3)</f>
        <v>H03</v>
      </c>
    </row>
    <row r="1159" spans="1:24" ht="14.4">
      <c r="A1159" s="14">
        <v>2204</v>
      </c>
      <c r="B1159" s="24" t="s">
        <v>2729</v>
      </c>
      <c r="C1159" s="1">
        <v>2121794</v>
      </c>
      <c r="D1159" s="1" t="s">
        <v>25</v>
      </c>
      <c r="E1159" s="36">
        <v>44671</v>
      </c>
      <c r="F1159" s="36">
        <v>44712</v>
      </c>
      <c r="G1159" s="38">
        <f t="shared" si="18"/>
        <v>41</v>
      </c>
      <c r="H1159" s="5">
        <v>44671</v>
      </c>
      <c r="I1159" s="5">
        <v>44712</v>
      </c>
      <c r="J1159" s="1" t="s">
        <v>26</v>
      </c>
      <c r="K1159" s="1" t="s">
        <v>2730</v>
      </c>
      <c r="L1159" s="1" t="s">
        <v>2731</v>
      </c>
      <c r="M1159" s="1" t="s">
        <v>2732</v>
      </c>
      <c r="N1159" s="1" t="s">
        <v>30</v>
      </c>
      <c r="O1159" s="1" t="s">
        <v>2363</v>
      </c>
      <c r="P1159" s="1">
        <v>1706311655</v>
      </c>
      <c r="Q1159" s="1" t="s">
        <v>463</v>
      </c>
      <c r="R1159" s="1" t="s">
        <v>113</v>
      </c>
      <c r="S1159" s="1"/>
      <c r="T1159" s="1" t="s">
        <v>2733</v>
      </c>
      <c r="U1159" s="1" t="s">
        <v>35</v>
      </c>
      <c r="V1159" s="1" t="s">
        <v>1007</v>
      </c>
      <c r="W1159" s="1" t="str">
        <f>VLOOKUP(Table1[[#This Row],[Obergruppe ATC-Code]],Tabelle3!$A$2:$B$100,2)</f>
        <v>PANKREASHORMONE</v>
      </c>
      <c r="X1159" s="1" t="str">
        <f xml:space="preserve"> LEFT(Table1[[#This Row],[Atc Code]],3)</f>
        <v>H04</v>
      </c>
    </row>
    <row r="1160" spans="1:24" ht="14.4">
      <c r="A1160" s="14">
        <v>2203</v>
      </c>
      <c r="B1160" s="24" t="s">
        <v>2729</v>
      </c>
      <c r="C1160" s="1">
        <v>2121794</v>
      </c>
      <c r="D1160" s="1" t="s">
        <v>25</v>
      </c>
      <c r="E1160" s="36">
        <v>44574</v>
      </c>
      <c r="F1160" s="36">
        <v>44651</v>
      </c>
      <c r="G1160" s="38">
        <f t="shared" si="18"/>
        <v>77</v>
      </c>
      <c r="H1160" s="5">
        <v>44578</v>
      </c>
      <c r="I1160" s="5">
        <v>44713</v>
      </c>
      <c r="J1160" s="1" t="s">
        <v>26</v>
      </c>
      <c r="K1160" s="1" t="s">
        <v>2730</v>
      </c>
      <c r="L1160" s="1" t="s">
        <v>2731</v>
      </c>
      <c r="M1160" s="1" t="s">
        <v>2734</v>
      </c>
      <c r="N1160" s="1" t="s">
        <v>30</v>
      </c>
      <c r="O1160" s="1" t="s">
        <v>2363</v>
      </c>
      <c r="P1160" s="1">
        <v>1706311655</v>
      </c>
      <c r="Q1160" s="1" t="s">
        <v>463</v>
      </c>
      <c r="R1160" s="1" t="s">
        <v>113</v>
      </c>
      <c r="S1160" s="1"/>
      <c r="T1160" s="1" t="s">
        <v>2733</v>
      </c>
      <c r="U1160" s="1" t="s">
        <v>35</v>
      </c>
      <c r="V1160" s="1" t="s">
        <v>1007</v>
      </c>
      <c r="W1160" s="1" t="str">
        <f>VLOOKUP(Table1[[#This Row],[Obergruppe ATC-Code]],Tabelle3!$A$2:$B$100,2)</f>
        <v>PANKREASHORMONE</v>
      </c>
      <c r="X1160" s="1" t="str">
        <f xml:space="preserve"> LEFT(Table1[[#This Row],[Atc Code]],3)</f>
        <v>H04</v>
      </c>
    </row>
    <row r="1161" spans="1:24" ht="14.4">
      <c r="A1161" s="14">
        <v>1502</v>
      </c>
      <c r="B1161" s="24">
        <v>15999021</v>
      </c>
      <c r="C1161" s="1">
        <v>2714956</v>
      </c>
      <c r="D1161" s="1" t="s">
        <v>25</v>
      </c>
      <c r="E1161" s="36">
        <v>44739</v>
      </c>
      <c r="F1161" s="36">
        <v>44785</v>
      </c>
      <c r="G1161" s="38">
        <f t="shared" si="18"/>
        <v>46</v>
      </c>
      <c r="H1161" s="5">
        <v>44725</v>
      </c>
      <c r="I1161" s="5">
        <v>44785</v>
      </c>
      <c r="J1161" s="1" t="s">
        <v>26</v>
      </c>
      <c r="K1161" s="1" t="s">
        <v>2735</v>
      </c>
      <c r="L1161" s="1" t="s">
        <v>2731</v>
      </c>
      <c r="M1161" s="1" t="s">
        <v>2736</v>
      </c>
      <c r="N1161" s="1" t="s">
        <v>38</v>
      </c>
      <c r="O1161" s="1" t="s">
        <v>436</v>
      </c>
      <c r="P1161" s="1">
        <v>4961722732432</v>
      </c>
      <c r="Q1161" s="1" t="s">
        <v>437</v>
      </c>
      <c r="R1161" s="1" t="s">
        <v>113</v>
      </c>
      <c r="S1161" s="1"/>
      <c r="U1161" s="1" t="s">
        <v>130</v>
      </c>
      <c r="V1161" s="1" t="s">
        <v>2737</v>
      </c>
      <c r="W1161" s="1" t="str">
        <f>VLOOKUP(Table1[[#This Row],[Obergruppe ATC-Code]],Tabelle3!$A$2:$B$100,2)</f>
        <v>PANKREASHORMONE</v>
      </c>
      <c r="X1161" s="1" t="str">
        <f xml:space="preserve"> LEFT(Table1[[#This Row],[Atc Code]],3)</f>
        <v>H04</v>
      </c>
    </row>
    <row r="1162" spans="1:24" ht="14.4">
      <c r="A1162" s="14">
        <v>1500</v>
      </c>
      <c r="B1162" s="24">
        <v>15998145</v>
      </c>
      <c r="C1162" s="1">
        <v>2714955</v>
      </c>
      <c r="D1162" s="1" t="s">
        <v>25</v>
      </c>
      <c r="E1162" s="36">
        <v>44732</v>
      </c>
      <c r="F1162" s="36">
        <v>44785</v>
      </c>
      <c r="G1162" s="38">
        <f t="shared" si="18"/>
        <v>53</v>
      </c>
      <c r="H1162" s="5">
        <v>44725</v>
      </c>
      <c r="I1162" s="5">
        <v>44785</v>
      </c>
      <c r="J1162" s="1" t="s">
        <v>26</v>
      </c>
      <c r="K1162" s="1" t="s">
        <v>2735</v>
      </c>
      <c r="L1162" s="1" t="s">
        <v>2731</v>
      </c>
      <c r="M1162" s="1" t="s">
        <v>2736</v>
      </c>
      <c r="N1162" s="1" t="s">
        <v>38</v>
      </c>
      <c r="O1162" s="1" t="s">
        <v>436</v>
      </c>
      <c r="P1162" s="1" t="s">
        <v>2738</v>
      </c>
      <c r="Q1162" s="1" t="s">
        <v>437</v>
      </c>
      <c r="R1162" s="1" t="s">
        <v>113</v>
      </c>
      <c r="S1162" s="1"/>
      <c r="U1162" s="1" t="s">
        <v>130</v>
      </c>
      <c r="V1162" s="1" t="s">
        <v>2737</v>
      </c>
      <c r="W1162" s="1" t="str">
        <f>VLOOKUP(Table1[[#This Row],[Obergruppe ATC-Code]],Tabelle3!$A$2:$B$100,2)</f>
        <v>PANKREASHORMONE</v>
      </c>
      <c r="X1162" s="1" t="str">
        <f xml:space="preserve"> LEFT(Table1[[#This Row],[Atc Code]],3)</f>
        <v>H04</v>
      </c>
    </row>
    <row r="1163" spans="1:24" ht="15" customHeight="1">
      <c r="A1163" s="14">
        <v>1501</v>
      </c>
      <c r="B1163" s="24">
        <v>15999021</v>
      </c>
      <c r="C1163" s="1">
        <v>2714956</v>
      </c>
      <c r="D1163" s="1" t="s">
        <v>25</v>
      </c>
      <c r="E1163" s="36">
        <v>44813</v>
      </c>
      <c r="F1163" s="36">
        <v>44824</v>
      </c>
      <c r="G1163" s="38">
        <f t="shared" si="18"/>
        <v>11</v>
      </c>
      <c r="H1163" s="5">
        <v>44810</v>
      </c>
      <c r="I1163" s="5">
        <v>44824</v>
      </c>
      <c r="J1163" s="1" t="s">
        <v>41</v>
      </c>
      <c r="K1163" s="1" t="s">
        <v>2735</v>
      </c>
      <c r="L1163" s="1" t="s">
        <v>2731</v>
      </c>
      <c r="M1163" s="1" t="s">
        <v>2736</v>
      </c>
      <c r="N1163" s="1" t="s">
        <v>38</v>
      </c>
      <c r="O1163" s="1" t="s">
        <v>436</v>
      </c>
      <c r="P1163" s="1" t="s">
        <v>445</v>
      </c>
      <c r="Q1163" s="1" t="s">
        <v>441</v>
      </c>
      <c r="R1163" s="1" t="s">
        <v>128</v>
      </c>
      <c r="S1163" s="1"/>
      <c r="U1163" s="1" t="s">
        <v>130</v>
      </c>
      <c r="V1163" s="1" t="s">
        <v>2737</v>
      </c>
      <c r="W1163" s="1" t="str">
        <f>VLOOKUP(Table1[[#This Row],[Obergruppe ATC-Code]],Tabelle3!$A$2:$B$100,2)</f>
        <v>PANKREASHORMONE</v>
      </c>
      <c r="X1163" s="1" t="str">
        <f xml:space="preserve"> LEFT(Table1[[#This Row],[Atc Code]],3)</f>
        <v>H04</v>
      </c>
    </row>
    <row r="1164" spans="1:24" ht="14.4">
      <c r="A1164" s="14">
        <v>1499</v>
      </c>
      <c r="B1164" s="24">
        <v>15998145</v>
      </c>
      <c r="C1164" s="1">
        <v>2714955</v>
      </c>
      <c r="D1164" s="1" t="s">
        <v>25</v>
      </c>
      <c r="E1164" s="36">
        <v>44813</v>
      </c>
      <c r="F1164" s="36">
        <v>44824</v>
      </c>
      <c r="G1164" s="38">
        <f t="shared" si="18"/>
        <v>11</v>
      </c>
      <c r="H1164" s="5">
        <v>44810</v>
      </c>
      <c r="I1164" s="5">
        <v>44824</v>
      </c>
      <c r="J1164" s="1" t="s">
        <v>41</v>
      </c>
      <c r="K1164" s="1" t="s">
        <v>2735</v>
      </c>
      <c r="L1164" s="1" t="s">
        <v>2731</v>
      </c>
      <c r="M1164" s="1" t="s">
        <v>2736</v>
      </c>
      <c r="N1164" s="1" t="s">
        <v>38</v>
      </c>
      <c r="O1164" s="1" t="s">
        <v>436</v>
      </c>
      <c r="P1164" s="1" t="s">
        <v>2739</v>
      </c>
      <c r="Q1164" s="1" t="s">
        <v>441</v>
      </c>
      <c r="R1164" s="1" t="s">
        <v>128</v>
      </c>
      <c r="S1164" s="1"/>
      <c r="U1164" s="1" t="s">
        <v>35</v>
      </c>
      <c r="V1164" s="1" t="s">
        <v>2737</v>
      </c>
      <c r="W1164" s="1" t="str">
        <f>VLOOKUP(Table1[[#This Row],[Obergruppe ATC-Code]],Tabelle3!$A$2:$B$100,2)</f>
        <v>PANKREASHORMONE</v>
      </c>
      <c r="X1164" s="1" t="str">
        <f xml:space="preserve"> LEFT(Table1[[#This Row],[Atc Code]],3)</f>
        <v>H04</v>
      </c>
    </row>
    <row r="1165" spans="1:24" ht="15" customHeight="1">
      <c r="A1165" s="14">
        <v>2202</v>
      </c>
      <c r="B1165" s="24" t="s">
        <v>2729</v>
      </c>
      <c r="C1165" s="1">
        <v>2121794</v>
      </c>
      <c r="D1165" s="1" t="s">
        <v>25</v>
      </c>
      <c r="E1165" s="36">
        <v>44834</v>
      </c>
      <c r="F1165" s="36">
        <v>45016</v>
      </c>
      <c r="G1165" s="38">
        <f t="shared" si="18"/>
        <v>182</v>
      </c>
      <c r="H1165" s="5">
        <v>44797</v>
      </c>
      <c r="I1165" s="5">
        <v>45021</v>
      </c>
      <c r="J1165" s="1" t="s">
        <v>26</v>
      </c>
      <c r="K1165" s="1" t="s">
        <v>2730</v>
      </c>
      <c r="L1165" s="1" t="s">
        <v>2731</v>
      </c>
      <c r="M1165" s="1" t="s">
        <v>2732</v>
      </c>
      <c r="N1165" s="1" t="s">
        <v>30</v>
      </c>
      <c r="O1165" s="1" t="s">
        <v>2363</v>
      </c>
      <c r="P1165" s="1">
        <v>1706311655</v>
      </c>
      <c r="Q1165" s="1" t="s">
        <v>463</v>
      </c>
      <c r="R1165" s="1" t="s">
        <v>33</v>
      </c>
      <c r="S1165" s="1"/>
      <c r="T1165" s="1" t="s">
        <v>2733</v>
      </c>
      <c r="U1165" s="1" t="s">
        <v>57</v>
      </c>
      <c r="V1165" s="1" t="s">
        <v>1007</v>
      </c>
      <c r="W1165" s="1" t="str">
        <f>VLOOKUP(Table1[[#This Row],[Obergruppe ATC-Code]],Tabelle3!$A$2:$B$100,2)</f>
        <v>PANKREASHORMONE</v>
      </c>
      <c r="X1165" s="1" t="str">
        <f xml:space="preserve"> LEFT(Table1[[#This Row],[Atc Code]],3)</f>
        <v>H04</v>
      </c>
    </row>
    <row r="1166" spans="1:24" ht="14.4">
      <c r="A1166" s="14">
        <v>740</v>
      </c>
      <c r="B1166" s="24">
        <v>4998484</v>
      </c>
      <c r="C1166" s="1">
        <v>2128288</v>
      </c>
      <c r="D1166" s="1" t="s">
        <v>25</v>
      </c>
      <c r="E1166" s="36">
        <v>45120</v>
      </c>
      <c r="F1166" s="36">
        <v>45154</v>
      </c>
      <c r="G1166" s="38">
        <f t="shared" si="18"/>
        <v>34</v>
      </c>
      <c r="H1166" s="5">
        <v>45120</v>
      </c>
      <c r="I1166" s="5">
        <v>45154</v>
      </c>
      <c r="J1166" s="1" t="s">
        <v>26</v>
      </c>
      <c r="K1166" s="1" t="s">
        <v>2740</v>
      </c>
      <c r="L1166" s="1" t="s">
        <v>2731</v>
      </c>
      <c r="M1166" s="1" t="s">
        <v>2732</v>
      </c>
      <c r="N1166" s="1" t="s">
        <v>30</v>
      </c>
      <c r="O1166" s="1" t="s">
        <v>2363</v>
      </c>
      <c r="P1166" s="1">
        <v>61319031144</v>
      </c>
      <c r="Q1166" s="1" t="s">
        <v>429</v>
      </c>
      <c r="R1166" s="1" t="s">
        <v>113</v>
      </c>
      <c r="S1166" s="1" t="s">
        <v>470</v>
      </c>
      <c r="U1166" s="1" t="s">
        <v>130</v>
      </c>
      <c r="V1166" s="1" t="s">
        <v>1007</v>
      </c>
      <c r="W1166" s="1" t="str">
        <f>VLOOKUP(Table1[[#This Row],[Obergruppe ATC-Code]],Tabelle3!$A$2:$B$100,2)</f>
        <v>PANKREASHORMONE</v>
      </c>
      <c r="X1166" s="1" t="str">
        <f xml:space="preserve"> LEFT(Table1[[#This Row],[Atc Code]],3)</f>
        <v>H04</v>
      </c>
    </row>
    <row r="1167" spans="1:24" ht="15" customHeight="1">
      <c r="A1167" s="14">
        <v>1337</v>
      </c>
      <c r="B1167" s="24">
        <v>12642459</v>
      </c>
      <c r="C1167" s="1">
        <v>2712087</v>
      </c>
      <c r="D1167" s="1" t="s">
        <v>102</v>
      </c>
      <c r="E1167" s="36">
        <v>44713</v>
      </c>
      <c r="F1167" s="36">
        <v>45657</v>
      </c>
      <c r="G1167" s="38">
        <f t="shared" si="18"/>
        <v>944</v>
      </c>
      <c r="H1167" s="5">
        <v>44662</v>
      </c>
      <c r="I1167" s="5">
        <v>45019</v>
      </c>
      <c r="J1167" s="1" t="s">
        <v>41</v>
      </c>
      <c r="K1167" s="1" t="s">
        <v>2741</v>
      </c>
      <c r="L1167" s="1" t="s">
        <v>2742</v>
      </c>
      <c r="M1167" s="1" t="s">
        <v>2743</v>
      </c>
      <c r="N1167" s="1" t="s">
        <v>38</v>
      </c>
      <c r="O1167" s="1" t="s">
        <v>1207</v>
      </c>
      <c r="P1167" s="1" t="s">
        <v>853</v>
      </c>
      <c r="Q1167" s="1" t="s">
        <v>854</v>
      </c>
      <c r="R1167" s="1" t="s">
        <v>128</v>
      </c>
      <c r="S1167" s="1"/>
      <c r="T1167" s="1" t="s">
        <v>2744</v>
      </c>
      <c r="U1167" s="1" t="s">
        <v>57</v>
      </c>
      <c r="V1167" s="1" t="s">
        <v>803</v>
      </c>
      <c r="W1167" s="1" t="str">
        <f>VLOOKUP(Table1[[#This Row],[Obergruppe ATC-Code]],Tabelle3!$A$2:$B$100,2)</f>
        <v>CALCIUMHOMÖOSTASE</v>
      </c>
      <c r="X1167" s="1" t="str">
        <f xml:space="preserve"> LEFT(Table1[[#This Row],[Atc Code]],3)</f>
        <v>H05</v>
      </c>
    </row>
    <row r="1168" spans="1:24" ht="14.4">
      <c r="A1168" s="14">
        <v>2850</v>
      </c>
      <c r="B1168" s="24" t="s">
        <v>2745</v>
      </c>
      <c r="C1168" s="1">
        <v>7003741</v>
      </c>
      <c r="D1168" s="1" t="s">
        <v>175</v>
      </c>
      <c r="E1168" s="36">
        <v>45108</v>
      </c>
      <c r="F1168" s="36">
        <v>45233</v>
      </c>
      <c r="G1168" s="38">
        <f t="shared" si="18"/>
        <v>125</v>
      </c>
      <c r="H1168" s="5">
        <v>45180</v>
      </c>
      <c r="I1168" s="5">
        <v>45180</v>
      </c>
      <c r="J1168" s="1" t="s">
        <v>41</v>
      </c>
      <c r="K1168" s="1" t="s">
        <v>2746</v>
      </c>
      <c r="L1168" s="1" t="s">
        <v>2747</v>
      </c>
      <c r="M1168" s="1" t="s">
        <v>2748</v>
      </c>
      <c r="N1168" s="1" t="s">
        <v>38</v>
      </c>
      <c r="O1168" s="1" t="s">
        <v>1440</v>
      </c>
      <c r="Q1168" s="1" t="s">
        <v>1541</v>
      </c>
      <c r="R1168" s="1" t="s">
        <v>128</v>
      </c>
      <c r="S1168" s="1"/>
      <c r="U1168" s="1" t="s">
        <v>35</v>
      </c>
      <c r="V1168" s="1" t="s">
        <v>99</v>
      </c>
      <c r="W1168" s="1" t="str">
        <f>VLOOKUP(Table1[[#This Row],[Obergruppe ATC-Code]],Tabelle3!$A$2:$B$100,2)</f>
        <v>CALCIUMHOMÖOSTASE</v>
      </c>
      <c r="X1168" s="1" t="str">
        <f xml:space="preserve"> LEFT(Table1[[#This Row],[Atc Code]],3)</f>
        <v>H05</v>
      </c>
    </row>
    <row r="1169" spans="1:24" ht="15" customHeight="1">
      <c r="A1169" s="14">
        <v>2849</v>
      </c>
      <c r="B1169" s="24" t="s">
        <v>2749</v>
      </c>
      <c r="C1169" s="1">
        <v>7003740</v>
      </c>
      <c r="D1169" s="1" t="s">
        <v>175</v>
      </c>
      <c r="E1169" s="36">
        <v>45108</v>
      </c>
      <c r="F1169" s="36">
        <v>45233</v>
      </c>
      <c r="G1169" s="38">
        <f t="shared" si="18"/>
        <v>125</v>
      </c>
      <c r="H1169" s="5">
        <v>45180</v>
      </c>
      <c r="I1169" s="5">
        <v>45180</v>
      </c>
      <c r="J1169" s="1" t="s">
        <v>41</v>
      </c>
      <c r="K1169" s="1" t="s">
        <v>2750</v>
      </c>
      <c r="L1169" s="1" t="s">
        <v>2747</v>
      </c>
      <c r="M1169" s="1" t="s">
        <v>2748</v>
      </c>
      <c r="N1169" s="1" t="s">
        <v>38</v>
      </c>
      <c r="O1169" s="1" t="s">
        <v>1440</v>
      </c>
      <c r="Q1169" s="1" t="s">
        <v>1541</v>
      </c>
      <c r="R1169" s="1" t="s">
        <v>128</v>
      </c>
      <c r="S1169" s="1"/>
      <c r="U1169" s="1" t="s">
        <v>35</v>
      </c>
      <c r="V1169" s="1" t="s">
        <v>99</v>
      </c>
      <c r="W1169" s="1" t="str">
        <f>VLOOKUP(Table1[[#This Row],[Obergruppe ATC-Code]],Tabelle3!$A$2:$B$100,2)</f>
        <v>CALCIUMHOMÖOSTASE</v>
      </c>
      <c r="X1169" s="1" t="str">
        <f xml:space="preserve"> LEFT(Table1[[#This Row],[Atc Code]],3)</f>
        <v>H05</v>
      </c>
    </row>
    <row r="1170" spans="1:24" ht="19.2" customHeight="1">
      <c r="A1170" s="14">
        <v>2848</v>
      </c>
      <c r="B1170" s="24" t="s">
        <v>2751</v>
      </c>
      <c r="C1170" s="1">
        <v>7003739</v>
      </c>
      <c r="D1170" s="1" t="s">
        <v>175</v>
      </c>
      <c r="E1170" s="36">
        <v>45108</v>
      </c>
      <c r="F1170" s="36">
        <v>45233</v>
      </c>
      <c r="G1170" s="38">
        <f t="shared" si="18"/>
        <v>125</v>
      </c>
      <c r="H1170" s="5">
        <v>45180</v>
      </c>
      <c r="I1170" s="5">
        <v>45180</v>
      </c>
      <c r="J1170" s="1" t="s">
        <v>41</v>
      </c>
      <c r="K1170" s="1" t="s">
        <v>2752</v>
      </c>
      <c r="L1170" s="1" t="s">
        <v>2747</v>
      </c>
      <c r="M1170" s="1" t="s">
        <v>2748</v>
      </c>
      <c r="N1170" s="1" t="s">
        <v>38</v>
      </c>
      <c r="O1170" s="1" t="s">
        <v>1440</v>
      </c>
      <c r="Q1170" s="1" t="s">
        <v>1541</v>
      </c>
      <c r="R1170" s="1" t="s">
        <v>128</v>
      </c>
      <c r="S1170" s="1"/>
      <c r="U1170" s="1" t="s">
        <v>35</v>
      </c>
      <c r="V1170" s="1" t="s">
        <v>99</v>
      </c>
      <c r="W1170" s="1" t="str">
        <f>VLOOKUP(Table1[[#This Row],[Obergruppe ATC-Code]],Tabelle3!$A$2:$B$100,2)</f>
        <v>CALCIUMHOMÖOSTASE</v>
      </c>
      <c r="X1170" s="1" t="str">
        <f xml:space="preserve"> LEFT(Table1[[#This Row],[Atc Code]],3)</f>
        <v>H05</v>
      </c>
    </row>
    <row r="1171" spans="1:24" ht="14.4">
      <c r="A1171" s="14">
        <v>2560</v>
      </c>
      <c r="B1171" s="24" t="s">
        <v>2753</v>
      </c>
      <c r="C1171" s="1">
        <v>2190683</v>
      </c>
      <c r="D1171" s="1" t="s">
        <v>102</v>
      </c>
      <c r="E1171" s="36">
        <v>44896</v>
      </c>
      <c r="F1171" s="36">
        <v>45230</v>
      </c>
      <c r="G1171" s="38">
        <f t="shared" si="18"/>
        <v>334</v>
      </c>
      <c r="H1171" s="5">
        <v>44960</v>
      </c>
      <c r="I1171" s="5">
        <v>45056</v>
      </c>
      <c r="J1171" s="1" t="s">
        <v>41</v>
      </c>
      <c r="K1171" s="1" t="s">
        <v>2754</v>
      </c>
      <c r="L1171" s="1" t="s">
        <v>2755</v>
      </c>
      <c r="M1171" s="1" t="s">
        <v>2756</v>
      </c>
      <c r="N1171" s="1" t="s">
        <v>38</v>
      </c>
      <c r="O1171" s="1" t="s">
        <v>2757</v>
      </c>
      <c r="Q1171" s="1" t="s">
        <v>1727</v>
      </c>
      <c r="R1171" s="1" t="s">
        <v>128</v>
      </c>
      <c r="S1171" s="1"/>
      <c r="U1171" s="1" t="s">
        <v>130</v>
      </c>
      <c r="V1171" s="1" t="s">
        <v>74</v>
      </c>
      <c r="W1171" s="1" t="str">
        <f>VLOOKUP(Table1[[#This Row],[Obergruppe ATC-Code]],Tabelle3!$A$2:$B$100,2)</f>
        <v>CALCIUMHOMÖOSTASE</v>
      </c>
      <c r="X1171" s="1" t="str">
        <f xml:space="preserve"> LEFT(Table1[[#This Row],[Atc Code]],3)</f>
        <v>H05</v>
      </c>
    </row>
    <row r="1172" spans="1:24" ht="14.4">
      <c r="A1172" s="14">
        <v>1192</v>
      </c>
      <c r="B1172" s="24">
        <v>10762797</v>
      </c>
      <c r="C1172" s="1">
        <v>2190682</v>
      </c>
      <c r="D1172" s="1" t="s">
        <v>102</v>
      </c>
      <c r="E1172" s="36">
        <v>44896</v>
      </c>
      <c r="F1172" s="36">
        <v>45230</v>
      </c>
      <c r="G1172" s="38">
        <f t="shared" si="18"/>
        <v>334</v>
      </c>
      <c r="H1172" s="5">
        <v>44960</v>
      </c>
      <c r="I1172" s="5">
        <v>45056</v>
      </c>
      <c r="J1172" s="1" t="s">
        <v>41</v>
      </c>
      <c r="K1172" s="1" t="s">
        <v>2758</v>
      </c>
      <c r="L1172" s="1" t="s">
        <v>2755</v>
      </c>
      <c r="M1172" s="1" t="s">
        <v>2756</v>
      </c>
      <c r="N1172" s="1" t="s">
        <v>38</v>
      </c>
      <c r="O1172" s="1" t="s">
        <v>2757</v>
      </c>
      <c r="Q1172" s="1" t="s">
        <v>1727</v>
      </c>
      <c r="R1172" s="1" t="s">
        <v>128</v>
      </c>
      <c r="S1172" s="1"/>
      <c r="U1172" s="1" t="s">
        <v>130</v>
      </c>
      <c r="V1172" s="1" t="s">
        <v>74</v>
      </c>
      <c r="W1172" s="1" t="str">
        <f>VLOOKUP(Table1[[#This Row],[Obergruppe ATC-Code]],Tabelle3!$A$2:$B$100,2)</f>
        <v>CALCIUMHOMÖOSTASE</v>
      </c>
      <c r="X1172" s="1" t="str">
        <f xml:space="preserve"> LEFT(Table1[[#This Row],[Atc Code]],3)</f>
        <v>H05</v>
      </c>
    </row>
    <row r="1173" spans="1:24" ht="14.4">
      <c r="A1173" s="14">
        <v>1713</v>
      </c>
      <c r="B1173" s="24" t="s">
        <v>2759</v>
      </c>
      <c r="C1173" s="1">
        <v>2165881</v>
      </c>
      <c r="D1173" s="1" t="s">
        <v>25</v>
      </c>
      <c r="E1173" s="36">
        <v>43739</v>
      </c>
      <c r="F1173" s="36">
        <v>43769</v>
      </c>
      <c r="G1173" s="38">
        <f t="shared" si="18"/>
        <v>30</v>
      </c>
      <c r="H1173" s="5">
        <v>43747</v>
      </c>
      <c r="I1173" s="5">
        <v>43761</v>
      </c>
      <c r="J1173" s="1" t="s">
        <v>26</v>
      </c>
      <c r="K1173" s="1" t="s">
        <v>2760</v>
      </c>
      <c r="L1173" s="1" t="s">
        <v>2761</v>
      </c>
      <c r="M1173" s="1" t="s">
        <v>2087</v>
      </c>
      <c r="N1173" s="1" t="s">
        <v>38</v>
      </c>
      <c r="O1173" s="1" t="s">
        <v>1979</v>
      </c>
      <c r="P1173" s="1" t="s">
        <v>1980</v>
      </c>
      <c r="Q1173" s="1" t="s">
        <v>1981</v>
      </c>
      <c r="R1173" s="1" t="s">
        <v>33</v>
      </c>
      <c r="S1173" s="1"/>
      <c r="T1173" s="1" t="s">
        <v>2762</v>
      </c>
      <c r="U1173" s="1" t="s">
        <v>57</v>
      </c>
      <c r="V1173" s="1" t="s">
        <v>2321</v>
      </c>
      <c r="W1173" s="1" t="str">
        <f>VLOOKUP(Table1[[#This Row],[Obergruppe ATC-Code]],Tabelle3!$A$2:$B$100,2)</f>
        <v>ANTIBIOTIKA ZUR SYSTEMISCHEN ANWENDUNG</v>
      </c>
      <c r="X1173" s="1" t="str">
        <f xml:space="preserve"> LEFT(Table1[[#This Row],[Atc Code]],3)</f>
        <v>J01</v>
      </c>
    </row>
    <row r="1174" spans="1:24" ht="14.4">
      <c r="A1174" s="14">
        <v>2989</v>
      </c>
      <c r="B1174" s="24" t="s">
        <v>2763</v>
      </c>
      <c r="C1174" s="1">
        <v>2125018</v>
      </c>
      <c r="D1174" s="1" t="s">
        <v>25</v>
      </c>
      <c r="E1174" s="36">
        <v>43891</v>
      </c>
      <c r="F1174" s="36">
        <v>43951</v>
      </c>
      <c r="G1174" s="38">
        <f t="shared" si="18"/>
        <v>60</v>
      </c>
      <c r="H1174" s="5">
        <v>43917</v>
      </c>
      <c r="I1174" s="5">
        <v>43951</v>
      </c>
      <c r="J1174" s="1" t="s">
        <v>41</v>
      </c>
      <c r="K1174" s="1" t="s">
        <v>2764</v>
      </c>
      <c r="L1174" s="1" t="s">
        <v>2761</v>
      </c>
      <c r="M1174" s="1" t="s">
        <v>2087</v>
      </c>
      <c r="N1174" s="1" t="s">
        <v>38</v>
      </c>
      <c r="O1174" s="1" t="s">
        <v>52</v>
      </c>
      <c r="P1174" s="1" t="s">
        <v>53</v>
      </c>
      <c r="Q1174" s="1" t="s">
        <v>54</v>
      </c>
      <c r="R1174" s="1" t="s">
        <v>48</v>
      </c>
      <c r="S1174" s="1"/>
      <c r="U1174" s="1" t="s">
        <v>35</v>
      </c>
      <c r="V1174" s="1" t="s">
        <v>49</v>
      </c>
      <c r="W1174" s="1" t="str">
        <f>VLOOKUP(Table1[[#This Row],[Obergruppe ATC-Code]],Tabelle3!$A$2:$B$100,2)</f>
        <v>ANTIBIOTIKA ZUR SYSTEMISCHEN ANWENDUNG</v>
      </c>
      <c r="X1174" s="1" t="str">
        <f xml:space="preserve"> LEFT(Table1[[#This Row],[Atc Code]],3)</f>
        <v>J01</v>
      </c>
    </row>
    <row r="1175" spans="1:24" ht="14.4">
      <c r="A1175" s="14">
        <v>1712</v>
      </c>
      <c r="B1175" s="24" t="s">
        <v>2759</v>
      </c>
      <c r="C1175" s="1">
        <v>2165881</v>
      </c>
      <c r="D1175" s="1" t="s">
        <v>25</v>
      </c>
      <c r="E1175" s="36">
        <v>43922</v>
      </c>
      <c r="F1175" s="36">
        <v>44012</v>
      </c>
      <c r="G1175" s="38">
        <f t="shared" si="18"/>
        <v>90</v>
      </c>
      <c r="H1175" s="5">
        <v>43980</v>
      </c>
      <c r="I1175" s="5">
        <v>44018</v>
      </c>
      <c r="J1175" s="1" t="s">
        <v>41</v>
      </c>
      <c r="K1175" s="1" t="s">
        <v>2760</v>
      </c>
      <c r="L1175" s="1" t="s">
        <v>2761</v>
      </c>
      <c r="M1175" s="1" t="s">
        <v>2087</v>
      </c>
      <c r="N1175" s="1" t="s">
        <v>38</v>
      </c>
      <c r="O1175" s="1" t="s">
        <v>1979</v>
      </c>
      <c r="P1175" s="1" t="s">
        <v>1980</v>
      </c>
      <c r="Q1175" s="1" t="s">
        <v>1981</v>
      </c>
      <c r="R1175" s="1" t="s">
        <v>26</v>
      </c>
      <c r="S1175" s="1"/>
      <c r="T1175" s="1" t="s">
        <v>2762</v>
      </c>
      <c r="U1175" s="1" t="s">
        <v>35</v>
      </c>
      <c r="V1175" s="1" t="s">
        <v>2321</v>
      </c>
      <c r="W1175" s="1" t="str">
        <f>VLOOKUP(Table1[[#This Row],[Obergruppe ATC-Code]],Tabelle3!$A$2:$B$100,2)</f>
        <v>ANTIBIOTIKA ZUR SYSTEMISCHEN ANWENDUNG</v>
      </c>
      <c r="X1175" s="1" t="str">
        <f xml:space="preserve"> LEFT(Table1[[#This Row],[Atc Code]],3)</f>
        <v>J01</v>
      </c>
    </row>
    <row r="1176" spans="1:24" ht="14.4">
      <c r="A1176" s="14">
        <v>2148</v>
      </c>
      <c r="B1176" s="24" t="s">
        <v>2765</v>
      </c>
      <c r="C1176" s="1">
        <v>727386</v>
      </c>
      <c r="D1176" s="1" t="s">
        <v>102</v>
      </c>
      <c r="E1176" s="36">
        <v>44904</v>
      </c>
      <c r="F1176" s="36">
        <v>45271</v>
      </c>
      <c r="G1176" s="38">
        <f t="shared" si="18"/>
        <v>367</v>
      </c>
      <c r="H1176" s="5">
        <v>44904</v>
      </c>
      <c r="I1176" s="5">
        <v>45187</v>
      </c>
      <c r="J1176" s="1" t="s">
        <v>26</v>
      </c>
      <c r="K1176" s="1" t="s">
        <v>2766</v>
      </c>
      <c r="L1176" s="1" t="s">
        <v>2767</v>
      </c>
      <c r="M1176" s="1" t="s">
        <v>2768</v>
      </c>
      <c r="N1176" s="1" t="s">
        <v>30</v>
      </c>
      <c r="O1176" s="1" t="s">
        <v>2769</v>
      </c>
      <c r="P1176" s="1" t="s">
        <v>2770</v>
      </c>
      <c r="Q1176" s="1" t="s">
        <v>2771</v>
      </c>
      <c r="R1176" s="1" t="s">
        <v>113</v>
      </c>
      <c r="S1176" s="1" t="s">
        <v>2772</v>
      </c>
      <c r="T1176" s="1" t="s">
        <v>2773</v>
      </c>
      <c r="U1176" s="1" t="s">
        <v>35</v>
      </c>
      <c r="V1176" s="1" t="s">
        <v>259</v>
      </c>
      <c r="W1176" s="1" t="str">
        <f>VLOOKUP(Table1[[#This Row],[Obergruppe ATC-Code]],Tabelle3!$A$2:$B$100,2)</f>
        <v>ANTIBIOTIKA ZUR SYSTEMISCHEN ANWENDUNG</v>
      </c>
      <c r="X1176" s="1" t="str">
        <f xml:space="preserve"> LEFT(Table1[[#This Row],[Atc Code]],3)</f>
        <v>J01</v>
      </c>
    </row>
    <row r="1177" spans="1:24" ht="14.4">
      <c r="A1177" s="14">
        <v>341</v>
      </c>
      <c r="B1177" s="24">
        <v>2036634</v>
      </c>
      <c r="C1177" s="1">
        <v>613441</v>
      </c>
      <c r="D1177" s="1" t="s">
        <v>25</v>
      </c>
      <c r="E1177" s="36">
        <v>43497</v>
      </c>
      <c r="F1177" s="36">
        <v>43555</v>
      </c>
      <c r="G1177" s="38">
        <f t="shared" si="18"/>
        <v>58</v>
      </c>
      <c r="H1177" s="5">
        <v>43487</v>
      </c>
      <c r="I1177" s="5">
        <v>43530</v>
      </c>
      <c r="J1177" s="1" t="s">
        <v>41</v>
      </c>
      <c r="K1177" s="1" t="s">
        <v>2774</v>
      </c>
      <c r="L1177" s="1" t="s">
        <v>2775</v>
      </c>
      <c r="M1177" s="1" t="s">
        <v>2776</v>
      </c>
      <c r="N1177" s="1" t="s">
        <v>30</v>
      </c>
      <c r="O1177" s="1" t="s">
        <v>45</v>
      </c>
      <c r="P1177" s="1" t="s">
        <v>71</v>
      </c>
      <c r="Q1177" s="1" t="s">
        <v>47</v>
      </c>
      <c r="R1177" s="1" t="s">
        <v>26</v>
      </c>
      <c r="S1177" s="1"/>
      <c r="T1177" s="1" t="s">
        <v>2777</v>
      </c>
      <c r="U1177" s="1" t="s">
        <v>35</v>
      </c>
      <c r="V1177" s="1" t="s">
        <v>1009</v>
      </c>
      <c r="W1177" s="1" t="str">
        <f>VLOOKUP(Table1[[#This Row],[Obergruppe ATC-Code]],Tabelle3!$A$2:$B$100,2)</f>
        <v>ANTIBIOTIKA ZUR SYSTEMISCHEN ANWENDUNG</v>
      </c>
      <c r="X1177" s="1" t="str">
        <f xml:space="preserve"> LEFT(Table1[[#This Row],[Atc Code]],3)</f>
        <v>J01</v>
      </c>
    </row>
    <row r="1178" spans="1:24" ht="14.4">
      <c r="A1178" s="14">
        <v>338</v>
      </c>
      <c r="B1178" s="24">
        <v>2036628</v>
      </c>
      <c r="C1178" s="1">
        <v>613518</v>
      </c>
      <c r="D1178" s="1" t="s">
        <v>25</v>
      </c>
      <c r="E1178" s="36">
        <v>43497</v>
      </c>
      <c r="F1178" s="36">
        <v>43616</v>
      </c>
      <c r="G1178" s="38">
        <f t="shared" si="18"/>
        <v>119</v>
      </c>
      <c r="H1178" s="5">
        <v>43487</v>
      </c>
      <c r="I1178" s="5">
        <v>43595</v>
      </c>
      <c r="J1178" s="1" t="s">
        <v>41</v>
      </c>
      <c r="K1178" s="1" t="s">
        <v>2778</v>
      </c>
      <c r="L1178" s="1" t="s">
        <v>2775</v>
      </c>
      <c r="M1178" s="1" t="s">
        <v>2776</v>
      </c>
      <c r="N1178" s="1" t="s">
        <v>30</v>
      </c>
      <c r="O1178" s="1" t="s">
        <v>45</v>
      </c>
      <c r="P1178" s="1" t="s">
        <v>71</v>
      </c>
      <c r="Q1178" s="1" t="s">
        <v>47</v>
      </c>
      <c r="R1178" s="1" t="s">
        <v>26</v>
      </c>
      <c r="S1178" s="1"/>
      <c r="T1178" s="1" t="s">
        <v>2777</v>
      </c>
      <c r="U1178" s="1" t="s">
        <v>35</v>
      </c>
      <c r="V1178" s="1" t="s">
        <v>1009</v>
      </c>
      <c r="W1178" s="1" t="str">
        <f>VLOOKUP(Table1[[#This Row],[Obergruppe ATC-Code]],Tabelle3!$A$2:$B$100,2)</f>
        <v>ANTIBIOTIKA ZUR SYSTEMISCHEN ANWENDUNG</v>
      </c>
      <c r="X1178" s="1" t="str">
        <f xml:space="preserve"> LEFT(Table1[[#This Row],[Atc Code]],3)</f>
        <v>J01</v>
      </c>
    </row>
    <row r="1179" spans="1:24" ht="14.4">
      <c r="A1179" s="14">
        <v>346</v>
      </c>
      <c r="B1179" s="24">
        <v>2036640</v>
      </c>
      <c r="C1179" s="1">
        <v>614452</v>
      </c>
      <c r="D1179" s="1" t="s">
        <v>25</v>
      </c>
      <c r="E1179" s="36">
        <v>43525</v>
      </c>
      <c r="F1179" s="36">
        <v>43646</v>
      </c>
      <c r="G1179" s="38">
        <f t="shared" si="18"/>
        <v>121</v>
      </c>
      <c r="H1179" s="5">
        <v>43545</v>
      </c>
      <c r="I1179" s="5">
        <v>43644</v>
      </c>
      <c r="J1179" s="1" t="s">
        <v>41</v>
      </c>
      <c r="K1179" s="1" t="s">
        <v>2779</v>
      </c>
      <c r="L1179" s="1" t="s">
        <v>2775</v>
      </c>
      <c r="M1179" s="1" t="s">
        <v>2776</v>
      </c>
      <c r="N1179" s="1" t="s">
        <v>30</v>
      </c>
      <c r="O1179" s="1" t="s">
        <v>45</v>
      </c>
      <c r="P1179" s="1" t="s">
        <v>71</v>
      </c>
      <c r="Q1179" s="1" t="s">
        <v>47</v>
      </c>
      <c r="R1179" s="1" t="s">
        <v>26</v>
      </c>
      <c r="S1179" s="1"/>
      <c r="T1179" s="1" t="s">
        <v>2780</v>
      </c>
      <c r="U1179" s="1" t="s">
        <v>35</v>
      </c>
      <c r="V1179" s="1" t="s">
        <v>154</v>
      </c>
      <c r="W1179" s="1" t="str">
        <f>VLOOKUP(Table1[[#This Row],[Obergruppe ATC-Code]],Tabelle3!$A$2:$B$100,2)</f>
        <v>ANTIBIOTIKA ZUR SYSTEMISCHEN ANWENDUNG</v>
      </c>
      <c r="X1179" s="1" t="str">
        <f xml:space="preserve"> LEFT(Table1[[#This Row],[Atc Code]],3)</f>
        <v>J01</v>
      </c>
    </row>
    <row r="1180" spans="1:24" ht="14.4">
      <c r="A1180" s="14">
        <v>332</v>
      </c>
      <c r="B1180" s="24">
        <v>2036611</v>
      </c>
      <c r="C1180" s="1">
        <v>613493</v>
      </c>
      <c r="D1180" s="1" t="s">
        <v>25</v>
      </c>
      <c r="E1180" s="36">
        <v>43556</v>
      </c>
      <c r="F1180" s="36">
        <v>43708</v>
      </c>
      <c r="G1180" s="38">
        <f t="shared" si="18"/>
        <v>152</v>
      </c>
      <c r="H1180" s="5">
        <v>43545</v>
      </c>
      <c r="I1180" s="5">
        <v>43670</v>
      </c>
      <c r="J1180" s="1" t="s">
        <v>41</v>
      </c>
      <c r="K1180" s="1" t="s">
        <v>2781</v>
      </c>
      <c r="L1180" s="1" t="s">
        <v>2775</v>
      </c>
      <c r="M1180" s="1" t="s">
        <v>2776</v>
      </c>
      <c r="N1180" s="1" t="s">
        <v>30</v>
      </c>
      <c r="O1180" s="1" t="s">
        <v>45</v>
      </c>
      <c r="P1180" s="1" t="s">
        <v>71</v>
      </c>
      <c r="Q1180" s="1" t="s">
        <v>47</v>
      </c>
      <c r="R1180" s="1" t="s">
        <v>26</v>
      </c>
      <c r="S1180" s="1"/>
      <c r="T1180" s="1" t="s">
        <v>2780</v>
      </c>
      <c r="U1180" s="1" t="s">
        <v>35</v>
      </c>
      <c r="V1180" s="1" t="s">
        <v>1009</v>
      </c>
      <c r="W1180" s="1" t="str">
        <f>VLOOKUP(Table1[[#This Row],[Obergruppe ATC-Code]],Tabelle3!$A$2:$B$100,2)</f>
        <v>ANTIBIOTIKA ZUR SYSTEMISCHEN ANWENDUNG</v>
      </c>
      <c r="X1180" s="1" t="str">
        <f xml:space="preserve"> LEFT(Table1[[#This Row],[Atc Code]],3)</f>
        <v>J01</v>
      </c>
    </row>
    <row r="1181" spans="1:24" ht="14.4">
      <c r="A1181" s="14">
        <v>350</v>
      </c>
      <c r="B1181" s="24">
        <v>2036640</v>
      </c>
      <c r="C1181" s="1">
        <v>614452</v>
      </c>
      <c r="D1181" s="1" t="s">
        <v>25</v>
      </c>
      <c r="E1181" s="36">
        <v>44593</v>
      </c>
      <c r="F1181" s="36">
        <v>44593</v>
      </c>
      <c r="G1181" s="38">
        <f t="shared" si="18"/>
        <v>0</v>
      </c>
      <c r="H1181" s="5">
        <v>44533</v>
      </c>
      <c r="I1181" s="5">
        <v>44581</v>
      </c>
      <c r="J1181" s="1" t="s">
        <v>41</v>
      </c>
      <c r="K1181" s="1" t="s">
        <v>2779</v>
      </c>
      <c r="L1181" s="1" t="s">
        <v>2775</v>
      </c>
      <c r="M1181" s="1" t="s">
        <v>2776</v>
      </c>
      <c r="N1181" s="1" t="s">
        <v>30</v>
      </c>
      <c r="O1181" s="1" t="s">
        <v>45</v>
      </c>
      <c r="P1181" s="1" t="s">
        <v>71</v>
      </c>
      <c r="Q1181" s="1" t="s">
        <v>56</v>
      </c>
      <c r="R1181" s="1" t="s">
        <v>128</v>
      </c>
      <c r="S1181" s="1"/>
      <c r="U1181" s="1" t="s">
        <v>130</v>
      </c>
      <c r="V1181" s="1" t="s">
        <v>154</v>
      </c>
      <c r="W1181" s="1" t="str">
        <f>VLOOKUP(Table1[[#This Row],[Obergruppe ATC-Code]],Tabelle3!$A$2:$B$100,2)</f>
        <v>ANTIBIOTIKA ZUR SYSTEMISCHEN ANWENDUNG</v>
      </c>
      <c r="X1181" s="1" t="str">
        <f xml:space="preserve"> LEFT(Table1[[#This Row],[Atc Code]],3)</f>
        <v>J01</v>
      </c>
    </row>
    <row r="1182" spans="1:24" ht="14.4">
      <c r="A1182" s="14">
        <v>345</v>
      </c>
      <c r="B1182" s="24">
        <v>2036634</v>
      </c>
      <c r="C1182" s="1">
        <v>613441</v>
      </c>
      <c r="D1182" s="1" t="s">
        <v>25</v>
      </c>
      <c r="E1182" s="36">
        <v>44575</v>
      </c>
      <c r="F1182" s="36">
        <v>44581</v>
      </c>
      <c r="G1182" s="38">
        <f t="shared" si="18"/>
        <v>6</v>
      </c>
      <c r="H1182" s="5">
        <v>44510</v>
      </c>
      <c r="I1182" s="5">
        <v>44581</v>
      </c>
      <c r="J1182" s="1" t="s">
        <v>41</v>
      </c>
      <c r="K1182" s="1" t="s">
        <v>2774</v>
      </c>
      <c r="L1182" s="1" t="s">
        <v>2775</v>
      </c>
      <c r="M1182" s="1" t="s">
        <v>2776</v>
      </c>
      <c r="N1182" s="1" t="s">
        <v>30</v>
      </c>
      <c r="O1182" s="1" t="s">
        <v>45</v>
      </c>
      <c r="P1182" s="1" t="s">
        <v>71</v>
      </c>
      <c r="Q1182" s="1" t="s">
        <v>56</v>
      </c>
      <c r="R1182" s="1" t="s">
        <v>128</v>
      </c>
      <c r="S1182" s="1"/>
      <c r="U1182" s="1" t="s">
        <v>130</v>
      </c>
      <c r="V1182" s="1" t="s">
        <v>1009</v>
      </c>
      <c r="W1182" s="1" t="str">
        <f>VLOOKUP(Table1[[#This Row],[Obergruppe ATC-Code]],Tabelle3!$A$2:$B$100,2)</f>
        <v>ANTIBIOTIKA ZUR SYSTEMISCHEN ANWENDUNG</v>
      </c>
      <c r="X1182" s="1" t="str">
        <f xml:space="preserve"> LEFT(Table1[[#This Row],[Atc Code]],3)</f>
        <v>J01</v>
      </c>
    </row>
    <row r="1183" spans="1:24" ht="14.4">
      <c r="A1183" s="14">
        <v>336</v>
      </c>
      <c r="B1183" s="24">
        <v>2036611</v>
      </c>
      <c r="C1183" s="1">
        <v>613493</v>
      </c>
      <c r="D1183" s="1" t="s">
        <v>25</v>
      </c>
      <c r="E1183" s="36">
        <v>44545</v>
      </c>
      <c r="F1183" s="36">
        <v>44581</v>
      </c>
      <c r="G1183" s="38">
        <f t="shared" si="18"/>
        <v>36</v>
      </c>
      <c r="H1183" s="5">
        <v>44510</v>
      </c>
      <c r="I1183" s="5">
        <v>44581</v>
      </c>
      <c r="J1183" s="1" t="s">
        <v>41</v>
      </c>
      <c r="K1183" s="1" t="s">
        <v>2781</v>
      </c>
      <c r="L1183" s="1" t="s">
        <v>2775</v>
      </c>
      <c r="M1183" s="1" t="s">
        <v>2776</v>
      </c>
      <c r="N1183" s="1" t="s">
        <v>30</v>
      </c>
      <c r="O1183" s="1" t="s">
        <v>45</v>
      </c>
      <c r="P1183" s="1" t="s">
        <v>71</v>
      </c>
      <c r="Q1183" s="1" t="s">
        <v>56</v>
      </c>
      <c r="R1183" s="1" t="s">
        <v>128</v>
      </c>
      <c r="S1183" s="1"/>
      <c r="U1183" s="1" t="s">
        <v>35</v>
      </c>
      <c r="V1183" s="1" t="s">
        <v>1009</v>
      </c>
      <c r="W1183" s="1" t="str">
        <f>VLOOKUP(Table1[[#This Row],[Obergruppe ATC-Code]],Tabelle3!$A$2:$B$100,2)</f>
        <v>ANTIBIOTIKA ZUR SYSTEMISCHEN ANWENDUNG</v>
      </c>
      <c r="X1183" s="1" t="str">
        <f xml:space="preserve"> LEFT(Table1[[#This Row],[Atc Code]],3)</f>
        <v>J01</v>
      </c>
    </row>
    <row r="1184" spans="1:24" ht="14.4">
      <c r="A1184" s="14">
        <v>337</v>
      </c>
      <c r="B1184" s="24">
        <v>2036628</v>
      </c>
      <c r="C1184" s="1">
        <v>613518</v>
      </c>
      <c r="D1184" s="1" t="s">
        <v>25</v>
      </c>
      <c r="E1184" s="36">
        <v>44607</v>
      </c>
      <c r="F1184" s="36">
        <v>44621</v>
      </c>
      <c r="G1184" s="38">
        <f t="shared" si="18"/>
        <v>14</v>
      </c>
      <c r="H1184" s="5">
        <v>44510</v>
      </c>
      <c r="I1184" s="5">
        <v>44637</v>
      </c>
      <c r="J1184" s="1" t="s">
        <v>41</v>
      </c>
      <c r="K1184" s="1" t="s">
        <v>2778</v>
      </c>
      <c r="L1184" s="1" t="s">
        <v>2775</v>
      </c>
      <c r="M1184" s="1" t="s">
        <v>2776</v>
      </c>
      <c r="N1184" s="1" t="s">
        <v>30</v>
      </c>
      <c r="O1184" s="1" t="s">
        <v>45</v>
      </c>
      <c r="P1184" s="1" t="s">
        <v>71</v>
      </c>
      <c r="Q1184" s="1" t="s">
        <v>56</v>
      </c>
      <c r="R1184" s="1" t="s">
        <v>128</v>
      </c>
      <c r="S1184" s="1"/>
      <c r="T1184" s="1" t="s">
        <v>2780</v>
      </c>
      <c r="U1184" s="1" t="s">
        <v>35</v>
      </c>
      <c r="V1184" s="1" t="s">
        <v>1009</v>
      </c>
      <c r="W1184" s="1" t="str">
        <f>VLOOKUP(Table1[[#This Row],[Obergruppe ATC-Code]],Tabelle3!$A$2:$B$100,2)</f>
        <v>ANTIBIOTIKA ZUR SYSTEMISCHEN ANWENDUNG</v>
      </c>
      <c r="X1184" s="1" t="str">
        <f xml:space="preserve"> LEFT(Table1[[#This Row],[Atc Code]],3)</f>
        <v>J01</v>
      </c>
    </row>
    <row r="1185" spans="1:24" ht="14.4">
      <c r="A1185" s="14">
        <v>349</v>
      </c>
      <c r="B1185" s="24">
        <v>2036640</v>
      </c>
      <c r="C1185" s="1">
        <v>614452</v>
      </c>
      <c r="D1185" s="1" t="s">
        <v>25</v>
      </c>
      <c r="E1185" s="36">
        <v>44636</v>
      </c>
      <c r="F1185" s="36">
        <v>44641</v>
      </c>
      <c r="G1185" s="38">
        <f t="shared" si="18"/>
        <v>5</v>
      </c>
      <c r="H1185" s="5">
        <v>44636</v>
      </c>
      <c r="I1185" s="5">
        <v>44641</v>
      </c>
      <c r="J1185" s="1" t="s">
        <v>41</v>
      </c>
      <c r="K1185" s="1" t="s">
        <v>2779</v>
      </c>
      <c r="L1185" s="1" t="s">
        <v>2775</v>
      </c>
      <c r="M1185" s="1" t="s">
        <v>2776</v>
      </c>
      <c r="N1185" s="1" t="s">
        <v>30</v>
      </c>
      <c r="O1185" s="1" t="s">
        <v>45</v>
      </c>
      <c r="P1185" s="1" t="s">
        <v>2782</v>
      </c>
      <c r="Q1185" s="1" t="s">
        <v>1300</v>
      </c>
      <c r="R1185" s="1" t="s">
        <v>128</v>
      </c>
      <c r="S1185" s="1" t="s">
        <v>2783</v>
      </c>
      <c r="U1185" s="1" t="s">
        <v>130</v>
      </c>
      <c r="V1185" s="1" t="s">
        <v>154</v>
      </c>
      <c r="W1185" s="1" t="str">
        <f>VLOOKUP(Table1[[#This Row],[Obergruppe ATC-Code]],Tabelle3!$A$2:$B$100,2)</f>
        <v>ANTIBIOTIKA ZUR SYSTEMISCHEN ANWENDUNG</v>
      </c>
      <c r="X1185" s="1" t="str">
        <f xml:space="preserve"> LEFT(Table1[[#This Row],[Atc Code]],3)</f>
        <v>J01</v>
      </c>
    </row>
    <row r="1186" spans="1:24" ht="14.4">
      <c r="A1186" s="14">
        <v>344</v>
      </c>
      <c r="B1186" s="24">
        <v>2036634</v>
      </c>
      <c r="C1186" s="1">
        <v>613441</v>
      </c>
      <c r="D1186" s="1" t="s">
        <v>25</v>
      </c>
      <c r="E1186" s="36">
        <v>44636</v>
      </c>
      <c r="F1186" s="36">
        <v>44641</v>
      </c>
      <c r="G1186" s="38">
        <f t="shared" si="18"/>
        <v>5</v>
      </c>
      <c r="H1186" s="5">
        <v>44636</v>
      </c>
      <c r="I1186" s="5">
        <v>44641</v>
      </c>
      <c r="J1186" s="1" t="s">
        <v>41</v>
      </c>
      <c r="K1186" s="1" t="s">
        <v>2774</v>
      </c>
      <c r="L1186" s="1" t="s">
        <v>2775</v>
      </c>
      <c r="M1186" s="1" t="s">
        <v>2776</v>
      </c>
      <c r="N1186" s="1" t="s">
        <v>30</v>
      </c>
      <c r="O1186" s="1" t="s">
        <v>45</v>
      </c>
      <c r="P1186" s="1" t="s">
        <v>2784</v>
      </c>
      <c r="Q1186" s="1" t="s">
        <v>1300</v>
      </c>
      <c r="R1186" s="1" t="s">
        <v>128</v>
      </c>
      <c r="S1186" s="1" t="s">
        <v>2785</v>
      </c>
      <c r="U1186" s="1" t="s">
        <v>130</v>
      </c>
      <c r="V1186" s="1" t="s">
        <v>1009</v>
      </c>
      <c r="W1186" s="1" t="str">
        <f>VLOOKUP(Table1[[#This Row],[Obergruppe ATC-Code]],Tabelle3!$A$2:$B$100,2)</f>
        <v>ANTIBIOTIKA ZUR SYSTEMISCHEN ANWENDUNG</v>
      </c>
      <c r="X1186" s="1" t="str">
        <f xml:space="preserve"> LEFT(Table1[[#This Row],[Atc Code]],3)</f>
        <v>J01</v>
      </c>
    </row>
    <row r="1187" spans="1:24" ht="14.4">
      <c r="A1187" s="14">
        <v>340</v>
      </c>
      <c r="B1187" s="24">
        <v>2036628</v>
      </c>
      <c r="C1187" s="1">
        <v>613518</v>
      </c>
      <c r="D1187" s="1" t="s">
        <v>25</v>
      </c>
      <c r="E1187" s="36">
        <v>44636</v>
      </c>
      <c r="F1187" s="36">
        <v>44641</v>
      </c>
      <c r="G1187" s="38">
        <f t="shared" si="18"/>
        <v>5</v>
      </c>
      <c r="H1187" s="5">
        <v>44636</v>
      </c>
      <c r="I1187" s="5">
        <v>44641</v>
      </c>
      <c r="J1187" s="1" t="s">
        <v>41</v>
      </c>
      <c r="K1187" s="1" t="s">
        <v>2778</v>
      </c>
      <c r="L1187" s="1" t="s">
        <v>2775</v>
      </c>
      <c r="M1187" s="1" t="s">
        <v>2776</v>
      </c>
      <c r="N1187" s="1" t="s">
        <v>30</v>
      </c>
      <c r="O1187" s="1" t="s">
        <v>45</v>
      </c>
      <c r="P1187" s="1" t="s">
        <v>2784</v>
      </c>
      <c r="Q1187" s="1" t="s">
        <v>1300</v>
      </c>
      <c r="R1187" s="1" t="s">
        <v>128</v>
      </c>
      <c r="S1187" s="1" t="s">
        <v>2783</v>
      </c>
      <c r="U1187" s="1" t="s">
        <v>130</v>
      </c>
      <c r="V1187" s="1" t="s">
        <v>1009</v>
      </c>
      <c r="W1187" s="1" t="str">
        <f>VLOOKUP(Table1[[#This Row],[Obergruppe ATC-Code]],Tabelle3!$A$2:$B$100,2)</f>
        <v>ANTIBIOTIKA ZUR SYSTEMISCHEN ANWENDUNG</v>
      </c>
      <c r="X1187" s="1" t="str">
        <f xml:space="preserve"> LEFT(Table1[[#This Row],[Atc Code]],3)</f>
        <v>J01</v>
      </c>
    </row>
    <row r="1188" spans="1:24" ht="14.4">
      <c r="A1188" s="14">
        <v>335</v>
      </c>
      <c r="B1188" s="24">
        <v>2036611</v>
      </c>
      <c r="C1188" s="1">
        <v>613493</v>
      </c>
      <c r="D1188" s="1" t="s">
        <v>25</v>
      </c>
      <c r="E1188" s="36">
        <v>44636</v>
      </c>
      <c r="F1188" s="36">
        <v>44641</v>
      </c>
      <c r="G1188" s="38">
        <f t="shared" si="18"/>
        <v>5</v>
      </c>
      <c r="H1188" s="5">
        <v>44636</v>
      </c>
      <c r="I1188" s="5">
        <v>44641</v>
      </c>
      <c r="J1188" s="1" t="s">
        <v>41</v>
      </c>
      <c r="K1188" s="1" t="s">
        <v>2781</v>
      </c>
      <c r="L1188" s="1" t="s">
        <v>2775</v>
      </c>
      <c r="M1188" s="1" t="s">
        <v>2776</v>
      </c>
      <c r="N1188" s="1" t="s">
        <v>30</v>
      </c>
      <c r="O1188" s="1" t="s">
        <v>45</v>
      </c>
      <c r="P1188" s="1">
        <v>1726802672</v>
      </c>
      <c r="Q1188" s="1" t="s">
        <v>2786</v>
      </c>
      <c r="R1188" s="1" t="s">
        <v>128</v>
      </c>
      <c r="S1188" s="1" t="s">
        <v>2785</v>
      </c>
      <c r="U1188" s="1" t="s">
        <v>130</v>
      </c>
      <c r="V1188" s="1" t="s">
        <v>1009</v>
      </c>
      <c r="W1188" s="1" t="str">
        <f>VLOOKUP(Table1[[#This Row],[Obergruppe ATC-Code]],Tabelle3!$A$2:$B$100,2)</f>
        <v>ANTIBIOTIKA ZUR SYSTEMISCHEN ANWENDUNG</v>
      </c>
      <c r="X1188" s="1" t="str">
        <f xml:space="preserve"> LEFT(Table1[[#This Row],[Atc Code]],3)</f>
        <v>J01</v>
      </c>
    </row>
    <row r="1189" spans="1:24" ht="14.4">
      <c r="A1189" s="14">
        <v>339</v>
      </c>
      <c r="B1189" s="24">
        <v>2036628</v>
      </c>
      <c r="C1189" s="1">
        <v>613518</v>
      </c>
      <c r="D1189" s="1" t="s">
        <v>25</v>
      </c>
      <c r="E1189" s="36">
        <v>44683</v>
      </c>
      <c r="F1189" s="36">
        <v>44760</v>
      </c>
      <c r="G1189" s="38">
        <f t="shared" si="18"/>
        <v>77</v>
      </c>
      <c r="H1189" s="5">
        <v>44683</v>
      </c>
      <c r="I1189" s="5">
        <v>44760</v>
      </c>
      <c r="J1189" s="1" t="s">
        <v>41</v>
      </c>
      <c r="K1189" s="1" t="s">
        <v>2778</v>
      </c>
      <c r="L1189" s="1" t="s">
        <v>2775</v>
      </c>
      <c r="M1189" s="1" t="s">
        <v>2776</v>
      </c>
      <c r="N1189" s="1" t="s">
        <v>30</v>
      </c>
      <c r="O1189" s="1" t="s">
        <v>45</v>
      </c>
      <c r="P1189" s="1" t="s">
        <v>2433</v>
      </c>
      <c r="Q1189" s="1" t="s">
        <v>1300</v>
      </c>
      <c r="R1189" s="1" t="s">
        <v>128</v>
      </c>
      <c r="S1189" s="1"/>
      <c r="U1189" s="1" t="s">
        <v>130</v>
      </c>
      <c r="V1189" s="1" t="s">
        <v>1009</v>
      </c>
      <c r="W1189" s="1" t="str">
        <f>VLOOKUP(Table1[[#This Row],[Obergruppe ATC-Code]],Tabelle3!$A$2:$B$100,2)</f>
        <v>ANTIBIOTIKA ZUR SYSTEMISCHEN ANWENDUNG</v>
      </c>
      <c r="X1189" s="1" t="str">
        <f xml:space="preserve"> LEFT(Table1[[#This Row],[Atc Code]],3)</f>
        <v>J01</v>
      </c>
    </row>
    <row r="1190" spans="1:24" ht="14.4">
      <c r="A1190" s="14">
        <v>334</v>
      </c>
      <c r="B1190" s="24">
        <v>2036611</v>
      </c>
      <c r="C1190" s="1">
        <v>613493</v>
      </c>
      <c r="D1190" s="1" t="s">
        <v>25</v>
      </c>
      <c r="E1190" s="36">
        <v>44683</v>
      </c>
      <c r="F1190" s="36">
        <v>44760</v>
      </c>
      <c r="G1190" s="38">
        <f t="shared" si="18"/>
        <v>77</v>
      </c>
      <c r="H1190" s="5">
        <v>44683</v>
      </c>
      <c r="I1190" s="5">
        <v>44760</v>
      </c>
      <c r="J1190" s="1" t="s">
        <v>41</v>
      </c>
      <c r="K1190" s="1" t="s">
        <v>2781</v>
      </c>
      <c r="L1190" s="1" t="s">
        <v>2775</v>
      </c>
      <c r="M1190" s="1" t="s">
        <v>2776</v>
      </c>
      <c r="N1190" s="1" t="s">
        <v>30</v>
      </c>
      <c r="O1190" s="1" t="s">
        <v>45</v>
      </c>
      <c r="P1190" s="1" t="s">
        <v>2433</v>
      </c>
      <c r="Q1190" s="1" t="s">
        <v>2786</v>
      </c>
      <c r="R1190" s="1" t="s">
        <v>128</v>
      </c>
      <c r="S1190" s="1"/>
      <c r="U1190" s="1" t="s">
        <v>130</v>
      </c>
      <c r="V1190" s="1" t="s">
        <v>1009</v>
      </c>
      <c r="W1190" s="1" t="str">
        <f>VLOOKUP(Table1[[#This Row],[Obergruppe ATC-Code]],Tabelle3!$A$2:$B$100,2)</f>
        <v>ANTIBIOTIKA ZUR SYSTEMISCHEN ANWENDUNG</v>
      </c>
      <c r="X1190" s="1" t="str">
        <f xml:space="preserve"> LEFT(Table1[[#This Row],[Atc Code]],3)</f>
        <v>J01</v>
      </c>
    </row>
    <row r="1191" spans="1:24" ht="14.4">
      <c r="A1191" s="14">
        <v>348</v>
      </c>
      <c r="B1191" s="24">
        <v>2036640</v>
      </c>
      <c r="C1191" s="1">
        <v>614452</v>
      </c>
      <c r="D1191" s="1" t="s">
        <v>25</v>
      </c>
      <c r="E1191" s="36">
        <v>44683</v>
      </c>
      <c r="F1191" s="36">
        <v>44763</v>
      </c>
      <c r="G1191" s="38">
        <f t="shared" si="18"/>
        <v>80</v>
      </c>
      <c r="H1191" s="5">
        <v>44683</v>
      </c>
      <c r="I1191" s="5">
        <v>44763</v>
      </c>
      <c r="J1191" s="1" t="s">
        <v>41</v>
      </c>
      <c r="K1191" s="1" t="s">
        <v>2779</v>
      </c>
      <c r="L1191" s="1" t="s">
        <v>2775</v>
      </c>
      <c r="M1191" s="1" t="s">
        <v>2776</v>
      </c>
      <c r="N1191" s="1" t="s">
        <v>30</v>
      </c>
      <c r="O1191" s="1" t="s">
        <v>45</v>
      </c>
      <c r="P1191" s="1" t="s">
        <v>2433</v>
      </c>
      <c r="Q1191" s="1" t="s">
        <v>1300</v>
      </c>
      <c r="R1191" s="1" t="s">
        <v>128</v>
      </c>
      <c r="S1191" s="1"/>
      <c r="U1191" s="1" t="s">
        <v>130</v>
      </c>
      <c r="V1191" s="1" t="s">
        <v>154</v>
      </c>
      <c r="W1191" s="1" t="str">
        <f>VLOOKUP(Table1[[#This Row],[Obergruppe ATC-Code]],Tabelle3!$A$2:$B$100,2)</f>
        <v>ANTIBIOTIKA ZUR SYSTEMISCHEN ANWENDUNG</v>
      </c>
      <c r="X1191" s="1" t="str">
        <f xml:space="preserve"> LEFT(Table1[[#This Row],[Atc Code]],3)</f>
        <v>J01</v>
      </c>
    </row>
    <row r="1192" spans="1:24" ht="14.4">
      <c r="A1192" s="14">
        <v>343</v>
      </c>
      <c r="B1192" s="24">
        <v>2036634</v>
      </c>
      <c r="C1192" s="1">
        <v>613441</v>
      </c>
      <c r="D1192" s="1" t="s">
        <v>25</v>
      </c>
      <c r="E1192" s="36">
        <v>44683</v>
      </c>
      <c r="F1192" s="36">
        <v>44763</v>
      </c>
      <c r="G1192" s="38">
        <f t="shared" si="18"/>
        <v>80</v>
      </c>
      <c r="H1192" s="5">
        <v>44683</v>
      </c>
      <c r="I1192" s="5">
        <v>44763</v>
      </c>
      <c r="J1192" s="1" t="s">
        <v>41</v>
      </c>
      <c r="K1192" s="1" t="s">
        <v>2774</v>
      </c>
      <c r="L1192" s="1" t="s">
        <v>2775</v>
      </c>
      <c r="M1192" s="1" t="s">
        <v>2776</v>
      </c>
      <c r="N1192" s="1" t="s">
        <v>30</v>
      </c>
      <c r="O1192" s="1" t="s">
        <v>45</v>
      </c>
      <c r="P1192" s="1" t="s">
        <v>2433</v>
      </c>
      <c r="Q1192" s="1" t="s">
        <v>1300</v>
      </c>
      <c r="R1192" s="1" t="s">
        <v>128</v>
      </c>
      <c r="S1192" s="1"/>
      <c r="U1192" s="1" t="s">
        <v>130</v>
      </c>
      <c r="V1192" s="1" t="s">
        <v>1009</v>
      </c>
      <c r="W1192" s="1" t="str">
        <f>VLOOKUP(Table1[[#This Row],[Obergruppe ATC-Code]],Tabelle3!$A$2:$B$100,2)</f>
        <v>ANTIBIOTIKA ZUR SYSTEMISCHEN ANWENDUNG</v>
      </c>
      <c r="X1192" s="1" t="str">
        <f xml:space="preserve"> LEFT(Table1[[#This Row],[Atc Code]],3)</f>
        <v>J01</v>
      </c>
    </row>
    <row r="1193" spans="1:24" ht="14.4">
      <c r="A1193" s="14">
        <v>333</v>
      </c>
      <c r="B1193" s="24">
        <v>2036611</v>
      </c>
      <c r="C1193" s="1">
        <v>613493</v>
      </c>
      <c r="D1193" s="1" t="s">
        <v>25</v>
      </c>
      <c r="E1193" s="36">
        <v>44928</v>
      </c>
      <c r="F1193" s="36">
        <v>44998</v>
      </c>
      <c r="G1193" s="38">
        <f t="shared" si="18"/>
        <v>70</v>
      </c>
      <c r="H1193" s="5">
        <v>44928</v>
      </c>
      <c r="I1193" s="5">
        <v>44998</v>
      </c>
      <c r="J1193" s="1" t="s">
        <v>26</v>
      </c>
      <c r="K1193" s="1" t="s">
        <v>2781</v>
      </c>
      <c r="L1193" s="1" t="s">
        <v>2775</v>
      </c>
      <c r="M1193" s="1" t="s">
        <v>2776</v>
      </c>
      <c r="N1193" s="1" t="s">
        <v>30</v>
      </c>
      <c r="O1193" s="1" t="s">
        <v>45</v>
      </c>
      <c r="P1193" s="1" t="s">
        <v>2433</v>
      </c>
      <c r="Q1193" s="1" t="s">
        <v>1300</v>
      </c>
      <c r="R1193" s="1" t="s">
        <v>33</v>
      </c>
      <c r="S1193" s="1"/>
      <c r="U1193" s="1" t="s">
        <v>130</v>
      </c>
      <c r="V1193" s="1" t="s">
        <v>1009</v>
      </c>
      <c r="W1193" s="1" t="str">
        <f>VLOOKUP(Table1[[#This Row],[Obergruppe ATC-Code]],Tabelle3!$A$2:$B$100,2)</f>
        <v>ANTIBIOTIKA ZUR SYSTEMISCHEN ANWENDUNG</v>
      </c>
      <c r="X1193" s="1" t="str">
        <f xml:space="preserve"> LEFT(Table1[[#This Row],[Atc Code]],3)</f>
        <v>J01</v>
      </c>
    </row>
    <row r="1194" spans="1:24" ht="14.4">
      <c r="A1194" s="14">
        <v>347</v>
      </c>
      <c r="B1194" s="24">
        <v>2036640</v>
      </c>
      <c r="C1194" s="1">
        <v>614452</v>
      </c>
      <c r="D1194" s="1" t="s">
        <v>25</v>
      </c>
      <c r="E1194" s="36">
        <v>45033</v>
      </c>
      <c r="F1194" s="36">
        <v>45125</v>
      </c>
      <c r="G1194" s="38">
        <f t="shared" si="18"/>
        <v>92</v>
      </c>
      <c r="H1194" s="5">
        <v>45033</v>
      </c>
      <c r="I1194" s="5">
        <v>45125</v>
      </c>
      <c r="J1194" s="1" t="s">
        <v>41</v>
      </c>
      <c r="K1194" s="1" t="s">
        <v>2779</v>
      </c>
      <c r="L1194" s="1" t="s">
        <v>2775</v>
      </c>
      <c r="M1194" s="1" t="s">
        <v>2776</v>
      </c>
      <c r="N1194" s="1" t="s">
        <v>30</v>
      </c>
      <c r="O1194" s="1" t="s">
        <v>45</v>
      </c>
      <c r="P1194" s="1" t="s">
        <v>1299</v>
      </c>
      <c r="Q1194" s="1" t="s">
        <v>1300</v>
      </c>
      <c r="R1194" s="1" t="s">
        <v>128</v>
      </c>
      <c r="S1194" s="1"/>
      <c r="U1194" s="1" t="s">
        <v>130</v>
      </c>
      <c r="V1194" s="1" t="s">
        <v>154</v>
      </c>
      <c r="W1194" s="1" t="str">
        <f>VLOOKUP(Table1[[#This Row],[Obergruppe ATC-Code]],Tabelle3!$A$2:$B$100,2)</f>
        <v>ANTIBIOTIKA ZUR SYSTEMISCHEN ANWENDUNG</v>
      </c>
      <c r="X1194" s="1" t="str">
        <f xml:space="preserve"> LEFT(Table1[[#This Row],[Atc Code]],3)</f>
        <v>J01</v>
      </c>
    </row>
    <row r="1195" spans="1:24" ht="14.4">
      <c r="A1195" s="14">
        <v>342</v>
      </c>
      <c r="B1195" s="24">
        <v>2036634</v>
      </c>
      <c r="C1195" s="1">
        <v>613441</v>
      </c>
      <c r="D1195" s="1" t="s">
        <v>25</v>
      </c>
      <c r="E1195" s="36">
        <v>44928</v>
      </c>
      <c r="F1195" s="36">
        <v>45125</v>
      </c>
      <c r="G1195" s="38">
        <f t="shared" si="18"/>
        <v>197</v>
      </c>
      <c r="H1195" s="5">
        <v>44928</v>
      </c>
      <c r="I1195" s="5">
        <v>45125</v>
      </c>
      <c r="J1195" s="1" t="s">
        <v>26</v>
      </c>
      <c r="K1195" s="1" t="s">
        <v>2774</v>
      </c>
      <c r="L1195" s="1" t="s">
        <v>2775</v>
      </c>
      <c r="M1195" s="1" t="s">
        <v>2776</v>
      </c>
      <c r="N1195" s="1" t="s">
        <v>30</v>
      </c>
      <c r="O1195" s="1" t="s">
        <v>45</v>
      </c>
      <c r="P1195" s="1" t="s">
        <v>2433</v>
      </c>
      <c r="Q1195" s="1" t="s">
        <v>1300</v>
      </c>
      <c r="R1195" s="1" t="s">
        <v>33</v>
      </c>
      <c r="S1195" s="1"/>
      <c r="U1195" s="1" t="s">
        <v>130</v>
      </c>
      <c r="V1195" s="1" t="s">
        <v>1009</v>
      </c>
      <c r="W1195" s="1" t="str">
        <f>VLOOKUP(Table1[[#This Row],[Obergruppe ATC-Code]],Tabelle3!$A$2:$B$100,2)</f>
        <v>ANTIBIOTIKA ZUR SYSTEMISCHEN ANWENDUNG</v>
      </c>
      <c r="X1195" s="1" t="str">
        <f xml:space="preserve"> LEFT(Table1[[#This Row],[Atc Code]],3)</f>
        <v>J01</v>
      </c>
    </row>
    <row r="1196" spans="1:24" ht="14.4">
      <c r="A1196" s="14">
        <v>3099</v>
      </c>
      <c r="B1196" s="24" t="s">
        <v>2787</v>
      </c>
      <c r="C1196" s="1">
        <v>2149212</v>
      </c>
      <c r="D1196" s="1" t="s">
        <v>25</v>
      </c>
      <c r="E1196" s="36">
        <v>42278</v>
      </c>
      <c r="F1196" s="36">
        <v>43008</v>
      </c>
      <c r="G1196" s="38">
        <f t="shared" si="18"/>
        <v>730</v>
      </c>
      <c r="H1196" s="5">
        <v>42060</v>
      </c>
      <c r="I1196" s="5">
        <v>42984</v>
      </c>
      <c r="J1196" s="1" t="s">
        <v>41</v>
      </c>
      <c r="K1196" s="1" t="s">
        <v>2788</v>
      </c>
      <c r="L1196" s="1" t="s">
        <v>2789</v>
      </c>
      <c r="M1196" s="1" t="s">
        <v>2790</v>
      </c>
      <c r="N1196" s="1" t="s">
        <v>30</v>
      </c>
      <c r="O1196" s="1" t="s">
        <v>45</v>
      </c>
      <c r="P1196" s="1" t="s">
        <v>2791</v>
      </c>
      <c r="Q1196" s="1" t="s">
        <v>647</v>
      </c>
      <c r="R1196" s="1" t="s">
        <v>26</v>
      </c>
      <c r="S1196" s="1"/>
      <c r="U1196" s="1" t="s">
        <v>35</v>
      </c>
      <c r="V1196" s="1" t="s">
        <v>787</v>
      </c>
      <c r="W1196" s="1" t="str">
        <f>VLOOKUP(Table1[[#This Row],[Obergruppe ATC-Code]],Tabelle3!$A$2:$B$100,2)</f>
        <v>ANTIBIOTIKA ZUR SYSTEMISCHEN ANWENDUNG</v>
      </c>
      <c r="X1196" s="1" t="str">
        <f xml:space="preserve"> LEFT(Table1[[#This Row],[Atc Code]],3)</f>
        <v>J01</v>
      </c>
    </row>
    <row r="1197" spans="1:24" ht="14.4">
      <c r="A1197" s="14">
        <v>594</v>
      </c>
      <c r="B1197" s="24">
        <v>3789123</v>
      </c>
      <c r="C1197" s="1">
        <v>2160825</v>
      </c>
      <c r="D1197" s="1" t="s">
        <v>25</v>
      </c>
      <c r="E1197" s="36">
        <v>43952</v>
      </c>
      <c r="F1197" s="36">
        <v>43982</v>
      </c>
      <c r="G1197" s="38">
        <f t="shared" si="18"/>
        <v>30</v>
      </c>
      <c r="H1197" s="5">
        <v>43957</v>
      </c>
      <c r="I1197" s="5">
        <v>43966</v>
      </c>
      <c r="J1197" s="1" t="s">
        <v>41</v>
      </c>
      <c r="K1197" s="1" t="s">
        <v>2792</v>
      </c>
      <c r="L1197" s="1" t="s">
        <v>2789</v>
      </c>
      <c r="M1197" s="1" t="s">
        <v>2790</v>
      </c>
      <c r="N1197" s="1" t="s">
        <v>30</v>
      </c>
      <c r="O1197" s="1" t="s">
        <v>220</v>
      </c>
      <c r="P1197" s="1" t="s">
        <v>2793</v>
      </c>
      <c r="Q1197" s="1" t="s">
        <v>958</v>
      </c>
      <c r="R1197" s="1" t="s">
        <v>26</v>
      </c>
      <c r="S1197" s="1"/>
      <c r="T1197" s="1" t="s">
        <v>2794</v>
      </c>
      <c r="U1197" s="1" t="s">
        <v>57</v>
      </c>
      <c r="V1197" s="1" t="s">
        <v>787</v>
      </c>
      <c r="W1197" s="1" t="str">
        <f>VLOOKUP(Table1[[#This Row],[Obergruppe ATC-Code]],Tabelle3!$A$2:$B$100,2)</f>
        <v>ANTIBIOTIKA ZUR SYSTEMISCHEN ANWENDUNG</v>
      </c>
      <c r="X1197" s="1" t="str">
        <f xml:space="preserve"> LEFT(Table1[[#This Row],[Atc Code]],3)</f>
        <v>J01</v>
      </c>
    </row>
    <row r="1198" spans="1:24" ht="14.4">
      <c r="A1198" s="14">
        <v>595</v>
      </c>
      <c r="B1198" s="24">
        <v>3789123</v>
      </c>
      <c r="C1198" s="1">
        <v>2160825</v>
      </c>
      <c r="D1198" s="1" t="s">
        <v>25</v>
      </c>
      <c r="E1198" s="36">
        <v>45047</v>
      </c>
      <c r="F1198" s="36">
        <v>45107</v>
      </c>
      <c r="G1198" s="38">
        <f t="shared" si="18"/>
        <v>60</v>
      </c>
      <c r="H1198" s="5">
        <v>45054</v>
      </c>
      <c r="I1198" s="5">
        <v>45106</v>
      </c>
      <c r="J1198" s="1" t="s">
        <v>41</v>
      </c>
      <c r="K1198" s="1" t="s">
        <v>2792</v>
      </c>
      <c r="L1198" s="1" t="s">
        <v>2789</v>
      </c>
      <c r="M1198" s="1" t="s">
        <v>2790</v>
      </c>
      <c r="N1198" s="1" t="s">
        <v>30</v>
      </c>
      <c r="O1198" s="1" t="s">
        <v>220</v>
      </c>
      <c r="P1198" s="1">
        <v>61726867883</v>
      </c>
      <c r="Q1198" s="1" t="s">
        <v>958</v>
      </c>
      <c r="R1198" s="1" t="s">
        <v>128</v>
      </c>
      <c r="S1198" s="1" t="s">
        <v>2795</v>
      </c>
      <c r="U1198" s="1" t="s">
        <v>57</v>
      </c>
      <c r="V1198" s="1" t="s">
        <v>787</v>
      </c>
      <c r="W1198" s="1" t="str">
        <f>VLOOKUP(Table1[[#This Row],[Obergruppe ATC-Code]],Tabelle3!$A$2:$B$100,2)</f>
        <v>ANTIBIOTIKA ZUR SYSTEMISCHEN ANWENDUNG</v>
      </c>
      <c r="X1198" s="1" t="str">
        <f xml:space="preserve"> LEFT(Table1[[#This Row],[Atc Code]],3)</f>
        <v>J01</v>
      </c>
    </row>
    <row r="1199" spans="1:24" ht="14.4">
      <c r="A1199" s="14">
        <v>1757</v>
      </c>
      <c r="B1199" s="24" t="s">
        <v>2796</v>
      </c>
      <c r="C1199" s="1">
        <v>2132376</v>
      </c>
      <c r="D1199" s="1" t="s">
        <v>25</v>
      </c>
      <c r="E1199" s="36">
        <v>43891</v>
      </c>
      <c r="F1199" s="36">
        <v>43982</v>
      </c>
      <c r="G1199" s="38">
        <f t="shared" si="18"/>
        <v>91</v>
      </c>
      <c r="H1199" s="5">
        <v>43910</v>
      </c>
      <c r="I1199" s="5">
        <v>43962</v>
      </c>
      <c r="J1199" s="1" t="s">
        <v>41</v>
      </c>
      <c r="K1199" s="1" t="s">
        <v>2797</v>
      </c>
      <c r="L1199" s="1" t="s">
        <v>2798</v>
      </c>
      <c r="M1199" s="1" t="s">
        <v>2768</v>
      </c>
      <c r="N1199" s="1" t="s">
        <v>38</v>
      </c>
      <c r="O1199" s="1" t="s">
        <v>52</v>
      </c>
      <c r="P1199" s="1" t="s">
        <v>53</v>
      </c>
      <c r="Q1199" s="1" t="s">
        <v>54</v>
      </c>
      <c r="R1199" s="1" t="s">
        <v>48</v>
      </c>
      <c r="S1199" s="1"/>
      <c r="U1199" s="1" t="s">
        <v>35</v>
      </c>
      <c r="V1199" s="1" t="s">
        <v>99</v>
      </c>
      <c r="W1199" s="1" t="str">
        <f>VLOOKUP(Table1[[#This Row],[Obergruppe ATC-Code]],Tabelle3!$A$2:$B$100,2)</f>
        <v>ANTIBIOTIKA ZUR SYSTEMISCHEN ANWENDUNG</v>
      </c>
      <c r="X1199" s="1" t="str">
        <f xml:space="preserve"> LEFT(Table1[[#This Row],[Atc Code]],3)</f>
        <v>J01</v>
      </c>
    </row>
    <row r="1200" spans="1:24" ht="14.4">
      <c r="A1200" s="14">
        <v>107</v>
      </c>
      <c r="B1200" s="24">
        <v>658840</v>
      </c>
      <c r="C1200" s="1">
        <v>2125643</v>
      </c>
      <c r="D1200" s="1" t="s">
        <v>25</v>
      </c>
      <c r="E1200" s="36">
        <v>43922</v>
      </c>
      <c r="F1200" s="36">
        <v>43982</v>
      </c>
      <c r="G1200" s="38">
        <f t="shared" si="18"/>
        <v>60</v>
      </c>
      <c r="H1200" s="5">
        <v>43945</v>
      </c>
      <c r="I1200" s="5">
        <v>43964</v>
      </c>
      <c r="J1200" s="1" t="s">
        <v>41</v>
      </c>
      <c r="K1200" s="1" t="s">
        <v>2799</v>
      </c>
      <c r="L1200" s="1" t="s">
        <v>2798</v>
      </c>
      <c r="M1200" s="1" t="s">
        <v>2768</v>
      </c>
      <c r="N1200" s="1" t="s">
        <v>38</v>
      </c>
      <c r="O1200" s="1" t="s">
        <v>52</v>
      </c>
      <c r="P1200" s="1" t="s">
        <v>53</v>
      </c>
      <c r="Q1200" s="1" t="s">
        <v>54</v>
      </c>
      <c r="R1200" s="1" t="s">
        <v>48</v>
      </c>
      <c r="S1200" s="1"/>
      <c r="U1200" s="1" t="s">
        <v>35</v>
      </c>
      <c r="V1200" s="1" t="s">
        <v>259</v>
      </c>
      <c r="W1200" s="1" t="str">
        <f>VLOOKUP(Table1[[#This Row],[Obergruppe ATC-Code]],Tabelle3!$A$2:$B$100,2)</f>
        <v>ANTIBIOTIKA ZUR SYSTEMISCHEN ANWENDUNG</v>
      </c>
      <c r="X1200" s="1" t="str">
        <f xml:space="preserve"> LEFT(Table1[[#This Row],[Atc Code]],3)</f>
        <v>J01</v>
      </c>
    </row>
    <row r="1201" spans="1:24" ht="14.4">
      <c r="A1201" s="14">
        <v>1956</v>
      </c>
      <c r="B1201" s="24" t="s">
        <v>2800</v>
      </c>
      <c r="C1201" s="1">
        <v>2101885</v>
      </c>
      <c r="D1201" s="1" t="s">
        <v>25</v>
      </c>
      <c r="E1201" s="36">
        <v>43891</v>
      </c>
      <c r="F1201" s="36">
        <v>44012</v>
      </c>
      <c r="G1201" s="38">
        <f t="shared" si="18"/>
        <v>121</v>
      </c>
      <c r="H1201" s="5">
        <v>43908</v>
      </c>
      <c r="I1201" s="5">
        <v>44000</v>
      </c>
      <c r="J1201" s="1" t="s">
        <v>26</v>
      </c>
      <c r="K1201" s="1" t="s">
        <v>2801</v>
      </c>
      <c r="L1201" s="1" t="s">
        <v>2798</v>
      </c>
      <c r="M1201" s="1" t="s">
        <v>2768</v>
      </c>
      <c r="N1201" s="1" t="s">
        <v>30</v>
      </c>
      <c r="O1201" s="1" t="s">
        <v>45</v>
      </c>
      <c r="P1201" s="1" t="s">
        <v>104</v>
      </c>
      <c r="Q1201" s="1" t="s">
        <v>105</v>
      </c>
      <c r="R1201" s="1" t="s">
        <v>33</v>
      </c>
      <c r="S1201" s="1"/>
      <c r="U1201" s="1" t="s">
        <v>35</v>
      </c>
      <c r="V1201" s="1" t="s">
        <v>99</v>
      </c>
      <c r="W1201" s="1" t="str">
        <f>VLOOKUP(Table1[[#This Row],[Obergruppe ATC-Code]],Tabelle3!$A$2:$B$100,2)</f>
        <v>ANTIBIOTIKA ZUR SYSTEMISCHEN ANWENDUNG</v>
      </c>
      <c r="X1201" s="1" t="str">
        <f xml:space="preserve"> LEFT(Table1[[#This Row],[Atc Code]],3)</f>
        <v>J01</v>
      </c>
    </row>
    <row r="1202" spans="1:24" ht="14.4">
      <c r="A1202" s="14">
        <v>895</v>
      </c>
      <c r="B1202" s="24">
        <v>7561598</v>
      </c>
      <c r="C1202" s="1">
        <v>2125642</v>
      </c>
      <c r="D1202" s="1" t="s">
        <v>25</v>
      </c>
      <c r="E1202" s="36">
        <v>43922</v>
      </c>
      <c r="F1202" s="36">
        <v>44012</v>
      </c>
      <c r="G1202" s="38">
        <f t="shared" si="18"/>
        <v>90</v>
      </c>
      <c r="H1202" s="5">
        <v>43923</v>
      </c>
      <c r="I1202" s="5">
        <v>44000</v>
      </c>
      <c r="J1202" s="1" t="s">
        <v>26</v>
      </c>
      <c r="K1202" s="1" t="s">
        <v>2802</v>
      </c>
      <c r="L1202" s="1" t="s">
        <v>2798</v>
      </c>
      <c r="M1202" s="1" t="s">
        <v>2768</v>
      </c>
      <c r="N1202" s="1" t="s">
        <v>30</v>
      </c>
      <c r="O1202" s="1" t="s">
        <v>45</v>
      </c>
      <c r="P1202" s="1" t="s">
        <v>104</v>
      </c>
      <c r="Q1202" s="1" t="s">
        <v>105</v>
      </c>
      <c r="R1202" s="1" t="s">
        <v>33</v>
      </c>
      <c r="S1202" s="1"/>
      <c r="U1202" s="1" t="s">
        <v>35</v>
      </c>
      <c r="V1202" s="1" t="s">
        <v>259</v>
      </c>
      <c r="W1202" s="1" t="str">
        <f>VLOOKUP(Table1[[#This Row],[Obergruppe ATC-Code]],Tabelle3!$A$2:$B$100,2)</f>
        <v>ANTIBIOTIKA ZUR SYSTEMISCHEN ANWENDUNG</v>
      </c>
      <c r="X1202" s="1" t="str">
        <f xml:space="preserve"> LEFT(Table1[[#This Row],[Atc Code]],3)</f>
        <v>J01</v>
      </c>
    </row>
    <row r="1203" spans="1:24" ht="14.4">
      <c r="A1203" s="14">
        <v>533</v>
      </c>
      <c r="B1203" s="24">
        <v>3410974</v>
      </c>
      <c r="C1203" s="1">
        <v>2103441</v>
      </c>
      <c r="D1203" s="1" t="s">
        <v>25</v>
      </c>
      <c r="E1203" s="36">
        <v>43891</v>
      </c>
      <c r="F1203" s="36">
        <v>43982</v>
      </c>
      <c r="G1203" s="38">
        <f t="shared" si="18"/>
        <v>91</v>
      </c>
      <c r="H1203" s="5">
        <v>43945</v>
      </c>
      <c r="I1203" s="5">
        <v>44008</v>
      </c>
      <c r="J1203" s="1" t="s">
        <v>41</v>
      </c>
      <c r="K1203" s="1" t="s">
        <v>2803</v>
      </c>
      <c r="L1203" s="1" t="s">
        <v>2798</v>
      </c>
      <c r="M1203" s="1" t="s">
        <v>2768</v>
      </c>
      <c r="N1203" s="1" t="s">
        <v>38</v>
      </c>
      <c r="O1203" s="1" t="s">
        <v>52</v>
      </c>
      <c r="P1203" s="1" t="s">
        <v>53</v>
      </c>
      <c r="Q1203" s="1" t="s">
        <v>54</v>
      </c>
      <c r="R1203" s="1" t="s">
        <v>48</v>
      </c>
      <c r="S1203" s="1"/>
      <c r="U1203" s="1" t="s">
        <v>35</v>
      </c>
      <c r="V1203" s="1" t="s">
        <v>99</v>
      </c>
      <c r="W1203" s="1" t="str">
        <f>VLOOKUP(Table1[[#This Row],[Obergruppe ATC-Code]],Tabelle3!$A$2:$B$100,2)</f>
        <v>ANTIBIOTIKA ZUR SYSTEMISCHEN ANWENDUNG</v>
      </c>
      <c r="X1203" s="1" t="str">
        <f xml:space="preserve"> LEFT(Table1[[#This Row],[Atc Code]],3)</f>
        <v>J01</v>
      </c>
    </row>
    <row r="1204" spans="1:24" ht="14.4">
      <c r="A1204" s="14">
        <v>2356</v>
      </c>
      <c r="B1204" s="24" t="s">
        <v>2804</v>
      </c>
      <c r="C1204" s="1">
        <v>2103604</v>
      </c>
      <c r="D1204" s="1" t="s">
        <v>25</v>
      </c>
      <c r="E1204" s="36">
        <v>43891</v>
      </c>
      <c r="F1204" s="36">
        <v>44043</v>
      </c>
      <c r="G1204" s="38">
        <f t="shared" si="18"/>
        <v>152</v>
      </c>
      <c r="H1204" s="5">
        <v>43910</v>
      </c>
      <c r="I1204" s="5">
        <v>44035</v>
      </c>
      <c r="J1204" s="1" t="s">
        <v>41</v>
      </c>
      <c r="K1204" s="1" t="s">
        <v>2805</v>
      </c>
      <c r="L1204" s="1" t="s">
        <v>2798</v>
      </c>
      <c r="M1204" s="1" t="s">
        <v>2768</v>
      </c>
      <c r="N1204" s="1" t="s">
        <v>30</v>
      </c>
      <c r="O1204" s="1" t="s">
        <v>91</v>
      </c>
      <c r="P1204" s="1" t="s">
        <v>92</v>
      </c>
      <c r="Q1204" s="1" t="s">
        <v>93</v>
      </c>
      <c r="R1204" s="1" t="s">
        <v>48</v>
      </c>
      <c r="S1204" s="1"/>
      <c r="U1204" s="1" t="s">
        <v>35</v>
      </c>
      <c r="V1204" s="1" t="s">
        <v>99</v>
      </c>
      <c r="W1204" s="1" t="str">
        <f>VLOOKUP(Table1[[#This Row],[Obergruppe ATC-Code]],Tabelle3!$A$2:$B$100,2)</f>
        <v>ANTIBIOTIKA ZUR SYSTEMISCHEN ANWENDUNG</v>
      </c>
      <c r="X1204" s="1" t="str">
        <f xml:space="preserve"> LEFT(Table1[[#This Row],[Atc Code]],3)</f>
        <v>J01</v>
      </c>
    </row>
    <row r="1205" spans="1:24" ht="14.4">
      <c r="A1205" s="14">
        <v>104</v>
      </c>
      <c r="B1205" s="24">
        <v>658834</v>
      </c>
      <c r="C1205" s="1">
        <v>2107213</v>
      </c>
      <c r="D1205" s="1" t="s">
        <v>25</v>
      </c>
      <c r="E1205" s="36">
        <v>43922</v>
      </c>
      <c r="F1205" s="36">
        <v>44043</v>
      </c>
      <c r="G1205" s="38">
        <f t="shared" si="18"/>
        <v>121</v>
      </c>
      <c r="H1205" s="5">
        <v>43945</v>
      </c>
      <c r="I1205" s="5">
        <v>44041</v>
      </c>
      <c r="J1205" s="1" t="s">
        <v>41</v>
      </c>
      <c r="K1205" s="1" t="s">
        <v>2806</v>
      </c>
      <c r="L1205" s="1" t="s">
        <v>2798</v>
      </c>
      <c r="M1205" s="1" t="s">
        <v>2768</v>
      </c>
      <c r="N1205" s="1" t="s">
        <v>38</v>
      </c>
      <c r="O1205" s="1" t="s">
        <v>52</v>
      </c>
      <c r="P1205" s="1" t="s">
        <v>53</v>
      </c>
      <c r="Q1205" s="1" t="s">
        <v>54</v>
      </c>
      <c r="R1205" s="1" t="s">
        <v>48</v>
      </c>
      <c r="S1205" s="1"/>
      <c r="U1205" s="1" t="s">
        <v>35</v>
      </c>
      <c r="V1205" s="1" t="s">
        <v>259</v>
      </c>
      <c r="W1205" s="1" t="str">
        <f>VLOOKUP(Table1[[#This Row],[Obergruppe ATC-Code]],Tabelle3!$A$2:$B$100,2)</f>
        <v>ANTIBIOTIKA ZUR SYSTEMISCHEN ANWENDUNG</v>
      </c>
      <c r="X1205" s="1" t="str">
        <f xml:space="preserve"> LEFT(Table1[[#This Row],[Atc Code]],3)</f>
        <v>J01</v>
      </c>
    </row>
    <row r="1206" spans="1:24" ht="14.4">
      <c r="A1206" s="14">
        <v>106</v>
      </c>
      <c r="B1206" s="24">
        <v>658834</v>
      </c>
      <c r="C1206" s="1">
        <v>2107213</v>
      </c>
      <c r="D1206" s="1" t="s">
        <v>25</v>
      </c>
      <c r="E1206" s="36">
        <v>44811</v>
      </c>
      <c r="F1206" s="36">
        <v>44890</v>
      </c>
      <c r="G1206" s="38">
        <f t="shared" si="18"/>
        <v>79</v>
      </c>
      <c r="H1206" s="5">
        <v>44811</v>
      </c>
      <c r="I1206" s="5">
        <v>44890</v>
      </c>
      <c r="J1206" s="1" t="s">
        <v>26</v>
      </c>
      <c r="K1206" s="1" t="s">
        <v>2806</v>
      </c>
      <c r="L1206" s="1" t="s">
        <v>2798</v>
      </c>
      <c r="M1206" s="1" t="s">
        <v>2768</v>
      </c>
      <c r="N1206" s="1" t="s">
        <v>38</v>
      </c>
      <c r="O1206" s="1" t="s">
        <v>52</v>
      </c>
      <c r="Q1206" s="1" t="s">
        <v>54</v>
      </c>
      <c r="R1206" s="1" t="s">
        <v>113</v>
      </c>
      <c r="S1206" s="1"/>
      <c r="U1206" s="1" t="s">
        <v>130</v>
      </c>
      <c r="V1206" s="1" t="s">
        <v>259</v>
      </c>
      <c r="W1206" s="1" t="str">
        <f>VLOOKUP(Table1[[#This Row],[Obergruppe ATC-Code]],Tabelle3!$A$2:$B$100,2)</f>
        <v>ANTIBIOTIKA ZUR SYSTEMISCHEN ANWENDUNG</v>
      </c>
      <c r="X1206" s="1" t="str">
        <f xml:space="preserve"> LEFT(Table1[[#This Row],[Atc Code]],3)</f>
        <v>J01</v>
      </c>
    </row>
    <row r="1207" spans="1:24" ht="14.4">
      <c r="A1207" s="14">
        <v>950</v>
      </c>
      <c r="B1207" s="24">
        <v>7727283</v>
      </c>
      <c r="C1207" s="1">
        <v>2130359</v>
      </c>
      <c r="D1207" s="1" t="s">
        <v>25</v>
      </c>
      <c r="E1207" s="36">
        <v>44832</v>
      </c>
      <c r="F1207" s="36">
        <v>44937</v>
      </c>
      <c r="G1207" s="38">
        <f t="shared" si="18"/>
        <v>105</v>
      </c>
      <c r="H1207" s="5">
        <v>44832</v>
      </c>
      <c r="I1207" s="5">
        <v>44937</v>
      </c>
      <c r="J1207" s="1" t="s">
        <v>26</v>
      </c>
      <c r="K1207" s="1" t="s">
        <v>2807</v>
      </c>
      <c r="L1207" s="1" t="s">
        <v>2798</v>
      </c>
      <c r="M1207" s="1" t="s">
        <v>2768</v>
      </c>
      <c r="N1207" s="1" t="s">
        <v>30</v>
      </c>
      <c r="O1207" s="1" t="s">
        <v>91</v>
      </c>
      <c r="Q1207" s="1" t="s">
        <v>93</v>
      </c>
      <c r="R1207" s="1" t="s">
        <v>113</v>
      </c>
      <c r="S1207" s="1"/>
      <c r="U1207" s="1" t="s">
        <v>130</v>
      </c>
      <c r="V1207" s="1" t="s">
        <v>99</v>
      </c>
      <c r="W1207" s="1" t="str">
        <f>VLOOKUP(Table1[[#This Row],[Obergruppe ATC-Code]],Tabelle3!$A$2:$B$100,2)</f>
        <v>ANTIBIOTIKA ZUR SYSTEMISCHEN ANWENDUNG</v>
      </c>
      <c r="X1207" s="1" t="str">
        <f xml:space="preserve"> LEFT(Table1[[#This Row],[Atc Code]],3)</f>
        <v>J01</v>
      </c>
    </row>
    <row r="1208" spans="1:24" ht="14.4">
      <c r="A1208" s="14">
        <v>109</v>
      </c>
      <c r="B1208" s="24">
        <v>658840</v>
      </c>
      <c r="C1208" s="1">
        <v>2125643</v>
      </c>
      <c r="D1208" s="1" t="s">
        <v>25</v>
      </c>
      <c r="E1208" s="36">
        <v>44844</v>
      </c>
      <c r="F1208" s="36">
        <v>44981</v>
      </c>
      <c r="G1208" s="38">
        <f t="shared" si="18"/>
        <v>137</v>
      </c>
      <c r="H1208" s="5">
        <v>44811</v>
      </c>
      <c r="I1208" s="5">
        <v>44984</v>
      </c>
      <c r="J1208" s="1" t="s">
        <v>26</v>
      </c>
      <c r="K1208" s="1" t="s">
        <v>2799</v>
      </c>
      <c r="L1208" s="1" t="s">
        <v>2798</v>
      </c>
      <c r="M1208" s="1" t="s">
        <v>2768</v>
      </c>
      <c r="N1208" s="1" t="s">
        <v>38</v>
      </c>
      <c r="O1208" s="1" t="s">
        <v>52</v>
      </c>
      <c r="Q1208" s="1" t="s">
        <v>54</v>
      </c>
      <c r="R1208" s="1" t="s">
        <v>113</v>
      </c>
      <c r="S1208" s="1"/>
      <c r="U1208" s="1" t="s">
        <v>130</v>
      </c>
      <c r="V1208" s="1" t="s">
        <v>259</v>
      </c>
      <c r="W1208" s="1" t="str">
        <f>VLOOKUP(Table1[[#This Row],[Obergruppe ATC-Code]],Tabelle3!$A$2:$B$100,2)</f>
        <v>ANTIBIOTIKA ZUR SYSTEMISCHEN ANWENDUNG</v>
      </c>
      <c r="X1208" s="1" t="str">
        <f xml:space="preserve"> LEFT(Table1[[#This Row],[Atc Code]],3)</f>
        <v>J01</v>
      </c>
    </row>
    <row r="1209" spans="1:24" ht="14.4">
      <c r="A1209" s="14">
        <v>805</v>
      </c>
      <c r="B1209" s="24">
        <v>6648311</v>
      </c>
      <c r="C1209" s="1">
        <v>2124662</v>
      </c>
      <c r="D1209" s="1" t="s">
        <v>25</v>
      </c>
      <c r="E1209" s="36">
        <v>44901</v>
      </c>
      <c r="F1209" s="36">
        <v>44991</v>
      </c>
      <c r="G1209" s="38">
        <f t="shared" si="18"/>
        <v>90</v>
      </c>
      <c r="H1209" s="5">
        <v>44895</v>
      </c>
      <c r="I1209" s="5">
        <v>44991</v>
      </c>
      <c r="J1209" s="1" t="s">
        <v>26</v>
      </c>
      <c r="K1209" s="1" t="s">
        <v>2808</v>
      </c>
      <c r="L1209" s="1" t="s">
        <v>2798</v>
      </c>
      <c r="M1209" s="1" t="s">
        <v>2768</v>
      </c>
      <c r="N1209" s="1" t="s">
        <v>30</v>
      </c>
      <c r="O1209" s="1" t="s">
        <v>2769</v>
      </c>
      <c r="P1209" s="1" t="s">
        <v>2770</v>
      </c>
      <c r="Q1209" s="1" t="s">
        <v>2809</v>
      </c>
      <c r="R1209" s="1" t="s">
        <v>113</v>
      </c>
      <c r="S1209" s="1" t="s">
        <v>2810</v>
      </c>
      <c r="T1209" s="1" t="s">
        <v>2811</v>
      </c>
      <c r="U1209" s="1" t="s">
        <v>130</v>
      </c>
      <c r="V1209" s="1" t="s">
        <v>259</v>
      </c>
      <c r="W1209" s="1" t="str">
        <f>VLOOKUP(Table1[[#This Row],[Obergruppe ATC-Code]],Tabelle3!$A$2:$B$100,2)</f>
        <v>ANTIBIOTIKA ZUR SYSTEMISCHEN ANWENDUNG</v>
      </c>
      <c r="X1209" s="1" t="str">
        <f xml:space="preserve"> LEFT(Table1[[#This Row],[Atc Code]],3)</f>
        <v>J01</v>
      </c>
    </row>
    <row r="1210" spans="1:24" ht="14.4">
      <c r="A1210" s="14">
        <v>1645</v>
      </c>
      <c r="B1210" s="24" t="s">
        <v>2812</v>
      </c>
      <c r="C1210" s="1">
        <v>2104755</v>
      </c>
      <c r="D1210" s="1" t="s">
        <v>25</v>
      </c>
      <c r="E1210" s="36">
        <v>44924</v>
      </c>
      <c r="F1210" s="36">
        <v>45015</v>
      </c>
      <c r="G1210" s="38">
        <f t="shared" si="18"/>
        <v>91</v>
      </c>
      <c r="H1210" s="5">
        <v>44944</v>
      </c>
      <c r="I1210" s="5">
        <v>45015</v>
      </c>
      <c r="J1210" s="1" t="s">
        <v>26</v>
      </c>
      <c r="K1210" s="1" t="s">
        <v>2813</v>
      </c>
      <c r="L1210" s="1" t="s">
        <v>2798</v>
      </c>
      <c r="M1210" s="1" t="s">
        <v>2768</v>
      </c>
      <c r="N1210" s="1" t="s">
        <v>38</v>
      </c>
      <c r="O1210" s="1" t="s">
        <v>110</v>
      </c>
      <c r="P1210" s="1">
        <v>49733396510</v>
      </c>
      <c r="Q1210" s="1" t="s">
        <v>1141</v>
      </c>
      <c r="R1210" s="1" t="s">
        <v>113</v>
      </c>
      <c r="S1210" s="1"/>
      <c r="U1210" s="1" t="s">
        <v>130</v>
      </c>
      <c r="V1210" s="1" t="s">
        <v>99</v>
      </c>
      <c r="W1210" s="1" t="str">
        <f>VLOOKUP(Table1[[#This Row],[Obergruppe ATC-Code]],Tabelle3!$A$2:$B$100,2)</f>
        <v>ANTIBIOTIKA ZUR SYSTEMISCHEN ANWENDUNG</v>
      </c>
      <c r="X1210" s="1" t="str">
        <f xml:space="preserve"> LEFT(Table1[[#This Row],[Atc Code]],3)</f>
        <v>J01</v>
      </c>
    </row>
    <row r="1211" spans="1:24" ht="14.4">
      <c r="A1211" s="14">
        <v>2012</v>
      </c>
      <c r="B1211" s="24" t="s">
        <v>2814</v>
      </c>
      <c r="C1211" s="1">
        <v>2103603</v>
      </c>
      <c r="D1211" s="1" t="s">
        <v>25</v>
      </c>
      <c r="E1211" s="36">
        <v>44981</v>
      </c>
      <c r="F1211" s="36">
        <v>45041</v>
      </c>
      <c r="G1211" s="38">
        <f t="shared" si="18"/>
        <v>60</v>
      </c>
      <c r="H1211" s="5">
        <v>44981</v>
      </c>
      <c r="I1211" s="5">
        <v>45041</v>
      </c>
      <c r="J1211" s="1" t="s">
        <v>26</v>
      </c>
      <c r="K1211" s="1" t="s">
        <v>2815</v>
      </c>
      <c r="L1211" s="1" t="s">
        <v>2798</v>
      </c>
      <c r="M1211" s="1" t="s">
        <v>2768</v>
      </c>
      <c r="N1211" s="1" t="s">
        <v>38</v>
      </c>
      <c r="O1211" s="1" t="s">
        <v>91</v>
      </c>
      <c r="Q1211" s="1" t="s">
        <v>93</v>
      </c>
      <c r="R1211" s="1" t="s">
        <v>113</v>
      </c>
      <c r="S1211" s="1"/>
      <c r="U1211" s="1" t="s">
        <v>130</v>
      </c>
      <c r="V1211" s="1" t="s">
        <v>99</v>
      </c>
      <c r="W1211" s="1" t="str">
        <f>VLOOKUP(Table1[[#This Row],[Obergruppe ATC-Code]],Tabelle3!$A$2:$B$100,2)</f>
        <v>ANTIBIOTIKA ZUR SYSTEMISCHEN ANWENDUNG</v>
      </c>
      <c r="X1211" s="1" t="str">
        <f xml:space="preserve"> LEFT(Table1[[#This Row],[Atc Code]],3)</f>
        <v>J01</v>
      </c>
    </row>
    <row r="1212" spans="1:24" ht="14.4">
      <c r="A1212" s="14">
        <v>2168</v>
      </c>
      <c r="B1212" s="24" t="s">
        <v>2816</v>
      </c>
      <c r="C1212" s="1">
        <v>2104753</v>
      </c>
      <c r="D1212" s="1" t="s">
        <v>25</v>
      </c>
      <c r="E1212" s="36">
        <v>44923</v>
      </c>
      <c r="F1212" s="36">
        <v>45105</v>
      </c>
      <c r="G1212" s="38">
        <f t="shared" si="18"/>
        <v>182</v>
      </c>
      <c r="H1212" s="5">
        <v>44944</v>
      </c>
      <c r="I1212" s="5">
        <v>45106</v>
      </c>
      <c r="J1212" s="1" t="s">
        <v>26</v>
      </c>
      <c r="K1212" s="1" t="s">
        <v>2817</v>
      </c>
      <c r="L1212" s="1" t="s">
        <v>2798</v>
      </c>
      <c r="M1212" s="1" t="s">
        <v>2768</v>
      </c>
      <c r="N1212" s="1" t="s">
        <v>38</v>
      </c>
      <c r="O1212" s="1" t="s">
        <v>110</v>
      </c>
      <c r="P1212" s="1">
        <v>49733396510</v>
      </c>
      <c r="Q1212" s="1" t="s">
        <v>1141</v>
      </c>
      <c r="R1212" s="1" t="s">
        <v>113</v>
      </c>
      <c r="S1212" s="1" t="s">
        <v>2818</v>
      </c>
      <c r="U1212" s="1" t="s">
        <v>130</v>
      </c>
      <c r="V1212" s="1" t="s">
        <v>99</v>
      </c>
      <c r="W1212" s="1" t="str">
        <f>VLOOKUP(Table1[[#This Row],[Obergruppe ATC-Code]],Tabelle3!$A$2:$B$100,2)</f>
        <v>ANTIBIOTIKA ZUR SYSTEMISCHEN ANWENDUNG</v>
      </c>
      <c r="X1212" s="1" t="str">
        <f xml:space="preserve"> LEFT(Table1[[#This Row],[Atc Code]],3)</f>
        <v>J01</v>
      </c>
    </row>
    <row r="1213" spans="1:24" ht="14.4">
      <c r="A1213" s="14">
        <v>2011</v>
      </c>
      <c r="B1213" s="24" t="s">
        <v>2819</v>
      </c>
      <c r="C1213" s="1">
        <v>2170556</v>
      </c>
      <c r="D1213" s="1" t="s">
        <v>102</v>
      </c>
      <c r="E1213" s="36">
        <v>44811</v>
      </c>
      <c r="F1213" s="36">
        <v>45410</v>
      </c>
      <c r="G1213" s="38">
        <f t="shared" si="18"/>
        <v>599</v>
      </c>
      <c r="H1213" s="5">
        <v>44811</v>
      </c>
      <c r="I1213" s="5">
        <v>45106</v>
      </c>
      <c r="J1213" s="1" t="s">
        <v>26</v>
      </c>
      <c r="K1213" s="1" t="s">
        <v>2820</v>
      </c>
      <c r="L1213" s="1" t="s">
        <v>2798</v>
      </c>
      <c r="M1213" s="1" t="s">
        <v>2768</v>
      </c>
      <c r="N1213" s="1" t="s">
        <v>38</v>
      </c>
      <c r="O1213" s="1" t="s">
        <v>91</v>
      </c>
      <c r="Q1213" s="1" t="s">
        <v>93</v>
      </c>
      <c r="R1213" s="1" t="s">
        <v>113</v>
      </c>
      <c r="S1213" s="1"/>
      <c r="U1213" s="1" t="s">
        <v>130</v>
      </c>
      <c r="V1213" s="1" t="s">
        <v>99</v>
      </c>
      <c r="W1213" s="1" t="str">
        <f>VLOOKUP(Table1[[#This Row],[Obergruppe ATC-Code]],Tabelle3!$A$2:$B$100,2)</f>
        <v>ANTIBIOTIKA ZUR SYSTEMISCHEN ANWENDUNG</v>
      </c>
      <c r="X1213" s="1" t="str">
        <f xml:space="preserve"> LEFT(Table1[[#This Row],[Atc Code]],3)</f>
        <v>J01</v>
      </c>
    </row>
    <row r="1214" spans="1:24" ht="14.4">
      <c r="A1214" s="14">
        <v>1913</v>
      </c>
      <c r="B1214" s="24" t="s">
        <v>2821</v>
      </c>
      <c r="C1214" s="1">
        <v>2103604</v>
      </c>
      <c r="D1214" s="1" t="s">
        <v>102</v>
      </c>
      <c r="E1214" s="36">
        <v>44981</v>
      </c>
      <c r="F1214" s="36">
        <v>45260</v>
      </c>
      <c r="G1214" s="38">
        <f t="shared" si="18"/>
        <v>279</v>
      </c>
      <c r="H1214" s="5">
        <v>44981</v>
      </c>
      <c r="I1214" s="5">
        <v>45106</v>
      </c>
      <c r="J1214" s="1" t="s">
        <v>26</v>
      </c>
      <c r="K1214" s="1" t="s">
        <v>2805</v>
      </c>
      <c r="L1214" s="1" t="s">
        <v>2798</v>
      </c>
      <c r="M1214" s="1" t="s">
        <v>2768</v>
      </c>
      <c r="N1214" s="1" t="s">
        <v>38</v>
      </c>
      <c r="O1214" s="1" t="s">
        <v>91</v>
      </c>
      <c r="Q1214" s="1" t="s">
        <v>93</v>
      </c>
      <c r="R1214" s="1" t="s">
        <v>113</v>
      </c>
      <c r="S1214" s="1"/>
      <c r="U1214" s="1" t="s">
        <v>130</v>
      </c>
      <c r="V1214" s="1" t="s">
        <v>99</v>
      </c>
      <c r="W1214" s="1" t="str">
        <f>VLOOKUP(Table1[[#This Row],[Obergruppe ATC-Code]],Tabelle3!$A$2:$B$100,2)</f>
        <v>ANTIBIOTIKA ZUR SYSTEMISCHEN ANWENDUNG</v>
      </c>
      <c r="X1214" s="1" t="str">
        <f xml:space="preserve"> LEFT(Table1[[#This Row],[Atc Code]],3)</f>
        <v>J01</v>
      </c>
    </row>
    <row r="1215" spans="1:24" ht="14.4">
      <c r="A1215" s="14">
        <v>684</v>
      </c>
      <c r="B1215" s="24">
        <v>4599790</v>
      </c>
      <c r="C1215" s="1">
        <v>2125644</v>
      </c>
      <c r="D1215" s="1" t="s">
        <v>25</v>
      </c>
      <c r="E1215" s="36">
        <v>45070</v>
      </c>
      <c r="F1215" s="36">
        <v>45110</v>
      </c>
      <c r="G1215" s="38">
        <f t="shared" si="18"/>
        <v>40</v>
      </c>
      <c r="H1215" s="5">
        <v>45070</v>
      </c>
      <c r="I1215" s="5">
        <v>45110</v>
      </c>
      <c r="J1215" s="1" t="s">
        <v>26</v>
      </c>
      <c r="K1215" s="1" t="s">
        <v>2822</v>
      </c>
      <c r="L1215" s="1" t="s">
        <v>2798</v>
      </c>
      <c r="M1215" s="1" t="s">
        <v>2768</v>
      </c>
      <c r="N1215" s="1" t="s">
        <v>38</v>
      </c>
      <c r="O1215" s="1" t="s">
        <v>91</v>
      </c>
      <c r="Q1215" s="1" t="s">
        <v>93</v>
      </c>
      <c r="R1215" s="1" t="s">
        <v>113</v>
      </c>
      <c r="S1215" s="1"/>
      <c r="U1215" s="1" t="s">
        <v>130</v>
      </c>
      <c r="V1215" s="1" t="s">
        <v>259</v>
      </c>
      <c r="W1215" s="1" t="str">
        <f>VLOOKUP(Table1[[#This Row],[Obergruppe ATC-Code]],Tabelle3!$A$2:$B$100,2)</f>
        <v>ANTIBIOTIKA ZUR SYSTEMISCHEN ANWENDUNG</v>
      </c>
      <c r="X1215" s="1" t="str">
        <f xml:space="preserve"> LEFT(Table1[[#This Row],[Atc Code]],3)</f>
        <v>J01</v>
      </c>
    </row>
    <row r="1216" spans="1:24" ht="14.4">
      <c r="A1216" s="14">
        <v>681</v>
      </c>
      <c r="B1216" s="24">
        <v>4568855</v>
      </c>
      <c r="C1216" s="1">
        <v>2107786</v>
      </c>
      <c r="D1216" s="1" t="s">
        <v>25</v>
      </c>
      <c r="E1216" s="36">
        <v>45070</v>
      </c>
      <c r="F1216" s="36">
        <v>45110</v>
      </c>
      <c r="G1216" s="38">
        <f t="shared" si="18"/>
        <v>40</v>
      </c>
      <c r="H1216" s="5">
        <v>45070</v>
      </c>
      <c r="I1216" s="5">
        <v>45110</v>
      </c>
      <c r="J1216" s="1" t="s">
        <v>26</v>
      </c>
      <c r="K1216" s="1" t="s">
        <v>2823</v>
      </c>
      <c r="L1216" s="1" t="s">
        <v>2798</v>
      </c>
      <c r="M1216" s="1" t="s">
        <v>2768</v>
      </c>
      <c r="N1216" s="1" t="s">
        <v>38</v>
      </c>
      <c r="O1216" s="1" t="s">
        <v>91</v>
      </c>
      <c r="Q1216" s="1" t="s">
        <v>93</v>
      </c>
      <c r="R1216" s="1" t="s">
        <v>113</v>
      </c>
      <c r="S1216" s="1" t="s">
        <v>2824</v>
      </c>
      <c r="U1216" s="1" t="s">
        <v>130</v>
      </c>
      <c r="V1216" s="1" t="s">
        <v>259</v>
      </c>
      <c r="W1216" s="1" t="str">
        <f>VLOOKUP(Table1[[#This Row],[Obergruppe ATC-Code]],Tabelle3!$A$2:$B$100,2)</f>
        <v>ANTIBIOTIKA ZUR SYSTEMISCHEN ANWENDUNG</v>
      </c>
      <c r="X1216" s="1" t="str">
        <f xml:space="preserve"> LEFT(Table1[[#This Row],[Atc Code]],3)</f>
        <v>J01</v>
      </c>
    </row>
    <row r="1217" spans="1:24" ht="14.4">
      <c r="A1217" s="14">
        <v>105</v>
      </c>
      <c r="B1217" s="24">
        <v>658834</v>
      </c>
      <c r="C1217" s="1">
        <v>2107213</v>
      </c>
      <c r="D1217" s="1" t="s">
        <v>25</v>
      </c>
      <c r="E1217" s="36">
        <v>44910</v>
      </c>
      <c r="F1217" s="36">
        <v>45117</v>
      </c>
      <c r="G1217" s="38">
        <f t="shared" si="18"/>
        <v>207</v>
      </c>
      <c r="H1217" s="5">
        <v>44910</v>
      </c>
      <c r="I1217" s="5">
        <v>45121</v>
      </c>
      <c r="J1217" s="1" t="s">
        <v>26</v>
      </c>
      <c r="K1217" s="1" t="s">
        <v>2806</v>
      </c>
      <c r="L1217" s="1" t="s">
        <v>2798</v>
      </c>
      <c r="M1217" s="1" t="s">
        <v>2768</v>
      </c>
      <c r="N1217" s="1" t="s">
        <v>38</v>
      </c>
      <c r="O1217" s="1" t="s">
        <v>52</v>
      </c>
      <c r="Q1217" s="1" t="s">
        <v>54</v>
      </c>
      <c r="R1217" s="1" t="s">
        <v>26</v>
      </c>
      <c r="S1217" s="1"/>
      <c r="U1217" s="1" t="s">
        <v>130</v>
      </c>
      <c r="V1217" s="1" t="s">
        <v>259</v>
      </c>
      <c r="W1217" s="1" t="str">
        <f>VLOOKUP(Table1[[#This Row],[Obergruppe ATC-Code]],Tabelle3!$A$2:$B$100,2)</f>
        <v>ANTIBIOTIKA ZUR SYSTEMISCHEN ANWENDUNG</v>
      </c>
      <c r="X1217" s="1" t="str">
        <f xml:space="preserve"> LEFT(Table1[[#This Row],[Atc Code]],3)</f>
        <v>J01</v>
      </c>
    </row>
    <row r="1218" spans="1:24" ht="14.4">
      <c r="A1218" s="14">
        <v>807</v>
      </c>
      <c r="B1218" s="24">
        <v>6648311</v>
      </c>
      <c r="C1218" s="1">
        <v>2124662</v>
      </c>
      <c r="D1218" s="1" t="s">
        <v>25</v>
      </c>
      <c r="E1218" s="36">
        <v>44999</v>
      </c>
      <c r="F1218" s="36">
        <v>45124</v>
      </c>
      <c r="G1218" s="38">
        <f t="shared" ref="G1218:G1281" si="19">F1218-E1218</f>
        <v>125</v>
      </c>
      <c r="H1218" s="5">
        <v>45005</v>
      </c>
      <c r="I1218" s="5">
        <v>45124</v>
      </c>
      <c r="J1218" s="1" t="s">
        <v>26</v>
      </c>
      <c r="K1218" s="1" t="s">
        <v>2808</v>
      </c>
      <c r="L1218" s="1" t="s">
        <v>2798</v>
      </c>
      <c r="M1218" s="1" t="s">
        <v>2768</v>
      </c>
      <c r="N1218" s="1" t="s">
        <v>30</v>
      </c>
      <c r="O1218" s="1" t="s">
        <v>2769</v>
      </c>
      <c r="P1218" s="1">
        <v>6252957000</v>
      </c>
      <c r="Q1218" s="1" t="s">
        <v>2771</v>
      </c>
      <c r="R1218" s="1" t="s">
        <v>113</v>
      </c>
      <c r="S1218" s="1"/>
      <c r="U1218" s="1" t="s">
        <v>35</v>
      </c>
      <c r="V1218" s="1" t="s">
        <v>259</v>
      </c>
      <c r="W1218" s="1" t="str">
        <f>VLOOKUP(Table1[[#This Row],[Obergruppe ATC-Code]],Tabelle3!$A$2:$B$100,2)</f>
        <v>ANTIBIOTIKA ZUR SYSTEMISCHEN ANWENDUNG</v>
      </c>
      <c r="X1218" s="1" t="str">
        <f xml:space="preserve"> LEFT(Table1[[#This Row],[Atc Code]],3)</f>
        <v>J01</v>
      </c>
    </row>
    <row r="1219" spans="1:24" ht="14.4">
      <c r="A1219" s="14">
        <v>1758</v>
      </c>
      <c r="B1219" s="24" t="s">
        <v>2825</v>
      </c>
      <c r="C1219" s="1">
        <v>2132376</v>
      </c>
      <c r="D1219" s="1" t="s">
        <v>25</v>
      </c>
      <c r="E1219" s="36">
        <v>44811</v>
      </c>
      <c r="F1219" s="36">
        <v>45138</v>
      </c>
      <c r="G1219" s="38">
        <f t="shared" si="19"/>
        <v>327</v>
      </c>
      <c r="H1219" s="5">
        <v>44811</v>
      </c>
      <c r="I1219" s="5">
        <v>45141</v>
      </c>
      <c r="J1219" s="1" t="s">
        <v>26</v>
      </c>
      <c r="K1219" s="1" t="s">
        <v>2797</v>
      </c>
      <c r="L1219" s="1" t="s">
        <v>2798</v>
      </c>
      <c r="M1219" s="1" t="s">
        <v>2768</v>
      </c>
      <c r="N1219" s="1" t="s">
        <v>38</v>
      </c>
      <c r="O1219" s="1" t="s">
        <v>52</v>
      </c>
      <c r="Q1219" s="1" t="s">
        <v>54</v>
      </c>
      <c r="R1219" s="1" t="s">
        <v>113</v>
      </c>
      <c r="S1219" s="1"/>
      <c r="T1219" s="1" t="s">
        <v>2826</v>
      </c>
      <c r="U1219" s="1" t="s">
        <v>130</v>
      </c>
      <c r="V1219" s="1" t="s">
        <v>99</v>
      </c>
      <c r="W1219" s="1" t="str">
        <f>VLOOKUP(Table1[[#This Row],[Obergruppe ATC-Code]],Tabelle3!$A$2:$B$100,2)</f>
        <v>ANTIBIOTIKA ZUR SYSTEMISCHEN ANWENDUNG</v>
      </c>
      <c r="X1219" s="1" t="str">
        <f xml:space="preserve"> LEFT(Table1[[#This Row],[Atc Code]],3)</f>
        <v>J01</v>
      </c>
    </row>
    <row r="1220" spans="1:24" ht="14.4">
      <c r="A1220" s="14">
        <v>504</v>
      </c>
      <c r="B1220" s="24">
        <v>3126552</v>
      </c>
      <c r="C1220" s="1">
        <v>2103603</v>
      </c>
      <c r="D1220" s="1" t="s">
        <v>102</v>
      </c>
      <c r="E1220" s="36">
        <v>45070</v>
      </c>
      <c r="F1220" s="36">
        <v>45230</v>
      </c>
      <c r="G1220" s="38">
        <f t="shared" si="19"/>
        <v>160</v>
      </c>
      <c r="H1220" s="5">
        <v>45070</v>
      </c>
      <c r="I1220" s="5">
        <v>45141</v>
      </c>
      <c r="J1220" s="1" t="s">
        <v>26</v>
      </c>
      <c r="K1220" s="1" t="s">
        <v>2815</v>
      </c>
      <c r="L1220" s="1" t="s">
        <v>2798</v>
      </c>
      <c r="M1220" s="1" t="s">
        <v>2768</v>
      </c>
      <c r="N1220" s="1" t="s">
        <v>38</v>
      </c>
      <c r="O1220" s="1" t="s">
        <v>91</v>
      </c>
      <c r="Q1220" s="1" t="s">
        <v>93</v>
      </c>
      <c r="R1220" s="1" t="s">
        <v>113</v>
      </c>
      <c r="S1220" s="1"/>
      <c r="U1220" s="1" t="s">
        <v>130</v>
      </c>
      <c r="V1220" s="1" t="s">
        <v>99</v>
      </c>
      <c r="W1220" s="1" t="str">
        <f>VLOOKUP(Table1[[#This Row],[Obergruppe ATC-Code]],Tabelle3!$A$2:$B$100,2)</f>
        <v>ANTIBIOTIKA ZUR SYSTEMISCHEN ANWENDUNG</v>
      </c>
      <c r="X1220" s="1" t="str">
        <f xml:space="preserve"> LEFT(Table1[[#This Row],[Atc Code]],3)</f>
        <v>J01</v>
      </c>
    </row>
    <row r="1221" spans="1:24" ht="14.4">
      <c r="A1221" s="14">
        <v>567</v>
      </c>
      <c r="B1221" s="24">
        <v>3525921</v>
      </c>
      <c r="C1221" s="1">
        <v>2103726</v>
      </c>
      <c r="D1221" s="1" t="s">
        <v>102</v>
      </c>
      <c r="E1221" s="36">
        <v>43891</v>
      </c>
      <c r="F1221" s="36">
        <v>45291</v>
      </c>
      <c r="G1221" s="38">
        <f t="shared" si="19"/>
        <v>1400</v>
      </c>
      <c r="H1221" s="5">
        <v>43916</v>
      </c>
      <c r="I1221" s="5">
        <v>45149</v>
      </c>
      <c r="J1221" s="1" t="s">
        <v>26</v>
      </c>
      <c r="K1221" s="1" t="s">
        <v>2827</v>
      </c>
      <c r="L1221" s="1" t="s">
        <v>2798</v>
      </c>
      <c r="M1221" s="1" t="s">
        <v>2768</v>
      </c>
      <c r="N1221" s="1" t="s">
        <v>30</v>
      </c>
      <c r="O1221" s="1" t="s">
        <v>45</v>
      </c>
      <c r="P1221" s="1" t="s">
        <v>104</v>
      </c>
      <c r="Q1221" s="1" t="s">
        <v>118</v>
      </c>
      <c r="R1221" s="1" t="s">
        <v>33</v>
      </c>
      <c r="S1221" s="1"/>
      <c r="U1221" s="1" t="s">
        <v>35</v>
      </c>
      <c r="V1221" s="1" t="s">
        <v>259</v>
      </c>
      <c r="W1221" s="1" t="str">
        <f>VLOOKUP(Table1[[#This Row],[Obergruppe ATC-Code]],Tabelle3!$A$2:$B$100,2)</f>
        <v>ANTIBIOTIKA ZUR SYSTEMISCHEN ANWENDUNG</v>
      </c>
      <c r="X1221" s="1" t="str">
        <f xml:space="preserve"> LEFT(Table1[[#This Row],[Atc Code]],3)</f>
        <v>J01</v>
      </c>
    </row>
    <row r="1222" spans="1:24" ht="14.4">
      <c r="A1222" s="14">
        <v>2169</v>
      </c>
      <c r="B1222" s="24" t="s">
        <v>2828</v>
      </c>
      <c r="C1222" s="1">
        <v>2114031</v>
      </c>
      <c r="D1222" s="1" t="s">
        <v>25</v>
      </c>
      <c r="E1222" s="36">
        <v>44915</v>
      </c>
      <c r="F1222" s="36">
        <v>45167</v>
      </c>
      <c r="G1222" s="38">
        <f t="shared" si="19"/>
        <v>252</v>
      </c>
      <c r="H1222" s="5">
        <v>44916</v>
      </c>
      <c r="I1222" s="5">
        <v>45167</v>
      </c>
      <c r="J1222" s="1" t="s">
        <v>26</v>
      </c>
      <c r="K1222" s="1" t="s">
        <v>2829</v>
      </c>
      <c r="L1222" s="1" t="s">
        <v>2798</v>
      </c>
      <c r="M1222" s="1" t="s">
        <v>2768</v>
      </c>
      <c r="N1222" s="1" t="s">
        <v>38</v>
      </c>
      <c r="O1222" s="1" t="s">
        <v>110</v>
      </c>
      <c r="P1222" s="1">
        <v>49733396510</v>
      </c>
      <c r="Q1222" s="1" t="s">
        <v>112</v>
      </c>
      <c r="R1222" s="1" t="s">
        <v>113</v>
      </c>
      <c r="S1222" s="1" t="s">
        <v>2830</v>
      </c>
      <c r="U1222" s="1" t="s">
        <v>130</v>
      </c>
      <c r="V1222" s="1" t="s">
        <v>259</v>
      </c>
      <c r="W1222" s="1" t="str">
        <f>VLOOKUP(Table1[[#This Row],[Obergruppe ATC-Code]],Tabelle3!$A$2:$B$100,2)</f>
        <v>ANTIBIOTIKA ZUR SYSTEMISCHEN ANWENDUNG</v>
      </c>
      <c r="X1222" s="1" t="str">
        <f xml:space="preserve"> LEFT(Table1[[#This Row],[Atc Code]],3)</f>
        <v>J01</v>
      </c>
    </row>
    <row r="1223" spans="1:24" ht="14.4">
      <c r="A1223" s="14">
        <v>47</v>
      </c>
      <c r="B1223" s="24">
        <v>291084</v>
      </c>
      <c r="C1223" s="1">
        <v>2102857</v>
      </c>
      <c r="D1223" s="1" t="s">
        <v>25</v>
      </c>
      <c r="E1223" s="36">
        <v>45141</v>
      </c>
      <c r="F1223" s="36">
        <v>45163</v>
      </c>
      <c r="G1223" s="38">
        <f t="shared" si="19"/>
        <v>22</v>
      </c>
      <c r="H1223" s="5">
        <v>45142</v>
      </c>
      <c r="I1223" s="5">
        <v>45173</v>
      </c>
      <c r="J1223" s="1" t="s">
        <v>41</v>
      </c>
      <c r="K1223" s="1" t="s">
        <v>2831</v>
      </c>
      <c r="L1223" s="1" t="s">
        <v>2798</v>
      </c>
      <c r="M1223" s="1" t="s">
        <v>2768</v>
      </c>
      <c r="N1223" s="1" t="s">
        <v>38</v>
      </c>
      <c r="O1223" s="1" t="s">
        <v>123</v>
      </c>
      <c r="Q1223" s="1" t="s">
        <v>201</v>
      </c>
      <c r="R1223" s="1" t="s">
        <v>128</v>
      </c>
      <c r="S1223" s="1"/>
      <c r="U1223" s="1" t="s">
        <v>130</v>
      </c>
      <c r="V1223" s="1" t="s">
        <v>99</v>
      </c>
      <c r="W1223" s="1" t="str">
        <f>VLOOKUP(Table1[[#This Row],[Obergruppe ATC-Code]],Tabelle3!$A$2:$B$100,2)</f>
        <v>ANTIBIOTIKA ZUR SYSTEMISCHEN ANWENDUNG</v>
      </c>
      <c r="X1223" s="1" t="str">
        <f xml:space="preserve"> LEFT(Table1[[#This Row],[Atc Code]],3)</f>
        <v>J01</v>
      </c>
    </row>
    <row r="1224" spans="1:24" ht="14.4">
      <c r="A1224" s="14">
        <v>1555</v>
      </c>
      <c r="B1224" s="24">
        <v>16770059</v>
      </c>
      <c r="C1224" s="1">
        <v>2112964</v>
      </c>
      <c r="D1224" s="1" t="s">
        <v>25</v>
      </c>
      <c r="E1224" s="36">
        <v>45146</v>
      </c>
      <c r="F1224" s="36">
        <v>45184</v>
      </c>
      <c r="G1224" s="38">
        <f t="shared" si="19"/>
        <v>38</v>
      </c>
      <c r="H1224" s="5">
        <v>45146</v>
      </c>
      <c r="I1224" s="5">
        <v>45183</v>
      </c>
      <c r="J1224" s="1" t="s">
        <v>41</v>
      </c>
      <c r="K1224" s="1" t="s">
        <v>2832</v>
      </c>
      <c r="L1224" s="1" t="s">
        <v>2798</v>
      </c>
      <c r="M1224" s="1" t="s">
        <v>2768</v>
      </c>
      <c r="N1224" s="1" t="s">
        <v>38</v>
      </c>
      <c r="O1224" s="1" t="s">
        <v>1489</v>
      </c>
      <c r="Q1224" s="1" t="s">
        <v>1490</v>
      </c>
      <c r="R1224" s="1" t="s">
        <v>128</v>
      </c>
      <c r="S1224" s="1"/>
      <c r="U1224" s="1" t="s">
        <v>130</v>
      </c>
      <c r="V1224" s="1" t="s">
        <v>49</v>
      </c>
      <c r="W1224" s="1" t="str">
        <f>VLOOKUP(Table1[[#This Row],[Obergruppe ATC-Code]],Tabelle3!$A$2:$B$100,2)</f>
        <v>ANTIBIOTIKA ZUR SYSTEMISCHEN ANWENDUNG</v>
      </c>
      <c r="X1224" s="1" t="str">
        <f xml:space="preserve"> LEFT(Table1[[#This Row],[Atc Code]],3)</f>
        <v>J01</v>
      </c>
    </row>
    <row r="1225" spans="1:24" ht="14.4">
      <c r="A1225" s="14">
        <v>1305</v>
      </c>
      <c r="B1225" s="24">
        <v>12443145</v>
      </c>
      <c r="C1225" s="1">
        <v>2112961</v>
      </c>
      <c r="D1225" s="1" t="s">
        <v>25</v>
      </c>
      <c r="E1225" s="36">
        <v>45146</v>
      </c>
      <c r="F1225" s="36">
        <v>45184</v>
      </c>
      <c r="G1225" s="38">
        <f t="shared" si="19"/>
        <v>38</v>
      </c>
      <c r="H1225" s="5">
        <v>45146</v>
      </c>
      <c r="I1225" s="5">
        <v>45183</v>
      </c>
      <c r="J1225" s="1" t="s">
        <v>41</v>
      </c>
      <c r="K1225" s="1" t="s">
        <v>2833</v>
      </c>
      <c r="L1225" s="1" t="s">
        <v>2798</v>
      </c>
      <c r="M1225" s="1" t="s">
        <v>2768</v>
      </c>
      <c r="N1225" s="1" t="s">
        <v>38</v>
      </c>
      <c r="O1225" s="1" t="s">
        <v>1489</v>
      </c>
      <c r="Q1225" s="1" t="s">
        <v>1490</v>
      </c>
      <c r="R1225" s="1" t="s">
        <v>128</v>
      </c>
      <c r="S1225" s="1"/>
      <c r="U1225" s="1" t="s">
        <v>130</v>
      </c>
      <c r="V1225" s="1" t="s">
        <v>49</v>
      </c>
      <c r="W1225" s="1" t="str">
        <f>VLOOKUP(Table1[[#This Row],[Obergruppe ATC-Code]],Tabelle3!$A$2:$B$100,2)</f>
        <v>ANTIBIOTIKA ZUR SYSTEMISCHEN ANWENDUNG</v>
      </c>
      <c r="X1225" s="1" t="str">
        <f xml:space="preserve"> LEFT(Table1[[#This Row],[Atc Code]],3)</f>
        <v>J01</v>
      </c>
    </row>
    <row r="1226" spans="1:24" ht="14.4">
      <c r="A1226" s="14">
        <v>534</v>
      </c>
      <c r="B1226" s="24">
        <v>3410974</v>
      </c>
      <c r="C1226" s="1">
        <v>2103441</v>
      </c>
      <c r="D1226" s="1" t="s">
        <v>102</v>
      </c>
      <c r="E1226" s="36">
        <v>44811</v>
      </c>
      <c r="F1226" s="36">
        <v>45296</v>
      </c>
      <c r="G1226" s="38">
        <f t="shared" si="19"/>
        <v>485</v>
      </c>
      <c r="H1226" s="5">
        <v>44811</v>
      </c>
      <c r="I1226" s="5">
        <v>45191</v>
      </c>
      <c r="J1226" s="1" t="s">
        <v>26</v>
      </c>
      <c r="K1226" s="1" t="s">
        <v>2803</v>
      </c>
      <c r="L1226" s="1" t="s">
        <v>2798</v>
      </c>
      <c r="M1226" s="1" t="s">
        <v>2768</v>
      </c>
      <c r="N1226" s="1" t="s">
        <v>38</v>
      </c>
      <c r="O1226" s="1" t="s">
        <v>52</v>
      </c>
      <c r="Q1226" s="1" t="s">
        <v>54</v>
      </c>
      <c r="R1226" s="1" t="s">
        <v>113</v>
      </c>
      <c r="S1226" s="1"/>
      <c r="U1226" s="1" t="s">
        <v>130</v>
      </c>
      <c r="V1226" s="1" t="s">
        <v>99</v>
      </c>
      <c r="W1226" s="1" t="str">
        <f>VLOOKUP(Table1[[#This Row],[Obergruppe ATC-Code]],Tabelle3!$A$2:$B$100,2)</f>
        <v>ANTIBIOTIKA ZUR SYSTEMISCHEN ANWENDUNG</v>
      </c>
      <c r="X1226" s="1" t="str">
        <f xml:space="preserve"> LEFT(Table1[[#This Row],[Atc Code]],3)</f>
        <v>J01</v>
      </c>
    </row>
    <row r="1227" spans="1:24" ht="14.4">
      <c r="A1227" s="14">
        <v>108</v>
      </c>
      <c r="B1227" s="24">
        <v>658840</v>
      </c>
      <c r="C1227" s="1">
        <v>2125643</v>
      </c>
      <c r="D1227" s="1" t="s">
        <v>25</v>
      </c>
      <c r="E1227" s="36">
        <v>45065</v>
      </c>
      <c r="F1227" s="36">
        <v>45191</v>
      </c>
      <c r="G1227" s="38">
        <f t="shared" si="19"/>
        <v>126</v>
      </c>
      <c r="H1227" s="5">
        <v>45070</v>
      </c>
      <c r="I1227" s="5">
        <v>45191</v>
      </c>
      <c r="J1227" s="1" t="s">
        <v>26</v>
      </c>
      <c r="K1227" s="1" t="s">
        <v>2799</v>
      </c>
      <c r="L1227" s="1" t="s">
        <v>2798</v>
      </c>
      <c r="M1227" s="1" t="s">
        <v>2768</v>
      </c>
      <c r="N1227" s="1" t="s">
        <v>38</v>
      </c>
      <c r="O1227" s="1" t="s">
        <v>52</v>
      </c>
      <c r="Q1227" s="1" t="s">
        <v>54</v>
      </c>
      <c r="R1227" s="1" t="s">
        <v>113</v>
      </c>
      <c r="S1227" s="1"/>
      <c r="U1227" s="1" t="s">
        <v>130</v>
      </c>
      <c r="V1227" s="1" t="s">
        <v>259</v>
      </c>
      <c r="W1227" s="1" t="str">
        <f>VLOOKUP(Table1[[#This Row],[Obergruppe ATC-Code]],Tabelle3!$A$2:$B$100,2)</f>
        <v>ANTIBIOTIKA ZUR SYSTEMISCHEN ANWENDUNG</v>
      </c>
      <c r="X1227" s="1" t="str">
        <f xml:space="preserve"> LEFT(Table1[[#This Row],[Atc Code]],3)</f>
        <v>J01</v>
      </c>
    </row>
    <row r="1228" spans="1:24" ht="14.4">
      <c r="A1228" s="14">
        <v>949</v>
      </c>
      <c r="B1228" s="24">
        <v>7727283</v>
      </c>
      <c r="C1228" s="1">
        <v>2130359</v>
      </c>
      <c r="D1228" s="1" t="s">
        <v>102</v>
      </c>
      <c r="E1228" s="36">
        <v>44981</v>
      </c>
      <c r="F1228" s="36">
        <v>45350</v>
      </c>
      <c r="G1228" s="38">
        <f t="shared" si="19"/>
        <v>369</v>
      </c>
      <c r="H1228" s="5">
        <v>44981</v>
      </c>
      <c r="I1228" s="5">
        <v>45200</v>
      </c>
      <c r="J1228" s="1" t="s">
        <v>26</v>
      </c>
      <c r="K1228" s="1" t="s">
        <v>2807</v>
      </c>
      <c r="L1228" s="1" t="s">
        <v>2798</v>
      </c>
      <c r="M1228" s="1" t="s">
        <v>2768</v>
      </c>
      <c r="N1228" s="1" t="s">
        <v>38</v>
      </c>
      <c r="O1228" s="1" t="s">
        <v>91</v>
      </c>
      <c r="Q1228" s="1" t="s">
        <v>93</v>
      </c>
      <c r="R1228" s="1" t="s">
        <v>113</v>
      </c>
      <c r="S1228" s="1"/>
      <c r="U1228" s="1" t="s">
        <v>130</v>
      </c>
      <c r="V1228" s="1" t="s">
        <v>99</v>
      </c>
      <c r="W1228" s="1" t="str">
        <f>VLOOKUP(Table1[[#This Row],[Obergruppe ATC-Code]],Tabelle3!$A$2:$B$100,2)</f>
        <v>ANTIBIOTIKA ZUR SYSTEMISCHEN ANWENDUNG</v>
      </c>
      <c r="X1228" s="1" t="str">
        <f xml:space="preserve"> LEFT(Table1[[#This Row],[Atc Code]],3)</f>
        <v>J01</v>
      </c>
    </row>
    <row r="1229" spans="1:24" ht="14.4">
      <c r="A1229" s="14">
        <v>806</v>
      </c>
      <c r="B1229" s="24">
        <v>6648311</v>
      </c>
      <c r="C1229" s="1">
        <v>2124662</v>
      </c>
      <c r="D1229" s="1" t="s">
        <v>25</v>
      </c>
      <c r="E1229" s="36">
        <v>45128</v>
      </c>
      <c r="F1229" s="36">
        <v>45212</v>
      </c>
      <c r="G1229" s="38">
        <f t="shared" si="19"/>
        <v>84</v>
      </c>
      <c r="H1229" s="5">
        <v>45131</v>
      </c>
      <c r="I1229" s="5">
        <v>45212</v>
      </c>
      <c r="J1229" s="1" t="s">
        <v>26</v>
      </c>
      <c r="K1229" s="1" t="s">
        <v>2808</v>
      </c>
      <c r="L1229" s="1" t="s">
        <v>2798</v>
      </c>
      <c r="M1229" s="1" t="s">
        <v>2768</v>
      </c>
      <c r="N1229" s="1" t="s">
        <v>30</v>
      </c>
      <c r="O1229" s="1" t="s">
        <v>2769</v>
      </c>
      <c r="P1229" s="1" t="s">
        <v>2770</v>
      </c>
      <c r="Q1229" s="1" t="s">
        <v>2771</v>
      </c>
      <c r="R1229" s="1" t="s">
        <v>113</v>
      </c>
      <c r="S1229" s="1"/>
      <c r="U1229" s="1" t="s">
        <v>35</v>
      </c>
      <c r="V1229" s="1" t="s">
        <v>259</v>
      </c>
      <c r="W1229" s="1" t="str">
        <f>VLOOKUP(Table1[[#This Row],[Obergruppe ATC-Code]],Tabelle3!$A$2:$B$100,2)</f>
        <v>ANTIBIOTIKA ZUR SYSTEMISCHEN ANWENDUNG</v>
      </c>
      <c r="X1229" s="1" t="str">
        <f xml:space="preserve"> LEFT(Table1[[#This Row],[Atc Code]],3)</f>
        <v>J01</v>
      </c>
    </row>
    <row r="1230" spans="1:24" ht="14.4">
      <c r="A1230" s="14">
        <v>804</v>
      </c>
      <c r="B1230" s="24">
        <v>6648305</v>
      </c>
      <c r="C1230" s="1">
        <v>2124661</v>
      </c>
      <c r="D1230" s="1" t="s">
        <v>102</v>
      </c>
      <c r="E1230" s="36">
        <v>44908</v>
      </c>
      <c r="F1230" s="36">
        <v>45257</v>
      </c>
      <c r="G1230" s="38">
        <f t="shared" si="19"/>
        <v>349</v>
      </c>
      <c r="H1230" s="5">
        <v>44914</v>
      </c>
      <c r="I1230" s="5">
        <v>45212</v>
      </c>
      <c r="J1230" s="1" t="s">
        <v>26</v>
      </c>
      <c r="K1230" s="1" t="s">
        <v>2834</v>
      </c>
      <c r="L1230" s="1" t="s">
        <v>2798</v>
      </c>
      <c r="M1230" s="1" t="s">
        <v>2768</v>
      </c>
      <c r="N1230" s="1" t="s">
        <v>30</v>
      </c>
      <c r="O1230" s="1" t="s">
        <v>2769</v>
      </c>
      <c r="P1230" s="1" t="s">
        <v>2835</v>
      </c>
      <c r="Q1230" s="1" t="s">
        <v>2771</v>
      </c>
      <c r="R1230" s="1" t="s">
        <v>113</v>
      </c>
      <c r="S1230" s="1"/>
      <c r="U1230" s="1" t="s">
        <v>35</v>
      </c>
      <c r="V1230" s="1" t="s">
        <v>259</v>
      </c>
      <c r="W1230" s="1" t="str">
        <f>VLOOKUP(Table1[[#This Row],[Obergruppe ATC-Code]],Tabelle3!$A$2:$B$100,2)</f>
        <v>ANTIBIOTIKA ZUR SYSTEMISCHEN ANWENDUNG</v>
      </c>
      <c r="X1230" s="1" t="str">
        <f xml:space="preserve"> LEFT(Table1[[#This Row],[Atc Code]],3)</f>
        <v>J01</v>
      </c>
    </row>
    <row r="1231" spans="1:24" ht="14.4">
      <c r="A1231" s="14">
        <v>1756</v>
      </c>
      <c r="B1231" s="24" t="s">
        <v>2836</v>
      </c>
      <c r="C1231" s="1">
        <v>2136012</v>
      </c>
      <c r="D1231" s="1" t="s">
        <v>102</v>
      </c>
      <c r="E1231" s="36">
        <v>44974</v>
      </c>
      <c r="F1231" s="36">
        <v>45219</v>
      </c>
      <c r="G1231" s="38">
        <f t="shared" si="19"/>
        <v>245</v>
      </c>
      <c r="H1231" s="5">
        <v>44974</v>
      </c>
      <c r="I1231" s="5">
        <v>45215</v>
      </c>
      <c r="J1231" s="1" t="s">
        <v>26</v>
      </c>
      <c r="K1231" s="1" t="s">
        <v>2837</v>
      </c>
      <c r="L1231" s="1" t="s">
        <v>2798</v>
      </c>
      <c r="M1231" s="1" t="s">
        <v>2768</v>
      </c>
      <c r="N1231" s="1" t="s">
        <v>38</v>
      </c>
      <c r="O1231" s="1" t="s">
        <v>52</v>
      </c>
      <c r="Q1231" s="1" t="s">
        <v>54</v>
      </c>
      <c r="R1231" s="1" t="s">
        <v>113</v>
      </c>
      <c r="S1231" s="1" t="s">
        <v>2838</v>
      </c>
      <c r="U1231" s="1" t="s">
        <v>130</v>
      </c>
      <c r="V1231" s="1" t="s">
        <v>99</v>
      </c>
      <c r="W1231" s="1" t="str">
        <f>VLOOKUP(Table1[[#This Row],[Obergruppe ATC-Code]],Tabelle3!$A$2:$B$100,2)</f>
        <v>ANTIBIOTIKA ZUR SYSTEMISCHEN ANWENDUNG</v>
      </c>
      <c r="X1231" s="1" t="str">
        <f xml:space="preserve"> LEFT(Table1[[#This Row],[Atc Code]],3)</f>
        <v>J01</v>
      </c>
    </row>
    <row r="1232" spans="1:24" ht="15" customHeight="1">
      <c r="A1232" s="14">
        <v>2683</v>
      </c>
      <c r="B1232" s="24" t="s">
        <v>2839</v>
      </c>
      <c r="C1232" s="1">
        <v>2190405</v>
      </c>
      <c r="D1232" s="1" t="s">
        <v>25</v>
      </c>
      <c r="E1232" s="36">
        <v>43678</v>
      </c>
      <c r="F1232" s="36">
        <v>43769</v>
      </c>
      <c r="G1232" s="38">
        <f t="shared" si="19"/>
        <v>91</v>
      </c>
      <c r="H1232" s="5">
        <v>43693</v>
      </c>
      <c r="I1232" s="5">
        <v>43753</v>
      </c>
      <c r="J1232" s="1" t="s">
        <v>41</v>
      </c>
      <c r="K1232" s="1" t="s">
        <v>2840</v>
      </c>
      <c r="L1232" s="1" t="s">
        <v>2841</v>
      </c>
      <c r="M1232" s="1" t="s">
        <v>2842</v>
      </c>
      <c r="N1232" s="1" t="s">
        <v>30</v>
      </c>
      <c r="O1232" s="1" t="s">
        <v>1345</v>
      </c>
      <c r="P1232" s="1">
        <v>491717532776</v>
      </c>
      <c r="Q1232" s="1" t="s">
        <v>2843</v>
      </c>
      <c r="R1232" s="1" t="s">
        <v>26</v>
      </c>
      <c r="S1232" s="1"/>
      <c r="U1232" s="1" t="s">
        <v>35</v>
      </c>
      <c r="V1232" s="1" t="s">
        <v>99</v>
      </c>
      <c r="W1232" s="1" t="str">
        <f>VLOOKUP(Table1[[#This Row],[Obergruppe ATC-Code]],Tabelle3!$A$2:$B$100,2)</f>
        <v>ANTIBIOTIKA ZUR SYSTEMISCHEN ANWENDUNG</v>
      </c>
      <c r="X1232" s="1" t="str">
        <f xml:space="preserve"> LEFT(Table1[[#This Row],[Atc Code]],3)</f>
        <v>J01</v>
      </c>
    </row>
    <row r="1233" spans="1:24" ht="14.4">
      <c r="A1233" s="14">
        <v>2681</v>
      </c>
      <c r="B1233" s="24" t="s">
        <v>2839</v>
      </c>
      <c r="C1233" s="1">
        <v>2190405</v>
      </c>
      <c r="D1233" s="1" t="s">
        <v>25</v>
      </c>
      <c r="E1233" s="36">
        <v>43770</v>
      </c>
      <c r="F1233" s="36">
        <v>43830</v>
      </c>
      <c r="G1233" s="38">
        <f t="shared" si="19"/>
        <v>60</v>
      </c>
      <c r="H1233" s="5">
        <v>43795</v>
      </c>
      <c r="I1233" s="5">
        <v>43817</v>
      </c>
      <c r="J1233" s="1" t="s">
        <v>41</v>
      </c>
      <c r="K1233" s="1" t="s">
        <v>2840</v>
      </c>
      <c r="L1233" s="1" t="s">
        <v>2841</v>
      </c>
      <c r="M1233" s="1" t="s">
        <v>2842</v>
      </c>
      <c r="N1233" s="1" t="s">
        <v>30</v>
      </c>
      <c r="O1233" s="1" t="s">
        <v>1345</v>
      </c>
      <c r="P1233" s="1">
        <v>4917643235900</v>
      </c>
      <c r="Q1233" s="1" t="s">
        <v>1346</v>
      </c>
      <c r="R1233" s="1" t="s">
        <v>48</v>
      </c>
      <c r="S1233" s="1"/>
      <c r="T1233" s="1" t="s">
        <v>2844</v>
      </c>
      <c r="U1233" s="1" t="s">
        <v>35</v>
      </c>
      <c r="V1233" s="1" t="s">
        <v>99</v>
      </c>
      <c r="W1233" s="1" t="str">
        <f>VLOOKUP(Table1[[#This Row],[Obergruppe ATC-Code]],Tabelle3!$A$2:$B$100,2)</f>
        <v>ANTIBIOTIKA ZUR SYSTEMISCHEN ANWENDUNG</v>
      </c>
      <c r="X1233" s="1" t="str">
        <f xml:space="preserve"> LEFT(Table1[[#This Row],[Atc Code]],3)</f>
        <v>J01</v>
      </c>
    </row>
    <row r="1234" spans="1:24" ht="15" customHeight="1">
      <c r="A1234" s="14">
        <v>2682</v>
      </c>
      <c r="B1234" s="24" t="s">
        <v>2839</v>
      </c>
      <c r="C1234" s="1">
        <v>2190405</v>
      </c>
      <c r="D1234" s="1" t="s">
        <v>25</v>
      </c>
      <c r="E1234" s="36">
        <v>43891</v>
      </c>
      <c r="F1234" s="36">
        <v>43921</v>
      </c>
      <c r="G1234" s="38">
        <f t="shared" si="19"/>
        <v>30</v>
      </c>
      <c r="H1234" s="5">
        <v>43901</v>
      </c>
      <c r="I1234" s="5">
        <v>43924</v>
      </c>
      <c r="J1234" s="1" t="s">
        <v>41</v>
      </c>
      <c r="K1234" s="1" t="s">
        <v>2840</v>
      </c>
      <c r="L1234" s="1" t="s">
        <v>2841</v>
      </c>
      <c r="M1234" s="1" t="s">
        <v>2842</v>
      </c>
      <c r="N1234" s="1" t="s">
        <v>30</v>
      </c>
      <c r="O1234" s="1" t="s">
        <v>1345</v>
      </c>
      <c r="P1234" s="1">
        <v>4917643235900</v>
      </c>
      <c r="Q1234" s="1" t="s">
        <v>1346</v>
      </c>
      <c r="R1234" s="1" t="s">
        <v>48</v>
      </c>
      <c r="S1234" s="1"/>
      <c r="T1234" s="1" t="s">
        <v>2845</v>
      </c>
      <c r="U1234" s="1" t="s">
        <v>35</v>
      </c>
      <c r="V1234" s="1" t="s">
        <v>99</v>
      </c>
      <c r="W1234" s="1" t="str">
        <f>VLOOKUP(Table1[[#This Row],[Obergruppe ATC-Code]],Tabelle3!$A$2:$B$100,2)</f>
        <v>ANTIBIOTIKA ZUR SYSTEMISCHEN ANWENDUNG</v>
      </c>
      <c r="X1234" s="1" t="str">
        <f xml:space="preserve"> LEFT(Table1[[#This Row],[Atc Code]],3)</f>
        <v>J01</v>
      </c>
    </row>
    <row r="1235" spans="1:24" ht="15" customHeight="1">
      <c r="A1235" s="14">
        <v>2822</v>
      </c>
      <c r="B1235" s="24" t="s">
        <v>2846</v>
      </c>
      <c r="C1235" s="1">
        <v>2140744</v>
      </c>
      <c r="D1235" s="1" t="s">
        <v>25</v>
      </c>
      <c r="E1235" s="36">
        <v>42826</v>
      </c>
      <c r="F1235" s="36">
        <v>43890</v>
      </c>
      <c r="G1235" s="38">
        <f t="shared" si="19"/>
        <v>1064</v>
      </c>
      <c r="H1235" s="5">
        <v>42835</v>
      </c>
      <c r="I1235" s="5">
        <v>43853</v>
      </c>
      <c r="J1235" s="1" t="s">
        <v>26</v>
      </c>
      <c r="K1235" s="1" t="s">
        <v>2847</v>
      </c>
      <c r="L1235" s="1" t="s">
        <v>2848</v>
      </c>
      <c r="M1235" s="1" t="s">
        <v>2849</v>
      </c>
      <c r="N1235" s="1" t="s">
        <v>30</v>
      </c>
      <c r="O1235" s="1" t="s">
        <v>2850</v>
      </c>
      <c r="P1235" s="1" t="s">
        <v>2851</v>
      </c>
      <c r="Q1235" s="1" t="s">
        <v>647</v>
      </c>
      <c r="R1235" s="1" t="s">
        <v>33</v>
      </c>
      <c r="S1235" s="1"/>
      <c r="U1235" s="1" t="s">
        <v>57</v>
      </c>
      <c r="V1235" s="1" t="s">
        <v>1009</v>
      </c>
      <c r="W1235" s="1" t="str">
        <f>VLOOKUP(Table1[[#This Row],[Obergruppe ATC-Code]],Tabelle3!$A$2:$B$100,2)</f>
        <v>ANTIBIOTIKA ZUR SYSTEMISCHEN ANWENDUNG</v>
      </c>
      <c r="X1235" s="1" t="str">
        <f xml:space="preserve"> LEFT(Table1[[#This Row],[Atc Code]],3)</f>
        <v>J01</v>
      </c>
    </row>
    <row r="1236" spans="1:24" ht="14.4">
      <c r="A1236" s="14">
        <v>2821</v>
      </c>
      <c r="B1236" s="24" t="s">
        <v>2852</v>
      </c>
      <c r="C1236" s="1">
        <v>2140743</v>
      </c>
      <c r="D1236" s="1" t="s">
        <v>25</v>
      </c>
      <c r="E1236" s="36">
        <v>42826</v>
      </c>
      <c r="F1236" s="36">
        <v>43890</v>
      </c>
      <c r="G1236" s="38">
        <f t="shared" si="19"/>
        <v>1064</v>
      </c>
      <c r="H1236" s="5">
        <v>42835</v>
      </c>
      <c r="I1236" s="5">
        <v>43853</v>
      </c>
      <c r="J1236" s="1" t="s">
        <v>26</v>
      </c>
      <c r="K1236" s="1" t="s">
        <v>2853</v>
      </c>
      <c r="L1236" s="1" t="s">
        <v>2848</v>
      </c>
      <c r="M1236" s="1" t="s">
        <v>2849</v>
      </c>
      <c r="N1236" s="1" t="s">
        <v>30</v>
      </c>
      <c r="O1236" s="1" t="s">
        <v>2850</v>
      </c>
      <c r="P1236" s="1" t="s">
        <v>2851</v>
      </c>
      <c r="Q1236" s="1" t="s">
        <v>647</v>
      </c>
      <c r="R1236" s="1" t="s">
        <v>33</v>
      </c>
      <c r="S1236" s="1"/>
      <c r="U1236" s="1" t="s">
        <v>57</v>
      </c>
      <c r="V1236" s="1" t="s">
        <v>1009</v>
      </c>
      <c r="W1236" s="1" t="str">
        <f>VLOOKUP(Table1[[#This Row],[Obergruppe ATC-Code]],Tabelle3!$A$2:$B$100,2)</f>
        <v>ANTIBIOTIKA ZUR SYSTEMISCHEN ANWENDUNG</v>
      </c>
      <c r="X1236" s="1" t="str">
        <f xml:space="preserve"> LEFT(Table1[[#This Row],[Atc Code]],3)</f>
        <v>J01</v>
      </c>
    </row>
    <row r="1237" spans="1:24" ht="14.4">
      <c r="A1237" s="14">
        <v>2820</v>
      </c>
      <c r="B1237" s="24" t="s">
        <v>2854</v>
      </c>
      <c r="C1237" s="1">
        <v>2140742</v>
      </c>
      <c r="D1237" s="1" t="s">
        <v>25</v>
      </c>
      <c r="E1237" s="36">
        <v>42826</v>
      </c>
      <c r="F1237" s="36">
        <v>43890</v>
      </c>
      <c r="G1237" s="38">
        <f t="shared" si="19"/>
        <v>1064</v>
      </c>
      <c r="H1237" s="5">
        <v>42835</v>
      </c>
      <c r="I1237" s="5">
        <v>43853</v>
      </c>
      <c r="J1237" s="1" t="s">
        <v>26</v>
      </c>
      <c r="K1237" s="1" t="s">
        <v>2855</v>
      </c>
      <c r="L1237" s="1" t="s">
        <v>2848</v>
      </c>
      <c r="M1237" s="1" t="s">
        <v>2849</v>
      </c>
      <c r="N1237" s="1" t="s">
        <v>30</v>
      </c>
      <c r="O1237" s="1" t="s">
        <v>2850</v>
      </c>
      <c r="P1237" s="1" t="s">
        <v>2856</v>
      </c>
      <c r="Q1237" s="1" t="s">
        <v>2857</v>
      </c>
      <c r="R1237" s="1" t="s">
        <v>33</v>
      </c>
      <c r="S1237" s="1"/>
      <c r="U1237" s="1" t="s">
        <v>57</v>
      </c>
      <c r="V1237" s="1" t="s">
        <v>1009</v>
      </c>
      <c r="W1237" s="1" t="str">
        <f>VLOOKUP(Table1[[#This Row],[Obergruppe ATC-Code]],Tabelle3!$A$2:$B$100,2)</f>
        <v>ANTIBIOTIKA ZUR SYSTEMISCHEN ANWENDUNG</v>
      </c>
      <c r="X1237" s="1" t="str">
        <f xml:space="preserve"> LEFT(Table1[[#This Row],[Atc Code]],3)</f>
        <v>J01</v>
      </c>
    </row>
    <row r="1238" spans="1:24" ht="14.4">
      <c r="A1238" s="14">
        <v>2723</v>
      </c>
      <c r="B1238" s="24" t="s">
        <v>2858</v>
      </c>
      <c r="C1238" s="1">
        <v>2142719</v>
      </c>
      <c r="D1238" s="1" t="s">
        <v>25</v>
      </c>
      <c r="E1238" s="36">
        <v>43770</v>
      </c>
      <c r="F1238" s="36">
        <v>43861</v>
      </c>
      <c r="G1238" s="38">
        <f t="shared" si="19"/>
        <v>91</v>
      </c>
      <c r="H1238" s="5">
        <v>43769</v>
      </c>
      <c r="I1238" s="5">
        <v>43829</v>
      </c>
      <c r="J1238" s="1" t="s">
        <v>41</v>
      </c>
      <c r="K1238" s="1" t="s">
        <v>2859</v>
      </c>
      <c r="L1238" s="1" t="s">
        <v>2860</v>
      </c>
      <c r="M1238" s="1" t="s">
        <v>2861</v>
      </c>
      <c r="N1238" s="1" t="s">
        <v>30</v>
      </c>
      <c r="O1238" s="1" t="s">
        <v>2769</v>
      </c>
      <c r="P1238" s="1" t="s">
        <v>2862</v>
      </c>
      <c r="Q1238" s="1" t="s">
        <v>2863</v>
      </c>
      <c r="R1238" s="1" t="s">
        <v>26</v>
      </c>
      <c r="S1238" s="1"/>
      <c r="T1238" s="1" t="s">
        <v>2864</v>
      </c>
      <c r="U1238" s="1" t="s">
        <v>57</v>
      </c>
      <c r="V1238" s="1" t="s">
        <v>1009</v>
      </c>
      <c r="W1238" s="1" t="str">
        <f>VLOOKUP(Table1[[#This Row],[Obergruppe ATC-Code]],Tabelle3!$A$2:$B$100,2)</f>
        <v>ANTIBIOTIKA ZUR SYSTEMISCHEN ANWENDUNG</v>
      </c>
      <c r="X1238" s="1" t="str">
        <f xml:space="preserve"> LEFT(Table1[[#This Row],[Atc Code]],3)</f>
        <v>J01</v>
      </c>
    </row>
    <row r="1239" spans="1:24" ht="14.4">
      <c r="A1239" s="14">
        <v>1565</v>
      </c>
      <c r="B1239" s="24">
        <v>16849789</v>
      </c>
      <c r="C1239" s="1">
        <v>7000654</v>
      </c>
      <c r="D1239" s="1" t="s">
        <v>25</v>
      </c>
      <c r="E1239" s="36">
        <v>44974</v>
      </c>
      <c r="F1239" s="36">
        <v>45009</v>
      </c>
      <c r="G1239" s="38">
        <f t="shared" si="19"/>
        <v>35</v>
      </c>
      <c r="H1239" s="5">
        <v>44974</v>
      </c>
      <c r="I1239" s="5">
        <v>45009</v>
      </c>
      <c r="J1239" s="1" t="s">
        <v>26</v>
      </c>
      <c r="K1239" s="1" t="s">
        <v>2865</v>
      </c>
      <c r="L1239" s="1" t="s">
        <v>2860</v>
      </c>
      <c r="M1239" s="1" t="s">
        <v>2861</v>
      </c>
      <c r="N1239" s="1" t="s">
        <v>38</v>
      </c>
      <c r="O1239" s="1" t="s">
        <v>91</v>
      </c>
      <c r="Q1239" s="1" t="s">
        <v>93</v>
      </c>
      <c r="R1239" s="1" t="s">
        <v>33</v>
      </c>
      <c r="S1239" s="1"/>
      <c r="U1239" s="1" t="s">
        <v>130</v>
      </c>
      <c r="V1239" s="1" t="s">
        <v>796</v>
      </c>
      <c r="W1239" s="1" t="str">
        <f>VLOOKUP(Table1[[#This Row],[Obergruppe ATC-Code]],Tabelle3!$A$2:$B$100,2)</f>
        <v>ANTIBIOTIKA ZUR SYSTEMISCHEN ANWENDUNG</v>
      </c>
      <c r="X1239" s="1" t="str">
        <f xml:space="preserve"> LEFT(Table1[[#This Row],[Atc Code]],3)</f>
        <v>J01</v>
      </c>
    </row>
    <row r="1240" spans="1:24" ht="14.4">
      <c r="A1240" s="14">
        <v>468</v>
      </c>
      <c r="B1240" s="24">
        <v>2855734</v>
      </c>
      <c r="C1240" s="1">
        <v>2157982</v>
      </c>
      <c r="D1240" s="1" t="s">
        <v>25</v>
      </c>
      <c r="E1240" s="36">
        <v>42461</v>
      </c>
      <c r="F1240" s="36">
        <v>43312</v>
      </c>
      <c r="G1240" s="38">
        <f t="shared" si="19"/>
        <v>851</v>
      </c>
      <c r="H1240" s="5">
        <v>42986</v>
      </c>
      <c r="I1240" s="5">
        <v>43272</v>
      </c>
      <c r="J1240" s="1" t="s">
        <v>41</v>
      </c>
      <c r="K1240" s="1" t="s">
        <v>2866</v>
      </c>
      <c r="L1240" s="1" t="s">
        <v>2867</v>
      </c>
      <c r="M1240" s="1" t="s">
        <v>2868</v>
      </c>
      <c r="N1240" s="1" t="s">
        <v>30</v>
      </c>
      <c r="O1240" s="1" t="s">
        <v>52</v>
      </c>
      <c r="P1240" s="1" t="s">
        <v>2869</v>
      </c>
      <c r="Q1240" s="1" t="s">
        <v>54</v>
      </c>
      <c r="R1240" s="1" t="s">
        <v>26</v>
      </c>
      <c r="S1240" s="1"/>
      <c r="U1240" s="1" t="s">
        <v>35</v>
      </c>
      <c r="V1240" s="1" t="s">
        <v>285</v>
      </c>
      <c r="W1240" s="1" t="str">
        <f>VLOOKUP(Table1[[#This Row],[Obergruppe ATC-Code]],Tabelle3!$A$2:$B$100,2)</f>
        <v>ANTIBIOTIKA ZUR SYSTEMISCHEN ANWENDUNG</v>
      </c>
      <c r="X1240" s="1" t="str">
        <f xml:space="preserve"> LEFT(Table1[[#This Row],[Atc Code]],3)</f>
        <v>J01</v>
      </c>
    </row>
    <row r="1241" spans="1:24" ht="14.4">
      <c r="A1241" s="14">
        <v>2091</v>
      </c>
      <c r="B1241" s="24" t="s">
        <v>2870</v>
      </c>
      <c r="C1241" s="1">
        <v>2172847</v>
      </c>
      <c r="D1241" s="1" t="s">
        <v>25</v>
      </c>
      <c r="E1241" s="36">
        <v>42430</v>
      </c>
      <c r="F1241" s="36">
        <v>43312</v>
      </c>
      <c r="G1241" s="38">
        <f t="shared" si="19"/>
        <v>882</v>
      </c>
      <c r="H1241" s="5">
        <v>42986</v>
      </c>
      <c r="I1241" s="5">
        <v>43273</v>
      </c>
      <c r="J1241" s="1" t="s">
        <v>41</v>
      </c>
      <c r="K1241" s="1" t="s">
        <v>2871</v>
      </c>
      <c r="L1241" s="1" t="s">
        <v>2867</v>
      </c>
      <c r="M1241" s="1" t="s">
        <v>2868</v>
      </c>
      <c r="N1241" s="1" t="s">
        <v>30</v>
      </c>
      <c r="O1241" s="1" t="s">
        <v>91</v>
      </c>
      <c r="P1241" s="1" t="s">
        <v>374</v>
      </c>
      <c r="Q1241" s="1" t="s">
        <v>375</v>
      </c>
      <c r="R1241" s="1" t="s">
        <v>26</v>
      </c>
      <c r="S1241" s="1"/>
      <c r="U1241" s="1" t="s">
        <v>35</v>
      </c>
      <c r="V1241" s="1" t="s">
        <v>285</v>
      </c>
      <c r="W1241" s="1" t="str">
        <f>VLOOKUP(Table1[[#This Row],[Obergruppe ATC-Code]],Tabelle3!$A$2:$B$100,2)</f>
        <v>ANTIBIOTIKA ZUR SYSTEMISCHEN ANWENDUNG</v>
      </c>
      <c r="X1241" s="1" t="str">
        <f xml:space="preserve"> LEFT(Table1[[#This Row],[Atc Code]],3)</f>
        <v>J01</v>
      </c>
    </row>
    <row r="1242" spans="1:24" ht="14.4">
      <c r="A1242" s="14">
        <v>2051</v>
      </c>
      <c r="B1242" s="24" t="s">
        <v>2872</v>
      </c>
      <c r="C1242" s="1">
        <v>61728</v>
      </c>
      <c r="D1242" s="1" t="s">
        <v>25</v>
      </c>
      <c r="E1242" s="36">
        <v>42401</v>
      </c>
      <c r="F1242" s="36">
        <v>43982</v>
      </c>
      <c r="G1242" s="38">
        <f t="shared" si="19"/>
        <v>1581</v>
      </c>
      <c r="H1242" s="5">
        <v>42824</v>
      </c>
      <c r="I1242" s="5">
        <v>43956</v>
      </c>
      <c r="J1242" s="1" t="s">
        <v>41</v>
      </c>
      <c r="K1242" s="1" t="s">
        <v>2873</v>
      </c>
      <c r="L1242" s="1" t="s">
        <v>2867</v>
      </c>
      <c r="M1242" s="1" t="s">
        <v>2868</v>
      </c>
      <c r="N1242" s="1" t="s">
        <v>30</v>
      </c>
      <c r="O1242" s="1" t="s">
        <v>45</v>
      </c>
      <c r="P1242" s="1" t="s">
        <v>2874</v>
      </c>
      <c r="Q1242" s="1" t="s">
        <v>647</v>
      </c>
      <c r="R1242" s="1" t="s">
        <v>26</v>
      </c>
      <c r="S1242" s="1"/>
      <c r="U1242" s="1" t="s">
        <v>35</v>
      </c>
      <c r="V1242" s="1" t="s">
        <v>324</v>
      </c>
      <c r="W1242" s="1" t="str">
        <f>VLOOKUP(Table1[[#This Row],[Obergruppe ATC-Code]],Tabelle3!$A$2:$B$100,2)</f>
        <v>ANTIBIOTIKA ZUR SYSTEMISCHEN ANWENDUNG</v>
      </c>
      <c r="X1242" s="1" t="str">
        <f xml:space="preserve"> LEFT(Table1[[#This Row],[Atc Code]],3)</f>
        <v>J01</v>
      </c>
    </row>
    <row r="1243" spans="1:24" ht="15" customHeight="1">
      <c r="A1243" s="14">
        <v>2403</v>
      </c>
      <c r="B1243" s="24" t="s">
        <v>2875</v>
      </c>
      <c r="C1243" s="1">
        <v>2136599</v>
      </c>
      <c r="D1243" s="1" t="s">
        <v>25</v>
      </c>
      <c r="E1243" s="36">
        <v>43891</v>
      </c>
      <c r="F1243" s="36">
        <v>44012</v>
      </c>
      <c r="G1243" s="38">
        <f t="shared" si="19"/>
        <v>121</v>
      </c>
      <c r="H1243" s="5">
        <v>43917</v>
      </c>
      <c r="I1243" s="5">
        <v>44000</v>
      </c>
      <c r="J1243" s="1" t="s">
        <v>26</v>
      </c>
      <c r="K1243" s="1" t="s">
        <v>2876</v>
      </c>
      <c r="L1243" s="1" t="s">
        <v>2867</v>
      </c>
      <c r="M1243" s="1" t="s">
        <v>2868</v>
      </c>
      <c r="N1243" s="1" t="s">
        <v>30</v>
      </c>
      <c r="O1243" s="1" t="s">
        <v>45</v>
      </c>
      <c r="P1243" s="1" t="s">
        <v>104</v>
      </c>
      <c r="Q1243" s="1" t="s">
        <v>105</v>
      </c>
      <c r="R1243" s="1" t="s">
        <v>33</v>
      </c>
      <c r="S1243" s="1"/>
      <c r="U1243" s="1" t="s">
        <v>35</v>
      </c>
      <c r="V1243" s="1" t="s">
        <v>99</v>
      </c>
      <c r="W1243" s="1" t="str">
        <f>VLOOKUP(Table1[[#This Row],[Obergruppe ATC-Code]],Tabelle3!$A$2:$B$100,2)</f>
        <v>ANTIBIOTIKA ZUR SYSTEMISCHEN ANWENDUNG</v>
      </c>
      <c r="X1243" s="1" t="str">
        <f xml:space="preserve"> LEFT(Table1[[#This Row],[Atc Code]],3)</f>
        <v>J01</v>
      </c>
    </row>
    <row r="1244" spans="1:24" ht="14.4">
      <c r="A1244" s="14">
        <v>1919</v>
      </c>
      <c r="B1244" s="24" t="s">
        <v>2877</v>
      </c>
      <c r="C1244" s="1">
        <v>2118340</v>
      </c>
      <c r="D1244" s="1" t="s">
        <v>25</v>
      </c>
      <c r="E1244" s="36">
        <v>43891</v>
      </c>
      <c r="F1244" s="36">
        <v>44012</v>
      </c>
      <c r="G1244" s="38">
        <f t="shared" si="19"/>
        <v>121</v>
      </c>
      <c r="H1244" s="5">
        <v>43908</v>
      </c>
      <c r="I1244" s="5">
        <v>44000</v>
      </c>
      <c r="J1244" s="1" t="s">
        <v>26</v>
      </c>
      <c r="K1244" s="1" t="s">
        <v>2878</v>
      </c>
      <c r="L1244" s="1" t="s">
        <v>2867</v>
      </c>
      <c r="M1244" s="1" t="s">
        <v>2868</v>
      </c>
      <c r="N1244" s="1" t="s">
        <v>30</v>
      </c>
      <c r="O1244" s="1" t="s">
        <v>45</v>
      </c>
      <c r="P1244" s="1" t="s">
        <v>104</v>
      </c>
      <c r="Q1244" s="1" t="s">
        <v>105</v>
      </c>
      <c r="R1244" s="1" t="s">
        <v>33</v>
      </c>
      <c r="S1244" s="1"/>
      <c r="U1244" s="1" t="s">
        <v>35</v>
      </c>
      <c r="V1244" s="1" t="s">
        <v>99</v>
      </c>
      <c r="W1244" s="1" t="str">
        <f>VLOOKUP(Table1[[#This Row],[Obergruppe ATC-Code]],Tabelle3!$A$2:$B$100,2)</f>
        <v>ANTIBIOTIKA ZUR SYSTEMISCHEN ANWENDUNG</v>
      </c>
      <c r="X1244" s="1" t="str">
        <f xml:space="preserve"> LEFT(Table1[[#This Row],[Atc Code]],3)</f>
        <v>J01</v>
      </c>
    </row>
    <row r="1245" spans="1:24" ht="15" customHeight="1">
      <c r="A1245" s="14">
        <v>2380</v>
      </c>
      <c r="B1245" s="24" t="s">
        <v>2879</v>
      </c>
      <c r="C1245" s="1">
        <v>2132605</v>
      </c>
      <c r="D1245" s="1" t="s">
        <v>25</v>
      </c>
      <c r="E1245" s="36">
        <v>44410</v>
      </c>
      <c r="F1245" s="36">
        <v>44459</v>
      </c>
      <c r="G1245" s="38">
        <f t="shared" si="19"/>
        <v>49</v>
      </c>
      <c r="H1245" s="5">
        <v>44410</v>
      </c>
      <c r="I1245" s="5">
        <v>44459</v>
      </c>
      <c r="J1245" s="1" t="s">
        <v>26</v>
      </c>
      <c r="K1245" s="1" t="s">
        <v>2880</v>
      </c>
      <c r="L1245" s="1" t="s">
        <v>2867</v>
      </c>
      <c r="M1245" s="1" t="s">
        <v>2868</v>
      </c>
      <c r="N1245" s="1" t="s">
        <v>38</v>
      </c>
      <c r="O1245" s="1" t="s">
        <v>78</v>
      </c>
      <c r="Q1245" s="1" t="s">
        <v>80</v>
      </c>
      <c r="R1245" s="1" t="s">
        <v>113</v>
      </c>
      <c r="S1245" s="1"/>
      <c r="U1245" s="1" t="s">
        <v>35</v>
      </c>
      <c r="V1245" s="1" t="s">
        <v>285</v>
      </c>
      <c r="W1245" s="1" t="str">
        <f>VLOOKUP(Table1[[#This Row],[Obergruppe ATC-Code]],Tabelle3!$A$2:$B$100,2)</f>
        <v>ANTIBIOTIKA ZUR SYSTEMISCHEN ANWENDUNG</v>
      </c>
      <c r="X1245" s="1" t="str">
        <f xml:space="preserve"> LEFT(Table1[[#This Row],[Atc Code]],3)</f>
        <v>J01</v>
      </c>
    </row>
    <row r="1246" spans="1:24" ht="15" customHeight="1">
      <c r="A1246" s="14">
        <v>808</v>
      </c>
      <c r="B1246" s="24">
        <v>6649598</v>
      </c>
      <c r="C1246" s="1">
        <v>191371</v>
      </c>
      <c r="D1246" s="1" t="s">
        <v>25</v>
      </c>
      <c r="E1246" s="36">
        <v>44896</v>
      </c>
      <c r="F1246" s="36">
        <v>44942</v>
      </c>
      <c r="G1246" s="38">
        <f t="shared" si="19"/>
        <v>46</v>
      </c>
      <c r="H1246" s="5">
        <v>44896</v>
      </c>
      <c r="I1246" s="5">
        <v>44942</v>
      </c>
      <c r="J1246" s="1" t="s">
        <v>26</v>
      </c>
      <c r="K1246" s="1" t="s">
        <v>2881</v>
      </c>
      <c r="L1246" s="1" t="s">
        <v>2867</v>
      </c>
      <c r="M1246" s="1" t="s">
        <v>2868</v>
      </c>
      <c r="N1246" s="1" t="s">
        <v>30</v>
      </c>
      <c r="O1246" s="1" t="s">
        <v>2769</v>
      </c>
      <c r="P1246" s="1" t="s">
        <v>2770</v>
      </c>
      <c r="Q1246" s="1" t="s">
        <v>2809</v>
      </c>
      <c r="R1246" s="1" t="s">
        <v>113</v>
      </c>
      <c r="S1246" s="1" t="s">
        <v>2810</v>
      </c>
      <c r="T1246" s="1" t="s">
        <v>2882</v>
      </c>
      <c r="U1246" s="1" t="s">
        <v>130</v>
      </c>
      <c r="V1246" s="1" t="s">
        <v>324</v>
      </c>
      <c r="W1246" s="1" t="str">
        <f>VLOOKUP(Table1[[#This Row],[Obergruppe ATC-Code]],Tabelle3!$A$2:$B$100,2)</f>
        <v>ANTIBIOTIKA ZUR SYSTEMISCHEN ANWENDUNG</v>
      </c>
      <c r="X1246" s="1" t="str">
        <f xml:space="preserve"> LEFT(Table1[[#This Row],[Atc Code]],3)</f>
        <v>J01</v>
      </c>
    </row>
    <row r="1247" spans="1:24" ht="14.4">
      <c r="A1247" s="14">
        <v>1917</v>
      </c>
      <c r="B1247" s="24" t="s">
        <v>2883</v>
      </c>
      <c r="C1247" s="1">
        <v>156647</v>
      </c>
      <c r="D1247" s="1" t="s">
        <v>25</v>
      </c>
      <c r="E1247" s="36">
        <v>44904</v>
      </c>
      <c r="F1247" s="36">
        <v>44953</v>
      </c>
      <c r="G1247" s="38">
        <f t="shared" si="19"/>
        <v>49</v>
      </c>
      <c r="H1247" s="5">
        <v>44904</v>
      </c>
      <c r="I1247" s="5">
        <v>44956</v>
      </c>
      <c r="J1247" s="1" t="s">
        <v>26</v>
      </c>
      <c r="K1247" s="1" t="s">
        <v>2884</v>
      </c>
      <c r="L1247" s="1" t="s">
        <v>2867</v>
      </c>
      <c r="M1247" s="1" t="s">
        <v>2868</v>
      </c>
      <c r="N1247" s="1" t="s">
        <v>30</v>
      </c>
      <c r="O1247" s="1" t="s">
        <v>2769</v>
      </c>
      <c r="P1247" s="1" t="s">
        <v>2770</v>
      </c>
      <c r="Q1247" s="1" t="s">
        <v>2809</v>
      </c>
      <c r="R1247" s="1" t="s">
        <v>113</v>
      </c>
      <c r="S1247" s="1" t="s">
        <v>2772</v>
      </c>
      <c r="T1247" s="1" t="s">
        <v>2882</v>
      </c>
      <c r="U1247" s="1" t="s">
        <v>130</v>
      </c>
      <c r="V1247" s="1" t="s">
        <v>285</v>
      </c>
      <c r="W1247" s="1" t="str">
        <f>VLOOKUP(Table1[[#This Row],[Obergruppe ATC-Code]],Tabelle3!$A$2:$B$100,2)</f>
        <v>ANTIBIOTIKA ZUR SYSTEMISCHEN ANWENDUNG</v>
      </c>
      <c r="X1247" s="1" t="str">
        <f xml:space="preserve"> LEFT(Table1[[#This Row],[Atc Code]],3)</f>
        <v>J01</v>
      </c>
    </row>
    <row r="1248" spans="1:24" ht="14.4">
      <c r="A1248" s="14">
        <v>2181</v>
      </c>
      <c r="B1248" s="24" t="s">
        <v>2885</v>
      </c>
      <c r="C1248" s="1">
        <v>2136600</v>
      </c>
      <c r="D1248" s="1" t="s">
        <v>25</v>
      </c>
      <c r="E1248" s="36">
        <v>44897</v>
      </c>
      <c r="F1248" s="36">
        <v>44959</v>
      </c>
      <c r="G1248" s="38">
        <f t="shared" si="19"/>
        <v>62</v>
      </c>
      <c r="H1248" s="5">
        <v>44909</v>
      </c>
      <c r="I1248" s="5">
        <v>44959</v>
      </c>
      <c r="J1248" s="1" t="s">
        <v>26</v>
      </c>
      <c r="K1248" s="1" t="s">
        <v>2886</v>
      </c>
      <c r="L1248" s="1" t="s">
        <v>2867</v>
      </c>
      <c r="M1248" s="1" t="s">
        <v>2868</v>
      </c>
      <c r="N1248" s="1" t="s">
        <v>38</v>
      </c>
      <c r="O1248" s="1" t="s">
        <v>110</v>
      </c>
      <c r="P1248" s="1">
        <v>49733396510</v>
      </c>
      <c r="Q1248" s="1" t="s">
        <v>1141</v>
      </c>
      <c r="R1248" s="1" t="s">
        <v>113</v>
      </c>
      <c r="S1248" s="1" t="s">
        <v>2887</v>
      </c>
      <c r="U1248" s="1" t="s">
        <v>130</v>
      </c>
      <c r="V1248" s="1" t="s">
        <v>49</v>
      </c>
      <c r="W1248" s="1" t="str">
        <f>VLOOKUP(Table1[[#This Row],[Obergruppe ATC-Code]],Tabelle3!$A$2:$B$100,2)</f>
        <v>ANTIBIOTIKA ZUR SYSTEMISCHEN ANWENDUNG</v>
      </c>
      <c r="X1248" s="1" t="str">
        <f xml:space="preserve"> LEFT(Table1[[#This Row],[Atc Code]],3)</f>
        <v>J01</v>
      </c>
    </row>
    <row r="1249" spans="1:24" ht="14.4">
      <c r="A1249" s="14">
        <v>2566</v>
      </c>
      <c r="B1249" s="24" t="s">
        <v>2888</v>
      </c>
      <c r="C1249" s="1">
        <v>2109212</v>
      </c>
      <c r="D1249" s="1" t="s">
        <v>25</v>
      </c>
      <c r="E1249" s="36">
        <v>44835</v>
      </c>
      <c r="F1249" s="36">
        <v>44977</v>
      </c>
      <c r="G1249" s="38">
        <f t="shared" si="19"/>
        <v>142</v>
      </c>
      <c r="H1249" s="5">
        <v>44911</v>
      </c>
      <c r="I1249" s="5">
        <v>44978</v>
      </c>
      <c r="J1249" s="1" t="s">
        <v>41</v>
      </c>
      <c r="K1249" s="1" t="s">
        <v>2889</v>
      </c>
      <c r="L1249" s="1" t="s">
        <v>2867</v>
      </c>
      <c r="M1249" s="1" t="s">
        <v>2868</v>
      </c>
      <c r="N1249" s="1" t="s">
        <v>38</v>
      </c>
      <c r="O1249" s="1" t="s">
        <v>123</v>
      </c>
      <c r="Q1249" s="1" t="s">
        <v>1141</v>
      </c>
      <c r="R1249" s="1" t="s">
        <v>26</v>
      </c>
      <c r="S1249" s="1" t="s">
        <v>2890</v>
      </c>
      <c r="U1249" s="1" t="s">
        <v>130</v>
      </c>
      <c r="V1249" s="1" t="s">
        <v>99</v>
      </c>
      <c r="W1249" s="1" t="str">
        <f>VLOOKUP(Table1[[#This Row],[Obergruppe ATC-Code]],Tabelle3!$A$2:$B$100,2)</f>
        <v>ANTIBIOTIKA ZUR SYSTEMISCHEN ANWENDUNG</v>
      </c>
      <c r="X1249" s="1" t="str">
        <f xml:space="preserve"> LEFT(Table1[[#This Row],[Atc Code]],3)</f>
        <v>J01</v>
      </c>
    </row>
    <row r="1250" spans="1:24" ht="14.4">
      <c r="A1250" s="14">
        <v>810</v>
      </c>
      <c r="B1250" s="24">
        <v>6649598</v>
      </c>
      <c r="C1250" s="1">
        <v>191371</v>
      </c>
      <c r="D1250" s="1" t="s">
        <v>25</v>
      </c>
      <c r="E1250" s="36">
        <v>44977</v>
      </c>
      <c r="F1250" s="36">
        <v>45093</v>
      </c>
      <c r="G1250" s="38">
        <f t="shared" si="19"/>
        <v>116</v>
      </c>
      <c r="H1250" s="5">
        <v>44984</v>
      </c>
      <c r="I1250" s="5">
        <v>45093</v>
      </c>
      <c r="J1250" s="1" t="s">
        <v>26</v>
      </c>
      <c r="K1250" s="1" t="s">
        <v>2881</v>
      </c>
      <c r="L1250" s="1" t="s">
        <v>2867</v>
      </c>
      <c r="M1250" s="1" t="s">
        <v>2868</v>
      </c>
      <c r="N1250" s="1" t="s">
        <v>30</v>
      </c>
      <c r="O1250" s="1" t="s">
        <v>2769</v>
      </c>
      <c r="P1250" s="1" t="s">
        <v>2891</v>
      </c>
      <c r="Q1250" s="1" t="s">
        <v>2771</v>
      </c>
      <c r="R1250" s="1" t="s">
        <v>113</v>
      </c>
      <c r="S1250" s="1"/>
      <c r="U1250" s="1" t="s">
        <v>35</v>
      </c>
      <c r="V1250" s="1" t="s">
        <v>324</v>
      </c>
      <c r="W1250" s="1" t="str">
        <f>VLOOKUP(Table1[[#This Row],[Obergruppe ATC-Code]],Tabelle3!$A$2:$B$100,2)</f>
        <v>ANTIBIOTIKA ZUR SYSTEMISCHEN ANWENDUNG</v>
      </c>
      <c r="X1250" s="1" t="str">
        <f xml:space="preserve"> LEFT(Table1[[#This Row],[Atc Code]],3)</f>
        <v>J01</v>
      </c>
    </row>
    <row r="1251" spans="1:24" ht="14.4">
      <c r="A1251" s="14">
        <v>2242</v>
      </c>
      <c r="B1251" s="24" t="s">
        <v>2892</v>
      </c>
      <c r="C1251" s="1">
        <v>2141147</v>
      </c>
      <c r="D1251" s="1" t="s">
        <v>102</v>
      </c>
      <c r="E1251" s="36">
        <v>44868</v>
      </c>
      <c r="F1251" s="36">
        <v>45230</v>
      </c>
      <c r="G1251" s="38">
        <f t="shared" si="19"/>
        <v>362</v>
      </c>
      <c r="H1251" s="5">
        <v>44868</v>
      </c>
      <c r="I1251" s="5">
        <v>45106</v>
      </c>
      <c r="J1251" s="1" t="s">
        <v>26</v>
      </c>
      <c r="K1251" s="1" t="s">
        <v>2893</v>
      </c>
      <c r="L1251" s="1" t="s">
        <v>2867</v>
      </c>
      <c r="M1251" s="1" t="s">
        <v>2868</v>
      </c>
      <c r="N1251" s="1" t="s">
        <v>38</v>
      </c>
      <c r="O1251" s="1" t="s">
        <v>91</v>
      </c>
      <c r="Q1251" s="1" t="s">
        <v>93</v>
      </c>
      <c r="R1251" s="1" t="s">
        <v>26</v>
      </c>
      <c r="S1251" s="1"/>
      <c r="U1251" s="1" t="s">
        <v>130</v>
      </c>
      <c r="V1251" s="1" t="s">
        <v>99</v>
      </c>
      <c r="W1251" s="1" t="str">
        <f>VLOOKUP(Table1[[#This Row],[Obergruppe ATC-Code]],Tabelle3!$A$2:$B$100,2)</f>
        <v>ANTIBIOTIKA ZUR SYSTEMISCHEN ANWENDUNG</v>
      </c>
      <c r="X1251" s="1" t="str">
        <f xml:space="preserve"> LEFT(Table1[[#This Row],[Atc Code]],3)</f>
        <v>J01</v>
      </c>
    </row>
    <row r="1252" spans="1:24" ht="14.4">
      <c r="A1252" s="14">
        <v>1760</v>
      </c>
      <c r="B1252" s="24" t="s">
        <v>2894</v>
      </c>
      <c r="C1252" s="1">
        <v>2141152</v>
      </c>
      <c r="D1252" s="1" t="s">
        <v>102</v>
      </c>
      <c r="E1252" s="36">
        <v>44868</v>
      </c>
      <c r="F1252" s="36">
        <v>45240</v>
      </c>
      <c r="G1252" s="38">
        <f t="shared" si="19"/>
        <v>372</v>
      </c>
      <c r="H1252" s="5">
        <v>44868</v>
      </c>
      <c r="I1252" s="5">
        <v>45106</v>
      </c>
      <c r="J1252" s="1" t="s">
        <v>26</v>
      </c>
      <c r="K1252" s="1" t="s">
        <v>2895</v>
      </c>
      <c r="L1252" s="1" t="s">
        <v>2867</v>
      </c>
      <c r="M1252" s="1" t="s">
        <v>2868</v>
      </c>
      <c r="N1252" s="1" t="s">
        <v>38</v>
      </c>
      <c r="O1252" s="1" t="s">
        <v>52</v>
      </c>
      <c r="Q1252" s="1" t="s">
        <v>54</v>
      </c>
      <c r="R1252" s="1" t="s">
        <v>26</v>
      </c>
      <c r="S1252" s="1"/>
      <c r="U1252" s="1" t="s">
        <v>130</v>
      </c>
      <c r="V1252" s="1" t="s">
        <v>99</v>
      </c>
      <c r="W1252" s="1" t="str">
        <f>VLOOKUP(Table1[[#This Row],[Obergruppe ATC-Code]],Tabelle3!$A$2:$B$100,2)</f>
        <v>ANTIBIOTIKA ZUR SYSTEMISCHEN ANWENDUNG</v>
      </c>
      <c r="X1252" s="1" t="str">
        <f xml:space="preserve"> LEFT(Table1[[#This Row],[Atc Code]],3)</f>
        <v>J01</v>
      </c>
    </row>
    <row r="1253" spans="1:24" ht="14.4">
      <c r="A1253" s="14">
        <v>1759</v>
      </c>
      <c r="B1253" s="24" t="s">
        <v>2896</v>
      </c>
      <c r="C1253" s="1">
        <v>2141151</v>
      </c>
      <c r="D1253" s="1" t="s">
        <v>102</v>
      </c>
      <c r="E1253" s="36">
        <v>44868</v>
      </c>
      <c r="F1253" s="36">
        <v>45226</v>
      </c>
      <c r="G1253" s="38">
        <f t="shared" si="19"/>
        <v>358</v>
      </c>
      <c r="H1253" s="5">
        <v>44868</v>
      </c>
      <c r="I1253" s="5">
        <v>45106</v>
      </c>
      <c r="J1253" s="1" t="s">
        <v>26</v>
      </c>
      <c r="K1253" s="1" t="s">
        <v>2897</v>
      </c>
      <c r="L1253" s="1" t="s">
        <v>2867</v>
      </c>
      <c r="M1253" s="1" t="s">
        <v>2868</v>
      </c>
      <c r="N1253" s="1" t="s">
        <v>38</v>
      </c>
      <c r="O1253" s="1" t="s">
        <v>52</v>
      </c>
      <c r="Q1253" s="1" t="s">
        <v>54</v>
      </c>
      <c r="R1253" s="1" t="s">
        <v>26</v>
      </c>
      <c r="S1253" s="1"/>
      <c r="U1253" s="1" t="s">
        <v>130</v>
      </c>
      <c r="V1253" s="1" t="s">
        <v>99</v>
      </c>
      <c r="W1253" s="1" t="str">
        <f>VLOOKUP(Table1[[#This Row],[Obergruppe ATC-Code]],Tabelle3!$A$2:$B$100,2)</f>
        <v>ANTIBIOTIKA ZUR SYSTEMISCHEN ANWENDUNG</v>
      </c>
      <c r="X1253" s="1" t="str">
        <f xml:space="preserve"> LEFT(Table1[[#This Row],[Atc Code]],3)</f>
        <v>J01</v>
      </c>
    </row>
    <row r="1254" spans="1:24" ht="14.4">
      <c r="A1254" s="14">
        <v>1898</v>
      </c>
      <c r="B1254" s="24" t="s">
        <v>2898</v>
      </c>
      <c r="C1254" s="1">
        <v>61705</v>
      </c>
      <c r="D1254" s="1" t="s">
        <v>25</v>
      </c>
      <c r="E1254" s="36">
        <v>44896</v>
      </c>
      <c r="F1254" s="36">
        <v>45107</v>
      </c>
      <c r="G1254" s="38">
        <f t="shared" si="19"/>
        <v>211</v>
      </c>
      <c r="H1254" s="5">
        <v>44896</v>
      </c>
      <c r="I1254" s="5">
        <v>45107</v>
      </c>
      <c r="J1254" s="1" t="s">
        <v>26</v>
      </c>
      <c r="K1254" s="1" t="s">
        <v>2899</v>
      </c>
      <c r="L1254" s="1" t="s">
        <v>2867</v>
      </c>
      <c r="M1254" s="1" t="s">
        <v>2868</v>
      </c>
      <c r="N1254" s="1" t="s">
        <v>30</v>
      </c>
      <c r="O1254" s="1" t="s">
        <v>2769</v>
      </c>
      <c r="P1254" s="1" t="s">
        <v>2770</v>
      </c>
      <c r="Q1254" s="1" t="s">
        <v>2771</v>
      </c>
      <c r="R1254" s="1" t="s">
        <v>113</v>
      </c>
      <c r="S1254" s="1" t="s">
        <v>2810</v>
      </c>
      <c r="U1254" s="1" t="s">
        <v>35</v>
      </c>
      <c r="V1254" s="1" t="s">
        <v>324</v>
      </c>
      <c r="W1254" s="1" t="str">
        <f>VLOOKUP(Table1[[#This Row],[Obergruppe ATC-Code]],Tabelle3!$A$2:$B$100,2)</f>
        <v>ANTIBIOTIKA ZUR SYSTEMISCHEN ANWENDUNG</v>
      </c>
      <c r="X1254" s="1" t="str">
        <f xml:space="preserve"> LEFT(Table1[[#This Row],[Atc Code]],3)</f>
        <v>J01</v>
      </c>
    </row>
    <row r="1255" spans="1:24" ht="14.4">
      <c r="A1255" s="14">
        <v>1884</v>
      </c>
      <c r="B1255" s="24" t="s">
        <v>2900</v>
      </c>
      <c r="C1255" s="1">
        <v>149618</v>
      </c>
      <c r="D1255" s="1" t="s">
        <v>25</v>
      </c>
      <c r="E1255" s="36">
        <v>44902</v>
      </c>
      <c r="F1255" s="36">
        <v>45114</v>
      </c>
      <c r="G1255" s="38">
        <f t="shared" si="19"/>
        <v>212</v>
      </c>
      <c r="H1255" s="5">
        <v>44902</v>
      </c>
      <c r="I1255" s="5">
        <v>45114</v>
      </c>
      <c r="J1255" s="1" t="s">
        <v>26</v>
      </c>
      <c r="K1255" s="1" t="s">
        <v>2901</v>
      </c>
      <c r="L1255" s="1" t="s">
        <v>2867</v>
      </c>
      <c r="M1255" s="1" t="s">
        <v>2868</v>
      </c>
      <c r="N1255" s="1" t="s">
        <v>30</v>
      </c>
      <c r="O1255" s="1" t="s">
        <v>2769</v>
      </c>
      <c r="P1255" s="1" t="s">
        <v>2770</v>
      </c>
      <c r="Q1255" s="1" t="s">
        <v>2771</v>
      </c>
      <c r="R1255" s="1" t="s">
        <v>113</v>
      </c>
      <c r="S1255" s="1" t="s">
        <v>2810</v>
      </c>
      <c r="U1255" s="1" t="s">
        <v>35</v>
      </c>
      <c r="V1255" s="1" t="s">
        <v>324</v>
      </c>
      <c r="W1255" s="1" t="str">
        <f>VLOOKUP(Table1[[#This Row],[Obergruppe ATC-Code]],Tabelle3!$A$2:$B$100,2)</f>
        <v>ANTIBIOTIKA ZUR SYSTEMISCHEN ANWENDUNG</v>
      </c>
      <c r="X1255" s="1" t="str">
        <f xml:space="preserve"> LEFT(Table1[[#This Row],[Atc Code]],3)</f>
        <v>J01</v>
      </c>
    </row>
    <row r="1256" spans="1:24" ht="14.4">
      <c r="A1256" s="14">
        <v>2377</v>
      </c>
      <c r="B1256" s="24" t="s">
        <v>2902</v>
      </c>
      <c r="C1256" s="1">
        <v>2141148</v>
      </c>
      <c r="D1256" s="1" t="s">
        <v>102</v>
      </c>
      <c r="E1256" s="36">
        <v>44868</v>
      </c>
      <c r="F1256" s="36">
        <v>45412</v>
      </c>
      <c r="G1256" s="38">
        <f t="shared" si="19"/>
        <v>544</v>
      </c>
      <c r="H1256" s="5">
        <v>44868</v>
      </c>
      <c r="I1256" s="5">
        <v>45156</v>
      </c>
      <c r="J1256" s="1" t="s">
        <v>26</v>
      </c>
      <c r="K1256" s="1" t="s">
        <v>2903</v>
      </c>
      <c r="L1256" s="1" t="s">
        <v>2867</v>
      </c>
      <c r="M1256" s="1" t="s">
        <v>2868</v>
      </c>
      <c r="N1256" s="1" t="s">
        <v>38</v>
      </c>
      <c r="O1256" s="1" t="s">
        <v>91</v>
      </c>
      <c r="Q1256" s="1" t="s">
        <v>93</v>
      </c>
      <c r="R1256" s="1" t="s">
        <v>26</v>
      </c>
      <c r="S1256" s="1"/>
      <c r="U1256" s="1" t="s">
        <v>130</v>
      </c>
      <c r="V1256" s="1" t="s">
        <v>99</v>
      </c>
      <c r="W1256" s="1" t="str">
        <f>VLOOKUP(Table1[[#This Row],[Obergruppe ATC-Code]],Tabelle3!$A$2:$B$100,2)</f>
        <v>ANTIBIOTIKA ZUR SYSTEMISCHEN ANWENDUNG</v>
      </c>
      <c r="X1256" s="1" t="str">
        <f xml:space="preserve"> LEFT(Table1[[#This Row],[Atc Code]],3)</f>
        <v>J01</v>
      </c>
    </row>
    <row r="1257" spans="1:24" ht="14.4">
      <c r="A1257" s="14">
        <v>2163</v>
      </c>
      <c r="B1257" s="24" t="s">
        <v>2904</v>
      </c>
      <c r="C1257" s="1">
        <v>2112970</v>
      </c>
      <c r="D1257" s="1" t="s">
        <v>102</v>
      </c>
      <c r="E1257" s="36">
        <v>44897</v>
      </c>
      <c r="F1257" s="36">
        <v>45261</v>
      </c>
      <c r="G1257" s="38">
        <f t="shared" si="19"/>
        <v>364</v>
      </c>
      <c r="H1257" s="5">
        <v>44909</v>
      </c>
      <c r="I1257" s="5">
        <v>45167</v>
      </c>
      <c r="J1257" s="1" t="s">
        <v>26</v>
      </c>
      <c r="K1257" s="1" t="s">
        <v>2905</v>
      </c>
      <c r="L1257" s="1" t="s">
        <v>2867</v>
      </c>
      <c r="M1257" s="1" t="s">
        <v>2868</v>
      </c>
      <c r="N1257" s="1" t="s">
        <v>38</v>
      </c>
      <c r="O1257" s="1" t="s">
        <v>110</v>
      </c>
      <c r="P1257" s="1">
        <v>49733396510</v>
      </c>
      <c r="Q1257" s="1" t="s">
        <v>112</v>
      </c>
      <c r="R1257" s="1" t="s">
        <v>113</v>
      </c>
      <c r="S1257" s="1" t="s">
        <v>2887</v>
      </c>
      <c r="U1257" s="1" t="s">
        <v>130</v>
      </c>
      <c r="V1257" s="1" t="s">
        <v>49</v>
      </c>
      <c r="W1257" s="1" t="str">
        <f>VLOOKUP(Table1[[#This Row],[Obergruppe ATC-Code]],Tabelle3!$A$2:$B$100,2)</f>
        <v>ANTIBIOTIKA ZUR SYSTEMISCHEN ANWENDUNG</v>
      </c>
      <c r="X1257" s="1" t="str">
        <f xml:space="preserve"> LEFT(Table1[[#This Row],[Atc Code]],3)</f>
        <v>J01</v>
      </c>
    </row>
    <row r="1258" spans="1:24" ht="14.4">
      <c r="A1258" s="14">
        <v>809</v>
      </c>
      <c r="B1258" s="24">
        <v>6649598</v>
      </c>
      <c r="C1258" s="1">
        <v>191371</v>
      </c>
      <c r="D1258" s="1" t="s">
        <v>102</v>
      </c>
      <c r="E1258" s="36">
        <v>45103</v>
      </c>
      <c r="F1258" s="36">
        <v>45271</v>
      </c>
      <c r="G1258" s="38">
        <f t="shared" si="19"/>
        <v>168</v>
      </c>
      <c r="H1258" s="5">
        <v>45103</v>
      </c>
      <c r="I1258" s="5">
        <v>45170</v>
      </c>
      <c r="J1258" s="1" t="s">
        <v>26</v>
      </c>
      <c r="K1258" s="1" t="s">
        <v>2881</v>
      </c>
      <c r="L1258" s="1" t="s">
        <v>2867</v>
      </c>
      <c r="M1258" s="1" t="s">
        <v>2868</v>
      </c>
      <c r="N1258" s="1" t="s">
        <v>30</v>
      </c>
      <c r="O1258" s="1" t="s">
        <v>2769</v>
      </c>
      <c r="P1258" s="1" t="s">
        <v>2770</v>
      </c>
      <c r="Q1258" s="1" t="s">
        <v>2771</v>
      </c>
      <c r="R1258" s="1" t="s">
        <v>113</v>
      </c>
      <c r="S1258" s="1"/>
      <c r="U1258" s="1" t="s">
        <v>35</v>
      </c>
      <c r="V1258" s="1" t="s">
        <v>324</v>
      </c>
      <c r="W1258" s="1" t="str">
        <f>VLOOKUP(Table1[[#This Row],[Obergruppe ATC-Code]],Tabelle3!$A$2:$B$100,2)</f>
        <v>ANTIBIOTIKA ZUR SYSTEMISCHEN ANWENDUNG</v>
      </c>
      <c r="X1258" s="1" t="str">
        <f xml:space="preserve"> LEFT(Table1[[#This Row],[Atc Code]],3)</f>
        <v>J01</v>
      </c>
    </row>
    <row r="1259" spans="1:24" ht="14.4">
      <c r="A1259" s="14">
        <v>1918</v>
      </c>
      <c r="B1259" s="24" t="s">
        <v>2883</v>
      </c>
      <c r="C1259" s="1">
        <v>156647</v>
      </c>
      <c r="D1259" s="1" t="s">
        <v>102</v>
      </c>
      <c r="E1259" s="36">
        <v>44966</v>
      </c>
      <c r="F1259" s="36">
        <v>45271</v>
      </c>
      <c r="G1259" s="38">
        <f t="shared" si="19"/>
        <v>305</v>
      </c>
      <c r="H1259" s="5">
        <v>44960</v>
      </c>
      <c r="I1259" s="5">
        <v>45177</v>
      </c>
      <c r="J1259" s="1" t="s">
        <v>26</v>
      </c>
      <c r="K1259" s="1" t="s">
        <v>2884</v>
      </c>
      <c r="L1259" s="1" t="s">
        <v>2867</v>
      </c>
      <c r="M1259" s="1" t="s">
        <v>2868</v>
      </c>
      <c r="N1259" s="1" t="s">
        <v>30</v>
      </c>
      <c r="O1259" s="1" t="s">
        <v>2769</v>
      </c>
      <c r="P1259" s="1">
        <v>6252957000</v>
      </c>
      <c r="Q1259" s="1" t="s">
        <v>2771</v>
      </c>
      <c r="R1259" s="1" t="s">
        <v>113</v>
      </c>
      <c r="S1259" s="1" t="s">
        <v>2906</v>
      </c>
      <c r="U1259" s="1" t="s">
        <v>35</v>
      </c>
      <c r="V1259" s="1" t="s">
        <v>285</v>
      </c>
      <c r="W1259" s="1" t="str">
        <f>VLOOKUP(Table1[[#This Row],[Obergruppe ATC-Code]],Tabelle3!$A$2:$B$100,2)</f>
        <v>ANTIBIOTIKA ZUR SYSTEMISCHEN ANWENDUNG</v>
      </c>
      <c r="X1259" s="1" t="str">
        <f xml:space="preserve"> LEFT(Table1[[#This Row],[Atc Code]],3)</f>
        <v>J01</v>
      </c>
    </row>
    <row r="1260" spans="1:24" ht="14.4">
      <c r="A1260" s="14">
        <v>2087</v>
      </c>
      <c r="B1260" s="24" t="s">
        <v>2907</v>
      </c>
      <c r="C1260" s="1">
        <v>2172847</v>
      </c>
      <c r="D1260" s="1" t="s">
        <v>25</v>
      </c>
      <c r="E1260" s="36">
        <v>44868</v>
      </c>
      <c r="F1260" s="36">
        <v>45184</v>
      </c>
      <c r="G1260" s="38">
        <f t="shared" si="19"/>
        <v>316</v>
      </c>
      <c r="H1260" s="5">
        <v>44868</v>
      </c>
      <c r="I1260" s="5">
        <v>45184</v>
      </c>
      <c r="J1260" s="1" t="s">
        <v>26</v>
      </c>
      <c r="K1260" s="1" t="s">
        <v>2871</v>
      </c>
      <c r="L1260" s="1" t="s">
        <v>2867</v>
      </c>
      <c r="M1260" s="1" t="s">
        <v>2868</v>
      </c>
      <c r="N1260" s="1" t="s">
        <v>38</v>
      </c>
      <c r="O1260" s="1" t="s">
        <v>91</v>
      </c>
      <c r="Q1260" s="1" t="s">
        <v>93</v>
      </c>
      <c r="R1260" s="1" t="s">
        <v>26</v>
      </c>
      <c r="S1260" s="1"/>
      <c r="U1260" s="1" t="s">
        <v>130</v>
      </c>
      <c r="V1260" s="1" t="s">
        <v>285</v>
      </c>
      <c r="W1260" s="1" t="str">
        <f>VLOOKUP(Table1[[#This Row],[Obergruppe ATC-Code]],Tabelle3!$A$2:$B$100,2)</f>
        <v>ANTIBIOTIKA ZUR SYSTEMISCHEN ANWENDUNG</v>
      </c>
      <c r="X1260" s="1" t="str">
        <f xml:space="preserve"> LEFT(Table1[[#This Row],[Atc Code]],3)</f>
        <v>J01</v>
      </c>
    </row>
    <row r="1261" spans="1:24" ht="14.4">
      <c r="A1261" s="14">
        <v>2565</v>
      </c>
      <c r="B1261" s="24" t="s">
        <v>2888</v>
      </c>
      <c r="C1261" s="1">
        <v>2109212</v>
      </c>
      <c r="D1261" s="1" t="s">
        <v>175</v>
      </c>
      <c r="E1261" s="36">
        <v>45196</v>
      </c>
      <c r="F1261" s="36">
        <v>45229</v>
      </c>
      <c r="G1261" s="38">
        <f t="shared" si="19"/>
        <v>33</v>
      </c>
      <c r="H1261" s="5">
        <v>45196</v>
      </c>
      <c r="I1261" s="5">
        <v>45196</v>
      </c>
      <c r="J1261" s="1" t="s">
        <v>41</v>
      </c>
      <c r="K1261" s="1" t="s">
        <v>2889</v>
      </c>
      <c r="L1261" s="1" t="s">
        <v>2867</v>
      </c>
      <c r="M1261" s="1" t="s">
        <v>2868</v>
      </c>
      <c r="N1261" s="1" t="s">
        <v>38</v>
      </c>
      <c r="O1261" s="1" t="s">
        <v>123</v>
      </c>
      <c r="P1261" s="1">
        <v>733396511167</v>
      </c>
      <c r="Q1261" s="1" t="s">
        <v>1141</v>
      </c>
      <c r="R1261" s="1" t="s">
        <v>128</v>
      </c>
      <c r="S1261" s="1"/>
      <c r="U1261" s="1" t="s">
        <v>130</v>
      </c>
      <c r="V1261" s="1" t="s">
        <v>99</v>
      </c>
      <c r="W1261" s="1" t="str">
        <f>VLOOKUP(Table1[[#This Row],[Obergruppe ATC-Code]],Tabelle3!$A$2:$B$100,2)</f>
        <v>ANTIBIOTIKA ZUR SYSTEMISCHEN ANWENDUNG</v>
      </c>
      <c r="X1261" s="1" t="str">
        <f xml:space="preserve"> LEFT(Table1[[#This Row],[Atc Code]],3)</f>
        <v>J01</v>
      </c>
    </row>
    <row r="1262" spans="1:24" ht="14.4">
      <c r="A1262" s="14">
        <v>1897</v>
      </c>
      <c r="B1262" s="24" t="s">
        <v>2898</v>
      </c>
      <c r="C1262" s="1">
        <v>61705</v>
      </c>
      <c r="D1262" s="1" t="s">
        <v>102</v>
      </c>
      <c r="E1262" s="36">
        <v>45104</v>
      </c>
      <c r="F1262" s="36">
        <v>45231</v>
      </c>
      <c r="G1262" s="38">
        <f t="shared" si="19"/>
        <v>127</v>
      </c>
      <c r="H1262" s="5">
        <v>45107</v>
      </c>
      <c r="I1262" s="5">
        <v>45198</v>
      </c>
      <c r="J1262" s="1" t="s">
        <v>26</v>
      </c>
      <c r="K1262" s="1" t="s">
        <v>2899</v>
      </c>
      <c r="L1262" s="1" t="s">
        <v>2867</v>
      </c>
      <c r="M1262" s="1" t="s">
        <v>2868</v>
      </c>
      <c r="N1262" s="1" t="s">
        <v>30</v>
      </c>
      <c r="O1262" s="1" t="s">
        <v>2769</v>
      </c>
      <c r="P1262" s="1" t="s">
        <v>2770</v>
      </c>
      <c r="Q1262" s="1" t="s">
        <v>2771</v>
      </c>
      <c r="R1262" s="1" t="s">
        <v>113</v>
      </c>
      <c r="S1262" s="1"/>
      <c r="U1262" s="1" t="s">
        <v>35</v>
      </c>
      <c r="V1262" s="1" t="s">
        <v>324</v>
      </c>
      <c r="W1262" s="1" t="str">
        <f>VLOOKUP(Table1[[#This Row],[Obergruppe ATC-Code]],Tabelle3!$A$2:$B$100,2)</f>
        <v>ANTIBIOTIKA ZUR SYSTEMISCHEN ANWENDUNG</v>
      </c>
      <c r="X1262" s="1" t="str">
        <f xml:space="preserve"> LEFT(Table1[[#This Row],[Atc Code]],3)</f>
        <v>J01</v>
      </c>
    </row>
    <row r="1263" spans="1:24" ht="14.4">
      <c r="A1263" s="14">
        <v>2123</v>
      </c>
      <c r="B1263" s="24" t="s">
        <v>2908</v>
      </c>
      <c r="C1263" s="1">
        <v>149618</v>
      </c>
      <c r="D1263" s="1" t="s">
        <v>102</v>
      </c>
      <c r="E1263" s="36">
        <v>44902</v>
      </c>
      <c r="F1263" s="36">
        <v>45271</v>
      </c>
      <c r="G1263" s="38">
        <f t="shared" si="19"/>
        <v>369</v>
      </c>
      <c r="H1263" s="5">
        <v>45114</v>
      </c>
      <c r="I1263" s="5">
        <v>45212</v>
      </c>
      <c r="J1263" s="1" t="s">
        <v>26</v>
      </c>
      <c r="K1263" s="1" t="s">
        <v>2901</v>
      </c>
      <c r="L1263" s="1" t="s">
        <v>2867</v>
      </c>
      <c r="M1263" s="1" t="s">
        <v>2868</v>
      </c>
      <c r="N1263" s="1" t="s">
        <v>30</v>
      </c>
      <c r="O1263" s="1" t="s">
        <v>2769</v>
      </c>
      <c r="P1263" s="1" t="s">
        <v>2770</v>
      </c>
      <c r="Q1263" s="1" t="s">
        <v>2771</v>
      </c>
      <c r="R1263" s="1" t="s">
        <v>113</v>
      </c>
      <c r="S1263" s="1"/>
      <c r="U1263" s="1" t="s">
        <v>35</v>
      </c>
      <c r="V1263" s="1" t="s">
        <v>324</v>
      </c>
      <c r="W1263" s="1" t="str">
        <f>VLOOKUP(Table1[[#This Row],[Obergruppe ATC-Code]],Tabelle3!$A$2:$B$100,2)</f>
        <v>ANTIBIOTIKA ZUR SYSTEMISCHEN ANWENDUNG</v>
      </c>
      <c r="X1263" s="1" t="str">
        <f xml:space="preserve"> LEFT(Table1[[#This Row],[Atc Code]],3)</f>
        <v>J01</v>
      </c>
    </row>
    <row r="1264" spans="1:24" ht="14.4">
      <c r="A1264" s="14">
        <v>469</v>
      </c>
      <c r="B1264" s="24">
        <v>2855734</v>
      </c>
      <c r="C1264" s="1">
        <v>2157982</v>
      </c>
      <c r="D1264" s="1" t="s">
        <v>102</v>
      </c>
      <c r="E1264" s="36">
        <v>44868</v>
      </c>
      <c r="F1264" s="36">
        <v>45226</v>
      </c>
      <c r="G1264" s="38">
        <f t="shared" si="19"/>
        <v>358</v>
      </c>
      <c r="H1264" s="5">
        <v>44868</v>
      </c>
      <c r="I1264" s="5">
        <v>45215</v>
      </c>
      <c r="J1264" s="1" t="s">
        <v>26</v>
      </c>
      <c r="K1264" s="1" t="s">
        <v>2866</v>
      </c>
      <c r="L1264" s="1" t="s">
        <v>2867</v>
      </c>
      <c r="M1264" s="1" t="s">
        <v>2868</v>
      </c>
      <c r="N1264" s="1" t="s">
        <v>38</v>
      </c>
      <c r="O1264" s="1" t="s">
        <v>52</v>
      </c>
      <c r="Q1264" s="1" t="s">
        <v>54</v>
      </c>
      <c r="R1264" s="1" t="s">
        <v>26</v>
      </c>
      <c r="S1264" s="1"/>
      <c r="U1264" s="1" t="s">
        <v>130</v>
      </c>
      <c r="V1264" s="1" t="s">
        <v>285</v>
      </c>
      <c r="W1264" s="1" t="str">
        <f>VLOOKUP(Table1[[#This Row],[Obergruppe ATC-Code]],Tabelle3!$A$2:$B$100,2)</f>
        <v>ANTIBIOTIKA ZUR SYSTEMISCHEN ANWENDUNG</v>
      </c>
      <c r="X1264" s="1" t="str">
        <f xml:space="preserve"> LEFT(Table1[[#This Row],[Atc Code]],3)</f>
        <v>J01</v>
      </c>
    </row>
    <row r="1265" spans="1:24" ht="14.4">
      <c r="A1265" s="14">
        <v>2404</v>
      </c>
      <c r="B1265" s="24" t="s">
        <v>2909</v>
      </c>
      <c r="C1265" s="1">
        <v>2136599</v>
      </c>
      <c r="D1265" s="1" t="s">
        <v>102</v>
      </c>
      <c r="E1265" s="36">
        <v>44880</v>
      </c>
      <c r="F1265" s="36">
        <v>45397</v>
      </c>
      <c r="G1265" s="38">
        <f t="shared" si="19"/>
        <v>517</v>
      </c>
      <c r="H1265" s="5">
        <v>44900</v>
      </c>
      <c r="I1265" s="5">
        <v>45217</v>
      </c>
      <c r="J1265" s="1" t="s">
        <v>41</v>
      </c>
      <c r="K1265" s="1" t="s">
        <v>2876</v>
      </c>
      <c r="L1265" s="1" t="s">
        <v>2867</v>
      </c>
      <c r="M1265" s="1" t="s">
        <v>2868</v>
      </c>
      <c r="N1265" s="1" t="s">
        <v>38</v>
      </c>
      <c r="O1265" s="1" t="s">
        <v>45</v>
      </c>
      <c r="Q1265" s="1" t="s">
        <v>118</v>
      </c>
      <c r="R1265" s="1" t="s">
        <v>128</v>
      </c>
      <c r="S1265" s="1" t="s">
        <v>2910</v>
      </c>
      <c r="U1265" s="1" t="s">
        <v>130</v>
      </c>
      <c r="V1265" s="1" t="s">
        <v>99</v>
      </c>
      <c r="W1265" s="1" t="str">
        <f>VLOOKUP(Table1[[#This Row],[Obergruppe ATC-Code]],Tabelle3!$A$2:$B$100,2)</f>
        <v>ANTIBIOTIKA ZUR SYSTEMISCHEN ANWENDUNG</v>
      </c>
      <c r="X1265" s="1" t="str">
        <f xml:space="preserve"> LEFT(Table1[[#This Row],[Atc Code]],3)</f>
        <v>J01</v>
      </c>
    </row>
    <row r="1266" spans="1:24" ht="14.4">
      <c r="A1266" s="14">
        <v>1920</v>
      </c>
      <c r="B1266" s="24" t="s">
        <v>2911</v>
      </c>
      <c r="C1266" s="1">
        <v>2118340</v>
      </c>
      <c r="D1266" s="1" t="s">
        <v>102</v>
      </c>
      <c r="E1266" s="36">
        <v>44880</v>
      </c>
      <c r="F1266" s="36">
        <v>45397</v>
      </c>
      <c r="G1266" s="38">
        <f t="shared" si="19"/>
        <v>517</v>
      </c>
      <c r="H1266" s="5">
        <v>44900</v>
      </c>
      <c r="I1266" s="5">
        <v>45217</v>
      </c>
      <c r="J1266" s="1" t="s">
        <v>41</v>
      </c>
      <c r="K1266" s="1" t="s">
        <v>2878</v>
      </c>
      <c r="L1266" s="1" t="s">
        <v>2867</v>
      </c>
      <c r="M1266" s="1" t="s">
        <v>2868</v>
      </c>
      <c r="N1266" s="1" t="s">
        <v>38</v>
      </c>
      <c r="O1266" s="1" t="s">
        <v>45</v>
      </c>
      <c r="Q1266" s="1" t="s">
        <v>118</v>
      </c>
      <c r="R1266" s="1" t="s">
        <v>128</v>
      </c>
      <c r="S1266" s="1"/>
      <c r="U1266" s="1" t="s">
        <v>130</v>
      </c>
      <c r="V1266" s="1" t="s">
        <v>99</v>
      </c>
      <c r="W1266" s="1" t="str">
        <f>VLOOKUP(Table1[[#This Row],[Obergruppe ATC-Code]],Tabelle3!$A$2:$B$100,2)</f>
        <v>ANTIBIOTIKA ZUR SYSTEMISCHEN ANWENDUNG</v>
      </c>
      <c r="X1266" s="1" t="str">
        <f xml:space="preserve"> LEFT(Table1[[#This Row],[Atc Code]],3)</f>
        <v>J01</v>
      </c>
    </row>
    <row r="1267" spans="1:24" ht="14.4">
      <c r="A1267" s="14">
        <v>2660</v>
      </c>
      <c r="B1267" s="24" t="s">
        <v>2912</v>
      </c>
      <c r="C1267" s="1">
        <v>3000368</v>
      </c>
      <c r="D1267" s="1" t="s">
        <v>25</v>
      </c>
      <c r="E1267" s="36">
        <v>43617</v>
      </c>
      <c r="F1267" s="36">
        <v>44927</v>
      </c>
      <c r="G1267" s="38">
        <f t="shared" si="19"/>
        <v>1310</v>
      </c>
      <c r="H1267" s="5">
        <v>43634</v>
      </c>
      <c r="I1267" s="5">
        <v>44914</v>
      </c>
      <c r="J1267" s="1" t="s">
        <v>41</v>
      </c>
      <c r="K1267" s="1" t="s">
        <v>2913</v>
      </c>
      <c r="L1267" s="1" t="s">
        <v>2914</v>
      </c>
      <c r="M1267" s="1" t="s">
        <v>2915</v>
      </c>
      <c r="N1267" s="1" t="s">
        <v>30</v>
      </c>
      <c r="O1267" s="1" t="s">
        <v>2769</v>
      </c>
      <c r="P1267" s="1" t="s">
        <v>2916</v>
      </c>
      <c r="Q1267" s="1" t="s">
        <v>2809</v>
      </c>
      <c r="R1267" s="1" t="s">
        <v>942</v>
      </c>
      <c r="S1267" s="1" t="s">
        <v>943</v>
      </c>
      <c r="T1267" s="1" t="s">
        <v>2917</v>
      </c>
      <c r="U1267" s="1" t="s">
        <v>35</v>
      </c>
      <c r="V1267" s="1" t="s">
        <v>2918</v>
      </c>
      <c r="W1267" s="1" t="str">
        <f>VLOOKUP(Table1[[#This Row],[Obergruppe ATC-Code]],Tabelle3!$A$2:$B$100,2)</f>
        <v>ANTIBIOTIKA ZUR SYSTEMISCHEN ANWENDUNG</v>
      </c>
      <c r="X1267" s="1" t="str">
        <f xml:space="preserve"> LEFT(Table1[[#This Row],[Atc Code]],3)</f>
        <v>J01</v>
      </c>
    </row>
    <row r="1268" spans="1:24" ht="14.4">
      <c r="A1268" s="14">
        <v>2140</v>
      </c>
      <c r="B1268" s="24" t="s">
        <v>2919</v>
      </c>
      <c r="C1268" s="1">
        <v>727357</v>
      </c>
      <c r="D1268" s="1" t="s">
        <v>102</v>
      </c>
      <c r="E1268" s="36">
        <v>44904</v>
      </c>
      <c r="F1268" s="36">
        <v>45231</v>
      </c>
      <c r="G1268" s="38">
        <f t="shared" si="19"/>
        <v>327</v>
      </c>
      <c r="H1268" s="5">
        <v>44904</v>
      </c>
      <c r="I1268" s="5">
        <v>45212</v>
      </c>
      <c r="J1268" s="1" t="s">
        <v>26</v>
      </c>
      <c r="K1268" s="1" t="s">
        <v>2920</v>
      </c>
      <c r="L1268" s="1" t="s">
        <v>2921</v>
      </c>
      <c r="M1268" s="1" t="s">
        <v>2922</v>
      </c>
      <c r="N1268" s="1" t="s">
        <v>30</v>
      </c>
      <c r="O1268" s="1" t="s">
        <v>2769</v>
      </c>
      <c r="P1268" s="1" t="s">
        <v>2770</v>
      </c>
      <c r="Q1268" s="1" t="s">
        <v>2771</v>
      </c>
      <c r="R1268" s="1" t="s">
        <v>113</v>
      </c>
      <c r="S1268" s="1" t="s">
        <v>2923</v>
      </c>
      <c r="U1268" s="1" t="s">
        <v>35</v>
      </c>
      <c r="V1268" s="1" t="s">
        <v>2924</v>
      </c>
      <c r="W1268" s="1" t="str">
        <f>VLOOKUP(Table1[[#This Row],[Obergruppe ATC-Code]],Tabelle3!$A$2:$B$100,2)</f>
        <v>ANTIBIOTIKA ZUR SYSTEMISCHEN ANWENDUNG</v>
      </c>
      <c r="X1268" s="1" t="str">
        <f xml:space="preserve"> LEFT(Table1[[#This Row],[Atc Code]],3)</f>
        <v>J01</v>
      </c>
    </row>
    <row r="1269" spans="1:24" ht="14.4">
      <c r="A1269" s="14">
        <v>997</v>
      </c>
      <c r="B1269" s="24">
        <v>8630491</v>
      </c>
      <c r="C1269" s="1">
        <v>7717</v>
      </c>
      <c r="D1269" s="1" t="s">
        <v>25</v>
      </c>
      <c r="E1269" s="36">
        <v>43862</v>
      </c>
      <c r="F1269" s="36">
        <v>43951</v>
      </c>
      <c r="G1269" s="38">
        <f t="shared" si="19"/>
        <v>89</v>
      </c>
      <c r="H1269" s="5">
        <v>43879</v>
      </c>
      <c r="I1269" s="5">
        <v>43962</v>
      </c>
      <c r="J1269" s="1" t="s">
        <v>41</v>
      </c>
      <c r="K1269" s="1" t="s">
        <v>2925</v>
      </c>
      <c r="L1269" s="1" t="s">
        <v>2926</v>
      </c>
      <c r="M1269" s="1" t="s">
        <v>2927</v>
      </c>
      <c r="N1269" s="1" t="s">
        <v>30</v>
      </c>
      <c r="O1269" s="1" t="s">
        <v>1284</v>
      </c>
      <c r="P1269" s="1">
        <v>895589090</v>
      </c>
      <c r="Q1269" s="1" t="s">
        <v>1286</v>
      </c>
      <c r="R1269" s="1" t="s">
        <v>26</v>
      </c>
      <c r="S1269" s="1"/>
      <c r="U1269" s="1" t="s">
        <v>35</v>
      </c>
      <c r="V1269" s="1" t="s">
        <v>787</v>
      </c>
      <c r="W1269" s="1" t="str">
        <f>VLOOKUP(Table1[[#This Row],[Obergruppe ATC-Code]],Tabelle3!$A$2:$B$100,2)</f>
        <v>ANTIBIOTIKA ZUR SYSTEMISCHEN ANWENDUNG</v>
      </c>
      <c r="X1269" s="1" t="str">
        <f xml:space="preserve"> LEFT(Table1[[#This Row],[Atc Code]],3)</f>
        <v>J01</v>
      </c>
    </row>
    <row r="1270" spans="1:24" ht="14.4">
      <c r="A1270" s="14">
        <v>3010</v>
      </c>
      <c r="B1270" s="25" t="s">
        <v>2928</v>
      </c>
      <c r="C1270" s="1">
        <v>7769</v>
      </c>
      <c r="D1270" s="1" t="s">
        <v>25</v>
      </c>
      <c r="E1270" s="36">
        <v>43862</v>
      </c>
      <c r="F1270" s="36">
        <v>43982</v>
      </c>
      <c r="G1270" s="38">
        <f t="shared" si="19"/>
        <v>120</v>
      </c>
      <c r="H1270" s="5">
        <v>43879</v>
      </c>
      <c r="I1270" s="5">
        <v>43991</v>
      </c>
      <c r="J1270" s="1" t="s">
        <v>41</v>
      </c>
      <c r="K1270" s="1" t="s">
        <v>2929</v>
      </c>
      <c r="L1270" s="1" t="s">
        <v>2926</v>
      </c>
      <c r="M1270" s="1" t="s">
        <v>2927</v>
      </c>
      <c r="N1270" s="1" t="s">
        <v>30</v>
      </c>
      <c r="O1270" s="1" t="s">
        <v>1284</v>
      </c>
      <c r="P1270" s="1">
        <v>895589090</v>
      </c>
      <c r="Q1270" s="1" t="s">
        <v>1286</v>
      </c>
      <c r="R1270" s="1" t="s">
        <v>26</v>
      </c>
      <c r="S1270" s="1"/>
      <c r="U1270" s="1" t="s">
        <v>35</v>
      </c>
      <c r="V1270" s="1" t="s">
        <v>787</v>
      </c>
      <c r="W1270" s="1" t="str">
        <f>VLOOKUP(Table1[[#This Row],[Obergruppe ATC-Code]],Tabelle3!$A$2:$B$100,2)</f>
        <v>ANTIBIOTIKA ZUR SYSTEMISCHEN ANWENDUNG</v>
      </c>
      <c r="X1270" s="1" t="str">
        <f xml:space="preserve"> LEFT(Table1[[#This Row],[Atc Code]],3)</f>
        <v>J01</v>
      </c>
    </row>
    <row r="1271" spans="1:24" ht="14.4">
      <c r="A1271" s="14">
        <v>714</v>
      </c>
      <c r="B1271" s="24">
        <v>4837717</v>
      </c>
      <c r="C1271" s="1">
        <v>67702</v>
      </c>
      <c r="D1271" s="1" t="s">
        <v>25</v>
      </c>
      <c r="E1271" s="36">
        <v>43862</v>
      </c>
      <c r="F1271" s="36">
        <v>44012</v>
      </c>
      <c r="G1271" s="38">
        <f t="shared" si="19"/>
        <v>150</v>
      </c>
      <c r="H1271" s="5">
        <v>43864</v>
      </c>
      <c r="I1271" s="5">
        <v>43992</v>
      </c>
      <c r="J1271" s="1" t="s">
        <v>26</v>
      </c>
      <c r="K1271" s="1" t="s">
        <v>2930</v>
      </c>
      <c r="L1271" s="1" t="s">
        <v>2926</v>
      </c>
      <c r="M1271" s="1" t="s">
        <v>2927</v>
      </c>
      <c r="N1271" s="1" t="s">
        <v>30</v>
      </c>
      <c r="O1271" s="1" t="s">
        <v>2931</v>
      </c>
      <c r="P1271" s="1" t="s">
        <v>2932</v>
      </c>
      <c r="Q1271" s="1" t="s">
        <v>1233</v>
      </c>
      <c r="R1271" s="1" t="s">
        <v>33</v>
      </c>
      <c r="S1271" s="1"/>
      <c r="T1271" s="1" t="s">
        <v>2933</v>
      </c>
      <c r="U1271" s="1" t="s">
        <v>35</v>
      </c>
      <c r="V1271" s="1" t="s">
        <v>796</v>
      </c>
      <c r="W1271" s="1" t="str">
        <f>VLOOKUP(Table1[[#This Row],[Obergruppe ATC-Code]],Tabelle3!$A$2:$B$100,2)</f>
        <v>ANTIBIOTIKA ZUR SYSTEMISCHEN ANWENDUNG</v>
      </c>
      <c r="X1271" s="1" t="str">
        <f xml:space="preserve"> LEFT(Table1[[#This Row],[Atc Code]],3)</f>
        <v>J01</v>
      </c>
    </row>
    <row r="1272" spans="1:24" ht="14.4">
      <c r="A1272" s="14">
        <v>713</v>
      </c>
      <c r="B1272" s="24">
        <v>4837700</v>
      </c>
      <c r="C1272" s="1">
        <v>67085</v>
      </c>
      <c r="D1272" s="1" t="s">
        <v>25</v>
      </c>
      <c r="E1272" s="36">
        <v>43862</v>
      </c>
      <c r="F1272" s="36">
        <v>44012</v>
      </c>
      <c r="G1272" s="38">
        <f t="shared" si="19"/>
        <v>150</v>
      </c>
      <c r="H1272" s="5">
        <v>43864</v>
      </c>
      <c r="I1272" s="5">
        <v>43992</v>
      </c>
      <c r="J1272" s="1" t="s">
        <v>26</v>
      </c>
      <c r="K1272" s="1" t="s">
        <v>2934</v>
      </c>
      <c r="L1272" s="1" t="s">
        <v>2926</v>
      </c>
      <c r="M1272" s="1" t="s">
        <v>2927</v>
      </c>
      <c r="N1272" s="1" t="s">
        <v>30</v>
      </c>
      <c r="O1272" s="1" t="s">
        <v>2931</v>
      </c>
      <c r="P1272" s="1" t="s">
        <v>2932</v>
      </c>
      <c r="Q1272" s="1" t="s">
        <v>1233</v>
      </c>
      <c r="R1272" s="1" t="s">
        <v>33</v>
      </c>
      <c r="S1272" s="1"/>
      <c r="T1272" s="1" t="s">
        <v>2935</v>
      </c>
      <c r="U1272" s="1" t="s">
        <v>35</v>
      </c>
      <c r="V1272" s="1" t="s">
        <v>796</v>
      </c>
      <c r="W1272" s="1" t="str">
        <f>VLOOKUP(Table1[[#This Row],[Obergruppe ATC-Code]],Tabelle3!$A$2:$B$100,2)</f>
        <v>ANTIBIOTIKA ZUR SYSTEMISCHEN ANWENDUNG</v>
      </c>
      <c r="X1272" s="1" t="str">
        <f xml:space="preserve"> LEFT(Table1[[#This Row],[Atc Code]],3)</f>
        <v>J01</v>
      </c>
    </row>
    <row r="1273" spans="1:24" ht="14.4">
      <c r="A1273" s="14">
        <v>2398</v>
      </c>
      <c r="B1273" s="24" t="s">
        <v>2936</v>
      </c>
      <c r="C1273" s="1">
        <v>2105792</v>
      </c>
      <c r="D1273" s="1" t="s">
        <v>25</v>
      </c>
      <c r="E1273" s="36">
        <v>43862</v>
      </c>
      <c r="F1273" s="36">
        <v>44012</v>
      </c>
      <c r="G1273" s="38">
        <f t="shared" si="19"/>
        <v>150</v>
      </c>
      <c r="H1273" s="5">
        <v>43879</v>
      </c>
      <c r="I1273" s="5">
        <v>44015</v>
      </c>
      <c r="J1273" s="1" t="s">
        <v>41</v>
      </c>
      <c r="K1273" s="1" t="s">
        <v>2937</v>
      </c>
      <c r="L1273" s="1" t="s">
        <v>2926</v>
      </c>
      <c r="M1273" s="1" t="s">
        <v>2927</v>
      </c>
      <c r="N1273" s="1" t="s">
        <v>30</v>
      </c>
      <c r="O1273" s="1" t="s">
        <v>1284</v>
      </c>
      <c r="P1273" s="1">
        <v>895589090</v>
      </c>
      <c r="Q1273" s="1" t="s">
        <v>1286</v>
      </c>
      <c r="R1273" s="1" t="s">
        <v>26</v>
      </c>
      <c r="S1273" s="1"/>
      <c r="U1273" s="1" t="s">
        <v>35</v>
      </c>
      <c r="V1273" s="1" t="s">
        <v>154</v>
      </c>
      <c r="W1273" s="1" t="str">
        <f>VLOOKUP(Table1[[#This Row],[Obergruppe ATC-Code]],Tabelle3!$A$2:$B$100,2)</f>
        <v>ANTIBIOTIKA ZUR SYSTEMISCHEN ANWENDUNG</v>
      </c>
      <c r="X1273" s="1" t="str">
        <f xml:space="preserve"> LEFT(Table1[[#This Row],[Atc Code]],3)</f>
        <v>J01</v>
      </c>
    </row>
    <row r="1274" spans="1:24" ht="14.4">
      <c r="A1274" s="14">
        <v>996</v>
      </c>
      <c r="B1274" s="24">
        <v>8630485</v>
      </c>
      <c r="C1274" s="1">
        <v>7746</v>
      </c>
      <c r="D1274" s="1" t="s">
        <v>25</v>
      </c>
      <c r="E1274" s="36">
        <v>43862</v>
      </c>
      <c r="F1274" s="36">
        <v>43982</v>
      </c>
      <c r="G1274" s="38">
        <f t="shared" si="19"/>
        <v>120</v>
      </c>
      <c r="H1274" s="5">
        <v>43879</v>
      </c>
      <c r="I1274" s="5">
        <v>44148</v>
      </c>
      <c r="J1274" s="1" t="s">
        <v>41</v>
      </c>
      <c r="K1274" s="1" t="s">
        <v>2938</v>
      </c>
      <c r="L1274" s="1" t="s">
        <v>2926</v>
      </c>
      <c r="M1274" s="1" t="s">
        <v>2927</v>
      </c>
      <c r="N1274" s="1" t="s">
        <v>30</v>
      </c>
      <c r="O1274" s="1" t="s">
        <v>1284</v>
      </c>
      <c r="P1274" s="1">
        <v>895589090</v>
      </c>
      <c r="Q1274" s="1" t="s">
        <v>1286</v>
      </c>
      <c r="R1274" s="1" t="s">
        <v>26</v>
      </c>
      <c r="S1274" s="1"/>
      <c r="U1274" s="1" t="s">
        <v>35</v>
      </c>
      <c r="V1274" s="1" t="s">
        <v>787</v>
      </c>
      <c r="W1274" s="1" t="str">
        <f>VLOOKUP(Table1[[#This Row],[Obergruppe ATC-Code]],Tabelle3!$A$2:$B$100,2)</f>
        <v>ANTIBIOTIKA ZUR SYSTEMISCHEN ANWENDUNG</v>
      </c>
      <c r="X1274" s="1" t="str">
        <f xml:space="preserve"> LEFT(Table1[[#This Row],[Atc Code]],3)</f>
        <v>J01</v>
      </c>
    </row>
    <row r="1275" spans="1:24" ht="14.4">
      <c r="A1275" s="14">
        <v>1827</v>
      </c>
      <c r="B1275" s="24" t="s">
        <v>2939</v>
      </c>
      <c r="C1275" s="1">
        <v>7657</v>
      </c>
      <c r="D1275" s="1" t="s">
        <v>102</v>
      </c>
      <c r="E1275" s="36">
        <v>44044</v>
      </c>
      <c r="F1275" s="36">
        <v>44620</v>
      </c>
      <c r="G1275" s="38">
        <f t="shared" si="19"/>
        <v>576</v>
      </c>
      <c r="H1275" s="5">
        <v>44056</v>
      </c>
      <c r="I1275" s="5">
        <v>44809</v>
      </c>
      <c r="J1275" s="1" t="s">
        <v>26</v>
      </c>
      <c r="K1275" s="1" t="s">
        <v>2940</v>
      </c>
      <c r="L1275" s="1" t="s">
        <v>2926</v>
      </c>
      <c r="M1275" s="1" t="s">
        <v>2927</v>
      </c>
      <c r="N1275" s="1" t="s">
        <v>30</v>
      </c>
      <c r="O1275" s="1" t="s">
        <v>1284</v>
      </c>
      <c r="P1275" s="1">
        <v>895589090</v>
      </c>
      <c r="Q1275" s="1" t="s">
        <v>1286</v>
      </c>
      <c r="R1275" s="1" t="s">
        <v>26</v>
      </c>
      <c r="S1275" s="1"/>
      <c r="U1275" s="1" t="s">
        <v>35</v>
      </c>
      <c r="V1275" s="1" t="s">
        <v>262</v>
      </c>
      <c r="W1275" s="1" t="str">
        <f>VLOOKUP(Table1[[#This Row],[Obergruppe ATC-Code]],Tabelle3!$A$2:$B$100,2)</f>
        <v>ANTIBIOTIKA ZUR SYSTEMISCHEN ANWENDUNG</v>
      </c>
      <c r="X1275" s="1" t="str">
        <f xml:space="preserve"> LEFT(Table1[[#This Row],[Atc Code]],3)</f>
        <v>J01</v>
      </c>
    </row>
    <row r="1276" spans="1:24" ht="14.4">
      <c r="A1276" s="14">
        <v>995</v>
      </c>
      <c r="B1276" s="24">
        <v>8630427</v>
      </c>
      <c r="C1276" s="1">
        <v>7686</v>
      </c>
      <c r="D1276" s="1" t="s">
        <v>102</v>
      </c>
      <c r="E1276" s="36">
        <v>44044</v>
      </c>
      <c r="F1276" s="36">
        <v>45046</v>
      </c>
      <c r="G1276" s="38">
        <f t="shared" si="19"/>
        <v>1002</v>
      </c>
      <c r="H1276" s="5">
        <v>44056</v>
      </c>
      <c r="I1276" s="5">
        <v>44988</v>
      </c>
      <c r="J1276" s="1" t="s">
        <v>26</v>
      </c>
      <c r="K1276" s="1" t="s">
        <v>2941</v>
      </c>
      <c r="L1276" s="1" t="s">
        <v>2926</v>
      </c>
      <c r="M1276" s="1" t="s">
        <v>2927</v>
      </c>
      <c r="N1276" s="1" t="s">
        <v>30</v>
      </c>
      <c r="O1276" s="1" t="s">
        <v>1284</v>
      </c>
      <c r="P1276" s="1">
        <v>895589090</v>
      </c>
      <c r="Q1276" s="1" t="s">
        <v>1286</v>
      </c>
      <c r="R1276" s="1" t="s">
        <v>26</v>
      </c>
      <c r="S1276" s="1"/>
      <c r="U1276" s="1" t="s">
        <v>35</v>
      </c>
      <c r="V1276" s="1" t="s">
        <v>262</v>
      </c>
      <c r="W1276" s="1" t="str">
        <f>VLOOKUP(Table1[[#This Row],[Obergruppe ATC-Code]],Tabelle3!$A$2:$B$100,2)</f>
        <v>ANTIBIOTIKA ZUR SYSTEMISCHEN ANWENDUNG</v>
      </c>
      <c r="X1276" s="1" t="str">
        <f xml:space="preserve"> LEFT(Table1[[#This Row],[Atc Code]],3)</f>
        <v>J01</v>
      </c>
    </row>
    <row r="1277" spans="1:24" ht="14.4">
      <c r="A1277" s="14">
        <v>1579</v>
      </c>
      <c r="B1277" s="24">
        <v>17198733</v>
      </c>
      <c r="C1277" s="1">
        <v>2204134</v>
      </c>
      <c r="D1277" s="1" t="s">
        <v>25</v>
      </c>
      <c r="E1277" s="36">
        <v>45118</v>
      </c>
      <c r="F1277" s="36">
        <v>45145</v>
      </c>
      <c r="G1277" s="38">
        <f t="shared" si="19"/>
        <v>27</v>
      </c>
      <c r="H1277" s="5">
        <v>45118</v>
      </c>
      <c r="I1277" s="5">
        <v>45145</v>
      </c>
      <c r="J1277" s="1" t="s">
        <v>41</v>
      </c>
      <c r="K1277" s="1" t="s">
        <v>2942</v>
      </c>
      <c r="L1277" s="1" t="s">
        <v>2926</v>
      </c>
      <c r="M1277" s="1" t="s">
        <v>2943</v>
      </c>
      <c r="N1277" s="1" t="s">
        <v>30</v>
      </c>
      <c r="O1277" s="1" t="s">
        <v>220</v>
      </c>
      <c r="P1277" s="1">
        <v>61726867883</v>
      </c>
      <c r="Q1277" s="1" t="s">
        <v>958</v>
      </c>
      <c r="R1277" s="1" t="s">
        <v>128</v>
      </c>
      <c r="S1277" s="1"/>
      <c r="U1277" s="1" t="s">
        <v>130</v>
      </c>
      <c r="V1277" s="1" t="s">
        <v>796</v>
      </c>
      <c r="W1277" s="1" t="str">
        <f>VLOOKUP(Table1[[#This Row],[Obergruppe ATC-Code]],Tabelle3!$A$2:$B$100,2)</f>
        <v>ANTIBIOTIKA ZUR SYSTEMISCHEN ANWENDUNG</v>
      </c>
      <c r="X1277" s="1" t="str">
        <f xml:space="preserve"> LEFT(Table1[[#This Row],[Atc Code]],3)</f>
        <v>J01</v>
      </c>
    </row>
    <row r="1278" spans="1:24" ht="14.4">
      <c r="A1278" s="14">
        <v>1580</v>
      </c>
      <c r="B1278" s="24">
        <v>17198756</v>
      </c>
      <c r="C1278" s="1">
        <v>2204135</v>
      </c>
      <c r="D1278" s="1" t="s">
        <v>102</v>
      </c>
      <c r="E1278" s="36">
        <v>45118</v>
      </c>
      <c r="F1278" s="36">
        <v>45278</v>
      </c>
      <c r="G1278" s="38">
        <f t="shared" si="19"/>
        <v>160</v>
      </c>
      <c r="H1278" s="5">
        <v>45118</v>
      </c>
      <c r="I1278" s="5">
        <v>45196</v>
      </c>
      <c r="J1278" s="1" t="s">
        <v>41</v>
      </c>
      <c r="K1278" s="1" t="s">
        <v>2944</v>
      </c>
      <c r="L1278" s="1" t="s">
        <v>2926</v>
      </c>
      <c r="M1278" s="1" t="s">
        <v>2943</v>
      </c>
      <c r="N1278" s="1" t="s">
        <v>30</v>
      </c>
      <c r="O1278" s="1" t="s">
        <v>220</v>
      </c>
      <c r="P1278" s="1">
        <v>61726867883</v>
      </c>
      <c r="Q1278" s="1" t="s">
        <v>958</v>
      </c>
      <c r="R1278" s="1" t="s">
        <v>128</v>
      </c>
      <c r="S1278" s="1" t="s">
        <v>2945</v>
      </c>
      <c r="U1278" s="1" t="s">
        <v>130</v>
      </c>
      <c r="V1278" s="1" t="s">
        <v>796</v>
      </c>
      <c r="W1278" s="1" t="str">
        <f>VLOOKUP(Table1[[#This Row],[Obergruppe ATC-Code]],Tabelle3!$A$2:$B$100,2)</f>
        <v>ANTIBIOTIKA ZUR SYSTEMISCHEN ANWENDUNG</v>
      </c>
      <c r="X1278" s="1" t="str">
        <f xml:space="preserve"> LEFT(Table1[[#This Row],[Atc Code]],3)</f>
        <v>J01</v>
      </c>
    </row>
    <row r="1279" spans="1:24" ht="14.4">
      <c r="A1279" s="14">
        <v>2124</v>
      </c>
      <c r="B1279" s="24" t="s">
        <v>2946</v>
      </c>
      <c r="C1279" s="1">
        <v>2123354</v>
      </c>
      <c r="D1279" s="1" t="s">
        <v>25</v>
      </c>
      <c r="E1279" s="36">
        <v>44228</v>
      </c>
      <c r="F1279" s="36">
        <v>44561</v>
      </c>
      <c r="G1279" s="38">
        <f t="shared" si="19"/>
        <v>333</v>
      </c>
      <c r="H1279" s="5">
        <v>44237</v>
      </c>
      <c r="I1279" s="5">
        <v>44265</v>
      </c>
      <c r="J1279" s="1" t="s">
        <v>41</v>
      </c>
      <c r="K1279" s="1" t="s">
        <v>2947</v>
      </c>
      <c r="L1279" s="1" t="s">
        <v>2948</v>
      </c>
      <c r="M1279" s="1" t="s">
        <v>2949</v>
      </c>
      <c r="N1279" s="1" t="s">
        <v>30</v>
      </c>
      <c r="O1279" s="1" t="s">
        <v>321</v>
      </c>
      <c r="P1279" s="1" t="s">
        <v>326</v>
      </c>
      <c r="Q1279" s="1" t="s">
        <v>327</v>
      </c>
      <c r="R1279" s="1" t="s">
        <v>26</v>
      </c>
      <c r="S1279" s="1"/>
      <c r="T1279" s="1" t="s">
        <v>2950</v>
      </c>
      <c r="U1279" s="1" t="s">
        <v>35</v>
      </c>
      <c r="V1279" s="1" t="s">
        <v>796</v>
      </c>
      <c r="W1279" s="1" t="str">
        <f>VLOOKUP(Table1[[#This Row],[Obergruppe ATC-Code]],Tabelle3!$A$2:$B$100,2)</f>
        <v>ANTIBIOTIKA ZUR SYSTEMISCHEN ANWENDUNG</v>
      </c>
      <c r="X1279" s="1" t="str">
        <f xml:space="preserve"> LEFT(Table1[[#This Row],[Atc Code]],3)</f>
        <v>J01</v>
      </c>
    </row>
    <row r="1280" spans="1:24" ht="14.4">
      <c r="A1280" s="14">
        <v>1281</v>
      </c>
      <c r="B1280" s="24">
        <v>11722802</v>
      </c>
      <c r="C1280" s="1">
        <v>2123353</v>
      </c>
      <c r="D1280" s="1" t="s">
        <v>25</v>
      </c>
      <c r="E1280" s="36">
        <v>44228</v>
      </c>
      <c r="F1280" s="36">
        <v>44561</v>
      </c>
      <c r="G1280" s="38">
        <f t="shared" si="19"/>
        <v>333</v>
      </c>
      <c r="H1280" s="5">
        <v>44237</v>
      </c>
      <c r="I1280" s="5">
        <v>44265</v>
      </c>
      <c r="J1280" s="1" t="s">
        <v>41</v>
      </c>
      <c r="K1280" s="1" t="s">
        <v>2951</v>
      </c>
      <c r="L1280" s="1" t="s">
        <v>2948</v>
      </c>
      <c r="M1280" s="1" t="s">
        <v>2949</v>
      </c>
      <c r="N1280" s="1" t="s">
        <v>30</v>
      </c>
      <c r="O1280" s="1" t="s">
        <v>321</v>
      </c>
      <c r="P1280" s="1" t="s">
        <v>326</v>
      </c>
      <c r="Q1280" s="1" t="s">
        <v>327</v>
      </c>
      <c r="R1280" s="1" t="s">
        <v>26</v>
      </c>
      <c r="S1280" s="1"/>
      <c r="T1280" s="1" t="s">
        <v>2950</v>
      </c>
      <c r="U1280" s="1" t="s">
        <v>35</v>
      </c>
      <c r="V1280" s="1" t="s">
        <v>796</v>
      </c>
      <c r="W1280" s="1" t="str">
        <f>VLOOKUP(Table1[[#This Row],[Obergruppe ATC-Code]],Tabelle3!$A$2:$B$100,2)</f>
        <v>ANTIBIOTIKA ZUR SYSTEMISCHEN ANWENDUNG</v>
      </c>
      <c r="X1280" s="1" t="str">
        <f xml:space="preserve"> LEFT(Table1[[#This Row],[Atc Code]],3)</f>
        <v>J01</v>
      </c>
    </row>
    <row r="1281" spans="1:24" ht="14.4">
      <c r="A1281" s="14">
        <v>1219</v>
      </c>
      <c r="B1281" s="25">
        <v>11138670</v>
      </c>
      <c r="C1281" s="1">
        <v>2165677</v>
      </c>
      <c r="D1281" s="1" t="s">
        <v>25</v>
      </c>
      <c r="E1281" s="36">
        <v>42826</v>
      </c>
      <c r="F1281" s="36">
        <v>43131</v>
      </c>
      <c r="G1281" s="38">
        <f t="shared" si="19"/>
        <v>305</v>
      </c>
      <c r="H1281" s="5">
        <v>42905</v>
      </c>
      <c r="I1281" s="5">
        <v>43110</v>
      </c>
      <c r="J1281" s="1" t="s">
        <v>26</v>
      </c>
      <c r="K1281" s="1" t="s">
        <v>2952</v>
      </c>
      <c r="L1281" s="1" t="s">
        <v>2953</v>
      </c>
      <c r="M1281" s="1" t="s">
        <v>2790</v>
      </c>
      <c r="N1281" s="1" t="s">
        <v>30</v>
      </c>
      <c r="O1281" s="1" t="s">
        <v>2850</v>
      </c>
      <c r="P1281" s="1" t="s">
        <v>2954</v>
      </c>
      <c r="Q1281" s="1" t="s">
        <v>2857</v>
      </c>
      <c r="R1281" s="1" t="s">
        <v>33</v>
      </c>
      <c r="S1281" s="1"/>
      <c r="U1281" s="1" t="s">
        <v>57</v>
      </c>
      <c r="V1281" s="1" t="s">
        <v>1009</v>
      </c>
      <c r="W1281" s="1" t="str">
        <f>VLOOKUP(Table1[[#This Row],[Obergruppe ATC-Code]],Tabelle3!$A$2:$B$100,2)</f>
        <v>ANTIBIOTIKA ZUR SYSTEMISCHEN ANWENDUNG</v>
      </c>
      <c r="X1281" s="1" t="str">
        <f xml:space="preserve"> LEFT(Table1[[#This Row],[Atc Code]],3)</f>
        <v>J01</v>
      </c>
    </row>
    <row r="1282" spans="1:24" ht="14.4">
      <c r="A1282" s="14">
        <v>1218</v>
      </c>
      <c r="B1282" s="25">
        <v>11138664</v>
      </c>
      <c r="C1282" s="1">
        <v>2165676</v>
      </c>
      <c r="D1282" s="1" t="s">
        <v>25</v>
      </c>
      <c r="E1282" s="36">
        <v>42826</v>
      </c>
      <c r="F1282" s="36">
        <v>43131</v>
      </c>
      <c r="G1282" s="38">
        <f t="shared" ref="G1282:G1345" si="20">F1282-E1282</f>
        <v>305</v>
      </c>
      <c r="H1282" s="5">
        <v>42905</v>
      </c>
      <c r="I1282" s="5">
        <v>43110</v>
      </c>
      <c r="J1282" s="1" t="s">
        <v>26</v>
      </c>
      <c r="K1282" s="1" t="s">
        <v>2955</v>
      </c>
      <c r="L1282" s="1" t="s">
        <v>2953</v>
      </c>
      <c r="M1282" s="1" t="s">
        <v>2790</v>
      </c>
      <c r="N1282" s="1" t="s">
        <v>30</v>
      </c>
      <c r="O1282" s="1" t="s">
        <v>2850</v>
      </c>
      <c r="P1282" s="1" t="s">
        <v>2954</v>
      </c>
      <c r="Q1282" s="1" t="s">
        <v>2857</v>
      </c>
      <c r="R1282" s="1" t="s">
        <v>33</v>
      </c>
      <c r="S1282" s="1"/>
      <c r="U1282" s="1" t="s">
        <v>57</v>
      </c>
      <c r="V1282" s="1" t="s">
        <v>1009</v>
      </c>
      <c r="W1282" s="1" t="str">
        <f>VLOOKUP(Table1[[#This Row],[Obergruppe ATC-Code]],Tabelle3!$A$2:$B$100,2)</f>
        <v>ANTIBIOTIKA ZUR SYSTEMISCHEN ANWENDUNG</v>
      </c>
      <c r="X1282" s="1" t="str">
        <f xml:space="preserve"> LEFT(Table1[[#This Row],[Atc Code]],3)</f>
        <v>J01</v>
      </c>
    </row>
    <row r="1283" spans="1:24" ht="14.4">
      <c r="A1283" s="14">
        <v>2223</v>
      </c>
      <c r="B1283" s="24" t="s">
        <v>2956</v>
      </c>
      <c r="C1283" s="1">
        <v>2165942</v>
      </c>
      <c r="D1283" s="1" t="s">
        <v>25</v>
      </c>
      <c r="E1283" s="36">
        <v>43101</v>
      </c>
      <c r="F1283" s="36">
        <v>43312</v>
      </c>
      <c r="G1283" s="38">
        <f t="shared" si="20"/>
        <v>211</v>
      </c>
      <c r="H1283" s="5">
        <v>42795</v>
      </c>
      <c r="I1283" s="5">
        <v>43287</v>
      </c>
      <c r="J1283" s="1" t="s">
        <v>41</v>
      </c>
      <c r="K1283" s="1" t="s">
        <v>2957</v>
      </c>
      <c r="L1283" s="1" t="s">
        <v>2953</v>
      </c>
      <c r="M1283" s="1" t="s">
        <v>2790</v>
      </c>
      <c r="N1283" s="1" t="s">
        <v>38</v>
      </c>
      <c r="O1283" s="1" t="s">
        <v>2958</v>
      </c>
      <c r="P1283" s="1" t="s">
        <v>2959</v>
      </c>
      <c r="Q1283" s="1" t="s">
        <v>647</v>
      </c>
      <c r="R1283" s="1" t="s">
        <v>165</v>
      </c>
      <c r="S1283" s="1"/>
      <c r="U1283" s="1" t="s">
        <v>57</v>
      </c>
      <c r="V1283" s="1" t="s">
        <v>1009</v>
      </c>
      <c r="W1283" s="1" t="str">
        <f>VLOOKUP(Table1[[#This Row],[Obergruppe ATC-Code]],Tabelle3!$A$2:$B$100,2)</f>
        <v>ANTIBIOTIKA ZUR SYSTEMISCHEN ANWENDUNG</v>
      </c>
      <c r="X1283" s="1" t="str">
        <f xml:space="preserve"> LEFT(Table1[[#This Row],[Atc Code]],3)</f>
        <v>J01</v>
      </c>
    </row>
    <row r="1284" spans="1:24" ht="14.4">
      <c r="A1284" s="14">
        <v>2982</v>
      </c>
      <c r="B1284" s="24" t="s">
        <v>2960</v>
      </c>
      <c r="C1284" s="1">
        <v>2165941</v>
      </c>
      <c r="D1284" s="1" t="s">
        <v>25</v>
      </c>
      <c r="E1284" s="36">
        <v>43101</v>
      </c>
      <c r="F1284" s="36">
        <v>43312</v>
      </c>
      <c r="G1284" s="38">
        <f t="shared" si="20"/>
        <v>211</v>
      </c>
      <c r="H1284" s="5">
        <v>42795</v>
      </c>
      <c r="I1284" s="5">
        <v>43290</v>
      </c>
      <c r="J1284" s="1" t="s">
        <v>41</v>
      </c>
      <c r="K1284" s="1" t="s">
        <v>2961</v>
      </c>
      <c r="L1284" s="1" t="s">
        <v>2953</v>
      </c>
      <c r="M1284" s="1" t="s">
        <v>2790</v>
      </c>
      <c r="N1284" s="1" t="s">
        <v>38</v>
      </c>
      <c r="O1284" s="1" t="s">
        <v>2958</v>
      </c>
      <c r="P1284" s="1" t="s">
        <v>2959</v>
      </c>
      <c r="Q1284" s="1" t="s">
        <v>647</v>
      </c>
      <c r="R1284" s="1" t="s">
        <v>165</v>
      </c>
      <c r="S1284" s="1"/>
      <c r="U1284" s="1" t="s">
        <v>57</v>
      </c>
      <c r="V1284" s="1" t="s">
        <v>1009</v>
      </c>
      <c r="W1284" s="1" t="str">
        <f>VLOOKUP(Table1[[#This Row],[Obergruppe ATC-Code]],Tabelle3!$A$2:$B$100,2)</f>
        <v>ANTIBIOTIKA ZUR SYSTEMISCHEN ANWENDUNG</v>
      </c>
      <c r="X1284" s="1" t="str">
        <f xml:space="preserve"> LEFT(Table1[[#This Row],[Atc Code]],3)</f>
        <v>J01</v>
      </c>
    </row>
    <row r="1285" spans="1:24" ht="14.4">
      <c r="A1285" s="14">
        <v>1235</v>
      </c>
      <c r="B1285" s="25">
        <v>11304909</v>
      </c>
      <c r="C1285" s="1">
        <v>2174341</v>
      </c>
      <c r="D1285" s="1" t="s">
        <v>25</v>
      </c>
      <c r="E1285" s="36">
        <v>43556</v>
      </c>
      <c r="F1285" s="36">
        <v>43646</v>
      </c>
      <c r="G1285" s="38">
        <f t="shared" si="20"/>
        <v>90</v>
      </c>
      <c r="H1285" s="5">
        <v>43585</v>
      </c>
      <c r="I1285" s="5">
        <v>43634</v>
      </c>
      <c r="J1285" s="1" t="s">
        <v>41</v>
      </c>
      <c r="K1285" s="1" t="s">
        <v>2962</v>
      </c>
      <c r="L1285" s="1" t="s">
        <v>2953</v>
      </c>
      <c r="M1285" s="1" t="s">
        <v>2790</v>
      </c>
      <c r="N1285" s="1" t="s">
        <v>30</v>
      </c>
      <c r="O1285" s="1" t="s">
        <v>1284</v>
      </c>
      <c r="P1285" s="1">
        <v>895589090</v>
      </c>
      <c r="Q1285" s="1" t="s">
        <v>1286</v>
      </c>
      <c r="R1285" s="1" t="s">
        <v>26</v>
      </c>
      <c r="S1285" s="1"/>
      <c r="U1285" s="1" t="s">
        <v>35</v>
      </c>
      <c r="V1285" s="1" t="s">
        <v>154</v>
      </c>
      <c r="W1285" s="1" t="str">
        <f>VLOOKUP(Table1[[#This Row],[Obergruppe ATC-Code]],Tabelle3!$A$2:$B$100,2)</f>
        <v>ANTIBIOTIKA ZUR SYSTEMISCHEN ANWENDUNG</v>
      </c>
      <c r="X1285" s="1" t="str">
        <f xml:space="preserve"> LEFT(Table1[[#This Row],[Atc Code]],3)</f>
        <v>J01</v>
      </c>
    </row>
    <row r="1286" spans="1:24" ht="14.4">
      <c r="A1286" s="14">
        <v>1234</v>
      </c>
      <c r="B1286" s="25">
        <v>11304884</v>
      </c>
      <c r="C1286" s="1">
        <v>2174340</v>
      </c>
      <c r="D1286" s="1" t="s">
        <v>25</v>
      </c>
      <c r="E1286" s="36">
        <v>43556</v>
      </c>
      <c r="F1286" s="36">
        <v>43646</v>
      </c>
      <c r="G1286" s="38">
        <f t="shared" si="20"/>
        <v>90</v>
      </c>
      <c r="H1286" s="5">
        <v>43585</v>
      </c>
      <c r="I1286" s="5">
        <v>43634</v>
      </c>
      <c r="J1286" s="1" t="s">
        <v>41</v>
      </c>
      <c r="K1286" s="1" t="s">
        <v>2963</v>
      </c>
      <c r="L1286" s="1" t="s">
        <v>2953</v>
      </c>
      <c r="M1286" s="1" t="s">
        <v>2790</v>
      </c>
      <c r="N1286" s="1" t="s">
        <v>30</v>
      </c>
      <c r="O1286" s="1" t="s">
        <v>1284</v>
      </c>
      <c r="P1286" s="1">
        <v>895589090</v>
      </c>
      <c r="Q1286" s="1" t="s">
        <v>1286</v>
      </c>
      <c r="R1286" s="1" t="s">
        <v>26</v>
      </c>
      <c r="S1286" s="1"/>
      <c r="U1286" s="1" t="s">
        <v>35</v>
      </c>
      <c r="V1286" s="1" t="s">
        <v>154</v>
      </c>
      <c r="W1286" s="1" t="str">
        <f>VLOOKUP(Table1[[#This Row],[Obergruppe ATC-Code]],Tabelle3!$A$2:$B$100,2)</f>
        <v>ANTIBIOTIKA ZUR SYSTEMISCHEN ANWENDUNG</v>
      </c>
      <c r="X1286" s="1" t="str">
        <f xml:space="preserve"> LEFT(Table1[[#This Row],[Atc Code]],3)</f>
        <v>J01</v>
      </c>
    </row>
    <row r="1287" spans="1:24" ht="14.4">
      <c r="A1287" s="14">
        <v>2584</v>
      </c>
      <c r="B1287" s="24" t="s">
        <v>2964</v>
      </c>
      <c r="C1287" s="1">
        <v>2165676</v>
      </c>
      <c r="D1287" s="1" t="s">
        <v>25</v>
      </c>
      <c r="E1287" s="36">
        <v>42826</v>
      </c>
      <c r="F1287" s="36">
        <v>43100</v>
      </c>
      <c r="G1287" s="38">
        <f t="shared" si="20"/>
        <v>274</v>
      </c>
      <c r="H1287" s="5">
        <v>42835</v>
      </c>
      <c r="I1287" s="5">
        <v>44375</v>
      </c>
      <c r="J1287" s="1" t="s">
        <v>41</v>
      </c>
      <c r="K1287" s="1" t="s">
        <v>2955</v>
      </c>
      <c r="L1287" s="1" t="s">
        <v>2953</v>
      </c>
      <c r="M1287" s="1" t="s">
        <v>2790</v>
      </c>
      <c r="N1287" s="1" t="s">
        <v>30</v>
      </c>
      <c r="O1287" s="1" t="s">
        <v>2850</v>
      </c>
      <c r="P1287" s="1" t="s">
        <v>2856</v>
      </c>
      <c r="Q1287" s="1" t="s">
        <v>647</v>
      </c>
      <c r="R1287" s="1" t="s">
        <v>26</v>
      </c>
      <c r="S1287" s="1"/>
      <c r="U1287" s="1" t="s">
        <v>57</v>
      </c>
      <c r="V1287" s="1" t="s">
        <v>1009</v>
      </c>
      <c r="W1287" s="1" t="str">
        <f>VLOOKUP(Table1[[#This Row],[Obergruppe ATC-Code]],Tabelle3!$A$2:$B$100,2)</f>
        <v>ANTIBIOTIKA ZUR SYSTEMISCHEN ANWENDUNG</v>
      </c>
      <c r="X1287" s="1" t="str">
        <f xml:space="preserve"> LEFT(Table1[[#This Row],[Atc Code]],3)</f>
        <v>J01</v>
      </c>
    </row>
    <row r="1288" spans="1:24" ht="14.4">
      <c r="A1288" s="14">
        <v>527</v>
      </c>
      <c r="B1288" s="24">
        <v>3330956</v>
      </c>
      <c r="C1288" s="1">
        <v>2106973</v>
      </c>
      <c r="D1288" s="1" t="s">
        <v>25</v>
      </c>
      <c r="E1288" s="36">
        <v>44686</v>
      </c>
      <c r="F1288" s="36">
        <v>44714</v>
      </c>
      <c r="G1288" s="38">
        <f t="shared" si="20"/>
        <v>28</v>
      </c>
      <c r="H1288" s="5">
        <v>44715</v>
      </c>
      <c r="I1288" s="5">
        <v>44721</v>
      </c>
      <c r="J1288" s="1" t="s">
        <v>41</v>
      </c>
      <c r="K1288" s="1" t="s">
        <v>2965</v>
      </c>
      <c r="L1288" s="1" t="s">
        <v>2953</v>
      </c>
      <c r="M1288" s="1" t="s">
        <v>2790</v>
      </c>
      <c r="N1288" s="1" t="s">
        <v>30</v>
      </c>
      <c r="O1288" s="1" t="s">
        <v>329</v>
      </c>
      <c r="P1288" s="1" t="s">
        <v>330</v>
      </c>
      <c r="Q1288" s="1" t="s">
        <v>331</v>
      </c>
      <c r="R1288" s="1" t="s">
        <v>128</v>
      </c>
      <c r="S1288" s="1"/>
      <c r="U1288" s="1" t="s">
        <v>35</v>
      </c>
      <c r="V1288" s="1" t="s">
        <v>167</v>
      </c>
      <c r="W1288" s="1" t="str">
        <f>VLOOKUP(Table1[[#This Row],[Obergruppe ATC-Code]],Tabelle3!$A$2:$B$100,2)</f>
        <v>ANTIBIOTIKA ZUR SYSTEMISCHEN ANWENDUNG</v>
      </c>
      <c r="X1288" s="1" t="str">
        <f xml:space="preserve"> LEFT(Table1[[#This Row],[Atc Code]],3)</f>
        <v>J01</v>
      </c>
    </row>
    <row r="1289" spans="1:24" ht="14.4">
      <c r="A1289" s="14">
        <v>526</v>
      </c>
      <c r="B1289" s="24">
        <v>3330956</v>
      </c>
      <c r="C1289" s="1">
        <v>2106973</v>
      </c>
      <c r="D1289" s="1" t="s">
        <v>25</v>
      </c>
      <c r="E1289" s="36">
        <v>44970</v>
      </c>
      <c r="F1289" s="36">
        <v>44988</v>
      </c>
      <c r="G1289" s="38">
        <f t="shared" si="20"/>
        <v>18</v>
      </c>
      <c r="H1289" s="5">
        <v>44972</v>
      </c>
      <c r="I1289" s="5">
        <v>44988</v>
      </c>
      <c r="J1289" s="1" t="s">
        <v>26</v>
      </c>
      <c r="K1289" s="1" t="s">
        <v>2965</v>
      </c>
      <c r="L1289" s="1" t="s">
        <v>2953</v>
      </c>
      <c r="M1289" s="1" t="s">
        <v>2790</v>
      </c>
      <c r="N1289" s="1" t="s">
        <v>30</v>
      </c>
      <c r="O1289" s="1" t="s">
        <v>329</v>
      </c>
      <c r="P1289" s="1" t="s">
        <v>1259</v>
      </c>
      <c r="Q1289" s="1" t="s">
        <v>331</v>
      </c>
      <c r="R1289" s="1" t="s">
        <v>113</v>
      </c>
      <c r="S1289" s="1" t="s">
        <v>2966</v>
      </c>
      <c r="U1289" s="1" t="s">
        <v>35</v>
      </c>
      <c r="V1289" s="1" t="s">
        <v>167</v>
      </c>
      <c r="W1289" s="1" t="str">
        <f>VLOOKUP(Table1[[#This Row],[Obergruppe ATC-Code]],Tabelle3!$A$2:$B$100,2)</f>
        <v>ANTIBIOTIKA ZUR SYSTEMISCHEN ANWENDUNG</v>
      </c>
      <c r="X1289" s="1" t="str">
        <f xml:space="preserve"> LEFT(Table1[[#This Row],[Atc Code]],3)</f>
        <v>J01</v>
      </c>
    </row>
    <row r="1290" spans="1:24" ht="14.4">
      <c r="A1290" s="14">
        <v>2351</v>
      </c>
      <c r="B1290" s="24" t="s">
        <v>2967</v>
      </c>
      <c r="C1290" s="1">
        <v>2139312</v>
      </c>
      <c r="D1290" s="1" t="s">
        <v>25</v>
      </c>
      <c r="E1290" s="36">
        <v>43891</v>
      </c>
      <c r="F1290" s="36">
        <v>44012</v>
      </c>
      <c r="G1290" s="38">
        <f t="shared" si="20"/>
        <v>121</v>
      </c>
      <c r="H1290" s="5">
        <v>43916</v>
      </c>
      <c r="I1290" s="5">
        <v>44000</v>
      </c>
      <c r="J1290" s="1" t="s">
        <v>26</v>
      </c>
      <c r="K1290" s="1" t="s">
        <v>2968</v>
      </c>
      <c r="L1290" s="1" t="s">
        <v>2969</v>
      </c>
      <c r="M1290" s="1" t="s">
        <v>2970</v>
      </c>
      <c r="N1290" s="1" t="s">
        <v>30</v>
      </c>
      <c r="O1290" s="1" t="s">
        <v>45</v>
      </c>
      <c r="P1290" s="1" t="s">
        <v>104</v>
      </c>
      <c r="Q1290" s="1" t="s">
        <v>105</v>
      </c>
      <c r="R1290" s="1" t="s">
        <v>33</v>
      </c>
      <c r="S1290" s="1"/>
      <c r="U1290" s="1" t="s">
        <v>35</v>
      </c>
      <c r="V1290" s="1" t="s">
        <v>99</v>
      </c>
      <c r="W1290" s="1" t="str">
        <f>VLOOKUP(Table1[[#This Row],[Obergruppe ATC-Code]],Tabelle3!$A$2:$B$100,2)</f>
        <v>ANTIBIOTIKA ZUR SYSTEMISCHEN ANWENDUNG</v>
      </c>
      <c r="X1290" s="1" t="str">
        <f xml:space="preserve"> LEFT(Table1[[#This Row],[Atc Code]],3)</f>
        <v>J01</v>
      </c>
    </row>
    <row r="1291" spans="1:24" ht="14.4">
      <c r="A1291" s="14">
        <v>2252</v>
      </c>
      <c r="B1291" s="24" t="s">
        <v>2971</v>
      </c>
      <c r="C1291" s="1">
        <v>2161443</v>
      </c>
      <c r="D1291" s="1" t="s">
        <v>25</v>
      </c>
      <c r="E1291" s="36">
        <v>43891</v>
      </c>
      <c r="F1291" s="36">
        <v>44135</v>
      </c>
      <c r="G1291" s="38">
        <f t="shared" si="20"/>
        <v>244</v>
      </c>
      <c r="H1291" s="5">
        <v>43945</v>
      </c>
      <c r="I1291" s="5">
        <v>44132</v>
      </c>
      <c r="J1291" s="1" t="s">
        <v>41</v>
      </c>
      <c r="K1291" s="1" t="s">
        <v>2972</v>
      </c>
      <c r="L1291" s="1" t="s">
        <v>2969</v>
      </c>
      <c r="M1291" s="1" t="s">
        <v>2973</v>
      </c>
      <c r="N1291" s="1" t="s">
        <v>38</v>
      </c>
      <c r="O1291" s="1" t="s">
        <v>91</v>
      </c>
      <c r="P1291" s="1" t="s">
        <v>92</v>
      </c>
      <c r="Q1291" s="1" t="s">
        <v>93</v>
      </c>
      <c r="R1291" s="1" t="s">
        <v>26</v>
      </c>
      <c r="S1291" s="1"/>
      <c r="U1291" s="1" t="s">
        <v>35</v>
      </c>
      <c r="V1291" s="1" t="s">
        <v>787</v>
      </c>
      <c r="W1291" s="1" t="str">
        <f>VLOOKUP(Table1[[#This Row],[Obergruppe ATC-Code]],Tabelle3!$A$2:$B$100,2)</f>
        <v>ANTIBIOTIKA ZUR SYSTEMISCHEN ANWENDUNG</v>
      </c>
      <c r="X1291" s="1" t="str">
        <f xml:space="preserve"> LEFT(Table1[[#This Row],[Atc Code]],3)</f>
        <v>J01</v>
      </c>
    </row>
    <row r="1292" spans="1:24" ht="14.4">
      <c r="A1292" s="14">
        <v>1344</v>
      </c>
      <c r="B1292" s="24">
        <v>12671998</v>
      </c>
      <c r="C1292" s="1">
        <v>2161445</v>
      </c>
      <c r="D1292" s="1" t="s">
        <v>25</v>
      </c>
      <c r="E1292" s="36">
        <v>43922</v>
      </c>
      <c r="F1292" s="36">
        <v>44165</v>
      </c>
      <c r="G1292" s="38">
        <f t="shared" si="20"/>
        <v>243</v>
      </c>
      <c r="H1292" s="5">
        <v>43945</v>
      </c>
      <c r="I1292" s="5">
        <v>44165</v>
      </c>
      <c r="J1292" s="1" t="s">
        <v>41</v>
      </c>
      <c r="K1292" s="1" t="s">
        <v>2974</v>
      </c>
      <c r="L1292" s="1" t="s">
        <v>2969</v>
      </c>
      <c r="M1292" s="1" t="s">
        <v>2973</v>
      </c>
      <c r="N1292" s="1" t="s">
        <v>38</v>
      </c>
      <c r="O1292" s="1" t="s">
        <v>91</v>
      </c>
      <c r="P1292" s="1" t="s">
        <v>92</v>
      </c>
      <c r="Q1292" s="1" t="s">
        <v>93</v>
      </c>
      <c r="R1292" s="1" t="s">
        <v>26</v>
      </c>
      <c r="S1292" s="1"/>
      <c r="U1292" s="1" t="s">
        <v>35</v>
      </c>
      <c r="V1292" s="1" t="s">
        <v>154</v>
      </c>
      <c r="W1292" s="1" t="str">
        <f>VLOOKUP(Table1[[#This Row],[Obergruppe ATC-Code]],Tabelle3!$A$2:$B$100,2)</f>
        <v>ANTIBIOTIKA ZUR SYSTEMISCHEN ANWENDUNG</v>
      </c>
      <c r="X1292" s="1" t="str">
        <f xml:space="preserve"> LEFT(Table1[[#This Row],[Atc Code]],3)</f>
        <v>J01</v>
      </c>
    </row>
    <row r="1293" spans="1:24" ht="14.4">
      <c r="A1293" s="14">
        <v>1348</v>
      </c>
      <c r="B1293" s="24">
        <v>12672006</v>
      </c>
      <c r="C1293" s="1">
        <v>2161444</v>
      </c>
      <c r="D1293" s="1" t="s">
        <v>25</v>
      </c>
      <c r="E1293" s="36">
        <v>43891</v>
      </c>
      <c r="F1293" s="36">
        <v>44347</v>
      </c>
      <c r="G1293" s="38">
        <f t="shared" si="20"/>
        <v>456</v>
      </c>
      <c r="H1293" s="5">
        <v>43945</v>
      </c>
      <c r="I1293" s="5">
        <v>44320</v>
      </c>
      <c r="J1293" s="1" t="s">
        <v>41</v>
      </c>
      <c r="K1293" s="1" t="s">
        <v>2975</v>
      </c>
      <c r="L1293" s="1" t="s">
        <v>2969</v>
      </c>
      <c r="M1293" s="1" t="s">
        <v>2973</v>
      </c>
      <c r="N1293" s="1" t="s">
        <v>38</v>
      </c>
      <c r="O1293" s="1" t="s">
        <v>91</v>
      </c>
      <c r="P1293" s="1" t="s">
        <v>92</v>
      </c>
      <c r="Q1293" s="1" t="s">
        <v>93</v>
      </c>
      <c r="R1293" s="1" t="s">
        <v>26</v>
      </c>
      <c r="S1293" s="1"/>
      <c r="U1293" s="1" t="s">
        <v>35</v>
      </c>
      <c r="V1293" s="1" t="s">
        <v>787</v>
      </c>
      <c r="W1293" s="1" t="str">
        <f>VLOOKUP(Table1[[#This Row],[Obergruppe ATC-Code]],Tabelle3!$A$2:$B$100,2)</f>
        <v>ANTIBIOTIKA ZUR SYSTEMISCHEN ANWENDUNG</v>
      </c>
      <c r="X1293" s="1" t="str">
        <f xml:space="preserve"> LEFT(Table1[[#This Row],[Atc Code]],3)</f>
        <v>J01</v>
      </c>
    </row>
    <row r="1294" spans="1:24" ht="14.4">
      <c r="A1294" s="14">
        <v>1346</v>
      </c>
      <c r="B1294" s="24">
        <v>12671998</v>
      </c>
      <c r="C1294" s="1">
        <v>2161445</v>
      </c>
      <c r="D1294" s="1" t="s">
        <v>25</v>
      </c>
      <c r="E1294" s="36">
        <v>44557</v>
      </c>
      <c r="F1294" s="36">
        <v>44620</v>
      </c>
      <c r="G1294" s="38">
        <f t="shared" si="20"/>
        <v>63</v>
      </c>
      <c r="H1294" s="5">
        <v>44557</v>
      </c>
      <c r="I1294" s="5">
        <v>44620</v>
      </c>
      <c r="J1294" s="1" t="s">
        <v>41</v>
      </c>
      <c r="K1294" s="1" t="s">
        <v>2974</v>
      </c>
      <c r="L1294" s="1" t="s">
        <v>2969</v>
      </c>
      <c r="M1294" s="1" t="s">
        <v>2973</v>
      </c>
      <c r="N1294" s="1" t="s">
        <v>38</v>
      </c>
      <c r="O1294" s="1" t="s">
        <v>91</v>
      </c>
      <c r="P1294" s="1" t="s">
        <v>92</v>
      </c>
      <c r="Q1294" s="1" t="s">
        <v>93</v>
      </c>
      <c r="R1294" s="1" t="s">
        <v>128</v>
      </c>
      <c r="S1294" s="1"/>
      <c r="U1294" s="1" t="s">
        <v>35</v>
      </c>
      <c r="V1294" s="1" t="s">
        <v>154</v>
      </c>
      <c r="W1294" s="1" t="str">
        <f>VLOOKUP(Table1[[#This Row],[Obergruppe ATC-Code]],Tabelle3!$A$2:$B$100,2)</f>
        <v>ANTIBIOTIKA ZUR SYSTEMISCHEN ANWENDUNG</v>
      </c>
      <c r="X1294" s="1" t="str">
        <f xml:space="preserve"> LEFT(Table1[[#This Row],[Atc Code]],3)</f>
        <v>J01</v>
      </c>
    </row>
    <row r="1295" spans="1:24" ht="14.4">
      <c r="A1295" s="14">
        <v>2137</v>
      </c>
      <c r="B1295" s="24" t="s">
        <v>2976</v>
      </c>
      <c r="C1295" s="1">
        <v>2133934</v>
      </c>
      <c r="D1295" s="1" t="s">
        <v>25</v>
      </c>
      <c r="E1295" s="36">
        <v>44810</v>
      </c>
      <c r="F1295" s="36">
        <v>44858</v>
      </c>
      <c r="G1295" s="38">
        <f t="shared" si="20"/>
        <v>48</v>
      </c>
      <c r="H1295" s="5">
        <v>44810</v>
      </c>
      <c r="I1295" s="5">
        <v>44862</v>
      </c>
      <c r="J1295" s="1" t="s">
        <v>26</v>
      </c>
      <c r="K1295" s="1" t="s">
        <v>2977</v>
      </c>
      <c r="L1295" s="1" t="s">
        <v>2969</v>
      </c>
      <c r="M1295" s="1" t="s">
        <v>2970</v>
      </c>
      <c r="N1295" s="1" t="s">
        <v>38</v>
      </c>
      <c r="O1295" s="1" t="s">
        <v>52</v>
      </c>
      <c r="P1295" s="1" t="s">
        <v>53</v>
      </c>
      <c r="Q1295" s="1" t="s">
        <v>54</v>
      </c>
      <c r="R1295" s="1" t="s">
        <v>113</v>
      </c>
      <c r="S1295" s="1"/>
      <c r="U1295" s="1" t="s">
        <v>130</v>
      </c>
      <c r="V1295" s="1" t="s">
        <v>99</v>
      </c>
      <c r="W1295" s="1" t="str">
        <f>VLOOKUP(Table1[[#This Row],[Obergruppe ATC-Code]],Tabelle3!$A$2:$B$100,2)</f>
        <v>ANTIBIOTIKA ZUR SYSTEMISCHEN ANWENDUNG</v>
      </c>
      <c r="X1295" s="1" t="str">
        <f xml:space="preserve"> LEFT(Table1[[#This Row],[Atc Code]],3)</f>
        <v>J01</v>
      </c>
    </row>
    <row r="1296" spans="1:24" ht="14.4">
      <c r="A1296" s="14">
        <v>2035</v>
      </c>
      <c r="B1296" s="24" t="s">
        <v>2978</v>
      </c>
      <c r="C1296" s="1">
        <v>2149307</v>
      </c>
      <c r="D1296" s="1" t="s">
        <v>25</v>
      </c>
      <c r="E1296" s="36">
        <v>44810</v>
      </c>
      <c r="F1296" s="36">
        <v>44904</v>
      </c>
      <c r="G1296" s="38">
        <f t="shared" si="20"/>
        <v>94</v>
      </c>
      <c r="H1296" s="5">
        <v>44810</v>
      </c>
      <c r="I1296" s="5">
        <v>44907</v>
      </c>
      <c r="J1296" s="1" t="s">
        <v>26</v>
      </c>
      <c r="K1296" s="1" t="s">
        <v>2979</v>
      </c>
      <c r="L1296" s="1" t="s">
        <v>2969</v>
      </c>
      <c r="M1296" s="1" t="s">
        <v>2970</v>
      </c>
      <c r="N1296" s="1" t="s">
        <v>38</v>
      </c>
      <c r="O1296" s="1" t="s">
        <v>91</v>
      </c>
      <c r="P1296" s="1" t="s">
        <v>92</v>
      </c>
      <c r="Q1296" s="1" t="s">
        <v>93</v>
      </c>
      <c r="R1296" s="1" t="s">
        <v>113</v>
      </c>
      <c r="S1296" s="1"/>
      <c r="U1296" s="1" t="s">
        <v>130</v>
      </c>
      <c r="V1296" s="1" t="s">
        <v>99</v>
      </c>
      <c r="W1296" s="1" t="str">
        <f>VLOOKUP(Table1[[#This Row],[Obergruppe ATC-Code]],Tabelle3!$A$2:$B$100,2)</f>
        <v>ANTIBIOTIKA ZUR SYSTEMISCHEN ANWENDUNG</v>
      </c>
      <c r="X1296" s="1" t="str">
        <f xml:space="preserve"> LEFT(Table1[[#This Row],[Atc Code]],3)</f>
        <v>J01</v>
      </c>
    </row>
    <row r="1297" spans="1:24" ht="14.4">
      <c r="A1297" s="14">
        <v>1028</v>
      </c>
      <c r="B1297" s="24">
        <v>8841199</v>
      </c>
      <c r="C1297" s="1">
        <v>2178580</v>
      </c>
      <c r="D1297" s="1" t="s">
        <v>25</v>
      </c>
      <c r="E1297" s="36">
        <v>44827</v>
      </c>
      <c r="F1297" s="36">
        <v>44957</v>
      </c>
      <c r="G1297" s="38">
        <f t="shared" si="20"/>
        <v>130</v>
      </c>
      <c r="H1297" s="5">
        <v>44827</v>
      </c>
      <c r="I1297" s="5">
        <v>44964</v>
      </c>
      <c r="J1297" s="1" t="s">
        <v>41</v>
      </c>
      <c r="K1297" s="1" t="s">
        <v>2980</v>
      </c>
      <c r="L1297" s="1" t="s">
        <v>2969</v>
      </c>
      <c r="M1297" s="1" t="s">
        <v>2970</v>
      </c>
      <c r="N1297" s="1" t="s">
        <v>30</v>
      </c>
      <c r="O1297" s="1" t="s">
        <v>1284</v>
      </c>
      <c r="Q1297" s="1" t="s">
        <v>2981</v>
      </c>
      <c r="R1297" s="1" t="s">
        <v>128</v>
      </c>
      <c r="S1297" s="1"/>
      <c r="U1297" s="1" t="s">
        <v>130</v>
      </c>
      <c r="V1297" s="1" t="s">
        <v>99</v>
      </c>
      <c r="W1297" s="1" t="str">
        <f>VLOOKUP(Table1[[#This Row],[Obergruppe ATC-Code]],Tabelle3!$A$2:$B$100,2)</f>
        <v>ANTIBIOTIKA ZUR SYSTEMISCHEN ANWENDUNG</v>
      </c>
      <c r="X1297" s="1" t="str">
        <f xml:space="preserve"> LEFT(Table1[[#This Row],[Atc Code]],3)</f>
        <v>J01</v>
      </c>
    </row>
    <row r="1298" spans="1:24" ht="14.4">
      <c r="A1298" s="14">
        <v>1345</v>
      </c>
      <c r="B1298" s="24">
        <v>12671998</v>
      </c>
      <c r="C1298" s="1">
        <v>2161445</v>
      </c>
      <c r="D1298" s="1" t="s">
        <v>25</v>
      </c>
      <c r="E1298" s="36">
        <v>44925</v>
      </c>
      <c r="F1298" s="36">
        <v>45027</v>
      </c>
      <c r="G1298" s="38">
        <f t="shared" si="20"/>
        <v>102</v>
      </c>
      <c r="H1298" s="5">
        <v>44963</v>
      </c>
      <c r="I1298" s="5">
        <v>45027</v>
      </c>
      <c r="J1298" s="1" t="s">
        <v>41</v>
      </c>
      <c r="K1298" s="1" t="s">
        <v>2974</v>
      </c>
      <c r="L1298" s="1" t="s">
        <v>2969</v>
      </c>
      <c r="M1298" s="1" t="s">
        <v>2973</v>
      </c>
      <c r="N1298" s="1" t="s">
        <v>38</v>
      </c>
      <c r="O1298" s="1" t="s">
        <v>91</v>
      </c>
      <c r="Q1298" s="1" t="s">
        <v>93</v>
      </c>
      <c r="R1298" s="1" t="s">
        <v>26</v>
      </c>
      <c r="S1298" s="1" t="s">
        <v>2062</v>
      </c>
      <c r="U1298" s="1" t="s">
        <v>130</v>
      </c>
      <c r="V1298" s="1" t="s">
        <v>154</v>
      </c>
      <c r="W1298" s="1" t="str">
        <f>VLOOKUP(Table1[[#This Row],[Obergruppe ATC-Code]],Tabelle3!$A$2:$B$100,2)</f>
        <v>ANTIBIOTIKA ZUR SYSTEMISCHEN ANWENDUNG</v>
      </c>
      <c r="X1298" s="1" t="str">
        <f xml:space="preserve"> LEFT(Table1[[#This Row],[Atc Code]],3)</f>
        <v>J01</v>
      </c>
    </row>
    <row r="1299" spans="1:24" ht="14.4">
      <c r="A1299" s="14">
        <v>789</v>
      </c>
      <c r="B1299" s="24">
        <v>6312031</v>
      </c>
      <c r="C1299" s="1">
        <v>2142794</v>
      </c>
      <c r="D1299" s="1" t="s">
        <v>25</v>
      </c>
      <c r="E1299" s="36">
        <v>44810</v>
      </c>
      <c r="F1299" s="36">
        <v>45034</v>
      </c>
      <c r="G1299" s="38">
        <f t="shared" si="20"/>
        <v>224</v>
      </c>
      <c r="H1299" s="5">
        <v>44810</v>
      </c>
      <c r="I1299" s="5">
        <v>45034</v>
      </c>
      <c r="J1299" s="1" t="s">
        <v>26</v>
      </c>
      <c r="K1299" s="1" t="s">
        <v>2982</v>
      </c>
      <c r="L1299" s="1" t="s">
        <v>2969</v>
      </c>
      <c r="M1299" s="1" t="s">
        <v>2970</v>
      </c>
      <c r="N1299" s="1" t="s">
        <v>38</v>
      </c>
      <c r="O1299" s="1" t="s">
        <v>52</v>
      </c>
      <c r="P1299" s="1" t="s">
        <v>92</v>
      </c>
      <c r="Q1299" s="1" t="s">
        <v>93</v>
      </c>
      <c r="R1299" s="1" t="s">
        <v>113</v>
      </c>
      <c r="S1299" s="1"/>
      <c r="U1299" s="1" t="s">
        <v>130</v>
      </c>
      <c r="V1299" s="1" t="s">
        <v>259</v>
      </c>
      <c r="W1299" s="1" t="str">
        <f>VLOOKUP(Table1[[#This Row],[Obergruppe ATC-Code]],Tabelle3!$A$2:$B$100,2)</f>
        <v>ANTIBIOTIKA ZUR SYSTEMISCHEN ANWENDUNG</v>
      </c>
      <c r="X1299" s="1" t="str">
        <f xml:space="preserve"> LEFT(Table1[[#This Row],[Atc Code]],3)</f>
        <v>J01</v>
      </c>
    </row>
    <row r="1300" spans="1:24" ht="14.4">
      <c r="A1300" s="14">
        <v>787</v>
      </c>
      <c r="B1300" s="24">
        <v>6304528</v>
      </c>
      <c r="C1300" s="1">
        <v>2142798</v>
      </c>
      <c r="D1300" s="1" t="s">
        <v>25</v>
      </c>
      <c r="E1300" s="36">
        <v>44910</v>
      </c>
      <c r="F1300" s="36">
        <v>45034</v>
      </c>
      <c r="G1300" s="38">
        <f t="shared" si="20"/>
        <v>124</v>
      </c>
      <c r="H1300" s="5">
        <v>44910</v>
      </c>
      <c r="I1300" s="5">
        <v>45034</v>
      </c>
      <c r="J1300" s="1" t="s">
        <v>26</v>
      </c>
      <c r="K1300" s="1" t="s">
        <v>2983</v>
      </c>
      <c r="L1300" s="1" t="s">
        <v>2969</v>
      </c>
      <c r="M1300" s="1" t="s">
        <v>2970</v>
      </c>
      <c r="N1300" s="1" t="s">
        <v>38</v>
      </c>
      <c r="O1300" s="1" t="s">
        <v>52</v>
      </c>
      <c r="Q1300" s="1" t="s">
        <v>54</v>
      </c>
      <c r="R1300" s="1" t="s">
        <v>113</v>
      </c>
      <c r="S1300" s="1"/>
      <c r="U1300" s="1" t="s">
        <v>130</v>
      </c>
      <c r="V1300" s="1" t="s">
        <v>259</v>
      </c>
      <c r="W1300" s="1" t="str">
        <f>VLOOKUP(Table1[[#This Row],[Obergruppe ATC-Code]],Tabelle3!$A$2:$B$100,2)</f>
        <v>ANTIBIOTIKA ZUR SYSTEMISCHEN ANWENDUNG</v>
      </c>
      <c r="X1300" s="1" t="str">
        <f xml:space="preserve"> LEFT(Table1[[#This Row],[Atc Code]],3)</f>
        <v>J01</v>
      </c>
    </row>
    <row r="1301" spans="1:24" ht="14.4">
      <c r="A1301" s="14">
        <v>2253</v>
      </c>
      <c r="B1301" s="24" t="s">
        <v>2984</v>
      </c>
      <c r="C1301" s="1">
        <v>2161443</v>
      </c>
      <c r="D1301" s="1" t="s">
        <v>25</v>
      </c>
      <c r="E1301" s="36">
        <v>44925</v>
      </c>
      <c r="F1301" s="36">
        <v>45037</v>
      </c>
      <c r="G1301" s="38">
        <f t="shared" si="20"/>
        <v>112</v>
      </c>
      <c r="H1301" s="5">
        <v>44956</v>
      </c>
      <c r="I1301" s="5">
        <v>45037</v>
      </c>
      <c r="J1301" s="1" t="s">
        <v>41</v>
      </c>
      <c r="K1301" s="1" t="s">
        <v>2972</v>
      </c>
      <c r="L1301" s="1" t="s">
        <v>2969</v>
      </c>
      <c r="M1301" s="1" t="s">
        <v>2973</v>
      </c>
      <c r="N1301" s="1" t="s">
        <v>38</v>
      </c>
      <c r="O1301" s="1" t="s">
        <v>91</v>
      </c>
      <c r="Q1301" s="1" t="s">
        <v>93</v>
      </c>
      <c r="R1301" s="1" t="s">
        <v>26</v>
      </c>
      <c r="S1301" s="1" t="s">
        <v>2062</v>
      </c>
      <c r="U1301" s="1" t="s">
        <v>130</v>
      </c>
      <c r="V1301" s="1" t="s">
        <v>787</v>
      </c>
      <c r="W1301" s="1" t="str">
        <f>VLOOKUP(Table1[[#This Row],[Obergruppe ATC-Code]],Tabelle3!$A$2:$B$100,2)</f>
        <v>ANTIBIOTIKA ZUR SYSTEMISCHEN ANWENDUNG</v>
      </c>
      <c r="X1301" s="1" t="str">
        <f xml:space="preserve"> LEFT(Table1[[#This Row],[Atc Code]],3)</f>
        <v>J01</v>
      </c>
    </row>
    <row r="1302" spans="1:24" ht="14.4">
      <c r="A1302" s="14">
        <v>2872</v>
      </c>
      <c r="B1302" s="24" t="s">
        <v>2985</v>
      </c>
      <c r="C1302" s="1">
        <v>2202147</v>
      </c>
      <c r="D1302" s="1" t="s">
        <v>25</v>
      </c>
      <c r="E1302" s="36">
        <v>44991</v>
      </c>
      <c r="F1302" s="36">
        <v>45049</v>
      </c>
      <c r="G1302" s="38">
        <f t="shared" si="20"/>
        <v>58</v>
      </c>
      <c r="H1302" s="5">
        <v>44959</v>
      </c>
      <c r="I1302" s="5">
        <v>45049</v>
      </c>
      <c r="J1302" s="1" t="s">
        <v>41</v>
      </c>
      <c r="K1302" s="1" t="s">
        <v>2986</v>
      </c>
      <c r="L1302" s="1" t="s">
        <v>2969</v>
      </c>
      <c r="M1302" s="1" t="s">
        <v>2970</v>
      </c>
      <c r="N1302" s="1" t="s">
        <v>38</v>
      </c>
      <c r="O1302" s="1" t="s">
        <v>162</v>
      </c>
      <c r="P1302" s="1" t="s">
        <v>163</v>
      </c>
      <c r="R1302" s="1" t="s">
        <v>26</v>
      </c>
      <c r="S1302" s="1"/>
      <c r="U1302" s="1" t="s">
        <v>35</v>
      </c>
      <c r="V1302" s="1" t="s">
        <v>259</v>
      </c>
      <c r="W1302" s="1" t="str">
        <f>VLOOKUP(Table1[[#This Row],[Obergruppe ATC-Code]],Tabelle3!$A$2:$B$100,2)</f>
        <v>ANTIBIOTIKA ZUR SYSTEMISCHEN ANWENDUNG</v>
      </c>
      <c r="X1302" s="1" t="str">
        <f xml:space="preserve"> LEFT(Table1[[#This Row],[Atc Code]],3)</f>
        <v>J01</v>
      </c>
    </row>
    <row r="1303" spans="1:24" ht="14.4">
      <c r="A1303" s="14">
        <v>1973</v>
      </c>
      <c r="B1303" s="24" t="s">
        <v>2987</v>
      </c>
      <c r="C1303" s="1">
        <v>2158918</v>
      </c>
      <c r="D1303" s="1" t="s">
        <v>25</v>
      </c>
      <c r="E1303" s="36">
        <v>44810</v>
      </c>
      <c r="F1303" s="36">
        <v>45058</v>
      </c>
      <c r="G1303" s="38">
        <f t="shared" si="20"/>
        <v>248</v>
      </c>
      <c r="H1303" s="5">
        <v>44810</v>
      </c>
      <c r="I1303" s="5">
        <v>45058</v>
      </c>
      <c r="J1303" s="1" t="s">
        <v>26</v>
      </c>
      <c r="K1303" s="1" t="s">
        <v>2988</v>
      </c>
      <c r="L1303" s="1" t="s">
        <v>2969</v>
      </c>
      <c r="M1303" s="1" t="s">
        <v>2970</v>
      </c>
      <c r="N1303" s="1" t="s">
        <v>38</v>
      </c>
      <c r="O1303" s="1" t="s">
        <v>91</v>
      </c>
      <c r="P1303" s="1" t="s">
        <v>92</v>
      </c>
      <c r="Q1303" s="1" t="s">
        <v>93</v>
      </c>
      <c r="R1303" s="1" t="s">
        <v>113</v>
      </c>
      <c r="S1303" s="1"/>
      <c r="U1303" s="1" t="s">
        <v>130</v>
      </c>
      <c r="V1303" s="1" t="s">
        <v>259</v>
      </c>
      <c r="W1303" s="1" t="str">
        <f>VLOOKUP(Table1[[#This Row],[Obergruppe ATC-Code]],Tabelle3!$A$2:$B$100,2)</f>
        <v>ANTIBIOTIKA ZUR SYSTEMISCHEN ANWENDUNG</v>
      </c>
      <c r="X1303" s="1" t="str">
        <f xml:space="preserve"> LEFT(Table1[[#This Row],[Atc Code]],3)</f>
        <v>J01</v>
      </c>
    </row>
    <row r="1304" spans="1:24" ht="14.4">
      <c r="A1304" s="14">
        <v>81</v>
      </c>
      <c r="B1304" s="24">
        <v>544674</v>
      </c>
      <c r="C1304" s="1">
        <v>2134926</v>
      </c>
      <c r="D1304" s="1" t="s">
        <v>25</v>
      </c>
      <c r="E1304" s="36">
        <v>44810</v>
      </c>
      <c r="F1304" s="36">
        <v>45070</v>
      </c>
      <c r="G1304" s="38">
        <f t="shared" si="20"/>
        <v>260</v>
      </c>
      <c r="H1304" s="5">
        <v>44810</v>
      </c>
      <c r="I1304" s="5">
        <v>45070</v>
      </c>
      <c r="J1304" s="1" t="s">
        <v>26</v>
      </c>
      <c r="K1304" s="1" t="s">
        <v>2989</v>
      </c>
      <c r="L1304" s="1" t="s">
        <v>2969</v>
      </c>
      <c r="M1304" s="1" t="s">
        <v>2970</v>
      </c>
      <c r="N1304" s="1" t="s">
        <v>38</v>
      </c>
      <c r="O1304" s="1" t="s">
        <v>91</v>
      </c>
      <c r="P1304" s="1" t="s">
        <v>92</v>
      </c>
      <c r="Q1304" s="1" t="s">
        <v>93</v>
      </c>
      <c r="R1304" s="1" t="s">
        <v>113</v>
      </c>
      <c r="S1304" s="1"/>
      <c r="U1304" s="1" t="s">
        <v>130</v>
      </c>
      <c r="V1304" s="1" t="s">
        <v>1433</v>
      </c>
      <c r="W1304" s="1" t="str">
        <f>VLOOKUP(Table1[[#This Row],[Obergruppe ATC-Code]],Tabelle3!$A$2:$B$100,2)</f>
        <v>ANTIBIOTIKA ZUR SYSTEMISCHEN ANWENDUNG</v>
      </c>
      <c r="X1304" s="1" t="str">
        <f xml:space="preserve"> LEFT(Table1[[#This Row],[Atc Code]],3)</f>
        <v>J01</v>
      </c>
    </row>
    <row r="1305" spans="1:24" ht="14.4">
      <c r="A1305" s="14">
        <v>2871</v>
      </c>
      <c r="B1305" s="24" t="s">
        <v>2985</v>
      </c>
      <c r="C1305" s="1">
        <v>2202147</v>
      </c>
      <c r="D1305" s="1" t="s">
        <v>25</v>
      </c>
      <c r="E1305" s="36">
        <v>45078</v>
      </c>
      <c r="F1305" s="36">
        <v>45090</v>
      </c>
      <c r="G1305" s="38">
        <f t="shared" si="20"/>
        <v>12</v>
      </c>
      <c r="H1305" s="5">
        <v>45078</v>
      </c>
      <c r="I1305" s="5">
        <v>45090</v>
      </c>
      <c r="J1305" s="1" t="s">
        <v>26</v>
      </c>
      <c r="K1305" s="1" t="s">
        <v>2986</v>
      </c>
      <c r="L1305" s="1" t="s">
        <v>2969</v>
      </c>
      <c r="M1305" s="1" t="s">
        <v>2970</v>
      </c>
      <c r="N1305" s="1" t="s">
        <v>38</v>
      </c>
      <c r="O1305" s="1" t="s">
        <v>162</v>
      </c>
      <c r="P1305" s="1" t="s">
        <v>163</v>
      </c>
      <c r="R1305" s="1" t="s">
        <v>113</v>
      </c>
      <c r="S1305" s="1"/>
      <c r="U1305" s="1" t="s">
        <v>35</v>
      </c>
      <c r="V1305" s="1" t="s">
        <v>259</v>
      </c>
      <c r="W1305" s="1" t="str">
        <f>VLOOKUP(Table1[[#This Row],[Obergruppe ATC-Code]],Tabelle3!$A$2:$B$100,2)</f>
        <v>ANTIBIOTIKA ZUR SYSTEMISCHEN ANWENDUNG</v>
      </c>
      <c r="X1305" s="1" t="str">
        <f xml:space="preserve"> LEFT(Table1[[#This Row],[Atc Code]],3)</f>
        <v>J01</v>
      </c>
    </row>
    <row r="1306" spans="1:24" ht="14.4">
      <c r="A1306" s="14">
        <v>1349</v>
      </c>
      <c r="B1306" s="24">
        <v>12672006</v>
      </c>
      <c r="C1306" s="1">
        <v>2161444</v>
      </c>
      <c r="D1306" s="1" t="s">
        <v>25</v>
      </c>
      <c r="E1306" s="36">
        <v>44925</v>
      </c>
      <c r="F1306" s="36">
        <v>45100</v>
      </c>
      <c r="G1306" s="38">
        <f t="shared" si="20"/>
        <v>175</v>
      </c>
      <c r="H1306" s="5">
        <v>44963</v>
      </c>
      <c r="I1306" s="5">
        <v>45103</v>
      </c>
      <c r="J1306" s="1" t="s">
        <v>41</v>
      </c>
      <c r="K1306" s="1" t="s">
        <v>2975</v>
      </c>
      <c r="L1306" s="1" t="s">
        <v>2969</v>
      </c>
      <c r="M1306" s="1" t="s">
        <v>2973</v>
      </c>
      <c r="N1306" s="1" t="s">
        <v>38</v>
      </c>
      <c r="O1306" s="1" t="s">
        <v>91</v>
      </c>
      <c r="Q1306" s="1" t="s">
        <v>93</v>
      </c>
      <c r="R1306" s="1" t="s">
        <v>26</v>
      </c>
      <c r="S1306" s="1" t="s">
        <v>2062</v>
      </c>
      <c r="U1306" s="1" t="s">
        <v>130</v>
      </c>
      <c r="V1306" s="1" t="s">
        <v>787</v>
      </c>
      <c r="W1306" s="1" t="str">
        <f>VLOOKUP(Table1[[#This Row],[Obergruppe ATC-Code]],Tabelle3!$A$2:$B$100,2)</f>
        <v>ANTIBIOTIKA ZUR SYSTEMISCHEN ANWENDUNG</v>
      </c>
      <c r="X1306" s="1" t="str">
        <f xml:space="preserve"> LEFT(Table1[[#This Row],[Atc Code]],3)</f>
        <v>J01</v>
      </c>
    </row>
    <row r="1307" spans="1:24" ht="14.4">
      <c r="A1307" s="14">
        <v>80</v>
      </c>
      <c r="B1307" s="24">
        <v>544674</v>
      </c>
      <c r="C1307" s="1">
        <v>2134926</v>
      </c>
      <c r="D1307" s="1" t="s">
        <v>175</v>
      </c>
      <c r="E1307" s="36">
        <v>45089</v>
      </c>
      <c r="F1307" s="36">
        <v>45260</v>
      </c>
      <c r="G1307" s="38">
        <f t="shared" si="20"/>
        <v>171</v>
      </c>
      <c r="H1307" s="5">
        <v>45106</v>
      </c>
      <c r="I1307" s="5">
        <v>45106</v>
      </c>
      <c r="J1307" s="1" t="s">
        <v>26</v>
      </c>
      <c r="K1307" s="1" t="s">
        <v>2989</v>
      </c>
      <c r="L1307" s="1" t="s">
        <v>2969</v>
      </c>
      <c r="M1307" s="1" t="s">
        <v>2970</v>
      </c>
      <c r="N1307" s="1" t="s">
        <v>38</v>
      </c>
      <c r="O1307" s="1" t="s">
        <v>91</v>
      </c>
      <c r="Q1307" s="1" t="s">
        <v>93</v>
      </c>
      <c r="R1307" s="1" t="s">
        <v>113</v>
      </c>
      <c r="S1307" s="1"/>
      <c r="U1307" s="1" t="s">
        <v>130</v>
      </c>
      <c r="V1307" s="1" t="s">
        <v>1433</v>
      </c>
      <c r="W1307" s="1" t="str">
        <f>VLOOKUP(Table1[[#This Row],[Obergruppe ATC-Code]],Tabelle3!$A$2:$B$100,2)</f>
        <v>ANTIBIOTIKA ZUR SYSTEMISCHEN ANWENDUNG</v>
      </c>
      <c r="X1307" s="1" t="str">
        <f xml:space="preserve"> LEFT(Table1[[#This Row],[Atc Code]],3)</f>
        <v>J01</v>
      </c>
    </row>
    <row r="1308" spans="1:24" ht="14.4">
      <c r="A1308" s="14">
        <v>788</v>
      </c>
      <c r="B1308" s="24">
        <v>6312031</v>
      </c>
      <c r="C1308" s="1">
        <v>2142794</v>
      </c>
      <c r="D1308" s="1" t="s">
        <v>25</v>
      </c>
      <c r="E1308" s="36">
        <v>45041</v>
      </c>
      <c r="F1308" s="36">
        <v>45134</v>
      </c>
      <c r="G1308" s="38">
        <f t="shared" si="20"/>
        <v>93</v>
      </c>
      <c r="H1308" s="5">
        <v>45041</v>
      </c>
      <c r="I1308" s="5">
        <v>45134</v>
      </c>
      <c r="J1308" s="1" t="s">
        <v>26</v>
      </c>
      <c r="K1308" s="1" t="s">
        <v>2982</v>
      </c>
      <c r="L1308" s="1" t="s">
        <v>2969</v>
      </c>
      <c r="M1308" s="1" t="s">
        <v>2970</v>
      </c>
      <c r="N1308" s="1" t="s">
        <v>38</v>
      </c>
      <c r="O1308" s="1" t="s">
        <v>52</v>
      </c>
      <c r="Q1308" s="1" t="s">
        <v>54</v>
      </c>
      <c r="R1308" s="1" t="s">
        <v>113</v>
      </c>
      <c r="S1308" s="1"/>
      <c r="U1308" s="1" t="s">
        <v>130</v>
      </c>
      <c r="V1308" s="1" t="s">
        <v>259</v>
      </c>
      <c r="W1308" s="1" t="str">
        <f>VLOOKUP(Table1[[#This Row],[Obergruppe ATC-Code]],Tabelle3!$A$2:$B$100,2)</f>
        <v>ANTIBIOTIKA ZUR SYSTEMISCHEN ANWENDUNG</v>
      </c>
      <c r="X1308" s="1" t="str">
        <f xml:space="preserve"> LEFT(Table1[[#This Row],[Atc Code]],3)</f>
        <v>J01</v>
      </c>
    </row>
    <row r="1309" spans="1:24" ht="14.4">
      <c r="A1309" s="14">
        <v>2138</v>
      </c>
      <c r="B1309" s="24" t="s">
        <v>2990</v>
      </c>
      <c r="C1309" s="1">
        <v>2149308</v>
      </c>
      <c r="D1309" s="1" t="s">
        <v>25</v>
      </c>
      <c r="E1309" s="36">
        <v>44810</v>
      </c>
      <c r="F1309" s="36">
        <v>45149</v>
      </c>
      <c r="G1309" s="38">
        <f t="shared" si="20"/>
        <v>339</v>
      </c>
      <c r="H1309" s="5">
        <v>44810</v>
      </c>
      <c r="I1309" s="5">
        <v>45152</v>
      </c>
      <c r="J1309" s="1" t="s">
        <v>26</v>
      </c>
      <c r="K1309" s="1" t="s">
        <v>2991</v>
      </c>
      <c r="L1309" s="1" t="s">
        <v>2969</v>
      </c>
      <c r="M1309" s="1" t="s">
        <v>2970</v>
      </c>
      <c r="N1309" s="1" t="s">
        <v>38</v>
      </c>
      <c r="O1309" s="1" t="s">
        <v>52</v>
      </c>
      <c r="P1309" s="1" t="s">
        <v>53</v>
      </c>
      <c r="Q1309" s="1" t="s">
        <v>54</v>
      </c>
      <c r="R1309" s="1" t="s">
        <v>113</v>
      </c>
      <c r="S1309" s="1"/>
      <c r="U1309" s="1" t="s">
        <v>35</v>
      </c>
      <c r="V1309" s="1" t="s">
        <v>99</v>
      </c>
      <c r="W1309" s="1" t="str">
        <f>VLOOKUP(Table1[[#This Row],[Obergruppe ATC-Code]],Tabelle3!$A$2:$B$100,2)</f>
        <v>ANTIBIOTIKA ZUR SYSTEMISCHEN ANWENDUNG</v>
      </c>
      <c r="X1309" s="1" t="str">
        <f xml:space="preserve"> LEFT(Table1[[#This Row],[Atc Code]],3)</f>
        <v>J01</v>
      </c>
    </row>
    <row r="1310" spans="1:24" ht="14.4">
      <c r="A1310" s="14">
        <v>113</v>
      </c>
      <c r="B1310" s="24">
        <v>669559</v>
      </c>
      <c r="C1310" s="1">
        <v>2139320</v>
      </c>
      <c r="D1310" s="1" t="s">
        <v>25</v>
      </c>
      <c r="E1310" s="36">
        <v>45035</v>
      </c>
      <c r="F1310" s="36">
        <v>45152</v>
      </c>
      <c r="G1310" s="38">
        <f t="shared" si="20"/>
        <v>117</v>
      </c>
      <c r="H1310" s="5">
        <v>45092</v>
      </c>
      <c r="I1310" s="5">
        <v>45160</v>
      </c>
      <c r="J1310" s="1" t="s">
        <v>41</v>
      </c>
      <c r="K1310" s="1" t="s">
        <v>2992</v>
      </c>
      <c r="L1310" s="1" t="s">
        <v>2969</v>
      </c>
      <c r="M1310" s="1" t="s">
        <v>2970</v>
      </c>
      <c r="N1310" s="1" t="s">
        <v>38</v>
      </c>
      <c r="O1310" s="1" t="s">
        <v>123</v>
      </c>
      <c r="P1310" s="1">
        <v>4961016032416</v>
      </c>
      <c r="Q1310" s="1" t="s">
        <v>127</v>
      </c>
      <c r="R1310" s="1" t="s">
        <v>128</v>
      </c>
      <c r="S1310" s="1"/>
      <c r="U1310" s="1" t="s">
        <v>130</v>
      </c>
      <c r="V1310" s="1" t="s">
        <v>1433</v>
      </c>
      <c r="W1310" s="1" t="str">
        <f>VLOOKUP(Table1[[#This Row],[Obergruppe ATC-Code]],Tabelle3!$A$2:$B$100,2)</f>
        <v>ANTIBIOTIKA ZUR SYSTEMISCHEN ANWENDUNG</v>
      </c>
      <c r="X1310" s="1" t="str">
        <f xml:space="preserve"> LEFT(Table1[[#This Row],[Atc Code]],3)</f>
        <v>J01</v>
      </c>
    </row>
    <row r="1311" spans="1:24" ht="14.4">
      <c r="A1311" s="14">
        <v>2172</v>
      </c>
      <c r="B1311" s="24" t="s">
        <v>2993</v>
      </c>
      <c r="C1311" s="1">
        <v>2184313</v>
      </c>
      <c r="D1311" s="1" t="s">
        <v>25</v>
      </c>
      <c r="E1311" s="36">
        <v>44895</v>
      </c>
      <c r="F1311" s="36">
        <v>45163</v>
      </c>
      <c r="G1311" s="38">
        <f t="shared" si="20"/>
        <v>268</v>
      </c>
      <c r="H1311" s="5">
        <v>44895</v>
      </c>
      <c r="I1311" s="5">
        <v>45163</v>
      </c>
      <c r="J1311" s="1" t="s">
        <v>26</v>
      </c>
      <c r="K1311" s="1" t="s">
        <v>2994</v>
      </c>
      <c r="L1311" s="1" t="s">
        <v>2969</v>
      </c>
      <c r="M1311" s="1" t="s">
        <v>2970</v>
      </c>
      <c r="N1311" s="1" t="s">
        <v>30</v>
      </c>
      <c r="O1311" s="1" t="s">
        <v>2769</v>
      </c>
      <c r="P1311" s="1" t="s">
        <v>2770</v>
      </c>
      <c r="Q1311" s="1" t="s">
        <v>2771</v>
      </c>
      <c r="R1311" s="1" t="s">
        <v>113</v>
      </c>
      <c r="S1311" s="1" t="s">
        <v>2995</v>
      </c>
      <c r="U1311" s="1" t="s">
        <v>35</v>
      </c>
      <c r="V1311" s="1" t="s">
        <v>259</v>
      </c>
      <c r="W1311" s="1" t="str">
        <f>VLOOKUP(Table1[[#This Row],[Obergruppe ATC-Code]],Tabelle3!$A$2:$B$100,2)</f>
        <v>ANTIBIOTIKA ZUR SYSTEMISCHEN ANWENDUNG</v>
      </c>
      <c r="X1311" s="1" t="str">
        <f xml:space="preserve"> LEFT(Table1[[#This Row],[Atc Code]],3)</f>
        <v>J01</v>
      </c>
    </row>
    <row r="1312" spans="1:24" ht="14.4">
      <c r="A1312" s="14">
        <v>79</v>
      </c>
      <c r="B1312" s="24">
        <v>544668</v>
      </c>
      <c r="C1312" s="1">
        <v>2133933</v>
      </c>
      <c r="D1312" s="1" t="s">
        <v>102</v>
      </c>
      <c r="E1312" s="36">
        <v>44810</v>
      </c>
      <c r="F1312" s="36">
        <v>45247</v>
      </c>
      <c r="G1312" s="38">
        <f t="shared" si="20"/>
        <v>437</v>
      </c>
      <c r="H1312" s="5">
        <v>44810</v>
      </c>
      <c r="I1312" s="5">
        <v>45175</v>
      </c>
      <c r="J1312" s="1" t="s">
        <v>26</v>
      </c>
      <c r="K1312" s="1" t="s">
        <v>2996</v>
      </c>
      <c r="L1312" s="1" t="s">
        <v>2969</v>
      </c>
      <c r="M1312" s="1" t="s">
        <v>2970</v>
      </c>
      <c r="N1312" s="1" t="s">
        <v>38</v>
      </c>
      <c r="O1312" s="1" t="s">
        <v>91</v>
      </c>
      <c r="P1312" s="1" t="s">
        <v>92</v>
      </c>
      <c r="Q1312" s="1" t="s">
        <v>93</v>
      </c>
      <c r="R1312" s="1" t="s">
        <v>113</v>
      </c>
      <c r="S1312" s="1"/>
      <c r="U1312" s="1" t="s">
        <v>130</v>
      </c>
      <c r="V1312" s="1" t="s">
        <v>99</v>
      </c>
      <c r="W1312" s="1" t="str">
        <f>VLOOKUP(Table1[[#This Row],[Obergruppe ATC-Code]],Tabelle3!$A$2:$B$100,2)</f>
        <v>ANTIBIOTIKA ZUR SYSTEMISCHEN ANWENDUNG</v>
      </c>
      <c r="X1312" s="1" t="str">
        <f xml:space="preserve"> LEFT(Table1[[#This Row],[Atc Code]],3)</f>
        <v>J01</v>
      </c>
    </row>
    <row r="1313" spans="1:24" ht="14.4">
      <c r="A1313" s="14">
        <v>2171</v>
      </c>
      <c r="B1313" s="24" t="s">
        <v>2993</v>
      </c>
      <c r="C1313" s="1">
        <v>2184313</v>
      </c>
      <c r="D1313" s="1" t="s">
        <v>102</v>
      </c>
      <c r="E1313" s="36">
        <v>45163</v>
      </c>
      <c r="F1313" s="36">
        <v>45271</v>
      </c>
      <c r="G1313" s="38">
        <f t="shared" si="20"/>
        <v>108</v>
      </c>
      <c r="H1313" s="5">
        <v>45163</v>
      </c>
      <c r="I1313" s="5">
        <v>45177</v>
      </c>
      <c r="J1313" s="1" t="s">
        <v>26</v>
      </c>
      <c r="K1313" s="1" t="s">
        <v>2994</v>
      </c>
      <c r="L1313" s="1" t="s">
        <v>2969</v>
      </c>
      <c r="M1313" s="1" t="s">
        <v>2970</v>
      </c>
      <c r="N1313" s="1" t="s">
        <v>30</v>
      </c>
      <c r="O1313" s="1" t="s">
        <v>2769</v>
      </c>
      <c r="P1313" s="1" t="s">
        <v>2770</v>
      </c>
      <c r="Q1313" s="1" t="s">
        <v>2771</v>
      </c>
      <c r="R1313" s="1" t="s">
        <v>113</v>
      </c>
      <c r="S1313" s="1"/>
      <c r="U1313" s="1" t="s">
        <v>35</v>
      </c>
      <c r="V1313" s="1" t="s">
        <v>259</v>
      </c>
      <c r="W1313" s="1" t="str">
        <f>VLOOKUP(Table1[[#This Row],[Obergruppe ATC-Code]],Tabelle3!$A$2:$B$100,2)</f>
        <v>ANTIBIOTIKA ZUR SYSTEMISCHEN ANWENDUNG</v>
      </c>
      <c r="X1313" s="1" t="str">
        <f xml:space="preserve"> LEFT(Table1[[#This Row],[Atc Code]],3)</f>
        <v>J01</v>
      </c>
    </row>
    <row r="1314" spans="1:24" ht="14.4">
      <c r="A1314" s="14">
        <v>2136</v>
      </c>
      <c r="B1314" s="24" t="s">
        <v>2976</v>
      </c>
      <c r="C1314" s="1">
        <v>2133934</v>
      </c>
      <c r="D1314" s="1" t="s">
        <v>25</v>
      </c>
      <c r="E1314" s="36">
        <v>44974</v>
      </c>
      <c r="F1314" s="36">
        <v>45191</v>
      </c>
      <c r="G1314" s="38">
        <f t="shared" si="20"/>
        <v>217</v>
      </c>
      <c r="H1314" s="5">
        <v>44974</v>
      </c>
      <c r="I1314" s="5">
        <v>45191</v>
      </c>
      <c r="J1314" s="1" t="s">
        <v>26</v>
      </c>
      <c r="K1314" s="1" t="s">
        <v>2977</v>
      </c>
      <c r="L1314" s="1" t="s">
        <v>2969</v>
      </c>
      <c r="M1314" s="1" t="s">
        <v>2970</v>
      </c>
      <c r="N1314" s="1" t="s">
        <v>38</v>
      </c>
      <c r="O1314" s="1" t="s">
        <v>52</v>
      </c>
      <c r="Q1314" s="1" t="s">
        <v>54</v>
      </c>
      <c r="R1314" s="1" t="s">
        <v>113</v>
      </c>
      <c r="S1314" s="1"/>
      <c r="U1314" s="1" t="s">
        <v>130</v>
      </c>
      <c r="V1314" s="1" t="s">
        <v>99</v>
      </c>
      <c r="W1314" s="1" t="str">
        <f>VLOOKUP(Table1[[#This Row],[Obergruppe ATC-Code]],Tabelle3!$A$2:$B$100,2)</f>
        <v>ANTIBIOTIKA ZUR SYSTEMISCHEN ANWENDUNG</v>
      </c>
      <c r="X1314" s="1" t="str">
        <f xml:space="preserve"> LEFT(Table1[[#This Row],[Atc Code]],3)</f>
        <v>J01</v>
      </c>
    </row>
    <row r="1315" spans="1:24" ht="14.4">
      <c r="A1315" s="14">
        <v>2034</v>
      </c>
      <c r="B1315" s="24" t="s">
        <v>2978</v>
      </c>
      <c r="C1315" s="1">
        <v>2149307</v>
      </c>
      <c r="D1315" s="1" t="s">
        <v>25</v>
      </c>
      <c r="E1315" s="36">
        <v>44981</v>
      </c>
      <c r="F1315" s="36">
        <v>45191</v>
      </c>
      <c r="G1315" s="38">
        <f t="shared" si="20"/>
        <v>210</v>
      </c>
      <c r="H1315" s="5">
        <v>44981</v>
      </c>
      <c r="I1315" s="5">
        <v>45191</v>
      </c>
      <c r="J1315" s="1" t="s">
        <v>26</v>
      </c>
      <c r="K1315" s="1" t="s">
        <v>2979</v>
      </c>
      <c r="L1315" s="1" t="s">
        <v>2969</v>
      </c>
      <c r="M1315" s="1" t="s">
        <v>2970</v>
      </c>
      <c r="N1315" s="1" t="s">
        <v>38</v>
      </c>
      <c r="O1315" s="1" t="s">
        <v>91</v>
      </c>
      <c r="Q1315" s="1" t="s">
        <v>93</v>
      </c>
      <c r="R1315" s="1" t="s">
        <v>113</v>
      </c>
      <c r="S1315" s="1"/>
      <c r="U1315" s="1" t="s">
        <v>130</v>
      </c>
      <c r="V1315" s="1" t="s">
        <v>99</v>
      </c>
      <c r="W1315" s="1" t="str">
        <f>VLOOKUP(Table1[[#This Row],[Obergruppe ATC-Code]],Tabelle3!$A$2:$B$100,2)</f>
        <v>ANTIBIOTIKA ZUR SYSTEMISCHEN ANWENDUNG</v>
      </c>
      <c r="X1315" s="1" t="str">
        <f xml:space="preserve"> LEFT(Table1[[#This Row],[Atc Code]],3)</f>
        <v>J01</v>
      </c>
    </row>
    <row r="1316" spans="1:24" ht="14.4">
      <c r="A1316" s="14">
        <v>1347</v>
      </c>
      <c r="B1316" s="24">
        <v>12672006</v>
      </c>
      <c r="C1316" s="1">
        <v>2161444</v>
      </c>
      <c r="D1316" s="1" t="s">
        <v>175</v>
      </c>
      <c r="E1316" s="36">
        <v>45191</v>
      </c>
      <c r="F1316" s="36">
        <v>45382</v>
      </c>
      <c r="G1316" s="38">
        <f t="shared" si="20"/>
        <v>191</v>
      </c>
      <c r="H1316" s="5">
        <v>45191</v>
      </c>
      <c r="I1316" s="5">
        <v>45191</v>
      </c>
      <c r="J1316" s="1" t="s">
        <v>26</v>
      </c>
      <c r="K1316" s="1" t="s">
        <v>2975</v>
      </c>
      <c r="L1316" s="1" t="s">
        <v>2969</v>
      </c>
      <c r="M1316" s="1" t="s">
        <v>2973</v>
      </c>
      <c r="N1316" s="1" t="s">
        <v>38</v>
      </c>
      <c r="O1316" s="1" t="s">
        <v>91</v>
      </c>
      <c r="Q1316" s="1" t="s">
        <v>93</v>
      </c>
      <c r="R1316" s="1" t="s">
        <v>26</v>
      </c>
      <c r="S1316" s="1"/>
      <c r="T1316" s="1" t="s">
        <v>2997</v>
      </c>
      <c r="U1316" s="1" t="s">
        <v>57</v>
      </c>
      <c r="V1316" s="1" t="s">
        <v>787</v>
      </c>
      <c r="W1316" s="1" t="str">
        <f>VLOOKUP(Table1[[#This Row],[Obergruppe ATC-Code]],Tabelle3!$A$2:$B$100,2)</f>
        <v>ANTIBIOTIKA ZUR SYSTEMISCHEN ANWENDUNG</v>
      </c>
      <c r="X1316" s="1" t="str">
        <f xml:space="preserve"> LEFT(Table1[[#This Row],[Atc Code]],3)</f>
        <v>J01</v>
      </c>
    </row>
    <row r="1317" spans="1:24" ht="14.4">
      <c r="A1317" s="14">
        <v>1343</v>
      </c>
      <c r="B1317" s="24">
        <v>12671998</v>
      </c>
      <c r="C1317" s="1">
        <v>2161445</v>
      </c>
      <c r="D1317" s="1" t="s">
        <v>175</v>
      </c>
      <c r="E1317" s="36">
        <v>45191</v>
      </c>
      <c r="F1317" s="36">
        <v>45350</v>
      </c>
      <c r="G1317" s="38">
        <f t="shared" si="20"/>
        <v>159</v>
      </c>
      <c r="H1317" s="5">
        <v>45191</v>
      </c>
      <c r="I1317" s="5">
        <v>45191</v>
      </c>
      <c r="J1317" s="1" t="s">
        <v>26</v>
      </c>
      <c r="K1317" s="1" t="s">
        <v>2974</v>
      </c>
      <c r="L1317" s="1" t="s">
        <v>2969</v>
      </c>
      <c r="M1317" s="1" t="s">
        <v>2973</v>
      </c>
      <c r="N1317" s="1" t="s">
        <v>30</v>
      </c>
      <c r="O1317" s="1" t="s">
        <v>91</v>
      </c>
      <c r="Q1317" s="1" t="s">
        <v>93</v>
      </c>
      <c r="R1317" s="1" t="s">
        <v>26</v>
      </c>
      <c r="S1317" s="1"/>
      <c r="T1317" s="1" t="s">
        <v>2997</v>
      </c>
      <c r="U1317" s="1" t="s">
        <v>57</v>
      </c>
      <c r="V1317" s="1" t="s">
        <v>154</v>
      </c>
      <c r="W1317" s="1" t="str">
        <f>VLOOKUP(Table1[[#This Row],[Obergruppe ATC-Code]],Tabelle3!$A$2:$B$100,2)</f>
        <v>ANTIBIOTIKA ZUR SYSTEMISCHEN ANWENDUNG</v>
      </c>
      <c r="X1317" s="1" t="str">
        <f xml:space="preserve"> LEFT(Table1[[#This Row],[Atc Code]],3)</f>
        <v>J01</v>
      </c>
    </row>
    <row r="1318" spans="1:24" ht="14.4">
      <c r="A1318" s="14">
        <v>114</v>
      </c>
      <c r="B1318" s="24">
        <v>669565</v>
      </c>
      <c r="C1318" s="1">
        <v>2139325</v>
      </c>
      <c r="D1318" s="1" t="s">
        <v>102</v>
      </c>
      <c r="E1318" s="36">
        <v>45028</v>
      </c>
      <c r="F1318" s="36">
        <v>45229</v>
      </c>
      <c r="G1318" s="38">
        <f t="shared" si="20"/>
        <v>201</v>
      </c>
      <c r="H1318" s="5">
        <v>45092</v>
      </c>
      <c r="I1318" s="5">
        <v>45209</v>
      </c>
      <c r="J1318" s="1" t="s">
        <v>41</v>
      </c>
      <c r="K1318" s="1" t="s">
        <v>2998</v>
      </c>
      <c r="L1318" s="1" t="s">
        <v>2969</v>
      </c>
      <c r="M1318" s="1" t="s">
        <v>2970</v>
      </c>
      <c r="N1318" s="1" t="s">
        <v>38</v>
      </c>
      <c r="O1318" s="1" t="s">
        <v>123</v>
      </c>
      <c r="P1318" s="1">
        <v>4961016032416</v>
      </c>
      <c r="Q1318" s="1" t="s">
        <v>127</v>
      </c>
      <c r="R1318" s="1" t="s">
        <v>128</v>
      </c>
      <c r="S1318" s="1"/>
      <c r="U1318" s="1" t="s">
        <v>130</v>
      </c>
      <c r="V1318" s="1" t="s">
        <v>1433</v>
      </c>
      <c r="W1318" s="1" t="str">
        <f>VLOOKUP(Table1[[#This Row],[Obergruppe ATC-Code]],Tabelle3!$A$2:$B$100,2)</f>
        <v>ANTIBIOTIKA ZUR SYSTEMISCHEN ANWENDUNG</v>
      </c>
      <c r="X1318" s="1" t="str">
        <f xml:space="preserve"> LEFT(Table1[[#This Row],[Atc Code]],3)</f>
        <v>J01</v>
      </c>
    </row>
    <row r="1319" spans="1:24" ht="14.4">
      <c r="A1319" s="14">
        <v>786</v>
      </c>
      <c r="B1319" s="24">
        <v>6304528</v>
      </c>
      <c r="C1319" s="1">
        <v>2142798</v>
      </c>
      <c r="D1319" s="1" t="s">
        <v>102</v>
      </c>
      <c r="E1319" s="36">
        <v>45041</v>
      </c>
      <c r="F1319" s="36">
        <v>45219</v>
      </c>
      <c r="G1319" s="38">
        <f t="shared" si="20"/>
        <v>178</v>
      </c>
      <c r="H1319" s="5">
        <v>45041</v>
      </c>
      <c r="I1319" s="5">
        <v>45211</v>
      </c>
      <c r="J1319" s="1" t="s">
        <v>26</v>
      </c>
      <c r="K1319" s="1" t="s">
        <v>2983</v>
      </c>
      <c r="L1319" s="1" t="s">
        <v>2969</v>
      </c>
      <c r="M1319" s="1" t="s">
        <v>2970</v>
      </c>
      <c r="N1319" s="1" t="s">
        <v>38</v>
      </c>
      <c r="O1319" s="1" t="s">
        <v>52</v>
      </c>
      <c r="Q1319" s="1" t="s">
        <v>54</v>
      </c>
      <c r="R1319" s="1" t="s">
        <v>113</v>
      </c>
      <c r="S1319" s="1"/>
      <c r="U1319" s="1" t="s">
        <v>130</v>
      </c>
      <c r="V1319" s="1" t="s">
        <v>259</v>
      </c>
      <c r="W1319" s="1" t="str">
        <f>VLOOKUP(Table1[[#This Row],[Obergruppe ATC-Code]],Tabelle3!$A$2:$B$100,2)</f>
        <v>ANTIBIOTIKA ZUR SYSTEMISCHEN ANWENDUNG</v>
      </c>
      <c r="X1319" s="1" t="str">
        <f xml:space="preserve"> LEFT(Table1[[#This Row],[Atc Code]],3)</f>
        <v>J01</v>
      </c>
    </row>
    <row r="1320" spans="1:24" ht="14.4">
      <c r="A1320" s="14">
        <v>82</v>
      </c>
      <c r="B1320" s="24">
        <v>544697</v>
      </c>
      <c r="C1320" s="1">
        <v>2134927</v>
      </c>
      <c r="D1320" s="1" t="s">
        <v>102</v>
      </c>
      <c r="E1320" s="36">
        <v>44810</v>
      </c>
      <c r="F1320" s="36">
        <v>45212</v>
      </c>
      <c r="G1320" s="38">
        <f t="shared" si="20"/>
        <v>402</v>
      </c>
      <c r="H1320" s="5">
        <v>44810</v>
      </c>
      <c r="I1320" s="5">
        <v>45211</v>
      </c>
      <c r="J1320" s="1" t="s">
        <v>26</v>
      </c>
      <c r="K1320" s="1" t="s">
        <v>2999</v>
      </c>
      <c r="L1320" s="1" t="s">
        <v>2969</v>
      </c>
      <c r="M1320" s="1" t="s">
        <v>2970</v>
      </c>
      <c r="N1320" s="1" t="s">
        <v>38</v>
      </c>
      <c r="O1320" s="1" t="s">
        <v>91</v>
      </c>
      <c r="P1320" s="1" t="s">
        <v>92</v>
      </c>
      <c r="Q1320" s="1" t="s">
        <v>93</v>
      </c>
      <c r="R1320" s="1" t="s">
        <v>113</v>
      </c>
      <c r="S1320" s="1"/>
      <c r="U1320" s="1" t="s">
        <v>130</v>
      </c>
      <c r="V1320" s="1" t="s">
        <v>1433</v>
      </c>
      <c r="W1320" s="1" t="str">
        <f>VLOOKUP(Table1[[#This Row],[Obergruppe ATC-Code]],Tabelle3!$A$2:$B$100,2)</f>
        <v>ANTIBIOTIKA ZUR SYSTEMISCHEN ANWENDUNG</v>
      </c>
      <c r="X1320" s="1" t="str">
        <f xml:space="preserve"> LEFT(Table1[[#This Row],[Atc Code]],3)</f>
        <v>J01</v>
      </c>
    </row>
    <row r="1321" spans="1:24" ht="14.4">
      <c r="A1321" s="14">
        <v>1711</v>
      </c>
      <c r="B1321" s="24" t="s">
        <v>3000</v>
      </c>
      <c r="C1321" s="1">
        <v>2158919</v>
      </c>
      <c r="D1321" s="1" t="s">
        <v>102</v>
      </c>
      <c r="E1321" s="36">
        <v>44810</v>
      </c>
      <c r="F1321" s="36">
        <v>45236</v>
      </c>
      <c r="G1321" s="38">
        <f t="shared" si="20"/>
        <v>426</v>
      </c>
      <c r="H1321" s="5">
        <v>44810</v>
      </c>
      <c r="I1321" s="5">
        <v>45215</v>
      </c>
      <c r="J1321" s="1" t="s">
        <v>26</v>
      </c>
      <c r="K1321" s="1" t="s">
        <v>3001</v>
      </c>
      <c r="L1321" s="1" t="s">
        <v>2969</v>
      </c>
      <c r="M1321" s="1" t="s">
        <v>2970</v>
      </c>
      <c r="N1321" s="1" t="s">
        <v>38</v>
      </c>
      <c r="O1321" s="1" t="s">
        <v>52</v>
      </c>
      <c r="P1321" s="1" t="s">
        <v>53</v>
      </c>
      <c r="Q1321" s="1" t="s">
        <v>54</v>
      </c>
      <c r="R1321" s="1" t="s">
        <v>113</v>
      </c>
      <c r="S1321" s="1"/>
      <c r="U1321" s="1" t="s">
        <v>130</v>
      </c>
      <c r="V1321" s="1" t="s">
        <v>259</v>
      </c>
      <c r="W1321" s="1" t="str">
        <f>VLOOKUP(Table1[[#This Row],[Obergruppe ATC-Code]],Tabelle3!$A$2:$B$100,2)</f>
        <v>ANTIBIOTIKA ZUR SYSTEMISCHEN ANWENDUNG</v>
      </c>
      <c r="X1321" s="1" t="str">
        <f xml:space="preserve"> LEFT(Table1[[#This Row],[Atc Code]],3)</f>
        <v>J01</v>
      </c>
    </row>
    <row r="1322" spans="1:24" ht="14.4">
      <c r="A1322" s="14">
        <v>2427</v>
      </c>
      <c r="B1322" s="24" t="s">
        <v>3002</v>
      </c>
      <c r="C1322" s="1">
        <v>2176292</v>
      </c>
      <c r="D1322" s="1" t="s">
        <v>25</v>
      </c>
      <c r="E1322" s="36">
        <v>43891</v>
      </c>
      <c r="F1322" s="36">
        <v>44012</v>
      </c>
      <c r="G1322" s="38">
        <f t="shared" si="20"/>
        <v>121</v>
      </c>
      <c r="H1322" s="5">
        <v>43917</v>
      </c>
      <c r="I1322" s="5">
        <v>44000</v>
      </c>
      <c r="J1322" s="1" t="s">
        <v>26</v>
      </c>
      <c r="K1322" s="1" t="s">
        <v>3003</v>
      </c>
      <c r="L1322" s="1" t="s">
        <v>3004</v>
      </c>
      <c r="M1322" s="1" t="s">
        <v>3005</v>
      </c>
      <c r="N1322" s="1" t="s">
        <v>30</v>
      </c>
      <c r="O1322" s="1" t="s">
        <v>45</v>
      </c>
      <c r="P1322" s="1" t="s">
        <v>104</v>
      </c>
      <c r="Q1322" s="1" t="s">
        <v>105</v>
      </c>
      <c r="R1322" s="1" t="s">
        <v>33</v>
      </c>
      <c r="S1322" s="1"/>
      <c r="U1322" s="1" t="s">
        <v>35</v>
      </c>
      <c r="V1322" s="1" t="s">
        <v>99</v>
      </c>
      <c r="W1322" s="1" t="str">
        <f>VLOOKUP(Table1[[#This Row],[Obergruppe ATC-Code]],Tabelle3!$A$2:$B$100,2)</f>
        <v>ANTIBIOTIKA ZUR SYSTEMISCHEN ANWENDUNG</v>
      </c>
      <c r="X1322" s="1" t="str">
        <f xml:space="preserve"> LEFT(Table1[[#This Row],[Atc Code]],3)</f>
        <v>J01</v>
      </c>
    </row>
    <row r="1323" spans="1:24" ht="14.4">
      <c r="A1323" s="14">
        <v>593</v>
      </c>
      <c r="B1323" s="24">
        <v>3751764</v>
      </c>
      <c r="C1323" s="1">
        <v>2110058</v>
      </c>
      <c r="D1323" s="1" t="s">
        <v>25</v>
      </c>
      <c r="E1323" s="36">
        <v>44516</v>
      </c>
      <c r="F1323" s="36">
        <v>44602</v>
      </c>
      <c r="G1323" s="38">
        <f t="shared" si="20"/>
        <v>86</v>
      </c>
      <c r="H1323" s="5">
        <v>44517</v>
      </c>
      <c r="I1323" s="5">
        <v>44602</v>
      </c>
      <c r="J1323" s="1" t="s">
        <v>26</v>
      </c>
      <c r="K1323" s="1" t="s">
        <v>3006</v>
      </c>
      <c r="L1323" s="1" t="s">
        <v>3004</v>
      </c>
      <c r="M1323" s="1" t="s">
        <v>3007</v>
      </c>
      <c r="N1323" s="1" t="s">
        <v>30</v>
      </c>
      <c r="O1323" s="1" t="s">
        <v>329</v>
      </c>
      <c r="P1323" s="1" t="s">
        <v>1153</v>
      </c>
      <c r="Q1323" s="1" t="s">
        <v>331</v>
      </c>
      <c r="R1323" s="1" t="s">
        <v>26</v>
      </c>
      <c r="S1323" s="1"/>
      <c r="U1323" s="1" t="s">
        <v>35</v>
      </c>
      <c r="V1323" s="1" t="s">
        <v>259</v>
      </c>
      <c r="W1323" s="1" t="str">
        <f>VLOOKUP(Table1[[#This Row],[Obergruppe ATC-Code]],Tabelle3!$A$2:$B$100,2)</f>
        <v>ANTIBIOTIKA ZUR SYSTEMISCHEN ANWENDUNG</v>
      </c>
      <c r="X1323" s="1" t="str">
        <f xml:space="preserve"> LEFT(Table1[[#This Row],[Atc Code]],3)</f>
        <v>J01</v>
      </c>
    </row>
    <row r="1324" spans="1:24" ht="14.4">
      <c r="A1324" s="14">
        <v>2076</v>
      </c>
      <c r="B1324" s="24" t="s">
        <v>3008</v>
      </c>
      <c r="C1324" s="1">
        <v>2110057</v>
      </c>
      <c r="D1324" s="1" t="s">
        <v>25</v>
      </c>
      <c r="E1324" s="36">
        <v>44666</v>
      </c>
      <c r="F1324" s="36">
        <v>44713</v>
      </c>
      <c r="G1324" s="38">
        <f t="shared" si="20"/>
        <v>47</v>
      </c>
      <c r="H1324" s="5">
        <v>44663</v>
      </c>
      <c r="I1324" s="5">
        <v>44714</v>
      </c>
      <c r="J1324" s="1" t="s">
        <v>26</v>
      </c>
      <c r="K1324" s="1" t="s">
        <v>3006</v>
      </c>
      <c r="L1324" s="1" t="s">
        <v>3004</v>
      </c>
      <c r="M1324" s="1" t="s">
        <v>3005</v>
      </c>
      <c r="N1324" s="1" t="s">
        <v>38</v>
      </c>
      <c r="O1324" s="1" t="s">
        <v>329</v>
      </c>
      <c r="P1324" s="1" t="s">
        <v>330</v>
      </c>
      <c r="Q1324" s="1" t="s">
        <v>331</v>
      </c>
      <c r="R1324" s="1" t="s">
        <v>26</v>
      </c>
      <c r="S1324" s="1" t="s">
        <v>3009</v>
      </c>
      <c r="T1324" s="1" t="s">
        <v>3010</v>
      </c>
      <c r="U1324" s="1" t="s">
        <v>35</v>
      </c>
      <c r="V1324" s="1" t="s">
        <v>99</v>
      </c>
      <c r="W1324" s="1" t="str">
        <f>VLOOKUP(Table1[[#This Row],[Obergruppe ATC-Code]],Tabelle3!$A$2:$B$100,2)</f>
        <v>ANTIBIOTIKA ZUR SYSTEMISCHEN ANWENDUNG</v>
      </c>
      <c r="X1324" s="1" t="str">
        <f xml:space="preserve"> LEFT(Table1[[#This Row],[Atc Code]],3)</f>
        <v>J01</v>
      </c>
    </row>
    <row r="1325" spans="1:24" ht="14.4">
      <c r="A1325" s="14">
        <v>2075</v>
      </c>
      <c r="B1325" s="24" t="s">
        <v>3008</v>
      </c>
      <c r="C1325" s="1">
        <v>2110057</v>
      </c>
      <c r="D1325" s="1" t="s">
        <v>25</v>
      </c>
      <c r="E1325" s="36">
        <v>44713</v>
      </c>
      <c r="F1325" s="36">
        <v>45030</v>
      </c>
      <c r="G1325" s="38">
        <f t="shared" si="20"/>
        <v>317</v>
      </c>
      <c r="H1325" s="5">
        <v>44714</v>
      </c>
      <c r="I1325" s="5">
        <v>45033</v>
      </c>
      <c r="J1325" s="1" t="s">
        <v>41</v>
      </c>
      <c r="K1325" s="1" t="s">
        <v>3006</v>
      </c>
      <c r="L1325" s="1" t="s">
        <v>3004</v>
      </c>
      <c r="M1325" s="1" t="s">
        <v>3005</v>
      </c>
      <c r="N1325" s="1" t="s">
        <v>30</v>
      </c>
      <c r="O1325" s="1" t="s">
        <v>329</v>
      </c>
      <c r="P1325" s="1" t="s">
        <v>330</v>
      </c>
      <c r="Q1325" s="1" t="s">
        <v>331</v>
      </c>
      <c r="R1325" s="1" t="s">
        <v>48</v>
      </c>
      <c r="S1325" s="1" t="s">
        <v>3011</v>
      </c>
      <c r="T1325" s="1" t="s">
        <v>3010</v>
      </c>
      <c r="U1325" s="1" t="s">
        <v>35</v>
      </c>
      <c r="V1325" s="1" t="s">
        <v>99</v>
      </c>
      <c r="W1325" s="1" t="str">
        <f>VLOOKUP(Table1[[#This Row],[Obergruppe ATC-Code]],Tabelle3!$A$2:$B$100,2)</f>
        <v>ANTIBIOTIKA ZUR SYSTEMISCHEN ANWENDUNG</v>
      </c>
      <c r="X1325" s="1" t="str">
        <f xml:space="preserve"> LEFT(Table1[[#This Row],[Atc Code]],3)</f>
        <v>J01</v>
      </c>
    </row>
    <row r="1326" spans="1:24" ht="14.4">
      <c r="A1326" s="14">
        <v>592</v>
      </c>
      <c r="B1326" s="24">
        <v>3751764</v>
      </c>
      <c r="C1326" s="1">
        <v>2110058</v>
      </c>
      <c r="D1326" s="1" t="s">
        <v>102</v>
      </c>
      <c r="E1326" s="36">
        <v>44614</v>
      </c>
      <c r="F1326" s="36">
        <v>45838</v>
      </c>
      <c r="G1326" s="38">
        <f t="shared" si="20"/>
        <v>1224</v>
      </c>
      <c r="H1326" s="5">
        <v>44658</v>
      </c>
      <c r="I1326" s="5">
        <v>45049</v>
      </c>
      <c r="J1326" s="1" t="s">
        <v>26</v>
      </c>
      <c r="K1326" s="1" t="s">
        <v>3006</v>
      </c>
      <c r="L1326" s="1" t="s">
        <v>3004</v>
      </c>
      <c r="M1326" s="1" t="s">
        <v>3007</v>
      </c>
      <c r="N1326" s="1" t="s">
        <v>30</v>
      </c>
      <c r="O1326" s="1" t="s">
        <v>329</v>
      </c>
      <c r="P1326" s="1" t="s">
        <v>330</v>
      </c>
      <c r="Q1326" s="1" t="s">
        <v>331</v>
      </c>
      <c r="R1326" s="1" t="s">
        <v>26</v>
      </c>
      <c r="S1326" s="1"/>
      <c r="U1326" s="1" t="s">
        <v>35</v>
      </c>
      <c r="V1326" s="1" t="s">
        <v>259</v>
      </c>
      <c r="W1326" s="1" t="str">
        <f>VLOOKUP(Table1[[#This Row],[Obergruppe ATC-Code]],Tabelle3!$A$2:$B$100,2)</f>
        <v>ANTIBIOTIKA ZUR SYSTEMISCHEN ANWENDUNG</v>
      </c>
      <c r="X1326" s="1" t="str">
        <f xml:space="preserve"> LEFT(Table1[[#This Row],[Atc Code]],3)</f>
        <v>J01</v>
      </c>
    </row>
    <row r="1327" spans="1:24" ht="14.4">
      <c r="A1327" s="14">
        <v>2074</v>
      </c>
      <c r="B1327" s="24" t="s">
        <v>3008</v>
      </c>
      <c r="C1327" s="1">
        <v>2110057</v>
      </c>
      <c r="D1327" s="1" t="s">
        <v>25</v>
      </c>
      <c r="E1327" s="36">
        <v>45061</v>
      </c>
      <c r="F1327" s="36">
        <v>45195</v>
      </c>
      <c r="G1327" s="38">
        <f t="shared" si="20"/>
        <v>134</v>
      </c>
      <c r="H1327" s="5">
        <v>45062</v>
      </c>
      <c r="I1327" s="5">
        <v>45196</v>
      </c>
      <c r="J1327" s="1" t="s">
        <v>26</v>
      </c>
      <c r="K1327" s="1" t="s">
        <v>3006</v>
      </c>
      <c r="L1327" s="1" t="s">
        <v>3004</v>
      </c>
      <c r="M1327" s="1" t="s">
        <v>3005</v>
      </c>
      <c r="N1327" s="1" t="s">
        <v>30</v>
      </c>
      <c r="O1327" s="1" t="s">
        <v>329</v>
      </c>
      <c r="P1327" s="1" t="s">
        <v>1153</v>
      </c>
      <c r="Q1327" s="1" t="s">
        <v>331</v>
      </c>
      <c r="R1327" s="1" t="s">
        <v>26</v>
      </c>
      <c r="S1327" s="1" t="s">
        <v>3012</v>
      </c>
      <c r="T1327" s="1" t="s">
        <v>3010</v>
      </c>
      <c r="U1327" s="1" t="s">
        <v>35</v>
      </c>
      <c r="V1327" s="1" t="s">
        <v>99</v>
      </c>
      <c r="W1327" s="1" t="str">
        <f>VLOOKUP(Table1[[#This Row],[Obergruppe ATC-Code]],Tabelle3!$A$2:$B$100,2)</f>
        <v>ANTIBIOTIKA ZUR SYSTEMISCHEN ANWENDUNG</v>
      </c>
      <c r="X1327" s="1" t="str">
        <f xml:space="preserve"> LEFT(Table1[[#This Row],[Atc Code]],3)</f>
        <v>J01</v>
      </c>
    </row>
    <row r="1328" spans="1:24" ht="14.4">
      <c r="A1328" s="14">
        <v>819</v>
      </c>
      <c r="B1328" s="25">
        <v>6805472</v>
      </c>
      <c r="C1328" s="1">
        <v>2166530</v>
      </c>
      <c r="D1328" s="1" t="s">
        <v>25</v>
      </c>
      <c r="E1328" s="36">
        <v>42767</v>
      </c>
      <c r="F1328" s="36">
        <v>43159</v>
      </c>
      <c r="G1328" s="38">
        <f t="shared" si="20"/>
        <v>392</v>
      </c>
      <c r="H1328" s="5">
        <v>42760</v>
      </c>
      <c r="I1328" s="5">
        <v>43144</v>
      </c>
      <c r="J1328" s="1" t="s">
        <v>41</v>
      </c>
      <c r="K1328" s="1" t="s">
        <v>3013</v>
      </c>
      <c r="L1328" s="1" t="s">
        <v>3014</v>
      </c>
      <c r="M1328" s="1" t="s">
        <v>3015</v>
      </c>
      <c r="N1328" s="1" t="s">
        <v>30</v>
      </c>
      <c r="O1328" s="1" t="s">
        <v>1035</v>
      </c>
      <c r="P1328" s="1" t="s">
        <v>2874</v>
      </c>
      <c r="Q1328" s="1" t="s">
        <v>647</v>
      </c>
      <c r="R1328" s="1" t="s">
        <v>26</v>
      </c>
      <c r="S1328" s="1"/>
      <c r="U1328" s="1" t="s">
        <v>35</v>
      </c>
      <c r="V1328" s="1" t="s">
        <v>154</v>
      </c>
      <c r="W1328" s="1" t="str">
        <f>VLOOKUP(Table1[[#This Row],[Obergruppe ATC-Code]],Tabelle3!$A$2:$B$100,2)</f>
        <v>ANTIBIOTIKA ZUR SYSTEMISCHEN ANWENDUNG</v>
      </c>
      <c r="X1328" s="1" t="str">
        <f xml:space="preserve"> LEFT(Table1[[#This Row],[Atc Code]],3)</f>
        <v>J01</v>
      </c>
    </row>
    <row r="1329" spans="1:24" ht="14.4">
      <c r="A1329" s="14">
        <v>581</v>
      </c>
      <c r="B1329" s="4">
        <v>3719559</v>
      </c>
      <c r="C1329" s="1">
        <v>2167689</v>
      </c>
      <c r="D1329" s="1" t="s">
        <v>25</v>
      </c>
      <c r="E1329" s="36">
        <v>43101</v>
      </c>
      <c r="F1329" s="36">
        <v>43281</v>
      </c>
      <c r="G1329" s="38">
        <f t="shared" si="20"/>
        <v>180</v>
      </c>
      <c r="H1329" s="5">
        <v>42795</v>
      </c>
      <c r="I1329" s="5">
        <v>43273</v>
      </c>
      <c r="J1329" s="1" t="s">
        <v>41</v>
      </c>
      <c r="K1329" s="1" t="s">
        <v>3016</v>
      </c>
      <c r="L1329" s="1" t="s">
        <v>3014</v>
      </c>
      <c r="M1329" s="1" t="s">
        <v>3015</v>
      </c>
      <c r="N1329" s="1" t="s">
        <v>38</v>
      </c>
      <c r="O1329" s="1" t="s">
        <v>3017</v>
      </c>
      <c r="P1329" s="1" t="s">
        <v>2959</v>
      </c>
      <c r="Q1329" s="1" t="s">
        <v>647</v>
      </c>
      <c r="R1329" s="1" t="s">
        <v>165</v>
      </c>
      <c r="S1329" s="1"/>
      <c r="U1329" s="1" t="s">
        <v>57</v>
      </c>
      <c r="V1329" s="1" t="s">
        <v>787</v>
      </c>
      <c r="W1329" s="1" t="str">
        <f>VLOOKUP(Table1[[#This Row],[Obergruppe ATC-Code]],Tabelle3!$A$2:$B$100,2)</f>
        <v>ANTIBIOTIKA ZUR SYSTEMISCHEN ANWENDUNG</v>
      </c>
      <c r="X1329" s="1" t="str">
        <f xml:space="preserve"> LEFT(Table1[[#This Row],[Atc Code]],3)</f>
        <v>J01</v>
      </c>
    </row>
    <row r="1330" spans="1:24" ht="15.6">
      <c r="A1330" s="14">
        <v>145</v>
      </c>
      <c r="B1330" s="15">
        <v>903021</v>
      </c>
      <c r="C1330" s="1">
        <v>2167690</v>
      </c>
      <c r="D1330" s="1" t="s">
        <v>25</v>
      </c>
      <c r="E1330" s="36">
        <v>43101</v>
      </c>
      <c r="F1330" s="36">
        <v>43281</v>
      </c>
      <c r="G1330" s="38">
        <f t="shared" si="20"/>
        <v>180</v>
      </c>
      <c r="H1330" s="5">
        <v>42795</v>
      </c>
      <c r="I1330" s="5">
        <v>43273</v>
      </c>
      <c r="J1330" s="1" t="s">
        <v>41</v>
      </c>
      <c r="K1330" s="1" t="s">
        <v>3018</v>
      </c>
      <c r="L1330" s="1" t="s">
        <v>3014</v>
      </c>
      <c r="M1330" s="1" t="s">
        <v>3015</v>
      </c>
      <c r="N1330" s="1" t="s">
        <v>38</v>
      </c>
      <c r="O1330" s="1" t="s">
        <v>3017</v>
      </c>
      <c r="P1330" s="1" t="s">
        <v>2959</v>
      </c>
      <c r="Q1330" s="1" t="s">
        <v>647</v>
      </c>
      <c r="R1330" s="1" t="s">
        <v>165</v>
      </c>
      <c r="S1330" s="1"/>
      <c r="U1330" s="1" t="s">
        <v>57</v>
      </c>
      <c r="V1330" s="1" t="s">
        <v>787</v>
      </c>
      <c r="W1330" s="1" t="str">
        <f>VLOOKUP(Table1[[#This Row],[Obergruppe ATC-Code]],Tabelle3!$A$2:$B$100,2)</f>
        <v>ANTIBIOTIKA ZUR SYSTEMISCHEN ANWENDUNG</v>
      </c>
      <c r="X1330" s="1" t="str">
        <f xml:space="preserve"> LEFT(Table1[[#This Row],[Atc Code]],3)</f>
        <v>J01</v>
      </c>
    </row>
    <row r="1331" spans="1:24" ht="14.4">
      <c r="A1331" s="14">
        <v>818</v>
      </c>
      <c r="B1331" s="25">
        <v>6805472</v>
      </c>
      <c r="C1331" s="1">
        <v>2166530</v>
      </c>
      <c r="D1331" s="1" t="s">
        <v>25</v>
      </c>
      <c r="E1331" s="36">
        <v>43282</v>
      </c>
      <c r="F1331" s="36">
        <v>43434</v>
      </c>
      <c r="G1331" s="38">
        <f t="shared" si="20"/>
        <v>152</v>
      </c>
      <c r="H1331" s="5">
        <v>43277</v>
      </c>
      <c r="I1331" s="5">
        <v>43402</v>
      </c>
      <c r="J1331" s="1" t="s">
        <v>26</v>
      </c>
      <c r="K1331" s="1" t="s">
        <v>3013</v>
      </c>
      <c r="L1331" s="1" t="s">
        <v>3014</v>
      </c>
      <c r="M1331" s="1" t="s">
        <v>3015</v>
      </c>
      <c r="N1331" s="1" t="s">
        <v>30</v>
      </c>
      <c r="O1331" s="1" t="s">
        <v>1035</v>
      </c>
      <c r="P1331" s="1" t="s">
        <v>55</v>
      </c>
      <c r="Q1331" s="1" t="s">
        <v>47</v>
      </c>
      <c r="R1331" s="1" t="s">
        <v>33</v>
      </c>
      <c r="S1331" s="1"/>
      <c r="U1331" s="1" t="s">
        <v>57</v>
      </c>
      <c r="V1331" s="1" t="s">
        <v>154</v>
      </c>
      <c r="W1331" s="1" t="str">
        <f>VLOOKUP(Table1[[#This Row],[Obergruppe ATC-Code]],Tabelle3!$A$2:$B$100,2)</f>
        <v>ANTIBIOTIKA ZUR SYSTEMISCHEN ANWENDUNG</v>
      </c>
      <c r="X1331" s="1" t="str">
        <f xml:space="preserve"> LEFT(Table1[[#This Row],[Atc Code]],3)</f>
        <v>J01</v>
      </c>
    </row>
    <row r="1332" spans="1:24" ht="14.4">
      <c r="A1332" s="14">
        <v>1249</v>
      </c>
      <c r="B1332" s="24">
        <v>11516617</v>
      </c>
      <c r="C1332" s="1">
        <v>2166278</v>
      </c>
      <c r="D1332" s="1" t="s">
        <v>25</v>
      </c>
      <c r="E1332" s="36">
        <v>42979</v>
      </c>
      <c r="F1332" s="36">
        <v>43465</v>
      </c>
      <c r="G1332" s="38">
        <f t="shared" si="20"/>
        <v>486</v>
      </c>
      <c r="H1332" s="5">
        <v>42989</v>
      </c>
      <c r="I1332" s="5">
        <v>43444</v>
      </c>
      <c r="J1332" s="1" t="s">
        <v>26</v>
      </c>
      <c r="K1332" s="1" t="s">
        <v>3019</v>
      </c>
      <c r="L1332" s="1" t="s">
        <v>3014</v>
      </c>
      <c r="M1332" s="1" t="s">
        <v>3015</v>
      </c>
      <c r="N1332" s="1" t="s">
        <v>30</v>
      </c>
      <c r="O1332" s="1" t="s">
        <v>91</v>
      </c>
      <c r="P1332" s="1" t="s">
        <v>374</v>
      </c>
      <c r="Q1332" s="1" t="s">
        <v>375</v>
      </c>
      <c r="R1332" s="1" t="s">
        <v>33</v>
      </c>
      <c r="S1332" s="1"/>
      <c r="U1332" s="1" t="s">
        <v>35</v>
      </c>
      <c r="V1332" s="1" t="s">
        <v>154</v>
      </c>
      <c r="W1332" s="1" t="str">
        <f>VLOOKUP(Table1[[#This Row],[Obergruppe ATC-Code]],Tabelle3!$A$2:$B$100,2)</f>
        <v>ANTIBIOTIKA ZUR SYSTEMISCHEN ANWENDUNG</v>
      </c>
      <c r="X1332" s="1" t="str">
        <f xml:space="preserve"> LEFT(Table1[[#This Row],[Atc Code]],3)</f>
        <v>J01</v>
      </c>
    </row>
    <row r="1333" spans="1:24" ht="14.4">
      <c r="A1333" s="14">
        <v>2608</v>
      </c>
      <c r="B1333" s="24" t="s">
        <v>3020</v>
      </c>
      <c r="C1333" s="1">
        <v>2188720</v>
      </c>
      <c r="D1333" s="1" t="s">
        <v>25</v>
      </c>
      <c r="E1333" s="36">
        <v>43435</v>
      </c>
      <c r="F1333" s="36">
        <v>43465</v>
      </c>
      <c r="G1333" s="38">
        <f t="shared" si="20"/>
        <v>30</v>
      </c>
      <c r="H1333" s="5">
        <v>43438</v>
      </c>
      <c r="I1333" s="5">
        <v>43467</v>
      </c>
      <c r="J1333" s="1" t="s">
        <v>41</v>
      </c>
      <c r="K1333" s="1" t="s">
        <v>3021</v>
      </c>
      <c r="L1333" s="1" t="s">
        <v>3014</v>
      </c>
      <c r="M1333" s="1" t="s">
        <v>3015</v>
      </c>
      <c r="N1333" s="1" t="s">
        <v>30</v>
      </c>
      <c r="O1333" s="1" t="s">
        <v>2850</v>
      </c>
      <c r="P1333" s="1" t="s">
        <v>2856</v>
      </c>
      <c r="Q1333" s="1" t="s">
        <v>2857</v>
      </c>
      <c r="R1333" s="1" t="s">
        <v>165</v>
      </c>
      <c r="S1333" s="1"/>
      <c r="U1333" s="1" t="s">
        <v>57</v>
      </c>
      <c r="V1333" s="1" t="s">
        <v>154</v>
      </c>
      <c r="W1333" s="1" t="str">
        <f>VLOOKUP(Table1[[#This Row],[Obergruppe ATC-Code]],Tabelle3!$A$2:$B$100,2)</f>
        <v>ANTIBIOTIKA ZUR SYSTEMISCHEN ANWENDUNG</v>
      </c>
      <c r="X1333" s="1" t="str">
        <f xml:space="preserve"> LEFT(Table1[[#This Row],[Atc Code]],3)</f>
        <v>J01</v>
      </c>
    </row>
    <row r="1334" spans="1:24" ht="14.4">
      <c r="A1334" s="14">
        <v>578</v>
      </c>
      <c r="B1334" s="24">
        <v>3719542</v>
      </c>
      <c r="C1334" s="1">
        <v>2167720</v>
      </c>
      <c r="D1334" s="1" t="s">
        <v>25</v>
      </c>
      <c r="E1334" s="36">
        <v>43617</v>
      </c>
      <c r="F1334" s="36">
        <v>43677</v>
      </c>
      <c r="G1334" s="38">
        <f t="shared" si="20"/>
        <v>60</v>
      </c>
      <c r="H1334" s="5">
        <v>43642</v>
      </c>
      <c r="I1334" s="5">
        <v>43650</v>
      </c>
      <c r="J1334" s="1" t="s">
        <v>41</v>
      </c>
      <c r="K1334" s="1" t="s">
        <v>3022</v>
      </c>
      <c r="L1334" s="1" t="s">
        <v>3014</v>
      </c>
      <c r="M1334" s="1" t="s">
        <v>3015</v>
      </c>
      <c r="N1334" s="1" t="s">
        <v>30</v>
      </c>
      <c r="O1334" s="1" t="s">
        <v>220</v>
      </c>
      <c r="P1334" s="1" t="s">
        <v>2793</v>
      </c>
      <c r="Q1334" s="1" t="s">
        <v>958</v>
      </c>
      <c r="R1334" s="1" t="s">
        <v>26</v>
      </c>
      <c r="S1334" s="1"/>
      <c r="T1334" s="1" t="s">
        <v>3023</v>
      </c>
      <c r="U1334" s="1" t="s">
        <v>35</v>
      </c>
      <c r="V1334" s="1" t="s">
        <v>154</v>
      </c>
      <c r="W1334" s="1" t="str">
        <f>VLOOKUP(Table1[[#This Row],[Obergruppe ATC-Code]],Tabelle3!$A$2:$B$100,2)</f>
        <v>ANTIBIOTIKA ZUR SYSTEMISCHEN ANWENDUNG</v>
      </c>
      <c r="X1334" s="1" t="str">
        <f xml:space="preserve"> LEFT(Table1[[#This Row],[Atc Code]],3)</f>
        <v>J01</v>
      </c>
    </row>
    <row r="1335" spans="1:24" ht="14.4">
      <c r="A1335" s="14">
        <v>2752</v>
      </c>
      <c r="B1335" s="24" t="s">
        <v>3024</v>
      </c>
      <c r="C1335" s="1">
        <v>2173128</v>
      </c>
      <c r="D1335" s="1" t="s">
        <v>25</v>
      </c>
      <c r="E1335" s="36">
        <v>43678</v>
      </c>
      <c r="F1335" s="36">
        <v>43769</v>
      </c>
      <c r="G1335" s="38">
        <f t="shared" si="20"/>
        <v>91</v>
      </c>
      <c r="H1335" s="5">
        <v>43691</v>
      </c>
      <c r="I1335" s="5">
        <v>43763</v>
      </c>
      <c r="J1335" s="1" t="s">
        <v>41</v>
      </c>
      <c r="K1335" s="1" t="s">
        <v>3025</v>
      </c>
      <c r="L1335" s="1" t="s">
        <v>3014</v>
      </c>
      <c r="M1335" s="1" t="s">
        <v>3015</v>
      </c>
      <c r="N1335" s="1" t="s">
        <v>30</v>
      </c>
      <c r="O1335" s="1" t="s">
        <v>1284</v>
      </c>
      <c r="P1335" s="1">
        <v>895589090</v>
      </c>
      <c r="Q1335" s="1" t="s">
        <v>1286</v>
      </c>
      <c r="R1335" s="1" t="s">
        <v>26</v>
      </c>
      <c r="S1335" s="1"/>
      <c r="U1335" s="1" t="s">
        <v>35</v>
      </c>
      <c r="V1335" s="1" t="s">
        <v>154</v>
      </c>
      <c r="W1335" s="1" t="str">
        <f>VLOOKUP(Table1[[#This Row],[Obergruppe ATC-Code]],Tabelle3!$A$2:$B$100,2)</f>
        <v>ANTIBIOTIKA ZUR SYSTEMISCHEN ANWENDUNG</v>
      </c>
      <c r="X1335" s="1" t="str">
        <f xml:space="preserve"> LEFT(Table1[[#This Row],[Atc Code]],3)</f>
        <v>J01</v>
      </c>
    </row>
    <row r="1336" spans="1:24" ht="14.4">
      <c r="A1336" s="14">
        <v>817</v>
      </c>
      <c r="B1336" s="25">
        <v>6805472</v>
      </c>
      <c r="C1336" s="1">
        <v>2166530</v>
      </c>
      <c r="D1336" s="1" t="s">
        <v>25</v>
      </c>
      <c r="E1336" s="36">
        <v>43435</v>
      </c>
      <c r="F1336" s="36">
        <v>43830</v>
      </c>
      <c r="G1336" s="38">
        <f t="shared" si="20"/>
        <v>395</v>
      </c>
      <c r="H1336" s="5">
        <v>43454</v>
      </c>
      <c r="I1336" s="5">
        <v>43837</v>
      </c>
      <c r="J1336" s="1" t="s">
        <v>41</v>
      </c>
      <c r="K1336" s="1" t="s">
        <v>3013</v>
      </c>
      <c r="L1336" s="1" t="s">
        <v>3014</v>
      </c>
      <c r="M1336" s="1" t="s">
        <v>3015</v>
      </c>
      <c r="N1336" s="1" t="s">
        <v>30</v>
      </c>
      <c r="O1336" s="1" t="s">
        <v>1035</v>
      </c>
      <c r="P1336" s="1" t="s">
        <v>55</v>
      </c>
      <c r="Q1336" s="1" t="s">
        <v>47</v>
      </c>
      <c r="R1336" s="1" t="s">
        <v>165</v>
      </c>
      <c r="S1336" s="1"/>
      <c r="U1336" s="1" t="s">
        <v>35</v>
      </c>
      <c r="V1336" s="1" t="s">
        <v>154</v>
      </c>
      <c r="W1336" s="1" t="str">
        <f>VLOOKUP(Table1[[#This Row],[Obergruppe ATC-Code]],Tabelle3!$A$2:$B$100,2)</f>
        <v>ANTIBIOTIKA ZUR SYSTEMISCHEN ANWENDUNG</v>
      </c>
      <c r="X1336" s="1" t="str">
        <f xml:space="preserve"> LEFT(Table1[[#This Row],[Atc Code]],3)</f>
        <v>J01</v>
      </c>
    </row>
    <row r="1337" spans="1:24" ht="14.4">
      <c r="A1337" s="14">
        <v>2607</v>
      </c>
      <c r="B1337" s="24" t="s">
        <v>3020</v>
      </c>
      <c r="C1337" s="1">
        <v>2188720</v>
      </c>
      <c r="D1337" s="1" t="s">
        <v>25</v>
      </c>
      <c r="E1337" s="36">
        <v>43800</v>
      </c>
      <c r="F1337" s="36">
        <v>43890</v>
      </c>
      <c r="G1337" s="38">
        <f t="shared" si="20"/>
        <v>90</v>
      </c>
      <c r="H1337" s="5">
        <v>43817</v>
      </c>
      <c r="I1337" s="5">
        <v>43868</v>
      </c>
      <c r="J1337" s="1" t="s">
        <v>26</v>
      </c>
      <c r="K1337" s="1" t="s">
        <v>3021</v>
      </c>
      <c r="L1337" s="1" t="s">
        <v>3014</v>
      </c>
      <c r="M1337" s="1" t="s">
        <v>3015</v>
      </c>
      <c r="N1337" s="1" t="s">
        <v>30</v>
      </c>
      <c r="O1337" s="1" t="s">
        <v>2850</v>
      </c>
      <c r="P1337" s="1" t="s">
        <v>2856</v>
      </c>
      <c r="Q1337" s="1" t="s">
        <v>2857</v>
      </c>
      <c r="R1337" s="1" t="s">
        <v>33</v>
      </c>
      <c r="S1337" s="1"/>
      <c r="U1337" s="1" t="s">
        <v>57</v>
      </c>
      <c r="V1337" s="1" t="s">
        <v>154</v>
      </c>
      <c r="W1337" s="1" t="str">
        <f>VLOOKUP(Table1[[#This Row],[Obergruppe ATC-Code]],Tabelle3!$A$2:$B$100,2)</f>
        <v>ANTIBIOTIKA ZUR SYSTEMISCHEN ANWENDUNG</v>
      </c>
      <c r="X1337" s="1" t="str">
        <f xml:space="preserve"> LEFT(Table1[[#This Row],[Atc Code]],3)</f>
        <v>J01</v>
      </c>
    </row>
    <row r="1338" spans="1:24" ht="14.4">
      <c r="A1338" s="14">
        <v>816</v>
      </c>
      <c r="B1338" s="25">
        <v>6805472</v>
      </c>
      <c r="C1338" s="1">
        <v>2166530</v>
      </c>
      <c r="D1338" s="1" t="s">
        <v>25</v>
      </c>
      <c r="E1338" s="36">
        <v>43891</v>
      </c>
      <c r="F1338" s="36">
        <v>44012</v>
      </c>
      <c r="G1338" s="38">
        <f t="shared" si="20"/>
        <v>121</v>
      </c>
      <c r="H1338" s="5">
        <v>43921</v>
      </c>
      <c r="I1338" s="5">
        <v>44000</v>
      </c>
      <c r="J1338" s="1" t="s">
        <v>26</v>
      </c>
      <c r="K1338" s="1" t="s">
        <v>3013</v>
      </c>
      <c r="L1338" s="1" t="s">
        <v>3014</v>
      </c>
      <c r="M1338" s="1" t="s">
        <v>3015</v>
      </c>
      <c r="N1338" s="1" t="s">
        <v>30</v>
      </c>
      <c r="O1338" s="1" t="s">
        <v>1035</v>
      </c>
      <c r="P1338" s="1" t="s">
        <v>104</v>
      </c>
      <c r="Q1338" s="1" t="s">
        <v>105</v>
      </c>
      <c r="R1338" s="1" t="s">
        <v>33</v>
      </c>
      <c r="S1338" s="1"/>
      <c r="U1338" s="1" t="s">
        <v>35</v>
      </c>
      <c r="V1338" s="1" t="s">
        <v>154</v>
      </c>
      <c r="W1338" s="1" t="str">
        <f>VLOOKUP(Table1[[#This Row],[Obergruppe ATC-Code]],Tabelle3!$A$2:$B$100,2)</f>
        <v>ANTIBIOTIKA ZUR SYSTEMISCHEN ANWENDUNG</v>
      </c>
      <c r="X1338" s="1" t="str">
        <f xml:space="preserve"> LEFT(Table1[[#This Row],[Atc Code]],3)</f>
        <v>J01</v>
      </c>
    </row>
    <row r="1339" spans="1:24" ht="14.4">
      <c r="A1339" s="14">
        <v>2751</v>
      </c>
      <c r="B1339" s="24" t="s">
        <v>3026</v>
      </c>
      <c r="C1339" s="1">
        <v>2173128</v>
      </c>
      <c r="D1339" s="1" t="s">
        <v>25</v>
      </c>
      <c r="E1339" s="36">
        <v>43891</v>
      </c>
      <c r="F1339" s="36">
        <v>44012</v>
      </c>
      <c r="G1339" s="38">
        <f t="shared" si="20"/>
        <v>121</v>
      </c>
      <c r="H1339" s="5">
        <v>43909</v>
      </c>
      <c r="I1339" s="5">
        <v>44015</v>
      </c>
      <c r="J1339" s="1" t="s">
        <v>41</v>
      </c>
      <c r="K1339" s="1" t="s">
        <v>3025</v>
      </c>
      <c r="L1339" s="1" t="s">
        <v>3014</v>
      </c>
      <c r="M1339" s="1" t="s">
        <v>3015</v>
      </c>
      <c r="N1339" s="1" t="s">
        <v>30</v>
      </c>
      <c r="O1339" s="1" t="s">
        <v>1284</v>
      </c>
      <c r="P1339" s="1">
        <v>895589090</v>
      </c>
      <c r="Q1339" s="1" t="s">
        <v>1286</v>
      </c>
      <c r="R1339" s="1" t="s">
        <v>26</v>
      </c>
      <c r="S1339" s="1"/>
      <c r="U1339" s="1" t="s">
        <v>35</v>
      </c>
      <c r="V1339" s="1" t="s">
        <v>154</v>
      </c>
      <c r="W1339" s="1" t="str">
        <f>VLOOKUP(Table1[[#This Row],[Obergruppe ATC-Code]],Tabelle3!$A$2:$B$100,2)</f>
        <v>ANTIBIOTIKA ZUR SYSTEMISCHEN ANWENDUNG</v>
      </c>
      <c r="X1339" s="1" t="str">
        <f xml:space="preserve"> LEFT(Table1[[#This Row],[Atc Code]],3)</f>
        <v>J01</v>
      </c>
    </row>
    <row r="1340" spans="1:24" ht="14.4">
      <c r="A1340" s="14">
        <v>2266</v>
      </c>
      <c r="B1340" s="24" t="s">
        <v>3027</v>
      </c>
      <c r="C1340" s="1">
        <v>2166530</v>
      </c>
      <c r="D1340" s="1" t="s">
        <v>25</v>
      </c>
      <c r="E1340" s="36">
        <v>43435</v>
      </c>
      <c r="F1340" s="36">
        <v>44348</v>
      </c>
      <c r="G1340" s="38">
        <f t="shared" si="20"/>
        <v>913</v>
      </c>
      <c r="H1340" s="5">
        <v>43453</v>
      </c>
      <c r="I1340" s="5">
        <v>44413</v>
      </c>
      <c r="J1340" s="1" t="s">
        <v>41</v>
      </c>
      <c r="K1340" s="1" t="s">
        <v>3013</v>
      </c>
      <c r="L1340" s="1" t="s">
        <v>3014</v>
      </c>
      <c r="M1340" s="1" t="s">
        <v>3015</v>
      </c>
      <c r="N1340" s="1" t="s">
        <v>30</v>
      </c>
      <c r="O1340" s="1" t="s">
        <v>1035</v>
      </c>
      <c r="P1340" s="1" t="s">
        <v>55</v>
      </c>
      <c r="Q1340" s="1" t="s">
        <v>47</v>
      </c>
      <c r="R1340" s="1" t="s">
        <v>165</v>
      </c>
      <c r="S1340" s="1"/>
      <c r="U1340" s="1" t="s">
        <v>35</v>
      </c>
      <c r="V1340" s="1" t="s">
        <v>154</v>
      </c>
      <c r="W1340" s="1" t="str">
        <f>VLOOKUP(Table1[[#This Row],[Obergruppe ATC-Code]],Tabelle3!$A$2:$B$100,2)</f>
        <v>ANTIBIOTIKA ZUR SYSTEMISCHEN ANWENDUNG</v>
      </c>
      <c r="X1340" s="1" t="str">
        <f xml:space="preserve"> LEFT(Table1[[#This Row],[Atc Code]],3)</f>
        <v>J01</v>
      </c>
    </row>
    <row r="1341" spans="1:24" ht="14.4">
      <c r="A1341" s="14">
        <v>1252</v>
      </c>
      <c r="B1341" s="24">
        <v>11516617</v>
      </c>
      <c r="C1341" s="1">
        <v>2166278</v>
      </c>
      <c r="D1341" s="1" t="s">
        <v>25</v>
      </c>
      <c r="E1341" s="36">
        <v>44386</v>
      </c>
      <c r="F1341" s="36">
        <v>44424</v>
      </c>
      <c r="G1341" s="38">
        <f t="shared" si="20"/>
        <v>38</v>
      </c>
      <c r="H1341" s="5">
        <v>44386</v>
      </c>
      <c r="I1341" s="5">
        <v>44435</v>
      </c>
      <c r="J1341" s="1" t="s">
        <v>26</v>
      </c>
      <c r="K1341" s="1" t="s">
        <v>3019</v>
      </c>
      <c r="L1341" s="1" t="s">
        <v>3014</v>
      </c>
      <c r="M1341" s="1" t="s">
        <v>3015</v>
      </c>
      <c r="N1341" s="1" t="s">
        <v>30</v>
      </c>
      <c r="O1341" s="1" t="s">
        <v>91</v>
      </c>
      <c r="P1341" s="1" t="s">
        <v>92</v>
      </c>
      <c r="Q1341" s="1" t="s">
        <v>93</v>
      </c>
      <c r="R1341" s="1" t="s">
        <v>26</v>
      </c>
      <c r="S1341" s="1"/>
      <c r="U1341" s="1" t="s">
        <v>130</v>
      </c>
      <c r="V1341" s="1" t="s">
        <v>154</v>
      </c>
      <c r="W1341" s="1" t="str">
        <f>VLOOKUP(Table1[[#This Row],[Obergruppe ATC-Code]],Tabelle3!$A$2:$B$100,2)</f>
        <v>ANTIBIOTIKA ZUR SYSTEMISCHEN ANWENDUNG</v>
      </c>
      <c r="X1341" s="1" t="str">
        <f xml:space="preserve"> LEFT(Table1[[#This Row],[Atc Code]],3)</f>
        <v>J01</v>
      </c>
    </row>
    <row r="1342" spans="1:24" ht="14.4">
      <c r="A1342" s="14">
        <v>1251</v>
      </c>
      <c r="B1342" s="24">
        <v>11516617</v>
      </c>
      <c r="C1342" s="1">
        <v>2166278</v>
      </c>
      <c r="D1342" s="1" t="s">
        <v>25</v>
      </c>
      <c r="E1342" s="36">
        <v>44545</v>
      </c>
      <c r="F1342" s="36">
        <v>44589</v>
      </c>
      <c r="G1342" s="38">
        <f t="shared" si="20"/>
        <v>44</v>
      </c>
      <c r="H1342" s="5">
        <v>44551</v>
      </c>
      <c r="I1342" s="5">
        <v>44586</v>
      </c>
      <c r="J1342" s="1" t="s">
        <v>41</v>
      </c>
      <c r="K1342" s="1" t="s">
        <v>3019</v>
      </c>
      <c r="L1342" s="1" t="s">
        <v>3014</v>
      </c>
      <c r="M1342" s="1" t="s">
        <v>3015</v>
      </c>
      <c r="N1342" s="1" t="s">
        <v>38</v>
      </c>
      <c r="O1342" s="1" t="s">
        <v>91</v>
      </c>
      <c r="P1342" s="1" t="s">
        <v>92</v>
      </c>
      <c r="Q1342" s="1" t="s">
        <v>93</v>
      </c>
      <c r="R1342" s="1" t="s">
        <v>128</v>
      </c>
      <c r="S1342" s="1"/>
      <c r="U1342" s="1" t="s">
        <v>57</v>
      </c>
      <c r="V1342" s="1" t="s">
        <v>154</v>
      </c>
      <c r="W1342" s="1" t="str">
        <f>VLOOKUP(Table1[[#This Row],[Obergruppe ATC-Code]],Tabelle3!$A$2:$B$100,2)</f>
        <v>ANTIBIOTIKA ZUR SYSTEMISCHEN ANWENDUNG</v>
      </c>
      <c r="X1342" s="1" t="str">
        <f xml:space="preserve"> LEFT(Table1[[#This Row],[Atc Code]],3)</f>
        <v>J01</v>
      </c>
    </row>
    <row r="1343" spans="1:24" ht="14.4">
      <c r="A1343" s="14">
        <v>1250</v>
      </c>
      <c r="B1343" s="24">
        <v>11516617</v>
      </c>
      <c r="C1343" s="1">
        <v>2166278</v>
      </c>
      <c r="D1343" s="1" t="s">
        <v>25</v>
      </c>
      <c r="E1343" s="36">
        <v>44810</v>
      </c>
      <c r="F1343" s="36">
        <v>44926</v>
      </c>
      <c r="G1343" s="38">
        <f t="shared" si="20"/>
        <v>116</v>
      </c>
      <c r="H1343" s="5">
        <v>44811</v>
      </c>
      <c r="I1343" s="5">
        <v>44923</v>
      </c>
      <c r="J1343" s="1" t="s">
        <v>26</v>
      </c>
      <c r="K1343" s="1" t="s">
        <v>3019</v>
      </c>
      <c r="L1343" s="1" t="s">
        <v>3014</v>
      </c>
      <c r="M1343" s="1" t="s">
        <v>3015</v>
      </c>
      <c r="N1343" s="1" t="s">
        <v>38</v>
      </c>
      <c r="O1343" s="1" t="s">
        <v>91</v>
      </c>
      <c r="P1343" s="1" t="s">
        <v>92</v>
      </c>
      <c r="Q1343" s="1" t="s">
        <v>93</v>
      </c>
      <c r="R1343" s="1" t="s">
        <v>113</v>
      </c>
      <c r="S1343" s="1"/>
      <c r="U1343" s="1" t="s">
        <v>57</v>
      </c>
      <c r="V1343" s="1" t="s">
        <v>154</v>
      </c>
      <c r="W1343" s="1" t="str">
        <f>VLOOKUP(Table1[[#This Row],[Obergruppe ATC-Code]],Tabelle3!$A$2:$B$100,2)</f>
        <v>ANTIBIOTIKA ZUR SYSTEMISCHEN ANWENDUNG</v>
      </c>
      <c r="X1343" s="1" t="str">
        <f xml:space="preserve"> LEFT(Table1[[#This Row],[Atc Code]],3)</f>
        <v>J01</v>
      </c>
    </row>
    <row r="1344" spans="1:24" ht="14.4">
      <c r="A1344" s="14">
        <v>579</v>
      </c>
      <c r="B1344" s="24">
        <v>3719542</v>
      </c>
      <c r="C1344" s="1">
        <v>2167720</v>
      </c>
      <c r="D1344" s="1" t="s">
        <v>25</v>
      </c>
      <c r="E1344" s="36">
        <v>45054</v>
      </c>
      <c r="F1344" s="36">
        <v>45096</v>
      </c>
      <c r="G1344" s="38">
        <f t="shared" si="20"/>
        <v>42</v>
      </c>
      <c r="H1344" s="5">
        <v>45071</v>
      </c>
      <c r="I1344" s="5">
        <v>45103</v>
      </c>
      <c r="J1344" s="1" t="s">
        <v>41</v>
      </c>
      <c r="K1344" s="1" t="s">
        <v>3022</v>
      </c>
      <c r="L1344" s="1" t="s">
        <v>3014</v>
      </c>
      <c r="M1344" s="1" t="s">
        <v>3015</v>
      </c>
      <c r="N1344" s="1" t="s">
        <v>30</v>
      </c>
      <c r="O1344" s="1" t="s">
        <v>220</v>
      </c>
      <c r="P1344" s="1">
        <v>61726867883</v>
      </c>
      <c r="Q1344" s="1" t="s">
        <v>958</v>
      </c>
      <c r="R1344" s="1" t="s">
        <v>128</v>
      </c>
      <c r="S1344" s="1" t="s">
        <v>3028</v>
      </c>
      <c r="U1344" s="1" t="s">
        <v>57</v>
      </c>
      <c r="V1344" s="1" t="s">
        <v>154</v>
      </c>
      <c r="W1344" s="1" t="str">
        <f>VLOOKUP(Table1[[#This Row],[Obergruppe ATC-Code]],Tabelle3!$A$2:$B$100,2)</f>
        <v>ANTIBIOTIKA ZUR SYSTEMISCHEN ANWENDUNG</v>
      </c>
      <c r="X1344" s="1" t="str">
        <f xml:space="preserve"> LEFT(Table1[[#This Row],[Atc Code]],3)</f>
        <v>J01</v>
      </c>
    </row>
    <row r="1345" spans="1:24" ht="14.4">
      <c r="A1345" s="14">
        <v>580</v>
      </c>
      <c r="B1345" s="24">
        <v>3719559</v>
      </c>
      <c r="C1345" s="1">
        <v>2167719</v>
      </c>
      <c r="D1345" s="1" t="s">
        <v>25</v>
      </c>
      <c r="E1345" s="36">
        <v>45054</v>
      </c>
      <c r="F1345" s="36">
        <v>45118</v>
      </c>
      <c r="G1345" s="38">
        <f t="shared" si="20"/>
        <v>64</v>
      </c>
      <c r="H1345" s="5">
        <v>45071</v>
      </c>
      <c r="I1345" s="5">
        <v>45118</v>
      </c>
      <c r="J1345" s="1" t="s">
        <v>41</v>
      </c>
      <c r="K1345" s="1" t="s">
        <v>3029</v>
      </c>
      <c r="L1345" s="1" t="s">
        <v>3014</v>
      </c>
      <c r="M1345" s="1" t="s">
        <v>3015</v>
      </c>
      <c r="N1345" s="1" t="s">
        <v>30</v>
      </c>
      <c r="O1345" s="1" t="s">
        <v>220</v>
      </c>
      <c r="P1345" s="1">
        <v>61726867883</v>
      </c>
      <c r="Q1345" s="1" t="s">
        <v>958</v>
      </c>
      <c r="R1345" s="1" t="s">
        <v>128</v>
      </c>
      <c r="S1345" s="1"/>
      <c r="U1345" s="1" t="s">
        <v>57</v>
      </c>
      <c r="V1345" s="1" t="s">
        <v>154</v>
      </c>
      <c r="W1345" s="1" t="str">
        <f>VLOOKUP(Table1[[#This Row],[Obergruppe ATC-Code]],Tabelle3!$A$2:$B$100,2)</f>
        <v>ANTIBIOTIKA ZUR SYSTEMISCHEN ANWENDUNG</v>
      </c>
      <c r="X1345" s="1" t="str">
        <f xml:space="preserve"> LEFT(Table1[[#This Row],[Atc Code]],3)</f>
        <v>J01</v>
      </c>
    </row>
    <row r="1346" spans="1:24" ht="14.4">
      <c r="A1346" s="14">
        <v>2081</v>
      </c>
      <c r="B1346" s="24" t="s">
        <v>3030</v>
      </c>
      <c r="C1346" s="1">
        <v>2114902</v>
      </c>
      <c r="D1346" s="1" t="s">
        <v>102</v>
      </c>
      <c r="E1346" s="36">
        <v>44774</v>
      </c>
      <c r="F1346" s="36">
        <v>45322</v>
      </c>
      <c r="G1346" s="38">
        <f t="shared" ref="G1346:G1409" si="21">F1346-E1346</f>
        <v>548</v>
      </c>
      <c r="H1346" s="5">
        <v>44907</v>
      </c>
      <c r="I1346" s="5">
        <v>45149</v>
      </c>
      <c r="J1346" s="1" t="s">
        <v>26</v>
      </c>
      <c r="K1346" s="1" t="s">
        <v>3031</v>
      </c>
      <c r="L1346" s="1" t="s">
        <v>3032</v>
      </c>
      <c r="M1346" s="1" t="s">
        <v>3033</v>
      </c>
      <c r="N1346" s="1" t="s">
        <v>38</v>
      </c>
      <c r="O1346" s="1" t="s">
        <v>117</v>
      </c>
      <c r="Q1346" s="1" t="s">
        <v>1495</v>
      </c>
      <c r="R1346" s="1" t="s">
        <v>113</v>
      </c>
      <c r="S1346" s="1"/>
      <c r="U1346" s="1" t="s">
        <v>130</v>
      </c>
      <c r="V1346" s="1" t="s">
        <v>99</v>
      </c>
      <c r="W1346" s="1" t="str">
        <f>VLOOKUP(Table1[[#This Row],[Obergruppe ATC-Code]],Tabelle3!$A$2:$B$100,2)</f>
        <v>ANTIBIOTIKA ZUR SYSTEMISCHEN ANWENDUNG</v>
      </c>
      <c r="X1346" s="1" t="str">
        <f xml:space="preserve"> LEFT(Table1[[#This Row],[Atc Code]],3)</f>
        <v>J01</v>
      </c>
    </row>
    <row r="1347" spans="1:24" ht="14.4">
      <c r="A1347" s="14">
        <v>2080</v>
      </c>
      <c r="B1347" s="24" t="s">
        <v>3034</v>
      </c>
      <c r="C1347" s="1">
        <v>2114901</v>
      </c>
      <c r="D1347" s="1" t="s">
        <v>102</v>
      </c>
      <c r="E1347" s="36">
        <v>44835</v>
      </c>
      <c r="F1347" s="36">
        <v>45322</v>
      </c>
      <c r="G1347" s="38">
        <f t="shared" si="21"/>
        <v>487</v>
      </c>
      <c r="H1347" s="5">
        <v>44907</v>
      </c>
      <c r="I1347" s="5">
        <v>45149</v>
      </c>
      <c r="J1347" s="1" t="s">
        <v>26</v>
      </c>
      <c r="K1347" s="1" t="s">
        <v>3035</v>
      </c>
      <c r="L1347" s="1" t="s">
        <v>3032</v>
      </c>
      <c r="M1347" s="1" t="s">
        <v>3033</v>
      </c>
      <c r="N1347" s="1" t="s">
        <v>38</v>
      </c>
      <c r="O1347" s="1" t="s">
        <v>117</v>
      </c>
      <c r="Q1347" s="1" t="s">
        <v>1495</v>
      </c>
      <c r="R1347" s="1" t="s">
        <v>113</v>
      </c>
      <c r="S1347" s="1"/>
      <c r="U1347" s="1" t="s">
        <v>130</v>
      </c>
      <c r="V1347" s="1" t="s">
        <v>99</v>
      </c>
      <c r="W1347" s="1" t="str">
        <f>VLOOKUP(Table1[[#This Row],[Obergruppe ATC-Code]],Tabelle3!$A$2:$B$100,2)</f>
        <v>ANTIBIOTIKA ZUR SYSTEMISCHEN ANWENDUNG</v>
      </c>
      <c r="X1347" s="1" t="str">
        <f xml:space="preserve"> LEFT(Table1[[#This Row],[Atc Code]],3)</f>
        <v>J01</v>
      </c>
    </row>
    <row r="1348" spans="1:24" ht="14.4">
      <c r="A1348" s="14">
        <v>2059</v>
      </c>
      <c r="B1348" s="24" t="s">
        <v>3036</v>
      </c>
      <c r="C1348" s="1">
        <v>2109216</v>
      </c>
      <c r="D1348" s="1" t="s">
        <v>102</v>
      </c>
      <c r="E1348" s="36">
        <v>44774</v>
      </c>
      <c r="F1348" s="36">
        <v>45366</v>
      </c>
      <c r="G1348" s="38">
        <f t="shared" si="21"/>
        <v>592</v>
      </c>
      <c r="H1348" s="5">
        <v>44907</v>
      </c>
      <c r="I1348" s="5">
        <v>45217</v>
      </c>
      <c r="J1348" s="1" t="s">
        <v>26</v>
      </c>
      <c r="K1348" s="1" t="s">
        <v>3037</v>
      </c>
      <c r="L1348" s="1" t="s">
        <v>3032</v>
      </c>
      <c r="M1348" s="1" t="s">
        <v>3033</v>
      </c>
      <c r="N1348" s="1" t="s">
        <v>38</v>
      </c>
      <c r="O1348" s="1" t="s">
        <v>45</v>
      </c>
      <c r="Q1348" s="1" t="s">
        <v>118</v>
      </c>
      <c r="R1348" s="1" t="s">
        <v>113</v>
      </c>
      <c r="S1348" s="1"/>
      <c r="U1348" s="1" t="s">
        <v>130</v>
      </c>
      <c r="V1348" s="1" t="s">
        <v>99</v>
      </c>
      <c r="W1348" s="1" t="str">
        <f>VLOOKUP(Table1[[#This Row],[Obergruppe ATC-Code]],Tabelle3!$A$2:$B$100,2)</f>
        <v>ANTIBIOTIKA ZUR SYSTEMISCHEN ANWENDUNG</v>
      </c>
      <c r="X1348" s="1" t="str">
        <f xml:space="preserve"> LEFT(Table1[[#This Row],[Atc Code]],3)</f>
        <v>J01</v>
      </c>
    </row>
    <row r="1349" spans="1:24" ht="14.4">
      <c r="A1349" s="14">
        <v>2058</v>
      </c>
      <c r="B1349" s="24" t="s">
        <v>3038</v>
      </c>
      <c r="C1349" s="1">
        <v>2109215</v>
      </c>
      <c r="D1349" s="1" t="s">
        <v>102</v>
      </c>
      <c r="E1349" s="36">
        <v>44805</v>
      </c>
      <c r="F1349" s="36">
        <v>45366</v>
      </c>
      <c r="G1349" s="38">
        <f t="shared" si="21"/>
        <v>561</v>
      </c>
      <c r="H1349" s="5">
        <v>44907</v>
      </c>
      <c r="I1349" s="5">
        <v>45217</v>
      </c>
      <c r="J1349" s="1" t="s">
        <v>26</v>
      </c>
      <c r="K1349" s="1" t="s">
        <v>3039</v>
      </c>
      <c r="L1349" s="1" t="s">
        <v>3032</v>
      </c>
      <c r="M1349" s="1" t="s">
        <v>3033</v>
      </c>
      <c r="N1349" s="1" t="s">
        <v>38</v>
      </c>
      <c r="O1349" s="1" t="s">
        <v>45</v>
      </c>
      <c r="Q1349" s="1" t="s">
        <v>118</v>
      </c>
      <c r="R1349" s="1" t="s">
        <v>113</v>
      </c>
      <c r="S1349" s="1"/>
      <c r="U1349" s="1" t="s">
        <v>130</v>
      </c>
      <c r="V1349" s="1" t="s">
        <v>99</v>
      </c>
      <c r="W1349" s="1" t="str">
        <f>VLOOKUP(Table1[[#This Row],[Obergruppe ATC-Code]],Tabelle3!$A$2:$B$100,2)</f>
        <v>ANTIBIOTIKA ZUR SYSTEMISCHEN ANWENDUNG</v>
      </c>
      <c r="X1349" s="1" t="str">
        <f xml:space="preserve"> LEFT(Table1[[#This Row],[Atc Code]],3)</f>
        <v>J01</v>
      </c>
    </row>
    <row r="1350" spans="1:24" ht="14.4">
      <c r="A1350" s="14">
        <v>732</v>
      </c>
      <c r="B1350" s="24">
        <v>4958214</v>
      </c>
      <c r="C1350" s="1">
        <v>2100184</v>
      </c>
      <c r="D1350" s="1" t="s">
        <v>25</v>
      </c>
      <c r="E1350" s="36">
        <v>43891</v>
      </c>
      <c r="F1350" s="36">
        <v>44043</v>
      </c>
      <c r="G1350" s="38">
        <f t="shared" si="21"/>
        <v>152</v>
      </c>
      <c r="H1350" s="5">
        <v>43928</v>
      </c>
      <c r="I1350" s="5">
        <v>43966</v>
      </c>
      <c r="J1350" s="1" t="s">
        <v>41</v>
      </c>
      <c r="K1350" s="1" t="s">
        <v>3040</v>
      </c>
      <c r="L1350" s="1" t="s">
        <v>3041</v>
      </c>
      <c r="M1350" s="1" t="s">
        <v>3042</v>
      </c>
      <c r="N1350" s="1" t="s">
        <v>30</v>
      </c>
      <c r="O1350" s="1" t="s">
        <v>2769</v>
      </c>
      <c r="P1350" s="1" t="s">
        <v>2916</v>
      </c>
      <c r="Q1350" s="1" t="s">
        <v>2809</v>
      </c>
      <c r="R1350" s="1" t="s">
        <v>26</v>
      </c>
      <c r="S1350" s="1"/>
      <c r="T1350" s="1" t="s">
        <v>3043</v>
      </c>
      <c r="U1350" s="1" t="s">
        <v>35</v>
      </c>
      <c r="V1350" s="1" t="s">
        <v>49</v>
      </c>
      <c r="W1350" s="1" t="str">
        <f>VLOOKUP(Table1[[#This Row],[Obergruppe ATC-Code]],Tabelle3!$A$2:$B$100,2)</f>
        <v>ANTIBIOTIKA ZUR SYSTEMISCHEN ANWENDUNG</v>
      </c>
      <c r="X1350" s="1" t="str">
        <f xml:space="preserve"> LEFT(Table1[[#This Row],[Atc Code]],3)</f>
        <v>J01</v>
      </c>
    </row>
    <row r="1351" spans="1:24" ht="14.4">
      <c r="A1351" s="14">
        <v>2419</v>
      </c>
      <c r="B1351" s="24" t="s">
        <v>3044</v>
      </c>
      <c r="C1351" s="1">
        <v>2102842</v>
      </c>
      <c r="D1351" s="1" t="s">
        <v>25</v>
      </c>
      <c r="E1351" s="36">
        <v>44932</v>
      </c>
      <c r="F1351" s="36">
        <v>45044</v>
      </c>
      <c r="G1351" s="38">
        <f t="shared" si="21"/>
        <v>112</v>
      </c>
      <c r="H1351" s="5">
        <v>44932</v>
      </c>
      <c r="I1351" s="5">
        <v>45044</v>
      </c>
      <c r="J1351" s="1" t="s">
        <v>26</v>
      </c>
      <c r="K1351" s="1" t="s">
        <v>3045</v>
      </c>
      <c r="L1351" s="1" t="s">
        <v>3041</v>
      </c>
      <c r="M1351" s="1" t="s">
        <v>3042</v>
      </c>
      <c r="N1351" s="1" t="s">
        <v>30</v>
      </c>
      <c r="O1351" s="1" t="s">
        <v>2769</v>
      </c>
      <c r="P1351" s="1">
        <v>6252957000</v>
      </c>
      <c r="Q1351" s="1" t="s">
        <v>2771</v>
      </c>
      <c r="R1351" s="1" t="s">
        <v>113</v>
      </c>
      <c r="S1351" s="1"/>
      <c r="U1351" s="1" t="s">
        <v>35</v>
      </c>
      <c r="V1351" s="1" t="s">
        <v>259</v>
      </c>
      <c r="W1351" s="1" t="str">
        <f>VLOOKUP(Table1[[#This Row],[Obergruppe ATC-Code]],Tabelle3!$A$2:$B$100,2)</f>
        <v>ANTIBIOTIKA ZUR SYSTEMISCHEN ANWENDUNG</v>
      </c>
      <c r="X1351" s="1" t="str">
        <f xml:space="preserve"> LEFT(Table1[[#This Row],[Atc Code]],3)</f>
        <v>J01</v>
      </c>
    </row>
    <row r="1352" spans="1:24" ht="14.4">
      <c r="A1352" s="14">
        <v>1544</v>
      </c>
      <c r="B1352" s="24">
        <v>16575300</v>
      </c>
      <c r="C1352" s="1">
        <v>2138192</v>
      </c>
      <c r="D1352" s="1" t="s">
        <v>102</v>
      </c>
      <c r="E1352" s="36">
        <v>45082</v>
      </c>
      <c r="F1352" s="36">
        <v>45230</v>
      </c>
      <c r="G1352" s="38">
        <f t="shared" si="21"/>
        <v>148</v>
      </c>
      <c r="H1352" s="5">
        <v>45082</v>
      </c>
      <c r="I1352" s="5">
        <v>45141</v>
      </c>
      <c r="J1352" s="1" t="s">
        <v>26</v>
      </c>
      <c r="K1352" s="1" t="s">
        <v>3046</v>
      </c>
      <c r="L1352" s="1" t="s">
        <v>3041</v>
      </c>
      <c r="M1352" s="1" t="s">
        <v>3042</v>
      </c>
      <c r="N1352" s="1" t="s">
        <v>38</v>
      </c>
      <c r="O1352" s="1" t="s">
        <v>52</v>
      </c>
      <c r="Q1352" s="1" t="s">
        <v>54</v>
      </c>
      <c r="R1352" s="1" t="s">
        <v>113</v>
      </c>
      <c r="S1352" s="1"/>
      <c r="U1352" s="1" t="s">
        <v>130</v>
      </c>
      <c r="V1352" s="1" t="s">
        <v>259</v>
      </c>
      <c r="W1352" s="1" t="str">
        <f>VLOOKUP(Table1[[#This Row],[Obergruppe ATC-Code]],Tabelle3!$A$2:$B$100,2)</f>
        <v>ANTIBIOTIKA ZUR SYSTEMISCHEN ANWENDUNG</v>
      </c>
      <c r="X1352" s="1" t="str">
        <f xml:space="preserve"> LEFT(Table1[[#This Row],[Atc Code]],3)</f>
        <v>J01</v>
      </c>
    </row>
    <row r="1353" spans="1:24" ht="14.4">
      <c r="A1353" s="14">
        <v>2418</v>
      </c>
      <c r="B1353" s="24" t="s">
        <v>3044</v>
      </c>
      <c r="C1353" s="1">
        <v>2102842</v>
      </c>
      <c r="D1353" s="1" t="s">
        <v>25</v>
      </c>
      <c r="E1353" s="36">
        <v>45048</v>
      </c>
      <c r="F1353" s="36">
        <v>45187</v>
      </c>
      <c r="G1353" s="38">
        <f t="shared" si="21"/>
        <v>139</v>
      </c>
      <c r="H1353" s="5">
        <v>45054</v>
      </c>
      <c r="I1353" s="5">
        <v>45187</v>
      </c>
      <c r="J1353" s="1" t="s">
        <v>26</v>
      </c>
      <c r="K1353" s="1" t="s">
        <v>3045</v>
      </c>
      <c r="L1353" s="1" t="s">
        <v>3041</v>
      </c>
      <c r="M1353" s="1" t="s">
        <v>3042</v>
      </c>
      <c r="N1353" s="1" t="s">
        <v>30</v>
      </c>
      <c r="O1353" s="1" t="s">
        <v>2769</v>
      </c>
      <c r="P1353" s="1" t="s">
        <v>3047</v>
      </c>
      <c r="Q1353" s="1" t="s">
        <v>2771</v>
      </c>
      <c r="R1353" s="1" t="s">
        <v>113</v>
      </c>
      <c r="S1353" s="1"/>
      <c r="U1353" s="1" t="s">
        <v>35</v>
      </c>
      <c r="V1353" s="1" t="s">
        <v>259</v>
      </c>
      <c r="W1353" s="1" t="str">
        <f>VLOOKUP(Table1[[#This Row],[Obergruppe ATC-Code]],Tabelle3!$A$2:$B$100,2)</f>
        <v>ANTIBIOTIKA ZUR SYSTEMISCHEN ANWENDUNG</v>
      </c>
      <c r="X1353" s="1" t="str">
        <f xml:space="preserve"> LEFT(Table1[[#This Row],[Atc Code]],3)</f>
        <v>J01</v>
      </c>
    </row>
    <row r="1354" spans="1:24" ht="14.4">
      <c r="A1354" s="14">
        <v>2240</v>
      </c>
      <c r="B1354" s="24" t="s">
        <v>3048</v>
      </c>
      <c r="C1354" s="1">
        <v>2160576</v>
      </c>
      <c r="D1354" s="1" t="s">
        <v>25</v>
      </c>
      <c r="E1354" s="36">
        <v>45019</v>
      </c>
      <c r="F1354" s="36">
        <v>45191</v>
      </c>
      <c r="G1354" s="38">
        <f t="shared" si="21"/>
        <v>172</v>
      </c>
      <c r="H1354" s="5">
        <v>45019</v>
      </c>
      <c r="I1354" s="5">
        <v>45191</v>
      </c>
      <c r="J1354" s="1" t="s">
        <v>26</v>
      </c>
      <c r="K1354" s="1" t="s">
        <v>3049</v>
      </c>
      <c r="L1354" s="1" t="s">
        <v>3041</v>
      </c>
      <c r="M1354" s="1" t="s">
        <v>3042</v>
      </c>
      <c r="N1354" s="1" t="s">
        <v>30</v>
      </c>
      <c r="O1354" s="1" t="s">
        <v>52</v>
      </c>
      <c r="Q1354" s="1" t="s">
        <v>54</v>
      </c>
      <c r="R1354" s="1" t="s">
        <v>26</v>
      </c>
      <c r="S1354" s="1"/>
      <c r="U1354" s="1" t="s">
        <v>35</v>
      </c>
      <c r="V1354" s="1" t="s">
        <v>49</v>
      </c>
      <c r="W1354" s="1" t="str">
        <f>VLOOKUP(Table1[[#This Row],[Obergruppe ATC-Code]],Tabelle3!$A$2:$B$100,2)</f>
        <v>ANTIBIOTIKA ZUR SYSTEMISCHEN ANWENDUNG</v>
      </c>
      <c r="X1354" s="1" t="str">
        <f xml:space="preserve"> LEFT(Table1[[#This Row],[Atc Code]],3)</f>
        <v>J01</v>
      </c>
    </row>
    <row r="1355" spans="1:24" ht="14.4">
      <c r="A1355" s="14">
        <v>2198</v>
      </c>
      <c r="B1355" s="24" t="s">
        <v>3050</v>
      </c>
      <c r="C1355" s="1">
        <v>2100184</v>
      </c>
      <c r="D1355" s="1" t="s">
        <v>25</v>
      </c>
      <c r="E1355" s="36">
        <v>45005</v>
      </c>
      <c r="F1355" s="36">
        <v>45198</v>
      </c>
      <c r="G1355" s="38">
        <f t="shared" si="21"/>
        <v>193</v>
      </c>
      <c r="H1355" s="5">
        <v>45013</v>
      </c>
      <c r="I1355" s="5">
        <v>45198</v>
      </c>
      <c r="J1355" s="1" t="s">
        <v>26</v>
      </c>
      <c r="K1355" s="1" t="s">
        <v>3040</v>
      </c>
      <c r="L1355" s="1" t="s">
        <v>3041</v>
      </c>
      <c r="M1355" s="1" t="s">
        <v>3042</v>
      </c>
      <c r="N1355" s="1" t="s">
        <v>30</v>
      </c>
      <c r="O1355" s="1" t="s">
        <v>2769</v>
      </c>
      <c r="P1355" s="1">
        <v>6252957000</v>
      </c>
      <c r="Q1355" s="1" t="s">
        <v>2771</v>
      </c>
      <c r="R1355" s="1" t="s">
        <v>113</v>
      </c>
      <c r="S1355" s="1"/>
      <c r="U1355" s="1" t="s">
        <v>35</v>
      </c>
      <c r="V1355" s="1" t="s">
        <v>49</v>
      </c>
      <c r="W1355" s="1" t="str">
        <f>VLOOKUP(Table1[[#This Row],[Obergruppe ATC-Code]],Tabelle3!$A$2:$B$100,2)</f>
        <v>ANTIBIOTIKA ZUR SYSTEMISCHEN ANWENDUNG</v>
      </c>
      <c r="X1355" s="1" t="str">
        <f xml:space="preserve"> LEFT(Table1[[#This Row],[Atc Code]],3)</f>
        <v>J01</v>
      </c>
    </row>
    <row r="1356" spans="1:24" ht="14.4">
      <c r="A1356" s="14">
        <v>2878</v>
      </c>
      <c r="B1356" s="24" t="s">
        <v>3051</v>
      </c>
      <c r="C1356" s="1">
        <v>2138196</v>
      </c>
      <c r="D1356" s="1" t="s">
        <v>102</v>
      </c>
      <c r="E1356" s="36">
        <v>45082</v>
      </c>
      <c r="F1356" s="36">
        <v>45229</v>
      </c>
      <c r="G1356" s="38">
        <f t="shared" si="21"/>
        <v>147</v>
      </c>
      <c r="H1356" s="5">
        <v>45082</v>
      </c>
      <c r="I1356" s="5">
        <v>45211</v>
      </c>
      <c r="J1356" s="1" t="s">
        <v>26</v>
      </c>
      <c r="K1356" s="1" t="s">
        <v>3052</v>
      </c>
      <c r="L1356" s="1" t="s">
        <v>3041</v>
      </c>
      <c r="M1356" s="1" t="s">
        <v>3042</v>
      </c>
      <c r="N1356" s="1" t="s">
        <v>38</v>
      </c>
      <c r="O1356" s="1" t="s">
        <v>52</v>
      </c>
      <c r="Q1356" s="1" t="s">
        <v>54</v>
      </c>
      <c r="R1356" s="1" t="s">
        <v>113</v>
      </c>
      <c r="S1356" s="1"/>
      <c r="U1356" s="1" t="s">
        <v>130</v>
      </c>
      <c r="V1356" s="1" t="s">
        <v>259</v>
      </c>
      <c r="W1356" s="1" t="str">
        <f>VLOOKUP(Table1[[#This Row],[Obergruppe ATC-Code]],Tabelle3!$A$2:$B$100,2)</f>
        <v>ANTIBIOTIKA ZUR SYSTEMISCHEN ANWENDUNG</v>
      </c>
      <c r="X1356" s="1" t="str">
        <f xml:space="preserve"> LEFT(Table1[[#This Row],[Atc Code]],3)</f>
        <v>J01</v>
      </c>
    </row>
    <row r="1357" spans="1:24" ht="14.4">
      <c r="A1357" s="14">
        <v>2417</v>
      </c>
      <c r="B1357" s="24" t="s">
        <v>3044</v>
      </c>
      <c r="C1357" s="1">
        <v>2102842</v>
      </c>
      <c r="D1357" s="1" t="s">
        <v>102</v>
      </c>
      <c r="E1357" s="36">
        <v>45191</v>
      </c>
      <c r="F1357" s="36">
        <v>45327</v>
      </c>
      <c r="G1357" s="38">
        <f t="shared" si="21"/>
        <v>136</v>
      </c>
      <c r="H1357" s="5">
        <v>45194</v>
      </c>
      <c r="I1357" s="5">
        <v>45212</v>
      </c>
      <c r="J1357" s="1" t="s">
        <v>26</v>
      </c>
      <c r="K1357" s="1" t="s">
        <v>3045</v>
      </c>
      <c r="L1357" s="1" t="s">
        <v>3041</v>
      </c>
      <c r="M1357" s="1" t="s">
        <v>3042</v>
      </c>
      <c r="N1357" s="1" t="s">
        <v>30</v>
      </c>
      <c r="O1357" s="1" t="s">
        <v>2769</v>
      </c>
      <c r="P1357" s="1" t="s">
        <v>2770</v>
      </c>
      <c r="Q1357" s="1" t="s">
        <v>2771</v>
      </c>
      <c r="R1357" s="1" t="s">
        <v>113</v>
      </c>
      <c r="S1357" s="1"/>
      <c r="U1357" s="1" t="s">
        <v>35</v>
      </c>
      <c r="V1357" s="1" t="s">
        <v>259</v>
      </c>
      <c r="W1357" s="1" t="str">
        <f>VLOOKUP(Table1[[#This Row],[Obergruppe ATC-Code]],Tabelle3!$A$2:$B$100,2)</f>
        <v>ANTIBIOTIKA ZUR SYSTEMISCHEN ANWENDUNG</v>
      </c>
      <c r="X1357" s="1" t="str">
        <f xml:space="preserve"> LEFT(Table1[[#This Row],[Atc Code]],3)</f>
        <v>J01</v>
      </c>
    </row>
    <row r="1358" spans="1:24" ht="14.4">
      <c r="A1358" s="14">
        <v>733</v>
      </c>
      <c r="B1358" s="24">
        <v>4958214</v>
      </c>
      <c r="C1358" s="1">
        <v>2100184</v>
      </c>
      <c r="D1358" s="1" t="s">
        <v>175</v>
      </c>
      <c r="E1358" s="36">
        <v>45212</v>
      </c>
      <c r="F1358" s="36">
        <v>45313</v>
      </c>
      <c r="G1358" s="38">
        <f t="shared" si="21"/>
        <v>101</v>
      </c>
      <c r="H1358" s="5">
        <v>45212</v>
      </c>
      <c r="I1358" s="5">
        <v>45212</v>
      </c>
      <c r="J1358" s="1" t="s">
        <v>26</v>
      </c>
      <c r="K1358" s="1" t="s">
        <v>3040</v>
      </c>
      <c r="L1358" s="1" t="s">
        <v>3041</v>
      </c>
      <c r="M1358" s="1" t="s">
        <v>3042</v>
      </c>
      <c r="N1358" s="1" t="s">
        <v>30</v>
      </c>
      <c r="O1358" s="1" t="s">
        <v>2769</v>
      </c>
      <c r="P1358" s="1" t="s">
        <v>2770</v>
      </c>
      <c r="Q1358" s="1" t="s">
        <v>2771</v>
      </c>
      <c r="R1358" s="1" t="s">
        <v>113</v>
      </c>
      <c r="S1358" s="1"/>
      <c r="U1358" s="1" t="s">
        <v>35</v>
      </c>
      <c r="V1358" s="1" t="s">
        <v>49</v>
      </c>
      <c r="W1358" s="1" t="str">
        <f>VLOOKUP(Table1[[#This Row],[Obergruppe ATC-Code]],Tabelle3!$A$2:$B$100,2)</f>
        <v>ANTIBIOTIKA ZUR SYSTEMISCHEN ANWENDUNG</v>
      </c>
      <c r="X1358" s="1" t="str">
        <f xml:space="preserve"> LEFT(Table1[[#This Row],[Atc Code]],3)</f>
        <v>J01</v>
      </c>
    </row>
    <row r="1359" spans="1:24" ht="14.4">
      <c r="A1359" s="14">
        <v>531</v>
      </c>
      <c r="B1359" s="24">
        <v>3405306</v>
      </c>
      <c r="C1359" s="1">
        <v>2134838</v>
      </c>
      <c r="D1359" s="1" t="s">
        <v>25</v>
      </c>
      <c r="E1359" s="36">
        <v>43040</v>
      </c>
      <c r="F1359" s="36">
        <v>43100</v>
      </c>
      <c r="G1359" s="38">
        <f t="shared" si="21"/>
        <v>60</v>
      </c>
      <c r="H1359" s="5">
        <v>43046</v>
      </c>
      <c r="I1359" s="5">
        <v>43075</v>
      </c>
      <c r="J1359" s="1" t="s">
        <v>41</v>
      </c>
      <c r="K1359" s="1" t="s">
        <v>3053</v>
      </c>
      <c r="L1359" s="1" t="s">
        <v>3054</v>
      </c>
      <c r="M1359" s="1" t="s">
        <v>3055</v>
      </c>
      <c r="N1359" s="1" t="s">
        <v>30</v>
      </c>
      <c r="O1359" s="1" t="s">
        <v>220</v>
      </c>
      <c r="P1359" s="1">
        <v>61726867883</v>
      </c>
      <c r="Q1359" s="1" t="s">
        <v>958</v>
      </c>
      <c r="R1359" s="1" t="s">
        <v>26</v>
      </c>
      <c r="S1359" s="1"/>
      <c r="U1359" s="1" t="s">
        <v>57</v>
      </c>
      <c r="V1359" s="1" t="s">
        <v>154</v>
      </c>
      <c r="W1359" s="1" t="str">
        <f>VLOOKUP(Table1[[#This Row],[Obergruppe ATC-Code]],Tabelle3!$A$2:$B$100,2)</f>
        <v>ANTIBIOTIKA ZUR SYSTEMISCHEN ANWENDUNG</v>
      </c>
      <c r="X1359" s="1" t="str">
        <f xml:space="preserve"> LEFT(Table1[[#This Row],[Atc Code]],3)</f>
        <v>J01</v>
      </c>
    </row>
    <row r="1360" spans="1:24" ht="14.4">
      <c r="A1360" s="14">
        <v>224</v>
      </c>
      <c r="B1360" s="25">
        <v>1267001</v>
      </c>
      <c r="C1360" s="1">
        <v>2170940</v>
      </c>
      <c r="D1360" s="1" t="s">
        <v>25</v>
      </c>
      <c r="E1360" s="36">
        <v>43891</v>
      </c>
      <c r="F1360" s="36">
        <v>44196</v>
      </c>
      <c r="G1360" s="38">
        <f t="shared" si="21"/>
        <v>305</v>
      </c>
      <c r="H1360" s="5">
        <v>43917</v>
      </c>
      <c r="I1360" s="5">
        <v>44182</v>
      </c>
      <c r="J1360" s="1" t="s">
        <v>26</v>
      </c>
      <c r="K1360" s="1" t="s">
        <v>3056</v>
      </c>
      <c r="L1360" s="1" t="s">
        <v>3054</v>
      </c>
      <c r="M1360" s="1" t="s">
        <v>3057</v>
      </c>
      <c r="N1360" s="1" t="s">
        <v>30</v>
      </c>
      <c r="O1360" s="1" t="s">
        <v>45</v>
      </c>
      <c r="P1360" s="1" t="s">
        <v>104</v>
      </c>
      <c r="Q1360" s="1" t="s">
        <v>105</v>
      </c>
      <c r="R1360" s="1" t="s">
        <v>33</v>
      </c>
      <c r="S1360" s="1"/>
      <c r="U1360" s="1" t="s">
        <v>35</v>
      </c>
      <c r="V1360" s="1" t="s">
        <v>99</v>
      </c>
      <c r="W1360" s="1" t="str">
        <f>VLOOKUP(Table1[[#This Row],[Obergruppe ATC-Code]],Tabelle3!$A$2:$B$100,2)</f>
        <v>ANTIBIOTIKA ZUR SYSTEMISCHEN ANWENDUNG</v>
      </c>
      <c r="X1360" s="1" t="str">
        <f xml:space="preserve"> LEFT(Table1[[#This Row],[Atc Code]],3)</f>
        <v>J01</v>
      </c>
    </row>
    <row r="1361" spans="1:24" ht="14.4">
      <c r="A1361" s="14">
        <v>2110</v>
      </c>
      <c r="B1361" s="24" t="s">
        <v>3058</v>
      </c>
      <c r="C1361" s="1">
        <v>2138981</v>
      </c>
      <c r="D1361" s="1" t="s">
        <v>25</v>
      </c>
      <c r="E1361" s="36">
        <v>43922</v>
      </c>
      <c r="F1361" s="36">
        <v>44316</v>
      </c>
      <c r="G1361" s="38">
        <f t="shared" si="21"/>
        <v>394</v>
      </c>
      <c r="H1361" s="5">
        <v>43938</v>
      </c>
      <c r="I1361" s="5">
        <v>44321</v>
      </c>
      <c r="J1361" s="1" t="s">
        <v>26</v>
      </c>
      <c r="K1361" s="1" t="s">
        <v>3059</v>
      </c>
      <c r="L1361" s="1" t="s">
        <v>3054</v>
      </c>
      <c r="M1361" s="1" t="s">
        <v>3055</v>
      </c>
      <c r="N1361" s="1" t="s">
        <v>30</v>
      </c>
      <c r="O1361" s="1" t="s">
        <v>45</v>
      </c>
      <c r="P1361" s="1" t="s">
        <v>104</v>
      </c>
      <c r="Q1361" s="1" t="s">
        <v>105</v>
      </c>
      <c r="R1361" s="1" t="s">
        <v>33</v>
      </c>
      <c r="S1361" s="1"/>
      <c r="U1361" s="1" t="s">
        <v>35</v>
      </c>
      <c r="V1361" s="1" t="s">
        <v>787</v>
      </c>
      <c r="W1361" s="1" t="str">
        <f>VLOOKUP(Table1[[#This Row],[Obergruppe ATC-Code]],Tabelle3!$A$2:$B$100,2)</f>
        <v>ANTIBIOTIKA ZUR SYSTEMISCHEN ANWENDUNG</v>
      </c>
      <c r="X1361" s="1" t="str">
        <f xml:space="preserve"> LEFT(Table1[[#This Row],[Atc Code]],3)</f>
        <v>J01</v>
      </c>
    </row>
    <row r="1362" spans="1:24" ht="14.4">
      <c r="A1362" s="14">
        <v>626</v>
      </c>
      <c r="B1362" s="25">
        <v>4088256</v>
      </c>
      <c r="C1362" s="1">
        <v>2138982</v>
      </c>
      <c r="D1362" s="1" t="s">
        <v>25</v>
      </c>
      <c r="E1362" s="36">
        <v>43891</v>
      </c>
      <c r="F1362" s="36">
        <v>44316</v>
      </c>
      <c r="G1362" s="38">
        <f t="shared" si="21"/>
        <v>425</v>
      </c>
      <c r="H1362" s="5">
        <v>43917</v>
      </c>
      <c r="I1362" s="5">
        <v>44321</v>
      </c>
      <c r="J1362" s="1" t="s">
        <v>26</v>
      </c>
      <c r="K1362" s="1" t="s">
        <v>3060</v>
      </c>
      <c r="L1362" s="1" t="s">
        <v>3054</v>
      </c>
      <c r="M1362" s="1" t="s">
        <v>3055</v>
      </c>
      <c r="N1362" s="1" t="s">
        <v>30</v>
      </c>
      <c r="O1362" s="1" t="s">
        <v>45</v>
      </c>
      <c r="P1362" s="1" t="s">
        <v>104</v>
      </c>
      <c r="Q1362" s="1" t="s">
        <v>105</v>
      </c>
      <c r="R1362" s="1" t="s">
        <v>33</v>
      </c>
      <c r="S1362" s="1"/>
      <c r="U1362" s="1" t="s">
        <v>35</v>
      </c>
      <c r="V1362" s="1" t="s">
        <v>787</v>
      </c>
      <c r="W1362" s="1" t="str">
        <f>VLOOKUP(Table1[[#This Row],[Obergruppe ATC-Code]],Tabelle3!$A$2:$B$100,2)</f>
        <v>ANTIBIOTIKA ZUR SYSTEMISCHEN ANWENDUNG</v>
      </c>
      <c r="X1362" s="1" t="str">
        <f xml:space="preserve"> LEFT(Table1[[#This Row],[Atc Code]],3)</f>
        <v>J01</v>
      </c>
    </row>
    <row r="1363" spans="1:24" ht="14.4">
      <c r="A1363" s="14">
        <v>225</v>
      </c>
      <c r="B1363" s="25">
        <v>1267018</v>
      </c>
      <c r="C1363" s="1">
        <v>2170941</v>
      </c>
      <c r="D1363" s="1" t="s">
        <v>25</v>
      </c>
      <c r="E1363" s="36">
        <v>43891</v>
      </c>
      <c r="F1363" s="36">
        <v>44742</v>
      </c>
      <c r="G1363" s="38">
        <f t="shared" si="21"/>
        <v>851</v>
      </c>
      <c r="H1363" s="5">
        <v>43917</v>
      </c>
      <c r="I1363" s="5">
        <v>44768</v>
      </c>
      <c r="J1363" s="1" t="s">
        <v>26</v>
      </c>
      <c r="K1363" s="1" t="s">
        <v>3061</v>
      </c>
      <c r="L1363" s="1" t="s">
        <v>3054</v>
      </c>
      <c r="M1363" s="1" t="s">
        <v>3057</v>
      </c>
      <c r="N1363" s="1" t="s">
        <v>30</v>
      </c>
      <c r="O1363" s="1" t="s">
        <v>45</v>
      </c>
      <c r="P1363" s="1" t="s">
        <v>104</v>
      </c>
      <c r="Q1363" s="1" t="s">
        <v>105</v>
      </c>
      <c r="R1363" s="1" t="s">
        <v>33</v>
      </c>
      <c r="S1363" s="1"/>
      <c r="U1363" s="1" t="s">
        <v>35</v>
      </c>
      <c r="V1363" s="1" t="s">
        <v>99</v>
      </c>
      <c r="W1363" s="1" t="str">
        <f>VLOOKUP(Table1[[#This Row],[Obergruppe ATC-Code]],Tabelle3!$A$2:$B$100,2)</f>
        <v>ANTIBIOTIKA ZUR SYSTEMISCHEN ANWENDUNG</v>
      </c>
      <c r="X1363" s="1" t="str">
        <f xml:space="preserve"> LEFT(Table1[[#This Row],[Atc Code]],3)</f>
        <v>J01</v>
      </c>
    </row>
    <row r="1364" spans="1:24" ht="14.4">
      <c r="A1364" s="14">
        <v>390</v>
      </c>
      <c r="B1364" s="24">
        <v>2242078</v>
      </c>
      <c r="C1364" s="1">
        <v>2153137</v>
      </c>
      <c r="D1364" s="1" t="s">
        <v>25</v>
      </c>
      <c r="E1364" s="36">
        <v>44914</v>
      </c>
      <c r="F1364" s="36">
        <v>44953</v>
      </c>
      <c r="G1364" s="38">
        <f t="shared" si="21"/>
        <v>39</v>
      </c>
      <c r="H1364" s="5">
        <v>44928</v>
      </c>
      <c r="I1364" s="5">
        <v>44959</v>
      </c>
      <c r="J1364" s="1" t="s">
        <v>26</v>
      </c>
      <c r="K1364" s="1" t="s">
        <v>3062</v>
      </c>
      <c r="L1364" s="1" t="s">
        <v>3054</v>
      </c>
      <c r="M1364" s="1" t="s">
        <v>3057</v>
      </c>
      <c r="N1364" s="1" t="s">
        <v>38</v>
      </c>
      <c r="O1364" s="1" t="s">
        <v>97</v>
      </c>
      <c r="Q1364" s="1" t="s">
        <v>3063</v>
      </c>
      <c r="R1364" s="1" t="s">
        <v>113</v>
      </c>
      <c r="S1364" s="1"/>
      <c r="U1364" s="1" t="s">
        <v>130</v>
      </c>
      <c r="V1364" s="1" t="s">
        <v>811</v>
      </c>
      <c r="W1364" s="1" t="str">
        <f>VLOOKUP(Table1[[#This Row],[Obergruppe ATC-Code]],Tabelle3!$A$2:$B$100,2)</f>
        <v>ANTIBIOTIKA ZUR SYSTEMISCHEN ANWENDUNG</v>
      </c>
      <c r="X1364" s="1" t="str">
        <f xml:space="preserve"> LEFT(Table1[[#This Row],[Atc Code]],3)</f>
        <v>J01</v>
      </c>
    </row>
    <row r="1365" spans="1:24" ht="14.4">
      <c r="A1365" s="14">
        <v>1545</v>
      </c>
      <c r="B1365" s="24">
        <v>16596615</v>
      </c>
      <c r="C1365" s="1">
        <v>2153800</v>
      </c>
      <c r="D1365" s="1" t="s">
        <v>175</v>
      </c>
      <c r="E1365" s="36">
        <v>44967</v>
      </c>
      <c r="F1365" s="36">
        <v>45322</v>
      </c>
      <c r="G1365" s="38">
        <f t="shared" si="21"/>
        <v>355</v>
      </c>
      <c r="H1365" s="5">
        <v>44967</v>
      </c>
      <c r="I1365" s="5">
        <v>44967</v>
      </c>
      <c r="J1365" s="1" t="s">
        <v>26</v>
      </c>
      <c r="K1365" s="1" t="s">
        <v>3064</v>
      </c>
      <c r="L1365" s="1" t="s">
        <v>3054</v>
      </c>
      <c r="M1365" s="1" t="s">
        <v>3057</v>
      </c>
      <c r="N1365" s="1" t="s">
        <v>38</v>
      </c>
      <c r="O1365" s="1" t="s">
        <v>140</v>
      </c>
      <c r="Q1365" s="1" t="s">
        <v>3065</v>
      </c>
      <c r="R1365" s="1" t="s">
        <v>113</v>
      </c>
      <c r="S1365" s="1"/>
      <c r="U1365" s="1" t="s">
        <v>130</v>
      </c>
      <c r="V1365" s="1" t="s">
        <v>811</v>
      </c>
      <c r="W1365" s="1" t="str">
        <f>VLOOKUP(Table1[[#This Row],[Obergruppe ATC-Code]],Tabelle3!$A$2:$B$100,2)</f>
        <v>ANTIBIOTIKA ZUR SYSTEMISCHEN ANWENDUNG</v>
      </c>
      <c r="X1365" s="1" t="str">
        <f xml:space="preserve"> LEFT(Table1[[#This Row],[Atc Code]],3)</f>
        <v>J01</v>
      </c>
    </row>
    <row r="1366" spans="1:24" ht="14.4">
      <c r="A1366" s="14">
        <v>982</v>
      </c>
      <c r="B1366" s="24">
        <v>8420262</v>
      </c>
      <c r="C1366" s="1">
        <v>2138986</v>
      </c>
      <c r="D1366" s="1" t="s">
        <v>25</v>
      </c>
      <c r="E1366" s="36">
        <v>45062</v>
      </c>
      <c r="F1366" s="36">
        <v>45107</v>
      </c>
      <c r="G1366" s="38">
        <f t="shared" si="21"/>
        <v>45</v>
      </c>
      <c r="H1366" s="5">
        <v>45069</v>
      </c>
      <c r="I1366" s="5">
        <v>45107</v>
      </c>
      <c r="J1366" s="1" t="s">
        <v>41</v>
      </c>
      <c r="K1366" s="1" t="s">
        <v>3066</v>
      </c>
      <c r="L1366" s="1" t="s">
        <v>3054</v>
      </c>
      <c r="M1366" s="1" t="s">
        <v>3055</v>
      </c>
      <c r="N1366" s="1" t="s">
        <v>38</v>
      </c>
      <c r="O1366" s="1" t="s">
        <v>220</v>
      </c>
      <c r="P1366" s="1">
        <v>61726867883</v>
      </c>
      <c r="Q1366" s="1" t="s">
        <v>958</v>
      </c>
      <c r="R1366" s="1" t="s">
        <v>128</v>
      </c>
      <c r="S1366" s="1" t="s">
        <v>3067</v>
      </c>
      <c r="U1366" s="1" t="s">
        <v>130</v>
      </c>
      <c r="V1366" s="1" t="s">
        <v>1009</v>
      </c>
      <c r="W1366" s="1" t="str">
        <f>VLOOKUP(Table1[[#This Row],[Obergruppe ATC-Code]],Tabelle3!$A$2:$B$100,2)</f>
        <v>ANTIBIOTIKA ZUR SYSTEMISCHEN ANWENDUNG</v>
      </c>
      <c r="X1366" s="1" t="str">
        <f xml:space="preserve"> LEFT(Table1[[#This Row],[Atc Code]],3)</f>
        <v>J01</v>
      </c>
    </row>
    <row r="1367" spans="1:24" ht="14.4">
      <c r="A1367" s="14">
        <v>532</v>
      </c>
      <c r="B1367" s="24">
        <v>3405306</v>
      </c>
      <c r="C1367" s="1">
        <v>2134838</v>
      </c>
      <c r="D1367" s="1" t="s">
        <v>25</v>
      </c>
      <c r="E1367" s="36">
        <v>45062</v>
      </c>
      <c r="F1367" s="36">
        <v>45118</v>
      </c>
      <c r="G1367" s="38">
        <f t="shared" si="21"/>
        <v>56</v>
      </c>
      <c r="H1367" s="5">
        <v>45069</v>
      </c>
      <c r="I1367" s="5">
        <v>45118</v>
      </c>
      <c r="J1367" s="1" t="s">
        <v>41</v>
      </c>
      <c r="K1367" s="1" t="s">
        <v>3053</v>
      </c>
      <c r="L1367" s="1" t="s">
        <v>3054</v>
      </c>
      <c r="M1367" s="1" t="s">
        <v>3055</v>
      </c>
      <c r="N1367" s="1" t="s">
        <v>30</v>
      </c>
      <c r="O1367" s="1" t="s">
        <v>220</v>
      </c>
      <c r="P1367" s="1">
        <v>61726867883</v>
      </c>
      <c r="Q1367" s="1" t="s">
        <v>958</v>
      </c>
      <c r="R1367" s="1" t="s">
        <v>128</v>
      </c>
      <c r="S1367" s="1" t="s">
        <v>3068</v>
      </c>
      <c r="U1367" s="1" t="s">
        <v>130</v>
      </c>
      <c r="V1367" s="1" t="s">
        <v>154</v>
      </c>
      <c r="W1367" s="1" t="str">
        <f>VLOOKUP(Table1[[#This Row],[Obergruppe ATC-Code]],Tabelle3!$A$2:$B$100,2)</f>
        <v>ANTIBIOTIKA ZUR SYSTEMISCHEN ANWENDUNG</v>
      </c>
      <c r="X1367" s="1" t="str">
        <f xml:space="preserve"> LEFT(Table1[[#This Row],[Atc Code]],3)</f>
        <v>J01</v>
      </c>
    </row>
    <row r="1368" spans="1:24" ht="14.4">
      <c r="A1368" s="14">
        <v>1613</v>
      </c>
      <c r="B1368" s="24">
        <v>17848757</v>
      </c>
      <c r="C1368" s="1">
        <v>2149170</v>
      </c>
      <c r="D1368" s="1" t="s">
        <v>175</v>
      </c>
      <c r="E1368" s="36">
        <v>45142</v>
      </c>
      <c r="F1368" s="36">
        <v>45254</v>
      </c>
      <c r="G1368" s="38">
        <f t="shared" si="21"/>
        <v>112</v>
      </c>
      <c r="H1368" s="5">
        <v>45142</v>
      </c>
      <c r="I1368" s="5">
        <v>45142</v>
      </c>
      <c r="J1368" s="1" t="s">
        <v>41</v>
      </c>
      <c r="K1368" s="1" t="s">
        <v>3069</v>
      </c>
      <c r="L1368" s="1" t="s">
        <v>3054</v>
      </c>
      <c r="M1368" s="1" t="s">
        <v>3057</v>
      </c>
      <c r="N1368" s="1" t="s">
        <v>38</v>
      </c>
      <c r="O1368" s="1" t="s">
        <v>123</v>
      </c>
      <c r="Q1368" s="1" t="s">
        <v>201</v>
      </c>
      <c r="R1368" s="1" t="s">
        <v>2138</v>
      </c>
      <c r="S1368" s="1" t="s">
        <v>3070</v>
      </c>
      <c r="U1368" s="1" t="s">
        <v>130</v>
      </c>
      <c r="V1368" s="1" t="s">
        <v>49</v>
      </c>
      <c r="W1368" s="1" t="str">
        <f>VLOOKUP(Table1[[#This Row],[Obergruppe ATC-Code]],Tabelle3!$A$2:$B$100,2)</f>
        <v>ANTIBIOTIKA ZUR SYSTEMISCHEN ANWENDUNG</v>
      </c>
      <c r="X1368" s="1" t="str">
        <f xml:space="preserve"> LEFT(Table1[[#This Row],[Atc Code]],3)</f>
        <v>J01</v>
      </c>
    </row>
    <row r="1369" spans="1:24" ht="14.4">
      <c r="A1369" s="14">
        <v>389</v>
      </c>
      <c r="B1369" s="24">
        <v>2242078</v>
      </c>
      <c r="C1369" s="1">
        <v>2153137</v>
      </c>
      <c r="D1369" s="1" t="s">
        <v>25</v>
      </c>
      <c r="E1369" s="36">
        <v>45019</v>
      </c>
      <c r="F1369" s="36">
        <v>45138</v>
      </c>
      <c r="G1369" s="38">
        <f t="shared" si="21"/>
        <v>119</v>
      </c>
      <c r="H1369" s="5">
        <v>45071</v>
      </c>
      <c r="I1369" s="5">
        <v>45152</v>
      </c>
      <c r="J1369" s="1" t="s">
        <v>26</v>
      </c>
      <c r="K1369" s="1" t="s">
        <v>3062</v>
      </c>
      <c r="L1369" s="1" t="s">
        <v>3054</v>
      </c>
      <c r="M1369" s="1" t="s">
        <v>3057</v>
      </c>
      <c r="N1369" s="1" t="s">
        <v>30</v>
      </c>
      <c r="O1369" s="1" t="s">
        <v>97</v>
      </c>
      <c r="Q1369" s="1" t="s">
        <v>1727</v>
      </c>
      <c r="R1369" s="1" t="s">
        <v>113</v>
      </c>
      <c r="S1369" s="1"/>
      <c r="U1369" s="1" t="s">
        <v>130</v>
      </c>
      <c r="V1369" s="1" t="s">
        <v>811</v>
      </c>
      <c r="W1369" s="1" t="str">
        <f>VLOOKUP(Table1[[#This Row],[Obergruppe ATC-Code]],Tabelle3!$A$2:$B$100,2)</f>
        <v>ANTIBIOTIKA ZUR SYSTEMISCHEN ANWENDUNG</v>
      </c>
      <c r="X1369" s="1" t="str">
        <f xml:space="preserve"> LEFT(Table1[[#This Row],[Atc Code]],3)</f>
        <v>J01</v>
      </c>
    </row>
    <row r="1370" spans="1:24" ht="14.4">
      <c r="A1370" s="14">
        <v>29</v>
      </c>
      <c r="B1370" s="24">
        <v>178548</v>
      </c>
      <c r="C1370" s="1">
        <v>2149019</v>
      </c>
      <c r="D1370" s="1" t="s">
        <v>102</v>
      </c>
      <c r="E1370" s="36">
        <v>44915</v>
      </c>
      <c r="F1370" s="36">
        <v>45233</v>
      </c>
      <c r="G1370" s="38">
        <f t="shared" si="21"/>
        <v>318</v>
      </c>
      <c r="H1370" s="5">
        <v>44918</v>
      </c>
      <c r="I1370" s="5">
        <v>45156</v>
      </c>
      <c r="J1370" s="1" t="s">
        <v>26</v>
      </c>
      <c r="K1370" s="1" t="s">
        <v>3071</v>
      </c>
      <c r="L1370" s="1" t="s">
        <v>3054</v>
      </c>
      <c r="M1370" s="1" t="s">
        <v>3057</v>
      </c>
      <c r="N1370" s="1" t="s">
        <v>38</v>
      </c>
      <c r="O1370" s="1" t="s">
        <v>52</v>
      </c>
      <c r="Q1370" s="1" t="s">
        <v>54</v>
      </c>
      <c r="R1370" s="1" t="s">
        <v>26</v>
      </c>
      <c r="S1370" s="1"/>
      <c r="U1370" s="1" t="s">
        <v>130</v>
      </c>
      <c r="V1370" s="1" t="s">
        <v>639</v>
      </c>
      <c r="W1370" s="1" t="str">
        <f>VLOOKUP(Table1[[#This Row],[Obergruppe ATC-Code]],Tabelle3!$A$2:$B$100,2)</f>
        <v>ANTIBIOTIKA ZUR SYSTEMISCHEN ANWENDUNG</v>
      </c>
      <c r="X1370" s="1" t="str">
        <f xml:space="preserve"> LEFT(Table1[[#This Row],[Atc Code]],3)</f>
        <v>J01</v>
      </c>
    </row>
    <row r="1371" spans="1:24" ht="14.4">
      <c r="A1371" s="14">
        <v>1679</v>
      </c>
      <c r="B1371" s="24" t="s">
        <v>3072</v>
      </c>
      <c r="C1371" s="1">
        <v>2149014</v>
      </c>
      <c r="D1371" s="1" t="s">
        <v>25</v>
      </c>
      <c r="E1371" s="36">
        <v>44981</v>
      </c>
      <c r="F1371" s="36">
        <v>45169</v>
      </c>
      <c r="G1371" s="38">
        <f t="shared" si="21"/>
        <v>188</v>
      </c>
      <c r="H1371" s="5">
        <v>44981</v>
      </c>
      <c r="I1371" s="5">
        <v>45170</v>
      </c>
      <c r="J1371" s="1" t="s">
        <v>26</v>
      </c>
      <c r="K1371" s="1" t="s">
        <v>3073</v>
      </c>
      <c r="L1371" s="1" t="s">
        <v>3054</v>
      </c>
      <c r="M1371" s="1" t="s">
        <v>3057</v>
      </c>
      <c r="N1371" s="1" t="s">
        <v>38</v>
      </c>
      <c r="O1371" s="1" t="s">
        <v>52</v>
      </c>
      <c r="Q1371" s="1" t="s">
        <v>54</v>
      </c>
      <c r="R1371" s="1" t="s">
        <v>113</v>
      </c>
      <c r="S1371" s="1"/>
      <c r="U1371" s="1" t="s">
        <v>130</v>
      </c>
      <c r="V1371" s="1" t="s">
        <v>639</v>
      </c>
      <c r="W1371" s="1" t="str">
        <f>VLOOKUP(Table1[[#This Row],[Obergruppe ATC-Code]],Tabelle3!$A$2:$B$100,2)</f>
        <v>ANTIBIOTIKA ZUR SYSTEMISCHEN ANWENDUNG</v>
      </c>
      <c r="X1371" s="1" t="str">
        <f xml:space="preserve"> LEFT(Table1[[#This Row],[Atc Code]],3)</f>
        <v>J01</v>
      </c>
    </row>
    <row r="1372" spans="1:24" ht="14.4">
      <c r="A1372" s="14">
        <v>388</v>
      </c>
      <c r="B1372" s="24">
        <v>2242078</v>
      </c>
      <c r="C1372" s="1">
        <v>2153137</v>
      </c>
      <c r="D1372" s="1" t="s">
        <v>102</v>
      </c>
      <c r="E1372" s="36">
        <v>45219</v>
      </c>
      <c r="F1372" s="36">
        <v>45274</v>
      </c>
      <c r="G1372" s="38">
        <f t="shared" si="21"/>
        <v>55</v>
      </c>
      <c r="H1372" s="5">
        <v>45152</v>
      </c>
      <c r="I1372" s="5">
        <v>45216</v>
      </c>
      <c r="J1372" s="1" t="s">
        <v>26</v>
      </c>
      <c r="K1372" s="1" t="s">
        <v>3062</v>
      </c>
      <c r="L1372" s="1" t="s">
        <v>3054</v>
      </c>
      <c r="M1372" s="1" t="s">
        <v>3057</v>
      </c>
      <c r="N1372" s="1" t="s">
        <v>30</v>
      </c>
      <c r="O1372" s="1" t="s">
        <v>97</v>
      </c>
      <c r="Q1372" s="1" t="s">
        <v>1727</v>
      </c>
      <c r="R1372" s="1" t="s">
        <v>113</v>
      </c>
      <c r="S1372" s="1" t="s">
        <v>113</v>
      </c>
      <c r="U1372" s="1" t="s">
        <v>130</v>
      </c>
      <c r="V1372" s="1" t="s">
        <v>811</v>
      </c>
      <c r="W1372" s="1" t="str">
        <f>VLOOKUP(Table1[[#This Row],[Obergruppe ATC-Code]],Tabelle3!$A$2:$B$100,2)</f>
        <v>ANTIBIOTIKA ZUR SYSTEMISCHEN ANWENDUNG</v>
      </c>
      <c r="X1372" s="1" t="str">
        <f xml:space="preserve"> LEFT(Table1[[#This Row],[Atc Code]],3)</f>
        <v>J01</v>
      </c>
    </row>
    <row r="1373" spans="1:24" ht="14.4">
      <c r="A1373" s="14">
        <v>386</v>
      </c>
      <c r="B1373" s="24">
        <v>2231494</v>
      </c>
      <c r="C1373" s="1">
        <v>2124625</v>
      </c>
      <c r="D1373" s="1" t="s">
        <v>25</v>
      </c>
      <c r="E1373" s="36">
        <v>44916</v>
      </c>
      <c r="F1373" s="36">
        <v>44935</v>
      </c>
      <c r="G1373" s="38">
        <f t="shared" si="21"/>
        <v>19</v>
      </c>
      <c r="H1373" s="5">
        <v>44928</v>
      </c>
      <c r="I1373" s="5">
        <v>44949</v>
      </c>
      <c r="J1373" s="1" t="s">
        <v>26</v>
      </c>
      <c r="K1373" s="1" t="s">
        <v>3074</v>
      </c>
      <c r="L1373" s="1" t="s">
        <v>3075</v>
      </c>
      <c r="M1373" s="1" t="s">
        <v>3076</v>
      </c>
      <c r="N1373" s="1" t="s">
        <v>30</v>
      </c>
      <c r="O1373" s="1" t="s">
        <v>97</v>
      </c>
      <c r="Q1373" s="1" t="s">
        <v>3063</v>
      </c>
      <c r="R1373" s="1" t="s">
        <v>113</v>
      </c>
      <c r="S1373" s="1" t="s">
        <v>113</v>
      </c>
      <c r="U1373" s="1" t="s">
        <v>130</v>
      </c>
      <c r="V1373" s="1" t="s">
        <v>811</v>
      </c>
      <c r="W1373" s="1" t="str">
        <f>VLOOKUP(Table1[[#This Row],[Obergruppe ATC-Code]],Tabelle3!$A$2:$B$100,2)</f>
        <v>ANTIBIOTIKA ZUR SYSTEMISCHEN ANWENDUNG</v>
      </c>
      <c r="X1373" s="1" t="str">
        <f xml:space="preserve"> LEFT(Table1[[#This Row],[Atc Code]],3)</f>
        <v>J01</v>
      </c>
    </row>
    <row r="1374" spans="1:24" ht="14.4">
      <c r="A1374" s="14">
        <v>1953</v>
      </c>
      <c r="B1374" s="24" t="s">
        <v>3077</v>
      </c>
      <c r="C1374" s="1">
        <v>2124626</v>
      </c>
      <c r="D1374" s="1" t="s">
        <v>25</v>
      </c>
      <c r="E1374" s="36">
        <v>44914</v>
      </c>
      <c r="F1374" s="36">
        <v>44973</v>
      </c>
      <c r="G1374" s="38">
        <f t="shared" si="21"/>
        <v>59</v>
      </c>
      <c r="H1374" s="5">
        <v>44928</v>
      </c>
      <c r="I1374" s="5">
        <v>44974</v>
      </c>
      <c r="J1374" s="1" t="s">
        <v>26</v>
      </c>
      <c r="K1374" s="1" t="s">
        <v>3078</v>
      </c>
      <c r="L1374" s="1" t="s">
        <v>3075</v>
      </c>
      <c r="M1374" s="1" t="s">
        <v>3076</v>
      </c>
      <c r="N1374" s="1" t="s">
        <v>38</v>
      </c>
      <c r="O1374" s="1" t="s">
        <v>97</v>
      </c>
      <c r="Q1374" s="1" t="s">
        <v>1727</v>
      </c>
      <c r="R1374" s="1" t="s">
        <v>113</v>
      </c>
      <c r="S1374" s="1" t="s">
        <v>113</v>
      </c>
      <c r="U1374" s="1" t="s">
        <v>130</v>
      </c>
      <c r="V1374" s="1" t="s">
        <v>811</v>
      </c>
      <c r="W1374" s="1" t="str">
        <f>VLOOKUP(Table1[[#This Row],[Obergruppe ATC-Code]],Tabelle3!$A$2:$B$100,2)</f>
        <v>ANTIBIOTIKA ZUR SYSTEMISCHEN ANWENDUNG</v>
      </c>
      <c r="X1374" s="1" t="str">
        <f xml:space="preserve"> LEFT(Table1[[#This Row],[Atc Code]],3)</f>
        <v>J01</v>
      </c>
    </row>
    <row r="1375" spans="1:24" ht="14.4">
      <c r="A1375" s="14">
        <v>2381</v>
      </c>
      <c r="B1375" s="24" t="s">
        <v>3079</v>
      </c>
      <c r="C1375" s="1">
        <v>2132822</v>
      </c>
      <c r="D1375" s="1" t="s">
        <v>25</v>
      </c>
      <c r="E1375" s="36">
        <v>44915</v>
      </c>
      <c r="F1375" s="36">
        <v>44994</v>
      </c>
      <c r="G1375" s="38">
        <f t="shared" si="21"/>
        <v>79</v>
      </c>
      <c r="H1375" s="5">
        <v>44916</v>
      </c>
      <c r="I1375" s="5">
        <v>44995</v>
      </c>
      <c r="J1375" s="1" t="s">
        <v>26</v>
      </c>
      <c r="K1375" s="1" t="s">
        <v>3080</v>
      </c>
      <c r="L1375" s="1" t="s">
        <v>3075</v>
      </c>
      <c r="M1375" s="1" t="s">
        <v>3076</v>
      </c>
      <c r="N1375" s="1" t="s">
        <v>38</v>
      </c>
      <c r="O1375" s="1" t="s">
        <v>110</v>
      </c>
      <c r="P1375" s="1">
        <v>49733396510</v>
      </c>
      <c r="Q1375" s="1" t="s">
        <v>1141</v>
      </c>
      <c r="R1375" s="1" t="s">
        <v>113</v>
      </c>
      <c r="S1375" s="1"/>
      <c r="U1375" s="1" t="s">
        <v>130</v>
      </c>
      <c r="V1375" s="1" t="s">
        <v>259</v>
      </c>
      <c r="W1375" s="1" t="str">
        <f>VLOOKUP(Table1[[#This Row],[Obergruppe ATC-Code]],Tabelle3!$A$2:$B$100,2)</f>
        <v>ANTIBIOTIKA ZUR SYSTEMISCHEN ANWENDUNG</v>
      </c>
      <c r="X1375" s="1" t="str">
        <f xml:space="preserve"> LEFT(Table1[[#This Row],[Atc Code]],3)</f>
        <v>J01</v>
      </c>
    </row>
    <row r="1376" spans="1:24" ht="14.4">
      <c r="A1376" s="14">
        <v>986</v>
      </c>
      <c r="B1376" s="24">
        <v>8443748</v>
      </c>
      <c r="C1376" s="1">
        <v>2132821</v>
      </c>
      <c r="D1376" s="1" t="s">
        <v>25</v>
      </c>
      <c r="E1376" s="36">
        <v>44915</v>
      </c>
      <c r="F1376" s="36">
        <v>44994</v>
      </c>
      <c r="G1376" s="38">
        <f t="shared" si="21"/>
        <v>79</v>
      </c>
      <c r="H1376" s="5">
        <v>44916</v>
      </c>
      <c r="I1376" s="5">
        <v>44995</v>
      </c>
      <c r="J1376" s="1" t="s">
        <v>26</v>
      </c>
      <c r="K1376" s="1" t="s">
        <v>3081</v>
      </c>
      <c r="L1376" s="1" t="s">
        <v>3075</v>
      </c>
      <c r="M1376" s="1" t="s">
        <v>3076</v>
      </c>
      <c r="N1376" s="1" t="s">
        <v>38</v>
      </c>
      <c r="O1376" s="1" t="s">
        <v>110</v>
      </c>
      <c r="P1376" s="1">
        <v>49733396510</v>
      </c>
      <c r="Q1376" s="1" t="s">
        <v>1141</v>
      </c>
      <c r="R1376" s="1" t="s">
        <v>113</v>
      </c>
      <c r="S1376" s="1"/>
      <c r="U1376" s="1" t="s">
        <v>130</v>
      </c>
      <c r="V1376" s="1" t="s">
        <v>259</v>
      </c>
      <c r="W1376" s="1" t="str">
        <f>VLOOKUP(Table1[[#This Row],[Obergruppe ATC-Code]],Tabelle3!$A$2:$B$100,2)</f>
        <v>ANTIBIOTIKA ZUR SYSTEMISCHEN ANWENDUNG</v>
      </c>
      <c r="X1376" s="1" t="str">
        <f xml:space="preserve"> LEFT(Table1[[#This Row],[Atc Code]],3)</f>
        <v>J01</v>
      </c>
    </row>
    <row r="1377" spans="1:24" ht="14.4">
      <c r="A1377" s="14">
        <v>2516</v>
      </c>
      <c r="B1377" s="24" t="s">
        <v>3082</v>
      </c>
      <c r="C1377" s="1">
        <v>2128207</v>
      </c>
      <c r="D1377" s="1" t="s">
        <v>25</v>
      </c>
      <c r="E1377" s="36">
        <v>44967</v>
      </c>
      <c r="F1377" s="36">
        <v>45009</v>
      </c>
      <c r="G1377" s="38">
        <f t="shared" si="21"/>
        <v>42</v>
      </c>
      <c r="H1377" s="5">
        <v>44967</v>
      </c>
      <c r="I1377" s="5">
        <v>45009</v>
      </c>
      <c r="J1377" s="1" t="s">
        <v>26</v>
      </c>
      <c r="K1377" s="1" t="s">
        <v>3083</v>
      </c>
      <c r="L1377" s="1" t="s">
        <v>3075</v>
      </c>
      <c r="M1377" s="1" t="s">
        <v>3076</v>
      </c>
      <c r="N1377" s="1" t="s">
        <v>38</v>
      </c>
      <c r="O1377" s="1" t="s">
        <v>140</v>
      </c>
      <c r="Q1377" s="1" t="s">
        <v>3065</v>
      </c>
      <c r="R1377" s="1" t="s">
        <v>113</v>
      </c>
      <c r="S1377" s="1"/>
      <c r="U1377" s="1" t="s">
        <v>130</v>
      </c>
      <c r="V1377" s="1" t="s">
        <v>811</v>
      </c>
      <c r="W1377" s="1" t="str">
        <f>VLOOKUP(Table1[[#This Row],[Obergruppe ATC-Code]],Tabelle3!$A$2:$B$100,2)</f>
        <v>ANTIBIOTIKA ZUR SYSTEMISCHEN ANWENDUNG</v>
      </c>
      <c r="X1377" s="1" t="str">
        <f xml:space="preserve"> LEFT(Table1[[#This Row],[Atc Code]],3)</f>
        <v>J01</v>
      </c>
    </row>
    <row r="1378" spans="1:24" ht="14.4">
      <c r="A1378" s="14">
        <v>1139</v>
      </c>
      <c r="B1378" s="24">
        <v>9688179</v>
      </c>
      <c r="C1378" s="1">
        <v>2128206</v>
      </c>
      <c r="D1378" s="1" t="s">
        <v>25</v>
      </c>
      <c r="E1378" s="36">
        <v>44967</v>
      </c>
      <c r="F1378" s="36">
        <v>45012</v>
      </c>
      <c r="G1378" s="38">
        <f t="shared" si="21"/>
        <v>45</v>
      </c>
      <c r="H1378" s="5">
        <v>44967</v>
      </c>
      <c r="I1378" s="5">
        <v>45012</v>
      </c>
      <c r="J1378" s="1" t="s">
        <v>26</v>
      </c>
      <c r="K1378" s="1" t="s">
        <v>3084</v>
      </c>
      <c r="L1378" s="1" t="s">
        <v>3075</v>
      </c>
      <c r="M1378" s="1" t="s">
        <v>3076</v>
      </c>
      <c r="N1378" s="1" t="s">
        <v>38</v>
      </c>
      <c r="O1378" s="1" t="s">
        <v>140</v>
      </c>
      <c r="Q1378" s="1" t="s">
        <v>3065</v>
      </c>
      <c r="R1378" s="1" t="s">
        <v>113</v>
      </c>
      <c r="S1378" s="1"/>
      <c r="U1378" s="1" t="s">
        <v>130</v>
      </c>
      <c r="V1378" s="1" t="s">
        <v>811</v>
      </c>
      <c r="W1378" s="1" t="str">
        <f>VLOOKUP(Table1[[#This Row],[Obergruppe ATC-Code]],Tabelle3!$A$2:$B$100,2)</f>
        <v>ANTIBIOTIKA ZUR SYSTEMISCHEN ANWENDUNG</v>
      </c>
      <c r="X1378" s="1" t="str">
        <f xml:space="preserve"> LEFT(Table1[[#This Row],[Atc Code]],3)</f>
        <v>J01</v>
      </c>
    </row>
    <row r="1379" spans="1:24" ht="14.4">
      <c r="A1379" s="14">
        <v>1666</v>
      </c>
      <c r="B1379" s="24" t="s">
        <v>3085</v>
      </c>
      <c r="C1379" s="1">
        <v>2134964</v>
      </c>
      <c r="D1379" s="1" t="s">
        <v>175</v>
      </c>
      <c r="E1379" s="36">
        <v>45019</v>
      </c>
      <c r="F1379" s="36">
        <v>45290</v>
      </c>
      <c r="G1379" s="38">
        <f t="shared" si="21"/>
        <v>271</v>
      </c>
      <c r="H1379" s="5">
        <v>45019</v>
      </c>
      <c r="I1379" s="5">
        <v>45019</v>
      </c>
      <c r="J1379" s="1" t="s">
        <v>26</v>
      </c>
      <c r="K1379" s="1" t="s">
        <v>3086</v>
      </c>
      <c r="L1379" s="1" t="s">
        <v>3075</v>
      </c>
      <c r="M1379" s="1" t="s">
        <v>3076</v>
      </c>
      <c r="N1379" s="1" t="s">
        <v>38</v>
      </c>
      <c r="O1379" s="1" t="s">
        <v>52</v>
      </c>
      <c r="Q1379" s="1" t="s">
        <v>54</v>
      </c>
      <c r="R1379" s="1" t="s">
        <v>26</v>
      </c>
      <c r="S1379" s="1"/>
      <c r="U1379" s="1" t="s">
        <v>130</v>
      </c>
      <c r="V1379" s="1" t="s">
        <v>99</v>
      </c>
      <c r="W1379" s="1" t="str">
        <f>VLOOKUP(Table1[[#This Row],[Obergruppe ATC-Code]],Tabelle3!$A$2:$B$100,2)</f>
        <v>ANTIBIOTIKA ZUR SYSTEMISCHEN ANWENDUNG</v>
      </c>
      <c r="X1379" s="1" t="str">
        <f xml:space="preserve"> LEFT(Table1[[#This Row],[Atc Code]],3)</f>
        <v>J01</v>
      </c>
    </row>
    <row r="1380" spans="1:24" ht="14.4">
      <c r="A1380" s="14">
        <v>239</v>
      </c>
      <c r="B1380" s="24">
        <v>1356271</v>
      </c>
      <c r="C1380" s="1">
        <v>2132826</v>
      </c>
      <c r="D1380" s="1" t="s">
        <v>25</v>
      </c>
      <c r="E1380" s="36">
        <v>44910</v>
      </c>
      <c r="F1380" s="36">
        <v>45061</v>
      </c>
      <c r="G1380" s="38">
        <f t="shared" si="21"/>
        <v>151</v>
      </c>
      <c r="H1380" s="5">
        <v>44914</v>
      </c>
      <c r="I1380" s="5">
        <v>45061</v>
      </c>
      <c r="J1380" s="1" t="s">
        <v>26</v>
      </c>
      <c r="K1380" s="1" t="s">
        <v>3087</v>
      </c>
      <c r="L1380" s="1" t="s">
        <v>3075</v>
      </c>
      <c r="M1380" s="1" t="s">
        <v>3076</v>
      </c>
      <c r="N1380" s="1" t="s">
        <v>30</v>
      </c>
      <c r="O1380" s="1" t="s">
        <v>2769</v>
      </c>
      <c r="P1380" s="1" t="s">
        <v>2916</v>
      </c>
      <c r="Q1380" s="1" t="s">
        <v>2771</v>
      </c>
      <c r="R1380" s="1" t="s">
        <v>113</v>
      </c>
      <c r="S1380" s="1"/>
      <c r="U1380" s="1" t="s">
        <v>35</v>
      </c>
      <c r="V1380" s="1" t="s">
        <v>811</v>
      </c>
      <c r="W1380" s="1" t="str">
        <f>VLOOKUP(Table1[[#This Row],[Obergruppe ATC-Code]],Tabelle3!$A$2:$B$100,2)</f>
        <v>ANTIBIOTIKA ZUR SYSTEMISCHEN ANWENDUNG</v>
      </c>
      <c r="X1380" s="1" t="str">
        <f xml:space="preserve"> LEFT(Table1[[#This Row],[Atc Code]],3)</f>
        <v>J01</v>
      </c>
    </row>
    <row r="1381" spans="1:24" ht="14.4">
      <c r="A1381" s="14">
        <v>758</v>
      </c>
      <c r="B1381" s="24">
        <v>5492309</v>
      </c>
      <c r="C1381" s="1">
        <v>2100038</v>
      </c>
      <c r="D1381" s="1" t="s">
        <v>25</v>
      </c>
      <c r="E1381" s="36">
        <v>44959</v>
      </c>
      <c r="F1381" s="36">
        <v>45077</v>
      </c>
      <c r="G1381" s="38">
        <f t="shared" si="21"/>
        <v>118</v>
      </c>
      <c r="H1381" s="5">
        <v>44959</v>
      </c>
      <c r="I1381" s="5">
        <v>45082</v>
      </c>
      <c r="J1381" s="1" t="s">
        <v>26</v>
      </c>
      <c r="K1381" s="1" t="s">
        <v>3088</v>
      </c>
      <c r="L1381" s="1" t="s">
        <v>3075</v>
      </c>
      <c r="M1381" s="1" t="s">
        <v>3076</v>
      </c>
      <c r="N1381" s="1" t="s">
        <v>38</v>
      </c>
      <c r="O1381" s="1" t="s">
        <v>2850</v>
      </c>
      <c r="P1381" s="1">
        <v>96289237670</v>
      </c>
      <c r="Q1381" s="1" t="s">
        <v>3089</v>
      </c>
      <c r="R1381" s="1" t="s">
        <v>113</v>
      </c>
      <c r="S1381" s="1" t="s">
        <v>113</v>
      </c>
      <c r="U1381" s="1" t="s">
        <v>130</v>
      </c>
      <c r="V1381" s="1" t="s">
        <v>811</v>
      </c>
      <c r="W1381" s="1" t="str">
        <f>VLOOKUP(Table1[[#This Row],[Obergruppe ATC-Code]],Tabelle3!$A$2:$B$100,2)</f>
        <v>ANTIBIOTIKA ZUR SYSTEMISCHEN ANWENDUNG</v>
      </c>
      <c r="X1381" s="1" t="str">
        <f xml:space="preserve"> LEFT(Table1[[#This Row],[Atc Code]],3)</f>
        <v>J01</v>
      </c>
    </row>
    <row r="1382" spans="1:24" ht="14.4">
      <c r="A1382" s="14">
        <v>385</v>
      </c>
      <c r="B1382" s="24">
        <v>2231494</v>
      </c>
      <c r="C1382" s="1">
        <v>2124625</v>
      </c>
      <c r="D1382" s="1" t="s">
        <v>25</v>
      </c>
      <c r="E1382" s="36">
        <v>44960</v>
      </c>
      <c r="F1382" s="36">
        <v>45092</v>
      </c>
      <c r="G1382" s="38">
        <f t="shared" si="21"/>
        <v>132</v>
      </c>
      <c r="H1382" s="5">
        <v>44959</v>
      </c>
      <c r="I1382" s="5">
        <v>45112</v>
      </c>
      <c r="J1382" s="1" t="s">
        <v>26</v>
      </c>
      <c r="K1382" s="1" t="s">
        <v>3074</v>
      </c>
      <c r="L1382" s="1" t="s">
        <v>3075</v>
      </c>
      <c r="M1382" s="1" t="s">
        <v>3076</v>
      </c>
      <c r="N1382" s="1" t="s">
        <v>30</v>
      </c>
      <c r="O1382" s="1" t="s">
        <v>97</v>
      </c>
      <c r="Q1382" s="1" t="s">
        <v>1727</v>
      </c>
      <c r="R1382" s="1" t="s">
        <v>113</v>
      </c>
      <c r="S1382" s="1" t="s">
        <v>113</v>
      </c>
      <c r="U1382" s="1" t="s">
        <v>130</v>
      </c>
      <c r="V1382" s="1" t="s">
        <v>811</v>
      </c>
      <c r="W1382" s="1" t="str">
        <f>VLOOKUP(Table1[[#This Row],[Obergruppe ATC-Code]],Tabelle3!$A$2:$B$100,2)</f>
        <v>ANTIBIOTIKA ZUR SYSTEMISCHEN ANWENDUNG</v>
      </c>
      <c r="X1382" s="1" t="str">
        <f xml:space="preserve"> LEFT(Table1[[#This Row],[Atc Code]],3)</f>
        <v>J01</v>
      </c>
    </row>
    <row r="1383" spans="1:24" ht="14.4">
      <c r="A1383" s="14">
        <v>617</v>
      </c>
      <c r="B1383" s="24">
        <v>4046370</v>
      </c>
      <c r="C1383" s="1">
        <v>2155224</v>
      </c>
      <c r="D1383" s="1" t="s">
        <v>102</v>
      </c>
      <c r="E1383" s="36">
        <v>45159</v>
      </c>
      <c r="F1383" s="36">
        <v>45299</v>
      </c>
      <c r="G1383" s="38">
        <f t="shared" si="21"/>
        <v>140</v>
      </c>
      <c r="H1383" s="5">
        <v>44904</v>
      </c>
      <c r="I1383" s="5">
        <v>45170</v>
      </c>
      <c r="J1383" s="1" t="s">
        <v>26</v>
      </c>
      <c r="K1383" s="1" t="s">
        <v>3090</v>
      </c>
      <c r="L1383" s="1" t="s">
        <v>3075</v>
      </c>
      <c r="M1383" s="1" t="s">
        <v>3076</v>
      </c>
      <c r="N1383" s="1" t="s">
        <v>30</v>
      </c>
      <c r="O1383" s="1" t="s">
        <v>2769</v>
      </c>
      <c r="P1383" s="1" t="s">
        <v>2770</v>
      </c>
      <c r="Q1383" s="1" t="s">
        <v>2771</v>
      </c>
      <c r="R1383" s="1" t="s">
        <v>113</v>
      </c>
      <c r="S1383" s="1" t="s">
        <v>2923</v>
      </c>
      <c r="U1383" s="1" t="s">
        <v>35</v>
      </c>
      <c r="V1383" s="1" t="s">
        <v>811</v>
      </c>
      <c r="W1383" s="1" t="str">
        <f>VLOOKUP(Table1[[#This Row],[Obergruppe ATC-Code]],Tabelle3!$A$2:$B$100,2)</f>
        <v>ANTIBIOTIKA ZUR SYSTEMISCHEN ANWENDUNG</v>
      </c>
      <c r="X1383" s="1" t="str">
        <f xml:space="preserve"> LEFT(Table1[[#This Row],[Atc Code]],3)</f>
        <v>J01</v>
      </c>
    </row>
    <row r="1384" spans="1:24" ht="14.4">
      <c r="A1384" s="14">
        <v>2515</v>
      </c>
      <c r="B1384" s="24" t="s">
        <v>3082</v>
      </c>
      <c r="C1384" s="1">
        <v>2128207</v>
      </c>
      <c r="D1384" s="1" t="s">
        <v>175</v>
      </c>
      <c r="E1384" s="36">
        <v>45175</v>
      </c>
      <c r="F1384" s="36">
        <v>45281</v>
      </c>
      <c r="G1384" s="38">
        <f t="shared" si="21"/>
        <v>106</v>
      </c>
      <c r="H1384" s="5">
        <v>45175</v>
      </c>
      <c r="I1384" s="5">
        <v>45175</v>
      </c>
      <c r="J1384" s="1" t="s">
        <v>26</v>
      </c>
      <c r="K1384" s="1" t="s">
        <v>3083</v>
      </c>
      <c r="L1384" s="1" t="s">
        <v>3075</v>
      </c>
      <c r="M1384" s="1" t="s">
        <v>3076</v>
      </c>
      <c r="N1384" s="1" t="s">
        <v>38</v>
      </c>
      <c r="O1384" s="1" t="s">
        <v>140</v>
      </c>
      <c r="Q1384" s="1" t="s">
        <v>141</v>
      </c>
      <c r="R1384" s="1" t="s">
        <v>113</v>
      </c>
      <c r="S1384" s="1"/>
      <c r="U1384" s="1" t="s">
        <v>130</v>
      </c>
      <c r="V1384" s="1" t="s">
        <v>811</v>
      </c>
      <c r="W1384" s="1" t="str">
        <f>VLOOKUP(Table1[[#This Row],[Obergruppe ATC-Code]],Tabelle3!$A$2:$B$100,2)</f>
        <v>ANTIBIOTIKA ZUR SYSTEMISCHEN ANWENDUNG</v>
      </c>
      <c r="X1384" s="1" t="str">
        <f xml:space="preserve"> LEFT(Table1[[#This Row],[Atc Code]],3)</f>
        <v>J01</v>
      </c>
    </row>
    <row r="1385" spans="1:24" ht="14.4">
      <c r="A1385" s="14">
        <v>2514</v>
      </c>
      <c r="B1385" s="24" t="s">
        <v>3091</v>
      </c>
      <c r="C1385" s="1">
        <v>2128206</v>
      </c>
      <c r="D1385" s="1" t="s">
        <v>175</v>
      </c>
      <c r="E1385" s="36">
        <v>45175</v>
      </c>
      <c r="F1385" s="36">
        <v>45281</v>
      </c>
      <c r="G1385" s="38">
        <f t="shared" si="21"/>
        <v>106</v>
      </c>
      <c r="H1385" s="5">
        <v>45175</v>
      </c>
      <c r="I1385" s="5">
        <v>45175</v>
      </c>
      <c r="J1385" s="1" t="s">
        <v>26</v>
      </c>
      <c r="K1385" s="1" t="s">
        <v>3084</v>
      </c>
      <c r="L1385" s="1" t="s">
        <v>3075</v>
      </c>
      <c r="M1385" s="1" t="s">
        <v>3076</v>
      </c>
      <c r="N1385" s="1" t="s">
        <v>38</v>
      </c>
      <c r="O1385" s="1" t="s">
        <v>140</v>
      </c>
      <c r="Q1385" s="1" t="s">
        <v>141</v>
      </c>
      <c r="R1385" s="1" t="s">
        <v>113</v>
      </c>
      <c r="S1385" s="1"/>
      <c r="U1385" s="1" t="s">
        <v>130</v>
      </c>
      <c r="V1385" s="1" t="s">
        <v>811</v>
      </c>
      <c r="W1385" s="1" t="str">
        <f>VLOOKUP(Table1[[#This Row],[Obergruppe ATC-Code]],Tabelle3!$A$2:$B$100,2)</f>
        <v>ANTIBIOTIKA ZUR SYSTEMISCHEN ANWENDUNG</v>
      </c>
      <c r="X1385" s="1" t="str">
        <f xml:space="preserve"> LEFT(Table1[[#This Row],[Atc Code]],3)</f>
        <v>J01</v>
      </c>
    </row>
    <row r="1386" spans="1:24" ht="14.4">
      <c r="A1386" s="14">
        <v>985</v>
      </c>
      <c r="B1386" s="24">
        <v>8443748</v>
      </c>
      <c r="C1386" s="1">
        <v>2132821</v>
      </c>
      <c r="D1386" s="1" t="s">
        <v>175</v>
      </c>
      <c r="E1386" s="36">
        <v>45161</v>
      </c>
      <c r="F1386" s="36">
        <v>45246</v>
      </c>
      <c r="G1386" s="38">
        <f t="shared" si="21"/>
        <v>85</v>
      </c>
      <c r="H1386" s="5">
        <v>45175</v>
      </c>
      <c r="I1386" s="5">
        <v>45175</v>
      </c>
      <c r="J1386" s="1" t="s">
        <v>26</v>
      </c>
      <c r="K1386" s="1" t="s">
        <v>3081</v>
      </c>
      <c r="L1386" s="1" t="s">
        <v>3075</v>
      </c>
      <c r="M1386" s="1" t="s">
        <v>3076</v>
      </c>
      <c r="N1386" s="1" t="s">
        <v>38</v>
      </c>
      <c r="O1386" s="1" t="s">
        <v>110</v>
      </c>
      <c r="P1386" s="1">
        <v>49733396510</v>
      </c>
      <c r="Q1386" s="1" t="s">
        <v>112</v>
      </c>
      <c r="R1386" s="1" t="s">
        <v>113</v>
      </c>
      <c r="S1386" s="1"/>
      <c r="U1386" s="1" t="s">
        <v>130</v>
      </c>
      <c r="V1386" s="1" t="s">
        <v>259</v>
      </c>
      <c r="W1386" s="1" t="str">
        <f>VLOOKUP(Table1[[#This Row],[Obergruppe ATC-Code]],Tabelle3!$A$2:$B$100,2)</f>
        <v>ANTIBIOTIKA ZUR SYSTEMISCHEN ANWENDUNG</v>
      </c>
      <c r="X1386" s="1" t="str">
        <f xml:space="preserve"> LEFT(Table1[[#This Row],[Atc Code]],3)</f>
        <v>J01</v>
      </c>
    </row>
    <row r="1387" spans="1:24" ht="14.4">
      <c r="A1387" s="14">
        <v>2882</v>
      </c>
      <c r="B1387" s="24" t="s">
        <v>3092</v>
      </c>
      <c r="C1387" s="1">
        <v>2137023</v>
      </c>
      <c r="D1387" s="1" t="s">
        <v>25</v>
      </c>
      <c r="E1387" s="36">
        <v>45019</v>
      </c>
      <c r="F1387" s="36">
        <v>45177</v>
      </c>
      <c r="G1387" s="38">
        <f t="shared" si="21"/>
        <v>158</v>
      </c>
      <c r="H1387" s="5">
        <v>45019</v>
      </c>
      <c r="I1387" s="5">
        <v>45177</v>
      </c>
      <c r="J1387" s="1" t="s">
        <v>26</v>
      </c>
      <c r="K1387" s="1" t="s">
        <v>3093</v>
      </c>
      <c r="L1387" s="1" t="s">
        <v>3075</v>
      </c>
      <c r="M1387" s="1" t="s">
        <v>3076</v>
      </c>
      <c r="N1387" s="1" t="s">
        <v>38</v>
      </c>
      <c r="O1387" s="1" t="s">
        <v>52</v>
      </c>
      <c r="Q1387" s="1" t="s">
        <v>54</v>
      </c>
      <c r="R1387" s="1" t="s">
        <v>26</v>
      </c>
      <c r="S1387" s="1"/>
      <c r="U1387" s="1" t="s">
        <v>35</v>
      </c>
      <c r="V1387" s="1" t="s">
        <v>99</v>
      </c>
      <c r="W1387" s="1" t="str">
        <f>VLOOKUP(Table1[[#This Row],[Obergruppe ATC-Code]],Tabelle3!$A$2:$B$100,2)</f>
        <v>ANTIBIOTIKA ZUR SYSTEMISCHEN ANWENDUNG</v>
      </c>
      <c r="X1387" s="1" t="str">
        <f xml:space="preserve"> LEFT(Table1[[#This Row],[Atc Code]],3)</f>
        <v>J01</v>
      </c>
    </row>
    <row r="1388" spans="1:24" ht="14.4">
      <c r="A1388" s="14">
        <v>238</v>
      </c>
      <c r="B1388" s="24">
        <v>1356271</v>
      </c>
      <c r="C1388" s="1">
        <v>2132826</v>
      </c>
      <c r="D1388" s="1" t="s">
        <v>102</v>
      </c>
      <c r="E1388" s="36">
        <v>45061</v>
      </c>
      <c r="F1388" s="36">
        <v>45299</v>
      </c>
      <c r="G1388" s="38">
        <f t="shared" si="21"/>
        <v>238</v>
      </c>
      <c r="H1388" s="5">
        <v>45068</v>
      </c>
      <c r="I1388" s="5">
        <v>45177</v>
      </c>
      <c r="J1388" s="1" t="s">
        <v>26</v>
      </c>
      <c r="K1388" s="1" t="s">
        <v>3087</v>
      </c>
      <c r="L1388" s="1" t="s">
        <v>3075</v>
      </c>
      <c r="M1388" s="1" t="s">
        <v>3076</v>
      </c>
      <c r="N1388" s="1" t="s">
        <v>30</v>
      </c>
      <c r="O1388" s="1" t="s">
        <v>2769</v>
      </c>
      <c r="P1388" s="1" t="s">
        <v>2770</v>
      </c>
      <c r="Q1388" s="1" t="s">
        <v>2771</v>
      </c>
      <c r="R1388" s="1" t="s">
        <v>113</v>
      </c>
      <c r="S1388" s="1"/>
      <c r="U1388" s="1" t="s">
        <v>35</v>
      </c>
      <c r="V1388" s="1" t="s">
        <v>811</v>
      </c>
      <c r="W1388" s="1" t="str">
        <f>VLOOKUP(Table1[[#This Row],[Obergruppe ATC-Code]],Tabelle3!$A$2:$B$100,2)</f>
        <v>ANTIBIOTIKA ZUR SYSTEMISCHEN ANWENDUNG</v>
      </c>
      <c r="X1388" s="1" t="str">
        <f xml:space="preserve"> LEFT(Table1[[#This Row],[Atc Code]],3)</f>
        <v>J01</v>
      </c>
    </row>
    <row r="1389" spans="1:24" ht="14.4">
      <c r="A1389" s="14">
        <v>1952</v>
      </c>
      <c r="B1389" s="24" t="s">
        <v>3077</v>
      </c>
      <c r="C1389" s="1">
        <v>2124626</v>
      </c>
      <c r="D1389" s="1" t="s">
        <v>102</v>
      </c>
      <c r="E1389" s="36">
        <v>45185</v>
      </c>
      <c r="F1389" s="36">
        <v>45230</v>
      </c>
      <c r="G1389" s="38">
        <f t="shared" si="21"/>
        <v>45</v>
      </c>
      <c r="H1389" s="5">
        <v>45183</v>
      </c>
      <c r="I1389" s="5">
        <v>45183</v>
      </c>
      <c r="J1389" s="1" t="s">
        <v>26</v>
      </c>
      <c r="K1389" s="1" t="s">
        <v>3078</v>
      </c>
      <c r="L1389" s="1" t="s">
        <v>3075</v>
      </c>
      <c r="M1389" s="1" t="s">
        <v>3076</v>
      </c>
      <c r="N1389" s="1" t="s">
        <v>30</v>
      </c>
      <c r="O1389" s="1" t="s">
        <v>97</v>
      </c>
      <c r="Q1389" s="1" t="s">
        <v>1727</v>
      </c>
      <c r="R1389" s="1" t="s">
        <v>113</v>
      </c>
      <c r="S1389" s="1" t="s">
        <v>3094</v>
      </c>
      <c r="U1389" s="1" t="s">
        <v>130</v>
      </c>
      <c r="V1389" s="1" t="s">
        <v>811</v>
      </c>
      <c r="W1389" s="1" t="str">
        <f>VLOOKUP(Table1[[#This Row],[Obergruppe ATC-Code]],Tabelle3!$A$2:$B$100,2)</f>
        <v>ANTIBIOTIKA ZUR SYSTEMISCHEN ANWENDUNG</v>
      </c>
      <c r="X1389" s="1" t="str">
        <f xml:space="preserve"> LEFT(Table1[[#This Row],[Atc Code]],3)</f>
        <v>J01</v>
      </c>
    </row>
    <row r="1390" spans="1:24" ht="14.4">
      <c r="A1390" s="14">
        <v>25</v>
      </c>
      <c r="B1390" s="24">
        <v>113750</v>
      </c>
      <c r="C1390" s="1">
        <v>2139962</v>
      </c>
      <c r="D1390" s="1" t="s">
        <v>102</v>
      </c>
      <c r="E1390" s="36">
        <v>44944</v>
      </c>
      <c r="F1390" s="36">
        <v>45253</v>
      </c>
      <c r="G1390" s="38">
        <f t="shared" si="21"/>
        <v>309</v>
      </c>
      <c r="H1390" s="5">
        <v>44959</v>
      </c>
      <c r="I1390" s="5">
        <v>45184</v>
      </c>
      <c r="J1390" s="1" t="s">
        <v>26</v>
      </c>
      <c r="K1390" s="1" t="s">
        <v>3095</v>
      </c>
      <c r="L1390" s="1" t="s">
        <v>3075</v>
      </c>
      <c r="M1390" s="1" t="s">
        <v>3076</v>
      </c>
      <c r="N1390" s="1" t="s">
        <v>38</v>
      </c>
      <c r="O1390" s="1" t="s">
        <v>52</v>
      </c>
      <c r="Q1390" s="1" t="s">
        <v>54</v>
      </c>
      <c r="R1390" s="1" t="s">
        <v>113</v>
      </c>
      <c r="S1390" s="1"/>
      <c r="U1390" s="1" t="s">
        <v>130</v>
      </c>
      <c r="V1390" s="1" t="s">
        <v>811</v>
      </c>
      <c r="W1390" s="1" t="str">
        <f>VLOOKUP(Table1[[#This Row],[Obergruppe ATC-Code]],Tabelle3!$A$2:$B$100,2)</f>
        <v>ANTIBIOTIKA ZUR SYSTEMISCHEN ANWENDUNG</v>
      </c>
      <c r="X1390" s="1" t="str">
        <f xml:space="preserve"> LEFT(Table1[[#This Row],[Atc Code]],3)</f>
        <v>J01</v>
      </c>
    </row>
    <row r="1391" spans="1:24" ht="14.4">
      <c r="A1391" s="14">
        <v>24</v>
      </c>
      <c r="B1391" s="24">
        <v>113744</v>
      </c>
      <c r="C1391" s="1">
        <v>2139961</v>
      </c>
      <c r="D1391" s="1" t="s">
        <v>102</v>
      </c>
      <c r="E1391" s="36">
        <v>44944</v>
      </c>
      <c r="F1391" s="36">
        <v>45231</v>
      </c>
      <c r="G1391" s="38">
        <f t="shared" si="21"/>
        <v>287</v>
      </c>
      <c r="H1391" s="5">
        <v>44959</v>
      </c>
      <c r="I1391" s="5">
        <v>45200</v>
      </c>
      <c r="J1391" s="1" t="s">
        <v>26</v>
      </c>
      <c r="K1391" s="1" t="s">
        <v>3096</v>
      </c>
      <c r="L1391" s="1" t="s">
        <v>3075</v>
      </c>
      <c r="M1391" s="1" t="s">
        <v>3076</v>
      </c>
      <c r="N1391" s="1" t="s">
        <v>38</v>
      </c>
      <c r="O1391" s="1" t="s">
        <v>52</v>
      </c>
      <c r="Q1391" s="1" t="s">
        <v>54</v>
      </c>
      <c r="R1391" s="1" t="s">
        <v>113</v>
      </c>
      <c r="S1391" s="1"/>
      <c r="U1391" s="1" t="s">
        <v>130</v>
      </c>
      <c r="V1391" s="1" t="s">
        <v>811</v>
      </c>
      <c r="W1391" s="1" t="str">
        <f>VLOOKUP(Table1[[#This Row],[Obergruppe ATC-Code]],Tabelle3!$A$2:$B$100,2)</f>
        <v>ANTIBIOTIKA ZUR SYSTEMISCHEN ANWENDUNG</v>
      </c>
      <c r="X1391" s="1" t="str">
        <f xml:space="preserve"> LEFT(Table1[[#This Row],[Atc Code]],3)</f>
        <v>J01</v>
      </c>
    </row>
    <row r="1392" spans="1:24" ht="14.4">
      <c r="A1392" s="14">
        <v>863</v>
      </c>
      <c r="B1392" s="24">
        <v>7273534</v>
      </c>
      <c r="C1392" s="1">
        <v>2140877</v>
      </c>
      <c r="D1392" s="1" t="s">
        <v>102</v>
      </c>
      <c r="E1392" s="36">
        <v>45127</v>
      </c>
      <c r="F1392" s="36">
        <v>45275</v>
      </c>
      <c r="G1392" s="38">
        <f t="shared" si="21"/>
        <v>148</v>
      </c>
      <c r="H1392" s="5">
        <v>45140</v>
      </c>
      <c r="I1392" s="5">
        <v>45208</v>
      </c>
      <c r="J1392" s="1" t="s">
        <v>26</v>
      </c>
      <c r="K1392" s="1" t="s">
        <v>3097</v>
      </c>
      <c r="L1392" s="1" t="s">
        <v>3075</v>
      </c>
      <c r="M1392" s="1" t="s">
        <v>3076</v>
      </c>
      <c r="N1392" s="1" t="s">
        <v>38</v>
      </c>
      <c r="O1392" s="1" t="s">
        <v>123</v>
      </c>
      <c r="Q1392" s="1" t="s">
        <v>201</v>
      </c>
      <c r="R1392" s="1" t="s">
        <v>113</v>
      </c>
      <c r="S1392" s="1"/>
      <c r="U1392" s="1" t="s">
        <v>130</v>
      </c>
      <c r="V1392" s="1" t="s">
        <v>262</v>
      </c>
      <c r="W1392" s="1" t="str">
        <f>VLOOKUP(Table1[[#This Row],[Obergruppe ATC-Code]],Tabelle3!$A$2:$B$100,2)</f>
        <v>ANTIBIOTIKA ZUR SYSTEMISCHEN ANWENDUNG</v>
      </c>
      <c r="X1392" s="1" t="str">
        <f xml:space="preserve"> LEFT(Table1[[#This Row],[Atc Code]],3)</f>
        <v>J01</v>
      </c>
    </row>
    <row r="1393" spans="1:24" ht="14.4">
      <c r="A1393" s="14">
        <v>2639</v>
      </c>
      <c r="B1393" s="24" t="s">
        <v>3098</v>
      </c>
      <c r="C1393" s="1">
        <v>2157123</v>
      </c>
      <c r="D1393" s="1" t="s">
        <v>25</v>
      </c>
      <c r="E1393" s="36">
        <v>44013</v>
      </c>
      <c r="F1393" s="36">
        <v>44104</v>
      </c>
      <c r="G1393" s="38">
        <f t="shared" si="21"/>
        <v>91</v>
      </c>
      <c r="H1393" s="5">
        <v>44014</v>
      </c>
      <c r="I1393" s="5">
        <v>44113</v>
      </c>
      <c r="J1393" s="1" t="s">
        <v>41</v>
      </c>
      <c r="K1393" s="1" t="s">
        <v>3099</v>
      </c>
      <c r="L1393" s="1" t="s">
        <v>3100</v>
      </c>
      <c r="M1393" s="1" t="s">
        <v>3101</v>
      </c>
      <c r="N1393" s="1" t="s">
        <v>30</v>
      </c>
      <c r="O1393" s="1" t="s">
        <v>1284</v>
      </c>
      <c r="P1393" s="1">
        <v>895589090</v>
      </c>
      <c r="Q1393" s="1" t="s">
        <v>1286</v>
      </c>
      <c r="R1393" s="1" t="s">
        <v>65</v>
      </c>
      <c r="S1393" s="1"/>
      <c r="U1393" s="1" t="s">
        <v>35</v>
      </c>
      <c r="V1393" s="1" t="s">
        <v>154</v>
      </c>
      <c r="W1393" s="1" t="str">
        <f>VLOOKUP(Table1[[#This Row],[Obergruppe ATC-Code]],Tabelle3!$A$2:$B$100,2)</f>
        <v>ANTIBIOTIKA ZUR SYSTEMISCHEN ANWENDUNG</v>
      </c>
      <c r="X1393" s="1" t="str">
        <f xml:space="preserve"> LEFT(Table1[[#This Row],[Atc Code]],3)</f>
        <v>J01</v>
      </c>
    </row>
    <row r="1394" spans="1:24" ht="14.4">
      <c r="A1394" s="14">
        <v>770</v>
      </c>
      <c r="B1394" s="25">
        <v>5995157</v>
      </c>
      <c r="C1394" s="1">
        <v>2144419</v>
      </c>
      <c r="D1394" s="1" t="s">
        <v>25</v>
      </c>
      <c r="E1394" s="36">
        <v>44197</v>
      </c>
      <c r="F1394" s="36">
        <v>44255</v>
      </c>
      <c r="G1394" s="38">
        <f t="shared" si="21"/>
        <v>58</v>
      </c>
      <c r="H1394" s="5">
        <v>44225</v>
      </c>
      <c r="I1394" s="5">
        <v>44253</v>
      </c>
      <c r="J1394" s="1" t="s">
        <v>41</v>
      </c>
      <c r="K1394" s="1" t="s">
        <v>3102</v>
      </c>
      <c r="L1394" s="1" t="s">
        <v>3100</v>
      </c>
      <c r="M1394" s="1" t="s">
        <v>3101</v>
      </c>
      <c r="N1394" s="1" t="s">
        <v>30</v>
      </c>
      <c r="O1394" s="1" t="s">
        <v>91</v>
      </c>
      <c r="P1394" s="1" t="s">
        <v>92</v>
      </c>
      <c r="Q1394" s="1" t="s">
        <v>93</v>
      </c>
      <c r="R1394" s="1" t="s">
        <v>48</v>
      </c>
      <c r="S1394" s="1"/>
      <c r="U1394" s="1" t="s">
        <v>57</v>
      </c>
      <c r="V1394" s="1" t="s">
        <v>1009</v>
      </c>
      <c r="W1394" s="1" t="str">
        <f>VLOOKUP(Table1[[#This Row],[Obergruppe ATC-Code]],Tabelle3!$A$2:$B$100,2)</f>
        <v>ANTIBIOTIKA ZUR SYSTEMISCHEN ANWENDUNG</v>
      </c>
      <c r="X1394" s="1" t="str">
        <f xml:space="preserve"> LEFT(Table1[[#This Row],[Atc Code]],3)</f>
        <v>J01</v>
      </c>
    </row>
    <row r="1395" spans="1:24" ht="14.4">
      <c r="A1395" s="14">
        <v>771</v>
      </c>
      <c r="B1395" s="25">
        <v>5995163</v>
      </c>
      <c r="C1395" s="1">
        <v>2144420</v>
      </c>
      <c r="D1395" s="1" t="s">
        <v>25</v>
      </c>
      <c r="E1395" s="36">
        <v>44197</v>
      </c>
      <c r="F1395" s="36">
        <v>44286</v>
      </c>
      <c r="G1395" s="38">
        <f t="shared" si="21"/>
        <v>89</v>
      </c>
      <c r="H1395" s="5">
        <v>44225</v>
      </c>
      <c r="I1395" s="5">
        <v>44277</v>
      </c>
      <c r="J1395" s="1" t="s">
        <v>41</v>
      </c>
      <c r="K1395" s="1" t="s">
        <v>3103</v>
      </c>
      <c r="L1395" s="1" t="s">
        <v>3100</v>
      </c>
      <c r="M1395" s="1" t="s">
        <v>3101</v>
      </c>
      <c r="N1395" s="1" t="s">
        <v>30</v>
      </c>
      <c r="O1395" s="1" t="s">
        <v>91</v>
      </c>
      <c r="P1395" s="1" t="s">
        <v>92</v>
      </c>
      <c r="Q1395" s="1" t="s">
        <v>93</v>
      </c>
      <c r="R1395" s="1" t="s">
        <v>48</v>
      </c>
      <c r="S1395" s="1"/>
      <c r="U1395" s="1" t="s">
        <v>57</v>
      </c>
      <c r="V1395" s="1" t="s">
        <v>154</v>
      </c>
      <c r="W1395" s="1" t="str">
        <f>VLOOKUP(Table1[[#This Row],[Obergruppe ATC-Code]],Tabelle3!$A$2:$B$100,2)</f>
        <v>ANTIBIOTIKA ZUR SYSTEMISCHEN ANWENDUNG</v>
      </c>
      <c r="X1395" s="1" t="str">
        <f xml:space="preserve"> LEFT(Table1[[#This Row],[Atc Code]],3)</f>
        <v>J01</v>
      </c>
    </row>
    <row r="1396" spans="1:24" ht="14.4">
      <c r="A1396" s="14">
        <v>2069</v>
      </c>
      <c r="B1396" s="24" t="s">
        <v>3104</v>
      </c>
      <c r="C1396" s="1">
        <v>2144415</v>
      </c>
      <c r="D1396" s="1" t="s">
        <v>25</v>
      </c>
      <c r="E1396" s="36">
        <v>43922</v>
      </c>
      <c r="F1396" s="36">
        <v>44316</v>
      </c>
      <c r="G1396" s="38">
        <f t="shared" si="21"/>
        <v>394</v>
      </c>
      <c r="H1396" s="5">
        <v>43923</v>
      </c>
      <c r="I1396" s="5">
        <v>44302</v>
      </c>
      <c r="J1396" s="1" t="s">
        <v>26</v>
      </c>
      <c r="K1396" s="1" t="s">
        <v>3105</v>
      </c>
      <c r="L1396" s="1" t="s">
        <v>3100</v>
      </c>
      <c r="M1396" s="1" t="s">
        <v>3101</v>
      </c>
      <c r="N1396" s="1" t="s">
        <v>30</v>
      </c>
      <c r="O1396" s="1" t="s">
        <v>45</v>
      </c>
      <c r="P1396" s="1" t="s">
        <v>104</v>
      </c>
      <c r="Q1396" s="1" t="s">
        <v>105</v>
      </c>
      <c r="R1396" s="1" t="s">
        <v>33</v>
      </c>
      <c r="S1396" s="1"/>
      <c r="U1396" s="1" t="s">
        <v>35</v>
      </c>
      <c r="V1396" s="1" t="s">
        <v>1009</v>
      </c>
      <c r="W1396" s="1" t="str">
        <f>VLOOKUP(Table1[[#This Row],[Obergruppe ATC-Code]],Tabelle3!$A$2:$B$100,2)</f>
        <v>ANTIBIOTIKA ZUR SYSTEMISCHEN ANWENDUNG</v>
      </c>
      <c r="X1396" s="1" t="str">
        <f xml:space="preserve"> LEFT(Table1[[#This Row],[Atc Code]],3)</f>
        <v>J01</v>
      </c>
    </row>
    <row r="1397" spans="1:24" ht="14.4">
      <c r="A1397" s="14">
        <v>1181</v>
      </c>
      <c r="B1397" s="25">
        <v>10357281</v>
      </c>
      <c r="C1397" s="1">
        <v>2192223</v>
      </c>
      <c r="D1397" s="1" t="s">
        <v>25</v>
      </c>
      <c r="E1397" s="36">
        <v>43374</v>
      </c>
      <c r="F1397" s="36">
        <v>44165</v>
      </c>
      <c r="G1397" s="38">
        <f t="shared" si="21"/>
        <v>791</v>
      </c>
      <c r="H1397" s="5">
        <v>43397</v>
      </c>
      <c r="I1397" s="5">
        <v>44146</v>
      </c>
      <c r="J1397" s="1" t="s">
        <v>41</v>
      </c>
      <c r="K1397" s="1" t="s">
        <v>3106</v>
      </c>
      <c r="L1397" s="1" t="s">
        <v>3107</v>
      </c>
      <c r="M1397" s="1" t="s">
        <v>3108</v>
      </c>
      <c r="N1397" s="1" t="s">
        <v>30</v>
      </c>
      <c r="O1397" s="1" t="s">
        <v>110</v>
      </c>
      <c r="P1397" s="1" t="s">
        <v>111</v>
      </c>
      <c r="Q1397" s="1" t="s">
        <v>112</v>
      </c>
      <c r="R1397" s="1" t="s">
        <v>26</v>
      </c>
      <c r="S1397" s="1"/>
      <c r="U1397" s="1" t="s">
        <v>35</v>
      </c>
      <c r="V1397" s="1" t="s">
        <v>99</v>
      </c>
      <c r="W1397" s="1" t="str">
        <f>VLOOKUP(Table1[[#This Row],[Obergruppe ATC-Code]],Tabelle3!$A$2:$B$100,2)</f>
        <v>ANTIBIOTIKA ZUR SYSTEMISCHEN ANWENDUNG</v>
      </c>
      <c r="X1397" s="1" t="str">
        <f xml:space="preserve"> LEFT(Table1[[#This Row],[Atc Code]],3)</f>
        <v>J01</v>
      </c>
    </row>
    <row r="1398" spans="1:24" ht="14.4">
      <c r="A1398" s="14">
        <v>2494</v>
      </c>
      <c r="B1398" s="24" t="s">
        <v>3109</v>
      </c>
      <c r="C1398" s="1">
        <v>2190452</v>
      </c>
      <c r="D1398" s="1" t="s">
        <v>102</v>
      </c>
      <c r="E1398" s="36">
        <v>43374</v>
      </c>
      <c r="F1398" s="36">
        <v>45291</v>
      </c>
      <c r="G1398" s="38">
        <f t="shared" si="21"/>
        <v>1917</v>
      </c>
      <c r="H1398" s="5">
        <v>43397</v>
      </c>
      <c r="I1398" s="5">
        <v>45076</v>
      </c>
      <c r="J1398" s="1" t="s">
        <v>26</v>
      </c>
      <c r="K1398" s="1" t="s">
        <v>3110</v>
      </c>
      <c r="L1398" s="1" t="s">
        <v>3107</v>
      </c>
      <c r="M1398" s="1" t="s">
        <v>3108</v>
      </c>
      <c r="N1398" s="1" t="s">
        <v>30</v>
      </c>
      <c r="O1398" s="1" t="s">
        <v>110</v>
      </c>
      <c r="P1398" s="1" t="s">
        <v>111</v>
      </c>
      <c r="Q1398" s="1" t="s">
        <v>112</v>
      </c>
      <c r="R1398" s="1" t="s">
        <v>113</v>
      </c>
      <c r="S1398" s="1"/>
      <c r="U1398" s="1" t="s">
        <v>57</v>
      </c>
      <c r="V1398" s="1" t="s">
        <v>259</v>
      </c>
      <c r="W1398" s="1" t="str">
        <f>VLOOKUP(Table1[[#This Row],[Obergruppe ATC-Code]],Tabelle3!$A$2:$B$100,2)</f>
        <v>ANTIBIOTIKA ZUR SYSTEMISCHEN ANWENDUNG</v>
      </c>
      <c r="X1398" s="1" t="str">
        <f xml:space="preserve"> LEFT(Table1[[#This Row],[Atc Code]],3)</f>
        <v>J01</v>
      </c>
    </row>
    <row r="1399" spans="1:24" ht="14.4">
      <c r="A1399" s="14">
        <v>747</v>
      </c>
      <c r="B1399" s="24">
        <v>5124126</v>
      </c>
      <c r="C1399" s="1">
        <v>2180269</v>
      </c>
      <c r="D1399" s="1" t="s">
        <v>25</v>
      </c>
      <c r="E1399" s="36">
        <v>45106</v>
      </c>
      <c r="F1399" s="36">
        <v>45135</v>
      </c>
      <c r="G1399" s="38">
        <f t="shared" si="21"/>
        <v>29</v>
      </c>
      <c r="H1399" s="5">
        <v>45128</v>
      </c>
      <c r="I1399" s="5">
        <v>45145</v>
      </c>
      <c r="J1399" s="1" t="s">
        <v>41</v>
      </c>
      <c r="K1399" s="1" t="s">
        <v>3111</v>
      </c>
      <c r="L1399" s="1" t="s">
        <v>3107</v>
      </c>
      <c r="M1399" s="1" t="s">
        <v>3112</v>
      </c>
      <c r="N1399" s="1" t="s">
        <v>38</v>
      </c>
      <c r="O1399" s="1" t="s">
        <v>123</v>
      </c>
      <c r="Q1399" s="1" t="s">
        <v>124</v>
      </c>
      <c r="R1399" s="1" t="s">
        <v>128</v>
      </c>
      <c r="S1399" s="1" t="s">
        <v>3070</v>
      </c>
      <c r="U1399" s="1" t="s">
        <v>130</v>
      </c>
      <c r="V1399" s="1" t="s">
        <v>99</v>
      </c>
      <c r="W1399" s="1" t="str">
        <f>VLOOKUP(Table1[[#This Row],[Obergruppe ATC-Code]],Tabelle3!$A$2:$B$100,2)</f>
        <v>ANTIBIOTIKA ZUR SYSTEMISCHEN ANWENDUNG</v>
      </c>
      <c r="X1399" s="1" t="str">
        <f xml:space="preserve"> LEFT(Table1[[#This Row],[Atc Code]],3)</f>
        <v>J01</v>
      </c>
    </row>
    <row r="1400" spans="1:24" ht="14.4">
      <c r="A1400" s="14">
        <v>746</v>
      </c>
      <c r="B1400" s="25">
        <v>5124072</v>
      </c>
      <c r="C1400" s="1">
        <v>2192222</v>
      </c>
      <c r="D1400" s="1" t="s">
        <v>25</v>
      </c>
      <c r="E1400" s="36">
        <v>43374</v>
      </c>
      <c r="F1400" s="36">
        <v>45139</v>
      </c>
      <c r="G1400" s="38">
        <f t="shared" si="21"/>
        <v>1765</v>
      </c>
      <c r="H1400" s="5">
        <v>43397</v>
      </c>
      <c r="I1400" s="5">
        <v>45196</v>
      </c>
      <c r="J1400" s="1" t="s">
        <v>41</v>
      </c>
      <c r="K1400" s="1" t="s">
        <v>3113</v>
      </c>
      <c r="L1400" s="1" t="s">
        <v>3107</v>
      </c>
      <c r="M1400" s="1" t="s">
        <v>3108</v>
      </c>
      <c r="N1400" s="1" t="s">
        <v>38</v>
      </c>
      <c r="O1400" s="1" t="s">
        <v>110</v>
      </c>
      <c r="P1400" s="1" t="s">
        <v>111</v>
      </c>
      <c r="Q1400" s="1" t="s">
        <v>112</v>
      </c>
      <c r="R1400" s="1" t="s">
        <v>26</v>
      </c>
      <c r="S1400" s="1" t="s">
        <v>3114</v>
      </c>
      <c r="U1400" s="1" t="s">
        <v>35</v>
      </c>
      <c r="V1400" s="1" t="s">
        <v>99</v>
      </c>
      <c r="W1400" s="1" t="str">
        <f>VLOOKUP(Table1[[#This Row],[Obergruppe ATC-Code]],Tabelle3!$A$2:$B$100,2)</f>
        <v>ANTIBIOTIKA ZUR SYSTEMISCHEN ANWENDUNG</v>
      </c>
      <c r="X1400" s="1" t="str">
        <f xml:space="preserve"> LEFT(Table1[[#This Row],[Atc Code]],3)</f>
        <v>J01</v>
      </c>
    </row>
    <row r="1401" spans="1:24" ht="14.4">
      <c r="A1401" s="14">
        <v>2614</v>
      </c>
      <c r="B1401" s="24" t="s">
        <v>3115</v>
      </c>
      <c r="C1401" s="1">
        <v>2160410</v>
      </c>
      <c r="D1401" s="1" t="s">
        <v>102</v>
      </c>
      <c r="E1401" s="36">
        <v>44972</v>
      </c>
      <c r="F1401" s="36">
        <v>45327</v>
      </c>
      <c r="G1401" s="38">
        <f t="shared" si="21"/>
        <v>355</v>
      </c>
      <c r="H1401" s="5">
        <v>44977</v>
      </c>
      <c r="I1401" s="5">
        <v>45208</v>
      </c>
      <c r="J1401" s="1" t="s">
        <v>26</v>
      </c>
      <c r="K1401" s="1" t="s">
        <v>3116</v>
      </c>
      <c r="L1401" s="1" t="s">
        <v>3107</v>
      </c>
      <c r="M1401" s="1" t="s">
        <v>3112</v>
      </c>
      <c r="N1401" s="1" t="s">
        <v>30</v>
      </c>
      <c r="O1401" s="1" t="s">
        <v>2769</v>
      </c>
      <c r="P1401" s="1" t="s">
        <v>2770</v>
      </c>
      <c r="Q1401" s="1" t="s">
        <v>2771</v>
      </c>
      <c r="R1401" s="1" t="s">
        <v>113</v>
      </c>
      <c r="S1401" s="1"/>
      <c r="U1401" s="1" t="s">
        <v>35</v>
      </c>
      <c r="V1401" s="1" t="s">
        <v>811</v>
      </c>
      <c r="W1401" s="1" t="str">
        <f>VLOOKUP(Table1[[#This Row],[Obergruppe ATC-Code]],Tabelle3!$A$2:$B$100,2)</f>
        <v>ANTIBIOTIKA ZUR SYSTEMISCHEN ANWENDUNG</v>
      </c>
      <c r="X1401" s="1" t="str">
        <f xml:space="preserve"> LEFT(Table1[[#This Row],[Atc Code]],3)</f>
        <v>J01</v>
      </c>
    </row>
    <row r="1402" spans="1:24" ht="14.4">
      <c r="A1402" s="14">
        <v>442</v>
      </c>
      <c r="B1402" s="25">
        <v>2719296</v>
      </c>
      <c r="C1402" s="1">
        <v>2164073</v>
      </c>
      <c r="D1402" s="1" t="s">
        <v>25</v>
      </c>
      <c r="E1402" s="36">
        <v>43891</v>
      </c>
      <c r="F1402" s="36">
        <v>43951</v>
      </c>
      <c r="G1402" s="38">
        <f t="shared" si="21"/>
        <v>60</v>
      </c>
      <c r="H1402" s="5">
        <v>43910</v>
      </c>
      <c r="I1402" s="5">
        <v>43951</v>
      </c>
      <c r="J1402" s="1" t="s">
        <v>41</v>
      </c>
      <c r="K1402" s="1" t="s">
        <v>3117</v>
      </c>
      <c r="L1402" s="1" t="s">
        <v>3118</v>
      </c>
      <c r="M1402" s="1" t="s">
        <v>3119</v>
      </c>
      <c r="N1402" s="1" t="s">
        <v>38</v>
      </c>
      <c r="O1402" s="1" t="s">
        <v>52</v>
      </c>
      <c r="P1402" s="1" t="s">
        <v>53</v>
      </c>
      <c r="Q1402" s="1" t="s">
        <v>54</v>
      </c>
      <c r="R1402" s="1" t="s">
        <v>48</v>
      </c>
      <c r="S1402" s="1"/>
      <c r="U1402" s="1" t="s">
        <v>35</v>
      </c>
      <c r="V1402" s="1" t="s">
        <v>99</v>
      </c>
      <c r="W1402" s="1" t="str">
        <f>VLOOKUP(Table1[[#This Row],[Obergruppe ATC-Code]],Tabelle3!$A$2:$B$100,2)</f>
        <v>ANTIBIOTIKA ZUR SYSTEMISCHEN ANWENDUNG</v>
      </c>
      <c r="X1402" s="1" t="str">
        <f xml:space="preserve"> LEFT(Table1[[#This Row],[Atc Code]],3)</f>
        <v>J01</v>
      </c>
    </row>
    <row r="1403" spans="1:24" ht="14.4">
      <c r="A1403" s="14">
        <v>1982</v>
      </c>
      <c r="B1403" s="24" t="s">
        <v>3120</v>
      </c>
      <c r="C1403" s="1">
        <v>2164074</v>
      </c>
      <c r="D1403" s="1" t="s">
        <v>25</v>
      </c>
      <c r="E1403" s="36">
        <v>43891</v>
      </c>
      <c r="F1403" s="36">
        <v>44043</v>
      </c>
      <c r="G1403" s="38">
        <f t="shared" si="21"/>
        <v>152</v>
      </c>
      <c r="H1403" s="5">
        <v>43910</v>
      </c>
      <c r="I1403" s="5">
        <v>44041</v>
      </c>
      <c r="J1403" s="1" t="s">
        <v>41</v>
      </c>
      <c r="K1403" s="1" t="s">
        <v>3121</v>
      </c>
      <c r="L1403" s="1" t="s">
        <v>3118</v>
      </c>
      <c r="M1403" s="1" t="s">
        <v>3119</v>
      </c>
      <c r="N1403" s="1" t="s">
        <v>38</v>
      </c>
      <c r="O1403" s="1" t="s">
        <v>52</v>
      </c>
      <c r="P1403" s="1" t="s">
        <v>53</v>
      </c>
      <c r="Q1403" s="1" t="s">
        <v>54</v>
      </c>
      <c r="R1403" s="1" t="s">
        <v>48</v>
      </c>
      <c r="S1403" s="1"/>
      <c r="U1403" s="1" t="s">
        <v>35</v>
      </c>
      <c r="V1403" s="1" t="s">
        <v>259</v>
      </c>
      <c r="W1403" s="1" t="str">
        <f>VLOOKUP(Table1[[#This Row],[Obergruppe ATC-Code]],Tabelle3!$A$2:$B$100,2)</f>
        <v>ANTIBIOTIKA ZUR SYSTEMISCHEN ANWENDUNG</v>
      </c>
      <c r="X1403" s="1" t="str">
        <f xml:space="preserve"> LEFT(Table1[[#This Row],[Atc Code]],3)</f>
        <v>J01</v>
      </c>
    </row>
    <row r="1404" spans="1:24" ht="14.4">
      <c r="A1404" s="14">
        <v>1820</v>
      </c>
      <c r="B1404" s="24" t="s">
        <v>3122</v>
      </c>
      <c r="C1404" s="1">
        <v>2163388</v>
      </c>
      <c r="D1404" s="1" t="s">
        <v>25</v>
      </c>
      <c r="E1404" s="36">
        <v>44665</v>
      </c>
      <c r="F1404" s="36">
        <v>44679</v>
      </c>
      <c r="G1404" s="38">
        <f t="shared" si="21"/>
        <v>14</v>
      </c>
      <c r="H1404" s="5">
        <v>44665</v>
      </c>
      <c r="I1404" s="5">
        <v>44679</v>
      </c>
      <c r="J1404" s="1" t="s">
        <v>26</v>
      </c>
      <c r="K1404" s="1" t="s">
        <v>3123</v>
      </c>
      <c r="L1404" s="1" t="s">
        <v>3118</v>
      </c>
      <c r="M1404" s="1" t="s">
        <v>3119</v>
      </c>
      <c r="N1404" s="1" t="s">
        <v>38</v>
      </c>
      <c r="O1404" s="1" t="s">
        <v>110</v>
      </c>
      <c r="P1404" s="1">
        <v>49733396510</v>
      </c>
      <c r="R1404" s="1" t="s">
        <v>113</v>
      </c>
      <c r="S1404" s="1" t="s">
        <v>647</v>
      </c>
      <c r="U1404" s="1" t="s">
        <v>130</v>
      </c>
      <c r="V1404" s="1" t="s">
        <v>99</v>
      </c>
      <c r="W1404" s="1" t="str">
        <f>VLOOKUP(Table1[[#This Row],[Obergruppe ATC-Code]],Tabelle3!$A$2:$B$100,2)</f>
        <v>ANTIBIOTIKA ZUR SYSTEMISCHEN ANWENDUNG</v>
      </c>
      <c r="X1404" s="1" t="str">
        <f xml:space="preserve"> LEFT(Table1[[#This Row],[Atc Code]],3)</f>
        <v>J01</v>
      </c>
    </row>
    <row r="1405" spans="1:24" ht="14.4">
      <c r="A1405" s="14">
        <v>1789</v>
      </c>
      <c r="B1405" s="24" t="s">
        <v>3124</v>
      </c>
      <c r="C1405" s="1">
        <v>2164572</v>
      </c>
      <c r="D1405" s="1" t="s">
        <v>25</v>
      </c>
      <c r="E1405" s="36">
        <v>44665</v>
      </c>
      <c r="F1405" s="36">
        <v>44697</v>
      </c>
      <c r="G1405" s="38">
        <f t="shared" si="21"/>
        <v>32</v>
      </c>
      <c r="H1405" s="5">
        <v>44665</v>
      </c>
      <c r="I1405" s="5">
        <v>44697</v>
      </c>
      <c r="J1405" s="1" t="s">
        <v>26</v>
      </c>
      <c r="K1405" s="1" t="s">
        <v>3125</v>
      </c>
      <c r="L1405" s="1" t="s">
        <v>3118</v>
      </c>
      <c r="M1405" s="1" t="s">
        <v>3119</v>
      </c>
      <c r="N1405" s="1" t="s">
        <v>38</v>
      </c>
      <c r="O1405" s="1" t="s">
        <v>91</v>
      </c>
      <c r="P1405" s="1" t="s">
        <v>53</v>
      </c>
      <c r="Q1405" s="1" t="s">
        <v>93</v>
      </c>
      <c r="R1405" s="1" t="s">
        <v>26</v>
      </c>
      <c r="S1405" s="1"/>
      <c r="U1405" s="1" t="s">
        <v>130</v>
      </c>
      <c r="V1405" s="1" t="s">
        <v>99</v>
      </c>
      <c r="W1405" s="1" t="str">
        <f>VLOOKUP(Table1[[#This Row],[Obergruppe ATC-Code]],Tabelle3!$A$2:$B$100,2)</f>
        <v>ANTIBIOTIKA ZUR SYSTEMISCHEN ANWENDUNG</v>
      </c>
      <c r="X1405" s="1" t="str">
        <f xml:space="preserve"> LEFT(Table1[[#This Row],[Atc Code]],3)</f>
        <v>J01</v>
      </c>
    </row>
    <row r="1406" spans="1:24" ht="14.4">
      <c r="A1406" s="14">
        <v>1821</v>
      </c>
      <c r="B1406" s="24" t="s">
        <v>3126</v>
      </c>
      <c r="C1406" s="1">
        <v>2163389</v>
      </c>
      <c r="D1406" s="1" t="s">
        <v>25</v>
      </c>
      <c r="E1406" s="36">
        <v>44665</v>
      </c>
      <c r="F1406" s="36">
        <v>44698</v>
      </c>
      <c r="G1406" s="38">
        <f t="shared" si="21"/>
        <v>33</v>
      </c>
      <c r="H1406" s="5">
        <v>44665</v>
      </c>
      <c r="I1406" s="5">
        <v>44698</v>
      </c>
      <c r="J1406" s="1" t="s">
        <v>26</v>
      </c>
      <c r="K1406" s="1" t="s">
        <v>3127</v>
      </c>
      <c r="L1406" s="1" t="s">
        <v>3118</v>
      </c>
      <c r="M1406" s="1" t="s">
        <v>3119</v>
      </c>
      <c r="N1406" s="1" t="s">
        <v>38</v>
      </c>
      <c r="O1406" s="1" t="s">
        <v>110</v>
      </c>
      <c r="P1406" s="1">
        <v>49733396510</v>
      </c>
      <c r="R1406" s="1" t="s">
        <v>113</v>
      </c>
      <c r="S1406" s="1" t="s">
        <v>3128</v>
      </c>
      <c r="U1406" s="1" t="s">
        <v>130</v>
      </c>
      <c r="V1406" s="1" t="s">
        <v>99</v>
      </c>
      <c r="W1406" s="1" t="str">
        <f>VLOOKUP(Table1[[#This Row],[Obergruppe ATC-Code]],Tabelle3!$A$2:$B$100,2)</f>
        <v>ANTIBIOTIKA ZUR SYSTEMISCHEN ANWENDUNG</v>
      </c>
      <c r="X1406" s="1" t="str">
        <f xml:space="preserve"> LEFT(Table1[[#This Row],[Atc Code]],3)</f>
        <v>J01</v>
      </c>
    </row>
    <row r="1407" spans="1:24" ht="14.4">
      <c r="A1407" s="14">
        <v>1981</v>
      </c>
      <c r="B1407" s="24" t="s">
        <v>3129</v>
      </c>
      <c r="C1407" s="1">
        <v>2164073</v>
      </c>
      <c r="D1407" s="1" t="s">
        <v>25</v>
      </c>
      <c r="E1407" s="36">
        <v>44665</v>
      </c>
      <c r="F1407" s="36">
        <v>44701</v>
      </c>
      <c r="G1407" s="38">
        <f t="shared" si="21"/>
        <v>36</v>
      </c>
      <c r="H1407" s="5">
        <v>44665</v>
      </c>
      <c r="I1407" s="5">
        <v>44704</v>
      </c>
      <c r="J1407" s="1" t="s">
        <v>26</v>
      </c>
      <c r="K1407" s="1" t="s">
        <v>3117</v>
      </c>
      <c r="L1407" s="1" t="s">
        <v>3118</v>
      </c>
      <c r="M1407" s="1" t="s">
        <v>3119</v>
      </c>
      <c r="N1407" s="1" t="s">
        <v>38</v>
      </c>
      <c r="O1407" s="1" t="s">
        <v>52</v>
      </c>
      <c r="P1407" s="1" t="s">
        <v>53</v>
      </c>
      <c r="Q1407" s="1" t="s">
        <v>54</v>
      </c>
      <c r="R1407" s="1" t="s">
        <v>26</v>
      </c>
      <c r="S1407" s="1"/>
      <c r="U1407" s="1" t="s">
        <v>130</v>
      </c>
      <c r="V1407" s="1" t="s">
        <v>99</v>
      </c>
      <c r="W1407" s="1" t="str">
        <f>VLOOKUP(Table1[[#This Row],[Obergruppe ATC-Code]],Tabelle3!$A$2:$B$100,2)</f>
        <v>ANTIBIOTIKA ZUR SYSTEMISCHEN ANWENDUNG</v>
      </c>
      <c r="X1407" s="1" t="str">
        <f xml:space="preserve"> LEFT(Table1[[#This Row],[Atc Code]],3)</f>
        <v>J01</v>
      </c>
    </row>
    <row r="1408" spans="1:24" ht="14.4">
      <c r="A1408" s="14">
        <v>1972</v>
      </c>
      <c r="B1408" s="24" t="s">
        <v>3130</v>
      </c>
      <c r="C1408" s="1">
        <v>2164072</v>
      </c>
      <c r="D1408" s="1" t="s">
        <v>25</v>
      </c>
      <c r="E1408" s="36">
        <v>44665</v>
      </c>
      <c r="F1408" s="36">
        <v>44732</v>
      </c>
      <c r="G1408" s="38">
        <f t="shared" si="21"/>
        <v>67</v>
      </c>
      <c r="H1408" s="5">
        <v>44665</v>
      </c>
      <c r="I1408" s="5">
        <v>44732</v>
      </c>
      <c r="J1408" s="1" t="s">
        <v>26</v>
      </c>
      <c r="K1408" s="1" t="s">
        <v>3131</v>
      </c>
      <c r="L1408" s="1" t="s">
        <v>3118</v>
      </c>
      <c r="M1408" s="1" t="s">
        <v>3119</v>
      </c>
      <c r="N1408" s="1" t="s">
        <v>38</v>
      </c>
      <c r="O1408" s="1" t="s">
        <v>52</v>
      </c>
      <c r="P1408" s="1" t="s">
        <v>53</v>
      </c>
      <c r="Q1408" s="1" t="s">
        <v>54</v>
      </c>
      <c r="R1408" s="1" t="s">
        <v>26</v>
      </c>
      <c r="S1408" s="1"/>
      <c r="U1408" s="1" t="s">
        <v>130</v>
      </c>
      <c r="V1408" s="1" t="s">
        <v>99</v>
      </c>
      <c r="W1408" s="1" t="str">
        <f>VLOOKUP(Table1[[#This Row],[Obergruppe ATC-Code]],Tabelle3!$A$2:$B$100,2)</f>
        <v>ANTIBIOTIKA ZUR SYSTEMISCHEN ANWENDUNG</v>
      </c>
      <c r="X1408" s="1" t="str">
        <f xml:space="preserve"> LEFT(Table1[[#This Row],[Atc Code]],3)</f>
        <v>J01</v>
      </c>
    </row>
    <row r="1409" spans="1:24" ht="14.4">
      <c r="A1409" s="14">
        <v>1788</v>
      </c>
      <c r="B1409" s="24" t="s">
        <v>3132</v>
      </c>
      <c r="C1409" s="1">
        <v>2164571</v>
      </c>
      <c r="D1409" s="1" t="s">
        <v>25</v>
      </c>
      <c r="E1409" s="36">
        <v>44665</v>
      </c>
      <c r="F1409" s="36">
        <v>44736</v>
      </c>
      <c r="G1409" s="38">
        <f t="shared" si="21"/>
        <v>71</v>
      </c>
      <c r="H1409" s="5">
        <v>44665</v>
      </c>
      <c r="I1409" s="5">
        <v>44739</v>
      </c>
      <c r="J1409" s="1" t="s">
        <v>26</v>
      </c>
      <c r="K1409" s="1" t="s">
        <v>3133</v>
      </c>
      <c r="L1409" s="1" t="s">
        <v>3118</v>
      </c>
      <c r="M1409" s="1" t="s">
        <v>3119</v>
      </c>
      <c r="N1409" s="1" t="s">
        <v>38</v>
      </c>
      <c r="O1409" s="1" t="s">
        <v>91</v>
      </c>
      <c r="P1409" s="1" t="s">
        <v>3134</v>
      </c>
      <c r="Q1409" s="1" t="s">
        <v>93</v>
      </c>
      <c r="R1409" s="1" t="s">
        <v>26</v>
      </c>
      <c r="S1409" s="1"/>
      <c r="U1409" s="1" t="s">
        <v>130</v>
      </c>
      <c r="V1409" s="1" t="s">
        <v>99</v>
      </c>
      <c r="W1409" s="1" t="str">
        <f>VLOOKUP(Table1[[#This Row],[Obergruppe ATC-Code]],Tabelle3!$A$2:$B$100,2)</f>
        <v>ANTIBIOTIKA ZUR SYSTEMISCHEN ANWENDUNG</v>
      </c>
      <c r="X1409" s="1" t="str">
        <f xml:space="preserve"> LEFT(Table1[[#This Row],[Atc Code]],3)</f>
        <v>J01</v>
      </c>
    </row>
    <row r="1410" spans="1:24" ht="14.4">
      <c r="A1410" s="14">
        <v>1983</v>
      </c>
      <c r="B1410" s="24" t="s">
        <v>3135</v>
      </c>
      <c r="C1410" s="1">
        <v>2164074</v>
      </c>
      <c r="D1410" s="1" t="s">
        <v>102</v>
      </c>
      <c r="E1410" s="36">
        <v>44910</v>
      </c>
      <c r="F1410" s="36">
        <v>45219</v>
      </c>
      <c r="G1410" s="38">
        <f t="shared" ref="G1410:G1473" si="22">F1410-E1410</f>
        <v>309</v>
      </c>
      <c r="H1410" s="5">
        <v>44910</v>
      </c>
      <c r="I1410" s="5">
        <v>45170</v>
      </c>
      <c r="J1410" s="1" t="s">
        <v>26</v>
      </c>
      <c r="K1410" s="1" t="s">
        <v>3121</v>
      </c>
      <c r="L1410" s="1" t="s">
        <v>3118</v>
      </c>
      <c r="M1410" s="1" t="s">
        <v>3119</v>
      </c>
      <c r="N1410" s="1" t="s">
        <v>38</v>
      </c>
      <c r="O1410" s="1" t="s">
        <v>52</v>
      </c>
      <c r="Q1410" s="1" t="s">
        <v>54</v>
      </c>
      <c r="R1410" s="1" t="s">
        <v>33</v>
      </c>
      <c r="S1410" s="1"/>
      <c r="U1410" s="1" t="s">
        <v>130</v>
      </c>
      <c r="V1410" s="1" t="s">
        <v>259</v>
      </c>
      <c r="W1410" s="1" t="str">
        <f>VLOOKUP(Table1[[#This Row],[Obergruppe ATC-Code]],Tabelle3!$A$2:$B$100,2)</f>
        <v>ANTIBIOTIKA ZUR SYSTEMISCHEN ANWENDUNG</v>
      </c>
      <c r="X1410" s="1" t="str">
        <f xml:space="preserve"> LEFT(Table1[[#This Row],[Atc Code]],3)</f>
        <v>J01</v>
      </c>
    </row>
    <row r="1411" spans="1:24" ht="14.4">
      <c r="A1411" s="14">
        <v>139</v>
      </c>
      <c r="B1411" s="24">
        <v>829419</v>
      </c>
      <c r="C1411" s="1">
        <v>2164572</v>
      </c>
      <c r="D1411" s="1" t="s">
        <v>25</v>
      </c>
      <c r="E1411" s="36">
        <v>44981</v>
      </c>
      <c r="F1411" s="36">
        <v>45189</v>
      </c>
      <c r="G1411" s="38">
        <f t="shared" si="22"/>
        <v>208</v>
      </c>
      <c r="H1411" s="5">
        <v>44984</v>
      </c>
      <c r="I1411" s="5">
        <v>45189</v>
      </c>
      <c r="J1411" s="1" t="s">
        <v>26</v>
      </c>
      <c r="K1411" s="1" t="s">
        <v>3125</v>
      </c>
      <c r="L1411" s="1" t="s">
        <v>3118</v>
      </c>
      <c r="M1411" s="1" t="s">
        <v>3119</v>
      </c>
      <c r="N1411" s="1" t="s">
        <v>38</v>
      </c>
      <c r="O1411" s="1" t="s">
        <v>91</v>
      </c>
      <c r="Q1411" s="1" t="s">
        <v>93</v>
      </c>
      <c r="R1411" s="1" t="s">
        <v>113</v>
      </c>
      <c r="S1411" s="1"/>
      <c r="U1411" s="1" t="s">
        <v>130</v>
      </c>
      <c r="V1411" s="1" t="s">
        <v>99</v>
      </c>
      <c r="W1411" s="1" t="str">
        <f>VLOOKUP(Table1[[#This Row],[Obergruppe ATC-Code]],Tabelle3!$A$2:$B$100,2)</f>
        <v>ANTIBIOTIKA ZUR SYSTEMISCHEN ANWENDUNG</v>
      </c>
      <c r="X1411" s="1" t="str">
        <f xml:space="preserve"> LEFT(Table1[[#This Row],[Atc Code]],3)</f>
        <v>J01</v>
      </c>
    </row>
    <row r="1412" spans="1:24" ht="14.4">
      <c r="A1412" s="14">
        <v>424</v>
      </c>
      <c r="B1412" s="24">
        <v>2550242</v>
      </c>
      <c r="C1412" s="1">
        <v>2164072</v>
      </c>
      <c r="D1412" s="1" t="s">
        <v>102</v>
      </c>
      <c r="E1412" s="36">
        <v>44981</v>
      </c>
      <c r="F1412" s="36">
        <v>45254</v>
      </c>
      <c r="G1412" s="38">
        <f t="shared" si="22"/>
        <v>273</v>
      </c>
      <c r="H1412" s="5">
        <v>44981</v>
      </c>
      <c r="I1412" s="5">
        <v>45191</v>
      </c>
      <c r="J1412" s="1" t="s">
        <v>26</v>
      </c>
      <c r="K1412" s="1" t="s">
        <v>3131</v>
      </c>
      <c r="L1412" s="1" t="s">
        <v>3118</v>
      </c>
      <c r="M1412" s="1" t="s">
        <v>3119</v>
      </c>
      <c r="N1412" s="1" t="s">
        <v>38</v>
      </c>
      <c r="O1412" s="1" t="s">
        <v>52</v>
      </c>
      <c r="Q1412" s="1" t="s">
        <v>54</v>
      </c>
      <c r="R1412" s="1" t="s">
        <v>113</v>
      </c>
      <c r="S1412" s="1"/>
      <c r="U1412" s="1" t="s">
        <v>130</v>
      </c>
      <c r="V1412" s="1" t="s">
        <v>99</v>
      </c>
      <c r="W1412" s="1" t="str">
        <f>VLOOKUP(Table1[[#This Row],[Obergruppe ATC-Code]],Tabelle3!$A$2:$B$100,2)</f>
        <v>ANTIBIOTIKA ZUR SYSTEMISCHEN ANWENDUNG</v>
      </c>
      <c r="X1412" s="1" t="str">
        <f xml:space="preserve"> LEFT(Table1[[#This Row],[Atc Code]],3)</f>
        <v>J01</v>
      </c>
    </row>
    <row r="1413" spans="1:24" ht="14.4">
      <c r="A1413" s="14">
        <v>2132</v>
      </c>
      <c r="B1413" s="24" t="s">
        <v>3136</v>
      </c>
      <c r="C1413" s="1">
        <v>2163385</v>
      </c>
      <c r="D1413" s="1" t="s">
        <v>25</v>
      </c>
      <c r="E1413" s="36">
        <v>45110</v>
      </c>
      <c r="F1413" s="36">
        <v>45197</v>
      </c>
      <c r="G1413" s="38">
        <f t="shared" si="22"/>
        <v>87</v>
      </c>
      <c r="H1413" s="5">
        <v>45145</v>
      </c>
      <c r="I1413" s="5">
        <v>45197</v>
      </c>
      <c r="J1413" s="1" t="s">
        <v>41</v>
      </c>
      <c r="K1413" s="1" t="s">
        <v>3137</v>
      </c>
      <c r="L1413" s="1" t="s">
        <v>3118</v>
      </c>
      <c r="M1413" s="1" t="s">
        <v>3119</v>
      </c>
      <c r="N1413" s="1" t="s">
        <v>38</v>
      </c>
      <c r="O1413" s="1" t="s">
        <v>123</v>
      </c>
      <c r="P1413" s="1">
        <v>4961016032416</v>
      </c>
      <c r="Q1413" s="1" t="s">
        <v>127</v>
      </c>
      <c r="R1413" s="1" t="s">
        <v>128</v>
      </c>
      <c r="S1413" s="1" t="s">
        <v>3138</v>
      </c>
      <c r="U1413" s="1" t="s">
        <v>130</v>
      </c>
      <c r="V1413" s="1" t="s">
        <v>99</v>
      </c>
      <c r="W1413" s="1" t="str">
        <f>VLOOKUP(Table1[[#This Row],[Obergruppe ATC-Code]],Tabelle3!$A$2:$B$100,2)</f>
        <v>ANTIBIOTIKA ZUR SYSTEMISCHEN ANWENDUNG</v>
      </c>
      <c r="X1413" s="1" t="str">
        <f xml:space="preserve"> LEFT(Table1[[#This Row],[Atc Code]],3)</f>
        <v>J01</v>
      </c>
    </row>
    <row r="1414" spans="1:24" ht="14.4">
      <c r="A1414" s="14">
        <v>1790</v>
      </c>
      <c r="B1414" s="24" t="s">
        <v>3139</v>
      </c>
      <c r="C1414" s="1">
        <v>2164573</v>
      </c>
      <c r="D1414" s="1" t="s">
        <v>102</v>
      </c>
      <c r="E1414" s="36">
        <v>44910</v>
      </c>
      <c r="F1414" s="36">
        <v>45233</v>
      </c>
      <c r="G1414" s="38">
        <f t="shared" si="22"/>
        <v>323</v>
      </c>
      <c r="H1414" s="5">
        <v>44910</v>
      </c>
      <c r="I1414" s="5">
        <v>45200</v>
      </c>
      <c r="J1414" s="1" t="s">
        <v>26</v>
      </c>
      <c r="K1414" s="1" t="s">
        <v>3140</v>
      </c>
      <c r="L1414" s="1" t="s">
        <v>3118</v>
      </c>
      <c r="M1414" s="1" t="s">
        <v>3119</v>
      </c>
      <c r="N1414" s="1" t="s">
        <v>38</v>
      </c>
      <c r="O1414" s="1" t="s">
        <v>91</v>
      </c>
      <c r="Q1414" s="1" t="s">
        <v>93</v>
      </c>
      <c r="R1414" s="1" t="s">
        <v>33</v>
      </c>
      <c r="S1414" s="1"/>
      <c r="U1414" s="1" t="s">
        <v>130</v>
      </c>
      <c r="V1414" s="1" t="s">
        <v>259</v>
      </c>
      <c r="W1414" s="1" t="str">
        <f>VLOOKUP(Table1[[#This Row],[Obergruppe ATC-Code]],Tabelle3!$A$2:$B$100,2)</f>
        <v>ANTIBIOTIKA ZUR SYSTEMISCHEN ANWENDUNG</v>
      </c>
      <c r="X1414" s="1" t="str">
        <f xml:space="preserve"> LEFT(Table1[[#This Row],[Atc Code]],3)</f>
        <v>J01</v>
      </c>
    </row>
    <row r="1415" spans="1:24" ht="14.4">
      <c r="A1415" s="14">
        <v>2133</v>
      </c>
      <c r="B1415" s="24" t="s">
        <v>3141</v>
      </c>
      <c r="C1415" s="1">
        <v>2163386</v>
      </c>
      <c r="D1415" s="1" t="s">
        <v>102</v>
      </c>
      <c r="E1415" s="36">
        <v>45126</v>
      </c>
      <c r="F1415" s="36">
        <v>45224</v>
      </c>
      <c r="G1415" s="38">
        <f t="shared" si="22"/>
        <v>98</v>
      </c>
      <c r="H1415" s="5">
        <v>45145</v>
      </c>
      <c r="I1415" s="5">
        <v>45209</v>
      </c>
      <c r="J1415" s="1" t="s">
        <v>41</v>
      </c>
      <c r="K1415" s="1" t="s">
        <v>3142</v>
      </c>
      <c r="L1415" s="1" t="s">
        <v>3118</v>
      </c>
      <c r="M1415" s="1" t="s">
        <v>3119</v>
      </c>
      <c r="N1415" s="1" t="s">
        <v>38</v>
      </c>
      <c r="O1415" s="1" t="s">
        <v>123</v>
      </c>
      <c r="P1415" s="1">
        <v>4961016032416</v>
      </c>
      <c r="Q1415" s="1" t="s">
        <v>127</v>
      </c>
      <c r="R1415" s="1" t="s">
        <v>128</v>
      </c>
      <c r="S1415" s="1" t="s">
        <v>3070</v>
      </c>
      <c r="U1415" s="1" t="s">
        <v>130</v>
      </c>
      <c r="V1415" s="1" t="s">
        <v>99</v>
      </c>
      <c r="W1415" s="1" t="str">
        <f>VLOOKUP(Table1[[#This Row],[Obergruppe ATC-Code]],Tabelle3!$A$2:$B$100,2)</f>
        <v>ANTIBIOTIKA ZUR SYSTEMISCHEN ANWENDUNG</v>
      </c>
      <c r="X1415" s="1" t="str">
        <f xml:space="preserve"> LEFT(Table1[[#This Row],[Atc Code]],3)</f>
        <v>J01</v>
      </c>
    </row>
    <row r="1416" spans="1:24" ht="14.4">
      <c r="A1416" s="14">
        <v>1980</v>
      </c>
      <c r="B1416" s="24" t="s">
        <v>3129</v>
      </c>
      <c r="C1416" s="1">
        <v>2164073</v>
      </c>
      <c r="D1416" s="1" t="s">
        <v>102</v>
      </c>
      <c r="E1416" s="36">
        <v>44974</v>
      </c>
      <c r="F1416" s="36">
        <v>45233</v>
      </c>
      <c r="G1416" s="38">
        <f t="shared" si="22"/>
        <v>259</v>
      </c>
      <c r="H1416" s="5">
        <v>44974</v>
      </c>
      <c r="I1416" s="5">
        <v>45215</v>
      </c>
      <c r="J1416" s="1" t="s">
        <v>26</v>
      </c>
      <c r="K1416" s="1" t="s">
        <v>3117</v>
      </c>
      <c r="L1416" s="1" t="s">
        <v>3118</v>
      </c>
      <c r="M1416" s="1" t="s">
        <v>3119</v>
      </c>
      <c r="N1416" s="1" t="s">
        <v>38</v>
      </c>
      <c r="O1416" s="1" t="s">
        <v>52</v>
      </c>
      <c r="Q1416" s="1" t="s">
        <v>54</v>
      </c>
      <c r="R1416" s="1" t="s">
        <v>33</v>
      </c>
      <c r="S1416" s="1"/>
      <c r="U1416" s="1" t="s">
        <v>130</v>
      </c>
      <c r="V1416" s="1" t="s">
        <v>99</v>
      </c>
      <c r="W1416" s="1" t="str">
        <f>VLOOKUP(Table1[[#This Row],[Obergruppe ATC-Code]],Tabelle3!$A$2:$B$100,2)</f>
        <v>ANTIBIOTIKA ZUR SYSTEMISCHEN ANWENDUNG</v>
      </c>
      <c r="X1416" s="1" t="str">
        <f xml:space="preserve"> LEFT(Table1[[#This Row],[Atc Code]],3)</f>
        <v>J01</v>
      </c>
    </row>
    <row r="1417" spans="1:24" ht="14.4">
      <c r="A1417" s="14">
        <v>1787</v>
      </c>
      <c r="B1417" s="24" t="s">
        <v>3132</v>
      </c>
      <c r="C1417" s="1">
        <v>2164571</v>
      </c>
      <c r="D1417" s="1" t="s">
        <v>102</v>
      </c>
      <c r="E1417" s="36">
        <v>44981</v>
      </c>
      <c r="F1417" s="36">
        <v>45382</v>
      </c>
      <c r="G1417" s="38">
        <f t="shared" si="22"/>
        <v>401</v>
      </c>
      <c r="H1417" s="5">
        <v>44984</v>
      </c>
      <c r="I1417" s="5">
        <v>45215</v>
      </c>
      <c r="J1417" s="1" t="s">
        <v>26</v>
      </c>
      <c r="K1417" s="1" t="s">
        <v>3133</v>
      </c>
      <c r="L1417" s="1" t="s">
        <v>3118</v>
      </c>
      <c r="M1417" s="1" t="s">
        <v>3119</v>
      </c>
      <c r="N1417" s="1" t="s">
        <v>38</v>
      </c>
      <c r="O1417" s="1" t="s">
        <v>91</v>
      </c>
      <c r="Q1417" s="1" t="s">
        <v>93</v>
      </c>
      <c r="R1417" s="1" t="s">
        <v>113</v>
      </c>
      <c r="S1417" s="1"/>
      <c r="U1417" s="1" t="s">
        <v>130</v>
      </c>
      <c r="V1417" s="1" t="s">
        <v>99</v>
      </c>
      <c r="W1417" s="1" t="str">
        <f>VLOOKUP(Table1[[#This Row],[Obergruppe ATC-Code]],Tabelle3!$A$2:$B$100,2)</f>
        <v>ANTIBIOTIKA ZUR SYSTEMISCHEN ANWENDUNG</v>
      </c>
      <c r="X1417" s="1" t="str">
        <f xml:space="preserve"> LEFT(Table1[[#This Row],[Atc Code]],3)</f>
        <v>J01</v>
      </c>
    </row>
    <row r="1418" spans="1:24" ht="14.4">
      <c r="A1418" s="14">
        <v>850</v>
      </c>
      <c r="B1418" s="24">
        <v>7147108</v>
      </c>
      <c r="C1418" s="1">
        <v>2138593</v>
      </c>
      <c r="D1418" s="1" t="s">
        <v>25</v>
      </c>
      <c r="E1418" s="36">
        <v>44682</v>
      </c>
      <c r="F1418" s="36">
        <v>44835</v>
      </c>
      <c r="G1418" s="38">
        <f t="shared" si="22"/>
        <v>153</v>
      </c>
      <c r="H1418" s="5">
        <v>44741</v>
      </c>
      <c r="I1418" s="5">
        <v>44867</v>
      </c>
      <c r="J1418" s="1" t="s">
        <v>26</v>
      </c>
      <c r="K1418" s="1" t="s">
        <v>3143</v>
      </c>
      <c r="L1418" s="1" t="s">
        <v>3144</v>
      </c>
      <c r="M1418" s="1" t="s">
        <v>3145</v>
      </c>
      <c r="N1418" s="1" t="s">
        <v>38</v>
      </c>
      <c r="O1418" s="1" t="s">
        <v>329</v>
      </c>
      <c r="P1418" s="1" t="s">
        <v>1259</v>
      </c>
      <c r="Q1418" s="1" t="s">
        <v>331</v>
      </c>
      <c r="R1418" s="1" t="s">
        <v>113</v>
      </c>
      <c r="S1418" s="1" t="s">
        <v>3146</v>
      </c>
      <c r="T1418" s="1" t="s">
        <v>3147</v>
      </c>
      <c r="U1418" s="1" t="s">
        <v>35</v>
      </c>
      <c r="V1418" s="1" t="s">
        <v>787</v>
      </c>
      <c r="W1418" s="1" t="str">
        <f>VLOOKUP(Table1[[#This Row],[Obergruppe ATC-Code]],Tabelle3!$A$2:$B$100,2)</f>
        <v>ANTIBIOTIKA ZUR SYSTEMISCHEN ANWENDUNG</v>
      </c>
      <c r="X1418" s="1" t="str">
        <f xml:space="preserve"> LEFT(Table1[[#This Row],[Atc Code]],3)</f>
        <v>J01</v>
      </c>
    </row>
    <row r="1419" spans="1:24" ht="14.4">
      <c r="A1419" s="14">
        <v>473</v>
      </c>
      <c r="B1419" s="24">
        <v>3037802</v>
      </c>
      <c r="C1419" s="1">
        <v>2104698</v>
      </c>
      <c r="D1419" s="1" t="s">
        <v>25</v>
      </c>
      <c r="E1419" s="36">
        <v>44691</v>
      </c>
      <c r="F1419" s="36">
        <v>44715</v>
      </c>
      <c r="G1419" s="38">
        <f t="shared" si="22"/>
        <v>24</v>
      </c>
      <c r="H1419" s="5">
        <v>44690</v>
      </c>
      <c r="I1419" s="5">
        <v>44715</v>
      </c>
      <c r="J1419" s="1" t="s">
        <v>26</v>
      </c>
      <c r="K1419" s="1" t="s">
        <v>3148</v>
      </c>
      <c r="L1419" s="1" t="s">
        <v>3149</v>
      </c>
      <c r="M1419" s="1" t="s">
        <v>3150</v>
      </c>
      <c r="N1419" s="1" t="s">
        <v>30</v>
      </c>
      <c r="O1419" s="1" t="s">
        <v>1921</v>
      </c>
      <c r="P1419" s="1">
        <v>498945611873</v>
      </c>
      <c r="Q1419" s="1" t="s">
        <v>591</v>
      </c>
      <c r="R1419" s="1" t="s">
        <v>113</v>
      </c>
      <c r="S1419" s="1" t="s">
        <v>3151</v>
      </c>
      <c r="U1419" s="1" t="s">
        <v>35</v>
      </c>
      <c r="V1419" s="1" t="s">
        <v>2290</v>
      </c>
      <c r="W1419" s="1" t="str">
        <f>VLOOKUP(Table1[[#This Row],[Obergruppe ATC-Code]],Tabelle3!$A$2:$B$100,2)</f>
        <v>ANTIBIOTIKA ZUR SYSTEMISCHEN ANWENDUNG</v>
      </c>
      <c r="X1419" s="1" t="str">
        <f xml:space="preserve"> LEFT(Table1[[#This Row],[Atc Code]],3)</f>
        <v>J01</v>
      </c>
    </row>
    <row r="1420" spans="1:24" ht="14.4">
      <c r="A1420" s="14">
        <v>3100</v>
      </c>
      <c r="B1420" s="1">
        <v>11349622</v>
      </c>
      <c r="C1420" s="1">
        <v>2712899</v>
      </c>
      <c r="D1420" s="1" t="s">
        <v>25</v>
      </c>
      <c r="E1420" s="36">
        <v>44166</v>
      </c>
      <c r="F1420" s="36">
        <v>44615</v>
      </c>
      <c r="G1420" s="38">
        <f t="shared" si="22"/>
        <v>449</v>
      </c>
      <c r="H1420" s="5">
        <v>44176</v>
      </c>
      <c r="I1420" s="5">
        <v>44615</v>
      </c>
      <c r="J1420" s="1" t="s">
        <v>41</v>
      </c>
      <c r="K1420" s="1" t="s">
        <v>3152</v>
      </c>
      <c r="L1420" s="1" t="s">
        <v>3153</v>
      </c>
      <c r="M1420" s="1" t="s">
        <v>3154</v>
      </c>
      <c r="N1420" s="1" t="s">
        <v>30</v>
      </c>
      <c r="O1420" s="1" t="s">
        <v>590</v>
      </c>
      <c r="P1420" s="1" t="s">
        <v>256</v>
      </c>
      <c r="Q1420" s="1" t="s">
        <v>257</v>
      </c>
      <c r="R1420" s="1" t="s">
        <v>65</v>
      </c>
      <c r="S1420" s="1"/>
      <c r="T1420" s="1" t="s">
        <v>258</v>
      </c>
      <c r="U1420" s="1" t="s">
        <v>35</v>
      </c>
      <c r="V1420" s="1" t="s">
        <v>3155</v>
      </c>
      <c r="W1420" s="1" t="str">
        <f>VLOOKUP(Table1[[#This Row],[Obergruppe ATC-Code]],Tabelle3!$A$2:$B$100,2)</f>
        <v>ANTIBIOTIKA ZUR SYSTEMISCHEN ANWENDUNG</v>
      </c>
      <c r="X1420" s="1" t="str">
        <f xml:space="preserve"> LEFT(Table1[[#This Row],[Atc Code]],3)</f>
        <v>J01</v>
      </c>
    </row>
    <row r="1421" spans="1:24" ht="14.4">
      <c r="A1421" s="14">
        <v>869</v>
      </c>
      <c r="B1421" s="24">
        <v>7298391</v>
      </c>
      <c r="C1421" s="1">
        <v>614765</v>
      </c>
      <c r="D1421" s="1" t="s">
        <v>25</v>
      </c>
      <c r="E1421" s="36">
        <v>44911</v>
      </c>
      <c r="F1421" s="36">
        <v>44918</v>
      </c>
      <c r="G1421" s="38">
        <f t="shared" si="22"/>
        <v>7</v>
      </c>
      <c r="H1421" s="5">
        <v>44896</v>
      </c>
      <c r="I1421" s="5">
        <v>44918</v>
      </c>
      <c r="J1421" s="1" t="s">
        <v>26</v>
      </c>
      <c r="K1421" s="1" t="s">
        <v>3156</v>
      </c>
      <c r="L1421" s="1" t="s">
        <v>3157</v>
      </c>
      <c r="M1421" s="1" t="s">
        <v>3158</v>
      </c>
      <c r="N1421" s="1" t="s">
        <v>30</v>
      </c>
      <c r="O1421" s="1" t="s">
        <v>2769</v>
      </c>
      <c r="P1421" s="1" t="s">
        <v>2770</v>
      </c>
      <c r="Q1421" s="1" t="s">
        <v>2809</v>
      </c>
      <c r="R1421" s="1" t="s">
        <v>113</v>
      </c>
      <c r="S1421" s="1" t="s">
        <v>3159</v>
      </c>
      <c r="U1421" s="1" t="s">
        <v>130</v>
      </c>
      <c r="V1421" s="1" t="s">
        <v>2924</v>
      </c>
      <c r="W1421" s="1" t="str">
        <f>VLOOKUP(Table1[[#This Row],[Obergruppe ATC-Code]],Tabelle3!$A$2:$B$100,2)</f>
        <v>ANTIBIOTIKA ZUR SYSTEMISCHEN ANWENDUNG</v>
      </c>
      <c r="X1421" s="1" t="str">
        <f xml:space="preserve"> LEFT(Table1[[#This Row],[Atc Code]],3)</f>
        <v>J01</v>
      </c>
    </row>
    <row r="1422" spans="1:24" ht="14.4">
      <c r="A1422" s="14">
        <v>2122</v>
      </c>
      <c r="B1422" s="24" t="s">
        <v>3160</v>
      </c>
      <c r="C1422" s="1">
        <v>613406</v>
      </c>
      <c r="D1422" s="1" t="s">
        <v>25</v>
      </c>
      <c r="E1422" s="36">
        <v>44911</v>
      </c>
      <c r="F1422" s="36">
        <v>45002</v>
      </c>
      <c r="G1422" s="38">
        <f t="shared" si="22"/>
        <v>91</v>
      </c>
      <c r="H1422" s="5">
        <v>44896</v>
      </c>
      <c r="I1422" s="5">
        <v>45005</v>
      </c>
      <c r="J1422" s="1" t="s">
        <v>26</v>
      </c>
      <c r="K1422" s="1" t="s">
        <v>3161</v>
      </c>
      <c r="L1422" s="1" t="s">
        <v>3157</v>
      </c>
      <c r="M1422" s="1" t="s">
        <v>3158</v>
      </c>
      <c r="N1422" s="1" t="s">
        <v>30</v>
      </c>
      <c r="O1422" s="1" t="s">
        <v>2769</v>
      </c>
      <c r="P1422" s="1" t="s">
        <v>3162</v>
      </c>
      <c r="Q1422" s="1" t="s">
        <v>2771</v>
      </c>
      <c r="R1422" s="1" t="s">
        <v>113</v>
      </c>
      <c r="S1422" s="1" t="s">
        <v>3159</v>
      </c>
      <c r="U1422" s="1" t="s">
        <v>35</v>
      </c>
      <c r="V1422" s="1" t="s">
        <v>2924</v>
      </c>
      <c r="W1422" s="1" t="str">
        <f>VLOOKUP(Table1[[#This Row],[Obergruppe ATC-Code]],Tabelle3!$A$2:$B$100,2)</f>
        <v>ANTIBIOTIKA ZUR SYSTEMISCHEN ANWENDUNG</v>
      </c>
      <c r="X1422" s="1" t="str">
        <f xml:space="preserve"> LEFT(Table1[[#This Row],[Atc Code]],3)</f>
        <v>J01</v>
      </c>
    </row>
    <row r="1423" spans="1:24" ht="14.4">
      <c r="A1423" s="14">
        <v>868</v>
      </c>
      <c r="B1423" s="24">
        <v>7298391</v>
      </c>
      <c r="C1423" s="1">
        <v>614765</v>
      </c>
      <c r="D1423" s="1" t="s">
        <v>25</v>
      </c>
      <c r="E1423" s="36">
        <v>45013</v>
      </c>
      <c r="F1423" s="36">
        <v>45054</v>
      </c>
      <c r="G1423" s="38">
        <f t="shared" si="22"/>
        <v>41</v>
      </c>
      <c r="H1423" s="5">
        <v>45020</v>
      </c>
      <c r="I1423" s="5">
        <v>45054</v>
      </c>
      <c r="J1423" s="1" t="s">
        <v>26</v>
      </c>
      <c r="K1423" s="1" t="s">
        <v>3156</v>
      </c>
      <c r="L1423" s="1" t="s">
        <v>3157</v>
      </c>
      <c r="M1423" s="1" t="s">
        <v>3158</v>
      </c>
      <c r="N1423" s="1" t="s">
        <v>30</v>
      </c>
      <c r="O1423" s="1" t="s">
        <v>2769</v>
      </c>
      <c r="P1423" s="1" t="s">
        <v>2770</v>
      </c>
      <c r="Q1423" s="1" t="s">
        <v>2771</v>
      </c>
      <c r="R1423" s="1" t="s">
        <v>113</v>
      </c>
      <c r="S1423" s="1"/>
      <c r="U1423" s="1" t="s">
        <v>35</v>
      </c>
      <c r="V1423" s="1" t="s">
        <v>2924</v>
      </c>
      <c r="W1423" s="1" t="str">
        <f>VLOOKUP(Table1[[#This Row],[Obergruppe ATC-Code]],Tabelle3!$A$2:$B$100,2)</f>
        <v>ANTIBIOTIKA ZUR SYSTEMISCHEN ANWENDUNG</v>
      </c>
      <c r="X1423" s="1" t="str">
        <f xml:space="preserve"> LEFT(Table1[[#This Row],[Atc Code]],3)</f>
        <v>J01</v>
      </c>
    </row>
    <row r="1424" spans="1:24" ht="14.4">
      <c r="A1424" s="14">
        <v>645</v>
      </c>
      <c r="B1424" s="24">
        <v>4240445</v>
      </c>
      <c r="C1424" s="1">
        <v>613406</v>
      </c>
      <c r="D1424" s="1" t="s">
        <v>25</v>
      </c>
      <c r="E1424" s="36">
        <v>45050</v>
      </c>
      <c r="F1424" s="36">
        <v>45079</v>
      </c>
      <c r="G1424" s="38">
        <f t="shared" si="22"/>
        <v>29</v>
      </c>
      <c r="H1424" s="5">
        <v>45054</v>
      </c>
      <c r="I1424" s="5">
        <v>45082</v>
      </c>
      <c r="J1424" s="1" t="s">
        <v>26</v>
      </c>
      <c r="K1424" s="1" t="s">
        <v>3161</v>
      </c>
      <c r="L1424" s="1" t="s">
        <v>3157</v>
      </c>
      <c r="M1424" s="1" t="s">
        <v>3158</v>
      </c>
      <c r="N1424" s="1" t="s">
        <v>30</v>
      </c>
      <c r="O1424" s="1" t="s">
        <v>2769</v>
      </c>
      <c r="P1424" s="1" t="s">
        <v>3047</v>
      </c>
      <c r="Q1424" s="1" t="s">
        <v>2771</v>
      </c>
      <c r="R1424" s="1" t="s">
        <v>113</v>
      </c>
      <c r="S1424" s="1"/>
      <c r="U1424" s="1" t="s">
        <v>35</v>
      </c>
      <c r="V1424" s="1" t="s">
        <v>2924</v>
      </c>
      <c r="W1424" s="1" t="str">
        <f>VLOOKUP(Table1[[#This Row],[Obergruppe ATC-Code]],Tabelle3!$A$2:$B$100,2)</f>
        <v>ANTIBIOTIKA ZUR SYSTEMISCHEN ANWENDUNG</v>
      </c>
      <c r="X1424" s="1" t="str">
        <f xml:space="preserve"> LEFT(Table1[[#This Row],[Atc Code]],3)</f>
        <v>J01</v>
      </c>
    </row>
    <row r="1425" spans="1:24" ht="14.4">
      <c r="A1425" s="14">
        <v>867</v>
      </c>
      <c r="B1425" s="24">
        <v>7298391</v>
      </c>
      <c r="C1425" s="1">
        <v>614765</v>
      </c>
      <c r="D1425" s="1" t="s">
        <v>25</v>
      </c>
      <c r="E1425" s="36">
        <v>45078</v>
      </c>
      <c r="F1425" s="36">
        <v>45145</v>
      </c>
      <c r="G1425" s="38">
        <f t="shared" si="22"/>
        <v>67</v>
      </c>
      <c r="H1425" s="5">
        <v>45082</v>
      </c>
      <c r="I1425" s="5">
        <v>45145</v>
      </c>
      <c r="J1425" s="1" t="s">
        <v>26</v>
      </c>
      <c r="K1425" s="1" t="s">
        <v>3156</v>
      </c>
      <c r="L1425" s="1" t="s">
        <v>3157</v>
      </c>
      <c r="M1425" s="1" t="s">
        <v>3158</v>
      </c>
      <c r="N1425" s="1" t="s">
        <v>30</v>
      </c>
      <c r="O1425" s="1" t="s">
        <v>2769</v>
      </c>
      <c r="P1425" s="1" t="s">
        <v>2770</v>
      </c>
      <c r="Q1425" s="1" t="s">
        <v>2771</v>
      </c>
      <c r="R1425" s="1" t="s">
        <v>113</v>
      </c>
      <c r="S1425" s="1"/>
      <c r="U1425" s="1" t="s">
        <v>35</v>
      </c>
      <c r="V1425" s="1" t="s">
        <v>2924</v>
      </c>
      <c r="W1425" s="1" t="str">
        <f>VLOOKUP(Table1[[#This Row],[Obergruppe ATC-Code]],Tabelle3!$A$2:$B$100,2)</f>
        <v>ANTIBIOTIKA ZUR SYSTEMISCHEN ANWENDUNG</v>
      </c>
      <c r="X1425" s="1" t="str">
        <f xml:space="preserve"> LEFT(Table1[[#This Row],[Atc Code]],3)</f>
        <v>J01</v>
      </c>
    </row>
    <row r="1426" spans="1:24" ht="14.4">
      <c r="A1426" s="14">
        <v>2315</v>
      </c>
      <c r="B1426" s="24" t="s">
        <v>3163</v>
      </c>
      <c r="C1426" s="1">
        <v>814197</v>
      </c>
      <c r="D1426" s="1" t="s">
        <v>25</v>
      </c>
      <c r="E1426" s="36">
        <v>43070</v>
      </c>
      <c r="F1426" s="36">
        <v>44868</v>
      </c>
      <c r="G1426" s="38">
        <f t="shared" si="22"/>
        <v>1798</v>
      </c>
      <c r="H1426" s="5">
        <v>43068</v>
      </c>
      <c r="I1426" s="5">
        <v>44874</v>
      </c>
      <c r="J1426" s="1" t="s">
        <v>41</v>
      </c>
      <c r="K1426" s="1" t="s">
        <v>3164</v>
      </c>
      <c r="L1426" s="1" t="s">
        <v>3165</v>
      </c>
      <c r="M1426" s="1" t="s">
        <v>3166</v>
      </c>
      <c r="N1426" s="1" t="s">
        <v>30</v>
      </c>
      <c r="O1426" s="1" t="s">
        <v>364</v>
      </c>
      <c r="P1426" s="1" t="s">
        <v>3167</v>
      </c>
      <c r="Q1426" s="1" t="s">
        <v>366</v>
      </c>
      <c r="R1426" s="1" t="s">
        <v>48</v>
      </c>
      <c r="S1426" s="1"/>
      <c r="T1426" s="1" t="s">
        <v>3168</v>
      </c>
      <c r="U1426" s="1" t="s">
        <v>35</v>
      </c>
      <c r="V1426" s="1" t="s">
        <v>49</v>
      </c>
      <c r="W1426" s="1" t="str">
        <f>VLOOKUP(Table1[[#This Row],[Obergruppe ATC-Code]],Tabelle3!$A$2:$B$100,2)</f>
        <v>ANTIBIOTIKA ZUR SYSTEMISCHEN ANWENDUNG</v>
      </c>
      <c r="X1426" s="1" t="str">
        <f xml:space="preserve"> LEFT(Table1[[#This Row],[Atc Code]],3)</f>
        <v>J01</v>
      </c>
    </row>
    <row r="1427" spans="1:24" ht="14.4">
      <c r="A1427" s="14">
        <v>546</v>
      </c>
      <c r="B1427" s="24">
        <v>3454109</v>
      </c>
      <c r="C1427" s="1">
        <v>2113156</v>
      </c>
      <c r="D1427" s="1" t="s">
        <v>25</v>
      </c>
      <c r="E1427" s="36">
        <v>43800</v>
      </c>
      <c r="F1427" s="36">
        <v>43861</v>
      </c>
      <c r="G1427" s="38">
        <f t="shared" si="22"/>
        <v>61</v>
      </c>
      <c r="H1427" s="5">
        <v>43818</v>
      </c>
      <c r="I1427" s="5">
        <v>43852</v>
      </c>
      <c r="J1427" s="1" t="s">
        <v>41</v>
      </c>
      <c r="K1427" s="1" t="s">
        <v>3169</v>
      </c>
      <c r="L1427" s="1" t="s">
        <v>3170</v>
      </c>
      <c r="M1427" s="1" t="s">
        <v>3171</v>
      </c>
      <c r="N1427" s="1" t="s">
        <v>30</v>
      </c>
      <c r="O1427" s="1" t="s">
        <v>110</v>
      </c>
      <c r="P1427" s="1" t="s">
        <v>111</v>
      </c>
      <c r="Q1427" s="1" t="s">
        <v>112</v>
      </c>
      <c r="R1427" s="1" t="s">
        <v>26</v>
      </c>
      <c r="S1427" s="1"/>
      <c r="U1427" s="1" t="s">
        <v>35</v>
      </c>
      <c r="V1427" s="1" t="s">
        <v>49</v>
      </c>
      <c r="W1427" s="1" t="str">
        <f>VLOOKUP(Table1[[#This Row],[Obergruppe ATC-Code]],Tabelle3!$A$2:$B$100,2)</f>
        <v>ANTIBIOTIKA ZUR SYSTEMISCHEN ANWENDUNG</v>
      </c>
      <c r="X1427" s="1" t="str">
        <f xml:space="preserve"> LEFT(Table1[[#This Row],[Atc Code]],3)</f>
        <v>J01</v>
      </c>
    </row>
    <row r="1428" spans="1:24" ht="14.4">
      <c r="A1428" s="14">
        <v>2836</v>
      </c>
      <c r="B1428" s="25" t="s">
        <v>3172</v>
      </c>
      <c r="C1428" s="1">
        <v>2105686</v>
      </c>
      <c r="D1428" s="1" t="s">
        <v>25</v>
      </c>
      <c r="E1428" s="36">
        <v>43862</v>
      </c>
      <c r="F1428" s="36">
        <v>43951</v>
      </c>
      <c r="G1428" s="38">
        <f t="shared" si="22"/>
        <v>89</v>
      </c>
      <c r="H1428" s="5">
        <v>43886</v>
      </c>
      <c r="I1428" s="5">
        <v>43958</v>
      </c>
      <c r="J1428" s="1" t="s">
        <v>41</v>
      </c>
      <c r="K1428" s="1" t="s">
        <v>3173</v>
      </c>
      <c r="L1428" s="1" t="s">
        <v>3170</v>
      </c>
      <c r="M1428" s="1" t="s">
        <v>3171</v>
      </c>
      <c r="N1428" s="1" t="s">
        <v>30</v>
      </c>
      <c r="O1428" s="1" t="s">
        <v>52</v>
      </c>
      <c r="P1428" s="1" t="s">
        <v>53</v>
      </c>
      <c r="Q1428" s="1" t="s">
        <v>54</v>
      </c>
      <c r="R1428" s="1" t="s">
        <v>48</v>
      </c>
      <c r="S1428" s="1"/>
      <c r="U1428" s="1" t="s">
        <v>35</v>
      </c>
      <c r="V1428" s="1" t="s">
        <v>49</v>
      </c>
      <c r="W1428" s="1" t="str">
        <f>VLOOKUP(Table1[[#This Row],[Obergruppe ATC-Code]],Tabelle3!$A$2:$B$100,2)</f>
        <v>ANTIBIOTIKA ZUR SYSTEMISCHEN ANWENDUNG</v>
      </c>
      <c r="X1428" s="1" t="str">
        <f xml:space="preserve"> LEFT(Table1[[#This Row],[Atc Code]],3)</f>
        <v>J01</v>
      </c>
    </row>
    <row r="1429" spans="1:24" ht="14.4">
      <c r="A1429" s="14">
        <v>2903</v>
      </c>
      <c r="B1429" s="25" t="s">
        <v>3174</v>
      </c>
      <c r="C1429" s="1">
        <v>2101494</v>
      </c>
      <c r="D1429" s="1" t="s">
        <v>25</v>
      </c>
      <c r="E1429" s="36">
        <v>43831</v>
      </c>
      <c r="F1429" s="36">
        <v>44012</v>
      </c>
      <c r="G1429" s="38">
        <f t="shared" si="22"/>
        <v>181</v>
      </c>
      <c r="H1429" s="5">
        <v>43874</v>
      </c>
      <c r="I1429" s="5">
        <v>43998</v>
      </c>
      <c r="J1429" s="1" t="s">
        <v>41</v>
      </c>
      <c r="K1429" s="1" t="s">
        <v>3175</v>
      </c>
      <c r="L1429" s="1" t="s">
        <v>3170</v>
      </c>
      <c r="M1429" s="1" t="s">
        <v>3171</v>
      </c>
      <c r="N1429" s="1" t="s">
        <v>30</v>
      </c>
      <c r="O1429" s="1" t="s">
        <v>45</v>
      </c>
      <c r="P1429" s="1" t="s">
        <v>55</v>
      </c>
      <c r="Q1429" s="1" t="s">
        <v>47</v>
      </c>
      <c r="R1429" s="1" t="s">
        <v>26</v>
      </c>
      <c r="S1429" s="1"/>
      <c r="U1429" s="1" t="s">
        <v>57</v>
      </c>
      <c r="V1429" s="1" t="s">
        <v>49</v>
      </c>
      <c r="W1429" s="1" t="str">
        <f>VLOOKUP(Table1[[#This Row],[Obergruppe ATC-Code]],Tabelle3!$A$2:$B$100,2)</f>
        <v>ANTIBIOTIKA ZUR SYSTEMISCHEN ANWENDUNG</v>
      </c>
      <c r="X1429" s="1" t="str">
        <f xml:space="preserve"> LEFT(Table1[[#This Row],[Atc Code]],3)</f>
        <v>J01</v>
      </c>
    </row>
    <row r="1430" spans="1:24" ht="14.4">
      <c r="A1430" s="14">
        <v>2078</v>
      </c>
      <c r="B1430" s="25" t="s">
        <v>3176</v>
      </c>
      <c r="C1430" s="1">
        <v>2100170</v>
      </c>
      <c r="D1430" s="1" t="s">
        <v>25</v>
      </c>
      <c r="E1430" s="36">
        <v>43831</v>
      </c>
      <c r="F1430" s="36">
        <v>44012</v>
      </c>
      <c r="G1430" s="38">
        <f t="shared" si="22"/>
        <v>181</v>
      </c>
      <c r="H1430" s="5">
        <v>43874</v>
      </c>
      <c r="I1430" s="5">
        <v>43998</v>
      </c>
      <c r="J1430" s="1" t="s">
        <v>41</v>
      </c>
      <c r="K1430" s="1" t="s">
        <v>3177</v>
      </c>
      <c r="L1430" s="1" t="s">
        <v>3170</v>
      </c>
      <c r="M1430" s="1" t="s">
        <v>3171</v>
      </c>
      <c r="N1430" s="1" t="s">
        <v>30</v>
      </c>
      <c r="O1430" s="1" t="s">
        <v>45</v>
      </c>
      <c r="P1430" s="1" t="s">
        <v>55</v>
      </c>
      <c r="Q1430" s="1" t="s">
        <v>47</v>
      </c>
      <c r="R1430" s="1" t="s">
        <v>26</v>
      </c>
      <c r="S1430" s="1"/>
      <c r="U1430" s="1" t="s">
        <v>57</v>
      </c>
      <c r="V1430" s="1" t="s">
        <v>49</v>
      </c>
      <c r="W1430" s="1" t="str">
        <f>VLOOKUP(Table1[[#This Row],[Obergruppe ATC-Code]],Tabelle3!$A$2:$B$100,2)</f>
        <v>ANTIBIOTIKA ZUR SYSTEMISCHEN ANWENDUNG</v>
      </c>
      <c r="X1430" s="1" t="str">
        <f xml:space="preserve"> LEFT(Table1[[#This Row],[Atc Code]],3)</f>
        <v>J01</v>
      </c>
    </row>
    <row r="1431" spans="1:24" ht="14.4">
      <c r="A1431" s="14">
        <v>1596</v>
      </c>
      <c r="B1431" s="24">
        <v>17550590</v>
      </c>
      <c r="C1431" s="1">
        <v>30691</v>
      </c>
      <c r="D1431" s="1" t="s">
        <v>25</v>
      </c>
      <c r="E1431" s="36">
        <v>43862</v>
      </c>
      <c r="F1431" s="36">
        <v>44012</v>
      </c>
      <c r="G1431" s="38">
        <f t="shared" si="22"/>
        <v>150</v>
      </c>
      <c r="H1431" s="5">
        <v>43880</v>
      </c>
      <c r="I1431" s="5">
        <v>43998</v>
      </c>
      <c r="J1431" s="1" t="s">
        <v>41</v>
      </c>
      <c r="K1431" s="1" t="s">
        <v>3178</v>
      </c>
      <c r="L1431" s="1" t="s">
        <v>3170</v>
      </c>
      <c r="M1431" s="1" t="s">
        <v>3171</v>
      </c>
      <c r="N1431" s="1" t="s">
        <v>30</v>
      </c>
      <c r="O1431" s="1" t="s">
        <v>45</v>
      </c>
      <c r="P1431" s="1" t="s">
        <v>55</v>
      </c>
      <c r="Q1431" s="1" t="s">
        <v>56</v>
      </c>
      <c r="R1431" s="1" t="s">
        <v>26</v>
      </c>
      <c r="S1431" s="1"/>
      <c r="U1431" s="1" t="s">
        <v>57</v>
      </c>
      <c r="V1431" s="1" t="s">
        <v>3179</v>
      </c>
      <c r="W1431" s="1" t="str">
        <f>VLOOKUP(Table1[[#This Row],[Obergruppe ATC-Code]],Tabelle3!$A$2:$B$100,2)</f>
        <v>ANTIBIOTIKA ZUR SYSTEMISCHEN ANWENDUNG</v>
      </c>
      <c r="X1431" s="1" t="str">
        <f xml:space="preserve"> LEFT(Table1[[#This Row],[Atc Code]],3)</f>
        <v>J01</v>
      </c>
    </row>
    <row r="1432" spans="1:24" ht="14.4">
      <c r="A1432" s="14">
        <v>705</v>
      </c>
      <c r="B1432" s="24">
        <v>4788261</v>
      </c>
      <c r="C1432" s="1">
        <v>104219</v>
      </c>
      <c r="D1432" s="1" t="s">
        <v>25</v>
      </c>
      <c r="E1432" s="36">
        <v>43862</v>
      </c>
      <c r="F1432" s="36">
        <v>44012</v>
      </c>
      <c r="G1432" s="38">
        <f t="shared" si="22"/>
        <v>150</v>
      </c>
      <c r="H1432" s="5">
        <v>43914</v>
      </c>
      <c r="I1432" s="5">
        <v>44014</v>
      </c>
      <c r="J1432" s="1" t="s">
        <v>26</v>
      </c>
      <c r="K1432" s="1" t="s">
        <v>3180</v>
      </c>
      <c r="L1432" s="1" t="s">
        <v>3170</v>
      </c>
      <c r="M1432" s="1" t="s">
        <v>3171</v>
      </c>
      <c r="N1432" s="1" t="s">
        <v>30</v>
      </c>
      <c r="O1432" s="1" t="s">
        <v>818</v>
      </c>
      <c r="P1432" s="1">
        <v>498993083800</v>
      </c>
      <c r="Q1432" s="1" t="s">
        <v>820</v>
      </c>
      <c r="R1432" s="1" t="s">
        <v>33</v>
      </c>
      <c r="S1432" s="1"/>
      <c r="U1432" s="1" t="s">
        <v>35</v>
      </c>
      <c r="V1432" s="1" t="s">
        <v>2924</v>
      </c>
      <c r="W1432" s="1" t="str">
        <f>VLOOKUP(Table1[[#This Row],[Obergruppe ATC-Code]],Tabelle3!$A$2:$B$100,2)</f>
        <v>ANTIBIOTIKA ZUR SYSTEMISCHEN ANWENDUNG</v>
      </c>
      <c r="X1432" s="1" t="str">
        <f xml:space="preserve"> LEFT(Table1[[#This Row],[Atc Code]],3)</f>
        <v>J01</v>
      </c>
    </row>
    <row r="1433" spans="1:24" ht="14.4">
      <c r="A1433" s="14">
        <v>2047</v>
      </c>
      <c r="B1433" s="24" t="s">
        <v>3181</v>
      </c>
      <c r="C1433" s="1">
        <v>2113156</v>
      </c>
      <c r="D1433" s="1" t="s">
        <v>25</v>
      </c>
      <c r="E1433" s="36">
        <v>43891</v>
      </c>
      <c r="F1433" s="36">
        <v>44043</v>
      </c>
      <c r="G1433" s="38">
        <f t="shared" si="22"/>
        <v>152</v>
      </c>
      <c r="H1433" s="5">
        <v>43914</v>
      </c>
      <c r="I1433" s="5">
        <v>44034</v>
      </c>
      <c r="J1433" s="1" t="s">
        <v>41</v>
      </c>
      <c r="K1433" s="1" t="s">
        <v>3169</v>
      </c>
      <c r="L1433" s="1" t="s">
        <v>3170</v>
      </c>
      <c r="M1433" s="1" t="s">
        <v>3171</v>
      </c>
      <c r="N1433" s="1" t="s">
        <v>30</v>
      </c>
      <c r="O1433" s="1" t="s">
        <v>110</v>
      </c>
      <c r="P1433" s="1" t="s">
        <v>111</v>
      </c>
      <c r="Q1433" s="1" t="s">
        <v>112</v>
      </c>
      <c r="R1433" s="1" t="s">
        <v>26</v>
      </c>
      <c r="S1433" s="1"/>
      <c r="U1433" s="1" t="s">
        <v>35</v>
      </c>
      <c r="V1433" s="1" t="s">
        <v>49</v>
      </c>
      <c r="W1433" s="1" t="str">
        <f>VLOOKUP(Table1[[#This Row],[Obergruppe ATC-Code]],Tabelle3!$A$2:$B$100,2)</f>
        <v>ANTIBIOTIKA ZUR SYSTEMISCHEN ANWENDUNG</v>
      </c>
      <c r="X1433" s="1" t="str">
        <f xml:space="preserve"> LEFT(Table1[[#This Row],[Atc Code]],3)</f>
        <v>J01</v>
      </c>
    </row>
    <row r="1434" spans="1:24" ht="14.4">
      <c r="A1434" s="14">
        <v>2958</v>
      </c>
      <c r="B1434" s="24" t="s">
        <v>3182</v>
      </c>
      <c r="C1434" s="1">
        <v>102143</v>
      </c>
      <c r="D1434" s="1" t="s">
        <v>25</v>
      </c>
      <c r="E1434" s="36">
        <v>43831</v>
      </c>
      <c r="F1434" s="36">
        <v>44074</v>
      </c>
      <c r="G1434" s="38">
        <f t="shared" si="22"/>
        <v>243</v>
      </c>
      <c r="H1434" s="5">
        <v>43914</v>
      </c>
      <c r="I1434" s="5">
        <v>44060</v>
      </c>
      <c r="J1434" s="1" t="s">
        <v>26</v>
      </c>
      <c r="K1434" s="1" t="s">
        <v>3183</v>
      </c>
      <c r="L1434" s="1" t="s">
        <v>3170</v>
      </c>
      <c r="M1434" s="1" t="s">
        <v>3171</v>
      </c>
      <c r="N1434" s="1" t="s">
        <v>30</v>
      </c>
      <c r="O1434" s="1" t="s">
        <v>818</v>
      </c>
      <c r="P1434" s="1">
        <v>498993083800</v>
      </c>
      <c r="Q1434" s="1" t="s">
        <v>820</v>
      </c>
      <c r="R1434" s="1" t="s">
        <v>33</v>
      </c>
      <c r="S1434" s="1"/>
      <c r="U1434" s="1" t="s">
        <v>35</v>
      </c>
      <c r="V1434" s="1" t="s">
        <v>49</v>
      </c>
      <c r="W1434" s="1" t="str">
        <f>VLOOKUP(Table1[[#This Row],[Obergruppe ATC-Code]],Tabelle3!$A$2:$B$100,2)</f>
        <v>ANTIBIOTIKA ZUR SYSTEMISCHEN ANWENDUNG</v>
      </c>
      <c r="X1434" s="1" t="str">
        <f xml:space="preserve"> LEFT(Table1[[#This Row],[Atc Code]],3)</f>
        <v>J01</v>
      </c>
    </row>
    <row r="1435" spans="1:24" ht="14.4">
      <c r="A1435" s="14">
        <v>1598</v>
      </c>
      <c r="B1435" s="24">
        <v>17550609</v>
      </c>
      <c r="C1435" s="1">
        <v>30716</v>
      </c>
      <c r="D1435" s="1" t="s">
        <v>25</v>
      </c>
      <c r="E1435" s="36">
        <v>43862</v>
      </c>
      <c r="F1435" s="36">
        <v>44074</v>
      </c>
      <c r="G1435" s="38">
        <f t="shared" si="22"/>
        <v>212</v>
      </c>
      <c r="H1435" s="5">
        <v>43880</v>
      </c>
      <c r="I1435" s="5">
        <v>44074</v>
      </c>
      <c r="J1435" s="1" t="s">
        <v>41</v>
      </c>
      <c r="K1435" s="1" t="s">
        <v>3184</v>
      </c>
      <c r="L1435" s="1" t="s">
        <v>3170</v>
      </c>
      <c r="M1435" s="1" t="s">
        <v>3171</v>
      </c>
      <c r="N1435" s="1" t="s">
        <v>30</v>
      </c>
      <c r="O1435" s="1" t="s">
        <v>45</v>
      </c>
      <c r="P1435" s="1" t="s">
        <v>55</v>
      </c>
      <c r="Q1435" s="1" t="s">
        <v>56</v>
      </c>
      <c r="R1435" s="1" t="s">
        <v>26</v>
      </c>
      <c r="S1435" s="1"/>
      <c r="U1435" s="1" t="s">
        <v>57</v>
      </c>
      <c r="V1435" s="1" t="s">
        <v>3179</v>
      </c>
      <c r="W1435" s="1" t="str">
        <f>VLOOKUP(Table1[[#This Row],[Obergruppe ATC-Code]],Tabelle3!$A$2:$B$100,2)</f>
        <v>ANTIBIOTIKA ZUR SYSTEMISCHEN ANWENDUNG</v>
      </c>
      <c r="X1435" s="1" t="str">
        <f xml:space="preserve"> LEFT(Table1[[#This Row],[Atc Code]],3)</f>
        <v>J01</v>
      </c>
    </row>
    <row r="1436" spans="1:24" ht="14.4">
      <c r="A1436" s="14">
        <v>723</v>
      </c>
      <c r="B1436" s="25">
        <v>4930598</v>
      </c>
      <c r="C1436" s="1">
        <v>2146289</v>
      </c>
      <c r="D1436" s="1" t="s">
        <v>25</v>
      </c>
      <c r="E1436" s="36">
        <v>43831</v>
      </c>
      <c r="F1436" s="36">
        <v>44104</v>
      </c>
      <c r="G1436" s="38">
        <f t="shared" si="22"/>
        <v>273</v>
      </c>
      <c r="H1436" s="5">
        <v>43879</v>
      </c>
      <c r="I1436" s="5">
        <v>44089</v>
      </c>
      <c r="J1436" s="1" t="s">
        <v>41</v>
      </c>
      <c r="K1436" s="1" t="s">
        <v>3185</v>
      </c>
      <c r="L1436" s="1" t="s">
        <v>3170</v>
      </c>
      <c r="M1436" s="1" t="s">
        <v>3171</v>
      </c>
      <c r="N1436" s="1" t="s">
        <v>30</v>
      </c>
      <c r="O1436" s="1" t="s">
        <v>110</v>
      </c>
      <c r="P1436" s="1" t="s">
        <v>111</v>
      </c>
      <c r="Q1436" s="1" t="s">
        <v>112</v>
      </c>
      <c r="R1436" s="1" t="s">
        <v>26</v>
      </c>
      <c r="S1436" s="1"/>
      <c r="U1436" s="1" t="s">
        <v>35</v>
      </c>
      <c r="V1436" s="1" t="s">
        <v>49</v>
      </c>
      <c r="W1436" s="1" t="str">
        <f>VLOOKUP(Table1[[#This Row],[Obergruppe ATC-Code]],Tabelle3!$A$2:$B$100,2)</f>
        <v>ANTIBIOTIKA ZUR SYSTEMISCHEN ANWENDUNG</v>
      </c>
      <c r="X1436" s="1" t="str">
        <f xml:space="preserve"> LEFT(Table1[[#This Row],[Atc Code]],3)</f>
        <v>J01</v>
      </c>
    </row>
    <row r="1437" spans="1:24" ht="14.4">
      <c r="A1437" s="14">
        <v>702</v>
      </c>
      <c r="B1437" s="24">
        <v>4788255</v>
      </c>
      <c r="C1437" s="1">
        <v>104254</v>
      </c>
      <c r="D1437" s="1" t="s">
        <v>25</v>
      </c>
      <c r="E1437" s="36">
        <v>43891</v>
      </c>
      <c r="F1437" s="36">
        <v>44104</v>
      </c>
      <c r="G1437" s="38">
        <f t="shared" si="22"/>
        <v>213</v>
      </c>
      <c r="H1437" s="5">
        <v>43914</v>
      </c>
      <c r="I1437" s="5">
        <v>44105</v>
      </c>
      <c r="J1437" s="1" t="s">
        <v>26</v>
      </c>
      <c r="K1437" s="1" t="s">
        <v>3186</v>
      </c>
      <c r="L1437" s="1" t="s">
        <v>3170</v>
      </c>
      <c r="M1437" s="1" t="s">
        <v>3171</v>
      </c>
      <c r="N1437" s="1" t="s">
        <v>30</v>
      </c>
      <c r="O1437" s="1" t="s">
        <v>818</v>
      </c>
      <c r="P1437" s="1">
        <v>498993083800</v>
      </c>
      <c r="Q1437" s="1" t="s">
        <v>820</v>
      </c>
      <c r="R1437" s="1" t="s">
        <v>33</v>
      </c>
      <c r="S1437" s="1"/>
      <c r="U1437" s="1" t="s">
        <v>35</v>
      </c>
      <c r="V1437" s="1" t="s">
        <v>2924</v>
      </c>
      <c r="W1437" s="1" t="str">
        <f>VLOOKUP(Table1[[#This Row],[Obergruppe ATC-Code]],Tabelle3!$A$2:$B$100,2)</f>
        <v>ANTIBIOTIKA ZUR SYSTEMISCHEN ANWENDUNG</v>
      </c>
      <c r="X1437" s="1" t="str">
        <f xml:space="preserve"> LEFT(Table1[[#This Row],[Atc Code]],3)</f>
        <v>J01</v>
      </c>
    </row>
    <row r="1438" spans="1:24" ht="14.4">
      <c r="A1438" s="14">
        <v>704</v>
      </c>
      <c r="B1438" s="24">
        <v>4788261</v>
      </c>
      <c r="C1438" s="1">
        <v>104219</v>
      </c>
      <c r="D1438" s="1" t="s">
        <v>25</v>
      </c>
      <c r="E1438" s="36">
        <v>44044</v>
      </c>
      <c r="F1438" s="36">
        <v>44104</v>
      </c>
      <c r="G1438" s="38">
        <f t="shared" si="22"/>
        <v>60</v>
      </c>
      <c r="H1438" s="5">
        <v>44053</v>
      </c>
      <c r="I1438" s="5">
        <v>44117</v>
      </c>
      <c r="J1438" s="1" t="s">
        <v>26</v>
      </c>
      <c r="K1438" s="1" t="s">
        <v>3180</v>
      </c>
      <c r="L1438" s="1" t="s">
        <v>3170</v>
      </c>
      <c r="M1438" s="1" t="s">
        <v>3171</v>
      </c>
      <c r="N1438" s="1" t="s">
        <v>30</v>
      </c>
      <c r="O1438" s="1" t="s">
        <v>818</v>
      </c>
      <c r="P1438" s="1" t="s">
        <v>3187</v>
      </c>
      <c r="Q1438" s="1" t="s">
        <v>820</v>
      </c>
      <c r="R1438" s="1" t="s">
        <v>33</v>
      </c>
      <c r="S1438" s="1"/>
      <c r="U1438" s="1" t="s">
        <v>35</v>
      </c>
      <c r="V1438" s="1" t="s">
        <v>2924</v>
      </c>
      <c r="W1438" s="1" t="str">
        <f>VLOOKUP(Table1[[#This Row],[Obergruppe ATC-Code]],Tabelle3!$A$2:$B$100,2)</f>
        <v>ANTIBIOTIKA ZUR SYSTEMISCHEN ANWENDUNG</v>
      </c>
      <c r="X1438" s="1" t="str">
        <f xml:space="preserve"> LEFT(Table1[[#This Row],[Atc Code]],3)</f>
        <v>J01</v>
      </c>
    </row>
    <row r="1439" spans="1:24" ht="14.4">
      <c r="A1439" s="14">
        <v>2901</v>
      </c>
      <c r="B1439" s="24" t="s">
        <v>3188</v>
      </c>
      <c r="C1439" s="1">
        <v>2100170</v>
      </c>
      <c r="D1439" s="1" t="s">
        <v>25</v>
      </c>
      <c r="E1439" s="36">
        <v>44624</v>
      </c>
      <c r="F1439" s="36">
        <v>44741</v>
      </c>
      <c r="G1439" s="38">
        <f t="shared" si="22"/>
        <v>117</v>
      </c>
      <c r="H1439" s="5">
        <v>44624</v>
      </c>
      <c r="I1439" s="5">
        <v>44741</v>
      </c>
      <c r="J1439" s="1" t="s">
        <v>41</v>
      </c>
      <c r="K1439" s="1" t="s">
        <v>3177</v>
      </c>
      <c r="L1439" s="1" t="s">
        <v>3170</v>
      </c>
      <c r="M1439" s="1" t="s">
        <v>3171</v>
      </c>
      <c r="N1439" s="1" t="s">
        <v>30</v>
      </c>
      <c r="O1439" s="1" t="s">
        <v>45</v>
      </c>
      <c r="P1439" s="1" t="s">
        <v>71</v>
      </c>
      <c r="Q1439" s="1" t="s">
        <v>56</v>
      </c>
      <c r="R1439" s="1" t="s">
        <v>128</v>
      </c>
      <c r="S1439" s="1"/>
      <c r="U1439" s="1" t="s">
        <v>35</v>
      </c>
      <c r="V1439" s="1" t="s">
        <v>49</v>
      </c>
      <c r="W1439" s="1" t="str">
        <f>VLOOKUP(Table1[[#This Row],[Obergruppe ATC-Code]],Tabelle3!$A$2:$B$100,2)</f>
        <v>ANTIBIOTIKA ZUR SYSTEMISCHEN ANWENDUNG</v>
      </c>
      <c r="X1439" s="1" t="str">
        <f xml:space="preserve"> LEFT(Table1[[#This Row],[Atc Code]],3)</f>
        <v>J01</v>
      </c>
    </row>
    <row r="1440" spans="1:24" ht="14.4">
      <c r="A1440" s="14">
        <v>2046</v>
      </c>
      <c r="B1440" s="24" t="s">
        <v>3189</v>
      </c>
      <c r="C1440" s="1">
        <v>2113156</v>
      </c>
      <c r="D1440" s="1" t="s">
        <v>25</v>
      </c>
      <c r="E1440" s="36">
        <v>44770</v>
      </c>
      <c r="F1440" s="36">
        <v>44819</v>
      </c>
      <c r="G1440" s="38">
        <f t="shared" si="22"/>
        <v>49</v>
      </c>
      <c r="H1440" s="5">
        <v>44770</v>
      </c>
      <c r="I1440" s="5">
        <v>44915</v>
      </c>
      <c r="J1440" s="1" t="s">
        <v>26</v>
      </c>
      <c r="K1440" s="1" t="s">
        <v>3169</v>
      </c>
      <c r="L1440" s="1" t="s">
        <v>3170</v>
      </c>
      <c r="M1440" s="1" t="s">
        <v>3171</v>
      </c>
      <c r="N1440" s="1" t="s">
        <v>38</v>
      </c>
      <c r="O1440" s="1" t="s">
        <v>110</v>
      </c>
      <c r="P1440" s="1">
        <v>49733396510</v>
      </c>
      <c r="R1440" s="1" t="s">
        <v>113</v>
      </c>
      <c r="S1440" s="1" t="s">
        <v>3190</v>
      </c>
      <c r="U1440" s="1" t="s">
        <v>130</v>
      </c>
      <c r="V1440" s="1" t="s">
        <v>49</v>
      </c>
      <c r="W1440" s="1" t="str">
        <f>VLOOKUP(Table1[[#This Row],[Obergruppe ATC-Code]],Tabelle3!$A$2:$B$100,2)</f>
        <v>ANTIBIOTIKA ZUR SYSTEMISCHEN ANWENDUNG</v>
      </c>
      <c r="X1440" s="1" t="str">
        <f xml:space="preserve"> LEFT(Table1[[#This Row],[Atc Code]],3)</f>
        <v>J01</v>
      </c>
    </row>
    <row r="1441" spans="1:24" ht="14.4">
      <c r="A1441" s="14">
        <v>706</v>
      </c>
      <c r="B1441" s="24">
        <v>4788261</v>
      </c>
      <c r="C1441" s="1">
        <v>104219</v>
      </c>
      <c r="D1441" s="1" t="s">
        <v>25</v>
      </c>
      <c r="E1441" s="36">
        <v>44608</v>
      </c>
      <c r="F1441" s="36">
        <v>44957</v>
      </c>
      <c r="G1441" s="38">
        <f t="shared" si="22"/>
        <v>349</v>
      </c>
      <c r="H1441" s="5">
        <v>44608</v>
      </c>
      <c r="I1441" s="5">
        <v>44957</v>
      </c>
      <c r="J1441" s="1" t="s">
        <v>26</v>
      </c>
      <c r="K1441" s="1" t="s">
        <v>3180</v>
      </c>
      <c r="L1441" s="1" t="s">
        <v>3170</v>
      </c>
      <c r="M1441" s="1" t="s">
        <v>3171</v>
      </c>
      <c r="N1441" s="1" t="s">
        <v>38</v>
      </c>
      <c r="O1441" s="1" t="s">
        <v>818</v>
      </c>
      <c r="P1441" s="1" t="s">
        <v>1048</v>
      </c>
      <c r="Q1441" s="1" t="s">
        <v>1047</v>
      </c>
      <c r="R1441" s="1" t="s">
        <v>142</v>
      </c>
      <c r="S1441" s="1" t="s">
        <v>3191</v>
      </c>
      <c r="U1441" s="1" t="s">
        <v>130</v>
      </c>
      <c r="V1441" s="1" t="s">
        <v>2924</v>
      </c>
      <c r="W1441" s="1" t="str">
        <f>VLOOKUP(Table1[[#This Row],[Obergruppe ATC-Code]],Tabelle3!$A$2:$B$100,2)</f>
        <v>ANTIBIOTIKA ZUR SYSTEMISCHEN ANWENDUNG</v>
      </c>
      <c r="X1441" s="1" t="str">
        <f xml:space="preserve"> LEFT(Table1[[#This Row],[Atc Code]],3)</f>
        <v>J01</v>
      </c>
    </row>
    <row r="1442" spans="1:24" ht="14.4">
      <c r="A1442" s="14">
        <v>703</v>
      </c>
      <c r="B1442" s="24">
        <v>4788255</v>
      </c>
      <c r="C1442" s="1">
        <v>104254</v>
      </c>
      <c r="D1442" s="1" t="s">
        <v>25</v>
      </c>
      <c r="E1442" s="36">
        <v>44593</v>
      </c>
      <c r="F1442" s="36">
        <v>44957</v>
      </c>
      <c r="G1442" s="38">
        <f t="shared" si="22"/>
        <v>364</v>
      </c>
      <c r="H1442" s="5">
        <v>44596</v>
      </c>
      <c r="I1442" s="5">
        <v>44957</v>
      </c>
      <c r="J1442" s="1" t="s">
        <v>26</v>
      </c>
      <c r="K1442" s="1" t="s">
        <v>3186</v>
      </c>
      <c r="L1442" s="1" t="s">
        <v>3170</v>
      </c>
      <c r="M1442" s="1" t="s">
        <v>3171</v>
      </c>
      <c r="N1442" s="1" t="s">
        <v>30</v>
      </c>
      <c r="O1442" s="1" t="s">
        <v>818</v>
      </c>
      <c r="P1442" s="1" t="s">
        <v>1048</v>
      </c>
      <c r="Q1442" s="1" t="s">
        <v>1047</v>
      </c>
      <c r="R1442" s="1" t="s">
        <v>142</v>
      </c>
      <c r="S1442" s="1" t="s">
        <v>3192</v>
      </c>
      <c r="U1442" s="1" t="s">
        <v>130</v>
      </c>
      <c r="V1442" s="1" t="s">
        <v>2924</v>
      </c>
      <c r="W1442" s="1" t="str">
        <f>VLOOKUP(Table1[[#This Row],[Obergruppe ATC-Code]],Tabelle3!$A$2:$B$100,2)</f>
        <v>ANTIBIOTIKA ZUR SYSTEMISCHEN ANWENDUNG</v>
      </c>
      <c r="X1442" s="1" t="str">
        <f xml:space="preserve"> LEFT(Table1[[#This Row],[Atc Code]],3)</f>
        <v>J01</v>
      </c>
    </row>
    <row r="1443" spans="1:24" ht="14.4">
      <c r="A1443" s="14">
        <v>1597</v>
      </c>
      <c r="B1443" s="24">
        <v>17550590</v>
      </c>
      <c r="C1443" s="1">
        <v>30691</v>
      </c>
      <c r="D1443" s="1" t="s">
        <v>25</v>
      </c>
      <c r="E1443" s="36">
        <v>44700</v>
      </c>
      <c r="F1443" s="36">
        <v>45033</v>
      </c>
      <c r="G1443" s="38">
        <f t="shared" si="22"/>
        <v>333</v>
      </c>
      <c r="H1443" s="5">
        <v>44700</v>
      </c>
      <c r="I1443" s="5">
        <v>45033</v>
      </c>
      <c r="J1443" s="1" t="s">
        <v>41</v>
      </c>
      <c r="K1443" s="1" t="s">
        <v>3178</v>
      </c>
      <c r="L1443" s="1" t="s">
        <v>3170</v>
      </c>
      <c r="M1443" s="1" t="s">
        <v>3171</v>
      </c>
      <c r="N1443" s="1" t="s">
        <v>30</v>
      </c>
      <c r="O1443" s="1" t="s">
        <v>45</v>
      </c>
      <c r="P1443" s="1" t="s">
        <v>1299</v>
      </c>
      <c r="Q1443" s="1" t="s">
        <v>1300</v>
      </c>
      <c r="R1443" s="1" t="s">
        <v>2138</v>
      </c>
      <c r="S1443" s="1"/>
      <c r="U1443" s="1" t="s">
        <v>130</v>
      </c>
      <c r="V1443" s="1" t="s">
        <v>3179</v>
      </c>
      <c r="W1443" s="1" t="str">
        <f>VLOOKUP(Table1[[#This Row],[Obergruppe ATC-Code]],Tabelle3!$A$2:$B$100,2)</f>
        <v>ANTIBIOTIKA ZUR SYSTEMISCHEN ANWENDUNG</v>
      </c>
      <c r="X1443" s="1" t="str">
        <f xml:space="preserve"> LEFT(Table1[[#This Row],[Atc Code]],3)</f>
        <v>J01</v>
      </c>
    </row>
    <row r="1444" spans="1:24" ht="14.4">
      <c r="A1444" s="14">
        <v>2187</v>
      </c>
      <c r="B1444" s="24" t="s">
        <v>3193</v>
      </c>
      <c r="C1444" s="1">
        <v>2146289</v>
      </c>
      <c r="D1444" s="1" t="s">
        <v>102</v>
      </c>
      <c r="E1444" s="36">
        <v>44770</v>
      </c>
      <c r="F1444" s="36">
        <v>45291</v>
      </c>
      <c r="G1444" s="38">
        <f t="shared" si="22"/>
        <v>521</v>
      </c>
      <c r="H1444" s="5">
        <v>44770</v>
      </c>
      <c r="I1444" s="5">
        <v>45106</v>
      </c>
      <c r="J1444" s="1" t="s">
        <v>26</v>
      </c>
      <c r="K1444" s="1" t="s">
        <v>3185</v>
      </c>
      <c r="L1444" s="1" t="s">
        <v>3170</v>
      </c>
      <c r="M1444" s="1" t="s">
        <v>3171</v>
      </c>
      <c r="N1444" s="1" t="s">
        <v>38</v>
      </c>
      <c r="O1444" s="1" t="s">
        <v>110</v>
      </c>
      <c r="P1444" s="1">
        <v>49733396510</v>
      </c>
      <c r="Q1444" s="1" t="s">
        <v>112</v>
      </c>
      <c r="R1444" s="1" t="s">
        <v>113</v>
      </c>
      <c r="S1444" s="1"/>
      <c r="U1444" s="1" t="s">
        <v>130</v>
      </c>
      <c r="V1444" s="1" t="s">
        <v>49</v>
      </c>
      <c r="W1444" s="1" t="str">
        <f>VLOOKUP(Table1[[#This Row],[Obergruppe ATC-Code]],Tabelle3!$A$2:$B$100,2)</f>
        <v>ANTIBIOTIKA ZUR SYSTEMISCHEN ANWENDUNG</v>
      </c>
      <c r="X1444" s="1" t="str">
        <f xml:space="preserve"> LEFT(Table1[[#This Row],[Atc Code]],3)</f>
        <v>J01</v>
      </c>
    </row>
    <row r="1445" spans="1:24" ht="14.4">
      <c r="A1445" s="14">
        <v>2902</v>
      </c>
      <c r="B1445" s="24" t="s">
        <v>3194</v>
      </c>
      <c r="C1445" s="1">
        <v>2101494</v>
      </c>
      <c r="D1445" s="1" t="s">
        <v>102</v>
      </c>
      <c r="E1445" s="36">
        <v>44791</v>
      </c>
      <c r="F1445" s="36">
        <v>45291</v>
      </c>
      <c r="G1445" s="38">
        <f t="shared" si="22"/>
        <v>500</v>
      </c>
      <c r="H1445" s="5">
        <v>44791</v>
      </c>
      <c r="I1445" s="5">
        <v>45125</v>
      </c>
      <c r="J1445" s="1" t="s">
        <v>41</v>
      </c>
      <c r="K1445" s="1" t="s">
        <v>3175</v>
      </c>
      <c r="L1445" s="1" t="s">
        <v>3170</v>
      </c>
      <c r="M1445" s="1" t="s">
        <v>3171</v>
      </c>
      <c r="N1445" s="1" t="s">
        <v>30</v>
      </c>
      <c r="O1445" s="1" t="s">
        <v>45</v>
      </c>
      <c r="P1445" s="1" t="s">
        <v>2433</v>
      </c>
      <c r="Q1445" s="1" t="s">
        <v>1300</v>
      </c>
      <c r="R1445" s="1" t="s">
        <v>128</v>
      </c>
      <c r="S1445" s="1"/>
      <c r="U1445" s="1" t="s">
        <v>130</v>
      </c>
      <c r="V1445" s="1" t="s">
        <v>49</v>
      </c>
      <c r="W1445" s="1" t="str">
        <f>VLOOKUP(Table1[[#This Row],[Obergruppe ATC-Code]],Tabelle3!$A$2:$B$100,2)</f>
        <v>ANTIBIOTIKA ZUR SYSTEMISCHEN ANWENDUNG</v>
      </c>
      <c r="X1445" s="1" t="str">
        <f xml:space="preserve"> LEFT(Table1[[#This Row],[Atc Code]],3)</f>
        <v>J01</v>
      </c>
    </row>
    <row r="1446" spans="1:24" ht="14.4">
      <c r="A1446" s="14">
        <v>2900</v>
      </c>
      <c r="B1446" s="24" t="s">
        <v>3188</v>
      </c>
      <c r="C1446" s="1">
        <v>2100170</v>
      </c>
      <c r="D1446" s="1" t="s">
        <v>102</v>
      </c>
      <c r="E1446" s="36">
        <v>44851</v>
      </c>
      <c r="F1446" s="36">
        <v>45291</v>
      </c>
      <c r="G1446" s="38">
        <f t="shared" si="22"/>
        <v>440</v>
      </c>
      <c r="H1446" s="5">
        <v>44851</v>
      </c>
      <c r="I1446" s="5">
        <v>45125</v>
      </c>
      <c r="J1446" s="1" t="s">
        <v>41</v>
      </c>
      <c r="K1446" s="1" t="s">
        <v>3177</v>
      </c>
      <c r="L1446" s="1" t="s">
        <v>3170</v>
      </c>
      <c r="M1446" s="1" t="s">
        <v>3171</v>
      </c>
      <c r="N1446" s="1" t="s">
        <v>30</v>
      </c>
      <c r="O1446" s="1" t="s">
        <v>45</v>
      </c>
      <c r="P1446" s="1" t="s">
        <v>2433</v>
      </c>
      <c r="Q1446" s="1" t="s">
        <v>2434</v>
      </c>
      <c r="R1446" s="1" t="s">
        <v>128</v>
      </c>
      <c r="S1446" s="1"/>
      <c r="U1446" s="1" t="s">
        <v>130</v>
      </c>
      <c r="V1446" s="1" t="s">
        <v>49</v>
      </c>
      <c r="W1446" s="1" t="str">
        <f>VLOOKUP(Table1[[#This Row],[Obergruppe ATC-Code]],Tabelle3!$A$2:$B$100,2)</f>
        <v>ANTIBIOTIKA ZUR SYSTEMISCHEN ANWENDUNG</v>
      </c>
      <c r="X1446" s="1" t="str">
        <f xml:space="preserve"> LEFT(Table1[[#This Row],[Atc Code]],3)</f>
        <v>J01</v>
      </c>
    </row>
    <row r="1447" spans="1:24" ht="14.4">
      <c r="A1447" s="14">
        <v>1599</v>
      </c>
      <c r="B1447" s="24">
        <v>17550609</v>
      </c>
      <c r="C1447" s="1">
        <v>30716</v>
      </c>
      <c r="D1447" s="1" t="s">
        <v>25</v>
      </c>
      <c r="E1447" s="36">
        <v>44700</v>
      </c>
      <c r="F1447" s="36">
        <v>45125</v>
      </c>
      <c r="G1447" s="38">
        <f t="shared" si="22"/>
        <v>425</v>
      </c>
      <c r="H1447" s="5">
        <v>44700</v>
      </c>
      <c r="I1447" s="5">
        <v>45125</v>
      </c>
      <c r="J1447" s="1" t="s">
        <v>41</v>
      </c>
      <c r="K1447" s="1" t="s">
        <v>3184</v>
      </c>
      <c r="L1447" s="1" t="s">
        <v>3170</v>
      </c>
      <c r="M1447" s="1" t="s">
        <v>3171</v>
      </c>
      <c r="N1447" s="1" t="s">
        <v>30</v>
      </c>
      <c r="O1447" s="1" t="s">
        <v>45</v>
      </c>
      <c r="P1447" s="1" t="s">
        <v>2438</v>
      </c>
      <c r="Q1447" s="1" t="s">
        <v>1300</v>
      </c>
      <c r="R1447" s="1" t="s">
        <v>2138</v>
      </c>
      <c r="S1447" s="1"/>
      <c r="U1447" s="1" t="s">
        <v>130</v>
      </c>
      <c r="V1447" s="1" t="s">
        <v>3179</v>
      </c>
      <c r="W1447" s="1" t="str">
        <f>VLOOKUP(Table1[[#This Row],[Obergruppe ATC-Code]],Tabelle3!$A$2:$B$100,2)</f>
        <v>ANTIBIOTIKA ZUR SYSTEMISCHEN ANWENDUNG</v>
      </c>
      <c r="X1447" s="1" t="str">
        <f xml:space="preserve"> LEFT(Table1[[#This Row],[Atc Code]],3)</f>
        <v>J01</v>
      </c>
    </row>
    <row r="1448" spans="1:24" ht="14.4">
      <c r="A1448" s="14">
        <v>1886</v>
      </c>
      <c r="B1448" s="24" t="s">
        <v>3195</v>
      </c>
      <c r="C1448" s="1">
        <v>2105686</v>
      </c>
      <c r="D1448" s="1" t="s">
        <v>25</v>
      </c>
      <c r="E1448" s="36">
        <v>44824</v>
      </c>
      <c r="F1448" s="36">
        <v>45149</v>
      </c>
      <c r="G1448" s="38">
        <f t="shared" si="22"/>
        <v>325</v>
      </c>
      <c r="H1448" s="5">
        <v>44846</v>
      </c>
      <c r="I1448" s="5">
        <v>45152</v>
      </c>
      <c r="J1448" s="1" t="s">
        <v>26</v>
      </c>
      <c r="K1448" s="1" t="s">
        <v>3173</v>
      </c>
      <c r="L1448" s="1" t="s">
        <v>3170</v>
      </c>
      <c r="M1448" s="1" t="s">
        <v>3171</v>
      </c>
      <c r="N1448" s="1" t="s">
        <v>38</v>
      </c>
      <c r="O1448" s="1" t="s">
        <v>52</v>
      </c>
      <c r="Q1448" s="1" t="s">
        <v>54</v>
      </c>
      <c r="R1448" s="1" t="s">
        <v>26</v>
      </c>
      <c r="S1448" s="1"/>
      <c r="U1448" s="1" t="s">
        <v>130</v>
      </c>
      <c r="V1448" s="1" t="s">
        <v>49</v>
      </c>
      <c r="W1448" s="1" t="str">
        <f>VLOOKUP(Table1[[#This Row],[Obergruppe ATC-Code]],Tabelle3!$A$2:$B$100,2)</f>
        <v>ANTIBIOTIKA ZUR SYSTEMISCHEN ANWENDUNG</v>
      </c>
      <c r="X1448" s="1" t="str">
        <f xml:space="preserve"> LEFT(Table1[[#This Row],[Atc Code]],3)</f>
        <v>J01</v>
      </c>
    </row>
    <row r="1449" spans="1:24" ht="14.4">
      <c r="A1449" s="14">
        <v>1928</v>
      </c>
      <c r="B1449" s="24" t="s">
        <v>3196</v>
      </c>
      <c r="C1449" s="1">
        <v>102143</v>
      </c>
      <c r="D1449" s="1" t="s">
        <v>25</v>
      </c>
      <c r="E1449" s="36">
        <v>44650</v>
      </c>
      <c r="F1449" s="36">
        <v>45159</v>
      </c>
      <c r="G1449" s="38">
        <f t="shared" si="22"/>
        <v>509</v>
      </c>
      <c r="H1449" s="5">
        <v>44650</v>
      </c>
      <c r="I1449" s="5">
        <v>45159</v>
      </c>
      <c r="J1449" s="1" t="s">
        <v>41</v>
      </c>
      <c r="K1449" s="1" t="s">
        <v>3183</v>
      </c>
      <c r="L1449" s="1" t="s">
        <v>3170</v>
      </c>
      <c r="M1449" s="1" t="s">
        <v>3171</v>
      </c>
      <c r="N1449" s="1" t="s">
        <v>38</v>
      </c>
      <c r="O1449" s="1" t="s">
        <v>818</v>
      </c>
      <c r="P1449" s="1" t="s">
        <v>1048</v>
      </c>
      <c r="Q1449" s="1" t="s">
        <v>1047</v>
      </c>
      <c r="R1449" s="1" t="s">
        <v>942</v>
      </c>
      <c r="S1449" s="1" t="s">
        <v>3197</v>
      </c>
      <c r="U1449" s="1" t="s">
        <v>130</v>
      </c>
      <c r="V1449" s="1" t="s">
        <v>49</v>
      </c>
      <c r="W1449" s="1" t="str">
        <f>VLOOKUP(Table1[[#This Row],[Obergruppe ATC-Code]],Tabelle3!$A$2:$B$100,2)</f>
        <v>ANTIBIOTIKA ZUR SYSTEMISCHEN ANWENDUNG</v>
      </c>
      <c r="X1449" s="1" t="str">
        <f xml:space="preserve"> LEFT(Table1[[#This Row],[Atc Code]],3)</f>
        <v>J01</v>
      </c>
    </row>
    <row r="1450" spans="1:24" ht="14.4">
      <c r="A1450" s="14">
        <v>1600</v>
      </c>
      <c r="B1450" s="24">
        <v>17550615</v>
      </c>
      <c r="C1450" s="1">
        <v>688456</v>
      </c>
      <c r="D1450" s="1" t="s">
        <v>25</v>
      </c>
      <c r="E1450" s="36">
        <v>44791</v>
      </c>
      <c r="F1450" s="36">
        <v>45169</v>
      </c>
      <c r="G1450" s="38">
        <f t="shared" si="22"/>
        <v>378</v>
      </c>
      <c r="H1450" s="5">
        <v>44791</v>
      </c>
      <c r="I1450" s="5">
        <v>45169</v>
      </c>
      <c r="J1450" s="1" t="s">
        <v>41</v>
      </c>
      <c r="K1450" s="1" t="s">
        <v>3198</v>
      </c>
      <c r="L1450" s="1" t="s">
        <v>3170</v>
      </c>
      <c r="M1450" s="1" t="s">
        <v>3171</v>
      </c>
      <c r="N1450" s="1" t="s">
        <v>30</v>
      </c>
      <c r="O1450" s="1" t="s">
        <v>45</v>
      </c>
      <c r="P1450" s="1" t="s">
        <v>2433</v>
      </c>
      <c r="Q1450" s="1" t="s">
        <v>1300</v>
      </c>
      <c r="R1450" s="1" t="s">
        <v>128</v>
      </c>
      <c r="S1450" s="1"/>
      <c r="U1450" s="1" t="s">
        <v>130</v>
      </c>
      <c r="V1450" s="1" t="s">
        <v>279</v>
      </c>
      <c r="W1450" s="1" t="str">
        <f>VLOOKUP(Table1[[#This Row],[Obergruppe ATC-Code]],Tabelle3!$A$2:$B$100,2)</f>
        <v>ANTIBIOTIKA ZUR SYSTEMISCHEN ANWENDUNG</v>
      </c>
      <c r="X1450" s="1" t="str">
        <f xml:space="preserve"> LEFT(Table1[[#This Row],[Atc Code]],3)</f>
        <v>J01</v>
      </c>
    </row>
    <row r="1451" spans="1:24" ht="14.4">
      <c r="A1451" s="14">
        <v>685</v>
      </c>
      <c r="B1451" s="24">
        <v>4599790</v>
      </c>
      <c r="C1451" s="1">
        <v>66252</v>
      </c>
      <c r="D1451" s="1" t="s">
        <v>25</v>
      </c>
      <c r="E1451" s="36">
        <v>43009</v>
      </c>
      <c r="F1451" s="36">
        <v>43496</v>
      </c>
      <c r="G1451" s="38">
        <f t="shared" si="22"/>
        <v>487</v>
      </c>
      <c r="H1451" s="5">
        <v>43080</v>
      </c>
      <c r="I1451" s="5">
        <v>43494</v>
      </c>
      <c r="J1451" s="1" t="s">
        <v>41</v>
      </c>
      <c r="K1451" s="1" t="s">
        <v>3199</v>
      </c>
      <c r="L1451" s="1" t="s">
        <v>3200</v>
      </c>
      <c r="M1451" s="1" t="s">
        <v>3201</v>
      </c>
      <c r="N1451" s="1" t="s">
        <v>30</v>
      </c>
      <c r="O1451" s="1" t="s">
        <v>91</v>
      </c>
      <c r="P1451" s="1" t="s">
        <v>374</v>
      </c>
      <c r="Q1451" s="1" t="s">
        <v>375</v>
      </c>
      <c r="R1451" s="1" t="s">
        <v>48</v>
      </c>
      <c r="S1451" s="1"/>
      <c r="U1451" s="1" t="s">
        <v>35</v>
      </c>
      <c r="V1451" s="1" t="s">
        <v>811</v>
      </c>
      <c r="W1451" s="1" t="str">
        <f>VLOOKUP(Table1[[#This Row],[Obergruppe ATC-Code]],Tabelle3!$A$2:$B$100,2)</f>
        <v>ANTIBIOTIKA ZUR SYSTEMISCHEN ANWENDUNG</v>
      </c>
      <c r="X1451" s="1" t="str">
        <f xml:space="preserve"> LEFT(Table1[[#This Row],[Atc Code]],3)</f>
        <v>J01</v>
      </c>
    </row>
    <row r="1452" spans="1:24" ht="14.4">
      <c r="A1452" s="14">
        <v>68</v>
      </c>
      <c r="B1452" s="25">
        <v>506343</v>
      </c>
      <c r="C1452" s="1">
        <v>2108039</v>
      </c>
      <c r="D1452" s="1" t="s">
        <v>25</v>
      </c>
      <c r="E1452" s="36">
        <v>42948</v>
      </c>
      <c r="F1452" s="36">
        <v>43496</v>
      </c>
      <c r="G1452" s="38">
        <f t="shared" si="22"/>
        <v>548</v>
      </c>
      <c r="H1452" s="5">
        <v>43080</v>
      </c>
      <c r="I1452" s="5">
        <v>43494</v>
      </c>
      <c r="J1452" s="1" t="s">
        <v>41</v>
      </c>
      <c r="K1452" s="1" t="s">
        <v>3202</v>
      </c>
      <c r="L1452" s="1" t="s">
        <v>3200</v>
      </c>
      <c r="M1452" s="1" t="s">
        <v>3201</v>
      </c>
      <c r="N1452" s="1" t="s">
        <v>30</v>
      </c>
      <c r="O1452" s="1" t="s">
        <v>91</v>
      </c>
      <c r="P1452" s="1" t="s">
        <v>374</v>
      </c>
      <c r="Q1452" s="1" t="s">
        <v>375</v>
      </c>
      <c r="R1452" s="1" t="s">
        <v>48</v>
      </c>
      <c r="S1452" s="1"/>
      <c r="U1452" s="1" t="s">
        <v>35</v>
      </c>
      <c r="V1452" s="1" t="s">
        <v>811</v>
      </c>
      <c r="W1452" s="1" t="str">
        <f>VLOOKUP(Table1[[#This Row],[Obergruppe ATC-Code]],Tabelle3!$A$2:$B$100,2)</f>
        <v>ANTIBIOTIKA ZUR SYSTEMISCHEN ANWENDUNG</v>
      </c>
      <c r="X1452" s="1" t="str">
        <f xml:space="preserve"> LEFT(Table1[[#This Row],[Atc Code]],3)</f>
        <v>J01</v>
      </c>
    </row>
    <row r="1453" spans="1:24" ht="14.4">
      <c r="A1453" s="14">
        <v>395</v>
      </c>
      <c r="B1453" s="24">
        <v>2397941</v>
      </c>
      <c r="C1453" s="1">
        <v>262208</v>
      </c>
      <c r="D1453" s="1" t="s">
        <v>25</v>
      </c>
      <c r="E1453" s="36">
        <v>43344</v>
      </c>
      <c r="F1453" s="36">
        <v>43496</v>
      </c>
      <c r="G1453" s="38">
        <f t="shared" si="22"/>
        <v>152</v>
      </c>
      <c r="H1453" s="5">
        <v>43397</v>
      </c>
      <c r="I1453" s="5">
        <v>43502</v>
      </c>
      <c r="J1453" s="1" t="s">
        <v>41</v>
      </c>
      <c r="K1453" s="1" t="s">
        <v>3203</v>
      </c>
      <c r="L1453" s="1" t="s">
        <v>3200</v>
      </c>
      <c r="M1453" s="1" t="s">
        <v>3204</v>
      </c>
      <c r="N1453" s="1" t="s">
        <v>30</v>
      </c>
      <c r="O1453" s="1" t="s">
        <v>1154</v>
      </c>
      <c r="P1453" s="1" t="s">
        <v>3205</v>
      </c>
      <c r="Q1453" s="1" t="s">
        <v>3206</v>
      </c>
      <c r="R1453" s="1" t="s">
        <v>48</v>
      </c>
      <c r="S1453" s="1"/>
      <c r="U1453" s="1" t="s">
        <v>35</v>
      </c>
      <c r="V1453" s="1" t="s">
        <v>154</v>
      </c>
      <c r="W1453" s="1" t="str">
        <f>VLOOKUP(Table1[[#This Row],[Obergruppe ATC-Code]],Tabelle3!$A$2:$B$100,2)</f>
        <v>ANTIBIOTIKA ZUR SYSTEMISCHEN ANWENDUNG</v>
      </c>
      <c r="X1453" s="1" t="str">
        <f xml:space="preserve"> LEFT(Table1[[#This Row],[Atc Code]],3)</f>
        <v>J01</v>
      </c>
    </row>
    <row r="1454" spans="1:24" ht="14.4">
      <c r="A1454" s="14">
        <v>651</v>
      </c>
      <c r="B1454" s="24">
        <v>4274585</v>
      </c>
      <c r="C1454" s="1">
        <v>2107663</v>
      </c>
      <c r="D1454" s="1" t="s">
        <v>25</v>
      </c>
      <c r="E1454" s="36">
        <v>43556</v>
      </c>
      <c r="F1454" s="36">
        <v>43646</v>
      </c>
      <c r="G1454" s="38">
        <f t="shared" si="22"/>
        <v>90</v>
      </c>
      <c r="H1454" s="5">
        <v>43571</v>
      </c>
      <c r="I1454" s="5">
        <v>43630</v>
      </c>
      <c r="J1454" s="1" t="s">
        <v>41</v>
      </c>
      <c r="K1454" s="1" t="s">
        <v>3207</v>
      </c>
      <c r="L1454" s="1" t="s">
        <v>3200</v>
      </c>
      <c r="M1454" s="1" t="s">
        <v>3204</v>
      </c>
      <c r="N1454" s="1" t="s">
        <v>30</v>
      </c>
      <c r="O1454" s="1" t="s">
        <v>1154</v>
      </c>
      <c r="P1454" s="1" t="s">
        <v>3208</v>
      </c>
      <c r="Q1454" s="1" t="s">
        <v>3206</v>
      </c>
      <c r="R1454" s="1" t="s">
        <v>26</v>
      </c>
      <c r="S1454" s="1"/>
      <c r="U1454" s="1" t="s">
        <v>35</v>
      </c>
      <c r="V1454" s="1" t="s">
        <v>154</v>
      </c>
      <c r="W1454" s="1" t="str">
        <f>VLOOKUP(Table1[[#This Row],[Obergruppe ATC-Code]],Tabelle3!$A$2:$B$100,2)</f>
        <v>ANTIBIOTIKA ZUR SYSTEMISCHEN ANWENDUNG</v>
      </c>
      <c r="X1454" s="1" t="str">
        <f xml:space="preserve"> LEFT(Table1[[#This Row],[Atc Code]],3)</f>
        <v>J01</v>
      </c>
    </row>
    <row r="1455" spans="1:24" ht="14.4">
      <c r="A1455" s="14">
        <v>2854</v>
      </c>
      <c r="B1455" s="24" t="s">
        <v>3209</v>
      </c>
      <c r="C1455" s="1">
        <v>2189740</v>
      </c>
      <c r="D1455" s="1" t="s">
        <v>25</v>
      </c>
      <c r="E1455" s="36">
        <v>43466</v>
      </c>
      <c r="F1455" s="36">
        <v>43769</v>
      </c>
      <c r="G1455" s="38">
        <f t="shared" si="22"/>
        <v>303</v>
      </c>
      <c r="H1455" s="5">
        <v>43482</v>
      </c>
      <c r="I1455" s="5">
        <v>43773</v>
      </c>
      <c r="J1455" s="1" t="s">
        <v>41</v>
      </c>
      <c r="K1455" s="1" t="s">
        <v>3210</v>
      </c>
      <c r="L1455" s="1" t="s">
        <v>3200</v>
      </c>
      <c r="M1455" s="1" t="s">
        <v>3204</v>
      </c>
      <c r="N1455" s="1" t="s">
        <v>30</v>
      </c>
      <c r="O1455" s="1" t="s">
        <v>3211</v>
      </c>
      <c r="P1455" s="1" t="s">
        <v>719</v>
      </c>
      <c r="Q1455" s="1" t="s">
        <v>720</v>
      </c>
      <c r="R1455" s="1" t="s">
        <v>165</v>
      </c>
      <c r="S1455" s="1"/>
      <c r="U1455" s="1" t="s">
        <v>35</v>
      </c>
      <c r="V1455" s="1" t="s">
        <v>154</v>
      </c>
      <c r="W1455" s="1" t="str">
        <f>VLOOKUP(Table1[[#This Row],[Obergruppe ATC-Code]],Tabelle3!$A$2:$B$100,2)</f>
        <v>ANTIBIOTIKA ZUR SYSTEMISCHEN ANWENDUNG</v>
      </c>
      <c r="X1455" s="1" t="str">
        <f xml:space="preserve"> LEFT(Table1[[#This Row],[Atc Code]],3)</f>
        <v>J01</v>
      </c>
    </row>
    <row r="1456" spans="1:24" ht="14.4">
      <c r="A1456" s="14">
        <v>2959</v>
      </c>
      <c r="B1456" s="25" t="s">
        <v>3212</v>
      </c>
      <c r="C1456" s="1">
        <v>2101579</v>
      </c>
      <c r="D1456" s="1" t="s">
        <v>102</v>
      </c>
      <c r="E1456" s="36">
        <v>42826</v>
      </c>
      <c r="F1456" s="36">
        <v>45291</v>
      </c>
      <c r="G1456" s="38">
        <f t="shared" si="22"/>
        <v>2465</v>
      </c>
      <c r="H1456" s="5">
        <v>42853</v>
      </c>
      <c r="I1456" s="5">
        <v>44208</v>
      </c>
      <c r="J1456" s="1" t="s">
        <v>41</v>
      </c>
      <c r="K1456" s="1" t="s">
        <v>3213</v>
      </c>
      <c r="L1456" s="1" t="s">
        <v>3200</v>
      </c>
      <c r="M1456" s="1" t="s">
        <v>3201</v>
      </c>
      <c r="N1456" s="1" t="s">
        <v>30</v>
      </c>
      <c r="O1456" s="1" t="s">
        <v>1154</v>
      </c>
      <c r="P1456" s="1" t="s">
        <v>3205</v>
      </c>
      <c r="Q1456" s="1" t="s">
        <v>647</v>
      </c>
      <c r="R1456" s="1" t="s">
        <v>48</v>
      </c>
      <c r="S1456" s="1"/>
      <c r="T1456" s="1" t="s">
        <v>3214</v>
      </c>
      <c r="U1456" s="1" t="s">
        <v>35</v>
      </c>
      <c r="V1456" s="1" t="s">
        <v>99</v>
      </c>
      <c r="W1456" s="1" t="str">
        <f>VLOOKUP(Table1[[#This Row],[Obergruppe ATC-Code]],Tabelle3!$A$2:$B$100,2)</f>
        <v>ANTIBIOTIKA ZUR SYSTEMISCHEN ANWENDUNG</v>
      </c>
      <c r="X1456" s="1" t="str">
        <f xml:space="preserve"> LEFT(Table1[[#This Row],[Atc Code]],3)</f>
        <v>J01</v>
      </c>
    </row>
    <row r="1457" spans="1:24" ht="14.4">
      <c r="A1457" s="14">
        <v>650</v>
      </c>
      <c r="B1457" s="24">
        <v>4274585</v>
      </c>
      <c r="C1457" s="1">
        <v>2107663</v>
      </c>
      <c r="D1457" s="1" t="s">
        <v>25</v>
      </c>
      <c r="E1457" s="36">
        <v>44438</v>
      </c>
      <c r="F1457" s="36">
        <v>44438</v>
      </c>
      <c r="G1457" s="38">
        <f t="shared" si="22"/>
        <v>0</v>
      </c>
      <c r="H1457" s="5">
        <v>44407</v>
      </c>
      <c r="I1457" s="5">
        <v>44442</v>
      </c>
      <c r="J1457" s="1" t="s">
        <v>26</v>
      </c>
      <c r="K1457" s="1" t="s">
        <v>3207</v>
      </c>
      <c r="L1457" s="1" t="s">
        <v>3200</v>
      </c>
      <c r="M1457" s="1" t="s">
        <v>3204</v>
      </c>
      <c r="N1457" s="1" t="s">
        <v>30</v>
      </c>
      <c r="O1457" s="1" t="s">
        <v>1154</v>
      </c>
      <c r="P1457" s="1" t="s">
        <v>3215</v>
      </c>
      <c r="Q1457" s="1" t="s">
        <v>3216</v>
      </c>
      <c r="R1457" s="1" t="s">
        <v>26</v>
      </c>
      <c r="S1457" s="1"/>
      <c r="T1457" s="1" t="s">
        <v>3217</v>
      </c>
      <c r="U1457" s="1" t="s">
        <v>35</v>
      </c>
      <c r="V1457" s="1" t="s">
        <v>154</v>
      </c>
      <c r="W1457" s="1" t="str">
        <f>VLOOKUP(Table1[[#This Row],[Obergruppe ATC-Code]],Tabelle3!$A$2:$B$100,2)</f>
        <v>ANTIBIOTIKA ZUR SYSTEMISCHEN ANWENDUNG</v>
      </c>
      <c r="X1457" s="1" t="str">
        <f xml:space="preserve"> LEFT(Table1[[#This Row],[Atc Code]],3)</f>
        <v>J01</v>
      </c>
    </row>
    <row r="1458" spans="1:24" ht="14.4">
      <c r="A1458" s="14">
        <v>396</v>
      </c>
      <c r="B1458" s="24">
        <v>2397958</v>
      </c>
      <c r="C1458" s="1">
        <v>262208</v>
      </c>
      <c r="D1458" s="1" t="s">
        <v>25</v>
      </c>
      <c r="E1458" s="36">
        <v>44545</v>
      </c>
      <c r="F1458" s="36">
        <v>44558</v>
      </c>
      <c r="G1458" s="38">
        <f t="shared" si="22"/>
        <v>13</v>
      </c>
      <c r="H1458" s="5">
        <v>44407</v>
      </c>
      <c r="I1458" s="5">
        <v>44567</v>
      </c>
      <c r="J1458" s="1" t="s">
        <v>26</v>
      </c>
      <c r="K1458" s="1" t="s">
        <v>3203</v>
      </c>
      <c r="L1458" s="1" t="s">
        <v>3200</v>
      </c>
      <c r="M1458" s="1" t="s">
        <v>3204</v>
      </c>
      <c r="N1458" s="1" t="s">
        <v>30</v>
      </c>
      <c r="O1458" s="1" t="s">
        <v>1154</v>
      </c>
      <c r="P1458" s="1" t="s">
        <v>3215</v>
      </c>
      <c r="Q1458" s="1" t="s">
        <v>3216</v>
      </c>
      <c r="R1458" s="1" t="s">
        <v>26</v>
      </c>
      <c r="S1458" s="1"/>
      <c r="T1458" s="1" t="s">
        <v>3217</v>
      </c>
      <c r="U1458" s="1" t="s">
        <v>35</v>
      </c>
      <c r="V1458" s="1" t="s">
        <v>154</v>
      </c>
      <c r="W1458" s="1" t="str">
        <f>VLOOKUP(Table1[[#This Row],[Obergruppe ATC-Code]],Tabelle3!$A$2:$B$100,2)</f>
        <v>ANTIBIOTIKA ZUR SYSTEMISCHEN ANWENDUNG</v>
      </c>
      <c r="X1458" s="1" t="str">
        <f xml:space="preserve"> LEFT(Table1[[#This Row],[Atc Code]],3)</f>
        <v>J01</v>
      </c>
    </row>
    <row r="1459" spans="1:24" ht="14.4">
      <c r="A1459" s="14">
        <v>1398</v>
      </c>
      <c r="B1459" s="4">
        <v>13868792</v>
      </c>
      <c r="C1459" s="1">
        <v>940743</v>
      </c>
      <c r="D1459" s="1" t="s">
        <v>25</v>
      </c>
      <c r="E1459" s="36">
        <v>44197</v>
      </c>
      <c r="F1459" s="36">
        <v>44621</v>
      </c>
      <c r="G1459" s="38">
        <f t="shared" si="22"/>
        <v>424</v>
      </c>
      <c r="H1459" s="5">
        <v>44224</v>
      </c>
      <c r="I1459" s="5">
        <v>44622</v>
      </c>
      <c r="J1459" s="1" t="s">
        <v>41</v>
      </c>
      <c r="K1459" s="1" t="s">
        <v>3218</v>
      </c>
      <c r="L1459" s="1" t="s">
        <v>3200</v>
      </c>
      <c r="M1459" s="1" t="s">
        <v>3204</v>
      </c>
      <c r="N1459" s="1" t="s">
        <v>30</v>
      </c>
      <c r="O1459" s="1" t="s">
        <v>2422</v>
      </c>
      <c r="P1459" s="1" t="s">
        <v>3219</v>
      </c>
      <c r="Q1459" s="1" t="s">
        <v>3220</v>
      </c>
      <c r="R1459" s="1" t="s">
        <v>26</v>
      </c>
      <c r="S1459" s="1"/>
      <c r="U1459" s="1" t="s">
        <v>35</v>
      </c>
      <c r="V1459" s="1" t="s">
        <v>154</v>
      </c>
      <c r="W1459" s="1" t="str">
        <f>VLOOKUP(Table1[[#This Row],[Obergruppe ATC-Code]],Tabelle3!$A$2:$B$100,2)</f>
        <v>ANTIBIOTIKA ZUR SYSTEMISCHEN ANWENDUNG</v>
      </c>
      <c r="X1459" s="1" t="str">
        <f xml:space="preserve"> LEFT(Table1[[#This Row],[Atc Code]],3)</f>
        <v>J01</v>
      </c>
    </row>
    <row r="1460" spans="1:24" ht="14.4">
      <c r="A1460" s="14">
        <v>649</v>
      </c>
      <c r="B1460" s="24">
        <v>4274585</v>
      </c>
      <c r="C1460" s="1">
        <v>2107663</v>
      </c>
      <c r="D1460" s="1" t="s">
        <v>25</v>
      </c>
      <c r="E1460" s="36">
        <v>44805</v>
      </c>
      <c r="F1460" s="36">
        <v>44805</v>
      </c>
      <c r="G1460" s="38">
        <f t="shared" si="22"/>
        <v>0</v>
      </c>
      <c r="H1460" s="5">
        <v>44615</v>
      </c>
      <c r="I1460" s="5">
        <v>44852</v>
      </c>
      <c r="J1460" s="1" t="s">
        <v>26</v>
      </c>
      <c r="K1460" s="1" t="s">
        <v>3207</v>
      </c>
      <c r="L1460" s="1" t="s">
        <v>3200</v>
      </c>
      <c r="M1460" s="1" t="s">
        <v>3204</v>
      </c>
      <c r="N1460" s="1" t="s">
        <v>38</v>
      </c>
      <c r="O1460" s="1" t="s">
        <v>1154</v>
      </c>
      <c r="P1460" s="1" t="s">
        <v>3215</v>
      </c>
      <c r="Q1460" s="1" t="s">
        <v>3216</v>
      </c>
      <c r="R1460" s="1" t="s">
        <v>26</v>
      </c>
      <c r="S1460" s="1" t="s">
        <v>3221</v>
      </c>
      <c r="T1460" s="1" t="s">
        <v>3217</v>
      </c>
      <c r="U1460" s="1" t="s">
        <v>35</v>
      </c>
      <c r="V1460" s="1" t="s">
        <v>154</v>
      </c>
      <c r="W1460" s="1" t="str">
        <f>VLOOKUP(Table1[[#This Row],[Obergruppe ATC-Code]],Tabelle3!$A$2:$B$100,2)</f>
        <v>ANTIBIOTIKA ZUR SYSTEMISCHEN ANWENDUNG</v>
      </c>
      <c r="X1460" s="1" t="str">
        <f xml:space="preserve"> LEFT(Table1[[#This Row],[Atc Code]],3)</f>
        <v>J01</v>
      </c>
    </row>
    <row r="1461" spans="1:24" ht="14.4">
      <c r="A1461" s="14">
        <v>394</v>
      </c>
      <c r="B1461" s="24">
        <v>2397941</v>
      </c>
      <c r="C1461" s="1">
        <v>262208</v>
      </c>
      <c r="D1461" s="1" t="s">
        <v>25</v>
      </c>
      <c r="E1461" s="36">
        <v>44788</v>
      </c>
      <c r="F1461" s="36">
        <v>44872</v>
      </c>
      <c r="G1461" s="38">
        <f t="shared" si="22"/>
        <v>84</v>
      </c>
      <c r="H1461" s="5">
        <v>44753</v>
      </c>
      <c r="I1461" s="5">
        <v>44887</v>
      </c>
      <c r="J1461" s="1" t="s">
        <v>26</v>
      </c>
      <c r="K1461" s="1" t="s">
        <v>3203</v>
      </c>
      <c r="L1461" s="1" t="s">
        <v>3200</v>
      </c>
      <c r="M1461" s="1" t="s">
        <v>3204</v>
      </c>
      <c r="N1461" s="1" t="s">
        <v>30</v>
      </c>
      <c r="O1461" s="1" t="s">
        <v>1154</v>
      </c>
      <c r="P1461" s="1" t="s">
        <v>3222</v>
      </c>
      <c r="Q1461" s="1" t="s">
        <v>1156</v>
      </c>
      <c r="R1461" s="1" t="s">
        <v>26</v>
      </c>
      <c r="S1461" s="1"/>
      <c r="T1461" s="1" t="s">
        <v>3217</v>
      </c>
      <c r="U1461" s="1" t="s">
        <v>35</v>
      </c>
      <c r="V1461" s="1" t="s">
        <v>154</v>
      </c>
      <c r="W1461" s="1" t="str">
        <f>VLOOKUP(Table1[[#This Row],[Obergruppe ATC-Code]],Tabelle3!$A$2:$B$100,2)</f>
        <v>ANTIBIOTIKA ZUR SYSTEMISCHEN ANWENDUNG</v>
      </c>
      <c r="X1461" s="1" t="str">
        <f xml:space="preserve"> LEFT(Table1[[#This Row],[Atc Code]],3)</f>
        <v>J01</v>
      </c>
    </row>
    <row r="1462" spans="1:24" ht="14.4">
      <c r="A1462" s="14">
        <v>826</v>
      </c>
      <c r="B1462" s="24">
        <v>6960557</v>
      </c>
      <c r="C1462" s="1">
        <v>2144244</v>
      </c>
      <c r="D1462" s="1" t="s">
        <v>102</v>
      </c>
      <c r="E1462" s="36">
        <v>44229</v>
      </c>
      <c r="F1462" s="36">
        <v>45291</v>
      </c>
      <c r="G1462" s="38">
        <f t="shared" si="22"/>
        <v>1062</v>
      </c>
      <c r="H1462" s="5">
        <v>44413</v>
      </c>
      <c r="I1462" s="5">
        <v>44931</v>
      </c>
      <c r="J1462" s="1" t="s">
        <v>41</v>
      </c>
      <c r="K1462" s="1" t="s">
        <v>3223</v>
      </c>
      <c r="L1462" s="1" t="s">
        <v>3200</v>
      </c>
      <c r="M1462" s="1" t="s">
        <v>3204</v>
      </c>
      <c r="N1462" s="1" t="s">
        <v>30</v>
      </c>
      <c r="O1462" s="1" t="s">
        <v>1231</v>
      </c>
      <c r="P1462" s="1" t="s">
        <v>1232</v>
      </c>
      <c r="Q1462" s="1" t="s">
        <v>1233</v>
      </c>
      <c r="R1462" s="1" t="s">
        <v>128</v>
      </c>
      <c r="S1462" s="1"/>
      <c r="U1462" s="1" t="s">
        <v>130</v>
      </c>
      <c r="V1462" s="1" t="s">
        <v>154</v>
      </c>
      <c r="W1462" s="1" t="str">
        <f>VLOOKUP(Table1[[#This Row],[Obergruppe ATC-Code]],Tabelle3!$A$2:$B$100,2)</f>
        <v>ANTIBIOTIKA ZUR SYSTEMISCHEN ANWENDUNG</v>
      </c>
      <c r="X1462" s="1" t="str">
        <f xml:space="preserve"> LEFT(Table1[[#This Row],[Atc Code]],3)</f>
        <v>J01</v>
      </c>
    </row>
    <row r="1463" spans="1:24" ht="14.4">
      <c r="A1463" s="14">
        <v>680</v>
      </c>
      <c r="B1463" s="24">
        <v>4543944</v>
      </c>
      <c r="C1463" s="1">
        <v>820163</v>
      </c>
      <c r="D1463" s="1" t="s">
        <v>25</v>
      </c>
      <c r="E1463" s="36">
        <v>44918</v>
      </c>
      <c r="F1463" s="36">
        <v>44971</v>
      </c>
      <c r="G1463" s="38">
        <f t="shared" si="22"/>
        <v>53</v>
      </c>
      <c r="H1463" s="5">
        <v>44918</v>
      </c>
      <c r="I1463" s="5">
        <v>44970</v>
      </c>
      <c r="J1463" s="1" t="s">
        <v>26</v>
      </c>
      <c r="K1463" s="1" t="s">
        <v>3224</v>
      </c>
      <c r="L1463" s="1" t="s">
        <v>3200</v>
      </c>
      <c r="M1463" s="1" t="s">
        <v>3225</v>
      </c>
      <c r="N1463" s="1" t="s">
        <v>30</v>
      </c>
      <c r="O1463" s="1" t="s">
        <v>2769</v>
      </c>
      <c r="P1463" s="1" t="s">
        <v>3226</v>
      </c>
      <c r="Q1463" s="1" t="s">
        <v>3227</v>
      </c>
      <c r="R1463" s="1" t="s">
        <v>113</v>
      </c>
      <c r="S1463" s="1"/>
      <c r="U1463" s="1" t="s">
        <v>35</v>
      </c>
      <c r="V1463" s="1" t="s">
        <v>259</v>
      </c>
      <c r="W1463" s="1" t="str">
        <f>VLOOKUP(Table1[[#This Row],[Obergruppe ATC-Code]],Tabelle3!$A$2:$B$100,2)</f>
        <v>ANTIBIOTIKA ZUR SYSTEMISCHEN ANWENDUNG</v>
      </c>
      <c r="X1463" s="1" t="str">
        <f xml:space="preserve"> LEFT(Table1[[#This Row],[Atc Code]],3)</f>
        <v>J01</v>
      </c>
    </row>
    <row r="1464" spans="1:24" ht="14.4">
      <c r="A1464" s="14">
        <v>591</v>
      </c>
      <c r="B1464" s="24">
        <v>3750291</v>
      </c>
      <c r="C1464" s="1">
        <v>820714</v>
      </c>
      <c r="D1464" s="1" t="s">
        <v>25</v>
      </c>
      <c r="E1464" s="36">
        <v>44932</v>
      </c>
      <c r="F1464" s="36">
        <v>45040</v>
      </c>
      <c r="G1464" s="38">
        <f t="shared" si="22"/>
        <v>108</v>
      </c>
      <c r="H1464" s="5">
        <v>44932</v>
      </c>
      <c r="I1464" s="5">
        <v>45040</v>
      </c>
      <c r="J1464" s="1" t="s">
        <v>26</v>
      </c>
      <c r="K1464" s="1" t="s">
        <v>3228</v>
      </c>
      <c r="L1464" s="1" t="s">
        <v>3200</v>
      </c>
      <c r="M1464" s="1" t="s">
        <v>3225</v>
      </c>
      <c r="N1464" s="1" t="s">
        <v>30</v>
      </c>
      <c r="O1464" s="1" t="s">
        <v>2769</v>
      </c>
      <c r="P1464" s="1">
        <v>6252957000</v>
      </c>
      <c r="Q1464" s="1" t="s">
        <v>3229</v>
      </c>
      <c r="R1464" s="1" t="s">
        <v>113</v>
      </c>
      <c r="S1464" s="1"/>
      <c r="U1464" s="1" t="s">
        <v>35</v>
      </c>
      <c r="V1464" s="1" t="s">
        <v>259</v>
      </c>
      <c r="W1464" s="1" t="str">
        <f>VLOOKUP(Table1[[#This Row],[Obergruppe ATC-Code]],Tabelle3!$A$2:$B$100,2)</f>
        <v>ANTIBIOTIKA ZUR SYSTEMISCHEN ANWENDUNG</v>
      </c>
      <c r="X1464" s="1" t="str">
        <f xml:space="preserve"> LEFT(Table1[[#This Row],[Atc Code]],3)</f>
        <v>J01</v>
      </c>
    </row>
    <row r="1465" spans="1:24" ht="14.4">
      <c r="A1465" s="14">
        <v>590</v>
      </c>
      <c r="B1465" s="24">
        <v>3750291</v>
      </c>
      <c r="C1465" s="1">
        <v>820714</v>
      </c>
      <c r="D1465" s="1" t="s">
        <v>25</v>
      </c>
      <c r="E1465" s="36">
        <v>45054</v>
      </c>
      <c r="F1465" s="36">
        <v>45076</v>
      </c>
      <c r="G1465" s="38">
        <f t="shared" si="22"/>
        <v>22</v>
      </c>
      <c r="H1465" s="5">
        <v>45068</v>
      </c>
      <c r="I1465" s="5">
        <v>45076</v>
      </c>
      <c r="J1465" s="1" t="s">
        <v>26</v>
      </c>
      <c r="K1465" s="1" t="s">
        <v>3228</v>
      </c>
      <c r="L1465" s="1" t="s">
        <v>3200</v>
      </c>
      <c r="M1465" s="1" t="s">
        <v>3225</v>
      </c>
      <c r="N1465" s="1" t="s">
        <v>30</v>
      </c>
      <c r="O1465" s="1" t="s">
        <v>2769</v>
      </c>
      <c r="P1465" s="1" t="s">
        <v>2770</v>
      </c>
      <c r="Q1465" s="1" t="s">
        <v>2771</v>
      </c>
      <c r="R1465" s="1" t="s">
        <v>113</v>
      </c>
      <c r="S1465" s="1"/>
      <c r="U1465" s="1" t="s">
        <v>35</v>
      </c>
      <c r="V1465" s="1" t="s">
        <v>259</v>
      </c>
      <c r="W1465" s="1" t="str">
        <f>VLOOKUP(Table1[[#This Row],[Obergruppe ATC-Code]],Tabelle3!$A$2:$B$100,2)</f>
        <v>ANTIBIOTIKA ZUR SYSTEMISCHEN ANWENDUNG</v>
      </c>
      <c r="X1465" s="1" t="str">
        <f xml:space="preserve"> LEFT(Table1[[#This Row],[Atc Code]],3)</f>
        <v>J01</v>
      </c>
    </row>
    <row r="1466" spans="1:24" ht="14.4">
      <c r="A1466" s="14">
        <v>679</v>
      </c>
      <c r="B1466" s="24">
        <v>4543944</v>
      </c>
      <c r="C1466" s="1">
        <v>820163</v>
      </c>
      <c r="D1466" s="1" t="s">
        <v>25</v>
      </c>
      <c r="E1466" s="36">
        <v>44999</v>
      </c>
      <c r="F1466" s="36">
        <v>45187</v>
      </c>
      <c r="G1466" s="38">
        <f t="shared" si="22"/>
        <v>188</v>
      </c>
      <c r="H1466" s="5">
        <v>45005</v>
      </c>
      <c r="I1466" s="5">
        <v>45187</v>
      </c>
      <c r="J1466" s="1" t="s">
        <v>26</v>
      </c>
      <c r="K1466" s="1" t="s">
        <v>3224</v>
      </c>
      <c r="L1466" s="1" t="s">
        <v>3200</v>
      </c>
      <c r="M1466" s="1" t="s">
        <v>3225</v>
      </c>
      <c r="N1466" s="1" t="s">
        <v>30</v>
      </c>
      <c r="O1466" s="1" t="s">
        <v>2769</v>
      </c>
      <c r="P1466" s="1">
        <v>6252957000</v>
      </c>
      <c r="Q1466" s="1" t="s">
        <v>2771</v>
      </c>
      <c r="R1466" s="1" t="s">
        <v>113</v>
      </c>
      <c r="S1466" s="1"/>
      <c r="U1466" s="1" t="s">
        <v>35</v>
      </c>
      <c r="V1466" s="1" t="s">
        <v>259</v>
      </c>
      <c r="W1466" s="1" t="str">
        <f>VLOOKUP(Table1[[#This Row],[Obergruppe ATC-Code]],Tabelle3!$A$2:$B$100,2)</f>
        <v>ANTIBIOTIKA ZUR SYSTEMISCHEN ANWENDUNG</v>
      </c>
      <c r="X1466" s="1" t="str">
        <f xml:space="preserve"> LEFT(Table1[[#This Row],[Atc Code]],3)</f>
        <v>J01</v>
      </c>
    </row>
    <row r="1467" spans="1:24" ht="14.4">
      <c r="A1467" s="14">
        <v>678</v>
      </c>
      <c r="B1467" s="24">
        <v>4543944</v>
      </c>
      <c r="C1467" s="1">
        <v>820163</v>
      </c>
      <c r="D1467" s="1" t="s">
        <v>175</v>
      </c>
      <c r="E1467" s="36">
        <v>45194</v>
      </c>
      <c r="F1467" s="36">
        <v>45236</v>
      </c>
      <c r="G1467" s="38">
        <f t="shared" si="22"/>
        <v>42</v>
      </c>
      <c r="H1467" s="5">
        <v>45198</v>
      </c>
      <c r="I1467" s="5">
        <v>45198</v>
      </c>
      <c r="J1467" s="1" t="s">
        <v>26</v>
      </c>
      <c r="K1467" s="1" t="s">
        <v>3224</v>
      </c>
      <c r="L1467" s="1" t="s">
        <v>3200</v>
      </c>
      <c r="M1467" s="1" t="s">
        <v>3225</v>
      </c>
      <c r="N1467" s="1" t="s">
        <v>30</v>
      </c>
      <c r="O1467" s="1" t="s">
        <v>2769</v>
      </c>
      <c r="P1467" s="1" t="s">
        <v>2770</v>
      </c>
      <c r="Q1467" s="1" t="s">
        <v>2771</v>
      </c>
      <c r="R1467" s="1" t="s">
        <v>113</v>
      </c>
      <c r="S1467" s="1"/>
      <c r="U1467" s="1" t="s">
        <v>35</v>
      </c>
      <c r="V1467" s="1" t="s">
        <v>259</v>
      </c>
      <c r="W1467" s="1" t="str">
        <f>VLOOKUP(Table1[[#This Row],[Obergruppe ATC-Code]],Tabelle3!$A$2:$B$100,2)</f>
        <v>ANTIBIOTIKA ZUR SYSTEMISCHEN ANWENDUNG</v>
      </c>
      <c r="X1467" s="1" t="str">
        <f xml:space="preserve"> LEFT(Table1[[#This Row],[Atc Code]],3)</f>
        <v>J01</v>
      </c>
    </row>
    <row r="1468" spans="1:24" ht="14.4">
      <c r="A1468" s="14">
        <v>589</v>
      </c>
      <c r="B1468" s="24">
        <v>3750291</v>
      </c>
      <c r="C1468" s="1">
        <v>820714</v>
      </c>
      <c r="D1468" s="1" t="s">
        <v>102</v>
      </c>
      <c r="E1468" s="36">
        <v>45084</v>
      </c>
      <c r="F1468" s="36">
        <v>45236</v>
      </c>
      <c r="G1468" s="38">
        <f t="shared" si="22"/>
        <v>152</v>
      </c>
      <c r="H1468" s="5">
        <v>45086</v>
      </c>
      <c r="I1468" s="5">
        <v>45208</v>
      </c>
      <c r="J1468" s="1" t="s">
        <v>26</v>
      </c>
      <c r="K1468" s="1" t="s">
        <v>3228</v>
      </c>
      <c r="L1468" s="1" t="s">
        <v>3200</v>
      </c>
      <c r="M1468" s="1" t="s">
        <v>3225</v>
      </c>
      <c r="N1468" s="1" t="s">
        <v>30</v>
      </c>
      <c r="O1468" s="1" t="s">
        <v>2769</v>
      </c>
      <c r="P1468" s="1" t="s">
        <v>2770</v>
      </c>
      <c r="Q1468" s="1" t="s">
        <v>2771</v>
      </c>
      <c r="R1468" s="1" t="s">
        <v>113</v>
      </c>
      <c r="S1468" s="1"/>
      <c r="U1468" s="1" t="s">
        <v>35</v>
      </c>
      <c r="V1468" s="1" t="s">
        <v>259</v>
      </c>
      <c r="W1468" s="1" t="str">
        <f>VLOOKUP(Table1[[#This Row],[Obergruppe ATC-Code]],Tabelle3!$A$2:$B$100,2)</f>
        <v>ANTIBIOTIKA ZUR SYSTEMISCHEN ANWENDUNG</v>
      </c>
      <c r="X1468" s="1" t="str">
        <f xml:space="preserve"> LEFT(Table1[[#This Row],[Atc Code]],3)</f>
        <v>J01</v>
      </c>
    </row>
    <row r="1469" spans="1:24" ht="14.4">
      <c r="A1469" s="14">
        <v>2094</v>
      </c>
      <c r="B1469" s="24" t="s">
        <v>3230</v>
      </c>
      <c r="C1469" s="1">
        <v>610075</v>
      </c>
      <c r="D1469" s="1" t="s">
        <v>102</v>
      </c>
      <c r="E1469" s="36">
        <v>45093</v>
      </c>
      <c r="F1469" s="36">
        <v>45229</v>
      </c>
      <c r="G1469" s="38">
        <f t="shared" si="22"/>
        <v>136</v>
      </c>
      <c r="H1469" s="5">
        <v>44914</v>
      </c>
      <c r="I1469" s="5">
        <v>45212</v>
      </c>
      <c r="J1469" s="1" t="s">
        <v>26</v>
      </c>
      <c r="K1469" s="1" t="s">
        <v>3231</v>
      </c>
      <c r="L1469" s="1" t="s">
        <v>3200</v>
      </c>
      <c r="M1469" s="1" t="s">
        <v>3225</v>
      </c>
      <c r="N1469" s="1" t="s">
        <v>30</v>
      </c>
      <c r="O1469" s="1" t="s">
        <v>2769</v>
      </c>
      <c r="P1469" s="1" t="s">
        <v>2916</v>
      </c>
      <c r="Q1469" s="1" t="s">
        <v>2771</v>
      </c>
      <c r="R1469" s="1" t="s">
        <v>113</v>
      </c>
      <c r="S1469" s="1"/>
      <c r="U1469" s="1" t="s">
        <v>35</v>
      </c>
      <c r="V1469" s="1" t="s">
        <v>259</v>
      </c>
      <c r="W1469" s="1" t="str">
        <f>VLOOKUP(Table1[[#This Row],[Obergruppe ATC-Code]],Tabelle3!$A$2:$B$100,2)</f>
        <v>ANTIBIOTIKA ZUR SYSTEMISCHEN ANWENDUNG</v>
      </c>
      <c r="X1469" s="1" t="str">
        <f xml:space="preserve"> LEFT(Table1[[#This Row],[Atc Code]],3)</f>
        <v>J01</v>
      </c>
    </row>
    <row r="1470" spans="1:24" ht="14.4">
      <c r="A1470" s="14">
        <v>1338</v>
      </c>
      <c r="B1470" s="25">
        <v>12644671</v>
      </c>
      <c r="C1470" s="1">
        <v>2151492</v>
      </c>
      <c r="D1470" s="1" t="s">
        <v>25</v>
      </c>
      <c r="E1470" s="36">
        <v>43922</v>
      </c>
      <c r="F1470" s="36">
        <v>43982</v>
      </c>
      <c r="G1470" s="38">
        <f t="shared" si="22"/>
        <v>60</v>
      </c>
      <c r="H1470" s="5">
        <v>43930</v>
      </c>
      <c r="I1470" s="5">
        <v>43963</v>
      </c>
      <c r="J1470" s="1" t="s">
        <v>26</v>
      </c>
      <c r="K1470" s="1" t="s">
        <v>3232</v>
      </c>
      <c r="L1470" s="1" t="s">
        <v>3233</v>
      </c>
      <c r="M1470" s="1" t="s">
        <v>3234</v>
      </c>
      <c r="N1470" s="1" t="s">
        <v>30</v>
      </c>
      <c r="O1470" s="1" t="s">
        <v>110</v>
      </c>
      <c r="P1470" s="1" t="s">
        <v>111</v>
      </c>
      <c r="Q1470" s="1" t="s">
        <v>112</v>
      </c>
      <c r="R1470" s="1" t="s">
        <v>33</v>
      </c>
      <c r="S1470" s="1"/>
      <c r="U1470" s="1" t="s">
        <v>35</v>
      </c>
      <c r="V1470" s="1" t="s">
        <v>99</v>
      </c>
      <c r="W1470" s="1" t="str">
        <f>VLOOKUP(Table1[[#This Row],[Obergruppe ATC-Code]],Tabelle3!$A$2:$B$100,2)</f>
        <v>ANTIBIOTIKA ZUR SYSTEMISCHEN ANWENDUNG</v>
      </c>
      <c r="X1470" s="1" t="str">
        <f xml:space="preserve"> LEFT(Table1[[#This Row],[Atc Code]],3)</f>
        <v>J01</v>
      </c>
    </row>
    <row r="1471" spans="1:24" ht="14.4">
      <c r="A1471" s="14">
        <v>2127</v>
      </c>
      <c r="B1471" s="24" t="s">
        <v>3235</v>
      </c>
      <c r="C1471" s="1">
        <v>2160407</v>
      </c>
      <c r="D1471" s="1" t="s">
        <v>25</v>
      </c>
      <c r="E1471" s="36">
        <v>43891</v>
      </c>
      <c r="F1471" s="36">
        <v>43982</v>
      </c>
      <c r="G1471" s="38">
        <f t="shared" si="22"/>
        <v>91</v>
      </c>
      <c r="H1471" s="5">
        <v>43910</v>
      </c>
      <c r="I1471" s="5">
        <v>43962</v>
      </c>
      <c r="J1471" s="1" t="s">
        <v>41</v>
      </c>
      <c r="K1471" s="1" t="s">
        <v>3236</v>
      </c>
      <c r="L1471" s="1" t="s">
        <v>3237</v>
      </c>
      <c r="M1471" s="1" t="s">
        <v>3238</v>
      </c>
      <c r="N1471" s="1" t="s">
        <v>38</v>
      </c>
      <c r="O1471" s="1" t="s">
        <v>52</v>
      </c>
      <c r="P1471" s="1" t="s">
        <v>53</v>
      </c>
      <c r="Q1471" s="1" t="s">
        <v>54</v>
      </c>
      <c r="R1471" s="1" t="s">
        <v>48</v>
      </c>
      <c r="S1471" s="1"/>
      <c r="U1471" s="1" t="s">
        <v>35</v>
      </c>
      <c r="V1471" s="1" t="s">
        <v>811</v>
      </c>
      <c r="W1471" s="1" t="str">
        <f>VLOOKUP(Table1[[#This Row],[Obergruppe ATC-Code]],Tabelle3!$A$2:$B$100,2)</f>
        <v>ANTIBIOTIKA ZUR SYSTEMISCHEN ANWENDUNG</v>
      </c>
      <c r="X1471" s="1" t="str">
        <f xml:space="preserve"> LEFT(Table1[[#This Row],[Atc Code]],3)</f>
        <v>J01</v>
      </c>
    </row>
    <row r="1472" spans="1:24" ht="14.4">
      <c r="A1472" s="14">
        <v>2039</v>
      </c>
      <c r="B1472" s="24" t="s">
        <v>3239</v>
      </c>
      <c r="C1472" s="1">
        <v>2169029</v>
      </c>
      <c r="D1472" s="1" t="s">
        <v>25</v>
      </c>
      <c r="E1472" s="36">
        <v>43891</v>
      </c>
      <c r="F1472" s="36">
        <v>44104</v>
      </c>
      <c r="G1472" s="38">
        <f t="shared" si="22"/>
        <v>213</v>
      </c>
      <c r="H1472" s="5">
        <v>43910</v>
      </c>
      <c r="I1472" s="5">
        <v>44075</v>
      </c>
      <c r="J1472" s="1" t="s">
        <v>41</v>
      </c>
      <c r="K1472" s="1" t="s">
        <v>3240</v>
      </c>
      <c r="L1472" s="1" t="s">
        <v>3237</v>
      </c>
      <c r="M1472" s="1" t="s">
        <v>3238</v>
      </c>
      <c r="N1472" s="1" t="s">
        <v>38</v>
      </c>
      <c r="O1472" s="1" t="s">
        <v>91</v>
      </c>
      <c r="P1472" s="1" t="s">
        <v>92</v>
      </c>
      <c r="Q1472" s="1" t="s">
        <v>93</v>
      </c>
      <c r="R1472" s="1" t="s">
        <v>48</v>
      </c>
      <c r="S1472" s="1"/>
      <c r="U1472" s="1" t="s">
        <v>35</v>
      </c>
      <c r="V1472" s="1" t="s">
        <v>811</v>
      </c>
      <c r="W1472" s="1" t="str">
        <f>VLOOKUP(Table1[[#This Row],[Obergruppe ATC-Code]],Tabelle3!$A$2:$B$100,2)</f>
        <v>ANTIBIOTIKA ZUR SYSTEMISCHEN ANWENDUNG</v>
      </c>
      <c r="X1472" s="1" t="str">
        <f xml:space="preserve"> LEFT(Table1[[#This Row],[Atc Code]],3)</f>
        <v>J01</v>
      </c>
    </row>
    <row r="1473" spans="1:24" ht="14.4">
      <c r="A1473" s="14">
        <v>2129</v>
      </c>
      <c r="B1473" s="24" t="s">
        <v>3241</v>
      </c>
      <c r="C1473" s="1">
        <v>2160407</v>
      </c>
      <c r="D1473" s="1" t="s">
        <v>25</v>
      </c>
      <c r="E1473" s="36">
        <v>44910</v>
      </c>
      <c r="F1473" s="36">
        <v>44964</v>
      </c>
      <c r="G1473" s="38">
        <f t="shared" si="22"/>
        <v>54</v>
      </c>
      <c r="H1473" s="5">
        <v>44910</v>
      </c>
      <c r="I1473" s="5">
        <v>44966</v>
      </c>
      <c r="J1473" s="1" t="s">
        <v>26</v>
      </c>
      <c r="K1473" s="1" t="s">
        <v>3236</v>
      </c>
      <c r="L1473" s="1" t="s">
        <v>3237</v>
      </c>
      <c r="M1473" s="1" t="s">
        <v>3238</v>
      </c>
      <c r="N1473" s="1" t="s">
        <v>38</v>
      </c>
      <c r="O1473" s="1" t="s">
        <v>52</v>
      </c>
      <c r="Q1473" s="1" t="s">
        <v>54</v>
      </c>
      <c r="R1473" s="1" t="s">
        <v>113</v>
      </c>
      <c r="S1473" s="1"/>
      <c r="U1473" s="1" t="s">
        <v>130</v>
      </c>
      <c r="V1473" s="1" t="s">
        <v>811</v>
      </c>
      <c r="W1473" s="1" t="str">
        <f>VLOOKUP(Table1[[#This Row],[Obergruppe ATC-Code]],Tabelle3!$A$2:$B$100,2)</f>
        <v>ANTIBIOTIKA ZUR SYSTEMISCHEN ANWENDUNG</v>
      </c>
      <c r="X1473" s="1" t="str">
        <f xml:space="preserve"> LEFT(Table1[[#This Row],[Atc Code]],3)</f>
        <v>J01</v>
      </c>
    </row>
    <row r="1474" spans="1:24" ht="14.4">
      <c r="A1474" s="14">
        <v>1507</v>
      </c>
      <c r="B1474" s="24">
        <v>16045358</v>
      </c>
      <c r="C1474" s="1">
        <v>2199587</v>
      </c>
      <c r="D1474" s="1" t="s">
        <v>25</v>
      </c>
      <c r="E1474" s="36">
        <v>44887</v>
      </c>
      <c r="F1474" s="36">
        <v>45077</v>
      </c>
      <c r="G1474" s="38">
        <f t="shared" ref="G1474:G1537" si="23">F1474-E1474</f>
        <v>190</v>
      </c>
      <c r="H1474" s="5">
        <v>44928</v>
      </c>
      <c r="I1474" s="5">
        <v>45077</v>
      </c>
      <c r="J1474" s="1" t="s">
        <v>26</v>
      </c>
      <c r="K1474" s="1" t="s">
        <v>3242</v>
      </c>
      <c r="L1474" s="1" t="s">
        <v>3237</v>
      </c>
      <c r="M1474" s="1" t="s">
        <v>3238</v>
      </c>
      <c r="N1474" s="1" t="s">
        <v>38</v>
      </c>
      <c r="O1474" s="1" t="s">
        <v>97</v>
      </c>
      <c r="Q1474" s="1" t="s">
        <v>1727</v>
      </c>
      <c r="R1474" s="1" t="s">
        <v>113</v>
      </c>
      <c r="S1474" s="1"/>
      <c r="U1474" s="1" t="s">
        <v>130</v>
      </c>
      <c r="V1474" s="1" t="s">
        <v>811</v>
      </c>
      <c r="W1474" s="1" t="str">
        <f>VLOOKUP(Table1[[#This Row],[Obergruppe ATC-Code]],Tabelle3!$A$2:$B$100,2)</f>
        <v>ANTIBIOTIKA ZUR SYSTEMISCHEN ANWENDUNG</v>
      </c>
      <c r="X1474" s="1" t="str">
        <f xml:space="preserve"> LEFT(Table1[[#This Row],[Atc Code]],3)</f>
        <v>J01</v>
      </c>
    </row>
    <row r="1475" spans="1:24" ht="14.4">
      <c r="A1475" s="14">
        <v>127</v>
      </c>
      <c r="B1475" s="24">
        <v>776798</v>
      </c>
      <c r="C1475" s="1">
        <v>2126575</v>
      </c>
      <c r="D1475" s="1" t="s">
        <v>25</v>
      </c>
      <c r="E1475" s="36">
        <v>44909</v>
      </c>
      <c r="F1475" s="36">
        <v>45083</v>
      </c>
      <c r="G1475" s="38">
        <f t="shared" si="23"/>
        <v>174</v>
      </c>
      <c r="H1475" s="5">
        <v>44916</v>
      </c>
      <c r="I1475" s="5">
        <v>45083</v>
      </c>
      <c r="J1475" s="1" t="s">
        <v>26</v>
      </c>
      <c r="K1475" s="1" t="s">
        <v>3243</v>
      </c>
      <c r="L1475" s="1" t="s">
        <v>3237</v>
      </c>
      <c r="M1475" s="1" t="s">
        <v>3238</v>
      </c>
      <c r="N1475" s="1" t="s">
        <v>38</v>
      </c>
      <c r="O1475" s="1" t="s">
        <v>1054</v>
      </c>
      <c r="P1475" s="1" t="s">
        <v>823</v>
      </c>
      <c r="Q1475" s="1" t="s">
        <v>824</v>
      </c>
      <c r="R1475" s="1" t="s">
        <v>113</v>
      </c>
      <c r="S1475" s="1"/>
      <c r="U1475" s="1" t="s">
        <v>35</v>
      </c>
      <c r="V1475" s="1" t="s">
        <v>811</v>
      </c>
      <c r="W1475" s="1" t="str">
        <f>VLOOKUP(Table1[[#This Row],[Obergruppe ATC-Code]],Tabelle3!$A$2:$B$100,2)</f>
        <v>ANTIBIOTIKA ZUR SYSTEMISCHEN ANWENDUNG</v>
      </c>
      <c r="X1475" s="1" t="str">
        <f xml:space="preserve"> LEFT(Table1[[#This Row],[Atc Code]],3)</f>
        <v>J01</v>
      </c>
    </row>
    <row r="1476" spans="1:24" ht="14.4">
      <c r="A1476" s="14">
        <v>2126</v>
      </c>
      <c r="B1476" s="24" t="s">
        <v>3244</v>
      </c>
      <c r="C1476" s="1">
        <v>2160406</v>
      </c>
      <c r="D1476" s="1" t="s">
        <v>102</v>
      </c>
      <c r="E1476" s="36">
        <v>44910</v>
      </c>
      <c r="F1476" s="36">
        <v>45233</v>
      </c>
      <c r="G1476" s="38">
        <f t="shared" si="23"/>
        <v>323</v>
      </c>
      <c r="H1476" s="5">
        <v>44910</v>
      </c>
      <c r="I1476" s="5">
        <v>45107</v>
      </c>
      <c r="J1476" s="1" t="s">
        <v>26</v>
      </c>
      <c r="K1476" s="1" t="s">
        <v>3245</v>
      </c>
      <c r="L1476" s="1" t="s">
        <v>3237</v>
      </c>
      <c r="M1476" s="1" t="s">
        <v>3238</v>
      </c>
      <c r="N1476" s="1" t="s">
        <v>38</v>
      </c>
      <c r="O1476" s="1" t="s">
        <v>52</v>
      </c>
      <c r="Q1476" s="1" t="s">
        <v>54</v>
      </c>
      <c r="R1476" s="1" t="s">
        <v>113</v>
      </c>
      <c r="S1476" s="1"/>
      <c r="U1476" s="1" t="s">
        <v>130</v>
      </c>
      <c r="V1476" s="1" t="s">
        <v>811</v>
      </c>
      <c r="W1476" s="1" t="str">
        <f>VLOOKUP(Table1[[#This Row],[Obergruppe ATC-Code]],Tabelle3!$A$2:$B$100,2)</f>
        <v>ANTIBIOTIKA ZUR SYSTEMISCHEN ANWENDUNG</v>
      </c>
      <c r="X1476" s="1" t="str">
        <f xml:space="preserve"> LEFT(Table1[[#This Row],[Atc Code]],3)</f>
        <v>J01</v>
      </c>
    </row>
    <row r="1477" spans="1:24" ht="14.4">
      <c r="A1477" s="14">
        <v>86</v>
      </c>
      <c r="B1477" s="24">
        <v>557576</v>
      </c>
      <c r="C1477" s="1">
        <v>2140373</v>
      </c>
      <c r="D1477" s="1" t="s">
        <v>25</v>
      </c>
      <c r="E1477" s="36">
        <v>44956</v>
      </c>
      <c r="F1477" s="36">
        <v>45133</v>
      </c>
      <c r="G1477" s="38">
        <f t="shared" si="23"/>
        <v>177</v>
      </c>
      <c r="H1477" s="5">
        <v>44957</v>
      </c>
      <c r="I1477" s="5">
        <v>45133</v>
      </c>
      <c r="J1477" s="1" t="s">
        <v>26</v>
      </c>
      <c r="K1477" s="1" t="s">
        <v>3246</v>
      </c>
      <c r="L1477" s="1" t="s">
        <v>3237</v>
      </c>
      <c r="M1477" s="1" t="s">
        <v>3238</v>
      </c>
      <c r="N1477" s="1" t="s">
        <v>30</v>
      </c>
      <c r="O1477" s="1" t="s">
        <v>1054</v>
      </c>
      <c r="P1477" s="1" t="s">
        <v>823</v>
      </c>
      <c r="Q1477" s="1" t="s">
        <v>824</v>
      </c>
      <c r="R1477" s="1" t="s">
        <v>113</v>
      </c>
      <c r="S1477" s="1"/>
      <c r="U1477" s="1" t="s">
        <v>35</v>
      </c>
      <c r="V1477" s="1" t="s">
        <v>811</v>
      </c>
      <c r="W1477" s="1" t="str">
        <f>VLOOKUP(Table1[[#This Row],[Obergruppe ATC-Code]],Tabelle3!$A$2:$B$100,2)</f>
        <v>ANTIBIOTIKA ZUR SYSTEMISCHEN ANWENDUNG</v>
      </c>
      <c r="X1477" s="1" t="str">
        <f xml:space="preserve"> LEFT(Table1[[#This Row],[Atc Code]],3)</f>
        <v>J01</v>
      </c>
    </row>
    <row r="1478" spans="1:24" ht="14.4">
      <c r="A1478" s="14">
        <v>167</v>
      </c>
      <c r="B1478" s="24">
        <v>1025491</v>
      </c>
      <c r="C1478" s="1">
        <v>2156802</v>
      </c>
      <c r="D1478" s="1" t="s">
        <v>25</v>
      </c>
      <c r="E1478" s="36">
        <v>45099</v>
      </c>
      <c r="F1478" s="36">
        <v>45167</v>
      </c>
      <c r="G1478" s="38">
        <f t="shared" si="23"/>
        <v>68</v>
      </c>
      <c r="H1478" s="5">
        <v>45099</v>
      </c>
      <c r="I1478" s="5">
        <v>45167</v>
      </c>
      <c r="J1478" s="1" t="s">
        <v>26</v>
      </c>
      <c r="K1478" s="1" t="s">
        <v>3247</v>
      </c>
      <c r="L1478" s="1" t="s">
        <v>3237</v>
      </c>
      <c r="M1478" s="1" t="s">
        <v>3238</v>
      </c>
      <c r="N1478" s="1" t="s">
        <v>38</v>
      </c>
      <c r="O1478" s="1" t="s">
        <v>110</v>
      </c>
      <c r="P1478" s="1">
        <v>49733396510</v>
      </c>
      <c r="Q1478" s="1" t="s">
        <v>112</v>
      </c>
      <c r="R1478" s="1" t="s">
        <v>113</v>
      </c>
      <c r="S1478" s="1" t="s">
        <v>1487</v>
      </c>
      <c r="U1478" s="1" t="s">
        <v>130</v>
      </c>
      <c r="V1478" s="1" t="s">
        <v>99</v>
      </c>
      <c r="W1478" s="1" t="str">
        <f>VLOOKUP(Table1[[#This Row],[Obergruppe ATC-Code]],Tabelle3!$A$2:$B$100,2)</f>
        <v>ANTIBIOTIKA ZUR SYSTEMISCHEN ANWENDUNG</v>
      </c>
      <c r="X1478" s="1" t="str">
        <f xml:space="preserve"> LEFT(Table1[[#This Row],[Atc Code]],3)</f>
        <v>J01</v>
      </c>
    </row>
    <row r="1479" spans="1:24" ht="14.4">
      <c r="A1479" s="14">
        <v>1033</v>
      </c>
      <c r="B1479" s="24">
        <v>8860908</v>
      </c>
      <c r="C1479" s="1">
        <v>2160114</v>
      </c>
      <c r="D1479" s="1" t="s">
        <v>102</v>
      </c>
      <c r="E1479" s="36">
        <v>45057</v>
      </c>
      <c r="F1479" s="36">
        <v>45230</v>
      </c>
      <c r="G1479" s="38">
        <f t="shared" si="23"/>
        <v>173</v>
      </c>
      <c r="H1479" s="5">
        <v>45070</v>
      </c>
      <c r="I1479" s="5">
        <v>45170</v>
      </c>
      <c r="J1479" s="1" t="s">
        <v>26</v>
      </c>
      <c r="K1479" s="1" t="s">
        <v>3248</v>
      </c>
      <c r="L1479" s="1" t="s">
        <v>3237</v>
      </c>
      <c r="M1479" s="1" t="s">
        <v>3238</v>
      </c>
      <c r="N1479" s="1" t="s">
        <v>38</v>
      </c>
      <c r="O1479" s="1" t="s">
        <v>52</v>
      </c>
      <c r="Q1479" s="1" t="s">
        <v>54</v>
      </c>
      <c r="R1479" s="1" t="s">
        <v>113</v>
      </c>
      <c r="S1479" s="1"/>
      <c r="U1479" s="1" t="s">
        <v>130</v>
      </c>
      <c r="V1479" s="1" t="s">
        <v>99</v>
      </c>
      <c r="W1479" s="1" t="str">
        <f>VLOOKUP(Table1[[#This Row],[Obergruppe ATC-Code]],Tabelle3!$A$2:$B$100,2)</f>
        <v>ANTIBIOTIKA ZUR SYSTEMISCHEN ANWENDUNG</v>
      </c>
      <c r="X1479" s="1" t="str">
        <f xml:space="preserve"> LEFT(Table1[[#This Row],[Atc Code]],3)</f>
        <v>J01</v>
      </c>
    </row>
    <row r="1480" spans="1:24" ht="14.4">
      <c r="A1480" s="14">
        <v>2128</v>
      </c>
      <c r="B1480" s="24" t="s">
        <v>3241</v>
      </c>
      <c r="C1480" s="1">
        <v>2160407</v>
      </c>
      <c r="D1480" s="1" t="s">
        <v>102</v>
      </c>
      <c r="E1480" s="36">
        <v>45021</v>
      </c>
      <c r="F1480" s="36">
        <v>45233</v>
      </c>
      <c r="G1480" s="38">
        <f t="shared" si="23"/>
        <v>212</v>
      </c>
      <c r="H1480" s="5">
        <v>45021</v>
      </c>
      <c r="I1480" s="5">
        <v>45184</v>
      </c>
      <c r="J1480" s="1" t="s">
        <v>26</v>
      </c>
      <c r="K1480" s="1" t="s">
        <v>3236</v>
      </c>
      <c r="L1480" s="1" t="s">
        <v>3237</v>
      </c>
      <c r="M1480" s="1" t="s">
        <v>3238</v>
      </c>
      <c r="N1480" s="1" t="s">
        <v>30</v>
      </c>
      <c r="O1480" s="1" t="s">
        <v>52</v>
      </c>
      <c r="Q1480" s="1" t="s">
        <v>54</v>
      </c>
      <c r="R1480" s="1" t="s">
        <v>113</v>
      </c>
      <c r="S1480" s="1"/>
      <c r="U1480" s="1" t="s">
        <v>130</v>
      </c>
      <c r="V1480" s="1" t="s">
        <v>811</v>
      </c>
      <c r="W1480" s="1" t="str">
        <f>VLOOKUP(Table1[[#This Row],[Obergruppe ATC-Code]],Tabelle3!$A$2:$B$100,2)</f>
        <v>ANTIBIOTIKA ZUR SYSTEMISCHEN ANWENDUNG</v>
      </c>
      <c r="X1480" s="1" t="str">
        <f xml:space="preserve"> LEFT(Table1[[#This Row],[Atc Code]],3)</f>
        <v>J01</v>
      </c>
    </row>
    <row r="1481" spans="1:24" ht="14.4">
      <c r="A1481" s="14">
        <v>1727</v>
      </c>
      <c r="B1481" s="24" t="s">
        <v>3249</v>
      </c>
      <c r="C1481" s="1" t="s">
        <v>3250</v>
      </c>
      <c r="D1481" s="1" t="s">
        <v>102</v>
      </c>
      <c r="E1481" s="36">
        <v>45174</v>
      </c>
      <c r="F1481" s="36">
        <v>45330</v>
      </c>
      <c r="G1481" s="38">
        <f t="shared" si="23"/>
        <v>156</v>
      </c>
      <c r="H1481" s="5">
        <v>45194</v>
      </c>
      <c r="I1481" s="5">
        <v>45194</v>
      </c>
      <c r="J1481" s="1" t="s">
        <v>26</v>
      </c>
      <c r="K1481" s="1" t="s">
        <v>3243</v>
      </c>
      <c r="L1481" s="1" t="s">
        <v>3237</v>
      </c>
      <c r="M1481" s="1" t="s">
        <v>3238</v>
      </c>
      <c r="N1481" s="1" t="s">
        <v>30</v>
      </c>
      <c r="O1481" s="1" t="s">
        <v>1054</v>
      </c>
      <c r="P1481" s="1" t="s">
        <v>823</v>
      </c>
      <c r="Q1481" s="1" t="s">
        <v>824</v>
      </c>
      <c r="R1481" s="1" t="s">
        <v>113</v>
      </c>
      <c r="S1481" s="1"/>
      <c r="U1481" s="1" t="s">
        <v>35</v>
      </c>
      <c r="V1481" s="1" t="s">
        <v>811</v>
      </c>
      <c r="W1481" s="1" t="str">
        <f>VLOOKUP(Table1[[#This Row],[Obergruppe ATC-Code]],Tabelle3!$A$2:$B$100,2)</f>
        <v>ANTIBIOTIKA ZUR SYSTEMISCHEN ANWENDUNG</v>
      </c>
      <c r="X1481" s="1" t="str">
        <f xml:space="preserve"> LEFT(Table1[[#This Row],[Atc Code]],3)</f>
        <v>J01</v>
      </c>
    </row>
    <row r="1482" spans="1:24" ht="14.4">
      <c r="A1482" s="14">
        <v>2016</v>
      </c>
      <c r="B1482" s="24" t="s">
        <v>3251</v>
      </c>
      <c r="C1482" s="1">
        <v>2159947</v>
      </c>
      <c r="D1482" s="1" t="s">
        <v>175</v>
      </c>
      <c r="E1482" s="36">
        <v>45199</v>
      </c>
      <c r="F1482" s="36">
        <v>45230</v>
      </c>
      <c r="G1482" s="38">
        <f t="shared" si="23"/>
        <v>31</v>
      </c>
      <c r="H1482" s="5">
        <v>45210</v>
      </c>
      <c r="I1482" s="5">
        <v>45210</v>
      </c>
      <c r="J1482" s="1" t="s">
        <v>26</v>
      </c>
      <c r="K1482" s="1" t="s">
        <v>3252</v>
      </c>
      <c r="L1482" s="1" t="s">
        <v>3237</v>
      </c>
      <c r="M1482" s="1" t="s">
        <v>3238</v>
      </c>
      <c r="N1482" s="1" t="s">
        <v>38</v>
      </c>
      <c r="O1482" s="1" t="s">
        <v>110</v>
      </c>
      <c r="P1482" s="1">
        <v>49733396510</v>
      </c>
      <c r="Q1482" s="1" t="s">
        <v>112</v>
      </c>
      <c r="R1482" s="1" t="s">
        <v>113</v>
      </c>
      <c r="S1482" s="1"/>
      <c r="U1482" s="1" t="s">
        <v>130</v>
      </c>
      <c r="V1482" s="1" t="s">
        <v>99</v>
      </c>
      <c r="W1482" s="1" t="str">
        <f>VLOOKUP(Table1[[#This Row],[Obergruppe ATC-Code]],Tabelle3!$A$2:$B$100,2)</f>
        <v>ANTIBIOTIKA ZUR SYSTEMISCHEN ANWENDUNG</v>
      </c>
      <c r="X1482" s="1" t="str">
        <f xml:space="preserve"> LEFT(Table1[[#This Row],[Atc Code]],3)</f>
        <v>J01</v>
      </c>
    </row>
    <row r="1483" spans="1:24" ht="14.4">
      <c r="A1483" s="14">
        <v>508</v>
      </c>
      <c r="B1483" s="24">
        <v>3169828</v>
      </c>
      <c r="C1483" s="1">
        <v>2159948</v>
      </c>
      <c r="D1483" s="1" t="s">
        <v>102</v>
      </c>
      <c r="E1483" s="36">
        <v>45099</v>
      </c>
      <c r="F1483" s="36">
        <v>45230</v>
      </c>
      <c r="G1483" s="38">
        <f t="shared" si="23"/>
        <v>131</v>
      </c>
      <c r="H1483" s="5">
        <v>45099</v>
      </c>
      <c r="I1483" s="5">
        <v>45210</v>
      </c>
      <c r="J1483" s="1" t="s">
        <v>26</v>
      </c>
      <c r="K1483" s="1" t="s">
        <v>3253</v>
      </c>
      <c r="L1483" s="1" t="s">
        <v>3237</v>
      </c>
      <c r="M1483" s="1" t="s">
        <v>3238</v>
      </c>
      <c r="N1483" s="1" t="s">
        <v>38</v>
      </c>
      <c r="O1483" s="1" t="s">
        <v>110</v>
      </c>
      <c r="P1483" s="1">
        <v>49733396510</v>
      </c>
      <c r="Q1483" s="1" t="s">
        <v>112</v>
      </c>
      <c r="R1483" s="1" t="s">
        <v>113</v>
      </c>
      <c r="S1483" s="1"/>
      <c r="U1483" s="1" t="s">
        <v>130</v>
      </c>
      <c r="V1483" s="1" t="s">
        <v>99</v>
      </c>
      <c r="W1483" s="1" t="str">
        <f>VLOOKUP(Table1[[#This Row],[Obergruppe ATC-Code]],Tabelle3!$A$2:$B$100,2)</f>
        <v>ANTIBIOTIKA ZUR SYSTEMISCHEN ANWENDUNG</v>
      </c>
      <c r="X1483" s="1" t="str">
        <f xml:space="preserve"> LEFT(Table1[[#This Row],[Atc Code]],3)</f>
        <v>J01</v>
      </c>
    </row>
    <row r="1484" spans="1:24" ht="14.4">
      <c r="A1484" s="14">
        <v>1506</v>
      </c>
      <c r="B1484" s="24">
        <v>16045358</v>
      </c>
      <c r="C1484" s="1">
        <v>2199587</v>
      </c>
      <c r="D1484" s="1" t="s">
        <v>102</v>
      </c>
      <c r="E1484" s="36">
        <v>45194</v>
      </c>
      <c r="F1484" s="36">
        <v>45291</v>
      </c>
      <c r="G1484" s="38">
        <f t="shared" si="23"/>
        <v>97</v>
      </c>
      <c r="H1484" s="5">
        <v>45117</v>
      </c>
      <c r="I1484" s="5">
        <v>45216</v>
      </c>
      <c r="J1484" s="1" t="s">
        <v>26</v>
      </c>
      <c r="K1484" s="1" t="s">
        <v>3242</v>
      </c>
      <c r="L1484" s="1" t="s">
        <v>3237</v>
      </c>
      <c r="M1484" s="1" t="s">
        <v>3238</v>
      </c>
      <c r="N1484" s="1" t="s">
        <v>30</v>
      </c>
      <c r="O1484" s="1" t="s">
        <v>97</v>
      </c>
      <c r="Q1484" s="1" t="s">
        <v>1727</v>
      </c>
      <c r="R1484" s="1" t="s">
        <v>113</v>
      </c>
      <c r="S1484" s="1" t="s">
        <v>113</v>
      </c>
      <c r="U1484" s="1" t="s">
        <v>130</v>
      </c>
      <c r="V1484" s="1" t="s">
        <v>811</v>
      </c>
      <c r="W1484" s="1" t="str">
        <f>VLOOKUP(Table1[[#This Row],[Obergruppe ATC-Code]],Tabelle3!$A$2:$B$100,2)</f>
        <v>ANTIBIOTIKA ZUR SYSTEMISCHEN ANWENDUNG</v>
      </c>
      <c r="X1484" s="1" t="str">
        <f xml:space="preserve"> LEFT(Table1[[#This Row],[Atc Code]],3)</f>
        <v>J01</v>
      </c>
    </row>
    <row r="1485" spans="1:24" ht="14.4">
      <c r="A1485" s="14">
        <v>842</v>
      </c>
      <c r="B1485" s="24">
        <v>7116993</v>
      </c>
      <c r="C1485" s="1">
        <v>2160507</v>
      </c>
      <c r="D1485" s="1" t="s">
        <v>25</v>
      </c>
      <c r="E1485" s="36">
        <v>43891</v>
      </c>
      <c r="F1485" s="36">
        <v>43951</v>
      </c>
      <c r="G1485" s="38">
        <f t="shared" si="23"/>
        <v>60</v>
      </c>
      <c r="H1485" s="5">
        <v>43910</v>
      </c>
      <c r="I1485" s="5">
        <v>43951</v>
      </c>
      <c r="J1485" s="1" t="s">
        <v>41</v>
      </c>
      <c r="K1485" s="1" t="s">
        <v>3254</v>
      </c>
      <c r="L1485" s="1" t="s">
        <v>3255</v>
      </c>
      <c r="M1485" s="1" t="s">
        <v>3256</v>
      </c>
      <c r="N1485" s="1" t="s">
        <v>38</v>
      </c>
      <c r="O1485" s="1" t="s">
        <v>52</v>
      </c>
      <c r="P1485" s="1" t="s">
        <v>53</v>
      </c>
      <c r="Q1485" s="1" t="s">
        <v>54</v>
      </c>
      <c r="R1485" s="1" t="s">
        <v>48</v>
      </c>
      <c r="S1485" s="1"/>
      <c r="U1485" s="1" t="s">
        <v>35</v>
      </c>
      <c r="V1485" s="1" t="s">
        <v>99</v>
      </c>
      <c r="W1485" s="1" t="str">
        <f>VLOOKUP(Table1[[#This Row],[Obergruppe ATC-Code]],Tabelle3!$A$2:$B$100,2)</f>
        <v>ANTIBIOTIKA ZUR SYSTEMISCHEN ANWENDUNG</v>
      </c>
      <c r="X1485" s="1" t="str">
        <f xml:space="preserve"> LEFT(Table1[[#This Row],[Atc Code]],3)</f>
        <v>J01</v>
      </c>
    </row>
    <row r="1486" spans="1:24" ht="14.4">
      <c r="A1486" s="14">
        <v>1723</v>
      </c>
      <c r="B1486" s="24" t="s">
        <v>3257</v>
      </c>
      <c r="C1486" s="1">
        <v>2159606</v>
      </c>
      <c r="D1486" s="1" t="s">
        <v>25</v>
      </c>
      <c r="E1486" s="36">
        <v>43891</v>
      </c>
      <c r="F1486" s="36">
        <v>44012</v>
      </c>
      <c r="G1486" s="38">
        <f t="shared" si="23"/>
        <v>121</v>
      </c>
      <c r="H1486" s="5">
        <v>43916</v>
      </c>
      <c r="I1486" s="5">
        <v>44000</v>
      </c>
      <c r="J1486" s="1" t="s">
        <v>26</v>
      </c>
      <c r="K1486" s="1" t="s">
        <v>3258</v>
      </c>
      <c r="L1486" s="1" t="s">
        <v>3255</v>
      </c>
      <c r="M1486" s="1" t="s">
        <v>3256</v>
      </c>
      <c r="N1486" s="1" t="s">
        <v>30</v>
      </c>
      <c r="O1486" s="1" t="s">
        <v>45</v>
      </c>
      <c r="P1486" s="1" t="s">
        <v>104</v>
      </c>
      <c r="Q1486" s="1" t="s">
        <v>105</v>
      </c>
      <c r="R1486" s="1" t="s">
        <v>33</v>
      </c>
      <c r="S1486" s="1"/>
      <c r="U1486" s="1" t="s">
        <v>35</v>
      </c>
      <c r="V1486" s="1" t="s">
        <v>259</v>
      </c>
      <c r="W1486" s="1" t="str">
        <f>VLOOKUP(Table1[[#This Row],[Obergruppe ATC-Code]],Tabelle3!$A$2:$B$100,2)</f>
        <v>ANTIBIOTIKA ZUR SYSTEMISCHEN ANWENDUNG</v>
      </c>
      <c r="X1486" s="1" t="str">
        <f xml:space="preserve"> LEFT(Table1[[#This Row],[Atc Code]],3)</f>
        <v>J01</v>
      </c>
    </row>
    <row r="1487" spans="1:24" ht="14.4">
      <c r="A1487" s="14">
        <v>291</v>
      </c>
      <c r="B1487" s="25">
        <v>1805007</v>
      </c>
      <c r="C1487" s="1">
        <v>2162931</v>
      </c>
      <c r="D1487" s="1" t="s">
        <v>25</v>
      </c>
      <c r="E1487" s="36">
        <v>43922</v>
      </c>
      <c r="F1487" s="36">
        <v>44074</v>
      </c>
      <c r="G1487" s="38">
        <f t="shared" si="23"/>
        <v>152</v>
      </c>
      <c r="H1487" s="5">
        <v>43943</v>
      </c>
      <c r="I1487" s="5">
        <v>44075</v>
      </c>
      <c r="J1487" s="1" t="s">
        <v>26</v>
      </c>
      <c r="K1487" s="1" t="s">
        <v>3259</v>
      </c>
      <c r="L1487" s="1" t="s">
        <v>3255</v>
      </c>
      <c r="M1487" s="1" t="s">
        <v>3260</v>
      </c>
      <c r="N1487" s="1" t="s">
        <v>30</v>
      </c>
      <c r="O1487" s="1" t="s">
        <v>110</v>
      </c>
      <c r="P1487" s="1" t="s">
        <v>111</v>
      </c>
      <c r="Q1487" s="1" t="s">
        <v>112</v>
      </c>
      <c r="R1487" s="1" t="s">
        <v>33</v>
      </c>
      <c r="S1487" s="1"/>
      <c r="U1487" s="1" t="s">
        <v>35</v>
      </c>
      <c r="V1487" s="1" t="s">
        <v>99</v>
      </c>
      <c r="W1487" s="1" t="str">
        <f>VLOOKUP(Table1[[#This Row],[Obergruppe ATC-Code]],Tabelle3!$A$2:$B$100,2)</f>
        <v>ANTIBIOTIKA ZUR SYSTEMISCHEN ANWENDUNG</v>
      </c>
      <c r="X1487" s="1" t="str">
        <f xml:space="preserve"> LEFT(Table1[[#This Row],[Atc Code]],3)</f>
        <v>J01</v>
      </c>
    </row>
    <row r="1488" spans="1:24" ht="15" customHeight="1">
      <c r="A1488" s="14">
        <v>1</v>
      </c>
      <c r="B1488" s="24">
        <v>10760</v>
      </c>
      <c r="C1488" s="1">
        <v>2137174</v>
      </c>
      <c r="D1488" s="1" t="s">
        <v>25</v>
      </c>
      <c r="E1488" s="36">
        <v>44835</v>
      </c>
      <c r="F1488" s="36">
        <v>44868</v>
      </c>
      <c r="G1488" s="38">
        <f t="shared" si="23"/>
        <v>33</v>
      </c>
      <c r="H1488" s="5">
        <v>44804</v>
      </c>
      <c r="I1488" s="5">
        <v>44868</v>
      </c>
      <c r="J1488" s="1" t="s">
        <v>26</v>
      </c>
      <c r="K1488" s="1" t="s">
        <v>3261</v>
      </c>
      <c r="L1488" s="1" t="s">
        <v>3255</v>
      </c>
      <c r="M1488" s="1" t="s">
        <v>3256</v>
      </c>
      <c r="N1488" s="1" t="s">
        <v>38</v>
      </c>
      <c r="O1488" s="1" t="s">
        <v>329</v>
      </c>
      <c r="P1488" s="1" t="s">
        <v>330</v>
      </c>
      <c r="Q1488" s="1" t="s">
        <v>331</v>
      </c>
      <c r="R1488" s="1" t="s">
        <v>113</v>
      </c>
      <c r="S1488" s="1" t="s">
        <v>3262</v>
      </c>
      <c r="T1488" s="1" t="s">
        <v>3263</v>
      </c>
      <c r="U1488" s="1" t="s">
        <v>35</v>
      </c>
      <c r="V1488" s="1" t="s">
        <v>99</v>
      </c>
      <c r="W1488" s="1" t="str">
        <f>VLOOKUP(Table1[[#This Row],[Obergruppe ATC-Code]],Tabelle3!$A$2:$B$100,2)</f>
        <v>ANTIBIOTIKA ZUR SYSTEMISCHEN ANWENDUNG</v>
      </c>
      <c r="X1488" s="1" t="str">
        <f xml:space="preserve"> LEFT(Table1[[#This Row],[Atc Code]],3)</f>
        <v>J01</v>
      </c>
    </row>
    <row r="1489" spans="1:24" ht="14.4">
      <c r="A1489" s="14">
        <v>412</v>
      </c>
      <c r="B1489" s="24">
        <v>2481966</v>
      </c>
      <c r="C1489" s="1">
        <v>2137175</v>
      </c>
      <c r="D1489" s="1" t="s">
        <v>25</v>
      </c>
      <c r="E1489" s="36">
        <v>44866</v>
      </c>
      <c r="F1489" s="36">
        <v>44901</v>
      </c>
      <c r="G1489" s="38">
        <f t="shared" si="23"/>
        <v>35</v>
      </c>
      <c r="H1489" s="5">
        <v>44826</v>
      </c>
      <c r="I1489" s="5">
        <v>44901</v>
      </c>
      <c r="J1489" s="1" t="s">
        <v>41</v>
      </c>
      <c r="K1489" s="1" t="s">
        <v>3264</v>
      </c>
      <c r="L1489" s="1" t="s">
        <v>3255</v>
      </c>
      <c r="M1489" s="1" t="s">
        <v>3256</v>
      </c>
      <c r="N1489" s="1" t="s">
        <v>38</v>
      </c>
      <c r="O1489" s="1" t="s">
        <v>329</v>
      </c>
      <c r="P1489" s="1" t="s">
        <v>1259</v>
      </c>
      <c r="Q1489" s="1" t="s">
        <v>331</v>
      </c>
      <c r="R1489" s="1" t="s">
        <v>128</v>
      </c>
      <c r="S1489" s="1"/>
      <c r="T1489" s="1" t="s">
        <v>3265</v>
      </c>
      <c r="U1489" s="1" t="s">
        <v>35</v>
      </c>
      <c r="V1489" s="1" t="s">
        <v>99</v>
      </c>
      <c r="W1489" s="1" t="str">
        <f>VLOOKUP(Table1[[#This Row],[Obergruppe ATC-Code]],Tabelle3!$A$2:$B$100,2)</f>
        <v>ANTIBIOTIKA ZUR SYSTEMISCHEN ANWENDUNG</v>
      </c>
      <c r="X1489" s="1" t="str">
        <f xml:space="preserve"> LEFT(Table1[[#This Row],[Atc Code]],3)</f>
        <v>J01</v>
      </c>
    </row>
    <row r="1490" spans="1:24" ht="14.4">
      <c r="A1490" s="14">
        <v>992</v>
      </c>
      <c r="B1490" s="24">
        <v>8590283</v>
      </c>
      <c r="C1490" s="1">
        <v>2137344</v>
      </c>
      <c r="D1490" s="1" t="s">
        <v>25</v>
      </c>
      <c r="E1490" s="36">
        <v>44835</v>
      </c>
      <c r="F1490" s="36">
        <v>44909</v>
      </c>
      <c r="G1490" s="38">
        <f t="shared" si="23"/>
        <v>74</v>
      </c>
      <c r="H1490" s="5">
        <v>44826</v>
      </c>
      <c r="I1490" s="5">
        <v>44909</v>
      </c>
      <c r="J1490" s="1" t="s">
        <v>41</v>
      </c>
      <c r="K1490" s="1" t="s">
        <v>3266</v>
      </c>
      <c r="L1490" s="1" t="s">
        <v>3255</v>
      </c>
      <c r="M1490" s="1" t="s">
        <v>3256</v>
      </c>
      <c r="N1490" s="1" t="s">
        <v>38</v>
      </c>
      <c r="O1490" s="1" t="s">
        <v>329</v>
      </c>
      <c r="P1490" s="1" t="s">
        <v>1259</v>
      </c>
      <c r="Q1490" s="1" t="s">
        <v>331</v>
      </c>
      <c r="R1490" s="1" t="s">
        <v>128</v>
      </c>
      <c r="S1490" s="1"/>
      <c r="U1490" s="1" t="s">
        <v>35</v>
      </c>
      <c r="V1490" s="1" t="s">
        <v>99</v>
      </c>
      <c r="W1490" s="1" t="str">
        <f>VLOOKUP(Table1[[#This Row],[Obergruppe ATC-Code]],Tabelle3!$A$2:$B$100,2)</f>
        <v>ANTIBIOTIKA ZUR SYSTEMISCHEN ANWENDUNG</v>
      </c>
      <c r="X1490" s="1" t="str">
        <f xml:space="preserve"> LEFT(Table1[[#This Row],[Atc Code]],3)</f>
        <v>J01</v>
      </c>
    </row>
    <row r="1491" spans="1:24" ht="14.4">
      <c r="A1491" s="14">
        <v>173</v>
      </c>
      <c r="B1491" s="24">
        <v>1038447</v>
      </c>
      <c r="C1491" s="1">
        <v>2160501</v>
      </c>
      <c r="D1491" s="1" t="s">
        <v>25</v>
      </c>
      <c r="E1491" s="36">
        <v>44991</v>
      </c>
      <c r="F1491" s="36">
        <v>45016</v>
      </c>
      <c r="G1491" s="38">
        <f t="shared" si="23"/>
        <v>25</v>
      </c>
      <c r="H1491" s="5">
        <v>44992</v>
      </c>
      <c r="I1491" s="5">
        <v>45019</v>
      </c>
      <c r="J1491" s="1" t="s">
        <v>26</v>
      </c>
      <c r="K1491" s="1" t="s">
        <v>3267</v>
      </c>
      <c r="L1491" s="1" t="s">
        <v>3255</v>
      </c>
      <c r="M1491" s="1" t="s">
        <v>3256</v>
      </c>
      <c r="N1491" s="1" t="s">
        <v>38</v>
      </c>
      <c r="O1491" s="1" t="s">
        <v>91</v>
      </c>
      <c r="Q1491" s="1" t="s">
        <v>1505</v>
      </c>
      <c r="R1491" s="1" t="s">
        <v>113</v>
      </c>
      <c r="S1491" s="1"/>
      <c r="U1491" s="1" t="s">
        <v>130</v>
      </c>
      <c r="V1491" s="1" t="s">
        <v>99</v>
      </c>
      <c r="W1491" s="1" t="str">
        <f>VLOOKUP(Table1[[#This Row],[Obergruppe ATC-Code]],Tabelle3!$A$2:$B$100,2)</f>
        <v>ANTIBIOTIKA ZUR SYSTEMISCHEN ANWENDUNG</v>
      </c>
      <c r="X1491" s="1" t="str">
        <f xml:space="preserve"> LEFT(Table1[[#This Row],[Atc Code]],3)</f>
        <v>J01</v>
      </c>
    </row>
    <row r="1492" spans="1:24" ht="14.4">
      <c r="A1492" s="14">
        <v>844</v>
      </c>
      <c r="B1492" s="24">
        <v>7116993</v>
      </c>
      <c r="C1492" s="1">
        <v>2160507</v>
      </c>
      <c r="D1492" s="1" t="s">
        <v>25</v>
      </c>
      <c r="E1492" s="36">
        <v>44991</v>
      </c>
      <c r="F1492" s="36">
        <v>45021</v>
      </c>
      <c r="G1492" s="38">
        <f t="shared" si="23"/>
        <v>30</v>
      </c>
      <c r="H1492" s="5">
        <v>44991</v>
      </c>
      <c r="I1492" s="5">
        <v>45022</v>
      </c>
      <c r="J1492" s="1" t="s">
        <v>26</v>
      </c>
      <c r="K1492" s="1" t="s">
        <v>3254</v>
      </c>
      <c r="L1492" s="1" t="s">
        <v>3255</v>
      </c>
      <c r="M1492" s="1" t="s">
        <v>3256</v>
      </c>
      <c r="N1492" s="1" t="s">
        <v>38</v>
      </c>
      <c r="O1492" s="1" t="s">
        <v>52</v>
      </c>
      <c r="Q1492" s="1" t="s">
        <v>54</v>
      </c>
      <c r="R1492" s="1" t="s">
        <v>113</v>
      </c>
      <c r="S1492" s="1"/>
      <c r="U1492" s="1" t="s">
        <v>130</v>
      </c>
      <c r="V1492" s="1" t="s">
        <v>99</v>
      </c>
      <c r="W1492" s="1" t="str">
        <f>VLOOKUP(Table1[[#This Row],[Obergruppe ATC-Code]],Tabelle3!$A$2:$B$100,2)</f>
        <v>ANTIBIOTIKA ZUR SYSTEMISCHEN ANWENDUNG</v>
      </c>
      <c r="X1492" s="1" t="str">
        <f xml:space="preserve"> LEFT(Table1[[#This Row],[Atc Code]],3)</f>
        <v>J01</v>
      </c>
    </row>
    <row r="1493" spans="1:24" ht="14.4">
      <c r="A1493" s="14">
        <v>841</v>
      </c>
      <c r="B1493" s="24">
        <v>7116987</v>
      </c>
      <c r="C1493" s="1">
        <v>2160506</v>
      </c>
      <c r="D1493" s="1" t="s">
        <v>25</v>
      </c>
      <c r="E1493" s="36">
        <v>44991</v>
      </c>
      <c r="F1493" s="36">
        <v>45022</v>
      </c>
      <c r="G1493" s="38">
        <f t="shared" si="23"/>
        <v>31</v>
      </c>
      <c r="H1493" s="5">
        <v>44991</v>
      </c>
      <c r="I1493" s="5">
        <v>45022</v>
      </c>
      <c r="J1493" s="1" t="s">
        <v>26</v>
      </c>
      <c r="K1493" s="1" t="s">
        <v>3268</v>
      </c>
      <c r="L1493" s="1" t="s">
        <v>3255</v>
      </c>
      <c r="M1493" s="1" t="s">
        <v>3256</v>
      </c>
      <c r="N1493" s="1" t="s">
        <v>38</v>
      </c>
      <c r="O1493" s="1" t="s">
        <v>52</v>
      </c>
      <c r="Q1493" s="1" t="s">
        <v>54</v>
      </c>
      <c r="R1493" s="1" t="s">
        <v>113</v>
      </c>
      <c r="S1493" s="1"/>
      <c r="U1493" s="1" t="s">
        <v>130</v>
      </c>
      <c r="V1493" s="1" t="s">
        <v>99</v>
      </c>
      <c r="W1493" s="1" t="str">
        <f>VLOOKUP(Table1[[#This Row],[Obergruppe ATC-Code]],Tabelle3!$A$2:$B$100,2)</f>
        <v>ANTIBIOTIKA ZUR SYSTEMISCHEN ANWENDUNG</v>
      </c>
      <c r="X1493" s="1" t="str">
        <f xml:space="preserve"> LEFT(Table1[[#This Row],[Atc Code]],3)</f>
        <v>J01</v>
      </c>
    </row>
    <row r="1494" spans="1:24" ht="14.4">
      <c r="A1494" s="14">
        <v>172</v>
      </c>
      <c r="B1494" s="24">
        <v>1038430</v>
      </c>
      <c r="C1494" s="1">
        <v>2160500</v>
      </c>
      <c r="D1494" s="1" t="s">
        <v>25</v>
      </c>
      <c r="E1494" s="36">
        <v>44991</v>
      </c>
      <c r="F1494" s="36">
        <v>45034</v>
      </c>
      <c r="G1494" s="38">
        <f t="shared" si="23"/>
        <v>43</v>
      </c>
      <c r="H1494" s="5">
        <v>44992</v>
      </c>
      <c r="I1494" s="5">
        <v>45034</v>
      </c>
      <c r="J1494" s="1" t="s">
        <v>26</v>
      </c>
      <c r="K1494" s="1" t="s">
        <v>3269</v>
      </c>
      <c r="L1494" s="1" t="s">
        <v>3255</v>
      </c>
      <c r="M1494" s="1" t="s">
        <v>3256</v>
      </c>
      <c r="N1494" s="1" t="s">
        <v>38</v>
      </c>
      <c r="O1494" s="1" t="s">
        <v>91</v>
      </c>
      <c r="Q1494" s="1" t="s">
        <v>1505</v>
      </c>
      <c r="R1494" s="1" t="s">
        <v>113</v>
      </c>
      <c r="S1494" s="1"/>
      <c r="U1494" s="1" t="s">
        <v>130</v>
      </c>
      <c r="V1494" s="1" t="s">
        <v>99</v>
      </c>
      <c r="W1494" s="1" t="str">
        <f>VLOOKUP(Table1[[#This Row],[Obergruppe ATC-Code]],Tabelle3!$A$2:$B$100,2)</f>
        <v>ANTIBIOTIKA ZUR SYSTEMISCHEN ANWENDUNG</v>
      </c>
      <c r="X1494" s="1" t="str">
        <f xml:space="preserve"> LEFT(Table1[[#This Row],[Atc Code]],3)</f>
        <v>J01</v>
      </c>
    </row>
    <row r="1495" spans="1:24" ht="14.4">
      <c r="A1495" s="14">
        <v>411</v>
      </c>
      <c r="B1495" s="24">
        <v>2481966</v>
      </c>
      <c r="C1495" s="1">
        <v>2137175</v>
      </c>
      <c r="D1495" s="1" t="s">
        <v>25</v>
      </c>
      <c r="E1495" s="36">
        <v>45013</v>
      </c>
      <c r="F1495" s="36">
        <v>45050</v>
      </c>
      <c r="G1495" s="38">
        <f t="shared" si="23"/>
        <v>37</v>
      </c>
      <c r="H1495" s="5">
        <v>45016</v>
      </c>
      <c r="I1495" s="5">
        <v>45050</v>
      </c>
      <c r="J1495" s="1" t="s">
        <v>26</v>
      </c>
      <c r="K1495" s="1" t="s">
        <v>3264</v>
      </c>
      <c r="L1495" s="1" t="s">
        <v>3255</v>
      </c>
      <c r="M1495" s="1" t="s">
        <v>3256</v>
      </c>
      <c r="N1495" s="1" t="s">
        <v>38</v>
      </c>
      <c r="O1495" s="1" t="s">
        <v>329</v>
      </c>
      <c r="P1495" s="1" t="s">
        <v>1259</v>
      </c>
      <c r="Q1495" s="1" t="s">
        <v>331</v>
      </c>
      <c r="R1495" s="1" t="s">
        <v>113</v>
      </c>
      <c r="S1495" s="1" t="s">
        <v>3270</v>
      </c>
      <c r="T1495" s="1" t="s">
        <v>3265</v>
      </c>
      <c r="U1495" s="1" t="s">
        <v>35</v>
      </c>
      <c r="V1495" s="1" t="s">
        <v>99</v>
      </c>
      <c r="W1495" s="1" t="str">
        <f>VLOOKUP(Table1[[#This Row],[Obergruppe ATC-Code]],Tabelle3!$A$2:$B$100,2)</f>
        <v>ANTIBIOTIKA ZUR SYSTEMISCHEN ANWENDUNG</v>
      </c>
      <c r="X1495" s="1" t="str">
        <f xml:space="preserve"> LEFT(Table1[[#This Row],[Atc Code]],3)</f>
        <v>J01</v>
      </c>
    </row>
    <row r="1496" spans="1:24" ht="14.4">
      <c r="A1496" s="14">
        <v>840</v>
      </c>
      <c r="B1496" s="24">
        <v>7116987</v>
      </c>
      <c r="C1496" s="1">
        <v>2160506</v>
      </c>
      <c r="D1496" s="1" t="s">
        <v>25</v>
      </c>
      <c r="E1496" s="36">
        <v>45051</v>
      </c>
      <c r="F1496" s="36">
        <v>45118</v>
      </c>
      <c r="G1496" s="38">
        <f t="shared" si="23"/>
        <v>67</v>
      </c>
      <c r="H1496" s="5">
        <v>45051</v>
      </c>
      <c r="I1496" s="5">
        <v>45121</v>
      </c>
      <c r="J1496" s="1" t="s">
        <v>26</v>
      </c>
      <c r="K1496" s="1" t="s">
        <v>3268</v>
      </c>
      <c r="L1496" s="1" t="s">
        <v>3255</v>
      </c>
      <c r="M1496" s="1" t="s">
        <v>3256</v>
      </c>
      <c r="N1496" s="1" t="s">
        <v>38</v>
      </c>
      <c r="O1496" s="1" t="s">
        <v>52</v>
      </c>
      <c r="Q1496" s="1" t="s">
        <v>54</v>
      </c>
      <c r="R1496" s="1" t="s">
        <v>113</v>
      </c>
      <c r="S1496" s="1"/>
      <c r="U1496" s="1" t="s">
        <v>130</v>
      </c>
      <c r="V1496" s="1" t="s">
        <v>99</v>
      </c>
      <c r="W1496" s="1" t="str">
        <f>VLOOKUP(Table1[[#This Row],[Obergruppe ATC-Code]],Tabelle3!$A$2:$B$100,2)</f>
        <v>ANTIBIOTIKA ZUR SYSTEMISCHEN ANWENDUNG</v>
      </c>
      <c r="X1496" s="1" t="str">
        <f xml:space="preserve"> LEFT(Table1[[#This Row],[Atc Code]],3)</f>
        <v>J01</v>
      </c>
    </row>
    <row r="1497" spans="1:24" ht="14.4">
      <c r="A1497" s="14">
        <v>2160</v>
      </c>
      <c r="B1497" s="24" t="s">
        <v>3271</v>
      </c>
      <c r="C1497" s="1">
        <v>2125157</v>
      </c>
      <c r="D1497" s="1" t="s">
        <v>25</v>
      </c>
      <c r="E1497" s="36">
        <v>44916</v>
      </c>
      <c r="F1497" s="36">
        <v>45124</v>
      </c>
      <c r="G1497" s="38">
        <f t="shared" si="23"/>
        <v>208</v>
      </c>
      <c r="H1497" s="5">
        <v>44916</v>
      </c>
      <c r="I1497" s="5">
        <v>45134</v>
      </c>
      <c r="J1497" s="1" t="s">
        <v>26</v>
      </c>
      <c r="K1497" s="1" t="s">
        <v>3272</v>
      </c>
      <c r="L1497" s="1" t="s">
        <v>3255</v>
      </c>
      <c r="M1497" s="1" t="s">
        <v>3256</v>
      </c>
      <c r="N1497" s="1" t="s">
        <v>38</v>
      </c>
      <c r="O1497" s="1" t="s">
        <v>329</v>
      </c>
      <c r="P1497" s="1" t="s">
        <v>1259</v>
      </c>
      <c r="Q1497" s="1" t="s">
        <v>331</v>
      </c>
      <c r="R1497" s="1" t="s">
        <v>113</v>
      </c>
      <c r="S1497" s="1" t="s">
        <v>3273</v>
      </c>
      <c r="T1497" s="1" t="s">
        <v>3274</v>
      </c>
      <c r="U1497" s="1" t="s">
        <v>35</v>
      </c>
      <c r="V1497" s="1" t="s">
        <v>259</v>
      </c>
      <c r="W1497" s="1" t="str">
        <f>VLOOKUP(Table1[[#This Row],[Obergruppe ATC-Code]],Tabelle3!$A$2:$B$100,2)</f>
        <v>ANTIBIOTIKA ZUR SYSTEMISCHEN ANWENDUNG</v>
      </c>
      <c r="X1497" s="1" t="str">
        <f xml:space="preserve"> LEFT(Table1[[#This Row],[Atc Code]],3)</f>
        <v>J01</v>
      </c>
    </row>
    <row r="1498" spans="1:24" ht="14.4">
      <c r="A1498" s="14">
        <v>843</v>
      </c>
      <c r="B1498" s="24">
        <v>7116993</v>
      </c>
      <c r="C1498" s="1">
        <v>2160507</v>
      </c>
      <c r="D1498" s="1" t="s">
        <v>25</v>
      </c>
      <c r="E1498" s="36">
        <v>45051</v>
      </c>
      <c r="F1498" s="36">
        <v>45134</v>
      </c>
      <c r="G1498" s="38">
        <f t="shared" si="23"/>
        <v>83</v>
      </c>
      <c r="H1498" s="5">
        <v>45051</v>
      </c>
      <c r="I1498" s="5">
        <v>45134</v>
      </c>
      <c r="J1498" s="1" t="s">
        <v>26</v>
      </c>
      <c r="K1498" s="1" t="s">
        <v>3254</v>
      </c>
      <c r="L1498" s="1" t="s">
        <v>3255</v>
      </c>
      <c r="M1498" s="1" t="s">
        <v>3256</v>
      </c>
      <c r="N1498" s="1" t="s">
        <v>38</v>
      </c>
      <c r="O1498" s="1" t="s">
        <v>52</v>
      </c>
      <c r="Q1498" s="1" t="s">
        <v>54</v>
      </c>
      <c r="R1498" s="1" t="s">
        <v>113</v>
      </c>
      <c r="S1498" s="1"/>
      <c r="U1498" s="1" t="s">
        <v>130</v>
      </c>
      <c r="V1498" s="1" t="s">
        <v>99</v>
      </c>
      <c r="W1498" s="1" t="str">
        <f>VLOOKUP(Table1[[#This Row],[Obergruppe ATC-Code]],Tabelle3!$A$2:$B$100,2)</f>
        <v>ANTIBIOTIKA ZUR SYSTEMISCHEN ANWENDUNG</v>
      </c>
      <c r="X1498" s="1" t="str">
        <f xml:space="preserve"> LEFT(Table1[[#This Row],[Atc Code]],3)</f>
        <v>J01</v>
      </c>
    </row>
    <row r="1499" spans="1:24" ht="14.4">
      <c r="A1499" s="14">
        <v>2161</v>
      </c>
      <c r="B1499" s="24" t="s">
        <v>3271</v>
      </c>
      <c r="C1499" s="1">
        <v>2125157</v>
      </c>
      <c r="D1499" s="1" t="s">
        <v>102</v>
      </c>
      <c r="E1499" s="36">
        <v>45103</v>
      </c>
      <c r="F1499" s="36">
        <v>45230</v>
      </c>
      <c r="G1499" s="38">
        <f t="shared" si="23"/>
        <v>127</v>
      </c>
      <c r="H1499" s="5">
        <v>45134</v>
      </c>
      <c r="I1499" s="5">
        <v>45176</v>
      </c>
      <c r="J1499" s="1" t="s">
        <v>26</v>
      </c>
      <c r="K1499" s="1" t="s">
        <v>3272</v>
      </c>
      <c r="L1499" s="1" t="s">
        <v>3255</v>
      </c>
      <c r="M1499" s="1" t="s">
        <v>3256</v>
      </c>
      <c r="N1499" s="1" t="s">
        <v>38</v>
      </c>
      <c r="O1499" s="1" t="s">
        <v>329</v>
      </c>
      <c r="P1499" s="1" t="s">
        <v>1259</v>
      </c>
      <c r="Q1499" s="1" t="s">
        <v>331</v>
      </c>
      <c r="R1499" s="1" t="s">
        <v>113</v>
      </c>
      <c r="S1499" s="1" t="s">
        <v>3275</v>
      </c>
      <c r="T1499" s="1" t="s">
        <v>3274</v>
      </c>
      <c r="U1499" s="1" t="s">
        <v>35</v>
      </c>
      <c r="V1499" s="1" t="s">
        <v>259</v>
      </c>
      <c r="W1499" s="1" t="str">
        <f>VLOOKUP(Table1[[#This Row],[Obergruppe ATC-Code]],Tabelle3!$A$2:$B$100,2)</f>
        <v>ANTIBIOTIKA ZUR SYSTEMISCHEN ANWENDUNG</v>
      </c>
      <c r="X1499" s="1" t="str">
        <f xml:space="preserve"> LEFT(Table1[[#This Row],[Atc Code]],3)</f>
        <v>J01</v>
      </c>
    </row>
    <row r="1500" spans="1:24" ht="14.4">
      <c r="A1500" s="14">
        <v>1665</v>
      </c>
      <c r="B1500" s="24" t="s">
        <v>3276</v>
      </c>
      <c r="C1500" s="1">
        <v>2155619</v>
      </c>
      <c r="D1500" s="1" t="s">
        <v>102</v>
      </c>
      <c r="E1500" s="36">
        <v>44935</v>
      </c>
      <c r="F1500" s="36">
        <v>45226</v>
      </c>
      <c r="G1500" s="38">
        <f t="shared" si="23"/>
        <v>291</v>
      </c>
      <c r="H1500" s="5">
        <v>44959</v>
      </c>
      <c r="I1500" s="5">
        <v>45211</v>
      </c>
      <c r="J1500" s="1" t="s">
        <v>26</v>
      </c>
      <c r="K1500" s="1" t="s">
        <v>3277</v>
      </c>
      <c r="L1500" s="1" t="s">
        <v>3255</v>
      </c>
      <c r="M1500" s="1" t="s">
        <v>3256</v>
      </c>
      <c r="N1500" s="1" t="s">
        <v>38</v>
      </c>
      <c r="O1500" s="1" t="s">
        <v>91</v>
      </c>
      <c r="Q1500" s="1" t="s">
        <v>93</v>
      </c>
      <c r="R1500" s="1" t="s">
        <v>113</v>
      </c>
      <c r="S1500" s="1"/>
      <c r="U1500" s="1" t="s">
        <v>130</v>
      </c>
      <c r="V1500" s="1" t="s">
        <v>259</v>
      </c>
      <c r="W1500" s="1" t="str">
        <f>VLOOKUP(Table1[[#This Row],[Obergruppe ATC-Code]],Tabelle3!$A$2:$B$100,2)</f>
        <v>ANTIBIOTIKA ZUR SYSTEMISCHEN ANWENDUNG</v>
      </c>
      <c r="X1500" s="1" t="str">
        <f xml:space="preserve"> LEFT(Table1[[#This Row],[Atc Code]],3)</f>
        <v>J01</v>
      </c>
    </row>
    <row r="1501" spans="1:24" ht="14.4">
      <c r="A1501" s="14">
        <v>2105</v>
      </c>
      <c r="B1501" s="24" t="s">
        <v>3278</v>
      </c>
      <c r="C1501" s="1">
        <v>2167358</v>
      </c>
      <c r="D1501" s="1" t="s">
        <v>102</v>
      </c>
      <c r="E1501" s="36">
        <v>44991</v>
      </c>
      <c r="F1501" s="36">
        <v>45215</v>
      </c>
      <c r="G1501" s="38">
        <f t="shared" si="23"/>
        <v>224</v>
      </c>
      <c r="H1501" s="5">
        <v>44991</v>
      </c>
      <c r="I1501" s="5">
        <v>45215</v>
      </c>
      <c r="J1501" s="1" t="s">
        <v>26</v>
      </c>
      <c r="K1501" s="1" t="s">
        <v>3279</v>
      </c>
      <c r="L1501" s="1" t="s">
        <v>3255</v>
      </c>
      <c r="M1501" s="1" t="s">
        <v>3256</v>
      </c>
      <c r="N1501" s="1" t="s">
        <v>38</v>
      </c>
      <c r="O1501" s="1" t="s">
        <v>52</v>
      </c>
      <c r="Q1501" s="1" t="s">
        <v>54</v>
      </c>
      <c r="R1501" s="1" t="s">
        <v>113</v>
      </c>
      <c r="S1501" s="1"/>
      <c r="U1501" s="1" t="s">
        <v>130</v>
      </c>
      <c r="V1501" s="1" t="s">
        <v>259</v>
      </c>
      <c r="W1501" s="1" t="str">
        <f>VLOOKUP(Table1[[#This Row],[Obergruppe ATC-Code]],Tabelle3!$A$2:$B$100,2)</f>
        <v>ANTIBIOTIKA ZUR SYSTEMISCHEN ANWENDUNG</v>
      </c>
      <c r="X1501" s="1" t="str">
        <f xml:space="preserve"> LEFT(Table1[[#This Row],[Atc Code]],3)</f>
        <v>J01</v>
      </c>
    </row>
    <row r="1502" spans="1:24" ht="14.4">
      <c r="A1502" s="14">
        <v>246</v>
      </c>
      <c r="B1502" s="25">
        <v>1409524</v>
      </c>
      <c r="C1502" s="1">
        <v>2142724</v>
      </c>
      <c r="D1502" s="1" t="s">
        <v>25</v>
      </c>
      <c r="E1502" s="36">
        <v>43891</v>
      </c>
      <c r="F1502" s="36">
        <v>44012</v>
      </c>
      <c r="G1502" s="38">
        <f t="shared" si="23"/>
        <v>121</v>
      </c>
      <c r="H1502" s="5">
        <v>43908</v>
      </c>
      <c r="I1502" s="5">
        <v>44000</v>
      </c>
      <c r="J1502" s="1" t="s">
        <v>26</v>
      </c>
      <c r="K1502" s="1" t="s">
        <v>3280</v>
      </c>
      <c r="L1502" s="1" t="s">
        <v>3281</v>
      </c>
      <c r="M1502" s="1" t="s">
        <v>3282</v>
      </c>
      <c r="N1502" s="1" t="s">
        <v>30</v>
      </c>
      <c r="O1502" s="1" t="s">
        <v>45</v>
      </c>
      <c r="P1502" s="1" t="s">
        <v>104</v>
      </c>
      <c r="Q1502" s="1" t="s">
        <v>105</v>
      </c>
      <c r="R1502" s="1" t="s">
        <v>33</v>
      </c>
      <c r="S1502" s="1"/>
      <c r="U1502" s="1" t="s">
        <v>35</v>
      </c>
      <c r="V1502" s="1" t="s">
        <v>99</v>
      </c>
      <c r="W1502" s="1" t="str">
        <f>VLOOKUP(Table1[[#This Row],[Obergruppe ATC-Code]],Tabelle3!$A$2:$B$100,2)</f>
        <v>ANTIBIOTIKA ZUR SYSTEMISCHEN ANWENDUNG</v>
      </c>
      <c r="X1502" s="1" t="str">
        <f xml:space="preserve"> LEFT(Table1[[#This Row],[Atc Code]],3)</f>
        <v>J01</v>
      </c>
    </row>
    <row r="1503" spans="1:24" ht="14.4">
      <c r="A1503" s="14">
        <v>762</v>
      </c>
      <c r="B1503" s="24">
        <v>5556423</v>
      </c>
      <c r="C1503" s="1">
        <v>2106891</v>
      </c>
      <c r="D1503" s="1" t="s">
        <v>25</v>
      </c>
      <c r="E1503" s="36">
        <v>44949</v>
      </c>
      <c r="F1503" s="36">
        <v>44958</v>
      </c>
      <c r="G1503" s="38">
        <f t="shared" si="23"/>
        <v>9</v>
      </c>
      <c r="H1503" s="5">
        <v>44932</v>
      </c>
      <c r="I1503" s="5">
        <v>44958</v>
      </c>
      <c r="J1503" s="1" t="s">
        <v>26</v>
      </c>
      <c r="K1503" s="1" t="s">
        <v>3283</v>
      </c>
      <c r="L1503" s="1" t="s">
        <v>3281</v>
      </c>
      <c r="M1503" s="1" t="s">
        <v>3284</v>
      </c>
      <c r="N1503" s="1" t="s">
        <v>38</v>
      </c>
      <c r="O1503" s="1" t="s">
        <v>329</v>
      </c>
      <c r="P1503" s="1" t="s">
        <v>1153</v>
      </c>
      <c r="Q1503" s="1" t="s">
        <v>331</v>
      </c>
      <c r="R1503" s="1" t="s">
        <v>113</v>
      </c>
      <c r="S1503" s="1" t="s">
        <v>3285</v>
      </c>
      <c r="U1503" s="1" t="s">
        <v>35</v>
      </c>
      <c r="V1503" s="1" t="s">
        <v>285</v>
      </c>
      <c r="W1503" s="1" t="str">
        <f>VLOOKUP(Table1[[#This Row],[Obergruppe ATC-Code]],Tabelle3!$A$2:$B$100,2)</f>
        <v>ANTIBIOTIKA ZUR SYSTEMISCHEN ANWENDUNG</v>
      </c>
      <c r="X1503" s="1" t="str">
        <f xml:space="preserve"> LEFT(Table1[[#This Row],[Atc Code]],3)</f>
        <v>J01</v>
      </c>
    </row>
    <row r="1504" spans="1:24" ht="14.4">
      <c r="A1504" s="14">
        <v>761</v>
      </c>
      <c r="B1504" s="24">
        <v>5556423</v>
      </c>
      <c r="C1504" s="1">
        <v>2106891</v>
      </c>
      <c r="D1504" s="1" t="s">
        <v>25</v>
      </c>
      <c r="E1504" s="36">
        <v>45013</v>
      </c>
      <c r="F1504" s="36">
        <v>45118</v>
      </c>
      <c r="G1504" s="38">
        <f t="shared" si="23"/>
        <v>105</v>
      </c>
      <c r="H1504" s="5">
        <v>45050</v>
      </c>
      <c r="I1504" s="5">
        <v>45119</v>
      </c>
      <c r="J1504" s="1" t="s">
        <v>26</v>
      </c>
      <c r="K1504" s="1" t="s">
        <v>3283</v>
      </c>
      <c r="L1504" s="1" t="s">
        <v>3281</v>
      </c>
      <c r="M1504" s="1" t="s">
        <v>3284</v>
      </c>
      <c r="N1504" s="1" t="s">
        <v>30</v>
      </c>
      <c r="O1504" s="1" t="s">
        <v>329</v>
      </c>
      <c r="P1504" s="1" t="s">
        <v>2125</v>
      </c>
      <c r="Q1504" s="1" t="s">
        <v>331</v>
      </c>
      <c r="R1504" s="1" t="s">
        <v>113</v>
      </c>
      <c r="S1504" s="1" t="s">
        <v>2112</v>
      </c>
      <c r="U1504" s="1" t="s">
        <v>35</v>
      </c>
      <c r="V1504" s="1" t="s">
        <v>285</v>
      </c>
      <c r="W1504" s="1" t="str">
        <f>VLOOKUP(Table1[[#This Row],[Obergruppe ATC-Code]],Tabelle3!$A$2:$B$100,2)</f>
        <v>ANTIBIOTIKA ZUR SYSTEMISCHEN ANWENDUNG</v>
      </c>
      <c r="X1504" s="1" t="str">
        <f xml:space="preserve"> LEFT(Table1[[#This Row],[Atc Code]],3)</f>
        <v>J01</v>
      </c>
    </row>
    <row r="1505" spans="1:24" ht="14.4">
      <c r="A1505" s="14">
        <v>2706</v>
      </c>
      <c r="B1505" s="24" t="s">
        <v>3286</v>
      </c>
      <c r="C1505" s="1">
        <v>2196141</v>
      </c>
      <c r="D1505" s="1" t="s">
        <v>102</v>
      </c>
      <c r="E1505" s="36">
        <v>43922</v>
      </c>
      <c r="F1505" s="36">
        <v>45260</v>
      </c>
      <c r="G1505" s="38">
        <f t="shared" si="23"/>
        <v>1338</v>
      </c>
      <c r="H1505" s="5">
        <v>43929</v>
      </c>
      <c r="I1505" s="5">
        <v>45196</v>
      </c>
      <c r="J1505" s="1" t="s">
        <v>41</v>
      </c>
      <c r="K1505" s="1" t="s">
        <v>3287</v>
      </c>
      <c r="L1505" s="1" t="s">
        <v>3281</v>
      </c>
      <c r="M1505" s="1" t="s">
        <v>3282</v>
      </c>
      <c r="N1505" s="1" t="s">
        <v>30</v>
      </c>
      <c r="O1505" s="1" t="s">
        <v>110</v>
      </c>
      <c r="P1505" s="1">
        <v>49733396510</v>
      </c>
      <c r="Q1505" s="1" t="s">
        <v>112</v>
      </c>
      <c r="R1505" s="1" t="s">
        <v>48</v>
      </c>
      <c r="S1505" s="1"/>
      <c r="U1505" s="1" t="s">
        <v>35</v>
      </c>
      <c r="V1505" s="1" t="s">
        <v>262</v>
      </c>
      <c r="W1505" s="1" t="str">
        <f>VLOOKUP(Table1[[#This Row],[Obergruppe ATC-Code]],Tabelle3!$A$2:$B$100,2)</f>
        <v>ANTIBIOTIKA ZUR SYSTEMISCHEN ANWENDUNG</v>
      </c>
      <c r="X1505" s="1" t="str">
        <f xml:space="preserve"> LEFT(Table1[[#This Row],[Atc Code]],3)</f>
        <v>J01</v>
      </c>
    </row>
    <row r="1506" spans="1:24" ht="14.4">
      <c r="A1506" s="14">
        <v>1891</v>
      </c>
      <c r="B1506" s="24" t="s">
        <v>3288</v>
      </c>
      <c r="C1506" s="1">
        <v>2158770</v>
      </c>
      <c r="D1506" s="1" t="s">
        <v>102</v>
      </c>
      <c r="E1506" s="36">
        <v>45021</v>
      </c>
      <c r="F1506" s="36">
        <v>45226</v>
      </c>
      <c r="G1506" s="38">
        <f t="shared" si="23"/>
        <v>205</v>
      </c>
      <c r="H1506" s="5">
        <v>45021</v>
      </c>
      <c r="I1506" s="5">
        <v>45200</v>
      </c>
      <c r="J1506" s="1" t="s">
        <v>26</v>
      </c>
      <c r="K1506" s="1" t="s">
        <v>3289</v>
      </c>
      <c r="L1506" s="1" t="s">
        <v>3281</v>
      </c>
      <c r="M1506" s="1" t="s">
        <v>3282</v>
      </c>
      <c r="N1506" s="1" t="s">
        <v>38</v>
      </c>
      <c r="O1506" s="1" t="s">
        <v>52</v>
      </c>
      <c r="Q1506" s="1" t="s">
        <v>54</v>
      </c>
      <c r="R1506" s="1" t="s">
        <v>113</v>
      </c>
      <c r="S1506" s="1"/>
      <c r="U1506" s="1" t="s">
        <v>130</v>
      </c>
      <c r="V1506" s="1" t="s">
        <v>99</v>
      </c>
      <c r="W1506" s="1" t="str">
        <f>VLOOKUP(Table1[[#This Row],[Obergruppe ATC-Code]],Tabelle3!$A$2:$B$100,2)</f>
        <v>ANTIBIOTIKA ZUR SYSTEMISCHEN ANWENDUNG</v>
      </c>
      <c r="X1506" s="1" t="str">
        <f xml:space="preserve"> LEFT(Table1[[#This Row],[Atc Code]],3)</f>
        <v>J01</v>
      </c>
    </row>
    <row r="1507" spans="1:24" ht="14.4">
      <c r="A1507" s="14">
        <v>2048</v>
      </c>
      <c r="B1507" s="24" t="s">
        <v>3290</v>
      </c>
      <c r="C1507" s="1">
        <v>2106890</v>
      </c>
      <c r="D1507" s="1" t="s">
        <v>102</v>
      </c>
      <c r="E1507" s="36">
        <v>45204</v>
      </c>
      <c r="F1507" s="36">
        <v>45351</v>
      </c>
      <c r="G1507" s="38">
        <f t="shared" si="23"/>
        <v>147</v>
      </c>
      <c r="H1507" s="5">
        <v>45209</v>
      </c>
      <c r="I1507" s="5">
        <v>45211</v>
      </c>
      <c r="J1507" s="1" t="s">
        <v>26</v>
      </c>
      <c r="K1507" s="1" t="s">
        <v>3291</v>
      </c>
      <c r="L1507" s="1" t="s">
        <v>3281</v>
      </c>
      <c r="M1507" s="1" t="s">
        <v>3292</v>
      </c>
      <c r="N1507" s="1" t="s">
        <v>38</v>
      </c>
      <c r="O1507" s="1" t="s">
        <v>329</v>
      </c>
      <c r="P1507" s="1" t="s">
        <v>1259</v>
      </c>
      <c r="Q1507" s="1" t="s">
        <v>331</v>
      </c>
      <c r="R1507" s="1" t="s">
        <v>113</v>
      </c>
      <c r="S1507" s="1"/>
      <c r="T1507" s="1" t="s">
        <v>3293</v>
      </c>
      <c r="U1507" s="1" t="s">
        <v>35</v>
      </c>
      <c r="V1507" s="1" t="s">
        <v>262</v>
      </c>
      <c r="W1507" s="1" t="str">
        <f>VLOOKUP(Table1[[#This Row],[Obergruppe ATC-Code]],Tabelle3!$A$2:$B$100,2)</f>
        <v>ANTIBIOTIKA ZUR SYSTEMISCHEN ANWENDUNG</v>
      </c>
      <c r="X1507" s="1" t="str">
        <f xml:space="preserve"> LEFT(Table1[[#This Row],[Atc Code]],3)</f>
        <v>J01</v>
      </c>
    </row>
    <row r="1508" spans="1:24" ht="14.4">
      <c r="A1508" s="14">
        <v>2538</v>
      </c>
      <c r="B1508" s="24" t="s">
        <v>3294</v>
      </c>
      <c r="C1508" s="1">
        <v>2139398</v>
      </c>
      <c r="D1508" s="1" t="s">
        <v>175</v>
      </c>
      <c r="E1508" s="36">
        <v>45215</v>
      </c>
      <c r="F1508" s="36">
        <v>45226</v>
      </c>
      <c r="G1508" s="38">
        <f t="shared" si="23"/>
        <v>11</v>
      </c>
      <c r="H1508" s="5">
        <v>45215</v>
      </c>
      <c r="I1508" s="5">
        <v>45215</v>
      </c>
      <c r="J1508" s="1" t="s">
        <v>26</v>
      </c>
      <c r="K1508" s="1" t="s">
        <v>3295</v>
      </c>
      <c r="L1508" s="1" t="s">
        <v>3281</v>
      </c>
      <c r="M1508" s="1" t="s">
        <v>3292</v>
      </c>
      <c r="N1508" s="1" t="s">
        <v>38</v>
      </c>
      <c r="O1508" s="1" t="s">
        <v>140</v>
      </c>
      <c r="Q1508" s="1" t="s">
        <v>141</v>
      </c>
      <c r="R1508" s="1" t="s">
        <v>113</v>
      </c>
      <c r="S1508" s="1"/>
      <c r="U1508" s="1" t="s">
        <v>130</v>
      </c>
      <c r="V1508" s="1" t="s">
        <v>262</v>
      </c>
      <c r="W1508" s="1" t="str">
        <f>VLOOKUP(Table1[[#This Row],[Obergruppe ATC-Code]],Tabelle3!$A$2:$B$100,2)</f>
        <v>ANTIBIOTIKA ZUR SYSTEMISCHEN ANWENDUNG</v>
      </c>
      <c r="X1508" s="1" t="str">
        <f xml:space="preserve"> LEFT(Table1[[#This Row],[Atc Code]],3)</f>
        <v>J01</v>
      </c>
    </row>
    <row r="1509" spans="1:24" ht="14.4">
      <c r="A1509" s="14">
        <v>1669</v>
      </c>
      <c r="B1509" s="24" t="s">
        <v>3296</v>
      </c>
      <c r="C1509" s="1">
        <v>2158766</v>
      </c>
      <c r="D1509" s="1" t="s">
        <v>175</v>
      </c>
      <c r="E1509" s="36">
        <v>45215</v>
      </c>
      <c r="F1509" s="36">
        <v>45226</v>
      </c>
      <c r="G1509" s="38">
        <f t="shared" si="23"/>
        <v>11</v>
      </c>
      <c r="H1509" s="5">
        <v>45215</v>
      </c>
      <c r="I1509" s="5">
        <v>45215</v>
      </c>
      <c r="J1509" s="1" t="s">
        <v>26</v>
      </c>
      <c r="K1509" s="1" t="s">
        <v>3297</v>
      </c>
      <c r="L1509" s="1" t="s">
        <v>3281</v>
      </c>
      <c r="M1509" s="1" t="s">
        <v>3282</v>
      </c>
      <c r="N1509" s="1" t="s">
        <v>38</v>
      </c>
      <c r="O1509" s="1" t="s">
        <v>140</v>
      </c>
      <c r="Q1509" s="1" t="s">
        <v>141</v>
      </c>
      <c r="R1509" s="1" t="s">
        <v>113</v>
      </c>
      <c r="S1509" s="1"/>
      <c r="U1509" s="1" t="s">
        <v>130</v>
      </c>
      <c r="V1509" s="1" t="s">
        <v>99</v>
      </c>
      <c r="W1509" s="1" t="str">
        <f>VLOOKUP(Table1[[#This Row],[Obergruppe ATC-Code]],Tabelle3!$A$2:$B$100,2)</f>
        <v>ANTIBIOTIKA ZUR SYSTEMISCHEN ANWENDUNG</v>
      </c>
      <c r="X1509" s="1" t="str">
        <f xml:space="preserve"> LEFT(Table1[[#This Row],[Atc Code]],3)</f>
        <v>J01</v>
      </c>
    </row>
    <row r="1510" spans="1:24" ht="14.4">
      <c r="A1510" s="14">
        <v>1668</v>
      </c>
      <c r="B1510" s="24" t="s">
        <v>3298</v>
      </c>
      <c r="C1510" s="1">
        <v>2158765</v>
      </c>
      <c r="D1510" s="1" t="s">
        <v>102</v>
      </c>
      <c r="E1510" s="36">
        <v>45215</v>
      </c>
      <c r="F1510" s="36">
        <v>45345</v>
      </c>
      <c r="G1510" s="38">
        <f t="shared" si="23"/>
        <v>130</v>
      </c>
      <c r="H1510" s="5">
        <v>45215</v>
      </c>
      <c r="I1510" s="5">
        <v>45215</v>
      </c>
      <c r="J1510" s="1" t="s">
        <v>26</v>
      </c>
      <c r="K1510" s="1" t="s">
        <v>3299</v>
      </c>
      <c r="L1510" s="1" t="s">
        <v>3281</v>
      </c>
      <c r="M1510" s="1" t="s">
        <v>3282</v>
      </c>
      <c r="N1510" s="1" t="s">
        <v>38</v>
      </c>
      <c r="O1510" s="1" t="s">
        <v>140</v>
      </c>
      <c r="Q1510" s="1" t="s">
        <v>141</v>
      </c>
      <c r="R1510" s="1" t="s">
        <v>113</v>
      </c>
      <c r="S1510" s="1"/>
      <c r="U1510" s="1" t="s">
        <v>130</v>
      </c>
      <c r="V1510" s="1" t="s">
        <v>99</v>
      </c>
      <c r="W1510" s="1" t="str">
        <f>VLOOKUP(Table1[[#This Row],[Obergruppe ATC-Code]],Tabelle3!$A$2:$B$100,2)</f>
        <v>ANTIBIOTIKA ZUR SYSTEMISCHEN ANWENDUNG</v>
      </c>
      <c r="X1510" s="1" t="str">
        <f xml:space="preserve"> LEFT(Table1[[#This Row],[Atc Code]],3)</f>
        <v>J01</v>
      </c>
    </row>
    <row r="1511" spans="1:24" ht="14.4">
      <c r="A1511" s="14">
        <v>1799</v>
      </c>
      <c r="B1511" s="24" t="s">
        <v>3300</v>
      </c>
      <c r="C1511" s="1">
        <v>2146067</v>
      </c>
      <c r="D1511" s="1" t="s">
        <v>175</v>
      </c>
      <c r="E1511" s="36">
        <v>45199</v>
      </c>
      <c r="F1511" s="36">
        <v>45260</v>
      </c>
      <c r="G1511" s="38">
        <f t="shared" si="23"/>
        <v>61</v>
      </c>
      <c r="H1511" s="5">
        <v>45216</v>
      </c>
      <c r="I1511" s="5">
        <v>45216</v>
      </c>
      <c r="J1511" s="1" t="s">
        <v>26</v>
      </c>
      <c r="K1511" s="1" t="s">
        <v>3301</v>
      </c>
      <c r="L1511" s="1" t="s">
        <v>3281</v>
      </c>
      <c r="M1511" s="1" t="s">
        <v>3282</v>
      </c>
      <c r="N1511" s="1" t="s">
        <v>38</v>
      </c>
      <c r="O1511" s="1" t="s">
        <v>110</v>
      </c>
      <c r="P1511" s="1">
        <v>49733396510</v>
      </c>
      <c r="Q1511" s="1" t="s">
        <v>112</v>
      </c>
      <c r="R1511" s="1" t="s">
        <v>113</v>
      </c>
      <c r="S1511" s="1"/>
      <c r="U1511" s="1" t="s">
        <v>130</v>
      </c>
      <c r="V1511" s="1" t="s">
        <v>262</v>
      </c>
      <c r="W1511" s="1" t="str">
        <f>VLOOKUP(Table1[[#This Row],[Obergruppe ATC-Code]],Tabelle3!$A$2:$B$100,2)</f>
        <v>ANTIBIOTIKA ZUR SYSTEMISCHEN ANWENDUNG</v>
      </c>
      <c r="X1511" s="1" t="str">
        <f xml:space="preserve"> LEFT(Table1[[#This Row],[Atc Code]],3)</f>
        <v>J01</v>
      </c>
    </row>
    <row r="1512" spans="1:24" ht="14.4">
      <c r="A1512" s="14">
        <v>2083</v>
      </c>
      <c r="B1512" s="24" t="s">
        <v>3302</v>
      </c>
      <c r="C1512" s="1">
        <v>69428</v>
      </c>
      <c r="D1512" s="1" t="s">
        <v>25</v>
      </c>
      <c r="E1512" s="36">
        <v>41061</v>
      </c>
      <c r="F1512" s="36">
        <v>44196</v>
      </c>
      <c r="G1512" s="38">
        <f t="shared" si="23"/>
        <v>3135</v>
      </c>
      <c r="H1512" s="5">
        <v>42955</v>
      </c>
      <c r="I1512" s="5">
        <v>44188</v>
      </c>
      <c r="J1512" s="1" t="s">
        <v>41</v>
      </c>
      <c r="K1512" s="1" t="s">
        <v>3303</v>
      </c>
      <c r="L1512" s="1" t="s">
        <v>3304</v>
      </c>
      <c r="M1512" s="1" t="s">
        <v>3305</v>
      </c>
      <c r="N1512" s="1" t="s">
        <v>30</v>
      </c>
      <c r="O1512" s="1" t="s">
        <v>184</v>
      </c>
      <c r="P1512" s="1" t="s">
        <v>3306</v>
      </c>
      <c r="Q1512" s="1" t="s">
        <v>1006</v>
      </c>
      <c r="R1512" s="1" t="s">
        <v>165</v>
      </c>
      <c r="S1512" s="1"/>
      <c r="U1512" s="1" t="s">
        <v>35</v>
      </c>
      <c r="V1512" s="1" t="s">
        <v>787</v>
      </c>
      <c r="W1512" s="1" t="str">
        <f>VLOOKUP(Table1[[#This Row],[Obergruppe ATC-Code]],Tabelle3!$A$2:$B$100,2)</f>
        <v>ANTIBIOTIKA ZUR SYSTEMISCHEN ANWENDUNG</v>
      </c>
      <c r="X1512" s="1" t="str">
        <f xml:space="preserve"> LEFT(Table1[[#This Row],[Atc Code]],3)</f>
        <v>J01</v>
      </c>
    </row>
    <row r="1513" spans="1:24" ht="14.4">
      <c r="A1513" s="14">
        <v>821</v>
      </c>
      <c r="B1513" s="24">
        <v>6834798</v>
      </c>
      <c r="C1513" s="1">
        <v>2169218</v>
      </c>
      <c r="D1513" s="1" t="s">
        <v>25</v>
      </c>
      <c r="E1513" s="36">
        <v>44943</v>
      </c>
      <c r="F1513" s="36">
        <v>45107</v>
      </c>
      <c r="G1513" s="38">
        <f t="shared" si="23"/>
        <v>164</v>
      </c>
      <c r="H1513" s="5">
        <v>44943</v>
      </c>
      <c r="I1513" s="5">
        <v>45096</v>
      </c>
      <c r="J1513" s="1" t="s">
        <v>41</v>
      </c>
      <c r="K1513" s="1" t="s">
        <v>3307</v>
      </c>
      <c r="L1513" s="1" t="s">
        <v>3308</v>
      </c>
      <c r="M1513" s="1" t="s">
        <v>3309</v>
      </c>
      <c r="N1513" s="1" t="s">
        <v>30</v>
      </c>
      <c r="O1513" s="1" t="s">
        <v>213</v>
      </c>
      <c r="P1513" s="1">
        <v>56617191477309</v>
      </c>
      <c r="Q1513" s="1" t="s">
        <v>911</v>
      </c>
      <c r="R1513" s="1" t="s">
        <v>128</v>
      </c>
      <c r="S1513" s="1"/>
      <c r="U1513" s="1" t="s">
        <v>130</v>
      </c>
      <c r="V1513" s="1" t="s">
        <v>648</v>
      </c>
      <c r="W1513" s="1" t="str">
        <f>VLOOKUP(Table1[[#This Row],[Obergruppe ATC-Code]],Tabelle3!$A$2:$B$100,2)</f>
        <v>ANTIBIOTIKA ZUR SYSTEMISCHEN ANWENDUNG</v>
      </c>
      <c r="X1513" s="1" t="str">
        <f xml:space="preserve"> LEFT(Table1[[#This Row],[Atc Code]],3)</f>
        <v>J01</v>
      </c>
    </row>
    <row r="1514" spans="1:24" ht="14.4">
      <c r="A1514" s="14">
        <v>820</v>
      </c>
      <c r="B1514" s="24">
        <v>6834769</v>
      </c>
      <c r="C1514" s="1">
        <v>2169217</v>
      </c>
      <c r="D1514" s="1" t="s">
        <v>25</v>
      </c>
      <c r="E1514" s="36">
        <v>44943</v>
      </c>
      <c r="F1514" s="36">
        <v>45107</v>
      </c>
      <c r="G1514" s="38">
        <f t="shared" si="23"/>
        <v>164</v>
      </c>
      <c r="H1514" s="5">
        <v>44943</v>
      </c>
      <c r="I1514" s="5">
        <v>45096</v>
      </c>
      <c r="J1514" s="1" t="s">
        <v>41</v>
      </c>
      <c r="K1514" s="1" t="s">
        <v>3310</v>
      </c>
      <c r="L1514" s="1" t="s">
        <v>3308</v>
      </c>
      <c r="M1514" s="1" t="s">
        <v>3309</v>
      </c>
      <c r="N1514" s="1" t="s">
        <v>30</v>
      </c>
      <c r="O1514" s="1" t="s">
        <v>213</v>
      </c>
      <c r="P1514" s="1">
        <v>56617191477309</v>
      </c>
      <c r="Q1514" s="1" t="s">
        <v>911</v>
      </c>
      <c r="R1514" s="1" t="s">
        <v>128</v>
      </c>
      <c r="S1514" s="1"/>
      <c r="U1514" s="1" t="s">
        <v>130</v>
      </c>
      <c r="V1514" s="1" t="s">
        <v>648</v>
      </c>
      <c r="W1514" s="1" t="str">
        <f>VLOOKUP(Table1[[#This Row],[Obergruppe ATC-Code]],Tabelle3!$A$2:$B$100,2)</f>
        <v>ANTIBIOTIKA ZUR SYSTEMISCHEN ANWENDUNG</v>
      </c>
      <c r="X1514" s="1" t="str">
        <f xml:space="preserve"> LEFT(Table1[[#This Row],[Atc Code]],3)</f>
        <v>J01</v>
      </c>
    </row>
    <row r="1515" spans="1:24" ht="14.4">
      <c r="A1515" s="14">
        <v>16</v>
      </c>
      <c r="B1515" s="24">
        <v>81984</v>
      </c>
      <c r="C1515" s="1">
        <v>154364</v>
      </c>
      <c r="D1515" s="1" t="s">
        <v>25</v>
      </c>
      <c r="E1515" s="36">
        <v>43862</v>
      </c>
      <c r="F1515" s="36">
        <v>43921</v>
      </c>
      <c r="G1515" s="38">
        <f t="shared" si="23"/>
        <v>59</v>
      </c>
      <c r="H1515" s="5">
        <v>43887</v>
      </c>
      <c r="I1515" s="5">
        <v>43913</v>
      </c>
      <c r="J1515" s="1" t="s">
        <v>26</v>
      </c>
      <c r="K1515" s="1" t="s">
        <v>3311</v>
      </c>
      <c r="L1515" s="1" t="s">
        <v>3312</v>
      </c>
      <c r="M1515" s="1" t="s">
        <v>3313</v>
      </c>
      <c r="N1515" s="1" t="s">
        <v>30</v>
      </c>
      <c r="O1515" s="1" t="s">
        <v>548</v>
      </c>
      <c r="P1515" s="1">
        <v>8004288373</v>
      </c>
      <c r="Q1515" s="1" t="s">
        <v>549</v>
      </c>
      <c r="R1515" s="1" t="s">
        <v>33</v>
      </c>
      <c r="S1515" s="1"/>
      <c r="T1515" s="1" t="s">
        <v>3314</v>
      </c>
      <c r="U1515" s="1" t="s">
        <v>35</v>
      </c>
      <c r="V1515" s="1" t="s">
        <v>74</v>
      </c>
      <c r="W1515" s="1" t="str">
        <f>VLOOKUP(Table1[[#This Row],[Obergruppe ATC-Code]],Tabelle3!$A$2:$B$100,2)</f>
        <v>ANTIBIOTIKA ZUR SYSTEMISCHEN ANWENDUNG</v>
      </c>
      <c r="X1515" s="1" t="str">
        <f xml:space="preserve"> LEFT(Table1[[#This Row],[Atc Code]],3)</f>
        <v>J01</v>
      </c>
    </row>
    <row r="1516" spans="1:24" ht="14.4">
      <c r="A1516" s="14">
        <v>607</v>
      </c>
      <c r="B1516" s="24">
        <v>3928174</v>
      </c>
      <c r="C1516" s="1">
        <v>2103169</v>
      </c>
      <c r="D1516" s="1" t="s">
        <v>25</v>
      </c>
      <c r="E1516" s="36">
        <v>43891</v>
      </c>
      <c r="F1516" s="36">
        <v>44012</v>
      </c>
      <c r="G1516" s="38">
        <f t="shared" si="23"/>
        <v>121</v>
      </c>
      <c r="H1516" s="5">
        <v>43917</v>
      </c>
      <c r="I1516" s="5">
        <v>43999</v>
      </c>
      <c r="J1516" s="1" t="s">
        <v>26</v>
      </c>
      <c r="K1516" s="1" t="s">
        <v>3315</v>
      </c>
      <c r="L1516" s="1" t="s">
        <v>3312</v>
      </c>
      <c r="M1516" s="1" t="s">
        <v>3313</v>
      </c>
      <c r="N1516" s="1" t="s">
        <v>30</v>
      </c>
      <c r="O1516" s="1" t="s">
        <v>45</v>
      </c>
      <c r="P1516" s="1" t="s">
        <v>104</v>
      </c>
      <c r="Q1516" s="1" t="s">
        <v>105</v>
      </c>
      <c r="R1516" s="1" t="s">
        <v>33</v>
      </c>
      <c r="S1516" s="1"/>
      <c r="U1516" s="1" t="s">
        <v>35</v>
      </c>
      <c r="V1516" s="1" t="s">
        <v>74</v>
      </c>
      <c r="W1516" s="1" t="str">
        <f>VLOOKUP(Table1[[#This Row],[Obergruppe ATC-Code]],Tabelle3!$A$2:$B$100,2)</f>
        <v>ANTIBIOTIKA ZUR SYSTEMISCHEN ANWENDUNG</v>
      </c>
      <c r="X1516" s="1" t="str">
        <f xml:space="preserve"> LEFT(Table1[[#This Row],[Atc Code]],3)</f>
        <v>J01</v>
      </c>
    </row>
    <row r="1517" spans="1:24" ht="14.4">
      <c r="A1517" s="14">
        <v>1901</v>
      </c>
      <c r="B1517" s="25" t="s">
        <v>3316</v>
      </c>
      <c r="C1517" s="1">
        <v>154418</v>
      </c>
      <c r="D1517" s="1" t="s">
        <v>25</v>
      </c>
      <c r="E1517" s="36">
        <v>44256</v>
      </c>
      <c r="F1517" s="36">
        <v>44407</v>
      </c>
      <c r="G1517" s="38">
        <f t="shared" si="23"/>
        <v>151</v>
      </c>
      <c r="H1517" s="5">
        <v>44286</v>
      </c>
      <c r="I1517" s="5">
        <v>44407</v>
      </c>
      <c r="J1517" s="1" t="s">
        <v>41</v>
      </c>
      <c r="K1517" s="1" t="s">
        <v>3317</v>
      </c>
      <c r="L1517" s="1" t="s">
        <v>3312</v>
      </c>
      <c r="M1517" s="1" t="s">
        <v>3313</v>
      </c>
      <c r="N1517" s="1" t="s">
        <v>38</v>
      </c>
      <c r="O1517" s="1" t="s">
        <v>548</v>
      </c>
      <c r="P1517" s="1">
        <v>8004288373</v>
      </c>
      <c r="Q1517" s="1" t="s">
        <v>549</v>
      </c>
      <c r="R1517" s="1" t="s">
        <v>65</v>
      </c>
      <c r="S1517" s="1"/>
      <c r="U1517" s="1" t="s">
        <v>35</v>
      </c>
      <c r="V1517" s="1" t="s">
        <v>74</v>
      </c>
      <c r="W1517" s="1" t="str">
        <f>VLOOKUP(Table1[[#This Row],[Obergruppe ATC-Code]],Tabelle3!$A$2:$B$100,2)</f>
        <v>ANTIBIOTIKA ZUR SYSTEMISCHEN ANWENDUNG</v>
      </c>
      <c r="X1517" s="1" t="str">
        <f xml:space="preserve"> LEFT(Table1[[#This Row],[Atc Code]],3)</f>
        <v>J01</v>
      </c>
    </row>
    <row r="1518" spans="1:24" ht="14.4">
      <c r="A1518" s="14">
        <v>67</v>
      </c>
      <c r="B1518" s="24">
        <v>497199</v>
      </c>
      <c r="C1518" s="1">
        <v>2136212</v>
      </c>
      <c r="D1518" s="1" t="s">
        <v>25</v>
      </c>
      <c r="E1518" s="36">
        <v>44501</v>
      </c>
      <c r="F1518" s="36">
        <v>44508</v>
      </c>
      <c r="G1518" s="38">
        <f t="shared" si="23"/>
        <v>7</v>
      </c>
      <c r="H1518" s="5">
        <v>44496</v>
      </c>
      <c r="I1518" s="5">
        <v>44509</v>
      </c>
      <c r="J1518" s="1" t="s">
        <v>26</v>
      </c>
      <c r="K1518" s="1" t="s">
        <v>3318</v>
      </c>
      <c r="L1518" s="1" t="s">
        <v>3319</v>
      </c>
      <c r="M1518" s="1" t="s">
        <v>3320</v>
      </c>
      <c r="N1518" s="1" t="s">
        <v>30</v>
      </c>
      <c r="O1518" s="1" t="s">
        <v>1475</v>
      </c>
      <c r="P1518" s="1" t="s">
        <v>812</v>
      </c>
      <c r="Q1518" s="1" t="s">
        <v>813</v>
      </c>
      <c r="R1518" s="1" t="s">
        <v>26</v>
      </c>
      <c r="S1518" s="1"/>
      <c r="U1518" s="1" t="s">
        <v>35</v>
      </c>
      <c r="V1518" s="1" t="s">
        <v>3321</v>
      </c>
      <c r="W1518" s="1" t="str">
        <f>VLOOKUP(Table1[[#This Row],[Obergruppe ATC-Code]],Tabelle3!$A$2:$B$100,2)</f>
        <v>ANTIBIOTIKA ZUR SYSTEMISCHEN ANWENDUNG</v>
      </c>
      <c r="X1518" s="1" t="str">
        <f xml:space="preserve"> LEFT(Table1[[#This Row],[Atc Code]],3)</f>
        <v>J01</v>
      </c>
    </row>
    <row r="1519" spans="1:24" ht="14.4">
      <c r="A1519" s="14">
        <v>2055</v>
      </c>
      <c r="B1519" s="24" t="s">
        <v>3322</v>
      </c>
      <c r="C1519" s="1">
        <v>2149055</v>
      </c>
      <c r="D1519" s="1" t="s">
        <v>102</v>
      </c>
      <c r="E1519" s="36">
        <v>44991</v>
      </c>
      <c r="F1519" s="36">
        <v>45324</v>
      </c>
      <c r="G1519" s="38">
        <f t="shared" si="23"/>
        <v>333</v>
      </c>
      <c r="H1519" s="5">
        <v>44991</v>
      </c>
      <c r="I1519" s="5">
        <v>45027</v>
      </c>
      <c r="J1519" s="1" t="s">
        <v>41</v>
      </c>
      <c r="K1519" s="1" t="s">
        <v>3323</v>
      </c>
      <c r="L1519" s="1" t="s">
        <v>3319</v>
      </c>
      <c r="M1519" s="1" t="s">
        <v>3324</v>
      </c>
      <c r="N1519" s="1" t="s">
        <v>38</v>
      </c>
      <c r="O1519" s="1" t="s">
        <v>140</v>
      </c>
      <c r="Q1519" s="1" t="s">
        <v>141</v>
      </c>
      <c r="R1519" s="1" t="s">
        <v>26</v>
      </c>
      <c r="S1519" s="1"/>
      <c r="U1519" s="1" t="s">
        <v>130</v>
      </c>
      <c r="V1519" s="1" t="s">
        <v>99</v>
      </c>
      <c r="W1519" s="1" t="str">
        <f>VLOOKUP(Table1[[#This Row],[Obergruppe ATC-Code]],Tabelle3!$A$2:$B$100,2)</f>
        <v>ANTIBIOTIKA ZUR SYSTEMISCHEN ANWENDUNG</v>
      </c>
      <c r="X1519" s="1" t="str">
        <f xml:space="preserve"> LEFT(Table1[[#This Row],[Atc Code]],3)</f>
        <v>J01</v>
      </c>
    </row>
    <row r="1520" spans="1:24" ht="14.4">
      <c r="A1520" s="14">
        <v>2054</v>
      </c>
      <c r="B1520" s="24" t="s">
        <v>3325</v>
      </c>
      <c r="C1520" s="1">
        <v>2149054</v>
      </c>
      <c r="D1520" s="1" t="s">
        <v>102</v>
      </c>
      <c r="E1520" s="36">
        <v>44991</v>
      </c>
      <c r="F1520" s="36">
        <v>45352</v>
      </c>
      <c r="G1520" s="38">
        <f t="shared" si="23"/>
        <v>361</v>
      </c>
      <c r="H1520" s="5">
        <v>44991</v>
      </c>
      <c r="I1520" s="5">
        <v>45027</v>
      </c>
      <c r="J1520" s="1" t="s">
        <v>41</v>
      </c>
      <c r="K1520" s="1" t="s">
        <v>3326</v>
      </c>
      <c r="L1520" s="1" t="s">
        <v>3319</v>
      </c>
      <c r="M1520" s="1" t="s">
        <v>3324</v>
      </c>
      <c r="N1520" s="1" t="s">
        <v>38</v>
      </c>
      <c r="O1520" s="1" t="s">
        <v>140</v>
      </c>
      <c r="Q1520" s="1" t="s">
        <v>141</v>
      </c>
      <c r="R1520" s="1" t="s">
        <v>26</v>
      </c>
      <c r="S1520" s="1"/>
      <c r="U1520" s="1" t="s">
        <v>130</v>
      </c>
      <c r="V1520" s="1" t="s">
        <v>99</v>
      </c>
      <c r="W1520" s="1" t="str">
        <f>VLOOKUP(Table1[[#This Row],[Obergruppe ATC-Code]],Tabelle3!$A$2:$B$100,2)</f>
        <v>ANTIBIOTIKA ZUR SYSTEMISCHEN ANWENDUNG</v>
      </c>
      <c r="X1520" s="1" t="str">
        <f xml:space="preserve"> LEFT(Table1[[#This Row],[Atc Code]],3)</f>
        <v>J01</v>
      </c>
    </row>
    <row r="1521" spans="1:24" ht="14.4">
      <c r="A1521" s="14">
        <v>466</v>
      </c>
      <c r="B1521" s="24">
        <v>2804926</v>
      </c>
      <c r="C1521" s="1">
        <v>2108243</v>
      </c>
      <c r="D1521" s="1" t="s">
        <v>25</v>
      </c>
      <c r="E1521" s="36">
        <v>45000</v>
      </c>
      <c r="F1521" s="36">
        <v>45071</v>
      </c>
      <c r="G1521" s="38">
        <f t="shared" si="23"/>
        <v>71</v>
      </c>
      <c r="H1521" s="5">
        <v>44999</v>
      </c>
      <c r="I1521" s="5">
        <v>45071</v>
      </c>
      <c r="J1521" s="1" t="s">
        <v>26</v>
      </c>
      <c r="K1521" s="1" t="s">
        <v>3327</v>
      </c>
      <c r="L1521" s="1" t="s">
        <v>3319</v>
      </c>
      <c r="M1521" s="1" t="s">
        <v>3324</v>
      </c>
      <c r="N1521" s="1" t="s">
        <v>30</v>
      </c>
      <c r="O1521" s="1" t="s">
        <v>1475</v>
      </c>
      <c r="P1521" s="1" t="s">
        <v>814</v>
      </c>
      <c r="Q1521" s="1" t="s">
        <v>753</v>
      </c>
      <c r="R1521" s="1" t="s">
        <v>26</v>
      </c>
      <c r="S1521" s="1"/>
      <c r="U1521" s="1" t="s">
        <v>35</v>
      </c>
      <c r="V1521" s="1" t="s">
        <v>99</v>
      </c>
      <c r="W1521" s="1" t="str">
        <f>VLOOKUP(Table1[[#This Row],[Obergruppe ATC-Code]],Tabelle3!$A$2:$B$100,2)</f>
        <v>ANTIBIOTIKA ZUR SYSTEMISCHEN ANWENDUNG</v>
      </c>
      <c r="X1521" s="1" t="str">
        <f xml:space="preserve"> LEFT(Table1[[#This Row],[Atc Code]],3)</f>
        <v>J01</v>
      </c>
    </row>
    <row r="1522" spans="1:24" ht="14.4">
      <c r="A1522" s="14">
        <v>66</v>
      </c>
      <c r="B1522" s="24">
        <v>497199</v>
      </c>
      <c r="C1522" s="1">
        <v>2136212</v>
      </c>
      <c r="D1522" s="1" t="s">
        <v>25</v>
      </c>
      <c r="E1522" s="36">
        <v>45040</v>
      </c>
      <c r="F1522" s="36">
        <v>45078</v>
      </c>
      <c r="G1522" s="38">
        <f t="shared" si="23"/>
        <v>38</v>
      </c>
      <c r="H1522" s="5">
        <v>45036</v>
      </c>
      <c r="I1522" s="5">
        <v>45078</v>
      </c>
      <c r="J1522" s="1" t="s">
        <v>26</v>
      </c>
      <c r="K1522" s="1" t="s">
        <v>3318</v>
      </c>
      <c r="L1522" s="1" t="s">
        <v>3319</v>
      </c>
      <c r="M1522" s="1" t="s">
        <v>3320</v>
      </c>
      <c r="N1522" s="1" t="s">
        <v>30</v>
      </c>
      <c r="O1522" s="1" t="s">
        <v>1475</v>
      </c>
      <c r="P1522" s="1" t="s">
        <v>814</v>
      </c>
      <c r="Q1522" s="1" t="s">
        <v>813</v>
      </c>
      <c r="R1522" s="1" t="s">
        <v>113</v>
      </c>
      <c r="S1522" s="1"/>
      <c r="U1522" s="1" t="s">
        <v>35</v>
      </c>
      <c r="V1522" s="1" t="s">
        <v>3321</v>
      </c>
      <c r="W1522" s="1" t="str">
        <f>VLOOKUP(Table1[[#This Row],[Obergruppe ATC-Code]],Tabelle3!$A$2:$B$100,2)</f>
        <v>ANTIBIOTIKA ZUR SYSTEMISCHEN ANWENDUNG</v>
      </c>
      <c r="X1522" s="1" t="str">
        <f xml:space="preserve"> LEFT(Table1[[#This Row],[Atc Code]],3)</f>
        <v>J01</v>
      </c>
    </row>
    <row r="1523" spans="1:24" ht="14.4">
      <c r="A1523" s="14">
        <v>237</v>
      </c>
      <c r="B1523" s="24">
        <v>1345764</v>
      </c>
      <c r="C1523" s="1">
        <v>2155648</v>
      </c>
      <c r="D1523" s="1" t="s">
        <v>102</v>
      </c>
      <c r="E1523" s="36">
        <v>45008</v>
      </c>
      <c r="F1523" s="36">
        <v>45232</v>
      </c>
      <c r="G1523" s="38">
        <f t="shared" si="23"/>
        <v>224</v>
      </c>
      <c r="H1523" s="5">
        <v>45008</v>
      </c>
      <c r="I1523" s="5">
        <v>45096</v>
      </c>
      <c r="J1523" s="1" t="s">
        <v>26</v>
      </c>
      <c r="K1523" s="1" t="s">
        <v>3328</v>
      </c>
      <c r="L1523" s="1" t="s">
        <v>3319</v>
      </c>
      <c r="M1523" s="1" t="s">
        <v>3324</v>
      </c>
      <c r="N1523" s="1" t="s">
        <v>30</v>
      </c>
      <c r="O1523" s="1" t="s">
        <v>91</v>
      </c>
      <c r="Q1523" s="1" t="s">
        <v>93</v>
      </c>
      <c r="R1523" s="1" t="s">
        <v>113</v>
      </c>
      <c r="S1523" s="1"/>
      <c r="U1523" s="1" t="s">
        <v>130</v>
      </c>
      <c r="V1523" s="1" t="s">
        <v>99</v>
      </c>
      <c r="W1523" s="1" t="str">
        <f>VLOOKUP(Table1[[#This Row],[Obergruppe ATC-Code]],Tabelle3!$A$2:$B$100,2)</f>
        <v>ANTIBIOTIKA ZUR SYSTEMISCHEN ANWENDUNG</v>
      </c>
      <c r="X1523" s="1" t="str">
        <f xml:space="preserve"> LEFT(Table1[[#This Row],[Atc Code]],3)</f>
        <v>J01</v>
      </c>
    </row>
    <row r="1524" spans="1:24" ht="14.4">
      <c r="A1524" s="14">
        <v>730</v>
      </c>
      <c r="B1524" s="24">
        <v>4954067</v>
      </c>
      <c r="C1524" s="1">
        <v>2151100</v>
      </c>
      <c r="D1524" s="1" t="s">
        <v>25</v>
      </c>
      <c r="E1524" s="36">
        <v>45008</v>
      </c>
      <c r="F1524" s="36">
        <v>45138</v>
      </c>
      <c r="G1524" s="38">
        <f t="shared" si="23"/>
        <v>130</v>
      </c>
      <c r="H1524" s="5">
        <v>45008</v>
      </c>
      <c r="I1524" s="5">
        <v>45141</v>
      </c>
      <c r="J1524" s="1" t="s">
        <v>26</v>
      </c>
      <c r="K1524" s="1" t="s">
        <v>3329</v>
      </c>
      <c r="L1524" s="1" t="s">
        <v>3319</v>
      </c>
      <c r="M1524" s="1" t="s">
        <v>3324</v>
      </c>
      <c r="N1524" s="1" t="s">
        <v>30</v>
      </c>
      <c r="O1524" s="1" t="s">
        <v>52</v>
      </c>
      <c r="Q1524" s="1" t="s">
        <v>54</v>
      </c>
      <c r="R1524" s="1" t="s">
        <v>113</v>
      </c>
      <c r="S1524" s="1"/>
      <c r="U1524" s="1" t="s">
        <v>130</v>
      </c>
      <c r="V1524" s="1" t="s">
        <v>99</v>
      </c>
      <c r="W1524" s="1" t="str">
        <f>VLOOKUP(Table1[[#This Row],[Obergruppe ATC-Code]],Tabelle3!$A$2:$B$100,2)</f>
        <v>ANTIBIOTIKA ZUR SYSTEMISCHEN ANWENDUNG</v>
      </c>
      <c r="X1524" s="1" t="str">
        <f xml:space="preserve"> LEFT(Table1[[#This Row],[Atc Code]],3)</f>
        <v>J01</v>
      </c>
    </row>
    <row r="1525" spans="1:24" ht="14.4">
      <c r="A1525" s="14">
        <v>273</v>
      </c>
      <c r="B1525" s="24">
        <v>1592793</v>
      </c>
      <c r="C1525" s="1">
        <v>2149428</v>
      </c>
      <c r="D1525" s="1" t="s">
        <v>175</v>
      </c>
      <c r="E1525" s="36">
        <v>45134</v>
      </c>
      <c r="F1525" s="36">
        <v>45282</v>
      </c>
      <c r="G1525" s="38">
        <f t="shared" si="23"/>
        <v>148</v>
      </c>
      <c r="H1525" s="5">
        <v>45141</v>
      </c>
      <c r="I1525" s="5">
        <v>45141</v>
      </c>
      <c r="J1525" s="1" t="s">
        <v>26</v>
      </c>
      <c r="K1525" s="1" t="s">
        <v>3330</v>
      </c>
      <c r="L1525" s="1" t="s">
        <v>3319</v>
      </c>
      <c r="M1525" s="1" t="s">
        <v>3324</v>
      </c>
      <c r="N1525" s="1" t="s">
        <v>38</v>
      </c>
      <c r="O1525" s="1" t="s">
        <v>123</v>
      </c>
      <c r="Q1525" s="1" t="s">
        <v>201</v>
      </c>
      <c r="R1525" s="1" t="s">
        <v>113</v>
      </c>
      <c r="S1525" s="1"/>
      <c r="U1525" s="1" t="s">
        <v>130</v>
      </c>
      <c r="V1525" s="1" t="s">
        <v>99</v>
      </c>
      <c r="W1525" s="1" t="str">
        <f>VLOOKUP(Table1[[#This Row],[Obergruppe ATC-Code]],Tabelle3!$A$2:$B$100,2)</f>
        <v>ANTIBIOTIKA ZUR SYSTEMISCHEN ANWENDUNG</v>
      </c>
      <c r="X1525" s="1" t="str">
        <f xml:space="preserve"> LEFT(Table1[[#This Row],[Atc Code]],3)</f>
        <v>J01</v>
      </c>
    </row>
    <row r="1526" spans="1:24" ht="14.4">
      <c r="A1526" s="14">
        <v>1998</v>
      </c>
      <c r="B1526" s="24" t="s">
        <v>3331</v>
      </c>
      <c r="C1526" s="1">
        <v>2108244</v>
      </c>
      <c r="D1526" s="1" t="s">
        <v>102</v>
      </c>
      <c r="E1526" s="36">
        <v>45078</v>
      </c>
      <c r="F1526" s="36">
        <v>45230</v>
      </c>
      <c r="G1526" s="38">
        <f t="shared" si="23"/>
        <v>152</v>
      </c>
      <c r="H1526" s="5">
        <v>45078</v>
      </c>
      <c r="I1526" s="5">
        <v>45163</v>
      </c>
      <c r="J1526" s="1" t="s">
        <v>26</v>
      </c>
      <c r="K1526" s="1" t="s">
        <v>3332</v>
      </c>
      <c r="L1526" s="1" t="s">
        <v>3319</v>
      </c>
      <c r="M1526" s="1" t="s">
        <v>3324</v>
      </c>
      <c r="N1526" s="1" t="s">
        <v>30</v>
      </c>
      <c r="O1526" s="1" t="s">
        <v>1475</v>
      </c>
      <c r="P1526" s="1" t="s">
        <v>814</v>
      </c>
      <c r="Q1526" s="1" t="s">
        <v>753</v>
      </c>
      <c r="R1526" s="1" t="s">
        <v>113</v>
      </c>
      <c r="S1526" s="1"/>
      <c r="U1526" s="1" t="s">
        <v>35</v>
      </c>
      <c r="V1526" s="1" t="s">
        <v>99</v>
      </c>
      <c r="W1526" s="1" t="str">
        <f>VLOOKUP(Table1[[#This Row],[Obergruppe ATC-Code]],Tabelle3!$A$2:$B$100,2)</f>
        <v>ANTIBIOTIKA ZUR SYSTEMISCHEN ANWENDUNG</v>
      </c>
      <c r="X1526" s="1" t="str">
        <f xml:space="preserve"> LEFT(Table1[[#This Row],[Atc Code]],3)</f>
        <v>J01</v>
      </c>
    </row>
    <row r="1527" spans="1:24" ht="14.4">
      <c r="A1527" s="14">
        <v>731</v>
      </c>
      <c r="B1527" s="24">
        <v>4954096</v>
      </c>
      <c r="C1527" s="1">
        <v>2153289</v>
      </c>
      <c r="D1527" s="1" t="s">
        <v>102</v>
      </c>
      <c r="E1527" s="36">
        <v>45015</v>
      </c>
      <c r="F1527" s="36">
        <v>45226</v>
      </c>
      <c r="G1527" s="38">
        <f t="shared" si="23"/>
        <v>211</v>
      </c>
      <c r="H1527" s="5">
        <v>45015</v>
      </c>
      <c r="I1527" s="5">
        <v>45166</v>
      </c>
      <c r="J1527" s="1" t="s">
        <v>26</v>
      </c>
      <c r="K1527" s="1" t="s">
        <v>3333</v>
      </c>
      <c r="L1527" s="1" t="s">
        <v>3319</v>
      </c>
      <c r="M1527" s="1" t="s">
        <v>3324</v>
      </c>
      <c r="N1527" s="1" t="s">
        <v>30</v>
      </c>
      <c r="O1527" s="1" t="s">
        <v>52</v>
      </c>
      <c r="Q1527" s="1" t="s">
        <v>1395</v>
      </c>
      <c r="R1527" s="1" t="s">
        <v>113</v>
      </c>
      <c r="S1527" s="1"/>
      <c r="U1527" s="1" t="s">
        <v>130</v>
      </c>
      <c r="V1527" s="1" t="s">
        <v>99</v>
      </c>
      <c r="W1527" s="1" t="str">
        <f>VLOOKUP(Table1[[#This Row],[Obergruppe ATC-Code]],Tabelle3!$A$2:$B$100,2)</f>
        <v>ANTIBIOTIKA ZUR SYSTEMISCHEN ANWENDUNG</v>
      </c>
      <c r="X1527" s="1" t="str">
        <f xml:space="preserve"> LEFT(Table1[[#This Row],[Atc Code]],3)</f>
        <v>J01</v>
      </c>
    </row>
    <row r="1528" spans="1:24" ht="14.4">
      <c r="A1528" s="14">
        <v>1710</v>
      </c>
      <c r="B1528" s="24" t="s">
        <v>3334</v>
      </c>
      <c r="C1528" s="1">
        <v>2153282</v>
      </c>
      <c r="D1528" s="1" t="s">
        <v>102</v>
      </c>
      <c r="E1528" s="36">
        <v>45008</v>
      </c>
      <c r="F1528" s="36">
        <v>45226</v>
      </c>
      <c r="G1528" s="38">
        <f t="shared" si="23"/>
        <v>218</v>
      </c>
      <c r="H1528" s="5">
        <v>45008</v>
      </c>
      <c r="I1528" s="5">
        <v>45170</v>
      </c>
      <c r="J1528" s="1" t="s">
        <v>26</v>
      </c>
      <c r="K1528" s="1" t="s">
        <v>3335</v>
      </c>
      <c r="L1528" s="1" t="s">
        <v>3319</v>
      </c>
      <c r="M1528" s="1" t="s">
        <v>3324</v>
      </c>
      <c r="N1528" s="1" t="s">
        <v>30</v>
      </c>
      <c r="O1528" s="1" t="s">
        <v>91</v>
      </c>
      <c r="Q1528" s="1" t="s">
        <v>93</v>
      </c>
      <c r="R1528" s="1" t="s">
        <v>113</v>
      </c>
      <c r="S1528" s="1"/>
      <c r="U1528" s="1" t="s">
        <v>130</v>
      </c>
      <c r="V1528" s="1" t="s">
        <v>99</v>
      </c>
      <c r="W1528" s="1" t="str">
        <f>VLOOKUP(Table1[[#This Row],[Obergruppe ATC-Code]],Tabelle3!$A$2:$B$100,2)</f>
        <v>ANTIBIOTIKA ZUR SYSTEMISCHEN ANWENDUNG</v>
      </c>
      <c r="X1528" s="1" t="str">
        <f xml:space="preserve"> LEFT(Table1[[#This Row],[Atc Code]],3)</f>
        <v>J01</v>
      </c>
    </row>
    <row r="1529" spans="1:24" ht="14.4">
      <c r="A1529" s="14">
        <v>1644</v>
      </c>
      <c r="B1529" s="24" t="s">
        <v>3336</v>
      </c>
      <c r="C1529" s="1">
        <v>2153288</v>
      </c>
      <c r="D1529" s="1" t="s">
        <v>102</v>
      </c>
      <c r="E1529" s="36">
        <v>45008</v>
      </c>
      <c r="F1529" s="36">
        <v>45233</v>
      </c>
      <c r="G1529" s="38">
        <f t="shared" si="23"/>
        <v>225</v>
      </c>
      <c r="H1529" s="5">
        <v>45008</v>
      </c>
      <c r="I1529" s="5">
        <v>45197</v>
      </c>
      <c r="J1529" s="1" t="s">
        <v>26</v>
      </c>
      <c r="K1529" s="1" t="s">
        <v>3337</v>
      </c>
      <c r="L1529" s="1" t="s">
        <v>3319</v>
      </c>
      <c r="M1529" s="1" t="s">
        <v>3324</v>
      </c>
      <c r="N1529" s="1" t="s">
        <v>30</v>
      </c>
      <c r="O1529" s="1" t="s">
        <v>52</v>
      </c>
      <c r="Q1529" s="1" t="s">
        <v>54</v>
      </c>
      <c r="R1529" s="1" t="s">
        <v>113</v>
      </c>
      <c r="S1529" s="1"/>
      <c r="U1529" s="1" t="s">
        <v>130</v>
      </c>
      <c r="V1529" s="1" t="s">
        <v>99</v>
      </c>
      <c r="W1529" s="1" t="str">
        <f>VLOOKUP(Table1[[#This Row],[Obergruppe ATC-Code]],Tabelle3!$A$2:$B$100,2)</f>
        <v>ANTIBIOTIKA ZUR SYSTEMISCHEN ANWENDUNG</v>
      </c>
      <c r="X1529" s="1" t="str">
        <f xml:space="preserve"> LEFT(Table1[[#This Row],[Atc Code]],3)</f>
        <v>J01</v>
      </c>
    </row>
    <row r="1530" spans="1:24" ht="14.4">
      <c r="A1530" s="14">
        <v>1864</v>
      </c>
      <c r="B1530" s="24" t="s">
        <v>3338</v>
      </c>
      <c r="C1530" s="1">
        <v>2153283</v>
      </c>
      <c r="D1530" s="1" t="s">
        <v>102</v>
      </c>
      <c r="E1530" s="36">
        <v>45008</v>
      </c>
      <c r="F1530" s="36">
        <v>45226</v>
      </c>
      <c r="G1530" s="38">
        <f t="shared" si="23"/>
        <v>218</v>
      </c>
      <c r="H1530" s="5">
        <v>45008</v>
      </c>
      <c r="I1530" s="5">
        <v>45211</v>
      </c>
      <c r="J1530" s="1" t="s">
        <v>26</v>
      </c>
      <c r="K1530" s="1" t="s">
        <v>3339</v>
      </c>
      <c r="L1530" s="1" t="s">
        <v>3319</v>
      </c>
      <c r="M1530" s="1" t="s">
        <v>3324</v>
      </c>
      <c r="N1530" s="1" t="s">
        <v>30</v>
      </c>
      <c r="O1530" s="1" t="s">
        <v>91</v>
      </c>
      <c r="Q1530" s="1" t="s">
        <v>93</v>
      </c>
      <c r="R1530" s="1" t="s">
        <v>113</v>
      </c>
      <c r="S1530" s="1"/>
      <c r="U1530" s="1" t="s">
        <v>130</v>
      </c>
      <c r="V1530" s="1" t="s">
        <v>99</v>
      </c>
      <c r="W1530" s="1" t="str">
        <f>VLOOKUP(Table1[[#This Row],[Obergruppe ATC-Code]],Tabelle3!$A$2:$B$100,2)</f>
        <v>ANTIBIOTIKA ZUR SYSTEMISCHEN ANWENDUNG</v>
      </c>
      <c r="X1530" s="1" t="str">
        <f xml:space="preserve"> LEFT(Table1[[#This Row],[Atc Code]],3)</f>
        <v>J01</v>
      </c>
    </row>
    <row r="1531" spans="1:24" ht="14.4">
      <c r="A1531" s="14">
        <v>1784</v>
      </c>
      <c r="B1531" s="24" t="s">
        <v>3340</v>
      </c>
      <c r="C1531" s="1">
        <v>2153287</v>
      </c>
      <c r="D1531" s="1" t="s">
        <v>102</v>
      </c>
      <c r="E1531" s="36">
        <v>45008</v>
      </c>
      <c r="F1531" s="36">
        <v>45260</v>
      </c>
      <c r="G1531" s="38">
        <f t="shared" si="23"/>
        <v>252</v>
      </c>
      <c r="H1531" s="5">
        <v>45008</v>
      </c>
      <c r="I1531" s="5">
        <v>45215</v>
      </c>
      <c r="J1531" s="1" t="s">
        <v>26</v>
      </c>
      <c r="K1531" s="1" t="s">
        <v>3341</v>
      </c>
      <c r="L1531" s="1" t="s">
        <v>3319</v>
      </c>
      <c r="M1531" s="1" t="s">
        <v>3324</v>
      </c>
      <c r="N1531" s="1" t="s">
        <v>30</v>
      </c>
      <c r="O1531" s="1" t="s">
        <v>52</v>
      </c>
      <c r="Q1531" s="1" t="s">
        <v>54</v>
      </c>
      <c r="R1531" s="1" t="s">
        <v>113</v>
      </c>
      <c r="S1531" s="1"/>
      <c r="U1531" s="1" t="s">
        <v>130</v>
      </c>
      <c r="V1531" s="1" t="s">
        <v>99</v>
      </c>
      <c r="W1531" s="1" t="str">
        <f>VLOOKUP(Table1[[#This Row],[Obergruppe ATC-Code]],Tabelle3!$A$2:$B$100,2)</f>
        <v>ANTIBIOTIKA ZUR SYSTEMISCHEN ANWENDUNG</v>
      </c>
      <c r="X1531" s="1" t="str">
        <f xml:space="preserve"> LEFT(Table1[[#This Row],[Atc Code]],3)</f>
        <v>J01</v>
      </c>
    </row>
    <row r="1532" spans="1:24" ht="14.4">
      <c r="A1532" s="14">
        <v>1698</v>
      </c>
      <c r="B1532" s="24" t="s">
        <v>3342</v>
      </c>
      <c r="C1532" s="1">
        <v>2153281</v>
      </c>
      <c r="D1532" s="1" t="s">
        <v>102</v>
      </c>
      <c r="E1532" s="36">
        <v>45008</v>
      </c>
      <c r="F1532" s="36">
        <v>45268</v>
      </c>
      <c r="G1532" s="38">
        <f t="shared" si="23"/>
        <v>260</v>
      </c>
      <c r="H1532" s="5">
        <v>45008</v>
      </c>
      <c r="I1532" s="5">
        <v>45215</v>
      </c>
      <c r="J1532" s="1" t="s">
        <v>26</v>
      </c>
      <c r="K1532" s="1" t="s">
        <v>3343</v>
      </c>
      <c r="L1532" s="1" t="s">
        <v>3319</v>
      </c>
      <c r="M1532" s="1" t="s">
        <v>3324</v>
      </c>
      <c r="N1532" s="1" t="s">
        <v>30</v>
      </c>
      <c r="O1532" s="1" t="s">
        <v>91</v>
      </c>
      <c r="Q1532" s="1" t="s">
        <v>93</v>
      </c>
      <c r="R1532" s="1" t="s">
        <v>113</v>
      </c>
      <c r="S1532" s="1"/>
      <c r="U1532" s="1" t="s">
        <v>130</v>
      </c>
      <c r="V1532" s="1" t="s">
        <v>99</v>
      </c>
      <c r="W1532" s="1" t="str">
        <f>VLOOKUP(Table1[[#This Row],[Obergruppe ATC-Code]],Tabelle3!$A$2:$B$100,2)</f>
        <v>ANTIBIOTIKA ZUR SYSTEMISCHEN ANWENDUNG</v>
      </c>
      <c r="X1532" s="1" t="str">
        <f xml:space="preserve"> LEFT(Table1[[#This Row],[Atc Code]],3)</f>
        <v>J01</v>
      </c>
    </row>
    <row r="1533" spans="1:24" ht="14.4" customHeight="1">
      <c r="A1533" s="14">
        <v>1243</v>
      </c>
      <c r="B1533" s="50">
        <v>11356579</v>
      </c>
      <c r="C1533" s="1">
        <v>2196308</v>
      </c>
      <c r="D1533" s="1" t="s">
        <v>25</v>
      </c>
      <c r="E1533" s="36">
        <v>43922</v>
      </c>
      <c r="F1533" s="36">
        <v>43951</v>
      </c>
      <c r="G1533" s="38">
        <f t="shared" si="23"/>
        <v>29</v>
      </c>
      <c r="H1533" s="5">
        <v>43935</v>
      </c>
      <c r="I1533" s="5">
        <v>43936</v>
      </c>
      <c r="J1533" s="1" t="s">
        <v>41</v>
      </c>
      <c r="K1533" s="1" t="s">
        <v>3344</v>
      </c>
      <c r="L1533" s="1" t="s">
        <v>3345</v>
      </c>
      <c r="M1533" s="1" t="s">
        <v>3346</v>
      </c>
      <c r="N1533" s="1" t="s">
        <v>30</v>
      </c>
      <c r="O1533" s="1" t="s">
        <v>1284</v>
      </c>
      <c r="P1533" s="1" t="s">
        <v>1285</v>
      </c>
      <c r="Q1533" s="1" t="s">
        <v>1286</v>
      </c>
      <c r="R1533" s="1" t="s">
        <v>65</v>
      </c>
      <c r="S1533" s="1"/>
      <c r="U1533" s="1" t="s">
        <v>35</v>
      </c>
      <c r="V1533" s="1" t="s">
        <v>99</v>
      </c>
      <c r="W1533" s="1" t="str">
        <f>VLOOKUP(Table1[[#This Row],[Obergruppe ATC-Code]],Tabelle3!$A$2:$B$100,2)</f>
        <v>ANTIBIOTIKA ZUR SYSTEMISCHEN ANWENDUNG</v>
      </c>
      <c r="X1533" s="1" t="str">
        <f xml:space="preserve"> LEFT(Table1[[#This Row],[Atc Code]],3)</f>
        <v>J01</v>
      </c>
    </row>
    <row r="1534" spans="1:24" ht="14.4">
      <c r="A1534" s="14">
        <v>289</v>
      </c>
      <c r="B1534" s="24">
        <v>1799838</v>
      </c>
      <c r="C1534" s="1">
        <v>2151075</v>
      </c>
      <c r="D1534" s="1" t="s">
        <v>102</v>
      </c>
      <c r="E1534" s="36">
        <v>44998</v>
      </c>
      <c r="F1534" s="36">
        <v>45291</v>
      </c>
      <c r="G1534" s="38">
        <f t="shared" si="23"/>
        <v>293</v>
      </c>
      <c r="H1534" s="5">
        <v>44998</v>
      </c>
      <c r="I1534" s="5">
        <v>45163</v>
      </c>
      <c r="J1534" s="1" t="s">
        <v>26</v>
      </c>
      <c r="K1534" s="1" t="s">
        <v>3347</v>
      </c>
      <c r="L1534" s="1" t="s">
        <v>3345</v>
      </c>
      <c r="M1534" s="1" t="s">
        <v>3346</v>
      </c>
      <c r="N1534" s="1" t="s">
        <v>30</v>
      </c>
      <c r="O1534" s="1" t="s">
        <v>1475</v>
      </c>
      <c r="P1534" s="1" t="s">
        <v>814</v>
      </c>
      <c r="Q1534" s="1" t="s">
        <v>753</v>
      </c>
      <c r="R1534" s="1" t="s">
        <v>142</v>
      </c>
      <c r="S1534" s="1"/>
      <c r="U1534" s="1" t="s">
        <v>35</v>
      </c>
      <c r="V1534" s="1" t="s">
        <v>648</v>
      </c>
      <c r="W1534" s="1" t="str">
        <f>VLOOKUP(Table1[[#This Row],[Obergruppe ATC-Code]],Tabelle3!$A$2:$B$100,2)</f>
        <v>ANTIBIOTIKA ZUR SYSTEMISCHEN ANWENDUNG</v>
      </c>
      <c r="X1534" s="1" t="str">
        <f xml:space="preserve"> LEFT(Table1[[#This Row],[Atc Code]],3)</f>
        <v>J01</v>
      </c>
    </row>
    <row r="1535" spans="1:24" ht="14.4">
      <c r="A1535" s="14">
        <v>1364</v>
      </c>
      <c r="B1535" s="24">
        <v>13414708</v>
      </c>
      <c r="C1535" s="1">
        <v>614009</v>
      </c>
      <c r="D1535" s="1" t="s">
        <v>175</v>
      </c>
      <c r="E1535" s="36">
        <v>45170</v>
      </c>
      <c r="F1535" s="36">
        <v>45657</v>
      </c>
      <c r="G1535" s="38">
        <f t="shared" si="23"/>
        <v>487</v>
      </c>
      <c r="H1535" s="5">
        <v>45146</v>
      </c>
      <c r="I1535" s="5">
        <v>45146</v>
      </c>
      <c r="J1535" s="1" t="s">
        <v>41</v>
      </c>
      <c r="K1535" s="1" t="s">
        <v>3348</v>
      </c>
      <c r="L1535" s="1" t="s">
        <v>3349</v>
      </c>
      <c r="M1535" s="1" t="s">
        <v>338</v>
      </c>
      <c r="N1535" s="1" t="s">
        <v>38</v>
      </c>
      <c r="O1535" s="1" t="s">
        <v>339</v>
      </c>
      <c r="P1535" s="1" t="s">
        <v>340</v>
      </c>
      <c r="Q1535" s="1" t="s">
        <v>341</v>
      </c>
      <c r="R1535" s="1" t="s">
        <v>128</v>
      </c>
      <c r="S1535" s="1"/>
      <c r="U1535" s="1" t="s">
        <v>35</v>
      </c>
      <c r="V1535" s="1" t="s">
        <v>342</v>
      </c>
      <c r="W1535" s="1" t="str">
        <f>VLOOKUP(Table1[[#This Row],[Obergruppe ATC-Code]],Tabelle3!$A$2:$B$100,2)</f>
        <v>ANTIBIOTIKA ZUR SYSTEMISCHEN ANWENDUNG</v>
      </c>
      <c r="X1535" s="1" t="str">
        <f xml:space="preserve"> LEFT(Table1[[#This Row],[Atc Code]],3)</f>
        <v>J01</v>
      </c>
    </row>
    <row r="1536" spans="1:24" ht="14.4">
      <c r="A1536" s="14">
        <v>540</v>
      </c>
      <c r="B1536" s="24">
        <v>3444312</v>
      </c>
      <c r="C1536" s="1">
        <v>2127257</v>
      </c>
      <c r="D1536" s="1" t="s">
        <v>25</v>
      </c>
      <c r="E1536" s="36">
        <v>44533</v>
      </c>
      <c r="F1536" s="36">
        <v>44595</v>
      </c>
      <c r="G1536" s="38">
        <f t="shared" si="23"/>
        <v>62</v>
      </c>
      <c r="H1536" s="5">
        <v>44538</v>
      </c>
      <c r="I1536" s="5">
        <v>44596</v>
      </c>
      <c r="J1536" s="1" t="s">
        <v>26</v>
      </c>
      <c r="K1536" s="1" t="s">
        <v>3350</v>
      </c>
      <c r="L1536" s="1" t="s">
        <v>3351</v>
      </c>
      <c r="M1536" s="1" t="s">
        <v>3352</v>
      </c>
      <c r="N1536" s="1" t="s">
        <v>30</v>
      </c>
      <c r="O1536" s="1" t="s">
        <v>62</v>
      </c>
      <c r="P1536" s="1" t="s">
        <v>63</v>
      </c>
      <c r="Q1536" s="1" t="s">
        <v>64</v>
      </c>
      <c r="R1536" s="1" t="s">
        <v>33</v>
      </c>
      <c r="S1536" s="1" t="s">
        <v>3353</v>
      </c>
      <c r="T1536" s="1" t="s">
        <v>3354</v>
      </c>
      <c r="U1536" s="1" t="s">
        <v>35</v>
      </c>
      <c r="V1536" s="1" t="s">
        <v>803</v>
      </c>
      <c r="W1536" s="1" t="str">
        <f>VLOOKUP(Table1[[#This Row],[Obergruppe ATC-Code]],Tabelle3!$A$2:$B$100,2)</f>
        <v>ANTIBIOTIKA ZUR SYSTEMISCHEN ANWENDUNG</v>
      </c>
      <c r="X1536" s="1" t="str">
        <f xml:space="preserve"> LEFT(Table1[[#This Row],[Atc Code]],3)</f>
        <v>J01</v>
      </c>
    </row>
    <row r="1537" spans="1:24" ht="14.4">
      <c r="A1537" s="14">
        <v>1491</v>
      </c>
      <c r="B1537" s="24">
        <v>15530933</v>
      </c>
      <c r="C1537" s="1">
        <v>2201570</v>
      </c>
      <c r="D1537" s="1" t="s">
        <v>25</v>
      </c>
      <c r="E1537" s="36">
        <v>44543</v>
      </c>
      <c r="F1537" s="36">
        <v>44643</v>
      </c>
      <c r="G1537" s="38">
        <f t="shared" si="23"/>
        <v>100</v>
      </c>
      <c r="H1537" s="5">
        <v>44551</v>
      </c>
      <c r="I1537" s="5">
        <v>44644</v>
      </c>
      <c r="J1537" s="1" t="s">
        <v>41</v>
      </c>
      <c r="K1537" s="1" t="s">
        <v>3355</v>
      </c>
      <c r="L1537" s="1" t="s">
        <v>3356</v>
      </c>
      <c r="M1537" s="1" t="s">
        <v>3357</v>
      </c>
      <c r="N1537" s="1" t="s">
        <v>30</v>
      </c>
      <c r="O1537" s="1" t="s">
        <v>3358</v>
      </c>
      <c r="P1537" s="1" t="s">
        <v>3359</v>
      </c>
      <c r="Q1537" s="1" t="s">
        <v>3360</v>
      </c>
      <c r="R1537" s="1" t="s">
        <v>128</v>
      </c>
      <c r="S1537" s="1"/>
      <c r="T1537" s="1" t="s">
        <v>3361</v>
      </c>
      <c r="U1537" s="1" t="s">
        <v>130</v>
      </c>
      <c r="V1537" s="1" t="s">
        <v>154</v>
      </c>
      <c r="W1537" s="1" t="str">
        <f>VLOOKUP(Table1[[#This Row],[Obergruppe ATC-Code]],Tabelle3!$A$2:$B$100,2)</f>
        <v>ANTIBIOTIKA ZUR SYSTEMISCHEN ANWENDUNG</v>
      </c>
      <c r="X1537" s="1" t="str">
        <f xml:space="preserve"> LEFT(Table1[[#This Row],[Atc Code]],3)</f>
        <v>J01</v>
      </c>
    </row>
    <row r="1538" spans="1:24" ht="14.4">
      <c r="A1538" s="14">
        <v>169</v>
      </c>
      <c r="B1538" s="25">
        <v>1028271</v>
      </c>
      <c r="C1538" s="1">
        <v>2136917</v>
      </c>
      <c r="D1538" s="1" t="s">
        <v>25</v>
      </c>
      <c r="E1538" s="36">
        <v>43891</v>
      </c>
      <c r="F1538" s="36">
        <v>44135</v>
      </c>
      <c r="G1538" s="38">
        <f t="shared" ref="G1538:G1601" si="24">F1538-E1538</f>
        <v>244</v>
      </c>
      <c r="H1538" s="5">
        <v>43917</v>
      </c>
      <c r="I1538" s="5">
        <v>44132</v>
      </c>
      <c r="J1538" s="1" t="s">
        <v>41</v>
      </c>
      <c r="K1538" s="1" t="s">
        <v>3362</v>
      </c>
      <c r="L1538" s="1" t="s">
        <v>3363</v>
      </c>
      <c r="M1538" s="1" t="s">
        <v>44</v>
      </c>
      <c r="N1538" s="1" t="s">
        <v>38</v>
      </c>
      <c r="O1538" s="1" t="s">
        <v>91</v>
      </c>
      <c r="P1538" s="1" t="s">
        <v>92</v>
      </c>
      <c r="Q1538" s="1" t="s">
        <v>93</v>
      </c>
      <c r="R1538" s="1" t="s">
        <v>48</v>
      </c>
      <c r="S1538" s="1"/>
      <c r="U1538" s="1" t="s">
        <v>35</v>
      </c>
      <c r="V1538" s="1" t="s">
        <v>49</v>
      </c>
      <c r="W1538" s="1" t="str">
        <f>VLOOKUP(Table1[[#This Row],[Obergruppe ATC-Code]],Tabelle3!$A$2:$B$100,2)</f>
        <v>ANTIBIOTIKA ZUR SYSTEMISCHEN ANWENDUNG</v>
      </c>
      <c r="X1538" s="1" t="str">
        <f xml:space="preserve"> LEFT(Table1[[#This Row],[Atc Code]],3)</f>
        <v>J01</v>
      </c>
    </row>
    <row r="1539" spans="1:24" ht="14.4">
      <c r="A1539" s="14">
        <v>2028</v>
      </c>
      <c r="B1539" s="24" t="s">
        <v>3364</v>
      </c>
      <c r="C1539" s="1">
        <v>2145054</v>
      </c>
      <c r="D1539" s="1" t="s">
        <v>102</v>
      </c>
      <c r="E1539" s="36">
        <v>45190</v>
      </c>
      <c r="F1539" s="36">
        <v>45322</v>
      </c>
      <c r="G1539" s="38">
        <f t="shared" si="24"/>
        <v>132</v>
      </c>
      <c r="H1539" s="5">
        <v>45190</v>
      </c>
      <c r="I1539" s="5">
        <v>45190</v>
      </c>
      <c r="J1539" s="1" t="s">
        <v>26</v>
      </c>
      <c r="K1539" s="1" t="s">
        <v>3365</v>
      </c>
      <c r="L1539" s="1" t="s">
        <v>3363</v>
      </c>
      <c r="M1539" s="1" t="s">
        <v>44</v>
      </c>
      <c r="N1539" s="1" t="s">
        <v>30</v>
      </c>
      <c r="O1539" s="1" t="s">
        <v>3366</v>
      </c>
      <c r="P1539" s="1" t="s">
        <v>3367</v>
      </c>
      <c r="Q1539" s="1" t="s">
        <v>3368</v>
      </c>
      <c r="R1539" s="1" t="s">
        <v>113</v>
      </c>
      <c r="S1539" s="1" t="s">
        <v>3369</v>
      </c>
      <c r="U1539" s="1" t="s">
        <v>35</v>
      </c>
      <c r="V1539" s="1" t="s">
        <v>49</v>
      </c>
      <c r="W1539" s="1" t="str">
        <f>VLOOKUP(Table1[[#This Row],[Obergruppe ATC-Code]],Tabelle3!$A$2:$B$100,2)</f>
        <v>ANTIBIOTIKA ZUR SYSTEMISCHEN ANWENDUNG</v>
      </c>
      <c r="X1539" s="1" t="str">
        <f xml:space="preserve"> LEFT(Table1[[#This Row],[Atc Code]],3)</f>
        <v>J01</v>
      </c>
    </row>
    <row r="1540" spans="1:24" ht="14.4">
      <c r="A1540" s="14">
        <v>2179</v>
      </c>
      <c r="B1540" s="24" t="s">
        <v>3370</v>
      </c>
      <c r="C1540" s="1">
        <v>2143328</v>
      </c>
      <c r="D1540" s="1" t="s">
        <v>102</v>
      </c>
      <c r="E1540" s="36">
        <v>45194</v>
      </c>
      <c r="F1540" s="36">
        <v>45307</v>
      </c>
      <c r="G1540" s="38">
        <f t="shared" si="24"/>
        <v>113</v>
      </c>
      <c r="H1540" s="5">
        <v>45196</v>
      </c>
      <c r="I1540" s="5">
        <v>45196</v>
      </c>
      <c r="J1540" s="1" t="s">
        <v>26</v>
      </c>
      <c r="K1540" s="1" t="s">
        <v>3371</v>
      </c>
      <c r="L1540" s="1" t="s">
        <v>3363</v>
      </c>
      <c r="M1540" s="1" t="s">
        <v>44</v>
      </c>
      <c r="N1540" s="1" t="s">
        <v>38</v>
      </c>
      <c r="O1540" s="1" t="s">
        <v>140</v>
      </c>
      <c r="Q1540" s="1" t="s">
        <v>141</v>
      </c>
      <c r="R1540" s="1" t="s">
        <v>113</v>
      </c>
      <c r="S1540" s="1"/>
      <c r="U1540" s="1" t="s">
        <v>130</v>
      </c>
      <c r="V1540" s="1" t="s">
        <v>49</v>
      </c>
      <c r="W1540" s="1" t="str">
        <f>VLOOKUP(Table1[[#This Row],[Obergruppe ATC-Code]],Tabelle3!$A$2:$B$100,2)</f>
        <v>ANTIBIOTIKA ZUR SYSTEMISCHEN ANWENDUNG</v>
      </c>
      <c r="X1540" s="1" t="str">
        <f xml:space="preserve"> LEFT(Table1[[#This Row],[Atc Code]],3)</f>
        <v>J01</v>
      </c>
    </row>
    <row r="1541" spans="1:24" ht="14.4">
      <c r="A1541" s="14">
        <v>380</v>
      </c>
      <c r="B1541" s="24">
        <v>2182637</v>
      </c>
      <c r="C1541" s="1">
        <v>2106383</v>
      </c>
      <c r="D1541" s="1" t="s">
        <v>102</v>
      </c>
      <c r="E1541" s="36">
        <v>44896</v>
      </c>
      <c r="F1541" s="36">
        <v>45322</v>
      </c>
      <c r="G1541" s="38">
        <f t="shared" si="24"/>
        <v>426</v>
      </c>
      <c r="H1541" s="5">
        <v>44946</v>
      </c>
      <c r="I1541" s="5">
        <v>45215</v>
      </c>
      <c r="J1541" s="1" t="s">
        <v>26</v>
      </c>
      <c r="K1541" s="1" t="s">
        <v>3372</v>
      </c>
      <c r="L1541" s="1" t="s">
        <v>3363</v>
      </c>
      <c r="M1541" s="1" t="s">
        <v>44</v>
      </c>
      <c r="N1541" s="1" t="s">
        <v>38</v>
      </c>
      <c r="O1541" s="1" t="s">
        <v>2116</v>
      </c>
      <c r="P1541" s="1" t="s">
        <v>3373</v>
      </c>
      <c r="Q1541" s="1" t="s">
        <v>2117</v>
      </c>
      <c r="R1541" s="1" t="s">
        <v>142</v>
      </c>
      <c r="S1541" s="1"/>
      <c r="U1541" s="1" t="s">
        <v>35</v>
      </c>
      <c r="V1541" s="1" t="s">
        <v>99</v>
      </c>
      <c r="W1541" s="1" t="str">
        <f>VLOOKUP(Table1[[#This Row],[Obergruppe ATC-Code]],Tabelle3!$A$2:$B$100,2)</f>
        <v>ANTIBIOTIKA ZUR SYSTEMISCHEN ANWENDUNG</v>
      </c>
      <c r="X1541" s="1" t="str">
        <f xml:space="preserve"> LEFT(Table1[[#This Row],[Atc Code]],3)</f>
        <v>J01</v>
      </c>
    </row>
    <row r="1542" spans="1:24" ht="14.4">
      <c r="A1542" s="14">
        <v>1974</v>
      </c>
      <c r="B1542" s="24" t="s">
        <v>3374</v>
      </c>
      <c r="C1542" s="1">
        <v>2108287</v>
      </c>
      <c r="D1542" s="1" t="s">
        <v>25</v>
      </c>
      <c r="E1542" s="36">
        <v>45076</v>
      </c>
      <c r="F1542" s="36">
        <v>45162</v>
      </c>
      <c r="G1542" s="38">
        <f t="shared" si="24"/>
        <v>86</v>
      </c>
      <c r="H1542" s="5">
        <v>45077</v>
      </c>
      <c r="I1542" s="5">
        <v>45160</v>
      </c>
      <c r="J1542" s="1" t="s">
        <v>26</v>
      </c>
      <c r="K1542" s="1" t="s">
        <v>3375</v>
      </c>
      <c r="L1542" s="1" t="s">
        <v>3376</v>
      </c>
      <c r="M1542" s="1" t="s">
        <v>44</v>
      </c>
      <c r="N1542" s="1" t="s">
        <v>38</v>
      </c>
      <c r="O1542" s="1" t="s">
        <v>2116</v>
      </c>
      <c r="P1542" s="1">
        <v>52188087640</v>
      </c>
      <c r="Q1542" s="1" t="s">
        <v>2117</v>
      </c>
      <c r="R1542" s="1" t="s">
        <v>142</v>
      </c>
      <c r="S1542" s="1"/>
      <c r="U1542" s="1" t="s">
        <v>130</v>
      </c>
      <c r="V1542" s="1" t="s">
        <v>99</v>
      </c>
      <c r="W1542" s="1" t="str">
        <f>VLOOKUP(Table1[[#This Row],[Obergruppe ATC-Code]],Tabelle3!$A$2:$B$100,2)</f>
        <v>ANTIBIOTIKA ZUR SYSTEMISCHEN ANWENDUNG</v>
      </c>
      <c r="X1542" s="1" t="str">
        <f xml:space="preserve"> LEFT(Table1[[#This Row],[Atc Code]],3)</f>
        <v>J01</v>
      </c>
    </row>
    <row r="1543" spans="1:24" ht="14.4">
      <c r="A1543" s="14">
        <v>2727</v>
      </c>
      <c r="B1543" s="24" t="s">
        <v>3377</v>
      </c>
      <c r="C1543" s="1">
        <v>338087</v>
      </c>
      <c r="D1543" s="1" t="s">
        <v>25</v>
      </c>
      <c r="E1543" s="36">
        <v>43070</v>
      </c>
      <c r="F1543" s="36">
        <v>43131</v>
      </c>
      <c r="G1543" s="38">
        <f t="shared" si="24"/>
        <v>61</v>
      </c>
      <c r="H1543" s="5">
        <v>43119</v>
      </c>
      <c r="I1543" s="5">
        <v>43137</v>
      </c>
      <c r="J1543" s="1" t="s">
        <v>41</v>
      </c>
      <c r="K1543" s="1" t="s">
        <v>3378</v>
      </c>
      <c r="L1543" s="1" t="s">
        <v>3379</v>
      </c>
      <c r="M1543" s="1" t="s">
        <v>3380</v>
      </c>
      <c r="N1543" s="1" t="s">
        <v>30</v>
      </c>
      <c r="O1543" s="1" t="s">
        <v>3381</v>
      </c>
      <c r="P1543" s="1" t="s">
        <v>3205</v>
      </c>
      <c r="Q1543" s="1" t="s">
        <v>3206</v>
      </c>
      <c r="R1543" s="1" t="s">
        <v>26</v>
      </c>
      <c r="S1543" s="1"/>
      <c r="U1543" s="1" t="s">
        <v>35</v>
      </c>
      <c r="V1543" s="1" t="s">
        <v>199</v>
      </c>
      <c r="W1543" s="1" t="str">
        <f>VLOOKUP(Table1[[#This Row],[Obergruppe ATC-Code]],Tabelle3!$A$2:$B$100,2)</f>
        <v>ANTIBIOTIKA ZUR SYSTEMISCHEN ANWENDUNG</v>
      </c>
      <c r="X1543" s="1" t="str">
        <f xml:space="preserve"> LEFT(Table1[[#This Row],[Atc Code]],3)</f>
        <v>J01</v>
      </c>
    </row>
    <row r="1544" spans="1:24" ht="14.4">
      <c r="A1544" s="14">
        <v>2918</v>
      </c>
      <c r="B1544" s="24" t="s">
        <v>3382</v>
      </c>
      <c r="C1544" s="1">
        <v>338101</v>
      </c>
      <c r="D1544" s="1" t="s">
        <v>25</v>
      </c>
      <c r="E1544" s="36">
        <v>43070</v>
      </c>
      <c r="F1544" s="36">
        <v>43159</v>
      </c>
      <c r="G1544" s="38">
        <f t="shared" si="24"/>
        <v>89</v>
      </c>
      <c r="H1544" s="5">
        <v>43119</v>
      </c>
      <c r="I1544" s="5">
        <v>43164</v>
      </c>
      <c r="J1544" s="1" t="s">
        <v>41</v>
      </c>
      <c r="K1544" s="1" t="s">
        <v>3383</v>
      </c>
      <c r="L1544" s="1" t="s">
        <v>3379</v>
      </c>
      <c r="M1544" s="1" t="s">
        <v>3380</v>
      </c>
      <c r="N1544" s="1" t="s">
        <v>30</v>
      </c>
      <c r="O1544" s="1" t="s">
        <v>3381</v>
      </c>
      <c r="P1544" s="1" t="s">
        <v>3205</v>
      </c>
      <c r="Q1544" s="1" t="s">
        <v>3206</v>
      </c>
      <c r="R1544" s="1" t="s">
        <v>26</v>
      </c>
      <c r="S1544" s="1"/>
      <c r="U1544" s="1" t="s">
        <v>35</v>
      </c>
      <c r="V1544" s="1" t="s">
        <v>199</v>
      </c>
      <c r="W1544" s="1" t="str">
        <f>VLOOKUP(Table1[[#This Row],[Obergruppe ATC-Code]],Tabelle3!$A$2:$B$100,2)</f>
        <v>ANTIBIOTIKA ZUR SYSTEMISCHEN ANWENDUNG</v>
      </c>
      <c r="X1544" s="1" t="str">
        <f xml:space="preserve"> LEFT(Table1[[#This Row],[Atc Code]],3)</f>
        <v>J01</v>
      </c>
    </row>
    <row r="1545" spans="1:24" ht="14.4">
      <c r="A1545" s="14">
        <v>2726</v>
      </c>
      <c r="B1545" s="24" t="s">
        <v>3377</v>
      </c>
      <c r="C1545" s="1">
        <v>338087</v>
      </c>
      <c r="D1545" s="1" t="s">
        <v>25</v>
      </c>
      <c r="E1545" s="36">
        <v>43617</v>
      </c>
      <c r="F1545" s="36">
        <v>43677</v>
      </c>
      <c r="G1545" s="38">
        <f t="shared" si="24"/>
        <v>60</v>
      </c>
      <c r="H1545" s="5">
        <v>43630</v>
      </c>
      <c r="I1545" s="5">
        <v>43704</v>
      </c>
      <c r="J1545" s="1" t="s">
        <v>41</v>
      </c>
      <c r="K1545" s="1" t="s">
        <v>3378</v>
      </c>
      <c r="L1545" s="1" t="s">
        <v>3379</v>
      </c>
      <c r="M1545" s="1" t="s">
        <v>3380</v>
      </c>
      <c r="N1545" s="1" t="s">
        <v>30</v>
      </c>
      <c r="O1545" s="1" t="s">
        <v>1154</v>
      </c>
      <c r="P1545" s="1" t="s">
        <v>3208</v>
      </c>
      <c r="Q1545" s="1" t="s">
        <v>3206</v>
      </c>
      <c r="R1545" s="1" t="s">
        <v>26</v>
      </c>
      <c r="S1545" s="1"/>
      <c r="U1545" s="1" t="s">
        <v>35</v>
      </c>
      <c r="V1545" s="1" t="s">
        <v>199</v>
      </c>
      <c r="W1545" s="1" t="str">
        <f>VLOOKUP(Table1[[#This Row],[Obergruppe ATC-Code]],Tabelle3!$A$2:$B$100,2)</f>
        <v>ANTIBIOTIKA ZUR SYSTEMISCHEN ANWENDUNG</v>
      </c>
      <c r="X1545" s="1" t="str">
        <f xml:space="preserve"> LEFT(Table1[[#This Row],[Atc Code]],3)</f>
        <v>J01</v>
      </c>
    </row>
    <row r="1546" spans="1:24" ht="14.4">
      <c r="A1546" s="14">
        <v>2917</v>
      </c>
      <c r="B1546" s="24" t="s">
        <v>3382</v>
      </c>
      <c r="C1546" s="1">
        <v>338101</v>
      </c>
      <c r="D1546" s="1" t="s">
        <v>25</v>
      </c>
      <c r="E1546" s="36">
        <v>43617</v>
      </c>
      <c r="F1546" s="36">
        <v>43708</v>
      </c>
      <c r="G1546" s="38">
        <f t="shared" si="24"/>
        <v>91</v>
      </c>
      <c r="H1546" s="5">
        <v>43641</v>
      </c>
      <c r="I1546" s="5">
        <v>43710</v>
      </c>
      <c r="J1546" s="1" t="s">
        <v>41</v>
      </c>
      <c r="K1546" s="1" t="s">
        <v>3383</v>
      </c>
      <c r="L1546" s="1" t="s">
        <v>3379</v>
      </c>
      <c r="M1546" s="1" t="s">
        <v>3380</v>
      </c>
      <c r="N1546" s="1" t="s">
        <v>30</v>
      </c>
      <c r="O1546" s="1" t="s">
        <v>1154</v>
      </c>
      <c r="P1546" s="1" t="s">
        <v>3208</v>
      </c>
      <c r="Q1546" s="1" t="s">
        <v>3206</v>
      </c>
      <c r="R1546" s="1" t="s">
        <v>26</v>
      </c>
      <c r="S1546" s="1"/>
      <c r="U1546" s="1" t="s">
        <v>35</v>
      </c>
      <c r="V1546" s="1" t="s">
        <v>199</v>
      </c>
      <c r="W1546" s="1" t="str">
        <f>VLOOKUP(Table1[[#This Row],[Obergruppe ATC-Code]],Tabelle3!$A$2:$B$100,2)</f>
        <v>ANTIBIOTIKA ZUR SYSTEMISCHEN ANWENDUNG</v>
      </c>
      <c r="X1546" s="1" t="str">
        <f xml:space="preserve"> LEFT(Table1[[#This Row],[Atc Code]],3)</f>
        <v>J01</v>
      </c>
    </row>
    <row r="1547" spans="1:24" ht="14.4">
      <c r="A1547" s="14">
        <v>2916</v>
      </c>
      <c r="B1547" s="24" t="s">
        <v>3382</v>
      </c>
      <c r="C1547" s="1">
        <v>338101</v>
      </c>
      <c r="D1547" s="1" t="s">
        <v>25</v>
      </c>
      <c r="E1547" s="36">
        <v>43709</v>
      </c>
      <c r="F1547" s="36">
        <v>43799</v>
      </c>
      <c r="G1547" s="38">
        <f t="shared" si="24"/>
        <v>90</v>
      </c>
      <c r="H1547" s="5">
        <v>43745</v>
      </c>
      <c r="I1547" s="5">
        <v>43805</v>
      </c>
      <c r="J1547" s="1" t="s">
        <v>41</v>
      </c>
      <c r="K1547" s="1" t="s">
        <v>3383</v>
      </c>
      <c r="L1547" s="1" t="s">
        <v>3379</v>
      </c>
      <c r="M1547" s="1" t="s">
        <v>3380</v>
      </c>
      <c r="N1547" s="1" t="s">
        <v>30</v>
      </c>
      <c r="O1547" s="1" t="s">
        <v>1154</v>
      </c>
      <c r="P1547" s="1" t="s">
        <v>3208</v>
      </c>
      <c r="Q1547" s="1" t="s">
        <v>3206</v>
      </c>
      <c r="R1547" s="1" t="s">
        <v>48</v>
      </c>
      <c r="S1547" s="1"/>
      <c r="U1547" s="1" t="s">
        <v>35</v>
      </c>
      <c r="V1547" s="1" t="s">
        <v>199</v>
      </c>
      <c r="W1547" s="1" t="str">
        <f>VLOOKUP(Table1[[#This Row],[Obergruppe ATC-Code]],Tabelle3!$A$2:$B$100,2)</f>
        <v>ANTIBIOTIKA ZUR SYSTEMISCHEN ANWENDUNG</v>
      </c>
      <c r="X1547" s="1" t="str">
        <f xml:space="preserve"> LEFT(Table1[[#This Row],[Atc Code]],3)</f>
        <v>J01</v>
      </c>
    </row>
    <row r="1548" spans="1:24" ht="14.4">
      <c r="A1548" s="14">
        <v>279</v>
      </c>
      <c r="B1548" s="24">
        <v>1677058</v>
      </c>
      <c r="C1548" s="1">
        <v>338035</v>
      </c>
      <c r="D1548" s="1" t="s">
        <v>25</v>
      </c>
      <c r="E1548" s="36">
        <v>43831</v>
      </c>
      <c r="F1548" s="36">
        <v>43921</v>
      </c>
      <c r="G1548" s="38">
        <f t="shared" si="24"/>
        <v>90</v>
      </c>
      <c r="H1548" s="5">
        <v>43866</v>
      </c>
      <c r="I1548" s="5">
        <v>43906</v>
      </c>
      <c r="J1548" s="1" t="s">
        <v>41</v>
      </c>
      <c r="K1548" s="1" t="s">
        <v>3384</v>
      </c>
      <c r="L1548" s="1" t="s">
        <v>3379</v>
      </c>
      <c r="M1548" s="1" t="s">
        <v>3380</v>
      </c>
      <c r="N1548" s="1" t="s">
        <v>30</v>
      </c>
      <c r="O1548" s="1" t="s">
        <v>2390</v>
      </c>
      <c r="P1548" s="1" t="s">
        <v>3385</v>
      </c>
      <c r="Q1548" s="1" t="s">
        <v>3386</v>
      </c>
      <c r="R1548" s="1" t="s">
        <v>26</v>
      </c>
      <c r="S1548" s="1"/>
      <c r="T1548" s="1" t="s">
        <v>3387</v>
      </c>
      <c r="U1548" s="1" t="s">
        <v>35</v>
      </c>
      <c r="V1548" s="1" t="s">
        <v>49</v>
      </c>
      <c r="W1548" s="1" t="str">
        <f>VLOOKUP(Table1[[#This Row],[Obergruppe ATC-Code]],Tabelle3!$A$2:$B$100,2)</f>
        <v>ANTIBIOTIKA ZUR SYSTEMISCHEN ANWENDUNG</v>
      </c>
      <c r="X1548" s="1" t="str">
        <f xml:space="preserve"> LEFT(Table1[[#This Row],[Atc Code]],3)</f>
        <v>J01</v>
      </c>
    </row>
    <row r="1549" spans="1:24" ht="14.4">
      <c r="A1549" s="14">
        <v>2915</v>
      </c>
      <c r="B1549" s="24" t="s">
        <v>3382</v>
      </c>
      <c r="C1549" s="1">
        <v>338101</v>
      </c>
      <c r="D1549" s="1" t="s">
        <v>25</v>
      </c>
      <c r="E1549" s="36">
        <v>44044</v>
      </c>
      <c r="F1549" s="36">
        <v>44135</v>
      </c>
      <c r="G1549" s="38">
        <f t="shared" si="24"/>
        <v>91</v>
      </c>
      <c r="H1549" s="5">
        <v>44096</v>
      </c>
      <c r="I1549" s="5">
        <v>44133</v>
      </c>
      <c r="J1549" s="1" t="s">
        <v>41</v>
      </c>
      <c r="K1549" s="1" t="s">
        <v>3383</v>
      </c>
      <c r="L1549" s="1" t="s">
        <v>3379</v>
      </c>
      <c r="M1549" s="1" t="s">
        <v>3380</v>
      </c>
      <c r="N1549" s="1" t="s">
        <v>30</v>
      </c>
      <c r="O1549" s="1" t="s">
        <v>1154</v>
      </c>
      <c r="P1549" s="1" t="s">
        <v>3388</v>
      </c>
      <c r="Q1549" s="1" t="s">
        <v>3216</v>
      </c>
      <c r="R1549" s="1" t="s">
        <v>26</v>
      </c>
      <c r="S1549" s="1"/>
      <c r="U1549" s="1" t="s">
        <v>35</v>
      </c>
      <c r="V1549" s="1" t="s">
        <v>199</v>
      </c>
      <c r="W1549" s="1" t="str">
        <f>VLOOKUP(Table1[[#This Row],[Obergruppe ATC-Code]],Tabelle3!$A$2:$B$100,2)</f>
        <v>ANTIBIOTIKA ZUR SYSTEMISCHEN ANWENDUNG</v>
      </c>
      <c r="X1549" s="1" t="str">
        <f xml:space="preserve"> LEFT(Table1[[#This Row],[Atc Code]],3)</f>
        <v>J01</v>
      </c>
    </row>
    <row r="1550" spans="1:24" ht="14.4">
      <c r="A1550" s="14">
        <v>1936</v>
      </c>
      <c r="B1550" s="24" t="s">
        <v>3389</v>
      </c>
      <c r="C1550" s="1">
        <v>338101</v>
      </c>
      <c r="D1550" s="1" t="s">
        <v>25</v>
      </c>
      <c r="E1550" s="36">
        <v>44470</v>
      </c>
      <c r="F1550" s="36">
        <v>44488</v>
      </c>
      <c r="G1550" s="38">
        <f t="shared" si="24"/>
        <v>18</v>
      </c>
      <c r="H1550" s="5">
        <v>44407</v>
      </c>
      <c r="I1550" s="5">
        <v>44488</v>
      </c>
      <c r="J1550" s="1" t="s">
        <v>26</v>
      </c>
      <c r="K1550" s="1" t="s">
        <v>3383</v>
      </c>
      <c r="L1550" s="1" t="s">
        <v>3379</v>
      </c>
      <c r="M1550" s="1" t="s">
        <v>3380</v>
      </c>
      <c r="N1550" s="1" t="s">
        <v>30</v>
      </c>
      <c r="O1550" s="1" t="s">
        <v>1154</v>
      </c>
      <c r="P1550" s="1" t="s">
        <v>3215</v>
      </c>
      <c r="Q1550" s="1" t="s">
        <v>3216</v>
      </c>
      <c r="R1550" s="1" t="s">
        <v>26</v>
      </c>
      <c r="S1550" s="1"/>
      <c r="T1550" s="1" t="s">
        <v>3390</v>
      </c>
      <c r="U1550" s="1" t="s">
        <v>35</v>
      </c>
      <c r="V1550" s="1" t="s">
        <v>199</v>
      </c>
      <c r="W1550" s="1" t="str">
        <f>VLOOKUP(Table1[[#This Row],[Obergruppe ATC-Code]],Tabelle3!$A$2:$B$100,2)</f>
        <v>ANTIBIOTIKA ZUR SYSTEMISCHEN ANWENDUNG</v>
      </c>
      <c r="X1550" s="1" t="str">
        <f xml:space="preserve"> LEFT(Table1[[#This Row],[Atc Code]],3)</f>
        <v>J01</v>
      </c>
    </row>
    <row r="1551" spans="1:24" ht="14.4">
      <c r="A1551" s="14">
        <v>971</v>
      </c>
      <c r="B1551" s="24">
        <v>7776531</v>
      </c>
      <c r="C1551" s="1">
        <v>338035</v>
      </c>
      <c r="D1551" s="1" t="s">
        <v>25</v>
      </c>
      <c r="E1551" s="36">
        <v>44489</v>
      </c>
      <c r="F1551" s="36">
        <v>44504</v>
      </c>
      <c r="G1551" s="38">
        <f t="shared" si="24"/>
        <v>15</v>
      </c>
      <c r="H1551" s="5">
        <v>44489</v>
      </c>
      <c r="I1551" s="5">
        <v>44504</v>
      </c>
      <c r="J1551" s="1" t="s">
        <v>26</v>
      </c>
      <c r="K1551" s="1" t="s">
        <v>3384</v>
      </c>
      <c r="L1551" s="1" t="s">
        <v>3379</v>
      </c>
      <c r="M1551" s="1" t="s">
        <v>3380</v>
      </c>
      <c r="N1551" s="1" t="s">
        <v>30</v>
      </c>
      <c r="O1551" s="1" t="s">
        <v>2390</v>
      </c>
      <c r="Q1551" s="1" t="s">
        <v>3391</v>
      </c>
      <c r="R1551" s="1" t="s">
        <v>113</v>
      </c>
      <c r="S1551" s="1"/>
      <c r="U1551" s="1" t="s">
        <v>130</v>
      </c>
      <c r="V1551" s="1" t="s">
        <v>49</v>
      </c>
      <c r="W1551" s="1" t="str">
        <f>VLOOKUP(Table1[[#This Row],[Obergruppe ATC-Code]],Tabelle3!$A$2:$B$100,2)</f>
        <v>ANTIBIOTIKA ZUR SYSTEMISCHEN ANWENDUNG</v>
      </c>
      <c r="X1551" s="1" t="str">
        <f xml:space="preserve"> LEFT(Table1[[#This Row],[Atc Code]],3)</f>
        <v>J01</v>
      </c>
    </row>
    <row r="1552" spans="1:24" ht="14.4">
      <c r="A1552" s="14">
        <v>281</v>
      </c>
      <c r="B1552" s="24">
        <v>1677064</v>
      </c>
      <c r="C1552" s="1">
        <v>338035</v>
      </c>
      <c r="D1552" s="1" t="s">
        <v>25</v>
      </c>
      <c r="E1552" s="36">
        <v>44447</v>
      </c>
      <c r="F1552" s="36">
        <v>44504</v>
      </c>
      <c r="G1552" s="38">
        <f t="shared" si="24"/>
        <v>57</v>
      </c>
      <c r="H1552" s="5">
        <v>44447</v>
      </c>
      <c r="I1552" s="5">
        <v>44504</v>
      </c>
      <c r="J1552" s="1" t="s">
        <v>26</v>
      </c>
      <c r="K1552" s="1" t="s">
        <v>3384</v>
      </c>
      <c r="L1552" s="1" t="s">
        <v>3379</v>
      </c>
      <c r="M1552" s="1" t="s">
        <v>3380</v>
      </c>
      <c r="N1552" s="1" t="s">
        <v>30</v>
      </c>
      <c r="O1552" s="1" t="s">
        <v>2390</v>
      </c>
      <c r="Q1552" s="1" t="s">
        <v>3391</v>
      </c>
      <c r="R1552" s="1" t="s">
        <v>113</v>
      </c>
      <c r="S1552" s="1"/>
      <c r="U1552" s="1" t="s">
        <v>130</v>
      </c>
      <c r="V1552" s="1" t="s">
        <v>49</v>
      </c>
      <c r="W1552" s="1" t="str">
        <f>VLOOKUP(Table1[[#This Row],[Obergruppe ATC-Code]],Tabelle3!$A$2:$B$100,2)</f>
        <v>ANTIBIOTIKA ZUR SYSTEMISCHEN ANWENDUNG</v>
      </c>
      <c r="X1552" s="1" t="str">
        <f xml:space="preserve"> LEFT(Table1[[#This Row],[Atc Code]],3)</f>
        <v>J01</v>
      </c>
    </row>
    <row r="1553" spans="1:24" ht="14.4">
      <c r="A1553" s="14">
        <v>280</v>
      </c>
      <c r="B1553" s="24">
        <v>1677058</v>
      </c>
      <c r="C1553" s="1">
        <v>338035</v>
      </c>
      <c r="D1553" s="1" t="s">
        <v>25</v>
      </c>
      <c r="E1553" s="36">
        <v>44410</v>
      </c>
      <c r="F1553" s="36">
        <v>44504</v>
      </c>
      <c r="G1553" s="38">
        <f t="shared" si="24"/>
        <v>94</v>
      </c>
      <c r="H1553" s="5">
        <v>44421</v>
      </c>
      <c r="I1553" s="5">
        <v>44504</v>
      </c>
      <c r="J1553" s="1" t="s">
        <v>26</v>
      </c>
      <c r="K1553" s="1" t="s">
        <v>3384</v>
      </c>
      <c r="L1553" s="1" t="s">
        <v>3379</v>
      </c>
      <c r="M1553" s="1" t="s">
        <v>3380</v>
      </c>
      <c r="N1553" s="1" t="s">
        <v>30</v>
      </c>
      <c r="O1553" s="1" t="s">
        <v>2390</v>
      </c>
      <c r="Q1553" s="1" t="s">
        <v>3391</v>
      </c>
      <c r="R1553" s="1" t="s">
        <v>113</v>
      </c>
      <c r="S1553" s="1"/>
      <c r="T1553" s="1" t="s">
        <v>3387</v>
      </c>
      <c r="U1553" s="1" t="s">
        <v>130</v>
      </c>
      <c r="V1553" s="1" t="s">
        <v>49</v>
      </c>
      <c r="W1553" s="1" t="str">
        <f>VLOOKUP(Table1[[#This Row],[Obergruppe ATC-Code]],Tabelle3!$A$2:$B$100,2)</f>
        <v>ANTIBIOTIKA ZUR SYSTEMISCHEN ANWENDUNG</v>
      </c>
      <c r="X1553" s="1" t="str">
        <f xml:space="preserve"> LEFT(Table1[[#This Row],[Atc Code]],3)</f>
        <v>J01</v>
      </c>
    </row>
    <row r="1554" spans="1:24" ht="14.4">
      <c r="A1554" s="14">
        <v>1935</v>
      </c>
      <c r="B1554" s="24" t="s">
        <v>3389</v>
      </c>
      <c r="C1554" s="1">
        <v>338101</v>
      </c>
      <c r="D1554" s="1" t="s">
        <v>25</v>
      </c>
      <c r="E1554" s="36">
        <v>44562</v>
      </c>
      <c r="F1554" s="36">
        <v>44575</v>
      </c>
      <c r="G1554" s="38">
        <f t="shared" si="24"/>
        <v>13</v>
      </c>
      <c r="H1554" s="5">
        <v>44489</v>
      </c>
      <c r="I1554" s="5">
        <v>44578</v>
      </c>
      <c r="J1554" s="1" t="s">
        <v>26</v>
      </c>
      <c r="K1554" s="1" t="s">
        <v>3383</v>
      </c>
      <c r="L1554" s="1" t="s">
        <v>3379</v>
      </c>
      <c r="M1554" s="1" t="s">
        <v>3380</v>
      </c>
      <c r="N1554" s="1" t="s">
        <v>30</v>
      </c>
      <c r="O1554" s="1" t="s">
        <v>1154</v>
      </c>
      <c r="P1554" s="1" t="s">
        <v>3215</v>
      </c>
      <c r="Q1554" s="1" t="s">
        <v>3216</v>
      </c>
      <c r="R1554" s="1" t="s">
        <v>26</v>
      </c>
      <c r="S1554" s="1"/>
      <c r="T1554" s="1" t="s">
        <v>3390</v>
      </c>
      <c r="U1554" s="1" t="s">
        <v>35</v>
      </c>
      <c r="V1554" s="1" t="s">
        <v>199</v>
      </c>
      <c r="W1554" s="1" t="str">
        <f>VLOOKUP(Table1[[#This Row],[Obergruppe ATC-Code]],Tabelle3!$A$2:$B$100,2)</f>
        <v>ANTIBIOTIKA ZUR SYSTEMISCHEN ANWENDUNG</v>
      </c>
      <c r="X1554" s="1" t="str">
        <f xml:space="preserve"> LEFT(Table1[[#This Row],[Atc Code]],3)</f>
        <v>J01</v>
      </c>
    </row>
    <row r="1555" spans="1:24" ht="14.4">
      <c r="A1555" s="14">
        <v>1834</v>
      </c>
      <c r="B1555" s="24" t="s">
        <v>3392</v>
      </c>
      <c r="C1555" s="1">
        <v>338087</v>
      </c>
      <c r="D1555" s="1" t="s">
        <v>25</v>
      </c>
      <c r="E1555" s="36">
        <v>44593</v>
      </c>
      <c r="F1555" s="36">
        <v>44593</v>
      </c>
      <c r="G1555" s="38">
        <f t="shared" si="24"/>
        <v>0</v>
      </c>
      <c r="H1555" s="5">
        <v>44488</v>
      </c>
      <c r="I1555" s="5">
        <v>44592</v>
      </c>
      <c r="J1555" s="1" t="s">
        <v>26</v>
      </c>
      <c r="K1555" s="1" t="s">
        <v>3378</v>
      </c>
      <c r="L1555" s="1" t="s">
        <v>3379</v>
      </c>
      <c r="M1555" s="1" t="s">
        <v>3380</v>
      </c>
      <c r="N1555" s="1" t="s">
        <v>30</v>
      </c>
      <c r="O1555" s="1" t="s">
        <v>1154</v>
      </c>
      <c r="P1555" s="1" t="s">
        <v>3215</v>
      </c>
      <c r="Q1555" s="1" t="s">
        <v>3216</v>
      </c>
      <c r="R1555" s="1" t="s">
        <v>26</v>
      </c>
      <c r="S1555" s="1"/>
      <c r="T1555" s="1" t="s">
        <v>3393</v>
      </c>
      <c r="U1555" s="1" t="s">
        <v>35</v>
      </c>
      <c r="V1555" s="1" t="s">
        <v>199</v>
      </c>
      <c r="W1555" s="1" t="str">
        <f>VLOOKUP(Table1[[#This Row],[Obergruppe ATC-Code]],Tabelle3!$A$2:$B$100,2)</f>
        <v>ANTIBIOTIKA ZUR SYSTEMISCHEN ANWENDUNG</v>
      </c>
      <c r="X1555" s="1" t="str">
        <f xml:space="preserve"> LEFT(Table1[[#This Row],[Atc Code]],3)</f>
        <v>J01</v>
      </c>
    </row>
    <row r="1556" spans="1:24" ht="14.4">
      <c r="A1556" s="14">
        <v>838</v>
      </c>
      <c r="B1556" s="24">
        <v>7097540</v>
      </c>
      <c r="C1556" s="1">
        <v>43854</v>
      </c>
      <c r="D1556" s="1" t="s">
        <v>25</v>
      </c>
      <c r="E1556" s="36">
        <v>42917</v>
      </c>
      <c r="F1556" s="36">
        <v>44635</v>
      </c>
      <c r="G1556" s="38">
        <f t="shared" si="24"/>
        <v>1718</v>
      </c>
      <c r="H1556" s="5">
        <v>43012</v>
      </c>
      <c r="I1556" s="5">
        <v>44642</v>
      </c>
      <c r="J1556" s="1" t="s">
        <v>41</v>
      </c>
      <c r="K1556" s="1" t="s">
        <v>3394</v>
      </c>
      <c r="L1556" s="1" t="s">
        <v>3379</v>
      </c>
      <c r="M1556" s="1" t="s">
        <v>3380</v>
      </c>
      <c r="N1556" s="1" t="s">
        <v>30</v>
      </c>
      <c r="O1556" s="1" t="s">
        <v>45</v>
      </c>
      <c r="P1556" s="1" t="s">
        <v>55</v>
      </c>
      <c r="Q1556" s="1" t="s">
        <v>47</v>
      </c>
      <c r="R1556" s="1" t="s">
        <v>48</v>
      </c>
      <c r="S1556" s="1"/>
      <c r="U1556" s="1" t="s">
        <v>35</v>
      </c>
      <c r="V1556" s="1" t="s">
        <v>199</v>
      </c>
      <c r="W1556" s="1" t="str">
        <f>VLOOKUP(Table1[[#This Row],[Obergruppe ATC-Code]],Tabelle3!$A$2:$B$100,2)</f>
        <v>ANTIBIOTIKA ZUR SYSTEMISCHEN ANWENDUNG</v>
      </c>
      <c r="X1556" s="1" t="str">
        <f xml:space="preserve"> LEFT(Table1[[#This Row],[Atc Code]],3)</f>
        <v>J01</v>
      </c>
    </row>
    <row r="1557" spans="1:24" ht="14.4">
      <c r="A1557" s="14">
        <v>1934</v>
      </c>
      <c r="B1557" s="24" t="s">
        <v>3389</v>
      </c>
      <c r="C1557" s="1">
        <v>338101</v>
      </c>
      <c r="D1557" s="1" t="s">
        <v>25</v>
      </c>
      <c r="E1557" s="36">
        <v>44677</v>
      </c>
      <c r="F1557" s="36">
        <v>44677</v>
      </c>
      <c r="G1557" s="38">
        <f t="shared" si="24"/>
        <v>0</v>
      </c>
      <c r="H1557" s="5">
        <v>44615</v>
      </c>
      <c r="I1557" s="5">
        <v>44677</v>
      </c>
      <c r="J1557" s="1" t="s">
        <v>26</v>
      </c>
      <c r="K1557" s="1" t="s">
        <v>3383</v>
      </c>
      <c r="L1557" s="1" t="s">
        <v>3379</v>
      </c>
      <c r="M1557" s="1" t="s">
        <v>3380</v>
      </c>
      <c r="N1557" s="1" t="s">
        <v>38</v>
      </c>
      <c r="O1557" s="1" t="s">
        <v>1154</v>
      </c>
      <c r="P1557" s="1" t="s">
        <v>3215</v>
      </c>
      <c r="Q1557" s="1" t="s">
        <v>3216</v>
      </c>
      <c r="R1557" s="1" t="s">
        <v>33</v>
      </c>
      <c r="S1557" s="1"/>
      <c r="T1557" s="1" t="s">
        <v>3390</v>
      </c>
      <c r="U1557" s="1" t="s">
        <v>35</v>
      </c>
      <c r="V1557" s="1" t="s">
        <v>199</v>
      </c>
      <c r="W1557" s="1" t="str">
        <f>VLOOKUP(Table1[[#This Row],[Obergruppe ATC-Code]],Tabelle3!$A$2:$B$100,2)</f>
        <v>ANTIBIOTIKA ZUR SYSTEMISCHEN ANWENDUNG</v>
      </c>
      <c r="X1557" s="1" t="str">
        <f xml:space="preserve"> LEFT(Table1[[#This Row],[Atc Code]],3)</f>
        <v>J01</v>
      </c>
    </row>
    <row r="1558" spans="1:24" ht="14.4">
      <c r="A1558" s="14">
        <v>1833</v>
      </c>
      <c r="B1558" s="24" t="s">
        <v>3392</v>
      </c>
      <c r="C1558" s="1">
        <v>338087</v>
      </c>
      <c r="D1558" s="1" t="s">
        <v>25</v>
      </c>
      <c r="E1558" s="36">
        <v>44677</v>
      </c>
      <c r="F1558" s="36">
        <v>44677</v>
      </c>
      <c r="G1558" s="38">
        <f t="shared" si="24"/>
        <v>0</v>
      </c>
      <c r="H1558" s="5">
        <v>44615</v>
      </c>
      <c r="I1558" s="5">
        <v>44677</v>
      </c>
      <c r="J1558" s="1" t="s">
        <v>26</v>
      </c>
      <c r="K1558" s="1" t="s">
        <v>3378</v>
      </c>
      <c r="L1558" s="1" t="s">
        <v>3379</v>
      </c>
      <c r="M1558" s="1" t="s">
        <v>3380</v>
      </c>
      <c r="N1558" s="1" t="s">
        <v>38</v>
      </c>
      <c r="O1558" s="1" t="s">
        <v>1154</v>
      </c>
      <c r="P1558" s="1" t="s">
        <v>3215</v>
      </c>
      <c r="Q1558" s="1" t="s">
        <v>3216</v>
      </c>
      <c r="R1558" s="1" t="s">
        <v>26</v>
      </c>
      <c r="S1558" s="1"/>
      <c r="T1558" s="1" t="s">
        <v>3393</v>
      </c>
      <c r="U1558" s="1" t="s">
        <v>35</v>
      </c>
      <c r="V1558" s="1" t="s">
        <v>199</v>
      </c>
      <c r="W1558" s="1" t="str">
        <f>VLOOKUP(Table1[[#This Row],[Obergruppe ATC-Code]],Tabelle3!$A$2:$B$100,2)</f>
        <v>ANTIBIOTIKA ZUR SYSTEMISCHEN ANWENDUNG</v>
      </c>
      <c r="X1558" s="1" t="str">
        <f xml:space="preserve"> LEFT(Table1[[#This Row],[Atc Code]],3)</f>
        <v>J01</v>
      </c>
    </row>
    <row r="1559" spans="1:24" ht="14.4">
      <c r="A1559" s="14">
        <v>1902</v>
      </c>
      <c r="B1559" s="24" t="s">
        <v>3395</v>
      </c>
      <c r="C1559" s="1">
        <v>3000549</v>
      </c>
      <c r="D1559" s="1" t="s">
        <v>25</v>
      </c>
      <c r="E1559" s="36">
        <v>43862</v>
      </c>
      <c r="F1559" s="36">
        <v>44739</v>
      </c>
      <c r="G1559" s="38">
        <f t="shared" si="24"/>
        <v>877</v>
      </c>
      <c r="H1559" s="5">
        <v>43747</v>
      </c>
      <c r="I1559" s="5">
        <v>44739</v>
      </c>
      <c r="J1559" s="1" t="s">
        <v>41</v>
      </c>
      <c r="K1559" s="1" t="s">
        <v>3396</v>
      </c>
      <c r="L1559" s="1" t="s">
        <v>3379</v>
      </c>
      <c r="M1559" s="1" t="s">
        <v>3397</v>
      </c>
      <c r="N1559" s="1" t="s">
        <v>30</v>
      </c>
      <c r="O1559" s="1" t="s">
        <v>2390</v>
      </c>
      <c r="P1559" s="1" t="s">
        <v>3385</v>
      </c>
      <c r="Q1559" s="1" t="s">
        <v>3386</v>
      </c>
      <c r="R1559" s="1" t="s">
        <v>48</v>
      </c>
      <c r="S1559" s="1"/>
      <c r="T1559" s="1" t="s">
        <v>3387</v>
      </c>
      <c r="U1559" s="1" t="s">
        <v>57</v>
      </c>
      <c r="V1559" s="1" t="s">
        <v>639</v>
      </c>
      <c r="W1559" s="1" t="str">
        <f>VLOOKUP(Table1[[#This Row],[Obergruppe ATC-Code]],Tabelle3!$A$2:$B$100,2)</f>
        <v>ANTIBIOTIKA ZUR SYSTEMISCHEN ANWENDUNG</v>
      </c>
      <c r="X1559" s="1" t="str">
        <f xml:space="preserve"> LEFT(Table1[[#This Row],[Atc Code]],3)</f>
        <v>J01</v>
      </c>
    </row>
    <row r="1560" spans="1:24" ht="14.4">
      <c r="A1560" s="14">
        <v>1432</v>
      </c>
      <c r="B1560" s="24">
        <v>14238219</v>
      </c>
      <c r="C1560" s="1">
        <v>2200990</v>
      </c>
      <c r="D1560" s="1" t="s">
        <v>25</v>
      </c>
      <c r="E1560" s="36">
        <v>45061</v>
      </c>
      <c r="F1560" s="36">
        <v>45082</v>
      </c>
      <c r="G1560" s="38">
        <f t="shared" si="24"/>
        <v>21</v>
      </c>
      <c r="H1560" s="5">
        <v>45070</v>
      </c>
      <c r="I1560" s="5">
        <v>45082</v>
      </c>
      <c r="J1560" s="1" t="s">
        <v>26</v>
      </c>
      <c r="K1560" s="1" t="s">
        <v>3398</v>
      </c>
      <c r="L1560" s="1" t="s">
        <v>3399</v>
      </c>
      <c r="M1560" s="1" t="s">
        <v>3400</v>
      </c>
      <c r="N1560" s="1" t="s">
        <v>38</v>
      </c>
      <c r="O1560" s="1" t="s">
        <v>91</v>
      </c>
      <c r="Q1560" s="1" t="s">
        <v>93</v>
      </c>
      <c r="R1560" s="1" t="s">
        <v>113</v>
      </c>
      <c r="S1560" s="1"/>
      <c r="U1560" s="1" t="s">
        <v>130</v>
      </c>
      <c r="V1560" s="1" t="s">
        <v>324</v>
      </c>
      <c r="W1560" s="1" t="str">
        <f>VLOOKUP(Table1[[#This Row],[Obergruppe ATC-Code]],Tabelle3!$A$2:$B$100,2)</f>
        <v>ANTIBIOTIKA ZUR SYSTEMISCHEN ANWENDUNG</v>
      </c>
      <c r="X1560" s="1" t="str">
        <f xml:space="preserve"> LEFT(Table1[[#This Row],[Atc Code]],3)</f>
        <v>J01</v>
      </c>
    </row>
    <row r="1561" spans="1:24" ht="14.4">
      <c r="A1561" s="14">
        <v>1431</v>
      </c>
      <c r="B1561" s="24">
        <v>14238219</v>
      </c>
      <c r="C1561" s="1">
        <v>2200990</v>
      </c>
      <c r="D1561" s="1" t="s">
        <v>25</v>
      </c>
      <c r="E1561" s="36">
        <v>45140</v>
      </c>
      <c r="F1561" s="36">
        <v>45198</v>
      </c>
      <c r="G1561" s="38">
        <f t="shared" si="24"/>
        <v>58</v>
      </c>
      <c r="H1561" s="5">
        <v>45140</v>
      </c>
      <c r="I1561" s="5">
        <v>45200</v>
      </c>
      <c r="J1561" s="1" t="s">
        <v>26</v>
      </c>
      <c r="K1561" s="1" t="s">
        <v>3398</v>
      </c>
      <c r="L1561" s="1" t="s">
        <v>3399</v>
      </c>
      <c r="M1561" s="1" t="s">
        <v>3400</v>
      </c>
      <c r="N1561" s="1" t="s">
        <v>38</v>
      </c>
      <c r="O1561" s="1" t="s">
        <v>91</v>
      </c>
      <c r="Q1561" s="1" t="s">
        <v>93</v>
      </c>
      <c r="R1561" s="1" t="s">
        <v>113</v>
      </c>
      <c r="S1561" s="1"/>
      <c r="U1561" s="1" t="s">
        <v>130</v>
      </c>
      <c r="V1561" s="1" t="s">
        <v>324</v>
      </c>
      <c r="W1561" s="1" t="str">
        <f>VLOOKUP(Table1[[#This Row],[Obergruppe ATC-Code]],Tabelle3!$A$2:$B$100,2)</f>
        <v>ANTIBIOTIKA ZUR SYSTEMISCHEN ANWENDUNG</v>
      </c>
      <c r="X1561" s="1" t="str">
        <f xml:space="preserve"> LEFT(Table1[[#This Row],[Atc Code]],3)</f>
        <v>J01</v>
      </c>
    </row>
    <row r="1562" spans="1:24" ht="14.4">
      <c r="A1562" s="14">
        <v>2829</v>
      </c>
      <c r="B1562" s="24" t="s">
        <v>3401</v>
      </c>
      <c r="C1562" s="1">
        <v>153985</v>
      </c>
      <c r="D1562" s="1" t="s">
        <v>25</v>
      </c>
      <c r="E1562" s="36">
        <v>44256</v>
      </c>
      <c r="F1562" s="36">
        <v>44392</v>
      </c>
      <c r="G1562" s="38">
        <f t="shared" si="24"/>
        <v>136</v>
      </c>
      <c r="H1562" s="5">
        <v>44263</v>
      </c>
      <c r="I1562" s="5">
        <v>44392</v>
      </c>
      <c r="J1562" s="1" t="s">
        <v>26</v>
      </c>
      <c r="K1562" s="1" t="s">
        <v>3402</v>
      </c>
      <c r="L1562" s="1" t="s">
        <v>3403</v>
      </c>
      <c r="M1562" s="1" t="s">
        <v>3404</v>
      </c>
      <c r="N1562" s="1" t="s">
        <v>30</v>
      </c>
      <c r="O1562" s="1" t="s">
        <v>3405</v>
      </c>
      <c r="P1562" s="1" t="s">
        <v>3406</v>
      </c>
      <c r="Q1562" s="1" t="s">
        <v>3407</v>
      </c>
      <c r="R1562" s="1" t="s">
        <v>26</v>
      </c>
      <c r="S1562" s="1"/>
      <c r="U1562" s="1" t="s">
        <v>35</v>
      </c>
      <c r="V1562" s="1" t="s">
        <v>604</v>
      </c>
      <c r="W1562" s="1" t="str">
        <f>VLOOKUP(Table1[[#This Row],[Obergruppe ATC-Code]],Tabelle3!$A$2:$B$100,2)</f>
        <v>ANTIBIOTIKA ZUR SYSTEMISCHEN ANWENDUNG</v>
      </c>
      <c r="X1562" s="1" t="str">
        <f xml:space="preserve"> LEFT(Table1[[#This Row],[Atc Code]],3)</f>
        <v>J01</v>
      </c>
    </row>
    <row r="1563" spans="1:24" ht="14.4">
      <c r="A1563" s="14">
        <v>2828</v>
      </c>
      <c r="B1563" s="24" t="s">
        <v>3408</v>
      </c>
      <c r="C1563" s="1">
        <v>143515</v>
      </c>
      <c r="D1563" s="1" t="s">
        <v>25</v>
      </c>
      <c r="E1563" s="36">
        <v>44256</v>
      </c>
      <c r="F1563" s="36">
        <v>44553</v>
      </c>
      <c r="G1563" s="38">
        <f t="shared" si="24"/>
        <v>297</v>
      </c>
      <c r="H1563" s="5">
        <v>44263</v>
      </c>
      <c r="I1563" s="5">
        <v>44553</v>
      </c>
      <c r="J1563" s="1" t="s">
        <v>26</v>
      </c>
      <c r="K1563" s="1" t="s">
        <v>3409</v>
      </c>
      <c r="L1563" s="1" t="s">
        <v>3403</v>
      </c>
      <c r="M1563" s="1" t="s">
        <v>3404</v>
      </c>
      <c r="N1563" s="1" t="s">
        <v>30</v>
      </c>
      <c r="O1563" s="1" t="s">
        <v>3410</v>
      </c>
      <c r="P1563" s="1" t="s">
        <v>3406</v>
      </c>
      <c r="Q1563" s="1" t="s">
        <v>3411</v>
      </c>
      <c r="R1563" s="1" t="s">
        <v>26</v>
      </c>
      <c r="S1563" s="1"/>
      <c r="U1563" s="1" t="s">
        <v>35</v>
      </c>
      <c r="V1563" s="1" t="s">
        <v>604</v>
      </c>
      <c r="W1563" s="1" t="str">
        <f>VLOOKUP(Table1[[#This Row],[Obergruppe ATC-Code]],Tabelle3!$A$2:$B$100,2)</f>
        <v>ANTIBIOTIKA ZUR SYSTEMISCHEN ANWENDUNG</v>
      </c>
      <c r="X1563" s="1" t="str">
        <f xml:space="preserve"> LEFT(Table1[[#This Row],[Atc Code]],3)</f>
        <v>J01</v>
      </c>
    </row>
    <row r="1564" spans="1:24" ht="14.4">
      <c r="A1564" s="14">
        <v>1894</v>
      </c>
      <c r="B1564" s="24" t="s">
        <v>3412</v>
      </c>
      <c r="C1564" s="1">
        <v>2151714</v>
      </c>
      <c r="D1564" s="1" t="s">
        <v>25</v>
      </c>
      <c r="E1564" s="36">
        <v>43221</v>
      </c>
      <c r="F1564" s="36">
        <v>43343</v>
      </c>
      <c r="G1564" s="38">
        <f t="shared" si="24"/>
        <v>122</v>
      </c>
      <c r="H1564" s="5">
        <v>43252</v>
      </c>
      <c r="I1564" s="5">
        <v>43301</v>
      </c>
      <c r="J1564" s="1" t="s">
        <v>41</v>
      </c>
      <c r="K1564" s="1" t="s">
        <v>3413</v>
      </c>
      <c r="L1564" s="1" t="s">
        <v>3414</v>
      </c>
      <c r="M1564" s="1" t="s">
        <v>3415</v>
      </c>
      <c r="N1564" s="1" t="s">
        <v>30</v>
      </c>
      <c r="O1564" s="1" t="s">
        <v>321</v>
      </c>
      <c r="P1564" s="1" t="s">
        <v>322</v>
      </c>
      <c r="Q1564" s="1" t="s">
        <v>323</v>
      </c>
      <c r="R1564" s="1" t="s">
        <v>48</v>
      </c>
      <c r="S1564" s="1"/>
      <c r="T1564" s="1" t="s">
        <v>3416</v>
      </c>
      <c r="U1564" s="1" t="s">
        <v>35</v>
      </c>
      <c r="V1564" s="1" t="s">
        <v>99</v>
      </c>
      <c r="W1564" s="1" t="str">
        <f>VLOOKUP(Table1[[#This Row],[Obergruppe ATC-Code]],Tabelle3!$A$2:$B$100,2)</f>
        <v>ANTIBIOTIKA ZUR SYSTEMISCHEN ANWENDUNG</v>
      </c>
      <c r="X1564" s="1" t="str">
        <f xml:space="preserve"> LEFT(Table1[[#This Row],[Atc Code]],3)</f>
        <v>J01</v>
      </c>
    </row>
    <row r="1565" spans="1:24" ht="14.4">
      <c r="A1565" s="14">
        <v>1896</v>
      </c>
      <c r="B1565" s="24" t="s">
        <v>3417</v>
      </c>
      <c r="C1565" s="1">
        <v>2151715</v>
      </c>
      <c r="D1565" s="1" t="s">
        <v>25</v>
      </c>
      <c r="E1565" s="36">
        <v>43405</v>
      </c>
      <c r="F1565" s="36">
        <v>43496</v>
      </c>
      <c r="G1565" s="38">
        <f t="shared" si="24"/>
        <v>91</v>
      </c>
      <c r="H1565" s="5">
        <v>43389</v>
      </c>
      <c r="I1565" s="5">
        <v>43437</v>
      </c>
      <c r="J1565" s="1" t="s">
        <v>41</v>
      </c>
      <c r="K1565" s="1" t="s">
        <v>3418</v>
      </c>
      <c r="L1565" s="1" t="s">
        <v>3414</v>
      </c>
      <c r="M1565" s="1" t="s">
        <v>3415</v>
      </c>
      <c r="N1565" s="1" t="s">
        <v>30</v>
      </c>
      <c r="O1565" s="1" t="s">
        <v>321</v>
      </c>
      <c r="P1565" s="1" t="s">
        <v>322</v>
      </c>
      <c r="Q1565" s="1" t="s">
        <v>323</v>
      </c>
      <c r="R1565" s="1" t="s">
        <v>48</v>
      </c>
      <c r="S1565" s="1"/>
      <c r="U1565" s="1" t="s">
        <v>57</v>
      </c>
      <c r="V1565" s="1" t="s">
        <v>811</v>
      </c>
      <c r="W1565" s="1" t="str">
        <f>VLOOKUP(Table1[[#This Row],[Obergruppe ATC-Code]],Tabelle3!$A$2:$B$100,2)</f>
        <v>ANTIBIOTIKA ZUR SYSTEMISCHEN ANWENDUNG</v>
      </c>
      <c r="X1565" s="1" t="str">
        <f xml:space="preserve"> LEFT(Table1[[#This Row],[Atc Code]],3)</f>
        <v>J01</v>
      </c>
    </row>
    <row r="1566" spans="1:24" ht="14.4">
      <c r="A1566" s="14">
        <v>2618</v>
      </c>
      <c r="B1566" s="24" t="s">
        <v>3419</v>
      </c>
      <c r="C1566" s="1">
        <v>2189986</v>
      </c>
      <c r="D1566" s="1" t="s">
        <v>25</v>
      </c>
      <c r="E1566" s="36">
        <v>43922</v>
      </c>
      <c r="F1566" s="36">
        <v>44135</v>
      </c>
      <c r="G1566" s="38">
        <f t="shared" si="24"/>
        <v>213</v>
      </c>
      <c r="H1566" s="5">
        <v>43941</v>
      </c>
      <c r="I1566" s="5">
        <v>44014</v>
      </c>
      <c r="J1566" s="1" t="s">
        <v>41</v>
      </c>
      <c r="K1566" s="1" t="s">
        <v>3420</v>
      </c>
      <c r="L1566" s="1" t="s">
        <v>3414</v>
      </c>
      <c r="M1566" s="1" t="s">
        <v>3415</v>
      </c>
      <c r="N1566" s="1" t="s">
        <v>30</v>
      </c>
      <c r="O1566" s="1" t="s">
        <v>1284</v>
      </c>
      <c r="P1566" s="1" t="s">
        <v>1285</v>
      </c>
      <c r="Q1566" s="1" t="s">
        <v>1286</v>
      </c>
      <c r="R1566" s="1" t="s">
        <v>165</v>
      </c>
      <c r="S1566" s="1"/>
      <c r="U1566" s="1" t="s">
        <v>35</v>
      </c>
      <c r="V1566" s="1" t="s">
        <v>99</v>
      </c>
      <c r="W1566" s="1" t="str">
        <f>VLOOKUP(Table1[[#This Row],[Obergruppe ATC-Code]],Tabelle3!$A$2:$B$100,2)</f>
        <v>ANTIBIOTIKA ZUR SYSTEMISCHEN ANWENDUNG</v>
      </c>
      <c r="X1566" s="1" t="str">
        <f xml:space="preserve"> LEFT(Table1[[#This Row],[Atc Code]],3)</f>
        <v>J01</v>
      </c>
    </row>
    <row r="1567" spans="1:24" ht="14.4">
      <c r="A1567" s="14">
        <v>1225</v>
      </c>
      <c r="B1567" s="24">
        <v>11240606</v>
      </c>
      <c r="C1567" s="1">
        <v>2192186</v>
      </c>
      <c r="D1567" s="1" t="s">
        <v>25</v>
      </c>
      <c r="E1567" s="36">
        <v>43800</v>
      </c>
      <c r="F1567" s="36">
        <v>44104</v>
      </c>
      <c r="G1567" s="38">
        <f t="shared" si="24"/>
        <v>304</v>
      </c>
      <c r="H1567" s="5">
        <v>43812</v>
      </c>
      <c r="I1567" s="5">
        <v>44077</v>
      </c>
      <c r="J1567" s="1" t="s">
        <v>26</v>
      </c>
      <c r="K1567" s="1" t="s">
        <v>3421</v>
      </c>
      <c r="L1567" s="1" t="s">
        <v>3414</v>
      </c>
      <c r="M1567" s="1" t="s">
        <v>3415</v>
      </c>
      <c r="N1567" s="1" t="s">
        <v>38</v>
      </c>
      <c r="O1567" s="1" t="s">
        <v>1440</v>
      </c>
      <c r="P1567" s="1" t="s">
        <v>1441</v>
      </c>
      <c r="Q1567" s="1" t="s">
        <v>1442</v>
      </c>
      <c r="R1567" s="1" t="s">
        <v>33</v>
      </c>
      <c r="S1567" s="1"/>
      <c r="U1567" s="1" t="s">
        <v>35</v>
      </c>
      <c r="V1567" s="1" t="s">
        <v>99</v>
      </c>
      <c r="W1567" s="1" t="str">
        <f>VLOOKUP(Table1[[#This Row],[Obergruppe ATC-Code]],Tabelle3!$A$2:$B$100,2)</f>
        <v>ANTIBIOTIKA ZUR SYSTEMISCHEN ANWENDUNG</v>
      </c>
      <c r="X1567" s="1" t="str">
        <f xml:space="preserve"> LEFT(Table1[[#This Row],[Atc Code]],3)</f>
        <v>J01</v>
      </c>
    </row>
    <row r="1568" spans="1:24" ht="14.4">
      <c r="A1568" s="14">
        <v>1224</v>
      </c>
      <c r="B1568" s="24">
        <v>11240606</v>
      </c>
      <c r="C1568" s="1">
        <v>2192186</v>
      </c>
      <c r="D1568" s="1" t="s">
        <v>25</v>
      </c>
      <c r="E1568" s="36">
        <v>44228</v>
      </c>
      <c r="F1568" s="36">
        <v>44316</v>
      </c>
      <c r="G1568" s="38">
        <f t="shared" si="24"/>
        <v>88</v>
      </c>
      <c r="H1568" s="5">
        <v>44242</v>
      </c>
      <c r="I1568" s="5">
        <v>44316</v>
      </c>
      <c r="J1568" s="1" t="s">
        <v>41</v>
      </c>
      <c r="K1568" s="1" t="s">
        <v>3421</v>
      </c>
      <c r="L1568" s="1" t="s">
        <v>3414</v>
      </c>
      <c r="M1568" s="1" t="s">
        <v>3415</v>
      </c>
      <c r="N1568" s="1" t="s">
        <v>38</v>
      </c>
      <c r="O1568" s="1" t="s">
        <v>1440</v>
      </c>
      <c r="P1568" s="1" t="s">
        <v>1441</v>
      </c>
      <c r="Q1568" s="1" t="s">
        <v>1916</v>
      </c>
      <c r="R1568" s="1" t="s">
        <v>26</v>
      </c>
      <c r="S1568" s="1"/>
      <c r="U1568" s="1" t="s">
        <v>35</v>
      </c>
      <c r="V1568" s="1" t="s">
        <v>99</v>
      </c>
      <c r="W1568" s="1" t="str">
        <f>VLOOKUP(Table1[[#This Row],[Obergruppe ATC-Code]],Tabelle3!$A$2:$B$100,2)</f>
        <v>ANTIBIOTIKA ZUR SYSTEMISCHEN ANWENDUNG</v>
      </c>
      <c r="X1568" s="1" t="str">
        <f xml:space="preserve"> LEFT(Table1[[#This Row],[Atc Code]],3)</f>
        <v>J01</v>
      </c>
    </row>
    <row r="1569" spans="1:24" ht="14.4">
      <c r="A1569" s="14">
        <v>1895</v>
      </c>
      <c r="B1569" s="24" t="s">
        <v>3417</v>
      </c>
      <c r="C1569" s="1">
        <v>2151715</v>
      </c>
      <c r="D1569" s="1" t="s">
        <v>25</v>
      </c>
      <c r="E1569" s="36">
        <v>44287</v>
      </c>
      <c r="F1569" s="36">
        <v>44439</v>
      </c>
      <c r="G1569" s="38">
        <f t="shared" si="24"/>
        <v>152</v>
      </c>
      <c r="H1569" s="5">
        <v>44286</v>
      </c>
      <c r="I1569" s="5">
        <v>44439</v>
      </c>
      <c r="J1569" s="1" t="s">
        <v>26</v>
      </c>
      <c r="K1569" s="1" t="s">
        <v>3418</v>
      </c>
      <c r="L1569" s="1" t="s">
        <v>3414</v>
      </c>
      <c r="M1569" s="1" t="s">
        <v>3415</v>
      </c>
      <c r="N1569" s="1" t="s">
        <v>30</v>
      </c>
      <c r="O1569" s="1" t="s">
        <v>321</v>
      </c>
      <c r="P1569" s="1" t="s">
        <v>326</v>
      </c>
      <c r="Q1569" s="1" t="s">
        <v>327</v>
      </c>
      <c r="R1569" s="1" t="s">
        <v>26</v>
      </c>
      <c r="S1569" s="1" t="s">
        <v>3422</v>
      </c>
      <c r="T1569" s="1" t="s">
        <v>3423</v>
      </c>
      <c r="U1569" s="1" t="s">
        <v>35</v>
      </c>
      <c r="V1569" s="1" t="s">
        <v>811</v>
      </c>
      <c r="W1569" s="1" t="str">
        <f>VLOOKUP(Table1[[#This Row],[Obergruppe ATC-Code]],Tabelle3!$A$2:$B$100,2)</f>
        <v>ANTIBIOTIKA ZUR SYSTEMISCHEN ANWENDUNG</v>
      </c>
      <c r="X1569" s="1" t="str">
        <f xml:space="preserve"> LEFT(Table1[[#This Row],[Atc Code]],3)</f>
        <v>J01</v>
      </c>
    </row>
    <row r="1570" spans="1:24" ht="14.4">
      <c r="A1570" s="14">
        <v>1227</v>
      </c>
      <c r="B1570" s="24">
        <v>11240606</v>
      </c>
      <c r="C1570" s="1">
        <v>2192186</v>
      </c>
      <c r="D1570" s="1" t="s">
        <v>25</v>
      </c>
      <c r="E1570" s="36">
        <v>44342</v>
      </c>
      <c r="F1570" s="36">
        <v>44468</v>
      </c>
      <c r="G1570" s="38">
        <f t="shared" si="24"/>
        <v>126</v>
      </c>
      <c r="H1570" s="5">
        <v>44349</v>
      </c>
      <c r="I1570" s="5">
        <v>44476</v>
      </c>
      <c r="J1570" s="1" t="s">
        <v>41</v>
      </c>
      <c r="K1570" s="1" t="s">
        <v>3421</v>
      </c>
      <c r="L1570" s="1" t="s">
        <v>3414</v>
      </c>
      <c r="M1570" s="1" t="s">
        <v>3415</v>
      </c>
      <c r="N1570" s="1" t="s">
        <v>38</v>
      </c>
      <c r="O1570" s="1" t="s">
        <v>1440</v>
      </c>
      <c r="P1570" s="1" t="s">
        <v>1540</v>
      </c>
      <c r="Q1570" s="1" t="s">
        <v>1541</v>
      </c>
      <c r="R1570" s="1" t="s">
        <v>128</v>
      </c>
      <c r="S1570" s="1"/>
      <c r="U1570" s="1" t="s">
        <v>35</v>
      </c>
      <c r="V1570" s="1" t="s">
        <v>99</v>
      </c>
      <c r="W1570" s="1" t="str">
        <f>VLOOKUP(Table1[[#This Row],[Obergruppe ATC-Code]],Tabelle3!$A$2:$B$100,2)</f>
        <v>ANTIBIOTIKA ZUR SYSTEMISCHEN ANWENDUNG</v>
      </c>
      <c r="X1570" s="1" t="str">
        <f xml:space="preserve"> LEFT(Table1[[#This Row],[Atc Code]],3)</f>
        <v>J01</v>
      </c>
    </row>
    <row r="1571" spans="1:24" ht="14.4">
      <c r="A1571" s="14">
        <v>2693</v>
      </c>
      <c r="B1571" s="24" t="s">
        <v>3424</v>
      </c>
      <c r="C1571" s="1">
        <v>2200044</v>
      </c>
      <c r="D1571" s="1" t="s">
        <v>25</v>
      </c>
      <c r="E1571" s="36">
        <v>44013</v>
      </c>
      <c r="F1571" s="36">
        <v>44599</v>
      </c>
      <c r="G1571" s="38">
        <f t="shared" si="24"/>
        <v>586</v>
      </c>
      <c r="H1571" s="5">
        <v>44001</v>
      </c>
      <c r="I1571" s="5">
        <v>44599</v>
      </c>
      <c r="J1571" s="1" t="s">
        <v>41</v>
      </c>
      <c r="K1571" s="1" t="s">
        <v>3425</v>
      </c>
      <c r="L1571" s="1" t="s">
        <v>3414</v>
      </c>
      <c r="M1571" s="1" t="s">
        <v>3415</v>
      </c>
      <c r="N1571" s="1" t="s">
        <v>30</v>
      </c>
      <c r="O1571" s="1" t="s">
        <v>1489</v>
      </c>
      <c r="P1571" s="1" t="s">
        <v>1733</v>
      </c>
      <c r="Q1571" s="1" t="s">
        <v>1734</v>
      </c>
      <c r="R1571" s="1" t="s">
        <v>26</v>
      </c>
      <c r="S1571" s="1"/>
      <c r="U1571" s="1" t="s">
        <v>35</v>
      </c>
      <c r="V1571" s="1" t="s">
        <v>99</v>
      </c>
      <c r="W1571" s="1" t="str">
        <f>VLOOKUP(Table1[[#This Row],[Obergruppe ATC-Code]],Tabelle3!$A$2:$B$100,2)</f>
        <v>ANTIBIOTIKA ZUR SYSTEMISCHEN ANWENDUNG</v>
      </c>
      <c r="X1571" s="1" t="str">
        <f xml:space="preserve"> LEFT(Table1[[#This Row],[Atc Code]],3)</f>
        <v>J01</v>
      </c>
    </row>
    <row r="1572" spans="1:24" ht="14.4">
      <c r="A1572" s="14">
        <v>1228</v>
      </c>
      <c r="B1572" s="24">
        <v>11240612</v>
      </c>
      <c r="C1572" s="1">
        <v>2192186</v>
      </c>
      <c r="D1572" s="1" t="s">
        <v>25</v>
      </c>
      <c r="E1572" s="36">
        <v>44489</v>
      </c>
      <c r="F1572" s="36">
        <v>44551</v>
      </c>
      <c r="G1572" s="38">
        <f t="shared" si="24"/>
        <v>62</v>
      </c>
      <c r="H1572" s="5">
        <v>44491</v>
      </c>
      <c r="I1572" s="5">
        <v>44599</v>
      </c>
      <c r="J1572" s="1" t="s">
        <v>26</v>
      </c>
      <c r="K1572" s="1" t="s">
        <v>3421</v>
      </c>
      <c r="L1572" s="1" t="s">
        <v>3414</v>
      </c>
      <c r="M1572" s="1" t="s">
        <v>3415</v>
      </c>
      <c r="N1572" s="1" t="s">
        <v>38</v>
      </c>
      <c r="O1572" s="1" t="s">
        <v>1440</v>
      </c>
      <c r="P1572" s="1" t="s">
        <v>1540</v>
      </c>
      <c r="Q1572" s="1" t="s">
        <v>1541</v>
      </c>
      <c r="R1572" s="1" t="s">
        <v>26</v>
      </c>
      <c r="S1572" s="1"/>
      <c r="U1572" s="1" t="s">
        <v>35</v>
      </c>
      <c r="V1572" s="1" t="s">
        <v>99</v>
      </c>
      <c r="W1572" s="1" t="str">
        <f>VLOOKUP(Table1[[#This Row],[Obergruppe ATC-Code]],Tabelle3!$A$2:$B$100,2)</f>
        <v>ANTIBIOTIKA ZUR SYSTEMISCHEN ANWENDUNG</v>
      </c>
      <c r="X1572" s="1" t="str">
        <f xml:space="preserve"> LEFT(Table1[[#This Row],[Atc Code]],3)</f>
        <v>J01</v>
      </c>
    </row>
    <row r="1573" spans="1:24" ht="14.4">
      <c r="A1573" s="14">
        <v>1226</v>
      </c>
      <c r="B1573" s="24">
        <v>11240606</v>
      </c>
      <c r="C1573" s="1">
        <v>2192186</v>
      </c>
      <c r="D1573" s="1" t="s">
        <v>25</v>
      </c>
      <c r="E1573" s="36">
        <v>44529</v>
      </c>
      <c r="F1573" s="36">
        <v>44551</v>
      </c>
      <c r="G1573" s="38">
        <f t="shared" si="24"/>
        <v>22</v>
      </c>
      <c r="H1573" s="5">
        <v>44537</v>
      </c>
      <c r="I1573" s="5">
        <v>44599</v>
      </c>
      <c r="J1573" s="1" t="s">
        <v>26</v>
      </c>
      <c r="K1573" s="1" t="s">
        <v>3421</v>
      </c>
      <c r="L1573" s="1" t="s">
        <v>3414</v>
      </c>
      <c r="M1573" s="1" t="s">
        <v>3415</v>
      </c>
      <c r="N1573" s="1" t="s">
        <v>38</v>
      </c>
      <c r="O1573" s="1" t="s">
        <v>1440</v>
      </c>
      <c r="P1573" s="1" t="s">
        <v>1540</v>
      </c>
      <c r="Q1573" s="1" t="s">
        <v>1541</v>
      </c>
      <c r="R1573" s="1" t="s">
        <v>113</v>
      </c>
      <c r="S1573" s="1"/>
      <c r="U1573" s="1" t="s">
        <v>35</v>
      </c>
      <c r="V1573" s="1" t="s">
        <v>99</v>
      </c>
      <c r="W1573" s="1" t="str">
        <f>VLOOKUP(Table1[[#This Row],[Obergruppe ATC-Code]],Tabelle3!$A$2:$B$100,2)</f>
        <v>ANTIBIOTIKA ZUR SYSTEMISCHEN ANWENDUNG</v>
      </c>
      <c r="X1573" s="1" t="str">
        <f xml:space="preserve"> LEFT(Table1[[#This Row],[Atc Code]],3)</f>
        <v>J01</v>
      </c>
    </row>
    <row r="1574" spans="1:24" ht="14.4">
      <c r="A1574" s="14">
        <v>2694</v>
      </c>
      <c r="B1574" s="24" t="s">
        <v>3426</v>
      </c>
      <c r="C1574" s="1">
        <v>2194451</v>
      </c>
      <c r="D1574" s="1" t="s">
        <v>25</v>
      </c>
      <c r="E1574" s="36">
        <v>44166</v>
      </c>
      <c r="F1574" s="36">
        <v>44614</v>
      </c>
      <c r="G1574" s="38">
        <f t="shared" si="24"/>
        <v>448</v>
      </c>
      <c r="H1574" s="5">
        <v>44148</v>
      </c>
      <c r="I1574" s="5">
        <v>44614</v>
      </c>
      <c r="J1574" s="1" t="s">
        <v>26</v>
      </c>
      <c r="K1574" s="1" t="s">
        <v>3427</v>
      </c>
      <c r="L1574" s="1" t="s">
        <v>3414</v>
      </c>
      <c r="M1574" s="1" t="s">
        <v>3415</v>
      </c>
      <c r="N1574" s="1" t="s">
        <v>30</v>
      </c>
      <c r="O1574" s="1" t="s">
        <v>1489</v>
      </c>
      <c r="P1574" s="1" t="s">
        <v>1733</v>
      </c>
      <c r="Q1574" s="1" t="s">
        <v>1734</v>
      </c>
      <c r="R1574" s="1" t="s">
        <v>26</v>
      </c>
      <c r="S1574" s="1"/>
      <c r="U1574" s="1" t="s">
        <v>35</v>
      </c>
      <c r="V1574" s="1" t="s">
        <v>648</v>
      </c>
      <c r="W1574" s="1" t="str">
        <f>VLOOKUP(Table1[[#This Row],[Obergruppe ATC-Code]],Tabelle3!$A$2:$B$100,2)</f>
        <v>ANTIBIOTIKA ZUR SYSTEMISCHEN ANWENDUNG</v>
      </c>
      <c r="X1574" s="1" t="str">
        <f xml:space="preserve"> LEFT(Table1[[#This Row],[Atc Code]],3)</f>
        <v>J01</v>
      </c>
    </row>
    <row r="1575" spans="1:24" ht="14.4">
      <c r="A1575" s="14">
        <v>2613</v>
      </c>
      <c r="B1575" s="24" t="s">
        <v>3428</v>
      </c>
      <c r="C1575" s="1">
        <v>2190203</v>
      </c>
      <c r="D1575" s="1" t="s">
        <v>25</v>
      </c>
      <c r="E1575" s="36">
        <v>44740</v>
      </c>
      <c r="F1575" s="36">
        <v>44883</v>
      </c>
      <c r="G1575" s="38">
        <f t="shared" si="24"/>
        <v>143</v>
      </c>
      <c r="H1575" s="5">
        <v>44740</v>
      </c>
      <c r="I1575" s="5">
        <v>44883</v>
      </c>
      <c r="J1575" s="1" t="s">
        <v>26</v>
      </c>
      <c r="K1575" s="1" t="s">
        <v>3429</v>
      </c>
      <c r="L1575" s="1" t="s">
        <v>3414</v>
      </c>
      <c r="M1575" s="1" t="s">
        <v>3415</v>
      </c>
      <c r="N1575" s="1" t="s">
        <v>38</v>
      </c>
      <c r="O1575" s="1" t="s">
        <v>52</v>
      </c>
      <c r="P1575" s="1" t="s">
        <v>53</v>
      </c>
      <c r="Q1575" s="1" t="s">
        <v>54</v>
      </c>
      <c r="R1575" s="1" t="s">
        <v>26</v>
      </c>
      <c r="S1575" s="1"/>
      <c r="U1575" s="1" t="s">
        <v>130</v>
      </c>
      <c r="V1575" s="1" t="s">
        <v>99</v>
      </c>
      <c r="W1575" s="1" t="str">
        <f>VLOOKUP(Table1[[#This Row],[Obergruppe ATC-Code]],Tabelle3!$A$2:$B$100,2)</f>
        <v>ANTIBIOTIKA ZUR SYSTEMISCHEN ANWENDUNG</v>
      </c>
      <c r="X1575" s="1" t="str">
        <f xml:space="preserve"> LEFT(Table1[[#This Row],[Atc Code]],3)</f>
        <v>J01</v>
      </c>
    </row>
    <row r="1576" spans="1:24" ht="14.4">
      <c r="A1576" s="14">
        <v>1892</v>
      </c>
      <c r="B1576" s="24" t="s">
        <v>3430</v>
      </c>
      <c r="C1576" s="1">
        <v>2151714</v>
      </c>
      <c r="D1576" s="1" t="s">
        <v>25</v>
      </c>
      <c r="E1576" s="36">
        <v>44879</v>
      </c>
      <c r="F1576" s="36">
        <v>44915</v>
      </c>
      <c r="G1576" s="38">
        <f t="shared" si="24"/>
        <v>36</v>
      </c>
      <c r="H1576" s="5">
        <v>44873</v>
      </c>
      <c r="I1576" s="5">
        <v>44916</v>
      </c>
      <c r="J1576" s="1" t="s">
        <v>26</v>
      </c>
      <c r="K1576" s="1" t="s">
        <v>3413</v>
      </c>
      <c r="L1576" s="1" t="s">
        <v>3414</v>
      </c>
      <c r="M1576" s="1" t="s">
        <v>3415</v>
      </c>
      <c r="N1576" s="1" t="s">
        <v>30</v>
      </c>
      <c r="O1576" s="1" t="s">
        <v>329</v>
      </c>
      <c r="P1576" s="1" t="s">
        <v>1259</v>
      </c>
      <c r="Q1576" s="1" t="s">
        <v>331</v>
      </c>
      <c r="R1576" s="1" t="s">
        <v>142</v>
      </c>
      <c r="S1576" s="1" t="s">
        <v>3431</v>
      </c>
      <c r="T1576" s="1" t="s">
        <v>3432</v>
      </c>
      <c r="U1576" s="1" t="s">
        <v>35</v>
      </c>
      <c r="V1576" s="1" t="s">
        <v>99</v>
      </c>
      <c r="W1576" s="1" t="str">
        <f>VLOOKUP(Table1[[#This Row],[Obergruppe ATC-Code]],Tabelle3!$A$2:$B$100,2)</f>
        <v>ANTIBIOTIKA ZUR SYSTEMISCHEN ANWENDUNG</v>
      </c>
      <c r="X1576" s="1" t="str">
        <f xml:space="preserve"> LEFT(Table1[[#This Row],[Atc Code]],3)</f>
        <v>J01</v>
      </c>
    </row>
    <row r="1577" spans="1:24" ht="14.4">
      <c r="A1577" s="14">
        <v>1893</v>
      </c>
      <c r="B1577" s="24" t="s">
        <v>3433</v>
      </c>
      <c r="C1577" s="1">
        <v>2151714</v>
      </c>
      <c r="D1577" s="1" t="s">
        <v>175</v>
      </c>
      <c r="E1577" s="36">
        <v>45200</v>
      </c>
      <c r="F1577" s="36">
        <v>45322</v>
      </c>
      <c r="G1577" s="38">
        <f t="shared" si="24"/>
        <v>122</v>
      </c>
      <c r="H1577" s="5">
        <v>45138</v>
      </c>
      <c r="I1577" s="5">
        <v>45138</v>
      </c>
      <c r="J1577" s="1" t="s">
        <v>26</v>
      </c>
      <c r="K1577" s="1" t="s">
        <v>3413</v>
      </c>
      <c r="L1577" s="1" t="s">
        <v>3414</v>
      </c>
      <c r="M1577" s="1" t="s">
        <v>3415</v>
      </c>
      <c r="N1577" s="1" t="s">
        <v>38</v>
      </c>
      <c r="O1577" s="1" t="s">
        <v>329</v>
      </c>
      <c r="P1577" s="1" t="s">
        <v>1153</v>
      </c>
      <c r="Q1577" s="1" t="s">
        <v>331</v>
      </c>
      <c r="R1577" s="1" t="s">
        <v>142</v>
      </c>
      <c r="S1577" s="1"/>
      <c r="T1577" s="1" t="s">
        <v>3432</v>
      </c>
      <c r="U1577" s="1" t="s">
        <v>35</v>
      </c>
      <c r="V1577" s="1" t="s">
        <v>99</v>
      </c>
      <c r="W1577" s="1" t="str">
        <f>VLOOKUP(Table1[[#This Row],[Obergruppe ATC-Code]],Tabelle3!$A$2:$B$100,2)</f>
        <v>ANTIBIOTIKA ZUR SYSTEMISCHEN ANWENDUNG</v>
      </c>
      <c r="X1577" s="1" t="str">
        <f xml:space="preserve"> LEFT(Table1[[#This Row],[Atc Code]],3)</f>
        <v>J01</v>
      </c>
    </row>
    <row r="1578" spans="1:24" ht="14.4">
      <c r="A1578" s="14">
        <v>2606</v>
      </c>
      <c r="B1578" s="24" t="s">
        <v>3434</v>
      </c>
      <c r="C1578" s="1">
        <v>2192186</v>
      </c>
      <c r="D1578" s="1" t="s">
        <v>102</v>
      </c>
      <c r="E1578" s="36">
        <v>45124</v>
      </c>
      <c r="F1578" s="36">
        <v>45219</v>
      </c>
      <c r="G1578" s="38">
        <f t="shared" si="24"/>
        <v>95</v>
      </c>
      <c r="H1578" s="5">
        <v>45141</v>
      </c>
      <c r="I1578" s="5">
        <v>45177</v>
      </c>
      <c r="J1578" s="1" t="s">
        <v>41</v>
      </c>
      <c r="K1578" s="1" t="s">
        <v>3421</v>
      </c>
      <c r="L1578" s="1" t="s">
        <v>3414</v>
      </c>
      <c r="M1578" s="1" t="s">
        <v>3415</v>
      </c>
      <c r="N1578" s="1" t="s">
        <v>38</v>
      </c>
      <c r="O1578" s="1" t="s">
        <v>1440</v>
      </c>
      <c r="Q1578" s="1" t="s">
        <v>1541</v>
      </c>
      <c r="R1578" s="1" t="s">
        <v>48</v>
      </c>
      <c r="S1578" s="1"/>
      <c r="U1578" s="1" t="s">
        <v>35</v>
      </c>
      <c r="V1578" s="1" t="s">
        <v>99</v>
      </c>
      <c r="W1578" s="1" t="str">
        <f>VLOOKUP(Table1[[#This Row],[Obergruppe ATC-Code]],Tabelle3!$A$2:$B$100,2)</f>
        <v>ANTIBIOTIKA ZUR SYSTEMISCHEN ANWENDUNG</v>
      </c>
      <c r="X1578" s="1" t="str">
        <f xml:space="preserve"> LEFT(Table1[[#This Row],[Atc Code]],3)</f>
        <v>J01</v>
      </c>
    </row>
    <row r="1579" spans="1:24" ht="14.4">
      <c r="A1579" s="14">
        <v>1152</v>
      </c>
      <c r="B1579" s="25">
        <v>9888168</v>
      </c>
      <c r="C1579" s="1">
        <v>270604</v>
      </c>
      <c r="D1579" s="1" t="s">
        <v>25</v>
      </c>
      <c r="E1579" s="36">
        <v>43405</v>
      </c>
      <c r="F1579" s="36">
        <v>43465</v>
      </c>
      <c r="G1579" s="38">
        <f t="shared" si="24"/>
        <v>60</v>
      </c>
      <c r="H1579" s="5">
        <v>43431</v>
      </c>
      <c r="I1579" s="5">
        <v>43455</v>
      </c>
      <c r="J1579" s="1" t="s">
        <v>26</v>
      </c>
      <c r="K1579" s="1" t="s">
        <v>29</v>
      </c>
      <c r="L1579" s="1" t="s">
        <v>3435</v>
      </c>
      <c r="M1579" s="1" t="s">
        <v>29</v>
      </c>
      <c r="N1579" s="1" t="s">
        <v>30</v>
      </c>
      <c r="O1579" s="1" t="s">
        <v>3436</v>
      </c>
      <c r="P1579" s="1" t="s">
        <v>3437</v>
      </c>
      <c r="Q1579" s="1" t="s">
        <v>3438</v>
      </c>
      <c r="R1579" s="1" t="s">
        <v>33</v>
      </c>
      <c r="S1579" s="1"/>
      <c r="T1579" s="1" t="s">
        <v>3439</v>
      </c>
      <c r="U1579" s="1" t="s">
        <v>57</v>
      </c>
      <c r="V1579" s="1" t="s">
        <v>154</v>
      </c>
      <c r="W1579" s="1" t="str">
        <f>VLOOKUP(Table1[[#This Row],[Obergruppe ATC-Code]],Tabelle3!$A$2:$B$100,2)</f>
        <v>ANTIMYKOTIKA ZUR SYSTEMISCHEN ANWENDUNG</v>
      </c>
      <c r="X1579" s="1" t="str">
        <f xml:space="preserve"> LEFT(Table1[[#This Row],[Atc Code]],3)</f>
        <v>J02</v>
      </c>
    </row>
    <row r="1580" spans="1:24" ht="15.6">
      <c r="A1580" s="14">
        <v>3102</v>
      </c>
      <c r="B1580" s="41" t="s">
        <v>3440</v>
      </c>
      <c r="C1580" s="1">
        <v>270604</v>
      </c>
      <c r="D1580" s="1" t="s">
        <v>25</v>
      </c>
      <c r="E1580" s="36">
        <v>43800</v>
      </c>
      <c r="F1580" s="36">
        <v>43890</v>
      </c>
      <c r="G1580" s="38">
        <f t="shared" si="24"/>
        <v>90</v>
      </c>
      <c r="H1580" s="5">
        <v>43819</v>
      </c>
      <c r="I1580" s="5">
        <v>43929</v>
      </c>
      <c r="J1580" s="1" t="s">
        <v>41</v>
      </c>
      <c r="K1580" s="1" t="s">
        <v>29</v>
      </c>
      <c r="L1580" s="1" t="s">
        <v>3435</v>
      </c>
      <c r="M1580" s="1" t="s">
        <v>29</v>
      </c>
      <c r="N1580" s="1" t="s">
        <v>30</v>
      </c>
      <c r="O1580" s="1" t="s">
        <v>1123</v>
      </c>
      <c r="P1580" s="1" t="s">
        <v>3441</v>
      </c>
      <c r="Q1580" s="1" t="s">
        <v>3442</v>
      </c>
      <c r="R1580" s="1" t="s">
        <v>26</v>
      </c>
      <c r="S1580" s="1"/>
      <c r="U1580" s="1" t="s">
        <v>35</v>
      </c>
      <c r="V1580" s="1" t="s">
        <v>154</v>
      </c>
      <c r="W1580" s="1" t="str">
        <f>VLOOKUP(Table1[[#This Row],[Obergruppe ATC-Code]],Tabelle3!$A$2:$B$100,2)</f>
        <v>ANTIMYKOTIKA ZUR SYSTEMISCHEN ANWENDUNG</v>
      </c>
      <c r="X1580" s="1" t="str">
        <f xml:space="preserve"> LEFT(Table1[[#This Row],[Atc Code]],3)</f>
        <v>J02</v>
      </c>
    </row>
    <row r="1581" spans="1:24" ht="14.4">
      <c r="A1581" s="14">
        <v>2609</v>
      </c>
      <c r="B1581" s="24" t="s">
        <v>3443</v>
      </c>
      <c r="C1581" s="1">
        <v>2152718</v>
      </c>
      <c r="D1581" s="1" t="s">
        <v>25</v>
      </c>
      <c r="E1581" s="36">
        <v>43922</v>
      </c>
      <c r="F1581" s="36">
        <v>44012</v>
      </c>
      <c r="G1581" s="38">
        <f t="shared" si="24"/>
        <v>90</v>
      </c>
      <c r="H1581" s="5">
        <v>43921</v>
      </c>
      <c r="I1581" s="5">
        <v>43990</v>
      </c>
      <c r="J1581" s="1" t="s">
        <v>41</v>
      </c>
      <c r="K1581" s="1" t="s">
        <v>3444</v>
      </c>
      <c r="L1581" s="1" t="s">
        <v>3445</v>
      </c>
      <c r="M1581" s="1" t="s">
        <v>3446</v>
      </c>
      <c r="N1581" s="1" t="s">
        <v>30</v>
      </c>
      <c r="O1581" s="1" t="s">
        <v>1489</v>
      </c>
      <c r="P1581" s="1" t="s">
        <v>1733</v>
      </c>
      <c r="Q1581" s="1" t="s">
        <v>1734</v>
      </c>
      <c r="R1581" s="1" t="s">
        <v>26</v>
      </c>
      <c r="S1581" s="1"/>
      <c r="U1581" s="1" t="s">
        <v>35</v>
      </c>
      <c r="V1581" s="1" t="s">
        <v>262</v>
      </c>
      <c r="W1581" s="1" t="str">
        <f>VLOOKUP(Table1[[#This Row],[Obergruppe ATC-Code]],Tabelle3!$A$2:$B$100,2)</f>
        <v>ANTIMYKOTIKA ZUR SYSTEMISCHEN ANWENDUNG</v>
      </c>
      <c r="X1581" s="1" t="str">
        <f xml:space="preserve"> LEFT(Table1[[#This Row],[Atc Code]],3)</f>
        <v>J02</v>
      </c>
    </row>
    <row r="1582" spans="1:24" ht="14.4">
      <c r="A1582" s="14">
        <v>1110</v>
      </c>
      <c r="B1582" s="24">
        <v>9384025</v>
      </c>
      <c r="C1582" s="1">
        <v>2157292</v>
      </c>
      <c r="D1582" s="1" t="s">
        <v>175</v>
      </c>
      <c r="E1582" s="36">
        <v>45175</v>
      </c>
      <c r="F1582" s="36">
        <v>45222</v>
      </c>
      <c r="G1582" s="38">
        <f t="shared" si="24"/>
        <v>47</v>
      </c>
      <c r="H1582" s="5">
        <v>45177</v>
      </c>
      <c r="I1582" s="5">
        <v>45177</v>
      </c>
      <c r="J1582" s="1" t="s">
        <v>26</v>
      </c>
      <c r="K1582" s="1" t="s">
        <v>3447</v>
      </c>
      <c r="L1582" s="1" t="s">
        <v>3448</v>
      </c>
      <c r="M1582" s="1" t="s">
        <v>3449</v>
      </c>
      <c r="N1582" s="1" t="s">
        <v>38</v>
      </c>
      <c r="O1582" s="1" t="s">
        <v>52</v>
      </c>
      <c r="Q1582" s="1" t="s">
        <v>54</v>
      </c>
      <c r="R1582" s="1" t="s">
        <v>26</v>
      </c>
      <c r="S1582" s="1"/>
      <c r="U1582" s="1" t="s">
        <v>130</v>
      </c>
      <c r="V1582" s="1" t="s">
        <v>262</v>
      </c>
      <c r="W1582" s="1" t="str">
        <f>VLOOKUP(Table1[[#This Row],[Obergruppe ATC-Code]],Tabelle3!$A$2:$B$100,2)</f>
        <v>ANTIMYKOTIKA ZUR SYSTEMISCHEN ANWENDUNG</v>
      </c>
      <c r="X1582" s="1" t="str">
        <f xml:space="preserve"> LEFT(Table1[[#This Row],[Atc Code]],3)</f>
        <v>J02</v>
      </c>
    </row>
    <row r="1583" spans="1:24" ht="14.4">
      <c r="A1583" s="14">
        <v>604</v>
      </c>
      <c r="B1583" s="24">
        <v>3853708</v>
      </c>
      <c r="C1583" s="1">
        <v>2131040</v>
      </c>
      <c r="D1583" s="1" t="s">
        <v>102</v>
      </c>
      <c r="E1583" s="36">
        <v>45176</v>
      </c>
      <c r="F1583" s="36">
        <v>45222</v>
      </c>
      <c r="G1583" s="38">
        <f t="shared" si="24"/>
        <v>46</v>
      </c>
      <c r="H1583" s="5">
        <v>45177</v>
      </c>
      <c r="I1583" s="5">
        <v>45196</v>
      </c>
      <c r="J1583" s="1" t="s">
        <v>26</v>
      </c>
      <c r="K1583" s="1" t="s">
        <v>3450</v>
      </c>
      <c r="L1583" s="1" t="s">
        <v>3448</v>
      </c>
      <c r="M1583" s="1" t="s">
        <v>3449</v>
      </c>
      <c r="N1583" s="1" t="s">
        <v>38</v>
      </c>
      <c r="O1583" s="1" t="s">
        <v>347</v>
      </c>
      <c r="P1583" s="1" t="s">
        <v>3451</v>
      </c>
      <c r="Q1583" s="1" t="s">
        <v>745</v>
      </c>
      <c r="R1583" s="1" t="s">
        <v>113</v>
      </c>
      <c r="S1583" s="1" t="s">
        <v>3452</v>
      </c>
      <c r="U1583" s="1" t="s">
        <v>130</v>
      </c>
      <c r="V1583" s="1" t="s">
        <v>262</v>
      </c>
      <c r="W1583" s="1" t="str">
        <f>VLOOKUP(Table1[[#This Row],[Obergruppe ATC-Code]],Tabelle3!$A$2:$B$100,2)</f>
        <v>ANTIMYKOTIKA ZUR SYSTEMISCHEN ANWENDUNG</v>
      </c>
      <c r="X1583" s="1" t="str">
        <f xml:space="preserve"> LEFT(Table1[[#This Row],[Atc Code]],3)</f>
        <v>J02</v>
      </c>
    </row>
    <row r="1584" spans="1:24" ht="14.4">
      <c r="A1584" s="14">
        <v>2586</v>
      </c>
      <c r="B1584" s="24" t="s">
        <v>3453</v>
      </c>
      <c r="C1584" s="1">
        <v>2191451</v>
      </c>
      <c r="D1584" s="1" t="s">
        <v>25</v>
      </c>
      <c r="E1584" s="36">
        <v>43891</v>
      </c>
      <c r="F1584" s="36">
        <v>44012</v>
      </c>
      <c r="G1584" s="38">
        <f t="shared" si="24"/>
        <v>121</v>
      </c>
      <c r="H1584" s="5">
        <v>43921</v>
      </c>
      <c r="I1584" s="5">
        <v>43999</v>
      </c>
      <c r="J1584" s="1" t="s">
        <v>26</v>
      </c>
      <c r="K1584" s="1" t="s">
        <v>3454</v>
      </c>
      <c r="L1584" s="1" t="s">
        <v>3455</v>
      </c>
      <c r="M1584" s="1" t="s">
        <v>3456</v>
      </c>
      <c r="N1584" s="1" t="s">
        <v>30</v>
      </c>
      <c r="O1584" s="1" t="s">
        <v>45</v>
      </c>
      <c r="P1584" s="1" t="s">
        <v>104</v>
      </c>
      <c r="Q1584" s="1" t="s">
        <v>105</v>
      </c>
      <c r="R1584" s="1" t="s">
        <v>33</v>
      </c>
      <c r="S1584" s="1"/>
      <c r="U1584" s="1" t="s">
        <v>35</v>
      </c>
      <c r="V1584" s="1" t="s">
        <v>154</v>
      </c>
      <c r="W1584" s="1" t="str">
        <f>VLOOKUP(Table1[[#This Row],[Obergruppe ATC-Code]],Tabelle3!$A$2:$B$100,2)</f>
        <v>ANTIMYKOTIKA ZUR SYSTEMISCHEN ANWENDUNG</v>
      </c>
      <c r="X1584" s="1" t="str">
        <f xml:space="preserve"> LEFT(Table1[[#This Row],[Atc Code]],3)</f>
        <v>J02</v>
      </c>
    </row>
    <row r="1585" spans="1:24" ht="14.4">
      <c r="A1585" s="14">
        <v>2686</v>
      </c>
      <c r="B1585" s="24" t="s">
        <v>3457</v>
      </c>
      <c r="C1585" s="1">
        <v>2191998</v>
      </c>
      <c r="D1585" s="1" t="s">
        <v>25</v>
      </c>
      <c r="E1585" s="36">
        <v>43922</v>
      </c>
      <c r="F1585" s="36">
        <v>44043</v>
      </c>
      <c r="G1585" s="38">
        <f t="shared" si="24"/>
        <v>121</v>
      </c>
      <c r="H1585" s="5">
        <v>43935</v>
      </c>
      <c r="I1585" s="5">
        <v>44006</v>
      </c>
      <c r="J1585" s="1" t="s">
        <v>41</v>
      </c>
      <c r="K1585" s="1" t="s">
        <v>3458</v>
      </c>
      <c r="L1585" s="1" t="s">
        <v>3455</v>
      </c>
      <c r="M1585" s="1" t="s">
        <v>3456</v>
      </c>
      <c r="N1585" s="1" t="s">
        <v>30</v>
      </c>
      <c r="O1585" s="1" t="s">
        <v>1284</v>
      </c>
      <c r="P1585" s="1">
        <v>895589090</v>
      </c>
      <c r="Q1585" s="1" t="s">
        <v>1286</v>
      </c>
      <c r="R1585" s="1" t="s">
        <v>165</v>
      </c>
      <c r="S1585" s="1"/>
      <c r="U1585" s="1" t="s">
        <v>35</v>
      </c>
      <c r="V1585" s="1" t="s">
        <v>154</v>
      </c>
      <c r="W1585" s="1" t="str">
        <f>VLOOKUP(Table1[[#This Row],[Obergruppe ATC-Code]],Tabelle3!$A$2:$B$100,2)</f>
        <v>ANTIMYKOTIKA ZUR SYSTEMISCHEN ANWENDUNG</v>
      </c>
      <c r="X1585" s="1" t="str">
        <f xml:space="preserve"> LEFT(Table1[[#This Row],[Atc Code]],3)</f>
        <v>J02</v>
      </c>
    </row>
    <row r="1586" spans="1:24" ht="14.4">
      <c r="A1586" s="14">
        <v>2585</v>
      </c>
      <c r="B1586" s="24" t="s">
        <v>3459</v>
      </c>
      <c r="C1586" s="1">
        <v>2187262</v>
      </c>
      <c r="D1586" s="1" t="s">
        <v>25</v>
      </c>
      <c r="E1586" s="36">
        <v>43891</v>
      </c>
      <c r="F1586" s="36">
        <v>44196</v>
      </c>
      <c r="G1586" s="38">
        <f t="shared" si="24"/>
        <v>305</v>
      </c>
      <c r="H1586" s="5">
        <v>43921</v>
      </c>
      <c r="I1586" s="5">
        <v>44084</v>
      </c>
      <c r="J1586" s="1" t="s">
        <v>26</v>
      </c>
      <c r="K1586" s="1" t="s">
        <v>3460</v>
      </c>
      <c r="L1586" s="1" t="s">
        <v>3455</v>
      </c>
      <c r="M1586" s="1" t="s">
        <v>3456</v>
      </c>
      <c r="N1586" s="1" t="s">
        <v>30</v>
      </c>
      <c r="O1586" s="1" t="s">
        <v>45</v>
      </c>
      <c r="P1586" s="1" t="s">
        <v>104</v>
      </c>
      <c r="Q1586" s="1" t="s">
        <v>105</v>
      </c>
      <c r="R1586" s="1" t="s">
        <v>33</v>
      </c>
      <c r="S1586" s="1"/>
      <c r="U1586" s="1" t="s">
        <v>35</v>
      </c>
      <c r="V1586" s="1" t="s">
        <v>99</v>
      </c>
      <c r="W1586" s="1" t="str">
        <f>VLOOKUP(Table1[[#This Row],[Obergruppe ATC-Code]],Tabelle3!$A$2:$B$100,2)</f>
        <v>ANTIMYKOTIKA ZUR SYSTEMISCHEN ANWENDUNG</v>
      </c>
      <c r="X1586" s="1" t="str">
        <f xml:space="preserve"> LEFT(Table1[[#This Row],[Atc Code]],3)</f>
        <v>J02</v>
      </c>
    </row>
    <row r="1587" spans="1:24" ht="14.4">
      <c r="A1587" s="14">
        <v>2685</v>
      </c>
      <c r="B1587" s="24" t="s">
        <v>3457</v>
      </c>
      <c r="C1587" s="1">
        <v>2191998</v>
      </c>
      <c r="D1587" s="1" t="s">
        <v>25</v>
      </c>
      <c r="E1587" s="36">
        <v>43952</v>
      </c>
      <c r="F1587" s="36">
        <v>44496</v>
      </c>
      <c r="G1587" s="38">
        <f t="shared" si="24"/>
        <v>544</v>
      </c>
      <c r="H1587" s="5">
        <v>44337</v>
      </c>
      <c r="I1587" s="5">
        <v>44496</v>
      </c>
      <c r="J1587" s="1" t="s">
        <v>41</v>
      </c>
      <c r="K1587" s="1" t="s">
        <v>3458</v>
      </c>
      <c r="L1587" s="1" t="s">
        <v>3455</v>
      </c>
      <c r="M1587" s="1" t="s">
        <v>3456</v>
      </c>
      <c r="N1587" s="1" t="s">
        <v>30</v>
      </c>
      <c r="O1587" s="1" t="s">
        <v>1284</v>
      </c>
      <c r="P1587" s="1">
        <v>895589090</v>
      </c>
      <c r="Q1587" s="1" t="s">
        <v>1286</v>
      </c>
      <c r="R1587" s="1" t="s">
        <v>165</v>
      </c>
      <c r="S1587" s="1"/>
      <c r="U1587" s="1" t="s">
        <v>35</v>
      </c>
      <c r="V1587" s="1" t="s">
        <v>154</v>
      </c>
      <c r="W1587" s="1" t="str">
        <f>VLOOKUP(Table1[[#This Row],[Obergruppe ATC-Code]],Tabelle3!$A$2:$B$100,2)</f>
        <v>ANTIMYKOTIKA ZUR SYSTEMISCHEN ANWENDUNG</v>
      </c>
      <c r="X1587" s="1" t="str">
        <f xml:space="preserve"> LEFT(Table1[[#This Row],[Atc Code]],3)</f>
        <v>J02</v>
      </c>
    </row>
    <row r="1588" spans="1:24" ht="14.4">
      <c r="A1588" s="14">
        <v>439</v>
      </c>
      <c r="B1588" s="24">
        <v>2704662</v>
      </c>
      <c r="C1588" s="1">
        <v>2701645</v>
      </c>
      <c r="D1588" s="1" t="s">
        <v>25</v>
      </c>
      <c r="E1588" s="36">
        <v>44593</v>
      </c>
      <c r="F1588" s="36">
        <v>44740</v>
      </c>
      <c r="G1588" s="38">
        <f t="shared" si="24"/>
        <v>147</v>
      </c>
      <c r="H1588" s="5">
        <v>44593</v>
      </c>
      <c r="I1588" s="5">
        <v>44740</v>
      </c>
      <c r="J1588" s="1" t="s">
        <v>26</v>
      </c>
      <c r="K1588" s="1" t="s">
        <v>3461</v>
      </c>
      <c r="L1588" s="1" t="s">
        <v>3455</v>
      </c>
      <c r="M1588" s="1" t="s">
        <v>3456</v>
      </c>
      <c r="N1588" s="1" t="s">
        <v>30</v>
      </c>
      <c r="O1588" s="1" t="s">
        <v>2274</v>
      </c>
      <c r="P1588" s="1" t="s">
        <v>1254</v>
      </c>
      <c r="Q1588" s="1" t="s">
        <v>331</v>
      </c>
      <c r="R1588" s="1" t="s">
        <v>26</v>
      </c>
      <c r="S1588" s="1"/>
      <c r="T1588" s="1" t="s">
        <v>3462</v>
      </c>
      <c r="U1588" s="1" t="s">
        <v>35</v>
      </c>
      <c r="V1588" s="1" t="s">
        <v>1151</v>
      </c>
      <c r="W1588" s="1" t="str">
        <f>VLOOKUP(Table1[[#This Row],[Obergruppe ATC-Code]],Tabelle3!$A$2:$B$100,2)</f>
        <v>ANTIMYKOTIKA ZUR SYSTEMISCHEN ANWENDUNG</v>
      </c>
      <c r="X1588" s="1" t="str">
        <f xml:space="preserve"> LEFT(Table1[[#This Row],[Atc Code]],3)</f>
        <v>J02</v>
      </c>
    </row>
    <row r="1589" spans="1:24" ht="14.4">
      <c r="A1589" s="14">
        <v>1454</v>
      </c>
      <c r="B1589" s="24">
        <v>14360860</v>
      </c>
      <c r="C1589" s="1">
        <v>2196924</v>
      </c>
      <c r="D1589" s="1" t="s">
        <v>25</v>
      </c>
      <c r="E1589" s="36">
        <v>44927</v>
      </c>
      <c r="F1589" s="36">
        <v>45200</v>
      </c>
      <c r="G1589" s="38">
        <f t="shared" si="24"/>
        <v>273</v>
      </c>
      <c r="H1589" s="5">
        <v>44992</v>
      </c>
      <c r="I1589" s="5">
        <v>45194</v>
      </c>
      <c r="J1589" s="1" t="s">
        <v>41</v>
      </c>
      <c r="K1589" s="1" t="s">
        <v>3463</v>
      </c>
      <c r="L1589" s="1" t="s">
        <v>3455</v>
      </c>
      <c r="M1589" s="1" t="s">
        <v>3456</v>
      </c>
      <c r="N1589" s="1" t="s">
        <v>38</v>
      </c>
      <c r="O1589" s="1" t="s">
        <v>162</v>
      </c>
      <c r="P1589" s="1" t="s">
        <v>163</v>
      </c>
      <c r="R1589" s="1" t="s">
        <v>128</v>
      </c>
      <c r="S1589" s="1" t="s">
        <v>3464</v>
      </c>
      <c r="U1589" s="1" t="s">
        <v>130</v>
      </c>
      <c r="V1589" s="1" t="s">
        <v>154</v>
      </c>
      <c r="W1589" s="1" t="str">
        <f>VLOOKUP(Table1[[#This Row],[Obergruppe ATC-Code]],Tabelle3!$A$2:$B$100,2)</f>
        <v>ANTIMYKOTIKA ZUR SYSTEMISCHEN ANWENDUNG</v>
      </c>
      <c r="X1589" s="1" t="str">
        <f xml:space="preserve"> LEFT(Table1[[#This Row],[Atc Code]],3)</f>
        <v>J02</v>
      </c>
    </row>
    <row r="1590" spans="1:24" ht="14.4">
      <c r="A1590" s="14">
        <v>497</v>
      </c>
      <c r="B1590" s="24">
        <v>3094007</v>
      </c>
      <c r="C1590" s="1">
        <v>2702539</v>
      </c>
      <c r="D1590" s="1" t="s">
        <v>25</v>
      </c>
      <c r="E1590" s="36">
        <v>45166</v>
      </c>
      <c r="F1590" s="36">
        <v>45197</v>
      </c>
      <c r="G1590" s="38">
        <f t="shared" si="24"/>
        <v>31</v>
      </c>
      <c r="H1590" s="5">
        <v>45135</v>
      </c>
      <c r="I1590" s="5">
        <v>45197</v>
      </c>
      <c r="J1590" s="1" t="s">
        <v>26</v>
      </c>
      <c r="K1590" s="1" t="s">
        <v>3465</v>
      </c>
      <c r="L1590" s="1" t="s">
        <v>3455</v>
      </c>
      <c r="M1590" s="1" t="s">
        <v>3456</v>
      </c>
      <c r="N1590" s="1" t="s">
        <v>30</v>
      </c>
      <c r="O1590" s="1" t="s">
        <v>2274</v>
      </c>
      <c r="P1590" s="1" t="s">
        <v>1153</v>
      </c>
      <c r="Q1590" s="1" t="s">
        <v>331</v>
      </c>
      <c r="R1590" s="1" t="s">
        <v>142</v>
      </c>
      <c r="S1590" s="1"/>
      <c r="U1590" s="1" t="s">
        <v>35</v>
      </c>
      <c r="V1590" s="1" t="s">
        <v>259</v>
      </c>
      <c r="W1590" s="1" t="str">
        <f>VLOOKUP(Table1[[#This Row],[Obergruppe ATC-Code]],Tabelle3!$A$2:$B$100,2)</f>
        <v>ANTIMYKOTIKA ZUR SYSTEMISCHEN ANWENDUNG</v>
      </c>
      <c r="X1590" s="1" t="str">
        <f xml:space="preserve"> LEFT(Table1[[#This Row],[Atc Code]],3)</f>
        <v>J02</v>
      </c>
    </row>
    <row r="1591" spans="1:24" ht="15.6">
      <c r="A1591" s="14">
        <v>3103</v>
      </c>
      <c r="B1591" s="41">
        <v>40577</v>
      </c>
      <c r="C1591" s="1">
        <v>2702966</v>
      </c>
      <c r="D1591" s="1" t="s">
        <v>25</v>
      </c>
      <c r="E1591" s="36">
        <v>43070</v>
      </c>
      <c r="F1591" s="36">
        <v>43190</v>
      </c>
      <c r="G1591" s="38">
        <f t="shared" si="24"/>
        <v>120</v>
      </c>
      <c r="H1591" s="5">
        <v>43089</v>
      </c>
      <c r="I1591" s="5">
        <v>43147</v>
      </c>
      <c r="J1591" s="1" t="s">
        <v>26</v>
      </c>
      <c r="K1591" s="1" t="s">
        <v>3466</v>
      </c>
      <c r="L1591" s="1" t="s">
        <v>3467</v>
      </c>
      <c r="M1591" s="1" t="s">
        <v>3468</v>
      </c>
      <c r="N1591" s="1" t="s">
        <v>38</v>
      </c>
      <c r="O1591" s="1" t="s">
        <v>255</v>
      </c>
      <c r="P1591" s="1" t="s">
        <v>256</v>
      </c>
      <c r="Q1591" s="1" t="s">
        <v>257</v>
      </c>
      <c r="R1591" s="1" t="s">
        <v>33</v>
      </c>
      <c r="S1591" s="1"/>
      <c r="U1591" s="1" t="s">
        <v>35</v>
      </c>
      <c r="V1591" s="1" t="s">
        <v>2924</v>
      </c>
      <c r="W1591" s="1" t="str">
        <f>VLOOKUP(Table1[[#This Row],[Obergruppe ATC-Code]],Tabelle3!$A$2:$B$100,2)</f>
        <v>ANTIMYKOTIKA ZUR SYSTEMISCHEN ANWENDUNG</v>
      </c>
      <c r="X1591" s="1" t="str">
        <f xml:space="preserve"> LEFT(Table1[[#This Row],[Atc Code]],3)</f>
        <v>J02</v>
      </c>
    </row>
    <row r="1592" spans="1:24" ht="14.4">
      <c r="A1592" s="14">
        <v>1170</v>
      </c>
      <c r="B1592" s="24">
        <v>10006297</v>
      </c>
      <c r="C1592" s="1">
        <v>2711505</v>
      </c>
      <c r="D1592" s="1" t="s">
        <v>25</v>
      </c>
      <c r="E1592" s="36">
        <v>45140</v>
      </c>
      <c r="F1592" s="36">
        <v>45169</v>
      </c>
      <c r="G1592" s="38">
        <f t="shared" si="24"/>
        <v>29</v>
      </c>
      <c r="H1592" s="5">
        <v>45140</v>
      </c>
      <c r="I1592" s="5">
        <v>45170</v>
      </c>
      <c r="J1592" s="1" t="s">
        <v>41</v>
      </c>
      <c r="K1592" s="1" t="s">
        <v>3469</v>
      </c>
      <c r="L1592" s="1" t="s">
        <v>3467</v>
      </c>
      <c r="M1592" s="1" t="s">
        <v>3468</v>
      </c>
      <c r="N1592" s="1" t="s">
        <v>30</v>
      </c>
      <c r="O1592" s="1" t="s">
        <v>590</v>
      </c>
      <c r="P1592" s="1">
        <v>8945611273</v>
      </c>
      <c r="Q1592" s="1" t="s">
        <v>3470</v>
      </c>
      <c r="R1592" s="1" t="s">
        <v>26</v>
      </c>
      <c r="S1592" s="1" t="s">
        <v>3151</v>
      </c>
      <c r="U1592" s="1" t="s">
        <v>35</v>
      </c>
      <c r="V1592" s="1" t="s">
        <v>279</v>
      </c>
      <c r="W1592" s="1" t="str">
        <f>VLOOKUP(Table1[[#This Row],[Obergruppe ATC-Code]],Tabelle3!$A$2:$B$100,2)</f>
        <v>ANTIMYKOTIKA ZUR SYSTEMISCHEN ANWENDUNG</v>
      </c>
      <c r="X1592" s="1" t="str">
        <f xml:space="preserve"> LEFT(Table1[[#This Row],[Atc Code]],3)</f>
        <v>J02</v>
      </c>
    </row>
    <row r="1593" spans="1:24" ht="14.4">
      <c r="A1593" s="14">
        <v>1309</v>
      </c>
      <c r="B1593" s="24">
        <v>12502965</v>
      </c>
      <c r="C1593" s="1">
        <v>2712842</v>
      </c>
      <c r="D1593" s="1" t="s">
        <v>25</v>
      </c>
      <c r="E1593" s="36">
        <v>44317</v>
      </c>
      <c r="F1593" s="36">
        <v>44355</v>
      </c>
      <c r="G1593" s="38">
        <f t="shared" si="24"/>
        <v>38</v>
      </c>
      <c r="H1593" s="5">
        <v>44330</v>
      </c>
      <c r="I1593" s="5">
        <v>44398</v>
      </c>
      <c r="J1593" s="1" t="s">
        <v>41</v>
      </c>
      <c r="K1593" s="1" t="s">
        <v>3471</v>
      </c>
      <c r="L1593" s="1" t="s">
        <v>3472</v>
      </c>
      <c r="M1593" s="1" t="s">
        <v>3473</v>
      </c>
      <c r="N1593" s="1" t="s">
        <v>30</v>
      </c>
      <c r="O1593" s="1" t="s">
        <v>3474</v>
      </c>
      <c r="P1593" s="1" t="s">
        <v>326</v>
      </c>
      <c r="Q1593" s="1" t="s">
        <v>327</v>
      </c>
      <c r="R1593" s="1" t="s">
        <v>48</v>
      </c>
      <c r="S1593" s="1"/>
      <c r="U1593" s="1" t="s">
        <v>35</v>
      </c>
      <c r="V1593" s="1" t="s">
        <v>3155</v>
      </c>
      <c r="W1593" s="1" t="str">
        <f>VLOOKUP(Table1[[#This Row],[Obergruppe ATC-Code]],Tabelle3!$A$2:$B$100,2)</f>
        <v>ANTIMYKOTIKA ZUR SYSTEMISCHEN ANWENDUNG</v>
      </c>
      <c r="X1593" s="1" t="str">
        <f xml:space="preserve"> LEFT(Table1[[#This Row],[Atc Code]],3)</f>
        <v>J02</v>
      </c>
    </row>
    <row r="1594" spans="1:24" ht="14.4">
      <c r="A1594" s="14">
        <v>1310</v>
      </c>
      <c r="B1594" s="24">
        <v>12502965</v>
      </c>
      <c r="C1594" s="1">
        <v>2712842</v>
      </c>
      <c r="D1594" s="1" t="s">
        <v>25</v>
      </c>
      <c r="E1594" s="36">
        <v>44551</v>
      </c>
      <c r="F1594" s="36">
        <v>44603</v>
      </c>
      <c r="G1594" s="38">
        <f t="shared" si="24"/>
        <v>52</v>
      </c>
      <c r="H1594" s="5">
        <v>44551</v>
      </c>
      <c r="I1594" s="5">
        <v>44603</v>
      </c>
      <c r="J1594" s="1" t="s">
        <v>26</v>
      </c>
      <c r="K1594" s="1" t="s">
        <v>3471</v>
      </c>
      <c r="L1594" s="1" t="s">
        <v>3472</v>
      </c>
      <c r="M1594" s="1" t="s">
        <v>3473</v>
      </c>
      <c r="N1594" s="1" t="s">
        <v>30</v>
      </c>
      <c r="O1594" s="1" t="s">
        <v>3474</v>
      </c>
      <c r="P1594" s="1" t="s">
        <v>1259</v>
      </c>
      <c r="Q1594" s="1" t="s">
        <v>331</v>
      </c>
      <c r="R1594" s="1" t="s">
        <v>113</v>
      </c>
      <c r="S1594" s="1"/>
      <c r="U1594" s="1" t="s">
        <v>35</v>
      </c>
      <c r="V1594" s="1" t="s">
        <v>3155</v>
      </c>
      <c r="W1594" s="1" t="str">
        <f>VLOOKUP(Table1[[#This Row],[Obergruppe ATC-Code]],Tabelle3!$A$2:$B$100,2)</f>
        <v>ANTIMYKOTIKA ZUR SYSTEMISCHEN ANWENDUNG</v>
      </c>
      <c r="X1594" s="1" t="str">
        <f xml:space="preserve"> LEFT(Table1[[#This Row],[Atc Code]],3)</f>
        <v>J02</v>
      </c>
    </row>
    <row r="1595" spans="1:24" ht="14.4">
      <c r="A1595" s="14">
        <v>309</v>
      </c>
      <c r="B1595" s="24">
        <v>1952085</v>
      </c>
      <c r="C1595" s="1">
        <v>28748</v>
      </c>
      <c r="D1595" s="1" t="s">
        <v>25</v>
      </c>
      <c r="E1595" s="36">
        <v>44075</v>
      </c>
      <c r="F1595" s="36">
        <v>44135</v>
      </c>
      <c r="G1595" s="38">
        <f t="shared" si="24"/>
        <v>60</v>
      </c>
      <c r="H1595" s="5">
        <v>44102</v>
      </c>
      <c r="I1595" s="5">
        <v>44127</v>
      </c>
      <c r="J1595" s="1" t="s">
        <v>41</v>
      </c>
      <c r="K1595" s="1" t="s">
        <v>3475</v>
      </c>
      <c r="L1595" s="1" t="s">
        <v>3476</v>
      </c>
      <c r="M1595" s="1" t="s">
        <v>3477</v>
      </c>
      <c r="N1595" s="1" t="s">
        <v>30</v>
      </c>
      <c r="O1595" s="1" t="s">
        <v>1114</v>
      </c>
      <c r="P1595" s="1" t="s">
        <v>1072</v>
      </c>
      <c r="Q1595" s="1" t="s">
        <v>1698</v>
      </c>
      <c r="R1595" s="1" t="s">
        <v>165</v>
      </c>
      <c r="S1595" s="1"/>
      <c r="U1595" s="1" t="s">
        <v>35</v>
      </c>
      <c r="V1595" s="1" t="s">
        <v>648</v>
      </c>
      <c r="W1595" s="1" t="str">
        <f>VLOOKUP(Table1[[#This Row],[Obergruppe ATC-Code]],Tabelle3!$A$2:$B$100,2)</f>
        <v>ANTIMYKOTIKA ZUR SYSTEMISCHEN ANWENDUNG</v>
      </c>
      <c r="X1595" s="1" t="str">
        <f xml:space="preserve"> LEFT(Table1[[#This Row],[Atc Code]],3)</f>
        <v>J02</v>
      </c>
    </row>
    <row r="1596" spans="1:24" ht="14.4">
      <c r="A1596" s="14">
        <v>308</v>
      </c>
      <c r="B1596" s="24">
        <v>1952085</v>
      </c>
      <c r="C1596" s="1">
        <v>28748</v>
      </c>
      <c r="D1596" s="1" t="s">
        <v>25</v>
      </c>
      <c r="E1596" s="36">
        <v>44197</v>
      </c>
      <c r="F1596" s="36">
        <v>44561</v>
      </c>
      <c r="G1596" s="38">
        <f t="shared" si="24"/>
        <v>364</v>
      </c>
      <c r="H1596" s="5">
        <v>44223</v>
      </c>
      <c r="I1596" s="5">
        <v>44539</v>
      </c>
      <c r="J1596" s="1" t="s">
        <v>41</v>
      </c>
      <c r="K1596" s="1" t="s">
        <v>3475</v>
      </c>
      <c r="L1596" s="1" t="s">
        <v>3476</v>
      </c>
      <c r="M1596" s="1" t="s">
        <v>3477</v>
      </c>
      <c r="N1596" s="1" t="s">
        <v>38</v>
      </c>
      <c r="O1596" s="1" t="s">
        <v>1114</v>
      </c>
      <c r="P1596" s="1" t="s">
        <v>1072</v>
      </c>
      <c r="Q1596" s="1" t="s">
        <v>1698</v>
      </c>
      <c r="R1596" s="1" t="s">
        <v>26</v>
      </c>
      <c r="S1596" s="1"/>
      <c r="U1596" s="1" t="s">
        <v>57</v>
      </c>
      <c r="V1596" s="1" t="s">
        <v>648</v>
      </c>
      <c r="W1596" s="1" t="str">
        <f>VLOOKUP(Table1[[#This Row],[Obergruppe ATC-Code]],Tabelle3!$A$2:$B$100,2)</f>
        <v>ANTIMYKOTIKA ZUR SYSTEMISCHEN ANWENDUNG</v>
      </c>
      <c r="X1596" s="1" t="str">
        <f xml:space="preserve"> LEFT(Table1[[#This Row],[Atc Code]],3)</f>
        <v>J02</v>
      </c>
    </row>
    <row r="1597" spans="1:24" ht="14.4">
      <c r="A1597" s="14">
        <v>2285</v>
      </c>
      <c r="B1597" s="24" t="s">
        <v>3478</v>
      </c>
      <c r="C1597" s="1">
        <v>2701579</v>
      </c>
      <c r="D1597" s="1" t="s">
        <v>25</v>
      </c>
      <c r="E1597" s="36">
        <v>42948</v>
      </c>
      <c r="F1597" s="36">
        <v>43008</v>
      </c>
      <c r="G1597" s="38">
        <f t="shared" si="24"/>
        <v>60</v>
      </c>
      <c r="H1597" s="5">
        <v>42940</v>
      </c>
      <c r="I1597" s="5">
        <v>42958</v>
      </c>
      <c r="J1597" s="1" t="s">
        <v>26</v>
      </c>
      <c r="K1597" s="1" t="s">
        <v>3479</v>
      </c>
      <c r="L1597" s="1" t="s">
        <v>3480</v>
      </c>
      <c r="M1597" s="1" t="s">
        <v>3481</v>
      </c>
      <c r="N1597" s="1" t="s">
        <v>30</v>
      </c>
      <c r="O1597" s="1" t="s">
        <v>255</v>
      </c>
      <c r="P1597" s="1" t="s">
        <v>256</v>
      </c>
      <c r="Q1597" s="1" t="s">
        <v>257</v>
      </c>
      <c r="R1597" s="1" t="s">
        <v>33</v>
      </c>
      <c r="S1597" s="1"/>
      <c r="T1597" s="1" t="s">
        <v>3482</v>
      </c>
      <c r="U1597" s="1" t="s">
        <v>35</v>
      </c>
      <c r="V1597" s="1" t="s">
        <v>3155</v>
      </c>
      <c r="W1597" s="1" t="str">
        <f>VLOOKUP(Table1[[#This Row],[Obergruppe ATC-Code]],Tabelle3!$A$2:$B$100,2)</f>
        <v>ANTIMYKOTIKA ZUR SYSTEMISCHEN ANWENDUNG</v>
      </c>
      <c r="X1597" s="1" t="str">
        <f xml:space="preserve"> LEFT(Table1[[#This Row],[Atc Code]],3)</f>
        <v>J02</v>
      </c>
    </row>
    <row r="1598" spans="1:24" ht="14.4">
      <c r="A1598" s="14">
        <v>2113</v>
      </c>
      <c r="B1598" s="24" t="s">
        <v>3483</v>
      </c>
      <c r="C1598" s="1">
        <v>2701581</v>
      </c>
      <c r="D1598" s="1" t="s">
        <v>25</v>
      </c>
      <c r="E1598" s="36">
        <v>42948</v>
      </c>
      <c r="F1598" s="36">
        <v>43008</v>
      </c>
      <c r="G1598" s="38">
        <f t="shared" si="24"/>
        <v>60</v>
      </c>
      <c r="H1598" s="5">
        <v>42940</v>
      </c>
      <c r="I1598" s="5">
        <v>42958</v>
      </c>
      <c r="J1598" s="1" t="s">
        <v>26</v>
      </c>
      <c r="K1598" s="1" t="s">
        <v>3484</v>
      </c>
      <c r="L1598" s="1" t="s">
        <v>3480</v>
      </c>
      <c r="M1598" s="1" t="s">
        <v>3481</v>
      </c>
      <c r="N1598" s="1" t="s">
        <v>30</v>
      </c>
      <c r="O1598" s="1" t="s">
        <v>255</v>
      </c>
      <c r="P1598" s="1" t="s">
        <v>256</v>
      </c>
      <c r="Q1598" s="1" t="s">
        <v>257</v>
      </c>
      <c r="R1598" s="1" t="s">
        <v>33</v>
      </c>
      <c r="S1598" s="1"/>
      <c r="T1598" s="1" t="s">
        <v>3482</v>
      </c>
      <c r="U1598" s="1" t="s">
        <v>35</v>
      </c>
      <c r="V1598" s="1" t="s">
        <v>279</v>
      </c>
      <c r="W1598" s="1" t="str">
        <f>VLOOKUP(Table1[[#This Row],[Obergruppe ATC-Code]],Tabelle3!$A$2:$B$100,2)</f>
        <v>ANTIMYKOTIKA ZUR SYSTEMISCHEN ANWENDUNG</v>
      </c>
      <c r="X1598" s="1" t="str">
        <f xml:space="preserve"> LEFT(Table1[[#This Row],[Atc Code]],3)</f>
        <v>J02</v>
      </c>
    </row>
    <row r="1599" spans="1:24" ht="14.4">
      <c r="A1599" s="14">
        <v>2733</v>
      </c>
      <c r="B1599" s="24" t="s">
        <v>3485</v>
      </c>
      <c r="C1599" s="1">
        <v>2195891</v>
      </c>
      <c r="D1599" s="1" t="s">
        <v>25</v>
      </c>
      <c r="E1599" s="36">
        <v>43739</v>
      </c>
      <c r="F1599" s="36">
        <v>43830</v>
      </c>
      <c r="G1599" s="38">
        <f t="shared" si="24"/>
        <v>91</v>
      </c>
      <c r="H1599" s="5">
        <v>43754</v>
      </c>
      <c r="I1599" s="5">
        <v>43837</v>
      </c>
      <c r="J1599" s="1" t="s">
        <v>41</v>
      </c>
      <c r="K1599" s="1" t="s">
        <v>3486</v>
      </c>
      <c r="L1599" s="1" t="s">
        <v>3480</v>
      </c>
      <c r="M1599" s="1" t="s">
        <v>3481</v>
      </c>
      <c r="N1599" s="1" t="s">
        <v>30</v>
      </c>
      <c r="O1599" s="1" t="s">
        <v>91</v>
      </c>
      <c r="P1599" s="1" t="s">
        <v>92</v>
      </c>
      <c r="Q1599" s="1" t="s">
        <v>93</v>
      </c>
      <c r="R1599" s="1" t="s">
        <v>48</v>
      </c>
      <c r="S1599" s="1"/>
      <c r="U1599" s="1" t="s">
        <v>35</v>
      </c>
      <c r="V1599" s="1" t="s">
        <v>3155</v>
      </c>
      <c r="W1599" s="1" t="str">
        <f>VLOOKUP(Table1[[#This Row],[Obergruppe ATC-Code]],Tabelle3!$A$2:$B$100,2)</f>
        <v>ANTIMYKOTIKA ZUR SYSTEMISCHEN ANWENDUNG</v>
      </c>
      <c r="X1599" s="1" t="str">
        <f xml:space="preserve"> LEFT(Table1[[#This Row],[Atc Code]],3)</f>
        <v>J02</v>
      </c>
    </row>
    <row r="1600" spans="1:24" ht="14.4">
      <c r="A1600" s="14">
        <v>1354</v>
      </c>
      <c r="B1600" s="24">
        <v>12978455</v>
      </c>
      <c r="C1600" s="1">
        <v>2199223</v>
      </c>
      <c r="D1600" s="1" t="s">
        <v>25</v>
      </c>
      <c r="E1600" s="36">
        <v>43497</v>
      </c>
      <c r="F1600" s="36">
        <v>43616</v>
      </c>
      <c r="G1600" s="38">
        <f t="shared" si="24"/>
        <v>119</v>
      </c>
      <c r="H1600" s="5">
        <v>43487</v>
      </c>
      <c r="I1600" s="5">
        <v>43620</v>
      </c>
      <c r="J1600" s="1" t="s">
        <v>41</v>
      </c>
      <c r="K1600" s="1" t="s">
        <v>3487</v>
      </c>
      <c r="L1600" s="1" t="s">
        <v>3488</v>
      </c>
      <c r="M1600" s="1" t="s">
        <v>3489</v>
      </c>
      <c r="N1600" s="1" t="s">
        <v>30</v>
      </c>
      <c r="O1600" s="1" t="s">
        <v>45</v>
      </c>
      <c r="P1600" s="1" t="s">
        <v>71</v>
      </c>
      <c r="Q1600" s="1" t="s">
        <v>47</v>
      </c>
      <c r="R1600" s="1" t="s">
        <v>26</v>
      </c>
      <c r="S1600" s="1"/>
      <c r="T1600" s="1" t="s">
        <v>2777</v>
      </c>
      <c r="U1600" s="1" t="s">
        <v>35</v>
      </c>
      <c r="V1600" s="1" t="s">
        <v>3155</v>
      </c>
      <c r="W1600" s="1" t="str">
        <f>VLOOKUP(Table1[[#This Row],[Obergruppe ATC-Code]],Tabelle3!$A$2:$B$100,2)</f>
        <v>ANTIMYKOTIKA ZUR SYSTEMISCHEN ANWENDUNG</v>
      </c>
      <c r="X1600" s="1" t="str">
        <f xml:space="preserve"> LEFT(Table1[[#This Row],[Atc Code]],3)</f>
        <v>J02</v>
      </c>
    </row>
    <row r="1601" spans="1:24" ht="14.4">
      <c r="A1601" s="14">
        <v>1494</v>
      </c>
      <c r="B1601" s="25">
        <v>15586307</v>
      </c>
      <c r="C1601" s="1">
        <v>2705491</v>
      </c>
      <c r="D1601" s="1" t="s">
        <v>25</v>
      </c>
      <c r="E1601" s="36">
        <v>44013</v>
      </c>
      <c r="F1601" s="36">
        <v>44043</v>
      </c>
      <c r="G1601" s="38">
        <f t="shared" si="24"/>
        <v>30</v>
      </c>
      <c r="H1601" s="5">
        <v>43978</v>
      </c>
      <c r="I1601" s="5">
        <v>44035</v>
      </c>
      <c r="J1601" s="1" t="s">
        <v>41</v>
      </c>
      <c r="K1601" s="1" t="s">
        <v>3490</v>
      </c>
      <c r="L1601" s="1" t="s">
        <v>3488</v>
      </c>
      <c r="M1601" s="1" t="s">
        <v>3489</v>
      </c>
      <c r="N1601" s="1" t="s">
        <v>30</v>
      </c>
      <c r="O1601" s="1" t="s">
        <v>3491</v>
      </c>
      <c r="P1601" s="1" t="s">
        <v>326</v>
      </c>
      <c r="Q1601" s="1" t="s">
        <v>327</v>
      </c>
      <c r="R1601" s="1" t="s">
        <v>26</v>
      </c>
      <c r="S1601" s="1"/>
      <c r="T1601" s="1" t="s">
        <v>3492</v>
      </c>
      <c r="U1601" s="1" t="s">
        <v>35</v>
      </c>
      <c r="V1601" s="1" t="s">
        <v>3155</v>
      </c>
      <c r="W1601" s="1" t="str">
        <f>VLOOKUP(Table1[[#This Row],[Obergruppe ATC-Code]],Tabelle3!$A$2:$B$100,2)</f>
        <v>ANTIMYKOTIKA ZUR SYSTEMISCHEN ANWENDUNG</v>
      </c>
      <c r="X1601" s="1" t="str">
        <f xml:space="preserve"> LEFT(Table1[[#This Row],[Atc Code]],3)</f>
        <v>J02</v>
      </c>
    </row>
    <row r="1602" spans="1:24" ht="14.4">
      <c r="A1602" s="14">
        <v>1493</v>
      </c>
      <c r="B1602" s="25">
        <v>15586307</v>
      </c>
      <c r="C1602" s="1">
        <v>2705491</v>
      </c>
      <c r="D1602" s="1" t="s">
        <v>25</v>
      </c>
      <c r="E1602" s="36">
        <v>44256</v>
      </c>
      <c r="F1602" s="36">
        <v>44372</v>
      </c>
      <c r="G1602" s="38">
        <f t="shared" ref="G1602:G1665" si="25">F1602-E1602</f>
        <v>116</v>
      </c>
      <c r="H1602" s="5">
        <v>44273</v>
      </c>
      <c r="I1602" s="5">
        <v>44398</v>
      </c>
      <c r="J1602" s="1" t="s">
        <v>41</v>
      </c>
      <c r="K1602" s="1" t="s">
        <v>3490</v>
      </c>
      <c r="L1602" s="1" t="s">
        <v>3488</v>
      </c>
      <c r="M1602" s="1" t="s">
        <v>3489</v>
      </c>
      <c r="N1602" s="1" t="s">
        <v>30</v>
      </c>
      <c r="O1602" s="1" t="s">
        <v>3491</v>
      </c>
      <c r="P1602" s="1" t="s">
        <v>326</v>
      </c>
      <c r="Q1602" s="1" t="s">
        <v>327</v>
      </c>
      <c r="R1602" s="1" t="s">
        <v>26</v>
      </c>
      <c r="S1602" s="1"/>
      <c r="T1602" s="1" t="s">
        <v>3492</v>
      </c>
      <c r="U1602" s="1" t="s">
        <v>35</v>
      </c>
      <c r="V1602" s="1" t="s">
        <v>3155</v>
      </c>
      <c r="W1602" s="1" t="str">
        <f>VLOOKUP(Table1[[#This Row],[Obergruppe ATC-Code]],Tabelle3!$A$2:$B$100,2)</f>
        <v>ANTIMYKOTIKA ZUR SYSTEMISCHEN ANWENDUNG</v>
      </c>
      <c r="X1602" s="1" t="str">
        <f xml:space="preserve"> LEFT(Table1[[#This Row],[Atc Code]],3)</f>
        <v>J02</v>
      </c>
    </row>
    <row r="1603" spans="1:24" ht="14.4">
      <c r="A1603" s="14">
        <v>1517</v>
      </c>
      <c r="B1603" s="24">
        <v>16206034</v>
      </c>
      <c r="C1603" s="1">
        <v>2203378</v>
      </c>
      <c r="D1603" s="1" t="s">
        <v>25</v>
      </c>
      <c r="E1603" s="36">
        <v>44803</v>
      </c>
      <c r="F1603" s="36">
        <v>44926</v>
      </c>
      <c r="G1603" s="38">
        <f t="shared" si="25"/>
        <v>123</v>
      </c>
      <c r="H1603" s="5">
        <v>44827</v>
      </c>
      <c r="I1603" s="5">
        <v>44917</v>
      </c>
      <c r="J1603" s="1" t="s">
        <v>26</v>
      </c>
      <c r="K1603" s="1" t="s">
        <v>3493</v>
      </c>
      <c r="L1603" s="1" t="s">
        <v>3488</v>
      </c>
      <c r="M1603" s="1" t="s">
        <v>3489</v>
      </c>
      <c r="N1603" s="1" t="s">
        <v>38</v>
      </c>
      <c r="O1603" s="1" t="s">
        <v>1697</v>
      </c>
      <c r="P1603" s="1" t="s">
        <v>823</v>
      </c>
      <c r="Q1603" s="1" t="s">
        <v>824</v>
      </c>
      <c r="R1603" s="1" t="s">
        <v>26</v>
      </c>
      <c r="S1603" s="1" t="s">
        <v>3494</v>
      </c>
      <c r="U1603" s="1" t="s">
        <v>130</v>
      </c>
      <c r="V1603" s="1" t="s">
        <v>3155</v>
      </c>
      <c r="W1603" s="1" t="str">
        <f>VLOOKUP(Table1[[#This Row],[Obergruppe ATC-Code]],Tabelle3!$A$2:$B$100,2)</f>
        <v>ANTIMYKOTIKA ZUR SYSTEMISCHEN ANWENDUNG</v>
      </c>
      <c r="X1603" s="1" t="str">
        <f xml:space="preserve"> LEFT(Table1[[#This Row],[Atc Code]],3)</f>
        <v>J02</v>
      </c>
    </row>
    <row r="1604" spans="1:24" ht="14.4">
      <c r="A1604" s="14">
        <v>1355</v>
      </c>
      <c r="B1604" s="24">
        <v>12978455</v>
      </c>
      <c r="C1604" s="1">
        <v>2199223</v>
      </c>
      <c r="D1604" s="1" t="s">
        <v>175</v>
      </c>
      <c r="E1604" s="36">
        <v>44958</v>
      </c>
      <c r="F1604" s="36">
        <v>45658</v>
      </c>
      <c r="G1604" s="38">
        <f t="shared" si="25"/>
        <v>700</v>
      </c>
      <c r="H1604" s="5">
        <v>44928</v>
      </c>
      <c r="I1604" s="5">
        <v>44928</v>
      </c>
      <c r="J1604" s="1" t="s">
        <v>26</v>
      </c>
      <c r="K1604" s="1" t="s">
        <v>3487</v>
      </c>
      <c r="L1604" s="1" t="s">
        <v>3488</v>
      </c>
      <c r="M1604" s="1" t="s">
        <v>3489</v>
      </c>
      <c r="N1604" s="1" t="s">
        <v>30</v>
      </c>
      <c r="O1604" s="1" t="s">
        <v>45</v>
      </c>
      <c r="P1604" s="1" t="s">
        <v>2433</v>
      </c>
      <c r="Q1604" s="1" t="s">
        <v>2786</v>
      </c>
      <c r="R1604" s="1" t="s">
        <v>26</v>
      </c>
      <c r="S1604" s="1"/>
      <c r="U1604" s="1" t="s">
        <v>130</v>
      </c>
      <c r="V1604" s="1" t="s">
        <v>3155</v>
      </c>
      <c r="W1604" s="1" t="str">
        <f>VLOOKUP(Table1[[#This Row],[Obergruppe ATC-Code]],Tabelle3!$A$2:$B$100,2)</f>
        <v>ANTIMYKOTIKA ZUR SYSTEMISCHEN ANWENDUNG</v>
      </c>
      <c r="X1604" s="1" t="str">
        <f xml:space="preserve"> LEFT(Table1[[#This Row],[Atc Code]],3)</f>
        <v>J02</v>
      </c>
    </row>
    <row r="1605" spans="1:24" ht="14.4">
      <c r="A1605" s="14">
        <v>682</v>
      </c>
      <c r="B1605" s="24">
        <v>4588929</v>
      </c>
      <c r="C1605" s="1">
        <v>192614</v>
      </c>
      <c r="D1605" s="1" t="s">
        <v>25</v>
      </c>
      <c r="E1605" s="36">
        <v>43101</v>
      </c>
      <c r="F1605" s="36">
        <v>43585</v>
      </c>
      <c r="G1605" s="38">
        <f t="shared" si="25"/>
        <v>484</v>
      </c>
      <c r="H1605" s="5">
        <v>43063</v>
      </c>
      <c r="I1605" s="5">
        <v>43592</v>
      </c>
      <c r="J1605" s="1" t="s">
        <v>41</v>
      </c>
      <c r="K1605" s="1" t="s">
        <v>3495</v>
      </c>
      <c r="L1605" s="1" t="s">
        <v>3496</v>
      </c>
      <c r="M1605" s="1" t="s">
        <v>3497</v>
      </c>
      <c r="N1605" s="1" t="s">
        <v>30</v>
      </c>
      <c r="O1605" s="1" t="s">
        <v>184</v>
      </c>
      <c r="P1605" s="1" t="s">
        <v>3306</v>
      </c>
      <c r="Q1605" s="1" t="s">
        <v>1006</v>
      </c>
      <c r="R1605" s="1" t="s">
        <v>48</v>
      </c>
      <c r="S1605" s="1"/>
      <c r="T1605" s="1" t="s">
        <v>3498</v>
      </c>
      <c r="U1605" s="1" t="s">
        <v>35</v>
      </c>
      <c r="V1605" s="1" t="s">
        <v>154</v>
      </c>
      <c r="W1605" s="1" t="str">
        <f>VLOOKUP(Table1[[#This Row],[Obergruppe ATC-Code]],Tabelle3!$A$2:$B$100,2)</f>
        <v>MITTEL GEGEN MYKOBAKTERIEN</v>
      </c>
      <c r="X1605" s="1" t="str">
        <f xml:space="preserve"> LEFT(Table1[[#This Row],[Atc Code]],3)</f>
        <v>J04</v>
      </c>
    </row>
    <row r="1606" spans="1:24" ht="14.4">
      <c r="A1606" s="14">
        <v>599</v>
      </c>
      <c r="B1606" s="24">
        <v>3838270</v>
      </c>
      <c r="C1606" s="1">
        <v>61616</v>
      </c>
      <c r="D1606" s="1" t="s">
        <v>25</v>
      </c>
      <c r="E1606" s="36">
        <v>43617</v>
      </c>
      <c r="F1606" s="36">
        <v>43708</v>
      </c>
      <c r="G1606" s="38">
        <f t="shared" si="25"/>
        <v>91</v>
      </c>
      <c r="H1606" s="5">
        <v>43621</v>
      </c>
      <c r="I1606" s="5">
        <v>43682</v>
      </c>
      <c r="J1606" s="1" t="s">
        <v>41</v>
      </c>
      <c r="K1606" s="1" t="s">
        <v>3499</v>
      </c>
      <c r="L1606" s="1" t="s">
        <v>3500</v>
      </c>
      <c r="M1606" s="1" t="s">
        <v>3501</v>
      </c>
      <c r="N1606" s="1" t="s">
        <v>30</v>
      </c>
      <c r="O1606" s="1" t="s">
        <v>184</v>
      </c>
      <c r="P1606" s="1" t="s">
        <v>3306</v>
      </c>
      <c r="Q1606" s="1" t="s">
        <v>1006</v>
      </c>
      <c r="R1606" s="1" t="s">
        <v>26</v>
      </c>
      <c r="S1606" s="1"/>
      <c r="T1606" s="1" t="s">
        <v>3502</v>
      </c>
      <c r="U1606" s="1" t="s">
        <v>35</v>
      </c>
      <c r="V1606" s="1" t="s">
        <v>811</v>
      </c>
      <c r="W1606" s="1" t="str">
        <f>VLOOKUP(Table1[[#This Row],[Obergruppe ATC-Code]],Tabelle3!$A$2:$B$100,2)</f>
        <v>MITTEL GEGEN MYKOBAKTERIEN</v>
      </c>
      <c r="X1606" s="1" t="str">
        <f xml:space="preserve"> LEFT(Table1[[#This Row],[Atc Code]],3)</f>
        <v>J04</v>
      </c>
    </row>
    <row r="1607" spans="1:24" ht="14.4">
      <c r="A1607" s="14">
        <v>3021</v>
      </c>
      <c r="B1607" s="24" t="s">
        <v>3503</v>
      </c>
      <c r="C1607" s="1">
        <v>2106370</v>
      </c>
      <c r="D1607" s="1" t="s">
        <v>25</v>
      </c>
      <c r="E1607" s="36">
        <v>43739</v>
      </c>
      <c r="F1607" s="36">
        <v>43799</v>
      </c>
      <c r="G1607" s="38">
        <f t="shared" si="25"/>
        <v>60</v>
      </c>
      <c r="H1607" s="5">
        <v>43763</v>
      </c>
      <c r="I1607" s="5">
        <v>43797</v>
      </c>
      <c r="J1607" s="1" t="s">
        <v>41</v>
      </c>
      <c r="K1607" s="1" t="s">
        <v>3504</v>
      </c>
      <c r="L1607" s="1" t="s">
        <v>3500</v>
      </c>
      <c r="M1607" s="1" t="s">
        <v>3505</v>
      </c>
      <c r="N1607" s="1" t="s">
        <v>30</v>
      </c>
      <c r="O1607" s="1" t="s">
        <v>184</v>
      </c>
      <c r="P1607" s="1" t="s">
        <v>3306</v>
      </c>
      <c r="Q1607" s="1" t="s">
        <v>1006</v>
      </c>
      <c r="R1607" s="1" t="s">
        <v>65</v>
      </c>
      <c r="S1607" s="1"/>
      <c r="U1607" s="1" t="s">
        <v>35</v>
      </c>
      <c r="V1607" s="1" t="s">
        <v>154</v>
      </c>
      <c r="W1607" s="1" t="str">
        <f>VLOOKUP(Table1[[#This Row],[Obergruppe ATC-Code]],Tabelle3!$A$2:$B$100,2)</f>
        <v>MITTEL GEGEN MYKOBAKTERIEN</v>
      </c>
      <c r="X1607" s="1" t="str">
        <f xml:space="preserve"> LEFT(Table1[[#This Row],[Atc Code]],3)</f>
        <v>J04</v>
      </c>
    </row>
    <row r="1608" spans="1:24" ht="14.4">
      <c r="A1608" s="14">
        <v>1128</v>
      </c>
      <c r="B1608" s="24">
        <v>9505109</v>
      </c>
      <c r="C1608" s="1">
        <v>2106371</v>
      </c>
      <c r="D1608" s="1" t="s">
        <v>25</v>
      </c>
      <c r="E1608" s="36">
        <v>43739</v>
      </c>
      <c r="F1608" s="36">
        <v>43830</v>
      </c>
      <c r="G1608" s="38">
        <f t="shared" si="25"/>
        <v>91</v>
      </c>
      <c r="H1608" s="5">
        <v>43763</v>
      </c>
      <c r="I1608" s="5">
        <v>43845</v>
      </c>
      <c r="J1608" s="1" t="s">
        <v>41</v>
      </c>
      <c r="K1608" s="1" t="s">
        <v>3506</v>
      </c>
      <c r="L1608" s="1" t="s">
        <v>3500</v>
      </c>
      <c r="M1608" s="1" t="s">
        <v>3505</v>
      </c>
      <c r="N1608" s="1" t="s">
        <v>38</v>
      </c>
      <c r="O1608" s="1" t="s">
        <v>184</v>
      </c>
      <c r="P1608" s="1" t="s">
        <v>3306</v>
      </c>
      <c r="Q1608" s="1" t="s">
        <v>1006</v>
      </c>
      <c r="R1608" s="1" t="s">
        <v>65</v>
      </c>
      <c r="S1608" s="1"/>
      <c r="U1608" s="1" t="s">
        <v>35</v>
      </c>
      <c r="V1608" s="1" t="s">
        <v>154</v>
      </c>
      <c r="W1608" s="1" t="str">
        <f>VLOOKUP(Table1[[#This Row],[Obergruppe ATC-Code]],Tabelle3!$A$2:$B$100,2)</f>
        <v>MITTEL GEGEN MYKOBAKTERIEN</v>
      </c>
      <c r="X1608" s="1" t="str">
        <f xml:space="preserve"> LEFT(Table1[[#This Row],[Atc Code]],3)</f>
        <v>J04</v>
      </c>
    </row>
    <row r="1609" spans="1:24" ht="14.4">
      <c r="A1609" s="14">
        <v>3020</v>
      </c>
      <c r="B1609" s="24" t="s">
        <v>3503</v>
      </c>
      <c r="C1609" s="1">
        <v>2106370</v>
      </c>
      <c r="D1609" s="1" t="s">
        <v>25</v>
      </c>
      <c r="E1609" s="36">
        <v>43983</v>
      </c>
      <c r="F1609" s="36">
        <v>44043</v>
      </c>
      <c r="G1609" s="38">
        <f t="shared" si="25"/>
        <v>60</v>
      </c>
      <c r="H1609" s="5">
        <v>43984</v>
      </c>
      <c r="I1609" s="5">
        <v>44025</v>
      </c>
      <c r="J1609" s="1" t="s">
        <v>41</v>
      </c>
      <c r="K1609" s="1" t="s">
        <v>3504</v>
      </c>
      <c r="L1609" s="1" t="s">
        <v>3500</v>
      </c>
      <c r="M1609" s="1" t="s">
        <v>3505</v>
      </c>
      <c r="N1609" s="1" t="s">
        <v>30</v>
      </c>
      <c r="O1609" s="1" t="s">
        <v>184</v>
      </c>
      <c r="P1609" s="1" t="s">
        <v>3306</v>
      </c>
      <c r="Q1609" s="1" t="s">
        <v>1006</v>
      </c>
      <c r="R1609" s="1" t="s">
        <v>26</v>
      </c>
      <c r="S1609" s="1"/>
      <c r="U1609" s="1" t="s">
        <v>35</v>
      </c>
      <c r="V1609" s="1" t="s">
        <v>154</v>
      </c>
      <c r="W1609" s="1" t="str">
        <f>VLOOKUP(Table1[[#This Row],[Obergruppe ATC-Code]],Tabelle3!$A$2:$B$100,2)</f>
        <v>MITTEL GEGEN MYKOBAKTERIEN</v>
      </c>
      <c r="X1609" s="1" t="str">
        <f xml:space="preserve"> LEFT(Table1[[#This Row],[Atc Code]],3)</f>
        <v>J04</v>
      </c>
    </row>
    <row r="1610" spans="1:24" ht="14.4">
      <c r="A1610" s="14">
        <v>1129</v>
      </c>
      <c r="B1610" s="24">
        <v>9505109</v>
      </c>
      <c r="C1610" s="1">
        <v>2106371</v>
      </c>
      <c r="D1610" s="1" t="s">
        <v>25</v>
      </c>
      <c r="E1610" s="36">
        <v>44690</v>
      </c>
      <c r="F1610" s="36">
        <v>44740</v>
      </c>
      <c r="G1610" s="38">
        <f t="shared" si="25"/>
        <v>50</v>
      </c>
      <c r="H1610" s="5">
        <v>44686</v>
      </c>
      <c r="I1610" s="5">
        <v>44736</v>
      </c>
      <c r="J1610" s="1" t="s">
        <v>26</v>
      </c>
      <c r="K1610" s="1" t="s">
        <v>3506</v>
      </c>
      <c r="L1610" s="1" t="s">
        <v>3500</v>
      </c>
      <c r="M1610" s="1" t="s">
        <v>3505</v>
      </c>
      <c r="N1610" s="1" t="s">
        <v>38</v>
      </c>
      <c r="O1610" s="1" t="s">
        <v>184</v>
      </c>
      <c r="P1610" s="1">
        <v>303384270</v>
      </c>
      <c r="Q1610" s="1" t="s">
        <v>185</v>
      </c>
      <c r="R1610" s="1" t="s">
        <v>113</v>
      </c>
      <c r="S1610" s="1"/>
      <c r="U1610" s="1" t="s">
        <v>130</v>
      </c>
      <c r="V1610" s="1" t="s">
        <v>154</v>
      </c>
      <c r="W1610" s="1" t="str">
        <f>VLOOKUP(Table1[[#This Row],[Obergruppe ATC-Code]],Tabelle3!$A$2:$B$100,2)</f>
        <v>MITTEL GEGEN MYKOBAKTERIEN</v>
      </c>
      <c r="X1610" s="1" t="str">
        <f xml:space="preserve"> LEFT(Table1[[#This Row],[Atc Code]],3)</f>
        <v>J04</v>
      </c>
    </row>
    <row r="1611" spans="1:24" ht="14.4">
      <c r="A1611" s="14">
        <v>600</v>
      </c>
      <c r="B1611" s="24">
        <v>3838270</v>
      </c>
      <c r="C1611" s="1">
        <v>61616</v>
      </c>
      <c r="D1611" s="1" t="s">
        <v>25</v>
      </c>
      <c r="E1611" s="36">
        <v>45061</v>
      </c>
      <c r="F1611" s="36">
        <v>45128</v>
      </c>
      <c r="G1611" s="38">
        <f t="shared" si="25"/>
        <v>67</v>
      </c>
      <c r="H1611" s="5">
        <v>45051</v>
      </c>
      <c r="I1611" s="5">
        <v>45152</v>
      </c>
      <c r="J1611" s="1" t="s">
        <v>26</v>
      </c>
      <c r="K1611" s="1" t="s">
        <v>3499</v>
      </c>
      <c r="L1611" s="1" t="s">
        <v>3500</v>
      </c>
      <c r="M1611" s="1" t="s">
        <v>3501</v>
      </c>
      <c r="N1611" s="1" t="s">
        <v>38</v>
      </c>
      <c r="O1611" s="1" t="s">
        <v>184</v>
      </c>
      <c r="P1611" s="1">
        <v>30338427306</v>
      </c>
      <c r="Q1611" s="1" t="s">
        <v>3507</v>
      </c>
      <c r="R1611" s="1" t="s">
        <v>113</v>
      </c>
      <c r="S1611" s="1" t="s">
        <v>1011</v>
      </c>
      <c r="T1611" s="1" t="s">
        <v>3502</v>
      </c>
      <c r="U1611" s="1" t="s">
        <v>35</v>
      </c>
      <c r="V1611" s="1" t="s">
        <v>811</v>
      </c>
      <c r="W1611" s="1" t="str">
        <f>VLOOKUP(Table1[[#This Row],[Obergruppe ATC-Code]],Tabelle3!$A$2:$B$100,2)</f>
        <v>MITTEL GEGEN MYKOBAKTERIEN</v>
      </c>
      <c r="X1611" s="1" t="str">
        <f xml:space="preserve"> LEFT(Table1[[#This Row],[Atc Code]],3)</f>
        <v>J04</v>
      </c>
    </row>
    <row r="1612" spans="1:24" ht="14.4">
      <c r="A1612" s="14">
        <v>646</v>
      </c>
      <c r="B1612" s="24">
        <v>4250018</v>
      </c>
      <c r="C1612" s="1">
        <v>192577</v>
      </c>
      <c r="D1612" s="1" t="s">
        <v>25</v>
      </c>
      <c r="E1612" s="36">
        <v>43922</v>
      </c>
      <c r="F1612" s="36">
        <v>43982</v>
      </c>
      <c r="G1612" s="38">
        <f t="shared" si="25"/>
        <v>60</v>
      </c>
      <c r="H1612" s="5">
        <v>43935</v>
      </c>
      <c r="I1612" s="5">
        <v>43971</v>
      </c>
      <c r="J1612" s="1" t="s">
        <v>41</v>
      </c>
      <c r="K1612" s="1" t="s">
        <v>3508</v>
      </c>
      <c r="L1612" s="1" t="s">
        <v>3509</v>
      </c>
      <c r="M1612" s="1" t="s">
        <v>3510</v>
      </c>
      <c r="N1612" s="1" t="s">
        <v>30</v>
      </c>
      <c r="O1612" s="1" t="s">
        <v>184</v>
      </c>
      <c r="P1612" s="1" t="s">
        <v>3306</v>
      </c>
      <c r="Q1612" s="1" t="s">
        <v>1006</v>
      </c>
      <c r="R1612" s="1" t="s">
        <v>65</v>
      </c>
      <c r="S1612" s="1"/>
      <c r="T1612" s="1" t="s">
        <v>3511</v>
      </c>
      <c r="U1612" s="1" t="s">
        <v>35</v>
      </c>
      <c r="V1612" s="1" t="s">
        <v>154</v>
      </c>
      <c r="W1612" s="1" t="str">
        <f>VLOOKUP(Table1[[#This Row],[Obergruppe ATC-Code]],Tabelle3!$A$2:$B$100,2)</f>
        <v>MITTEL GEGEN MYKOBAKTERIEN</v>
      </c>
      <c r="X1612" s="1" t="str">
        <f xml:space="preserve"> LEFT(Table1[[#This Row],[Atc Code]],3)</f>
        <v>J04</v>
      </c>
    </row>
    <row r="1613" spans="1:24" ht="14.4">
      <c r="A1613" s="14">
        <v>2936</v>
      </c>
      <c r="B1613" s="24" t="s">
        <v>3512</v>
      </c>
      <c r="C1613" s="1">
        <v>192525</v>
      </c>
      <c r="D1613" s="1" t="s">
        <v>25</v>
      </c>
      <c r="E1613" s="36">
        <v>44013</v>
      </c>
      <c r="F1613" s="36">
        <v>44074</v>
      </c>
      <c r="G1613" s="38">
        <f t="shared" si="25"/>
        <v>61</v>
      </c>
      <c r="H1613" s="5">
        <v>44026</v>
      </c>
      <c r="I1613" s="5">
        <v>44061</v>
      </c>
      <c r="J1613" s="1" t="s">
        <v>41</v>
      </c>
      <c r="K1613" s="1" t="s">
        <v>3513</v>
      </c>
      <c r="L1613" s="1" t="s">
        <v>3509</v>
      </c>
      <c r="M1613" s="1" t="s">
        <v>3510</v>
      </c>
      <c r="N1613" s="1" t="s">
        <v>30</v>
      </c>
      <c r="O1613" s="1" t="s">
        <v>184</v>
      </c>
      <c r="P1613" s="1" t="s">
        <v>3306</v>
      </c>
      <c r="Q1613" s="1" t="s">
        <v>1006</v>
      </c>
      <c r="R1613" s="1" t="s">
        <v>26</v>
      </c>
      <c r="S1613" s="1"/>
      <c r="T1613" s="1" t="s">
        <v>3511</v>
      </c>
      <c r="U1613" s="1" t="s">
        <v>35</v>
      </c>
      <c r="V1613" s="1" t="s">
        <v>49</v>
      </c>
      <c r="W1613" s="1" t="str">
        <f>VLOOKUP(Table1[[#This Row],[Obergruppe ATC-Code]],Tabelle3!$A$2:$B$100,2)</f>
        <v>MITTEL GEGEN MYKOBAKTERIEN</v>
      </c>
      <c r="X1613" s="1" t="str">
        <f xml:space="preserve"> LEFT(Table1[[#This Row],[Atc Code]],3)</f>
        <v>J04</v>
      </c>
    </row>
    <row r="1614" spans="1:24" ht="14.4">
      <c r="A1614" s="14">
        <v>2967</v>
      </c>
      <c r="B1614" s="24" t="s">
        <v>3514</v>
      </c>
      <c r="C1614" s="1">
        <v>192991</v>
      </c>
      <c r="D1614" s="1" t="s">
        <v>25</v>
      </c>
      <c r="E1614" s="36">
        <v>44044</v>
      </c>
      <c r="F1614" s="36">
        <v>44135</v>
      </c>
      <c r="G1614" s="38">
        <f t="shared" si="25"/>
        <v>91</v>
      </c>
      <c r="H1614" s="5">
        <v>44055</v>
      </c>
      <c r="I1614" s="5">
        <v>44117</v>
      </c>
      <c r="J1614" s="1" t="s">
        <v>41</v>
      </c>
      <c r="K1614" s="1" t="s">
        <v>3515</v>
      </c>
      <c r="L1614" s="1" t="s">
        <v>3516</v>
      </c>
      <c r="M1614" s="1" t="s">
        <v>3517</v>
      </c>
      <c r="N1614" s="1" t="s">
        <v>30</v>
      </c>
      <c r="O1614" s="1" t="s">
        <v>184</v>
      </c>
      <c r="P1614" s="1" t="s">
        <v>3306</v>
      </c>
      <c r="Q1614" s="1" t="s">
        <v>1006</v>
      </c>
      <c r="R1614" s="1" t="s">
        <v>26</v>
      </c>
      <c r="S1614" s="1"/>
      <c r="T1614" s="1" t="s">
        <v>3518</v>
      </c>
      <c r="U1614" s="1" t="s">
        <v>35</v>
      </c>
      <c r="V1614" s="1" t="s">
        <v>99</v>
      </c>
      <c r="W1614" s="1" t="str">
        <f>VLOOKUP(Table1[[#This Row],[Obergruppe ATC-Code]],Tabelle3!$A$2:$B$100,2)</f>
        <v>MITTEL GEGEN MYKOBAKTERIEN</v>
      </c>
      <c r="X1614" s="1" t="str">
        <f xml:space="preserve"> LEFT(Table1[[#This Row],[Atc Code]],3)</f>
        <v>J04</v>
      </c>
    </row>
    <row r="1615" spans="1:24" ht="14.4">
      <c r="A1615" s="14">
        <v>670</v>
      </c>
      <c r="B1615" s="24">
        <v>4433552</v>
      </c>
      <c r="C1615" s="1">
        <v>3000321</v>
      </c>
      <c r="D1615" s="1" t="s">
        <v>25</v>
      </c>
      <c r="E1615" s="36">
        <v>44552</v>
      </c>
      <c r="F1615" s="36">
        <v>44607</v>
      </c>
      <c r="G1615" s="38">
        <f t="shared" si="25"/>
        <v>55</v>
      </c>
      <c r="H1615" s="5">
        <v>44552</v>
      </c>
      <c r="I1615" s="5">
        <v>44606</v>
      </c>
      <c r="J1615" s="1" t="s">
        <v>26</v>
      </c>
      <c r="K1615" s="1" t="s">
        <v>3519</v>
      </c>
      <c r="L1615" s="1" t="s">
        <v>3520</v>
      </c>
      <c r="M1615" s="1" t="s">
        <v>3521</v>
      </c>
      <c r="N1615" s="1" t="s">
        <v>38</v>
      </c>
      <c r="O1615" s="1" t="s">
        <v>615</v>
      </c>
      <c r="P1615" s="1">
        <v>49349542470</v>
      </c>
      <c r="Q1615" s="1" t="s">
        <v>3522</v>
      </c>
      <c r="R1615" s="1" t="s">
        <v>26</v>
      </c>
      <c r="S1615" s="1"/>
      <c r="T1615" s="1" t="s">
        <v>3523</v>
      </c>
      <c r="U1615" s="1" t="s">
        <v>35</v>
      </c>
      <c r="V1615" s="1" t="s">
        <v>49</v>
      </c>
      <c r="W1615" s="1" t="str">
        <f>VLOOKUP(Table1[[#This Row],[Obergruppe ATC-Code]],Tabelle3!$A$2:$B$100,2)</f>
        <v>MITTEL GEGEN MYKOBAKTERIEN</v>
      </c>
      <c r="X1615" s="1" t="str">
        <f xml:space="preserve"> LEFT(Table1[[#This Row],[Atc Code]],3)</f>
        <v>J04</v>
      </c>
    </row>
    <row r="1616" spans="1:24" ht="14.4">
      <c r="A1616" s="14">
        <v>671</v>
      </c>
      <c r="B1616" s="24">
        <v>4433552</v>
      </c>
      <c r="C1616" s="1">
        <v>3000321</v>
      </c>
      <c r="D1616" s="1" t="s">
        <v>102</v>
      </c>
      <c r="E1616" s="36">
        <v>45134</v>
      </c>
      <c r="F1616" s="36">
        <v>45230</v>
      </c>
      <c r="G1616" s="38">
        <f t="shared" si="25"/>
        <v>96</v>
      </c>
      <c r="H1616" s="5">
        <v>45141</v>
      </c>
      <c r="I1616" s="5">
        <v>45195</v>
      </c>
      <c r="J1616" s="1" t="s">
        <v>26</v>
      </c>
      <c r="K1616" s="1" t="s">
        <v>3519</v>
      </c>
      <c r="L1616" s="1" t="s">
        <v>3520</v>
      </c>
      <c r="M1616" s="1" t="s">
        <v>3521</v>
      </c>
      <c r="N1616" s="1" t="s">
        <v>38</v>
      </c>
      <c r="O1616" s="1" t="s">
        <v>615</v>
      </c>
      <c r="P1616" s="1">
        <v>49349542470</v>
      </c>
      <c r="Q1616" s="1" t="s">
        <v>621</v>
      </c>
      <c r="R1616" s="1" t="s">
        <v>113</v>
      </c>
      <c r="S1616" s="1"/>
      <c r="U1616" s="1" t="s">
        <v>35</v>
      </c>
      <c r="V1616" s="1" t="s">
        <v>49</v>
      </c>
      <c r="W1616" s="1" t="str">
        <f>VLOOKUP(Table1[[#This Row],[Obergruppe ATC-Code]],Tabelle3!$A$2:$B$100,2)</f>
        <v>MITTEL GEGEN MYKOBAKTERIEN</v>
      </c>
      <c r="X1616" s="1" t="str">
        <f xml:space="preserve"> LEFT(Table1[[#This Row],[Atc Code]],3)</f>
        <v>J04</v>
      </c>
    </row>
    <row r="1617" spans="1:24" ht="14.4">
      <c r="A1617" s="14">
        <v>57</v>
      </c>
      <c r="B1617" s="24">
        <v>393488</v>
      </c>
      <c r="C1617" s="1">
        <v>2182515</v>
      </c>
      <c r="D1617" s="1" t="s">
        <v>25</v>
      </c>
      <c r="E1617" s="36">
        <v>45155</v>
      </c>
      <c r="F1617" s="36">
        <v>45194</v>
      </c>
      <c r="G1617" s="38">
        <f t="shared" si="25"/>
        <v>39</v>
      </c>
      <c r="H1617" s="5">
        <v>45169</v>
      </c>
      <c r="I1617" s="5">
        <v>45194</v>
      </c>
      <c r="J1617" s="1" t="s">
        <v>26</v>
      </c>
      <c r="K1617" s="1" t="s">
        <v>3524</v>
      </c>
      <c r="L1617" s="1" t="s">
        <v>3525</v>
      </c>
      <c r="M1617" s="1" t="s">
        <v>3526</v>
      </c>
      <c r="N1617" s="1" t="s">
        <v>30</v>
      </c>
      <c r="O1617" s="1" t="s">
        <v>184</v>
      </c>
      <c r="P1617" s="1" t="s">
        <v>3527</v>
      </c>
      <c r="Q1617" s="1" t="s">
        <v>185</v>
      </c>
      <c r="R1617" s="1" t="s">
        <v>113</v>
      </c>
      <c r="S1617" s="1" t="s">
        <v>1011</v>
      </c>
      <c r="U1617" s="1" t="s">
        <v>130</v>
      </c>
      <c r="V1617" s="1" t="s">
        <v>262</v>
      </c>
      <c r="W1617" s="1" t="str">
        <f>VLOOKUP(Table1[[#This Row],[Obergruppe ATC-Code]],Tabelle3!$A$2:$B$100,2)</f>
        <v>MITTEL GEGEN MYKOBAKTERIEN</v>
      </c>
      <c r="X1617" s="1" t="str">
        <f xml:space="preserve"> LEFT(Table1[[#This Row],[Atc Code]],3)</f>
        <v>J04</v>
      </c>
    </row>
    <row r="1618" spans="1:24" ht="14.4">
      <c r="A1618" s="14">
        <v>1203</v>
      </c>
      <c r="B1618" s="25">
        <v>11081214</v>
      </c>
      <c r="C1618" s="1">
        <v>2713640</v>
      </c>
      <c r="D1618" s="1" t="s">
        <v>25</v>
      </c>
      <c r="E1618" s="36">
        <v>43374</v>
      </c>
      <c r="F1618" s="36">
        <v>43404</v>
      </c>
      <c r="G1618" s="38">
        <f t="shared" si="25"/>
        <v>30</v>
      </c>
      <c r="H1618" s="5">
        <v>43385</v>
      </c>
      <c r="I1618" s="5">
        <v>43402</v>
      </c>
      <c r="J1618" s="1" t="s">
        <v>41</v>
      </c>
      <c r="K1618" s="1" t="s">
        <v>3528</v>
      </c>
      <c r="L1618" s="1" t="s">
        <v>3529</v>
      </c>
      <c r="M1618" s="1" t="s">
        <v>3530</v>
      </c>
      <c r="N1618" s="1" t="s">
        <v>30</v>
      </c>
      <c r="O1618" s="1" t="s">
        <v>743</v>
      </c>
      <c r="P1618" s="1" t="s">
        <v>744</v>
      </c>
      <c r="Q1618" s="1" t="s">
        <v>745</v>
      </c>
      <c r="R1618" s="1" t="s">
        <v>26</v>
      </c>
      <c r="S1618" s="1"/>
      <c r="T1618" s="1" t="s">
        <v>3531</v>
      </c>
      <c r="U1618" s="1" t="s">
        <v>35</v>
      </c>
      <c r="V1618" s="1" t="s">
        <v>49</v>
      </c>
      <c r="W1618" s="1" t="str">
        <f>VLOOKUP(Table1[[#This Row],[Obergruppe ATC-Code]],Tabelle3!$A$2:$B$100,2)</f>
        <v>MITTEL GEGEN MYKOBAKTERIEN</v>
      </c>
      <c r="X1618" s="1" t="str">
        <f xml:space="preserve"> LEFT(Table1[[#This Row],[Atc Code]],3)</f>
        <v>J04</v>
      </c>
    </row>
    <row r="1619" spans="1:24" ht="14.4">
      <c r="A1619" s="14">
        <v>479</v>
      </c>
      <c r="B1619" s="25">
        <v>3065543</v>
      </c>
      <c r="C1619" s="1">
        <v>2134526</v>
      </c>
      <c r="D1619" s="1" t="s">
        <v>25</v>
      </c>
      <c r="E1619" s="36">
        <v>43282</v>
      </c>
      <c r="F1619" s="36">
        <v>43799</v>
      </c>
      <c r="G1619" s="38">
        <f t="shared" si="25"/>
        <v>517</v>
      </c>
      <c r="H1619" s="5">
        <v>43287</v>
      </c>
      <c r="I1619" s="5">
        <v>43777</v>
      </c>
      <c r="J1619" s="1" t="s">
        <v>41</v>
      </c>
      <c r="K1619" s="1" t="s">
        <v>3532</v>
      </c>
      <c r="L1619" s="1" t="s">
        <v>3533</v>
      </c>
      <c r="M1619" s="1" t="s">
        <v>3534</v>
      </c>
      <c r="N1619" s="1" t="s">
        <v>30</v>
      </c>
      <c r="O1619" s="1" t="s">
        <v>91</v>
      </c>
      <c r="P1619" s="1" t="s">
        <v>374</v>
      </c>
      <c r="Q1619" s="1" t="s">
        <v>375</v>
      </c>
      <c r="R1619" s="1" t="s">
        <v>26</v>
      </c>
      <c r="S1619" s="1"/>
      <c r="U1619" s="1" t="s">
        <v>35</v>
      </c>
      <c r="V1619" s="1" t="s">
        <v>154</v>
      </c>
      <c r="W1619" s="1" t="str">
        <f>VLOOKUP(Table1[[#This Row],[Obergruppe ATC-Code]],Tabelle3!$A$2:$B$100,2)</f>
        <v>ANTIVIRALE MITTEL ZUR SYSTEMISCHEN ANWENDUNG</v>
      </c>
      <c r="X1619" s="1" t="str">
        <f xml:space="preserve"> LEFT(Table1[[#This Row],[Atc Code]],3)</f>
        <v>J05</v>
      </c>
    </row>
    <row r="1620" spans="1:24" ht="14.4">
      <c r="A1620" s="14">
        <v>124</v>
      </c>
      <c r="B1620" s="24">
        <v>724933</v>
      </c>
      <c r="C1620" s="1">
        <v>2124810</v>
      </c>
      <c r="D1620" s="1" t="s">
        <v>25</v>
      </c>
      <c r="E1620" s="36">
        <v>43282</v>
      </c>
      <c r="F1620" s="36">
        <v>43799</v>
      </c>
      <c r="G1620" s="38">
        <f t="shared" si="25"/>
        <v>517</v>
      </c>
      <c r="H1620" s="5">
        <v>43287</v>
      </c>
      <c r="I1620" s="5">
        <v>43777</v>
      </c>
      <c r="J1620" s="1" t="s">
        <v>41</v>
      </c>
      <c r="K1620" s="1" t="s">
        <v>3535</v>
      </c>
      <c r="L1620" s="1" t="s">
        <v>3533</v>
      </c>
      <c r="M1620" s="1" t="s">
        <v>3534</v>
      </c>
      <c r="N1620" s="1" t="s">
        <v>30</v>
      </c>
      <c r="O1620" s="1" t="s">
        <v>91</v>
      </c>
      <c r="P1620" s="1" t="s">
        <v>374</v>
      </c>
      <c r="Q1620" s="1" t="s">
        <v>375</v>
      </c>
      <c r="R1620" s="1" t="s">
        <v>26</v>
      </c>
      <c r="S1620" s="1"/>
      <c r="U1620" s="1" t="s">
        <v>57</v>
      </c>
      <c r="V1620" s="1" t="s">
        <v>154</v>
      </c>
      <c r="W1620" s="1" t="str">
        <f>VLOOKUP(Table1[[#This Row],[Obergruppe ATC-Code]],Tabelle3!$A$2:$B$100,2)</f>
        <v>ANTIVIRALE MITTEL ZUR SYSTEMISCHEN ANWENDUNG</v>
      </c>
      <c r="X1620" s="1" t="str">
        <f xml:space="preserve"> LEFT(Table1[[#This Row],[Atc Code]],3)</f>
        <v>J05</v>
      </c>
    </row>
    <row r="1621" spans="1:24" ht="14.4">
      <c r="A1621" s="14">
        <v>3013</v>
      </c>
      <c r="B1621" s="24" t="s">
        <v>3536</v>
      </c>
      <c r="C1621" s="1">
        <v>2124816</v>
      </c>
      <c r="D1621" s="1" t="s">
        <v>25</v>
      </c>
      <c r="E1621" s="36">
        <v>43891</v>
      </c>
      <c r="F1621" s="36">
        <v>43951</v>
      </c>
      <c r="G1621" s="38">
        <f t="shared" si="25"/>
        <v>60</v>
      </c>
      <c r="H1621" s="5">
        <v>43910</v>
      </c>
      <c r="I1621" s="5">
        <v>43958</v>
      </c>
      <c r="J1621" s="1" t="s">
        <v>41</v>
      </c>
      <c r="K1621" s="1" t="s">
        <v>3537</v>
      </c>
      <c r="L1621" s="1" t="s">
        <v>3533</v>
      </c>
      <c r="M1621" s="1" t="s">
        <v>1965</v>
      </c>
      <c r="N1621" s="1" t="s">
        <v>38</v>
      </c>
      <c r="O1621" s="1" t="s">
        <v>52</v>
      </c>
      <c r="P1621" s="1" t="s">
        <v>53</v>
      </c>
      <c r="Q1621" s="1" t="s">
        <v>54</v>
      </c>
      <c r="R1621" s="1" t="s">
        <v>48</v>
      </c>
      <c r="S1621" s="1"/>
      <c r="U1621" s="1" t="s">
        <v>35</v>
      </c>
      <c r="V1621" s="1" t="s">
        <v>49</v>
      </c>
      <c r="W1621" s="1" t="str">
        <f>VLOOKUP(Table1[[#This Row],[Obergruppe ATC-Code]],Tabelle3!$A$2:$B$100,2)</f>
        <v>ANTIVIRALE MITTEL ZUR SYSTEMISCHEN ANWENDUNG</v>
      </c>
      <c r="X1621" s="1" t="str">
        <f xml:space="preserve"> LEFT(Table1[[#This Row],[Atc Code]],3)</f>
        <v>J05</v>
      </c>
    </row>
    <row r="1622" spans="1:24" ht="14.4">
      <c r="A1622" s="14">
        <v>717</v>
      </c>
      <c r="B1622" s="25">
        <v>4887721</v>
      </c>
      <c r="C1622" s="1">
        <v>2130776</v>
      </c>
      <c r="D1622" s="1" t="s">
        <v>25</v>
      </c>
      <c r="E1622" s="36">
        <v>43891</v>
      </c>
      <c r="F1622" s="36">
        <v>43951</v>
      </c>
      <c r="G1622" s="38">
        <f t="shared" si="25"/>
        <v>60</v>
      </c>
      <c r="H1622" s="5">
        <v>43910</v>
      </c>
      <c r="I1622" s="5">
        <v>43958</v>
      </c>
      <c r="J1622" s="1" t="s">
        <v>41</v>
      </c>
      <c r="K1622" s="1" t="s">
        <v>3538</v>
      </c>
      <c r="L1622" s="1" t="s">
        <v>3533</v>
      </c>
      <c r="M1622" s="1" t="s">
        <v>1965</v>
      </c>
      <c r="N1622" s="1" t="s">
        <v>38</v>
      </c>
      <c r="O1622" s="1" t="s">
        <v>91</v>
      </c>
      <c r="P1622" s="1" t="s">
        <v>92</v>
      </c>
      <c r="Q1622" s="1" t="s">
        <v>93</v>
      </c>
      <c r="R1622" s="1" t="s">
        <v>48</v>
      </c>
      <c r="S1622" s="1"/>
      <c r="U1622" s="1" t="s">
        <v>35</v>
      </c>
      <c r="V1622" s="1" t="s">
        <v>49</v>
      </c>
      <c r="W1622" s="1" t="str">
        <f>VLOOKUP(Table1[[#This Row],[Obergruppe ATC-Code]],Tabelle3!$A$2:$B$100,2)</f>
        <v>ANTIVIRALE MITTEL ZUR SYSTEMISCHEN ANWENDUNG</v>
      </c>
      <c r="X1622" s="1" t="str">
        <f xml:space="preserve"> LEFT(Table1[[#This Row],[Atc Code]],3)</f>
        <v>J05</v>
      </c>
    </row>
    <row r="1623" spans="1:24" ht="14.4">
      <c r="A1623" s="14">
        <v>2399</v>
      </c>
      <c r="B1623" s="24" t="s">
        <v>3539</v>
      </c>
      <c r="C1623" s="1">
        <v>2130769</v>
      </c>
      <c r="D1623" s="1" t="s">
        <v>25</v>
      </c>
      <c r="E1623" s="36">
        <v>43891</v>
      </c>
      <c r="F1623" s="36">
        <v>44043</v>
      </c>
      <c r="G1623" s="38">
        <f t="shared" si="25"/>
        <v>152</v>
      </c>
      <c r="H1623" s="5">
        <v>43910</v>
      </c>
      <c r="I1623" s="5">
        <v>44041</v>
      </c>
      <c r="J1623" s="1" t="s">
        <v>41</v>
      </c>
      <c r="K1623" s="1" t="s">
        <v>3540</v>
      </c>
      <c r="L1623" s="1" t="s">
        <v>3533</v>
      </c>
      <c r="M1623" s="1" t="s">
        <v>1965</v>
      </c>
      <c r="N1623" s="1" t="s">
        <v>38</v>
      </c>
      <c r="O1623" s="1" t="s">
        <v>52</v>
      </c>
      <c r="P1623" s="1" t="s">
        <v>53</v>
      </c>
      <c r="Q1623" s="1" t="s">
        <v>54</v>
      </c>
      <c r="R1623" s="1" t="s">
        <v>48</v>
      </c>
      <c r="S1623" s="1"/>
      <c r="U1623" s="1" t="s">
        <v>35</v>
      </c>
      <c r="V1623" s="1" t="s">
        <v>49</v>
      </c>
      <c r="W1623" s="1" t="str">
        <f>VLOOKUP(Table1[[#This Row],[Obergruppe ATC-Code]],Tabelle3!$A$2:$B$100,2)</f>
        <v>ANTIVIRALE MITTEL ZUR SYSTEMISCHEN ANWENDUNG</v>
      </c>
      <c r="X1623" s="1" t="str">
        <f xml:space="preserve"> LEFT(Table1[[#This Row],[Atc Code]],3)</f>
        <v>J05</v>
      </c>
    </row>
    <row r="1624" spans="1:24" ht="14.4">
      <c r="A1624" s="14">
        <v>2739</v>
      </c>
      <c r="B1624" s="24" t="s">
        <v>3541</v>
      </c>
      <c r="C1624" s="1">
        <v>2126153</v>
      </c>
      <c r="D1624" s="1" t="s">
        <v>25</v>
      </c>
      <c r="E1624" s="36">
        <v>43891</v>
      </c>
      <c r="F1624" s="36">
        <v>44074</v>
      </c>
      <c r="G1624" s="38">
        <f t="shared" si="25"/>
        <v>183</v>
      </c>
      <c r="H1624" s="5">
        <v>43910</v>
      </c>
      <c r="I1624" s="5">
        <v>44071</v>
      </c>
      <c r="J1624" s="1" t="s">
        <v>41</v>
      </c>
      <c r="K1624" s="1" t="s">
        <v>3542</v>
      </c>
      <c r="L1624" s="1" t="s">
        <v>3533</v>
      </c>
      <c r="M1624" s="1" t="s">
        <v>1965</v>
      </c>
      <c r="N1624" s="1" t="s">
        <v>38</v>
      </c>
      <c r="O1624" s="1" t="s">
        <v>52</v>
      </c>
      <c r="P1624" s="1" t="s">
        <v>53</v>
      </c>
      <c r="Q1624" s="1" t="s">
        <v>54</v>
      </c>
      <c r="R1624" s="1" t="s">
        <v>48</v>
      </c>
      <c r="S1624" s="1"/>
      <c r="U1624" s="1" t="s">
        <v>35</v>
      </c>
      <c r="V1624" s="1" t="s">
        <v>49</v>
      </c>
      <c r="W1624" s="1" t="str">
        <f>VLOOKUP(Table1[[#This Row],[Obergruppe ATC-Code]],Tabelle3!$A$2:$B$100,2)</f>
        <v>ANTIVIRALE MITTEL ZUR SYSTEMISCHEN ANWENDUNG</v>
      </c>
      <c r="X1624" s="1" t="str">
        <f xml:space="preserve"> LEFT(Table1[[#This Row],[Atc Code]],3)</f>
        <v>J05</v>
      </c>
    </row>
    <row r="1625" spans="1:24" ht="14.4">
      <c r="A1625" s="14">
        <v>2954</v>
      </c>
      <c r="B1625" s="24" t="s">
        <v>3543</v>
      </c>
      <c r="C1625" s="1">
        <v>2114837</v>
      </c>
      <c r="D1625" s="1" t="s">
        <v>25</v>
      </c>
      <c r="E1625" s="36">
        <v>43556</v>
      </c>
      <c r="F1625" s="36">
        <v>43677</v>
      </c>
      <c r="G1625" s="38">
        <f t="shared" si="25"/>
        <v>121</v>
      </c>
      <c r="H1625" s="5">
        <v>43588</v>
      </c>
      <c r="I1625" s="5">
        <v>43690</v>
      </c>
      <c r="J1625" s="1" t="s">
        <v>41</v>
      </c>
      <c r="K1625" s="1" t="s">
        <v>3544</v>
      </c>
      <c r="L1625" s="1" t="s">
        <v>3545</v>
      </c>
      <c r="M1625" s="1" t="s">
        <v>3546</v>
      </c>
      <c r="N1625" s="1" t="s">
        <v>30</v>
      </c>
      <c r="O1625" s="1" t="s">
        <v>1123</v>
      </c>
      <c r="P1625" s="1">
        <v>383485390</v>
      </c>
      <c r="Q1625" s="1" t="s">
        <v>392</v>
      </c>
      <c r="R1625" s="1" t="s">
        <v>48</v>
      </c>
      <c r="S1625" s="1"/>
      <c r="T1625" s="1" t="s">
        <v>3547</v>
      </c>
      <c r="U1625" s="1" t="s">
        <v>35</v>
      </c>
      <c r="V1625" s="1" t="s">
        <v>1151</v>
      </c>
      <c r="W1625" s="1" t="str">
        <f>VLOOKUP(Table1[[#This Row],[Obergruppe ATC-Code]],Tabelle3!$A$2:$B$100,2)</f>
        <v>ANTIVIRALE MITTEL ZUR SYSTEMISCHEN ANWENDUNG</v>
      </c>
      <c r="X1625" s="1" t="str">
        <f xml:space="preserve"> LEFT(Table1[[#This Row],[Atc Code]],3)</f>
        <v>J05</v>
      </c>
    </row>
    <row r="1626" spans="1:24" ht="14.4">
      <c r="A1626" s="14">
        <v>1229</v>
      </c>
      <c r="B1626" s="25">
        <v>11288932</v>
      </c>
      <c r="C1626" s="1">
        <v>2189276</v>
      </c>
      <c r="D1626" s="1" t="s">
        <v>25</v>
      </c>
      <c r="E1626" s="36">
        <v>43556</v>
      </c>
      <c r="F1626" s="36">
        <v>43708</v>
      </c>
      <c r="G1626" s="38">
        <f t="shared" si="25"/>
        <v>152</v>
      </c>
      <c r="H1626" s="5">
        <v>43585</v>
      </c>
      <c r="I1626" s="5">
        <v>43703</v>
      </c>
      <c r="J1626" s="1" t="s">
        <v>41</v>
      </c>
      <c r="K1626" s="1" t="s">
        <v>3548</v>
      </c>
      <c r="L1626" s="1" t="s">
        <v>3545</v>
      </c>
      <c r="M1626" s="1" t="s">
        <v>3546</v>
      </c>
      <c r="N1626" s="1" t="s">
        <v>30</v>
      </c>
      <c r="O1626" s="1" t="s">
        <v>91</v>
      </c>
      <c r="P1626" s="1" t="s">
        <v>374</v>
      </c>
      <c r="Q1626" s="1" t="s">
        <v>375</v>
      </c>
      <c r="R1626" s="1" t="s">
        <v>48</v>
      </c>
      <c r="S1626" s="1"/>
      <c r="U1626" s="1" t="s">
        <v>35</v>
      </c>
      <c r="V1626" s="1" t="s">
        <v>3155</v>
      </c>
      <c r="W1626" s="1" t="str">
        <f>VLOOKUP(Table1[[#This Row],[Obergruppe ATC-Code]],Tabelle3!$A$2:$B$100,2)</f>
        <v>ANTIVIRALE MITTEL ZUR SYSTEMISCHEN ANWENDUNG</v>
      </c>
      <c r="X1626" s="1" t="str">
        <f xml:space="preserve"> LEFT(Table1[[#This Row],[Atc Code]],3)</f>
        <v>J05</v>
      </c>
    </row>
    <row r="1627" spans="1:24" ht="14.4">
      <c r="A1627" s="14">
        <v>2953</v>
      </c>
      <c r="B1627" s="24" t="s">
        <v>3543</v>
      </c>
      <c r="C1627" s="1">
        <v>2114837</v>
      </c>
      <c r="D1627" s="1" t="s">
        <v>25</v>
      </c>
      <c r="E1627" s="36">
        <v>43891</v>
      </c>
      <c r="F1627" s="36">
        <v>43982</v>
      </c>
      <c r="G1627" s="38">
        <f t="shared" si="25"/>
        <v>91</v>
      </c>
      <c r="H1627" s="5">
        <v>43930</v>
      </c>
      <c r="I1627" s="5">
        <v>43962</v>
      </c>
      <c r="J1627" s="1" t="s">
        <v>41</v>
      </c>
      <c r="K1627" s="1" t="s">
        <v>3544</v>
      </c>
      <c r="L1627" s="1" t="s">
        <v>3545</v>
      </c>
      <c r="M1627" s="1" t="s">
        <v>3546</v>
      </c>
      <c r="N1627" s="1" t="s">
        <v>30</v>
      </c>
      <c r="O1627" s="1" t="s">
        <v>1123</v>
      </c>
      <c r="P1627" s="1">
        <v>383439140</v>
      </c>
      <c r="Q1627" s="1" t="s">
        <v>392</v>
      </c>
      <c r="R1627" s="1" t="s">
        <v>48</v>
      </c>
      <c r="S1627" s="1"/>
      <c r="T1627" s="1" t="s">
        <v>3547</v>
      </c>
      <c r="U1627" s="1" t="s">
        <v>35</v>
      </c>
      <c r="V1627" s="1" t="s">
        <v>1151</v>
      </c>
      <c r="W1627" s="1" t="str">
        <f>VLOOKUP(Table1[[#This Row],[Obergruppe ATC-Code]],Tabelle3!$A$2:$B$100,2)</f>
        <v>ANTIVIRALE MITTEL ZUR SYSTEMISCHEN ANWENDUNG</v>
      </c>
      <c r="X1627" s="1" t="str">
        <f xml:space="preserve"> LEFT(Table1[[#This Row],[Atc Code]],3)</f>
        <v>J05</v>
      </c>
    </row>
    <row r="1628" spans="1:24" ht="14.4">
      <c r="A1628" s="14">
        <v>2615</v>
      </c>
      <c r="B1628" s="24" t="s">
        <v>3549</v>
      </c>
      <c r="C1628" s="1">
        <v>2189276</v>
      </c>
      <c r="D1628" s="1" t="s">
        <v>25</v>
      </c>
      <c r="E1628" s="36">
        <v>43739</v>
      </c>
      <c r="F1628" s="36">
        <v>44074</v>
      </c>
      <c r="G1628" s="38">
        <f t="shared" si="25"/>
        <v>335</v>
      </c>
      <c r="H1628" s="5">
        <v>43748</v>
      </c>
      <c r="I1628" s="5">
        <v>44075</v>
      </c>
      <c r="J1628" s="1" t="s">
        <v>41</v>
      </c>
      <c r="K1628" s="1" t="s">
        <v>3548</v>
      </c>
      <c r="L1628" s="1" t="s">
        <v>3545</v>
      </c>
      <c r="M1628" s="1" t="s">
        <v>3546</v>
      </c>
      <c r="N1628" s="1" t="s">
        <v>30</v>
      </c>
      <c r="O1628" s="1" t="s">
        <v>91</v>
      </c>
      <c r="P1628" s="1" t="s">
        <v>92</v>
      </c>
      <c r="Q1628" s="1" t="s">
        <v>93</v>
      </c>
      <c r="R1628" s="1" t="s">
        <v>26</v>
      </c>
      <c r="S1628" s="1"/>
      <c r="U1628" s="1" t="s">
        <v>57</v>
      </c>
      <c r="V1628" s="1" t="s">
        <v>3155</v>
      </c>
      <c r="W1628" s="1" t="str">
        <f>VLOOKUP(Table1[[#This Row],[Obergruppe ATC-Code]],Tabelle3!$A$2:$B$100,2)</f>
        <v>ANTIVIRALE MITTEL ZUR SYSTEMISCHEN ANWENDUNG</v>
      </c>
      <c r="X1628" s="1" t="str">
        <f xml:space="preserve"> LEFT(Table1[[#This Row],[Atc Code]],3)</f>
        <v>J05</v>
      </c>
    </row>
    <row r="1629" spans="1:24" ht="14.4">
      <c r="A1629" s="14">
        <v>2807</v>
      </c>
      <c r="B1629" s="24" t="s">
        <v>3550</v>
      </c>
      <c r="C1629" s="1">
        <v>2201661</v>
      </c>
      <c r="D1629" s="1" t="s">
        <v>25</v>
      </c>
      <c r="E1629" s="36">
        <v>44075</v>
      </c>
      <c r="F1629" s="36">
        <v>44316</v>
      </c>
      <c r="G1629" s="38">
        <f t="shared" si="25"/>
        <v>241</v>
      </c>
      <c r="H1629" s="5">
        <v>44081</v>
      </c>
      <c r="I1629" s="5">
        <v>44320</v>
      </c>
      <c r="J1629" s="1" t="s">
        <v>26</v>
      </c>
      <c r="K1629" s="1" t="s">
        <v>3551</v>
      </c>
      <c r="L1629" s="1" t="s">
        <v>3552</v>
      </c>
      <c r="M1629" s="1" t="s">
        <v>3553</v>
      </c>
      <c r="N1629" s="1" t="s">
        <v>30</v>
      </c>
      <c r="O1629" s="1" t="s">
        <v>1284</v>
      </c>
      <c r="P1629" s="1">
        <v>895589090</v>
      </c>
      <c r="Q1629" s="1" t="s">
        <v>1286</v>
      </c>
      <c r="R1629" s="1" t="s">
        <v>33</v>
      </c>
      <c r="S1629" s="1"/>
      <c r="U1629" s="1" t="s">
        <v>35</v>
      </c>
      <c r="V1629" s="1" t="s">
        <v>99</v>
      </c>
      <c r="W1629" s="1" t="str">
        <f>VLOOKUP(Table1[[#This Row],[Obergruppe ATC-Code]],Tabelle3!$A$2:$B$100,2)</f>
        <v>ANTIVIRALE MITTEL ZUR SYSTEMISCHEN ANWENDUNG</v>
      </c>
      <c r="X1629" s="1" t="str">
        <f xml:space="preserve"> LEFT(Table1[[#This Row],[Atc Code]],3)</f>
        <v>J05</v>
      </c>
    </row>
    <row r="1630" spans="1:24" ht="14.4">
      <c r="A1630" s="14">
        <v>1466</v>
      </c>
      <c r="B1630" s="24">
        <v>14446314</v>
      </c>
      <c r="C1630" s="1">
        <v>2200987</v>
      </c>
      <c r="D1630" s="1" t="s">
        <v>25</v>
      </c>
      <c r="E1630" s="36">
        <v>44197</v>
      </c>
      <c r="F1630" s="36">
        <v>44469</v>
      </c>
      <c r="G1630" s="38">
        <f t="shared" si="25"/>
        <v>272</v>
      </c>
      <c r="H1630" s="5">
        <v>44207</v>
      </c>
      <c r="I1630" s="5">
        <v>44596</v>
      </c>
      <c r="J1630" s="1" t="s">
        <v>26</v>
      </c>
      <c r="K1630" s="1" t="s">
        <v>3554</v>
      </c>
      <c r="L1630" s="1" t="s">
        <v>3555</v>
      </c>
      <c r="M1630" s="1" t="s">
        <v>3556</v>
      </c>
      <c r="N1630" s="1" t="s">
        <v>38</v>
      </c>
      <c r="O1630" s="1" t="s">
        <v>3557</v>
      </c>
      <c r="P1630" s="1" t="s">
        <v>3558</v>
      </c>
      <c r="Q1630" s="1" t="s">
        <v>3559</v>
      </c>
      <c r="R1630" s="1" t="s">
        <v>33</v>
      </c>
      <c r="S1630" s="1"/>
      <c r="U1630" s="1" t="s">
        <v>35</v>
      </c>
      <c r="V1630" s="1" t="s">
        <v>99</v>
      </c>
      <c r="W1630" s="1" t="str">
        <f>VLOOKUP(Table1[[#This Row],[Obergruppe ATC-Code]],Tabelle3!$A$2:$B$100,2)</f>
        <v>ANTIVIRALE MITTEL ZUR SYSTEMISCHEN ANWENDUNG</v>
      </c>
      <c r="X1630" s="1" t="str">
        <f xml:space="preserve"> LEFT(Table1[[#This Row],[Atc Code]],3)</f>
        <v>J05</v>
      </c>
    </row>
    <row r="1631" spans="1:24" ht="14.4">
      <c r="A1631" s="14">
        <v>214</v>
      </c>
      <c r="B1631" s="24">
        <v>1170514</v>
      </c>
      <c r="C1631" s="1">
        <v>2131435</v>
      </c>
      <c r="D1631" s="1" t="s">
        <v>25</v>
      </c>
      <c r="E1631" s="36">
        <v>44575</v>
      </c>
      <c r="F1631" s="36">
        <v>44592</v>
      </c>
      <c r="G1631" s="38">
        <f t="shared" si="25"/>
        <v>17</v>
      </c>
      <c r="H1631" s="5">
        <v>44574</v>
      </c>
      <c r="I1631" s="5">
        <v>44592</v>
      </c>
      <c r="J1631" s="1" t="s">
        <v>26</v>
      </c>
      <c r="K1631" s="1" t="s">
        <v>3560</v>
      </c>
      <c r="L1631" s="1" t="s">
        <v>3561</v>
      </c>
      <c r="M1631" s="1" t="s">
        <v>3562</v>
      </c>
      <c r="N1631" s="1" t="s">
        <v>30</v>
      </c>
      <c r="O1631" s="1" t="s">
        <v>3563</v>
      </c>
      <c r="P1631" s="1" t="s">
        <v>3564</v>
      </c>
      <c r="Q1631" s="1" t="s">
        <v>3565</v>
      </c>
      <c r="R1631" s="1" t="s">
        <v>26</v>
      </c>
      <c r="S1631" s="1" t="s">
        <v>3566</v>
      </c>
      <c r="U1631" s="1" t="s">
        <v>35</v>
      </c>
      <c r="V1631" s="1" t="s">
        <v>648</v>
      </c>
      <c r="W1631" s="1" t="str">
        <f>VLOOKUP(Table1[[#This Row],[Obergruppe ATC-Code]],Tabelle3!$A$2:$B$100,2)</f>
        <v>ANTIVIRALE MITTEL ZUR SYSTEMISCHEN ANWENDUNG</v>
      </c>
      <c r="X1631" s="1" t="str">
        <f xml:space="preserve"> LEFT(Table1[[#This Row],[Atc Code]],3)</f>
        <v>J05</v>
      </c>
    </row>
    <row r="1632" spans="1:24" ht="14.4">
      <c r="A1632" s="14">
        <v>894</v>
      </c>
      <c r="B1632" s="24">
        <v>7559414</v>
      </c>
      <c r="C1632" s="1">
        <v>2709686</v>
      </c>
      <c r="D1632" s="1" t="s">
        <v>175</v>
      </c>
      <c r="E1632" s="36">
        <v>45188</v>
      </c>
      <c r="F1632" s="36">
        <v>45306</v>
      </c>
      <c r="G1632" s="38">
        <f t="shared" si="25"/>
        <v>118</v>
      </c>
      <c r="H1632" s="5">
        <v>45188</v>
      </c>
      <c r="I1632" s="5">
        <v>45188</v>
      </c>
      <c r="J1632" s="1" t="s">
        <v>26</v>
      </c>
      <c r="K1632" s="1" t="s">
        <v>3567</v>
      </c>
      <c r="L1632" s="1" t="s">
        <v>3568</v>
      </c>
      <c r="M1632" s="1" t="s">
        <v>3569</v>
      </c>
      <c r="N1632" s="1" t="s">
        <v>38</v>
      </c>
      <c r="O1632" s="1" t="s">
        <v>3570</v>
      </c>
      <c r="Q1632" s="1" t="s">
        <v>3571</v>
      </c>
      <c r="R1632" s="1" t="s">
        <v>113</v>
      </c>
      <c r="S1632" s="1" t="s">
        <v>3572</v>
      </c>
      <c r="U1632" s="1" t="s">
        <v>130</v>
      </c>
      <c r="V1632" s="1" t="s">
        <v>99</v>
      </c>
      <c r="W1632" s="1" t="str">
        <f>VLOOKUP(Table1[[#This Row],[Obergruppe ATC-Code]],Tabelle3!$A$2:$B$100,2)</f>
        <v>ANTIVIRALE MITTEL ZUR SYSTEMISCHEN ANWENDUNG</v>
      </c>
      <c r="X1632" s="1" t="str">
        <f xml:space="preserve"> LEFT(Table1[[#This Row],[Atc Code]],3)</f>
        <v>J05</v>
      </c>
    </row>
    <row r="1633" spans="1:24" ht="14.4">
      <c r="A1633" s="14">
        <v>2764</v>
      </c>
      <c r="B1633" s="24" t="s">
        <v>3573</v>
      </c>
      <c r="C1633" s="1" t="s">
        <v>3574</v>
      </c>
      <c r="D1633" s="1" t="s">
        <v>102</v>
      </c>
      <c r="E1633" s="36">
        <v>45141</v>
      </c>
      <c r="F1633" s="36">
        <v>45247</v>
      </c>
      <c r="G1633" s="38">
        <f t="shared" si="25"/>
        <v>106</v>
      </c>
      <c r="H1633" s="5">
        <v>45194</v>
      </c>
      <c r="I1633" s="5">
        <v>45211</v>
      </c>
      <c r="J1633" s="1" t="s">
        <v>26</v>
      </c>
      <c r="K1633" s="1" t="s">
        <v>3575</v>
      </c>
      <c r="L1633" s="1" t="s">
        <v>3568</v>
      </c>
      <c r="M1633" s="1" t="s">
        <v>3569</v>
      </c>
      <c r="N1633" s="1" t="s">
        <v>38</v>
      </c>
      <c r="O1633" s="1" t="s">
        <v>3576</v>
      </c>
      <c r="P1633" s="1" t="s">
        <v>3577</v>
      </c>
      <c r="Q1633" s="1" t="s">
        <v>824</v>
      </c>
      <c r="R1633" s="1" t="s">
        <v>113</v>
      </c>
      <c r="S1633" s="1"/>
      <c r="U1633" s="1" t="s">
        <v>35</v>
      </c>
      <c r="V1633" s="1" t="s">
        <v>99</v>
      </c>
      <c r="W1633" s="1" t="str">
        <f>VLOOKUP(Table1[[#This Row],[Obergruppe ATC-Code]],Tabelle3!$A$2:$B$100,2)</f>
        <v>ANTIVIRALE MITTEL ZUR SYSTEMISCHEN ANWENDUNG</v>
      </c>
      <c r="X1633" s="1" t="str">
        <f xml:space="preserve"> LEFT(Table1[[#This Row],[Atc Code]],3)</f>
        <v>J05</v>
      </c>
    </row>
    <row r="1634" spans="1:24" ht="14.4">
      <c r="A1634" s="14">
        <v>1467</v>
      </c>
      <c r="B1634" s="24">
        <v>15227407</v>
      </c>
      <c r="C1634" s="1">
        <v>2200570</v>
      </c>
      <c r="D1634" s="1" t="s">
        <v>25</v>
      </c>
      <c r="E1634" s="36">
        <v>44635</v>
      </c>
      <c r="F1634" s="36">
        <v>44742</v>
      </c>
      <c r="G1634" s="38">
        <f t="shared" si="25"/>
        <v>107</v>
      </c>
      <c r="H1634" s="5">
        <v>44635</v>
      </c>
      <c r="I1634" s="5">
        <v>44742</v>
      </c>
      <c r="J1634" s="1" t="s">
        <v>26</v>
      </c>
      <c r="K1634" s="1" t="s">
        <v>3578</v>
      </c>
      <c r="L1634" s="1" t="s">
        <v>3579</v>
      </c>
      <c r="M1634" s="1" t="s">
        <v>3580</v>
      </c>
      <c r="N1634" s="1" t="s">
        <v>38</v>
      </c>
      <c r="O1634" s="1" t="s">
        <v>110</v>
      </c>
      <c r="P1634" s="1">
        <v>733396510</v>
      </c>
      <c r="R1634" s="1" t="s">
        <v>113</v>
      </c>
      <c r="S1634" s="1" t="s">
        <v>2830</v>
      </c>
      <c r="U1634" s="1" t="s">
        <v>130</v>
      </c>
      <c r="V1634" s="1" t="s">
        <v>262</v>
      </c>
      <c r="W1634" s="1" t="str">
        <f>VLOOKUP(Table1[[#This Row],[Obergruppe ATC-Code]],Tabelle3!$A$2:$B$100,2)</f>
        <v>ANTIVIRALE MITTEL ZUR SYSTEMISCHEN ANWENDUNG</v>
      </c>
      <c r="X1634" s="1" t="str">
        <f xml:space="preserve"> LEFT(Table1[[#This Row],[Atc Code]],3)</f>
        <v>J05</v>
      </c>
    </row>
    <row r="1635" spans="1:24" ht="14.4">
      <c r="A1635" s="14">
        <v>644</v>
      </c>
      <c r="B1635" s="25">
        <v>4231417</v>
      </c>
      <c r="C1635" s="1">
        <v>2705197</v>
      </c>
      <c r="D1635" s="1" t="s">
        <v>25</v>
      </c>
      <c r="E1635" s="36">
        <v>43831</v>
      </c>
      <c r="F1635" s="36">
        <v>43861</v>
      </c>
      <c r="G1635" s="38">
        <f t="shared" si="25"/>
        <v>30</v>
      </c>
      <c r="H1635" s="5">
        <v>43844</v>
      </c>
      <c r="I1635" s="5">
        <v>43864</v>
      </c>
      <c r="J1635" s="1" t="s">
        <v>41</v>
      </c>
      <c r="K1635" s="1" t="s">
        <v>3581</v>
      </c>
      <c r="L1635" s="1" t="s">
        <v>3582</v>
      </c>
      <c r="M1635" s="1" t="s">
        <v>3583</v>
      </c>
      <c r="N1635" s="1" t="s">
        <v>30</v>
      </c>
      <c r="O1635" s="1" t="s">
        <v>801</v>
      </c>
      <c r="P1635" s="1" t="s">
        <v>3584</v>
      </c>
      <c r="Q1635" s="1" t="s">
        <v>773</v>
      </c>
      <c r="R1635" s="1" t="s">
        <v>26</v>
      </c>
      <c r="S1635" s="1"/>
      <c r="U1635" s="1" t="s">
        <v>35</v>
      </c>
      <c r="V1635" s="1" t="s">
        <v>1292</v>
      </c>
      <c r="W1635" s="1" t="str">
        <f>VLOOKUP(Table1[[#This Row],[Obergruppe ATC-Code]],Tabelle3!$A$2:$B$100,2)</f>
        <v>ANTIVIRALE MITTEL ZUR SYSTEMISCHEN ANWENDUNG</v>
      </c>
      <c r="X1635" s="1" t="str">
        <f xml:space="preserve"> LEFT(Table1[[#This Row],[Atc Code]],3)</f>
        <v>J05</v>
      </c>
    </row>
    <row r="1636" spans="1:24" ht="14.4">
      <c r="A1636" s="14">
        <v>3105</v>
      </c>
      <c r="B1636" s="3" t="s">
        <v>3585</v>
      </c>
      <c r="C1636" s="1">
        <v>2169195</v>
      </c>
      <c r="D1636" s="1" t="s">
        <v>25</v>
      </c>
      <c r="E1636" s="36">
        <v>43191</v>
      </c>
      <c r="F1636" s="36">
        <v>43220</v>
      </c>
      <c r="G1636" s="38">
        <f t="shared" si="25"/>
        <v>29</v>
      </c>
      <c r="H1636" s="5">
        <v>43195</v>
      </c>
      <c r="I1636" s="5">
        <v>43222</v>
      </c>
      <c r="J1636" s="1" t="s">
        <v>26</v>
      </c>
      <c r="K1636" s="1" t="s">
        <v>3586</v>
      </c>
      <c r="L1636" s="1" t="s">
        <v>3587</v>
      </c>
      <c r="M1636" s="1" t="s">
        <v>3588</v>
      </c>
      <c r="N1636" s="1" t="s">
        <v>38</v>
      </c>
      <c r="O1636" s="1" t="s">
        <v>3589</v>
      </c>
      <c r="P1636" s="1" t="s">
        <v>3590</v>
      </c>
      <c r="Q1636" s="1" t="s">
        <v>3591</v>
      </c>
      <c r="R1636" s="1" t="s">
        <v>33</v>
      </c>
      <c r="S1636" s="1"/>
      <c r="T1636" s="1" t="s">
        <v>3592</v>
      </c>
      <c r="U1636" s="1" t="s">
        <v>35</v>
      </c>
      <c r="V1636" s="1" t="s">
        <v>262</v>
      </c>
      <c r="W1636" s="1" t="str">
        <f>VLOOKUP(Table1[[#This Row],[Obergruppe ATC-Code]],Tabelle3!$A$2:$B$100,2)</f>
        <v>ANTIVIRALE MITTEL ZUR SYSTEMISCHEN ANWENDUNG</v>
      </c>
      <c r="X1636" s="1" t="str">
        <f xml:space="preserve"> LEFT(Table1[[#This Row],[Atc Code]],3)</f>
        <v>J05</v>
      </c>
    </row>
    <row r="1637" spans="1:24" ht="14.4">
      <c r="A1637" s="14">
        <v>1434</v>
      </c>
      <c r="B1637" s="24">
        <v>14257607</v>
      </c>
      <c r="C1637" s="1">
        <v>2126075</v>
      </c>
      <c r="D1637" s="1" t="s">
        <v>25</v>
      </c>
      <c r="E1637" s="36">
        <v>44518</v>
      </c>
      <c r="F1637" s="36">
        <v>44550</v>
      </c>
      <c r="G1637" s="38">
        <f t="shared" si="25"/>
        <v>32</v>
      </c>
      <c r="H1637" s="5">
        <v>44518</v>
      </c>
      <c r="I1637" s="5">
        <v>44551</v>
      </c>
      <c r="J1637" s="1" t="s">
        <v>26</v>
      </c>
      <c r="K1637" s="1" t="s">
        <v>3593</v>
      </c>
      <c r="L1637" s="1" t="s">
        <v>3587</v>
      </c>
      <c r="M1637" s="1" t="s">
        <v>3588</v>
      </c>
      <c r="N1637" s="1" t="s">
        <v>30</v>
      </c>
      <c r="O1637" s="1" t="s">
        <v>3594</v>
      </c>
      <c r="Q1637" s="1" t="s">
        <v>3595</v>
      </c>
      <c r="R1637" s="1" t="s">
        <v>113</v>
      </c>
      <c r="S1637" s="1" t="s">
        <v>3596</v>
      </c>
      <c r="U1637" s="1" t="s">
        <v>57</v>
      </c>
      <c r="V1637" s="1" t="s">
        <v>1292</v>
      </c>
      <c r="W1637" s="1" t="str">
        <f>VLOOKUP(Table1[[#This Row],[Obergruppe ATC-Code]],Tabelle3!$A$2:$B$100,2)</f>
        <v>ANTIVIRALE MITTEL ZUR SYSTEMISCHEN ANWENDUNG</v>
      </c>
      <c r="X1637" s="1" t="str">
        <f xml:space="preserve"> LEFT(Table1[[#This Row],[Atc Code]],3)</f>
        <v>J05</v>
      </c>
    </row>
    <row r="1638" spans="1:24" ht="14.4">
      <c r="A1638" s="14">
        <v>2763</v>
      </c>
      <c r="B1638" s="24" t="s">
        <v>3597</v>
      </c>
      <c r="C1638" s="1">
        <v>2197571</v>
      </c>
      <c r="D1638" s="1" t="s">
        <v>25</v>
      </c>
      <c r="E1638" s="36">
        <v>43891</v>
      </c>
      <c r="F1638" s="36">
        <v>43982</v>
      </c>
      <c r="G1638" s="38">
        <f t="shared" si="25"/>
        <v>91</v>
      </c>
      <c r="H1638" s="5">
        <v>43908</v>
      </c>
      <c r="I1638" s="5">
        <v>43928</v>
      </c>
      <c r="J1638" s="1" t="s">
        <v>26</v>
      </c>
      <c r="K1638" s="1" t="s">
        <v>3598</v>
      </c>
      <c r="L1638" s="1" t="s">
        <v>3599</v>
      </c>
      <c r="M1638" s="1" t="s">
        <v>3600</v>
      </c>
      <c r="N1638" s="1" t="s">
        <v>30</v>
      </c>
      <c r="O1638" s="1" t="s">
        <v>1284</v>
      </c>
      <c r="P1638" s="1">
        <v>895589090</v>
      </c>
      <c r="Q1638" s="1" t="s">
        <v>1286</v>
      </c>
      <c r="R1638" s="1" t="s">
        <v>33</v>
      </c>
      <c r="S1638" s="1"/>
      <c r="U1638" s="1" t="s">
        <v>35</v>
      </c>
      <c r="V1638" s="1" t="s">
        <v>99</v>
      </c>
      <c r="W1638" s="1" t="str">
        <f>VLOOKUP(Table1[[#This Row],[Obergruppe ATC-Code]],Tabelle3!$A$2:$B$100,2)</f>
        <v>ANTIVIRALE MITTEL ZUR SYSTEMISCHEN ANWENDUNG</v>
      </c>
      <c r="X1638" s="1" t="str">
        <f xml:space="preserve"> LEFT(Table1[[#This Row],[Atc Code]],3)</f>
        <v>J05</v>
      </c>
    </row>
    <row r="1639" spans="1:24" ht="14.4">
      <c r="A1639" s="14">
        <v>2725</v>
      </c>
      <c r="B1639" s="24" t="s">
        <v>3601</v>
      </c>
      <c r="C1639" s="1">
        <v>2197309</v>
      </c>
      <c r="D1639" s="1" t="s">
        <v>25</v>
      </c>
      <c r="E1639" s="36">
        <v>43831</v>
      </c>
      <c r="F1639" s="36">
        <v>44012</v>
      </c>
      <c r="G1639" s="38">
        <f t="shared" si="25"/>
        <v>181</v>
      </c>
      <c r="H1639" s="5">
        <v>43866</v>
      </c>
      <c r="I1639" s="5">
        <v>44013</v>
      </c>
      <c r="J1639" s="1" t="s">
        <v>26</v>
      </c>
      <c r="K1639" s="1" t="s">
        <v>3602</v>
      </c>
      <c r="L1639" s="1" t="s">
        <v>3599</v>
      </c>
      <c r="M1639" s="1" t="s">
        <v>3603</v>
      </c>
      <c r="N1639" s="1" t="s">
        <v>38</v>
      </c>
      <c r="O1639" s="1" t="s">
        <v>1440</v>
      </c>
      <c r="P1639" s="1" t="s">
        <v>1441</v>
      </c>
      <c r="Q1639" s="1" t="s">
        <v>1442</v>
      </c>
      <c r="R1639" s="1" t="s">
        <v>33</v>
      </c>
      <c r="S1639" s="1"/>
      <c r="U1639" s="1" t="s">
        <v>35</v>
      </c>
      <c r="V1639" s="1" t="s">
        <v>99</v>
      </c>
      <c r="W1639" s="1" t="str">
        <f>VLOOKUP(Table1[[#This Row],[Obergruppe ATC-Code]],Tabelle3!$A$2:$B$100,2)</f>
        <v>ANTIVIRALE MITTEL ZUR SYSTEMISCHEN ANWENDUNG</v>
      </c>
      <c r="X1639" s="1" t="str">
        <f xml:space="preserve"> LEFT(Table1[[#This Row],[Atc Code]],3)</f>
        <v>J05</v>
      </c>
    </row>
    <row r="1640" spans="1:24" ht="14.4">
      <c r="A1640" s="14">
        <v>2724</v>
      </c>
      <c r="B1640" s="24" t="s">
        <v>3601</v>
      </c>
      <c r="C1640" s="1">
        <v>2197309</v>
      </c>
      <c r="D1640" s="1" t="s">
        <v>25</v>
      </c>
      <c r="E1640" s="36">
        <v>44136</v>
      </c>
      <c r="F1640" s="36">
        <v>44255</v>
      </c>
      <c r="G1640" s="38">
        <f t="shared" si="25"/>
        <v>119</v>
      </c>
      <c r="H1640" s="5">
        <v>44145</v>
      </c>
      <c r="I1640" s="5">
        <v>44257</v>
      </c>
      <c r="J1640" s="1" t="s">
        <v>41</v>
      </c>
      <c r="K1640" s="1" t="s">
        <v>3602</v>
      </c>
      <c r="L1640" s="1" t="s">
        <v>3599</v>
      </c>
      <c r="M1640" s="1" t="s">
        <v>3603</v>
      </c>
      <c r="N1640" s="1" t="s">
        <v>38</v>
      </c>
      <c r="O1640" s="1" t="s">
        <v>1440</v>
      </c>
      <c r="P1640" s="1" t="s">
        <v>1441</v>
      </c>
      <c r="Q1640" s="1" t="s">
        <v>1916</v>
      </c>
      <c r="R1640" s="1" t="s">
        <v>26</v>
      </c>
      <c r="S1640" s="1"/>
      <c r="U1640" s="1" t="s">
        <v>35</v>
      </c>
      <c r="V1640" s="1" t="s">
        <v>99</v>
      </c>
      <c r="W1640" s="1" t="str">
        <f>VLOOKUP(Table1[[#This Row],[Obergruppe ATC-Code]],Tabelle3!$A$2:$B$100,2)</f>
        <v>ANTIVIRALE MITTEL ZUR SYSTEMISCHEN ANWENDUNG</v>
      </c>
      <c r="X1640" s="1" t="str">
        <f xml:space="preserve"> LEFT(Table1[[#This Row],[Atc Code]],3)</f>
        <v>J05</v>
      </c>
    </row>
    <row r="1641" spans="1:24" ht="14.4">
      <c r="A1641" s="14">
        <v>2717</v>
      </c>
      <c r="B1641" s="24" t="s">
        <v>3604</v>
      </c>
      <c r="C1641" s="1">
        <v>2198353</v>
      </c>
      <c r="D1641" s="1" t="s">
        <v>25</v>
      </c>
      <c r="E1641" s="36">
        <v>44013</v>
      </c>
      <c r="F1641" s="36">
        <v>44196</v>
      </c>
      <c r="G1641" s="38">
        <f t="shared" si="25"/>
        <v>183</v>
      </c>
      <c r="H1641" s="5">
        <v>44014</v>
      </c>
      <c r="I1641" s="5">
        <v>44172</v>
      </c>
      <c r="J1641" s="1" t="s">
        <v>26</v>
      </c>
      <c r="K1641" s="1" t="s">
        <v>3605</v>
      </c>
      <c r="L1641" s="1" t="s">
        <v>3606</v>
      </c>
      <c r="M1641" s="1" t="s">
        <v>3607</v>
      </c>
      <c r="N1641" s="1" t="s">
        <v>30</v>
      </c>
      <c r="O1641" s="1" t="s">
        <v>1284</v>
      </c>
      <c r="P1641" s="1">
        <v>895589090</v>
      </c>
      <c r="Q1641" s="1" t="s">
        <v>1286</v>
      </c>
      <c r="R1641" s="1" t="s">
        <v>33</v>
      </c>
      <c r="S1641" s="1"/>
      <c r="U1641" s="1" t="s">
        <v>35</v>
      </c>
      <c r="V1641" s="1" t="s">
        <v>99</v>
      </c>
      <c r="W1641" s="1" t="str">
        <f>VLOOKUP(Table1[[#This Row],[Obergruppe ATC-Code]],Tabelle3!$A$2:$B$100,2)</f>
        <v>ANTIVIRALE MITTEL ZUR SYSTEMISCHEN ANWENDUNG</v>
      </c>
      <c r="X1641" s="1" t="str">
        <f xml:space="preserve"> LEFT(Table1[[#This Row],[Atc Code]],3)</f>
        <v>J05</v>
      </c>
    </row>
    <row r="1642" spans="1:24" ht="14.4">
      <c r="A1642" s="14">
        <v>936</v>
      </c>
      <c r="B1642" s="25">
        <v>7618619</v>
      </c>
      <c r="C1642" s="1">
        <v>2708147</v>
      </c>
      <c r="D1642" s="1" t="s">
        <v>25</v>
      </c>
      <c r="E1642" s="36">
        <v>43466</v>
      </c>
      <c r="F1642" s="36">
        <v>43830</v>
      </c>
      <c r="G1642" s="38">
        <f t="shared" si="25"/>
        <v>364</v>
      </c>
      <c r="H1642" s="5">
        <v>43426</v>
      </c>
      <c r="I1642" s="5">
        <v>43455</v>
      </c>
      <c r="J1642" s="1" t="s">
        <v>41</v>
      </c>
      <c r="K1642" s="1" t="s">
        <v>3608</v>
      </c>
      <c r="L1642" s="1" t="s">
        <v>3609</v>
      </c>
      <c r="M1642" s="1" t="s">
        <v>3610</v>
      </c>
      <c r="N1642" s="1" t="s">
        <v>30</v>
      </c>
      <c r="O1642" s="1" t="s">
        <v>801</v>
      </c>
      <c r="P1642" s="1" t="s">
        <v>3584</v>
      </c>
      <c r="Q1642" s="1" t="s">
        <v>773</v>
      </c>
      <c r="R1642" s="1" t="s">
        <v>165</v>
      </c>
      <c r="S1642" s="1"/>
      <c r="U1642" s="1" t="s">
        <v>35</v>
      </c>
      <c r="V1642" s="1" t="s">
        <v>359</v>
      </c>
      <c r="W1642" s="1" t="str">
        <f>VLOOKUP(Table1[[#This Row],[Obergruppe ATC-Code]],Tabelle3!$A$2:$B$100,2)</f>
        <v>ANTIVIRALE MITTEL ZUR SYSTEMISCHEN ANWENDUNG</v>
      </c>
      <c r="X1642" s="1" t="str">
        <f xml:space="preserve"> LEFT(Table1[[#This Row],[Atc Code]],3)</f>
        <v>J05</v>
      </c>
    </row>
    <row r="1643" spans="1:24" ht="14.4">
      <c r="A1643" s="14">
        <v>2349</v>
      </c>
      <c r="B1643" s="24" t="s">
        <v>3611</v>
      </c>
      <c r="C1643" s="1">
        <v>2708147</v>
      </c>
      <c r="D1643" s="1" t="s">
        <v>25</v>
      </c>
      <c r="E1643" s="36">
        <v>43647</v>
      </c>
      <c r="F1643" s="36">
        <v>43738</v>
      </c>
      <c r="G1643" s="38">
        <f t="shared" si="25"/>
        <v>91</v>
      </c>
      <c r="H1643" s="5">
        <v>43663</v>
      </c>
      <c r="I1643" s="5">
        <v>43713</v>
      </c>
      <c r="J1643" s="1" t="s">
        <v>41</v>
      </c>
      <c r="K1643" s="1" t="s">
        <v>3608</v>
      </c>
      <c r="L1643" s="1" t="s">
        <v>3609</v>
      </c>
      <c r="M1643" s="1" t="s">
        <v>3610</v>
      </c>
      <c r="N1643" s="1" t="s">
        <v>30</v>
      </c>
      <c r="O1643" s="1" t="s">
        <v>801</v>
      </c>
      <c r="P1643" s="1" t="s">
        <v>3584</v>
      </c>
      <c r="Q1643" s="1" t="s">
        <v>773</v>
      </c>
      <c r="R1643" s="1" t="s">
        <v>26</v>
      </c>
      <c r="S1643" s="1"/>
      <c r="U1643" s="1" t="s">
        <v>35</v>
      </c>
      <c r="V1643" s="1" t="s">
        <v>359</v>
      </c>
      <c r="W1643" s="1" t="str">
        <f>VLOOKUP(Table1[[#This Row],[Obergruppe ATC-Code]],Tabelle3!$A$2:$B$100,2)</f>
        <v>ANTIVIRALE MITTEL ZUR SYSTEMISCHEN ANWENDUNG</v>
      </c>
      <c r="X1643" s="1" t="str">
        <f xml:space="preserve"> LEFT(Table1[[#This Row],[Atc Code]],3)</f>
        <v>J05</v>
      </c>
    </row>
    <row r="1644" spans="1:24" ht="14.4">
      <c r="A1644" s="14">
        <v>2597</v>
      </c>
      <c r="B1644" s="24" t="s">
        <v>3612</v>
      </c>
      <c r="C1644" s="1">
        <v>2194905</v>
      </c>
      <c r="D1644" s="1" t="s">
        <v>25</v>
      </c>
      <c r="E1644" s="36">
        <v>43891</v>
      </c>
      <c r="F1644" s="36">
        <v>44196</v>
      </c>
      <c r="G1644" s="38">
        <f t="shared" si="25"/>
        <v>305</v>
      </c>
      <c r="H1644" s="5">
        <v>43921</v>
      </c>
      <c r="I1644" s="5">
        <v>44175</v>
      </c>
      <c r="J1644" s="1" t="s">
        <v>26</v>
      </c>
      <c r="K1644" s="1" t="s">
        <v>3613</v>
      </c>
      <c r="L1644" s="1" t="s">
        <v>3609</v>
      </c>
      <c r="M1644" s="1" t="s">
        <v>3614</v>
      </c>
      <c r="N1644" s="1" t="s">
        <v>30</v>
      </c>
      <c r="O1644" s="1" t="s">
        <v>45</v>
      </c>
      <c r="P1644" s="1" t="s">
        <v>104</v>
      </c>
      <c r="Q1644" s="1" t="s">
        <v>105</v>
      </c>
      <c r="R1644" s="1" t="s">
        <v>33</v>
      </c>
      <c r="S1644" s="1"/>
      <c r="U1644" s="1" t="s">
        <v>35</v>
      </c>
      <c r="V1644" s="1" t="s">
        <v>359</v>
      </c>
      <c r="W1644" s="1" t="str">
        <f>VLOOKUP(Table1[[#This Row],[Obergruppe ATC-Code]],Tabelle3!$A$2:$B$100,2)</f>
        <v>ANTIVIRALE MITTEL ZUR SYSTEMISCHEN ANWENDUNG</v>
      </c>
      <c r="X1644" s="1" t="str">
        <f xml:space="preserve"> LEFT(Table1[[#This Row],[Atc Code]],3)</f>
        <v>J05</v>
      </c>
    </row>
    <row r="1645" spans="1:24" ht="14.4">
      <c r="A1645" s="14">
        <v>2519</v>
      </c>
      <c r="B1645" s="24" t="s">
        <v>3615</v>
      </c>
      <c r="C1645" s="1">
        <v>2183586</v>
      </c>
      <c r="D1645" s="1" t="s">
        <v>25</v>
      </c>
      <c r="E1645" s="36">
        <v>43891</v>
      </c>
      <c r="F1645" s="36">
        <v>44196</v>
      </c>
      <c r="G1645" s="38">
        <f t="shared" si="25"/>
        <v>305</v>
      </c>
      <c r="H1645" s="5">
        <v>43917</v>
      </c>
      <c r="I1645" s="5">
        <v>44175</v>
      </c>
      <c r="J1645" s="1" t="s">
        <v>26</v>
      </c>
      <c r="K1645" s="1" t="s">
        <v>3616</v>
      </c>
      <c r="L1645" s="1" t="s">
        <v>3609</v>
      </c>
      <c r="M1645" s="1" t="s">
        <v>3614</v>
      </c>
      <c r="N1645" s="1" t="s">
        <v>30</v>
      </c>
      <c r="O1645" s="1" t="s">
        <v>45</v>
      </c>
      <c r="P1645" s="1" t="s">
        <v>104</v>
      </c>
      <c r="Q1645" s="1" t="s">
        <v>105</v>
      </c>
      <c r="R1645" s="1" t="s">
        <v>33</v>
      </c>
      <c r="S1645" s="1"/>
      <c r="U1645" s="1" t="s">
        <v>35</v>
      </c>
      <c r="V1645" s="1" t="s">
        <v>49</v>
      </c>
      <c r="W1645" s="1" t="str">
        <f>VLOOKUP(Table1[[#This Row],[Obergruppe ATC-Code]],Tabelle3!$A$2:$B$100,2)</f>
        <v>ANTIVIRALE MITTEL ZUR SYSTEMISCHEN ANWENDUNG</v>
      </c>
      <c r="X1645" s="1" t="str">
        <f xml:space="preserve"> LEFT(Table1[[#This Row],[Atc Code]],3)</f>
        <v>J05</v>
      </c>
    </row>
    <row r="1646" spans="1:24" ht="14.4">
      <c r="A1646" s="14">
        <v>2799</v>
      </c>
      <c r="B1646" s="24" t="s">
        <v>3617</v>
      </c>
      <c r="C1646" s="1">
        <v>2198862</v>
      </c>
      <c r="D1646" s="1" t="s">
        <v>175</v>
      </c>
      <c r="E1646" s="36">
        <v>45161</v>
      </c>
      <c r="F1646" s="36">
        <v>45215</v>
      </c>
      <c r="G1646" s="38">
        <f t="shared" si="25"/>
        <v>54</v>
      </c>
      <c r="H1646" s="5">
        <v>45161</v>
      </c>
      <c r="I1646" s="5">
        <v>45161</v>
      </c>
      <c r="J1646" s="1" t="s">
        <v>41</v>
      </c>
      <c r="K1646" s="1" t="s">
        <v>3618</v>
      </c>
      <c r="L1646" s="1" t="s">
        <v>3609</v>
      </c>
      <c r="M1646" s="1" t="s">
        <v>3614</v>
      </c>
      <c r="N1646" s="1" t="s">
        <v>38</v>
      </c>
      <c r="O1646" s="1" t="s">
        <v>3619</v>
      </c>
      <c r="P1646" s="1">
        <v>69478730</v>
      </c>
      <c r="Q1646" s="1" t="s">
        <v>3620</v>
      </c>
      <c r="R1646" s="1" t="s">
        <v>128</v>
      </c>
      <c r="S1646" s="1" t="s">
        <v>3621</v>
      </c>
      <c r="U1646" s="1" t="s">
        <v>35</v>
      </c>
      <c r="V1646" s="1" t="s">
        <v>359</v>
      </c>
      <c r="W1646" s="1" t="str">
        <f>VLOOKUP(Table1[[#This Row],[Obergruppe ATC-Code]],Tabelle3!$A$2:$B$100,2)</f>
        <v>ANTIVIRALE MITTEL ZUR SYSTEMISCHEN ANWENDUNG</v>
      </c>
      <c r="X1646" s="1" t="str">
        <f xml:space="preserve"> LEFT(Table1[[#This Row],[Atc Code]],3)</f>
        <v>J05</v>
      </c>
    </row>
    <row r="1647" spans="1:24" ht="14.4">
      <c r="A1647" s="14">
        <v>1707</v>
      </c>
      <c r="B1647" s="24" t="s">
        <v>3622</v>
      </c>
      <c r="C1647" s="1">
        <v>2700782</v>
      </c>
      <c r="D1647" s="1" t="s">
        <v>25</v>
      </c>
      <c r="E1647" s="36">
        <v>43586</v>
      </c>
      <c r="F1647" s="36">
        <v>43677</v>
      </c>
      <c r="G1647" s="38">
        <f t="shared" si="25"/>
        <v>91</v>
      </c>
      <c r="H1647" s="5">
        <v>43609</v>
      </c>
      <c r="I1647" s="5">
        <v>43651</v>
      </c>
      <c r="J1647" s="1" t="s">
        <v>26</v>
      </c>
      <c r="K1647" s="1" t="s">
        <v>3623</v>
      </c>
      <c r="L1647" s="1" t="s">
        <v>3624</v>
      </c>
      <c r="M1647" s="1" t="s">
        <v>3625</v>
      </c>
      <c r="N1647" s="1" t="s">
        <v>30</v>
      </c>
      <c r="O1647" s="1" t="s">
        <v>3626</v>
      </c>
      <c r="P1647" s="1" t="s">
        <v>3627</v>
      </c>
      <c r="Q1647" s="1" t="s">
        <v>3628</v>
      </c>
      <c r="R1647" s="1" t="s">
        <v>33</v>
      </c>
      <c r="S1647" s="1"/>
      <c r="T1647" s="1" t="s">
        <v>3629</v>
      </c>
      <c r="U1647" s="1" t="s">
        <v>57</v>
      </c>
      <c r="V1647" s="1" t="s">
        <v>3630</v>
      </c>
      <c r="W1647" s="1" t="str">
        <f>VLOOKUP(Table1[[#This Row],[Obergruppe ATC-Code]],Tabelle3!$A$2:$B$100,2)</f>
        <v>ANTIVIRALE MITTEL ZUR SYSTEMISCHEN ANWENDUNG</v>
      </c>
      <c r="X1647" s="1" t="str">
        <f xml:space="preserve"> LEFT(Table1[[#This Row],[Atc Code]],3)</f>
        <v>J05</v>
      </c>
    </row>
    <row r="1648" spans="1:24" ht="14.4">
      <c r="A1648" s="14">
        <v>3106</v>
      </c>
      <c r="B1648" s="1">
        <v>2731699</v>
      </c>
      <c r="C1648" s="1">
        <v>2701939</v>
      </c>
      <c r="D1648" s="1" t="s">
        <v>25</v>
      </c>
      <c r="E1648" s="36">
        <v>43831</v>
      </c>
      <c r="F1648" s="36">
        <v>44012</v>
      </c>
      <c r="G1648" s="38">
        <f t="shared" si="25"/>
        <v>181</v>
      </c>
      <c r="H1648" s="5">
        <v>43775</v>
      </c>
      <c r="I1648" s="5">
        <v>44012</v>
      </c>
      <c r="J1648" s="1" t="s">
        <v>41</v>
      </c>
      <c r="K1648" s="1" t="s">
        <v>3631</v>
      </c>
      <c r="L1648" s="1" t="s">
        <v>3624</v>
      </c>
      <c r="M1648" s="1" t="s">
        <v>3625</v>
      </c>
      <c r="N1648" s="1" t="s">
        <v>30</v>
      </c>
      <c r="O1648" s="1" t="s">
        <v>3626</v>
      </c>
      <c r="P1648" s="1" t="s">
        <v>3627</v>
      </c>
      <c r="Q1648" s="1" t="s">
        <v>3628</v>
      </c>
      <c r="R1648" s="1" t="s">
        <v>26</v>
      </c>
      <c r="S1648" s="1"/>
      <c r="T1648" s="1" t="s">
        <v>3632</v>
      </c>
      <c r="U1648" s="1" t="s">
        <v>57</v>
      </c>
      <c r="V1648" s="1" t="s">
        <v>99</v>
      </c>
      <c r="W1648" s="1" t="str">
        <f>VLOOKUP(Table1[[#This Row],[Obergruppe ATC-Code]],Tabelle3!$A$2:$B$100,2)</f>
        <v>ANTIVIRALE MITTEL ZUR SYSTEMISCHEN ANWENDUNG</v>
      </c>
      <c r="X1648" s="1" t="str">
        <f xml:space="preserve"> LEFT(Table1[[#This Row],[Atc Code]],3)</f>
        <v>J05</v>
      </c>
    </row>
    <row r="1649" spans="1:24" ht="15.6">
      <c r="A1649" s="14">
        <v>90</v>
      </c>
      <c r="B1649" s="15">
        <v>577372</v>
      </c>
      <c r="C1649" s="1">
        <v>2145815</v>
      </c>
      <c r="D1649" s="1" t="s">
        <v>25</v>
      </c>
      <c r="E1649" s="36">
        <v>42675</v>
      </c>
      <c r="F1649" s="36">
        <v>43008</v>
      </c>
      <c r="G1649" s="38">
        <f t="shared" si="25"/>
        <v>333</v>
      </c>
      <c r="H1649" s="5">
        <v>42699</v>
      </c>
      <c r="I1649" s="5">
        <v>43007</v>
      </c>
      <c r="J1649" s="1" t="s">
        <v>41</v>
      </c>
      <c r="K1649" s="1" t="s">
        <v>3633</v>
      </c>
      <c r="L1649" s="1" t="s">
        <v>3634</v>
      </c>
      <c r="M1649" s="1" t="s">
        <v>3635</v>
      </c>
      <c r="N1649" s="1" t="s">
        <v>38</v>
      </c>
      <c r="O1649" s="1" t="s">
        <v>2107</v>
      </c>
      <c r="P1649" s="1" t="s">
        <v>3636</v>
      </c>
      <c r="Q1649" s="1" t="s">
        <v>647</v>
      </c>
      <c r="R1649" s="1" t="s">
        <v>65</v>
      </c>
      <c r="S1649" s="1"/>
      <c r="U1649" s="1" t="s">
        <v>35</v>
      </c>
      <c r="V1649" s="1" t="s">
        <v>3637</v>
      </c>
      <c r="W1649" s="1" t="str">
        <f>VLOOKUP(Table1[[#This Row],[Obergruppe ATC-Code]],Tabelle3!$A$2:$B$100,2)</f>
        <v>ANTIVIRALE MITTEL ZUR SYSTEMISCHEN ANWENDUNG</v>
      </c>
      <c r="X1649" s="1" t="str">
        <f xml:space="preserve"> LEFT(Table1[[#This Row],[Atc Code]],3)</f>
        <v>J05</v>
      </c>
    </row>
    <row r="1650" spans="1:24" ht="14.4">
      <c r="A1650" s="14">
        <v>1735</v>
      </c>
      <c r="B1650" s="24" t="s">
        <v>3638</v>
      </c>
      <c r="C1650" s="1">
        <v>2145815</v>
      </c>
      <c r="D1650" s="1" t="s">
        <v>25</v>
      </c>
      <c r="E1650" s="36">
        <v>43160</v>
      </c>
      <c r="F1650" s="36">
        <v>43434</v>
      </c>
      <c r="G1650" s="38">
        <f t="shared" si="25"/>
        <v>274</v>
      </c>
      <c r="H1650" s="5">
        <v>43164</v>
      </c>
      <c r="I1650" s="5">
        <v>43430</v>
      </c>
      <c r="J1650" s="1" t="s">
        <v>41</v>
      </c>
      <c r="K1650" s="1" t="s">
        <v>3633</v>
      </c>
      <c r="L1650" s="1" t="s">
        <v>3634</v>
      </c>
      <c r="M1650" s="1" t="s">
        <v>3635</v>
      </c>
      <c r="N1650" s="1" t="s">
        <v>30</v>
      </c>
      <c r="O1650" s="1" t="s">
        <v>2107</v>
      </c>
      <c r="P1650" s="1" t="s">
        <v>3639</v>
      </c>
      <c r="Q1650" s="1" t="s">
        <v>761</v>
      </c>
      <c r="R1650" s="1" t="s">
        <v>48</v>
      </c>
      <c r="S1650" s="1"/>
      <c r="U1650" s="1" t="s">
        <v>35</v>
      </c>
      <c r="V1650" s="1" t="s">
        <v>3637</v>
      </c>
      <c r="W1650" s="1" t="str">
        <f>VLOOKUP(Table1[[#This Row],[Obergruppe ATC-Code]],Tabelle3!$A$2:$B$100,2)</f>
        <v>ANTIVIRALE MITTEL ZUR SYSTEMISCHEN ANWENDUNG</v>
      </c>
      <c r="X1650" s="1" t="str">
        <f xml:space="preserve"> LEFT(Table1[[#This Row],[Atc Code]],3)</f>
        <v>J05</v>
      </c>
    </row>
    <row r="1651" spans="1:24" ht="14.4">
      <c r="A1651" s="14">
        <v>1734</v>
      </c>
      <c r="B1651" s="24" t="s">
        <v>3638</v>
      </c>
      <c r="C1651" s="1">
        <v>2145815</v>
      </c>
      <c r="D1651" s="1" t="s">
        <v>25</v>
      </c>
      <c r="E1651" s="36">
        <v>43770</v>
      </c>
      <c r="F1651" s="36">
        <v>43890</v>
      </c>
      <c r="G1651" s="38">
        <f t="shared" si="25"/>
        <v>120</v>
      </c>
      <c r="H1651" s="5">
        <v>43787</v>
      </c>
      <c r="I1651" s="5">
        <v>43880</v>
      </c>
      <c r="J1651" s="1" t="s">
        <v>41</v>
      </c>
      <c r="K1651" s="1" t="s">
        <v>3633</v>
      </c>
      <c r="L1651" s="1" t="s">
        <v>3634</v>
      </c>
      <c r="M1651" s="1" t="s">
        <v>3635</v>
      </c>
      <c r="N1651" s="1" t="s">
        <v>30</v>
      </c>
      <c r="O1651" s="1" t="s">
        <v>2107</v>
      </c>
      <c r="P1651" s="1" t="s">
        <v>3639</v>
      </c>
      <c r="Q1651" s="1" t="s">
        <v>761</v>
      </c>
      <c r="R1651" s="1" t="s">
        <v>48</v>
      </c>
      <c r="S1651" s="1"/>
      <c r="U1651" s="1" t="s">
        <v>57</v>
      </c>
      <c r="V1651" s="1" t="s">
        <v>3637</v>
      </c>
      <c r="W1651" s="1" t="str">
        <f>VLOOKUP(Table1[[#This Row],[Obergruppe ATC-Code]],Tabelle3!$A$2:$B$100,2)</f>
        <v>ANTIVIRALE MITTEL ZUR SYSTEMISCHEN ANWENDUNG</v>
      </c>
      <c r="X1651" s="1" t="str">
        <f xml:space="preserve"> LEFT(Table1[[#This Row],[Atc Code]],3)</f>
        <v>J05</v>
      </c>
    </row>
    <row r="1652" spans="1:24" ht="14.4">
      <c r="A1652" s="14">
        <v>2986</v>
      </c>
      <c r="B1652" s="24" t="s">
        <v>3640</v>
      </c>
      <c r="C1652" s="1">
        <v>2145815</v>
      </c>
      <c r="D1652" s="1" t="s">
        <v>25</v>
      </c>
      <c r="E1652" s="36">
        <v>43891</v>
      </c>
      <c r="F1652" s="36">
        <v>44043</v>
      </c>
      <c r="G1652" s="38">
        <f t="shared" si="25"/>
        <v>152</v>
      </c>
      <c r="H1652" s="5">
        <v>43910</v>
      </c>
      <c r="I1652" s="5">
        <v>44032</v>
      </c>
      <c r="J1652" s="1" t="s">
        <v>41</v>
      </c>
      <c r="K1652" s="1" t="s">
        <v>3633</v>
      </c>
      <c r="L1652" s="1" t="s">
        <v>3634</v>
      </c>
      <c r="M1652" s="1" t="s">
        <v>3635</v>
      </c>
      <c r="N1652" s="1" t="s">
        <v>30</v>
      </c>
      <c r="O1652" s="1" t="s">
        <v>2107</v>
      </c>
      <c r="P1652" s="1" t="s">
        <v>3639</v>
      </c>
      <c r="Q1652" s="1" t="s">
        <v>761</v>
      </c>
      <c r="R1652" s="1" t="s">
        <v>48</v>
      </c>
      <c r="S1652" s="1"/>
      <c r="U1652" s="1" t="s">
        <v>35</v>
      </c>
      <c r="V1652" s="1" t="s">
        <v>3637</v>
      </c>
      <c r="W1652" s="1" t="str">
        <f>VLOOKUP(Table1[[#This Row],[Obergruppe ATC-Code]],Tabelle3!$A$2:$B$100,2)</f>
        <v>ANTIVIRALE MITTEL ZUR SYSTEMISCHEN ANWENDUNG</v>
      </c>
      <c r="X1652" s="1" t="str">
        <f xml:space="preserve"> LEFT(Table1[[#This Row],[Atc Code]],3)</f>
        <v>J05</v>
      </c>
    </row>
    <row r="1653" spans="1:24" ht="14.4">
      <c r="A1653" s="14">
        <v>2369</v>
      </c>
      <c r="B1653" s="24" t="s">
        <v>3641</v>
      </c>
      <c r="C1653" s="1">
        <v>2708665</v>
      </c>
      <c r="D1653" s="1" t="s">
        <v>25</v>
      </c>
      <c r="E1653" s="36">
        <v>43922</v>
      </c>
      <c r="F1653" s="36">
        <v>43982</v>
      </c>
      <c r="G1653" s="38">
        <f t="shared" si="25"/>
        <v>60</v>
      </c>
      <c r="H1653" s="5">
        <v>43908</v>
      </c>
      <c r="I1653" s="5">
        <v>43962</v>
      </c>
      <c r="J1653" s="1" t="s">
        <v>41</v>
      </c>
      <c r="K1653" s="1" t="s">
        <v>3642</v>
      </c>
      <c r="L1653" s="1" t="s">
        <v>3643</v>
      </c>
      <c r="M1653" s="1" t="s">
        <v>3644</v>
      </c>
      <c r="N1653" s="1" t="s">
        <v>38</v>
      </c>
      <c r="O1653" s="1" t="s">
        <v>3645</v>
      </c>
      <c r="P1653" s="1" t="s">
        <v>3646</v>
      </c>
      <c r="Q1653" s="1" t="s">
        <v>3647</v>
      </c>
      <c r="R1653" s="1" t="s">
        <v>48</v>
      </c>
      <c r="S1653" s="1"/>
      <c r="U1653" s="1" t="s">
        <v>35</v>
      </c>
      <c r="V1653" s="1" t="s">
        <v>1433</v>
      </c>
      <c r="W1653" s="1" t="str">
        <f>VLOOKUP(Table1[[#This Row],[Obergruppe ATC-Code]],Tabelle3!$A$2:$B$100,2)</f>
        <v>ANTIVIRALE MITTEL ZUR SYSTEMISCHEN ANWENDUNG</v>
      </c>
      <c r="X1653" s="1" t="str">
        <f xml:space="preserve"> LEFT(Table1[[#This Row],[Atc Code]],3)</f>
        <v>J05</v>
      </c>
    </row>
    <row r="1654" spans="1:24" ht="14.4">
      <c r="A1654" s="14">
        <v>2002</v>
      </c>
      <c r="B1654" s="24" t="s">
        <v>3648</v>
      </c>
      <c r="C1654" s="1">
        <v>2704338</v>
      </c>
      <c r="D1654" s="1" t="s">
        <v>25</v>
      </c>
      <c r="E1654" s="36">
        <v>43891</v>
      </c>
      <c r="F1654" s="36">
        <v>43982</v>
      </c>
      <c r="G1654" s="38">
        <f t="shared" si="25"/>
        <v>91</v>
      </c>
      <c r="H1654" s="5">
        <v>43895</v>
      </c>
      <c r="I1654" s="5">
        <v>43962</v>
      </c>
      <c r="J1654" s="1" t="s">
        <v>41</v>
      </c>
      <c r="K1654" s="1" t="s">
        <v>3649</v>
      </c>
      <c r="L1654" s="1" t="s">
        <v>3643</v>
      </c>
      <c r="M1654" s="1" t="s">
        <v>3644</v>
      </c>
      <c r="N1654" s="1" t="s">
        <v>38</v>
      </c>
      <c r="O1654" s="1" t="s">
        <v>3645</v>
      </c>
      <c r="P1654" s="1" t="s">
        <v>3646</v>
      </c>
      <c r="Q1654" s="1" t="s">
        <v>3647</v>
      </c>
      <c r="R1654" s="1" t="s">
        <v>48</v>
      </c>
      <c r="S1654" s="1"/>
      <c r="U1654" s="1" t="s">
        <v>35</v>
      </c>
      <c r="V1654" s="1" t="s">
        <v>262</v>
      </c>
      <c r="W1654" s="1" t="str">
        <f>VLOOKUP(Table1[[#This Row],[Obergruppe ATC-Code]],Tabelle3!$A$2:$B$100,2)</f>
        <v>ANTIVIRALE MITTEL ZUR SYSTEMISCHEN ANWENDUNG</v>
      </c>
      <c r="X1654" s="1" t="str">
        <f xml:space="preserve"> LEFT(Table1[[#This Row],[Atc Code]],3)</f>
        <v>J05</v>
      </c>
    </row>
    <row r="1655" spans="1:24" ht="14.4">
      <c r="A1655" s="14">
        <v>2001</v>
      </c>
      <c r="B1655" s="24" t="s">
        <v>3650</v>
      </c>
      <c r="C1655" s="1">
        <v>2704337</v>
      </c>
      <c r="D1655" s="1" t="s">
        <v>25</v>
      </c>
      <c r="E1655" s="36">
        <v>43922</v>
      </c>
      <c r="F1655" s="36">
        <v>43982</v>
      </c>
      <c r="G1655" s="38">
        <f t="shared" si="25"/>
        <v>60</v>
      </c>
      <c r="H1655" s="5">
        <v>43908</v>
      </c>
      <c r="I1655" s="5">
        <v>43962</v>
      </c>
      <c r="J1655" s="1" t="s">
        <v>41</v>
      </c>
      <c r="K1655" s="1" t="s">
        <v>3651</v>
      </c>
      <c r="L1655" s="1" t="s">
        <v>3643</v>
      </c>
      <c r="M1655" s="1" t="s">
        <v>3644</v>
      </c>
      <c r="N1655" s="1" t="s">
        <v>38</v>
      </c>
      <c r="O1655" s="1" t="s">
        <v>3645</v>
      </c>
      <c r="P1655" s="1" t="s">
        <v>3646</v>
      </c>
      <c r="Q1655" s="1" t="s">
        <v>3647</v>
      </c>
      <c r="R1655" s="1" t="s">
        <v>48</v>
      </c>
      <c r="S1655" s="1"/>
      <c r="U1655" s="1" t="s">
        <v>35</v>
      </c>
      <c r="V1655" s="1" t="s">
        <v>262</v>
      </c>
      <c r="W1655" s="1" t="str">
        <f>VLOOKUP(Table1[[#This Row],[Obergruppe ATC-Code]],Tabelle3!$A$2:$B$100,2)</f>
        <v>ANTIVIRALE MITTEL ZUR SYSTEMISCHEN ANWENDUNG</v>
      </c>
      <c r="X1655" s="1" t="str">
        <f xml:space="preserve"> LEFT(Table1[[#This Row],[Atc Code]],3)</f>
        <v>J05</v>
      </c>
    </row>
    <row r="1656" spans="1:24" ht="14.4">
      <c r="A1656" s="14">
        <v>1800</v>
      </c>
      <c r="B1656" s="24" t="s">
        <v>3652</v>
      </c>
      <c r="C1656" s="1">
        <v>2701754</v>
      </c>
      <c r="D1656" s="1" t="s">
        <v>25</v>
      </c>
      <c r="E1656" s="36">
        <v>43922</v>
      </c>
      <c r="F1656" s="36">
        <v>43982</v>
      </c>
      <c r="G1656" s="38">
        <f t="shared" si="25"/>
        <v>60</v>
      </c>
      <c r="H1656" s="5">
        <v>43908</v>
      </c>
      <c r="I1656" s="5">
        <v>43962</v>
      </c>
      <c r="J1656" s="1" t="s">
        <v>41</v>
      </c>
      <c r="K1656" s="1" t="s">
        <v>3653</v>
      </c>
      <c r="L1656" s="1" t="s">
        <v>3643</v>
      </c>
      <c r="M1656" s="1" t="s">
        <v>3644</v>
      </c>
      <c r="N1656" s="1" t="s">
        <v>38</v>
      </c>
      <c r="O1656" s="1" t="s">
        <v>3645</v>
      </c>
      <c r="P1656" s="1" t="s">
        <v>3646</v>
      </c>
      <c r="Q1656" s="1" t="s">
        <v>3647</v>
      </c>
      <c r="R1656" s="1" t="s">
        <v>48</v>
      </c>
      <c r="S1656" s="1"/>
      <c r="U1656" s="1" t="s">
        <v>35</v>
      </c>
      <c r="V1656" s="1" t="s">
        <v>262</v>
      </c>
      <c r="W1656" s="1" t="str">
        <f>VLOOKUP(Table1[[#This Row],[Obergruppe ATC-Code]],Tabelle3!$A$2:$B$100,2)</f>
        <v>ANTIVIRALE MITTEL ZUR SYSTEMISCHEN ANWENDUNG</v>
      </c>
      <c r="X1656" s="1" t="str">
        <f xml:space="preserve"> LEFT(Table1[[#This Row],[Atc Code]],3)</f>
        <v>J05</v>
      </c>
    </row>
    <row r="1657" spans="1:24" ht="14.4">
      <c r="A1657" s="14">
        <v>1336</v>
      </c>
      <c r="B1657" s="24">
        <v>12638860</v>
      </c>
      <c r="C1657" s="1">
        <v>2198449</v>
      </c>
      <c r="D1657" s="1" t="s">
        <v>25</v>
      </c>
      <c r="E1657" s="36">
        <v>44928</v>
      </c>
      <c r="F1657" s="36">
        <v>44991</v>
      </c>
      <c r="G1657" s="38">
        <f t="shared" si="25"/>
        <v>63</v>
      </c>
      <c r="H1657" s="5">
        <v>44942</v>
      </c>
      <c r="I1657" s="5">
        <v>44995</v>
      </c>
      <c r="J1657" s="1" t="s">
        <v>26</v>
      </c>
      <c r="K1657" s="1" t="s">
        <v>3654</v>
      </c>
      <c r="L1657" s="1" t="s">
        <v>3655</v>
      </c>
      <c r="M1657" s="1" t="s">
        <v>3656</v>
      </c>
      <c r="N1657" s="1" t="s">
        <v>38</v>
      </c>
      <c r="O1657" s="1" t="s">
        <v>1440</v>
      </c>
      <c r="P1657" s="1" t="s">
        <v>1540</v>
      </c>
      <c r="Q1657" s="1" t="s">
        <v>1541</v>
      </c>
      <c r="R1657" s="1" t="s">
        <v>113</v>
      </c>
      <c r="S1657" s="1"/>
      <c r="U1657" s="1" t="s">
        <v>35</v>
      </c>
      <c r="V1657" s="1" t="s">
        <v>99</v>
      </c>
      <c r="W1657" s="1" t="str">
        <f>VLOOKUP(Table1[[#This Row],[Obergruppe ATC-Code]],Tabelle3!$A$2:$B$100,2)</f>
        <v>ANTIVIRALE MITTEL ZUR SYSTEMISCHEN ANWENDUNG</v>
      </c>
      <c r="X1657" s="1" t="str">
        <f xml:space="preserve"> LEFT(Table1[[#This Row],[Atc Code]],3)</f>
        <v>J05</v>
      </c>
    </row>
    <row r="1658" spans="1:24" ht="14.4">
      <c r="A1658" s="14">
        <v>2729</v>
      </c>
      <c r="B1658" s="24" t="s">
        <v>3657</v>
      </c>
      <c r="C1658" s="1">
        <v>2712923</v>
      </c>
      <c r="D1658" s="1" t="s">
        <v>25</v>
      </c>
      <c r="E1658" s="36">
        <v>43525</v>
      </c>
      <c r="F1658" s="36">
        <v>43616</v>
      </c>
      <c r="G1658" s="38">
        <f t="shared" si="25"/>
        <v>91</v>
      </c>
      <c r="H1658" s="5">
        <v>43549</v>
      </c>
      <c r="I1658" s="5">
        <v>43620</v>
      </c>
      <c r="J1658" s="1" t="s">
        <v>41</v>
      </c>
      <c r="K1658" s="1" t="s">
        <v>3658</v>
      </c>
      <c r="L1658" s="1" t="s">
        <v>3659</v>
      </c>
      <c r="M1658" s="1" t="s">
        <v>3660</v>
      </c>
      <c r="N1658" s="1" t="s">
        <v>38</v>
      </c>
      <c r="O1658" s="1" t="s">
        <v>3661</v>
      </c>
      <c r="P1658" s="1" t="s">
        <v>266</v>
      </c>
      <c r="Q1658" s="1" t="s">
        <v>2495</v>
      </c>
      <c r="R1658" s="1" t="s">
        <v>26</v>
      </c>
      <c r="S1658" s="1"/>
      <c r="U1658" s="1" t="s">
        <v>35</v>
      </c>
      <c r="V1658" s="1" t="s">
        <v>99</v>
      </c>
      <c r="W1658" s="1" t="str">
        <f>VLOOKUP(Table1[[#This Row],[Obergruppe ATC-Code]],Tabelle3!$A$2:$B$100,2)</f>
        <v>ANTIVIRALE MITTEL ZUR SYSTEMISCHEN ANWENDUNG</v>
      </c>
      <c r="X1658" s="1" t="str">
        <f xml:space="preserve"> LEFT(Table1[[#This Row],[Atc Code]],3)</f>
        <v>J05</v>
      </c>
    </row>
    <row r="1659" spans="1:24" ht="14.4">
      <c r="A1659" s="14">
        <v>2728</v>
      </c>
      <c r="B1659" s="24" t="s">
        <v>3662</v>
      </c>
      <c r="C1659" s="1">
        <v>2712922</v>
      </c>
      <c r="D1659" s="1" t="s">
        <v>25</v>
      </c>
      <c r="E1659" s="36">
        <v>43525</v>
      </c>
      <c r="F1659" s="36">
        <v>43616</v>
      </c>
      <c r="G1659" s="38">
        <f t="shared" si="25"/>
        <v>91</v>
      </c>
      <c r="H1659" s="5">
        <v>43549</v>
      </c>
      <c r="I1659" s="5">
        <v>43620</v>
      </c>
      <c r="J1659" s="1" t="s">
        <v>41</v>
      </c>
      <c r="K1659" s="1" t="s">
        <v>3663</v>
      </c>
      <c r="L1659" s="1" t="s">
        <v>3659</v>
      </c>
      <c r="M1659" s="1" t="s">
        <v>3660</v>
      </c>
      <c r="N1659" s="1" t="s">
        <v>38</v>
      </c>
      <c r="O1659" s="1" t="s">
        <v>3661</v>
      </c>
      <c r="P1659" s="1" t="s">
        <v>266</v>
      </c>
      <c r="Q1659" s="1" t="s">
        <v>2495</v>
      </c>
      <c r="R1659" s="1" t="s">
        <v>26</v>
      </c>
      <c r="S1659" s="1"/>
      <c r="U1659" s="1" t="s">
        <v>35</v>
      </c>
      <c r="V1659" s="1" t="s">
        <v>99</v>
      </c>
      <c r="W1659" s="1" t="str">
        <f>VLOOKUP(Table1[[#This Row],[Obergruppe ATC-Code]],Tabelle3!$A$2:$B$100,2)</f>
        <v>ANTIVIRALE MITTEL ZUR SYSTEMISCHEN ANWENDUNG</v>
      </c>
      <c r="X1659" s="1" t="str">
        <f xml:space="preserve"> LEFT(Table1[[#This Row],[Atc Code]],3)</f>
        <v>J05</v>
      </c>
    </row>
    <row r="1660" spans="1:24" ht="14.4">
      <c r="A1660" s="14">
        <v>1366</v>
      </c>
      <c r="B1660" s="24">
        <v>13420850</v>
      </c>
      <c r="C1660" s="1">
        <v>2196985</v>
      </c>
      <c r="D1660" s="1" t="s">
        <v>25</v>
      </c>
      <c r="E1660" s="36">
        <v>45131</v>
      </c>
      <c r="F1660" s="36">
        <v>45152</v>
      </c>
      <c r="G1660" s="38">
        <f t="shared" si="25"/>
        <v>21</v>
      </c>
      <c r="H1660" s="5">
        <v>45128</v>
      </c>
      <c r="I1660" s="5">
        <v>45156</v>
      </c>
      <c r="J1660" s="1" t="s">
        <v>26</v>
      </c>
      <c r="K1660" s="1" t="s">
        <v>3664</v>
      </c>
      <c r="L1660" s="1" t="s">
        <v>3659</v>
      </c>
      <c r="M1660" s="1" t="s">
        <v>3660</v>
      </c>
      <c r="N1660" s="1" t="s">
        <v>38</v>
      </c>
      <c r="O1660" s="1" t="s">
        <v>3619</v>
      </c>
      <c r="P1660" s="1">
        <v>69478730</v>
      </c>
      <c r="Q1660" s="1" t="s">
        <v>3620</v>
      </c>
      <c r="R1660" s="1" t="s">
        <v>113</v>
      </c>
      <c r="S1660" s="1" t="s">
        <v>3665</v>
      </c>
      <c r="U1660" s="1" t="s">
        <v>130</v>
      </c>
      <c r="V1660" s="1" t="s">
        <v>99</v>
      </c>
      <c r="W1660" s="1" t="str">
        <f>VLOOKUP(Table1[[#This Row],[Obergruppe ATC-Code]],Tabelle3!$A$2:$B$100,2)</f>
        <v>ANTIVIRALE MITTEL ZUR SYSTEMISCHEN ANWENDUNG</v>
      </c>
      <c r="X1660" s="1" t="str">
        <f xml:space="preserve"> LEFT(Table1[[#This Row],[Atc Code]],3)</f>
        <v>J05</v>
      </c>
    </row>
    <row r="1661" spans="1:24" ht="14.4">
      <c r="A1661" s="14">
        <v>2740</v>
      </c>
      <c r="B1661" s="24" t="s">
        <v>3666</v>
      </c>
      <c r="C1661" s="1">
        <v>2196985</v>
      </c>
      <c r="D1661" s="1" t="s">
        <v>102</v>
      </c>
      <c r="E1661" s="36">
        <v>45161</v>
      </c>
      <c r="F1661" s="36">
        <v>45264</v>
      </c>
      <c r="G1661" s="38">
        <f t="shared" si="25"/>
        <v>103</v>
      </c>
      <c r="H1661" s="5">
        <v>45161</v>
      </c>
      <c r="I1661" s="5">
        <v>45216</v>
      </c>
      <c r="J1661" s="1" t="s">
        <v>26</v>
      </c>
      <c r="K1661" s="1" t="s">
        <v>3664</v>
      </c>
      <c r="L1661" s="1" t="s">
        <v>3659</v>
      </c>
      <c r="M1661" s="1" t="s">
        <v>3660</v>
      </c>
      <c r="N1661" s="1" t="s">
        <v>38</v>
      </c>
      <c r="O1661" s="1" t="s">
        <v>3619</v>
      </c>
      <c r="P1661" s="1">
        <v>69478730</v>
      </c>
      <c r="Q1661" s="1" t="s">
        <v>3620</v>
      </c>
      <c r="R1661" s="1" t="s">
        <v>113</v>
      </c>
      <c r="S1661" s="1" t="s">
        <v>3667</v>
      </c>
      <c r="U1661" s="1" t="s">
        <v>130</v>
      </c>
      <c r="V1661" s="1" t="s">
        <v>99</v>
      </c>
      <c r="W1661" s="1" t="str">
        <f>VLOOKUP(Table1[[#This Row],[Obergruppe ATC-Code]],Tabelle3!$A$2:$B$100,2)</f>
        <v>ANTIVIRALE MITTEL ZUR SYSTEMISCHEN ANWENDUNG</v>
      </c>
      <c r="X1661" s="1" t="str">
        <f xml:space="preserve"> LEFT(Table1[[#This Row],[Atc Code]],3)</f>
        <v>J05</v>
      </c>
    </row>
    <row r="1662" spans="1:24" ht="14.4">
      <c r="A1662" s="14">
        <v>1377</v>
      </c>
      <c r="B1662" s="24">
        <v>13705469</v>
      </c>
      <c r="C1662" s="1">
        <v>2714385</v>
      </c>
      <c r="D1662" s="1" t="s">
        <v>25</v>
      </c>
      <c r="E1662" s="36">
        <v>43525</v>
      </c>
      <c r="F1662" s="36">
        <v>43677</v>
      </c>
      <c r="G1662" s="38">
        <f t="shared" si="25"/>
        <v>152</v>
      </c>
      <c r="H1662" s="5">
        <v>43549</v>
      </c>
      <c r="I1662" s="5">
        <v>43671</v>
      </c>
      <c r="J1662" s="1" t="s">
        <v>41</v>
      </c>
      <c r="K1662" s="1" t="s">
        <v>3668</v>
      </c>
      <c r="L1662" s="1" t="s">
        <v>3669</v>
      </c>
      <c r="M1662" s="1" t="s">
        <v>3670</v>
      </c>
      <c r="N1662" s="1" t="s">
        <v>38</v>
      </c>
      <c r="O1662" s="1" t="s">
        <v>3661</v>
      </c>
      <c r="P1662" s="1" t="s">
        <v>266</v>
      </c>
      <c r="Q1662" s="1" t="s">
        <v>2495</v>
      </c>
      <c r="R1662" s="1" t="s">
        <v>26</v>
      </c>
      <c r="S1662" s="1"/>
      <c r="U1662" s="1" t="s">
        <v>35</v>
      </c>
      <c r="V1662" s="1" t="s">
        <v>99</v>
      </c>
      <c r="W1662" s="1" t="str">
        <f>VLOOKUP(Table1[[#This Row],[Obergruppe ATC-Code]],Tabelle3!$A$2:$B$100,2)</f>
        <v>ANTIVIRALE MITTEL ZUR SYSTEMISCHEN ANWENDUNG</v>
      </c>
      <c r="X1662" s="1" t="str">
        <f xml:space="preserve"> LEFT(Table1[[#This Row],[Atc Code]],3)</f>
        <v>J05</v>
      </c>
    </row>
    <row r="1663" spans="1:24" ht="14.4">
      <c r="A1663" s="14">
        <v>1379</v>
      </c>
      <c r="B1663" s="24">
        <v>13705469</v>
      </c>
      <c r="C1663" s="1">
        <v>2714521</v>
      </c>
      <c r="D1663" s="1" t="s">
        <v>25</v>
      </c>
      <c r="E1663" s="36">
        <v>43525</v>
      </c>
      <c r="F1663" s="36">
        <v>43677</v>
      </c>
      <c r="G1663" s="38">
        <f t="shared" si="25"/>
        <v>152</v>
      </c>
      <c r="H1663" s="5">
        <v>43549</v>
      </c>
      <c r="I1663" s="5">
        <v>43671</v>
      </c>
      <c r="J1663" s="1" t="s">
        <v>41</v>
      </c>
      <c r="K1663" s="1" t="s">
        <v>3671</v>
      </c>
      <c r="L1663" s="1" t="s">
        <v>3669</v>
      </c>
      <c r="M1663" s="1" t="s">
        <v>3670</v>
      </c>
      <c r="N1663" s="1" t="s">
        <v>38</v>
      </c>
      <c r="O1663" s="1" t="s">
        <v>3661</v>
      </c>
      <c r="P1663" s="1" t="s">
        <v>266</v>
      </c>
      <c r="Q1663" s="1" t="s">
        <v>2495</v>
      </c>
      <c r="R1663" s="1" t="s">
        <v>26</v>
      </c>
      <c r="S1663" s="1"/>
      <c r="U1663" s="1" t="s">
        <v>35</v>
      </c>
      <c r="V1663" s="1" t="s">
        <v>99</v>
      </c>
      <c r="W1663" s="1" t="str">
        <f>VLOOKUP(Table1[[#This Row],[Obergruppe ATC-Code]],Tabelle3!$A$2:$B$100,2)</f>
        <v>ANTIVIRALE MITTEL ZUR SYSTEMISCHEN ANWENDUNG</v>
      </c>
      <c r="X1663" s="1" t="str">
        <f xml:space="preserve"> LEFT(Table1[[#This Row],[Atc Code]],3)</f>
        <v>J05</v>
      </c>
    </row>
    <row r="1664" spans="1:24" ht="14.4">
      <c r="A1664" s="14">
        <v>1378</v>
      </c>
      <c r="B1664" s="24">
        <v>13705469</v>
      </c>
      <c r="C1664" s="1">
        <v>2714521</v>
      </c>
      <c r="D1664" s="1" t="s">
        <v>25</v>
      </c>
      <c r="E1664" s="36">
        <v>44136</v>
      </c>
      <c r="F1664" s="36">
        <v>44362</v>
      </c>
      <c r="G1664" s="38">
        <f t="shared" si="25"/>
        <v>226</v>
      </c>
      <c r="H1664" s="5">
        <v>44141</v>
      </c>
      <c r="I1664" s="5">
        <v>44362</v>
      </c>
      <c r="J1664" s="1" t="s">
        <v>41</v>
      </c>
      <c r="K1664" s="1" t="s">
        <v>3671</v>
      </c>
      <c r="L1664" s="1" t="s">
        <v>3669</v>
      </c>
      <c r="M1664" s="1" t="s">
        <v>3670</v>
      </c>
      <c r="N1664" s="1" t="s">
        <v>38</v>
      </c>
      <c r="O1664" s="1" t="s">
        <v>3661</v>
      </c>
      <c r="P1664" s="1" t="s">
        <v>266</v>
      </c>
      <c r="Q1664" s="1" t="s">
        <v>2495</v>
      </c>
      <c r="R1664" s="1" t="s">
        <v>26</v>
      </c>
      <c r="S1664" s="1"/>
      <c r="U1664" s="1" t="s">
        <v>35</v>
      </c>
      <c r="V1664" s="1" t="s">
        <v>99</v>
      </c>
      <c r="W1664" s="1" t="str">
        <f>VLOOKUP(Table1[[#This Row],[Obergruppe ATC-Code]],Tabelle3!$A$2:$B$100,2)</f>
        <v>ANTIVIRALE MITTEL ZUR SYSTEMISCHEN ANWENDUNG</v>
      </c>
      <c r="X1664" s="1" t="str">
        <f xml:space="preserve"> LEFT(Table1[[#This Row],[Atc Code]],3)</f>
        <v>J05</v>
      </c>
    </row>
    <row r="1665" spans="1:24" ht="14.4">
      <c r="A1665" s="14">
        <v>3108</v>
      </c>
      <c r="B1665" s="3">
        <v>13863530</v>
      </c>
      <c r="C1665" s="1">
        <v>2714296</v>
      </c>
      <c r="D1665" s="1" t="s">
        <v>25</v>
      </c>
      <c r="E1665" s="36">
        <v>43466</v>
      </c>
      <c r="F1665" s="36">
        <v>44135</v>
      </c>
      <c r="G1665" s="38">
        <f t="shared" si="25"/>
        <v>669</v>
      </c>
      <c r="H1665" s="5">
        <v>43490</v>
      </c>
      <c r="I1665" s="5">
        <v>44091</v>
      </c>
      <c r="J1665" s="1" t="s">
        <v>41</v>
      </c>
      <c r="K1665" s="1" t="s">
        <v>3672</v>
      </c>
      <c r="L1665" s="1" t="s">
        <v>3673</v>
      </c>
      <c r="M1665" s="1" t="s">
        <v>3674</v>
      </c>
      <c r="N1665" s="1" t="s">
        <v>30</v>
      </c>
      <c r="O1665" s="1" t="s">
        <v>590</v>
      </c>
      <c r="P1665" s="1" t="s">
        <v>256</v>
      </c>
      <c r="Q1665" s="1" t="s">
        <v>257</v>
      </c>
      <c r="R1665" s="1" t="s">
        <v>65</v>
      </c>
      <c r="S1665" s="1"/>
      <c r="T1665" s="1" t="s">
        <v>3675</v>
      </c>
      <c r="U1665" s="1" t="s">
        <v>35</v>
      </c>
      <c r="V1665" s="1" t="s">
        <v>279</v>
      </c>
      <c r="W1665" s="1" t="str">
        <f>VLOOKUP(Table1[[#This Row],[Obergruppe ATC-Code]],Tabelle3!$A$2:$B$100,2)</f>
        <v>ANTIVIRALE MITTEL ZUR SYSTEMISCHEN ANWENDUNG</v>
      </c>
      <c r="X1665" s="1" t="str">
        <f xml:space="preserve"> LEFT(Table1[[#This Row],[Atc Code]],3)</f>
        <v>J05</v>
      </c>
    </row>
    <row r="1666" spans="1:24" ht="14.4">
      <c r="A1666" s="14">
        <v>3109</v>
      </c>
      <c r="B1666" s="42">
        <v>13863530</v>
      </c>
      <c r="C1666" s="1">
        <v>2714297</v>
      </c>
      <c r="D1666" s="1" t="s">
        <v>25</v>
      </c>
      <c r="E1666" s="36">
        <v>43435</v>
      </c>
      <c r="F1666" s="36">
        <v>44135</v>
      </c>
      <c r="G1666" s="38">
        <f t="shared" ref="G1666:G1729" si="26">F1666-E1666</f>
        <v>700</v>
      </c>
      <c r="H1666" s="5">
        <v>43451</v>
      </c>
      <c r="I1666" s="5">
        <v>44091</v>
      </c>
      <c r="J1666" s="1" t="s">
        <v>26</v>
      </c>
      <c r="K1666" s="1" t="s">
        <v>3676</v>
      </c>
      <c r="L1666" s="1" t="s">
        <v>3673</v>
      </c>
      <c r="M1666" s="1" t="s">
        <v>3674</v>
      </c>
      <c r="N1666" s="1" t="s">
        <v>30</v>
      </c>
      <c r="O1666" s="1" t="s">
        <v>590</v>
      </c>
      <c r="P1666" s="1" t="s">
        <v>256</v>
      </c>
      <c r="Q1666" s="1" t="s">
        <v>257</v>
      </c>
      <c r="R1666" s="1" t="s">
        <v>33</v>
      </c>
      <c r="S1666" s="1"/>
      <c r="T1666" s="1" t="s">
        <v>3677</v>
      </c>
      <c r="U1666" s="1" t="s">
        <v>35</v>
      </c>
      <c r="V1666" s="1" t="s">
        <v>279</v>
      </c>
      <c r="W1666" s="1" t="str">
        <f>VLOOKUP(Table1[[#This Row],[Obergruppe ATC-Code]],Tabelle3!$A$2:$B$100,2)</f>
        <v>ANTIVIRALE MITTEL ZUR SYSTEMISCHEN ANWENDUNG</v>
      </c>
      <c r="X1666" s="1" t="str">
        <f xml:space="preserve"> LEFT(Table1[[#This Row],[Atc Code]],3)</f>
        <v>J05</v>
      </c>
    </row>
    <row r="1667" spans="1:24" ht="14.4">
      <c r="A1667" s="14">
        <v>1714</v>
      </c>
      <c r="B1667" s="24" t="s">
        <v>3678</v>
      </c>
      <c r="C1667" s="1">
        <v>2702422</v>
      </c>
      <c r="D1667" s="1" t="s">
        <v>25</v>
      </c>
      <c r="E1667" s="36">
        <v>42856</v>
      </c>
      <c r="F1667" s="36">
        <v>42886</v>
      </c>
      <c r="G1667" s="38">
        <f t="shared" si="26"/>
        <v>30</v>
      </c>
      <c r="H1667" s="5">
        <v>42877</v>
      </c>
      <c r="I1667" s="5">
        <v>42878</v>
      </c>
      <c r="J1667" s="1" t="s">
        <v>41</v>
      </c>
      <c r="K1667" s="1" t="s">
        <v>3679</v>
      </c>
      <c r="L1667" s="1" t="s">
        <v>3680</v>
      </c>
      <c r="M1667" s="1" t="s">
        <v>3681</v>
      </c>
      <c r="N1667" s="1" t="s">
        <v>38</v>
      </c>
      <c r="O1667" s="1" t="s">
        <v>3682</v>
      </c>
      <c r="P1667" s="1" t="s">
        <v>3646</v>
      </c>
      <c r="Q1667" s="1" t="s">
        <v>3647</v>
      </c>
      <c r="R1667" s="1" t="s">
        <v>48</v>
      </c>
      <c r="S1667" s="1"/>
      <c r="U1667" s="1" t="s">
        <v>35</v>
      </c>
      <c r="V1667" s="1" t="s">
        <v>803</v>
      </c>
      <c r="W1667" s="1" t="str">
        <f>VLOOKUP(Table1[[#This Row],[Obergruppe ATC-Code]],Tabelle3!$A$2:$B$100,2)</f>
        <v>ANTIVIRALE MITTEL ZUR SYSTEMISCHEN ANWENDUNG</v>
      </c>
      <c r="X1667" s="1" t="str">
        <f xml:space="preserve"> LEFT(Table1[[#This Row],[Atc Code]],3)</f>
        <v>J05</v>
      </c>
    </row>
    <row r="1668" spans="1:24" ht="14.4">
      <c r="A1668" s="14">
        <v>3110</v>
      </c>
      <c r="B1668" s="3">
        <v>10820046</v>
      </c>
      <c r="C1668" s="1">
        <v>2711401</v>
      </c>
      <c r="D1668" s="1" t="s">
        <v>25</v>
      </c>
      <c r="E1668" s="36">
        <v>43101</v>
      </c>
      <c r="F1668" s="36">
        <v>43251</v>
      </c>
      <c r="G1668" s="38">
        <f t="shared" si="26"/>
        <v>150</v>
      </c>
      <c r="H1668" s="5">
        <v>43130</v>
      </c>
      <c r="I1668" s="5">
        <v>43210</v>
      </c>
      <c r="J1668" s="1" t="s">
        <v>26</v>
      </c>
      <c r="K1668" s="1" t="s">
        <v>3683</v>
      </c>
      <c r="L1668" s="1" t="s">
        <v>3684</v>
      </c>
      <c r="M1668" s="1" t="s">
        <v>3685</v>
      </c>
      <c r="N1668" s="1" t="s">
        <v>30</v>
      </c>
      <c r="O1668" s="1" t="s">
        <v>255</v>
      </c>
      <c r="P1668" s="1" t="s">
        <v>256</v>
      </c>
      <c r="Q1668" s="1" t="s">
        <v>257</v>
      </c>
      <c r="R1668" s="1" t="s">
        <v>33</v>
      </c>
      <c r="S1668" s="1"/>
      <c r="T1668" s="1" t="s">
        <v>3686</v>
      </c>
      <c r="U1668" s="1" t="s">
        <v>35</v>
      </c>
      <c r="V1668" s="1" t="s">
        <v>811</v>
      </c>
      <c r="W1668" s="1" t="str">
        <f>VLOOKUP(Table1[[#This Row],[Obergruppe ATC-Code]],Tabelle3!$A$2:$B$100,2)</f>
        <v>ANTIVIRALE MITTEL ZUR SYSTEMISCHEN ANWENDUNG</v>
      </c>
      <c r="X1668" s="1" t="str">
        <f xml:space="preserve"> LEFT(Table1[[#This Row],[Atc Code]],3)</f>
        <v>J05</v>
      </c>
    </row>
    <row r="1669" spans="1:24" ht="14.4">
      <c r="A1669" s="14">
        <v>1200</v>
      </c>
      <c r="B1669" s="24">
        <v>10995610</v>
      </c>
      <c r="C1669" s="1">
        <v>2704578</v>
      </c>
      <c r="D1669" s="1" t="s">
        <v>25</v>
      </c>
      <c r="E1669" s="36">
        <v>44700</v>
      </c>
      <c r="F1669" s="36">
        <v>44742</v>
      </c>
      <c r="G1669" s="38">
        <f t="shared" si="26"/>
        <v>42</v>
      </c>
      <c r="H1669" s="5">
        <v>44699</v>
      </c>
      <c r="I1669" s="5">
        <v>44742</v>
      </c>
      <c r="J1669" s="1" t="s">
        <v>41</v>
      </c>
      <c r="K1669" s="1" t="s">
        <v>3687</v>
      </c>
      <c r="L1669" s="1" t="s">
        <v>3684</v>
      </c>
      <c r="M1669" s="1" t="s">
        <v>3685</v>
      </c>
      <c r="N1669" s="1" t="s">
        <v>38</v>
      </c>
      <c r="O1669" s="1" t="s">
        <v>590</v>
      </c>
      <c r="P1669" s="1">
        <v>498945611873</v>
      </c>
      <c r="Q1669" s="1" t="s">
        <v>591</v>
      </c>
      <c r="R1669" s="1" t="s">
        <v>128</v>
      </c>
      <c r="S1669" s="1"/>
      <c r="U1669" s="1" t="s">
        <v>130</v>
      </c>
      <c r="V1669" s="1" t="s">
        <v>99</v>
      </c>
      <c r="W1669" s="1" t="str">
        <f>VLOOKUP(Table1[[#This Row],[Obergruppe ATC-Code]],Tabelle3!$A$2:$B$100,2)</f>
        <v>ANTIVIRALE MITTEL ZUR SYSTEMISCHEN ANWENDUNG</v>
      </c>
      <c r="X1669" s="1" t="str">
        <f xml:space="preserve"> LEFT(Table1[[#This Row],[Atc Code]],3)</f>
        <v>J05</v>
      </c>
    </row>
    <row r="1670" spans="1:24" ht="14.4">
      <c r="A1670" s="14">
        <v>769</v>
      </c>
      <c r="B1670" s="24">
        <v>5956967</v>
      </c>
      <c r="C1670" s="1">
        <v>2704577</v>
      </c>
      <c r="D1670" s="1" t="s">
        <v>25</v>
      </c>
      <c r="E1670" s="36">
        <v>44770</v>
      </c>
      <c r="F1670" s="36">
        <v>44804</v>
      </c>
      <c r="G1670" s="38">
        <f t="shared" si="26"/>
        <v>34</v>
      </c>
      <c r="H1670" s="5">
        <v>44770</v>
      </c>
      <c r="I1670" s="5">
        <v>44806</v>
      </c>
      <c r="J1670" s="1" t="s">
        <v>41</v>
      </c>
      <c r="K1670" s="1" t="s">
        <v>3688</v>
      </c>
      <c r="L1670" s="1" t="s">
        <v>3684</v>
      </c>
      <c r="M1670" s="1" t="s">
        <v>3685</v>
      </c>
      <c r="N1670" s="1" t="s">
        <v>38</v>
      </c>
      <c r="O1670" s="1" t="s">
        <v>590</v>
      </c>
      <c r="Q1670" s="1" t="s">
        <v>591</v>
      </c>
      <c r="R1670" s="1" t="s">
        <v>128</v>
      </c>
      <c r="S1670" s="1"/>
      <c r="T1670" s="1" t="s">
        <v>3689</v>
      </c>
      <c r="U1670" s="1" t="s">
        <v>35</v>
      </c>
      <c r="V1670" s="1" t="s">
        <v>99</v>
      </c>
      <c r="W1670" s="1" t="str">
        <f>VLOOKUP(Table1[[#This Row],[Obergruppe ATC-Code]],Tabelle3!$A$2:$B$100,2)</f>
        <v>ANTIVIRALE MITTEL ZUR SYSTEMISCHEN ANWENDUNG</v>
      </c>
      <c r="X1670" s="1" t="str">
        <f xml:space="preserve"> LEFT(Table1[[#This Row],[Atc Code]],3)</f>
        <v>J05</v>
      </c>
    </row>
    <row r="1671" spans="1:24" ht="14.4">
      <c r="A1671" s="14">
        <v>2531</v>
      </c>
      <c r="B1671" s="24" t="s">
        <v>3690</v>
      </c>
      <c r="C1671" s="1" t="s">
        <v>3691</v>
      </c>
      <c r="D1671" s="1" t="s">
        <v>102</v>
      </c>
      <c r="E1671" s="36">
        <v>44774</v>
      </c>
      <c r="F1671" s="36">
        <v>45291</v>
      </c>
      <c r="G1671" s="38">
        <f t="shared" si="26"/>
        <v>517</v>
      </c>
      <c r="H1671" s="5">
        <v>44771</v>
      </c>
      <c r="I1671" s="5">
        <v>45198</v>
      </c>
      <c r="J1671" s="1" t="s">
        <v>26</v>
      </c>
      <c r="K1671" s="1" t="s">
        <v>3692</v>
      </c>
      <c r="L1671" s="1" t="s">
        <v>3693</v>
      </c>
      <c r="M1671" s="1" t="s">
        <v>3694</v>
      </c>
      <c r="N1671" s="1" t="s">
        <v>38</v>
      </c>
      <c r="O1671" s="1" t="s">
        <v>852</v>
      </c>
      <c r="P1671" s="1" t="s">
        <v>853</v>
      </c>
      <c r="Q1671" s="1" t="s">
        <v>854</v>
      </c>
      <c r="R1671" s="1" t="s">
        <v>113</v>
      </c>
      <c r="S1671" s="1"/>
      <c r="U1671" s="1" t="s">
        <v>130</v>
      </c>
      <c r="V1671" s="1" t="s">
        <v>3695</v>
      </c>
      <c r="W1671" s="1" t="str">
        <f>VLOOKUP(Table1[[#This Row],[Obergruppe ATC-Code]],Tabelle3!$A$2:$B$100,2)</f>
        <v>IMMUNSERA UND IMMUNGLOBULINE</v>
      </c>
      <c r="X1671" s="1" t="str">
        <f xml:space="preserve"> LEFT(Table1[[#This Row],[Atc Code]],3)</f>
        <v>J06</v>
      </c>
    </row>
    <row r="1672" spans="1:24" ht="14.4">
      <c r="A1672" s="14">
        <v>2721</v>
      </c>
      <c r="B1672" s="24" t="s">
        <v>3696</v>
      </c>
      <c r="C1672" s="1">
        <v>2613604</v>
      </c>
      <c r="D1672" s="1" t="s">
        <v>25</v>
      </c>
      <c r="E1672" s="36">
        <v>44515</v>
      </c>
      <c r="F1672" s="36">
        <v>44745</v>
      </c>
      <c r="G1672" s="38">
        <f t="shared" si="26"/>
        <v>230</v>
      </c>
      <c r="H1672" s="5">
        <v>44515</v>
      </c>
      <c r="I1672" s="5">
        <v>44743</v>
      </c>
      <c r="J1672" s="1" t="s">
        <v>26</v>
      </c>
      <c r="K1672" s="1" t="s">
        <v>3697</v>
      </c>
      <c r="L1672" s="1" t="s">
        <v>3698</v>
      </c>
      <c r="M1672" s="1" t="s">
        <v>3694</v>
      </c>
      <c r="N1672" s="1" t="s">
        <v>30</v>
      </c>
      <c r="O1672" s="1" t="s">
        <v>1212</v>
      </c>
      <c r="P1672" s="1" t="s">
        <v>1221</v>
      </c>
      <c r="Q1672" s="1" t="s">
        <v>1222</v>
      </c>
      <c r="R1672" s="1" t="s">
        <v>113</v>
      </c>
      <c r="S1672" s="1"/>
      <c r="U1672" s="1" t="s">
        <v>35</v>
      </c>
      <c r="V1672" s="1" t="s">
        <v>74</v>
      </c>
      <c r="W1672" s="1" t="str">
        <f>VLOOKUP(Table1[[#This Row],[Obergruppe ATC-Code]],Tabelle3!$A$2:$B$100,2)</f>
        <v>IMMUNSERA UND IMMUNGLOBULINE</v>
      </c>
      <c r="X1672" s="1" t="str">
        <f xml:space="preserve"> LEFT(Table1[[#This Row],[Atc Code]],3)</f>
        <v>J06</v>
      </c>
    </row>
    <row r="1673" spans="1:24" ht="14.4">
      <c r="A1673" s="14">
        <v>2844</v>
      </c>
      <c r="B1673" s="24" t="s">
        <v>3699</v>
      </c>
      <c r="C1673" s="1">
        <v>2613853</v>
      </c>
      <c r="D1673" s="1" t="s">
        <v>25</v>
      </c>
      <c r="E1673" s="36">
        <v>44725</v>
      </c>
      <c r="F1673" s="36">
        <v>44926</v>
      </c>
      <c r="G1673" s="38">
        <f t="shared" si="26"/>
        <v>201</v>
      </c>
      <c r="H1673" s="5">
        <v>44725</v>
      </c>
      <c r="I1673" s="5">
        <v>44964</v>
      </c>
      <c r="J1673" s="1" t="s">
        <v>26</v>
      </c>
      <c r="K1673" s="1" t="s">
        <v>3700</v>
      </c>
      <c r="L1673" s="1" t="s">
        <v>3698</v>
      </c>
      <c r="M1673" s="1" t="s">
        <v>3694</v>
      </c>
      <c r="N1673" s="1" t="s">
        <v>30</v>
      </c>
      <c r="O1673" s="1" t="s">
        <v>891</v>
      </c>
      <c r="R1673" s="1" t="s">
        <v>26</v>
      </c>
      <c r="S1673" s="1" t="s">
        <v>893</v>
      </c>
      <c r="T1673" s="1" t="s">
        <v>3701</v>
      </c>
      <c r="U1673" s="1" t="s">
        <v>130</v>
      </c>
      <c r="V1673" s="1" t="s">
        <v>74</v>
      </c>
      <c r="W1673" s="1" t="str">
        <f>VLOOKUP(Table1[[#This Row],[Obergruppe ATC-Code]],Tabelle3!$A$2:$B$100,2)</f>
        <v>IMMUNSERA UND IMMUNGLOBULINE</v>
      </c>
      <c r="X1673" s="1" t="str">
        <f xml:space="preserve"> LEFT(Table1[[#This Row],[Atc Code]],3)</f>
        <v>J06</v>
      </c>
    </row>
    <row r="1674" spans="1:24" ht="14.4">
      <c r="A1674" s="14">
        <v>2845</v>
      </c>
      <c r="B1674" s="24" t="s">
        <v>3702</v>
      </c>
      <c r="C1674" s="1">
        <v>2613853</v>
      </c>
      <c r="D1674" s="1" t="s">
        <v>25</v>
      </c>
      <c r="E1674" s="36">
        <v>45021</v>
      </c>
      <c r="F1674" s="36">
        <v>45046</v>
      </c>
      <c r="G1674" s="38">
        <f t="shared" si="26"/>
        <v>25</v>
      </c>
      <c r="H1674" s="5">
        <v>45021</v>
      </c>
      <c r="I1674" s="5">
        <v>45051</v>
      </c>
      <c r="J1674" s="1" t="s">
        <v>26</v>
      </c>
      <c r="K1674" s="1" t="s">
        <v>3700</v>
      </c>
      <c r="L1674" s="1" t="s">
        <v>3698</v>
      </c>
      <c r="M1674" s="1" t="s">
        <v>3694</v>
      </c>
      <c r="N1674" s="1" t="s">
        <v>30</v>
      </c>
      <c r="O1674" s="1" t="s">
        <v>891</v>
      </c>
      <c r="Q1674" s="1" t="s">
        <v>892</v>
      </c>
      <c r="R1674" s="1" t="s">
        <v>113</v>
      </c>
      <c r="S1674" s="1"/>
      <c r="U1674" s="1" t="s">
        <v>130</v>
      </c>
      <c r="V1674" s="1" t="s">
        <v>74</v>
      </c>
      <c r="W1674" s="1" t="str">
        <f>VLOOKUP(Table1[[#This Row],[Obergruppe ATC-Code]],Tabelle3!$A$2:$B$100,2)</f>
        <v>IMMUNSERA UND IMMUNGLOBULINE</v>
      </c>
      <c r="X1674" s="1" t="str">
        <f xml:space="preserve"> LEFT(Table1[[#This Row],[Atc Code]],3)</f>
        <v>J06</v>
      </c>
    </row>
    <row r="1675" spans="1:24" ht="14.4">
      <c r="A1675" s="14">
        <v>969</v>
      </c>
      <c r="B1675" s="24">
        <v>7764019</v>
      </c>
      <c r="C1675" s="1">
        <v>2670858</v>
      </c>
      <c r="D1675" s="1" t="s">
        <v>25</v>
      </c>
      <c r="E1675" s="36">
        <v>44228</v>
      </c>
      <c r="F1675" s="36">
        <v>45107</v>
      </c>
      <c r="G1675" s="38">
        <f t="shared" si="26"/>
        <v>879</v>
      </c>
      <c r="H1675" s="5">
        <v>44253</v>
      </c>
      <c r="I1675" s="5">
        <v>45106</v>
      </c>
      <c r="J1675" s="1" t="s">
        <v>26</v>
      </c>
      <c r="K1675" s="1" t="s">
        <v>3703</v>
      </c>
      <c r="L1675" s="1" t="s">
        <v>3698</v>
      </c>
      <c r="M1675" s="1" t="s">
        <v>3694</v>
      </c>
      <c r="N1675" s="1" t="s">
        <v>38</v>
      </c>
      <c r="O1675" s="1" t="s">
        <v>3704</v>
      </c>
      <c r="P1675" s="1" t="s">
        <v>3705</v>
      </c>
      <c r="Q1675" s="1" t="s">
        <v>3706</v>
      </c>
      <c r="R1675" s="1" t="s">
        <v>26</v>
      </c>
      <c r="S1675" s="1" t="s">
        <v>3707</v>
      </c>
      <c r="U1675" s="1" t="s">
        <v>57</v>
      </c>
      <c r="V1675" s="1" t="s">
        <v>74</v>
      </c>
      <c r="W1675" s="1" t="str">
        <f>VLOOKUP(Table1[[#This Row],[Obergruppe ATC-Code]],Tabelle3!$A$2:$B$100,2)</f>
        <v>IMMUNSERA UND IMMUNGLOBULINE</v>
      </c>
      <c r="X1675" s="1" t="str">
        <f xml:space="preserve"> LEFT(Table1[[#This Row],[Atc Code]],3)</f>
        <v>J06</v>
      </c>
    </row>
    <row r="1676" spans="1:24" ht="14.4">
      <c r="A1676" s="14">
        <v>2720</v>
      </c>
      <c r="B1676" s="24" t="s">
        <v>3696</v>
      </c>
      <c r="C1676" s="1">
        <v>2613604</v>
      </c>
      <c r="D1676" s="1" t="s">
        <v>102</v>
      </c>
      <c r="E1676" s="36">
        <v>44774</v>
      </c>
      <c r="F1676" s="36">
        <v>45291</v>
      </c>
      <c r="G1676" s="38">
        <f t="shared" si="26"/>
        <v>517</v>
      </c>
      <c r="H1676" s="5">
        <v>44771</v>
      </c>
      <c r="I1676" s="5">
        <v>45198</v>
      </c>
      <c r="J1676" s="1" t="s">
        <v>26</v>
      </c>
      <c r="K1676" s="1" t="s">
        <v>3697</v>
      </c>
      <c r="L1676" s="1" t="s">
        <v>3698</v>
      </c>
      <c r="M1676" s="1" t="s">
        <v>3694</v>
      </c>
      <c r="N1676" s="1" t="s">
        <v>38</v>
      </c>
      <c r="O1676" s="1" t="s">
        <v>1212</v>
      </c>
      <c r="P1676" s="1" t="s">
        <v>853</v>
      </c>
      <c r="Q1676" s="1" t="s">
        <v>854</v>
      </c>
      <c r="R1676" s="1" t="s">
        <v>113</v>
      </c>
      <c r="S1676" s="1"/>
      <c r="U1676" s="1" t="s">
        <v>130</v>
      </c>
      <c r="V1676" s="1" t="s">
        <v>74</v>
      </c>
      <c r="W1676" s="1" t="str">
        <f>VLOOKUP(Table1[[#This Row],[Obergruppe ATC-Code]],Tabelle3!$A$2:$B$100,2)</f>
        <v>IMMUNSERA UND IMMUNGLOBULINE</v>
      </c>
      <c r="X1676" s="1" t="str">
        <f xml:space="preserve"> LEFT(Table1[[#This Row],[Atc Code]],3)</f>
        <v>J06</v>
      </c>
    </row>
    <row r="1677" spans="1:24" ht="14.4">
      <c r="A1677" s="14">
        <v>2653</v>
      </c>
      <c r="B1677" s="24" t="s">
        <v>3708</v>
      </c>
      <c r="C1677" s="1">
        <v>2613314</v>
      </c>
      <c r="D1677" s="1" t="s">
        <v>25</v>
      </c>
      <c r="E1677" s="36">
        <v>43647</v>
      </c>
      <c r="F1677" s="36">
        <v>43769</v>
      </c>
      <c r="G1677" s="38">
        <f t="shared" si="26"/>
        <v>122</v>
      </c>
      <c r="H1677" s="5">
        <v>43671</v>
      </c>
      <c r="I1677" s="5">
        <v>43763</v>
      </c>
      <c r="J1677" s="1" t="s">
        <v>26</v>
      </c>
      <c r="K1677" s="1" t="s">
        <v>3709</v>
      </c>
      <c r="L1677" s="1" t="s">
        <v>3710</v>
      </c>
      <c r="M1677" s="1" t="s">
        <v>3694</v>
      </c>
      <c r="N1677" s="1" t="s">
        <v>30</v>
      </c>
      <c r="O1677" s="1" t="s">
        <v>845</v>
      </c>
      <c r="P1677" s="1" t="s">
        <v>846</v>
      </c>
      <c r="Q1677" s="1" t="s">
        <v>847</v>
      </c>
      <c r="R1677" s="1" t="s">
        <v>33</v>
      </c>
      <c r="S1677" s="1"/>
      <c r="U1677" s="1" t="s">
        <v>35</v>
      </c>
      <c r="V1677" s="1" t="s">
        <v>648</v>
      </c>
      <c r="W1677" s="1" t="str">
        <f>VLOOKUP(Table1[[#This Row],[Obergruppe ATC-Code]],Tabelle3!$A$2:$B$100,2)</f>
        <v>IMMUNSERA UND IMMUNGLOBULINE</v>
      </c>
      <c r="X1677" s="1" t="str">
        <f xml:space="preserve"> LEFT(Table1[[#This Row],[Atc Code]],3)</f>
        <v>J06</v>
      </c>
    </row>
    <row r="1678" spans="1:24" ht="14.4">
      <c r="A1678" s="14">
        <v>2153</v>
      </c>
      <c r="B1678" s="24" t="s">
        <v>3711</v>
      </c>
      <c r="C1678" s="1">
        <v>2670218</v>
      </c>
      <c r="D1678" s="1" t="s">
        <v>25</v>
      </c>
      <c r="E1678" s="36">
        <v>43739</v>
      </c>
      <c r="F1678" s="36">
        <v>44104</v>
      </c>
      <c r="G1678" s="38">
        <f t="shared" si="26"/>
        <v>365</v>
      </c>
      <c r="H1678" s="5">
        <v>43739</v>
      </c>
      <c r="I1678" s="5">
        <v>44074</v>
      </c>
      <c r="J1678" s="1" t="s">
        <v>41</v>
      </c>
      <c r="K1678" s="1" t="s">
        <v>3712</v>
      </c>
      <c r="L1678" s="1" t="s">
        <v>3710</v>
      </c>
      <c r="M1678" s="1" t="s">
        <v>3694</v>
      </c>
      <c r="N1678" s="1" t="s">
        <v>30</v>
      </c>
      <c r="O1678" s="1" t="s">
        <v>3713</v>
      </c>
      <c r="P1678" s="1" t="s">
        <v>3714</v>
      </c>
      <c r="Q1678" s="1" t="s">
        <v>3715</v>
      </c>
      <c r="R1678" s="1" t="s">
        <v>26</v>
      </c>
      <c r="S1678" s="1"/>
      <c r="T1678" s="1" t="s">
        <v>3716</v>
      </c>
      <c r="U1678" s="1" t="s">
        <v>35</v>
      </c>
      <c r="V1678" s="1" t="s">
        <v>648</v>
      </c>
      <c r="W1678" s="1" t="str">
        <f>VLOOKUP(Table1[[#This Row],[Obergruppe ATC-Code]],Tabelle3!$A$2:$B$100,2)</f>
        <v>IMMUNSERA UND IMMUNGLOBULINE</v>
      </c>
      <c r="X1678" s="1" t="str">
        <f xml:space="preserve"> LEFT(Table1[[#This Row],[Atc Code]],3)</f>
        <v>J06</v>
      </c>
    </row>
    <row r="1679" spans="1:24" ht="14.4">
      <c r="A1679" s="14">
        <v>2154</v>
      </c>
      <c r="B1679" s="24" t="s">
        <v>3711</v>
      </c>
      <c r="C1679" s="1">
        <v>2670219</v>
      </c>
      <c r="D1679" s="1" t="s">
        <v>25</v>
      </c>
      <c r="E1679" s="36">
        <v>43739</v>
      </c>
      <c r="F1679" s="36">
        <v>44104</v>
      </c>
      <c r="G1679" s="38">
        <f t="shared" si="26"/>
        <v>365</v>
      </c>
      <c r="H1679" s="5">
        <v>43739</v>
      </c>
      <c r="I1679" s="5">
        <v>44074</v>
      </c>
      <c r="J1679" s="1" t="s">
        <v>41</v>
      </c>
      <c r="K1679" s="1" t="s">
        <v>3712</v>
      </c>
      <c r="L1679" s="1" t="s">
        <v>3710</v>
      </c>
      <c r="M1679" s="1" t="s">
        <v>3694</v>
      </c>
      <c r="N1679" s="1" t="s">
        <v>30</v>
      </c>
      <c r="O1679" s="1" t="s">
        <v>3713</v>
      </c>
      <c r="P1679" s="1" t="s">
        <v>3714</v>
      </c>
      <c r="Q1679" s="1" t="s">
        <v>3715</v>
      </c>
      <c r="R1679" s="1" t="s">
        <v>26</v>
      </c>
      <c r="S1679" s="1"/>
      <c r="T1679" s="1" t="s">
        <v>3716</v>
      </c>
      <c r="U1679" s="1" t="s">
        <v>35</v>
      </c>
      <c r="V1679" s="1" t="s">
        <v>648</v>
      </c>
      <c r="W1679" s="1" t="str">
        <f>VLOOKUP(Table1[[#This Row],[Obergruppe ATC-Code]],Tabelle3!$A$2:$B$100,2)</f>
        <v>IMMUNSERA UND IMMUNGLOBULINE</v>
      </c>
      <c r="X1679" s="1" t="str">
        <f xml:space="preserve"> LEFT(Table1[[#This Row],[Atc Code]],3)</f>
        <v>J06</v>
      </c>
    </row>
    <row r="1680" spans="1:24" ht="14.4">
      <c r="A1680" s="14">
        <v>2155</v>
      </c>
      <c r="B1680" s="24" t="s">
        <v>3711</v>
      </c>
      <c r="C1680" s="1">
        <v>2670220</v>
      </c>
      <c r="D1680" s="1" t="s">
        <v>25</v>
      </c>
      <c r="E1680" s="36">
        <v>43739</v>
      </c>
      <c r="F1680" s="36">
        <v>44104</v>
      </c>
      <c r="G1680" s="38">
        <f t="shared" si="26"/>
        <v>365</v>
      </c>
      <c r="H1680" s="5">
        <v>43739</v>
      </c>
      <c r="I1680" s="5">
        <v>44074</v>
      </c>
      <c r="J1680" s="1" t="s">
        <v>41</v>
      </c>
      <c r="K1680" s="1" t="s">
        <v>3712</v>
      </c>
      <c r="L1680" s="1" t="s">
        <v>3710</v>
      </c>
      <c r="M1680" s="1" t="s">
        <v>3694</v>
      </c>
      <c r="N1680" s="1" t="s">
        <v>30</v>
      </c>
      <c r="O1680" s="1" t="s">
        <v>3713</v>
      </c>
      <c r="P1680" s="1" t="s">
        <v>3714</v>
      </c>
      <c r="Q1680" s="1" t="s">
        <v>3715</v>
      </c>
      <c r="R1680" s="1" t="s">
        <v>26</v>
      </c>
      <c r="S1680" s="1"/>
      <c r="T1680" s="1" t="s">
        <v>3716</v>
      </c>
      <c r="U1680" s="1" t="s">
        <v>35</v>
      </c>
      <c r="V1680" s="1" t="s">
        <v>648</v>
      </c>
      <c r="W1680" s="1" t="str">
        <f>VLOOKUP(Table1[[#This Row],[Obergruppe ATC-Code]],Tabelle3!$A$2:$B$100,2)</f>
        <v>IMMUNSERA UND IMMUNGLOBULINE</v>
      </c>
      <c r="X1680" s="1" t="str">
        <f xml:space="preserve"> LEFT(Table1[[#This Row],[Atc Code]],3)</f>
        <v>J06</v>
      </c>
    </row>
    <row r="1681" spans="1:24" ht="14.4">
      <c r="A1681" s="14">
        <v>2156</v>
      </c>
      <c r="B1681" s="24" t="s">
        <v>3711</v>
      </c>
      <c r="C1681" s="1">
        <v>2670221</v>
      </c>
      <c r="D1681" s="1" t="s">
        <v>25</v>
      </c>
      <c r="E1681" s="36">
        <v>43739</v>
      </c>
      <c r="F1681" s="36">
        <v>44104</v>
      </c>
      <c r="G1681" s="38">
        <f t="shared" si="26"/>
        <v>365</v>
      </c>
      <c r="H1681" s="5">
        <v>43739</v>
      </c>
      <c r="I1681" s="5">
        <v>44074</v>
      </c>
      <c r="J1681" s="1" t="s">
        <v>41</v>
      </c>
      <c r="K1681" s="1" t="s">
        <v>3712</v>
      </c>
      <c r="L1681" s="1" t="s">
        <v>3710</v>
      </c>
      <c r="M1681" s="1" t="s">
        <v>3694</v>
      </c>
      <c r="N1681" s="1" t="s">
        <v>30</v>
      </c>
      <c r="O1681" s="1" t="s">
        <v>3713</v>
      </c>
      <c r="P1681" s="1" t="s">
        <v>3714</v>
      </c>
      <c r="Q1681" s="1" t="s">
        <v>3715</v>
      </c>
      <c r="R1681" s="1" t="s">
        <v>26</v>
      </c>
      <c r="S1681" s="1"/>
      <c r="T1681" s="1" t="s">
        <v>3716</v>
      </c>
      <c r="U1681" s="1" t="s">
        <v>35</v>
      </c>
      <c r="V1681" s="1" t="s">
        <v>648</v>
      </c>
      <c r="W1681" s="1" t="str">
        <f>VLOOKUP(Table1[[#This Row],[Obergruppe ATC-Code]],Tabelle3!$A$2:$B$100,2)</f>
        <v>IMMUNSERA UND IMMUNGLOBULINE</v>
      </c>
      <c r="X1681" s="1" t="str">
        <f xml:space="preserve"> LEFT(Table1[[#This Row],[Atc Code]],3)</f>
        <v>J06</v>
      </c>
    </row>
    <row r="1682" spans="1:24" ht="14.4">
      <c r="A1682" s="14">
        <v>2157</v>
      </c>
      <c r="B1682" s="24" t="s">
        <v>3711</v>
      </c>
      <c r="C1682" s="1">
        <v>2670222</v>
      </c>
      <c r="D1682" s="1" t="s">
        <v>25</v>
      </c>
      <c r="E1682" s="36">
        <v>43739</v>
      </c>
      <c r="F1682" s="36">
        <v>44104</v>
      </c>
      <c r="G1682" s="38">
        <f t="shared" si="26"/>
        <v>365</v>
      </c>
      <c r="H1682" s="5">
        <v>43739</v>
      </c>
      <c r="I1682" s="5">
        <v>44074</v>
      </c>
      <c r="J1682" s="1" t="s">
        <v>41</v>
      </c>
      <c r="K1682" s="1" t="s">
        <v>3712</v>
      </c>
      <c r="L1682" s="1" t="s">
        <v>3710</v>
      </c>
      <c r="M1682" s="1" t="s">
        <v>3694</v>
      </c>
      <c r="N1682" s="1" t="s">
        <v>30</v>
      </c>
      <c r="O1682" s="1" t="s">
        <v>3713</v>
      </c>
      <c r="P1682" s="1" t="s">
        <v>3714</v>
      </c>
      <c r="Q1682" s="1" t="s">
        <v>3715</v>
      </c>
      <c r="R1682" s="1" t="s">
        <v>26</v>
      </c>
      <c r="S1682" s="1"/>
      <c r="T1682" s="1" t="s">
        <v>3716</v>
      </c>
      <c r="U1682" s="1" t="s">
        <v>35</v>
      </c>
      <c r="V1682" s="1" t="s">
        <v>648</v>
      </c>
      <c r="W1682" s="1" t="str">
        <f>VLOOKUP(Table1[[#This Row],[Obergruppe ATC-Code]],Tabelle3!$A$2:$B$100,2)</f>
        <v>IMMUNSERA UND IMMUNGLOBULINE</v>
      </c>
      <c r="X1682" s="1" t="str">
        <f xml:space="preserve"> LEFT(Table1[[#This Row],[Atc Code]],3)</f>
        <v>J06</v>
      </c>
    </row>
    <row r="1683" spans="1:24" ht="14.4">
      <c r="A1683" s="14">
        <v>2158</v>
      </c>
      <c r="B1683" s="24" t="s">
        <v>3711</v>
      </c>
      <c r="C1683" s="1">
        <v>2670735</v>
      </c>
      <c r="D1683" s="1" t="s">
        <v>25</v>
      </c>
      <c r="E1683" s="36">
        <v>43739</v>
      </c>
      <c r="F1683" s="36">
        <v>44104</v>
      </c>
      <c r="G1683" s="38">
        <f t="shared" si="26"/>
        <v>365</v>
      </c>
      <c r="H1683" s="5">
        <v>43739</v>
      </c>
      <c r="I1683" s="5">
        <v>44074</v>
      </c>
      <c r="J1683" s="1" t="s">
        <v>41</v>
      </c>
      <c r="K1683" s="1" t="s">
        <v>3712</v>
      </c>
      <c r="L1683" s="1" t="s">
        <v>3710</v>
      </c>
      <c r="M1683" s="1" t="s">
        <v>3694</v>
      </c>
      <c r="N1683" s="1" t="s">
        <v>30</v>
      </c>
      <c r="O1683" s="1" t="s">
        <v>3713</v>
      </c>
      <c r="P1683" s="1" t="s">
        <v>3714</v>
      </c>
      <c r="Q1683" s="1" t="s">
        <v>3715</v>
      </c>
      <c r="R1683" s="1" t="s">
        <v>26</v>
      </c>
      <c r="S1683" s="1"/>
      <c r="T1683" s="1" t="s">
        <v>3716</v>
      </c>
      <c r="U1683" s="1" t="s">
        <v>35</v>
      </c>
      <c r="V1683" s="1" t="s">
        <v>648</v>
      </c>
      <c r="W1683" s="1" t="str">
        <f>VLOOKUP(Table1[[#This Row],[Obergruppe ATC-Code]],Tabelle3!$A$2:$B$100,2)</f>
        <v>IMMUNSERA UND IMMUNGLOBULINE</v>
      </c>
      <c r="X1683" s="1" t="str">
        <f xml:space="preserve"> LEFT(Table1[[#This Row],[Atc Code]],3)</f>
        <v>J06</v>
      </c>
    </row>
    <row r="1684" spans="1:24" ht="14.4">
      <c r="A1684" s="14">
        <v>2152</v>
      </c>
      <c r="B1684" s="24" t="s">
        <v>3717</v>
      </c>
      <c r="C1684" s="1" t="s">
        <v>3718</v>
      </c>
      <c r="D1684" s="1" t="s">
        <v>25</v>
      </c>
      <c r="E1684" s="36">
        <v>44515</v>
      </c>
      <c r="F1684" s="36">
        <v>44745</v>
      </c>
      <c r="G1684" s="38">
        <f t="shared" si="26"/>
        <v>230</v>
      </c>
      <c r="H1684" s="5">
        <v>44515</v>
      </c>
      <c r="I1684" s="5">
        <v>44743</v>
      </c>
      <c r="J1684" s="1" t="s">
        <v>26</v>
      </c>
      <c r="K1684" s="1" t="s">
        <v>3712</v>
      </c>
      <c r="L1684" s="1" t="s">
        <v>3710</v>
      </c>
      <c r="M1684" s="1" t="s">
        <v>3694</v>
      </c>
      <c r="N1684" s="1" t="s">
        <v>30</v>
      </c>
      <c r="O1684" s="1" t="s">
        <v>3713</v>
      </c>
      <c r="P1684" s="1" t="s">
        <v>1221</v>
      </c>
      <c r="Q1684" s="1" t="s">
        <v>1222</v>
      </c>
      <c r="R1684" s="1" t="s">
        <v>113</v>
      </c>
      <c r="S1684" s="1"/>
      <c r="U1684" s="1" t="s">
        <v>130</v>
      </c>
      <c r="V1684" s="1" t="s">
        <v>648</v>
      </c>
      <c r="W1684" s="1" t="str">
        <f>VLOOKUP(Table1[[#This Row],[Obergruppe ATC-Code]],Tabelle3!$A$2:$B$100,2)</f>
        <v>IMMUNSERA UND IMMUNGLOBULINE</v>
      </c>
      <c r="X1684" s="1" t="str">
        <f xml:space="preserve"> LEFT(Table1[[#This Row],[Atc Code]],3)</f>
        <v>J06</v>
      </c>
    </row>
    <row r="1685" spans="1:24" ht="14.4">
      <c r="A1685" s="14">
        <v>285</v>
      </c>
      <c r="B1685" s="24">
        <v>1711536</v>
      </c>
      <c r="C1685" s="1">
        <v>2670541</v>
      </c>
      <c r="D1685" s="1" t="s">
        <v>25</v>
      </c>
      <c r="E1685" s="36">
        <v>44228</v>
      </c>
      <c r="F1685" s="36">
        <v>44742</v>
      </c>
      <c r="G1685" s="38">
        <f t="shared" si="26"/>
        <v>514</v>
      </c>
      <c r="H1685" s="5">
        <v>44253</v>
      </c>
      <c r="I1685" s="5">
        <v>44743</v>
      </c>
      <c r="J1685" s="1" t="s">
        <v>26</v>
      </c>
      <c r="K1685" s="1" t="s">
        <v>3719</v>
      </c>
      <c r="L1685" s="1" t="s">
        <v>3710</v>
      </c>
      <c r="M1685" s="1" t="s">
        <v>3694</v>
      </c>
      <c r="N1685" s="1" t="s">
        <v>38</v>
      </c>
      <c r="O1685" s="1" t="s">
        <v>3704</v>
      </c>
      <c r="P1685" s="1" t="s">
        <v>3705</v>
      </c>
      <c r="Q1685" s="1" t="s">
        <v>3706</v>
      </c>
      <c r="R1685" s="1" t="s">
        <v>26</v>
      </c>
      <c r="S1685" s="1" t="s">
        <v>3720</v>
      </c>
      <c r="U1685" s="1" t="s">
        <v>57</v>
      </c>
      <c r="V1685" s="1" t="s">
        <v>648</v>
      </c>
      <c r="W1685" s="1" t="str">
        <f>VLOOKUP(Table1[[#This Row],[Obergruppe ATC-Code]],Tabelle3!$A$2:$B$100,2)</f>
        <v>IMMUNSERA UND IMMUNGLOBULINE</v>
      </c>
      <c r="X1685" s="1" t="str">
        <f xml:space="preserve"> LEFT(Table1[[#This Row],[Atc Code]],3)</f>
        <v>J06</v>
      </c>
    </row>
    <row r="1686" spans="1:24" ht="14.4">
      <c r="A1686" s="14">
        <v>2692</v>
      </c>
      <c r="B1686" s="24" t="s">
        <v>3721</v>
      </c>
      <c r="C1686" s="1">
        <v>2613595</v>
      </c>
      <c r="D1686" s="1" t="s">
        <v>175</v>
      </c>
      <c r="E1686" s="36">
        <v>44562</v>
      </c>
      <c r="F1686" s="36">
        <v>45291</v>
      </c>
      <c r="G1686" s="38">
        <f t="shared" si="26"/>
        <v>729</v>
      </c>
      <c r="H1686" s="5">
        <v>44839</v>
      </c>
      <c r="I1686" s="5">
        <v>44839</v>
      </c>
      <c r="J1686" s="1" t="s">
        <v>26</v>
      </c>
      <c r="K1686" s="1" t="s">
        <v>3722</v>
      </c>
      <c r="L1686" s="1" t="s">
        <v>3710</v>
      </c>
      <c r="M1686" s="1" t="s">
        <v>3694</v>
      </c>
      <c r="N1686" s="1" t="s">
        <v>30</v>
      </c>
      <c r="O1686" s="1" t="s">
        <v>891</v>
      </c>
      <c r="Q1686" s="1" t="s">
        <v>892</v>
      </c>
      <c r="R1686" s="1" t="s">
        <v>26</v>
      </c>
      <c r="S1686" s="1"/>
      <c r="U1686" s="1" t="s">
        <v>130</v>
      </c>
      <c r="V1686" s="1" t="s">
        <v>648</v>
      </c>
      <c r="W1686" s="1" t="str">
        <f>VLOOKUP(Table1[[#This Row],[Obergruppe ATC-Code]],Tabelle3!$A$2:$B$100,2)</f>
        <v>IMMUNSERA UND IMMUNGLOBULINE</v>
      </c>
      <c r="X1686" s="1" t="str">
        <f xml:space="preserve"> LEFT(Table1[[#This Row],[Atc Code]],3)</f>
        <v>J06</v>
      </c>
    </row>
    <row r="1687" spans="1:24" ht="14.4">
      <c r="A1687" s="14">
        <v>1720</v>
      </c>
      <c r="B1687" s="24" t="s">
        <v>3723</v>
      </c>
      <c r="C1687" s="1">
        <v>2603280</v>
      </c>
      <c r="D1687" s="1" t="s">
        <v>25</v>
      </c>
      <c r="E1687" s="36">
        <v>44287</v>
      </c>
      <c r="F1687" s="36">
        <v>44928</v>
      </c>
      <c r="G1687" s="38">
        <f t="shared" si="26"/>
        <v>641</v>
      </c>
      <c r="H1687" s="5">
        <v>44306</v>
      </c>
      <c r="I1687" s="5">
        <v>44966</v>
      </c>
      <c r="J1687" s="1" t="s">
        <v>26</v>
      </c>
      <c r="K1687" s="1" t="s">
        <v>3724</v>
      </c>
      <c r="L1687" s="1" t="s">
        <v>3710</v>
      </c>
      <c r="M1687" s="1" t="s">
        <v>3694</v>
      </c>
      <c r="N1687" s="1" t="s">
        <v>30</v>
      </c>
      <c r="O1687" s="1" t="s">
        <v>3725</v>
      </c>
      <c r="P1687" s="1" t="s">
        <v>3726</v>
      </c>
      <c r="Q1687" s="1" t="s">
        <v>3727</v>
      </c>
      <c r="R1687" s="1" t="s">
        <v>26</v>
      </c>
      <c r="S1687" s="1" t="s">
        <v>3728</v>
      </c>
      <c r="U1687" s="1" t="s">
        <v>57</v>
      </c>
      <c r="V1687" s="1" t="s">
        <v>648</v>
      </c>
      <c r="W1687" s="1" t="str">
        <f>VLOOKUP(Table1[[#This Row],[Obergruppe ATC-Code]],Tabelle3!$A$2:$B$100,2)</f>
        <v>IMMUNSERA UND IMMUNGLOBULINE</v>
      </c>
      <c r="X1687" s="1" t="str">
        <f xml:space="preserve"> LEFT(Table1[[#This Row],[Atc Code]],3)</f>
        <v>J06</v>
      </c>
    </row>
    <row r="1688" spans="1:24" ht="14.4">
      <c r="A1688" s="14">
        <v>2370</v>
      </c>
      <c r="B1688" s="24" t="s">
        <v>3729</v>
      </c>
      <c r="C1688" s="1">
        <v>2603762</v>
      </c>
      <c r="D1688" s="1" t="s">
        <v>25</v>
      </c>
      <c r="E1688" s="36">
        <v>44470</v>
      </c>
      <c r="F1688" s="36">
        <v>44927</v>
      </c>
      <c r="G1688" s="38">
        <f t="shared" si="26"/>
        <v>457</v>
      </c>
      <c r="H1688" s="5">
        <v>44497</v>
      </c>
      <c r="I1688" s="5">
        <v>44971</v>
      </c>
      <c r="J1688" s="1" t="s">
        <v>26</v>
      </c>
      <c r="K1688" s="1" t="s">
        <v>3730</v>
      </c>
      <c r="L1688" s="1" t="s">
        <v>3710</v>
      </c>
      <c r="M1688" s="1" t="s">
        <v>3694</v>
      </c>
      <c r="N1688" s="1" t="s">
        <v>30</v>
      </c>
      <c r="O1688" s="1" t="s">
        <v>3731</v>
      </c>
      <c r="Q1688" s="1" t="s">
        <v>3732</v>
      </c>
      <c r="R1688" s="1" t="s">
        <v>26</v>
      </c>
      <c r="S1688" s="1" t="s">
        <v>3733</v>
      </c>
      <c r="U1688" s="1" t="s">
        <v>130</v>
      </c>
      <c r="V1688" s="1" t="s">
        <v>648</v>
      </c>
      <c r="W1688" s="1" t="str">
        <f>VLOOKUP(Table1[[#This Row],[Obergruppe ATC-Code]],Tabelle3!$A$2:$B$100,2)</f>
        <v>IMMUNSERA UND IMMUNGLOBULINE</v>
      </c>
      <c r="X1688" s="1" t="str">
        <f xml:space="preserve"> LEFT(Table1[[#This Row],[Atc Code]],3)</f>
        <v>J06</v>
      </c>
    </row>
    <row r="1689" spans="1:24" ht="14.4">
      <c r="A1689" s="14">
        <v>2040</v>
      </c>
      <c r="B1689" s="24" t="s">
        <v>3734</v>
      </c>
      <c r="C1689" s="1">
        <v>2603300</v>
      </c>
      <c r="D1689" s="1" t="s">
        <v>25</v>
      </c>
      <c r="E1689" s="36">
        <v>44531</v>
      </c>
      <c r="F1689" s="36">
        <v>45016</v>
      </c>
      <c r="G1689" s="38">
        <f t="shared" si="26"/>
        <v>485</v>
      </c>
      <c r="H1689" s="5">
        <v>44530</v>
      </c>
      <c r="I1689" s="5">
        <v>45016</v>
      </c>
      <c r="J1689" s="1" t="s">
        <v>26</v>
      </c>
      <c r="K1689" s="1" t="s">
        <v>3735</v>
      </c>
      <c r="L1689" s="1" t="s">
        <v>3710</v>
      </c>
      <c r="M1689" s="1" t="s">
        <v>3694</v>
      </c>
      <c r="N1689" s="1" t="s">
        <v>30</v>
      </c>
      <c r="O1689" s="1" t="s">
        <v>3736</v>
      </c>
      <c r="P1689" s="1">
        <v>4961038010</v>
      </c>
      <c r="Q1689" s="1" t="s">
        <v>3737</v>
      </c>
      <c r="R1689" s="1" t="s">
        <v>26</v>
      </c>
      <c r="S1689" s="1"/>
      <c r="U1689" s="1" t="s">
        <v>130</v>
      </c>
      <c r="V1689" s="1" t="s">
        <v>648</v>
      </c>
      <c r="W1689" s="1" t="str">
        <f>VLOOKUP(Table1[[#This Row],[Obergruppe ATC-Code]],Tabelle3!$A$2:$B$100,2)</f>
        <v>IMMUNSERA UND IMMUNGLOBULINE</v>
      </c>
      <c r="X1689" s="1" t="str">
        <f xml:space="preserve"> LEFT(Table1[[#This Row],[Atc Code]],3)</f>
        <v>J06</v>
      </c>
    </row>
    <row r="1690" spans="1:24" ht="14.4">
      <c r="A1690" s="14">
        <v>1689</v>
      </c>
      <c r="B1690" s="24" t="s">
        <v>3738</v>
      </c>
      <c r="C1690" s="1">
        <v>2612712</v>
      </c>
      <c r="D1690" s="1" t="s">
        <v>25</v>
      </c>
      <c r="E1690" s="36">
        <v>44531</v>
      </c>
      <c r="F1690" s="36">
        <v>45016</v>
      </c>
      <c r="G1690" s="38">
        <f t="shared" si="26"/>
        <v>485</v>
      </c>
      <c r="H1690" s="5">
        <v>44530</v>
      </c>
      <c r="I1690" s="5">
        <v>45016</v>
      </c>
      <c r="J1690" s="1" t="s">
        <v>26</v>
      </c>
      <c r="K1690" s="1" t="s">
        <v>3739</v>
      </c>
      <c r="L1690" s="1" t="s">
        <v>3710</v>
      </c>
      <c r="M1690" s="1" t="s">
        <v>3694</v>
      </c>
      <c r="N1690" s="1" t="s">
        <v>30</v>
      </c>
      <c r="O1690" s="1" t="s">
        <v>3736</v>
      </c>
      <c r="P1690" s="1">
        <v>4961038010</v>
      </c>
      <c r="Q1690" s="1" t="s">
        <v>3737</v>
      </c>
      <c r="R1690" s="1" t="s">
        <v>26</v>
      </c>
      <c r="S1690" s="1"/>
      <c r="U1690" s="1" t="s">
        <v>130</v>
      </c>
      <c r="V1690" s="1" t="s">
        <v>648</v>
      </c>
      <c r="W1690" s="1" t="str">
        <f>VLOOKUP(Table1[[#This Row],[Obergruppe ATC-Code]],Tabelle3!$A$2:$B$100,2)</f>
        <v>IMMUNSERA UND IMMUNGLOBULINE</v>
      </c>
      <c r="X1690" s="1" t="str">
        <f xml:space="preserve"> LEFT(Table1[[#This Row],[Atc Code]],3)</f>
        <v>J06</v>
      </c>
    </row>
    <row r="1691" spans="1:24" ht="14.4">
      <c r="A1691" s="14">
        <v>1911</v>
      </c>
      <c r="B1691" s="24" t="s">
        <v>3740</v>
      </c>
      <c r="C1691" s="1" t="s">
        <v>3741</v>
      </c>
      <c r="D1691" s="1" t="s">
        <v>25</v>
      </c>
      <c r="E1691" s="36">
        <v>44228</v>
      </c>
      <c r="F1691" s="36">
        <v>45046</v>
      </c>
      <c r="G1691" s="38">
        <f t="shared" si="26"/>
        <v>818</v>
      </c>
      <c r="H1691" s="5">
        <v>44781</v>
      </c>
      <c r="I1691" s="5">
        <v>45044</v>
      </c>
      <c r="J1691" s="1" t="s">
        <v>26</v>
      </c>
      <c r="K1691" s="1" t="s">
        <v>3719</v>
      </c>
      <c r="L1691" s="1" t="s">
        <v>3710</v>
      </c>
      <c r="M1691" s="1" t="s">
        <v>3694</v>
      </c>
      <c r="N1691" s="1" t="s">
        <v>38</v>
      </c>
      <c r="O1691" s="1" t="s">
        <v>3704</v>
      </c>
      <c r="P1691" s="1" t="s">
        <v>3742</v>
      </c>
      <c r="Q1691" s="1" t="s">
        <v>3706</v>
      </c>
      <c r="R1691" s="1" t="s">
        <v>26</v>
      </c>
      <c r="S1691" s="1" t="s">
        <v>3743</v>
      </c>
      <c r="U1691" s="1" t="s">
        <v>57</v>
      </c>
      <c r="V1691" s="1" t="s">
        <v>648</v>
      </c>
      <c r="W1691" s="1" t="str">
        <f>VLOOKUP(Table1[[#This Row],[Obergruppe ATC-Code]],Tabelle3!$A$2:$B$100,2)</f>
        <v>IMMUNSERA UND IMMUNGLOBULINE</v>
      </c>
      <c r="X1691" s="1" t="str">
        <f xml:space="preserve"> LEFT(Table1[[#This Row],[Atc Code]],3)</f>
        <v>J06</v>
      </c>
    </row>
    <row r="1692" spans="1:24" ht="14.4">
      <c r="A1692" s="14">
        <v>2162</v>
      </c>
      <c r="B1692" s="24" t="s">
        <v>3744</v>
      </c>
      <c r="C1692" s="1">
        <v>2613934</v>
      </c>
      <c r="D1692" s="1" t="s">
        <v>25</v>
      </c>
      <c r="E1692" s="36">
        <v>44799</v>
      </c>
      <c r="F1692" s="36">
        <v>45046</v>
      </c>
      <c r="G1692" s="38">
        <f t="shared" si="26"/>
        <v>247</v>
      </c>
      <c r="H1692" s="5">
        <v>44799</v>
      </c>
      <c r="I1692" s="5">
        <v>45051</v>
      </c>
      <c r="J1692" s="1" t="s">
        <v>26</v>
      </c>
      <c r="K1692" s="1" t="s">
        <v>3745</v>
      </c>
      <c r="L1692" s="1" t="s">
        <v>3710</v>
      </c>
      <c r="M1692" s="1" t="s">
        <v>3694</v>
      </c>
      <c r="N1692" s="1" t="s">
        <v>30</v>
      </c>
      <c r="O1692" s="1" t="s">
        <v>891</v>
      </c>
      <c r="Q1692" s="1" t="s">
        <v>892</v>
      </c>
      <c r="R1692" s="1" t="s">
        <v>26</v>
      </c>
      <c r="S1692" s="1"/>
      <c r="U1692" s="1" t="s">
        <v>130</v>
      </c>
      <c r="V1692" s="1" t="s">
        <v>648</v>
      </c>
      <c r="W1692" s="1" t="str">
        <f>VLOOKUP(Table1[[#This Row],[Obergruppe ATC-Code]],Tabelle3!$A$2:$B$100,2)</f>
        <v>IMMUNSERA UND IMMUNGLOBULINE</v>
      </c>
      <c r="X1692" s="1" t="str">
        <f xml:space="preserve"> LEFT(Table1[[#This Row],[Atc Code]],3)</f>
        <v>J06</v>
      </c>
    </row>
    <row r="1693" spans="1:24" ht="14.4">
      <c r="A1693" s="14">
        <v>1829</v>
      </c>
      <c r="B1693" s="24" t="s">
        <v>3746</v>
      </c>
      <c r="C1693" s="1">
        <v>2604148</v>
      </c>
      <c r="D1693" s="1" t="s">
        <v>25</v>
      </c>
      <c r="E1693" s="36">
        <v>44799</v>
      </c>
      <c r="F1693" s="36">
        <v>45046</v>
      </c>
      <c r="G1693" s="38">
        <f t="shared" si="26"/>
        <v>247</v>
      </c>
      <c r="H1693" s="5">
        <v>44799</v>
      </c>
      <c r="I1693" s="5">
        <v>45051</v>
      </c>
      <c r="J1693" s="1" t="s">
        <v>26</v>
      </c>
      <c r="K1693" s="1" t="s">
        <v>3747</v>
      </c>
      <c r="L1693" s="1" t="s">
        <v>3710</v>
      </c>
      <c r="M1693" s="1" t="s">
        <v>3694</v>
      </c>
      <c r="N1693" s="1" t="s">
        <v>30</v>
      </c>
      <c r="O1693" s="1" t="s">
        <v>891</v>
      </c>
      <c r="Q1693" s="1" t="s">
        <v>892</v>
      </c>
      <c r="R1693" s="1" t="s">
        <v>26</v>
      </c>
      <c r="S1693" s="1"/>
      <c r="U1693" s="1" t="s">
        <v>130</v>
      </c>
      <c r="V1693" s="1" t="s">
        <v>648</v>
      </c>
      <c r="W1693" s="1" t="str">
        <f>VLOOKUP(Table1[[#This Row],[Obergruppe ATC-Code]],Tabelle3!$A$2:$B$100,2)</f>
        <v>IMMUNSERA UND IMMUNGLOBULINE</v>
      </c>
      <c r="X1693" s="1" t="str">
        <f xml:space="preserve"> LEFT(Table1[[#This Row],[Atc Code]],3)</f>
        <v>J06</v>
      </c>
    </row>
    <row r="1694" spans="1:24" ht="14.4">
      <c r="A1694" s="14">
        <v>2907</v>
      </c>
      <c r="B1694" s="24" t="s">
        <v>3748</v>
      </c>
      <c r="C1694" s="1">
        <v>7009422</v>
      </c>
      <c r="D1694" s="1" t="s">
        <v>25</v>
      </c>
      <c r="E1694" s="36">
        <v>44958</v>
      </c>
      <c r="F1694" s="36">
        <v>45138</v>
      </c>
      <c r="G1694" s="38">
        <f t="shared" si="26"/>
        <v>180</v>
      </c>
      <c r="H1694" s="5">
        <v>44958</v>
      </c>
      <c r="I1694" s="5">
        <v>45118</v>
      </c>
      <c r="J1694" s="1" t="s">
        <v>26</v>
      </c>
      <c r="K1694" s="1" t="s">
        <v>3749</v>
      </c>
      <c r="L1694" s="1" t="s">
        <v>3710</v>
      </c>
      <c r="M1694" s="1" t="s">
        <v>3750</v>
      </c>
      <c r="N1694" s="1" t="s">
        <v>30</v>
      </c>
      <c r="O1694" s="1" t="s">
        <v>3736</v>
      </c>
      <c r="R1694" s="1" t="s">
        <v>113</v>
      </c>
      <c r="S1694" s="1"/>
      <c r="U1694" s="1" t="s">
        <v>130</v>
      </c>
      <c r="V1694" s="1" t="s">
        <v>648</v>
      </c>
      <c r="W1694" s="1" t="str">
        <f>VLOOKUP(Table1[[#This Row],[Obergruppe ATC-Code]],Tabelle3!$A$2:$B$100,2)</f>
        <v>IMMUNSERA UND IMMUNGLOBULINE</v>
      </c>
      <c r="X1694" s="1" t="str">
        <f xml:space="preserve"> LEFT(Table1[[#This Row],[Atc Code]],3)</f>
        <v>J06</v>
      </c>
    </row>
    <row r="1695" spans="1:24" ht="14.4">
      <c r="A1695" s="14">
        <v>2891</v>
      </c>
      <c r="B1695" s="24" t="s">
        <v>3751</v>
      </c>
      <c r="C1695" s="1">
        <v>2613978</v>
      </c>
      <c r="D1695" s="1" t="s">
        <v>25</v>
      </c>
      <c r="E1695" s="36">
        <v>44628</v>
      </c>
      <c r="F1695" s="36">
        <v>45167</v>
      </c>
      <c r="G1695" s="38">
        <f t="shared" si="26"/>
        <v>539</v>
      </c>
      <c r="H1695" s="5">
        <v>44643</v>
      </c>
      <c r="I1695" s="5">
        <v>45168</v>
      </c>
      <c r="J1695" s="1" t="s">
        <v>41</v>
      </c>
      <c r="K1695" s="1" t="s">
        <v>3752</v>
      </c>
      <c r="L1695" s="1" t="s">
        <v>3710</v>
      </c>
      <c r="M1695" s="1" t="s">
        <v>3694</v>
      </c>
      <c r="N1695" s="1" t="s">
        <v>38</v>
      </c>
      <c r="O1695" s="1" t="s">
        <v>3753</v>
      </c>
      <c r="P1695" s="1">
        <v>31615045921</v>
      </c>
      <c r="Q1695" s="1" t="s">
        <v>3754</v>
      </c>
      <c r="R1695" s="1" t="s">
        <v>128</v>
      </c>
      <c r="S1695" s="1" t="s">
        <v>3755</v>
      </c>
      <c r="U1695" s="1" t="s">
        <v>35</v>
      </c>
      <c r="V1695" s="1" t="s">
        <v>648</v>
      </c>
      <c r="W1695" s="1" t="str">
        <f>VLOOKUP(Table1[[#This Row],[Obergruppe ATC-Code]],Tabelle3!$A$2:$B$100,2)</f>
        <v>IMMUNSERA UND IMMUNGLOBULINE</v>
      </c>
      <c r="X1695" s="1" t="str">
        <f xml:space="preserve"> LEFT(Table1[[#This Row],[Atc Code]],3)</f>
        <v>J06</v>
      </c>
    </row>
    <row r="1696" spans="1:24" ht="14.4">
      <c r="A1696" s="14">
        <v>2151</v>
      </c>
      <c r="B1696" s="24" t="s">
        <v>3717</v>
      </c>
      <c r="C1696" s="1" t="s">
        <v>3718</v>
      </c>
      <c r="D1696" s="1" t="s">
        <v>102</v>
      </c>
      <c r="E1696" s="36">
        <v>44774</v>
      </c>
      <c r="F1696" s="36">
        <v>45291</v>
      </c>
      <c r="G1696" s="38">
        <f t="shared" si="26"/>
        <v>517</v>
      </c>
      <c r="H1696" s="5">
        <v>44771</v>
      </c>
      <c r="I1696" s="5">
        <v>45198</v>
      </c>
      <c r="J1696" s="1" t="s">
        <v>26</v>
      </c>
      <c r="K1696" s="1" t="s">
        <v>3712</v>
      </c>
      <c r="L1696" s="1" t="s">
        <v>3710</v>
      </c>
      <c r="M1696" s="1" t="s">
        <v>3694</v>
      </c>
      <c r="N1696" s="1" t="s">
        <v>38</v>
      </c>
      <c r="O1696" s="1" t="s">
        <v>3713</v>
      </c>
      <c r="P1696" s="1" t="s">
        <v>853</v>
      </c>
      <c r="Q1696" s="1" t="s">
        <v>854</v>
      </c>
      <c r="R1696" s="1" t="s">
        <v>113</v>
      </c>
      <c r="S1696" s="1"/>
      <c r="U1696" s="1" t="s">
        <v>130</v>
      </c>
      <c r="V1696" s="1" t="s">
        <v>648</v>
      </c>
      <c r="W1696" s="1" t="str">
        <f>VLOOKUP(Table1[[#This Row],[Obergruppe ATC-Code]],Tabelle3!$A$2:$B$100,2)</f>
        <v>IMMUNSERA UND IMMUNGLOBULINE</v>
      </c>
      <c r="X1696" s="1" t="str">
        <f xml:space="preserve"> LEFT(Table1[[#This Row],[Atc Code]],3)</f>
        <v>J06</v>
      </c>
    </row>
    <row r="1697" spans="1:24" ht="14.4">
      <c r="A1697" s="14">
        <v>2201</v>
      </c>
      <c r="B1697" s="24" t="s">
        <v>3756</v>
      </c>
      <c r="C1697" s="1">
        <v>2603714</v>
      </c>
      <c r="D1697" s="1" t="s">
        <v>25</v>
      </c>
      <c r="E1697" s="36">
        <v>43040</v>
      </c>
      <c r="F1697" s="36">
        <v>43159</v>
      </c>
      <c r="G1697" s="38">
        <f t="shared" si="26"/>
        <v>119</v>
      </c>
      <c r="H1697" s="5">
        <v>43032</v>
      </c>
      <c r="I1697" s="5">
        <v>43115</v>
      </c>
      <c r="J1697" s="1" t="s">
        <v>41</v>
      </c>
      <c r="K1697" s="1" t="s">
        <v>3757</v>
      </c>
      <c r="L1697" s="1" t="s">
        <v>3758</v>
      </c>
      <c r="M1697" s="1" t="s">
        <v>3759</v>
      </c>
      <c r="N1697" s="1" t="s">
        <v>30</v>
      </c>
      <c r="O1697" s="1" t="s">
        <v>891</v>
      </c>
      <c r="P1697" s="1" t="s">
        <v>3760</v>
      </c>
      <c r="Q1697" s="1" t="s">
        <v>3761</v>
      </c>
      <c r="R1697" s="1" t="s">
        <v>65</v>
      </c>
      <c r="S1697" s="1"/>
      <c r="U1697" s="1" t="s">
        <v>35</v>
      </c>
      <c r="V1697" s="1" t="s">
        <v>74</v>
      </c>
      <c r="W1697" s="1" t="str">
        <f>VLOOKUP(Table1[[#This Row],[Obergruppe ATC-Code]],Tabelle3!$A$2:$B$100,2)</f>
        <v>IMMUNSERA UND IMMUNGLOBULINE</v>
      </c>
      <c r="X1697" s="1" t="str">
        <f xml:space="preserve"> LEFT(Table1[[#This Row],[Atc Code]],3)</f>
        <v>J06</v>
      </c>
    </row>
    <row r="1698" spans="1:24" ht="14.4">
      <c r="A1698" s="14">
        <v>2200</v>
      </c>
      <c r="B1698" s="24" t="s">
        <v>3756</v>
      </c>
      <c r="C1698" s="1">
        <v>2603714</v>
      </c>
      <c r="D1698" s="1" t="s">
        <v>25</v>
      </c>
      <c r="E1698" s="36">
        <v>43952</v>
      </c>
      <c r="F1698" s="36">
        <v>44074</v>
      </c>
      <c r="G1698" s="38">
        <f t="shared" si="26"/>
        <v>122</v>
      </c>
      <c r="H1698" s="5">
        <v>43963</v>
      </c>
      <c r="I1698" s="5">
        <v>44050</v>
      </c>
      <c r="J1698" s="1" t="s">
        <v>41</v>
      </c>
      <c r="K1698" s="1" t="s">
        <v>3757</v>
      </c>
      <c r="L1698" s="1" t="s">
        <v>3758</v>
      </c>
      <c r="M1698" s="1" t="s">
        <v>3759</v>
      </c>
      <c r="N1698" s="1" t="s">
        <v>30</v>
      </c>
      <c r="O1698" s="1" t="s">
        <v>891</v>
      </c>
      <c r="P1698" s="1">
        <v>21739170</v>
      </c>
      <c r="Q1698" s="1" t="s">
        <v>3762</v>
      </c>
      <c r="R1698" s="1" t="s">
        <v>48</v>
      </c>
      <c r="S1698" s="1"/>
      <c r="U1698" s="1" t="s">
        <v>35</v>
      </c>
      <c r="V1698" s="1" t="s">
        <v>74</v>
      </c>
      <c r="W1698" s="1" t="str">
        <f>VLOOKUP(Table1[[#This Row],[Obergruppe ATC-Code]],Tabelle3!$A$2:$B$100,2)</f>
        <v>IMMUNSERA UND IMMUNGLOBULINE</v>
      </c>
      <c r="X1698" s="1" t="str">
        <f xml:space="preserve"> LEFT(Table1[[#This Row],[Atc Code]],3)</f>
        <v>J06</v>
      </c>
    </row>
    <row r="1699" spans="1:24" ht="14.4">
      <c r="A1699" s="14">
        <v>2199</v>
      </c>
      <c r="B1699" s="24" t="s">
        <v>3756</v>
      </c>
      <c r="C1699" s="1">
        <v>2603714</v>
      </c>
      <c r="D1699" s="1" t="s">
        <v>25</v>
      </c>
      <c r="E1699" s="36">
        <v>44105</v>
      </c>
      <c r="F1699" s="36">
        <v>44255</v>
      </c>
      <c r="G1699" s="38">
        <f t="shared" si="26"/>
        <v>150</v>
      </c>
      <c r="H1699" s="5">
        <v>44096</v>
      </c>
      <c r="I1699" s="5">
        <v>44229</v>
      </c>
      <c r="J1699" s="1" t="s">
        <v>41</v>
      </c>
      <c r="K1699" s="1" t="s">
        <v>3757</v>
      </c>
      <c r="L1699" s="1" t="s">
        <v>3758</v>
      </c>
      <c r="M1699" s="1" t="s">
        <v>3759</v>
      </c>
      <c r="N1699" s="1" t="s">
        <v>30</v>
      </c>
      <c r="O1699" s="1" t="s">
        <v>891</v>
      </c>
      <c r="P1699" s="1">
        <v>21739170</v>
      </c>
      <c r="Q1699" s="1" t="s">
        <v>3762</v>
      </c>
      <c r="R1699" s="1" t="s">
        <v>48</v>
      </c>
      <c r="S1699" s="1"/>
      <c r="U1699" s="1" t="s">
        <v>35</v>
      </c>
      <c r="V1699" s="1" t="s">
        <v>74</v>
      </c>
      <c r="W1699" s="1" t="str">
        <f>VLOOKUP(Table1[[#This Row],[Obergruppe ATC-Code]],Tabelle3!$A$2:$B$100,2)</f>
        <v>IMMUNSERA UND IMMUNGLOBULINE</v>
      </c>
      <c r="X1699" s="1" t="str">
        <f xml:space="preserve"> LEFT(Table1[[#This Row],[Atc Code]],3)</f>
        <v>J06</v>
      </c>
    </row>
    <row r="1700" spans="1:24" ht="14.4">
      <c r="A1700" s="14">
        <v>2144</v>
      </c>
      <c r="B1700" s="24" t="s">
        <v>3763</v>
      </c>
      <c r="C1700" s="1">
        <v>2602314</v>
      </c>
      <c r="D1700" s="1" t="s">
        <v>25</v>
      </c>
      <c r="E1700" s="36">
        <v>44809</v>
      </c>
      <c r="F1700" s="36">
        <v>44827</v>
      </c>
      <c r="G1700" s="38">
        <f t="shared" si="26"/>
        <v>18</v>
      </c>
      <c r="H1700" s="5">
        <v>44806</v>
      </c>
      <c r="I1700" s="5">
        <v>44827</v>
      </c>
      <c r="J1700" s="1" t="s">
        <v>26</v>
      </c>
      <c r="K1700" s="1" t="s">
        <v>3764</v>
      </c>
      <c r="L1700" s="1" t="s">
        <v>3765</v>
      </c>
      <c r="M1700" s="1" t="s">
        <v>3766</v>
      </c>
      <c r="N1700" s="1" t="s">
        <v>30</v>
      </c>
      <c r="O1700" s="1" t="s">
        <v>3704</v>
      </c>
      <c r="P1700" s="1">
        <v>6930540300</v>
      </c>
      <c r="Q1700" s="1" t="s">
        <v>3767</v>
      </c>
      <c r="R1700" s="1" t="s">
        <v>113</v>
      </c>
      <c r="S1700" s="1"/>
      <c r="U1700" s="1" t="s">
        <v>130</v>
      </c>
      <c r="V1700" s="1" t="s">
        <v>74</v>
      </c>
      <c r="W1700" s="1" t="str">
        <f>VLOOKUP(Table1[[#This Row],[Obergruppe ATC-Code]],Tabelle3!$A$2:$B$100,2)</f>
        <v>IMMUNSERA UND IMMUNGLOBULINE</v>
      </c>
      <c r="X1700" s="1" t="str">
        <f xml:space="preserve"> LEFT(Table1[[#This Row],[Atc Code]],3)</f>
        <v>J06</v>
      </c>
    </row>
    <row r="1701" spans="1:24" ht="14.4">
      <c r="A1701" s="14">
        <v>1636</v>
      </c>
      <c r="B1701" s="24">
        <v>44061113</v>
      </c>
      <c r="C1701" s="1">
        <v>2190399</v>
      </c>
      <c r="D1701" s="1" t="s">
        <v>25</v>
      </c>
      <c r="E1701" s="36">
        <v>44075</v>
      </c>
      <c r="F1701" s="36">
        <v>44196</v>
      </c>
      <c r="G1701" s="38">
        <f t="shared" si="26"/>
        <v>121</v>
      </c>
      <c r="H1701" s="5">
        <v>44084</v>
      </c>
      <c r="I1701" s="5">
        <v>44103</v>
      </c>
      <c r="J1701" s="1" t="s">
        <v>41</v>
      </c>
      <c r="K1701" s="1" t="s">
        <v>3768</v>
      </c>
      <c r="L1701" s="1" t="s">
        <v>3769</v>
      </c>
      <c r="M1701" s="1" t="s">
        <v>3770</v>
      </c>
      <c r="N1701" s="1" t="s">
        <v>30</v>
      </c>
      <c r="O1701" s="1" t="s">
        <v>91</v>
      </c>
      <c r="P1701" s="1" t="s">
        <v>92</v>
      </c>
      <c r="Q1701" s="1" t="s">
        <v>93</v>
      </c>
      <c r="R1701" s="1" t="s">
        <v>48</v>
      </c>
      <c r="S1701" s="1"/>
      <c r="U1701" s="1" t="s">
        <v>57</v>
      </c>
      <c r="V1701" s="1" t="s">
        <v>167</v>
      </c>
      <c r="W1701" s="1" t="str">
        <f>VLOOKUP(Table1[[#This Row],[Obergruppe ATC-Code]],Tabelle3!$A$2:$B$100,2)</f>
        <v>ANTINEOPLASTISCHE MITTEL</v>
      </c>
      <c r="X1701" s="1" t="str">
        <f xml:space="preserve"> LEFT(Table1[[#This Row],[Atc Code]],3)</f>
        <v>L01</v>
      </c>
    </row>
    <row r="1702" spans="1:24" ht="14.4">
      <c r="A1702" s="14">
        <v>1189</v>
      </c>
      <c r="B1702" s="24">
        <v>10550575</v>
      </c>
      <c r="C1702" s="1">
        <v>2190401</v>
      </c>
      <c r="D1702" s="1" t="s">
        <v>25</v>
      </c>
      <c r="E1702" s="36">
        <v>44075</v>
      </c>
      <c r="F1702" s="36">
        <v>44196</v>
      </c>
      <c r="G1702" s="38">
        <f t="shared" si="26"/>
        <v>121</v>
      </c>
      <c r="H1702" s="5">
        <v>44084</v>
      </c>
      <c r="I1702" s="5">
        <v>44103</v>
      </c>
      <c r="J1702" s="1" t="s">
        <v>41</v>
      </c>
      <c r="K1702" s="1" t="s">
        <v>3771</v>
      </c>
      <c r="L1702" s="1" t="s">
        <v>3769</v>
      </c>
      <c r="M1702" s="1" t="s">
        <v>3770</v>
      </c>
      <c r="N1702" s="1" t="s">
        <v>30</v>
      </c>
      <c r="O1702" s="1" t="s">
        <v>91</v>
      </c>
      <c r="P1702" s="1" t="s">
        <v>92</v>
      </c>
      <c r="Q1702" s="1" t="s">
        <v>93</v>
      </c>
      <c r="R1702" s="1" t="s">
        <v>48</v>
      </c>
      <c r="S1702" s="1"/>
      <c r="U1702" s="1" t="s">
        <v>57</v>
      </c>
      <c r="V1702" s="1" t="s">
        <v>167</v>
      </c>
      <c r="W1702" s="1" t="str">
        <f>VLOOKUP(Table1[[#This Row],[Obergruppe ATC-Code]],Tabelle3!$A$2:$B$100,2)</f>
        <v>ANTINEOPLASTISCHE MITTEL</v>
      </c>
      <c r="X1702" s="1" t="str">
        <f xml:space="preserve"> LEFT(Table1[[#This Row],[Atc Code]],3)</f>
        <v>L01</v>
      </c>
    </row>
    <row r="1703" spans="1:24" ht="14.4">
      <c r="A1703" s="14">
        <v>1637</v>
      </c>
      <c r="B1703" s="24">
        <v>44061113</v>
      </c>
      <c r="C1703" s="1">
        <v>2190399</v>
      </c>
      <c r="D1703" s="1" t="s">
        <v>25</v>
      </c>
      <c r="E1703" s="36">
        <v>44844</v>
      </c>
      <c r="F1703" s="36">
        <v>44895</v>
      </c>
      <c r="G1703" s="38">
        <f t="shared" si="26"/>
        <v>51</v>
      </c>
      <c r="H1703" s="5">
        <v>44844</v>
      </c>
      <c r="I1703" s="5">
        <v>44895</v>
      </c>
      <c r="J1703" s="1" t="s">
        <v>26</v>
      </c>
      <c r="K1703" s="1" t="s">
        <v>3768</v>
      </c>
      <c r="L1703" s="1" t="s">
        <v>3769</v>
      </c>
      <c r="M1703" s="1" t="s">
        <v>3772</v>
      </c>
      <c r="N1703" s="1" t="s">
        <v>38</v>
      </c>
      <c r="O1703" s="1" t="s">
        <v>91</v>
      </c>
      <c r="Q1703" s="1" t="s">
        <v>93</v>
      </c>
      <c r="R1703" s="1" t="s">
        <v>26</v>
      </c>
      <c r="S1703" s="1"/>
      <c r="U1703" s="1" t="s">
        <v>57</v>
      </c>
      <c r="V1703" s="1" t="s">
        <v>167</v>
      </c>
      <c r="W1703" s="1" t="str">
        <f>VLOOKUP(Table1[[#This Row],[Obergruppe ATC-Code]],Tabelle3!$A$2:$B$100,2)</f>
        <v>ANTINEOPLASTISCHE MITTEL</v>
      </c>
      <c r="X1703" s="1" t="str">
        <f xml:space="preserve"> LEFT(Table1[[#This Row],[Atc Code]],3)</f>
        <v>L01</v>
      </c>
    </row>
    <row r="1704" spans="1:24" ht="14.4">
      <c r="A1704" s="14">
        <v>1190</v>
      </c>
      <c r="B1704" s="24">
        <v>10550575</v>
      </c>
      <c r="C1704" s="1">
        <v>2190401</v>
      </c>
      <c r="D1704" s="1" t="s">
        <v>25</v>
      </c>
      <c r="E1704" s="36">
        <v>44844</v>
      </c>
      <c r="F1704" s="36">
        <v>44911</v>
      </c>
      <c r="G1704" s="38">
        <f t="shared" si="26"/>
        <v>67</v>
      </c>
      <c r="H1704" s="5">
        <v>44844</v>
      </c>
      <c r="I1704" s="5">
        <v>44914</v>
      </c>
      <c r="J1704" s="1" t="s">
        <v>26</v>
      </c>
      <c r="K1704" s="1" t="s">
        <v>3771</v>
      </c>
      <c r="L1704" s="1" t="s">
        <v>3769</v>
      </c>
      <c r="M1704" s="1" t="s">
        <v>3772</v>
      </c>
      <c r="N1704" s="1" t="s">
        <v>38</v>
      </c>
      <c r="O1704" s="1" t="s">
        <v>91</v>
      </c>
      <c r="Q1704" s="1" t="s">
        <v>93</v>
      </c>
      <c r="R1704" s="1" t="s">
        <v>26</v>
      </c>
      <c r="S1704" s="1"/>
      <c r="U1704" s="1" t="s">
        <v>57</v>
      </c>
      <c r="V1704" s="1" t="s">
        <v>167</v>
      </c>
      <c r="W1704" s="1" t="str">
        <f>VLOOKUP(Table1[[#This Row],[Obergruppe ATC-Code]],Tabelle3!$A$2:$B$100,2)</f>
        <v>ANTINEOPLASTISCHE MITTEL</v>
      </c>
      <c r="X1704" s="1" t="str">
        <f xml:space="preserve"> LEFT(Table1[[#This Row],[Atc Code]],3)</f>
        <v>L01</v>
      </c>
    </row>
    <row r="1705" spans="1:24" ht="14.4">
      <c r="A1705" s="14">
        <v>677</v>
      </c>
      <c r="B1705" s="24">
        <v>4529192</v>
      </c>
      <c r="C1705" s="1">
        <v>101592</v>
      </c>
      <c r="D1705" s="1" t="s">
        <v>25</v>
      </c>
      <c r="E1705" s="36">
        <v>42795</v>
      </c>
      <c r="F1705" s="36">
        <v>42947</v>
      </c>
      <c r="G1705" s="38">
        <f t="shared" si="26"/>
        <v>152</v>
      </c>
      <c r="H1705" s="5">
        <v>42349</v>
      </c>
      <c r="I1705" s="5">
        <v>42920</v>
      </c>
      <c r="J1705" s="1" t="s">
        <v>26</v>
      </c>
      <c r="K1705" s="1" t="s">
        <v>3773</v>
      </c>
      <c r="L1705" s="1" t="s">
        <v>3774</v>
      </c>
      <c r="M1705" s="1" t="s">
        <v>3775</v>
      </c>
      <c r="N1705" s="1" t="s">
        <v>30</v>
      </c>
      <c r="O1705" s="1" t="s">
        <v>818</v>
      </c>
      <c r="P1705" s="1" t="s">
        <v>3776</v>
      </c>
      <c r="Q1705" s="1" t="s">
        <v>647</v>
      </c>
      <c r="R1705" s="1" t="s">
        <v>33</v>
      </c>
      <c r="S1705" s="1"/>
      <c r="U1705" s="1" t="s">
        <v>35</v>
      </c>
      <c r="V1705" s="1" t="s">
        <v>2290</v>
      </c>
      <c r="W1705" s="1" t="str">
        <f>VLOOKUP(Table1[[#This Row],[Obergruppe ATC-Code]],Tabelle3!$A$2:$B$100,2)</f>
        <v>ANTINEOPLASTISCHE MITTEL</v>
      </c>
      <c r="X1705" s="1" t="str">
        <f xml:space="preserve"> LEFT(Table1[[#This Row],[Atc Code]],3)</f>
        <v>L01</v>
      </c>
    </row>
    <row r="1706" spans="1:24" ht="14.4">
      <c r="A1706" s="14">
        <v>676</v>
      </c>
      <c r="B1706" s="24">
        <v>4529192</v>
      </c>
      <c r="C1706" s="1">
        <v>101592</v>
      </c>
      <c r="D1706" s="1" t="s">
        <v>25</v>
      </c>
      <c r="E1706" s="36">
        <v>43678</v>
      </c>
      <c r="F1706" s="36">
        <v>43769</v>
      </c>
      <c r="G1706" s="38">
        <f t="shared" si="26"/>
        <v>91</v>
      </c>
      <c r="H1706" s="5">
        <v>43707</v>
      </c>
      <c r="I1706" s="5">
        <v>43763</v>
      </c>
      <c r="J1706" s="1" t="s">
        <v>41</v>
      </c>
      <c r="K1706" s="1" t="s">
        <v>3773</v>
      </c>
      <c r="L1706" s="1" t="s">
        <v>3774</v>
      </c>
      <c r="M1706" s="1" t="s">
        <v>3775</v>
      </c>
      <c r="N1706" s="1" t="s">
        <v>30</v>
      </c>
      <c r="O1706" s="1" t="s">
        <v>818</v>
      </c>
      <c r="P1706" s="1">
        <v>498993083800</v>
      </c>
      <c r="Q1706" s="1" t="s">
        <v>3777</v>
      </c>
      <c r="R1706" s="1" t="s">
        <v>65</v>
      </c>
      <c r="S1706" s="1"/>
      <c r="T1706" s="1" t="s">
        <v>3778</v>
      </c>
      <c r="U1706" s="1" t="s">
        <v>35</v>
      </c>
      <c r="V1706" s="1" t="s">
        <v>2290</v>
      </c>
      <c r="W1706" s="1" t="str">
        <f>VLOOKUP(Table1[[#This Row],[Obergruppe ATC-Code]],Tabelle3!$A$2:$B$100,2)</f>
        <v>ANTINEOPLASTISCHE MITTEL</v>
      </c>
      <c r="X1706" s="1" t="str">
        <f xml:space="preserve"> LEFT(Table1[[#This Row],[Atc Code]],3)</f>
        <v>L01</v>
      </c>
    </row>
    <row r="1707" spans="1:24" ht="14.4">
      <c r="A1707" s="14">
        <v>1449</v>
      </c>
      <c r="B1707" s="24">
        <v>14287910</v>
      </c>
      <c r="C1707" s="1">
        <v>2200296</v>
      </c>
      <c r="D1707" s="1" t="s">
        <v>25</v>
      </c>
      <c r="E1707" s="36">
        <v>44075</v>
      </c>
      <c r="F1707" s="36">
        <v>44135</v>
      </c>
      <c r="G1707" s="38">
        <f t="shared" si="26"/>
        <v>60</v>
      </c>
      <c r="H1707" s="5">
        <v>44075</v>
      </c>
      <c r="I1707" s="5">
        <v>44138</v>
      </c>
      <c r="J1707" s="1" t="s">
        <v>41</v>
      </c>
      <c r="K1707" s="1" t="s">
        <v>3779</v>
      </c>
      <c r="L1707" s="1" t="s">
        <v>3774</v>
      </c>
      <c r="M1707" s="1" t="s">
        <v>3780</v>
      </c>
      <c r="N1707" s="1" t="s">
        <v>30</v>
      </c>
      <c r="O1707" s="1" t="s">
        <v>45</v>
      </c>
      <c r="P1707" s="1" t="s">
        <v>71</v>
      </c>
      <c r="Q1707" s="1" t="s">
        <v>56</v>
      </c>
      <c r="R1707" s="1" t="s">
        <v>26</v>
      </c>
      <c r="S1707" s="1"/>
      <c r="T1707" s="1" t="s">
        <v>3781</v>
      </c>
      <c r="U1707" s="1" t="s">
        <v>35</v>
      </c>
      <c r="V1707" s="1" t="s">
        <v>2507</v>
      </c>
      <c r="W1707" s="1" t="str">
        <f>VLOOKUP(Table1[[#This Row],[Obergruppe ATC-Code]],Tabelle3!$A$2:$B$100,2)</f>
        <v>ANTINEOPLASTISCHE MITTEL</v>
      </c>
      <c r="X1707" s="1" t="str">
        <f xml:space="preserve"> LEFT(Table1[[#This Row],[Atc Code]],3)</f>
        <v>L01</v>
      </c>
    </row>
    <row r="1708" spans="1:24" ht="14.4">
      <c r="A1708" s="14">
        <v>1450</v>
      </c>
      <c r="B1708" s="24">
        <v>14289895</v>
      </c>
      <c r="C1708" s="1">
        <v>2199941</v>
      </c>
      <c r="D1708" s="1" t="s">
        <v>102</v>
      </c>
      <c r="E1708" s="36">
        <v>44867</v>
      </c>
      <c r="F1708" s="36">
        <v>45230</v>
      </c>
      <c r="G1708" s="38">
        <f t="shared" si="26"/>
        <v>363</v>
      </c>
      <c r="H1708" s="5">
        <v>44881</v>
      </c>
      <c r="I1708" s="5">
        <v>45169</v>
      </c>
      <c r="J1708" s="1" t="s">
        <v>41</v>
      </c>
      <c r="K1708" s="1" t="s">
        <v>3782</v>
      </c>
      <c r="L1708" s="1" t="s">
        <v>3774</v>
      </c>
      <c r="M1708" s="1" t="s">
        <v>3780</v>
      </c>
      <c r="N1708" s="1" t="s">
        <v>30</v>
      </c>
      <c r="O1708" s="1" t="s">
        <v>2757</v>
      </c>
      <c r="Q1708" s="1" t="s">
        <v>1727</v>
      </c>
      <c r="R1708" s="1" t="s">
        <v>26</v>
      </c>
      <c r="S1708" s="1"/>
      <c r="U1708" s="1" t="s">
        <v>130</v>
      </c>
      <c r="V1708" s="1" t="s">
        <v>2507</v>
      </c>
      <c r="W1708" s="1" t="str">
        <f>VLOOKUP(Table1[[#This Row],[Obergruppe ATC-Code]],Tabelle3!$A$2:$B$100,2)</f>
        <v>ANTINEOPLASTISCHE MITTEL</v>
      </c>
      <c r="X1708" s="1" t="str">
        <f xml:space="preserve"> LEFT(Table1[[#This Row],[Atc Code]],3)</f>
        <v>L01</v>
      </c>
    </row>
    <row r="1709" spans="1:24" ht="14.4">
      <c r="A1709" s="14">
        <v>1020</v>
      </c>
      <c r="B1709" s="24">
        <v>8818964</v>
      </c>
      <c r="C1709" s="1">
        <v>244127</v>
      </c>
      <c r="D1709" s="1" t="s">
        <v>25</v>
      </c>
      <c r="E1709" s="36">
        <v>43678</v>
      </c>
      <c r="F1709" s="36">
        <v>43799</v>
      </c>
      <c r="G1709" s="38">
        <f t="shared" si="26"/>
        <v>121</v>
      </c>
      <c r="H1709" s="5">
        <v>43706</v>
      </c>
      <c r="I1709" s="5">
        <v>43810</v>
      </c>
      <c r="J1709" s="1" t="s">
        <v>41</v>
      </c>
      <c r="K1709" s="1" t="s">
        <v>3783</v>
      </c>
      <c r="L1709" s="1" t="s">
        <v>3784</v>
      </c>
      <c r="M1709" s="1" t="s">
        <v>3785</v>
      </c>
      <c r="N1709" s="1" t="s">
        <v>30</v>
      </c>
      <c r="O1709" s="1" t="s">
        <v>123</v>
      </c>
      <c r="P1709" s="1" t="s">
        <v>124</v>
      </c>
      <c r="Q1709" s="1" t="s">
        <v>125</v>
      </c>
      <c r="R1709" s="1" t="s">
        <v>26</v>
      </c>
      <c r="S1709" s="1"/>
      <c r="U1709" s="1" t="s">
        <v>35</v>
      </c>
      <c r="V1709" s="1" t="s">
        <v>279</v>
      </c>
      <c r="W1709" s="1" t="str">
        <f>VLOOKUP(Table1[[#This Row],[Obergruppe ATC-Code]],Tabelle3!$A$2:$B$100,2)</f>
        <v>ANTINEOPLASTISCHE MITTEL</v>
      </c>
      <c r="X1709" s="1" t="str">
        <f xml:space="preserve"> LEFT(Table1[[#This Row],[Atc Code]],3)</f>
        <v>L01</v>
      </c>
    </row>
    <row r="1710" spans="1:24" ht="14.4">
      <c r="A1710" s="14">
        <v>999</v>
      </c>
      <c r="B1710" s="24">
        <v>8654480</v>
      </c>
      <c r="C1710" s="1">
        <v>244558</v>
      </c>
      <c r="D1710" s="1" t="s">
        <v>25</v>
      </c>
      <c r="E1710" s="36">
        <v>43678</v>
      </c>
      <c r="F1710" s="36">
        <v>43799</v>
      </c>
      <c r="G1710" s="38">
        <f t="shared" si="26"/>
        <v>121</v>
      </c>
      <c r="H1710" s="5">
        <v>43706</v>
      </c>
      <c r="I1710" s="5">
        <v>43810</v>
      </c>
      <c r="J1710" s="1" t="s">
        <v>41</v>
      </c>
      <c r="K1710" s="1" t="s">
        <v>3786</v>
      </c>
      <c r="L1710" s="1" t="s">
        <v>3784</v>
      </c>
      <c r="M1710" s="1" t="s">
        <v>3785</v>
      </c>
      <c r="N1710" s="1" t="s">
        <v>30</v>
      </c>
      <c r="O1710" s="1" t="s">
        <v>123</v>
      </c>
      <c r="P1710" s="1" t="s">
        <v>124</v>
      </c>
      <c r="Q1710" s="1" t="s">
        <v>125</v>
      </c>
      <c r="R1710" s="1" t="s">
        <v>26</v>
      </c>
      <c r="S1710" s="1"/>
      <c r="U1710" s="1" t="s">
        <v>35</v>
      </c>
      <c r="V1710" s="1" t="s">
        <v>279</v>
      </c>
      <c r="W1710" s="1" t="str">
        <f>VLOOKUP(Table1[[#This Row],[Obergruppe ATC-Code]],Tabelle3!$A$2:$B$100,2)</f>
        <v>ANTINEOPLASTISCHE MITTEL</v>
      </c>
      <c r="X1710" s="1" t="str">
        <f xml:space="preserve"> LEFT(Table1[[#This Row],[Atc Code]],3)</f>
        <v>L01</v>
      </c>
    </row>
    <row r="1711" spans="1:24" ht="14.4">
      <c r="A1711" s="14">
        <v>140</v>
      </c>
      <c r="B1711" s="25">
        <v>834662</v>
      </c>
      <c r="C1711" s="1">
        <v>3000452</v>
      </c>
      <c r="D1711" s="1" t="s">
        <v>25</v>
      </c>
      <c r="E1711" s="36">
        <v>43678</v>
      </c>
      <c r="F1711" s="36">
        <v>43921</v>
      </c>
      <c r="G1711" s="38">
        <f t="shared" si="26"/>
        <v>243</v>
      </c>
      <c r="H1711" s="5">
        <v>43706</v>
      </c>
      <c r="I1711" s="5">
        <v>43894</v>
      </c>
      <c r="J1711" s="1" t="s">
        <v>41</v>
      </c>
      <c r="K1711" s="1" t="s">
        <v>3787</v>
      </c>
      <c r="L1711" s="1" t="s">
        <v>3784</v>
      </c>
      <c r="M1711" s="1" t="s">
        <v>3785</v>
      </c>
      <c r="N1711" s="1" t="s">
        <v>30</v>
      </c>
      <c r="O1711" s="1" t="s">
        <v>123</v>
      </c>
      <c r="P1711" s="1" t="s">
        <v>124</v>
      </c>
      <c r="Q1711" s="1" t="s">
        <v>125</v>
      </c>
      <c r="R1711" s="1" t="s">
        <v>26</v>
      </c>
      <c r="S1711" s="1"/>
      <c r="U1711" s="1" t="s">
        <v>35</v>
      </c>
      <c r="V1711" s="1" t="s">
        <v>648</v>
      </c>
      <c r="W1711" s="1" t="str">
        <f>VLOOKUP(Table1[[#This Row],[Obergruppe ATC-Code]],Tabelle3!$A$2:$B$100,2)</f>
        <v>ANTINEOPLASTISCHE MITTEL</v>
      </c>
      <c r="X1711" s="1" t="str">
        <f xml:space="preserve"> LEFT(Table1[[#This Row],[Atc Code]],3)</f>
        <v>L01</v>
      </c>
    </row>
    <row r="1712" spans="1:24" ht="14.4">
      <c r="A1712" s="14">
        <v>1393</v>
      </c>
      <c r="B1712" s="24">
        <v>13827617</v>
      </c>
      <c r="C1712" s="1">
        <v>2198209</v>
      </c>
      <c r="D1712" s="1" t="s">
        <v>25</v>
      </c>
      <c r="E1712" s="36">
        <v>45050</v>
      </c>
      <c r="F1712" s="36">
        <v>45098</v>
      </c>
      <c r="G1712" s="38">
        <f t="shared" si="26"/>
        <v>48</v>
      </c>
      <c r="H1712" s="5">
        <v>45093</v>
      </c>
      <c r="I1712" s="5">
        <v>45099</v>
      </c>
      <c r="J1712" s="1" t="s">
        <v>41</v>
      </c>
      <c r="K1712" s="1" t="s">
        <v>3788</v>
      </c>
      <c r="L1712" s="1" t="s">
        <v>3789</v>
      </c>
      <c r="M1712" s="1" t="s">
        <v>3790</v>
      </c>
      <c r="N1712" s="1" t="s">
        <v>30</v>
      </c>
      <c r="O1712" s="1" t="s">
        <v>220</v>
      </c>
      <c r="P1712" s="1">
        <v>61726867883</v>
      </c>
      <c r="Q1712" s="1" t="s">
        <v>958</v>
      </c>
      <c r="R1712" s="1" t="s">
        <v>65</v>
      </c>
      <c r="S1712" s="1"/>
      <c r="U1712" s="1" t="s">
        <v>130</v>
      </c>
      <c r="V1712" s="1" t="s">
        <v>3155</v>
      </c>
      <c r="W1712" s="1" t="str">
        <f>VLOOKUP(Table1[[#This Row],[Obergruppe ATC-Code]],Tabelle3!$A$2:$B$100,2)</f>
        <v>ANTINEOPLASTISCHE MITTEL</v>
      </c>
      <c r="X1712" s="1" t="str">
        <f xml:space="preserve"> LEFT(Table1[[#This Row],[Atc Code]],3)</f>
        <v>L01</v>
      </c>
    </row>
    <row r="1713" spans="1:24" ht="14.4">
      <c r="A1713" s="14">
        <v>910</v>
      </c>
      <c r="B1713" s="24">
        <v>7587132</v>
      </c>
      <c r="C1713" s="1">
        <v>2195550</v>
      </c>
      <c r="D1713" s="1" t="s">
        <v>175</v>
      </c>
      <c r="E1713" s="36">
        <v>44682</v>
      </c>
      <c r="F1713" s="36">
        <v>45383</v>
      </c>
      <c r="G1713" s="38">
        <f t="shared" si="26"/>
        <v>701</v>
      </c>
      <c r="H1713" s="5">
        <v>45100</v>
      </c>
      <c r="I1713" s="5">
        <v>45100</v>
      </c>
      <c r="J1713" s="1" t="s">
        <v>41</v>
      </c>
      <c r="K1713" s="1" t="s">
        <v>3791</v>
      </c>
      <c r="L1713" s="1" t="s">
        <v>3789</v>
      </c>
      <c r="M1713" s="1" t="s">
        <v>3792</v>
      </c>
      <c r="N1713" s="1" t="s">
        <v>30</v>
      </c>
      <c r="O1713" s="1" t="s">
        <v>3793</v>
      </c>
      <c r="P1713" s="1">
        <v>82174881471</v>
      </c>
      <c r="Q1713" s="1" t="s">
        <v>3794</v>
      </c>
      <c r="R1713" s="1" t="s">
        <v>26</v>
      </c>
      <c r="S1713" s="1" t="s">
        <v>3795</v>
      </c>
      <c r="U1713" s="1" t="s">
        <v>35</v>
      </c>
      <c r="V1713" s="1" t="s">
        <v>279</v>
      </c>
      <c r="W1713" s="1" t="str">
        <f>VLOOKUP(Table1[[#This Row],[Obergruppe ATC-Code]],Tabelle3!$A$2:$B$100,2)</f>
        <v>ANTINEOPLASTISCHE MITTEL</v>
      </c>
      <c r="X1713" s="1" t="str">
        <f xml:space="preserve"> LEFT(Table1[[#This Row],[Atc Code]],3)</f>
        <v>L01</v>
      </c>
    </row>
    <row r="1714" spans="1:24" ht="14.4">
      <c r="A1714" s="14">
        <v>286</v>
      </c>
      <c r="B1714" s="24">
        <v>1739954</v>
      </c>
      <c r="C1714" s="1">
        <v>2705091</v>
      </c>
      <c r="D1714" s="1" t="s">
        <v>25</v>
      </c>
      <c r="E1714" s="36">
        <v>43040</v>
      </c>
      <c r="F1714" s="36">
        <v>43100</v>
      </c>
      <c r="G1714" s="38">
        <f t="shared" si="26"/>
        <v>60</v>
      </c>
      <c r="H1714" s="5">
        <v>43007</v>
      </c>
      <c r="I1714" s="5">
        <v>43088</v>
      </c>
      <c r="J1714" s="1" t="s">
        <v>41</v>
      </c>
      <c r="K1714" s="1" t="s">
        <v>3796</v>
      </c>
      <c r="L1714" s="1" t="s">
        <v>3797</v>
      </c>
      <c r="M1714" s="1" t="s">
        <v>3798</v>
      </c>
      <c r="N1714" s="1" t="s">
        <v>30</v>
      </c>
      <c r="O1714" s="1" t="s">
        <v>3799</v>
      </c>
      <c r="P1714" s="1" t="s">
        <v>3800</v>
      </c>
      <c r="Q1714" s="1" t="s">
        <v>1987</v>
      </c>
      <c r="R1714" s="1" t="s">
        <v>48</v>
      </c>
      <c r="S1714" s="1"/>
      <c r="T1714" s="1" t="s">
        <v>3801</v>
      </c>
      <c r="U1714" s="1" t="s">
        <v>35</v>
      </c>
      <c r="V1714" s="1" t="s">
        <v>279</v>
      </c>
      <c r="W1714" s="1" t="str">
        <f>VLOOKUP(Table1[[#This Row],[Obergruppe ATC-Code]],Tabelle3!$A$2:$B$100,2)</f>
        <v>ANTINEOPLASTISCHE MITTEL</v>
      </c>
      <c r="X1714" s="1" t="str">
        <f xml:space="preserve"> LEFT(Table1[[#This Row],[Atc Code]],3)</f>
        <v>L01</v>
      </c>
    </row>
    <row r="1715" spans="1:24" ht="14.4">
      <c r="A1715" s="14">
        <v>2569</v>
      </c>
      <c r="B1715" s="24" t="s">
        <v>3802</v>
      </c>
      <c r="C1715" s="1">
        <v>2711441</v>
      </c>
      <c r="D1715" s="1" t="s">
        <v>25</v>
      </c>
      <c r="E1715" s="36">
        <v>43101</v>
      </c>
      <c r="F1715" s="36">
        <v>43190</v>
      </c>
      <c r="G1715" s="38">
        <f t="shared" si="26"/>
        <v>89</v>
      </c>
      <c r="H1715" s="5">
        <v>43125</v>
      </c>
      <c r="I1715" s="5">
        <v>43151</v>
      </c>
      <c r="J1715" s="1" t="s">
        <v>41</v>
      </c>
      <c r="K1715" s="1" t="s">
        <v>3803</v>
      </c>
      <c r="L1715" s="1" t="s">
        <v>3797</v>
      </c>
      <c r="M1715" s="1" t="s">
        <v>3798</v>
      </c>
      <c r="N1715" s="1" t="s">
        <v>30</v>
      </c>
      <c r="O1715" s="1" t="s">
        <v>3804</v>
      </c>
      <c r="P1715" s="1" t="s">
        <v>221</v>
      </c>
      <c r="Q1715" s="1" t="s">
        <v>222</v>
      </c>
      <c r="R1715" s="1" t="s">
        <v>65</v>
      </c>
      <c r="S1715" s="1"/>
      <c r="U1715" s="1" t="s">
        <v>35</v>
      </c>
      <c r="V1715" s="1" t="s">
        <v>279</v>
      </c>
      <c r="W1715" s="1" t="str">
        <f>VLOOKUP(Table1[[#This Row],[Obergruppe ATC-Code]],Tabelle3!$A$2:$B$100,2)</f>
        <v>ANTINEOPLASTISCHE MITTEL</v>
      </c>
      <c r="X1715" s="1" t="str">
        <f xml:space="preserve"> LEFT(Table1[[#This Row],[Atc Code]],3)</f>
        <v>L01</v>
      </c>
    </row>
    <row r="1716" spans="1:24" ht="14.4">
      <c r="A1716" s="14">
        <v>287</v>
      </c>
      <c r="B1716" s="24">
        <v>1739954</v>
      </c>
      <c r="C1716" s="1">
        <v>2705091</v>
      </c>
      <c r="D1716" s="1" t="s">
        <v>25</v>
      </c>
      <c r="E1716" s="36">
        <v>44418</v>
      </c>
      <c r="F1716" s="36">
        <v>44776</v>
      </c>
      <c r="G1716" s="38">
        <f t="shared" si="26"/>
        <v>358</v>
      </c>
      <c r="H1716" s="5">
        <v>44438</v>
      </c>
      <c r="I1716" s="5">
        <v>44776</v>
      </c>
      <c r="J1716" s="1" t="s">
        <v>26</v>
      </c>
      <c r="K1716" s="1" t="s">
        <v>3796</v>
      </c>
      <c r="L1716" s="1" t="s">
        <v>3797</v>
      </c>
      <c r="M1716" s="1" t="s">
        <v>3798</v>
      </c>
      <c r="N1716" s="1" t="s">
        <v>30</v>
      </c>
      <c r="O1716" s="1" t="s">
        <v>3799</v>
      </c>
      <c r="P1716" s="1" t="s">
        <v>3805</v>
      </c>
      <c r="Q1716" s="1" t="s">
        <v>1987</v>
      </c>
      <c r="R1716" s="1" t="s">
        <v>113</v>
      </c>
      <c r="S1716" s="1" t="s">
        <v>3806</v>
      </c>
      <c r="U1716" s="1" t="s">
        <v>35</v>
      </c>
      <c r="V1716" s="1" t="s">
        <v>279</v>
      </c>
      <c r="W1716" s="1" t="str">
        <f>VLOOKUP(Table1[[#This Row],[Obergruppe ATC-Code]],Tabelle3!$A$2:$B$100,2)</f>
        <v>ANTINEOPLASTISCHE MITTEL</v>
      </c>
      <c r="X1716" s="1" t="str">
        <f xml:space="preserve"> LEFT(Table1[[#This Row],[Atc Code]],3)</f>
        <v>L01</v>
      </c>
    </row>
    <row r="1717" spans="1:24" ht="14.4">
      <c r="A1717" s="14">
        <v>2818</v>
      </c>
      <c r="B1717" s="24" t="s">
        <v>3807</v>
      </c>
      <c r="C1717" s="1">
        <v>2196739</v>
      </c>
      <c r="D1717" s="1" t="s">
        <v>25</v>
      </c>
      <c r="E1717" s="36">
        <v>43647</v>
      </c>
      <c r="F1717" s="36">
        <v>43708</v>
      </c>
      <c r="G1717" s="38">
        <f t="shared" si="26"/>
        <v>61</v>
      </c>
      <c r="H1717" s="5">
        <v>43650</v>
      </c>
      <c r="I1717" s="5">
        <v>43685</v>
      </c>
      <c r="J1717" s="1" t="s">
        <v>41</v>
      </c>
      <c r="K1717" s="1" t="s">
        <v>3808</v>
      </c>
      <c r="L1717" s="1" t="s">
        <v>3809</v>
      </c>
      <c r="M1717" s="1" t="s">
        <v>3810</v>
      </c>
      <c r="N1717" s="1" t="s">
        <v>30</v>
      </c>
      <c r="O1717" s="1" t="s">
        <v>3811</v>
      </c>
      <c r="P1717" s="1" t="s">
        <v>3306</v>
      </c>
      <c r="Q1717" s="1" t="s">
        <v>1006</v>
      </c>
      <c r="R1717" s="1" t="s">
        <v>26</v>
      </c>
      <c r="S1717" s="1"/>
      <c r="U1717" s="1" t="s">
        <v>35</v>
      </c>
      <c r="V1717" s="1" t="s">
        <v>3155</v>
      </c>
      <c r="W1717" s="1" t="str">
        <f>VLOOKUP(Table1[[#This Row],[Obergruppe ATC-Code]],Tabelle3!$A$2:$B$100,2)</f>
        <v>ANTINEOPLASTISCHE MITTEL</v>
      </c>
      <c r="X1717" s="1" t="str">
        <f xml:space="preserve"> LEFT(Table1[[#This Row],[Atc Code]],3)</f>
        <v>L01</v>
      </c>
    </row>
    <row r="1718" spans="1:24" ht="14.4">
      <c r="A1718" s="14">
        <v>2817</v>
      </c>
      <c r="B1718" s="24" t="s">
        <v>3807</v>
      </c>
      <c r="C1718" s="1">
        <v>2196739</v>
      </c>
      <c r="D1718" s="1" t="s">
        <v>25</v>
      </c>
      <c r="E1718" s="36">
        <v>43739</v>
      </c>
      <c r="F1718" s="36">
        <v>43830</v>
      </c>
      <c r="G1718" s="38">
        <f t="shared" si="26"/>
        <v>91</v>
      </c>
      <c r="H1718" s="5">
        <v>43727</v>
      </c>
      <c r="I1718" s="5">
        <v>43797</v>
      </c>
      <c r="J1718" s="1" t="s">
        <v>41</v>
      </c>
      <c r="K1718" s="1" t="s">
        <v>3808</v>
      </c>
      <c r="L1718" s="1" t="s">
        <v>3809</v>
      </c>
      <c r="M1718" s="1" t="s">
        <v>3810</v>
      </c>
      <c r="N1718" s="1" t="s">
        <v>30</v>
      </c>
      <c r="O1718" s="1" t="s">
        <v>3811</v>
      </c>
      <c r="P1718" s="1" t="s">
        <v>3812</v>
      </c>
      <c r="Q1718" s="1" t="s">
        <v>1006</v>
      </c>
      <c r="R1718" s="1" t="s">
        <v>48</v>
      </c>
      <c r="S1718" s="1"/>
      <c r="U1718" s="1" t="s">
        <v>35</v>
      </c>
      <c r="V1718" s="1" t="s">
        <v>3155</v>
      </c>
      <c r="W1718" s="1" t="str">
        <f>VLOOKUP(Table1[[#This Row],[Obergruppe ATC-Code]],Tabelle3!$A$2:$B$100,2)</f>
        <v>ANTINEOPLASTISCHE MITTEL</v>
      </c>
      <c r="X1718" s="1" t="str">
        <f xml:space="preserve"> LEFT(Table1[[#This Row],[Atc Code]],3)</f>
        <v>L01</v>
      </c>
    </row>
    <row r="1719" spans="1:24" ht="14.4">
      <c r="A1719" s="14">
        <v>2816</v>
      </c>
      <c r="B1719" s="24" t="s">
        <v>3807</v>
      </c>
      <c r="C1719" s="1">
        <v>2196739</v>
      </c>
      <c r="D1719" s="1" t="s">
        <v>25</v>
      </c>
      <c r="E1719" s="36">
        <v>43983</v>
      </c>
      <c r="F1719" s="36">
        <v>44043</v>
      </c>
      <c r="G1719" s="38">
        <f t="shared" si="26"/>
        <v>60</v>
      </c>
      <c r="H1719" s="5">
        <v>43998</v>
      </c>
      <c r="I1719" s="5">
        <v>44034</v>
      </c>
      <c r="J1719" s="1" t="s">
        <v>41</v>
      </c>
      <c r="K1719" s="1" t="s">
        <v>3808</v>
      </c>
      <c r="L1719" s="1" t="s">
        <v>3809</v>
      </c>
      <c r="M1719" s="1" t="s">
        <v>3810</v>
      </c>
      <c r="N1719" s="1" t="s">
        <v>30</v>
      </c>
      <c r="O1719" s="1" t="s">
        <v>3811</v>
      </c>
      <c r="P1719" s="1" t="s">
        <v>3812</v>
      </c>
      <c r="Q1719" s="1" t="s">
        <v>1006</v>
      </c>
      <c r="R1719" s="1" t="s">
        <v>65</v>
      </c>
      <c r="S1719" s="1"/>
      <c r="U1719" s="1" t="s">
        <v>35</v>
      </c>
      <c r="V1719" s="1" t="s">
        <v>3155</v>
      </c>
      <c r="W1719" s="1" t="str">
        <f>VLOOKUP(Table1[[#This Row],[Obergruppe ATC-Code]],Tabelle3!$A$2:$B$100,2)</f>
        <v>ANTINEOPLASTISCHE MITTEL</v>
      </c>
      <c r="X1719" s="1" t="str">
        <f xml:space="preserve"> LEFT(Table1[[#This Row],[Atc Code]],3)</f>
        <v>L01</v>
      </c>
    </row>
    <row r="1720" spans="1:24" ht="14.4">
      <c r="A1720" s="14">
        <v>630</v>
      </c>
      <c r="B1720" s="24">
        <v>4108088</v>
      </c>
      <c r="C1720" s="1">
        <v>2113316</v>
      </c>
      <c r="D1720" s="1" t="s">
        <v>25</v>
      </c>
      <c r="E1720" s="36">
        <v>43132</v>
      </c>
      <c r="F1720" s="36">
        <v>43312</v>
      </c>
      <c r="G1720" s="38">
        <f t="shared" si="26"/>
        <v>180</v>
      </c>
      <c r="H1720" s="5">
        <v>43214</v>
      </c>
      <c r="I1720" s="5">
        <v>43250</v>
      </c>
      <c r="J1720" s="1" t="s">
        <v>41</v>
      </c>
      <c r="K1720" s="1" t="s">
        <v>3813</v>
      </c>
      <c r="L1720" s="1" t="s">
        <v>3814</v>
      </c>
      <c r="M1720" s="1" t="s">
        <v>1941</v>
      </c>
      <c r="N1720" s="1" t="s">
        <v>30</v>
      </c>
      <c r="O1720" s="1" t="s">
        <v>1035</v>
      </c>
      <c r="P1720" s="1" t="s">
        <v>71</v>
      </c>
      <c r="Q1720" s="1" t="s">
        <v>47</v>
      </c>
      <c r="R1720" s="1" t="s">
        <v>65</v>
      </c>
      <c r="S1720" s="1"/>
      <c r="T1720" s="1" t="s">
        <v>3815</v>
      </c>
      <c r="U1720" s="1" t="s">
        <v>35</v>
      </c>
      <c r="V1720" s="1" t="s">
        <v>279</v>
      </c>
      <c r="W1720" s="1" t="str">
        <f>VLOOKUP(Table1[[#This Row],[Obergruppe ATC-Code]],Tabelle3!$A$2:$B$100,2)</f>
        <v>ANTINEOPLASTISCHE MITTEL</v>
      </c>
      <c r="X1720" s="1" t="str">
        <f xml:space="preserve"> LEFT(Table1[[#This Row],[Atc Code]],3)</f>
        <v>L01</v>
      </c>
    </row>
    <row r="1721" spans="1:24" ht="14.4">
      <c r="A1721" s="14">
        <v>718</v>
      </c>
      <c r="B1721" s="24">
        <v>4907932</v>
      </c>
      <c r="C1721" s="1">
        <v>2105604</v>
      </c>
      <c r="D1721" s="1" t="s">
        <v>25</v>
      </c>
      <c r="E1721" s="36">
        <v>43252</v>
      </c>
      <c r="F1721" s="36">
        <v>43465</v>
      </c>
      <c r="G1721" s="38">
        <f t="shared" si="26"/>
        <v>213</v>
      </c>
      <c r="H1721" s="5">
        <v>43276</v>
      </c>
      <c r="I1721" s="5">
        <v>43402</v>
      </c>
      <c r="J1721" s="1" t="s">
        <v>41</v>
      </c>
      <c r="K1721" s="1" t="s">
        <v>3816</v>
      </c>
      <c r="L1721" s="1" t="s">
        <v>3814</v>
      </c>
      <c r="M1721" s="1" t="s">
        <v>1941</v>
      </c>
      <c r="N1721" s="1" t="s">
        <v>30</v>
      </c>
      <c r="O1721" s="1" t="s">
        <v>321</v>
      </c>
      <c r="P1721" s="1" t="s">
        <v>3817</v>
      </c>
      <c r="Q1721" s="1" t="s">
        <v>3818</v>
      </c>
      <c r="R1721" s="1" t="s">
        <v>48</v>
      </c>
      <c r="S1721" s="1"/>
      <c r="T1721" s="1" t="s">
        <v>3819</v>
      </c>
      <c r="U1721" s="1" t="s">
        <v>35</v>
      </c>
      <c r="V1721" s="1" t="s">
        <v>49</v>
      </c>
      <c r="W1721" s="1" t="str">
        <f>VLOOKUP(Table1[[#This Row],[Obergruppe ATC-Code]],Tabelle3!$A$2:$B$100,2)</f>
        <v>ANTINEOPLASTISCHE MITTEL</v>
      </c>
      <c r="X1721" s="1" t="str">
        <f xml:space="preserve"> LEFT(Table1[[#This Row],[Atc Code]],3)</f>
        <v>L01</v>
      </c>
    </row>
    <row r="1722" spans="1:24" ht="14.4">
      <c r="A1722" s="14">
        <v>3113</v>
      </c>
      <c r="B1722" s="3">
        <v>7479738</v>
      </c>
      <c r="C1722" s="1">
        <v>2105993</v>
      </c>
      <c r="D1722" s="1" t="s">
        <v>25</v>
      </c>
      <c r="E1722" s="36">
        <v>43922</v>
      </c>
      <c r="F1722" s="36">
        <v>44012</v>
      </c>
      <c r="G1722" s="38">
        <f t="shared" si="26"/>
        <v>90</v>
      </c>
      <c r="H1722" s="5">
        <v>43938</v>
      </c>
      <c r="I1722" s="5">
        <v>43999</v>
      </c>
      <c r="J1722" s="1" t="s">
        <v>26</v>
      </c>
      <c r="K1722" s="1" t="s">
        <v>3820</v>
      </c>
      <c r="L1722" s="1" t="s">
        <v>3814</v>
      </c>
      <c r="M1722" s="1" t="s">
        <v>1941</v>
      </c>
      <c r="N1722" s="1" t="s">
        <v>30</v>
      </c>
      <c r="O1722" s="1" t="s">
        <v>1035</v>
      </c>
      <c r="P1722" s="1" t="s">
        <v>104</v>
      </c>
      <c r="Q1722" s="1" t="s">
        <v>105</v>
      </c>
      <c r="R1722" s="1" t="s">
        <v>33</v>
      </c>
      <c r="S1722" s="1"/>
      <c r="U1722" s="1" t="s">
        <v>35</v>
      </c>
      <c r="V1722" s="1" t="s">
        <v>74</v>
      </c>
      <c r="W1722" s="1" t="str">
        <f>VLOOKUP(Table1[[#This Row],[Obergruppe ATC-Code]],Tabelle3!$A$2:$B$100,2)</f>
        <v>ANTINEOPLASTISCHE MITTEL</v>
      </c>
      <c r="X1722" s="1" t="str">
        <f xml:space="preserve"> LEFT(Table1[[#This Row],[Atc Code]],3)</f>
        <v>L01</v>
      </c>
    </row>
    <row r="1723" spans="1:24" ht="14.4">
      <c r="A1723" s="14">
        <v>629</v>
      </c>
      <c r="B1723" s="24">
        <v>4108088</v>
      </c>
      <c r="C1723" s="1">
        <v>2113316</v>
      </c>
      <c r="D1723" s="1" t="s">
        <v>25</v>
      </c>
      <c r="E1723" s="36">
        <v>43891</v>
      </c>
      <c r="F1723" s="36">
        <v>43982</v>
      </c>
      <c r="G1723" s="38">
        <f t="shared" si="26"/>
        <v>91</v>
      </c>
      <c r="H1723" s="5">
        <v>43910</v>
      </c>
      <c r="I1723" s="5">
        <v>44005</v>
      </c>
      <c r="J1723" s="1" t="s">
        <v>41</v>
      </c>
      <c r="K1723" s="1" t="s">
        <v>3813</v>
      </c>
      <c r="L1723" s="1" t="s">
        <v>3814</v>
      </c>
      <c r="M1723" s="1" t="s">
        <v>1941</v>
      </c>
      <c r="N1723" s="1" t="s">
        <v>30</v>
      </c>
      <c r="O1723" s="1" t="s">
        <v>1035</v>
      </c>
      <c r="P1723" s="1" t="s">
        <v>71</v>
      </c>
      <c r="Q1723" s="1" t="s">
        <v>56</v>
      </c>
      <c r="R1723" s="1" t="s">
        <v>26</v>
      </c>
      <c r="S1723" s="1"/>
      <c r="T1723" s="1" t="s">
        <v>3815</v>
      </c>
      <c r="U1723" s="1" t="s">
        <v>35</v>
      </c>
      <c r="V1723" s="1" t="s">
        <v>279</v>
      </c>
      <c r="W1723" s="1" t="str">
        <f>VLOOKUP(Table1[[#This Row],[Obergruppe ATC-Code]],Tabelle3!$A$2:$B$100,2)</f>
        <v>ANTINEOPLASTISCHE MITTEL</v>
      </c>
      <c r="X1723" s="1" t="str">
        <f xml:space="preserve"> LEFT(Table1[[#This Row],[Atc Code]],3)</f>
        <v>L01</v>
      </c>
    </row>
    <row r="1724" spans="1:24" ht="14.4">
      <c r="A1724" s="14">
        <v>2037</v>
      </c>
      <c r="B1724" s="24" t="s">
        <v>3821</v>
      </c>
      <c r="C1724" s="1">
        <v>2101977</v>
      </c>
      <c r="D1724" s="1" t="s">
        <v>25</v>
      </c>
      <c r="E1724" s="36">
        <v>44013</v>
      </c>
      <c r="F1724" s="36">
        <v>44135</v>
      </c>
      <c r="G1724" s="38">
        <f t="shared" si="26"/>
        <v>122</v>
      </c>
      <c r="H1724" s="5">
        <v>43962</v>
      </c>
      <c r="I1724" s="5">
        <v>44118</v>
      </c>
      <c r="J1724" s="1" t="s">
        <v>41</v>
      </c>
      <c r="K1724" s="1" t="s">
        <v>3822</v>
      </c>
      <c r="L1724" s="1" t="s">
        <v>3814</v>
      </c>
      <c r="M1724" s="1" t="s">
        <v>1941</v>
      </c>
      <c r="N1724" s="1" t="s">
        <v>30</v>
      </c>
      <c r="O1724" s="1" t="s">
        <v>321</v>
      </c>
      <c r="P1724" s="1" t="s">
        <v>326</v>
      </c>
      <c r="Q1724" s="1" t="s">
        <v>327</v>
      </c>
      <c r="R1724" s="1" t="s">
        <v>26</v>
      </c>
      <c r="S1724" s="1"/>
      <c r="T1724" s="1" t="s">
        <v>3823</v>
      </c>
      <c r="U1724" s="1" t="s">
        <v>35</v>
      </c>
      <c r="V1724" s="1" t="s">
        <v>652</v>
      </c>
      <c r="W1724" s="1" t="str">
        <f>VLOOKUP(Table1[[#This Row],[Obergruppe ATC-Code]],Tabelle3!$A$2:$B$100,2)</f>
        <v>ANTINEOPLASTISCHE MITTEL</v>
      </c>
      <c r="X1724" s="1" t="str">
        <f xml:space="preserve"> LEFT(Table1[[#This Row],[Atc Code]],3)</f>
        <v>L01</v>
      </c>
    </row>
    <row r="1725" spans="1:24" ht="14.4">
      <c r="A1725" s="14">
        <v>2594</v>
      </c>
      <c r="B1725" s="24" t="s">
        <v>3824</v>
      </c>
      <c r="C1725" s="1">
        <v>2180379</v>
      </c>
      <c r="D1725" s="1" t="s">
        <v>25</v>
      </c>
      <c r="E1725" s="36">
        <v>44075</v>
      </c>
      <c r="F1725" s="36">
        <v>44379</v>
      </c>
      <c r="G1725" s="38">
        <f t="shared" si="26"/>
        <v>304</v>
      </c>
      <c r="H1725" s="5">
        <v>44081</v>
      </c>
      <c r="I1725" s="5">
        <v>44404</v>
      </c>
      <c r="J1725" s="1" t="s">
        <v>41</v>
      </c>
      <c r="K1725" s="1" t="s">
        <v>3825</v>
      </c>
      <c r="L1725" s="1" t="s">
        <v>3814</v>
      </c>
      <c r="M1725" s="1" t="s">
        <v>3826</v>
      </c>
      <c r="N1725" s="1" t="s">
        <v>30</v>
      </c>
      <c r="O1725" s="1" t="s">
        <v>783</v>
      </c>
      <c r="P1725" s="1" t="s">
        <v>3827</v>
      </c>
      <c r="Q1725" s="1" t="s">
        <v>3827</v>
      </c>
      <c r="R1725" s="1" t="s">
        <v>942</v>
      </c>
      <c r="S1725" s="1" t="s">
        <v>3828</v>
      </c>
      <c r="T1725" s="1" t="s">
        <v>3829</v>
      </c>
      <c r="U1725" s="1" t="s">
        <v>35</v>
      </c>
      <c r="V1725" s="1" t="s">
        <v>74</v>
      </c>
      <c r="W1725" s="1" t="str">
        <f>VLOOKUP(Table1[[#This Row],[Obergruppe ATC-Code]],Tabelle3!$A$2:$B$100,2)</f>
        <v>ANTINEOPLASTISCHE MITTEL</v>
      </c>
      <c r="X1725" s="1" t="str">
        <f xml:space="preserve"> LEFT(Table1[[#This Row],[Atc Code]],3)</f>
        <v>L01</v>
      </c>
    </row>
    <row r="1726" spans="1:24" ht="14.4">
      <c r="A1726" s="14">
        <v>2125</v>
      </c>
      <c r="B1726" s="24" t="s">
        <v>3830</v>
      </c>
      <c r="C1726" s="1">
        <v>896404</v>
      </c>
      <c r="D1726" s="1" t="s">
        <v>25</v>
      </c>
      <c r="E1726" s="36">
        <v>44256</v>
      </c>
      <c r="F1726" s="36">
        <v>44510</v>
      </c>
      <c r="G1726" s="38">
        <f t="shared" si="26"/>
        <v>254</v>
      </c>
      <c r="H1726" s="5">
        <v>44263</v>
      </c>
      <c r="I1726" s="5">
        <v>44512</v>
      </c>
      <c r="J1726" s="1" t="s">
        <v>41</v>
      </c>
      <c r="K1726" s="1" t="s">
        <v>3831</v>
      </c>
      <c r="L1726" s="1" t="s">
        <v>3814</v>
      </c>
      <c r="M1726" s="1" t="s">
        <v>1941</v>
      </c>
      <c r="N1726" s="1" t="s">
        <v>30</v>
      </c>
      <c r="O1726" s="1" t="s">
        <v>783</v>
      </c>
      <c r="P1726" s="1" t="s">
        <v>3827</v>
      </c>
      <c r="Q1726" s="1" t="s">
        <v>3827</v>
      </c>
      <c r="R1726" s="1" t="s">
        <v>165</v>
      </c>
      <c r="S1726" s="1"/>
      <c r="U1726" s="1" t="s">
        <v>35</v>
      </c>
      <c r="V1726" s="1" t="s">
        <v>74</v>
      </c>
      <c r="W1726" s="1" t="str">
        <f>VLOOKUP(Table1[[#This Row],[Obergruppe ATC-Code]],Tabelle3!$A$2:$B$100,2)</f>
        <v>ANTINEOPLASTISCHE MITTEL</v>
      </c>
      <c r="X1726" s="1" t="str">
        <f xml:space="preserve"> LEFT(Table1[[#This Row],[Atc Code]],3)</f>
        <v>L01</v>
      </c>
    </row>
    <row r="1727" spans="1:24" ht="14.4">
      <c r="A1727" s="14">
        <v>1937</v>
      </c>
      <c r="B1727" s="24" t="s">
        <v>3832</v>
      </c>
      <c r="C1727" s="1" t="s">
        <v>3833</v>
      </c>
      <c r="D1727" s="1" t="s">
        <v>25</v>
      </c>
      <c r="E1727" s="36">
        <v>44231</v>
      </c>
      <c r="F1727" s="36">
        <v>44592</v>
      </c>
      <c r="G1727" s="38">
        <f t="shared" si="26"/>
        <v>361</v>
      </c>
      <c r="H1727" s="5">
        <v>44371</v>
      </c>
      <c r="I1727" s="5">
        <v>44593</v>
      </c>
      <c r="J1727" s="1" t="s">
        <v>26</v>
      </c>
      <c r="K1727" s="1" t="s">
        <v>3834</v>
      </c>
      <c r="L1727" s="1" t="s">
        <v>3814</v>
      </c>
      <c r="M1727" s="1" t="s">
        <v>1941</v>
      </c>
      <c r="N1727" s="1" t="s">
        <v>30</v>
      </c>
      <c r="O1727" s="1" t="s">
        <v>783</v>
      </c>
      <c r="P1727" s="1" t="s">
        <v>3835</v>
      </c>
      <c r="Q1727" s="1" t="s">
        <v>1944</v>
      </c>
      <c r="R1727" s="1" t="s">
        <v>26</v>
      </c>
      <c r="S1727" s="1" t="s">
        <v>3836</v>
      </c>
      <c r="T1727" s="1" t="s">
        <v>3837</v>
      </c>
      <c r="U1727" s="1" t="s">
        <v>35</v>
      </c>
      <c r="V1727" s="1" t="s">
        <v>49</v>
      </c>
      <c r="W1727" s="1" t="str">
        <f>VLOOKUP(Table1[[#This Row],[Obergruppe ATC-Code]],Tabelle3!$A$2:$B$100,2)</f>
        <v>ANTINEOPLASTISCHE MITTEL</v>
      </c>
      <c r="X1727" s="1" t="str">
        <f xml:space="preserve"> LEFT(Table1[[#This Row],[Atc Code]],3)</f>
        <v>L01</v>
      </c>
    </row>
    <row r="1728" spans="1:24" ht="14.4">
      <c r="A1728" s="14">
        <v>2038</v>
      </c>
      <c r="B1728" s="25" t="s">
        <v>3821</v>
      </c>
      <c r="C1728" s="1">
        <v>2101977</v>
      </c>
      <c r="D1728" s="1" t="s">
        <v>25</v>
      </c>
      <c r="E1728" s="36">
        <v>44348</v>
      </c>
      <c r="F1728" s="36">
        <v>44865</v>
      </c>
      <c r="G1728" s="38">
        <f t="shared" si="26"/>
        <v>517</v>
      </c>
      <c r="H1728" s="5">
        <v>44295</v>
      </c>
      <c r="I1728" s="5">
        <v>44900</v>
      </c>
      <c r="J1728" s="1" t="s">
        <v>41</v>
      </c>
      <c r="K1728" s="1" t="s">
        <v>3822</v>
      </c>
      <c r="L1728" s="1" t="s">
        <v>3814</v>
      </c>
      <c r="M1728" s="1" t="s">
        <v>1941</v>
      </c>
      <c r="N1728" s="1" t="s">
        <v>30</v>
      </c>
      <c r="O1728" s="1" t="s">
        <v>321</v>
      </c>
      <c r="P1728" s="1" t="s">
        <v>326</v>
      </c>
      <c r="Q1728" s="1" t="s">
        <v>327</v>
      </c>
      <c r="R1728" s="1" t="s">
        <v>26</v>
      </c>
      <c r="S1728" s="1" t="s">
        <v>3838</v>
      </c>
      <c r="U1728" s="1" t="s">
        <v>35</v>
      </c>
      <c r="V1728" s="1" t="s">
        <v>652</v>
      </c>
      <c r="W1728" s="1" t="str">
        <f>VLOOKUP(Table1[[#This Row],[Obergruppe ATC-Code]],Tabelle3!$A$2:$B$100,2)</f>
        <v>ANTINEOPLASTISCHE MITTEL</v>
      </c>
      <c r="X1728" s="1" t="str">
        <f xml:space="preserve"> LEFT(Table1[[#This Row],[Atc Code]],3)</f>
        <v>L01</v>
      </c>
    </row>
    <row r="1729" spans="1:24" ht="14.4">
      <c r="A1729" s="14">
        <v>2036</v>
      </c>
      <c r="B1729" s="24" t="s">
        <v>3839</v>
      </c>
      <c r="C1729" s="1">
        <v>2101976</v>
      </c>
      <c r="D1729" s="1" t="s">
        <v>25</v>
      </c>
      <c r="E1729" s="36">
        <v>44287</v>
      </c>
      <c r="F1729" s="36">
        <v>44865</v>
      </c>
      <c r="G1729" s="38">
        <f t="shared" si="26"/>
        <v>578</v>
      </c>
      <c r="H1729" s="5">
        <v>44295</v>
      </c>
      <c r="I1729" s="5">
        <v>44900</v>
      </c>
      <c r="J1729" s="1" t="s">
        <v>41</v>
      </c>
      <c r="K1729" s="1" t="s">
        <v>3840</v>
      </c>
      <c r="L1729" s="1" t="s">
        <v>3814</v>
      </c>
      <c r="M1729" s="1" t="s">
        <v>1941</v>
      </c>
      <c r="N1729" s="1" t="s">
        <v>30</v>
      </c>
      <c r="O1729" s="1" t="s">
        <v>321</v>
      </c>
      <c r="P1729" s="1" t="s">
        <v>326</v>
      </c>
      <c r="Q1729" s="1" t="s">
        <v>327</v>
      </c>
      <c r="R1729" s="1" t="s">
        <v>26</v>
      </c>
      <c r="S1729" s="1" t="s">
        <v>3841</v>
      </c>
      <c r="U1729" s="1" t="s">
        <v>35</v>
      </c>
      <c r="V1729" s="1" t="s">
        <v>652</v>
      </c>
      <c r="W1729" s="1" t="str">
        <f>VLOOKUP(Table1[[#This Row],[Obergruppe ATC-Code]],Tabelle3!$A$2:$B$100,2)</f>
        <v>ANTINEOPLASTISCHE MITTEL</v>
      </c>
      <c r="X1729" s="1" t="str">
        <f xml:space="preserve"> LEFT(Table1[[#This Row],[Atc Code]],3)</f>
        <v>L01</v>
      </c>
    </row>
    <row r="1730" spans="1:24" ht="14.4">
      <c r="A1730" s="14">
        <v>655</v>
      </c>
      <c r="B1730" s="24">
        <v>4316852</v>
      </c>
      <c r="C1730" s="1">
        <v>896404</v>
      </c>
      <c r="D1730" s="1" t="s">
        <v>175</v>
      </c>
      <c r="E1730" s="36">
        <v>45042</v>
      </c>
      <c r="F1730" s="36">
        <v>45565</v>
      </c>
      <c r="G1730" s="38">
        <f t="shared" ref="G1730:G1793" si="27">F1730-E1730</f>
        <v>523</v>
      </c>
      <c r="H1730" s="5">
        <v>45042</v>
      </c>
      <c r="I1730" s="5">
        <v>45042</v>
      </c>
      <c r="J1730" s="1" t="s">
        <v>41</v>
      </c>
      <c r="K1730" s="1" t="s">
        <v>3831</v>
      </c>
      <c r="L1730" s="1" t="s">
        <v>3814</v>
      </c>
      <c r="M1730" s="1" t="s">
        <v>1941</v>
      </c>
      <c r="N1730" s="1" t="s">
        <v>30</v>
      </c>
      <c r="O1730" s="1" t="s">
        <v>783</v>
      </c>
      <c r="Q1730" s="1" t="s">
        <v>1944</v>
      </c>
      <c r="R1730" s="1" t="s">
        <v>48</v>
      </c>
      <c r="S1730" s="1"/>
      <c r="U1730" s="1" t="s">
        <v>130</v>
      </c>
      <c r="V1730" s="1" t="s">
        <v>74</v>
      </c>
      <c r="W1730" s="1" t="str">
        <f>VLOOKUP(Table1[[#This Row],[Obergruppe ATC-Code]],Tabelle3!$A$2:$B$100,2)</f>
        <v>ANTINEOPLASTISCHE MITTEL</v>
      </c>
      <c r="X1730" s="1" t="str">
        <f xml:space="preserve"> LEFT(Table1[[#This Row],[Atc Code]],3)</f>
        <v>L01</v>
      </c>
    </row>
    <row r="1731" spans="1:24" ht="14.4">
      <c r="A1731" s="14">
        <v>943</v>
      </c>
      <c r="B1731" s="24">
        <v>7691349</v>
      </c>
      <c r="C1731" s="1">
        <v>2103192</v>
      </c>
      <c r="D1731" s="1" t="s">
        <v>102</v>
      </c>
      <c r="E1731" s="36">
        <v>45069</v>
      </c>
      <c r="F1731" s="36">
        <v>45203</v>
      </c>
      <c r="G1731" s="38">
        <f t="shared" si="27"/>
        <v>134</v>
      </c>
      <c r="H1731" s="5">
        <v>45069</v>
      </c>
      <c r="I1731" s="5">
        <v>45169</v>
      </c>
      <c r="J1731" s="1" t="s">
        <v>41</v>
      </c>
      <c r="K1731" s="1" t="s">
        <v>3842</v>
      </c>
      <c r="L1731" s="1" t="s">
        <v>3814</v>
      </c>
      <c r="M1731" s="1" t="s">
        <v>1941</v>
      </c>
      <c r="N1731" s="1" t="s">
        <v>30</v>
      </c>
      <c r="O1731" s="1" t="s">
        <v>1035</v>
      </c>
      <c r="P1731" s="1" t="s">
        <v>3843</v>
      </c>
      <c r="Q1731" s="1" t="s">
        <v>3844</v>
      </c>
      <c r="R1731" s="1" t="s">
        <v>128</v>
      </c>
      <c r="S1731" s="1"/>
      <c r="U1731" s="1" t="s">
        <v>130</v>
      </c>
      <c r="V1731" s="1" t="s">
        <v>279</v>
      </c>
      <c r="W1731" s="1" t="str">
        <f>VLOOKUP(Table1[[#This Row],[Obergruppe ATC-Code]],Tabelle3!$A$2:$B$100,2)</f>
        <v>ANTINEOPLASTISCHE MITTEL</v>
      </c>
      <c r="X1731" s="1" t="str">
        <f xml:space="preserve"> LEFT(Table1[[#This Row],[Atc Code]],3)</f>
        <v>L01</v>
      </c>
    </row>
    <row r="1732" spans="1:24" ht="14.4">
      <c r="A1732" s="14">
        <v>631</v>
      </c>
      <c r="B1732" s="24">
        <v>4108088</v>
      </c>
      <c r="C1732" s="1">
        <v>2113316</v>
      </c>
      <c r="D1732" s="1" t="s">
        <v>25</v>
      </c>
      <c r="E1732" s="36">
        <v>45069</v>
      </c>
      <c r="F1732" s="36">
        <v>45169</v>
      </c>
      <c r="G1732" s="38">
        <f t="shared" si="27"/>
        <v>100</v>
      </c>
      <c r="H1732" s="5">
        <v>45069</v>
      </c>
      <c r="I1732" s="5">
        <v>45169</v>
      </c>
      <c r="J1732" s="1" t="s">
        <v>41</v>
      </c>
      <c r="K1732" s="1" t="s">
        <v>3813</v>
      </c>
      <c r="L1732" s="1" t="s">
        <v>3814</v>
      </c>
      <c r="M1732" s="1" t="s">
        <v>1941</v>
      </c>
      <c r="N1732" s="1" t="s">
        <v>30</v>
      </c>
      <c r="O1732" s="1" t="s">
        <v>1035</v>
      </c>
      <c r="P1732" s="1" t="s">
        <v>3845</v>
      </c>
      <c r="Q1732" s="1" t="s">
        <v>3844</v>
      </c>
      <c r="R1732" s="1" t="s">
        <v>128</v>
      </c>
      <c r="S1732" s="1"/>
      <c r="U1732" s="1" t="s">
        <v>130</v>
      </c>
      <c r="V1732" s="1" t="s">
        <v>279</v>
      </c>
      <c r="W1732" s="1" t="str">
        <f>VLOOKUP(Table1[[#This Row],[Obergruppe ATC-Code]],Tabelle3!$A$2:$B$100,2)</f>
        <v>ANTINEOPLASTISCHE MITTEL</v>
      </c>
      <c r="X1732" s="1" t="str">
        <f xml:space="preserve"> LEFT(Table1[[#This Row],[Atc Code]],3)</f>
        <v>L01</v>
      </c>
    </row>
    <row r="1733" spans="1:24" ht="14.4">
      <c r="A1733" s="14">
        <v>1832</v>
      </c>
      <c r="B1733" s="24" t="s">
        <v>3846</v>
      </c>
      <c r="C1733" s="1">
        <v>2164742</v>
      </c>
      <c r="D1733" s="1" t="s">
        <v>25</v>
      </c>
      <c r="E1733" s="36">
        <v>43040</v>
      </c>
      <c r="F1733" s="36">
        <v>43159</v>
      </c>
      <c r="G1733" s="38">
        <f t="shared" si="27"/>
        <v>119</v>
      </c>
      <c r="H1733" s="5">
        <v>43074</v>
      </c>
      <c r="I1733" s="5">
        <v>43126</v>
      </c>
      <c r="J1733" s="1" t="s">
        <v>41</v>
      </c>
      <c r="K1733" s="1" t="s">
        <v>3847</v>
      </c>
      <c r="L1733" s="1" t="s">
        <v>3848</v>
      </c>
      <c r="M1733" s="1" t="s">
        <v>3849</v>
      </c>
      <c r="N1733" s="1" t="s">
        <v>30</v>
      </c>
      <c r="O1733" s="1" t="s">
        <v>3850</v>
      </c>
      <c r="P1733" s="1" t="s">
        <v>3851</v>
      </c>
      <c r="Q1733" s="1" t="s">
        <v>3852</v>
      </c>
      <c r="R1733" s="1" t="s">
        <v>26</v>
      </c>
      <c r="S1733" s="1"/>
      <c r="T1733" s="1" t="s">
        <v>3853</v>
      </c>
      <c r="U1733" s="1" t="s">
        <v>35</v>
      </c>
      <c r="V1733" s="1" t="s">
        <v>49</v>
      </c>
      <c r="W1733" s="1" t="str">
        <f>VLOOKUP(Table1[[#This Row],[Obergruppe ATC-Code]],Tabelle3!$A$2:$B$100,2)</f>
        <v>ANTINEOPLASTISCHE MITTEL</v>
      </c>
      <c r="X1733" s="1" t="str">
        <f xml:space="preserve"> LEFT(Table1[[#This Row],[Atc Code]],3)</f>
        <v>L01</v>
      </c>
    </row>
    <row r="1734" spans="1:24" ht="14.4">
      <c r="A1734" s="14">
        <v>2005</v>
      </c>
      <c r="B1734" s="24" t="s">
        <v>3854</v>
      </c>
      <c r="C1734" s="1" t="s">
        <v>3855</v>
      </c>
      <c r="D1734" s="1" t="s">
        <v>25</v>
      </c>
      <c r="E1734" s="36">
        <v>45124</v>
      </c>
      <c r="F1734" s="36">
        <v>45124</v>
      </c>
      <c r="G1734" s="38">
        <f t="shared" si="27"/>
        <v>0</v>
      </c>
      <c r="H1734" s="5">
        <v>45076</v>
      </c>
      <c r="I1734" s="5">
        <v>45118</v>
      </c>
      <c r="J1734" s="1" t="s">
        <v>26</v>
      </c>
      <c r="K1734" s="1" t="s">
        <v>3856</v>
      </c>
      <c r="L1734" s="1" t="s">
        <v>3857</v>
      </c>
      <c r="M1734" s="1" t="s">
        <v>3858</v>
      </c>
      <c r="N1734" s="1" t="s">
        <v>38</v>
      </c>
      <c r="O1734" s="1" t="s">
        <v>3859</v>
      </c>
      <c r="P1734" s="1" t="s">
        <v>3860</v>
      </c>
      <c r="Q1734" s="1" t="s">
        <v>3861</v>
      </c>
      <c r="R1734" s="1" t="s">
        <v>33</v>
      </c>
      <c r="S1734" s="1" t="s">
        <v>3862</v>
      </c>
      <c r="T1734" s="1" t="s">
        <v>3863</v>
      </c>
      <c r="U1734" s="1" t="s">
        <v>35</v>
      </c>
      <c r="V1734" s="1" t="s">
        <v>74</v>
      </c>
      <c r="W1734" s="1" t="str">
        <f>VLOOKUP(Table1[[#This Row],[Obergruppe ATC-Code]],Tabelle3!$A$2:$B$100,2)</f>
        <v>ANTINEOPLASTISCHE MITTEL</v>
      </c>
      <c r="X1734" s="1" t="str">
        <f xml:space="preserve"> LEFT(Table1[[#This Row],[Atc Code]],3)</f>
        <v>L01</v>
      </c>
    </row>
    <row r="1735" spans="1:24" ht="14.4">
      <c r="A1735" s="14">
        <v>464</v>
      </c>
      <c r="B1735" s="24">
        <v>2804808</v>
      </c>
      <c r="C1735" s="1">
        <v>2164929</v>
      </c>
      <c r="D1735" s="1" t="s">
        <v>25</v>
      </c>
      <c r="E1735" s="36">
        <v>43282</v>
      </c>
      <c r="F1735" s="36">
        <v>43343</v>
      </c>
      <c r="G1735" s="38">
        <f t="shared" si="27"/>
        <v>61</v>
      </c>
      <c r="H1735" s="5">
        <v>43257</v>
      </c>
      <c r="I1735" s="5">
        <v>43333</v>
      </c>
      <c r="J1735" s="1" t="s">
        <v>41</v>
      </c>
      <c r="K1735" s="1" t="s">
        <v>3864</v>
      </c>
      <c r="L1735" s="1" t="s">
        <v>3865</v>
      </c>
      <c r="M1735" s="1" t="s">
        <v>3866</v>
      </c>
      <c r="N1735" s="1" t="s">
        <v>30</v>
      </c>
      <c r="O1735" s="1" t="s">
        <v>1035</v>
      </c>
      <c r="P1735" s="1" t="s">
        <v>71</v>
      </c>
      <c r="Q1735" s="1" t="s">
        <v>47</v>
      </c>
      <c r="R1735" s="1" t="s">
        <v>942</v>
      </c>
      <c r="S1735" s="1" t="s">
        <v>943</v>
      </c>
      <c r="U1735" s="1" t="s">
        <v>35</v>
      </c>
      <c r="V1735" s="1" t="s">
        <v>94</v>
      </c>
      <c r="W1735" s="1" t="str">
        <f>VLOOKUP(Table1[[#This Row],[Obergruppe ATC-Code]],Tabelle3!$A$2:$B$100,2)</f>
        <v>ANTINEOPLASTISCHE MITTEL</v>
      </c>
      <c r="X1735" s="1" t="str">
        <f xml:space="preserve"> LEFT(Table1[[#This Row],[Atc Code]],3)</f>
        <v>L01</v>
      </c>
    </row>
    <row r="1736" spans="1:24" ht="14.4">
      <c r="A1736" s="14">
        <v>1997</v>
      </c>
      <c r="B1736" s="24" t="s">
        <v>3867</v>
      </c>
      <c r="C1736" s="1">
        <v>2191843</v>
      </c>
      <c r="D1736" s="1" t="s">
        <v>25</v>
      </c>
      <c r="E1736" s="36">
        <v>43252</v>
      </c>
      <c r="F1736" s="36">
        <v>43616</v>
      </c>
      <c r="G1736" s="38">
        <f t="shared" si="27"/>
        <v>364</v>
      </c>
      <c r="H1736" s="5">
        <v>43276</v>
      </c>
      <c r="I1736" s="5">
        <v>43588</v>
      </c>
      <c r="J1736" s="1" t="s">
        <v>41</v>
      </c>
      <c r="K1736" s="1" t="s">
        <v>3868</v>
      </c>
      <c r="L1736" s="1" t="s">
        <v>3865</v>
      </c>
      <c r="M1736" s="1" t="s">
        <v>3866</v>
      </c>
      <c r="N1736" s="1" t="s">
        <v>30</v>
      </c>
      <c r="O1736" s="1" t="s">
        <v>3869</v>
      </c>
      <c r="P1736" s="1" t="s">
        <v>3870</v>
      </c>
      <c r="Q1736" s="1" t="s">
        <v>3871</v>
      </c>
      <c r="R1736" s="1" t="s">
        <v>48</v>
      </c>
      <c r="S1736" s="1"/>
      <c r="U1736" s="1" t="s">
        <v>35</v>
      </c>
      <c r="V1736" s="1" t="s">
        <v>94</v>
      </c>
      <c r="W1736" s="1" t="str">
        <f>VLOOKUP(Table1[[#This Row],[Obergruppe ATC-Code]],Tabelle3!$A$2:$B$100,2)</f>
        <v>ANTINEOPLASTISCHE MITTEL</v>
      </c>
      <c r="X1736" s="1" t="str">
        <f xml:space="preserve"> LEFT(Table1[[#This Row],[Atc Code]],3)</f>
        <v>L01</v>
      </c>
    </row>
    <row r="1737" spans="1:24" ht="14.4">
      <c r="A1737" s="14">
        <v>2260</v>
      </c>
      <c r="B1737" s="24" t="s">
        <v>3872</v>
      </c>
      <c r="C1737" s="1">
        <v>2130590</v>
      </c>
      <c r="D1737" s="1" t="s">
        <v>25</v>
      </c>
      <c r="E1737" s="36">
        <v>43678</v>
      </c>
      <c r="F1737" s="36">
        <v>43738</v>
      </c>
      <c r="G1737" s="38">
        <f t="shared" si="27"/>
        <v>60</v>
      </c>
      <c r="H1737" s="5">
        <v>43682</v>
      </c>
      <c r="I1737" s="5">
        <v>43727</v>
      </c>
      <c r="J1737" s="1" t="s">
        <v>41</v>
      </c>
      <c r="K1737" s="1" t="s">
        <v>3873</v>
      </c>
      <c r="L1737" s="1" t="s">
        <v>3865</v>
      </c>
      <c r="M1737" s="1" t="s">
        <v>3866</v>
      </c>
      <c r="N1737" s="1" t="s">
        <v>30</v>
      </c>
      <c r="O1737" s="1" t="s">
        <v>2357</v>
      </c>
      <c r="P1737" s="1" t="s">
        <v>2358</v>
      </c>
      <c r="Q1737" s="1" t="s">
        <v>64</v>
      </c>
      <c r="R1737" s="1" t="s">
        <v>48</v>
      </c>
      <c r="S1737" s="1"/>
      <c r="U1737" s="1" t="s">
        <v>35</v>
      </c>
      <c r="V1737" s="1" t="s">
        <v>787</v>
      </c>
      <c r="W1737" s="1" t="str">
        <f>VLOOKUP(Table1[[#This Row],[Obergruppe ATC-Code]],Tabelle3!$A$2:$B$100,2)</f>
        <v>ANTINEOPLASTISCHE MITTEL</v>
      </c>
      <c r="X1737" s="1" t="str">
        <f xml:space="preserve"> LEFT(Table1[[#This Row],[Atc Code]],3)</f>
        <v>L01</v>
      </c>
    </row>
    <row r="1738" spans="1:24" ht="14.4">
      <c r="A1738" s="14">
        <v>1643</v>
      </c>
      <c r="B1738" s="24" t="s">
        <v>3874</v>
      </c>
      <c r="C1738" s="1">
        <v>2188244</v>
      </c>
      <c r="D1738" s="1" t="s">
        <v>25</v>
      </c>
      <c r="E1738" s="36">
        <v>43344</v>
      </c>
      <c r="F1738" s="36">
        <v>43921</v>
      </c>
      <c r="G1738" s="38">
        <f t="shared" si="27"/>
        <v>577</v>
      </c>
      <c r="H1738" s="5">
        <v>43290</v>
      </c>
      <c r="I1738" s="5">
        <v>43875</v>
      </c>
      <c r="J1738" s="1" t="s">
        <v>41</v>
      </c>
      <c r="K1738" s="1" t="s">
        <v>3875</v>
      </c>
      <c r="L1738" s="1" t="s">
        <v>3865</v>
      </c>
      <c r="M1738" s="1" t="s">
        <v>3866</v>
      </c>
      <c r="N1738" s="1" t="s">
        <v>30</v>
      </c>
      <c r="O1738" s="1" t="s">
        <v>1284</v>
      </c>
      <c r="P1738" s="1">
        <v>895589090</v>
      </c>
      <c r="Q1738" s="1" t="s">
        <v>1286</v>
      </c>
      <c r="R1738" s="1" t="s">
        <v>26</v>
      </c>
      <c r="S1738" s="1"/>
      <c r="U1738" s="1" t="s">
        <v>35</v>
      </c>
      <c r="V1738" s="1" t="s">
        <v>94</v>
      </c>
      <c r="W1738" s="1" t="str">
        <f>VLOOKUP(Table1[[#This Row],[Obergruppe ATC-Code]],Tabelle3!$A$2:$B$100,2)</f>
        <v>ANTINEOPLASTISCHE MITTEL</v>
      </c>
      <c r="X1738" s="1" t="str">
        <f xml:space="preserve"> LEFT(Table1[[#This Row],[Atc Code]],3)</f>
        <v>L01</v>
      </c>
    </row>
    <row r="1739" spans="1:24" ht="14.4">
      <c r="A1739" s="14">
        <v>463</v>
      </c>
      <c r="B1739" s="24">
        <v>2804808</v>
      </c>
      <c r="C1739" s="1">
        <v>2164929</v>
      </c>
      <c r="D1739" s="1" t="s">
        <v>25</v>
      </c>
      <c r="E1739" s="36">
        <v>43647</v>
      </c>
      <c r="F1739" s="36">
        <v>44135</v>
      </c>
      <c r="G1739" s="38">
        <f t="shared" si="27"/>
        <v>488</v>
      </c>
      <c r="H1739" s="5">
        <v>43564</v>
      </c>
      <c r="I1739" s="5">
        <v>44139</v>
      </c>
      <c r="J1739" s="1" t="s">
        <v>26</v>
      </c>
      <c r="K1739" s="1" t="s">
        <v>3864</v>
      </c>
      <c r="L1739" s="1" t="s">
        <v>3865</v>
      </c>
      <c r="M1739" s="1" t="s">
        <v>3866</v>
      </c>
      <c r="N1739" s="1" t="s">
        <v>30</v>
      </c>
      <c r="O1739" s="1" t="s">
        <v>1035</v>
      </c>
      <c r="P1739" s="1" t="s">
        <v>71</v>
      </c>
      <c r="Q1739" s="1" t="s">
        <v>56</v>
      </c>
      <c r="R1739" s="1" t="s">
        <v>33</v>
      </c>
      <c r="S1739" s="1"/>
      <c r="T1739" s="1" t="s">
        <v>3876</v>
      </c>
      <c r="U1739" s="1" t="s">
        <v>35</v>
      </c>
      <c r="V1739" s="1" t="s">
        <v>94</v>
      </c>
      <c r="W1739" s="1" t="str">
        <f>VLOOKUP(Table1[[#This Row],[Obergruppe ATC-Code]],Tabelle3!$A$2:$B$100,2)</f>
        <v>ANTINEOPLASTISCHE MITTEL</v>
      </c>
      <c r="X1739" s="1" t="str">
        <f xml:space="preserve"> LEFT(Table1[[#This Row],[Atc Code]],3)</f>
        <v>L01</v>
      </c>
    </row>
    <row r="1740" spans="1:24" ht="14.4">
      <c r="A1740" s="14">
        <v>5</v>
      </c>
      <c r="B1740" s="24">
        <v>28412</v>
      </c>
      <c r="C1740" s="1">
        <v>2174371</v>
      </c>
      <c r="D1740" s="1" t="s">
        <v>25</v>
      </c>
      <c r="E1740" s="36">
        <v>44588</v>
      </c>
      <c r="F1740" s="36">
        <v>44649</v>
      </c>
      <c r="G1740" s="38">
        <f t="shared" si="27"/>
        <v>61</v>
      </c>
      <c r="H1740" s="5">
        <v>44588</v>
      </c>
      <c r="I1740" s="5">
        <v>44649</v>
      </c>
      <c r="J1740" s="1" t="s">
        <v>26</v>
      </c>
      <c r="K1740" s="1" t="s">
        <v>3877</v>
      </c>
      <c r="L1740" s="1" t="s">
        <v>3865</v>
      </c>
      <c r="M1740" s="1" t="s">
        <v>3866</v>
      </c>
      <c r="N1740" s="1" t="s">
        <v>30</v>
      </c>
      <c r="O1740" s="1" t="s">
        <v>91</v>
      </c>
      <c r="P1740" s="1" t="s">
        <v>92</v>
      </c>
      <c r="Q1740" s="1" t="s">
        <v>93</v>
      </c>
      <c r="R1740" s="1" t="s">
        <v>113</v>
      </c>
      <c r="S1740" s="1"/>
      <c r="U1740" s="1" t="s">
        <v>130</v>
      </c>
      <c r="V1740" s="1" t="s">
        <v>94</v>
      </c>
      <c r="W1740" s="1" t="str">
        <f>VLOOKUP(Table1[[#This Row],[Obergruppe ATC-Code]],Tabelle3!$A$2:$B$100,2)</f>
        <v>ANTINEOPLASTISCHE MITTEL</v>
      </c>
      <c r="X1740" s="1" t="str">
        <f xml:space="preserve"> LEFT(Table1[[#This Row],[Atc Code]],3)</f>
        <v>L01</v>
      </c>
    </row>
    <row r="1741" spans="1:24" ht="14.4">
      <c r="A1741" s="14">
        <v>465</v>
      </c>
      <c r="B1741" s="24">
        <v>2804808</v>
      </c>
      <c r="C1741" s="1">
        <v>2164929</v>
      </c>
      <c r="D1741" s="1" t="s">
        <v>102</v>
      </c>
      <c r="E1741" s="36">
        <v>45156</v>
      </c>
      <c r="F1741" s="36">
        <v>45322</v>
      </c>
      <c r="G1741" s="38">
        <f t="shared" si="27"/>
        <v>166</v>
      </c>
      <c r="H1741" s="5">
        <v>45156</v>
      </c>
      <c r="I1741" s="5">
        <v>45181</v>
      </c>
      <c r="J1741" s="1" t="s">
        <v>41</v>
      </c>
      <c r="K1741" s="1" t="s">
        <v>3864</v>
      </c>
      <c r="L1741" s="1" t="s">
        <v>3865</v>
      </c>
      <c r="M1741" s="1" t="s">
        <v>3866</v>
      </c>
      <c r="N1741" s="1" t="s">
        <v>30</v>
      </c>
      <c r="O1741" s="1" t="s">
        <v>1035</v>
      </c>
      <c r="P1741" s="1" t="s">
        <v>3845</v>
      </c>
      <c r="Q1741" s="1" t="s">
        <v>3844</v>
      </c>
      <c r="R1741" s="1" t="s">
        <v>26</v>
      </c>
      <c r="S1741" s="1"/>
      <c r="U1741" s="1" t="s">
        <v>130</v>
      </c>
      <c r="V1741" s="1" t="s">
        <v>94</v>
      </c>
      <c r="W1741" s="1" t="str">
        <f>VLOOKUP(Table1[[#This Row],[Obergruppe ATC-Code]],Tabelle3!$A$2:$B$100,2)</f>
        <v>ANTINEOPLASTISCHE MITTEL</v>
      </c>
      <c r="X1741" s="1" t="str">
        <f xml:space="preserve"> LEFT(Table1[[#This Row],[Atc Code]],3)</f>
        <v>L01</v>
      </c>
    </row>
    <row r="1742" spans="1:24" ht="14.4">
      <c r="A1742" s="14">
        <v>4</v>
      </c>
      <c r="B1742" s="24">
        <v>28412</v>
      </c>
      <c r="C1742" s="1">
        <v>2174371</v>
      </c>
      <c r="D1742" s="1" t="s">
        <v>175</v>
      </c>
      <c r="E1742" s="36">
        <v>45209</v>
      </c>
      <c r="F1742" s="36">
        <v>45404</v>
      </c>
      <c r="G1742" s="38">
        <f t="shared" si="27"/>
        <v>195</v>
      </c>
      <c r="H1742" s="5">
        <v>45209</v>
      </c>
      <c r="I1742" s="5">
        <v>45209</v>
      </c>
      <c r="J1742" s="1" t="s">
        <v>26</v>
      </c>
      <c r="K1742" s="1" t="s">
        <v>3877</v>
      </c>
      <c r="L1742" s="1" t="s">
        <v>3865</v>
      </c>
      <c r="M1742" s="1" t="s">
        <v>3866</v>
      </c>
      <c r="N1742" s="1" t="s">
        <v>30</v>
      </c>
      <c r="O1742" s="1" t="s">
        <v>91</v>
      </c>
      <c r="Q1742" s="1" t="s">
        <v>93</v>
      </c>
      <c r="R1742" s="1" t="s">
        <v>26</v>
      </c>
      <c r="S1742" s="1" t="s">
        <v>3878</v>
      </c>
      <c r="U1742" s="1" t="s">
        <v>130</v>
      </c>
      <c r="V1742" s="1" t="s">
        <v>94</v>
      </c>
      <c r="W1742" s="1" t="str">
        <f>VLOOKUP(Table1[[#This Row],[Obergruppe ATC-Code]],Tabelle3!$A$2:$B$100,2)</f>
        <v>ANTINEOPLASTISCHE MITTEL</v>
      </c>
      <c r="X1742" s="1" t="str">
        <f xml:space="preserve"> LEFT(Table1[[#This Row],[Atc Code]],3)</f>
        <v>L01</v>
      </c>
    </row>
    <row r="1743" spans="1:24" ht="14.4">
      <c r="A1743" s="14">
        <v>2532</v>
      </c>
      <c r="B1743" s="24" t="s">
        <v>3879</v>
      </c>
      <c r="C1743" s="1">
        <v>2188149</v>
      </c>
      <c r="D1743" s="1" t="s">
        <v>25</v>
      </c>
      <c r="E1743" s="36">
        <v>43709</v>
      </c>
      <c r="F1743" s="36">
        <v>43769</v>
      </c>
      <c r="G1743" s="38">
        <f t="shared" si="27"/>
        <v>60</v>
      </c>
      <c r="H1743" s="5">
        <v>43706</v>
      </c>
      <c r="I1743" s="5">
        <v>43760</v>
      </c>
      <c r="J1743" s="1" t="s">
        <v>26</v>
      </c>
      <c r="K1743" s="1" t="s">
        <v>3880</v>
      </c>
      <c r="L1743" s="1" t="s">
        <v>3881</v>
      </c>
      <c r="M1743" s="1" t="s">
        <v>3882</v>
      </c>
      <c r="N1743" s="1" t="s">
        <v>30</v>
      </c>
      <c r="O1743" s="1" t="s">
        <v>3883</v>
      </c>
      <c r="P1743" s="1" t="s">
        <v>3884</v>
      </c>
      <c r="Q1743" s="1" t="s">
        <v>3885</v>
      </c>
      <c r="R1743" s="1" t="s">
        <v>33</v>
      </c>
      <c r="S1743" s="1"/>
      <c r="U1743" s="1" t="s">
        <v>35</v>
      </c>
      <c r="V1743" s="1" t="s">
        <v>652</v>
      </c>
      <c r="W1743" s="1" t="str">
        <f>VLOOKUP(Table1[[#This Row],[Obergruppe ATC-Code]],Tabelle3!$A$2:$B$100,2)</f>
        <v>ANTINEOPLASTISCHE MITTEL</v>
      </c>
      <c r="X1743" s="1" t="str">
        <f xml:space="preserve"> LEFT(Table1[[#This Row],[Atc Code]],3)</f>
        <v>L01</v>
      </c>
    </row>
    <row r="1744" spans="1:24" ht="14.4">
      <c r="A1744" s="14">
        <v>2293</v>
      </c>
      <c r="B1744" s="24" t="s">
        <v>3886</v>
      </c>
      <c r="C1744" s="1">
        <v>2144617</v>
      </c>
      <c r="D1744" s="1" t="s">
        <v>25</v>
      </c>
      <c r="E1744" s="36">
        <v>43678</v>
      </c>
      <c r="F1744" s="36">
        <v>43861</v>
      </c>
      <c r="G1744" s="38">
        <f t="shared" si="27"/>
        <v>183</v>
      </c>
      <c r="H1744" s="5">
        <v>43706</v>
      </c>
      <c r="I1744" s="5">
        <v>43840</v>
      </c>
      <c r="J1744" s="1" t="s">
        <v>41</v>
      </c>
      <c r="K1744" s="1" t="s">
        <v>3887</v>
      </c>
      <c r="L1744" s="1" t="s">
        <v>3881</v>
      </c>
      <c r="M1744" s="1" t="s">
        <v>3882</v>
      </c>
      <c r="N1744" s="1" t="s">
        <v>30</v>
      </c>
      <c r="O1744" s="1" t="s">
        <v>123</v>
      </c>
      <c r="P1744" s="1" t="s">
        <v>124</v>
      </c>
      <c r="Q1744" s="1" t="s">
        <v>125</v>
      </c>
      <c r="R1744" s="1" t="s">
        <v>26</v>
      </c>
      <c r="S1744" s="1"/>
      <c r="U1744" s="1" t="s">
        <v>35</v>
      </c>
      <c r="V1744" s="1" t="s">
        <v>2405</v>
      </c>
      <c r="W1744" s="1" t="str">
        <f>VLOOKUP(Table1[[#This Row],[Obergruppe ATC-Code]],Tabelle3!$A$2:$B$100,2)</f>
        <v>ANTINEOPLASTISCHE MITTEL</v>
      </c>
      <c r="X1744" s="1" t="str">
        <f xml:space="preserve"> LEFT(Table1[[#This Row],[Atc Code]],3)</f>
        <v>L01</v>
      </c>
    </row>
    <row r="1745" spans="1:24" ht="14.4">
      <c r="A1745" s="14">
        <v>2292</v>
      </c>
      <c r="B1745" s="24" t="s">
        <v>3888</v>
      </c>
      <c r="C1745" s="1">
        <v>2144616</v>
      </c>
      <c r="D1745" s="1" t="s">
        <v>25</v>
      </c>
      <c r="E1745" s="36">
        <v>43678</v>
      </c>
      <c r="F1745" s="36">
        <v>43890</v>
      </c>
      <c r="G1745" s="38">
        <f t="shared" si="27"/>
        <v>212</v>
      </c>
      <c r="H1745" s="5">
        <v>43706</v>
      </c>
      <c r="I1745" s="5">
        <v>43868</v>
      </c>
      <c r="J1745" s="1" t="s">
        <v>41</v>
      </c>
      <c r="K1745" s="1" t="s">
        <v>3889</v>
      </c>
      <c r="L1745" s="1" t="s">
        <v>3881</v>
      </c>
      <c r="M1745" s="1" t="s">
        <v>3882</v>
      </c>
      <c r="N1745" s="1" t="s">
        <v>30</v>
      </c>
      <c r="O1745" s="1" t="s">
        <v>123</v>
      </c>
      <c r="P1745" s="1" t="s">
        <v>124</v>
      </c>
      <c r="Q1745" s="1" t="s">
        <v>125</v>
      </c>
      <c r="R1745" s="1" t="s">
        <v>26</v>
      </c>
      <c r="S1745" s="1"/>
      <c r="U1745" s="1" t="s">
        <v>35</v>
      </c>
      <c r="V1745" s="1" t="s">
        <v>2405</v>
      </c>
      <c r="W1745" s="1" t="str">
        <f>VLOOKUP(Table1[[#This Row],[Obergruppe ATC-Code]],Tabelle3!$A$2:$B$100,2)</f>
        <v>ANTINEOPLASTISCHE MITTEL</v>
      </c>
      <c r="X1745" s="1" t="str">
        <f xml:space="preserve"> LEFT(Table1[[#This Row],[Atc Code]],3)</f>
        <v>L01</v>
      </c>
    </row>
    <row r="1746" spans="1:24" ht="14.4">
      <c r="A1746" s="14">
        <v>829</v>
      </c>
      <c r="B1746" s="24">
        <v>6983044</v>
      </c>
      <c r="C1746" s="1">
        <v>2144694</v>
      </c>
      <c r="D1746" s="1" t="s">
        <v>25</v>
      </c>
      <c r="E1746" s="36">
        <v>43709</v>
      </c>
      <c r="F1746" s="36">
        <v>43890</v>
      </c>
      <c r="G1746" s="38">
        <f t="shared" si="27"/>
        <v>181</v>
      </c>
      <c r="H1746" s="5">
        <v>43706</v>
      </c>
      <c r="I1746" s="5">
        <v>43868</v>
      </c>
      <c r="J1746" s="1" t="s">
        <v>41</v>
      </c>
      <c r="K1746" s="1" t="s">
        <v>3890</v>
      </c>
      <c r="L1746" s="1" t="s">
        <v>3881</v>
      </c>
      <c r="M1746" s="1" t="s">
        <v>3882</v>
      </c>
      <c r="N1746" s="1" t="s">
        <v>30</v>
      </c>
      <c r="O1746" s="1" t="s">
        <v>123</v>
      </c>
      <c r="P1746" s="1" t="s">
        <v>124</v>
      </c>
      <c r="Q1746" s="1" t="s">
        <v>125</v>
      </c>
      <c r="R1746" s="1" t="s">
        <v>26</v>
      </c>
      <c r="S1746" s="1"/>
      <c r="U1746" s="1" t="s">
        <v>35</v>
      </c>
      <c r="V1746" s="1" t="s">
        <v>648</v>
      </c>
      <c r="W1746" s="1" t="str">
        <f>VLOOKUP(Table1[[#This Row],[Obergruppe ATC-Code]],Tabelle3!$A$2:$B$100,2)</f>
        <v>ANTINEOPLASTISCHE MITTEL</v>
      </c>
      <c r="X1746" s="1" t="str">
        <f xml:space="preserve"> LEFT(Table1[[#This Row],[Atc Code]],3)</f>
        <v>L01</v>
      </c>
    </row>
    <row r="1747" spans="1:24" ht="14.4">
      <c r="A1747" s="14">
        <v>828</v>
      </c>
      <c r="B1747" s="24">
        <v>6983044</v>
      </c>
      <c r="C1747" s="1">
        <v>2144694</v>
      </c>
      <c r="D1747" s="1" t="s">
        <v>25</v>
      </c>
      <c r="E1747" s="36">
        <v>43983</v>
      </c>
      <c r="F1747" s="36">
        <v>44074</v>
      </c>
      <c r="G1747" s="38">
        <f t="shared" si="27"/>
        <v>91</v>
      </c>
      <c r="H1747" s="5">
        <v>43998</v>
      </c>
      <c r="I1747" s="5">
        <v>44047</v>
      </c>
      <c r="J1747" s="1" t="s">
        <v>41</v>
      </c>
      <c r="K1747" s="1" t="s">
        <v>3890</v>
      </c>
      <c r="L1747" s="1" t="s">
        <v>3881</v>
      </c>
      <c r="M1747" s="1" t="s">
        <v>3882</v>
      </c>
      <c r="N1747" s="1" t="s">
        <v>30</v>
      </c>
      <c r="O1747" s="1" t="s">
        <v>123</v>
      </c>
      <c r="P1747" s="1" t="s">
        <v>124</v>
      </c>
      <c r="Q1747" s="1" t="s">
        <v>125</v>
      </c>
      <c r="R1747" s="1" t="s">
        <v>26</v>
      </c>
      <c r="S1747" s="1"/>
      <c r="U1747" s="1" t="s">
        <v>35</v>
      </c>
      <c r="V1747" s="1" t="s">
        <v>648</v>
      </c>
      <c r="W1747" s="1" t="str">
        <f>VLOOKUP(Table1[[#This Row],[Obergruppe ATC-Code]],Tabelle3!$A$2:$B$100,2)</f>
        <v>ANTINEOPLASTISCHE MITTEL</v>
      </c>
      <c r="X1747" s="1" t="str">
        <f xml:space="preserve"> LEFT(Table1[[#This Row],[Atc Code]],3)</f>
        <v>L01</v>
      </c>
    </row>
    <row r="1748" spans="1:24" ht="14.4">
      <c r="A1748" s="14">
        <v>831</v>
      </c>
      <c r="B1748" s="24">
        <v>6983073</v>
      </c>
      <c r="C1748" s="1">
        <v>2144695</v>
      </c>
      <c r="D1748" s="1" t="s">
        <v>25</v>
      </c>
      <c r="E1748" s="36">
        <v>43678</v>
      </c>
      <c r="F1748" s="36">
        <v>44165</v>
      </c>
      <c r="G1748" s="38">
        <f t="shared" si="27"/>
        <v>487</v>
      </c>
      <c r="H1748" s="5">
        <v>43706</v>
      </c>
      <c r="I1748" s="5">
        <v>44139</v>
      </c>
      <c r="J1748" s="1" t="s">
        <v>41</v>
      </c>
      <c r="K1748" s="1" t="s">
        <v>3891</v>
      </c>
      <c r="L1748" s="1" t="s">
        <v>3881</v>
      </c>
      <c r="M1748" s="1" t="s">
        <v>3882</v>
      </c>
      <c r="N1748" s="1" t="s">
        <v>30</v>
      </c>
      <c r="O1748" s="1" t="s">
        <v>123</v>
      </c>
      <c r="P1748" s="1" t="s">
        <v>124</v>
      </c>
      <c r="Q1748" s="1" t="s">
        <v>125</v>
      </c>
      <c r="R1748" s="1" t="s">
        <v>26</v>
      </c>
      <c r="S1748" s="1"/>
      <c r="U1748" s="1" t="s">
        <v>35</v>
      </c>
      <c r="V1748" s="1" t="s">
        <v>648</v>
      </c>
      <c r="W1748" s="1" t="str">
        <f>VLOOKUP(Table1[[#This Row],[Obergruppe ATC-Code]],Tabelle3!$A$2:$B$100,2)</f>
        <v>ANTINEOPLASTISCHE MITTEL</v>
      </c>
      <c r="X1748" s="1" t="str">
        <f xml:space="preserve"> LEFT(Table1[[#This Row],[Atc Code]],3)</f>
        <v>L01</v>
      </c>
    </row>
    <row r="1749" spans="1:24" ht="14.4">
      <c r="A1749" s="14">
        <v>221</v>
      </c>
      <c r="B1749" s="25">
        <v>1225037</v>
      </c>
      <c r="C1749" s="1">
        <v>3001935</v>
      </c>
      <c r="D1749" s="1" t="s">
        <v>25</v>
      </c>
      <c r="E1749" s="36">
        <v>43678</v>
      </c>
      <c r="F1749" s="36">
        <v>44165</v>
      </c>
      <c r="G1749" s="38">
        <f t="shared" si="27"/>
        <v>487</v>
      </c>
      <c r="H1749" s="5">
        <v>43706</v>
      </c>
      <c r="I1749" s="5">
        <v>44139</v>
      </c>
      <c r="J1749" s="1" t="s">
        <v>41</v>
      </c>
      <c r="K1749" s="1" t="s">
        <v>3892</v>
      </c>
      <c r="L1749" s="1" t="s">
        <v>3881</v>
      </c>
      <c r="M1749" s="1" t="s">
        <v>3882</v>
      </c>
      <c r="N1749" s="1" t="s">
        <v>30</v>
      </c>
      <c r="O1749" s="1" t="s">
        <v>123</v>
      </c>
      <c r="P1749" s="1" t="s">
        <v>124</v>
      </c>
      <c r="Q1749" s="1" t="s">
        <v>125</v>
      </c>
      <c r="R1749" s="1" t="s">
        <v>26</v>
      </c>
      <c r="S1749" s="1"/>
      <c r="U1749" s="1" t="s">
        <v>35</v>
      </c>
      <c r="V1749" s="1" t="s">
        <v>279</v>
      </c>
      <c r="W1749" s="1" t="str">
        <f>VLOOKUP(Table1[[#This Row],[Obergruppe ATC-Code]],Tabelle3!$A$2:$B$100,2)</f>
        <v>ANTINEOPLASTISCHE MITTEL</v>
      </c>
      <c r="X1749" s="1" t="str">
        <f xml:space="preserve"> LEFT(Table1[[#This Row],[Atc Code]],3)</f>
        <v>L01</v>
      </c>
    </row>
    <row r="1750" spans="1:24" ht="14.4">
      <c r="A1750" s="14">
        <v>830</v>
      </c>
      <c r="B1750" s="24">
        <v>6983044</v>
      </c>
      <c r="C1750" s="1">
        <v>2144694</v>
      </c>
      <c r="D1750" s="1" t="s">
        <v>25</v>
      </c>
      <c r="E1750" s="36">
        <v>44986</v>
      </c>
      <c r="F1750" s="36">
        <v>45121</v>
      </c>
      <c r="G1750" s="38">
        <f t="shared" si="27"/>
        <v>135</v>
      </c>
      <c r="H1750" s="5">
        <v>45092</v>
      </c>
      <c r="I1750" s="5">
        <v>45128</v>
      </c>
      <c r="J1750" s="1" t="s">
        <v>41</v>
      </c>
      <c r="K1750" s="1" t="s">
        <v>3890</v>
      </c>
      <c r="L1750" s="1" t="s">
        <v>3881</v>
      </c>
      <c r="M1750" s="1" t="s">
        <v>3882</v>
      </c>
      <c r="N1750" s="1" t="s">
        <v>38</v>
      </c>
      <c r="O1750" s="1" t="s">
        <v>123</v>
      </c>
      <c r="P1750" s="1">
        <v>4961016032416</v>
      </c>
      <c r="Q1750" s="1" t="s">
        <v>127</v>
      </c>
      <c r="R1750" s="1" t="s">
        <v>128</v>
      </c>
      <c r="S1750" s="1"/>
      <c r="U1750" s="1" t="s">
        <v>130</v>
      </c>
      <c r="V1750" s="1" t="s">
        <v>648</v>
      </c>
      <c r="W1750" s="1" t="str">
        <f>VLOOKUP(Table1[[#This Row],[Obergruppe ATC-Code]],Tabelle3!$A$2:$B$100,2)</f>
        <v>ANTINEOPLASTISCHE MITTEL</v>
      </c>
      <c r="X1750" s="1" t="str">
        <f xml:space="preserve"> LEFT(Table1[[#This Row],[Atc Code]],3)</f>
        <v>L01</v>
      </c>
    </row>
    <row r="1751" spans="1:24" ht="14.4">
      <c r="A1751" s="14">
        <v>832</v>
      </c>
      <c r="B1751" s="24">
        <v>6983073</v>
      </c>
      <c r="C1751" s="1">
        <v>2144695</v>
      </c>
      <c r="D1751" s="1" t="s">
        <v>175</v>
      </c>
      <c r="E1751" s="36">
        <v>45194</v>
      </c>
      <c r="F1751" s="36">
        <v>45294</v>
      </c>
      <c r="G1751" s="38">
        <f t="shared" si="27"/>
        <v>100</v>
      </c>
      <c r="H1751" s="5">
        <v>45198</v>
      </c>
      <c r="I1751" s="5">
        <v>45198</v>
      </c>
      <c r="J1751" s="1" t="s">
        <v>41</v>
      </c>
      <c r="K1751" s="1" t="s">
        <v>3891</v>
      </c>
      <c r="L1751" s="1" t="s">
        <v>3881</v>
      </c>
      <c r="M1751" s="1" t="s">
        <v>3882</v>
      </c>
      <c r="N1751" s="1" t="s">
        <v>38</v>
      </c>
      <c r="O1751" s="1" t="s">
        <v>123</v>
      </c>
      <c r="P1751" s="1">
        <v>4961016032416</v>
      </c>
      <c r="Q1751" s="1" t="s">
        <v>127</v>
      </c>
      <c r="R1751" s="1" t="s">
        <v>128</v>
      </c>
      <c r="S1751" s="1"/>
      <c r="U1751" s="1" t="s">
        <v>130</v>
      </c>
      <c r="V1751" s="1" t="s">
        <v>648</v>
      </c>
      <c r="W1751" s="1" t="str">
        <f>VLOOKUP(Table1[[#This Row],[Obergruppe ATC-Code]],Tabelle3!$A$2:$B$100,2)</f>
        <v>ANTINEOPLASTISCHE MITTEL</v>
      </c>
      <c r="X1751" s="1" t="str">
        <f xml:space="preserve"> LEFT(Table1[[#This Row],[Atc Code]],3)</f>
        <v>L01</v>
      </c>
    </row>
    <row r="1752" spans="1:24" ht="14.4">
      <c r="A1752" s="14">
        <v>266</v>
      </c>
      <c r="B1752" s="24">
        <v>1528915</v>
      </c>
      <c r="C1752" s="1">
        <v>2184261</v>
      </c>
      <c r="D1752" s="1" t="s">
        <v>25</v>
      </c>
      <c r="E1752" s="36">
        <v>43525</v>
      </c>
      <c r="F1752" s="36">
        <v>43677</v>
      </c>
      <c r="G1752" s="38">
        <f t="shared" si="27"/>
        <v>152</v>
      </c>
      <c r="H1752" s="5">
        <v>43537</v>
      </c>
      <c r="I1752" s="5">
        <v>43623</v>
      </c>
      <c r="J1752" s="1" t="s">
        <v>41</v>
      </c>
      <c r="K1752" s="1" t="s">
        <v>3893</v>
      </c>
      <c r="L1752" s="1" t="s">
        <v>3894</v>
      </c>
      <c r="M1752" s="1" t="s">
        <v>3895</v>
      </c>
      <c r="N1752" s="1" t="s">
        <v>30</v>
      </c>
      <c r="O1752" s="1" t="s">
        <v>91</v>
      </c>
      <c r="P1752" s="1" t="s">
        <v>374</v>
      </c>
      <c r="Q1752" s="1" t="s">
        <v>375</v>
      </c>
      <c r="R1752" s="1" t="s">
        <v>26</v>
      </c>
      <c r="S1752" s="1"/>
      <c r="U1752" s="1" t="s">
        <v>35</v>
      </c>
      <c r="V1752" s="1" t="s">
        <v>74</v>
      </c>
      <c r="W1752" s="1" t="str">
        <f>VLOOKUP(Table1[[#This Row],[Obergruppe ATC-Code]],Tabelle3!$A$2:$B$100,2)</f>
        <v>ANTINEOPLASTISCHE MITTEL</v>
      </c>
      <c r="X1752" s="1" t="str">
        <f xml:space="preserve"> LEFT(Table1[[#This Row],[Atc Code]],3)</f>
        <v>L01</v>
      </c>
    </row>
    <row r="1753" spans="1:24" ht="14.4">
      <c r="A1753" s="14">
        <v>265</v>
      </c>
      <c r="B1753" s="24">
        <v>1528915</v>
      </c>
      <c r="C1753" s="1">
        <v>2184261</v>
      </c>
      <c r="D1753" s="1" t="s">
        <v>25</v>
      </c>
      <c r="E1753" s="36">
        <v>44256</v>
      </c>
      <c r="F1753" s="36">
        <v>44347</v>
      </c>
      <c r="G1753" s="38">
        <f t="shared" si="27"/>
        <v>91</v>
      </c>
      <c r="H1753" s="5">
        <v>44256</v>
      </c>
      <c r="I1753" s="5">
        <v>44337</v>
      </c>
      <c r="J1753" s="1" t="s">
        <v>41</v>
      </c>
      <c r="K1753" s="1" t="s">
        <v>3893</v>
      </c>
      <c r="L1753" s="1" t="s">
        <v>3894</v>
      </c>
      <c r="M1753" s="1" t="s">
        <v>3895</v>
      </c>
      <c r="N1753" s="1" t="s">
        <v>30</v>
      </c>
      <c r="O1753" s="1" t="s">
        <v>91</v>
      </c>
      <c r="P1753" s="1" t="s">
        <v>92</v>
      </c>
      <c r="Q1753" s="1" t="s">
        <v>93</v>
      </c>
      <c r="R1753" s="1" t="s">
        <v>26</v>
      </c>
      <c r="S1753" s="1"/>
      <c r="U1753" s="1" t="s">
        <v>35</v>
      </c>
      <c r="V1753" s="1" t="s">
        <v>74</v>
      </c>
      <c r="W1753" s="1" t="str">
        <f>VLOOKUP(Table1[[#This Row],[Obergruppe ATC-Code]],Tabelle3!$A$2:$B$100,2)</f>
        <v>ANTINEOPLASTISCHE MITTEL</v>
      </c>
      <c r="X1753" s="1" t="str">
        <f xml:space="preserve"> LEFT(Table1[[#This Row],[Atc Code]],3)</f>
        <v>L01</v>
      </c>
    </row>
    <row r="1754" spans="1:24" ht="14.4">
      <c r="A1754" s="14">
        <v>2073</v>
      </c>
      <c r="B1754" s="24" t="s">
        <v>3896</v>
      </c>
      <c r="C1754" s="1">
        <v>2141196</v>
      </c>
      <c r="D1754" s="1" t="s">
        <v>25</v>
      </c>
      <c r="E1754" s="36">
        <v>44783</v>
      </c>
      <c r="F1754" s="36">
        <v>44926</v>
      </c>
      <c r="G1754" s="38">
        <f t="shared" si="27"/>
        <v>143</v>
      </c>
      <c r="H1754" s="5">
        <v>44783</v>
      </c>
      <c r="I1754" s="5">
        <v>44928</v>
      </c>
      <c r="J1754" s="1" t="s">
        <v>26</v>
      </c>
      <c r="K1754" s="1" t="s">
        <v>3897</v>
      </c>
      <c r="L1754" s="1" t="s">
        <v>3894</v>
      </c>
      <c r="M1754" s="1" t="s">
        <v>3895</v>
      </c>
      <c r="N1754" s="1" t="s">
        <v>30</v>
      </c>
      <c r="O1754" s="1" t="s">
        <v>783</v>
      </c>
      <c r="P1754" s="1" t="s">
        <v>3898</v>
      </c>
      <c r="Q1754" s="1" t="s">
        <v>1944</v>
      </c>
      <c r="R1754" s="1" t="s">
        <v>113</v>
      </c>
      <c r="S1754" s="1" t="s">
        <v>3899</v>
      </c>
      <c r="U1754" s="1" t="s">
        <v>130</v>
      </c>
      <c r="V1754" s="1" t="s">
        <v>74</v>
      </c>
      <c r="W1754" s="1" t="str">
        <f>VLOOKUP(Table1[[#This Row],[Obergruppe ATC-Code]],Tabelle3!$A$2:$B$100,2)</f>
        <v>ANTINEOPLASTISCHE MITTEL</v>
      </c>
      <c r="X1754" s="1" t="str">
        <f xml:space="preserve"> LEFT(Table1[[#This Row],[Atc Code]],3)</f>
        <v>L01</v>
      </c>
    </row>
    <row r="1755" spans="1:24" ht="14.4">
      <c r="A1755" s="14">
        <v>2297</v>
      </c>
      <c r="B1755" s="24" t="s">
        <v>3900</v>
      </c>
      <c r="C1755" s="1">
        <v>2155983</v>
      </c>
      <c r="D1755" s="1" t="s">
        <v>25</v>
      </c>
      <c r="E1755" s="36">
        <v>44837</v>
      </c>
      <c r="F1755" s="36">
        <v>44938</v>
      </c>
      <c r="G1755" s="38">
        <f t="shared" si="27"/>
        <v>101</v>
      </c>
      <c r="H1755" s="5">
        <v>44827</v>
      </c>
      <c r="I1755" s="5">
        <v>44935</v>
      </c>
      <c r="J1755" s="1" t="s">
        <v>41</v>
      </c>
      <c r="K1755" s="1" t="s">
        <v>3901</v>
      </c>
      <c r="L1755" s="1" t="s">
        <v>3894</v>
      </c>
      <c r="M1755" s="1" t="s">
        <v>3895</v>
      </c>
      <c r="N1755" s="1" t="s">
        <v>30</v>
      </c>
      <c r="O1755" s="1" t="s">
        <v>339</v>
      </c>
      <c r="P1755" s="1" t="s">
        <v>3902</v>
      </c>
      <c r="Q1755" s="1" t="s">
        <v>341</v>
      </c>
      <c r="R1755" s="1" t="s">
        <v>128</v>
      </c>
      <c r="S1755" s="1" t="s">
        <v>3903</v>
      </c>
      <c r="U1755" s="1" t="s">
        <v>130</v>
      </c>
      <c r="V1755" s="1" t="s">
        <v>74</v>
      </c>
      <c r="W1755" s="1" t="str">
        <f>VLOOKUP(Table1[[#This Row],[Obergruppe ATC-Code]],Tabelle3!$A$2:$B$100,2)</f>
        <v>ANTINEOPLASTISCHE MITTEL</v>
      </c>
      <c r="X1755" s="1" t="str">
        <f xml:space="preserve"> LEFT(Table1[[#This Row],[Atc Code]],3)</f>
        <v>L01</v>
      </c>
    </row>
    <row r="1756" spans="1:24" ht="14.4">
      <c r="A1756" s="14">
        <v>1614</v>
      </c>
      <c r="B1756" s="24">
        <v>17857472</v>
      </c>
      <c r="C1756" s="1">
        <v>127367</v>
      </c>
      <c r="D1756" s="1" t="s">
        <v>25</v>
      </c>
      <c r="E1756" s="36">
        <v>44743</v>
      </c>
      <c r="F1756" s="36">
        <v>45106</v>
      </c>
      <c r="G1756" s="38">
        <f t="shared" si="27"/>
        <v>363</v>
      </c>
      <c r="H1756" s="5">
        <v>44742</v>
      </c>
      <c r="I1756" s="5">
        <v>45106</v>
      </c>
      <c r="J1756" s="1" t="s">
        <v>26</v>
      </c>
      <c r="K1756" s="1" t="s">
        <v>3904</v>
      </c>
      <c r="L1756" s="1" t="s">
        <v>3894</v>
      </c>
      <c r="M1756" s="1" t="s">
        <v>3895</v>
      </c>
      <c r="N1756" s="1" t="s">
        <v>30</v>
      </c>
      <c r="O1756" s="1" t="s">
        <v>1078</v>
      </c>
      <c r="P1756" s="1">
        <v>15785126413</v>
      </c>
      <c r="Q1756" s="1" t="s">
        <v>1079</v>
      </c>
      <c r="R1756" s="1" t="s">
        <v>113</v>
      </c>
      <c r="S1756" s="1"/>
      <c r="U1756" s="1" t="s">
        <v>130</v>
      </c>
      <c r="V1756" s="1" t="s">
        <v>74</v>
      </c>
      <c r="W1756" s="1" t="str">
        <f>VLOOKUP(Table1[[#This Row],[Obergruppe ATC-Code]],Tabelle3!$A$2:$B$100,2)</f>
        <v>ANTINEOPLASTISCHE MITTEL</v>
      </c>
      <c r="X1756" s="1" t="str">
        <f xml:space="preserve"> LEFT(Table1[[#This Row],[Atc Code]],3)</f>
        <v>L01</v>
      </c>
    </row>
    <row r="1757" spans="1:24" ht="14.4">
      <c r="A1757" s="14">
        <v>267</v>
      </c>
      <c r="B1757" s="24">
        <v>1528915</v>
      </c>
      <c r="C1757" s="1">
        <v>2184261</v>
      </c>
      <c r="D1757" s="1" t="s">
        <v>25</v>
      </c>
      <c r="E1757" s="36">
        <v>44473</v>
      </c>
      <c r="F1757" s="36">
        <v>45093</v>
      </c>
      <c r="G1757" s="38">
        <f t="shared" si="27"/>
        <v>620</v>
      </c>
      <c r="H1757" s="5">
        <v>44473</v>
      </c>
      <c r="I1757" s="5">
        <v>45141</v>
      </c>
      <c r="J1757" s="1" t="s">
        <v>41</v>
      </c>
      <c r="K1757" s="1" t="s">
        <v>3893</v>
      </c>
      <c r="L1757" s="1" t="s">
        <v>3894</v>
      </c>
      <c r="M1757" s="1" t="s">
        <v>3895</v>
      </c>
      <c r="N1757" s="1" t="s">
        <v>30</v>
      </c>
      <c r="O1757" s="1" t="s">
        <v>91</v>
      </c>
      <c r="P1757" s="1" t="s">
        <v>92</v>
      </c>
      <c r="Q1757" s="1" t="s">
        <v>93</v>
      </c>
      <c r="R1757" s="1" t="s">
        <v>128</v>
      </c>
      <c r="S1757" s="1" t="s">
        <v>3905</v>
      </c>
      <c r="U1757" s="1" t="s">
        <v>57</v>
      </c>
      <c r="V1757" s="1" t="s">
        <v>74</v>
      </c>
      <c r="W1757" s="1" t="str">
        <f>VLOOKUP(Table1[[#This Row],[Obergruppe ATC-Code]],Tabelle3!$A$2:$B$100,2)</f>
        <v>ANTINEOPLASTISCHE MITTEL</v>
      </c>
      <c r="X1757" s="1" t="str">
        <f xml:space="preserve"> LEFT(Table1[[#This Row],[Atc Code]],3)</f>
        <v>L01</v>
      </c>
    </row>
    <row r="1758" spans="1:24" ht="14.4">
      <c r="A1758" s="14">
        <v>3018</v>
      </c>
      <c r="B1758" s="24" t="s">
        <v>3906</v>
      </c>
      <c r="C1758" s="1">
        <v>2171399</v>
      </c>
      <c r="D1758" s="1" t="s">
        <v>25</v>
      </c>
      <c r="E1758" s="36">
        <v>43862</v>
      </c>
      <c r="F1758" s="36">
        <v>43982</v>
      </c>
      <c r="G1758" s="38">
        <f t="shared" si="27"/>
        <v>120</v>
      </c>
      <c r="H1758" s="5">
        <v>43879</v>
      </c>
      <c r="I1758" s="5">
        <v>44139</v>
      </c>
      <c r="J1758" s="1" t="s">
        <v>41</v>
      </c>
      <c r="K1758" s="1" t="s">
        <v>3907</v>
      </c>
      <c r="L1758" s="1" t="s">
        <v>3908</v>
      </c>
      <c r="M1758" s="1" t="s">
        <v>3909</v>
      </c>
      <c r="N1758" s="1" t="s">
        <v>30</v>
      </c>
      <c r="O1758" s="1" t="s">
        <v>1035</v>
      </c>
      <c r="P1758" s="1" t="s">
        <v>71</v>
      </c>
      <c r="Q1758" s="1" t="s">
        <v>56</v>
      </c>
      <c r="R1758" s="1" t="s">
        <v>26</v>
      </c>
      <c r="S1758" s="1"/>
      <c r="T1758" s="1" t="s">
        <v>3910</v>
      </c>
      <c r="U1758" s="1" t="s">
        <v>35</v>
      </c>
      <c r="V1758" s="1" t="s">
        <v>154</v>
      </c>
      <c r="W1758" s="1" t="str">
        <f>VLOOKUP(Table1[[#This Row],[Obergruppe ATC-Code]],Tabelle3!$A$2:$B$100,2)</f>
        <v>ANTINEOPLASTISCHE MITTEL</v>
      </c>
      <c r="X1758" s="1" t="str">
        <f xml:space="preserve"> LEFT(Table1[[#This Row],[Atc Code]],3)</f>
        <v>L01</v>
      </c>
    </row>
    <row r="1759" spans="1:24" ht="14.4">
      <c r="A1759" s="14">
        <v>1708</v>
      </c>
      <c r="B1759" s="24" t="s">
        <v>3911</v>
      </c>
      <c r="C1759" s="1">
        <v>2172253</v>
      </c>
      <c r="D1759" s="1" t="s">
        <v>102</v>
      </c>
      <c r="E1759" s="36">
        <v>43952</v>
      </c>
      <c r="F1759" s="36">
        <v>45230</v>
      </c>
      <c r="G1759" s="38">
        <f t="shared" si="27"/>
        <v>1278</v>
      </c>
      <c r="H1759" s="5">
        <v>43951</v>
      </c>
      <c r="I1759" s="5">
        <v>45099</v>
      </c>
      <c r="J1759" s="1" t="s">
        <v>41</v>
      </c>
      <c r="K1759" s="1" t="s">
        <v>3912</v>
      </c>
      <c r="L1759" s="1" t="s">
        <v>3908</v>
      </c>
      <c r="M1759" s="1" t="s">
        <v>3909</v>
      </c>
      <c r="N1759" s="1" t="s">
        <v>30</v>
      </c>
      <c r="O1759" s="1" t="s">
        <v>783</v>
      </c>
      <c r="P1759" s="1" t="s">
        <v>3827</v>
      </c>
      <c r="Q1759" s="1" t="s">
        <v>3827</v>
      </c>
      <c r="R1759" s="1" t="s">
        <v>26</v>
      </c>
      <c r="S1759" s="1"/>
      <c r="U1759" s="1" t="s">
        <v>57</v>
      </c>
      <c r="V1759" s="1" t="s">
        <v>154</v>
      </c>
      <c r="W1759" s="1" t="str">
        <f>VLOOKUP(Table1[[#This Row],[Obergruppe ATC-Code]],Tabelle3!$A$2:$B$100,2)</f>
        <v>ANTINEOPLASTISCHE MITTEL</v>
      </c>
      <c r="X1759" s="1" t="str">
        <f xml:space="preserve"> LEFT(Table1[[#This Row],[Atc Code]],3)</f>
        <v>L01</v>
      </c>
    </row>
    <row r="1760" spans="1:24" ht="14.4">
      <c r="A1760" s="14">
        <v>2853</v>
      </c>
      <c r="B1760" s="24" t="s">
        <v>3913</v>
      </c>
      <c r="C1760" s="1">
        <v>2715396</v>
      </c>
      <c r="D1760" s="1" t="s">
        <v>25</v>
      </c>
      <c r="E1760" s="36">
        <v>43922</v>
      </c>
      <c r="F1760" s="36">
        <v>44074</v>
      </c>
      <c r="G1760" s="38">
        <f t="shared" si="27"/>
        <v>152</v>
      </c>
      <c r="H1760" s="5">
        <v>43984</v>
      </c>
      <c r="I1760" s="5">
        <v>44077</v>
      </c>
      <c r="J1760" s="1" t="s">
        <v>26</v>
      </c>
      <c r="K1760" s="1" t="s">
        <v>3914</v>
      </c>
      <c r="L1760" s="1" t="s">
        <v>3915</v>
      </c>
      <c r="M1760" s="1" t="s">
        <v>3916</v>
      </c>
      <c r="N1760" s="1" t="s">
        <v>30</v>
      </c>
      <c r="O1760" s="1" t="s">
        <v>3917</v>
      </c>
      <c r="P1760" s="1" t="s">
        <v>3884</v>
      </c>
      <c r="Q1760" s="1" t="s">
        <v>3885</v>
      </c>
      <c r="R1760" s="1" t="s">
        <v>33</v>
      </c>
      <c r="S1760" s="1"/>
      <c r="U1760" s="1" t="s">
        <v>35</v>
      </c>
      <c r="V1760" s="1" t="s">
        <v>3918</v>
      </c>
      <c r="W1760" s="1" t="str">
        <f>VLOOKUP(Table1[[#This Row],[Obergruppe ATC-Code]],Tabelle3!$A$2:$B$100,2)</f>
        <v>ANTINEOPLASTISCHE MITTEL</v>
      </c>
      <c r="X1760" s="1" t="str">
        <f xml:space="preserve"> LEFT(Table1[[#This Row],[Atc Code]],3)</f>
        <v>L01</v>
      </c>
    </row>
    <row r="1761" spans="1:24" ht="14.4">
      <c r="A1761" s="14">
        <v>1554</v>
      </c>
      <c r="B1761" s="24">
        <v>16701070</v>
      </c>
      <c r="C1761" s="1">
        <v>2203524</v>
      </c>
      <c r="D1761" s="1" t="s">
        <v>25</v>
      </c>
      <c r="E1761" s="36">
        <v>44440</v>
      </c>
      <c r="F1761" s="36">
        <v>44512</v>
      </c>
      <c r="G1761" s="38">
        <f t="shared" si="27"/>
        <v>72</v>
      </c>
      <c r="H1761" s="5">
        <v>44442</v>
      </c>
      <c r="I1761" s="5">
        <v>44512</v>
      </c>
      <c r="J1761" s="1" t="s">
        <v>41</v>
      </c>
      <c r="K1761" s="1" t="s">
        <v>3919</v>
      </c>
      <c r="L1761" s="1" t="s">
        <v>3915</v>
      </c>
      <c r="M1761" s="1" t="s">
        <v>3916</v>
      </c>
      <c r="N1761" s="1" t="s">
        <v>38</v>
      </c>
      <c r="O1761" s="1" t="s">
        <v>91</v>
      </c>
      <c r="P1761" s="1" t="s">
        <v>92</v>
      </c>
      <c r="Q1761" s="1" t="s">
        <v>93</v>
      </c>
      <c r="R1761" s="1" t="s">
        <v>128</v>
      </c>
      <c r="S1761" s="1"/>
      <c r="U1761" s="1" t="s">
        <v>130</v>
      </c>
      <c r="V1761" s="1" t="s">
        <v>3918</v>
      </c>
      <c r="W1761" s="1" t="str">
        <f>VLOOKUP(Table1[[#This Row],[Obergruppe ATC-Code]],Tabelle3!$A$2:$B$100,2)</f>
        <v>ANTINEOPLASTISCHE MITTEL</v>
      </c>
      <c r="X1761" s="1" t="str">
        <f xml:space="preserve"> LEFT(Table1[[#This Row],[Atc Code]],3)</f>
        <v>L01</v>
      </c>
    </row>
    <row r="1762" spans="1:24" ht="14.4">
      <c r="A1762" s="14">
        <v>760</v>
      </c>
      <c r="B1762" s="24">
        <v>5505940</v>
      </c>
      <c r="C1762" s="1">
        <v>2171688</v>
      </c>
      <c r="D1762" s="1" t="s">
        <v>175</v>
      </c>
      <c r="E1762" s="36">
        <v>45169</v>
      </c>
      <c r="F1762" s="36">
        <v>45275</v>
      </c>
      <c r="G1762" s="38">
        <f t="shared" si="27"/>
        <v>106</v>
      </c>
      <c r="H1762" s="5">
        <v>45169</v>
      </c>
      <c r="I1762" s="5">
        <v>45169</v>
      </c>
      <c r="J1762" s="1" t="s">
        <v>41</v>
      </c>
      <c r="K1762" s="1" t="s">
        <v>3920</v>
      </c>
      <c r="L1762" s="1" t="s">
        <v>3921</v>
      </c>
      <c r="M1762" s="1" t="s">
        <v>3922</v>
      </c>
      <c r="N1762" s="1" t="s">
        <v>30</v>
      </c>
      <c r="O1762" s="1" t="s">
        <v>1035</v>
      </c>
      <c r="P1762" s="1" t="s">
        <v>3923</v>
      </c>
      <c r="Q1762" s="1" t="s">
        <v>3924</v>
      </c>
      <c r="R1762" s="1" t="s">
        <v>128</v>
      </c>
      <c r="S1762" s="1"/>
      <c r="U1762" s="1" t="s">
        <v>130</v>
      </c>
      <c r="V1762" s="1" t="s">
        <v>74</v>
      </c>
      <c r="W1762" s="1" t="str">
        <f>VLOOKUP(Table1[[#This Row],[Obergruppe ATC-Code]],Tabelle3!$A$2:$B$100,2)</f>
        <v>ANTINEOPLASTISCHE MITTEL</v>
      </c>
      <c r="X1762" s="1" t="str">
        <f xml:space="preserve"> LEFT(Table1[[#This Row],[Atc Code]],3)</f>
        <v>L01</v>
      </c>
    </row>
    <row r="1763" spans="1:24" ht="14.4">
      <c r="A1763" s="14">
        <v>2226</v>
      </c>
      <c r="B1763" s="25" t="s">
        <v>3925</v>
      </c>
      <c r="C1763" s="1">
        <v>2169430</v>
      </c>
      <c r="D1763" s="1" t="s">
        <v>25</v>
      </c>
      <c r="E1763" s="36">
        <v>43647</v>
      </c>
      <c r="F1763" s="36">
        <v>43738</v>
      </c>
      <c r="G1763" s="38">
        <f t="shared" si="27"/>
        <v>91</v>
      </c>
      <c r="H1763" s="5">
        <v>43665</v>
      </c>
      <c r="I1763" s="5">
        <v>43725</v>
      </c>
      <c r="J1763" s="1" t="s">
        <v>41</v>
      </c>
      <c r="K1763" s="1" t="s">
        <v>3926</v>
      </c>
      <c r="L1763" s="1" t="s">
        <v>3927</v>
      </c>
      <c r="M1763" s="1" t="s">
        <v>3928</v>
      </c>
      <c r="N1763" s="1" t="s">
        <v>30</v>
      </c>
      <c r="O1763" s="1" t="s">
        <v>1035</v>
      </c>
      <c r="P1763" s="1" t="s">
        <v>71</v>
      </c>
      <c r="Q1763" s="1" t="s">
        <v>72</v>
      </c>
      <c r="R1763" s="1" t="s">
        <v>26</v>
      </c>
      <c r="S1763" s="1"/>
      <c r="T1763" s="1" t="s">
        <v>3929</v>
      </c>
      <c r="U1763" s="1" t="s">
        <v>35</v>
      </c>
      <c r="V1763" s="1" t="s">
        <v>74</v>
      </c>
      <c r="W1763" s="1" t="str">
        <f>VLOOKUP(Table1[[#This Row],[Obergruppe ATC-Code]],Tabelle3!$A$2:$B$100,2)</f>
        <v>ANTINEOPLASTISCHE MITTEL</v>
      </c>
      <c r="X1763" s="1" t="str">
        <f xml:space="preserve"> LEFT(Table1[[#This Row],[Atc Code]],3)</f>
        <v>L01</v>
      </c>
    </row>
    <row r="1764" spans="1:24" ht="14.4">
      <c r="A1764" s="14">
        <v>866</v>
      </c>
      <c r="B1764" s="25">
        <v>7289676</v>
      </c>
      <c r="C1764" s="1">
        <v>3000427</v>
      </c>
      <c r="D1764" s="1" t="s">
        <v>25</v>
      </c>
      <c r="E1764" s="36">
        <v>43647</v>
      </c>
      <c r="F1764" s="36">
        <v>44012</v>
      </c>
      <c r="G1764" s="38">
        <f t="shared" si="27"/>
        <v>365</v>
      </c>
      <c r="H1764" s="5">
        <v>43672</v>
      </c>
      <c r="I1764" s="5">
        <v>43992</v>
      </c>
      <c r="J1764" s="1" t="s">
        <v>41</v>
      </c>
      <c r="K1764" s="1" t="s">
        <v>3930</v>
      </c>
      <c r="L1764" s="1" t="s">
        <v>3927</v>
      </c>
      <c r="M1764" s="1" t="s">
        <v>3928</v>
      </c>
      <c r="N1764" s="1" t="s">
        <v>30</v>
      </c>
      <c r="O1764" s="1" t="s">
        <v>123</v>
      </c>
      <c r="P1764" s="1" t="s">
        <v>3931</v>
      </c>
      <c r="Q1764" s="1" t="s">
        <v>124</v>
      </c>
      <c r="R1764" s="1" t="s">
        <v>26</v>
      </c>
      <c r="S1764" s="1"/>
      <c r="U1764" s="1" t="s">
        <v>35</v>
      </c>
      <c r="V1764" s="1" t="s">
        <v>74</v>
      </c>
      <c r="W1764" s="1" t="str">
        <f>VLOOKUP(Table1[[#This Row],[Obergruppe ATC-Code]],Tabelle3!$A$2:$B$100,2)</f>
        <v>ANTINEOPLASTISCHE MITTEL</v>
      </c>
      <c r="X1764" s="1" t="str">
        <f xml:space="preserve"> LEFT(Table1[[#This Row],[Atc Code]],3)</f>
        <v>L01</v>
      </c>
    </row>
    <row r="1765" spans="1:24" ht="14.4">
      <c r="A1765" s="14">
        <v>2225</v>
      </c>
      <c r="B1765" s="24" t="s">
        <v>3925</v>
      </c>
      <c r="C1765" s="1">
        <v>2169430</v>
      </c>
      <c r="D1765" s="1" t="s">
        <v>25</v>
      </c>
      <c r="E1765" s="36">
        <v>43891</v>
      </c>
      <c r="F1765" s="36">
        <v>43982</v>
      </c>
      <c r="G1765" s="38">
        <f t="shared" si="27"/>
        <v>91</v>
      </c>
      <c r="H1765" s="5">
        <v>43910</v>
      </c>
      <c r="I1765" s="5">
        <v>44138</v>
      </c>
      <c r="J1765" s="1" t="s">
        <v>41</v>
      </c>
      <c r="K1765" s="1" t="s">
        <v>3926</v>
      </c>
      <c r="L1765" s="1" t="s">
        <v>3927</v>
      </c>
      <c r="M1765" s="1" t="s">
        <v>3928</v>
      </c>
      <c r="N1765" s="1" t="s">
        <v>30</v>
      </c>
      <c r="O1765" s="1" t="s">
        <v>1035</v>
      </c>
      <c r="P1765" s="1" t="s">
        <v>71</v>
      </c>
      <c r="Q1765" s="1" t="s">
        <v>56</v>
      </c>
      <c r="R1765" s="1" t="s">
        <v>26</v>
      </c>
      <c r="S1765" s="1"/>
      <c r="T1765" s="1" t="s">
        <v>3929</v>
      </c>
      <c r="U1765" s="1" t="s">
        <v>35</v>
      </c>
      <c r="V1765" s="1" t="s">
        <v>74</v>
      </c>
      <c r="W1765" s="1" t="str">
        <f>VLOOKUP(Table1[[#This Row],[Obergruppe ATC-Code]],Tabelle3!$A$2:$B$100,2)</f>
        <v>ANTINEOPLASTISCHE MITTEL</v>
      </c>
      <c r="X1765" s="1" t="str">
        <f xml:space="preserve"> LEFT(Table1[[#This Row],[Atc Code]],3)</f>
        <v>L01</v>
      </c>
    </row>
    <row r="1766" spans="1:24" ht="14.4">
      <c r="A1766" s="14">
        <v>2224</v>
      </c>
      <c r="B1766" s="24" t="s">
        <v>3932</v>
      </c>
      <c r="C1766" s="1">
        <v>2169430</v>
      </c>
      <c r="D1766" s="1" t="s">
        <v>25</v>
      </c>
      <c r="E1766" s="36">
        <v>44531</v>
      </c>
      <c r="F1766" s="36">
        <v>44651</v>
      </c>
      <c r="G1766" s="38">
        <f t="shared" si="27"/>
        <v>120</v>
      </c>
      <c r="H1766" s="5">
        <v>44453</v>
      </c>
      <c r="I1766" s="5">
        <v>44665</v>
      </c>
      <c r="J1766" s="1" t="s">
        <v>41</v>
      </c>
      <c r="K1766" s="1" t="s">
        <v>3926</v>
      </c>
      <c r="L1766" s="1" t="s">
        <v>3927</v>
      </c>
      <c r="M1766" s="1" t="s">
        <v>3928</v>
      </c>
      <c r="N1766" s="1" t="s">
        <v>38</v>
      </c>
      <c r="O1766" s="1" t="s">
        <v>1035</v>
      </c>
      <c r="P1766" s="1" t="s">
        <v>71</v>
      </c>
      <c r="Q1766" s="1" t="s">
        <v>56</v>
      </c>
      <c r="R1766" s="1" t="s">
        <v>128</v>
      </c>
      <c r="S1766" s="1"/>
      <c r="U1766" s="1" t="s">
        <v>57</v>
      </c>
      <c r="V1766" s="1" t="s">
        <v>74</v>
      </c>
      <c r="W1766" s="1" t="str">
        <f>VLOOKUP(Table1[[#This Row],[Obergruppe ATC-Code]],Tabelle3!$A$2:$B$100,2)</f>
        <v>ANTINEOPLASTISCHE MITTEL</v>
      </c>
      <c r="X1766" s="1" t="str">
        <f xml:space="preserve"> LEFT(Table1[[#This Row],[Atc Code]],3)</f>
        <v>L01</v>
      </c>
    </row>
    <row r="1767" spans="1:24" ht="14.4">
      <c r="A1767" s="14">
        <v>1016</v>
      </c>
      <c r="B1767" s="24">
        <v>8754862</v>
      </c>
      <c r="C1767" s="1">
        <v>2101926</v>
      </c>
      <c r="D1767" s="1" t="s">
        <v>175</v>
      </c>
      <c r="E1767" s="36">
        <v>45222</v>
      </c>
      <c r="F1767" s="36">
        <v>45265</v>
      </c>
      <c r="G1767" s="38">
        <f t="shared" si="27"/>
        <v>43</v>
      </c>
      <c r="H1767" s="5">
        <v>45217</v>
      </c>
      <c r="I1767" s="5">
        <v>45217</v>
      </c>
      <c r="J1767" s="1" t="s">
        <v>41</v>
      </c>
      <c r="K1767" s="1" t="s">
        <v>3933</v>
      </c>
      <c r="L1767" s="1" t="s">
        <v>3934</v>
      </c>
      <c r="M1767" s="1" t="s">
        <v>3935</v>
      </c>
      <c r="N1767" s="1" t="s">
        <v>38</v>
      </c>
      <c r="O1767" s="1" t="s">
        <v>123</v>
      </c>
      <c r="P1767" s="1">
        <v>4961016032416</v>
      </c>
      <c r="Q1767" s="1" t="s">
        <v>127</v>
      </c>
      <c r="R1767" s="1" t="s">
        <v>128</v>
      </c>
      <c r="S1767" s="1" t="s">
        <v>3936</v>
      </c>
      <c r="U1767" s="1" t="s">
        <v>130</v>
      </c>
      <c r="V1767" s="1" t="s">
        <v>1009</v>
      </c>
      <c r="W1767" s="1" t="str">
        <f>VLOOKUP(Table1[[#This Row],[Obergruppe ATC-Code]],Tabelle3!$A$2:$B$100,2)</f>
        <v>ANTINEOPLASTISCHE MITTEL</v>
      </c>
      <c r="X1767" s="1" t="str">
        <f xml:space="preserve"> LEFT(Table1[[#This Row],[Atc Code]],3)</f>
        <v>L01</v>
      </c>
    </row>
    <row r="1768" spans="1:24" ht="14.4">
      <c r="A1768" s="14">
        <v>864</v>
      </c>
      <c r="B1768" s="24">
        <v>7283610</v>
      </c>
      <c r="C1768" s="1">
        <v>2133073</v>
      </c>
      <c r="D1768" s="1" t="s">
        <v>25</v>
      </c>
      <c r="E1768" s="36">
        <v>44197</v>
      </c>
      <c r="F1768" s="36">
        <v>44316</v>
      </c>
      <c r="G1768" s="38">
        <f t="shared" si="27"/>
        <v>119</v>
      </c>
      <c r="H1768" s="5">
        <v>44225</v>
      </c>
      <c r="I1768" s="5">
        <v>44244</v>
      </c>
      <c r="J1768" s="1" t="s">
        <v>41</v>
      </c>
      <c r="K1768" s="1" t="s">
        <v>3937</v>
      </c>
      <c r="L1768" s="1" t="s">
        <v>3938</v>
      </c>
      <c r="M1768" s="1" t="s">
        <v>3939</v>
      </c>
      <c r="N1768" s="1" t="s">
        <v>30</v>
      </c>
      <c r="O1768" s="1" t="s">
        <v>3940</v>
      </c>
      <c r="P1768" s="1" t="s">
        <v>3941</v>
      </c>
      <c r="Q1768" s="1" t="s">
        <v>1987</v>
      </c>
      <c r="R1768" s="1" t="s">
        <v>48</v>
      </c>
      <c r="S1768" s="1"/>
      <c r="U1768" s="1" t="s">
        <v>35</v>
      </c>
      <c r="V1768" s="1" t="s">
        <v>279</v>
      </c>
      <c r="W1768" s="1" t="str">
        <f>VLOOKUP(Table1[[#This Row],[Obergruppe ATC-Code]],Tabelle3!$A$2:$B$100,2)</f>
        <v>ANTINEOPLASTISCHE MITTEL</v>
      </c>
      <c r="X1768" s="1" t="str">
        <f xml:space="preserve"> LEFT(Table1[[#This Row],[Atc Code]],3)</f>
        <v>L01</v>
      </c>
    </row>
    <row r="1769" spans="1:24" ht="14.4">
      <c r="A1769" s="14">
        <v>3023</v>
      </c>
      <c r="B1769" s="4" t="s">
        <v>3942</v>
      </c>
      <c r="C1769" s="1">
        <v>2187139</v>
      </c>
      <c r="D1769" s="1" t="s">
        <v>25</v>
      </c>
      <c r="E1769" s="36">
        <v>44228</v>
      </c>
      <c r="F1769" s="36">
        <v>44316</v>
      </c>
      <c r="G1769" s="38">
        <f t="shared" si="27"/>
        <v>88</v>
      </c>
      <c r="H1769" s="5">
        <v>44224</v>
      </c>
      <c r="I1769" s="5">
        <v>44334</v>
      </c>
      <c r="J1769" s="1" t="s">
        <v>41</v>
      </c>
      <c r="K1769" s="1" t="s">
        <v>3943</v>
      </c>
      <c r="L1769" s="1" t="s">
        <v>3938</v>
      </c>
      <c r="M1769" s="1" t="s">
        <v>3939</v>
      </c>
      <c r="N1769" s="1" t="s">
        <v>30</v>
      </c>
      <c r="O1769" s="1" t="s">
        <v>3944</v>
      </c>
      <c r="P1769" s="1" t="s">
        <v>3945</v>
      </c>
      <c r="Q1769" s="1" t="s">
        <v>3946</v>
      </c>
      <c r="R1769" s="1" t="s">
        <v>26</v>
      </c>
      <c r="S1769" s="1"/>
      <c r="U1769" s="1" t="s">
        <v>35</v>
      </c>
      <c r="V1769" s="1" t="s">
        <v>279</v>
      </c>
      <c r="W1769" s="1" t="str">
        <f>VLOOKUP(Table1[[#This Row],[Obergruppe ATC-Code]],Tabelle3!$A$2:$B$100,2)</f>
        <v>ANTINEOPLASTISCHE MITTEL</v>
      </c>
      <c r="X1769" s="1" t="str">
        <f xml:space="preserve"> LEFT(Table1[[#This Row],[Atc Code]],3)</f>
        <v>L01</v>
      </c>
    </row>
    <row r="1770" spans="1:24" ht="14.4">
      <c r="A1770" s="14">
        <v>2568</v>
      </c>
      <c r="B1770" s="24" t="s">
        <v>3947</v>
      </c>
      <c r="C1770" s="1">
        <v>2169098</v>
      </c>
      <c r="D1770" s="1" t="s">
        <v>25</v>
      </c>
      <c r="E1770" s="36">
        <v>43891</v>
      </c>
      <c r="F1770" s="36">
        <v>44427</v>
      </c>
      <c r="G1770" s="38">
        <f t="shared" si="27"/>
        <v>536</v>
      </c>
      <c r="H1770" s="5">
        <v>43907</v>
      </c>
      <c r="I1770" s="5">
        <v>44427</v>
      </c>
      <c r="J1770" s="1" t="s">
        <v>41</v>
      </c>
      <c r="K1770" s="1" t="s">
        <v>3948</v>
      </c>
      <c r="L1770" s="1" t="s">
        <v>3938</v>
      </c>
      <c r="M1770" s="1" t="s">
        <v>3939</v>
      </c>
      <c r="N1770" s="1" t="s">
        <v>30</v>
      </c>
      <c r="O1770" s="1" t="s">
        <v>1284</v>
      </c>
      <c r="P1770" s="1">
        <v>895589090</v>
      </c>
      <c r="Q1770" s="1" t="s">
        <v>1286</v>
      </c>
      <c r="R1770" s="1" t="s">
        <v>48</v>
      </c>
      <c r="S1770" s="1"/>
      <c r="U1770" s="1" t="s">
        <v>35</v>
      </c>
      <c r="V1770" s="1" t="s">
        <v>279</v>
      </c>
      <c r="W1770" s="1" t="str">
        <f>VLOOKUP(Table1[[#This Row],[Obergruppe ATC-Code]],Tabelle3!$A$2:$B$100,2)</f>
        <v>ANTINEOPLASTISCHE MITTEL</v>
      </c>
      <c r="X1770" s="1" t="str">
        <f xml:space="preserve"> LEFT(Table1[[#This Row],[Atc Code]],3)</f>
        <v>L01</v>
      </c>
    </row>
    <row r="1771" spans="1:24" ht="14.4">
      <c r="A1771" s="14">
        <v>811</v>
      </c>
      <c r="B1771" s="24">
        <v>6718000</v>
      </c>
      <c r="C1771" s="1">
        <v>2150136</v>
      </c>
      <c r="D1771" s="1" t="s">
        <v>25</v>
      </c>
      <c r="E1771" s="36">
        <v>44417</v>
      </c>
      <c r="F1771" s="36">
        <v>44488</v>
      </c>
      <c r="G1771" s="38">
        <f t="shared" si="27"/>
        <v>71</v>
      </c>
      <c r="H1771" s="5">
        <v>44411</v>
      </c>
      <c r="I1771" s="5">
        <v>44488</v>
      </c>
      <c r="J1771" s="1" t="s">
        <v>41</v>
      </c>
      <c r="K1771" s="1" t="s">
        <v>3949</v>
      </c>
      <c r="L1771" s="1" t="s">
        <v>3938</v>
      </c>
      <c r="M1771" s="1" t="s">
        <v>3939</v>
      </c>
      <c r="N1771" s="1" t="s">
        <v>38</v>
      </c>
      <c r="O1771" s="1" t="s">
        <v>3940</v>
      </c>
      <c r="P1771" s="1" t="s">
        <v>3950</v>
      </c>
      <c r="Q1771" s="1" t="s">
        <v>1987</v>
      </c>
      <c r="R1771" s="1" t="s">
        <v>128</v>
      </c>
      <c r="S1771" s="1"/>
      <c r="T1771" s="1" t="s">
        <v>3951</v>
      </c>
      <c r="U1771" s="1" t="s">
        <v>35</v>
      </c>
      <c r="V1771" s="1" t="s">
        <v>604</v>
      </c>
      <c r="W1771" s="1" t="str">
        <f>VLOOKUP(Table1[[#This Row],[Obergruppe ATC-Code]],Tabelle3!$A$2:$B$100,2)</f>
        <v>ANTINEOPLASTISCHE MITTEL</v>
      </c>
      <c r="X1771" s="1" t="str">
        <f xml:space="preserve"> LEFT(Table1[[#This Row],[Atc Code]],3)</f>
        <v>L01</v>
      </c>
    </row>
    <row r="1772" spans="1:24" ht="14.4">
      <c r="A1772" s="14">
        <v>2314</v>
      </c>
      <c r="B1772" s="24" t="s">
        <v>3952</v>
      </c>
      <c r="C1772" s="1">
        <v>2169099</v>
      </c>
      <c r="D1772" s="1" t="s">
        <v>25</v>
      </c>
      <c r="E1772" s="36">
        <v>44197</v>
      </c>
      <c r="F1772" s="36">
        <v>44523</v>
      </c>
      <c r="G1772" s="38">
        <f t="shared" si="27"/>
        <v>326</v>
      </c>
      <c r="H1772" s="5">
        <v>44211</v>
      </c>
      <c r="I1772" s="5">
        <v>44596</v>
      </c>
      <c r="J1772" s="1" t="s">
        <v>41</v>
      </c>
      <c r="K1772" s="1" t="s">
        <v>3953</v>
      </c>
      <c r="L1772" s="1" t="s">
        <v>3938</v>
      </c>
      <c r="M1772" s="1" t="s">
        <v>3939</v>
      </c>
      <c r="N1772" s="1" t="s">
        <v>30</v>
      </c>
      <c r="O1772" s="1" t="s">
        <v>339</v>
      </c>
      <c r="P1772" s="1" t="s">
        <v>3954</v>
      </c>
      <c r="Q1772" s="1" t="s">
        <v>341</v>
      </c>
      <c r="R1772" s="1" t="s">
        <v>26</v>
      </c>
      <c r="S1772" s="1"/>
      <c r="U1772" s="1" t="s">
        <v>35</v>
      </c>
      <c r="V1772" s="1" t="s">
        <v>279</v>
      </c>
      <c r="W1772" s="1" t="str">
        <f>VLOOKUP(Table1[[#This Row],[Obergruppe ATC-Code]],Tabelle3!$A$2:$B$100,2)</f>
        <v>ANTINEOPLASTISCHE MITTEL</v>
      </c>
      <c r="X1772" s="1" t="str">
        <f xml:space="preserve"> LEFT(Table1[[#This Row],[Atc Code]],3)</f>
        <v>L01</v>
      </c>
    </row>
    <row r="1773" spans="1:24" ht="14.4">
      <c r="A1773" s="14">
        <v>2737</v>
      </c>
      <c r="B1773" s="24" t="s">
        <v>3955</v>
      </c>
      <c r="C1773" s="1">
        <v>2195128</v>
      </c>
      <c r="D1773" s="1" t="s">
        <v>25</v>
      </c>
      <c r="E1773" s="36">
        <v>44136</v>
      </c>
      <c r="F1773" s="36">
        <v>44603</v>
      </c>
      <c r="G1773" s="38">
        <f t="shared" si="27"/>
        <v>467</v>
      </c>
      <c r="H1773" s="5">
        <v>44221</v>
      </c>
      <c r="I1773" s="5">
        <v>44606</v>
      </c>
      <c r="J1773" s="1" t="s">
        <v>26</v>
      </c>
      <c r="K1773" s="1" t="s">
        <v>3956</v>
      </c>
      <c r="L1773" s="1" t="s">
        <v>3938</v>
      </c>
      <c r="M1773" s="1" t="s">
        <v>3939</v>
      </c>
      <c r="N1773" s="1" t="s">
        <v>30</v>
      </c>
      <c r="O1773" s="1" t="s">
        <v>3883</v>
      </c>
      <c r="P1773" s="1" t="s">
        <v>3884</v>
      </c>
      <c r="Q1773" s="1" t="s">
        <v>3885</v>
      </c>
      <c r="R1773" s="1" t="s">
        <v>33</v>
      </c>
      <c r="S1773" s="1"/>
      <c r="U1773" s="1" t="s">
        <v>35</v>
      </c>
      <c r="V1773" s="1" t="s">
        <v>279</v>
      </c>
      <c r="W1773" s="1" t="str">
        <f>VLOOKUP(Table1[[#This Row],[Obergruppe ATC-Code]],Tabelle3!$A$2:$B$100,2)</f>
        <v>ANTINEOPLASTISCHE MITTEL</v>
      </c>
      <c r="X1773" s="1" t="str">
        <f xml:space="preserve"> LEFT(Table1[[#This Row],[Atc Code]],3)</f>
        <v>L01</v>
      </c>
    </row>
    <row r="1774" spans="1:24" ht="14.4">
      <c r="A1774" s="14">
        <v>3116</v>
      </c>
      <c r="B1774" s="3" t="s">
        <v>3957</v>
      </c>
      <c r="C1774" s="1">
        <v>2166053</v>
      </c>
      <c r="D1774" s="1" t="s">
        <v>25</v>
      </c>
      <c r="E1774" s="36">
        <v>44378</v>
      </c>
      <c r="F1774" s="36">
        <v>44620</v>
      </c>
      <c r="G1774" s="38">
        <f t="shared" si="27"/>
        <v>242</v>
      </c>
      <c r="H1774" s="5">
        <v>44277</v>
      </c>
      <c r="I1774" s="5">
        <v>44620</v>
      </c>
      <c r="J1774" s="1" t="s">
        <v>41</v>
      </c>
      <c r="K1774" s="1" t="s">
        <v>3958</v>
      </c>
      <c r="L1774" s="1" t="s">
        <v>3938</v>
      </c>
      <c r="M1774" s="1" t="s">
        <v>3939</v>
      </c>
      <c r="N1774" s="1" t="s">
        <v>38</v>
      </c>
      <c r="O1774" s="1" t="s">
        <v>91</v>
      </c>
      <c r="P1774" s="1" t="s">
        <v>92</v>
      </c>
      <c r="Q1774" s="1" t="s">
        <v>93</v>
      </c>
      <c r="R1774" s="1" t="s">
        <v>26</v>
      </c>
      <c r="S1774" s="1"/>
      <c r="U1774" s="1" t="s">
        <v>35</v>
      </c>
      <c r="V1774" s="1" t="s">
        <v>279</v>
      </c>
      <c r="W1774" s="1" t="str">
        <f>VLOOKUP(Table1[[#This Row],[Obergruppe ATC-Code]],Tabelle3!$A$2:$B$100,2)</f>
        <v>ANTINEOPLASTISCHE MITTEL</v>
      </c>
      <c r="X1774" s="1" t="str">
        <f xml:space="preserve"> LEFT(Table1[[#This Row],[Atc Code]],3)</f>
        <v>L01</v>
      </c>
    </row>
    <row r="1775" spans="1:24" ht="14.4">
      <c r="A1775" s="14">
        <v>2149</v>
      </c>
      <c r="B1775" s="24" t="s">
        <v>3959</v>
      </c>
      <c r="C1775" s="1">
        <v>2162819</v>
      </c>
      <c r="D1775" s="1" t="s">
        <v>25</v>
      </c>
      <c r="E1775" s="36">
        <v>44228</v>
      </c>
      <c r="F1775" s="36">
        <v>44684</v>
      </c>
      <c r="G1775" s="38">
        <f t="shared" si="27"/>
        <v>456</v>
      </c>
      <c r="H1775" s="5">
        <v>44224</v>
      </c>
      <c r="I1775" s="5">
        <v>44684</v>
      </c>
      <c r="J1775" s="1" t="s">
        <v>41</v>
      </c>
      <c r="K1775" s="1" t="s">
        <v>3960</v>
      </c>
      <c r="L1775" s="1" t="s">
        <v>3938</v>
      </c>
      <c r="M1775" s="1" t="s">
        <v>3939</v>
      </c>
      <c r="N1775" s="1" t="s">
        <v>30</v>
      </c>
      <c r="O1775" s="1" t="s">
        <v>783</v>
      </c>
      <c r="P1775" s="1" t="s">
        <v>3827</v>
      </c>
      <c r="Q1775" s="1" t="s">
        <v>3827</v>
      </c>
      <c r="R1775" s="1" t="s">
        <v>26</v>
      </c>
      <c r="S1775" s="1"/>
      <c r="U1775" s="1" t="s">
        <v>35</v>
      </c>
      <c r="V1775" s="1" t="s">
        <v>279</v>
      </c>
      <c r="W1775" s="1" t="str">
        <f>VLOOKUP(Table1[[#This Row],[Obergruppe ATC-Code]],Tabelle3!$A$2:$B$100,2)</f>
        <v>ANTINEOPLASTISCHE MITTEL</v>
      </c>
      <c r="X1775" s="1" t="str">
        <f xml:space="preserve"> LEFT(Table1[[#This Row],[Atc Code]],3)</f>
        <v>L01</v>
      </c>
    </row>
    <row r="1776" spans="1:24" ht="14.4">
      <c r="A1776" s="14">
        <v>1682</v>
      </c>
      <c r="B1776" s="24" t="s">
        <v>3961</v>
      </c>
      <c r="C1776" s="1">
        <v>2150133</v>
      </c>
      <c r="D1776" s="1" t="s">
        <v>25</v>
      </c>
      <c r="E1776" s="36">
        <v>44616</v>
      </c>
      <c r="F1776" s="36">
        <v>44687</v>
      </c>
      <c r="G1776" s="38">
        <f t="shared" si="27"/>
        <v>71</v>
      </c>
      <c r="H1776" s="5">
        <v>44616</v>
      </c>
      <c r="I1776" s="5">
        <v>44684</v>
      </c>
      <c r="J1776" s="1" t="s">
        <v>26</v>
      </c>
      <c r="K1776" s="1" t="s">
        <v>3962</v>
      </c>
      <c r="L1776" s="1" t="s">
        <v>3938</v>
      </c>
      <c r="M1776" s="1" t="s">
        <v>3939</v>
      </c>
      <c r="N1776" s="1" t="s">
        <v>38</v>
      </c>
      <c r="O1776" s="1" t="s">
        <v>3940</v>
      </c>
      <c r="P1776" s="1" t="s">
        <v>3963</v>
      </c>
      <c r="Q1776" s="1" t="s">
        <v>1987</v>
      </c>
      <c r="R1776" s="1" t="s">
        <v>33</v>
      </c>
      <c r="S1776" s="1"/>
      <c r="U1776" s="1" t="s">
        <v>35</v>
      </c>
      <c r="V1776" s="1" t="s">
        <v>604</v>
      </c>
      <c r="W1776" s="1" t="str">
        <f>VLOOKUP(Table1[[#This Row],[Obergruppe ATC-Code]],Tabelle3!$A$2:$B$100,2)</f>
        <v>ANTINEOPLASTISCHE MITTEL</v>
      </c>
      <c r="X1776" s="1" t="str">
        <f xml:space="preserve"> LEFT(Table1[[#This Row],[Atc Code]],3)</f>
        <v>L01</v>
      </c>
    </row>
    <row r="1777" spans="1:24" ht="14.4">
      <c r="A1777" s="14">
        <v>122</v>
      </c>
      <c r="B1777" s="24">
        <v>680756</v>
      </c>
      <c r="C1777" s="1">
        <v>2150134</v>
      </c>
      <c r="D1777" s="1" t="s">
        <v>25</v>
      </c>
      <c r="E1777" s="36">
        <v>44544</v>
      </c>
      <c r="F1777" s="36">
        <v>44687</v>
      </c>
      <c r="G1777" s="38">
        <f t="shared" si="27"/>
        <v>143</v>
      </c>
      <c r="H1777" s="5">
        <v>44589</v>
      </c>
      <c r="I1777" s="5">
        <v>44684</v>
      </c>
      <c r="J1777" s="1" t="s">
        <v>41</v>
      </c>
      <c r="K1777" s="1" t="s">
        <v>3964</v>
      </c>
      <c r="L1777" s="1" t="s">
        <v>3938</v>
      </c>
      <c r="M1777" s="1" t="s">
        <v>3939</v>
      </c>
      <c r="N1777" s="1" t="s">
        <v>38</v>
      </c>
      <c r="O1777" s="1" t="s">
        <v>3940</v>
      </c>
      <c r="P1777" s="1" t="s">
        <v>3950</v>
      </c>
      <c r="Q1777" s="1" t="s">
        <v>1987</v>
      </c>
      <c r="R1777" s="1" t="s">
        <v>128</v>
      </c>
      <c r="S1777" s="1"/>
      <c r="U1777" s="1" t="s">
        <v>35</v>
      </c>
      <c r="V1777" s="1" t="s">
        <v>604</v>
      </c>
      <c r="W1777" s="1" t="str">
        <f>VLOOKUP(Table1[[#This Row],[Obergruppe ATC-Code]],Tabelle3!$A$2:$B$100,2)</f>
        <v>ANTINEOPLASTISCHE MITTEL</v>
      </c>
      <c r="X1777" s="1" t="str">
        <f xml:space="preserve"> LEFT(Table1[[#This Row],[Atc Code]],3)</f>
        <v>L01</v>
      </c>
    </row>
    <row r="1778" spans="1:24" ht="14.4">
      <c r="A1778" s="14">
        <v>33</v>
      </c>
      <c r="B1778" s="24">
        <v>193269</v>
      </c>
      <c r="C1778" s="1">
        <v>2150134</v>
      </c>
      <c r="D1778" s="1" t="s">
        <v>25</v>
      </c>
      <c r="E1778" s="36">
        <v>44616</v>
      </c>
      <c r="F1778" s="36">
        <v>44687</v>
      </c>
      <c r="G1778" s="38">
        <f t="shared" si="27"/>
        <v>71</v>
      </c>
      <c r="H1778" s="5">
        <v>44616</v>
      </c>
      <c r="I1778" s="5">
        <v>44684</v>
      </c>
      <c r="J1778" s="1" t="s">
        <v>41</v>
      </c>
      <c r="K1778" s="1" t="s">
        <v>3964</v>
      </c>
      <c r="L1778" s="1" t="s">
        <v>3938</v>
      </c>
      <c r="M1778" s="1" t="s">
        <v>3939</v>
      </c>
      <c r="N1778" s="1" t="s">
        <v>38</v>
      </c>
      <c r="O1778" s="1" t="s">
        <v>3940</v>
      </c>
      <c r="P1778" s="1">
        <v>76145261230</v>
      </c>
      <c r="Q1778" s="1" t="s">
        <v>1987</v>
      </c>
      <c r="R1778" s="1" t="s">
        <v>128</v>
      </c>
      <c r="S1778" s="1"/>
      <c r="U1778" s="1" t="s">
        <v>35</v>
      </c>
      <c r="V1778" s="1" t="s">
        <v>604</v>
      </c>
      <c r="W1778" s="1" t="str">
        <f>VLOOKUP(Table1[[#This Row],[Obergruppe ATC-Code]],Tabelle3!$A$2:$B$100,2)</f>
        <v>ANTINEOPLASTISCHE MITTEL</v>
      </c>
      <c r="X1778" s="1" t="str">
        <f xml:space="preserve"> LEFT(Table1[[#This Row],[Atc Code]],3)</f>
        <v>L01</v>
      </c>
    </row>
    <row r="1779" spans="1:24" ht="14.4">
      <c r="A1779" s="14">
        <v>865</v>
      </c>
      <c r="B1779" s="24">
        <v>7283610</v>
      </c>
      <c r="C1779" s="1">
        <v>2133073</v>
      </c>
      <c r="D1779" s="1" t="s">
        <v>25</v>
      </c>
      <c r="E1779" s="36">
        <v>44494</v>
      </c>
      <c r="F1779" s="36">
        <v>44687</v>
      </c>
      <c r="G1779" s="38">
        <f t="shared" si="27"/>
        <v>193</v>
      </c>
      <c r="H1779" s="5">
        <v>44494</v>
      </c>
      <c r="I1779" s="5">
        <v>44687</v>
      </c>
      <c r="J1779" s="1" t="s">
        <v>41</v>
      </c>
      <c r="K1779" s="1" t="s">
        <v>3937</v>
      </c>
      <c r="L1779" s="1" t="s">
        <v>3938</v>
      </c>
      <c r="M1779" s="1" t="s">
        <v>3939</v>
      </c>
      <c r="N1779" s="1" t="s">
        <v>30</v>
      </c>
      <c r="O1779" s="1" t="s">
        <v>3940</v>
      </c>
      <c r="P1779" s="1" t="s">
        <v>3950</v>
      </c>
      <c r="Q1779" s="1" t="s">
        <v>1987</v>
      </c>
      <c r="R1779" s="1" t="s">
        <v>128</v>
      </c>
      <c r="S1779" s="1"/>
      <c r="U1779" s="1" t="s">
        <v>35</v>
      </c>
      <c r="V1779" s="1" t="s">
        <v>279</v>
      </c>
      <c r="W1779" s="1" t="str">
        <f>VLOOKUP(Table1[[#This Row],[Obergruppe ATC-Code]],Tabelle3!$A$2:$B$100,2)</f>
        <v>ANTINEOPLASTISCHE MITTEL</v>
      </c>
      <c r="X1779" s="1" t="str">
        <f xml:space="preserve"> LEFT(Table1[[#This Row],[Atc Code]],3)</f>
        <v>L01</v>
      </c>
    </row>
    <row r="1780" spans="1:24" ht="14.4">
      <c r="A1780" s="14">
        <v>871</v>
      </c>
      <c r="B1780" s="24">
        <v>7380448</v>
      </c>
      <c r="C1780" s="1">
        <v>2133073</v>
      </c>
      <c r="D1780" s="1" t="s">
        <v>25</v>
      </c>
      <c r="E1780" s="36">
        <v>44502</v>
      </c>
      <c r="F1780" s="36">
        <v>44719</v>
      </c>
      <c r="G1780" s="38">
        <f t="shared" si="27"/>
        <v>217</v>
      </c>
      <c r="H1780" s="5">
        <v>44502</v>
      </c>
      <c r="I1780" s="5">
        <v>44719</v>
      </c>
      <c r="J1780" s="1" t="s">
        <v>41</v>
      </c>
      <c r="K1780" s="1" t="s">
        <v>3937</v>
      </c>
      <c r="L1780" s="1" t="s">
        <v>3938</v>
      </c>
      <c r="M1780" s="1" t="s">
        <v>3939</v>
      </c>
      <c r="N1780" s="1" t="s">
        <v>30</v>
      </c>
      <c r="O1780" s="1" t="s">
        <v>3940</v>
      </c>
      <c r="P1780" s="1" t="s">
        <v>3950</v>
      </c>
      <c r="Q1780" s="1" t="s">
        <v>1987</v>
      </c>
      <c r="R1780" s="1" t="s">
        <v>128</v>
      </c>
      <c r="S1780" s="1"/>
      <c r="U1780" s="1" t="s">
        <v>35</v>
      </c>
      <c r="V1780" s="1" t="s">
        <v>279</v>
      </c>
      <c r="W1780" s="1" t="str">
        <f>VLOOKUP(Table1[[#This Row],[Obergruppe ATC-Code]],Tabelle3!$A$2:$B$100,2)</f>
        <v>ANTINEOPLASTISCHE MITTEL</v>
      </c>
      <c r="X1780" s="1" t="str">
        <f xml:space="preserve"> LEFT(Table1[[#This Row],[Atc Code]],3)</f>
        <v>L01</v>
      </c>
    </row>
    <row r="1781" spans="1:24" ht="14.4">
      <c r="A1781" s="14">
        <v>1490</v>
      </c>
      <c r="B1781" s="24">
        <v>15416249</v>
      </c>
      <c r="C1781" s="1">
        <v>2201202</v>
      </c>
      <c r="D1781" s="1" t="s">
        <v>25</v>
      </c>
      <c r="E1781" s="36">
        <v>44378</v>
      </c>
      <c r="F1781" s="36">
        <v>44732</v>
      </c>
      <c r="G1781" s="38">
        <f t="shared" si="27"/>
        <v>354</v>
      </c>
      <c r="H1781" s="5">
        <v>44277</v>
      </c>
      <c r="I1781" s="5">
        <v>44739</v>
      </c>
      <c r="J1781" s="1" t="s">
        <v>26</v>
      </c>
      <c r="K1781" s="1" t="s">
        <v>3965</v>
      </c>
      <c r="L1781" s="1" t="s">
        <v>3938</v>
      </c>
      <c r="M1781" s="1" t="s">
        <v>3939</v>
      </c>
      <c r="N1781" s="1" t="s">
        <v>38</v>
      </c>
      <c r="O1781" s="1" t="s">
        <v>91</v>
      </c>
      <c r="P1781" s="1" t="s">
        <v>92</v>
      </c>
      <c r="Q1781" s="1" t="s">
        <v>93</v>
      </c>
      <c r="R1781" s="1" t="s">
        <v>26</v>
      </c>
      <c r="S1781" s="1"/>
      <c r="U1781" s="1" t="s">
        <v>35</v>
      </c>
      <c r="V1781" s="1" t="s">
        <v>604</v>
      </c>
      <c r="W1781" s="1" t="str">
        <f>VLOOKUP(Table1[[#This Row],[Obergruppe ATC-Code]],Tabelle3!$A$2:$B$100,2)</f>
        <v>ANTINEOPLASTISCHE MITTEL</v>
      </c>
      <c r="X1781" s="1" t="str">
        <f xml:space="preserve"> LEFT(Table1[[#This Row],[Atc Code]],3)</f>
        <v>L01</v>
      </c>
    </row>
    <row r="1782" spans="1:24" ht="14.4">
      <c r="A1782" s="14">
        <v>812</v>
      </c>
      <c r="B1782" s="24">
        <v>6718000</v>
      </c>
      <c r="C1782" s="1">
        <v>2150136</v>
      </c>
      <c r="D1782" s="1" t="s">
        <v>25</v>
      </c>
      <c r="E1782" s="36">
        <v>44544</v>
      </c>
      <c r="F1782" s="36">
        <v>44819</v>
      </c>
      <c r="G1782" s="38">
        <f t="shared" si="27"/>
        <v>275</v>
      </c>
      <c r="H1782" s="5">
        <v>44589</v>
      </c>
      <c r="I1782" s="5">
        <v>44819</v>
      </c>
      <c r="J1782" s="1" t="s">
        <v>41</v>
      </c>
      <c r="K1782" s="1" t="s">
        <v>3949</v>
      </c>
      <c r="L1782" s="1" t="s">
        <v>3938</v>
      </c>
      <c r="M1782" s="1" t="s">
        <v>3939</v>
      </c>
      <c r="N1782" s="1" t="s">
        <v>38</v>
      </c>
      <c r="O1782" s="1" t="s">
        <v>3940</v>
      </c>
      <c r="P1782" s="1" t="s">
        <v>3950</v>
      </c>
      <c r="Q1782" s="1" t="s">
        <v>1987</v>
      </c>
      <c r="R1782" s="1" t="s">
        <v>128</v>
      </c>
      <c r="S1782" s="1"/>
      <c r="U1782" s="1" t="s">
        <v>35</v>
      </c>
      <c r="V1782" s="1" t="s">
        <v>604</v>
      </c>
      <c r="W1782" s="1" t="str">
        <f>VLOOKUP(Table1[[#This Row],[Obergruppe ATC-Code]],Tabelle3!$A$2:$B$100,2)</f>
        <v>ANTINEOPLASTISCHE MITTEL</v>
      </c>
      <c r="X1782" s="1" t="str">
        <f xml:space="preserve"> LEFT(Table1[[#This Row],[Atc Code]],3)</f>
        <v>L01</v>
      </c>
    </row>
    <row r="1783" spans="1:24" ht="14.4">
      <c r="A1783" s="14">
        <v>1681</v>
      </c>
      <c r="B1783" s="24" t="s">
        <v>3961</v>
      </c>
      <c r="C1783" s="1">
        <v>2150133</v>
      </c>
      <c r="D1783" s="1" t="s">
        <v>25</v>
      </c>
      <c r="E1783" s="36">
        <v>44753</v>
      </c>
      <c r="F1783" s="36">
        <v>44935</v>
      </c>
      <c r="G1783" s="38">
        <f t="shared" si="27"/>
        <v>182</v>
      </c>
      <c r="H1783" s="5">
        <v>44753</v>
      </c>
      <c r="I1783" s="5">
        <v>44935</v>
      </c>
      <c r="J1783" s="1" t="s">
        <v>41</v>
      </c>
      <c r="K1783" s="1" t="s">
        <v>3962</v>
      </c>
      <c r="L1783" s="1" t="s">
        <v>3938</v>
      </c>
      <c r="M1783" s="1" t="s">
        <v>3939</v>
      </c>
      <c r="N1783" s="1" t="s">
        <v>38</v>
      </c>
      <c r="O1783" s="1" t="s">
        <v>3940</v>
      </c>
      <c r="P1783" s="1">
        <v>76145261230</v>
      </c>
      <c r="Q1783" s="1" t="s">
        <v>1987</v>
      </c>
      <c r="R1783" s="1" t="s">
        <v>128</v>
      </c>
      <c r="S1783" s="1"/>
      <c r="U1783" s="1" t="s">
        <v>35</v>
      </c>
      <c r="V1783" s="1" t="s">
        <v>604</v>
      </c>
      <c r="W1783" s="1" t="str">
        <f>VLOOKUP(Table1[[#This Row],[Obergruppe ATC-Code]],Tabelle3!$A$2:$B$100,2)</f>
        <v>ANTINEOPLASTISCHE MITTEL</v>
      </c>
      <c r="X1783" s="1" t="str">
        <f xml:space="preserve"> LEFT(Table1[[#This Row],[Atc Code]],3)</f>
        <v>L01</v>
      </c>
    </row>
    <row r="1784" spans="1:24" ht="14.4">
      <c r="A1784" s="14">
        <v>753</v>
      </c>
      <c r="B1784" s="24">
        <v>5376371</v>
      </c>
      <c r="C1784" s="1">
        <v>2705660</v>
      </c>
      <c r="D1784" s="1" t="s">
        <v>25</v>
      </c>
      <c r="E1784" s="36">
        <v>44419</v>
      </c>
      <c r="F1784" s="36">
        <v>44494</v>
      </c>
      <c r="G1784" s="38">
        <f t="shared" si="27"/>
        <v>75</v>
      </c>
      <c r="H1784" s="5">
        <v>44419</v>
      </c>
      <c r="I1784" s="5">
        <v>44494</v>
      </c>
      <c r="J1784" s="1" t="s">
        <v>41</v>
      </c>
      <c r="K1784" s="1" t="s">
        <v>3966</v>
      </c>
      <c r="L1784" s="1" t="s">
        <v>3967</v>
      </c>
      <c r="M1784" s="1" t="s">
        <v>3968</v>
      </c>
      <c r="N1784" s="1" t="s">
        <v>30</v>
      </c>
      <c r="O1784" s="1" t="s">
        <v>1988</v>
      </c>
      <c r="P1784" s="1" t="s">
        <v>3950</v>
      </c>
      <c r="Q1784" s="1" t="s">
        <v>1987</v>
      </c>
      <c r="R1784" s="1" t="s">
        <v>128</v>
      </c>
      <c r="S1784" s="1"/>
      <c r="U1784" s="1" t="s">
        <v>35</v>
      </c>
      <c r="V1784" s="1" t="s">
        <v>279</v>
      </c>
      <c r="W1784" s="1" t="str">
        <f>VLOOKUP(Table1[[#This Row],[Obergruppe ATC-Code]],Tabelle3!$A$2:$B$100,2)</f>
        <v>ANTINEOPLASTISCHE MITTEL</v>
      </c>
      <c r="X1784" s="1" t="str">
        <f xml:space="preserve"> LEFT(Table1[[#This Row],[Atc Code]],3)</f>
        <v>L01</v>
      </c>
    </row>
    <row r="1785" spans="1:24" ht="14.4">
      <c r="A1785" s="14">
        <v>754</v>
      </c>
      <c r="B1785" s="24">
        <v>5376419</v>
      </c>
      <c r="C1785" s="1">
        <v>2705664</v>
      </c>
      <c r="D1785" s="1" t="s">
        <v>25</v>
      </c>
      <c r="E1785" s="36">
        <v>44440</v>
      </c>
      <c r="F1785" s="36">
        <v>44683</v>
      </c>
      <c r="G1785" s="38">
        <f t="shared" si="27"/>
        <v>243</v>
      </c>
      <c r="H1785" s="5">
        <v>44379</v>
      </c>
      <c r="I1785" s="5">
        <v>44683</v>
      </c>
      <c r="J1785" s="1" t="s">
        <v>41</v>
      </c>
      <c r="K1785" s="1" t="s">
        <v>3969</v>
      </c>
      <c r="L1785" s="1" t="s">
        <v>3967</v>
      </c>
      <c r="M1785" s="1" t="s">
        <v>3968</v>
      </c>
      <c r="N1785" s="1" t="s">
        <v>30</v>
      </c>
      <c r="O1785" s="1" t="s">
        <v>1988</v>
      </c>
      <c r="P1785" s="1" t="s">
        <v>3950</v>
      </c>
      <c r="Q1785" s="1" t="s">
        <v>1987</v>
      </c>
      <c r="R1785" s="1" t="s">
        <v>128</v>
      </c>
      <c r="S1785" s="1"/>
      <c r="U1785" s="1" t="s">
        <v>57</v>
      </c>
      <c r="V1785" s="1" t="s">
        <v>279</v>
      </c>
      <c r="W1785" s="1" t="str">
        <f>VLOOKUP(Table1[[#This Row],[Obergruppe ATC-Code]],Tabelle3!$A$2:$B$100,2)</f>
        <v>ANTINEOPLASTISCHE MITTEL</v>
      </c>
      <c r="X1785" s="1" t="str">
        <f xml:space="preserve"> LEFT(Table1[[#This Row],[Atc Code]],3)</f>
        <v>L01</v>
      </c>
    </row>
    <row r="1786" spans="1:24" ht="14.4">
      <c r="A1786" s="14">
        <v>752</v>
      </c>
      <c r="B1786" s="24">
        <v>5376371</v>
      </c>
      <c r="C1786" s="1">
        <v>2705660</v>
      </c>
      <c r="D1786" s="1" t="s">
        <v>25</v>
      </c>
      <c r="E1786" s="36">
        <v>44538</v>
      </c>
      <c r="F1786" s="36">
        <v>44890</v>
      </c>
      <c r="G1786" s="38">
        <f t="shared" si="27"/>
        <v>352</v>
      </c>
      <c r="H1786" s="5">
        <v>44532</v>
      </c>
      <c r="I1786" s="5">
        <v>44890</v>
      </c>
      <c r="J1786" s="1" t="s">
        <v>41</v>
      </c>
      <c r="K1786" s="1" t="s">
        <v>3966</v>
      </c>
      <c r="L1786" s="1" t="s">
        <v>3967</v>
      </c>
      <c r="M1786" s="1" t="s">
        <v>3968</v>
      </c>
      <c r="N1786" s="1" t="s">
        <v>30</v>
      </c>
      <c r="O1786" s="1" t="s">
        <v>1988</v>
      </c>
      <c r="P1786" s="1" t="s">
        <v>3963</v>
      </c>
      <c r="Q1786" s="1" t="s">
        <v>1987</v>
      </c>
      <c r="R1786" s="1" t="s">
        <v>128</v>
      </c>
      <c r="S1786" s="1"/>
      <c r="U1786" s="1" t="s">
        <v>35</v>
      </c>
      <c r="V1786" s="1" t="s">
        <v>279</v>
      </c>
      <c r="W1786" s="1" t="str">
        <f>VLOOKUP(Table1[[#This Row],[Obergruppe ATC-Code]],Tabelle3!$A$2:$B$100,2)</f>
        <v>ANTINEOPLASTISCHE MITTEL</v>
      </c>
      <c r="X1786" s="1" t="str">
        <f xml:space="preserve"> LEFT(Table1[[#This Row],[Atc Code]],3)</f>
        <v>L01</v>
      </c>
    </row>
    <row r="1787" spans="1:24" ht="14.4">
      <c r="A1787" s="14">
        <v>1772</v>
      </c>
      <c r="B1787" s="24" t="s">
        <v>3970</v>
      </c>
      <c r="C1787" s="1">
        <v>2145891</v>
      </c>
      <c r="D1787" s="1" t="s">
        <v>25</v>
      </c>
      <c r="E1787" s="36">
        <v>43252</v>
      </c>
      <c r="F1787" s="36">
        <v>43465</v>
      </c>
      <c r="G1787" s="38">
        <f t="shared" si="27"/>
        <v>213</v>
      </c>
      <c r="H1787" s="5">
        <v>43256</v>
      </c>
      <c r="I1787" s="5">
        <v>43444</v>
      </c>
      <c r="J1787" s="1" t="s">
        <v>41</v>
      </c>
      <c r="K1787" s="1" t="s">
        <v>3971</v>
      </c>
      <c r="L1787" s="1" t="s">
        <v>3972</v>
      </c>
      <c r="M1787" s="1" t="s">
        <v>3973</v>
      </c>
      <c r="N1787" s="1" t="s">
        <v>30</v>
      </c>
      <c r="O1787" s="1" t="s">
        <v>1035</v>
      </c>
      <c r="P1787" s="1" t="s">
        <v>71</v>
      </c>
      <c r="Q1787" s="1" t="s">
        <v>47</v>
      </c>
      <c r="R1787" s="1" t="s">
        <v>26</v>
      </c>
      <c r="S1787" s="1"/>
      <c r="T1787" s="1" t="s">
        <v>3974</v>
      </c>
      <c r="U1787" s="1" t="s">
        <v>35</v>
      </c>
      <c r="V1787" s="1" t="s">
        <v>279</v>
      </c>
      <c r="W1787" s="1" t="str">
        <f>VLOOKUP(Table1[[#This Row],[Obergruppe ATC-Code]],Tabelle3!$A$2:$B$100,2)</f>
        <v>ANTINEOPLASTISCHE MITTEL</v>
      </c>
      <c r="X1787" s="1" t="str">
        <f xml:space="preserve"> LEFT(Table1[[#This Row],[Atc Code]],3)</f>
        <v>L01</v>
      </c>
    </row>
    <row r="1788" spans="1:24" ht="14.4">
      <c r="A1788" s="14">
        <v>3015</v>
      </c>
      <c r="B1788" s="24" t="s">
        <v>3975</v>
      </c>
      <c r="C1788" s="1">
        <v>2141348</v>
      </c>
      <c r="D1788" s="1" t="s">
        <v>25</v>
      </c>
      <c r="E1788" s="36">
        <v>43678</v>
      </c>
      <c r="F1788" s="36">
        <v>43769</v>
      </c>
      <c r="G1788" s="38">
        <f t="shared" si="27"/>
        <v>91</v>
      </c>
      <c r="H1788" s="5">
        <v>43691</v>
      </c>
      <c r="I1788" s="5">
        <v>43762</v>
      </c>
      <c r="J1788" s="1" t="s">
        <v>26</v>
      </c>
      <c r="K1788" s="1" t="s">
        <v>3976</v>
      </c>
      <c r="L1788" s="1" t="s">
        <v>3972</v>
      </c>
      <c r="M1788" s="1" t="s">
        <v>3977</v>
      </c>
      <c r="N1788" s="1" t="s">
        <v>30</v>
      </c>
      <c r="O1788" s="1" t="s">
        <v>1123</v>
      </c>
      <c r="P1788" s="1" t="s">
        <v>3441</v>
      </c>
      <c r="Q1788" s="1" t="s">
        <v>3978</v>
      </c>
      <c r="R1788" s="1" t="s">
        <v>33</v>
      </c>
      <c r="S1788" s="1"/>
      <c r="T1788" s="1" t="s">
        <v>3979</v>
      </c>
      <c r="U1788" s="1" t="s">
        <v>35</v>
      </c>
      <c r="V1788" s="1" t="s">
        <v>154</v>
      </c>
      <c r="W1788" s="1" t="str">
        <f>VLOOKUP(Table1[[#This Row],[Obergruppe ATC-Code]],Tabelle3!$A$2:$B$100,2)</f>
        <v>ANTINEOPLASTISCHE MITTEL</v>
      </c>
      <c r="X1788" s="1" t="str">
        <f xml:space="preserve"> LEFT(Table1[[#This Row],[Atc Code]],3)</f>
        <v>L01</v>
      </c>
    </row>
    <row r="1789" spans="1:24" ht="14.4">
      <c r="A1789" s="14">
        <v>3118</v>
      </c>
      <c r="B1789" s="3">
        <v>7622207</v>
      </c>
      <c r="C1789" s="1">
        <v>2135021</v>
      </c>
      <c r="D1789" s="1" t="s">
        <v>25</v>
      </c>
      <c r="E1789" s="36">
        <v>43739</v>
      </c>
      <c r="F1789" s="36">
        <v>43799</v>
      </c>
      <c r="G1789" s="38">
        <f t="shared" si="27"/>
        <v>60</v>
      </c>
      <c r="H1789" s="5">
        <v>43762</v>
      </c>
      <c r="I1789" s="5">
        <v>43791</v>
      </c>
      <c r="J1789" s="1" t="s">
        <v>26</v>
      </c>
      <c r="K1789" s="1" t="s">
        <v>3980</v>
      </c>
      <c r="L1789" s="1" t="s">
        <v>3972</v>
      </c>
      <c r="M1789" s="1" t="s">
        <v>3977</v>
      </c>
      <c r="N1789" s="1" t="s">
        <v>30</v>
      </c>
      <c r="O1789" s="1" t="s">
        <v>1123</v>
      </c>
      <c r="P1789" s="1" t="s">
        <v>3981</v>
      </c>
      <c r="Q1789" s="1" t="s">
        <v>3978</v>
      </c>
      <c r="R1789" s="1" t="s">
        <v>33</v>
      </c>
      <c r="S1789" s="1"/>
      <c r="T1789" s="1" t="s">
        <v>3982</v>
      </c>
      <c r="U1789" s="1" t="s">
        <v>35</v>
      </c>
      <c r="V1789" s="1" t="s">
        <v>154</v>
      </c>
      <c r="W1789" s="1" t="str">
        <f>VLOOKUP(Table1[[#This Row],[Obergruppe ATC-Code]],Tabelle3!$A$2:$B$100,2)</f>
        <v>ANTINEOPLASTISCHE MITTEL</v>
      </c>
      <c r="X1789" s="1" t="str">
        <f xml:space="preserve"> LEFT(Table1[[#This Row],[Atc Code]],3)</f>
        <v>L01</v>
      </c>
    </row>
    <row r="1790" spans="1:24" ht="14.4">
      <c r="A1790" s="14">
        <v>126</v>
      </c>
      <c r="B1790" s="25">
        <v>753892</v>
      </c>
      <c r="C1790" s="1">
        <v>2145891</v>
      </c>
      <c r="D1790" s="1" t="s">
        <v>25</v>
      </c>
      <c r="E1790" s="36">
        <v>43891</v>
      </c>
      <c r="F1790" s="36">
        <v>44012</v>
      </c>
      <c r="G1790" s="38">
        <f t="shared" si="27"/>
        <v>121</v>
      </c>
      <c r="H1790" s="5">
        <v>43921</v>
      </c>
      <c r="I1790" s="5">
        <v>43999</v>
      </c>
      <c r="J1790" s="1" t="s">
        <v>26</v>
      </c>
      <c r="K1790" s="1" t="s">
        <v>3971</v>
      </c>
      <c r="L1790" s="1" t="s">
        <v>3972</v>
      </c>
      <c r="M1790" s="1" t="s">
        <v>3973</v>
      </c>
      <c r="N1790" s="1" t="s">
        <v>30</v>
      </c>
      <c r="O1790" s="1" t="s">
        <v>1035</v>
      </c>
      <c r="P1790" s="1" t="s">
        <v>104</v>
      </c>
      <c r="Q1790" s="1" t="s">
        <v>105</v>
      </c>
      <c r="R1790" s="1" t="s">
        <v>33</v>
      </c>
      <c r="S1790" s="1"/>
      <c r="U1790" s="1" t="s">
        <v>35</v>
      </c>
      <c r="V1790" s="1" t="s">
        <v>279</v>
      </c>
      <c r="W1790" s="1" t="str">
        <f>VLOOKUP(Table1[[#This Row],[Obergruppe ATC-Code]],Tabelle3!$A$2:$B$100,2)</f>
        <v>ANTINEOPLASTISCHE MITTEL</v>
      </c>
      <c r="X1790" s="1" t="str">
        <f xml:space="preserve"> LEFT(Table1[[#This Row],[Atc Code]],3)</f>
        <v>L01</v>
      </c>
    </row>
    <row r="1791" spans="1:24" ht="14.4">
      <c r="A1791" s="14">
        <v>1457</v>
      </c>
      <c r="B1791" s="24">
        <v>14375146</v>
      </c>
      <c r="C1791" s="1">
        <v>2714545</v>
      </c>
      <c r="D1791" s="1" t="s">
        <v>25</v>
      </c>
      <c r="E1791" s="36">
        <v>43922</v>
      </c>
      <c r="F1791" s="36">
        <v>44135</v>
      </c>
      <c r="G1791" s="38">
        <f t="shared" si="27"/>
        <v>213</v>
      </c>
      <c r="H1791" s="5">
        <v>43944</v>
      </c>
      <c r="I1791" s="5">
        <v>44138</v>
      </c>
      <c r="J1791" s="1" t="s">
        <v>41</v>
      </c>
      <c r="K1791" s="1" t="s">
        <v>3983</v>
      </c>
      <c r="L1791" s="1" t="s">
        <v>3984</v>
      </c>
      <c r="M1791" s="1" t="s">
        <v>3985</v>
      </c>
      <c r="N1791" s="1" t="s">
        <v>30</v>
      </c>
      <c r="O1791" s="1" t="s">
        <v>3986</v>
      </c>
      <c r="P1791" s="1" t="s">
        <v>55</v>
      </c>
      <c r="Q1791" s="1" t="s">
        <v>56</v>
      </c>
      <c r="R1791" s="1" t="s">
        <v>26</v>
      </c>
      <c r="S1791" s="1"/>
      <c r="U1791" s="1" t="s">
        <v>57</v>
      </c>
      <c r="V1791" s="1" t="s">
        <v>3987</v>
      </c>
      <c r="W1791" s="1" t="str">
        <f>VLOOKUP(Table1[[#This Row],[Obergruppe ATC-Code]],Tabelle3!$A$2:$B$100,2)</f>
        <v>ANTINEOPLASTISCHE MITTEL</v>
      </c>
      <c r="X1791" s="1" t="str">
        <f xml:space="preserve"> LEFT(Table1[[#This Row],[Atc Code]],3)</f>
        <v>L01</v>
      </c>
    </row>
    <row r="1792" spans="1:24" ht="14.4">
      <c r="A1792" s="14">
        <v>1575</v>
      </c>
      <c r="B1792" s="24">
        <v>16928371</v>
      </c>
      <c r="C1792" s="1">
        <v>2704078</v>
      </c>
      <c r="D1792" s="1" t="s">
        <v>25</v>
      </c>
      <c r="E1792" s="36">
        <v>44627</v>
      </c>
      <c r="F1792" s="36">
        <v>44666</v>
      </c>
      <c r="G1792" s="38">
        <f t="shared" si="27"/>
        <v>39</v>
      </c>
      <c r="H1792" s="5">
        <v>44613</v>
      </c>
      <c r="I1792" s="5">
        <v>44665</v>
      </c>
      <c r="J1792" s="1" t="s">
        <v>41</v>
      </c>
      <c r="K1792" s="1" t="s">
        <v>3988</v>
      </c>
      <c r="L1792" s="1" t="s">
        <v>3984</v>
      </c>
      <c r="M1792" s="1" t="s">
        <v>3985</v>
      </c>
      <c r="N1792" s="1" t="s">
        <v>30</v>
      </c>
      <c r="O1792" s="1" t="s">
        <v>3626</v>
      </c>
      <c r="Q1792" s="1" t="s">
        <v>3438</v>
      </c>
      <c r="R1792" s="1" t="s">
        <v>128</v>
      </c>
      <c r="S1792" s="1" t="s">
        <v>3989</v>
      </c>
      <c r="T1792" s="1" t="s">
        <v>3990</v>
      </c>
      <c r="U1792" s="1" t="s">
        <v>57</v>
      </c>
      <c r="V1792" s="1" t="s">
        <v>3991</v>
      </c>
      <c r="W1792" s="1" t="str">
        <f>VLOOKUP(Table1[[#This Row],[Obergruppe ATC-Code]],Tabelle3!$A$2:$B$100,2)</f>
        <v>ANTINEOPLASTISCHE MITTEL</v>
      </c>
      <c r="X1792" s="1" t="str">
        <f xml:space="preserve"> LEFT(Table1[[#This Row],[Atc Code]],3)</f>
        <v>L01</v>
      </c>
    </row>
    <row r="1793" spans="1:24" ht="14.4">
      <c r="A1793" s="14">
        <v>1576</v>
      </c>
      <c r="B1793" s="24">
        <v>16928371</v>
      </c>
      <c r="C1793" s="1">
        <v>2704078</v>
      </c>
      <c r="D1793" s="1" t="s">
        <v>25</v>
      </c>
      <c r="E1793" s="36">
        <v>44851</v>
      </c>
      <c r="F1793" s="36">
        <v>44985</v>
      </c>
      <c r="G1793" s="38">
        <f t="shared" si="27"/>
        <v>134</v>
      </c>
      <c r="H1793" s="5">
        <v>44833</v>
      </c>
      <c r="I1793" s="5">
        <v>44985</v>
      </c>
      <c r="J1793" s="1" t="s">
        <v>26</v>
      </c>
      <c r="K1793" s="1" t="s">
        <v>3988</v>
      </c>
      <c r="L1793" s="1" t="s">
        <v>3984</v>
      </c>
      <c r="M1793" s="1" t="s">
        <v>3985</v>
      </c>
      <c r="N1793" s="1" t="s">
        <v>38</v>
      </c>
      <c r="O1793" s="1" t="s">
        <v>3626</v>
      </c>
      <c r="P1793" s="1">
        <v>498912142208</v>
      </c>
      <c r="Q1793" s="1" t="s">
        <v>3992</v>
      </c>
      <c r="R1793" s="1" t="s">
        <v>113</v>
      </c>
      <c r="S1793" s="1" t="s">
        <v>3993</v>
      </c>
      <c r="U1793" s="1" t="s">
        <v>35</v>
      </c>
      <c r="V1793" s="1" t="s">
        <v>3991</v>
      </c>
      <c r="W1793" s="1" t="str">
        <f>VLOOKUP(Table1[[#This Row],[Obergruppe ATC-Code]],Tabelle3!$A$2:$B$100,2)</f>
        <v>ANTINEOPLASTISCHE MITTEL</v>
      </c>
      <c r="X1793" s="1" t="str">
        <f xml:space="preserve"> LEFT(Table1[[#This Row],[Atc Code]],3)</f>
        <v>L01</v>
      </c>
    </row>
    <row r="1794" spans="1:24" ht="14.4">
      <c r="A1794" s="14">
        <v>1458</v>
      </c>
      <c r="B1794" s="24">
        <v>14375146</v>
      </c>
      <c r="C1794" s="1">
        <v>2714545</v>
      </c>
      <c r="D1794" s="1" t="s">
        <v>25</v>
      </c>
      <c r="E1794" s="36">
        <v>44896</v>
      </c>
      <c r="F1794" s="36">
        <v>45005</v>
      </c>
      <c r="G1794" s="38">
        <f t="shared" ref="G1794:G1857" si="28">F1794-E1794</f>
        <v>109</v>
      </c>
      <c r="H1794" s="5">
        <v>44888</v>
      </c>
      <c r="I1794" s="5">
        <v>45013</v>
      </c>
      <c r="J1794" s="1" t="s">
        <v>26</v>
      </c>
      <c r="K1794" s="1" t="s">
        <v>3983</v>
      </c>
      <c r="L1794" s="1" t="s">
        <v>3984</v>
      </c>
      <c r="M1794" s="1" t="s">
        <v>3985</v>
      </c>
      <c r="N1794" s="1" t="s">
        <v>30</v>
      </c>
      <c r="O1794" s="1" t="s">
        <v>3986</v>
      </c>
      <c r="P1794" s="1" t="s">
        <v>71</v>
      </c>
      <c r="Q1794" s="1" t="s">
        <v>56</v>
      </c>
      <c r="R1794" s="1" t="s">
        <v>113</v>
      </c>
      <c r="S1794" s="1"/>
      <c r="U1794" s="1" t="s">
        <v>130</v>
      </c>
      <c r="V1794" s="1" t="s">
        <v>3987</v>
      </c>
      <c r="W1794" s="1" t="str">
        <f>VLOOKUP(Table1[[#This Row],[Obergruppe ATC-Code]],Tabelle3!$A$2:$B$100,2)</f>
        <v>ANTINEOPLASTISCHE MITTEL</v>
      </c>
      <c r="X1794" s="1" t="str">
        <f xml:space="preserve"> LEFT(Table1[[#This Row],[Atc Code]],3)</f>
        <v>L01</v>
      </c>
    </row>
    <row r="1795" spans="1:24" ht="14.4">
      <c r="A1795" s="14">
        <v>2640</v>
      </c>
      <c r="B1795" s="24" t="s">
        <v>3994</v>
      </c>
      <c r="C1795" s="1">
        <v>2179027</v>
      </c>
      <c r="D1795" s="1" t="s">
        <v>25</v>
      </c>
      <c r="E1795" s="36">
        <v>43891</v>
      </c>
      <c r="F1795" s="36">
        <v>44196</v>
      </c>
      <c r="G1795" s="38">
        <f t="shared" si="28"/>
        <v>305</v>
      </c>
      <c r="H1795" s="5">
        <v>43907</v>
      </c>
      <c r="I1795" s="5">
        <v>44172</v>
      </c>
      <c r="J1795" s="1" t="s">
        <v>41</v>
      </c>
      <c r="K1795" s="1" t="s">
        <v>3995</v>
      </c>
      <c r="L1795" s="1" t="s">
        <v>3996</v>
      </c>
      <c r="M1795" s="1" t="s">
        <v>3997</v>
      </c>
      <c r="N1795" s="1" t="s">
        <v>30</v>
      </c>
      <c r="O1795" s="1" t="s">
        <v>1284</v>
      </c>
      <c r="P1795" s="1">
        <v>895589090</v>
      </c>
      <c r="Q1795" s="1" t="s">
        <v>1286</v>
      </c>
      <c r="R1795" s="1" t="s">
        <v>48</v>
      </c>
      <c r="S1795" s="1"/>
      <c r="U1795" s="1" t="s">
        <v>35</v>
      </c>
      <c r="V1795" s="1" t="s">
        <v>279</v>
      </c>
      <c r="W1795" s="1" t="str">
        <f>VLOOKUP(Table1[[#This Row],[Obergruppe ATC-Code]],Tabelle3!$A$2:$B$100,2)</f>
        <v>ANTINEOPLASTISCHE MITTEL</v>
      </c>
      <c r="X1795" s="1" t="str">
        <f xml:space="preserve"> LEFT(Table1[[#This Row],[Atc Code]],3)</f>
        <v>L01</v>
      </c>
    </row>
    <row r="1796" spans="1:24" ht="14.4">
      <c r="A1796" s="14">
        <v>3119</v>
      </c>
      <c r="B1796" s="3">
        <v>7518409</v>
      </c>
      <c r="C1796" s="1">
        <v>2178992</v>
      </c>
      <c r="D1796" s="1" t="s">
        <v>25</v>
      </c>
      <c r="E1796" s="36">
        <v>43922</v>
      </c>
      <c r="F1796" s="36">
        <v>44417</v>
      </c>
      <c r="G1796" s="38">
        <f t="shared" si="28"/>
        <v>495</v>
      </c>
      <c r="H1796" s="5">
        <v>43921</v>
      </c>
      <c r="I1796" s="5">
        <v>44419</v>
      </c>
      <c r="J1796" s="1" t="s">
        <v>41</v>
      </c>
      <c r="K1796" s="1" t="s">
        <v>3998</v>
      </c>
      <c r="L1796" s="1" t="s">
        <v>3996</v>
      </c>
      <c r="M1796" s="1" t="s">
        <v>3997</v>
      </c>
      <c r="N1796" s="1" t="s">
        <v>30</v>
      </c>
      <c r="O1796" s="1" t="s">
        <v>45</v>
      </c>
      <c r="P1796" s="1" t="s">
        <v>104</v>
      </c>
      <c r="Q1796" s="1" t="s">
        <v>105</v>
      </c>
      <c r="R1796" s="1" t="s">
        <v>48</v>
      </c>
      <c r="S1796" s="1"/>
      <c r="U1796" s="1" t="s">
        <v>35</v>
      </c>
      <c r="V1796" s="1" t="s">
        <v>279</v>
      </c>
      <c r="W1796" s="1" t="str">
        <f>VLOOKUP(Table1[[#This Row],[Obergruppe ATC-Code]],Tabelle3!$A$2:$B$100,2)</f>
        <v>ANTINEOPLASTISCHE MITTEL</v>
      </c>
      <c r="X1796" s="1" t="str">
        <f xml:space="preserve"> LEFT(Table1[[#This Row],[Atc Code]],3)</f>
        <v>L01</v>
      </c>
    </row>
    <row r="1797" spans="1:24" ht="14.4">
      <c r="A1797" s="14">
        <v>1086</v>
      </c>
      <c r="B1797" s="24">
        <v>9228259</v>
      </c>
      <c r="C1797" s="1">
        <v>2179736</v>
      </c>
      <c r="D1797" s="1" t="s">
        <v>25</v>
      </c>
      <c r="E1797" s="36">
        <v>44256</v>
      </c>
      <c r="F1797" s="36">
        <v>45140</v>
      </c>
      <c r="G1797" s="38">
        <f t="shared" si="28"/>
        <v>884</v>
      </c>
      <c r="H1797" s="5">
        <v>44256</v>
      </c>
      <c r="I1797" s="5">
        <v>45140</v>
      </c>
      <c r="J1797" s="1" t="s">
        <v>41</v>
      </c>
      <c r="K1797" s="1" t="s">
        <v>3999</v>
      </c>
      <c r="L1797" s="1" t="s">
        <v>3996</v>
      </c>
      <c r="M1797" s="1" t="s">
        <v>3997</v>
      </c>
      <c r="N1797" s="1" t="s">
        <v>30</v>
      </c>
      <c r="O1797" s="1" t="s">
        <v>91</v>
      </c>
      <c r="P1797" s="1" t="s">
        <v>92</v>
      </c>
      <c r="Q1797" s="1" t="s">
        <v>93</v>
      </c>
      <c r="R1797" s="1" t="s">
        <v>26</v>
      </c>
      <c r="S1797" s="1"/>
      <c r="U1797" s="1" t="s">
        <v>35</v>
      </c>
      <c r="V1797" s="1" t="s">
        <v>279</v>
      </c>
      <c r="W1797" s="1" t="str">
        <f>VLOOKUP(Table1[[#This Row],[Obergruppe ATC-Code]],Tabelle3!$A$2:$B$100,2)</f>
        <v>ANTINEOPLASTISCHE MITTEL</v>
      </c>
      <c r="X1797" s="1" t="str">
        <f xml:space="preserve"> LEFT(Table1[[#This Row],[Atc Code]],3)</f>
        <v>L01</v>
      </c>
    </row>
    <row r="1798" spans="1:24" ht="14.4">
      <c r="A1798" s="14">
        <v>2558</v>
      </c>
      <c r="B1798" s="24" t="s">
        <v>4000</v>
      </c>
      <c r="C1798" s="1">
        <v>2174236</v>
      </c>
      <c r="D1798" s="1" t="s">
        <v>25</v>
      </c>
      <c r="E1798" s="36">
        <v>43831</v>
      </c>
      <c r="F1798" s="36">
        <v>43861</v>
      </c>
      <c r="G1798" s="38">
        <f t="shared" si="28"/>
        <v>30</v>
      </c>
      <c r="H1798" s="5">
        <v>43847</v>
      </c>
      <c r="I1798" s="5">
        <v>43864</v>
      </c>
      <c r="J1798" s="1" t="s">
        <v>41</v>
      </c>
      <c r="K1798" s="1" t="s">
        <v>4001</v>
      </c>
      <c r="L1798" s="1" t="s">
        <v>4002</v>
      </c>
      <c r="M1798" s="1" t="s">
        <v>4003</v>
      </c>
      <c r="N1798" s="1" t="s">
        <v>30</v>
      </c>
      <c r="O1798" s="1" t="s">
        <v>1035</v>
      </c>
      <c r="P1798" s="1" t="s">
        <v>71</v>
      </c>
      <c r="Q1798" s="1" t="s">
        <v>56</v>
      </c>
      <c r="R1798" s="1" t="s">
        <v>26</v>
      </c>
      <c r="S1798" s="1"/>
      <c r="T1798" s="1" t="s">
        <v>4004</v>
      </c>
      <c r="U1798" s="1" t="s">
        <v>35</v>
      </c>
      <c r="V1798" s="1" t="s">
        <v>279</v>
      </c>
      <c r="W1798" s="1" t="str">
        <f>VLOOKUP(Table1[[#This Row],[Obergruppe ATC-Code]],Tabelle3!$A$2:$B$100,2)</f>
        <v>ANTINEOPLASTISCHE MITTEL</v>
      </c>
      <c r="X1798" s="1" t="str">
        <f xml:space="preserve"> LEFT(Table1[[#This Row],[Atc Code]],3)</f>
        <v>L01</v>
      </c>
    </row>
    <row r="1799" spans="1:24" ht="14.4">
      <c r="A1799" s="14">
        <v>2559</v>
      </c>
      <c r="B1799" s="24" t="s">
        <v>4000</v>
      </c>
      <c r="C1799" s="1">
        <v>2174236</v>
      </c>
      <c r="D1799" s="1" t="s">
        <v>25</v>
      </c>
      <c r="E1799" s="36">
        <v>43891</v>
      </c>
      <c r="F1799" s="36">
        <v>44012</v>
      </c>
      <c r="G1799" s="38">
        <f t="shared" si="28"/>
        <v>121</v>
      </c>
      <c r="H1799" s="5">
        <v>43921</v>
      </c>
      <c r="I1799" s="5">
        <v>43999</v>
      </c>
      <c r="J1799" s="1" t="s">
        <v>26</v>
      </c>
      <c r="K1799" s="1" t="s">
        <v>4001</v>
      </c>
      <c r="L1799" s="1" t="s">
        <v>4002</v>
      </c>
      <c r="M1799" s="1" t="s">
        <v>4003</v>
      </c>
      <c r="N1799" s="1" t="s">
        <v>30</v>
      </c>
      <c r="O1799" s="1" t="s">
        <v>1035</v>
      </c>
      <c r="P1799" s="1" t="s">
        <v>104</v>
      </c>
      <c r="Q1799" s="1" t="s">
        <v>105</v>
      </c>
      <c r="R1799" s="1" t="s">
        <v>33</v>
      </c>
      <c r="S1799" s="1"/>
      <c r="U1799" s="1" t="s">
        <v>35</v>
      </c>
      <c r="V1799" s="1" t="s">
        <v>279</v>
      </c>
      <c r="W1799" s="1" t="str">
        <f>VLOOKUP(Table1[[#This Row],[Obergruppe ATC-Code]],Tabelle3!$A$2:$B$100,2)</f>
        <v>ANTINEOPLASTISCHE MITTEL</v>
      </c>
      <c r="X1799" s="1" t="str">
        <f xml:space="preserve"> LEFT(Table1[[#This Row],[Atc Code]],3)</f>
        <v>L01</v>
      </c>
    </row>
    <row r="1800" spans="1:24" ht="14.4">
      <c r="A1800" s="14">
        <v>2316</v>
      </c>
      <c r="B1800" s="24" t="s">
        <v>4005</v>
      </c>
      <c r="C1800" s="1">
        <v>2144926</v>
      </c>
      <c r="D1800" s="1" t="s">
        <v>25</v>
      </c>
      <c r="E1800" s="36">
        <v>43831</v>
      </c>
      <c r="F1800" s="36">
        <v>44074</v>
      </c>
      <c r="G1800" s="38">
        <f t="shared" si="28"/>
        <v>243</v>
      </c>
      <c r="H1800" s="5">
        <v>43853</v>
      </c>
      <c r="I1800" s="5">
        <v>44047</v>
      </c>
      <c r="J1800" s="1" t="s">
        <v>41</v>
      </c>
      <c r="K1800" s="1" t="s">
        <v>4006</v>
      </c>
      <c r="L1800" s="1" t="s">
        <v>4002</v>
      </c>
      <c r="M1800" s="1" t="s">
        <v>4003</v>
      </c>
      <c r="N1800" s="1" t="s">
        <v>30</v>
      </c>
      <c r="O1800" s="1" t="s">
        <v>123</v>
      </c>
      <c r="P1800" s="1" t="s">
        <v>124</v>
      </c>
      <c r="Q1800" s="1" t="s">
        <v>125</v>
      </c>
      <c r="R1800" s="1" t="s">
        <v>26</v>
      </c>
      <c r="S1800" s="1"/>
      <c r="U1800" s="1" t="s">
        <v>35</v>
      </c>
      <c r="V1800" s="1" t="s">
        <v>74</v>
      </c>
      <c r="W1800" s="1" t="str">
        <f>VLOOKUP(Table1[[#This Row],[Obergruppe ATC-Code]],Tabelle3!$A$2:$B$100,2)</f>
        <v>ANTINEOPLASTISCHE MITTEL</v>
      </c>
      <c r="X1800" s="1" t="str">
        <f xml:space="preserve"> LEFT(Table1[[#This Row],[Atc Code]],3)</f>
        <v>L01</v>
      </c>
    </row>
    <row r="1801" spans="1:24" ht="14.4">
      <c r="A1801" s="14">
        <v>2557</v>
      </c>
      <c r="B1801" s="24" t="s">
        <v>4000</v>
      </c>
      <c r="C1801" s="1">
        <v>2174236</v>
      </c>
      <c r="D1801" s="1" t="s">
        <v>25</v>
      </c>
      <c r="E1801" s="36">
        <v>44075</v>
      </c>
      <c r="F1801" s="36">
        <v>44135</v>
      </c>
      <c r="G1801" s="38">
        <f t="shared" si="28"/>
        <v>60</v>
      </c>
      <c r="H1801" s="5">
        <v>44078</v>
      </c>
      <c r="I1801" s="5">
        <v>44127</v>
      </c>
      <c r="J1801" s="1" t="s">
        <v>41</v>
      </c>
      <c r="K1801" s="1" t="s">
        <v>4001</v>
      </c>
      <c r="L1801" s="1" t="s">
        <v>4002</v>
      </c>
      <c r="M1801" s="1" t="s">
        <v>4003</v>
      </c>
      <c r="N1801" s="1" t="s">
        <v>30</v>
      </c>
      <c r="O1801" s="1" t="s">
        <v>1035</v>
      </c>
      <c r="P1801" s="1" t="s">
        <v>71</v>
      </c>
      <c r="Q1801" s="1" t="s">
        <v>56</v>
      </c>
      <c r="R1801" s="1" t="s">
        <v>26</v>
      </c>
      <c r="S1801" s="1"/>
      <c r="T1801" s="1" t="s">
        <v>4004</v>
      </c>
      <c r="U1801" s="1" t="s">
        <v>35</v>
      </c>
      <c r="V1801" s="1" t="s">
        <v>279</v>
      </c>
      <c r="W1801" s="1" t="str">
        <f>VLOOKUP(Table1[[#This Row],[Obergruppe ATC-Code]],Tabelle3!$A$2:$B$100,2)</f>
        <v>ANTINEOPLASTISCHE MITTEL</v>
      </c>
      <c r="X1801" s="1" t="str">
        <f xml:space="preserve"> LEFT(Table1[[#This Row],[Atc Code]],3)</f>
        <v>L01</v>
      </c>
    </row>
    <row r="1802" spans="1:24" ht="14.4">
      <c r="A1802" s="14">
        <v>2317</v>
      </c>
      <c r="B1802" s="24" t="s">
        <v>4007</v>
      </c>
      <c r="C1802" s="1">
        <v>2144927</v>
      </c>
      <c r="D1802" s="1" t="s">
        <v>25</v>
      </c>
      <c r="E1802" s="36">
        <v>43831</v>
      </c>
      <c r="F1802" s="36">
        <v>44227</v>
      </c>
      <c r="G1802" s="38">
        <f t="shared" si="28"/>
        <v>396</v>
      </c>
      <c r="H1802" s="5">
        <v>43853</v>
      </c>
      <c r="I1802" s="5">
        <v>44200</v>
      </c>
      <c r="J1802" s="1" t="s">
        <v>41</v>
      </c>
      <c r="K1802" s="1" t="s">
        <v>4008</v>
      </c>
      <c r="L1802" s="1" t="s">
        <v>4002</v>
      </c>
      <c r="M1802" s="1" t="s">
        <v>4003</v>
      </c>
      <c r="N1802" s="1" t="s">
        <v>30</v>
      </c>
      <c r="O1802" s="1" t="s">
        <v>123</v>
      </c>
      <c r="P1802" s="1" t="s">
        <v>124</v>
      </c>
      <c r="Q1802" s="1" t="s">
        <v>125</v>
      </c>
      <c r="R1802" s="1" t="s">
        <v>26</v>
      </c>
      <c r="S1802" s="1"/>
      <c r="U1802" s="1" t="s">
        <v>35</v>
      </c>
      <c r="V1802" s="1" t="s">
        <v>74</v>
      </c>
      <c r="W1802" s="1" t="str">
        <f>VLOOKUP(Table1[[#This Row],[Obergruppe ATC-Code]],Tabelle3!$A$2:$B$100,2)</f>
        <v>ANTINEOPLASTISCHE MITTEL</v>
      </c>
      <c r="X1802" s="1" t="str">
        <f xml:space="preserve"> LEFT(Table1[[#This Row],[Atc Code]],3)</f>
        <v>L01</v>
      </c>
    </row>
    <row r="1803" spans="1:24" ht="15" customHeight="1">
      <c r="A1803" s="14">
        <v>1519</v>
      </c>
      <c r="B1803" s="24">
        <v>16230541</v>
      </c>
      <c r="C1803" s="1">
        <v>2709983</v>
      </c>
      <c r="D1803" s="1" t="s">
        <v>25</v>
      </c>
      <c r="E1803" s="36">
        <v>44755</v>
      </c>
      <c r="F1803" s="36">
        <v>44886</v>
      </c>
      <c r="G1803" s="38">
        <f t="shared" si="28"/>
        <v>131</v>
      </c>
      <c r="H1803" s="5">
        <v>44755</v>
      </c>
      <c r="I1803" s="5">
        <v>44886</v>
      </c>
      <c r="J1803" s="1" t="s">
        <v>26</v>
      </c>
      <c r="K1803" s="1" t="s">
        <v>4009</v>
      </c>
      <c r="L1803" s="1" t="s">
        <v>4002</v>
      </c>
      <c r="M1803" s="1" t="s">
        <v>4003</v>
      </c>
      <c r="N1803" s="1" t="s">
        <v>30</v>
      </c>
      <c r="O1803" s="1" t="s">
        <v>3986</v>
      </c>
      <c r="P1803" s="1" t="s">
        <v>71</v>
      </c>
      <c r="Q1803" s="1" t="s">
        <v>56</v>
      </c>
      <c r="R1803" s="1" t="s">
        <v>113</v>
      </c>
      <c r="S1803" s="1"/>
      <c r="U1803" s="1" t="s">
        <v>130</v>
      </c>
      <c r="V1803" s="1" t="s">
        <v>4010</v>
      </c>
      <c r="W1803" s="1" t="str">
        <f>VLOOKUP(Table1[[#This Row],[Obergruppe ATC-Code]],Tabelle3!$A$2:$B$100,2)</f>
        <v>ANTINEOPLASTISCHE MITTEL</v>
      </c>
      <c r="X1803" s="1" t="str">
        <f xml:space="preserve"> LEFT(Table1[[#This Row],[Atc Code]],3)</f>
        <v>L01</v>
      </c>
    </row>
    <row r="1804" spans="1:24" ht="15" customHeight="1">
      <c r="A1804" s="14">
        <v>1584</v>
      </c>
      <c r="B1804" s="24">
        <v>17313306</v>
      </c>
      <c r="C1804" s="1">
        <v>2701559</v>
      </c>
      <c r="D1804" s="1" t="s">
        <v>25</v>
      </c>
      <c r="E1804" s="36">
        <v>44743</v>
      </c>
      <c r="F1804" s="36">
        <v>45046</v>
      </c>
      <c r="G1804" s="38">
        <f t="shared" si="28"/>
        <v>303</v>
      </c>
      <c r="H1804" s="5">
        <v>44715</v>
      </c>
      <c r="I1804" s="5">
        <v>45044</v>
      </c>
      <c r="J1804" s="1" t="s">
        <v>41</v>
      </c>
      <c r="K1804" s="1" t="s">
        <v>4011</v>
      </c>
      <c r="L1804" s="1" t="s">
        <v>4002</v>
      </c>
      <c r="M1804" s="1" t="s">
        <v>4003</v>
      </c>
      <c r="N1804" s="1" t="s">
        <v>30</v>
      </c>
      <c r="O1804" s="1" t="s">
        <v>1166</v>
      </c>
      <c r="P1804" s="1" t="s">
        <v>4012</v>
      </c>
      <c r="Q1804" s="1" t="s">
        <v>1167</v>
      </c>
      <c r="R1804" s="1" t="s">
        <v>128</v>
      </c>
      <c r="S1804" s="1"/>
      <c r="U1804" s="1" t="s">
        <v>130</v>
      </c>
      <c r="V1804" s="1" t="s">
        <v>279</v>
      </c>
      <c r="W1804" s="1" t="str">
        <f>VLOOKUP(Table1[[#This Row],[Obergruppe ATC-Code]],Tabelle3!$A$2:$B$100,2)</f>
        <v>ANTINEOPLASTISCHE MITTEL</v>
      </c>
      <c r="X1804" s="1" t="str">
        <f xml:space="preserve"> LEFT(Table1[[#This Row],[Atc Code]],3)</f>
        <v>L01</v>
      </c>
    </row>
    <row r="1805" spans="1:24" ht="14.4">
      <c r="A1805" s="14">
        <v>2018</v>
      </c>
      <c r="B1805" s="24" t="s">
        <v>4013</v>
      </c>
      <c r="C1805" s="1">
        <v>2169540</v>
      </c>
      <c r="D1805" s="1" t="s">
        <v>25</v>
      </c>
      <c r="E1805" s="36">
        <v>43556</v>
      </c>
      <c r="F1805" s="36">
        <v>43890</v>
      </c>
      <c r="G1805" s="38">
        <f t="shared" si="28"/>
        <v>334</v>
      </c>
      <c r="H1805" s="5">
        <v>43525</v>
      </c>
      <c r="I1805" s="5">
        <v>43872</v>
      </c>
      <c r="J1805" s="1" t="s">
        <v>41</v>
      </c>
      <c r="K1805" s="1" t="s">
        <v>4014</v>
      </c>
      <c r="L1805" s="1" t="s">
        <v>4015</v>
      </c>
      <c r="M1805" s="1" t="s">
        <v>4016</v>
      </c>
      <c r="N1805" s="1" t="s">
        <v>30</v>
      </c>
      <c r="O1805" s="1" t="s">
        <v>321</v>
      </c>
      <c r="P1805" s="1" t="s">
        <v>326</v>
      </c>
      <c r="Q1805" s="1" t="s">
        <v>327</v>
      </c>
      <c r="R1805" s="1" t="s">
        <v>26</v>
      </c>
      <c r="S1805" s="1"/>
      <c r="U1805" s="1" t="s">
        <v>57</v>
      </c>
      <c r="V1805" s="1" t="s">
        <v>787</v>
      </c>
      <c r="W1805" s="1" t="str">
        <f>VLOOKUP(Table1[[#This Row],[Obergruppe ATC-Code]],Tabelle3!$A$2:$B$100,2)</f>
        <v>ANTINEOPLASTISCHE MITTEL</v>
      </c>
      <c r="X1805" s="1" t="str">
        <f xml:space="preserve"> LEFT(Table1[[#This Row],[Atc Code]],3)</f>
        <v>L01</v>
      </c>
    </row>
    <row r="1806" spans="1:24" ht="14.4">
      <c r="A1806" s="14">
        <v>3125</v>
      </c>
      <c r="B1806" s="3">
        <v>5505905</v>
      </c>
      <c r="C1806" s="1">
        <v>2171687</v>
      </c>
      <c r="D1806" s="1" t="s">
        <v>25</v>
      </c>
      <c r="E1806" s="36">
        <v>43831</v>
      </c>
      <c r="F1806" s="36">
        <v>43861</v>
      </c>
      <c r="G1806" s="38">
        <f t="shared" si="28"/>
        <v>30</v>
      </c>
      <c r="H1806" s="5">
        <v>43847</v>
      </c>
      <c r="I1806" s="5">
        <v>43852</v>
      </c>
      <c r="J1806" s="1" t="s">
        <v>41</v>
      </c>
      <c r="K1806" s="1" t="s">
        <v>4017</v>
      </c>
      <c r="L1806" s="1" t="s">
        <v>4018</v>
      </c>
      <c r="M1806" s="1" t="s">
        <v>4019</v>
      </c>
      <c r="N1806" s="1" t="s">
        <v>30</v>
      </c>
      <c r="O1806" s="1" t="s">
        <v>1035</v>
      </c>
      <c r="P1806" s="1" t="s">
        <v>71</v>
      </c>
      <c r="Q1806" s="1" t="s">
        <v>56</v>
      </c>
      <c r="R1806" s="1" t="s">
        <v>26</v>
      </c>
      <c r="S1806" s="1"/>
      <c r="T1806" s="1" t="s">
        <v>4020</v>
      </c>
      <c r="U1806" s="1" t="s">
        <v>35</v>
      </c>
      <c r="V1806" s="1" t="s">
        <v>652</v>
      </c>
      <c r="W1806" s="1" t="str">
        <f>VLOOKUP(Table1[[#This Row],[Obergruppe ATC-Code]],Tabelle3!$A$2:$B$100,2)</f>
        <v>ANTINEOPLASTISCHE MITTEL</v>
      </c>
      <c r="X1806" s="1" t="str">
        <f xml:space="preserve"> LEFT(Table1[[#This Row],[Atc Code]],3)</f>
        <v>L01</v>
      </c>
    </row>
    <row r="1807" spans="1:24" ht="14.4">
      <c r="A1807" s="14">
        <v>3124</v>
      </c>
      <c r="B1807" s="3">
        <v>5505905</v>
      </c>
      <c r="C1807" s="1">
        <v>2171687</v>
      </c>
      <c r="D1807" s="1" t="s">
        <v>25</v>
      </c>
      <c r="E1807" s="36">
        <v>43831</v>
      </c>
      <c r="F1807" s="36">
        <v>43982</v>
      </c>
      <c r="G1807" s="38">
        <f t="shared" si="28"/>
        <v>151</v>
      </c>
      <c r="H1807" s="5">
        <v>43865</v>
      </c>
      <c r="I1807" s="5">
        <v>43985</v>
      </c>
      <c r="J1807" s="1" t="s">
        <v>41</v>
      </c>
      <c r="K1807" s="1" t="s">
        <v>4017</v>
      </c>
      <c r="L1807" s="1" t="s">
        <v>4018</v>
      </c>
      <c r="M1807" s="1" t="s">
        <v>4019</v>
      </c>
      <c r="N1807" s="1" t="s">
        <v>30</v>
      </c>
      <c r="O1807" s="1" t="s">
        <v>1035</v>
      </c>
      <c r="P1807" s="1" t="s">
        <v>71</v>
      </c>
      <c r="Q1807" s="1" t="s">
        <v>56</v>
      </c>
      <c r="R1807" s="1" t="s">
        <v>26</v>
      </c>
      <c r="S1807" s="1"/>
      <c r="T1807" s="1" t="s">
        <v>4020</v>
      </c>
      <c r="U1807" s="1" t="s">
        <v>35</v>
      </c>
      <c r="V1807" s="1" t="s">
        <v>652</v>
      </c>
      <c r="W1807" s="1" t="str">
        <f>VLOOKUP(Table1[[#This Row],[Obergruppe ATC-Code]],Tabelle3!$A$2:$B$100,2)</f>
        <v>ANTINEOPLASTISCHE MITTEL</v>
      </c>
      <c r="X1807" s="1" t="str">
        <f xml:space="preserve"> LEFT(Table1[[#This Row],[Atc Code]],3)</f>
        <v>L01</v>
      </c>
    </row>
    <row r="1808" spans="1:24" ht="14.4">
      <c r="A1808" s="14">
        <v>1865</v>
      </c>
      <c r="B1808" s="24" t="s">
        <v>4021</v>
      </c>
      <c r="C1808" s="1">
        <v>2149330</v>
      </c>
      <c r="D1808" s="1" t="s">
        <v>25</v>
      </c>
      <c r="E1808" s="36">
        <v>43831</v>
      </c>
      <c r="F1808" s="36">
        <v>44043</v>
      </c>
      <c r="G1808" s="38">
        <f t="shared" si="28"/>
        <v>212</v>
      </c>
      <c r="H1808" s="5">
        <v>43847</v>
      </c>
      <c r="I1808" s="5">
        <v>44047</v>
      </c>
      <c r="J1808" s="1" t="s">
        <v>41</v>
      </c>
      <c r="K1808" s="1" t="s">
        <v>4022</v>
      </c>
      <c r="L1808" s="1" t="s">
        <v>4018</v>
      </c>
      <c r="M1808" s="1" t="s">
        <v>4019</v>
      </c>
      <c r="N1808" s="1" t="s">
        <v>30</v>
      </c>
      <c r="O1808" s="1" t="s">
        <v>123</v>
      </c>
      <c r="P1808" s="1" t="s">
        <v>124</v>
      </c>
      <c r="Q1808" s="1" t="s">
        <v>125</v>
      </c>
      <c r="R1808" s="1" t="s">
        <v>26</v>
      </c>
      <c r="S1808" s="1"/>
      <c r="U1808" s="1" t="s">
        <v>35</v>
      </c>
      <c r="V1808" s="1" t="s">
        <v>74</v>
      </c>
      <c r="W1808" s="1" t="str">
        <f>VLOOKUP(Table1[[#This Row],[Obergruppe ATC-Code]],Tabelle3!$A$2:$B$100,2)</f>
        <v>ANTINEOPLASTISCHE MITTEL</v>
      </c>
      <c r="X1808" s="1" t="str">
        <f xml:space="preserve"> LEFT(Table1[[#This Row],[Atc Code]],3)</f>
        <v>L01</v>
      </c>
    </row>
    <row r="1809" spans="1:24" ht="14.4">
      <c r="A1809" s="14">
        <v>3120</v>
      </c>
      <c r="B1809" s="3">
        <v>4825832</v>
      </c>
      <c r="C1809" s="1">
        <v>2168254</v>
      </c>
      <c r="D1809" s="1" t="s">
        <v>25</v>
      </c>
      <c r="E1809" s="36">
        <v>43831</v>
      </c>
      <c r="F1809" s="36">
        <v>44165</v>
      </c>
      <c r="G1809" s="38">
        <f t="shared" si="28"/>
        <v>334</v>
      </c>
      <c r="H1809" s="5">
        <v>43846</v>
      </c>
      <c r="I1809" s="5">
        <v>44141</v>
      </c>
      <c r="J1809" s="1" t="s">
        <v>41</v>
      </c>
      <c r="K1809" s="1" t="s">
        <v>4023</v>
      </c>
      <c r="L1809" s="1" t="s">
        <v>4018</v>
      </c>
      <c r="M1809" s="1" t="s">
        <v>4019</v>
      </c>
      <c r="N1809" s="1" t="s">
        <v>30</v>
      </c>
      <c r="O1809" s="1" t="s">
        <v>339</v>
      </c>
      <c r="P1809" s="1" t="s">
        <v>3954</v>
      </c>
      <c r="Q1809" s="1" t="s">
        <v>341</v>
      </c>
      <c r="R1809" s="1" t="s">
        <v>48</v>
      </c>
      <c r="S1809" s="1"/>
      <c r="U1809" s="1" t="s">
        <v>35</v>
      </c>
      <c r="V1809" s="1" t="s">
        <v>74</v>
      </c>
      <c r="W1809" s="1" t="str">
        <f>VLOOKUP(Table1[[#This Row],[Obergruppe ATC-Code]],Tabelle3!$A$2:$B$100,2)</f>
        <v>ANTINEOPLASTISCHE MITTEL</v>
      </c>
      <c r="X1809" s="1" t="str">
        <f xml:space="preserve"> LEFT(Table1[[#This Row],[Atc Code]],3)</f>
        <v>L01</v>
      </c>
    </row>
    <row r="1810" spans="1:24" ht="14.4">
      <c r="A1810" s="14">
        <v>3121</v>
      </c>
      <c r="B1810" s="3">
        <v>1494487</v>
      </c>
      <c r="C1810" s="1">
        <v>2152243</v>
      </c>
      <c r="D1810" s="1" t="s">
        <v>25</v>
      </c>
      <c r="E1810" s="36">
        <v>44075</v>
      </c>
      <c r="F1810" s="36">
        <v>44196</v>
      </c>
      <c r="G1810" s="38">
        <f t="shared" si="28"/>
        <v>121</v>
      </c>
      <c r="H1810" s="5">
        <v>44090</v>
      </c>
      <c r="I1810" s="5">
        <v>44144</v>
      </c>
      <c r="J1810" s="1" t="s">
        <v>41</v>
      </c>
      <c r="K1810" s="1" t="s">
        <v>4024</v>
      </c>
      <c r="L1810" s="1" t="s">
        <v>4018</v>
      </c>
      <c r="M1810" s="1" t="s">
        <v>4019</v>
      </c>
      <c r="N1810" s="1" t="s">
        <v>30</v>
      </c>
      <c r="O1810" s="1" t="s">
        <v>1078</v>
      </c>
      <c r="P1810" s="1">
        <v>8945450202</v>
      </c>
      <c r="Q1810" s="1" t="s">
        <v>1200</v>
      </c>
      <c r="R1810" s="1" t="s">
        <v>26</v>
      </c>
      <c r="S1810" s="1"/>
      <c r="U1810" s="1" t="s">
        <v>35</v>
      </c>
      <c r="V1810" s="1" t="s">
        <v>279</v>
      </c>
      <c r="W1810" s="1" t="str">
        <f>VLOOKUP(Table1[[#This Row],[Obergruppe ATC-Code]],Tabelle3!$A$2:$B$100,2)</f>
        <v>ANTINEOPLASTISCHE MITTEL</v>
      </c>
      <c r="X1810" s="1" t="str">
        <f xml:space="preserve"> LEFT(Table1[[#This Row],[Atc Code]],3)</f>
        <v>L01</v>
      </c>
    </row>
    <row r="1811" spans="1:24" ht="14.4">
      <c r="A1811" s="14">
        <v>3122</v>
      </c>
      <c r="B1811" s="24" t="s">
        <v>4025</v>
      </c>
      <c r="C1811" s="1">
        <v>2167614</v>
      </c>
      <c r="D1811" s="1" t="s">
        <v>25</v>
      </c>
      <c r="E1811" s="36">
        <v>43831</v>
      </c>
      <c r="F1811" s="36">
        <v>44227</v>
      </c>
      <c r="G1811" s="38">
        <f t="shared" si="28"/>
        <v>396</v>
      </c>
      <c r="H1811" s="5">
        <v>43853</v>
      </c>
      <c r="I1811" s="5">
        <v>44215</v>
      </c>
      <c r="J1811" s="1" t="s">
        <v>41</v>
      </c>
      <c r="K1811" s="1" t="s">
        <v>4026</v>
      </c>
      <c r="L1811" s="1" t="s">
        <v>4018</v>
      </c>
      <c r="M1811" s="1" t="s">
        <v>4019</v>
      </c>
      <c r="N1811" s="1" t="s">
        <v>30</v>
      </c>
      <c r="O1811" s="1" t="s">
        <v>783</v>
      </c>
      <c r="P1811" s="1" t="s">
        <v>3827</v>
      </c>
      <c r="Q1811" s="1" t="s">
        <v>3827</v>
      </c>
      <c r="R1811" s="1" t="s">
        <v>48</v>
      </c>
      <c r="S1811" s="1"/>
      <c r="U1811" s="1" t="s">
        <v>35</v>
      </c>
      <c r="V1811" s="1" t="s">
        <v>74</v>
      </c>
      <c r="W1811" s="1" t="str">
        <f>VLOOKUP(Table1[[#This Row],[Obergruppe ATC-Code]],Tabelle3!$A$2:$B$100,2)</f>
        <v>ANTINEOPLASTISCHE MITTEL</v>
      </c>
      <c r="X1811" s="1" t="str">
        <f xml:space="preserve"> LEFT(Table1[[#This Row],[Atc Code]],3)</f>
        <v>L01</v>
      </c>
    </row>
    <row r="1812" spans="1:24" ht="14.4">
      <c r="A1812" s="14">
        <v>3123</v>
      </c>
      <c r="B1812" s="3">
        <v>5505905</v>
      </c>
      <c r="C1812" s="1">
        <v>2171687</v>
      </c>
      <c r="D1812" s="1" t="s">
        <v>25</v>
      </c>
      <c r="E1812" s="36">
        <v>44075</v>
      </c>
      <c r="F1812" s="36">
        <v>44316</v>
      </c>
      <c r="G1812" s="38">
        <f t="shared" si="28"/>
        <v>241</v>
      </c>
      <c r="H1812" s="5">
        <v>44098</v>
      </c>
      <c r="I1812" s="5">
        <v>44309</v>
      </c>
      <c r="J1812" s="1" t="s">
        <v>26</v>
      </c>
      <c r="K1812" s="1" t="s">
        <v>4017</v>
      </c>
      <c r="L1812" s="1" t="s">
        <v>4018</v>
      </c>
      <c r="M1812" s="1" t="s">
        <v>4019</v>
      </c>
      <c r="N1812" s="1" t="s">
        <v>30</v>
      </c>
      <c r="O1812" s="1" t="s">
        <v>1035</v>
      </c>
      <c r="P1812" s="1" t="s">
        <v>71</v>
      </c>
      <c r="Q1812" s="1" t="s">
        <v>56</v>
      </c>
      <c r="R1812" s="1" t="s">
        <v>33</v>
      </c>
      <c r="S1812" s="1"/>
      <c r="T1812" s="1" t="s">
        <v>4020</v>
      </c>
      <c r="U1812" s="1" t="s">
        <v>35</v>
      </c>
      <c r="V1812" s="1" t="s">
        <v>652</v>
      </c>
      <c r="W1812" s="1" t="str">
        <f>VLOOKUP(Table1[[#This Row],[Obergruppe ATC-Code]],Tabelle3!$A$2:$B$100,2)</f>
        <v>ANTINEOPLASTISCHE MITTEL</v>
      </c>
      <c r="X1812" s="1" t="str">
        <f xml:space="preserve"> LEFT(Table1[[#This Row],[Atc Code]],3)</f>
        <v>L01</v>
      </c>
    </row>
    <row r="1813" spans="1:24" ht="14.4">
      <c r="A1813" s="14">
        <v>1521</v>
      </c>
      <c r="B1813" s="24">
        <v>16243992</v>
      </c>
      <c r="C1813" s="1">
        <v>2130382</v>
      </c>
      <c r="D1813" s="1" t="s">
        <v>25</v>
      </c>
      <c r="E1813" s="36">
        <v>43435</v>
      </c>
      <c r="F1813" s="36">
        <v>43555</v>
      </c>
      <c r="G1813" s="38">
        <f t="shared" si="28"/>
        <v>120</v>
      </c>
      <c r="H1813" s="5">
        <v>43448</v>
      </c>
      <c r="I1813" s="5">
        <v>43508</v>
      </c>
      <c r="J1813" s="1" t="s">
        <v>41</v>
      </c>
      <c r="K1813" s="1" t="s">
        <v>4027</v>
      </c>
      <c r="L1813" s="1" t="s">
        <v>4028</v>
      </c>
      <c r="M1813" s="1" t="s">
        <v>4029</v>
      </c>
      <c r="N1813" s="1" t="s">
        <v>30</v>
      </c>
      <c r="O1813" s="1" t="s">
        <v>321</v>
      </c>
      <c r="P1813" s="1" t="s">
        <v>3817</v>
      </c>
      <c r="Q1813" s="1" t="s">
        <v>3818</v>
      </c>
      <c r="R1813" s="1" t="s">
        <v>48</v>
      </c>
      <c r="S1813" s="1"/>
      <c r="T1813" s="1" t="s">
        <v>4030</v>
      </c>
      <c r="U1813" s="1" t="s">
        <v>35</v>
      </c>
      <c r="V1813" s="1" t="s">
        <v>262</v>
      </c>
      <c r="W1813" s="1" t="str">
        <f>VLOOKUP(Table1[[#This Row],[Obergruppe ATC-Code]],Tabelle3!$A$2:$B$100,2)</f>
        <v>ANTINEOPLASTISCHE MITTEL</v>
      </c>
      <c r="X1813" s="1" t="str">
        <f xml:space="preserve"> LEFT(Table1[[#This Row],[Atc Code]],3)</f>
        <v>L01</v>
      </c>
    </row>
    <row r="1814" spans="1:24" ht="14.4">
      <c r="A1814" s="14">
        <v>1651</v>
      </c>
      <c r="B1814" s="24" t="s">
        <v>4031</v>
      </c>
      <c r="C1814" s="1">
        <v>2140807</v>
      </c>
      <c r="D1814" s="1" t="s">
        <v>25</v>
      </c>
      <c r="E1814" s="36">
        <v>43556</v>
      </c>
      <c r="F1814" s="36">
        <v>43616</v>
      </c>
      <c r="G1814" s="38">
        <f t="shared" si="28"/>
        <v>60</v>
      </c>
      <c r="H1814" s="5">
        <v>43585</v>
      </c>
      <c r="I1814" s="5">
        <v>43606</v>
      </c>
      <c r="J1814" s="1" t="s">
        <v>41</v>
      </c>
      <c r="K1814" s="1" t="s">
        <v>4032</v>
      </c>
      <c r="L1814" s="1" t="s">
        <v>4028</v>
      </c>
      <c r="M1814" s="1" t="s">
        <v>4029</v>
      </c>
      <c r="N1814" s="1" t="s">
        <v>30</v>
      </c>
      <c r="O1814" s="1" t="s">
        <v>321</v>
      </c>
      <c r="P1814" s="1" t="s">
        <v>326</v>
      </c>
      <c r="Q1814" s="1" t="s">
        <v>327</v>
      </c>
      <c r="R1814" s="1" t="s">
        <v>48</v>
      </c>
      <c r="S1814" s="1"/>
      <c r="T1814" s="1" t="s">
        <v>4033</v>
      </c>
      <c r="U1814" s="1" t="s">
        <v>35</v>
      </c>
      <c r="V1814" s="1" t="s">
        <v>74</v>
      </c>
      <c r="W1814" s="1" t="str">
        <f>VLOOKUP(Table1[[#This Row],[Obergruppe ATC-Code]],Tabelle3!$A$2:$B$100,2)</f>
        <v>ANTINEOPLASTISCHE MITTEL</v>
      </c>
      <c r="X1814" s="1" t="str">
        <f xml:space="preserve"> LEFT(Table1[[#This Row],[Atc Code]],3)</f>
        <v>L01</v>
      </c>
    </row>
    <row r="1815" spans="1:24" ht="15" customHeight="1">
      <c r="A1815" s="14">
        <v>1653</v>
      </c>
      <c r="B1815" s="24" t="s">
        <v>4034</v>
      </c>
      <c r="C1815" s="1">
        <v>2140808</v>
      </c>
      <c r="D1815" s="1" t="s">
        <v>25</v>
      </c>
      <c r="E1815" s="36">
        <v>43525</v>
      </c>
      <c r="F1815" s="36">
        <v>43616</v>
      </c>
      <c r="G1815" s="38">
        <f t="shared" si="28"/>
        <v>91</v>
      </c>
      <c r="H1815" s="5">
        <v>43585</v>
      </c>
      <c r="I1815" s="5">
        <v>43613</v>
      </c>
      <c r="J1815" s="1" t="s">
        <v>41</v>
      </c>
      <c r="K1815" s="1" t="s">
        <v>4035</v>
      </c>
      <c r="L1815" s="1" t="s">
        <v>4028</v>
      </c>
      <c r="M1815" s="1" t="s">
        <v>4029</v>
      </c>
      <c r="N1815" s="1" t="s">
        <v>30</v>
      </c>
      <c r="O1815" s="1" t="s">
        <v>321</v>
      </c>
      <c r="P1815" s="1" t="s">
        <v>326</v>
      </c>
      <c r="Q1815" s="1" t="s">
        <v>327</v>
      </c>
      <c r="R1815" s="1" t="s">
        <v>48</v>
      </c>
      <c r="S1815" s="1"/>
      <c r="T1815" s="1" t="s">
        <v>4033</v>
      </c>
      <c r="U1815" s="1" t="s">
        <v>35</v>
      </c>
      <c r="V1815" s="1" t="s">
        <v>74</v>
      </c>
      <c r="W1815" s="1" t="str">
        <f>VLOOKUP(Table1[[#This Row],[Obergruppe ATC-Code]],Tabelle3!$A$2:$B$100,2)</f>
        <v>ANTINEOPLASTISCHE MITTEL</v>
      </c>
      <c r="X1815" s="1" t="str">
        <f xml:space="preserve"> LEFT(Table1[[#This Row],[Atc Code]],3)</f>
        <v>L01</v>
      </c>
    </row>
    <row r="1816" spans="1:24" ht="15" customHeight="1">
      <c r="A1816" s="14">
        <v>2869</v>
      </c>
      <c r="B1816" s="24" t="s">
        <v>4036</v>
      </c>
      <c r="C1816" s="1">
        <v>2119345</v>
      </c>
      <c r="D1816" s="1" t="s">
        <v>25</v>
      </c>
      <c r="E1816" s="36">
        <v>43617</v>
      </c>
      <c r="F1816" s="36">
        <v>43738</v>
      </c>
      <c r="G1816" s="38">
        <f t="shared" si="28"/>
        <v>121</v>
      </c>
      <c r="H1816" s="5">
        <v>43616</v>
      </c>
      <c r="I1816" s="5">
        <v>43682</v>
      </c>
      <c r="J1816" s="1" t="s">
        <v>41</v>
      </c>
      <c r="K1816" s="1" t="s">
        <v>4037</v>
      </c>
      <c r="L1816" s="1" t="s">
        <v>4028</v>
      </c>
      <c r="M1816" s="1" t="s">
        <v>4029</v>
      </c>
      <c r="N1816" s="1" t="s">
        <v>30</v>
      </c>
      <c r="O1816" s="1" t="s">
        <v>321</v>
      </c>
      <c r="P1816" s="1" t="s">
        <v>326</v>
      </c>
      <c r="Q1816" s="1" t="s">
        <v>327</v>
      </c>
      <c r="R1816" s="1" t="s">
        <v>26</v>
      </c>
      <c r="S1816" s="1"/>
      <c r="T1816" s="1" t="s">
        <v>4038</v>
      </c>
      <c r="U1816" s="1" t="s">
        <v>35</v>
      </c>
      <c r="V1816" s="1" t="s">
        <v>1007</v>
      </c>
      <c r="W1816" s="1" t="str">
        <f>VLOOKUP(Table1[[#This Row],[Obergruppe ATC-Code]],Tabelle3!$A$2:$B$100,2)</f>
        <v>ANTINEOPLASTISCHE MITTEL</v>
      </c>
      <c r="X1816" s="1" t="str">
        <f xml:space="preserve"> LEFT(Table1[[#This Row],[Atc Code]],3)</f>
        <v>L01</v>
      </c>
    </row>
    <row r="1817" spans="1:24" ht="14.4">
      <c r="A1817" s="14">
        <v>1650</v>
      </c>
      <c r="B1817" s="24" t="s">
        <v>4031</v>
      </c>
      <c r="C1817" s="1">
        <v>2140807</v>
      </c>
      <c r="D1817" s="1" t="s">
        <v>25</v>
      </c>
      <c r="E1817" s="36">
        <v>43678</v>
      </c>
      <c r="F1817" s="36">
        <v>43769</v>
      </c>
      <c r="G1817" s="38">
        <f t="shared" si="28"/>
        <v>91</v>
      </c>
      <c r="H1817" s="5">
        <v>43677</v>
      </c>
      <c r="I1817" s="5">
        <v>43774</v>
      </c>
      <c r="J1817" s="1" t="s">
        <v>41</v>
      </c>
      <c r="K1817" s="1" t="s">
        <v>4032</v>
      </c>
      <c r="L1817" s="1" t="s">
        <v>4028</v>
      </c>
      <c r="M1817" s="1" t="s">
        <v>4029</v>
      </c>
      <c r="N1817" s="1" t="s">
        <v>30</v>
      </c>
      <c r="O1817" s="1" t="s">
        <v>321</v>
      </c>
      <c r="P1817" s="1" t="s">
        <v>326</v>
      </c>
      <c r="Q1817" s="1" t="s">
        <v>327</v>
      </c>
      <c r="R1817" s="1" t="s">
        <v>48</v>
      </c>
      <c r="S1817" s="1"/>
      <c r="T1817" s="1" t="s">
        <v>4039</v>
      </c>
      <c r="U1817" s="1" t="s">
        <v>35</v>
      </c>
      <c r="V1817" s="1" t="s">
        <v>74</v>
      </c>
      <c r="W1817" s="1" t="str">
        <f>VLOOKUP(Table1[[#This Row],[Obergruppe ATC-Code]],Tabelle3!$A$2:$B$100,2)</f>
        <v>ANTINEOPLASTISCHE MITTEL</v>
      </c>
      <c r="X1817" s="1" t="str">
        <f xml:space="preserve"> LEFT(Table1[[#This Row],[Atc Code]],3)</f>
        <v>L01</v>
      </c>
    </row>
    <row r="1818" spans="1:24" ht="14.4">
      <c r="A1818" s="14">
        <v>1652</v>
      </c>
      <c r="B1818" s="24" t="s">
        <v>4034</v>
      </c>
      <c r="C1818" s="1">
        <v>2140808</v>
      </c>
      <c r="D1818" s="1" t="s">
        <v>25</v>
      </c>
      <c r="E1818" s="36">
        <v>43770</v>
      </c>
      <c r="F1818" s="36">
        <v>43830</v>
      </c>
      <c r="G1818" s="38">
        <f t="shared" si="28"/>
        <v>60</v>
      </c>
      <c r="H1818" s="5">
        <v>43812</v>
      </c>
      <c r="I1818" s="5">
        <v>43817</v>
      </c>
      <c r="J1818" s="1" t="s">
        <v>26</v>
      </c>
      <c r="K1818" s="1" t="s">
        <v>4035</v>
      </c>
      <c r="L1818" s="1" t="s">
        <v>4028</v>
      </c>
      <c r="M1818" s="1" t="s">
        <v>4029</v>
      </c>
      <c r="N1818" s="1" t="s">
        <v>30</v>
      </c>
      <c r="O1818" s="1" t="s">
        <v>321</v>
      </c>
      <c r="P1818" s="1" t="s">
        <v>326</v>
      </c>
      <c r="Q1818" s="1" t="s">
        <v>327</v>
      </c>
      <c r="R1818" s="1" t="s">
        <v>33</v>
      </c>
      <c r="S1818" s="1"/>
      <c r="T1818" s="1" t="s">
        <v>4038</v>
      </c>
      <c r="U1818" s="1" t="s">
        <v>35</v>
      </c>
      <c r="V1818" s="1" t="s">
        <v>74</v>
      </c>
      <c r="W1818" s="1" t="str">
        <f>VLOOKUP(Table1[[#This Row],[Obergruppe ATC-Code]],Tabelle3!$A$2:$B$100,2)</f>
        <v>ANTINEOPLASTISCHE MITTEL</v>
      </c>
      <c r="X1818" s="1" t="str">
        <f xml:space="preserve"> LEFT(Table1[[#This Row],[Atc Code]],3)</f>
        <v>L01</v>
      </c>
    </row>
    <row r="1819" spans="1:24" ht="14.4">
      <c r="A1819" s="14">
        <v>2868</v>
      </c>
      <c r="B1819" s="24" t="s">
        <v>4036</v>
      </c>
      <c r="C1819" s="1">
        <v>2119345</v>
      </c>
      <c r="D1819" s="1" t="s">
        <v>25</v>
      </c>
      <c r="E1819" s="36">
        <v>43739</v>
      </c>
      <c r="F1819" s="36">
        <v>43861</v>
      </c>
      <c r="G1819" s="38">
        <f t="shared" si="28"/>
        <v>122</v>
      </c>
      <c r="H1819" s="5">
        <v>43740</v>
      </c>
      <c r="I1819" s="5">
        <v>43850</v>
      </c>
      <c r="J1819" s="1" t="s">
        <v>41</v>
      </c>
      <c r="K1819" s="1" t="s">
        <v>4037</v>
      </c>
      <c r="L1819" s="1" t="s">
        <v>4028</v>
      </c>
      <c r="M1819" s="1" t="s">
        <v>4029</v>
      </c>
      <c r="N1819" s="1" t="s">
        <v>30</v>
      </c>
      <c r="O1819" s="1" t="s">
        <v>321</v>
      </c>
      <c r="P1819" s="1" t="s">
        <v>326</v>
      </c>
      <c r="Q1819" s="1" t="s">
        <v>327</v>
      </c>
      <c r="R1819" s="1" t="s">
        <v>26</v>
      </c>
      <c r="S1819" s="1"/>
      <c r="T1819" s="1" t="s">
        <v>4040</v>
      </c>
      <c r="U1819" s="1" t="s">
        <v>35</v>
      </c>
      <c r="V1819" s="1" t="s">
        <v>1007</v>
      </c>
      <c r="W1819" s="1" t="str">
        <f>VLOOKUP(Table1[[#This Row],[Obergruppe ATC-Code]],Tabelle3!$A$2:$B$100,2)</f>
        <v>ANTINEOPLASTISCHE MITTEL</v>
      </c>
      <c r="X1819" s="1" t="str">
        <f xml:space="preserve"> LEFT(Table1[[#This Row],[Atc Code]],3)</f>
        <v>L01</v>
      </c>
    </row>
    <row r="1820" spans="1:24" ht="14.4">
      <c r="A1820" s="14">
        <v>1520</v>
      </c>
      <c r="B1820" s="24">
        <v>16243992</v>
      </c>
      <c r="C1820" s="1">
        <v>2130382</v>
      </c>
      <c r="D1820" s="1" t="s">
        <v>25</v>
      </c>
      <c r="E1820" s="36">
        <v>43800</v>
      </c>
      <c r="F1820" s="36">
        <v>43921</v>
      </c>
      <c r="G1820" s="38">
        <f t="shared" si="28"/>
        <v>121</v>
      </c>
      <c r="H1820" s="5">
        <v>43812</v>
      </c>
      <c r="I1820" s="5">
        <v>43922</v>
      </c>
      <c r="J1820" s="1" t="s">
        <v>26</v>
      </c>
      <c r="K1820" s="1" t="s">
        <v>4027</v>
      </c>
      <c r="L1820" s="1" t="s">
        <v>4028</v>
      </c>
      <c r="M1820" s="1" t="s">
        <v>4029</v>
      </c>
      <c r="N1820" s="1" t="s">
        <v>30</v>
      </c>
      <c r="O1820" s="1" t="s">
        <v>321</v>
      </c>
      <c r="P1820" s="1" t="s">
        <v>326</v>
      </c>
      <c r="Q1820" s="1" t="s">
        <v>327</v>
      </c>
      <c r="R1820" s="1" t="s">
        <v>33</v>
      </c>
      <c r="S1820" s="1"/>
      <c r="T1820" s="1" t="s">
        <v>4038</v>
      </c>
      <c r="U1820" s="1" t="s">
        <v>35</v>
      </c>
      <c r="V1820" s="1" t="s">
        <v>262</v>
      </c>
      <c r="W1820" s="1" t="str">
        <f>VLOOKUP(Table1[[#This Row],[Obergruppe ATC-Code]],Tabelle3!$A$2:$B$100,2)</f>
        <v>ANTINEOPLASTISCHE MITTEL</v>
      </c>
      <c r="X1820" s="1" t="str">
        <f xml:space="preserve"> LEFT(Table1[[#This Row],[Atc Code]],3)</f>
        <v>L01</v>
      </c>
    </row>
    <row r="1821" spans="1:24" ht="14.4">
      <c r="A1821" s="14">
        <v>1522</v>
      </c>
      <c r="B1821" s="24">
        <v>16244000</v>
      </c>
      <c r="C1821" s="1">
        <v>2130383</v>
      </c>
      <c r="D1821" s="1" t="s">
        <v>25</v>
      </c>
      <c r="E1821" s="36">
        <v>43831</v>
      </c>
      <c r="F1821" s="36">
        <v>44104</v>
      </c>
      <c r="G1821" s="38">
        <f t="shared" si="28"/>
        <v>273</v>
      </c>
      <c r="H1821" s="5">
        <v>43812</v>
      </c>
      <c r="I1821" s="5">
        <v>44063</v>
      </c>
      <c r="J1821" s="1" t="s">
        <v>26</v>
      </c>
      <c r="K1821" s="1" t="s">
        <v>4041</v>
      </c>
      <c r="L1821" s="1" t="s">
        <v>4028</v>
      </c>
      <c r="M1821" s="1" t="s">
        <v>4029</v>
      </c>
      <c r="N1821" s="1" t="s">
        <v>30</v>
      </c>
      <c r="O1821" s="1" t="s">
        <v>321</v>
      </c>
      <c r="P1821" s="1" t="s">
        <v>326</v>
      </c>
      <c r="Q1821" s="1" t="s">
        <v>327</v>
      </c>
      <c r="R1821" s="1" t="s">
        <v>33</v>
      </c>
      <c r="S1821" s="1"/>
      <c r="T1821" s="1" t="s">
        <v>4038</v>
      </c>
      <c r="U1821" s="1" t="s">
        <v>35</v>
      </c>
      <c r="V1821" s="1" t="s">
        <v>262</v>
      </c>
      <c r="W1821" s="1" t="str">
        <f>VLOOKUP(Table1[[#This Row],[Obergruppe ATC-Code]],Tabelle3!$A$2:$B$100,2)</f>
        <v>ANTINEOPLASTISCHE MITTEL</v>
      </c>
      <c r="X1821" s="1" t="str">
        <f xml:space="preserve"> LEFT(Table1[[#This Row],[Atc Code]],3)</f>
        <v>L01</v>
      </c>
    </row>
    <row r="1822" spans="1:24" ht="14.4">
      <c r="A1822" s="14">
        <v>2425</v>
      </c>
      <c r="B1822" s="24" t="s">
        <v>4042</v>
      </c>
      <c r="C1822" s="1">
        <v>2182615</v>
      </c>
      <c r="D1822" s="1" t="s">
        <v>25</v>
      </c>
      <c r="E1822" s="36">
        <v>44607</v>
      </c>
      <c r="F1822" s="36">
        <v>44778</v>
      </c>
      <c r="G1822" s="38">
        <f t="shared" si="28"/>
        <v>171</v>
      </c>
      <c r="H1822" s="5">
        <v>44413</v>
      </c>
      <c r="I1822" s="5">
        <v>44791</v>
      </c>
      <c r="J1822" s="1" t="s">
        <v>41</v>
      </c>
      <c r="K1822" s="1" t="s">
        <v>4043</v>
      </c>
      <c r="L1822" s="1" t="s">
        <v>4028</v>
      </c>
      <c r="M1822" s="1" t="s">
        <v>4029</v>
      </c>
      <c r="N1822" s="1" t="s">
        <v>30</v>
      </c>
      <c r="O1822" s="1" t="s">
        <v>91</v>
      </c>
      <c r="P1822" s="1" t="s">
        <v>92</v>
      </c>
      <c r="Q1822" s="1" t="s">
        <v>93</v>
      </c>
      <c r="R1822" s="1" t="s">
        <v>128</v>
      </c>
      <c r="S1822" s="1"/>
      <c r="U1822" s="1" t="s">
        <v>130</v>
      </c>
      <c r="V1822" s="1" t="s">
        <v>279</v>
      </c>
      <c r="W1822" s="1" t="str">
        <f>VLOOKUP(Table1[[#This Row],[Obergruppe ATC-Code]],Tabelle3!$A$2:$B$100,2)</f>
        <v>ANTINEOPLASTISCHE MITTEL</v>
      </c>
      <c r="X1822" s="1" t="str">
        <f xml:space="preserve"> LEFT(Table1[[#This Row],[Atc Code]],3)</f>
        <v>L01</v>
      </c>
    </row>
    <row r="1823" spans="1:24" ht="14.4">
      <c r="A1823" s="14">
        <v>2294</v>
      </c>
      <c r="B1823" s="24" t="s">
        <v>4044</v>
      </c>
      <c r="C1823" s="1">
        <v>2146095</v>
      </c>
      <c r="D1823" s="1" t="s">
        <v>25</v>
      </c>
      <c r="E1823" s="36">
        <v>43862</v>
      </c>
      <c r="F1823" s="36">
        <v>44135</v>
      </c>
      <c r="G1823" s="38">
        <f t="shared" si="28"/>
        <v>273</v>
      </c>
      <c r="H1823" s="5">
        <v>43867</v>
      </c>
      <c r="I1823" s="5">
        <v>44098</v>
      </c>
      <c r="J1823" s="1" t="s">
        <v>41</v>
      </c>
      <c r="K1823" s="1" t="s">
        <v>4045</v>
      </c>
      <c r="L1823" s="1" t="s">
        <v>4046</v>
      </c>
      <c r="M1823" s="1" t="s">
        <v>4047</v>
      </c>
      <c r="N1823" s="1" t="s">
        <v>30</v>
      </c>
      <c r="O1823" s="1" t="s">
        <v>123</v>
      </c>
      <c r="P1823" s="1" t="s">
        <v>124</v>
      </c>
      <c r="Q1823" s="1" t="s">
        <v>125</v>
      </c>
      <c r="R1823" s="1" t="s">
        <v>26</v>
      </c>
      <c r="S1823" s="1"/>
      <c r="U1823" s="1" t="s">
        <v>35</v>
      </c>
      <c r="V1823" s="1" t="s">
        <v>1009</v>
      </c>
      <c r="W1823" s="1" t="str">
        <f>VLOOKUP(Table1[[#This Row],[Obergruppe ATC-Code]],Tabelle3!$A$2:$B$100,2)</f>
        <v>ANTINEOPLASTISCHE MITTEL</v>
      </c>
      <c r="X1823" s="1" t="str">
        <f xml:space="preserve"> LEFT(Table1[[#This Row],[Atc Code]],3)</f>
        <v>L01</v>
      </c>
    </row>
    <row r="1824" spans="1:24" ht="14.4">
      <c r="A1824" s="14">
        <v>404</v>
      </c>
      <c r="B1824" s="24">
        <v>2411351</v>
      </c>
      <c r="C1824" s="1">
        <v>10808</v>
      </c>
      <c r="D1824" s="1" t="s">
        <v>25</v>
      </c>
      <c r="E1824" s="36">
        <v>43952</v>
      </c>
      <c r="F1824" s="36">
        <v>44561</v>
      </c>
      <c r="G1824" s="38">
        <f t="shared" si="28"/>
        <v>609</v>
      </c>
      <c r="H1824" s="5">
        <v>43937</v>
      </c>
      <c r="I1824" s="5">
        <v>44596</v>
      </c>
      <c r="J1824" s="1" t="s">
        <v>41</v>
      </c>
      <c r="K1824" s="1" t="s">
        <v>4048</v>
      </c>
      <c r="L1824" s="1" t="s">
        <v>4046</v>
      </c>
      <c r="M1824" s="1" t="s">
        <v>4047</v>
      </c>
      <c r="N1824" s="1" t="s">
        <v>30</v>
      </c>
      <c r="O1824" s="1" t="s">
        <v>783</v>
      </c>
      <c r="P1824" s="1" t="s">
        <v>3827</v>
      </c>
      <c r="Q1824" s="1" t="s">
        <v>3827</v>
      </c>
      <c r="R1824" s="1" t="s">
        <v>26</v>
      </c>
      <c r="S1824" s="1"/>
      <c r="U1824" s="1" t="s">
        <v>35</v>
      </c>
      <c r="V1824" s="1" t="s">
        <v>1009</v>
      </c>
      <c r="W1824" s="1" t="str">
        <f>VLOOKUP(Table1[[#This Row],[Obergruppe ATC-Code]],Tabelle3!$A$2:$B$100,2)</f>
        <v>ANTINEOPLASTISCHE MITTEL</v>
      </c>
      <c r="X1824" s="1" t="str">
        <f xml:space="preserve"> LEFT(Table1[[#This Row],[Atc Code]],3)</f>
        <v>L01</v>
      </c>
    </row>
    <row r="1825" spans="1:24" ht="14.4">
      <c r="A1825" s="14">
        <v>2291</v>
      </c>
      <c r="B1825" s="24" t="s">
        <v>4049</v>
      </c>
      <c r="C1825" s="1">
        <v>2137446</v>
      </c>
      <c r="D1825" s="1" t="s">
        <v>25</v>
      </c>
      <c r="E1825" s="36">
        <v>44044</v>
      </c>
      <c r="F1825" s="36">
        <v>44104</v>
      </c>
      <c r="G1825" s="38">
        <f t="shared" si="28"/>
        <v>60</v>
      </c>
      <c r="H1825" s="5">
        <v>44053</v>
      </c>
      <c r="I1825" s="5">
        <v>44091</v>
      </c>
      <c r="J1825" s="1" t="s">
        <v>26</v>
      </c>
      <c r="K1825" s="1" t="s">
        <v>4050</v>
      </c>
      <c r="L1825" s="1" t="s">
        <v>4051</v>
      </c>
      <c r="M1825" s="1" t="s">
        <v>4052</v>
      </c>
      <c r="N1825" s="1" t="s">
        <v>30</v>
      </c>
      <c r="O1825" s="1" t="s">
        <v>2390</v>
      </c>
      <c r="P1825" s="1" t="s">
        <v>3385</v>
      </c>
      <c r="Q1825" s="1" t="s">
        <v>3386</v>
      </c>
      <c r="R1825" s="1" t="s">
        <v>33</v>
      </c>
      <c r="S1825" s="1"/>
      <c r="U1825" s="1" t="s">
        <v>35</v>
      </c>
      <c r="V1825" s="1" t="s">
        <v>4053</v>
      </c>
      <c r="W1825" s="1" t="str">
        <f>VLOOKUP(Table1[[#This Row],[Obergruppe ATC-Code]],Tabelle3!$A$2:$B$100,2)</f>
        <v>ANTINEOPLASTISCHE MITTEL</v>
      </c>
      <c r="X1825" s="1" t="str">
        <f xml:space="preserve"> LEFT(Table1[[#This Row],[Atc Code]],3)</f>
        <v>L01</v>
      </c>
    </row>
    <row r="1826" spans="1:24" ht="14.4">
      <c r="A1826" s="14">
        <v>2603</v>
      </c>
      <c r="B1826" s="24" t="s">
        <v>4054</v>
      </c>
      <c r="C1826" s="1">
        <v>2191369</v>
      </c>
      <c r="D1826" s="1" t="s">
        <v>25</v>
      </c>
      <c r="E1826" s="36">
        <v>44606</v>
      </c>
      <c r="F1826" s="36">
        <v>44606</v>
      </c>
      <c r="G1826" s="38">
        <f t="shared" si="28"/>
        <v>0</v>
      </c>
      <c r="H1826" s="5">
        <v>44603</v>
      </c>
      <c r="I1826" s="5">
        <v>44606</v>
      </c>
      <c r="J1826" s="1" t="s">
        <v>26</v>
      </c>
      <c r="K1826" s="1" t="s">
        <v>4055</v>
      </c>
      <c r="L1826" s="1" t="s">
        <v>4051</v>
      </c>
      <c r="M1826" s="1" t="s">
        <v>4052</v>
      </c>
      <c r="N1826" s="1" t="s">
        <v>38</v>
      </c>
      <c r="O1826" s="1" t="s">
        <v>783</v>
      </c>
      <c r="P1826" s="1" t="s">
        <v>4056</v>
      </c>
      <c r="Q1826" s="1" t="s">
        <v>4057</v>
      </c>
      <c r="R1826" s="1" t="s">
        <v>26</v>
      </c>
      <c r="S1826" s="1" t="s">
        <v>4058</v>
      </c>
      <c r="U1826" s="1" t="s">
        <v>57</v>
      </c>
      <c r="V1826" s="1" t="s">
        <v>4059</v>
      </c>
      <c r="W1826" s="1" t="str">
        <f>VLOOKUP(Table1[[#This Row],[Obergruppe ATC-Code]],Tabelle3!$A$2:$B$100,2)</f>
        <v>ANTINEOPLASTISCHE MITTEL</v>
      </c>
      <c r="X1826" s="1" t="str">
        <f xml:space="preserve"> LEFT(Table1[[#This Row],[Atc Code]],3)</f>
        <v>L01</v>
      </c>
    </row>
    <row r="1827" spans="1:24" ht="14.4">
      <c r="A1827" s="14">
        <v>2599</v>
      </c>
      <c r="B1827" s="24" t="s">
        <v>4060</v>
      </c>
      <c r="C1827" s="1">
        <v>2191368</v>
      </c>
      <c r="D1827" s="1" t="s">
        <v>25</v>
      </c>
      <c r="E1827" s="36">
        <v>44606</v>
      </c>
      <c r="F1827" s="36">
        <v>44606</v>
      </c>
      <c r="G1827" s="38">
        <f t="shared" si="28"/>
        <v>0</v>
      </c>
      <c r="H1827" s="5">
        <v>44603</v>
      </c>
      <c r="I1827" s="5">
        <v>44606</v>
      </c>
      <c r="J1827" s="1" t="s">
        <v>26</v>
      </c>
      <c r="K1827" s="1" t="s">
        <v>4061</v>
      </c>
      <c r="L1827" s="1" t="s">
        <v>4051</v>
      </c>
      <c r="M1827" s="1" t="s">
        <v>4052</v>
      </c>
      <c r="N1827" s="1" t="s">
        <v>38</v>
      </c>
      <c r="O1827" s="1" t="s">
        <v>783</v>
      </c>
      <c r="P1827" s="1" t="s">
        <v>4056</v>
      </c>
      <c r="Q1827" s="1" t="s">
        <v>4057</v>
      </c>
      <c r="R1827" s="1" t="s">
        <v>26</v>
      </c>
      <c r="S1827" s="1" t="s">
        <v>4062</v>
      </c>
      <c r="U1827" s="1" t="s">
        <v>57</v>
      </c>
      <c r="V1827" s="1" t="s">
        <v>4059</v>
      </c>
      <c r="W1827" s="1" t="str">
        <f>VLOOKUP(Table1[[#This Row],[Obergruppe ATC-Code]],Tabelle3!$A$2:$B$100,2)</f>
        <v>ANTINEOPLASTISCHE MITTEL</v>
      </c>
      <c r="X1827" s="1" t="str">
        <f xml:space="preserve"> LEFT(Table1[[#This Row],[Atc Code]],3)</f>
        <v>L01</v>
      </c>
    </row>
    <row r="1828" spans="1:24" ht="14.4">
      <c r="A1828" s="14">
        <v>1958</v>
      </c>
      <c r="B1828" s="24" t="s">
        <v>4063</v>
      </c>
      <c r="C1828" s="1">
        <v>2140379</v>
      </c>
      <c r="D1828" s="1" t="s">
        <v>25</v>
      </c>
      <c r="E1828" s="36">
        <v>44676</v>
      </c>
      <c r="F1828" s="36">
        <v>44694</v>
      </c>
      <c r="G1828" s="38">
        <f t="shared" si="28"/>
        <v>18</v>
      </c>
      <c r="H1828" s="5">
        <v>44680</v>
      </c>
      <c r="I1828" s="5">
        <v>44697</v>
      </c>
      <c r="J1828" s="1" t="s">
        <v>41</v>
      </c>
      <c r="K1828" s="1" t="s">
        <v>4064</v>
      </c>
      <c r="L1828" s="1" t="s">
        <v>4051</v>
      </c>
      <c r="M1828" s="1" t="s">
        <v>4052</v>
      </c>
      <c r="N1828" s="1" t="s">
        <v>38</v>
      </c>
      <c r="O1828" s="1" t="s">
        <v>4065</v>
      </c>
      <c r="P1828" s="1" t="s">
        <v>4066</v>
      </c>
      <c r="Q1828" s="1" t="s">
        <v>4067</v>
      </c>
      <c r="R1828" s="1" t="s">
        <v>128</v>
      </c>
      <c r="S1828" s="1"/>
      <c r="T1828" s="1" t="s">
        <v>4068</v>
      </c>
      <c r="U1828" s="1" t="s">
        <v>35</v>
      </c>
      <c r="V1828" s="1" t="s">
        <v>4069</v>
      </c>
      <c r="W1828" s="1" t="str">
        <f>VLOOKUP(Table1[[#This Row],[Obergruppe ATC-Code]],Tabelle3!$A$2:$B$100,2)</f>
        <v>ANTINEOPLASTISCHE MITTEL</v>
      </c>
      <c r="X1828" s="1" t="str">
        <f xml:space="preserve"> LEFT(Table1[[#This Row],[Atc Code]],3)</f>
        <v>L01</v>
      </c>
    </row>
    <row r="1829" spans="1:24" ht="14.4">
      <c r="A1829" s="14">
        <v>2602</v>
      </c>
      <c r="B1829" s="24" t="s">
        <v>4070</v>
      </c>
      <c r="C1829" s="1">
        <v>2191369</v>
      </c>
      <c r="D1829" s="1" t="s">
        <v>25</v>
      </c>
      <c r="E1829" s="36">
        <v>44697</v>
      </c>
      <c r="F1829" s="36">
        <v>44701</v>
      </c>
      <c r="G1829" s="38">
        <f t="shared" si="28"/>
        <v>4</v>
      </c>
      <c r="H1829" s="5">
        <v>44698</v>
      </c>
      <c r="I1829" s="5">
        <v>44704</v>
      </c>
      <c r="J1829" s="1" t="s">
        <v>26</v>
      </c>
      <c r="K1829" s="1" t="s">
        <v>4055</v>
      </c>
      <c r="L1829" s="1" t="s">
        <v>4051</v>
      </c>
      <c r="M1829" s="1" t="s">
        <v>4052</v>
      </c>
      <c r="N1829" s="1" t="s">
        <v>38</v>
      </c>
      <c r="O1829" s="1" t="s">
        <v>783</v>
      </c>
      <c r="P1829" s="1" t="s">
        <v>4071</v>
      </c>
      <c r="Q1829" s="1" t="s">
        <v>4057</v>
      </c>
      <c r="R1829" s="1" t="s">
        <v>113</v>
      </c>
      <c r="S1829" s="1" t="s">
        <v>4072</v>
      </c>
      <c r="U1829" s="1" t="s">
        <v>35</v>
      </c>
      <c r="V1829" s="1" t="s">
        <v>4059</v>
      </c>
      <c r="W1829" s="1" t="str">
        <f>VLOOKUP(Table1[[#This Row],[Obergruppe ATC-Code]],Tabelle3!$A$2:$B$100,2)</f>
        <v>ANTINEOPLASTISCHE MITTEL</v>
      </c>
      <c r="X1829" s="1" t="str">
        <f xml:space="preserve"> LEFT(Table1[[#This Row],[Atc Code]],3)</f>
        <v>L01</v>
      </c>
    </row>
    <row r="1830" spans="1:24" ht="14.4">
      <c r="A1830" s="14">
        <v>2601</v>
      </c>
      <c r="B1830" s="24" t="s">
        <v>4070</v>
      </c>
      <c r="C1830" s="1">
        <v>2191369</v>
      </c>
      <c r="D1830" s="1" t="s">
        <v>25</v>
      </c>
      <c r="E1830" s="36">
        <v>44726</v>
      </c>
      <c r="F1830" s="36">
        <v>44771</v>
      </c>
      <c r="G1830" s="38">
        <f t="shared" si="28"/>
        <v>45</v>
      </c>
      <c r="H1830" s="5">
        <v>44726</v>
      </c>
      <c r="I1830" s="5">
        <v>44774</v>
      </c>
      <c r="J1830" s="1" t="s">
        <v>26</v>
      </c>
      <c r="K1830" s="1" t="s">
        <v>4055</v>
      </c>
      <c r="L1830" s="1" t="s">
        <v>4051</v>
      </c>
      <c r="M1830" s="1" t="s">
        <v>4052</v>
      </c>
      <c r="N1830" s="1" t="s">
        <v>30</v>
      </c>
      <c r="O1830" s="1" t="s">
        <v>783</v>
      </c>
      <c r="P1830" s="1" t="s">
        <v>4073</v>
      </c>
      <c r="Q1830" s="1" t="s">
        <v>4057</v>
      </c>
      <c r="R1830" s="1" t="s">
        <v>26</v>
      </c>
      <c r="S1830" s="1"/>
      <c r="U1830" s="1" t="s">
        <v>130</v>
      </c>
      <c r="V1830" s="1" t="s">
        <v>4059</v>
      </c>
      <c r="W1830" s="1" t="str">
        <f>VLOOKUP(Table1[[#This Row],[Obergruppe ATC-Code]],Tabelle3!$A$2:$B$100,2)</f>
        <v>ANTINEOPLASTISCHE MITTEL</v>
      </c>
      <c r="X1830" s="1" t="str">
        <f xml:space="preserve"> LEFT(Table1[[#This Row],[Atc Code]],3)</f>
        <v>L01</v>
      </c>
    </row>
    <row r="1831" spans="1:24" ht="14.4">
      <c r="A1831" s="14">
        <v>397</v>
      </c>
      <c r="B1831" s="24">
        <v>2402211</v>
      </c>
      <c r="C1831" s="1">
        <v>2140379</v>
      </c>
      <c r="D1831" s="1" t="s">
        <v>25</v>
      </c>
      <c r="E1831" s="36">
        <v>44778</v>
      </c>
      <c r="F1831" s="36">
        <v>44792</v>
      </c>
      <c r="G1831" s="38">
        <f t="shared" si="28"/>
        <v>14</v>
      </c>
      <c r="H1831" s="5">
        <v>44778</v>
      </c>
      <c r="I1831" s="5">
        <v>44792</v>
      </c>
      <c r="J1831" s="1" t="s">
        <v>41</v>
      </c>
      <c r="K1831" s="1" t="s">
        <v>4064</v>
      </c>
      <c r="L1831" s="1" t="s">
        <v>4051</v>
      </c>
      <c r="M1831" s="1" t="s">
        <v>4052</v>
      </c>
      <c r="N1831" s="1" t="s">
        <v>38</v>
      </c>
      <c r="O1831" s="1" t="s">
        <v>4065</v>
      </c>
      <c r="P1831" s="1" t="s">
        <v>4066</v>
      </c>
      <c r="Q1831" s="1" t="s">
        <v>4067</v>
      </c>
      <c r="R1831" s="1" t="s">
        <v>128</v>
      </c>
      <c r="S1831" s="1"/>
      <c r="U1831" s="1" t="s">
        <v>130</v>
      </c>
      <c r="V1831" s="1" t="s">
        <v>4069</v>
      </c>
      <c r="W1831" s="1" t="str">
        <f>VLOOKUP(Table1[[#This Row],[Obergruppe ATC-Code]],Tabelle3!$A$2:$B$100,2)</f>
        <v>ANTINEOPLASTISCHE MITTEL</v>
      </c>
      <c r="X1831" s="1" t="str">
        <f xml:space="preserve"> LEFT(Table1[[#This Row],[Atc Code]],3)</f>
        <v>L01</v>
      </c>
    </row>
    <row r="1832" spans="1:24" ht="14.4">
      <c r="A1832" s="14">
        <v>2598</v>
      </c>
      <c r="B1832" s="24" t="s">
        <v>4074</v>
      </c>
      <c r="C1832" s="1" t="s">
        <v>4075</v>
      </c>
      <c r="D1832" s="1" t="s">
        <v>25</v>
      </c>
      <c r="E1832" s="36">
        <v>44886</v>
      </c>
      <c r="F1832" s="36">
        <v>44886</v>
      </c>
      <c r="G1832" s="38">
        <f t="shared" si="28"/>
        <v>0</v>
      </c>
      <c r="H1832" s="5">
        <v>44886</v>
      </c>
      <c r="I1832" s="5">
        <v>44886</v>
      </c>
      <c r="J1832" s="1" t="s">
        <v>41</v>
      </c>
      <c r="K1832" s="1" t="s">
        <v>4061</v>
      </c>
      <c r="L1832" s="1" t="s">
        <v>4051</v>
      </c>
      <c r="M1832" s="1" t="s">
        <v>4052</v>
      </c>
      <c r="N1832" s="1" t="s">
        <v>38</v>
      </c>
      <c r="O1832" s="1" t="s">
        <v>783</v>
      </c>
      <c r="Q1832" s="1" t="s">
        <v>1944</v>
      </c>
      <c r="R1832" s="1" t="s">
        <v>128</v>
      </c>
      <c r="S1832" s="1"/>
      <c r="U1832" s="1" t="s">
        <v>35</v>
      </c>
      <c r="V1832" s="1" t="s">
        <v>4059</v>
      </c>
      <c r="W1832" s="1" t="str">
        <f>VLOOKUP(Table1[[#This Row],[Obergruppe ATC-Code]],Tabelle3!$A$2:$B$100,2)</f>
        <v>ANTINEOPLASTISCHE MITTEL</v>
      </c>
      <c r="X1832" s="1" t="str">
        <f xml:space="preserve"> LEFT(Table1[[#This Row],[Atc Code]],3)</f>
        <v>L01</v>
      </c>
    </row>
    <row r="1833" spans="1:24" ht="14.4">
      <c r="A1833" s="14">
        <v>1222</v>
      </c>
      <c r="B1833" s="24">
        <v>11213443</v>
      </c>
      <c r="C1833" s="1">
        <v>2191368</v>
      </c>
      <c r="D1833" s="1" t="s">
        <v>25</v>
      </c>
      <c r="E1833" s="36">
        <v>44886</v>
      </c>
      <c r="F1833" s="36">
        <v>44917</v>
      </c>
      <c r="G1833" s="38">
        <f t="shared" si="28"/>
        <v>31</v>
      </c>
      <c r="H1833" s="5">
        <v>44886</v>
      </c>
      <c r="I1833" s="5">
        <v>44917</v>
      </c>
      <c r="J1833" s="1" t="s">
        <v>41</v>
      </c>
      <c r="K1833" s="1" t="s">
        <v>4061</v>
      </c>
      <c r="L1833" s="1" t="s">
        <v>4051</v>
      </c>
      <c r="M1833" s="1" t="s">
        <v>4052</v>
      </c>
      <c r="N1833" s="1" t="s">
        <v>38</v>
      </c>
      <c r="O1833" s="1" t="s">
        <v>783</v>
      </c>
      <c r="Q1833" s="1" t="s">
        <v>1944</v>
      </c>
      <c r="R1833" s="1" t="s">
        <v>26</v>
      </c>
      <c r="S1833" s="1"/>
      <c r="U1833" s="1" t="s">
        <v>35</v>
      </c>
      <c r="V1833" s="1" t="s">
        <v>4059</v>
      </c>
      <c r="W1833" s="1" t="str">
        <f>VLOOKUP(Table1[[#This Row],[Obergruppe ATC-Code]],Tabelle3!$A$2:$B$100,2)</f>
        <v>ANTINEOPLASTISCHE MITTEL</v>
      </c>
      <c r="X1833" s="1" t="str">
        <f xml:space="preserve"> LEFT(Table1[[#This Row],[Atc Code]],3)</f>
        <v>L01</v>
      </c>
    </row>
    <row r="1834" spans="1:24" ht="14.4">
      <c r="A1834" s="14">
        <v>2600</v>
      </c>
      <c r="B1834" s="24" t="s">
        <v>4070</v>
      </c>
      <c r="C1834" s="1">
        <v>2191369</v>
      </c>
      <c r="D1834" s="1" t="s">
        <v>25</v>
      </c>
      <c r="E1834" s="36">
        <v>44886</v>
      </c>
      <c r="F1834" s="36">
        <v>44925</v>
      </c>
      <c r="G1834" s="38">
        <f t="shared" si="28"/>
        <v>39</v>
      </c>
      <c r="H1834" s="5">
        <v>44886</v>
      </c>
      <c r="I1834" s="5">
        <v>44925</v>
      </c>
      <c r="J1834" s="1" t="s">
        <v>41</v>
      </c>
      <c r="K1834" s="1" t="s">
        <v>4055</v>
      </c>
      <c r="L1834" s="1" t="s">
        <v>4051</v>
      </c>
      <c r="M1834" s="1" t="s">
        <v>4052</v>
      </c>
      <c r="N1834" s="1" t="s">
        <v>30</v>
      </c>
      <c r="O1834" s="1" t="s">
        <v>783</v>
      </c>
      <c r="Q1834" s="1" t="s">
        <v>1944</v>
      </c>
      <c r="R1834" s="1" t="s">
        <v>26</v>
      </c>
      <c r="S1834" s="1"/>
      <c r="U1834" s="1" t="s">
        <v>35</v>
      </c>
      <c r="V1834" s="1" t="s">
        <v>4059</v>
      </c>
      <c r="W1834" s="1" t="str">
        <f>VLOOKUP(Table1[[#This Row],[Obergruppe ATC-Code]],Tabelle3!$A$2:$B$100,2)</f>
        <v>ANTINEOPLASTISCHE MITTEL</v>
      </c>
      <c r="X1834" s="1" t="str">
        <f xml:space="preserve"> LEFT(Table1[[#This Row],[Atc Code]],3)</f>
        <v>L01</v>
      </c>
    </row>
    <row r="1835" spans="1:24" ht="14.4">
      <c r="A1835" s="14">
        <v>1957</v>
      </c>
      <c r="B1835" s="24" t="s">
        <v>4063</v>
      </c>
      <c r="C1835" s="1">
        <v>2140379</v>
      </c>
      <c r="D1835" s="1" t="s">
        <v>25</v>
      </c>
      <c r="E1835" s="36">
        <v>44946</v>
      </c>
      <c r="F1835" s="36">
        <v>44972</v>
      </c>
      <c r="G1835" s="38">
        <f t="shared" si="28"/>
        <v>26</v>
      </c>
      <c r="H1835" s="5">
        <v>44952</v>
      </c>
      <c r="I1835" s="5">
        <v>44972</v>
      </c>
      <c r="J1835" s="1" t="s">
        <v>41</v>
      </c>
      <c r="K1835" s="1" t="s">
        <v>4064</v>
      </c>
      <c r="L1835" s="1" t="s">
        <v>4051</v>
      </c>
      <c r="M1835" s="1" t="s">
        <v>4052</v>
      </c>
      <c r="N1835" s="1" t="s">
        <v>38</v>
      </c>
      <c r="O1835" s="1" t="s">
        <v>4065</v>
      </c>
      <c r="P1835" s="1" t="s">
        <v>4076</v>
      </c>
      <c r="Q1835" s="1" t="s">
        <v>4077</v>
      </c>
      <c r="R1835" s="1" t="s">
        <v>128</v>
      </c>
      <c r="S1835" s="1" t="s">
        <v>4078</v>
      </c>
      <c r="T1835" s="1" t="s">
        <v>4068</v>
      </c>
      <c r="U1835" s="1" t="s">
        <v>35</v>
      </c>
      <c r="V1835" s="1" t="s">
        <v>4069</v>
      </c>
      <c r="W1835" s="1" t="str">
        <f>VLOOKUP(Table1[[#This Row],[Obergruppe ATC-Code]],Tabelle3!$A$2:$B$100,2)</f>
        <v>ANTINEOPLASTISCHE MITTEL</v>
      </c>
      <c r="X1835" s="1" t="str">
        <f xml:space="preserve"> LEFT(Table1[[#This Row],[Atc Code]],3)</f>
        <v>L01</v>
      </c>
    </row>
    <row r="1836" spans="1:24" ht="14.4">
      <c r="A1836" s="14">
        <v>2805</v>
      </c>
      <c r="B1836" s="24" t="s">
        <v>4079</v>
      </c>
      <c r="C1836" s="1">
        <v>2197787</v>
      </c>
      <c r="D1836" s="1" t="s">
        <v>25</v>
      </c>
      <c r="E1836" s="36">
        <v>44044</v>
      </c>
      <c r="F1836" s="36">
        <v>45105</v>
      </c>
      <c r="G1836" s="38">
        <f t="shared" si="28"/>
        <v>1061</v>
      </c>
      <c r="H1836" s="5">
        <v>44053</v>
      </c>
      <c r="I1836" s="5">
        <v>45110</v>
      </c>
      <c r="J1836" s="1" t="s">
        <v>41</v>
      </c>
      <c r="K1836" s="1" t="s">
        <v>4080</v>
      </c>
      <c r="L1836" s="1" t="s">
        <v>4051</v>
      </c>
      <c r="M1836" s="1" t="s">
        <v>4052</v>
      </c>
      <c r="N1836" s="1" t="s">
        <v>30</v>
      </c>
      <c r="O1836" s="1" t="s">
        <v>2390</v>
      </c>
      <c r="P1836" s="1" t="s">
        <v>4081</v>
      </c>
      <c r="Q1836" s="1" t="s">
        <v>3386</v>
      </c>
      <c r="R1836" s="1" t="s">
        <v>26</v>
      </c>
      <c r="S1836" s="1"/>
      <c r="U1836" s="1" t="s">
        <v>57</v>
      </c>
      <c r="V1836" s="1" t="s">
        <v>4053</v>
      </c>
      <c r="W1836" s="1" t="str">
        <f>VLOOKUP(Table1[[#This Row],[Obergruppe ATC-Code]],Tabelle3!$A$2:$B$100,2)</f>
        <v>ANTINEOPLASTISCHE MITTEL</v>
      </c>
      <c r="X1836" s="1" t="str">
        <f xml:space="preserve"> LEFT(Table1[[#This Row],[Atc Code]],3)</f>
        <v>L01</v>
      </c>
    </row>
    <row r="1837" spans="1:24" ht="14.4">
      <c r="A1837" s="14">
        <v>2290</v>
      </c>
      <c r="B1837" s="24" t="s">
        <v>4082</v>
      </c>
      <c r="C1837" s="1">
        <v>2137446</v>
      </c>
      <c r="D1837" s="1" t="s">
        <v>25</v>
      </c>
      <c r="E1837" s="36">
        <v>44197</v>
      </c>
      <c r="F1837" s="36">
        <v>45111</v>
      </c>
      <c r="G1837" s="38">
        <f t="shared" si="28"/>
        <v>914</v>
      </c>
      <c r="H1837" s="5">
        <v>44217</v>
      </c>
      <c r="I1837" s="5">
        <v>45111</v>
      </c>
      <c r="J1837" s="1" t="s">
        <v>41</v>
      </c>
      <c r="K1837" s="1" t="s">
        <v>4050</v>
      </c>
      <c r="L1837" s="1" t="s">
        <v>4051</v>
      </c>
      <c r="M1837" s="1" t="s">
        <v>4052</v>
      </c>
      <c r="N1837" s="1" t="s">
        <v>30</v>
      </c>
      <c r="O1837" s="1" t="s">
        <v>2390</v>
      </c>
      <c r="P1837" s="1" t="s">
        <v>4081</v>
      </c>
      <c r="Q1837" s="1" t="s">
        <v>3386</v>
      </c>
      <c r="R1837" s="1" t="s">
        <v>26</v>
      </c>
      <c r="S1837" s="1"/>
      <c r="T1837" s="1" t="s">
        <v>4083</v>
      </c>
      <c r="U1837" s="1" t="s">
        <v>57</v>
      </c>
      <c r="V1837" s="1" t="s">
        <v>4053</v>
      </c>
      <c r="W1837" s="1" t="str">
        <f>VLOOKUP(Table1[[#This Row],[Obergruppe ATC-Code]],Tabelle3!$A$2:$B$100,2)</f>
        <v>ANTINEOPLASTISCHE MITTEL</v>
      </c>
      <c r="X1837" s="1" t="str">
        <f xml:space="preserve"> LEFT(Table1[[#This Row],[Atc Code]],3)</f>
        <v>L01</v>
      </c>
    </row>
    <row r="1838" spans="1:24" ht="15" customHeight="1">
      <c r="A1838" s="14">
        <v>1492</v>
      </c>
      <c r="B1838" s="24">
        <v>15583214</v>
      </c>
      <c r="C1838" s="1">
        <v>2137444</v>
      </c>
      <c r="D1838" s="1" t="s">
        <v>25</v>
      </c>
      <c r="E1838" s="36">
        <v>43831</v>
      </c>
      <c r="F1838" s="36">
        <v>45111</v>
      </c>
      <c r="G1838" s="38">
        <f t="shared" si="28"/>
        <v>1280</v>
      </c>
      <c r="H1838" s="5">
        <v>44053</v>
      </c>
      <c r="I1838" s="5">
        <v>45111</v>
      </c>
      <c r="J1838" s="1" t="s">
        <v>26</v>
      </c>
      <c r="K1838" s="1" t="s">
        <v>4084</v>
      </c>
      <c r="L1838" s="1" t="s">
        <v>4051</v>
      </c>
      <c r="M1838" s="1" t="s">
        <v>4052</v>
      </c>
      <c r="N1838" s="1" t="s">
        <v>30</v>
      </c>
      <c r="O1838" s="1" t="s">
        <v>2390</v>
      </c>
      <c r="P1838" s="1" t="s">
        <v>4085</v>
      </c>
      <c r="Q1838" s="1" t="s">
        <v>3386</v>
      </c>
      <c r="R1838" s="1" t="s">
        <v>26</v>
      </c>
      <c r="S1838" s="1"/>
      <c r="U1838" s="1" t="s">
        <v>57</v>
      </c>
      <c r="V1838" s="1" t="s">
        <v>4053</v>
      </c>
      <c r="W1838" s="1" t="str">
        <f>VLOOKUP(Table1[[#This Row],[Obergruppe ATC-Code]],Tabelle3!$A$2:$B$100,2)</f>
        <v>ANTINEOPLASTISCHE MITTEL</v>
      </c>
      <c r="X1838" s="1" t="str">
        <f xml:space="preserve"> LEFT(Table1[[#This Row],[Atc Code]],3)</f>
        <v>L01</v>
      </c>
    </row>
    <row r="1839" spans="1:24" ht="14.4">
      <c r="A1839" s="14">
        <v>1568</v>
      </c>
      <c r="B1839" s="24">
        <v>16886862</v>
      </c>
      <c r="C1839" s="1">
        <v>2204214</v>
      </c>
      <c r="D1839" s="1" t="s">
        <v>25</v>
      </c>
      <c r="E1839" s="36">
        <v>45141</v>
      </c>
      <c r="F1839" s="36">
        <v>45189</v>
      </c>
      <c r="G1839" s="38">
        <f t="shared" si="28"/>
        <v>48</v>
      </c>
      <c r="H1839" s="5">
        <v>45142</v>
      </c>
      <c r="I1839" s="5">
        <v>45195</v>
      </c>
      <c r="J1839" s="1" t="s">
        <v>41</v>
      </c>
      <c r="K1839" s="1" t="s">
        <v>4086</v>
      </c>
      <c r="L1839" s="1" t="s">
        <v>4087</v>
      </c>
      <c r="M1839" s="1" t="s">
        <v>4088</v>
      </c>
      <c r="N1839" s="1" t="s">
        <v>38</v>
      </c>
      <c r="O1839" s="1" t="s">
        <v>123</v>
      </c>
      <c r="Q1839" s="1" t="s">
        <v>201</v>
      </c>
      <c r="R1839" s="1" t="s">
        <v>128</v>
      </c>
      <c r="S1839" s="1" t="s">
        <v>3070</v>
      </c>
      <c r="U1839" s="1" t="s">
        <v>130</v>
      </c>
      <c r="V1839" s="1" t="s">
        <v>99</v>
      </c>
      <c r="W1839" s="1" t="str">
        <f>VLOOKUP(Table1[[#This Row],[Obergruppe ATC-Code]],Tabelle3!$A$2:$B$100,2)</f>
        <v>ANTINEOPLASTISCHE MITTEL</v>
      </c>
      <c r="X1839" s="1" t="str">
        <f xml:space="preserve"> LEFT(Table1[[#This Row],[Atc Code]],3)</f>
        <v>L01</v>
      </c>
    </row>
    <row r="1840" spans="1:24" ht="15" customHeight="1">
      <c r="A1840" s="14">
        <v>1798</v>
      </c>
      <c r="B1840" s="24" t="s">
        <v>4089</v>
      </c>
      <c r="C1840" s="1">
        <v>2184223</v>
      </c>
      <c r="D1840" s="1" t="s">
        <v>25</v>
      </c>
      <c r="E1840" s="36">
        <v>43405</v>
      </c>
      <c r="F1840" s="36">
        <v>43524</v>
      </c>
      <c r="G1840" s="38">
        <f t="shared" si="28"/>
        <v>119</v>
      </c>
      <c r="H1840" s="5">
        <v>43453</v>
      </c>
      <c r="I1840" s="5">
        <v>43508</v>
      </c>
      <c r="J1840" s="1" t="s">
        <v>41</v>
      </c>
      <c r="K1840" s="1" t="s">
        <v>4090</v>
      </c>
      <c r="L1840" s="1" t="s">
        <v>4091</v>
      </c>
      <c r="M1840" s="1" t="s">
        <v>4092</v>
      </c>
      <c r="N1840" s="1" t="s">
        <v>30</v>
      </c>
      <c r="O1840" s="1" t="s">
        <v>220</v>
      </c>
      <c r="P1840" s="1" t="s">
        <v>221</v>
      </c>
      <c r="Q1840" s="1" t="s">
        <v>222</v>
      </c>
      <c r="R1840" s="1" t="s">
        <v>65</v>
      </c>
      <c r="S1840" s="1"/>
      <c r="T1840" s="1" t="s">
        <v>4093</v>
      </c>
      <c r="U1840" s="1" t="s">
        <v>35</v>
      </c>
      <c r="V1840" s="1" t="s">
        <v>279</v>
      </c>
      <c r="W1840" s="1" t="str">
        <f>VLOOKUP(Table1[[#This Row],[Obergruppe ATC-Code]],Tabelle3!$A$2:$B$100,2)</f>
        <v>ANTINEOPLASTISCHE MITTEL</v>
      </c>
      <c r="X1840" s="1" t="str">
        <f xml:space="preserve"> LEFT(Table1[[#This Row],[Atc Code]],3)</f>
        <v>L01</v>
      </c>
    </row>
    <row r="1841" spans="1:24" ht="15" customHeight="1">
      <c r="A1841" s="14">
        <v>3126</v>
      </c>
      <c r="B1841" s="24" t="s">
        <v>4094</v>
      </c>
      <c r="C1841" s="1">
        <v>2170865</v>
      </c>
      <c r="D1841" s="1" t="s">
        <v>25</v>
      </c>
      <c r="E1841" s="36">
        <v>43952</v>
      </c>
      <c r="F1841" s="36">
        <v>43982</v>
      </c>
      <c r="G1841" s="38">
        <f t="shared" si="28"/>
        <v>30</v>
      </c>
      <c r="H1841" s="5">
        <v>43959</v>
      </c>
      <c r="I1841" s="5">
        <v>44141</v>
      </c>
      <c r="J1841" s="1" t="s">
        <v>41</v>
      </c>
      <c r="K1841" s="1" t="s">
        <v>4095</v>
      </c>
      <c r="L1841" s="1" t="s">
        <v>4096</v>
      </c>
      <c r="M1841" s="1" t="s">
        <v>4097</v>
      </c>
      <c r="N1841" s="1" t="s">
        <v>30</v>
      </c>
      <c r="O1841" s="1" t="s">
        <v>220</v>
      </c>
      <c r="P1841" s="1" t="s">
        <v>2793</v>
      </c>
      <c r="Q1841" s="1" t="s">
        <v>958</v>
      </c>
      <c r="R1841" s="1" t="s">
        <v>65</v>
      </c>
      <c r="S1841" s="1"/>
      <c r="U1841" s="1" t="s">
        <v>57</v>
      </c>
      <c r="V1841" s="1" t="s">
        <v>279</v>
      </c>
      <c r="W1841" s="1" t="str">
        <f>VLOOKUP(Table1[[#This Row],[Obergruppe ATC-Code]],Tabelle3!$A$2:$B$100,2)</f>
        <v>ANTINEOPLASTISCHE MITTEL</v>
      </c>
      <c r="X1841" s="1" t="str">
        <f xml:space="preserve"> LEFT(Table1[[#This Row],[Atc Code]],3)</f>
        <v>L01</v>
      </c>
    </row>
    <row r="1842" spans="1:24" ht="14.4">
      <c r="A1842" s="14">
        <v>2758</v>
      </c>
      <c r="B1842" s="24" t="s">
        <v>4098</v>
      </c>
      <c r="C1842" s="1">
        <v>2170865</v>
      </c>
      <c r="D1842" s="1" t="s">
        <v>25</v>
      </c>
      <c r="E1842" s="36">
        <v>44228</v>
      </c>
      <c r="F1842" s="36">
        <v>44347</v>
      </c>
      <c r="G1842" s="38">
        <f t="shared" si="28"/>
        <v>119</v>
      </c>
      <c r="H1842" s="5">
        <v>44237</v>
      </c>
      <c r="I1842" s="5">
        <v>44322</v>
      </c>
      <c r="J1842" s="1" t="s">
        <v>41</v>
      </c>
      <c r="K1842" s="1" t="s">
        <v>4095</v>
      </c>
      <c r="L1842" s="1" t="s">
        <v>4096</v>
      </c>
      <c r="M1842" s="1" t="s">
        <v>4097</v>
      </c>
      <c r="N1842" s="1" t="s">
        <v>30</v>
      </c>
      <c r="O1842" s="1" t="s">
        <v>220</v>
      </c>
      <c r="P1842" s="1" t="s">
        <v>221</v>
      </c>
      <c r="Q1842" s="1" t="s">
        <v>222</v>
      </c>
      <c r="R1842" s="1" t="s">
        <v>65</v>
      </c>
      <c r="S1842" s="1"/>
      <c r="T1842" s="1" t="s">
        <v>4099</v>
      </c>
      <c r="U1842" s="1" t="s">
        <v>57</v>
      </c>
      <c r="V1842" s="1" t="s">
        <v>279</v>
      </c>
      <c r="W1842" s="1" t="str">
        <f>VLOOKUP(Table1[[#This Row],[Obergruppe ATC-Code]],Tabelle3!$A$2:$B$100,2)</f>
        <v>ANTINEOPLASTISCHE MITTEL</v>
      </c>
      <c r="X1842" s="1" t="str">
        <f xml:space="preserve"> LEFT(Table1[[#This Row],[Atc Code]],3)</f>
        <v>L01</v>
      </c>
    </row>
    <row r="1843" spans="1:24" ht="14.4">
      <c r="A1843" s="14">
        <v>2643</v>
      </c>
      <c r="B1843" s="24" t="s">
        <v>4100</v>
      </c>
      <c r="C1843" s="1">
        <v>2182014</v>
      </c>
      <c r="D1843" s="1" t="s">
        <v>102</v>
      </c>
      <c r="E1843" s="36">
        <v>43891</v>
      </c>
      <c r="F1843" s="36">
        <v>45046</v>
      </c>
      <c r="G1843" s="38">
        <f t="shared" si="28"/>
        <v>1155</v>
      </c>
      <c r="H1843" s="5">
        <v>43907</v>
      </c>
      <c r="I1843" s="5">
        <v>44964</v>
      </c>
      <c r="J1843" s="1" t="s">
        <v>41</v>
      </c>
      <c r="K1843" s="1" t="s">
        <v>4101</v>
      </c>
      <c r="L1843" s="1" t="s">
        <v>4096</v>
      </c>
      <c r="M1843" s="1" t="s">
        <v>4097</v>
      </c>
      <c r="N1843" s="1" t="s">
        <v>30</v>
      </c>
      <c r="O1843" s="1" t="s">
        <v>1284</v>
      </c>
      <c r="P1843" s="1">
        <v>895589090</v>
      </c>
      <c r="Q1843" s="1" t="s">
        <v>1286</v>
      </c>
      <c r="R1843" s="1" t="s">
        <v>48</v>
      </c>
      <c r="S1843" s="1"/>
      <c r="U1843" s="1" t="s">
        <v>35</v>
      </c>
      <c r="V1843" s="1" t="s">
        <v>279</v>
      </c>
      <c r="W1843" s="1" t="str">
        <f>VLOOKUP(Table1[[#This Row],[Obergruppe ATC-Code]],Tabelle3!$A$2:$B$100,2)</f>
        <v>ANTINEOPLASTISCHE MITTEL</v>
      </c>
      <c r="X1843" s="1" t="str">
        <f xml:space="preserve"> LEFT(Table1[[#This Row],[Atc Code]],3)</f>
        <v>L01</v>
      </c>
    </row>
    <row r="1844" spans="1:24" ht="14.4">
      <c r="A1844" s="14">
        <v>1640</v>
      </c>
      <c r="B1844" s="24" t="s">
        <v>4102</v>
      </c>
      <c r="C1844" s="1">
        <v>37032</v>
      </c>
      <c r="D1844" s="1" t="s">
        <v>25</v>
      </c>
      <c r="E1844" s="36">
        <v>43344</v>
      </c>
      <c r="F1844" s="36">
        <v>43434</v>
      </c>
      <c r="G1844" s="38">
        <f t="shared" si="28"/>
        <v>90</v>
      </c>
      <c r="H1844" s="5">
        <v>43371</v>
      </c>
      <c r="I1844" s="5">
        <v>43399</v>
      </c>
      <c r="J1844" s="1" t="s">
        <v>41</v>
      </c>
      <c r="K1844" s="1" t="s">
        <v>4103</v>
      </c>
      <c r="L1844" s="1" t="s">
        <v>4104</v>
      </c>
      <c r="M1844" s="1" t="s">
        <v>4105</v>
      </c>
      <c r="N1844" s="1" t="s">
        <v>30</v>
      </c>
      <c r="O1844" s="1" t="s">
        <v>4106</v>
      </c>
      <c r="P1844" s="1" t="s">
        <v>4107</v>
      </c>
      <c r="Q1844" s="1" t="s">
        <v>4108</v>
      </c>
      <c r="R1844" s="1" t="s">
        <v>65</v>
      </c>
      <c r="S1844" s="1"/>
      <c r="U1844" s="1" t="s">
        <v>35</v>
      </c>
      <c r="V1844" s="1" t="s">
        <v>262</v>
      </c>
      <c r="W1844" s="1" t="str">
        <f>VLOOKUP(Table1[[#This Row],[Obergruppe ATC-Code]],Tabelle3!$A$2:$B$100,2)</f>
        <v>ANTINEOPLASTISCHE MITTEL</v>
      </c>
      <c r="X1844" s="1" t="str">
        <f xml:space="preserve"> LEFT(Table1[[#This Row],[Atc Code]],3)</f>
        <v>L01</v>
      </c>
    </row>
    <row r="1845" spans="1:24" ht="14.4">
      <c r="A1845" s="14">
        <v>1639</v>
      </c>
      <c r="B1845" s="24" t="s">
        <v>4102</v>
      </c>
      <c r="C1845" s="1">
        <v>37032</v>
      </c>
      <c r="D1845" s="1" t="s">
        <v>25</v>
      </c>
      <c r="E1845" s="36">
        <v>43647</v>
      </c>
      <c r="F1845" s="36">
        <v>43890</v>
      </c>
      <c r="G1845" s="38">
        <f t="shared" si="28"/>
        <v>243</v>
      </c>
      <c r="H1845" s="5">
        <v>43634</v>
      </c>
      <c r="I1845" s="5">
        <v>43817</v>
      </c>
      <c r="J1845" s="1" t="s">
        <v>41</v>
      </c>
      <c r="K1845" s="1" t="s">
        <v>4103</v>
      </c>
      <c r="L1845" s="1" t="s">
        <v>4104</v>
      </c>
      <c r="M1845" s="1" t="s">
        <v>4105</v>
      </c>
      <c r="N1845" s="1" t="s">
        <v>30</v>
      </c>
      <c r="O1845" s="1" t="s">
        <v>4106</v>
      </c>
      <c r="P1845" s="1" t="s">
        <v>4107</v>
      </c>
      <c r="Q1845" s="1" t="s">
        <v>4108</v>
      </c>
      <c r="R1845" s="1" t="s">
        <v>942</v>
      </c>
      <c r="S1845" s="1" t="s">
        <v>943</v>
      </c>
      <c r="U1845" s="1" t="s">
        <v>57</v>
      </c>
      <c r="V1845" s="1" t="s">
        <v>262</v>
      </c>
      <c r="W1845" s="1" t="str">
        <f>VLOOKUP(Table1[[#This Row],[Obergruppe ATC-Code]],Tabelle3!$A$2:$B$100,2)</f>
        <v>ANTINEOPLASTISCHE MITTEL</v>
      </c>
      <c r="X1845" s="1" t="str">
        <f xml:space="preserve"> LEFT(Table1[[#This Row],[Atc Code]],3)</f>
        <v>L01</v>
      </c>
    </row>
    <row r="1846" spans="1:24" ht="14.4">
      <c r="A1846" s="14">
        <v>3127</v>
      </c>
      <c r="B1846" s="3">
        <v>12728936</v>
      </c>
      <c r="C1846" s="1">
        <v>2672911</v>
      </c>
      <c r="D1846" s="1" t="s">
        <v>25</v>
      </c>
      <c r="E1846" s="36">
        <v>42979</v>
      </c>
      <c r="F1846" s="36">
        <v>43069</v>
      </c>
      <c r="G1846" s="38">
        <f t="shared" si="28"/>
        <v>90</v>
      </c>
      <c r="H1846" s="5">
        <v>42888</v>
      </c>
      <c r="I1846" s="5">
        <v>43125</v>
      </c>
      <c r="J1846" s="1" t="s">
        <v>41</v>
      </c>
      <c r="K1846" s="1" t="s">
        <v>4109</v>
      </c>
      <c r="L1846" s="1" t="s">
        <v>4110</v>
      </c>
      <c r="M1846" s="1" t="s">
        <v>4111</v>
      </c>
      <c r="N1846" s="1" t="s">
        <v>30</v>
      </c>
      <c r="O1846" s="1" t="s">
        <v>4112</v>
      </c>
      <c r="P1846" s="1" t="s">
        <v>4113</v>
      </c>
      <c r="Q1846" s="1" t="s">
        <v>2595</v>
      </c>
      <c r="R1846" s="1" t="s">
        <v>48</v>
      </c>
      <c r="S1846" s="1"/>
      <c r="T1846" s="1" t="s">
        <v>4114</v>
      </c>
      <c r="U1846" s="1" t="s">
        <v>35</v>
      </c>
      <c r="V1846" s="1" t="s">
        <v>279</v>
      </c>
      <c r="W1846" s="1" t="str">
        <f>VLOOKUP(Table1[[#This Row],[Obergruppe ATC-Code]],Tabelle3!$A$2:$B$100,2)</f>
        <v>ANTINEOPLASTISCHE MITTEL</v>
      </c>
      <c r="X1846" s="1" t="str">
        <f xml:space="preserve"> LEFT(Table1[[#This Row],[Atc Code]],3)</f>
        <v>L01</v>
      </c>
    </row>
    <row r="1847" spans="1:24" ht="14.4">
      <c r="A1847" s="14">
        <v>1999</v>
      </c>
      <c r="B1847" s="24" t="s">
        <v>4115</v>
      </c>
      <c r="C1847" s="1">
        <v>2152867</v>
      </c>
      <c r="D1847" s="1" t="s">
        <v>25</v>
      </c>
      <c r="E1847" s="36">
        <v>43831</v>
      </c>
      <c r="F1847" s="36">
        <v>43890</v>
      </c>
      <c r="G1847" s="38">
        <f t="shared" si="28"/>
        <v>59</v>
      </c>
      <c r="H1847" s="5">
        <v>43852</v>
      </c>
      <c r="I1847" s="5">
        <v>43888</v>
      </c>
      <c r="J1847" s="1" t="s">
        <v>41</v>
      </c>
      <c r="K1847" s="1" t="s">
        <v>4116</v>
      </c>
      <c r="L1847" s="1" t="s">
        <v>4117</v>
      </c>
      <c r="M1847" s="1" t="s">
        <v>4118</v>
      </c>
      <c r="N1847" s="1" t="s">
        <v>38</v>
      </c>
      <c r="O1847" s="1" t="s">
        <v>1979</v>
      </c>
      <c r="P1847" s="1" t="s">
        <v>1980</v>
      </c>
      <c r="Q1847" s="1" t="s">
        <v>1981</v>
      </c>
      <c r="R1847" s="1" t="s">
        <v>26</v>
      </c>
      <c r="S1847" s="1"/>
      <c r="U1847" s="1" t="s">
        <v>35</v>
      </c>
      <c r="V1847" s="1" t="s">
        <v>1966</v>
      </c>
      <c r="W1847" s="1" t="str">
        <f>VLOOKUP(Table1[[#This Row],[Obergruppe ATC-Code]],Tabelle3!$A$2:$B$100,2)</f>
        <v>ANTINEOPLASTISCHE MITTEL</v>
      </c>
      <c r="X1847" s="1" t="str">
        <f xml:space="preserve"> LEFT(Table1[[#This Row],[Atc Code]],3)</f>
        <v>L01</v>
      </c>
    </row>
    <row r="1848" spans="1:24" ht="15.6">
      <c r="A1848" s="14">
        <v>3128</v>
      </c>
      <c r="B1848" s="52">
        <v>13986764</v>
      </c>
      <c r="C1848" s="1">
        <v>2713429</v>
      </c>
      <c r="D1848" s="1" t="s">
        <v>25</v>
      </c>
      <c r="E1848" s="36">
        <v>43739</v>
      </c>
      <c r="F1848" s="36">
        <v>43921</v>
      </c>
      <c r="G1848" s="38">
        <f t="shared" si="28"/>
        <v>182</v>
      </c>
      <c r="H1848" s="5">
        <v>43745</v>
      </c>
      <c r="I1848" s="5">
        <v>43899</v>
      </c>
      <c r="J1848" s="1" t="s">
        <v>41</v>
      </c>
      <c r="K1848" s="1" t="s">
        <v>4119</v>
      </c>
      <c r="L1848" s="1" t="s">
        <v>4120</v>
      </c>
      <c r="M1848" s="1" t="s">
        <v>4121</v>
      </c>
      <c r="N1848" s="1" t="s">
        <v>30</v>
      </c>
      <c r="O1848" s="1" t="s">
        <v>4122</v>
      </c>
      <c r="P1848" s="1" t="s">
        <v>4123</v>
      </c>
      <c r="Q1848" s="1" t="s">
        <v>4124</v>
      </c>
      <c r="R1848" s="1" t="s">
        <v>48</v>
      </c>
      <c r="S1848" s="1"/>
      <c r="T1848" s="1" t="s">
        <v>4125</v>
      </c>
      <c r="U1848" s="1" t="s">
        <v>35</v>
      </c>
      <c r="V1848" s="1" t="s">
        <v>1009</v>
      </c>
      <c r="W1848" s="1" t="str">
        <f>VLOOKUP(Table1[[#This Row],[Obergruppe ATC-Code]],Tabelle3!$A$2:$B$100,2)</f>
        <v>ANTINEOPLASTISCHE MITTEL</v>
      </c>
      <c r="X1848" s="1" t="str">
        <f xml:space="preserve"> LEFT(Table1[[#This Row],[Atc Code]],3)</f>
        <v>L01</v>
      </c>
    </row>
    <row r="1849" spans="1:24" ht="14.4">
      <c r="A1849" s="14">
        <v>2688</v>
      </c>
      <c r="B1849" s="24" t="s">
        <v>4126</v>
      </c>
      <c r="C1849" s="1">
        <v>2189621</v>
      </c>
      <c r="D1849" s="1" t="s">
        <v>25</v>
      </c>
      <c r="E1849" s="36">
        <v>43891</v>
      </c>
      <c r="F1849" s="36">
        <v>44454</v>
      </c>
      <c r="G1849" s="38">
        <f t="shared" si="28"/>
        <v>563</v>
      </c>
      <c r="H1849" s="5">
        <v>43907</v>
      </c>
      <c r="I1849" s="5">
        <v>44454</v>
      </c>
      <c r="J1849" s="1" t="s">
        <v>41</v>
      </c>
      <c r="K1849" s="1" t="s">
        <v>4127</v>
      </c>
      <c r="L1849" s="1" t="s">
        <v>4128</v>
      </c>
      <c r="M1849" s="1" t="s">
        <v>4129</v>
      </c>
      <c r="N1849" s="1" t="s">
        <v>30</v>
      </c>
      <c r="O1849" s="1" t="s">
        <v>1284</v>
      </c>
      <c r="P1849" s="1">
        <v>895589090</v>
      </c>
      <c r="Q1849" s="1" t="s">
        <v>1286</v>
      </c>
      <c r="R1849" s="1" t="s">
        <v>65</v>
      </c>
      <c r="S1849" s="1"/>
      <c r="U1849" s="1" t="s">
        <v>35</v>
      </c>
      <c r="V1849" s="1" t="s">
        <v>99</v>
      </c>
      <c r="W1849" s="1" t="str">
        <f>VLOOKUP(Table1[[#This Row],[Obergruppe ATC-Code]],Tabelle3!$A$2:$B$100,2)</f>
        <v>ANTINEOPLASTISCHE MITTEL</v>
      </c>
      <c r="X1849" s="1" t="str">
        <f xml:space="preserve"> LEFT(Table1[[#This Row],[Atc Code]],3)</f>
        <v>L01</v>
      </c>
    </row>
    <row r="1850" spans="1:24" ht="14.4">
      <c r="A1850" s="14">
        <v>2687</v>
      </c>
      <c r="B1850" s="24" t="s">
        <v>4130</v>
      </c>
      <c r="C1850" s="1">
        <v>2189622</v>
      </c>
      <c r="D1850" s="1" t="s">
        <v>25</v>
      </c>
      <c r="E1850" s="36">
        <v>43891</v>
      </c>
      <c r="F1850" s="36">
        <v>44454</v>
      </c>
      <c r="G1850" s="38">
        <f t="shared" si="28"/>
        <v>563</v>
      </c>
      <c r="H1850" s="5">
        <v>43907</v>
      </c>
      <c r="I1850" s="5">
        <v>44454</v>
      </c>
      <c r="J1850" s="1" t="s">
        <v>41</v>
      </c>
      <c r="K1850" s="1" t="s">
        <v>4131</v>
      </c>
      <c r="L1850" s="1" t="s">
        <v>4128</v>
      </c>
      <c r="M1850" s="1" t="s">
        <v>4129</v>
      </c>
      <c r="N1850" s="1" t="s">
        <v>30</v>
      </c>
      <c r="O1850" s="1" t="s">
        <v>1284</v>
      </c>
      <c r="P1850" s="1">
        <v>895589090</v>
      </c>
      <c r="Q1850" s="1" t="s">
        <v>1286</v>
      </c>
      <c r="R1850" s="1" t="s">
        <v>65</v>
      </c>
      <c r="S1850" s="1"/>
      <c r="U1850" s="1" t="s">
        <v>35</v>
      </c>
      <c r="V1850" s="1" t="s">
        <v>99</v>
      </c>
      <c r="W1850" s="1" t="str">
        <f>VLOOKUP(Table1[[#This Row],[Obergruppe ATC-Code]],Tabelle3!$A$2:$B$100,2)</f>
        <v>ANTINEOPLASTISCHE MITTEL</v>
      </c>
      <c r="X1850" s="1" t="str">
        <f xml:space="preserve"> LEFT(Table1[[#This Row],[Atc Code]],3)</f>
        <v>L01</v>
      </c>
    </row>
    <row r="1851" spans="1:24" ht="14.4">
      <c r="A1851" s="14">
        <v>803</v>
      </c>
      <c r="B1851" s="24">
        <v>6639677</v>
      </c>
      <c r="C1851" s="1">
        <v>2703298</v>
      </c>
      <c r="D1851" s="1" t="s">
        <v>102</v>
      </c>
      <c r="E1851" s="36">
        <v>45183</v>
      </c>
      <c r="F1851" s="36">
        <v>45230</v>
      </c>
      <c r="G1851" s="38">
        <f t="shared" si="28"/>
        <v>47</v>
      </c>
      <c r="H1851" s="5">
        <v>45183</v>
      </c>
      <c r="I1851" s="5">
        <v>45198</v>
      </c>
      <c r="J1851" s="1" t="s">
        <v>26</v>
      </c>
      <c r="K1851" s="1" t="s">
        <v>4132</v>
      </c>
      <c r="L1851" s="1" t="s">
        <v>4133</v>
      </c>
      <c r="M1851" s="1" t="s">
        <v>4088</v>
      </c>
      <c r="N1851" s="1" t="s">
        <v>30</v>
      </c>
      <c r="O1851" s="1" t="s">
        <v>751</v>
      </c>
      <c r="P1851" s="1" t="s">
        <v>814</v>
      </c>
      <c r="Q1851" s="1" t="s">
        <v>753</v>
      </c>
      <c r="R1851" s="1" t="s">
        <v>26</v>
      </c>
      <c r="S1851" s="1" t="s">
        <v>4134</v>
      </c>
      <c r="U1851" s="1" t="s">
        <v>35</v>
      </c>
      <c r="V1851" s="1" t="s">
        <v>99</v>
      </c>
      <c r="W1851" s="1" t="str">
        <f>VLOOKUP(Table1[[#This Row],[Obergruppe ATC-Code]],Tabelle3!$A$2:$B$100,2)</f>
        <v>ANTINEOPLASTISCHE MITTEL</v>
      </c>
      <c r="X1851" s="1" t="str">
        <f xml:space="preserve"> LEFT(Table1[[#This Row],[Atc Code]],3)</f>
        <v>L01</v>
      </c>
    </row>
    <row r="1852" spans="1:24" ht="14.4">
      <c r="A1852" s="14">
        <v>689</v>
      </c>
      <c r="B1852" s="24">
        <v>4658392</v>
      </c>
      <c r="C1852" s="1">
        <v>2706103</v>
      </c>
      <c r="D1852" s="1" t="s">
        <v>25</v>
      </c>
      <c r="E1852" s="36">
        <v>44628</v>
      </c>
      <c r="F1852" s="36">
        <v>44658</v>
      </c>
      <c r="G1852" s="38">
        <f t="shared" si="28"/>
        <v>30</v>
      </c>
      <c r="H1852" s="5">
        <v>44621</v>
      </c>
      <c r="I1852" s="5">
        <v>44659</v>
      </c>
      <c r="J1852" s="1" t="s">
        <v>41</v>
      </c>
      <c r="K1852" s="1" t="s">
        <v>4135</v>
      </c>
      <c r="L1852" s="1" t="s">
        <v>4136</v>
      </c>
      <c r="M1852" s="1" t="s">
        <v>4137</v>
      </c>
      <c r="N1852" s="1" t="s">
        <v>30</v>
      </c>
      <c r="O1852" s="1" t="s">
        <v>3626</v>
      </c>
      <c r="Q1852" s="1" t="s">
        <v>3438</v>
      </c>
      <c r="R1852" s="1" t="s">
        <v>128</v>
      </c>
      <c r="S1852" s="1"/>
      <c r="U1852" s="1" t="s">
        <v>57</v>
      </c>
      <c r="V1852" s="1" t="s">
        <v>99</v>
      </c>
      <c r="W1852" s="1" t="str">
        <f>VLOOKUP(Table1[[#This Row],[Obergruppe ATC-Code]],Tabelle3!$A$2:$B$100,2)</f>
        <v>ANTINEOPLASTISCHE MITTEL</v>
      </c>
      <c r="X1852" s="1" t="str">
        <f xml:space="preserve"> LEFT(Table1[[#This Row],[Atc Code]],3)</f>
        <v>L01</v>
      </c>
    </row>
    <row r="1853" spans="1:24" ht="14.4">
      <c r="A1853" s="14">
        <v>1430</v>
      </c>
      <c r="B1853" s="24">
        <v>14212639</v>
      </c>
      <c r="C1853" s="1">
        <v>2199494</v>
      </c>
      <c r="D1853" s="1" t="s">
        <v>25</v>
      </c>
      <c r="E1853" s="36">
        <v>43709</v>
      </c>
      <c r="F1853" s="36">
        <v>43830</v>
      </c>
      <c r="G1853" s="38">
        <f t="shared" si="28"/>
        <v>121</v>
      </c>
      <c r="H1853" s="5">
        <v>43739</v>
      </c>
      <c r="I1853" s="5">
        <v>43784</v>
      </c>
      <c r="J1853" s="1" t="s">
        <v>26</v>
      </c>
      <c r="K1853" s="1" t="s">
        <v>4138</v>
      </c>
      <c r="L1853" s="1" t="s">
        <v>4139</v>
      </c>
      <c r="M1853" s="1" t="s">
        <v>4140</v>
      </c>
      <c r="N1853" s="1" t="s">
        <v>30</v>
      </c>
      <c r="O1853" s="1" t="s">
        <v>265</v>
      </c>
      <c r="P1853" s="1" t="s">
        <v>266</v>
      </c>
      <c r="Q1853" s="1" t="s">
        <v>267</v>
      </c>
      <c r="R1853" s="1" t="s">
        <v>33</v>
      </c>
      <c r="S1853" s="1"/>
      <c r="U1853" s="1" t="s">
        <v>57</v>
      </c>
      <c r="V1853" s="1" t="s">
        <v>49</v>
      </c>
      <c r="W1853" s="1" t="str">
        <f>VLOOKUP(Table1[[#This Row],[Obergruppe ATC-Code]],Tabelle3!$A$2:$B$100,2)</f>
        <v>ANTINEOPLASTISCHE MITTEL</v>
      </c>
      <c r="X1853" s="1" t="str">
        <f xml:space="preserve"> LEFT(Table1[[#This Row],[Atc Code]],3)</f>
        <v>L01</v>
      </c>
    </row>
    <row r="1854" spans="1:24" ht="14.4">
      <c r="A1854" s="14">
        <v>2798</v>
      </c>
      <c r="B1854" s="24" t="s">
        <v>4141</v>
      </c>
      <c r="C1854" s="1">
        <v>2199495</v>
      </c>
      <c r="D1854" s="1" t="s">
        <v>25</v>
      </c>
      <c r="E1854" s="36">
        <v>43709</v>
      </c>
      <c r="F1854" s="36">
        <v>43830</v>
      </c>
      <c r="G1854" s="38">
        <f t="shared" si="28"/>
        <v>121</v>
      </c>
      <c r="H1854" s="5">
        <v>43739</v>
      </c>
      <c r="I1854" s="5">
        <v>43833</v>
      </c>
      <c r="J1854" s="1" t="s">
        <v>26</v>
      </c>
      <c r="K1854" s="1" t="s">
        <v>4142</v>
      </c>
      <c r="L1854" s="1" t="s">
        <v>4139</v>
      </c>
      <c r="M1854" s="1" t="s">
        <v>4140</v>
      </c>
      <c r="N1854" s="1" t="s">
        <v>30</v>
      </c>
      <c r="O1854" s="1" t="s">
        <v>265</v>
      </c>
      <c r="P1854" s="1" t="s">
        <v>266</v>
      </c>
      <c r="Q1854" s="1" t="s">
        <v>267</v>
      </c>
      <c r="R1854" s="1" t="s">
        <v>33</v>
      </c>
      <c r="S1854" s="1"/>
      <c r="U1854" s="1" t="s">
        <v>57</v>
      </c>
      <c r="V1854" s="1" t="s">
        <v>49</v>
      </c>
      <c r="W1854" s="1" t="str">
        <f>VLOOKUP(Table1[[#This Row],[Obergruppe ATC-Code]],Tabelle3!$A$2:$B$100,2)</f>
        <v>ANTINEOPLASTISCHE MITTEL</v>
      </c>
      <c r="X1854" s="1" t="str">
        <f xml:space="preserve"> LEFT(Table1[[#This Row],[Atc Code]],3)</f>
        <v>L01</v>
      </c>
    </row>
    <row r="1855" spans="1:24" ht="14.4">
      <c r="A1855" s="14">
        <v>1429</v>
      </c>
      <c r="B1855" s="24">
        <v>14212622</v>
      </c>
      <c r="C1855" s="1">
        <v>2199493</v>
      </c>
      <c r="D1855" s="1" t="s">
        <v>25</v>
      </c>
      <c r="E1855" s="36">
        <v>43709</v>
      </c>
      <c r="F1855" s="36">
        <v>43830</v>
      </c>
      <c r="G1855" s="38">
        <f t="shared" si="28"/>
        <v>121</v>
      </c>
      <c r="H1855" s="5">
        <v>43739</v>
      </c>
      <c r="I1855" s="5">
        <v>43833</v>
      </c>
      <c r="J1855" s="1" t="s">
        <v>26</v>
      </c>
      <c r="K1855" s="1" t="s">
        <v>4143</v>
      </c>
      <c r="L1855" s="1" t="s">
        <v>4139</v>
      </c>
      <c r="M1855" s="1" t="s">
        <v>4140</v>
      </c>
      <c r="N1855" s="1" t="s">
        <v>30</v>
      </c>
      <c r="O1855" s="1" t="s">
        <v>265</v>
      </c>
      <c r="P1855" s="1" t="s">
        <v>266</v>
      </c>
      <c r="Q1855" s="1" t="s">
        <v>267</v>
      </c>
      <c r="R1855" s="1" t="s">
        <v>33</v>
      </c>
      <c r="S1855" s="1"/>
      <c r="U1855" s="1" t="s">
        <v>57</v>
      </c>
      <c r="V1855" s="1" t="s">
        <v>49</v>
      </c>
      <c r="W1855" s="1" t="str">
        <f>VLOOKUP(Table1[[#This Row],[Obergruppe ATC-Code]],Tabelle3!$A$2:$B$100,2)</f>
        <v>ANTINEOPLASTISCHE MITTEL</v>
      </c>
      <c r="X1855" s="1" t="str">
        <f xml:space="preserve"> LEFT(Table1[[#This Row],[Atc Code]],3)</f>
        <v>L01</v>
      </c>
    </row>
    <row r="1856" spans="1:24" ht="14.4">
      <c r="A1856" s="14">
        <v>2827</v>
      </c>
      <c r="B1856" s="24" t="s">
        <v>4144</v>
      </c>
      <c r="C1856" s="1">
        <v>2200122</v>
      </c>
      <c r="D1856" s="1" t="s">
        <v>25</v>
      </c>
      <c r="E1856" s="36">
        <v>43891</v>
      </c>
      <c r="F1856" s="36">
        <v>44196</v>
      </c>
      <c r="G1856" s="38">
        <f t="shared" si="28"/>
        <v>305</v>
      </c>
      <c r="H1856" s="5">
        <v>43907</v>
      </c>
      <c r="I1856" s="5">
        <v>44071</v>
      </c>
      <c r="J1856" s="1" t="s">
        <v>26</v>
      </c>
      <c r="K1856" s="1" t="s">
        <v>4145</v>
      </c>
      <c r="L1856" s="1" t="s">
        <v>4139</v>
      </c>
      <c r="M1856" s="1" t="s">
        <v>4140</v>
      </c>
      <c r="N1856" s="1" t="s">
        <v>30</v>
      </c>
      <c r="O1856" s="1" t="s">
        <v>1284</v>
      </c>
      <c r="P1856" s="1">
        <v>895589090</v>
      </c>
      <c r="Q1856" s="1" t="s">
        <v>1286</v>
      </c>
      <c r="R1856" s="1" t="s">
        <v>33</v>
      </c>
      <c r="S1856" s="1"/>
      <c r="U1856" s="1" t="s">
        <v>35</v>
      </c>
      <c r="V1856" s="1" t="s">
        <v>49</v>
      </c>
      <c r="W1856" s="1" t="str">
        <f>VLOOKUP(Table1[[#This Row],[Obergruppe ATC-Code]],Tabelle3!$A$2:$B$100,2)</f>
        <v>ANTINEOPLASTISCHE MITTEL</v>
      </c>
      <c r="X1856" s="1" t="str">
        <f xml:space="preserve"> LEFT(Table1[[#This Row],[Atc Code]],3)</f>
        <v>L01</v>
      </c>
    </row>
    <row r="1857" spans="1:24" ht="14.4">
      <c r="A1857" s="14">
        <v>1476</v>
      </c>
      <c r="B1857" s="24">
        <v>15255450</v>
      </c>
      <c r="C1857" s="1">
        <v>2200121</v>
      </c>
      <c r="D1857" s="1" t="s">
        <v>25</v>
      </c>
      <c r="E1857" s="36">
        <v>43891</v>
      </c>
      <c r="F1857" s="36">
        <v>44196</v>
      </c>
      <c r="G1857" s="38">
        <f t="shared" si="28"/>
        <v>305</v>
      </c>
      <c r="H1857" s="5">
        <v>43907</v>
      </c>
      <c r="I1857" s="5">
        <v>44071</v>
      </c>
      <c r="J1857" s="1" t="s">
        <v>26</v>
      </c>
      <c r="K1857" s="1" t="s">
        <v>4146</v>
      </c>
      <c r="L1857" s="1" t="s">
        <v>4139</v>
      </c>
      <c r="M1857" s="1" t="s">
        <v>4140</v>
      </c>
      <c r="N1857" s="1" t="s">
        <v>30</v>
      </c>
      <c r="O1857" s="1" t="s">
        <v>1284</v>
      </c>
      <c r="P1857" s="1">
        <v>895589090</v>
      </c>
      <c r="Q1857" s="1" t="s">
        <v>1286</v>
      </c>
      <c r="R1857" s="1" t="s">
        <v>33</v>
      </c>
      <c r="S1857" s="1"/>
      <c r="U1857" s="1" t="s">
        <v>35</v>
      </c>
      <c r="V1857" s="1" t="s">
        <v>49</v>
      </c>
      <c r="W1857" s="1" t="str">
        <f>VLOOKUP(Table1[[#This Row],[Obergruppe ATC-Code]],Tabelle3!$A$2:$B$100,2)</f>
        <v>ANTINEOPLASTISCHE MITTEL</v>
      </c>
      <c r="X1857" s="1" t="str">
        <f xml:space="preserve"> LEFT(Table1[[#This Row],[Atc Code]],3)</f>
        <v>L01</v>
      </c>
    </row>
    <row r="1858" spans="1:24" ht="14.4">
      <c r="A1858" s="14">
        <v>1475</v>
      </c>
      <c r="B1858" s="24">
        <v>15255444</v>
      </c>
      <c r="C1858" s="1">
        <v>2200120</v>
      </c>
      <c r="D1858" s="1" t="s">
        <v>25</v>
      </c>
      <c r="E1858" s="36">
        <v>43891</v>
      </c>
      <c r="F1858" s="36">
        <v>44196</v>
      </c>
      <c r="G1858" s="38">
        <f t="shared" ref="G1858:G1921" si="29">F1858-E1858</f>
        <v>305</v>
      </c>
      <c r="H1858" s="5">
        <v>43907</v>
      </c>
      <c r="I1858" s="5">
        <v>44071</v>
      </c>
      <c r="J1858" s="1" t="s">
        <v>26</v>
      </c>
      <c r="K1858" s="1" t="s">
        <v>4147</v>
      </c>
      <c r="L1858" s="1" t="s">
        <v>4139</v>
      </c>
      <c r="M1858" s="1" t="s">
        <v>4140</v>
      </c>
      <c r="N1858" s="1" t="s">
        <v>30</v>
      </c>
      <c r="O1858" s="1" t="s">
        <v>1284</v>
      </c>
      <c r="P1858" s="1">
        <v>895589090</v>
      </c>
      <c r="Q1858" s="1" t="s">
        <v>1286</v>
      </c>
      <c r="R1858" s="1" t="s">
        <v>33</v>
      </c>
      <c r="S1858" s="1"/>
      <c r="U1858" s="1" t="s">
        <v>35</v>
      </c>
      <c r="V1858" s="1" t="s">
        <v>49</v>
      </c>
      <c r="W1858" s="1" t="str">
        <f>VLOOKUP(Table1[[#This Row],[Obergruppe ATC-Code]],Tabelle3!$A$2:$B$100,2)</f>
        <v>ANTINEOPLASTISCHE MITTEL</v>
      </c>
      <c r="X1858" s="1" t="str">
        <f xml:space="preserve"> LEFT(Table1[[#This Row],[Atc Code]],3)</f>
        <v>L01</v>
      </c>
    </row>
    <row r="1859" spans="1:24" ht="14.4">
      <c r="A1859" s="14">
        <v>1448</v>
      </c>
      <c r="B1859" s="24">
        <v>14270795</v>
      </c>
      <c r="C1859" s="1">
        <v>2199231</v>
      </c>
      <c r="D1859" s="1" t="s">
        <v>25</v>
      </c>
      <c r="E1859" s="36">
        <v>43831</v>
      </c>
      <c r="F1859" s="36">
        <v>44074</v>
      </c>
      <c r="G1859" s="38">
        <f t="shared" si="29"/>
        <v>243</v>
      </c>
      <c r="H1859" s="5">
        <v>43845</v>
      </c>
      <c r="I1859" s="5">
        <v>44075</v>
      </c>
      <c r="J1859" s="1" t="s">
        <v>41</v>
      </c>
      <c r="K1859" s="1" t="s">
        <v>4148</v>
      </c>
      <c r="L1859" s="1" t="s">
        <v>4139</v>
      </c>
      <c r="M1859" s="1" t="s">
        <v>4140</v>
      </c>
      <c r="N1859" s="1" t="s">
        <v>30</v>
      </c>
      <c r="O1859" s="1" t="s">
        <v>110</v>
      </c>
      <c r="P1859" s="1" t="s">
        <v>111</v>
      </c>
      <c r="Q1859" s="1" t="s">
        <v>112</v>
      </c>
      <c r="R1859" s="1" t="s">
        <v>26</v>
      </c>
      <c r="S1859" s="1"/>
      <c r="U1859" s="1" t="s">
        <v>35</v>
      </c>
      <c r="V1859" s="1" t="s">
        <v>49</v>
      </c>
      <c r="W1859" s="1" t="str">
        <f>VLOOKUP(Table1[[#This Row],[Obergruppe ATC-Code]],Tabelle3!$A$2:$B$100,2)</f>
        <v>ANTINEOPLASTISCHE MITTEL</v>
      </c>
      <c r="X1859" s="1" t="str">
        <f xml:space="preserve"> LEFT(Table1[[#This Row],[Atc Code]],3)</f>
        <v>L01</v>
      </c>
    </row>
    <row r="1860" spans="1:24" ht="14.4">
      <c r="A1860" s="14">
        <v>1445</v>
      </c>
      <c r="B1860" s="24">
        <v>14270766</v>
      </c>
      <c r="C1860" s="1">
        <v>2199230</v>
      </c>
      <c r="D1860" s="1" t="s">
        <v>25</v>
      </c>
      <c r="E1860" s="36">
        <v>43831</v>
      </c>
      <c r="F1860" s="36">
        <v>44074</v>
      </c>
      <c r="G1860" s="38">
        <f t="shared" si="29"/>
        <v>243</v>
      </c>
      <c r="H1860" s="5">
        <v>43845</v>
      </c>
      <c r="I1860" s="5">
        <v>44075</v>
      </c>
      <c r="J1860" s="1" t="s">
        <v>41</v>
      </c>
      <c r="K1860" s="1" t="s">
        <v>4149</v>
      </c>
      <c r="L1860" s="1" t="s">
        <v>4139</v>
      </c>
      <c r="M1860" s="1" t="s">
        <v>4140</v>
      </c>
      <c r="N1860" s="1" t="s">
        <v>30</v>
      </c>
      <c r="O1860" s="1" t="s">
        <v>110</v>
      </c>
      <c r="P1860" s="1" t="s">
        <v>111</v>
      </c>
      <c r="Q1860" s="1" t="s">
        <v>112</v>
      </c>
      <c r="R1860" s="1" t="s">
        <v>26</v>
      </c>
      <c r="S1860" s="1"/>
      <c r="U1860" s="1" t="s">
        <v>35</v>
      </c>
      <c r="V1860" s="1" t="s">
        <v>49</v>
      </c>
      <c r="W1860" s="1" t="str">
        <f>VLOOKUP(Table1[[#This Row],[Obergruppe ATC-Code]],Tabelle3!$A$2:$B$100,2)</f>
        <v>ANTINEOPLASTISCHE MITTEL</v>
      </c>
      <c r="X1860" s="1" t="str">
        <f xml:space="preserve"> LEFT(Table1[[#This Row],[Atc Code]],3)</f>
        <v>L01</v>
      </c>
    </row>
    <row r="1861" spans="1:24" ht="14.4">
      <c r="A1861" s="14">
        <v>2804</v>
      </c>
      <c r="B1861" s="24" t="s">
        <v>4150</v>
      </c>
      <c r="C1861" s="1">
        <v>2199232</v>
      </c>
      <c r="D1861" s="1" t="s">
        <v>25</v>
      </c>
      <c r="E1861" s="36">
        <v>43831</v>
      </c>
      <c r="F1861" s="36">
        <v>44227</v>
      </c>
      <c r="G1861" s="38">
        <f t="shared" si="29"/>
        <v>396</v>
      </c>
      <c r="H1861" s="5">
        <v>43845</v>
      </c>
      <c r="I1861" s="5">
        <v>44224</v>
      </c>
      <c r="J1861" s="1" t="s">
        <v>41</v>
      </c>
      <c r="K1861" s="1" t="s">
        <v>4151</v>
      </c>
      <c r="L1861" s="1" t="s">
        <v>4139</v>
      </c>
      <c r="M1861" s="1" t="s">
        <v>4140</v>
      </c>
      <c r="N1861" s="1" t="s">
        <v>30</v>
      </c>
      <c r="O1861" s="1" t="s">
        <v>110</v>
      </c>
      <c r="P1861" s="1" t="s">
        <v>111</v>
      </c>
      <c r="Q1861" s="1" t="s">
        <v>112</v>
      </c>
      <c r="R1861" s="1" t="s">
        <v>26</v>
      </c>
      <c r="S1861" s="1"/>
      <c r="U1861" s="1" t="s">
        <v>35</v>
      </c>
      <c r="V1861" s="1" t="s">
        <v>49</v>
      </c>
      <c r="W1861" s="1" t="str">
        <f>VLOOKUP(Table1[[#This Row],[Obergruppe ATC-Code]],Tabelle3!$A$2:$B$100,2)</f>
        <v>ANTINEOPLASTISCHE MITTEL</v>
      </c>
      <c r="X1861" s="1" t="str">
        <f xml:space="preserve"> LEFT(Table1[[#This Row],[Atc Code]],3)</f>
        <v>L01</v>
      </c>
    </row>
    <row r="1862" spans="1:24" ht="14.4">
      <c r="A1862" s="14">
        <v>1447</v>
      </c>
      <c r="B1862" s="24">
        <v>14270795</v>
      </c>
      <c r="C1862" s="1">
        <v>2199231</v>
      </c>
      <c r="D1862" s="1" t="s">
        <v>25</v>
      </c>
      <c r="E1862" s="36">
        <v>44136</v>
      </c>
      <c r="F1862" s="36">
        <v>44227</v>
      </c>
      <c r="G1862" s="38">
        <f t="shared" si="29"/>
        <v>91</v>
      </c>
      <c r="H1862" s="5">
        <v>44146</v>
      </c>
      <c r="I1862" s="5">
        <v>44224</v>
      </c>
      <c r="J1862" s="1" t="s">
        <v>41</v>
      </c>
      <c r="K1862" s="1" t="s">
        <v>4148</v>
      </c>
      <c r="L1862" s="1" t="s">
        <v>4139</v>
      </c>
      <c r="M1862" s="1" t="s">
        <v>4140</v>
      </c>
      <c r="N1862" s="1" t="s">
        <v>30</v>
      </c>
      <c r="O1862" s="1" t="s">
        <v>110</v>
      </c>
      <c r="P1862" s="1" t="s">
        <v>111</v>
      </c>
      <c r="Q1862" s="1" t="s">
        <v>112</v>
      </c>
      <c r="R1862" s="1" t="s">
        <v>26</v>
      </c>
      <c r="S1862" s="1"/>
      <c r="U1862" s="1" t="s">
        <v>35</v>
      </c>
      <c r="V1862" s="1" t="s">
        <v>49</v>
      </c>
      <c r="W1862" s="1" t="str">
        <f>VLOOKUP(Table1[[#This Row],[Obergruppe ATC-Code]],Tabelle3!$A$2:$B$100,2)</f>
        <v>ANTINEOPLASTISCHE MITTEL</v>
      </c>
      <c r="X1862" s="1" t="str">
        <f xml:space="preserve"> LEFT(Table1[[#This Row],[Atc Code]],3)</f>
        <v>L01</v>
      </c>
    </row>
    <row r="1863" spans="1:24" ht="14.4">
      <c r="A1863" s="14">
        <v>2803</v>
      </c>
      <c r="B1863" s="24" t="s">
        <v>4150</v>
      </c>
      <c r="C1863" s="1">
        <v>2199232</v>
      </c>
      <c r="D1863" s="1" t="s">
        <v>25</v>
      </c>
      <c r="E1863" s="36">
        <v>44197</v>
      </c>
      <c r="F1863" s="36">
        <v>44616</v>
      </c>
      <c r="G1863" s="38">
        <f t="shared" si="29"/>
        <v>419</v>
      </c>
      <c r="H1863" s="5">
        <v>44231</v>
      </c>
      <c r="I1863" s="5">
        <v>44616</v>
      </c>
      <c r="J1863" s="1" t="s">
        <v>26</v>
      </c>
      <c r="K1863" s="1" t="s">
        <v>4151</v>
      </c>
      <c r="L1863" s="1" t="s">
        <v>4139</v>
      </c>
      <c r="M1863" s="1" t="s">
        <v>4140</v>
      </c>
      <c r="N1863" s="1" t="s">
        <v>30</v>
      </c>
      <c r="O1863" s="1" t="s">
        <v>110</v>
      </c>
      <c r="P1863" s="1" t="s">
        <v>111</v>
      </c>
      <c r="Q1863" s="1" t="s">
        <v>112</v>
      </c>
      <c r="R1863" s="1" t="s">
        <v>26</v>
      </c>
      <c r="S1863" s="1"/>
      <c r="U1863" s="1" t="s">
        <v>35</v>
      </c>
      <c r="V1863" s="1" t="s">
        <v>49</v>
      </c>
      <c r="W1863" s="1" t="str">
        <f>VLOOKUP(Table1[[#This Row],[Obergruppe ATC-Code]],Tabelle3!$A$2:$B$100,2)</f>
        <v>ANTINEOPLASTISCHE MITTEL</v>
      </c>
      <c r="X1863" s="1" t="str">
        <f xml:space="preserve"> LEFT(Table1[[#This Row],[Atc Code]],3)</f>
        <v>L01</v>
      </c>
    </row>
    <row r="1864" spans="1:24" ht="14.4">
      <c r="A1864" s="14">
        <v>1446</v>
      </c>
      <c r="B1864" s="24">
        <v>14270795</v>
      </c>
      <c r="C1864" s="1">
        <v>2199231</v>
      </c>
      <c r="D1864" s="1" t="s">
        <v>25</v>
      </c>
      <c r="E1864" s="36">
        <v>44228</v>
      </c>
      <c r="F1864" s="36">
        <v>44616</v>
      </c>
      <c r="G1864" s="38">
        <f t="shared" si="29"/>
        <v>388</v>
      </c>
      <c r="H1864" s="5">
        <v>44231</v>
      </c>
      <c r="I1864" s="5">
        <v>44616</v>
      </c>
      <c r="J1864" s="1" t="s">
        <v>26</v>
      </c>
      <c r="K1864" s="1" t="s">
        <v>4148</v>
      </c>
      <c r="L1864" s="1" t="s">
        <v>4139</v>
      </c>
      <c r="M1864" s="1" t="s">
        <v>4140</v>
      </c>
      <c r="N1864" s="1" t="s">
        <v>30</v>
      </c>
      <c r="O1864" s="1" t="s">
        <v>110</v>
      </c>
      <c r="P1864" s="1" t="s">
        <v>111</v>
      </c>
      <c r="Q1864" s="1" t="s">
        <v>112</v>
      </c>
      <c r="R1864" s="1" t="s">
        <v>26</v>
      </c>
      <c r="S1864" s="1"/>
      <c r="U1864" s="1" t="s">
        <v>35</v>
      </c>
      <c r="V1864" s="1" t="s">
        <v>49</v>
      </c>
      <c r="W1864" s="1" t="str">
        <f>VLOOKUP(Table1[[#This Row],[Obergruppe ATC-Code]],Tabelle3!$A$2:$B$100,2)</f>
        <v>ANTINEOPLASTISCHE MITTEL</v>
      </c>
      <c r="X1864" s="1" t="str">
        <f xml:space="preserve"> LEFT(Table1[[#This Row],[Atc Code]],3)</f>
        <v>L01</v>
      </c>
    </row>
    <row r="1865" spans="1:24" ht="14.4">
      <c r="A1865" s="14">
        <v>1444</v>
      </c>
      <c r="B1865" s="24">
        <v>14270766</v>
      </c>
      <c r="C1865" s="1">
        <v>2199230</v>
      </c>
      <c r="D1865" s="1" t="s">
        <v>25</v>
      </c>
      <c r="E1865" s="36">
        <v>44136</v>
      </c>
      <c r="F1865" s="36">
        <v>44616</v>
      </c>
      <c r="G1865" s="38">
        <f t="shared" si="29"/>
        <v>480</v>
      </c>
      <c r="H1865" s="5">
        <v>44146</v>
      </c>
      <c r="I1865" s="5">
        <v>44616</v>
      </c>
      <c r="J1865" s="1" t="s">
        <v>26</v>
      </c>
      <c r="K1865" s="1" t="s">
        <v>4149</v>
      </c>
      <c r="L1865" s="1" t="s">
        <v>4139</v>
      </c>
      <c r="M1865" s="1" t="s">
        <v>4140</v>
      </c>
      <c r="N1865" s="1" t="s">
        <v>30</v>
      </c>
      <c r="O1865" s="1" t="s">
        <v>110</v>
      </c>
      <c r="P1865" s="1" t="s">
        <v>111</v>
      </c>
      <c r="Q1865" s="1" t="s">
        <v>112</v>
      </c>
      <c r="R1865" s="1" t="s">
        <v>26</v>
      </c>
      <c r="S1865" s="1"/>
      <c r="U1865" s="1" t="s">
        <v>35</v>
      </c>
      <c r="V1865" s="1" t="s">
        <v>49</v>
      </c>
      <c r="W1865" s="1" t="str">
        <f>VLOOKUP(Table1[[#This Row],[Obergruppe ATC-Code]],Tabelle3!$A$2:$B$100,2)</f>
        <v>ANTINEOPLASTISCHE MITTEL</v>
      </c>
      <c r="X1865" s="1" t="str">
        <f xml:space="preserve"> LEFT(Table1[[#This Row],[Atc Code]],3)</f>
        <v>L01</v>
      </c>
    </row>
    <row r="1866" spans="1:24" ht="14.4">
      <c r="A1866" s="14">
        <v>1095</v>
      </c>
      <c r="B1866" s="24">
        <v>9279713</v>
      </c>
      <c r="C1866" s="1">
        <v>2709209</v>
      </c>
      <c r="D1866" s="1" t="s">
        <v>25</v>
      </c>
      <c r="E1866" s="36">
        <v>44256</v>
      </c>
      <c r="F1866" s="36">
        <v>44347</v>
      </c>
      <c r="G1866" s="38">
        <f t="shared" si="29"/>
        <v>91</v>
      </c>
      <c r="H1866" s="5">
        <v>44285</v>
      </c>
      <c r="I1866" s="5">
        <v>44341</v>
      </c>
      <c r="J1866" s="1" t="s">
        <v>41</v>
      </c>
      <c r="K1866" s="1" t="s">
        <v>4152</v>
      </c>
      <c r="L1866" s="1" t="s">
        <v>4153</v>
      </c>
      <c r="M1866" s="1" t="s">
        <v>4154</v>
      </c>
      <c r="N1866" s="1" t="s">
        <v>38</v>
      </c>
      <c r="O1866" s="1" t="s">
        <v>2357</v>
      </c>
      <c r="P1866" s="1" t="s">
        <v>2358</v>
      </c>
      <c r="Q1866" s="1" t="s">
        <v>64</v>
      </c>
      <c r="R1866" s="1" t="s">
        <v>48</v>
      </c>
      <c r="S1866" s="1"/>
      <c r="U1866" s="1" t="s">
        <v>35</v>
      </c>
      <c r="V1866" s="1" t="s">
        <v>99</v>
      </c>
      <c r="W1866" s="1" t="str">
        <f>VLOOKUP(Table1[[#This Row],[Obergruppe ATC-Code]],Tabelle3!$A$2:$B$100,2)</f>
        <v>ANTINEOPLASTISCHE MITTEL</v>
      </c>
      <c r="X1866" s="1" t="str">
        <f xml:space="preserve"> LEFT(Table1[[#This Row],[Atc Code]],3)</f>
        <v>L01</v>
      </c>
    </row>
    <row r="1867" spans="1:24" ht="14.4">
      <c r="A1867" s="14">
        <v>1096</v>
      </c>
      <c r="B1867" s="24">
        <v>9279713</v>
      </c>
      <c r="C1867" s="1">
        <v>2709209</v>
      </c>
      <c r="D1867" s="1" t="s">
        <v>25</v>
      </c>
      <c r="E1867" s="36">
        <v>44501</v>
      </c>
      <c r="F1867" s="36">
        <v>44914</v>
      </c>
      <c r="G1867" s="38">
        <f t="shared" si="29"/>
        <v>413</v>
      </c>
      <c r="H1867" s="5">
        <v>44515</v>
      </c>
      <c r="I1867" s="5">
        <v>44914</v>
      </c>
      <c r="J1867" s="1" t="s">
        <v>41</v>
      </c>
      <c r="K1867" s="1" t="s">
        <v>4152</v>
      </c>
      <c r="L1867" s="1" t="s">
        <v>4153</v>
      </c>
      <c r="M1867" s="1" t="s">
        <v>4154</v>
      </c>
      <c r="N1867" s="1" t="s">
        <v>38</v>
      </c>
      <c r="O1867" s="1" t="s">
        <v>2357</v>
      </c>
      <c r="P1867" s="1" t="s">
        <v>2358</v>
      </c>
      <c r="Q1867" s="1" t="s">
        <v>64</v>
      </c>
      <c r="R1867" s="1" t="s">
        <v>26</v>
      </c>
      <c r="S1867" s="1" t="s">
        <v>4155</v>
      </c>
      <c r="U1867" s="1" t="s">
        <v>57</v>
      </c>
      <c r="V1867" s="1" t="s">
        <v>99</v>
      </c>
      <c r="W1867" s="1" t="str">
        <f>VLOOKUP(Table1[[#This Row],[Obergruppe ATC-Code]],Tabelle3!$A$2:$B$100,2)</f>
        <v>ANTINEOPLASTISCHE MITTEL</v>
      </c>
      <c r="X1867" s="1" t="str">
        <f xml:space="preserve"> LEFT(Table1[[#This Row],[Atc Code]],3)</f>
        <v>L01</v>
      </c>
    </row>
    <row r="1868" spans="1:24" ht="14.4">
      <c r="A1868" s="14">
        <v>1094</v>
      </c>
      <c r="B1868" s="24">
        <v>9279707</v>
      </c>
      <c r="C1868" s="1">
        <v>2709208</v>
      </c>
      <c r="D1868" s="1" t="s">
        <v>25</v>
      </c>
      <c r="E1868" s="36">
        <v>44501</v>
      </c>
      <c r="F1868" s="36">
        <v>44914</v>
      </c>
      <c r="G1868" s="38">
        <f t="shared" si="29"/>
        <v>413</v>
      </c>
      <c r="H1868" s="5">
        <v>44515</v>
      </c>
      <c r="I1868" s="5">
        <v>44914</v>
      </c>
      <c r="J1868" s="1" t="s">
        <v>41</v>
      </c>
      <c r="K1868" s="1" t="s">
        <v>4156</v>
      </c>
      <c r="L1868" s="1" t="s">
        <v>4153</v>
      </c>
      <c r="M1868" s="1" t="s">
        <v>4154</v>
      </c>
      <c r="N1868" s="1" t="s">
        <v>38</v>
      </c>
      <c r="O1868" s="1" t="s">
        <v>2357</v>
      </c>
      <c r="P1868" s="1" t="s">
        <v>2358</v>
      </c>
      <c r="Q1868" s="1" t="s">
        <v>64</v>
      </c>
      <c r="R1868" s="1" t="s">
        <v>26</v>
      </c>
      <c r="S1868" s="1" t="s">
        <v>4155</v>
      </c>
      <c r="U1868" s="1" t="s">
        <v>57</v>
      </c>
      <c r="V1868" s="1" t="s">
        <v>99</v>
      </c>
      <c r="W1868" s="1" t="str">
        <f>VLOOKUP(Table1[[#This Row],[Obergruppe ATC-Code]],Tabelle3!$A$2:$B$100,2)</f>
        <v>ANTINEOPLASTISCHE MITTEL</v>
      </c>
      <c r="X1868" s="1" t="str">
        <f xml:space="preserve"> LEFT(Table1[[#This Row],[Atc Code]],3)</f>
        <v>L01</v>
      </c>
    </row>
    <row r="1869" spans="1:24" ht="14.4">
      <c r="A1869" s="14">
        <v>1416</v>
      </c>
      <c r="B1869" s="24">
        <v>13966891</v>
      </c>
      <c r="C1869" s="1">
        <v>2714650</v>
      </c>
      <c r="D1869" s="1" t="s">
        <v>25</v>
      </c>
      <c r="E1869" s="36">
        <v>44956</v>
      </c>
      <c r="F1869" s="36">
        <v>44959</v>
      </c>
      <c r="G1869" s="38">
        <f t="shared" si="29"/>
        <v>3</v>
      </c>
      <c r="H1869" s="5">
        <v>44953</v>
      </c>
      <c r="I1869" s="5">
        <v>44959</v>
      </c>
      <c r="J1869" s="1" t="s">
        <v>41</v>
      </c>
      <c r="K1869" s="1" t="s">
        <v>4157</v>
      </c>
      <c r="L1869" s="1" t="s">
        <v>4158</v>
      </c>
      <c r="M1869" s="1" t="s">
        <v>4159</v>
      </c>
      <c r="N1869" s="1" t="s">
        <v>38</v>
      </c>
      <c r="O1869" s="1" t="s">
        <v>2274</v>
      </c>
      <c r="P1869" s="1" t="s">
        <v>1153</v>
      </c>
      <c r="Q1869" s="1" t="s">
        <v>331</v>
      </c>
      <c r="R1869" s="1" t="s">
        <v>26</v>
      </c>
      <c r="S1869" s="1"/>
      <c r="T1869" s="1" t="s">
        <v>4160</v>
      </c>
      <c r="U1869" s="1" t="s">
        <v>35</v>
      </c>
      <c r="V1869" s="1" t="s">
        <v>99</v>
      </c>
      <c r="W1869" s="1" t="str">
        <f>VLOOKUP(Table1[[#This Row],[Obergruppe ATC-Code]],Tabelle3!$A$2:$B$100,2)</f>
        <v>ANTINEOPLASTISCHE MITTEL</v>
      </c>
      <c r="X1869" s="1" t="str">
        <f xml:space="preserve"> LEFT(Table1[[#This Row],[Atc Code]],3)</f>
        <v>L01</v>
      </c>
    </row>
    <row r="1870" spans="1:24" ht="14.4">
      <c r="A1870" s="14">
        <v>1182</v>
      </c>
      <c r="B1870" s="25">
        <v>10357832</v>
      </c>
      <c r="C1870" s="1">
        <v>2713945</v>
      </c>
      <c r="D1870" s="1" t="s">
        <v>25</v>
      </c>
      <c r="E1870" s="36">
        <v>42917</v>
      </c>
      <c r="F1870" s="36">
        <v>42978</v>
      </c>
      <c r="G1870" s="38">
        <f t="shared" si="29"/>
        <v>61</v>
      </c>
      <c r="H1870" s="5">
        <v>42940</v>
      </c>
      <c r="I1870" s="5">
        <v>42975</v>
      </c>
      <c r="J1870" s="1" t="s">
        <v>41</v>
      </c>
      <c r="K1870" s="1" t="s">
        <v>4161</v>
      </c>
      <c r="L1870" s="1" t="s">
        <v>4162</v>
      </c>
      <c r="M1870" s="1" t="s">
        <v>4163</v>
      </c>
      <c r="N1870" s="1" t="s">
        <v>38</v>
      </c>
      <c r="O1870" s="1" t="s">
        <v>4164</v>
      </c>
      <c r="P1870" s="1" t="s">
        <v>4165</v>
      </c>
      <c r="Q1870" s="1" t="s">
        <v>4166</v>
      </c>
      <c r="R1870" s="1" t="s">
        <v>26</v>
      </c>
      <c r="S1870" s="1"/>
      <c r="T1870" s="1" t="s">
        <v>4167</v>
      </c>
      <c r="U1870" s="1" t="s">
        <v>35</v>
      </c>
      <c r="V1870" s="1" t="s">
        <v>262</v>
      </c>
      <c r="W1870" s="1" t="str">
        <f>VLOOKUP(Table1[[#This Row],[Obergruppe ATC-Code]],Tabelle3!$A$2:$B$100,2)</f>
        <v>ANTINEOPLASTISCHE MITTEL</v>
      </c>
      <c r="X1870" s="1" t="str">
        <f xml:space="preserve"> LEFT(Table1[[#This Row],[Atc Code]],3)</f>
        <v>L01</v>
      </c>
    </row>
    <row r="1871" spans="1:24" ht="14.4">
      <c r="A1871" s="14">
        <v>1465</v>
      </c>
      <c r="B1871" s="24">
        <v>14439656</v>
      </c>
      <c r="C1871" s="1">
        <v>7003504</v>
      </c>
      <c r="D1871" s="1" t="s">
        <v>25</v>
      </c>
      <c r="E1871" s="36">
        <v>44904</v>
      </c>
      <c r="F1871" s="36">
        <v>44991</v>
      </c>
      <c r="G1871" s="38">
        <f t="shared" si="29"/>
        <v>87</v>
      </c>
      <c r="H1871" s="5">
        <v>44904</v>
      </c>
      <c r="I1871" s="5">
        <v>44991</v>
      </c>
      <c r="J1871" s="1" t="s">
        <v>41</v>
      </c>
      <c r="K1871" s="1" t="s">
        <v>4168</v>
      </c>
      <c r="L1871" s="1" t="s">
        <v>4169</v>
      </c>
      <c r="M1871" s="1" t="s">
        <v>4170</v>
      </c>
      <c r="N1871" s="1" t="s">
        <v>30</v>
      </c>
      <c r="O1871" s="1" t="s">
        <v>3799</v>
      </c>
      <c r="P1871" s="1" t="s">
        <v>3950</v>
      </c>
      <c r="Q1871" s="1" t="s">
        <v>1987</v>
      </c>
      <c r="R1871" s="1" t="s">
        <v>128</v>
      </c>
      <c r="S1871" s="1"/>
      <c r="U1871" s="1" t="s">
        <v>35</v>
      </c>
      <c r="V1871" s="1" t="s">
        <v>262</v>
      </c>
      <c r="W1871" s="1" t="str">
        <f>VLOOKUP(Table1[[#This Row],[Obergruppe ATC-Code]],Tabelle3!$A$2:$B$100,2)</f>
        <v>ANTINEOPLASTISCHE MITTEL</v>
      </c>
      <c r="X1871" s="1" t="str">
        <f xml:space="preserve"> LEFT(Table1[[#This Row],[Atc Code]],3)</f>
        <v>L01</v>
      </c>
    </row>
    <row r="1872" spans="1:24" ht="14.4">
      <c r="A1872" s="14">
        <v>1464</v>
      </c>
      <c r="B1872" s="24">
        <v>14439656</v>
      </c>
      <c r="C1872" s="1">
        <v>7003504</v>
      </c>
      <c r="D1872" s="1" t="s">
        <v>25</v>
      </c>
      <c r="E1872" s="36">
        <v>45061</v>
      </c>
      <c r="F1872" s="36">
        <v>45170</v>
      </c>
      <c r="G1872" s="38">
        <f t="shared" si="29"/>
        <v>109</v>
      </c>
      <c r="H1872" s="5">
        <v>45056</v>
      </c>
      <c r="I1872" s="5">
        <v>45173</v>
      </c>
      <c r="J1872" s="1" t="s">
        <v>26</v>
      </c>
      <c r="K1872" s="1" t="s">
        <v>4168</v>
      </c>
      <c r="L1872" s="1" t="s">
        <v>4169</v>
      </c>
      <c r="M1872" s="1" t="s">
        <v>4170</v>
      </c>
      <c r="N1872" s="1" t="s">
        <v>38</v>
      </c>
      <c r="O1872" s="1" t="s">
        <v>3799</v>
      </c>
      <c r="P1872" s="1">
        <v>76145261233</v>
      </c>
      <c r="Q1872" s="1" t="s">
        <v>2102</v>
      </c>
      <c r="R1872" s="1" t="s">
        <v>33</v>
      </c>
      <c r="S1872" s="1"/>
      <c r="U1872" s="1" t="s">
        <v>130</v>
      </c>
      <c r="V1872" s="1" t="s">
        <v>262</v>
      </c>
      <c r="W1872" s="1" t="str">
        <f>VLOOKUP(Table1[[#This Row],[Obergruppe ATC-Code]],Tabelle3!$A$2:$B$100,2)</f>
        <v>ANTINEOPLASTISCHE MITTEL</v>
      </c>
      <c r="X1872" s="1" t="str">
        <f xml:space="preserve"> LEFT(Table1[[#This Row],[Atc Code]],3)</f>
        <v>L01</v>
      </c>
    </row>
    <row r="1873" spans="1:24" ht="14.4">
      <c r="A1873" s="14">
        <v>1604</v>
      </c>
      <c r="B1873" s="24">
        <v>17578507</v>
      </c>
      <c r="C1873" s="1">
        <v>2115512</v>
      </c>
      <c r="D1873" s="1" t="s">
        <v>25</v>
      </c>
      <c r="E1873" s="36">
        <v>43647</v>
      </c>
      <c r="F1873" s="36">
        <v>43890</v>
      </c>
      <c r="G1873" s="38">
        <f t="shared" si="29"/>
        <v>243</v>
      </c>
      <c r="H1873" s="5">
        <v>42685</v>
      </c>
      <c r="I1873" s="5">
        <v>43871</v>
      </c>
      <c r="J1873" s="1" t="s">
        <v>26</v>
      </c>
      <c r="K1873" s="1" t="s">
        <v>4171</v>
      </c>
      <c r="L1873" s="1" t="s">
        <v>4172</v>
      </c>
      <c r="M1873" s="1" t="s">
        <v>4173</v>
      </c>
      <c r="N1873" s="1" t="s">
        <v>30</v>
      </c>
      <c r="O1873" s="1" t="s">
        <v>4174</v>
      </c>
      <c r="P1873" s="1" t="s">
        <v>4175</v>
      </c>
      <c r="Q1873" s="1" t="s">
        <v>647</v>
      </c>
      <c r="R1873" s="1" t="s">
        <v>33</v>
      </c>
      <c r="S1873" s="1"/>
      <c r="U1873" s="1" t="s">
        <v>57</v>
      </c>
      <c r="V1873" s="1" t="s">
        <v>1009</v>
      </c>
      <c r="W1873" s="1" t="str">
        <f>VLOOKUP(Table1[[#This Row],[Obergruppe ATC-Code]],Tabelle3!$A$2:$B$100,2)</f>
        <v>ANTINEOPLASTISCHE MITTEL</v>
      </c>
      <c r="X1873" s="1" t="str">
        <f xml:space="preserve"> LEFT(Table1[[#This Row],[Atc Code]],3)</f>
        <v>L01</v>
      </c>
    </row>
    <row r="1874" spans="1:24" ht="14.4">
      <c r="A1874" s="14">
        <v>2691</v>
      </c>
      <c r="B1874" s="24" t="s">
        <v>4176</v>
      </c>
      <c r="C1874" s="1">
        <v>2711652</v>
      </c>
      <c r="D1874" s="1" t="s">
        <v>25</v>
      </c>
      <c r="E1874" s="36">
        <v>43800</v>
      </c>
      <c r="F1874" s="36">
        <v>44135</v>
      </c>
      <c r="G1874" s="38">
        <f t="shared" si="29"/>
        <v>335</v>
      </c>
      <c r="H1874" s="5">
        <v>43817</v>
      </c>
      <c r="I1874" s="5">
        <v>44112</v>
      </c>
      <c r="J1874" s="1" t="s">
        <v>41</v>
      </c>
      <c r="K1874" s="1" t="s">
        <v>4177</v>
      </c>
      <c r="L1874" s="1" t="s">
        <v>4172</v>
      </c>
      <c r="M1874" s="1" t="s">
        <v>4178</v>
      </c>
      <c r="N1874" s="1" t="s">
        <v>30</v>
      </c>
      <c r="O1874" s="1" t="s">
        <v>783</v>
      </c>
      <c r="P1874" s="1" t="s">
        <v>3898</v>
      </c>
      <c r="Q1874" s="1" t="s">
        <v>4057</v>
      </c>
      <c r="R1874" s="1" t="s">
        <v>26</v>
      </c>
      <c r="S1874" s="1"/>
      <c r="U1874" s="1" t="s">
        <v>35</v>
      </c>
      <c r="V1874" s="1" t="s">
        <v>3155</v>
      </c>
      <c r="W1874" s="1" t="str">
        <f>VLOOKUP(Table1[[#This Row],[Obergruppe ATC-Code]],Tabelle3!$A$2:$B$100,2)</f>
        <v>ANTINEOPLASTISCHE MITTEL</v>
      </c>
      <c r="X1874" s="1" t="str">
        <f xml:space="preserve"> LEFT(Table1[[#This Row],[Atc Code]],3)</f>
        <v>L01</v>
      </c>
    </row>
    <row r="1875" spans="1:24" ht="14.4">
      <c r="A1875" s="14">
        <v>1603</v>
      </c>
      <c r="B1875" s="24">
        <v>17578507</v>
      </c>
      <c r="C1875" s="1">
        <v>2115512</v>
      </c>
      <c r="D1875" s="1" t="s">
        <v>25</v>
      </c>
      <c r="E1875" s="36">
        <v>43983</v>
      </c>
      <c r="F1875" s="36">
        <v>44356</v>
      </c>
      <c r="G1875" s="38">
        <f t="shared" si="29"/>
        <v>373</v>
      </c>
      <c r="H1875" s="5">
        <v>43997</v>
      </c>
      <c r="I1875" s="5">
        <v>44356</v>
      </c>
      <c r="J1875" s="1" t="s">
        <v>26</v>
      </c>
      <c r="K1875" s="1" t="s">
        <v>4171</v>
      </c>
      <c r="L1875" s="1" t="s">
        <v>4172</v>
      </c>
      <c r="M1875" s="1" t="s">
        <v>4173</v>
      </c>
      <c r="N1875" s="1" t="s">
        <v>30</v>
      </c>
      <c r="O1875" s="1" t="s">
        <v>4174</v>
      </c>
      <c r="P1875" s="1" t="s">
        <v>4179</v>
      </c>
      <c r="Q1875" s="1" t="s">
        <v>4180</v>
      </c>
      <c r="R1875" s="1" t="s">
        <v>33</v>
      </c>
      <c r="S1875" s="1"/>
      <c r="U1875" s="1" t="s">
        <v>57</v>
      </c>
      <c r="V1875" s="1" t="s">
        <v>1009</v>
      </c>
      <c r="W1875" s="1" t="str">
        <f>VLOOKUP(Table1[[#This Row],[Obergruppe ATC-Code]],Tabelle3!$A$2:$B$100,2)</f>
        <v>ANTINEOPLASTISCHE MITTEL</v>
      </c>
      <c r="X1875" s="1" t="str">
        <f xml:space="preserve"> LEFT(Table1[[#This Row],[Atc Code]],3)</f>
        <v>L01</v>
      </c>
    </row>
    <row r="1876" spans="1:24" ht="14.4">
      <c r="A1876" s="14">
        <v>784</v>
      </c>
      <c r="B1876" s="24">
        <v>6165593</v>
      </c>
      <c r="C1876" s="1">
        <v>2128349</v>
      </c>
      <c r="D1876" s="1" t="s">
        <v>25</v>
      </c>
      <c r="E1876" s="36">
        <v>43739</v>
      </c>
      <c r="F1876" s="36">
        <v>43861</v>
      </c>
      <c r="G1876" s="38">
        <f t="shared" si="29"/>
        <v>122</v>
      </c>
      <c r="H1876" s="5">
        <v>43798</v>
      </c>
      <c r="I1876" s="5">
        <v>43860</v>
      </c>
      <c r="J1876" s="1" t="s">
        <v>26</v>
      </c>
      <c r="K1876" s="1" t="s">
        <v>4181</v>
      </c>
      <c r="L1876" s="1" t="s">
        <v>4182</v>
      </c>
      <c r="M1876" s="1" t="s">
        <v>4183</v>
      </c>
      <c r="N1876" s="1" t="s">
        <v>30</v>
      </c>
      <c r="O1876" s="1" t="s">
        <v>321</v>
      </c>
      <c r="P1876" s="1" t="s">
        <v>326</v>
      </c>
      <c r="Q1876" s="1" t="s">
        <v>327</v>
      </c>
      <c r="R1876" s="1" t="s">
        <v>33</v>
      </c>
      <c r="S1876" s="1"/>
      <c r="T1876" s="1" t="s">
        <v>3863</v>
      </c>
      <c r="U1876" s="1" t="s">
        <v>35</v>
      </c>
      <c r="V1876" s="1" t="s">
        <v>787</v>
      </c>
      <c r="W1876" s="1" t="str">
        <f>VLOOKUP(Table1[[#This Row],[Obergruppe ATC-Code]],Tabelle3!$A$2:$B$100,2)</f>
        <v>ANTINEOPLASTISCHE MITTEL</v>
      </c>
      <c r="X1876" s="1" t="str">
        <f xml:space="preserve"> LEFT(Table1[[#This Row],[Atc Code]],3)</f>
        <v>L01</v>
      </c>
    </row>
    <row r="1877" spans="1:24" ht="14.4">
      <c r="A1877" s="14">
        <v>783</v>
      </c>
      <c r="B1877" s="24">
        <v>6165593</v>
      </c>
      <c r="C1877" s="1">
        <v>2128349</v>
      </c>
      <c r="D1877" s="1" t="s">
        <v>25</v>
      </c>
      <c r="E1877" s="36">
        <v>44682</v>
      </c>
      <c r="F1877" s="36">
        <v>44839</v>
      </c>
      <c r="G1877" s="38">
        <f t="shared" si="29"/>
        <v>157</v>
      </c>
      <c r="H1877" s="5">
        <v>44599</v>
      </c>
      <c r="I1877" s="5">
        <v>44838</v>
      </c>
      <c r="J1877" s="1" t="s">
        <v>41</v>
      </c>
      <c r="K1877" s="1" t="s">
        <v>4181</v>
      </c>
      <c r="L1877" s="1" t="s">
        <v>4182</v>
      </c>
      <c r="M1877" s="1" t="s">
        <v>4183</v>
      </c>
      <c r="N1877" s="1" t="s">
        <v>30</v>
      </c>
      <c r="O1877" s="1" t="s">
        <v>329</v>
      </c>
      <c r="P1877" s="1" t="s">
        <v>1259</v>
      </c>
      <c r="Q1877" s="1" t="s">
        <v>331</v>
      </c>
      <c r="R1877" s="1" t="s">
        <v>128</v>
      </c>
      <c r="S1877" s="1"/>
      <c r="U1877" s="1" t="s">
        <v>57</v>
      </c>
      <c r="V1877" s="1" t="s">
        <v>787</v>
      </c>
      <c r="W1877" s="1" t="str">
        <f>VLOOKUP(Table1[[#This Row],[Obergruppe ATC-Code]],Tabelle3!$A$2:$B$100,2)</f>
        <v>ANTINEOPLASTISCHE MITTEL</v>
      </c>
      <c r="X1877" s="1" t="str">
        <f xml:space="preserve"> LEFT(Table1[[#This Row],[Atc Code]],3)</f>
        <v>L01</v>
      </c>
    </row>
    <row r="1878" spans="1:24" ht="14.4">
      <c r="A1878" s="14">
        <v>1101</v>
      </c>
      <c r="B1878" s="25">
        <v>9303305</v>
      </c>
      <c r="C1878" s="1">
        <v>2705793</v>
      </c>
      <c r="D1878" s="1" t="s">
        <v>25</v>
      </c>
      <c r="E1878" s="36">
        <v>42795</v>
      </c>
      <c r="F1878" s="36">
        <v>42978</v>
      </c>
      <c r="G1878" s="38">
        <f t="shared" si="29"/>
        <v>183</v>
      </c>
      <c r="H1878" s="5">
        <v>42814</v>
      </c>
      <c r="I1878" s="5">
        <v>42914</v>
      </c>
      <c r="J1878" s="1" t="s">
        <v>41</v>
      </c>
      <c r="K1878" s="1" t="s">
        <v>4184</v>
      </c>
      <c r="L1878" s="1" t="s">
        <v>4185</v>
      </c>
      <c r="M1878" s="1" t="s">
        <v>4186</v>
      </c>
      <c r="N1878" s="1" t="s">
        <v>30</v>
      </c>
      <c r="O1878" s="1" t="s">
        <v>3986</v>
      </c>
      <c r="P1878" s="1" t="s">
        <v>46</v>
      </c>
      <c r="Q1878" s="1" t="s">
        <v>647</v>
      </c>
      <c r="R1878" s="1" t="s">
        <v>26</v>
      </c>
      <c r="S1878" s="1"/>
      <c r="U1878" s="1" t="s">
        <v>57</v>
      </c>
      <c r="V1878" s="1" t="s">
        <v>279</v>
      </c>
      <c r="W1878" s="1" t="str">
        <f>VLOOKUP(Table1[[#This Row],[Obergruppe ATC-Code]],Tabelle3!$A$2:$B$100,2)</f>
        <v>ANTINEOPLASTISCHE MITTEL</v>
      </c>
      <c r="X1878" s="1" t="str">
        <f xml:space="preserve"> LEFT(Table1[[#This Row],[Atc Code]],3)</f>
        <v>L01</v>
      </c>
    </row>
    <row r="1879" spans="1:24" ht="14.4">
      <c r="A1879" s="14">
        <v>2484</v>
      </c>
      <c r="B1879" s="24" t="s">
        <v>4187</v>
      </c>
      <c r="C1879" s="1">
        <v>2705795</v>
      </c>
      <c r="D1879" s="1" t="s">
        <v>25</v>
      </c>
      <c r="E1879" s="36">
        <v>42675</v>
      </c>
      <c r="F1879" s="36">
        <v>42825</v>
      </c>
      <c r="G1879" s="38">
        <f t="shared" si="29"/>
        <v>150</v>
      </c>
      <c r="H1879" s="5">
        <v>42538</v>
      </c>
      <c r="I1879" s="5">
        <v>43125</v>
      </c>
      <c r="J1879" s="1" t="s">
        <v>41</v>
      </c>
      <c r="K1879" s="1" t="s">
        <v>4188</v>
      </c>
      <c r="L1879" s="1" t="s">
        <v>4185</v>
      </c>
      <c r="M1879" s="1" t="s">
        <v>4186</v>
      </c>
      <c r="N1879" s="1" t="s">
        <v>30</v>
      </c>
      <c r="O1879" s="1" t="s">
        <v>3986</v>
      </c>
      <c r="P1879" s="1" t="s">
        <v>46</v>
      </c>
      <c r="Q1879" s="1" t="s">
        <v>647</v>
      </c>
      <c r="R1879" s="1" t="s">
        <v>26</v>
      </c>
      <c r="S1879" s="1"/>
      <c r="U1879" s="1" t="s">
        <v>35</v>
      </c>
      <c r="V1879" s="1" t="s">
        <v>279</v>
      </c>
      <c r="W1879" s="1" t="str">
        <f>VLOOKUP(Table1[[#This Row],[Obergruppe ATC-Code]],Tabelle3!$A$2:$B$100,2)</f>
        <v>ANTINEOPLASTISCHE MITTEL</v>
      </c>
      <c r="X1879" s="1" t="str">
        <f xml:space="preserve"> LEFT(Table1[[#This Row],[Atc Code]],3)</f>
        <v>L01</v>
      </c>
    </row>
    <row r="1880" spans="1:24" ht="14.4">
      <c r="A1880" s="14">
        <v>2485</v>
      </c>
      <c r="B1880" s="24" t="s">
        <v>4189</v>
      </c>
      <c r="C1880" s="1">
        <v>2705796</v>
      </c>
      <c r="D1880" s="1" t="s">
        <v>25</v>
      </c>
      <c r="E1880" s="36">
        <v>42675</v>
      </c>
      <c r="F1880" s="36">
        <v>42825</v>
      </c>
      <c r="G1880" s="38">
        <f t="shared" si="29"/>
        <v>150</v>
      </c>
      <c r="H1880" s="5">
        <v>42538</v>
      </c>
      <c r="I1880" s="5">
        <v>43130</v>
      </c>
      <c r="J1880" s="1" t="s">
        <v>41</v>
      </c>
      <c r="K1880" s="1" t="s">
        <v>4190</v>
      </c>
      <c r="L1880" s="1" t="s">
        <v>4185</v>
      </c>
      <c r="M1880" s="1" t="s">
        <v>4186</v>
      </c>
      <c r="N1880" s="1" t="s">
        <v>30</v>
      </c>
      <c r="O1880" s="1" t="s">
        <v>3986</v>
      </c>
      <c r="P1880" s="1" t="s">
        <v>46</v>
      </c>
      <c r="Q1880" s="1" t="s">
        <v>647</v>
      </c>
      <c r="R1880" s="1" t="s">
        <v>26</v>
      </c>
      <c r="S1880" s="1"/>
      <c r="U1880" s="1" t="s">
        <v>35</v>
      </c>
      <c r="V1880" s="1" t="s">
        <v>279</v>
      </c>
      <c r="W1880" s="1" t="str">
        <f>VLOOKUP(Table1[[#This Row],[Obergruppe ATC-Code]],Tabelle3!$A$2:$B$100,2)</f>
        <v>ANTINEOPLASTISCHE MITTEL</v>
      </c>
      <c r="X1880" s="1" t="str">
        <f xml:space="preserve"> LEFT(Table1[[#This Row],[Atc Code]],3)</f>
        <v>L01</v>
      </c>
    </row>
    <row r="1881" spans="1:24" ht="14.4">
      <c r="A1881" s="14">
        <v>1102</v>
      </c>
      <c r="B1881" s="25">
        <v>9303305</v>
      </c>
      <c r="C1881" s="1">
        <v>2705794</v>
      </c>
      <c r="D1881" s="1" t="s">
        <v>25</v>
      </c>
      <c r="E1881" s="36">
        <v>42795</v>
      </c>
      <c r="F1881" s="36">
        <v>42978</v>
      </c>
      <c r="G1881" s="38">
        <f t="shared" si="29"/>
        <v>183</v>
      </c>
      <c r="H1881" s="5">
        <v>42814</v>
      </c>
      <c r="I1881" s="5">
        <v>43130</v>
      </c>
      <c r="J1881" s="1" t="s">
        <v>41</v>
      </c>
      <c r="K1881" s="1" t="s">
        <v>4191</v>
      </c>
      <c r="L1881" s="1" t="s">
        <v>4185</v>
      </c>
      <c r="M1881" s="1" t="s">
        <v>4186</v>
      </c>
      <c r="N1881" s="1" t="s">
        <v>30</v>
      </c>
      <c r="O1881" s="1" t="s">
        <v>3986</v>
      </c>
      <c r="P1881" s="1" t="s">
        <v>46</v>
      </c>
      <c r="Q1881" s="1" t="s">
        <v>647</v>
      </c>
      <c r="R1881" s="1" t="s">
        <v>26</v>
      </c>
      <c r="S1881" s="1"/>
      <c r="U1881" s="1" t="s">
        <v>35</v>
      </c>
      <c r="V1881" s="1" t="s">
        <v>279</v>
      </c>
      <c r="W1881" s="1" t="str">
        <f>VLOOKUP(Table1[[#This Row],[Obergruppe ATC-Code]],Tabelle3!$A$2:$B$100,2)</f>
        <v>ANTINEOPLASTISCHE MITTEL</v>
      </c>
      <c r="X1881" s="1" t="str">
        <f xml:space="preserve"> LEFT(Table1[[#This Row],[Atc Code]],3)</f>
        <v>L01</v>
      </c>
    </row>
    <row r="1882" spans="1:24" ht="14.4">
      <c r="A1882" s="14">
        <v>184</v>
      </c>
      <c r="B1882" s="24">
        <v>1111061</v>
      </c>
      <c r="C1882" s="1">
        <v>2704614</v>
      </c>
      <c r="D1882" s="1" t="s">
        <v>102</v>
      </c>
      <c r="E1882" s="36">
        <v>45070</v>
      </c>
      <c r="F1882" s="36">
        <v>45366</v>
      </c>
      <c r="G1882" s="38">
        <f t="shared" si="29"/>
        <v>296</v>
      </c>
      <c r="H1882" s="5">
        <v>45070</v>
      </c>
      <c r="I1882" s="5">
        <v>45124</v>
      </c>
      <c r="J1882" s="1" t="s">
        <v>26</v>
      </c>
      <c r="K1882" s="1" t="s">
        <v>4192</v>
      </c>
      <c r="L1882" s="1" t="s">
        <v>4185</v>
      </c>
      <c r="M1882" s="1" t="s">
        <v>4186</v>
      </c>
      <c r="N1882" s="1" t="s">
        <v>38</v>
      </c>
      <c r="O1882" s="1" t="s">
        <v>4193</v>
      </c>
      <c r="Q1882" s="1" t="s">
        <v>93</v>
      </c>
      <c r="R1882" s="1" t="s">
        <v>26</v>
      </c>
      <c r="S1882" s="1"/>
      <c r="U1882" s="1" t="s">
        <v>130</v>
      </c>
      <c r="V1882" s="1" t="s">
        <v>262</v>
      </c>
      <c r="W1882" s="1" t="str">
        <f>VLOOKUP(Table1[[#This Row],[Obergruppe ATC-Code]],Tabelle3!$A$2:$B$100,2)</f>
        <v>ANTINEOPLASTISCHE MITTEL</v>
      </c>
      <c r="X1882" s="1" t="str">
        <f xml:space="preserve"> LEFT(Table1[[#This Row],[Atc Code]],3)</f>
        <v>L01</v>
      </c>
    </row>
    <row r="1883" spans="1:24" ht="14.4">
      <c r="A1883" s="14">
        <v>183</v>
      </c>
      <c r="B1883" s="24">
        <v>1111055</v>
      </c>
      <c r="C1883" s="1">
        <v>2704615</v>
      </c>
      <c r="D1883" s="1" t="s">
        <v>102</v>
      </c>
      <c r="E1883" s="36">
        <v>44917</v>
      </c>
      <c r="F1883" s="36">
        <v>45366</v>
      </c>
      <c r="G1883" s="38">
        <f t="shared" si="29"/>
        <v>449</v>
      </c>
      <c r="H1883" s="5">
        <v>44945</v>
      </c>
      <c r="I1883" s="5">
        <v>45124</v>
      </c>
      <c r="J1883" s="1" t="s">
        <v>26</v>
      </c>
      <c r="K1883" s="1" t="s">
        <v>4194</v>
      </c>
      <c r="L1883" s="1" t="s">
        <v>4185</v>
      </c>
      <c r="M1883" s="1" t="s">
        <v>4186</v>
      </c>
      <c r="N1883" s="1" t="s">
        <v>38</v>
      </c>
      <c r="O1883" s="1" t="s">
        <v>4193</v>
      </c>
      <c r="Q1883" s="1" t="s">
        <v>93</v>
      </c>
      <c r="R1883" s="1" t="s">
        <v>26</v>
      </c>
      <c r="S1883" s="1"/>
      <c r="U1883" s="1" t="s">
        <v>130</v>
      </c>
      <c r="V1883" s="1" t="s">
        <v>262</v>
      </c>
      <c r="W1883" s="1" t="str">
        <f>VLOOKUP(Table1[[#This Row],[Obergruppe ATC-Code]],Tabelle3!$A$2:$B$100,2)</f>
        <v>ANTINEOPLASTISCHE MITTEL</v>
      </c>
      <c r="X1883" s="1" t="str">
        <f xml:space="preserve"> LEFT(Table1[[#This Row],[Atc Code]],3)</f>
        <v>L01</v>
      </c>
    </row>
    <row r="1884" spans="1:24" ht="14.4">
      <c r="A1884" s="14">
        <v>3130</v>
      </c>
      <c r="B1884" s="3">
        <v>14036993</v>
      </c>
      <c r="C1884" s="1">
        <v>2175343</v>
      </c>
      <c r="D1884" s="1" t="s">
        <v>25</v>
      </c>
      <c r="E1884" s="36">
        <v>43770</v>
      </c>
      <c r="F1884" s="36">
        <v>43861</v>
      </c>
      <c r="G1884" s="38">
        <f t="shared" si="29"/>
        <v>91</v>
      </c>
      <c r="H1884" s="5">
        <v>43770</v>
      </c>
      <c r="I1884" s="5">
        <v>43851</v>
      </c>
      <c r="J1884" s="1" t="s">
        <v>41</v>
      </c>
      <c r="K1884" s="1" t="s">
        <v>4195</v>
      </c>
      <c r="L1884" s="1" t="s">
        <v>4196</v>
      </c>
      <c r="M1884" s="1" t="s">
        <v>4197</v>
      </c>
      <c r="N1884" s="1" t="s">
        <v>30</v>
      </c>
      <c r="O1884" s="1" t="s">
        <v>220</v>
      </c>
      <c r="P1884" s="1">
        <v>61726080</v>
      </c>
      <c r="Q1884" s="1" t="s">
        <v>222</v>
      </c>
      <c r="R1884" s="1" t="s">
        <v>48</v>
      </c>
      <c r="S1884" s="1"/>
      <c r="T1884" s="1" t="s">
        <v>4198</v>
      </c>
      <c r="U1884" s="1" t="s">
        <v>35</v>
      </c>
      <c r="V1884" s="1" t="s">
        <v>279</v>
      </c>
      <c r="W1884" s="1" t="str">
        <f>VLOOKUP(Table1[[#This Row],[Obergruppe ATC-Code]],Tabelle3!$A$2:$B$100,2)</f>
        <v>ANTINEOPLASTISCHE MITTEL</v>
      </c>
      <c r="X1884" s="1" t="str">
        <f xml:space="preserve"> LEFT(Table1[[#This Row],[Atc Code]],3)</f>
        <v>L01</v>
      </c>
    </row>
    <row r="1885" spans="1:24" ht="14.4">
      <c r="A1885" s="14">
        <v>3131</v>
      </c>
      <c r="B1885" s="3">
        <v>16149276</v>
      </c>
      <c r="C1885" s="1">
        <v>2190057</v>
      </c>
      <c r="D1885" s="1" t="s">
        <v>25</v>
      </c>
      <c r="E1885" s="36">
        <v>43891</v>
      </c>
      <c r="F1885" s="36">
        <v>44012</v>
      </c>
      <c r="G1885" s="38">
        <f t="shared" si="29"/>
        <v>121</v>
      </c>
      <c r="H1885" s="5">
        <v>43901</v>
      </c>
      <c r="I1885" s="5">
        <v>43930</v>
      </c>
      <c r="J1885" s="1" t="s">
        <v>41</v>
      </c>
      <c r="K1885" s="1" t="s">
        <v>4199</v>
      </c>
      <c r="L1885" s="1" t="s">
        <v>4196</v>
      </c>
      <c r="M1885" s="1" t="s">
        <v>4197</v>
      </c>
      <c r="N1885" s="1" t="s">
        <v>30</v>
      </c>
      <c r="O1885" s="1" t="s">
        <v>4200</v>
      </c>
      <c r="P1885" s="1" t="s">
        <v>4201</v>
      </c>
      <c r="Q1885" s="1" t="s">
        <v>4202</v>
      </c>
      <c r="R1885" s="1" t="s">
        <v>65</v>
      </c>
      <c r="S1885" s="1"/>
      <c r="U1885" s="1" t="s">
        <v>35</v>
      </c>
      <c r="V1885" s="1" t="s">
        <v>279</v>
      </c>
      <c r="W1885" s="1" t="str">
        <f>VLOOKUP(Table1[[#This Row],[Obergruppe ATC-Code]],Tabelle3!$A$2:$B$100,2)</f>
        <v>ANTINEOPLASTISCHE MITTEL</v>
      </c>
      <c r="X1885" s="1" t="str">
        <f xml:space="preserve"> LEFT(Table1[[#This Row],[Atc Code]],3)</f>
        <v>L01</v>
      </c>
    </row>
    <row r="1886" spans="1:24" ht="14.4">
      <c r="A1886" s="14">
        <v>1397</v>
      </c>
      <c r="B1886" s="24">
        <v>13850958</v>
      </c>
      <c r="C1886" s="1">
        <v>2714272</v>
      </c>
      <c r="D1886" s="1" t="s">
        <v>25</v>
      </c>
      <c r="E1886" s="36">
        <v>44886</v>
      </c>
      <c r="F1886" s="36">
        <v>44967</v>
      </c>
      <c r="G1886" s="38">
        <f t="shared" si="29"/>
        <v>81</v>
      </c>
      <c r="H1886" s="5">
        <v>44868</v>
      </c>
      <c r="I1886" s="5">
        <v>44967</v>
      </c>
      <c r="J1886" s="1" t="s">
        <v>41</v>
      </c>
      <c r="K1886" s="1" t="s">
        <v>4203</v>
      </c>
      <c r="L1886" s="1" t="s">
        <v>4204</v>
      </c>
      <c r="M1886" s="1" t="s">
        <v>4205</v>
      </c>
      <c r="N1886" s="1" t="s">
        <v>30</v>
      </c>
      <c r="O1886" s="1" t="s">
        <v>4206</v>
      </c>
      <c r="P1886" s="1">
        <v>895709501</v>
      </c>
      <c r="Q1886" s="1" t="s">
        <v>4207</v>
      </c>
      <c r="R1886" s="1" t="s">
        <v>128</v>
      </c>
      <c r="S1886" s="1"/>
      <c r="U1886" s="1" t="s">
        <v>130</v>
      </c>
      <c r="V1886" s="1" t="s">
        <v>787</v>
      </c>
      <c r="W1886" s="1" t="str">
        <f>VLOOKUP(Table1[[#This Row],[Obergruppe ATC-Code]],Tabelle3!$A$2:$B$100,2)</f>
        <v>ANTINEOPLASTISCHE MITTEL</v>
      </c>
      <c r="X1886" s="1" t="str">
        <f xml:space="preserve"> LEFT(Table1[[#This Row],[Atc Code]],3)</f>
        <v>L01</v>
      </c>
    </row>
    <row r="1887" spans="1:24" ht="14.4">
      <c r="A1887" s="14">
        <v>2870</v>
      </c>
      <c r="B1887" s="24" t="s">
        <v>4208</v>
      </c>
      <c r="C1887" s="1">
        <v>2714693</v>
      </c>
      <c r="D1887" s="1" t="s">
        <v>25</v>
      </c>
      <c r="E1887" s="36">
        <v>43770</v>
      </c>
      <c r="F1887" s="36">
        <v>43830</v>
      </c>
      <c r="G1887" s="38">
        <f t="shared" si="29"/>
        <v>60</v>
      </c>
      <c r="H1887" s="5">
        <v>43777</v>
      </c>
      <c r="I1887" s="5">
        <v>43843</v>
      </c>
      <c r="J1887" s="1" t="s">
        <v>41</v>
      </c>
      <c r="K1887" s="1" t="s">
        <v>4209</v>
      </c>
      <c r="L1887" s="1" t="s">
        <v>4210</v>
      </c>
      <c r="M1887" s="1" t="s">
        <v>4211</v>
      </c>
      <c r="N1887" s="1" t="s">
        <v>30</v>
      </c>
      <c r="O1887" s="1" t="s">
        <v>4212</v>
      </c>
      <c r="P1887" s="1" t="s">
        <v>4213</v>
      </c>
      <c r="Q1887" s="1" t="s">
        <v>4214</v>
      </c>
      <c r="R1887" s="1" t="s">
        <v>26</v>
      </c>
      <c r="S1887" s="1"/>
      <c r="U1887" s="1" t="s">
        <v>35</v>
      </c>
      <c r="V1887" s="1" t="s">
        <v>3155</v>
      </c>
      <c r="W1887" s="1" t="str">
        <f>VLOOKUP(Table1[[#This Row],[Obergruppe ATC-Code]],Tabelle3!$A$2:$B$100,2)</f>
        <v>ANTINEOPLASTISCHE MITTEL</v>
      </c>
      <c r="X1887" s="1" t="str">
        <f xml:space="preserve"> LEFT(Table1[[#This Row],[Atc Code]],3)</f>
        <v>L01</v>
      </c>
    </row>
    <row r="1888" spans="1:24" ht="14.4">
      <c r="A1888" s="14">
        <v>2577</v>
      </c>
      <c r="B1888" s="24" t="s">
        <v>4215</v>
      </c>
      <c r="C1888" s="1">
        <v>2106770</v>
      </c>
      <c r="D1888" s="1" t="s">
        <v>25</v>
      </c>
      <c r="E1888" s="36">
        <v>43344</v>
      </c>
      <c r="F1888" s="36">
        <v>43677</v>
      </c>
      <c r="G1888" s="38">
        <f t="shared" si="29"/>
        <v>333</v>
      </c>
      <c r="H1888" s="5">
        <v>43361</v>
      </c>
      <c r="I1888" s="5">
        <v>43698</v>
      </c>
      <c r="J1888" s="1" t="s">
        <v>41</v>
      </c>
      <c r="K1888" s="1" t="s">
        <v>4216</v>
      </c>
      <c r="L1888" s="1" t="s">
        <v>4217</v>
      </c>
      <c r="M1888" s="1" t="s">
        <v>4218</v>
      </c>
      <c r="N1888" s="1" t="s">
        <v>30</v>
      </c>
      <c r="O1888" s="1" t="s">
        <v>299</v>
      </c>
      <c r="P1888" s="1" t="s">
        <v>4219</v>
      </c>
      <c r="Q1888" s="1" t="s">
        <v>301</v>
      </c>
      <c r="R1888" s="1" t="s">
        <v>48</v>
      </c>
      <c r="S1888" s="1"/>
      <c r="U1888" s="1" t="s">
        <v>35</v>
      </c>
      <c r="V1888" s="1" t="s">
        <v>49</v>
      </c>
      <c r="W1888" s="1" t="str">
        <f>VLOOKUP(Table1[[#This Row],[Obergruppe ATC-Code]],Tabelle3!$A$2:$B$100,2)</f>
        <v>ENDOKRINE THERAPIE</v>
      </c>
      <c r="X1888" s="1" t="str">
        <f xml:space="preserve"> LEFT(Table1[[#This Row],[Atc Code]],3)</f>
        <v>L02</v>
      </c>
    </row>
    <row r="1889" spans="1:24" ht="14.4">
      <c r="A1889" s="14">
        <v>2026</v>
      </c>
      <c r="B1889" s="24" t="s">
        <v>4220</v>
      </c>
      <c r="C1889" s="1">
        <v>2107957</v>
      </c>
      <c r="D1889" s="1" t="s">
        <v>25</v>
      </c>
      <c r="E1889" s="36">
        <v>44393</v>
      </c>
      <c r="F1889" s="36">
        <v>44862</v>
      </c>
      <c r="G1889" s="38">
        <f t="shared" si="29"/>
        <v>469</v>
      </c>
      <c r="H1889" s="5">
        <v>44393</v>
      </c>
      <c r="I1889" s="5">
        <v>44862</v>
      </c>
      <c r="J1889" s="1" t="s">
        <v>26</v>
      </c>
      <c r="K1889" s="1" t="s">
        <v>4221</v>
      </c>
      <c r="L1889" s="1" t="s">
        <v>4222</v>
      </c>
      <c r="M1889" s="1" t="s">
        <v>2197</v>
      </c>
      <c r="N1889" s="1" t="s">
        <v>30</v>
      </c>
      <c r="O1889" s="1" t="s">
        <v>91</v>
      </c>
      <c r="P1889" s="1" t="s">
        <v>92</v>
      </c>
      <c r="Q1889" s="1" t="s">
        <v>93</v>
      </c>
      <c r="R1889" s="1" t="s">
        <v>26</v>
      </c>
      <c r="S1889" s="1"/>
      <c r="U1889" s="1" t="s">
        <v>35</v>
      </c>
      <c r="V1889" s="1" t="s">
        <v>49</v>
      </c>
      <c r="W1889" s="1" t="str">
        <f>VLOOKUP(Table1[[#This Row],[Obergruppe ATC-Code]],Tabelle3!$A$2:$B$100,2)</f>
        <v>ENDOKRINE THERAPIE</v>
      </c>
      <c r="X1889" s="1" t="str">
        <f xml:space="preserve"> LEFT(Table1[[#This Row],[Atc Code]],3)</f>
        <v>L02</v>
      </c>
    </row>
    <row r="1890" spans="1:24" ht="14.4">
      <c r="A1890" s="14">
        <v>2025</v>
      </c>
      <c r="B1890" s="24" t="s">
        <v>4223</v>
      </c>
      <c r="C1890" s="1">
        <v>2107956</v>
      </c>
      <c r="D1890" s="1" t="s">
        <v>25</v>
      </c>
      <c r="E1890" s="36">
        <v>44393</v>
      </c>
      <c r="F1890" s="36">
        <v>44862</v>
      </c>
      <c r="G1890" s="38">
        <f t="shared" si="29"/>
        <v>469</v>
      </c>
      <c r="H1890" s="5">
        <v>44393</v>
      </c>
      <c r="I1890" s="5">
        <v>44862</v>
      </c>
      <c r="J1890" s="1" t="s">
        <v>26</v>
      </c>
      <c r="K1890" s="1" t="s">
        <v>4224</v>
      </c>
      <c r="L1890" s="1" t="s">
        <v>4222</v>
      </c>
      <c r="M1890" s="1" t="s">
        <v>2197</v>
      </c>
      <c r="N1890" s="1" t="s">
        <v>30</v>
      </c>
      <c r="O1890" s="1" t="s">
        <v>91</v>
      </c>
      <c r="P1890" s="1" t="s">
        <v>92</v>
      </c>
      <c r="Q1890" s="1" t="s">
        <v>93</v>
      </c>
      <c r="R1890" s="1" t="s">
        <v>26</v>
      </c>
      <c r="S1890" s="1"/>
      <c r="U1890" s="1" t="s">
        <v>35</v>
      </c>
      <c r="V1890" s="1" t="s">
        <v>49</v>
      </c>
      <c r="W1890" s="1" t="str">
        <f>VLOOKUP(Table1[[#This Row],[Obergruppe ATC-Code]],Tabelle3!$A$2:$B$100,2)</f>
        <v>ENDOKRINE THERAPIE</v>
      </c>
      <c r="X1890" s="1" t="str">
        <f xml:space="preserve"> LEFT(Table1[[#This Row],[Atc Code]],3)</f>
        <v>L02</v>
      </c>
    </row>
    <row r="1891" spans="1:24" ht="14.4">
      <c r="A1891" s="14">
        <v>443</v>
      </c>
      <c r="B1891" s="24">
        <v>2726014</v>
      </c>
      <c r="C1891" s="1">
        <v>2154786</v>
      </c>
      <c r="D1891" s="1" t="s">
        <v>175</v>
      </c>
      <c r="E1891" s="36">
        <v>45229</v>
      </c>
      <c r="F1891" s="36">
        <v>45245</v>
      </c>
      <c r="G1891" s="38">
        <f t="shared" si="29"/>
        <v>16</v>
      </c>
      <c r="H1891" s="5">
        <v>45201</v>
      </c>
      <c r="I1891" s="5">
        <v>45201</v>
      </c>
      <c r="J1891" s="1" t="s">
        <v>26</v>
      </c>
      <c r="K1891" s="1" t="s">
        <v>4225</v>
      </c>
      <c r="L1891" s="1" t="s">
        <v>4226</v>
      </c>
      <c r="M1891" s="1" t="s">
        <v>4227</v>
      </c>
      <c r="N1891" s="1" t="s">
        <v>38</v>
      </c>
      <c r="O1891" s="1" t="s">
        <v>4228</v>
      </c>
      <c r="P1891" s="1">
        <v>7317047175</v>
      </c>
      <c r="Q1891" s="1" t="s">
        <v>4229</v>
      </c>
      <c r="R1891" s="1" t="s">
        <v>113</v>
      </c>
      <c r="S1891" s="1" t="s">
        <v>4230</v>
      </c>
      <c r="U1891" s="1" t="s">
        <v>35</v>
      </c>
      <c r="V1891" s="1" t="s">
        <v>4231</v>
      </c>
      <c r="W1891" s="1" t="str">
        <f>VLOOKUP(Table1[[#This Row],[Obergruppe ATC-Code]],Tabelle3!$A$2:$B$100,2)</f>
        <v>ENDOKRINE THERAPIE</v>
      </c>
      <c r="X1891" s="1" t="str">
        <f xml:space="preserve"> LEFT(Table1[[#This Row],[Atc Code]],3)</f>
        <v>L02</v>
      </c>
    </row>
    <row r="1892" spans="1:24" ht="14.4">
      <c r="A1892" s="1">
        <v>1755</v>
      </c>
      <c r="B1892" s="25" t="s">
        <v>4232</v>
      </c>
      <c r="C1892" s="1">
        <v>2139769</v>
      </c>
      <c r="D1892" s="1" t="s">
        <v>25</v>
      </c>
      <c r="E1892" s="36">
        <v>45180</v>
      </c>
      <c r="F1892" s="36">
        <v>45208</v>
      </c>
      <c r="G1892" s="38">
        <f t="shared" si="29"/>
        <v>28</v>
      </c>
      <c r="H1892" s="5">
        <v>45173</v>
      </c>
      <c r="I1892" s="5">
        <v>45209</v>
      </c>
      <c r="J1892" s="1" t="s">
        <v>41</v>
      </c>
      <c r="K1892" s="1" t="s">
        <v>4233</v>
      </c>
      <c r="L1892" s="1" t="s">
        <v>4226</v>
      </c>
      <c r="M1892" s="1" t="s">
        <v>4234</v>
      </c>
      <c r="N1892" s="1" t="s">
        <v>38</v>
      </c>
      <c r="O1892" s="1" t="s">
        <v>1212</v>
      </c>
      <c r="P1892" s="1" t="s">
        <v>853</v>
      </c>
      <c r="Q1892" s="1" t="s">
        <v>854</v>
      </c>
      <c r="R1892" s="1" t="s">
        <v>128</v>
      </c>
      <c r="S1892" s="1"/>
      <c r="U1892" s="1" t="s">
        <v>130</v>
      </c>
      <c r="V1892" s="1" t="s">
        <v>4235</v>
      </c>
      <c r="W1892" s="1" t="str">
        <f>VLOOKUP(Table1[[#This Row],[Obergruppe ATC-Code]],Tabelle3!$A$2:$B$100,2)</f>
        <v>ENDOKRINE THERAPIE</v>
      </c>
      <c r="X1892" s="1" t="str">
        <f xml:space="preserve"> LEFT(Table1[[#This Row],[Atc Code]],3)</f>
        <v>L02</v>
      </c>
    </row>
    <row r="1893" spans="1:24" ht="14.4">
      <c r="A1893" s="14">
        <v>1812</v>
      </c>
      <c r="B1893" s="24" t="s">
        <v>4236</v>
      </c>
      <c r="C1893" s="1">
        <v>2139268</v>
      </c>
      <c r="D1893" s="1" t="s">
        <v>25</v>
      </c>
      <c r="E1893" s="36">
        <v>44511</v>
      </c>
      <c r="F1893" s="36">
        <v>44589</v>
      </c>
      <c r="G1893" s="38">
        <f t="shared" si="29"/>
        <v>78</v>
      </c>
      <c r="H1893" s="5">
        <v>44501</v>
      </c>
      <c r="I1893" s="5">
        <v>44589</v>
      </c>
      <c r="J1893" s="1" t="s">
        <v>41</v>
      </c>
      <c r="K1893" s="1" t="s">
        <v>4237</v>
      </c>
      <c r="L1893" s="1" t="s">
        <v>4238</v>
      </c>
      <c r="M1893" s="1" t="s">
        <v>4239</v>
      </c>
      <c r="N1893" s="1" t="s">
        <v>30</v>
      </c>
      <c r="O1893" s="1" t="s">
        <v>150</v>
      </c>
      <c r="P1893" s="1" t="s">
        <v>151</v>
      </c>
      <c r="Q1893" s="1" t="s">
        <v>152</v>
      </c>
      <c r="R1893" s="1" t="s">
        <v>26</v>
      </c>
      <c r="S1893" s="1"/>
      <c r="T1893" s="1" t="s">
        <v>4240</v>
      </c>
      <c r="U1893" s="1" t="s">
        <v>35</v>
      </c>
      <c r="V1893" s="1" t="s">
        <v>4241</v>
      </c>
      <c r="W1893" s="1" t="str">
        <f>VLOOKUP(Table1[[#This Row],[Obergruppe ATC-Code]],Tabelle3!$A$2:$B$100,2)</f>
        <v>ENDOKRINE THERAPIE</v>
      </c>
      <c r="X1893" s="1" t="str">
        <f xml:space="preserve"> LEFT(Table1[[#This Row],[Atc Code]],3)</f>
        <v>L02</v>
      </c>
    </row>
    <row r="1894" spans="1:24" ht="14.4">
      <c r="A1894" s="14">
        <v>372</v>
      </c>
      <c r="B1894" s="24">
        <v>2146877</v>
      </c>
      <c r="C1894" s="1">
        <v>2151973</v>
      </c>
      <c r="D1894" s="1" t="s">
        <v>25</v>
      </c>
      <c r="E1894" s="36">
        <v>43831</v>
      </c>
      <c r="F1894" s="36">
        <v>43951</v>
      </c>
      <c r="G1894" s="38">
        <f t="shared" si="29"/>
        <v>120</v>
      </c>
      <c r="H1894" s="5">
        <v>43798</v>
      </c>
      <c r="I1894" s="5">
        <v>43928</v>
      </c>
      <c r="J1894" s="1" t="s">
        <v>26</v>
      </c>
      <c r="K1894" s="1" t="s">
        <v>4242</v>
      </c>
      <c r="L1894" s="1" t="s">
        <v>4243</v>
      </c>
      <c r="M1894" s="1" t="s">
        <v>4244</v>
      </c>
      <c r="N1894" s="1" t="s">
        <v>38</v>
      </c>
      <c r="O1894" s="1" t="s">
        <v>356</v>
      </c>
      <c r="P1894" s="1" t="s">
        <v>2381</v>
      </c>
      <c r="Q1894" s="1" t="s">
        <v>2382</v>
      </c>
      <c r="R1894" s="1" t="s">
        <v>33</v>
      </c>
      <c r="S1894" s="1"/>
      <c r="T1894" s="1" t="s">
        <v>4245</v>
      </c>
      <c r="U1894" s="1" t="s">
        <v>57</v>
      </c>
      <c r="V1894" s="1" t="s">
        <v>4246</v>
      </c>
      <c r="W1894" s="1" t="str">
        <f>VLOOKUP(Table1[[#This Row],[Obergruppe ATC-Code]],Tabelle3!$A$2:$B$100,2)</f>
        <v>ENDOKRINE THERAPIE</v>
      </c>
      <c r="X1894" s="1" t="str">
        <f xml:space="preserve"> LEFT(Table1[[#This Row],[Atc Code]],3)</f>
        <v>L02</v>
      </c>
    </row>
    <row r="1895" spans="1:24" ht="14.4">
      <c r="A1895" s="14">
        <v>2563</v>
      </c>
      <c r="B1895" s="24" t="s">
        <v>4247</v>
      </c>
      <c r="C1895" s="1">
        <v>2128679</v>
      </c>
      <c r="D1895" s="1" t="s">
        <v>25</v>
      </c>
      <c r="E1895" s="36">
        <v>43891</v>
      </c>
      <c r="F1895" s="36">
        <v>44510</v>
      </c>
      <c r="G1895" s="38">
        <f t="shared" si="29"/>
        <v>619</v>
      </c>
      <c r="H1895" s="5">
        <v>43798</v>
      </c>
      <c r="I1895" s="5">
        <v>44510</v>
      </c>
      <c r="J1895" s="1" t="s">
        <v>26</v>
      </c>
      <c r="K1895" s="1" t="s">
        <v>4248</v>
      </c>
      <c r="L1895" s="1" t="s">
        <v>4243</v>
      </c>
      <c r="M1895" s="1" t="s">
        <v>4244</v>
      </c>
      <c r="N1895" s="1" t="s">
        <v>38</v>
      </c>
      <c r="O1895" s="1" t="s">
        <v>356</v>
      </c>
      <c r="P1895" s="1" t="s">
        <v>2381</v>
      </c>
      <c r="Q1895" s="1" t="s">
        <v>2382</v>
      </c>
      <c r="R1895" s="1" t="s">
        <v>33</v>
      </c>
      <c r="S1895" s="1"/>
      <c r="T1895" s="1" t="s">
        <v>4240</v>
      </c>
      <c r="U1895" s="1" t="s">
        <v>57</v>
      </c>
      <c r="V1895" s="1" t="s">
        <v>4231</v>
      </c>
      <c r="W1895" s="1" t="str">
        <f>VLOOKUP(Table1[[#This Row],[Obergruppe ATC-Code]],Tabelle3!$A$2:$B$100,2)</f>
        <v>ENDOKRINE THERAPIE</v>
      </c>
      <c r="X1895" s="1" t="str">
        <f xml:space="preserve"> LEFT(Table1[[#This Row],[Atc Code]],3)</f>
        <v>L02</v>
      </c>
    </row>
    <row r="1896" spans="1:24" ht="14.4">
      <c r="A1896" s="14">
        <v>374</v>
      </c>
      <c r="B1896" s="24">
        <v>2146877</v>
      </c>
      <c r="C1896" s="1">
        <v>2151973</v>
      </c>
      <c r="D1896" s="1" t="s">
        <v>25</v>
      </c>
      <c r="E1896" s="36">
        <v>44848</v>
      </c>
      <c r="F1896" s="36">
        <v>44914</v>
      </c>
      <c r="G1896" s="38">
        <f t="shared" si="29"/>
        <v>66</v>
      </c>
      <c r="H1896" s="5">
        <v>44845</v>
      </c>
      <c r="I1896" s="5">
        <v>44914</v>
      </c>
      <c r="J1896" s="1" t="s">
        <v>41</v>
      </c>
      <c r="K1896" s="1" t="s">
        <v>4242</v>
      </c>
      <c r="L1896" s="1" t="s">
        <v>4243</v>
      </c>
      <c r="M1896" s="1" t="s">
        <v>4244</v>
      </c>
      <c r="N1896" s="1" t="s">
        <v>38</v>
      </c>
      <c r="O1896" s="1" t="s">
        <v>356</v>
      </c>
      <c r="P1896" s="1">
        <v>4315852134</v>
      </c>
      <c r="Q1896" s="1" t="s">
        <v>357</v>
      </c>
      <c r="R1896" s="1" t="s">
        <v>128</v>
      </c>
      <c r="S1896" s="1"/>
      <c r="U1896" s="1" t="s">
        <v>130</v>
      </c>
      <c r="V1896" s="1" t="s">
        <v>4246</v>
      </c>
      <c r="W1896" s="1" t="str">
        <f>VLOOKUP(Table1[[#This Row],[Obergruppe ATC-Code]],Tabelle3!$A$2:$B$100,2)</f>
        <v>ENDOKRINE THERAPIE</v>
      </c>
      <c r="X1896" s="1" t="str">
        <f xml:space="preserve"> LEFT(Table1[[#This Row],[Atc Code]],3)</f>
        <v>L02</v>
      </c>
    </row>
    <row r="1897" spans="1:24" ht="14.4">
      <c r="A1897" s="14">
        <v>373</v>
      </c>
      <c r="B1897" s="24">
        <v>2146877</v>
      </c>
      <c r="C1897" s="1">
        <v>2151973</v>
      </c>
      <c r="D1897" s="1" t="s">
        <v>25</v>
      </c>
      <c r="E1897" s="36">
        <v>44986</v>
      </c>
      <c r="F1897" s="36">
        <v>45040</v>
      </c>
      <c r="G1897" s="38">
        <f t="shared" si="29"/>
        <v>54</v>
      </c>
      <c r="H1897" s="5">
        <v>44974</v>
      </c>
      <c r="I1897" s="5">
        <v>45040</v>
      </c>
      <c r="J1897" s="1" t="s">
        <v>41</v>
      </c>
      <c r="K1897" s="1" t="s">
        <v>4242</v>
      </c>
      <c r="L1897" s="1" t="s">
        <v>4243</v>
      </c>
      <c r="M1897" s="1" t="s">
        <v>4244</v>
      </c>
      <c r="N1897" s="1" t="s">
        <v>38</v>
      </c>
      <c r="O1897" s="1" t="s">
        <v>356</v>
      </c>
      <c r="P1897" s="1">
        <v>494315852134</v>
      </c>
      <c r="Q1897" s="1" t="s">
        <v>357</v>
      </c>
      <c r="R1897" s="1" t="s">
        <v>128</v>
      </c>
      <c r="S1897" s="1"/>
      <c r="U1897" s="1" t="s">
        <v>130</v>
      </c>
      <c r="V1897" s="1" t="s">
        <v>4246</v>
      </c>
      <c r="W1897" s="1" t="str">
        <f>VLOOKUP(Table1[[#This Row],[Obergruppe ATC-Code]],Tabelle3!$A$2:$B$100,2)</f>
        <v>ENDOKRINE THERAPIE</v>
      </c>
      <c r="X1897" s="1" t="str">
        <f xml:space="preserve"> LEFT(Table1[[#This Row],[Atc Code]],3)</f>
        <v>L02</v>
      </c>
    </row>
    <row r="1898" spans="1:24" ht="14.4">
      <c r="A1898" s="14">
        <v>459</v>
      </c>
      <c r="B1898" s="24">
        <v>2793861</v>
      </c>
      <c r="C1898" s="1">
        <v>2105118</v>
      </c>
      <c r="D1898" s="1" t="s">
        <v>25</v>
      </c>
      <c r="E1898" s="36">
        <v>43891</v>
      </c>
      <c r="F1898" s="36">
        <v>43951</v>
      </c>
      <c r="G1898" s="38">
        <f t="shared" si="29"/>
        <v>60</v>
      </c>
      <c r="H1898" s="5">
        <v>43907</v>
      </c>
      <c r="I1898" s="5">
        <v>43951</v>
      </c>
      <c r="J1898" s="1" t="s">
        <v>41</v>
      </c>
      <c r="K1898" s="1" t="s">
        <v>4249</v>
      </c>
      <c r="L1898" s="1" t="s">
        <v>4250</v>
      </c>
      <c r="M1898" s="1" t="s">
        <v>4251</v>
      </c>
      <c r="N1898" s="1" t="s">
        <v>30</v>
      </c>
      <c r="O1898" s="1" t="s">
        <v>150</v>
      </c>
      <c r="P1898" s="1" t="s">
        <v>151</v>
      </c>
      <c r="Q1898" s="1" t="s">
        <v>152</v>
      </c>
      <c r="R1898" s="1" t="s">
        <v>26</v>
      </c>
      <c r="S1898" s="1"/>
      <c r="T1898" s="1" t="s">
        <v>4252</v>
      </c>
      <c r="U1898" s="1" t="s">
        <v>35</v>
      </c>
      <c r="V1898" s="1" t="s">
        <v>99</v>
      </c>
      <c r="W1898" s="1" t="str">
        <f>VLOOKUP(Table1[[#This Row],[Obergruppe ATC-Code]],Tabelle3!$A$2:$B$100,2)</f>
        <v>ENDOKRINE THERAPIE</v>
      </c>
      <c r="X1898" s="1" t="str">
        <f xml:space="preserve"> LEFT(Table1[[#This Row],[Atc Code]],3)</f>
        <v>L02</v>
      </c>
    </row>
    <row r="1899" spans="1:24" ht="14.4">
      <c r="A1899" s="14">
        <v>2085</v>
      </c>
      <c r="B1899" s="24" t="s">
        <v>4253</v>
      </c>
      <c r="C1899" s="1">
        <v>2110819</v>
      </c>
      <c r="D1899" s="1" t="s">
        <v>25</v>
      </c>
      <c r="E1899" s="36">
        <v>44105</v>
      </c>
      <c r="F1899" s="36">
        <v>44196</v>
      </c>
      <c r="G1899" s="38">
        <f t="shared" si="29"/>
        <v>91</v>
      </c>
      <c r="H1899" s="5">
        <v>44125</v>
      </c>
      <c r="I1899" s="5">
        <v>44174</v>
      </c>
      <c r="J1899" s="1" t="s">
        <v>41</v>
      </c>
      <c r="K1899" s="1" t="s">
        <v>4254</v>
      </c>
      <c r="L1899" s="1" t="s">
        <v>4250</v>
      </c>
      <c r="M1899" s="1" t="s">
        <v>4251</v>
      </c>
      <c r="N1899" s="1" t="s">
        <v>30</v>
      </c>
      <c r="O1899" s="1" t="s">
        <v>110</v>
      </c>
      <c r="P1899" s="1" t="s">
        <v>111</v>
      </c>
      <c r="Q1899" s="1" t="s">
        <v>112</v>
      </c>
      <c r="R1899" s="1" t="s">
        <v>26</v>
      </c>
      <c r="S1899" s="1"/>
      <c r="U1899" s="1" t="s">
        <v>35</v>
      </c>
      <c r="V1899" s="1" t="s">
        <v>49</v>
      </c>
      <c r="W1899" s="1" t="str">
        <f>VLOOKUP(Table1[[#This Row],[Obergruppe ATC-Code]],Tabelle3!$A$2:$B$100,2)</f>
        <v>ENDOKRINE THERAPIE</v>
      </c>
      <c r="X1899" s="1" t="str">
        <f xml:space="preserve"> LEFT(Table1[[#This Row],[Atc Code]],3)</f>
        <v>L02</v>
      </c>
    </row>
    <row r="1900" spans="1:24" ht="14.4">
      <c r="A1900" s="14">
        <v>2010</v>
      </c>
      <c r="B1900" s="24" t="s">
        <v>4255</v>
      </c>
      <c r="C1900" s="1">
        <v>2106257</v>
      </c>
      <c r="D1900" s="1" t="s">
        <v>25</v>
      </c>
      <c r="E1900" s="36">
        <v>44476</v>
      </c>
      <c r="F1900" s="36">
        <v>44512</v>
      </c>
      <c r="G1900" s="38">
        <f t="shared" si="29"/>
        <v>36</v>
      </c>
      <c r="H1900" s="5">
        <v>44483</v>
      </c>
      <c r="I1900" s="5">
        <v>44512</v>
      </c>
      <c r="J1900" s="1" t="s">
        <v>26</v>
      </c>
      <c r="K1900" s="1" t="s">
        <v>4256</v>
      </c>
      <c r="L1900" s="1" t="s">
        <v>4250</v>
      </c>
      <c r="M1900" s="1" t="s">
        <v>4251</v>
      </c>
      <c r="N1900" s="1" t="s">
        <v>38</v>
      </c>
      <c r="O1900" s="1" t="s">
        <v>91</v>
      </c>
      <c r="P1900" s="1" t="s">
        <v>92</v>
      </c>
      <c r="Q1900" s="1" t="s">
        <v>93</v>
      </c>
      <c r="R1900" s="1" t="s">
        <v>113</v>
      </c>
      <c r="S1900" s="1"/>
      <c r="U1900" s="1" t="s">
        <v>130</v>
      </c>
      <c r="V1900" s="1" t="s">
        <v>99</v>
      </c>
      <c r="W1900" s="1" t="str">
        <f>VLOOKUP(Table1[[#This Row],[Obergruppe ATC-Code]],Tabelle3!$A$2:$B$100,2)</f>
        <v>ENDOKRINE THERAPIE</v>
      </c>
      <c r="X1900" s="1" t="str">
        <f xml:space="preserve"> LEFT(Table1[[#This Row],[Atc Code]],3)</f>
        <v>L02</v>
      </c>
    </row>
    <row r="1901" spans="1:24" ht="14.4">
      <c r="A1901" s="14">
        <v>462</v>
      </c>
      <c r="B1901" s="24">
        <v>2793861</v>
      </c>
      <c r="C1901" s="1">
        <v>2105118</v>
      </c>
      <c r="D1901" s="1" t="s">
        <v>25</v>
      </c>
      <c r="E1901" s="36">
        <v>44615</v>
      </c>
      <c r="F1901" s="36">
        <v>44657</v>
      </c>
      <c r="G1901" s="38">
        <f t="shared" si="29"/>
        <v>42</v>
      </c>
      <c r="H1901" s="5">
        <v>44615</v>
      </c>
      <c r="I1901" s="5">
        <v>44657</v>
      </c>
      <c r="J1901" s="1" t="s">
        <v>26</v>
      </c>
      <c r="K1901" s="1" t="s">
        <v>4249</v>
      </c>
      <c r="L1901" s="1" t="s">
        <v>4250</v>
      </c>
      <c r="M1901" s="1" t="s">
        <v>4251</v>
      </c>
      <c r="N1901" s="1" t="s">
        <v>30</v>
      </c>
      <c r="O1901" s="1" t="s">
        <v>150</v>
      </c>
      <c r="P1901" s="1" t="s">
        <v>151</v>
      </c>
      <c r="Q1901" s="1" t="s">
        <v>152</v>
      </c>
      <c r="R1901" s="1" t="s">
        <v>113</v>
      </c>
      <c r="S1901" s="1"/>
      <c r="U1901" s="1" t="s">
        <v>35</v>
      </c>
      <c r="V1901" s="1" t="s">
        <v>99</v>
      </c>
      <c r="W1901" s="1" t="str">
        <f>VLOOKUP(Table1[[#This Row],[Obergruppe ATC-Code]],Tabelle3!$A$2:$B$100,2)</f>
        <v>ENDOKRINE THERAPIE</v>
      </c>
      <c r="X1901" s="1" t="str">
        <f xml:space="preserve"> LEFT(Table1[[#This Row],[Atc Code]],3)</f>
        <v>L02</v>
      </c>
    </row>
    <row r="1902" spans="1:24" ht="14.4">
      <c r="A1902" s="14">
        <v>2009</v>
      </c>
      <c r="B1902" s="24" t="s">
        <v>4255</v>
      </c>
      <c r="C1902" s="1">
        <v>2106257</v>
      </c>
      <c r="D1902" s="1" t="s">
        <v>25</v>
      </c>
      <c r="E1902" s="36">
        <v>44586</v>
      </c>
      <c r="F1902" s="36">
        <v>44685</v>
      </c>
      <c r="G1902" s="38">
        <f t="shared" si="29"/>
        <v>99</v>
      </c>
      <c r="H1902" s="5">
        <v>44586</v>
      </c>
      <c r="I1902" s="5">
        <v>44685</v>
      </c>
      <c r="J1902" s="1" t="s">
        <v>26</v>
      </c>
      <c r="K1902" s="1" t="s">
        <v>4256</v>
      </c>
      <c r="L1902" s="1" t="s">
        <v>4250</v>
      </c>
      <c r="M1902" s="1" t="s">
        <v>4251</v>
      </c>
      <c r="N1902" s="1" t="s">
        <v>38</v>
      </c>
      <c r="O1902" s="1" t="s">
        <v>91</v>
      </c>
      <c r="P1902" s="1" t="s">
        <v>92</v>
      </c>
      <c r="Q1902" s="1" t="s">
        <v>93</v>
      </c>
      <c r="R1902" s="1" t="s">
        <v>113</v>
      </c>
      <c r="S1902" s="1"/>
      <c r="U1902" s="1" t="s">
        <v>130</v>
      </c>
      <c r="V1902" s="1" t="s">
        <v>99</v>
      </c>
      <c r="W1902" s="1" t="str">
        <f>VLOOKUP(Table1[[#This Row],[Obergruppe ATC-Code]],Tabelle3!$A$2:$B$100,2)</f>
        <v>ENDOKRINE THERAPIE</v>
      </c>
      <c r="X1902" s="1" t="str">
        <f xml:space="preserve"> LEFT(Table1[[#This Row],[Atc Code]],3)</f>
        <v>L02</v>
      </c>
    </row>
    <row r="1903" spans="1:24" ht="15" customHeight="1">
      <c r="A1903" s="14">
        <v>461</v>
      </c>
      <c r="B1903" s="24">
        <v>2793861</v>
      </c>
      <c r="C1903" s="1">
        <v>2105118</v>
      </c>
      <c r="D1903" s="1" t="s">
        <v>25</v>
      </c>
      <c r="E1903" s="36">
        <v>44701</v>
      </c>
      <c r="F1903" s="36">
        <v>44742</v>
      </c>
      <c r="G1903" s="38">
        <f t="shared" si="29"/>
        <v>41</v>
      </c>
      <c r="H1903" s="5">
        <v>44701</v>
      </c>
      <c r="I1903" s="5">
        <v>44743</v>
      </c>
      <c r="J1903" s="1" t="s">
        <v>26</v>
      </c>
      <c r="K1903" s="1" t="s">
        <v>4249</v>
      </c>
      <c r="L1903" s="1" t="s">
        <v>4250</v>
      </c>
      <c r="M1903" s="1" t="s">
        <v>4251</v>
      </c>
      <c r="N1903" s="1" t="s">
        <v>30</v>
      </c>
      <c r="O1903" s="1" t="s">
        <v>150</v>
      </c>
      <c r="P1903" s="1" t="s">
        <v>151</v>
      </c>
      <c r="Q1903" s="1" t="s">
        <v>152</v>
      </c>
      <c r="R1903" s="1" t="s">
        <v>113</v>
      </c>
      <c r="S1903" s="1"/>
      <c r="U1903" s="1" t="s">
        <v>35</v>
      </c>
      <c r="V1903" s="1" t="s">
        <v>99</v>
      </c>
      <c r="W1903" s="1" t="str">
        <f>VLOOKUP(Table1[[#This Row],[Obergruppe ATC-Code]],Tabelle3!$A$2:$B$100,2)</f>
        <v>ENDOKRINE THERAPIE</v>
      </c>
      <c r="X1903" s="1" t="str">
        <f xml:space="preserve"> LEFT(Table1[[#This Row],[Atc Code]],3)</f>
        <v>L02</v>
      </c>
    </row>
    <row r="1904" spans="1:24" ht="14.4">
      <c r="A1904" s="14">
        <v>460</v>
      </c>
      <c r="B1904" s="24">
        <v>2793861</v>
      </c>
      <c r="C1904" s="1">
        <v>2105118</v>
      </c>
      <c r="D1904" s="1" t="s">
        <v>25</v>
      </c>
      <c r="E1904" s="36">
        <v>44748</v>
      </c>
      <c r="F1904" s="36">
        <v>44783</v>
      </c>
      <c r="G1904" s="38">
        <f t="shared" si="29"/>
        <v>35</v>
      </c>
      <c r="H1904" s="5">
        <v>44748</v>
      </c>
      <c r="I1904" s="5">
        <v>44783</v>
      </c>
      <c r="J1904" s="1" t="s">
        <v>26</v>
      </c>
      <c r="K1904" s="1" t="s">
        <v>4249</v>
      </c>
      <c r="L1904" s="1" t="s">
        <v>4250</v>
      </c>
      <c r="M1904" s="1" t="s">
        <v>4251</v>
      </c>
      <c r="N1904" s="1" t="s">
        <v>30</v>
      </c>
      <c r="O1904" s="1" t="s">
        <v>150</v>
      </c>
      <c r="P1904" s="1" t="s">
        <v>151</v>
      </c>
      <c r="Q1904" s="1" t="s">
        <v>152</v>
      </c>
      <c r="R1904" s="1" t="s">
        <v>113</v>
      </c>
      <c r="S1904" s="1"/>
      <c r="U1904" s="1" t="s">
        <v>35</v>
      </c>
      <c r="V1904" s="1" t="s">
        <v>99</v>
      </c>
      <c r="W1904" s="1" t="str">
        <f>VLOOKUP(Table1[[#This Row],[Obergruppe ATC-Code]],Tabelle3!$A$2:$B$100,2)</f>
        <v>ENDOKRINE THERAPIE</v>
      </c>
      <c r="X1904" s="1" t="str">
        <f xml:space="preserve"> LEFT(Table1[[#This Row],[Atc Code]],3)</f>
        <v>L02</v>
      </c>
    </row>
    <row r="1905" spans="1:24" ht="15" customHeight="1">
      <c r="A1905" s="14">
        <v>2084</v>
      </c>
      <c r="B1905" s="24" t="s">
        <v>4257</v>
      </c>
      <c r="C1905" s="1">
        <v>2110819</v>
      </c>
      <c r="D1905" s="1" t="s">
        <v>25</v>
      </c>
      <c r="E1905" s="36">
        <v>44586</v>
      </c>
      <c r="F1905" s="36">
        <v>44810</v>
      </c>
      <c r="G1905" s="38">
        <f t="shared" si="29"/>
        <v>224</v>
      </c>
      <c r="H1905" s="5">
        <v>44586</v>
      </c>
      <c r="I1905" s="5">
        <v>44810</v>
      </c>
      <c r="J1905" s="1" t="s">
        <v>26</v>
      </c>
      <c r="K1905" s="1" t="s">
        <v>4254</v>
      </c>
      <c r="L1905" s="1" t="s">
        <v>4250</v>
      </c>
      <c r="M1905" s="1" t="s">
        <v>4251</v>
      </c>
      <c r="N1905" s="1" t="s">
        <v>38</v>
      </c>
      <c r="O1905" s="1" t="s">
        <v>110</v>
      </c>
      <c r="Q1905" s="1" t="s">
        <v>112</v>
      </c>
      <c r="R1905" s="1" t="s">
        <v>26</v>
      </c>
      <c r="S1905" s="1"/>
      <c r="U1905" s="1" t="s">
        <v>130</v>
      </c>
      <c r="V1905" s="1" t="s">
        <v>49</v>
      </c>
      <c r="W1905" s="1" t="str">
        <f>VLOOKUP(Table1[[#This Row],[Obergruppe ATC-Code]],Tabelle3!$A$2:$B$100,2)</f>
        <v>ENDOKRINE THERAPIE</v>
      </c>
      <c r="X1905" s="1" t="str">
        <f xml:space="preserve"> LEFT(Table1[[#This Row],[Atc Code]],3)</f>
        <v>L02</v>
      </c>
    </row>
    <row r="1906" spans="1:24" ht="15" customHeight="1">
      <c r="A1906" s="14">
        <v>499</v>
      </c>
      <c r="B1906" s="24">
        <v>3103195</v>
      </c>
      <c r="C1906" s="1">
        <v>2106275</v>
      </c>
      <c r="D1906" s="1" t="s">
        <v>25</v>
      </c>
      <c r="E1906" s="36">
        <v>44586</v>
      </c>
      <c r="F1906" s="36">
        <v>44830</v>
      </c>
      <c r="G1906" s="38">
        <f t="shared" si="29"/>
        <v>244</v>
      </c>
      <c r="H1906" s="5">
        <v>44586</v>
      </c>
      <c r="I1906" s="5">
        <v>44876</v>
      </c>
      <c r="J1906" s="1" t="s">
        <v>26</v>
      </c>
      <c r="K1906" s="1" t="s">
        <v>4258</v>
      </c>
      <c r="L1906" s="1" t="s">
        <v>4250</v>
      </c>
      <c r="M1906" s="1" t="s">
        <v>4251</v>
      </c>
      <c r="N1906" s="1" t="s">
        <v>38</v>
      </c>
      <c r="O1906" s="1" t="s">
        <v>91</v>
      </c>
      <c r="P1906" s="1" t="s">
        <v>92</v>
      </c>
      <c r="Q1906" s="1" t="s">
        <v>93</v>
      </c>
      <c r="R1906" s="1" t="s">
        <v>113</v>
      </c>
      <c r="S1906" s="1"/>
      <c r="U1906" s="1" t="s">
        <v>130</v>
      </c>
      <c r="V1906" s="1" t="s">
        <v>99</v>
      </c>
      <c r="W1906" s="1" t="str">
        <f>VLOOKUP(Table1[[#This Row],[Obergruppe ATC-Code]],Tabelle3!$A$2:$B$100,2)</f>
        <v>ENDOKRINE THERAPIE</v>
      </c>
      <c r="X1906" s="1" t="str">
        <f xml:space="preserve"> LEFT(Table1[[#This Row],[Atc Code]],3)</f>
        <v>L02</v>
      </c>
    </row>
    <row r="1907" spans="1:24" ht="14.4">
      <c r="A1907" s="14">
        <v>498</v>
      </c>
      <c r="B1907" s="24">
        <v>3097460</v>
      </c>
      <c r="C1907" s="1">
        <v>2106255</v>
      </c>
      <c r="D1907" s="1" t="s">
        <v>25</v>
      </c>
      <c r="E1907" s="36">
        <v>44579</v>
      </c>
      <c r="F1907" s="36">
        <v>44834</v>
      </c>
      <c r="G1907" s="38">
        <f t="shared" si="29"/>
        <v>255</v>
      </c>
      <c r="H1907" s="5">
        <v>44586</v>
      </c>
      <c r="I1907" s="5">
        <v>44876</v>
      </c>
      <c r="J1907" s="1" t="s">
        <v>26</v>
      </c>
      <c r="K1907" s="1" t="s">
        <v>4259</v>
      </c>
      <c r="L1907" s="1" t="s">
        <v>4250</v>
      </c>
      <c r="M1907" s="1" t="s">
        <v>4251</v>
      </c>
      <c r="N1907" s="1" t="s">
        <v>30</v>
      </c>
      <c r="O1907" s="1" t="s">
        <v>91</v>
      </c>
      <c r="P1907" s="1" t="s">
        <v>92</v>
      </c>
      <c r="Q1907" s="1" t="s">
        <v>93</v>
      </c>
      <c r="R1907" s="1" t="s">
        <v>113</v>
      </c>
      <c r="S1907" s="1"/>
      <c r="U1907" s="1" t="s">
        <v>130</v>
      </c>
      <c r="V1907" s="1" t="s">
        <v>99</v>
      </c>
      <c r="W1907" s="1" t="str">
        <f>VLOOKUP(Table1[[#This Row],[Obergruppe ATC-Code]],Tabelle3!$A$2:$B$100,2)</f>
        <v>ENDOKRINE THERAPIE</v>
      </c>
      <c r="X1907" s="1" t="str">
        <f xml:space="preserve"> LEFT(Table1[[#This Row],[Atc Code]],3)</f>
        <v>L02</v>
      </c>
    </row>
    <row r="1908" spans="1:24" ht="14.4">
      <c r="A1908" s="14">
        <v>582</v>
      </c>
      <c r="B1908" s="24">
        <v>3722194</v>
      </c>
      <c r="C1908" s="1">
        <v>2114442</v>
      </c>
      <c r="D1908" s="1" t="s">
        <v>25</v>
      </c>
      <c r="E1908" s="36">
        <v>44621</v>
      </c>
      <c r="F1908" s="36">
        <v>44897</v>
      </c>
      <c r="G1908" s="38">
        <f t="shared" si="29"/>
        <v>276</v>
      </c>
      <c r="H1908" s="5">
        <v>44594</v>
      </c>
      <c r="I1908" s="5">
        <v>44897</v>
      </c>
      <c r="J1908" s="1" t="s">
        <v>26</v>
      </c>
      <c r="K1908" s="1" t="s">
        <v>4260</v>
      </c>
      <c r="L1908" s="1" t="s">
        <v>4250</v>
      </c>
      <c r="M1908" s="1" t="s">
        <v>4251</v>
      </c>
      <c r="N1908" s="1" t="s">
        <v>38</v>
      </c>
      <c r="O1908" s="1" t="s">
        <v>91</v>
      </c>
      <c r="P1908" s="1" t="s">
        <v>92</v>
      </c>
      <c r="Q1908" s="1" t="s">
        <v>93</v>
      </c>
      <c r="R1908" s="1" t="s">
        <v>113</v>
      </c>
      <c r="S1908" s="1"/>
      <c r="U1908" s="1" t="s">
        <v>130</v>
      </c>
      <c r="V1908" s="1" t="s">
        <v>99</v>
      </c>
      <c r="W1908" s="1" t="str">
        <f>VLOOKUP(Table1[[#This Row],[Obergruppe ATC-Code]],Tabelle3!$A$2:$B$100,2)</f>
        <v>ENDOKRINE THERAPIE</v>
      </c>
      <c r="X1908" s="1" t="str">
        <f xml:space="preserve"> LEFT(Table1[[#This Row],[Atc Code]],3)</f>
        <v>L02</v>
      </c>
    </row>
    <row r="1909" spans="1:24" ht="14.4">
      <c r="A1909" s="14">
        <v>2008</v>
      </c>
      <c r="B1909" s="24" t="s">
        <v>4261</v>
      </c>
      <c r="C1909" s="1">
        <v>2106253</v>
      </c>
      <c r="D1909" s="1" t="s">
        <v>25</v>
      </c>
      <c r="E1909" s="36">
        <v>44440</v>
      </c>
      <c r="F1909" s="36">
        <v>44986</v>
      </c>
      <c r="G1909" s="38">
        <f t="shared" si="29"/>
        <v>546</v>
      </c>
      <c r="H1909" s="5">
        <v>44603</v>
      </c>
      <c r="I1909" s="5">
        <v>44999</v>
      </c>
      <c r="J1909" s="1" t="s">
        <v>26</v>
      </c>
      <c r="K1909" s="1" t="s">
        <v>4262</v>
      </c>
      <c r="L1909" s="1" t="s">
        <v>4250</v>
      </c>
      <c r="M1909" s="1" t="s">
        <v>4251</v>
      </c>
      <c r="N1909" s="1" t="s">
        <v>30</v>
      </c>
      <c r="O1909" s="1" t="s">
        <v>45</v>
      </c>
      <c r="Q1909" s="1" t="s">
        <v>118</v>
      </c>
      <c r="R1909" s="1" t="s">
        <v>26</v>
      </c>
      <c r="S1909" s="1"/>
      <c r="U1909" s="1" t="s">
        <v>130</v>
      </c>
      <c r="V1909" s="1" t="s">
        <v>49</v>
      </c>
      <c r="W1909" s="1" t="str">
        <f>VLOOKUP(Table1[[#This Row],[Obergruppe ATC-Code]],Tabelle3!$A$2:$B$100,2)</f>
        <v>ENDOKRINE THERAPIE</v>
      </c>
      <c r="X1909" s="1" t="str">
        <f xml:space="preserve"> LEFT(Table1[[#This Row],[Atc Code]],3)</f>
        <v>L02</v>
      </c>
    </row>
    <row r="1910" spans="1:24" ht="14.4">
      <c r="A1910" s="14">
        <v>166</v>
      </c>
      <c r="B1910" s="24">
        <v>1017020</v>
      </c>
      <c r="C1910" s="1">
        <v>2140302</v>
      </c>
      <c r="D1910" s="1" t="s">
        <v>25</v>
      </c>
      <c r="E1910" s="36">
        <v>44440</v>
      </c>
      <c r="F1910" s="36">
        <v>44986</v>
      </c>
      <c r="G1910" s="38">
        <f t="shared" si="29"/>
        <v>546</v>
      </c>
      <c r="H1910" s="5">
        <v>44603</v>
      </c>
      <c r="I1910" s="5">
        <v>44999</v>
      </c>
      <c r="J1910" s="1" t="s">
        <v>26</v>
      </c>
      <c r="K1910" s="1" t="s">
        <v>4263</v>
      </c>
      <c r="L1910" s="1" t="s">
        <v>4250</v>
      </c>
      <c r="M1910" s="1" t="s">
        <v>4251</v>
      </c>
      <c r="N1910" s="1" t="s">
        <v>38</v>
      </c>
      <c r="O1910" s="1" t="s">
        <v>117</v>
      </c>
      <c r="Q1910" s="1" t="s">
        <v>1495</v>
      </c>
      <c r="R1910" s="1" t="s">
        <v>26</v>
      </c>
      <c r="S1910" s="1"/>
      <c r="U1910" s="1" t="s">
        <v>130</v>
      </c>
      <c r="V1910" s="1" t="s">
        <v>49</v>
      </c>
      <c r="W1910" s="1" t="str">
        <f>VLOOKUP(Table1[[#This Row],[Obergruppe ATC-Code]],Tabelle3!$A$2:$B$100,2)</f>
        <v>ENDOKRINE THERAPIE</v>
      </c>
      <c r="X1910" s="1" t="str">
        <f xml:space="preserve"> LEFT(Table1[[#This Row],[Atc Code]],3)</f>
        <v>L02</v>
      </c>
    </row>
    <row r="1911" spans="1:24" ht="14.4">
      <c r="A1911" s="14">
        <v>845</v>
      </c>
      <c r="B1911" s="24">
        <v>7121540</v>
      </c>
      <c r="C1911" s="1">
        <v>2129789</v>
      </c>
      <c r="D1911" s="1" t="s">
        <v>25</v>
      </c>
      <c r="E1911" s="36">
        <v>44586</v>
      </c>
      <c r="F1911" s="36">
        <v>45048</v>
      </c>
      <c r="G1911" s="38">
        <f t="shared" si="29"/>
        <v>462</v>
      </c>
      <c r="H1911" s="5">
        <v>44586</v>
      </c>
      <c r="I1911" s="5">
        <v>45048</v>
      </c>
      <c r="J1911" s="1" t="s">
        <v>26</v>
      </c>
      <c r="K1911" s="1" t="s">
        <v>4264</v>
      </c>
      <c r="L1911" s="1" t="s">
        <v>4250</v>
      </c>
      <c r="M1911" s="1" t="s">
        <v>4251</v>
      </c>
      <c r="N1911" s="1" t="s">
        <v>38</v>
      </c>
      <c r="O1911" s="1" t="s">
        <v>110</v>
      </c>
      <c r="P1911" s="1">
        <v>49733396510</v>
      </c>
      <c r="Q1911" s="1" t="s">
        <v>1141</v>
      </c>
      <c r="R1911" s="1" t="s">
        <v>113</v>
      </c>
      <c r="S1911" s="1" t="s">
        <v>2830</v>
      </c>
      <c r="U1911" s="1" t="s">
        <v>130</v>
      </c>
      <c r="V1911" s="1" t="s">
        <v>49</v>
      </c>
      <c r="W1911" s="1" t="str">
        <f>VLOOKUP(Table1[[#This Row],[Obergruppe ATC-Code]],Tabelle3!$A$2:$B$100,2)</f>
        <v>ENDOKRINE THERAPIE</v>
      </c>
      <c r="X1911" s="1" t="str">
        <f xml:space="preserve"> LEFT(Table1[[#This Row],[Atc Code]],3)</f>
        <v>L02</v>
      </c>
    </row>
    <row r="1912" spans="1:24" ht="14.4">
      <c r="A1912" s="14">
        <v>2056</v>
      </c>
      <c r="B1912" s="24" t="s">
        <v>4265</v>
      </c>
      <c r="C1912" s="1">
        <v>2111213</v>
      </c>
      <c r="D1912" s="1" t="s">
        <v>25</v>
      </c>
      <c r="E1912" s="36">
        <v>44490</v>
      </c>
      <c r="F1912" s="36">
        <v>45108</v>
      </c>
      <c r="G1912" s="38">
        <f t="shared" si="29"/>
        <v>618</v>
      </c>
      <c r="H1912" s="5">
        <v>44509</v>
      </c>
      <c r="I1912" s="5">
        <v>45114</v>
      </c>
      <c r="J1912" s="1" t="s">
        <v>41</v>
      </c>
      <c r="K1912" s="1" t="s">
        <v>4266</v>
      </c>
      <c r="L1912" s="1" t="s">
        <v>4250</v>
      </c>
      <c r="M1912" s="1" t="s">
        <v>4251</v>
      </c>
      <c r="N1912" s="1" t="s">
        <v>38</v>
      </c>
      <c r="O1912" s="1" t="s">
        <v>1636</v>
      </c>
      <c r="Q1912" s="1" t="s">
        <v>1638</v>
      </c>
      <c r="R1912" s="1" t="s">
        <v>128</v>
      </c>
      <c r="S1912" s="1"/>
      <c r="U1912" s="1" t="s">
        <v>130</v>
      </c>
      <c r="V1912" s="1" t="s">
        <v>49</v>
      </c>
      <c r="W1912" s="1" t="str">
        <f>VLOOKUP(Table1[[#This Row],[Obergruppe ATC-Code]],Tabelle3!$A$2:$B$100,2)</f>
        <v>ENDOKRINE THERAPIE</v>
      </c>
      <c r="X1912" s="1" t="str">
        <f xml:space="preserve"> LEFT(Table1[[#This Row],[Atc Code]],3)</f>
        <v>L02</v>
      </c>
    </row>
    <row r="1913" spans="1:24" ht="14.4">
      <c r="A1913" s="14">
        <v>2551</v>
      </c>
      <c r="B1913" s="24" t="s">
        <v>4267</v>
      </c>
      <c r="C1913" s="1">
        <v>2114448</v>
      </c>
      <c r="D1913" s="1" t="s">
        <v>102</v>
      </c>
      <c r="E1913" s="36">
        <v>44617</v>
      </c>
      <c r="F1913" s="36">
        <v>45657</v>
      </c>
      <c r="G1913" s="38">
        <f t="shared" si="29"/>
        <v>1040</v>
      </c>
      <c r="H1913" s="5">
        <v>44608</v>
      </c>
      <c r="I1913" s="5">
        <v>45212</v>
      </c>
      <c r="J1913" s="1" t="s">
        <v>41</v>
      </c>
      <c r="K1913" s="1" t="s">
        <v>4268</v>
      </c>
      <c r="L1913" s="1" t="s">
        <v>4250</v>
      </c>
      <c r="M1913" s="1" t="s">
        <v>4251</v>
      </c>
      <c r="N1913" s="1" t="s">
        <v>38</v>
      </c>
      <c r="O1913" s="1" t="s">
        <v>140</v>
      </c>
      <c r="Q1913" s="1" t="s">
        <v>141</v>
      </c>
      <c r="R1913" s="1" t="s">
        <v>128</v>
      </c>
      <c r="S1913" s="1"/>
      <c r="U1913" s="1" t="s">
        <v>35</v>
      </c>
      <c r="V1913" s="1" t="s">
        <v>49</v>
      </c>
      <c r="W1913" s="1" t="str">
        <f>VLOOKUP(Table1[[#This Row],[Obergruppe ATC-Code]],Tabelle3!$A$2:$B$100,2)</f>
        <v>ENDOKRINE THERAPIE</v>
      </c>
      <c r="X1913" s="1" t="str">
        <f xml:space="preserve"> LEFT(Table1[[#This Row],[Atc Code]],3)</f>
        <v>L02</v>
      </c>
    </row>
    <row r="1914" spans="1:24" ht="14.4">
      <c r="A1914" s="14">
        <v>2550</v>
      </c>
      <c r="B1914" s="24" t="s">
        <v>4269</v>
      </c>
      <c r="C1914" s="1">
        <v>2114449</v>
      </c>
      <c r="D1914" s="1" t="s">
        <v>102</v>
      </c>
      <c r="E1914" s="36">
        <v>44617</v>
      </c>
      <c r="F1914" s="36">
        <v>45657</v>
      </c>
      <c r="G1914" s="38">
        <f t="shared" si="29"/>
        <v>1040</v>
      </c>
      <c r="H1914" s="5">
        <v>44608</v>
      </c>
      <c r="I1914" s="5">
        <v>45212</v>
      </c>
      <c r="J1914" s="1" t="s">
        <v>41</v>
      </c>
      <c r="K1914" s="1" t="s">
        <v>4270</v>
      </c>
      <c r="L1914" s="1" t="s">
        <v>4250</v>
      </c>
      <c r="M1914" s="1" t="s">
        <v>4251</v>
      </c>
      <c r="N1914" s="1" t="s">
        <v>38</v>
      </c>
      <c r="O1914" s="1" t="s">
        <v>140</v>
      </c>
      <c r="Q1914" s="1" t="s">
        <v>141</v>
      </c>
      <c r="R1914" s="1" t="s">
        <v>26</v>
      </c>
      <c r="S1914" s="1"/>
      <c r="U1914" s="1" t="s">
        <v>130</v>
      </c>
      <c r="V1914" s="1" t="s">
        <v>49</v>
      </c>
      <c r="W1914" s="1" t="str">
        <f>VLOOKUP(Table1[[#This Row],[Obergruppe ATC-Code]],Tabelle3!$A$2:$B$100,2)</f>
        <v>ENDOKRINE THERAPIE</v>
      </c>
      <c r="X1914" s="1" t="str">
        <f xml:space="preserve"> LEFT(Table1[[#This Row],[Atc Code]],3)</f>
        <v>L02</v>
      </c>
    </row>
    <row r="1915" spans="1:24" ht="14.4">
      <c r="A1915" s="14">
        <v>2617</v>
      </c>
      <c r="B1915" s="24" t="s">
        <v>4271</v>
      </c>
      <c r="C1915" s="1">
        <v>2186663</v>
      </c>
      <c r="D1915" s="1" t="s">
        <v>25</v>
      </c>
      <c r="E1915" s="36">
        <v>43831</v>
      </c>
      <c r="F1915" s="36">
        <v>44255</v>
      </c>
      <c r="G1915" s="38">
        <f t="shared" si="29"/>
        <v>424</v>
      </c>
      <c r="H1915" s="5">
        <v>43866</v>
      </c>
      <c r="I1915" s="5">
        <v>44242</v>
      </c>
      <c r="J1915" s="1" t="s">
        <v>26</v>
      </c>
      <c r="K1915" s="1" t="s">
        <v>4272</v>
      </c>
      <c r="L1915" s="1" t="s">
        <v>4273</v>
      </c>
      <c r="M1915" s="1" t="s">
        <v>4274</v>
      </c>
      <c r="N1915" s="1" t="s">
        <v>38</v>
      </c>
      <c r="O1915" s="1" t="s">
        <v>1440</v>
      </c>
      <c r="P1915" s="1" t="s">
        <v>1441</v>
      </c>
      <c r="Q1915" s="1" t="s">
        <v>1442</v>
      </c>
      <c r="R1915" s="1" t="s">
        <v>33</v>
      </c>
      <c r="S1915" s="1"/>
      <c r="U1915" s="1" t="s">
        <v>35</v>
      </c>
      <c r="V1915" s="1" t="s">
        <v>99</v>
      </c>
      <c r="W1915" s="1" t="str">
        <f>VLOOKUP(Table1[[#This Row],[Obergruppe ATC-Code]],Tabelle3!$A$2:$B$100,2)</f>
        <v>ENDOKRINE THERAPIE</v>
      </c>
      <c r="X1915" s="1" t="str">
        <f xml:space="preserve"> LEFT(Table1[[#This Row],[Atc Code]],3)</f>
        <v>L02</v>
      </c>
    </row>
    <row r="1916" spans="1:24" ht="14.4">
      <c r="A1916" s="14">
        <v>1994</v>
      </c>
      <c r="B1916" s="24" t="s">
        <v>4275</v>
      </c>
      <c r="C1916" s="1">
        <v>2603342</v>
      </c>
      <c r="D1916" s="1" t="s">
        <v>25</v>
      </c>
      <c r="E1916" s="36">
        <v>43922</v>
      </c>
      <c r="F1916" s="36">
        <v>44348</v>
      </c>
      <c r="G1916" s="38">
        <f t="shared" si="29"/>
        <v>426</v>
      </c>
      <c r="H1916" s="5">
        <v>43921</v>
      </c>
      <c r="I1916" s="5">
        <v>44370</v>
      </c>
      <c r="J1916" s="1" t="s">
        <v>41</v>
      </c>
      <c r="K1916" s="1" t="s">
        <v>4276</v>
      </c>
      <c r="L1916" s="1" t="s">
        <v>4277</v>
      </c>
      <c r="M1916" s="1" t="s">
        <v>4278</v>
      </c>
      <c r="N1916" s="1" t="s">
        <v>30</v>
      </c>
      <c r="O1916" s="1" t="s">
        <v>2312</v>
      </c>
      <c r="P1916" s="1" t="s">
        <v>2313</v>
      </c>
      <c r="Q1916" s="1" t="s">
        <v>4279</v>
      </c>
      <c r="R1916" s="1" t="s">
        <v>48</v>
      </c>
      <c r="S1916" s="1"/>
      <c r="U1916" s="1" t="s">
        <v>35</v>
      </c>
      <c r="V1916" s="1" t="s">
        <v>498</v>
      </c>
      <c r="W1916" s="1" t="str">
        <f>VLOOKUP(Table1[[#This Row],[Obergruppe ATC-Code]],Tabelle3!$A$2:$B$100,2)</f>
        <v>IMMUNSTIMULANZIEN</v>
      </c>
      <c r="X1916" s="1" t="str">
        <f xml:space="preserve"> LEFT(Table1[[#This Row],[Atc Code]],3)</f>
        <v>L03</v>
      </c>
    </row>
    <row r="1917" spans="1:24" ht="14.4">
      <c r="A1917" s="14">
        <v>1661</v>
      </c>
      <c r="B1917" s="24" t="s">
        <v>4280</v>
      </c>
      <c r="C1917" s="1">
        <v>2603722</v>
      </c>
      <c r="D1917" s="1" t="s">
        <v>25</v>
      </c>
      <c r="E1917" s="36">
        <v>43922</v>
      </c>
      <c r="F1917" s="36">
        <v>44732</v>
      </c>
      <c r="G1917" s="38">
        <f t="shared" si="29"/>
        <v>810</v>
      </c>
      <c r="H1917" s="5">
        <v>43921</v>
      </c>
      <c r="I1917" s="5">
        <v>44732</v>
      </c>
      <c r="J1917" s="1" t="s">
        <v>41</v>
      </c>
      <c r="K1917" s="1" t="s">
        <v>4281</v>
      </c>
      <c r="L1917" s="1" t="s">
        <v>4277</v>
      </c>
      <c r="M1917" s="1" t="s">
        <v>4278</v>
      </c>
      <c r="N1917" s="1" t="s">
        <v>38</v>
      </c>
      <c r="O1917" s="1" t="s">
        <v>2312</v>
      </c>
      <c r="P1917" s="1" t="s">
        <v>2313</v>
      </c>
      <c r="Q1917" s="1" t="s">
        <v>4279</v>
      </c>
      <c r="R1917" s="1" t="s">
        <v>48</v>
      </c>
      <c r="S1917" s="1"/>
      <c r="U1917" s="1" t="s">
        <v>35</v>
      </c>
      <c r="V1917" s="1" t="s">
        <v>508</v>
      </c>
      <c r="W1917" s="1" t="str">
        <f>VLOOKUP(Table1[[#This Row],[Obergruppe ATC-Code]],Tabelle3!$A$2:$B$100,2)</f>
        <v>IMMUNSTIMULANZIEN</v>
      </c>
      <c r="X1917" s="1" t="str">
        <f xml:space="preserve"> LEFT(Table1[[#This Row],[Atc Code]],3)</f>
        <v>L03</v>
      </c>
    </row>
    <row r="1918" spans="1:24" ht="14.4">
      <c r="A1918" s="14">
        <v>1782</v>
      </c>
      <c r="B1918" s="24" t="s">
        <v>4282</v>
      </c>
      <c r="C1918" s="1">
        <v>2700982</v>
      </c>
      <c r="D1918" s="1" t="s">
        <v>25</v>
      </c>
      <c r="E1918" s="36">
        <v>42948</v>
      </c>
      <c r="F1918" s="36">
        <v>43039</v>
      </c>
      <c r="G1918" s="38">
        <f t="shared" si="29"/>
        <v>91</v>
      </c>
      <c r="H1918" s="5">
        <v>42954</v>
      </c>
      <c r="I1918" s="5">
        <v>42954</v>
      </c>
      <c r="J1918" s="1" t="s">
        <v>26</v>
      </c>
      <c r="K1918" s="1" t="s">
        <v>4283</v>
      </c>
      <c r="L1918" s="1" t="s">
        <v>4284</v>
      </c>
      <c r="M1918" s="1" t="s">
        <v>4285</v>
      </c>
      <c r="N1918" s="1" t="s">
        <v>38</v>
      </c>
      <c r="O1918" s="1" t="s">
        <v>590</v>
      </c>
      <c r="P1918" s="1" t="s">
        <v>256</v>
      </c>
      <c r="Q1918" s="1" t="s">
        <v>257</v>
      </c>
      <c r="R1918" s="1" t="s">
        <v>33</v>
      </c>
      <c r="S1918" s="1"/>
      <c r="U1918" s="1" t="s">
        <v>35</v>
      </c>
      <c r="V1918" s="1" t="s">
        <v>74</v>
      </c>
      <c r="W1918" s="1" t="str">
        <f>VLOOKUP(Table1[[#This Row],[Obergruppe ATC-Code]],Tabelle3!$A$2:$B$100,2)</f>
        <v>IMMUNSTIMULANZIEN</v>
      </c>
      <c r="X1918" s="1" t="str">
        <f xml:space="preserve"> LEFT(Table1[[#This Row],[Atc Code]],3)</f>
        <v>L03</v>
      </c>
    </row>
    <row r="1919" spans="1:24" ht="14.4">
      <c r="A1919" s="14">
        <v>3141</v>
      </c>
      <c r="B1919" s="1">
        <v>812494</v>
      </c>
      <c r="C1919" s="1">
        <v>2700978</v>
      </c>
      <c r="D1919" s="1" t="s">
        <v>25</v>
      </c>
      <c r="E1919" s="36">
        <v>43374</v>
      </c>
      <c r="F1919" s="36">
        <v>43465</v>
      </c>
      <c r="G1919" s="38">
        <f t="shared" si="29"/>
        <v>91</v>
      </c>
      <c r="H1919" s="5">
        <v>43396</v>
      </c>
      <c r="I1919" s="5">
        <v>43396</v>
      </c>
      <c r="J1919" s="1" t="s">
        <v>26</v>
      </c>
      <c r="K1919" s="1" t="s">
        <v>4286</v>
      </c>
      <c r="L1919" s="1" t="s">
        <v>4284</v>
      </c>
      <c r="M1919" s="1" t="s">
        <v>4285</v>
      </c>
      <c r="N1919" s="1" t="s">
        <v>38</v>
      </c>
      <c r="O1919" s="1" t="s">
        <v>255</v>
      </c>
      <c r="P1919" s="1" t="s">
        <v>256</v>
      </c>
      <c r="Q1919" s="1" t="s">
        <v>257</v>
      </c>
      <c r="R1919" s="1" t="s">
        <v>33</v>
      </c>
      <c r="S1919" s="1"/>
      <c r="T1919" s="1" t="s">
        <v>4287</v>
      </c>
      <c r="U1919" s="1" t="s">
        <v>35</v>
      </c>
      <c r="V1919" s="1" t="s">
        <v>74</v>
      </c>
      <c r="W1919" s="1" t="str">
        <f>VLOOKUP(Table1[[#This Row],[Obergruppe ATC-Code]],Tabelle3!$A$2:$B$100,2)</f>
        <v>IMMUNSTIMULANZIEN</v>
      </c>
      <c r="X1919" s="1" t="str">
        <f xml:space="preserve"> LEFT(Table1[[#This Row],[Atc Code]],3)</f>
        <v>L03</v>
      </c>
    </row>
    <row r="1920" spans="1:24" ht="14.4">
      <c r="A1920" s="14">
        <v>3137</v>
      </c>
      <c r="B1920" s="1">
        <v>812494</v>
      </c>
      <c r="C1920" s="1">
        <v>2700978</v>
      </c>
      <c r="D1920" s="1" t="s">
        <v>25</v>
      </c>
      <c r="E1920" s="36">
        <v>43374</v>
      </c>
      <c r="F1920" s="36">
        <v>43496</v>
      </c>
      <c r="G1920" s="38">
        <f t="shared" si="29"/>
        <v>122</v>
      </c>
      <c r="H1920" s="5">
        <v>43434</v>
      </c>
      <c r="I1920" s="5">
        <v>43447</v>
      </c>
      <c r="J1920" s="1" t="s">
        <v>26</v>
      </c>
      <c r="K1920" s="1" t="s">
        <v>4286</v>
      </c>
      <c r="L1920" s="1" t="s">
        <v>4284</v>
      </c>
      <c r="M1920" s="1" t="s">
        <v>4285</v>
      </c>
      <c r="N1920" s="1" t="s">
        <v>38</v>
      </c>
      <c r="O1920" s="1" t="s">
        <v>590</v>
      </c>
      <c r="P1920" s="1" t="s">
        <v>256</v>
      </c>
      <c r="Q1920" s="1" t="s">
        <v>257</v>
      </c>
      <c r="R1920" s="1" t="s">
        <v>33</v>
      </c>
      <c r="S1920" s="1"/>
      <c r="T1920" s="1" t="s">
        <v>4287</v>
      </c>
      <c r="U1920" s="1" t="s">
        <v>35</v>
      </c>
      <c r="V1920" s="1" t="s">
        <v>74</v>
      </c>
      <c r="W1920" s="1" t="str">
        <f>VLOOKUP(Table1[[#This Row],[Obergruppe ATC-Code]],Tabelle3!$A$2:$B$100,2)</f>
        <v>IMMUNSTIMULANZIEN</v>
      </c>
      <c r="X1920" s="1" t="str">
        <f xml:space="preserve"> LEFT(Table1[[#This Row],[Atc Code]],3)</f>
        <v>L03</v>
      </c>
    </row>
    <row r="1921" spans="1:24" ht="14.4">
      <c r="A1921" s="14">
        <v>3138</v>
      </c>
      <c r="B1921" s="1">
        <v>812494</v>
      </c>
      <c r="C1921" s="1">
        <v>2700976</v>
      </c>
      <c r="D1921" s="1" t="s">
        <v>25</v>
      </c>
      <c r="E1921" s="36">
        <v>43922</v>
      </c>
      <c r="F1921" s="36">
        <v>44196</v>
      </c>
      <c r="G1921" s="38">
        <f t="shared" si="29"/>
        <v>274</v>
      </c>
      <c r="H1921" s="5">
        <v>43929</v>
      </c>
      <c r="I1921" s="5">
        <v>44090</v>
      </c>
      <c r="J1921" s="1" t="s">
        <v>26</v>
      </c>
      <c r="K1921" s="1" t="s">
        <v>4288</v>
      </c>
      <c r="L1921" s="1" t="s">
        <v>4284</v>
      </c>
      <c r="M1921" s="1" t="s">
        <v>4285</v>
      </c>
      <c r="N1921" s="1" t="s">
        <v>30</v>
      </c>
      <c r="O1921" s="1" t="s">
        <v>590</v>
      </c>
      <c r="P1921" s="1" t="s">
        <v>256</v>
      </c>
      <c r="Q1921" s="1" t="s">
        <v>257</v>
      </c>
      <c r="R1921" s="1" t="s">
        <v>33</v>
      </c>
      <c r="S1921" s="1"/>
      <c r="T1921" s="1" t="s">
        <v>4289</v>
      </c>
      <c r="U1921" s="1" t="s">
        <v>35</v>
      </c>
      <c r="V1921" s="1" t="s">
        <v>74</v>
      </c>
      <c r="W1921" s="1" t="str">
        <f>VLOOKUP(Table1[[#This Row],[Obergruppe ATC-Code]],Tabelle3!$A$2:$B$100,2)</f>
        <v>IMMUNSTIMULANZIEN</v>
      </c>
      <c r="X1921" s="1" t="str">
        <f xml:space="preserve"> LEFT(Table1[[#This Row],[Atc Code]],3)</f>
        <v>L03</v>
      </c>
    </row>
    <row r="1922" spans="1:24" ht="14.4">
      <c r="A1922" s="14">
        <v>3142</v>
      </c>
      <c r="B1922" s="24" t="s">
        <v>4290</v>
      </c>
      <c r="C1922" s="1">
        <v>2117152</v>
      </c>
      <c r="D1922" s="1" t="s">
        <v>25</v>
      </c>
      <c r="E1922" s="36">
        <v>43678</v>
      </c>
      <c r="F1922" s="36">
        <v>43921</v>
      </c>
      <c r="G1922" s="38">
        <f t="shared" ref="G1922:G1985" si="30">F1922-E1922</f>
        <v>243</v>
      </c>
      <c r="H1922" s="5">
        <v>43706</v>
      </c>
      <c r="I1922" s="5">
        <v>43924</v>
      </c>
      <c r="J1922" s="1" t="s">
        <v>41</v>
      </c>
      <c r="K1922" s="1" t="s">
        <v>4291</v>
      </c>
      <c r="L1922" s="1" t="s">
        <v>4292</v>
      </c>
      <c r="M1922" s="1" t="s">
        <v>4293</v>
      </c>
      <c r="N1922" s="1" t="s">
        <v>30</v>
      </c>
      <c r="O1922" s="1" t="s">
        <v>3563</v>
      </c>
      <c r="P1922" s="1" t="s">
        <v>3564</v>
      </c>
      <c r="Q1922" s="1" t="s">
        <v>4294</v>
      </c>
      <c r="R1922" s="1" t="s">
        <v>48</v>
      </c>
      <c r="S1922" s="1"/>
      <c r="U1922" s="1" t="s">
        <v>35</v>
      </c>
      <c r="V1922" s="1" t="s">
        <v>787</v>
      </c>
      <c r="W1922" s="1" t="str">
        <f>VLOOKUP(Table1[[#This Row],[Obergruppe ATC-Code]],Tabelle3!$A$2:$B$100,2)</f>
        <v>IMMUNSTIMULANZIEN</v>
      </c>
      <c r="X1922" s="1" t="str">
        <f xml:space="preserve"> LEFT(Table1[[#This Row],[Atc Code]],3)</f>
        <v>L03</v>
      </c>
    </row>
    <row r="1923" spans="1:24" ht="14.4">
      <c r="A1923" s="14">
        <v>178</v>
      </c>
      <c r="B1923" s="24">
        <v>1087204</v>
      </c>
      <c r="C1923" s="1">
        <v>2150522</v>
      </c>
      <c r="D1923" s="1" t="s">
        <v>25</v>
      </c>
      <c r="E1923" s="36">
        <v>44682</v>
      </c>
      <c r="F1923" s="36">
        <v>44701</v>
      </c>
      <c r="G1923" s="38">
        <f t="shared" si="30"/>
        <v>19</v>
      </c>
      <c r="H1923" s="5">
        <v>44648</v>
      </c>
      <c r="I1923" s="5">
        <v>44746</v>
      </c>
      <c r="J1923" s="1" t="s">
        <v>26</v>
      </c>
      <c r="K1923" s="1" t="s">
        <v>4295</v>
      </c>
      <c r="L1923" s="1" t="s">
        <v>4296</v>
      </c>
      <c r="M1923" s="1" t="s">
        <v>4297</v>
      </c>
      <c r="N1923" s="1" t="s">
        <v>38</v>
      </c>
      <c r="O1923" s="1" t="s">
        <v>4298</v>
      </c>
      <c r="P1923" s="1" t="s">
        <v>4299</v>
      </c>
      <c r="Q1923" s="1" t="s">
        <v>4300</v>
      </c>
      <c r="R1923" s="1" t="s">
        <v>26</v>
      </c>
      <c r="S1923" s="1" t="s">
        <v>4301</v>
      </c>
      <c r="U1923" s="1" t="s">
        <v>130</v>
      </c>
      <c r="V1923" s="1" t="s">
        <v>4302</v>
      </c>
      <c r="W1923" s="1" t="str">
        <f>VLOOKUP(Table1[[#This Row],[Obergruppe ATC-Code]],Tabelle3!$A$2:$B$100,2)</f>
        <v>IMMUNSTIMULANZIEN</v>
      </c>
      <c r="X1923" s="1" t="str">
        <f xml:space="preserve"> LEFT(Table1[[#This Row],[Atc Code]],3)</f>
        <v>L03</v>
      </c>
    </row>
    <row r="1924" spans="1:24" ht="14.4">
      <c r="A1924" s="14">
        <v>1984</v>
      </c>
      <c r="B1924" s="24" t="s">
        <v>4303</v>
      </c>
      <c r="C1924" s="1">
        <v>2602431</v>
      </c>
      <c r="D1924" s="1" t="s">
        <v>25</v>
      </c>
      <c r="E1924" s="36">
        <v>43770</v>
      </c>
      <c r="F1924" s="36">
        <v>44853</v>
      </c>
      <c r="G1924" s="38">
        <f t="shared" si="30"/>
        <v>1083</v>
      </c>
      <c r="H1924" s="5">
        <v>43791</v>
      </c>
      <c r="I1924" s="5">
        <v>44853</v>
      </c>
      <c r="J1924" s="1" t="s">
        <v>26</v>
      </c>
      <c r="K1924" s="1" t="s">
        <v>4304</v>
      </c>
      <c r="L1924" s="1" t="s">
        <v>4305</v>
      </c>
      <c r="M1924" s="1" t="s">
        <v>4306</v>
      </c>
      <c r="N1924" s="1" t="s">
        <v>30</v>
      </c>
      <c r="O1924" s="1" t="s">
        <v>783</v>
      </c>
      <c r="P1924" s="1" t="s">
        <v>3898</v>
      </c>
      <c r="Q1924" s="1" t="s">
        <v>1944</v>
      </c>
      <c r="R1924" s="1" t="s">
        <v>33</v>
      </c>
      <c r="S1924" s="1" t="s">
        <v>4307</v>
      </c>
      <c r="U1924" s="1" t="s">
        <v>57</v>
      </c>
      <c r="V1924" s="1" t="s">
        <v>803</v>
      </c>
      <c r="W1924" s="1" t="str">
        <f>VLOOKUP(Table1[[#This Row],[Obergruppe ATC-Code]],Tabelle3!$A$2:$B$100,2)</f>
        <v>IMMUNSTIMULANZIEN</v>
      </c>
      <c r="X1924" s="1" t="str">
        <f xml:space="preserve"> LEFT(Table1[[#This Row],[Atc Code]],3)</f>
        <v>L03</v>
      </c>
    </row>
    <row r="1925" spans="1:24" ht="14.4">
      <c r="A1925" s="14">
        <v>2286</v>
      </c>
      <c r="B1925" s="27" t="s">
        <v>4308</v>
      </c>
      <c r="C1925" s="1">
        <v>2602432</v>
      </c>
      <c r="D1925" s="1" t="s">
        <v>102</v>
      </c>
      <c r="E1925" s="36">
        <v>44256</v>
      </c>
      <c r="F1925" s="36">
        <v>45291</v>
      </c>
      <c r="G1925" s="38">
        <f t="shared" si="30"/>
        <v>1035</v>
      </c>
      <c r="H1925" s="5">
        <v>44273</v>
      </c>
      <c r="I1925" s="5">
        <v>44943</v>
      </c>
      <c r="J1925" s="1" t="s">
        <v>26</v>
      </c>
      <c r="K1925" s="1" t="s">
        <v>4309</v>
      </c>
      <c r="L1925" s="1" t="s">
        <v>4305</v>
      </c>
      <c r="M1925" s="1" t="s">
        <v>4310</v>
      </c>
      <c r="N1925" s="1" t="s">
        <v>30</v>
      </c>
      <c r="O1925" s="1" t="s">
        <v>1921</v>
      </c>
      <c r="P1925" s="1" t="s">
        <v>256</v>
      </c>
      <c r="Q1925" s="1" t="s">
        <v>257</v>
      </c>
      <c r="R1925" s="1" t="s">
        <v>33</v>
      </c>
      <c r="S1925" s="1"/>
      <c r="T1925" s="1" t="s">
        <v>4311</v>
      </c>
      <c r="U1925" s="1" t="s">
        <v>35</v>
      </c>
      <c r="V1925" s="1" t="s">
        <v>4312</v>
      </c>
      <c r="W1925" s="1" t="str">
        <f>VLOOKUP(Table1[[#This Row],[Obergruppe ATC-Code]],Tabelle3!$A$2:$B$100,2)</f>
        <v>IMMUNSTIMULANZIEN</v>
      </c>
      <c r="X1925" s="1" t="str">
        <f xml:space="preserve"> LEFT(Table1[[#This Row],[Atc Code]],3)</f>
        <v>L03</v>
      </c>
    </row>
    <row r="1926" spans="1:24" ht="14.4">
      <c r="A1926" s="14">
        <v>3143</v>
      </c>
      <c r="B1926" s="24" t="s">
        <v>4313</v>
      </c>
      <c r="C1926" s="1">
        <v>2700601</v>
      </c>
      <c r="D1926" s="1" t="s">
        <v>25</v>
      </c>
      <c r="E1926" s="36">
        <v>44166</v>
      </c>
      <c r="F1926" s="36">
        <v>44561</v>
      </c>
      <c r="G1926" s="38">
        <f t="shared" si="30"/>
        <v>395</v>
      </c>
      <c r="H1926" s="5">
        <v>44055</v>
      </c>
      <c r="I1926" s="5">
        <v>44581</v>
      </c>
      <c r="J1926" s="1" t="s">
        <v>41</v>
      </c>
      <c r="K1926" s="1" t="s">
        <v>4314</v>
      </c>
      <c r="L1926" s="1" t="s">
        <v>4315</v>
      </c>
      <c r="M1926" s="1" t="s">
        <v>4316</v>
      </c>
      <c r="N1926" s="1" t="s">
        <v>30</v>
      </c>
      <c r="O1926" s="1" t="s">
        <v>4317</v>
      </c>
      <c r="P1926" s="1">
        <v>35227403070</v>
      </c>
      <c r="Q1926" s="1" t="s">
        <v>4318</v>
      </c>
      <c r="R1926" s="1" t="s">
        <v>48</v>
      </c>
      <c r="S1926" s="1"/>
      <c r="U1926" s="1" t="s">
        <v>57</v>
      </c>
      <c r="V1926" s="1" t="s">
        <v>4319</v>
      </c>
      <c r="W1926" s="1" t="str">
        <f>VLOOKUP(Table1[[#This Row],[Obergruppe ATC-Code]],Tabelle3!$A$2:$B$100,2)</f>
        <v>IMMUNSTIMULANZIEN</v>
      </c>
      <c r="X1926" s="1" t="str">
        <f xml:space="preserve"> LEFT(Table1[[#This Row],[Atc Code]],3)</f>
        <v>L03</v>
      </c>
    </row>
    <row r="1927" spans="1:24" ht="14.4">
      <c r="A1927" s="14">
        <v>3145</v>
      </c>
      <c r="B1927" s="48" t="s">
        <v>4320</v>
      </c>
      <c r="C1927" s="1">
        <v>2706028</v>
      </c>
      <c r="D1927" s="1" t="s">
        <v>25</v>
      </c>
      <c r="E1927" s="36">
        <v>43800</v>
      </c>
      <c r="F1927" s="36">
        <v>43921</v>
      </c>
      <c r="G1927" s="38">
        <f t="shared" si="30"/>
        <v>121</v>
      </c>
      <c r="H1927" s="5">
        <v>43802</v>
      </c>
      <c r="I1927" s="5">
        <v>43899</v>
      </c>
      <c r="J1927" s="1" t="s">
        <v>41</v>
      </c>
      <c r="K1927" s="1" t="s">
        <v>4321</v>
      </c>
      <c r="L1927" s="1" t="s">
        <v>4322</v>
      </c>
      <c r="M1927" s="1" t="s">
        <v>4323</v>
      </c>
      <c r="N1927" s="1" t="s">
        <v>30</v>
      </c>
      <c r="O1927" s="1" t="s">
        <v>2357</v>
      </c>
      <c r="P1927" s="1" t="s">
        <v>4324</v>
      </c>
      <c r="Q1927" s="1" t="s">
        <v>64</v>
      </c>
      <c r="R1927" s="1" t="s">
        <v>48</v>
      </c>
      <c r="S1927" s="1"/>
      <c r="U1927" s="1" t="s">
        <v>35</v>
      </c>
      <c r="V1927" s="1" t="s">
        <v>74</v>
      </c>
      <c r="W1927" s="1" t="str">
        <f>VLOOKUP(Table1[[#This Row],[Obergruppe ATC-Code]],Tabelle3!$A$2:$B$100,2)</f>
        <v>IMMUNSTIMULANZIEN</v>
      </c>
      <c r="X1927" s="1" t="str">
        <f xml:space="preserve"> LEFT(Table1[[#This Row],[Atc Code]],3)</f>
        <v>L03</v>
      </c>
    </row>
    <row r="1928" spans="1:24" ht="14.4">
      <c r="A1928" s="14">
        <v>3144</v>
      </c>
      <c r="B1928" s="48" t="s">
        <v>4320</v>
      </c>
      <c r="C1928" s="1">
        <v>2706028</v>
      </c>
      <c r="D1928" s="1" t="s">
        <v>25</v>
      </c>
      <c r="E1928" s="36">
        <v>44075</v>
      </c>
      <c r="F1928" s="36">
        <v>44135</v>
      </c>
      <c r="G1928" s="38">
        <f t="shared" si="30"/>
        <v>60</v>
      </c>
      <c r="H1928" s="5">
        <v>44104</v>
      </c>
      <c r="I1928" s="5">
        <v>44111</v>
      </c>
      <c r="J1928" s="1" t="s">
        <v>41</v>
      </c>
      <c r="K1928" s="1" t="s">
        <v>4321</v>
      </c>
      <c r="L1928" s="1" t="s">
        <v>4322</v>
      </c>
      <c r="M1928" s="1" t="s">
        <v>4323</v>
      </c>
      <c r="N1928" s="1" t="s">
        <v>30</v>
      </c>
      <c r="O1928" s="1" t="s">
        <v>2357</v>
      </c>
      <c r="P1928" s="1" t="s">
        <v>63</v>
      </c>
      <c r="Q1928" s="1" t="s">
        <v>64</v>
      </c>
      <c r="R1928" s="1" t="s">
        <v>65</v>
      </c>
      <c r="S1928" s="1"/>
      <c r="U1928" s="1" t="s">
        <v>35</v>
      </c>
      <c r="V1928" s="1" t="s">
        <v>74</v>
      </c>
      <c r="W1928" s="1" t="str">
        <f>VLOOKUP(Table1[[#This Row],[Obergruppe ATC-Code]],Tabelle3!$A$2:$B$100,2)</f>
        <v>IMMUNSTIMULANZIEN</v>
      </c>
      <c r="X1928" s="1" t="str">
        <f xml:space="preserve"> LEFT(Table1[[#This Row],[Atc Code]],3)</f>
        <v>L03</v>
      </c>
    </row>
    <row r="1929" spans="1:24" ht="14.4">
      <c r="A1929" s="14">
        <v>1242</v>
      </c>
      <c r="B1929" s="24">
        <v>11309410</v>
      </c>
      <c r="C1929" s="1">
        <v>2613975</v>
      </c>
      <c r="D1929" s="1" t="s">
        <v>25</v>
      </c>
      <c r="E1929" s="36">
        <v>45061</v>
      </c>
      <c r="F1929" s="36">
        <v>45117</v>
      </c>
      <c r="G1929" s="38">
        <f t="shared" si="30"/>
        <v>56</v>
      </c>
      <c r="H1929" s="5">
        <v>45033</v>
      </c>
      <c r="I1929" s="5">
        <v>45118</v>
      </c>
      <c r="J1929" s="1" t="s">
        <v>41</v>
      </c>
      <c r="K1929" s="1" t="s">
        <v>4325</v>
      </c>
      <c r="L1929" s="1" t="s">
        <v>4326</v>
      </c>
      <c r="M1929" s="1" t="s">
        <v>4327</v>
      </c>
      <c r="N1929" s="1" t="s">
        <v>30</v>
      </c>
      <c r="O1929" s="1" t="s">
        <v>329</v>
      </c>
      <c r="P1929" s="1" t="s">
        <v>1254</v>
      </c>
      <c r="Q1929" s="1" t="s">
        <v>331</v>
      </c>
      <c r="R1929" s="1" t="s">
        <v>26</v>
      </c>
      <c r="S1929" s="1"/>
      <c r="U1929" s="1" t="s">
        <v>130</v>
      </c>
      <c r="V1929" s="1" t="s">
        <v>279</v>
      </c>
      <c r="W1929" s="1" t="str">
        <f>VLOOKUP(Table1[[#This Row],[Obergruppe ATC-Code]],Tabelle3!$A$2:$B$100,2)</f>
        <v>IMMUNSUPPRESSIVA</v>
      </c>
      <c r="X1929" s="1" t="str">
        <f xml:space="preserve"> LEFT(Table1[[#This Row],[Atc Code]],3)</f>
        <v>L04</v>
      </c>
    </row>
    <row r="1930" spans="1:24" ht="14.4">
      <c r="A1930" s="14">
        <v>272</v>
      </c>
      <c r="B1930" s="24">
        <v>1586723</v>
      </c>
      <c r="C1930" s="1">
        <v>2701768</v>
      </c>
      <c r="D1930" s="1" t="s">
        <v>25</v>
      </c>
      <c r="E1930" s="36">
        <v>44543</v>
      </c>
      <c r="F1930" s="36">
        <v>44579</v>
      </c>
      <c r="G1930" s="38">
        <f t="shared" si="30"/>
        <v>36</v>
      </c>
      <c r="H1930" s="5">
        <v>44552</v>
      </c>
      <c r="I1930" s="5">
        <v>44581</v>
      </c>
      <c r="J1930" s="1" t="s">
        <v>26</v>
      </c>
      <c r="K1930" s="1" t="s">
        <v>4328</v>
      </c>
      <c r="L1930" s="1" t="s">
        <v>4329</v>
      </c>
      <c r="M1930" s="1" t="s">
        <v>4330</v>
      </c>
      <c r="N1930" s="1" t="s">
        <v>30</v>
      </c>
      <c r="O1930" s="1" t="s">
        <v>2274</v>
      </c>
      <c r="P1930" s="1" t="s">
        <v>326</v>
      </c>
      <c r="Q1930" s="1" t="s">
        <v>327</v>
      </c>
      <c r="R1930" s="1" t="s">
        <v>113</v>
      </c>
      <c r="S1930" s="1"/>
      <c r="T1930" s="1" t="s">
        <v>4331</v>
      </c>
      <c r="U1930" s="1" t="s">
        <v>35</v>
      </c>
      <c r="V1930" s="1" t="s">
        <v>639</v>
      </c>
      <c r="W1930" s="1" t="str">
        <f>VLOOKUP(Table1[[#This Row],[Obergruppe ATC-Code]],Tabelle3!$A$2:$B$100,2)</f>
        <v>IMMUNSUPPRESSIVA</v>
      </c>
      <c r="X1930" s="1" t="str">
        <f xml:space="preserve"> LEFT(Table1[[#This Row],[Atc Code]],3)</f>
        <v>L04</v>
      </c>
    </row>
    <row r="1931" spans="1:24" ht="14.4">
      <c r="A1931" s="14">
        <v>44</v>
      </c>
      <c r="B1931" s="24">
        <v>258313</v>
      </c>
      <c r="C1931" s="1">
        <v>2700910</v>
      </c>
      <c r="D1931" s="1" t="s">
        <v>25</v>
      </c>
      <c r="E1931" s="36">
        <v>44634</v>
      </c>
      <c r="F1931" s="36">
        <v>44658</v>
      </c>
      <c r="G1931" s="38">
        <f t="shared" si="30"/>
        <v>24</v>
      </c>
      <c r="H1931" s="5">
        <v>44631</v>
      </c>
      <c r="I1931" s="5">
        <v>44658</v>
      </c>
      <c r="J1931" s="1" t="s">
        <v>26</v>
      </c>
      <c r="K1931" s="1" t="s">
        <v>4332</v>
      </c>
      <c r="L1931" s="1" t="s">
        <v>4329</v>
      </c>
      <c r="M1931" s="1" t="s">
        <v>4330</v>
      </c>
      <c r="N1931" s="1" t="s">
        <v>30</v>
      </c>
      <c r="O1931" s="1" t="s">
        <v>2274</v>
      </c>
      <c r="P1931" s="1" t="s">
        <v>1153</v>
      </c>
      <c r="Q1931" s="1" t="s">
        <v>331</v>
      </c>
      <c r="R1931" s="1" t="s">
        <v>26</v>
      </c>
      <c r="S1931" s="1"/>
      <c r="T1931" s="1" t="s">
        <v>4333</v>
      </c>
      <c r="U1931" s="1" t="s">
        <v>130</v>
      </c>
      <c r="V1931" s="1" t="s">
        <v>225</v>
      </c>
      <c r="W1931" s="1" t="str">
        <f>VLOOKUP(Table1[[#This Row],[Obergruppe ATC-Code]],Tabelle3!$A$2:$B$100,2)</f>
        <v>IMMUNSUPPRESSIVA</v>
      </c>
      <c r="X1931" s="1" t="str">
        <f xml:space="preserve"> LEFT(Table1[[#This Row],[Atc Code]],3)</f>
        <v>L04</v>
      </c>
    </row>
    <row r="1932" spans="1:24" ht="14.4">
      <c r="A1932" s="14">
        <v>271</v>
      </c>
      <c r="B1932" s="24">
        <v>1586723</v>
      </c>
      <c r="C1932" s="1">
        <v>2701768</v>
      </c>
      <c r="D1932" s="1" t="s">
        <v>25</v>
      </c>
      <c r="E1932" s="36">
        <v>44729</v>
      </c>
      <c r="F1932" s="36">
        <v>44741</v>
      </c>
      <c r="G1932" s="38">
        <f t="shared" si="30"/>
        <v>12</v>
      </c>
      <c r="H1932" s="5">
        <v>44729</v>
      </c>
      <c r="I1932" s="5">
        <v>44741</v>
      </c>
      <c r="J1932" s="1" t="s">
        <v>41</v>
      </c>
      <c r="K1932" s="1" t="s">
        <v>4328</v>
      </c>
      <c r="L1932" s="1" t="s">
        <v>4329</v>
      </c>
      <c r="M1932" s="1" t="s">
        <v>4330</v>
      </c>
      <c r="N1932" s="1" t="s">
        <v>30</v>
      </c>
      <c r="O1932" s="1" t="s">
        <v>2274</v>
      </c>
      <c r="P1932" s="1" t="s">
        <v>1153</v>
      </c>
      <c r="Q1932" s="1" t="s">
        <v>331</v>
      </c>
      <c r="R1932" s="1" t="s">
        <v>128</v>
      </c>
      <c r="S1932" s="1"/>
      <c r="T1932" s="1" t="s">
        <v>4331</v>
      </c>
      <c r="U1932" s="1" t="s">
        <v>35</v>
      </c>
      <c r="V1932" s="1" t="s">
        <v>639</v>
      </c>
      <c r="W1932" s="1" t="str">
        <f>VLOOKUP(Table1[[#This Row],[Obergruppe ATC-Code]],Tabelle3!$A$2:$B$100,2)</f>
        <v>IMMUNSUPPRESSIVA</v>
      </c>
      <c r="X1932" s="1" t="str">
        <f xml:space="preserve"> LEFT(Table1[[#This Row],[Atc Code]],3)</f>
        <v>L04</v>
      </c>
    </row>
    <row r="1933" spans="1:24" ht="14.4">
      <c r="A1933" s="14">
        <v>438</v>
      </c>
      <c r="B1933" s="24">
        <v>2701439</v>
      </c>
      <c r="C1933" s="1">
        <v>2702353</v>
      </c>
      <c r="D1933" s="1" t="s">
        <v>25</v>
      </c>
      <c r="E1933" s="36">
        <v>45117</v>
      </c>
      <c r="F1933" s="36">
        <v>45140</v>
      </c>
      <c r="G1933" s="38">
        <f t="shared" si="30"/>
        <v>23</v>
      </c>
      <c r="H1933" s="5">
        <v>45114</v>
      </c>
      <c r="I1933" s="5">
        <v>45140</v>
      </c>
      <c r="J1933" s="1" t="s">
        <v>26</v>
      </c>
      <c r="K1933" s="1" t="s">
        <v>4334</v>
      </c>
      <c r="L1933" s="1" t="s">
        <v>4329</v>
      </c>
      <c r="M1933" s="1" t="s">
        <v>4330</v>
      </c>
      <c r="N1933" s="1" t="s">
        <v>30</v>
      </c>
      <c r="O1933" s="1" t="s">
        <v>2274</v>
      </c>
      <c r="P1933" s="1" t="s">
        <v>1259</v>
      </c>
      <c r="Q1933" s="1" t="s">
        <v>331</v>
      </c>
      <c r="R1933" s="1" t="s">
        <v>113</v>
      </c>
      <c r="S1933" s="1"/>
      <c r="T1933" s="1" t="s">
        <v>4335</v>
      </c>
      <c r="U1933" s="1" t="s">
        <v>35</v>
      </c>
      <c r="V1933" s="1" t="s">
        <v>639</v>
      </c>
      <c r="W1933" s="1" t="str">
        <f>VLOOKUP(Table1[[#This Row],[Obergruppe ATC-Code]],Tabelle3!$A$2:$B$100,2)</f>
        <v>IMMUNSUPPRESSIVA</v>
      </c>
      <c r="X1933" s="1" t="str">
        <f xml:space="preserve"> LEFT(Table1[[#This Row],[Atc Code]],3)</f>
        <v>L04</v>
      </c>
    </row>
    <row r="1934" spans="1:24" ht="14.4">
      <c r="A1934" s="14">
        <v>1206</v>
      </c>
      <c r="B1934" s="24">
        <v>11095587</v>
      </c>
      <c r="C1934" s="1">
        <v>2714013</v>
      </c>
      <c r="D1934" s="1" t="s">
        <v>25</v>
      </c>
      <c r="E1934" s="36">
        <v>44501</v>
      </c>
      <c r="F1934" s="36">
        <v>44561</v>
      </c>
      <c r="G1934" s="38">
        <f t="shared" si="30"/>
        <v>60</v>
      </c>
      <c r="H1934" s="5">
        <v>44454</v>
      </c>
      <c r="I1934" s="5">
        <v>44553</v>
      </c>
      <c r="J1934" s="1" t="s">
        <v>41</v>
      </c>
      <c r="K1934" s="1" t="s">
        <v>4336</v>
      </c>
      <c r="L1934" s="1" t="s">
        <v>4337</v>
      </c>
      <c r="M1934" s="1" t="s">
        <v>4338</v>
      </c>
      <c r="N1934" s="1" t="s">
        <v>30</v>
      </c>
      <c r="O1934" s="1" t="s">
        <v>3626</v>
      </c>
      <c r="Q1934" s="1" t="s">
        <v>4339</v>
      </c>
      <c r="R1934" s="1" t="s">
        <v>128</v>
      </c>
      <c r="S1934" s="1"/>
      <c r="T1934" s="1" t="s">
        <v>4340</v>
      </c>
      <c r="U1934" s="1" t="s">
        <v>35</v>
      </c>
      <c r="V1934" s="1" t="s">
        <v>74</v>
      </c>
      <c r="W1934" s="1" t="str">
        <f>VLOOKUP(Table1[[#This Row],[Obergruppe ATC-Code]],Tabelle3!$A$2:$B$100,2)</f>
        <v>IMMUNSUPPRESSIVA</v>
      </c>
      <c r="X1934" s="1" t="str">
        <f xml:space="preserve"> LEFT(Table1[[#This Row],[Atc Code]],3)</f>
        <v>L04</v>
      </c>
    </row>
    <row r="1935" spans="1:24" ht="14.4">
      <c r="A1935" s="14">
        <v>1204</v>
      </c>
      <c r="B1935" s="24">
        <v>11095570</v>
      </c>
      <c r="C1935" s="1">
        <v>2714012</v>
      </c>
      <c r="D1935" s="1" t="s">
        <v>25</v>
      </c>
      <c r="E1935" s="36">
        <v>44454</v>
      </c>
      <c r="F1935" s="36">
        <v>44561</v>
      </c>
      <c r="G1935" s="38">
        <f t="shared" si="30"/>
        <v>107</v>
      </c>
      <c r="H1935" s="5">
        <v>44454</v>
      </c>
      <c r="I1935" s="5">
        <v>44553</v>
      </c>
      <c r="J1935" s="1" t="s">
        <v>41</v>
      </c>
      <c r="K1935" s="1" t="s">
        <v>4341</v>
      </c>
      <c r="L1935" s="1" t="s">
        <v>4337</v>
      </c>
      <c r="M1935" s="1" t="s">
        <v>4338</v>
      </c>
      <c r="N1935" s="1" t="s">
        <v>30</v>
      </c>
      <c r="O1935" s="1" t="s">
        <v>3626</v>
      </c>
      <c r="Q1935" s="1" t="s">
        <v>4339</v>
      </c>
      <c r="R1935" s="1" t="s">
        <v>128</v>
      </c>
      <c r="S1935" s="1"/>
      <c r="T1935" s="1" t="s">
        <v>4342</v>
      </c>
      <c r="U1935" s="1" t="s">
        <v>35</v>
      </c>
      <c r="V1935" s="1" t="s">
        <v>74</v>
      </c>
      <c r="W1935" s="1" t="str">
        <f>VLOOKUP(Table1[[#This Row],[Obergruppe ATC-Code]],Tabelle3!$A$2:$B$100,2)</f>
        <v>IMMUNSUPPRESSIVA</v>
      </c>
      <c r="X1935" s="1" t="str">
        <f xml:space="preserve"> LEFT(Table1[[#This Row],[Atc Code]],3)</f>
        <v>L04</v>
      </c>
    </row>
    <row r="1936" spans="1:24" ht="14.4">
      <c r="A1936" s="14">
        <v>1207</v>
      </c>
      <c r="B1936" s="24">
        <v>11095587</v>
      </c>
      <c r="C1936" s="1">
        <v>2714013</v>
      </c>
      <c r="D1936" s="1" t="s">
        <v>102</v>
      </c>
      <c r="E1936" s="36">
        <v>44621</v>
      </c>
      <c r="F1936" s="36">
        <v>45291</v>
      </c>
      <c r="G1936" s="38">
        <f t="shared" si="30"/>
        <v>670</v>
      </c>
      <c r="H1936" s="5">
        <v>44620</v>
      </c>
      <c r="I1936" s="5">
        <v>44939</v>
      </c>
      <c r="J1936" s="1" t="s">
        <v>26</v>
      </c>
      <c r="K1936" s="1" t="s">
        <v>4336</v>
      </c>
      <c r="L1936" s="1" t="s">
        <v>4337</v>
      </c>
      <c r="M1936" s="1" t="s">
        <v>4338</v>
      </c>
      <c r="N1936" s="1" t="s">
        <v>30</v>
      </c>
      <c r="O1936" s="1" t="s">
        <v>3626</v>
      </c>
      <c r="Q1936" s="1" t="s">
        <v>3438</v>
      </c>
      <c r="R1936" s="1" t="s">
        <v>113</v>
      </c>
      <c r="S1936" s="1" t="s">
        <v>4343</v>
      </c>
      <c r="U1936" s="1" t="s">
        <v>35</v>
      </c>
      <c r="V1936" s="1" t="s">
        <v>74</v>
      </c>
      <c r="W1936" s="1" t="str">
        <f>VLOOKUP(Table1[[#This Row],[Obergruppe ATC-Code]],Tabelle3!$A$2:$B$100,2)</f>
        <v>IMMUNSUPPRESSIVA</v>
      </c>
      <c r="X1936" s="1" t="str">
        <f xml:space="preserve"> LEFT(Table1[[#This Row],[Atc Code]],3)</f>
        <v>L04</v>
      </c>
    </row>
    <row r="1937" spans="1:24" ht="14.4">
      <c r="A1937" s="14">
        <v>1205</v>
      </c>
      <c r="B1937" s="24">
        <v>11095570</v>
      </c>
      <c r="C1937" s="1">
        <v>2714012</v>
      </c>
      <c r="D1937" s="1" t="s">
        <v>175</v>
      </c>
      <c r="E1937" s="36">
        <v>44927</v>
      </c>
      <c r="F1937" s="36">
        <v>45291</v>
      </c>
      <c r="G1937" s="38">
        <f t="shared" si="30"/>
        <v>364</v>
      </c>
      <c r="H1937" s="5">
        <v>44939</v>
      </c>
      <c r="I1937" s="5">
        <v>44939</v>
      </c>
      <c r="J1937" s="1" t="s">
        <v>26</v>
      </c>
      <c r="K1937" s="1" t="s">
        <v>4341</v>
      </c>
      <c r="L1937" s="1" t="s">
        <v>4337</v>
      </c>
      <c r="M1937" s="1" t="s">
        <v>4338</v>
      </c>
      <c r="N1937" s="1" t="s">
        <v>30</v>
      </c>
      <c r="O1937" s="1" t="s">
        <v>3626</v>
      </c>
      <c r="Q1937" s="1" t="s">
        <v>3438</v>
      </c>
      <c r="R1937" s="1" t="s">
        <v>113</v>
      </c>
      <c r="S1937" s="1" t="s">
        <v>4344</v>
      </c>
      <c r="U1937" s="1" t="s">
        <v>35</v>
      </c>
      <c r="V1937" s="1" t="s">
        <v>74</v>
      </c>
      <c r="W1937" s="1" t="str">
        <f>VLOOKUP(Table1[[#This Row],[Obergruppe ATC-Code]],Tabelle3!$A$2:$B$100,2)</f>
        <v>IMMUNSUPPRESSIVA</v>
      </c>
      <c r="X1937" s="1" t="str">
        <f xml:space="preserve"> LEFT(Table1[[#This Row],[Atc Code]],3)</f>
        <v>L04</v>
      </c>
    </row>
    <row r="1938" spans="1:24" ht="14.4">
      <c r="A1938" s="14">
        <v>1150</v>
      </c>
      <c r="B1938" s="24">
        <v>9780399</v>
      </c>
      <c r="C1938" s="1">
        <v>2711619</v>
      </c>
      <c r="D1938" s="1" t="s">
        <v>175</v>
      </c>
      <c r="E1938" s="36">
        <v>44927</v>
      </c>
      <c r="F1938" s="36">
        <v>45291</v>
      </c>
      <c r="G1938" s="38">
        <f t="shared" si="30"/>
        <v>364</v>
      </c>
      <c r="H1938" s="5">
        <v>44939</v>
      </c>
      <c r="I1938" s="5">
        <v>44939</v>
      </c>
      <c r="J1938" s="1" t="s">
        <v>26</v>
      </c>
      <c r="K1938" s="1" t="s">
        <v>4345</v>
      </c>
      <c r="L1938" s="1" t="s">
        <v>4337</v>
      </c>
      <c r="M1938" s="1" t="s">
        <v>4338</v>
      </c>
      <c r="N1938" s="1" t="s">
        <v>30</v>
      </c>
      <c r="O1938" s="1" t="s">
        <v>3626</v>
      </c>
      <c r="Q1938" s="1" t="s">
        <v>3438</v>
      </c>
      <c r="R1938" s="1" t="s">
        <v>113</v>
      </c>
      <c r="S1938" s="1" t="s">
        <v>4346</v>
      </c>
      <c r="U1938" s="1" t="s">
        <v>35</v>
      </c>
      <c r="V1938" s="1" t="s">
        <v>74</v>
      </c>
      <c r="W1938" s="1" t="str">
        <f>VLOOKUP(Table1[[#This Row],[Obergruppe ATC-Code]],Tabelle3!$A$2:$B$100,2)</f>
        <v>IMMUNSUPPRESSIVA</v>
      </c>
      <c r="X1938" s="1" t="str">
        <f xml:space="preserve"> LEFT(Table1[[#This Row],[Atc Code]],3)</f>
        <v>L04</v>
      </c>
    </row>
    <row r="1939" spans="1:24" ht="14.4">
      <c r="A1939" s="14">
        <v>1149</v>
      </c>
      <c r="B1939" s="24">
        <v>9780382</v>
      </c>
      <c r="C1939" s="1">
        <v>2711006</v>
      </c>
      <c r="D1939" s="1" t="s">
        <v>175</v>
      </c>
      <c r="E1939" s="36">
        <v>44927</v>
      </c>
      <c r="F1939" s="36">
        <v>45291</v>
      </c>
      <c r="G1939" s="38">
        <f t="shared" si="30"/>
        <v>364</v>
      </c>
      <c r="H1939" s="5">
        <v>44939</v>
      </c>
      <c r="I1939" s="5">
        <v>44939</v>
      </c>
      <c r="J1939" s="1" t="s">
        <v>26</v>
      </c>
      <c r="K1939" s="1" t="s">
        <v>4347</v>
      </c>
      <c r="L1939" s="1" t="s">
        <v>4337</v>
      </c>
      <c r="M1939" s="1" t="s">
        <v>4338</v>
      </c>
      <c r="N1939" s="1" t="s">
        <v>30</v>
      </c>
      <c r="O1939" s="1" t="s">
        <v>3626</v>
      </c>
      <c r="Q1939" s="1" t="s">
        <v>3438</v>
      </c>
      <c r="R1939" s="1" t="s">
        <v>113</v>
      </c>
      <c r="S1939" s="1" t="s">
        <v>4348</v>
      </c>
      <c r="U1939" s="1" t="s">
        <v>35</v>
      </c>
      <c r="V1939" s="1" t="s">
        <v>74</v>
      </c>
      <c r="W1939" s="1" t="str">
        <f>VLOOKUP(Table1[[#This Row],[Obergruppe ATC-Code]],Tabelle3!$A$2:$B$100,2)</f>
        <v>IMMUNSUPPRESSIVA</v>
      </c>
      <c r="X1939" s="1" t="str">
        <f xml:space="preserve"> LEFT(Table1[[#This Row],[Atc Code]],3)</f>
        <v>L04</v>
      </c>
    </row>
    <row r="1940" spans="1:24" ht="14.4">
      <c r="A1940" s="14">
        <v>1055</v>
      </c>
      <c r="B1940" s="24">
        <v>9074164</v>
      </c>
      <c r="C1940" s="1">
        <v>2708677</v>
      </c>
      <c r="D1940" s="1" t="s">
        <v>25</v>
      </c>
      <c r="E1940" s="36">
        <v>42644</v>
      </c>
      <c r="F1940" s="36">
        <v>45200</v>
      </c>
      <c r="G1940" s="38">
        <f t="shared" si="30"/>
        <v>2556</v>
      </c>
      <c r="H1940" s="5">
        <v>42782</v>
      </c>
      <c r="I1940" s="5">
        <v>45203</v>
      </c>
      <c r="J1940" s="1" t="s">
        <v>26</v>
      </c>
      <c r="K1940" s="1" t="s">
        <v>4349</v>
      </c>
      <c r="L1940" s="1" t="s">
        <v>4350</v>
      </c>
      <c r="M1940" s="1" t="s">
        <v>4351</v>
      </c>
      <c r="N1940" s="1" t="s">
        <v>30</v>
      </c>
      <c r="O1940" s="1" t="s">
        <v>4352</v>
      </c>
      <c r="P1940" s="1">
        <v>49890121420145</v>
      </c>
      <c r="Q1940" s="1" t="s">
        <v>4353</v>
      </c>
      <c r="R1940" s="1" t="s">
        <v>33</v>
      </c>
      <c r="S1940" s="1" t="s">
        <v>4354</v>
      </c>
      <c r="U1940" s="1" t="s">
        <v>57</v>
      </c>
      <c r="V1940" s="1" t="s">
        <v>3155</v>
      </c>
      <c r="W1940" s="1" t="str">
        <f>VLOOKUP(Table1[[#This Row],[Obergruppe ATC-Code]],Tabelle3!$A$2:$B$100,2)</f>
        <v>IMMUNSUPPRESSIVA</v>
      </c>
      <c r="X1940" s="1" t="str">
        <f xml:space="preserve"> LEFT(Table1[[#This Row],[Atc Code]],3)</f>
        <v>L04</v>
      </c>
    </row>
    <row r="1941" spans="1:24" ht="14.4">
      <c r="A1941" s="14">
        <v>1054</v>
      </c>
      <c r="B1941" s="24">
        <v>9074158</v>
      </c>
      <c r="C1941" s="1">
        <v>2708676</v>
      </c>
      <c r="D1941" s="1" t="s">
        <v>25</v>
      </c>
      <c r="E1941" s="36">
        <v>42644</v>
      </c>
      <c r="F1941" s="36">
        <v>45200</v>
      </c>
      <c r="G1941" s="38">
        <f t="shared" si="30"/>
        <v>2556</v>
      </c>
      <c r="H1941" s="5">
        <v>42782</v>
      </c>
      <c r="I1941" s="5">
        <v>45203</v>
      </c>
      <c r="J1941" s="1" t="s">
        <v>26</v>
      </c>
      <c r="K1941" s="1" t="s">
        <v>4355</v>
      </c>
      <c r="L1941" s="1" t="s">
        <v>4350</v>
      </c>
      <c r="M1941" s="1" t="s">
        <v>4351</v>
      </c>
      <c r="N1941" s="1" t="s">
        <v>30</v>
      </c>
      <c r="O1941" s="1" t="s">
        <v>4352</v>
      </c>
      <c r="P1941" s="1" t="s">
        <v>4356</v>
      </c>
      <c r="Q1941" s="1" t="s">
        <v>647</v>
      </c>
      <c r="R1941" s="1" t="s">
        <v>33</v>
      </c>
      <c r="S1941" s="1" t="s">
        <v>4354</v>
      </c>
      <c r="U1941" s="1" t="s">
        <v>57</v>
      </c>
      <c r="V1941" s="1" t="s">
        <v>3155</v>
      </c>
      <c r="W1941" s="1" t="str">
        <f>VLOOKUP(Table1[[#This Row],[Obergruppe ATC-Code]],Tabelle3!$A$2:$B$100,2)</f>
        <v>IMMUNSUPPRESSIVA</v>
      </c>
      <c r="X1941" s="1" t="str">
        <f xml:space="preserve"> LEFT(Table1[[#This Row],[Atc Code]],3)</f>
        <v>L04</v>
      </c>
    </row>
    <row r="1942" spans="1:24" ht="14.4">
      <c r="A1942" s="14">
        <v>1358</v>
      </c>
      <c r="B1942" s="24">
        <v>13167204</v>
      </c>
      <c r="C1942" s="1">
        <v>2715714</v>
      </c>
      <c r="D1942" s="1" t="s">
        <v>25</v>
      </c>
      <c r="E1942" s="36">
        <v>45132</v>
      </c>
      <c r="F1942" s="36">
        <v>45154</v>
      </c>
      <c r="G1942" s="38">
        <f t="shared" si="30"/>
        <v>22</v>
      </c>
      <c r="H1942" s="5">
        <v>45146</v>
      </c>
      <c r="I1942" s="5">
        <v>45154</v>
      </c>
      <c r="J1942" s="1" t="s">
        <v>26</v>
      </c>
      <c r="K1942" s="1" t="s">
        <v>4357</v>
      </c>
      <c r="L1942" s="1" t="s">
        <v>4358</v>
      </c>
      <c r="M1942" s="1" t="s">
        <v>4359</v>
      </c>
      <c r="N1942" s="1" t="s">
        <v>38</v>
      </c>
      <c r="O1942" s="1" t="s">
        <v>4360</v>
      </c>
      <c r="P1942" s="1" t="s">
        <v>4361</v>
      </c>
      <c r="Q1942" s="1" t="s">
        <v>4362</v>
      </c>
      <c r="R1942" s="1" t="s">
        <v>142</v>
      </c>
      <c r="S1942" s="1"/>
      <c r="U1942" s="1" t="s">
        <v>35</v>
      </c>
      <c r="V1942" s="1" t="s">
        <v>74</v>
      </c>
      <c r="W1942" s="1" t="str">
        <f>VLOOKUP(Table1[[#This Row],[Obergruppe ATC-Code]],Tabelle3!$A$2:$B$100,2)</f>
        <v>IMMUNSUPPRESSIVA</v>
      </c>
      <c r="X1942" s="1" t="str">
        <f xml:space="preserve"> LEFT(Table1[[#This Row],[Atc Code]],3)</f>
        <v>L04</v>
      </c>
    </row>
    <row r="1943" spans="1:24" ht="14.4">
      <c r="A1943" s="14">
        <v>1273</v>
      </c>
      <c r="B1943" s="24">
        <v>11558047</v>
      </c>
      <c r="C1943" s="1">
        <v>2713667</v>
      </c>
      <c r="D1943" s="1" t="s">
        <v>25</v>
      </c>
      <c r="E1943" s="36">
        <v>45147</v>
      </c>
      <c r="F1943" s="36">
        <v>45154</v>
      </c>
      <c r="G1943" s="38">
        <f t="shared" si="30"/>
        <v>7</v>
      </c>
      <c r="H1943" s="5">
        <v>45147</v>
      </c>
      <c r="I1943" s="5">
        <v>45154</v>
      </c>
      <c r="J1943" s="1" t="s">
        <v>26</v>
      </c>
      <c r="K1943" s="1" t="s">
        <v>4363</v>
      </c>
      <c r="L1943" s="1" t="s">
        <v>4358</v>
      </c>
      <c r="M1943" s="1" t="s">
        <v>4359</v>
      </c>
      <c r="N1943" s="1" t="s">
        <v>38</v>
      </c>
      <c r="O1943" s="1" t="s">
        <v>4360</v>
      </c>
      <c r="P1943" s="1">
        <v>1607431920</v>
      </c>
      <c r="Q1943" s="1" t="s">
        <v>4362</v>
      </c>
      <c r="R1943" s="1" t="s">
        <v>142</v>
      </c>
      <c r="S1943" s="1"/>
      <c r="U1943" s="1" t="s">
        <v>35</v>
      </c>
      <c r="V1943" s="1" t="s">
        <v>74</v>
      </c>
      <c r="W1943" s="1" t="str">
        <f>VLOOKUP(Table1[[#This Row],[Obergruppe ATC-Code]],Tabelle3!$A$2:$B$100,2)</f>
        <v>IMMUNSUPPRESSIVA</v>
      </c>
      <c r="X1943" s="1" t="str">
        <f xml:space="preserve"> LEFT(Table1[[#This Row],[Atc Code]],3)</f>
        <v>L04</v>
      </c>
    </row>
    <row r="1944" spans="1:24" ht="14.4">
      <c r="A1944" s="14">
        <v>1035</v>
      </c>
      <c r="B1944" s="24">
        <v>8869849</v>
      </c>
      <c r="C1944" s="1">
        <v>2670026</v>
      </c>
      <c r="D1944" s="1" t="s">
        <v>25</v>
      </c>
      <c r="E1944" s="36">
        <v>45026</v>
      </c>
      <c r="F1944" s="36">
        <v>45086</v>
      </c>
      <c r="G1944" s="38">
        <f t="shared" si="30"/>
        <v>60</v>
      </c>
      <c r="H1944" s="5">
        <v>45034</v>
      </c>
      <c r="I1944" s="5">
        <v>45086</v>
      </c>
      <c r="J1944" s="1" t="s">
        <v>26</v>
      </c>
      <c r="K1944" s="1" t="s">
        <v>4364</v>
      </c>
      <c r="L1944" s="1" t="s">
        <v>4365</v>
      </c>
      <c r="M1944" s="1" t="s">
        <v>4366</v>
      </c>
      <c r="N1944" s="1" t="s">
        <v>30</v>
      </c>
      <c r="O1944" s="1" t="s">
        <v>4367</v>
      </c>
      <c r="R1944" s="1" t="s">
        <v>26</v>
      </c>
      <c r="S1944" s="1" t="s">
        <v>4368</v>
      </c>
      <c r="U1944" s="1" t="s">
        <v>130</v>
      </c>
      <c r="V1944" s="1" t="s">
        <v>803</v>
      </c>
      <c r="W1944" s="1" t="str">
        <f>VLOOKUP(Table1[[#This Row],[Obergruppe ATC-Code]],Tabelle3!$A$2:$B$100,2)</f>
        <v>IMMUNSUPPRESSIVA</v>
      </c>
      <c r="X1944" s="1" t="str">
        <f xml:space="preserve"> LEFT(Table1[[#This Row],[Atc Code]],3)</f>
        <v>L04</v>
      </c>
    </row>
    <row r="1945" spans="1:24" ht="14.4">
      <c r="A1945" s="14">
        <v>628</v>
      </c>
      <c r="B1945" s="24">
        <v>4088836</v>
      </c>
      <c r="C1945" s="1">
        <v>2670192</v>
      </c>
      <c r="D1945" s="1" t="s">
        <v>25</v>
      </c>
      <c r="E1945" s="36">
        <v>45030</v>
      </c>
      <c r="F1945" s="36">
        <v>45086</v>
      </c>
      <c r="G1945" s="38">
        <f t="shared" si="30"/>
        <v>56</v>
      </c>
      <c r="H1945" s="5">
        <v>45034</v>
      </c>
      <c r="I1945" s="5">
        <v>45086</v>
      </c>
      <c r="J1945" s="1" t="s">
        <v>26</v>
      </c>
      <c r="K1945" s="1" t="s">
        <v>4364</v>
      </c>
      <c r="L1945" s="1" t="s">
        <v>4365</v>
      </c>
      <c r="M1945" s="1" t="s">
        <v>4366</v>
      </c>
      <c r="N1945" s="1" t="s">
        <v>30</v>
      </c>
      <c r="O1945" s="1" t="s">
        <v>4369</v>
      </c>
      <c r="R1945" s="1" t="s">
        <v>26</v>
      </c>
      <c r="S1945" s="1" t="s">
        <v>4370</v>
      </c>
      <c r="U1945" s="1" t="s">
        <v>130</v>
      </c>
      <c r="V1945" s="1" t="s">
        <v>803</v>
      </c>
      <c r="W1945" s="1" t="str">
        <f>VLOOKUP(Table1[[#This Row],[Obergruppe ATC-Code]],Tabelle3!$A$2:$B$100,2)</f>
        <v>IMMUNSUPPRESSIVA</v>
      </c>
      <c r="X1945" s="1" t="str">
        <f xml:space="preserve"> LEFT(Table1[[#This Row],[Atc Code]],3)</f>
        <v>L04</v>
      </c>
    </row>
    <row r="1946" spans="1:24" ht="14.4">
      <c r="A1946" s="14">
        <v>1034</v>
      </c>
      <c r="B1946" s="24">
        <v>8869849</v>
      </c>
      <c r="C1946" s="1">
        <v>2670026</v>
      </c>
      <c r="D1946" s="1" t="s">
        <v>25</v>
      </c>
      <c r="E1946" s="36">
        <v>45131</v>
      </c>
      <c r="F1946" s="36">
        <v>45141</v>
      </c>
      <c r="G1946" s="38">
        <f t="shared" si="30"/>
        <v>10</v>
      </c>
      <c r="H1946" s="5">
        <v>45131</v>
      </c>
      <c r="I1946" s="5">
        <v>45141</v>
      </c>
      <c r="J1946" s="1" t="s">
        <v>41</v>
      </c>
      <c r="K1946" s="1" t="s">
        <v>4364</v>
      </c>
      <c r="L1946" s="1" t="s">
        <v>4365</v>
      </c>
      <c r="M1946" s="1" t="s">
        <v>4366</v>
      </c>
      <c r="N1946" s="1" t="s">
        <v>38</v>
      </c>
      <c r="O1946" s="1" t="s">
        <v>4369</v>
      </c>
      <c r="P1946" s="1" t="s">
        <v>4371</v>
      </c>
      <c r="R1946" s="1" t="s">
        <v>128</v>
      </c>
      <c r="S1946" s="1" t="s">
        <v>4372</v>
      </c>
      <c r="U1946" s="1" t="s">
        <v>130</v>
      </c>
      <c r="V1946" s="1" t="s">
        <v>803</v>
      </c>
      <c r="W1946" s="1" t="str">
        <f>VLOOKUP(Table1[[#This Row],[Obergruppe ATC-Code]],Tabelle3!$A$2:$B$100,2)</f>
        <v>IMMUNSUPPRESSIVA</v>
      </c>
      <c r="X1946" s="1" t="str">
        <f xml:space="preserve"> LEFT(Table1[[#This Row],[Atc Code]],3)</f>
        <v>L04</v>
      </c>
    </row>
    <row r="1947" spans="1:24" ht="14.4">
      <c r="A1947" s="14">
        <v>627</v>
      </c>
      <c r="B1947" s="24">
        <v>4088836</v>
      </c>
      <c r="C1947" s="1">
        <v>2670192</v>
      </c>
      <c r="D1947" s="1" t="s">
        <v>25</v>
      </c>
      <c r="E1947" s="36">
        <v>45135</v>
      </c>
      <c r="F1947" s="36">
        <v>45163</v>
      </c>
      <c r="G1947" s="38">
        <f t="shared" si="30"/>
        <v>28</v>
      </c>
      <c r="H1947" s="5">
        <v>45138</v>
      </c>
      <c r="I1947" s="5">
        <v>45163</v>
      </c>
      <c r="J1947" s="1" t="s">
        <v>41</v>
      </c>
      <c r="K1947" s="1" t="s">
        <v>4364</v>
      </c>
      <c r="L1947" s="1" t="s">
        <v>4365</v>
      </c>
      <c r="M1947" s="1" t="s">
        <v>4366</v>
      </c>
      <c r="N1947" s="1" t="s">
        <v>38</v>
      </c>
      <c r="O1947" s="1" t="s">
        <v>4369</v>
      </c>
      <c r="P1947" s="1" t="s">
        <v>4373</v>
      </c>
      <c r="R1947" s="1" t="s">
        <v>128</v>
      </c>
      <c r="S1947" s="1" t="s">
        <v>4374</v>
      </c>
      <c r="U1947" s="1" t="s">
        <v>130</v>
      </c>
      <c r="V1947" s="1" t="s">
        <v>803</v>
      </c>
      <c r="W1947" s="1" t="str">
        <f>VLOOKUP(Table1[[#This Row],[Obergruppe ATC-Code]],Tabelle3!$A$2:$B$100,2)</f>
        <v>IMMUNSUPPRESSIVA</v>
      </c>
      <c r="X1947" s="1" t="str">
        <f xml:space="preserve"> LEFT(Table1[[#This Row],[Atc Code]],3)</f>
        <v>L04</v>
      </c>
    </row>
    <row r="1948" spans="1:24" ht="14.4">
      <c r="A1948" s="14">
        <v>1975</v>
      </c>
      <c r="B1948" s="24" t="s">
        <v>4375</v>
      </c>
      <c r="C1948" s="1" t="s">
        <v>4376</v>
      </c>
      <c r="D1948" s="1" t="s">
        <v>25</v>
      </c>
      <c r="E1948" s="36">
        <v>44390</v>
      </c>
      <c r="F1948" s="36">
        <v>44404</v>
      </c>
      <c r="G1948" s="38">
        <f t="shared" si="30"/>
        <v>14</v>
      </c>
      <c r="H1948" s="5">
        <v>44390</v>
      </c>
      <c r="I1948" s="5">
        <v>44404</v>
      </c>
      <c r="J1948" s="1" t="s">
        <v>26</v>
      </c>
      <c r="K1948" s="1" t="s">
        <v>4377</v>
      </c>
      <c r="L1948" s="1" t="s">
        <v>4378</v>
      </c>
      <c r="M1948" s="1" t="s">
        <v>4379</v>
      </c>
      <c r="N1948" s="1" t="s">
        <v>30</v>
      </c>
      <c r="O1948" s="1" t="s">
        <v>3645</v>
      </c>
      <c r="P1948" s="1" t="s">
        <v>3646</v>
      </c>
      <c r="Q1948" s="1" t="s">
        <v>4380</v>
      </c>
      <c r="R1948" s="1" t="s">
        <v>113</v>
      </c>
      <c r="S1948" s="1" t="s">
        <v>4381</v>
      </c>
      <c r="T1948" s="1" t="s">
        <v>4382</v>
      </c>
      <c r="U1948" s="1" t="s">
        <v>57</v>
      </c>
      <c r="V1948" s="1" t="s">
        <v>74</v>
      </c>
      <c r="W1948" s="1" t="str">
        <f>VLOOKUP(Table1[[#This Row],[Obergruppe ATC-Code]],Tabelle3!$A$2:$B$100,2)</f>
        <v>IMMUNSUPPRESSIVA</v>
      </c>
      <c r="X1948" s="1" t="str">
        <f xml:space="preserve"> LEFT(Table1[[#This Row],[Atc Code]],3)</f>
        <v>L04</v>
      </c>
    </row>
    <row r="1949" spans="1:24" ht="14.4">
      <c r="A1949" s="14">
        <v>426</v>
      </c>
      <c r="B1949" s="24">
        <v>2560430</v>
      </c>
      <c r="C1949" s="1">
        <v>2126418</v>
      </c>
      <c r="D1949" s="1" t="s">
        <v>25</v>
      </c>
      <c r="E1949" s="36">
        <v>44818</v>
      </c>
      <c r="F1949" s="36">
        <v>44831</v>
      </c>
      <c r="G1949" s="38">
        <f t="shared" si="30"/>
        <v>13</v>
      </c>
      <c r="H1949" s="5">
        <v>44818</v>
      </c>
      <c r="I1949" s="5">
        <v>44838</v>
      </c>
      <c r="J1949" s="1" t="s">
        <v>26</v>
      </c>
      <c r="K1949" s="1" t="s">
        <v>4383</v>
      </c>
      <c r="L1949" s="1" t="s">
        <v>4384</v>
      </c>
      <c r="M1949" s="1" t="s">
        <v>4385</v>
      </c>
      <c r="N1949" s="1" t="s">
        <v>38</v>
      </c>
      <c r="O1949" s="1" t="s">
        <v>224</v>
      </c>
      <c r="Q1949" s="1" t="s">
        <v>4386</v>
      </c>
      <c r="R1949" s="1" t="s">
        <v>26</v>
      </c>
      <c r="S1949" s="1" t="s">
        <v>4387</v>
      </c>
      <c r="U1949" s="1" t="s">
        <v>130</v>
      </c>
      <c r="V1949" s="1" t="s">
        <v>1292</v>
      </c>
      <c r="W1949" s="1" t="str">
        <f>VLOOKUP(Table1[[#This Row],[Obergruppe ATC-Code]],Tabelle3!$A$2:$B$100,2)</f>
        <v>IMMUNSUPPRESSIVA</v>
      </c>
      <c r="X1949" s="1" t="str">
        <f xml:space="preserve"> LEFT(Table1[[#This Row],[Atc Code]],3)</f>
        <v>L04</v>
      </c>
    </row>
    <row r="1950" spans="1:24" ht="14.4">
      <c r="A1950" s="14">
        <v>425</v>
      </c>
      <c r="B1950" s="24">
        <v>2560424</v>
      </c>
      <c r="C1950" s="1">
        <v>2103123</v>
      </c>
      <c r="D1950" s="1" t="s">
        <v>25</v>
      </c>
      <c r="E1950" s="36">
        <v>44936</v>
      </c>
      <c r="F1950" s="36">
        <v>44958</v>
      </c>
      <c r="G1950" s="38">
        <f t="shared" si="30"/>
        <v>22</v>
      </c>
      <c r="H1950" s="5">
        <v>44936</v>
      </c>
      <c r="I1950" s="5">
        <v>44958</v>
      </c>
      <c r="J1950" s="1" t="s">
        <v>26</v>
      </c>
      <c r="K1950" s="1" t="s">
        <v>4388</v>
      </c>
      <c r="L1950" s="1" t="s">
        <v>4384</v>
      </c>
      <c r="M1950" s="1" t="s">
        <v>4385</v>
      </c>
      <c r="N1950" s="1" t="s">
        <v>30</v>
      </c>
      <c r="O1950" s="1" t="s">
        <v>224</v>
      </c>
      <c r="Q1950" s="1" t="s">
        <v>4386</v>
      </c>
      <c r="R1950" s="1" t="s">
        <v>26</v>
      </c>
      <c r="S1950" s="1" t="s">
        <v>4389</v>
      </c>
      <c r="U1950" s="1" t="s">
        <v>130</v>
      </c>
      <c r="V1950" s="1" t="s">
        <v>279</v>
      </c>
      <c r="W1950" s="1" t="str">
        <f>VLOOKUP(Table1[[#This Row],[Obergruppe ATC-Code]],Tabelle3!$A$2:$B$100,2)</f>
        <v>IMMUNSUPPRESSIVA</v>
      </c>
      <c r="X1950" s="1" t="str">
        <f xml:space="preserve"> LEFT(Table1[[#This Row],[Atc Code]],3)</f>
        <v>L04</v>
      </c>
    </row>
    <row r="1951" spans="1:24" ht="14.4">
      <c r="A1951" s="14">
        <v>572</v>
      </c>
      <c r="B1951" s="24">
        <v>3633154</v>
      </c>
      <c r="C1951" s="1">
        <v>2126420</v>
      </c>
      <c r="D1951" s="1" t="s">
        <v>25</v>
      </c>
      <c r="E1951" s="36">
        <v>44949</v>
      </c>
      <c r="F1951" s="36">
        <v>45027</v>
      </c>
      <c r="G1951" s="38">
        <f t="shared" si="30"/>
        <v>78</v>
      </c>
      <c r="H1951" s="5">
        <v>44950</v>
      </c>
      <c r="I1951" s="5">
        <v>45028</v>
      </c>
      <c r="J1951" s="1" t="s">
        <v>26</v>
      </c>
      <c r="K1951" s="1" t="s">
        <v>4390</v>
      </c>
      <c r="L1951" s="1" t="s">
        <v>4384</v>
      </c>
      <c r="M1951" s="1" t="s">
        <v>4385</v>
      </c>
      <c r="N1951" s="1" t="s">
        <v>38</v>
      </c>
      <c r="O1951" s="1" t="s">
        <v>224</v>
      </c>
      <c r="Q1951" s="1" t="s">
        <v>4386</v>
      </c>
      <c r="R1951" s="1" t="s">
        <v>26</v>
      </c>
      <c r="S1951" s="1" t="s">
        <v>4391</v>
      </c>
      <c r="U1951" s="1" t="s">
        <v>130</v>
      </c>
      <c r="V1951" s="1" t="s">
        <v>604</v>
      </c>
      <c r="W1951" s="1" t="str">
        <f>VLOOKUP(Table1[[#This Row],[Obergruppe ATC-Code]],Tabelle3!$A$2:$B$100,2)</f>
        <v>IMMUNSUPPRESSIVA</v>
      </c>
      <c r="X1951" s="1" t="str">
        <f xml:space="preserve"> LEFT(Table1[[#This Row],[Atc Code]],3)</f>
        <v>L04</v>
      </c>
    </row>
    <row r="1952" spans="1:24" ht="14.4">
      <c r="A1952" s="14">
        <v>2509</v>
      </c>
      <c r="B1952" s="24" t="s">
        <v>4392</v>
      </c>
      <c r="C1952" s="1">
        <v>2182702</v>
      </c>
      <c r="D1952" s="1" t="s">
        <v>25</v>
      </c>
      <c r="E1952" s="36">
        <v>44487</v>
      </c>
      <c r="F1952" s="36">
        <v>44651</v>
      </c>
      <c r="G1952" s="38">
        <f t="shared" si="30"/>
        <v>164</v>
      </c>
      <c r="H1952" s="5">
        <v>44495</v>
      </c>
      <c r="I1952" s="5">
        <v>44651</v>
      </c>
      <c r="J1952" s="1" t="s">
        <v>41</v>
      </c>
      <c r="K1952" s="1" t="s">
        <v>4393</v>
      </c>
      <c r="L1952" s="1" t="s">
        <v>4394</v>
      </c>
      <c r="M1952" s="1" t="s">
        <v>4395</v>
      </c>
      <c r="N1952" s="1" t="s">
        <v>38</v>
      </c>
      <c r="O1952" s="1" t="s">
        <v>110</v>
      </c>
      <c r="Q1952" s="1" t="s">
        <v>112</v>
      </c>
      <c r="R1952" s="1" t="s">
        <v>128</v>
      </c>
      <c r="S1952" s="1"/>
      <c r="U1952" s="1" t="s">
        <v>130</v>
      </c>
      <c r="V1952" s="1" t="s">
        <v>262</v>
      </c>
      <c r="W1952" s="1" t="str">
        <f>VLOOKUP(Table1[[#This Row],[Obergruppe ATC-Code]],Tabelle3!$A$2:$B$100,2)</f>
        <v>IMMUNSUPPRESSIVA</v>
      </c>
      <c r="X1952" s="1" t="str">
        <f xml:space="preserve"> LEFT(Table1[[#This Row],[Atc Code]],3)</f>
        <v>L04</v>
      </c>
    </row>
    <row r="1953" spans="1:24" ht="14.4">
      <c r="A1953" s="14">
        <v>2508</v>
      </c>
      <c r="B1953" s="24" t="s">
        <v>4396</v>
      </c>
      <c r="C1953" s="1">
        <v>2182701</v>
      </c>
      <c r="D1953" s="1" t="s">
        <v>25</v>
      </c>
      <c r="E1953" s="36">
        <v>44574</v>
      </c>
      <c r="F1953" s="36">
        <v>44651</v>
      </c>
      <c r="G1953" s="38">
        <f t="shared" si="30"/>
        <v>77</v>
      </c>
      <c r="H1953" s="5">
        <v>44574</v>
      </c>
      <c r="I1953" s="5">
        <v>44651</v>
      </c>
      <c r="J1953" s="1" t="s">
        <v>26</v>
      </c>
      <c r="K1953" s="1" t="s">
        <v>4397</v>
      </c>
      <c r="L1953" s="1" t="s">
        <v>4394</v>
      </c>
      <c r="M1953" s="1" t="s">
        <v>4395</v>
      </c>
      <c r="N1953" s="1" t="s">
        <v>38</v>
      </c>
      <c r="O1953" s="1" t="s">
        <v>110</v>
      </c>
      <c r="Q1953" s="1" t="s">
        <v>112</v>
      </c>
      <c r="R1953" s="1" t="s">
        <v>26</v>
      </c>
      <c r="S1953" s="1" t="s">
        <v>647</v>
      </c>
      <c r="U1953" s="1" t="s">
        <v>130</v>
      </c>
      <c r="V1953" s="1" t="s">
        <v>262</v>
      </c>
      <c r="W1953" s="1" t="str">
        <f>VLOOKUP(Table1[[#This Row],[Obergruppe ATC-Code]],Tabelle3!$A$2:$B$100,2)</f>
        <v>IMMUNSUPPRESSIVA</v>
      </c>
      <c r="X1953" s="1" t="str">
        <f xml:space="preserve"> LEFT(Table1[[#This Row],[Atc Code]],3)</f>
        <v>L04</v>
      </c>
    </row>
    <row r="1954" spans="1:24" ht="14.4">
      <c r="A1954" s="14">
        <v>2510</v>
      </c>
      <c r="B1954" s="24" t="s">
        <v>4398</v>
      </c>
      <c r="C1954" s="1">
        <v>2182703</v>
      </c>
      <c r="D1954" s="1" t="s">
        <v>25</v>
      </c>
      <c r="E1954" s="36">
        <v>44495</v>
      </c>
      <c r="F1954" s="36">
        <v>44664</v>
      </c>
      <c r="G1954" s="38">
        <f t="shared" si="30"/>
        <v>169</v>
      </c>
      <c r="H1954" s="5">
        <v>44495</v>
      </c>
      <c r="I1954" s="5">
        <v>44664</v>
      </c>
      <c r="J1954" s="1" t="s">
        <v>41</v>
      </c>
      <c r="K1954" s="1" t="s">
        <v>4399</v>
      </c>
      <c r="L1954" s="1" t="s">
        <v>4394</v>
      </c>
      <c r="M1954" s="1" t="s">
        <v>4395</v>
      </c>
      <c r="N1954" s="1" t="s">
        <v>38</v>
      </c>
      <c r="O1954" s="1" t="s">
        <v>110</v>
      </c>
      <c r="Q1954" s="1" t="s">
        <v>112</v>
      </c>
      <c r="R1954" s="1" t="s">
        <v>128</v>
      </c>
      <c r="S1954" s="1" t="s">
        <v>4400</v>
      </c>
      <c r="U1954" s="1" t="s">
        <v>130</v>
      </c>
      <c r="V1954" s="1" t="s">
        <v>262</v>
      </c>
      <c r="W1954" s="1" t="str">
        <f>VLOOKUP(Table1[[#This Row],[Obergruppe ATC-Code]],Tabelle3!$A$2:$B$100,2)</f>
        <v>IMMUNSUPPRESSIVA</v>
      </c>
      <c r="X1954" s="1" t="str">
        <f xml:space="preserve"> LEFT(Table1[[#This Row],[Atc Code]],3)</f>
        <v>L04</v>
      </c>
    </row>
    <row r="1955" spans="1:24" ht="14.4">
      <c r="A1955" s="14">
        <v>2864</v>
      </c>
      <c r="B1955" s="24" t="s">
        <v>4401</v>
      </c>
      <c r="C1955" s="1">
        <v>2202612</v>
      </c>
      <c r="D1955" s="1" t="s">
        <v>102</v>
      </c>
      <c r="E1955" s="36">
        <v>45142</v>
      </c>
      <c r="F1955" s="36">
        <v>45236</v>
      </c>
      <c r="G1955" s="38">
        <f t="shared" si="30"/>
        <v>94</v>
      </c>
      <c r="H1955" s="5">
        <v>45142</v>
      </c>
      <c r="I1955" s="5">
        <v>45200</v>
      </c>
      <c r="J1955" s="1" t="s">
        <v>41</v>
      </c>
      <c r="K1955" s="1" t="s">
        <v>4402</v>
      </c>
      <c r="L1955" s="1" t="s">
        <v>4394</v>
      </c>
      <c r="M1955" s="1" t="s">
        <v>2101</v>
      </c>
      <c r="N1955" s="1" t="s">
        <v>30</v>
      </c>
      <c r="O1955" s="1" t="s">
        <v>91</v>
      </c>
      <c r="Q1955" s="1" t="s">
        <v>93</v>
      </c>
      <c r="R1955" s="1" t="s">
        <v>26</v>
      </c>
      <c r="S1955" s="1"/>
      <c r="U1955" s="1" t="s">
        <v>130</v>
      </c>
      <c r="V1955" s="1" t="s">
        <v>199</v>
      </c>
      <c r="W1955" s="1" t="str">
        <f>VLOOKUP(Table1[[#This Row],[Obergruppe ATC-Code]],Tabelle3!$A$2:$B$100,2)</f>
        <v>IMMUNSUPPRESSIVA</v>
      </c>
      <c r="X1955" s="1" t="str">
        <f xml:space="preserve"> LEFT(Table1[[#This Row],[Atc Code]],3)</f>
        <v>L04</v>
      </c>
    </row>
    <row r="1956" spans="1:24" ht="14.4">
      <c r="A1956" s="14">
        <v>2865</v>
      </c>
      <c r="B1956" s="24" t="s">
        <v>4403</v>
      </c>
      <c r="C1956" s="1">
        <v>2202609</v>
      </c>
      <c r="D1956" s="1" t="s">
        <v>175</v>
      </c>
      <c r="E1956" s="36">
        <v>45205</v>
      </c>
      <c r="F1956" s="36">
        <v>45225</v>
      </c>
      <c r="G1956" s="38">
        <f t="shared" si="30"/>
        <v>20</v>
      </c>
      <c r="H1956" s="5">
        <v>45205</v>
      </c>
      <c r="I1956" s="5">
        <v>45205</v>
      </c>
      <c r="J1956" s="1" t="s">
        <v>26</v>
      </c>
      <c r="K1956" s="1" t="s">
        <v>4404</v>
      </c>
      <c r="L1956" s="1" t="s">
        <v>4394</v>
      </c>
      <c r="M1956" s="1" t="s">
        <v>2101</v>
      </c>
      <c r="N1956" s="1" t="s">
        <v>38</v>
      </c>
      <c r="O1956" s="1" t="s">
        <v>91</v>
      </c>
      <c r="Q1956" s="1" t="s">
        <v>93</v>
      </c>
      <c r="R1956" s="1" t="s">
        <v>26</v>
      </c>
      <c r="S1956" s="1"/>
      <c r="U1956" s="1" t="s">
        <v>130</v>
      </c>
      <c r="V1956" s="1" t="s">
        <v>199</v>
      </c>
      <c r="W1956" s="1" t="str">
        <f>VLOOKUP(Table1[[#This Row],[Obergruppe ATC-Code]],Tabelle3!$A$2:$B$100,2)</f>
        <v>IMMUNSUPPRESSIVA</v>
      </c>
      <c r="X1956" s="1" t="str">
        <f xml:space="preserve"> LEFT(Table1[[#This Row],[Atc Code]],3)</f>
        <v>L04</v>
      </c>
    </row>
    <row r="1957" spans="1:24" ht="14.4">
      <c r="A1957" s="14">
        <v>2862</v>
      </c>
      <c r="B1957" s="24" t="s">
        <v>4405</v>
      </c>
      <c r="C1957" s="1">
        <v>2202613</v>
      </c>
      <c r="D1957" s="1" t="s">
        <v>175</v>
      </c>
      <c r="E1957" s="36">
        <v>45205</v>
      </c>
      <c r="F1957" s="36">
        <v>45224</v>
      </c>
      <c r="G1957" s="38">
        <f t="shared" si="30"/>
        <v>19</v>
      </c>
      <c r="H1957" s="5">
        <v>45205</v>
      </c>
      <c r="I1957" s="5">
        <v>45205</v>
      </c>
      <c r="J1957" s="1" t="s">
        <v>26</v>
      </c>
      <c r="K1957" s="1" t="s">
        <v>4406</v>
      </c>
      <c r="L1957" s="1" t="s">
        <v>4394</v>
      </c>
      <c r="M1957" s="1" t="s">
        <v>2101</v>
      </c>
      <c r="N1957" s="1" t="s">
        <v>38</v>
      </c>
      <c r="O1957" s="1" t="s">
        <v>91</v>
      </c>
      <c r="Q1957" s="1" t="s">
        <v>93</v>
      </c>
      <c r="R1957" s="1" t="s">
        <v>26</v>
      </c>
      <c r="S1957" s="1"/>
      <c r="U1957" s="1" t="s">
        <v>130</v>
      </c>
      <c r="V1957" s="1" t="s">
        <v>199</v>
      </c>
      <c r="W1957" s="1" t="str">
        <f>VLOOKUP(Table1[[#This Row],[Obergruppe ATC-Code]],Tabelle3!$A$2:$B$100,2)</f>
        <v>IMMUNSUPPRESSIVA</v>
      </c>
      <c r="X1957" s="1" t="str">
        <f xml:space="preserve"> LEFT(Table1[[#This Row],[Atc Code]],3)</f>
        <v>L04</v>
      </c>
    </row>
    <row r="1958" spans="1:24" ht="14.4">
      <c r="A1958" s="14">
        <v>269</v>
      </c>
      <c r="B1958" s="24">
        <v>1555214</v>
      </c>
      <c r="C1958" s="1">
        <v>101758</v>
      </c>
      <c r="D1958" s="1" t="s">
        <v>25</v>
      </c>
      <c r="E1958" s="36">
        <v>42826</v>
      </c>
      <c r="F1958" s="36">
        <v>42886</v>
      </c>
      <c r="G1958" s="38">
        <f t="shared" si="30"/>
        <v>60</v>
      </c>
      <c r="H1958" s="5">
        <v>42853</v>
      </c>
      <c r="I1958" s="5">
        <v>42872</v>
      </c>
      <c r="J1958" s="1" t="s">
        <v>41</v>
      </c>
      <c r="K1958" s="1" t="s">
        <v>4407</v>
      </c>
      <c r="L1958" s="1" t="s">
        <v>4408</v>
      </c>
      <c r="M1958" s="1" t="s">
        <v>4409</v>
      </c>
      <c r="N1958" s="1" t="s">
        <v>30</v>
      </c>
      <c r="O1958" s="1" t="s">
        <v>818</v>
      </c>
      <c r="P1958" s="1" t="s">
        <v>3776</v>
      </c>
      <c r="Q1958" s="1" t="s">
        <v>647</v>
      </c>
      <c r="R1958" s="1" t="s">
        <v>26</v>
      </c>
      <c r="S1958" s="1"/>
      <c r="U1958" s="1" t="s">
        <v>35</v>
      </c>
      <c r="V1958" s="1" t="s">
        <v>787</v>
      </c>
      <c r="W1958" s="1" t="str">
        <f>VLOOKUP(Table1[[#This Row],[Obergruppe ATC-Code]],Tabelle3!$A$2:$B$100,2)</f>
        <v>IMMUNSUPPRESSIVA</v>
      </c>
      <c r="X1958" s="1" t="str">
        <f xml:space="preserve"> LEFT(Table1[[#This Row],[Atc Code]],3)</f>
        <v>L04</v>
      </c>
    </row>
    <row r="1959" spans="1:24" ht="14.4">
      <c r="A1959" s="14">
        <v>268</v>
      </c>
      <c r="B1959" s="24">
        <v>1555214</v>
      </c>
      <c r="C1959" s="1">
        <v>101758</v>
      </c>
      <c r="D1959" s="1" t="s">
        <v>25</v>
      </c>
      <c r="E1959" s="36">
        <v>43313</v>
      </c>
      <c r="F1959" s="36">
        <v>43496</v>
      </c>
      <c r="G1959" s="38">
        <f t="shared" si="30"/>
        <v>183</v>
      </c>
      <c r="H1959" s="5">
        <v>43319</v>
      </c>
      <c r="I1959" s="5">
        <v>43472</v>
      </c>
      <c r="J1959" s="1" t="s">
        <v>41</v>
      </c>
      <c r="K1959" s="1" t="s">
        <v>4407</v>
      </c>
      <c r="L1959" s="1" t="s">
        <v>4408</v>
      </c>
      <c r="M1959" s="1" t="s">
        <v>4409</v>
      </c>
      <c r="N1959" s="1" t="s">
        <v>30</v>
      </c>
      <c r="O1959" s="1" t="s">
        <v>818</v>
      </c>
      <c r="P1959" s="1" t="s">
        <v>819</v>
      </c>
      <c r="Q1959" s="1" t="s">
        <v>820</v>
      </c>
      <c r="R1959" s="1" t="s">
        <v>65</v>
      </c>
      <c r="S1959" s="1"/>
      <c r="U1959" s="1" t="s">
        <v>35</v>
      </c>
      <c r="V1959" s="1" t="s">
        <v>787</v>
      </c>
      <c r="W1959" s="1" t="str">
        <f>VLOOKUP(Table1[[#This Row],[Obergruppe ATC-Code]],Tabelle3!$A$2:$B$100,2)</f>
        <v>IMMUNSUPPRESSIVA</v>
      </c>
      <c r="X1959" s="1" t="str">
        <f xml:space="preserve"> LEFT(Table1[[#This Row],[Atc Code]],3)</f>
        <v>L04</v>
      </c>
    </row>
    <row r="1960" spans="1:24" ht="14.4">
      <c r="A1960" s="14">
        <v>2328</v>
      </c>
      <c r="B1960" s="24" t="s">
        <v>4410</v>
      </c>
      <c r="C1960" s="1">
        <v>2176504</v>
      </c>
      <c r="D1960" s="1" t="s">
        <v>25</v>
      </c>
      <c r="E1960" s="36">
        <v>44851</v>
      </c>
      <c r="F1960" s="36">
        <v>44960</v>
      </c>
      <c r="G1960" s="38">
        <f t="shared" si="30"/>
        <v>109</v>
      </c>
      <c r="H1960" s="5">
        <v>44851</v>
      </c>
      <c r="I1960" s="5">
        <v>44963</v>
      </c>
      <c r="J1960" s="1" t="s">
        <v>26</v>
      </c>
      <c r="K1960" s="1" t="s">
        <v>4411</v>
      </c>
      <c r="L1960" s="1" t="s">
        <v>4408</v>
      </c>
      <c r="M1960" s="1" t="s">
        <v>4412</v>
      </c>
      <c r="N1960" s="1" t="s">
        <v>38</v>
      </c>
      <c r="O1960" s="1" t="s">
        <v>91</v>
      </c>
      <c r="Q1960" s="1" t="s">
        <v>93</v>
      </c>
      <c r="R1960" s="1" t="s">
        <v>113</v>
      </c>
      <c r="S1960" s="1"/>
      <c r="U1960" s="1" t="s">
        <v>130</v>
      </c>
      <c r="V1960" s="1" t="s">
        <v>99</v>
      </c>
      <c r="W1960" s="1" t="str">
        <f>VLOOKUP(Table1[[#This Row],[Obergruppe ATC-Code]],Tabelle3!$A$2:$B$100,2)</f>
        <v>IMMUNSUPPRESSIVA</v>
      </c>
      <c r="X1960" s="1" t="str">
        <f xml:space="preserve"> LEFT(Table1[[#This Row],[Atc Code]],3)</f>
        <v>L04</v>
      </c>
    </row>
    <row r="1961" spans="1:24" ht="14.4">
      <c r="A1961" s="14">
        <v>1567</v>
      </c>
      <c r="B1961" s="24">
        <v>16880629</v>
      </c>
      <c r="C1961" s="1">
        <v>2704336</v>
      </c>
      <c r="D1961" s="1" t="s">
        <v>25</v>
      </c>
      <c r="E1961" s="36">
        <v>44827</v>
      </c>
      <c r="F1961" s="36">
        <v>44865</v>
      </c>
      <c r="G1961" s="38">
        <f t="shared" si="30"/>
        <v>38</v>
      </c>
      <c r="H1961" s="5">
        <v>44826</v>
      </c>
      <c r="I1961" s="5">
        <v>44865</v>
      </c>
      <c r="J1961" s="1" t="s">
        <v>26</v>
      </c>
      <c r="K1961" s="1" t="s">
        <v>4413</v>
      </c>
      <c r="L1961" s="1" t="s">
        <v>4414</v>
      </c>
      <c r="M1961" s="1" t="s">
        <v>4415</v>
      </c>
      <c r="N1961" s="1" t="s">
        <v>38</v>
      </c>
      <c r="O1961" s="1" t="s">
        <v>4416</v>
      </c>
      <c r="Q1961" s="1" t="s">
        <v>3438</v>
      </c>
      <c r="R1961" s="1" t="s">
        <v>113</v>
      </c>
      <c r="S1961" s="1" t="s">
        <v>4417</v>
      </c>
      <c r="U1961" s="1" t="s">
        <v>130</v>
      </c>
      <c r="V1961" s="1" t="s">
        <v>262</v>
      </c>
      <c r="W1961" s="1" t="str">
        <f>VLOOKUP(Table1[[#This Row],[Obergruppe ATC-Code]],Tabelle3!$A$2:$B$100,2)</f>
        <v>IMMUNSUPPRESSIVA</v>
      </c>
      <c r="X1961" s="1" t="str">
        <f xml:space="preserve"> LEFT(Table1[[#This Row],[Atc Code]],3)</f>
        <v>L04</v>
      </c>
    </row>
    <row r="1962" spans="1:24" ht="14.4">
      <c r="A1962" s="14">
        <v>2732</v>
      </c>
      <c r="B1962" s="24" t="s">
        <v>4418</v>
      </c>
      <c r="C1962" s="1">
        <v>2718297</v>
      </c>
      <c r="D1962" s="1" t="s">
        <v>25</v>
      </c>
      <c r="E1962" s="36">
        <v>42979</v>
      </c>
      <c r="F1962" s="36">
        <v>43039</v>
      </c>
      <c r="G1962" s="38">
        <f t="shared" si="30"/>
        <v>60</v>
      </c>
      <c r="H1962" s="5">
        <v>42990</v>
      </c>
      <c r="I1962" s="5">
        <v>43021</v>
      </c>
      <c r="J1962" s="1" t="s">
        <v>26</v>
      </c>
      <c r="K1962" s="1" t="s">
        <v>4419</v>
      </c>
      <c r="L1962" s="1" t="s">
        <v>4420</v>
      </c>
      <c r="M1962" s="1" t="s">
        <v>4421</v>
      </c>
      <c r="N1962" s="1" t="s">
        <v>30</v>
      </c>
      <c r="O1962" s="1" t="s">
        <v>3682</v>
      </c>
      <c r="P1962" s="1" t="s">
        <v>4422</v>
      </c>
      <c r="Q1962" s="1" t="s">
        <v>4423</v>
      </c>
      <c r="R1962" s="1" t="s">
        <v>33</v>
      </c>
      <c r="S1962" s="1"/>
      <c r="T1962" s="1" t="s">
        <v>4424</v>
      </c>
      <c r="U1962" s="1" t="s">
        <v>57</v>
      </c>
      <c r="V1962" s="1" t="s">
        <v>99</v>
      </c>
      <c r="W1962" s="1" t="str">
        <f>VLOOKUP(Table1[[#This Row],[Obergruppe ATC-Code]],Tabelle3!$A$2:$B$100,2)</f>
        <v>IMMUNSUPPRESSIVA</v>
      </c>
      <c r="X1962" s="1" t="str">
        <f xml:space="preserve"> LEFT(Table1[[#This Row],[Atc Code]],3)</f>
        <v>L04</v>
      </c>
    </row>
    <row r="1963" spans="1:24" ht="14.4">
      <c r="A1963" s="14">
        <v>2908</v>
      </c>
      <c r="B1963" s="24" t="s">
        <v>4425</v>
      </c>
      <c r="C1963" s="1">
        <v>7005873</v>
      </c>
      <c r="D1963" s="1" t="s">
        <v>102</v>
      </c>
      <c r="E1963" s="36">
        <v>45077</v>
      </c>
      <c r="F1963" s="36">
        <v>45291</v>
      </c>
      <c r="G1963" s="38">
        <f t="shared" si="30"/>
        <v>214</v>
      </c>
      <c r="H1963" s="5">
        <v>45077</v>
      </c>
      <c r="I1963" s="5">
        <v>45167</v>
      </c>
      <c r="J1963" s="1" t="s">
        <v>26</v>
      </c>
      <c r="K1963" s="1" t="s">
        <v>4426</v>
      </c>
      <c r="L1963" s="1" t="s">
        <v>4427</v>
      </c>
      <c r="M1963" s="1" t="s">
        <v>4428</v>
      </c>
      <c r="N1963" s="1" t="s">
        <v>38</v>
      </c>
      <c r="O1963" s="1" t="s">
        <v>110</v>
      </c>
      <c r="P1963" s="1">
        <v>49733396510</v>
      </c>
      <c r="Q1963" s="1" t="s">
        <v>1141</v>
      </c>
      <c r="R1963" s="1" t="s">
        <v>113</v>
      </c>
      <c r="S1963" s="1"/>
      <c r="U1963" s="1" t="s">
        <v>130</v>
      </c>
      <c r="V1963" s="1" t="s">
        <v>158</v>
      </c>
      <c r="W1963" s="1" t="str">
        <f>VLOOKUP(Table1[[#This Row],[Obergruppe ATC-Code]],Tabelle3!$A$2:$B$100,2)</f>
        <v>IMMUNSUPPRESSIVA</v>
      </c>
      <c r="X1963" s="1" t="str">
        <f xml:space="preserve"> LEFT(Table1[[#This Row],[Atc Code]],3)</f>
        <v>L04</v>
      </c>
    </row>
    <row r="1964" spans="1:24" ht="14.4">
      <c r="A1964" s="14">
        <v>1625</v>
      </c>
      <c r="B1964" s="24">
        <v>18155507</v>
      </c>
      <c r="C1964" s="1">
        <v>7005872</v>
      </c>
      <c r="D1964" s="1" t="s">
        <v>102</v>
      </c>
      <c r="E1964" s="36">
        <v>45077</v>
      </c>
      <c r="F1964" s="36">
        <v>45291</v>
      </c>
      <c r="G1964" s="38">
        <f t="shared" si="30"/>
        <v>214</v>
      </c>
      <c r="H1964" s="5">
        <v>45077</v>
      </c>
      <c r="I1964" s="5">
        <v>45167</v>
      </c>
      <c r="J1964" s="1" t="s">
        <v>26</v>
      </c>
      <c r="K1964" s="1" t="s">
        <v>4429</v>
      </c>
      <c r="L1964" s="1" t="s">
        <v>4427</v>
      </c>
      <c r="M1964" s="1" t="s">
        <v>4428</v>
      </c>
      <c r="N1964" s="1" t="s">
        <v>38</v>
      </c>
      <c r="O1964" s="1" t="s">
        <v>110</v>
      </c>
      <c r="P1964" s="1">
        <v>49733396510</v>
      </c>
      <c r="Q1964" s="1" t="s">
        <v>1141</v>
      </c>
      <c r="R1964" s="1" t="s">
        <v>113</v>
      </c>
      <c r="S1964" s="1"/>
      <c r="U1964" s="1" t="s">
        <v>130</v>
      </c>
      <c r="V1964" s="1" t="s">
        <v>158</v>
      </c>
      <c r="W1964" s="1" t="str">
        <f>VLOOKUP(Table1[[#This Row],[Obergruppe ATC-Code]],Tabelle3!$A$2:$B$100,2)</f>
        <v>IMMUNSUPPRESSIVA</v>
      </c>
      <c r="X1964" s="1" t="str">
        <f xml:space="preserve"> LEFT(Table1[[#This Row],[Atc Code]],3)</f>
        <v>L04</v>
      </c>
    </row>
    <row r="1965" spans="1:24" ht="14.4">
      <c r="A1965" s="14">
        <v>1753</v>
      </c>
      <c r="B1965" s="24" t="s">
        <v>4430</v>
      </c>
      <c r="C1965" s="1">
        <v>2163073</v>
      </c>
      <c r="D1965" s="1" t="s">
        <v>175</v>
      </c>
      <c r="E1965" s="36">
        <v>44930</v>
      </c>
      <c r="F1965" s="36">
        <v>45230</v>
      </c>
      <c r="G1965" s="38">
        <f t="shared" si="30"/>
        <v>300</v>
      </c>
      <c r="H1965" s="5">
        <v>44930</v>
      </c>
      <c r="I1965" s="5">
        <v>44930</v>
      </c>
      <c r="J1965" s="1" t="s">
        <v>41</v>
      </c>
      <c r="K1965" s="1" t="s">
        <v>4431</v>
      </c>
      <c r="L1965" s="1" t="s">
        <v>4432</v>
      </c>
      <c r="M1965" s="1" t="s">
        <v>4433</v>
      </c>
      <c r="N1965" s="1" t="s">
        <v>38</v>
      </c>
      <c r="O1965" s="1" t="s">
        <v>52</v>
      </c>
      <c r="Q1965" s="1" t="s">
        <v>54</v>
      </c>
      <c r="R1965" s="1" t="s">
        <v>128</v>
      </c>
      <c r="S1965" s="1"/>
      <c r="U1965" s="1" t="s">
        <v>35</v>
      </c>
      <c r="V1965" s="1" t="s">
        <v>49</v>
      </c>
      <c r="W1965" s="1" t="str">
        <f>VLOOKUP(Table1[[#This Row],[Obergruppe ATC-Code]],Tabelle3!$A$2:$B$100,2)</f>
        <v>ANTIPHLOGISTIKA UND ANTIRHEUMATIKA</v>
      </c>
      <c r="X1965" s="1" t="str">
        <f xml:space="preserve"> LEFT(Table1[[#This Row],[Atc Code]],3)</f>
        <v>M01</v>
      </c>
    </row>
    <row r="1966" spans="1:24" ht="14.4">
      <c r="A1966" s="14">
        <v>1752</v>
      </c>
      <c r="B1966" s="24" t="s">
        <v>4434</v>
      </c>
      <c r="C1966" s="1">
        <v>2163072</v>
      </c>
      <c r="D1966" s="1" t="s">
        <v>175</v>
      </c>
      <c r="E1966" s="36">
        <v>44930</v>
      </c>
      <c r="F1966" s="36">
        <v>45230</v>
      </c>
      <c r="G1966" s="38">
        <f t="shared" si="30"/>
        <v>300</v>
      </c>
      <c r="H1966" s="5">
        <v>44930</v>
      </c>
      <c r="I1966" s="5">
        <v>44930</v>
      </c>
      <c r="J1966" s="1" t="s">
        <v>41</v>
      </c>
      <c r="K1966" s="1" t="s">
        <v>4435</v>
      </c>
      <c r="L1966" s="1" t="s">
        <v>4432</v>
      </c>
      <c r="M1966" s="1" t="s">
        <v>4433</v>
      </c>
      <c r="N1966" s="1" t="s">
        <v>38</v>
      </c>
      <c r="O1966" s="1" t="s">
        <v>52</v>
      </c>
      <c r="Q1966" s="1" t="s">
        <v>54</v>
      </c>
      <c r="R1966" s="1" t="s">
        <v>128</v>
      </c>
      <c r="S1966" s="1"/>
      <c r="U1966" s="1" t="s">
        <v>130</v>
      </c>
      <c r="V1966" s="1" t="s">
        <v>49</v>
      </c>
      <c r="W1966" s="1" t="str">
        <f>VLOOKUP(Table1[[#This Row],[Obergruppe ATC-Code]],Tabelle3!$A$2:$B$100,2)</f>
        <v>ANTIPHLOGISTIKA UND ANTIRHEUMATIKA</v>
      </c>
      <c r="X1966" s="1" t="str">
        <f xml:space="preserve"> LEFT(Table1[[#This Row],[Atc Code]],3)</f>
        <v>M01</v>
      </c>
    </row>
    <row r="1967" spans="1:24" ht="14.4">
      <c r="A1967" s="14">
        <v>1823</v>
      </c>
      <c r="B1967" s="24" t="s">
        <v>4436</v>
      </c>
      <c r="C1967" s="1">
        <v>2162507</v>
      </c>
      <c r="D1967" s="1" t="s">
        <v>25</v>
      </c>
      <c r="E1967" s="36">
        <v>44928</v>
      </c>
      <c r="F1967" s="36">
        <v>45134</v>
      </c>
      <c r="G1967" s="38">
        <f t="shared" si="30"/>
        <v>206</v>
      </c>
      <c r="H1967" s="5">
        <v>44930</v>
      </c>
      <c r="I1967" s="5">
        <v>45174</v>
      </c>
      <c r="J1967" s="1" t="s">
        <v>26</v>
      </c>
      <c r="K1967" s="1" t="s">
        <v>4437</v>
      </c>
      <c r="L1967" s="1" t="s">
        <v>4432</v>
      </c>
      <c r="M1967" s="1" t="s">
        <v>4433</v>
      </c>
      <c r="N1967" s="1" t="s">
        <v>38</v>
      </c>
      <c r="O1967" s="1" t="s">
        <v>110</v>
      </c>
      <c r="P1967" s="1">
        <v>49733396510</v>
      </c>
      <c r="Q1967" s="1" t="s">
        <v>1141</v>
      </c>
      <c r="R1967" s="1" t="s">
        <v>113</v>
      </c>
      <c r="S1967" s="1" t="s">
        <v>4438</v>
      </c>
      <c r="U1967" s="1" t="s">
        <v>130</v>
      </c>
      <c r="V1967" s="1" t="s">
        <v>49</v>
      </c>
      <c r="W1967" s="1" t="str">
        <f>VLOOKUP(Table1[[#This Row],[Obergruppe ATC-Code]],Tabelle3!$A$2:$B$100,2)</f>
        <v>ANTIPHLOGISTIKA UND ANTIRHEUMATIKA</v>
      </c>
      <c r="X1967" s="1" t="str">
        <f xml:space="preserve"> LEFT(Table1[[#This Row],[Atc Code]],3)</f>
        <v>M01</v>
      </c>
    </row>
    <row r="1968" spans="1:24" ht="14.4">
      <c r="A1968" s="14">
        <v>1822</v>
      </c>
      <c r="B1968" s="24" t="s">
        <v>4439</v>
      </c>
      <c r="C1968" s="1">
        <v>2162506</v>
      </c>
      <c r="D1968" s="1" t="s">
        <v>25</v>
      </c>
      <c r="E1968" s="36">
        <v>44928</v>
      </c>
      <c r="F1968" s="36">
        <v>45134</v>
      </c>
      <c r="G1968" s="38">
        <f t="shared" si="30"/>
        <v>206</v>
      </c>
      <c r="H1968" s="5">
        <v>44930</v>
      </c>
      <c r="I1968" s="5">
        <v>45174</v>
      </c>
      <c r="J1968" s="1" t="s">
        <v>26</v>
      </c>
      <c r="K1968" s="1" t="s">
        <v>4440</v>
      </c>
      <c r="L1968" s="1" t="s">
        <v>4432</v>
      </c>
      <c r="M1968" s="1" t="s">
        <v>4433</v>
      </c>
      <c r="N1968" s="1" t="s">
        <v>38</v>
      </c>
      <c r="O1968" s="1" t="s">
        <v>110</v>
      </c>
      <c r="P1968" s="1">
        <v>49733396510</v>
      </c>
      <c r="Q1968" s="1" t="s">
        <v>1141</v>
      </c>
      <c r="R1968" s="1" t="s">
        <v>113</v>
      </c>
      <c r="S1968" s="1" t="s">
        <v>4438</v>
      </c>
      <c r="U1968" s="1" t="s">
        <v>130</v>
      </c>
      <c r="V1968" s="1" t="s">
        <v>49</v>
      </c>
      <c r="W1968" s="1" t="str">
        <f>VLOOKUP(Table1[[#This Row],[Obergruppe ATC-Code]],Tabelle3!$A$2:$B$100,2)</f>
        <v>ANTIPHLOGISTIKA UND ANTIRHEUMATIKA</v>
      </c>
      <c r="X1968" s="1" t="str">
        <f xml:space="preserve"> LEFT(Table1[[#This Row],[Atc Code]],3)</f>
        <v>M01</v>
      </c>
    </row>
    <row r="1969" spans="1:24" ht="14.4">
      <c r="A1969" s="14">
        <v>768</v>
      </c>
      <c r="B1969" s="25">
        <v>5904930</v>
      </c>
      <c r="C1969" s="1">
        <v>2117642</v>
      </c>
      <c r="D1969" s="1" t="s">
        <v>25</v>
      </c>
      <c r="E1969" s="36">
        <v>43313</v>
      </c>
      <c r="F1969" s="36">
        <v>43404</v>
      </c>
      <c r="G1969" s="38">
        <f t="shared" si="30"/>
        <v>91</v>
      </c>
      <c r="H1969" s="5">
        <v>43279</v>
      </c>
      <c r="I1969" s="5">
        <v>43390</v>
      </c>
      <c r="J1969" s="1" t="s">
        <v>41</v>
      </c>
      <c r="K1969" s="1" t="s">
        <v>4441</v>
      </c>
      <c r="L1969" s="1" t="s">
        <v>4442</v>
      </c>
      <c r="M1969" s="1" t="s">
        <v>4443</v>
      </c>
      <c r="N1969" s="1" t="s">
        <v>30</v>
      </c>
      <c r="O1969" s="1" t="s">
        <v>110</v>
      </c>
      <c r="P1969" s="1" t="s">
        <v>111</v>
      </c>
      <c r="Q1969" s="1" t="s">
        <v>112</v>
      </c>
      <c r="R1969" s="1" t="s">
        <v>48</v>
      </c>
      <c r="S1969" s="1"/>
      <c r="U1969" s="1" t="s">
        <v>57</v>
      </c>
      <c r="V1969" s="1" t="s">
        <v>99</v>
      </c>
      <c r="W1969" s="1" t="str">
        <f>VLOOKUP(Table1[[#This Row],[Obergruppe ATC-Code]],Tabelle3!$A$2:$B$100,2)</f>
        <v>ANTIPHLOGISTIKA UND ANTIRHEUMATIKA</v>
      </c>
      <c r="X1969" s="1" t="str">
        <f xml:space="preserve"> LEFT(Table1[[#This Row],[Atc Code]],3)</f>
        <v>M01</v>
      </c>
    </row>
    <row r="1970" spans="1:24" ht="14.4">
      <c r="A1970" s="14">
        <v>2235</v>
      </c>
      <c r="B1970" s="24" t="s">
        <v>4444</v>
      </c>
      <c r="C1970" s="1">
        <v>2118462</v>
      </c>
      <c r="D1970" s="1" t="s">
        <v>25</v>
      </c>
      <c r="E1970" s="36">
        <v>43252</v>
      </c>
      <c r="F1970" s="36">
        <v>43404</v>
      </c>
      <c r="G1970" s="38">
        <f t="shared" si="30"/>
        <v>152</v>
      </c>
      <c r="H1970" s="5">
        <v>43279</v>
      </c>
      <c r="I1970" s="5">
        <v>43411</v>
      </c>
      <c r="J1970" s="1" t="s">
        <v>41</v>
      </c>
      <c r="K1970" s="1" t="s">
        <v>4445</v>
      </c>
      <c r="L1970" s="1" t="s">
        <v>4442</v>
      </c>
      <c r="M1970" s="1" t="s">
        <v>4443</v>
      </c>
      <c r="N1970" s="1" t="s">
        <v>30</v>
      </c>
      <c r="O1970" s="1" t="s">
        <v>110</v>
      </c>
      <c r="P1970" s="1" t="s">
        <v>111</v>
      </c>
      <c r="Q1970" s="1" t="s">
        <v>112</v>
      </c>
      <c r="R1970" s="1" t="s">
        <v>48</v>
      </c>
      <c r="S1970" s="1"/>
      <c r="U1970" s="1" t="s">
        <v>57</v>
      </c>
      <c r="V1970" s="1" t="s">
        <v>99</v>
      </c>
      <c r="W1970" s="1" t="str">
        <f>VLOOKUP(Table1[[#This Row],[Obergruppe ATC-Code]],Tabelle3!$A$2:$B$100,2)</f>
        <v>ANTIPHLOGISTIKA UND ANTIRHEUMATIKA</v>
      </c>
      <c r="X1970" s="1" t="str">
        <f xml:space="preserve"> LEFT(Table1[[#This Row],[Atc Code]],3)</f>
        <v>M01</v>
      </c>
    </row>
    <row r="1971" spans="1:24" ht="14.4">
      <c r="A1971" s="14">
        <v>2234</v>
      </c>
      <c r="B1971" s="24" t="s">
        <v>4444</v>
      </c>
      <c r="C1971" s="1">
        <v>2118462</v>
      </c>
      <c r="D1971" s="1" t="s">
        <v>25</v>
      </c>
      <c r="E1971" s="36">
        <v>43466</v>
      </c>
      <c r="F1971" s="36">
        <v>43646</v>
      </c>
      <c r="G1971" s="38">
        <f t="shared" si="30"/>
        <v>180</v>
      </c>
      <c r="H1971" s="5">
        <v>43487</v>
      </c>
      <c r="I1971" s="5">
        <v>43627</v>
      </c>
      <c r="J1971" s="1" t="s">
        <v>26</v>
      </c>
      <c r="K1971" s="1" t="s">
        <v>4445</v>
      </c>
      <c r="L1971" s="1" t="s">
        <v>4442</v>
      </c>
      <c r="M1971" s="1" t="s">
        <v>4443</v>
      </c>
      <c r="N1971" s="1" t="s">
        <v>30</v>
      </c>
      <c r="O1971" s="1" t="s">
        <v>110</v>
      </c>
      <c r="P1971" s="1" t="s">
        <v>111</v>
      </c>
      <c r="Q1971" s="1" t="s">
        <v>112</v>
      </c>
      <c r="R1971" s="1" t="s">
        <v>33</v>
      </c>
      <c r="S1971" s="1"/>
      <c r="U1971" s="1" t="s">
        <v>35</v>
      </c>
      <c r="V1971" s="1" t="s">
        <v>99</v>
      </c>
      <c r="W1971" s="1" t="str">
        <f>VLOOKUP(Table1[[#This Row],[Obergruppe ATC-Code]],Tabelle3!$A$2:$B$100,2)</f>
        <v>ANTIPHLOGISTIKA UND ANTIRHEUMATIKA</v>
      </c>
      <c r="X1971" s="1" t="str">
        <f xml:space="preserve"> LEFT(Table1[[#This Row],[Atc Code]],3)</f>
        <v>M01</v>
      </c>
    </row>
    <row r="1972" spans="1:24" ht="14.4">
      <c r="A1972" s="14">
        <v>767</v>
      </c>
      <c r="B1972" s="25">
        <v>5904930</v>
      </c>
      <c r="C1972" s="1">
        <v>2117642</v>
      </c>
      <c r="D1972" s="1" t="s">
        <v>25</v>
      </c>
      <c r="E1972" s="36">
        <v>43466</v>
      </c>
      <c r="F1972" s="36">
        <v>43646</v>
      </c>
      <c r="G1972" s="38">
        <f t="shared" si="30"/>
        <v>180</v>
      </c>
      <c r="H1972" s="5">
        <v>43487</v>
      </c>
      <c r="I1972" s="5">
        <v>43627</v>
      </c>
      <c r="J1972" s="1" t="s">
        <v>26</v>
      </c>
      <c r="K1972" s="1" t="s">
        <v>4441</v>
      </c>
      <c r="L1972" s="1" t="s">
        <v>4442</v>
      </c>
      <c r="M1972" s="1" t="s">
        <v>4443</v>
      </c>
      <c r="N1972" s="1" t="s">
        <v>30</v>
      </c>
      <c r="O1972" s="1" t="s">
        <v>110</v>
      </c>
      <c r="P1972" s="1" t="s">
        <v>111</v>
      </c>
      <c r="Q1972" s="1" t="s">
        <v>112</v>
      </c>
      <c r="R1972" s="1" t="s">
        <v>33</v>
      </c>
      <c r="S1972" s="1"/>
      <c r="U1972" s="1" t="s">
        <v>35</v>
      </c>
      <c r="V1972" s="1" t="s">
        <v>99</v>
      </c>
      <c r="W1972" s="1" t="str">
        <f>VLOOKUP(Table1[[#This Row],[Obergruppe ATC-Code]],Tabelle3!$A$2:$B$100,2)</f>
        <v>ANTIPHLOGISTIKA UND ANTIRHEUMATIKA</v>
      </c>
      <c r="X1972" s="1" t="str">
        <f xml:space="preserve"> LEFT(Table1[[#This Row],[Atc Code]],3)</f>
        <v>M01</v>
      </c>
    </row>
    <row r="1973" spans="1:24" ht="14.4">
      <c r="A1973" s="14">
        <v>2232</v>
      </c>
      <c r="B1973" s="24" t="s">
        <v>4446</v>
      </c>
      <c r="C1973" s="1">
        <v>2109035</v>
      </c>
      <c r="D1973" s="1" t="s">
        <v>25</v>
      </c>
      <c r="E1973" s="36">
        <v>43466</v>
      </c>
      <c r="F1973" s="36">
        <v>43708</v>
      </c>
      <c r="G1973" s="38">
        <f t="shared" si="30"/>
        <v>242</v>
      </c>
      <c r="H1973" s="5">
        <v>43488</v>
      </c>
      <c r="I1973" s="5">
        <v>43690</v>
      </c>
      <c r="J1973" s="1" t="s">
        <v>26</v>
      </c>
      <c r="K1973" s="1" t="s">
        <v>4447</v>
      </c>
      <c r="L1973" s="1" t="s">
        <v>4442</v>
      </c>
      <c r="M1973" s="1" t="s">
        <v>4443</v>
      </c>
      <c r="N1973" s="1" t="s">
        <v>30</v>
      </c>
      <c r="O1973" s="1" t="s">
        <v>110</v>
      </c>
      <c r="P1973" s="1" t="s">
        <v>111</v>
      </c>
      <c r="Q1973" s="1" t="s">
        <v>112</v>
      </c>
      <c r="R1973" s="1" t="s">
        <v>33</v>
      </c>
      <c r="S1973" s="1"/>
      <c r="U1973" s="1" t="s">
        <v>35</v>
      </c>
      <c r="V1973" s="1" t="s">
        <v>99</v>
      </c>
      <c r="W1973" s="1" t="str">
        <f>VLOOKUP(Table1[[#This Row],[Obergruppe ATC-Code]],Tabelle3!$A$2:$B$100,2)</f>
        <v>ANTIPHLOGISTIKA UND ANTIRHEUMATIKA</v>
      </c>
      <c r="X1973" s="1" t="str">
        <f xml:space="preserve"> LEFT(Table1[[#This Row],[Atc Code]],3)</f>
        <v>M01</v>
      </c>
    </row>
    <row r="1974" spans="1:24" ht="14.4">
      <c r="A1974" s="14">
        <v>2233</v>
      </c>
      <c r="B1974" s="24" t="s">
        <v>4444</v>
      </c>
      <c r="C1974" s="1">
        <v>2118462</v>
      </c>
      <c r="D1974" s="1" t="s">
        <v>25</v>
      </c>
      <c r="E1974" s="36">
        <v>43678</v>
      </c>
      <c r="F1974" s="36">
        <v>43830</v>
      </c>
      <c r="G1974" s="38">
        <f t="shared" si="30"/>
        <v>152</v>
      </c>
      <c r="H1974" s="5">
        <v>43690</v>
      </c>
      <c r="I1974" s="5">
        <v>43802</v>
      </c>
      <c r="J1974" s="1" t="s">
        <v>26</v>
      </c>
      <c r="K1974" s="1" t="s">
        <v>4445</v>
      </c>
      <c r="L1974" s="1" t="s">
        <v>4442</v>
      </c>
      <c r="M1974" s="1" t="s">
        <v>4443</v>
      </c>
      <c r="N1974" s="1" t="s">
        <v>30</v>
      </c>
      <c r="O1974" s="1" t="s">
        <v>110</v>
      </c>
      <c r="P1974" s="1" t="s">
        <v>111</v>
      </c>
      <c r="Q1974" s="1" t="s">
        <v>112</v>
      </c>
      <c r="R1974" s="1" t="s">
        <v>33</v>
      </c>
      <c r="S1974" s="1"/>
      <c r="U1974" s="1" t="s">
        <v>35</v>
      </c>
      <c r="V1974" s="1" t="s">
        <v>99</v>
      </c>
      <c r="W1974" s="1" t="str">
        <f>VLOOKUP(Table1[[#This Row],[Obergruppe ATC-Code]],Tabelle3!$A$2:$B$100,2)</f>
        <v>ANTIPHLOGISTIKA UND ANTIRHEUMATIKA</v>
      </c>
      <c r="X1974" s="1" t="str">
        <f xml:space="preserve"> LEFT(Table1[[#This Row],[Atc Code]],3)</f>
        <v>M01</v>
      </c>
    </row>
    <row r="1975" spans="1:24" ht="14.4">
      <c r="A1975" s="14">
        <v>1145</v>
      </c>
      <c r="B1975" s="24">
        <v>9731739</v>
      </c>
      <c r="C1975" s="1">
        <v>2122293</v>
      </c>
      <c r="D1975" s="1" t="s">
        <v>25</v>
      </c>
      <c r="E1975" s="36">
        <v>43891</v>
      </c>
      <c r="F1975" s="36">
        <v>43951</v>
      </c>
      <c r="G1975" s="38">
        <f t="shared" si="30"/>
        <v>60</v>
      </c>
      <c r="H1975" s="5">
        <v>43914</v>
      </c>
      <c r="I1975" s="5">
        <v>43930</v>
      </c>
      <c r="J1975" s="1" t="s">
        <v>41</v>
      </c>
      <c r="K1975" s="1" t="s">
        <v>4448</v>
      </c>
      <c r="L1975" s="1" t="s">
        <v>4442</v>
      </c>
      <c r="M1975" s="1" t="s">
        <v>4443</v>
      </c>
      <c r="N1975" s="1" t="s">
        <v>38</v>
      </c>
      <c r="O1975" s="1" t="s">
        <v>554</v>
      </c>
      <c r="P1975" s="1" t="s">
        <v>266</v>
      </c>
      <c r="Q1975" s="1" t="s">
        <v>267</v>
      </c>
      <c r="R1975" s="1" t="s">
        <v>48</v>
      </c>
      <c r="S1975" s="1"/>
      <c r="U1975" s="1" t="s">
        <v>35</v>
      </c>
      <c r="V1975" s="1" t="s">
        <v>2924</v>
      </c>
      <c r="W1975" s="1" t="str">
        <f>VLOOKUP(Table1[[#This Row],[Obergruppe ATC-Code]],Tabelle3!$A$2:$B$100,2)</f>
        <v>ANTIPHLOGISTIKA UND ANTIRHEUMATIKA</v>
      </c>
      <c r="X1975" s="1" t="str">
        <f xml:space="preserve"> LEFT(Table1[[#This Row],[Atc Code]],3)</f>
        <v>M01</v>
      </c>
    </row>
    <row r="1976" spans="1:24" ht="14.4">
      <c r="A1976" s="14">
        <v>3146</v>
      </c>
      <c r="B1976" s="43" t="s">
        <v>4449</v>
      </c>
      <c r="C1976" s="1">
        <v>2117639</v>
      </c>
      <c r="D1976" s="1" t="s">
        <v>25</v>
      </c>
      <c r="E1976" s="36">
        <v>43770</v>
      </c>
      <c r="F1976" s="36">
        <v>43951</v>
      </c>
      <c r="G1976" s="38">
        <f t="shared" si="30"/>
        <v>181</v>
      </c>
      <c r="H1976" s="5">
        <v>43755</v>
      </c>
      <c r="I1976" s="5">
        <v>43950</v>
      </c>
      <c r="J1976" s="1" t="s">
        <v>41</v>
      </c>
      <c r="K1976" s="1" t="s">
        <v>4450</v>
      </c>
      <c r="L1976" s="1" t="s">
        <v>4442</v>
      </c>
      <c r="M1976" s="1" t="s">
        <v>4443</v>
      </c>
      <c r="N1976" s="1" t="s">
        <v>30</v>
      </c>
      <c r="O1976" s="1" t="s">
        <v>554</v>
      </c>
      <c r="P1976" s="1" t="s">
        <v>4451</v>
      </c>
      <c r="Q1976" s="1" t="s">
        <v>555</v>
      </c>
      <c r="R1976" s="1" t="s">
        <v>26</v>
      </c>
      <c r="S1976" s="1"/>
      <c r="U1976" s="1" t="s">
        <v>35</v>
      </c>
      <c r="V1976" s="1" t="s">
        <v>99</v>
      </c>
      <c r="W1976" s="1" t="str">
        <f>VLOOKUP(Table1[[#This Row],[Obergruppe ATC-Code]],Tabelle3!$A$2:$B$100,2)</f>
        <v>ANTIPHLOGISTIKA UND ANTIRHEUMATIKA</v>
      </c>
      <c r="X1976" s="1" t="str">
        <f xml:space="preserve"> LEFT(Table1[[#This Row],[Atc Code]],3)</f>
        <v>M01</v>
      </c>
    </row>
    <row r="1977" spans="1:24" ht="14.4">
      <c r="A1977" s="14">
        <v>742</v>
      </c>
      <c r="B1977" s="25">
        <v>5020869</v>
      </c>
      <c r="C1977" s="1">
        <v>5014191</v>
      </c>
      <c r="D1977" s="1" t="s">
        <v>25</v>
      </c>
      <c r="E1977" s="36">
        <v>43922</v>
      </c>
      <c r="F1977" s="36">
        <v>43982</v>
      </c>
      <c r="G1977" s="38">
        <f t="shared" si="30"/>
        <v>60</v>
      </c>
      <c r="H1977" s="5">
        <v>43930</v>
      </c>
      <c r="I1977" s="5">
        <v>43977</v>
      </c>
      <c r="J1977" s="1" t="s">
        <v>26</v>
      </c>
      <c r="K1977" s="1" t="s">
        <v>4452</v>
      </c>
      <c r="L1977" s="1" t="s">
        <v>4442</v>
      </c>
      <c r="M1977" s="1" t="s">
        <v>4443</v>
      </c>
      <c r="N1977" s="1" t="s">
        <v>30</v>
      </c>
      <c r="O1977" s="1" t="s">
        <v>110</v>
      </c>
      <c r="P1977" s="1" t="s">
        <v>111</v>
      </c>
      <c r="Q1977" s="1" t="s">
        <v>112</v>
      </c>
      <c r="R1977" s="1" t="s">
        <v>33</v>
      </c>
      <c r="S1977" s="1"/>
      <c r="U1977" s="1" t="s">
        <v>35</v>
      </c>
      <c r="V1977" s="1" t="s">
        <v>99</v>
      </c>
      <c r="W1977" s="1" t="str">
        <f>VLOOKUP(Table1[[#This Row],[Obergruppe ATC-Code]],Tabelle3!$A$2:$B$100,2)</f>
        <v>ANTIPHLOGISTIKA UND ANTIRHEUMATIKA</v>
      </c>
      <c r="X1977" s="1" t="str">
        <f xml:space="preserve"> LEFT(Table1[[#This Row],[Atc Code]],3)</f>
        <v>M01</v>
      </c>
    </row>
    <row r="1978" spans="1:24" ht="14.4">
      <c r="A1978" s="14">
        <v>3147</v>
      </c>
      <c r="B1978" s="43" t="s">
        <v>4453</v>
      </c>
      <c r="C1978" s="1">
        <v>2118457</v>
      </c>
      <c r="D1978" s="1" t="s">
        <v>25</v>
      </c>
      <c r="E1978" s="36">
        <v>43466</v>
      </c>
      <c r="F1978" s="36">
        <v>44012</v>
      </c>
      <c r="G1978" s="38">
        <f t="shared" si="30"/>
        <v>546</v>
      </c>
      <c r="H1978" s="5">
        <v>43860</v>
      </c>
      <c r="I1978" s="5">
        <v>43987</v>
      </c>
      <c r="J1978" s="1" t="s">
        <v>41</v>
      </c>
      <c r="K1978" s="1" t="s">
        <v>4454</v>
      </c>
      <c r="L1978" s="1" t="s">
        <v>4442</v>
      </c>
      <c r="M1978" s="1" t="s">
        <v>4443</v>
      </c>
      <c r="N1978" s="1" t="s">
        <v>30</v>
      </c>
      <c r="O1978" s="1" t="s">
        <v>554</v>
      </c>
      <c r="P1978" s="1" t="s">
        <v>266</v>
      </c>
      <c r="Q1978" s="1" t="s">
        <v>555</v>
      </c>
      <c r="R1978" s="1" t="s">
        <v>26</v>
      </c>
      <c r="S1978" s="1"/>
      <c r="U1978" s="1" t="s">
        <v>35</v>
      </c>
      <c r="V1978" s="1" t="s">
        <v>99</v>
      </c>
      <c r="W1978" s="1" t="str">
        <f>VLOOKUP(Table1[[#This Row],[Obergruppe ATC-Code]],Tabelle3!$A$2:$B$100,2)</f>
        <v>ANTIPHLOGISTIKA UND ANTIRHEUMATIKA</v>
      </c>
      <c r="X1978" s="1" t="str">
        <f xml:space="preserve"> LEFT(Table1[[#This Row],[Atc Code]],3)</f>
        <v>M01</v>
      </c>
    </row>
    <row r="1979" spans="1:24" ht="14.4">
      <c r="A1979" s="14">
        <v>3148</v>
      </c>
      <c r="B1979" s="24" t="s">
        <v>4455</v>
      </c>
      <c r="C1979" s="1">
        <v>2118459</v>
      </c>
      <c r="D1979" s="1" t="s">
        <v>25</v>
      </c>
      <c r="E1979" s="36">
        <v>43466</v>
      </c>
      <c r="F1979" s="36">
        <v>44043</v>
      </c>
      <c r="G1979" s="38">
        <f t="shared" si="30"/>
        <v>577</v>
      </c>
      <c r="H1979" s="5">
        <v>43860</v>
      </c>
      <c r="I1979" s="5">
        <v>44012</v>
      </c>
      <c r="J1979" s="1" t="s">
        <v>41</v>
      </c>
      <c r="K1979" s="1" t="s">
        <v>4456</v>
      </c>
      <c r="L1979" s="1" t="s">
        <v>4442</v>
      </c>
      <c r="M1979" s="1" t="s">
        <v>4443</v>
      </c>
      <c r="N1979" s="1" t="s">
        <v>30</v>
      </c>
      <c r="O1979" s="1" t="s">
        <v>554</v>
      </c>
      <c r="P1979" s="1" t="s">
        <v>266</v>
      </c>
      <c r="Q1979" s="1" t="s">
        <v>555</v>
      </c>
      <c r="R1979" s="1" t="s">
        <v>26</v>
      </c>
      <c r="S1979" s="1"/>
      <c r="U1979" s="1" t="s">
        <v>35</v>
      </c>
      <c r="V1979" s="1" t="s">
        <v>99</v>
      </c>
      <c r="W1979" s="1" t="str">
        <f>VLOOKUP(Table1[[#This Row],[Obergruppe ATC-Code]],Tabelle3!$A$2:$B$100,2)</f>
        <v>ANTIPHLOGISTIKA UND ANTIRHEUMATIKA</v>
      </c>
      <c r="X1979" s="1" t="str">
        <f xml:space="preserve"> LEFT(Table1[[#This Row],[Atc Code]],3)</f>
        <v>M01</v>
      </c>
    </row>
    <row r="1980" spans="1:24" ht="14.4">
      <c r="A1980" s="14">
        <v>1116</v>
      </c>
      <c r="B1980" s="25">
        <v>9443124</v>
      </c>
      <c r="C1980" s="1">
        <v>2180827</v>
      </c>
      <c r="D1980" s="1" t="s">
        <v>25</v>
      </c>
      <c r="E1980" s="36">
        <v>43922</v>
      </c>
      <c r="F1980" s="36">
        <v>44043</v>
      </c>
      <c r="G1980" s="38">
        <f t="shared" si="30"/>
        <v>121</v>
      </c>
      <c r="H1980" s="5">
        <v>43930</v>
      </c>
      <c r="I1980" s="5">
        <v>44034</v>
      </c>
      <c r="J1980" s="1" t="s">
        <v>26</v>
      </c>
      <c r="K1980" s="1" t="s">
        <v>4457</v>
      </c>
      <c r="L1980" s="1" t="s">
        <v>4442</v>
      </c>
      <c r="M1980" s="1" t="s">
        <v>4443</v>
      </c>
      <c r="N1980" s="1" t="s">
        <v>30</v>
      </c>
      <c r="O1980" s="1" t="s">
        <v>110</v>
      </c>
      <c r="P1980" s="1" t="s">
        <v>111</v>
      </c>
      <c r="Q1980" s="1" t="s">
        <v>112</v>
      </c>
      <c r="R1980" s="1" t="s">
        <v>33</v>
      </c>
      <c r="S1980" s="1"/>
      <c r="U1980" s="1" t="s">
        <v>35</v>
      </c>
      <c r="V1980" s="1" t="s">
        <v>2924</v>
      </c>
      <c r="W1980" s="1" t="str">
        <f>VLOOKUP(Table1[[#This Row],[Obergruppe ATC-Code]],Tabelle3!$A$2:$B$100,2)</f>
        <v>ANTIPHLOGISTIKA UND ANTIRHEUMATIKA</v>
      </c>
      <c r="X1980" s="1" t="str">
        <f xml:space="preserve"> LEFT(Table1[[#This Row],[Atc Code]],3)</f>
        <v>M01</v>
      </c>
    </row>
    <row r="1981" spans="1:24" ht="14.4">
      <c r="A1981" s="14">
        <v>1417</v>
      </c>
      <c r="B1981" s="24">
        <v>13975298</v>
      </c>
      <c r="C1981" s="1">
        <v>2197003</v>
      </c>
      <c r="D1981" s="1" t="s">
        <v>25</v>
      </c>
      <c r="E1981" s="36">
        <v>44495</v>
      </c>
      <c r="F1981" s="36">
        <v>44524</v>
      </c>
      <c r="G1981" s="38">
        <f t="shared" si="30"/>
        <v>29</v>
      </c>
      <c r="H1981" s="5">
        <v>44495</v>
      </c>
      <c r="I1981" s="5">
        <v>44523</v>
      </c>
      <c r="J1981" s="1" t="s">
        <v>41</v>
      </c>
      <c r="K1981" s="1" t="s">
        <v>4458</v>
      </c>
      <c r="L1981" s="1" t="s">
        <v>4442</v>
      </c>
      <c r="M1981" s="1" t="s">
        <v>4443</v>
      </c>
      <c r="N1981" s="1" t="s">
        <v>38</v>
      </c>
      <c r="O1981" s="1" t="s">
        <v>213</v>
      </c>
      <c r="P1981" s="1" t="s">
        <v>4459</v>
      </c>
      <c r="Q1981" s="1" t="s">
        <v>974</v>
      </c>
      <c r="R1981" s="1" t="s">
        <v>128</v>
      </c>
      <c r="S1981" s="1"/>
      <c r="U1981" s="1" t="s">
        <v>130</v>
      </c>
      <c r="V1981" s="1" t="s">
        <v>648</v>
      </c>
      <c r="W1981" s="1" t="str">
        <f>VLOOKUP(Table1[[#This Row],[Obergruppe ATC-Code]],Tabelle3!$A$2:$B$100,2)</f>
        <v>ANTIPHLOGISTIKA UND ANTIRHEUMATIKA</v>
      </c>
      <c r="X1981" s="1" t="str">
        <f xml:space="preserve"> LEFT(Table1[[#This Row],[Atc Code]],3)</f>
        <v>M01</v>
      </c>
    </row>
    <row r="1982" spans="1:24" ht="14.4">
      <c r="A1982" s="14">
        <v>1144</v>
      </c>
      <c r="B1982" s="24">
        <v>9731722</v>
      </c>
      <c r="C1982" s="1">
        <v>2122292</v>
      </c>
      <c r="D1982" s="1" t="s">
        <v>25</v>
      </c>
      <c r="E1982" s="36">
        <v>44760</v>
      </c>
      <c r="F1982" s="36">
        <v>44866</v>
      </c>
      <c r="G1982" s="38">
        <f t="shared" si="30"/>
        <v>106</v>
      </c>
      <c r="H1982" s="5">
        <v>44762</v>
      </c>
      <c r="I1982" s="5">
        <v>44869</v>
      </c>
      <c r="J1982" s="1" t="s">
        <v>26</v>
      </c>
      <c r="K1982" s="1" t="s">
        <v>4460</v>
      </c>
      <c r="L1982" s="1" t="s">
        <v>4442</v>
      </c>
      <c r="M1982" s="1" t="s">
        <v>4443</v>
      </c>
      <c r="N1982" s="1" t="s">
        <v>38</v>
      </c>
      <c r="O1982" s="1" t="s">
        <v>554</v>
      </c>
      <c r="P1982" s="1" t="s">
        <v>266</v>
      </c>
      <c r="Q1982" s="1" t="s">
        <v>267</v>
      </c>
      <c r="R1982" s="1" t="s">
        <v>113</v>
      </c>
      <c r="S1982" s="1"/>
      <c r="U1982" s="1" t="s">
        <v>130</v>
      </c>
      <c r="V1982" s="1" t="s">
        <v>2924</v>
      </c>
      <c r="W1982" s="1" t="str">
        <f>VLOOKUP(Table1[[#This Row],[Obergruppe ATC-Code]],Tabelle3!$A$2:$B$100,2)</f>
        <v>ANTIPHLOGISTIKA UND ANTIRHEUMATIKA</v>
      </c>
      <c r="X1982" s="1" t="str">
        <f xml:space="preserve"> LEFT(Table1[[#This Row],[Atc Code]],3)</f>
        <v>M01</v>
      </c>
    </row>
    <row r="1983" spans="1:24" ht="14.4">
      <c r="A1983" s="14">
        <v>2966</v>
      </c>
      <c r="B1983" s="24" t="s">
        <v>4461</v>
      </c>
      <c r="C1983" s="1">
        <v>2121863</v>
      </c>
      <c r="D1983" s="1" t="s">
        <v>25</v>
      </c>
      <c r="E1983" s="36">
        <v>43922</v>
      </c>
      <c r="F1983" s="36">
        <v>44910</v>
      </c>
      <c r="G1983" s="38">
        <f t="shared" si="30"/>
        <v>988</v>
      </c>
      <c r="H1983" s="5">
        <v>43943</v>
      </c>
      <c r="I1983" s="5">
        <v>44910</v>
      </c>
      <c r="J1983" s="1" t="s">
        <v>26</v>
      </c>
      <c r="K1983" s="1" t="s">
        <v>4462</v>
      </c>
      <c r="L1983" s="1" t="s">
        <v>4442</v>
      </c>
      <c r="M1983" s="1" t="s">
        <v>4443</v>
      </c>
      <c r="N1983" s="1" t="s">
        <v>30</v>
      </c>
      <c r="O1983" s="1" t="s">
        <v>110</v>
      </c>
      <c r="P1983" s="1" t="s">
        <v>111</v>
      </c>
      <c r="Q1983" s="1" t="s">
        <v>112</v>
      </c>
      <c r="R1983" s="1" t="s">
        <v>113</v>
      </c>
      <c r="S1983" s="1" t="s">
        <v>4463</v>
      </c>
      <c r="U1983" s="1" t="s">
        <v>35</v>
      </c>
      <c r="V1983" s="1" t="s">
        <v>359</v>
      </c>
      <c r="W1983" s="1" t="str">
        <f>VLOOKUP(Table1[[#This Row],[Obergruppe ATC-Code]],Tabelle3!$A$2:$B$100,2)</f>
        <v>ANTIPHLOGISTIKA UND ANTIRHEUMATIKA</v>
      </c>
      <c r="X1983" s="1" t="str">
        <f xml:space="preserve"> LEFT(Table1[[#This Row],[Atc Code]],3)</f>
        <v>M01</v>
      </c>
    </row>
    <row r="1984" spans="1:24" ht="14.4">
      <c r="A1984" s="14">
        <v>2539</v>
      </c>
      <c r="B1984" s="24" t="s">
        <v>4464</v>
      </c>
      <c r="C1984" s="1">
        <v>2188389</v>
      </c>
      <c r="D1984" s="1" t="s">
        <v>25</v>
      </c>
      <c r="E1984" s="36">
        <v>43983</v>
      </c>
      <c r="F1984" s="36">
        <v>44043</v>
      </c>
      <c r="G1984" s="38">
        <f t="shared" si="30"/>
        <v>60</v>
      </c>
      <c r="H1984" s="5">
        <v>43992</v>
      </c>
      <c r="I1984" s="5">
        <v>44033</v>
      </c>
      <c r="J1984" s="1" t="s">
        <v>41</v>
      </c>
      <c r="K1984" s="1" t="s">
        <v>4465</v>
      </c>
      <c r="L1984" s="1" t="s">
        <v>4466</v>
      </c>
      <c r="M1984" s="1" t="s">
        <v>4467</v>
      </c>
      <c r="N1984" s="1" t="s">
        <v>30</v>
      </c>
      <c r="O1984" s="1" t="s">
        <v>110</v>
      </c>
      <c r="P1984" s="1" t="s">
        <v>111</v>
      </c>
      <c r="Q1984" s="1" t="s">
        <v>112</v>
      </c>
      <c r="R1984" s="1" t="s">
        <v>165</v>
      </c>
      <c r="S1984" s="1"/>
      <c r="U1984" s="1" t="s">
        <v>35</v>
      </c>
      <c r="V1984" s="1" t="s">
        <v>262</v>
      </c>
      <c r="W1984" s="1" t="str">
        <f>VLOOKUP(Table1[[#This Row],[Obergruppe ATC-Code]],Tabelle3!$A$2:$B$100,2)</f>
        <v>ANTIPHLOGISTIKA UND ANTIRHEUMATIKA</v>
      </c>
      <c r="X1984" s="1" t="str">
        <f xml:space="preserve"> LEFT(Table1[[#This Row],[Atc Code]],3)</f>
        <v>M01</v>
      </c>
    </row>
    <row r="1985" spans="1:24" ht="14.4">
      <c r="A1985" s="14">
        <v>403</v>
      </c>
      <c r="B1985" s="24">
        <v>2410009</v>
      </c>
      <c r="C1985" s="1">
        <v>2701597</v>
      </c>
      <c r="D1985" s="1" t="s">
        <v>25</v>
      </c>
      <c r="E1985" s="36">
        <v>45125</v>
      </c>
      <c r="F1985" s="36">
        <v>45125</v>
      </c>
      <c r="G1985" s="38">
        <f t="shared" si="30"/>
        <v>0</v>
      </c>
      <c r="H1985" s="5">
        <v>45008</v>
      </c>
      <c r="I1985" s="5">
        <v>45118</v>
      </c>
      <c r="J1985" s="1" t="s">
        <v>26</v>
      </c>
      <c r="K1985" s="1" t="s">
        <v>4468</v>
      </c>
      <c r="L1985" s="1" t="s">
        <v>4469</v>
      </c>
      <c r="M1985" s="1" t="s">
        <v>4470</v>
      </c>
      <c r="N1985" s="1" t="s">
        <v>38</v>
      </c>
      <c r="O1985" s="1" t="s">
        <v>2274</v>
      </c>
      <c r="P1985" s="1" t="s">
        <v>1153</v>
      </c>
      <c r="Q1985" s="1" t="s">
        <v>331</v>
      </c>
      <c r="R1985" s="1" t="s">
        <v>732</v>
      </c>
      <c r="S1985" s="1" t="s">
        <v>4471</v>
      </c>
      <c r="U1985" s="1" t="s">
        <v>35</v>
      </c>
      <c r="V1985" s="1" t="s">
        <v>1007</v>
      </c>
      <c r="W1985" s="1" t="str">
        <f>VLOOKUP(Table1[[#This Row],[Obergruppe ATC-Code]],Tabelle3!$A$2:$B$100,2)</f>
        <v>ANTIPHLOGISTIKA UND ANTIRHEUMATIKA</v>
      </c>
      <c r="X1985" s="1" t="str">
        <f xml:space="preserve"> LEFT(Table1[[#This Row],[Atc Code]],3)</f>
        <v>M01</v>
      </c>
    </row>
    <row r="1986" spans="1:24" ht="14.4">
      <c r="A1986" s="14">
        <v>402</v>
      </c>
      <c r="B1986" s="24">
        <v>2409963</v>
      </c>
      <c r="C1986" s="1">
        <v>2701595</v>
      </c>
      <c r="D1986" s="1" t="s">
        <v>25</v>
      </c>
      <c r="E1986" s="36">
        <v>45147</v>
      </c>
      <c r="F1986" s="36">
        <v>45147</v>
      </c>
      <c r="G1986" s="38">
        <f t="shared" ref="G1986:G2049" si="31">F1986-E1986</f>
        <v>0</v>
      </c>
      <c r="H1986" s="5">
        <v>45008</v>
      </c>
      <c r="I1986" s="5">
        <v>45118</v>
      </c>
      <c r="J1986" s="1" t="s">
        <v>26</v>
      </c>
      <c r="K1986" s="1" t="s">
        <v>4472</v>
      </c>
      <c r="L1986" s="1" t="s">
        <v>4469</v>
      </c>
      <c r="M1986" s="1" t="s">
        <v>4470</v>
      </c>
      <c r="N1986" s="1" t="s">
        <v>38</v>
      </c>
      <c r="O1986" s="1" t="s">
        <v>2274</v>
      </c>
      <c r="P1986" s="1" t="s">
        <v>1153</v>
      </c>
      <c r="Q1986" s="1" t="s">
        <v>331</v>
      </c>
      <c r="R1986" s="1" t="s">
        <v>732</v>
      </c>
      <c r="S1986" s="1" t="s">
        <v>4471</v>
      </c>
      <c r="U1986" s="1" t="s">
        <v>35</v>
      </c>
      <c r="V1986" s="1" t="s">
        <v>1007</v>
      </c>
      <c r="W1986" s="1" t="str">
        <f>VLOOKUP(Table1[[#This Row],[Obergruppe ATC-Code]],Tabelle3!$A$2:$B$100,2)</f>
        <v>ANTIPHLOGISTIKA UND ANTIRHEUMATIKA</v>
      </c>
      <c r="X1986" s="1" t="str">
        <f xml:space="preserve"> LEFT(Table1[[#This Row],[Atc Code]],3)</f>
        <v>M01</v>
      </c>
    </row>
    <row r="1987" spans="1:24" ht="14.4">
      <c r="A1987" s="14">
        <v>1334</v>
      </c>
      <c r="B1987" s="25">
        <v>12595547</v>
      </c>
      <c r="C1987" s="1">
        <v>2196163</v>
      </c>
      <c r="D1987" s="1" t="s">
        <v>25</v>
      </c>
      <c r="E1987" s="36">
        <v>43739</v>
      </c>
      <c r="F1987" s="36">
        <v>43830</v>
      </c>
      <c r="G1987" s="38">
        <f t="shared" si="31"/>
        <v>91</v>
      </c>
      <c r="H1987" s="5">
        <v>43780</v>
      </c>
      <c r="I1987" s="5">
        <v>43847</v>
      </c>
      <c r="J1987" s="1" t="s">
        <v>26</v>
      </c>
      <c r="K1987" s="1" t="s">
        <v>4473</v>
      </c>
      <c r="L1987" s="1" t="s">
        <v>4474</v>
      </c>
      <c r="M1987" s="1" t="s">
        <v>4475</v>
      </c>
      <c r="N1987" s="1" t="s">
        <v>38</v>
      </c>
      <c r="O1987" s="1" t="s">
        <v>1440</v>
      </c>
      <c r="P1987" s="1" t="s">
        <v>1441</v>
      </c>
      <c r="Q1987" s="1" t="s">
        <v>1442</v>
      </c>
      <c r="R1987" s="1" t="s">
        <v>33</v>
      </c>
      <c r="S1987" s="1"/>
      <c r="U1987" s="1" t="s">
        <v>35</v>
      </c>
      <c r="V1987" s="1" t="s">
        <v>99</v>
      </c>
      <c r="W1987" s="1" t="str">
        <f>VLOOKUP(Table1[[#This Row],[Obergruppe ATC-Code]],Tabelle3!$A$2:$B$100,2)</f>
        <v>ANTIPHLOGISTIKA UND ANTIRHEUMATIKA</v>
      </c>
      <c r="X1987" s="1" t="str">
        <f xml:space="preserve"> LEFT(Table1[[#This Row],[Atc Code]],3)</f>
        <v>M01</v>
      </c>
    </row>
    <row r="1988" spans="1:24" ht="14.4">
      <c r="A1988" s="14">
        <v>1332</v>
      </c>
      <c r="B1988" s="25">
        <v>12595470</v>
      </c>
      <c r="C1988" s="1">
        <v>2196162</v>
      </c>
      <c r="D1988" s="1" t="s">
        <v>25</v>
      </c>
      <c r="E1988" s="36">
        <v>43739</v>
      </c>
      <c r="F1988" s="36">
        <v>43830</v>
      </c>
      <c r="G1988" s="38">
        <f t="shared" si="31"/>
        <v>91</v>
      </c>
      <c r="H1988" s="5">
        <v>43780</v>
      </c>
      <c r="I1988" s="5">
        <v>43847</v>
      </c>
      <c r="J1988" s="1" t="s">
        <v>26</v>
      </c>
      <c r="K1988" s="1" t="s">
        <v>4476</v>
      </c>
      <c r="L1988" s="1" t="s">
        <v>4474</v>
      </c>
      <c r="M1988" s="1" t="s">
        <v>4475</v>
      </c>
      <c r="N1988" s="1" t="s">
        <v>38</v>
      </c>
      <c r="O1988" s="1" t="s">
        <v>1440</v>
      </c>
      <c r="P1988" s="1" t="s">
        <v>1441</v>
      </c>
      <c r="Q1988" s="1" t="s">
        <v>1442</v>
      </c>
      <c r="R1988" s="1" t="s">
        <v>33</v>
      </c>
      <c r="S1988" s="1"/>
      <c r="U1988" s="1" t="s">
        <v>35</v>
      </c>
      <c r="V1988" s="1" t="s">
        <v>99</v>
      </c>
      <c r="W1988" s="1" t="str">
        <f>VLOOKUP(Table1[[#This Row],[Obergruppe ATC-Code]],Tabelle3!$A$2:$B$100,2)</f>
        <v>ANTIPHLOGISTIKA UND ANTIRHEUMATIKA</v>
      </c>
      <c r="X1988" s="1" t="str">
        <f xml:space="preserve"> LEFT(Table1[[#This Row],[Atc Code]],3)</f>
        <v>M01</v>
      </c>
    </row>
    <row r="1989" spans="1:24" ht="14.4">
      <c r="A1989" s="14">
        <v>1333</v>
      </c>
      <c r="B1989" s="25">
        <v>12595547</v>
      </c>
      <c r="C1989" s="1">
        <v>2196163</v>
      </c>
      <c r="D1989" s="1" t="s">
        <v>25</v>
      </c>
      <c r="E1989" s="36">
        <v>43831</v>
      </c>
      <c r="F1989" s="36">
        <v>43921</v>
      </c>
      <c r="G1989" s="38">
        <f t="shared" si="31"/>
        <v>90</v>
      </c>
      <c r="H1989" s="5">
        <v>43866</v>
      </c>
      <c r="I1989" s="5">
        <v>43924</v>
      </c>
      <c r="J1989" s="1" t="s">
        <v>26</v>
      </c>
      <c r="K1989" s="1" t="s">
        <v>4473</v>
      </c>
      <c r="L1989" s="1" t="s">
        <v>4474</v>
      </c>
      <c r="M1989" s="1" t="s">
        <v>4475</v>
      </c>
      <c r="N1989" s="1" t="s">
        <v>38</v>
      </c>
      <c r="O1989" s="1" t="s">
        <v>1440</v>
      </c>
      <c r="P1989" s="1" t="s">
        <v>1441</v>
      </c>
      <c r="Q1989" s="1" t="s">
        <v>1442</v>
      </c>
      <c r="R1989" s="1" t="s">
        <v>33</v>
      </c>
      <c r="S1989" s="1"/>
      <c r="U1989" s="1" t="s">
        <v>35</v>
      </c>
      <c r="V1989" s="1" t="s">
        <v>99</v>
      </c>
      <c r="W1989" s="1" t="str">
        <f>VLOOKUP(Table1[[#This Row],[Obergruppe ATC-Code]],Tabelle3!$A$2:$B$100,2)</f>
        <v>ANTIPHLOGISTIKA UND ANTIRHEUMATIKA</v>
      </c>
      <c r="X1989" s="1" t="str">
        <f xml:space="preserve"> LEFT(Table1[[#This Row],[Atc Code]],3)</f>
        <v>M01</v>
      </c>
    </row>
    <row r="1990" spans="1:24" ht="14.4">
      <c r="A1990" s="14">
        <v>1335</v>
      </c>
      <c r="B1990" s="25">
        <v>12595582</v>
      </c>
      <c r="C1990" s="1">
        <v>2196164</v>
      </c>
      <c r="D1990" s="1" t="s">
        <v>25</v>
      </c>
      <c r="E1990" s="36">
        <v>43831</v>
      </c>
      <c r="F1990" s="36">
        <v>44012</v>
      </c>
      <c r="G1990" s="38">
        <f t="shared" si="31"/>
        <v>181</v>
      </c>
      <c r="H1990" s="5">
        <v>43866</v>
      </c>
      <c r="I1990" s="5">
        <v>44015</v>
      </c>
      <c r="J1990" s="1" t="s">
        <v>26</v>
      </c>
      <c r="K1990" s="1" t="s">
        <v>4477</v>
      </c>
      <c r="L1990" s="1" t="s">
        <v>4474</v>
      </c>
      <c r="M1990" s="1" t="s">
        <v>4475</v>
      </c>
      <c r="N1990" s="1" t="s">
        <v>38</v>
      </c>
      <c r="O1990" s="1" t="s">
        <v>1440</v>
      </c>
      <c r="P1990" s="1" t="s">
        <v>1441</v>
      </c>
      <c r="Q1990" s="1" t="s">
        <v>1442</v>
      </c>
      <c r="R1990" s="1" t="s">
        <v>33</v>
      </c>
      <c r="S1990" s="1"/>
      <c r="U1990" s="1" t="s">
        <v>35</v>
      </c>
      <c r="V1990" s="1" t="s">
        <v>99</v>
      </c>
      <c r="W1990" s="1" t="str">
        <f>VLOOKUP(Table1[[#This Row],[Obergruppe ATC-Code]],Tabelle3!$A$2:$B$100,2)</f>
        <v>ANTIPHLOGISTIKA UND ANTIRHEUMATIKA</v>
      </c>
      <c r="X1990" s="1" t="str">
        <f xml:space="preserve"> LEFT(Table1[[#This Row],[Atc Code]],3)</f>
        <v>M01</v>
      </c>
    </row>
    <row r="1991" spans="1:24" ht="14.4">
      <c r="A1991" s="14">
        <v>2722</v>
      </c>
      <c r="B1991" s="24" t="s">
        <v>4478</v>
      </c>
      <c r="C1991" s="1">
        <v>2192972</v>
      </c>
      <c r="D1991" s="1" t="s">
        <v>25</v>
      </c>
      <c r="E1991" s="36">
        <v>44013</v>
      </c>
      <c r="F1991" s="36">
        <v>44165</v>
      </c>
      <c r="G1991" s="38">
        <f t="shared" si="31"/>
        <v>152</v>
      </c>
      <c r="H1991" s="5">
        <v>44036</v>
      </c>
      <c r="I1991" s="5">
        <v>44139</v>
      </c>
      <c r="J1991" s="1" t="s">
        <v>26</v>
      </c>
      <c r="K1991" s="1" t="s">
        <v>4479</v>
      </c>
      <c r="L1991" s="1" t="s">
        <v>4474</v>
      </c>
      <c r="M1991" s="1" t="s">
        <v>4475</v>
      </c>
      <c r="N1991" s="1" t="s">
        <v>38</v>
      </c>
      <c r="O1991" s="1" t="s">
        <v>265</v>
      </c>
      <c r="P1991" s="1" t="s">
        <v>266</v>
      </c>
      <c r="Q1991" s="1" t="s">
        <v>267</v>
      </c>
      <c r="R1991" s="1" t="s">
        <v>33</v>
      </c>
      <c r="S1991" s="1"/>
      <c r="U1991" s="1" t="s">
        <v>35</v>
      </c>
      <c r="V1991" s="1" t="s">
        <v>99</v>
      </c>
      <c r="W1991" s="1" t="str">
        <f>VLOOKUP(Table1[[#This Row],[Obergruppe ATC-Code]],Tabelle3!$A$2:$B$100,2)</f>
        <v>ANTIPHLOGISTIKA UND ANTIRHEUMATIKA</v>
      </c>
      <c r="X1991" s="1" t="str">
        <f xml:space="preserve"> LEFT(Table1[[#This Row],[Atc Code]],3)</f>
        <v>M01</v>
      </c>
    </row>
    <row r="1992" spans="1:24" ht="14.4">
      <c r="A1992" s="14">
        <v>1324</v>
      </c>
      <c r="B1992" s="25">
        <v>12585709</v>
      </c>
      <c r="C1992" s="1">
        <v>2192974</v>
      </c>
      <c r="D1992" s="1" t="s">
        <v>25</v>
      </c>
      <c r="E1992" s="36">
        <v>44013</v>
      </c>
      <c r="F1992" s="36">
        <v>44165</v>
      </c>
      <c r="G1992" s="38">
        <f t="shared" si="31"/>
        <v>152</v>
      </c>
      <c r="H1992" s="5">
        <v>44036</v>
      </c>
      <c r="I1992" s="5">
        <v>44139</v>
      </c>
      <c r="J1992" s="1" t="s">
        <v>41</v>
      </c>
      <c r="K1992" s="1" t="s">
        <v>4480</v>
      </c>
      <c r="L1992" s="1" t="s">
        <v>4474</v>
      </c>
      <c r="M1992" s="1" t="s">
        <v>4475</v>
      </c>
      <c r="N1992" s="1" t="s">
        <v>38</v>
      </c>
      <c r="O1992" s="1" t="s">
        <v>265</v>
      </c>
      <c r="P1992" s="1" t="s">
        <v>266</v>
      </c>
      <c r="Q1992" s="1" t="s">
        <v>267</v>
      </c>
      <c r="R1992" s="1" t="s">
        <v>26</v>
      </c>
      <c r="S1992" s="1"/>
      <c r="U1992" s="1" t="s">
        <v>35</v>
      </c>
      <c r="V1992" s="1" t="s">
        <v>99</v>
      </c>
      <c r="W1992" s="1" t="str">
        <f>VLOOKUP(Table1[[#This Row],[Obergruppe ATC-Code]],Tabelle3!$A$2:$B$100,2)</f>
        <v>ANTIPHLOGISTIKA UND ANTIRHEUMATIKA</v>
      </c>
      <c r="X1992" s="1" t="str">
        <f xml:space="preserve"> LEFT(Table1[[#This Row],[Atc Code]],3)</f>
        <v>M01</v>
      </c>
    </row>
    <row r="1993" spans="1:24" ht="14.4">
      <c r="A1993" s="14">
        <v>1323</v>
      </c>
      <c r="B1993" s="25">
        <v>12585589</v>
      </c>
      <c r="C1993" s="1">
        <v>2192973</v>
      </c>
      <c r="D1993" s="1" t="s">
        <v>25</v>
      </c>
      <c r="E1993" s="36">
        <v>44013</v>
      </c>
      <c r="F1993" s="36">
        <v>44165</v>
      </c>
      <c r="G1993" s="38">
        <f t="shared" si="31"/>
        <v>152</v>
      </c>
      <c r="H1993" s="5">
        <v>44036</v>
      </c>
      <c r="I1993" s="5">
        <v>44139</v>
      </c>
      <c r="J1993" s="1" t="s">
        <v>26</v>
      </c>
      <c r="K1993" s="1" t="s">
        <v>4481</v>
      </c>
      <c r="L1993" s="1" t="s">
        <v>4474</v>
      </c>
      <c r="M1993" s="1" t="s">
        <v>4475</v>
      </c>
      <c r="N1993" s="1" t="s">
        <v>38</v>
      </c>
      <c r="O1993" s="1" t="s">
        <v>265</v>
      </c>
      <c r="P1993" s="1" t="s">
        <v>266</v>
      </c>
      <c r="Q1993" s="1" t="s">
        <v>267</v>
      </c>
      <c r="R1993" s="1" t="s">
        <v>33</v>
      </c>
      <c r="S1993" s="1"/>
      <c r="U1993" s="1" t="s">
        <v>35</v>
      </c>
      <c r="V1993" s="1" t="s">
        <v>99</v>
      </c>
      <c r="W1993" s="1" t="str">
        <f>VLOOKUP(Table1[[#This Row],[Obergruppe ATC-Code]],Tabelle3!$A$2:$B$100,2)</f>
        <v>ANTIPHLOGISTIKA UND ANTIRHEUMATIKA</v>
      </c>
      <c r="X1993" s="1" t="str">
        <f xml:space="preserve"> LEFT(Table1[[#This Row],[Atc Code]],3)</f>
        <v>M01</v>
      </c>
    </row>
    <row r="1994" spans="1:24" ht="14.4">
      <c r="A1994" s="14">
        <v>1322</v>
      </c>
      <c r="B1994" s="25">
        <v>12585514</v>
      </c>
      <c r="C1994" s="1">
        <v>2192971</v>
      </c>
      <c r="D1994" s="1" t="s">
        <v>25</v>
      </c>
      <c r="E1994" s="36">
        <v>44013</v>
      </c>
      <c r="F1994" s="36">
        <v>44165</v>
      </c>
      <c r="G1994" s="38">
        <f t="shared" si="31"/>
        <v>152</v>
      </c>
      <c r="H1994" s="5">
        <v>44036</v>
      </c>
      <c r="I1994" s="5">
        <v>44139</v>
      </c>
      <c r="J1994" s="1" t="s">
        <v>26</v>
      </c>
      <c r="K1994" s="1" t="s">
        <v>4482</v>
      </c>
      <c r="L1994" s="1" t="s">
        <v>4474</v>
      </c>
      <c r="M1994" s="1" t="s">
        <v>4475</v>
      </c>
      <c r="N1994" s="1" t="s">
        <v>38</v>
      </c>
      <c r="O1994" s="1" t="s">
        <v>265</v>
      </c>
      <c r="P1994" s="1" t="s">
        <v>266</v>
      </c>
      <c r="Q1994" s="1" t="s">
        <v>267</v>
      </c>
      <c r="R1994" s="1" t="s">
        <v>33</v>
      </c>
      <c r="S1994" s="1"/>
      <c r="U1994" s="1" t="s">
        <v>35</v>
      </c>
      <c r="V1994" s="1" t="s">
        <v>99</v>
      </c>
      <c r="W1994" s="1" t="str">
        <f>VLOOKUP(Table1[[#This Row],[Obergruppe ATC-Code]],Tabelle3!$A$2:$B$100,2)</f>
        <v>ANTIPHLOGISTIKA UND ANTIRHEUMATIKA</v>
      </c>
      <c r="X1994" s="1" t="str">
        <f xml:space="preserve"> LEFT(Table1[[#This Row],[Atc Code]],3)</f>
        <v>M01</v>
      </c>
    </row>
    <row r="1995" spans="1:24" ht="14.4">
      <c r="A1995" s="14">
        <v>1341</v>
      </c>
      <c r="B1995" s="24">
        <v>12652452</v>
      </c>
      <c r="C1995" s="1">
        <v>2197258</v>
      </c>
      <c r="D1995" s="1" t="s">
        <v>25</v>
      </c>
      <c r="E1995" s="36">
        <v>45098</v>
      </c>
      <c r="F1995" s="36">
        <v>45131</v>
      </c>
      <c r="G1995" s="38">
        <f t="shared" si="31"/>
        <v>33</v>
      </c>
      <c r="H1995" s="5">
        <v>45098</v>
      </c>
      <c r="I1995" s="5">
        <v>45128</v>
      </c>
      <c r="J1995" s="1" t="s">
        <v>26</v>
      </c>
      <c r="K1995" s="1" t="s">
        <v>4483</v>
      </c>
      <c r="L1995" s="1" t="s">
        <v>4474</v>
      </c>
      <c r="M1995" s="1" t="s">
        <v>4475</v>
      </c>
      <c r="N1995" s="1" t="s">
        <v>38</v>
      </c>
      <c r="O1995" s="1" t="s">
        <v>3619</v>
      </c>
      <c r="P1995" s="1">
        <v>69478730</v>
      </c>
      <c r="Q1995" s="1" t="s">
        <v>3620</v>
      </c>
      <c r="R1995" s="1" t="s">
        <v>113</v>
      </c>
      <c r="S1995" s="1" t="s">
        <v>4484</v>
      </c>
      <c r="T1995" s="1" t="s">
        <v>4485</v>
      </c>
      <c r="U1995" s="1" t="s">
        <v>130</v>
      </c>
      <c r="V1995" s="1" t="s">
        <v>99</v>
      </c>
      <c r="W1995" s="1" t="str">
        <f>VLOOKUP(Table1[[#This Row],[Obergruppe ATC-Code]],Tabelle3!$A$2:$B$100,2)</f>
        <v>ANTIPHLOGISTIKA UND ANTIRHEUMATIKA</v>
      </c>
      <c r="X1995" s="1" t="str">
        <f xml:space="preserve"> LEFT(Table1[[#This Row],[Atc Code]],3)</f>
        <v>M01</v>
      </c>
    </row>
    <row r="1996" spans="1:24" ht="14.4">
      <c r="A1996" s="14">
        <v>1342</v>
      </c>
      <c r="B1996" s="24">
        <v>12652469</v>
      </c>
      <c r="C1996" s="1">
        <v>2197258</v>
      </c>
      <c r="D1996" s="1" t="s">
        <v>175</v>
      </c>
      <c r="E1996" s="36">
        <v>45166</v>
      </c>
      <c r="F1996" s="36">
        <v>45260</v>
      </c>
      <c r="G1996" s="38">
        <f t="shared" si="31"/>
        <v>94</v>
      </c>
      <c r="H1996" s="5">
        <v>45166</v>
      </c>
      <c r="I1996" s="5">
        <v>45166</v>
      </c>
      <c r="J1996" s="1" t="s">
        <v>26</v>
      </c>
      <c r="K1996" s="1" t="s">
        <v>4483</v>
      </c>
      <c r="L1996" s="1" t="s">
        <v>4474</v>
      </c>
      <c r="M1996" s="1" t="s">
        <v>4475</v>
      </c>
      <c r="N1996" s="1" t="s">
        <v>38</v>
      </c>
      <c r="O1996" s="1" t="s">
        <v>3619</v>
      </c>
      <c r="P1996" s="1">
        <v>69478730</v>
      </c>
      <c r="Q1996" s="1" t="s">
        <v>3620</v>
      </c>
      <c r="R1996" s="1" t="s">
        <v>113</v>
      </c>
      <c r="S1996" s="1" t="s">
        <v>4486</v>
      </c>
      <c r="T1996" s="1" t="s">
        <v>4485</v>
      </c>
      <c r="U1996" s="1" t="s">
        <v>130</v>
      </c>
      <c r="V1996" s="1" t="s">
        <v>99</v>
      </c>
      <c r="W1996" s="1" t="str">
        <f>VLOOKUP(Table1[[#This Row],[Obergruppe ATC-Code]],Tabelle3!$A$2:$B$100,2)</f>
        <v>ANTIPHLOGISTIKA UND ANTIRHEUMATIKA</v>
      </c>
      <c r="X1996" s="1" t="str">
        <f xml:space="preserve"> LEFT(Table1[[#This Row],[Atc Code]],3)</f>
        <v>M01</v>
      </c>
    </row>
    <row r="1997" spans="1:24" ht="14.4">
      <c r="A1997" s="14">
        <v>2239</v>
      </c>
      <c r="B1997" s="24" t="s">
        <v>4487</v>
      </c>
      <c r="C1997" s="1">
        <v>812873</v>
      </c>
      <c r="D1997" s="1" t="s">
        <v>25</v>
      </c>
      <c r="E1997" s="36">
        <v>44753</v>
      </c>
      <c r="F1997" s="36">
        <v>44917</v>
      </c>
      <c r="G1997" s="38">
        <f t="shared" si="31"/>
        <v>164</v>
      </c>
      <c r="H1997" s="5">
        <v>44748</v>
      </c>
      <c r="I1997" s="5">
        <v>44917</v>
      </c>
      <c r="J1997" s="1" t="s">
        <v>41</v>
      </c>
      <c r="K1997" s="1" t="s">
        <v>4488</v>
      </c>
      <c r="L1997" s="1" t="s">
        <v>4489</v>
      </c>
      <c r="M1997" s="1" t="s">
        <v>4490</v>
      </c>
      <c r="N1997" s="1" t="s">
        <v>30</v>
      </c>
      <c r="O1997" s="1" t="s">
        <v>364</v>
      </c>
      <c r="P1997" s="1" t="s">
        <v>365</v>
      </c>
      <c r="Q1997" s="1" t="s">
        <v>366</v>
      </c>
      <c r="R1997" s="1" t="s">
        <v>128</v>
      </c>
      <c r="S1997" s="1" t="s">
        <v>4491</v>
      </c>
      <c r="U1997" s="1" t="s">
        <v>130</v>
      </c>
      <c r="V1997" s="1" t="s">
        <v>143</v>
      </c>
      <c r="W1997" s="1" t="str">
        <f>VLOOKUP(Table1[[#This Row],[Obergruppe ATC-Code]],Tabelle3!$A$2:$B$100,2)</f>
        <v>ANTIPHLOGISTIKA UND ANTIRHEUMATIKA</v>
      </c>
      <c r="X1997" s="1" t="str">
        <f xml:space="preserve"> LEFT(Table1[[#This Row],[Atc Code]],3)</f>
        <v>M01</v>
      </c>
    </row>
    <row r="1998" spans="1:24" ht="14.4">
      <c r="A1998" s="14">
        <v>2310</v>
      </c>
      <c r="B1998" s="24" t="s">
        <v>4492</v>
      </c>
      <c r="C1998" s="1">
        <v>2100296</v>
      </c>
      <c r="D1998" s="1" t="s">
        <v>102</v>
      </c>
      <c r="E1998" s="36">
        <v>44640</v>
      </c>
      <c r="F1998" s="36">
        <v>45412</v>
      </c>
      <c r="G1998" s="38">
        <f t="shared" si="31"/>
        <v>772</v>
      </c>
      <c r="H1998" s="5">
        <v>44609</v>
      </c>
      <c r="I1998" s="5">
        <v>45043</v>
      </c>
      <c r="J1998" s="1" t="s">
        <v>41</v>
      </c>
      <c r="K1998" s="1" t="s">
        <v>4493</v>
      </c>
      <c r="L1998" s="1" t="s">
        <v>4489</v>
      </c>
      <c r="M1998" s="1" t="s">
        <v>4490</v>
      </c>
      <c r="N1998" s="1" t="s">
        <v>30</v>
      </c>
      <c r="O1998" s="1" t="s">
        <v>364</v>
      </c>
      <c r="P1998" s="1" t="s">
        <v>4494</v>
      </c>
      <c r="Q1998" s="1" t="s">
        <v>4495</v>
      </c>
      <c r="R1998" s="1" t="s">
        <v>26</v>
      </c>
      <c r="S1998" s="1" t="s">
        <v>4496</v>
      </c>
      <c r="T1998" s="1" t="s">
        <v>4497</v>
      </c>
      <c r="U1998" s="1" t="s">
        <v>35</v>
      </c>
      <c r="V1998" s="1" t="s">
        <v>143</v>
      </c>
      <c r="W1998" s="1" t="str">
        <f>VLOOKUP(Table1[[#This Row],[Obergruppe ATC-Code]],Tabelle3!$A$2:$B$100,2)</f>
        <v>ANTIPHLOGISTIKA UND ANTIRHEUMATIKA</v>
      </c>
      <c r="X1998" s="1" t="str">
        <f xml:space="preserve"> LEFT(Table1[[#This Row],[Atc Code]],3)</f>
        <v>M01</v>
      </c>
    </row>
    <row r="1999" spans="1:24" ht="14.4">
      <c r="A1999" s="14">
        <v>2238</v>
      </c>
      <c r="B1999" s="24" t="s">
        <v>4487</v>
      </c>
      <c r="C1999" s="1">
        <v>812873</v>
      </c>
      <c r="D1999" s="1" t="s">
        <v>25</v>
      </c>
      <c r="E1999" s="36">
        <v>44938</v>
      </c>
      <c r="F1999" s="36">
        <v>45055</v>
      </c>
      <c r="G1999" s="38">
        <f t="shared" si="31"/>
        <v>117</v>
      </c>
      <c r="H1999" s="5">
        <v>44938</v>
      </c>
      <c r="I1999" s="5">
        <v>45055</v>
      </c>
      <c r="J1999" s="1" t="s">
        <v>41</v>
      </c>
      <c r="K1999" s="1" t="s">
        <v>4488</v>
      </c>
      <c r="L1999" s="1" t="s">
        <v>4489</v>
      </c>
      <c r="M1999" s="1" t="s">
        <v>4490</v>
      </c>
      <c r="N1999" s="1" t="s">
        <v>30</v>
      </c>
      <c r="O1999" s="1" t="s">
        <v>364</v>
      </c>
      <c r="P1999" s="1" t="s">
        <v>365</v>
      </c>
      <c r="Q1999" s="1" t="s">
        <v>366</v>
      </c>
      <c r="R1999" s="1" t="s">
        <v>65</v>
      </c>
      <c r="S1999" s="1" t="s">
        <v>4498</v>
      </c>
      <c r="U1999" s="1" t="s">
        <v>35</v>
      </c>
      <c r="V1999" s="1" t="s">
        <v>143</v>
      </c>
      <c r="W1999" s="1" t="str">
        <f>VLOOKUP(Table1[[#This Row],[Obergruppe ATC-Code]],Tabelle3!$A$2:$B$100,2)</f>
        <v>ANTIPHLOGISTIKA UND ANTIRHEUMATIKA</v>
      </c>
      <c r="X1999" s="1" t="str">
        <f xml:space="preserve"> LEFT(Table1[[#This Row],[Atc Code]],3)</f>
        <v>M01</v>
      </c>
    </row>
    <row r="2000" spans="1:24" ht="14.4">
      <c r="A2000" s="14">
        <v>103</v>
      </c>
      <c r="B2000" s="24">
        <v>645323</v>
      </c>
      <c r="C2000" s="1">
        <v>428695</v>
      </c>
      <c r="D2000" s="1" t="s">
        <v>25</v>
      </c>
      <c r="E2000" s="36">
        <v>43221</v>
      </c>
      <c r="F2000" s="36">
        <v>43220</v>
      </c>
      <c r="G2000" s="38">
        <f t="shared" si="31"/>
        <v>-1</v>
      </c>
      <c r="H2000" s="5">
        <v>43172</v>
      </c>
      <c r="I2000" s="5">
        <v>43224</v>
      </c>
      <c r="J2000" s="1" t="s">
        <v>41</v>
      </c>
      <c r="K2000" s="1" t="s">
        <v>4499</v>
      </c>
      <c r="L2000" s="1" t="s">
        <v>4500</v>
      </c>
      <c r="M2000" s="1" t="s">
        <v>4501</v>
      </c>
      <c r="N2000" s="1" t="s">
        <v>30</v>
      </c>
      <c r="O2000" s="1" t="s">
        <v>1212</v>
      </c>
      <c r="P2000" s="1" t="s">
        <v>4502</v>
      </c>
      <c r="Q2000" s="1" t="s">
        <v>4503</v>
      </c>
      <c r="R2000" s="1" t="s">
        <v>26</v>
      </c>
      <c r="S2000" s="1"/>
      <c r="U2000" s="1" t="s">
        <v>35</v>
      </c>
      <c r="V2000" s="1" t="s">
        <v>1009</v>
      </c>
      <c r="W2000" s="1" t="str">
        <f>VLOOKUP(Table1[[#This Row],[Obergruppe ATC-Code]],Tabelle3!$A$2:$B$100,2)</f>
        <v>MUSKELRELAXANZIEN</v>
      </c>
      <c r="X2000" s="1" t="str">
        <f xml:space="preserve"> LEFT(Table1[[#This Row],[Atc Code]],3)</f>
        <v>M03</v>
      </c>
    </row>
    <row r="2001" spans="1:24" ht="14.4">
      <c r="A2001" s="14">
        <v>2354</v>
      </c>
      <c r="B2001" s="24" t="s">
        <v>4504</v>
      </c>
      <c r="C2001" s="1">
        <v>2134409</v>
      </c>
      <c r="D2001" s="1" t="s">
        <v>25</v>
      </c>
      <c r="E2001" s="36">
        <v>43252</v>
      </c>
      <c r="F2001" s="36">
        <v>43404</v>
      </c>
      <c r="G2001" s="38">
        <f t="shared" si="31"/>
        <v>152</v>
      </c>
      <c r="H2001" s="5">
        <v>43262</v>
      </c>
      <c r="I2001" s="5">
        <v>43389</v>
      </c>
      <c r="J2001" s="1" t="s">
        <v>26</v>
      </c>
      <c r="K2001" s="1" t="s">
        <v>4505</v>
      </c>
      <c r="L2001" s="1" t="s">
        <v>4506</v>
      </c>
      <c r="M2001" s="1" t="s">
        <v>4507</v>
      </c>
      <c r="N2001" s="1" t="s">
        <v>30</v>
      </c>
      <c r="O2001" s="1" t="s">
        <v>2422</v>
      </c>
      <c r="P2001" s="1" t="s">
        <v>4508</v>
      </c>
      <c r="Q2001" s="1" t="s">
        <v>3220</v>
      </c>
      <c r="R2001" s="1" t="s">
        <v>33</v>
      </c>
      <c r="S2001" s="1"/>
      <c r="T2001" s="1" t="s">
        <v>4509</v>
      </c>
      <c r="U2001" s="1" t="s">
        <v>35</v>
      </c>
      <c r="V2001" s="1" t="s">
        <v>74</v>
      </c>
      <c r="W2001" s="1" t="str">
        <f>VLOOKUP(Table1[[#This Row],[Obergruppe ATC-Code]],Tabelle3!$A$2:$B$100,2)</f>
        <v>MUSKELRELAXANZIEN</v>
      </c>
      <c r="X2001" s="1" t="str">
        <f xml:space="preserve"> LEFT(Table1[[#This Row],[Atc Code]],3)</f>
        <v>M03</v>
      </c>
    </row>
    <row r="2002" spans="1:24" ht="14.4">
      <c r="A2002" s="14">
        <v>1461</v>
      </c>
      <c r="B2002" s="24">
        <v>14438786</v>
      </c>
      <c r="C2002" s="1">
        <v>2168880</v>
      </c>
      <c r="D2002" s="1" t="s">
        <v>25</v>
      </c>
      <c r="E2002" s="36">
        <v>43952</v>
      </c>
      <c r="F2002" s="36">
        <v>44012</v>
      </c>
      <c r="G2002" s="38">
        <f t="shared" si="31"/>
        <v>60</v>
      </c>
      <c r="H2002" s="5">
        <v>43956</v>
      </c>
      <c r="I2002" s="5">
        <v>43984</v>
      </c>
      <c r="J2002" s="1" t="s">
        <v>41</v>
      </c>
      <c r="K2002" s="1" t="s">
        <v>4510</v>
      </c>
      <c r="L2002" s="1" t="s">
        <v>4511</v>
      </c>
      <c r="M2002" s="1" t="s">
        <v>4512</v>
      </c>
      <c r="N2002" s="1" t="s">
        <v>30</v>
      </c>
      <c r="O2002" s="1" t="s">
        <v>213</v>
      </c>
      <c r="P2002" s="1" t="s">
        <v>4513</v>
      </c>
      <c r="Q2002" s="1" t="s">
        <v>215</v>
      </c>
      <c r="R2002" s="1" t="s">
        <v>26</v>
      </c>
      <c r="S2002" s="1"/>
      <c r="T2002" s="1" t="s">
        <v>4514</v>
      </c>
      <c r="U2002" s="1" t="s">
        <v>57</v>
      </c>
      <c r="V2002" s="1" t="s">
        <v>652</v>
      </c>
      <c r="W2002" s="1" t="str">
        <f>VLOOKUP(Table1[[#This Row],[Obergruppe ATC-Code]],Tabelle3!$A$2:$B$100,2)</f>
        <v>MUSKELRELAXANZIEN</v>
      </c>
      <c r="X2002" s="1" t="str">
        <f xml:space="preserve"> LEFT(Table1[[#This Row],[Atc Code]],3)</f>
        <v>M03</v>
      </c>
    </row>
    <row r="2003" spans="1:24" ht="14.4">
      <c r="A2003" s="14">
        <v>741</v>
      </c>
      <c r="B2003" s="24">
        <v>5005344</v>
      </c>
      <c r="C2003" s="1">
        <v>2168881</v>
      </c>
      <c r="D2003" s="1" t="s">
        <v>25</v>
      </c>
      <c r="E2003" s="36">
        <v>44581</v>
      </c>
      <c r="F2003" s="36">
        <v>44608</v>
      </c>
      <c r="G2003" s="38">
        <f t="shared" si="31"/>
        <v>27</v>
      </c>
      <c r="H2003" s="5">
        <v>44581</v>
      </c>
      <c r="I2003" s="5">
        <v>44610</v>
      </c>
      <c r="J2003" s="1" t="s">
        <v>41</v>
      </c>
      <c r="K2003" s="1" t="s">
        <v>4515</v>
      </c>
      <c r="L2003" s="1" t="s">
        <v>4511</v>
      </c>
      <c r="M2003" s="1" t="s">
        <v>4512</v>
      </c>
      <c r="N2003" s="1" t="s">
        <v>30</v>
      </c>
      <c r="O2003" s="1" t="s">
        <v>220</v>
      </c>
      <c r="P2003" s="1">
        <v>1726839188</v>
      </c>
      <c r="Q2003" s="1" t="s">
        <v>1109</v>
      </c>
      <c r="R2003" s="1" t="s">
        <v>65</v>
      </c>
      <c r="S2003" s="1"/>
      <c r="U2003" s="1" t="s">
        <v>130</v>
      </c>
      <c r="V2003" s="1" t="s">
        <v>652</v>
      </c>
      <c r="W2003" s="1" t="str">
        <f>VLOOKUP(Table1[[#This Row],[Obergruppe ATC-Code]],Tabelle3!$A$2:$B$100,2)</f>
        <v>MUSKELRELAXANZIEN</v>
      </c>
      <c r="X2003" s="1" t="str">
        <f xml:space="preserve"> LEFT(Table1[[#This Row],[Atc Code]],3)</f>
        <v>M03</v>
      </c>
    </row>
    <row r="2004" spans="1:24" ht="14.4">
      <c r="A2004" s="14">
        <v>1463</v>
      </c>
      <c r="B2004" s="24">
        <v>14438786</v>
      </c>
      <c r="C2004" s="1">
        <v>2168880</v>
      </c>
      <c r="D2004" s="1" t="s">
        <v>25</v>
      </c>
      <c r="E2004" s="36">
        <v>44594</v>
      </c>
      <c r="F2004" s="36">
        <v>44615</v>
      </c>
      <c r="G2004" s="38">
        <f t="shared" si="31"/>
        <v>21</v>
      </c>
      <c r="H2004" s="5">
        <v>44594</v>
      </c>
      <c r="I2004" s="5">
        <v>44615</v>
      </c>
      <c r="J2004" s="1" t="s">
        <v>41</v>
      </c>
      <c r="K2004" s="1" t="s">
        <v>4510</v>
      </c>
      <c r="L2004" s="1" t="s">
        <v>4511</v>
      </c>
      <c r="M2004" s="1" t="s">
        <v>4512</v>
      </c>
      <c r="N2004" s="1" t="s">
        <v>30</v>
      </c>
      <c r="O2004" s="1" t="s">
        <v>213</v>
      </c>
      <c r="P2004" s="1">
        <v>566191477309</v>
      </c>
      <c r="Q2004" s="1" t="s">
        <v>911</v>
      </c>
      <c r="R2004" s="1" t="s">
        <v>128</v>
      </c>
      <c r="S2004" s="1"/>
      <c r="U2004" s="1" t="s">
        <v>130</v>
      </c>
      <c r="V2004" s="1" t="s">
        <v>652</v>
      </c>
      <c r="W2004" s="1" t="str">
        <f>VLOOKUP(Table1[[#This Row],[Obergruppe ATC-Code]],Tabelle3!$A$2:$B$100,2)</f>
        <v>MUSKELRELAXANZIEN</v>
      </c>
      <c r="X2004" s="1" t="str">
        <f xml:space="preserve"> LEFT(Table1[[#This Row],[Atc Code]],3)</f>
        <v>M03</v>
      </c>
    </row>
    <row r="2005" spans="1:24" ht="14.4">
      <c r="A2005" s="14">
        <v>1462</v>
      </c>
      <c r="B2005" s="24">
        <v>14438786</v>
      </c>
      <c r="C2005" s="1">
        <v>2168880</v>
      </c>
      <c r="D2005" s="1" t="s">
        <v>25</v>
      </c>
      <c r="E2005" s="36">
        <v>44776</v>
      </c>
      <c r="F2005" s="36">
        <v>44838</v>
      </c>
      <c r="G2005" s="38">
        <f t="shared" si="31"/>
        <v>62</v>
      </c>
      <c r="H2005" s="5">
        <v>44776</v>
      </c>
      <c r="I2005" s="5">
        <v>44838</v>
      </c>
      <c r="J2005" s="1" t="s">
        <v>41</v>
      </c>
      <c r="K2005" s="1" t="s">
        <v>4510</v>
      </c>
      <c r="L2005" s="1" t="s">
        <v>4511</v>
      </c>
      <c r="M2005" s="1" t="s">
        <v>4512</v>
      </c>
      <c r="N2005" s="1" t="s">
        <v>38</v>
      </c>
      <c r="O2005" s="1" t="s">
        <v>213</v>
      </c>
      <c r="P2005" s="1">
        <v>566191477307</v>
      </c>
      <c r="Q2005" s="1" t="s">
        <v>974</v>
      </c>
      <c r="R2005" s="1" t="s">
        <v>128</v>
      </c>
      <c r="S2005" s="1"/>
      <c r="U2005" s="1" t="s">
        <v>130</v>
      </c>
      <c r="V2005" s="1" t="s">
        <v>652</v>
      </c>
      <c r="W2005" s="1" t="str">
        <f>VLOOKUP(Table1[[#This Row],[Obergruppe ATC-Code]],Tabelle3!$A$2:$B$100,2)</f>
        <v>MUSKELRELAXANZIEN</v>
      </c>
      <c r="X2005" s="1" t="str">
        <f xml:space="preserve"> LEFT(Table1[[#This Row],[Atc Code]],3)</f>
        <v>M03</v>
      </c>
    </row>
    <row r="2006" spans="1:24" ht="14.4">
      <c r="A2006" s="14">
        <v>902</v>
      </c>
      <c r="B2006" s="24">
        <v>7577926</v>
      </c>
      <c r="C2006" s="1">
        <v>2131179</v>
      </c>
      <c r="D2006" s="1" t="s">
        <v>25</v>
      </c>
      <c r="E2006" s="36">
        <v>44497</v>
      </c>
      <c r="F2006" s="36">
        <v>44505</v>
      </c>
      <c r="G2006" s="38">
        <f t="shared" si="31"/>
        <v>8</v>
      </c>
      <c r="H2006" s="5">
        <v>44489</v>
      </c>
      <c r="I2006" s="5">
        <v>44505</v>
      </c>
      <c r="J2006" s="1" t="s">
        <v>26</v>
      </c>
      <c r="K2006" s="1" t="s">
        <v>4516</v>
      </c>
      <c r="L2006" s="1" t="s">
        <v>4517</v>
      </c>
      <c r="M2006" s="1" t="s">
        <v>4518</v>
      </c>
      <c r="N2006" s="1" t="s">
        <v>30</v>
      </c>
      <c r="O2006" s="1" t="s">
        <v>818</v>
      </c>
      <c r="P2006" s="1" t="s">
        <v>2217</v>
      </c>
      <c r="Q2006" s="1" t="s">
        <v>1047</v>
      </c>
      <c r="R2006" s="1" t="s">
        <v>113</v>
      </c>
      <c r="S2006" s="1"/>
      <c r="U2006" s="1" t="s">
        <v>130</v>
      </c>
      <c r="V2006" s="1" t="s">
        <v>4519</v>
      </c>
      <c r="W2006" s="1" t="str">
        <f>VLOOKUP(Table1[[#This Row],[Obergruppe ATC-Code]],Tabelle3!$A$2:$B$100,2)</f>
        <v>MUSKELRELAXANZIEN</v>
      </c>
      <c r="X2006" s="1" t="str">
        <f xml:space="preserve"> LEFT(Table1[[#This Row],[Atc Code]],3)</f>
        <v>M03</v>
      </c>
    </row>
    <row r="2007" spans="1:24" ht="14.4">
      <c r="A2007" s="14">
        <v>899</v>
      </c>
      <c r="B2007" s="24">
        <v>7577903</v>
      </c>
      <c r="C2007" s="1">
        <v>2131178</v>
      </c>
      <c r="D2007" s="1" t="s">
        <v>25</v>
      </c>
      <c r="E2007" s="36">
        <v>44494</v>
      </c>
      <c r="F2007" s="36">
        <v>44519</v>
      </c>
      <c r="G2007" s="38">
        <f t="shared" si="31"/>
        <v>25</v>
      </c>
      <c r="H2007" s="5">
        <v>44489</v>
      </c>
      <c r="I2007" s="5">
        <v>44519</v>
      </c>
      <c r="J2007" s="1" t="s">
        <v>26</v>
      </c>
      <c r="K2007" s="1" t="s">
        <v>4520</v>
      </c>
      <c r="L2007" s="1" t="s">
        <v>4517</v>
      </c>
      <c r="M2007" s="1" t="s">
        <v>4518</v>
      </c>
      <c r="N2007" s="1" t="s">
        <v>30</v>
      </c>
      <c r="O2007" s="1" t="s">
        <v>818</v>
      </c>
      <c r="P2007" s="1" t="s">
        <v>2217</v>
      </c>
      <c r="Q2007" s="1" t="s">
        <v>1047</v>
      </c>
      <c r="R2007" s="1" t="s">
        <v>113</v>
      </c>
      <c r="S2007" s="1"/>
      <c r="U2007" s="1" t="s">
        <v>130</v>
      </c>
      <c r="V2007" s="1" t="s">
        <v>74</v>
      </c>
      <c r="W2007" s="1" t="str">
        <f>VLOOKUP(Table1[[#This Row],[Obergruppe ATC-Code]],Tabelle3!$A$2:$B$100,2)</f>
        <v>MUSKELRELAXANZIEN</v>
      </c>
      <c r="X2007" s="1" t="str">
        <f xml:space="preserve"> LEFT(Table1[[#This Row],[Atc Code]],3)</f>
        <v>M03</v>
      </c>
    </row>
    <row r="2008" spans="1:24" ht="14.4">
      <c r="A2008" s="14">
        <v>901</v>
      </c>
      <c r="B2008" s="24">
        <v>7577926</v>
      </c>
      <c r="C2008" s="1">
        <v>2131179</v>
      </c>
      <c r="D2008" s="1" t="s">
        <v>25</v>
      </c>
      <c r="E2008" s="36">
        <v>44651</v>
      </c>
      <c r="F2008" s="36">
        <v>44824</v>
      </c>
      <c r="G2008" s="38">
        <f t="shared" si="31"/>
        <v>173</v>
      </c>
      <c r="H2008" s="5">
        <v>44599</v>
      </c>
      <c r="I2008" s="5">
        <v>44824</v>
      </c>
      <c r="J2008" s="1" t="s">
        <v>41</v>
      </c>
      <c r="K2008" s="1" t="s">
        <v>4516</v>
      </c>
      <c r="L2008" s="1" t="s">
        <v>4517</v>
      </c>
      <c r="M2008" s="1" t="s">
        <v>4518</v>
      </c>
      <c r="N2008" s="1" t="s">
        <v>30</v>
      </c>
      <c r="O2008" s="1" t="s">
        <v>818</v>
      </c>
      <c r="P2008" s="1" t="s">
        <v>1048</v>
      </c>
      <c r="Q2008" s="1" t="s">
        <v>1047</v>
      </c>
      <c r="R2008" s="1" t="s">
        <v>48</v>
      </c>
      <c r="S2008" s="1"/>
      <c r="U2008" s="1" t="s">
        <v>130</v>
      </c>
      <c r="V2008" s="1" t="s">
        <v>4519</v>
      </c>
      <c r="W2008" s="1" t="str">
        <f>VLOOKUP(Table1[[#This Row],[Obergruppe ATC-Code]],Tabelle3!$A$2:$B$100,2)</f>
        <v>MUSKELRELAXANZIEN</v>
      </c>
      <c r="X2008" s="1" t="str">
        <f xml:space="preserve"> LEFT(Table1[[#This Row],[Atc Code]],3)</f>
        <v>M03</v>
      </c>
    </row>
    <row r="2009" spans="1:24" ht="14.4">
      <c r="A2009" s="14">
        <v>898</v>
      </c>
      <c r="B2009" s="24">
        <v>7577903</v>
      </c>
      <c r="C2009" s="1">
        <v>2131178</v>
      </c>
      <c r="D2009" s="1" t="s">
        <v>25</v>
      </c>
      <c r="E2009" s="36">
        <v>44651</v>
      </c>
      <c r="F2009" s="36">
        <v>44824</v>
      </c>
      <c r="G2009" s="38">
        <f t="shared" si="31"/>
        <v>173</v>
      </c>
      <c r="H2009" s="5">
        <v>44599</v>
      </c>
      <c r="I2009" s="5">
        <v>44824</v>
      </c>
      <c r="J2009" s="1" t="s">
        <v>41</v>
      </c>
      <c r="K2009" s="1" t="s">
        <v>4520</v>
      </c>
      <c r="L2009" s="1" t="s">
        <v>4517</v>
      </c>
      <c r="M2009" s="1" t="s">
        <v>4518</v>
      </c>
      <c r="N2009" s="1" t="s">
        <v>30</v>
      </c>
      <c r="O2009" s="1" t="s">
        <v>818</v>
      </c>
      <c r="P2009" s="1" t="s">
        <v>1048</v>
      </c>
      <c r="Q2009" s="1" t="s">
        <v>1047</v>
      </c>
      <c r="R2009" s="1" t="s">
        <v>48</v>
      </c>
      <c r="S2009" s="1"/>
      <c r="U2009" s="1" t="s">
        <v>130</v>
      </c>
      <c r="V2009" s="1" t="s">
        <v>74</v>
      </c>
      <c r="W2009" s="1" t="str">
        <f>VLOOKUP(Table1[[#This Row],[Obergruppe ATC-Code]],Tabelle3!$A$2:$B$100,2)</f>
        <v>MUSKELRELAXANZIEN</v>
      </c>
      <c r="X2009" s="1" t="str">
        <f xml:space="preserve"> LEFT(Table1[[#This Row],[Atc Code]],3)</f>
        <v>M03</v>
      </c>
    </row>
    <row r="2010" spans="1:24" ht="14.4">
      <c r="A2010" s="14">
        <v>900</v>
      </c>
      <c r="B2010" s="24">
        <v>7577926</v>
      </c>
      <c r="C2010" s="1">
        <v>2131179</v>
      </c>
      <c r="D2010" s="1" t="s">
        <v>25</v>
      </c>
      <c r="E2010" s="36">
        <v>44896</v>
      </c>
      <c r="F2010" s="36">
        <v>44999</v>
      </c>
      <c r="G2010" s="38">
        <f t="shared" si="31"/>
        <v>103</v>
      </c>
      <c r="H2010" s="5">
        <v>44894</v>
      </c>
      <c r="I2010" s="5">
        <v>44999</v>
      </c>
      <c r="J2010" s="1" t="s">
        <v>41</v>
      </c>
      <c r="K2010" s="1" t="s">
        <v>4516</v>
      </c>
      <c r="L2010" s="1" t="s">
        <v>4517</v>
      </c>
      <c r="M2010" s="1" t="s">
        <v>4518</v>
      </c>
      <c r="N2010" s="1" t="s">
        <v>38</v>
      </c>
      <c r="O2010" s="1" t="s">
        <v>818</v>
      </c>
      <c r="P2010" s="1" t="s">
        <v>1048</v>
      </c>
      <c r="Q2010" s="1" t="s">
        <v>1047</v>
      </c>
      <c r="R2010" s="1" t="s">
        <v>65</v>
      </c>
      <c r="S2010" s="1"/>
      <c r="U2010" s="1" t="s">
        <v>130</v>
      </c>
      <c r="V2010" s="1" t="s">
        <v>4519</v>
      </c>
      <c r="W2010" s="1" t="str">
        <f>VLOOKUP(Table1[[#This Row],[Obergruppe ATC-Code]],Tabelle3!$A$2:$B$100,2)</f>
        <v>MUSKELRELAXANZIEN</v>
      </c>
      <c r="X2010" s="1" t="str">
        <f xml:space="preserve"> LEFT(Table1[[#This Row],[Atc Code]],3)</f>
        <v>M03</v>
      </c>
    </row>
    <row r="2011" spans="1:24" ht="14.4">
      <c r="A2011" s="14">
        <v>897</v>
      </c>
      <c r="B2011" s="24">
        <v>7577903</v>
      </c>
      <c r="C2011" s="1">
        <v>2131178</v>
      </c>
      <c r="D2011" s="1" t="s">
        <v>25</v>
      </c>
      <c r="E2011" s="36">
        <v>44896</v>
      </c>
      <c r="F2011" s="36">
        <v>45000</v>
      </c>
      <c r="G2011" s="38">
        <f t="shared" si="31"/>
        <v>104</v>
      </c>
      <c r="H2011" s="5">
        <v>44894</v>
      </c>
      <c r="I2011" s="5">
        <v>44999</v>
      </c>
      <c r="J2011" s="1" t="s">
        <v>41</v>
      </c>
      <c r="K2011" s="1" t="s">
        <v>4520</v>
      </c>
      <c r="L2011" s="1" t="s">
        <v>4517</v>
      </c>
      <c r="M2011" s="1" t="s">
        <v>4518</v>
      </c>
      <c r="N2011" s="1" t="s">
        <v>38</v>
      </c>
      <c r="O2011" s="1" t="s">
        <v>818</v>
      </c>
      <c r="P2011" s="1" t="s">
        <v>1048</v>
      </c>
      <c r="Q2011" s="1" t="s">
        <v>1047</v>
      </c>
      <c r="R2011" s="1" t="s">
        <v>65</v>
      </c>
      <c r="S2011" s="1"/>
      <c r="U2011" s="1" t="s">
        <v>130</v>
      </c>
      <c r="V2011" s="1" t="s">
        <v>74</v>
      </c>
      <c r="W2011" s="1" t="str">
        <f>VLOOKUP(Table1[[#This Row],[Obergruppe ATC-Code]],Tabelle3!$A$2:$B$100,2)</f>
        <v>MUSKELRELAXANZIEN</v>
      </c>
      <c r="X2011" s="1" t="str">
        <f xml:space="preserve"> LEFT(Table1[[#This Row],[Atc Code]],3)</f>
        <v>M03</v>
      </c>
    </row>
    <row r="2012" spans="1:24" ht="14.4">
      <c r="A2012" s="14">
        <v>890</v>
      </c>
      <c r="B2012" s="24">
        <v>7428793</v>
      </c>
      <c r="C2012" s="1">
        <v>2142105</v>
      </c>
      <c r="D2012" s="1" t="s">
        <v>25</v>
      </c>
      <c r="E2012" s="36">
        <v>44105</v>
      </c>
      <c r="F2012" s="36">
        <v>44165</v>
      </c>
      <c r="G2012" s="38">
        <f t="shared" si="31"/>
        <v>60</v>
      </c>
      <c r="H2012" s="5">
        <v>44152</v>
      </c>
      <c r="I2012" s="5">
        <v>44169</v>
      </c>
      <c r="J2012" s="1" t="s">
        <v>41</v>
      </c>
      <c r="K2012" s="1" t="s">
        <v>4521</v>
      </c>
      <c r="L2012" s="1" t="s">
        <v>4522</v>
      </c>
      <c r="M2012" s="1" t="s">
        <v>4523</v>
      </c>
      <c r="N2012" s="1" t="s">
        <v>30</v>
      </c>
      <c r="O2012" s="1" t="s">
        <v>818</v>
      </c>
      <c r="P2012" s="1">
        <v>498993083800</v>
      </c>
      <c r="Q2012" s="1" t="s">
        <v>820</v>
      </c>
      <c r="R2012" s="1" t="s">
        <v>26</v>
      </c>
      <c r="S2012" s="1"/>
      <c r="T2012" s="1" t="s">
        <v>4524</v>
      </c>
      <c r="U2012" s="1" t="s">
        <v>35</v>
      </c>
      <c r="V2012" s="1" t="s">
        <v>652</v>
      </c>
      <c r="W2012" s="1" t="str">
        <f>VLOOKUP(Table1[[#This Row],[Obergruppe ATC-Code]],Tabelle3!$A$2:$B$100,2)</f>
        <v>MUSKELRELAXANZIEN</v>
      </c>
      <c r="X2012" s="1" t="str">
        <f xml:space="preserve"> LEFT(Table1[[#This Row],[Atc Code]],3)</f>
        <v>M03</v>
      </c>
    </row>
    <row r="2013" spans="1:24" ht="14.4">
      <c r="A2013" s="14">
        <v>889</v>
      </c>
      <c r="B2013" s="24">
        <v>7428793</v>
      </c>
      <c r="C2013" s="1">
        <v>2142105</v>
      </c>
      <c r="D2013" s="1" t="s">
        <v>25</v>
      </c>
      <c r="E2013" s="36">
        <v>44105</v>
      </c>
      <c r="F2013" s="36">
        <v>44354</v>
      </c>
      <c r="G2013" s="38">
        <f t="shared" si="31"/>
        <v>249</v>
      </c>
      <c r="H2013" s="5">
        <v>44196</v>
      </c>
      <c r="I2013" s="5">
        <v>44354</v>
      </c>
      <c r="J2013" s="1" t="s">
        <v>41</v>
      </c>
      <c r="K2013" s="1" t="s">
        <v>4521</v>
      </c>
      <c r="L2013" s="1" t="s">
        <v>4522</v>
      </c>
      <c r="M2013" s="1" t="s">
        <v>4523</v>
      </c>
      <c r="N2013" s="1" t="s">
        <v>30</v>
      </c>
      <c r="O2013" s="1" t="s">
        <v>818</v>
      </c>
      <c r="P2013" s="1">
        <v>498993083800</v>
      </c>
      <c r="Q2013" s="1" t="s">
        <v>820</v>
      </c>
      <c r="R2013" s="1" t="s">
        <v>26</v>
      </c>
      <c r="S2013" s="1"/>
      <c r="T2013" s="1" t="s">
        <v>4525</v>
      </c>
      <c r="U2013" s="1" t="s">
        <v>57</v>
      </c>
      <c r="V2013" s="1" t="s">
        <v>652</v>
      </c>
      <c r="W2013" s="1" t="str">
        <f>VLOOKUP(Table1[[#This Row],[Obergruppe ATC-Code]],Tabelle3!$A$2:$B$100,2)</f>
        <v>MUSKELRELAXANZIEN</v>
      </c>
      <c r="X2013" s="1" t="str">
        <f xml:space="preserve"> LEFT(Table1[[#This Row],[Atc Code]],3)</f>
        <v>M03</v>
      </c>
    </row>
    <row r="2014" spans="1:24" ht="14.4">
      <c r="A2014" s="14">
        <v>887</v>
      </c>
      <c r="B2014" s="24">
        <v>7428787</v>
      </c>
      <c r="C2014" s="1">
        <v>2136267</v>
      </c>
      <c r="D2014" s="1" t="s">
        <v>25</v>
      </c>
      <c r="E2014" s="36">
        <v>44166</v>
      </c>
      <c r="F2014" s="36">
        <v>44389</v>
      </c>
      <c r="G2014" s="38">
        <f t="shared" si="31"/>
        <v>223</v>
      </c>
      <c r="H2014" s="5">
        <v>44170</v>
      </c>
      <c r="I2014" s="5">
        <v>44389</v>
      </c>
      <c r="J2014" s="1" t="s">
        <v>41</v>
      </c>
      <c r="K2014" s="1" t="s">
        <v>4526</v>
      </c>
      <c r="L2014" s="1" t="s">
        <v>4522</v>
      </c>
      <c r="M2014" s="1" t="s">
        <v>4523</v>
      </c>
      <c r="N2014" s="1" t="s">
        <v>30</v>
      </c>
      <c r="O2014" s="1" t="s">
        <v>818</v>
      </c>
      <c r="P2014" s="1">
        <v>498993083800</v>
      </c>
      <c r="Q2014" s="1" t="s">
        <v>820</v>
      </c>
      <c r="R2014" s="1" t="s">
        <v>26</v>
      </c>
      <c r="S2014" s="1"/>
      <c r="T2014" s="1" t="s">
        <v>4525</v>
      </c>
      <c r="U2014" s="1" t="s">
        <v>57</v>
      </c>
      <c r="V2014" s="1" t="s">
        <v>652</v>
      </c>
      <c r="W2014" s="1" t="str">
        <f>VLOOKUP(Table1[[#This Row],[Obergruppe ATC-Code]],Tabelle3!$A$2:$B$100,2)</f>
        <v>MUSKELRELAXANZIEN</v>
      </c>
      <c r="X2014" s="1" t="str">
        <f xml:space="preserve"> LEFT(Table1[[#This Row],[Atc Code]],3)</f>
        <v>M03</v>
      </c>
    </row>
    <row r="2015" spans="1:24" ht="14.4">
      <c r="A2015" s="14">
        <v>3150</v>
      </c>
      <c r="B2015" s="3">
        <v>9266716</v>
      </c>
      <c r="C2015" s="1">
        <v>2181736</v>
      </c>
      <c r="D2015" s="1" t="s">
        <v>25</v>
      </c>
      <c r="E2015" s="36">
        <v>44166</v>
      </c>
      <c r="F2015" s="36">
        <v>44398</v>
      </c>
      <c r="G2015" s="38">
        <f t="shared" si="31"/>
        <v>232</v>
      </c>
      <c r="H2015" s="5">
        <v>44147</v>
      </c>
      <c r="I2015" s="5">
        <v>44392</v>
      </c>
      <c r="J2015" s="1" t="s">
        <v>41</v>
      </c>
      <c r="K2015" s="1" t="s">
        <v>4527</v>
      </c>
      <c r="L2015" s="1" t="s">
        <v>4522</v>
      </c>
      <c r="M2015" s="1" t="s">
        <v>4523</v>
      </c>
      <c r="N2015" s="1" t="s">
        <v>30</v>
      </c>
      <c r="O2015" s="1" t="s">
        <v>1081</v>
      </c>
      <c r="P2015" s="1" t="s">
        <v>4528</v>
      </c>
      <c r="Q2015" s="1" t="s">
        <v>4529</v>
      </c>
      <c r="R2015" s="1" t="s">
        <v>942</v>
      </c>
      <c r="S2015" s="1" t="s">
        <v>4530</v>
      </c>
      <c r="T2015" s="1" t="s">
        <v>4531</v>
      </c>
      <c r="U2015" s="1" t="s">
        <v>35</v>
      </c>
      <c r="V2015" s="1" t="s">
        <v>652</v>
      </c>
      <c r="W2015" s="1" t="str">
        <f>VLOOKUP(Table1[[#This Row],[Obergruppe ATC-Code]],Tabelle3!$A$2:$B$100,2)</f>
        <v>MUSKELRELAXANZIEN</v>
      </c>
      <c r="X2015" s="1" t="str">
        <f xml:space="preserve"> LEFT(Table1[[#This Row],[Atc Code]],3)</f>
        <v>M03</v>
      </c>
    </row>
    <row r="2016" spans="1:24" ht="14.4">
      <c r="A2016" s="14">
        <v>892</v>
      </c>
      <c r="B2016" s="24">
        <v>7428793</v>
      </c>
      <c r="C2016" s="1">
        <v>2142105</v>
      </c>
      <c r="D2016" s="1" t="s">
        <v>25</v>
      </c>
      <c r="E2016" s="36">
        <v>44390</v>
      </c>
      <c r="F2016" s="36">
        <v>44399</v>
      </c>
      <c r="G2016" s="38">
        <f t="shared" si="31"/>
        <v>9</v>
      </c>
      <c r="H2016" s="5">
        <v>44384</v>
      </c>
      <c r="I2016" s="5">
        <v>44404</v>
      </c>
      <c r="J2016" s="1" t="s">
        <v>41</v>
      </c>
      <c r="K2016" s="1" t="s">
        <v>4521</v>
      </c>
      <c r="L2016" s="1" t="s">
        <v>4522</v>
      </c>
      <c r="M2016" s="1" t="s">
        <v>4523</v>
      </c>
      <c r="N2016" s="1" t="s">
        <v>38</v>
      </c>
      <c r="O2016" s="1" t="s">
        <v>818</v>
      </c>
      <c r="P2016" s="1" t="s">
        <v>2217</v>
      </c>
      <c r="Q2016" s="1" t="s">
        <v>1047</v>
      </c>
      <c r="R2016" s="1" t="s">
        <v>65</v>
      </c>
      <c r="S2016" s="1" t="s">
        <v>4532</v>
      </c>
      <c r="U2016" s="1" t="s">
        <v>130</v>
      </c>
      <c r="V2016" s="1" t="s">
        <v>652</v>
      </c>
      <c r="W2016" s="1" t="str">
        <f>VLOOKUP(Table1[[#This Row],[Obergruppe ATC-Code]],Tabelle3!$A$2:$B$100,2)</f>
        <v>MUSKELRELAXANZIEN</v>
      </c>
      <c r="X2016" s="1" t="str">
        <f xml:space="preserve"> LEFT(Table1[[#This Row],[Atc Code]],3)</f>
        <v>M03</v>
      </c>
    </row>
    <row r="2017" spans="1:24" ht="14.4">
      <c r="A2017" s="14">
        <v>891</v>
      </c>
      <c r="B2017" s="24">
        <v>7428793</v>
      </c>
      <c r="C2017" s="1">
        <v>2142105</v>
      </c>
      <c r="D2017" s="1" t="s">
        <v>175</v>
      </c>
      <c r="E2017" s="36">
        <v>45199</v>
      </c>
      <c r="F2017" s="36">
        <v>45930</v>
      </c>
      <c r="G2017" s="38">
        <f t="shared" si="31"/>
        <v>731</v>
      </c>
      <c r="H2017" s="5">
        <v>45168</v>
      </c>
      <c r="I2017" s="5">
        <v>45168</v>
      </c>
      <c r="J2017" s="1" t="s">
        <v>26</v>
      </c>
      <c r="K2017" s="1" t="s">
        <v>4521</v>
      </c>
      <c r="L2017" s="1" t="s">
        <v>4522</v>
      </c>
      <c r="M2017" s="1" t="s">
        <v>4523</v>
      </c>
      <c r="N2017" s="1" t="s">
        <v>38</v>
      </c>
      <c r="O2017" s="1" t="s">
        <v>818</v>
      </c>
      <c r="P2017" s="1" t="s">
        <v>1048</v>
      </c>
      <c r="Q2017" s="1" t="s">
        <v>1047</v>
      </c>
      <c r="R2017" s="1" t="s">
        <v>26</v>
      </c>
      <c r="S2017" s="1"/>
      <c r="T2017" s="1" t="s">
        <v>4531</v>
      </c>
      <c r="U2017" s="1" t="s">
        <v>130</v>
      </c>
      <c r="V2017" s="1" t="s">
        <v>652</v>
      </c>
      <c r="W2017" s="1" t="str">
        <f>VLOOKUP(Table1[[#This Row],[Obergruppe ATC-Code]],Tabelle3!$A$2:$B$100,2)</f>
        <v>MUSKELRELAXANZIEN</v>
      </c>
      <c r="X2017" s="1" t="str">
        <f xml:space="preserve"> LEFT(Table1[[#This Row],[Atc Code]],3)</f>
        <v>M03</v>
      </c>
    </row>
    <row r="2018" spans="1:24" ht="14.4">
      <c r="A2018" s="14">
        <v>888</v>
      </c>
      <c r="B2018" s="24">
        <v>7428787</v>
      </c>
      <c r="C2018" s="1">
        <v>2136267</v>
      </c>
      <c r="D2018" s="1" t="s">
        <v>175</v>
      </c>
      <c r="E2018" s="36">
        <v>45291</v>
      </c>
      <c r="F2018" s="36">
        <v>46022</v>
      </c>
      <c r="G2018" s="38">
        <f t="shared" si="31"/>
        <v>731</v>
      </c>
      <c r="H2018" s="5">
        <v>45168</v>
      </c>
      <c r="I2018" s="5">
        <v>45168</v>
      </c>
      <c r="J2018" s="1" t="s">
        <v>26</v>
      </c>
      <c r="K2018" s="1" t="s">
        <v>4526</v>
      </c>
      <c r="L2018" s="1" t="s">
        <v>4522</v>
      </c>
      <c r="M2018" s="1" t="s">
        <v>4523</v>
      </c>
      <c r="N2018" s="1" t="s">
        <v>38</v>
      </c>
      <c r="O2018" s="1" t="s">
        <v>818</v>
      </c>
      <c r="P2018" s="1" t="s">
        <v>1048</v>
      </c>
      <c r="Q2018" s="1" t="s">
        <v>1047</v>
      </c>
      <c r="R2018" s="1" t="s">
        <v>26</v>
      </c>
      <c r="S2018" s="1"/>
      <c r="U2018" s="1" t="s">
        <v>130</v>
      </c>
      <c r="V2018" s="1" t="s">
        <v>652</v>
      </c>
      <c r="W2018" s="1" t="str">
        <f>VLOOKUP(Table1[[#This Row],[Obergruppe ATC-Code]],Tabelle3!$A$2:$B$100,2)</f>
        <v>MUSKELRELAXANZIEN</v>
      </c>
      <c r="X2018" s="1" t="str">
        <f xml:space="preserve"> LEFT(Table1[[#This Row],[Atc Code]],3)</f>
        <v>M03</v>
      </c>
    </row>
    <row r="2019" spans="1:24" ht="14.4">
      <c r="A2019" s="14">
        <v>3152</v>
      </c>
      <c r="B2019" s="3" t="s">
        <v>4533</v>
      </c>
      <c r="C2019" s="1">
        <v>2701099</v>
      </c>
      <c r="D2019" s="1" t="s">
        <v>25</v>
      </c>
      <c r="E2019" s="36">
        <v>43617</v>
      </c>
      <c r="F2019" s="36">
        <v>43861</v>
      </c>
      <c r="G2019" s="38">
        <f t="shared" si="31"/>
        <v>244</v>
      </c>
      <c r="H2019" s="5">
        <v>43620</v>
      </c>
      <c r="I2019" s="5">
        <v>43851</v>
      </c>
      <c r="J2019" s="1" t="s">
        <v>41</v>
      </c>
      <c r="K2019" s="1" t="s">
        <v>4534</v>
      </c>
      <c r="L2019" s="1" t="s">
        <v>4535</v>
      </c>
      <c r="M2019" s="1" t="s">
        <v>4536</v>
      </c>
      <c r="N2019" s="1" t="s">
        <v>38</v>
      </c>
      <c r="O2019" s="1" t="s">
        <v>4537</v>
      </c>
      <c r="P2019" s="1">
        <v>41796160049</v>
      </c>
      <c r="Q2019" s="1" t="s">
        <v>4538</v>
      </c>
      <c r="R2019" s="1" t="s">
        <v>48</v>
      </c>
      <c r="S2019" s="1"/>
      <c r="U2019" s="1" t="s">
        <v>35</v>
      </c>
      <c r="V2019" s="1" t="s">
        <v>74</v>
      </c>
      <c r="W2019" s="1" t="str">
        <f>VLOOKUP(Table1[[#This Row],[Obergruppe ATC-Code]],Tabelle3!$A$2:$B$100,2)</f>
        <v>MUSKELRELAXANZIEN</v>
      </c>
      <c r="X2019" s="1" t="str">
        <f xml:space="preserve"> LEFT(Table1[[#This Row],[Atc Code]],3)</f>
        <v>M03</v>
      </c>
    </row>
    <row r="2020" spans="1:24" ht="14.4">
      <c r="A2020" s="14">
        <v>3151</v>
      </c>
      <c r="B2020" s="3" t="s">
        <v>4539</v>
      </c>
      <c r="C2020" s="1">
        <v>2701098</v>
      </c>
      <c r="D2020" s="1" t="s">
        <v>25</v>
      </c>
      <c r="E2020" s="36">
        <v>43617</v>
      </c>
      <c r="F2020" s="36">
        <v>43861</v>
      </c>
      <c r="G2020" s="38">
        <f t="shared" si="31"/>
        <v>244</v>
      </c>
      <c r="H2020" s="5">
        <v>43620</v>
      </c>
      <c r="I2020" s="5">
        <v>43851</v>
      </c>
      <c r="J2020" s="1" t="s">
        <v>41</v>
      </c>
      <c r="K2020" s="1" t="s">
        <v>4540</v>
      </c>
      <c r="L2020" s="1" t="s">
        <v>4535</v>
      </c>
      <c r="M2020" s="1" t="s">
        <v>4536</v>
      </c>
      <c r="N2020" s="1" t="s">
        <v>38</v>
      </c>
      <c r="O2020" s="1" t="s">
        <v>4537</v>
      </c>
      <c r="P2020" s="1">
        <v>41796160049</v>
      </c>
      <c r="Q2020" s="1" t="s">
        <v>4538</v>
      </c>
      <c r="R2020" s="1" t="s">
        <v>48</v>
      </c>
      <c r="S2020" s="1"/>
      <c r="U2020" s="1" t="s">
        <v>57</v>
      </c>
      <c r="V2020" s="1" t="s">
        <v>74</v>
      </c>
      <c r="W2020" s="1" t="str">
        <f>VLOOKUP(Table1[[#This Row],[Obergruppe ATC-Code]],Tabelle3!$A$2:$B$100,2)</f>
        <v>MUSKELRELAXANZIEN</v>
      </c>
      <c r="X2020" s="1" t="str">
        <f xml:space="preserve"> LEFT(Table1[[#This Row],[Atc Code]],3)</f>
        <v>M03</v>
      </c>
    </row>
    <row r="2021" spans="1:24" ht="15.6">
      <c r="A2021" s="14">
        <v>3153</v>
      </c>
      <c r="B2021" s="44">
        <v>1250199</v>
      </c>
      <c r="C2021" s="1">
        <v>2701100</v>
      </c>
      <c r="D2021" s="1" t="s">
        <v>25</v>
      </c>
      <c r="E2021" s="36">
        <v>43617</v>
      </c>
      <c r="F2021" s="36">
        <v>43861</v>
      </c>
      <c r="G2021" s="38">
        <f t="shared" si="31"/>
        <v>244</v>
      </c>
      <c r="H2021" s="5">
        <v>43620</v>
      </c>
      <c r="I2021" s="5">
        <v>43851</v>
      </c>
      <c r="J2021" s="1" t="s">
        <v>41</v>
      </c>
      <c r="K2021" s="1" t="s">
        <v>4541</v>
      </c>
      <c r="L2021" s="1" t="s">
        <v>4535</v>
      </c>
      <c r="M2021" s="1" t="s">
        <v>4536</v>
      </c>
      <c r="N2021" s="1" t="s">
        <v>38</v>
      </c>
      <c r="O2021" s="1" t="s">
        <v>4537</v>
      </c>
      <c r="P2021" s="1">
        <v>41796160049</v>
      </c>
      <c r="Q2021" s="1" t="s">
        <v>4538</v>
      </c>
      <c r="R2021" s="1" t="s">
        <v>48</v>
      </c>
      <c r="S2021" s="1"/>
      <c r="U2021" s="1" t="s">
        <v>35</v>
      </c>
      <c r="V2021" s="1" t="s">
        <v>74</v>
      </c>
      <c r="W2021" s="1" t="str">
        <f>VLOOKUP(Table1[[#This Row],[Obergruppe ATC-Code]],Tabelle3!$A$2:$B$100,2)</f>
        <v>MUSKELRELAXANZIEN</v>
      </c>
      <c r="X2021" s="1" t="str">
        <f xml:space="preserve"> LEFT(Table1[[#This Row],[Atc Code]],3)</f>
        <v>M03</v>
      </c>
    </row>
    <row r="2022" spans="1:24" ht="14.4">
      <c r="A2022" s="14">
        <v>2469</v>
      </c>
      <c r="B2022" s="24" t="s">
        <v>4542</v>
      </c>
      <c r="C2022" s="1">
        <v>2157093</v>
      </c>
      <c r="D2022" s="1" t="s">
        <v>25</v>
      </c>
      <c r="E2022" s="36">
        <v>44013</v>
      </c>
      <c r="F2022" s="36">
        <v>44074</v>
      </c>
      <c r="G2022" s="38">
        <f t="shared" si="31"/>
        <v>61</v>
      </c>
      <c r="H2022" s="5">
        <v>44043</v>
      </c>
      <c r="I2022" s="5">
        <v>44062</v>
      </c>
      <c r="J2022" s="1" t="s">
        <v>26</v>
      </c>
      <c r="K2022" s="1" t="s">
        <v>4543</v>
      </c>
      <c r="L2022" s="1" t="s">
        <v>4535</v>
      </c>
      <c r="M2022" s="1" t="s">
        <v>4544</v>
      </c>
      <c r="N2022" s="1" t="s">
        <v>30</v>
      </c>
      <c r="O2022" s="1" t="s">
        <v>275</v>
      </c>
      <c r="P2022" s="1" t="s">
        <v>276</v>
      </c>
      <c r="Q2022" s="1" t="s">
        <v>277</v>
      </c>
      <c r="R2022" s="1" t="s">
        <v>33</v>
      </c>
      <c r="S2022" s="1"/>
      <c r="T2022" s="1" t="s">
        <v>4545</v>
      </c>
      <c r="U2022" s="1" t="s">
        <v>35</v>
      </c>
      <c r="V2022" s="1" t="s">
        <v>1009</v>
      </c>
      <c r="W2022" s="1" t="str">
        <f>VLOOKUP(Table1[[#This Row],[Obergruppe ATC-Code]],Tabelle3!$A$2:$B$100,2)</f>
        <v>MUSKELRELAXANZIEN</v>
      </c>
      <c r="X2022" s="1" t="str">
        <f xml:space="preserve"> LEFT(Table1[[#This Row],[Atc Code]],3)</f>
        <v>M03</v>
      </c>
    </row>
    <row r="2023" spans="1:24" ht="14.4">
      <c r="A2023" s="14">
        <v>472</v>
      </c>
      <c r="B2023" s="24">
        <v>3023556</v>
      </c>
      <c r="C2023" s="1">
        <v>2104846</v>
      </c>
      <c r="D2023" s="1" t="s">
        <v>25</v>
      </c>
      <c r="E2023" s="36">
        <v>44757</v>
      </c>
      <c r="F2023" s="36">
        <v>44776</v>
      </c>
      <c r="G2023" s="38">
        <f t="shared" si="31"/>
        <v>19</v>
      </c>
      <c r="H2023" s="5">
        <v>44757</v>
      </c>
      <c r="I2023" s="5">
        <v>44777</v>
      </c>
      <c r="J2023" s="1" t="s">
        <v>26</v>
      </c>
      <c r="K2023" s="1" t="s">
        <v>4546</v>
      </c>
      <c r="L2023" s="1" t="s">
        <v>4547</v>
      </c>
      <c r="M2023" s="1" t="s">
        <v>4548</v>
      </c>
      <c r="N2023" s="1" t="s">
        <v>38</v>
      </c>
      <c r="O2023" s="1" t="s">
        <v>224</v>
      </c>
      <c r="P2023" s="1" t="s">
        <v>92</v>
      </c>
      <c r="Q2023" s="1" t="s">
        <v>93</v>
      </c>
      <c r="R2023" s="1" t="s">
        <v>26</v>
      </c>
      <c r="S2023" s="1"/>
      <c r="U2023" s="1" t="s">
        <v>130</v>
      </c>
      <c r="V2023" s="1" t="s">
        <v>49</v>
      </c>
      <c r="W2023" s="1" t="str">
        <f>VLOOKUP(Table1[[#This Row],[Obergruppe ATC-Code]],Tabelle3!$A$2:$B$100,2)</f>
        <v>MUSKELRELAXANZIEN</v>
      </c>
      <c r="X2023" s="1" t="str">
        <f xml:space="preserve"> LEFT(Table1[[#This Row],[Atc Code]],3)</f>
        <v>M03</v>
      </c>
    </row>
    <row r="2024" spans="1:24" ht="14.4">
      <c r="A2024" s="14">
        <v>471</v>
      </c>
      <c r="B2024" s="24">
        <v>3023450</v>
      </c>
      <c r="C2024" s="1">
        <v>2104844</v>
      </c>
      <c r="D2024" s="1" t="s">
        <v>25</v>
      </c>
      <c r="E2024" s="36">
        <v>44757</v>
      </c>
      <c r="F2024" s="36">
        <v>44776</v>
      </c>
      <c r="G2024" s="38">
        <f t="shared" si="31"/>
        <v>19</v>
      </c>
      <c r="H2024" s="5">
        <v>44757</v>
      </c>
      <c r="I2024" s="5">
        <v>44777</v>
      </c>
      <c r="J2024" s="1" t="s">
        <v>26</v>
      </c>
      <c r="K2024" s="1" t="s">
        <v>4549</v>
      </c>
      <c r="L2024" s="1" t="s">
        <v>4547</v>
      </c>
      <c r="M2024" s="1" t="s">
        <v>4548</v>
      </c>
      <c r="N2024" s="1" t="s">
        <v>38</v>
      </c>
      <c r="O2024" s="1" t="s">
        <v>224</v>
      </c>
      <c r="P2024" s="1" t="s">
        <v>92</v>
      </c>
      <c r="Q2024" s="1" t="s">
        <v>93</v>
      </c>
      <c r="R2024" s="1" t="s">
        <v>26</v>
      </c>
      <c r="S2024" s="1"/>
      <c r="U2024" s="1" t="s">
        <v>130</v>
      </c>
      <c r="V2024" s="1" t="s">
        <v>49</v>
      </c>
      <c r="W2024" s="1" t="str">
        <f>VLOOKUP(Table1[[#This Row],[Obergruppe ATC-Code]],Tabelle3!$A$2:$B$100,2)</f>
        <v>MUSKELRELAXANZIEN</v>
      </c>
      <c r="X2024" s="1" t="str">
        <f xml:space="preserve"> LEFT(Table1[[#This Row],[Atc Code]],3)</f>
        <v>M03</v>
      </c>
    </row>
    <row r="2025" spans="1:24" ht="14.4">
      <c r="A2025" s="14">
        <v>314</v>
      </c>
      <c r="B2025" s="24">
        <v>1982821</v>
      </c>
      <c r="C2025" s="1">
        <v>337863</v>
      </c>
      <c r="D2025" s="1" t="s">
        <v>25</v>
      </c>
      <c r="E2025" s="36">
        <v>45152</v>
      </c>
      <c r="F2025" s="36">
        <v>45211</v>
      </c>
      <c r="G2025" s="38">
        <f t="shared" si="31"/>
        <v>59</v>
      </c>
      <c r="H2025" s="5">
        <v>45152</v>
      </c>
      <c r="I2025" s="5">
        <v>45211</v>
      </c>
      <c r="J2025" s="1" t="s">
        <v>26</v>
      </c>
      <c r="K2025" s="1" t="s">
        <v>4550</v>
      </c>
      <c r="L2025" s="1" t="s">
        <v>4551</v>
      </c>
      <c r="M2025" s="1" t="s">
        <v>4552</v>
      </c>
      <c r="N2025" s="1" t="s">
        <v>30</v>
      </c>
      <c r="O2025" s="1" t="s">
        <v>4553</v>
      </c>
      <c r="Q2025" s="1" t="s">
        <v>4554</v>
      </c>
      <c r="R2025" s="1" t="s">
        <v>113</v>
      </c>
      <c r="S2025" s="1"/>
      <c r="T2025" s="1" t="s">
        <v>4555</v>
      </c>
      <c r="U2025" s="1" t="s">
        <v>130</v>
      </c>
      <c r="V2025" s="1" t="s">
        <v>262</v>
      </c>
      <c r="W2025" s="1" t="str">
        <f>VLOOKUP(Table1[[#This Row],[Obergruppe ATC-Code]],Tabelle3!$A$2:$B$100,2)</f>
        <v>MUSKELRELAXANZIEN</v>
      </c>
      <c r="X2025" s="1" t="str">
        <f xml:space="preserve"> LEFT(Table1[[#This Row],[Atc Code]],3)</f>
        <v>M03</v>
      </c>
    </row>
    <row r="2026" spans="1:24" ht="14.4">
      <c r="A2026" s="14">
        <v>2794</v>
      </c>
      <c r="B2026" s="24" t="s">
        <v>4556</v>
      </c>
      <c r="C2026" s="1">
        <v>520679</v>
      </c>
      <c r="D2026" s="1" t="s">
        <v>25</v>
      </c>
      <c r="E2026" s="36">
        <v>43831</v>
      </c>
      <c r="F2026" s="36">
        <v>43951</v>
      </c>
      <c r="G2026" s="38">
        <f t="shared" si="31"/>
        <v>120</v>
      </c>
      <c r="H2026" s="5">
        <v>43840</v>
      </c>
      <c r="I2026" s="5">
        <v>43928</v>
      </c>
      <c r="J2026" s="1" t="s">
        <v>26</v>
      </c>
      <c r="K2026" s="1" t="s">
        <v>4557</v>
      </c>
      <c r="L2026" s="1" t="s">
        <v>4558</v>
      </c>
      <c r="M2026" s="1" t="s">
        <v>4559</v>
      </c>
      <c r="N2026" s="1" t="s">
        <v>30</v>
      </c>
      <c r="O2026" s="1" t="s">
        <v>110</v>
      </c>
      <c r="P2026" s="1" t="s">
        <v>111</v>
      </c>
      <c r="Q2026" s="1" t="s">
        <v>112</v>
      </c>
      <c r="R2026" s="1" t="s">
        <v>33</v>
      </c>
      <c r="S2026" s="1"/>
      <c r="U2026" s="1" t="s">
        <v>35</v>
      </c>
      <c r="V2026" s="1" t="s">
        <v>639</v>
      </c>
      <c r="W2026" s="1" t="str">
        <f>VLOOKUP(Table1[[#This Row],[Obergruppe ATC-Code]],Tabelle3!$A$2:$B$100,2)</f>
        <v>GICHTMITTEL</v>
      </c>
      <c r="X2026" s="1" t="str">
        <f xml:space="preserve"> LEFT(Table1[[#This Row],[Atc Code]],3)</f>
        <v>M04</v>
      </c>
    </row>
    <row r="2027" spans="1:24" ht="14.4">
      <c r="A2027" s="14">
        <v>2518</v>
      </c>
      <c r="B2027" s="24" t="s">
        <v>4560</v>
      </c>
      <c r="C2027" s="1">
        <v>2100325</v>
      </c>
      <c r="D2027" s="1" t="s">
        <v>25</v>
      </c>
      <c r="E2027" s="36">
        <v>44886</v>
      </c>
      <c r="F2027" s="36">
        <v>45033</v>
      </c>
      <c r="G2027" s="38">
        <f t="shared" si="31"/>
        <v>147</v>
      </c>
      <c r="H2027" s="5">
        <v>44887</v>
      </c>
      <c r="I2027" s="5">
        <v>45033</v>
      </c>
      <c r="J2027" s="1" t="s">
        <v>41</v>
      </c>
      <c r="K2027" s="1" t="s">
        <v>4561</v>
      </c>
      <c r="L2027" s="1" t="s">
        <v>4558</v>
      </c>
      <c r="M2027" s="1" t="s">
        <v>4559</v>
      </c>
      <c r="N2027" s="1" t="s">
        <v>38</v>
      </c>
      <c r="O2027" s="1" t="s">
        <v>4562</v>
      </c>
      <c r="P2027" s="1" t="s">
        <v>4563</v>
      </c>
      <c r="Q2027" s="1" t="s">
        <v>4564</v>
      </c>
      <c r="R2027" s="1" t="s">
        <v>128</v>
      </c>
      <c r="S2027" s="1" t="s">
        <v>4565</v>
      </c>
      <c r="T2027" s="1" t="s">
        <v>4566</v>
      </c>
      <c r="U2027" s="1" t="s">
        <v>35</v>
      </c>
      <c r="V2027" s="1" t="s">
        <v>49</v>
      </c>
      <c r="W2027" s="1" t="str">
        <f>VLOOKUP(Table1[[#This Row],[Obergruppe ATC-Code]],Tabelle3!$A$2:$B$100,2)</f>
        <v>GICHTMITTEL</v>
      </c>
      <c r="X2027" s="1" t="str">
        <f xml:space="preserve"> LEFT(Table1[[#This Row],[Atc Code]],3)</f>
        <v>M04</v>
      </c>
    </row>
    <row r="2028" spans="1:24" ht="14.4">
      <c r="A2028" s="14">
        <v>2761</v>
      </c>
      <c r="B2028" s="24" t="s">
        <v>4567</v>
      </c>
      <c r="C2028" s="1">
        <v>2159201</v>
      </c>
      <c r="D2028" s="1" t="s">
        <v>25</v>
      </c>
      <c r="E2028" s="36">
        <v>44967</v>
      </c>
      <c r="F2028" s="36">
        <v>45091</v>
      </c>
      <c r="G2028" s="38">
        <f t="shared" si="31"/>
        <v>124</v>
      </c>
      <c r="H2028" s="5">
        <v>45044</v>
      </c>
      <c r="I2028" s="5">
        <v>45091</v>
      </c>
      <c r="J2028" s="1" t="s">
        <v>41</v>
      </c>
      <c r="K2028" s="1" t="s">
        <v>4568</v>
      </c>
      <c r="L2028" s="1" t="s">
        <v>4569</v>
      </c>
      <c r="M2028" s="1" t="s">
        <v>4570</v>
      </c>
      <c r="N2028" s="1" t="s">
        <v>38</v>
      </c>
      <c r="O2028" s="1" t="s">
        <v>123</v>
      </c>
      <c r="Q2028" s="1" t="s">
        <v>1141</v>
      </c>
      <c r="R2028" s="1" t="s">
        <v>128</v>
      </c>
      <c r="S2028" s="1"/>
      <c r="U2028" s="1" t="s">
        <v>130</v>
      </c>
      <c r="V2028" s="1" t="s">
        <v>279</v>
      </c>
      <c r="W2028" s="1" t="str">
        <f>VLOOKUP(Table1[[#This Row],[Obergruppe ATC-Code]],Tabelle3!$A$2:$B$100,2)</f>
        <v>MITTEL ZUR BEHANDLUNG VON KNOCHENERKRANKUNGEN</v>
      </c>
      <c r="X2028" s="1" t="str">
        <f xml:space="preserve"> LEFT(Table1[[#This Row],[Atc Code]],3)</f>
        <v>M05</v>
      </c>
    </row>
    <row r="2029" spans="1:24" ht="14.4">
      <c r="A2029" s="14">
        <v>2762</v>
      </c>
      <c r="B2029" s="24" t="s">
        <v>4571</v>
      </c>
      <c r="C2029" s="1">
        <v>2159201</v>
      </c>
      <c r="D2029" s="1" t="s">
        <v>25</v>
      </c>
      <c r="E2029" s="36">
        <v>45180</v>
      </c>
      <c r="F2029" s="36">
        <v>45189</v>
      </c>
      <c r="G2029" s="38">
        <f t="shared" si="31"/>
        <v>9</v>
      </c>
      <c r="H2029" s="5">
        <v>45183</v>
      </c>
      <c r="I2029" s="5">
        <v>45189</v>
      </c>
      <c r="J2029" s="1" t="s">
        <v>41</v>
      </c>
      <c r="K2029" s="1" t="s">
        <v>4568</v>
      </c>
      <c r="L2029" s="1" t="s">
        <v>4569</v>
      </c>
      <c r="M2029" s="1" t="s">
        <v>4570</v>
      </c>
      <c r="N2029" s="1" t="s">
        <v>38</v>
      </c>
      <c r="O2029" s="1" t="s">
        <v>123</v>
      </c>
      <c r="P2029" s="1">
        <v>733396511167</v>
      </c>
      <c r="Q2029" s="1" t="s">
        <v>1141</v>
      </c>
      <c r="R2029" s="1" t="s">
        <v>128</v>
      </c>
      <c r="S2029" s="1"/>
      <c r="U2029" s="1" t="s">
        <v>130</v>
      </c>
      <c r="V2029" s="1" t="s">
        <v>279</v>
      </c>
      <c r="W2029" s="1" t="str">
        <f>VLOOKUP(Table1[[#This Row],[Obergruppe ATC-Code]],Tabelle3!$A$2:$B$100,2)</f>
        <v>MITTEL ZUR BEHANDLUNG VON KNOCHENERKRANKUNGEN</v>
      </c>
      <c r="X2029" s="1" t="str">
        <f xml:space="preserve"> LEFT(Table1[[#This Row],[Atc Code]],3)</f>
        <v>M05</v>
      </c>
    </row>
    <row r="2030" spans="1:24" ht="14.4">
      <c r="A2030" s="14">
        <v>987</v>
      </c>
      <c r="B2030" s="24">
        <v>8480910</v>
      </c>
      <c r="C2030" s="1">
        <v>2177711</v>
      </c>
      <c r="D2030" s="1" t="s">
        <v>25</v>
      </c>
      <c r="E2030" s="36">
        <v>44993</v>
      </c>
      <c r="F2030" s="36">
        <v>45037</v>
      </c>
      <c r="G2030" s="38">
        <f t="shared" si="31"/>
        <v>44</v>
      </c>
      <c r="H2030" s="5">
        <v>44993</v>
      </c>
      <c r="I2030" s="5">
        <v>45037</v>
      </c>
      <c r="J2030" s="1" t="s">
        <v>26</v>
      </c>
      <c r="K2030" s="1" t="s">
        <v>4572</v>
      </c>
      <c r="L2030" s="1" t="s">
        <v>4573</v>
      </c>
      <c r="M2030" s="1" t="s">
        <v>4574</v>
      </c>
      <c r="N2030" s="1" t="s">
        <v>38</v>
      </c>
      <c r="O2030" s="1" t="s">
        <v>91</v>
      </c>
      <c r="Q2030" s="1" t="s">
        <v>93</v>
      </c>
      <c r="R2030" s="1" t="s">
        <v>113</v>
      </c>
      <c r="S2030" s="1"/>
      <c r="U2030" s="1" t="s">
        <v>130</v>
      </c>
      <c r="V2030" s="1" t="s">
        <v>74</v>
      </c>
      <c r="W2030" s="1" t="str">
        <f>VLOOKUP(Table1[[#This Row],[Obergruppe ATC-Code]],Tabelle3!$A$2:$B$100,2)</f>
        <v>MITTEL ZUR BEHANDLUNG VON KNOCHENERKRANKUNGEN</v>
      </c>
      <c r="X2030" s="1" t="str">
        <f xml:space="preserve"> LEFT(Table1[[#This Row],[Atc Code]],3)</f>
        <v>M05</v>
      </c>
    </row>
    <row r="2031" spans="1:24" ht="14.4">
      <c r="A2031" s="14">
        <v>1135</v>
      </c>
      <c r="B2031" s="24">
        <v>9530478</v>
      </c>
      <c r="C2031" s="1">
        <v>2182985</v>
      </c>
      <c r="D2031" s="1" t="s">
        <v>25</v>
      </c>
      <c r="E2031" s="36">
        <v>44921</v>
      </c>
      <c r="F2031" s="36">
        <v>45043</v>
      </c>
      <c r="G2031" s="38">
        <f t="shared" si="31"/>
        <v>122</v>
      </c>
      <c r="H2031" s="5">
        <v>45035</v>
      </c>
      <c r="I2031" s="5">
        <v>45043</v>
      </c>
      <c r="J2031" s="1" t="s">
        <v>26</v>
      </c>
      <c r="K2031" s="1" t="s">
        <v>4575</v>
      </c>
      <c r="L2031" s="1" t="s">
        <v>4573</v>
      </c>
      <c r="M2031" s="1" t="s">
        <v>4574</v>
      </c>
      <c r="N2031" s="1" t="s">
        <v>38</v>
      </c>
      <c r="O2031" s="1" t="s">
        <v>110</v>
      </c>
      <c r="P2031" s="1">
        <v>49733396510</v>
      </c>
      <c r="Q2031" s="1" t="s">
        <v>1141</v>
      </c>
      <c r="R2031" s="1" t="s">
        <v>113</v>
      </c>
      <c r="S2031" s="1" t="s">
        <v>4576</v>
      </c>
      <c r="U2031" s="1" t="s">
        <v>130</v>
      </c>
      <c r="V2031" s="1" t="s">
        <v>74</v>
      </c>
      <c r="W2031" s="1" t="str">
        <f>VLOOKUP(Table1[[#This Row],[Obergruppe ATC-Code]],Tabelle3!$A$2:$B$100,2)</f>
        <v>MITTEL ZUR BEHANDLUNG VON KNOCHENERKRANKUNGEN</v>
      </c>
      <c r="X2031" s="1" t="str">
        <f xml:space="preserve"> LEFT(Table1[[#This Row],[Atc Code]],3)</f>
        <v>M05</v>
      </c>
    </row>
    <row r="2032" spans="1:24" ht="14.4">
      <c r="A2032" s="14">
        <v>1390</v>
      </c>
      <c r="B2032" s="24">
        <v>13815703</v>
      </c>
      <c r="C2032" s="1">
        <v>2182990</v>
      </c>
      <c r="D2032" s="1" t="s">
        <v>25</v>
      </c>
      <c r="E2032" s="36">
        <v>44936</v>
      </c>
      <c r="F2032" s="36">
        <v>45050</v>
      </c>
      <c r="G2032" s="38">
        <f t="shared" si="31"/>
        <v>114</v>
      </c>
      <c r="H2032" s="5">
        <v>45035</v>
      </c>
      <c r="I2032" s="5">
        <v>45050</v>
      </c>
      <c r="J2032" s="1" t="s">
        <v>26</v>
      </c>
      <c r="K2032" s="1" t="s">
        <v>4577</v>
      </c>
      <c r="L2032" s="1" t="s">
        <v>4573</v>
      </c>
      <c r="M2032" s="1" t="s">
        <v>4574</v>
      </c>
      <c r="N2032" s="1" t="s">
        <v>38</v>
      </c>
      <c r="O2032" s="1" t="s">
        <v>110</v>
      </c>
      <c r="P2032" s="1">
        <v>49733396510</v>
      </c>
      <c r="Q2032" s="1" t="s">
        <v>1141</v>
      </c>
      <c r="R2032" s="1" t="s">
        <v>113</v>
      </c>
      <c r="S2032" s="1" t="s">
        <v>4578</v>
      </c>
      <c r="U2032" s="1" t="s">
        <v>130</v>
      </c>
      <c r="V2032" s="1" t="s">
        <v>1018</v>
      </c>
      <c r="W2032" s="1" t="str">
        <f>VLOOKUP(Table1[[#This Row],[Obergruppe ATC-Code]],Tabelle3!$A$2:$B$100,2)</f>
        <v>MITTEL ZUR BEHANDLUNG VON KNOCHENERKRANKUNGEN</v>
      </c>
      <c r="X2032" s="1" t="str">
        <f xml:space="preserve"> LEFT(Table1[[#This Row],[Atc Code]],3)</f>
        <v>M05</v>
      </c>
    </row>
    <row r="2033" spans="1:24" ht="14.4">
      <c r="A2033" s="14">
        <v>1136</v>
      </c>
      <c r="B2033" s="24">
        <v>9530484</v>
      </c>
      <c r="C2033" s="1">
        <v>2182983</v>
      </c>
      <c r="D2033" s="1" t="s">
        <v>102</v>
      </c>
      <c r="E2033" s="36">
        <v>44927</v>
      </c>
      <c r="F2033" s="36">
        <v>45230</v>
      </c>
      <c r="G2033" s="38">
        <f t="shared" si="31"/>
        <v>303</v>
      </c>
      <c r="H2033" s="5">
        <v>45035</v>
      </c>
      <c r="I2033" s="5">
        <v>45120</v>
      </c>
      <c r="J2033" s="1" t="s">
        <v>26</v>
      </c>
      <c r="K2033" s="1" t="s">
        <v>4579</v>
      </c>
      <c r="L2033" s="1" t="s">
        <v>4573</v>
      </c>
      <c r="M2033" s="1" t="s">
        <v>4574</v>
      </c>
      <c r="N2033" s="1" t="s">
        <v>38</v>
      </c>
      <c r="O2033" s="1" t="s">
        <v>110</v>
      </c>
      <c r="P2033" s="1">
        <v>49733396510</v>
      </c>
      <c r="Q2033" s="1" t="s">
        <v>112</v>
      </c>
      <c r="R2033" s="1" t="s">
        <v>113</v>
      </c>
      <c r="S2033" s="1"/>
      <c r="U2033" s="1" t="s">
        <v>130</v>
      </c>
      <c r="V2033" s="1" t="s">
        <v>279</v>
      </c>
      <c r="W2033" s="1" t="str">
        <f>VLOOKUP(Table1[[#This Row],[Obergruppe ATC-Code]],Tabelle3!$A$2:$B$100,2)</f>
        <v>MITTEL ZUR BEHANDLUNG VON KNOCHENERKRANKUNGEN</v>
      </c>
      <c r="X2033" s="1" t="str">
        <f xml:space="preserve"> LEFT(Table1[[#This Row],[Atc Code]],3)</f>
        <v>M05</v>
      </c>
    </row>
    <row r="2034" spans="1:24" ht="14.4">
      <c r="A2034" s="14">
        <v>2537</v>
      </c>
      <c r="B2034" s="24" t="s">
        <v>4580</v>
      </c>
      <c r="C2034" s="1">
        <v>2188756</v>
      </c>
      <c r="D2034" s="1" t="s">
        <v>25</v>
      </c>
      <c r="E2034" s="36">
        <v>43221</v>
      </c>
      <c r="F2034" s="36">
        <v>43496</v>
      </c>
      <c r="G2034" s="38">
        <f t="shared" si="31"/>
        <v>275</v>
      </c>
      <c r="H2034" s="5">
        <v>43223</v>
      </c>
      <c r="I2034" s="5">
        <v>43455</v>
      </c>
      <c r="J2034" s="1" t="s">
        <v>41</v>
      </c>
      <c r="K2034" s="1" t="s">
        <v>4581</v>
      </c>
      <c r="L2034" s="1" t="s">
        <v>4582</v>
      </c>
      <c r="M2034" s="1" t="s">
        <v>4583</v>
      </c>
      <c r="N2034" s="1" t="s">
        <v>30</v>
      </c>
      <c r="O2034" s="1" t="s">
        <v>1601</v>
      </c>
      <c r="P2034" s="1" t="s">
        <v>1602</v>
      </c>
      <c r="Q2034" s="1" t="s">
        <v>4584</v>
      </c>
      <c r="R2034" s="1" t="s">
        <v>165</v>
      </c>
      <c r="S2034" s="1"/>
      <c r="U2034" s="1" t="s">
        <v>57</v>
      </c>
      <c r="V2034" s="1" t="s">
        <v>648</v>
      </c>
      <c r="W2034" s="1" t="str">
        <f>VLOOKUP(Table1[[#This Row],[Obergruppe ATC-Code]],Tabelle3!$A$2:$B$100,2)</f>
        <v>MITTEL ZUR BEHANDLUNG VON KNOCHENERKRANKUNGEN</v>
      </c>
      <c r="X2034" s="1" t="str">
        <f xml:space="preserve"> LEFT(Table1[[#This Row],[Atc Code]],3)</f>
        <v>M05</v>
      </c>
    </row>
    <row r="2035" spans="1:24" ht="14.4">
      <c r="A2035" s="14">
        <v>1883</v>
      </c>
      <c r="B2035" s="24" t="s">
        <v>4585</v>
      </c>
      <c r="C2035" s="1">
        <v>2184798</v>
      </c>
      <c r="D2035" s="1" t="s">
        <v>25</v>
      </c>
      <c r="E2035" s="36">
        <v>43374</v>
      </c>
      <c r="F2035" s="36">
        <v>43677</v>
      </c>
      <c r="G2035" s="38">
        <f t="shared" si="31"/>
        <v>303</v>
      </c>
      <c r="H2035" s="5">
        <v>43403</v>
      </c>
      <c r="I2035" s="5">
        <v>43656</v>
      </c>
      <c r="J2035" s="1" t="s">
        <v>41</v>
      </c>
      <c r="K2035" s="1" t="s">
        <v>4586</v>
      </c>
      <c r="L2035" s="1" t="s">
        <v>4582</v>
      </c>
      <c r="M2035" s="1" t="s">
        <v>4583</v>
      </c>
      <c r="N2035" s="1" t="s">
        <v>30</v>
      </c>
      <c r="O2035" s="1" t="s">
        <v>110</v>
      </c>
      <c r="P2035" s="1" t="s">
        <v>111</v>
      </c>
      <c r="Q2035" s="1" t="s">
        <v>112</v>
      </c>
      <c r="R2035" s="1" t="s">
        <v>48</v>
      </c>
      <c r="S2035" s="1"/>
      <c r="U2035" s="1" t="s">
        <v>57</v>
      </c>
      <c r="V2035" s="1" t="s">
        <v>279</v>
      </c>
      <c r="W2035" s="1" t="str">
        <f>VLOOKUP(Table1[[#This Row],[Obergruppe ATC-Code]],Tabelle3!$A$2:$B$100,2)</f>
        <v>MITTEL ZUR BEHANDLUNG VON KNOCHENERKRANKUNGEN</v>
      </c>
      <c r="X2035" s="1" t="str">
        <f xml:space="preserve"> LEFT(Table1[[#This Row],[Atc Code]],3)</f>
        <v>M05</v>
      </c>
    </row>
    <row r="2036" spans="1:24" ht="14.4">
      <c r="A2036" s="14">
        <v>1183</v>
      </c>
      <c r="B2036" s="25">
        <v>10413938</v>
      </c>
      <c r="C2036" s="1">
        <v>2188751</v>
      </c>
      <c r="D2036" s="1" t="s">
        <v>25</v>
      </c>
      <c r="E2036" s="36">
        <v>43374</v>
      </c>
      <c r="F2036" s="36">
        <v>43799</v>
      </c>
      <c r="G2036" s="38">
        <f t="shared" si="31"/>
        <v>425</v>
      </c>
      <c r="H2036" s="5">
        <v>43403</v>
      </c>
      <c r="I2036" s="5">
        <v>43789</v>
      </c>
      <c r="J2036" s="1" t="s">
        <v>41</v>
      </c>
      <c r="K2036" s="1" t="s">
        <v>4587</v>
      </c>
      <c r="L2036" s="1" t="s">
        <v>4582</v>
      </c>
      <c r="M2036" s="1" t="s">
        <v>4583</v>
      </c>
      <c r="N2036" s="1" t="s">
        <v>30</v>
      </c>
      <c r="O2036" s="1" t="s">
        <v>110</v>
      </c>
      <c r="P2036" s="1" t="s">
        <v>111</v>
      </c>
      <c r="Q2036" s="1" t="s">
        <v>112</v>
      </c>
      <c r="R2036" s="1" t="s">
        <v>48</v>
      </c>
      <c r="S2036" s="1"/>
      <c r="U2036" s="1" t="s">
        <v>57</v>
      </c>
      <c r="V2036" s="1" t="s">
        <v>648</v>
      </c>
      <c r="W2036" s="1" t="str">
        <f>VLOOKUP(Table1[[#This Row],[Obergruppe ATC-Code]],Tabelle3!$A$2:$B$100,2)</f>
        <v>MITTEL ZUR BEHANDLUNG VON KNOCHENERKRANKUNGEN</v>
      </c>
      <c r="X2036" s="1" t="str">
        <f xml:space="preserve"> LEFT(Table1[[#This Row],[Atc Code]],3)</f>
        <v>M05</v>
      </c>
    </row>
    <row r="2037" spans="1:24" ht="14.4">
      <c r="A2037" s="14">
        <v>1426</v>
      </c>
      <c r="B2037" s="25">
        <v>14164691</v>
      </c>
      <c r="C2037" s="1">
        <v>2197330</v>
      </c>
      <c r="D2037" s="1" t="s">
        <v>25</v>
      </c>
      <c r="E2037" s="36">
        <v>43374</v>
      </c>
      <c r="F2037" s="36">
        <v>44867</v>
      </c>
      <c r="G2037" s="38">
        <f t="shared" si="31"/>
        <v>1493</v>
      </c>
      <c r="H2037" s="5">
        <v>43403</v>
      </c>
      <c r="I2037" s="5">
        <v>44868</v>
      </c>
      <c r="J2037" s="1" t="s">
        <v>41</v>
      </c>
      <c r="K2037" s="1" t="s">
        <v>4588</v>
      </c>
      <c r="L2037" s="1" t="s">
        <v>4582</v>
      </c>
      <c r="M2037" s="1" t="s">
        <v>4583</v>
      </c>
      <c r="N2037" s="1" t="s">
        <v>30</v>
      </c>
      <c r="O2037" s="1" t="s">
        <v>110</v>
      </c>
      <c r="P2037" s="1" t="s">
        <v>1530</v>
      </c>
      <c r="Q2037" s="1" t="s">
        <v>1141</v>
      </c>
      <c r="R2037" s="1" t="s">
        <v>48</v>
      </c>
      <c r="S2037" s="1" t="s">
        <v>4589</v>
      </c>
      <c r="U2037" s="1" t="s">
        <v>57</v>
      </c>
      <c r="V2037" s="1" t="s">
        <v>648</v>
      </c>
      <c r="W2037" s="1" t="str">
        <f>VLOOKUP(Table1[[#This Row],[Obergruppe ATC-Code]],Tabelle3!$A$2:$B$100,2)</f>
        <v>MITTEL ZUR BEHANDLUNG VON KNOCHENERKRANKUNGEN</v>
      </c>
      <c r="X2037" s="1" t="str">
        <f xml:space="preserve"> LEFT(Table1[[#This Row],[Atc Code]],3)</f>
        <v>M05</v>
      </c>
    </row>
    <row r="2038" spans="1:24" ht="14.4">
      <c r="A2038" s="14">
        <v>1351</v>
      </c>
      <c r="B2038" s="24">
        <v>12828945</v>
      </c>
      <c r="C2038" s="1">
        <v>2184966</v>
      </c>
      <c r="D2038" s="1" t="s">
        <v>175</v>
      </c>
      <c r="E2038" s="36">
        <v>45141</v>
      </c>
      <c r="F2038" s="36">
        <v>45291</v>
      </c>
      <c r="G2038" s="38">
        <f t="shared" si="31"/>
        <v>150</v>
      </c>
      <c r="H2038" s="5">
        <v>45188</v>
      </c>
      <c r="I2038" s="5">
        <v>45188</v>
      </c>
      <c r="J2038" s="1" t="s">
        <v>26</v>
      </c>
      <c r="K2038" s="1" t="s">
        <v>4590</v>
      </c>
      <c r="L2038" s="1" t="s">
        <v>4582</v>
      </c>
      <c r="M2038" s="1" t="s">
        <v>4591</v>
      </c>
      <c r="N2038" s="1" t="s">
        <v>38</v>
      </c>
      <c r="O2038" s="1" t="s">
        <v>52</v>
      </c>
      <c r="Q2038" s="1" t="s">
        <v>54</v>
      </c>
      <c r="R2038" s="1" t="s">
        <v>113</v>
      </c>
      <c r="S2038" s="1"/>
      <c r="U2038" s="1" t="s">
        <v>130</v>
      </c>
      <c r="V2038" s="1" t="s">
        <v>648</v>
      </c>
      <c r="W2038" s="1" t="str">
        <f>VLOOKUP(Table1[[#This Row],[Obergruppe ATC-Code]],Tabelle3!$A$2:$B$100,2)</f>
        <v>MITTEL ZUR BEHANDLUNG VON KNOCHENERKRANKUNGEN</v>
      </c>
      <c r="X2038" s="1" t="str">
        <f xml:space="preserve"> LEFT(Table1[[#This Row],[Atc Code]],3)</f>
        <v>M05</v>
      </c>
    </row>
    <row r="2039" spans="1:24" ht="14.4">
      <c r="A2039" s="14">
        <v>669</v>
      </c>
      <c r="B2039" s="24">
        <v>4392020</v>
      </c>
      <c r="C2039" s="1">
        <v>2702872</v>
      </c>
      <c r="D2039" s="1" t="s">
        <v>175</v>
      </c>
      <c r="E2039" s="36">
        <v>45058</v>
      </c>
      <c r="F2039" s="36">
        <v>45291</v>
      </c>
      <c r="G2039" s="38">
        <f t="shared" si="31"/>
        <v>233</v>
      </c>
      <c r="H2039" s="5">
        <v>45189</v>
      </c>
      <c r="I2039" s="5">
        <v>45189</v>
      </c>
      <c r="J2039" s="1" t="s">
        <v>26</v>
      </c>
      <c r="K2039" s="1" t="s">
        <v>4592</v>
      </c>
      <c r="L2039" s="1" t="s">
        <v>4582</v>
      </c>
      <c r="M2039" s="1" t="s">
        <v>4591</v>
      </c>
      <c r="N2039" s="1" t="s">
        <v>38</v>
      </c>
      <c r="O2039" s="1" t="s">
        <v>4193</v>
      </c>
      <c r="Q2039" s="1" t="s">
        <v>93</v>
      </c>
      <c r="R2039" s="1" t="s">
        <v>26</v>
      </c>
      <c r="S2039" s="1"/>
      <c r="U2039" s="1" t="s">
        <v>130</v>
      </c>
      <c r="V2039" s="1" t="s">
        <v>648</v>
      </c>
      <c r="W2039" s="1" t="str">
        <f>VLOOKUP(Table1[[#This Row],[Obergruppe ATC-Code]],Tabelle3!$A$2:$B$100,2)</f>
        <v>MITTEL ZUR BEHANDLUNG VON KNOCHENERKRANKUNGEN</v>
      </c>
      <c r="X2039" s="1" t="str">
        <f xml:space="preserve"> LEFT(Table1[[#This Row],[Atc Code]],3)</f>
        <v>M05</v>
      </c>
    </row>
    <row r="2040" spans="1:24" ht="14.4">
      <c r="A2040" s="14">
        <v>2861</v>
      </c>
      <c r="B2040" s="24" t="s">
        <v>4593</v>
      </c>
      <c r="C2040" s="1">
        <v>2701870</v>
      </c>
      <c r="D2040" s="1" t="s">
        <v>25</v>
      </c>
      <c r="E2040" s="36">
        <v>42278</v>
      </c>
      <c r="F2040" s="36">
        <v>42916</v>
      </c>
      <c r="G2040" s="38">
        <f t="shared" si="31"/>
        <v>638</v>
      </c>
      <c r="H2040" s="5">
        <v>42215</v>
      </c>
      <c r="I2040" s="5">
        <v>42902</v>
      </c>
      <c r="J2040" s="1" t="s">
        <v>41</v>
      </c>
      <c r="K2040" s="1" t="s">
        <v>4594</v>
      </c>
      <c r="L2040" s="1" t="s">
        <v>4595</v>
      </c>
      <c r="M2040" s="1" t="s">
        <v>4596</v>
      </c>
      <c r="N2040" s="1" t="s">
        <v>30</v>
      </c>
      <c r="O2040" s="1" t="s">
        <v>4597</v>
      </c>
      <c r="P2040" s="1" t="s">
        <v>4598</v>
      </c>
      <c r="Q2040" s="1" t="s">
        <v>647</v>
      </c>
      <c r="R2040" s="1" t="s">
        <v>165</v>
      </c>
      <c r="S2040" s="1"/>
      <c r="U2040" s="1" t="s">
        <v>57</v>
      </c>
      <c r="V2040" s="1" t="s">
        <v>4599</v>
      </c>
      <c r="W2040" s="1" t="str">
        <f>VLOOKUP(Table1[[#This Row],[Obergruppe ATC-Code]],Tabelle3!$A$2:$B$100,2)</f>
        <v>MITTEL ZUR BEHANDLUNG VON KNOCHENERKRANKUNGEN</v>
      </c>
      <c r="X2040" s="1" t="str">
        <f xml:space="preserve"> LEFT(Table1[[#This Row],[Atc Code]],3)</f>
        <v>M05</v>
      </c>
    </row>
    <row r="2041" spans="1:24" ht="14.4">
      <c r="A2041" s="14">
        <v>801</v>
      </c>
      <c r="B2041" s="24">
        <v>6497131</v>
      </c>
      <c r="C2041" s="1">
        <v>2130240</v>
      </c>
      <c r="D2041" s="1" t="s">
        <v>25</v>
      </c>
      <c r="E2041" s="36">
        <v>43922</v>
      </c>
      <c r="F2041" s="36">
        <v>43982</v>
      </c>
      <c r="G2041" s="38">
        <f t="shared" si="31"/>
        <v>60</v>
      </c>
      <c r="H2041" s="5">
        <v>43924</v>
      </c>
      <c r="I2041" s="5">
        <v>43965</v>
      </c>
      <c r="J2041" s="1" t="s">
        <v>41</v>
      </c>
      <c r="K2041" s="1" t="s">
        <v>4600</v>
      </c>
      <c r="L2041" s="1" t="s">
        <v>4601</v>
      </c>
      <c r="M2041" s="1" t="s">
        <v>4602</v>
      </c>
      <c r="N2041" s="1" t="s">
        <v>30</v>
      </c>
      <c r="O2041" s="1" t="s">
        <v>248</v>
      </c>
      <c r="P2041" s="1" t="s">
        <v>4603</v>
      </c>
      <c r="Q2041" s="1" t="s">
        <v>4604</v>
      </c>
      <c r="R2041" s="1" t="s">
        <v>26</v>
      </c>
      <c r="S2041" s="1"/>
      <c r="U2041" s="1" t="s">
        <v>35</v>
      </c>
      <c r="V2041" s="1" t="s">
        <v>4605</v>
      </c>
      <c r="W2041" s="1" t="str">
        <f>VLOOKUP(Table1[[#This Row],[Obergruppe ATC-Code]],Tabelle3!$A$2:$B$100,2)</f>
        <v>ANÄSTHETIKA</v>
      </c>
      <c r="X2041" s="1" t="str">
        <f xml:space="preserve"> LEFT(Table1[[#This Row],[Atc Code]],3)</f>
        <v>N01</v>
      </c>
    </row>
    <row r="2042" spans="1:24" ht="14.4">
      <c r="A2042" s="14">
        <v>1143</v>
      </c>
      <c r="B2042" s="24">
        <v>9714669</v>
      </c>
      <c r="C2042" s="1">
        <v>2181362</v>
      </c>
      <c r="D2042" s="1" t="s">
        <v>25</v>
      </c>
      <c r="E2042" s="36">
        <v>44756</v>
      </c>
      <c r="F2042" s="36">
        <v>44861</v>
      </c>
      <c r="G2042" s="38">
        <f t="shared" si="31"/>
        <v>105</v>
      </c>
      <c r="H2042" s="5">
        <v>44757</v>
      </c>
      <c r="I2042" s="5">
        <v>44861</v>
      </c>
      <c r="J2042" s="1" t="s">
        <v>41</v>
      </c>
      <c r="K2042" s="1" t="s">
        <v>4606</v>
      </c>
      <c r="L2042" s="1" t="s">
        <v>4607</v>
      </c>
      <c r="M2042" s="1" t="s">
        <v>4608</v>
      </c>
      <c r="N2042" s="1" t="s">
        <v>30</v>
      </c>
      <c r="O2042" s="1" t="s">
        <v>4609</v>
      </c>
      <c r="P2042" s="1" t="s">
        <v>4610</v>
      </c>
      <c r="Q2042" s="1" t="s">
        <v>4611</v>
      </c>
      <c r="R2042" s="1" t="s">
        <v>128</v>
      </c>
      <c r="S2042" s="1"/>
      <c r="U2042" s="1" t="s">
        <v>130</v>
      </c>
      <c r="V2042" s="1" t="s">
        <v>4612</v>
      </c>
      <c r="W2042" s="1" t="str">
        <f>VLOOKUP(Table1[[#This Row],[Obergruppe ATC-Code]],Tabelle3!$A$2:$B$100,2)</f>
        <v>ANÄSTHETIKA</v>
      </c>
      <c r="X2042" s="1" t="str">
        <f xml:space="preserve"> LEFT(Table1[[#This Row],[Atc Code]],3)</f>
        <v>N01</v>
      </c>
    </row>
    <row r="2043" spans="1:24" ht="14.4">
      <c r="A2043" s="14">
        <v>596</v>
      </c>
      <c r="B2043" s="24">
        <v>3796821</v>
      </c>
      <c r="C2043" s="1">
        <v>2162886</v>
      </c>
      <c r="D2043" s="1" t="s">
        <v>25</v>
      </c>
      <c r="E2043" s="36">
        <v>45103</v>
      </c>
      <c r="F2043" s="36">
        <v>45122</v>
      </c>
      <c r="G2043" s="38">
        <f t="shared" si="31"/>
        <v>19</v>
      </c>
      <c r="H2043" s="5">
        <v>45103</v>
      </c>
      <c r="I2043" s="5">
        <v>45124</v>
      </c>
      <c r="J2043" s="1" t="s">
        <v>41</v>
      </c>
      <c r="K2043" s="1" t="s">
        <v>4613</v>
      </c>
      <c r="L2043" s="1" t="s">
        <v>4607</v>
      </c>
      <c r="M2043" s="1" t="s">
        <v>4608</v>
      </c>
      <c r="N2043" s="1" t="s">
        <v>30</v>
      </c>
      <c r="O2043" s="1" t="s">
        <v>248</v>
      </c>
      <c r="Q2043" s="1" t="s">
        <v>250</v>
      </c>
      <c r="R2043" s="1" t="s">
        <v>128</v>
      </c>
      <c r="S2043" s="1" t="s">
        <v>4614</v>
      </c>
      <c r="U2043" s="1" t="s">
        <v>130</v>
      </c>
      <c r="V2043" s="1" t="s">
        <v>4612</v>
      </c>
      <c r="W2043" s="1" t="str">
        <f>VLOOKUP(Table1[[#This Row],[Obergruppe ATC-Code]],Tabelle3!$A$2:$B$100,2)</f>
        <v>ANÄSTHETIKA</v>
      </c>
      <c r="X2043" s="1" t="str">
        <f xml:space="preserve"> LEFT(Table1[[#This Row],[Atc Code]],3)</f>
        <v>N01</v>
      </c>
    </row>
    <row r="2044" spans="1:24" ht="14.4">
      <c r="A2044" s="14">
        <v>701</v>
      </c>
      <c r="B2044" s="24">
        <v>4787818</v>
      </c>
      <c r="C2044" s="1">
        <v>128119</v>
      </c>
      <c r="D2044" s="1" t="s">
        <v>25</v>
      </c>
      <c r="E2044" s="36">
        <v>43466</v>
      </c>
      <c r="F2044" s="36">
        <v>44463</v>
      </c>
      <c r="G2044" s="38">
        <f t="shared" si="31"/>
        <v>997</v>
      </c>
      <c r="H2044" s="5">
        <v>43467</v>
      </c>
      <c r="I2044" s="5">
        <v>44463</v>
      </c>
      <c r="J2044" s="1" t="s">
        <v>41</v>
      </c>
      <c r="K2044" s="1" t="s">
        <v>4615</v>
      </c>
      <c r="L2044" s="1" t="s">
        <v>4616</v>
      </c>
      <c r="M2044" s="1" t="s">
        <v>4617</v>
      </c>
      <c r="N2044" s="1" t="s">
        <v>30</v>
      </c>
      <c r="O2044" s="1" t="s">
        <v>1078</v>
      </c>
      <c r="P2044" s="1" t="s">
        <v>2136</v>
      </c>
      <c r="Q2044" s="1" t="s">
        <v>2137</v>
      </c>
      <c r="R2044" s="1" t="s">
        <v>65</v>
      </c>
      <c r="S2044" s="1"/>
      <c r="T2044" s="1" t="s">
        <v>4618</v>
      </c>
      <c r="U2044" s="1" t="s">
        <v>35</v>
      </c>
      <c r="V2044" s="1" t="s">
        <v>787</v>
      </c>
      <c r="W2044" s="1" t="str">
        <f>VLOOKUP(Table1[[#This Row],[Obergruppe ATC-Code]],Tabelle3!$A$2:$B$100,2)</f>
        <v>ANÄSTHETIKA</v>
      </c>
      <c r="X2044" s="1" t="str">
        <f xml:space="preserve"> LEFT(Table1[[#This Row],[Atc Code]],3)</f>
        <v>N01</v>
      </c>
    </row>
    <row r="2045" spans="1:24" ht="14.4">
      <c r="A2045" s="14">
        <v>3156</v>
      </c>
      <c r="B2045" s="1">
        <v>1351055</v>
      </c>
      <c r="C2045" s="1">
        <v>2145490</v>
      </c>
      <c r="D2045" s="1" t="s">
        <v>25</v>
      </c>
      <c r="E2045" s="36">
        <v>43922</v>
      </c>
      <c r="F2045" s="36">
        <v>44196</v>
      </c>
      <c r="G2045" s="38">
        <f t="shared" si="31"/>
        <v>274</v>
      </c>
      <c r="H2045" s="5">
        <v>43938</v>
      </c>
      <c r="I2045" s="5">
        <v>44181</v>
      </c>
      <c r="J2045" s="1" t="s">
        <v>26</v>
      </c>
      <c r="K2045" s="1" t="s">
        <v>4619</v>
      </c>
      <c r="L2045" s="1" t="s">
        <v>4620</v>
      </c>
      <c r="M2045" s="1" t="s">
        <v>4621</v>
      </c>
      <c r="N2045" s="1" t="s">
        <v>30</v>
      </c>
      <c r="O2045" s="1" t="s">
        <v>45</v>
      </c>
      <c r="P2045" s="1" t="s">
        <v>104</v>
      </c>
      <c r="Q2045" s="1" t="s">
        <v>105</v>
      </c>
      <c r="R2045" s="1" t="s">
        <v>33</v>
      </c>
      <c r="S2045" s="1"/>
      <c r="U2045" s="1" t="s">
        <v>35</v>
      </c>
      <c r="V2045" s="1" t="s">
        <v>74</v>
      </c>
      <c r="W2045" s="1" t="str">
        <f>VLOOKUP(Table1[[#This Row],[Obergruppe ATC-Code]],Tabelle3!$A$2:$B$100,2)</f>
        <v>ANÄSTHETIKA</v>
      </c>
      <c r="X2045" s="1" t="str">
        <f xml:space="preserve"> LEFT(Table1[[#This Row],[Atc Code]],3)</f>
        <v>N01</v>
      </c>
    </row>
    <row r="2046" spans="1:24" ht="14.4">
      <c r="A2046" s="14">
        <v>2174</v>
      </c>
      <c r="B2046" s="24" t="s">
        <v>4622</v>
      </c>
      <c r="C2046" s="1">
        <v>2145479</v>
      </c>
      <c r="D2046" s="1" t="s">
        <v>25</v>
      </c>
      <c r="E2046" s="36">
        <v>43922</v>
      </c>
      <c r="F2046" s="36">
        <v>44469</v>
      </c>
      <c r="G2046" s="38">
        <f t="shared" si="31"/>
        <v>547</v>
      </c>
      <c r="H2046" s="5">
        <v>43930</v>
      </c>
      <c r="I2046" s="5">
        <v>44480</v>
      </c>
      <c r="J2046" s="1" t="s">
        <v>26</v>
      </c>
      <c r="K2046" s="1" t="s">
        <v>4623</v>
      </c>
      <c r="L2046" s="1" t="s">
        <v>4620</v>
      </c>
      <c r="M2046" s="1" t="s">
        <v>4621</v>
      </c>
      <c r="N2046" s="1" t="s">
        <v>30</v>
      </c>
      <c r="O2046" s="1" t="s">
        <v>45</v>
      </c>
      <c r="P2046" s="1" t="s">
        <v>104</v>
      </c>
      <c r="Q2046" s="1" t="s">
        <v>105</v>
      </c>
      <c r="R2046" s="1" t="s">
        <v>33</v>
      </c>
      <c r="S2046" s="1"/>
      <c r="U2046" s="1" t="s">
        <v>35</v>
      </c>
      <c r="V2046" s="1" t="s">
        <v>74</v>
      </c>
      <c r="W2046" s="1" t="str">
        <f>VLOOKUP(Table1[[#This Row],[Obergruppe ATC-Code]],Tabelle3!$A$2:$B$100,2)</f>
        <v>ANÄSTHETIKA</v>
      </c>
      <c r="X2046" s="1" t="str">
        <f xml:space="preserve"> LEFT(Table1[[#This Row],[Atc Code]],3)</f>
        <v>N01</v>
      </c>
    </row>
    <row r="2047" spans="1:24" ht="14.4">
      <c r="A2047" s="14">
        <v>885</v>
      </c>
      <c r="B2047" s="24">
        <v>7428770</v>
      </c>
      <c r="C2047" s="1">
        <v>2136337</v>
      </c>
      <c r="D2047" s="1" t="s">
        <v>25</v>
      </c>
      <c r="E2047" s="36">
        <v>42705</v>
      </c>
      <c r="F2047" s="36">
        <v>43131</v>
      </c>
      <c r="G2047" s="38">
        <f t="shared" si="31"/>
        <v>426</v>
      </c>
      <c r="H2047" s="5">
        <v>42726</v>
      </c>
      <c r="I2047" s="5">
        <v>43102</v>
      </c>
      <c r="J2047" s="1" t="s">
        <v>26</v>
      </c>
      <c r="K2047" s="1" t="s">
        <v>4624</v>
      </c>
      <c r="L2047" s="1" t="s">
        <v>4625</v>
      </c>
      <c r="M2047" s="1" t="s">
        <v>4626</v>
      </c>
      <c r="N2047" s="1" t="s">
        <v>30</v>
      </c>
      <c r="O2047" s="1" t="s">
        <v>818</v>
      </c>
      <c r="P2047" s="1" t="s">
        <v>3636</v>
      </c>
      <c r="Q2047" s="1" t="s">
        <v>647</v>
      </c>
      <c r="R2047" s="1" t="s">
        <v>33</v>
      </c>
      <c r="S2047" s="1"/>
      <c r="T2047" s="1" t="s">
        <v>4627</v>
      </c>
      <c r="U2047" s="1" t="s">
        <v>35</v>
      </c>
      <c r="V2047" s="1" t="s">
        <v>4628</v>
      </c>
      <c r="W2047" s="1" t="str">
        <f>VLOOKUP(Table1[[#This Row],[Obergruppe ATC-Code]],Tabelle3!$A$2:$B$100,2)</f>
        <v>ANÄSTHETIKA</v>
      </c>
      <c r="X2047" s="1" t="str">
        <f xml:space="preserve"> LEFT(Table1[[#This Row],[Atc Code]],3)</f>
        <v>N01</v>
      </c>
    </row>
    <row r="2048" spans="1:24" ht="14.4">
      <c r="A2048" s="14">
        <v>883</v>
      </c>
      <c r="B2048" s="24">
        <v>7428764</v>
      </c>
      <c r="C2048" s="1">
        <v>2136336</v>
      </c>
      <c r="D2048" s="1" t="s">
        <v>25</v>
      </c>
      <c r="E2048" s="36">
        <v>42705</v>
      </c>
      <c r="F2048" s="36">
        <v>43131</v>
      </c>
      <c r="G2048" s="38">
        <f t="shared" si="31"/>
        <v>426</v>
      </c>
      <c r="H2048" s="5">
        <v>42726</v>
      </c>
      <c r="I2048" s="5">
        <v>43102</v>
      </c>
      <c r="J2048" s="1" t="s">
        <v>26</v>
      </c>
      <c r="K2048" s="1" t="s">
        <v>4629</v>
      </c>
      <c r="L2048" s="1" t="s">
        <v>4625</v>
      </c>
      <c r="M2048" s="1" t="s">
        <v>4626</v>
      </c>
      <c r="N2048" s="1" t="s">
        <v>30</v>
      </c>
      <c r="O2048" s="1" t="s">
        <v>818</v>
      </c>
      <c r="P2048" s="1" t="s">
        <v>3636</v>
      </c>
      <c r="Q2048" s="1" t="s">
        <v>647</v>
      </c>
      <c r="R2048" s="1" t="s">
        <v>33</v>
      </c>
      <c r="S2048" s="1"/>
      <c r="T2048" s="1" t="s">
        <v>4630</v>
      </c>
      <c r="U2048" s="1" t="s">
        <v>35</v>
      </c>
      <c r="V2048" s="1" t="s">
        <v>4628</v>
      </c>
      <c r="W2048" s="1" t="str">
        <f>VLOOKUP(Table1[[#This Row],[Obergruppe ATC-Code]],Tabelle3!$A$2:$B$100,2)</f>
        <v>ANÄSTHETIKA</v>
      </c>
      <c r="X2048" s="1" t="str">
        <f xml:space="preserve"> LEFT(Table1[[#This Row],[Atc Code]],3)</f>
        <v>N01</v>
      </c>
    </row>
    <row r="2049" spans="1:24" ht="14.4">
      <c r="A2049" s="14">
        <v>879</v>
      </c>
      <c r="B2049" s="24">
        <v>7428758</v>
      </c>
      <c r="C2049" s="1">
        <v>2136335</v>
      </c>
      <c r="D2049" s="1" t="s">
        <v>25</v>
      </c>
      <c r="E2049" s="36">
        <v>42644</v>
      </c>
      <c r="F2049" s="36">
        <v>43131</v>
      </c>
      <c r="G2049" s="38">
        <f t="shared" si="31"/>
        <v>487</v>
      </c>
      <c r="H2049" s="5">
        <v>42726</v>
      </c>
      <c r="I2049" s="5">
        <v>43102</v>
      </c>
      <c r="J2049" s="1" t="s">
        <v>26</v>
      </c>
      <c r="K2049" s="1" t="s">
        <v>4631</v>
      </c>
      <c r="L2049" s="1" t="s">
        <v>4625</v>
      </c>
      <c r="M2049" s="1" t="s">
        <v>4626</v>
      </c>
      <c r="N2049" s="1" t="s">
        <v>30</v>
      </c>
      <c r="O2049" s="1" t="s">
        <v>818</v>
      </c>
      <c r="P2049" s="1" t="s">
        <v>3636</v>
      </c>
      <c r="Q2049" s="1" t="s">
        <v>647</v>
      </c>
      <c r="R2049" s="1" t="s">
        <v>33</v>
      </c>
      <c r="S2049" s="1"/>
      <c r="T2049" s="1" t="s">
        <v>4632</v>
      </c>
      <c r="U2049" s="1" t="s">
        <v>35</v>
      </c>
      <c r="V2049" s="1" t="s">
        <v>4628</v>
      </c>
      <c r="W2049" s="1" t="str">
        <f>VLOOKUP(Table1[[#This Row],[Obergruppe ATC-Code]],Tabelle3!$A$2:$B$100,2)</f>
        <v>ANÄSTHETIKA</v>
      </c>
      <c r="X2049" s="1" t="str">
        <f xml:space="preserve"> LEFT(Table1[[#This Row],[Atc Code]],3)</f>
        <v>N01</v>
      </c>
    </row>
    <row r="2050" spans="1:24" ht="14.4">
      <c r="A2050" s="14">
        <v>2322</v>
      </c>
      <c r="B2050" s="24" t="s">
        <v>4633</v>
      </c>
      <c r="C2050" s="1">
        <v>2180518</v>
      </c>
      <c r="D2050" s="1" t="s">
        <v>25</v>
      </c>
      <c r="E2050" s="36">
        <v>43952</v>
      </c>
      <c r="F2050" s="36">
        <v>44074</v>
      </c>
      <c r="G2050" s="38">
        <f t="shared" ref="G2050:G2113" si="32">F2050-E2050</f>
        <v>122</v>
      </c>
      <c r="H2050" s="5">
        <v>43956</v>
      </c>
      <c r="I2050" s="5">
        <v>44063</v>
      </c>
      <c r="J2050" s="1" t="s">
        <v>41</v>
      </c>
      <c r="K2050" s="1" t="s">
        <v>4634</v>
      </c>
      <c r="L2050" s="1" t="s">
        <v>4625</v>
      </c>
      <c r="M2050" s="1" t="s">
        <v>4626</v>
      </c>
      <c r="N2050" s="1" t="s">
        <v>30</v>
      </c>
      <c r="O2050" s="1" t="s">
        <v>213</v>
      </c>
      <c r="P2050" s="1" t="s">
        <v>4513</v>
      </c>
      <c r="Q2050" s="1" t="s">
        <v>215</v>
      </c>
      <c r="R2050" s="1" t="s">
        <v>26</v>
      </c>
      <c r="S2050" s="1"/>
      <c r="T2050" s="1" t="s">
        <v>4635</v>
      </c>
      <c r="U2050" s="1" t="s">
        <v>57</v>
      </c>
      <c r="V2050" s="1" t="s">
        <v>4628</v>
      </c>
      <c r="W2050" s="1" t="str">
        <f>VLOOKUP(Table1[[#This Row],[Obergruppe ATC-Code]],Tabelle3!$A$2:$B$100,2)</f>
        <v>ANÄSTHETIKA</v>
      </c>
      <c r="X2050" s="1" t="str">
        <f xml:space="preserve"> LEFT(Table1[[#This Row],[Atc Code]],3)</f>
        <v>N01</v>
      </c>
    </row>
    <row r="2051" spans="1:24" ht="14.4">
      <c r="A2051" s="14">
        <v>881</v>
      </c>
      <c r="B2051" s="24">
        <v>7428758</v>
      </c>
      <c r="C2051" s="1">
        <v>2136335</v>
      </c>
      <c r="D2051" s="1" t="s">
        <v>25</v>
      </c>
      <c r="E2051" s="36">
        <v>44805</v>
      </c>
      <c r="F2051" s="36">
        <v>44820</v>
      </c>
      <c r="G2051" s="38">
        <f t="shared" si="32"/>
        <v>15</v>
      </c>
      <c r="H2051" s="5">
        <v>44791</v>
      </c>
      <c r="I2051" s="5">
        <v>44820</v>
      </c>
      <c r="J2051" s="1" t="s">
        <v>41</v>
      </c>
      <c r="K2051" s="1" t="s">
        <v>4631</v>
      </c>
      <c r="L2051" s="1" t="s">
        <v>4625</v>
      </c>
      <c r="M2051" s="1" t="s">
        <v>4626</v>
      </c>
      <c r="N2051" s="1" t="s">
        <v>30</v>
      </c>
      <c r="O2051" s="1" t="s">
        <v>818</v>
      </c>
      <c r="P2051" s="1" t="s">
        <v>2222</v>
      </c>
      <c r="Q2051" s="1" t="s">
        <v>1047</v>
      </c>
      <c r="R2051" s="1" t="s">
        <v>128</v>
      </c>
      <c r="S2051" s="1"/>
      <c r="T2051" s="1" t="s">
        <v>4635</v>
      </c>
      <c r="U2051" s="1" t="s">
        <v>130</v>
      </c>
      <c r="V2051" s="1" t="s">
        <v>4628</v>
      </c>
      <c r="W2051" s="1" t="str">
        <f>VLOOKUP(Table1[[#This Row],[Obergruppe ATC-Code]],Tabelle3!$A$2:$B$100,2)</f>
        <v>ANÄSTHETIKA</v>
      </c>
      <c r="X2051" s="1" t="str">
        <f xml:space="preserve"> LEFT(Table1[[#This Row],[Atc Code]],3)</f>
        <v>N01</v>
      </c>
    </row>
    <row r="2052" spans="1:24" ht="14.4">
      <c r="A2052" s="14">
        <v>884</v>
      </c>
      <c r="B2052" s="24">
        <v>7428764</v>
      </c>
      <c r="C2052" s="1">
        <v>2136336</v>
      </c>
      <c r="D2052" s="1" t="s">
        <v>25</v>
      </c>
      <c r="E2052" s="36">
        <v>45030</v>
      </c>
      <c r="F2052" s="36">
        <v>45104</v>
      </c>
      <c r="G2052" s="38">
        <f t="shared" si="32"/>
        <v>74</v>
      </c>
      <c r="H2052" s="5">
        <v>45015</v>
      </c>
      <c r="I2052" s="5">
        <v>45106</v>
      </c>
      <c r="J2052" s="1" t="s">
        <v>41</v>
      </c>
      <c r="K2052" s="1" t="s">
        <v>4629</v>
      </c>
      <c r="L2052" s="1" t="s">
        <v>4625</v>
      </c>
      <c r="M2052" s="1" t="s">
        <v>4626</v>
      </c>
      <c r="N2052" s="1" t="s">
        <v>38</v>
      </c>
      <c r="O2052" s="1" t="s">
        <v>818</v>
      </c>
      <c r="P2052" s="1" t="s">
        <v>1048</v>
      </c>
      <c r="Q2052" s="1" t="s">
        <v>1047</v>
      </c>
      <c r="R2052" s="1" t="s">
        <v>128</v>
      </c>
      <c r="S2052" s="1"/>
      <c r="U2052" s="1" t="s">
        <v>130</v>
      </c>
      <c r="V2052" s="1" t="s">
        <v>4628</v>
      </c>
      <c r="W2052" s="1" t="str">
        <f>VLOOKUP(Table1[[#This Row],[Obergruppe ATC-Code]],Tabelle3!$A$2:$B$100,2)</f>
        <v>ANÄSTHETIKA</v>
      </c>
      <c r="X2052" s="1" t="str">
        <f xml:space="preserve"> LEFT(Table1[[#This Row],[Atc Code]],3)</f>
        <v>N01</v>
      </c>
    </row>
    <row r="2053" spans="1:24" ht="14.4">
      <c r="A2053" s="14">
        <v>882</v>
      </c>
      <c r="B2053" s="24">
        <v>7428758</v>
      </c>
      <c r="C2053" s="1">
        <v>2136335</v>
      </c>
      <c r="D2053" s="1" t="s">
        <v>25</v>
      </c>
      <c r="E2053" s="36">
        <v>45030</v>
      </c>
      <c r="F2053" s="36">
        <v>45104</v>
      </c>
      <c r="G2053" s="38">
        <f t="shared" si="32"/>
        <v>74</v>
      </c>
      <c r="H2053" s="5">
        <v>45015</v>
      </c>
      <c r="I2053" s="5">
        <v>45106</v>
      </c>
      <c r="J2053" s="1" t="s">
        <v>41</v>
      </c>
      <c r="K2053" s="1" t="s">
        <v>4631</v>
      </c>
      <c r="L2053" s="1" t="s">
        <v>4625</v>
      </c>
      <c r="M2053" s="1" t="s">
        <v>4626</v>
      </c>
      <c r="N2053" s="1" t="s">
        <v>38</v>
      </c>
      <c r="O2053" s="1" t="s">
        <v>818</v>
      </c>
      <c r="P2053" s="1" t="s">
        <v>4636</v>
      </c>
      <c r="Q2053" s="1" t="s">
        <v>1047</v>
      </c>
      <c r="R2053" s="1" t="s">
        <v>128</v>
      </c>
      <c r="S2053" s="1"/>
      <c r="U2053" s="1" t="s">
        <v>130</v>
      </c>
      <c r="V2053" s="1" t="s">
        <v>4628</v>
      </c>
      <c r="W2053" s="1" t="str">
        <f>VLOOKUP(Table1[[#This Row],[Obergruppe ATC-Code]],Tabelle3!$A$2:$B$100,2)</f>
        <v>ANÄSTHETIKA</v>
      </c>
      <c r="X2053" s="1" t="str">
        <f xml:space="preserve"> LEFT(Table1[[#This Row],[Atc Code]],3)</f>
        <v>N01</v>
      </c>
    </row>
    <row r="2054" spans="1:24" ht="14.4">
      <c r="A2054" s="14">
        <v>880</v>
      </c>
      <c r="B2054" s="24">
        <v>7428758</v>
      </c>
      <c r="C2054" s="1">
        <v>2136335</v>
      </c>
      <c r="D2054" s="1" t="s">
        <v>175</v>
      </c>
      <c r="E2054" s="36">
        <v>45184</v>
      </c>
      <c r="F2054" s="36">
        <v>45291</v>
      </c>
      <c r="G2054" s="38">
        <f t="shared" si="32"/>
        <v>107</v>
      </c>
      <c r="H2054" s="5">
        <v>45152</v>
      </c>
      <c r="I2054" s="5">
        <v>45152</v>
      </c>
      <c r="J2054" s="1" t="s">
        <v>41</v>
      </c>
      <c r="K2054" s="1" t="s">
        <v>4631</v>
      </c>
      <c r="L2054" s="1" t="s">
        <v>4625</v>
      </c>
      <c r="M2054" s="1" t="s">
        <v>4626</v>
      </c>
      <c r="N2054" s="1" t="s">
        <v>38</v>
      </c>
      <c r="O2054" s="1" t="s">
        <v>818</v>
      </c>
      <c r="P2054" s="1" t="s">
        <v>1048</v>
      </c>
      <c r="Q2054" s="1" t="s">
        <v>1047</v>
      </c>
      <c r="R2054" s="1" t="s">
        <v>128</v>
      </c>
      <c r="S2054" s="1"/>
      <c r="T2054" s="1" t="s">
        <v>4635</v>
      </c>
      <c r="U2054" s="1" t="s">
        <v>130</v>
      </c>
      <c r="V2054" s="1" t="s">
        <v>4628</v>
      </c>
      <c r="W2054" s="1" t="str">
        <f>VLOOKUP(Table1[[#This Row],[Obergruppe ATC-Code]],Tabelle3!$A$2:$B$100,2)</f>
        <v>ANÄSTHETIKA</v>
      </c>
      <c r="X2054" s="1" t="str">
        <f xml:space="preserve"> LEFT(Table1[[#This Row],[Atc Code]],3)</f>
        <v>N01</v>
      </c>
    </row>
    <row r="2055" spans="1:24" ht="14.4">
      <c r="A2055" s="14">
        <v>886</v>
      </c>
      <c r="B2055" s="24">
        <v>7428770</v>
      </c>
      <c r="C2055" s="1">
        <v>2136337</v>
      </c>
      <c r="D2055" s="1" t="s">
        <v>25</v>
      </c>
      <c r="E2055" s="36">
        <v>45159</v>
      </c>
      <c r="F2055" s="36">
        <v>45196</v>
      </c>
      <c r="G2055" s="38">
        <f t="shared" si="32"/>
        <v>37</v>
      </c>
      <c r="H2055" s="5">
        <v>45152</v>
      </c>
      <c r="I2055" s="5">
        <v>45196</v>
      </c>
      <c r="J2055" s="1" t="s">
        <v>41</v>
      </c>
      <c r="K2055" s="1" t="s">
        <v>4624</v>
      </c>
      <c r="L2055" s="1" t="s">
        <v>4625</v>
      </c>
      <c r="M2055" s="1" t="s">
        <v>4626</v>
      </c>
      <c r="N2055" s="1" t="s">
        <v>38</v>
      </c>
      <c r="O2055" s="1" t="s">
        <v>818</v>
      </c>
      <c r="P2055" s="1" t="s">
        <v>1048</v>
      </c>
      <c r="Q2055" s="1" t="s">
        <v>1047</v>
      </c>
      <c r="R2055" s="1" t="s">
        <v>128</v>
      </c>
      <c r="S2055" s="1"/>
      <c r="T2055" s="1" t="s">
        <v>4635</v>
      </c>
      <c r="U2055" s="1" t="s">
        <v>130</v>
      </c>
      <c r="V2055" s="1" t="s">
        <v>4628</v>
      </c>
      <c r="W2055" s="1" t="str">
        <f>VLOOKUP(Table1[[#This Row],[Obergruppe ATC-Code]],Tabelle3!$A$2:$B$100,2)</f>
        <v>ANÄSTHETIKA</v>
      </c>
      <c r="X2055" s="1" t="str">
        <f xml:space="preserve"> LEFT(Table1[[#This Row],[Atc Code]],3)</f>
        <v>N01</v>
      </c>
    </row>
    <row r="2056" spans="1:24" ht="14.4">
      <c r="A2056" s="14">
        <v>2912</v>
      </c>
      <c r="B2056" s="24" t="s">
        <v>4637</v>
      </c>
      <c r="C2056" s="1">
        <v>2123106</v>
      </c>
      <c r="D2056" s="1" t="s">
        <v>25</v>
      </c>
      <c r="E2056" s="36">
        <v>43556</v>
      </c>
      <c r="F2056" s="36">
        <v>43677</v>
      </c>
      <c r="G2056" s="38">
        <f t="shared" si="32"/>
        <v>121</v>
      </c>
      <c r="H2056" s="5">
        <v>43557</v>
      </c>
      <c r="I2056" s="5">
        <v>43675</v>
      </c>
      <c r="J2056" s="1" t="s">
        <v>41</v>
      </c>
      <c r="K2056" s="1" t="s">
        <v>4638</v>
      </c>
      <c r="L2056" s="1" t="s">
        <v>4639</v>
      </c>
      <c r="M2056" s="1" t="s">
        <v>4640</v>
      </c>
      <c r="N2056" s="1" t="s">
        <v>30</v>
      </c>
      <c r="O2056" s="1" t="s">
        <v>213</v>
      </c>
      <c r="P2056" s="1" t="s">
        <v>214</v>
      </c>
      <c r="Q2056" s="1" t="s">
        <v>215</v>
      </c>
      <c r="R2056" s="1" t="s">
        <v>26</v>
      </c>
      <c r="S2056" s="1"/>
      <c r="T2056" s="1" t="s">
        <v>4641</v>
      </c>
      <c r="U2056" s="1" t="s">
        <v>57</v>
      </c>
      <c r="V2056" s="1" t="s">
        <v>4642</v>
      </c>
      <c r="W2056" s="1" t="str">
        <f>VLOOKUP(Table1[[#This Row],[Obergruppe ATC-Code]],Tabelle3!$A$2:$B$100,2)</f>
        <v>ANÄSTHETIKA</v>
      </c>
      <c r="X2056" s="1" t="str">
        <f xml:space="preserve"> LEFT(Table1[[#This Row],[Atc Code]],3)</f>
        <v>N01</v>
      </c>
    </row>
    <row r="2057" spans="1:24" ht="14.4">
      <c r="A2057" s="14">
        <v>2911</v>
      </c>
      <c r="B2057" s="24" t="s">
        <v>4637</v>
      </c>
      <c r="C2057" s="1">
        <v>2123106</v>
      </c>
      <c r="D2057" s="1" t="s">
        <v>25</v>
      </c>
      <c r="E2057" s="36">
        <v>43739</v>
      </c>
      <c r="F2057" s="36">
        <v>44405</v>
      </c>
      <c r="G2057" s="38">
        <f t="shared" si="32"/>
        <v>666</v>
      </c>
      <c r="H2057" s="5">
        <v>43732</v>
      </c>
      <c r="I2057" s="5">
        <v>44404</v>
      </c>
      <c r="J2057" s="1" t="s">
        <v>41</v>
      </c>
      <c r="K2057" s="1" t="s">
        <v>4638</v>
      </c>
      <c r="L2057" s="1" t="s">
        <v>4639</v>
      </c>
      <c r="M2057" s="1" t="s">
        <v>4640</v>
      </c>
      <c r="N2057" s="1" t="s">
        <v>30</v>
      </c>
      <c r="O2057" s="1" t="s">
        <v>213</v>
      </c>
      <c r="P2057" s="1" t="s">
        <v>214</v>
      </c>
      <c r="Q2057" s="1" t="s">
        <v>215</v>
      </c>
      <c r="R2057" s="1" t="s">
        <v>26</v>
      </c>
      <c r="S2057" s="1"/>
      <c r="T2057" s="1" t="s">
        <v>4641</v>
      </c>
      <c r="U2057" s="1" t="s">
        <v>57</v>
      </c>
      <c r="V2057" s="1" t="s">
        <v>4642</v>
      </c>
      <c r="W2057" s="1" t="str">
        <f>VLOOKUP(Table1[[#This Row],[Obergruppe ATC-Code]],Tabelle3!$A$2:$B$100,2)</f>
        <v>ANÄSTHETIKA</v>
      </c>
      <c r="X2057" s="1" t="str">
        <f xml:space="preserve"> LEFT(Table1[[#This Row],[Atc Code]],3)</f>
        <v>N01</v>
      </c>
    </row>
    <row r="2058" spans="1:24" ht="14.4">
      <c r="A2058" s="14">
        <v>1844</v>
      </c>
      <c r="B2058" s="25" t="s">
        <v>4643</v>
      </c>
      <c r="C2058" s="1">
        <v>2131989</v>
      </c>
      <c r="D2058" s="1" t="s">
        <v>25</v>
      </c>
      <c r="E2058" s="36">
        <v>43191</v>
      </c>
      <c r="F2058" s="36">
        <v>43281</v>
      </c>
      <c r="G2058" s="38">
        <f t="shared" si="32"/>
        <v>90</v>
      </c>
      <c r="H2058" s="5">
        <v>43207</v>
      </c>
      <c r="I2058" s="5">
        <v>43242</v>
      </c>
      <c r="J2058" s="1" t="s">
        <v>26</v>
      </c>
      <c r="K2058" s="1" t="s">
        <v>4644</v>
      </c>
      <c r="L2058" s="1" t="s">
        <v>4645</v>
      </c>
      <c r="M2058" s="1" t="s">
        <v>4646</v>
      </c>
      <c r="N2058" s="1" t="s">
        <v>30</v>
      </c>
      <c r="O2058" s="1" t="s">
        <v>818</v>
      </c>
      <c r="P2058" s="1" t="s">
        <v>819</v>
      </c>
      <c r="Q2058" s="1" t="s">
        <v>1047</v>
      </c>
      <c r="R2058" s="1" t="s">
        <v>33</v>
      </c>
      <c r="S2058" s="1"/>
      <c r="T2058" s="1" t="s">
        <v>4647</v>
      </c>
      <c r="U2058" s="1" t="s">
        <v>35</v>
      </c>
      <c r="V2058" s="1" t="s">
        <v>4642</v>
      </c>
      <c r="W2058" s="1" t="str">
        <f>VLOOKUP(Table1[[#This Row],[Obergruppe ATC-Code]],Tabelle3!$A$2:$B$100,2)</f>
        <v>ANÄSTHETIKA</v>
      </c>
      <c r="X2058" s="1" t="str">
        <f xml:space="preserve"> LEFT(Table1[[#This Row],[Atc Code]],3)</f>
        <v>N01</v>
      </c>
    </row>
    <row r="2059" spans="1:24" ht="14.4">
      <c r="A2059" s="14">
        <v>2860</v>
      </c>
      <c r="B2059" s="24" t="s">
        <v>4648</v>
      </c>
      <c r="C2059" s="1">
        <v>2178223</v>
      </c>
      <c r="D2059" s="1" t="s">
        <v>25</v>
      </c>
      <c r="E2059" s="36">
        <v>43922</v>
      </c>
      <c r="F2059" s="36">
        <v>44012</v>
      </c>
      <c r="G2059" s="38">
        <f t="shared" si="32"/>
        <v>90</v>
      </c>
      <c r="H2059" s="5">
        <v>43924</v>
      </c>
      <c r="I2059" s="5">
        <v>44006</v>
      </c>
      <c r="J2059" s="1" t="s">
        <v>41</v>
      </c>
      <c r="K2059" s="1" t="s">
        <v>4649</v>
      </c>
      <c r="L2059" s="1" t="s">
        <v>4645</v>
      </c>
      <c r="M2059" s="1" t="s">
        <v>4646</v>
      </c>
      <c r="N2059" s="1" t="s">
        <v>30</v>
      </c>
      <c r="O2059" s="1" t="s">
        <v>1166</v>
      </c>
      <c r="P2059" s="1" t="s">
        <v>4603</v>
      </c>
      <c r="Q2059" s="1" t="s">
        <v>4604</v>
      </c>
      <c r="R2059" s="1" t="s">
        <v>26</v>
      </c>
      <c r="S2059" s="1"/>
      <c r="U2059" s="1" t="s">
        <v>35</v>
      </c>
      <c r="V2059" s="1" t="s">
        <v>4650</v>
      </c>
      <c r="W2059" s="1" t="str">
        <f>VLOOKUP(Table1[[#This Row],[Obergruppe ATC-Code]],Tabelle3!$A$2:$B$100,2)</f>
        <v>ANÄSTHETIKA</v>
      </c>
      <c r="X2059" s="1" t="str">
        <f xml:space="preserve"> LEFT(Table1[[#This Row],[Atc Code]],3)</f>
        <v>N01</v>
      </c>
    </row>
    <row r="2060" spans="1:24" ht="14.4">
      <c r="A2060" s="14">
        <v>1518</v>
      </c>
      <c r="B2060" s="25">
        <v>16225451</v>
      </c>
      <c r="C2060" s="1">
        <v>2178222</v>
      </c>
      <c r="D2060" s="1" t="s">
        <v>25</v>
      </c>
      <c r="E2060" s="36">
        <v>43922</v>
      </c>
      <c r="F2060" s="36">
        <v>44012</v>
      </c>
      <c r="G2060" s="38">
        <f t="shared" si="32"/>
        <v>90</v>
      </c>
      <c r="H2060" s="5">
        <v>43924</v>
      </c>
      <c r="I2060" s="5">
        <v>44006</v>
      </c>
      <c r="J2060" s="1" t="s">
        <v>41</v>
      </c>
      <c r="K2060" s="1" t="s">
        <v>4651</v>
      </c>
      <c r="L2060" s="1" t="s">
        <v>4645</v>
      </c>
      <c r="M2060" s="1" t="s">
        <v>4646</v>
      </c>
      <c r="N2060" s="1" t="s">
        <v>30</v>
      </c>
      <c r="O2060" s="1" t="s">
        <v>1166</v>
      </c>
      <c r="P2060" s="1" t="s">
        <v>4603</v>
      </c>
      <c r="Q2060" s="1" t="s">
        <v>4604</v>
      </c>
      <c r="R2060" s="1" t="s">
        <v>26</v>
      </c>
      <c r="S2060" s="1"/>
      <c r="U2060" s="1" t="s">
        <v>35</v>
      </c>
      <c r="V2060" s="1" t="s">
        <v>4650</v>
      </c>
      <c r="W2060" s="1" t="str">
        <f>VLOOKUP(Table1[[#This Row],[Obergruppe ATC-Code]],Tabelle3!$A$2:$B$100,2)</f>
        <v>ANÄSTHETIKA</v>
      </c>
      <c r="X2060" s="1" t="str">
        <f xml:space="preserve"> LEFT(Table1[[#This Row],[Atc Code]],3)</f>
        <v>N01</v>
      </c>
    </row>
    <row r="2061" spans="1:24" ht="14.4">
      <c r="A2061" s="14">
        <v>763</v>
      </c>
      <c r="B2061" s="25">
        <v>5703953</v>
      </c>
      <c r="C2061" s="1">
        <v>2145281</v>
      </c>
      <c r="D2061" s="1" t="s">
        <v>25</v>
      </c>
      <c r="E2061" s="36">
        <v>43922</v>
      </c>
      <c r="F2061" s="36">
        <v>44104</v>
      </c>
      <c r="G2061" s="38">
        <f t="shared" si="32"/>
        <v>182</v>
      </c>
      <c r="H2061" s="5">
        <v>43944</v>
      </c>
      <c r="I2061" s="5">
        <v>44029</v>
      </c>
      <c r="J2061" s="1" t="s">
        <v>41</v>
      </c>
      <c r="K2061" s="1" t="s">
        <v>4652</v>
      </c>
      <c r="L2061" s="1" t="s">
        <v>4645</v>
      </c>
      <c r="M2061" s="1" t="s">
        <v>4646</v>
      </c>
      <c r="N2061" s="1" t="s">
        <v>30</v>
      </c>
      <c r="O2061" s="1" t="s">
        <v>213</v>
      </c>
      <c r="P2061" s="1" t="s">
        <v>214</v>
      </c>
      <c r="Q2061" s="1" t="s">
        <v>215</v>
      </c>
      <c r="R2061" s="1" t="s">
        <v>26</v>
      </c>
      <c r="S2061" s="1"/>
      <c r="T2061" s="1" t="s">
        <v>4653</v>
      </c>
      <c r="U2061" s="1" t="s">
        <v>57</v>
      </c>
      <c r="V2061" s="1" t="s">
        <v>4650</v>
      </c>
      <c r="W2061" s="1" t="str">
        <f>VLOOKUP(Table1[[#This Row],[Obergruppe ATC-Code]],Tabelle3!$A$2:$B$100,2)</f>
        <v>ANÄSTHETIKA</v>
      </c>
      <c r="X2061" s="1" t="str">
        <f xml:space="preserve"> LEFT(Table1[[#This Row],[Atc Code]],3)</f>
        <v>N01</v>
      </c>
    </row>
    <row r="2062" spans="1:24" ht="14.4">
      <c r="A2062" s="14">
        <v>1845</v>
      </c>
      <c r="B2062" s="24" t="s">
        <v>4643</v>
      </c>
      <c r="C2062" s="1">
        <v>2131989</v>
      </c>
      <c r="D2062" s="1" t="s">
        <v>25</v>
      </c>
      <c r="E2062" s="36">
        <v>43922</v>
      </c>
      <c r="F2062" s="36">
        <v>44104</v>
      </c>
      <c r="G2062" s="38">
        <f t="shared" si="32"/>
        <v>182</v>
      </c>
      <c r="H2062" s="5">
        <v>43935</v>
      </c>
      <c r="I2062" s="5">
        <v>44077</v>
      </c>
      <c r="J2062" s="1" t="s">
        <v>41</v>
      </c>
      <c r="K2062" s="1" t="s">
        <v>4644</v>
      </c>
      <c r="L2062" s="1" t="s">
        <v>4645</v>
      </c>
      <c r="M2062" s="1" t="s">
        <v>4646</v>
      </c>
      <c r="N2062" s="1" t="s">
        <v>30</v>
      </c>
      <c r="O2062" s="1" t="s">
        <v>818</v>
      </c>
      <c r="P2062" s="1">
        <v>498993083800</v>
      </c>
      <c r="Q2062" s="1" t="s">
        <v>820</v>
      </c>
      <c r="R2062" s="1" t="s">
        <v>26</v>
      </c>
      <c r="S2062" s="1"/>
      <c r="T2062" s="1" t="s">
        <v>4654</v>
      </c>
      <c r="U2062" s="1" t="s">
        <v>35</v>
      </c>
      <c r="V2062" s="1" t="s">
        <v>4642</v>
      </c>
      <c r="W2062" s="1" t="str">
        <f>VLOOKUP(Table1[[#This Row],[Obergruppe ATC-Code]],Tabelle3!$A$2:$B$100,2)</f>
        <v>ANÄSTHETIKA</v>
      </c>
      <c r="X2062" s="1" t="str">
        <f xml:space="preserve"> LEFT(Table1[[#This Row],[Atc Code]],3)</f>
        <v>N01</v>
      </c>
    </row>
    <row r="2063" spans="1:24" ht="14.4">
      <c r="A2063" s="14">
        <v>1147</v>
      </c>
      <c r="B2063" s="24">
        <v>9777517</v>
      </c>
      <c r="C2063" s="1">
        <v>2141913</v>
      </c>
      <c r="D2063" s="1" t="s">
        <v>25</v>
      </c>
      <c r="E2063" s="36">
        <v>43922</v>
      </c>
      <c r="F2063" s="36">
        <v>44135</v>
      </c>
      <c r="G2063" s="38">
        <f t="shared" si="32"/>
        <v>213</v>
      </c>
      <c r="H2063" s="5">
        <v>43944</v>
      </c>
      <c r="I2063" s="5">
        <v>44105</v>
      </c>
      <c r="J2063" s="1" t="s">
        <v>41</v>
      </c>
      <c r="K2063" s="1" t="s">
        <v>4655</v>
      </c>
      <c r="L2063" s="1" t="s">
        <v>4645</v>
      </c>
      <c r="M2063" s="1" t="s">
        <v>4646</v>
      </c>
      <c r="N2063" s="1" t="s">
        <v>38</v>
      </c>
      <c r="O2063" s="1" t="s">
        <v>213</v>
      </c>
      <c r="P2063" s="1" t="s">
        <v>214</v>
      </c>
      <c r="Q2063" s="1" t="s">
        <v>215</v>
      </c>
      <c r="R2063" s="1" t="s">
        <v>26</v>
      </c>
      <c r="S2063" s="1"/>
      <c r="T2063" s="1" t="s">
        <v>4656</v>
      </c>
      <c r="U2063" s="1" t="s">
        <v>35</v>
      </c>
      <c r="V2063" s="1" t="s">
        <v>4650</v>
      </c>
      <c r="W2063" s="1" t="str">
        <f>VLOOKUP(Table1[[#This Row],[Obergruppe ATC-Code]],Tabelle3!$A$2:$B$100,2)</f>
        <v>ANÄSTHETIKA</v>
      </c>
      <c r="X2063" s="1" t="str">
        <f xml:space="preserve"> LEFT(Table1[[#This Row],[Atc Code]],3)</f>
        <v>N01</v>
      </c>
    </row>
    <row r="2064" spans="1:24" ht="14.4">
      <c r="A2064" s="14">
        <v>911</v>
      </c>
      <c r="B2064" s="24">
        <v>7588338</v>
      </c>
      <c r="C2064" s="1">
        <v>2131362</v>
      </c>
      <c r="D2064" s="1" t="s">
        <v>25</v>
      </c>
      <c r="E2064" s="36">
        <v>43922</v>
      </c>
      <c r="F2064" s="36">
        <v>44043</v>
      </c>
      <c r="G2064" s="38">
        <f t="shared" si="32"/>
        <v>121</v>
      </c>
      <c r="H2064" s="5">
        <v>43936</v>
      </c>
      <c r="I2064" s="5">
        <v>44112</v>
      </c>
      <c r="J2064" s="1" t="s">
        <v>41</v>
      </c>
      <c r="K2064" s="1" t="s">
        <v>4657</v>
      </c>
      <c r="L2064" s="1" t="s">
        <v>4645</v>
      </c>
      <c r="M2064" s="1" t="s">
        <v>4646</v>
      </c>
      <c r="N2064" s="1" t="s">
        <v>30</v>
      </c>
      <c r="O2064" s="1" t="s">
        <v>818</v>
      </c>
      <c r="P2064" s="1">
        <v>498993083800</v>
      </c>
      <c r="Q2064" s="1" t="s">
        <v>820</v>
      </c>
      <c r="R2064" s="1" t="s">
        <v>26</v>
      </c>
      <c r="S2064" s="1"/>
      <c r="T2064" s="1" t="s">
        <v>4647</v>
      </c>
      <c r="U2064" s="1" t="s">
        <v>35</v>
      </c>
      <c r="V2064" s="1" t="s">
        <v>4642</v>
      </c>
      <c r="W2064" s="1" t="str">
        <f>VLOOKUP(Table1[[#This Row],[Obergruppe ATC-Code]],Tabelle3!$A$2:$B$100,2)</f>
        <v>ANÄSTHETIKA</v>
      </c>
      <c r="X2064" s="1" t="str">
        <f xml:space="preserve"> LEFT(Table1[[#This Row],[Atc Code]],3)</f>
        <v>N01</v>
      </c>
    </row>
    <row r="2065" spans="1:24" ht="14.4">
      <c r="A2065" s="14">
        <v>1146</v>
      </c>
      <c r="B2065" s="24">
        <v>9777517</v>
      </c>
      <c r="C2065" s="1">
        <v>2141913</v>
      </c>
      <c r="D2065" s="1" t="s">
        <v>25</v>
      </c>
      <c r="E2065" s="36">
        <v>44105</v>
      </c>
      <c r="F2065" s="36">
        <v>44377</v>
      </c>
      <c r="G2065" s="38">
        <f t="shared" si="32"/>
        <v>272</v>
      </c>
      <c r="H2065" s="5">
        <v>44130</v>
      </c>
      <c r="I2065" s="5">
        <v>44316</v>
      </c>
      <c r="J2065" s="1" t="s">
        <v>41</v>
      </c>
      <c r="K2065" s="1" t="s">
        <v>4655</v>
      </c>
      <c r="L2065" s="1" t="s">
        <v>4645</v>
      </c>
      <c r="M2065" s="1" t="s">
        <v>4646</v>
      </c>
      <c r="N2065" s="1" t="s">
        <v>30</v>
      </c>
      <c r="O2065" s="1" t="s">
        <v>213</v>
      </c>
      <c r="P2065" s="1" t="s">
        <v>4658</v>
      </c>
      <c r="Q2065" s="1" t="s">
        <v>215</v>
      </c>
      <c r="R2065" s="1" t="s">
        <v>26</v>
      </c>
      <c r="S2065" s="1"/>
      <c r="T2065" s="1" t="s">
        <v>4659</v>
      </c>
      <c r="U2065" s="1" t="s">
        <v>35</v>
      </c>
      <c r="V2065" s="1" t="s">
        <v>4650</v>
      </c>
      <c r="W2065" s="1" t="str">
        <f>VLOOKUP(Table1[[#This Row],[Obergruppe ATC-Code]],Tabelle3!$A$2:$B$100,2)</f>
        <v>ANÄSTHETIKA</v>
      </c>
      <c r="X2065" s="1" t="str">
        <f xml:space="preserve"> LEFT(Table1[[#This Row],[Atc Code]],3)</f>
        <v>N01</v>
      </c>
    </row>
    <row r="2066" spans="1:24" ht="14.4">
      <c r="A2066" s="14">
        <v>1688</v>
      </c>
      <c r="B2066" s="24" t="s">
        <v>4660</v>
      </c>
      <c r="C2066" s="1">
        <v>2169927</v>
      </c>
      <c r="D2066" s="1" t="s">
        <v>25</v>
      </c>
      <c r="E2066" s="36">
        <v>44317</v>
      </c>
      <c r="F2066" s="36">
        <v>44411</v>
      </c>
      <c r="G2066" s="38">
        <f t="shared" si="32"/>
        <v>94</v>
      </c>
      <c r="H2066" s="5">
        <v>44321</v>
      </c>
      <c r="I2066" s="5">
        <v>44411</v>
      </c>
      <c r="J2066" s="1" t="s">
        <v>41</v>
      </c>
      <c r="K2066" s="1" t="s">
        <v>4661</v>
      </c>
      <c r="L2066" s="1" t="s">
        <v>4645</v>
      </c>
      <c r="M2066" s="1" t="s">
        <v>4646</v>
      </c>
      <c r="N2066" s="1" t="s">
        <v>30</v>
      </c>
      <c r="O2066" s="1" t="s">
        <v>213</v>
      </c>
      <c r="P2066" s="1" t="s">
        <v>899</v>
      </c>
      <c r="Q2066" s="1" t="s">
        <v>215</v>
      </c>
      <c r="R2066" s="1" t="s">
        <v>26</v>
      </c>
      <c r="S2066" s="1"/>
      <c r="T2066" s="1" t="s">
        <v>4662</v>
      </c>
      <c r="U2066" s="1" t="s">
        <v>57</v>
      </c>
      <c r="V2066" s="1" t="s">
        <v>4650</v>
      </c>
      <c r="W2066" s="1" t="str">
        <f>VLOOKUP(Table1[[#This Row],[Obergruppe ATC-Code]],Tabelle3!$A$2:$B$100,2)</f>
        <v>ANÄSTHETIKA</v>
      </c>
      <c r="X2066" s="1" t="str">
        <f xml:space="preserve"> LEFT(Table1[[#This Row],[Atc Code]],3)</f>
        <v>N01</v>
      </c>
    </row>
    <row r="2067" spans="1:24" ht="14.4">
      <c r="A2067" s="14">
        <v>1362</v>
      </c>
      <c r="B2067" s="24">
        <v>13348874</v>
      </c>
      <c r="C2067" s="1">
        <v>2141913</v>
      </c>
      <c r="D2067" s="1" t="s">
        <v>25</v>
      </c>
      <c r="E2067" s="36">
        <v>44515</v>
      </c>
      <c r="F2067" s="36">
        <v>44567</v>
      </c>
      <c r="G2067" s="38">
        <f t="shared" si="32"/>
        <v>52</v>
      </c>
      <c r="H2067" s="5">
        <v>44515</v>
      </c>
      <c r="I2067" s="5">
        <v>44567</v>
      </c>
      <c r="J2067" s="1" t="s">
        <v>41</v>
      </c>
      <c r="K2067" s="1" t="s">
        <v>4655</v>
      </c>
      <c r="L2067" s="1" t="s">
        <v>4645</v>
      </c>
      <c r="M2067" s="1" t="s">
        <v>4646</v>
      </c>
      <c r="N2067" s="1" t="s">
        <v>38</v>
      </c>
      <c r="O2067" s="1" t="s">
        <v>213</v>
      </c>
      <c r="P2067" s="1">
        <v>566191477309</v>
      </c>
      <c r="Q2067" s="1" t="s">
        <v>911</v>
      </c>
      <c r="R2067" s="1" t="s">
        <v>128</v>
      </c>
      <c r="S2067" s="1"/>
      <c r="U2067" s="1" t="s">
        <v>130</v>
      </c>
      <c r="V2067" s="1" t="s">
        <v>4650</v>
      </c>
      <c r="W2067" s="1" t="str">
        <f>VLOOKUP(Table1[[#This Row],[Obergruppe ATC-Code]],Tabelle3!$A$2:$B$100,2)</f>
        <v>ANÄSTHETIKA</v>
      </c>
      <c r="X2067" s="1" t="str">
        <f xml:space="preserve"> LEFT(Table1[[#This Row],[Atc Code]],3)</f>
        <v>N01</v>
      </c>
    </row>
    <row r="2068" spans="1:24" ht="14.4">
      <c r="A2068" s="14">
        <v>1148</v>
      </c>
      <c r="B2068" s="24">
        <v>9777517</v>
      </c>
      <c r="C2068" s="1">
        <v>2141913</v>
      </c>
      <c r="D2068" s="1" t="s">
        <v>25</v>
      </c>
      <c r="E2068" s="36">
        <v>44547</v>
      </c>
      <c r="F2068" s="36">
        <v>44567</v>
      </c>
      <c r="G2068" s="38">
        <f t="shared" si="32"/>
        <v>20</v>
      </c>
      <c r="H2068" s="5">
        <v>44547</v>
      </c>
      <c r="I2068" s="5">
        <v>44567</v>
      </c>
      <c r="J2068" s="1" t="s">
        <v>41</v>
      </c>
      <c r="K2068" s="1" t="s">
        <v>4655</v>
      </c>
      <c r="L2068" s="1" t="s">
        <v>4645</v>
      </c>
      <c r="M2068" s="1" t="s">
        <v>4646</v>
      </c>
      <c r="N2068" s="1" t="s">
        <v>38</v>
      </c>
      <c r="O2068" s="1" t="s">
        <v>213</v>
      </c>
      <c r="P2068" s="1" t="s">
        <v>4663</v>
      </c>
      <c r="Q2068" s="1" t="s">
        <v>911</v>
      </c>
      <c r="R2068" s="1" t="s">
        <v>128</v>
      </c>
      <c r="S2068" s="1"/>
      <c r="U2068" s="1" t="s">
        <v>130</v>
      </c>
      <c r="V2068" s="1" t="s">
        <v>4650</v>
      </c>
      <c r="W2068" s="1" t="str">
        <f>VLOOKUP(Table1[[#This Row],[Obergruppe ATC-Code]],Tabelle3!$A$2:$B$100,2)</f>
        <v>ANÄSTHETIKA</v>
      </c>
      <c r="X2068" s="1" t="str">
        <f xml:space="preserve"> LEFT(Table1[[#This Row],[Atc Code]],3)</f>
        <v>N01</v>
      </c>
    </row>
    <row r="2069" spans="1:24" ht="14.4">
      <c r="A2069" s="14">
        <v>913</v>
      </c>
      <c r="B2069" s="24">
        <v>7588338</v>
      </c>
      <c r="C2069" s="1">
        <v>2131362</v>
      </c>
      <c r="D2069" s="1" t="s">
        <v>25</v>
      </c>
      <c r="E2069" s="36">
        <v>44788</v>
      </c>
      <c r="F2069" s="36">
        <v>44830</v>
      </c>
      <c r="G2069" s="38">
        <f t="shared" si="32"/>
        <v>42</v>
      </c>
      <c r="H2069" s="5">
        <v>44750</v>
      </c>
      <c r="I2069" s="5">
        <v>44830</v>
      </c>
      <c r="J2069" s="1" t="s">
        <v>41</v>
      </c>
      <c r="K2069" s="1" t="s">
        <v>4657</v>
      </c>
      <c r="L2069" s="1" t="s">
        <v>4645</v>
      </c>
      <c r="M2069" s="1" t="s">
        <v>4646</v>
      </c>
      <c r="N2069" s="1" t="s">
        <v>30</v>
      </c>
      <c r="O2069" s="1" t="s">
        <v>818</v>
      </c>
      <c r="P2069" s="1" t="s">
        <v>1048</v>
      </c>
      <c r="Q2069" s="1" t="s">
        <v>1047</v>
      </c>
      <c r="R2069" s="1" t="s">
        <v>128</v>
      </c>
      <c r="S2069" s="1"/>
      <c r="U2069" s="1" t="s">
        <v>130</v>
      </c>
      <c r="V2069" s="1" t="s">
        <v>4642</v>
      </c>
      <c r="W2069" s="1" t="str">
        <f>VLOOKUP(Table1[[#This Row],[Obergruppe ATC-Code]],Tabelle3!$A$2:$B$100,2)</f>
        <v>ANÄSTHETIKA</v>
      </c>
      <c r="X2069" s="1" t="str">
        <f xml:space="preserve"> LEFT(Table1[[#This Row],[Atc Code]],3)</f>
        <v>N01</v>
      </c>
    </row>
    <row r="2070" spans="1:24" ht="14.4">
      <c r="A2070" s="14">
        <v>912</v>
      </c>
      <c r="B2070" s="24">
        <v>7588338</v>
      </c>
      <c r="C2070" s="1">
        <v>2131362</v>
      </c>
      <c r="D2070" s="1" t="s">
        <v>175</v>
      </c>
      <c r="E2070" s="36">
        <v>45200</v>
      </c>
      <c r="F2070" s="36">
        <v>45260</v>
      </c>
      <c r="G2070" s="38">
        <f t="shared" si="32"/>
        <v>60</v>
      </c>
      <c r="H2070" s="5">
        <v>45152</v>
      </c>
      <c r="I2070" s="5">
        <v>45152</v>
      </c>
      <c r="J2070" s="1" t="s">
        <v>41</v>
      </c>
      <c r="K2070" s="1" t="s">
        <v>4657</v>
      </c>
      <c r="L2070" s="1" t="s">
        <v>4645</v>
      </c>
      <c r="M2070" s="1" t="s">
        <v>4646</v>
      </c>
      <c r="N2070" s="1" t="s">
        <v>38</v>
      </c>
      <c r="O2070" s="1" t="s">
        <v>818</v>
      </c>
      <c r="P2070" s="1" t="s">
        <v>1048</v>
      </c>
      <c r="Q2070" s="1" t="s">
        <v>1047</v>
      </c>
      <c r="R2070" s="1" t="s">
        <v>128</v>
      </c>
      <c r="S2070" s="1"/>
      <c r="T2070" s="1" t="s">
        <v>4647</v>
      </c>
      <c r="U2070" s="1" t="s">
        <v>130</v>
      </c>
      <c r="V2070" s="1" t="s">
        <v>4642</v>
      </c>
      <c r="W2070" s="1" t="str">
        <f>VLOOKUP(Table1[[#This Row],[Obergruppe ATC-Code]],Tabelle3!$A$2:$B$100,2)</f>
        <v>ANÄSTHETIKA</v>
      </c>
      <c r="X2070" s="1" t="str">
        <f xml:space="preserve"> LEFT(Table1[[#This Row],[Atc Code]],3)</f>
        <v>N01</v>
      </c>
    </row>
    <row r="2071" spans="1:24" ht="14.4">
      <c r="A2071" s="14">
        <v>2384</v>
      </c>
      <c r="B2071" s="24" t="s">
        <v>4664</v>
      </c>
      <c r="C2071" s="1">
        <v>2139945</v>
      </c>
      <c r="D2071" s="1" t="s">
        <v>25</v>
      </c>
      <c r="E2071" s="36">
        <v>43952</v>
      </c>
      <c r="F2071" s="36">
        <v>44135</v>
      </c>
      <c r="G2071" s="38">
        <f t="shared" si="32"/>
        <v>183</v>
      </c>
      <c r="H2071" s="5">
        <v>43958</v>
      </c>
      <c r="I2071" s="5">
        <v>44134</v>
      </c>
      <c r="J2071" s="1" t="s">
        <v>41</v>
      </c>
      <c r="K2071" s="1" t="s">
        <v>4665</v>
      </c>
      <c r="L2071" s="1" t="s">
        <v>4666</v>
      </c>
      <c r="M2071" s="1" t="s">
        <v>4667</v>
      </c>
      <c r="N2071" s="1" t="s">
        <v>30</v>
      </c>
      <c r="O2071" s="1" t="s">
        <v>321</v>
      </c>
      <c r="P2071" s="1" t="s">
        <v>326</v>
      </c>
      <c r="Q2071" s="1" t="s">
        <v>327</v>
      </c>
      <c r="R2071" s="1" t="s">
        <v>26</v>
      </c>
      <c r="S2071" s="1"/>
      <c r="U2071" s="1" t="s">
        <v>35</v>
      </c>
      <c r="V2071" s="1" t="s">
        <v>74</v>
      </c>
      <c r="W2071" s="1" t="str">
        <f>VLOOKUP(Table1[[#This Row],[Obergruppe ATC-Code]],Tabelle3!$A$2:$B$100,2)</f>
        <v>ANÄSTHETIKA</v>
      </c>
      <c r="X2071" s="1" t="str">
        <f xml:space="preserve"> LEFT(Table1[[#This Row],[Atc Code]],3)</f>
        <v>N01</v>
      </c>
    </row>
    <row r="2072" spans="1:24" ht="15" customHeight="1">
      <c r="A2072" s="14">
        <v>2383</v>
      </c>
      <c r="B2072" s="24" t="s">
        <v>4668</v>
      </c>
      <c r="C2072" s="1" t="s">
        <v>4669</v>
      </c>
      <c r="D2072" s="1" t="s">
        <v>25</v>
      </c>
      <c r="E2072" s="36">
        <v>44609</v>
      </c>
      <c r="F2072" s="36">
        <v>44664</v>
      </c>
      <c r="G2072" s="38">
        <f t="shared" si="32"/>
        <v>55</v>
      </c>
      <c r="H2072" s="5">
        <v>44614</v>
      </c>
      <c r="I2072" s="5">
        <v>44664</v>
      </c>
      <c r="J2072" s="1" t="s">
        <v>26</v>
      </c>
      <c r="K2072" s="1" t="s">
        <v>4670</v>
      </c>
      <c r="L2072" s="1" t="s">
        <v>4666</v>
      </c>
      <c r="M2072" s="1" t="s">
        <v>4667</v>
      </c>
      <c r="N2072" s="1" t="s">
        <v>30</v>
      </c>
      <c r="O2072" s="1" t="s">
        <v>329</v>
      </c>
      <c r="P2072" s="1" t="s">
        <v>1259</v>
      </c>
      <c r="Q2072" s="1" t="s">
        <v>331</v>
      </c>
      <c r="R2072" s="1" t="s">
        <v>26</v>
      </c>
      <c r="S2072" s="1" t="s">
        <v>4671</v>
      </c>
      <c r="T2072" s="1" t="s">
        <v>4672</v>
      </c>
      <c r="U2072" s="1" t="s">
        <v>35</v>
      </c>
      <c r="V2072" s="1" t="s">
        <v>74</v>
      </c>
      <c r="W2072" s="1" t="str">
        <f>VLOOKUP(Table1[[#This Row],[Obergruppe ATC-Code]],Tabelle3!$A$2:$B$100,2)</f>
        <v>ANÄSTHETIKA</v>
      </c>
      <c r="X2072" s="1" t="str">
        <f xml:space="preserve"> LEFT(Table1[[#This Row],[Atc Code]],3)</f>
        <v>N01</v>
      </c>
    </row>
    <row r="2073" spans="1:24" ht="15" customHeight="1">
      <c r="A2073" s="14">
        <v>615</v>
      </c>
      <c r="B2073" s="24">
        <v>4004377</v>
      </c>
      <c r="C2073" s="1">
        <v>3000410</v>
      </c>
      <c r="D2073" s="1" t="s">
        <v>25</v>
      </c>
      <c r="E2073" s="36">
        <v>44617</v>
      </c>
      <c r="F2073" s="36">
        <v>44676</v>
      </c>
      <c r="G2073" s="38">
        <f t="shared" si="32"/>
        <v>59</v>
      </c>
      <c r="H2073" s="5">
        <v>44617</v>
      </c>
      <c r="I2073" s="5">
        <v>44677</v>
      </c>
      <c r="J2073" s="1" t="s">
        <v>41</v>
      </c>
      <c r="K2073" s="1" t="s">
        <v>4673</v>
      </c>
      <c r="L2073" s="1" t="s">
        <v>4674</v>
      </c>
      <c r="M2073" s="1" t="s">
        <v>4675</v>
      </c>
      <c r="N2073" s="1" t="s">
        <v>30</v>
      </c>
      <c r="O2073" s="1" t="s">
        <v>615</v>
      </c>
      <c r="P2073" s="1">
        <v>49349542470</v>
      </c>
      <c r="Q2073" s="1" t="s">
        <v>616</v>
      </c>
      <c r="R2073" s="1" t="s">
        <v>128</v>
      </c>
      <c r="S2073" s="1"/>
      <c r="U2073" s="1" t="s">
        <v>35</v>
      </c>
      <c r="V2073" s="1" t="s">
        <v>74</v>
      </c>
      <c r="W2073" s="1" t="str">
        <f>VLOOKUP(Table1[[#This Row],[Obergruppe ATC-Code]],Tabelle3!$A$2:$B$100,2)</f>
        <v>ANÄSTHETIKA</v>
      </c>
      <c r="X2073" s="1" t="str">
        <f xml:space="preserve"> LEFT(Table1[[#This Row],[Atc Code]],3)</f>
        <v>N01</v>
      </c>
    </row>
    <row r="2074" spans="1:24" ht="14.4">
      <c r="A2074" s="14">
        <v>614</v>
      </c>
      <c r="B2074" s="24">
        <v>4004377</v>
      </c>
      <c r="C2074" s="1">
        <v>3000410</v>
      </c>
      <c r="D2074" s="1" t="s">
        <v>25</v>
      </c>
      <c r="E2074" s="36">
        <v>44858</v>
      </c>
      <c r="F2074" s="36">
        <v>44882</v>
      </c>
      <c r="G2074" s="38">
        <f t="shared" si="32"/>
        <v>24</v>
      </c>
      <c r="H2074" s="5">
        <v>44861</v>
      </c>
      <c r="I2074" s="5">
        <v>44890</v>
      </c>
      <c r="J2074" s="1" t="s">
        <v>26</v>
      </c>
      <c r="K2074" s="1" t="s">
        <v>4673</v>
      </c>
      <c r="L2074" s="1" t="s">
        <v>4674</v>
      </c>
      <c r="M2074" s="1" t="s">
        <v>4675</v>
      </c>
      <c r="N2074" s="1" t="s">
        <v>38</v>
      </c>
      <c r="O2074" s="1" t="s">
        <v>615</v>
      </c>
      <c r="P2074" s="1">
        <v>49349542470</v>
      </c>
      <c r="Q2074" s="1" t="s">
        <v>619</v>
      </c>
      <c r="R2074" s="1" t="s">
        <v>33</v>
      </c>
      <c r="S2074" s="1"/>
      <c r="U2074" s="1" t="s">
        <v>35</v>
      </c>
      <c r="V2074" s="1" t="s">
        <v>74</v>
      </c>
      <c r="W2074" s="1" t="str">
        <f>VLOOKUP(Table1[[#This Row],[Obergruppe ATC-Code]],Tabelle3!$A$2:$B$100,2)</f>
        <v>ANÄSTHETIKA</v>
      </c>
      <c r="X2074" s="1" t="str">
        <f xml:space="preserve"> LEFT(Table1[[#This Row],[Atc Code]],3)</f>
        <v>N01</v>
      </c>
    </row>
    <row r="2075" spans="1:24" ht="14.4">
      <c r="A2075" s="14">
        <v>613</v>
      </c>
      <c r="B2075" s="24">
        <v>4004377</v>
      </c>
      <c r="C2075" s="1">
        <v>3000410</v>
      </c>
      <c r="D2075" s="1" t="s">
        <v>25</v>
      </c>
      <c r="E2075" s="36">
        <v>45016</v>
      </c>
      <c r="F2075" s="36">
        <v>45028</v>
      </c>
      <c r="G2075" s="38">
        <f t="shared" si="32"/>
        <v>12</v>
      </c>
      <c r="H2075" s="5">
        <v>45021</v>
      </c>
      <c r="I2075" s="5">
        <v>45029</v>
      </c>
      <c r="J2075" s="1" t="s">
        <v>26</v>
      </c>
      <c r="K2075" s="1" t="s">
        <v>4673</v>
      </c>
      <c r="L2075" s="1" t="s">
        <v>4674</v>
      </c>
      <c r="M2075" s="1" t="s">
        <v>4676</v>
      </c>
      <c r="N2075" s="1" t="s">
        <v>30</v>
      </c>
      <c r="O2075" s="1" t="s">
        <v>615</v>
      </c>
      <c r="P2075" s="1">
        <v>349542470</v>
      </c>
      <c r="Q2075" s="1" t="s">
        <v>621</v>
      </c>
      <c r="R2075" s="1" t="s">
        <v>33</v>
      </c>
      <c r="S2075" s="1"/>
      <c r="U2075" s="1" t="s">
        <v>35</v>
      </c>
      <c r="V2075" s="1" t="s">
        <v>74</v>
      </c>
      <c r="W2075" s="1" t="str">
        <f>VLOOKUP(Table1[[#This Row],[Obergruppe ATC-Code]],Tabelle3!$A$2:$B$100,2)</f>
        <v>ANÄSTHETIKA</v>
      </c>
      <c r="X2075" s="1" t="str">
        <f xml:space="preserve"> LEFT(Table1[[#This Row],[Atc Code]],3)</f>
        <v>N01</v>
      </c>
    </row>
    <row r="2076" spans="1:24" ht="14.4">
      <c r="A2076" s="14">
        <v>612</v>
      </c>
      <c r="B2076" s="24">
        <v>4004360</v>
      </c>
      <c r="C2076" s="1">
        <v>3000409</v>
      </c>
      <c r="D2076" s="1" t="s">
        <v>25</v>
      </c>
      <c r="E2076" s="36">
        <v>44858</v>
      </c>
      <c r="F2076" s="36">
        <v>44868</v>
      </c>
      <c r="G2076" s="38">
        <f t="shared" si="32"/>
        <v>10</v>
      </c>
      <c r="H2076" s="5">
        <v>44861</v>
      </c>
      <c r="I2076" s="5">
        <v>44873</v>
      </c>
      <c r="J2076" s="1" t="s">
        <v>26</v>
      </c>
      <c r="K2076" s="1" t="s">
        <v>4677</v>
      </c>
      <c r="L2076" s="1" t="s">
        <v>4678</v>
      </c>
      <c r="M2076" s="1" t="s">
        <v>4679</v>
      </c>
      <c r="N2076" s="1" t="s">
        <v>38</v>
      </c>
      <c r="O2076" s="1" t="s">
        <v>615</v>
      </c>
      <c r="P2076" s="1">
        <v>49349542470</v>
      </c>
      <c r="Q2076" s="1" t="s">
        <v>619</v>
      </c>
      <c r="R2076" s="1" t="s">
        <v>33</v>
      </c>
      <c r="S2076" s="1" t="s">
        <v>625</v>
      </c>
      <c r="T2076" s="1" t="s">
        <v>4680</v>
      </c>
      <c r="U2076" s="1" t="s">
        <v>35</v>
      </c>
      <c r="V2076" s="1" t="s">
        <v>74</v>
      </c>
      <c r="W2076" s="1" t="str">
        <f>VLOOKUP(Table1[[#This Row],[Obergruppe ATC-Code]],Tabelle3!$A$2:$B$100,2)</f>
        <v>ANÄSTHETIKA</v>
      </c>
      <c r="X2076" s="1" t="str">
        <f xml:space="preserve"> LEFT(Table1[[#This Row],[Atc Code]],3)</f>
        <v>N01</v>
      </c>
    </row>
    <row r="2077" spans="1:24" ht="14.4">
      <c r="A2077" s="14">
        <v>215</v>
      </c>
      <c r="B2077" s="24">
        <v>1177870</v>
      </c>
      <c r="C2077" s="1">
        <v>77681</v>
      </c>
      <c r="D2077" s="1" t="s">
        <v>25</v>
      </c>
      <c r="E2077" s="36">
        <v>45021</v>
      </c>
      <c r="F2077" s="36">
        <v>45093</v>
      </c>
      <c r="G2077" s="38">
        <f t="shared" si="32"/>
        <v>72</v>
      </c>
      <c r="H2077" s="5">
        <v>45015</v>
      </c>
      <c r="I2077" s="5">
        <v>45093</v>
      </c>
      <c r="J2077" s="1" t="s">
        <v>41</v>
      </c>
      <c r="K2077" s="1" t="s">
        <v>4681</v>
      </c>
      <c r="L2077" s="1" t="s">
        <v>4678</v>
      </c>
      <c r="M2077" s="1" t="s">
        <v>4679</v>
      </c>
      <c r="N2077" s="1" t="s">
        <v>38</v>
      </c>
      <c r="O2077" s="1" t="s">
        <v>818</v>
      </c>
      <c r="P2077" s="1" t="s">
        <v>4636</v>
      </c>
      <c r="Q2077" s="1" t="s">
        <v>1047</v>
      </c>
      <c r="R2077" s="1" t="s">
        <v>128</v>
      </c>
      <c r="S2077" s="1"/>
      <c r="T2077" s="1" t="s">
        <v>4682</v>
      </c>
      <c r="U2077" s="1" t="s">
        <v>130</v>
      </c>
      <c r="V2077" s="1" t="s">
        <v>74</v>
      </c>
      <c r="W2077" s="1" t="str">
        <f>VLOOKUP(Table1[[#This Row],[Obergruppe ATC-Code]],Tabelle3!$A$2:$B$100,2)</f>
        <v>ANÄSTHETIKA</v>
      </c>
      <c r="X2077" s="1" t="str">
        <f xml:space="preserve"> LEFT(Table1[[#This Row],[Atc Code]],3)</f>
        <v>N01</v>
      </c>
    </row>
    <row r="2078" spans="1:24" ht="14.4">
      <c r="A2078" s="14">
        <v>219</v>
      </c>
      <c r="B2078" s="24">
        <v>1206749</v>
      </c>
      <c r="C2078" s="1">
        <v>83842</v>
      </c>
      <c r="D2078" s="1" t="s">
        <v>102</v>
      </c>
      <c r="E2078" s="36">
        <v>45027</v>
      </c>
      <c r="F2078" s="36">
        <v>45443</v>
      </c>
      <c r="G2078" s="38">
        <f t="shared" si="32"/>
        <v>416</v>
      </c>
      <c r="H2078" s="5">
        <v>45027</v>
      </c>
      <c r="I2078" s="5">
        <v>45175</v>
      </c>
      <c r="J2078" s="1" t="s">
        <v>41</v>
      </c>
      <c r="K2078" s="1" t="s">
        <v>4683</v>
      </c>
      <c r="L2078" s="1" t="s">
        <v>4678</v>
      </c>
      <c r="M2078" s="1" t="s">
        <v>4679</v>
      </c>
      <c r="N2078" s="1" t="s">
        <v>38</v>
      </c>
      <c r="O2078" s="1" t="s">
        <v>818</v>
      </c>
      <c r="P2078" s="1" t="s">
        <v>1048</v>
      </c>
      <c r="Q2078" s="1" t="s">
        <v>1047</v>
      </c>
      <c r="R2078" s="1" t="s">
        <v>128</v>
      </c>
      <c r="S2078" s="1"/>
      <c r="U2078" s="1" t="s">
        <v>130</v>
      </c>
      <c r="V2078" s="1" t="s">
        <v>74</v>
      </c>
      <c r="W2078" s="1" t="str">
        <f>VLOOKUP(Table1[[#This Row],[Obergruppe ATC-Code]],Tabelle3!$A$2:$B$100,2)</f>
        <v>ANÄSTHETIKA</v>
      </c>
      <c r="X2078" s="1" t="str">
        <f xml:space="preserve"> LEFT(Table1[[#This Row],[Atc Code]],3)</f>
        <v>N01</v>
      </c>
    </row>
    <row r="2079" spans="1:24" ht="14.4">
      <c r="A2079" s="14">
        <v>276</v>
      </c>
      <c r="B2079" s="24">
        <v>1637662</v>
      </c>
      <c r="C2079" s="1">
        <v>77681</v>
      </c>
      <c r="D2079" s="1" t="s">
        <v>102</v>
      </c>
      <c r="E2079" s="36">
        <v>45114</v>
      </c>
      <c r="F2079" s="36">
        <v>45230</v>
      </c>
      <c r="G2079" s="38">
        <f t="shared" si="32"/>
        <v>116</v>
      </c>
      <c r="H2079" s="5">
        <v>45106</v>
      </c>
      <c r="I2079" s="5">
        <v>45209</v>
      </c>
      <c r="J2079" s="1" t="s">
        <v>41</v>
      </c>
      <c r="K2079" s="1" t="s">
        <v>4681</v>
      </c>
      <c r="L2079" s="1" t="s">
        <v>4678</v>
      </c>
      <c r="M2079" s="1" t="s">
        <v>4679</v>
      </c>
      <c r="N2079" s="1" t="s">
        <v>38</v>
      </c>
      <c r="O2079" s="1" t="s">
        <v>818</v>
      </c>
      <c r="P2079" s="1" t="s">
        <v>4684</v>
      </c>
      <c r="Q2079" s="1" t="s">
        <v>4685</v>
      </c>
      <c r="R2079" s="1" t="s">
        <v>128</v>
      </c>
      <c r="S2079" s="1"/>
      <c r="T2079" s="1" t="s">
        <v>4682</v>
      </c>
      <c r="U2079" s="1" t="s">
        <v>130</v>
      </c>
      <c r="V2079" s="1" t="s">
        <v>74</v>
      </c>
      <c r="W2079" s="1" t="str">
        <f>VLOOKUP(Table1[[#This Row],[Obergruppe ATC-Code]],Tabelle3!$A$2:$B$100,2)</f>
        <v>ANÄSTHETIKA</v>
      </c>
      <c r="X2079" s="1" t="str">
        <f xml:space="preserve"> LEFT(Table1[[#This Row],[Atc Code]],3)</f>
        <v>N01</v>
      </c>
    </row>
    <row r="2080" spans="1:24" ht="14.4">
      <c r="A2080" s="14">
        <v>606</v>
      </c>
      <c r="B2080" s="24">
        <v>3921611</v>
      </c>
      <c r="C2080" s="1">
        <v>2109199</v>
      </c>
      <c r="D2080" s="1" t="s">
        <v>25</v>
      </c>
      <c r="E2080" s="36">
        <v>45152</v>
      </c>
      <c r="F2080" s="36">
        <v>45211</v>
      </c>
      <c r="G2080" s="38">
        <f t="shared" si="32"/>
        <v>59</v>
      </c>
      <c r="H2080" s="5">
        <v>45152</v>
      </c>
      <c r="I2080" s="5">
        <v>45211</v>
      </c>
      <c r="J2080" s="1" t="s">
        <v>41</v>
      </c>
      <c r="K2080" s="1" t="s">
        <v>4686</v>
      </c>
      <c r="L2080" s="1" t="s">
        <v>4678</v>
      </c>
      <c r="M2080" s="1" t="s">
        <v>4679</v>
      </c>
      <c r="N2080" s="1" t="s">
        <v>38</v>
      </c>
      <c r="O2080" s="1" t="s">
        <v>818</v>
      </c>
      <c r="P2080" s="1" t="s">
        <v>1048</v>
      </c>
      <c r="Q2080" s="1" t="s">
        <v>1047</v>
      </c>
      <c r="R2080" s="1" t="s">
        <v>128</v>
      </c>
      <c r="S2080" s="1"/>
      <c r="U2080" s="1" t="s">
        <v>130</v>
      </c>
      <c r="V2080" s="1" t="s">
        <v>74</v>
      </c>
      <c r="W2080" s="1" t="str">
        <f>VLOOKUP(Table1[[#This Row],[Obergruppe ATC-Code]],Tabelle3!$A$2:$B$100,2)</f>
        <v>ANÄSTHETIKA</v>
      </c>
      <c r="X2080" s="1" t="str">
        <f xml:space="preserve"> LEFT(Table1[[#This Row],[Atc Code]],3)</f>
        <v>N01</v>
      </c>
    </row>
    <row r="2081" spans="1:24" ht="14.4">
      <c r="A2081" s="14">
        <v>191</v>
      </c>
      <c r="B2081" s="24">
        <v>1137907</v>
      </c>
      <c r="C2081" s="1">
        <v>77095</v>
      </c>
      <c r="D2081" s="1" t="s">
        <v>25</v>
      </c>
      <c r="E2081" s="36">
        <v>43497</v>
      </c>
      <c r="F2081" s="36">
        <v>43585</v>
      </c>
      <c r="G2081" s="38">
        <f t="shared" si="32"/>
        <v>88</v>
      </c>
      <c r="H2081" s="5">
        <v>43508</v>
      </c>
      <c r="I2081" s="5">
        <v>43563</v>
      </c>
      <c r="J2081" s="1" t="s">
        <v>26</v>
      </c>
      <c r="K2081" s="1" t="s">
        <v>4687</v>
      </c>
      <c r="L2081" s="1" t="s">
        <v>4688</v>
      </c>
      <c r="M2081" s="1" t="s">
        <v>4689</v>
      </c>
      <c r="N2081" s="1" t="s">
        <v>30</v>
      </c>
      <c r="O2081" s="1" t="s">
        <v>818</v>
      </c>
      <c r="P2081" s="1" t="s">
        <v>819</v>
      </c>
      <c r="Q2081" s="1" t="s">
        <v>820</v>
      </c>
      <c r="R2081" s="1" t="s">
        <v>33</v>
      </c>
      <c r="S2081" s="1"/>
      <c r="U2081" s="1" t="s">
        <v>57</v>
      </c>
      <c r="V2081" s="1" t="s">
        <v>74</v>
      </c>
      <c r="W2081" s="1" t="str">
        <f>VLOOKUP(Table1[[#This Row],[Obergruppe ATC-Code]],Tabelle3!$A$2:$B$100,2)</f>
        <v>ANÄSTHETIKA</v>
      </c>
      <c r="X2081" s="1" t="str">
        <f xml:space="preserve"> LEFT(Table1[[#This Row],[Atc Code]],3)</f>
        <v>N01</v>
      </c>
    </row>
    <row r="2082" spans="1:24" ht="14.4">
      <c r="A2082" s="14">
        <v>195</v>
      </c>
      <c r="B2082" s="24">
        <v>1138002</v>
      </c>
      <c r="C2082" s="1">
        <v>77126</v>
      </c>
      <c r="D2082" s="1" t="s">
        <v>25</v>
      </c>
      <c r="E2082" s="36">
        <v>43922</v>
      </c>
      <c r="F2082" s="36">
        <v>43982</v>
      </c>
      <c r="G2082" s="38">
        <f t="shared" si="32"/>
        <v>60</v>
      </c>
      <c r="H2082" s="5">
        <v>43935</v>
      </c>
      <c r="I2082" s="5">
        <v>44014</v>
      </c>
      <c r="J2082" s="1" t="s">
        <v>41</v>
      </c>
      <c r="K2082" s="1" t="s">
        <v>1063</v>
      </c>
      <c r="L2082" s="1" t="s">
        <v>4688</v>
      </c>
      <c r="M2082" s="1" t="s">
        <v>4689</v>
      </c>
      <c r="N2082" s="1" t="s">
        <v>30</v>
      </c>
      <c r="O2082" s="1" t="s">
        <v>818</v>
      </c>
      <c r="P2082" s="1">
        <v>498993083800</v>
      </c>
      <c r="Q2082" s="1" t="s">
        <v>820</v>
      </c>
      <c r="R2082" s="1" t="s">
        <v>26</v>
      </c>
      <c r="S2082" s="1"/>
      <c r="T2082" s="1" t="s">
        <v>4690</v>
      </c>
      <c r="U2082" s="1" t="s">
        <v>35</v>
      </c>
      <c r="V2082" s="1" t="s">
        <v>74</v>
      </c>
      <c r="W2082" s="1" t="str">
        <f>VLOOKUP(Table1[[#This Row],[Obergruppe ATC-Code]],Tabelle3!$A$2:$B$100,2)</f>
        <v>ANÄSTHETIKA</v>
      </c>
      <c r="X2082" s="1" t="str">
        <f xml:space="preserve"> LEFT(Table1[[#This Row],[Atc Code]],3)</f>
        <v>N01</v>
      </c>
    </row>
    <row r="2083" spans="1:24" ht="14.4">
      <c r="A2083" s="14">
        <v>190</v>
      </c>
      <c r="B2083" s="24">
        <v>1137907</v>
      </c>
      <c r="C2083" s="1">
        <v>77095</v>
      </c>
      <c r="D2083" s="1" t="s">
        <v>25</v>
      </c>
      <c r="E2083" s="36">
        <v>43891</v>
      </c>
      <c r="F2083" s="36">
        <v>44104</v>
      </c>
      <c r="G2083" s="38">
        <f t="shared" si="32"/>
        <v>213</v>
      </c>
      <c r="H2083" s="5">
        <v>43935</v>
      </c>
      <c r="I2083" s="5">
        <v>44118</v>
      </c>
      <c r="J2083" s="1" t="s">
        <v>41</v>
      </c>
      <c r="K2083" s="1" t="s">
        <v>4687</v>
      </c>
      <c r="L2083" s="1" t="s">
        <v>4688</v>
      </c>
      <c r="M2083" s="1" t="s">
        <v>4689</v>
      </c>
      <c r="N2083" s="1" t="s">
        <v>30</v>
      </c>
      <c r="O2083" s="1" t="s">
        <v>818</v>
      </c>
      <c r="P2083" s="1">
        <v>498993083800</v>
      </c>
      <c r="Q2083" s="1" t="s">
        <v>820</v>
      </c>
      <c r="R2083" s="1" t="s">
        <v>26</v>
      </c>
      <c r="S2083" s="1"/>
      <c r="T2083" s="1" t="s">
        <v>4691</v>
      </c>
      <c r="U2083" s="1" t="s">
        <v>35</v>
      </c>
      <c r="V2083" s="1" t="s">
        <v>74</v>
      </c>
      <c r="W2083" s="1" t="str">
        <f>VLOOKUP(Table1[[#This Row],[Obergruppe ATC-Code]],Tabelle3!$A$2:$B$100,2)</f>
        <v>ANÄSTHETIKA</v>
      </c>
      <c r="X2083" s="1" t="str">
        <f xml:space="preserve"> LEFT(Table1[[#This Row],[Atc Code]],3)</f>
        <v>N01</v>
      </c>
    </row>
    <row r="2084" spans="1:24" ht="14.4">
      <c r="A2084" s="14">
        <v>194</v>
      </c>
      <c r="B2084" s="24">
        <v>1137907</v>
      </c>
      <c r="C2084" s="1">
        <v>77095</v>
      </c>
      <c r="D2084" s="1" t="s">
        <v>25</v>
      </c>
      <c r="E2084" s="36">
        <v>44510</v>
      </c>
      <c r="F2084" s="36">
        <v>44573</v>
      </c>
      <c r="G2084" s="38">
        <f t="shared" si="32"/>
        <v>63</v>
      </c>
      <c r="H2084" s="5">
        <v>44510</v>
      </c>
      <c r="I2084" s="5">
        <v>44573</v>
      </c>
      <c r="J2084" s="1" t="s">
        <v>26</v>
      </c>
      <c r="K2084" s="1" t="s">
        <v>4687</v>
      </c>
      <c r="L2084" s="1" t="s">
        <v>4688</v>
      </c>
      <c r="M2084" s="1" t="s">
        <v>1064</v>
      </c>
      <c r="N2084" s="1" t="s">
        <v>30</v>
      </c>
      <c r="O2084" s="1" t="s">
        <v>818</v>
      </c>
      <c r="P2084" s="1" t="s">
        <v>2217</v>
      </c>
      <c r="Q2084" s="1" t="s">
        <v>1047</v>
      </c>
      <c r="R2084" s="1" t="s">
        <v>33</v>
      </c>
      <c r="S2084" s="1"/>
      <c r="U2084" s="1" t="s">
        <v>130</v>
      </c>
      <c r="V2084" s="1" t="s">
        <v>74</v>
      </c>
      <c r="W2084" s="1" t="str">
        <f>VLOOKUP(Table1[[#This Row],[Obergruppe ATC-Code]],Tabelle3!$A$2:$B$100,2)</f>
        <v>ANÄSTHETIKA</v>
      </c>
      <c r="X2084" s="1" t="str">
        <f xml:space="preserve"> LEFT(Table1[[#This Row],[Atc Code]],3)</f>
        <v>N01</v>
      </c>
    </row>
    <row r="2085" spans="1:24" ht="14.4">
      <c r="A2085" s="14">
        <v>603</v>
      </c>
      <c r="B2085" s="24">
        <v>3839482</v>
      </c>
      <c r="C2085" s="1">
        <v>84764</v>
      </c>
      <c r="D2085" s="1" t="s">
        <v>25</v>
      </c>
      <c r="E2085" s="36">
        <v>44617</v>
      </c>
      <c r="F2085" s="36">
        <v>44662</v>
      </c>
      <c r="G2085" s="38">
        <f t="shared" si="32"/>
        <v>45</v>
      </c>
      <c r="H2085" s="5">
        <v>44617</v>
      </c>
      <c r="I2085" s="5">
        <v>44662</v>
      </c>
      <c r="J2085" s="1" t="s">
        <v>41</v>
      </c>
      <c r="K2085" s="1" t="s">
        <v>4692</v>
      </c>
      <c r="L2085" s="1" t="s">
        <v>4688</v>
      </c>
      <c r="M2085" s="1" t="s">
        <v>4693</v>
      </c>
      <c r="N2085" s="1" t="s">
        <v>38</v>
      </c>
      <c r="O2085" s="1" t="s">
        <v>818</v>
      </c>
      <c r="P2085" s="1" t="s">
        <v>1048</v>
      </c>
      <c r="Q2085" s="1" t="s">
        <v>1047</v>
      </c>
      <c r="R2085" s="1" t="s">
        <v>128</v>
      </c>
      <c r="S2085" s="1"/>
      <c r="U2085" s="1" t="s">
        <v>130</v>
      </c>
      <c r="V2085" s="1" t="s">
        <v>4694</v>
      </c>
      <c r="W2085" s="1" t="str">
        <f>VLOOKUP(Table1[[#This Row],[Obergruppe ATC-Code]],Tabelle3!$A$2:$B$100,2)</f>
        <v>ANÄSTHETIKA</v>
      </c>
      <c r="X2085" s="1" t="str">
        <f xml:space="preserve"> LEFT(Table1[[#This Row],[Atc Code]],3)</f>
        <v>N01</v>
      </c>
    </row>
    <row r="2086" spans="1:24" ht="14.4">
      <c r="A2086" s="14">
        <v>116</v>
      </c>
      <c r="B2086" s="24">
        <v>676430</v>
      </c>
      <c r="C2086" s="1">
        <v>2142998</v>
      </c>
      <c r="D2086" s="1" t="s">
        <v>25</v>
      </c>
      <c r="E2086" s="36">
        <v>44655</v>
      </c>
      <c r="F2086" s="36">
        <v>44673</v>
      </c>
      <c r="G2086" s="38">
        <f t="shared" si="32"/>
        <v>18</v>
      </c>
      <c r="H2086" s="5">
        <v>44656</v>
      </c>
      <c r="I2086" s="5">
        <v>44672</v>
      </c>
      <c r="J2086" s="1" t="s">
        <v>26</v>
      </c>
      <c r="K2086" s="1" t="s">
        <v>4695</v>
      </c>
      <c r="L2086" s="1" t="s">
        <v>4688</v>
      </c>
      <c r="M2086" s="1" t="s">
        <v>1064</v>
      </c>
      <c r="N2086" s="1" t="s">
        <v>38</v>
      </c>
      <c r="O2086" s="1" t="s">
        <v>615</v>
      </c>
      <c r="P2086" s="1">
        <v>349542470</v>
      </c>
      <c r="Q2086" s="1" t="s">
        <v>619</v>
      </c>
      <c r="R2086" s="1" t="s">
        <v>33</v>
      </c>
      <c r="S2086" s="1" t="s">
        <v>887</v>
      </c>
      <c r="U2086" s="1" t="s">
        <v>35</v>
      </c>
      <c r="V2086" s="1" t="s">
        <v>74</v>
      </c>
      <c r="W2086" s="1" t="str">
        <f>VLOOKUP(Table1[[#This Row],[Obergruppe ATC-Code]],Tabelle3!$A$2:$B$100,2)</f>
        <v>ANÄSTHETIKA</v>
      </c>
      <c r="X2086" s="1" t="str">
        <f xml:space="preserve"> LEFT(Table1[[#This Row],[Atc Code]],3)</f>
        <v>N01</v>
      </c>
    </row>
    <row r="2087" spans="1:24" ht="14.4">
      <c r="A2087" s="14">
        <v>11</v>
      </c>
      <c r="B2087" s="24">
        <v>64141</v>
      </c>
      <c r="C2087" s="1">
        <v>2143195</v>
      </c>
      <c r="D2087" s="1" t="s">
        <v>25</v>
      </c>
      <c r="E2087" s="36">
        <v>44690</v>
      </c>
      <c r="F2087" s="36">
        <v>44715</v>
      </c>
      <c r="G2087" s="38">
        <f t="shared" si="32"/>
        <v>25</v>
      </c>
      <c r="H2087" s="5">
        <v>44691</v>
      </c>
      <c r="I2087" s="5">
        <v>44715</v>
      </c>
      <c r="J2087" s="1" t="s">
        <v>26</v>
      </c>
      <c r="K2087" s="1" t="s">
        <v>4696</v>
      </c>
      <c r="L2087" s="1" t="s">
        <v>4688</v>
      </c>
      <c r="M2087" s="1" t="s">
        <v>1064</v>
      </c>
      <c r="N2087" s="1" t="s">
        <v>30</v>
      </c>
      <c r="O2087" s="1" t="s">
        <v>615</v>
      </c>
      <c r="P2087" s="1">
        <v>349542470</v>
      </c>
      <c r="Q2087" s="1" t="s">
        <v>621</v>
      </c>
      <c r="R2087" s="1" t="s">
        <v>33</v>
      </c>
      <c r="S2087" s="1" t="s">
        <v>2464</v>
      </c>
      <c r="T2087" s="1" t="s">
        <v>4697</v>
      </c>
      <c r="U2087" s="1" t="s">
        <v>35</v>
      </c>
      <c r="V2087" s="1" t="s">
        <v>74</v>
      </c>
      <c r="W2087" s="1" t="str">
        <f>VLOOKUP(Table1[[#This Row],[Obergruppe ATC-Code]],Tabelle3!$A$2:$B$100,2)</f>
        <v>ANÄSTHETIKA</v>
      </c>
      <c r="X2087" s="1" t="str">
        <f xml:space="preserve"> LEFT(Table1[[#This Row],[Atc Code]],3)</f>
        <v>N01</v>
      </c>
    </row>
    <row r="2088" spans="1:24" ht="14.4">
      <c r="A2088" s="14">
        <v>117</v>
      </c>
      <c r="B2088" s="24">
        <v>676482</v>
      </c>
      <c r="C2088" s="1">
        <v>2143000</v>
      </c>
      <c r="D2088" s="1" t="s">
        <v>25</v>
      </c>
      <c r="E2088" s="36">
        <v>44676</v>
      </c>
      <c r="F2088" s="36">
        <v>44715</v>
      </c>
      <c r="G2088" s="38">
        <f t="shared" si="32"/>
        <v>39</v>
      </c>
      <c r="H2088" s="5">
        <v>44678</v>
      </c>
      <c r="I2088" s="5">
        <v>44719</v>
      </c>
      <c r="J2088" s="1" t="s">
        <v>26</v>
      </c>
      <c r="K2088" s="1" t="s">
        <v>4698</v>
      </c>
      <c r="L2088" s="1" t="s">
        <v>4688</v>
      </c>
      <c r="M2088" s="1" t="s">
        <v>1064</v>
      </c>
      <c r="N2088" s="1" t="s">
        <v>30</v>
      </c>
      <c r="O2088" s="1" t="s">
        <v>615</v>
      </c>
      <c r="P2088" s="1">
        <v>349542470</v>
      </c>
      <c r="Q2088" s="1" t="s">
        <v>619</v>
      </c>
      <c r="R2088" s="1" t="s">
        <v>33</v>
      </c>
      <c r="S2088" s="1" t="s">
        <v>4699</v>
      </c>
      <c r="U2088" s="1" t="s">
        <v>35</v>
      </c>
      <c r="V2088" s="1" t="s">
        <v>74</v>
      </c>
      <c r="W2088" s="1" t="str">
        <f>VLOOKUP(Table1[[#This Row],[Obergruppe ATC-Code]],Tabelle3!$A$2:$B$100,2)</f>
        <v>ANÄSTHETIKA</v>
      </c>
      <c r="X2088" s="1" t="str">
        <f xml:space="preserve"> LEFT(Table1[[#This Row],[Atc Code]],3)</f>
        <v>N01</v>
      </c>
    </row>
    <row r="2089" spans="1:24" ht="14.4">
      <c r="A2089" s="14">
        <v>602</v>
      </c>
      <c r="B2089" s="24">
        <v>3839482</v>
      </c>
      <c r="C2089" s="1">
        <v>84764</v>
      </c>
      <c r="D2089" s="1" t="s">
        <v>25</v>
      </c>
      <c r="E2089" s="36">
        <v>44791</v>
      </c>
      <c r="F2089" s="36">
        <v>44796</v>
      </c>
      <c r="G2089" s="38">
        <f t="shared" si="32"/>
        <v>5</v>
      </c>
      <c r="H2089" s="5">
        <v>44791</v>
      </c>
      <c r="I2089" s="5">
        <v>44796</v>
      </c>
      <c r="J2089" s="1" t="s">
        <v>41</v>
      </c>
      <c r="K2089" s="1" t="s">
        <v>4692</v>
      </c>
      <c r="L2089" s="1" t="s">
        <v>4688</v>
      </c>
      <c r="M2089" s="1" t="s">
        <v>4693</v>
      </c>
      <c r="N2089" s="1" t="s">
        <v>38</v>
      </c>
      <c r="O2089" s="1" t="s">
        <v>818</v>
      </c>
      <c r="P2089" s="1" t="s">
        <v>2222</v>
      </c>
      <c r="Q2089" s="1" t="s">
        <v>1047</v>
      </c>
      <c r="R2089" s="1" t="s">
        <v>128</v>
      </c>
      <c r="S2089" s="1"/>
      <c r="U2089" s="1" t="s">
        <v>130</v>
      </c>
      <c r="V2089" s="1" t="s">
        <v>4694</v>
      </c>
      <c r="W2089" s="1" t="str">
        <f>VLOOKUP(Table1[[#This Row],[Obergruppe ATC-Code]],Tabelle3!$A$2:$B$100,2)</f>
        <v>ANÄSTHETIKA</v>
      </c>
      <c r="X2089" s="1" t="str">
        <f xml:space="preserve"> LEFT(Table1[[#This Row],[Atc Code]],3)</f>
        <v>N01</v>
      </c>
    </row>
    <row r="2090" spans="1:24" ht="14.4">
      <c r="A2090" s="14">
        <v>1764</v>
      </c>
      <c r="B2090" s="24" t="s">
        <v>4700</v>
      </c>
      <c r="C2090" s="1">
        <v>2142999</v>
      </c>
      <c r="D2090" s="1" t="s">
        <v>25</v>
      </c>
      <c r="E2090" s="36">
        <v>44725</v>
      </c>
      <c r="F2090" s="36">
        <v>44799</v>
      </c>
      <c r="G2090" s="38">
        <f t="shared" si="32"/>
        <v>74</v>
      </c>
      <c r="H2090" s="5">
        <v>44728</v>
      </c>
      <c r="I2090" s="5">
        <v>44799</v>
      </c>
      <c r="J2090" s="1" t="s">
        <v>26</v>
      </c>
      <c r="K2090" s="1" t="s">
        <v>4701</v>
      </c>
      <c r="L2090" s="1" t="s">
        <v>4688</v>
      </c>
      <c r="M2090" s="1" t="s">
        <v>1064</v>
      </c>
      <c r="N2090" s="1" t="s">
        <v>30</v>
      </c>
      <c r="O2090" s="1" t="s">
        <v>615</v>
      </c>
      <c r="P2090" s="1">
        <v>349542470</v>
      </c>
      <c r="Q2090" s="1" t="s">
        <v>621</v>
      </c>
      <c r="R2090" s="1" t="s">
        <v>33</v>
      </c>
      <c r="S2090" s="1"/>
      <c r="T2090" s="1" t="s">
        <v>4702</v>
      </c>
      <c r="U2090" s="1" t="s">
        <v>35</v>
      </c>
      <c r="V2090" s="1" t="s">
        <v>74</v>
      </c>
      <c r="W2090" s="1" t="str">
        <f>VLOOKUP(Table1[[#This Row],[Obergruppe ATC-Code]],Tabelle3!$A$2:$B$100,2)</f>
        <v>ANÄSTHETIKA</v>
      </c>
      <c r="X2090" s="1" t="str">
        <f xml:space="preserve"> LEFT(Table1[[#This Row],[Atc Code]],3)</f>
        <v>N01</v>
      </c>
    </row>
    <row r="2091" spans="1:24" ht="14.4">
      <c r="A2091" s="14">
        <v>118</v>
      </c>
      <c r="B2091" s="24">
        <v>676507</v>
      </c>
      <c r="C2091" s="1">
        <v>2146276</v>
      </c>
      <c r="D2091" s="1" t="s">
        <v>25</v>
      </c>
      <c r="E2091" s="36">
        <v>44841</v>
      </c>
      <c r="F2091" s="36">
        <v>44890</v>
      </c>
      <c r="G2091" s="38">
        <f t="shared" si="32"/>
        <v>49</v>
      </c>
      <c r="H2091" s="5">
        <v>44845</v>
      </c>
      <c r="I2091" s="5">
        <v>44890</v>
      </c>
      <c r="J2091" s="1" t="s">
        <v>26</v>
      </c>
      <c r="K2091" s="1" t="s">
        <v>4703</v>
      </c>
      <c r="L2091" s="1" t="s">
        <v>4688</v>
      </c>
      <c r="M2091" s="1" t="s">
        <v>1064</v>
      </c>
      <c r="N2091" s="1" t="s">
        <v>30</v>
      </c>
      <c r="O2091" s="1" t="s">
        <v>615</v>
      </c>
      <c r="P2091" s="1">
        <v>349542470</v>
      </c>
      <c r="Q2091" s="1" t="s">
        <v>621</v>
      </c>
      <c r="R2091" s="1" t="s">
        <v>33</v>
      </c>
      <c r="S2091" s="1"/>
      <c r="U2091" s="1" t="s">
        <v>35</v>
      </c>
      <c r="V2091" s="1" t="s">
        <v>74</v>
      </c>
      <c r="W2091" s="1" t="str">
        <f>VLOOKUP(Table1[[#This Row],[Obergruppe ATC-Code]],Tabelle3!$A$2:$B$100,2)</f>
        <v>ANÄSTHETIKA</v>
      </c>
      <c r="X2091" s="1" t="str">
        <f xml:space="preserve"> LEFT(Table1[[#This Row],[Atc Code]],3)</f>
        <v>N01</v>
      </c>
    </row>
    <row r="2092" spans="1:24" ht="14.4">
      <c r="A2092" s="14">
        <v>10</v>
      </c>
      <c r="B2092" s="24">
        <v>64141</v>
      </c>
      <c r="C2092" s="1">
        <v>2143195</v>
      </c>
      <c r="D2092" s="1" t="s">
        <v>25</v>
      </c>
      <c r="E2092" s="36">
        <v>44823</v>
      </c>
      <c r="F2092" s="36">
        <v>44887</v>
      </c>
      <c r="G2092" s="38">
        <f t="shared" si="32"/>
        <v>64</v>
      </c>
      <c r="H2092" s="5">
        <v>44826</v>
      </c>
      <c r="I2092" s="5">
        <v>44890</v>
      </c>
      <c r="J2092" s="1" t="s">
        <v>26</v>
      </c>
      <c r="K2092" s="1" t="s">
        <v>4696</v>
      </c>
      <c r="L2092" s="1" t="s">
        <v>4688</v>
      </c>
      <c r="M2092" s="1" t="s">
        <v>1064</v>
      </c>
      <c r="N2092" s="1" t="s">
        <v>30</v>
      </c>
      <c r="O2092" s="1" t="s">
        <v>615</v>
      </c>
      <c r="P2092" s="1">
        <v>49349542470</v>
      </c>
      <c r="Q2092" s="1" t="s">
        <v>619</v>
      </c>
      <c r="R2092" s="1" t="s">
        <v>33</v>
      </c>
      <c r="S2092" s="1"/>
      <c r="T2092" s="1" t="s">
        <v>4697</v>
      </c>
      <c r="U2092" s="1" t="s">
        <v>35</v>
      </c>
      <c r="V2092" s="1" t="s">
        <v>74</v>
      </c>
      <c r="W2092" s="1" t="str">
        <f>VLOOKUP(Table1[[#This Row],[Obergruppe ATC-Code]],Tabelle3!$A$2:$B$100,2)</f>
        <v>ANÄSTHETIKA</v>
      </c>
      <c r="X2092" s="1" t="str">
        <f xml:space="preserve"> LEFT(Table1[[#This Row],[Atc Code]],3)</f>
        <v>N01</v>
      </c>
    </row>
    <row r="2093" spans="1:24" ht="14.4">
      <c r="A2093" s="14">
        <v>1763</v>
      </c>
      <c r="B2093" s="24" t="s">
        <v>4704</v>
      </c>
      <c r="C2093" s="1">
        <v>2142998</v>
      </c>
      <c r="D2093" s="1" t="s">
        <v>25</v>
      </c>
      <c r="E2093" s="36">
        <v>44851</v>
      </c>
      <c r="F2093" s="36">
        <v>44882</v>
      </c>
      <c r="G2093" s="38">
        <f t="shared" si="32"/>
        <v>31</v>
      </c>
      <c r="H2093" s="5">
        <v>44853</v>
      </c>
      <c r="I2093" s="5">
        <v>44901</v>
      </c>
      <c r="J2093" s="1" t="s">
        <v>26</v>
      </c>
      <c r="K2093" s="1" t="s">
        <v>4695</v>
      </c>
      <c r="L2093" s="1" t="s">
        <v>4688</v>
      </c>
      <c r="M2093" s="1" t="s">
        <v>1064</v>
      </c>
      <c r="N2093" s="1" t="s">
        <v>30</v>
      </c>
      <c r="O2093" s="1" t="s">
        <v>615</v>
      </c>
      <c r="P2093" s="1">
        <v>49349542470</v>
      </c>
      <c r="Q2093" s="1" t="s">
        <v>619</v>
      </c>
      <c r="R2093" s="1" t="s">
        <v>33</v>
      </c>
      <c r="S2093" s="1"/>
      <c r="T2093" s="1" t="s">
        <v>4705</v>
      </c>
      <c r="U2093" s="1" t="s">
        <v>35</v>
      </c>
      <c r="V2093" s="1" t="s">
        <v>74</v>
      </c>
      <c r="W2093" s="1" t="str">
        <f>VLOOKUP(Table1[[#This Row],[Obergruppe ATC-Code]],Tabelle3!$A$2:$B$100,2)</f>
        <v>ANÄSTHETIKA</v>
      </c>
      <c r="X2093" s="1" t="str">
        <f xml:space="preserve"> LEFT(Table1[[#This Row],[Atc Code]],3)</f>
        <v>N01</v>
      </c>
    </row>
    <row r="2094" spans="1:24" ht="14.4">
      <c r="A2094" s="14">
        <v>193</v>
      </c>
      <c r="B2094" s="24">
        <v>1137907</v>
      </c>
      <c r="C2094" s="1">
        <v>77095</v>
      </c>
      <c r="D2094" s="1" t="s">
        <v>25</v>
      </c>
      <c r="E2094" s="36">
        <v>44941</v>
      </c>
      <c r="F2094" s="36">
        <v>44950</v>
      </c>
      <c r="G2094" s="38">
        <f t="shared" si="32"/>
        <v>9</v>
      </c>
      <c r="H2094" s="5">
        <v>44894</v>
      </c>
      <c r="I2094" s="5">
        <v>44950</v>
      </c>
      <c r="J2094" s="1" t="s">
        <v>41</v>
      </c>
      <c r="K2094" s="1" t="s">
        <v>4687</v>
      </c>
      <c r="L2094" s="1" t="s">
        <v>4688</v>
      </c>
      <c r="M2094" s="1" t="s">
        <v>1064</v>
      </c>
      <c r="N2094" s="1" t="s">
        <v>38</v>
      </c>
      <c r="O2094" s="1" t="s">
        <v>818</v>
      </c>
      <c r="P2094" s="1" t="s">
        <v>1048</v>
      </c>
      <c r="Q2094" s="1" t="s">
        <v>1047</v>
      </c>
      <c r="R2094" s="1" t="s">
        <v>128</v>
      </c>
      <c r="S2094" s="1"/>
      <c r="U2094" s="1" t="s">
        <v>130</v>
      </c>
      <c r="V2094" s="1" t="s">
        <v>74</v>
      </c>
      <c r="W2094" s="1" t="str">
        <f>VLOOKUP(Table1[[#This Row],[Obergruppe ATC-Code]],Tabelle3!$A$2:$B$100,2)</f>
        <v>ANÄSTHETIKA</v>
      </c>
      <c r="X2094" s="1" t="str">
        <f xml:space="preserve"> LEFT(Table1[[#This Row],[Atc Code]],3)</f>
        <v>N01</v>
      </c>
    </row>
    <row r="2095" spans="1:24" ht="14.4">
      <c r="A2095" s="14">
        <v>1765</v>
      </c>
      <c r="B2095" s="24" t="s">
        <v>4706</v>
      </c>
      <c r="C2095" s="1">
        <v>2143000</v>
      </c>
      <c r="D2095" s="1" t="s">
        <v>25</v>
      </c>
      <c r="E2095" s="36">
        <v>44872</v>
      </c>
      <c r="F2095" s="36">
        <v>44973</v>
      </c>
      <c r="G2095" s="38">
        <f t="shared" si="32"/>
        <v>101</v>
      </c>
      <c r="H2095" s="5">
        <v>44873</v>
      </c>
      <c r="I2095" s="5">
        <v>44974</v>
      </c>
      <c r="J2095" s="1" t="s">
        <v>26</v>
      </c>
      <c r="K2095" s="1" t="s">
        <v>4698</v>
      </c>
      <c r="L2095" s="1" t="s">
        <v>4688</v>
      </c>
      <c r="M2095" s="1" t="s">
        <v>1064</v>
      </c>
      <c r="N2095" s="1" t="s">
        <v>30</v>
      </c>
      <c r="O2095" s="1" t="s">
        <v>615</v>
      </c>
      <c r="P2095" s="1">
        <v>349542470</v>
      </c>
      <c r="Q2095" s="1" t="s">
        <v>2503</v>
      </c>
      <c r="R2095" s="1" t="s">
        <v>33</v>
      </c>
      <c r="S2095" s="1"/>
      <c r="U2095" s="1" t="s">
        <v>35</v>
      </c>
      <c r="V2095" s="1" t="s">
        <v>74</v>
      </c>
      <c r="W2095" s="1" t="str">
        <f>VLOOKUP(Table1[[#This Row],[Obergruppe ATC-Code]],Tabelle3!$A$2:$B$100,2)</f>
        <v>ANÄSTHETIKA</v>
      </c>
      <c r="X2095" s="1" t="str">
        <f xml:space="preserve"> LEFT(Table1[[#This Row],[Atc Code]],3)</f>
        <v>N01</v>
      </c>
    </row>
    <row r="2096" spans="1:24" ht="14.4">
      <c r="A2096" s="14">
        <v>115</v>
      </c>
      <c r="B2096" s="24">
        <v>676424</v>
      </c>
      <c r="C2096" s="1">
        <v>2142998</v>
      </c>
      <c r="D2096" s="1" t="s">
        <v>25</v>
      </c>
      <c r="E2096" s="36">
        <v>44994</v>
      </c>
      <c r="F2096" s="36">
        <v>45027</v>
      </c>
      <c r="G2096" s="38">
        <f t="shared" si="32"/>
        <v>33</v>
      </c>
      <c r="H2096" s="5">
        <v>44999</v>
      </c>
      <c r="I2096" s="5">
        <v>45029</v>
      </c>
      <c r="J2096" s="1" t="s">
        <v>26</v>
      </c>
      <c r="K2096" s="1" t="s">
        <v>4695</v>
      </c>
      <c r="L2096" s="1" t="s">
        <v>4688</v>
      </c>
      <c r="M2096" s="1" t="s">
        <v>1064</v>
      </c>
      <c r="N2096" s="1" t="s">
        <v>30</v>
      </c>
      <c r="O2096" s="1" t="s">
        <v>615</v>
      </c>
      <c r="P2096" s="1">
        <v>349542470</v>
      </c>
      <c r="Q2096" s="1" t="s">
        <v>621</v>
      </c>
      <c r="R2096" s="1" t="s">
        <v>33</v>
      </c>
      <c r="S2096" s="1"/>
      <c r="T2096" s="1" t="s">
        <v>4705</v>
      </c>
      <c r="U2096" s="1" t="s">
        <v>35</v>
      </c>
      <c r="V2096" s="1" t="s">
        <v>74</v>
      </c>
      <c r="W2096" s="1" t="str">
        <f>VLOOKUP(Table1[[#This Row],[Obergruppe ATC-Code]],Tabelle3!$A$2:$B$100,2)</f>
        <v>ANÄSTHETIKA</v>
      </c>
      <c r="X2096" s="1" t="str">
        <f xml:space="preserve"> LEFT(Table1[[#This Row],[Atc Code]],3)</f>
        <v>N01</v>
      </c>
    </row>
    <row r="2097" spans="1:24" ht="14.4">
      <c r="A2097" s="14">
        <v>1655</v>
      </c>
      <c r="B2097" s="24" t="s">
        <v>4707</v>
      </c>
      <c r="C2097" s="1">
        <v>2143195</v>
      </c>
      <c r="D2097" s="1" t="s">
        <v>25</v>
      </c>
      <c r="E2097" s="36">
        <v>44935</v>
      </c>
      <c r="F2097" s="36">
        <v>45071</v>
      </c>
      <c r="G2097" s="38">
        <f t="shared" si="32"/>
        <v>136</v>
      </c>
      <c r="H2097" s="5">
        <v>44938</v>
      </c>
      <c r="I2097" s="5">
        <v>45072</v>
      </c>
      <c r="J2097" s="1" t="s">
        <v>26</v>
      </c>
      <c r="K2097" s="1" t="s">
        <v>4696</v>
      </c>
      <c r="L2097" s="1" t="s">
        <v>4688</v>
      </c>
      <c r="M2097" s="1" t="s">
        <v>1064</v>
      </c>
      <c r="N2097" s="1" t="s">
        <v>30</v>
      </c>
      <c r="O2097" s="1" t="s">
        <v>615</v>
      </c>
      <c r="P2097" s="1">
        <v>49349542470</v>
      </c>
      <c r="Q2097" s="1" t="s">
        <v>619</v>
      </c>
      <c r="R2097" s="1" t="s">
        <v>33</v>
      </c>
      <c r="S2097" s="1"/>
      <c r="U2097" s="1" t="s">
        <v>35</v>
      </c>
      <c r="V2097" s="1" t="s">
        <v>74</v>
      </c>
      <c r="W2097" s="1" t="str">
        <f>VLOOKUP(Table1[[#This Row],[Obergruppe ATC-Code]],Tabelle3!$A$2:$B$100,2)</f>
        <v>ANÄSTHETIKA</v>
      </c>
      <c r="X2097" s="1" t="str">
        <f xml:space="preserve"> LEFT(Table1[[#This Row],[Atc Code]],3)</f>
        <v>N01</v>
      </c>
    </row>
    <row r="2098" spans="1:24" ht="14.4">
      <c r="A2098" s="14">
        <v>197</v>
      </c>
      <c r="B2098" s="24">
        <v>1138002</v>
      </c>
      <c r="C2098" s="1">
        <v>77126</v>
      </c>
      <c r="D2098" s="1" t="s">
        <v>25</v>
      </c>
      <c r="E2098" s="36">
        <v>44941</v>
      </c>
      <c r="F2098" s="36">
        <v>45120</v>
      </c>
      <c r="G2098" s="38">
        <f t="shared" si="32"/>
        <v>179</v>
      </c>
      <c r="H2098" s="5">
        <v>44894</v>
      </c>
      <c r="I2098" s="5">
        <v>45120</v>
      </c>
      <c r="J2098" s="1" t="s">
        <v>41</v>
      </c>
      <c r="K2098" s="1" t="s">
        <v>1063</v>
      </c>
      <c r="L2098" s="1" t="s">
        <v>4688</v>
      </c>
      <c r="M2098" s="1" t="s">
        <v>1064</v>
      </c>
      <c r="N2098" s="1" t="s">
        <v>38</v>
      </c>
      <c r="O2098" s="1" t="s">
        <v>818</v>
      </c>
      <c r="P2098" s="1" t="s">
        <v>4636</v>
      </c>
      <c r="Q2098" s="1" t="s">
        <v>1047</v>
      </c>
      <c r="R2098" s="1" t="s">
        <v>128</v>
      </c>
      <c r="S2098" s="1"/>
      <c r="U2098" s="1" t="s">
        <v>130</v>
      </c>
      <c r="V2098" s="1" t="s">
        <v>74</v>
      </c>
      <c r="W2098" s="1" t="str">
        <f>VLOOKUP(Table1[[#This Row],[Obergruppe ATC-Code]],Tabelle3!$A$2:$B$100,2)</f>
        <v>ANÄSTHETIKA</v>
      </c>
      <c r="X2098" s="1" t="str">
        <f xml:space="preserve"> LEFT(Table1[[#This Row],[Atc Code]],3)</f>
        <v>N01</v>
      </c>
    </row>
    <row r="2099" spans="1:24" ht="14.4">
      <c r="A2099" s="14">
        <v>601</v>
      </c>
      <c r="B2099" s="24">
        <v>3839482</v>
      </c>
      <c r="C2099" s="1">
        <v>84764</v>
      </c>
      <c r="D2099" s="1" t="s">
        <v>25</v>
      </c>
      <c r="E2099" s="36">
        <v>45121</v>
      </c>
      <c r="F2099" s="36">
        <v>45152</v>
      </c>
      <c r="G2099" s="38">
        <f t="shared" si="32"/>
        <v>31</v>
      </c>
      <c r="H2099" s="5">
        <v>45119</v>
      </c>
      <c r="I2099" s="5">
        <v>45152</v>
      </c>
      <c r="J2099" s="1" t="s">
        <v>26</v>
      </c>
      <c r="K2099" s="1" t="s">
        <v>4692</v>
      </c>
      <c r="L2099" s="1" t="s">
        <v>4688</v>
      </c>
      <c r="M2099" s="1" t="s">
        <v>4693</v>
      </c>
      <c r="N2099" s="1" t="s">
        <v>38</v>
      </c>
      <c r="O2099" s="1" t="s">
        <v>818</v>
      </c>
      <c r="P2099" s="1" t="s">
        <v>1048</v>
      </c>
      <c r="Q2099" s="1" t="s">
        <v>1047</v>
      </c>
      <c r="R2099" s="1" t="s">
        <v>33</v>
      </c>
      <c r="S2099" s="1"/>
      <c r="U2099" s="1" t="s">
        <v>130</v>
      </c>
      <c r="V2099" s="1" t="s">
        <v>4694</v>
      </c>
      <c r="W2099" s="1" t="str">
        <f>VLOOKUP(Table1[[#This Row],[Obergruppe ATC-Code]],Tabelle3!$A$2:$B$100,2)</f>
        <v>ANÄSTHETIKA</v>
      </c>
      <c r="X2099" s="1" t="str">
        <f xml:space="preserve"> LEFT(Table1[[#This Row],[Atc Code]],3)</f>
        <v>N01</v>
      </c>
    </row>
    <row r="2100" spans="1:24" ht="14.4">
      <c r="A2100" s="14">
        <v>196</v>
      </c>
      <c r="B2100" s="24">
        <v>1138002</v>
      </c>
      <c r="C2100" s="1">
        <v>77126</v>
      </c>
      <c r="D2100" s="1" t="s">
        <v>175</v>
      </c>
      <c r="E2100" s="36">
        <v>45184</v>
      </c>
      <c r="F2100" s="36">
        <v>45291</v>
      </c>
      <c r="G2100" s="38">
        <f t="shared" si="32"/>
        <v>107</v>
      </c>
      <c r="H2100" s="5">
        <v>45152</v>
      </c>
      <c r="I2100" s="5">
        <v>45152</v>
      </c>
      <c r="J2100" s="1" t="s">
        <v>41</v>
      </c>
      <c r="K2100" s="1" t="s">
        <v>1063</v>
      </c>
      <c r="L2100" s="1" t="s">
        <v>4688</v>
      </c>
      <c r="M2100" s="1" t="s">
        <v>1064</v>
      </c>
      <c r="N2100" s="1" t="s">
        <v>38</v>
      </c>
      <c r="O2100" s="1" t="s">
        <v>818</v>
      </c>
      <c r="P2100" s="1" t="s">
        <v>1048</v>
      </c>
      <c r="Q2100" s="1" t="s">
        <v>1047</v>
      </c>
      <c r="R2100" s="1" t="s">
        <v>128</v>
      </c>
      <c r="S2100" s="1"/>
      <c r="U2100" s="1" t="s">
        <v>130</v>
      </c>
      <c r="V2100" s="1" t="s">
        <v>74</v>
      </c>
      <c r="W2100" s="1" t="str">
        <f>VLOOKUP(Table1[[#This Row],[Obergruppe ATC-Code]],Tabelle3!$A$2:$B$100,2)</f>
        <v>ANÄSTHETIKA</v>
      </c>
      <c r="X2100" s="1" t="str">
        <f xml:space="preserve"> LEFT(Table1[[#This Row],[Atc Code]],3)</f>
        <v>N01</v>
      </c>
    </row>
    <row r="2101" spans="1:24" ht="14.4">
      <c r="A2101" s="14">
        <v>192</v>
      </c>
      <c r="B2101" s="24">
        <v>1137907</v>
      </c>
      <c r="C2101" s="1">
        <v>77095</v>
      </c>
      <c r="D2101" s="1" t="s">
        <v>102</v>
      </c>
      <c r="E2101" s="36">
        <v>45005</v>
      </c>
      <c r="F2101" s="36">
        <v>45443</v>
      </c>
      <c r="G2101" s="38">
        <f t="shared" si="32"/>
        <v>438</v>
      </c>
      <c r="H2101" s="5">
        <v>45005</v>
      </c>
      <c r="I2101" s="5">
        <v>45168</v>
      </c>
      <c r="J2101" s="1" t="s">
        <v>41</v>
      </c>
      <c r="K2101" s="1" t="s">
        <v>4687</v>
      </c>
      <c r="L2101" s="1" t="s">
        <v>4688</v>
      </c>
      <c r="M2101" s="1" t="s">
        <v>1064</v>
      </c>
      <c r="N2101" s="1" t="s">
        <v>38</v>
      </c>
      <c r="O2101" s="1" t="s">
        <v>818</v>
      </c>
      <c r="P2101" s="1" t="s">
        <v>1048</v>
      </c>
      <c r="Q2101" s="1" t="s">
        <v>1047</v>
      </c>
      <c r="R2101" s="1" t="s">
        <v>128</v>
      </c>
      <c r="S2101" s="1"/>
      <c r="U2101" s="1" t="s">
        <v>130</v>
      </c>
      <c r="V2101" s="1" t="s">
        <v>74</v>
      </c>
      <c r="W2101" s="1" t="str">
        <f>VLOOKUP(Table1[[#This Row],[Obergruppe ATC-Code]],Tabelle3!$A$2:$B$100,2)</f>
        <v>ANÄSTHETIKA</v>
      </c>
      <c r="X2101" s="1" t="str">
        <f xml:space="preserve"> LEFT(Table1[[#This Row],[Atc Code]],3)</f>
        <v>N01</v>
      </c>
    </row>
    <row r="2102" spans="1:24" ht="14.4">
      <c r="A2102" s="14">
        <v>2642</v>
      </c>
      <c r="B2102" s="24" t="s">
        <v>4708</v>
      </c>
      <c r="C2102" s="1">
        <v>2113632</v>
      </c>
      <c r="D2102" s="1" t="s">
        <v>25</v>
      </c>
      <c r="E2102" s="36">
        <v>43556</v>
      </c>
      <c r="F2102" s="36">
        <v>43890</v>
      </c>
      <c r="G2102" s="38">
        <f t="shared" si="32"/>
        <v>334</v>
      </c>
      <c r="H2102" s="5">
        <v>43567</v>
      </c>
      <c r="I2102" s="5">
        <v>43914</v>
      </c>
      <c r="J2102" s="1" t="s">
        <v>41</v>
      </c>
      <c r="K2102" s="1" t="s">
        <v>4709</v>
      </c>
      <c r="L2102" s="1" t="s">
        <v>4710</v>
      </c>
      <c r="M2102" s="1" t="s">
        <v>4711</v>
      </c>
      <c r="N2102" s="1" t="s">
        <v>30</v>
      </c>
      <c r="O2102" s="1" t="s">
        <v>1284</v>
      </c>
      <c r="P2102" s="1">
        <v>895589090</v>
      </c>
      <c r="Q2102" s="1" t="s">
        <v>1286</v>
      </c>
      <c r="R2102" s="1" t="s">
        <v>26</v>
      </c>
      <c r="S2102" s="1"/>
      <c r="U2102" s="1" t="s">
        <v>35</v>
      </c>
      <c r="V2102" s="1" t="s">
        <v>74</v>
      </c>
      <c r="W2102" s="1" t="str">
        <f>VLOOKUP(Table1[[#This Row],[Obergruppe ATC-Code]],Tabelle3!$A$2:$B$100,2)</f>
        <v>ANÄSTHETIKA</v>
      </c>
      <c r="X2102" s="1" t="str">
        <f xml:space="preserve"> LEFT(Table1[[#This Row],[Atc Code]],3)</f>
        <v>N01</v>
      </c>
    </row>
    <row r="2103" spans="1:24" ht="14.4">
      <c r="A2103" s="14">
        <v>148</v>
      </c>
      <c r="B2103" s="24">
        <v>910825</v>
      </c>
      <c r="C2103" s="1">
        <v>1444779</v>
      </c>
      <c r="D2103" s="1" t="s">
        <v>25</v>
      </c>
      <c r="E2103" s="36">
        <v>44576</v>
      </c>
      <c r="F2103" s="36">
        <v>44617</v>
      </c>
      <c r="G2103" s="38">
        <f t="shared" si="32"/>
        <v>41</v>
      </c>
      <c r="H2103" s="5">
        <v>44565</v>
      </c>
      <c r="I2103" s="5">
        <v>44617</v>
      </c>
      <c r="J2103" s="1" t="s">
        <v>26</v>
      </c>
      <c r="K2103" s="1" t="s">
        <v>4712</v>
      </c>
      <c r="L2103" s="1" t="s">
        <v>4710</v>
      </c>
      <c r="M2103" s="1" t="s">
        <v>4711</v>
      </c>
      <c r="N2103" s="1" t="s">
        <v>30</v>
      </c>
      <c r="O2103" s="1" t="s">
        <v>818</v>
      </c>
      <c r="P2103" s="1" t="s">
        <v>2217</v>
      </c>
      <c r="Q2103" s="1" t="s">
        <v>1047</v>
      </c>
      <c r="R2103" s="1" t="s">
        <v>33</v>
      </c>
      <c r="S2103" s="1"/>
      <c r="U2103" s="1" t="s">
        <v>130</v>
      </c>
      <c r="V2103" s="1" t="s">
        <v>74</v>
      </c>
      <c r="W2103" s="1" t="str">
        <f>VLOOKUP(Table1[[#This Row],[Obergruppe ATC-Code]],Tabelle3!$A$2:$B$100,2)</f>
        <v>ANÄSTHETIKA</v>
      </c>
      <c r="X2103" s="1" t="str">
        <f xml:space="preserve"> LEFT(Table1[[#This Row],[Atc Code]],3)</f>
        <v>N01</v>
      </c>
    </row>
    <row r="2104" spans="1:24" ht="14.4">
      <c r="A2104" s="14">
        <v>147</v>
      </c>
      <c r="B2104" s="24">
        <v>910825</v>
      </c>
      <c r="C2104" s="1">
        <v>1444779</v>
      </c>
      <c r="D2104" s="1" t="s">
        <v>25</v>
      </c>
      <c r="E2104" s="36">
        <v>44770</v>
      </c>
      <c r="F2104" s="36">
        <v>44846</v>
      </c>
      <c r="G2104" s="38">
        <f t="shared" si="32"/>
        <v>76</v>
      </c>
      <c r="H2104" s="5">
        <v>44750</v>
      </c>
      <c r="I2104" s="5">
        <v>44846</v>
      </c>
      <c r="J2104" s="1" t="s">
        <v>41</v>
      </c>
      <c r="K2104" s="1" t="s">
        <v>4712</v>
      </c>
      <c r="L2104" s="1" t="s">
        <v>4710</v>
      </c>
      <c r="M2104" s="1" t="s">
        <v>4711</v>
      </c>
      <c r="N2104" s="1" t="s">
        <v>30</v>
      </c>
      <c r="O2104" s="1" t="s">
        <v>818</v>
      </c>
      <c r="P2104" s="1" t="s">
        <v>1048</v>
      </c>
      <c r="Q2104" s="1" t="s">
        <v>1047</v>
      </c>
      <c r="R2104" s="1" t="s">
        <v>128</v>
      </c>
      <c r="S2104" s="1"/>
      <c r="U2104" s="1" t="s">
        <v>130</v>
      </c>
      <c r="V2104" s="1" t="s">
        <v>74</v>
      </c>
      <c r="W2104" s="1" t="str">
        <f>VLOOKUP(Table1[[#This Row],[Obergruppe ATC-Code]],Tabelle3!$A$2:$B$100,2)</f>
        <v>ANÄSTHETIKA</v>
      </c>
      <c r="X2104" s="1" t="str">
        <f xml:space="preserve"> LEFT(Table1[[#This Row],[Atc Code]],3)</f>
        <v>N01</v>
      </c>
    </row>
    <row r="2105" spans="1:24" ht="14.4">
      <c r="A2105" s="14">
        <v>530</v>
      </c>
      <c r="B2105" s="24">
        <v>3338515</v>
      </c>
      <c r="C2105" s="1">
        <v>76894</v>
      </c>
      <c r="D2105" s="1" t="s">
        <v>25</v>
      </c>
      <c r="E2105" s="36">
        <v>44874</v>
      </c>
      <c r="F2105" s="36">
        <v>44896</v>
      </c>
      <c r="G2105" s="38">
        <f t="shared" si="32"/>
        <v>22</v>
      </c>
      <c r="H2105" s="5">
        <v>44874</v>
      </c>
      <c r="I2105" s="5">
        <v>44896</v>
      </c>
      <c r="J2105" s="1" t="s">
        <v>41</v>
      </c>
      <c r="K2105" s="1" t="s">
        <v>4713</v>
      </c>
      <c r="L2105" s="1" t="s">
        <v>4710</v>
      </c>
      <c r="M2105" s="1" t="s">
        <v>4711</v>
      </c>
      <c r="N2105" s="1" t="s">
        <v>38</v>
      </c>
      <c r="O2105" s="1" t="s">
        <v>818</v>
      </c>
      <c r="P2105" s="1" t="s">
        <v>1048</v>
      </c>
      <c r="Q2105" s="1" t="s">
        <v>1047</v>
      </c>
      <c r="R2105" s="1" t="s">
        <v>128</v>
      </c>
      <c r="S2105" s="1"/>
      <c r="T2105" s="1" t="s">
        <v>4714</v>
      </c>
      <c r="U2105" s="1" t="s">
        <v>130</v>
      </c>
      <c r="V2105" s="1" t="s">
        <v>74</v>
      </c>
      <c r="W2105" s="1" t="str">
        <f>VLOOKUP(Table1[[#This Row],[Obergruppe ATC-Code]],Tabelle3!$A$2:$B$100,2)</f>
        <v>ANÄSTHETIKA</v>
      </c>
      <c r="X2105" s="1" t="str">
        <f xml:space="preserve"> LEFT(Table1[[#This Row],[Atc Code]],3)</f>
        <v>N01</v>
      </c>
    </row>
    <row r="2106" spans="1:24" ht="14.4">
      <c r="A2106" s="14">
        <v>149</v>
      </c>
      <c r="B2106" s="24">
        <v>910860</v>
      </c>
      <c r="C2106" s="1">
        <v>1444785</v>
      </c>
      <c r="D2106" s="1" t="s">
        <v>102</v>
      </c>
      <c r="E2106" s="36">
        <v>44927</v>
      </c>
      <c r="F2106" s="36">
        <v>45443</v>
      </c>
      <c r="G2106" s="38">
        <f t="shared" si="32"/>
        <v>516</v>
      </c>
      <c r="H2106" s="5">
        <v>44894</v>
      </c>
      <c r="I2106" s="5">
        <v>45168</v>
      </c>
      <c r="J2106" s="1" t="s">
        <v>41</v>
      </c>
      <c r="K2106" s="1" t="s">
        <v>4715</v>
      </c>
      <c r="L2106" s="1" t="s">
        <v>4710</v>
      </c>
      <c r="M2106" s="1" t="s">
        <v>4711</v>
      </c>
      <c r="N2106" s="1" t="s">
        <v>38</v>
      </c>
      <c r="O2106" s="1" t="s">
        <v>818</v>
      </c>
      <c r="P2106" s="1" t="s">
        <v>1048</v>
      </c>
      <c r="Q2106" s="1" t="s">
        <v>1047</v>
      </c>
      <c r="R2106" s="1" t="s">
        <v>128</v>
      </c>
      <c r="S2106" s="1"/>
      <c r="U2106" s="1" t="s">
        <v>130</v>
      </c>
      <c r="V2106" s="1" t="s">
        <v>74</v>
      </c>
      <c r="W2106" s="1" t="str">
        <f>VLOOKUP(Table1[[#This Row],[Obergruppe ATC-Code]],Tabelle3!$A$2:$B$100,2)</f>
        <v>ANÄSTHETIKA</v>
      </c>
      <c r="X2106" s="1" t="str">
        <f xml:space="preserve"> LEFT(Table1[[#This Row],[Atc Code]],3)</f>
        <v>N01</v>
      </c>
    </row>
    <row r="2107" spans="1:24" ht="14.4">
      <c r="A2107" s="14">
        <v>146</v>
      </c>
      <c r="B2107" s="24">
        <v>910825</v>
      </c>
      <c r="C2107" s="1">
        <v>1444779</v>
      </c>
      <c r="D2107" s="1" t="s">
        <v>102</v>
      </c>
      <c r="E2107" s="36">
        <v>44941</v>
      </c>
      <c r="F2107" s="36">
        <v>45443</v>
      </c>
      <c r="G2107" s="38">
        <f t="shared" si="32"/>
        <v>502</v>
      </c>
      <c r="H2107" s="5">
        <v>44894</v>
      </c>
      <c r="I2107" s="5">
        <v>45168</v>
      </c>
      <c r="J2107" s="1" t="s">
        <v>41</v>
      </c>
      <c r="K2107" s="1" t="s">
        <v>4712</v>
      </c>
      <c r="L2107" s="1" t="s">
        <v>4710</v>
      </c>
      <c r="M2107" s="1" t="s">
        <v>4711</v>
      </c>
      <c r="N2107" s="1" t="s">
        <v>38</v>
      </c>
      <c r="O2107" s="1" t="s">
        <v>818</v>
      </c>
      <c r="P2107" s="1" t="s">
        <v>1048</v>
      </c>
      <c r="Q2107" s="1" t="s">
        <v>1047</v>
      </c>
      <c r="R2107" s="1" t="s">
        <v>128</v>
      </c>
      <c r="S2107" s="1"/>
      <c r="U2107" s="1" t="s">
        <v>130</v>
      </c>
      <c r="V2107" s="1" t="s">
        <v>74</v>
      </c>
      <c r="W2107" s="1" t="str">
        <f>VLOOKUP(Table1[[#This Row],[Obergruppe ATC-Code]],Tabelle3!$A$2:$B$100,2)</f>
        <v>ANÄSTHETIKA</v>
      </c>
      <c r="X2107" s="1" t="str">
        <f xml:space="preserve"> LEFT(Table1[[#This Row],[Atc Code]],3)</f>
        <v>N01</v>
      </c>
    </row>
    <row r="2108" spans="1:24" ht="14.4">
      <c r="A2108" s="14">
        <v>200</v>
      </c>
      <c r="B2108" s="24">
        <v>1138870</v>
      </c>
      <c r="C2108" s="1">
        <v>84818</v>
      </c>
      <c r="D2108" s="1" t="s">
        <v>25</v>
      </c>
      <c r="E2108" s="36">
        <v>44317</v>
      </c>
      <c r="F2108" s="36">
        <v>44475</v>
      </c>
      <c r="G2108" s="38">
        <f t="shared" si="32"/>
        <v>158</v>
      </c>
      <c r="H2108" s="5">
        <v>44334</v>
      </c>
      <c r="I2108" s="5">
        <v>44475</v>
      </c>
      <c r="J2108" s="1" t="s">
        <v>41</v>
      </c>
      <c r="K2108" s="1" t="s">
        <v>4716</v>
      </c>
      <c r="L2108" s="1" t="s">
        <v>4717</v>
      </c>
      <c r="M2108" s="1" t="s">
        <v>4718</v>
      </c>
      <c r="N2108" s="1" t="s">
        <v>30</v>
      </c>
      <c r="O2108" s="1" t="s">
        <v>818</v>
      </c>
      <c r="P2108" s="1">
        <v>498993083800</v>
      </c>
      <c r="Q2108" s="1" t="s">
        <v>2215</v>
      </c>
      <c r="R2108" s="1" t="s">
        <v>65</v>
      </c>
      <c r="S2108" s="1"/>
      <c r="T2108" s="1" t="s">
        <v>4719</v>
      </c>
      <c r="U2108" s="1" t="s">
        <v>57</v>
      </c>
      <c r="V2108" s="1" t="s">
        <v>74</v>
      </c>
      <c r="W2108" s="1" t="str">
        <f>VLOOKUP(Table1[[#This Row],[Obergruppe ATC-Code]],Tabelle3!$A$2:$B$100,2)</f>
        <v>ANÄSTHETIKA</v>
      </c>
      <c r="X2108" s="1" t="str">
        <f xml:space="preserve"> LEFT(Table1[[#This Row],[Atc Code]],3)</f>
        <v>N01</v>
      </c>
    </row>
    <row r="2109" spans="1:24" ht="14.4">
      <c r="A2109" s="14">
        <v>535</v>
      </c>
      <c r="B2109" s="24">
        <v>3431278</v>
      </c>
      <c r="C2109" s="1">
        <v>1463914</v>
      </c>
      <c r="D2109" s="1" t="s">
        <v>25</v>
      </c>
      <c r="E2109" s="36">
        <v>44511</v>
      </c>
      <c r="F2109" s="36">
        <v>44537</v>
      </c>
      <c r="G2109" s="38">
        <f t="shared" si="32"/>
        <v>26</v>
      </c>
      <c r="H2109" s="5">
        <v>44510</v>
      </c>
      <c r="I2109" s="5">
        <v>44537</v>
      </c>
      <c r="J2109" s="1" t="s">
        <v>26</v>
      </c>
      <c r="K2109" s="1" t="s">
        <v>4720</v>
      </c>
      <c r="L2109" s="1" t="s">
        <v>4717</v>
      </c>
      <c r="M2109" s="1" t="s">
        <v>4718</v>
      </c>
      <c r="N2109" s="1" t="s">
        <v>30</v>
      </c>
      <c r="O2109" s="1" t="s">
        <v>818</v>
      </c>
      <c r="P2109" s="1" t="s">
        <v>2217</v>
      </c>
      <c r="Q2109" s="1" t="s">
        <v>1047</v>
      </c>
      <c r="R2109" s="1" t="s">
        <v>113</v>
      </c>
      <c r="S2109" s="1"/>
      <c r="T2109" s="1" t="s">
        <v>4721</v>
      </c>
      <c r="U2109" s="1" t="s">
        <v>130</v>
      </c>
      <c r="V2109" s="1" t="s">
        <v>74</v>
      </c>
      <c r="W2109" s="1" t="str">
        <f>VLOOKUP(Table1[[#This Row],[Obergruppe ATC-Code]],Tabelle3!$A$2:$B$100,2)</f>
        <v>ANÄSTHETIKA</v>
      </c>
      <c r="X2109" s="1" t="str">
        <f xml:space="preserve"> LEFT(Table1[[#This Row],[Atc Code]],3)</f>
        <v>N01</v>
      </c>
    </row>
    <row r="2110" spans="1:24" ht="14.4">
      <c r="A2110" s="14">
        <v>536</v>
      </c>
      <c r="B2110" s="24">
        <v>3431284</v>
      </c>
      <c r="C2110" s="1">
        <v>1463937</v>
      </c>
      <c r="D2110" s="1" t="s">
        <v>25</v>
      </c>
      <c r="E2110" s="36">
        <v>44525</v>
      </c>
      <c r="F2110" s="36">
        <v>44596</v>
      </c>
      <c r="G2110" s="38">
        <f t="shared" si="32"/>
        <v>71</v>
      </c>
      <c r="H2110" s="5">
        <v>44510</v>
      </c>
      <c r="I2110" s="5">
        <v>44596</v>
      </c>
      <c r="J2110" s="1" t="s">
        <v>26</v>
      </c>
      <c r="K2110" s="1" t="s">
        <v>4722</v>
      </c>
      <c r="L2110" s="1" t="s">
        <v>4717</v>
      </c>
      <c r="M2110" s="1" t="s">
        <v>4718</v>
      </c>
      <c r="N2110" s="1" t="s">
        <v>30</v>
      </c>
      <c r="O2110" s="1" t="s">
        <v>818</v>
      </c>
      <c r="P2110" s="1" t="s">
        <v>2217</v>
      </c>
      <c r="Q2110" s="1" t="s">
        <v>1047</v>
      </c>
      <c r="R2110" s="1" t="s">
        <v>33</v>
      </c>
      <c r="S2110" s="1"/>
      <c r="U2110" s="1" t="s">
        <v>130</v>
      </c>
      <c r="V2110" s="1" t="s">
        <v>74</v>
      </c>
      <c r="W2110" s="1" t="str">
        <f>VLOOKUP(Table1[[#This Row],[Obergruppe ATC-Code]],Tabelle3!$A$2:$B$100,2)</f>
        <v>ANÄSTHETIKA</v>
      </c>
      <c r="X2110" s="1" t="str">
        <f xml:space="preserve"> LEFT(Table1[[#This Row],[Atc Code]],3)</f>
        <v>N01</v>
      </c>
    </row>
    <row r="2111" spans="1:24" ht="14.4">
      <c r="A2111" s="14">
        <v>207</v>
      </c>
      <c r="B2111" s="24">
        <v>1138870</v>
      </c>
      <c r="C2111" s="1">
        <v>84818</v>
      </c>
      <c r="D2111" s="1" t="s">
        <v>25</v>
      </c>
      <c r="E2111" s="36">
        <v>44559</v>
      </c>
      <c r="F2111" s="36">
        <v>44596</v>
      </c>
      <c r="G2111" s="38">
        <f t="shared" si="32"/>
        <v>37</v>
      </c>
      <c r="H2111" s="5">
        <v>44537</v>
      </c>
      <c r="I2111" s="5">
        <v>44596</v>
      </c>
      <c r="J2111" s="1" t="s">
        <v>26</v>
      </c>
      <c r="K2111" s="1" t="s">
        <v>4716</v>
      </c>
      <c r="L2111" s="1" t="s">
        <v>4717</v>
      </c>
      <c r="M2111" s="1" t="s">
        <v>4718</v>
      </c>
      <c r="N2111" s="1" t="s">
        <v>30</v>
      </c>
      <c r="O2111" s="1" t="s">
        <v>818</v>
      </c>
      <c r="P2111" s="1" t="s">
        <v>2217</v>
      </c>
      <c r="Q2111" s="1" t="s">
        <v>1047</v>
      </c>
      <c r="R2111" s="1" t="s">
        <v>33</v>
      </c>
      <c r="S2111" s="1"/>
      <c r="U2111" s="1" t="s">
        <v>130</v>
      </c>
      <c r="V2111" s="1" t="s">
        <v>74</v>
      </c>
      <c r="W2111" s="1" t="str">
        <f>VLOOKUP(Table1[[#This Row],[Obergruppe ATC-Code]],Tabelle3!$A$2:$B$100,2)</f>
        <v>ANÄSTHETIKA</v>
      </c>
      <c r="X2111" s="1" t="str">
        <f xml:space="preserve"> LEFT(Table1[[#This Row],[Atc Code]],3)</f>
        <v>N01</v>
      </c>
    </row>
    <row r="2112" spans="1:24" ht="14.4">
      <c r="A2112" s="14">
        <v>198</v>
      </c>
      <c r="B2112" s="24">
        <v>1138798</v>
      </c>
      <c r="C2112" s="1">
        <v>84793</v>
      </c>
      <c r="D2112" s="1" t="s">
        <v>25</v>
      </c>
      <c r="E2112" s="36">
        <v>44468</v>
      </c>
      <c r="F2112" s="36">
        <v>44620</v>
      </c>
      <c r="G2112" s="38">
        <f t="shared" si="32"/>
        <v>152</v>
      </c>
      <c r="H2112" s="5">
        <v>44484</v>
      </c>
      <c r="I2112" s="5">
        <v>44620</v>
      </c>
      <c r="J2112" s="1" t="s">
        <v>26</v>
      </c>
      <c r="K2112" s="1" t="s">
        <v>4723</v>
      </c>
      <c r="L2112" s="1" t="s">
        <v>4717</v>
      </c>
      <c r="M2112" s="1" t="s">
        <v>4718</v>
      </c>
      <c r="N2112" s="1" t="s">
        <v>30</v>
      </c>
      <c r="O2112" s="1" t="s">
        <v>818</v>
      </c>
      <c r="P2112" s="1" t="s">
        <v>2217</v>
      </c>
      <c r="Q2112" s="1" t="s">
        <v>1047</v>
      </c>
      <c r="R2112" s="1" t="s">
        <v>113</v>
      </c>
      <c r="S2112" s="1"/>
      <c r="T2112" s="1" t="s">
        <v>4724</v>
      </c>
      <c r="U2112" s="1" t="s">
        <v>130</v>
      </c>
      <c r="V2112" s="1" t="s">
        <v>74</v>
      </c>
      <c r="W2112" s="1" t="str">
        <f>VLOOKUP(Table1[[#This Row],[Obergruppe ATC-Code]],Tabelle3!$A$2:$B$100,2)</f>
        <v>ANÄSTHETIKA</v>
      </c>
      <c r="X2112" s="1" t="str">
        <f xml:space="preserve"> LEFT(Table1[[#This Row],[Atc Code]],3)</f>
        <v>N01</v>
      </c>
    </row>
    <row r="2113" spans="1:24" ht="14.4">
      <c r="A2113" s="14">
        <v>538</v>
      </c>
      <c r="B2113" s="24">
        <v>3431367</v>
      </c>
      <c r="C2113" s="1">
        <v>1461252</v>
      </c>
      <c r="D2113" s="1" t="s">
        <v>25</v>
      </c>
      <c r="E2113" s="36">
        <v>44666</v>
      </c>
      <c r="F2113" s="36">
        <v>44671</v>
      </c>
      <c r="G2113" s="38">
        <f t="shared" si="32"/>
        <v>5</v>
      </c>
      <c r="H2113" s="5">
        <v>44617</v>
      </c>
      <c r="I2113" s="5">
        <v>44671</v>
      </c>
      <c r="J2113" s="1" t="s">
        <v>26</v>
      </c>
      <c r="K2113" s="1" t="s">
        <v>4725</v>
      </c>
      <c r="L2113" s="1" t="s">
        <v>4717</v>
      </c>
      <c r="M2113" s="1" t="s">
        <v>4718</v>
      </c>
      <c r="N2113" s="1" t="s">
        <v>30</v>
      </c>
      <c r="O2113" s="1" t="s">
        <v>818</v>
      </c>
      <c r="P2113" s="1" t="s">
        <v>1048</v>
      </c>
      <c r="Q2113" s="1" t="s">
        <v>1047</v>
      </c>
      <c r="R2113" s="1" t="s">
        <v>33</v>
      </c>
      <c r="S2113" s="1"/>
      <c r="U2113" s="1" t="s">
        <v>130</v>
      </c>
      <c r="V2113" s="1" t="s">
        <v>74</v>
      </c>
      <c r="W2113" s="1" t="str">
        <f>VLOOKUP(Table1[[#This Row],[Obergruppe ATC-Code]],Tabelle3!$A$2:$B$100,2)</f>
        <v>ANÄSTHETIKA</v>
      </c>
      <c r="X2113" s="1" t="str">
        <f xml:space="preserve"> LEFT(Table1[[#This Row],[Atc Code]],3)</f>
        <v>N01</v>
      </c>
    </row>
    <row r="2114" spans="1:24" ht="14.4">
      <c r="A2114" s="14">
        <v>537</v>
      </c>
      <c r="B2114" s="24">
        <v>3431367</v>
      </c>
      <c r="C2114" s="1">
        <v>1461252</v>
      </c>
      <c r="D2114" s="1" t="s">
        <v>25</v>
      </c>
      <c r="E2114" s="36">
        <v>44721</v>
      </c>
      <c r="F2114" s="36">
        <v>44742</v>
      </c>
      <c r="G2114" s="38">
        <f t="shared" ref="G2114:G2177" si="33">F2114-E2114</f>
        <v>21</v>
      </c>
      <c r="H2114" s="5">
        <v>44721</v>
      </c>
      <c r="I2114" s="5">
        <v>44742</v>
      </c>
      <c r="J2114" s="1" t="s">
        <v>26</v>
      </c>
      <c r="K2114" s="1" t="s">
        <v>4725</v>
      </c>
      <c r="L2114" s="1" t="s">
        <v>4717</v>
      </c>
      <c r="M2114" s="1" t="s">
        <v>4718</v>
      </c>
      <c r="N2114" s="1" t="s">
        <v>38</v>
      </c>
      <c r="O2114" s="1" t="s">
        <v>818</v>
      </c>
      <c r="P2114" s="1" t="s">
        <v>1048</v>
      </c>
      <c r="Q2114" s="1" t="s">
        <v>1047</v>
      </c>
      <c r="R2114" s="1" t="s">
        <v>33</v>
      </c>
      <c r="S2114" s="1"/>
      <c r="U2114" s="1" t="s">
        <v>130</v>
      </c>
      <c r="V2114" s="1" t="s">
        <v>74</v>
      </c>
      <c r="W2114" s="1" t="str">
        <f>VLOOKUP(Table1[[#This Row],[Obergruppe ATC-Code]],Tabelle3!$A$2:$B$100,2)</f>
        <v>ANÄSTHETIKA</v>
      </c>
      <c r="X2114" s="1" t="str">
        <f xml:space="preserve"> LEFT(Table1[[#This Row],[Atc Code]],3)</f>
        <v>N01</v>
      </c>
    </row>
    <row r="2115" spans="1:24" ht="14.4">
      <c r="A2115" s="14">
        <v>206</v>
      </c>
      <c r="B2115" s="24">
        <v>1138870</v>
      </c>
      <c r="C2115" s="1">
        <v>84818</v>
      </c>
      <c r="D2115" s="1" t="s">
        <v>25</v>
      </c>
      <c r="E2115" s="36">
        <v>44687</v>
      </c>
      <c r="F2115" s="36">
        <v>44781</v>
      </c>
      <c r="G2115" s="38">
        <f t="shared" si="33"/>
        <v>94</v>
      </c>
      <c r="H2115" s="5">
        <v>44683</v>
      </c>
      <c r="I2115" s="5">
        <v>44781</v>
      </c>
      <c r="J2115" s="1" t="s">
        <v>41</v>
      </c>
      <c r="K2115" s="1" t="s">
        <v>4716</v>
      </c>
      <c r="L2115" s="1" t="s">
        <v>4717</v>
      </c>
      <c r="M2115" s="1" t="s">
        <v>4718</v>
      </c>
      <c r="N2115" s="1" t="s">
        <v>30</v>
      </c>
      <c r="O2115" s="1" t="s">
        <v>818</v>
      </c>
      <c r="P2115" s="1" t="s">
        <v>1048</v>
      </c>
      <c r="Q2115" s="1" t="s">
        <v>1047</v>
      </c>
      <c r="R2115" s="1" t="s">
        <v>128</v>
      </c>
      <c r="S2115" s="1"/>
      <c r="U2115" s="1" t="s">
        <v>130</v>
      </c>
      <c r="V2115" s="1" t="s">
        <v>74</v>
      </c>
      <c r="W2115" s="1" t="str">
        <f>VLOOKUP(Table1[[#This Row],[Obergruppe ATC-Code]],Tabelle3!$A$2:$B$100,2)</f>
        <v>ANÄSTHETIKA</v>
      </c>
      <c r="X2115" s="1" t="str">
        <f xml:space="preserve"> LEFT(Table1[[#This Row],[Atc Code]],3)</f>
        <v>N01</v>
      </c>
    </row>
    <row r="2116" spans="1:24" ht="14.4">
      <c r="A2116" s="14">
        <v>205</v>
      </c>
      <c r="B2116" s="24">
        <v>1138870</v>
      </c>
      <c r="C2116" s="1">
        <v>84818</v>
      </c>
      <c r="D2116" s="1" t="s">
        <v>25</v>
      </c>
      <c r="E2116" s="36">
        <v>44791</v>
      </c>
      <c r="F2116" s="36">
        <v>44868</v>
      </c>
      <c r="G2116" s="38">
        <f t="shared" si="33"/>
        <v>77</v>
      </c>
      <c r="H2116" s="5">
        <v>44791</v>
      </c>
      <c r="I2116" s="5">
        <v>44868</v>
      </c>
      <c r="J2116" s="1" t="s">
        <v>26</v>
      </c>
      <c r="K2116" s="1" t="s">
        <v>4716</v>
      </c>
      <c r="L2116" s="1" t="s">
        <v>4717</v>
      </c>
      <c r="M2116" s="1" t="s">
        <v>4718</v>
      </c>
      <c r="N2116" s="1" t="s">
        <v>38</v>
      </c>
      <c r="O2116" s="1" t="s">
        <v>818</v>
      </c>
      <c r="P2116" s="1" t="s">
        <v>2222</v>
      </c>
      <c r="Q2116" s="1" t="s">
        <v>1047</v>
      </c>
      <c r="R2116" s="1" t="s">
        <v>33</v>
      </c>
      <c r="S2116" s="1"/>
      <c r="U2116" s="1" t="s">
        <v>130</v>
      </c>
      <c r="V2116" s="1" t="s">
        <v>74</v>
      </c>
      <c r="W2116" s="1" t="str">
        <f>VLOOKUP(Table1[[#This Row],[Obergruppe ATC-Code]],Tabelle3!$A$2:$B$100,2)</f>
        <v>ANÄSTHETIKA</v>
      </c>
      <c r="X2116" s="1" t="str">
        <f xml:space="preserve"> LEFT(Table1[[#This Row],[Atc Code]],3)</f>
        <v>N01</v>
      </c>
    </row>
    <row r="2117" spans="1:24" ht="14.4">
      <c r="A2117" s="14">
        <v>201</v>
      </c>
      <c r="B2117" s="24">
        <v>1138870</v>
      </c>
      <c r="C2117" s="1">
        <v>84818</v>
      </c>
      <c r="D2117" s="1" t="s">
        <v>25</v>
      </c>
      <c r="E2117" s="36">
        <v>44880</v>
      </c>
      <c r="F2117" s="36">
        <v>44907</v>
      </c>
      <c r="G2117" s="38">
        <f t="shared" si="33"/>
        <v>27</v>
      </c>
      <c r="H2117" s="5">
        <v>44876</v>
      </c>
      <c r="I2117" s="5">
        <v>44907</v>
      </c>
      <c r="J2117" s="1" t="s">
        <v>41</v>
      </c>
      <c r="K2117" s="1" t="s">
        <v>4716</v>
      </c>
      <c r="L2117" s="1" t="s">
        <v>4717</v>
      </c>
      <c r="M2117" s="1" t="s">
        <v>4718</v>
      </c>
      <c r="N2117" s="1" t="s">
        <v>38</v>
      </c>
      <c r="O2117" s="1" t="s">
        <v>818</v>
      </c>
      <c r="P2117" s="1" t="s">
        <v>2222</v>
      </c>
      <c r="Q2117" s="1" t="s">
        <v>1047</v>
      </c>
      <c r="R2117" s="1" t="s">
        <v>128</v>
      </c>
      <c r="S2117" s="1"/>
      <c r="T2117" s="1" t="s">
        <v>4721</v>
      </c>
      <c r="U2117" s="1" t="s">
        <v>130</v>
      </c>
      <c r="V2117" s="1" t="s">
        <v>74</v>
      </c>
      <c r="W2117" s="1" t="str">
        <f>VLOOKUP(Table1[[#This Row],[Obergruppe ATC-Code]],Tabelle3!$A$2:$B$100,2)</f>
        <v>ANÄSTHETIKA</v>
      </c>
      <c r="X2117" s="1" t="str">
        <f xml:space="preserve"> LEFT(Table1[[#This Row],[Atc Code]],3)</f>
        <v>N01</v>
      </c>
    </row>
    <row r="2118" spans="1:24" ht="14.4">
      <c r="A2118" s="14">
        <v>204</v>
      </c>
      <c r="B2118" s="24">
        <v>1138870</v>
      </c>
      <c r="C2118" s="1">
        <v>84818</v>
      </c>
      <c r="D2118" s="1" t="s">
        <v>25</v>
      </c>
      <c r="E2118" s="36">
        <v>44910</v>
      </c>
      <c r="F2118" s="36">
        <v>44993</v>
      </c>
      <c r="G2118" s="38">
        <f t="shared" si="33"/>
        <v>83</v>
      </c>
      <c r="H2118" s="5">
        <v>44910</v>
      </c>
      <c r="I2118" s="5">
        <v>44993</v>
      </c>
      <c r="J2118" s="1" t="s">
        <v>41</v>
      </c>
      <c r="K2118" s="1" t="s">
        <v>4716</v>
      </c>
      <c r="L2118" s="1" t="s">
        <v>4717</v>
      </c>
      <c r="M2118" s="1" t="s">
        <v>4718</v>
      </c>
      <c r="N2118" s="1" t="s">
        <v>38</v>
      </c>
      <c r="O2118" s="1" t="s">
        <v>818</v>
      </c>
      <c r="P2118" s="1" t="s">
        <v>2222</v>
      </c>
      <c r="Q2118" s="1" t="s">
        <v>1047</v>
      </c>
      <c r="R2118" s="1" t="s">
        <v>128</v>
      </c>
      <c r="S2118" s="1"/>
      <c r="U2118" s="1" t="s">
        <v>130</v>
      </c>
      <c r="V2118" s="1" t="s">
        <v>74</v>
      </c>
      <c r="W2118" s="1" t="str">
        <f>VLOOKUP(Table1[[#This Row],[Obergruppe ATC-Code]],Tabelle3!$A$2:$B$100,2)</f>
        <v>ANÄSTHETIKA</v>
      </c>
      <c r="X2118" s="1" t="str">
        <f xml:space="preserve"> LEFT(Table1[[#This Row],[Atc Code]],3)</f>
        <v>N01</v>
      </c>
    </row>
    <row r="2119" spans="1:24" ht="14.4">
      <c r="A2119" s="14">
        <v>203</v>
      </c>
      <c r="B2119" s="24">
        <v>1138870</v>
      </c>
      <c r="C2119" s="1">
        <v>84818</v>
      </c>
      <c r="D2119" s="1" t="s">
        <v>25</v>
      </c>
      <c r="E2119" s="36">
        <v>45078</v>
      </c>
      <c r="F2119" s="36">
        <v>45120</v>
      </c>
      <c r="G2119" s="38">
        <f t="shared" si="33"/>
        <v>42</v>
      </c>
      <c r="H2119" s="5">
        <v>45044</v>
      </c>
      <c r="I2119" s="5">
        <v>45120</v>
      </c>
      <c r="J2119" s="1" t="s">
        <v>41</v>
      </c>
      <c r="K2119" s="1" t="s">
        <v>4716</v>
      </c>
      <c r="L2119" s="1" t="s">
        <v>4717</v>
      </c>
      <c r="M2119" s="1" t="s">
        <v>4718</v>
      </c>
      <c r="N2119" s="1" t="s">
        <v>38</v>
      </c>
      <c r="O2119" s="1" t="s">
        <v>818</v>
      </c>
      <c r="P2119" s="1" t="s">
        <v>1048</v>
      </c>
      <c r="Q2119" s="1" t="s">
        <v>1047</v>
      </c>
      <c r="R2119" s="1" t="s">
        <v>128</v>
      </c>
      <c r="S2119" s="1"/>
      <c r="U2119" s="1" t="s">
        <v>130</v>
      </c>
      <c r="V2119" s="1" t="s">
        <v>74</v>
      </c>
      <c r="W2119" s="1" t="str">
        <f>VLOOKUP(Table1[[#This Row],[Obergruppe ATC-Code]],Tabelle3!$A$2:$B$100,2)</f>
        <v>ANÄSTHETIKA</v>
      </c>
      <c r="X2119" s="1" t="str">
        <f xml:space="preserve"> LEFT(Table1[[#This Row],[Atc Code]],3)</f>
        <v>N01</v>
      </c>
    </row>
    <row r="2120" spans="1:24" ht="14.4">
      <c r="A2120" s="14">
        <v>202</v>
      </c>
      <c r="B2120" s="24">
        <v>1138870</v>
      </c>
      <c r="C2120" s="1">
        <v>84818</v>
      </c>
      <c r="D2120" s="1" t="s">
        <v>175</v>
      </c>
      <c r="E2120" s="36">
        <v>45153</v>
      </c>
      <c r="F2120" s="36">
        <v>45230</v>
      </c>
      <c r="G2120" s="38">
        <f t="shared" si="33"/>
        <v>77</v>
      </c>
      <c r="H2120" s="5">
        <v>45135</v>
      </c>
      <c r="I2120" s="5">
        <v>45135</v>
      </c>
      <c r="J2120" s="1" t="s">
        <v>41</v>
      </c>
      <c r="K2120" s="1" t="s">
        <v>4716</v>
      </c>
      <c r="L2120" s="1" t="s">
        <v>4717</v>
      </c>
      <c r="M2120" s="1" t="s">
        <v>4718</v>
      </c>
      <c r="N2120" s="1" t="s">
        <v>38</v>
      </c>
      <c r="O2120" s="1" t="s">
        <v>818</v>
      </c>
      <c r="P2120" s="1" t="s">
        <v>1048</v>
      </c>
      <c r="Q2120" s="1" t="s">
        <v>1047</v>
      </c>
      <c r="R2120" s="1" t="s">
        <v>128</v>
      </c>
      <c r="S2120" s="1"/>
      <c r="U2120" s="1" t="s">
        <v>130</v>
      </c>
      <c r="V2120" s="1" t="s">
        <v>74</v>
      </c>
      <c r="W2120" s="1" t="str">
        <f>VLOOKUP(Table1[[#This Row],[Obergruppe ATC-Code]],Tabelle3!$A$2:$B$100,2)</f>
        <v>ANÄSTHETIKA</v>
      </c>
      <c r="X2120" s="1" t="str">
        <f xml:space="preserve"> LEFT(Table1[[#This Row],[Atc Code]],3)</f>
        <v>N01</v>
      </c>
    </row>
    <row r="2121" spans="1:24" ht="14.4">
      <c r="A2121" s="14">
        <v>199</v>
      </c>
      <c r="B2121" s="24">
        <v>1138798</v>
      </c>
      <c r="C2121" s="1">
        <v>84793</v>
      </c>
      <c r="D2121" s="1" t="s">
        <v>102</v>
      </c>
      <c r="E2121" s="36">
        <v>45000</v>
      </c>
      <c r="F2121" s="36">
        <v>45443</v>
      </c>
      <c r="G2121" s="38">
        <f t="shared" si="33"/>
        <v>443</v>
      </c>
      <c r="H2121" s="5">
        <v>45000</v>
      </c>
      <c r="I2121" s="5">
        <v>45168</v>
      </c>
      <c r="J2121" s="1" t="s">
        <v>41</v>
      </c>
      <c r="K2121" s="1" t="s">
        <v>4723</v>
      </c>
      <c r="L2121" s="1" t="s">
        <v>4717</v>
      </c>
      <c r="M2121" s="1" t="s">
        <v>4718</v>
      </c>
      <c r="N2121" s="1" t="s">
        <v>38</v>
      </c>
      <c r="O2121" s="1" t="s">
        <v>818</v>
      </c>
      <c r="P2121" s="1" t="s">
        <v>1048</v>
      </c>
      <c r="Q2121" s="1" t="s">
        <v>1047</v>
      </c>
      <c r="R2121" s="1" t="s">
        <v>128</v>
      </c>
      <c r="S2121" s="1"/>
      <c r="U2121" s="1" t="s">
        <v>130</v>
      </c>
      <c r="V2121" s="1" t="s">
        <v>74</v>
      </c>
      <c r="W2121" s="1" t="str">
        <f>VLOOKUP(Table1[[#This Row],[Obergruppe ATC-Code]],Tabelle3!$A$2:$B$100,2)</f>
        <v>ANÄSTHETIKA</v>
      </c>
      <c r="X2121" s="1" t="str">
        <f xml:space="preserve"> LEFT(Table1[[#This Row],[Atc Code]],3)</f>
        <v>N01</v>
      </c>
    </row>
    <row r="2122" spans="1:24" ht="14.4">
      <c r="A2122" s="14">
        <v>2249</v>
      </c>
      <c r="B2122" s="24" t="s">
        <v>4726</v>
      </c>
      <c r="C2122" s="1">
        <v>2178017</v>
      </c>
      <c r="D2122" s="1" t="s">
        <v>25</v>
      </c>
      <c r="E2122" s="36">
        <v>44166</v>
      </c>
      <c r="F2122" s="36">
        <v>44316</v>
      </c>
      <c r="G2122" s="38">
        <f t="shared" si="33"/>
        <v>150</v>
      </c>
      <c r="H2122" s="5">
        <v>44167</v>
      </c>
      <c r="I2122" s="5">
        <v>44302</v>
      </c>
      <c r="J2122" s="1" t="s">
        <v>41</v>
      </c>
      <c r="K2122" s="1" t="s">
        <v>4727</v>
      </c>
      <c r="L2122" s="1" t="s">
        <v>4728</v>
      </c>
      <c r="M2122" s="1" t="s">
        <v>4729</v>
      </c>
      <c r="N2122" s="1" t="s">
        <v>30</v>
      </c>
      <c r="O2122" s="1" t="s">
        <v>220</v>
      </c>
      <c r="P2122" s="1" t="s">
        <v>221</v>
      </c>
      <c r="Q2122" s="1" t="s">
        <v>222</v>
      </c>
      <c r="R2122" s="1" t="s">
        <v>26</v>
      </c>
      <c r="S2122" s="1"/>
      <c r="U2122" s="1" t="s">
        <v>57</v>
      </c>
      <c r="V2122" s="1" t="s">
        <v>648</v>
      </c>
      <c r="W2122" s="1" t="str">
        <f>VLOOKUP(Table1[[#This Row],[Obergruppe ATC-Code]],Tabelle3!$A$2:$B$100,2)</f>
        <v>ANÄSTHETIKA</v>
      </c>
      <c r="X2122" s="1" t="str">
        <f xml:space="preserve"> LEFT(Table1[[#This Row],[Atc Code]],3)</f>
        <v>N01</v>
      </c>
    </row>
    <row r="2123" spans="1:24" ht="14.4">
      <c r="A2123" s="14">
        <v>1018</v>
      </c>
      <c r="B2123" s="24">
        <v>8812708</v>
      </c>
      <c r="C2123" s="1">
        <v>2179122</v>
      </c>
      <c r="D2123" s="1" t="s">
        <v>25</v>
      </c>
      <c r="E2123" s="36">
        <v>44476</v>
      </c>
      <c r="F2123" s="36">
        <v>44515</v>
      </c>
      <c r="G2123" s="38">
        <f t="shared" si="33"/>
        <v>39</v>
      </c>
      <c r="H2123" s="5">
        <v>44476</v>
      </c>
      <c r="I2123" s="5">
        <v>44515</v>
      </c>
      <c r="J2123" s="1" t="s">
        <v>41</v>
      </c>
      <c r="K2123" s="1" t="s">
        <v>4730</v>
      </c>
      <c r="L2123" s="1" t="s">
        <v>4728</v>
      </c>
      <c r="M2123" s="1" t="s">
        <v>4731</v>
      </c>
      <c r="N2123" s="1" t="s">
        <v>30</v>
      </c>
      <c r="O2123" s="1" t="s">
        <v>213</v>
      </c>
      <c r="P2123" s="1" t="s">
        <v>4732</v>
      </c>
      <c r="Q2123" s="1" t="s">
        <v>974</v>
      </c>
      <c r="R2123" s="1" t="s">
        <v>128</v>
      </c>
      <c r="S2123" s="1"/>
      <c r="U2123" s="1" t="s">
        <v>130</v>
      </c>
      <c r="V2123" s="1" t="s">
        <v>74</v>
      </c>
      <c r="W2123" s="1" t="str">
        <f>VLOOKUP(Table1[[#This Row],[Obergruppe ATC-Code]],Tabelle3!$A$2:$B$100,2)</f>
        <v>ANÄSTHETIKA</v>
      </c>
      <c r="X2123" s="1" t="str">
        <f xml:space="preserve"> LEFT(Table1[[#This Row],[Atc Code]],3)</f>
        <v>N01</v>
      </c>
    </row>
    <row r="2124" spans="1:24" ht="14.4">
      <c r="A2124" s="14">
        <v>2248</v>
      </c>
      <c r="B2124" s="24" t="s">
        <v>4733</v>
      </c>
      <c r="C2124" s="1" t="s">
        <v>4734</v>
      </c>
      <c r="D2124" s="1" t="s">
        <v>25</v>
      </c>
      <c r="E2124" s="36">
        <v>44525</v>
      </c>
      <c r="F2124" s="36">
        <v>44599</v>
      </c>
      <c r="G2124" s="38">
        <f t="shared" si="33"/>
        <v>74</v>
      </c>
      <c r="H2124" s="5">
        <v>44525</v>
      </c>
      <c r="I2124" s="5">
        <v>44606</v>
      </c>
      <c r="J2124" s="1" t="s">
        <v>41</v>
      </c>
      <c r="K2124" s="1" t="s">
        <v>4735</v>
      </c>
      <c r="L2124" s="1" t="s">
        <v>4728</v>
      </c>
      <c r="M2124" s="1" t="s">
        <v>4729</v>
      </c>
      <c r="N2124" s="1" t="s">
        <v>30</v>
      </c>
      <c r="O2124" s="1" t="s">
        <v>220</v>
      </c>
      <c r="P2124" s="1">
        <v>1726839188</v>
      </c>
      <c r="Q2124" s="1" t="s">
        <v>1109</v>
      </c>
      <c r="R2124" s="1" t="s">
        <v>65</v>
      </c>
      <c r="S2124" s="1"/>
      <c r="T2124" s="1" t="s">
        <v>4736</v>
      </c>
      <c r="U2124" s="1" t="s">
        <v>57</v>
      </c>
      <c r="V2124" s="1" t="s">
        <v>74</v>
      </c>
      <c r="W2124" s="1" t="str">
        <f>VLOOKUP(Table1[[#This Row],[Obergruppe ATC-Code]],Tabelle3!$A$2:$B$100,2)</f>
        <v>ANÄSTHETIKA</v>
      </c>
      <c r="X2124" s="1" t="str">
        <f xml:space="preserve"> LEFT(Table1[[#This Row],[Atc Code]],3)</f>
        <v>N01</v>
      </c>
    </row>
    <row r="2125" spans="1:24" ht="14.4">
      <c r="A2125" s="14">
        <v>1019</v>
      </c>
      <c r="B2125" s="24">
        <v>8812714</v>
      </c>
      <c r="C2125" s="1">
        <v>2179122</v>
      </c>
      <c r="D2125" s="1" t="s">
        <v>25</v>
      </c>
      <c r="E2125" s="36">
        <v>44547</v>
      </c>
      <c r="F2125" s="36">
        <v>44621</v>
      </c>
      <c r="G2125" s="38">
        <f t="shared" si="33"/>
        <v>74</v>
      </c>
      <c r="H2125" s="5">
        <v>44547</v>
      </c>
      <c r="I2125" s="5">
        <v>44623</v>
      </c>
      <c r="J2125" s="1" t="s">
        <v>41</v>
      </c>
      <c r="K2125" s="1" t="s">
        <v>4730</v>
      </c>
      <c r="L2125" s="1" t="s">
        <v>4728</v>
      </c>
      <c r="M2125" s="1" t="s">
        <v>4731</v>
      </c>
      <c r="N2125" s="1" t="s">
        <v>30</v>
      </c>
      <c r="O2125" s="1" t="s">
        <v>213</v>
      </c>
      <c r="P2125" s="1">
        <v>566191477309</v>
      </c>
      <c r="Q2125" s="1" t="s">
        <v>911</v>
      </c>
      <c r="R2125" s="1" t="s">
        <v>128</v>
      </c>
      <c r="S2125" s="1"/>
      <c r="U2125" s="1" t="s">
        <v>130</v>
      </c>
      <c r="V2125" s="1" t="s">
        <v>74</v>
      </c>
      <c r="W2125" s="1" t="str">
        <f>VLOOKUP(Table1[[#This Row],[Obergruppe ATC-Code]],Tabelle3!$A$2:$B$100,2)</f>
        <v>ANÄSTHETIKA</v>
      </c>
      <c r="X2125" s="1" t="str">
        <f xml:space="preserve"> LEFT(Table1[[#This Row],[Atc Code]],3)</f>
        <v>N01</v>
      </c>
    </row>
    <row r="2126" spans="1:24" ht="14.4">
      <c r="A2126" s="14">
        <v>922</v>
      </c>
      <c r="B2126" s="24">
        <v>7592245</v>
      </c>
      <c r="C2126" s="1">
        <v>2137103</v>
      </c>
      <c r="D2126" s="1" t="s">
        <v>25</v>
      </c>
      <c r="E2126" s="36">
        <v>44197</v>
      </c>
      <c r="F2126" s="36">
        <v>44831</v>
      </c>
      <c r="G2126" s="38">
        <f t="shared" si="33"/>
        <v>634</v>
      </c>
      <c r="H2126" s="5">
        <v>44484</v>
      </c>
      <c r="I2126" s="5">
        <v>44831</v>
      </c>
      <c r="J2126" s="1" t="s">
        <v>41</v>
      </c>
      <c r="K2126" s="1" t="s">
        <v>4737</v>
      </c>
      <c r="L2126" s="1" t="s">
        <v>4728</v>
      </c>
      <c r="M2126" s="1" t="s">
        <v>4731</v>
      </c>
      <c r="N2126" s="1" t="s">
        <v>30</v>
      </c>
      <c r="O2126" s="1" t="s">
        <v>818</v>
      </c>
      <c r="P2126" s="1" t="s">
        <v>2217</v>
      </c>
      <c r="Q2126" s="1" t="s">
        <v>1047</v>
      </c>
      <c r="R2126" s="1" t="s">
        <v>128</v>
      </c>
      <c r="S2126" s="1" t="s">
        <v>4738</v>
      </c>
      <c r="U2126" s="1" t="s">
        <v>130</v>
      </c>
      <c r="V2126" s="1" t="s">
        <v>648</v>
      </c>
      <c r="W2126" s="1" t="str">
        <f>VLOOKUP(Table1[[#This Row],[Obergruppe ATC-Code]],Tabelle3!$A$2:$B$100,2)</f>
        <v>ANÄSTHETIKA</v>
      </c>
      <c r="X2126" s="1" t="str">
        <f xml:space="preserve"> LEFT(Table1[[#This Row],[Atc Code]],3)</f>
        <v>N01</v>
      </c>
    </row>
    <row r="2127" spans="1:24" ht="14.4">
      <c r="A2127" s="14">
        <v>921</v>
      </c>
      <c r="B2127" s="24">
        <v>7592239</v>
      </c>
      <c r="C2127" s="1">
        <v>2137102</v>
      </c>
      <c r="D2127" s="1" t="s">
        <v>25</v>
      </c>
      <c r="E2127" s="36">
        <v>44197</v>
      </c>
      <c r="F2127" s="36">
        <v>44831</v>
      </c>
      <c r="G2127" s="38">
        <f t="shared" si="33"/>
        <v>634</v>
      </c>
      <c r="H2127" s="5">
        <v>44484</v>
      </c>
      <c r="I2127" s="5">
        <v>44831</v>
      </c>
      <c r="J2127" s="1" t="s">
        <v>41</v>
      </c>
      <c r="K2127" s="1" t="s">
        <v>4739</v>
      </c>
      <c r="L2127" s="1" t="s">
        <v>4728</v>
      </c>
      <c r="M2127" s="1" t="s">
        <v>4731</v>
      </c>
      <c r="N2127" s="1" t="s">
        <v>30</v>
      </c>
      <c r="O2127" s="1" t="s">
        <v>818</v>
      </c>
      <c r="P2127" s="1" t="s">
        <v>2217</v>
      </c>
      <c r="Q2127" s="1" t="s">
        <v>1047</v>
      </c>
      <c r="R2127" s="1" t="s">
        <v>26</v>
      </c>
      <c r="S2127" s="1" t="s">
        <v>4738</v>
      </c>
      <c r="U2127" s="1" t="s">
        <v>57</v>
      </c>
      <c r="V2127" s="1" t="s">
        <v>648</v>
      </c>
      <c r="W2127" s="1" t="str">
        <f>VLOOKUP(Table1[[#This Row],[Obergruppe ATC-Code]],Tabelle3!$A$2:$B$100,2)</f>
        <v>ANÄSTHETIKA</v>
      </c>
      <c r="X2127" s="1" t="str">
        <f xml:space="preserve"> LEFT(Table1[[#This Row],[Atc Code]],3)</f>
        <v>N01</v>
      </c>
    </row>
    <row r="2128" spans="1:24" ht="14.4">
      <c r="A2128" s="14">
        <v>920</v>
      </c>
      <c r="B2128" s="24">
        <v>7592216</v>
      </c>
      <c r="C2128" s="1">
        <v>2137107</v>
      </c>
      <c r="D2128" s="1" t="s">
        <v>25</v>
      </c>
      <c r="E2128" s="36">
        <v>44778</v>
      </c>
      <c r="F2128" s="36">
        <v>44895</v>
      </c>
      <c r="G2128" s="38">
        <f t="shared" si="33"/>
        <v>117</v>
      </c>
      <c r="H2128" s="5">
        <v>44770</v>
      </c>
      <c r="I2128" s="5">
        <v>44895</v>
      </c>
      <c r="J2128" s="1" t="s">
        <v>26</v>
      </c>
      <c r="K2128" s="1" t="s">
        <v>4740</v>
      </c>
      <c r="L2128" s="1" t="s">
        <v>4728</v>
      </c>
      <c r="M2128" s="1" t="s">
        <v>4731</v>
      </c>
      <c r="N2128" s="1" t="s">
        <v>38</v>
      </c>
      <c r="O2128" s="1" t="s">
        <v>818</v>
      </c>
      <c r="P2128" s="1" t="s">
        <v>1048</v>
      </c>
      <c r="Q2128" s="1" t="s">
        <v>1047</v>
      </c>
      <c r="R2128" s="1" t="s">
        <v>33</v>
      </c>
      <c r="S2128" s="1"/>
      <c r="T2128" s="1" t="s">
        <v>4741</v>
      </c>
      <c r="U2128" s="1" t="s">
        <v>130</v>
      </c>
      <c r="V2128" s="1" t="s">
        <v>74</v>
      </c>
      <c r="W2128" s="1" t="str">
        <f>VLOOKUP(Table1[[#This Row],[Obergruppe ATC-Code]],Tabelle3!$A$2:$B$100,2)</f>
        <v>ANÄSTHETIKA</v>
      </c>
      <c r="X2128" s="1" t="str">
        <f xml:space="preserve"> LEFT(Table1[[#This Row],[Atc Code]],3)</f>
        <v>N01</v>
      </c>
    </row>
    <row r="2129" spans="1:24" ht="14.4">
      <c r="A2129" s="14">
        <v>919</v>
      </c>
      <c r="B2129" s="24">
        <v>7592185</v>
      </c>
      <c r="C2129" s="1">
        <v>2137105</v>
      </c>
      <c r="D2129" s="1" t="s">
        <v>25</v>
      </c>
      <c r="E2129" s="36">
        <v>44910</v>
      </c>
      <c r="F2129" s="36">
        <v>44964</v>
      </c>
      <c r="G2129" s="38">
        <f t="shared" si="33"/>
        <v>54</v>
      </c>
      <c r="H2129" s="5">
        <v>44894</v>
      </c>
      <c r="I2129" s="5">
        <v>44963</v>
      </c>
      <c r="J2129" s="1" t="s">
        <v>41</v>
      </c>
      <c r="K2129" s="1" t="s">
        <v>4742</v>
      </c>
      <c r="L2129" s="1" t="s">
        <v>4728</v>
      </c>
      <c r="M2129" s="1" t="s">
        <v>4731</v>
      </c>
      <c r="N2129" s="1" t="s">
        <v>38</v>
      </c>
      <c r="O2129" s="1" t="s">
        <v>818</v>
      </c>
      <c r="P2129" s="1" t="s">
        <v>1048</v>
      </c>
      <c r="Q2129" s="1" t="s">
        <v>1047</v>
      </c>
      <c r="R2129" s="1" t="s">
        <v>128</v>
      </c>
      <c r="S2129" s="1"/>
      <c r="U2129" s="1" t="s">
        <v>130</v>
      </c>
      <c r="V2129" s="1" t="s">
        <v>74</v>
      </c>
      <c r="W2129" s="1" t="str">
        <f>VLOOKUP(Table1[[#This Row],[Obergruppe ATC-Code]],Tabelle3!$A$2:$B$100,2)</f>
        <v>ANÄSTHETIKA</v>
      </c>
      <c r="X2129" s="1" t="str">
        <f xml:space="preserve"> LEFT(Table1[[#This Row],[Atc Code]],3)</f>
        <v>N01</v>
      </c>
    </row>
    <row r="2130" spans="1:24" ht="14.4">
      <c r="A2130" s="14">
        <v>918</v>
      </c>
      <c r="B2130" s="24">
        <v>7592185</v>
      </c>
      <c r="C2130" s="1">
        <v>2137105</v>
      </c>
      <c r="D2130" s="1" t="s">
        <v>25</v>
      </c>
      <c r="E2130" s="36">
        <v>45016</v>
      </c>
      <c r="F2130" s="36">
        <v>45125</v>
      </c>
      <c r="G2130" s="38">
        <f t="shared" si="33"/>
        <v>109</v>
      </c>
      <c r="H2130" s="5">
        <v>45008</v>
      </c>
      <c r="I2130" s="5">
        <v>45125</v>
      </c>
      <c r="J2130" s="1" t="s">
        <v>41</v>
      </c>
      <c r="K2130" s="1" t="s">
        <v>4742</v>
      </c>
      <c r="L2130" s="1" t="s">
        <v>4728</v>
      </c>
      <c r="M2130" s="1" t="s">
        <v>4731</v>
      </c>
      <c r="N2130" s="1" t="s">
        <v>38</v>
      </c>
      <c r="O2130" s="1" t="s">
        <v>818</v>
      </c>
      <c r="P2130" s="1" t="s">
        <v>2222</v>
      </c>
      <c r="Q2130" s="1" t="s">
        <v>1047</v>
      </c>
      <c r="R2130" s="1" t="s">
        <v>128</v>
      </c>
      <c r="S2130" s="1"/>
      <c r="T2130" s="1" t="s">
        <v>4743</v>
      </c>
      <c r="U2130" s="1" t="s">
        <v>130</v>
      </c>
      <c r="V2130" s="1" t="s">
        <v>74</v>
      </c>
      <c r="W2130" s="1" t="str">
        <f>VLOOKUP(Table1[[#This Row],[Obergruppe ATC-Code]],Tabelle3!$A$2:$B$100,2)</f>
        <v>ANÄSTHETIKA</v>
      </c>
      <c r="X2130" s="1" t="str">
        <f xml:space="preserve"> LEFT(Table1[[#This Row],[Atc Code]],3)</f>
        <v>N01</v>
      </c>
    </row>
    <row r="2131" spans="1:24" ht="14.4">
      <c r="A2131" s="14">
        <v>916</v>
      </c>
      <c r="B2131" s="24">
        <v>7592133</v>
      </c>
      <c r="C2131" s="1">
        <v>2137106</v>
      </c>
      <c r="D2131" s="1" t="s">
        <v>25</v>
      </c>
      <c r="E2131" s="36">
        <v>45092</v>
      </c>
      <c r="F2131" s="36">
        <v>45125</v>
      </c>
      <c r="G2131" s="38">
        <f t="shared" si="33"/>
        <v>33</v>
      </c>
      <c r="H2131" s="5">
        <v>45044</v>
      </c>
      <c r="I2131" s="5">
        <v>45125</v>
      </c>
      <c r="J2131" s="1" t="s">
        <v>41</v>
      </c>
      <c r="K2131" s="1" t="s">
        <v>4744</v>
      </c>
      <c r="L2131" s="1" t="s">
        <v>4728</v>
      </c>
      <c r="M2131" s="1" t="s">
        <v>4731</v>
      </c>
      <c r="N2131" s="1" t="s">
        <v>38</v>
      </c>
      <c r="O2131" s="1" t="s">
        <v>818</v>
      </c>
      <c r="P2131" s="1" t="s">
        <v>1048</v>
      </c>
      <c r="Q2131" s="1" t="s">
        <v>1047</v>
      </c>
      <c r="R2131" s="1" t="s">
        <v>128</v>
      </c>
      <c r="S2131" s="1"/>
      <c r="T2131" s="1" t="s">
        <v>4745</v>
      </c>
      <c r="U2131" s="1" t="s">
        <v>130</v>
      </c>
      <c r="V2131" s="1" t="s">
        <v>74</v>
      </c>
      <c r="W2131" s="1" t="str">
        <f>VLOOKUP(Table1[[#This Row],[Obergruppe ATC-Code]],Tabelle3!$A$2:$B$100,2)</f>
        <v>ANÄSTHETIKA</v>
      </c>
      <c r="X2131" s="1" t="str">
        <f xml:space="preserve"> LEFT(Table1[[#This Row],[Atc Code]],3)</f>
        <v>N01</v>
      </c>
    </row>
    <row r="2132" spans="1:24" ht="14.4">
      <c r="A2132" s="14">
        <v>917</v>
      </c>
      <c r="B2132" s="24">
        <v>7592162</v>
      </c>
      <c r="C2132" s="1">
        <v>2137101</v>
      </c>
      <c r="D2132" s="1" t="s">
        <v>25</v>
      </c>
      <c r="E2132" s="36">
        <v>44947</v>
      </c>
      <c r="F2132" s="36">
        <v>45138</v>
      </c>
      <c r="G2132" s="38">
        <f t="shared" si="33"/>
        <v>191</v>
      </c>
      <c r="H2132" s="5">
        <v>44936</v>
      </c>
      <c r="I2132" s="5">
        <v>45138</v>
      </c>
      <c r="J2132" s="1" t="s">
        <v>26</v>
      </c>
      <c r="K2132" s="1" t="s">
        <v>4746</v>
      </c>
      <c r="L2132" s="1" t="s">
        <v>4728</v>
      </c>
      <c r="M2132" s="1" t="s">
        <v>4731</v>
      </c>
      <c r="N2132" s="1" t="s">
        <v>38</v>
      </c>
      <c r="O2132" s="1" t="s">
        <v>818</v>
      </c>
      <c r="P2132" s="1" t="s">
        <v>1048</v>
      </c>
      <c r="Q2132" s="1" t="s">
        <v>1047</v>
      </c>
      <c r="R2132" s="1" t="s">
        <v>33</v>
      </c>
      <c r="S2132" s="1"/>
      <c r="T2132" s="1" t="s">
        <v>4747</v>
      </c>
      <c r="U2132" s="1" t="s">
        <v>130</v>
      </c>
      <c r="V2132" s="1" t="s">
        <v>74</v>
      </c>
      <c r="W2132" s="1" t="str">
        <f>VLOOKUP(Table1[[#This Row],[Obergruppe ATC-Code]],Tabelle3!$A$2:$B$100,2)</f>
        <v>ANÄSTHETIKA</v>
      </c>
      <c r="X2132" s="1" t="str">
        <f xml:space="preserve"> LEFT(Table1[[#This Row],[Atc Code]],3)</f>
        <v>N01</v>
      </c>
    </row>
    <row r="2133" spans="1:24" ht="14.4">
      <c r="A2133" s="14">
        <v>915</v>
      </c>
      <c r="B2133" s="24">
        <v>7592096</v>
      </c>
      <c r="C2133" s="1">
        <v>2137100</v>
      </c>
      <c r="D2133" s="1" t="s">
        <v>25</v>
      </c>
      <c r="E2133" s="36">
        <v>45092</v>
      </c>
      <c r="F2133" s="36">
        <v>45152</v>
      </c>
      <c r="G2133" s="38">
        <f t="shared" si="33"/>
        <v>60</v>
      </c>
      <c r="H2133" s="5">
        <v>45044</v>
      </c>
      <c r="I2133" s="5">
        <v>45152</v>
      </c>
      <c r="J2133" s="1" t="s">
        <v>41</v>
      </c>
      <c r="K2133" s="1" t="s">
        <v>4748</v>
      </c>
      <c r="L2133" s="1" t="s">
        <v>4728</v>
      </c>
      <c r="M2133" s="1" t="s">
        <v>4731</v>
      </c>
      <c r="N2133" s="1" t="s">
        <v>38</v>
      </c>
      <c r="O2133" s="1" t="s">
        <v>818</v>
      </c>
      <c r="P2133" s="1" t="s">
        <v>1048</v>
      </c>
      <c r="Q2133" s="1" t="s">
        <v>1047</v>
      </c>
      <c r="R2133" s="1" t="s">
        <v>128</v>
      </c>
      <c r="S2133" s="1"/>
      <c r="U2133" s="1" t="s">
        <v>130</v>
      </c>
      <c r="V2133" s="1" t="s">
        <v>74</v>
      </c>
      <c r="W2133" s="1" t="str">
        <f>VLOOKUP(Table1[[#This Row],[Obergruppe ATC-Code]],Tabelle3!$A$2:$B$100,2)</f>
        <v>ANÄSTHETIKA</v>
      </c>
      <c r="X2133" s="1" t="str">
        <f xml:space="preserve"> LEFT(Table1[[#This Row],[Atc Code]],3)</f>
        <v>N01</v>
      </c>
    </row>
    <row r="2134" spans="1:24" ht="14.4">
      <c r="A2134" s="14">
        <v>445</v>
      </c>
      <c r="B2134" s="24">
        <v>2749854</v>
      </c>
      <c r="C2134" s="1">
        <v>2137104</v>
      </c>
      <c r="D2134" s="1" t="s">
        <v>25</v>
      </c>
      <c r="E2134" s="36">
        <v>45107</v>
      </c>
      <c r="F2134" s="36">
        <v>45152</v>
      </c>
      <c r="G2134" s="38">
        <f t="shared" si="33"/>
        <v>45</v>
      </c>
      <c r="H2134" s="5">
        <v>45106</v>
      </c>
      <c r="I2134" s="5">
        <v>45152</v>
      </c>
      <c r="J2134" s="1" t="s">
        <v>26</v>
      </c>
      <c r="K2134" s="1" t="s">
        <v>4749</v>
      </c>
      <c r="L2134" s="1" t="s">
        <v>4728</v>
      </c>
      <c r="M2134" s="1" t="s">
        <v>4731</v>
      </c>
      <c r="N2134" s="1" t="s">
        <v>38</v>
      </c>
      <c r="O2134" s="1" t="s">
        <v>818</v>
      </c>
      <c r="P2134" s="1" t="s">
        <v>4684</v>
      </c>
      <c r="Q2134" s="1" t="s">
        <v>4685</v>
      </c>
      <c r="R2134" s="1" t="s">
        <v>33</v>
      </c>
      <c r="S2134" s="1"/>
      <c r="U2134" s="1" t="s">
        <v>130</v>
      </c>
      <c r="V2134" s="1" t="s">
        <v>74</v>
      </c>
      <c r="W2134" s="1" t="str">
        <f>VLOOKUP(Table1[[#This Row],[Obergruppe ATC-Code]],Tabelle3!$A$2:$B$100,2)</f>
        <v>ANÄSTHETIKA</v>
      </c>
      <c r="X2134" s="1" t="str">
        <f xml:space="preserve"> LEFT(Table1[[#This Row],[Atc Code]],3)</f>
        <v>N01</v>
      </c>
    </row>
    <row r="2135" spans="1:24" ht="14.4">
      <c r="A2135" s="14">
        <v>446</v>
      </c>
      <c r="B2135" s="24">
        <v>2749854</v>
      </c>
      <c r="C2135" s="1">
        <v>2156796</v>
      </c>
      <c r="D2135" s="1" t="s">
        <v>25</v>
      </c>
      <c r="E2135" s="36">
        <v>45056</v>
      </c>
      <c r="F2135" s="36">
        <v>45182</v>
      </c>
      <c r="G2135" s="38">
        <f t="shared" si="33"/>
        <v>126</v>
      </c>
      <c r="H2135" s="5">
        <v>45044</v>
      </c>
      <c r="I2135" s="5">
        <v>45182</v>
      </c>
      <c r="J2135" s="1" t="s">
        <v>41</v>
      </c>
      <c r="K2135" s="1" t="s">
        <v>4750</v>
      </c>
      <c r="L2135" s="1" t="s">
        <v>4728</v>
      </c>
      <c r="M2135" s="1" t="s">
        <v>4731</v>
      </c>
      <c r="N2135" s="1" t="s">
        <v>38</v>
      </c>
      <c r="O2135" s="1" t="s">
        <v>818</v>
      </c>
      <c r="P2135" s="1" t="s">
        <v>1048</v>
      </c>
      <c r="Q2135" s="1" t="s">
        <v>1047</v>
      </c>
      <c r="R2135" s="1" t="s">
        <v>128</v>
      </c>
      <c r="S2135" s="1"/>
      <c r="U2135" s="1" t="s">
        <v>130</v>
      </c>
      <c r="V2135" s="1" t="s">
        <v>74</v>
      </c>
      <c r="W2135" s="1" t="str">
        <f>VLOOKUP(Table1[[#This Row],[Obergruppe ATC-Code]],Tabelle3!$A$2:$B$100,2)</f>
        <v>ANÄSTHETIKA</v>
      </c>
      <c r="X2135" s="1" t="str">
        <f xml:space="preserve"> LEFT(Table1[[#This Row],[Atc Code]],3)</f>
        <v>N01</v>
      </c>
    </row>
    <row r="2136" spans="1:24" ht="14.4">
      <c r="A2136" s="14">
        <v>2103</v>
      </c>
      <c r="B2136" s="24" t="s">
        <v>4751</v>
      </c>
      <c r="C2136" s="1">
        <v>3000373</v>
      </c>
      <c r="D2136" s="1" t="s">
        <v>25</v>
      </c>
      <c r="E2136" s="36">
        <v>44746</v>
      </c>
      <c r="F2136" s="36">
        <v>44811</v>
      </c>
      <c r="G2136" s="38">
        <f t="shared" si="33"/>
        <v>65</v>
      </c>
      <c r="H2136" s="5">
        <v>44749</v>
      </c>
      <c r="I2136" s="5">
        <v>44812</v>
      </c>
      <c r="J2136" s="1" t="s">
        <v>26</v>
      </c>
      <c r="K2136" s="1" t="s">
        <v>4752</v>
      </c>
      <c r="L2136" s="1" t="s">
        <v>4753</v>
      </c>
      <c r="M2136" s="1" t="s">
        <v>4754</v>
      </c>
      <c r="N2136" s="1" t="s">
        <v>30</v>
      </c>
      <c r="O2136" s="1" t="s">
        <v>615</v>
      </c>
      <c r="P2136" s="1" t="s">
        <v>623</v>
      </c>
      <c r="Q2136" s="1" t="s">
        <v>621</v>
      </c>
      <c r="R2136" s="1" t="s">
        <v>33</v>
      </c>
      <c r="S2136" s="1" t="s">
        <v>1060</v>
      </c>
      <c r="U2136" s="1" t="s">
        <v>130</v>
      </c>
      <c r="V2136" s="1" t="s">
        <v>74</v>
      </c>
      <c r="W2136" s="1" t="str">
        <f>VLOOKUP(Table1[[#This Row],[Obergruppe ATC-Code]],Tabelle3!$A$2:$B$100,2)</f>
        <v>ANÄSTHETIKA</v>
      </c>
      <c r="X2136" s="1" t="str">
        <f xml:space="preserve"> LEFT(Table1[[#This Row],[Atc Code]],3)</f>
        <v>N01</v>
      </c>
    </row>
    <row r="2137" spans="1:24" ht="14.4">
      <c r="A2137" s="14">
        <v>2104</v>
      </c>
      <c r="B2137" s="24" t="s">
        <v>4755</v>
      </c>
      <c r="C2137" s="1">
        <v>3000373</v>
      </c>
      <c r="D2137" s="1" t="s">
        <v>25</v>
      </c>
      <c r="E2137" s="36">
        <v>44971</v>
      </c>
      <c r="F2137" s="36">
        <v>44992</v>
      </c>
      <c r="G2137" s="38">
        <f t="shared" si="33"/>
        <v>21</v>
      </c>
      <c r="H2137" s="5">
        <v>44979</v>
      </c>
      <c r="I2137" s="5">
        <v>44995</v>
      </c>
      <c r="J2137" s="1" t="s">
        <v>26</v>
      </c>
      <c r="K2137" s="1" t="s">
        <v>4752</v>
      </c>
      <c r="L2137" s="1" t="s">
        <v>4753</v>
      </c>
      <c r="M2137" s="1" t="s">
        <v>4754</v>
      </c>
      <c r="N2137" s="1" t="s">
        <v>30</v>
      </c>
      <c r="O2137" s="1" t="s">
        <v>615</v>
      </c>
      <c r="P2137" s="1">
        <v>349542470</v>
      </c>
      <c r="Q2137" s="1" t="s">
        <v>621</v>
      </c>
      <c r="R2137" s="1" t="s">
        <v>33</v>
      </c>
      <c r="S2137" s="1"/>
      <c r="U2137" s="1" t="s">
        <v>35</v>
      </c>
      <c r="V2137" s="1" t="s">
        <v>74</v>
      </c>
      <c r="W2137" s="1" t="str">
        <f>VLOOKUP(Table1[[#This Row],[Obergruppe ATC-Code]],Tabelle3!$A$2:$B$100,2)</f>
        <v>ANÄSTHETIKA</v>
      </c>
      <c r="X2137" s="1" t="str">
        <f xml:space="preserve"> LEFT(Table1[[#This Row],[Atc Code]],3)</f>
        <v>N01</v>
      </c>
    </row>
    <row r="2138" spans="1:24" ht="14.4">
      <c r="A2138" s="14">
        <v>616</v>
      </c>
      <c r="B2138" s="24">
        <v>4029940</v>
      </c>
      <c r="C2138" s="1">
        <v>3000373</v>
      </c>
      <c r="D2138" s="1" t="s">
        <v>25</v>
      </c>
      <c r="E2138" s="36">
        <v>45021</v>
      </c>
      <c r="F2138" s="36">
        <v>45072</v>
      </c>
      <c r="G2138" s="38">
        <f t="shared" si="33"/>
        <v>51</v>
      </c>
      <c r="H2138" s="5">
        <v>45030</v>
      </c>
      <c r="I2138" s="5">
        <v>45072</v>
      </c>
      <c r="J2138" s="1" t="s">
        <v>26</v>
      </c>
      <c r="K2138" s="1" t="s">
        <v>4752</v>
      </c>
      <c r="L2138" s="1" t="s">
        <v>4753</v>
      </c>
      <c r="M2138" s="1" t="s">
        <v>4756</v>
      </c>
      <c r="N2138" s="1" t="s">
        <v>30</v>
      </c>
      <c r="O2138" s="1" t="s">
        <v>615</v>
      </c>
      <c r="P2138" s="1">
        <v>349542470</v>
      </c>
      <c r="Q2138" s="1" t="s">
        <v>621</v>
      </c>
      <c r="R2138" s="1" t="s">
        <v>33</v>
      </c>
      <c r="S2138" s="1"/>
      <c r="T2138" s="1" t="s">
        <v>4757</v>
      </c>
      <c r="U2138" s="1" t="s">
        <v>35</v>
      </c>
      <c r="V2138" s="1" t="s">
        <v>74</v>
      </c>
      <c r="W2138" s="1" t="str">
        <f>VLOOKUP(Table1[[#This Row],[Obergruppe ATC-Code]],Tabelle3!$A$2:$B$100,2)</f>
        <v>ANÄSTHETIKA</v>
      </c>
      <c r="X2138" s="1" t="str">
        <f xml:space="preserve"> LEFT(Table1[[#This Row],[Atc Code]],3)</f>
        <v>N01</v>
      </c>
    </row>
    <row r="2139" spans="1:24" ht="14.4">
      <c r="A2139" s="14">
        <v>2457</v>
      </c>
      <c r="B2139" s="24" t="s">
        <v>4758</v>
      </c>
      <c r="C2139" s="1">
        <v>2175572</v>
      </c>
      <c r="D2139" s="1" t="s">
        <v>25</v>
      </c>
      <c r="E2139" s="36">
        <v>44797</v>
      </c>
      <c r="F2139" s="36">
        <v>45092</v>
      </c>
      <c r="G2139" s="38">
        <f t="shared" si="33"/>
        <v>295</v>
      </c>
      <c r="H2139" s="5">
        <v>44797</v>
      </c>
      <c r="I2139" s="5">
        <v>45092</v>
      </c>
      <c r="J2139" s="1" t="s">
        <v>41</v>
      </c>
      <c r="K2139" s="1" t="s">
        <v>4759</v>
      </c>
      <c r="L2139" s="1" t="s">
        <v>4753</v>
      </c>
      <c r="M2139" s="1" t="s">
        <v>4760</v>
      </c>
      <c r="N2139" s="1" t="s">
        <v>38</v>
      </c>
      <c r="O2139" s="1" t="s">
        <v>1985</v>
      </c>
      <c r="Q2139" s="1" t="s">
        <v>2102</v>
      </c>
      <c r="R2139" s="1" t="s">
        <v>128</v>
      </c>
      <c r="S2139" s="1"/>
      <c r="U2139" s="1" t="s">
        <v>130</v>
      </c>
      <c r="V2139" s="1" t="s">
        <v>1966</v>
      </c>
      <c r="W2139" s="1" t="str">
        <f>VLOOKUP(Table1[[#This Row],[Obergruppe ATC-Code]],Tabelle3!$A$2:$B$100,2)</f>
        <v>ANÄSTHETIKA</v>
      </c>
      <c r="X2139" s="1" t="str">
        <f xml:space="preserve"> LEFT(Table1[[#This Row],[Atc Code]],3)</f>
        <v>N01</v>
      </c>
    </row>
    <row r="2140" spans="1:24" ht="14.4">
      <c r="A2140" s="14">
        <v>480</v>
      </c>
      <c r="B2140" s="24">
        <v>3070283</v>
      </c>
      <c r="C2140" s="1">
        <v>84646</v>
      </c>
      <c r="D2140" s="1" t="s">
        <v>25</v>
      </c>
      <c r="E2140" s="36">
        <v>44409</v>
      </c>
      <c r="F2140" s="36">
        <v>44483</v>
      </c>
      <c r="G2140" s="38">
        <f t="shared" si="33"/>
        <v>74</v>
      </c>
      <c r="H2140" s="5">
        <v>44334</v>
      </c>
      <c r="I2140" s="5">
        <v>44483</v>
      </c>
      <c r="J2140" s="1" t="s">
        <v>41</v>
      </c>
      <c r="K2140" s="1" t="s">
        <v>4761</v>
      </c>
      <c r="L2140" s="1" t="s">
        <v>4762</v>
      </c>
      <c r="M2140" s="1" t="s">
        <v>4763</v>
      </c>
      <c r="N2140" s="1" t="s">
        <v>30</v>
      </c>
      <c r="O2140" s="1" t="s">
        <v>818</v>
      </c>
      <c r="P2140" s="1">
        <v>498993083800</v>
      </c>
      <c r="Q2140" s="1" t="s">
        <v>2215</v>
      </c>
      <c r="R2140" s="1" t="s">
        <v>65</v>
      </c>
      <c r="S2140" s="1"/>
      <c r="T2140" s="1" t="s">
        <v>4764</v>
      </c>
      <c r="U2140" s="1" t="s">
        <v>57</v>
      </c>
      <c r="V2140" s="1" t="s">
        <v>74</v>
      </c>
      <c r="W2140" s="1" t="str">
        <f>VLOOKUP(Table1[[#This Row],[Obergruppe ATC-Code]],Tabelle3!$A$2:$B$100,2)</f>
        <v>ANÄSTHETIKA</v>
      </c>
      <c r="X2140" s="1" t="str">
        <f xml:space="preserve"> LEFT(Table1[[#This Row],[Atc Code]],3)</f>
        <v>N01</v>
      </c>
    </row>
    <row r="2141" spans="1:24" ht="14.4">
      <c r="A2141" s="14">
        <v>496</v>
      </c>
      <c r="B2141" s="24">
        <v>3079396</v>
      </c>
      <c r="C2141" s="1">
        <v>84586</v>
      </c>
      <c r="D2141" s="1" t="s">
        <v>25</v>
      </c>
      <c r="E2141" s="36">
        <v>44543</v>
      </c>
      <c r="F2141" s="36">
        <v>44691</v>
      </c>
      <c r="G2141" s="38">
        <f t="shared" si="33"/>
        <v>148</v>
      </c>
      <c r="H2141" s="5">
        <v>44537</v>
      </c>
      <c r="I2141" s="5">
        <v>44691</v>
      </c>
      <c r="J2141" s="1" t="s">
        <v>26</v>
      </c>
      <c r="K2141" s="1" t="s">
        <v>4765</v>
      </c>
      <c r="L2141" s="1" t="s">
        <v>4762</v>
      </c>
      <c r="M2141" s="1" t="s">
        <v>4763</v>
      </c>
      <c r="N2141" s="1" t="s">
        <v>30</v>
      </c>
      <c r="O2141" s="1" t="s">
        <v>818</v>
      </c>
      <c r="P2141" s="1" t="s">
        <v>2217</v>
      </c>
      <c r="Q2141" s="1" t="s">
        <v>1047</v>
      </c>
      <c r="R2141" s="1" t="s">
        <v>33</v>
      </c>
      <c r="S2141" s="1"/>
      <c r="U2141" s="1" t="s">
        <v>130</v>
      </c>
      <c r="V2141" s="1" t="s">
        <v>74</v>
      </c>
      <c r="W2141" s="1" t="str">
        <f>VLOOKUP(Table1[[#This Row],[Obergruppe ATC-Code]],Tabelle3!$A$2:$B$100,2)</f>
        <v>ANÄSTHETIKA</v>
      </c>
      <c r="X2141" s="1" t="str">
        <f xml:space="preserve"> LEFT(Table1[[#This Row],[Atc Code]],3)</f>
        <v>N01</v>
      </c>
    </row>
    <row r="2142" spans="1:24" ht="14.4">
      <c r="A2142" s="14">
        <v>492</v>
      </c>
      <c r="B2142" s="24">
        <v>3079350</v>
      </c>
      <c r="C2142" s="1">
        <v>84557</v>
      </c>
      <c r="D2142" s="1" t="s">
        <v>25</v>
      </c>
      <c r="E2142" s="36">
        <v>44617</v>
      </c>
      <c r="F2142" s="36">
        <v>44704</v>
      </c>
      <c r="G2142" s="38">
        <f t="shared" si="33"/>
        <v>87</v>
      </c>
      <c r="H2142" s="5">
        <v>44610</v>
      </c>
      <c r="I2142" s="5">
        <v>44706</v>
      </c>
      <c r="J2142" s="1" t="s">
        <v>41</v>
      </c>
      <c r="K2142" s="1" t="s">
        <v>4766</v>
      </c>
      <c r="L2142" s="1" t="s">
        <v>4762</v>
      </c>
      <c r="M2142" s="1" t="s">
        <v>4763</v>
      </c>
      <c r="N2142" s="1" t="s">
        <v>30</v>
      </c>
      <c r="O2142" s="1" t="s">
        <v>818</v>
      </c>
      <c r="P2142" s="1" t="s">
        <v>1048</v>
      </c>
      <c r="Q2142" s="1" t="s">
        <v>1047</v>
      </c>
      <c r="R2142" s="1" t="s">
        <v>26</v>
      </c>
      <c r="S2142" s="1"/>
      <c r="U2142" s="1" t="s">
        <v>130</v>
      </c>
      <c r="V2142" s="1" t="s">
        <v>74</v>
      </c>
      <c r="W2142" s="1" t="str">
        <f>VLOOKUP(Table1[[#This Row],[Obergruppe ATC-Code]],Tabelle3!$A$2:$B$100,2)</f>
        <v>ANÄSTHETIKA</v>
      </c>
      <c r="X2142" s="1" t="str">
        <f xml:space="preserve"> LEFT(Table1[[#This Row],[Atc Code]],3)</f>
        <v>N01</v>
      </c>
    </row>
    <row r="2143" spans="1:24" ht="14.4">
      <c r="A2143" s="14">
        <v>483</v>
      </c>
      <c r="B2143" s="24">
        <v>3070283</v>
      </c>
      <c r="C2143" s="1">
        <v>84646</v>
      </c>
      <c r="D2143" s="1" t="s">
        <v>25</v>
      </c>
      <c r="E2143" s="36">
        <v>44571</v>
      </c>
      <c r="F2143" s="36">
        <v>44704</v>
      </c>
      <c r="G2143" s="38">
        <f t="shared" si="33"/>
        <v>133</v>
      </c>
      <c r="H2143" s="5">
        <v>44566</v>
      </c>
      <c r="I2143" s="5">
        <v>44706</v>
      </c>
      <c r="J2143" s="1" t="s">
        <v>26</v>
      </c>
      <c r="K2143" s="1" t="s">
        <v>4761</v>
      </c>
      <c r="L2143" s="1" t="s">
        <v>4762</v>
      </c>
      <c r="M2143" s="1" t="s">
        <v>4763</v>
      </c>
      <c r="N2143" s="1" t="s">
        <v>30</v>
      </c>
      <c r="O2143" s="1" t="s">
        <v>818</v>
      </c>
      <c r="P2143" s="1" t="s">
        <v>2217</v>
      </c>
      <c r="Q2143" s="1" t="s">
        <v>1047</v>
      </c>
      <c r="R2143" s="1" t="s">
        <v>33</v>
      </c>
      <c r="S2143" s="1"/>
      <c r="U2143" s="1" t="s">
        <v>130</v>
      </c>
      <c r="V2143" s="1" t="s">
        <v>74</v>
      </c>
      <c r="W2143" s="1" t="str">
        <f>VLOOKUP(Table1[[#This Row],[Obergruppe ATC-Code]],Tabelle3!$A$2:$B$100,2)</f>
        <v>ANÄSTHETIKA</v>
      </c>
      <c r="X2143" s="1" t="str">
        <f xml:space="preserve"> LEFT(Table1[[#This Row],[Atc Code]],3)</f>
        <v>N01</v>
      </c>
    </row>
    <row r="2144" spans="1:24" ht="14.4">
      <c r="A2144" s="14">
        <v>481</v>
      </c>
      <c r="B2144" s="24">
        <v>3070283</v>
      </c>
      <c r="C2144" s="1">
        <v>84646</v>
      </c>
      <c r="D2144" s="1" t="s">
        <v>25</v>
      </c>
      <c r="E2144" s="36">
        <v>44729</v>
      </c>
      <c r="F2144" s="36">
        <v>44781</v>
      </c>
      <c r="G2144" s="38">
        <f t="shared" si="33"/>
        <v>52</v>
      </c>
      <c r="H2144" s="5">
        <v>44721</v>
      </c>
      <c r="I2144" s="5">
        <v>44781</v>
      </c>
      <c r="J2144" s="1" t="s">
        <v>26</v>
      </c>
      <c r="K2144" s="1" t="s">
        <v>4761</v>
      </c>
      <c r="L2144" s="1" t="s">
        <v>4762</v>
      </c>
      <c r="M2144" s="1" t="s">
        <v>4763</v>
      </c>
      <c r="N2144" s="1" t="s">
        <v>38</v>
      </c>
      <c r="O2144" s="1" t="s">
        <v>818</v>
      </c>
      <c r="P2144" s="1" t="s">
        <v>1048</v>
      </c>
      <c r="Q2144" s="1" t="s">
        <v>1047</v>
      </c>
      <c r="R2144" s="1" t="s">
        <v>33</v>
      </c>
      <c r="S2144" s="1"/>
      <c r="T2144" s="1" t="s">
        <v>4764</v>
      </c>
      <c r="U2144" s="1" t="s">
        <v>130</v>
      </c>
      <c r="V2144" s="1" t="s">
        <v>74</v>
      </c>
      <c r="W2144" s="1" t="str">
        <f>VLOOKUP(Table1[[#This Row],[Obergruppe ATC-Code]],Tabelle3!$A$2:$B$100,2)</f>
        <v>ANÄSTHETIKA</v>
      </c>
      <c r="X2144" s="1" t="str">
        <f xml:space="preserve"> LEFT(Table1[[#This Row],[Atc Code]],3)</f>
        <v>N01</v>
      </c>
    </row>
    <row r="2145" spans="1:24" ht="14.4">
      <c r="A2145" s="14">
        <v>495</v>
      </c>
      <c r="B2145" s="24">
        <v>3079396</v>
      </c>
      <c r="C2145" s="1">
        <v>84586</v>
      </c>
      <c r="D2145" s="1" t="s">
        <v>25</v>
      </c>
      <c r="E2145" s="36">
        <v>44788</v>
      </c>
      <c r="F2145" s="36">
        <v>44790</v>
      </c>
      <c r="G2145" s="38">
        <f t="shared" si="33"/>
        <v>2</v>
      </c>
      <c r="H2145" s="5">
        <v>44783</v>
      </c>
      <c r="I2145" s="5">
        <v>44790</v>
      </c>
      <c r="J2145" s="1" t="s">
        <v>41</v>
      </c>
      <c r="K2145" s="1" t="s">
        <v>4765</v>
      </c>
      <c r="L2145" s="1" t="s">
        <v>4762</v>
      </c>
      <c r="M2145" s="1" t="s">
        <v>4763</v>
      </c>
      <c r="N2145" s="1" t="s">
        <v>38</v>
      </c>
      <c r="O2145" s="1" t="s">
        <v>818</v>
      </c>
      <c r="P2145" s="1" t="s">
        <v>1048</v>
      </c>
      <c r="Q2145" s="1" t="s">
        <v>1047</v>
      </c>
      <c r="R2145" s="1" t="s">
        <v>128</v>
      </c>
      <c r="S2145" s="1"/>
      <c r="U2145" s="1" t="s">
        <v>130</v>
      </c>
      <c r="V2145" s="1" t="s">
        <v>74</v>
      </c>
      <c r="W2145" s="1" t="str">
        <f>VLOOKUP(Table1[[#This Row],[Obergruppe ATC-Code]],Tabelle3!$A$2:$B$100,2)</f>
        <v>ANÄSTHETIKA</v>
      </c>
      <c r="X2145" s="1" t="str">
        <f xml:space="preserve"> LEFT(Table1[[#This Row],[Atc Code]],3)</f>
        <v>N01</v>
      </c>
    </row>
    <row r="2146" spans="1:24" ht="14.4">
      <c r="A2146" s="14">
        <v>493</v>
      </c>
      <c r="B2146" s="24">
        <v>3079396</v>
      </c>
      <c r="C2146" s="1">
        <v>84586</v>
      </c>
      <c r="D2146" s="1" t="s">
        <v>25</v>
      </c>
      <c r="E2146" s="36">
        <v>44859</v>
      </c>
      <c r="F2146" s="36">
        <v>44868</v>
      </c>
      <c r="G2146" s="38">
        <f t="shared" si="33"/>
        <v>9</v>
      </c>
      <c r="H2146" s="5">
        <v>44851</v>
      </c>
      <c r="I2146" s="5">
        <v>44868</v>
      </c>
      <c r="J2146" s="1" t="s">
        <v>41</v>
      </c>
      <c r="K2146" s="1" t="s">
        <v>4765</v>
      </c>
      <c r="L2146" s="1" t="s">
        <v>4762</v>
      </c>
      <c r="M2146" s="1" t="s">
        <v>4763</v>
      </c>
      <c r="N2146" s="1" t="s">
        <v>30</v>
      </c>
      <c r="O2146" s="1" t="s">
        <v>818</v>
      </c>
      <c r="P2146" s="1" t="s">
        <v>4767</v>
      </c>
      <c r="Q2146" s="1" t="s">
        <v>1047</v>
      </c>
      <c r="R2146" s="1" t="s">
        <v>128</v>
      </c>
      <c r="S2146" s="1"/>
      <c r="T2146" s="1" t="s">
        <v>4768</v>
      </c>
      <c r="U2146" s="1" t="s">
        <v>130</v>
      </c>
      <c r="V2146" s="1" t="s">
        <v>74</v>
      </c>
      <c r="W2146" s="1" t="str">
        <f>VLOOKUP(Table1[[#This Row],[Obergruppe ATC-Code]],Tabelle3!$A$2:$B$100,2)</f>
        <v>ANÄSTHETIKA</v>
      </c>
      <c r="X2146" s="1" t="str">
        <f xml:space="preserve"> LEFT(Table1[[#This Row],[Atc Code]],3)</f>
        <v>N01</v>
      </c>
    </row>
    <row r="2147" spans="1:24" ht="14.4">
      <c r="A2147" s="14">
        <v>494</v>
      </c>
      <c r="B2147" s="24">
        <v>3079396</v>
      </c>
      <c r="C2147" s="1">
        <v>84586</v>
      </c>
      <c r="D2147" s="1" t="s">
        <v>102</v>
      </c>
      <c r="E2147" s="36">
        <v>44910</v>
      </c>
      <c r="F2147" s="36">
        <v>45443</v>
      </c>
      <c r="G2147" s="38">
        <f t="shared" si="33"/>
        <v>533</v>
      </c>
      <c r="H2147" s="5">
        <v>44893</v>
      </c>
      <c r="I2147" s="5">
        <v>45168</v>
      </c>
      <c r="J2147" s="1" t="s">
        <v>41</v>
      </c>
      <c r="K2147" s="1" t="s">
        <v>4765</v>
      </c>
      <c r="L2147" s="1" t="s">
        <v>4762</v>
      </c>
      <c r="M2147" s="1" t="s">
        <v>4763</v>
      </c>
      <c r="N2147" s="1" t="s">
        <v>38</v>
      </c>
      <c r="O2147" s="1" t="s">
        <v>818</v>
      </c>
      <c r="P2147" s="1" t="s">
        <v>4767</v>
      </c>
      <c r="Q2147" s="1" t="s">
        <v>1047</v>
      </c>
      <c r="R2147" s="1" t="s">
        <v>128</v>
      </c>
      <c r="S2147" s="1"/>
      <c r="U2147" s="1" t="s">
        <v>130</v>
      </c>
      <c r="V2147" s="1" t="s">
        <v>74</v>
      </c>
      <c r="W2147" s="1" t="str">
        <f>VLOOKUP(Table1[[#This Row],[Obergruppe ATC-Code]],Tabelle3!$A$2:$B$100,2)</f>
        <v>ANÄSTHETIKA</v>
      </c>
      <c r="X2147" s="1" t="str">
        <f xml:space="preserve"> LEFT(Table1[[#This Row],[Atc Code]],3)</f>
        <v>N01</v>
      </c>
    </row>
    <row r="2148" spans="1:24" ht="14.4">
      <c r="A2148" s="14">
        <v>491</v>
      </c>
      <c r="B2148" s="24">
        <v>3079350</v>
      </c>
      <c r="C2148" s="1">
        <v>84557</v>
      </c>
      <c r="D2148" s="1" t="s">
        <v>102</v>
      </c>
      <c r="E2148" s="36">
        <v>44788</v>
      </c>
      <c r="F2148" s="36">
        <v>45443</v>
      </c>
      <c r="G2148" s="38">
        <f t="shared" si="33"/>
        <v>655</v>
      </c>
      <c r="H2148" s="5">
        <v>44750</v>
      </c>
      <c r="I2148" s="5">
        <v>45168</v>
      </c>
      <c r="J2148" s="1" t="s">
        <v>41</v>
      </c>
      <c r="K2148" s="1" t="s">
        <v>4766</v>
      </c>
      <c r="L2148" s="1" t="s">
        <v>4762</v>
      </c>
      <c r="M2148" s="1" t="s">
        <v>4763</v>
      </c>
      <c r="N2148" s="1" t="s">
        <v>30</v>
      </c>
      <c r="O2148" s="1" t="s">
        <v>818</v>
      </c>
      <c r="P2148" s="1" t="s">
        <v>1048</v>
      </c>
      <c r="Q2148" s="1" t="s">
        <v>1047</v>
      </c>
      <c r="R2148" s="1" t="s">
        <v>128</v>
      </c>
      <c r="S2148" s="1"/>
      <c r="U2148" s="1" t="s">
        <v>130</v>
      </c>
      <c r="V2148" s="1" t="s">
        <v>74</v>
      </c>
      <c r="W2148" s="1" t="str">
        <f>VLOOKUP(Table1[[#This Row],[Obergruppe ATC-Code]],Tabelle3!$A$2:$B$100,2)</f>
        <v>ANÄSTHETIKA</v>
      </c>
      <c r="X2148" s="1" t="str">
        <f xml:space="preserve"> LEFT(Table1[[#This Row],[Atc Code]],3)</f>
        <v>N01</v>
      </c>
    </row>
    <row r="2149" spans="1:24" ht="14.4">
      <c r="A2149" s="14">
        <v>482</v>
      </c>
      <c r="B2149" s="24">
        <v>3070283</v>
      </c>
      <c r="C2149" s="1">
        <v>84646</v>
      </c>
      <c r="D2149" s="1" t="s">
        <v>102</v>
      </c>
      <c r="E2149" s="36">
        <v>44896</v>
      </c>
      <c r="F2149" s="36">
        <v>45443</v>
      </c>
      <c r="G2149" s="38">
        <f t="shared" si="33"/>
        <v>547</v>
      </c>
      <c r="H2149" s="5">
        <v>44893</v>
      </c>
      <c r="I2149" s="5">
        <v>45168</v>
      </c>
      <c r="J2149" s="1" t="s">
        <v>41</v>
      </c>
      <c r="K2149" s="1" t="s">
        <v>4761</v>
      </c>
      <c r="L2149" s="1" t="s">
        <v>4762</v>
      </c>
      <c r="M2149" s="1" t="s">
        <v>4763</v>
      </c>
      <c r="N2149" s="1" t="s">
        <v>38</v>
      </c>
      <c r="O2149" s="1" t="s">
        <v>818</v>
      </c>
      <c r="P2149" s="1" t="s">
        <v>4767</v>
      </c>
      <c r="Q2149" s="1" t="s">
        <v>1047</v>
      </c>
      <c r="R2149" s="1" t="s">
        <v>128</v>
      </c>
      <c r="S2149" s="1"/>
      <c r="U2149" s="1" t="s">
        <v>130</v>
      </c>
      <c r="V2149" s="1" t="s">
        <v>74</v>
      </c>
      <c r="W2149" s="1" t="str">
        <f>VLOOKUP(Table1[[#This Row],[Obergruppe ATC-Code]],Tabelle3!$A$2:$B$100,2)</f>
        <v>ANÄSTHETIKA</v>
      </c>
      <c r="X2149" s="1" t="str">
        <f xml:space="preserve"> LEFT(Table1[[#This Row],[Atc Code]],3)</f>
        <v>N01</v>
      </c>
    </row>
    <row r="2150" spans="1:24" ht="14.4">
      <c r="A2150" s="14">
        <v>947</v>
      </c>
      <c r="B2150" s="24">
        <v>7721990</v>
      </c>
      <c r="C2150" s="1">
        <v>1449848</v>
      </c>
      <c r="D2150" s="1" t="s">
        <v>25</v>
      </c>
      <c r="E2150" s="36">
        <v>44810</v>
      </c>
      <c r="F2150" s="36">
        <v>45014</v>
      </c>
      <c r="G2150" s="38">
        <f t="shared" si="33"/>
        <v>204</v>
      </c>
      <c r="H2150" s="5">
        <v>44963</v>
      </c>
      <c r="I2150" s="5">
        <v>45014</v>
      </c>
      <c r="J2150" s="1" t="s">
        <v>41</v>
      </c>
      <c r="K2150" s="1" t="s">
        <v>4769</v>
      </c>
      <c r="L2150" s="1" t="s">
        <v>4770</v>
      </c>
      <c r="M2150" s="1" t="s">
        <v>4771</v>
      </c>
      <c r="N2150" s="1" t="s">
        <v>38</v>
      </c>
      <c r="O2150" s="1" t="s">
        <v>4772</v>
      </c>
      <c r="P2150" s="1" t="s">
        <v>4773</v>
      </c>
      <c r="Q2150" s="1" t="s">
        <v>4774</v>
      </c>
      <c r="R2150" s="1" t="s">
        <v>128</v>
      </c>
      <c r="S2150" s="1"/>
      <c r="U2150" s="1" t="s">
        <v>130</v>
      </c>
      <c r="V2150" s="1" t="s">
        <v>74</v>
      </c>
      <c r="W2150" s="1" t="str">
        <f>VLOOKUP(Table1[[#This Row],[Obergruppe ATC-Code]],Tabelle3!$A$2:$B$100,2)</f>
        <v>ANÄSTHETIKA</v>
      </c>
      <c r="X2150" s="1" t="str">
        <f xml:space="preserve"> LEFT(Table1[[#This Row],[Atc Code]],3)</f>
        <v>N01</v>
      </c>
    </row>
    <row r="2151" spans="1:24" ht="14.4">
      <c r="A2151" s="14">
        <v>835</v>
      </c>
      <c r="B2151" s="24">
        <v>7008080</v>
      </c>
      <c r="C2151" s="1">
        <v>124765</v>
      </c>
      <c r="D2151" s="1" t="s">
        <v>25</v>
      </c>
      <c r="E2151" s="36">
        <v>45050</v>
      </c>
      <c r="F2151" s="36">
        <v>45121</v>
      </c>
      <c r="G2151" s="38">
        <f t="shared" si="33"/>
        <v>71</v>
      </c>
      <c r="H2151" s="5">
        <v>45050</v>
      </c>
      <c r="I2151" s="5">
        <v>45121</v>
      </c>
      <c r="J2151" s="1" t="s">
        <v>41</v>
      </c>
      <c r="K2151" s="1" t="s">
        <v>4775</v>
      </c>
      <c r="L2151" s="1" t="s">
        <v>4770</v>
      </c>
      <c r="M2151" s="1" t="s">
        <v>4771</v>
      </c>
      <c r="N2151" s="1" t="s">
        <v>30</v>
      </c>
      <c r="O2151" s="1" t="s">
        <v>4772</v>
      </c>
      <c r="P2151" s="1" t="s">
        <v>4773</v>
      </c>
      <c r="Q2151" s="1" t="s">
        <v>4774</v>
      </c>
      <c r="R2151" s="1" t="s">
        <v>128</v>
      </c>
      <c r="S2151" s="1"/>
      <c r="U2151" s="1" t="s">
        <v>130</v>
      </c>
      <c r="V2151" s="1" t="s">
        <v>74</v>
      </c>
      <c r="W2151" s="1" t="str">
        <f>VLOOKUP(Table1[[#This Row],[Obergruppe ATC-Code]],Tabelle3!$A$2:$B$100,2)</f>
        <v>ANÄSTHETIKA</v>
      </c>
      <c r="X2151" s="1" t="str">
        <f xml:space="preserve"> LEFT(Table1[[#This Row],[Atc Code]],3)</f>
        <v>N01</v>
      </c>
    </row>
    <row r="2152" spans="1:24" ht="14.4">
      <c r="A2152" s="14">
        <v>834</v>
      </c>
      <c r="B2152" s="24">
        <v>7007465</v>
      </c>
      <c r="C2152" s="1">
        <v>85781</v>
      </c>
      <c r="D2152" s="1" t="s">
        <v>25</v>
      </c>
      <c r="E2152" s="36">
        <v>44810</v>
      </c>
      <c r="F2152" s="36">
        <v>45121</v>
      </c>
      <c r="G2152" s="38">
        <f t="shared" si="33"/>
        <v>311</v>
      </c>
      <c r="H2152" s="5">
        <v>44963</v>
      </c>
      <c r="I2152" s="5">
        <v>45121</v>
      </c>
      <c r="J2152" s="1" t="s">
        <v>41</v>
      </c>
      <c r="K2152" s="1" t="s">
        <v>4776</v>
      </c>
      <c r="L2152" s="1" t="s">
        <v>4770</v>
      </c>
      <c r="M2152" s="1" t="s">
        <v>4771</v>
      </c>
      <c r="N2152" s="1" t="s">
        <v>30</v>
      </c>
      <c r="O2152" s="1" t="s">
        <v>4772</v>
      </c>
      <c r="P2152" s="1" t="s">
        <v>4773</v>
      </c>
      <c r="Q2152" s="1" t="s">
        <v>4774</v>
      </c>
      <c r="R2152" s="1" t="s">
        <v>128</v>
      </c>
      <c r="S2152" s="1"/>
      <c r="U2152" s="1" t="s">
        <v>130</v>
      </c>
      <c r="V2152" s="1" t="s">
        <v>74</v>
      </c>
      <c r="W2152" s="1" t="str">
        <f>VLOOKUP(Table1[[#This Row],[Obergruppe ATC-Code]],Tabelle3!$A$2:$B$100,2)</f>
        <v>ANÄSTHETIKA</v>
      </c>
      <c r="X2152" s="1" t="str">
        <f xml:space="preserve"> LEFT(Table1[[#This Row],[Atc Code]],3)</f>
        <v>N01</v>
      </c>
    </row>
    <row r="2153" spans="1:24" ht="14.4">
      <c r="A2153" s="14">
        <v>946</v>
      </c>
      <c r="B2153" s="24">
        <v>7721984</v>
      </c>
      <c r="C2153" s="1">
        <v>1449914</v>
      </c>
      <c r="D2153" s="1" t="s">
        <v>25</v>
      </c>
      <c r="E2153" s="36">
        <v>44952</v>
      </c>
      <c r="F2153" s="36">
        <v>45203</v>
      </c>
      <c r="G2153" s="38">
        <f t="shared" si="33"/>
        <v>251</v>
      </c>
      <c r="H2153" s="5">
        <v>44963</v>
      </c>
      <c r="I2153" s="5">
        <v>45203</v>
      </c>
      <c r="J2153" s="1" t="s">
        <v>41</v>
      </c>
      <c r="K2153" s="1" t="s">
        <v>4777</v>
      </c>
      <c r="L2153" s="1" t="s">
        <v>4770</v>
      </c>
      <c r="M2153" s="1" t="s">
        <v>4771</v>
      </c>
      <c r="N2153" s="1" t="s">
        <v>38</v>
      </c>
      <c r="O2153" s="1" t="s">
        <v>4772</v>
      </c>
      <c r="P2153" s="1" t="s">
        <v>4773</v>
      </c>
      <c r="Q2153" s="1" t="s">
        <v>4774</v>
      </c>
      <c r="R2153" s="1" t="s">
        <v>128</v>
      </c>
      <c r="S2153" s="1" t="s">
        <v>4778</v>
      </c>
      <c r="U2153" s="1" t="s">
        <v>130</v>
      </c>
      <c r="V2153" s="1" t="s">
        <v>74</v>
      </c>
      <c r="W2153" s="1" t="str">
        <f>VLOOKUP(Table1[[#This Row],[Obergruppe ATC-Code]],Tabelle3!$A$2:$B$100,2)</f>
        <v>ANÄSTHETIKA</v>
      </c>
      <c r="X2153" s="1" t="str">
        <f xml:space="preserve"> LEFT(Table1[[#This Row],[Atc Code]],3)</f>
        <v>N01</v>
      </c>
    </row>
    <row r="2154" spans="1:24" ht="14.4">
      <c r="A2154" s="14">
        <v>305</v>
      </c>
      <c r="B2154" s="24">
        <v>1913843</v>
      </c>
      <c r="C2154" s="1">
        <v>1463512</v>
      </c>
      <c r="D2154" s="1" t="s">
        <v>102</v>
      </c>
      <c r="E2154" s="36">
        <v>44803</v>
      </c>
      <c r="F2154" s="36">
        <v>45231</v>
      </c>
      <c r="G2154" s="38">
        <f t="shared" si="33"/>
        <v>428</v>
      </c>
      <c r="H2154" s="5">
        <v>44963</v>
      </c>
      <c r="I2154" s="5">
        <v>45203</v>
      </c>
      <c r="J2154" s="1" t="s">
        <v>41</v>
      </c>
      <c r="K2154" s="1" t="s">
        <v>4779</v>
      </c>
      <c r="L2154" s="1" t="s">
        <v>4770</v>
      </c>
      <c r="M2154" s="1" t="s">
        <v>4771</v>
      </c>
      <c r="N2154" s="1" t="s">
        <v>30</v>
      </c>
      <c r="O2154" s="1" t="s">
        <v>4772</v>
      </c>
      <c r="P2154" s="1" t="s">
        <v>4773</v>
      </c>
      <c r="Q2154" s="1" t="s">
        <v>4774</v>
      </c>
      <c r="R2154" s="1" t="s">
        <v>128</v>
      </c>
      <c r="S2154" s="1"/>
      <c r="U2154" s="1" t="s">
        <v>130</v>
      </c>
      <c r="V2154" s="1" t="s">
        <v>74</v>
      </c>
      <c r="W2154" s="1" t="str">
        <f>VLOOKUP(Table1[[#This Row],[Obergruppe ATC-Code]],Tabelle3!$A$2:$B$100,2)</f>
        <v>ANÄSTHETIKA</v>
      </c>
      <c r="X2154" s="1" t="str">
        <f xml:space="preserve"> LEFT(Table1[[#This Row],[Atc Code]],3)</f>
        <v>N01</v>
      </c>
    </row>
    <row r="2155" spans="1:24" ht="14.4">
      <c r="A2155" s="14">
        <v>726</v>
      </c>
      <c r="B2155" s="24">
        <v>4946286</v>
      </c>
      <c r="C2155" s="1">
        <v>2104034</v>
      </c>
      <c r="D2155" s="1" t="s">
        <v>25</v>
      </c>
      <c r="E2155" s="36">
        <v>43617</v>
      </c>
      <c r="F2155" s="36">
        <v>43677</v>
      </c>
      <c r="G2155" s="38">
        <f t="shared" si="33"/>
        <v>60</v>
      </c>
      <c r="H2155" s="5">
        <v>43633</v>
      </c>
      <c r="I2155" s="5">
        <v>43676</v>
      </c>
      <c r="J2155" s="1" t="s">
        <v>41</v>
      </c>
      <c r="K2155" s="1" t="s">
        <v>4780</v>
      </c>
      <c r="L2155" s="1" t="s">
        <v>4781</v>
      </c>
      <c r="M2155" s="1" t="s">
        <v>4782</v>
      </c>
      <c r="N2155" s="1" t="s">
        <v>30</v>
      </c>
      <c r="O2155" s="1" t="s">
        <v>4783</v>
      </c>
      <c r="P2155" s="1" t="s">
        <v>2594</v>
      </c>
      <c r="Q2155" s="1" t="s">
        <v>4784</v>
      </c>
      <c r="R2155" s="1" t="s">
        <v>26</v>
      </c>
      <c r="S2155" s="1"/>
      <c r="U2155" s="1" t="s">
        <v>35</v>
      </c>
      <c r="V2155" s="1" t="s">
        <v>359</v>
      </c>
      <c r="W2155" s="1" t="str">
        <f>VLOOKUP(Table1[[#This Row],[Obergruppe ATC-Code]],Tabelle3!$A$2:$B$100,2)</f>
        <v>ANALGETIKA</v>
      </c>
      <c r="X2155" s="1" t="str">
        <f xml:space="preserve"> LEFT(Table1[[#This Row],[Atc Code]],3)</f>
        <v>N02</v>
      </c>
    </row>
    <row r="2156" spans="1:24" ht="14.4">
      <c r="A2156" s="14">
        <v>1469</v>
      </c>
      <c r="B2156" s="24">
        <v>15246391</v>
      </c>
      <c r="C2156" s="1">
        <v>2126695</v>
      </c>
      <c r="D2156" s="1" t="s">
        <v>25</v>
      </c>
      <c r="E2156" s="36">
        <v>43678</v>
      </c>
      <c r="F2156" s="36">
        <v>43830</v>
      </c>
      <c r="G2156" s="38">
        <f t="shared" si="33"/>
        <v>152</v>
      </c>
      <c r="H2156" s="5">
        <v>43691</v>
      </c>
      <c r="I2156" s="5">
        <v>43783</v>
      </c>
      <c r="J2156" s="1" t="s">
        <v>41</v>
      </c>
      <c r="K2156" s="1" t="s">
        <v>4785</v>
      </c>
      <c r="L2156" s="1" t="s">
        <v>4781</v>
      </c>
      <c r="M2156" s="1" t="s">
        <v>4782</v>
      </c>
      <c r="N2156" s="1" t="s">
        <v>30</v>
      </c>
      <c r="O2156" s="1" t="s">
        <v>4786</v>
      </c>
      <c r="P2156" s="1" t="s">
        <v>233</v>
      </c>
      <c r="Q2156" s="1" t="s">
        <v>234</v>
      </c>
      <c r="R2156" s="1" t="s">
        <v>65</v>
      </c>
      <c r="S2156" s="1"/>
      <c r="T2156" s="1" t="s">
        <v>4787</v>
      </c>
      <c r="U2156" s="1" t="s">
        <v>35</v>
      </c>
      <c r="V2156" s="1" t="s">
        <v>596</v>
      </c>
      <c r="W2156" s="1" t="str">
        <f>VLOOKUP(Table1[[#This Row],[Obergruppe ATC-Code]],Tabelle3!$A$2:$B$100,2)</f>
        <v>ANALGETIKA</v>
      </c>
      <c r="X2156" s="1" t="str">
        <f xml:space="preserve"> LEFT(Table1[[#This Row],[Atc Code]],3)</f>
        <v>N02</v>
      </c>
    </row>
    <row r="2157" spans="1:24" ht="14.4">
      <c r="A2157" s="14">
        <v>2397</v>
      </c>
      <c r="B2157" s="24" t="s">
        <v>4788</v>
      </c>
      <c r="C2157" s="1">
        <v>2131265</v>
      </c>
      <c r="D2157" s="1" t="s">
        <v>25</v>
      </c>
      <c r="E2157" s="36">
        <v>43831</v>
      </c>
      <c r="F2157" s="36">
        <v>44012</v>
      </c>
      <c r="G2157" s="38">
        <f t="shared" si="33"/>
        <v>181</v>
      </c>
      <c r="H2157" s="5">
        <v>43854</v>
      </c>
      <c r="I2157" s="5">
        <v>43943</v>
      </c>
      <c r="J2157" s="1" t="s">
        <v>41</v>
      </c>
      <c r="K2157" s="1" t="s">
        <v>4789</v>
      </c>
      <c r="L2157" s="1" t="s">
        <v>4781</v>
      </c>
      <c r="M2157" s="1" t="s">
        <v>4790</v>
      </c>
      <c r="N2157" s="1" t="s">
        <v>30</v>
      </c>
      <c r="O2157" s="1" t="s">
        <v>548</v>
      </c>
      <c r="P2157" s="1">
        <v>8004288373</v>
      </c>
      <c r="Q2157" s="1" t="s">
        <v>549</v>
      </c>
      <c r="R2157" s="1" t="s">
        <v>65</v>
      </c>
      <c r="S2157" s="1"/>
      <c r="U2157" s="1" t="s">
        <v>35</v>
      </c>
      <c r="V2157" s="1" t="s">
        <v>1292</v>
      </c>
      <c r="W2157" s="1" t="str">
        <f>VLOOKUP(Table1[[#This Row],[Obergruppe ATC-Code]],Tabelle3!$A$2:$B$100,2)</f>
        <v>ANALGETIKA</v>
      </c>
      <c r="X2157" s="1" t="str">
        <f xml:space="preserve"> LEFT(Table1[[#This Row],[Atc Code]],3)</f>
        <v>N02</v>
      </c>
    </row>
    <row r="2158" spans="1:24" ht="14.4">
      <c r="A2158" s="14">
        <v>2394</v>
      </c>
      <c r="B2158" s="24" t="s">
        <v>4791</v>
      </c>
      <c r="C2158" s="1">
        <v>2131264</v>
      </c>
      <c r="D2158" s="1" t="s">
        <v>25</v>
      </c>
      <c r="E2158" s="36">
        <v>43891</v>
      </c>
      <c r="F2158" s="36">
        <v>44012</v>
      </c>
      <c r="G2158" s="38">
        <f t="shared" si="33"/>
        <v>121</v>
      </c>
      <c r="H2158" s="5">
        <v>43907</v>
      </c>
      <c r="I2158" s="5">
        <v>43944</v>
      </c>
      <c r="J2158" s="1" t="s">
        <v>41</v>
      </c>
      <c r="K2158" s="1" t="s">
        <v>4792</v>
      </c>
      <c r="L2158" s="1" t="s">
        <v>4781</v>
      </c>
      <c r="M2158" s="1" t="s">
        <v>4790</v>
      </c>
      <c r="N2158" s="1" t="s">
        <v>30</v>
      </c>
      <c r="O2158" s="1" t="s">
        <v>548</v>
      </c>
      <c r="P2158" s="1">
        <v>8004288373</v>
      </c>
      <c r="Q2158" s="1" t="s">
        <v>549</v>
      </c>
      <c r="R2158" s="1" t="s">
        <v>65</v>
      </c>
      <c r="S2158" s="1"/>
      <c r="U2158" s="1" t="s">
        <v>35</v>
      </c>
      <c r="V2158" s="1" t="s">
        <v>1292</v>
      </c>
      <c r="W2158" s="1" t="str">
        <f>VLOOKUP(Table1[[#This Row],[Obergruppe ATC-Code]],Tabelle3!$A$2:$B$100,2)</f>
        <v>ANALGETIKA</v>
      </c>
      <c r="X2158" s="1" t="str">
        <f xml:space="preserve"> LEFT(Table1[[#This Row],[Atc Code]],3)</f>
        <v>N02</v>
      </c>
    </row>
    <row r="2159" spans="1:24" ht="14.4">
      <c r="A2159" s="14">
        <v>407</v>
      </c>
      <c r="B2159" s="24">
        <v>2452806</v>
      </c>
      <c r="C2159" s="1">
        <v>109978</v>
      </c>
      <c r="D2159" s="1" t="s">
        <v>25</v>
      </c>
      <c r="E2159" s="36">
        <v>43891</v>
      </c>
      <c r="F2159" s="36">
        <v>44012</v>
      </c>
      <c r="G2159" s="38">
        <f t="shared" si="33"/>
        <v>121</v>
      </c>
      <c r="H2159" s="5">
        <v>43907</v>
      </c>
      <c r="I2159" s="5">
        <v>43998</v>
      </c>
      <c r="J2159" s="1" t="s">
        <v>41</v>
      </c>
      <c r="K2159" s="1" t="s">
        <v>4793</v>
      </c>
      <c r="L2159" s="1" t="s">
        <v>4781</v>
      </c>
      <c r="M2159" s="1" t="s">
        <v>4790</v>
      </c>
      <c r="N2159" s="1" t="s">
        <v>30</v>
      </c>
      <c r="O2159" s="1" t="s">
        <v>548</v>
      </c>
      <c r="P2159" s="1">
        <v>8004288373</v>
      </c>
      <c r="Q2159" s="1" t="s">
        <v>549</v>
      </c>
      <c r="R2159" s="1" t="s">
        <v>65</v>
      </c>
      <c r="S2159" s="1"/>
      <c r="U2159" s="1" t="s">
        <v>35</v>
      </c>
      <c r="V2159" s="1" t="s">
        <v>648</v>
      </c>
      <c r="W2159" s="1" t="str">
        <f>VLOOKUP(Table1[[#This Row],[Obergruppe ATC-Code]],Tabelle3!$A$2:$B$100,2)</f>
        <v>ANALGETIKA</v>
      </c>
      <c r="X2159" s="1" t="str">
        <f xml:space="preserve"> LEFT(Table1[[#This Row],[Atc Code]],3)</f>
        <v>N02</v>
      </c>
    </row>
    <row r="2160" spans="1:24" ht="14.4">
      <c r="A2160" s="14">
        <v>2396</v>
      </c>
      <c r="B2160" s="24" t="s">
        <v>4788</v>
      </c>
      <c r="C2160" s="1">
        <v>2131265</v>
      </c>
      <c r="D2160" s="1" t="s">
        <v>25</v>
      </c>
      <c r="E2160" s="36">
        <v>43952</v>
      </c>
      <c r="F2160" s="36">
        <v>44012</v>
      </c>
      <c r="G2160" s="38">
        <f t="shared" si="33"/>
        <v>60</v>
      </c>
      <c r="H2160" s="5">
        <v>43957</v>
      </c>
      <c r="I2160" s="5">
        <v>44000</v>
      </c>
      <c r="J2160" s="1" t="s">
        <v>41</v>
      </c>
      <c r="K2160" s="1" t="s">
        <v>4789</v>
      </c>
      <c r="L2160" s="1" t="s">
        <v>4781</v>
      </c>
      <c r="M2160" s="1" t="s">
        <v>4790</v>
      </c>
      <c r="N2160" s="1" t="s">
        <v>30</v>
      </c>
      <c r="O2160" s="1" t="s">
        <v>548</v>
      </c>
      <c r="P2160" s="1">
        <v>8004288373</v>
      </c>
      <c r="Q2160" s="1" t="s">
        <v>549</v>
      </c>
      <c r="R2160" s="1" t="s">
        <v>65</v>
      </c>
      <c r="S2160" s="1"/>
      <c r="U2160" s="1" t="s">
        <v>35</v>
      </c>
      <c r="V2160" s="1" t="s">
        <v>1292</v>
      </c>
      <c r="W2160" s="1" t="str">
        <f>VLOOKUP(Table1[[#This Row],[Obergruppe ATC-Code]],Tabelle3!$A$2:$B$100,2)</f>
        <v>ANALGETIKA</v>
      </c>
      <c r="X2160" s="1" t="str">
        <f xml:space="preserve"> LEFT(Table1[[#This Row],[Atc Code]],3)</f>
        <v>N02</v>
      </c>
    </row>
    <row r="2161" spans="1:24" ht="14.4">
      <c r="A2161" s="14">
        <v>2393</v>
      </c>
      <c r="B2161" s="24" t="s">
        <v>4791</v>
      </c>
      <c r="C2161" s="1">
        <v>2131264</v>
      </c>
      <c r="D2161" s="1" t="s">
        <v>25</v>
      </c>
      <c r="E2161" s="36">
        <v>43952</v>
      </c>
      <c r="F2161" s="36">
        <v>44012</v>
      </c>
      <c r="G2161" s="38">
        <f t="shared" si="33"/>
        <v>60</v>
      </c>
      <c r="H2161" s="5">
        <v>43957</v>
      </c>
      <c r="I2161" s="5">
        <v>44000</v>
      </c>
      <c r="J2161" s="1" t="s">
        <v>41</v>
      </c>
      <c r="K2161" s="1" t="s">
        <v>4792</v>
      </c>
      <c r="L2161" s="1" t="s">
        <v>4781</v>
      </c>
      <c r="M2161" s="1" t="s">
        <v>4790</v>
      </c>
      <c r="N2161" s="1" t="s">
        <v>30</v>
      </c>
      <c r="O2161" s="1" t="s">
        <v>548</v>
      </c>
      <c r="P2161" s="1">
        <v>8004288373</v>
      </c>
      <c r="Q2161" s="1" t="s">
        <v>549</v>
      </c>
      <c r="R2161" s="1" t="s">
        <v>65</v>
      </c>
      <c r="S2161" s="1"/>
      <c r="U2161" s="1" t="s">
        <v>35</v>
      </c>
      <c r="V2161" s="1" t="s">
        <v>1292</v>
      </c>
      <c r="W2161" s="1" t="str">
        <f>VLOOKUP(Table1[[#This Row],[Obergruppe ATC-Code]],Tabelle3!$A$2:$B$100,2)</f>
        <v>ANALGETIKA</v>
      </c>
      <c r="X2161" s="1" t="str">
        <f xml:space="preserve"> LEFT(Table1[[#This Row],[Atc Code]],3)</f>
        <v>N02</v>
      </c>
    </row>
    <row r="2162" spans="1:24" ht="14.4">
      <c r="A2162" s="14">
        <v>2106</v>
      </c>
      <c r="B2162" s="24" t="s">
        <v>4794</v>
      </c>
      <c r="C2162" s="1">
        <v>2148364</v>
      </c>
      <c r="D2162" s="1" t="s">
        <v>25</v>
      </c>
      <c r="E2162" s="36">
        <v>43922</v>
      </c>
      <c r="F2162" s="36">
        <v>44012</v>
      </c>
      <c r="G2162" s="38">
        <f t="shared" si="33"/>
        <v>90</v>
      </c>
      <c r="H2162" s="5">
        <v>43938</v>
      </c>
      <c r="I2162" s="5">
        <v>44000</v>
      </c>
      <c r="J2162" s="1" t="s">
        <v>26</v>
      </c>
      <c r="K2162" s="1" t="s">
        <v>4795</v>
      </c>
      <c r="L2162" s="1" t="s">
        <v>4781</v>
      </c>
      <c r="M2162" s="1" t="s">
        <v>4782</v>
      </c>
      <c r="N2162" s="1" t="s">
        <v>30</v>
      </c>
      <c r="O2162" s="1" t="s">
        <v>1035</v>
      </c>
      <c r="P2162" s="1" t="s">
        <v>104</v>
      </c>
      <c r="Q2162" s="1" t="s">
        <v>105</v>
      </c>
      <c r="R2162" s="1" t="s">
        <v>33</v>
      </c>
      <c r="S2162" s="1"/>
      <c r="U2162" s="1" t="s">
        <v>35</v>
      </c>
      <c r="V2162" s="1" t="s">
        <v>74</v>
      </c>
      <c r="W2162" s="1" t="str">
        <f>VLOOKUP(Table1[[#This Row],[Obergruppe ATC-Code]],Tabelle3!$A$2:$B$100,2)</f>
        <v>ANALGETIKA</v>
      </c>
      <c r="X2162" s="1" t="str">
        <f xml:space="preserve"> LEFT(Table1[[#This Row],[Atc Code]],3)</f>
        <v>N02</v>
      </c>
    </row>
    <row r="2163" spans="1:24" ht="14.4">
      <c r="A2163" s="14">
        <v>1350</v>
      </c>
      <c r="B2163" s="24">
        <v>12728913</v>
      </c>
      <c r="C2163" s="1">
        <v>290883</v>
      </c>
      <c r="D2163" s="1" t="s">
        <v>25</v>
      </c>
      <c r="E2163" s="36">
        <v>43922</v>
      </c>
      <c r="F2163" s="36">
        <v>44074</v>
      </c>
      <c r="G2163" s="38">
        <f t="shared" si="33"/>
        <v>152</v>
      </c>
      <c r="H2163" s="5">
        <v>43944</v>
      </c>
      <c r="I2163" s="5">
        <v>44055</v>
      </c>
      <c r="J2163" s="1" t="s">
        <v>41</v>
      </c>
      <c r="K2163" s="1" t="s">
        <v>4796</v>
      </c>
      <c r="L2163" s="1" t="s">
        <v>4781</v>
      </c>
      <c r="M2163" s="1" t="s">
        <v>4782</v>
      </c>
      <c r="N2163" s="1" t="s">
        <v>30</v>
      </c>
      <c r="O2163" s="1" t="s">
        <v>4783</v>
      </c>
      <c r="P2163" s="1" t="s">
        <v>2594</v>
      </c>
      <c r="Q2163" s="1" t="s">
        <v>2595</v>
      </c>
      <c r="R2163" s="1" t="s">
        <v>26</v>
      </c>
      <c r="S2163" s="1"/>
      <c r="U2163" s="1" t="s">
        <v>35</v>
      </c>
      <c r="V2163" s="1" t="s">
        <v>74</v>
      </c>
      <c r="W2163" s="1" t="str">
        <f>VLOOKUP(Table1[[#This Row],[Obergruppe ATC-Code]],Tabelle3!$A$2:$B$100,2)</f>
        <v>ANALGETIKA</v>
      </c>
      <c r="X2163" s="1" t="str">
        <f xml:space="preserve"> LEFT(Table1[[#This Row],[Atc Code]],3)</f>
        <v>N02</v>
      </c>
    </row>
    <row r="2164" spans="1:24" ht="14.4">
      <c r="A2164" s="14">
        <v>1468</v>
      </c>
      <c r="B2164" s="24">
        <v>15246391</v>
      </c>
      <c r="C2164" s="1">
        <v>2126695</v>
      </c>
      <c r="D2164" s="1" t="s">
        <v>25</v>
      </c>
      <c r="E2164" s="36">
        <v>44044</v>
      </c>
      <c r="F2164" s="36">
        <v>44165</v>
      </c>
      <c r="G2164" s="38">
        <f t="shared" si="33"/>
        <v>121</v>
      </c>
      <c r="H2164" s="5">
        <v>44102</v>
      </c>
      <c r="I2164" s="5">
        <v>44145</v>
      </c>
      <c r="J2164" s="1" t="s">
        <v>41</v>
      </c>
      <c r="K2164" s="1" t="s">
        <v>4785</v>
      </c>
      <c r="L2164" s="1" t="s">
        <v>4781</v>
      </c>
      <c r="M2164" s="1" t="s">
        <v>4782</v>
      </c>
      <c r="N2164" s="1" t="s">
        <v>30</v>
      </c>
      <c r="O2164" s="1" t="s">
        <v>4786</v>
      </c>
      <c r="P2164" s="1" t="s">
        <v>4797</v>
      </c>
      <c r="Q2164" s="1" t="s">
        <v>241</v>
      </c>
      <c r="R2164" s="1" t="s">
        <v>65</v>
      </c>
      <c r="S2164" s="1"/>
      <c r="T2164" s="1" t="s">
        <v>4787</v>
      </c>
      <c r="U2164" s="1" t="s">
        <v>35</v>
      </c>
      <c r="V2164" s="1" t="s">
        <v>596</v>
      </c>
      <c r="W2164" s="1" t="str">
        <f>VLOOKUP(Table1[[#This Row],[Obergruppe ATC-Code]],Tabelle3!$A$2:$B$100,2)</f>
        <v>ANALGETIKA</v>
      </c>
      <c r="X2164" s="1" t="str">
        <f xml:space="preserve"> LEFT(Table1[[#This Row],[Atc Code]],3)</f>
        <v>N02</v>
      </c>
    </row>
    <row r="2165" spans="1:24" ht="14.4">
      <c r="A2165" s="14">
        <v>1247</v>
      </c>
      <c r="B2165" s="24">
        <v>11372207</v>
      </c>
      <c r="C2165" s="1">
        <v>2141106</v>
      </c>
      <c r="D2165" s="1" t="s">
        <v>25</v>
      </c>
      <c r="E2165" s="36">
        <v>43313</v>
      </c>
      <c r="F2165" s="36">
        <v>44368</v>
      </c>
      <c r="G2165" s="38">
        <f t="shared" si="33"/>
        <v>1055</v>
      </c>
      <c r="H2165" s="5">
        <v>43334</v>
      </c>
      <c r="I2165" s="5">
        <v>44376</v>
      </c>
      <c r="J2165" s="1" t="s">
        <v>41</v>
      </c>
      <c r="K2165" s="1" t="s">
        <v>4798</v>
      </c>
      <c r="L2165" s="1" t="s">
        <v>4781</v>
      </c>
      <c r="M2165" s="1" t="s">
        <v>4782</v>
      </c>
      <c r="N2165" s="1" t="s">
        <v>30</v>
      </c>
      <c r="O2165" s="1" t="s">
        <v>52</v>
      </c>
      <c r="P2165" s="1" t="s">
        <v>53</v>
      </c>
      <c r="Q2165" s="1" t="s">
        <v>54</v>
      </c>
      <c r="R2165" s="1" t="s">
        <v>26</v>
      </c>
      <c r="S2165" s="1"/>
      <c r="U2165" s="1" t="s">
        <v>35</v>
      </c>
      <c r="V2165" s="1" t="s">
        <v>359</v>
      </c>
      <c r="W2165" s="1" t="str">
        <f>VLOOKUP(Table1[[#This Row],[Obergruppe ATC-Code]],Tabelle3!$A$2:$B$100,2)</f>
        <v>ANALGETIKA</v>
      </c>
      <c r="X2165" s="1" t="str">
        <f xml:space="preserve"> LEFT(Table1[[#This Row],[Atc Code]],3)</f>
        <v>N02</v>
      </c>
    </row>
    <row r="2166" spans="1:24" ht="14.4">
      <c r="A2166" s="14">
        <v>406</v>
      </c>
      <c r="B2166" s="24">
        <v>2452806</v>
      </c>
      <c r="C2166" s="1">
        <v>109978</v>
      </c>
      <c r="D2166" s="1" t="s">
        <v>25</v>
      </c>
      <c r="E2166" s="36">
        <v>44755</v>
      </c>
      <c r="F2166" s="36">
        <v>44768</v>
      </c>
      <c r="G2166" s="38">
        <f t="shared" si="33"/>
        <v>13</v>
      </c>
      <c r="H2166" s="5">
        <v>44754</v>
      </c>
      <c r="I2166" s="5">
        <v>44771</v>
      </c>
      <c r="J2166" s="1" t="s">
        <v>26</v>
      </c>
      <c r="K2166" s="1" t="s">
        <v>4793</v>
      </c>
      <c r="L2166" s="1" t="s">
        <v>4781</v>
      </c>
      <c r="M2166" s="1" t="s">
        <v>4799</v>
      </c>
      <c r="N2166" s="1" t="s">
        <v>30</v>
      </c>
      <c r="O2166" s="1" t="s">
        <v>548</v>
      </c>
      <c r="P2166" s="1" t="s">
        <v>4800</v>
      </c>
      <c r="Q2166" s="1" t="s">
        <v>2549</v>
      </c>
      <c r="R2166" s="1" t="s">
        <v>26</v>
      </c>
      <c r="S2166" s="1"/>
      <c r="T2166" s="1" t="s">
        <v>4801</v>
      </c>
      <c r="U2166" s="1" t="s">
        <v>35</v>
      </c>
      <c r="V2166" s="1" t="s">
        <v>648</v>
      </c>
      <c r="W2166" s="1" t="str">
        <f>VLOOKUP(Table1[[#This Row],[Obergruppe ATC-Code]],Tabelle3!$A$2:$B$100,2)</f>
        <v>ANALGETIKA</v>
      </c>
      <c r="X2166" s="1" t="str">
        <f xml:space="preserve"> LEFT(Table1[[#This Row],[Atc Code]],3)</f>
        <v>N02</v>
      </c>
    </row>
    <row r="2167" spans="1:24" ht="14.4">
      <c r="A2167" s="14">
        <v>707</v>
      </c>
      <c r="B2167" s="24">
        <v>4790128</v>
      </c>
      <c r="C2167" s="1">
        <v>2125933</v>
      </c>
      <c r="D2167" s="1" t="s">
        <v>25</v>
      </c>
      <c r="E2167" s="36">
        <v>44805</v>
      </c>
      <c r="F2167" s="36">
        <v>44860</v>
      </c>
      <c r="G2167" s="38">
        <f t="shared" si="33"/>
        <v>55</v>
      </c>
      <c r="H2167" s="5">
        <v>44806</v>
      </c>
      <c r="I2167" s="5">
        <v>44867</v>
      </c>
      <c r="J2167" s="1" t="s">
        <v>26</v>
      </c>
      <c r="K2167" s="1" t="s">
        <v>4802</v>
      </c>
      <c r="L2167" s="1" t="s">
        <v>4781</v>
      </c>
      <c r="M2167" s="1" t="s">
        <v>4782</v>
      </c>
      <c r="N2167" s="1" t="s">
        <v>38</v>
      </c>
      <c r="O2167" s="1" t="s">
        <v>4783</v>
      </c>
      <c r="Q2167" s="1" t="s">
        <v>4803</v>
      </c>
      <c r="R2167" s="1" t="s">
        <v>33</v>
      </c>
      <c r="S2167" s="1"/>
      <c r="U2167" s="1" t="s">
        <v>130</v>
      </c>
      <c r="V2167" s="1" t="s">
        <v>99</v>
      </c>
      <c r="W2167" s="1" t="str">
        <f>VLOOKUP(Table1[[#This Row],[Obergruppe ATC-Code]],Tabelle3!$A$2:$B$100,2)</f>
        <v>ANALGETIKA</v>
      </c>
      <c r="X2167" s="1" t="str">
        <f xml:space="preserve"> LEFT(Table1[[#This Row],[Atc Code]],3)</f>
        <v>N02</v>
      </c>
    </row>
    <row r="2168" spans="1:24" ht="14.4">
      <c r="A2168" s="14">
        <v>2395</v>
      </c>
      <c r="B2168" s="24" t="s">
        <v>4804</v>
      </c>
      <c r="C2168" s="1">
        <v>2131264</v>
      </c>
      <c r="D2168" s="1" t="s">
        <v>25</v>
      </c>
      <c r="E2168" s="36">
        <v>44810</v>
      </c>
      <c r="F2168" s="36">
        <v>44903</v>
      </c>
      <c r="G2168" s="38">
        <f t="shared" si="33"/>
        <v>93</v>
      </c>
      <c r="H2168" s="5">
        <v>44813</v>
      </c>
      <c r="I2168" s="5">
        <v>44903</v>
      </c>
      <c r="J2168" s="1" t="s">
        <v>26</v>
      </c>
      <c r="K2168" s="1" t="s">
        <v>4792</v>
      </c>
      <c r="L2168" s="1" t="s">
        <v>4781</v>
      </c>
      <c r="M2168" s="1" t="s">
        <v>4799</v>
      </c>
      <c r="N2168" s="1" t="s">
        <v>30</v>
      </c>
      <c r="O2168" s="1" t="s">
        <v>548</v>
      </c>
      <c r="P2168" s="1">
        <v>8004288373</v>
      </c>
      <c r="Q2168" s="1" t="s">
        <v>549</v>
      </c>
      <c r="R2168" s="1" t="s">
        <v>26</v>
      </c>
      <c r="S2168" s="1"/>
      <c r="U2168" s="1" t="s">
        <v>35</v>
      </c>
      <c r="V2168" s="1" t="s">
        <v>1292</v>
      </c>
      <c r="W2168" s="1" t="str">
        <f>VLOOKUP(Table1[[#This Row],[Obergruppe ATC-Code]],Tabelle3!$A$2:$B$100,2)</f>
        <v>ANALGETIKA</v>
      </c>
      <c r="X2168" s="1" t="str">
        <f xml:space="preserve"> LEFT(Table1[[#This Row],[Atc Code]],3)</f>
        <v>N02</v>
      </c>
    </row>
    <row r="2169" spans="1:24" ht="14.4">
      <c r="A2169" s="14">
        <v>664</v>
      </c>
      <c r="B2169" s="24">
        <v>4327979</v>
      </c>
      <c r="C2169" s="1">
        <v>613607</v>
      </c>
      <c r="D2169" s="1" t="s">
        <v>25</v>
      </c>
      <c r="E2169" s="36">
        <v>44805</v>
      </c>
      <c r="F2169" s="36">
        <v>44903</v>
      </c>
      <c r="G2169" s="38">
        <f t="shared" si="33"/>
        <v>98</v>
      </c>
      <c r="H2169" s="5">
        <v>44806</v>
      </c>
      <c r="I2169" s="5">
        <v>44903</v>
      </c>
      <c r="J2169" s="1" t="s">
        <v>26</v>
      </c>
      <c r="K2169" s="1" t="s">
        <v>4805</v>
      </c>
      <c r="L2169" s="1" t="s">
        <v>4781</v>
      </c>
      <c r="M2169" s="1" t="s">
        <v>4782</v>
      </c>
      <c r="N2169" s="1" t="s">
        <v>38</v>
      </c>
      <c r="O2169" s="1" t="s">
        <v>4783</v>
      </c>
      <c r="Q2169" s="1" t="s">
        <v>4803</v>
      </c>
      <c r="R2169" s="1" t="s">
        <v>33</v>
      </c>
      <c r="S2169" s="1"/>
      <c r="U2169" s="1" t="s">
        <v>130</v>
      </c>
      <c r="V2169" s="1" t="s">
        <v>74</v>
      </c>
      <c r="W2169" s="1" t="str">
        <f>VLOOKUP(Table1[[#This Row],[Obergruppe ATC-Code]],Tabelle3!$A$2:$B$100,2)</f>
        <v>ANALGETIKA</v>
      </c>
      <c r="X2169" s="1" t="str">
        <f xml:space="preserve"> LEFT(Table1[[#This Row],[Atc Code]],3)</f>
        <v>N02</v>
      </c>
    </row>
    <row r="2170" spans="1:24" ht="14.4">
      <c r="A2170" s="14">
        <v>123</v>
      </c>
      <c r="B2170" s="24">
        <v>686405</v>
      </c>
      <c r="C2170" s="1">
        <v>108826</v>
      </c>
      <c r="D2170" s="1" t="s">
        <v>25</v>
      </c>
      <c r="E2170" s="36">
        <v>44929</v>
      </c>
      <c r="F2170" s="36">
        <v>44951</v>
      </c>
      <c r="G2170" s="38">
        <f t="shared" si="33"/>
        <v>22</v>
      </c>
      <c r="H2170" s="5">
        <v>44932</v>
      </c>
      <c r="I2170" s="5">
        <v>44952</v>
      </c>
      <c r="J2170" s="1" t="s">
        <v>26</v>
      </c>
      <c r="K2170" s="1" t="s">
        <v>4806</v>
      </c>
      <c r="L2170" s="1" t="s">
        <v>4781</v>
      </c>
      <c r="M2170" s="1" t="s">
        <v>4799</v>
      </c>
      <c r="N2170" s="1" t="s">
        <v>30</v>
      </c>
      <c r="O2170" s="1" t="s">
        <v>548</v>
      </c>
      <c r="P2170" s="1">
        <v>8004288373</v>
      </c>
      <c r="Q2170" s="1" t="s">
        <v>549</v>
      </c>
      <c r="R2170" s="1" t="s">
        <v>113</v>
      </c>
      <c r="S2170" s="1" t="s">
        <v>4807</v>
      </c>
      <c r="U2170" s="1" t="s">
        <v>35</v>
      </c>
      <c r="V2170" s="1" t="s">
        <v>74</v>
      </c>
      <c r="W2170" s="1" t="str">
        <f>VLOOKUP(Table1[[#This Row],[Obergruppe ATC-Code]],Tabelle3!$A$2:$B$100,2)</f>
        <v>ANALGETIKA</v>
      </c>
      <c r="X2170" s="1" t="str">
        <f xml:space="preserve"> LEFT(Table1[[#This Row],[Atc Code]],3)</f>
        <v>N02</v>
      </c>
    </row>
    <row r="2171" spans="1:24" ht="14.4">
      <c r="A2171" s="14">
        <v>1635</v>
      </c>
      <c r="B2171" s="24">
        <v>40127126</v>
      </c>
      <c r="C2171" s="1">
        <v>2196020</v>
      </c>
      <c r="D2171" s="1" t="s">
        <v>25</v>
      </c>
      <c r="E2171" s="36">
        <v>44967</v>
      </c>
      <c r="F2171" s="36">
        <v>44987</v>
      </c>
      <c r="G2171" s="38">
        <f t="shared" si="33"/>
        <v>20</v>
      </c>
      <c r="H2171" s="5">
        <v>44967</v>
      </c>
      <c r="I2171" s="5">
        <v>44987</v>
      </c>
      <c r="J2171" s="1" t="s">
        <v>26</v>
      </c>
      <c r="K2171" s="1" t="s">
        <v>4808</v>
      </c>
      <c r="L2171" s="1" t="s">
        <v>4781</v>
      </c>
      <c r="M2171" s="1" t="s">
        <v>4799</v>
      </c>
      <c r="N2171" s="1" t="s">
        <v>38</v>
      </c>
      <c r="O2171" s="1" t="s">
        <v>140</v>
      </c>
      <c r="Q2171" s="1" t="s">
        <v>3065</v>
      </c>
      <c r="R2171" s="1" t="s">
        <v>113</v>
      </c>
      <c r="S2171" s="1"/>
      <c r="U2171" s="1" t="s">
        <v>130</v>
      </c>
      <c r="V2171" s="1" t="s">
        <v>49</v>
      </c>
      <c r="W2171" s="1" t="str">
        <f>VLOOKUP(Table1[[#This Row],[Obergruppe ATC-Code]],Tabelle3!$A$2:$B$100,2)</f>
        <v>ANALGETIKA</v>
      </c>
      <c r="X2171" s="1" t="str">
        <f xml:space="preserve"> LEFT(Table1[[#This Row],[Atc Code]],3)</f>
        <v>N02</v>
      </c>
    </row>
    <row r="2172" spans="1:24" ht="14.4">
      <c r="A2172" s="14">
        <v>1274</v>
      </c>
      <c r="B2172" s="24">
        <v>11651396</v>
      </c>
      <c r="C2172" s="1">
        <v>2196019</v>
      </c>
      <c r="D2172" s="1" t="s">
        <v>25</v>
      </c>
      <c r="E2172" s="36">
        <v>44967</v>
      </c>
      <c r="F2172" s="36">
        <v>44987</v>
      </c>
      <c r="G2172" s="38">
        <f t="shared" si="33"/>
        <v>20</v>
      </c>
      <c r="H2172" s="5">
        <v>44967</v>
      </c>
      <c r="I2172" s="5">
        <v>44987</v>
      </c>
      <c r="J2172" s="1" t="s">
        <v>26</v>
      </c>
      <c r="K2172" s="1" t="s">
        <v>4809</v>
      </c>
      <c r="L2172" s="1" t="s">
        <v>4781</v>
      </c>
      <c r="M2172" s="1" t="s">
        <v>4799</v>
      </c>
      <c r="N2172" s="1" t="s">
        <v>38</v>
      </c>
      <c r="O2172" s="1" t="s">
        <v>140</v>
      </c>
      <c r="Q2172" s="1" t="s">
        <v>3065</v>
      </c>
      <c r="R2172" s="1" t="s">
        <v>113</v>
      </c>
      <c r="S2172" s="1"/>
      <c r="U2172" s="1" t="s">
        <v>130</v>
      </c>
      <c r="V2172" s="1" t="s">
        <v>49</v>
      </c>
      <c r="W2172" s="1" t="str">
        <f>VLOOKUP(Table1[[#This Row],[Obergruppe ATC-Code]],Tabelle3!$A$2:$B$100,2)</f>
        <v>ANALGETIKA</v>
      </c>
      <c r="X2172" s="1" t="str">
        <f xml:space="preserve"> LEFT(Table1[[#This Row],[Atc Code]],3)</f>
        <v>N02</v>
      </c>
    </row>
    <row r="2173" spans="1:24" ht="14.4">
      <c r="A2173" s="14">
        <v>914</v>
      </c>
      <c r="B2173" s="24">
        <v>7590223</v>
      </c>
      <c r="C2173" s="1">
        <v>2125932</v>
      </c>
      <c r="D2173" s="1" t="s">
        <v>25</v>
      </c>
      <c r="E2173" s="36">
        <v>44985</v>
      </c>
      <c r="F2173" s="36">
        <v>45062</v>
      </c>
      <c r="G2173" s="38">
        <f t="shared" si="33"/>
        <v>77</v>
      </c>
      <c r="H2173" s="5">
        <v>44986</v>
      </c>
      <c r="I2173" s="5">
        <v>45062</v>
      </c>
      <c r="J2173" s="1" t="s">
        <v>26</v>
      </c>
      <c r="K2173" s="1" t="s">
        <v>4810</v>
      </c>
      <c r="L2173" s="1" t="s">
        <v>4781</v>
      </c>
      <c r="M2173" s="1" t="s">
        <v>4782</v>
      </c>
      <c r="N2173" s="1" t="s">
        <v>38</v>
      </c>
      <c r="O2173" s="1" t="s">
        <v>4783</v>
      </c>
      <c r="Q2173" s="1" t="s">
        <v>4803</v>
      </c>
      <c r="R2173" s="1" t="s">
        <v>33</v>
      </c>
      <c r="S2173" s="1"/>
      <c r="U2173" s="1" t="s">
        <v>130</v>
      </c>
      <c r="V2173" s="1" t="s">
        <v>99</v>
      </c>
      <c r="W2173" s="1" t="str">
        <f>VLOOKUP(Table1[[#This Row],[Obergruppe ATC-Code]],Tabelle3!$A$2:$B$100,2)</f>
        <v>ANALGETIKA</v>
      </c>
      <c r="X2173" s="1" t="str">
        <f xml:space="preserve"> LEFT(Table1[[#This Row],[Atc Code]],3)</f>
        <v>N02</v>
      </c>
    </row>
    <row r="2174" spans="1:24" ht="14.4">
      <c r="A2174" s="14">
        <v>2789</v>
      </c>
      <c r="B2174" s="24" t="s">
        <v>4811</v>
      </c>
      <c r="C2174" s="1">
        <v>2194194</v>
      </c>
      <c r="D2174" s="1" t="s">
        <v>25</v>
      </c>
      <c r="E2174" s="36">
        <v>44951</v>
      </c>
      <c r="F2174" s="36">
        <v>45091</v>
      </c>
      <c r="G2174" s="38">
        <f t="shared" si="33"/>
        <v>140</v>
      </c>
      <c r="H2174" s="5">
        <v>44959</v>
      </c>
      <c r="I2174" s="5">
        <v>45097</v>
      </c>
      <c r="J2174" s="1" t="s">
        <v>26</v>
      </c>
      <c r="K2174" s="1" t="s">
        <v>4812</v>
      </c>
      <c r="L2174" s="1" t="s">
        <v>4781</v>
      </c>
      <c r="M2174" s="1" t="s">
        <v>4782</v>
      </c>
      <c r="N2174" s="1" t="s">
        <v>38</v>
      </c>
      <c r="O2174" s="1" t="s">
        <v>110</v>
      </c>
      <c r="P2174" s="1">
        <v>49733396510</v>
      </c>
      <c r="Q2174" s="1" t="s">
        <v>1141</v>
      </c>
      <c r="R2174" s="1" t="s">
        <v>113</v>
      </c>
      <c r="S2174" s="1" t="s">
        <v>4576</v>
      </c>
      <c r="U2174" s="1" t="s">
        <v>130</v>
      </c>
      <c r="V2174" s="1" t="s">
        <v>359</v>
      </c>
      <c r="W2174" s="1" t="str">
        <f>VLOOKUP(Table1[[#This Row],[Obergruppe ATC-Code]],Tabelle3!$A$2:$B$100,2)</f>
        <v>ANALGETIKA</v>
      </c>
      <c r="X2174" s="1" t="str">
        <f xml:space="preserve"> LEFT(Table1[[#This Row],[Atc Code]],3)</f>
        <v>N02</v>
      </c>
    </row>
    <row r="2175" spans="1:24" ht="14.4">
      <c r="A2175" s="14">
        <v>2150</v>
      </c>
      <c r="B2175" s="24" t="s">
        <v>4813</v>
      </c>
      <c r="C2175" s="1">
        <v>2104033</v>
      </c>
      <c r="D2175" s="1" t="s">
        <v>25</v>
      </c>
      <c r="E2175" s="36">
        <v>44805</v>
      </c>
      <c r="F2175" s="36">
        <v>45122</v>
      </c>
      <c r="G2175" s="38">
        <f t="shared" si="33"/>
        <v>317</v>
      </c>
      <c r="H2175" s="5">
        <v>44806</v>
      </c>
      <c r="I2175" s="5">
        <v>45124</v>
      </c>
      <c r="J2175" s="1" t="s">
        <v>26</v>
      </c>
      <c r="K2175" s="1" t="s">
        <v>4814</v>
      </c>
      <c r="L2175" s="1" t="s">
        <v>4781</v>
      </c>
      <c r="M2175" s="1" t="s">
        <v>4782</v>
      </c>
      <c r="N2175" s="1" t="s">
        <v>38</v>
      </c>
      <c r="O2175" s="1" t="s">
        <v>4783</v>
      </c>
      <c r="Q2175" s="1" t="s">
        <v>4803</v>
      </c>
      <c r="R2175" s="1" t="s">
        <v>33</v>
      </c>
      <c r="S2175" s="1"/>
      <c r="U2175" s="1" t="s">
        <v>130</v>
      </c>
      <c r="V2175" s="1" t="s">
        <v>359</v>
      </c>
      <c r="W2175" s="1" t="str">
        <f>VLOOKUP(Table1[[#This Row],[Obergruppe ATC-Code]],Tabelle3!$A$2:$B$100,2)</f>
        <v>ANALGETIKA</v>
      </c>
      <c r="X2175" s="1" t="str">
        <f xml:space="preserve"> LEFT(Table1[[#This Row],[Atc Code]],3)</f>
        <v>N02</v>
      </c>
    </row>
    <row r="2176" spans="1:24" ht="14.4">
      <c r="A2176" s="14">
        <v>2062</v>
      </c>
      <c r="B2176" s="24" t="s">
        <v>4815</v>
      </c>
      <c r="C2176" s="1">
        <v>2104034</v>
      </c>
      <c r="D2176" s="1" t="s">
        <v>25</v>
      </c>
      <c r="E2176" s="36">
        <v>44805</v>
      </c>
      <c r="F2176" s="36">
        <v>45122</v>
      </c>
      <c r="G2176" s="38">
        <f t="shared" si="33"/>
        <v>317</v>
      </c>
      <c r="H2176" s="5">
        <v>44806</v>
      </c>
      <c r="I2176" s="5">
        <v>45124</v>
      </c>
      <c r="J2176" s="1" t="s">
        <v>26</v>
      </c>
      <c r="K2176" s="1" t="s">
        <v>4780</v>
      </c>
      <c r="L2176" s="1" t="s">
        <v>4781</v>
      </c>
      <c r="M2176" s="1" t="s">
        <v>4782</v>
      </c>
      <c r="N2176" s="1" t="s">
        <v>38</v>
      </c>
      <c r="O2176" s="1" t="s">
        <v>4783</v>
      </c>
      <c r="Q2176" s="1" t="s">
        <v>4803</v>
      </c>
      <c r="R2176" s="1" t="s">
        <v>33</v>
      </c>
      <c r="S2176" s="1"/>
      <c r="U2176" s="1" t="s">
        <v>130</v>
      </c>
      <c r="V2176" s="1" t="s">
        <v>359</v>
      </c>
      <c r="W2176" s="1" t="str">
        <f>VLOOKUP(Table1[[#This Row],[Obergruppe ATC-Code]],Tabelle3!$A$2:$B$100,2)</f>
        <v>ANALGETIKA</v>
      </c>
      <c r="X2176" s="1" t="str">
        <f xml:space="preserve"> LEFT(Table1[[#This Row],[Atc Code]],3)</f>
        <v>N02</v>
      </c>
    </row>
    <row r="2177" spans="1:24" ht="14.4">
      <c r="A2177" s="14">
        <v>792</v>
      </c>
      <c r="B2177" s="24">
        <v>6332335</v>
      </c>
      <c r="C2177" s="1">
        <v>2106133</v>
      </c>
      <c r="D2177" s="1" t="s">
        <v>25</v>
      </c>
      <c r="E2177" s="36">
        <v>44901</v>
      </c>
      <c r="F2177" s="36">
        <v>45122</v>
      </c>
      <c r="G2177" s="38">
        <f t="shared" si="33"/>
        <v>221</v>
      </c>
      <c r="H2177" s="5">
        <v>44902</v>
      </c>
      <c r="I2177" s="5">
        <v>45124</v>
      </c>
      <c r="J2177" s="1" t="s">
        <v>26</v>
      </c>
      <c r="K2177" s="1" t="s">
        <v>4816</v>
      </c>
      <c r="L2177" s="1" t="s">
        <v>4781</v>
      </c>
      <c r="M2177" s="1" t="s">
        <v>4782</v>
      </c>
      <c r="N2177" s="1" t="s">
        <v>38</v>
      </c>
      <c r="O2177" s="1" t="s">
        <v>4783</v>
      </c>
      <c r="Q2177" s="1" t="s">
        <v>4803</v>
      </c>
      <c r="R2177" s="1" t="s">
        <v>33</v>
      </c>
      <c r="S2177" s="1"/>
      <c r="U2177" s="1" t="s">
        <v>130</v>
      </c>
      <c r="V2177" s="1" t="s">
        <v>359</v>
      </c>
      <c r="W2177" s="1" t="str">
        <f>VLOOKUP(Table1[[#This Row],[Obergruppe ATC-Code]],Tabelle3!$A$2:$B$100,2)</f>
        <v>ANALGETIKA</v>
      </c>
      <c r="X2177" s="1" t="str">
        <f xml:space="preserve"> LEFT(Table1[[#This Row],[Atc Code]],3)</f>
        <v>N02</v>
      </c>
    </row>
    <row r="2178" spans="1:24" ht="14.4">
      <c r="A2178" s="14">
        <v>2336</v>
      </c>
      <c r="B2178" s="24" t="s">
        <v>4817</v>
      </c>
      <c r="C2178" s="1">
        <v>2125933</v>
      </c>
      <c r="D2178" s="1" t="s">
        <v>25</v>
      </c>
      <c r="E2178" s="36">
        <v>44887</v>
      </c>
      <c r="F2178" s="36">
        <v>45149</v>
      </c>
      <c r="G2178" s="38">
        <f t="shared" ref="G2178:G2241" si="34">F2178-E2178</f>
        <v>262</v>
      </c>
      <c r="H2178" s="5">
        <v>44889</v>
      </c>
      <c r="I2178" s="5">
        <v>45149</v>
      </c>
      <c r="J2178" s="1" t="s">
        <v>26</v>
      </c>
      <c r="K2178" s="1" t="s">
        <v>4802</v>
      </c>
      <c r="L2178" s="1" t="s">
        <v>4781</v>
      </c>
      <c r="M2178" s="1" t="s">
        <v>4782</v>
      </c>
      <c r="N2178" s="1" t="s">
        <v>38</v>
      </c>
      <c r="O2178" s="1" t="s">
        <v>4783</v>
      </c>
      <c r="Q2178" s="1" t="s">
        <v>4803</v>
      </c>
      <c r="R2178" s="1" t="s">
        <v>33</v>
      </c>
      <c r="S2178" s="1"/>
      <c r="U2178" s="1" t="s">
        <v>130</v>
      </c>
      <c r="V2178" s="1" t="s">
        <v>99</v>
      </c>
      <c r="W2178" s="1" t="str">
        <f>VLOOKUP(Table1[[#This Row],[Obergruppe ATC-Code]],Tabelle3!$A$2:$B$100,2)</f>
        <v>ANALGETIKA</v>
      </c>
      <c r="X2178" s="1" t="str">
        <f xml:space="preserve"> LEFT(Table1[[#This Row],[Atc Code]],3)</f>
        <v>N02</v>
      </c>
    </row>
    <row r="2179" spans="1:24" ht="14.4">
      <c r="A2179" s="14">
        <v>728</v>
      </c>
      <c r="B2179" s="24">
        <v>4946286</v>
      </c>
      <c r="C2179" s="1">
        <v>2104034</v>
      </c>
      <c r="D2179" s="1" t="s">
        <v>25</v>
      </c>
      <c r="E2179" s="36">
        <v>45134</v>
      </c>
      <c r="F2179" s="36">
        <v>45160</v>
      </c>
      <c r="G2179" s="38">
        <f t="shared" si="34"/>
        <v>26</v>
      </c>
      <c r="H2179" s="5">
        <v>45138</v>
      </c>
      <c r="I2179" s="5">
        <v>45160</v>
      </c>
      <c r="J2179" s="1" t="s">
        <v>26</v>
      </c>
      <c r="K2179" s="1" t="s">
        <v>4780</v>
      </c>
      <c r="L2179" s="1" t="s">
        <v>4781</v>
      </c>
      <c r="M2179" s="1" t="s">
        <v>4782</v>
      </c>
      <c r="N2179" s="1" t="s">
        <v>38</v>
      </c>
      <c r="O2179" s="1" t="s">
        <v>4783</v>
      </c>
      <c r="Q2179" s="1" t="s">
        <v>4803</v>
      </c>
      <c r="R2179" s="1" t="s">
        <v>33</v>
      </c>
      <c r="S2179" s="1"/>
      <c r="U2179" s="1" t="s">
        <v>130</v>
      </c>
      <c r="V2179" s="1" t="s">
        <v>359</v>
      </c>
      <c r="W2179" s="1" t="str">
        <f>VLOOKUP(Table1[[#This Row],[Obergruppe ATC-Code]],Tabelle3!$A$2:$B$100,2)</f>
        <v>ANALGETIKA</v>
      </c>
      <c r="X2179" s="1" t="str">
        <f xml:space="preserve"> LEFT(Table1[[#This Row],[Atc Code]],3)</f>
        <v>N02</v>
      </c>
    </row>
    <row r="2180" spans="1:24" ht="14.4">
      <c r="A2180" s="14">
        <v>2194</v>
      </c>
      <c r="B2180" s="24" t="s">
        <v>4818</v>
      </c>
      <c r="C2180" s="1">
        <v>2106132</v>
      </c>
      <c r="D2180" s="1" t="s">
        <v>25</v>
      </c>
      <c r="E2180" s="36">
        <v>44805</v>
      </c>
      <c r="F2180" s="36">
        <v>45181</v>
      </c>
      <c r="G2180" s="38">
        <f t="shared" si="34"/>
        <v>376</v>
      </c>
      <c r="H2180" s="5">
        <v>44806</v>
      </c>
      <c r="I2180" s="5">
        <v>45183</v>
      </c>
      <c r="J2180" s="1" t="s">
        <v>26</v>
      </c>
      <c r="K2180" s="1" t="s">
        <v>4819</v>
      </c>
      <c r="L2180" s="1" t="s">
        <v>4781</v>
      </c>
      <c r="M2180" s="1" t="s">
        <v>4782</v>
      </c>
      <c r="N2180" s="1" t="s">
        <v>38</v>
      </c>
      <c r="O2180" s="1" t="s">
        <v>4783</v>
      </c>
      <c r="Q2180" s="1" t="s">
        <v>4803</v>
      </c>
      <c r="R2180" s="1" t="s">
        <v>33</v>
      </c>
      <c r="S2180" s="1"/>
      <c r="U2180" s="1" t="s">
        <v>130</v>
      </c>
      <c r="V2180" s="1" t="s">
        <v>359</v>
      </c>
      <c r="W2180" s="1" t="str">
        <f>VLOOKUP(Table1[[#This Row],[Obergruppe ATC-Code]],Tabelle3!$A$2:$B$100,2)</f>
        <v>ANALGETIKA</v>
      </c>
      <c r="X2180" s="1" t="str">
        <f xml:space="preserve"> LEFT(Table1[[#This Row],[Atc Code]],3)</f>
        <v>N02</v>
      </c>
    </row>
    <row r="2181" spans="1:24" ht="14.4">
      <c r="A2181" s="14">
        <v>729</v>
      </c>
      <c r="B2181" s="24">
        <v>4946300</v>
      </c>
      <c r="C2181" s="1">
        <v>2106133</v>
      </c>
      <c r="D2181" s="1" t="s">
        <v>175</v>
      </c>
      <c r="E2181" s="36">
        <v>45196</v>
      </c>
      <c r="F2181" s="36">
        <v>45230</v>
      </c>
      <c r="G2181" s="38">
        <f t="shared" si="34"/>
        <v>34</v>
      </c>
      <c r="H2181" s="5">
        <v>45196</v>
      </c>
      <c r="I2181" s="5">
        <v>45196</v>
      </c>
      <c r="J2181" s="1" t="s">
        <v>26</v>
      </c>
      <c r="K2181" s="1" t="s">
        <v>4816</v>
      </c>
      <c r="L2181" s="1" t="s">
        <v>4781</v>
      </c>
      <c r="M2181" s="1" t="s">
        <v>4782</v>
      </c>
      <c r="N2181" s="1" t="s">
        <v>38</v>
      </c>
      <c r="O2181" s="1" t="s">
        <v>4783</v>
      </c>
      <c r="Q2181" s="1" t="s">
        <v>4803</v>
      </c>
      <c r="R2181" s="1" t="s">
        <v>33</v>
      </c>
      <c r="S2181" s="1"/>
      <c r="U2181" s="1" t="s">
        <v>130</v>
      </c>
      <c r="V2181" s="1" t="s">
        <v>359</v>
      </c>
      <c r="W2181" s="1" t="str">
        <f>VLOOKUP(Table1[[#This Row],[Obergruppe ATC-Code]],Tabelle3!$A$2:$B$100,2)</f>
        <v>ANALGETIKA</v>
      </c>
      <c r="X2181" s="1" t="str">
        <f xml:space="preserve"> LEFT(Table1[[#This Row],[Atc Code]],3)</f>
        <v>N02</v>
      </c>
    </row>
    <row r="2182" spans="1:24" ht="14.4">
      <c r="A2182" s="14">
        <v>727</v>
      </c>
      <c r="B2182" s="24">
        <v>4946286</v>
      </c>
      <c r="C2182" s="1">
        <v>2104034</v>
      </c>
      <c r="D2182" s="1" t="s">
        <v>175</v>
      </c>
      <c r="E2182" s="36">
        <v>45195</v>
      </c>
      <c r="F2182" s="36">
        <v>45230</v>
      </c>
      <c r="G2182" s="38">
        <f t="shared" si="34"/>
        <v>35</v>
      </c>
      <c r="H2182" s="5">
        <v>45196</v>
      </c>
      <c r="I2182" s="5">
        <v>45196</v>
      </c>
      <c r="J2182" s="1" t="s">
        <v>26</v>
      </c>
      <c r="K2182" s="1" t="s">
        <v>4780</v>
      </c>
      <c r="L2182" s="1" t="s">
        <v>4781</v>
      </c>
      <c r="M2182" s="1" t="s">
        <v>4782</v>
      </c>
      <c r="N2182" s="1" t="s">
        <v>38</v>
      </c>
      <c r="O2182" s="1" t="s">
        <v>4783</v>
      </c>
      <c r="Q2182" s="1" t="s">
        <v>4803</v>
      </c>
      <c r="R2182" s="1" t="s">
        <v>33</v>
      </c>
      <c r="S2182" s="1"/>
      <c r="U2182" s="1" t="s">
        <v>130</v>
      </c>
      <c r="V2182" s="1" t="s">
        <v>359</v>
      </c>
      <c r="W2182" s="1" t="str">
        <f>VLOOKUP(Table1[[#This Row],[Obergruppe ATC-Code]],Tabelle3!$A$2:$B$100,2)</f>
        <v>ANALGETIKA</v>
      </c>
      <c r="X2182" s="1" t="str">
        <f xml:space="preserve"> LEFT(Table1[[#This Row],[Atc Code]],3)</f>
        <v>N02</v>
      </c>
    </row>
    <row r="2183" spans="1:24" ht="14.4">
      <c r="A2183" s="14">
        <v>725</v>
      </c>
      <c r="B2183" s="24">
        <v>4946263</v>
      </c>
      <c r="C2183" s="1">
        <v>2104033</v>
      </c>
      <c r="D2183" s="1" t="s">
        <v>102</v>
      </c>
      <c r="E2183" s="36">
        <v>45134</v>
      </c>
      <c r="F2183" s="36">
        <v>45260</v>
      </c>
      <c r="G2183" s="38">
        <f t="shared" si="34"/>
        <v>126</v>
      </c>
      <c r="H2183" s="5">
        <v>45138</v>
      </c>
      <c r="I2183" s="5">
        <v>45196</v>
      </c>
      <c r="J2183" s="1" t="s">
        <v>26</v>
      </c>
      <c r="K2183" s="1" t="s">
        <v>4814</v>
      </c>
      <c r="L2183" s="1" t="s">
        <v>4781</v>
      </c>
      <c r="M2183" s="1" t="s">
        <v>4782</v>
      </c>
      <c r="N2183" s="1" t="s">
        <v>38</v>
      </c>
      <c r="O2183" s="1" t="s">
        <v>4783</v>
      </c>
      <c r="Q2183" s="1" t="s">
        <v>4803</v>
      </c>
      <c r="R2183" s="1" t="s">
        <v>33</v>
      </c>
      <c r="S2183" s="1"/>
      <c r="U2183" s="1" t="s">
        <v>130</v>
      </c>
      <c r="V2183" s="1" t="s">
        <v>359</v>
      </c>
      <c r="W2183" s="1" t="str">
        <f>VLOOKUP(Table1[[#This Row],[Obergruppe ATC-Code]],Tabelle3!$A$2:$B$100,2)</f>
        <v>ANALGETIKA</v>
      </c>
      <c r="X2183" s="1" t="str">
        <f xml:space="preserve"> LEFT(Table1[[#This Row],[Atc Code]],3)</f>
        <v>N02</v>
      </c>
    </row>
    <row r="2184" spans="1:24" ht="14.4">
      <c r="A2184" s="14">
        <v>2814</v>
      </c>
      <c r="B2184" s="24" t="s">
        <v>4820</v>
      </c>
      <c r="C2184" s="1">
        <v>2194197</v>
      </c>
      <c r="D2184" s="1" t="s">
        <v>102</v>
      </c>
      <c r="E2184" s="36">
        <v>44967</v>
      </c>
      <c r="F2184" s="36">
        <v>45323</v>
      </c>
      <c r="G2184" s="38">
        <f t="shared" si="34"/>
        <v>356</v>
      </c>
      <c r="H2184" s="5">
        <v>44967</v>
      </c>
      <c r="I2184" s="5">
        <v>45203</v>
      </c>
      <c r="J2184" s="1" t="s">
        <v>41</v>
      </c>
      <c r="K2184" s="1" t="s">
        <v>4821</v>
      </c>
      <c r="L2184" s="1" t="s">
        <v>4781</v>
      </c>
      <c r="M2184" s="1" t="s">
        <v>4782</v>
      </c>
      <c r="N2184" s="1" t="s">
        <v>38</v>
      </c>
      <c r="O2184" s="1" t="s">
        <v>140</v>
      </c>
      <c r="Q2184" s="1" t="s">
        <v>141</v>
      </c>
      <c r="R2184" s="1" t="s">
        <v>2138</v>
      </c>
      <c r="S2184" s="1"/>
      <c r="U2184" s="1" t="s">
        <v>130</v>
      </c>
      <c r="V2184" s="1" t="s">
        <v>359</v>
      </c>
      <c r="W2184" s="1" t="str">
        <f>VLOOKUP(Table1[[#This Row],[Obergruppe ATC-Code]],Tabelle3!$A$2:$B$100,2)</f>
        <v>ANALGETIKA</v>
      </c>
      <c r="X2184" s="1" t="str">
        <f xml:space="preserve"> LEFT(Table1[[#This Row],[Atc Code]],3)</f>
        <v>N02</v>
      </c>
    </row>
    <row r="2185" spans="1:24" ht="14.4">
      <c r="A2185" s="14">
        <v>2813</v>
      </c>
      <c r="B2185" s="24" t="s">
        <v>4822</v>
      </c>
      <c r="C2185" s="1">
        <v>2194196</v>
      </c>
      <c r="D2185" s="1" t="s">
        <v>102</v>
      </c>
      <c r="E2185" s="36">
        <v>44967</v>
      </c>
      <c r="F2185" s="36">
        <v>45323</v>
      </c>
      <c r="G2185" s="38">
        <f t="shared" si="34"/>
        <v>356</v>
      </c>
      <c r="H2185" s="5">
        <v>44967</v>
      </c>
      <c r="I2185" s="5">
        <v>45203</v>
      </c>
      <c r="J2185" s="1" t="s">
        <v>41</v>
      </c>
      <c r="K2185" s="1" t="s">
        <v>4823</v>
      </c>
      <c r="L2185" s="1" t="s">
        <v>4781</v>
      </c>
      <c r="M2185" s="1" t="s">
        <v>4782</v>
      </c>
      <c r="N2185" s="1" t="s">
        <v>38</v>
      </c>
      <c r="O2185" s="1" t="s">
        <v>140</v>
      </c>
      <c r="Q2185" s="1" t="s">
        <v>141</v>
      </c>
      <c r="R2185" s="1" t="s">
        <v>2138</v>
      </c>
      <c r="S2185" s="1"/>
      <c r="U2185" s="1" t="s">
        <v>130</v>
      </c>
      <c r="V2185" s="1" t="s">
        <v>359</v>
      </c>
      <c r="W2185" s="1" t="str">
        <f>VLOOKUP(Table1[[#This Row],[Obergruppe ATC-Code]],Tabelle3!$A$2:$B$100,2)</f>
        <v>ANALGETIKA</v>
      </c>
      <c r="X2185" s="1" t="str">
        <f xml:space="preserve"> LEFT(Table1[[#This Row],[Atc Code]],3)</f>
        <v>N02</v>
      </c>
    </row>
    <row r="2186" spans="1:24" ht="14.4">
      <c r="A2186" s="14">
        <v>2456</v>
      </c>
      <c r="B2186" s="24" t="s">
        <v>4824</v>
      </c>
      <c r="C2186" s="1">
        <v>2178844</v>
      </c>
      <c r="D2186" s="1" t="s">
        <v>102</v>
      </c>
      <c r="E2186" s="36">
        <v>44967</v>
      </c>
      <c r="F2186" s="36">
        <v>45323</v>
      </c>
      <c r="G2186" s="38">
        <f t="shared" si="34"/>
        <v>356</v>
      </c>
      <c r="H2186" s="5">
        <v>44967</v>
      </c>
      <c r="I2186" s="5">
        <v>45203</v>
      </c>
      <c r="J2186" s="1" t="s">
        <v>41</v>
      </c>
      <c r="K2186" s="1" t="s">
        <v>4825</v>
      </c>
      <c r="L2186" s="1" t="s">
        <v>4781</v>
      </c>
      <c r="M2186" s="1" t="s">
        <v>4782</v>
      </c>
      <c r="N2186" s="1" t="s">
        <v>38</v>
      </c>
      <c r="O2186" s="1" t="s">
        <v>140</v>
      </c>
      <c r="Q2186" s="1" t="s">
        <v>141</v>
      </c>
      <c r="R2186" s="1" t="s">
        <v>2138</v>
      </c>
      <c r="S2186" s="1"/>
      <c r="U2186" s="1" t="s">
        <v>130</v>
      </c>
      <c r="V2186" s="1" t="s">
        <v>359</v>
      </c>
      <c r="W2186" s="1" t="str">
        <f>VLOOKUP(Table1[[#This Row],[Obergruppe ATC-Code]],Tabelle3!$A$2:$B$100,2)</f>
        <v>ANALGETIKA</v>
      </c>
      <c r="X2186" s="1" t="str">
        <f xml:space="preserve"> LEFT(Table1[[#This Row],[Atc Code]],3)</f>
        <v>N02</v>
      </c>
    </row>
    <row r="2187" spans="1:24" ht="14.4">
      <c r="A2187" s="14">
        <v>2455</v>
      </c>
      <c r="B2187" s="24" t="s">
        <v>4826</v>
      </c>
      <c r="C2187" s="1">
        <v>2178843</v>
      </c>
      <c r="D2187" s="1" t="s">
        <v>102</v>
      </c>
      <c r="E2187" s="36">
        <v>44967</v>
      </c>
      <c r="F2187" s="36">
        <v>45323</v>
      </c>
      <c r="G2187" s="38">
        <f t="shared" si="34"/>
        <v>356</v>
      </c>
      <c r="H2187" s="5">
        <v>44967</v>
      </c>
      <c r="I2187" s="5">
        <v>45203</v>
      </c>
      <c r="J2187" s="1" t="s">
        <v>41</v>
      </c>
      <c r="K2187" s="1" t="s">
        <v>4827</v>
      </c>
      <c r="L2187" s="1" t="s">
        <v>4781</v>
      </c>
      <c r="M2187" s="1" t="s">
        <v>4782</v>
      </c>
      <c r="N2187" s="1" t="s">
        <v>38</v>
      </c>
      <c r="O2187" s="1" t="s">
        <v>140</v>
      </c>
      <c r="Q2187" s="1" t="s">
        <v>141</v>
      </c>
      <c r="R2187" s="1" t="s">
        <v>2138</v>
      </c>
      <c r="S2187" s="1"/>
      <c r="U2187" s="1" t="s">
        <v>130</v>
      </c>
      <c r="V2187" s="1" t="s">
        <v>359</v>
      </c>
      <c r="W2187" s="1" t="str">
        <f>VLOOKUP(Table1[[#This Row],[Obergruppe ATC-Code]],Tabelle3!$A$2:$B$100,2)</f>
        <v>ANALGETIKA</v>
      </c>
      <c r="X2187" s="1" t="str">
        <f xml:space="preserve"> LEFT(Table1[[#This Row],[Atc Code]],3)</f>
        <v>N02</v>
      </c>
    </row>
    <row r="2188" spans="1:24" ht="14.4">
      <c r="A2188" s="14">
        <v>2454</v>
      </c>
      <c r="B2188" s="24" t="s">
        <v>4828</v>
      </c>
      <c r="C2188" s="1">
        <v>2178842</v>
      </c>
      <c r="D2188" s="1" t="s">
        <v>102</v>
      </c>
      <c r="E2188" s="36">
        <v>44967</v>
      </c>
      <c r="F2188" s="36">
        <v>45323</v>
      </c>
      <c r="G2188" s="38">
        <f t="shared" si="34"/>
        <v>356</v>
      </c>
      <c r="H2188" s="5">
        <v>44967</v>
      </c>
      <c r="I2188" s="5">
        <v>45203</v>
      </c>
      <c r="J2188" s="1" t="s">
        <v>41</v>
      </c>
      <c r="K2188" s="1" t="s">
        <v>4829</v>
      </c>
      <c r="L2188" s="1" t="s">
        <v>4781</v>
      </c>
      <c r="M2188" s="1" t="s">
        <v>4782</v>
      </c>
      <c r="N2188" s="1" t="s">
        <v>38</v>
      </c>
      <c r="O2188" s="1" t="s">
        <v>140</v>
      </c>
      <c r="Q2188" s="1" t="s">
        <v>141</v>
      </c>
      <c r="R2188" s="1" t="s">
        <v>2138</v>
      </c>
      <c r="S2188" s="1"/>
      <c r="U2188" s="1" t="s">
        <v>130</v>
      </c>
      <c r="V2188" s="1" t="s">
        <v>359</v>
      </c>
      <c r="W2188" s="1" t="str">
        <f>VLOOKUP(Table1[[#This Row],[Obergruppe ATC-Code]],Tabelle3!$A$2:$B$100,2)</f>
        <v>ANALGETIKA</v>
      </c>
      <c r="X2188" s="1" t="str">
        <f xml:space="preserve"> LEFT(Table1[[#This Row],[Atc Code]],3)</f>
        <v>N02</v>
      </c>
    </row>
    <row r="2189" spans="1:24" ht="14.4">
      <c r="A2189" s="14">
        <v>2453</v>
      </c>
      <c r="B2189" s="24" t="s">
        <v>4830</v>
      </c>
      <c r="C2189" s="1">
        <v>2178841</v>
      </c>
      <c r="D2189" s="1" t="s">
        <v>102</v>
      </c>
      <c r="E2189" s="36">
        <v>44967</v>
      </c>
      <c r="F2189" s="36">
        <v>45323</v>
      </c>
      <c r="G2189" s="38">
        <f t="shared" si="34"/>
        <v>356</v>
      </c>
      <c r="H2189" s="5">
        <v>44967</v>
      </c>
      <c r="I2189" s="5">
        <v>45203</v>
      </c>
      <c r="J2189" s="1" t="s">
        <v>41</v>
      </c>
      <c r="K2189" s="1" t="s">
        <v>4831</v>
      </c>
      <c r="L2189" s="1" t="s">
        <v>4781</v>
      </c>
      <c r="M2189" s="1" t="s">
        <v>4782</v>
      </c>
      <c r="N2189" s="1" t="s">
        <v>38</v>
      </c>
      <c r="O2189" s="1" t="s">
        <v>140</v>
      </c>
      <c r="Q2189" s="1" t="s">
        <v>141</v>
      </c>
      <c r="R2189" s="1" t="s">
        <v>2138</v>
      </c>
      <c r="S2189" s="1"/>
      <c r="U2189" s="1" t="s">
        <v>130</v>
      </c>
      <c r="V2189" s="1" t="s">
        <v>359</v>
      </c>
      <c r="W2189" s="1" t="str">
        <f>VLOOKUP(Table1[[#This Row],[Obergruppe ATC-Code]],Tabelle3!$A$2:$B$100,2)</f>
        <v>ANALGETIKA</v>
      </c>
      <c r="X2189" s="1" t="str">
        <f xml:space="preserve"> LEFT(Table1[[#This Row],[Atc Code]],3)</f>
        <v>N02</v>
      </c>
    </row>
    <row r="2190" spans="1:24" ht="14.4">
      <c r="A2190" s="14">
        <v>2452</v>
      </c>
      <c r="B2190" s="24" t="s">
        <v>4832</v>
      </c>
      <c r="C2190" s="1">
        <v>2178840</v>
      </c>
      <c r="D2190" s="1" t="s">
        <v>102</v>
      </c>
      <c r="E2190" s="36">
        <v>44967</v>
      </c>
      <c r="F2190" s="36">
        <v>45323</v>
      </c>
      <c r="G2190" s="38">
        <f t="shared" si="34"/>
        <v>356</v>
      </c>
      <c r="H2190" s="5">
        <v>44967</v>
      </c>
      <c r="I2190" s="5">
        <v>45203</v>
      </c>
      <c r="J2190" s="1" t="s">
        <v>41</v>
      </c>
      <c r="K2190" s="1" t="s">
        <v>4833</v>
      </c>
      <c r="L2190" s="1" t="s">
        <v>4781</v>
      </c>
      <c r="M2190" s="1" t="s">
        <v>4782</v>
      </c>
      <c r="N2190" s="1" t="s">
        <v>38</v>
      </c>
      <c r="O2190" s="1" t="s">
        <v>140</v>
      </c>
      <c r="Q2190" s="1" t="s">
        <v>141</v>
      </c>
      <c r="R2190" s="1" t="s">
        <v>2138</v>
      </c>
      <c r="S2190" s="1"/>
      <c r="U2190" s="1" t="s">
        <v>130</v>
      </c>
      <c r="V2190" s="1" t="s">
        <v>359</v>
      </c>
      <c r="W2190" s="1" t="str">
        <f>VLOOKUP(Table1[[#This Row],[Obergruppe ATC-Code]],Tabelle3!$A$2:$B$100,2)</f>
        <v>ANALGETIKA</v>
      </c>
      <c r="X2190" s="1" t="str">
        <f xml:space="preserve"> LEFT(Table1[[#This Row],[Atc Code]],3)</f>
        <v>N02</v>
      </c>
    </row>
    <row r="2191" spans="1:24" ht="14.4">
      <c r="A2191" s="14">
        <v>2863</v>
      </c>
      <c r="B2191" s="24" t="s">
        <v>4834</v>
      </c>
      <c r="C2191" s="1">
        <v>2178090</v>
      </c>
      <c r="D2191" s="1" t="s">
        <v>25</v>
      </c>
      <c r="E2191" s="36">
        <v>43739</v>
      </c>
      <c r="F2191" s="36">
        <v>43830</v>
      </c>
      <c r="G2191" s="38">
        <f t="shared" si="34"/>
        <v>91</v>
      </c>
      <c r="H2191" s="5">
        <v>43767</v>
      </c>
      <c r="I2191" s="5">
        <v>43847</v>
      </c>
      <c r="J2191" s="1" t="s">
        <v>41</v>
      </c>
      <c r="K2191" s="1" t="s">
        <v>4835</v>
      </c>
      <c r="L2191" s="1" t="s">
        <v>4836</v>
      </c>
      <c r="M2191" s="1" t="s">
        <v>4837</v>
      </c>
      <c r="N2191" s="1" t="s">
        <v>30</v>
      </c>
      <c r="O2191" s="1" t="s">
        <v>91</v>
      </c>
      <c r="P2191" s="1" t="s">
        <v>92</v>
      </c>
      <c r="Q2191" s="1" t="s">
        <v>93</v>
      </c>
      <c r="R2191" s="1" t="s">
        <v>48</v>
      </c>
      <c r="S2191" s="1"/>
      <c r="U2191" s="1" t="s">
        <v>57</v>
      </c>
      <c r="V2191" s="1" t="s">
        <v>199</v>
      </c>
      <c r="W2191" s="1" t="str">
        <f>VLOOKUP(Table1[[#This Row],[Obergruppe ATC-Code]],Tabelle3!$A$2:$B$100,2)</f>
        <v>ANALGETIKA</v>
      </c>
      <c r="X2191" s="1" t="str">
        <f xml:space="preserve"> LEFT(Table1[[#This Row],[Atc Code]],3)</f>
        <v>N02</v>
      </c>
    </row>
    <row r="2192" spans="1:24" ht="14.4">
      <c r="A2192" s="14">
        <v>2332</v>
      </c>
      <c r="B2192" s="24" t="s">
        <v>4838</v>
      </c>
      <c r="C2192" s="1">
        <v>2178092</v>
      </c>
      <c r="D2192" s="1" t="s">
        <v>25</v>
      </c>
      <c r="E2192" s="36">
        <v>43739</v>
      </c>
      <c r="F2192" s="36">
        <v>43830</v>
      </c>
      <c r="G2192" s="38">
        <f t="shared" si="34"/>
        <v>91</v>
      </c>
      <c r="H2192" s="5">
        <v>43767</v>
      </c>
      <c r="I2192" s="5">
        <v>43847</v>
      </c>
      <c r="J2192" s="1" t="s">
        <v>41</v>
      </c>
      <c r="K2192" s="1" t="s">
        <v>4839</v>
      </c>
      <c r="L2192" s="1" t="s">
        <v>4836</v>
      </c>
      <c r="M2192" s="1" t="s">
        <v>4837</v>
      </c>
      <c r="N2192" s="1" t="s">
        <v>30</v>
      </c>
      <c r="O2192" s="1" t="s">
        <v>91</v>
      </c>
      <c r="P2192" s="1" t="s">
        <v>92</v>
      </c>
      <c r="Q2192" s="1" t="s">
        <v>93</v>
      </c>
      <c r="R2192" s="1" t="s">
        <v>48</v>
      </c>
      <c r="S2192" s="1"/>
      <c r="U2192" s="1" t="s">
        <v>57</v>
      </c>
      <c r="V2192" s="1" t="s">
        <v>199</v>
      </c>
      <c r="W2192" s="1" t="str">
        <f>VLOOKUP(Table1[[#This Row],[Obergruppe ATC-Code]],Tabelle3!$A$2:$B$100,2)</f>
        <v>ANALGETIKA</v>
      </c>
      <c r="X2192" s="1" t="str">
        <f xml:space="preserve"> LEFT(Table1[[#This Row],[Atc Code]],3)</f>
        <v>N02</v>
      </c>
    </row>
    <row r="2193" spans="1:24" ht="14.4">
      <c r="A2193" s="14">
        <v>2331</v>
      </c>
      <c r="B2193" s="24" t="s">
        <v>4840</v>
      </c>
      <c r="C2193" s="1">
        <v>2178093</v>
      </c>
      <c r="D2193" s="1" t="s">
        <v>25</v>
      </c>
      <c r="E2193" s="36">
        <v>43739</v>
      </c>
      <c r="F2193" s="36">
        <v>43830</v>
      </c>
      <c r="G2193" s="38">
        <f t="shared" si="34"/>
        <v>91</v>
      </c>
      <c r="H2193" s="5">
        <v>43767</v>
      </c>
      <c r="I2193" s="5">
        <v>43847</v>
      </c>
      <c r="J2193" s="1" t="s">
        <v>41</v>
      </c>
      <c r="K2193" s="1" t="s">
        <v>4841</v>
      </c>
      <c r="L2193" s="1" t="s">
        <v>4836</v>
      </c>
      <c r="M2193" s="1" t="s">
        <v>4837</v>
      </c>
      <c r="N2193" s="1" t="s">
        <v>30</v>
      </c>
      <c r="O2193" s="1" t="s">
        <v>91</v>
      </c>
      <c r="P2193" s="1" t="s">
        <v>92</v>
      </c>
      <c r="Q2193" s="1" t="s">
        <v>93</v>
      </c>
      <c r="R2193" s="1" t="s">
        <v>48</v>
      </c>
      <c r="S2193" s="1"/>
      <c r="U2193" s="1" t="s">
        <v>57</v>
      </c>
      <c r="V2193" s="1" t="s">
        <v>199</v>
      </c>
      <c r="W2193" s="1" t="str">
        <f>VLOOKUP(Table1[[#This Row],[Obergruppe ATC-Code]],Tabelle3!$A$2:$B$100,2)</f>
        <v>ANALGETIKA</v>
      </c>
      <c r="X2193" s="1" t="str">
        <f xml:space="preserve"> LEFT(Table1[[#This Row],[Atc Code]],3)</f>
        <v>N02</v>
      </c>
    </row>
    <row r="2194" spans="1:24" ht="14.4">
      <c r="A2194" s="14">
        <v>2231</v>
      </c>
      <c r="B2194" s="24" t="s">
        <v>4842</v>
      </c>
      <c r="C2194" s="1">
        <v>2178091</v>
      </c>
      <c r="D2194" s="1" t="s">
        <v>25</v>
      </c>
      <c r="E2194" s="36">
        <v>43739</v>
      </c>
      <c r="F2194" s="36">
        <v>43830</v>
      </c>
      <c r="G2194" s="38">
        <f t="shared" si="34"/>
        <v>91</v>
      </c>
      <c r="H2194" s="5">
        <v>43767</v>
      </c>
      <c r="I2194" s="5">
        <v>43847</v>
      </c>
      <c r="J2194" s="1" t="s">
        <v>41</v>
      </c>
      <c r="K2194" s="1" t="s">
        <v>4843</v>
      </c>
      <c r="L2194" s="1" t="s">
        <v>4836</v>
      </c>
      <c r="M2194" s="1" t="s">
        <v>4837</v>
      </c>
      <c r="N2194" s="1" t="s">
        <v>30</v>
      </c>
      <c r="O2194" s="1" t="s">
        <v>91</v>
      </c>
      <c r="P2194" s="1" t="s">
        <v>92</v>
      </c>
      <c r="Q2194" s="1" t="s">
        <v>93</v>
      </c>
      <c r="R2194" s="1" t="s">
        <v>48</v>
      </c>
      <c r="S2194" s="1"/>
      <c r="U2194" s="1" t="s">
        <v>57</v>
      </c>
      <c r="V2194" s="1" t="s">
        <v>199</v>
      </c>
      <c r="W2194" s="1" t="str">
        <f>VLOOKUP(Table1[[#This Row],[Obergruppe ATC-Code]],Tabelle3!$A$2:$B$100,2)</f>
        <v>ANALGETIKA</v>
      </c>
      <c r="X2194" s="1" t="str">
        <f xml:space="preserve"> LEFT(Table1[[#This Row],[Atc Code]],3)</f>
        <v>N02</v>
      </c>
    </row>
    <row r="2195" spans="1:24" ht="14.4">
      <c r="A2195" s="14">
        <v>3164</v>
      </c>
      <c r="B2195" s="3">
        <v>5854468</v>
      </c>
      <c r="C2195" s="1">
        <v>2178094</v>
      </c>
      <c r="D2195" s="1" t="s">
        <v>25</v>
      </c>
      <c r="E2195" s="36">
        <v>43739</v>
      </c>
      <c r="F2195" s="36">
        <v>43830</v>
      </c>
      <c r="G2195" s="38">
        <f t="shared" si="34"/>
        <v>91</v>
      </c>
      <c r="H2195" s="5">
        <v>43767</v>
      </c>
      <c r="I2195" s="5">
        <v>43847</v>
      </c>
      <c r="J2195" s="1" t="s">
        <v>41</v>
      </c>
      <c r="K2195" s="1" t="s">
        <v>4844</v>
      </c>
      <c r="L2195" s="1" t="s">
        <v>4836</v>
      </c>
      <c r="M2195" s="1" t="s">
        <v>4837</v>
      </c>
      <c r="N2195" s="1" t="s">
        <v>30</v>
      </c>
      <c r="O2195" s="1" t="s">
        <v>91</v>
      </c>
      <c r="P2195" s="1" t="s">
        <v>92</v>
      </c>
      <c r="Q2195" s="1" t="s">
        <v>93</v>
      </c>
      <c r="R2195" s="1" t="s">
        <v>48</v>
      </c>
      <c r="S2195" s="1"/>
      <c r="U2195" s="1" t="s">
        <v>57</v>
      </c>
      <c r="V2195" s="1" t="s">
        <v>199</v>
      </c>
      <c r="W2195" s="1" t="str">
        <f>VLOOKUP(Table1[[#This Row],[Obergruppe ATC-Code]],Tabelle3!$A$2:$B$100,2)</f>
        <v>ANALGETIKA</v>
      </c>
      <c r="X2195" s="1" t="str">
        <f xml:space="preserve"> LEFT(Table1[[#This Row],[Atc Code]],3)</f>
        <v>N02</v>
      </c>
    </row>
    <row r="2196" spans="1:24" ht="14.4">
      <c r="A2196" s="14">
        <v>1408</v>
      </c>
      <c r="B2196" s="24">
        <v>13925389</v>
      </c>
      <c r="C2196" s="1">
        <v>2185919</v>
      </c>
      <c r="D2196" s="1" t="s">
        <v>25</v>
      </c>
      <c r="E2196" s="36">
        <v>44166</v>
      </c>
      <c r="F2196" s="36">
        <v>44255</v>
      </c>
      <c r="G2196" s="38">
        <f t="shared" si="34"/>
        <v>89</v>
      </c>
      <c r="H2196" s="5">
        <v>44211</v>
      </c>
      <c r="I2196" s="5">
        <v>44257</v>
      </c>
      <c r="J2196" s="1" t="s">
        <v>41</v>
      </c>
      <c r="K2196" s="1" t="s">
        <v>4845</v>
      </c>
      <c r="L2196" s="1" t="s">
        <v>4836</v>
      </c>
      <c r="M2196" s="1" t="s">
        <v>4837</v>
      </c>
      <c r="N2196" s="1" t="s">
        <v>38</v>
      </c>
      <c r="O2196" s="1" t="s">
        <v>1440</v>
      </c>
      <c r="P2196" s="1" t="s">
        <v>1441</v>
      </c>
      <c r="Q2196" s="1" t="s">
        <v>1916</v>
      </c>
      <c r="R2196" s="1" t="s">
        <v>26</v>
      </c>
      <c r="S2196" s="1"/>
      <c r="U2196" s="1" t="s">
        <v>35</v>
      </c>
      <c r="V2196" s="1" t="s">
        <v>199</v>
      </c>
      <c r="W2196" s="1" t="str">
        <f>VLOOKUP(Table1[[#This Row],[Obergruppe ATC-Code]],Tabelle3!$A$2:$B$100,2)</f>
        <v>ANALGETIKA</v>
      </c>
      <c r="X2196" s="1" t="str">
        <f xml:space="preserve"> LEFT(Table1[[#This Row],[Atc Code]],3)</f>
        <v>N02</v>
      </c>
    </row>
    <row r="2197" spans="1:24" ht="14.4">
      <c r="A2197" s="14">
        <v>1407</v>
      </c>
      <c r="B2197" s="24">
        <v>13925389</v>
      </c>
      <c r="C2197" s="1">
        <v>2185919</v>
      </c>
      <c r="D2197" s="1" t="s">
        <v>25</v>
      </c>
      <c r="E2197" s="36">
        <v>44166</v>
      </c>
      <c r="F2197" s="36">
        <v>44393</v>
      </c>
      <c r="G2197" s="38">
        <f t="shared" si="34"/>
        <v>227</v>
      </c>
      <c r="H2197" s="5">
        <v>44181</v>
      </c>
      <c r="I2197" s="5">
        <v>44393</v>
      </c>
      <c r="J2197" s="1" t="s">
        <v>26</v>
      </c>
      <c r="K2197" s="1" t="s">
        <v>4845</v>
      </c>
      <c r="L2197" s="1" t="s">
        <v>4836</v>
      </c>
      <c r="M2197" s="1" t="s">
        <v>4837</v>
      </c>
      <c r="N2197" s="1" t="s">
        <v>38</v>
      </c>
      <c r="O2197" s="1" t="s">
        <v>1440</v>
      </c>
      <c r="P2197" s="1" t="s">
        <v>1441</v>
      </c>
      <c r="Q2197" s="1" t="s">
        <v>1916</v>
      </c>
      <c r="R2197" s="1" t="s">
        <v>33</v>
      </c>
      <c r="S2197" s="1"/>
      <c r="U2197" s="1" t="s">
        <v>35</v>
      </c>
      <c r="V2197" s="1" t="s">
        <v>199</v>
      </c>
      <c r="W2197" s="1" t="str">
        <f>VLOOKUP(Table1[[#This Row],[Obergruppe ATC-Code]],Tabelle3!$A$2:$B$100,2)</f>
        <v>ANALGETIKA</v>
      </c>
      <c r="X2197" s="1" t="str">
        <f xml:space="preserve"> LEFT(Table1[[#This Row],[Atc Code]],3)</f>
        <v>N02</v>
      </c>
    </row>
    <row r="2198" spans="1:24" ht="14.4">
      <c r="A2198" s="14">
        <v>2772</v>
      </c>
      <c r="B2198" s="24" t="s">
        <v>4846</v>
      </c>
      <c r="C2198" s="1">
        <v>2185919</v>
      </c>
      <c r="D2198" s="1" t="s">
        <v>25</v>
      </c>
      <c r="E2198" s="36">
        <v>44292</v>
      </c>
      <c r="F2198" s="36">
        <v>44408</v>
      </c>
      <c r="G2198" s="38">
        <f t="shared" si="34"/>
        <v>116</v>
      </c>
      <c r="H2198" s="5">
        <v>44316</v>
      </c>
      <c r="I2198" s="5">
        <v>44442</v>
      </c>
      <c r="J2198" s="1" t="s">
        <v>26</v>
      </c>
      <c r="K2198" s="1" t="s">
        <v>4845</v>
      </c>
      <c r="L2198" s="1" t="s">
        <v>4836</v>
      </c>
      <c r="M2198" s="1" t="s">
        <v>4837</v>
      </c>
      <c r="N2198" s="1" t="s">
        <v>38</v>
      </c>
      <c r="O2198" s="1" t="s">
        <v>1440</v>
      </c>
      <c r="P2198" s="1" t="s">
        <v>1441</v>
      </c>
      <c r="Q2198" s="1" t="s">
        <v>1916</v>
      </c>
      <c r="R2198" s="1" t="s">
        <v>113</v>
      </c>
      <c r="S2198" s="1" t="s">
        <v>4847</v>
      </c>
      <c r="U2198" s="1" t="s">
        <v>35</v>
      </c>
      <c r="V2198" s="1" t="s">
        <v>199</v>
      </c>
      <c r="W2198" s="1" t="str">
        <f>VLOOKUP(Table1[[#This Row],[Obergruppe ATC-Code]],Tabelle3!$A$2:$B$100,2)</f>
        <v>ANALGETIKA</v>
      </c>
      <c r="X2198" s="1" t="str">
        <f xml:space="preserve"> LEFT(Table1[[#This Row],[Atc Code]],3)</f>
        <v>N02</v>
      </c>
    </row>
    <row r="2199" spans="1:24" ht="14.4">
      <c r="A2199" s="14">
        <v>1410</v>
      </c>
      <c r="B2199" s="24">
        <v>13925395</v>
      </c>
      <c r="C2199" s="1">
        <v>2185919</v>
      </c>
      <c r="D2199" s="1" t="s">
        <v>25</v>
      </c>
      <c r="E2199" s="36">
        <v>44292</v>
      </c>
      <c r="F2199" s="36">
        <v>44408</v>
      </c>
      <c r="G2199" s="38">
        <f t="shared" si="34"/>
        <v>116</v>
      </c>
      <c r="H2199" s="5">
        <v>44393</v>
      </c>
      <c r="I2199" s="5">
        <v>44442</v>
      </c>
      <c r="J2199" s="1" t="s">
        <v>41</v>
      </c>
      <c r="K2199" s="1" t="s">
        <v>4845</v>
      </c>
      <c r="L2199" s="1" t="s">
        <v>4836</v>
      </c>
      <c r="M2199" s="1" t="s">
        <v>4837</v>
      </c>
      <c r="N2199" s="1" t="s">
        <v>38</v>
      </c>
      <c r="O2199" s="1" t="s">
        <v>1440</v>
      </c>
      <c r="P2199" s="1" t="s">
        <v>1907</v>
      </c>
      <c r="Q2199" s="1" t="s">
        <v>1541</v>
      </c>
      <c r="R2199" s="1" t="s">
        <v>65</v>
      </c>
      <c r="S2199" s="1" t="s">
        <v>4848</v>
      </c>
      <c r="U2199" s="1" t="s">
        <v>130</v>
      </c>
      <c r="V2199" s="1" t="s">
        <v>199</v>
      </c>
      <c r="W2199" s="1" t="str">
        <f>VLOOKUP(Table1[[#This Row],[Obergruppe ATC-Code]],Tabelle3!$A$2:$B$100,2)</f>
        <v>ANALGETIKA</v>
      </c>
      <c r="X2199" s="1" t="str">
        <f xml:space="preserve"> LEFT(Table1[[#This Row],[Atc Code]],3)</f>
        <v>N02</v>
      </c>
    </row>
    <row r="2200" spans="1:24" ht="14.4">
      <c r="A2200" s="14">
        <v>1411</v>
      </c>
      <c r="B2200" s="24">
        <v>13925403</v>
      </c>
      <c r="C2200" s="1">
        <v>2185919</v>
      </c>
      <c r="D2200" s="1" t="s">
        <v>25</v>
      </c>
      <c r="E2200" s="36">
        <v>44491</v>
      </c>
      <c r="F2200" s="36">
        <v>44582</v>
      </c>
      <c r="G2200" s="38">
        <f t="shared" si="34"/>
        <v>91</v>
      </c>
      <c r="H2200" s="5">
        <v>44491</v>
      </c>
      <c r="I2200" s="5">
        <v>44599</v>
      </c>
      <c r="J2200" s="1" t="s">
        <v>26</v>
      </c>
      <c r="K2200" s="1" t="s">
        <v>4845</v>
      </c>
      <c r="L2200" s="1" t="s">
        <v>4836</v>
      </c>
      <c r="M2200" s="1" t="s">
        <v>4837</v>
      </c>
      <c r="N2200" s="1" t="s">
        <v>38</v>
      </c>
      <c r="O2200" s="1" t="s">
        <v>1440</v>
      </c>
      <c r="P2200" s="1" t="s">
        <v>1540</v>
      </c>
      <c r="Q2200" s="1" t="s">
        <v>1541</v>
      </c>
      <c r="R2200" s="1" t="s">
        <v>33</v>
      </c>
      <c r="S2200" s="1"/>
      <c r="U2200" s="1" t="s">
        <v>35</v>
      </c>
      <c r="V2200" s="1" t="s">
        <v>199</v>
      </c>
      <c r="W2200" s="1" t="str">
        <f>VLOOKUP(Table1[[#This Row],[Obergruppe ATC-Code]],Tabelle3!$A$2:$B$100,2)</f>
        <v>ANALGETIKA</v>
      </c>
      <c r="X2200" s="1" t="str">
        <f xml:space="preserve"> LEFT(Table1[[#This Row],[Atc Code]],3)</f>
        <v>N02</v>
      </c>
    </row>
    <row r="2201" spans="1:24" ht="14.4">
      <c r="A2201" s="14">
        <v>1409</v>
      </c>
      <c r="B2201" s="24">
        <v>13925389</v>
      </c>
      <c r="C2201" s="1">
        <v>2185919</v>
      </c>
      <c r="D2201" s="1" t="s">
        <v>25</v>
      </c>
      <c r="E2201" s="36">
        <v>44426</v>
      </c>
      <c r="F2201" s="36">
        <v>44582</v>
      </c>
      <c r="G2201" s="38">
        <f t="shared" si="34"/>
        <v>156</v>
      </c>
      <c r="H2201" s="5">
        <v>44442</v>
      </c>
      <c r="I2201" s="5">
        <v>44599</v>
      </c>
      <c r="J2201" s="1" t="s">
        <v>41</v>
      </c>
      <c r="K2201" s="1" t="s">
        <v>4845</v>
      </c>
      <c r="L2201" s="1" t="s">
        <v>4836</v>
      </c>
      <c r="M2201" s="1" t="s">
        <v>4837</v>
      </c>
      <c r="N2201" s="1" t="s">
        <v>38</v>
      </c>
      <c r="O2201" s="1" t="s">
        <v>1440</v>
      </c>
      <c r="P2201" s="1" t="s">
        <v>1907</v>
      </c>
      <c r="Q2201" s="1" t="s">
        <v>1541</v>
      </c>
      <c r="R2201" s="1" t="s">
        <v>128</v>
      </c>
      <c r="S2201" s="1"/>
      <c r="U2201" s="1" t="s">
        <v>35</v>
      </c>
      <c r="V2201" s="1" t="s">
        <v>199</v>
      </c>
      <c r="W2201" s="1" t="str">
        <f>VLOOKUP(Table1[[#This Row],[Obergruppe ATC-Code]],Tabelle3!$A$2:$B$100,2)</f>
        <v>ANALGETIKA</v>
      </c>
      <c r="X2201" s="1" t="str">
        <f xml:space="preserve"> LEFT(Table1[[#This Row],[Atc Code]],3)</f>
        <v>N02</v>
      </c>
    </row>
    <row r="2202" spans="1:24" ht="14.4">
      <c r="A2202" s="14">
        <v>101</v>
      </c>
      <c r="B2202" s="24">
        <v>607475</v>
      </c>
      <c r="C2202" s="1">
        <v>2133162</v>
      </c>
      <c r="D2202" s="1" t="s">
        <v>25</v>
      </c>
      <c r="E2202" s="36">
        <v>44651</v>
      </c>
      <c r="F2202" s="36">
        <v>44671</v>
      </c>
      <c r="G2202" s="38">
        <f t="shared" si="34"/>
        <v>20</v>
      </c>
      <c r="H2202" s="5">
        <v>44651</v>
      </c>
      <c r="I2202" s="5">
        <v>44671</v>
      </c>
      <c r="J2202" s="1" t="s">
        <v>26</v>
      </c>
      <c r="K2202" s="1" t="s">
        <v>4849</v>
      </c>
      <c r="L2202" s="1" t="s">
        <v>4836</v>
      </c>
      <c r="M2202" s="1" t="s">
        <v>4837</v>
      </c>
      <c r="N2202" s="1" t="s">
        <v>30</v>
      </c>
      <c r="O2202" s="1" t="s">
        <v>4783</v>
      </c>
      <c r="Q2202" s="1" t="s">
        <v>4803</v>
      </c>
      <c r="R2202" s="1" t="s">
        <v>33</v>
      </c>
      <c r="S2202" s="1"/>
      <c r="U2202" s="1" t="s">
        <v>130</v>
      </c>
      <c r="V2202" s="1" t="s">
        <v>199</v>
      </c>
      <c r="W2202" s="1" t="str">
        <f>VLOOKUP(Table1[[#This Row],[Obergruppe ATC-Code]],Tabelle3!$A$2:$B$100,2)</f>
        <v>ANALGETIKA</v>
      </c>
      <c r="X2202" s="1" t="str">
        <f xml:space="preserve"> LEFT(Table1[[#This Row],[Atc Code]],3)</f>
        <v>N02</v>
      </c>
    </row>
    <row r="2203" spans="1:24" ht="14.4">
      <c r="A2203" s="14">
        <v>1031</v>
      </c>
      <c r="B2203" s="24">
        <v>8859845</v>
      </c>
      <c r="C2203" s="1">
        <v>2133162</v>
      </c>
      <c r="D2203" s="1" t="s">
        <v>25</v>
      </c>
      <c r="E2203" s="36">
        <v>44651</v>
      </c>
      <c r="F2203" s="36">
        <v>44672</v>
      </c>
      <c r="G2203" s="38">
        <f t="shared" si="34"/>
        <v>21</v>
      </c>
      <c r="H2203" s="5">
        <v>44651</v>
      </c>
      <c r="I2203" s="5">
        <v>44672</v>
      </c>
      <c r="J2203" s="1" t="s">
        <v>26</v>
      </c>
      <c r="K2203" s="1" t="s">
        <v>4849</v>
      </c>
      <c r="L2203" s="1" t="s">
        <v>4836</v>
      </c>
      <c r="M2203" s="1" t="s">
        <v>4837</v>
      </c>
      <c r="N2203" s="1" t="s">
        <v>38</v>
      </c>
      <c r="O2203" s="1" t="s">
        <v>4783</v>
      </c>
      <c r="Q2203" s="1" t="s">
        <v>4803</v>
      </c>
      <c r="R2203" s="1" t="s">
        <v>33</v>
      </c>
      <c r="S2203" s="1"/>
      <c r="U2203" s="1" t="s">
        <v>130</v>
      </c>
      <c r="V2203" s="1" t="s">
        <v>199</v>
      </c>
      <c r="W2203" s="1" t="str">
        <f>VLOOKUP(Table1[[#This Row],[Obergruppe ATC-Code]],Tabelle3!$A$2:$B$100,2)</f>
        <v>ANALGETIKA</v>
      </c>
      <c r="X2203" s="1" t="str">
        <f xml:space="preserve"> LEFT(Table1[[#This Row],[Atc Code]],3)</f>
        <v>N02</v>
      </c>
    </row>
    <row r="2204" spans="1:24" ht="14.4">
      <c r="A2204" s="14">
        <v>2430</v>
      </c>
      <c r="B2204" s="24" t="s">
        <v>4850</v>
      </c>
      <c r="C2204" s="1">
        <v>2133164</v>
      </c>
      <c r="D2204" s="1" t="s">
        <v>25</v>
      </c>
      <c r="E2204" s="36">
        <v>44651</v>
      </c>
      <c r="F2204" s="36">
        <v>44698</v>
      </c>
      <c r="G2204" s="38">
        <f t="shared" si="34"/>
        <v>47</v>
      </c>
      <c r="H2204" s="5">
        <v>44651</v>
      </c>
      <c r="I2204" s="5">
        <v>44698</v>
      </c>
      <c r="J2204" s="1" t="s">
        <v>26</v>
      </c>
      <c r="K2204" s="1" t="s">
        <v>4851</v>
      </c>
      <c r="L2204" s="1" t="s">
        <v>4836</v>
      </c>
      <c r="M2204" s="1" t="s">
        <v>4837</v>
      </c>
      <c r="N2204" s="1" t="s">
        <v>38</v>
      </c>
      <c r="O2204" s="1" t="s">
        <v>4783</v>
      </c>
      <c r="Q2204" s="1" t="s">
        <v>4803</v>
      </c>
      <c r="R2204" s="1" t="s">
        <v>33</v>
      </c>
      <c r="S2204" s="1"/>
      <c r="U2204" s="1" t="s">
        <v>130</v>
      </c>
      <c r="V2204" s="1" t="s">
        <v>199</v>
      </c>
      <c r="W2204" s="1" t="str">
        <f>VLOOKUP(Table1[[#This Row],[Obergruppe ATC-Code]],Tabelle3!$A$2:$B$100,2)</f>
        <v>ANALGETIKA</v>
      </c>
      <c r="X2204" s="1" t="str">
        <f xml:space="preserve"> LEFT(Table1[[#This Row],[Atc Code]],3)</f>
        <v>N02</v>
      </c>
    </row>
    <row r="2205" spans="1:24" ht="14.4">
      <c r="A2205" s="14">
        <v>2014</v>
      </c>
      <c r="B2205" s="24" t="s">
        <v>4852</v>
      </c>
      <c r="C2205" s="1">
        <v>2133162</v>
      </c>
      <c r="D2205" s="1" t="s">
        <v>25</v>
      </c>
      <c r="E2205" s="36">
        <v>44651</v>
      </c>
      <c r="F2205" s="36">
        <v>44775</v>
      </c>
      <c r="G2205" s="38">
        <f t="shared" si="34"/>
        <v>124</v>
      </c>
      <c r="H2205" s="5">
        <v>44651</v>
      </c>
      <c r="I2205" s="5">
        <v>44775</v>
      </c>
      <c r="J2205" s="1" t="s">
        <v>26</v>
      </c>
      <c r="K2205" s="1" t="s">
        <v>4849</v>
      </c>
      <c r="L2205" s="1" t="s">
        <v>4836</v>
      </c>
      <c r="M2205" s="1" t="s">
        <v>4837</v>
      </c>
      <c r="N2205" s="1" t="s">
        <v>38</v>
      </c>
      <c r="O2205" s="1" t="s">
        <v>4783</v>
      </c>
      <c r="Q2205" s="1" t="s">
        <v>4803</v>
      </c>
      <c r="R2205" s="1" t="s">
        <v>33</v>
      </c>
      <c r="S2205" s="1"/>
      <c r="U2205" s="1" t="s">
        <v>130</v>
      </c>
      <c r="V2205" s="1" t="s">
        <v>199</v>
      </c>
      <c r="W2205" s="1" t="str">
        <f>VLOOKUP(Table1[[#This Row],[Obergruppe ATC-Code]],Tabelle3!$A$2:$B$100,2)</f>
        <v>ANALGETIKA</v>
      </c>
      <c r="X2205" s="1" t="str">
        <f xml:space="preserve"> LEFT(Table1[[#This Row],[Atc Code]],3)</f>
        <v>N02</v>
      </c>
    </row>
    <row r="2206" spans="1:24" ht="14.4">
      <c r="A2206" s="14">
        <v>2776</v>
      </c>
      <c r="B2206" s="24" t="s">
        <v>4853</v>
      </c>
      <c r="C2206" s="1">
        <v>2185920</v>
      </c>
      <c r="D2206" s="1" t="s">
        <v>25</v>
      </c>
      <c r="E2206" s="36">
        <v>44740</v>
      </c>
      <c r="F2206" s="36">
        <v>44795</v>
      </c>
      <c r="G2206" s="38">
        <f t="shared" si="34"/>
        <v>55</v>
      </c>
      <c r="H2206" s="5">
        <v>44762</v>
      </c>
      <c r="I2206" s="5">
        <v>44803</v>
      </c>
      <c r="J2206" s="1" t="s">
        <v>26</v>
      </c>
      <c r="K2206" s="1" t="s">
        <v>4854</v>
      </c>
      <c r="L2206" s="1" t="s">
        <v>4836</v>
      </c>
      <c r="M2206" s="1" t="s">
        <v>4837</v>
      </c>
      <c r="N2206" s="1" t="s">
        <v>38</v>
      </c>
      <c r="O2206" s="1" t="s">
        <v>1440</v>
      </c>
      <c r="P2206" s="1" t="s">
        <v>1540</v>
      </c>
      <c r="Q2206" s="1" t="s">
        <v>1541</v>
      </c>
      <c r="R2206" s="1" t="s">
        <v>113</v>
      </c>
      <c r="S2206" s="1"/>
      <c r="U2206" s="1" t="s">
        <v>130</v>
      </c>
      <c r="V2206" s="1" t="s">
        <v>199</v>
      </c>
      <c r="W2206" s="1" t="str">
        <f>VLOOKUP(Table1[[#This Row],[Obergruppe ATC-Code]],Tabelle3!$A$2:$B$100,2)</f>
        <v>ANALGETIKA</v>
      </c>
      <c r="X2206" s="1" t="str">
        <f xml:space="preserve"> LEFT(Table1[[#This Row],[Atc Code]],3)</f>
        <v>N02</v>
      </c>
    </row>
    <row r="2207" spans="1:24" ht="14.4">
      <c r="A2207" s="14">
        <v>2773</v>
      </c>
      <c r="B2207" s="24" t="s">
        <v>4855</v>
      </c>
      <c r="C2207" s="1">
        <v>2185919</v>
      </c>
      <c r="D2207" s="1" t="s">
        <v>25</v>
      </c>
      <c r="E2207" s="36">
        <v>44753</v>
      </c>
      <c r="F2207" s="36">
        <v>44792</v>
      </c>
      <c r="G2207" s="38">
        <f t="shared" si="34"/>
        <v>39</v>
      </c>
      <c r="H2207" s="5">
        <v>44762</v>
      </c>
      <c r="I2207" s="5">
        <v>44803</v>
      </c>
      <c r="J2207" s="1" t="s">
        <v>26</v>
      </c>
      <c r="K2207" s="1" t="s">
        <v>4845</v>
      </c>
      <c r="L2207" s="1" t="s">
        <v>4836</v>
      </c>
      <c r="M2207" s="1" t="s">
        <v>4837</v>
      </c>
      <c r="N2207" s="1" t="s">
        <v>38</v>
      </c>
      <c r="O2207" s="1" t="s">
        <v>1440</v>
      </c>
      <c r="P2207" s="1" t="s">
        <v>1540</v>
      </c>
      <c r="Q2207" s="1" t="s">
        <v>1541</v>
      </c>
      <c r="R2207" s="1" t="s">
        <v>113</v>
      </c>
      <c r="S2207" s="1"/>
      <c r="U2207" s="1" t="s">
        <v>130</v>
      </c>
      <c r="V2207" s="1" t="s">
        <v>199</v>
      </c>
      <c r="W2207" s="1" t="str">
        <f>VLOOKUP(Table1[[#This Row],[Obergruppe ATC-Code]],Tabelle3!$A$2:$B$100,2)</f>
        <v>ANALGETIKA</v>
      </c>
      <c r="X2207" s="1" t="str">
        <f xml:space="preserve"> LEFT(Table1[[#This Row],[Atc Code]],3)</f>
        <v>N02</v>
      </c>
    </row>
    <row r="2208" spans="1:24" ht="14.4">
      <c r="A2208" s="14">
        <v>1106</v>
      </c>
      <c r="B2208" s="24">
        <v>9312764</v>
      </c>
      <c r="C2208" s="1">
        <v>2159113</v>
      </c>
      <c r="D2208" s="1" t="s">
        <v>25</v>
      </c>
      <c r="E2208" s="36">
        <v>44651</v>
      </c>
      <c r="F2208" s="36">
        <v>44809</v>
      </c>
      <c r="G2208" s="38">
        <f t="shared" si="34"/>
        <v>158</v>
      </c>
      <c r="H2208" s="5">
        <v>44651</v>
      </c>
      <c r="I2208" s="5">
        <v>44809</v>
      </c>
      <c r="J2208" s="1" t="s">
        <v>26</v>
      </c>
      <c r="K2208" s="1" t="s">
        <v>4856</v>
      </c>
      <c r="L2208" s="1" t="s">
        <v>4836</v>
      </c>
      <c r="M2208" s="1" t="s">
        <v>4837</v>
      </c>
      <c r="N2208" s="1" t="s">
        <v>30</v>
      </c>
      <c r="O2208" s="1" t="s">
        <v>4783</v>
      </c>
      <c r="Q2208" s="1" t="s">
        <v>4803</v>
      </c>
      <c r="R2208" s="1" t="s">
        <v>33</v>
      </c>
      <c r="S2208" s="1" t="s">
        <v>4857</v>
      </c>
      <c r="U2208" s="1" t="s">
        <v>130</v>
      </c>
      <c r="V2208" s="1" t="s">
        <v>262</v>
      </c>
      <c r="W2208" s="1" t="str">
        <f>VLOOKUP(Table1[[#This Row],[Obergruppe ATC-Code]],Tabelle3!$A$2:$B$100,2)</f>
        <v>ANALGETIKA</v>
      </c>
      <c r="X2208" s="1" t="str">
        <f xml:space="preserve"> LEFT(Table1[[#This Row],[Atc Code]],3)</f>
        <v>N02</v>
      </c>
    </row>
    <row r="2209" spans="1:24" ht="14.4">
      <c r="A2209" s="14">
        <v>1748</v>
      </c>
      <c r="B2209" s="24" t="s">
        <v>4858</v>
      </c>
      <c r="C2209" s="1">
        <v>2133163</v>
      </c>
      <c r="D2209" s="1" t="s">
        <v>25</v>
      </c>
      <c r="E2209" s="36">
        <v>44651</v>
      </c>
      <c r="F2209" s="36">
        <v>44818</v>
      </c>
      <c r="G2209" s="38">
        <f t="shared" si="34"/>
        <v>167</v>
      </c>
      <c r="H2209" s="5">
        <v>44651</v>
      </c>
      <c r="I2209" s="5">
        <v>44818</v>
      </c>
      <c r="J2209" s="1" t="s">
        <v>26</v>
      </c>
      <c r="K2209" s="1" t="s">
        <v>4859</v>
      </c>
      <c r="L2209" s="1" t="s">
        <v>4836</v>
      </c>
      <c r="M2209" s="1" t="s">
        <v>4837</v>
      </c>
      <c r="N2209" s="1" t="s">
        <v>38</v>
      </c>
      <c r="O2209" s="1" t="s">
        <v>4783</v>
      </c>
      <c r="Q2209" s="1" t="s">
        <v>4803</v>
      </c>
      <c r="R2209" s="1" t="s">
        <v>33</v>
      </c>
      <c r="S2209" s="1"/>
      <c r="U2209" s="1" t="s">
        <v>130</v>
      </c>
      <c r="V2209" s="1" t="s">
        <v>199</v>
      </c>
      <c r="W2209" s="1" t="str">
        <f>VLOOKUP(Table1[[#This Row],[Obergruppe ATC-Code]],Tabelle3!$A$2:$B$100,2)</f>
        <v>ANALGETIKA</v>
      </c>
      <c r="X2209" s="1" t="str">
        <f xml:space="preserve"> LEFT(Table1[[#This Row],[Atc Code]],3)</f>
        <v>N02</v>
      </c>
    </row>
    <row r="2210" spans="1:24" ht="14.4">
      <c r="A2210" s="14">
        <v>1415</v>
      </c>
      <c r="B2210" s="24">
        <v>13947818</v>
      </c>
      <c r="C2210" s="1">
        <v>2203921</v>
      </c>
      <c r="D2210" s="1" t="s">
        <v>25</v>
      </c>
      <c r="E2210" s="36">
        <v>44805</v>
      </c>
      <c r="F2210" s="36">
        <v>44831</v>
      </c>
      <c r="G2210" s="38">
        <f t="shared" si="34"/>
        <v>26</v>
      </c>
      <c r="H2210" s="5">
        <v>44806</v>
      </c>
      <c r="I2210" s="5">
        <v>44831</v>
      </c>
      <c r="J2210" s="1" t="s">
        <v>26</v>
      </c>
      <c r="K2210" s="1" t="s">
        <v>4860</v>
      </c>
      <c r="L2210" s="1" t="s">
        <v>4836</v>
      </c>
      <c r="M2210" s="1" t="s">
        <v>4837</v>
      </c>
      <c r="N2210" s="1" t="s">
        <v>38</v>
      </c>
      <c r="O2210" s="1" t="s">
        <v>4861</v>
      </c>
      <c r="Q2210" s="1" t="s">
        <v>4862</v>
      </c>
      <c r="R2210" s="1" t="s">
        <v>33</v>
      </c>
      <c r="S2210" s="1"/>
      <c r="U2210" s="1" t="s">
        <v>130</v>
      </c>
      <c r="V2210" s="1" t="s">
        <v>199</v>
      </c>
      <c r="W2210" s="1" t="str">
        <f>VLOOKUP(Table1[[#This Row],[Obergruppe ATC-Code]],Tabelle3!$A$2:$B$100,2)</f>
        <v>ANALGETIKA</v>
      </c>
      <c r="X2210" s="1" t="str">
        <f xml:space="preserve"> LEFT(Table1[[#This Row],[Atc Code]],3)</f>
        <v>N02</v>
      </c>
    </row>
    <row r="2211" spans="1:24" ht="14.4">
      <c r="A2211" s="14">
        <v>2778</v>
      </c>
      <c r="B2211" s="24" t="s">
        <v>4863</v>
      </c>
      <c r="C2211" s="1">
        <v>2185921</v>
      </c>
      <c r="D2211" s="1" t="s">
        <v>25</v>
      </c>
      <c r="E2211" s="36">
        <v>44732</v>
      </c>
      <c r="F2211" s="36">
        <v>44862</v>
      </c>
      <c r="G2211" s="38">
        <f t="shared" si="34"/>
        <v>130</v>
      </c>
      <c r="H2211" s="5">
        <v>44762</v>
      </c>
      <c r="I2211" s="5">
        <v>44865</v>
      </c>
      <c r="J2211" s="1" t="s">
        <v>26</v>
      </c>
      <c r="K2211" s="1" t="s">
        <v>4864</v>
      </c>
      <c r="L2211" s="1" t="s">
        <v>4836</v>
      </c>
      <c r="M2211" s="1" t="s">
        <v>4837</v>
      </c>
      <c r="N2211" s="1" t="s">
        <v>38</v>
      </c>
      <c r="O2211" s="1" t="s">
        <v>1440</v>
      </c>
      <c r="P2211" s="1" t="s">
        <v>1540</v>
      </c>
      <c r="Q2211" s="1" t="s">
        <v>1541</v>
      </c>
      <c r="R2211" s="1" t="s">
        <v>113</v>
      </c>
      <c r="S2211" s="1"/>
      <c r="U2211" s="1" t="s">
        <v>130</v>
      </c>
      <c r="V2211" s="1" t="s">
        <v>199</v>
      </c>
      <c r="W2211" s="1" t="str">
        <f>VLOOKUP(Table1[[#This Row],[Obergruppe ATC-Code]],Tabelle3!$A$2:$B$100,2)</f>
        <v>ANALGETIKA</v>
      </c>
      <c r="X2211" s="1" t="str">
        <f xml:space="preserve"> LEFT(Table1[[#This Row],[Atc Code]],3)</f>
        <v>N02</v>
      </c>
    </row>
    <row r="2212" spans="1:24" ht="14.4">
      <c r="A2212" s="14">
        <v>2809</v>
      </c>
      <c r="B2212" s="24" t="s">
        <v>4865</v>
      </c>
      <c r="C2212" s="1">
        <v>2203922</v>
      </c>
      <c r="D2212" s="1" t="s">
        <v>25</v>
      </c>
      <c r="E2212" s="36">
        <v>44805</v>
      </c>
      <c r="F2212" s="36">
        <v>44895</v>
      </c>
      <c r="G2212" s="38">
        <f t="shared" si="34"/>
        <v>90</v>
      </c>
      <c r="H2212" s="5">
        <v>44806</v>
      </c>
      <c r="I2212" s="5">
        <v>44895</v>
      </c>
      <c r="J2212" s="1" t="s">
        <v>26</v>
      </c>
      <c r="K2212" s="1" t="s">
        <v>4866</v>
      </c>
      <c r="L2212" s="1" t="s">
        <v>4836</v>
      </c>
      <c r="M2212" s="1" t="s">
        <v>4837</v>
      </c>
      <c r="N2212" s="1" t="s">
        <v>38</v>
      </c>
      <c r="O2212" s="1" t="s">
        <v>4861</v>
      </c>
      <c r="Q2212" s="1" t="s">
        <v>4803</v>
      </c>
      <c r="R2212" s="1" t="s">
        <v>33</v>
      </c>
      <c r="S2212" s="1"/>
      <c r="U2212" s="1" t="s">
        <v>130</v>
      </c>
      <c r="V2212" s="1" t="s">
        <v>199</v>
      </c>
      <c r="W2212" s="1" t="str">
        <f>VLOOKUP(Table1[[#This Row],[Obergruppe ATC-Code]],Tabelle3!$A$2:$B$100,2)</f>
        <v>ANALGETIKA</v>
      </c>
      <c r="X2212" s="1" t="str">
        <f xml:space="preserve"> LEFT(Table1[[#This Row],[Atc Code]],3)</f>
        <v>N02</v>
      </c>
    </row>
    <row r="2213" spans="1:24" ht="14.4">
      <c r="A2213" s="14">
        <v>2432</v>
      </c>
      <c r="B2213" s="24" t="s">
        <v>4867</v>
      </c>
      <c r="C2213" s="1">
        <v>2133165</v>
      </c>
      <c r="D2213" s="1" t="s">
        <v>25</v>
      </c>
      <c r="E2213" s="36">
        <v>44769</v>
      </c>
      <c r="F2213" s="36">
        <v>44935</v>
      </c>
      <c r="G2213" s="38">
        <f t="shared" si="34"/>
        <v>166</v>
      </c>
      <c r="H2213" s="5">
        <v>44770</v>
      </c>
      <c r="I2213" s="5">
        <v>44935</v>
      </c>
      <c r="J2213" s="1" t="s">
        <v>26</v>
      </c>
      <c r="K2213" s="1" t="s">
        <v>4868</v>
      </c>
      <c r="L2213" s="1" t="s">
        <v>4836</v>
      </c>
      <c r="M2213" s="1" t="s">
        <v>4837</v>
      </c>
      <c r="N2213" s="1" t="s">
        <v>38</v>
      </c>
      <c r="O2213" s="1" t="s">
        <v>4783</v>
      </c>
      <c r="Q2213" s="1" t="s">
        <v>4803</v>
      </c>
      <c r="R2213" s="1" t="s">
        <v>33</v>
      </c>
      <c r="S2213" s="1"/>
      <c r="U2213" s="1" t="s">
        <v>130</v>
      </c>
      <c r="V2213" s="1" t="s">
        <v>199</v>
      </c>
      <c r="W2213" s="1" t="str">
        <f>VLOOKUP(Table1[[#This Row],[Obergruppe ATC-Code]],Tabelle3!$A$2:$B$100,2)</f>
        <v>ANALGETIKA</v>
      </c>
      <c r="X2213" s="1" t="str">
        <f xml:space="preserve"> LEFT(Table1[[#This Row],[Atc Code]],3)</f>
        <v>N02</v>
      </c>
    </row>
    <row r="2214" spans="1:24" ht="14.4">
      <c r="A2214" s="14">
        <v>1785</v>
      </c>
      <c r="B2214" s="24" t="s">
        <v>4869</v>
      </c>
      <c r="C2214" s="1">
        <v>2159113</v>
      </c>
      <c r="D2214" s="1" t="s">
        <v>25</v>
      </c>
      <c r="E2214" s="36">
        <v>44651</v>
      </c>
      <c r="F2214" s="36">
        <v>45001</v>
      </c>
      <c r="G2214" s="38">
        <f t="shared" si="34"/>
        <v>350</v>
      </c>
      <c r="H2214" s="5">
        <v>44651</v>
      </c>
      <c r="I2214" s="5">
        <v>45002</v>
      </c>
      <c r="J2214" s="1" t="s">
        <v>26</v>
      </c>
      <c r="K2214" s="1" t="s">
        <v>4856</v>
      </c>
      <c r="L2214" s="1" t="s">
        <v>4836</v>
      </c>
      <c r="M2214" s="1" t="s">
        <v>4837</v>
      </c>
      <c r="N2214" s="1" t="s">
        <v>30</v>
      </c>
      <c r="O2214" s="1" t="s">
        <v>4783</v>
      </c>
      <c r="Q2214" s="1" t="s">
        <v>4803</v>
      </c>
      <c r="R2214" s="1" t="s">
        <v>33</v>
      </c>
      <c r="S2214" s="1"/>
      <c r="U2214" s="1" t="s">
        <v>130</v>
      </c>
      <c r="V2214" s="1" t="s">
        <v>262</v>
      </c>
      <c r="W2214" s="1" t="str">
        <f>VLOOKUP(Table1[[#This Row],[Obergruppe ATC-Code]],Tabelle3!$A$2:$B$100,2)</f>
        <v>ANALGETIKA</v>
      </c>
      <c r="X2214" s="1" t="str">
        <f xml:space="preserve"> LEFT(Table1[[#This Row],[Atc Code]],3)</f>
        <v>N02</v>
      </c>
    </row>
    <row r="2215" spans="1:24" ht="14.4">
      <c r="A2215" s="14">
        <v>1105</v>
      </c>
      <c r="B2215" s="24">
        <v>9312741</v>
      </c>
      <c r="C2215" s="1">
        <v>2159112</v>
      </c>
      <c r="D2215" s="1" t="s">
        <v>25</v>
      </c>
      <c r="E2215" s="36">
        <v>44985</v>
      </c>
      <c r="F2215" s="36">
        <v>45001</v>
      </c>
      <c r="G2215" s="38">
        <f t="shared" si="34"/>
        <v>16</v>
      </c>
      <c r="H2215" s="5">
        <v>44986</v>
      </c>
      <c r="I2215" s="5">
        <v>45002</v>
      </c>
      <c r="J2215" s="1" t="s">
        <v>26</v>
      </c>
      <c r="K2215" s="1" t="s">
        <v>4870</v>
      </c>
      <c r="L2215" s="1" t="s">
        <v>4836</v>
      </c>
      <c r="M2215" s="1" t="s">
        <v>4837</v>
      </c>
      <c r="N2215" s="1" t="s">
        <v>30</v>
      </c>
      <c r="O2215" s="1" t="s">
        <v>4783</v>
      </c>
      <c r="Q2215" s="1" t="s">
        <v>4803</v>
      </c>
      <c r="R2215" s="1" t="s">
        <v>33</v>
      </c>
      <c r="S2215" s="1"/>
      <c r="U2215" s="1" t="s">
        <v>130</v>
      </c>
      <c r="V2215" s="1" t="s">
        <v>262</v>
      </c>
      <c r="W2215" s="1" t="str">
        <f>VLOOKUP(Table1[[#This Row],[Obergruppe ATC-Code]],Tabelle3!$A$2:$B$100,2)</f>
        <v>ANALGETIKA</v>
      </c>
      <c r="X2215" s="1" t="str">
        <f xml:space="preserve"> LEFT(Table1[[#This Row],[Atc Code]],3)</f>
        <v>N02</v>
      </c>
    </row>
    <row r="2216" spans="1:24" ht="14.4">
      <c r="A2216" s="14">
        <v>1032</v>
      </c>
      <c r="B2216" s="24">
        <v>8859934</v>
      </c>
      <c r="C2216" s="1">
        <v>2133165</v>
      </c>
      <c r="D2216" s="1" t="s">
        <v>25</v>
      </c>
      <c r="E2216" s="36">
        <v>45070</v>
      </c>
      <c r="F2216" s="36">
        <v>45086</v>
      </c>
      <c r="G2216" s="38">
        <f t="shared" si="34"/>
        <v>16</v>
      </c>
      <c r="H2216" s="5">
        <v>45071</v>
      </c>
      <c r="I2216" s="5">
        <v>45086</v>
      </c>
      <c r="J2216" s="1" t="s">
        <v>26</v>
      </c>
      <c r="K2216" s="1" t="s">
        <v>4868</v>
      </c>
      <c r="L2216" s="1" t="s">
        <v>4836</v>
      </c>
      <c r="M2216" s="1" t="s">
        <v>4837</v>
      </c>
      <c r="N2216" s="1" t="s">
        <v>38</v>
      </c>
      <c r="O2216" s="1" t="s">
        <v>4783</v>
      </c>
      <c r="Q2216" s="1" t="s">
        <v>4803</v>
      </c>
      <c r="R2216" s="1" t="s">
        <v>33</v>
      </c>
      <c r="S2216" s="1"/>
      <c r="U2216" s="1" t="s">
        <v>130</v>
      </c>
      <c r="V2216" s="1" t="s">
        <v>199</v>
      </c>
      <c r="W2216" s="1" t="str">
        <f>VLOOKUP(Table1[[#This Row],[Obergruppe ATC-Code]],Tabelle3!$A$2:$B$100,2)</f>
        <v>ANALGETIKA</v>
      </c>
      <c r="X2216" s="1" t="str">
        <f xml:space="preserve"> LEFT(Table1[[#This Row],[Atc Code]],3)</f>
        <v>N02</v>
      </c>
    </row>
    <row r="2217" spans="1:24" ht="14.4">
      <c r="A2217" s="14">
        <v>2775</v>
      </c>
      <c r="B2217" s="24" t="s">
        <v>4871</v>
      </c>
      <c r="C2217" s="1">
        <v>2185920</v>
      </c>
      <c r="D2217" s="1" t="s">
        <v>25</v>
      </c>
      <c r="E2217" s="36">
        <v>44956</v>
      </c>
      <c r="F2217" s="36">
        <v>45106</v>
      </c>
      <c r="G2217" s="38">
        <f t="shared" si="34"/>
        <v>150</v>
      </c>
      <c r="H2217" s="5">
        <v>44967</v>
      </c>
      <c r="I2217" s="5">
        <v>45141</v>
      </c>
      <c r="J2217" s="1" t="s">
        <v>41</v>
      </c>
      <c r="K2217" s="1" t="s">
        <v>4854</v>
      </c>
      <c r="L2217" s="1" t="s">
        <v>4836</v>
      </c>
      <c r="M2217" s="1" t="s">
        <v>4837</v>
      </c>
      <c r="N2217" s="1" t="s">
        <v>38</v>
      </c>
      <c r="O2217" s="1" t="s">
        <v>1440</v>
      </c>
      <c r="Q2217" s="1" t="s">
        <v>1541</v>
      </c>
      <c r="R2217" s="1" t="s">
        <v>128</v>
      </c>
      <c r="S2217" s="1"/>
      <c r="U2217" s="1" t="s">
        <v>35</v>
      </c>
      <c r="V2217" s="1" t="s">
        <v>199</v>
      </c>
      <c r="W2217" s="1" t="str">
        <f>VLOOKUP(Table1[[#This Row],[Obergruppe ATC-Code]],Tabelle3!$A$2:$B$100,2)</f>
        <v>ANALGETIKA</v>
      </c>
      <c r="X2217" s="1" t="str">
        <f xml:space="preserve"> LEFT(Table1[[#This Row],[Atc Code]],3)</f>
        <v>N02</v>
      </c>
    </row>
    <row r="2218" spans="1:24" ht="14.4">
      <c r="A2218" s="14">
        <v>1414</v>
      </c>
      <c r="B2218" s="24">
        <v>13925596</v>
      </c>
      <c r="C2218" s="1">
        <v>2185923</v>
      </c>
      <c r="D2218" s="1" t="s">
        <v>25</v>
      </c>
      <c r="E2218" s="36">
        <v>45070</v>
      </c>
      <c r="F2218" s="36">
        <v>45131</v>
      </c>
      <c r="G2218" s="38">
        <f t="shared" si="34"/>
        <v>61</v>
      </c>
      <c r="H2218" s="5">
        <v>45078</v>
      </c>
      <c r="I2218" s="5">
        <v>45141</v>
      </c>
      <c r="J2218" s="1" t="s">
        <v>41</v>
      </c>
      <c r="K2218" s="1" t="s">
        <v>4872</v>
      </c>
      <c r="L2218" s="1" t="s">
        <v>4836</v>
      </c>
      <c r="M2218" s="1" t="s">
        <v>4837</v>
      </c>
      <c r="N2218" s="1" t="s">
        <v>38</v>
      </c>
      <c r="O2218" s="1" t="s">
        <v>1440</v>
      </c>
      <c r="Q2218" s="1" t="s">
        <v>1916</v>
      </c>
      <c r="R2218" s="1" t="s">
        <v>128</v>
      </c>
      <c r="S2218" s="1"/>
      <c r="U2218" s="1" t="s">
        <v>35</v>
      </c>
      <c r="V2218" s="1" t="s">
        <v>199</v>
      </c>
      <c r="W2218" s="1" t="str">
        <f>VLOOKUP(Table1[[#This Row],[Obergruppe ATC-Code]],Tabelle3!$A$2:$B$100,2)</f>
        <v>ANALGETIKA</v>
      </c>
      <c r="X2218" s="1" t="str">
        <f xml:space="preserve"> LEFT(Table1[[#This Row],[Atc Code]],3)</f>
        <v>N02</v>
      </c>
    </row>
    <row r="2219" spans="1:24" ht="14.4">
      <c r="A2219" s="14">
        <v>1412</v>
      </c>
      <c r="B2219" s="24">
        <v>13925538</v>
      </c>
      <c r="C2219" s="1">
        <v>2185922</v>
      </c>
      <c r="D2219" s="1" t="s">
        <v>25</v>
      </c>
      <c r="E2219" s="36">
        <v>45069</v>
      </c>
      <c r="F2219" s="36">
        <v>45131</v>
      </c>
      <c r="G2219" s="38">
        <f t="shared" si="34"/>
        <v>62</v>
      </c>
      <c r="H2219" s="5">
        <v>45078</v>
      </c>
      <c r="I2219" s="5">
        <v>45141</v>
      </c>
      <c r="J2219" s="1" t="s">
        <v>41</v>
      </c>
      <c r="K2219" s="1" t="s">
        <v>4873</v>
      </c>
      <c r="L2219" s="1" t="s">
        <v>4836</v>
      </c>
      <c r="M2219" s="1" t="s">
        <v>4837</v>
      </c>
      <c r="N2219" s="1" t="s">
        <v>38</v>
      </c>
      <c r="O2219" s="1" t="s">
        <v>1440</v>
      </c>
      <c r="Q2219" s="1" t="s">
        <v>1916</v>
      </c>
      <c r="R2219" s="1" t="s">
        <v>128</v>
      </c>
      <c r="S2219" s="1"/>
      <c r="U2219" s="1" t="s">
        <v>35</v>
      </c>
      <c r="V2219" s="1" t="s">
        <v>199</v>
      </c>
      <c r="W2219" s="1" t="str">
        <f>VLOOKUP(Table1[[#This Row],[Obergruppe ATC-Code]],Tabelle3!$A$2:$B$100,2)</f>
        <v>ANALGETIKA</v>
      </c>
      <c r="X2219" s="1" t="str">
        <f xml:space="preserve"> LEFT(Table1[[#This Row],[Atc Code]],3)</f>
        <v>N02</v>
      </c>
    </row>
    <row r="2220" spans="1:24" ht="14.4">
      <c r="A2220" s="14">
        <v>776</v>
      </c>
      <c r="B2220" s="24">
        <v>6120573</v>
      </c>
      <c r="C2220" s="1">
        <v>2177418</v>
      </c>
      <c r="D2220" s="1" t="s">
        <v>175</v>
      </c>
      <c r="E2220" s="36">
        <v>45135</v>
      </c>
      <c r="F2220" s="36">
        <v>45212</v>
      </c>
      <c r="G2220" s="38">
        <f t="shared" si="34"/>
        <v>77</v>
      </c>
      <c r="H2220" s="5">
        <v>45142</v>
      </c>
      <c r="I2220" s="5">
        <v>45142</v>
      </c>
      <c r="J2220" s="1" t="s">
        <v>26</v>
      </c>
      <c r="K2220" s="1" t="s">
        <v>4874</v>
      </c>
      <c r="L2220" s="1" t="s">
        <v>4836</v>
      </c>
      <c r="M2220" s="1" t="s">
        <v>4837</v>
      </c>
      <c r="N2220" s="1" t="s">
        <v>38</v>
      </c>
      <c r="O2220" s="1" t="s">
        <v>123</v>
      </c>
      <c r="Q2220" s="1" t="s">
        <v>201</v>
      </c>
      <c r="R2220" s="1" t="s">
        <v>113</v>
      </c>
      <c r="S2220" s="1"/>
      <c r="U2220" s="1" t="s">
        <v>130</v>
      </c>
      <c r="V2220" s="1" t="s">
        <v>359</v>
      </c>
      <c r="W2220" s="1" t="str">
        <f>VLOOKUP(Table1[[#This Row],[Obergruppe ATC-Code]],Tabelle3!$A$2:$B$100,2)</f>
        <v>ANALGETIKA</v>
      </c>
      <c r="X2220" s="1" t="str">
        <f xml:space="preserve"> LEFT(Table1[[#This Row],[Atc Code]],3)</f>
        <v>N02</v>
      </c>
    </row>
    <row r="2221" spans="1:24" ht="14.4">
      <c r="A2221" s="14">
        <v>2431</v>
      </c>
      <c r="B2221" s="24" t="s">
        <v>4875</v>
      </c>
      <c r="C2221" s="1">
        <v>2133164</v>
      </c>
      <c r="D2221" s="1" t="s">
        <v>25</v>
      </c>
      <c r="E2221" s="36">
        <v>44783</v>
      </c>
      <c r="F2221" s="36">
        <v>45152</v>
      </c>
      <c r="G2221" s="38">
        <f t="shared" si="34"/>
        <v>369</v>
      </c>
      <c r="H2221" s="5">
        <v>44783</v>
      </c>
      <c r="I2221" s="5">
        <v>45153</v>
      </c>
      <c r="J2221" s="1" t="s">
        <v>26</v>
      </c>
      <c r="K2221" s="1" t="s">
        <v>4851</v>
      </c>
      <c r="L2221" s="1" t="s">
        <v>4836</v>
      </c>
      <c r="M2221" s="1" t="s">
        <v>4837</v>
      </c>
      <c r="N2221" s="1" t="s">
        <v>38</v>
      </c>
      <c r="O2221" s="1" t="s">
        <v>4783</v>
      </c>
      <c r="Q2221" s="1" t="s">
        <v>4803</v>
      </c>
      <c r="R2221" s="1" t="s">
        <v>33</v>
      </c>
      <c r="S2221" s="1"/>
      <c r="U2221" s="1" t="s">
        <v>130</v>
      </c>
      <c r="V2221" s="1" t="s">
        <v>199</v>
      </c>
      <c r="W2221" s="1" t="str">
        <f>VLOOKUP(Table1[[#This Row],[Obergruppe ATC-Code]],Tabelle3!$A$2:$B$100,2)</f>
        <v>ANALGETIKA</v>
      </c>
      <c r="X2221" s="1" t="str">
        <f xml:space="preserve"> LEFT(Table1[[#This Row],[Atc Code]],3)</f>
        <v>N02</v>
      </c>
    </row>
    <row r="2222" spans="1:24" ht="14.4">
      <c r="A2222" s="14">
        <v>2479</v>
      </c>
      <c r="B2222" s="24" t="s">
        <v>4876</v>
      </c>
      <c r="C2222" s="1">
        <v>2159112</v>
      </c>
      <c r="D2222" s="1" t="s">
        <v>25</v>
      </c>
      <c r="E2222" s="36">
        <v>45030</v>
      </c>
      <c r="F2222" s="36">
        <v>45160</v>
      </c>
      <c r="G2222" s="38">
        <f t="shared" si="34"/>
        <v>130</v>
      </c>
      <c r="H2222" s="5">
        <v>45030</v>
      </c>
      <c r="I2222" s="5">
        <v>45160</v>
      </c>
      <c r="J2222" s="1" t="s">
        <v>26</v>
      </c>
      <c r="K2222" s="1" t="s">
        <v>4870</v>
      </c>
      <c r="L2222" s="1" t="s">
        <v>4836</v>
      </c>
      <c r="M2222" s="1" t="s">
        <v>4837</v>
      </c>
      <c r="N2222" s="1" t="s">
        <v>30</v>
      </c>
      <c r="O2222" s="1" t="s">
        <v>4783</v>
      </c>
      <c r="Q2222" s="1" t="s">
        <v>4803</v>
      </c>
      <c r="R2222" s="1" t="s">
        <v>33</v>
      </c>
      <c r="S2222" s="1"/>
      <c r="U2222" s="1" t="s">
        <v>130</v>
      </c>
      <c r="V2222" s="1" t="s">
        <v>262</v>
      </c>
      <c r="W2222" s="1" t="str">
        <f>VLOOKUP(Table1[[#This Row],[Obergruppe ATC-Code]],Tabelle3!$A$2:$B$100,2)</f>
        <v>ANALGETIKA</v>
      </c>
      <c r="X2222" s="1" t="str">
        <f xml:space="preserve"> LEFT(Table1[[#This Row],[Atc Code]],3)</f>
        <v>N02</v>
      </c>
    </row>
    <row r="2223" spans="1:24" ht="14.4">
      <c r="A2223" s="14">
        <v>2429</v>
      </c>
      <c r="B2223" s="24" t="s">
        <v>4877</v>
      </c>
      <c r="C2223" s="1">
        <v>2133163</v>
      </c>
      <c r="D2223" s="1" t="s">
        <v>25</v>
      </c>
      <c r="E2223" s="36">
        <v>44901</v>
      </c>
      <c r="F2223" s="36">
        <v>45168</v>
      </c>
      <c r="G2223" s="38">
        <f t="shared" si="34"/>
        <v>267</v>
      </c>
      <c r="H2223" s="5">
        <v>44902</v>
      </c>
      <c r="I2223" s="5">
        <v>45169</v>
      </c>
      <c r="J2223" s="1" t="s">
        <v>26</v>
      </c>
      <c r="K2223" s="1" t="s">
        <v>4859</v>
      </c>
      <c r="L2223" s="1" t="s">
        <v>4836</v>
      </c>
      <c r="M2223" s="1" t="s">
        <v>4837</v>
      </c>
      <c r="N2223" s="1" t="s">
        <v>38</v>
      </c>
      <c r="O2223" s="1" t="s">
        <v>4783</v>
      </c>
      <c r="Q2223" s="1" t="s">
        <v>4878</v>
      </c>
      <c r="R2223" s="1" t="s">
        <v>33</v>
      </c>
      <c r="S2223" s="1"/>
      <c r="U2223" s="1" t="s">
        <v>130</v>
      </c>
      <c r="V2223" s="1" t="s">
        <v>199</v>
      </c>
      <c r="W2223" s="1" t="str">
        <f>VLOOKUP(Table1[[#This Row],[Obergruppe ATC-Code]],Tabelle3!$A$2:$B$100,2)</f>
        <v>ANALGETIKA</v>
      </c>
      <c r="X2223" s="1" t="str">
        <f xml:space="preserve"> LEFT(Table1[[#This Row],[Atc Code]],3)</f>
        <v>N02</v>
      </c>
    </row>
    <row r="2224" spans="1:24" ht="14.4">
      <c r="A2224" s="14">
        <v>2779</v>
      </c>
      <c r="B2224" s="24" t="s">
        <v>4879</v>
      </c>
      <c r="C2224" s="1">
        <v>2185922</v>
      </c>
      <c r="D2224" s="1" t="s">
        <v>102</v>
      </c>
      <c r="E2224" s="36">
        <v>45121</v>
      </c>
      <c r="F2224" s="36">
        <v>45373</v>
      </c>
      <c r="G2224" s="38">
        <f t="shared" si="34"/>
        <v>252</v>
      </c>
      <c r="H2224" s="5">
        <v>45141</v>
      </c>
      <c r="I2224" s="5">
        <v>45180</v>
      </c>
      <c r="J2224" s="1" t="s">
        <v>41</v>
      </c>
      <c r="K2224" s="1" t="s">
        <v>4873</v>
      </c>
      <c r="L2224" s="1" t="s">
        <v>4836</v>
      </c>
      <c r="M2224" s="1" t="s">
        <v>4837</v>
      </c>
      <c r="N2224" s="1" t="s">
        <v>38</v>
      </c>
      <c r="O2224" s="1" t="s">
        <v>1440</v>
      </c>
      <c r="Q2224" s="1" t="s">
        <v>1541</v>
      </c>
      <c r="R2224" s="1" t="s">
        <v>128</v>
      </c>
      <c r="S2224" s="1"/>
      <c r="U2224" s="1" t="s">
        <v>35</v>
      </c>
      <c r="V2224" s="1" t="s">
        <v>199</v>
      </c>
      <c r="W2224" s="1" t="str">
        <f>VLOOKUP(Table1[[#This Row],[Obergruppe ATC-Code]],Tabelle3!$A$2:$B$100,2)</f>
        <v>ANALGETIKA</v>
      </c>
      <c r="X2224" s="1" t="str">
        <f xml:space="preserve"> LEFT(Table1[[#This Row],[Atc Code]],3)</f>
        <v>N02</v>
      </c>
    </row>
    <row r="2225" spans="1:24" ht="14.4">
      <c r="A2225" s="14">
        <v>2774</v>
      </c>
      <c r="B2225" s="24" t="s">
        <v>4871</v>
      </c>
      <c r="C2225" s="1">
        <v>2185920</v>
      </c>
      <c r="D2225" s="1" t="s">
        <v>175</v>
      </c>
      <c r="E2225" s="36">
        <v>45149</v>
      </c>
      <c r="F2225" s="36">
        <v>45317</v>
      </c>
      <c r="G2225" s="38">
        <f t="shared" si="34"/>
        <v>168</v>
      </c>
      <c r="H2225" s="5">
        <v>45180</v>
      </c>
      <c r="I2225" s="5">
        <v>45180</v>
      </c>
      <c r="J2225" s="1" t="s">
        <v>41</v>
      </c>
      <c r="K2225" s="1" t="s">
        <v>4854</v>
      </c>
      <c r="L2225" s="1" t="s">
        <v>4836</v>
      </c>
      <c r="M2225" s="1" t="s">
        <v>4837</v>
      </c>
      <c r="N2225" s="1" t="s">
        <v>38</v>
      </c>
      <c r="O2225" s="1" t="s">
        <v>1440</v>
      </c>
      <c r="Q2225" s="1" t="s">
        <v>1541</v>
      </c>
      <c r="R2225" s="1" t="s">
        <v>128</v>
      </c>
      <c r="S2225" s="1"/>
      <c r="U2225" s="1" t="s">
        <v>35</v>
      </c>
      <c r="V2225" s="1" t="s">
        <v>199</v>
      </c>
      <c r="W2225" s="1" t="str">
        <f>VLOOKUP(Table1[[#This Row],[Obergruppe ATC-Code]],Tabelle3!$A$2:$B$100,2)</f>
        <v>ANALGETIKA</v>
      </c>
      <c r="X2225" s="1" t="str">
        <f xml:space="preserve"> LEFT(Table1[[#This Row],[Atc Code]],3)</f>
        <v>N02</v>
      </c>
    </row>
    <row r="2226" spans="1:24" ht="14.4">
      <c r="A2226" s="14">
        <v>2771</v>
      </c>
      <c r="B2226" s="24" t="s">
        <v>4880</v>
      </c>
      <c r="C2226" s="1">
        <v>2185919</v>
      </c>
      <c r="D2226" s="1" t="s">
        <v>102</v>
      </c>
      <c r="E2226" s="36">
        <v>45063</v>
      </c>
      <c r="F2226" s="36">
        <v>45317</v>
      </c>
      <c r="G2226" s="38">
        <f t="shared" si="34"/>
        <v>254</v>
      </c>
      <c r="H2226" s="5">
        <v>45078</v>
      </c>
      <c r="I2226" s="5">
        <v>45180</v>
      </c>
      <c r="J2226" s="1" t="s">
        <v>41</v>
      </c>
      <c r="K2226" s="1" t="s">
        <v>4845</v>
      </c>
      <c r="L2226" s="1" t="s">
        <v>4836</v>
      </c>
      <c r="M2226" s="1" t="s">
        <v>4837</v>
      </c>
      <c r="N2226" s="1" t="s">
        <v>38</v>
      </c>
      <c r="O2226" s="1" t="s">
        <v>1440</v>
      </c>
      <c r="Q2226" s="1" t="s">
        <v>1916</v>
      </c>
      <c r="R2226" s="1" t="s">
        <v>128</v>
      </c>
      <c r="S2226" s="1"/>
      <c r="U2226" s="1" t="s">
        <v>35</v>
      </c>
      <c r="V2226" s="1" t="s">
        <v>199</v>
      </c>
      <c r="W2226" s="1" t="str">
        <f>VLOOKUP(Table1[[#This Row],[Obergruppe ATC-Code]],Tabelle3!$A$2:$B$100,2)</f>
        <v>ANALGETIKA</v>
      </c>
      <c r="X2226" s="1" t="str">
        <f xml:space="preserve"> LEFT(Table1[[#This Row],[Atc Code]],3)</f>
        <v>N02</v>
      </c>
    </row>
    <row r="2227" spans="1:24" ht="14.4">
      <c r="A2227" s="14">
        <v>1413</v>
      </c>
      <c r="B2227" s="24">
        <v>13925596</v>
      </c>
      <c r="C2227" s="1">
        <v>2185923</v>
      </c>
      <c r="D2227" s="1" t="s">
        <v>175</v>
      </c>
      <c r="E2227" s="36">
        <v>45167</v>
      </c>
      <c r="F2227" s="36">
        <v>45275</v>
      </c>
      <c r="G2227" s="38">
        <f t="shared" si="34"/>
        <v>108</v>
      </c>
      <c r="H2227" s="5">
        <v>45180</v>
      </c>
      <c r="I2227" s="5">
        <v>45180</v>
      </c>
      <c r="J2227" s="1" t="s">
        <v>41</v>
      </c>
      <c r="K2227" s="1" t="s">
        <v>4872</v>
      </c>
      <c r="L2227" s="1" t="s">
        <v>4836</v>
      </c>
      <c r="M2227" s="1" t="s">
        <v>4837</v>
      </c>
      <c r="N2227" s="1" t="s">
        <v>38</v>
      </c>
      <c r="O2227" s="1" t="s">
        <v>1440</v>
      </c>
      <c r="Q2227" s="1" t="s">
        <v>1541</v>
      </c>
      <c r="R2227" s="1" t="s">
        <v>128</v>
      </c>
      <c r="S2227" s="1"/>
      <c r="U2227" s="1" t="s">
        <v>35</v>
      </c>
      <c r="V2227" s="1" t="s">
        <v>199</v>
      </c>
      <c r="W2227" s="1" t="str">
        <f>VLOOKUP(Table1[[#This Row],[Obergruppe ATC-Code]],Tabelle3!$A$2:$B$100,2)</f>
        <v>ANALGETIKA</v>
      </c>
      <c r="X2227" s="1" t="str">
        <f xml:space="preserve"> LEFT(Table1[[#This Row],[Atc Code]],3)</f>
        <v>N02</v>
      </c>
    </row>
    <row r="2228" spans="1:24" ht="14.4">
      <c r="A2228" s="14">
        <v>1747</v>
      </c>
      <c r="B2228" s="24" t="s">
        <v>4881</v>
      </c>
      <c r="C2228" s="1">
        <v>2133162</v>
      </c>
      <c r="D2228" s="1" t="s">
        <v>25</v>
      </c>
      <c r="E2228" s="36">
        <v>45134</v>
      </c>
      <c r="F2228" s="36">
        <v>45183</v>
      </c>
      <c r="G2228" s="38">
        <f t="shared" si="34"/>
        <v>49</v>
      </c>
      <c r="H2228" s="5">
        <v>45138</v>
      </c>
      <c r="I2228" s="5">
        <v>45183</v>
      </c>
      <c r="J2228" s="1" t="s">
        <v>26</v>
      </c>
      <c r="K2228" s="1" t="s">
        <v>4849</v>
      </c>
      <c r="L2228" s="1" t="s">
        <v>4836</v>
      </c>
      <c r="M2228" s="1" t="s">
        <v>4837</v>
      </c>
      <c r="N2228" s="1" t="s">
        <v>30</v>
      </c>
      <c r="O2228" s="1" t="s">
        <v>4783</v>
      </c>
      <c r="Q2228" s="1" t="s">
        <v>4803</v>
      </c>
      <c r="R2228" s="1" t="s">
        <v>33</v>
      </c>
      <c r="S2228" s="1"/>
      <c r="U2228" s="1" t="s">
        <v>130</v>
      </c>
      <c r="V2228" s="1" t="s">
        <v>199</v>
      </c>
      <c r="W2228" s="1" t="str">
        <f>VLOOKUP(Table1[[#This Row],[Obergruppe ATC-Code]],Tabelle3!$A$2:$B$100,2)</f>
        <v>ANALGETIKA</v>
      </c>
      <c r="X2228" s="1" t="str">
        <f xml:space="preserve"> LEFT(Table1[[#This Row],[Atc Code]],3)</f>
        <v>N02</v>
      </c>
    </row>
    <row r="2229" spans="1:24" ht="14.4">
      <c r="A2229" s="14">
        <v>138</v>
      </c>
      <c r="B2229" s="24">
        <v>821010</v>
      </c>
      <c r="C2229" s="1">
        <v>2159112</v>
      </c>
      <c r="D2229" s="1" t="s">
        <v>175</v>
      </c>
      <c r="E2229" s="36">
        <v>45181</v>
      </c>
      <c r="F2229" s="36">
        <v>45230</v>
      </c>
      <c r="G2229" s="38">
        <f t="shared" si="34"/>
        <v>49</v>
      </c>
      <c r="H2229" s="5">
        <v>45183</v>
      </c>
      <c r="I2229" s="5">
        <v>45183</v>
      </c>
      <c r="J2229" s="1" t="s">
        <v>26</v>
      </c>
      <c r="K2229" s="1" t="s">
        <v>4870</v>
      </c>
      <c r="L2229" s="1" t="s">
        <v>4836</v>
      </c>
      <c r="M2229" s="1" t="s">
        <v>4837</v>
      </c>
      <c r="N2229" s="1" t="s">
        <v>38</v>
      </c>
      <c r="O2229" s="1" t="s">
        <v>4783</v>
      </c>
      <c r="Q2229" s="1" t="s">
        <v>4803</v>
      </c>
      <c r="R2229" s="1" t="s">
        <v>33</v>
      </c>
      <c r="S2229" s="1"/>
      <c r="U2229" s="1" t="s">
        <v>130</v>
      </c>
      <c r="V2229" s="1" t="s">
        <v>262</v>
      </c>
      <c r="W2229" s="1" t="str">
        <f>VLOOKUP(Table1[[#This Row],[Obergruppe ATC-Code]],Tabelle3!$A$2:$B$100,2)</f>
        <v>ANALGETIKA</v>
      </c>
      <c r="X2229" s="1" t="str">
        <f xml:space="preserve"> LEFT(Table1[[#This Row],[Atc Code]],3)</f>
        <v>N02</v>
      </c>
    </row>
    <row r="2230" spans="1:24" ht="14.4">
      <c r="A2230" s="14">
        <v>1786</v>
      </c>
      <c r="B2230" s="24" t="s">
        <v>4882</v>
      </c>
      <c r="C2230" s="1">
        <v>2159113</v>
      </c>
      <c r="D2230" s="1" t="s">
        <v>102</v>
      </c>
      <c r="E2230" s="36">
        <v>45041</v>
      </c>
      <c r="F2230" s="36">
        <v>45230</v>
      </c>
      <c r="G2230" s="38">
        <f t="shared" si="34"/>
        <v>189</v>
      </c>
      <c r="H2230" s="5">
        <v>45042</v>
      </c>
      <c r="I2230" s="5">
        <v>45196</v>
      </c>
      <c r="J2230" s="1" t="s">
        <v>26</v>
      </c>
      <c r="K2230" s="1" t="s">
        <v>4856</v>
      </c>
      <c r="L2230" s="1" t="s">
        <v>4836</v>
      </c>
      <c r="M2230" s="1" t="s">
        <v>4837</v>
      </c>
      <c r="N2230" s="1" t="s">
        <v>30</v>
      </c>
      <c r="O2230" s="1" t="s">
        <v>4783</v>
      </c>
      <c r="Q2230" s="1" t="s">
        <v>4803</v>
      </c>
      <c r="R2230" s="1" t="s">
        <v>33</v>
      </c>
      <c r="S2230" s="1"/>
      <c r="U2230" s="1" t="s">
        <v>130</v>
      </c>
      <c r="V2230" s="1" t="s">
        <v>262</v>
      </c>
      <c r="W2230" s="1" t="str">
        <f>VLOOKUP(Table1[[#This Row],[Obergruppe ATC-Code]],Tabelle3!$A$2:$B$100,2)</f>
        <v>ANALGETIKA</v>
      </c>
      <c r="X2230" s="1" t="str">
        <f xml:space="preserve"> LEFT(Table1[[#This Row],[Atc Code]],3)</f>
        <v>N02</v>
      </c>
    </row>
    <row r="2231" spans="1:24" ht="14.4">
      <c r="A2231" s="14">
        <v>2777</v>
      </c>
      <c r="B2231" s="24" t="s">
        <v>4883</v>
      </c>
      <c r="C2231" s="1">
        <v>2185921</v>
      </c>
      <c r="D2231" s="1" t="s">
        <v>25</v>
      </c>
      <c r="E2231" s="36">
        <v>45049</v>
      </c>
      <c r="F2231" s="36">
        <v>45187</v>
      </c>
      <c r="G2231" s="38">
        <f t="shared" si="34"/>
        <v>138</v>
      </c>
      <c r="H2231" s="5">
        <v>45078</v>
      </c>
      <c r="I2231" s="5">
        <v>45197</v>
      </c>
      <c r="J2231" s="1" t="s">
        <v>41</v>
      </c>
      <c r="K2231" s="1" t="s">
        <v>4864</v>
      </c>
      <c r="L2231" s="1" t="s">
        <v>4836</v>
      </c>
      <c r="M2231" s="1" t="s">
        <v>4837</v>
      </c>
      <c r="N2231" s="1" t="s">
        <v>38</v>
      </c>
      <c r="O2231" s="1" t="s">
        <v>1440</v>
      </c>
      <c r="Q2231" s="1" t="s">
        <v>1916</v>
      </c>
      <c r="R2231" s="1" t="s">
        <v>128</v>
      </c>
      <c r="S2231" s="1"/>
      <c r="U2231" s="1" t="s">
        <v>35</v>
      </c>
      <c r="V2231" s="1" t="s">
        <v>199</v>
      </c>
      <c r="W2231" s="1" t="str">
        <f>VLOOKUP(Table1[[#This Row],[Obergruppe ATC-Code]],Tabelle3!$A$2:$B$100,2)</f>
        <v>ANALGETIKA</v>
      </c>
      <c r="X2231" s="1" t="str">
        <f xml:space="preserve"> LEFT(Table1[[#This Row],[Atc Code]],3)</f>
        <v>N02</v>
      </c>
    </row>
    <row r="2232" spans="1:24" ht="14.4">
      <c r="A2232" s="14">
        <v>2669</v>
      </c>
      <c r="B2232" s="24" t="s">
        <v>4884</v>
      </c>
      <c r="C2232" s="1">
        <v>2176826</v>
      </c>
      <c r="D2232" s="1" t="s">
        <v>102</v>
      </c>
      <c r="E2232" s="36">
        <v>45216</v>
      </c>
      <c r="F2232" s="36">
        <v>45382</v>
      </c>
      <c r="G2232" s="38">
        <f t="shared" si="34"/>
        <v>166</v>
      </c>
      <c r="H2232" s="5">
        <v>45216</v>
      </c>
      <c r="I2232" s="5">
        <v>45216</v>
      </c>
      <c r="J2232" s="1" t="s">
        <v>26</v>
      </c>
      <c r="K2232" s="1" t="s">
        <v>4885</v>
      </c>
      <c r="L2232" s="1" t="s">
        <v>4836</v>
      </c>
      <c r="M2232" s="1" t="s">
        <v>4837</v>
      </c>
      <c r="N2232" s="1" t="s">
        <v>38</v>
      </c>
      <c r="O2232" s="1" t="s">
        <v>3619</v>
      </c>
      <c r="P2232" s="1">
        <v>69478730</v>
      </c>
      <c r="Q2232" s="1" t="s">
        <v>3620</v>
      </c>
      <c r="R2232" s="1" t="s">
        <v>113</v>
      </c>
      <c r="S2232" s="1" t="s">
        <v>4886</v>
      </c>
      <c r="U2232" s="1" t="s">
        <v>130</v>
      </c>
      <c r="V2232" s="1" t="s">
        <v>359</v>
      </c>
      <c r="W2232" s="1" t="str">
        <f>VLOOKUP(Table1[[#This Row],[Obergruppe ATC-Code]],Tabelle3!$A$2:$B$100,2)</f>
        <v>ANALGETIKA</v>
      </c>
      <c r="X2232" s="1" t="str">
        <f xml:space="preserve"> LEFT(Table1[[#This Row],[Atc Code]],3)</f>
        <v>N02</v>
      </c>
    </row>
    <row r="2233" spans="1:24" ht="14.4">
      <c r="A2233" s="14">
        <v>2668</v>
      </c>
      <c r="B2233" s="24" t="s">
        <v>4887</v>
      </c>
      <c r="C2233" s="1">
        <v>2176825</v>
      </c>
      <c r="D2233" s="1" t="s">
        <v>102</v>
      </c>
      <c r="E2233" s="36">
        <v>45173</v>
      </c>
      <c r="F2233" s="36">
        <v>45382</v>
      </c>
      <c r="G2233" s="38">
        <f t="shared" si="34"/>
        <v>209</v>
      </c>
      <c r="H2233" s="5">
        <v>45173</v>
      </c>
      <c r="I2233" s="5">
        <v>45216</v>
      </c>
      <c r="J2233" s="1" t="s">
        <v>26</v>
      </c>
      <c r="K2233" s="1" t="s">
        <v>4888</v>
      </c>
      <c r="L2233" s="1" t="s">
        <v>4836</v>
      </c>
      <c r="M2233" s="1" t="s">
        <v>4837</v>
      </c>
      <c r="N2233" s="1" t="s">
        <v>38</v>
      </c>
      <c r="O2233" s="1" t="s">
        <v>3619</v>
      </c>
      <c r="P2233" s="1">
        <v>69478730</v>
      </c>
      <c r="Q2233" s="1" t="s">
        <v>3620</v>
      </c>
      <c r="R2233" s="1" t="s">
        <v>113</v>
      </c>
      <c r="S2233" s="1" t="s">
        <v>4889</v>
      </c>
      <c r="U2233" s="1" t="s">
        <v>130</v>
      </c>
      <c r="V2233" s="1" t="s">
        <v>359</v>
      </c>
      <c r="W2233" s="1" t="str">
        <f>VLOOKUP(Table1[[#This Row],[Obergruppe ATC-Code]],Tabelle3!$A$2:$B$100,2)</f>
        <v>ANALGETIKA</v>
      </c>
      <c r="X2233" s="1" t="str">
        <f xml:space="preserve"> LEFT(Table1[[#This Row],[Atc Code]],3)</f>
        <v>N02</v>
      </c>
    </row>
    <row r="2234" spans="1:24" ht="14.4">
      <c r="A2234" s="14">
        <v>1259</v>
      </c>
      <c r="B2234" s="24">
        <v>11538197</v>
      </c>
      <c r="C2234" s="1">
        <v>2176828</v>
      </c>
      <c r="D2234" s="1" t="s">
        <v>175</v>
      </c>
      <c r="E2234" s="36">
        <v>45216</v>
      </c>
      <c r="F2234" s="36">
        <v>45382</v>
      </c>
      <c r="G2234" s="38">
        <f t="shared" si="34"/>
        <v>166</v>
      </c>
      <c r="H2234" s="5">
        <v>45216</v>
      </c>
      <c r="I2234" s="5">
        <v>45216</v>
      </c>
      <c r="J2234" s="1" t="s">
        <v>26</v>
      </c>
      <c r="K2234" s="1" t="s">
        <v>4890</v>
      </c>
      <c r="L2234" s="1" t="s">
        <v>4836</v>
      </c>
      <c r="M2234" s="1" t="s">
        <v>4837</v>
      </c>
      <c r="N2234" s="1" t="s">
        <v>38</v>
      </c>
      <c r="O2234" s="1" t="s">
        <v>3619</v>
      </c>
      <c r="P2234" s="1">
        <v>69478730</v>
      </c>
      <c r="Q2234" s="1" t="s">
        <v>3620</v>
      </c>
      <c r="R2234" s="1" t="s">
        <v>113</v>
      </c>
      <c r="S2234" s="1" t="s">
        <v>4891</v>
      </c>
      <c r="U2234" s="1" t="s">
        <v>130</v>
      </c>
      <c r="V2234" s="1" t="s">
        <v>359</v>
      </c>
      <c r="W2234" s="1" t="str">
        <f>VLOOKUP(Table1[[#This Row],[Obergruppe ATC-Code]],Tabelle3!$A$2:$B$100,2)</f>
        <v>ANALGETIKA</v>
      </c>
      <c r="X2234" s="1" t="str">
        <f xml:space="preserve"> LEFT(Table1[[#This Row],[Atc Code]],3)</f>
        <v>N02</v>
      </c>
    </row>
    <row r="2235" spans="1:24" ht="14.4">
      <c r="A2235" s="14">
        <v>13</v>
      </c>
      <c r="B2235" s="24">
        <v>81903</v>
      </c>
      <c r="C2235" s="1">
        <v>2158368</v>
      </c>
      <c r="D2235" s="1" t="s">
        <v>25</v>
      </c>
      <c r="E2235" s="36">
        <v>43617</v>
      </c>
      <c r="F2235" s="36">
        <v>43677</v>
      </c>
      <c r="G2235" s="38">
        <f t="shared" si="34"/>
        <v>60</v>
      </c>
      <c r="H2235" s="5">
        <v>43633</v>
      </c>
      <c r="I2235" s="5">
        <v>43670</v>
      </c>
      <c r="J2235" s="1" t="s">
        <v>41</v>
      </c>
      <c r="K2235" s="1" t="s">
        <v>4892</v>
      </c>
      <c r="L2235" s="1" t="s">
        <v>4893</v>
      </c>
      <c r="M2235" s="1" t="s">
        <v>4894</v>
      </c>
      <c r="N2235" s="1" t="s">
        <v>30</v>
      </c>
      <c r="O2235" s="1" t="s">
        <v>4783</v>
      </c>
      <c r="P2235" s="1" t="s">
        <v>4895</v>
      </c>
      <c r="Q2235" s="1" t="s">
        <v>4896</v>
      </c>
      <c r="R2235" s="1" t="s">
        <v>26</v>
      </c>
      <c r="S2235" s="1"/>
      <c r="U2235" s="1" t="s">
        <v>35</v>
      </c>
      <c r="V2235" s="1" t="s">
        <v>262</v>
      </c>
      <c r="W2235" s="1" t="str">
        <f>VLOOKUP(Table1[[#This Row],[Obergruppe ATC-Code]],Tabelle3!$A$2:$B$100,2)</f>
        <v>ANALGETIKA</v>
      </c>
      <c r="X2235" s="1" t="str">
        <f xml:space="preserve"> LEFT(Table1[[#This Row],[Atc Code]],3)</f>
        <v>N02</v>
      </c>
    </row>
    <row r="2236" spans="1:24" ht="14.4">
      <c r="A2236" s="14">
        <v>3006</v>
      </c>
      <c r="B2236" s="24" t="s">
        <v>4897</v>
      </c>
      <c r="C2236" s="1">
        <v>2141153</v>
      </c>
      <c r="D2236" s="1" t="s">
        <v>25</v>
      </c>
      <c r="E2236" s="36">
        <v>43617</v>
      </c>
      <c r="F2236" s="36">
        <v>43677</v>
      </c>
      <c r="G2236" s="38">
        <f t="shared" si="34"/>
        <v>60</v>
      </c>
      <c r="H2236" s="5">
        <v>43633</v>
      </c>
      <c r="I2236" s="5">
        <v>43676</v>
      </c>
      <c r="J2236" s="1" t="s">
        <v>41</v>
      </c>
      <c r="K2236" s="1" t="s">
        <v>4898</v>
      </c>
      <c r="L2236" s="1" t="s">
        <v>4893</v>
      </c>
      <c r="M2236" s="1" t="s">
        <v>4899</v>
      </c>
      <c r="N2236" s="1" t="s">
        <v>30</v>
      </c>
      <c r="O2236" s="1" t="s">
        <v>4783</v>
      </c>
      <c r="P2236" s="1" t="s">
        <v>4895</v>
      </c>
      <c r="Q2236" s="1" t="s">
        <v>4896</v>
      </c>
      <c r="R2236" s="1" t="s">
        <v>26</v>
      </c>
      <c r="S2236" s="1"/>
      <c r="U2236" s="1" t="s">
        <v>35</v>
      </c>
      <c r="V2236" s="1" t="s">
        <v>359</v>
      </c>
      <c r="W2236" s="1" t="str">
        <f>VLOOKUP(Table1[[#This Row],[Obergruppe ATC-Code]],Tabelle3!$A$2:$B$100,2)</f>
        <v>ANALGETIKA</v>
      </c>
      <c r="X2236" s="1" t="str">
        <f xml:space="preserve"> LEFT(Table1[[#This Row],[Atc Code]],3)</f>
        <v>N02</v>
      </c>
    </row>
    <row r="2237" spans="1:24" ht="14.4">
      <c r="A2237" s="14">
        <v>3165</v>
      </c>
      <c r="B2237" s="24" t="s">
        <v>4900</v>
      </c>
      <c r="C2237" s="1">
        <v>2167600</v>
      </c>
      <c r="D2237" s="1" t="s">
        <v>25</v>
      </c>
      <c r="E2237" s="36">
        <v>43617</v>
      </c>
      <c r="F2237" s="36">
        <v>43738</v>
      </c>
      <c r="G2237" s="38">
        <f t="shared" si="34"/>
        <v>121</v>
      </c>
      <c r="H2237" s="5">
        <v>43633</v>
      </c>
      <c r="I2237" s="5">
        <v>43748</v>
      </c>
      <c r="J2237" s="1" t="s">
        <v>41</v>
      </c>
      <c r="K2237" s="1" t="s">
        <v>4901</v>
      </c>
      <c r="L2237" s="1" t="s">
        <v>4893</v>
      </c>
      <c r="M2237" s="1" t="s">
        <v>4894</v>
      </c>
      <c r="N2237" s="1" t="s">
        <v>30</v>
      </c>
      <c r="O2237" s="1" t="s">
        <v>4783</v>
      </c>
      <c r="P2237" s="1" t="s">
        <v>4895</v>
      </c>
      <c r="Q2237" s="1" t="s">
        <v>4896</v>
      </c>
      <c r="R2237" s="1" t="s">
        <v>26</v>
      </c>
      <c r="S2237" s="1"/>
      <c r="U2237" s="1" t="s">
        <v>35</v>
      </c>
      <c r="V2237" s="1" t="s">
        <v>359</v>
      </c>
      <c r="W2237" s="1" t="str">
        <f>VLOOKUP(Table1[[#This Row],[Obergruppe ATC-Code]],Tabelle3!$A$2:$B$100,2)</f>
        <v>ANALGETIKA</v>
      </c>
      <c r="X2237" s="1" t="str">
        <f xml:space="preserve"> LEFT(Table1[[#This Row],[Atc Code]],3)</f>
        <v>N02</v>
      </c>
    </row>
    <row r="2238" spans="1:24" ht="14.4">
      <c r="A2238" s="14">
        <v>2678</v>
      </c>
      <c r="B2238" s="24" t="s">
        <v>4902</v>
      </c>
      <c r="C2238" s="1">
        <v>2192114</v>
      </c>
      <c r="D2238" s="1" t="s">
        <v>25</v>
      </c>
      <c r="E2238" s="36">
        <v>43647</v>
      </c>
      <c r="F2238" s="36">
        <v>43769</v>
      </c>
      <c r="G2238" s="38">
        <f t="shared" si="34"/>
        <v>122</v>
      </c>
      <c r="H2238" s="5">
        <v>43655</v>
      </c>
      <c r="I2238" s="5">
        <v>43770</v>
      </c>
      <c r="J2238" s="1" t="s">
        <v>41</v>
      </c>
      <c r="K2238" s="1" t="s">
        <v>4903</v>
      </c>
      <c r="L2238" s="1" t="s">
        <v>4893</v>
      </c>
      <c r="M2238" s="1" t="s">
        <v>4894</v>
      </c>
      <c r="N2238" s="1" t="s">
        <v>30</v>
      </c>
      <c r="O2238" s="1" t="s">
        <v>265</v>
      </c>
      <c r="P2238" s="1" t="s">
        <v>266</v>
      </c>
      <c r="Q2238" s="1" t="s">
        <v>267</v>
      </c>
      <c r="R2238" s="1" t="s">
        <v>48</v>
      </c>
      <c r="S2238" s="1"/>
      <c r="U2238" s="1" t="s">
        <v>35</v>
      </c>
      <c r="V2238" s="1" t="s">
        <v>262</v>
      </c>
      <c r="W2238" s="1" t="str">
        <f>VLOOKUP(Table1[[#This Row],[Obergruppe ATC-Code]],Tabelle3!$A$2:$B$100,2)</f>
        <v>ANALGETIKA</v>
      </c>
      <c r="X2238" s="1" t="str">
        <f xml:space="preserve"> LEFT(Table1[[#This Row],[Atc Code]],3)</f>
        <v>N02</v>
      </c>
    </row>
    <row r="2239" spans="1:24" ht="14.4">
      <c r="A2239" s="14">
        <v>2677</v>
      </c>
      <c r="B2239" s="24" t="s">
        <v>4904</v>
      </c>
      <c r="C2239" s="1">
        <v>2192113</v>
      </c>
      <c r="D2239" s="1" t="s">
        <v>25</v>
      </c>
      <c r="E2239" s="36">
        <v>43647</v>
      </c>
      <c r="F2239" s="36">
        <v>43769</v>
      </c>
      <c r="G2239" s="38">
        <f t="shared" si="34"/>
        <v>122</v>
      </c>
      <c r="H2239" s="5">
        <v>43655</v>
      </c>
      <c r="I2239" s="5">
        <v>43770</v>
      </c>
      <c r="J2239" s="1" t="s">
        <v>41</v>
      </c>
      <c r="K2239" s="1" t="s">
        <v>4905</v>
      </c>
      <c r="L2239" s="1" t="s">
        <v>4893</v>
      </c>
      <c r="M2239" s="1" t="s">
        <v>4894</v>
      </c>
      <c r="N2239" s="1" t="s">
        <v>30</v>
      </c>
      <c r="O2239" s="1" t="s">
        <v>265</v>
      </c>
      <c r="P2239" s="1" t="s">
        <v>266</v>
      </c>
      <c r="Q2239" s="1" t="s">
        <v>267</v>
      </c>
      <c r="R2239" s="1" t="s">
        <v>48</v>
      </c>
      <c r="S2239" s="1"/>
      <c r="U2239" s="1" t="s">
        <v>35</v>
      </c>
      <c r="V2239" s="1" t="s">
        <v>262</v>
      </c>
      <c r="W2239" s="1" t="str">
        <f>VLOOKUP(Table1[[#This Row],[Obergruppe ATC-Code]],Tabelle3!$A$2:$B$100,2)</f>
        <v>ANALGETIKA</v>
      </c>
      <c r="X2239" s="1" t="str">
        <f xml:space="preserve"> LEFT(Table1[[#This Row],[Atc Code]],3)</f>
        <v>N02</v>
      </c>
    </row>
    <row r="2240" spans="1:24" ht="14.4">
      <c r="A2240" s="14">
        <v>2679</v>
      </c>
      <c r="B2240" s="24" t="s">
        <v>4906</v>
      </c>
      <c r="C2240" s="1">
        <v>2192115</v>
      </c>
      <c r="D2240" s="1" t="s">
        <v>25</v>
      </c>
      <c r="E2240" s="36">
        <v>43647</v>
      </c>
      <c r="F2240" s="36">
        <v>43799</v>
      </c>
      <c r="G2240" s="38">
        <f t="shared" si="34"/>
        <v>152</v>
      </c>
      <c r="H2240" s="5">
        <v>43655</v>
      </c>
      <c r="I2240" s="5">
        <v>43808</v>
      </c>
      <c r="J2240" s="1" t="s">
        <v>41</v>
      </c>
      <c r="K2240" s="1" t="s">
        <v>4907</v>
      </c>
      <c r="L2240" s="1" t="s">
        <v>4893</v>
      </c>
      <c r="M2240" s="1" t="s">
        <v>4894</v>
      </c>
      <c r="N2240" s="1" t="s">
        <v>30</v>
      </c>
      <c r="O2240" s="1" t="s">
        <v>265</v>
      </c>
      <c r="P2240" s="1" t="s">
        <v>266</v>
      </c>
      <c r="Q2240" s="1" t="s">
        <v>267</v>
      </c>
      <c r="R2240" s="1" t="s">
        <v>48</v>
      </c>
      <c r="S2240" s="1"/>
      <c r="U2240" s="1" t="s">
        <v>35</v>
      </c>
      <c r="V2240" s="1" t="s">
        <v>262</v>
      </c>
      <c r="W2240" s="1" t="str">
        <f>VLOOKUP(Table1[[#This Row],[Obergruppe ATC-Code]],Tabelle3!$A$2:$B$100,2)</f>
        <v>ANALGETIKA</v>
      </c>
      <c r="X2240" s="1" t="str">
        <f xml:space="preserve"> LEFT(Table1[[#This Row],[Atc Code]],3)</f>
        <v>N02</v>
      </c>
    </row>
    <row r="2241" spans="1:24" ht="14.4">
      <c r="A2241" s="14">
        <v>2511</v>
      </c>
      <c r="B2241" s="24" t="s">
        <v>4908</v>
      </c>
      <c r="C2241" s="1">
        <v>2186978</v>
      </c>
      <c r="D2241" s="1" t="s">
        <v>25</v>
      </c>
      <c r="E2241" s="36">
        <v>43922</v>
      </c>
      <c r="F2241" s="36">
        <v>44196</v>
      </c>
      <c r="G2241" s="38">
        <f t="shared" si="34"/>
        <v>274</v>
      </c>
      <c r="H2241" s="5">
        <v>43951</v>
      </c>
      <c r="I2241" s="5">
        <v>44004</v>
      </c>
      <c r="J2241" s="1" t="s">
        <v>41</v>
      </c>
      <c r="K2241" s="1" t="s">
        <v>4909</v>
      </c>
      <c r="L2241" s="1" t="s">
        <v>4893</v>
      </c>
      <c r="M2241" s="1" t="s">
        <v>4894</v>
      </c>
      <c r="N2241" s="1" t="s">
        <v>30</v>
      </c>
      <c r="O2241" s="1" t="s">
        <v>1284</v>
      </c>
      <c r="P2241" s="1" t="s">
        <v>1285</v>
      </c>
      <c r="Q2241" s="1" t="s">
        <v>1286</v>
      </c>
      <c r="R2241" s="1" t="s">
        <v>65</v>
      </c>
      <c r="S2241" s="1"/>
      <c r="U2241" s="1" t="s">
        <v>35</v>
      </c>
      <c r="V2241" s="1" t="s">
        <v>262</v>
      </c>
      <c r="W2241" s="1" t="str">
        <f>VLOOKUP(Table1[[#This Row],[Obergruppe ATC-Code]],Tabelle3!$A$2:$B$100,2)</f>
        <v>ANALGETIKA</v>
      </c>
      <c r="X2241" s="1" t="str">
        <f xml:space="preserve"> LEFT(Table1[[#This Row],[Atc Code]],3)</f>
        <v>N02</v>
      </c>
    </row>
    <row r="2242" spans="1:24" ht="14.4">
      <c r="A2242" s="14">
        <v>1268</v>
      </c>
      <c r="B2242" s="24">
        <v>11543525</v>
      </c>
      <c r="C2242" s="1">
        <v>2187977</v>
      </c>
      <c r="D2242" s="1" t="s">
        <v>25</v>
      </c>
      <c r="E2242" s="36">
        <v>44197</v>
      </c>
      <c r="F2242" s="36">
        <v>44286</v>
      </c>
      <c r="G2242" s="38">
        <f t="shared" ref="G2242:G2305" si="35">F2242-E2242</f>
        <v>89</v>
      </c>
      <c r="H2242" s="5">
        <v>44211</v>
      </c>
      <c r="I2242" s="5">
        <v>44294</v>
      </c>
      <c r="J2242" s="1" t="s">
        <v>41</v>
      </c>
      <c r="K2242" s="1" t="s">
        <v>4910</v>
      </c>
      <c r="L2242" s="1" t="s">
        <v>4893</v>
      </c>
      <c r="M2242" s="1" t="s">
        <v>4894</v>
      </c>
      <c r="N2242" s="1" t="s">
        <v>38</v>
      </c>
      <c r="O2242" s="1" t="s">
        <v>1440</v>
      </c>
      <c r="P2242" s="1" t="s">
        <v>1441</v>
      </c>
      <c r="Q2242" s="1" t="s">
        <v>1916</v>
      </c>
      <c r="R2242" s="1" t="s">
        <v>26</v>
      </c>
      <c r="S2242" s="1"/>
      <c r="U2242" s="1" t="s">
        <v>35</v>
      </c>
      <c r="V2242" s="1" t="s">
        <v>359</v>
      </c>
      <c r="W2242" s="1" t="str">
        <f>VLOOKUP(Table1[[#This Row],[Obergruppe ATC-Code]],Tabelle3!$A$2:$B$100,2)</f>
        <v>ANALGETIKA</v>
      </c>
      <c r="X2242" s="1" t="str">
        <f xml:space="preserve"> LEFT(Table1[[#This Row],[Atc Code]],3)</f>
        <v>N02</v>
      </c>
    </row>
    <row r="2243" spans="1:24" ht="14.4">
      <c r="A2243" s="14">
        <v>2810</v>
      </c>
      <c r="B2243" s="24" t="s">
        <v>4911</v>
      </c>
      <c r="C2243" s="1">
        <v>2153005</v>
      </c>
      <c r="D2243" s="1" t="s">
        <v>25</v>
      </c>
      <c r="E2243" s="36">
        <v>44805</v>
      </c>
      <c r="F2243" s="36">
        <v>44809</v>
      </c>
      <c r="G2243" s="38">
        <f t="shared" si="35"/>
        <v>4</v>
      </c>
      <c r="H2243" s="5">
        <v>44806</v>
      </c>
      <c r="I2243" s="5">
        <v>44809</v>
      </c>
      <c r="J2243" s="1" t="s">
        <v>26</v>
      </c>
      <c r="K2243" s="1" t="s">
        <v>4912</v>
      </c>
      <c r="L2243" s="1" t="s">
        <v>4893</v>
      </c>
      <c r="M2243" s="1" t="s">
        <v>4894</v>
      </c>
      <c r="N2243" s="1" t="s">
        <v>38</v>
      </c>
      <c r="O2243" s="1" t="s">
        <v>4861</v>
      </c>
      <c r="Q2243" s="1" t="s">
        <v>4913</v>
      </c>
      <c r="R2243" s="1" t="s">
        <v>33</v>
      </c>
      <c r="S2243" s="1"/>
      <c r="U2243" s="1" t="s">
        <v>130</v>
      </c>
      <c r="V2243" s="1" t="s">
        <v>359</v>
      </c>
      <c r="W2243" s="1" t="str">
        <f>VLOOKUP(Table1[[#This Row],[Obergruppe ATC-Code]],Tabelle3!$A$2:$B$100,2)</f>
        <v>ANALGETIKA</v>
      </c>
      <c r="X2243" s="1" t="str">
        <f xml:space="preserve"> LEFT(Table1[[#This Row],[Atc Code]],3)</f>
        <v>N02</v>
      </c>
    </row>
    <row r="2244" spans="1:24" ht="14.4">
      <c r="A2244" s="14">
        <v>2808</v>
      </c>
      <c r="B2244" s="24" t="s">
        <v>4914</v>
      </c>
      <c r="C2244" s="1">
        <v>2153004</v>
      </c>
      <c r="D2244" s="1" t="s">
        <v>25</v>
      </c>
      <c r="E2244" s="36">
        <v>44805</v>
      </c>
      <c r="F2244" s="36">
        <v>44809</v>
      </c>
      <c r="G2244" s="38">
        <f t="shared" si="35"/>
        <v>4</v>
      </c>
      <c r="H2244" s="5">
        <v>44806</v>
      </c>
      <c r="I2244" s="5">
        <v>44809</v>
      </c>
      <c r="J2244" s="1" t="s">
        <v>26</v>
      </c>
      <c r="K2244" s="1" t="s">
        <v>4915</v>
      </c>
      <c r="L2244" s="1" t="s">
        <v>4893</v>
      </c>
      <c r="M2244" s="1" t="s">
        <v>4894</v>
      </c>
      <c r="N2244" s="1" t="s">
        <v>38</v>
      </c>
      <c r="O2244" s="1" t="s">
        <v>4861</v>
      </c>
      <c r="Q2244" s="1" t="s">
        <v>4913</v>
      </c>
      <c r="R2244" s="1" t="s">
        <v>33</v>
      </c>
      <c r="S2244" s="1"/>
      <c r="U2244" s="1" t="s">
        <v>130</v>
      </c>
      <c r="V2244" s="1" t="s">
        <v>359</v>
      </c>
      <c r="W2244" s="1" t="str">
        <f>VLOOKUP(Table1[[#This Row],[Obergruppe ATC-Code]],Tabelle3!$A$2:$B$100,2)</f>
        <v>ANALGETIKA</v>
      </c>
      <c r="X2244" s="1" t="str">
        <f xml:space="preserve"> LEFT(Table1[[#This Row],[Atc Code]],3)</f>
        <v>N02</v>
      </c>
    </row>
    <row r="2245" spans="1:24" ht="14.4">
      <c r="A2245" s="14">
        <v>1453</v>
      </c>
      <c r="B2245" s="24">
        <v>14356433</v>
      </c>
      <c r="C2245" s="1">
        <v>2153006</v>
      </c>
      <c r="D2245" s="1" t="s">
        <v>25</v>
      </c>
      <c r="E2245" s="36">
        <v>44805</v>
      </c>
      <c r="F2245" s="36">
        <v>44809</v>
      </c>
      <c r="G2245" s="38">
        <f t="shared" si="35"/>
        <v>4</v>
      </c>
      <c r="H2245" s="5">
        <v>44806</v>
      </c>
      <c r="I2245" s="5">
        <v>44809</v>
      </c>
      <c r="J2245" s="1" t="s">
        <v>26</v>
      </c>
      <c r="K2245" s="1" t="s">
        <v>4916</v>
      </c>
      <c r="L2245" s="1" t="s">
        <v>4893</v>
      </c>
      <c r="M2245" s="1" t="s">
        <v>4894</v>
      </c>
      <c r="N2245" s="1" t="s">
        <v>38</v>
      </c>
      <c r="O2245" s="1" t="s">
        <v>4861</v>
      </c>
      <c r="Q2245" s="1" t="s">
        <v>4862</v>
      </c>
      <c r="R2245" s="1" t="s">
        <v>33</v>
      </c>
      <c r="S2245" s="1"/>
      <c r="U2245" s="1" t="s">
        <v>130</v>
      </c>
      <c r="V2245" s="1" t="s">
        <v>359</v>
      </c>
      <c r="W2245" s="1" t="str">
        <f>VLOOKUP(Table1[[#This Row],[Obergruppe ATC-Code]],Tabelle3!$A$2:$B$100,2)</f>
        <v>ANALGETIKA</v>
      </c>
      <c r="X2245" s="1" t="str">
        <f xml:space="preserve"> LEFT(Table1[[#This Row],[Atc Code]],3)</f>
        <v>N02</v>
      </c>
    </row>
    <row r="2246" spans="1:24" ht="14.4">
      <c r="A2246" s="14">
        <v>2428</v>
      </c>
      <c r="B2246" s="24" t="s">
        <v>4917</v>
      </c>
      <c r="C2246" s="1">
        <v>2141155</v>
      </c>
      <c r="D2246" s="1" t="s">
        <v>25</v>
      </c>
      <c r="E2246" s="36">
        <v>44803</v>
      </c>
      <c r="F2246" s="36">
        <v>44895</v>
      </c>
      <c r="G2246" s="38">
        <f t="shared" si="35"/>
        <v>92</v>
      </c>
      <c r="H2246" s="5">
        <v>44803</v>
      </c>
      <c r="I2246" s="5">
        <v>44895</v>
      </c>
      <c r="J2246" s="1" t="s">
        <v>26</v>
      </c>
      <c r="K2246" s="1" t="s">
        <v>4918</v>
      </c>
      <c r="L2246" s="1" t="s">
        <v>4893</v>
      </c>
      <c r="M2246" s="1" t="s">
        <v>4899</v>
      </c>
      <c r="N2246" s="1" t="s">
        <v>38</v>
      </c>
      <c r="O2246" s="1" t="s">
        <v>4783</v>
      </c>
      <c r="Q2246" s="1" t="s">
        <v>4803</v>
      </c>
      <c r="R2246" s="1" t="s">
        <v>33</v>
      </c>
      <c r="S2246" s="1"/>
      <c r="U2246" s="1" t="s">
        <v>130</v>
      </c>
      <c r="V2246" s="1" t="s">
        <v>359</v>
      </c>
      <c r="W2246" s="1" t="str">
        <f>VLOOKUP(Table1[[#This Row],[Obergruppe ATC-Code]],Tabelle3!$A$2:$B$100,2)</f>
        <v>ANALGETIKA</v>
      </c>
      <c r="X2246" s="1" t="str">
        <f xml:space="preserve"> LEFT(Table1[[#This Row],[Atc Code]],3)</f>
        <v>N02</v>
      </c>
    </row>
    <row r="2247" spans="1:24" ht="14.4">
      <c r="A2247" s="14">
        <v>1825</v>
      </c>
      <c r="B2247" s="24" t="s">
        <v>4919</v>
      </c>
      <c r="C2247" s="1">
        <v>2149598</v>
      </c>
      <c r="D2247" s="1" t="s">
        <v>25</v>
      </c>
      <c r="E2247" s="36">
        <v>44803</v>
      </c>
      <c r="F2247" s="36">
        <v>44895</v>
      </c>
      <c r="G2247" s="38">
        <f t="shared" si="35"/>
        <v>92</v>
      </c>
      <c r="H2247" s="5">
        <v>44804</v>
      </c>
      <c r="I2247" s="5">
        <v>44895</v>
      </c>
      <c r="J2247" s="1" t="s">
        <v>26</v>
      </c>
      <c r="K2247" s="1" t="s">
        <v>4920</v>
      </c>
      <c r="L2247" s="1" t="s">
        <v>4893</v>
      </c>
      <c r="M2247" s="1" t="s">
        <v>4899</v>
      </c>
      <c r="N2247" s="1" t="s">
        <v>38</v>
      </c>
      <c r="O2247" s="1" t="s">
        <v>4783</v>
      </c>
      <c r="Q2247" s="1" t="s">
        <v>4803</v>
      </c>
      <c r="R2247" s="1" t="s">
        <v>33</v>
      </c>
      <c r="S2247" s="1"/>
      <c r="U2247" s="1" t="s">
        <v>130</v>
      </c>
      <c r="V2247" s="1" t="s">
        <v>359</v>
      </c>
      <c r="W2247" s="1" t="str">
        <f>VLOOKUP(Table1[[#This Row],[Obergruppe ATC-Code]],Tabelle3!$A$2:$B$100,2)</f>
        <v>ANALGETIKA</v>
      </c>
      <c r="X2247" s="1" t="str">
        <f xml:space="preserve"> LEFT(Table1[[#This Row],[Atc Code]],3)</f>
        <v>N02</v>
      </c>
    </row>
    <row r="2248" spans="1:24" ht="14.4">
      <c r="A2248" s="14">
        <v>23</v>
      </c>
      <c r="B2248" s="24">
        <v>113129</v>
      </c>
      <c r="C2248" s="1">
        <v>2158369</v>
      </c>
      <c r="D2248" s="1" t="s">
        <v>25</v>
      </c>
      <c r="E2248" s="36">
        <v>44860</v>
      </c>
      <c r="F2248" s="36">
        <v>44926</v>
      </c>
      <c r="G2248" s="38">
        <f t="shared" si="35"/>
        <v>66</v>
      </c>
      <c r="H2248" s="5">
        <v>44860</v>
      </c>
      <c r="I2248" s="5">
        <v>44916</v>
      </c>
      <c r="J2248" s="1" t="s">
        <v>26</v>
      </c>
      <c r="K2248" s="1" t="s">
        <v>4921</v>
      </c>
      <c r="L2248" s="1" t="s">
        <v>4893</v>
      </c>
      <c r="M2248" s="1" t="s">
        <v>4894</v>
      </c>
      <c r="N2248" s="1" t="s">
        <v>38</v>
      </c>
      <c r="O2248" s="1" t="s">
        <v>4783</v>
      </c>
      <c r="Q2248" s="1" t="s">
        <v>4803</v>
      </c>
      <c r="R2248" s="1" t="s">
        <v>33</v>
      </c>
      <c r="S2248" s="1" t="s">
        <v>4922</v>
      </c>
      <c r="U2248" s="1" t="s">
        <v>130</v>
      </c>
      <c r="V2248" s="1" t="s">
        <v>262</v>
      </c>
      <c r="W2248" s="1" t="str">
        <f>VLOOKUP(Table1[[#This Row],[Obergruppe ATC-Code]],Tabelle3!$A$2:$B$100,2)</f>
        <v>ANALGETIKA</v>
      </c>
      <c r="X2248" s="1" t="str">
        <f xml:space="preserve"> LEFT(Table1[[#This Row],[Atc Code]],3)</f>
        <v>N02</v>
      </c>
    </row>
    <row r="2249" spans="1:24" ht="14.4">
      <c r="A2249" s="14">
        <v>1025</v>
      </c>
      <c r="B2249" s="24">
        <v>8831232</v>
      </c>
      <c r="C2249" s="1">
        <v>2168387</v>
      </c>
      <c r="D2249" s="1" t="s">
        <v>25</v>
      </c>
      <c r="E2249" s="36">
        <v>44916</v>
      </c>
      <c r="F2249" s="36">
        <v>45000</v>
      </c>
      <c r="G2249" s="38">
        <f t="shared" si="35"/>
        <v>84</v>
      </c>
      <c r="H2249" s="5">
        <v>44916</v>
      </c>
      <c r="I2249" s="5">
        <v>45001</v>
      </c>
      <c r="J2249" s="1" t="s">
        <v>26</v>
      </c>
      <c r="K2249" s="1" t="s">
        <v>4923</v>
      </c>
      <c r="L2249" s="1" t="s">
        <v>4893</v>
      </c>
      <c r="M2249" s="1" t="s">
        <v>4894</v>
      </c>
      <c r="N2249" s="1" t="s">
        <v>38</v>
      </c>
      <c r="O2249" s="1" t="s">
        <v>4783</v>
      </c>
      <c r="Q2249" s="1" t="s">
        <v>4803</v>
      </c>
      <c r="R2249" s="1" t="s">
        <v>33</v>
      </c>
      <c r="S2249" s="1"/>
      <c r="U2249" s="1" t="s">
        <v>130</v>
      </c>
      <c r="V2249" s="1" t="s">
        <v>216</v>
      </c>
      <c r="W2249" s="1" t="str">
        <f>VLOOKUP(Table1[[#This Row],[Obergruppe ATC-Code]],Tabelle3!$A$2:$B$100,2)</f>
        <v>ANALGETIKA</v>
      </c>
      <c r="X2249" s="1" t="str">
        <f xml:space="preserve"> LEFT(Table1[[#This Row],[Atc Code]],3)</f>
        <v>N02</v>
      </c>
    </row>
    <row r="2250" spans="1:24" ht="14.4">
      <c r="A2250" s="14">
        <v>15</v>
      </c>
      <c r="B2250" s="24">
        <v>81932</v>
      </c>
      <c r="C2250" s="1">
        <v>2158368</v>
      </c>
      <c r="D2250" s="1" t="s">
        <v>25</v>
      </c>
      <c r="E2250" s="36">
        <v>44860</v>
      </c>
      <c r="F2250" s="36">
        <v>45022</v>
      </c>
      <c r="G2250" s="38">
        <f t="shared" si="35"/>
        <v>162</v>
      </c>
      <c r="H2250" s="5">
        <v>44860</v>
      </c>
      <c r="I2250" s="5">
        <v>45022</v>
      </c>
      <c r="J2250" s="1" t="s">
        <v>26</v>
      </c>
      <c r="K2250" s="1" t="s">
        <v>4892</v>
      </c>
      <c r="L2250" s="1" t="s">
        <v>4893</v>
      </c>
      <c r="M2250" s="1" t="s">
        <v>4894</v>
      </c>
      <c r="N2250" s="1" t="s">
        <v>38</v>
      </c>
      <c r="O2250" s="1" t="s">
        <v>4783</v>
      </c>
      <c r="Q2250" s="1" t="s">
        <v>4803</v>
      </c>
      <c r="R2250" s="1" t="s">
        <v>33</v>
      </c>
      <c r="S2250" s="1"/>
      <c r="U2250" s="1" t="s">
        <v>130</v>
      </c>
      <c r="V2250" s="1" t="s">
        <v>262</v>
      </c>
      <c r="W2250" s="1" t="str">
        <f>VLOOKUP(Table1[[#This Row],[Obergruppe ATC-Code]],Tabelle3!$A$2:$B$100,2)</f>
        <v>ANALGETIKA</v>
      </c>
      <c r="X2250" s="1" t="str">
        <f xml:space="preserve"> LEFT(Table1[[#This Row],[Atc Code]],3)</f>
        <v>N02</v>
      </c>
    </row>
    <row r="2251" spans="1:24" ht="14.4">
      <c r="A2251" s="14">
        <v>1027</v>
      </c>
      <c r="B2251" s="24">
        <v>8831255</v>
      </c>
      <c r="C2251" s="1">
        <v>2168389</v>
      </c>
      <c r="D2251" s="1" t="s">
        <v>25</v>
      </c>
      <c r="E2251" s="36">
        <v>44936</v>
      </c>
      <c r="F2251" s="36">
        <v>45047</v>
      </c>
      <c r="G2251" s="38">
        <f t="shared" si="35"/>
        <v>111</v>
      </c>
      <c r="H2251" s="5">
        <v>44937</v>
      </c>
      <c r="I2251" s="5">
        <v>45048</v>
      </c>
      <c r="J2251" s="1" t="s">
        <v>26</v>
      </c>
      <c r="K2251" s="1" t="s">
        <v>4924</v>
      </c>
      <c r="L2251" s="1" t="s">
        <v>4893</v>
      </c>
      <c r="M2251" s="1" t="s">
        <v>4894</v>
      </c>
      <c r="N2251" s="1" t="s">
        <v>38</v>
      </c>
      <c r="O2251" s="1" t="s">
        <v>4783</v>
      </c>
      <c r="Q2251" s="1" t="s">
        <v>4803</v>
      </c>
      <c r="R2251" s="1" t="s">
        <v>33</v>
      </c>
      <c r="S2251" s="1"/>
      <c r="U2251" s="1" t="s">
        <v>130</v>
      </c>
      <c r="V2251" s="1" t="s">
        <v>216</v>
      </c>
      <c r="W2251" s="1" t="str">
        <f>VLOOKUP(Table1[[#This Row],[Obergruppe ATC-Code]],Tabelle3!$A$2:$B$100,2)</f>
        <v>ANALGETIKA</v>
      </c>
      <c r="X2251" s="1" t="str">
        <f xml:space="preserve"> LEFT(Table1[[#This Row],[Atc Code]],3)</f>
        <v>N02</v>
      </c>
    </row>
    <row r="2252" spans="1:24" ht="14.4">
      <c r="A2252" s="14">
        <v>1026</v>
      </c>
      <c r="B2252" s="24">
        <v>8831249</v>
      </c>
      <c r="C2252" s="1">
        <v>2168388</v>
      </c>
      <c r="D2252" s="1" t="s">
        <v>25</v>
      </c>
      <c r="E2252" s="36">
        <v>44916</v>
      </c>
      <c r="F2252" s="36">
        <v>45047</v>
      </c>
      <c r="G2252" s="38">
        <f t="shared" si="35"/>
        <v>131</v>
      </c>
      <c r="H2252" s="5">
        <v>44916</v>
      </c>
      <c r="I2252" s="5">
        <v>45048</v>
      </c>
      <c r="J2252" s="1" t="s">
        <v>26</v>
      </c>
      <c r="K2252" s="1" t="s">
        <v>4925</v>
      </c>
      <c r="L2252" s="1" t="s">
        <v>4893</v>
      </c>
      <c r="M2252" s="1" t="s">
        <v>4894</v>
      </c>
      <c r="N2252" s="1" t="s">
        <v>38</v>
      </c>
      <c r="O2252" s="1" t="s">
        <v>4783</v>
      </c>
      <c r="Q2252" s="1" t="s">
        <v>4803</v>
      </c>
      <c r="R2252" s="1" t="s">
        <v>33</v>
      </c>
      <c r="S2252" s="1"/>
      <c r="U2252" s="1" t="s">
        <v>130</v>
      </c>
      <c r="V2252" s="1" t="s">
        <v>216</v>
      </c>
      <c r="W2252" s="1" t="str">
        <f>VLOOKUP(Table1[[#This Row],[Obergruppe ATC-Code]],Tabelle3!$A$2:$B$100,2)</f>
        <v>ANALGETIKA</v>
      </c>
      <c r="X2252" s="1" t="str">
        <f xml:space="preserve"> LEFT(Table1[[#This Row],[Atc Code]],3)</f>
        <v>N02</v>
      </c>
    </row>
    <row r="2253" spans="1:24" ht="14.4">
      <c r="A2253" s="14">
        <v>1024</v>
      </c>
      <c r="B2253" s="24">
        <v>8831232</v>
      </c>
      <c r="C2253" s="1">
        <v>2168387</v>
      </c>
      <c r="D2253" s="1" t="s">
        <v>25</v>
      </c>
      <c r="E2253" s="36">
        <v>45016</v>
      </c>
      <c r="F2253" s="36">
        <v>45047</v>
      </c>
      <c r="G2253" s="38">
        <f t="shared" si="35"/>
        <v>31</v>
      </c>
      <c r="H2253" s="5">
        <v>45016</v>
      </c>
      <c r="I2253" s="5">
        <v>45048</v>
      </c>
      <c r="J2253" s="1" t="s">
        <v>26</v>
      </c>
      <c r="K2253" s="1" t="s">
        <v>4923</v>
      </c>
      <c r="L2253" s="1" t="s">
        <v>4893</v>
      </c>
      <c r="M2253" s="1" t="s">
        <v>4894</v>
      </c>
      <c r="N2253" s="1" t="s">
        <v>38</v>
      </c>
      <c r="O2253" s="1" t="s">
        <v>4783</v>
      </c>
      <c r="Q2253" s="1" t="s">
        <v>4803</v>
      </c>
      <c r="R2253" s="1" t="s">
        <v>33</v>
      </c>
      <c r="S2253" s="1"/>
      <c r="U2253" s="1" t="s">
        <v>130</v>
      </c>
      <c r="V2253" s="1" t="s">
        <v>216</v>
      </c>
      <c r="W2253" s="1" t="str">
        <f>VLOOKUP(Table1[[#This Row],[Obergruppe ATC-Code]],Tabelle3!$A$2:$B$100,2)</f>
        <v>ANALGETIKA</v>
      </c>
      <c r="X2253" s="1" t="str">
        <f xml:space="preserve"> LEFT(Table1[[#This Row],[Atc Code]],3)</f>
        <v>N02</v>
      </c>
    </row>
    <row r="2254" spans="1:24" ht="14.4">
      <c r="A2254" s="14">
        <v>2387</v>
      </c>
      <c r="B2254" s="24" t="s">
        <v>4926</v>
      </c>
      <c r="C2254" s="1">
        <v>2141153</v>
      </c>
      <c r="D2254" s="1" t="s">
        <v>25</v>
      </c>
      <c r="E2254" s="36">
        <v>44803</v>
      </c>
      <c r="F2254" s="36">
        <v>45057</v>
      </c>
      <c r="G2254" s="38">
        <f t="shared" si="35"/>
        <v>254</v>
      </c>
      <c r="H2254" s="5">
        <v>44804</v>
      </c>
      <c r="I2254" s="5">
        <v>45057</v>
      </c>
      <c r="J2254" s="1" t="s">
        <v>26</v>
      </c>
      <c r="K2254" s="1" t="s">
        <v>4898</v>
      </c>
      <c r="L2254" s="1" t="s">
        <v>4893</v>
      </c>
      <c r="M2254" s="1" t="s">
        <v>4899</v>
      </c>
      <c r="N2254" s="1" t="s">
        <v>30</v>
      </c>
      <c r="O2254" s="1" t="s">
        <v>4783</v>
      </c>
      <c r="Q2254" s="1" t="s">
        <v>4927</v>
      </c>
      <c r="R2254" s="1" t="s">
        <v>33</v>
      </c>
      <c r="S2254" s="1"/>
      <c r="U2254" s="1" t="s">
        <v>130</v>
      </c>
      <c r="V2254" s="1" t="s">
        <v>359</v>
      </c>
      <c r="W2254" s="1" t="str">
        <f>VLOOKUP(Table1[[#This Row],[Obergruppe ATC-Code]],Tabelle3!$A$2:$B$100,2)</f>
        <v>ANALGETIKA</v>
      </c>
      <c r="X2254" s="1" t="str">
        <f xml:space="preserve"> LEFT(Table1[[#This Row],[Atc Code]],3)</f>
        <v>N02</v>
      </c>
    </row>
    <row r="2255" spans="1:24" ht="14.4">
      <c r="A2255" s="14">
        <v>2673</v>
      </c>
      <c r="B2255" s="24" t="s">
        <v>4928</v>
      </c>
      <c r="C2255" s="1">
        <v>2187976</v>
      </c>
      <c r="D2255" s="1" t="s">
        <v>25</v>
      </c>
      <c r="E2255" s="36">
        <v>44952</v>
      </c>
      <c r="F2255" s="36">
        <v>45055</v>
      </c>
      <c r="G2255" s="38">
        <f t="shared" si="35"/>
        <v>103</v>
      </c>
      <c r="H2255" s="5">
        <v>44967</v>
      </c>
      <c r="I2255" s="5">
        <v>45058</v>
      </c>
      <c r="J2255" s="1" t="s">
        <v>26</v>
      </c>
      <c r="K2255" s="1" t="s">
        <v>4929</v>
      </c>
      <c r="L2255" s="1" t="s">
        <v>4893</v>
      </c>
      <c r="M2255" s="1" t="s">
        <v>4894</v>
      </c>
      <c r="N2255" s="1" t="s">
        <v>38</v>
      </c>
      <c r="O2255" s="1" t="s">
        <v>1440</v>
      </c>
      <c r="P2255" s="1" t="s">
        <v>1540</v>
      </c>
      <c r="Q2255" s="1" t="s">
        <v>1541</v>
      </c>
      <c r="R2255" s="1" t="s">
        <v>113</v>
      </c>
      <c r="S2255" s="1"/>
      <c r="U2255" s="1" t="s">
        <v>35</v>
      </c>
      <c r="V2255" s="1" t="s">
        <v>359</v>
      </c>
      <c r="W2255" s="1" t="str">
        <f>VLOOKUP(Table1[[#This Row],[Obergruppe ATC-Code]],Tabelle3!$A$2:$B$100,2)</f>
        <v>ANALGETIKA</v>
      </c>
      <c r="X2255" s="1" t="str">
        <f xml:space="preserve"> LEFT(Table1[[#This Row],[Atc Code]],3)</f>
        <v>N02</v>
      </c>
    </row>
    <row r="2256" spans="1:24" ht="14.4">
      <c r="A2256" s="14">
        <v>1271</v>
      </c>
      <c r="B2256" s="24">
        <v>11543666</v>
      </c>
      <c r="C2256" s="1">
        <v>2187981</v>
      </c>
      <c r="D2256" s="1" t="s">
        <v>25</v>
      </c>
      <c r="E2256" s="36">
        <v>44959</v>
      </c>
      <c r="F2256" s="36">
        <v>45055</v>
      </c>
      <c r="G2256" s="38">
        <f t="shared" si="35"/>
        <v>96</v>
      </c>
      <c r="H2256" s="5">
        <v>44967</v>
      </c>
      <c r="I2256" s="5">
        <v>45058</v>
      </c>
      <c r="J2256" s="1" t="s">
        <v>26</v>
      </c>
      <c r="K2256" s="1" t="s">
        <v>4930</v>
      </c>
      <c r="L2256" s="1" t="s">
        <v>4893</v>
      </c>
      <c r="M2256" s="1" t="s">
        <v>4894</v>
      </c>
      <c r="N2256" s="1" t="s">
        <v>38</v>
      </c>
      <c r="O2256" s="1" t="s">
        <v>1440</v>
      </c>
      <c r="P2256" s="1" t="s">
        <v>1907</v>
      </c>
      <c r="Q2256" s="1" t="s">
        <v>1541</v>
      </c>
      <c r="R2256" s="1" t="s">
        <v>113</v>
      </c>
      <c r="S2256" s="1"/>
      <c r="U2256" s="1" t="s">
        <v>35</v>
      </c>
      <c r="V2256" s="1" t="s">
        <v>359</v>
      </c>
      <c r="W2256" s="1" t="str">
        <f>VLOOKUP(Table1[[#This Row],[Obergruppe ATC-Code]],Tabelle3!$A$2:$B$100,2)</f>
        <v>ANALGETIKA</v>
      </c>
      <c r="X2256" s="1" t="str">
        <f xml:space="preserve"> LEFT(Table1[[#This Row],[Atc Code]],3)</f>
        <v>N02</v>
      </c>
    </row>
    <row r="2257" spans="1:24" ht="14.4">
      <c r="A2257" s="14">
        <v>1608</v>
      </c>
      <c r="B2257" s="24">
        <v>17583750</v>
      </c>
      <c r="C2257" s="1">
        <v>2168387</v>
      </c>
      <c r="D2257" s="1" t="s">
        <v>25</v>
      </c>
      <c r="E2257" s="36">
        <v>45047</v>
      </c>
      <c r="F2257" s="36">
        <v>45061</v>
      </c>
      <c r="G2257" s="38">
        <f t="shared" si="35"/>
        <v>14</v>
      </c>
      <c r="H2257" s="5">
        <v>45048</v>
      </c>
      <c r="I2257" s="5">
        <v>45061</v>
      </c>
      <c r="J2257" s="1" t="s">
        <v>26</v>
      </c>
      <c r="K2257" s="1" t="s">
        <v>4923</v>
      </c>
      <c r="L2257" s="1" t="s">
        <v>4893</v>
      </c>
      <c r="M2257" s="1" t="s">
        <v>4894</v>
      </c>
      <c r="N2257" s="1" t="s">
        <v>38</v>
      </c>
      <c r="O2257" s="1" t="s">
        <v>4783</v>
      </c>
      <c r="Q2257" s="1" t="s">
        <v>4803</v>
      </c>
      <c r="R2257" s="1" t="s">
        <v>33</v>
      </c>
      <c r="S2257" s="1"/>
      <c r="U2257" s="1" t="s">
        <v>130</v>
      </c>
      <c r="V2257" s="1" t="s">
        <v>216</v>
      </c>
      <c r="W2257" s="1" t="str">
        <f>VLOOKUP(Table1[[#This Row],[Obergruppe ATC-Code]],Tabelle3!$A$2:$B$100,2)</f>
        <v>ANALGETIKA</v>
      </c>
      <c r="X2257" s="1" t="str">
        <f xml:space="preserve"> LEFT(Table1[[#This Row],[Atc Code]],3)</f>
        <v>N02</v>
      </c>
    </row>
    <row r="2258" spans="1:24" ht="14.4">
      <c r="A2258" s="14">
        <v>1607</v>
      </c>
      <c r="B2258" s="24">
        <v>17583750</v>
      </c>
      <c r="C2258" s="1">
        <v>2168387</v>
      </c>
      <c r="D2258" s="1" t="s">
        <v>25</v>
      </c>
      <c r="E2258" s="36">
        <v>45061</v>
      </c>
      <c r="F2258" s="36">
        <v>45070</v>
      </c>
      <c r="G2258" s="38">
        <f t="shared" si="35"/>
        <v>9</v>
      </c>
      <c r="H2258" s="5">
        <v>45061</v>
      </c>
      <c r="I2258" s="5">
        <v>45070</v>
      </c>
      <c r="J2258" s="1" t="s">
        <v>26</v>
      </c>
      <c r="K2258" s="1" t="s">
        <v>4923</v>
      </c>
      <c r="L2258" s="1" t="s">
        <v>4893</v>
      </c>
      <c r="M2258" s="1" t="s">
        <v>4894</v>
      </c>
      <c r="N2258" s="1" t="s">
        <v>38</v>
      </c>
      <c r="O2258" s="1" t="s">
        <v>4783</v>
      </c>
      <c r="Q2258" s="1" t="s">
        <v>4803</v>
      </c>
      <c r="R2258" s="1" t="s">
        <v>33</v>
      </c>
      <c r="S2258" s="1"/>
      <c r="U2258" s="1" t="s">
        <v>130</v>
      </c>
      <c r="V2258" s="1" t="s">
        <v>216</v>
      </c>
      <c r="W2258" s="1" t="str">
        <f>VLOOKUP(Table1[[#This Row],[Obergruppe ATC-Code]],Tabelle3!$A$2:$B$100,2)</f>
        <v>ANALGETIKA</v>
      </c>
      <c r="X2258" s="1" t="str">
        <f xml:space="preserve"> LEFT(Table1[[#This Row],[Atc Code]],3)</f>
        <v>N02</v>
      </c>
    </row>
    <row r="2259" spans="1:24" ht="14.4">
      <c r="A2259" s="14">
        <v>2676</v>
      </c>
      <c r="B2259" s="24" t="s">
        <v>4931</v>
      </c>
      <c r="C2259" s="1">
        <v>2187980</v>
      </c>
      <c r="D2259" s="1" t="s">
        <v>25</v>
      </c>
      <c r="E2259" s="36">
        <v>44928</v>
      </c>
      <c r="F2259" s="36">
        <v>45055</v>
      </c>
      <c r="G2259" s="38">
        <f t="shared" si="35"/>
        <v>127</v>
      </c>
      <c r="H2259" s="5">
        <v>44943</v>
      </c>
      <c r="I2259" s="5">
        <v>45076</v>
      </c>
      <c r="J2259" s="1" t="s">
        <v>26</v>
      </c>
      <c r="K2259" s="1" t="s">
        <v>4932</v>
      </c>
      <c r="L2259" s="1" t="s">
        <v>4893</v>
      </c>
      <c r="M2259" s="1" t="s">
        <v>4894</v>
      </c>
      <c r="N2259" s="1" t="s">
        <v>38</v>
      </c>
      <c r="O2259" s="1" t="s">
        <v>1440</v>
      </c>
      <c r="P2259" s="1" t="s">
        <v>1540</v>
      </c>
      <c r="Q2259" s="1" t="s">
        <v>1541</v>
      </c>
      <c r="R2259" s="1" t="s">
        <v>113</v>
      </c>
      <c r="S2259" s="1"/>
      <c r="U2259" s="1" t="s">
        <v>35</v>
      </c>
      <c r="V2259" s="1" t="s">
        <v>359</v>
      </c>
      <c r="W2259" s="1" t="str">
        <f>VLOOKUP(Table1[[#This Row],[Obergruppe ATC-Code]],Tabelle3!$A$2:$B$100,2)</f>
        <v>ANALGETIKA</v>
      </c>
      <c r="X2259" s="1" t="str">
        <f xml:space="preserve"> LEFT(Table1[[#This Row],[Atc Code]],3)</f>
        <v>N02</v>
      </c>
    </row>
    <row r="2260" spans="1:24" ht="14.4">
      <c r="A2260" s="14">
        <v>2674</v>
      </c>
      <c r="B2260" s="24" t="s">
        <v>4933</v>
      </c>
      <c r="C2260" s="1">
        <v>2187978</v>
      </c>
      <c r="D2260" s="1" t="s">
        <v>25</v>
      </c>
      <c r="E2260" s="36">
        <v>44956</v>
      </c>
      <c r="F2260" s="36">
        <v>45071</v>
      </c>
      <c r="G2260" s="38">
        <f t="shared" si="35"/>
        <v>115</v>
      </c>
      <c r="H2260" s="5">
        <v>44967</v>
      </c>
      <c r="I2260" s="5">
        <v>45076</v>
      </c>
      <c r="J2260" s="1" t="s">
        <v>26</v>
      </c>
      <c r="K2260" s="1" t="s">
        <v>4934</v>
      </c>
      <c r="L2260" s="1" t="s">
        <v>4893</v>
      </c>
      <c r="M2260" s="1" t="s">
        <v>4894</v>
      </c>
      <c r="N2260" s="1" t="s">
        <v>38</v>
      </c>
      <c r="O2260" s="1" t="s">
        <v>1440</v>
      </c>
      <c r="P2260" s="1" t="s">
        <v>1540</v>
      </c>
      <c r="Q2260" s="1" t="s">
        <v>1541</v>
      </c>
      <c r="R2260" s="1" t="s">
        <v>113</v>
      </c>
      <c r="S2260" s="1"/>
      <c r="U2260" s="1" t="s">
        <v>35</v>
      </c>
      <c r="V2260" s="1" t="s">
        <v>359</v>
      </c>
      <c r="W2260" s="1" t="str">
        <f>VLOOKUP(Table1[[#This Row],[Obergruppe ATC-Code]],Tabelle3!$A$2:$B$100,2)</f>
        <v>ANALGETIKA</v>
      </c>
      <c r="X2260" s="1" t="str">
        <f xml:space="preserve"> LEFT(Table1[[#This Row],[Atc Code]],3)</f>
        <v>N02</v>
      </c>
    </row>
    <row r="2261" spans="1:24" ht="14.4">
      <c r="A2261" s="14">
        <v>1267</v>
      </c>
      <c r="B2261" s="24">
        <v>11543465</v>
      </c>
      <c r="C2261" s="1">
        <v>2187975</v>
      </c>
      <c r="D2261" s="1" t="s">
        <v>25</v>
      </c>
      <c r="E2261" s="36">
        <v>45006</v>
      </c>
      <c r="F2261" s="36">
        <v>45049</v>
      </c>
      <c r="G2261" s="38">
        <f t="shared" si="35"/>
        <v>43</v>
      </c>
      <c r="H2261" s="5">
        <v>45035</v>
      </c>
      <c r="I2261" s="5">
        <v>45076</v>
      </c>
      <c r="J2261" s="1" t="s">
        <v>26</v>
      </c>
      <c r="K2261" s="1" t="s">
        <v>4935</v>
      </c>
      <c r="L2261" s="1" t="s">
        <v>4893</v>
      </c>
      <c r="M2261" s="1" t="s">
        <v>4894</v>
      </c>
      <c r="N2261" s="1" t="s">
        <v>38</v>
      </c>
      <c r="O2261" s="1" t="s">
        <v>1440</v>
      </c>
      <c r="P2261" s="1" t="s">
        <v>1540</v>
      </c>
      <c r="Q2261" s="1" t="s">
        <v>1916</v>
      </c>
      <c r="R2261" s="1" t="s">
        <v>113</v>
      </c>
      <c r="S2261" s="1"/>
      <c r="U2261" s="1" t="s">
        <v>35</v>
      </c>
      <c r="V2261" s="1" t="s">
        <v>359</v>
      </c>
      <c r="W2261" s="1" t="str">
        <f>VLOOKUP(Table1[[#This Row],[Obergruppe ATC-Code]],Tabelle3!$A$2:$B$100,2)</f>
        <v>ANALGETIKA</v>
      </c>
      <c r="X2261" s="1" t="str">
        <f xml:space="preserve"> LEFT(Table1[[#This Row],[Atc Code]],3)</f>
        <v>N02</v>
      </c>
    </row>
    <row r="2262" spans="1:24" ht="14.4">
      <c r="A2262" s="14">
        <v>1606</v>
      </c>
      <c r="B2262" s="24">
        <v>17583744</v>
      </c>
      <c r="C2262" s="1">
        <v>2168389</v>
      </c>
      <c r="D2262" s="1" t="s">
        <v>25</v>
      </c>
      <c r="E2262" s="36">
        <v>45047</v>
      </c>
      <c r="F2262" s="36">
        <v>45091</v>
      </c>
      <c r="G2262" s="38">
        <f t="shared" si="35"/>
        <v>44</v>
      </c>
      <c r="H2262" s="5">
        <v>45048</v>
      </c>
      <c r="I2262" s="5">
        <v>45091</v>
      </c>
      <c r="J2262" s="1" t="s">
        <v>26</v>
      </c>
      <c r="K2262" s="1" t="s">
        <v>4924</v>
      </c>
      <c r="L2262" s="1" t="s">
        <v>4893</v>
      </c>
      <c r="M2262" s="1" t="s">
        <v>4894</v>
      </c>
      <c r="N2262" s="1" t="s">
        <v>38</v>
      </c>
      <c r="O2262" s="1" t="s">
        <v>4783</v>
      </c>
      <c r="Q2262" s="1" t="s">
        <v>4803</v>
      </c>
      <c r="R2262" s="1" t="s">
        <v>33</v>
      </c>
      <c r="S2262" s="1"/>
      <c r="U2262" s="1" t="s">
        <v>130</v>
      </c>
      <c r="V2262" s="1" t="s">
        <v>216</v>
      </c>
      <c r="W2262" s="1" t="str">
        <f>VLOOKUP(Table1[[#This Row],[Obergruppe ATC-Code]],Tabelle3!$A$2:$B$100,2)</f>
        <v>ANALGETIKA</v>
      </c>
      <c r="X2262" s="1" t="str">
        <f xml:space="preserve"> LEFT(Table1[[#This Row],[Atc Code]],3)</f>
        <v>N02</v>
      </c>
    </row>
    <row r="2263" spans="1:24" ht="14.4">
      <c r="A2263" s="14">
        <v>1605</v>
      </c>
      <c r="B2263" s="24">
        <v>17583738</v>
      </c>
      <c r="C2263" s="1">
        <v>2168388</v>
      </c>
      <c r="D2263" s="1" t="s">
        <v>25</v>
      </c>
      <c r="E2263" s="36">
        <v>45047</v>
      </c>
      <c r="F2263" s="36">
        <v>45091</v>
      </c>
      <c r="G2263" s="38">
        <f t="shared" si="35"/>
        <v>44</v>
      </c>
      <c r="H2263" s="5">
        <v>45048</v>
      </c>
      <c r="I2263" s="5">
        <v>45091</v>
      </c>
      <c r="J2263" s="1" t="s">
        <v>26</v>
      </c>
      <c r="K2263" s="1" t="s">
        <v>4925</v>
      </c>
      <c r="L2263" s="1" t="s">
        <v>4893</v>
      </c>
      <c r="M2263" s="1" t="s">
        <v>4894</v>
      </c>
      <c r="N2263" s="1" t="s">
        <v>38</v>
      </c>
      <c r="O2263" s="1" t="s">
        <v>4783</v>
      </c>
      <c r="Q2263" s="1" t="s">
        <v>4803</v>
      </c>
      <c r="R2263" s="1" t="s">
        <v>33</v>
      </c>
      <c r="S2263" s="1"/>
      <c r="U2263" s="1" t="s">
        <v>130</v>
      </c>
      <c r="V2263" s="1" t="s">
        <v>216</v>
      </c>
      <c r="W2263" s="1" t="str">
        <f>VLOOKUP(Table1[[#This Row],[Obergruppe ATC-Code]],Tabelle3!$A$2:$B$100,2)</f>
        <v>ANALGETIKA</v>
      </c>
      <c r="X2263" s="1" t="str">
        <f xml:space="preserve"> LEFT(Table1[[#This Row],[Atc Code]],3)</f>
        <v>N02</v>
      </c>
    </row>
    <row r="2264" spans="1:24" ht="14.4">
      <c r="A2264" s="14">
        <v>1030</v>
      </c>
      <c r="B2264" s="24">
        <v>8859756</v>
      </c>
      <c r="C2264" s="1">
        <v>2141154</v>
      </c>
      <c r="D2264" s="1" t="s">
        <v>25</v>
      </c>
      <c r="E2264" s="36">
        <v>45083</v>
      </c>
      <c r="F2264" s="36">
        <v>45096</v>
      </c>
      <c r="G2264" s="38">
        <f t="shared" si="35"/>
        <v>13</v>
      </c>
      <c r="H2264" s="5">
        <v>45084</v>
      </c>
      <c r="I2264" s="5">
        <v>45096</v>
      </c>
      <c r="J2264" s="1" t="s">
        <v>26</v>
      </c>
      <c r="K2264" s="1" t="s">
        <v>4936</v>
      </c>
      <c r="L2264" s="1" t="s">
        <v>4893</v>
      </c>
      <c r="M2264" s="1" t="s">
        <v>4899</v>
      </c>
      <c r="N2264" s="1" t="s">
        <v>38</v>
      </c>
      <c r="O2264" s="1" t="s">
        <v>4783</v>
      </c>
      <c r="Q2264" s="1" t="s">
        <v>4803</v>
      </c>
      <c r="R2264" s="1" t="s">
        <v>33</v>
      </c>
      <c r="S2264" s="1"/>
      <c r="U2264" s="1" t="s">
        <v>130</v>
      </c>
      <c r="V2264" s="1" t="s">
        <v>359</v>
      </c>
      <c r="W2264" s="1" t="str">
        <f>VLOOKUP(Table1[[#This Row],[Obergruppe ATC-Code]],Tabelle3!$A$2:$B$100,2)</f>
        <v>ANALGETIKA</v>
      </c>
      <c r="X2264" s="1" t="str">
        <f xml:space="preserve"> LEFT(Table1[[#This Row],[Atc Code]],3)</f>
        <v>N02</v>
      </c>
    </row>
    <row r="2265" spans="1:24" ht="14.4">
      <c r="A2265" s="14">
        <v>2675</v>
      </c>
      <c r="B2265" s="24" t="s">
        <v>4937</v>
      </c>
      <c r="C2265" s="1">
        <v>2187979</v>
      </c>
      <c r="D2265" s="1" t="s">
        <v>25</v>
      </c>
      <c r="E2265" s="36">
        <v>44984</v>
      </c>
      <c r="F2265" s="36">
        <v>45106</v>
      </c>
      <c r="G2265" s="38">
        <f t="shared" si="35"/>
        <v>122</v>
      </c>
      <c r="H2265" s="5">
        <v>44998</v>
      </c>
      <c r="I2265" s="5">
        <v>45107</v>
      </c>
      <c r="J2265" s="1" t="s">
        <v>26</v>
      </c>
      <c r="K2265" s="1" t="s">
        <v>4938</v>
      </c>
      <c r="L2265" s="1" t="s">
        <v>4893</v>
      </c>
      <c r="M2265" s="1" t="s">
        <v>4894</v>
      </c>
      <c r="N2265" s="1" t="s">
        <v>38</v>
      </c>
      <c r="O2265" s="1" t="s">
        <v>1440</v>
      </c>
      <c r="P2265" s="1" t="s">
        <v>1540</v>
      </c>
      <c r="Q2265" s="1" t="s">
        <v>1541</v>
      </c>
      <c r="R2265" s="1" t="s">
        <v>113</v>
      </c>
      <c r="S2265" s="1"/>
      <c r="U2265" s="1" t="s">
        <v>35</v>
      </c>
      <c r="V2265" s="1" t="s">
        <v>359</v>
      </c>
      <c r="W2265" s="1" t="str">
        <f>VLOOKUP(Table1[[#This Row],[Obergruppe ATC-Code]],Tabelle3!$A$2:$B$100,2)</f>
        <v>ANALGETIKA</v>
      </c>
      <c r="X2265" s="1" t="str">
        <f xml:space="preserve"> LEFT(Table1[[#This Row],[Atc Code]],3)</f>
        <v>N02</v>
      </c>
    </row>
    <row r="2266" spans="1:24" ht="14.4">
      <c r="A2266" s="14">
        <v>1660</v>
      </c>
      <c r="B2266" s="24" t="s">
        <v>4939</v>
      </c>
      <c r="C2266" s="1">
        <v>2158368</v>
      </c>
      <c r="D2266" s="1" t="s">
        <v>25</v>
      </c>
      <c r="E2266" s="36">
        <v>45030</v>
      </c>
      <c r="F2266" s="36">
        <v>45107</v>
      </c>
      <c r="G2266" s="38">
        <f t="shared" si="35"/>
        <v>77</v>
      </c>
      <c r="H2266" s="5">
        <v>45030</v>
      </c>
      <c r="I2266" s="5">
        <v>45107</v>
      </c>
      <c r="J2266" s="1" t="s">
        <v>26</v>
      </c>
      <c r="K2266" s="1" t="s">
        <v>4892</v>
      </c>
      <c r="L2266" s="1" t="s">
        <v>4893</v>
      </c>
      <c r="M2266" s="1" t="s">
        <v>4894</v>
      </c>
      <c r="N2266" s="1" t="s">
        <v>30</v>
      </c>
      <c r="O2266" s="1" t="s">
        <v>4783</v>
      </c>
      <c r="Q2266" s="1" t="s">
        <v>4803</v>
      </c>
      <c r="R2266" s="1" t="s">
        <v>33</v>
      </c>
      <c r="S2266" s="1"/>
      <c r="U2266" s="1" t="s">
        <v>130</v>
      </c>
      <c r="V2266" s="1" t="s">
        <v>262</v>
      </c>
      <c r="W2266" s="1" t="str">
        <f>VLOOKUP(Table1[[#This Row],[Obergruppe ATC-Code]],Tabelle3!$A$2:$B$100,2)</f>
        <v>ANALGETIKA</v>
      </c>
      <c r="X2266" s="1" t="str">
        <f xml:space="preserve"> LEFT(Table1[[#This Row],[Atc Code]],3)</f>
        <v>N02</v>
      </c>
    </row>
    <row r="2267" spans="1:24" ht="14.4">
      <c r="A2267" s="14">
        <v>1657</v>
      </c>
      <c r="B2267" s="24" t="s">
        <v>4940</v>
      </c>
      <c r="C2267" s="1">
        <v>2158367</v>
      </c>
      <c r="D2267" s="1" t="s">
        <v>25</v>
      </c>
      <c r="E2267" s="36">
        <v>44860</v>
      </c>
      <c r="F2267" s="36">
        <v>45146</v>
      </c>
      <c r="G2267" s="38">
        <f t="shared" si="35"/>
        <v>286</v>
      </c>
      <c r="H2267" s="5">
        <v>44860</v>
      </c>
      <c r="I2267" s="5">
        <v>45146</v>
      </c>
      <c r="J2267" s="1" t="s">
        <v>26</v>
      </c>
      <c r="K2267" s="1" t="s">
        <v>4941</v>
      </c>
      <c r="L2267" s="1" t="s">
        <v>4893</v>
      </c>
      <c r="M2267" s="1" t="s">
        <v>4894</v>
      </c>
      <c r="N2267" s="1" t="s">
        <v>38</v>
      </c>
      <c r="O2267" s="1" t="s">
        <v>4783</v>
      </c>
      <c r="Q2267" s="1" t="s">
        <v>4803</v>
      </c>
      <c r="R2267" s="1" t="s">
        <v>33</v>
      </c>
      <c r="S2267" s="1"/>
      <c r="U2267" s="1" t="s">
        <v>130</v>
      </c>
      <c r="V2267" s="1" t="s">
        <v>262</v>
      </c>
      <c r="W2267" s="1" t="str">
        <f>VLOOKUP(Table1[[#This Row],[Obergruppe ATC-Code]],Tabelle3!$A$2:$B$100,2)</f>
        <v>ANALGETIKA</v>
      </c>
      <c r="X2267" s="1" t="str">
        <f xml:space="preserve"> LEFT(Table1[[#This Row],[Atc Code]],3)</f>
        <v>N02</v>
      </c>
    </row>
    <row r="2268" spans="1:24" ht="14.4">
      <c r="A2268" s="14">
        <v>2092</v>
      </c>
      <c r="B2268" s="24" t="s">
        <v>4942</v>
      </c>
      <c r="C2268" s="1">
        <v>2156594</v>
      </c>
      <c r="D2268" s="1" t="s">
        <v>25</v>
      </c>
      <c r="E2268" s="36">
        <v>44816</v>
      </c>
      <c r="F2268" s="36">
        <v>45149</v>
      </c>
      <c r="G2268" s="38">
        <f t="shared" si="35"/>
        <v>333</v>
      </c>
      <c r="H2268" s="5">
        <v>44817</v>
      </c>
      <c r="I2268" s="5">
        <v>45149</v>
      </c>
      <c r="J2268" s="1" t="s">
        <v>26</v>
      </c>
      <c r="K2268" s="1" t="s">
        <v>4943</v>
      </c>
      <c r="L2268" s="1" t="s">
        <v>4893</v>
      </c>
      <c r="M2268" s="1" t="s">
        <v>4894</v>
      </c>
      <c r="N2268" s="1" t="s">
        <v>38</v>
      </c>
      <c r="O2268" s="1" t="s">
        <v>4783</v>
      </c>
      <c r="Q2268" s="1" t="s">
        <v>4803</v>
      </c>
      <c r="R2268" s="1" t="s">
        <v>33</v>
      </c>
      <c r="S2268" s="1"/>
      <c r="U2268" s="1" t="s">
        <v>130</v>
      </c>
      <c r="V2268" s="1" t="s">
        <v>359</v>
      </c>
      <c r="W2268" s="1" t="str">
        <f>VLOOKUP(Table1[[#This Row],[Obergruppe ATC-Code]],Tabelle3!$A$2:$B$100,2)</f>
        <v>ANALGETIKA</v>
      </c>
      <c r="X2268" s="1" t="str">
        <f xml:space="preserve"> LEFT(Table1[[#This Row],[Atc Code]],3)</f>
        <v>N02</v>
      </c>
    </row>
    <row r="2269" spans="1:24" ht="14.4">
      <c r="A2269" s="14">
        <v>182</v>
      </c>
      <c r="B2269" s="24">
        <v>1098455</v>
      </c>
      <c r="C2269" s="1">
        <v>2149598</v>
      </c>
      <c r="D2269" s="1" t="s">
        <v>102</v>
      </c>
      <c r="E2269" s="36">
        <v>44971</v>
      </c>
      <c r="F2269" s="36">
        <v>45230</v>
      </c>
      <c r="G2269" s="38">
        <f t="shared" si="35"/>
        <v>259</v>
      </c>
      <c r="H2269" s="5">
        <v>44972</v>
      </c>
      <c r="I2269" s="5">
        <v>45161</v>
      </c>
      <c r="J2269" s="1" t="s">
        <v>26</v>
      </c>
      <c r="K2269" s="1" t="s">
        <v>4920</v>
      </c>
      <c r="L2269" s="1" t="s">
        <v>4893</v>
      </c>
      <c r="M2269" s="1" t="s">
        <v>4899</v>
      </c>
      <c r="N2269" s="1" t="s">
        <v>38</v>
      </c>
      <c r="O2269" s="1" t="s">
        <v>4783</v>
      </c>
      <c r="Q2269" s="1" t="s">
        <v>4803</v>
      </c>
      <c r="R2269" s="1" t="s">
        <v>33</v>
      </c>
      <c r="S2269" s="1"/>
      <c r="U2269" s="1" t="s">
        <v>130</v>
      </c>
      <c r="V2269" s="1" t="s">
        <v>359</v>
      </c>
      <c r="W2269" s="1" t="str">
        <f>VLOOKUP(Table1[[#This Row],[Obergruppe ATC-Code]],Tabelle3!$A$2:$B$100,2)</f>
        <v>ANALGETIKA</v>
      </c>
      <c r="X2269" s="1" t="str">
        <f xml:space="preserve"> LEFT(Table1[[#This Row],[Atc Code]],3)</f>
        <v>N02</v>
      </c>
    </row>
    <row r="2270" spans="1:24" ht="14.4">
      <c r="A2270" s="14">
        <v>1270</v>
      </c>
      <c r="B2270" s="24">
        <v>11543614</v>
      </c>
      <c r="C2270" s="1">
        <v>2187980</v>
      </c>
      <c r="D2270" s="1" t="s">
        <v>25</v>
      </c>
      <c r="E2270" s="36">
        <v>45121</v>
      </c>
      <c r="F2270" s="36">
        <v>45174</v>
      </c>
      <c r="G2270" s="38">
        <f t="shared" si="35"/>
        <v>53</v>
      </c>
      <c r="H2270" s="5">
        <v>45141</v>
      </c>
      <c r="I2270" s="5">
        <v>45197</v>
      </c>
      <c r="J2270" s="1" t="s">
        <v>41</v>
      </c>
      <c r="K2270" s="1" t="s">
        <v>4932</v>
      </c>
      <c r="L2270" s="1" t="s">
        <v>4893</v>
      </c>
      <c r="M2270" s="1" t="s">
        <v>4894</v>
      </c>
      <c r="N2270" s="1" t="s">
        <v>38</v>
      </c>
      <c r="O2270" s="1" t="s">
        <v>1440</v>
      </c>
      <c r="Q2270" s="1" t="s">
        <v>1541</v>
      </c>
      <c r="R2270" s="1" t="s">
        <v>128</v>
      </c>
      <c r="S2270" s="1"/>
      <c r="U2270" s="1" t="s">
        <v>35</v>
      </c>
      <c r="V2270" s="1" t="s">
        <v>359</v>
      </c>
      <c r="W2270" s="1" t="str">
        <f>VLOOKUP(Table1[[#This Row],[Obergruppe ATC-Code]],Tabelle3!$A$2:$B$100,2)</f>
        <v>ANALGETIKA</v>
      </c>
      <c r="X2270" s="1" t="str">
        <f xml:space="preserve"> LEFT(Table1[[#This Row],[Atc Code]],3)</f>
        <v>N02</v>
      </c>
    </row>
    <row r="2271" spans="1:24" ht="14.4">
      <c r="A2271" s="14">
        <v>1269</v>
      </c>
      <c r="B2271" s="24">
        <v>11543525</v>
      </c>
      <c r="C2271" s="1">
        <v>2187977</v>
      </c>
      <c r="D2271" s="1" t="s">
        <v>102</v>
      </c>
      <c r="E2271" s="36">
        <v>45121</v>
      </c>
      <c r="F2271" s="36">
        <v>45233</v>
      </c>
      <c r="G2271" s="38">
        <f t="shared" si="35"/>
        <v>112</v>
      </c>
      <c r="H2271" s="5">
        <v>45141</v>
      </c>
      <c r="I2271" s="5">
        <v>45197</v>
      </c>
      <c r="J2271" s="1" t="s">
        <v>41</v>
      </c>
      <c r="K2271" s="1" t="s">
        <v>4910</v>
      </c>
      <c r="L2271" s="1" t="s">
        <v>4893</v>
      </c>
      <c r="M2271" s="1" t="s">
        <v>4894</v>
      </c>
      <c r="N2271" s="1" t="s">
        <v>38</v>
      </c>
      <c r="O2271" s="1" t="s">
        <v>1440</v>
      </c>
      <c r="Q2271" s="1" t="s">
        <v>1541</v>
      </c>
      <c r="R2271" s="1" t="s">
        <v>128</v>
      </c>
      <c r="S2271" s="1"/>
      <c r="U2271" s="1" t="s">
        <v>35</v>
      </c>
      <c r="V2271" s="1" t="s">
        <v>359</v>
      </c>
      <c r="W2271" s="1" t="str">
        <f>VLOOKUP(Table1[[#This Row],[Obergruppe ATC-Code]],Tabelle3!$A$2:$B$100,2)</f>
        <v>ANALGETIKA</v>
      </c>
      <c r="X2271" s="1" t="str">
        <f xml:space="preserve"> LEFT(Table1[[#This Row],[Atc Code]],3)</f>
        <v>N02</v>
      </c>
    </row>
    <row r="2272" spans="1:24" ht="14.4">
      <c r="A2272" s="14">
        <v>14</v>
      </c>
      <c r="B2272" s="24">
        <v>81903</v>
      </c>
      <c r="C2272" s="1">
        <v>2158368</v>
      </c>
      <c r="D2272" s="1" t="s">
        <v>102</v>
      </c>
      <c r="E2272" s="36">
        <v>45118</v>
      </c>
      <c r="F2272" s="36">
        <v>45230</v>
      </c>
      <c r="G2272" s="38">
        <f t="shared" si="35"/>
        <v>112</v>
      </c>
      <c r="H2272" s="5">
        <v>45119</v>
      </c>
      <c r="I2272" s="5">
        <v>45210</v>
      </c>
      <c r="J2272" s="1" t="s">
        <v>26</v>
      </c>
      <c r="K2272" s="1" t="s">
        <v>4892</v>
      </c>
      <c r="L2272" s="1" t="s">
        <v>4893</v>
      </c>
      <c r="M2272" s="1" t="s">
        <v>4894</v>
      </c>
      <c r="N2272" s="1" t="s">
        <v>38</v>
      </c>
      <c r="O2272" s="1" t="s">
        <v>4783</v>
      </c>
      <c r="Q2272" s="1" t="s">
        <v>4803</v>
      </c>
      <c r="R2272" s="1" t="s">
        <v>33</v>
      </c>
      <c r="S2272" s="1"/>
      <c r="U2272" s="1" t="s">
        <v>130</v>
      </c>
      <c r="V2272" s="1" t="s">
        <v>262</v>
      </c>
      <c r="W2272" s="1" t="str">
        <f>VLOOKUP(Table1[[#This Row],[Obergruppe ATC-Code]],Tabelle3!$A$2:$B$100,2)</f>
        <v>ANALGETIKA</v>
      </c>
      <c r="X2272" s="1" t="str">
        <f xml:space="preserve"> LEFT(Table1[[#This Row],[Atc Code]],3)</f>
        <v>N02</v>
      </c>
    </row>
    <row r="2273" spans="1:24" ht="14.4">
      <c r="A2273" s="14">
        <v>2881</v>
      </c>
      <c r="B2273" s="24" t="s">
        <v>4944</v>
      </c>
      <c r="C2273" s="1">
        <v>2188012</v>
      </c>
      <c r="D2273" s="1" t="s">
        <v>175</v>
      </c>
      <c r="E2273" s="36">
        <v>45216</v>
      </c>
      <c r="F2273" s="36">
        <v>45309</v>
      </c>
      <c r="G2273" s="38">
        <f t="shared" si="35"/>
        <v>93</v>
      </c>
      <c r="H2273" s="5">
        <v>45216</v>
      </c>
      <c r="I2273" s="5">
        <v>45216</v>
      </c>
      <c r="J2273" s="1" t="s">
        <v>26</v>
      </c>
      <c r="K2273" s="1" t="s">
        <v>4945</v>
      </c>
      <c r="L2273" s="1" t="s">
        <v>4893</v>
      </c>
      <c r="M2273" s="1" t="s">
        <v>4894</v>
      </c>
      <c r="N2273" s="1" t="s">
        <v>38</v>
      </c>
      <c r="O2273" s="1" t="s">
        <v>3619</v>
      </c>
      <c r="P2273" s="1">
        <v>69478730</v>
      </c>
      <c r="Q2273" s="1" t="s">
        <v>3620</v>
      </c>
      <c r="R2273" s="1" t="s">
        <v>113</v>
      </c>
      <c r="S2273" s="1" t="s">
        <v>4946</v>
      </c>
      <c r="U2273" s="1" t="s">
        <v>130</v>
      </c>
      <c r="V2273" s="1" t="s">
        <v>359</v>
      </c>
      <c r="W2273" s="1" t="str">
        <f>VLOOKUP(Table1[[#This Row],[Obergruppe ATC-Code]],Tabelle3!$A$2:$B$100,2)</f>
        <v>ANALGETIKA</v>
      </c>
      <c r="X2273" s="1" t="str">
        <f xml:space="preserve"> LEFT(Table1[[#This Row],[Atc Code]],3)</f>
        <v>N02</v>
      </c>
    </row>
    <row r="2274" spans="1:24" ht="14.4">
      <c r="A2274" s="14">
        <v>2880</v>
      </c>
      <c r="B2274" s="24" t="s">
        <v>4947</v>
      </c>
      <c r="C2274" s="1">
        <v>2188011</v>
      </c>
      <c r="D2274" s="1" t="s">
        <v>175</v>
      </c>
      <c r="E2274" s="36">
        <v>45216</v>
      </c>
      <c r="F2274" s="36">
        <v>45309</v>
      </c>
      <c r="G2274" s="38">
        <f t="shared" si="35"/>
        <v>93</v>
      </c>
      <c r="H2274" s="5">
        <v>45216</v>
      </c>
      <c r="I2274" s="5">
        <v>45216</v>
      </c>
      <c r="J2274" s="1" t="s">
        <v>26</v>
      </c>
      <c r="K2274" s="1" t="s">
        <v>4948</v>
      </c>
      <c r="L2274" s="1" t="s">
        <v>4893</v>
      </c>
      <c r="M2274" s="1" t="s">
        <v>4894</v>
      </c>
      <c r="N2274" s="1" t="s">
        <v>38</v>
      </c>
      <c r="O2274" s="1" t="s">
        <v>3619</v>
      </c>
      <c r="P2274" s="1">
        <v>69478730</v>
      </c>
      <c r="Q2274" s="1" t="s">
        <v>3620</v>
      </c>
      <c r="R2274" s="1" t="s">
        <v>113</v>
      </c>
      <c r="S2274" s="1" t="s">
        <v>4949</v>
      </c>
      <c r="U2274" s="1" t="s">
        <v>130</v>
      </c>
      <c r="V2274" s="1" t="s">
        <v>359</v>
      </c>
      <c r="W2274" s="1" t="str">
        <f>VLOOKUP(Table1[[#This Row],[Obergruppe ATC-Code]],Tabelle3!$A$2:$B$100,2)</f>
        <v>ANALGETIKA</v>
      </c>
      <c r="X2274" s="1" t="str">
        <f xml:space="preserve"> LEFT(Table1[[#This Row],[Atc Code]],3)</f>
        <v>N02</v>
      </c>
    </row>
    <row r="2275" spans="1:24" ht="14.4">
      <c r="A2275" s="14">
        <v>2879</v>
      </c>
      <c r="B2275" s="24" t="s">
        <v>4950</v>
      </c>
      <c r="C2275" s="1">
        <v>2188009</v>
      </c>
      <c r="D2275" s="1" t="s">
        <v>175</v>
      </c>
      <c r="E2275" s="36">
        <v>45216</v>
      </c>
      <c r="F2275" s="36">
        <v>45230</v>
      </c>
      <c r="G2275" s="38">
        <f t="shared" si="35"/>
        <v>14</v>
      </c>
      <c r="H2275" s="5">
        <v>45216</v>
      </c>
      <c r="I2275" s="5">
        <v>45216</v>
      </c>
      <c r="J2275" s="1" t="s">
        <v>26</v>
      </c>
      <c r="K2275" s="1" t="s">
        <v>4951</v>
      </c>
      <c r="L2275" s="1" t="s">
        <v>4893</v>
      </c>
      <c r="M2275" s="1" t="s">
        <v>4894</v>
      </c>
      <c r="N2275" s="1" t="s">
        <v>38</v>
      </c>
      <c r="O2275" s="1" t="s">
        <v>3619</v>
      </c>
      <c r="P2275" s="1">
        <v>69478730</v>
      </c>
      <c r="Q2275" s="1" t="s">
        <v>3620</v>
      </c>
      <c r="R2275" s="1" t="s">
        <v>113</v>
      </c>
      <c r="S2275" s="1" t="s">
        <v>4949</v>
      </c>
      <c r="U2275" s="1" t="s">
        <v>130</v>
      </c>
      <c r="V2275" s="1" t="s">
        <v>359</v>
      </c>
      <c r="W2275" s="1" t="str">
        <f>VLOOKUP(Table1[[#This Row],[Obergruppe ATC-Code]],Tabelle3!$A$2:$B$100,2)</f>
        <v>ANALGETIKA</v>
      </c>
      <c r="X2275" s="1" t="str">
        <f xml:space="preserve"> LEFT(Table1[[#This Row],[Atc Code]],3)</f>
        <v>N02</v>
      </c>
    </row>
    <row r="2276" spans="1:24" ht="14.4">
      <c r="A2276" s="14">
        <v>1553</v>
      </c>
      <c r="B2276" s="24">
        <v>16682912</v>
      </c>
      <c r="C2276" s="1">
        <v>2188010</v>
      </c>
      <c r="D2276" s="1" t="s">
        <v>175</v>
      </c>
      <c r="E2276" s="36">
        <v>45216</v>
      </c>
      <c r="F2276" s="36">
        <v>45230</v>
      </c>
      <c r="G2276" s="38">
        <f t="shared" si="35"/>
        <v>14</v>
      </c>
      <c r="H2276" s="5">
        <v>45216</v>
      </c>
      <c r="I2276" s="5">
        <v>45216</v>
      </c>
      <c r="J2276" s="1" t="s">
        <v>26</v>
      </c>
      <c r="K2276" s="1" t="s">
        <v>4952</v>
      </c>
      <c r="L2276" s="1" t="s">
        <v>4893</v>
      </c>
      <c r="M2276" s="1" t="s">
        <v>4894</v>
      </c>
      <c r="N2276" s="1" t="s">
        <v>38</v>
      </c>
      <c r="O2276" s="1" t="s">
        <v>3619</v>
      </c>
      <c r="P2276" s="1">
        <v>69478730</v>
      </c>
      <c r="Q2276" s="1" t="s">
        <v>3620</v>
      </c>
      <c r="R2276" s="1" t="s">
        <v>113</v>
      </c>
      <c r="S2276" s="1" t="s">
        <v>4949</v>
      </c>
      <c r="U2276" s="1" t="s">
        <v>130</v>
      </c>
      <c r="V2276" s="1" t="s">
        <v>359</v>
      </c>
      <c r="W2276" s="1" t="str">
        <f>VLOOKUP(Table1[[#This Row],[Obergruppe ATC-Code]],Tabelle3!$A$2:$B$100,2)</f>
        <v>ANALGETIKA</v>
      </c>
      <c r="X2276" s="1" t="str">
        <f xml:space="preserve"> LEFT(Table1[[#This Row],[Atc Code]],3)</f>
        <v>N02</v>
      </c>
    </row>
    <row r="2277" spans="1:24" ht="14.4">
      <c r="A2277" s="14">
        <v>1272</v>
      </c>
      <c r="B2277" s="24">
        <v>11543703</v>
      </c>
      <c r="C2277" s="1">
        <v>2187982</v>
      </c>
      <c r="D2277" s="1" t="s">
        <v>102</v>
      </c>
      <c r="E2277" s="36">
        <v>45121</v>
      </c>
      <c r="F2277" s="36">
        <v>45247</v>
      </c>
      <c r="G2277" s="38">
        <f t="shared" si="35"/>
        <v>126</v>
      </c>
      <c r="H2277" s="5">
        <v>45141</v>
      </c>
      <c r="I2277" s="5">
        <v>45216</v>
      </c>
      <c r="J2277" s="1" t="s">
        <v>41</v>
      </c>
      <c r="K2277" s="1" t="s">
        <v>4953</v>
      </c>
      <c r="L2277" s="1" t="s">
        <v>4893</v>
      </c>
      <c r="M2277" s="1" t="s">
        <v>4894</v>
      </c>
      <c r="N2277" s="1" t="s">
        <v>38</v>
      </c>
      <c r="O2277" s="1" t="s">
        <v>1440</v>
      </c>
      <c r="Q2277" s="1" t="s">
        <v>1541</v>
      </c>
      <c r="R2277" s="1" t="s">
        <v>128</v>
      </c>
      <c r="S2277" s="1"/>
      <c r="U2277" s="1" t="s">
        <v>35</v>
      </c>
      <c r="V2277" s="1" t="s">
        <v>359</v>
      </c>
      <c r="W2277" s="1" t="str">
        <f>VLOOKUP(Table1[[#This Row],[Obergruppe ATC-Code]],Tabelle3!$A$2:$B$100,2)</f>
        <v>ANALGETIKA</v>
      </c>
      <c r="X2277" s="1" t="str">
        <f xml:space="preserve"> LEFT(Table1[[#This Row],[Atc Code]],3)</f>
        <v>N02</v>
      </c>
    </row>
    <row r="2278" spans="1:24" ht="14.4">
      <c r="A2278" s="14">
        <v>1838</v>
      </c>
      <c r="B2278" s="24" t="s">
        <v>4954</v>
      </c>
      <c r="C2278" s="1">
        <v>2130148</v>
      </c>
      <c r="D2278" s="1" t="s">
        <v>25</v>
      </c>
      <c r="E2278" s="36">
        <v>44699</v>
      </c>
      <c r="F2278" s="36">
        <v>44776</v>
      </c>
      <c r="G2278" s="38">
        <f t="shared" si="35"/>
        <v>77</v>
      </c>
      <c r="H2278" s="5">
        <v>44699</v>
      </c>
      <c r="I2278" s="5">
        <v>44776</v>
      </c>
      <c r="J2278" s="1" t="s">
        <v>26</v>
      </c>
      <c r="K2278" s="1" t="s">
        <v>4955</v>
      </c>
      <c r="L2278" s="1" t="s">
        <v>4956</v>
      </c>
      <c r="M2278" s="1" t="s">
        <v>4957</v>
      </c>
      <c r="N2278" s="1" t="s">
        <v>38</v>
      </c>
      <c r="O2278" s="1" t="s">
        <v>4783</v>
      </c>
      <c r="Q2278" s="1" t="s">
        <v>4803</v>
      </c>
      <c r="R2278" s="1" t="s">
        <v>33</v>
      </c>
      <c r="S2278" s="1"/>
      <c r="U2278" s="1" t="s">
        <v>130</v>
      </c>
      <c r="V2278" s="1" t="s">
        <v>359</v>
      </c>
      <c r="W2278" s="1" t="str">
        <f>VLOOKUP(Table1[[#This Row],[Obergruppe ATC-Code]],Tabelle3!$A$2:$B$100,2)</f>
        <v>ANALGETIKA</v>
      </c>
      <c r="X2278" s="1" t="str">
        <f xml:space="preserve"> LEFT(Table1[[#This Row],[Atc Code]],3)</f>
        <v>N02</v>
      </c>
    </row>
    <row r="2279" spans="1:24" ht="14.4">
      <c r="A2279" s="14">
        <v>1837</v>
      </c>
      <c r="B2279" s="24" t="s">
        <v>4958</v>
      </c>
      <c r="C2279" s="1">
        <v>2130147</v>
      </c>
      <c r="D2279" s="1" t="s">
        <v>25</v>
      </c>
      <c r="E2279" s="36">
        <v>44699</v>
      </c>
      <c r="F2279" s="36">
        <v>44798</v>
      </c>
      <c r="G2279" s="38">
        <f t="shared" si="35"/>
        <v>99</v>
      </c>
      <c r="H2279" s="5">
        <v>44699</v>
      </c>
      <c r="I2279" s="5">
        <v>44798</v>
      </c>
      <c r="J2279" s="1" t="s">
        <v>26</v>
      </c>
      <c r="K2279" s="1" t="s">
        <v>4959</v>
      </c>
      <c r="L2279" s="1" t="s">
        <v>4956</v>
      </c>
      <c r="M2279" s="1" t="s">
        <v>4957</v>
      </c>
      <c r="N2279" s="1" t="s">
        <v>38</v>
      </c>
      <c r="O2279" s="1" t="s">
        <v>4783</v>
      </c>
      <c r="Q2279" s="1" t="s">
        <v>4803</v>
      </c>
      <c r="R2279" s="1" t="s">
        <v>33</v>
      </c>
      <c r="S2279" s="1"/>
      <c r="U2279" s="1" t="s">
        <v>130</v>
      </c>
      <c r="V2279" s="1" t="s">
        <v>359</v>
      </c>
      <c r="W2279" s="1" t="str">
        <f>VLOOKUP(Table1[[#This Row],[Obergruppe ATC-Code]],Tabelle3!$A$2:$B$100,2)</f>
        <v>ANALGETIKA</v>
      </c>
      <c r="X2279" s="1" t="str">
        <f xml:space="preserve"> LEFT(Table1[[#This Row],[Atc Code]],3)</f>
        <v>N02</v>
      </c>
    </row>
    <row r="2280" spans="1:24" ht="14.4">
      <c r="A2280" s="14">
        <v>1836</v>
      </c>
      <c r="B2280" s="24" t="s">
        <v>4960</v>
      </c>
      <c r="C2280" s="1">
        <v>2115084</v>
      </c>
      <c r="D2280" s="1" t="s">
        <v>25</v>
      </c>
      <c r="E2280" s="36">
        <v>44699</v>
      </c>
      <c r="F2280" s="36">
        <v>45016</v>
      </c>
      <c r="G2280" s="38">
        <f t="shared" si="35"/>
        <v>317</v>
      </c>
      <c r="H2280" s="5">
        <v>44699</v>
      </c>
      <c r="I2280" s="5">
        <v>45016</v>
      </c>
      <c r="J2280" s="1" t="s">
        <v>26</v>
      </c>
      <c r="K2280" s="1" t="s">
        <v>4961</v>
      </c>
      <c r="L2280" s="1" t="s">
        <v>4956</v>
      </c>
      <c r="M2280" s="1" t="s">
        <v>4957</v>
      </c>
      <c r="N2280" s="1" t="s">
        <v>38</v>
      </c>
      <c r="O2280" s="1" t="s">
        <v>4783</v>
      </c>
      <c r="Q2280" s="1" t="s">
        <v>4803</v>
      </c>
      <c r="R2280" s="1" t="s">
        <v>33</v>
      </c>
      <c r="S2280" s="1"/>
      <c r="U2280" s="1" t="s">
        <v>130</v>
      </c>
      <c r="V2280" s="1" t="s">
        <v>359</v>
      </c>
      <c r="W2280" s="1" t="str">
        <f>VLOOKUP(Table1[[#This Row],[Obergruppe ATC-Code]],Tabelle3!$A$2:$B$100,2)</f>
        <v>ANALGETIKA</v>
      </c>
      <c r="X2280" s="1" t="str">
        <f xml:space="preserve"> LEFT(Table1[[#This Row],[Atc Code]],3)</f>
        <v>N02</v>
      </c>
    </row>
    <row r="2281" spans="1:24" ht="14.4">
      <c r="A2281" s="14">
        <v>1266</v>
      </c>
      <c r="B2281" s="24">
        <v>11538725</v>
      </c>
      <c r="C2281" s="1">
        <v>2191852</v>
      </c>
      <c r="D2281" s="1" t="s">
        <v>25</v>
      </c>
      <c r="E2281" s="36">
        <v>44658</v>
      </c>
      <c r="F2281" s="36">
        <v>44769</v>
      </c>
      <c r="G2281" s="38">
        <f t="shared" si="35"/>
        <v>111</v>
      </c>
      <c r="H2281" s="5">
        <v>44658</v>
      </c>
      <c r="I2281" s="5">
        <v>44770</v>
      </c>
      <c r="J2281" s="1" t="s">
        <v>26</v>
      </c>
      <c r="K2281" s="1" t="s">
        <v>4962</v>
      </c>
      <c r="L2281" s="1" t="s">
        <v>4963</v>
      </c>
      <c r="M2281" s="1" t="s">
        <v>4964</v>
      </c>
      <c r="N2281" s="1" t="s">
        <v>38</v>
      </c>
      <c r="O2281" s="1" t="s">
        <v>4861</v>
      </c>
      <c r="Q2281" s="1" t="s">
        <v>4965</v>
      </c>
      <c r="R2281" s="1" t="s">
        <v>33</v>
      </c>
      <c r="S2281" s="1"/>
      <c r="U2281" s="1" t="s">
        <v>130</v>
      </c>
      <c r="V2281" s="1" t="s">
        <v>359</v>
      </c>
      <c r="W2281" s="1" t="str">
        <f>VLOOKUP(Table1[[#This Row],[Obergruppe ATC-Code]],Tabelle3!$A$2:$B$100,2)</f>
        <v>ANALGETIKA</v>
      </c>
      <c r="X2281" s="1" t="str">
        <f xml:space="preserve"> LEFT(Table1[[#This Row],[Atc Code]],3)</f>
        <v>N02</v>
      </c>
    </row>
    <row r="2282" spans="1:24" ht="14.4">
      <c r="A2282" s="14">
        <v>2044</v>
      </c>
      <c r="B2282" s="24" t="s">
        <v>4966</v>
      </c>
      <c r="C2282" s="1">
        <v>2173084</v>
      </c>
      <c r="D2282" s="1" t="s">
        <v>25</v>
      </c>
      <c r="E2282" s="36">
        <v>44651</v>
      </c>
      <c r="F2282" s="36">
        <v>44838</v>
      </c>
      <c r="G2282" s="38">
        <f t="shared" si="35"/>
        <v>187</v>
      </c>
      <c r="H2282" s="5">
        <v>44651</v>
      </c>
      <c r="I2282" s="5">
        <v>44839</v>
      </c>
      <c r="J2282" s="1" t="s">
        <v>26</v>
      </c>
      <c r="K2282" s="1" t="s">
        <v>4967</v>
      </c>
      <c r="L2282" s="1" t="s">
        <v>4963</v>
      </c>
      <c r="M2282" s="1" t="s">
        <v>4964</v>
      </c>
      <c r="N2282" s="1" t="s">
        <v>38</v>
      </c>
      <c r="O2282" s="1" t="s">
        <v>4783</v>
      </c>
      <c r="Q2282" s="1" t="s">
        <v>4803</v>
      </c>
      <c r="R2282" s="1" t="s">
        <v>33</v>
      </c>
      <c r="S2282" s="1"/>
      <c r="U2282" s="1" t="s">
        <v>130</v>
      </c>
      <c r="V2282" s="1" t="s">
        <v>359</v>
      </c>
      <c r="W2282" s="1" t="str">
        <f>VLOOKUP(Table1[[#This Row],[Obergruppe ATC-Code]],Tabelle3!$A$2:$B$100,2)</f>
        <v>ANALGETIKA</v>
      </c>
      <c r="X2282" s="1" t="str">
        <f xml:space="preserve"> LEFT(Table1[[#This Row],[Atc Code]],3)</f>
        <v>N02</v>
      </c>
    </row>
    <row r="2283" spans="1:24" ht="14.4">
      <c r="A2283" s="14">
        <v>1709</v>
      </c>
      <c r="B2283" s="24" t="s">
        <v>4968</v>
      </c>
      <c r="C2283" s="1">
        <v>2173086</v>
      </c>
      <c r="D2283" s="1" t="s">
        <v>25</v>
      </c>
      <c r="E2283" s="36">
        <v>44651</v>
      </c>
      <c r="F2283" s="36">
        <v>44839</v>
      </c>
      <c r="G2283" s="38">
        <f t="shared" si="35"/>
        <v>188</v>
      </c>
      <c r="H2283" s="5">
        <v>44651</v>
      </c>
      <c r="I2283" s="5">
        <v>44840</v>
      </c>
      <c r="J2283" s="1" t="s">
        <v>26</v>
      </c>
      <c r="K2283" s="1" t="s">
        <v>4969</v>
      </c>
      <c r="L2283" s="1" t="s">
        <v>4963</v>
      </c>
      <c r="M2283" s="1" t="s">
        <v>4964</v>
      </c>
      <c r="N2283" s="1" t="s">
        <v>38</v>
      </c>
      <c r="O2283" s="1" t="s">
        <v>4783</v>
      </c>
      <c r="Q2283" s="1" t="s">
        <v>4803</v>
      </c>
      <c r="R2283" s="1" t="s">
        <v>33</v>
      </c>
      <c r="S2283" s="1"/>
      <c r="U2283" s="1" t="s">
        <v>130</v>
      </c>
      <c r="V2283" s="1" t="s">
        <v>359</v>
      </c>
      <c r="W2283" s="1" t="str">
        <f>VLOOKUP(Table1[[#This Row],[Obergruppe ATC-Code]],Tabelle3!$A$2:$B$100,2)</f>
        <v>ANALGETIKA</v>
      </c>
      <c r="X2283" s="1" t="str">
        <f xml:space="preserve"> LEFT(Table1[[#This Row],[Atc Code]],3)</f>
        <v>N02</v>
      </c>
    </row>
    <row r="2284" spans="1:24" ht="14.4">
      <c r="A2284" s="14">
        <v>2671</v>
      </c>
      <c r="B2284" s="24" t="s">
        <v>4970</v>
      </c>
      <c r="C2284" s="1">
        <v>2191850</v>
      </c>
      <c r="D2284" s="1" t="s">
        <v>25</v>
      </c>
      <c r="E2284" s="36">
        <v>44678</v>
      </c>
      <c r="F2284" s="36">
        <v>44858</v>
      </c>
      <c r="G2284" s="38">
        <f t="shared" si="35"/>
        <v>180</v>
      </c>
      <c r="H2284" s="5">
        <v>44678</v>
      </c>
      <c r="I2284" s="5">
        <v>44858</v>
      </c>
      <c r="J2284" s="1" t="s">
        <v>26</v>
      </c>
      <c r="K2284" s="1" t="s">
        <v>4971</v>
      </c>
      <c r="L2284" s="1" t="s">
        <v>4963</v>
      </c>
      <c r="M2284" s="1" t="s">
        <v>4964</v>
      </c>
      <c r="N2284" s="1" t="s">
        <v>38</v>
      </c>
      <c r="O2284" s="1" t="s">
        <v>4861</v>
      </c>
      <c r="Q2284" s="1" t="s">
        <v>4803</v>
      </c>
      <c r="R2284" s="1" t="s">
        <v>33</v>
      </c>
      <c r="S2284" s="1"/>
      <c r="U2284" s="1" t="s">
        <v>130</v>
      </c>
      <c r="V2284" s="1" t="s">
        <v>359</v>
      </c>
      <c r="W2284" s="1" t="str">
        <f>VLOOKUP(Table1[[#This Row],[Obergruppe ATC-Code]],Tabelle3!$A$2:$B$100,2)</f>
        <v>ANALGETIKA</v>
      </c>
      <c r="X2284" s="1" t="str">
        <f xml:space="preserve"> LEFT(Table1[[#This Row],[Atc Code]],3)</f>
        <v>N02</v>
      </c>
    </row>
    <row r="2285" spans="1:24" ht="14.4">
      <c r="A2285" s="14">
        <v>2672</v>
      </c>
      <c r="B2285" s="24" t="s">
        <v>4972</v>
      </c>
      <c r="C2285" s="1">
        <v>2191851</v>
      </c>
      <c r="D2285" s="1" t="s">
        <v>25</v>
      </c>
      <c r="E2285" s="36">
        <v>44658</v>
      </c>
      <c r="F2285" s="36">
        <v>44893</v>
      </c>
      <c r="G2285" s="38">
        <f t="shared" si="35"/>
        <v>235</v>
      </c>
      <c r="H2285" s="5">
        <v>44658</v>
      </c>
      <c r="I2285" s="5">
        <v>44893</v>
      </c>
      <c r="J2285" s="1" t="s">
        <v>26</v>
      </c>
      <c r="K2285" s="1" t="s">
        <v>4973</v>
      </c>
      <c r="L2285" s="1" t="s">
        <v>4963</v>
      </c>
      <c r="M2285" s="1" t="s">
        <v>4964</v>
      </c>
      <c r="N2285" s="1" t="s">
        <v>38</v>
      </c>
      <c r="O2285" s="1" t="s">
        <v>4861</v>
      </c>
      <c r="Q2285" s="1" t="s">
        <v>4803</v>
      </c>
      <c r="R2285" s="1" t="s">
        <v>33</v>
      </c>
      <c r="S2285" s="1"/>
      <c r="U2285" s="1" t="s">
        <v>130</v>
      </c>
      <c r="V2285" s="1" t="s">
        <v>359</v>
      </c>
      <c r="W2285" s="1" t="str">
        <f>VLOOKUP(Table1[[#This Row],[Obergruppe ATC-Code]],Tabelle3!$A$2:$B$100,2)</f>
        <v>ANALGETIKA</v>
      </c>
      <c r="X2285" s="1" t="str">
        <f xml:space="preserve"> LEFT(Table1[[#This Row],[Atc Code]],3)</f>
        <v>N02</v>
      </c>
    </row>
    <row r="2286" spans="1:24" ht="14.4">
      <c r="A2286" s="14">
        <v>2670</v>
      </c>
      <c r="B2286" s="24" t="s">
        <v>4974</v>
      </c>
      <c r="C2286" s="1">
        <v>2191849</v>
      </c>
      <c r="D2286" s="1" t="s">
        <v>25</v>
      </c>
      <c r="E2286" s="36">
        <v>44658</v>
      </c>
      <c r="F2286" s="36">
        <v>44901</v>
      </c>
      <c r="G2286" s="38">
        <f t="shared" si="35"/>
        <v>243</v>
      </c>
      <c r="H2286" s="5">
        <v>44658</v>
      </c>
      <c r="I2286" s="5">
        <v>44902</v>
      </c>
      <c r="J2286" s="1" t="s">
        <v>26</v>
      </c>
      <c r="K2286" s="1" t="s">
        <v>4975</v>
      </c>
      <c r="L2286" s="1" t="s">
        <v>4963</v>
      </c>
      <c r="M2286" s="1" t="s">
        <v>4964</v>
      </c>
      <c r="N2286" s="1" t="s">
        <v>38</v>
      </c>
      <c r="O2286" s="1" t="s">
        <v>4861</v>
      </c>
      <c r="Q2286" s="1" t="s">
        <v>4965</v>
      </c>
      <c r="R2286" s="1" t="s">
        <v>33</v>
      </c>
      <c r="S2286" s="1"/>
      <c r="U2286" s="1" t="s">
        <v>130</v>
      </c>
      <c r="V2286" s="1" t="s">
        <v>359</v>
      </c>
      <c r="W2286" s="1" t="str">
        <f>VLOOKUP(Table1[[#This Row],[Obergruppe ATC-Code]],Tabelle3!$A$2:$B$100,2)</f>
        <v>ANALGETIKA</v>
      </c>
      <c r="X2286" s="1" t="str">
        <f xml:space="preserve"> LEFT(Table1[[#This Row],[Atc Code]],3)</f>
        <v>N02</v>
      </c>
    </row>
    <row r="2287" spans="1:24" ht="14.4">
      <c r="A2287" s="14">
        <v>1264</v>
      </c>
      <c r="B2287" s="24">
        <v>11538719</v>
      </c>
      <c r="C2287" s="1">
        <v>2191852</v>
      </c>
      <c r="D2287" s="1" t="s">
        <v>25</v>
      </c>
      <c r="E2287" s="36">
        <v>44769</v>
      </c>
      <c r="F2287" s="36">
        <v>44936</v>
      </c>
      <c r="G2287" s="38">
        <f t="shared" si="35"/>
        <v>167</v>
      </c>
      <c r="H2287" s="5">
        <v>44770</v>
      </c>
      <c r="I2287" s="5">
        <v>44937</v>
      </c>
      <c r="J2287" s="1" t="s">
        <v>26</v>
      </c>
      <c r="K2287" s="1" t="s">
        <v>4962</v>
      </c>
      <c r="L2287" s="1" t="s">
        <v>4963</v>
      </c>
      <c r="M2287" s="1" t="s">
        <v>4964</v>
      </c>
      <c r="N2287" s="1" t="s">
        <v>38</v>
      </c>
      <c r="O2287" s="1" t="s">
        <v>4861</v>
      </c>
      <c r="Q2287" s="1" t="s">
        <v>4965</v>
      </c>
      <c r="R2287" s="1" t="s">
        <v>33</v>
      </c>
      <c r="S2287" s="1"/>
      <c r="U2287" s="1" t="s">
        <v>130</v>
      </c>
      <c r="V2287" s="1" t="s">
        <v>359</v>
      </c>
      <c r="W2287" s="1" t="str">
        <f>VLOOKUP(Table1[[#This Row],[Obergruppe ATC-Code]],Tabelle3!$A$2:$B$100,2)</f>
        <v>ANALGETIKA</v>
      </c>
      <c r="X2287" s="1" t="str">
        <f xml:space="preserve"> LEFT(Table1[[#This Row],[Atc Code]],3)</f>
        <v>N02</v>
      </c>
    </row>
    <row r="2288" spans="1:24" ht="14.4">
      <c r="A2288" s="14">
        <v>2043</v>
      </c>
      <c r="B2288" s="24" t="s">
        <v>4976</v>
      </c>
      <c r="C2288" s="1">
        <v>2173083</v>
      </c>
      <c r="D2288" s="1" t="s">
        <v>25</v>
      </c>
      <c r="E2288" s="36">
        <v>44651</v>
      </c>
      <c r="F2288" s="36">
        <v>44941</v>
      </c>
      <c r="G2288" s="38">
        <f t="shared" si="35"/>
        <v>290</v>
      </c>
      <c r="H2288" s="5">
        <v>44651</v>
      </c>
      <c r="I2288" s="5">
        <v>44958</v>
      </c>
      <c r="J2288" s="1" t="s">
        <v>26</v>
      </c>
      <c r="K2288" s="1" t="s">
        <v>4977</v>
      </c>
      <c r="L2288" s="1" t="s">
        <v>4963</v>
      </c>
      <c r="M2288" s="1" t="s">
        <v>4964</v>
      </c>
      <c r="N2288" s="1" t="s">
        <v>38</v>
      </c>
      <c r="O2288" s="1" t="s">
        <v>4783</v>
      </c>
      <c r="Q2288" s="1" t="s">
        <v>4803</v>
      </c>
      <c r="R2288" s="1" t="s">
        <v>33</v>
      </c>
      <c r="S2288" s="1"/>
      <c r="U2288" s="1" t="s">
        <v>130</v>
      </c>
      <c r="V2288" s="1" t="s">
        <v>359</v>
      </c>
      <c r="W2288" s="1" t="str">
        <f>VLOOKUP(Table1[[#This Row],[Obergruppe ATC-Code]],Tabelle3!$A$2:$B$100,2)</f>
        <v>ANALGETIKA</v>
      </c>
      <c r="X2288" s="1" t="str">
        <f xml:space="preserve"> LEFT(Table1[[#This Row],[Atc Code]],3)</f>
        <v>N02</v>
      </c>
    </row>
    <row r="2289" spans="1:24" ht="14.4">
      <c r="A2289" s="14">
        <v>2045</v>
      </c>
      <c r="B2289" s="24" t="s">
        <v>4978</v>
      </c>
      <c r="C2289" s="1">
        <v>2173084</v>
      </c>
      <c r="D2289" s="1" t="s">
        <v>25</v>
      </c>
      <c r="E2289" s="36">
        <v>44860</v>
      </c>
      <c r="F2289" s="36">
        <v>44971</v>
      </c>
      <c r="G2289" s="38">
        <f t="shared" si="35"/>
        <v>111</v>
      </c>
      <c r="H2289" s="5">
        <v>44860</v>
      </c>
      <c r="I2289" s="5">
        <v>44972</v>
      </c>
      <c r="J2289" s="1" t="s">
        <v>26</v>
      </c>
      <c r="K2289" s="1" t="s">
        <v>4967</v>
      </c>
      <c r="L2289" s="1" t="s">
        <v>4963</v>
      </c>
      <c r="M2289" s="1" t="s">
        <v>4964</v>
      </c>
      <c r="N2289" s="1" t="s">
        <v>30</v>
      </c>
      <c r="O2289" s="1" t="s">
        <v>4783</v>
      </c>
      <c r="Q2289" s="1" t="s">
        <v>4803</v>
      </c>
      <c r="R2289" s="1" t="s">
        <v>33</v>
      </c>
      <c r="S2289" s="1"/>
      <c r="U2289" s="1" t="s">
        <v>130</v>
      </c>
      <c r="V2289" s="1" t="s">
        <v>359</v>
      </c>
      <c r="W2289" s="1" t="str">
        <f>VLOOKUP(Table1[[#This Row],[Obergruppe ATC-Code]],Tabelle3!$A$2:$B$100,2)</f>
        <v>ANALGETIKA</v>
      </c>
      <c r="X2289" s="1" t="str">
        <f xml:space="preserve"> LEFT(Table1[[#This Row],[Atc Code]],3)</f>
        <v>N02</v>
      </c>
    </row>
    <row r="2290" spans="1:24" ht="14.4">
      <c r="A2290" s="14">
        <v>1260</v>
      </c>
      <c r="B2290" s="24">
        <v>11538636</v>
      </c>
      <c r="C2290" s="1">
        <v>2191849</v>
      </c>
      <c r="D2290" s="1" t="s">
        <v>25</v>
      </c>
      <c r="E2290" s="36">
        <v>44901</v>
      </c>
      <c r="F2290" s="36">
        <v>44971</v>
      </c>
      <c r="G2290" s="38">
        <f t="shared" si="35"/>
        <v>70</v>
      </c>
      <c r="H2290" s="5">
        <v>44902</v>
      </c>
      <c r="I2290" s="5">
        <v>44972</v>
      </c>
      <c r="J2290" s="1" t="s">
        <v>26</v>
      </c>
      <c r="K2290" s="1" t="s">
        <v>4975</v>
      </c>
      <c r="L2290" s="1" t="s">
        <v>4963</v>
      </c>
      <c r="M2290" s="1" t="s">
        <v>4964</v>
      </c>
      <c r="N2290" s="1" t="s">
        <v>38</v>
      </c>
      <c r="O2290" s="1" t="s">
        <v>4861</v>
      </c>
      <c r="Q2290" s="1" t="s">
        <v>4803</v>
      </c>
      <c r="R2290" s="1" t="s">
        <v>33</v>
      </c>
      <c r="S2290" s="1"/>
      <c r="U2290" s="1" t="s">
        <v>130</v>
      </c>
      <c r="V2290" s="1" t="s">
        <v>359</v>
      </c>
      <c r="W2290" s="1" t="str">
        <f>VLOOKUP(Table1[[#This Row],[Obergruppe ATC-Code]],Tabelle3!$A$2:$B$100,2)</f>
        <v>ANALGETIKA</v>
      </c>
      <c r="X2290" s="1" t="str">
        <f xml:space="preserve"> LEFT(Table1[[#This Row],[Atc Code]],3)</f>
        <v>N02</v>
      </c>
    </row>
    <row r="2291" spans="1:24" ht="14.4">
      <c r="A2291" s="14">
        <v>1263</v>
      </c>
      <c r="B2291" s="24">
        <v>11538694</v>
      </c>
      <c r="C2291" s="1">
        <v>2191851</v>
      </c>
      <c r="D2291" s="1" t="s">
        <v>25</v>
      </c>
      <c r="E2291" s="36">
        <v>44985</v>
      </c>
      <c r="F2291" s="36">
        <v>45000</v>
      </c>
      <c r="G2291" s="38">
        <f t="shared" si="35"/>
        <v>15</v>
      </c>
      <c r="H2291" s="5">
        <v>44986</v>
      </c>
      <c r="I2291" s="5">
        <v>45000</v>
      </c>
      <c r="J2291" s="1" t="s">
        <v>26</v>
      </c>
      <c r="K2291" s="1" t="s">
        <v>4973</v>
      </c>
      <c r="L2291" s="1" t="s">
        <v>4963</v>
      </c>
      <c r="M2291" s="1" t="s">
        <v>4964</v>
      </c>
      <c r="N2291" s="1" t="s">
        <v>38</v>
      </c>
      <c r="O2291" s="1" t="s">
        <v>4861</v>
      </c>
      <c r="Q2291" s="1" t="s">
        <v>4965</v>
      </c>
      <c r="R2291" s="1" t="s">
        <v>33</v>
      </c>
      <c r="S2291" s="1"/>
      <c r="U2291" s="1" t="s">
        <v>130</v>
      </c>
      <c r="V2291" s="1" t="s">
        <v>359</v>
      </c>
      <c r="W2291" s="1" t="str">
        <f>VLOOKUP(Table1[[#This Row],[Obergruppe ATC-Code]],Tabelle3!$A$2:$B$100,2)</f>
        <v>ANALGETIKA</v>
      </c>
      <c r="X2291" s="1" t="str">
        <f xml:space="preserve"> LEFT(Table1[[#This Row],[Atc Code]],3)</f>
        <v>N02</v>
      </c>
    </row>
    <row r="2292" spans="1:24" ht="14.4">
      <c r="A2292" s="14">
        <v>50</v>
      </c>
      <c r="B2292" s="24">
        <v>294444</v>
      </c>
      <c r="C2292" s="1">
        <v>2173086</v>
      </c>
      <c r="D2292" s="1" t="s">
        <v>25</v>
      </c>
      <c r="E2292" s="36">
        <v>44901</v>
      </c>
      <c r="F2292" s="36">
        <v>45001</v>
      </c>
      <c r="G2292" s="38">
        <f t="shared" si="35"/>
        <v>100</v>
      </c>
      <c r="H2292" s="5">
        <v>44902</v>
      </c>
      <c r="I2292" s="5">
        <v>45002</v>
      </c>
      <c r="J2292" s="1" t="s">
        <v>26</v>
      </c>
      <c r="K2292" s="1" t="s">
        <v>4969</v>
      </c>
      <c r="L2292" s="1" t="s">
        <v>4963</v>
      </c>
      <c r="M2292" s="1" t="s">
        <v>4964</v>
      </c>
      <c r="N2292" s="1" t="s">
        <v>38</v>
      </c>
      <c r="O2292" s="1" t="s">
        <v>4783</v>
      </c>
      <c r="Q2292" s="1" t="s">
        <v>4878</v>
      </c>
      <c r="R2292" s="1" t="s">
        <v>33</v>
      </c>
      <c r="S2292" s="1"/>
      <c r="U2292" s="1" t="s">
        <v>130</v>
      </c>
      <c r="V2292" s="1" t="s">
        <v>359</v>
      </c>
      <c r="W2292" s="1" t="str">
        <f>VLOOKUP(Table1[[#This Row],[Obergruppe ATC-Code]],Tabelle3!$A$2:$B$100,2)</f>
        <v>ANALGETIKA</v>
      </c>
      <c r="X2292" s="1" t="str">
        <f xml:space="preserve"> LEFT(Table1[[#This Row],[Atc Code]],3)</f>
        <v>N02</v>
      </c>
    </row>
    <row r="2293" spans="1:24" ht="14.4">
      <c r="A2293" s="14">
        <v>545</v>
      </c>
      <c r="B2293" s="24">
        <v>3450034</v>
      </c>
      <c r="C2293" s="1">
        <v>2173083</v>
      </c>
      <c r="D2293" s="1" t="s">
        <v>25</v>
      </c>
      <c r="E2293" s="36">
        <v>44957</v>
      </c>
      <c r="F2293" s="36">
        <v>45030</v>
      </c>
      <c r="G2293" s="38">
        <f t="shared" si="35"/>
        <v>73</v>
      </c>
      <c r="H2293" s="5">
        <v>44958</v>
      </c>
      <c r="I2293" s="5">
        <v>45030</v>
      </c>
      <c r="J2293" s="1" t="s">
        <v>26</v>
      </c>
      <c r="K2293" s="1" t="s">
        <v>4977</v>
      </c>
      <c r="L2293" s="1" t="s">
        <v>4963</v>
      </c>
      <c r="M2293" s="1" t="s">
        <v>4964</v>
      </c>
      <c r="N2293" s="1" t="s">
        <v>38</v>
      </c>
      <c r="O2293" s="1" t="s">
        <v>4783</v>
      </c>
      <c r="Q2293" s="1" t="s">
        <v>4803</v>
      </c>
      <c r="R2293" s="1" t="s">
        <v>33</v>
      </c>
      <c r="S2293" s="1"/>
      <c r="U2293" s="1" t="s">
        <v>130</v>
      </c>
      <c r="V2293" s="1" t="s">
        <v>359</v>
      </c>
      <c r="W2293" s="1" t="str">
        <f>VLOOKUP(Table1[[#This Row],[Obergruppe ATC-Code]],Tabelle3!$A$2:$B$100,2)</f>
        <v>ANALGETIKA</v>
      </c>
      <c r="X2293" s="1" t="str">
        <f xml:space="preserve"> LEFT(Table1[[#This Row],[Atc Code]],3)</f>
        <v>N02</v>
      </c>
    </row>
    <row r="2294" spans="1:24" ht="14.4">
      <c r="A2294" s="14">
        <v>49</v>
      </c>
      <c r="B2294" s="24">
        <v>294421</v>
      </c>
      <c r="C2294" s="1">
        <v>2173086</v>
      </c>
      <c r="D2294" s="1" t="s">
        <v>25</v>
      </c>
      <c r="E2294" s="36">
        <v>45030</v>
      </c>
      <c r="F2294" s="36">
        <v>45057</v>
      </c>
      <c r="G2294" s="38">
        <f t="shared" si="35"/>
        <v>27</v>
      </c>
      <c r="H2294" s="5">
        <v>45030</v>
      </c>
      <c r="I2294" s="5">
        <v>45057</v>
      </c>
      <c r="J2294" s="1" t="s">
        <v>26</v>
      </c>
      <c r="K2294" s="1" t="s">
        <v>4969</v>
      </c>
      <c r="L2294" s="1" t="s">
        <v>4963</v>
      </c>
      <c r="M2294" s="1" t="s">
        <v>4964</v>
      </c>
      <c r="N2294" s="1" t="s">
        <v>38</v>
      </c>
      <c r="O2294" s="1" t="s">
        <v>4783</v>
      </c>
      <c r="Q2294" s="1" t="s">
        <v>4803</v>
      </c>
      <c r="R2294" s="1" t="s">
        <v>33</v>
      </c>
      <c r="S2294" s="1"/>
      <c r="U2294" s="1" t="s">
        <v>130</v>
      </c>
      <c r="V2294" s="1" t="s">
        <v>359</v>
      </c>
      <c r="W2294" s="1" t="str">
        <f>VLOOKUP(Table1[[#This Row],[Obergruppe ATC-Code]],Tabelle3!$A$2:$B$100,2)</f>
        <v>ANALGETIKA</v>
      </c>
      <c r="X2294" s="1" t="str">
        <f xml:space="preserve"> LEFT(Table1[[#This Row],[Atc Code]],3)</f>
        <v>N02</v>
      </c>
    </row>
    <row r="2295" spans="1:24" ht="14.4">
      <c r="A2295" s="14">
        <v>1262</v>
      </c>
      <c r="B2295" s="24">
        <v>11538665</v>
      </c>
      <c r="C2295" s="1">
        <v>2191850</v>
      </c>
      <c r="D2295" s="1" t="s">
        <v>25</v>
      </c>
      <c r="E2295" s="36">
        <v>44916</v>
      </c>
      <c r="F2295" s="36">
        <v>45096</v>
      </c>
      <c r="G2295" s="38">
        <f t="shared" si="35"/>
        <v>180</v>
      </c>
      <c r="H2295" s="5">
        <v>44916</v>
      </c>
      <c r="I2295" s="5">
        <v>45096</v>
      </c>
      <c r="J2295" s="1" t="s">
        <v>26</v>
      </c>
      <c r="K2295" s="1" t="s">
        <v>4971</v>
      </c>
      <c r="L2295" s="1" t="s">
        <v>4963</v>
      </c>
      <c r="M2295" s="1" t="s">
        <v>4964</v>
      </c>
      <c r="N2295" s="1" t="s">
        <v>38</v>
      </c>
      <c r="O2295" s="1" t="s">
        <v>4861</v>
      </c>
      <c r="Q2295" s="1" t="s">
        <v>4803</v>
      </c>
      <c r="R2295" s="1" t="s">
        <v>33</v>
      </c>
      <c r="S2295" s="1"/>
      <c r="U2295" s="1" t="s">
        <v>130</v>
      </c>
      <c r="V2295" s="1" t="s">
        <v>359</v>
      </c>
      <c r="W2295" s="1" t="str">
        <f>VLOOKUP(Table1[[#This Row],[Obergruppe ATC-Code]],Tabelle3!$A$2:$B$100,2)</f>
        <v>ANALGETIKA</v>
      </c>
      <c r="X2295" s="1" t="str">
        <f xml:space="preserve"> LEFT(Table1[[#This Row],[Atc Code]],3)</f>
        <v>N02</v>
      </c>
    </row>
    <row r="2296" spans="1:24" ht="14.4">
      <c r="A2296" s="14">
        <v>2830</v>
      </c>
      <c r="B2296" s="24" t="s">
        <v>4979</v>
      </c>
      <c r="C2296" s="1">
        <v>2200024</v>
      </c>
      <c r="D2296" s="1" t="s">
        <v>25</v>
      </c>
      <c r="E2296" s="36">
        <v>44658</v>
      </c>
      <c r="F2296" s="36">
        <v>45122</v>
      </c>
      <c r="G2296" s="38">
        <f t="shared" si="35"/>
        <v>464</v>
      </c>
      <c r="H2296" s="5">
        <v>44658</v>
      </c>
      <c r="I2296" s="5">
        <v>45124</v>
      </c>
      <c r="J2296" s="1" t="s">
        <v>26</v>
      </c>
      <c r="K2296" s="1" t="s">
        <v>4980</v>
      </c>
      <c r="L2296" s="1" t="s">
        <v>4963</v>
      </c>
      <c r="M2296" s="1" t="s">
        <v>4964</v>
      </c>
      <c r="N2296" s="1" t="s">
        <v>38</v>
      </c>
      <c r="O2296" s="1" t="s">
        <v>4861</v>
      </c>
      <c r="Q2296" s="1" t="s">
        <v>4965</v>
      </c>
      <c r="R2296" s="1" t="s">
        <v>33</v>
      </c>
      <c r="S2296" s="1"/>
      <c r="U2296" s="1" t="s">
        <v>130</v>
      </c>
      <c r="V2296" s="1" t="s">
        <v>359</v>
      </c>
      <c r="W2296" s="1" t="str">
        <f>VLOOKUP(Table1[[#This Row],[Obergruppe ATC-Code]],Tabelle3!$A$2:$B$100,2)</f>
        <v>ANALGETIKA</v>
      </c>
      <c r="X2296" s="1" t="str">
        <f xml:space="preserve"> LEFT(Table1[[#This Row],[Atc Code]],3)</f>
        <v>N02</v>
      </c>
    </row>
    <row r="2297" spans="1:24" ht="14.4">
      <c r="A2297" s="14">
        <v>1477</v>
      </c>
      <c r="B2297" s="24">
        <v>15298152</v>
      </c>
      <c r="C2297" s="1">
        <v>2200025</v>
      </c>
      <c r="D2297" s="1" t="s">
        <v>102</v>
      </c>
      <c r="E2297" s="36">
        <v>44658</v>
      </c>
      <c r="F2297" s="36">
        <v>45230</v>
      </c>
      <c r="G2297" s="38">
        <f t="shared" si="35"/>
        <v>572</v>
      </c>
      <c r="H2297" s="5">
        <v>44658</v>
      </c>
      <c r="I2297" s="5">
        <v>45161</v>
      </c>
      <c r="J2297" s="1" t="s">
        <v>26</v>
      </c>
      <c r="K2297" s="1" t="s">
        <v>4981</v>
      </c>
      <c r="L2297" s="1" t="s">
        <v>4963</v>
      </c>
      <c r="M2297" s="1" t="s">
        <v>4964</v>
      </c>
      <c r="N2297" s="1" t="s">
        <v>38</v>
      </c>
      <c r="O2297" s="1" t="s">
        <v>4861</v>
      </c>
      <c r="Q2297" s="1" t="s">
        <v>4965</v>
      </c>
      <c r="R2297" s="1" t="s">
        <v>33</v>
      </c>
      <c r="S2297" s="1"/>
      <c r="U2297" s="1" t="s">
        <v>130</v>
      </c>
      <c r="V2297" s="1" t="s">
        <v>359</v>
      </c>
      <c r="W2297" s="1" t="str">
        <f>VLOOKUP(Table1[[#This Row],[Obergruppe ATC-Code]],Tabelle3!$A$2:$B$100,2)</f>
        <v>ANALGETIKA</v>
      </c>
      <c r="X2297" s="1" t="str">
        <f xml:space="preserve"> LEFT(Table1[[#This Row],[Atc Code]],3)</f>
        <v>N02</v>
      </c>
    </row>
    <row r="2298" spans="1:24" ht="14.4">
      <c r="A2298" s="14">
        <v>1767</v>
      </c>
      <c r="B2298" s="24" t="s">
        <v>4982</v>
      </c>
      <c r="C2298" s="1">
        <v>2173085</v>
      </c>
      <c r="D2298" s="1" t="s">
        <v>102</v>
      </c>
      <c r="E2298" s="36">
        <v>44741</v>
      </c>
      <c r="F2298" s="36">
        <v>45260</v>
      </c>
      <c r="G2298" s="38">
        <f t="shared" si="35"/>
        <v>519</v>
      </c>
      <c r="H2298" s="5">
        <v>44741</v>
      </c>
      <c r="I2298" s="5">
        <v>45196</v>
      </c>
      <c r="J2298" s="1" t="s">
        <v>26</v>
      </c>
      <c r="K2298" s="1" t="s">
        <v>4983</v>
      </c>
      <c r="L2298" s="1" t="s">
        <v>4963</v>
      </c>
      <c r="M2298" s="1" t="s">
        <v>4964</v>
      </c>
      <c r="N2298" s="1" t="s">
        <v>38</v>
      </c>
      <c r="O2298" s="1" t="s">
        <v>4783</v>
      </c>
      <c r="Q2298" s="1" t="s">
        <v>4803</v>
      </c>
      <c r="R2298" s="1" t="s">
        <v>33</v>
      </c>
      <c r="S2298" s="1"/>
      <c r="U2298" s="1" t="s">
        <v>130</v>
      </c>
      <c r="V2298" s="1" t="s">
        <v>359</v>
      </c>
      <c r="W2298" s="1" t="str">
        <f>VLOOKUP(Table1[[#This Row],[Obergruppe ATC-Code]],Tabelle3!$A$2:$B$100,2)</f>
        <v>ANALGETIKA</v>
      </c>
      <c r="X2298" s="1" t="str">
        <f xml:space="preserve"> LEFT(Table1[[#This Row],[Atc Code]],3)</f>
        <v>N02</v>
      </c>
    </row>
    <row r="2299" spans="1:24" ht="14.4">
      <c r="A2299" s="14">
        <v>1340</v>
      </c>
      <c r="B2299" s="24">
        <v>12646316</v>
      </c>
      <c r="C2299" s="1">
        <v>2194174</v>
      </c>
      <c r="D2299" s="1" t="s">
        <v>102</v>
      </c>
      <c r="E2299" s="36">
        <v>44671</v>
      </c>
      <c r="F2299" s="36">
        <v>45260</v>
      </c>
      <c r="G2299" s="38">
        <f t="shared" si="35"/>
        <v>589</v>
      </c>
      <c r="H2299" s="5">
        <v>44651</v>
      </c>
      <c r="I2299" s="5">
        <v>45196</v>
      </c>
      <c r="J2299" s="1" t="s">
        <v>26</v>
      </c>
      <c r="K2299" s="1" t="s">
        <v>4984</v>
      </c>
      <c r="L2299" s="1" t="s">
        <v>4963</v>
      </c>
      <c r="M2299" s="1" t="s">
        <v>4985</v>
      </c>
      <c r="N2299" s="1" t="s">
        <v>38</v>
      </c>
      <c r="O2299" s="1" t="s">
        <v>4783</v>
      </c>
      <c r="Q2299" s="1" t="s">
        <v>4803</v>
      </c>
      <c r="R2299" s="1" t="s">
        <v>33</v>
      </c>
      <c r="S2299" s="1"/>
      <c r="U2299" s="1" t="s">
        <v>130</v>
      </c>
      <c r="V2299" s="1" t="s">
        <v>359</v>
      </c>
      <c r="W2299" s="1" t="str">
        <f>VLOOKUP(Table1[[#This Row],[Obergruppe ATC-Code]],Tabelle3!$A$2:$B$100,2)</f>
        <v>ANALGETIKA</v>
      </c>
      <c r="X2299" s="1" t="str">
        <f xml:space="preserve"> LEFT(Table1[[#This Row],[Atc Code]],3)</f>
        <v>N02</v>
      </c>
    </row>
    <row r="2300" spans="1:24" ht="14.4">
      <c r="A2300" s="14">
        <v>1339</v>
      </c>
      <c r="B2300" s="24">
        <v>12646256</v>
      </c>
      <c r="C2300" s="1">
        <v>2194173</v>
      </c>
      <c r="D2300" s="1" t="s">
        <v>102</v>
      </c>
      <c r="E2300" s="36">
        <v>44651</v>
      </c>
      <c r="F2300" s="36">
        <v>45260</v>
      </c>
      <c r="G2300" s="38">
        <f t="shared" si="35"/>
        <v>609</v>
      </c>
      <c r="H2300" s="5">
        <v>44651</v>
      </c>
      <c r="I2300" s="5">
        <v>45196</v>
      </c>
      <c r="J2300" s="1" t="s">
        <v>26</v>
      </c>
      <c r="K2300" s="1" t="s">
        <v>4986</v>
      </c>
      <c r="L2300" s="1" t="s">
        <v>4963</v>
      </c>
      <c r="M2300" s="1" t="s">
        <v>4985</v>
      </c>
      <c r="N2300" s="1" t="s">
        <v>38</v>
      </c>
      <c r="O2300" s="1" t="s">
        <v>4783</v>
      </c>
      <c r="Q2300" s="1" t="s">
        <v>4803</v>
      </c>
      <c r="R2300" s="1" t="s">
        <v>33</v>
      </c>
      <c r="S2300" s="1"/>
      <c r="U2300" s="1" t="s">
        <v>130</v>
      </c>
      <c r="V2300" s="1" t="s">
        <v>359</v>
      </c>
      <c r="W2300" s="1" t="str">
        <f>VLOOKUP(Table1[[#This Row],[Obergruppe ATC-Code]],Tabelle3!$A$2:$B$100,2)</f>
        <v>ANALGETIKA</v>
      </c>
      <c r="X2300" s="1" t="str">
        <f xml:space="preserve"> LEFT(Table1[[#This Row],[Atc Code]],3)</f>
        <v>N02</v>
      </c>
    </row>
    <row r="2301" spans="1:24" ht="14.4">
      <c r="A2301" s="14">
        <v>1265</v>
      </c>
      <c r="B2301" s="24">
        <v>11538725</v>
      </c>
      <c r="C2301" s="1">
        <v>2191852</v>
      </c>
      <c r="D2301" s="1" t="s">
        <v>102</v>
      </c>
      <c r="E2301" s="36">
        <v>44971</v>
      </c>
      <c r="F2301" s="36">
        <v>45260</v>
      </c>
      <c r="G2301" s="38">
        <f t="shared" si="35"/>
        <v>289</v>
      </c>
      <c r="H2301" s="5">
        <v>44972</v>
      </c>
      <c r="I2301" s="5">
        <v>45196</v>
      </c>
      <c r="J2301" s="1" t="s">
        <v>26</v>
      </c>
      <c r="K2301" s="1" t="s">
        <v>4962</v>
      </c>
      <c r="L2301" s="1" t="s">
        <v>4963</v>
      </c>
      <c r="M2301" s="1" t="s">
        <v>4964</v>
      </c>
      <c r="N2301" s="1" t="s">
        <v>38</v>
      </c>
      <c r="O2301" s="1" t="s">
        <v>4861</v>
      </c>
      <c r="Q2301" s="1" t="s">
        <v>4987</v>
      </c>
      <c r="R2301" s="1" t="s">
        <v>33</v>
      </c>
      <c r="S2301" s="1"/>
      <c r="U2301" s="1" t="s">
        <v>130</v>
      </c>
      <c r="V2301" s="1" t="s">
        <v>359</v>
      </c>
      <c r="W2301" s="1" t="str">
        <f>VLOOKUP(Table1[[#This Row],[Obergruppe ATC-Code]],Tabelle3!$A$2:$B$100,2)</f>
        <v>ANALGETIKA</v>
      </c>
      <c r="X2301" s="1" t="str">
        <f xml:space="preserve"> LEFT(Table1[[#This Row],[Atc Code]],3)</f>
        <v>N02</v>
      </c>
    </row>
    <row r="2302" spans="1:24" ht="14.4">
      <c r="A2302" s="14">
        <v>1261</v>
      </c>
      <c r="B2302" s="24">
        <v>11538665</v>
      </c>
      <c r="C2302" s="1">
        <v>2191850</v>
      </c>
      <c r="D2302" s="1" t="s">
        <v>175</v>
      </c>
      <c r="E2302" s="36">
        <v>45195</v>
      </c>
      <c r="F2302" s="36">
        <v>45230</v>
      </c>
      <c r="G2302" s="38">
        <f t="shared" si="35"/>
        <v>35</v>
      </c>
      <c r="H2302" s="5">
        <v>45196</v>
      </c>
      <c r="I2302" s="5">
        <v>45196</v>
      </c>
      <c r="J2302" s="1" t="s">
        <v>26</v>
      </c>
      <c r="K2302" s="1" t="s">
        <v>4971</v>
      </c>
      <c r="L2302" s="1" t="s">
        <v>4963</v>
      </c>
      <c r="M2302" s="1" t="s">
        <v>4964</v>
      </c>
      <c r="N2302" s="1" t="s">
        <v>38</v>
      </c>
      <c r="O2302" s="1" t="s">
        <v>4861</v>
      </c>
      <c r="Q2302" s="1" t="s">
        <v>4965</v>
      </c>
      <c r="R2302" s="1" t="s">
        <v>33</v>
      </c>
      <c r="S2302" s="1"/>
      <c r="U2302" s="1" t="s">
        <v>130</v>
      </c>
      <c r="V2302" s="1" t="s">
        <v>359</v>
      </c>
      <c r="W2302" s="1" t="str">
        <f>VLOOKUP(Table1[[#This Row],[Obergruppe ATC-Code]],Tabelle3!$A$2:$B$100,2)</f>
        <v>ANALGETIKA</v>
      </c>
      <c r="X2302" s="1" t="str">
        <f xml:space="preserve"> LEFT(Table1[[#This Row],[Atc Code]],3)</f>
        <v>N02</v>
      </c>
    </row>
    <row r="2303" spans="1:24" ht="14.4">
      <c r="A2303" s="14">
        <v>1916</v>
      </c>
      <c r="B2303" s="24" t="s">
        <v>4988</v>
      </c>
      <c r="C2303" s="1">
        <v>2113935</v>
      </c>
      <c r="D2303" s="1" t="s">
        <v>25</v>
      </c>
      <c r="E2303" s="36">
        <v>44769</v>
      </c>
      <c r="F2303" s="36">
        <v>44937</v>
      </c>
      <c r="G2303" s="38">
        <f t="shared" si="35"/>
        <v>168</v>
      </c>
      <c r="H2303" s="5">
        <v>44769</v>
      </c>
      <c r="I2303" s="5">
        <v>44937</v>
      </c>
      <c r="J2303" s="1" t="s">
        <v>41</v>
      </c>
      <c r="K2303" s="1" t="s">
        <v>4989</v>
      </c>
      <c r="L2303" s="1" t="s">
        <v>4990</v>
      </c>
      <c r="M2303" s="1" t="s">
        <v>4991</v>
      </c>
      <c r="N2303" s="1" t="s">
        <v>38</v>
      </c>
      <c r="O2303" s="1" t="s">
        <v>224</v>
      </c>
      <c r="P2303" s="1" t="s">
        <v>4992</v>
      </c>
      <c r="Q2303" s="1" t="s">
        <v>4386</v>
      </c>
      <c r="R2303" s="1" t="s">
        <v>26</v>
      </c>
      <c r="S2303" s="1" t="s">
        <v>4993</v>
      </c>
      <c r="U2303" s="1" t="s">
        <v>35</v>
      </c>
      <c r="V2303" s="1" t="s">
        <v>99</v>
      </c>
      <c r="W2303" s="1" t="str">
        <f>VLOOKUP(Table1[[#This Row],[Obergruppe ATC-Code]],Tabelle3!$A$2:$B$100,2)</f>
        <v>ANALGETIKA</v>
      </c>
      <c r="X2303" s="1" t="str">
        <f xml:space="preserve"> LEFT(Table1[[#This Row],[Atc Code]],3)</f>
        <v>N02</v>
      </c>
    </row>
    <row r="2304" spans="1:24" ht="14.4">
      <c r="A2304" s="14">
        <v>785</v>
      </c>
      <c r="B2304" s="24">
        <v>6198931</v>
      </c>
      <c r="C2304" s="1">
        <v>2104773</v>
      </c>
      <c r="D2304" s="1" t="s">
        <v>102</v>
      </c>
      <c r="E2304" s="36">
        <v>45154</v>
      </c>
      <c r="F2304" s="36">
        <v>45520</v>
      </c>
      <c r="G2304" s="38">
        <f t="shared" si="35"/>
        <v>366</v>
      </c>
      <c r="H2304" s="5">
        <v>44973</v>
      </c>
      <c r="I2304" s="5">
        <v>45027</v>
      </c>
      <c r="J2304" s="1" t="s">
        <v>26</v>
      </c>
      <c r="K2304" s="1" t="s">
        <v>4994</v>
      </c>
      <c r="L2304" s="1" t="s">
        <v>4995</v>
      </c>
      <c r="M2304" s="1" t="s">
        <v>4996</v>
      </c>
      <c r="N2304" s="1" t="s">
        <v>38</v>
      </c>
      <c r="O2304" s="1" t="s">
        <v>140</v>
      </c>
      <c r="Q2304" s="1" t="s">
        <v>141</v>
      </c>
      <c r="R2304" s="1" t="s">
        <v>26</v>
      </c>
      <c r="S2304" s="1"/>
      <c r="U2304" s="1" t="s">
        <v>130</v>
      </c>
      <c r="V2304" s="1" t="s">
        <v>1348</v>
      </c>
      <c r="W2304" s="1" t="str">
        <f>VLOOKUP(Table1[[#This Row],[Obergruppe ATC-Code]],Tabelle3!$A$2:$B$100,2)</f>
        <v>ANALGETIKA</v>
      </c>
      <c r="X2304" s="1" t="str">
        <f xml:space="preserve"> LEFT(Table1[[#This Row],[Atc Code]],3)</f>
        <v>N02</v>
      </c>
    </row>
    <row r="2305" spans="1:24" ht="14.4">
      <c r="A2305" s="14">
        <v>2924</v>
      </c>
      <c r="B2305" s="24" t="s">
        <v>4997</v>
      </c>
      <c r="C2305" s="1">
        <v>2166955</v>
      </c>
      <c r="D2305" s="1" t="s">
        <v>25</v>
      </c>
      <c r="E2305" s="36">
        <v>43617</v>
      </c>
      <c r="F2305" s="36">
        <v>43646</v>
      </c>
      <c r="G2305" s="38">
        <f t="shared" si="35"/>
        <v>29</v>
      </c>
      <c r="H2305" s="5">
        <v>43620</v>
      </c>
      <c r="I2305" s="5">
        <v>43620</v>
      </c>
      <c r="J2305" s="1" t="s">
        <v>41</v>
      </c>
      <c r="K2305" s="1" t="s">
        <v>4998</v>
      </c>
      <c r="L2305" s="1" t="s">
        <v>4999</v>
      </c>
      <c r="M2305" s="1" t="s">
        <v>5000</v>
      </c>
      <c r="N2305" s="1" t="s">
        <v>30</v>
      </c>
      <c r="O2305" s="1" t="s">
        <v>232</v>
      </c>
      <c r="P2305" s="1" t="s">
        <v>233</v>
      </c>
      <c r="Q2305" s="1" t="s">
        <v>234</v>
      </c>
      <c r="R2305" s="1" t="s">
        <v>26</v>
      </c>
      <c r="S2305" s="1"/>
      <c r="T2305" s="1" t="s">
        <v>5001</v>
      </c>
      <c r="U2305" s="1" t="s">
        <v>35</v>
      </c>
      <c r="V2305" s="1" t="s">
        <v>5002</v>
      </c>
      <c r="W2305" s="1" t="str">
        <f>VLOOKUP(Table1[[#This Row],[Obergruppe ATC-Code]],Tabelle3!$A$2:$B$100,2)</f>
        <v>ANALGETIKA</v>
      </c>
      <c r="X2305" s="1" t="str">
        <f xml:space="preserve"> LEFT(Table1[[#This Row],[Atc Code]],3)</f>
        <v>N02</v>
      </c>
    </row>
    <row r="2306" spans="1:24" ht="14.4">
      <c r="A2306" s="14">
        <v>2711</v>
      </c>
      <c r="B2306" s="24" t="s">
        <v>5003</v>
      </c>
      <c r="C2306" s="1">
        <v>2166952</v>
      </c>
      <c r="D2306" s="1" t="s">
        <v>25</v>
      </c>
      <c r="E2306" s="36">
        <v>43617</v>
      </c>
      <c r="F2306" s="36">
        <v>43646</v>
      </c>
      <c r="G2306" s="38">
        <f t="shared" ref="G2306:G2369" si="36">F2306-E2306</f>
        <v>29</v>
      </c>
      <c r="H2306" s="5">
        <v>43620</v>
      </c>
      <c r="I2306" s="5">
        <v>43620</v>
      </c>
      <c r="J2306" s="1" t="s">
        <v>41</v>
      </c>
      <c r="K2306" s="1" t="s">
        <v>5004</v>
      </c>
      <c r="L2306" s="1" t="s">
        <v>4999</v>
      </c>
      <c r="M2306" s="1" t="s">
        <v>5000</v>
      </c>
      <c r="N2306" s="1" t="s">
        <v>30</v>
      </c>
      <c r="O2306" s="1" t="s">
        <v>232</v>
      </c>
      <c r="P2306" s="1" t="s">
        <v>233</v>
      </c>
      <c r="Q2306" s="1" t="s">
        <v>234</v>
      </c>
      <c r="R2306" s="1" t="s">
        <v>26</v>
      </c>
      <c r="S2306" s="1"/>
      <c r="T2306" s="1" t="s">
        <v>5005</v>
      </c>
      <c r="U2306" s="1" t="s">
        <v>35</v>
      </c>
      <c r="V2306" s="1" t="s">
        <v>5002</v>
      </c>
      <c r="W2306" s="1" t="str">
        <f>VLOOKUP(Table1[[#This Row],[Obergruppe ATC-Code]],Tabelle3!$A$2:$B$100,2)</f>
        <v>ANALGETIKA</v>
      </c>
      <c r="X2306" s="1" t="str">
        <f xml:space="preserve"> LEFT(Table1[[#This Row],[Atc Code]],3)</f>
        <v>N02</v>
      </c>
    </row>
    <row r="2307" spans="1:24" ht="14.4">
      <c r="A2307" s="14">
        <v>365</v>
      </c>
      <c r="B2307" s="25">
        <v>2074161</v>
      </c>
      <c r="C2307" s="1">
        <v>2166956</v>
      </c>
      <c r="D2307" s="1" t="s">
        <v>25</v>
      </c>
      <c r="E2307" s="36">
        <v>43617</v>
      </c>
      <c r="F2307" s="36">
        <v>43646</v>
      </c>
      <c r="G2307" s="38">
        <f t="shared" si="36"/>
        <v>29</v>
      </c>
      <c r="H2307" s="5">
        <v>43620</v>
      </c>
      <c r="I2307" s="5">
        <v>43620</v>
      </c>
      <c r="J2307" s="1" t="s">
        <v>41</v>
      </c>
      <c r="K2307" s="1" t="s">
        <v>5006</v>
      </c>
      <c r="L2307" s="1" t="s">
        <v>4999</v>
      </c>
      <c r="M2307" s="1" t="s">
        <v>5000</v>
      </c>
      <c r="N2307" s="1" t="s">
        <v>30</v>
      </c>
      <c r="O2307" s="1" t="s">
        <v>232</v>
      </c>
      <c r="P2307" s="1" t="s">
        <v>233</v>
      </c>
      <c r="Q2307" s="1" t="s">
        <v>234</v>
      </c>
      <c r="R2307" s="1" t="s">
        <v>26</v>
      </c>
      <c r="S2307" s="1"/>
      <c r="T2307" s="1" t="s">
        <v>5007</v>
      </c>
      <c r="U2307" s="1" t="s">
        <v>35</v>
      </c>
      <c r="V2307" s="1" t="s">
        <v>5002</v>
      </c>
      <c r="W2307" s="1" t="str">
        <f>VLOOKUP(Table1[[#This Row],[Obergruppe ATC-Code]],Tabelle3!$A$2:$B$100,2)</f>
        <v>ANALGETIKA</v>
      </c>
      <c r="X2307" s="1" t="str">
        <f xml:space="preserve"> LEFT(Table1[[#This Row],[Atc Code]],3)</f>
        <v>N02</v>
      </c>
    </row>
    <row r="2308" spans="1:24" ht="14.4">
      <c r="A2308" s="14">
        <v>2919</v>
      </c>
      <c r="B2308" s="24" t="s">
        <v>5008</v>
      </c>
      <c r="C2308" s="1">
        <v>2166952</v>
      </c>
      <c r="D2308" s="1" t="s">
        <v>25</v>
      </c>
      <c r="E2308" s="36">
        <v>43617</v>
      </c>
      <c r="F2308" s="36">
        <v>43738</v>
      </c>
      <c r="G2308" s="38">
        <f t="shared" si="36"/>
        <v>121</v>
      </c>
      <c r="H2308" s="5">
        <v>43648</v>
      </c>
      <c r="I2308" s="5">
        <v>43720</v>
      </c>
      <c r="J2308" s="1" t="s">
        <v>41</v>
      </c>
      <c r="K2308" s="1" t="s">
        <v>5004</v>
      </c>
      <c r="L2308" s="1" t="s">
        <v>4999</v>
      </c>
      <c r="M2308" s="1" t="s">
        <v>5000</v>
      </c>
      <c r="N2308" s="1" t="s">
        <v>30</v>
      </c>
      <c r="O2308" s="1" t="s">
        <v>311</v>
      </c>
      <c r="P2308" s="1" t="s">
        <v>233</v>
      </c>
      <c r="Q2308" s="1" t="s">
        <v>234</v>
      </c>
      <c r="R2308" s="1" t="s">
        <v>26</v>
      </c>
      <c r="S2308" s="1"/>
      <c r="T2308" s="1" t="s">
        <v>5005</v>
      </c>
      <c r="U2308" s="1" t="s">
        <v>35</v>
      </c>
      <c r="V2308" s="1" t="s">
        <v>5002</v>
      </c>
      <c r="W2308" s="1" t="str">
        <f>VLOOKUP(Table1[[#This Row],[Obergruppe ATC-Code]],Tabelle3!$A$2:$B$100,2)</f>
        <v>ANALGETIKA</v>
      </c>
      <c r="X2308" s="1" t="str">
        <f xml:space="preserve"> LEFT(Table1[[#This Row],[Atc Code]],3)</f>
        <v>N02</v>
      </c>
    </row>
    <row r="2309" spans="1:24" ht="14.4">
      <c r="A2309" s="14">
        <v>2920</v>
      </c>
      <c r="B2309" s="24" t="s">
        <v>5009</v>
      </c>
      <c r="C2309" s="1">
        <v>2166953</v>
      </c>
      <c r="D2309" s="1" t="s">
        <v>25</v>
      </c>
      <c r="E2309" s="36">
        <v>43647</v>
      </c>
      <c r="F2309" s="36">
        <v>43769</v>
      </c>
      <c r="G2309" s="38">
        <f t="shared" si="36"/>
        <v>122</v>
      </c>
      <c r="H2309" s="5">
        <v>43649</v>
      </c>
      <c r="I2309" s="5">
        <v>43746</v>
      </c>
      <c r="J2309" s="1" t="s">
        <v>41</v>
      </c>
      <c r="K2309" s="1" t="s">
        <v>5010</v>
      </c>
      <c r="L2309" s="1" t="s">
        <v>4999</v>
      </c>
      <c r="M2309" s="1" t="s">
        <v>5000</v>
      </c>
      <c r="N2309" s="1" t="s">
        <v>30</v>
      </c>
      <c r="O2309" s="1" t="s">
        <v>311</v>
      </c>
      <c r="P2309" s="1" t="s">
        <v>233</v>
      </c>
      <c r="Q2309" s="1" t="s">
        <v>234</v>
      </c>
      <c r="R2309" s="1" t="s">
        <v>26</v>
      </c>
      <c r="S2309" s="1"/>
      <c r="T2309" s="1" t="s">
        <v>5005</v>
      </c>
      <c r="U2309" s="1" t="s">
        <v>35</v>
      </c>
      <c r="V2309" s="1" t="s">
        <v>5002</v>
      </c>
      <c r="W2309" s="1" t="str">
        <f>VLOOKUP(Table1[[#This Row],[Obergruppe ATC-Code]],Tabelle3!$A$2:$B$100,2)</f>
        <v>ANALGETIKA</v>
      </c>
      <c r="X2309" s="1" t="str">
        <f xml:space="preserve"> LEFT(Table1[[#This Row],[Atc Code]],3)</f>
        <v>N02</v>
      </c>
    </row>
    <row r="2310" spans="1:24" ht="14.4">
      <c r="A2310" s="14">
        <v>2926</v>
      </c>
      <c r="B2310" s="24" t="s">
        <v>5011</v>
      </c>
      <c r="C2310" s="1">
        <v>2166957</v>
      </c>
      <c r="D2310" s="1" t="s">
        <v>25</v>
      </c>
      <c r="E2310" s="36">
        <v>43678</v>
      </c>
      <c r="F2310" s="36">
        <v>43830</v>
      </c>
      <c r="G2310" s="38">
        <f t="shared" si="36"/>
        <v>152</v>
      </c>
      <c r="H2310" s="5">
        <v>43698</v>
      </c>
      <c r="I2310" s="5">
        <v>43797</v>
      </c>
      <c r="J2310" s="1" t="s">
        <v>41</v>
      </c>
      <c r="K2310" s="1" t="s">
        <v>5012</v>
      </c>
      <c r="L2310" s="1" t="s">
        <v>4999</v>
      </c>
      <c r="M2310" s="1" t="s">
        <v>5000</v>
      </c>
      <c r="N2310" s="1" t="s">
        <v>30</v>
      </c>
      <c r="O2310" s="1" t="s">
        <v>311</v>
      </c>
      <c r="P2310" s="1" t="s">
        <v>233</v>
      </c>
      <c r="Q2310" s="1" t="s">
        <v>234</v>
      </c>
      <c r="R2310" s="1" t="s">
        <v>26</v>
      </c>
      <c r="S2310" s="1"/>
      <c r="T2310" s="1" t="s">
        <v>5007</v>
      </c>
      <c r="U2310" s="1" t="s">
        <v>35</v>
      </c>
      <c r="V2310" s="1" t="s">
        <v>5002</v>
      </c>
      <c r="W2310" s="1" t="str">
        <f>VLOOKUP(Table1[[#This Row],[Obergruppe ATC-Code]],Tabelle3!$A$2:$B$100,2)</f>
        <v>ANALGETIKA</v>
      </c>
      <c r="X2310" s="1" t="str">
        <f xml:space="preserve"> LEFT(Table1[[#This Row],[Atc Code]],3)</f>
        <v>N02</v>
      </c>
    </row>
    <row r="2311" spans="1:24" ht="14.4">
      <c r="A2311" s="14">
        <v>2925</v>
      </c>
      <c r="B2311" s="24" t="s">
        <v>5013</v>
      </c>
      <c r="C2311" s="1">
        <v>2166956</v>
      </c>
      <c r="D2311" s="1" t="s">
        <v>25</v>
      </c>
      <c r="E2311" s="36">
        <v>43617</v>
      </c>
      <c r="F2311" s="36">
        <v>43830</v>
      </c>
      <c r="G2311" s="38">
        <f t="shared" si="36"/>
        <v>213</v>
      </c>
      <c r="H2311" s="5">
        <v>43648</v>
      </c>
      <c r="I2311" s="5">
        <v>43797</v>
      </c>
      <c r="J2311" s="1" t="s">
        <v>41</v>
      </c>
      <c r="K2311" s="1" t="s">
        <v>5006</v>
      </c>
      <c r="L2311" s="1" t="s">
        <v>4999</v>
      </c>
      <c r="M2311" s="1" t="s">
        <v>5000</v>
      </c>
      <c r="N2311" s="1" t="s">
        <v>30</v>
      </c>
      <c r="O2311" s="1" t="s">
        <v>311</v>
      </c>
      <c r="P2311" s="1" t="s">
        <v>233</v>
      </c>
      <c r="Q2311" s="1" t="s">
        <v>234</v>
      </c>
      <c r="R2311" s="1" t="s">
        <v>26</v>
      </c>
      <c r="S2311" s="1"/>
      <c r="T2311" s="1" t="s">
        <v>5007</v>
      </c>
      <c r="U2311" s="1" t="s">
        <v>35</v>
      </c>
      <c r="V2311" s="1" t="s">
        <v>5002</v>
      </c>
      <c r="W2311" s="1" t="str">
        <f>VLOOKUP(Table1[[#This Row],[Obergruppe ATC-Code]],Tabelle3!$A$2:$B$100,2)</f>
        <v>ANALGETIKA</v>
      </c>
      <c r="X2311" s="1" t="str">
        <f xml:space="preserve"> LEFT(Table1[[#This Row],[Atc Code]],3)</f>
        <v>N02</v>
      </c>
    </row>
    <row r="2312" spans="1:24" ht="14.4">
      <c r="A2312" s="14">
        <v>2923</v>
      </c>
      <c r="B2312" s="24" t="s">
        <v>4997</v>
      </c>
      <c r="C2312" s="1">
        <v>2166955</v>
      </c>
      <c r="D2312" s="1" t="s">
        <v>25</v>
      </c>
      <c r="E2312" s="36">
        <v>43617</v>
      </c>
      <c r="F2312" s="36">
        <v>43830</v>
      </c>
      <c r="G2312" s="38">
        <f t="shared" si="36"/>
        <v>213</v>
      </c>
      <c r="H2312" s="5">
        <v>43648</v>
      </c>
      <c r="I2312" s="5">
        <v>43797</v>
      </c>
      <c r="J2312" s="1" t="s">
        <v>41</v>
      </c>
      <c r="K2312" s="1" t="s">
        <v>4998</v>
      </c>
      <c r="L2312" s="1" t="s">
        <v>4999</v>
      </c>
      <c r="M2312" s="1" t="s">
        <v>5000</v>
      </c>
      <c r="N2312" s="1" t="s">
        <v>30</v>
      </c>
      <c r="O2312" s="1" t="s">
        <v>311</v>
      </c>
      <c r="P2312" s="1" t="s">
        <v>233</v>
      </c>
      <c r="Q2312" s="1" t="s">
        <v>234</v>
      </c>
      <c r="R2312" s="1" t="s">
        <v>26</v>
      </c>
      <c r="S2312" s="1"/>
      <c r="T2312" s="1" t="s">
        <v>5001</v>
      </c>
      <c r="U2312" s="1" t="s">
        <v>35</v>
      </c>
      <c r="V2312" s="1" t="s">
        <v>5002</v>
      </c>
      <c r="W2312" s="1" t="str">
        <f>VLOOKUP(Table1[[#This Row],[Obergruppe ATC-Code]],Tabelle3!$A$2:$B$100,2)</f>
        <v>ANALGETIKA</v>
      </c>
      <c r="X2312" s="1" t="str">
        <f xml:space="preserve"> LEFT(Table1[[#This Row],[Atc Code]],3)</f>
        <v>N02</v>
      </c>
    </row>
    <row r="2313" spans="1:24" ht="14.4">
      <c r="A2313" s="14">
        <v>2921</v>
      </c>
      <c r="B2313" s="24" t="s">
        <v>5014</v>
      </c>
      <c r="C2313" s="1">
        <v>2166954</v>
      </c>
      <c r="D2313" s="1" t="s">
        <v>25</v>
      </c>
      <c r="E2313" s="36">
        <v>43678</v>
      </c>
      <c r="F2313" s="36">
        <v>43830</v>
      </c>
      <c r="G2313" s="38">
        <f t="shared" si="36"/>
        <v>152</v>
      </c>
      <c r="H2313" s="5">
        <v>43693</v>
      </c>
      <c r="I2313" s="5">
        <v>43797</v>
      </c>
      <c r="J2313" s="1" t="s">
        <v>41</v>
      </c>
      <c r="K2313" s="1" t="s">
        <v>5015</v>
      </c>
      <c r="L2313" s="1" t="s">
        <v>4999</v>
      </c>
      <c r="M2313" s="1" t="s">
        <v>5000</v>
      </c>
      <c r="N2313" s="1" t="s">
        <v>30</v>
      </c>
      <c r="O2313" s="1" t="s">
        <v>311</v>
      </c>
      <c r="P2313" s="1" t="s">
        <v>233</v>
      </c>
      <c r="Q2313" s="1" t="s">
        <v>234</v>
      </c>
      <c r="R2313" s="1" t="s">
        <v>26</v>
      </c>
      <c r="S2313" s="1"/>
      <c r="T2313" s="1" t="s">
        <v>5007</v>
      </c>
      <c r="U2313" s="1" t="s">
        <v>35</v>
      </c>
      <c r="V2313" s="1" t="s">
        <v>5002</v>
      </c>
      <c r="W2313" s="1" t="str">
        <f>VLOOKUP(Table1[[#This Row],[Obergruppe ATC-Code]],Tabelle3!$A$2:$B$100,2)</f>
        <v>ANALGETIKA</v>
      </c>
      <c r="X2313" s="1" t="str">
        <f xml:space="preserve"> LEFT(Table1[[#This Row],[Atc Code]],3)</f>
        <v>N02</v>
      </c>
    </row>
    <row r="2314" spans="1:24" ht="14.4">
      <c r="A2314" s="14">
        <v>3167</v>
      </c>
      <c r="B2314" s="3">
        <v>6800210</v>
      </c>
      <c r="C2314" s="1">
        <v>2706916</v>
      </c>
      <c r="D2314" s="1" t="s">
        <v>25</v>
      </c>
      <c r="E2314" s="36">
        <v>43770</v>
      </c>
      <c r="F2314" s="36">
        <v>43861</v>
      </c>
      <c r="G2314" s="38">
        <f t="shared" si="36"/>
        <v>91</v>
      </c>
      <c r="H2314" s="5">
        <v>43777</v>
      </c>
      <c r="I2314" s="5">
        <v>43810</v>
      </c>
      <c r="J2314" s="1" t="s">
        <v>41</v>
      </c>
      <c r="K2314" s="1" t="s">
        <v>5016</v>
      </c>
      <c r="L2314" s="1" t="s">
        <v>4999</v>
      </c>
      <c r="M2314" s="1" t="s">
        <v>5000</v>
      </c>
      <c r="N2314" s="1" t="s">
        <v>30</v>
      </c>
      <c r="O2314" s="1" t="s">
        <v>311</v>
      </c>
      <c r="P2314" s="1" t="s">
        <v>233</v>
      </c>
      <c r="Q2314" s="1" t="s">
        <v>234</v>
      </c>
      <c r="R2314" s="1" t="s">
        <v>26</v>
      </c>
      <c r="S2314" s="1"/>
      <c r="T2314" s="1" t="s">
        <v>4787</v>
      </c>
      <c r="U2314" s="1" t="s">
        <v>35</v>
      </c>
      <c r="V2314" s="1" t="s">
        <v>2384</v>
      </c>
      <c r="W2314" s="1" t="str">
        <f>VLOOKUP(Table1[[#This Row],[Obergruppe ATC-Code]],Tabelle3!$A$2:$B$100,2)</f>
        <v>ANALGETIKA</v>
      </c>
      <c r="X2314" s="1" t="str">
        <f xml:space="preserve"> LEFT(Table1[[#This Row],[Atc Code]],3)</f>
        <v>N02</v>
      </c>
    </row>
    <row r="2315" spans="1:24" ht="14.4">
      <c r="A2315" s="14">
        <v>3166</v>
      </c>
      <c r="B2315" s="3">
        <v>6800204</v>
      </c>
      <c r="C2315" s="1">
        <v>2706915</v>
      </c>
      <c r="D2315" s="1" t="s">
        <v>25</v>
      </c>
      <c r="E2315" s="36">
        <v>43770</v>
      </c>
      <c r="F2315" s="36">
        <v>43861</v>
      </c>
      <c r="G2315" s="38">
        <f t="shared" si="36"/>
        <v>91</v>
      </c>
      <c r="H2315" s="5">
        <v>43777</v>
      </c>
      <c r="I2315" s="5">
        <v>43810</v>
      </c>
      <c r="J2315" s="1" t="s">
        <v>41</v>
      </c>
      <c r="K2315" s="1" t="s">
        <v>5017</v>
      </c>
      <c r="L2315" s="1" t="s">
        <v>4999</v>
      </c>
      <c r="M2315" s="1" t="s">
        <v>5000</v>
      </c>
      <c r="N2315" s="1" t="s">
        <v>30</v>
      </c>
      <c r="O2315" s="1" t="s">
        <v>311</v>
      </c>
      <c r="P2315" s="1" t="s">
        <v>233</v>
      </c>
      <c r="Q2315" s="1" t="s">
        <v>234</v>
      </c>
      <c r="R2315" s="1" t="s">
        <v>26</v>
      </c>
      <c r="S2315" s="1"/>
      <c r="T2315" s="1" t="s">
        <v>4787</v>
      </c>
      <c r="U2315" s="1" t="s">
        <v>35</v>
      </c>
      <c r="V2315" s="1" t="s">
        <v>2384</v>
      </c>
      <c r="W2315" s="1" t="str">
        <f>VLOOKUP(Table1[[#This Row],[Obergruppe ATC-Code]],Tabelle3!$A$2:$B$100,2)</f>
        <v>ANALGETIKA</v>
      </c>
      <c r="X2315" s="1" t="str">
        <f xml:space="preserve"> LEFT(Table1[[#This Row],[Atc Code]],3)</f>
        <v>N02</v>
      </c>
    </row>
    <row r="2316" spans="1:24" ht="14.4">
      <c r="A2316" s="14">
        <v>1633</v>
      </c>
      <c r="B2316" s="25">
        <v>18704606</v>
      </c>
      <c r="C2316" s="1">
        <v>2704319</v>
      </c>
      <c r="D2316" s="1" t="s">
        <v>25</v>
      </c>
      <c r="E2316" s="36">
        <v>43891</v>
      </c>
      <c r="F2316" s="36">
        <v>43982</v>
      </c>
      <c r="G2316" s="38">
        <f t="shared" si="36"/>
        <v>91</v>
      </c>
      <c r="H2316" s="5">
        <v>43901</v>
      </c>
      <c r="I2316" s="5">
        <v>43959</v>
      </c>
      <c r="J2316" s="1" t="s">
        <v>26</v>
      </c>
      <c r="K2316" s="1" t="s">
        <v>5018</v>
      </c>
      <c r="L2316" s="1" t="s">
        <v>4999</v>
      </c>
      <c r="M2316" s="1" t="s">
        <v>5000</v>
      </c>
      <c r="N2316" s="1" t="s">
        <v>38</v>
      </c>
      <c r="O2316" s="1" t="s">
        <v>3986</v>
      </c>
      <c r="P2316" s="1">
        <v>7314021900</v>
      </c>
      <c r="Q2316" s="1" t="s">
        <v>5019</v>
      </c>
      <c r="R2316" s="1" t="s">
        <v>33</v>
      </c>
      <c r="S2316" s="1"/>
      <c r="T2316" s="1" t="s">
        <v>5020</v>
      </c>
      <c r="U2316" s="1" t="s">
        <v>35</v>
      </c>
      <c r="V2316" s="1" t="s">
        <v>5021</v>
      </c>
      <c r="W2316" s="1" t="str">
        <f>VLOOKUP(Table1[[#This Row],[Obergruppe ATC-Code]],Tabelle3!$A$2:$B$100,2)</f>
        <v>ANALGETIKA</v>
      </c>
      <c r="X2316" s="1" t="str">
        <f xml:space="preserve"> LEFT(Table1[[#This Row],[Atc Code]],3)</f>
        <v>N02</v>
      </c>
    </row>
    <row r="2317" spans="1:24" ht="14.4">
      <c r="A2317" s="14">
        <v>1632</v>
      </c>
      <c r="B2317" s="25">
        <v>18440395</v>
      </c>
      <c r="C2317" s="1">
        <v>2704315</v>
      </c>
      <c r="D2317" s="1" t="s">
        <v>25</v>
      </c>
      <c r="E2317" s="36">
        <v>43891</v>
      </c>
      <c r="F2317" s="36">
        <v>43982</v>
      </c>
      <c r="G2317" s="38">
        <f t="shared" si="36"/>
        <v>91</v>
      </c>
      <c r="H2317" s="5">
        <v>43901</v>
      </c>
      <c r="I2317" s="5">
        <v>43959</v>
      </c>
      <c r="J2317" s="1" t="s">
        <v>26</v>
      </c>
      <c r="K2317" s="1" t="s">
        <v>5022</v>
      </c>
      <c r="L2317" s="1" t="s">
        <v>4999</v>
      </c>
      <c r="M2317" s="1" t="s">
        <v>5000</v>
      </c>
      <c r="N2317" s="1" t="s">
        <v>38</v>
      </c>
      <c r="O2317" s="1" t="s">
        <v>3986</v>
      </c>
      <c r="P2317" s="1">
        <v>7314021900</v>
      </c>
      <c r="Q2317" s="1" t="s">
        <v>5019</v>
      </c>
      <c r="R2317" s="1" t="s">
        <v>33</v>
      </c>
      <c r="S2317" s="1"/>
      <c r="T2317" s="1" t="s">
        <v>5020</v>
      </c>
      <c r="U2317" s="1" t="s">
        <v>35</v>
      </c>
      <c r="V2317" s="1" t="s">
        <v>5021</v>
      </c>
      <c r="W2317" s="1" t="str">
        <f>VLOOKUP(Table1[[#This Row],[Obergruppe ATC-Code]],Tabelle3!$A$2:$B$100,2)</f>
        <v>ANALGETIKA</v>
      </c>
      <c r="X2317" s="1" t="str">
        <f xml:space="preserve"> LEFT(Table1[[#This Row],[Atc Code]],3)</f>
        <v>N02</v>
      </c>
    </row>
    <row r="2318" spans="1:24" ht="14.4">
      <c r="A2318" s="14">
        <v>1630</v>
      </c>
      <c r="B2318" s="25">
        <v>18440389</v>
      </c>
      <c r="C2318" s="1">
        <v>2704312</v>
      </c>
      <c r="D2318" s="1" t="s">
        <v>25</v>
      </c>
      <c r="E2318" s="36">
        <v>43922</v>
      </c>
      <c r="F2318" s="36">
        <v>44043</v>
      </c>
      <c r="G2318" s="38">
        <f t="shared" si="36"/>
        <v>121</v>
      </c>
      <c r="H2318" s="5">
        <v>43901</v>
      </c>
      <c r="I2318" s="5">
        <v>44036</v>
      </c>
      <c r="J2318" s="1" t="s">
        <v>26</v>
      </c>
      <c r="K2318" s="1" t="s">
        <v>5023</v>
      </c>
      <c r="L2318" s="1" t="s">
        <v>4999</v>
      </c>
      <c r="M2318" s="1" t="s">
        <v>5000</v>
      </c>
      <c r="N2318" s="1" t="s">
        <v>38</v>
      </c>
      <c r="O2318" s="1" t="s">
        <v>3986</v>
      </c>
      <c r="P2318" s="1">
        <v>7314021900</v>
      </c>
      <c r="Q2318" s="1" t="s">
        <v>5019</v>
      </c>
      <c r="R2318" s="1" t="s">
        <v>33</v>
      </c>
      <c r="S2318" s="1"/>
      <c r="T2318" s="1" t="s">
        <v>5020</v>
      </c>
      <c r="U2318" s="1" t="s">
        <v>35</v>
      </c>
      <c r="V2318" s="1" t="s">
        <v>5021</v>
      </c>
      <c r="W2318" s="1" t="str">
        <f>VLOOKUP(Table1[[#This Row],[Obergruppe ATC-Code]],Tabelle3!$A$2:$B$100,2)</f>
        <v>ANALGETIKA</v>
      </c>
      <c r="X2318" s="1" t="str">
        <f xml:space="preserve"> LEFT(Table1[[#This Row],[Atc Code]],3)</f>
        <v>N02</v>
      </c>
    </row>
    <row r="2319" spans="1:24" ht="14.4">
      <c r="A2319" s="14">
        <v>1631</v>
      </c>
      <c r="B2319" s="25">
        <v>18440389</v>
      </c>
      <c r="C2319" s="1">
        <v>2704313</v>
      </c>
      <c r="D2319" s="1" t="s">
        <v>25</v>
      </c>
      <c r="E2319" s="36">
        <v>43891</v>
      </c>
      <c r="F2319" s="36">
        <v>44043</v>
      </c>
      <c r="G2319" s="38">
        <f t="shared" si="36"/>
        <v>152</v>
      </c>
      <c r="H2319" s="5">
        <v>43901</v>
      </c>
      <c r="I2319" s="5">
        <v>44036</v>
      </c>
      <c r="J2319" s="1" t="s">
        <v>26</v>
      </c>
      <c r="K2319" s="1" t="s">
        <v>5024</v>
      </c>
      <c r="L2319" s="1" t="s">
        <v>4999</v>
      </c>
      <c r="M2319" s="1" t="s">
        <v>5000</v>
      </c>
      <c r="N2319" s="1" t="s">
        <v>38</v>
      </c>
      <c r="O2319" s="1" t="s">
        <v>3986</v>
      </c>
      <c r="P2319" s="1">
        <v>7314021900</v>
      </c>
      <c r="Q2319" s="1" t="s">
        <v>5019</v>
      </c>
      <c r="R2319" s="1" t="s">
        <v>33</v>
      </c>
      <c r="S2319" s="1"/>
      <c r="T2319" s="1" t="s">
        <v>5020</v>
      </c>
      <c r="U2319" s="1" t="s">
        <v>35</v>
      </c>
      <c r="V2319" s="1" t="s">
        <v>5021</v>
      </c>
      <c r="W2319" s="1" t="str">
        <f>VLOOKUP(Table1[[#This Row],[Obergruppe ATC-Code]],Tabelle3!$A$2:$B$100,2)</f>
        <v>ANALGETIKA</v>
      </c>
      <c r="X2319" s="1" t="str">
        <f xml:space="preserve"> LEFT(Table1[[#This Row],[Atc Code]],3)</f>
        <v>N02</v>
      </c>
    </row>
    <row r="2320" spans="1:24" ht="14.4">
      <c r="A2320" s="14">
        <v>1628</v>
      </c>
      <c r="B2320" s="25">
        <v>18440372</v>
      </c>
      <c r="C2320" s="1">
        <v>2704310</v>
      </c>
      <c r="D2320" s="1" t="s">
        <v>25</v>
      </c>
      <c r="E2320" s="36">
        <v>43891</v>
      </c>
      <c r="F2320" s="36">
        <v>44043</v>
      </c>
      <c r="G2320" s="38">
        <f t="shared" si="36"/>
        <v>152</v>
      </c>
      <c r="H2320" s="5">
        <v>43901</v>
      </c>
      <c r="I2320" s="5">
        <v>44036</v>
      </c>
      <c r="J2320" s="1" t="s">
        <v>26</v>
      </c>
      <c r="K2320" s="1" t="s">
        <v>5025</v>
      </c>
      <c r="L2320" s="1" t="s">
        <v>4999</v>
      </c>
      <c r="M2320" s="1" t="s">
        <v>5000</v>
      </c>
      <c r="N2320" s="1" t="s">
        <v>38</v>
      </c>
      <c r="O2320" s="1" t="s">
        <v>3986</v>
      </c>
      <c r="P2320" s="1">
        <v>7314021900</v>
      </c>
      <c r="Q2320" s="1" t="s">
        <v>5019</v>
      </c>
      <c r="R2320" s="1" t="s">
        <v>33</v>
      </c>
      <c r="S2320" s="1"/>
      <c r="T2320" s="1" t="s">
        <v>5026</v>
      </c>
      <c r="U2320" s="1" t="s">
        <v>35</v>
      </c>
      <c r="V2320" s="1" t="s">
        <v>5021</v>
      </c>
      <c r="W2320" s="1" t="str">
        <f>VLOOKUP(Table1[[#This Row],[Obergruppe ATC-Code]],Tabelle3!$A$2:$B$100,2)</f>
        <v>ANALGETIKA</v>
      </c>
      <c r="X2320" s="1" t="str">
        <f xml:space="preserve"> LEFT(Table1[[#This Row],[Atc Code]],3)</f>
        <v>N02</v>
      </c>
    </row>
    <row r="2321" spans="1:24" ht="14.4">
      <c r="A2321" s="14">
        <v>1629</v>
      </c>
      <c r="B2321" s="25">
        <v>18440372</v>
      </c>
      <c r="C2321" s="1">
        <v>2704311</v>
      </c>
      <c r="D2321" s="1" t="s">
        <v>25</v>
      </c>
      <c r="E2321" s="36">
        <v>43891</v>
      </c>
      <c r="F2321" s="36">
        <v>44043</v>
      </c>
      <c r="G2321" s="38">
        <f t="shared" si="36"/>
        <v>152</v>
      </c>
      <c r="H2321" s="5">
        <v>43901</v>
      </c>
      <c r="I2321" s="5">
        <v>44036</v>
      </c>
      <c r="J2321" s="1" t="s">
        <v>26</v>
      </c>
      <c r="K2321" s="1" t="s">
        <v>5027</v>
      </c>
      <c r="L2321" s="1" t="s">
        <v>4999</v>
      </c>
      <c r="M2321" s="1" t="s">
        <v>5000</v>
      </c>
      <c r="N2321" s="1" t="s">
        <v>38</v>
      </c>
      <c r="O2321" s="1" t="s">
        <v>3986</v>
      </c>
      <c r="P2321" s="1">
        <v>7314021900</v>
      </c>
      <c r="Q2321" s="1" t="s">
        <v>5019</v>
      </c>
      <c r="R2321" s="1" t="s">
        <v>33</v>
      </c>
      <c r="S2321" s="1"/>
      <c r="T2321" s="1" t="s">
        <v>5026</v>
      </c>
      <c r="U2321" s="1" t="s">
        <v>35</v>
      </c>
      <c r="V2321" s="1" t="s">
        <v>5021</v>
      </c>
      <c r="W2321" s="1" t="str">
        <f>VLOOKUP(Table1[[#This Row],[Obergruppe ATC-Code]],Tabelle3!$A$2:$B$100,2)</f>
        <v>ANALGETIKA</v>
      </c>
      <c r="X2321" s="1" t="str">
        <f xml:space="preserve"> LEFT(Table1[[#This Row],[Atc Code]],3)</f>
        <v>N02</v>
      </c>
    </row>
    <row r="2322" spans="1:24" ht="14.4">
      <c r="A2322" s="14">
        <v>1634</v>
      </c>
      <c r="B2322" s="25">
        <v>18712072</v>
      </c>
      <c r="C2322" s="1">
        <v>2704317</v>
      </c>
      <c r="D2322" s="1" t="s">
        <v>25</v>
      </c>
      <c r="E2322" s="36">
        <v>43891</v>
      </c>
      <c r="F2322" s="36">
        <v>44074</v>
      </c>
      <c r="G2322" s="38">
        <f t="shared" si="36"/>
        <v>183</v>
      </c>
      <c r="H2322" s="5">
        <v>43901</v>
      </c>
      <c r="I2322" s="5">
        <v>44068</v>
      </c>
      <c r="J2322" s="1" t="s">
        <v>26</v>
      </c>
      <c r="K2322" s="1" t="s">
        <v>5028</v>
      </c>
      <c r="L2322" s="1" t="s">
        <v>4999</v>
      </c>
      <c r="M2322" s="1" t="s">
        <v>5000</v>
      </c>
      <c r="N2322" s="1" t="s">
        <v>38</v>
      </c>
      <c r="O2322" s="1" t="s">
        <v>3986</v>
      </c>
      <c r="P2322" s="1">
        <v>7314021900</v>
      </c>
      <c r="Q2322" s="1" t="s">
        <v>5019</v>
      </c>
      <c r="R2322" s="1" t="s">
        <v>33</v>
      </c>
      <c r="S2322" s="1"/>
      <c r="T2322" s="1" t="s">
        <v>5020</v>
      </c>
      <c r="U2322" s="1" t="s">
        <v>35</v>
      </c>
      <c r="V2322" s="1" t="s">
        <v>5021</v>
      </c>
      <c r="W2322" s="1" t="str">
        <f>VLOOKUP(Table1[[#This Row],[Obergruppe ATC-Code]],Tabelle3!$A$2:$B$100,2)</f>
        <v>ANALGETIKA</v>
      </c>
      <c r="X2322" s="1" t="str">
        <f xml:space="preserve"> LEFT(Table1[[#This Row],[Atc Code]],3)</f>
        <v>N02</v>
      </c>
    </row>
    <row r="2323" spans="1:24" ht="14.4">
      <c r="A2323" s="14">
        <v>825</v>
      </c>
      <c r="B2323" s="24">
        <v>6900644</v>
      </c>
      <c r="C2323" s="1">
        <v>2134291</v>
      </c>
      <c r="D2323" s="1" t="s">
        <v>25</v>
      </c>
      <c r="E2323" s="36">
        <v>44368</v>
      </c>
      <c r="F2323" s="36">
        <v>44504</v>
      </c>
      <c r="G2323" s="38">
        <f t="shared" si="36"/>
        <v>136</v>
      </c>
      <c r="H2323" s="5">
        <v>44369</v>
      </c>
      <c r="I2323" s="5">
        <v>44504</v>
      </c>
      <c r="J2323" s="1" t="s">
        <v>41</v>
      </c>
      <c r="K2323" s="1" t="s">
        <v>5029</v>
      </c>
      <c r="L2323" s="1" t="s">
        <v>4999</v>
      </c>
      <c r="M2323" s="1" t="s">
        <v>5000</v>
      </c>
      <c r="N2323" s="1" t="s">
        <v>30</v>
      </c>
      <c r="O2323" s="1" t="s">
        <v>213</v>
      </c>
      <c r="P2323" s="1" t="s">
        <v>899</v>
      </c>
      <c r="Q2323" s="1" t="s">
        <v>5030</v>
      </c>
      <c r="R2323" s="1" t="s">
        <v>128</v>
      </c>
      <c r="S2323" s="1"/>
      <c r="U2323" s="1" t="s">
        <v>57</v>
      </c>
      <c r="V2323" s="1" t="s">
        <v>74</v>
      </c>
      <c r="W2323" s="1" t="str">
        <f>VLOOKUP(Table1[[#This Row],[Obergruppe ATC-Code]],Tabelle3!$A$2:$B$100,2)</f>
        <v>ANALGETIKA</v>
      </c>
      <c r="X2323" s="1" t="str">
        <f xml:space="preserve"> LEFT(Table1[[#This Row],[Atc Code]],3)</f>
        <v>N02</v>
      </c>
    </row>
    <row r="2324" spans="1:24" ht="14.4">
      <c r="A2324" s="14">
        <v>1912</v>
      </c>
      <c r="B2324" s="24" t="s">
        <v>5031</v>
      </c>
      <c r="C2324" s="1">
        <v>2167380</v>
      </c>
      <c r="D2324" s="1" t="s">
        <v>25</v>
      </c>
      <c r="E2324" s="36">
        <v>44812</v>
      </c>
      <c r="F2324" s="36">
        <v>44846</v>
      </c>
      <c r="G2324" s="38">
        <f t="shared" si="36"/>
        <v>34</v>
      </c>
      <c r="H2324" s="5">
        <v>44817</v>
      </c>
      <c r="I2324" s="5">
        <v>44845</v>
      </c>
      <c r="J2324" s="1" t="s">
        <v>26</v>
      </c>
      <c r="K2324" s="1" t="s">
        <v>5032</v>
      </c>
      <c r="L2324" s="1" t="s">
        <v>4999</v>
      </c>
      <c r="M2324" s="1" t="s">
        <v>5033</v>
      </c>
      <c r="N2324" s="1" t="s">
        <v>38</v>
      </c>
      <c r="O2324" s="1" t="s">
        <v>110</v>
      </c>
      <c r="P2324" s="1">
        <v>49733396510</v>
      </c>
      <c r="Q2324" s="1" t="s">
        <v>1141</v>
      </c>
      <c r="R2324" s="1" t="s">
        <v>113</v>
      </c>
      <c r="S2324" s="1" t="s">
        <v>647</v>
      </c>
      <c r="U2324" s="1" t="s">
        <v>130</v>
      </c>
      <c r="V2324" s="1" t="s">
        <v>236</v>
      </c>
      <c r="W2324" s="1" t="str">
        <f>VLOOKUP(Table1[[#This Row],[Obergruppe ATC-Code]],Tabelle3!$A$2:$B$100,2)</f>
        <v>ANALGETIKA</v>
      </c>
      <c r="X2324" s="1" t="str">
        <f xml:space="preserve"> LEFT(Table1[[#This Row],[Atc Code]],3)</f>
        <v>N02</v>
      </c>
    </row>
    <row r="2325" spans="1:24" ht="14.4">
      <c r="A2325" s="14">
        <v>2700</v>
      </c>
      <c r="B2325" s="24" t="s">
        <v>5034</v>
      </c>
      <c r="C2325" s="1">
        <v>2196178</v>
      </c>
      <c r="D2325" s="1" t="s">
        <v>25</v>
      </c>
      <c r="E2325" s="36">
        <v>44812</v>
      </c>
      <c r="F2325" s="36">
        <v>44875</v>
      </c>
      <c r="G2325" s="38">
        <f t="shared" si="36"/>
        <v>63</v>
      </c>
      <c r="H2325" s="5">
        <v>44817</v>
      </c>
      <c r="I2325" s="5">
        <v>44875</v>
      </c>
      <c r="J2325" s="1" t="s">
        <v>26</v>
      </c>
      <c r="K2325" s="1" t="s">
        <v>5035</v>
      </c>
      <c r="L2325" s="1" t="s">
        <v>4999</v>
      </c>
      <c r="M2325" s="1" t="s">
        <v>5033</v>
      </c>
      <c r="N2325" s="1" t="s">
        <v>38</v>
      </c>
      <c r="O2325" s="1" t="s">
        <v>110</v>
      </c>
      <c r="P2325" s="1">
        <v>49733396510</v>
      </c>
      <c r="Q2325" s="1" t="s">
        <v>1141</v>
      </c>
      <c r="R2325" s="1" t="s">
        <v>113</v>
      </c>
      <c r="S2325" s="1" t="s">
        <v>5036</v>
      </c>
      <c r="U2325" s="1" t="s">
        <v>130</v>
      </c>
      <c r="V2325" s="1" t="s">
        <v>236</v>
      </c>
      <c r="W2325" s="1" t="str">
        <f>VLOOKUP(Table1[[#This Row],[Obergruppe ATC-Code]],Tabelle3!$A$2:$B$100,2)</f>
        <v>ANALGETIKA</v>
      </c>
      <c r="X2325" s="1" t="str">
        <f xml:space="preserve"> LEFT(Table1[[#This Row],[Atc Code]],3)</f>
        <v>N02</v>
      </c>
    </row>
    <row r="2326" spans="1:24" ht="14.4">
      <c r="A2326" s="14">
        <v>2651</v>
      </c>
      <c r="B2326" s="24" t="s">
        <v>5037</v>
      </c>
      <c r="C2326" s="1">
        <v>2178243</v>
      </c>
      <c r="D2326" s="1" t="s">
        <v>25</v>
      </c>
      <c r="E2326" s="36">
        <v>44812</v>
      </c>
      <c r="F2326" s="36">
        <v>44957</v>
      </c>
      <c r="G2326" s="38">
        <f t="shared" si="36"/>
        <v>145</v>
      </c>
      <c r="H2326" s="5">
        <v>44817</v>
      </c>
      <c r="I2326" s="5">
        <v>44957</v>
      </c>
      <c r="J2326" s="1" t="s">
        <v>26</v>
      </c>
      <c r="K2326" s="1" t="s">
        <v>5038</v>
      </c>
      <c r="L2326" s="1" t="s">
        <v>4999</v>
      </c>
      <c r="M2326" s="1" t="s">
        <v>5033</v>
      </c>
      <c r="N2326" s="1" t="s">
        <v>38</v>
      </c>
      <c r="O2326" s="1" t="s">
        <v>110</v>
      </c>
      <c r="P2326" s="1">
        <v>49733396510</v>
      </c>
      <c r="Q2326" s="1" t="s">
        <v>1141</v>
      </c>
      <c r="R2326" s="1" t="s">
        <v>113</v>
      </c>
      <c r="S2326" s="1" t="s">
        <v>647</v>
      </c>
      <c r="U2326" s="1" t="s">
        <v>130</v>
      </c>
      <c r="V2326" s="1" t="s">
        <v>236</v>
      </c>
      <c r="W2326" s="1" t="str">
        <f>VLOOKUP(Table1[[#This Row],[Obergruppe ATC-Code]],Tabelle3!$A$2:$B$100,2)</f>
        <v>ANALGETIKA</v>
      </c>
      <c r="X2326" s="1" t="str">
        <f xml:space="preserve"> LEFT(Table1[[#This Row],[Atc Code]],3)</f>
        <v>N02</v>
      </c>
    </row>
    <row r="2327" spans="1:24" ht="14.4">
      <c r="A2327" s="14">
        <v>2313</v>
      </c>
      <c r="B2327" s="24" t="s">
        <v>5039</v>
      </c>
      <c r="C2327" s="1">
        <v>2164496</v>
      </c>
      <c r="D2327" s="1" t="s">
        <v>25</v>
      </c>
      <c r="E2327" s="36">
        <v>44910</v>
      </c>
      <c r="F2327" s="36">
        <v>45134</v>
      </c>
      <c r="G2327" s="38">
        <f t="shared" si="36"/>
        <v>224</v>
      </c>
      <c r="H2327" s="5">
        <v>44911</v>
      </c>
      <c r="I2327" s="5">
        <v>45134</v>
      </c>
      <c r="J2327" s="1" t="s">
        <v>26</v>
      </c>
      <c r="K2327" s="1" t="s">
        <v>5040</v>
      </c>
      <c r="L2327" s="1" t="s">
        <v>4999</v>
      </c>
      <c r="M2327" s="1" t="s">
        <v>5033</v>
      </c>
      <c r="N2327" s="1" t="s">
        <v>38</v>
      </c>
      <c r="O2327" s="1" t="s">
        <v>1212</v>
      </c>
      <c r="P2327" s="1" t="s">
        <v>853</v>
      </c>
      <c r="Q2327" s="1" t="s">
        <v>854</v>
      </c>
      <c r="R2327" s="1" t="s">
        <v>113</v>
      </c>
      <c r="S2327" s="1"/>
      <c r="U2327" s="1" t="s">
        <v>35</v>
      </c>
      <c r="V2327" s="1" t="s">
        <v>236</v>
      </c>
      <c r="W2327" s="1" t="str">
        <f>VLOOKUP(Table1[[#This Row],[Obergruppe ATC-Code]],Tabelle3!$A$2:$B$100,2)</f>
        <v>ANALGETIKA</v>
      </c>
      <c r="X2327" s="1" t="str">
        <f xml:space="preserve"> LEFT(Table1[[#This Row],[Atc Code]],3)</f>
        <v>N02</v>
      </c>
    </row>
    <row r="2328" spans="1:24" ht="14.4">
      <c r="A2328" s="14">
        <v>229</v>
      </c>
      <c r="B2328" s="24">
        <v>1312718</v>
      </c>
      <c r="C2328" s="1">
        <v>762359</v>
      </c>
      <c r="D2328" s="1" t="s">
        <v>25</v>
      </c>
      <c r="E2328" s="36">
        <v>44757</v>
      </c>
      <c r="F2328" s="36">
        <v>44949</v>
      </c>
      <c r="G2328" s="38">
        <f t="shared" si="36"/>
        <v>192</v>
      </c>
      <c r="H2328" s="5">
        <v>44757</v>
      </c>
      <c r="I2328" s="5">
        <v>44946</v>
      </c>
      <c r="J2328" s="1" t="s">
        <v>41</v>
      </c>
      <c r="K2328" s="1" t="s">
        <v>5041</v>
      </c>
      <c r="L2328" s="1" t="s">
        <v>5042</v>
      </c>
      <c r="M2328" s="1" t="s">
        <v>5043</v>
      </c>
      <c r="N2328" s="1" t="s">
        <v>38</v>
      </c>
      <c r="O2328" s="1" t="s">
        <v>4609</v>
      </c>
      <c r="P2328" s="1" t="s">
        <v>5044</v>
      </c>
      <c r="Q2328" s="1" t="s">
        <v>5045</v>
      </c>
      <c r="R2328" s="1" t="s">
        <v>128</v>
      </c>
      <c r="S2328" s="1" t="s">
        <v>5046</v>
      </c>
      <c r="U2328" s="1" t="s">
        <v>130</v>
      </c>
      <c r="V2328" s="1" t="s">
        <v>74</v>
      </c>
      <c r="W2328" s="1" t="str">
        <f>VLOOKUP(Table1[[#This Row],[Obergruppe ATC-Code]],Tabelle3!$A$2:$B$100,2)</f>
        <v>ANALGETIKA</v>
      </c>
      <c r="X2328" s="1" t="str">
        <f xml:space="preserve"> LEFT(Table1[[#This Row],[Atc Code]],3)</f>
        <v>N02</v>
      </c>
    </row>
    <row r="2329" spans="1:24" ht="14.4">
      <c r="A2329" s="14">
        <v>55</v>
      </c>
      <c r="B2329" s="24">
        <v>345928</v>
      </c>
      <c r="C2329" s="1">
        <v>2100997</v>
      </c>
      <c r="D2329" s="1" t="s">
        <v>25</v>
      </c>
      <c r="E2329" s="36">
        <v>43435</v>
      </c>
      <c r="F2329" s="36">
        <v>43496</v>
      </c>
      <c r="G2329" s="38">
        <f t="shared" si="36"/>
        <v>61</v>
      </c>
      <c r="H2329" s="5">
        <v>43446</v>
      </c>
      <c r="I2329" s="5">
        <v>43473</v>
      </c>
      <c r="J2329" s="1" t="s">
        <v>26</v>
      </c>
      <c r="K2329" s="1" t="s">
        <v>5047</v>
      </c>
      <c r="L2329" s="1" t="s">
        <v>5048</v>
      </c>
      <c r="M2329" s="1" t="s">
        <v>5049</v>
      </c>
      <c r="N2329" s="1" t="s">
        <v>30</v>
      </c>
      <c r="O2329" s="1" t="s">
        <v>5050</v>
      </c>
      <c r="P2329" s="1" t="s">
        <v>5051</v>
      </c>
      <c r="Q2329" s="1" t="s">
        <v>5052</v>
      </c>
      <c r="R2329" s="1" t="s">
        <v>33</v>
      </c>
      <c r="S2329" s="1"/>
      <c r="U2329" s="1" t="s">
        <v>35</v>
      </c>
      <c r="V2329" s="1" t="s">
        <v>74</v>
      </c>
      <c r="W2329" s="1" t="str">
        <f>VLOOKUP(Table1[[#This Row],[Obergruppe ATC-Code]],Tabelle3!$A$2:$B$100,2)</f>
        <v>ANALGETIKA</v>
      </c>
      <c r="X2329" s="1" t="str">
        <f xml:space="preserve"> LEFT(Table1[[#This Row],[Atc Code]],3)</f>
        <v>N02</v>
      </c>
    </row>
    <row r="2330" spans="1:24" ht="14.4">
      <c r="A2330" s="14">
        <v>53</v>
      </c>
      <c r="B2330" s="24">
        <v>345928</v>
      </c>
      <c r="C2330" s="1">
        <v>2100997</v>
      </c>
      <c r="D2330" s="1" t="s">
        <v>25</v>
      </c>
      <c r="E2330" s="36">
        <v>43800</v>
      </c>
      <c r="F2330" s="36">
        <v>43861</v>
      </c>
      <c r="G2330" s="38">
        <f t="shared" si="36"/>
        <v>61</v>
      </c>
      <c r="H2330" s="5">
        <v>43817</v>
      </c>
      <c r="I2330" s="5">
        <v>43846</v>
      </c>
      <c r="J2330" s="1" t="s">
        <v>26</v>
      </c>
      <c r="K2330" s="1" t="s">
        <v>5047</v>
      </c>
      <c r="L2330" s="1" t="s">
        <v>5048</v>
      </c>
      <c r="M2330" s="1" t="s">
        <v>5049</v>
      </c>
      <c r="N2330" s="1" t="s">
        <v>30</v>
      </c>
      <c r="O2330" s="1" t="s">
        <v>5053</v>
      </c>
      <c r="P2330" s="1" t="s">
        <v>5051</v>
      </c>
      <c r="Q2330" s="1" t="s">
        <v>5052</v>
      </c>
      <c r="R2330" s="1" t="s">
        <v>33</v>
      </c>
      <c r="S2330" s="1"/>
      <c r="U2330" s="1" t="s">
        <v>35</v>
      </c>
      <c r="V2330" s="1" t="s">
        <v>74</v>
      </c>
      <c r="W2330" s="1" t="str">
        <f>VLOOKUP(Table1[[#This Row],[Obergruppe ATC-Code]],Tabelle3!$A$2:$B$100,2)</f>
        <v>ANALGETIKA</v>
      </c>
      <c r="X2330" s="1" t="str">
        <f xml:space="preserve"> LEFT(Table1[[#This Row],[Atc Code]],3)</f>
        <v>N02</v>
      </c>
    </row>
    <row r="2331" spans="1:24" ht="14.4">
      <c r="A2331" s="14">
        <v>1049</v>
      </c>
      <c r="B2331" s="24">
        <v>9012335</v>
      </c>
      <c r="C2331" s="1">
        <v>2127138</v>
      </c>
      <c r="D2331" s="1" t="s">
        <v>25</v>
      </c>
      <c r="E2331" s="36">
        <v>43862</v>
      </c>
      <c r="F2331" s="36">
        <v>44043</v>
      </c>
      <c r="G2331" s="38">
        <f t="shared" si="36"/>
        <v>181</v>
      </c>
      <c r="H2331" s="5">
        <v>43885</v>
      </c>
      <c r="I2331" s="5">
        <v>44022</v>
      </c>
      <c r="J2331" s="1" t="s">
        <v>26</v>
      </c>
      <c r="K2331" s="1" t="s">
        <v>5054</v>
      </c>
      <c r="L2331" s="1" t="s">
        <v>5048</v>
      </c>
      <c r="M2331" s="1" t="s">
        <v>5049</v>
      </c>
      <c r="N2331" s="1" t="s">
        <v>30</v>
      </c>
      <c r="O2331" s="1" t="s">
        <v>5053</v>
      </c>
      <c r="P2331" s="1" t="s">
        <v>5051</v>
      </c>
      <c r="Q2331" s="1" t="s">
        <v>5052</v>
      </c>
      <c r="R2331" s="1" t="s">
        <v>33</v>
      </c>
      <c r="S2331" s="1"/>
      <c r="U2331" s="1" t="s">
        <v>35</v>
      </c>
      <c r="V2331" s="1" t="s">
        <v>5002</v>
      </c>
      <c r="W2331" s="1" t="str">
        <f>VLOOKUP(Table1[[#This Row],[Obergruppe ATC-Code]],Tabelle3!$A$2:$B$100,2)</f>
        <v>ANALGETIKA</v>
      </c>
      <c r="X2331" s="1" t="str">
        <f xml:space="preserve"> LEFT(Table1[[#This Row],[Atc Code]],3)</f>
        <v>N02</v>
      </c>
    </row>
    <row r="2332" spans="1:24" ht="14.4">
      <c r="A2332" s="14">
        <v>52</v>
      </c>
      <c r="B2332" s="24">
        <v>345928</v>
      </c>
      <c r="C2332" s="1">
        <v>2100997</v>
      </c>
      <c r="D2332" s="1" t="s">
        <v>25</v>
      </c>
      <c r="E2332" s="36">
        <v>43862</v>
      </c>
      <c r="F2332" s="36">
        <v>44043</v>
      </c>
      <c r="G2332" s="38">
        <f t="shared" si="36"/>
        <v>181</v>
      </c>
      <c r="H2332" s="5">
        <v>43885</v>
      </c>
      <c r="I2332" s="5">
        <v>44022</v>
      </c>
      <c r="J2332" s="1" t="s">
        <v>26</v>
      </c>
      <c r="K2332" s="1" t="s">
        <v>5047</v>
      </c>
      <c r="L2332" s="1" t="s">
        <v>5048</v>
      </c>
      <c r="M2332" s="1" t="s">
        <v>5049</v>
      </c>
      <c r="N2332" s="1" t="s">
        <v>30</v>
      </c>
      <c r="O2332" s="1" t="s">
        <v>5053</v>
      </c>
      <c r="P2332" s="1" t="s">
        <v>5051</v>
      </c>
      <c r="Q2332" s="1" t="s">
        <v>5052</v>
      </c>
      <c r="R2332" s="1" t="s">
        <v>33</v>
      </c>
      <c r="S2332" s="1"/>
      <c r="U2332" s="1" t="s">
        <v>35</v>
      </c>
      <c r="V2332" s="1" t="s">
        <v>74</v>
      </c>
      <c r="W2332" s="1" t="str">
        <f>VLOOKUP(Table1[[#This Row],[Obergruppe ATC-Code]],Tabelle3!$A$2:$B$100,2)</f>
        <v>ANALGETIKA</v>
      </c>
      <c r="X2332" s="1" t="str">
        <f xml:space="preserve"> LEFT(Table1[[#This Row],[Atc Code]],3)</f>
        <v>N02</v>
      </c>
    </row>
    <row r="2333" spans="1:24" ht="14.4">
      <c r="A2333" s="14">
        <v>1051</v>
      </c>
      <c r="B2333" s="24">
        <v>9012358</v>
      </c>
      <c r="C2333" s="1">
        <v>2127138</v>
      </c>
      <c r="D2333" s="1" t="s">
        <v>25</v>
      </c>
      <c r="E2333" s="36">
        <v>44396</v>
      </c>
      <c r="F2333" s="36">
        <v>44426</v>
      </c>
      <c r="G2333" s="38">
        <f t="shared" si="36"/>
        <v>30</v>
      </c>
      <c r="H2333" s="5">
        <v>44378</v>
      </c>
      <c r="I2333" s="5">
        <v>44426</v>
      </c>
      <c r="J2333" s="1" t="s">
        <v>26</v>
      </c>
      <c r="K2333" s="1" t="s">
        <v>5054</v>
      </c>
      <c r="L2333" s="1" t="s">
        <v>5048</v>
      </c>
      <c r="M2333" s="1" t="s">
        <v>5049</v>
      </c>
      <c r="N2333" s="1" t="s">
        <v>30</v>
      </c>
      <c r="O2333" s="1" t="s">
        <v>5053</v>
      </c>
      <c r="P2333" s="1" t="s">
        <v>5055</v>
      </c>
      <c r="Q2333" s="1" t="s">
        <v>5052</v>
      </c>
      <c r="R2333" s="1" t="s">
        <v>113</v>
      </c>
      <c r="S2333" s="1"/>
      <c r="T2333" s="1" t="s">
        <v>5056</v>
      </c>
      <c r="U2333" s="1" t="s">
        <v>35</v>
      </c>
      <c r="V2333" s="1" t="s">
        <v>5002</v>
      </c>
      <c r="W2333" s="1" t="str">
        <f>VLOOKUP(Table1[[#This Row],[Obergruppe ATC-Code]],Tabelle3!$A$2:$B$100,2)</f>
        <v>ANALGETIKA</v>
      </c>
      <c r="X2333" s="1" t="str">
        <f xml:space="preserve"> LEFT(Table1[[#This Row],[Atc Code]],3)</f>
        <v>N02</v>
      </c>
    </row>
    <row r="2334" spans="1:24" ht="14.4">
      <c r="A2334" s="14">
        <v>1304</v>
      </c>
      <c r="B2334" s="24">
        <v>12422657</v>
      </c>
      <c r="C2334" s="1">
        <v>2194851</v>
      </c>
      <c r="D2334" s="1" t="s">
        <v>25</v>
      </c>
      <c r="E2334" s="36">
        <v>44648</v>
      </c>
      <c r="F2334" s="36">
        <v>44683</v>
      </c>
      <c r="G2334" s="38">
        <f t="shared" si="36"/>
        <v>35</v>
      </c>
      <c r="H2334" s="5">
        <v>44664</v>
      </c>
      <c r="I2334" s="5">
        <v>44691</v>
      </c>
      <c r="J2334" s="1" t="s">
        <v>26</v>
      </c>
      <c r="K2334" s="1" t="s">
        <v>5057</v>
      </c>
      <c r="L2334" s="1" t="s">
        <v>5048</v>
      </c>
      <c r="M2334" s="1" t="s">
        <v>5058</v>
      </c>
      <c r="N2334" s="1" t="s">
        <v>38</v>
      </c>
      <c r="O2334" s="1" t="s">
        <v>1440</v>
      </c>
      <c r="P2334" s="1" t="s">
        <v>1540</v>
      </c>
      <c r="Q2334" s="1" t="s">
        <v>1541</v>
      </c>
      <c r="R2334" s="1" t="s">
        <v>113</v>
      </c>
      <c r="S2334" s="1"/>
      <c r="U2334" s="1" t="s">
        <v>130</v>
      </c>
      <c r="V2334" s="1" t="s">
        <v>236</v>
      </c>
      <c r="W2334" s="1" t="str">
        <f>VLOOKUP(Table1[[#This Row],[Obergruppe ATC-Code]],Tabelle3!$A$2:$B$100,2)</f>
        <v>ANALGETIKA</v>
      </c>
      <c r="X2334" s="1" t="str">
        <f xml:space="preserve"> LEFT(Table1[[#This Row],[Atc Code]],3)</f>
        <v>N02</v>
      </c>
    </row>
    <row r="2335" spans="1:24" ht="14.4">
      <c r="A2335" s="14">
        <v>95</v>
      </c>
      <c r="B2335" s="24">
        <v>583094</v>
      </c>
      <c r="C2335" s="1">
        <v>2142771</v>
      </c>
      <c r="D2335" s="1" t="s">
        <v>25</v>
      </c>
      <c r="E2335" s="36">
        <v>44764</v>
      </c>
      <c r="F2335" s="36">
        <v>44781</v>
      </c>
      <c r="G2335" s="38">
        <f t="shared" si="36"/>
        <v>17</v>
      </c>
      <c r="H2335" s="5">
        <v>44764</v>
      </c>
      <c r="I2335" s="5">
        <v>44781</v>
      </c>
      <c r="J2335" s="1" t="s">
        <v>26</v>
      </c>
      <c r="K2335" s="1" t="s">
        <v>5059</v>
      </c>
      <c r="L2335" s="1" t="s">
        <v>5048</v>
      </c>
      <c r="M2335" s="1" t="s">
        <v>5049</v>
      </c>
      <c r="N2335" s="1" t="s">
        <v>30</v>
      </c>
      <c r="O2335" s="1" t="s">
        <v>5053</v>
      </c>
      <c r="P2335" s="1" t="s">
        <v>5051</v>
      </c>
      <c r="Q2335" s="1" t="s">
        <v>5052</v>
      </c>
      <c r="R2335" s="1" t="s">
        <v>26</v>
      </c>
      <c r="S2335" s="1"/>
      <c r="U2335" s="1" t="s">
        <v>35</v>
      </c>
      <c r="V2335" s="1" t="s">
        <v>5002</v>
      </c>
      <c r="W2335" s="1" t="str">
        <f>VLOOKUP(Table1[[#This Row],[Obergruppe ATC-Code]],Tabelle3!$A$2:$B$100,2)</f>
        <v>ANALGETIKA</v>
      </c>
      <c r="X2335" s="1" t="str">
        <f xml:space="preserve"> LEFT(Table1[[#This Row],[Atc Code]],3)</f>
        <v>N02</v>
      </c>
    </row>
    <row r="2336" spans="1:24" ht="14.4">
      <c r="A2336" s="14">
        <v>1050</v>
      </c>
      <c r="B2336" s="24">
        <v>9012335</v>
      </c>
      <c r="C2336" s="1">
        <v>2127138</v>
      </c>
      <c r="D2336" s="1" t="s">
        <v>25</v>
      </c>
      <c r="E2336" s="36">
        <v>44574</v>
      </c>
      <c r="F2336" s="36">
        <v>44953</v>
      </c>
      <c r="G2336" s="38">
        <f t="shared" si="36"/>
        <v>379</v>
      </c>
      <c r="H2336" s="5">
        <v>44574</v>
      </c>
      <c r="I2336" s="5">
        <v>44953</v>
      </c>
      <c r="J2336" s="1" t="s">
        <v>26</v>
      </c>
      <c r="K2336" s="1" t="s">
        <v>5054</v>
      </c>
      <c r="L2336" s="1" t="s">
        <v>5048</v>
      </c>
      <c r="M2336" s="1" t="s">
        <v>5049</v>
      </c>
      <c r="N2336" s="1" t="s">
        <v>30</v>
      </c>
      <c r="O2336" s="1" t="s">
        <v>5053</v>
      </c>
      <c r="P2336" s="1" t="s">
        <v>5055</v>
      </c>
      <c r="Q2336" s="1" t="s">
        <v>5052</v>
      </c>
      <c r="R2336" s="1" t="s">
        <v>26</v>
      </c>
      <c r="S2336" s="1"/>
      <c r="U2336" s="1" t="s">
        <v>35</v>
      </c>
      <c r="V2336" s="1" t="s">
        <v>5002</v>
      </c>
      <c r="W2336" s="1" t="str">
        <f>VLOOKUP(Table1[[#This Row],[Obergruppe ATC-Code]],Tabelle3!$A$2:$B$100,2)</f>
        <v>ANALGETIKA</v>
      </c>
      <c r="X2336" s="1" t="str">
        <f xml:space="preserve"> LEFT(Table1[[#This Row],[Atc Code]],3)</f>
        <v>N02</v>
      </c>
    </row>
    <row r="2337" spans="1:24" ht="14.4">
      <c r="A2337" s="14">
        <v>1048</v>
      </c>
      <c r="B2337" s="24">
        <v>9012306</v>
      </c>
      <c r="C2337" s="1">
        <v>2102412</v>
      </c>
      <c r="D2337" s="1" t="s">
        <v>25</v>
      </c>
      <c r="E2337" s="36">
        <v>44414</v>
      </c>
      <c r="F2337" s="36">
        <v>44974</v>
      </c>
      <c r="G2337" s="38">
        <f t="shared" si="36"/>
        <v>560</v>
      </c>
      <c r="H2337" s="5">
        <v>44407</v>
      </c>
      <c r="I2337" s="5">
        <v>44974</v>
      </c>
      <c r="J2337" s="1" t="s">
        <v>26</v>
      </c>
      <c r="K2337" s="1" t="s">
        <v>5060</v>
      </c>
      <c r="L2337" s="1" t="s">
        <v>5048</v>
      </c>
      <c r="M2337" s="1" t="s">
        <v>5049</v>
      </c>
      <c r="N2337" s="1" t="s">
        <v>30</v>
      </c>
      <c r="O2337" s="1" t="s">
        <v>5053</v>
      </c>
      <c r="P2337" s="1" t="s">
        <v>5055</v>
      </c>
      <c r="Q2337" s="1" t="s">
        <v>5052</v>
      </c>
      <c r="R2337" s="1" t="s">
        <v>26</v>
      </c>
      <c r="S2337" s="1"/>
      <c r="T2337" s="1" t="s">
        <v>5061</v>
      </c>
      <c r="U2337" s="1" t="s">
        <v>35</v>
      </c>
      <c r="V2337" s="1" t="s">
        <v>5002</v>
      </c>
      <c r="W2337" s="1" t="str">
        <f>VLOOKUP(Table1[[#This Row],[Obergruppe ATC-Code]],Tabelle3!$A$2:$B$100,2)</f>
        <v>ANALGETIKA</v>
      </c>
      <c r="X2337" s="1" t="str">
        <f xml:space="preserve"> LEFT(Table1[[#This Row],[Atc Code]],3)</f>
        <v>N02</v>
      </c>
    </row>
    <row r="2338" spans="1:24" ht="14.4">
      <c r="A2338" s="14">
        <v>91</v>
      </c>
      <c r="B2338" s="24">
        <v>582999</v>
      </c>
      <c r="C2338" s="1">
        <v>2142770</v>
      </c>
      <c r="D2338" s="1" t="s">
        <v>25</v>
      </c>
      <c r="E2338" s="36">
        <v>45019</v>
      </c>
      <c r="F2338" s="36">
        <v>45042</v>
      </c>
      <c r="G2338" s="38">
        <f t="shared" si="36"/>
        <v>23</v>
      </c>
      <c r="H2338" s="5">
        <v>45009</v>
      </c>
      <c r="I2338" s="5">
        <v>45040</v>
      </c>
      <c r="J2338" s="1" t="s">
        <v>41</v>
      </c>
      <c r="K2338" s="1" t="s">
        <v>5062</v>
      </c>
      <c r="L2338" s="1" t="s">
        <v>5048</v>
      </c>
      <c r="M2338" s="1" t="s">
        <v>5049</v>
      </c>
      <c r="N2338" s="1" t="s">
        <v>30</v>
      </c>
      <c r="O2338" s="1" t="s">
        <v>5053</v>
      </c>
      <c r="P2338" s="1" t="s">
        <v>5051</v>
      </c>
      <c r="Q2338" s="1" t="s">
        <v>5052</v>
      </c>
      <c r="R2338" s="1" t="s">
        <v>128</v>
      </c>
      <c r="S2338" s="1"/>
      <c r="U2338" s="1" t="s">
        <v>130</v>
      </c>
      <c r="V2338" s="1" t="s">
        <v>5002</v>
      </c>
      <c r="W2338" s="1" t="str">
        <f>VLOOKUP(Table1[[#This Row],[Obergruppe ATC-Code]],Tabelle3!$A$2:$B$100,2)</f>
        <v>ANALGETIKA</v>
      </c>
      <c r="X2338" s="1" t="str">
        <f xml:space="preserve"> LEFT(Table1[[#This Row],[Atc Code]],3)</f>
        <v>N02</v>
      </c>
    </row>
    <row r="2339" spans="1:24" ht="14.4">
      <c r="A2339" s="14">
        <v>1460</v>
      </c>
      <c r="B2339" s="24">
        <v>14404959</v>
      </c>
      <c r="C2339" s="1">
        <v>2142771</v>
      </c>
      <c r="D2339" s="1" t="s">
        <v>25</v>
      </c>
      <c r="E2339" s="36">
        <v>45097</v>
      </c>
      <c r="F2339" s="36">
        <v>45114</v>
      </c>
      <c r="G2339" s="38">
        <f t="shared" si="36"/>
        <v>17</v>
      </c>
      <c r="H2339" s="5">
        <v>45097</v>
      </c>
      <c r="I2339" s="5">
        <v>45114</v>
      </c>
      <c r="J2339" s="1" t="s">
        <v>41</v>
      </c>
      <c r="K2339" s="1" t="s">
        <v>5059</v>
      </c>
      <c r="L2339" s="1" t="s">
        <v>5048</v>
      </c>
      <c r="M2339" s="1" t="s">
        <v>5049</v>
      </c>
      <c r="N2339" s="1" t="s">
        <v>30</v>
      </c>
      <c r="O2339" s="1" t="s">
        <v>5053</v>
      </c>
      <c r="P2339" s="1">
        <v>80027081901</v>
      </c>
      <c r="Q2339" s="1" t="s">
        <v>5052</v>
      </c>
      <c r="R2339" s="1" t="s">
        <v>128</v>
      </c>
      <c r="S2339" s="1"/>
      <c r="U2339" s="1" t="s">
        <v>130</v>
      </c>
      <c r="V2339" s="1" t="s">
        <v>5002</v>
      </c>
      <c r="W2339" s="1" t="str">
        <f>VLOOKUP(Table1[[#This Row],[Obergruppe ATC-Code]],Tabelle3!$A$2:$B$100,2)</f>
        <v>ANALGETIKA</v>
      </c>
      <c r="X2339" s="1" t="str">
        <f xml:space="preserve"> LEFT(Table1[[#This Row],[Atc Code]],3)</f>
        <v>N02</v>
      </c>
    </row>
    <row r="2340" spans="1:24" ht="14.4">
      <c r="A2340" s="14">
        <v>94</v>
      </c>
      <c r="B2340" s="24">
        <v>583065</v>
      </c>
      <c r="C2340" s="1">
        <v>2142770</v>
      </c>
      <c r="D2340" s="1" t="s">
        <v>25</v>
      </c>
      <c r="E2340" s="36">
        <v>45070</v>
      </c>
      <c r="F2340" s="36">
        <v>45114</v>
      </c>
      <c r="G2340" s="38">
        <f t="shared" si="36"/>
        <v>44</v>
      </c>
      <c r="H2340" s="5">
        <v>45070</v>
      </c>
      <c r="I2340" s="5">
        <v>45114</v>
      </c>
      <c r="J2340" s="1" t="s">
        <v>41</v>
      </c>
      <c r="K2340" s="1" t="s">
        <v>5062</v>
      </c>
      <c r="L2340" s="1" t="s">
        <v>5048</v>
      </c>
      <c r="M2340" s="1" t="s">
        <v>5049</v>
      </c>
      <c r="N2340" s="1" t="s">
        <v>30</v>
      </c>
      <c r="O2340" s="1" t="s">
        <v>5053</v>
      </c>
      <c r="P2340" s="1">
        <v>80027081901</v>
      </c>
      <c r="Q2340" s="1" t="s">
        <v>5052</v>
      </c>
      <c r="R2340" s="1" t="s">
        <v>128</v>
      </c>
      <c r="S2340" s="1"/>
      <c r="U2340" s="1" t="s">
        <v>130</v>
      </c>
      <c r="V2340" s="1" t="s">
        <v>5002</v>
      </c>
      <c r="W2340" s="1" t="str">
        <f>VLOOKUP(Table1[[#This Row],[Obergruppe ATC-Code]],Tabelle3!$A$2:$B$100,2)</f>
        <v>ANALGETIKA</v>
      </c>
      <c r="X2340" s="1" t="str">
        <f xml:space="preserve"> LEFT(Table1[[#This Row],[Atc Code]],3)</f>
        <v>N02</v>
      </c>
    </row>
    <row r="2341" spans="1:24" ht="14.4">
      <c r="A2341" s="14">
        <v>93</v>
      </c>
      <c r="B2341" s="24">
        <v>583007</v>
      </c>
      <c r="C2341" s="1">
        <v>2142769</v>
      </c>
      <c r="D2341" s="1" t="s">
        <v>25</v>
      </c>
      <c r="E2341" s="36">
        <v>45070</v>
      </c>
      <c r="F2341" s="36">
        <v>45114</v>
      </c>
      <c r="G2341" s="38">
        <f t="shared" si="36"/>
        <v>44</v>
      </c>
      <c r="H2341" s="5">
        <v>45070</v>
      </c>
      <c r="I2341" s="5">
        <v>45114</v>
      </c>
      <c r="J2341" s="1" t="s">
        <v>41</v>
      </c>
      <c r="K2341" s="1" t="s">
        <v>5063</v>
      </c>
      <c r="L2341" s="1" t="s">
        <v>5048</v>
      </c>
      <c r="M2341" s="1" t="s">
        <v>5049</v>
      </c>
      <c r="N2341" s="1" t="s">
        <v>30</v>
      </c>
      <c r="O2341" s="1" t="s">
        <v>5053</v>
      </c>
      <c r="P2341" s="1">
        <v>80027081901</v>
      </c>
      <c r="Q2341" s="1" t="s">
        <v>5052</v>
      </c>
      <c r="R2341" s="1" t="s">
        <v>128</v>
      </c>
      <c r="S2341" s="1"/>
      <c r="U2341" s="1" t="s">
        <v>130</v>
      </c>
      <c r="V2341" s="1" t="s">
        <v>5002</v>
      </c>
      <c r="W2341" s="1" t="str">
        <f>VLOOKUP(Table1[[#This Row],[Obergruppe ATC-Code]],Tabelle3!$A$2:$B$100,2)</f>
        <v>ANALGETIKA</v>
      </c>
      <c r="X2341" s="1" t="str">
        <f xml:space="preserve"> LEFT(Table1[[#This Row],[Atc Code]],3)</f>
        <v>N02</v>
      </c>
    </row>
    <row r="2342" spans="1:24" ht="14.4">
      <c r="A2342" s="14">
        <v>1052</v>
      </c>
      <c r="B2342" s="24">
        <v>9012358</v>
      </c>
      <c r="C2342" s="1">
        <v>2127138</v>
      </c>
      <c r="D2342" s="1" t="s">
        <v>25</v>
      </c>
      <c r="E2342" s="36">
        <v>45050</v>
      </c>
      <c r="F2342" s="36">
        <v>45145</v>
      </c>
      <c r="G2342" s="38">
        <f t="shared" si="36"/>
        <v>95</v>
      </c>
      <c r="H2342" s="5">
        <v>45050</v>
      </c>
      <c r="I2342" s="5">
        <v>45145</v>
      </c>
      <c r="J2342" s="1" t="s">
        <v>41</v>
      </c>
      <c r="K2342" s="1" t="s">
        <v>5054</v>
      </c>
      <c r="L2342" s="1" t="s">
        <v>5048</v>
      </c>
      <c r="M2342" s="1" t="s">
        <v>5049</v>
      </c>
      <c r="N2342" s="1" t="s">
        <v>30</v>
      </c>
      <c r="O2342" s="1" t="s">
        <v>5053</v>
      </c>
      <c r="P2342" s="1">
        <v>80027081901</v>
      </c>
      <c r="Q2342" s="1" t="s">
        <v>5052</v>
      </c>
      <c r="R2342" s="1" t="s">
        <v>128</v>
      </c>
      <c r="S2342" s="1" t="s">
        <v>5064</v>
      </c>
      <c r="U2342" s="1" t="s">
        <v>130</v>
      </c>
      <c r="V2342" s="1" t="s">
        <v>5002</v>
      </c>
      <c r="W2342" s="1" t="str">
        <f>VLOOKUP(Table1[[#This Row],[Obergruppe ATC-Code]],Tabelle3!$A$2:$B$100,2)</f>
        <v>ANALGETIKA</v>
      </c>
      <c r="X2342" s="1" t="str">
        <f xml:space="preserve"> LEFT(Table1[[#This Row],[Atc Code]],3)</f>
        <v>N02</v>
      </c>
    </row>
    <row r="2343" spans="1:24" ht="14.4">
      <c r="A2343" s="14">
        <v>54</v>
      </c>
      <c r="B2343" s="24">
        <v>345928</v>
      </c>
      <c r="C2343" s="1">
        <v>2100997</v>
      </c>
      <c r="D2343" s="1" t="s">
        <v>25</v>
      </c>
      <c r="E2343" s="36">
        <v>44914</v>
      </c>
      <c r="F2343" s="36">
        <v>45145</v>
      </c>
      <c r="G2343" s="38">
        <f t="shared" si="36"/>
        <v>231</v>
      </c>
      <c r="H2343" s="5">
        <v>44893</v>
      </c>
      <c r="I2343" s="5">
        <v>45145</v>
      </c>
      <c r="J2343" s="1" t="s">
        <v>41</v>
      </c>
      <c r="K2343" s="1" t="s">
        <v>5047</v>
      </c>
      <c r="L2343" s="1" t="s">
        <v>5048</v>
      </c>
      <c r="M2343" s="1" t="s">
        <v>5049</v>
      </c>
      <c r="N2343" s="1" t="s">
        <v>30</v>
      </c>
      <c r="O2343" s="1" t="s">
        <v>5053</v>
      </c>
      <c r="P2343" s="1" t="s">
        <v>5051</v>
      </c>
      <c r="Q2343" s="1" t="s">
        <v>5052</v>
      </c>
      <c r="R2343" s="1" t="s">
        <v>128</v>
      </c>
      <c r="S2343" s="1" t="s">
        <v>5064</v>
      </c>
      <c r="U2343" s="1" t="s">
        <v>130</v>
      </c>
      <c r="V2343" s="1" t="s">
        <v>74</v>
      </c>
      <c r="W2343" s="1" t="str">
        <f>VLOOKUP(Table1[[#This Row],[Obergruppe ATC-Code]],Tabelle3!$A$2:$B$100,2)</f>
        <v>ANALGETIKA</v>
      </c>
      <c r="X2343" s="1" t="str">
        <f xml:space="preserve"> LEFT(Table1[[#This Row],[Atc Code]],3)</f>
        <v>N02</v>
      </c>
    </row>
    <row r="2344" spans="1:24" ht="14.4">
      <c r="A2344" s="14">
        <v>1622</v>
      </c>
      <c r="B2344" s="24">
        <v>18139371</v>
      </c>
      <c r="C2344" s="1">
        <v>2100997</v>
      </c>
      <c r="D2344" s="1" t="s">
        <v>175</v>
      </c>
      <c r="E2344" s="36">
        <v>45108</v>
      </c>
      <c r="F2344" s="36">
        <v>45291</v>
      </c>
      <c r="G2344" s="38">
        <f t="shared" si="36"/>
        <v>183</v>
      </c>
      <c r="H2344" s="5">
        <v>45147</v>
      </c>
      <c r="I2344" s="5">
        <v>45147</v>
      </c>
      <c r="J2344" s="1" t="s">
        <v>41</v>
      </c>
      <c r="K2344" s="1" t="s">
        <v>5047</v>
      </c>
      <c r="L2344" s="1" t="s">
        <v>5048</v>
      </c>
      <c r="M2344" s="1" t="s">
        <v>5049</v>
      </c>
      <c r="N2344" s="1" t="s">
        <v>30</v>
      </c>
      <c r="O2344" s="1" t="s">
        <v>5065</v>
      </c>
      <c r="Q2344" s="1" t="s">
        <v>5066</v>
      </c>
      <c r="R2344" s="1" t="s">
        <v>128</v>
      </c>
      <c r="S2344" s="1" t="s">
        <v>5067</v>
      </c>
      <c r="U2344" s="1" t="s">
        <v>35</v>
      </c>
      <c r="V2344" s="1" t="s">
        <v>74</v>
      </c>
      <c r="W2344" s="1" t="str">
        <f>VLOOKUP(Table1[[#This Row],[Obergruppe ATC-Code]],Tabelle3!$A$2:$B$100,2)</f>
        <v>ANALGETIKA</v>
      </c>
      <c r="X2344" s="1" t="str">
        <f xml:space="preserve"> LEFT(Table1[[#This Row],[Atc Code]],3)</f>
        <v>N02</v>
      </c>
    </row>
    <row r="2345" spans="1:24" ht="14.4">
      <c r="A2345" s="14">
        <v>1624</v>
      </c>
      <c r="B2345" s="24">
        <v>18139425</v>
      </c>
      <c r="C2345" s="1">
        <v>2127138</v>
      </c>
      <c r="D2345" s="1" t="s">
        <v>102</v>
      </c>
      <c r="E2345" s="36">
        <v>45108</v>
      </c>
      <c r="F2345" s="36">
        <v>45231</v>
      </c>
      <c r="G2345" s="38">
        <f t="shared" si="36"/>
        <v>123</v>
      </c>
      <c r="H2345" s="5">
        <v>45148</v>
      </c>
      <c r="I2345" s="5">
        <v>45175</v>
      </c>
      <c r="J2345" s="1" t="s">
        <v>26</v>
      </c>
      <c r="K2345" s="1" t="s">
        <v>5054</v>
      </c>
      <c r="L2345" s="1" t="s">
        <v>5048</v>
      </c>
      <c r="M2345" s="1" t="s">
        <v>5049</v>
      </c>
      <c r="N2345" s="1" t="s">
        <v>38</v>
      </c>
      <c r="O2345" s="1" t="s">
        <v>5065</v>
      </c>
      <c r="Q2345" s="1" t="s">
        <v>5066</v>
      </c>
      <c r="R2345" s="1" t="s">
        <v>142</v>
      </c>
      <c r="S2345" s="1" t="s">
        <v>5068</v>
      </c>
      <c r="U2345" s="1" t="s">
        <v>35</v>
      </c>
      <c r="V2345" s="1" t="s">
        <v>5002</v>
      </c>
      <c r="W2345" s="1" t="str">
        <f>VLOOKUP(Table1[[#This Row],[Obergruppe ATC-Code]],Tabelle3!$A$2:$B$100,2)</f>
        <v>ANALGETIKA</v>
      </c>
      <c r="X2345" s="1" t="str">
        <f xml:space="preserve"> LEFT(Table1[[#This Row],[Atc Code]],3)</f>
        <v>N02</v>
      </c>
    </row>
    <row r="2346" spans="1:24" ht="14.4">
      <c r="A2346" s="14">
        <v>1623</v>
      </c>
      <c r="B2346" s="24">
        <v>18139388</v>
      </c>
      <c r="C2346" s="1">
        <v>2102412</v>
      </c>
      <c r="D2346" s="1" t="s">
        <v>25</v>
      </c>
      <c r="E2346" s="36">
        <v>45108</v>
      </c>
      <c r="F2346" s="36">
        <v>45204</v>
      </c>
      <c r="G2346" s="38">
        <f t="shared" si="36"/>
        <v>96</v>
      </c>
      <c r="H2346" s="5">
        <v>45142</v>
      </c>
      <c r="I2346" s="5">
        <v>45204</v>
      </c>
      <c r="J2346" s="1" t="s">
        <v>26</v>
      </c>
      <c r="K2346" s="1" t="s">
        <v>5060</v>
      </c>
      <c r="L2346" s="1" t="s">
        <v>5048</v>
      </c>
      <c r="M2346" s="1" t="s">
        <v>5049</v>
      </c>
      <c r="N2346" s="1" t="s">
        <v>38</v>
      </c>
      <c r="O2346" s="1" t="s">
        <v>5065</v>
      </c>
      <c r="Q2346" s="1" t="s">
        <v>5066</v>
      </c>
      <c r="R2346" s="1" t="s">
        <v>142</v>
      </c>
      <c r="S2346" s="1" t="s">
        <v>5068</v>
      </c>
      <c r="U2346" s="1" t="s">
        <v>35</v>
      </c>
      <c r="V2346" s="1" t="s">
        <v>5002</v>
      </c>
      <c r="W2346" s="1" t="str">
        <f>VLOOKUP(Table1[[#This Row],[Obergruppe ATC-Code]],Tabelle3!$A$2:$B$100,2)</f>
        <v>ANALGETIKA</v>
      </c>
      <c r="X2346" s="1" t="str">
        <f xml:space="preserve"> LEFT(Table1[[#This Row],[Atc Code]],3)</f>
        <v>N02</v>
      </c>
    </row>
    <row r="2347" spans="1:24" ht="14.4">
      <c r="A2347" s="14">
        <v>92</v>
      </c>
      <c r="B2347" s="24">
        <v>583007</v>
      </c>
      <c r="C2347" s="1">
        <v>2142769</v>
      </c>
      <c r="D2347" s="1" t="s">
        <v>25</v>
      </c>
      <c r="E2347" s="36">
        <v>45145</v>
      </c>
      <c r="F2347" s="36">
        <v>45208</v>
      </c>
      <c r="G2347" s="38">
        <f t="shared" si="36"/>
        <v>63</v>
      </c>
      <c r="H2347" s="5">
        <v>45145</v>
      </c>
      <c r="I2347" s="5">
        <v>45210</v>
      </c>
      <c r="J2347" s="1" t="s">
        <v>41</v>
      </c>
      <c r="K2347" s="1" t="s">
        <v>5063</v>
      </c>
      <c r="L2347" s="1" t="s">
        <v>5048</v>
      </c>
      <c r="M2347" s="1" t="s">
        <v>5049</v>
      </c>
      <c r="N2347" s="1" t="s">
        <v>30</v>
      </c>
      <c r="O2347" s="1" t="s">
        <v>5053</v>
      </c>
      <c r="P2347" s="1">
        <v>80027081901</v>
      </c>
      <c r="Q2347" s="1" t="s">
        <v>5052</v>
      </c>
      <c r="R2347" s="1" t="s">
        <v>128</v>
      </c>
      <c r="S2347" s="1"/>
      <c r="U2347" s="1" t="s">
        <v>35</v>
      </c>
      <c r="V2347" s="1" t="s">
        <v>5002</v>
      </c>
      <c r="W2347" s="1" t="str">
        <f>VLOOKUP(Table1[[#This Row],[Obergruppe ATC-Code]],Tabelle3!$A$2:$B$100,2)</f>
        <v>ANALGETIKA</v>
      </c>
      <c r="X2347" s="1" t="str">
        <f xml:space="preserve"> LEFT(Table1[[#This Row],[Atc Code]],3)</f>
        <v>N02</v>
      </c>
    </row>
    <row r="2348" spans="1:24" ht="14.4">
      <c r="A2348" s="14">
        <v>1739</v>
      </c>
      <c r="B2348" s="24" t="s">
        <v>5069</v>
      </c>
      <c r="C2348" s="1">
        <v>2142770</v>
      </c>
      <c r="D2348" s="1" t="s">
        <v>102</v>
      </c>
      <c r="E2348" s="36">
        <v>45152</v>
      </c>
      <c r="F2348" s="36">
        <v>45268</v>
      </c>
      <c r="G2348" s="38">
        <f t="shared" si="36"/>
        <v>116</v>
      </c>
      <c r="H2348" s="5">
        <v>45148</v>
      </c>
      <c r="I2348" s="5">
        <v>45212</v>
      </c>
      <c r="J2348" s="1" t="s">
        <v>41</v>
      </c>
      <c r="K2348" s="1" t="s">
        <v>5062</v>
      </c>
      <c r="L2348" s="1" t="s">
        <v>5048</v>
      </c>
      <c r="M2348" s="1" t="s">
        <v>5049</v>
      </c>
      <c r="N2348" s="1" t="s">
        <v>38</v>
      </c>
      <c r="O2348" s="1" t="s">
        <v>5053</v>
      </c>
      <c r="P2348" s="1">
        <v>80027081901</v>
      </c>
      <c r="Q2348" s="1" t="s">
        <v>5052</v>
      </c>
      <c r="R2348" s="1" t="s">
        <v>128</v>
      </c>
      <c r="S2348" s="1"/>
      <c r="U2348" s="1" t="s">
        <v>35</v>
      </c>
      <c r="V2348" s="1" t="s">
        <v>5002</v>
      </c>
      <c r="W2348" s="1" t="str">
        <f>VLOOKUP(Table1[[#This Row],[Obergruppe ATC-Code]],Tabelle3!$A$2:$B$100,2)</f>
        <v>ANALGETIKA</v>
      </c>
      <c r="X2348" s="1" t="str">
        <f xml:space="preserve"> LEFT(Table1[[#This Row],[Atc Code]],3)</f>
        <v>N02</v>
      </c>
    </row>
    <row r="2349" spans="1:24" ht="14.4">
      <c r="A2349" s="14">
        <v>1740</v>
      </c>
      <c r="B2349" s="24" t="s">
        <v>5070</v>
      </c>
      <c r="C2349" s="1">
        <v>2142771</v>
      </c>
      <c r="D2349" s="1" t="s">
        <v>102</v>
      </c>
      <c r="E2349" s="36">
        <v>45128</v>
      </c>
      <c r="F2349" s="36">
        <v>45313</v>
      </c>
      <c r="G2349" s="38">
        <f t="shared" si="36"/>
        <v>185</v>
      </c>
      <c r="H2349" s="5">
        <v>45126</v>
      </c>
      <c r="I2349" s="5">
        <v>45215</v>
      </c>
      <c r="J2349" s="1" t="s">
        <v>41</v>
      </c>
      <c r="K2349" s="1" t="s">
        <v>5059</v>
      </c>
      <c r="L2349" s="1" t="s">
        <v>5048</v>
      </c>
      <c r="M2349" s="1" t="s">
        <v>5049</v>
      </c>
      <c r="N2349" s="1" t="s">
        <v>30</v>
      </c>
      <c r="O2349" s="1" t="s">
        <v>5053</v>
      </c>
      <c r="P2349" s="1">
        <v>80027081901</v>
      </c>
      <c r="Q2349" s="1" t="s">
        <v>5052</v>
      </c>
      <c r="R2349" s="1" t="s">
        <v>128</v>
      </c>
      <c r="S2349" s="1"/>
      <c r="U2349" s="1" t="s">
        <v>35</v>
      </c>
      <c r="V2349" s="1" t="s">
        <v>5002</v>
      </c>
      <c r="W2349" s="1" t="str">
        <f>VLOOKUP(Table1[[#This Row],[Obergruppe ATC-Code]],Tabelle3!$A$2:$B$100,2)</f>
        <v>ANALGETIKA</v>
      </c>
      <c r="X2349" s="1" t="str">
        <f xml:space="preserve"> LEFT(Table1[[#This Row],[Atc Code]],3)</f>
        <v>N02</v>
      </c>
    </row>
    <row r="2350" spans="1:24" ht="14.4">
      <c r="A2350" s="14">
        <v>2980</v>
      </c>
      <c r="B2350" s="25" t="s">
        <v>5071</v>
      </c>
      <c r="C2350" s="1">
        <v>2100016</v>
      </c>
      <c r="D2350" s="1" t="s">
        <v>25</v>
      </c>
      <c r="E2350" s="36">
        <v>43678</v>
      </c>
      <c r="F2350" s="36">
        <v>43921</v>
      </c>
      <c r="G2350" s="38">
        <f t="shared" si="36"/>
        <v>243</v>
      </c>
      <c r="H2350" s="5">
        <v>43657</v>
      </c>
      <c r="I2350" s="5">
        <v>43893</v>
      </c>
      <c r="J2350" s="1" t="s">
        <v>26</v>
      </c>
      <c r="K2350" s="1" t="s">
        <v>5072</v>
      </c>
      <c r="L2350" s="1" t="s">
        <v>5073</v>
      </c>
      <c r="M2350" s="1" t="s">
        <v>5074</v>
      </c>
      <c r="N2350" s="1" t="s">
        <v>30</v>
      </c>
      <c r="O2350" s="1" t="s">
        <v>321</v>
      </c>
      <c r="P2350" s="1" t="s">
        <v>326</v>
      </c>
      <c r="Q2350" s="1" t="s">
        <v>327</v>
      </c>
      <c r="R2350" s="1" t="s">
        <v>33</v>
      </c>
      <c r="S2350" s="1"/>
      <c r="T2350" s="1" t="s">
        <v>5075</v>
      </c>
      <c r="U2350" s="1" t="s">
        <v>35</v>
      </c>
      <c r="V2350" s="1" t="s">
        <v>596</v>
      </c>
      <c r="W2350" s="1" t="str">
        <f>VLOOKUP(Table1[[#This Row],[Obergruppe ATC-Code]],Tabelle3!$A$2:$B$100,2)</f>
        <v>ANALGETIKA</v>
      </c>
      <c r="X2350" s="1" t="str">
        <f xml:space="preserve"> LEFT(Table1[[#This Row],[Atc Code]],3)</f>
        <v>N02</v>
      </c>
    </row>
    <row r="2351" spans="1:24" ht="14.4">
      <c r="A2351" s="14">
        <v>2426</v>
      </c>
      <c r="B2351" s="24" t="s">
        <v>5076</v>
      </c>
      <c r="C2351" s="1">
        <v>2140396</v>
      </c>
      <c r="D2351" s="1" t="s">
        <v>25</v>
      </c>
      <c r="E2351" s="36">
        <v>45127</v>
      </c>
      <c r="F2351" s="36">
        <v>45139</v>
      </c>
      <c r="G2351" s="38">
        <f t="shared" si="36"/>
        <v>12</v>
      </c>
      <c r="H2351" s="5">
        <v>45132</v>
      </c>
      <c r="I2351" s="5">
        <v>45139</v>
      </c>
      <c r="J2351" s="1" t="s">
        <v>26</v>
      </c>
      <c r="K2351" s="1" t="s">
        <v>5077</v>
      </c>
      <c r="L2351" s="1" t="s">
        <v>5073</v>
      </c>
      <c r="M2351" s="1" t="s">
        <v>5074</v>
      </c>
      <c r="N2351" s="1" t="s">
        <v>38</v>
      </c>
      <c r="O2351" s="1" t="s">
        <v>110</v>
      </c>
      <c r="P2351" s="1">
        <v>49733396510</v>
      </c>
      <c r="Q2351" s="1" t="s">
        <v>112</v>
      </c>
      <c r="R2351" s="1" t="s">
        <v>113</v>
      </c>
      <c r="S2351" s="1"/>
      <c r="U2351" s="1" t="s">
        <v>130</v>
      </c>
      <c r="V2351" s="1" t="s">
        <v>1292</v>
      </c>
      <c r="W2351" s="1" t="str">
        <f>VLOOKUP(Table1[[#This Row],[Obergruppe ATC-Code]],Tabelle3!$A$2:$B$100,2)</f>
        <v>ANALGETIKA</v>
      </c>
      <c r="X2351" s="1" t="str">
        <f xml:space="preserve"> LEFT(Table1[[#This Row],[Atc Code]],3)</f>
        <v>N02</v>
      </c>
    </row>
    <row r="2352" spans="1:24" ht="14.4">
      <c r="A2352" s="14">
        <v>2610</v>
      </c>
      <c r="B2352" s="24" t="s">
        <v>5078</v>
      </c>
      <c r="C2352" s="1">
        <v>2138542</v>
      </c>
      <c r="D2352" s="1" t="s">
        <v>25</v>
      </c>
      <c r="E2352" s="36">
        <v>43922</v>
      </c>
      <c r="F2352" s="36">
        <v>44255</v>
      </c>
      <c r="G2352" s="38">
        <f t="shared" si="36"/>
        <v>333</v>
      </c>
      <c r="H2352" s="5">
        <v>43921</v>
      </c>
      <c r="I2352" s="5">
        <v>44251</v>
      </c>
      <c r="J2352" s="1" t="s">
        <v>41</v>
      </c>
      <c r="K2352" s="1" t="s">
        <v>5079</v>
      </c>
      <c r="L2352" s="1" t="s">
        <v>5080</v>
      </c>
      <c r="M2352" s="1" t="s">
        <v>5081</v>
      </c>
      <c r="N2352" s="1" t="s">
        <v>30</v>
      </c>
      <c r="O2352" s="1" t="s">
        <v>1489</v>
      </c>
      <c r="P2352" s="1" t="s">
        <v>1733</v>
      </c>
      <c r="Q2352" s="1" t="s">
        <v>1734</v>
      </c>
      <c r="R2352" s="1" t="s">
        <v>26</v>
      </c>
      <c r="S2352" s="1"/>
      <c r="U2352" s="1" t="s">
        <v>35</v>
      </c>
      <c r="V2352" s="1" t="s">
        <v>74</v>
      </c>
      <c r="W2352" s="1" t="str">
        <f>VLOOKUP(Table1[[#This Row],[Obergruppe ATC-Code]],Tabelle3!$A$2:$B$100,2)</f>
        <v>ANALGETIKA</v>
      </c>
      <c r="X2352" s="1" t="str">
        <f xml:space="preserve"> LEFT(Table1[[#This Row],[Atc Code]],3)</f>
        <v>N02</v>
      </c>
    </row>
    <row r="2353" spans="1:24" ht="14.4">
      <c r="A2353" s="14">
        <v>3171</v>
      </c>
      <c r="B2353" s="24" t="s">
        <v>5082</v>
      </c>
      <c r="C2353" s="1">
        <v>2185576</v>
      </c>
      <c r="D2353" s="1" t="s">
        <v>25</v>
      </c>
      <c r="E2353" s="36">
        <v>44197</v>
      </c>
      <c r="F2353" s="36">
        <v>44286</v>
      </c>
      <c r="G2353" s="38">
        <f t="shared" si="36"/>
        <v>89</v>
      </c>
      <c r="H2353" s="5">
        <v>44238</v>
      </c>
      <c r="I2353" s="5">
        <v>44299</v>
      </c>
      <c r="J2353" s="1" t="s">
        <v>41</v>
      </c>
      <c r="K2353" s="1" t="s">
        <v>5083</v>
      </c>
      <c r="L2353" s="1" t="s">
        <v>5084</v>
      </c>
      <c r="M2353" s="1" t="s">
        <v>5085</v>
      </c>
      <c r="N2353" s="1" t="s">
        <v>30</v>
      </c>
      <c r="O2353" s="1" t="s">
        <v>5086</v>
      </c>
      <c r="P2353" s="1" t="s">
        <v>5087</v>
      </c>
      <c r="Q2353" s="1" t="s">
        <v>5088</v>
      </c>
      <c r="R2353" s="1" t="s">
        <v>48</v>
      </c>
      <c r="S2353" s="1"/>
      <c r="U2353" s="1" t="s">
        <v>57</v>
      </c>
      <c r="V2353" s="1" t="s">
        <v>1292</v>
      </c>
      <c r="W2353" s="1" t="str">
        <f>VLOOKUP(Table1[[#This Row],[Obergruppe ATC-Code]],Tabelle3!$A$2:$B$100,2)</f>
        <v>ANALGETIKA</v>
      </c>
      <c r="X2353" s="1" t="str">
        <f xml:space="preserve"> LEFT(Table1[[#This Row],[Atc Code]],3)</f>
        <v>N02</v>
      </c>
    </row>
    <row r="2354" spans="1:24" ht="14.4">
      <c r="A2354" s="14">
        <v>3172</v>
      </c>
      <c r="B2354" s="24" t="s">
        <v>5082</v>
      </c>
      <c r="C2354" s="1">
        <v>2185577</v>
      </c>
      <c r="D2354" s="1" t="s">
        <v>25</v>
      </c>
      <c r="E2354" s="36">
        <v>44197</v>
      </c>
      <c r="F2354" s="36">
        <v>44692</v>
      </c>
      <c r="G2354" s="38">
        <f t="shared" si="36"/>
        <v>495</v>
      </c>
      <c r="H2354" s="5">
        <v>44238</v>
      </c>
      <c r="I2354" s="5">
        <v>44692</v>
      </c>
      <c r="J2354" s="1" t="s">
        <v>41</v>
      </c>
      <c r="K2354" s="1" t="s">
        <v>5083</v>
      </c>
      <c r="L2354" s="1" t="s">
        <v>5084</v>
      </c>
      <c r="M2354" s="1" t="s">
        <v>5085</v>
      </c>
      <c r="N2354" s="1" t="s">
        <v>30</v>
      </c>
      <c r="O2354" s="1" t="s">
        <v>5086</v>
      </c>
      <c r="P2354" s="1" t="s">
        <v>5087</v>
      </c>
      <c r="Q2354" s="1" t="s">
        <v>5088</v>
      </c>
      <c r="R2354" s="1" t="s">
        <v>128</v>
      </c>
      <c r="S2354" s="1"/>
      <c r="U2354" s="1" t="s">
        <v>57</v>
      </c>
      <c r="V2354" s="1" t="s">
        <v>1292</v>
      </c>
      <c r="W2354" s="1" t="str">
        <f>VLOOKUP(Table1[[#This Row],[Obergruppe ATC-Code]],Tabelle3!$A$2:$B$100,2)</f>
        <v>ANALGETIKA</v>
      </c>
      <c r="X2354" s="1" t="str">
        <f xml:space="preserve"> LEFT(Table1[[#This Row],[Atc Code]],3)</f>
        <v>N02</v>
      </c>
    </row>
    <row r="2355" spans="1:24" ht="14.4">
      <c r="A2355" s="14">
        <v>661</v>
      </c>
      <c r="B2355" s="24">
        <v>4324188</v>
      </c>
      <c r="C2355" s="1">
        <v>2154243</v>
      </c>
      <c r="D2355" s="1" t="s">
        <v>25</v>
      </c>
      <c r="E2355" s="36">
        <v>43160</v>
      </c>
      <c r="F2355" s="36">
        <v>43830</v>
      </c>
      <c r="G2355" s="38">
        <f t="shared" si="36"/>
        <v>670</v>
      </c>
      <c r="H2355" s="5">
        <v>43180</v>
      </c>
      <c r="I2355" s="5">
        <v>43795</v>
      </c>
      <c r="J2355" s="1" t="s">
        <v>41</v>
      </c>
      <c r="K2355" s="1" t="s">
        <v>5089</v>
      </c>
      <c r="L2355" s="1" t="s">
        <v>5090</v>
      </c>
      <c r="M2355" s="1" t="s">
        <v>5091</v>
      </c>
      <c r="N2355" s="1" t="s">
        <v>30</v>
      </c>
      <c r="O2355" s="1" t="s">
        <v>1475</v>
      </c>
      <c r="P2355" s="1" t="s">
        <v>5092</v>
      </c>
      <c r="Q2355" s="1" t="s">
        <v>753</v>
      </c>
      <c r="R2355" s="1" t="s">
        <v>165</v>
      </c>
      <c r="S2355" s="1"/>
      <c r="U2355" s="1" t="s">
        <v>57</v>
      </c>
      <c r="V2355" s="1" t="s">
        <v>803</v>
      </c>
      <c r="W2355" s="1" t="str">
        <f>VLOOKUP(Table1[[#This Row],[Obergruppe ATC-Code]],Tabelle3!$A$2:$B$100,2)</f>
        <v>ANALGETIKA</v>
      </c>
      <c r="X2355" s="1" t="str">
        <f xml:space="preserve"> LEFT(Table1[[#This Row],[Atc Code]],3)</f>
        <v>N02</v>
      </c>
    </row>
    <row r="2356" spans="1:24" ht="14.4">
      <c r="A2356" s="14">
        <v>660</v>
      </c>
      <c r="B2356" s="24">
        <v>4324188</v>
      </c>
      <c r="C2356" s="1">
        <v>2154243</v>
      </c>
      <c r="D2356" s="1" t="s">
        <v>25</v>
      </c>
      <c r="E2356" s="36">
        <v>44256</v>
      </c>
      <c r="F2356" s="36">
        <v>44347</v>
      </c>
      <c r="G2356" s="38">
        <f t="shared" si="36"/>
        <v>91</v>
      </c>
      <c r="H2356" s="5">
        <v>44256</v>
      </c>
      <c r="I2356" s="5">
        <v>44308</v>
      </c>
      <c r="J2356" s="1" t="s">
        <v>41</v>
      </c>
      <c r="K2356" s="1" t="s">
        <v>5089</v>
      </c>
      <c r="L2356" s="1" t="s">
        <v>5090</v>
      </c>
      <c r="M2356" s="1" t="s">
        <v>5091</v>
      </c>
      <c r="N2356" s="1" t="s">
        <v>30</v>
      </c>
      <c r="O2356" s="1" t="s">
        <v>1475</v>
      </c>
      <c r="P2356" s="1" t="s">
        <v>812</v>
      </c>
      <c r="Q2356" s="1" t="s">
        <v>753</v>
      </c>
      <c r="R2356" s="1" t="s">
        <v>26</v>
      </c>
      <c r="S2356" s="1"/>
      <c r="U2356" s="1" t="s">
        <v>35</v>
      </c>
      <c r="V2356" s="1" t="s">
        <v>803</v>
      </c>
      <c r="W2356" s="1" t="str">
        <f>VLOOKUP(Table1[[#This Row],[Obergruppe ATC-Code]],Tabelle3!$A$2:$B$100,2)</f>
        <v>ANALGETIKA</v>
      </c>
      <c r="X2356" s="1" t="str">
        <f xml:space="preserve"> LEFT(Table1[[#This Row],[Atc Code]],3)</f>
        <v>N02</v>
      </c>
    </row>
    <row r="2357" spans="1:24" ht="14.4">
      <c r="A2357" s="14">
        <v>659</v>
      </c>
      <c r="B2357" s="24">
        <v>4324188</v>
      </c>
      <c r="C2357" s="1">
        <v>2154243</v>
      </c>
      <c r="D2357" s="1" t="s">
        <v>25</v>
      </c>
      <c r="E2357" s="36">
        <v>43160</v>
      </c>
      <c r="F2357" s="36">
        <v>43795</v>
      </c>
      <c r="G2357" s="38">
        <f t="shared" si="36"/>
        <v>635</v>
      </c>
      <c r="H2357" s="5">
        <v>43180</v>
      </c>
      <c r="I2357" s="5">
        <v>44599</v>
      </c>
      <c r="J2357" s="1" t="s">
        <v>41</v>
      </c>
      <c r="K2357" s="1" t="s">
        <v>5089</v>
      </c>
      <c r="L2357" s="1" t="s">
        <v>5090</v>
      </c>
      <c r="M2357" s="1" t="s">
        <v>5091</v>
      </c>
      <c r="N2357" s="1" t="s">
        <v>30</v>
      </c>
      <c r="O2357" s="1" t="s">
        <v>1475</v>
      </c>
      <c r="P2357" s="1" t="s">
        <v>5092</v>
      </c>
      <c r="Q2357" s="1" t="s">
        <v>753</v>
      </c>
      <c r="R2357" s="1" t="s">
        <v>26</v>
      </c>
      <c r="S2357" s="1"/>
      <c r="U2357" s="1" t="s">
        <v>35</v>
      </c>
      <c r="V2357" s="1" t="s">
        <v>803</v>
      </c>
      <c r="W2357" s="1" t="str">
        <f>VLOOKUP(Table1[[#This Row],[Obergruppe ATC-Code]],Tabelle3!$A$2:$B$100,2)</f>
        <v>ANALGETIKA</v>
      </c>
      <c r="X2357" s="1" t="str">
        <f xml:space="preserve"> LEFT(Table1[[#This Row],[Atc Code]],3)</f>
        <v>N02</v>
      </c>
    </row>
    <row r="2358" spans="1:24" ht="14.4">
      <c r="A2358" s="14">
        <v>663</v>
      </c>
      <c r="B2358" s="24">
        <v>4324188</v>
      </c>
      <c r="C2358" s="1">
        <v>2154243</v>
      </c>
      <c r="D2358" s="1" t="s">
        <v>25</v>
      </c>
      <c r="E2358" s="36">
        <v>44725</v>
      </c>
      <c r="F2358" s="36">
        <v>44773</v>
      </c>
      <c r="G2358" s="38">
        <f t="shared" si="36"/>
        <v>48</v>
      </c>
      <c r="H2358" s="5">
        <v>44725</v>
      </c>
      <c r="I2358" s="5">
        <v>44783</v>
      </c>
      <c r="J2358" s="1" t="s">
        <v>26</v>
      </c>
      <c r="K2358" s="1" t="s">
        <v>5089</v>
      </c>
      <c r="L2358" s="1" t="s">
        <v>5090</v>
      </c>
      <c r="M2358" s="1" t="s">
        <v>5091</v>
      </c>
      <c r="N2358" s="1" t="s">
        <v>30</v>
      </c>
      <c r="O2358" s="1" t="s">
        <v>1475</v>
      </c>
      <c r="P2358" s="1" t="s">
        <v>5093</v>
      </c>
      <c r="Q2358" s="1" t="s">
        <v>753</v>
      </c>
      <c r="R2358" s="1" t="s">
        <v>142</v>
      </c>
      <c r="S2358" s="1"/>
      <c r="U2358" s="1" t="s">
        <v>35</v>
      </c>
      <c r="V2358" s="1" t="s">
        <v>803</v>
      </c>
      <c r="W2358" s="1" t="str">
        <f>VLOOKUP(Table1[[#This Row],[Obergruppe ATC-Code]],Tabelle3!$A$2:$B$100,2)</f>
        <v>ANALGETIKA</v>
      </c>
      <c r="X2358" s="1" t="str">
        <f xml:space="preserve"> LEFT(Table1[[#This Row],[Atc Code]],3)</f>
        <v>N02</v>
      </c>
    </row>
    <row r="2359" spans="1:24" ht="14.4">
      <c r="A2359" s="14">
        <v>662</v>
      </c>
      <c r="B2359" s="24">
        <v>4324188</v>
      </c>
      <c r="C2359" s="1">
        <v>2154243</v>
      </c>
      <c r="D2359" s="1" t="s">
        <v>102</v>
      </c>
      <c r="E2359" s="36">
        <v>44930</v>
      </c>
      <c r="F2359" s="36">
        <v>45838</v>
      </c>
      <c r="G2359" s="38">
        <f t="shared" si="36"/>
        <v>908</v>
      </c>
      <c r="H2359" s="5">
        <v>44930</v>
      </c>
      <c r="I2359" s="5">
        <v>45173</v>
      </c>
      <c r="J2359" s="1" t="s">
        <v>26</v>
      </c>
      <c r="K2359" s="1" t="s">
        <v>5089</v>
      </c>
      <c r="L2359" s="1" t="s">
        <v>5090</v>
      </c>
      <c r="M2359" s="1" t="s">
        <v>5091</v>
      </c>
      <c r="N2359" s="1" t="s">
        <v>30</v>
      </c>
      <c r="O2359" s="1" t="s">
        <v>1475</v>
      </c>
      <c r="P2359" s="1" t="s">
        <v>5094</v>
      </c>
      <c r="Q2359" s="1" t="s">
        <v>753</v>
      </c>
      <c r="R2359" s="1" t="s">
        <v>26</v>
      </c>
      <c r="S2359" s="1"/>
      <c r="U2359" s="1" t="s">
        <v>130</v>
      </c>
      <c r="V2359" s="1" t="s">
        <v>803</v>
      </c>
      <c r="W2359" s="1" t="str">
        <f>VLOOKUP(Table1[[#This Row],[Obergruppe ATC-Code]],Tabelle3!$A$2:$B$100,2)</f>
        <v>ANALGETIKA</v>
      </c>
      <c r="X2359" s="1" t="str">
        <f xml:space="preserve"> LEFT(Table1[[#This Row],[Atc Code]],3)</f>
        <v>N02</v>
      </c>
    </row>
    <row r="2360" spans="1:24" ht="14.4">
      <c r="A2360" s="14">
        <v>241</v>
      </c>
      <c r="B2360" s="24">
        <v>1384563</v>
      </c>
      <c r="C2360" s="1">
        <v>2116494</v>
      </c>
      <c r="D2360" s="1" t="s">
        <v>25</v>
      </c>
      <c r="E2360" s="36">
        <v>43891</v>
      </c>
      <c r="F2360" s="36">
        <v>44012</v>
      </c>
      <c r="G2360" s="38">
        <f t="shared" si="36"/>
        <v>121</v>
      </c>
      <c r="H2360" s="5">
        <v>43917</v>
      </c>
      <c r="I2360" s="5">
        <v>44000</v>
      </c>
      <c r="J2360" s="1" t="s">
        <v>26</v>
      </c>
      <c r="K2360" s="1" t="s">
        <v>5095</v>
      </c>
      <c r="L2360" s="1" t="s">
        <v>5096</v>
      </c>
      <c r="M2360" s="1" t="s">
        <v>5097</v>
      </c>
      <c r="N2360" s="1" t="s">
        <v>30</v>
      </c>
      <c r="O2360" s="1" t="s">
        <v>45</v>
      </c>
      <c r="P2360" s="1" t="s">
        <v>104</v>
      </c>
      <c r="Q2360" s="1" t="s">
        <v>105</v>
      </c>
      <c r="R2360" s="1" t="s">
        <v>33</v>
      </c>
      <c r="S2360" s="1"/>
      <c r="U2360" s="1" t="s">
        <v>35</v>
      </c>
      <c r="V2360" s="1" t="s">
        <v>49</v>
      </c>
      <c r="W2360" s="1" t="str">
        <f>VLOOKUP(Table1[[#This Row],[Obergruppe ATC-Code]],Tabelle3!$A$2:$B$100,2)</f>
        <v>ANALGETIKA</v>
      </c>
      <c r="X2360" s="1" t="str">
        <f xml:space="preserve"> LEFT(Table1[[#This Row],[Atc Code]],3)</f>
        <v>N02</v>
      </c>
    </row>
    <row r="2361" spans="1:24" ht="14.4">
      <c r="A2361" s="14">
        <v>242</v>
      </c>
      <c r="B2361" s="24">
        <v>1384563</v>
      </c>
      <c r="C2361" s="1">
        <v>2116494</v>
      </c>
      <c r="D2361" s="1" t="s">
        <v>25</v>
      </c>
      <c r="E2361" s="36">
        <v>44683</v>
      </c>
      <c r="F2361" s="36">
        <v>44726</v>
      </c>
      <c r="G2361" s="38">
        <f t="shared" si="36"/>
        <v>43</v>
      </c>
      <c r="H2361" s="5">
        <v>44683</v>
      </c>
      <c r="I2361" s="5">
        <v>44726</v>
      </c>
      <c r="J2361" s="1" t="s">
        <v>41</v>
      </c>
      <c r="K2361" s="1" t="s">
        <v>5095</v>
      </c>
      <c r="L2361" s="1" t="s">
        <v>5096</v>
      </c>
      <c r="M2361" s="1" t="s">
        <v>5097</v>
      </c>
      <c r="N2361" s="1" t="s">
        <v>30</v>
      </c>
      <c r="O2361" s="1" t="s">
        <v>45</v>
      </c>
      <c r="P2361" s="1" t="s">
        <v>2433</v>
      </c>
      <c r="Q2361" s="1" t="s">
        <v>1300</v>
      </c>
      <c r="R2361" s="1" t="s">
        <v>128</v>
      </c>
      <c r="S2361" s="1"/>
      <c r="U2361" s="1" t="s">
        <v>130</v>
      </c>
      <c r="V2361" s="1" t="s">
        <v>49</v>
      </c>
      <c r="W2361" s="1" t="str">
        <f>VLOOKUP(Table1[[#This Row],[Obergruppe ATC-Code]],Tabelle3!$A$2:$B$100,2)</f>
        <v>ANALGETIKA</v>
      </c>
      <c r="X2361" s="1" t="str">
        <f xml:space="preserve"> LEFT(Table1[[#This Row],[Atc Code]],3)</f>
        <v>N02</v>
      </c>
    </row>
    <row r="2362" spans="1:24" ht="14.4">
      <c r="A2362" s="14">
        <v>1770</v>
      </c>
      <c r="B2362" s="24" t="s">
        <v>5098</v>
      </c>
      <c r="C2362" s="1" t="s">
        <v>5099</v>
      </c>
      <c r="D2362" s="1" t="s">
        <v>175</v>
      </c>
      <c r="E2362" s="36">
        <v>45135</v>
      </c>
      <c r="F2362" s="36">
        <v>45260</v>
      </c>
      <c r="G2362" s="38">
        <f t="shared" si="36"/>
        <v>125</v>
      </c>
      <c r="H2362" s="5">
        <v>45125</v>
      </c>
      <c r="I2362" s="5">
        <v>45125</v>
      </c>
      <c r="J2362" s="1" t="s">
        <v>26</v>
      </c>
      <c r="K2362" s="1" t="s">
        <v>5100</v>
      </c>
      <c r="L2362" s="1" t="s">
        <v>5096</v>
      </c>
      <c r="M2362" s="1" t="s">
        <v>5097</v>
      </c>
      <c r="N2362" s="1" t="s">
        <v>30</v>
      </c>
      <c r="O2362" s="1" t="s">
        <v>5101</v>
      </c>
      <c r="Q2362" s="1" t="s">
        <v>5102</v>
      </c>
      <c r="R2362" s="1" t="s">
        <v>113</v>
      </c>
      <c r="S2362" s="1"/>
      <c r="U2362" s="1" t="s">
        <v>35</v>
      </c>
      <c r="V2362" s="1" t="s">
        <v>74</v>
      </c>
      <c r="W2362" s="1" t="str">
        <f>VLOOKUP(Table1[[#This Row],[Obergruppe ATC-Code]],Tabelle3!$A$2:$B$100,2)</f>
        <v>ANALGETIKA</v>
      </c>
      <c r="X2362" s="1" t="str">
        <f xml:space="preserve"> LEFT(Table1[[#This Row],[Atc Code]],3)</f>
        <v>N02</v>
      </c>
    </row>
    <row r="2363" spans="1:24" ht="14.4">
      <c r="A2363" s="14">
        <v>2433</v>
      </c>
      <c r="B2363" s="24" t="s">
        <v>5103</v>
      </c>
      <c r="C2363" s="1">
        <v>866455</v>
      </c>
      <c r="D2363" s="1" t="s">
        <v>102</v>
      </c>
      <c r="E2363" s="36">
        <v>45103</v>
      </c>
      <c r="F2363" s="36">
        <v>45236</v>
      </c>
      <c r="G2363" s="38">
        <f t="shared" si="36"/>
        <v>133</v>
      </c>
      <c r="H2363" s="5">
        <v>45112</v>
      </c>
      <c r="I2363" s="5">
        <v>45204</v>
      </c>
      <c r="J2363" s="1" t="s">
        <v>41</v>
      </c>
      <c r="K2363" s="1" t="s">
        <v>5104</v>
      </c>
      <c r="L2363" s="1" t="s">
        <v>5096</v>
      </c>
      <c r="M2363" s="1" t="s">
        <v>5097</v>
      </c>
      <c r="N2363" s="1" t="s">
        <v>30</v>
      </c>
      <c r="O2363" s="1" t="s">
        <v>554</v>
      </c>
      <c r="P2363" s="1" t="s">
        <v>5105</v>
      </c>
      <c r="Q2363" s="1" t="s">
        <v>555</v>
      </c>
      <c r="R2363" s="1" t="s">
        <v>26</v>
      </c>
      <c r="S2363" s="1" t="s">
        <v>5106</v>
      </c>
      <c r="U2363" s="1" t="s">
        <v>130</v>
      </c>
      <c r="V2363" s="1" t="s">
        <v>74</v>
      </c>
      <c r="W2363" s="1" t="str">
        <f>VLOOKUP(Table1[[#This Row],[Obergruppe ATC-Code]],Tabelle3!$A$2:$B$100,2)</f>
        <v>ANALGETIKA</v>
      </c>
      <c r="X2363" s="1" t="str">
        <f xml:space="preserve"> LEFT(Table1[[#This Row],[Atc Code]],3)</f>
        <v>N02</v>
      </c>
    </row>
    <row r="2364" spans="1:24" ht="14.4">
      <c r="A2364" s="14">
        <v>1036</v>
      </c>
      <c r="B2364" s="24">
        <v>8871585</v>
      </c>
      <c r="C2364" s="1">
        <v>1461996</v>
      </c>
      <c r="D2364" s="1" t="s">
        <v>102</v>
      </c>
      <c r="E2364" s="36">
        <v>45103</v>
      </c>
      <c r="F2364" s="36">
        <v>45230</v>
      </c>
      <c r="G2364" s="38">
        <f t="shared" si="36"/>
        <v>127</v>
      </c>
      <c r="H2364" s="5">
        <v>45112</v>
      </c>
      <c r="I2364" s="5">
        <v>45204</v>
      </c>
      <c r="J2364" s="1" t="s">
        <v>26</v>
      </c>
      <c r="K2364" s="1" t="s">
        <v>5107</v>
      </c>
      <c r="L2364" s="1" t="s">
        <v>5096</v>
      </c>
      <c r="M2364" s="1" t="s">
        <v>5097</v>
      </c>
      <c r="N2364" s="1" t="s">
        <v>30</v>
      </c>
      <c r="O2364" s="1" t="s">
        <v>554</v>
      </c>
      <c r="P2364" s="1" t="s">
        <v>266</v>
      </c>
      <c r="Q2364" s="1" t="s">
        <v>555</v>
      </c>
      <c r="R2364" s="1" t="s">
        <v>26</v>
      </c>
      <c r="S2364" s="1" t="s">
        <v>5108</v>
      </c>
      <c r="U2364" s="1" t="s">
        <v>130</v>
      </c>
      <c r="V2364" s="1" t="s">
        <v>74</v>
      </c>
      <c r="W2364" s="1" t="str">
        <f>VLOOKUP(Table1[[#This Row],[Obergruppe ATC-Code]],Tabelle3!$A$2:$B$100,2)</f>
        <v>ANALGETIKA</v>
      </c>
      <c r="X2364" s="1" t="str">
        <f xml:space="preserve"> LEFT(Table1[[#This Row],[Atc Code]],3)</f>
        <v>N02</v>
      </c>
    </row>
    <row r="2365" spans="1:24" ht="14.4">
      <c r="A2365" s="14">
        <v>2992</v>
      </c>
      <c r="B2365" s="24" t="s">
        <v>5109</v>
      </c>
      <c r="C2365" s="1">
        <v>5010478</v>
      </c>
      <c r="D2365" s="1" t="s">
        <v>25</v>
      </c>
      <c r="E2365" s="36">
        <v>43922</v>
      </c>
      <c r="F2365" s="36">
        <v>43951</v>
      </c>
      <c r="G2365" s="38">
        <f t="shared" si="36"/>
        <v>29</v>
      </c>
      <c r="H2365" s="5">
        <v>43928</v>
      </c>
      <c r="I2365" s="5">
        <v>43949</v>
      </c>
      <c r="J2365" s="1" t="s">
        <v>26</v>
      </c>
      <c r="K2365" s="1" t="s">
        <v>5110</v>
      </c>
      <c r="L2365" s="1" t="s">
        <v>5111</v>
      </c>
      <c r="M2365" s="1" t="s">
        <v>5112</v>
      </c>
      <c r="N2365" s="1" t="s">
        <v>30</v>
      </c>
      <c r="O2365" s="1" t="s">
        <v>110</v>
      </c>
      <c r="P2365" s="1" t="s">
        <v>111</v>
      </c>
      <c r="Q2365" s="1" t="s">
        <v>112</v>
      </c>
      <c r="R2365" s="1" t="s">
        <v>33</v>
      </c>
      <c r="S2365" s="1"/>
      <c r="U2365" s="1" t="s">
        <v>35</v>
      </c>
      <c r="V2365" s="1" t="s">
        <v>49</v>
      </c>
      <c r="W2365" s="1" t="str">
        <f>VLOOKUP(Table1[[#This Row],[Obergruppe ATC-Code]],Tabelle3!$A$2:$B$100,2)</f>
        <v>ANALGETIKA</v>
      </c>
      <c r="X2365" s="1" t="str">
        <f xml:space="preserve"> LEFT(Table1[[#This Row],[Atc Code]],3)</f>
        <v>N02</v>
      </c>
    </row>
    <row r="2366" spans="1:24" ht="14.4">
      <c r="A2366" s="14">
        <v>2049</v>
      </c>
      <c r="B2366" s="24" t="s">
        <v>5113</v>
      </c>
      <c r="C2366" s="1">
        <v>5011790</v>
      </c>
      <c r="D2366" s="1" t="s">
        <v>25</v>
      </c>
      <c r="E2366" s="36">
        <v>43891</v>
      </c>
      <c r="F2366" s="36">
        <v>43982</v>
      </c>
      <c r="G2366" s="38">
        <f t="shared" si="36"/>
        <v>91</v>
      </c>
      <c r="H2366" s="5">
        <v>43910</v>
      </c>
      <c r="I2366" s="5">
        <v>43962</v>
      </c>
      <c r="J2366" s="1" t="s">
        <v>41</v>
      </c>
      <c r="K2366" s="1" t="s">
        <v>5114</v>
      </c>
      <c r="L2366" s="1" t="s">
        <v>5111</v>
      </c>
      <c r="M2366" s="1" t="s">
        <v>5112</v>
      </c>
      <c r="N2366" s="1" t="s">
        <v>38</v>
      </c>
      <c r="O2366" s="1" t="s">
        <v>91</v>
      </c>
      <c r="P2366" s="1" t="s">
        <v>92</v>
      </c>
      <c r="Q2366" s="1" t="s">
        <v>93</v>
      </c>
      <c r="R2366" s="1" t="s">
        <v>48</v>
      </c>
      <c r="S2366" s="1"/>
      <c r="U2366" s="1" t="s">
        <v>35</v>
      </c>
      <c r="V2366" s="1" t="s">
        <v>49</v>
      </c>
      <c r="W2366" s="1" t="str">
        <f>VLOOKUP(Table1[[#This Row],[Obergruppe ATC-Code]],Tabelle3!$A$2:$B$100,2)</f>
        <v>ANALGETIKA</v>
      </c>
      <c r="X2366" s="1" t="str">
        <f xml:space="preserve"> LEFT(Table1[[#This Row],[Atc Code]],3)</f>
        <v>N02</v>
      </c>
    </row>
    <row r="2367" spans="1:24" ht="14.4">
      <c r="A2367" s="14">
        <v>410</v>
      </c>
      <c r="B2367" s="25">
        <v>2481570</v>
      </c>
      <c r="C2367" s="1">
        <v>5012012</v>
      </c>
      <c r="D2367" s="1" t="s">
        <v>25</v>
      </c>
      <c r="E2367" s="36">
        <v>43891</v>
      </c>
      <c r="F2367" s="36">
        <v>43982</v>
      </c>
      <c r="G2367" s="38">
        <f t="shared" si="36"/>
        <v>91</v>
      </c>
      <c r="H2367" s="5">
        <v>43910</v>
      </c>
      <c r="I2367" s="5">
        <v>43962</v>
      </c>
      <c r="J2367" s="1" t="s">
        <v>41</v>
      </c>
      <c r="K2367" s="1" t="s">
        <v>5115</v>
      </c>
      <c r="L2367" s="1" t="s">
        <v>5111</v>
      </c>
      <c r="M2367" s="1" t="s">
        <v>5112</v>
      </c>
      <c r="N2367" s="1" t="s">
        <v>38</v>
      </c>
      <c r="O2367" s="1" t="s">
        <v>52</v>
      </c>
      <c r="P2367" s="1" t="s">
        <v>53</v>
      </c>
      <c r="Q2367" s="1" t="s">
        <v>54</v>
      </c>
      <c r="R2367" s="1" t="s">
        <v>48</v>
      </c>
      <c r="S2367" s="1"/>
      <c r="U2367" s="1" t="s">
        <v>35</v>
      </c>
      <c r="V2367" s="1" t="s">
        <v>49</v>
      </c>
      <c r="W2367" s="1" t="str">
        <f>VLOOKUP(Table1[[#This Row],[Obergruppe ATC-Code]],Tabelle3!$A$2:$B$100,2)</f>
        <v>ANALGETIKA</v>
      </c>
      <c r="X2367" s="1" t="str">
        <f xml:space="preserve"> LEFT(Table1[[#This Row],[Atc Code]],3)</f>
        <v>N02</v>
      </c>
    </row>
    <row r="2368" spans="1:24" ht="14.4">
      <c r="A2368" s="14">
        <v>1497</v>
      </c>
      <c r="B2368" s="25">
        <v>15743853</v>
      </c>
      <c r="C2368" s="1">
        <v>5105211</v>
      </c>
      <c r="D2368" s="1" t="s">
        <v>25</v>
      </c>
      <c r="E2368" s="36">
        <v>43922</v>
      </c>
      <c r="F2368" s="36">
        <v>44043</v>
      </c>
      <c r="G2368" s="38">
        <f t="shared" si="36"/>
        <v>121</v>
      </c>
      <c r="H2368" s="5">
        <v>43944</v>
      </c>
      <c r="I2368" s="5">
        <v>44036</v>
      </c>
      <c r="J2368" s="1" t="s">
        <v>41</v>
      </c>
      <c r="K2368" s="1" t="s">
        <v>5116</v>
      </c>
      <c r="L2368" s="1" t="s">
        <v>5111</v>
      </c>
      <c r="M2368" s="1" t="s">
        <v>5112</v>
      </c>
      <c r="N2368" s="1" t="s">
        <v>38</v>
      </c>
      <c r="O2368" s="1" t="s">
        <v>265</v>
      </c>
      <c r="P2368" s="1" t="s">
        <v>266</v>
      </c>
      <c r="Q2368" s="1" t="s">
        <v>267</v>
      </c>
      <c r="R2368" s="1" t="s">
        <v>26</v>
      </c>
      <c r="S2368" s="1"/>
      <c r="U2368" s="1" t="s">
        <v>35</v>
      </c>
      <c r="V2368" s="1" t="s">
        <v>49</v>
      </c>
      <c r="W2368" s="1" t="str">
        <f>VLOOKUP(Table1[[#This Row],[Obergruppe ATC-Code]],Tabelle3!$A$2:$B$100,2)</f>
        <v>ANALGETIKA</v>
      </c>
      <c r="X2368" s="1" t="str">
        <f xml:space="preserve"> LEFT(Table1[[#This Row],[Atc Code]],3)</f>
        <v>N02</v>
      </c>
    </row>
    <row r="2369" spans="1:24" ht="14.4">
      <c r="A2369" s="14">
        <v>310</v>
      </c>
      <c r="B2369" s="24">
        <v>1970485</v>
      </c>
      <c r="C2369" s="1">
        <v>2125627</v>
      </c>
      <c r="D2369" s="1" t="s">
        <v>25</v>
      </c>
      <c r="E2369" s="36">
        <v>43891</v>
      </c>
      <c r="F2369" s="36">
        <v>44074</v>
      </c>
      <c r="G2369" s="38">
        <f t="shared" si="36"/>
        <v>183</v>
      </c>
      <c r="H2369" s="5">
        <v>43910</v>
      </c>
      <c r="I2369" s="5">
        <v>44071</v>
      </c>
      <c r="J2369" s="1" t="s">
        <v>41</v>
      </c>
      <c r="K2369" s="1" t="s">
        <v>5117</v>
      </c>
      <c r="L2369" s="1" t="s">
        <v>5111</v>
      </c>
      <c r="M2369" s="1" t="s">
        <v>5112</v>
      </c>
      <c r="N2369" s="1" t="s">
        <v>38</v>
      </c>
      <c r="O2369" s="1" t="s">
        <v>52</v>
      </c>
      <c r="P2369" s="1" t="s">
        <v>53</v>
      </c>
      <c r="Q2369" s="1" t="s">
        <v>54</v>
      </c>
      <c r="R2369" s="1" t="s">
        <v>48</v>
      </c>
      <c r="S2369" s="1"/>
      <c r="U2369" s="1" t="s">
        <v>35</v>
      </c>
      <c r="V2369" s="1" t="s">
        <v>1292</v>
      </c>
      <c r="W2369" s="1" t="str">
        <f>VLOOKUP(Table1[[#This Row],[Obergruppe ATC-Code]],Tabelle3!$A$2:$B$100,2)</f>
        <v>ANALGETIKA</v>
      </c>
      <c r="X2369" s="1" t="str">
        <f xml:space="preserve"> LEFT(Table1[[#This Row],[Atc Code]],3)</f>
        <v>N02</v>
      </c>
    </row>
    <row r="2370" spans="1:24" ht="14.4">
      <c r="A2370" s="14">
        <v>674</v>
      </c>
      <c r="B2370" s="25">
        <v>4478201</v>
      </c>
      <c r="C2370" s="1">
        <v>5013484</v>
      </c>
      <c r="D2370" s="1" t="s">
        <v>25</v>
      </c>
      <c r="E2370" s="36">
        <v>43891</v>
      </c>
      <c r="F2370" s="36">
        <v>44286</v>
      </c>
      <c r="G2370" s="38">
        <f t="shared" ref="G2370:G2433" si="37">F2370-E2370</f>
        <v>395</v>
      </c>
      <c r="H2370" s="5">
        <v>43910</v>
      </c>
      <c r="I2370" s="5">
        <v>44208</v>
      </c>
      <c r="J2370" s="1" t="s">
        <v>41</v>
      </c>
      <c r="K2370" s="1" t="s">
        <v>5118</v>
      </c>
      <c r="L2370" s="1" t="s">
        <v>5111</v>
      </c>
      <c r="M2370" s="1" t="s">
        <v>5112</v>
      </c>
      <c r="N2370" s="1" t="s">
        <v>38</v>
      </c>
      <c r="O2370" s="1" t="s">
        <v>52</v>
      </c>
      <c r="P2370" s="1" t="s">
        <v>53</v>
      </c>
      <c r="Q2370" s="1" t="s">
        <v>54</v>
      </c>
      <c r="R2370" s="1" t="s">
        <v>48</v>
      </c>
      <c r="S2370" s="1"/>
      <c r="U2370" s="1" t="s">
        <v>35</v>
      </c>
      <c r="V2370" s="1" t="s">
        <v>1348</v>
      </c>
      <c r="W2370" s="1" t="str">
        <f>VLOOKUP(Table1[[#This Row],[Obergruppe ATC-Code]],Tabelle3!$A$2:$B$100,2)</f>
        <v>ANALGETIKA</v>
      </c>
      <c r="X2370" s="1" t="str">
        <f xml:space="preserve"> LEFT(Table1[[#This Row],[Atc Code]],3)</f>
        <v>N02</v>
      </c>
    </row>
    <row r="2371" spans="1:24" ht="14.4">
      <c r="A2371" s="14">
        <v>673</v>
      </c>
      <c r="B2371" s="25">
        <v>4478187</v>
      </c>
      <c r="C2371" s="1">
        <v>5013482</v>
      </c>
      <c r="D2371" s="1" t="s">
        <v>25</v>
      </c>
      <c r="E2371" s="36">
        <v>43891</v>
      </c>
      <c r="F2371" s="36">
        <v>44255</v>
      </c>
      <c r="G2371" s="38">
        <f t="shared" si="37"/>
        <v>364</v>
      </c>
      <c r="H2371" s="5">
        <v>43910</v>
      </c>
      <c r="I2371" s="5">
        <v>44208</v>
      </c>
      <c r="J2371" s="1" t="s">
        <v>41</v>
      </c>
      <c r="K2371" s="1" t="s">
        <v>5119</v>
      </c>
      <c r="L2371" s="1" t="s">
        <v>5111</v>
      </c>
      <c r="M2371" s="1" t="s">
        <v>5112</v>
      </c>
      <c r="N2371" s="1" t="s">
        <v>38</v>
      </c>
      <c r="O2371" s="1" t="s">
        <v>52</v>
      </c>
      <c r="P2371" s="1" t="s">
        <v>53</v>
      </c>
      <c r="Q2371" s="1" t="s">
        <v>54</v>
      </c>
      <c r="R2371" s="1" t="s">
        <v>48</v>
      </c>
      <c r="S2371" s="1"/>
      <c r="U2371" s="1" t="s">
        <v>35</v>
      </c>
      <c r="V2371" s="1" t="s">
        <v>1348</v>
      </c>
      <c r="W2371" s="1" t="str">
        <f>VLOOKUP(Table1[[#This Row],[Obergruppe ATC-Code]],Tabelle3!$A$2:$B$100,2)</f>
        <v>ANALGETIKA</v>
      </c>
      <c r="X2371" s="1" t="str">
        <f xml:space="preserve"> LEFT(Table1[[#This Row],[Atc Code]],3)</f>
        <v>N02</v>
      </c>
    </row>
    <row r="2372" spans="1:24" ht="14.4">
      <c r="A2372" s="14">
        <v>1039</v>
      </c>
      <c r="B2372" s="24">
        <v>8881649</v>
      </c>
      <c r="C2372" s="1">
        <v>5104359</v>
      </c>
      <c r="D2372" s="1" t="s">
        <v>25</v>
      </c>
      <c r="E2372" s="36">
        <v>43891</v>
      </c>
      <c r="F2372" s="36">
        <v>45077</v>
      </c>
      <c r="G2372" s="38">
        <f t="shared" si="37"/>
        <v>1186</v>
      </c>
      <c r="H2372" s="5">
        <v>43962</v>
      </c>
      <c r="I2372" s="5">
        <v>45086</v>
      </c>
      <c r="J2372" s="1" t="s">
        <v>41</v>
      </c>
      <c r="K2372" s="1" t="s">
        <v>5120</v>
      </c>
      <c r="L2372" s="1" t="s">
        <v>5111</v>
      </c>
      <c r="M2372" s="1" t="s">
        <v>5112</v>
      </c>
      <c r="N2372" s="1" t="s">
        <v>30</v>
      </c>
      <c r="O2372" s="1" t="s">
        <v>1682</v>
      </c>
      <c r="P2372" s="1" t="s">
        <v>5121</v>
      </c>
      <c r="Q2372" s="1" t="s">
        <v>1684</v>
      </c>
      <c r="R2372" s="1" t="s">
        <v>48</v>
      </c>
      <c r="S2372" s="1"/>
      <c r="U2372" s="1" t="s">
        <v>35</v>
      </c>
      <c r="V2372" s="1" t="s">
        <v>49</v>
      </c>
      <c r="W2372" s="1" t="str">
        <f>VLOOKUP(Table1[[#This Row],[Obergruppe ATC-Code]],Tabelle3!$A$2:$B$100,2)</f>
        <v>ANALGETIKA</v>
      </c>
      <c r="X2372" s="1" t="str">
        <f xml:space="preserve"> LEFT(Table1[[#This Row],[Atc Code]],3)</f>
        <v>N02</v>
      </c>
    </row>
    <row r="2373" spans="1:24" ht="14.4">
      <c r="A2373" s="14">
        <v>1180</v>
      </c>
      <c r="B2373" s="24">
        <v>10280791</v>
      </c>
      <c r="C2373" s="1">
        <v>2183987</v>
      </c>
      <c r="D2373" s="1" t="s">
        <v>25</v>
      </c>
      <c r="E2373" s="36">
        <v>45146</v>
      </c>
      <c r="F2373" s="36">
        <v>45198</v>
      </c>
      <c r="G2373" s="38">
        <f t="shared" si="37"/>
        <v>52</v>
      </c>
      <c r="H2373" s="5">
        <v>45146</v>
      </c>
      <c r="I2373" s="5">
        <v>45204</v>
      </c>
      <c r="J2373" s="1" t="s">
        <v>41</v>
      </c>
      <c r="K2373" s="1" t="s">
        <v>5122</v>
      </c>
      <c r="L2373" s="1" t="s">
        <v>5111</v>
      </c>
      <c r="M2373" s="1" t="s">
        <v>5112</v>
      </c>
      <c r="N2373" s="1" t="s">
        <v>30</v>
      </c>
      <c r="O2373" s="1" t="s">
        <v>213</v>
      </c>
      <c r="P2373" s="1">
        <v>566191477309</v>
      </c>
      <c r="Q2373" s="1" t="s">
        <v>5123</v>
      </c>
      <c r="R2373" s="1" t="s">
        <v>65</v>
      </c>
      <c r="S2373" s="1"/>
      <c r="U2373" s="1" t="s">
        <v>130</v>
      </c>
      <c r="V2373" s="1" t="s">
        <v>648</v>
      </c>
      <c r="W2373" s="1" t="str">
        <f>VLOOKUP(Table1[[#This Row],[Obergruppe ATC-Code]],Tabelle3!$A$2:$B$100,2)</f>
        <v>ANALGETIKA</v>
      </c>
      <c r="X2373" s="1" t="str">
        <f xml:space="preserve"> LEFT(Table1[[#This Row],[Atc Code]],3)</f>
        <v>N02</v>
      </c>
    </row>
    <row r="2374" spans="1:24" ht="14.4">
      <c r="A2374" s="14">
        <v>1167</v>
      </c>
      <c r="B2374" s="24">
        <v>9947221</v>
      </c>
      <c r="C2374" s="1">
        <v>2178496</v>
      </c>
      <c r="D2374" s="1" t="s">
        <v>25</v>
      </c>
      <c r="E2374" s="36">
        <v>43739</v>
      </c>
      <c r="F2374" s="36">
        <v>43830</v>
      </c>
      <c r="G2374" s="38">
        <f t="shared" si="37"/>
        <v>91</v>
      </c>
      <c r="H2374" s="5">
        <v>43780</v>
      </c>
      <c r="I2374" s="5">
        <v>43864</v>
      </c>
      <c r="J2374" s="1" t="s">
        <v>41</v>
      </c>
      <c r="K2374" s="1" t="s">
        <v>5124</v>
      </c>
      <c r="L2374" s="1" t="s">
        <v>5125</v>
      </c>
      <c r="M2374" s="1" t="s">
        <v>5126</v>
      </c>
      <c r="N2374" s="1" t="s">
        <v>38</v>
      </c>
      <c r="O2374" s="1" t="s">
        <v>1440</v>
      </c>
      <c r="P2374" s="1" t="s">
        <v>1441</v>
      </c>
      <c r="Q2374" s="1" t="s">
        <v>1442</v>
      </c>
      <c r="R2374" s="1" t="s">
        <v>26</v>
      </c>
      <c r="S2374" s="1"/>
      <c r="U2374" s="1" t="s">
        <v>35</v>
      </c>
      <c r="V2374" s="1" t="s">
        <v>216</v>
      </c>
      <c r="W2374" s="1" t="str">
        <f>VLOOKUP(Table1[[#This Row],[Obergruppe ATC-Code]],Tabelle3!$A$2:$B$100,2)</f>
        <v>ANALGETIKA</v>
      </c>
      <c r="X2374" s="1" t="str">
        <f xml:space="preserve"> LEFT(Table1[[#This Row],[Atc Code]],3)</f>
        <v>N02</v>
      </c>
    </row>
    <row r="2375" spans="1:24" ht="14.4">
      <c r="A2375" s="14">
        <v>62</v>
      </c>
      <c r="B2375" s="24">
        <v>417013</v>
      </c>
      <c r="C2375" s="1">
        <v>2178495</v>
      </c>
      <c r="D2375" s="1" t="s">
        <v>25</v>
      </c>
      <c r="E2375" s="36">
        <v>43739</v>
      </c>
      <c r="F2375" s="36">
        <v>43861</v>
      </c>
      <c r="G2375" s="38">
        <f t="shared" si="37"/>
        <v>122</v>
      </c>
      <c r="H2375" s="5">
        <v>43780</v>
      </c>
      <c r="I2375" s="5">
        <v>43864</v>
      </c>
      <c r="J2375" s="1" t="s">
        <v>41</v>
      </c>
      <c r="K2375" s="1" t="s">
        <v>5127</v>
      </c>
      <c r="L2375" s="1" t="s">
        <v>5125</v>
      </c>
      <c r="M2375" s="1" t="s">
        <v>5126</v>
      </c>
      <c r="N2375" s="1" t="s">
        <v>38</v>
      </c>
      <c r="O2375" s="1" t="s">
        <v>1440</v>
      </c>
      <c r="P2375" s="1" t="s">
        <v>1441</v>
      </c>
      <c r="Q2375" s="1" t="s">
        <v>1442</v>
      </c>
      <c r="R2375" s="1" t="s">
        <v>26</v>
      </c>
      <c r="S2375" s="1"/>
      <c r="U2375" s="1" t="s">
        <v>35</v>
      </c>
      <c r="V2375" s="1" t="s">
        <v>216</v>
      </c>
      <c r="W2375" s="1" t="str">
        <f>VLOOKUP(Table1[[#This Row],[Obergruppe ATC-Code]],Tabelle3!$A$2:$B$100,2)</f>
        <v>ANALGETIKA</v>
      </c>
      <c r="X2375" s="1" t="str">
        <f xml:space="preserve"> LEFT(Table1[[#This Row],[Atc Code]],3)</f>
        <v>N02</v>
      </c>
    </row>
    <row r="2376" spans="1:24" ht="14.4">
      <c r="A2376" s="14">
        <v>1161</v>
      </c>
      <c r="B2376" s="24">
        <v>9947072</v>
      </c>
      <c r="C2376" s="1">
        <v>2176202</v>
      </c>
      <c r="D2376" s="1" t="s">
        <v>25</v>
      </c>
      <c r="E2376" s="36">
        <v>43862</v>
      </c>
      <c r="F2376" s="36">
        <v>43982</v>
      </c>
      <c r="G2376" s="38">
        <f t="shared" si="37"/>
        <v>120</v>
      </c>
      <c r="H2376" s="5">
        <v>43901</v>
      </c>
      <c r="I2376" s="5">
        <v>43963</v>
      </c>
      <c r="J2376" s="1" t="s">
        <v>41</v>
      </c>
      <c r="K2376" s="1" t="s">
        <v>5128</v>
      </c>
      <c r="L2376" s="1" t="s">
        <v>5125</v>
      </c>
      <c r="M2376" s="1" t="s">
        <v>5126</v>
      </c>
      <c r="N2376" s="1" t="s">
        <v>38</v>
      </c>
      <c r="O2376" s="1" t="s">
        <v>1440</v>
      </c>
      <c r="P2376" s="1" t="s">
        <v>1441</v>
      </c>
      <c r="Q2376" s="1" t="s">
        <v>1442</v>
      </c>
      <c r="R2376" s="1" t="s">
        <v>48</v>
      </c>
      <c r="S2376" s="1"/>
      <c r="U2376" s="1" t="s">
        <v>35</v>
      </c>
      <c r="V2376" s="1" t="s">
        <v>49</v>
      </c>
      <c r="W2376" s="1" t="str">
        <f>VLOOKUP(Table1[[#This Row],[Obergruppe ATC-Code]],Tabelle3!$A$2:$B$100,2)</f>
        <v>ANALGETIKA</v>
      </c>
      <c r="X2376" s="1" t="str">
        <f xml:space="preserve"> LEFT(Table1[[#This Row],[Atc Code]],3)</f>
        <v>N02</v>
      </c>
    </row>
    <row r="2377" spans="1:24" ht="14.4">
      <c r="A2377" s="14">
        <v>1166</v>
      </c>
      <c r="B2377" s="24">
        <v>9947221</v>
      </c>
      <c r="C2377" s="1">
        <v>2178496</v>
      </c>
      <c r="D2377" s="1" t="s">
        <v>25</v>
      </c>
      <c r="E2377" s="36">
        <v>43891</v>
      </c>
      <c r="F2377" s="36">
        <v>44043</v>
      </c>
      <c r="G2377" s="38">
        <f t="shared" si="37"/>
        <v>152</v>
      </c>
      <c r="H2377" s="5">
        <v>43928</v>
      </c>
      <c r="I2377" s="5">
        <v>44015</v>
      </c>
      <c r="J2377" s="1" t="s">
        <v>41</v>
      </c>
      <c r="K2377" s="1" t="s">
        <v>5124</v>
      </c>
      <c r="L2377" s="1" t="s">
        <v>5125</v>
      </c>
      <c r="M2377" s="1" t="s">
        <v>5126</v>
      </c>
      <c r="N2377" s="1" t="s">
        <v>38</v>
      </c>
      <c r="O2377" s="1" t="s">
        <v>1440</v>
      </c>
      <c r="P2377" s="1" t="s">
        <v>1441</v>
      </c>
      <c r="Q2377" s="1" t="s">
        <v>1442</v>
      </c>
      <c r="R2377" s="1" t="s">
        <v>26</v>
      </c>
      <c r="S2377" s="1"/>
      <c r="U2377" s="1" t="s">
        <v>35</v>
      </c>
      <c r="V2377" s="1" t="s">
        <v>216</v>
      </c>
      <c r="W2377" s="1" t="str">
        <f>VLOOKUP(Table1[[#This Row],[Obergruppe ATC-Code]],Tabelle3!$A$2:$B$100,2)</f>
        <v>ANALGETIKA</v>
      </c>
      <c r="X2377" s="1" t="str">
        <f xml:space="preserve"> LEFT(Table1[[#This Row],[Atc Code]],3)</f>
        <v>N02</v>
      </c>
    </row>
    <row r="2378" spans="1:24" ht="14.4">
      <c r="A2378" s="14">
        <v>61</v>
      </c>
      <c r="B2378" s="24">
        <v>417013</v>
      </c>
      <c r="C2378" s="1">
        <v>2178495</v>
      </c>
      <c r="D2378" s="1" t="s">
        <v>25</v>
      </c>
      <c r="E2378" s="36">
        <v>43891</v>
      </c>
      <c r="F2378" s="36">
        <v>44043</v>
      </c>
      <c r="G2378" s="38">
        <f t="shared" si="37"/>
        <v>152</v>
      </c>
      <c r="H2378" s="5">
        <v>43928</v>
      </c>
      <c r="I2378" s="5">
        <v>44015</v>
      </c>
      <c r="J2378" s="1" t="s">
        <v>41</v>
      </c>
      <c r="K2378" s="1" t="s">
        <v>5127</v>
      </c>
      <c r="L2378" s="1" t="s">
        <v>5125</v>
      </c>
      <c r="M2378" s="1" t="s">
        <v>5126</v>
      </c>
      <c r="N2378" s="1" t="s">
        <v>38</v>
      </c>
      <c r="O2378" s="1" t="s">
        <v>1440</v>
      </c>
      <c r="P2378" s="1" t="s">
        <v>1441</v>
      </c>
      <c r="Q2378" s="1" t="s">
        <v>1442</v>
      </c>
      <c r="R2378" s="1" t="s">
        <v>26</v>
      </c>
      <c r="S2378" s="1"/>
      <c r="U2378" s="1" t="s">
        <v>35</v>
      </c>
      <c r="V2378" s="1" t="s">
        <v>216</v>
      </c>
      <c r="W2378" s="1" t="str">
        <f>VLOOKUP(Table1[[#This Row],[Obergruppe ATC-Code]],Tabelle3!$A$2:$B$100,2)</f>
        <v>ANALGETIKA</v>
      </c>
      <c r="X2378" s="1" t="str">
        <f xml:space="preserve"> LEFT(Table1[[#This Row],[Atc Code]],3)</f>
        <v>N02</v>
      </c>
    </row>
    <row r="2379" spans="1:24" ht="14.4">
      <c r="A2379" s="14">
        <v>1160</v>
      </c>
      <c r="B2379" s="24">
        <v>9947072</v>
      </c>
      <c r="C2379" s="1">
        <v>2176202</v>
      </c>
      <c r="D2379" s="1" t="s">
        <v>25</v>
      </c>
      <c r="E2379" s="36">
        <v>44136</v>
      </c>
      <c r="F2379" s="36">
        <v>44196</v>
      </c>
      <c r="G2379" s="38">
        <f t="shared" si="37"/>
        <v>60</v>
      </c>
      <c r="H2379" s="5">
        <v>44145</v>
      </c>
      <c r="I2379" s="5">
        <v>44181</v>
      </c>
      <c r="J2379" s="1" t="s">
        <v>41</v>
      </c>
      <c r="K2379" s="1" t="s">
        <v>5128</v>
      </c>
      <c r="L2379" s="1" t="s">
        <v>5125</v>
      </c>
      <c r="M2379" s="1" t="s">
        <v>5126</v>
      </c>
      <c r="N2379" s="1" t="s">
        <v>38</v>
      </c>
      <c r="O2379" s="1" t="s">
        <v>1440</v>
      </c>
      <c r="P2379" s="1" t="s">
        <v>1441</v>
      </c>
      <c r="Q2379" s="1" t="s">
        <v>1916</v>
      </c>
      <c r="R2379" s="1" t="s">
        <v>26</v>
      </c>
      <c r="S2379" s="1"/>
      <c r="U2379" s="1" t="s">
        <v>35</v>
      </c>
      <c r="V2379" s="1" t="s">
        <v>49</v>
      </c>
      <c r="W2379" s="1" t="str">
        <f>VLOOKUP(Table1[[#This Row],[Obergruppe ATC-Code]],Tabelle3!$A$2:$B$100,2)</f>
        <v>ANALGETIKA</v>
      </c>
      <c r="X2379" s="1" t="str">
        <f xml:space="preserve"> LEFT(Table1[[#This Row],[Atc Code]],3)</f>
        <v>N02</v>
      </c>
    </row>
    <row r="2380" spans="1:24" ht="14.4">
      <c r="A2380" s="14">
        <v>60</v>
      </c>
      <c r="B2380" s="24">
        <v>417013</v>
      </c>
      <c r="C2380" s="1">
        <v>2178495</v>
      </c>
      <c r="D2380" s="1" t="s">
        <v>25</v>
      </c>
      <c r="E2380" s="36">
        <v>44105</v>
      </c>
      <c r="F2380" s="36">
        <v>44196</v>
      </c>
      <c r="G2380" s="38">
        <f t="shared" si="37"/>
        <v>91</v>
      </c>
      <c r="H2380" s="5">
        <v>44130</v>
      </c>
      <c r="I2380" s="5">
        <v>44181</v>
      </c>
      <c r="J2380" s="1" t="s">
        <v>41</v>
      </c>
      <c r="K2380" s="1" t="s">
        <v>5127</v>
      </c>
      <c r="L2380" s="1" t="s">
        <v>5125</v>
      </c>
      <c r="M2380" s="1" t="s">
        <v>5126</v>
      </c>
      <c r="N2380" s="1" t="s">
        <v>38</v>
      </c>
      <c r="O2380" s="1" t="s">
        <v>1440</v>
      </c>
      <c r="P2380" s="1" t="s">
        <v>1441</v>
      </c>
      <c r="Q2380" s="1" t="s">
        <v>1916</v>
      </c>
      <c r="R2380" s="1" t="s">
        <v>26</v>
      </c>
      <c r="S2380" s="1"/>
      <c r="U2380" s="1" t="s">
        <v>35</v>
      </c>
      <c r="V2380" s="1" t="s">
        <v>216</v>
      </c>
      <c r="W2380" s="1" t="str">
        <f>VLOOKUP(Table1[[#This Row],[Obergruppe ATC-Code]],Tabelle3!$A$2:$B$100,2)</f>
        <v>ANALGETIKA</v>
      </c>
      <c r="X2380" s="1" t="str">
        <f xml:space="preserve"> LEFT(Table1[[#This Row],[Atc Code]],3)</f>
        <v>N02</v>
      </c>
    </row>
    <row r="2381" spans="1:24" ht="14.4">
      <c r="A2381" s="14">
        <v>1165</v>
      </c>
      <c r="B2381" s="24">
        <v>9947221</v>
      </c>
      <c r="C2381" s="1">
        <v>2178496</v>
      </c>
      <c r="D2381" s="1" t="s">
        <v>25</v>
      </c>
      <c r="E2381" s="36">
        <v>44105</v>
      </c>
      <c r="F2381" s="36">
        <v>44196</v>
      </c>
      <c r="G2381" s="38">
        <f t="shared" si="37"/>
        <v>91</v>
      </c>
      <c r="H2381" s="5">
        <v>44130</v>
      </c>
      <c r="I2381" s="5">
        <v>44211</v>
      </c>
      <c r="J2381" s="1" t="s">
        <v>41</v>
      </c>
      <c r="K2381" s="1" t="s">
        <v>5124</v>
      </c>
      <c r="L2381" s="1" t="s">
        <v>5125</v>
      </c>
      <c r="M2381" s="1" t="s">
        <v>5126</v>
      </c>
      <c r="N2381" s="1" t="s">
        <v>38</v>
      </c>
      <c r="O2381" s="1" t="s">
        <v>1440</v>
      </c>
      <c r="P2381" s="1" t="s">
        <v>1441</v>
      </c>
      <c r="Q2381" s="1" t="s">
        <v>1916</v>
      </c>
      <c r="R2381" s="1" t="s">
        <v>26</v>
      </c>
      <c r="S2381" s="1"/>
      <c r="U2381" s="1" t="s">
        <v>35</v>
      </c>
      <c r="V2381" s="1" t="s">
        <v>216</v>
      </c>
      <c r="W2381" s="1" t="str">
        <f>VLOOKUP(Table1[[#This Row],[Obergruppe ATC-Code]],Tabelle3!$A$2:$B$100,2)</f>
        <v>ANALGETIKA</v>
      </c>
      <c r="X2381" s="1" t="str">
        <f xml:space="preserve"> LEFT(Table1[[#This Row],[Atc Code]],3)</f>
        <v>N02</v>
      </c>
    </row>
    <row r="2382" spans="1:24" ht="14.4">
      <c r="A2382" s="14">
        <v>1159</v>
      </c>
      <c r="B2382" s="24">
        <v>9947072</v>
      </c>
      <c r="C2382" s="1">
        <v>2176202</v>
      </c>
      <c r="D2382" s="1" t="s">
        <v>25</v>
      </c>
      <c r="E2382" s="36">
        <v>44166</v>
      </c>
      <c r="F2382" s="36">
        <v>44255</v>
      </c>
      <c r="G2382" s="38">
        <f t="shared" si="37"/>
        <v>89</v>
      </c>
      <c r="H2382" s="5">
        <v>44211</v>
      </c>
      <c r="I2382" s="5">
        <v>44257</v>
      </c>
      <c r="J2382" s="1" t="s">
        <v>26</v>
      </c>
      <c r="K2382" s="1" t="s">
        <v>5128</v>
      </c>
      <c r="L2382" s="1" t="s">
        <v>5125</v>
      </c>
      <c r="M2382" s="1" t="s">
        <v>5126</v>
      </c>
      <c r="N2382" s="1" t="s">
        <v>38</v>
      </c>
      <c r="O2382" s="1" t="s">
        <v>1440</v>
      </c>
      <c r="P2382" s="1" t="s">
        <v>1441</v>
      </c>
      <c r="Q2382" s="1" t="s">
        <v>1916</v>
      </c>
      <c r="R2382" s="1" t="s">
        <v>33</v>
      </c>
      <c r="S2382" s="1"/>
      <c r="U2382" s="1" t="s">
        <v>35</v>
      </c>
      <c r="V2382" s="1" t="s">
        <v>49</v>
      </c>
      <c r="W2382" s="1" t="str">
        <f>VLOOKUP(Table1[[#This Row],[Obergruppe ATC-Code]],Tabelle3!$A$2:$B$100,2)</f>
        <v>ANALGETIKA</v>
      </c>
      <c r="X2382" s="1" t="str">
        <f xml:space="preserve"> LEFT(Table1[[#This Row],[Atc Code]],3)</f>
        <v>N02</v>
      </c>
    </row>
    <row r="2383" spans="1:24" ht="14.4">
      <c r="A2383" s="14">
        <v>1164</v>
      </c>
      <c r="B2383" s="24">
        <v>9947221</v>
      </c>
      <c r="C2383" s="1">
        <v>2178496</v>
      </c>
      <c r="D2383" s="1" t="s">
        <v>25</v>
      </c>
      <c r="E2383" s="36">
        <v>44228</v>
      </c>
      <c r="F2383" s="36">
        <v>44316</v>
      </c>
      <c r="G2383" s="38">
        <f t="shared" si="37"/>
        <v>88</v>
      </c>
      <c r="H2383" s="5">
        <v>44242</v>
      </c>
      <c r="I2383" s="5">
        <v>44294</v>
      </c>
      <c r="J2383" s="1" t="s">
        <v>41</v>
      </c>
      <c r="K2383" s="1" t="s">
        <v>5124</v>
      </c>
      <c r="L2383" s="1" t="s">
        <v>5125</v>
      </c>
      <c r="M2383" s="1" t="s">
        <v>5126</v>
      </c>
      <c r="N2383" s="1" t="s">
        <v>38</v>
      </c>
      <c r="O2383" s="1" t="s">
        <v>1440</v>
      </c>
      <c r="P2383" s="1" t="s">
        <v>1441</v>
      </c>
      <c r="Q2383" s="1" t="s">
        <v>1916</v>
      </c>
      <c r="R2383" s="1" t="s">
        <v>26</v>
      </c>
      <c r="S2383" s="1"/>
      <c r="U2383" s="1" t="s">
        <v>35</v>
      </c>
      <c r="V2383" s="1" t="s">
        <v>216</v>
      </c>
      <c r="W2383" s="1" t="str">
        <f>VLOOKUP(Table1[[#This Row],[Obergruppe ATC-Code]],Tabelle3!$A$2:$B$100,2)</f>
        <v>ANALGETIKA</v>
      </c>
      <c r="X2383" s="1" t="str">
        <f xml:space="preserve"> LEFT(Table1[[#This Row],[Atc Code]],3)</f>
        <v>N02</v>
      </c>
    </row>
    <row r="2384" spans="1:24" ht="14.4">
      <c r="A2384" s="14">
        <v>1718</v>
      </c>
      <c r="B2384" s="24" t="s">
        <v>5129</v>
      </c>
      <c r="C2384" s="1">
        <v>2178495</v>
      </c>
      <c r="D2384" s="1" t="s">
        <v>25</v>
      </c>
      <c r="E2384" s="36">
        <v>44176</v>
      </c>
      <c r="F2384" s="36">
        <v>44435</v>
      </c>
      <c r="G2384" s="38">
        <f t="shared" si="37"/>
        <v>259</v>
      </c>
      <c r="H2384" s="5">
        <v>44211</v>
      </c>
      <c r="I2384" s="5">
        <v>44442</v>
      </c>
      <c r="J2384" s="1" t="s">
        <v>26</v>
      </c>
      <c r="K2384" s="1" t="s">
        <v>5127</v>
      </c>
      <c r="L2384" s="1" t="s">
        <v>5125</v>
      </c>
      <c r="M2384" s="1" t="s">
        <v>5126</v>
      </c>
      <c r="N2384" s="1" t="s">
        <v>38</v>
      </c>
      <c r="O2384" s="1" t="s">
        <v>1440</v>
      </c>
      <c r="P2384" s="1" t="s">
        <v>1441</v>
      </c>
      <c r="Q2384" s="1" t="s">
        <v>1916</v>
      </c>
      <c r="R2384" s="1" t="s">
        <v>33</v>
      </c>
      <c r="S2384" s="1"/>
      <c r="U2384" s="1" t="s">
        <v>35</v>
      </c>
      <c r="V2384" s="1" t="s">
        <v>216</v>
      </c>
      <c r="W2384" s="1" t="str">
        <f>VLOOKUP(Table1[[#This Row],[Obergruppe ATC-Code]],Tabelle3!$A$2:$B$100,2)</f>
        <v>ANALGETIKA</v>
      </c>
      <c r="X2384" s="1" t="str">
        <f xml:space="preserve"> LEFT(Table1[[#This Row],[Atc Code]],3)</f>
        <v>N02</v>
      </c>
    </row>
    <row r="2385" spans="1:24" ht="14.4">
      <c r="A2385" s="14">
        <v>1168</v>
      </c>
      <c r="B2385" s="24">
        <v>9947221</v>
      </c>
      <c r="C2385" s="1">
        <v>2178496</v>
      </c>
      <c r="D2385" s="1" t="s">
        <v>25</v>
      </c>
      <c r="E2385" s="36">
        <v>44333</v>
      </c>
      <c r="F2385" s="36">
        <v>44435</v>
      </c>
      <c r="G2385" s="38">
        <f t="shared" si="37"/>
        <v>102</v>
      </c>
      <c r="H2385" s="5">
        <v>44349</v>
      </c>
      <c r="I2385" s="5">
        <v>44442</v>
      </c>
      <c r="J2385" s="1" t="s">
        <v>41</v>
      </c>
      <c r="K2385" s="1" t="s">
        <v>5124</v>
      </c>
      <c r="L2385" s="1" t="s">
        <v>5125</v>
      </c>
      <c r="M2385" s="1" t="s">
        <v>5126</v>
      </c>
      <c r="N2385" s="1" t="s">
        <v>38</v>
      </c>
      <c r="O2385" s="1" t="s">
        <v>1440</v>
      </c>
      <c r="P2385" s="1" t="s">
        <v>1540</v>
      </c>
      <c r="Q2385" s="1" t="s">
        <v>1541</v>
      </c>
      <c r="R2385" s="1" t="s">
        <v>26</v>
      </c>
      <c r="S2385" s="1"/>
      <c r="U2385" s="1" t="s">
        <v>35</v>
      </c>
      <c r="V2385" s="1" t="s">
        <v>216</v>
      </c>
      <c r="W2385" s="1" t="str">
        <f>VLOOKUP(Table1[[#This Row],[Obergruppe ATC-Code]],Tabelle3!$A$2:$B$100,2)</f>
        <v>ANALGETIKA</v>
      </c>
      <c r="X2385" s="1" t="str">
        <f xml:space="preserve"> LEFT(Table1[[#This Row],[Atc Code]],3)</f>
        <v>N02</v>
      </c>
    </row>
    <row r="2386" spans="1:24" ht="14.4">
      <c r="A2386" s="14">
        <v>1163</v>
      </c>
      <c r="B2386" s="24">
        <v>9947103</v>
      </c>
      <c r="C2386" s="1">
        <v>2176203</v>
      </c>
      <c r="D2386" s="1" t="s">
        <v>25</v>
      </c>
      <c r="E2386" s="36">
        <v>44393</v>
      </c>
      <c r="F2386" s="36">
        <v>44425</v>
      </c>
      <c r="G2386" s="38">
        <f t="shared" si="37"/>
        <v>32</v>
      </c>
      <c r="H2386" s="5">
        <v>44410</v>
      </c>
      <c r="I2386" s="5">
        <v>44442</v>
      </c>
      <c r="J2386" s="1" t="s">
        <v>41</v>
      </c>
      <c r="K2386" s="1" t="s">
        <v>5130</v>
      </c>
      <c r="L2386" s="1" t="s">
        <v>5125</v>
      </c>
      <c r="M2386" s="1" t="s">
        <v>5126</v>
      </c>
      <c r="N2386" s="1" t="s">
        <v>38</v>
      </c>
      <c r="O2386" s="1" t="s">
        <v>1440</v>
      </c>
      <c r="P2386" s="1" t="s">
        <v>1907</v>
      </c>
      <c r="Q2386" s="1" t="s">
        <v>1541</v>
      </c>
      <c r="R2386" s="1" t="s">
        <v>26</v>
      </c>
      <c r="S2386" s="1"/>
      <c r="U2386" s="1" t="s">
        <v>130</v>
      </c>
      <c r="V2386" s="1" t="s">
        <v>49</v>
      </c>
      <c r="W2386" s="1" t="str">
        <f>VLOOKUP(Table1[[#This Row],[Obergruppe ATC-Code]],Tabelle3!$A$2:$B$100,2)</f>
        <v>ANALGETIKA</v>
      </c>
      <c r="X2386" s="1" t="str">
        <f xml:space="preserve"> LEFT(Table1[[#This Row],[Atc Code]],3)</f>
        <v>N02</v>
      </c>
    </row>
    <row r="2387" spans="1:24" ht="14.4">
      <c r="A2387" s="14">
        <v>1158</v>
      </c>
      <c r="B2387" s="24">
        <v>9947066</v>
      </c>
      <c r="C2387" s="1">
        <v>2176202</v>
      </c>
      <c r="D2387" s="1" t="s">
        <v>25</v>
      </c>
      <c r="E2387" s="36">
        <v>44274</v>
      </c>
      <c r="F2387" s="36">
        <v>44435</v>
      </c>
      <c r="G2387" s="38">
        <f t="shared" si="37"/>
        <v>161</v>
      </c>
      <c r="H2387" s="5">
        <v>44305</v>
      </c>
      <c r="I2387" s="5">
        <v>44442</v>
      </c>
      <c r="J2387" s="1" t="s">
        <v>26</v>
      </c>
      <c r="K2387" s="1" t="s">
        <v>5128</v>
      </c>
      <c r="L2387" s="1" t="s">
        <v>5125</v>
      </c>
      <c r="M2387" s="1" t="s">
        <v>5126</v>
      </c>
      <c r="N2387" s="1" t="s">
        <v>38</v>
      </c>
      <c r="O2387" s="1" t="s">
        <v>1440</v>
      </c>
      <c r="P2387" s="1" t="s">
        <v>1441</v>
      </c>
      <c r="Q2387" s="1" t="s">
        <v>1916</v>
      </c>
      <c r="R2387" s="1" t="s">
        <v>113</v>
      </c>
      <c r="S2387" s="1"/>
      <c r="U2387" s="1" t="s">
        <v>35</v>
      </c>
      <c r="V2387" s="1" t="s">
        <v>49</v>
      </c>
      <c r="W2387" s="1" t="str">
        <f>VLOOKUP(Table1[[#This Row],[Obergruppe ATC-Code]],Tabelle3!$A$2:$B$100,2)</f>
        <v>ANALGETIKA</v>
      </c>
      <c r="X2387" s="1" t="str">
        <f xml:space="preserve"> LEFT(Table1[[#This Row],[Atc Code]],3)</f>
        <v>N02</v>
      </c>
    </row>
    <row r="2388" spans="1:24" ht="14.4">
      <c r="A2388" s="14">
        <v>2526</v>
      </c>
      <c r="B2388" s="24" t="s">
        <v>5131</v>
      </c>
      <c r="C2388" s="1">
        <v>2176203</v>
      </c>
      <c r="D2388" s="1" t="s">
        <v>25</v>
      </c>
      <c r="E2388" s="36">
        <v>44469</v>
      </c>
      <c r="F2388" s="36">
        <v>44515</v>
      </c>
      <c r="G2388" s="38">
        <f t="shared" si="37"/>
        <v>46</v>
      </c>
      <c r="H2388" s="5">
        <v>44491</v>
      </c>
      <c r="I2388" s="5">
        <v>44537</v>
      </c>
      <c r="J2388" s="1" t="s">
        <v>26</v>
      </c>
      <c r="K2388" s="1" t="s">
        <v>5130</v>
      </c>
      <c r="L2388" s="1" t="s">
        <v>5125</v>
      </c>
      <c r="M2388" s="1" t="s">
        <v>5126</v>
      </c>
      <c r="N2388" s="1" t="s">
        <v>38</v>
      </c>
      <c r="O2388" s="1" t="s">
        <v>1440</v>
      </c>
      <c r="P2388" s="1" t="s">
        <v>1907</v>
      </c>
      <c r="Q2388" s="1" t="s">
        <v>1541</v>
      </c>
      <c r="R2388" s="1" t="s">
        <v>26</v>
      </c>
      <c r="S2388" s="1"/>
      <c r="U2388" s="1" t="s">
        <v>35</v>
      </c>
      <c r="V2388" s="1" t="s">
        <v>49</v>
      </c>
      <c r="W2388" s="1" t="str">
        <f>VLOOKUP(Table1[[#This Row],[Obergruppe ATC-Code]],Tabelle3!$A$2:$B$100,2)</f>
        <v>ANALGETIKA</v>
      </c>
      <c r="X2388" s="1" t="str">
        <f xml:space="preserve"> LEFT(Table1[[#This Row],[Atc Code]],3)</f>
        <v>N02</v>
      </c>
    </row>
    <row r="2389" spans="1:24" ht="14.4">
      <c r="A2389" s="14">
        <v>1173</v>
      </c>
      <c r="B2389" s="24">
        <v>10116353</v>
      </c>
      <c r="C2389" s="1">
        <v>2178496</v>
      </c>
      <c r="D2389" s="1" t="s">
        <v>25</v>
      </c>
      <c r="E2389" s="36">
        <v>44482</v>
      </c>
      <c r="F2389" s="36">
        <v>44522</v>
      </c>
      <c r="G2389" s="38">
        <f t="shared" si="37"/>
        <v>40</v>
      </c>
      <c r="H2389" s="5">
        <v>44491</v>
      </c>
      <c r="I2389" s="5">
        <v>44537</v>
      </c>
      <c r="J2389" s="1" t="s">
        <v>26</v>
      </c>
      <c r="K2389" s="1" t="s">
        <v>5124</v>
      </c>
      <c r="L2389" s="1" t="s">
        <v>5125</v>
      </c>
      <c r="M2389" s="1" t="s">
        <v>5126</v>
      </c>
      <c r="N2389" s="1" t="s">
        <v>38</v>
      </c>
      <c r="O2389" s="1" t="s">
        <v>1440</v>
      </c>
      <c r="P2389" s="1" t="s">
        <v>1907</v>
      </c>
      <c r="Q2389" s="1" t="s">
        <v>1541</v>
      </c>
      <c r="R2389" s="1" t="s">
        <v>26</v>
      </c>
      <c r="S2389" s="1"/>
      <c r="U2389" s="1" t="s">
        <v>35</v>
      </c>
      <c r="V2389" s="1" t="s">
        <v>216</v>
      </c>
      <c r="W2389" s="1" t="str">
        <f>VLOOKUP(Table1[[#This Row],[Obergruppe ATC-Code]],Tabelle3!$A$2:$B$100,2)</f>
        <v>ANALGETIKA</v>
      </c>
      <c r="X2389" s="1" t="str">
        <f xml:space="preserve"> LEFT(Table1[[#This Row],[Atc Code]],3)</f>
        <v>N02</v>
      </c>
    </row>
    <row r="2390" spans="1:24" ht="14.4">
      <c r="A2390" s="14">
        <v>1169</v>
      </c>
      <c r="B2390" s="24">
        <v>9947250</v>
      </c>
      <c r="C2390" s="1">
        <v>2178496</v>
      </c>
      <c r="D2390" s="1" t="s">
        <v>25</v>
      </c>
      <c r="E2390" s="36">
        <v>44459</v>
      </c>
      <c r="F2390" s="36">
        <v>44522</v>
      </c>
      <c r="G2390" s="38">
        <f t="shared" si="37"/>
        <v>63</v>
      </c>
      <c r="H2390" s="5">
        <v>44476</v>
      </c>
      <c r="I2390" s="5">
        <v>44537</v>
      </c>
      <c r="J2390" s="1" t="s">
        <v>26</v>
      </c>
      <c r="K2390" s="1" t="s">
        <v>5124</v>
      </c>
      <c r="L2390" s="1" t="s">
        <v>5125</v>
      </c>
      <c r="M2390" s="1" t="s">
        <v>5126</v>
      </c>
      <c r="N2390" s="1" t="s">
        <v>38</v>
      </c>
      <c r="O2390" s="1" t="s">
        <v>1440</v>
      </c>
      <c r="P2390" s="1" t="s">
        <v>1540</v>
      </c>
      <c r="Q2390" s="1" t="s">
        <v>1541</v>
      </c>
      <c r="R2390" s="1" t="s">
        <v>33</v>
      </c>
      <c r="S2390" s="1"/>
      <c r="U2390" s="1" t="s">
        <v>35</v>
      </c>
      <c r="V2390" s="1" t="s">
        <v>216</v>
      </c>
      <c r="W2390" s="1" t="str">
        <f>VLOOKUP(Table1[[#This Row],[Obergruppe ATC-Code]],Tabelle3!$A$2:$B$100,2)</f>
        <v>ANALGETIKA</v>
      </c>
      <c r="X2390" s="1" t="str">
        <f xml:space="preserve"> LEFT(Table1[[#This Row],[Atc Code]],3)</f>
        <v>N02</v>
      </c>
    </row>
    <row r="2391" spans="1:24" ht="14.4">
      <c r="A2391" s="14">
        <v>1162</v>
      </c>
      <c r="B2391" s="24">
        <v>9947072</v>
      </c>
      <c r="C2391" s="1">
        <v>2176202</v>
      </c>
      <c r="D2391" s="1" t="s">
        <v>25</v>
      </c>
      <c r="E2391" s="36">
        <v>44463</v>
      </c>
      <c r="F2391" s="36">
        <v>44536</v>
      </c>
      <c r="G2391" s="38">
        <f t="shared" si="37"/>
        <v>73</v>
      </c>
      <c r="H2391" s="5">
        <v>44476</v>
      </c>
      <c r="I2391" s="5">
        <v>44537</v>
      </c>
      <c r="J2391" s="1" t="s">
        <v>26</v>
      </c>
      <c r="K2391" s="1" t="s">
        <v>5128</v>
      </c>
      <c r="L2391" s="1" t="s">
        <v>5125</v>
      </c>
      <c r="M2391" s="1" t="s">
        <v>5126</v>
      </c>
      <c r="N2391" s="1" t="s">
        <v>38</v>
      </c>
      <c r="O2391" s="1" t="s">
        <v>1440</v>
      </c>
      <c r="P2391" s="1" t="s">
        <v>1540</v>
      </c>
      <c r="Q2391" s="1" t="s">
        <v>1541</v>
      </c>
      <c r="R2391" s="1" t="s">
        <v>33</v>
      </c>
      <c r="S2391" s="1"/>
      <c r="U2391" s="1" t="s">
        <v>35</v>
      </c>
      <c r="V2391" s="1" t="s">
        <v>49</v>
      </c>
      <c r="W2391" s="1" t="str">
        <f>VLOOKUP(Table1[[#This Row],[Obergruppe ATC-Code]],Tabelle3!$A$2:$B$100,2)</f>
        <v>ANALGETIKA</v>
      </c>
      <c r="X2391" s="1" t="str">
        <f xml:space="preserve"> LEFT(Table1[[#This Row],[Atc Code]],3)</f>
        <v>N02</v>
      </c>
    </row>
    <row r="2392" spans="1:24" ht="14.4">
      <c r="A2392" s="14">
        <v>64</v>
      </c>
      <c r="B2392" s="24">
        <v>417036</v>
      </c>
      <c r="C2392" s="1">
        <v>2178495</v>
      </c>
      <c r="D2392" s="1" t="s">
        <v>25</v>
      </c>
      <c r="E2392" s="36">
        <v>44459</v>
      </c>
      <c r="F2392" s="36">
        <v>44530</v>
      </c>
      <c r="G2392" s="38">
        <f t="shared" si="37"/>
        <v>71</v>
      </c>
      <c r="H2392" s="5">
        <v>44476</v>
      </c>
      <c r="I2392" s="5">
        <v>44537</v>
      </c>
      <c r="J2392" s="1" t="s">
        <v>26</v>
      </c>
      <c r="K2392" s="1" t="s">
        <v>5127</v>
      </c>
      <c r="L2392" s="1" t="s">
        <v>5125</v>
      </c>
      <c r="M2392" s="1" t="s">
        <v>5126</v>
      </c>
      <c r="N2392" s="1" t="s">
        <v>38</v>
      </c>
      <c r="O2392" s="1" t="s">
        <v>1440</v>
      </c>
      <c r="P2392" s="1" t="s">
        <v>1907</v>
      </c>
      <c r="Q2392" s="1" t="s">
        <v>1541</v>
      </c>
      <c r="R2392" s="1" t="s">
        <v>33</v>
      </c>
      <c r="S2392" s="1"/>
      <c r="U2392" s="1" t="s">
        <v>35</v>
      </c>
      <c r="V2392" s="1" t="s">
        <v>216</v>
      </c>
      <c r="W2392" s="1" t="str">
        <f>VLOOKUP(Table1[[#This Row],[Obergruppe ATC-Code]],Tabelle3!$A$2:$B$100,2)</f>
        <v>ANALGETIKA</v>
      </c>
      <c r="X2392" s="1" t="str">
        <f xml:space="preserve"> LEFT(Table1[[#This Row],[Atc Code]],3)</f>
        <v>N02</v>
      </c>
    </row>
    <row r="2393" spans="1:24" ht="14.4">
      <c r="A2393" s="14">
        <v>2527</v>
      </c>
      <c r="B2393" s="24" t="s">
        <v>5132</v>
      </c>
      <c r="C2393" s="1">
        <v>2178496</v>
      </c>
      <c r="D2393" s="1" t="s">
        <v>25</v>
      </c>
      <c r="E2393" s="36">
        <v>44393</v>
      </c>
      <c r="F2393" s="36">
        <v>44565</v>
      </c>
      <c r="G2393" s="38">
        <f t="shared" si="37"/>
        <v>172</v>
      </c>
      <c r="H2393" s="5">
        <v>44410</v>
      </c>
      <c r="I2393" s="5">
        <v>44599</v>
      </c>
      <c r="J2393" s="1" t="s">
        <v>41</v>
      </c>
      <c r="K2393" s="1" t="s">
        <v>5124</v>
      </c>
      <c r="L2393" s="1" t="s">
        <v>5125</v>
      </c>
      <c r="M2393" s="1" t="s">
        <v>5126</v>
      </c>
      <c r="N2393" s="1" t="s">
        <v>38</v>
      </c>
      <c r="O2393" s="1" t="s">
        <v>1440</v>
      </c>
      <c r="P2393" s="1" t="s">
        <v>1907</v>
      </c>
      <c r="Q2393" s="1" t="s">
        <v>1541</v>
      </c>
      <c r="R2393" s="1" t="s">
        <v>26</v>
      </c>
      <c r="S2393" s="1"/>
      <c r="U2393" s="1" t="s">
        <v>35</v>
      </c>
      <c r="V2393" s="1" t="s">
        <v>216</v>
      </c>
      <c r="W2393" s="1" t="str">
        <f>VLOOKUP(Table1[[#This Row],[Obergruppe ATC-Code]],Tabelle3!$A$2:$B$100,2)</f>
        <v>ANALGETIKA</v>
      </c>
      <c r="X2393" s="1" t="str">
        <f xml:space="preserve"> LEFT(Table1[[#This Row],[Atc Code]],3)</f>
        <v>N02</v>
      </c>
    </row>
    <row r="2394" spans="1:24" ht="14.4">
      <c r="A2394" s="14">
        <v>2525</v>
      </c>
      <c r="B2394" s="24" t="s">
        <v>5133</v>
      </c>
      <c r="C2394" s="1">
        <v>2176203</v>
      </c>
      <c r="D2394" s="1" t="s">
        <v>25</v>
      </c>
      <c r="E2394" s="36">
        <v>44106</v>
      </c>
      <c r="F2394" s="36">
        <v>44565</v>
      </c>
      <c r="G2394" s="38">
        <f t="shared" si="37"/>
        <v>459</v>
      </c>
      <c r="H2394" s="5">
        <v>44130</v>
      </c>
      <c r="I2394" s="5">
        <v>44599</v>
      </c>
      <c r="J2394" s="1" t="s">
        <v>41</v>
      </c>
      <c r="K2394" s="1" t="s">
        <v>5130</v>
      </c>
      <c r="L2394" s="1" t="s">
        <v>5125</v>
      </c>
      <c r="M2394" s="1" t="s">
        <v>5126</v>
      </c>
      <c r="N2394" s="1" t="s">
        <v>38</v>
      </c>
      <c r="O2394" s="1" t="s">
        <v>1440</v>
      </c>
      <c r="P2394" s="1" t="s">
        <v>1441</v>
      </c>
      <c r="Q2394" s="1" t="s">
        <v>1916</v>
      </c>
      <c r="R2394" s="1" t="s">
        <v>26</v>
      </c>
      <c r="S2394" s="1"/>
      <c r="U2394" s="1" t="s">
        <v>35</v>
      </c>
      <c r="V2394" s="1" t="s">
        <v>49</v>
      </c>
      <c r="W2394" s="1" t="str">
        <f>VLOOKUP(Table1[[#This Row],[Obergruppe ATC-Code]],Tabelle3!$A$2:$B$100,2)</f>
        <v>ANALGETIKA</v>
      </c>
      <c r="X2394" s="1" t="str">
        <f xml:space="preserve"> LEFT(Table1[[#This Row],[Atc Code]],3)</f>
        <v>N02</v>
      </c>
    </row>
    <row r="2395" spans="1:24" ht="14.4">
      <c r="A2395" s="14">
        <v>63</v>
      </c>
      <c r="B2395" s="24">
        <v>417013</v>
      </c>
      <c r="C2395" s="1">
        <v>2178495</v>
      </c>
      <c r="D2395" s="1" t="s">
        <v>25</v>
      </c>
      <c r="E2395" s="36">
        <v>44482</v>
      </c>
      <c r="F2395" s="36">
        <v>44539</v>
      </c>
      <c r="G2395" s="38">
        <f t="shared" si="37"/>
        <v>57</v>
      </c>
      <c r="H2395" s="5">
        <v>44491</v>
      </c>
      <c r="I2395" s="5">
        <v>44599</v>
      </c>
      <c r="J2395" s="1" t="s">
        <v>26</v>
      </c>
      <c r="K2395" s="1" t="s">
        <v>5127</v>
      </c>
      <c r="L2395" s="1" t="s">
        <v>5125</v>
      </c>
      <c r="M2395" s="1" t="s">
        <v>5126</v>
      </c>
      <c r="N2395" s="1" t="s">
        <v>38</v>
      </c>
      <c r="O2395" s="1" t="s">
        <v>1440</v>
      </c>
      <c r="P2395" s="1" t="s">
        <v>1907</v>
      </c>
      <c r="Q2395" s="1" t="s">
        <v>1541</v>
      </c>
      <c r="R2395" s="1" t="s">
        <v>26</v>
      </c>
      <c r="S2395" s="1"/>
      <c r="U2395" s="1" t="s">
        <v>35</v>
      </c>
      <c r="V2395" s="1" t="s">
        <v>216</v>
      </c>
      <c r="W2395" s="1" t="str">
        <f>VLOOKUP(Table1[[#This Row],[Obergruppe ATC-Code]],Tabelle3!$A$2:$B$100,2)</f>
        <v>ANALGETIKA</v>
      </c>
      <c r="X2395" s="1" t="str">
        <f xml:space="preserve"> LEFT(Table1[[#This Row],[Atc Code]],3)</f>
        <v>N02</v>
      </c>
    </row>
    <row r="2396" spans="1:24" ht="14.4">
      <c r="A2396" s="14">
        <v>2524</v>
      </c>
      <c r="B2396" s="24" t="s">
        <v>5134</v>
      </c>
      <c r="C2396" s="1">
        <v>2176202</v>
      </c>
      <c r="D2396" s="1" t="s">
        <v>175</v>
      </c>
      <c r="E2396" s="36">
        <v>45167</v>
      </c>
      <c r="F2396" s="36">
        <v>45254</v>
      </c>
      <c r="G2396" s="38">
        <f t="shared" si="37"/>
        <v>87</v>
      </c>
      <c r="H2396" s="5">
        <v>45180</v>
      </c>
      <c r="I2396" s="5">
        <v>45180</v>
      </c>
      <c r="J2396" s="1" t="s">
        <v>41</v>
      </c>
      <c r="K2396" s="1" t="s">
        <v>5128</v>
      </c>
      <c r="L2396" s="1" t="s">
        <v>5125</v>
      </c>
      <c r="M2396" s="1" t="s">
        <v>5126</v>
      </c>
      <c r="N2396" s="1" t="s">
        <v>38</v>
      </c>
      <c r="O2396" s="1" t="s">
        <v>1440</v>
      </c>
      <c r="Q2396" s="1" t="s">
        <v>1541</v>
      </c>
      <c r="R2396" s="1" t="s">
        <v>128</v>
      </c>
      <c r="S2396" s="1" t="s">
        <v>5135</v>
      </c>
      <c r="U2396" s="1" t="s">
        <v>35</v>
      </c>
      <c r="V2396" s="1" t="s">
        <v>49</v>
      </c>
      <c r="W2396" s="1" t="str">
        <f>VLOOKUP(Table1[[#This Row],[Obergruppe ATC-Code]],Tabelle3!$A$2:$B$100,2)</f>
        <v>ANALGETIKA</v>
      </c>
      <c r="X2396" s="1" t="str">
        <f xml:space="preserve"> LEFT(Table1[[#This Row],[Atc Code]],3)</f>
        <v>N02</v>
      </c>
    </row>
    <row r="2397" spans="1:24" ht="14.4">
      <c r="A2397" s="14">
        <v>1451</v>
      </c>
      <c r="B2397" s="24">
        <v>14292199</v>
      </c>
      <c r="C2397" s="1">
        <v>2201923</v>
      </c>
      <c r="D2397" s="1" t="s">
        <v>102</v>
      </c>
      <c r="E2397" s="36">
        <v>45110</v>
      </c>
      <c r="F2397" s="36">
        <v>45260</v>
      </c>
      <c r="G2397" s="38">
        <f t="shared" si="37"/>
        <v>150</v>
      </c>
      <c r="H2397" s="5">
        <v>45110</v>
      </c>
      <c r="I2397" s="5">
        <v>45166</v>
      </c>
      <c r="J2397" s="1" t="s">
        <v>26</v>
      </c>
      <c r="K2397" s="1" t="s">
        <v>5136</v>
      </c>
      <c r="L2397" s="1" t="s">
        <v>5137</v>
      </c>
      <c r="M2397" s="1" t="s">
        <v>5138</v>
      </c>
      <c r="N2397" s="1" t="s">
        <v>38</v>
      </c>
      <c r="O2397" s="1" t="s">
        <v>5139</v>
      </c>
      <c r="Q2397" s="1" t="s">
        <v>5140</v>
      </c>
      <c r="R2397" s="1" t="s">
        <v>26</v>
      </c>
      <c r="S2397" s="1"/>
      <c r="U2397" s="1" t="s">
        <v>35</v>
      </c>
      <c r="V2397" s="1" t="s">
        <v>99</v>
      </c>
      <c r="W2397" s="1" t="str">
        <f>VLOOKUP(Table1[[#This Row],[Obergruppe ATC-Code]],Tabelle3!$A$2:$B$100,2)</f>
        <v>ANALGETIKA</v>
      </c>
      <c r="X2397" s="1" t="str">
        <f xml:space="preserve"> LEFT(Table1[[#This Row],[Atc Code]],3)</f>
        <v>N02</v>
      </c>
    </row>
    <row r="2398" spans="1:24" ht="14.4">
      <c r="A2398" s="14">
        <v>2998</v>
      </c>
      <c r="B2398" s="24" t="s">
        <v>5141</v>
      </c>
      <c r="C2398" s="1">
        <v>328812</v>
      </c>
      <c r="D2398" s="1" t="s">
        <v>25</v>
      </c>
      <c r="E2398" s="36">
        <v>44013</v>
      </c>
      <c r="F2398" s="36">
        <v>44165</v>
      </c>
      <c r="G2398" s="38">
        <f t="shared" si="37"/>
        <v>152</v>
      </c>
      <c r="H2398" s="5">
        <v>44019</v>
      </c>
      <c r="I2398" s="5">
        <v>44138</v>
      </c>
      <c r="J2398" s="1" t="s">
        <v>26</v>
      </c>
      <c r="K2398" s="1" t="s">
        <v>5142</v>
      </c>
      <c r="L2398" s="1" t="s">
        <v>5143</v>
      </c>
      <c r="M2398" s="1" t="s">
        <v>5144</v>
      </c>
      <c r="N2398" s="1" t="s">
        <v>38</v>
      </c>
      <c r="O2398" s="1" t="s">
        <v>1035</v>
      </c>
      <c r="P2398" s="1" t="s">
        <v>104</v>
      </c>
      <c r="Q2398" s="1" t="s">
        <v>105</v>
      </c>
      <c r="R2398" s="1" t="s">
        <v>33</v>
      </c>
      <c r="S2398" s="1"/>
      <c r="U2398" s="1" t="s">
        <v>35</v>
      </c>
      <c r="V2398" s="1" t="s">
        <v>49</v>
      </c>
      <c r="W2398" s="1" t="str">
        <f>VLOOKUP(Table1[[#This Row],[Obergruppe ATC-Code]],Tabelle3!$A$2:$B$100,2)</f>
        <v>ANTIEPILEPTIKA</v>
      </c>
      <c r="X2398" s="1" t="str">
        <f xml:space="preserve"> LEFT(Table1[[#This Row],[Atc Code]],3)</f>
        <v>N03</v>
      </c>
    </row>
    <row r="2399" spans="1:24" ht="14.4">
      <c r="A2399" s="14">
        <v>216</v>
      </c>
      <c r="B2399" s="24">
        <v>1192674</v>
      </c>
      <c r="C2399" s="1">
        <v>2329</v>
      </c>
      <c r="D2399" s="1" t="s">
        <v>25</v>
      </c>
      <c r="E2399" s="36">
        <v>43466</v>
      </c>
      <c r="F2399" s="36">
        <v>43524</v>
      </c>
      <c r="G2399" s="38">
        <f t="shared" si="37"/>
        <v>58</v>
      </c>
      <c r="H2399" s="5">
        <v>43489</v>
      </c>
      <c r="I2399" s="5">
        <v>43524</v>
      </c>
      <c r="J2399" s="1" t="s">
        <v>41</v>
      </c>
      <c r="K2399" s="1" t="s">
        <v>5145</v>
      </c>
      <c r="L2399" s="1" t="s">
        <v>5146</v>
      </c>
      <c r="M2399" s="1" t="s">
        <v>5147</v>
      </c>
      <c r="N2399" s="1" t="s">
        <v>38</v>
      </c>
      <c r="O2399" s="1" t="s">
        <v>5148</v>
      </c>
      <c r="P2399" s="1" t="s">
        <v>5149</v>
      </c>
      <c r="Q2399" s="1" t="s">
        <v>5150</v>
      </c>
      <c r="R2399" s="1" t="s">
        <v>26</v>
      </c>
      <c r="S2399" s="1"/>
      <c r="T2399" s="1" t="s">
        <v>5151</v>
      </c>
      <c r="U2399" s="1" t="s">
        <v>35</v>
      </c>
      <c r="V2399" s="1" t="s">
        <v>74</v>
      </c>
      <c r="W2399" s="1" t="str">
        <f>VLOOKUP(Table1[[#This Row],[Obergruppe ATC-Code]],Tabelle3!$A$2:$B$100,2)</f>
        <v>ANTIEPILEPTIKA</v>
      </c>
      <c r="X2399" s="1" t="str">
        <f xml:space="preserve"> LEFT(Table1[[#This Row],[Atc Code]],3)</f>
        <v>N03</v>
      </c>
    </row>
    <row r="2400" spans="1:24" ht="14.4">
      <c r="A2400" s="14">
        <v>217</v>
      </c>
      <c r="B2400" s="24">
        <v>1192674</v>
      </c>
      <c r="C2400" s="1">
        <v>2329</v>
      </c>
      <c r="D2400" s="1" t="s">
        <v>25</v>
      </c>
      <c r="E2400" s="36">
        <v>43647</v>
      </c>
      <c r="F2400" s="36">
        <v>43708</v>
      </c>
      <c r="G2400" s="38">
        <f t="shared" si="37"/>
        <v>61</v>
      </c>
      <c r="H2400" s="5">
        <v>43658</v>
      </c>
      <c r="I2400" s="5">
        <v>43679</v>
      </c>
      <c r="J2400" s="1" t="s">
        <v>41</v>
      </c>
      <c r="K2400" s="1" t="s">
        <v>5145</v>
      </c>
      <c r="L2400" s="1" t="s">
        <v>5146</v>
      </c>
      <c r="M2400" s="1" t="s">
        <v>5147</v>
      </c>
      <c r="N2400" s="1" t="s">
        <v>38</v>
      </c>
      <c r="O2400" s="1" t="s">
        <v>5148</v>
      </c>
      <c r="P2400" s="1" t="s">
        <v>5152</v>
      </c>
      <c r="Q2400" s="1" t="s">
        <v>5153</v>
      </c>
      <c r="R2400" s="1" t="s">
        <v>26</v>
      </c>
      <c r="S2400" s="1"/>
      <c r="U2400" s="1" t="s">
        <v>35</v>
      </c>
      <c r="V2400" s="1" t="s">
        <v>74</v>
      </c>
      <c r="W2400" s="1" t="str">
        <f>VLOOKUP(Table1[[#This Row],[Obergruppe ATC-Code]],Tabelle3!$A$2:$B$100,2)</f>
        <v>ANTIEPILEPTIKA</v>
      </c>
      <c r="X2400" s="1" t="str">
        <f xml:space="preserve"> LEFT(Table1[[#This Row],[Atc Code]],3)</f>
        <v>N03</v>
      </c>
    </row>
    <row r="2401" spans="1:24" ht="14.4">
      <c r="A2401" s="14">
        <v>2935</v>
      </c>
      <c r="B2401" s="24" t="s">
        <v>5154</v>
      </c>
      <c r="C2401" s="1">
        <v>2341</v>
      </c>
      <c r="D2401" s="1" t="s">
        <v>25</v>
      </c>
      <c r="E2401" s="36">
        <v>43770</v>
      </c>
      <c r="F2401" s="36">
        <v>43830</v>
      </c>
      <c r="G2401" s="38">
        <f t="shared" si="37"/>
        <v>60</v>
      </c>
      <c r="H2401" s="5">
        <v>43795</v>
      </c>
      <c r="I2401" s="5">
        <v>43817</v>
      </c>
      <c r="J2401" s="1" t="s">
        <v>41</v>
      </c>
      <c r="K2401" s="1" t="s">
        <v>5155</v>
      </c>
      <c r="L2401" s="1" t="s">
        <v>5146</v>
      </c>
      <c r="M2401" s="1" t="s">
        <v>5156</v>
      </c>
      <c r="N2401" s="1" t="s">
        <v>30</v>
      </c>
      <c r="O2401" s="1" t="s">
        <v>5148</v>
      </c>
      <c r="P2401" s="1" t="s">
        <v>5152</v>
      </c>
      <c r="Q2401" s="1" t="s">
        <v>5153</v>
      </c>
      <c r="R2401" s="1" t="s">
        <v>26</v>
      </c>
      <c r="S2401" s="1"/>
      <c r="U2401" s="1" t="s">
        <v>35</v>
      </c>
      <c r="V2401" s="1" t="s">
        <v>49</v>
      </c>
      <c r="W2401" s="1" t="str">
        <f>VLOOKUP(Table1[[#This Row],[Obergruppe ATC-Code]],Tabelle3!$A$2:$B$100,2)</f>
        <v>ANTIEPILEPTIKA</v>
      </c>
      <c r="X2401" s="1" t="str">
        <f xml:space="preserve"> LEFT(Table1[[#This Row],[Atc Code]],3)</f>
        <v>N03</v>
      </c>
    </row>
    <row r="2402" spans="1:24" ht="14.4">
      <c r="A2402" s="14">
        <v>2934</v>
      </c>
      <c r="B2402" s="24" t="s">
        <v>5154</v>
      </c>
      <c r="C2402" s="1">
        <v>2341</v>
      </c>
      <c r="D2402" s="1" t="s">
        <v>25</v>
      </c>
      <c r="E2402" s="36">
        <v>43831</v>
      </c>
      <c r="F2402" s="36">
        <v>43890</v>
      </c>
      <c r="G2402" s="38">
        <f t="shared" si="37"/>
        <v>59</v>
      </c>
      <c r="H2402" s="5">
        <v>43839</v>
      </c>
      <c r="I2402" s="5">
        <v>43878</v>
      </c>
      <c r="J2402" s="1" t="s">
        <v>41</v>
      </c>
      <c r="K2402" s="1" t="s">
        <v>5155</v>
      </c>
      <c r="L2402" s="1" t="s">
        <v>5146</v>
      </c>
      <c r="M2402" s="1" t="s">
        <v>5156</v>
      </c>
      <c r="N2402" s="1" t="s">
        <v>30</v>
      </c>
      <c r="O2402" s="1" t="s">
        <v>5148</v>
      </c>
      <c r="P2402" s="1" t="s">
        <v>5152</v>
      </c>
      <c r="Q2402" s="1" t="s">
        <v>5153</v>
      </c>
      <c r="R2402" s="1" t="s">
        <v>26</v>
      </c>
      <c r="S2402" s="1"/>
      <c r="U2402" s="1" t="s">
        <v>35</v>
      </c>
      <c r="V2402" s="1" t="s">
        <v>49</v>
      </c>
      <c r="W2402" s="1" t="str">
        <f>VLOOKUP(Table1[[#This Row],[Obergruppe ATC-Code]],Tabelle3!$A$2:$B$100,2)</f>
        <v>ANTIEPILEPTIKA</v>
      </c>
      <c r="X2402" s="1" t="str">
        <f xml:space="preserve"> LEFT(Table1[[#This Row],[Atc Code]],3)</f>
        <v>N03</v>
      </c>
    </row>
    <row r="2403" spans="1:24" ht="14.4">
      <c r="A2403" s="14">
        <v>2139</v>
      </c>
      <c r="B2403" s="24" t="s">
        <v>5157</v>
      </c>
      <c r="C2403" s="1">
        <v>3000621</v>
      </c>
      <c r="D2403" s="1" t="s">
        <v>25</v>
      </c>
      <c r="E2403" s="36">
        <v>44470</v>
      </c>
      <c r="F2403" s="36">
        <v>44621</v>
      </c>
      <c r="G2403" s="38">
        <f t="shared" si="37"/>
        <v>151</v>
      </c>
      <c r="H2403" s="5">
        <v>44473</v>
      </c>
      <c r="I2403" s="5">
        <v>44642</v>
      </c>
      <c r="J2403" s="1" t="s">
        <v>26</v>
      </c>
      <c r="K2403" s="1" t="s">
        <v>5158</v>
      </c>
      <c r="L2403" s="1" t="s">
        <v>5146</v>
      </c>
      <c r="M2403" s="1" t="s">
        <v>5156</v>
      </c>
      <c r="N2403" s="1" t="s">
        <v>30</v>
      </c>
      <c r="O2403" s="1" t="s">
        <v>1035</v>
      </c>
      <c r="Q2403" s="1" t="s">
        <v>118</v>
      </c>
      <c r="R2403" s="1" t="s">
        <v>26</v>
      </c>
      <c r="S2403" s="1"/>
      <c r="U2403" s="1" t="s">
        <v>35</v>
      </c>
      <c r="V2403" s="1" t="s">
        <v>49</v>
      </c>
      <c r="W2403" s="1" t="str">
        <f>VLOOKUP(Table1[[#This Row],[Obergruppe ATC-Code]],Tabelle3!$A$2:$B$100,2)</f>
        <v>ANTIEPILEPTIKA</v>
      </c>
      <c r="X2403" s="1" t="str">
        <f xml:space="preserve"> LEFT(Table1[[#This Row],[Atc Code]],3)</f>
        <v>N03</v>
      </c>
    </row>
    <row r="2404" spans="1:24" ht="14.4">
      <c r="A2404" s="14">
        <v>2933</v>
      </c>
      <c r="B2404" s="24" t="s">
        <v>5159</v>
      </c>
      <c r="C2404" s="1">
        <v>2418</v>
      </c>
      <c r="D2404" s="1" t="s">
        <v>25</v>
      </c>
      <c r="E2404" s="36">
        <v>43405</v>
      </c>
      <c r="F2404" s="36">
        <v>43465</v>
      </c>
      <c r="G2404" s="38">
        <f t="shared" si="37"/>
        <v>60</v>
      </c>
      <c r="H2404" s="5">
        <v>43430</v>
      </c>
      <c r="I2404" s="5">
        <v>43440</v>
      </c>
      <c r="J2404" s="1" t="s">
        <v>41</v>
      </c>
      <c r="K2404" s="1" t="s">
        <v>5160</v>
      </c>
      <c r="L2404" s="1" t="s">
        <v>5161</v>
      </c>
      <c r="M2404" s="1" t="s">
        <v>5162</v>
      </c>
      <c r="N2404" s="1" t="s">
        <v>38</v>
      </c>
      <c r="O2404" s="1" t="s">
        <v>5148</v>
      </c>
      <c r="P2404" s="1" t="s">
        <v>5163</v>
      </c>
      <c r="Q2404" s="1" t="s">
        <v>5150</v>
      </c>
      <c r="R2404" s="1" t="s">
        <v>26</v>
      </c>
      <c r="S2404" s="1"/>
      <c r="U2404" s="1" t="s">
        <v>35</v>
      </c>
      <c r="V2404" s="1" t="s">
        <v>604</v>
      </c>
      <c r="W2404" s="1" t="str">
        <f>VLOOKUP(Table1[[#This Row],[Obergruppe ATC-Code]],Tabelle3!$A$2:$B$100,2)</f>
        <v>ANTIEPILEPTIKA</v>
      </c>
      <c r="X2404" s="1" t="str">
        <f xml:space="preserve"> LEFT(Table1[[#This Row],[Atc Code]],3)</f>
        <v>N03</v>
      </c>
    </row>
    <row r="2405" spans="1:24" ht="14.4">
      <c r="A2405" s="14">
        <v>2932</v>
      </c>
      <c r="B2405" s="24" t="s">
        <v>5159</v>
      </c>
      <c r="C2405" s="1">
        <v>2418</v>
      </c>
      <c r="D2405" s="1" t="s">
        <v>25</v>
      </c>
      <c r="E2405" s="36">
        <v>43647</v>
      </c>
      <c r="F2405" s="36">
        <v>43708</v>
      </c>
      <c r="G2405" s="38">
        <f t="shared" si="37"/>
        <v>61</v>
      </c>
      <c r="H2405" s="5">
        <v>43641</v>
      </c>
      <c r="I2405" s="5">
        <v>43682</v>
      </c>
      <c r="J2405" s="1" t="s">
        <v>41</v>
      </c>
      <c r="K2405" s="1" t="s">
        <v>5160</v>
      </c>
      <c r="L2405" s="1" t="s">
        <v>5161</v>
      </c>
      <c r="M2405" s="1" t="s">
        <v>5162</v>
      </c>
      <c r="N2405" s="1" t="s">
        <v>38</v>
      </c>
      <c r="O2405" s="1" t="s">
        <v>5148</v>
      </c>
      <c r="P2405" s="1" t="s">
        <v>5163</v>
      </c>
      <c r="Q2405" s="1" t="s">
        <v>5150</v>
      </c>
      <c r="R2405" s="1" t="s">
        <v>26</v>
      </c>
      <c r="S2405" s="1"/>
      <c r="U2405" s="1" t="s">
        <v>35</v>
      </c>
      <c r="V2405" s="1" t="s">
        <v>604</v>
      </c>
      <c r="W2405" s="1" t="str">
        <f>VLOOKUP(Table1[[#This Row],[Obergruppe ATC-Code]],Tabelle3!$A$2:$B$100,2)</f>
        <v>ANTIEPILEPTIKA</v>
      </c>
      <c r="X2405" s="1" t="str">
        <f xml:space="preserve"> LEFT(Table1[[#This Row],[Atc Code]],3)</f>
        <v>N03</v>
      </c>
    </row>
    <row r="2406" spans="1:24" ht="14.4">
      <c r="A2406" s="14">
        <v>417</v>
      </c>
      <c r="B2406" s="24">
        <v>2498197</v>
      </c>
      <c r="C2406" s="1">
        <v>2102403</v>
      </c>
      <c r="D2406" s="1" t="s">
        <v>25</v>
      </c>
      <c r="E2406" s="36">
        <v>44791</v>
      </c>
      <c r="F2406" s="36">
        <v>44831</v>
      </c>
      <c r="G2406" s="38">
        <f t="shared" si="37"/>
        <v>40</v>
      </c>
      <c r="H2406" s="5">
        <v>44798</v>
      </c>
      <c r="I2406" s="5">
        <v>44831</v>
      </c>
      <c r="J2406" s="1" t="s">
        <v>26</v>
      </c>
      <c r="K2406" s="1" t="s">
        <v>5164</v>
      </c>
      <c r="L2406" s="1" t="s">
        <v>5165</v>
      </c>
      <c r="M2406" s="1" t="s">
        <v>5166</v>
      </c>
      <c r="N2406" s="1" t="s">
        <v>30</v>
      </c>
      <c r="O2406" s="1" t="s">
        <v>329</v>
      </c>
      <c r="P2406" s="1" t="s">
        <v>1259</v>
      </c>
      <c r="Q2406" s="1" t="s">
        <v>331</v>
      </c>
      <c r="R2406" s="1" t="s">
        <v>26</v>
      </c>
      <c r="S2406" s="1" t="s">
        <v>5167</v>
      </c>
      <c r="U2406" s="1" t="s">
        <v>35</v>
      </c>
      <c r="V2406" s="1" t="s">
        <v>262</v>
      </c>
      <c r="W2406" s="1" t="str">
        <f>VLOOKUP(Table1[[#This Row],[Obergruppe ATC-Code]],Tabelle3!$A$2:$B$100,2)</f>
        <v>ANTIEPILEPTIKA</v>
      </c>
      <c r="X2406" s="1" t="str">
        <f xml:space="preserve"> LEFT(Table1[[#This Row],[Atc Code]],3)</f>
        <v>N03</v>
      </c>
    </row>
    <row r="2407" spans="1:24" ht="14.4">
      <c r="A2407" s="14">
        <v>1991</v>
      </c>
      <c r="B2407" s="24" t="s">
        <v>5168</v>
      </c>
      <c r="C2407" s="1">
        <v>2145191</v>
      </c>
      <c r="D2407" s="1" t="s">
        <v>25</v>
      </c>
      <c r="E2407" s="36">
        <v>43556</v>
      </c>
      <c r="F2407" s="36">
        <v>43646</v>
      </c>
      <c r="G2407" s="38">
        <f t="shared" si="37"/>
        <v>90</v>
      </c>
      <c r="H2407" s="5">
        <v>43580</v>
      </c>
      <c r="I2407" s="5">
        <v>43643</v>
      </c>
      <c r="J2407" s="1" t="s">
        <v>26</v>
      </c>
      <c r="K2407" s="1" t="s">
        <v>5169</v>
      </c>
      <c r="L2407" s="1" t="s">
        <v>5170</v>
      </c>
      <c r="M2407" s="1" t="s">
        <v>5171</v>
      </c>
      <c r="N2407" s="1" t="s">
        <v>38</v>
      </c>
      <c r="O2407" s="1" t="s">
        <v>5148</v>
      </c>
      <c r="P2407" s="1" t="s">
        <v>5172</v>
      </c>
      <c r="Q2407" s="1" t="s">
        <v>5150</v>
      </c>
      <c r="R2407" s="1" t="s">
        <v>33</v>
      </c>
      <c r="S2407" s="1"/>
      <c r="U2407" s="1" t="s">
        <v>35</v>
      </c>
      <c r="V2407" s="1" t="s">
        <v>49</v>
      </c>
      <c r="W2407" s="1" t="str">
        <f>VLOOKUP(Table1[[#This Row],[Obergruppe ATC-Code]],Tabelle3!$A$2:$B$100,2)</f>
        <v>ANTIEPILEPTIKA</v>
      </c>
      <c r="X2407" s="1" t="str">
        <f xml:space="preserve"> LEFT(Table1[[#This Row],[Atc Code]],3)</f>
        <v>N03</v>
      </c>
    </row>
    <row r="2408" spans="1:24" ht="14.4">
      <c r="A2408" s="14">
        <v>1993</v>
      </c>
      <c r="B2408" s="24" t="s">
        <v>5173</v>
      </c>
      <c r="C2408" s="1">
        <v>2145192</v>
      </c>
      <c r="D2408" s="1" t="s">
        <v>25</v>
      </c>
      <c r="E2408" s="36">
        <v>43525</v>
      </c>
      <c r="F2408" s="36">
        <v>43646</v>
      </c>
      <c r="G2408" s="38">
        <f t="shared" si="37"/>
        <v>121</v>
      </c>
      <c r="H2408" s="5">
        <v>43588</v>
      </c>
      <c r="I2408" s="5">
        <v>43644</v>
      </c>
      <c r="J2408" s="1" t="s">
        <v>26</v>
      </c>
      <c r="K2408" s="1" t="s">
        <v>5174</v>
      </c>
      <c r="L2408" s="1" t="s">
        <v>5170</v>
      </c>
      <c r="M2408" s="1" t="s">
        <v>5171</v>
      </c>
      <c r="N2408" s="1" t="s">
        <v>38</v>
      </c>
      <c r="O2408" s="1" t="s">
        <v>5148</v>
      </c>
      <c r="P2408" s="1" t="s">
        <v>5172</v>
      </c>
      <c r="Q2408" s="1" t="s">
        <v>5150</v>
      </c>
      <c r="R2408" s="1" t="s">
        <v>33</v>
      </c>
      <c r="S2408" s="1"/>
      <c r="U2408" s="1" t="s">
        <v>35</v>
      </c>
      <c r="V2408" s="1" t="s">
        <v>49</v>
      </c>
      <c r="W2408" s="1" t="str">
        <f>VLOOKUP(Table1[[#This Row],[Obergruppe ATC-Code]],Tabelle3!$A$2:$B$100,2)</f>
        <v>ANTIEPILEPTIKA</v>
      </c>
      <c r="X2408" s="1" t="str">
        <f xml:space="preserve"> LEFT(Table1[[#This Row],[Atc Code]],3)</f>
        <v>N03</v>
      </c>
    </row>
    <row r="2409" spans="1:24" ht="14.4">
      <c r="A2409" s="14">
        <v>1990</v>
      </c>
      <c r="B2409" s="24" t="s">
        <v>5168</v>
      </c>
      <c r="C2409" s="1">
        <v>2145191</v>
      </c>
      <c r="D2409" s="1" t="s">
        <v>25</v>
      </c>
      <c r="E2409" s="36">
        <v>43831</v>
      </c>
      <c r="F2409" s="36">
        <v>43951</v>
      </c>
      <c r="G2409" s="38">
        <f t="shared" si="37"/>
        <v>120</v>
      </c>
      <c r="H2409" s="5">
        <v>43857</v>
      </c>
      <c r="I2409" s="5">
        <v>43924</v>
      </c>
      <c r="J2409" s="1" t="s">
        <v>41</v>
      </c>
      <c r="K2409" s="1" t="s">
        <v>5169</v>
      </c>
      <c r="L2409" s="1" t="s">
        <v>5170</v>
      </c>
      <c r="M2409" s="1" t="s">
        <v>5171</v>
      </c>
      <c r="N2409" s="1" t="s">
        <v>38</v>
      </c>
      <c r="O2409" s="1" t="s">
        <v>5148</v>
      </c>
      <c r="P2409" s="1">
        <v>494059101536</v>
      </c>
      <c r="Q2409" s="1" t="s">
        <v>5153</v>
      </c>
      <c r="R2409" s="1" t="s">
        <v>26</v>
      </c>
      <c r="S2409" s="1"/>
      <c r="T2409" s="1" t="s">
        <v>5175</v>
      </c>
      <c r="U2409" s="1" t="s">
        <v>35</v>
      </c>
      <c r="V2409" s="1" t="s">
        <v>49</v>
      </c>
      <c r="W2409" s="1" t="str">
        <f>VLOOKUP(Table1[[#This Row],[Obergruppe ATC-Code]],Tabelle3!$A$2:$B$100,2)</f>
        <v>ANTIEPILEPTIKA</v>
      </c>
      <c r="X2409" s="1" t="str">
        <f xml:space="preserve"> LEFT(Table1[[#This Row],[Atc Code]],3)</f>
        <v>N03</v>
      </c>
    </row>
    <row r="2410" spans="1:24" ht="14.4">
      <c r="A2410" s="14">
        <v>1992</v>
      </c>
      <c r="B2410" s="24" t="s">
        <v>5173</v>
      </c>
      <c r="C2410" s="1">
        <v>2145192</v>
      </c>
      <c r="D2410" s="1" t="s">
        <v>25</v>
      </c>
      <c r="E2410" s="36">
        <v>43525</v>
      </c>
      <c r="F2410" s="36">
        <v>43646</v>
      </c>
      <c r="G2410" s="38">
        <f t="shared" si="37"/>
        <v>121</v>
      </c>
      <c r="H2410" s="5">
        <v>43532</v>
      </c>
      <c r="I2410" s="5">
        <v>44596</v>
      </c>
      <c r="J2410" s="1" t="s">
        <v>26</v>
      </c>
      <c r="K2410" s="1" t="s">
        <v>5174</v>
      </c>
      <c r="L2410" s="1" t="s">
        <v>5170</v>
      </c>
      <c r="M2410" s="1" t="s">
        <v>5171</v>
      </c>
      <c r="N2410" s="1" t="s">
        <v>38</v>
      </c>
      <c r="O2410" s="1" t="s">
        <v>5148</v>
      </c>
      <c r="P2410" s="1" t="s">
        <v>5172</v>
      </c>
      <c r="Q2410" s="1" t="s">
        <v>5150</v>
      </c>
      <c r="R2410" s="1" t="s">
        <v>33</v>
      </c>
      <c r="S2410" s="1" t="s">
        <v>5176</v>
      </c>
      <c r="U2410" s="1" t="s">
        <v>35</v>
      </c>
      <c r="V2410" s="1" t="s">
        <v>49</v>
      </c>
      <c r="W2410" s="1" t="str">
        <f>VLOOKUP(Table1[[#This Row],[Obergruppe ATC-Code]],Tabelle3!$A$2:$B$100,2)</f>
        <v>ANTIEPILEPTIKA</v>
      </c>
      <c r="X2410" s="1" t="str">
        <f xml:space="preserve"> LEFT(Table1[[#This Row],[Atc Code]],3)</f>
        <v>N03</v>
      </c>
    </row>
    <row r="2411" spans="1:24" ht="14.4">
      <c r="A2411" s="14">
        <v>2898</v>
      </c>
      <c r="B2411" s="24" t="s">
        <v>5177</v>
      </c>
      <c r="C2411" s="1">
        <v>7000145</v>
      </c>
      <c r="D2411" s="1" t="s">
        <v>175</v>
      </c>
      <c r="E2411" s="36">
        <v>45094</v>
      </c>
      <c r="F2411" s="36">
        <v>45230</v>
      </c>
      <c r="G2411" s="38">
        <f t="shared" si="37"/>
        <v>136</v>
      </c>
      <c r="H2411" s="5">
        <v>45099</v>
      </c>
      <c r="I2411" s="5">
        <v>45099</v>
      </c>
      <c r="J2411" s="1" t="s">
        <v>41</v>
      </c>
      <c r="K2411" s="1" t="s">
        <v>5178</v>
      </c>
      <c r="L2411" s="1" t="s">
        <v>5170</v>
      </c>
      <c r="M2411" s="1" t="s">
        <v>5171</v>
      </c>
      <c r="N2411" s="1" t="s">
        <v>38</v>
      </c>
      <c r="O2411" s="1" t="s">
        <v>5179</v>
      </c>
      <c r="P2411" s="1" t="s">
        <v>5180</v>
      </c>
      <c r="Q2411" s="1" t="s">
        <v>5181</v>
      </c>
      <c r="R2411" s="1" t="s">
        <v>165</v>
      </c>
      <c r="S2411" s="1"/>
      <c r="U2411" s="1" t="s">
        <v>35</v>
      </c>
      <c r="V2411" s="1" t="s">
        <v>49</v>
      </c>
      <c r="W2411" s="1" t="str">
        <f>VLOOKUP(Table1[[#This Row],[Obergruppe ATC-Code]],Tabelle3!$A$2:$B$100,2)</f>
        <v>ANTIEPILEPTIKA</v>
      </c>
      <c r="X2411" s="1" t="str">
        <f xml:space="preserve"> LEFT(Table1[[#This Row],[Atc Code]],3)</f>
        <v>N03</v>
      </c>
    </row>
    <row r="2412" spans="1:24" ht="14.4">
      <c r="A2412" s="14">
        <v>2897</v>
      </c>
      <c r="B2412" s="24" t="s">
        <v>5182</v>
      </c>
      <c r="C2412" s="1">
        <v>7000144</v>
      </c>
      <c r="D2412" s="1" t="s">
        <v>175</v>
      </c>
      <c r="E2412" s="36">
        <v>45094</v>
      </c>
      <c r="F2412" s="36">
        <v>45230</v>
      </c>
      <c r="G2412" s="38">
        <f t="shared" si="37"/>
        <v>136</v>
      </c>
      <c r="H2412" s="5">
        <v>45099</v>
      </c>
      <c r="I2412" s="5">
        <v>45099</v>
      </c>
      <c r="J2412" s="1" t="s">
        <v>41</v>
      </c>
      <c r="K2412" s="1" t="s">
        <v>5183</v>
      </c>
      <c r="L2412" s="1" t="s">
        <v>5170</v>
      </c>
      <c r="M2412" s="1" t="s">
        <v>5171</v>
      </c>
      <c r="N2412" s="1" t="s">
        <v>38</v>
      </c>
      <c r="O2412" s="1" t="s">
        <v>5179</v>
      </c>
      <c r="P2412" s="1" t="s">
        <v>5180</v>
      </c>
      <c r="Q2412" s="1" t="s">
        <v>5181</v>
      </c>
      <c r="R2412" s="1" t="s">
        <v>165</v>
      </c>
      <c r="S2412" s="1"/>
      <c r="U2412" s="1" t="s">
        <v>35</v>
      </c>
      <c r="V2412" s="1" t="s">
        <v>49</v>
      </c>
      <c r="W2412" s="1" t="str">
        <f>VLOOKUP(Table1[[#This Row],[Obergruppe ATC-Code]],Tabelle3!$A$2:$B$100,2)</f>
        <v>ANTIEPILEPTIKA</v>
      </c>
      <c r="X2412" s="1" t="str">
        <f xml:space="preserve"> LEFT(Table1[[#This Row],[Atc Code]],3)</f>
        <v>N03</v>
      </c>
    </row>
    <row r="2413" spans="1:24" ht="14.4">
      <c r="A2413" s="14">
        <v>2896</v>
      </c>
      <c r="B2413" s="24" t="s">
        <v>5184</v>
      </c>
      <c r="C2413" s="1">
        <v>7000143</v>
      </c>
      <c r="D2413" s="1" t="s">
        <v>175</v>
      </c>
      <c r="E2413" s="36">
        <v>45094</v>
      </c>
      <c r="F2413" s="36">
        <v>45230</v>
      </c>
      <c r="G2413" s="38">
        <f t="shared" si="37"/>
        <v>136</v>
      </c>
      <c r="H2413" s="5">
        <v>45099</v>
      </c>
      <c r="I2413" s="5">
        <v>45099</v>
      </c>
      <c r="J2413" s="1" t="s">
        <v>41</v>
      </c>
      <c r="K2413" s="1" t="s">
        <v>5185</v>
      </c>
      <c r="L2413" s="1" t="s">
        <v>5170</v>
      </c>
      <c r="M2413" s="1" t="s">
        <v>5171</v>
      </c>
      <c r="N2413" s="1" t="s">
        <v>38</v>
      </c>
      <c r="O2413" s="1" t="s">
        <v>5179</v>
      </c>
      <c r="P2413" s="1" t="s">
        <v>5186</v>
      </c>
      <c r="Q2413" s="1" t="s">
        <v>5181</v>
      </c>
      <c r="R2413" s="1" t="s">
        <v>165</v>
      </c>
      <c r="S2413" s="1"/>
      <c r="U2413" s="1" t="s">
        <v>35</v>
      </c>
      <c r="V2413" s="1" t="s">
        <v>49</v>
      </c>
      <c r="W2413" s="1" t="str">
        <f>VLOOKUP(Table1[[#This Row],[Obergruppe ATC-Code]],Tabelle3!$A$2:$B$100,2)</f>
        <v>ANTIEPILEPTIKA</v>
      </c>
      <c r="X2413" s="1" t="str">
        <f xml:space="preserve"> LEFT(Table1[[#This Row],[Atc Code]],3)</f>
        <v>N03</v>
      </c>
    </row>
    <row r="2414" spans="1:24" ht="14.4">
      <c r="A2414" s="14">
        <v>2513</v>
      </c>
      <c r="B2414" s="24" t="s">
        <v>5187</v>
      </c>
      <c r="C2414" s="1">
        <v>2184842</v>
      </c>
      <c r="D2414" s="1" t="s">
        <v>102</v>
      </c>
      <c r="E2414" s="36">
        <v>45094</v>
      </c>
      <c r="F2414" s="36">
        <v>45230</v>
      </c>
      <c r="G2414" s="38">
        <f t="shared" si="37"/>
        <v>136</v>
      </c>
      <c r="H2414" s="5">
        <v>45099</v>
      </c>
      <c r="I2414" s="5">
        <v>45100</v>
      </c>
      <c r="J2414" s="1" t="s">
        <v>41</v>
      </c>
      <c r="K2414" s="1" t="s">
        <v>5188</v>
      </c>
      <c r="L2414" s="1" t="s">
        <v>5170</v>
      </c>
      <c r="M2414" s="1" t="s">
        <v>5171</v>
      </c>
      <c r="N2414" s="1" t="s">
        <v>38</v>
      </c>
      <c r="O2414" s="1" t="s">
        <v>5179</v>
      </c>
      <c r="P2414" s="1" t="s">
        <v>5180</v>
      </c>
      <c r="Q2414" s="1" t="s">
        <v>5181</v>
      </c>
      <c r="R2414" s="1" t="s">
        <v>165</v>
      </c>
      <c r="S2414" s="1"/>
      <c r="U2414" s="1" t="s">
        <v>35</v>
      </c>
      <c r="V2414" s="1" t="s">
        <v>596</v>
      </c>
      <c r="W2414" s="1" t="str">
        <f>VLOOKUP(Table1[[#This Row],[Obergruppe ATC-Code]],Tabelle3!$A$2:$B$100,2)</f>
        <v>ANTIEPILEPTIKA</v>
      </c>
      <c r="X2414" s="1" t="str">
        <f xml:space="preserve"> LEFT(Table1[[#This Row],[Atc Code]],3)</f>
        <v>N03</v>
      </c>
    </row>
    <row r="2415" spans="1:24" ht="14.4">
      <c r="A2415" s="14">
        <v>3022</v>
      </c>
      <c r="B2415" s="24" t="s">
        <v>5189</v>
      </c>
      <c r="C2415" s="1">
        <v>2146001</v>
      </c>
      <c r="D2415" s="1" t="s">
        <v>25</v>
      </c>
      <c r="E2415" s="36">
        <v>44044</v>
      </c>
      <c r="F2415" s="36">
        <v>44286</v>
      </c>
      <c r="G2415" s="38">
        <f t="shared" si="37"/>
        <v>242</v>
      </c>
      <c r="H2415" s="5">
        <v>44069</v>
      </c>
      <c r="I2415" s="5">
        <v>44286</v>
      </c>
      <c r="J2415" s="1" t="s">
        <v>26</v>
      </c>
      <c r="K2415" s="1" t="s">
        <v>5190</v>
      </c>
      <c r="L2415" s="1" t="s">
        <v>5191</v>
      </c>
      <c r="M2415" s="1" t="s">
        <v>5192</v>
      </c>
      <c r="N2415" s="1" t="s">
        <v>30</v>
      </c>
      <c r="O2415" s="1" t="s">
        <v>110</v>
      </c>
      <c r="P2415" s="1" t="s">
        <v>111</v>
      </c>
      <c r="Q2415" s="1" t="s">
        <v>112</v>
      </c>
      <c r="R2415" s="1" t="s">
        <v>33</v>
      </c>
      <c r="S2415" s="1"/>
      <c r="U2415" s="1" t="s">
        <v>35</v>
      </c>
      <c r="V2415" s="1" t="s">
        <v>359</v>
      </c>
      <c r="W2415" s="1" t="str">
        <f>VLOOKUP(Table1[[#This Row],[Obergruppe ATC-Code]],Tabelle3!$A$2:$B$100,2)</f>
        <v>ANTIEPILEPTIKA</v>
      </c>
      <c r="X2415" s="1" t="str">
        <f xml:space="preserve"> LEFT(Table1[[#This Row],[Atc Code]],3)</f>
        <v>N03</v>
      </c>
    </row>
    <row r="2416" spans="1:24" ht="14.4">
      <c r="A2416" s="14">
        <v>2068</v>
      </c>
      <c r="B2416" s="24" t="s">
        <v>5193</v>
      </c>
      <c r="C2416" s="1">
        <v>2146006</v>
      </c>
      <c r="D2416" s="1" t="s">
        <v>25</v>
      </c>
      <c r="E2416" s="36">
        <v>44440</v>
      </c>
      <c r="F2416" s="36">
        <v>44788</v>
      </c>
      <c r="G2416" s="38">
        <f t="shared" si="37"/>
        <v>348</v>
      </c>
      <c r="H2416" s="5">
        <v>44504</v>
      </c>
      <c r="I2416" s="5">
        <v>44860</v>
      </c>
      <c r="J2416" s="1" t="s">
        <v>26</v>
      </c>
      <c r="K2416" s="1" t="s">
        <v>5194</v>
      </c>
      <c r="L2416" s="1" t="s">
        <v>5191</v>
      </c>
      <c r="M2416" s="1" t="s">
        <v>5192</v>
      </c>
      <c r="N2416" s="1" t="s">
        <v>38</v>
      </c>
      <c r="O2416" s="1" t="s">
        <v>45</v>
      </c>
      <c r="Q2416" s="1" t="s">
        <v>118</v>
      </c>
      <c r="R2416" s="1" t="s">
        <v>26</v>
      </c>
      <c r="S2416" s="1"/>
      <c r="U2416" s="1" t="s">
        <v>130</v>
      </c>
      <c r="V2416" s="1" t="s">
        <v>359</v>
      </c>
      <c r="W2416" s="1" t="str">
        <f>VLOOKUP(Table1[[#This Row],[Obergruppe ATC-Code]],Tabelle3!$A$2:$B$100,2)</f>
        <v>ANTIEPILEPTIKA</v>
      </c>
      <c r="X2416" s="1" t="str">
        <f xml:space="preserve"> LEFT(Table1[[#This Row],[Atc Code]],3)</f>
        <v>N03</v>
      </c>
    </row>
    <row r="2417" spans="1:24" ht="14.4">
      <c r="A2417" s="14">
        <v>2067</v>
      </c>
      <c r="B2417" s="24" t="s">
        <v>5195</v>
      </c>
      <c r="C2417" s="1">
        <v>2146004</v>
      </c>
      <c r="D2417" s="1" t="s">
        <v>25</v>
      </c>
      <c r="E2417" s="36">
        <v>44440</v>
      </c>
      <c r="F2417" s="36">
        <v>44788</v>
      </c>
      <c r="G2417" s="38">
        <f t="shared" si="37"/>
        <v>348</v>
      </c>
      <c r="H2417" s="5">
        <v>44504</v>
      </c>
      <c r="I2417" s="5">
        <v>44860</v>
      </c>
      <c r="J2417" s="1" t="s">
        <v>26</v>
      </c>
      <c r="K2417" s="1" t="s">
        <v>5196</v>
      </c>
      <c r="L2417" s="1" t="s">
        <v>5191</v>
      </c>
      <c r="M2417" s="1" t="s">
        <v>5192</v>
      </c>
      <c r="N2417" s="1" t="s">
        <v>38</v>
      </c>
      <c r="O2417" s="1" t="s">
        <v>45</v>
      </c>
      <c r="Q2417" s="1" t="s">
        <v>118</v>
      </c>
      <c r="R2417" s="1" t="s">
        <v>26</v>
      </c>
      <c r="S2417" s="1"/>
      <c r="U2417" s="1" t="s">
        <v>130</v>
      </c>
      <c r="V2417" s="1" t="s">
        <v>359</v>
      </c>
      <c r="W2417" s="1" t="str">
        <f>VLOOKUP(Table1[[#This Row],[Obergruppe ATC-Code]],Tabelle3!$A$2:$B$100,2)</f>
        <v>ANTIEPILEPTIKA</v>
      </c>
      <c r="X2417" s="1" t="str">
        <f xml:space="preserve"> LEFT(Table1[[#This Row],[Atc Code]],3)</f>
        <v>N03</v>
      </c>
    </row>
    <row r="2418" spans="1:24" ht="14.4">
      <c r="A2418" s="14">
        <v>1808</v>
      </c>
      <c r="B2418" s="24" t="s">
        <v>5197</v>
      </c>
      <c r="C2418" s="1">
        <v>2146002</v>
      </c>
      <c r="D2418" s="1" t="s">
        <v>25</v>
      </c>
      <c r="E2418" s="36">
        <v>44770</v>
      </c>
      <c r="F2418" s="36">
        <v>44979</v>
      </c>
      <c r="G2418" s="38">
        <f t="shared" si="37"/>
        <v>209</v>
      </c>
      <c r="H2418" s="5">
        <v>44770</v>
      </c>
      <c r="I2418" s="5">
        <v>44979</v>
      </c>
      <c r="J2418" s="1" t="s">
        <v>26</v>
      </c>
      <c r="K2418" s="1" t="s">
        <v>5198</v>
      </c>
      <c r="L2418" s="1" t="s">
        <v>5191</v>
      </c>
      <c r="M2418" s="1" t="s">
        <v>5192</v>
      </c>
      <c r="N2418" s="1" t="s">
        <v>38</v>
      </c>
      <c r="O2418" s="1" t="s">
        <v>110</v>
      </c>
      <c r="P2418" s="1">
        <v>49733396510</v>
      </c>
      <c r="R2418" s="1" t="s">
        <v>113</v>
      </c>
      <c r="S2418" s="1" t="s">
        <v>1485</v>
      </c>
      <c r="U2418" s="1" t="s">
        <v>130</v>
      </c>
      <c r="V2418" s="1" t="s">
        <v>359</v>
      </c>
      <c r="W2418" s="1" t="str">
        <f>VLOOKUP(Table1[[#This Row],[Obergruppe ATC-Code]],Tabelle3!$A$2:$B$100,2)</f>
        <v>ANTIEPILEPTIKA</v>
      </c>
      <c r="X2418" s="1" t="str">
        <f xml:space="preserve"> LEFT(Table1[[#This Row],[Atc Code]],3)</f>
        <v>N03</v>
      </c>
    </row>
    <row r="2419" spans="1:24" ht="14.4">
      <c r="A2419" s="14">
        <v>2420</v>
      </c>
      <c r="B2419" s="24" t="s">
        <v>5199</v>
      </c>
      <c r="C2419" s="1">
        <v>2111431</v>
      </c>
      <c r="D2419" s="1" t="s">
        <v>25</v>
      </c>
      <c r="E2419" s="36">
        <v>44916</v>
      </c>
      <c r="F2419" s="36">
        <v>44985</v>
      </c>
      <c r="G2419" s="38">
        <f t="shared" si="37"/>
        <v>69</v>
      </c>
      <c r="H2419" s="5">
        <v>44946</v>
      </c>
      <c r="I2419" s="5">
        <v>44993</v>
      </c>
      <c r="J2419" s="1" t="s">
        <v>26</v>
      </c>
      <c r="K2419" s="1" t="s">
        <v>5200</v>
      </c>
      <c r="L2419" s="1" t="s">
        <v>5191</v>
      </c>
      <c r="M2419" s="1" t="s">
        <v>5192</v>
      </c>
      <c r="N2419" s="1" t="s">
        <v>38</v>
      </c>
      <c r="O2419" s="1" t="s">
        <v>5179</v>
      </c>
      <c r="Q2419" s="1" t="s">
        <v>5201</v>
      </c>
      <c r="R2419" s="1" t="s">
        <v>26</v>
      </c>
      <c r="S2419" s="1"/>
      <c r="U2419" s="1" t="s">
        <v>35</v>
      </c>
      <c r="V2419" s="1" t="s">
        <v>359</v>
      </c>
      <c r="W2419" s="1" t="str">
        <f>VLOOKUP(Table1[[#This Row],[Obergruppe ATC-Code]],Tabelle3!$A$2:$B$100,2)</f>
        <v>ANTIEPILEPTIKA</v>
      </c>
      <c r="X2419" s="1" t="str">
        <f xml:space="preserve"> LEFT(Table1[[#This Row],[Atc Code]],3)</f>
        <v>N03</v>
      </c>
    </row>
    <row r="2420" spans="1:24" ht="14.4">
      <c r="A2420" s="14">
        <v>1783</v>
      </c>
      <c r="B2420" s="24" t="s">
        <v>5202</v>
      </c>
      <c r="C2420" s="1">
        <v>2146005</v>
      </c>
      <c r="D2420" s="1" t="s">
        <v>102</v>
      </c>
      <c r="E2420" s="36">
        <v>44741</v>
      </c>
      <c r="F2420" s="36">
        <v>45230</v>
      </c>
      <c r="G2420" s="38">
        <f t="shared" si="37"/>
        <v>489</v>
      </c>
      <c r="H2420" s="5">
        <v>44946</v>
      </c>
      <c r="I2420" s="5">
        <v>44995</v>
      </c>
      <c r="J2420" s="1" t="s">
        <v>26</v>
      </c>
      <c r="K2420" s="1" t="s">
        <v>5203</v>
      </c>
      <c r="L2420" s="1" t="s">
        <v>5191</v>
      </c>
      <c r="M2420" s="1" t="s">
        <v>5192</v>
      </c>
      <c r="N2420" s="1" t="s">
        <v>38</v>
      </c>
      <c r="O2420" s="1" t="s">
        <v>5179</v>
      </c>
      <c r="Q2420" s="1" t="s">
        <v>5201</v>
      </c>
      <c r="R2420" s="1" t="s">
        <v>26</v>
      </c>
      <c r="S2420" s="1"/>
      <c r="U2420" s="1" t="s">
        <v>35</v>
      </c>
      <c r="V2420" s="1" t="s">
        <v>359</v>
      </c>
      <c r="W2420" s="1" t="str">
        <f>VLOOKUP(Table1[[#This Row],[Obergruppe ATC-Code]],Tabelle3!$A$2:$B$100,2)</f>
        <v>ANTIEPILEPTIKA</v>
      </c>
      <c r="X2420" s="1" t="str">
        <f xml:space="preserve"> LEFT(Table1[[#This Row],[Atc Code]],3)</f>
        <v>N03</v>
      </c>
    </row>
    <row r="2421" spans="1:24" ht="14.4">
      <c r="A2421" s="14">
        <v>720</v>
      </c>
      <c r="B2421" s="24">
        <v>4922989</v>
      </c>
      <c r="C2421" s="1">
        <v>2113103</v>
      </c>
      <c r="D2421" s="1" t="s">
        <v>25</v>
      </c>
      <c r="E2421" s="36">
        <v>45019</v>
      </c>
      <c r="F2421" s="36">
        <v>45040</v>
      </c>
      <c r="G2421" s="38">
        <f t="shared" si="37"/>
        <v>21</v>
      </c>
      <c r="H2421" s="5">
        <v>45020</v>
      </c>
      <c r="I2421" s="5">
        <v>45040</v>
      </c>
      <c r="J2421" s="1" t="s">
        <v>41</v>
      </c>
      <c r="K2421" s="1" t="s">
        <v>5204</v>
      </c>
      <c r="L2421" s="1" t="s">
        <v>5191</v>
      </c>
      <c r="M2421" s="1" t="s">
        <v>5192</v>
      </c>
      <c r="N2421" s="1" t="s">
        <v>38</v>
      </c>
      <c r="O2421" s="1" t="s">
        <v>224</v>
      </c>
      <c r="Q2421" s="1" t="s">
        <v>4386</v>
      </c>
      <c r="R2421" s="1" t="s">
        <v>128</v>
      </c>
      <c r="S2421" s="1" t="s">
        <v>5205</v>
      </c>
      <c r="U2421" s="1" t="s">
        <v>130</v>
      </c>
      <c r="V2421" s="1" t="s">
        <v>359</v>
      </c>
      <c r="W2421" s="1" t="str">
        <f>VLOOKUP(Table1[[#This Row],[Obergruppe ATC-Code]],Tabelle3!$A$2:$B$100,2)</f>
        <v>ANTIEPILEPTIKA</v>
      </c>
      <c r="X2421" s="1" t="str">
        <f xml:space="preserve"> LEFT(Table1[[#This Row],[Atc Code]],3)</f>
        <v>N03</v>
      </c>
    </row>
    <row r="2422" spans="1:24" ht="14.4">
      <c r="A2422" s="14">
        <v>1809</v>
      </c>
      <c r="B2422" s="24" t="s">
        <v>5206</v>
      </c>
      <c r="C2422" s="1">
        <v>2146001</v>
      </c>
      <c r="D2422" s="1" t="s">
        <v>25</v>
      </c>
      <c r="E2422" s="36">
        <v>44887</v>
      </c>
      <c r="F2422" s="36">
        <v>45042</v>
      </c>
      <c r="G2422" s="38">
        <f t="shared" si="37"/>
        <v>155</v>
      </c>
      <c r="H2422" s="5">
        <v>44887</v>
      </c>
      <c r="I2422" s="5">
        <v>45042</v>
      </c>
      <c r="J2422" s="1" t="s">
        <v>26</v>
      </c>
      <c r="K2422" s="1" t="s">
        <v>5190</v>
      </c>
      <c r="L2422" s="1" t="s">
        <v>5191</v>
      </c>
      <c r="M2422" s="1" t="s">
        <v>5192</v>
      </c>
      <c r="N2422" s="1" t="s">
        <v>38</v>
      </c>
      <c r="O2422" s="1" t="s">
        <v>110</v>
      </c>
      <c r="P2422" s="1">
        <v>49733396510</v>
      </c>
      <c r="Q2422" s="1" t="s">
        <v>1141</v>
      </c>
      <c r="R2422" s="1" t="s">
        <v>113</v>
      </c>
      <c r="S2422" s="1" t="s">
        <v>1487</v>
      </c>
      <c r="U2422" s="1" t="s">
        <v>130</v>
      </c>
      <c r="V2422" s="1" t="s">
        <v>359</v>
      </c>
      <c r="W2422" s="1" t="str">
        <f>VLOOKUP(Table1[[#This Row],[Obergruppe ATC-Code]],Tabelle3!$A$2:$B$100,2)</f>
        <v>ANTIEPILEPTIKA</v>
      </c>
      <c r="X2422" s="1" t="str">
        <f xml:space="preserve"> LEFT(Table1[[#This Row],[Atc Code]],3)</f>
        <v>N03</v>
      </c>
    </row>
    <row r="2423" spans="1:24" ht="14.4">
      <c r="A2423" s="14">
        <v>722</v>
      </c>
      <c r="B2423" s="24">
        <v>4922995</v>
      </c>
      <c r="C2423" s="1">
        <v>2114008</v>
      </c>
      <c r="D2423" s="1" t="s">
        <v>25</v>
      </c>
      <c r="E2423" s="36">
        <v>45040</v>
      </c>
      <c r="F2423" s="36">
        <v>45056</v>
      </c>
      <c r="G2423" s="38">
        <f t="shared" si="37"/>
        <v>16</v>
      </c>
      <c r="H2423" s="5">
        <v>45048</v>
      </c>
      <c r="I2423" s="5">
        <v>45056</v>
      </c>
      <c r="J2423" s="1" t="s">
        <v>26</v>
      </c>
      <c r="K2423" s="1" t="s">
        <v>5207</v>
      </c>
      <c r="L2423" s="1" t="s">
        <v>5191</v>
      </c>
      <c r="M2423" s="1" t="s">
        <v>5192</v>
      </c>
      <c r="N2423" s="1" t="s">
        <v>38</v>
      </c>
      <c r="O2423" s="1" t="s">
        <v>224</v>
      </c>
      <c r="P2423" s="1" t="s">
        <v>5208</v>
      </c>
      <c r="R2423" s="1" t="s">
        <v>26</v>
      </c>
      <c r="S2423" s="1" t="s">
        <v>5209</v>
      </c>
      <c r="U2423" s="1" t="s">
        <v>130</v>
      </c>
      <c r="V2423" s="1" t="s">
        <v>359</v>
      </c>
      <c r="W2423" s="1" t="str">
        <f>VLOOKUP(Table1[[#This Row],[Obergruppe ATC-Code]],Tabelle3!$A$2:$B$100,2)</f>
        <v>ANTIEPILEPTIKA</v>
      </c>
      <c r="X2423" s="1" t="str">
        <f xml:space="preserve"> LEFT(Table1[[#This Row],[Atc Code]],3)</f>
        <v>N03</v>
      </c>
    </row>
    <row r="2424" spans="1:24" ht="14.4">
      <c r="A2424" s="14">
        <v>1750</v>
      </c>
      <c r="B2424" s="24" t="s">
        <v>5210</v>
      </c>
      <c r="C2424" s="1">
        <v>2146000</v>
      </c>
      <c r="D2424" s="1" t="s">
        <v>25</v>
      </c>
      <c r="E2424" s="36">
        <v>44950</v>
      </c>
      <c r="F2424" s="36">
        <v>45089</v>
      </c>
      <c r="G2424" s="38">
        <f t="shared" si="37"/>
        <v>139</v>
      </c>
      <c r="H2424" s="5">
        <v>44950</v>
      </c>
      <c r="I2424" s="5">
        <v>45090</v>
      </c>
      <c r="J2424" s="1" t="s">
        <v>41</v>
      </c>
      <c r="K2424" s="1" t="s">
        <v>5211</v>
      </c>
      <c r="L2424" s="1" t="s">
        <v>5191</v>
      </c>
      <c r="M2424" s="1" t="s">
        <v>5192</v>
      </c>
      <c r="N2424" s="1" t="s">
        <v>38</v>
      </c>
      <c r="O2424" s="1" t="s">
        <v>140</v>
      </c>
      <c r="Q2424" s="1" t="s">
        <v>141</v>
      </c>
      <c r="R2424" s="1" t="s">
        <v>26</v>
      </c>
      <c r="S2424" s="1"/>
      <c r="U2424" s="1" t="s">
        <v>35</v>
      </c>
      <c r="V2424" s="1" t="s">
        <v>359</v>
      </c>
      <c r="W2424" s="1" t="str">
        <f>VLOOKUP(Table1[[#This Row],[Obergruppe ATC-Code]],Tabelle3!$A$2:$B$100,2)</f>
        <v>ANTIEPILEPTIKA</v>
      </c>
      <c r="X2424" s="1" t="str">
        <f xml:space="preserve"> LEFT(Table1[[#This Row],[Atc Code]],3)</f>
        <v>N03</v>
      </c>
    </row>
    <row r="2425" spans="1:24" ht="14.4">
      <c r="A2425" s="14">
        <v>1749</v>
      </c>
      <c r="B2425" s="24" t="s">
        <v>5212</v>
      </c>
      <c r="C2425" s="1">
        <v>2116581</v>
      </c>
      <c r="D2425" s="1" t="s">
        <v>102</v>
      </c>
      <c r="E2425" s="36">
        <v>44950</v>
      </c>
      <c r="F2425" s="36">
        <v>45231</v>
      </c>
      <c r="G2425" s="38">
        <f t="shared" si="37"/>
        <v>281</v>
      </c>
      <c r="H2425" s="5">
        <v>44950</v>
      </c>
      <c r="I2425" s="5">
        <v>45090</v>
      </c>
      <c r="J2425" s="1" t="s">
        <v>41</v>
      </c>
      <c r="K2425" s="1" t="s">
        <v>5213</v>
      </c>
      <c r="L2425" s="1" t="s">
        <v>5191</v>
      </c>
      <c r="M2425" s="1" t="s">
        <v>5192</v>
      </c>
      <c r="N2425" s="1" t="s">
        <v>38</v>
      </c>
      <c r="O2425" s="1" t="s">
        <v>140</v>
      </c>
      <c r="Q2425" s="1" t="s">
        <v>141</v>
      </c>
      <c r="R2425" s="1" t="s">
        <v>26</v>
      </c>
      <c r="S2425" s="1"/>
      <c r="U2425" s="1" t="s">
        <v>130</v>
      </c>
      <c r="V2425" s="1" t="s">
        <v>359</v>
      </c>
      <c r="W2425" s="1" t="str">
        <f>VLOOKUP(Table1[[#This Row],[Obergruppe ATC-Code]],Tabelle3!$A$2:$B$100,2)</f>
        <v>ANTIEPILEPTIKA</v>
      </c>
      <c r="X2425" s="1" t="str">
        <f xml:space="preserve"> LEFT(Table1[[#This Row],[Atc Code]],3)</f>
        <v>N03</v>
      </c>
    </row>
    <row r="2426" spans="1:24" ht="14.4">
      <c r="A2426" s="14">
        <v>1746</v>
      </c>
      <c r="B2426" s="24" t="s">
        <v>5214</v>
      </c>
      <c r="C2426" s="1">
        <v>2145999</v>
      </c>
      <c r="D2426" s="1" t="s">
        <v>25</v>
      </c>
      <c r="E2426" s="36">
        <v>44950</v>
      </c>
      <c r="F2426" s="36">
        <v>45086</v>
      </c>
      <c r="G2426" s="38">
        <f t="shared" si="37"/>
        <v>136</v>
      </c>
      <c r="H2426" s="5">
        <v>44950</v>
      </c>
      <c r="I2426" s="5">
        <v>45090</v>
      </c>
      <c r="J2426" s="1" t="s">
        <v>41</v>
      </c>
      <c r="K2426" s="1" t="s">
        <v>5215</v>
      </c>
      <c r="L2426" s="1" t="s">
        <v>5191</v>
      </c>
      <c r="M2426" s="1" t="s">
        <v>5192</v>
      </c>
      <c r="N2426" s="1" t="s">
        <v>38</v>
      </c>
      <c r="O2426" s="1" t="s">
        <v>140</v>
      </c>
      <c r="Q2426" s="1" t="s">
        <v>141</v>
      </c>
      <c r="R2426" s="1" t="s">
        <v>26</v>
      </c>
      <c r="S2426" s="1"/>
      <c r="U2426" s="1" t="s">
        <v>35</v>
      </c>
      <c r="V2426" s="1" t="s">
        <v>359</v>
      </c>
      <c r="W2426" s="1" t="str">
        <f>VLOOKUP(Table1[[#This Row],[Obergruppe ATC-Code]],Tabelle3!$A$2:$B$100,2)</f>
        <v>ANTIEPILEPTIKA</v>
      </c>
      <c r="X2426" s="1" t="str">
        <f xml:space="preserve"> LEFT(Table1[[#This Row],[Atc Code]],3)</f>
        <v>N03</v>
      </c>
    </row>
    <row r="2427" spans="1:24" ht="14.4">
      <c r="A2427" s="14">
        <v>1742</v>
      </c>
      <c r="B2427" s="24" t="s">
        <v>5216</v>
      </c>
      <c r="C2427" s="1">
        <v>2133994</v>
      </c>
      <c r="D2427" s="1" t="s">
        <v>25</v>
      </c>
      <c r="E2427" s="36">
        <v>44950</v>
      </c>
      <c r="F2427" s="36">
        <v>45086</v>
      </c>
      <c r="G2427" s="38">
        <f t="shared" si="37"/>
        <v>136</v>
      </c>
      <c r="H2427" s="5">
        <v>44950</v>
      </c>
      <c r="I2427" s="5">
        <v>45090</v>
      </c>
      <c r="J2427" s="1" t="s">
        <v>41</v>
      </c>
      <c r="K2427" s="1" t="s">
        <v>5217</v>
      </c>
      <c r="L2427" s="1" t="s">
        <v>5191</v>
      </c>
      <c r="M2427" s="1" t="s">
        <v>5192</v>
      </c>
      <c r="N2427" s="1" t="s">
        <v>38</v>
      </c>
      <c r="O2427" s="1" t="s">
        <v>140</v>
      </c>
      <c r="Q2427" s="1" t="s">
        <v>141</v>
      </c>
      <c r="R2427" s="1" t="s">
        <v>26</v>
      </c>
      <c r="S2427" s="1"/>
      <c r="U2427" s="1" t="s">
        <v>35</v>
      </c>
      <c r="V2427" s="1" t="s">
        <v>49</v>
      </c>
      <c r="W2427" s="1" t="str">
        <f>VLOOKUP(Table1[[#This Row],[Obergruppe ATC-Code]],Tabelle3!$A$2:$B$100,2)</f>
        <v>ANTIEPILEPTIKA</v>
      </c>
      <c r="X2427" s="1" t="str">
        <f xml:space="preserve"> LEFT(Table1[[#This Row],[Atc Code]],3)</f>
        <v>N03</v>
      </c>
    </row>
    <row r="2428" spans="1:24" ht="14.4">
      <c r="A2428" s="14">
        <v>1807</v>
      </c>
      <c r="B2428" s="24" t="s">
        <v>5197</v>
      </c>
      <c r="C2428" s="1">
        <v>2146002</v>
      </c>
      <c r="D2428" s="1" t="s">
        <v>25</v>
      </c>
      <c r="E2428" s="36">
        <v>45046</v>
      </c>
      <c r="F2428" s="36">
        <v>45105</v>
      </c>
      <c r="G2428" s="38">
        <f t="shared" si="37"/>
        <v>59</v>
      </c>
      <c r="H2428" s="5">
        <v>45048</v>
      </c>
      <c r="I2428" s="5">
        <v>45106</v>
      </c>
      <c r="J2428" s="1" t="s">
        <v>26</v>
      </c>
      <c r="K2428" s="1" t="s">
        <v>5198</v>
      </c>
      <c r="L2428" s="1" t="s">
        <v>5191</v>
      </c>
      <c r="M2428" s="1" t="s">
        <v>5192</v>
      </c>
      <c r="N2428" s="1" t="s">
        <v>38</v>
      </c>
      <c r="O2428" s="1" t="s">
        <v>110</v>
      </c>
      <c r="P2428" s="1">
        <v>49733396510</v>
      </c>
      <c r="Q2428" s="1" t="s">
        <v>5218</v>
      </c>
      <c r="R2428" s="1" t="s">
        <v>113</v>
      </c>
      <c r="S2428" s="1" t="s">
        <v>2830</v>
      </c>
      <c r="U2428" s="1" t="s">
        <v>130</v>
      </c>
      <c r="V2428" s="1" t="s">
        <v>359</v>
      </c>
      <c r="W2428" s="1" t="str">
        <f>VLOOKUP(Table1[[#This Row],[Obergruppe ATC-Code]],Tabelle3!$A$2:$B$100,2)</f>
        <v>ANTIEPILEPTIKA</v>
      </c>
      <c r="X2428" s="1" t="str">
        <f xml:space="preserve"> LEFT(Table1[[#This Row],[Atc Code]],3)</f>
        <v>N03</v>
      </c>
    </row>
    <row r="2429" spans="1:24" ht="14.4">
      <c r="A2429" s="14">
        <v>2024</v>
      </c>
      <c r="B2429" s="24" t="s">
        <v>5219</v>
      </c>
      <c r="C2429" s="1">
        <v>2107536</v>
      </c>
      <c r="D2429" s="1" t="s">
        <v>25</v>
      </c>
      <c r="E2429" s="36">
        <v>44902</v>
      </c>
      <c r="F2429" s="36">
        <v>45107</v>
      </c>
      <c r="G2429" s="38">
        <f t="shared" si="37"/>
        <v>205</v>
      </c>
      <c r="H2429" s="5">
        <v>44946</v>
      </c>
      <c r="I2429" s="5">
        <v>45107</v>
      </c>
      <c r="J2429" s="1" t="s">
        <v>26</v>
      </c>
      <c r="K2429" s="1" t="s">
        <v>5220</v>
      </c>
      <c r="L2429" s="1" t="s">
        <v>5191</v>
      </c>
      <c r="M2429" s="1" t="s">
        <v>5192</v>
      </c>
      <c r="N2429" s="1" t="s">
        <v>38</v>
      </c>
      <c r="O2429" s="1" t="s">
        <v>5179</v>
      </c>
      <c r="Q2429" s="1" t="s">
        <v>5181</v>
      </c>
      <c r="R2429" s="1" t="s">
        <v>26</v>
      </c>
      <c r="S2429" s="1"/>
      <c r="U2429" s="1" t="s">
        <v>35</v>
      </c>
      <c r="V2429" s="1" t="s">
        <v>49</v>
      </c>
      <c r="W2429" s="1" t="str">
        <f>VLOOKUP(Table1[[#This Row],[Obergruppe ATC-Code]],Tabelle3!$A$2:$B$100,2)</f>
        <v>ANTIEPILEPTIKA</v>
      </c>
      <c r="X2429" s="1" t="str">
        <f xml:space="preserve"> LEFT(Table1[[#This Row],[Atc Code]],3)</f>
        <v>N03</v>
      </c>
    </row>
    <row r="2430" spans="1:24" ht="14.4">
      <c r="A2430" s="14">
        <v>719</v>
      </c>
      <c r="B2430" s="24">
        <v>4922972</v>
      </c>
      <c r="C2430" s="1">
        <v>2114005</v>
      </c>
      <c r="D2430" s="1" t="s">
        <v>25</v>
      </c>
      <c r="E2430" s="36">
        <v>45086</v>
      </c>
      <c r="F2430" s="36">
        <v>45124</v>
      </c>
      <c r="G2430" s="38">
        <f t="shared" si="37"/>
        <v>38</v>
      </c>
      <c r="H2430" s="5">
        <v>45089</v>
      </c>
      <c r="I2430" s="5">
        <v>45125</v>
      </c>
      <c r="J2430" s="1" t="s">
        <v>41</v>
      </c>
      <c r="K2430" s="1" t="s">
        <v>5221</v>
      </c>
      <c r="L2430" s="1" t="s">
        <v>5191</v>
      </c>
      <c r="M2430" s="1" t="s">
        <v>5192</v>
      </c>
      <c r="N2430" s="1" t="s">
        <v>38</v>
      </c>
      <c r="O2430" s="1" t="s">
        <v>224</v>
      </c>
      <c r="P2430" s="1" t="s">
        <v>5222</v>
      </c>
      <c r="R2430" s="1" t="s">
        <v>128</v>
      </c>
      <c r="S2430" s="1" t="s">
        <v>4368</v>
      </c>
      <c r="U2430" s="1" t="s">
        <v>130</v>
      </c>
      <c r="V2430" s="1" t="s">
        <v>49</v>
      </c>
      <c r="W2430" s="1" t="str">
        <f>VLOOKUP(Table1[[#This Row],[Obergruppe ATC-Code]],Tabelle3!$A$2:$B$100,2)</f>
        <v>ANTIEPILEPTIKA</v>
      </c>
      <c r="X2430" s="1" t="str">
        <f xml:space="preserve"> LEFT(Table1[[#This Row],[Atc Code]],3)</f>
        <v>N03</v>
      </c>
    </row>
    <row r="2431" spans="1:24" ht="14.4">
      <c r="A2431" s="14">
        <v>1774</v>
      </c>
      <c r="B2431" s="24" t="s">
        <v>5223</v>
      </c>
      <c r="C2431" s="1">
        <v>2146003</v>
      </c>
      <c r="D2431" s="1" t="s">
        <v>25</v>
      </c>
      <c r="E2431" s="36">
        <v>44904</v>
      </c>
      <c r="F2431" s="36">
        <v>45131</v>
      </c>
      <c r="G2431" s="38">
        <f t="shared" si="37"/>
        <v>227</v>
      </c>
      <c r="H2431" s="5">
        <v>44946</v>
      </c>
      <c r="I2431" s="5">
        <v>45131</v>
      </c>
      <c r="J2431" s="1" t="s">
        <v>26</v>
      </c>
      <c r="K2431" s="1" t="s">
        <v>5224</v>
      </c>
      <c r="L2431" s="1" t="s">
        <v>5191</v>
      </c>
      <c r="M2431" s="1" t="s">
        <v>5192</v>
      </c>
      <c r="N2431" s="1" t="s">
        <v>38</v>
      </c>
      <c r="O2431" s="1" t="s">
        <v>5179</v>
      </c>
      <c r="Q2431" s="1" t="s">
        <v>5201</v>
      </c>
      <c r="R2431" s="1" t="s">
        <v>26</v>
      </c>
      <c r="S2431" s="1"/>
      <c r="U2431" s="1" t="s">
        <v>35</v>
      </c>
      <c r="V2431" s="1" t="s">
        <v>359</v>
      </c>
      <c r="W2431" s="1" t="str">
        <f>VLOOKUP(Table1[[#This Row],[Obergruppe ATC-Code]],Tabelle3!$A$2:$B$100,2)</f>
        <v>ANTIEPILEPTIKA</v>
      </c>
      <c r="X2431" s="1" t="str">
        <f xml:space="preserve"> LEFT(Table1[[#This Row],[Atc Code]],3)</f>
        <v>N03</v>
      </c>
    </row>
    <row r="2432" spans="1:24" ht="14.4">
      <c r="A2432" s="14">
        <v>721</v>
      </c>
      <c r="B2432" s="24">
        <v>4922995</v>
      </c>
      <c r="C2432" s="1">
        <v>2114008</v>
      </c>
      <c r="D2432" s="1" t="s">
        <v>25</v>
      </c>
      <c r="E2432" s="36">
        <v>45152</v>
      </c>
      <c r="F2432" s="36">
        <v>45166</v>
      </c>
      <c r="G2432" s="38">
        <f t="shared" si="37"/>
        <v>14</v>
      </c>
      <c r="H2432" s="5">
        <v>45152</v>
      </c>
      <c r="I2432" s="5">
        <v>45166</v>
      </c>
      <c r="J2432" s="1" t="s">
        <v>41</v>
      </c>
      <c r="K2432" s="1" t="s">
        <v>5207</v>
      </c>
      <c r="L2432" s="1" t="s">
        <v>5191</v>
      </c>
      <c r="M2432" s="1" t="s">
        <v>5192</v>
      </c>
      <c r="N2432" s="1" t="s">
        <v>38</v>
      </c>
      <c r="O2432" s="1" t="s">
        <v>224</v>
      </c>
      <c r="P2432" s="1" t="s">
        <v>5225</v>
      </c>
      <c r="R2432" s="1" t="s">
        <v>128</v>
      </c>
      <c r="S2432" s="1" t="s">
        <v>5226</v>
      </c>
      <c r="U2432" s="1" t="s">
        <v>130</v>
      </c>
      <c r="V2432" s="1" t="s">
        <v>359</v>
      </c>
      <c r="W2432" s="1" t="str">
        <f>VLOOKUP(Table1[[#This Row],[Obergruppe ATC-Code]],Tabelle3!$A$2:$B$100,2)</f>
        <v>ANTIEPILEPTIKA</v>
      </c>
      <c r="X2432" s="1" t="str">
        <f xml:space="preserve"> LEFT(Table1[[#This Row],[Atc Code]],3)</f>
        <v>N03</v>
      </c>
    </row>
    <row r="2433" spans="1:24" ht="14.4">
      <c r="A2433" s="14">
        <v>1754</v>
      </c>
      <c r="B2433" s="24" t="s">
        <v>5227</v>
      </c>
      <c r="C2433" s="1">
        <v>2116582</v>
      </c>
      <c r="D2433" s="1" t="s">
        <v>102</v>
      </c>
      <c r="E2433" s="36">
        <v>44950</v>
      </c>
      <c r="F2433" s="36">
        <v>45261</v>
      </c>
      <c r="G2433" s="38">
        <f t="shared" si="37"/>
        <v>311</v>
      </c>
      <c r="H2433" s="5">
        <v>44950</v>
      </c>
      <c r="I2433" s="5">
        <v>45203</v>
      </c>
      <c r="J2433" s="1" t="s">
        <v>41</v>
      </c>
      <c r="K2433" s="1" t="s">
        <v>5228</v>
      </c>
      <c r="L2433" s="1" t="s">
        <v>5191</v>
      </c>
      <c r="M2433" s="1" t="s">
        <v>5192</v>
      </c>
      <c r="N2433" s="1" t="s">
        <v>38</v>
      </c>
      <c r="O2433" s="1" t="s">
        <v>140</v>
      </c>
      <c r="Q2433" s="1" t="s">
        <v>141</v>
      </c>
      <c r="R2433" s="1" t="s">
        <v>26</v>
      </c>
      <c r="S2433" s="1"/>
      <c r="U2433" s="1" t="s">
        <v>35</v>
      </c>
      <c r="V2433" s="1" t="s">
        <v>359</v>
      </c>
      <c r="W2433" s="1" t="str">
        <f>VLOOKUP(Table1[[#This Row],[Obergruppe ATC-Code]],Tabelle3!$A$2:$B$100,2)</f>
        <v>ANTIEPILEPTIKA</v>
      </c>
      <c r="X2433" s="1" t="str">
        <f xml:space="preserve"> LEFT(Table1[[#This Row],[Atc Code]],3)</f>
        <v>N03</v>
      </c>
    </row>
    <row r="2434" spans="1:24" ht="14.4">
      <c r="A2434" s="14">
        <v>1802</v>
      </c>
      <c r="B2434" s="24" t="s">
        <v>5229</v>
      </c>
      <c r="C2434" s="1">
        <v>2113716</v>
      </c>
      <c r="D2434" s="1" t="s">
        <v>102</v>
      </c>
      <c r="E2434" s="36">
        <v>45070</v>
      </c>
      <c r="F2434" s="36">
        <v>45275</v>
      </c>
      <c r="G2434" s="38">
        <f t="shared" ref="G2434:G2497" si="38">F2434-E2434</f>
        <v>205</v>
      </c>
      <c r="H2434" s="5">
        <v>45146</v>
      </c>
      <c r="I2434" s="5">
        <v>45209</v>
      </c>
      <c r="J2434" s="1" t="s">
        <v>26</v>
      </c>
      <c r="K2434" s="1" t="s">
        <v>5230</v>
      </c>
      <c r="L2434" s="1" t="s">
        <v>5191</v>
      </c>
      <c r="M2434" s="1" t="s">
        <v>5192</v>
      </c>
      <c r="N2434" s="1" t="s">
        <v>38</v>
      </c>
      <c r="O2434" s="1" t="s">
        <v>1697</v>
      </c>
      <c r="P2434" s="1" t="s">
        <v>823</v>
      </c>
      <c r="Q2434" s="1" t="s">
        <v>824</v>
      </c>
      <c r="R2434" s="1" t="s">
        <v>26</v>
      </c>
      <c r="S2434" s="1"/>
      <c r="T2434" s="1" t="s">
        <v>5231</v>
      </c>
      <c r="U2434" s="1" t="s">
        <v>35</v>
      </c>
      <c r="V2434" s="1" t="s">
        <v>359</v>
      </c>
      <c r="W2434" s="1" t="str">
        <f>VLOOKUP(Table1[[#This Row],[Obergruppe ATC-Code]],Tabelle3!$A$2:$B$100,2)</f>
        <v>ANTIEPILEPTIKA</v>
      </c>
      <c r="X2434" s="1" t="str">
        <f xml:space="preserve"> LEFT(Table1[[#This Row],[Atc Code]],3)</f>
        <v>N03</v>
      </c>
    </row>
    <row r="2435" spans="1:24" ht="14.4">
      <c r="A2435" s="14">
        <v>1817</v>
      </c>
      <c r="B2435" s="24" t="s">
        <v>5232</v>
      </c>
      <c r="C2435" s="1">
        <v>2159588</v>
      </c>
      <c r="D2435" s="1" t="s">
        <v>25</v>
      </c>
      <c r="E2435" s="36">
        <v>44536</v>
      </c>
      <c r="F2435" s="36">
        <v>44746</v>
      </c>
      <c r="G2435" s="38">
        <f t="shared" si="38"/>
        <v>210</v>
      </c>
      <c r="H2435" s="5">
        <v>44536</v>
      </c>
      <c r="I2435" s="5">
        <v>44746</v>
      </c>
      <c r="J2435" s="1" t="s">
        <v>26</v>
      </c>
      <c r="K2435" s="1" t="s">
        <v>5233</v>
      </c>
      <c r="L2435" s="1" t="s">
        <v>5234</v>
      </c>
      <c r="M2435" s="1" t="s">
        <v>5235</v>
      </c>
      <c r="N2435" s="1" t="s">
        <v>38</v>
      </c>
      <c r="O2435" s="1" t="s">
        <v>91</v>
      </c>
      <c r="P2435" s="1" t="s">
        <v>92</v>
      </c>
      <c r="Q2435" s="1" t="s">
        <v>93</v>
      </c>
      <c r="R2435" s="1" t="s">
        <v>26</v>
      </c>
      <c r="S2435" s="1"/>
      <c r="U2435" s="1" t="s">
        <v>35</v>
      </c>
      <c r="V2435" s="1" t="s">
        <v>359</v>
      </c>
      <c r="W2435" s="1" t="str">
        <f>VLOOKUP(Table1[[#This Row],[Obergruppe ATC-Code]],Tabelle3!$A$2:$B$100,2)</f>
        <v>ANTIEPILEPTIKA</v>
      </c>
      <c r="X2435" s="1" t="str">
        <f xml:space="preserve"> LEFT(Table1[[#This Row],[Atc Code]],3)</f>
        <v>N03</v>
      </c>
    </row>
    <row r="2436" spans="1:24" ht="14.4">
      <c r="A2436" s="14">
        <v>1818</v>
      </c>
      <c r="B2436" s="24" t="s">
        <v>5236</v>
      </c>
      <c r="C2436" s="1">
        <v>2159587</v>
      </c>
      <c r="D2436" s="1" t="s">
        <v>25</v>
      </c>
      <c r="E2436" s="36">
        <v>44536</v>
      </c>
      <c r="F2436" s="36">
        <v>44838</v>
      </c>
      <c r="G2436" s="38">
        <f t="shared" si="38"/>
        <v>302</v>
      </c>
      <c r="H2436" s="5">
        <v>44536</v>
      </c>
      <c r="I2436" s="5">
        <v>44855</v>
      </c>
      <c r="J2436" s="1" t="s">
        <v>26</v>
      </c>
      <c r="K2436" s="1" t="s">
        <v>5237</v>
      </c>
      <c r="L2436" s="1" t="s">
        <v>5234</v>
      </c>
      <c r="M2436" s="1" t="s">
        <v>5235</v>
      </c>
      <c r="N2436" s="1" t="s">
        <v>38</v>
      </c>
      <c r="O2436" s="1" t="s">
        <v>91</v>
      </c>
      <c r="P2436" s="1" t="s">
        <v>92</v>
      </c>
      <c r="Q2436" s="1" t="s">
        <v>93</v>
      </c>
      <c r="R2436" s="1" t="s">
        <v>26</v>
      </c>
      <c r="S2436" s="1"/>
      <c r="U2436" s="1" t="s">
        <v>35</v>
      </c>
      <c r="V2436" s="1" t="s">
        <v>359</v>
      </c>
      <c r="W2436" s="1" t="str">
        <f>VLOOKUP(Table1[[#This Row],[Obergruppe ATC-Code]],Tabelle3!$A$2:$B$100,2)</f>
        <v>ANTIEPILEPTIKA</v>
      </c>
      <c r="X2436" s="1" t="str">
        <f xml:space="preserve"> LEFT(Table1[[#This Row],[Atc Code]],3)</f>
        <v>N03</v>
      </c>
    </row>
    <row r="2437" spans="1:24" ht="14.4">
      <c r="A2437" s="14">
        <v>548</v>
      </c>
      <c r="B2437" s="24">
        <v>3491257</v>
      </c>
      <c r="C2437" s="1">
        <v>2132556</v>
      </c>
      <c r="D2437" s="1" t="s">
        <v>25</v>
      </c>
      <c r="E2437" s="36">
        <v>43374</v>
      </c>
      <c r="F2437" s="36">
        <v>43465</v>
      </c>
      <c r="G2437" s="38">
        <f t="shared" si="38"/>
        <v>91</v>
      </c>
      <c r="H2437" s="5">
        <v>43383</v>
      </c>
      <c r="I2437" s="5">
        <v>43445</v>
      </c>
      <c r="J2437" s="1" t="s">
        <v>41</v>
      </c>
      <c r="K2437" s="1" t="s">
        <v>5238</v>
      </c>
      <c r="L2437" s="1" t="s">
        <v>5239</v>
      </c>
      <c r="M2437" s="1" t="s">
        <v>5240</v>
      </c>
      <c r="N2437" s="1" t="s">
        <v>30</v>
      </c>
      <c r="O2437" s="1" t="s">
        <v>62</v>
      </c>
      <c r="P2437" s="1" t="s">
        <v>63</v>
      </c>
      <c r="Q2437" s="1" t="s">
        <v>64</v>
      </c>
      <c r="R2437" s="1" t="s">
        <v>26</v>
      </c>
      <c r="S2437" s="1"/>
      <c r="T2437" s="1" t="s">
        <v>5241</v>
      </c>
      <c r="U2437" s="1" t="s">
        <v>35</v>
      </c>
      <c r="V2437" s="1" t="s">
        <v>1007</v>
      </c>
      <c r="W2437" s="1" t="str">
        <f>VLOOKUP(Table1[[#This Row],[Obergruppe ATC-Code]],Tabelle3!$A$2:$B$100,2)</f>
        <v>ANTIEPILEPTIKA</v>
      </c>
      <c r="X2437" s="1" t="str">
        <f xml:space="preserve"> LEFT(Table1[[#This Row],[Atc Code]],3)</f>
        <v>N03</v>
      </c>
    </row>
    <row r="2438" spans="1:24" ht="14.4">
      <c r="A2438" s="14">
        <v>2244</v>
      </c>
      <c r="B2438" s="24" t="s">
        <v>5242</v>
      </c>
      <c r="C2438" s="1">
        <v>2155390</v>
      </c>
      <c r="D2438" s="1" t="s">
        <v>25</v>
      </c>
      <c r="E2438" s="36">
        <v>43497</v>
      </c>
      <c r="F2438" s="36">
        <v>43555</v>
      </c>
      <c r="G2438" s="38">
        <f t="shared" si="38"/>
        <v>58</v>
      </c>
      <c r="H2438" s="5">
        <v>43496</v>
      </c>
      <c r="I2438" s="5">
        <v>43560</v>
      </c>
      <c r="J2438" s="1" t="s">
        <v>41</v>
      </c>
      <c r="K2438" s="1" t="s">
        <v>5243</v>
      </c>
      <c r="L2438" s="1" t="s">
        <v>5239</v>
      </c>
      <c r="M2438" s="1" t="s">
        <v>5235</v>
      </c>
      <c r="N2438" s="1" t="s">
        <v>30</v>
      </c>
      <c r="O2438" s="1" t="s">
        <v>62</v>
      </c>
      <c r="P2438" s="1" t="s">
        <v>63</v>
      </c>
      <c r="Q2438" s="1" t="s">
        <v>64</v>
      </c>
      <c r="R2438" s="1" t="s">
        <v>26</v>
      </c>
      <c r="S2438" s="1"/>
      <c r="U2438" s="1" t="s">
        <v>35</v>
      </c>
      <c r="V2438" s="1" t="s">
        <v>359</v>
      </c>
      <c r="W2438" s="1" t="str">
        <f>VLOOKUP(Table1[[#This Row],[Obergruppe ATC-Code]],Tabelle3!$A$2:$B$100,2)</f>
        <v>ANTIEPILEPTIKA</v>
      </c>
      <c r="X2438" s="1" t="str">
        <f xml:space="preserve"> LEFT(Table1[[#This Row],[Atc Code]],3)</f>
        <v>N03</v>
      </c>
    </row>
    <row r="2439" spans="1:24" ht="14.4">
      <c r="A2439" s="14">
        <v>1811</v>
      </c>
      <c r="B2439" s="24" t="s">
        <v>5244</v>
      </c>
      <c r="C2439" s="1">
        <v>2155391</v>
      </c>
      <c r="D2439" s="1" t="s">
        <v>25</v>
      </c>
      <c r="E2439" s="36">
        <v>43525</v>
      </c>
      <c r="F2439" s="36">
        <v>43585</v>
      </c>
      <c r="G2439" s="38">
        <f t="shared" si="38"/>
        <v>60</v>
      </c>
      <c r="H2439" s="5">
        <v>43496</v>
      </c>
      <c r="I2439" s="5">
        <v>43572</v>
      </c>
      <c r="J2439" s="1" t="s">
        <v>41</v>
      </c>
      <c r="K2439" s="1" t="s">
        <v>5245</v>
      </c>
      <c r="L2439" s="1" t="s">
        <v>5239</v>
      </c>
      <c r="M2439" s="1" t="s">
        <v>5235</v>
      </c>
      <c r="N2439" s="1" t="s">
        <v>30</v>
      </c>
      <c r="O2439" s="1" t="s">
        <v>62</v>
      </c>
      <c r="P2439" s="1" t="s">
        <v>63</v>
      </c>
      <c r="Q2439" s="1" t="s">
        <v>64</v>
      </c>
      <c r="R2439" s="1" t="s">
        <v>26</v>
      </c>
      <c r="S2439" s="1"/>
      <c r="U2439" s="1" t="s">
        <v>35</v>
      </c>
      <c r="V2439" s="1" t="s">
        <v>359</v>
      </c>
      <c r="W2439" s="1" t="str">
        <f>VLOOKUP(Table1[[#This Row],[Obergruppe ATC-Code]],Tabelle3!$A$2:$B$100,2)</f>
        <v>ANTIEPILEPTIKA</v>
      </c>
      <c r="X2439" s="1" t="str">
        <f xml:space="preserve"> LEFT(Table1[[#This Row],[Atc Code]],3)</f>
        <v>N03</v>
      </c>
    </row>
    <row r="2440" spans="1:24" ht="14.4">
      <c r="A2440" s="14">
        <v>364</v>
      </c>
      <c r="B2440" s="24">
        <v>2073026</v>
      </c>
      <c r="C2440" s="1">
        <v>2100379</v>
      </c>
      <c r="D2440" s="1" t="s">
        <v>25</v>
      </c>
      <c r="E2440" s="36">
        <v>43466</v>
      </c>
      <c r="F2440" s="36">
        <v>43616</v>
      </c>
      <c r="G2440" s="38">
        <f t="shared" si="38"/>
        <v>150</v>
      </c>
      <c r="H2440" s="5">
        <v>43496</v>
      </c>
      <c r="I2440" s="5">
        <v>43572</v>
      </c>
      <c r="J2440" s="1" t="s">
        <v>41</v>
      </c>
      <c r="K2440" s="1" t="s">
        <v>5246</v>
      </c>
      <c r="L2440" s="1" t="s">
        <v>5239</v>
      </c>
      <c r="M2440" s="1" t="s">
        <v>5240</v>
      </c>
      <c r="N2440" s="1" t="s">
        <v>30</v>
      </c>
      <c r="O2440" s="1" t="s">
        <v>62</v>
      </c>
      <c r="P2440" s="1" t="s">
        <v>63</v>
      </c>
      <c r="Q2440" s="1" t="s">
        <v>64</v>
      </c>
      <c r="R2440" s="1" t="s">
        <v>26</v>
      </c>
      <c r="S2440" s="1"/>
      <c r="U2440" s="1" t="s">
        <v>35</v>
      </c>
      <c r="V2440" s="1" t="s">
        <v>367</v>
      </c>
      <c r="W2440" s="1" t="str">
        <f>VLOOKUP(Table1[[#This Row],[Obergruppe ATC-Code]],Tabelle3!$A$2:$B$100,2)</f>
        <v>ANTIEPILEPTIKA</v>
      </c>
      <c r="X2440" s="1" t="str">
        <f xml:space="preserve"> LEFT(Table1[[#This Row],[Atc Code]],3)</f>
        <v>N03</v>
      </c>
    </row>
    <row r="2441" spans="1:24" ht="14.4">
      <c r="A2441" s="14">
        <v>261</v>
      </c>
      <c r="B2441" s="24">
        <v>1489701</v>
      </c>
      <c r="C2441" s="1">
        <v>20971</v>
      </c>
      <c r="D2441" s="1" t="s">
        <v>25</v>
      </c>
      <c r="E2441" s="36">
        <v>43466</v>
      </c>
      <c r="F2441" s="36">
        <v>43616</v>
      </c>
      <c r="G2441" s="38">
        <f t="shared" si="38"/>
        <v>150</v>
      </c>
      <c r="H2441" s="5">
        <v>43495</v>
      </c>
      <c r="I2441" s="5">
        <v>43572</v>
      </c>
      <c r="J2441" s="1" t="s">
        <v>41</v>
      </c>
      <c r="K2441" s="1" t="s">
        <v>5247</v>
      </c>
      <c r="L2441" s="1" t="s">
        <v>5239</v>
      </c>
      <c r="M2441" s="1" t="s">
        <v>5240</v>
      </c>
      <c r="N2441" s="1" t="s">
        <v>30</v>
      </c>
      <c r="O2441" s="1" t="s">
        <v>62</v>
      </c>
      <c r="P2441" s="1" t="s">
        <v>63</v>
      </c>
      <c r="Q2441" s="1" t="s">
        <v>64</v>
      </c>
      <c r="R2441" s="1" t="s">
        <v>26</v>
      </c>
      <c r="S2441" s="1"/>
      <c r="U2441" s="1" t="s">
        <v>35</v>
      </c>
      <c r="V2441" s="1" t="s">
        <v>367</v>
      </c>
      <c r="W2441" s="1" t="str">
        <f>VLOOKUP(Table1[[#This Row],[Obergruppe ATC-Code]],Tabelle3!$A$2:$B$100,2)</f>
        <v>ANTIEPILEPTIKA</v>
      </c>
      <c r="X2441" s="1" t="str">
        <f xml:space="preserve"> LEFT(Table1[[#This Row],[Atc Code]],3)</f>
        <v>N03</v>
      </c>
    </row>
    <row r="2442" spans="1:24" ht="14.4">
      <c r="A2442" s="14">
        <v>547</v>
      </c>
      <c r="B2442" s="24">
        <v>3491257</v>
      </c>
      <c r="C2442" s="1">
        <v>2132556</v>
      </c>
      <c r="D2442" s="1" t="s">
        <v>25</v>
      </c>
      <c r="E2442" s="36">
        <v>44105</v>
      </c>
      <c r="F2442" s="36">
        <v>44135</v>
      </c>
      <c r="G2442" s="38">
        <f t="shared" si="38"/>
        <v>30</v>
      </c>
      <c r="H2442" s="5">
        <v>44116</v>
      </c>
      <c r="I2442" s="5">
        <v>44131</v>
      </c>
      <c r="J2442" s="1" t="s">
        <v>41</v>
      </c>
      <c r="K2442" s="1" t="s">
        <v>5238</v>
      </c>
      <c r="L2442" s="1" t="s">
        <v>5239</v>
      </c>
      <c r="M2442" s="1" t="s">
        <v>5240</v>
      </c>
      <c r="N2442" s="1" t="s">
        <v>30</v>
      </c>
      <c r="O2442" s="1" t="s">
        <v>62</v>
      </c>
      <c r="P2442" s="1" t="s">
        <v>63</v>
      </c>
      <c r="Q2442" s="1" t="s">
        <v>64</v>
      </c>
      <c r="R2442" s="1" t="s">
        <v>65</v>
      </c>
      <c r="S2442" s="1"/>
      <c r="T2442" s="1" t="s">
        <v>5241</v>
      </c>
      <c r="U2442" s="1" t="s">
        <v>35</v>
      </c>
      <c r="V2442" s="1" t="s">
        <v>1007</v>
      </c>
      <c r="W2442" s="1" t="str">
        <f>VLOOKUP(Table1[[#This Row],[Obergruppe ATC-Code]],Tabelle3!$A$2:$B$100,2)</f>
        <v>ANTIEPILEPTIKA</v>
      </c>
      <c r="X2442" s="1" t="str">
        <f xml:space="preserve"> LEFT(Table1[[#This Row],[Atc Code]],3)</f>
        <v>N03</v>
      </c>
    </row>
    <row r="2443" spans="1:24" ht="14.4">
      <c r="A2443" s="14">
        <v>243</v>
      </c>
      <c r="B2443" s="24">
        <v>1395118</v>
      </c>
      <c r="C2443" s="1">
        <v>2132555</v>
      </c>
      <c r="D2443" s="1" t="s">
        <v>25</v>
      </c>
      <c r="E2443" s="36">
        <v>44197</v>
      </c>
      <c r="F2443" s="36">
        <v>44255</v>
      </c>
      <c r="G2443" s="38">
        <f t="shared" si="38"/>
        <v>58</v>
      </c>
      <c r="H2443" s="5">
        <v>44223</v>
      </c>
      <c r="I2443" s="5">
        <v>44243</v>
      </c>
      <c r="J2443" s="1" t="s">
        <v>41</v>
      </c>
      <c r="K2443" s="1" t="s">
        <v>5248</v>
      </c>
      <c r="L2443" s="1" t="s">
        <v>5239</v>
      </c>
      <c r="M2443" s="1" t="s">
        <v>5240</v>
      </c>
      <c r="N2443" s="1" t="s">
        <v>30</v>
      </c>
      <c r="O2443" s="1" t="s">
        <v>62</v>
      </c>
      <c r="P2443" s="1" t="s">
        <v>63</v>
      </c>
      <c r="Q2443" s="1" t="s">
        <v>64</v>
      </c>
      <c r="R2443" s="1" t="s">
        <v>26</v>
      </c>
      <c r="S2443" s="1"/>
      <c r="U2443" s="1" t="s">
        <v>35</v>
      </c>
      <c r="V2443" s="1" t="s">
        <v>74</v>
      </c>
      <c r="W2443" s="1" t="str">
        <f>VLOOKUP(Table1[[#This Row],[Obergruppe ATC-Code]],Tabelle3!$A$2:$B$100,2)</f>
        <v>ANTIEPILEPTIKA</v>
      </c>
      <c r="X2443" s="1" t="str">
        <f xml:space="preserve"> LEFT(Table1[[#This Row],[Atc Code]],3)</f>
        <v>N03</v>
      </c>
    </row>
    <row r="2444" spans="1:24" ht="14.4">
      <c r="A2444" s="14">
        <v>2130</v>
      </c>
      <c r="B2444" s="24" t="s">
        <v>5249</v>
      </c>
      <c r="C2444" s="1">
        <v>2164971</v>
      </c>
      <c r="D2444" s="1" t="s">
        <v>25</v>
      </c>
      <c r="E2444" s="36">
        <v>44351</v>
      </c>
      <c r="F2444" s="36">
        <v>44411</v>
      </c>
      <c r="G2444" s="38">
        <f t="shared" si="38"/>
        <v>60</v>
      </c>
      <c r="H2444" s="5">
        <v>44351</v>
      </c>
      <c r="I2444" s="5">
        <v>44411</v>
      </c>
      <c r="J2444" s="1" t="s">
        <v>41</v>
      </c>
      <c r="K2444" s="1" t="s">
        <v>5250</v>
      </c>
      <c r="L2444" s="1" t="s">
        <v>5239</v>
      </c>
      <c r="M2444" s="1" t="s">
        <v>5235</v>
      </c>
      <c r="N2444" s="1" t="s">
        <v>38</v>
      </c>
      <c r="O2444" s="1" t="s">
        <v>52</v>
      </c>
      <c r="P2444" s="1" t="s">
        <v>53</v>
      </c>
      <c r="Q2444" s="1" t="s">
        <v>54</v>
      </c>
      <c r="R2444" s="1" t="s">
        <v>128</v>
      </c>
      <c r="S2444" s="1"/>
      <c r="U2444" s="1" t="s">
        <v>35</v>
      </c>
      <c r="V2444" s="1" t="s">
        <v>359</v>
      </c>
      <c r="W2444" s="1" t="str">
        <f>VLOOKUP(Table1[[#This Row],[Obergruppe ATC-Code]],Tabelle3!$A$2:$B$100,2)</f>
        <v>ANTIEPILEPTIKA</v>
      </c>
      <c r="X2444" s="1" t="str">
        <f xml:space="preserve"> LEFT(Table1[[#This Row],[Atc Code]],3)</f>
        <v>N03</v>
      </c>
    </row>
    <row r="2445" spans="1:24" ht="14.4">
      <c r="A2445" s="14">
        <v>2131</v>
      </c>
      <c r="B2445" s="24" t="s">
        <v>5251</v>
      </c>
      <c r="C2445" s="1">
        <v>2164972</v>
      </c>
      <c r="D2445" s="1" t="s">
        <v>25</v>
      </c>
      <c r="E2445" s="36">
        <v>44351</v>
      </c>
      <c r="F2445" s="36">
        <v>44547</v>
      </c>
      <c r="G2445" s="38">
        <f t="shared" si="38"/>
        <v>196</v>
      </c>
      <c r="H2445" s="5">
        <v>44351</v>
      </c>
      <c r="I2445" s="5">
        <v>44547</v>
      </c>
      <c r="J2445" s="1" t="s">
        <v>41</v>
      </c>
      <c r="K2445" s="1" t="s">
        <v>5252</v>
      </c>
      <c r="L2445" s="1" t="s">
        <v>5239</v>
      </c>
      <c r="M2445" s="1" t="s">
        <v>5235</v>
      </c>
      <c r="N2445" s="1" t="s">
        <v>38</v>
      </c>
      <c r="O2445" s="1" t="s">
        <v>52</v>
      </c>
      <c r="P2445" s="1" t="s">
        <v>53</v>
      </c>
      <c r="Q2445" s="1" t="s">
        <v>54</v>
      </c>
      <c r="R2445" s="1" t="s">
        <v>128</v>
      </c>
      <c r="S2445" s="1"/>
      <c r="U2445" s="1" t="s">
        <v>35</v>
      </c>
      <c r="V2445" s="1" t="s">
        <v>359</v>
      </c>
      <c r="W2445" s="1" t="str">
        <f>VLOOKUP(Table1[[#This Row],[Obergruppe ATC-Code]],Tabelle3!$A$2:$B$100,2)</f>
        <v>ANTIEPILEPTIKA</v>
      </c>
      <c r="X2445" s="1" t="str">
        <f xml:space="preserve"> LEFT(Table1[[#This Row],[Atc Code]],3)</f>
        <v>N03</v>
      </c>
    </row>
    <row r="2446" spans="1:24" ht="14.4">
      <c r="A2446" s="14">
        <v>549</v>
      </c>
      <c r="B2446" s="24">
        <v>3491257</v>
      </c>
      <c r="C2446" s="1">
        <v>2132556</v>
      </c>
      <c r="D2446" s="1" t="s">
        <v>25</v>
      </c>
      <c r="E2446" s="36">
        <v>44676</v>
      </c>
      <c r="F2446" s="36">
        <v>44775</v>
      </c>
      <c r="G2446" s="38">
        <f t="shared" si="38"/>
        <v>99</v>
      </c>
      <c r="H2446" s="5">
        <v>44677</v>
      </c>
      <c r="I2446" s="5">
        <v>44775</v>
      </c>
      <c r="J2446" s="1" t="s">
        <v>41</v>
      </c>
      <c r="K2446" s="1" t="s">
        <v>5238</v>
      </c>
      <c r="L2446" s="1" t="s">
        <v>5239</v>
      </c>
      <c r="M2446" s="1" t="s">
        <v>5240</v>
      </c>
      <c r="N2446" s="1" t="s">
        <v>30</v>
      </c>
      <c r="O2446" s="1" t="s">
        <v>62</v>
      </c>
      <c r="P2446" s="1" t="s">
        <v>63</v>
      </c>
      <c r="Q2446" s="1" t="s">
        <v>64</v>
      </c>
      <c r="R2446" s="1" t="s">
        <v>65</v>
      </c>
      <c r="S2446" s="1" t="s">
        <v>5253</v>
      </c>
      <c r="T2446" s="1" t="s">
        <v>5241</v>
      </c>
      <c r="U2446" s="1" t="s">
        <v>35</v>
      </c>
      <c r="V2446" s="1" t="s">
        <v>1007</v>
      </c>
      <c r="W2446" s="1" t="str">
        <f>VLOOKUP(Table1[[#This Row],[Obergruppe ATC-Code]],Tabelle3!$A$2:$B$100,2)</f>
        <v>ANTIEPILEPTIKA</v>
      </c>
      <c r="X2446" s="1" t="str">
        <f xml:space="preserve"> LEFT(Table1[[#This Row],[Atc Code]],3)</f>
        <v>N03</v>
      </c>
    </row>
    <row r="2447" spans="1:24" ht="14.4">
      <c r="A2447" s="14">
        <v>244</v>
      </c>
      <c r="B2447" s="24">
        <v>1395118</v>
      </c>
      <c r="C2447" s="1">
        <v>2132555</v>
      </c>
      <c r="D2447" s="1" t="s">
        <v>25</v>
      </c>
      <c r="E2447" s="36">
        <v>44676</v>
      </c>
      <c r="F2447" s="36">
        <v>44775</v>
      </c>
      <c r="G2447" s="38">
        <f t="shared" si="38"/>
        <v>99</v>
      </c>
      <c r="H2447" s="5">
        <v>44677</v>
      </c>
      <c r="I2447" s="5">
        <v>44775</v>
      </c>
      <c r="J2447" s="1" t="s">
        <v>41</v>
      </c>
      <c r="K2447" s="1" t="s">
        <v>5248</v>
      </c>
      <c r="L2447" s="1" t="s">
        <v>5239</v>
      </c>
      <c r="M2447" s="1" t="s">
        <v>5240</v>
      </c>
      <c r="N2447" s="1" t="s">
        <v>30</v>
      </c>
      <c r="O2447" s="1" t="s">
        <v>62</v>
      </c>
      <c r="P2447" s="1" t="s">
        <v>63</v>
      </c>
      <c r="Q2447" s="1" t="s">
        <v>64</v>
      </c>
      <c r="R2447" s="1" t="s">
        <v>65</v>
      </c>
      <c r="S2447" s="1" t="s">
        <v>5254</v>
      </c>
      <c r="U2447" s="1" t="s">
        <v>35</v>
      </c>
      <c r="V2447" s="1" t="s">
        <v>74</v>
      </c>
      <c r="W2447" s="1" t="str">
        <f>VLOOKUP(Table1[[#This Row],[Obergruppe ATC-Code]],Tabelle3!$A$2:$B$100,2)</f>
        <v>ANTIEPILEPTIKA</v>
      </c>
      <c r="X2447" s="1" t="str">
        <f xml:space="preserve"> LEFT(Table1[[#This Row],[Atc Code]],3)</f>
        <v>N03</v>
      </c>
    </row>
    <row r="2448" spans="1:24" ht="14.4">
      <c r="A2448" s="14">
        <v>2246</v>
      </c>
      <c r="B2448" s="24" t="s">
        <v>5255</v>
      </c>
      <c r="C2448" s="1">
        <v>2155391</v>
      </c>
      <c r="D2448" s="1" t="s">
        <v>25</v>
      </c>
      <c r="E2448" s="36">
        <v>44944</v>
      </c>
      <c r="F2448" s="36">
        <v>44984</v>
      </c>
      <c r="G2448" s="38">
        <f t="shared" si="38"/>
        <v>40</v>
      </c>
      <c r="H2448" s="5">
        <v>44946</v>
      </c>
      <c r="I2448" s="5">
        <v>44984</v>
      </c>
      <c r="J2448" s="1" t="s">
        <v>26</v>
      </c>
      <c r="K2448" s="1" t="s">
        <v>5245</v>
      </c>
      <c r="L2448" s="1" t="s">
        <v>5239</v>
      </c>
      <c r="M2448" s="1" t="s">
        <v>5235</v>
      </c>
      <c r="N2448" s="1" t="s">
        <v>30</v>
      </c>
      <c r="O2448" s="1" t="s">
        <v>62</v>
      </c>
      <c r="P2448" s="1">
        <v>8005252010</v>
      </c>
      <c r="Q2448" s="1" t="s">
        <v>64</v>
      </c>
      <c r="R2448" s="1" t="s">
        <v>26</v>
      </c>
      <c r="S2448" s="1" t="s">
        <v>5256</v>
      </c>
      <c r="U2448" s="1" t="s">
        <v>35</v>
      </c>
      <c r="V2448" s="1" t="s">
        <v>359</v>
      </c>
      <c r="W2448" s="1" t="str">
        <f>VLOOKUP(Table1[[#This Row],[Obergruppe ATC-Code]],Tabelle3!$A$2:$B$100,2)</f>
        <v>ANTIEPILEPTIKA</v>
      </c>
      <c r="X2448" s="1" t="str">
        <f xml:space="preserve"> LEFT(Table1[[#This Row],[Atc Code]],3)</f>
        <v>N03</v>
      </c>
    </row>
    <row r="2449" spans="1:24" ht="14.4">
      <c r="A2449" s="14">
        <v>2245</v>
      </c>
      <c r="B2449" s="24" t="s">
        <v>5255</v>
      </c>
      <c r="C2449" s="1">
        <v>2155391</v>
      </c>
      <c r="D2449" s="1" t="s">
        <v>102</v>
      </c>
      <c r="E2449" s="36">
        <v>45169</v>
      </c>
      <c r="F2449" s="36">
        <v>45291</v>
      </c>
      <c r="G2449" s="38">
        <f t="shared" si="38"/>
        <v>122</v>
      </c>
      <c r="H2449" s="5">
        <v>45169</v>
      </c>
      <c r="I2449" s="5">
        <v>45194</v>
      </c>
      <c r="J2449" s="1" t="s">
        <v>26</v>
      </c>
      <c r="K2449" s="1" t="s">
        <v>5245</v>
      </c>
      <c r="L2449" s="1" t="s">
        <v>5239</v>
      </c>
      <c r="M2449" s="1" t="s">
        <v>5235</v>
      </c>
      <c r="N2449" s="1" t="s">
        <v>30</v>
      </c>
      <c r="O2449" s="1" t="s">
        <v>62</v>
      </c>
      <c r="P2449" s="1">
        <v>8005252010</v>
      </c>
      <c r="Q2449" s="1" t="s">
        <v>64</v>
      </c>
      <c r="R2449" s="1" t="s">
        <v>26</v>
      </c>
      <c r="S2449" s="1" t="s">
        <v>5256</v>
      </c>
      <c r="U2449" s="1" t="s">
        <v>35</v>
      </c>
      <c r="V2449" s="1" t="s">
        <v>359</v>
      </c>
      <c r="W2449" s="1" t="str">
        <f>VLOOKUP(Table1[[#This Row],[Obergruppe ATC-Code]],Tabelle3!$A$2:$B$100,2)</f>
        <v>ANTIEPILEPTIKA</v>
      </c>
      <c r="X2449" s="1" t="str">
        <f xml:space="preserve"> LEFT(Table1[[#This Row],[Atc Code]],3)</f>
        <v>N03</v>
      </c>
    </row>
    <row r="2450" spans="1:24" ht="14.4">
      <c r="A2450" s="14">
        <v>2243</v>
      </c>
      <c r="B2450" s="24" t="s">
        <v>5257</v>
      </c>
      <c r="C2450" s="1">
        <v>2155390</v>
      </c>
      <c r="D2450" s="1" t="s">
        <v>102</v>
      </c>
      <c r="E2450" s="36">
        <v>44890</v>
      </c>
      <c r="F2450" s="36">
        <v>45291</v>
      </c>
      <c r="G2450" s="38">
        <f t="shared" si="38"/>
        <v>401</v>
      </c>
      <c r="H2450" s="5">
        <v>44890</v>
      </c>
      <c r="I2450" s="5">
        <v>45194</v>
      </c>
      <c r="J2450" s="1" t="s">
        <v>26</v>
      </c>
      <c r="K2450" s="1" t="s">
        <v>5243</v>
      </c>
      <c r="L2450" s="1" t="s">
        <v>5239</v>
      </c>
      <c r="M2450" s="1" t="s">
        <v>5235</v>
      </c>
      <c r="N2450" s="1" t="s">
        <v>30</v>
      </c>
      <c r="O2450" s="1" t="s">
        <v>62</v>
      </c>
      <c r="P2450" s="1">
        <v>8005252010</v>
      </c>
      <c r="Q2450" s="1" t="s">
        <v>64</v>
      </c>
      <c r="R2450" s="1" t="s">
        <v>26</v>
      </c>
      <c r="S2450" s="1" t="s">
        <v>5258</v>
      </c>
      <c r="U2450" s="1" t="s">
        <v>35</v>
      </c>
      <c r="V2450" s="1" t="s">
        <v>359</v>
      </c>
      <c r="W2450" s="1" t="str">
        <f>VLOOKUP(Table1[[#This Row],[Obergruppe ATC-Code]],Tabelle3!$A$2:$B$100,2)</f>
        <v>ANTIEPILEPTIKA</v>
      </c>
      <c r="X2450" s="1" t="str">
        <f xml:space="preserve"> LEFT(Table1[[#This Row],[Atc Code]],3)</f>
        <v>N03</v>
      </c>
    </row>
    <row r="2451" spans="1:24" ht="14.4">
      <c r="A2451" s="14">
        <v>3000</v>
      </c>
      <c r="B2451" s="24" t="s">
        <v>5259</v>
      </c>
      <c r="C2451" s="1">
        <v>2126034</v>
      </c>
      <c r="D2451" s="1" t="s">
        <v>25</v>
      </c>
      <c r="E2451" s="36">
        <v>44044</v>
      </c>
      <c r="F2451" s="36">
        <v>44104</v>
      </c>
      <c r="G2451" s="38">
        <f t="shared" si="38"/>
        <v>60</v>
      </c>
      <c r="H2451" s="5">
        <v>44071</v>
      </c>
      <c r="I2451" s="5">
        <v>44098</v>
      </c>
      <c r="J2451" s="1" t="s">
        <v>41</v>
      </c>
      <c r="K2451" s="1" t="s">
        <v>5260</v>
      </c>
      <c r="L2451" s="1" t="s">
        <v>5261</v>
      </c>
      <c r="M2451" s="1" t="s">
        <v>5262</v>
      </c>
      <c r="N2451" s="1" t="s">
        <v>30</v>
      </c>
      <c r="O2451" s="1" t="s">
        <v>62</v>
      </c>
      <c r="P2451" s="1" t="s">
        <v>63</v>
      </c>
      <c r="Q2451" s="1" t="s">
        <v>64</v>
      </c>
      <c r="R2451" s="1" t="s">
        <v>65</v>
      </c>
      <c r="S2451" s="1"/>
      <c r="T2451" s="1" t="s">
        <v>5263</v>
      </c>
      <c r="U2451" s="1" t="s">
        <v>35</v>
      </c>
      <c r="V2451" s="1" t="s">
        <v>99</v>
      </c>
      <c r="W2451" s="1" t="str">
        <f>VLOOKUP(Table1[[#This Row],[Obergruppe ATC-Code]],Tabelle3!$A$2:$B$100,2)</f>
        <v>ANTIEPILEPTIKA</v>
      </c>
      <c r="X2451" s="1" t="str">
        <f xml:space="preserve"> LEFT(Table1[[#This Row],[Atc Code]],3)</f>
        <v>N03</v>
      </c>
    </row>
    <row r="2452" spans="1:24" ht="14.4">
      <c r="A2452" s="14">
        <v>2319</v>
      </c>
      <c r="B2452" s="24" t="s">
        <v>5264</v>
      </c>
      <c r="C2452" s="1">
        <v>2127523</v>
      </c>
      <c r="D2452" s="1" t="s">
        <v>102</v>
      </c>
      <c r="E2452" s="36">
        <v>44750</v>
      </c>
      <c r="F2452" s="36">
        <v>45291</v>
      </c>
      <c r="G2452" s="38">
        <f t="shared" si="38"/>
        <v>541</v>
      </c>
      <c r="H2452" s="5">
        <v>44750</v>
      </c>
      <c r="I2452" s="5">
        <v>45020</v>
      </c>
      <c r="J2452" s="1" t="s">
        <v>26</v>
      </c>
      <c r="K2452" s="1" t="s">
        <v>5265</v>
      </c>
      <c r="L2452" s="1" t="s">
        <v>5261</v>
      </c>
      <c r="M2452" s="1" t="s">
        <v>5262</v>
      </c>
      <c r="N2452" s="1" t="s">
        <v>30</v>
      </c>
      <c r="O2452" s="1" t="s">
        <v>62</v>
      </c>
      <c r="P2452" s="1" t="s">
        <v>63</v>
      </c>
      <c r="Q2452" s="1" t="s">
        <v>64</v>
      </c>
      <c r="R2452" s="1" t="s">
        <v>732</v>
      </c>
      <c r="S2452" s="1" t="s">
        <v>5266</v>
      </c>
      <c r="U2452" s="1" t="s">
        <v>57</v>
      </c>
      <c r="V2452" s="1" t="s">
        <v>285</v>
      </c>
      <c r="W2452" s="1" t="str">
        <f>VLOOKUP(Table1[[#This Row],[Obergruppe ATC-Code]],Tabelle3!$A$2:$B$100,2)</f>
        <v>ANTIEPILEPTIKA</v>
      </c>
      <c r="X2452" s="1" t="str">
        <f xml:space="preserve"> LEFT(Table1[[#This Row],[Atc Code]],3)</f>
        <v>N03</v>
      </c>
    </row>
    <row r="2453" spans="1:24" ht="14.4">
      <c r="A2453" s="14">
        <v>2296</v>
      </c>
      <c r="B2453" s="24" t="s">
        <v>5267</v>
      </c>
      <c r="C2453" s="1">
        <v>2126034</v>
      </c>
      <c r="D2453" s="1" t="s">
        <v>102</v>
      </c>
      <c r="E2453" s="36">
        <v>44763</v>
      </c>
      <c r="F2453" s="36">
        <v>45291</v>
      </c>
      <c r="G2453" s="38">
        <f t="shared" si="38"/>
        <v>528</v>
      </c>
      <c r="H2453" s="5">
        <v>44763</v>
      </c>
      <c r="I2453" s="5">
        <v>45138</v>
      </c>
      <c r="J2453" s="1" t="s">
        <v>26</v>
      </c>
      <c r="K2453" s="1" t="s">
        <v>5260</v>
      </c>
      <c r="L2453" s="1" t="s">
        <v>5261</v>
      </c>
      <c r="M2453" s="1" t="s">
        <v>5262</v>
      </c>
      <c r="N2453" s="1" t="s">
        <v>30</v>
      </c>
      <c r="O2453" s="1" t="s">
        <v>62</v>
      </c>
      <c r="P2453" s="1" t="s">
        <v>63</v>
      </c>
      <c r="Q2453" s="1" t="s">
        <v>64</v>
      </c>
      <c r="R2453" s="1" t="s">
        <v>732</v>
      </c>
      <c r="S2453" s="1" t="s">
        <v>5268</v>
      </c>
      <c r="U2453" s="1" t="s">
        <v>57</v>
      </c>
      <c r="V2453" s="1" t="s">
        <v>99</v>
      </c>
      <c r="W2453" s="1" t="str">
        <f>VLOOKUP(Table1[[#This Row],[Obergruppe ATC-Code]],Tabelle3!$A$2:$B$100,2)</f>
        <v>ANTIEPILEPTIKA</v>
      </c>
      <c r="X2453" s="1" t="str">
        <f xml:space="preserve"> LEFT(Table1[[#This Row],[Atc Code]],3)</f>
        <v>N03</v>
      </c>
    </row>
    <row r="2454" spans="1:24" ht="14.4">
      <c r="A2454" s="14">
        <v>624</v>
      </c>
      <c r="B2454" s="25">
        <v>4087653</v>
      </c>
      <c r="C2454" s="1">
        <v>2157316</v>
      </c>
      <c r="D2454" s="1" t="s">
        <v>25</v>
      </c>
      <c r="E2454" s="36">
        <v>43647</v>
      </c>
      <c r="F2454" s="36">
        <v>43861</v>
      </c>
      <c r="G2454" s="38">
        <f t="shared" si="38"/>
        <v>214</v>
      </c>
      <c r="H2454" s="5">
        <v>43763</v>
      </c>
      <c r="I2454" s="5">
        <v>43840</v>
      </c>
      <c r="J2454" s="1" t="s">
        <v>26</v>
      </c>
      <c r="K2454" s="1" t="s">
        <v>5269</v>
      </c>
      <c r="L2454" s="1" t="s">
        <v>5270</v>
      </c>
      <c r="M2454" s="1" t="s">
        <v>5271</v>
      </c>
      <c r="N2454" s="1" t="s">
        <v>30</v>
      </c>
      <c r="O2454" s="1" t="s">
        <v>123</v>
      </c>
      <c r="P2454" s="1" t="s">
        <v>124</v>
      </c>
      <c r="Q2454" s="1" t="s">
        <v>125</v>
      </c>
      <c r="R2454" s="1" t="s">
        <v>33</v>
      </c>
      <c r="S2454" s="1"/>
      <c r="U2454" s="1" t="s">
        <v>35</v>
      </c>
      <c r="V2454" s="1" t="s">
        <v>49</v>
      </c>
      <c r="W2454" s="1" t="str">
        <f>VLOOKUP(Table1[[#This Row],[Obergruppe ATC-Code]],Tabelle3!$A$2:$B$100,2)</f>
        <v>ANTIEPILEPTIKA</v>
      </c>
      <c r="X2454" s="1" t="str">
        <f xml:space="preserve"> LEFT(Table1[[#This Row],[Atc Code]],3)</f>
        <v>N03</v>
      </c>
    </row>
    <row r="2455" spans="1:24" ht="14.4">
      <c r="A2455" s="14">
        <v>170</v>
      </c>
      <c r="B2455" s="25">
        <v>1030204</v>
      </c>
      <c r="C2455" s="1">
        <v>2161628</v>
      </c>
      <c r="D2455" s="1" t="s">
        <v>25</v>
      </c>
      <c r="E2455" s="36">
        <v>43739</v>
      </c>
      <c r="F2455" s="36">
        <v>43861</v>
      </c>
      <c r="G2455" s="38">
        <f t="shared" si="38"/>
        <v>122</v>
      </c>
      <c r="H2455" s="5">
        <v>43749</v>
      </c>
      <c r="I2455" s="5">
        <v>43851</v>
      </c>
      <c r="J2455" s="1" t="s">
        <v>41</v>
      </c>
      <c r="K2455" s="1" t="s">
        <v>5272</v>
      </c>
      <c r="L2455" s="1" t="s">
        <v>5270</v>
      </c>
      <c r="M2455" s="1" t="s">
        <v>5271</v>
      </c>
      <c r="N2455" s="1" t="s">
        <v>30</v>
      </c>
      <c r="O2455" s="1" t="s">
        <v>52</v>
      </c>
      <c r="P2455" s="1" t="s">
        <v>53</v>
      </c>
      <c r="Q2455" s="1" t="s">
        <v>54</v>
      </c>
      <c r="R2455" s="1" t="s">
        <v>26</v>
      </c>
      <c r="S2455" s="1"/>
      <c r="U2455" s="1" t="s">
        <v>35</v>
      </c>
      <c r="V2455" s="1" t="s">
        <v>49</v>
      </c>
      <c r="W2455" s="1" t="str">
        <f>VLOOKUP(Table1[[#This Row],[Obergruppe ATC-Code]],Tabelle3!$A$2:$B$100,2)</f>
        <v>ANTIEPILEPTIKA</v>
      </c>
      <c r="X2455" s="1" t="str">
        <f xml:space="preserve"> LEFT(Table1[[#This Row],[Atc Code]],3)</f>
        <v>N03</v>
      </c>
    </row>
    <row r="2456" spans="1:24" ht="14.4">
      <c r="A2456" s="14">
        <v>620</v>
      </c>
      <c r="B2456" s="24">
        <v>4051916</v>
      </c>
      <c r="C2456" s="1">
        <v>2164059</v>
      </c>
      <c r="D2456" s="1" t="s">
        <v>25</v>
      </c>
      <c r="E2456" s="36">
        <v>43800</v>
      </c>
      <c r="F2456" s="36">
        <v>43861</v>
      </c>
      <c r="G2456" s="38">
        <f t="shared" si="38"/>
        <v>61</v>
      </c>
      <c r="H2456" s="5">
        <v>43803</v>
      </c>
      <c r="I2456" s="5">
        <v>43854</v>
      </c>
      <c r="J2456" s="1" t="s">
        <v>41</v>
      </c>
      <c r="K2456" s="1" t="s">
        <v>5273</v>
      </c>
      <c r="L2456" s="1" t="s">
        <v>5270</v>
      </c>
      <c r="M2456" s="1" t="s">
        <v>5271</v>
      </c>
      <c r="N2456" s="1" t="s">
        <v>30</v>
      </c>
      <c r="O2456" s="1" t="s">
        <v>78</v>
      </c>
      <c r="P2456" s="1" t="s">
        <v>79</v>
      </c>
      <c r="Q2456" s="1" t="s">
        <v>80</v>
      </c>
      <c r="R2456" s="1" t="s">
        <v>26</v>
      </c>
      <c r="S2456" s="1"/>
      <c r="T2456" s="1" t="s">
        <v>5274</v>
      </c>
      <c r="U2456" s="1" t="s">
        <v>35</v>
      </c>
      <c r="V2456" s="1" t="s">
        <v>49</v>
      </c>
      <c r="W2456" s="1" t="str">
        <f>VLOOKUP(Table1[[#This Row],[Obergruppe ATC-Code]],Tabelle3!$A$2:$B$100,2)</f>
        <v>ANTIEPILEPTIKA</v>
      </c>
      <c r="X2456" s="1" t="str">
        <f xml:space="preserve"> LEFT(Table1[[#This Row],[Atc Code]],3)</f>
        <v>N03</v>
      </c>
    </row>
    <row r="2457" spans="1:24" ht="14.4">
      <c r="A2457" s="14">
        <v>1815</v>
      </c>
      <c r="B2457" s="24" t="s">
        <v>5275</v>
      </c>
      <c r="C2457" s="1">
        <v>2161627</v>
      </c>
      <c r="D2457" s="1" t="s">
        <v>25</v>
      </c>
      <c r="E2457" s="36">
        <v>43739</v>
      </c>
      <c r="F2457" s="36">
        <v>43890</v>
      </c>
      <c r="G2457" s="38">
        <f t="shared" si="38"/>
        <v>151</v>
      </c>
      <c r="H2457" s="5">
        <v>43749</v>
      </c>
      <c r="I2457" s="5">
        <v>43878</v>
      </c>
      <c r="J2457" s="1" t="s">
        <v>41</v>
      </c>
      <c r="K2457" s="1" t="s">
        <v>5276</v>
      </c>
      <c r="L2457" s="1" t="s">
        <v>5270</v>
      </c>
      <c r="M2457" s="1" t="s">
        <v>5271</v>
      </c>
      <c r="N2457" s="1" t="s">
        <v>30</v>
      </c>
      <c r="O2457" s="1" t="s">
        <v>52</v>
      </c>
      <c r="P2457" s="1" t="s">
        <v>53</v>
      </c>
      <c r="Q2457" s="1" t="s">
        <v>54</v>
      </c>
      <c r="R2457" s="1" t="s">
        <v>26</v>
      </c>
      <c r="S2457" s="1"/>
      <c r="U2457" s="1" t="s">
        <v>35</v>
      </c>
      <c r="V2457" s="1" t="s">
        <v>49</v>
      </c>
      <c r="W2457" s="1" t="str">
        <f>VLOOKUP(Table1[[#This Row],[Obergruppe ATC-Code]],Tabelle3!$A$2:$B$100,2)</f>
        <v>ANTIEPILEPTIKA</v>
      </c>
      <c r="X2457" s="1" t="str">
        <f xml:space="preserve"> LEFT(Table1[[#This Row],[Atc Code]],3)</f>
        <v>N03</v>
      </c>
    </row>
    <row r="2458" spans="1:24" ht="14.4">
      <c r="A2458" s="14">
        <v>2090</v>
      </c>
      <c r="B2458" s="24" t="s">
        <v>5277</v>
      </c>
      <c r="C2458" s="1">
        <v>2161594</v>
      </c>
      <c r="D2458" s="1" t="s">
        <v>25</v>
      </c>
      <c r="E2458" s="36">
        <v>43739</v>
      </c>
      <c r="F2458" s="36">
        <v>43921</v>
      </c>
      <c r="G2458" s="38">
        <f t="shared" si="38"/>
        <v>182</v>
      </c>
      <c r="H2458" s="5">
        <v>43749</v>
      </c>
      <c r="I2458" s="5">
        <v>43924</v>
      </c>
      <c r="J2458" s="1" t="s">
        <v>41</v>
      </c>
      <c r="K2458" s="1" t="s">
        <v>5278</v>
      </c>
      <c r="L2458" s="1" t="s">
        <v>5270</v>
      </c>
      <c r="M2458" s="1" t="s">
        <v>5271</v>
      </c>
      <c r="N2458" s="1" t="s">
        <v>30</v>
      </c>
      <c r="O2458" s="1" t="s">
        <v>91</v>
      </c>
      <c r="P2458" s="1" t="s">
        <v>92</v>
      </c>
      <c r="Q2458" s="1" t="s">
        <v>93</v>
      </c>
      <c r="R2458" s="1" t="s">
        <v>48</v>
      </c>
      <c r="S2458" s="1"/>
      <c r="U2458" s="1" t="s">
        <v>35</v>
      </c>
      <c r="V2458" s="1" t="s">
        <v>5279</v>
      </c>
      <c r="W2458" s="1" t="str">
        <f>VLOOKUP(Table1[[#This Row],[Obergruppe ATC-Code]],Tabelle3!$A$2:$B$100,2)</f>
        <v>ANTIEPILEPTIKA</v>
      </c>
      <c r="X2458" s="1" t="str">
        <f xml:space="preserve"> LEFT(Table1[[#This Row],[Atc Code]],3)</f>
        <v>N03</v>
      </c>
    </row>
    <row r="2459" spans="1:24" ht="14.4">
      <c r="A2459" s="14">
        <v>642</v>
      </c>
      <c r="B2459" s="25">
        <v>4220767</v>
      </c>
      <c r="C2459" s="1">
        <v>2161596</v>
      </c>
      <c r="D2459" s="1" t="s">
        <v>25</v>
      </c>
      <c r="E2459" s="36">
        <v>43739</v>
      </c>
      <c r="F2459" s="36">
        <v>43921</v>
      </c>
      <c r="G2459" s="38">
        <f t="shared" si="38"/>
        <v>182</v>
      </c>
      <c r="H2459" s="5">
        <v>43749</v>
      </c>
      <c r="I2459" s="5">
        <v>43924</v>
      </c>
      <c r="J2459" s="1" t="s">
        <v>41</v>
      </c>
      <c r="K2459" s="1" t="s">
        <v>5280</v>
      </c>
      <c r="L2459" s="1" t="s">
        <v>5270</v>
      </c>
      <c r="M2459" s="1" t="s">
        <v>5271</v>
      </c>
      <c r="N2459" s="1" t="s">
        <v>30</v>
      </c>
      <c r="O2459" s="1" t="s">
        <v>91</v>
      </c>
      <c r="P2459" s="1" t="s">
        <v>92</v>
      </c>
      <c r="Q2459" s="1" t="s">
        <v>93</v>
      </c>
      <c r="R2459" s="1" t="s">
        <v>48</v>
      </c>
      <c r="S2459" s="1"/>
      <c r="U2459" s="1" t="s">
        <v>35</v>
      </c>
      <c r="V2459" s="1" t="s">
        <v>5279</v>
      </c>
      <c r="W2459" s="1" t="str">
        <f>VLOOKUP(Table1[[#This Row],[Obergruppe ATC-Code]],Tabelle3!$A$2:$B$100,2)</f>
        <v>ANTIEPILEPTIKA</v>
      </c>
      <c r="X2459" s="1" t="str">
        <f xml:space="preserve"> LEFT(Table1[[#This Row],[Atc Code]],3)</f>
        <v>N03</v>
      </c>
    </row>
    <row r="2460" spans="1:24" ht="14.4">
      <c r="A2460" s="14">
        <v>643</v>
      </c>
      <c r="B2460" s="25">
        <v>4220767</v>
      </c>
      <c r="C2460" s="1">
        <v>2161597</v>
      </c>
      <c r="D2460" s="1" t="s">
        <v>25</v>
      </c>
      <c r="E2460" s="36">
        <v>43739</v>
      </c>
      <c r="F2460" s="36">
        <v>43921</v>
      </c>
      <c r="G2460" s="38">
        <f t="shared" si="38"/>
        <v>182</v>
      </c>
      <c r="H2460" s="5">
        <v>43749</v>
      </c>
      <c r="I2460" s="5">
        <v>43924</v>
      </c>
      <c r="J2460" s="1" t="s">
        <v>41</v>
      </c>
      <c r="K2460" s="1" t="s">
        <v>5281</v>
      </c>
      <c r="L2460" s="1" t="s">
        <v>5270</v>
      </c>
      <c r="M2460" s="1" t="s">
        <v>5271</v>
      </c>
      <c r="N2460" s="1" t="s">
        <v>30</v>
      </c>
      <c r="O2460" s="1" t="s">
        <v>91</v>
      </c>
      <c r="P2460" s="1" t="s">
        <v>92</v>
      </c>
      <c r="Q2460" s="1" t="s">
        <v>93</v>
      </c>
      <c r="R2460" s="1" t="s">
        <v>48</v>
      </c>
      <c r="S2460" s="1"/>
      <c r="U2460" s="1" t="s">
        <v>35</v>
      </c>
      <c r="V2460" s="1" t="s">
        <v>5279</v>
      </c>
      <c r="W2460" s="1" t="str">
        <f>VLOOKUP(Table1[[#This Row],[Obergruppe ATC-Code]],Tabelle3!$A$2:$B$100,2)</f>
        <v>ANTIEPILEPTIKA</v>
      </c>
      <c r="X2460" s="1" t="str">
        <f xml:space="preserve"> LEFT(Table1[[#This Row],[Atc Code]],3)</f>
        <v>N03</v>
      </c>
    </row>
    <row r="2461" spans="1:24" ht="14.4">
      <c r="A2461" s="14">
        <v>608</v>
      </c>
      <c r="B2461" s="25">
        <v>3928381</v>
      </c>
      <c r="C2461" s="1">
        <v>2161595</v>
      </c>
      <c r="D2461" s="1" t="s">
        <v>25</v>
      </c>
      <c r="E2461" s="36">
        <v>43739</v>
      </c>
      <c r="F2461" s="36">
        <v>43921</v>
      </c>
      <c r="G2461" s="38">
        <f t="shared" si="38"/>
        <v>182</v>
      </c>
      <c r="H2461" s="5">
        <v>43749</v>
      </c>
      <c r="I2461" s="5">
        <v>43924</v>
      </c>
      <c r="J2461" s="1" t="s">
        <v>41</v>
      </c>
      <c r="K2461" s="1" t="s">
        <v>5282</v>
      </c>
      <c r="L2461" s="1" t="s">
        <v>5270</v>
      </c>
      <c r="M2461" s="1" t="s">
        <v>5271</v>
      </c>
      <c r="N2461" s="1" t="s">
        <v>30</v>
      </c>
      <c r="O2461" s="1" t="s">
        <v>91</v>
      </c>
      <c r="P2461" s="1" t="s">
        <v>92</v>
      </c>
      <c r="Q2461" s="1" t="s">
        <v>93</v>
      </c>
      <c r="R2461" s="1" t="s">
        <v>48</v>
      </c>
      <c r="S2461" s="1"/>
      <c r="U2461" s="1" t="s">
        <v>35</v>
      </c>
      <c r="V2461" s="1" t="s">
        <v>5279</v>
      </c>
      <c r="W2461" s="1" t="str">
        <f>VLOOKUP(Table1[[#This Row],[Obergruppe ATC-Code]],Tabelle3!$A$2:$B$100,2)</f>
        <v>ANTIEPILEPTIKA</v>
      </c>
      <c r="X2461" s="1" t="str">
        <f xml:space="preserve"> LEFT(Table1[[#This Row],[Atc Code]],3)</f>
        <v>N03</v>
      </c>
    </row>
    <row r="2462" spans="1:24" ht="14.4">
      <c r="A2462" s="14">
        <v>654</v>
      </c>
      <c r="B2462" s="25">
        <v>4306546</v>
      </c>
      <c r="C2462" s="1">
        <v>2157313</v>
      </c>
      <c r="D2462" s="1" t="s">
        <v>25</v>
      </c>
      <c r="E2462" s="36">
        <v>43831</v>
      </c>
      <c r="F2462" s="36">
        <v>43951</v>
      </c>
      <c r="G2462" s="38">
        <f t="shared" si="38"/>
        <v>120</v>
      </c>
      <c r="H2462" s="5">
        <v>43845</v>
      </c>
      <c r="I2462" s="5">
        <v>43951</v>
      </c>
      <c r="J2462" s="1" t="s">
        <v>41</v>
      </c>
      <c r="K2462" s="1" t="s">
        <v>5283</v>
      </c>
      <c r="L2462" s="1" t="s">
        <v>5270</v>
      </c>
      <c r="M2462" s="1" t="s">
        <v>5271</v>
      </c>
      <c r="N2462" s="1" t="s">
        <v>30</v>
      </c>
      <c r="O2462" s="1" t="s">
        <v>1682</v>
      </c>
      <c r="P2462" s="1" t="s">
        <v>5121</v>
      </c>
      <c r="Q2462" s="1" t="s">
        <v>1684</v>
      </c>
      <c r="R2462" s="1" t="s">
        <v>48</v>
      </c>
      <c r="S2462" s="1"/>
      <c r="U2462" s="1" t="s">
        <v>57</v>
      </c>
      <c r="V2462" s="1" t="s">
        <v>5284</v>
      </c>
      <c r="W2462" s="1" t="str">
        <f>VLOOKUP(Table1[[#This Row],[Obergruppe ATC-Code]],Tabelle3!$A$2:$B$100,2)</f>
        <v>ANTIEPILEPTIKA</v>
      </c>
      <c r="X2462" s="1" t="str">
        <f xml:space="preserve"> LEFT(Table1[[#This Row],[Atc Code]],3)</f>
        <v>N03</v>
      </c>
    </row>
    <row r="2463" spans="1:24" ht="14.4">
      <c r="A2463" s="14">
        <v>653</v>
      </c>
      <c r="B2463" s="25">
        <v>4306492</v>
      </c>
      <c r="C2463" s="1">
        <v>2157312</v>
      </c>
      <c r="D2463" s="1" t="s">
        <v>25</v>
      </c>
      <c r="E2463" s="36">
        <v>43831</v>
      </c>
      <c r="F2463" s="36">
        <v>43951</v>
      </c>
      <c r="G2463" s="38">
        <f t="shared" si="38"/>
        <v>120</v>
      </c>
      <c r="H2463" s="5">
        <v>43769</v>
      </c>
      <c r="I2463" s="5">
        <v>43951</v>
      </c>
      <c r="J2463" s="1" t="s">
        <v>41</v>
      </c>
      <c r="K2463" s="1" t="s">
        <v>5285</v>
      </c>
      <c r="L2463" s="1" t="s">
        <v>5270</v>
      </c>
      <c r="M2463" s="1" t="s">
        <v>5271</v>
      </c>
      <c r="N2463" s="1" t="s">
        <v>30</v>
      </c>
      <c r="O2463" s="1" t="s">
        <v>1682</v>
      </c>
      <c r="P2463" s="1" t="s">
        <v>5121</v>
      </c>
      <c r="Q2463" s="1" t="s">
        <v>1684</v>
      </c>
      <c r="R2463" s="1" t="s">
        <v>48</v>
      </c>
      <c r="S2463" s="1"/>
      <c r="U2463" s="1" t="s">
        <v>57</v>
      </c>
      <c r="V2463" s="1" t="s">
        <v>5284</v>
      </c>
      <c r="W2463" s="1" t="str">
        <f>VLOOKUP(Table1[[#This Row],[Obergruppe ATC-Code]],Tabelle3!$A$2:$B$100,2)</f>
        <v>ANTIEPILEPTIKA</v>
      </c>
      <c r="X2463" s="1" t="str">
        <f xml:space="preserve"> LEFT(Table1[[#This Row],[Atc Code]],3)</f>
        <v>N03</v>
      </c>
    </row>
    <row r="2464" spans="1:24" ht="14.4">
      <c r="A2464" s="14">
        <v>652</v>
      </c>
      <c r="B2464" s="25">
        <v>4306486</v>
      </c>
      <c r="C2464" s="1">
        <v>2157311</v>
      </c>
      <c r="D2464" s="1" t="s">
        <v>25</v>
      </c>
      <c r="E2464" s="36">
        <v>43831</v>
      </c>
      <c r="F2464" s="36">
        <v>43951</v>
      </c>
      <c r="G2464" s="38">
        <f t="shared" si="38"/>
        <v>120</v>
      </c>
      <c r="H2464" s="5">
        <v>43845</v>
      </c>
      <c r="I2464" s="5">
        <v>43951</v>
      </c>
      <c r="J2464" s="1" t="s">
        <v>41</v>
      </c>
      <c r="K2464" s="1" t="s">
        <v>5286</v>
      </c>
      <c r="L2464" s="1" t="s">
        <v>5270</v>
      </c>
      <c r="M2464" s="1" t="s">
        <v>5271</v>
      </c>
      <c r="N2464" s="1" t="s">
        <v>30</v>
      </c>
      <c r="O2464" s="1" t="s">
        <v>1682</v>
      </c>
      <c r="P2464" s="1" t="s">
        <v>5121</v>
      </c>
      <c r="Q2464" s="1" t="s">
        <v>1684</v>
      </c>
      <c r="R2464" s="1" t="s">
        <v>48</v>
      </c>
      <c r="S2464" s="1"/>
      <c r="U2464" s="1" t="s">
        <v>57</v>
      </c>
      <c r="V2464" s="1" t="s">
        <v>5284</v>
      </c>
      <c r="W2464" s="1" t="str">
        <f>VLOOKUP(Table1[[#This Row],[Obergruppe ATC-Code]],Tabelle3!$A$2:$B$100,2)</f>
        <v>ANTIEPILEPTIKA</v>
      </c>
      <c r="X2464" s="1" t="str">
        <f xml:space="preserve"> LEFT(Table1[[#This Row],[Atc Code]],3)</f>
        <v>N03</v>
      </c>
    </row>
    <row r="2465" spans="1:24" ht="14.4">
      <c r="A2465" s="14">
        <v>274</v>
      </c>
      <c r="B2465" s="25">
        <v>1602557</v>
      </c>
      <c r="C2465" s="1">
        <v>2157310</v>
      </c>
      <c r="D2465" s="1" t="s">
        <v>25</v>
      </c>
      <c r="E2465" s="36">
        <v>43831</v>
      </c>
      <c r="F2465" s="36">
        <v>43951</v>
      </c>
      <c r="G2465" s="38">
        <f t="shared" si="38"/>
        <v>120</v>
      </c>
      <c r="H2465" s="5">
        <v>43845</v>
      </c>
      <c r="I2465" s="5">
        <v>43951</v>
      </c>
      <c r="J2465" s="1" t="s">
        <v>41</v>
      </c>
      <c r="K2465" s="1" t="s">
        <v>5287</v>
      </c>
      <c r="L2465" s="1" t="s">
        <v>5270</v>
      </c>
      <c r="M2465" s="1" t="s">
        <v>5271</v>
      </c>
      <c r="N2465" s="1" t="s">
        <v>30</v>
      </c>
      <c r="O2465" s="1" t="s">
        <v>1682</v>
      </c>
      <c r="P2465" s="1" t="s">
        <v>5121</v>
      </c>
      <c r="Q2465" s="1" t="s">
        <v>1684</v>
      </c>
      <c r="R2465" s="1" t="s">
        <v>48</v>
      </c>
      <c r="S2465" s="1"/>
      <c r="U2465" s="1" t="s">
        <v>57</v>
      </c>
      <c r="V2465" s="1" t="s">
        <v>5284</v>
      </c>
      <c r="W2465" s="1" t="str">
        <f>VLOOKUP(Table1[[#This Row],[Obergruppe ATC-Code]],Tabelle3!$A$2:$B$100,2)</f>
        <v>ANTIEPILEPTIKA</v>
      </c>
      <c r="X2465" s="1" t="str">
        <f xml:space="preserve"> LEFT(Table1[[#This Row],[Atc Code]],3)</f>
        <v>N03</v>
      </c>
    </row>
    <row r="2466" spans="1:24" ht="14.4">
      <c r="A2466" s="14">
        <v>2109</v>
      </c>
      <c r="B2466" s="24" t="s">
        <v>5288</v>
      </c>
      <c r="C2466" s="3">
        <v>2157318</v>
      </c>
      <c r="D2466" s="3" t="s">
        <v>25</v>
      </c>
      <c r="E2466" s="36">
        <v>43739</v>
      </c>
      <c r="F2466" s="36">
        <v>44074</v>
      </c>
      <c r="G2466" s="38">
        <f t="shared" si="38"/>
        <v>335</v>
      </c>
      <c r="H2466" s="5">
        <v>43763</v>
      </c>
      <c r="I2466" s="5">
        <v>44047</v>
      </c>
      <c r="J2466" s="3" t="s">
        <v>26</v>
      </c>
      <c r="K2466" s="3" t="s">
        <v>5289</v>
      </c>
      <c r="L2466" s="3" t="s">
        <v>5270</v>
      </c>
      <c r="M2466" s="3" t="s">
        <v>5271</v>
      </c>
      <c r="N2466" s="3" t="s">
        <v>30</v>
      </c>
      <c r="O2466" s="3" t="s">
        <v>123</v>
      </c>
      <c r="P2466" s="3" t="s">
        <v>124</v>
      </c>
      <c r="Q2466" s="3" t="s">
        <v>125</v>
      </c>
      <c r="R2466" s="3" t="s">
        <v>33</v>
      </c>
      <c r="S2466" s="3"/>
      <c r="T2466" s="3"/>
      <c r="U2466" s="3" t="s">
        <v>35</v>
      </c>
      <c r="V2466" s="3" t="s">
        <v>49</v>
      </c>
      <c r="W2466" s="1" t="str">
        <f>VLOOKUP(Table1[[#This Row],[Obergruppe ATC-Code]],Tabelle3!$A$2:$B$100,2)</f>
        <v>ANTIEPILEPTIKA</v>
      </c>
      <c r="X2466" s="1" t="str">
        <f xml:space="preserve"> LEFT(Table1[[#This Row],[Atc Code]],3)</f>
        <v>N03</v>
      </c>
    </row>
    <row r="2467" spans="1:24" ht="14.4">
      <c r="A2467" s="14">
        <v>623</v>
      </c>
      <c r="B2467" s="25">
        <v>4087653</v>
      </c>
      <c r="C2467" s="1">
        <v>2157316</v>
      </c>
      <c r="D2467" s="1" t="s">
        <v>25</v>
      </c>
      <c r="E2467" s="36">
        <v>43891</v>
      </c>
      <c r="F2467" s="36">
        <v>44104</v>
      </c>
      <c r="G2467" s="38">
        <f t="shared" si="38"/>
        <v>213</v>
      </c>
      <c r="H2467" s="5">
        <v>43970</v>
      </c>
      <c r="I2467" s="5">
        <v>44068</v>
      </c>
      <c r="J2467" s="1" t="s">
        <v>26</v>
      </c>
      <c r="K2467" s="1" t="s">
        <v>5269</v>
      </c>
      <c r="L2467" s="1" t="s">
        <v>5270</v>
      </c>
      <c r="M2467" s="1" t="s">
        <v>5271</v>
      </c>
      <c r="N2467" s="1" t="s">
        <v>30</v>
      </c>
      <c r="O2467" s="1" t="s">
        <v>123</v>
      </c>
      <c r="P2467" s="1" t="s">
        <v>124</v>
      </c>
      <c r="Q2467" s="1" t="s">
        <v>125</v>
      </c>
      <c r="R2467" s="1" t="s">
        <v>33</v>
      </c>
      <c r="S2467" s="1"/>
      <c r="U2467" s="1" t="s">
        <v>35</v>
      </c>
      <c r="V2467" s="1" t="s">
        <v>49</v>
      </c>
      <c r="W2467" s="1" t="str">
        <f>VLOOKUP(Table1[[#This Row],[Obergruppe ATC-Code]],Tabelle3!$A$2:$B$100,2)</f>
        <v>ANTIEPILEPTIKA</v>
      </c>
      <c r="X2467" s="1" t="str">
        <f xml:space="preserve"> LEFT(Table1[[#This Row],[Atc Code]],3)</f>
        <v>N03</v>
      </c>
    </row>
    <row r="2468" spans="1:24" ht="14.4">
      <c r="A2468" s="14">
        <v>625</v>
      </c>
      <c r="B2468" s="25">
        <v>4087802</v>
      </c>
      <c r="C2468" s="1">
        <v>2157317</v>
      </c>
      <c r="D2468" s="1" t="s">
        <v>25</v>
      </c>
      <c r="E2468" s="36">
        <v>43586</v>
      </c>
      <c r="F2468" s="36">
        <v>44104</v>
      </c>
      <c r="G2468" s="38">
        <f t="shared" si="38"/>
        <v>518</v>
      </c>
      <c r="H2468" s="5">
        <v>43763</v>
      </c>
      <c r="I2468" s="5">
        <v>44077</v>
      </c>
      <c r="J2468" s="1" t="s">
        <v>26</v>
      </c>
      <c r="K2468" s="1" t="s">
        <v>5290</v>
      </c>
      <c r="L2468" s="1" t="s">
        <v>5270</v>
      </c>
      <c r="M2468" s="1" t="s">
        <v>5271</v>
      </c>
      <c r="N2468" s="1" t="s">
        <v>30</v>
      </c>
      <c r="O2468" s="1" t="s">
        <v>123</v>
      </c>
      <c r="P2468" s="1" t="s">
        <v>124</v>
      </c>
      <c r="Q2468" s="1" t="s">
        <v>125</v>
      </c>
      <c r="R2468" s="1" t="s">
        <v>33</v>
      </c>
      <c r="S2468" s="1"/>
      <c r="U2468" s="1" t="s">
        <v>35</v>
      </c>
      <c r="V2468" s="1" t="s">
        <v>49</v>
      </c>
      <c r="W2468" s="1" t="str">
        <f>VLOOKUP(Table1[[#This Row],[Obergruppe ATC-Code]],Tabelle3!$A$2:$B$100,2)</f>
        <v>ANTIEPILEPTIKA</v>
      </c>
      <c r="X2468" s="1" t="str">
        <f xml:space="preserve"> LEFT(Table1[[#This Row],[Atc Code]],3)</f>
        <v>N03</v>
      </c>
    </row>
    <row r="2469" spans="1:24" ht="14.4">
      <c r="A2469" s="14">
        <v>619</v>
      </c>
      <c r="B2469" s="24">
        <v>4051916</v>
      </c>
      <c r="C2469" s="1">
        <v>2164059</v>
      </c>
      <c r="D2469" s="1" t="s">
        <v>25</v>
      </c>
      <c r="E2469" s="36">
        <v>43922</v>
      </c>
      <c r="F2469" s="36">
        <v>44165</v>
      </c>
      <c r="G2469" s="38">
        <f t="shared" si="38"/>
        <v>243</v>
      </c>
      <c r="H2469" s="5">
        <v>43944</v>
      </c>
      <c r="I2469" s="5">
        <v>44138</v>
      </c>
      <c r="J2469" s="1" t="s">
        <v>41</v>
      </c>
      <c r="K2469" s="1" t="s">
        <v>5273</v>
      </c>
      <c r="L2469" s="1" t="s">
        <v>5270</v>
      </c>
      <c r="M2469" s="1" t="s">
        <v>5271</v>
      </c>
      <c r="N2469" s="1" t="s">
        <v>38</v>
      </c>
      <c r="O2469" s="1" t="s">
        <v>78</v>
      </c>
      <c r="P2469" s="1" t="s">
        <v>79</v>
      </c>
      <c r="Q2469" s="1" t="s">
        <v>80</v>
      </c>
      <c r="R2469" s="1" t="s">
        <v>26</v>
      </c>
      <c r="S2469" s="1"/>
      <c r="T2469" s="1" t="s">
        <v>5274</v>
      </c>
      <c r="U2469" s="1" t="s">
        <v>35</v>
      </c>
      <c r="V2469" s="1" t="s">
        <v>49</v>
      </c>
      <c r="W2469" s="1" t="str">
        <f>VLOOKUP(Table1[[#This Row],[Obergruppe ATC-Code]],Tabelle3!$A$2:$B$100,2)</f>
        <v>ANTIEPILEPTIKA</v>
      </c>
      <c r="X2469" s="1" t="str">
        <f xml:space="preserve"> LEFT(Table1[[#This Row],[Atc Code]],3)</f>
        <v>N03</v>
      </c>
    </row>
    <row r="2470" spans="1:24" ht="14.4">
      <c r="A2470" s="14">
        <v>621</v>
      </c>
      <c r="B2470" s="24">
        <v>4051916</v>
      </c>
      <c r="C2470" s="1">
        <v>2164059</v>
      </c>
      <c r="D2470" s="1" t="s">
        <v>25</v>
      </c>
      <c r="E2470" s="36">
        <v>44775</v>
      </c>
      <c r="F2470" s="36">
        <v>44799</v>
      </c>
      <c r="G2470" s="38">
        <f t="shared" si="38"/>
        <v>24</v>
      </c>
      <c r="H2470" s="5">
        <v>44775</v>
      </c>
      <c r="I2470" s="5">
        <v>44799</v>
      </c>
      <c r="J2470" s="1" t="s">
        <v>26</v>
      </c>
      <c r="K2470" s="1" t="s">
        <v>5273</v>
      </c>
      <c r="L2470" s="1" t="s">
        <v>5270</v>
      </c>
      <c r="M2470" s="1" t="s">
        <v>5271</v>
      </c>
      <c r="N2470" s="1" t="s">
        <v>38</v>
      </c>
      <c r="O2470" s="1" t="s">
        <v>78</v>
      </c>
      <c r="P2470" s="1">
        <v>49894423246220</v>
      </c>
      <c r="Q2470" s="1" t="s">
        <v>2034</v>
      </c>
      <c r="R2470" s="1" t="s">
        <v>33</v>
      </c>
      <c r="S2470" s="1"/>
      <c r="U2470" s="1" t="s">
        <v>35</v>
      </c>
      <c r="V2470" s="1" t="s">
        <v>49</v>
      </c>
      <c r="W2470" s="1" t="str">
        <f>VLOOKUP(Table1[[#This Row],[Obergruppe ATC-Code]],Tabelle3!$A$2:$B$100,2)</f>
        <v>ANTIEPILEPTIKA</v>
      </c>
      <c r="X2470" s="1" t="str">
        <f xml:space="preserve"> LEFT(Table1[[#This Row],[Atc Code]],3)</f>
        <v>N03</v>
      </c>
    </row>
    <row r="2471" spans="1:24" ht="14.4">
      <c r="A2471" s="14">
        <v>618</v>
      </c>
      <c r="B2471" s="24">
        <v>4051833</v>
      </c>
      <c r="C2471" s="1">
        <v>2164057</v>
      </c>
      <c r="D2471" s="1" t="s">
        <v>25</v>
      </c>
      <c r="E2471" s="36">
        <v>44760</v>
      </c>
      <c r="F2471" s="36">
        <v>44799</v>
      </c>
      <c r="G2471" s="38">
        <f t="shared" si="38"/>
        <v>39</v>
      </c>
      <c r="H2471" s="5">
        <v>44755</v>
      </c>
      <c r="I2471" s="5">
        <v>44799</v>
      </c>
      <c r="J2471" s="1" t="s">
        <v>26</v>
      </c>
      <c r="K2471" s="1" t="s">
        <v>5291</v>
      </c>
      <c r="L2471" s="1" t="s">
        <v>5270</v>
      </c>
      <c r="M2471" s="1" t="s">
        <v>5271</v>
      </c>
      <c r="N2471" s="1" t="s">
        <v>38</v>
      </c>
      <c r="O2471" s="1" t="s">
        <v>78</v>
      </c>
      <c r="P2471" s="1">
        <v>49894423246220</v>
      </c>
      <c r="Q2471" s="1" t="s">
        <v>2034</v>
      </c>
      <c r="R2471" s="1" t="s">
        <v>33</v>
      </c>
      <c r="S2471" s="1"/>
      <c r="T2471" s="1" t="s">
        <v>5292</v>
      </c>
      <c r="U2471" s="1" t="s">
        <v>35</v>
      </c>
      <c r="V2471" s="1" t="s">
        <v>49</v>
      </c>
      <c r="W2471" s="1" t="str">
        <f>VLOOKUP(Table1[[#This Row],[Obergruppe ATC-Code]],Tabelle3!$A$2:$B$100,2)</f>
        <v>ANTIEPILEPTIKA</v>
      </c>
      <c r="X2471" s="1" t="str">
        <f xml:space="preserve"> LEFT(Table1[[#This Row],[Atc Code]],3)</f>
        <v>N03</v>
      </c>
    </row>
    <row r="2472" spans="1:24" ht="14.4">
      <c r="A2472" s="14">
        <v>1363</v>
      </c>
      <c r="B2472" s="24">
        <v>13350954</v>
      </c>
      <c r="C2472" s="1">
        <v>2133122</v>
      </c>
      <c r="D2472" s="1" t="s">
        <v>25</v>
      </c>
      <c r="E2472" s="36">
        <v>44895</v>
      </c>
      <c r="F2472" s="36">
        <v>44958</v>
      </c>
      <c r="G2472" s="38">
        <f t="shared" si="38"/>
        <v>63</v>
      </c>
      <c r="H2472" s="5">
        <v>44916</v>
      </c>
      <c r="I2472" s="5">
        <v>44959</v>
      </c>
      <c r="J2472" s="1" t="s">
        <v>41</v>
      </c>
      <c r="K2472" s="1" t="s">
        <v>5293</v>
      </c>
      <c r="L2472" s="1" t="s">
        <v>5270</v>
      </c>
      <c r="M2472" s="1" t="s">
        <v>5271</v>
      </c>
      <c r="N2472" s="1" t="s">
        <v>38</v>
      </c>
      <c r="O2472" s="1" t="s">
        <v>2107</v>
      </c>
      <c r="P2472" s="1" t="s">
        <v>2108</v>
      </c>
      <c r="Q2472" s="1" t="s">
        <v>761</v>
      </c>
      <c r="R2472" s="1" t="s">
        <v>128</v>
      </c>
      <c r="S2472" s="1"/>
      <c r="U2472" s="1" t="s">
        <v>35</v>
      </c>
      <c r="V2472" s="1" t="s">
        <v>5284</v>
      </c>
      <c r="W2472" s="1" t="str">
        <f>VLOOKUP(Table1[[#This Row],[Obergruppe ATC-Code]],Tabelle3!$A$2:$B$100,2)</f>
        <v>ANTIEPILEPTIKA</v>
      </c>
      <c r="X2472" s="1" t="str">
        <f xml:space="preserve"> LEFT(Table1[[#This Row],[Atc Code]],3)</f>
        <v>N03</v>
      </c>
    </row>
    <row r="2473" spans="1:24" ht="14.4">
      <c r="A2473" s="14">
        <v>363</v>
      </c>
      <c r="B2473" s="24">
        <v>2071783</v>
      </c>
      <c r="C2473" s="1">
        <v>2149825</v>
      </c>
      <c r="D2473" s="1" t="s">
        <v>25</v>
      </c>
      <c r="E2473" s="36">
        <v>44979</v>
      </c>
      <c r="F2473" s="36">
        <v>45040</v>
      </c>
      <c r="G2473" s="38">
        <f t="shared" si="38"/>
        <v>61</v>
      </c>
      <c r="H2473" s="5">
        <v>44987</v>
      </c>
      <c r="I2473" s="5">
        <v>45040</v>
      </c>
      <c r="J2473" s="1" t="s">
        <v>26</v>
      </c>
      <c r="K2473" s="1" t="s">
        <v>5294</v>
      </c>
      <c r="L2473" s="1" t="s">
        <v>5270</v>
      </c>
      <c r="M2473" s="1" t="s">
        <v>5271</v>
      </c>
      <c r="N2473" s="1" t="s">
        <v>38</v>
      </c>
      <c r="O2473" s="1" t="s">
        <v>2107</v>
      </c>
      <c r="P2473" s="1">
        <v>8001223355</v>
      </c>
      <c r="Q2473" s="1" t="s">
        <v>761</v>
      </c>
      <c r="R2473" s="1" t="s">
        <v>113</v>
      </c>
      <c r="S2473" s="1"/>
      <c r="U2473" s="1" t="s">
        <v>35</v>
      </c>
      <c r="V2473" s="1" t="s">
        <v>5284</v>
      </c>
      <c r="W2473" s="1" t="str">
        <f>VLOOKUP(Table1[[#This Row],[Obergruppe ATC-Code]],Tabelle3!$A$2:$B$100,2)</f>
        <v>ANTIEPILEPTIKA</v>
      </c>
      <c r="X2473" s="1" t="str">
        <f xml:space="preserve"> LEFT(Table1[[#This Row],[Atc Code]],3)</f>
        <v>N03</v>
      </c>
    </row>
    <row r="2474" spans="1:24" ht="14.4">
      <c r="A2474" s="14">
        <v>3174</v>
      </c>
      <c r="B2474" s="3">
        <v>6159227</v>
      </c>
      <c r="C2474" s="1">
        <v>2130641</v>
      </c>
      <c r="D2474" s="1" t="s">
        <v>25</v>
      </c>
      <c r="E2474" s="36">
        <v>42948</v>
      </c>
      <c r="F2474" s="36">
        <v>43039</v>
      </c>
      <c r="G2474" s="38">
        <f t="shared" si="38"/>
        <v>91</v>
      </c>
      <c r="H2474" s="5">
        <v>42954</v>
      </c>
      <c r="I2474" s="5">
        <v>42996</v>
      </c>
      <c r="J2474" s="1" t="s">
        <v>26</v>
      </c>
      <c r="K2474" s="1" t="s">
        <v>5295</v>
      </c>
      <c r="L2474" s="1" t="s">
        <v>5296</v>
      </c>
      <c r="M2474" s="1" t="s">
        <v>5297</v>
      </c>
      <c r="N2474" s="1" t="s">
        <v>38</v>
      </c>
      <c r="O2474" s="1" t="s">
        <v>1921</v>
      </c>
      <c r="P2474" s="1" t="s">
        <v>256</v>
      </c>
      <c r="Q2474" s="1" t="s">
        <v>257</v>
      </c>
      <c r="R2474" s="1" t="s">
        <v>33</v>
      </c>
      <c r="S2474" s="1"/>
      <c r="U2474" s="1" t="s">
        <v>35</v>
      </c>
      <c r="V2474" s="1" t="s">
        <v>2924</v>
      </c>
      <c r="W2474" s="1" t="str">
        <f>VLOOKUP(Table1[[#This Row],[Obergruppe ATC-Code]],Tabelle3!$A$2:$B$100,2)</f>
        <v>ANTIEPILEPTIKA</v>
      </c>
      <c r="X2474" s="1" t="str">
        <f xml:space="preserve"> LEFT(Table1[[#This Row],[Atc Code]],3)</f>
        <v>N03</v>
      </c>
    </row>
    <row r="2475" spans="1:24" ht="14.4">
      <c r="A2475" s="14">
        <v>3173</v>
      </c>
      <c r="B2475" s="3">
        <v>6159227</v>
      </c>
      <c r="C2475" s="1">
        <v>2130641</v>
      </c>
      <c r="D2475" s="1" t="s">
        <v>25</v>
      </c>
      <c r="E2475" s="36">
        <v>43009</v>
      </c>
      <c r="F2475" s="36">
        <v>43100</v>
      </c>
      <c r="G2475" s="38">
        <f t="shared" si="38"/>
        <v>91</v>
      </c>
      <c r="H2475" s="5">
        <v>43031</v>
      </c>
      <c r="I2475" s="5">
        <v>43056</v>
      </c>
      <c r="J2475" s="1" t="s">
        <v>26</v>
      </c>
      <c r="K2475" s="1" t="s">
        <v>5295</v>
      </c>
      <c r="L2475" s="1" t="s">
        <v>5296</v>
      </c>
      <c r="M2475" s="1" t="s">
        <v>5297</v>
      </c>
      <c r="N2475" s="1" t="s">
        <v>30</v>
      </c>
      <c r="O2475" s="1" t="s">
        <v>1921</v>
      </c>
      <c r="P2475" s="1" t="s">
        <v>256</v>
      </c>
      <c r="Q2475" s="1" t="s">
        <v>257</v>
      </c>
      <c r="R2475" s="1" t="s">
        <v>33</v>
      </c>
      <c r="S2475" s="1"/>
      <c r="U2475" s="1" t="s">
        <v>35</v>
      </c>
      <c r="V2475" s="1" t="s">
        <v>2924</v>
      </c>
      <c r="W2475" s="1" t="str">
        <f>VLOOKUP(Table1[[#This Row],[Obergruppe ATC-Code]],Tabelle3!$A$2:$B$100,2)</f>
        <v>ANTIEPILEPTIKA</v>
      </c>
      <c r="X2475" s="1" t="str">
        <f xml:space="preserve"> LEFT(Table1[[#This Row],[Atc Code]],3)</f>
        <v>N03</v>
      </c>
    </row>
    <row r="2476" spans="1:24" ht="14.4">
      <c r="A2476" s="14">
        <v>1156</v>
      </c>
      <c r="B2476" s="24">
        <v>9920222</v>
      </c>
      <c r="C2476" s="1">
        <v>2168191</v>
      </c>
      <c r="D2476" s="1" t="s">
        <v>25</v>
      </c>
      <c r="E2476" s="36">
        <v>43862</v>
      </c>
      <c r="F2476" s="36">
        <v>43951</v>
      </c>
      <c r="G2476" s="38">
        <f t="shared" si="38"/>
        <v>89</v>
      </c>
      <c r="H2476" s="5">
        <v>43901</v>
      </c>
      <c r="I2476" s="5">
        <v>43964</v>
      </c>
      <c r="J2476" s="1" t="s">
        <v>26</v>
      </c>
      <c r="K2476" s="1" t="s">
        <v>5298</v>
      </c>
      <c r="L2476" s="1" t="s">
        <v>5299</v>
      </c>
      <c r="M2476" s="1" t="s">
        <v>5300</v>
      </c>
      <c r="N2476" s="1" t="s">
        <v>38</v>
      </c>
      <c r="O2476" s="1" t="s">
        <v>1440</v>
      </c>
      <c r="P2476" s="1" t="s">
        <v>1441</v>
      </c>
      <c r="Q2476" s="1" t="s">
        <v>1442</v>
      </c>
      <c r="R2476" s="1" t="s">
        <v>33</v>
      </c>
      <c r="S2476" s="1"/>
      <c r="U2476" s="1" t="s">
        <v>35</v>
      </c>
      <c r="V2476" s="1" t="s">
        <v>99</v>
      </c>
      <c r="W2476" s="1" t="str">
        <f>VLOOKUP(Table1[[#This Row],[Obergruppe ATC-Code]],Tabelle3!$A$2:$B$100,2)</f>
        <v>ANTIEPILEPTIKA</v>
      </c>
      <c r="X2476" s="1" t="str">
        <f xml:space="preserve"> LEFT(Table1[[#This Row],[Atc Code]],3)</f>
        <v>N03</v>
      </c>
    </row>
    <row r="2477" spans="1:24" ht="14.4">
      <c r="A2477" s="14">
        <v>1070</v>
      </c>
      <c r="B2477" s="25">
        <v>9098650</v>
      </c>
      <c r="C2477" s="1">
        <v>2168192</v>
      </c>
      <c r="D2477" s="1" t="s">
        <v>25</v>
      </c>
      <c r="E2477" s="36">
        <v>43862</v>
      </c>
      <c r="F2477" s="36">
        <v>43982</v>
      </c>
      <c r="G2477" s="38">
        <f t="shared" si="38"/>
        <v>120</v>
      </c>
      <c r="H2477" s="5">
        <v>43901</v>
      </c>
      <c r="I2477" s="5">
        <v>43992</v>
      </c>
      <c r="J2477" s="1" t="s">
        <v>26</v>
      </c>
      <c r="K2477" s="1" t="s">
        <v>5301</v>
      </c>
      <c r="L2477" s="1" t="s">
        <v>5299</v>
      </c>
      <c r="M2477" s="1" t="s">
        <v>5300</v>
      </c>
      <c r="N2477" s="1" t="s">
        <v>38</v>
      </c>
      <c r="O2477" s="1" t="s">
        <v>1440</v>
      </c>
      <c r="P2477" s="1" t="s">
        <v>1441</v>
      </c>
      <c r="Q2477" s="1" t="s">
        <v>1442</v>
      </c>
      <c r="R2477" s="1" t="s">
        <v>33</v>
      </c>
      <c r="S2477" s="1"/>
      <c r="U2477" s="1" t="s">
        <v>35</v>
      </c>
      <c r="V2477" s="1" t="s">
        <v>99</v>
      </c>
      <c r="W2477" s="1" t="str">
        <f>VLOOKUP(Table1[[#This Row],[Obergruppe ATC-Code]],Tabelle3!$A$2:$B$100,2)</f>
        <v>ANTIEPILEPTIKA</v>
      </c>
      <c r="X2477" s="1" t="str">
        <f xml:space="preserve"> LEFT(Table1[[#This Row],[Atc Code]],3)</f>
        <v>N03</v>
      </c>
    </row>
    <row r="2478" spans="1:24" ht="14.4">
      <c r="A2478" s="14">
        <v>1069</v>
      </c>
      <c r="B2478" s="25">
        <v>9098650</v>
      </c>
      <c r="C2478" s="1">
        <v>2168192</v>
      </c>
      <c r="D2478" s="1" t="s">
        <v>25</v>
      </c>
      <c r="E2478" s="36">
        <v>44044</v>
      </c>
      <c r="F2478" s="36">
        <v>44135</v>
      </c>
      <c r="G2478" s="38">
        <f t="shared" si="38"/>
        <v>91</v>
      </c>
      <c r="H2478" s="5">
        <v>44075</v>
      </c>
      <c r="I2478" s="5">
        <v>44127</v>
      </c>
      <c r="J2478" s="1" t="s">
        <v>41</v>
      </c>
      <c r="K2478" s="1" t="s">
        <v>5301</v>
      </c>
      <c r="L2478" s="1" t="s">
        <v>5299</v>
      </c>
      <c r="M2478" s="1" t="s">
        <v>5300</v>
      </c>
      <c r="N2478" s="1" t="s">
        <v>38</v>
      </c>
      <c r="O2478" s="1" t="s">
        <v>1440</v>
      </c>
      <c r="P2478" s="1" t="s">
        <v>1441</v>
      </c>
      <c r="Q2478" s="1" t="s">
        <v>1442</v>
      </c>
      <c r="R2478" s="1" t="s">
        <v>26</v>
      </c>
      <c r="S2478" s="1"/>
      <c r="U2478" s="1" t="s">
        <v>35</v>
      </c>
      <c r="V2478" s="1" t="s">
        <v>99</v>
      </c>
      <c r="W2478" s="1" t="str">
        <f>VLOOKUP(Table1[[#This Row],[Obergruppe ATC-Code]],Tabelle3!$A$2:$B$100,2)</f>
        <v>ANTIEPILEPTIKA</v>
      </c>
      <c r="X2478" s="1" t="str">
        <f xml:space="preserve"> LEFT(Table1[[#This Row],[Atc Code]],3)</f>
        <v>N03</v>
      </c>
    </row>
    <row r="2479" spans="1:24" ht="14.4">
      <c r="A2479" s="14">
        <v>1155</v>
      </c>
      <c r="B2479" s="24">
        <v>9920222</v>
      </c>
      <c r="C2479" s="1">
        <v>2168191</v>
      </c>
      <c r="D2479" s="1" t="s">
        <v>25</v>
      </c>
      <c r="E2479" s="36">
        <v>44044</v>
      </c>
      <c r="F2479" s="36">
        <v>44227</v>
      </c>
      <c r="G2479" s="38">
        <f t="shared" si="38"/>
        <v>183</v>
      </c>
      <c r="H2479" s="5">
        <v>44075</v>
      </c>
      <c r="I2479" s="5">
        <v>44211</v>
      </c>
      <c r="J2479" s="1" t="s">
        <v>41</v>
      </c>
      <c r="K2479" s="1" t="s">
        <v>5298</v>
      </c>
      <c r="L2479" s="1" t="s">
        <v>5299</v>
      </c>
      <c r="M2479" s="1" t="s">
        <v>5300</v>
      </c>
      <c r="N2479" s="1" t="s">
        <v>38</v>
      </c>
      <c r="O2479" s="1" t="s">
        <v>1440</v>
      </c>
      <c r="P2479" s="1" t="s">
        <v>1441</v>
      </c>
      <c r="Q2479" s="1" t="s">
        <v>1442</v>
      </c>
      <c r="R2479" s="1" t="s">
        <v>26</v>
      </c>
      <c r="S2479" s="1"/>
      <c r="U2479" s="1" t="s">
        <v>35</v>
      </c>
      <c r="V2479" s="1" t="s">
        <v>99</v>
      </c>
      <c r="W2479" s="1" t="str">
        <f>VLOOKUP(Table1[[#This Row],[Obergruppe ATC-Code]],Tabelle3!$A$2:$B$100,2)</f>
        <v>ANTIEPILEPTIKA</v>
      </c>
      <c r="X2479" s="1" t="str">
        <f xml:space="preserve"> LEFT(Table1[[#This Row],[Atc Code]],3)</f>
        <v>N03</v>
      </c>
    </row>
    <row r="2480" spans="1:24" ht="14.4">
      <c r="A2480" s="14">
        <v>1066</v>
      </c>
      <c r="B2480" s="25">
        <v>9098590</v>
      </c>
      <c r="C2480" s="1">
        <v>2168190</v>
      </c>
      <c r="D2480" s="1" t="s">
        <v>25</v>
      </c>
      <c r="E2480" s="36">
        <v>44105</v>
      </c>
      <c r="F2480" s="36">
        <v>44255</v>
      </c>
      <c r="G2480" s="38">
        <f t="shared" si="38"/>
        <v>150</v>
      </c>
      <c r="H2480" s="5">
        <v>44130</v>
      </c>
      <c r="I2480" s="5">
        <v>44272</v>
      </c>
      <c r="J2480" s="1" t="s">
        <v>41</v>
      </c>
      <c r="K2480" s="1" t="s">
        <v>5302</v>
      </c>
      <c r="L2480" s="1" t="s">
        <v>5299</v>
      </c>
      <c r="M2480" s="1" t="s">
        <v>5300</v>
      </c>
      <c r="N2480" s="1" t="s">
        <v>38</v>
      </c>
      <c r="O2480" s="1" t="s">
        <v>1440</v>
      </c>
      <c r="P2480" s="1" t="s">
        <v>1441</v>
      </c>
      <c r="Q2480" s="1" t="s">
        <v>1442</v>
      </c>
      <c r="R2480" s="1" t="s">
        <v>26</v>
      </c>
      <c r="S2480" s="1"/>
      <c r="U2480" s="1" t="s">
        <v>35</v>
      </c>
      <c r="V2480" s="1" t="s">
        <v>99</v>
      </c>
      <c r="W2480" s="1" t="str">
        <f>VLOOKUP(Table1[[#This Row],[Obergruppe ATC-Code]],Tabelle3!$A$2:$B$100,2)</f>
        <v>ANTIEPILEPTIKA</v>
      </c>
      <c r="X2480" s="1" t="str">
        <f xml:space="preserve"> LEFT(Table1[[#This Row],[Atc Code]],3)</f>
        <v>N03</v>
      </c>
    </row>
    <row r="2481" spans="1:24" ht="14.4">
      <c r="A2481" s="14">
        <v>1071</v>
      </c>
      <c r="B2481" s="25">
        <v>9098710</v>
      </c>
      <c r="C2481" s="1">
        <v>2168193</v>
      </c>
      <c r="D2481" s="1" t="s">
        <v>25</v>
      </c>
      <c r="E2481" s="36">
        <v>44256</v>
      </c>
      <c r="F2481" s="36">
        <v>44286</v>
      </c>
      <c r="G2481" s="38">
        <f t="shared" si="38"/>
        <v>30</v>
      </c>
      <c r="H2481" s="5">
        <v>44258</v>
      </c>
      <c r="I2481" s="5">
        <v>44294</v>
      </c>
      <c r="J2481" s="1" t="s">
        <v>41</v>
      </c>
      <c r="K2481" s="1" t="s">
        <v>5303</v>
      </c>
      <c r="L2481" s="1" t="s">
        <v>5299</v>
      </c>
      <c r="M2481" s="1" t="s">
        <v>5300</v>
      </c>
      <c r="N2481" s="1" t="s">
        <v>38</v>
      </c>
      <c r="O2481" s="1" t="s">
        <v>1440</v>
      </c>
      <c r="P2481" s="1" t="s">
        <v>1441</v>
      </c>
      <c r="Q2481" s="1" t="s">
        <v>1916</v>
      </c>
      <c r="R2481" s="1" t="s">
        <v>26</v>
      </c>
      <c r="S2481" s="1"/>
      <c r="U2481" s="1" t="s">
        <v>35</v>
      </c>
      <c r="V2481" s="1" t="s">
        <v>99</v>
      </c>
      <c r="W2481" s="1" t="str">
        <f>VLOOKUP(Table1[[#This Row],[Obergruppe ATC-Code]],Tabelle3!$A$2:$B$100,2)</f>
        <v>ANTIEPILEPTIKA</v>
      </c>
      <c r="X2481" s="1" t="str">
        <f xml:space="preserve"> LEFT(Table1[[#This Row],[Atc Code]],3)</f>
        <v>N03</v>
      </c>
    </row>
    <row r="2482" spans="1:24" ht="14.4">
      <c r="A2482" s="14">
        <v>1068</v>
      </c>
      <c r="B2482" s="25">
        <v>9098650</v>
      </c>
      <c r="C2482" s="1">
        <v>2168192</v>
      </c>
      <c r="D2482" s="1" t="s">
        <v>25</v>
      </c>
      <c r="E2482" s="36">
        <v>44256</v>
      </c>
      <c r="F2482" s="36">
        <v>44316</v>
      </c>
      <c r="G2482" s="38">
        <f t="shared" si="38"/>
        <v>60</v>
      </c>
      <c r="H2482" s="5">
        <v>44258</v>
      </c>
      <c r="I2482" s="5">
        <v>44294</v>
      </c>
      <c r="J2482" s="1" t="s">
        <v>41</v>
      </c>
      <c r="K2482" s="1" t="s">
        <v>5301</v>
      </c>
      <c r="L2482" s="1" t="s">
        <v>5299</v>
      </c>
      <c r="M2482" s="1" t="s">
        <v>5300</v>
      </c>
      <c r="N2482" s="1" t="s">
        <v>38</v>
      </c>
      <c r="O2482" s="1" t="s">
        <v>1440</v>
      </c>
      <c r="P2482" s="1" t="s">
        <v>1441</v>
      </c>
      <c r="Q2482" s="1" t="s">
        <v>1916</v>
      </c>
      <c r="R2482" s="1" t="s">
        <v>26</v>
      </c>
      <c r="S2482" s="1"/>
      <c r="U2482" s="1" t="s">
        <v>35</v>
      </c>
      <c r="V2482" s="1" t="s">
        <v>99</v>
      </c>
      <c r="W2482" s="1" t="str">
        <f>VLOOKUP(Table1[[#This Row],[Obergruppe ATC-Code]],Tabelle3!$A$2:$B$100,2)</f>
        <v>ANTIEPILEPTIKA</v>
      </c>
      <c r="X2482" s="1" t="str">
        <f xml:space="preserve"> LEFT(Table1[[#This Row],[Atc Code]],3)</f>
        <v>N03</v>
      </c>
    </row>
    <row r="2483" spans="1:24" ht="14.4">
      <c r="A2483" s="14">
        <v>1154</v>
      </c>
      <c r="B2483" s="24">
        <v>9920222</v>
      </c>
      <c r="C2483" s="1">
        <v>2168191</v>
      </c>
      <c r="D2483" s="1" t="s">
        <v>25</v>
      </c>
      <c r="E2483" s="36">
        <v>44228</v>
      </c>
      <c r="F2483" s="36">
        <v>44316</v>
      </c>
      <c r="G2483" s="38">
        <f t="shared" si="38"/>
        <v>88</v>
      </c>
      <c r="H2483" s="5">
        <v>44242</v>
      </c>
      <c r="I2483" s="5">
        <v>44316</v>
      </c>
      <c r="J2483" s="1" t="s">
        <v>41</v>
      </c>
      <c r="K2483" s="1" t="s">
        <v>5298</v>
      </c>
      <c r="L2483" s="1" t="s">
        <v>5299</v>
      </c>
      <c r="M2483" s="1" t="s">
        <v>5300</v>
      </c>
      <c r="N2483" s="1" t="s">
        <v>38</v>
      </c>
      <c r="O2483" s="1" t="s">
        <v>1440</v>
      </c>
      <c r="P2483" s="1" t="s">
        <v>1441</v>
      </c>
      <c r="Q2483" s="1" t="s">
        <v>1916</v>
      </c>
      <c r="R2483" s="1" t="s">
        <v>26</v>
      </c>
      <c r="S2483" s="1"/>
      <c r="U2483" s="1" t="s">
        <v>35</v>
      </c>
      <c r="V2483" s="1" t="s">
        <v>99</v>
      </c>
      <c r="W2483" s="1" t="str">
        <f>VLOOKUP(Table1[[#This Row],[Obergruppe ATC-Code]],Tabelle3!$A$2:$B$100,2)</f>
        <v>ANTIEPILEPTIKA</v>
      </c>
      <c r="X2483" s="1" t="str">
        <f xml:space="preserve"> LEFT(Table1[[#This Row],[Atc Code]],3)</f>
        <v>N03</v>
      </c>
    </row>
    <row r="2484" spans="1:24" ht="14.4">
      <c r="A2484" s="14">
        <v>2464</v>
      </c>
      <c r="B2484" s="24" t="s">
        <v>5304</v>
      </c>
      <c r="C2484" s="1">
        <v>2168190</v>
      </c>
      <c r="D2484" s="1" t="s">
        <v>25</v>
      </c>
      <c r="E2484" s="36">
        <v>44316</v>
      </c>
      <c r="F2484" s="36">
        <v>44365</v>
      </c>
      <c r="G2484" s="38">
        <f t="shared" si="38"/>
        <v>49</v>
      </c>
      <c r="H2484" s="5">
        <v>44349</v>
      </c>
      <c r="I2484" s="5">
        <v>44393</v>
      </c>
      <c r="J2484" s="1" t="s">
        <v>26</v>
      </c>
      <c r="K2484" s="1" t="s">
        <v>5302</v>
      </c>
      <c r="L2484" s="1" t="s">
        <v>5299</v>
      </c>
      <c r="M2484" s="1" t="s">
        <v>5300</v>
      </c>
      <c r="N2484" s="1" t="s">
        <v>38</v>
      </c>
      <c r="O2484" s="1" t="s">
        <v>1440</v>
      </c>
      <c r="P2484" s="1" t="s">
        <v>1540</v>
      </c>
      <c r="Q2484" s="1" t="s">
        <v>1541</v>
      </c>
      <c r="R2484" s="1" t="s">
        <v>113</v>
      </c>
      <c r="S2484" s="1"/>
      <c r="U2484" s="1" t="s">
        <v>35</v>
      </c>
      <c r="V2484" s="1" t="s">
        <v>99</v>
      </c>
      <c r="W2484" s="1" t="str">
        <f>VLOOKUP(Table1[[#This Row],[Obergruppe ATC-Code]],Tabelle3!$A$2:$B$100,2)</f>
        <v>ANTIEPILEPTIKA</v>
      </c>
      <c r="X2484" s="1" t="str">
        <f xml:space="preserve"> LEFT(Table1[[#This Row],[Atc Code]],3)</f>
        <v>N03</v>
      </c>
    </row>
    <row r="2485" spans="1:24" ht="14.4">
      <c r="A2485" s="14">
        <v>1157</v>
      </c>
      <c r="B2485" s="24">
        <v>9920222</v>
      </c>
      <c r="C2485" s="1">
        <v>2168191</v>
      </c>
      <c r="D2485" s="1" t="s">
        <v>25</v>
      </c>
      <c r="E2485" s="36">
        <v>44335</v>
      </c>
      <c r="F2485" s="36">
        <v>44351</v>
      </c>
      <c r="G2485" s="38">
        <f t="shared" si="38"/>
        <v>16</v>
      </c>
      <c r="H2485" s="5">
        <v>44349</v>
      </c>
      <c r="I2485" s="5">
        <v>44393</v>
      </c>
      <c r="J2485" s="1" t="s">
        <v>26</v>
      </c>
      <c r="K2485" s="1" t="s">
        <v>5298</v>
      </c>
      <c r="L2485" s="1" t="s">
        <v>5299</v>
      </c>
      <c r="M2485" s="1" t="s">
        <v>5300</v>
      </c>
      <c r="N2485" s="1" t="s">
        <v>38</v>
      </c>
      <c r="O2485" s="1" t="s">
        <v>1440</v>
      </c>
      <c r="P2485" s="1" t="s">
        <v>1540</v>
      </c>
      <c r="Q2485" s="1" t="s">
        <v>1541</v>
      </c>
      <c r="R2485" s="1" t="s">
        <v>113</v>
      </c>
      <c r="S2485" s="1"/>
      <c r="U2485" s="1" t="s">
        <v>35</v>
      </c>
      <c r="V2485" s="1" t="s">
        <v>99</v>
      </c>
      <c r="W2485" s="1" t="str">
        <f>VLOOKUP(Table1[[#This Row],[Obergruppe ATC-Code]],Tabelle3!$A$2:$B$100,2)</f>
        <v>ANTIEPILEPTIKA</v>
      </c>
      <c r="X2485" s="1" t="str">
        <f xml:space="preserve"> LEFT(Table1[[#This Row],[Atc Code]],3)</f>
        <v>N03</v>
      </c>
    </row>
    <row r="2486" spans="1:24" ht="14.4">
      <c r="A2486" s="14">
        <v>1067</v>
      </c>
      <c r="B2486" s="25">
        <v>9098650</v>
      </c>
      <c r="C2486" s="1">
        <v>2168192</v>
      </c>
      <c r="D2486" s="1" t="s">
        <v>25</v>
      </c>
      <c r="E2486" s="36">
        <v>44287</v>
      </c>
      <c r="F2486" s="36">
        <v>44351</v>
      </c>
      <c r="G2486" s="38">
        <f t="shared" si="38"/>
        <v>64</v>
      </c>
      <c r="H2486" s="5">
        <v>44316</v>
      </c>
      <c r="I2486" s="5">
        <v>44393</v>
      </c>
      <c r="J2486" s="1" t="s">
        <v>41</v>
      </c>
      <c r="K2486" s="1" t="s">
        <v>5301</v>
      </c>
      <c r="L2486" s="1" t="s">
        <v>5299</v>
      </c>
      <c r="M2486" s="1" t="s">
        <v>5300</v>
      </c>
      <c r="N2486" s="1" t="s">
        <v>38</v>
      </c>
      <c r="O2486" s="1" t="s">
        <v>1440</v>
      </c>
      <c r="P2486" s="1" t="s">
        <v>1441</v>
      </c>
      <c r="Q2486" s="1" t="s">
        <v>1916</v>
      </c>
      <c r="R2486" s="1" t="s">
        <v>26</v>
      </c>
      <c r="S2486" s="1"/>
      <c r="U2486" s="1" t="s">
        <v>35</v>
      </c>
      <c r="V2486" s="1" t="s">
        <v>99</v>
      </c>
      <c r="W2486" s="1" t="str">
        <f>VLOOKUP(Table1[[#This Row],[Obergruppe ATC-Code]],Tabelle3!$A$2:$B$100,2)</f>
        <v>ANTIEPILEPTIKA</v>
      </c>
      <c r="X2486" s="1" t="str">
        <f xml:space="preserve"> LEFT(Table1[[#This Row],[Atc Code]],3)</f>
        <v>N03</v>
      </c>
    </row>
    <row r="2487" spans="1:24" ht="14.4">
      <c r="A2487" s="14">
        <v>1065</v>
      </c>
      <c r="B2487" s="25">
        <v>9098590</v>
      </c>
      <c r="C2487" s="1">
        <v>2168190</v>
      </c>
      <c r="D2487" s="1" t="s">
        <v>25</v>
      </c>
      <c r="E2487" s="36">
        <v>44044</v>
      </c>
      <c r="F2487" s="36">
        <v>44365</v>
      </c>
      <c r="G2487" s="38">
        <f t="shared" si="38"/>
        <v>321</v>
      </c>
      <c r="H2487" s="5">
        <v>44075</v>
      </c>
      <c r="I2487" s="5">
        <v>44393</v>
      </c>
      <c r="J2487" s="1" t="s">
        <v>41</v>
      </c>
      <c r="K2487" s="1" t="s">
        <v>5302</v>
      </c>
      <c r="L2487" s="1" t="s">
        <v>5299</v>
      </c>
      <c r="M2487" s="1" t="s">
        <v>5300</v>
      </c>
      <c r="N2487" s="1" t="s">
        <v>38</v>
      </c>
      <c r="O2487" s="1" t="s">
        <v>1440</v>
      </c>
      <c r="P2487" s="1" t="s">
        <v>1441</v>
      </c>
      <c r="Q2487" s="1" t="s">
        <v>1442</v>
      </c>
      <c r="R2487" s="1" t="s">
        <v>26</v>
      </c>
      <c r="S2487" s="1"/>
      <c r="U2487" s="1" t="s">
        <v>35</v>
      </c>
      <c r="V2487" s="1" t="s">
        <v>99</v>
      </c>
      <c r="W2487" s="1" t="str">
        <f>VLOOKUP(Table1[[#This Row],[Obergruppe ATC-Code]],Tabelle3!$A$2:$B$100,2)</f>
        <v>ANTIEPILEPTIKA</v>
      </c>
      <c r="X2487" s="1" t="str">
        <f xml:space="preserve"> LEFT(Table1[[#This Row],[Atc Code]],3)</f>
        <v>N03</v>
      </c>
    </row>
    <row r="2488" spans="1:24" ht="14.4">
      <c r="A2488" s="14">
        <v>2463</v>
      </c>
      <c r="B2488" s="24" t="s">
        <v>5304</v>
      </c>
      <c r="C2488" s="1">
        <v>2168190</v>
      </c>
      <c r="D2488" s="1" t="s">
        <v>25</v>
      </c>
      <c r="E2488" s="36">
        <v>44516</v>
      </c>
      <c r="F2488" s="36">
        <v>44620</v>
      </c>
      <c r="G2488" s="38">
        <f t="shared" si="38"/>
        <v>104</v>
      </c>
      <c r="H2488" s="5">
        <v>44537</v>
      </c>
      <c r="I2488" s="5">
        <v>44631</v>
      </c>
      <c r="J2488" s="1" t="s">
        <v>26</v>
      </c>
      <c r="K2488" s="1" t="s">
        <v>5302</v>
      </c>
      <c r="L2488" s="1" t="s">
        <v>5299</v>
      </c>
      <c r="M2488" s="1" t="s">
        <v>5300</v>
      </c>
      <c r="N2488" s="1" t="s">
        <v>38</v>
      </c>
      <c r="O2488" s="1" t="s">
        <v>1440</v>
      </c>
      <c r="P2488" s="1" t="s">
        <v>1540</v>
      </c>
      <c r="Q2488" s="1" t="s">
        <v>1541</v>
      </c>
      <c r="R2488" s="1" t="s">
        <v>113</v>
      </c>
      <c r="S2488" s="1"/>
      <c r="U2488" s="1" t="s">
        <v>35</v>
      </c>
      <c r="V2488" s="1" t="s">
        <v>99</v>
      </c>
      <c r="W2488" s="1" t="str">
        <f>VLOOKUP(Table1[[#This Row],[Obergruppe ATC-Code]],Tabelle3!$A$2:$B$100,2)</f>
        <v>ANTIEPILEPTIKA</v>
      </c>
      <c r="X2488" s="1" t="str">
        <f xml:space="preserve"> LEFT(Table1[[#This Row],[Atc Code]],3)</f>
        <v>N03</v>
      </c>
    </row>
    <row r="2489" spans="1:24" ht="14.4">
      <c r="A2489" s="14">
        <v>2754</v>
      </c>
      <c r="B2489" s="24" t="s">
        <v>5305</v>
      </c>
      <c r="C2489" s="1">
        <v>2199309</v>
      </c>
      <c r="D2489" s="1" t="s">
        <v>25</v>
      </c>
      <c r="E2489" s="36">
        <v>43922</v>
      </c>
      <c r="F2489" s="36">
        <v>44196</v>
      </c>
      <c r="G2489" s="38">
        <f t="shared" si="38"/>
        <v>274</v>
      </c>
      <c r="H2489" s="5">
        <v>43941</v>
      </c>
      <c r="I2489" s="5">
        <v>44106</v>
      </c>
      <c r="J2489" s="1" t="s">
        <v>41</v>
      </c>
      <c r="K2489" s="1" t="s">
        <v>5306</v>
      </c>
      <c r="L2489" s="1" t="s">
        <v>5307</v>
      </c>
      <c r="M2489" s="1" t="s">
        <v>5300</v>
      </c>
      <c r="N2489" s="1" t="s">
        <v>30</v>
      </c>
      <c r="O2489" s="1" t="s">
        <v>1284</v>
      </c>
      <c r="P2489" s="1" t="s">
        <v>1285</v>
      </c>
      <c r="Q2489" s="1" t="s">
        <v>1286</v>
      </c>
      <c r="R2489" s="1" t="s">
        <v>65</v>
      </c>
      <c r="S2489" s="1"/>
      <c r="U2489" s="1" t="s">
        <v>35</v>
      </c>
      <c r="V2489" s="1" t="s">
        <v>99</v>
      </c>
      <c r="W2489" s="1" t="str">
        <f>VLOOKUP(Table1[[#This Row],[Obergruppe ATC-Code]],Tabelle3!$A$2:$B$100,2)</f>
        <v>ANTIEPILEPTIKA</v>
      </c>
      <c r="X2489" s="1" t="str">
        <f xml:space="preserve"> LEFT(Table1[[#This Row],[Atc Code]],3)</f>
        <v>N03</v>
      </c>
    </row>
    <row r="2490" spans="1:24" ht="14.4">
      <c r="A2490" s="14">
        <v>2756</v>
      </c>
      <c r="B2490" s="24" t="s">
        <v>5308</v>
      </c>
      <c r="C2490" s="1">
        <v>2199311</v>
      </c>
      <c r="D2490" s="1" t="s">
        <v>25</v>
      </c>
      <c r="E2490" s="36">
        <v>43922</v>
      </c>
      <c r="F2490" s="36">
        <v>44196</v>
      </c>
      <c r="G2490" s="38">
        <f t="shared" si="38"/>
        <v>274</v>
      </c>
      <c r="H2490" s="5">
        <v>43941</v>
      </c>
      <c r="I2490" s="5">
        <v>44140</v>
      </c>
      <c r="J2490" s="1" t="s">
        <v>41</v>
      </c>
      <c r="K2490" s="1" t="s">
        <v>5309</v>
      </c>
      <c r="L2490" s="1" t="s">
        <v>5307</v>
      </c>
      <c r="M2490" s="1" t="s">
        <v>5300</v>
      </c>
      <c r="N2490" s="1" t="s">
        <v>30</v>
      </c>
      <c r="O2490" s="1" t="s">
        <v>1284</v>
      </c>
      <c r="P2490" s="1" t="s">
        <v>1285</v>
      </c>
      <c r="Q2490" s="1" t="s">
        <v>1286</v>
      </c>
      <c r="R2490" s="1" t="s">
        <v>65</v>
      </c>
      <c r="S2490" s="1"/>
      <c r="U2490" s="1" t="s">
        <v>35</v>
      </c>
      <c r="V2490" s="1" t="s">
        <v>99</v>
      </c>
      <c r="W2490" s="1" t="str">
        <f>VLOOKUP(Table1[[#This Row],[Obergruppe ATC-Code]],Tabelle3!$A$2:$B$100,2)</f>
        <v>ANTIEPILEPTIKA</v>
      </c>
      <c r="X2490" s="1" t="str">
        <f xml:space="preserve"> LEFT(Table1[[#This Row],[Atc Code]],3)</f>
        <v>N03</v>
      </c>
    </row>
    <row r="2491" spans="1:24" ht="14.4">
      <c r="A2491" s="14">
        <v>2753</v>
      </c>
      <c r="B2491" s="24" t="s">
        <v>5310</v>
      </c>
      <c r="C2491" s="1">
        <v>2199312</v>
      </c>
      <c r="D2491" s="1" t="s">
        <v>25</v>
      </c>
      <c r="E2491" s="36">
        <v>43922</v>
      </c>
      <c r="F2491" s="36">
        <v>44196</v>
      </c>
      <c r="G2491" s="38">
        <f t="shared" si="38"/>
        <v>274</v>
      </c>
      <c r="H2491" s="5">
        <v>43941</v>
      </c>
      <c r="I2491" s="5">
        <v>44140</v>
      </c>
      <c r="J2491" s="1" t="s">
        <v>41</v>
      </c>
      <c r="K2491" s="1" t="s">
        <v>5311</v>
      </c>
      <c r="L2491" s="1" t="s">
        <v>5307</v>
      </c>
      <c r="M2491" s="1" t="s">
        <v>5300</v>
      </c>
      <c r="N2491" s="1" t="s">
        <v>30</v>
      </c>
      <c r="O2491" s="1" t="s">
        <v>1284</v>
      </c>
      <c r="P2491" s="1" t="s">
        <v>1285</v>
      </c>
      <c r="Q2491" s="1" t="s">
        <v>1286</v>
      </c>
      <c r="R2491" s="1" t="s">
        <v>65</v>
      </c>
      <c r="S2491" s="1"/>
      <c r="U2491" s="1" t="s">
        <v>35</v>
      </c>
      <c r="V2491" s="1" t="s">
        <v>99</v>
      </c>
      <c r="W2491" s="1" t="str">
        <f>VLOOKUP(Table1[[#This Row],[Obergruppe ATC-Code]],Tabelle3!$A$2:$B$100,2)</f>
        <v>ANTIEPILEPTIKA</v>
      </c>
      <c r="X2491" s="1" t="str">
        <f xml:space="preserve"> LEFT(Table1[[#This Row],[Atc Code]],3)</f>
        <v>N03</v>
      </c>
    </row>
    <row r="2492" spans="1:24" ht="14.4">
      <c r="A2492" s="14">
        <v>2755</v>
      </c>
      <c r="B2492" s="24" t="s">
        <v>5305</v>
      </c>
      <c r="C2492" s="1">
        <v>2199310</v>
      </c>
      <c r="D2492" s="1" t="s">
        <v>25</v>
      </c>
      <c r="E2492" s="36">
        <v>43922</v>
      </c>
      <c r="F2492" s="36">
        <v>44196</v>
      </c>
      <c r="G2492" s="38">
        <f t="shared" si="38"/>
        <v>274</v>
      </c>
      <c r="H2492" s="5">
        <v>43941</v>
      </c>
      <c r="I2492" s="5">
        <v>44172</v>
      </c>
      <c r="J2492" s="1" t="s">
        <v>41</v>
      </c>
      <c r="K2492" s="1" t="s">
        <v>5312</v>
      </c>
      <c r="L2492" s="1" t="s">
        <v>5307</v>
      </c>
      <c r="M2492" s="1" t="s">
        <v>5300</v>
      </c>
      <c r="N2492" s="1" t="s">
        <v>30</v>
      </c>
      <c r="O2492" s="1" t="s">
        <v>1284</v>
      </c>
      <c r="P2492" s="1" t="s">
        <v>1285</v>
      </c>
      <c r="Q2492" s="1" t="s">
        <v>1286</v>
      </c>
      <c r="R2492" s="1" t="s">
        <v>65</v>
      </c>
      <c r="S2492" s="1"/>
      <c r="U2492" s="1" t="s">
        <v>35</v>
      </c>
      <c r="V2492" s="1" t="s">
        <v>99</v>
      </c>
      <c r="W2492" s="1" t="str">
        <f>VLOOKUP(Table1[[#This Row],[Obergruppe ATC-Code]],Tabelle3!$A$2:$B$100,2)</f>
        <v>ANTIEPILEPTIKA</v>
      </c>
      <c r="X2492" s="1" t="str">
        <f xml:space="preserve"> LEFT(Table1[[#This Row],[Atc Code]],3)</f>
        <v>N03</v>
      </c>
    </row>
    <row r="2493" spans="1:24" ht="14.4">
      <c r="A2493" s="14">
        <v>1374</v>
      </c>
      <c r="B2493" s="24">
        <v>13589589</v>
      </c>
      <c r="C2493" s="1">
        <v>2197380</v>
      </c>
      <c r="D2493" s="1" t="s">
        <v>25</v>
      </c>
      <c r="E2493" s="36">
        <v>43739</v>
      </c>
      <c r="F2493" s="36">
        <v>43861</v>
      </c>
      <c r="G2493" s="38">
        <f t="shared" si="38"/>
        <v>122</v>
      </c>
      <c r="H2493" s="5">
        <v>43780</v>
      </c>
      <c r="I2493" s="5">
        <v>43847</v>
      </c>
      <c r="J2493" s="1" t="s">
        <v>26</v>
      </c>
      <c r="K2493" s="1" t="s">
        <v>5313</v>
      </c>
      <c r="L2493" s="1" t="s">
        <v>5314</v>
      </c>
      <c r="M2493" s="1" t="s">
        <v>5315</v>
      </c>
      <c r="N2493" s="1" t="s">
        <v>38</v>
      </c>
      <c r="O2493" s="1" t="s">
        <v>1440</v>
      </c>
      <c r="P2493" s="1" t="s">
        <v>1441</v>
      </c>
      <c r="Q2493" s="1" t="s">
        <v>1442</v>
      </c>
      <c r="R2493" s="1" t="s">
        <v>33</v>
      </c>
      <c r="S2493" s="1"/>
      <c r="U2493" s="1" t="s">
        <v>35</v>
      </c>
      <c r="V2493" s="1" t="s">
        <v>99</v>
      </c>
      <c r="W2493" s="1" t="str">
        <f>VLOOKUP(Table1[[#This Row],[Obergruppe ATC-Code]],Tabelle3!$A$2:$B$100,2)</f>
        <v>ANTIEPILEPTIKA</v>
      </c>
      <c r="X2493" s="1" t="str">
        <f xml:space="preserve"> LEFT(Table1[[#This Row],[Atc Code]],3)</f>
        <v>N03</v>
      </c>
    </row>
    <row r="2494" spans="1:24" ht="14.4">
      <c r="A2494" s="14">
        <v>1381</v>
      </c>
      <c r="B2494" s="24">
        <v>13753770</v>
      </c>
      <c r="C2494" s="1">
        <v>2199715</v>
      </c>
      <c r="D2494" s="1" t="s">
        <v>25</v>
      </c>
      <c r="E2494" s="36">
        <v>43739</v>
      </c>
      <c r="F2494" s="36">
        <v>43861</v>
      </c>
      <c r="G2494" s="38">
        <f t="shared" si="38"/>
        <v>122</v>
      </c>
      <c r="H2494" s="5">
        <v>43780</v>
      </c>
      <c r="I2494" s="5">
        <v>43864</v>
      </c>
      <c r="J2494" s="1" t="s">
        <v>26</v>
      </c>
      <c r="K2494" s="1" t="s">
        <v>5316</v>
      </c>
      <c r="L2494" s="1" t="s">
        <v>5314</v>
      </c>
      <c r="M2494" s="1" t="s">
        <v>5315</v>
      </c>
      <c r="N2494" s="1" t="s">
        <v>38</v>
      </c>
      <c r="O2494" s="1" t="s">
        <v>1440</v>
      </c>
      <c r="P2494" s="1" t="s">
        <v>1441</v>
      </c>
      <c r="Q2494" s="1" t="s">
        <v>1442</v>
      </c>
      <c r="R2494" s="1" t="s">
        <v>33</v>
      </c>
      <c r="S2494" s="1"/>
      <c r="U2494" s="1" t="s">
        <v>35</v>
      </c>
      <c r="V2494" s="1" t="s">
        <v>262</v>
      </c>
      <c r="W2494" s="1" t="str">
        <f>VLOOKUP(Table1[[#This Row],[Obergruppe ATC-Code]],Tabelle3!$A$2:$B$100,2)</f>
        <v>ANTIEPILEPTIKA</v>
      </c>
      <c r="X2494" s="1" t="str">
        <f xml:space="preserve"> LEFT(Table1[[#This Row],[Atc Code]],3)</f>
        <v>N03</v>
      </c>
    </row>
    <row r="2495" spans="1:24" ht="14.4">
      <c r="A2495" s="14">
        <v>1370</v>
      </c>
      <c r="B2495" s="24">
        <v>13589543</v>
      </c>
      <c r="C2495" s="1">
        <v>2197379</v>
      </c>
      <c r="D2495" s="1" t="s">
        <v>25</v>
      </c>
      <c r="E2495" s="36">
        <v>43739</v>
      </c>
      <c r="F2495" s="36">
        <v>43921</v>
      </c>
      <c r="G2495" s="38">
        <f t="shared" si="38"/>
        <v>182</v>
      </c>
      <c r="H2495" s="5">
        <v>43780</v>
      </c>
      <c r="I2495" s="5">
        <v>43899</v>
      </c>
      <c r="J2495" s="1" t="s">
        <v>26</v>
      </c>
      <c r="K2495" s="1" t="s">
        <v>5317</v>
      </c>
      <c r="L2495" s="1" t="s">
        <v>5314</v>
      </c>
      <c r="M2495" s="1" t="s">
        <v>5315</v>
      </c>
      <c r="N2495" s="1" t="s">
        <v>38</v>
      </c>
      <c r="O2495" s="1" t="s">
        <v>1440</v>
      </c>
      <c r="P2495" s="1" t="s">
        <v>1441</v>
      </c>
      <c r="Q2495" s="1" t="s">
        <v>1442</v>
      </c>
      <c r="R2495" s="1" t="s">
        <v>33</v>
      </c>
      <c r="S2495" s="1"/>
      <c r="U2495" s="1" t="s">
        <v>35</v>
      </c>
      <c r="V2495" s="1" t="s">
        <v>99</v>
      </c>
      <c r="W2495" s="1" t="str">
        <f>VLOOKUP(Table1[[#This Row],[Obergruppe ATC-Code]],Tabelle3!$A$2:$B$100,2)</f>
        <v>ANTIEPILEPTIKA</v>
      </c>
      <c r="X2495" s="1" t="str">
        <f xml:space="preserve"> LEFT(Table1[[#This Row],[Atc Code]],3)</f>
        <v>N03</v>
      </c>
    </row>
    <row r="2496" spans="1:24" ht="14.4">
      <c r="A2496" s="14">
        <v>1383</v>
      </c>
      <c r="B2496" s="24">
        <v>13753830</v>
      </c>
      <c r="C2496" s="1">
        <v>2199713</v>
      </c>
      <c r="D2496" s="1" t="s">
        <v>25</v>
      </c>
      <c r="E2496" s="36">
        <v>43862</v>
      </c>
      <c r="F2496" s="36">
        <v>43951</v>
      </c>
      <c r="G2496" s="38">
        <f t="shared" si="38"/>
        <v>89</v>
      </c>
      <c r="H2496" s="5">
        <v>43901</v>
      </c>
      <c r="I2496" s="5">
        <v>43927</v>
      </c>
      <c r="J2496" s="1" t="s">
        <v>41</v>
      </c>
      <c r="K2496" s="1" t="s">
        <v>5318</v>
      </c>
      <c r="L2496" s="1" t="s">
        <v>5314</v>
      </c>
      <c r="M2496" s="1" t="s">
        <v>5315</v>
      </c>
      <c r="N2496" s="1" t="s">
        <v>38</v>
      </c>
      <c r="O2496" s="1" t="s">
        <v>1440</v>
      </c>
      <c r="P2496" s="1" t="s">
        <v>1441</v>
      </c>
      <c r="Q2496" s="1" t="s">
        <v>1442</v>
      </c>
      <c r="R2496" s="1" t="s">
        <v>48</v>
      </c>
      <c r="S2496" s="1"/>
      <c r="U2496" s="1" t="s">
        <v>35</v>
      </c>
      <c r="V2496" s="1" t="s">
        <v>262</v>
      </c>
      <c r="W2496" s="1" t="str">
        <f>VLOOKUP(Table1[[#This Row],[Obergruppe ATC-Code]],Tabelle3!$A$2:$B$100,2)</f>
        <v>ANTIEPILEPTIKA</v>
      </c>
      <c r="X2496" s="1" t="str">
        <f xml:space="preserve"> LEFT(Table1[[#This Row],[Atc Code]],3)</f>
        <v>N03</v>
      </c>
    </row>
    <row r="2497" spans="1:24" ht="14.4">
      <c r="A2497" s="14">
        <v>1386</v>
      </c>
      <c r="B2497" s="24">
        <v>13753847</v>
      </c>
      <c r="C2497" s="1">
        <v>2199714</v>
      </c>
      <c r="D2497" s="1" t="s">
        <v>25</v>
      </c>
      <c r="E2497" s="36">
        <v>44228</v>
      </c>
      <c r="F2497" s="36">
        <v>44255</v>
      </c>
      <c r="G2497" s="38">
        <f t="shared" si="38"/>
        <v>27</v>
      </c>
      <c r="H2497" s="5">
        <v>44242</v>
      </c>
      <c r="I2497" s="5">
        <v>44258</v>
      </c>
      <c r="J2497" s="1" t="s">
        <v>41</v>
      </c>
      <c r="K2497" s="1" t="s">
        <v>5319</v>
      </c>
      <c r="L2497" s="1" t="s">
        <v>5314</v>
      </c>
      <c r="M2497" s="1" t="s">
        <v>5315</v>
      </c>
      <c r="N2497" s="1" t="s">
        <v>38</v>
      </c>
      <c r="O2497" s="1" t="s">
        <v>1440</v>
      </c>
      <c r="P2497" s="1" t="s">
        <v>1441</v>
      </c>
      <c r="Q2497" s="1" t="s">
        <v>1916</v>
      </c>
      <c r="R2497" s="1" t="s">
        <v>26</v>
      </c>
      <c r="S2497" s="1"/>
      <c r="U2497" s="1" t="s">
        <v>35</v>
      </c>
      <c r="V2497" s="1" t="s">
        <v>262</v>
      </c>
      <c r="W2497" s="1" t="str">
        <f>VLOOKUP(Table1[[#This Row],[Obergruppe ATC-Code]],Tabelle3!$A$2:$B$100,2)</f>
        <v>ANTIEPILEPTIKA</v>
      </c>
      <c r="X2497" s="1" t="str">
        <f xml:space="preserve"> LEFT(Table1[[#This Row],[Atc Code]],3)</f>
        <v>N03</v>
      </c>
    </row>
    <row r="2498" spans="1:24" ht="14.4">
      <c r="A2498" s="14">
        <v>1373</v>
      </c>
      <c r="B2498" s="24">
        <v>13589589</v>
      </c>
      <c r="C2498" s="1">
        <v>2197380</v>
      </c>
      <c r="D2498" s="1" t="s">
        <v>25</v>
      </c>
      <c r="E2498" s="36">
        <v>44256</v>
      </c>
      <c r="F2498" s="36">
        <v>44286</v>
      </c>
      <c r="G2498" s="38">
        <f t="shared" ref="G2498:G2561" si="39">F2498-E2498</f>
        <v>30</v>
      </c>
      <c r="H2498" s="5">
        <v>44258</v>
      </c>
      <c r="I2498" s="5">
        <v>44294</v>
      </c>
      <c r="J2498" s="1" t="s">
        <v>41</v>
      </c>
      <c r="K2498" s="1" t="s">
        <v>5313</v>
      </c>
      <c r="L2498" s="1" t="s">
        <v>5314</v>
      </c>
      <c r="M2498" s="1" t="s">
        <v>5315</v>
      </c>
      <c r="N2498" s="1" t="s">
        <v>38</v>
      </c>
      <c r="O2498" s="1" t="s">
        <v>1440</v>
      </c>
      <c r="P2498" s="1" t="s">
        <v>1441</v>
      </c>
      <c r="Q2498" s="1" t="s">
        <v>1916</v>
      </c>
      <c r="R2498" s="1" t="s">
        <v>65</v>
      </c>
      <c r="S2498" s="1"/>
      <c r="U2498" s="1" t="s">
        <v>35</v>
      </c>
      <c r="V2498" s="1" t="s">
        <v>99</v>
      </c>
      <c r="W2498" s="1" t="str">
        <f>VLOOKUP(Table1[[#This Row],[Obergruppe ATC-Code]],Tabelle3!$A$2:$B$100,2)</f>
        <v>ANTIEPILEPTIKA</v>
      </c>
      <c r="X2498" s="1" t="str">
        <f xml:space="preserve"> LEFT(Table1[[#This Row],[Atc Code]],3)</f>
        <v>N03</v>
      </c>
    </row>
    <row r="2499" spans="1:24" ht="14.4">
      <c r="A2499" s="14">
        <v>1376</v>
      </c>
      <c r="B2499" s="24">
        <v>13589603</v>
      </c>
      <c r="C2499" s="1">
        <v>2197380</v>
      </c>
      <c r="D2499" s="1" t="s">
        <v>25</v>
      </c>
      <c r="E2499" s="36">
        <v>44316</v>
      </c>
      <c r="F2499" s="36">
        <v>44358</v>
      </c>
      <c r="G2499" s="38">
        <f t="shared" si="39"/>
        <v>42</v>
      </c>
      <c r="H2499" s="5">
        <v>44349</v>
      </c>
      <c r="I2499" s="5">
        <v>44393</v>
      </c>
      <c r="J2499" s="1" t="s">
        <v>41</v>
      </c>
      <c r="K2499" s="1" t="s">
        <v>5313</v>
      </c>
      <c r="L2499" s="1" t="s">
        <v>5314</v>
      </c>
      <c r="M2499" s="1" t="s">
        <v>5315</v>
      </c>
      <c r="N2499" s="1" t="s">
        <v>38</v>
      </c>
      <c r="O2499" s="1" t="s">
        <v>1440</v>
      </c>
      <c r="P2499" s="1" t="s">
        <v>1540</v>
      </c>
      <c r="Q2499" s="1" t="s">
        <v>1541</v>
      </c>
      <c r="R2499" s="1" t="s">
        <v>65</v>
      </c>
      <c r="S2499" s="1"/>
      <c r="U2499" s="1" t="s">
        <v>130</v>
      </c>
      <c r="V2499" s="1" t="s">
        <v>99</v>
      </c>
      <c r="W2499" s="1" t="str">
        <f>VLOOKUP(Table1[[#This Row],[Obergruppe ATC-Code]],Tabelle3!$A$2:$B$100,2)</f>
        <v>ANTIEPILEPTIKA</v>
      </c>
      <c r="X2499" s="1" t="str">
        <f xml:space="preserve"> LEFT(Table1[[#This Row],[Atc Code]],3)</f>
        <v>N03</v>
      </c>
    </row>
    <row r="2500" spans="1:24" ht="14.4">
      <c r="A2500" s="14">
        <v>1372</v>
      </c>
      <c r="B2500" s="24">
        <v>13589543</v>
      </c>
      <c r="C2500" s="1">
        <v>2197379</v>
      </c>
      <c r="D2500" s="1" t="s">
        <v>25</v>
      </c>
      <c r="E2500" s="36">
        <v>44256</v>
      </c>
      <c r="F2500" s="36">
        <v>44372</v>
      </c>
      <c r="G2500" s="38">
        <f t="shared" si="39"/>
        <v>116</v>
      </c>
      <c r="H2500" s="5">
        <v>44305</v>
      </c>
      <c r="I2500" s="5">
        <v>44393</v>
      </c>
      <c r="J2500" s="1" t="s">
        <v>41</v>
      </c>
      <c r="K2500" s="1" t="s">
        <v>5317</v>
      </c>
      <c r="L2500" s="1" t="s">
        <v>5314</v>
      </c>
      <c r="M2500" s="1" t="s">
        <v>5315</v>
      </c>
      <c r="N2500" s="1" t="s">
        <v>38</v>
      </c>
      <c r="O2500" s="1" t="s">
        <v>1440</v>
      </c>
      <c r="P2500" s="1" t="s">
        <v>1441</v>
      </c>
      <c r="Q2500" s="1" t="s">
        <v>1916</v>
      </c>
      <c r="R2500" s="1" t="s">
        <v>26</v>
      </c>
      <c r="S2500" s="1" t="s">
        <v>5320</v>
      </c>
      <c r="U2500" s="1" t="s">
        <v>35</v>
      </c>
      <c r="V2500" s="1" t="s">
        <v>99</v>
      </c>
      <c r="W2500" s="1" t="str">
        <f>VLOOKUP(Table1[[#This Row],[Obergruppe ATC-Code]],Tabelle3!$A$2:$B$100,2)</f>
        <v>ANTIEPILEPTIKA</v>
      </c>
      <c r="X2500" s="1" t="str">
        <f xml:space="preserve"> LEFT(Table1[[#This Row],[Atc Code]],3)</f>
        <v>N03</v>
      </c>
    </row>
    <row r="2501" spans="1:24" ht="14.4">
      <c r="A2501" s="14">
        <v>1388</v>
      </c>
      <c r="B2501" s="24">
        <v>13753847</v>
      </c>
      <c r="C2501" s="1">
        <v>2199714</v>
      </c>
      <c r="D2501" s="1" t="s">
        <v>25</v>
      </c>
      <c r="E2501" s="36">
        <v>44386</v>
      </c>
      <c r="F2501" s="36">
        <v>44468</v>
      </c>
      <c r="G2501" s="38">
        <f t="shared" si="39"/>
        <v>82</v>
      </c>
      <c r="H2501" s="5">
        <v>44393</v>
      </c>
      <c r="I2501" s="5">
        <v>44476</v>
      </c>
      <c r="J2501" s="1" t="s">
        <v>41</v>
      </c>
      <c r="K2501" s="1" t="s">
        <v>5319</v>
      </c>
      <c r="L2501" s="1" t="s">
        <v>5314</v>
      </c>
      <c r="M2501" s="1" t="s">
        <v>5315</v>
      </c>
      <c r="N2501" s="1" t="s">
        <v>38</v>
      </c>
      <c r="O2501" s="1" t="s">
        <v>1440</v>
      </c>
      <c r="P2501" s="1" t="s">
        <v>1540</v>
      </c>
      <c r="Q2501" s="1" t="s">
        <v>1541</v>
      </c>
      <c r="R2501" s="1" t="s">
        <v>128</v>
      </c>
      <c r="S2501" s="1"/>
      <c r="U2501" s="1" t="s">
        <v>130</v>
      </c>
      <c r="V2501" s="1" t="s">
        <v>262</v>
      </c>
      <c r="W2501" s="1" t="str">
        <f>VLOOKUP(Table1[[#This Row],[Obergruppe ATC-Code]],Tabelle3!$A$2:$B$100,2)</f>
        <v>ANTIEPILEPTIKA</v>
      </c>
      <c r="X2501" s="1" t="str">
        <f xml:space="preserve"> LEFT(Table1[[#This Row],[Atc Code]],3)</f>
        <v>N03</v>
      </c>
    </row>
    <row r="2502" spans="1:24" ht="14.4">
      <c r="A2502" s="14">
        <v>1385</v>
      </c>
      <c r="B2502" s="24">
        <v>13753830</v>
      </c>
      <c r="C2502" s="1">
        <v>2199713</v>
      </c>
      <c r="D2502" s="1" t="s">
        <v>25</v>
      </c>
      <c r="E2502" s="36">
        <v>44482</v>
      </c>
      <c r="F2502" s="36">
        <v>44530</v>
      </c>
      <c r="G2502" s="38">
        <f t="shared" si="39"/>
        <v>48</v>
      </c>
      <c r="H2502" s="5">
        <v>44491</v>
      </c>
      <c r="I2502" s="5">
        <v>44537</v>
      </c>
      <c r="J2502" s="1" t="s">
        <v>26</v>
      </c>
      <c r="K2502" s="1" t="s">
        <v>5318</v>
      </c>
      <c r="L2502" s="1" t="s">
        <v>5314</v>
      </c>
      <c r="M2502" s="1" t="s">
        <v>5315</v>
      </c>
      <c r="N2502" s="1" t="s">
        <v>38</v>
      </c>
      <c r="O2502" s="1" t="s">
        <v>1440</v>
      </c>
      <c r="P2502" s="1" t="s">
        <v>1540</v>
      </c>
      <c r="Q2502" s="1" t="s">
        <v>1541</v>
      </c>
      <c r="R2502" s="1" t="s">
        <v>113</v>
      </c>
      <c r="S2502" s="1"/>
      <c r="U2502" s="1" t="s">
        <v>35</v>
      </c>
      <c r="V2502" s="1" t="s">
        <v>262</v>
      </c>
      <c r="W2502" s="1" t="str">
        <f>VLOOKUP(Table1[[#This Row],[Obergruppe ATC-Code]],Tabelle3!$A$2:$B$100,2)</f>
        <v>ANTIEPILEPTIKA</v>
      </c>
      <c r="X2502" s="1" t="str">
        <f xml:space="preserve"> LEFT(Table1[[#This Row],[Atc Code]],3)</f>
        <v>N03</v>
      </c>
    </row>
    <row r="2503" spans="1:24" ht="14.4">
      <c r="A2503" s="14">
        <v>1371</v>
      </c>
      <c r="B2503" s="24">
        <v>13589543</v>
      </c>
      <c r="C2503" s="1">
        <v>2197379</v>
      </c>
      <c r="D2503" s="1" t="s">
        <v>25</v>
      </c>
      <c r="E2503" s="36">
        <v>44438</v>
      </c>
      <c r="F2503" s="36">
        <v>44537</v>
      </c>
      <c r="G2503" s="38">
        <f t="shared" si="39"/>
        <v>99</v>
      </c>
      <c r="H2503" s="5">
        <v>44442</v>
      </c>
      <c r="I2503" s="5">
        <v>44537</v>
      </c>
      <c r="J2503" s="1" t="s">
        <v>41</v>
      </c>
      <c r="K2503" s="1" t="s">
        <v>5317</v>
      </c>
      <c r="L2503" s="1" t="s">
        <v>5314</v>
      </c>
      <c r="M2503" s="1" t="s">
        <v>5315</v>
      </c>
      <c r="N2503" s="1" t="s">
        <v>38</v>
      </c>
      <c r="O2503" s="1" t="s">
        <v>1440</v>
      </c>
      <c r="P2503" s="1" t="s">
        <v>1540</v>
      </c>
      <c r="Q2503" s="1" t="s">
        <v>1541</v>
      </c>
      <c r="R2503" s="1" t="s">
        <v>128</v>
      </c>
      <c r="S2503" s="1"/>
      <c r="U2503" s="1" t="s">
        <v>35</v>
      </c>
      <c r="V2503" s="1" t="s">
        <v>99</v>
      </c>
      <c r="W2503" s="1" t="str">
        <f>VLOOKUP(Table1[[#This Row],[Obergruppe ATC-Code]],Tabelle3!$A$2:$B$100,2)</f>
        <v>ANTIEPILEPTIKA</v>
      </c>
      <c r="X2503" s="1" t="str">
        <f xml:space="preserve"> LEFT(Table1[[#This Row],[Atc Code]],3)</f>
        <v>N03</v>
      </c>
    </row>
    <row r="2504" spans="1:24" ht="14.4">
      <c r="A2504" s="14">
        <v>1389</v>
      </c>
      <c r="B2504" s="24">
        <v>13753882</v>
      </c>
      <c r="C2504" s="1">
        <v>2199715</v>
      </c>
      <c r="D2504" s="1" t="s">
        <v>25</v>
      </c>
      <c r="E2504" s="36">
        <v>44487</v>
      </c>
      <c r="F2504" s="36">
        <v>44586</v>
      </c>
      <c r="G2504" s="38">
        <f t="shared" si="39"/>
        <v>99</v>
      </c>
      <c r="H2504" s="5">
        <v>44491</v>
      </c>
      <c r="I2504" s="5">
        <v>44599</v>
      </c>
      <c r="J2504" s="1" t="s">
        <v>26</v>
      </c>
      <c r="K2504" s="1" t="s">
        <v>5316</v>
      </c>
      <c r="L2504" s="1" t="s">
        <v>5314</v>
      </c>
      <c r="M2504" s="1" t="s">
        <v>5315</v>
      </c>
      <c r="N2504" s="1" t="s">
        <v>38</v>
      </c>
      <c r="O2504" s="1" t="s">
        <v>1440</v>
      </c>
      <c r="P2504" s="1" t="s">
        <v>1540</v>
      </c>
      <c r="Q2504" s="1" t="s">
        <v>1541</v>
      </c>
      <c r="R2504" s="1" t="s">
        <v>113</v>
      </c>
      <c r="S2504" s="1"/>
      <c r="U2504" s="1" t="s">
        <v>35</v>
      </c>
      <c r="V2504" s="1" t="s">
        <v>262</v>
      </c>
      <c r="W2504" s="1" t="str">
        <f>VLOOKUP(Table1[[#This Row],[Obergruppe ATC-Code]],Tabelle3!$A$2:$B$100,2)</f>
        <v>ANTIEPILEPTIKA</v>
      </c>
      <c r="X2504" s="1" t="str">
        <f xml:space="preserve"> LEFT(Table1[[#This Row],[Atc Code]],3)</f>
        <v>N03</v>
      </c>
    </row>
    <row r="2505" spans="1:24" ht="14.4">
      <c r="A2505" s="14">
        <v>1384</v>
      </c>
      <c r="B2505" s="24">
        <v>13753830</v>
      </c>
      <c r="C2505" s="1">
        <v>2199713</v>
      </c>
      <c r="D2505" s="1" t="s">
        <v>25</v>
      </c>
      <c r="E2505" s="36">
        <v>44566</v>
      </c>
      <c r="F2505" s="36">
        <v>44637</v>
      </c>
      <c r="G2505" s="38">
        <f t="shared" si="39"/>
        <v>71</v>
      </c>
      <c r="H2505" s="5">
        <v>44599</v>
      </c>
      <c r="I2505" s="5">
        <v>44648</v>
      </c>
      <c r="J2505" s="1" t="s">
        <v>26</v>
      </c>
      <c r="K2505" s="1" t="s">
        <v>5318</v>
      </c>
      <c r="L2505" s="1" t="s">
        <v>5314</v>
      </c>
      <c r="M2505" s="1" t="s">
        <v>5315</v>
      </c>
      <c r="N2505" s="1" t="s">
        <v>38</v>
      </c>
      <c r="O2505" s="1" t="s">
        <v>1440</v>
      </c>
      <c r="P2505" s="1" t="s">
        <v>1540</v>
      </c>
      <c r="Q2505" s="1" t="s">
        <v>1541</v>
      </c>
      <c r="R2505" s="1" t="s">
        <v>113</v>
      </c>
      <c r="S2505" s="1"/>
      <c r="U2505" s="1" t="s">
        <v>35</v>
      </c>
      <c r="V2505" s="1" t="s">
        <v>262</v>
      </c>
      <c r="W2505" s="1" t="str">
        <f>VLOOKUP(Table1[[#This Row],[Obergruppe ATC-Code]],Tabelle3!$A$2:$B$100,2)</f>
        <v>ANTIEPILEPTIKA</v>
      </c>
      <c r="X2505" s="1" t="str">
        <f xml:space="preserve"> LEFT(Table1[[#This Row],[Atc Code]],3)</f>
        <v>N03</v>
      </c>
    </row>
    <row r="2506" spans="1:24" ht="14.4">
      <c r="A2506" s="14">
        <v>1387</v>
      </c>
      <c r="B2506" s="24">
        <v>13753847</v>
      </c>
      <c r="C2506" s="1">
        <v>2199714</v>
      </c>
      <c r="D2506" s="1" t="s">
        <v>25</v>
      </c>
      <c r="E2506" s="36">
        <v>44697</v>
      </c>
      <c r="F2506" s="36">
        <v>44750</v>
      </c>
      <c r="G2506" s="38">
        <f t="shared" si="39"/>
        <v>53</v>
      </c>
      <c r="H2506" s="5">
        <v>44719</v>
      </c>
      <c r="I2506" s="5">
        <v>44762</v>
      </c>
      <c r="J2506" s="1" t="s">
        <v>26</v>
      </c>
      <c r="K2506" s="1" t="s">
        <v>5319</v>
      </c>
      <c r="L2506" s="1" t="s">
        <v>5314</v>
      </c>
      <c r="M2506" s="1" t="s">
        <v>5315</v>
      </c>
      <c r="N2506" s="1" t="s">
        <v>38</v>
      </c>
      <c r="O2506" s="1" t="s">
        <v>1440</v>
      </c>
      <c r="P2506" s="1" t="s">
        <v>1540</v>
      </c>
      <c r="Q2506" s="1" t="s">
        <v>1541</v>
      </c>
      <c r="R2506" s="1" t="s">
        <v>113</v>
      </c>
      <c r="S2506" s="1"/>
      <c r="U2506" s="1" t="s">
        <v>35</v>
      </c>
      <c r="V2506" s="1" t="s">
        <v>262</v>
      </c>
      <c r="W2506" s="1" t="str">
        <f>VLOOKUP(Table1[[#This Row],[Obergruppe ATC-Code]],Tabelle3!$A$2:$B$100,2)</f>
        <v>ANTIEPILEPTIKA</v>
      </c>
      <c r="X2506" s="1" t="str">
        <f xml:space="preserve"> LEFT(Table1[[#This Row],[Atc Code]],3)</f>
        <v>N03</v>
      </c>
    </row>
    <row r="2507" spans="1:24" ht="14.4">
      <c r="A2507" s="14">
        <v>2750</v>
      </c>
      <c r="B2507" s="24" t="s">
        <v>5321</v>
      </c>
      <c r="C2507" s="1">
        <v>2199713</v>
      </c>
      <c r="D2507" s="1" t="s">
        <v>25</v>
      </c>
      <c r="E2507" s="36">
        <v>44650</v>
      </c>
      <c r="F2507" s="36">
        <v>44768</v>
      </c>
      <c r="G2507" s="38">
        <f t="shared" si="39"/>
        <v>118</v>
      </c>
      <c r="H2507" s="5">
        <v>44664</v>
      </c>
      <c r="I2507" s="5">
        <v>44770</v>
      </c>
      <c r="J2507" s="1" t="s">
        <v>26</v>
      </c>
      <c r="K2507" s="1" t="s">
        <v>5318</v>
      </c>
      <c r="L2507" s="1" t="s">
        <v>5314</v>
      </c>
      <c r="M2507" s="1" t="s">
        <v>5315</v>
      </c>
      <c r="N2507" s="1" t="s">
        <v>38</v>
      </c>
      <c r="O2507" s="1" t="s">
        <v>1440</v>
      </c>
      <c r="P2507" s="1" t="s">
        <v>1540</v>
      </c>
      <c r="Q2507" s="1" t="s">
        <v>1541</v>
      </c>
      <c r="R2507" s="1" t="s">
        <v>113</v>
      </c>
      <c r="S2507" s="1"/>
      <c r="U2507" s="1" t="s">
        <v>35</v>
      </c>
      <c r="V2507" s="1" t="s">
        <v>262</v>
      </c>
      <c r="W2507" s="1" t="str">
        <f>VLOOKUP(Table1[[#This Row],[Obergruppe ATC-Code]],Tabelle3!$A$2:$B$100,2)</f>
        <v>ANTIEPILEPTIKA</v>
      </c>
      <c r="X2507" s="1" t="str">
        <f xml:space="preserve"> LEFT(Table1[[#This Row],[Atc Code]],3)</f>
        <v>N03</v>
      </c>
    </row>
    <row r="2508" spans="1:24" ht="14.4">
      <c r="A2508" s="14">
        <v>2746</v>
      </c>
      <c r="B2508" s="24" t="s">
        <v>5322</v>
      </c>
      <c r="C2508" s="1">
        <v>2197379</v>
      </c>
      <c r="D2508" s="1" t="s">
        <v>25</v>
      </c>
      <c r="E2508" s="36">
        <v>44537</v>
      </c>
      <c r="F2508" s="36">
        <v>44768</v>
      </c>
      <c r="G2508" s="38">
        <f t="shared" si="39"/>
        <v>231</v>
      </c>
      <c r="H2508" s="5">
        <v>44537</v>
      </c>
      <c r="I2508" s="5">
        <v>44770</v>
      </c>
      <c r="J2508" s="1" t="s">
        <v>26</v>
      </c>
      <c r="K2508" s="1" t="s">
        <v>5317</v>
      </c>
      <c r="L2508" s="1" t="s">
        <v>5314</v>
      </c>
      <c r="M2508" s="1" t="s">
        <v>5315</v>
      </c>
      <c r="N2508" s="1" t="s">
        <v>38</v>
      </c>
      <c r="O2508" s="1" t="s">
        <v>1440</v>
      </c>
      <c r="P2508" s="1" t="s">
        <v>1540</v>
      </c>
      <c r="Q2508" s="1" t="s">
        <v>1541</v>
      </c>
      <c r="R2508" s="1" t="s">
        <v>113</v>
      </c>
      <c r="S2508" s="1"/>
      <c r="U2508" s="1" t="s">
        <v>35</v>
      </c>
      <c r="V2508" s="1" t="s">
        <v>99</v>
      </c>
      <c r="W2508" s="1" t="str">
        <f>VLOOKUP(Table1[[#This Row],[Obergruppe ATC-Code]],Tabelle3!$A$2:$B$100,2)</f>
        <v>ANTIEPILEPTIKA</v>
      </c>
      <c r="X2508" s="1" t="str">
        <f xml:space="preserve"> LEFT(Table1[[#This Row],[Atc Code]],3)</f>
        <v>N03</v>
      </c>
    </row>
    <row r="2509" spans="1:24" ht="14.4">
      <c r="A2509" s="14">
        <v>1382</v>
      </c>
      <c r="B2509" s="24">
        <v>13753770</v>
      </c>
      <c r="C2509" s="1">
        <v>2199715</v>
      </c>
      <c r="D2509" s="1" t="s">
        <v>25</v>
      </c>
      <c r="E2509" s="36">
        <v>44693</v>
      </c>
      <c r="F2509" s="36">
        <v>44768</v>
      </c>
      <c r="G2509" s="38">
        <f t="shared" si="39"/>
        <v>75</v>
      </c>
      <c r="H2509" s="5">
        <v>44719</v>
      </c>
      <c r="I2509" s="5">
        <v>44770</v>
      </c>
      <c r="J2509" s="1" t="s">
        <v>26</v>
      </c>
      <c r="K2509" s="1" t="s">
        <v>5316</v>
      </c>
      <c r="L2509" s="1" t="s">
        <v>5314</v>
      </c>
      <c r="M2509" s="1" t="s">
        <v>5315</v>
      </c>
      <c r="N2509" s="1" t="s">
        <v>38</v>
      </c>
      <c r="O2509" s="1" t="s">
        <v>1440</v>
      </c>
      <c r="P2509" s="1" t="s">
        <v>1540</v>
      </c>
      <c r="Q2509" s="1" t="s">
        <v>1541</v>
      </c>
      <c r="R2509" s="1" t="s">
        <v>113</v>
      </c>
      <c r="S2509" s="1"/>
      <c r="U2509" s="1" t="s">
        <v>35</v>
      </c>
      <c r="V2509" s="1" t="s">
        <v>262</v>
      </c>
      <c r="W2509" s="1" t="str">
        <f>VLOOKUP(Table1[[#This Row],[Obergruppe ATC-Code]],Tabelle3!$A$2:$B$100,2)</f>
        <v>ANTIEPILEPTIKA</v>
      </c>
      <c r="X2509" s="1" t="str">
        <f xml:space="preserve"> LEFT(Table1[[#This Row],[Atc Code]],3)</f>
        <v>N03</v>
      </c>
    </row>
    <row r="2510" spans="1:24" ht="14.4">
      <c r="A2510" s="14">
        <v>1375</v>
      </c>
      <c r="B2510" s="24">
        <v>13589589</v>
      </c>
      <c r="C2510" s="1">
        <v>2197380</v>
      </c>
      <c r="D2510" s="1" t="s">
        <v>25</v>
      </c>
      <c r="E2510" s="36">
        <v>44698</v>
      </c>
      <c r="F2510" s="36">
        <v>44784</v>
      </c>
      <c r="G2510" s="38">
        <f t="shared" si="39"/>
        <v>86</v>
      </c>
      <c r="H2510" s="5">
        <v>44719</v>
      </c>
      <c r="I2510" s="5">
        <v>44803</v>
      </c>
      <c r="J2510" s="1" t="s">
        <v>26</v>
      </c>
      <c r="K2510" s="1" t="s">
        <v>5313</v>
      </c>
      <c r="L2510" s="1" t="s">
        <v>5314</v>
      </c>
      <c r="M2510" s="1" t="s">
        <v>5315</v>
      </c>
      <c r="N2510" s="1" t="s">
        <v>38</v>
      </c>
      <c r="O2510" s="1" t="s">
        <v>1440</v>
      </c>
      <c r="P2510" s="1" t="s">
        <v>1540</v>
      </c>
      <c r="Q2510" s="1" t="s">
        <v>1541</v>
      </c>
      <c r="R2510" s="1" t="s">
        <v>113</v>
      </c>
      <c r="S2510" s="1"/>
      <c r="U2510" s="1" t="s">
        <v>35</v>
      </c>
      <c r="V2510" s="1" t="s">
        <v>99</v>
      </c>
      <c r="W2510" s="1" t="str">
        <f>VLOOKUP(Table1[[#This Row],[Obergruppe ATC-Code]],Tabelle3!$A$2:$B$100,2)</f>
        <v>ANTIEPILEPTIKA</v>
      </c>
      <c r="X2510" s="1" t="str">
        <f xml:space="preserve"> LEFT(Table1[[#This Row],[Atc Code]],3)</f>
        <v>N03</v>
      </c>
    </row>
    <row r="2511" spans="1:24" ht="14.4">
      <c r="A2511" s="14">
        <v>2747</v>
      </c>
      <c r="B2511" s="24" t="s">
        <v>5323</v>
      </c>
      <c r="C2511" s="1">
        <v>2197380</v>
      </c>
      <c r="D2511" s="1" t="s">
        <v>25</v>
      </c>
      <c r="E2511" s="36">
        <v>45056</v>
      </c>
      <c r="F2511" s="36">
        <v>45169</v>
      </c>
      <c r="G2511" s="38">
        <f t="shared" si="39"/>
        <v>113</v>
      </c>
      <c r="H2511" s="5">
        <v>45078</v>
      </c>
      <c r="I2511" s="5">
        <v>45177</v>
      </c>
      <c r="J2511" s="1" t="s">
        <v>26</v>
      </c>
      <c r="K2511" s="1" t="s">
        <v>5313</v>
      </c>
      <c r="L2511" s="1" t="s">
        <v>5314</v>
      </c>
      <c r="M2511" s="1" t="s">
        <v>5315</v>
      </c>
      <c r="N2511" s="1" t="s">
        <v>38</v>
      </c>
      <c r="O2511" s="1" t="s">
        <v>1440</v>
      </c>
      <c r="Q2511" s="1" t="s">
        <v>1916</v>
      </c>
      <c r="R2511" s="1" t="s">
        <v>113</v>
      </c>
      <c r="S2511" s="1"/>
      <c r="U2511" s="1" t="s">
        <v>35</v>
      </c>
      <c r="V2511" s="1" t="s">
        <v>99</v>
      </c>
      <c r="W2511" s="1" t="str">
        <f>VLOOKUP(Table1[[#This Row],[Obergruppe ATC-Code]],Tabelle3!$A$2:$B$100,2)</f>
        <v>ANTIEPILEPTIKA</v>
      </c>
      <c r="X2511" s="1" t="str">
        <f xml:space="preserve"> LEFT(Table1[[#This Row],[Atc Code]],3)</f>
        <v>N03</v>
      </c>
    </row>
    <row r="2512" spans="1:24" ht="14.4">
      <c r="A2512" s="14">
        <v>2635</v>
      </c>
      <c r="B2512" s="24" t="s">
        <v>5324</v>
      </c>
      <c r="C2512" s="1">
        <v>2201254</v>
      </c>
      <c r="D2512" s="1" t="s">
        <v>25</v>
      </c>
      <c r="E2512" s="36">
        <v>43831</v>
      </c>
      <c r="F2512" s="36">
        <v>43921</v>
      </c>
      <c r="G2512" s="38">
        <f t="shared" si="39"/>
        <v>90</v>
      </c>
      <c r="H2512" s="5">
        <v>43866</v>
      </c>
      <c r="I2512" s="5">
        <v>43924</v>
      </c>
      <c r="J2512" s="1" t="s">
        <v>41</v>
      </c>
      <c r="K2512" s="1" t="s">
        <v>5325</v>
      </c>
      <c r="L2512" s="1" t="s">
        <v>5326</v>
      </c>
      <c r="M2512" s="1" t="s">
        <v>5327</v>
      </c>
      <c r="N2512" s="1" t="s">
        <v>38</v>
      </c>
      <c r="O2512" s="1" t="s">
        <v>1440</v>
      </c>
      <c r="P2512" s="1" t="s">
        <v>1441</v>
      </c>
      <c r="Q2512" s="1" t="s">
        <v>1442</v>
      </c>
      <c r="R2512" s="1" t="s">
        <v>48</v>
      </c>
      <c r="S2512" s="1"/>
      <c r="U2512" s="1" t="s">
        <v>35</v>
      </c>
      <c r="V2512" s="1" t="s">
        <v>99</v>
      </c>
      <c r="W2512" s="1" t="str">
        <f>VLOOKUP(Table1[[#This Row],[Obergruppe ATC-Code]],Tabelle3!$A$2:$B$100,2)</f>
        <v>ANTIEPILEPTIKA</v>
      </c>
      <c r="X2512" s="1" t="str">
        <f xml:space="preserve"> LEFT(Table1[[#This Row],[Atc Code]],3)</f>
        <v>N03</v>
      </c>
    </row>
    <row r="2513" spans="1:24" ht="14.4">
      <c r="A2513" s="14">
        <v>2633</v>
      </c>
      <c r="B2513" s="24" t="s">
        <v>5328</v>
      </c>
      <c r="C2513" s="1">
        <v>2201253</v>
      </c>
      <c r="D2513" s="1" t="s">
        <v>25</v>
      </c>
      <c r="E2513" s="36">
        <v>43831</v>
      </c>
      <c r="F2513" s="36">
        <v>43921</v>
      </c>
      <c r="G2513" s="38">
        <f t="shared" si="39"/>
        <v>90</v>
      </c>
      <c r="H2513" s="5">
        <v>43866</v>
      </c>
      <c r="I2513" s="5">
        <v>43924</v>
      </c>
      <c r="J2513" s="1" t="s">
        <v>41</v>
      </c>
      <c r="K2513" s="1" t="s">
        <v>5329</v>
      </c>
      <c r="L2513" s="1" t="s">
        <v>5326</v>
      </c>
      <c r="M2513" s="1" t="s">
        <v>5327</v>
      </c>
      <c r="N2513" s="1" t="s">
        <v>38</v>
      </c>
      <c r="O2513" s="1" t="s">
        <v>1440</v>
      </c>
      <c r="P2513" s="1" t="s">
        <v>1441</v>
      </c>
      <c r="Q2513" s="1" t="s">
        <v>1442</v>
      </c>
      <c r="R2513" s="1" t="s">
        <v>48</v>
      </c>
      <c r="S2513" s="1"/>
      <c r="U2513" s="1" t="s">
        <v>35</v>
      </c>
      <c r="V2513" s="1" t="s">
        <v>99</v>
      </c>
      <c r="W2513" s="1" t="str">
        <f>VLOOKUP(Table1[[#This Row],[Obergruppe ATC-Code]],Tabelle3!$A$2:$B$100,2)</f>
        <v>ANTIEPILEPTIKA</v>
      </c>
      <c r="X2513" s="1" t="str">
        <f xml:space="preserve"> LEFT(Table1[[#This Row],[Atc Code]],3)</f>
        <v>N03</v>
      </c>
    </row>
    <row r="2514" spans="1:24" ht="14.4">
      <c r="A2514" s="14">
        <v>2621</v>
      </c>
      <c r="B2514" s="24" t="s">
        <v>5330</v>
      </c>
      <c r="C2514" s="1">
        <v>2201255</v>
      </c>
      <c r="D2514" s="1" t="s">
        <v>25</v>
      </c>
      <c r="E2514" s="36">
        <v>43831</v>
      </c>
      <c r="F2514" s="36">
        <v>43921</v>
      </c>
      <c r="G2514" s="38">
        <f t="shared" si="39"/>
        <v>90</v>
      </c>
      <c r="H2514" s="5">
        <v>43866</v>
      </c>
      <c r="I2514" s="5">
        <v>43924</v>
      </c>
      <c r="J2514" s="1" t="s">
        <v>41</v>
      </c>
      <c r="K2514" s="1" t="s">
        <v>5331</v>
      </c>
      <c r="L2514" s="1" t="s">
        <v>5326</v>
      </c>
      <c r="M2514" s="1" t="s">
        <v>5327</v>
      </c>
      <c r="N2514" s="1" t="s">
        <v>38</v>
      </c>
      <c r="O2514" s="1" t="s">
        <v>1440</v>
      </c>
      <c r="P2514" s="1" t="s">
        <v>1441</v>
      </c>
      <c r="Q2514" s="1" t="s">
        <v>1442</v>
      </c>
      <c r="R2514" s="1" t="s">
        <v>48</v>
      </c>
      <c r="S2514" s="1"/>
      <c r="U2514" s="1" t="s">
        <v>35</v>
      </c>
      <c r="V2514" s="1" t="s">
        <v>99</v>
      </c>
      <c r="W2514" s="1" t="str">
        <f>VLOOKUP(Table1[[#This Row],[Obergruppe ATC-Code]],Tabelle3!$A$2:$B$100,2)</f>
        <v>ANTIEPILEPTIKA</v>
      </c>
      <c r="X2514" s="1" t="str">
        <f xml:space="preserve"> LEFT(Table1[[#This Row],[Atc Code]],3)</f>
        <v>N03</v>
      </c>
    </row>
    <row r="2515" spans="1:24" ht="14.4">
      <c r="A2515" s="14">
        <v>3175</v>
      </c>
      <c r="B2515" s="3">
        <v>5453806</v>
      </c>
      <c r="C2515" s="1">
        <v>2707334</v>
      </c>
      <c r="D2515" s="1" t="s">
        <v>25</v>
      </c>
      <c r="E2515" s="36">
        <v>43922</v>
      </c>
      <c r="F2515" s="36">
        <v>44012</v>
      </c>
      <c r="G2515" s="38">
        <f t="shared" si="39"/>
        <v>90</v>
      </c>
      <c r="H2515" s="5">
        <v>43943</v>
      </c>
      <c r="I2515" s="5">
        <v>43984</v>
      </c>
      <c r="J2515" s="1" t="s">
        <v>26</v>
      </c>
      <c r="K2515" s="1" t="s">
        <v>5332</v>
      </c>
      <c r="L2515" s="1" t="s">
        <v>5326</v>
      </c>
      <c r="M2515" s="1" t="s">
        <v>5327</v>
      </c>
      <c r="N2515" s="1" t="s">
        <v>30</v>
      </c>
      <c r="O2515" s="1" t="s">
        <v>5333</v>
      </c>
      <c r="P2515" s="1" t="s">
        <v>867</v>
      </c>
      <c r="Q2515" s="1" t="s">
        <v>868</v>
      </c>
      <c r="R2515" s="1" t="s">
        <v>33</v>
      </c>
      <c r="S2515" s="1"/>
      <c r="T2515" s="1" t="s">
        <v>5334</v>
      </c>
      <c r="U2515" s="1" t="s">
        <v>35</v>
      </c>
      <c r="V2515" s="1" t="s">
        <v>1292</v>
      </c>
      <c r="W2515" s="1" t="str">
        <f>VLOOKUP(Table1[[#This Row],[Obergruppe ATC-Code]],Tabelle3!$A$2:$B$100,2)</f>
        <v>ANTIEPILEPTIKA</v>
      </c>
      <c r="X2515" s="1" t="str">
        <f xml:space="preserve"> LEFT(Table1[[#This Row],[Atc Code]],3)</f>
        <v>N03</v>
      </c>
    </row>
    <row r="2516" spans="1:24" ht="14.4">
      <c r="A2516" s="14">
        <v>2632</v>
      </c>
      <c r="B2516" s="24" t="s">
        <v>5328</v>
      </c>
      <c r="C2516" s="1">
        <v>2201253</v>
      </c>
      <c r="D2516" s="1" t="s">
        <v>25</v>
      </c>
      <c r="E2516" s="36">
        <v>44044</v>
      </c>
      <c r="F2516" s="36">
        <v>44135</v>
      </c>
      <c r="G2516" s="38">
        <f t="shared" si="39"/>
        <v>91</v>
      </c>
      <c r="H2516" s="5">
        <v>44075</v>
      </c>
      <c r="I2516" s="5">
        <v>44127</v>
      </c>
      <c r="J2516" s="1" t="s">
        <v>41</v>
      </c>
      <c r="K2516" s="1" t="s">
        <v>5329</v>
      </c>
      <c r="L2516" s="1" t="s">
        <v>5326</v>
      </c>
      <c r="M2516" s="1" t="s">
        <v>5327</v>
      </c>
      <c r="N2516" s="1" t="s">
        <v>38</v>
      </c>
      <c r="O2516" s="1" t="s">
        <v>1440</v>
      </c>
      <c r="P2516" s="1" t="s">
        <v>1441</v>
      </c>
      <c r="Q2516" s="1" t="s">
        <v>1442</v>
      </c>
      <c r="R2516" s="1" t="s">
        <v>48</v>
      </c>
      <c r="S2516" s="1"/>
      <c r="U2516" s="1" t="s">
        <v>35</v>
      </c>
      <c r="V2516" s="1" t="s">
        <v>99</v>
      </c>
      <c r="W2516" s="1" t="str">
        <f>VLOOKUP(Table1[[#This Row],[Obergruppe ATC-Code]],Tabelle3!$A$2:$B$100,2)</f>
        <v>ANTIEPILEPTIKA</v>
      </c>
      <c r="X2516" s="1" t="str">
        <f xml:space="preserve"> LEFT(Table1[[#This Row],[Atc Code]],3)</f>
        <v>N03</v>
      </c>
    </row>
    <row r="2517" spans="1:24" ht="14.4">
      <c r="A2517" s="14">
        <v>2620</v>
      </c>
      <c r="B2517" s="24" t="s">
        <v>5330</v>
      </c>
      <c r="C2517" s="1">
        <v>2201255</v>
      </c>
      <c r="D2517" s="1" t="s">
        <v>25</v>
      </c>
      <c r="E2517" s="36">
        <v>44044</v>
      </c>
      <c r="F2517" s="36">
        <v>44135</v>
      </c>
      <c r="G2517" s="38">
        <f t="shared" si="39"/>
        <v>91</v>
      </c>
      <c r="H2517" s="5">
        <v>44075</v>
      </c>
      <c r="I2517" s="5">
        <v>44127</v>
      </c>
      <c r="J2517" s="1" t="s">
        <v>41</v>
      </c>
      <c r="K2517" s="1" t="s">
        <v>5331</v>
      </c>
      <c r="L2517" s="1" t="s">
        <v>5326</v>
      </c>
      <c r="M2517" s="1" t="s">
        <v>5327</v>
      </c>
      <c r="N2517" s="1" t="s">
        <v>38</v>
      </c>
      <c r="O2517" s="1" t="s">
        <v>1440</v>
      </c>
      <c r="P2517" s="1" t="s">
        <v>1441</v>
      </c>
      <c r="Q2517" s="1" t="s">
        <v>1442</v>
      </c>
      <c r="R2517" s="1" t="s">
        <v>48</v>
      </c>
      <c r="S2517" s="1"/>
      <c r="U2517" s="1" t="s">
        <v>35</v>
      </c>
      <c r="V2517" s="1" t="s">
        <v>99</v>
      </c>
      <c r="W2517" s="1" t="str">
        <f>VLOOKUP(Table1[[#This Row],[Obergruppe ATC-Code]],Tabelle3!$A$2:$B$100,2)</f>
        <v>ANTIEPILEPTIKA</v>
      </c>
      <c r="X2517" s="1" t="str">
        <f xml:space="preserve"> LEFT(Table1[[#This Row],[Atc Code]],3)</f>
        <v>N03</v>
      </c>
    </row>
    <row r="2518" spans="1:24" ht="14.4">
      <c r="A2518" s="14">
        <v>2634</v>
      </c>
      <c r="B2518" s="24" t="s">
        <v>5324</v>
      </c>
      <c r="C2518" s="1">
        <v>2201254</v>
      </c>
      <c r="D2518" s="1" t="s">
        <v>25</v>
      </c>
      <c r="E2518" s="36">
        <v>44044</v>
      </c>
      <c r="F2518" s="36">
        <v>44196</v>
      </c>
      <c r="G2518" s="38">
        <f t="shared" si="39"/>
        <v>152</v>
      </c>
      <c r="H2518" s="5">
        <v>44075</v>
      </c>
      <c r="I2518" s="5">
        <v>44181</v>
      </c>
      <c r="J2518" s="1" t="s">
        <v>41</v>
      </c>
      <c r="K2518" s="1" t="s">
        <v>5325</v>
      </c>
      <c r="L2518" s="1" t="s">
        <v>5326</v>
      </c>
      <c r="M2518" s="1" t="s">
        <v>5327</v>
      </c>
      <c r="N2518" s="1" t="s">
        <v>38</v>
      </c>
      <c r="O2518" s="1" t="s">
        <v>1440</v>
      </c>
      <c r="P2518" s="1" t="s">
        <v>1441</v>
      </c>
      <c r="Q2518" s="1" t="s">
        <v>1442</v>
      </c>
      <c r="R2518" s="1" t="s">
        <v>48</v>
      </c>
      <c r="S2518" s="1"/>
      <c r="U2518" s="1" t="s">
        <v>35</v>
      </c>
      <c r="V2518" s="1" t="s">
        <v>99</v>
      </c>
      <c r="W2518" s="1" t="str">
        <f>VLOOKUP(Table1[[#This Row],[Obergruppe ATC-Code]],Tabelle3!$A$2:$B$100,2)</f>
        <v>ANTIEPILEPTIKA</v>
      </c>
      <c r="X2518" s="1" t="str">
        <f xml:space="preserve"> LEFT(Table1[[#This Row],[Atc Code]],3)</f>
        <v>N03</v>
      </c>
    </row>
    <row r="2519" spans="1:24" ht="14.4">
      <c r="A2519" s="14">
        <v>2624</v>
      </c>
      <c r="B2519" s="24" t="s">
        <v>5335</v>
      </c>
      <c r="C2519" s="1">
        <v>2201251</v>
      </c>
      <c r="D2519" s="1" t="s">
        <v>25</v>
      </c>
      <c r="E2519" s="36">
        <v>44044</v>
      </c>
      <c r="F2519" s="36">
        <v>44196</v>
      </c>
      <c r="G2519" s="38">
        <f t="shared" si="39"/>
        <v>152</v>
      </c>
      <c r="H2519" s="5">
        <v>44127</v>
      </c>
      <c r="I2519" s="5">
        <v>44211</v>
      </c>
      <c r="J2519" s="1" t="s">
        <v>41</v>
      </c>
      <c r="K2519" s="1" t="s">
        <v>5336</v>
      </c>
      <c r="L2519" s="1" t="s">
        <v>5326</v>
      </c>
      <c r="M2519" s="1" t="s">
        <v>5327</v>
      </c>
      <c r="N2519" s="1" t="s">
        <v>38</v>
      </c>
      <c r="O2519" s="1" t="s">
        <v>1440</v>
      </c>
      <c r="P2519" s="1" t="s">
        <v>1441</v>
      </c>
      <c r="Q2519" s="1" t="s">
        <v>1541</v>
      </c>
      <c r="R2519" s="1" t="s">
        <v>48</v>
      </c>
      <c r="S2519" s="1"/>
      <c r="U2519" s="1" t="s">
        <v>35</v>
      </c>
      <c r="V2519" s="1" t="s">
        <v>1292</v>
      </c>
      <c r="W2519" s="1" t="str">
        <f>VLOOKUP(Table1[[#This Row],[Obergruppe ATC-Code]],Tabelle3!$A$2:$B$100,2)</f>
        <v>ANTIEPILEPTIKA</v>
      </c>
      <c r="X2519" s="1" t="str">
        <f xml:space="preserve"> LEFT(Table1[[#This Row],[Atc Code]],3)</f>
        <v>N03</v>
      </c>
    </row>
    <row r="2520" spans="1:24" ht="14.4">
      <c r="A2520" s="14">
        <v>2630</v>
      </c>
      <c r="B2520" s="24" t="s">
        <v>5337</v>
      </c>
      <c r="C2520" s="1">
        <v>2201252</v>
      </c>
      <c r="D2520" s="1" t="s">
        <v>25</v>
      </c>
      <c r="E2520" s="36">
        <v>43831</v>
      </c>
      <c r="F2520" s="36">
        <v>44255</v>
      </c>
      <c r="G2520" s="38">
        <f t="shared" si="39"/>
        <v>424</v>
      </c>
      <c r="H2520" s="5">
        <v>43866</v>
      </c>
      <c r="I2520" s="5">
        <v>44239</v>
      </c>
      <c r="J2520" s="1" t="s">
        <v>41</v>
      </c>
      <c r="K2520" s="1" t="s">
        <v>5338</v>
      </c>
      <c r="L2520" s="1" t="s">
        <v>5326</v>
      </c>
      <c r="M2520" s="1" t="s">
        <v>5327</v>
      </c>
      <c r="N2520" s="1" t="s">
        <v>38</v>
      </c>
      <c r="O2520" s="1" t="s">
        <v>1440</v>
      </c>
      <c r="P2520" s="1" t="s">
        <v>1441</v>
      </c>
      <c r="Q2520" s="1" t="s">
        <v>1442</v>
      </c>
      <c r="R2520" s="1" t="s">
        <v>48</v>
      </c>
      <c r="S2520" s="1"/>
      <c r="U2520" s="1" t="s">
        <v>35</v>
      </c>
      <c r="V2520" s="1" t="s">
        <v>99</v>
      </c>
      <c r="W2520" s="1" t="str">
        <f>VLOOKUP(Table1[[#This Row],[Obergruppe ATC-Code]],Tabelle3!$A$2:$B$100,2)</f>
        <v>ANTIEPILEPTIKA</v>
      </c>
      <c r="X2520" s="1" t="str">
        <f xml:space="preserve"> LEFT(Table1[[#This Row],[Atc Code]],3)</f>
        <v>N03</v>
      </c>
    </row>
    <row r="2521" spans="1:24" ht="14.4">
      <c r="A2521" s="14">
        <v>2623</v>
      </c>
      <c r="B2521" s="24" t="s">
        <v>5335</v>
      </c>
      <c r="C2521" s="1">
        <v>2201251</v>
      </c>
      <c r="D2521" s="1" t="s">
        <v>25</v>
      </c>
      <c r="E2521" s="36">
        <v>44256</v>
      </c>
      <c r="F2521" s="36">
        <v>44286</v>
      </c>
      <c r="G2521" s="38">
        <f t="shared" si="39"/>
        <v>30</v>
      </c>
      <c r="H2521" s="5">
        <v>44258</v>
      </c>
      <c r="I2521" s="5">
        <v>44294</v>
      </c>
      <c r="J2521" s="1" t="s">
        <v>26</v>
      </c>
      <c r="K2521" s="1" t="s">
        <v>5336</v>
      </c>
      <c r="L2521" s="1" t="s">
        <v>5326</v>
      </c>
      <c r="M2521" s="1" t="s">
        <v>5327</v>
      </c>
      <c r="N2521" s="1" t="s">
        <v>38</v>
      </c>
      <c r="O2521" s="1" t="s">
        <v>1440</v>
      </c>
      <c r="P2521" s="1" t="s">
        <v>1441</v>
      </c>
      <c r="Q2521" s="1" t="s">
        <v>1916</v>
      </c>
      <c r="R2521" s="1" t="s">
        <v>33</v>
      </c>
      <c r="S2521" s="1"/>
      <c r="U2521" s="1" t="s">
        <v>35</v>
      </c>
      <c r="V2521" s="1" t="s">
        <v>1292</v>
      </c>
      <c r="W2521" s="1" t="str">
        <f>VLOOKUP(Table1[[#This Row],[Obergruppe ATC-Code]],Tabelle3!$A$2:$B$100,2)</f>
        <v>ANTIEPILEPTIKA</v>
      </c>
      <c r="X2521" s="1" t="str">
        <f xml:space="preserve"> LEFT(Table1[[#This Row],[Atc Code]],3)</f>
        <v>N03</v>
      </c>
    </row>
    <row r="2522" spans="1:24" ht="14.4">
      <c r="A2522" s="14">
        <v>1087</v>
      </c>
      <c r="B2522" s="24">
        <v>9234113</v>
      </c>
      <c r="C2522" s="1">
        <v>2183780</v>
      </c>
      <c r="D2522" s="1" t="s">
        <v>25</v>
      </c>
      <c r="E2522" s="36">
        <v>44614</v>
      </c>
      <c r="F2522" s="36">
        <v>44615</v>
      </c>
      <c r="G2522" s="38">
        <f t="shared" si="39"/>
        <v>1</v>
      </c>
      <c r="H2522" s="5">
        <v>44614</v>
      </c>
      <c r="I2522" s="5">
        <v>44615</v>
      </c>
      <c r="J2522" s="1" t="s">
        <v>26</v>
      </c>
      <c r="K2522" s="1" t="s">
        <v>5339</v>
      </c>
      <c r="L2522" s="1" t="s">
        <v>5326</v>
      </c>
      <c r="M2522" s="1" t="s">
        <v>5327</v>
      </c>
      <c r="N2522" s="1" t="s">
        <v>38</v>
      </c>
      <c r="O2522" s="1" t="s">
        <v>3619</v>
      </c>
      <c r="P2522" s="1" t="s">
        <v>5340</v>
      </c>
      <c r="Q2522" s="1" t="s">
        <v>5341</v>
      </c>
      <c r="R2522" s="1" t="s">
        <v>113</v>
      </c>
      <c r="S2522" s="1"/>
      <c r="U2522" s="1" t="s">
        <v>35</v>
      </c>
      <c r="V2522" s="1" t="s">
        <v>99</v>
      </c>
      <c r="W2522" s="1" t="str">
        <f>VLOOKUP(Table1[[#This Row],[Obergruppe ATC-Code]],Tabelle3!$A$2:$B$100,2)</f>
        <v>ANTIEPILEPTIKA</v>
      </c>
      <c r="X2522" s="1" t="str">
        <f xml:space="preserve"> LEFT(Table1[[#This Row],[Atc Code]],3)</f>
        <v>N03</v>
      </c>
    </row>
    <row r="2523" spans="1:24" ht="14.4">
      <c r="A2523" s="14">
        <v>2631</v>
      </c>
      <c r="B2523" s="24" t="s">
        <v>5342</v>
      </c>
      <c r="C2523" s="1">
        <v>2201253</v>
      </c>
      <c r="D2523" s="1" t="s">
        <v>25</v>
      </c>
      <c r="E2523" s="36">
        <v>44928</v>
      </c>
      <c r="F2523" s="36">
        <v>44956</v>
      </c>
      <c r="G2523" s="38">
        <f t="shared" si="39"/>
        <v>28</v>
      </c>
      <c r="H2523" s="5">
        <v>44942</v>
      </c>
      <c r="I2523" s="5">
        <v>44967</v>
      </c>
      <c r="J2523" s="1" t="s">
        <v>26</v>
      </c>
      <c r="K2523" s="1" t="s">
        <v>5329</v>
      </c>
      <c r="L2523" s="1" t="s">
        <v>5326</v>
      </c>
      <c r="M2523" s="1" t="s">
        <v>5327</v>
      </c>
      <c r="N2523" s="1" t="s">
        <v>38</v>
      </c>
      <c r="O2523" s="1" t="s">
        <v>1440</v>
      </c>
      <c r="P2523" s="1" t="s">
        <v>1540</v>
      </c>
      <c r="Q2523" s="1" t="s">
        <v>1541</v>
      </c>
      <c r="R2523" s="1" t="s">
        <v>113</v>
      </c>
      <c r="S2523" s="1"/>
      <c r="U2523" s="1" t="s">
        <v>35</v>
      </c>
      <c r="V2523" s="1" t="s">
        <v>99</v>
      </c>
      <c r="W2523" s="1" t="str">
        <f>VLOOKUP(Table1[[#This Row],[Obergruppe ATC-Code]],Tabelle3!$A$2:$B$100,2)</f>
        <v>ANTIEPILEPTIKA</v>
      </c>
      <c r="X2523" s="1" t="str">
        <f xml:space="preserve"> LEFT(Table1[[#This Row],[Atc Code]],3)</f>
        <v>N03</v>
      </c>
    </row>
    <row r="2524" spans="1:24" ht="14.4">
      <c r="A2524" s="14">
        <v>2619</v>
      </c>
      <c r="B2524" s="24" t="s">
        <v>5343</v>
      </c>
      <c r="C2524" s="1">
        <v>2201255</v>
      </c>
      <c r="D2524" s="1" t="s">
        <v>25</v>
      </c>
      <c r="E2524" s="36">
        <v>44928</v>
      </c>
      <c r="F2524" s="36">
        <v>44984</v>
      </c>
      <c r="G2524" s="38">
        <f t="shared" si="39"/>
        <v>56</v>
      </c>
      <c r="H2524" s="5">
        <v>44942</v>
      </c>
      <c r="I2524" s="5">
        <v>44985</v>
      </c>
      <c r="J2524" s="1" t="s">
        <v>26</v>
      </c>
      <c r="K2524" s="1" t="s">
        <v>5331</v>
      </c>
      <c r="L2524" s="1" t="s">
        <v>5326</v>
      </c>
      <c r="M2524" s="1" t="s">
        <v>5327</v>
      </c>
      <c r="N2524" s="1" t="s">
        <v>38</v>
      </c>
      <c r="O2524" s="1" t="s">
        <v>1440</v>
      </c>
      <c r="P2524" s="1" t="s">
        <v>1540</v>
      </c>
      <c r="Q2524" s="1" t="s">
        <v>1541</v>
      </c>
      <c r="R2524" s="1" t="s">
        <v>113</v>
      </c>
      <c r="S2524" s="1"/>
      <c r="U2524" s="1" t="s">
        <v>35</v>
      </c>
      <c r="V2524" s="1" t="s">
        <v>99</v>
      </c>
      <c r="W2524" s="1" t="str">
        <f>VLOOKUP(Table1[[#This Row],[Obergruppe ATC-Code]],Tabelle3!$A$2:$B$100,2)</f>
        <v>ANTIEPILEPTIKA</v>
      </c>
      <c r="X2524" s="1" t="str">
        <f xml:space="preserve"> LEFT(Table1[[#This Row],[Atc Code]],3)</f>
        <v>N03</v>
      </c>
    </row>
    <row r="2525" spans="1:24" ht="14.4">
      <c r="A2525" s="14">
        <v>933</v>
      </c>
      <c r="B2525" s="24">
        <v>7611126</v>
      </c>
      <c r="C2525" s="1">
        <v>2181753</v>
      </c>
      <c r="D2525" s="1" t="s">
        <v>25</v>
      </c>
      <c r="E2525" s="36">
        <v>45091</v>
      </c>
      <c r="F2525" s="36">
        <v>45121</v>
      </c>
      <c r="G2525" s="38">
        <f t="shared" si="39"/>
        <v>30</v>
      </c>
      <c r="H2525" s="5">
        <v>45105</v>
      </c>
      <c r="I2525" s="5">
        <v>45124</v>
      </c>
      <c r="J2525" s="1" t="s">
        <v>26</v>
      </c>
      <c r="K2525" s="1" t="s">
        <v>5344</v>
      </c>
      <c r="L2525" s="1" t="s">
        <v>5326</v>
      </c>
      <c r="M2525" s="1" t="s">
        <v>5327</v>
      </c>
      <c r="N2525" s="1" t="s">
        <v>30</v>
      </c>
      <c r="O2525" s="1" t="s">
        <v>866</v>
      </c>
      <c r="P2525" s="1">
        <v>2173484848</v>
      </c>
      <c r="R2525" s="1" t="s">
        <v>26</v>
      </c>
      <c r="S2525" s="1" t="s">
        <v>5345</v>
      </c>
      <c r="T2525" s="1" t="s">
        <v>5346</v>
      </c>
      <c r="U2525" s="1" t="s">
        <v>35</v>
      </c>
      <c r="V2525" s="1" t="s">
        <v>99</v>
      </c>
      <c r="W2525" s="1" t="str">
        <f>VLOOKUP(Table1[[#This Row],[Obergruppe ATC-Code]],Tabelle3!$A$2:$B$100,2)</f>
        <v>ANTIEPILEPTIKA</v>
      </c>
      <c r="X2525" s="1" t="str">
        <f xml:space="preserve"> LEFT(Table1[[#This Row],[Atc Code]],3)</f>
        <v>N03</v>
      </c>
    </row>
    <row r="2526" spans="1:24" ht="14.4">
      <c r="A2526" s="14">
        <v>2622</v>
      </c>
      <c r="B2526" s="24" t="s">
        <v>5347</v>
      </c>
      <c r="C2526" s="1">
        <v>2201251</v>
      </c>
      <c r="D2526" s="1" t="s">
        <v>102</v>
      </c>
      <c r="E2526" s="36">
        <v>45069</v>
      </c>
      <c r="F2526" s="36">
        <v>45254</v>
      </c>
      <c r="G2526" s="38">
        <f t="shared" si="39"/>
        <v>185</v>
      </c>
      <c r="H2526" s="5">
        <v>45078</v>
      </c>
      <c r="I2526" s="5">
        <v>45141</v>
      </c>
      <c r="J2526" s="1" t="s">
        <v>26</v>
      </c>
      <c r="K2526" s="1" t="s">
        <v>5336</v>
      </c>
      <c r="L2526" s="1" t="s">
        <v>5326</v>
      </c>
      <c r="M2526" s="1" t="s">
        <v>5327</v>
      </c>
      <c r="N2526" s="1" t="s">
        <v>38</v>
      </c>
      <c r="O2526" s="1" t="s">
        <v>1440</v>
      </c>
      <c r="Q2526" s="1" t="s">
        <v>1916</v>
      </c>
      <c r="R2526" s="1" t="s">
        <v>113</v>
      </c>
      <c r="S2526" s="1"/>
      <c r="U2526" s="1" t="s">
        <v>35</v>
      </c>
      <c r="V2526" s="1" t="s">
        <v>1292</v>
      </c>
      <c r="W2526" s="1" t="str">
        <f>VLOOKUP(Table1[[#This Row],[Obergruppe ATC-Code]],Tabelle3!$A$2:$B$100,2)</f>
        <v>ANTIEPILEPTIKA</v>
      </c>
      <c r="X2526" s="1" t="str">
        <f xml:space="preserve"> LEFT(Table1[[#This Row],[Atc Code]],3)</f>
        <v>N03</v>
      </c>
    </row>
    <row r="2527" spans="1:24" ht="14.4">
      <c r="A2527" s="14">
        <v>2583</v>
      </c>
      <c r="B2527" s="24" t="s">
        <v>5348</v>
      </c>
      <c r="C2527" s="1">
        <v>2195136</v>
      </c>
      <c r="D2527" s="1" t="s">
        <v>25</v>
      </c>
      <c r="E2527" s="36">
        <v>43800</v>
      </c>
      <c r="F2527" s="36">
        <v>43921</v>
      </c>
      <c r="G2527" s="38">
        <f t="shared" si="39"/>
        <v>121</v>
      </c>
      <c r="H2527" s="5">
        <v>43812</v>
      </c>
      <c r="I2527" s="5">
        <v>43899</v>
      </c>
      <c r="J2527" s="1" t="s">
        <v>41</v>
      </c>
      <c r="K2527" s="1" t="s">
        <v>5349</v>
      </c>
      <c r="L2527" s="1" t="s">
        <v>5350</v>
      </c>
      <c r="M2527" s="1" t="s">
        <v>5351</v>
      </c>
      <c r="N2527" s="1" t="s">
        <v>38</v>
      </c>
      <c r="O2527" s="1" t="s">
        <v>1440</v>
      </c>
      <c r="P2527" s="1" t="s">
        <v>1441</v>
      </c>
      <c r="Q2527" s="1" t="s">
        <v>1442</v>
      </c>
      <c r="R2527" s="1" t="s">
        <v>48</v>
      </c>
      <c r="S2527" s="1"/>
      <c r="U2527" s="1" t="s">
        <v>35</v>
      </c>
      <c r="V2527" s="1" t="s">
        <v>262</v>
      </c>
      <c r="W2527" s="1" t="str">
        <f>VLOOKUP(Table1[[#This Row],[Obergruppe ATC-Code]],Tabelle3!$A$2:$B$100,2)</f>
        <v>ANTIEPILEPTIKA</v>
      </c>
      <c r="X2527" s="1" t="str">
        <f xml:space="preserve"> LEFT(Table1[[#This Row],[Atc Code]],3)</f>
        <v>N03</v>
      </c>
    </row>
    <row r="2528" spans="1:24" ht="14.4">
      <c r="A2528" s="14">
        <v>2581</v>
      </c>
      <c r="B2528" s="24" t="s">
        <v>5352</v>
      </c>
      <c r="C2528" s="1">
        <v>2195135</v>
      </c>
      <c r="D2528" s="1" t="s">
        <v>25</v>
      </c>
      <c r="E2528" s="36">
        <v>43831</v>
      </c>
      <c r="F2528" s="36">
        <v>43921</v>
      </c>
      <c r="G2528" s="38">
        <f t="shared" si="39"/>
        <v>90</v>
      </c>
      <c r="H2528" s="5">
        <v>43866</v>
      </c>
      <c r="I2528" s="5">
        <v>43927</v>
      </c>
      <c r="J2528" s="1" t="s">
        <v>26</v>
      </c>
      <c r="K2528" s="1" t="s">
        <v>5353</v>
      </c>
      <c r="L2528" s="1" t="s">
        <v>5350</v>
      </c>
      <c r="M2528" s="1" t="s">
        <v>5351</v>
      </c>
      <c r="N2528" s="1" t="s">
        <v>38</v>
      </c>
      <c r="O2528" s="1" t="s">
        <v>1440</v>
      </c>
      <c r="P2528" s="1" t="s">
        <v>1441</v>
      </c>
      <c r="Q2528" s="1" t="s">
        <v>1442</v>
      </c>
      <c r="R2528" s="1" t="s">
        <v>33</v>
      </c>
      <c r="S2528" s="1"/>
      <c r="U2528" s="1" t="s">
        <v>35</v>
      </c>
      <c r="V2528" s="1" t="s">
        <v>262</v>
      </c>
      <c r="W2528" s="1" t="str">
        <f>VLOOKUP(Table1[[#This Row],[Obergruppe ATC-Code]],Tabelle3!$A$2:$B$100,2)</f>
        <v>ANTIEPILEPTIKA</v>
      </c>
      <c r="X2528" s="1" t="str">
        <f xml:space="preserve"> LEFT(Table1[[#This Row],[Atc Code]],3)</f>
        <v>N03</v>
      </c>
    </row>
    <row r="2529" spans="1:24" ht="14.4">
      <c r="A2529" s="14">
        <v>1284</v>
      </c>
      <c r="B2529" s="25">
        <v>11850411</v>
      </c>
      <c r="C2529" s="1">
        <v>2195024</v>
      </c>
      <c r="D2529" s="1" t="s">
        <v>25</v>
      </c>
      <c r="E2529" s="36">
        <v>43891</v>
      </c>
      <c r="F2529" s="36">
        <v>43982</v>
      </c>
      <c r="G2529" s="38">
        <f t="shared" si="39"/>
        <v>91</v>
      </c>
      <c r="H2529" s="5">
        <v>43917</v>
      </c>
      <c r="I2529" s="5">
        <v>43964</v>
      </c>
      <c r="J2529" s="1" t="s">
        <v>41</v>
      </c>
      <c r="K2529" s="1" t="s">
        <v>5354</v>
      </c>
      <c r="L2529" s="1" t="s">
        <v>5350</v>
      </c>
      <c r="M2529" s="1" t="s">
        <v>5351</v>
      </c>
      <c r="N2529" s="1" t="s">
        <v>38</v>
      </c>
      <c r="O2529" s="1" t="s">
        <v>91</v>
      </c>
      <c r="P2529" s="1" t="s">
        <v>92</v>
      </c>
      <c r="Q2529" s="1" t="s">
        <v>93</v>
      </c>
      <c r="R2529" s="1" t="s">
        <v>48</v>
      </c>
      <c r="S2529" s="1"/>
      <c r="U2529" s="1" t="s">
        <v>35</v>
      </c>
      <c r="V2529" s="1" t="s">
        <v>262</v>
      </c>
      <c r="W2529" s="1" t="str">
        <f>VLOOKUP(Table1[[#This Row],[Obergruppe ATC-Code]],Tabelle3!$A$2:$B$100,2)</f>
        <v>ANTIEPILEPTIKA</v>
      </c>
      <c r="X2529" s="1" t="str">
        <f xml:space="preserve"> LEFT(Table1[[#This Row],[Atc Code]],3)</f>
        <v>N03</v>
      </c>
    </row>
    <row r="2530" spans="1:24" ht="14.4">
      <c r="A2530" s="14">
        <v>2580</v>
      </c>
      <c r="B2530" s="24" t="s">
        <v>5355</v>
      </c>
      <c r="C2530" s="1">
        <v>2195134</v>
      </c>
      <c r="D2530" s="1" t="s">
        <v>25</v>
      </c>
      <c r="E2530" s="36">
        <v>43891</v>
      </c>
      <c r="F2530" s="36">
        <v>43982</v>
      </c>
      <c r="G2530" s="38">
        <f t="shared" si="39"/>
        <v>91</v>
      </c>
      <c r="H2530" s="5">
        <v>43928</v>
      </c>
      <c r="I2530" s="5">
        <v>43992</v>
      </c>
      <c r="J2530" s="1" t="s">
        <v>26</v>
      </c>
      <c r="K2530" s="1" t="s">
        <v>5356</v>
      </c>
      <c r="L2530" s="1" t="s">
        <v>5350</v>
      </c>
      <c r="M2530" s="1" t="s">
        <v>5351</v>
      </c>
      <c r="N2530" s="1" t="s">
        <v>38</v>
      </c>
      <c r="O2530" s="1" t="s">
        <v>1440</v>
      </c>
      <c r="P2530" s="1" t="s">
        <v>1441</v>
      </c>
      <c r="Q2530" s="1" t="s">
        <v>1442</v>
      </c>
      <c r="R2530" s="1" t="s">
        <v>33</v>
      </c>
      <c r="S2530" s="1"/>
      <c r="U2530" s="1" t="s">
        <v>35</v>
      </c>
      <c r="V2530" s="1" t="s">
        <v>262</v>
      </c>
      <c r="W2530" s="1" t="str">
        <f>VLOOKUP(Table1[[#This Row],[Obergruppe ATC-Code]],Tabelle3!$A$2:$B$100,2)</f>
        <v>ANTIEPILEPTIKA</v>
      </c>
      <c r="X2530" s="1" t="str">
        <f xml:space="preserve"> LEFT(Table1[[#This Row],[Atc Code]],3)</f>
        <v>N03</v>
      </c>
    </row>
    <row r="2531" spans="1:24" ht="14.4">
      <c r="A2531" s="14">
        <v>2582</v>
      </c>
      <c r="B2531" s="24" t="s">
        <v>5348</v>
      </c>
      <c r="C2531" s="1">
        <v>2195136</v>
      </c>
      <c r="D2531" s="1" t="s">
        <v>25</v>
      </c>
      <c r="E2531" s="36">
        <v>44197</v>
      </c>
      <c r="F2531" s="36">
        <v>44286</v>
      </c>
      <c r="G2531" s="38">
        <f t="shared" si="39"/>
        <v>89</v>
      </c>
      <c r="H2531" s="5">
        <v>44211</v>
      </c>
      <c r="I2531" s="5">
        <v>44258</v>
      </c>
      <c r="J2531" s="1" t="s">
        <v>41</v>
      </c>
      <c r="K2531" s="1" t="s">
        <v>5349</v>
      </c>
      <c r="L2531" s="1" t="s">
        <v>5350</v>
      </c>
      <c r="M2531" s="1" t="s">
        <v>5351</v>
      </c>
      <c r="N2531" s="1" t="s">
        <v>38</v>
      </c>
      <c r="O2531" s="1" t="s">
        <v>1440</v>
      </c>
      <c r="P2531" s="1" t="s">
        <v>1441</v>
      </c>
      <c r="Q2531" s="1" t="s">
        <v>1916</v>
      </c>
      <c r="R2531" s="1" t="s">
        <v>26</v>
      </c>
      <c r="S2531" s="1"/>
      <c r="U2531" s="1" t="s">
        <v>35</v>
      </c>
      <c r="V2531" s="1" t="s">
        <v>262</v>
      </c>
      <c r="W2531" s="1" t="str">
        <f>VLOOKUP(Table1[[#This Row],[Obergruppe ATC-Code]],Tabelle3!$A$2:$B$100,2)</f>
        <v>ANTIEPILEPTIKA</v>
      </c>
      <c r="X2531" s="1" t="str">
        <f xml:space="preserve"> LEFT(Table1[[#This Row],[Atc Code]],3)</f>
        <v>N03</v>
      </c>
    </row>
    <row r="2532" spans="1:24" ht="14.4">
      <c r="A2532" s="14">
        <v>3176</v>
      </c>
      <c r="B2532" s="1" t="s">
        <v>5357</v>
      </c>
      <c r="C2532" s="1">
        <v>2192884</v>
      </c>
      <c r="D2532" s="1" t="s">
        <v>25</v>
      </c>
      <c r="E2532" s="36">
        <v>43862</v>
      </c>
      <c r="F2532" s="36">
        <v>43982</v>
      </c>
      <c r="G2532" s="38">
        <f t="shared" si="39"/>
        <v>120</v>
      </c>
      <c r="H2532" s="5">
        <v>43901</v>
      </c>
      <c r="I2532" s="5">
        <v>43992</v>
      </c>
      <c r="J2532" s="1" t="s">
        <v>41</v>
      </c>
      <c r="K2532" s="1" t="s">
        <v>5358</v>
      </c>
      <c r="L2532" s="1" t="s">
        <v>5359</v>
      </c>
      <c r="M2532" s="1" t="s">
        <v>5360</v>
      </c>
      <c r="N2532" s="1" t="s">
        <v>38</v>
      </c>
      <c r="O2532" s="1" t="s">
        <v>1440</v>
      </c>
      <c r="P2532" s="1" t="s">
        <v>1441</v>
      </c>
      <c r="Q2532" s="1" t="s">
        <v>1442</v>
      </c>
      <c r="R2532" s="1" t="s">
        <v>48</v>
      </c>
      <c r="S2532" s="1"/>
      <c r="U2532" s="1" t="s">
        <v>35</v>
      </c>
      <c r="V2532" s="1" t="s">
        <v>262</v>
      </c>
      <c r="W2532" s="1" t="str">
        <f>VLOOKUP(Table1[[#This Row],[Obergruppe ATC-Code]],Tabelle3!$A$2:$B$100,2)</f>
        <v>ANTIEPILEPTIKA</v>
      </c>
      <c r="X2532" s="1" t="str">
        <f xml:space="preserve"> LEFT(Table1[[#This Row],[Atc Code]],3)</f>
        <v>N03</v>
      </c>
    </row>
    <row r="2533" spans="1:24" ht="14.4">
      <c r="A2533" s="14">
        <v>3178</v>
      </c>
      <c r="B2533" s="1">
        <v>11176185</v>
      </c>
      <c r="C2533" s="1">
        <v>2196059</v>
      </c>
      <c r="D2533" s="1" t="s">
        <v>25</v>
      </c>
      <c r="E2533" s="36">
        <v>43983</v>
      </c>
      <c r="F2533" s="36">
        <v>44408</v>
      </c>
      <c r="G2533" s="38">
        <f t="shared" si="39"/>
        <v>425</v>
      </c>
      <c r="H2533" s="5">
        <v>43990</v>
      </c>
      <c r="I2533" s="5">
        <v>44013</v>
      </c>
      <c r="J2533" s="1" t="s">
        <v>26</v>
      </c>
      <c r="K2533" s="1" t="s">
        <v>5361</v>
      </c>
      <c r="L2533" s="1" t="s">
        <v>5359</v>
      </c>
      <c r="M2533" s="1" t="s">
        <v>5360</v>
      </c>
      <c r="N2533" s="1" t="s">
        <v>30</v>
      </c>
      <c r="O2533" s="1" t="s">
        <v>1284</v>
      </c>
      <c r="P2533" s="1" t="s">
        <v>1285</v>
      </c>
      <c r="Q2533" s="1" t="s">
        <v>1286</v>
      </c>
      <c r="R2533" s="1" t="s">
        <v>33</v>
      </c>
      <c r="S2533" s="1"/>
      <c r="U2533" s="1" t="s">
        <v>35</v>
      </c>
      <c r="V2533" s="1" t="s">
        <v>262</v>
      </c>
      <c r="W2533" s="1" t="str">
        <f>VLOOKUP(Table1[[#This Row],[Obergruppe ATC-Code]],Tabelle3!$A$2:$B$100,2)</f>
        <v>ANTIEPILEPTIKA</v>
      </c>
      <c r="X2533" s="1" t="str">
        <f xml:space="preserve"> LEFT(Table1[[#This Row],[Atc Code]],3)</f>
        <v>N03</v>
      </c>
    </row>
    <row r="2534" spans="1:24" ht="14.4">
      <c r="A2534" s="14">
        <v>3177</v>
      </c>
      <c r="B2534" s="1">
        <v>11176156</v>
      </c>
      <c r="C2534" s="1">
        <v>2196058</v>
      </c>
      <c r="D2534" s="1" t="s">
        <v>25</v>
      </c>
      <c r="E2534" s="36">
        <v>43983</v>
      </c>
      <c r="F2534" s="36">
        <v>44408</v>
      </c>
      <c r="G2534" s="38">
        <f t="shared" si="39"/>
        <v>425</v>
      </c>
      <c r="H2534" s="5">
        <v>43990</v>
      </c>
      <c r="I2534" s="5">
        <v>44013</v>
      </c>
      <c r="J2534" s="1" t="s">
        <v>26</v>
      </c>
      <c r="K2534" s="1" t="s">
        <v>5362</v>
      </c>
      <c r="L2534" s="1" t="s">
        <v>5359</v>
      </c>
      <c r="M2534" s="1" t="s">
        <v>5360</v>
      </c>
      <c r="N2534" s="1" t="s">
        <v>30</v>
      </c>
      <c r="O2534" s="1" t="s">
        <v>1284</v>
      </c>
      <c r="P2534" s="1" t="s">
        <v>1285</v>
      </c>
      <c r="Q2534" s="1" t="s">
        <v>1286</v>
      </c>
      <c r="R2534" s="1" t="s">
        <v>33</v>
      </c>
      <c r="S2534" s="1"/>
      <c r="U2534" s="1" t="s">
        <v>35</v>
      </c>
      <c r="V2534" s="1" t="s">
        <v>262</v>
      </c>
      <c r="W2534" s="1" t="str">
        <f>VLOOKUP(Table1[[#This Row],[Obergruppe ATC-Code]],Tabelle3!$A$2:$B$100,2)</f>
        <v>ANTIEPILEPTIKA</v>
      </c>
      <c r="X2534" s="1" t="str">
        <f xml:space="preserve"> LEFT(Table1[[#This Row],[Atc Code]],3)</f>
        <v>N03</v>
      </c>
    </row>
    <row r="2535" spans="1:24" ht="14.4">
      <c r="A2535" s="14">
        <v>2593</v>
      </c>
      <c r="B2535" s="24" t="s">
        <v>5363</v>
      </c>
      <c r="C2535" s="1">
        <v>2196060</v>
      </c>
      <c r="D2535" s="1" t="s">
        <v>25</v>
      </c>
      <c r="E2535" s="36">
        <v>43922</v>
      </c>
      <c r="F2535" s="36">
        <v>44439</v>
      </c>
      <c r="G2535" s="38">
        <f t="shared" si="39"/>
        <v>517</v>
      </c>
      <c r="H2535" s="5">
        <v>43941</v>
      </c>
      <c r="I2535" s="5">
        <v>44106</v>
      </c>
      <c r="J2535" s="1" t="s">
        <v>26</v>
      </c>
      <c r="K2535" s="1" t="s">
        <v>5364</v>
      </c>
      <c r="L2535" s="1" t="s">
        <v>5359</v>
      </c>
      <c r="M2535" s="1" t="s">
        <v>5360</v>
      </c>
      <c r="N2535" s="1" t="s">
        <v>30</v>
      </c>
      <c r="O2535" s="1" t="s">
        <v>1284</v>
      </c>
      <c r="P2535" s="1" t="s">
        <v>1285</v>
      </c>
      <c r="Q2535" s="1" t="s">
        <v>1286</v>
      </c>
      <c r="R2535" s="1" t="s">
        <v>33</v>
      </c>
      <c r="S2535" s="1"/>
      <c r="U2535" s="1" t="s">
        <v>35</v>
      </c>
      <c r="V2535" s="1" t="s">
        <v>262</v>
      </c>
      <c r="W2535" s="1" t="str">
        <f>VLOOKUP(Table1[[#This Row],[Obergruppe ATC-Code]],Tabelle3!$A$2:$B$100,2)</f>
        <v>ANTIEPILEPTIKA</v>
      </c>
      <c r="X2535" s="1" t="str">
        <f xml:space="preserve"> LEFT(Table1[[#This Row],[Atc Code]],3)</f>
        <v>N03</v>
      </c>
    </row>
    <row r="2536" spans="1:24" ht="14.4">
      <c r="A2536" s="14">
        <v>2591</v>
      </c>
      <c r="B2536" s="24" t="s">
        <v>5365</v>
      </c>
      <c r="C2536" s="1">
        <v>2196056</v>
      </c>
      <c r="D2536" s="1" t="s">
        <v>25</v>
      </c>
      <c r="E2536" s="36">
        <v>43983</v>
      </c>
      <c r="F2536" s="36">
        <v>44196</v>
      </c>
      <c r="G2536" s="38">
        <f t="shared" si="39"/>
        <v>213</v>
      </c>
      <c r="H2536" s="5">
        <v>43941</v>
      </c>
      <c r="I2536" s="5">
        <v>44106</v>
      </c>
      <c r="J2536" s="1" t="s">
        <v>26</v>
      </c>
      <c r="K2536" s="1" t="s">
        <v>5366</v>
      </c>
      <c r="L2536" s="1" t="s">
        <v>5359</v>
      </c>
      <c r="M2536" s="1" t="s">
        <v>5360</v>
      </c>
      <c r="N2536" s="1" t="s">
        <v>30</v>
      </c>
      <c r="O2536" s="1" t="s">
        <v>1284</v>
      </c>
      <c r="P2536" s="1" t="s">
        <v>1285</v>
      </c>
      <c r="Q2536" s="1" t="s">
        <v>1286</v>
      </c>
      <c r="R2536" s="1" t="s">
        <v>33</v>
      </c>
      <c r="S2536" s="1"/>
      <c r="U2536" s="1" t="s">
        <v>35</v>
      </c>
      <c r="V2536" s="1" t="s">
        <v>262</v>
      </c>
      <c r="W2536" s="1" t="str">
        <f>VLOOKUP(Table1[[#This Row],[Obergruppe ATC-Code]],Tabelle3!$A$2:$B$100,2)</f>
        <v>ANTIEPILEPTIKA</v>
      </c>
      <c r="X2536" s="1" t="str">
        <f xml:space="preserve"> LEFT(Table1[[#This Row],[Atc Code]],3)</f>
        <v>N03</v>
      </c>
    </row>
    <row r="2537" spans="1:24" ht="14.4">
      <c r="A2537" s="14">
        <v>2590</v>
      </c>
      <c r="B2537" s="24" t="s">
        <v>5367</v>
      </c>
      <c r="C2537" s="1">
        <v>2196055</v>
      </c>
      <c r="D2537" s="1" t="s">
        <v>25</v>
      </c>
      <c r="E2537" s="36">
        <v>43922</v>
      </c>
      <c r="F2537" s="36">
        <v>44439</v>
      </c>
      <c r="G2537" s="38">
        <f t="shared" si="39"/>
        <v>517</v>
      </c>
      <c r="H2537" s="5">
        <v>43941</v>
      </c>
      <c r="I2537" s="5">
        <v>44106</v>
      </c>
      <c r="J2537" s="1" t="s">
        <v>26</v>
      </c>
      <c r="K2537" s="1" t="s">
        <v>5368</v>
      </c>
      <c r="L2537" s="1" t="s">
        <v>5359</v>
      </c>
      <c r="M2537" s="1" t="s">
        <v>5360</v>
      </c>
      <c r="N2537" s="1" t="s">
        <v>30</v>
      </c>
      <c r="O2537" s="1" t="s">
        <v>1284</v>
      </c>
      <c r="P2537" s="1" t="s">
        <v>1285</v>
      </c>
      <c r="Q2537" s="1" t="s">
        <v>1286</v>
      </c>
      <c r="R2537" s="1" t="s">
        <v>33</v>
      </c>
      <c r="S2537" s="1"/>
      <c r="U2537" s="1" t="s">
        <v>35</v>
      </c>
      <c r="V2537" s="1" t="s">
        <v>262</v>
      </c>
      <c r="W2537" s="1" t="str">
        <f>VLOOKUP(Table1[[#This Row],[Obergruppe ATC-Code]],Tabelle3!$A$2:$B$100,2)</f>
        <v>ANTIEPILEPTIKA</v>
      </c>
      <c r="X2537" s="1" t="str">
        <f xml:space="preserve"> LEFT(Table1[[#This Row],[Atc Code]],3)</f>
        <v>N03</v>
      </c>
    </row>
    <row r="2538" spans="1:24" ht="14.4">
      <c r="A2538" s="14">
        <v>2588</v>
      </c>
      <c r="B2538" s="24" t="s">
        <v>5369</v>
      </c>
      <c r="C2538" s="1">
        <v>2196053</v>
      </c>
      <c r="D2538" s="1" t="s">
        <v>25</v>
      </c>
      <c r="E2538" s="36">
        <v>43922</v>
      </c>
      <c r="F2538" s="36">
        <v>44196</v>
      </c>
      <c r="G2538" s="38">
        <f t="shared" si="39"/>
        <v>274</v>
      </c>
      <c r="H2538" s="5">
        <v>43941</v>
      </c>
      <c r="I2538" s="5">
        <v>44126</v>
      </c>
      <c r="J2538" s="1" t="s">
        <v>26</v>
      </c>
      <c r="K2538" s="1" t="s">
        <v>5370</v>
      </c>
      <c r="L2538" s="1" t="s">
        <v>5359</v>
      </c>
      <c r="M2538" s="1" t="s">
        <v>5360</v>
      </c>
      <c r="N2538" s="1" t="s">
        <v>30</v>
      </c>
      <c r="O2538" s="1" t="s">
        <v>1284</v>
      </c>
      <c r="P2538" s="1" t="s">
        <v>1285</v>
      </c>
      <c r="Q2538" s="1" t="s">
        <v>1286</v>
      </c>
      <c r="R2538" s="1" t="s">
        <v>33</v>
      </c>
      <c r="S2538" s="1"/>
      <c r="U2538" s="1" t="s">
        <v>35</v>
      </c>
      <c r="V2538" s="1" t="s">
        <v>262</v>
      </c>
      <c r="W2538" s="1" t="str">
        <f>VLOOKUP(Table1[[#This Row],[Obergruppe ATC-Code]],Tabelle3!$A$2:$B$100,2)</f>
        <v>ANTIEPILEPTIKA</v>
      </c>
      <c r="X2538" s="1" t="str">
        <f xml:space="preserve"> LEFT(Table1[[#This Row],[Atc Code]],3)</f>
        <v>N03</v>
      </c>
    </row>
    <row r="2539" spans="1:24" ht="14.4">
      <c r="A2539" s="14">
        <v>2592</v>
      </c>
      <c r="B2539" s="24" t="s">
        <v>5371</v>
      </c>
      <c r="C2539" s="1">
        <v>2196057</v>
      </c>
      <c r="D2539" s="1" t="s">
        <v>25</v>
      </c>
      <c r="E2539" s="36">
        <v>43922</v>
      </c>
      <c r="F2539" s="36">
        <v>44439</v>
      </c>
      <c r="G2539" s="38">
        <f t="shared" si="39"/>
        <v>517</v>
      </c>
      <c r="H2539" s="5">
        <v>43941</v>
      </c>
      <c r="I2539" s="5">
        <v>44204</v>
      </c>
      <c r="J2539" s="1" t="s">
        <v>26</v>
      </c>
      <c r="K2539" s="1" t="s">
        <v>5372</v>
      </c>
      <c r="L2539" s="1" t="s">
        <v>5359</v>
      </c>
      <c r="M2539" s="1" t="s">
        <v>5360</v>
      </c>
      <c r="N2539" s="1" t="s">
        <v>30</v>
      </c>
      <c r="O2539" s="1" t="s">
        <v>1284</v>
      </c>
      <c r="P2539" s="1" t="s">
        <v>1285</v>
      </c>
      <c r="Q2539" s="1" t="s">
        <v>1286</v>
      </c>
      <c r="R2539" s="1" t="s">
        <v>33</v>
      </c>
      <c r="S2539" s="1"/>
      <c r="U2539" s="1" t="s">
        <v>35</v>
      </c>
      <c r="V2539" s="1" t="s">
        <v>262</v>
      </c>
      <c r="W2539" s="1" t="str">
        <f>VLOOKUP(Table1[[#This Row],[Obergruppe ATC-Code]],Tabelle3!$A$2:$B$100,2)</f>
        <v>ANTIEPILEPTIKA</v>
      </c>
      <c r="X2539" s="1" t="str">
        <f xml:space="preserve"> LEFT(Table1[[#This Row],[Atc Code]],3)</f>
        <v>N03</v>
      </c>
    </row>
    <row r="2540" spans="1:24" ht="14.4">
      <c r="A2540" s="14">
        <v>2589</v>
      </c>
      <c r="B2540" s="24" t="s">
        <v>5373</v>
      </c>
      <c r="C2540" s="1">
        <v>2196054</v>
      </c>
      <c r="D2540" s="1" t="s">
        <v>25</v>
      </c>
      <c r="E2540" s="36">
        <v>43922</v>
      </c>
      <c r="F2540" s="36">
        <v>44805</v>
      </c>
      <c r="G2540" s="38">
        <f t="shared" si="39"/>
        <v>883</v>
      </c>
      <c r="H2540" s="5">
        <v>43941</v>
      </c>
      <c r="I2540" s="5">
        <v>44809</v>
      </c>
      <c r="J2540" s="1" t="s">
        <v>26</v>
      </c>
      <c r="K2540" s="1" t="s">
        <v>5374</v>
      </c>
      <c r="L2540" s="1" t="s">
        <v>5359</v>
      </c>
      <c r="M2540" s="1" t="s">
        <v>5360</v>
      </c>
      <c r="N2540" s="1" t="s">
        <v>30</v>
      </c>
      <c r="O2540" s="1" t="s">
        <v>1284</v>
      </c>
      <c r="P2540" s="1" t="s">
        <v>1285</v>
      </c>
      <c r="Q2540" s="1" t="s">
        <v>1286</v>
      </c>
      <c r="R2540" s="1" t="s">
        <v>33</v>
      </c>
      <c r="S2540" s="1"/>
      <c r="U2540" s="1" t="s">
        <v>35</v>
      </c>
      <c r="V2540" s="1" t="s">
        <v>262</v>
      </c>
      <c r="W2540" s="1" t="str">
        <f>VLOOKUP(Table1[[#This Row],[Obergruppe ATC-Code]],Tabelle3!$A$2:$B$100,2)</f>
        <v>ANTIEPILEPTIKA</v>
      </c>
      <c r="X2540" s="1" t="str">
        <f xml:space="preserve"> LEFT(Table1[[#This Row],[Atc Code]],3)</f>
        <v>N03</v>
      </c>
    </row>
    <row r="2541" spans="1:24" ht="14.4">
      <c r="A2541" s="14">
        <v>1405</v>
      </c>
      <c r="B2541" s="24">
        <v>13923982</v>
      </c>
      <c r="C2541" s="1">
        <v>2192657</v>
      </c>
      <c r="D2541" s="1" t="s">
        <v>25</v>
      </c>
      <c r="E2541" s="36">
        <v>44927</v>
      </c>
      <c r="F2541" s="36">
        <v>45015</v>
      </c>
      <c r="G2541" s="38">
        <f t="shared" si="39"/>
        <v>88</v>
      </c>
      <c r="H2541" s="5">
        <v>45015</v>
      </c>
      <c r="I2541" s="5">
        <v>45015</v>
      </c>
      <c r="J2541" s="1" t="s">
        <v>26</v>
      </c>
      <c r="K2541" s="1" t="s">
        <v>5375</v>
      </c>
      <c r="L2541" s="1" t="s">
        <v>5359</v>
      </c>
      <c r="M2541" s="1" t="s">
        <v>5360</v>
      </c>
      <c r="N2541" s="1" t="s">
        <v>38</v>
      </c>
      <c r="O2541" s="1" t="s">
        <v>162</v>
      </c>
      <c r="Q2541" s="1" t="s">
        <v>5376</v>
      </c>
      <c r="R2541" s="1" t="s">
        <v>33</v>
      </c>
      <c r="S2541" s="1"/>
      <c r="U2541" s="1" t="s">
        <v>35</v>
      </c>
      <c r="V2541" s="1" t="s">
        <v>262</v>
      </c>
      <c r="W2541" s="1" t="str">
        <f>VLOOKUP(Table1[[#This Row],[Obergruppe ATC-Code]],Tabelle3!$A$2:$B$100,2)</f>
        <v>ANTIEPILEPTIKA</v>
      </c>
      <c r="X2541" s="1" t="str">
        <f xml:space="preserve"> LEFT(Table1[[#This Row],[Atc Code]],3)</f>
        <v>N03</v>
      </c>
    </row>
    <row r="2542" spans="1:24" ht="14.4">
      <c r="A2542" s="14">
        <v>1403</v>
      </c>
      <c r="B2542" s="24">
        <v>13923947</v>
      </c>
      <c r="C2542" s="1">
        <v>2192655</v>
      </c>
      <c r="D2542" s="1" t="s">
        <v>25</v>
      </c>
      <c r="E2542" s="36">
        <v>44927</v>
      </c>
      <c r="F2542" s="36">
        <v>45015</v>
      </c>
      <c r="G2542" s="38">
        <f t="shared" si="39"/>
        <v>88</v>
      </c>
      <c r="H2542" s="5">
        <v>45015</v>
      </c>
      <c r="I2542" s="5">
        <v>45015</v>
      </c>
      <c r="J2542" s="1" t="s">
        <v>26</v>
      </c>
      <c r="K2542" s="1" t="s">
        <v>5377</v>
      </c>
      <c r="L2542" s="1" t="s">
        <v>5359</v>
      </c>
      <c r="M2542" s="1" t="s">
        <v>5360</v>
      </c>
      <c r="N2542" s="1" t="s">
        <v>38</v>
      </c>
      <c r="O2542" s="1" t="s">
        <v>162</v>
      </c>
      <c r="Q2542" s="1" t="s">
        <v>5376</v>
      </c>
      <c r="R2542" s="1" t="s">
        <v>33</v>
      </c>
      <c r="S2542" s="1"/>
      <c r="U2542" s="1" t="s">
        <v>35</v>
      </c>
      <c r="V2542" s="1" t="s">
        <v>262</v>
      </c>
      <c r="W2542" s="1" t="str">
        <f>VLOOKUP(Table1[[#This Row],[Obergruppe ATC-Code]],Tabelle3!$A$2:$B$100,2)</f>
        <v>ANTIEPILEPTIKA</v>
      </c>
      <c r="X2542" s="1" t="str">
        <f xml:space="preserve"> LEFT(Table1[[#This Row],[Atc Code]],3)</f>
        <v>N03</v>
      </c>
    </row>
    <row r="2543" spans="1:24" ht="14.4">
      <c r="A2543" s="14">
        <v>1402</v>
      </c>
      <c r="B2543" s="24">
        <v>13923901</v>
      </c>
      <c r="C2543" s="1">
        <v>2192653</v>
      </c>
      <c r="D2543" s="1" t="s">
        <v>25</v>
      </c>
      <c r="E2543" s="36">
        <v>44927</v>
      </c>
      <c r="F2543" s="36">
        <v>45077</v>
      </c>
      <c r="G2543" s="38">
        <f t="shared" si="39"/>
        <v>150</v>
      </c>
      <c r="H2543" s="5">
        <v>45015</v>
      </c>
      <c r="I2543" s="5">
        <v>45077</v>
      </c>
      <c r="J2543" s="1" t="s">
        <v>26</v>
      </c>
      <c r="K2543" s="1" t="s">
        <v>5378</v>
      </c>
      <c r="L2543" s="1" t="s">
        <v>5359</v>
      </c>
      <c r="M2543" s="1" t="s">
        <v>5360</v>
      </c>
      <c r="N2543" s="1" t="s">
        <v>38</v>
      </c>
      <c r="O2543" s="1" t="s">
        <v>162</v>
      </c>
      <c r="Q2543" s="1" t="s">
        <v>5376</v>
      </c>
      <c r="R2543" s="1" t="s">
        <v>33</v>
      </c>
      <c r="S2543" s="1" t="s">
        <v>5379</v>
      </c>
      <c r="U2543" s="1" t="s">
        <v>35</v>
      </c>
      <c r="V2543" s="1" t="s">
        <v>262</v>
      </c>
      <c r="W2543" s="1" t="str">
        <f>VLOOKUP(Table1[[#This Row],[Obergruppe ATC-Code]],Tabelle3!$A$2:$B$100,2)</f>
        <v>ANTIEPILEPTIKA</v>
      </c>
      <c r="X2543" s="1" t="str">
        <f xml:space="preserve"> LEFT(Table1[[#This Row],[Atc Code]],3)</f>
        <v>N03</v>
      </c>
    </row>
    <row r="2544" spans="1:24" ht="14.4">
      <c r="A2544" s="14">
        <v>2770</v>
      </c>
      <c r="B2544" s="24" t="s">
        <v>5380</v>
      </c>
      <c r="C2544" s="1">
        <v>2192654</v>
      </c>
      <c r="D2544" s="1" t="s">
        <v>25</v>
      </c>
      <c r="E2544" s="36">
        <v>44927</v>
      </c>
      <c r="F2544" s="36">
        <v>45078</v>
      </c>
      <c r="G2544" s="38">
        <f t="shared" si="39"/>
        <v>151</v>
      </c>
      <c r="H2544" s="5">
        <v>45015</v>
      </c>
      <c r="I2544" s="5">
        <v>45078</v>
      </c>
      <c r="J2544" s="1" t="s">
        <v>26</v>
      </c>
      <c r="K2544" s="1" t="s">
        <v>5381</v>
      </c>
      <c r="L2544" s="1" t="s">
        <v>5359</v>
      </c>
      <c r="M2544" s="1" t="s">
        <v>5360</v>
      </c>
      <c r="N2544" s="1" t="s">
        <v>38</v>
      </c>
      <c r="O2544" s="1" t="s">
        <v>162</v>
      </c>
      <c r="Q2544" s="1" t="s">
        <v>5376</v>
      </c>
      <c r="R2544" s="1" t="s">
        <v>33</v>
      </c>
      <c r="S2544" s="1" t="s">
        <v>5382</v>
      </c>
      <c r="U2544" s="1" t="s">
        <v>35</v>
      </c>
      <c r="V2544" s="1" t="s">
        <v>262</v>
      </c>
      <c r="W2544" s="1" t="str">
        <f>VLOOKUP(Table1[[#This Row],[Obergruppe ATC-Code]],Tabelle3!$A$2:$B$100,2)</f>
        <v>ANTIEPILEPTIKA</v>
      </c>
      <c r="X2544" s="1" t="str">
        <f xml:space="preserve"> LEFT(Table1[[#This Row],[Atc Code]],3)</f>
        <v>N03</v>
      </c>
    </row>
    <row r="2545" spans="1:24" ht="14.4">
      <c r="A2545" s="14">
        <v>1406</v>
      </c>
      <c r="B2545" s="24">
        <v>13923999</v>
      </c>
      <c r="C2545" s="1">
        <v>2192658</v>
      </c>
      <c r="D2545" s="1" t="s">
        <v>25</v>
      </c>
      <c r="E2545" s="36">
        <v>44927</v>
      </c>
      <c r="F2545" s="36">
        <v>45078</v>
      </c>
      <c r="G2545" s="38">
        <f t="shared" si="39"/>
        <v>151</v>
      </c>
      <c r="H2545" s="5">
        <v>45015</v>
      </c>
      <c r="I2545" s="5">
        <v>45078</v>
      </c>
      <c r="J2545" s="1" t="s">
        <v>26</v>
      </c>
      <c r="K2545" s="1" t="s">
        <v>5383</v>
      </c>
      <c r="L2545" s="1" t="s">
        <v>5359</v>
      </c>
      <c r="M2545" s="1" t="s">
        <v>5360</v>
      </c>
      <c r="N2545" s="1" t="s">
        <v>38</v>
      </c>
      <c r="O2545" s="1" t="s">
        <v>162</v>
      </c>
      <c r="Q2545" s="1" t="s">
        <v>5376</v>
      </c>
      <c r="R2545" s="1" t="s">
        <v>33</v>
      </c>
      <c r="S2545" s="1" t="s">
        <v>5382</v>
      </c>
      <c r="U2545" s="1" t="s">
        <v>35</v>
      </c>
      <c r="V2545" s="1" t="s">
        <v>262</v>
      </c>
      <c r="W2545" s="1" t="str">
        <f>VLOOKUP(Table1[[#This Row],[Obergruppe ATC-Code]],Tabelle3!$A$2:$B$100,2)</f>
        <v>ANTIEPILEPTIKA</v>
      </c>
      <c r="X2545" s="1" t="str">
        <f xml:space="preserve"> LEFT(Table1[[#This Row],[Atc Code]],3)</f>
        <v>N03</v>
      </c>
    </row>
    <row r="2546" spans="1:24" ht="14.4">
      <c r="A2546" s="14">
        <v>1404</v>
      </c>
      <c r="B2546" s="24">
        <v>13923953</v>
      </c>
      <c r="C2546" s="1">
        <v>2192656</v>
      </c>
      <c r="D2546" s="1" t="s">
        <v>25</v>
      </c>
      <c r="E2546" s="36">
        <v>44927</v>
      </c>
      <c r="F2546" s="36">
        <v>45078</v>
      </c>
      <c r="G2546" s="38">
        <f t="shared" si="39"/>
        <v>151</v>
      </c>
      <c r="H2546" s="5">
        <v>45015</v>
      </c>
      <c r="I2546" s="5">
        <v>45078</v>
      </c>
      <c r="J2546" s="1" t="s">
        <v>26</v>
      </c>
      <c r="K2546" s="1" t="s">
        <v>5384</v>
      </c>
      <c r="L2546" s="1" t="s">
        <v>5359</v>
      </c>
      <c r="M2546" s="1" t="s">
        <v>5360</v>
      </c>
      <c r="N2546" s="1" t="s">
        <v>38</v>
      </c>
      <c r="O2546" s="1" t="s">
        <v>162</v>
      </c>
      <c r="Q2546" s="1" t="s">
        <v>5376</v>
      </c>
      <c r="R2546" s="1" t="s">
        <v>33</v>
      </c>
      <c r="S2546" s="1" t="s">
        <v>5382</v>
      </c>
      <c r="U2546" s="1" t="s">
        <v>35</v>
      </c>
      <c r="V2546" s="1" t="s">
        <v>262</v>
      </c>
      <c r="W2546" s="1" t="str">
        <f>VLOOKUP(Table1[[#This Row],[Obergruppe ATC-Code]],Tabelle3!$A$2:$B$100,2)</f>
        <v>ANTIEPILEPTIKA</v>
      </c>
      <c r="X2546" s="1" t="str">
        <f xml:space="preserve"> LEFT(Table1[[#This Row],[Atc Code]],3)</f>
        <v>N03</v>
      </c>
    </row>
    <row r="2547" spans="1:24" ht="14.4">
      <c r="A2547" s="14">
        <v>1093</v>
      </c>
      <c r="B2547" s="24">
        <v>9278524</v>
      </c>
      <c r="C2547" s="1">
        <v>2706795</v>
      </c>
      <c r="D2547" s="1" t="s">
        <v>25</v>
      </c>
      <c r="E2547" s="36">
        <v>44495</v>
      </c>
      <c r="F2547" s="36">
        <v>45138</v>
      </c>
      <c r="G2547" s="38">
        <f t="shared" si="39"/>
        <v>643</v>
      </c>
      <c r="H2547" s="5">
        <v>44755</v>
      </c>
      <c r="I2547" s="5">
        <v>45138</v>
      </c>
      <c r="J2547" s="1" t="s">
        <v>41</v>
      </c>
      <c r="K2547" s="1" t="s">
        <v>5385</v>
      </c>
      <c r="L2547" s="1" t="s">
        <v>5359</v>
      </c>
      <c r="M2547" s="1" t="s">
        <v>5360</v>
      </c>
      <c r="N2547" s="1" t="s">
        <v>38</v>
      </c>
      <c r="O2547" s="1" t="s">
        <v>2308</v>
      </c>
      <c r="P2547" s="1" t="s">
        <v>5386</v>
      </c>
      <c r="R2547" s="1" t="s">
        <v>65</v>
      </c>
      <c r="S2547" s="1"/>
      <c r="U2547" s="1" t="s">
        <v>130</v>
      </c>
      <c r="V2547" s="1" t="s">
        <v>1292</v>
      </c>
      <c r="W2547" s="1" t="str">
        <f>VLOOKUP(Table1[[#This Row],[Obergruppe ATC-Code]],Tabelle3!$A$2:$B$100,2)</f>
        <v>ANTIEPILEPTIKA</v>
      </c>
      <c r="X2547" s="1" t="str">
        <f xml:space="preserve"> LEFT(Table1[[#This Row],[Atc Code]],3)</f>
        <v>N03</v>
      </c>
    </row>
    <row r="2548" spans="1:24" ht="14.4">
      <c r="A2548" s="14">
        <v>2769</v>
      </c>
      <c r="B2548" s="24" t="s">
        <v>5387</v>
      </c>
      <c r="C2548" s="1">
        <v>2192652</v>
      </c>
      <c r="D2548" s="1" t="s">
        <v>25</v>
      </c>
      <c r="E2548" s="36">
        <v>44927</v>
      </c>
      <c r="F2548" s="36">
        <v>45167</v>
      </c>
      <c r="G2548" s="38">
        <f t="shared" si="39"/>
        <v>240</v>
      </c>
      <c r="H2548" s="5">
        <v>45015</v>
      </c>
      <c r="I2548" s="5">
        <v>45167</v>
      </c>
      <c r="J2548" s="1" t="s">
        <v>26</v>
      </c>
      <c r="K2548" s="1" t="s">
        <v>5388</v>
      </c>
      <c r="L2548" s="1" t="s">
        <v>5359</v>
      </c>
      <c r="M2548" s="1" t="s">
        <v>5360</v>
      </c>
      <c r="N2548" s="1" t="s">
        <v>38</v>
      </c>
      <c r="O2548" s="1" t="s">
        <v>162</v>
      </c>
      <c r="Q2548" s="1" t="s">
        <v>5376</v>
      </c>
      <c r="R2548" s="1" t="s">
        <v>33</v>
      </c>
      <c r="S2548" s="1"/>
      <c r="U2548" s="1" t="s">
        <v>130</v>
      </c>
      <c r="V2548" s="1" t="s">
        <v>262</v>
      </c>
      <c r="W2548" s="1" t="str">
        <f>VLOOKUP(Table1[[#This Row],[Obergruppe ATC-Code]],Tabelle3!$A$2:$B$100,2)</f>
        <v>ANTIEPILEPTIKA</v>
      </c>
      <c r="X2548" s="1" t="str">
        <f xml:space="preserve"> LEFT(Table1[[#This Row],[Atc Code]],3)</f>
        <v>N03</v>
      </c>
    </row>
    <row r="2549" spans="1:24" ht="14.4">
      <c r="A2549" s="14">
        <v>1546</v>
      </c>
      <c r="B2549" s="24">
        <v>16606153</v>
      </c>
      <c r="C2549" s="1">
        <v>2199855</v>
      </c>
      <c r="D2549" s="1" t="s">
        <v>175</v>
      </c>
      <c r="E2549" s="36">
        <v>45170</v>
      </c>
      <c r="F2549" s="36">
        <v>45260</v>
      </c>
      <c r="G2549" s="38">
        <f t="shared" si="39"/>
        <v>90</v>
      </c>
      <c r="H2549" s="5">
        <v>45169</v>
      </c>
      <c r="I2549" s="5">
        <v>45169</v>
      </c>
      <c r="J2549" s="1" t="s">
        <v>41</v>
      </c>
      <c r="K2549" s="1" t="s">
        <v>5389</v>
      </c>
      <c r="L2549" s="1" t="s">
        <v>5359</v>
      </c>
      <c r="M2549" s="1" t="s">
        <v>5360</v>
      </c>
      <c r="N2549" s="1" t="s">
        <v>38</v>
      </c>
      <c r="O2549" s="1" t="s">
        <v>1489</v>
      </c>
      <c r="Q2549" s="1" t="s">
        <v>1490</v>
      </c>
      <c r="R2549" s="1" t="s">
        <v>128</v>
      </c>
      <c r="S2549" s="1"/>
      <c r="U2549" s="1" t="s">
        <v>130</v>
      </c>
      <c r="V2549" s="1" t="s">
        <v>262</v>
      </c>
      <c r="W2549" s="1" t="str">
        <f>VLOOKUP(Table1[[#This Row],[Obergruppe ATC-Code]],Tabelle3!$A$2:$B$100,2)</f>
        <v>ANTIEPILEPTIKA</v>
      </c>
      <c r="X2549" s="1" t="str">
        <f xml:space="preserve"> LEFT(Table1[[#This Row],[Atc Code]],3)</f>
        <v>N03</v>
      </c>
    </row>
    <row r="2550" spans="1:24" ht="14.4">
      <c r="A2550" s="14">
        <v>1394</v>
      </c>
      <c r="B2550" s="24">
        <v>13836059</v>
      </c>
      <c r="C2550" s="1">
        <v>2199853</v>
      </c>
      <c r="D2550" s="1" t="s">
        <v>175</v>
      </c>
      <c r="E2550" s="36">
        <v>45170</v>
      </c>
      <c r="F2550" s="36">
        <v>45260</v>
      </c>
      <c r="G2550" s="38">
        <f t="shared" si="39"/>
        <v>90</v>
      </c>
      <c r="H2550" s="5">
        <v>45169</v>
      </c>
      <c r="I2550" s="5">
        <v>45169</v>
      </c>
      <c r="J2550" s="1" t="s">
        <v>41</v>
      </c>
      <c r="K2550" s="1" t="s">
        <v>5390</v>
      </c>
      <c r="L2550" s="1" t="s">
        <v>5359</v>
      </c>
      <c r="M2550" s="1" t="s">
        <v>5360</v>
      </c>
      <c r="N2550" s="1" t="s">
        <v>38</v>
      </c>
      <c r="O2550" s="1" t="s">
        <v>1489</v>
      </c>
      <c r="Q2550" s="1" t="s">
        <v>1490</v>
      </c>
      <c r="R2550" s="1" t="s">
        <v>128</v>
      </c>
      <c r="S2550" s="1"/>
      <c r="U2550" s="1" t="s">
        <v>130</v>
      </c>
      <c r="V2550" s="1" t="s">
        <v>262</v>
      </c>
      <c r="W2550" s="1" t="str">
        <f>VLOOKUP(Table1[[#This Row],[Obergruppe ATC-Code]],Tabelle3!$A$2:$B$100,2)</f>
        <v>ANTIEPILEPTIKA</v>
      </c>
      <c r="X2550" s="1" t="str">
        <f xml:space="preserve"> LEFT(Table1[[#This Row],[Atc Code]],3)</f>
        <v>N03</v>
      </c>
    </row>
    <row r="2551" spans="1:24" ht="14.4">
      <c r="A2551" s="14">
        <v>1111</v>
      </c>
      <c r="B2551" s="24">
        <v>9391887</v>
      </c>
      <c r="C2551" s="1">
        <v>2709708</v>
      </c>
      <c r="D2551" s="1" t="s">
        <v>25</v>
      </c>
      <c r="E2551" s="36">
        <v>44813</v>
      </c>
      <c r="F2551" s="36">
        <v>44840</v>
      </c>
      <c r="G2551" s="38">
        <f t="shared" si="39"/>
        <v>27</v>
      </c>
      <c r="H2551" s="5">
        <v>44795</v>
      </c>
      <c r="I2551" s="5">
        <v>44841</v>
      </c>
      <c r="J2551" s="1" t="s">
        <v>26</v>
      </c>
      <c r="K2551" s="1" t="s">
        <v>5391</v>
      </c>
      <c r="L2551" s="1" t="s">
        <v>5392</v>
      </c>
      <c r="M2551" s="1" t="s">
        <v>5393</v>
      </c>
      <c r="N2551" s="1" t="s">
        <v>30</v>
      </c>
      <c r="O2551" s="1" t="s">
        <v>5333</v>
      </c>
      <c r="P2551" s="1" t="s">
        <v>867</v>
      </c>
      <c r="R2551" s="1" t="s">
        <v>113</v>
      </c>
      <c r="S2551" s="1"/>
      <c r="T2551" s="1" t="s">
        <v>5394</v>
      </c>
      <c r="U2551" s="1" t="s">
        <v>35</v>
      </c>
      <c r="V2551" s="1" t="s">
        <v>5395</v>
      </c>
      <c r="W2551" s="1" t="str">
        <f>VLOOKUP(Table1[[#This Row],[Obergruppe ATC-Code]],Tabelle3!$A$2:$B$100,2)</f>
        <v>ANTIEPILEPTIKA</v>
      </c>
      <c r="X2551" s="1" t="str">
        <f xml:space="preserve"> LEFT(Table1[[#This Row],[Atc Code]],3)</f>
        <v>N03</v>
      </c>
    </row>
    <row r="2552" spans="1:24" ht="14.4">
      <c r="A2552" s="14">
        <v>748</v>
      </c>
      <c r="B2552" s="24">
        <v>5137413</v>
      </c>
      <c r="C2552" s="1">
        <v>2716018</v>
      </c>
      <c r="D2552" s="1" t="s">
        <v>25</v>
      </c>
      <c r="E2552" s="36">
        <v>44950</v>
      </c>
      <c r="F2552" s="36">
        <v>44977</v>
      </c>
      <c r="G2552" s="38">
        <f t="shared" si="39"/>
        <v>27</v>
      </c>
      <c r="H2552" s="5">
        <v>44937</v>
      </c>
      <c r="I2552" s="5">
        <v>44978</v>
      </c>
      <c r="J2552" s="1" t="s">
        <v>26</v>
      </c>
      <c r="K2552" s="1" t="s">
        <v>5396</v>
      </c>
      <c r="L2552" s="1" t="s">
        <v>5392</v>
      </c>
      <c r="M2552" s="1" t="s">
        <v>5393</v>
      </c>
      <c r="N2552" s="1" t="s">
        <v>30</v>
      </c>
      <c r="O2552" s="1" t="s">
        <v>5333</v>
      </c>
      <c r="P2552" s="1" t="s">
        <v>867</v>
      </c>
      <c r="R2552" s="1" t="s">
        <v>33</v>
      </c>
      <c r="S2552" s="1"/>
      <c r="T2552" s="1" t="s">
        <v>5397</v>
      </c>
      <c r="U2552" s="1" t="s">
        <v>130</v>
      </c>
      <c r="V2552" s="1" t="s">
        <v>648</v>
      </c>
      <c r="W2552" s="1" t="str">
        <f>VLOOKUP(Table1[[#This Row],[Obergruppe ATC-Code]],Tabelle3!$A$2:$B$100,2)</f>
        <v>ANTIEPILEPTIKA</v>
      </c>
      <c r="X2552" s="1" t="str">
        <f xml:space="preserve"> LEFT(Table1[[#This Row],[Atc Code]],3)</f>
        <v>N03</v>
      </c>
    </row>
    <row r="2553" spans="1:24" ht="14.4">
      <c r="A2553" s="14">
        <v>2899</v>
      </c>
      <c r="B2553" s="24" t="s">
        <v>5398</v>
      </c>
      <c r="C2553" s="1">
        <v>2198826</v>
      </c>
      <c r="D2553" s="1" t="s">
        <v>102</v>
      </c>
      <c r="E2553" s="36">
        <v>45055</v>
      </c>
      <c r="F2553" s="36">
        <v>45254</v>
      </c>
      <c r="G2553" s="38">
        <f t="shared" si="39"/>
        <v>199</v>
      </c>
      <c r="H2553" s="5">
        <v>45078</v>
      </c>
      <c r="I2553" s="5">
        <v>45141</v>
      </c>
      <c r="J2553" s="1" t="s">
        <v>26</v>
      </c>
      <c r="K2553" s="1" t="s">
        <v>5399</v>
      </c>
      <c r="L2553" s="1" t="s">
        <v>5392</v>
      </c>
      <c r="M2553" s="1" t="s">
        <v>5393</v>
      </c>
      <c r="N2553" s="1" t="s">
        <v>38</v>
      </c>
      <c r="O2553" s="1" t="s">
        <v>5400</v>
      </c>
      <c r="Q2553" s="1" t="s">
        <v>1916</v>
      </c>
      <c r="R2553" s="1" t="s">
        <v>113</v>
      </c>
      <c r="S2553" s="1" t="s">
        <v>5401</v>
      </c>
      <c r="U2553" s="1" t="s">
        <v>35</v>
      </c>
      <c r="V2553" s="1" t="s">
        <v>99</v>
      </c>
      <c r="W2553" s="1" t="str">
        <f>VLOOKUP(Table1[[#This Row],[Obergruppe ATC-Code]],Tabelle3!$A$2:$B$100,2)</f>
        <v>ANTIEPILEPTIKA</v>
      </c>
      <c r="X2553" s="1" t="str">
        <f xml:space="preserve"> LEFT(Table1[[#This Row],[Atc Code]],3)</f>
        <v>N03</v>
      </c>
    </row>
    <row r="2554" spans="1:24" ht="14.4">
      <c r="A2554" s="14">
        <v>1593</v>
      </c>
      <c r="B2554" s="24">
        <v>17534852</v>
      </c>
      <c r="C2554" s="1">
        <v>2198827</v>
      </c>
      <c r="D2554" s="1" t="s">
        <v>175</v>
      </c>
      <c r="E2554" s="36">
        <v>45131</v>
      </c>
      <c r="F2554" s="36">
        <v>45261</v>
      </c>
      <c r="G2554" s="38">
        <f t="shared" si="39"/>
        <v>130</v>
      </c>
      <c r="H2554" s="5">
        <v>45141</v>
      </c>
      <c r="I2554" s="5">
        <v>45141</v>
      </c>
      <c r="J2554" s="1" t="s">
        <v>26</v>
      </c>
      <c r="K2554" s="1" t="s">
        <v>5402</v>
      </c>
      <c r="L2554" s="1" t="s">
        <v>5392</v>
      </c>
      <c r="M2554" s="1" t="s">
        <v>5393</v>
      </c>
      <c r="N2554" s="1" t="s">
        <v>38</v>
      </c>
      <c r="O2554" s="1" t="s">
        <v>5400</v>
      </c>
      <c r="Q2554" s="1" t="s">
        <v>1541</v>
      </c>
      <c r="R2554" s="1" t="s">
        <v>113</v>
      </c>
      <c r="S2554" s="1" t="s">
        <v>5401</v>
      </c>
      <c r="U2554" s="1" t="s">
        <v>35</v>
      </c>
      <c r="V2554" s="1" t="s">
        <v>99</v>
      </c>
      <c r="W2554" s="1" t="str">
        <f>VLOOKUP(Table1[[#This Row],[Obergruppe ATC-Code]],Tabelle3!$A$2:$B$100,2)</f>
        <v>ANTIEPILEPTIKA</v>
      </c>
      <c r="X2554" s="1" t="str">
        <f xml:space="preserve"> LEFT(Table1[[#This Row],[Atc Code]],3)</f>
        <v>N03</v>
      </c>
    </row>
    <row r="2555" spans="1:24" ht="14.4">
      <c r="A2555" s="14">
        <v>1595</v>
      </c>
      <c r="B2555" s="24">
        <v>17534881</v>
      </c>
      <c r="C2555" s="1">
        <v>2198825</v>
      </c>
      <c r="D2555" s="1" t="s">
        <v>102</v>
      </c>
      <c r="E2555" s="36">
        <v>45050</v>
      </c>
      <c r="F2555" s="36">
        <v>45247</v>
      </c>
      <c r="G2555" s="38">
        <f t="shared" si="39"/>
        <v>197</v>
      </c>
      <c r="H2555" s="5">
        <v>45078</v>
      </c>
      <c r="I2555" s="5">
        <v>45180</v>
      </c>
      <c r="J2555" s="1" t="s">
        <v>26</v>
      </c>
      <c r="K2555" s="1" t="s">
        <v>5403</v>
      </c>
      <c r="L2555" s="1" t="s">
        <v>5392</v>
      </c>
      <c r="M2555" s="1" t="s">
        <v>5393</v>
      </c>
      <c r="N2555" s="1" t="s">
        <v>38</v>
      </c>
      <c r="O2555" s="1" t="s">
        <v>5400</v>
      </c>
      <c r="Q2555" s="1" t="s">
        <v>1916</v>
      </c>
      <c r="R2555" s="1" t="s">
        <v>113</v>
      </c>
      <c r="S2555" s="1" t="s">
        <v>5401</v>
      </c>
      <c r="U2555" s="1" t="s">
        <v>35</v>
      </c>
      <c r="V2555" s="1" t="s">
        <v>99</v>
      </c>
      <c r="W2555" s="1" t="str">
        <f>VLOOKUP(Table1[[#This Row],[Obergruppe ATC-Code]],Tabelle3!$A$2:$B$100,2)</f>
        <v>ANTIEPILEPTIKA</v>
      </c>
      <c r="X2555" s="1" t="str">
        <f xml:space="preserve"> LEFT(Table1[[#This Row],[Atc Code]],3)</f>
        <v>N03</v>
      </c>
    </row>
    <row r="2556" spans="1:24" ht="14.4">
      <c r="A2556" s="14">
        <v>1594</v>
      </c>
      <c r="B2556" s="24">
        <v>17534869</v>
      </c>
      <c r="C2556" s="1">
        <v>2198828</v>
      </c>
      <c r="D2556" s="1" t="s">
        <v>102</v>
      </c>
      <c r="E2556" s="36">
        <v>45069</v>
      </c>
      <c r="F2556" s="36">
        <v>45247</v>
      </c>
      <c r="G2556" s="38">
        <f t="shared" si="39"/>
        <v>178</v>
      </c>
      <c r="H2556" s="5">
        <v>45078</v>
      </c>
      <c r="I2556" s="5">
        <v>45180</v>
      </c>
      <c r="J2556" s="1" t="s">
        <v>26</v>
      </c>
      <c r="K2556" s="1" t="s">
        <v>5404</v>
      </c>
      <c r="L2556" s="1" t="s">
        <v>5392</v>
      </c>
      <c r="M2556" s="1" t="s">
        <v>5393</v>
      </c>
      <c r="N2556" s="1" t="s">
        <v>38</v>
      </c>
      <c r="O2556" s="1" t="s">
        <v>5400</v>
      </c>
      <c r="Q2556" s="1" t="s">
        <v>1916</v>
      </c>
      <c r="R2556" s="1" t="s">
        <v>113</v>
      </c>
      <c r="S2556" s="1" t="s">
        <v>5401</v>
      </c>
      <c r="U2556" s="1" t="s">
        <v>35</v>
      </c>
      <c r="V2556" s="1" t="s">
        <v>99</v>
      </c>
      <c r="W2556" s="1" t="str">
        <f>VLOOKUP(Table1[[#This Row],[Obergruppe ATC-Code]],Tabelle3!$A$2:$B$100,2)</f>
        <v>ANTIEPILEPTIKA</v>
      </c>
      <c r="X2556" s="1" t="str">
        <f xml:space="preserve"> LEFT(Table1[[#This Row],[Atc Code]],3)</f>
        <v>N03</v>
      </c>
    </row>
    <row r="2557" spans="1:24" ht="14.4">
      <c r="A2557" s="14">
        <v>125</v>
      </c>
      <c r="B2557" s="24">
        <v>751999</v>
      </c>
      <c r="C2557" s="1">
        <v>101712</v>
      </c>
      <c r="D2557" s="1" t="s">
        <v>175</v>
      </c>
      <c r="E2557" s="36">
        <v>45196</v>
      </c>
      <c r="F2557" s="36">
        <v>45217</v>
      </c>
      <c r="G2557" s="38">
        <f t="shared" si="39"/>
        <v>21</v>
      </c>
      <c r="H2557" s="5">
        <v>45196</v>
      </c>
      <c r="I2557" s="5">
        <v>45196</v>
      </c>
      <c r="J2557" s="1" t="s">
        <v>41</v>
      </c>
      <c r="K2557" s="1" t="s">
        <v>5405</v>
      </c>
      <c r="L2557" s="1" t="s">
        <v>5406</v>
      </c>
      <c r="M2557" s="1" t="s">
        <v>5407</v>
      </c>
      <c r="N2557" s="1" t="s">
        <v>38</v>
      </c>
      <c r="O2557" s="1" t="s">
        <v>818</v>
      </c>
      <c r="P2557" s="1" t="s">
        <v>1048</v>
      </c>
      <c r="Q2557" s="1" t="s">
        <v>1047</v>
      </c>
      <c r="R2557" s="1" t="s">
        <v>128</v>
      </c>
      <c r="S2557" s="1"/>
      <c r="U2557" s="1" t="s">
        <v>130</v>
      </c>
      <c r="V2557" s="1" t="s">
        <v>49</v>
      </c>
      <c r="W2557" s="1" t="str">
        <f>VLOOKUP(Table1[[#This Row],[Obergruppe ATC-Code]],Tabelle3!$A$2:$B$100,2)</f>
        <v>ANTIPARKINSONMITTEL</v>
      </c>
      <c r="X2557" s="1" t="str">
        <f xml:space="preserve"> LEFT(Table1[[#This Row],[Atc Code]],3)</f>
        <v>N04</v>
      </c>
    </row>
    <row r="2558" spans="1:24" ht="14.4">
      <c r="A2558" s="14">
        <v>2228</v>
      </c>
      <c r="B2558" s="24" t="s">
        <v>5408</v>
      </c>
      <c r="C2558" s="1">
        <v>2144958</v>
      </c>
      <c r="D2558" s="1" t="s">
        <v>25</v>
      </c>
      <c r="E2558" s="36">
        <v>43405</v>
      </c>
      <c r="F2558" s="36">
        <v>43465</v>
      </c>
      <c r="G2558" s="38">
        <f t="shared" si="39"/>
        <v>60</v>
      </c>
      <c r="H2558" s="5">
        <v>43409</v>
      </c>
      <c r="I2558" s="5">
        <v>43445</v>
      </c>
      <c r="J2558" s="1" t="s">
        <v>26</v>
      </c>
      <c r="K2558" s="1" t="s">
        <v>5409</v>
      </c>
      <c r="L2558" s="1" t="s">
        <v>5410</v>
      </c>
      <c r="M2558" s="1" t="s">
        <v>5411</v>
      </c>
      <c r="N2558" s="1" t="s">
        <v>30</v>
      </c>
      <c r="O2558" s="1" t="s">
        <v>5412</v>
      </c>
      <c r="P2558" s="1" t="s">
        <v>3646</v>
      </c>
      <c r="Q2558" s="1" t="s">
        <v>3647</v>
      </c>
      <c r="R2558" s="1" t="s">
        <v>33</v>
      </c>
      <c r="S2558" s="1"/>
      <c r="U2558" s="1" t="s">
        <v>35</v>
      </c>
      <c r="V2558" s="1" t="s">
        <v>199</v>
      </c>
      <c r="W2558" s="1" t="str">
        <f>VLOOKUP(Table1[[#This Row],[Obergruppe ATC-Code]],Tabelle3!$A$2:$B$100,2)</f>
        <v>ANTIPARKINSONMITTEL</v>
      </c>
      <c r="X2558" s="1" t="str">
        <f xml:space="preserve"> LEFT(Table1[[#This Row],[Atc Code]],3)</f>
        <v>N04</v>
      </c>
    </row>
    <row r="2559" spans="1:24" ht="14.4">
      <c r="A2559" s="14">
        <v>2719</v>
      </c>
      <c r="B2559" s="24" t="s">
        <v>5413</v>
      </c>
      <c r="C2559" s="1">
        <v>2126468</v>
      </c>
      <c r="D2559" s="1" t="s">
        <v>25</v>
      </c>
      <c r="E2559" s="36">
        <v>43435</v>
      </c>
      <c r="F2559" s="36">
        <v>43585</v>
      </c>
      <c r="G2559" s="38">
        <f t="shared" si="39"/>
        <v>150</v>
      </c>
      <c r="H2559" s="5">
        <v>43440</v>
      </c>
      <c r="I2559" s="5">
        <v>43585</v>
      </c>
      <c r="J2559" s="1" t="s">
        <v>41</v>
      </c>
      <c r="K2559" s="1" t="s">
        <v>5414</v>
      </c>
      <c r="L2559" s="1" t="s">
        <v>5410</v>
      </c>
      <c r="M2559" s="1" t="s">
        <v>5411</v>
      </c>
      <c r="N2559" s="1" t="s">
        <v>30</v>
      </c>
      <c r="O2559" s="1" t="s">
        <v>110</v>
      </c>
      <c r="P2559" s="1" t="s">
        <v>111</v>
      </c>
      <c r="Q2559" s="1" t="s">
        <v>112</v>
      </c>
      <c r="R2559" s="1" t="s">
        <v>26</v>
      </c>
      <c r="S2559" s="1"/>
      <c r="U2559" s="1" t="s">
        <v>35</v>
      </c>
      <c r="V2559" s="1" t="s">
        <v>262</v>
      </c>
      <c r="W2559" s="1" t="str">
        <f>VLOOKUP(Table1[[#This Row],[Obergruppe ATC-Code]],Tabelle3!$A$2:$B$100,2)</f>
        <v>ANTIPARKINSONMITTEL</v>
      </c>
      <c r="X2559" s="1" t="str">
        <f xml:space="preserve"> LEFT(Table1[[#This Row],[Atc Code]],3)</f>
        <v>N04</v>
      </c>
    </row>
    <row r="2560" spans="1:24" ht="14.4">
      <c r="A2560" s="14">
        <v>3012</v>
      </c>
      <c r="B2560" s="24" t="s">
        <v>5415</v>
      </c>
      <c r="C2560" s="1">
        <v>2132583</v>
      </c>
      <c r="D2560" s="1" t="s">
        <v>25</v>
      </c>
      <c r="E2560" s="36">
        <v>43466</v>
      </c>
      <c r="F2560" s="36">
        <v>44104</v>
      </c>
      <c r="G2560" s="38">
        <f t="shared" si="39"/>
        <v>638</v>
      </c>
      <c r="H2560" s="5">
        <v>43451</v>
      </c>
      <c r="I2560" s="5">
        <v>44109</v>
      </c>
      <c r="J2560" s="1" t="s">
        <v>26</v>
      </c>
      <c r="K2560" s="1" t="s">
        <v>5416</v>
      </c>
      <c r="L2560" s="1" t="s">
        <v>5410</v>
      </c>
      <c r="M2560" s="1" t="s">
        <v>5411</v>
      </c>
      <c r="N2560" s="1" t="s">
        <v>30</v>
      </c>
      <c r="O2560" s="1" t="s">
        <v>5412</v>
      </c>
      <c r="P2560" s="1" t="s">
        <v>3646</v>
      </c>
      <c r="Q2560" s="1" t="s">
        <v>3647</v>
      </c>
      <c r="R2560" s="1" t="s">
        <v>33</v>
      </c>
      <c r="S2560" s="1"/>
      <c r="U2560" s="1" t="s">
        <v>35</v>
      </c>
      <c r="V2560" s="1" t="s">
        <v>5279</v>
      </c>
      <c r="W2560" s="1" t="str">
        <f>VLOOKUP(Table1[[#This Row],[Obergruppe ATC-Code]],Tabelle3!$A$2:$B$100,2)</f>
        <v>ANTIPARKINSONMITTEL</v>
      </c>
      <c r="X2560" s="1" t="str">
        <f xml:space="preserve"> LEFT(Table1[[#This Row],[Atc Code]],3)</f>
        <v>N04</v>
      </c>
    </row>
    <row r="2561" spans="1:24" ht="14.4">
      <c r="A2561" s="14">
        <v>3180</v>
      </c>
      <c r="B2561" s="45" t="s">
        <v>5417</v>
      </c>
      <c r="C2561" s="1">
        <v>2144960</v>
      </c>
      <c r="D2561" s="1" t="s">
        <v>25</v>
      </c>
      <c r="E2561" s="36">
        <v>43525</v>
      </c>
      <c r="F2561" s="36">
        <v>44104</v>
      </c>
      <c r="G2561" s="38">
        <f t="shared" si="39"/>
        <v>579</v>
      </c>
      <c r="H2561" s="5">
        <v>43409</v>
      </c>
      <c r="I2561" s="5">
        <v>44109</v>
      </c>
      <c r="J2561" s="1" t="s">
        <v>26</v>
      </c>
      <c r="K2561" s="1" t="s">
        <v>5418</v>
      </c>
      <c r="L2561" s="1" t="s">
        <v>5410</v>
      </c>
      <c r="M2561" s="1" t="s">
        <v>5411</v>
      </c>
      <c r="N2561" s="1" t="s">
        <v>30</v>
      </c>
      <c r="O2561" s="1" t="s">
        <v>5412</v>
      </c>
      <c r="P2561" s="1" t="s">
        <v>3646</v>
      </c>
      <c r="Q2561" s="1" t="s">
        <v>3647</v>
      </c>
      <c r="R2561" s="1" t="s">
        <v>33</v>
      </c>
      <c r="S2561" s="1"/>
      <c r="U2561" s="1" t="s">
        <v>35</v>
      </c>
      <c r="V2561" s="1" t="s">
        <v>49</v>
      </c>
      <c r="W2561" s="1" t="str">
        <f>VLOOKUP(Table1[[#This Row],[Obergruppe ATC-Code]],Tabelle3!$A$2:$B$100,2)</f>
        <v>ANTIPARKINSONMITTEL</v>
      </c>
      <c r="X2561" s="1" t="str">
        <f xml:space="preserve"> LEFT(Table1[[#This Row],[Atc Code]],3)</f>
        <v>N04</v>
      </c>
    </row>
    <row r="2562" spans="1:24" ht="14.4">
      <c r="A2562" s="14">
        <v>2965</v>
      </c>
      <c r="B2562" s="24" t="s">
        <v>5419</v>
      </c>
      <c r="C2562" s="1">
        <v>2117010</v>
      </c>
      <c r="D2562" s="1" t="s">
        <v>25</v>
      </c>
      <c r="E2562" s="36">
        <v>43435</v>
      </c>
      <c r="F2562" s="36">
        <v>44104</v>
      </c>
      <c r="G2562" s="38">
        <f t="shared" ref="G2562:G2625" si="40">F2562-E2562</f>
        <v>669</v>
      </c>
      <c r="H2562" s="5">
        <v>43451</v>
      </c>
      <c r="I2562" s="5">
        <v>44109</v>
      </c>
      <c r="J2562" s="1" t="s">
        <v>26</v>
      </c>
      <c r="K2562" s="1" t="s">
        <v>5420</v>
      </c>
      <c r="L2562" s="1" t="s">
        <v>5410</v>
      </c>
      <c r="M2562" s="1" t="s">
        <v>5411</v>
      </c>
      <c r="N2562" s="1" t="s">
        <v>30</v>
      </c>
      <c r="O2562" s="1" t="s">
        <v>5412</v>
      </c>
      <c r="P2562" s="1" t="s">
        <v>3646</v>
      </c>
      <c r="Q2562" s="1" t="s">
        <v>3647</v>
      </c>
      <c r="R2562" s="1" t="s">
        <v>33</v>
      </c>
      <c r="S2562" s="1"/>
      <c r="U2562" s="1" t="s">
        <v>35</v>
      </c>
      <c r="V2562" s="1" t="s">
        <v>199</v>
      </c>
      <c r="W2562" s="1" t="str">
        <f>VLOOKUP(Table1[[#This Row],[Obergruppe ATC-Code]],Tabelle3!$A$2:$B$100,2)</f>
        <v>ANTIPARKINSONMITTEL</v>
      </c>
      <c r="X2562" s="1" t="str">
        <f xml:space="preserve"> LEFT(Table1[[#This Row],[Atc Code]],3)</f>
        <v>N04</v>
      </c>
    </row>
    <row r="2563" spans="1:24" ht="14.4">
      <c r="A2563" s="14">
        <v>2955</v>
      </c>
      <c r="B2563" s="24" t="s">
        <v>5421</v>
      </c>
      <c r="C2563" s="1">
        <v>74607</v>
      </c>
      <c r="D2563" s="1" t="s">
        <v>25</v>
      </c>
      <c r="E2563" s="36">
        <v>43435</v>
      </c>
      <c r="F2563" s="36">
        <v>44104</v>
      </c>
      <c r="G2563" s="38">
        <f t="shared" si="40"/>
        <v>669</v>
      </c>
      <c r="H2563" s="5">
        <v>43409</v>
      </c>
      <c r="I2563" s="5">
        <v>44109</v>
      </c>
      <c r="J2563" s="1" t="s">
        <v>41</v>
      </c>
      <c r="K2563" s="1" t="s">
        <v>5422</v>
      </c>
      <c r="L2563" s="1" t="s">
        <v>5410</v>
      </c>
      <c r="M2563" s="1" t="s">
        <v>5411</v>
      </c>
      <c r="N2563" s="1" t="s">
        <v>30</v>
      </c>
      <c r="O2563" s="1" t="s">
        <v>5412</v>
      </c>
      <c r="P2563" s="1" t="s">
        <v>3646</v>
      </c>
      <c r="Q2563" s="1" t="s">
        <v>3647</v>
      </c>
      <c r="R2563" s="1" t="s">
        <v>26</v>
      </c>
      <c r="S2563" s="1"/>
      <c r="U2563" s="1" t="s">
        <v>35</v>
      </c>
      <c r="V2563" s="1" t="s">
        <v>49</v>
      </c>
      <c r="W2563" s="1" t="str">
        <f>VLOOKUP(Table1[[#This Row],[Obergruppe ATC-Code]],Tabelle3!$A$2:$B$100,2)</f>
        <v>ANTIPARKINSONMITTEL</v>
      </c>
      <c r="X2563" s="1" t="str">
        <f xml:space="preserve"> LEFT(Table1[[#This Row],[Atc Code]],3)</f>
        <v>N04</v>
      </c>
    </row>
    <row r="2564" spans="1:24" ht="14.4">
      <c r="A2564" s="14">
        <v>3179</v>
      </c>
      <c r="B2564" s="3" t="s">
        <v>5423</v>
      </c>
      <c r="C2564" s="1">
        <v>2100861</v>
      </c>
      <c r="D2564" s="1" t="s">
        <v>25</v>
      </c>
      <c r="E2564" s="36">
        <v>43525</v>
      </c>
      <c r="F2564" s="36">
        <v>44104</v>
      </c>
      <c r="G2564" s="38">
        <f t="shared" si="40"/>
        <v>579</v>
      </c>
      <c r="H2564" s="5">
        <v>43536</v>
      </c>
      <c r="I2564" s="5">
        <v>44109</v>
      </c>
      <c r="J2564" s="1" t="s">
        <v>26</v>
      </c>
      <c r="K2564" s="1" t="s">
        <v>5424</v>
      </c>
      <c r="L2564" s="1" t="s">
        <v>5410</v>
      </c>
      <c r="M2564" s="1" t="s">
        <v>5411</v>
      </c>
      <c r="N2564" s="1" t="s">
        <v>30</v>
      </c>
      <c r="O2564" s="1" t="s">
        <v>5412</v>
      </c>
      <c r="P2564" s="1" t="s">
        <v>3646</v>
      </c>
      <c r="Q2564" s="1" t="s">
        <v>3647</v>
      </c>
      <c r="R2564" s="1" t="s">
        <v>33</v>
      </c>
      <c r="S2564" s="1"/>
      <c r="U2564" s="1" t="s">
        <v>35</v>
      </c>
      <c r="V2564" s="1" t="s">
        <v>262</v>
      </c>
      <c r="W2564" s="1" t="str">
        <f>VLOOKUP(Table1[[#This Row],[Obergruppe ATC-Code]],Tabelle3!$A$2:$B$100,2)</f>
        <v>ANTIPARKINSONMITTEL</v>
      </c>
      <c r="X2564" s="1" t="str">
        <f xml:space="preserve"> LEFT(Table1[[#This Row],[Atc Code]],3)</f>
        <v>N04</v>
      </c>
    </row>
    <row r="2565" spans="1:24" ht="14.4">
      <c r="A2565" s="14">
        <v>2227</v>
      </c>
      <c r="B2565" s="24" t="s">
        <v>5408</v>
      </c>
      <c r="C2565" s="1">
        <v>2144958</v>
      </c>
      <c r="D2565" s="1" t="s">
        <v>25</v>
      </c>
      <c r="E2565" s="36">
        <v>43435</v>
      </c>
      <c r="F2565" s="36">
        <v>44104</v>
      </c>
      <c r="G2565" s="38">
        <f t="shared" si="40"/>
        <v>669</v>
      </c>
      <c r="H2565" s="5">
        <v>43451</v>
      </c>
      <c r="I2565" s="5">
        <v>44109</v>
      </c>
      <c r="J2565" s="1" t="s">
        <v>26</v>
      </c>
      <c r="K2565" s="1" t="s">
        <v>5409</v>
      </c>
      <c r="L2565" s="1" t="s">
        <v>5410</v>
      </c>
      <c r="M2565" s="1" t="s">
        <v>5411</v>
      </c>
      <c r="N2565" s="1" t="s">
        <v>30</v>
      </c>
      <c r="O2565" s="1" t="s">
        <v>5412</v>
      </c>
      <c r="P2565" s="1" t="s">
        <v>3646</v>
      </c>
      <c r="Q2565" s="1" t="s">
        <v>3647</v>
      </c>
      <c r="R2565" s="1" t="s">
        <v>33</v>
      </c>
      <c r="S2565" s="1"/>
      <c r="U2565" s="1" t="s">
        <v>35</v>
      </c>
      <c r="V2565" s="1" t="s">
        <v>199</v>
      </c>
      <c r="W2565" s="1" t="str">
        <f>VLOOKUP(Table1[[#This Row],[Obergruppe ATC-Code]],Tabelle3!$A$2:$B$100,2)</f>
        <v>ANTIPARKINSONMITTEL</v>
      </c>
      <c r="X2565" s="1" t="str">
        <f xml:space="preserve"> LEFT(Table1[[#This Row],[Atc Code]],3)</f>
        <v>N04</v>
      </c>
    </row>
    <row r="2566" spans="1:24" ht="14.4">
      <c r="A2566" s="14">
        <v>1311</v>
      </c>
      <c r="B2566" s="24">
        <v>12539313</v>
      </c>
      <c r="C2566" s="1">
        <v>36937</v>
      </c>
      <c r="D2566" s="1" t="s">
        <v>25</v>
      </c>
      <c r="E2566" s="36">
        <v>43525</v>
      </c>
      <c r="F2566" s="36">
        <v>44104</v>
      </c>
      <c r="G2566" s="38">
        <f t="shared" si="40"/>
        <v>579</v>
      </c>
      <c r="H2566" s="5">
        <v>43451</v>
      </c>
      <c r="I2566" s="5">
        <v>44109</v>
      </c>
      <c r="J2566" s="1" t="s">
        <v>26</v>
      </c>
      <c r="K2566" s="1" t="s">
        <v>5425</v>
      </c>
      <c r="L2566" s="1" t="s">
        <v>5410</v>
      </c>
      <c r="M2566" s="1" t="s">
        <v>5411</v>
      </c>
      <c r="N2566" s="1" t="s">
        <v>30</v>
      </c>
      <c r="O2566" s="1" t="s">
        <v>5412</v>
      </c>
      <c r="P2566" s="1" t="s">
        <v>3646</v>
      </c>
      <c r="Q2566" s="1" t="s">
        <v>3647</v>
      </c>
      <c r="R2566" s="1" t="s">
        <v>33</v>
      </c>
      <c r="S2566" s="1"/>
      <c r="U2566" s="1" t="s">
        <v>35</v>
      </c>
      <c r="V2566" s="1" t="s">
        <v>262</v>
      </c>
      <c r="W2566" s="1" t="str">
        <f>VLOOKUP(Table1[[#This Row],[Obergruppe ATC-Code]],Tabelle3!$A$2:$B$100,2)</f>
        <v>ANTIPARKINSONMITTEL</v>
      </c>
      <c r="X2566" s="1" t="str">
        <f xml:space="preserve"> LEFT(Table1[[#This Row],[Atc Code]],3)</f>
        <v>N04</v>
      </c>
    </row>
    <row r="2567" spans="1:24" ht="14.4">
      <c r="A2567" s="14">
        <v>1312</v>
      </c>
      <c r="B2567" s="24">
        <v>12539313</v>
      </c>
      <c r="C2567" s="1">
        <v>2107832</v>
      </c>
      <c r="D2567" s="1" t="s">
        <v>25</v>
      </c>
      <c r="E2567" s="36">
        <v>43525</v>
      </c>
      <c r="F2567" s="36">
        <v>44104</v>
      </c>
      <c r="G2567" s="38">
        <f t="shared" si="40"/>
        <v>579</v>
      </c>
      <c r="H2567" s="5">
        <v>43536</v>
      </c>
      <c r="I2567" s="5">
        <v>44109</v>
      </c>
      <c r="J2567" s="1" t="s">
        <v>26</v>
      </c>
      <c r="K2567" s="1" t="s">
        <v>5426</v>
      </c>
      <c r="L2567" s="1" t="s">
        <v>5410</v>
      </c>
      <c r="M2567" s="1" t="s">
        <v>5411</v>
      </c>
      <c r="N2567" s="1" t="s">
        <v>30</v>
      </c>
      <c r="O2567" s="1" t="s">
        <v>5412</v>
      </c>
      <c r="P2567" s="1" t="s">
        <v>3646</v>
      </c>
      <c r="Q2567" s="1" t="s">
        <v>3647</v>
      </c>
      <c r="R2567" s="1" t="s">
        <v>33</v>
      </c>
      <c r="S2567" s="1"/>
      <c r="U2567" s="1" t="s">
        <v>35</v>
      </c>
      <c r="V2567" s="1" t="s">
        <v>49</v>
      </c>
      <c r="W2567" s="1" t="str">
        <f>VLOOKUP(Table1[[#This Row],[Obergruppe ATC-Code]],Tabelle3!$A$2:$B$100,2)</f>
        <v>ANTIPARKINSONMITTEL</v>
      </c>
      <c r="X2567" s="1" t="str">
        <f xml:space="preserve"> LEFT(Table1[[#This Row],[Atc Code]],3)</f>
        <v>N04</v>
      </c>
    </row>
    <row r="2568" spans="1:24" ht="14.4">
      <c r="A2568" s="14">
        <v>1900</v>
      </c>
      <c r="B2568" s="24" t="s">
        <v>5427</v>
      </c>
      <c r="C2568" s="1" t="s">
        <v>5428</v>
      </c>
      <c r="D2568" s="1" t="s">
        <v>25</v>
      </c>
      <c r="E2568" s="36">
        <v>44461</v>
      </c>
      <c r="F2568" s="36">
        <v>44594</v>
      </c>
      <c r="G2568" s="38">
        <f t="shared" si="40"/>
        <v>133</v>
      </c>
      <c r="H2568" s="5">
        <v>44461</v>
      </c>
      <c r="I2568" s="5">
        <v>44594</v>
      </c>
      <c r="J2568" s="1" t="s">
        <v>41</v>
      </c>
      <c r="K2568" s="1" t="s">
        <v>5429</v>
      </c>
      <c r="L2568" s="1" t="s">
        <v>5410</v>
      </c>
      <c r="M2568" s="1" t="s">
        <v>5430</v>
      </c>
      <c r="N2568" s="1" t="s">
        <v>38</v>
      </c>
      <c r="O2568" s="1" t="s">
        <v>1697</v>
      </c>
      <c r="P2568" s="1" t="s">
        <v>823</v>
      </c>
      <c r="Q2568" s="1" t="s">
        <v>824</v>
      </c>
      <c r="R2568" s="1" t="s">
        <v>26</v>
      </c>
      <c r="S2568" s="1"/>
      <c r="U2568" s="1" t="s">
        <v>35</v>
      </c>
      <c r="V2568" s="1" t="s">
        <v>359</v>
      </c>
      <c r="W2568" s="1" t="str">
        <f>VLOOKUP(Table1[[#This Row],[Obergruppe ATC-Code]],Tabelle3!$A$2:$B$100,2)</f>
        <v>ANTIPARKINSONMITTEL</v>
      </c>
      <c r="X2568" s="1" t="str">
        <f xml:space="preserve"> LEFT(Table1[[#This Row],[Atc Code]],3)</f>
        <v>N04</v>
      </c>
    </row>
    <row r="2569" spans="1:24" ht="14.4">
      <c r="A2569" s="14">
        <v>2107</v>
      </c>
      <c r="B2569" s="24" t="s">
        <v>5431</v>
      </c>
      <c r="C2569" s="1">
        <v>2155534</v>
      </c>
      <c r="D2569" s="1" t="s">
        <v>25</v>
      </c>
      <c r="E2569" s="36">
        <v>44418</v>
      </c>
      <c r="F2569" s="36">
        <v>44617</v>
      </c>
      <c r="G2569" s="38">
        <f t="shared" si="40"/>
        <v>199</v>
      </c>
      <c r="H2569" s="5">
        <v>44495</v>
      </c>
      <c r="I2569" s="5">
        <v>44617</v>
      </c>
      <c r="J2569" s="1" t="s">
        <v>26</v>
      </c>
      <c r="K2569" s="1" t="s">
        <v>5432</v>
      </c>
      <c r="L2569" s="1" t="s">
        <v>5410</v>
      </c>
      <c r="M2569" s="1" t="s">
        <v>5430</v>
      </c>
      <c r="N2569" s="1" t="s">
        <v>38</v>
      </c>
      <c r="O2569" s="1" t="s">
        <v>3793</v>
      </c>
      <c r="Q2569" s="1" t="s">
        <v>5433</v>
      </c>
      <c r="R2569" s="1" t="s">
        <v>26</v>
      </c>
      <c r="S2569" s="1"/>
      <c r="U2569" s="1" t="s">
        <v>35</v>
      </c>
      <c r="V2569" s="1" t="s">
        <v>359</v>
      </c>
      <c r="W2569" s="1" t="str">
        <f>VLOOKUP(Table1[[#This Row],[Obergruppe ATC-Code]],Tabelle3!$A$2:$B$100,2)</f>
        <v>ANTIPARKINSONMITTEL</v>
      </c>
      <c r="X2569" s="1" t="str">
        <f xml:space="preserve"> LEFT(Table1[[#This Row],[Atc Code]],3)</f>
        <v>N04</v>
      </c>
    </row>
    <row r="2570" spans="1:24" ht="14.4">
      <c r="A2570" s="14">
        <v>2108</v>
      </c>
      <c r="B2570" s="24" t="s">
        <v>5434</v>
      </c>
      <c r="C2570" s="1">
        <v>2155535</v>
      </c>
      <c r="D2570" s="1" t="s">
        <v>25</v>
      </c>
      <c r="E2570" s="36">
        <v>44456</v>
      </c>
      <c r="F2570" s="36">
        <v>44665</v>
      </c>
      <c r="G2570" s="38">
        <f t="shared" si="40"/>
        <v>209</v>
      </c>
      <c r="H2570" s="5">
        <v>44495</v>
      </c>
      <c r="I2570" s="5">
        <v>44701</v>
      </c>
      <c r="J2570" s="1" t="s">
        <v>26</v>
      </c>
      <c r="K2570" s="1" t="s">
        <v>5435</v>
      </c>
      <c r="L2570" s="1" t="s">
        <v>5410</v>
      </c>
      <c r="M2570" s="1" t="s">
        <v>5430</v>
      </c>
      <c r="N2570" s="1" t="s">
        <v>38</v>
      </c>
      <c r="O2570" s="1" t="s">
        <v>3793</v>
      </c>
      <c r="Q2570" s="1" t="s">
        <v>5433</v>
      </c>
      <c r="R2570" s="1" t="s">
        <v>26</v>
      </c>
      <c r="S2570" s="1"/>
      <c r="U2570" s="1" t="s">
        <v>35</v>
      </c>
      <c r="V2570" s="1" t="s">
        <v>359</v>
      </c>
      <c r="W2570" s="1" t="str">
        <f>VLOOKUP(Table1[[#This Row],[Obergruppe ATC-Code]],Tabelle3!$A$2:$B$100,2)</f>
        <v>ANTIPARKINSONMITTEL</v>
      </c>
      <c r="X2570" s="1" t="str">
        <f xml:space="preserve"> LEFT(Table1[[#This Row],[Atc Code]],3)</f>
        <v>N04</v>
      </c>
    </row>
    <row r="2571" spans="1:24" ht="14.4">
      <c r="A2571" s="14">
        <v>622</v>
      </c>
      <c r="B2571" s="24">
        <v>4074679</v>
      </c>
      <c r="C2571" s="1">
        <v>2155534</v>
      </c>
      <c r="D2571" s="1" t="s">
        <v>25</v>
      </c>
      <c r="E2571" s="36">
        <v>44617</v>
      </c>
      <c r="F2571" s="36">
        <v>44834</v>
      </c>
      <c r="G2571" s="38">
        <f t="shared" si="40"/>
        <v>217</v>
      </c>
      <c r="H2571" s="5">
        <v>44698</v>
      </c>
      <c r="I2571" s="5">
        <v>44834</v>
      </c>
      <c r="J2571" s="1" t="s">
        <v>26</v>
      </c>
      <c r="K2571" s="1" t="s">
        <v>5432</v>
      </c>
      <c r="L2571" s="1" t="s">
        <v>5410</v>
      </c>
      <c r="M2571" s="1" t="s">
        <v>5430</v>
      </c>
      <c r="N2571" s="1" t="s">
        <v>38</v>
      </c>
      <c r="O2571" s="1" t="s">
        <v>3793</v>
      </c>
      <c r="Q2571" s="1" t="s">
        <v>5436</v>
      </c>
      <c r="R2571" s="1" t="s">
        <v>113</v>
      </c>
      <c r="S2571" s="1" t="s">
        <v>5437</v>
      </c>
      <c r="U2571" s="1" t="s">
        <v>130</v>
      </c>
      <c r="V2571" s="1" t="s">
        <v>359</v>
      </c>
      <c r="W2571" s="1" t="str">
        <f>VLOOKUP(Table1[[#This Row],[Obergruppe ATC-Code]],Tabelle3!$A$2:$B$100,2)</f>
        <v>ANTIPARKINSONMITTEL</v>
      </c>
      <c r="X2571" s="1" t="str">
        <f xml:space="preserve"> LEFT(Table1[[#This Row],[Atc Code]],3)</f>
        <v>N04</v>
      </c>
    </row>
    <row r="2572" spans="1:24" ht="14.4">
      <c r="A2572" s="14">
        <v>2178</v>
      </c>
      <c r="B2572" s="24" t="s">
        <v>5438</v>
      </c>
      <c r="C2572" s="1">
        <v>2152189</v>
      </c>
      <c r="D2572" s="1" t="s">
        <v>25</v>
      </c>
      <c r="E2572" s="36">
        <v>44454</v>
      </c>
      <c r="F2572" s="36">
        <v>44855</v>
      </c>
      <c r="G2572" s="38">
        <f t="shared" si="40"/>
        <v>401</v>
      </c>
      <c r="H2572" s="5">
        <v>44454</v>
      </c>
      <c r="I2572" s="5">
        <v>44855</v>
      </c>
      <c r="J2572" s="1" t="s">
        <v>26</v>
      </c>
      <c r="K2572" s="1" t="s">
        <v>5439</v>
      </c>
      <c r="L2572" s="1" t="s">
        <v>5410</v>
      </c>
      <c r="M2572" s="1" t="s">
        <v>5430</v>
      </c>
      <c r="N2572" s="1" t="s">
        <v>38</v>
      </c>
      <c r="O2572" s="1" t="s">
        <v>52</v>
      </c>
      <c r="P2572" s="1" t="s">
        <v>53</v>
      </c>
      <c r="Q2572" s="1" t="s">
        <v>54</v>
      </c>
      <c r="R2572" s="1" t="s">
        <v>26</v>
      </c>
      <c r="S2572" s="1"/>
      <c r="U2572" s="1" t="s">
        <v>35</v>
      </c>
      <c r="V2572" s="1" t="s">
        <v>359</v>
      </c>
      <c r="W2572" s="1" t="str">
        <f>VLOOKUP(Table1[[#This Row],[Obergruppe ATC-Code]],Tabelle3!$A$2:$B$100,2)</f>
        <v>ANTIPARKINSONMITTEL</v>
      </c>
      <c r="X2572" s="1" t="str">
        <f xml:space="preserve"> LEFT(Table1[[#This Row],[Atc Code]],3)</f>
        <v>N04</v>
      </c>
    </row>
    <row r="2573" spans="1:24" ht="14.4">
      <c r="A2573" s="14">
        <v>2177</v>
      </c>
      <c r="B2573" s="24" t="s">
        <v>5440</v>
      </c>
      <c r="C2573" s="1">
        <v>2152188</v>
      </c>
      <c r="D2573" s="1" t="s">
        <v>25</v>
      </c>
      <c r="E2573" s="36">
        <v>44454</v>
      </c>
      <c r="F2573" s="36">
        <v>44855</v>
      </c>
      <c r="G2573" s="38">
        <f t="shared" si="40"/>
        <v>401</v>
      </c>
      <c r="H2573" s="5">
        <v>44454</v>
      </c>
      <c r="I2573" s="5">
        <v>44855</v>
      </c>
      <c r="J2573" s="1" t="s">
        <v>26</v>
      </c>
      <c r="K2573" s="1" t="s">
        <v>5441</v>
      </c>
      <c r="L2573" s="1" t="s">
        <v>5410</v>
      </c>
      <c r="M2573" s="1" t="s">
        <v>5430</v>
      </c>
      <c r="N2573" s="1" t="s">
        <v>38</v>
      </c>
      <c r="O2573" s="1" t="s">
        <v>52</v>
      </c>
      <c r="P2573" s="1" t="s">
        <v>53</v>
      </c>
      <c r="Q2573" s="1" t="s">
        <v>54</v>
      </c>
      <c r="R2573" s="1" t="s">
        <v>26</v>
      </c>
      <c r="S2573" s="1"/>
      <c r="U2573" s="1" t="s">
        <v>35</v>
      </c>
      <c r="V2573" s="1" t="s">
        <v>359</v>
      </c>
      <c r="W2573" s="1" t="str">
        <f>VLOOKUP(Table1[[#This Row],[Obergruppe ATC-Code]],Tabelle3!$A$2:$B$100,2)</f>
        <v>ANTIPARKINSONMITTEL</v>
      </c>
      <c r="X2573" s="1" t="str">
        <f xml:space="preserve"> LEFT(Table1[[#This Row],[Atc Code]],3)</f>
        <v>N04</v>
      </c>
    </row>
    <row r="2574" spans="1:24" ht="14.4">
      <c r="A2574" s="14">
        <v>2042</v>
      </c>
      <c r="B2574" s="24" t="s">
        <v>5442</v>
      </c>
      <c r="C2574" s="1">
        <v>2153453</v>
      </c>
      <c r="D2574" s="1" t="s">
        <v>25</v>
      </c>
      <c r="E2574" s="36">
        <v>45019</v>
      </c>
      <c r="F2574" s="36">
        <v>45107</v>
      </c>
      <c r="G2574" s="38">
        <f t="shared" si="40"/>
        <v>88</v>
      </c>
      <c r="H2574" s="5">
        <v>45019</v>
      </c>
      <c r="I2574" s="5">
        <v>45107</v>
      </c>
      <c r="J2574" s="1" t="s">
        <v>26</v>
      </c>
      <c r="K2574" s="1" t="s">
        <v>5443</v>
      </c>
      <c r="L2574" s="1" t="s">
        <v>5410</v>
      </c>
      <c r="M2574" s="1" t="s">
        <v>5430</v>
      </c>
      <c r="N2574" s="1" t="s">
        <v>38</v>
      </c>
      <c r="O2574" s="1" t="s">
        <v>91</v>
      </c>
      <c r="Q2574" s="1" t="s">
        <v>93</v>
      </c>
      <c r="R2574" s="1" t="s">
        <v>142</v>
      </c>
      <c r="S2574" s="1"/>
      <c r="U2574" s="1" t="s">
        <v>130</v>
      </c>
      <c r="V2574" s="1" t="s">
        <v>49</v>
      </c>
      <c r="W2574" s="1" t="str">
        <f>VLOOKUP(Table1[[#This Row],[Obergruppe ATC-Code]],Tabelle3!$A$2:$B$100,2)</f>
        <v>ANTIPARKINSONMITTEL</v>
      </c>
      <c r="X2574" s="1" t="str">
        <f xml:space="preserve"> LEFT(Table1[[#This Row],[Atc Code]],3)</f>
        <v>N04</v>
      </c>
    </row>
    <row r="2575" spans="1:24" ht="14.4">
      <c r="A2575" s="14">
        <v>2077</v>
      </c>
      <c r="B2575" s="24" t="s">
        <v>5444</v>
      </c>
      <c r="C2575" s="1">
        <v>2155533</v>
      </c>
      <c r="D2575" s="1" t="s">
        <v>25</v>
      </c>
      <c r="E2575" s="36">
        <v>44454</v>
      </c>
      <c r="F2575" s="36">
        <v>45168</v>
      </c>
      <c r="G2575" s="38">
        <f t="shared" si="40"/>
        <v>714</v>
      </c>
      <c r="H2575" s="5">
        <v>44454</v>
      </c>
      <c r="I2575" s="5">
        <v>45170</v>
      </c>
      <c r="J2575" s="1" t="s">
        <v>26</v>
      </c>
      <c r="K2575" s="1" t="s">
        <v>5445</v>
      </c>
      <c r="L2575" s="1" t="s">
        <v>5410</v>
      </c>
      <c r="M2575" s="1" t="s">
        <v>5430</v>
      </c>
      <c r="N2575" s="1" t="s">
        <v>38</v>
      </c>
      <c r="O2575" s="1" t="s">
        <v>91</v>
      </c>
      <c r="P2575" s="1" t="s">
        <v>92</v>
      </c>
      <c r="Q2575" s="1" t="s">
        <v>93</v>
      </c>
      <c r="R2575" s="1" t="s">
        <v>26</v>
      </c>
      <c r="S2575" s="1"/>
      <c r="U2575" s="1" t="s">
        <v>35</v>
      </c>
      <c r="V2575" s="1" t="s">
        <v>359</v>
      </c>
      <c r="W2575" s="1" t="str">
        <f>VLOOKUP(Table1[[#This Row],[Obergruppe ATC-Code]],Tabelle3!$A$2:$B$100,2)</f>
        <v>ANTIPARKINSONMITTEL</v>
      </c>
      <c r="X2575" s="1" t="str">
        <f xml:space="preserve"> LEFT(Table1[[#This Row],[Atc Code]],3)</f>
        <v>N04</v>
      </c>
    </row>
    <row r="2576" spans="1:24" ht="14.4">
      <c r="A2576" s="14">
        <v>1976</v>
      </c>
      <c r="B2576" s="24" t="s">
        <v>5446</v>
      </c>
      <c r="C2576" s="1">
        <v>2155532</v>
      </c>
      <c r="D2576" s="1" t="s">
        <v>102</v>
      </c>
      <c r="E2576" s="36">
        <v>44454</v>
      </c>
      <c r="F2576" s="36">
        <v>45323</v>
      </c>
      <c r="G2576" s="38">
        <f t="shared" si="40"/>
        <v>869</v>
      </c>
      <c r="H2576" s="5">
        <v>44454</v>
      </c>
      <c r="I2576" s="5">
        <v>45170</v>
      </c>
      <c r="J2576" s="1" t="s">
        <v>26</v>
      </c>
      <c r="K2576" s="1" t="s">
        <v>5447</v>
      </c>
      <c r="L2576" s="1" t="s">
        <v>5410</v>
      </c>
      <c r="M2576" s="1" t="s">
        <v>5430</v>
      </c>
      <c r="N2576" s="1" t="s">
        <v>38</v>
      </c>
      <c r="O2576" s="1" t="s">
        <v>91</v>
      </c>
      <c r="P2576" s="1" t="s">
        <v>92</v>
      </c>
      <c r="Q2576" s="1" t="s">
        <v>93</v>
      </c>
      <c r="R2576" s="1" t="s">
        <v>26</v>
      </c>
      <c r="S2576" s="1"/>
      <c r="U2576" s="1" t="s">
        <v>35</v>
      </c>
      <c r="V2576" s="1" t="s">
        <v>359</v>
      </c>
      <c r="W2576" s="1" t="str">
        <f>VLOOKUP(Table1[[#This Row],[Obergruppe ATC-Code]],Tabelle3!$A$2:$B$100,2)</f>
        <v>ANTIPARKINSONMITTEL</v>
      </c>
      <c r="X2576" s="1" t="str">
        <f xml:space="preserve"> LEFT(Table1[[#This Row],[Atc Code]],3)</f>
        <v>N04</v>
      </c>
    </row>
    <row r="2577" spans="1:24" ht="14.4">
      <c r="A2577" s="14">
        <v>2963</v>
      </c>
      <c r="B2577" s="24" t="s">
        <v>5448</v>
      </c>
      <c r="C2577" s="1">
        <v>423692</v>
      </c>
      <c r="D2577" s="1" t="s">
        <v>25</v>
      </c>
      <c r="E2577" s="36">
        <v>43862</v>
      </c>
      <c r="F2577" s="36">
        <v>43921</v>
      </c>
      <c r="G2577" s="38">
        <f t="shared" si="40"/>
        <v>59</v>
      </c>
      <c r="H2577" s="5">
        <v>43866</v>
      </c>
      <c r="I2577" s="5">
        <v>43901</v>
      </c>
      <c r="J2577" s="1" t="s">
        <v>41</v>
      </c>
      <c r="K2577" s="1" t="s">
        <v>5449</v>
      </c>
      <c r="L2577" s="1" t="s">
        <v>5450</v>
      </c>
      <c r="M2577" s="1" t="s">
        <v>5451</v>
      </c>
      <c r="N2577" s="1" t="s">
        <v>30</v>
      </c>
      <c r="O2577" s="1" t="s">
        <v>275</v>
      </c>
      <c r="P2577" s="1" t="s">
        <v>5452</v>
      </c>
      <c r="Q2577" s="1" t="s">
        <v>277</v>
      </c>
      <c r="R2577" s="1" t="s">
        <v>26</v>
      </c>
      <c r="S2577" s="1"/>
      <c r="U2577" s="1" t="s">
        <v>35</v>
      </c>
      <c r="V2577" s="1" t="s">
        <v>99</v>
      </c>
      <c r="W2577" s="1" t="str">
        <f>VLOOKUP(Table1[[#This Row],[Obergruppe ATC-Code]],Tabelle3!$A$2:$B$100,2)</f>
        <v>ANTIPARKINSONMITTEL</v>
      </c>
      <c r="X2577" s="1" t="str">
        <f xml:space="preserve"> LEFT(Table1[[#This Row],[Atc Code]],3)</f>
        <v>N04</v>
      </c>
    </row>
    <row r="2578" spans="1:24" ht="14.4">
      <c r="A2578" s="14">
        <v>2352</v>
      </c>
      <c r="B2578" s="24" t="s">
        <v>5453</v>
      </c>
      <c r="C2578" s="1">
        <v>2110673</v>
      </c>
      <c r="D2578" s="1" t="s">
        <v>25</v>
      </c>
      <c r="E2578" s="36">
        <v>43862</v>
      </c>
      <c r="F2578" s="36">
        <v>44377</v>
      </c>
      <c r="G2578" s="38">
        <f t="shared" si="40"/>
        <v>515</v>
      </c>
      <c r="H2578" s="5">
        <v>43868</v>
      </c>
      <c r="I2578" s="5">
        <v>44104</v>
      </c>
      <c r="J2578" s="1" t="s">
        <v>41</v>
      </c>
      <c r="K2578" s="1" t="s">
        <v>5454</v>
      </c>
      <c r="L2578" s="1" t="s">
        <v>5455</v>
      </c>
      <c r="M2578" s="1" t="s">
        <v>2141</v>
      </c>
      <c r="N2578" s="1" t="s">
        <v>30</v>
      </c>
      <c r="O2578" s="1" t="s">
        <v>117</v>
      </c>
      <c r="P2578" s="1" t="s">
        <v>104</v>
      </c>
      <c r="Q2578" s="1" t="s">
        <v>105</v>
      </c>
      <c r="R2578" s="1" t="s">
        <v>65</v>
      </c>
      <c r="S2578" s="1"/>
      <c r="U2578" s="1" t="s">
        <v>35</v>
      </c>
      <c r="V2578" s="1" t="s">
        <v>262</v>
      </c>
      <c r="W2578" s="1" t="str">
        <f>VLOOKUP(Table1[[#This Row],[Obergruppe ATC-Code]],Tabelle3!$A$2:$B$100,2)</f>
        <v>ANTIPARKINSONMITTEL</v>
      </c>
      <c r="X2578" s="1" t="str">
        <f xml:space="preserve"> LEFT(Table1[[#This Row],[Atc Code]],3)</f>
        <v>N04</v>
      </c>
    </row>
    <row r="2579" spans="1:24" ht="14.4">
      <c r="A2579" s="14">
        <v>2718</v>
      </c>
      <c r="B2579" s="24" t="s">
        <v>5456</v>
      </c>
      <c r="C2579" s="1">
        <v>2113241</v>
      </c>
      <c r="D2579" s="1" t="s">
        <v>25</v>
      </c>
      <c r="E2579" s="36">
        <v>43862</v>
      </c>
      <c r="F2579" s="36">
        <v>44377</v>
      </c>
      <c r="G2579" s="38">
        <f t="shared" si="40"/>
        <v>515</v>
      </c>
      <c r="H2579" s="5">
        <v>43868</v>
      </c>
      <c r="I2579" s="5">
        <v>44159</v>
      </c>
      <c r="J2579" s="1" t="s">
        <v>41</v>
      </c>
      <c r="K2579" s="1" t="s">
        <v>5457</v>
      </c>
      <c r="L2579" s="1" t="s">
        <v>5455</v>
      </c>
      <c r="M2579" s="1" t="s">
        <v>2141</v>
      </c>
      <c r="N2579" s="1" t="s">
        <v>30</v>
      </c>
      <c r="O2579" s="1" t="s">
        <v>45</v>
      </c>
      <c r="P2579" s="1" t="s">
        <v>104</v>
      </c>
      <c r="Q2579" s="1" t="s">
        <v>105</v>
      </c>
      <c r="R2579" s="1" t="s">
        <v>65</v>
      </c>
      <c r="S2579" s="1"/>
      <c r="U2579" s="1" t="s">
        <v>35</v>
      </c>
      <c r="V2579" s="1" t="s">
        <v>262</v>
      </c>
      <c r="W2579" s="1" t="str">
        <f>VLOOKUP(Table1[[#This Row],[Obergruppe ATC-Code]],Tabelle3!$A$2:$B$100,2)</f>
        <v>ANTIPARKINSONMITTEL</v>
      </c>
      <c r="X2579" s="1" t="str">
        <f xml:space="preserve"> LEFT(Table1[[#This Row],[Atc Code]],3)</f>
        <v>N04</v>
      </c>
    </row>
    <row r="2580" spans="1:24" ht="14.4">
      <c r="A2580" s="14">
        <v>2329</v>
      </c>
      <c r="B2580" s="24" t="s">
        <v>5458</v>
      </c>
      <c r="C2580" s="1">
        <v>2113242</v>
      </c>
      <c r="D2580" s="1" t="s">
        <v>25</v>
      </c>
      <c r="E2580" s="36">
        <v>43983</v>
      </c>
      <c r="F2580" s="36">
        <v>44377</v>
      </c>
      <c r="G2580" s="38">
        <f t="shared" si="40"/>
        <v>394</v>
      </c>
      <c r="H2580" s="5">
        <v>43868</v>
      </c>
      <c r="I2580" s="5">
        <v>44159</v>
      </c>
      <c r="J2580" s="1" t="s">
        <v>41</v>
      </c>
      <c r="K2580" s="1" t="s">
        <v>5459</v>
      </c>
      <c r="L2580" s="1" t="s">
        <v>5455</v>
      </c>
      <c r="M2580" s="1" t="s">
        <v>2141</v>
      </c>
      <c r="N2580" s="1" t="s">
        <v>30</v>
      </c>
      <c r="O2580" s="1" t="s">
        <v>45</v>
      </c>
      <c r="P2580" s="1" t="s">
        <v>104</v>
      </c>
      <c r="Q2580" s="1" t="s">
        <v>105</v>
      </c>
      <c r="R2580" s="1" t="s">
        <v>65</v>
      </c>
      <c r="S2580" s="1"/>
      <c r="U2580" s="1" t="s">
        <v>35</v>
      </c>
      <c r="V2580" s="1" t="s">
        <v>262</v>
      </c>
      <c r="W2580" s="1" t="str">
        <f>VLOOKUP(Table1[[#This Row],[Obergruppe ATC-Code]],Tabelle3!$A$2:$B$100,2)</f>
        <v>ANTIPARKINSONMITTEL</v>
      </c>
      <c r="X2580" s="1" t="str">
        <f xml:space="preserve"> LEFT(Table1[[#This Row],[Atc Code]],3)</f>
        <v>N04</v>
      </c>
    </row>
    <row r="2581" spans="1:24" ht="14.4">
      <c r="A2581" s="14">
        <v>3182</v>
      </c>
      <c r="B2581" s="24" t="s">
        <v>5460</v>
      </c>
      <c r="C2581" s="1">
        <v>2176238</v>
      </c>
      <c r="D2581" s="1" t="s">
        <v>25</v>
      </c>
      <c r="E2581" s="36">
        <v>43831</v>
      </c>
      <c r="F2581" s="36">
        <v>43921</v>
      </c>
      <c r="G2581" s="38">
        <f t="shared" si="40"/>
        <v>90</v>
      </c>
      <c r="H2581" s="5">
        <v>43866</v>
      </c>
      <c r="I2581" s="5">
        <v>43927</v>
      </c>
      <c r="J2581" s="1" t="s">
        <v>26</v>
      </c>
      <c r="K2581" s="1" t="s">
        <v>5461</v>
      </c>
      <c r="L2581" s="1" t="s">
        <v>5462</v>
      </c>
      <c r="M2581" s="1" t="s">
        <v>5463</v>
      </c>
      <c r="N2581" s="1" t="s">
        <v>38</v>
      </c>
      <c r="O2581" s="1" t="s">
        <v>1440</v>
      </c>
      <c r="P2581" s="1" t="s">
        <v>1441</v>
      </c>
      <c r="Q2581" s="1" t="s">
        <v>1442</v>
      </c>
      <c r="R2581" s="1" t="s">
        <v>33</v>
      </c>
      <c r="S2581" s="1"/>
      <c r="U2581" s="1" t="s">
        <v>35</v>
      </c>
      <c r="V2581" s="1" t="s">
        <v>99</v>
      </c>
      <c r="W2581" s="1" t="str">
        <f>VLOOKUP(Table1[[#This Row],[Obergruppe ATC-Code]],Tabelle3!$A$2:$B$100,2)</f>
        <v>ANTIPARKINSONMITTEL</v>
      </c>
      <c r="X2581" s="1" t="str">
        <f xml:space="preserve"> LEFT(Table1[[#This Row],[Atc Code]],3)</f>
        <v>N04</v>
      </c>
    </row>
    <row r="2582" spans="1:24" ht="14.4">
      <c r="A2582" s="14">
        <v>3181</v>
      </c>
      <c r="B2582" s="24" t="s">
        <v>5464</v>
      </c>
      <c r="C2582" s="1">
        <v>2176236</v>
      </c>
      <c r="D2582" s="1" t="s">
        <v>25</v>
      </c>
      <c r="E2582" s="36">
        <v>43831</v>
      </c>
      <c r="F2582" s="36">
        <v>44043</v>
      </c>
      <c r="G2582" s="38">
        <f t="shared" si="40"/>
        <v>212</v>
      </c>
      <c r="H2582" s="5">
        <v>43866</v>
      </c>
      <c r="I2582" s="5">
        <v>44032</v>
      </c>
      <c r="J2582" s="1" t="s">
        <v>26</v>
      </c>
      <c r="K2582" s="1" t="s">
        <v>5465</v>
      </c>
      <c r="L2582" s="1" t="s">
        <v>5462</v>
      </c>
      <c r="M2582" s="1" t="s">
        <v>5463</v>
      </c>
      <c r="N2582" s="1" t="s">
        <v>38</v>
      </c>
      <c r="O2582" s="1" t="s">
        <v>1440</v>
      </c>
      <c r="P2582" s="1" t="s">
        <v>1441</v>
      </c>
      <c r="Q2582" s="1" t="s">
        <v>1442</v>
      </c>
      <c r="R2582" s="1" t="s">
        <v>33</v>
      </c>
      <c r="S2582" s="1"/>
      <c r="U2582" s="1" t="s">
        <v>35</v>
      </c>
      <c r="V2582" s="1" t="s">
        <v>99</v>
      </c>
      <c r="W2582" s="1" t="str">
        <f>VLOOKUP(Table1[[#This Row],[Obergruppe ATC-Code]],Tabelle3!$A$2:$B$100,2)</f>
        <v>ANTIPARKINSONMITTEL</v>
      </c>
      <c r="X2582" s="1" t="str">
        <f xml:space="preserve"> LEFT(Table1[[#This Row],[Atc Code]],3)</f>
        <v>N04</v>
      </c>
    </row>
    <row r="2583" spans="1:24" ht="14.4">
      <c r="A2583" s="14">
        <v>1063</v>
      </c>
      <c r="B2583" s="25">
        <v>9098472</v>
      </c>
      <c r="C2583" s="1">
        <v>2172061</v>
      </c>
      <c r="D2583" s="1" t="s">
        <v>25</v>
      </c>
      <c r="E2583" s="36">
        <v>43800</v>
      </c>
      <c r="F2583" s="36">
        <v>43890</v>
      </c>
      <c r="G2583" s="38">
        <f t="shared" si="40"/>
        <v>90</v>
      </c>
      <c r="H2583" s="5">
        <v>43812</v>
      </c>
      <c r="I2583" s="5">
        <v>43871</v>
      </c>
      <c r="J2583" s="1" t="s">
        <v>41</v>
      </c>
      <c r="K2583" s="1" t="s">
        <v>5466</v>
      </c>
      <c r="L2583" s="1" t="s">
        <v>5467</v>
      </c>
      <c r="M2583" s="1" t="s">
        <v>5468</v>
      </c>
      <c r="N2583" s="1" t="s">
        <v>38</v>
      </c>
      <c r="O2583" s="1" t="s">
        <v>1440</v>
      </c>
      <c r="P2583" s="1" t="s">
        <v>1441</v>
      </c>
      <c r="Q2583" s="1" t="s">
        <v>1442</v>
      </c>
      <c r="R2583" s="1" t="s">
        <v>48</v>
      </c>
      <c r="S2583" s="1"/>
      <c r="U2583" s="1" t="s">
        <v>35</v>
      </c>
      <c r="V2583" s="1" t="s">
        <v>49</v>
      </c>
      <c r="W2583" s="1" t="str">
        <f>VLOOKUP(Table1[[#This Row],[Obergruppe ATC-Code]],Tabelle3!$A$2:$B$100,2)</f>
        <v>ANTIPARKINSONMITTEL</v>
      </c>
      <c r="X2583" s="1" t="str">
        <f xml:space="preserve"> LEFT(Table1[[#This Row],[Atc Code]],3)</f>
        <v>N04</v>
      </c>
    </row>
    <row r="2584" spans="1:24" ht="14.4">
      <c r="A2584" s="14">
        <v>1064</v>
      </c>
      <c r="B2584" s="25">
        <v>9098489</v>
      </c>
      <c r="C2584" s="1">
        <v>2172062</v>
      </c>
      <c r="D2584" s="1" t="s">
        <v>25</v>
      </c>
      <c r="E2584" s="36">
        <v>43983</v>
      </c>
      <c r="F2584" s="36">
        <v>44074</v>
      </c>
      <c r="G2584" s="38">
        <f t="shared" si="40"/>
        <v>91</v>
      </c>
      <c r="H2584" s="5">
        <v>44018</v>
      </c>
      <c r="I2584" s="5">
        <v>44069</v>
      </c>
      <c r="J2584" s="1" t="s">
        <v>41</v>
      </c>
      <c r="K2584" s="1" t="s">
        <v>5469</v>
      </c>
      <c r="L2584" s="1" t="s">
        <v>5467</v>
      </c>
      <c r="M2584" s="1" t="s">
        <v>5468</v>
      </c>
      <c r="N2584" s="1" t="s">
        <v>38</v>
      </c>
      <c r="O2584" s="1" t="s">
        <v>1440</v>
      </c>
      <c r="P2584" s="1" t="s">
        <v>1441</v>
      </c>
      <c r="Q2584" s="1" t="s">
        <v>1442</v>
      </c>
      <c r="R2584" s="1" t="s">
        <v>48</v>
      </c>
      <c r="S2584" s="1"/>
      <c r="U2584" s="1" t="s">
        <v>35</v>
      </c>
      <c r="V2584" s="1" t="s">
        <v>49</v>
      </c>
      <c r="W2584" s="1" t="str">
        <f>VLOOKUP(Table1[[#This Row],[Obergruppe ATC-Code]],Tabelle3!$A$2:$B$100,2)</f>
        <v>ANTIPARKINSONMITTEL</v>
      </c>
      <c r="X2584" s="1" t="str">
        <f xml:space="preserve"> LEFT(Table1[[#This Row],[Atc Code]],3)</f>
        <v>N04</v>
      </c>
    </row>
    <row r="2585" spans="1:24" ht="14.4">
      <c r="A2585" s="14">
        <v>1062</v>
      </c>
      <c r="B2585" s="25">
        <v>9098472</v>
      </c>
      <c r="C2585" s="1">
        <v>2172061</v>
      </c>
      <c r="D2585" s="1" t="s">
        <v>25</v>
      </c>
      <c r="E2585" s="36">
        <v>43983</v>
      </c>
      <c r="F2585" s="36">
        <v>44074</v>
      </c>
      <c r="G2585" s="38">
        <f t="shared" si="40"/>
        <v>91</v>
      </c>
      <c r="H2585" s="5">
        <v>44018</v>
      </c>
      <c r="I2585" s="5">
        <v>44069</v>
      </c>
      <c r="J2585" s="1" t="s">
        <v>41</v>
      </c>
      <c r="K2585" s="1" t="s">
        <v>5466</v>
      </c>
      <c r="L2585" s="1" t="s">
        <v>5467</v>
      </c>
      <c r="M2585" s="1" t="s">
        <v>5468</v>
      </c>
      <c r="N2585" s="1" t="s">
        <v>38</v>
      </c>
      <c r="O2585" s="1" t="s">
        <v>1440</v>
      </c>
      <c r="P2585" s="1" t="s">
        <v>1441</v>
      </c>
      <c r="Q2585" s="1" t="s">
        <v>1442</v>
      </c>
      <c r="R2585" s="1" t="s">
        <v>48</v>
      </c>
      <c r="S2585" s="1"/>
      <c r="U2585" s="1" t="s">
        <v>35</v>
      </c>
      <c r="V2585" s="1" t="s">
        <v>49</v>
      </c>
      <c r="W2585" s="1" t="str">
        <f>VLOOKUP(Table1[[#This Row],[Obergruppe ATC-Code]],Tabelle3!$A$2:$B$100,2)</f>
        <v>ANTIPARKINSONMITTEL</v>
      </c>
      <c r="X2585" s="1" t="str">
        <f xml:space="preserve"> LEFT(Table1[[#This Row],[Atc Code]],3)</f>
        <v>N04</v>
      </c>
    </row>
    <row r="2586" spans="1:24" ht="14.4">
      <c r="A2586" s="14">
        <v>1057</v>
      </c>
      <c r="B2586" s="25">
        <v>9098420</v>
      </c>
      <c r="C2586" s="1">
        <v>2172059</v>
      </c>
      <c r="D2586" s="1" t="s">
        <v>25</v>
      </c>
      <c r="E2586" s="36">
        <v>43983</v>
      </c>
      <c r="F2586" s="36">
        <v>44074</v>
      </c>
      <c r="G2586" s="38">
        <f t="shared" si="40"/>
        <v>91</v>
      </c>
      <c r="H2586" s="5">
        <v>44018</v>
      </c>
      <c r="I2586" s="5">
        <v>44069</v>
      </c>
      <c r="J2586" s="1" t="s">
        <v>41</v>
      </c>
      <c r="K2586" s="1" t="s">
        <v>5470</v>
      </c>
      <c r="L2586" s="1" t="s">
        <v>5467</v>
      </c>
      <c r="M2586" s="1" t="s">
        <v>5468</v>
      </c>
      <c r="N2586" s="1" t="s">
        <v>38</v>
      </c>
      <c r="O2586" s="1" t="s">
        <v>1440</v>
      </c>
      <c r="P2586" s="1" t="s">
        <v>1441</v>
      </c>
      <c r="Q2586" s="1" t="s">
        <v>1442</v>
      </c>
      <c r="R2586" s="1" t="s">
        <v>48</v>
      </c>
      <c r="S2586" s="1"/>
      <c r="U2586" s="1" t="s">
        <v>35</v>
      </c>
      <c r="V2586" s="1" t="s">
        <v>49</v>
      </c>
      <c r="W2586" s="1" t="str">
        <f>VLOOKUP(Table1[[#This Row],[Obergruppe ATC-Code]],Tabelle3!$A$2:$B$100,2)</f>
        <v>ANTIPARKINSONMITTEL</v>
      </c>
      <c r="X2586" s="1" t="str">
        <f xml:space="preserve"> LEFT(Table1[[#This Row],[Atc Code]],3)</f>
        <v>N04</v>
      </c>
    </row>
    <row r="2587" spans="1:24" ht="14.4">
      <c r="A2587" s="14">
        <v>1061</v>
      </c>
      <c r="B2587" s="25">
        <v>9098472</v>
      </c>
      <c r="C2587" s="1">
        <v>2172061</v>
      </c>
      <c r="D2587" s="1" t="s">
        <v>25</v>
      </c>
      <c r="E2587" s="36">
        <v>44105</v>
      </c>
      <c r="F2587" s="36">
        <v>44165</v>
      </c>
      <c r="G2587" s="38">
        <f t="shared" si="40"/>
        <v>60</v>
      </c>
      <c r="H2587" s="5">
        <v>44130</v>
      </c>
      <c r="I2587" s="5">
        <v>44181</v>
      </c>
      <c r="J2587" s="1" t="s">
        <v>41</v>
      </c>
      <c r="K2587" s="1" t="s">
        <v>5466</v>
      </c>
      <c r="L2587" s="1" t="s">
        <v>5467</v>
      </c>
      <c r="M2587" s="1" t="s">
        <v>5468</v>
      </c>
      <c r="N2587" s="1" t="s">
        <v>38</v>
      </c>
      <c r="O2587" s="1" t="s">
        <v>1440</v>
      </c>
      <c r="P2587" s="1" t="s">
        <v>1441</v>
      </c>
      <c r="Q2587" s="1" t="s">
        <v>1916</v>
      </c>
      <c r="R2587" s="1" t="s">
        <v>65</v>
      </c>
      <c r="S2587" s="1"/>
      <c r="U2587" s="1" t="s">
        <v>35</v>
      </c>
      <c r="V2587" s="1" t="s">
        <v>49</v>
      </c>
      <c r="W2587" s="1" t="str">
        <f>VLOOKUP(Table1[[#This Row],[Obergruppe ATC-Code]],Tabelle3!$A$2:$B$100,2)</f>
        <v>ANTIPARKINSONMITTEL</v>
      </c>
      <c r="X2587" s="1" t="str">
        <f xml:space="preserve"> LEFT(Table1[[#This Row],[Atc Code]],3)</f>
        <v>N04</v>
      </c>
    </row>
    <row r="2588" spans="1:24" ht="14.4">
      <c r="A2588" s="14">
        <v>2567</v>
      </c>
      <c r="B2588" s="24" t="s">
        <v>5471</v>
      </c>
      <c r="C2588" s="1">
        <v>2195706</v>
      </c>
      <c r="D2588" s="1" t="s">
        <v>25</v>
      </c>
      <c r="E2588" s="36">
        <v>44197</v>
      </c>
      <c r="F2588" s="36">
        <v>44500</v>
      </c>
      <c r="G2588" s="38">
        <f t="shared" si="40"/>
        <v>303</v>
      </c>
      <c r="H2588" s="5">
        <v>44230</v>
      </c>
      <c r="I2588" s="5">
        <v>44292</v>
      </c>
      <c r="J2588" s="1" t="s">
        <v>26</v>
      </c>
      <c r="K2588" s="1" t="s">
        <v>5472</v>
      </c>
      <c r="L2588" s="1" t="s">
        <v>5467</v>
      </c>
      <c r="M2588" s="1" t="s">
        <v>5468</v>
      </c>
      <c r="N2588" s="1" t="s">
        <v>30</v>
      </c>
      <c r="O2588" s="1" t="s">
        <v>1284</v>
      </c>
      <c r="P2588" s="1" t="s">
        <v>1285</v>
      </c>
      <c r="Q2588" s="1" t="s">
        <v>1286</v>
      </c>
      <c r="R2588" s="1" t="s">
        <v>33</v>
      </c>
      <c r="S2588" s="1"/>
      <c r="U2588" s="1" t="s">
        <v>35</v>
      </c>
      <c r="V2588" s="1" t="s">
        <v>49</v>
      </c>
      <c r="W2588" s="1" t="str">
        <f>VLOOKUP(Table1[[#This Row],[Obergruppe ATC-Code]],Tabelle3!$A$2:$B$100,2)</f>
        <v>ANTIPARKINSONMITTEL</v>
      </c>
      <c r="X2588" s="1" t="str">
        <f xml:space="preserve"> LEFT(Table1[[#This Row],[Atc Code]],3)</f>
        <v>N04</v>
      </c>
    </row>
    <row r="2589" spans="1:24" ht="14.4">
      <c r="A2589" s="14">
        <v>1060</v>
      </c>
      <c r="B2589" s="25">
        <v>9098472</v>
      </c>
      <c r="C2589" s="1">
        <v>2172061</v>
      </c>
      <c r="D2589" s="1" t="s">
        <v>25</v>
      </c>
      <c r="E2589" s="36">
        <v>44256</v>
      </c>
      <c r="F2589" s="36">
        <v>44286</v>
      </c>
      <c r="G2589" s="38">
        <f t="shared" si="40"/>
        <v>30</v>
      </c>
      <c r="H2589" s="5">
        <v>44258</v>
      </c>
      <c r="I2589" s="5">
        <v>44294</v>
      </c>
      <c r="J2589" s="1" t="s">
        <v>41</v>
      </c>
      <c r="K2589" s="1" t="s">
        <v>5466</v>
      </c>
      <c r="L2589" s="1" t="s">
        <v>5467</v>
      </c>
      <c r="M2589" s="1" t="s">
        <v>5468</v>
      </c>
      <c r="N2589" s="1" t="s">
        <v>38</v>
      </c>
      <c r="O2589" s="1" t="s">
        <v>1440</v>
      </c>
      <c r="P2589" s="1" t="s">
        <v>1441</v>
      </c>
      <c r="Q2589" s="1" t="s">
        <v>1916</v>
      </c>
      <c r="R2589" s="1" t="s">
        <v>65</v>
      </c>
      <c r="S2589" s="1"/>
      <c r="U2589" s="1" t="s">
        <v>35</v>
      </c>
      <c r="V2589" s="1" t="s">
        <v>49</v>
      </c>
      <c r="W2589" s="1" t="str">
        <f>VLOOKUP(Table1[[#This Row],[Obergruppe ATC-Code]],Tabelle3!$A$2:$B$100,2)</f>
        <v>ANTIPARKINSONMITTEL</v>
      </c>
      <c r="X2589" s="1" t="str">
        <f xml:space="preserve"> LEFT(Table1[[#This Row],[Atc Code]],3)</f>
        <v>N04</v>
      </c>
    </row>
    <row r="2590" spans="1:24" ht="14.4">
      <c r="A2590" s="14">
        <v>1056</v>
      </c>
      <c r="B2590" s="25">
        <v>9098420</v>
      </c>
      <c r="C2590" s="1">
        <v>2172059</v>
      </c>
      <c r="D2590" s="1" t="s">
        <v>25</v>
      </c>
      <c r="E2590" s="36">
        <v>44105</v>
      </c>
      <c r="F2590" s="36">
        <v>44344</v>
      </c>
      <c r="G2590" s="38">
        <f t="shared" si="40"/>
        <v>239</v>
      </c>
      <c r="H2590" s="5">
        <v>44130</v>
      </c>
      <c r="I2590" s="5">
        <v>44348</v>
      </c>
      <c r="J2590" s="1" t="s">
        <v>41</v>
      </c>
      <c r="K2590" s="1" t="s">
        <v>5470</v>
      </c>
      <c r="L2590" s="1" t="s">
        <v>5467</v>
      </c>
      <c r="M2590" s="1" t="s">
        <v>5468</v>
      </c>
      <c r="N2590" s="1" t="s">
        <v>38</v>
      </c>
      <c r="O2590" s="1" t="s">
        <v>1440</v>
      </c>
      <c r="P2590" s="1" t="s">
        <v>1441</v>
      </c>
      <c r="Q2590" s="1" t="s">
        <v>1916</v>
      </c>
      <c r="R2590" s="1" t="s">
        <v>65</v>
      </c>
      <c r="S2590" s="1"/>
      <c r="U2590" s="1" t="s">
        <v>35</v>
      </c>
      <c r="V2590" s="1" t="s">
        <v>49</v>
      </c>
      <c r="W2590" s="1" t="str">
        <f>VLOOKUP(Table1[[#This Row],[Obergruppe ATC-Code]],Tabelle3!$A$2:$B$100,2)</f>
        <v>ANTIPARKINSONMITTEL</v>
      </c>
      <c r="X2590" s="1" t="str">
        <f xml:space="preserve"> LEFT(Table1[[#This Row],[Atc Code]],3)</f>
        <v>N04</v>
      </c>
    </row>
    <row r="2591" spans="1:24" ht="14.4">
      <c r="A2591" s="14">
        <v>1059</v>
      </c>
      <c r="B2591" s="24">
        <v>9098443</v>
      </c>
      <c r="C2591" s="1">
        <v>2172060</v>
      </c>
      <c r="D2591" s="1" t="s">
        <v>25</v>
      </c>
      <c r="E2591" s="36">
        <v>44105</v>
      </c>
      <c r="F2591" s="36">
        <v>44344</v>
      </c>
      <c r="G2591" s="38">
        <f t="shared" si="40"/>
        <v>239</v>
      </c>
      <c r="H2591" s="5">
        <v>44130</v>
      </c>
      <c r="I2591" s="5">
        <v>44354</v>
      </c>
      <c r="J2591" s="1" t="s">
        <v>41</v>
      </c>
      <c r="K2591" s="1" t="s">
        <v>5473</v>
      </c>
      <c r="L2591" s="1" t="s">
        <v>5467</v>
      </c>
      <c r="M2591" s="1" t="s">
        <v>5468</v>
      </c>
      <c r="N2591" s="1" t="s">
        <v>38</v>
      </c>
      <c r="O2591" s="1" t="s">
        <v>1440</v>
      </c>
      <c r="P2591" s="1" t="s">
        <v>1441</v>
      </c>
      <c r="Q2591" s="1" t="s">
        <v>1916</v>
      </c>
      <c r="R2591" s="1" t="s">
        <v>65</v>
      </c>
      <c r="S2591" s="1" t="s">
        <v>5474</v>
      </c>
      <c r="U2591" s="1" t="s">
        <v>35</v>
      </c>
      <c r="V2591" s="1" t="s">
        <v>49</v>
      </c>
      <c r="W2591" s="1" t="str">
        <f>VLOOKUP(Table1[[#This Row],[Obergruppe ATC-Code]],Tabelle3!$A$2:$B$100,2)</f>
        <v>ANTIPARKINSONMITTEL</v>
      </c>
      <c r="X2591" s="1" t="str">
        <f xml:space="preserve"> LEFT(Table1[[#This Row],[Atc Code]],3)</f>
        <v>N04</v>
      </c>
    </row>
    <row r="2592" spans="1:24" ht="14.4">
      <c r="A2592" s="14">
        <v>2520</v>
      </c>
      <c r="B2592" s="24" t="s">
        <v>5475</v>
      </c>
      <c r="C2592" s="1">
        <v>2195707</v>
      </c>
      <c r="D2592" s="1" t="s">
        <v>25</v>
      </c>
      <c r="E2592" s="36">
        <v>44197</v>
      </c>
      <c r="F2592" s="36">
        <v>44413</v>
      </c>
      <c r="G2592" s="38">
        <f t="shared" si="40"/>
        <v>216</v>
      </c>
      <c r="H2592" s="5">
        <v>44230</v>
      </c>
      <c r="I2592" s="5">
        <v>44413</v>
      </c>
      <c r="J2592" s="1" t="s">
        <v>26</v>
      </c>
      <c r="K2592" s="1" t="s">
        <v>5476</v>
      </c>
      <c r="L2592" s="1" t="s">
        <v>5467</v>
      </c>
      <c r="M2592" s="1" t="s">
        <v>5468</v>
      </c>
      <c r="N2592" s="1" t="s">
        <v>30</v>
      </c>
      <c r="O2592" s="1" t="s">
        <v>1284</v>
      </c>
      <c r="P2592" s="1" t="s">
        <v>1285</v>
      </c>
      <c r="Q2592" s="1" t="s">
        <v>1286</v>
      </c>
      <c r="R2592" s="1" t="s">
        <v>33</v>
      </c>
      <c r="S2592" s="1"/>
      <c r="U2592" s="1" t="s">
        <v>35</v>
      </c>
      <c r="V2592" s="1" t="s">
        <v>49</v>
      </c>
      <c r="W2592" s="1" t="str">
        <f>VLOOKUP(Table1[[#This Row],[Obergruppe ATC-Code]],Tabelle3!$A$2:$B$100,2)</f>
        <v>ANTIPARKINSONMITTEL</v>
      </c>
      <c r="X2592" s="1" t="str">
        <f xml:space="preserve"> LEFT(Table1[[#This Row],[Atc Code]],3)</f>
        <v>N04</v>
      </c>
    </row>
    <row r="2593" spans="1:24" ht="14.4">
      <c r="A2593" s="14">
        <v>1058</v>
      </c>
      <c r="B2593" s="24">
        <v>9098443</v>
      </c>
      <c r="C2593" s="1">
        <v>2172060</v>
      </c>
      <c r="D2593" s="1" t="s">
        <v>25</v>
      </c>
      <c r="E2593" s="36">
        <v>44711</v>
      </c>
      <c r="F2593" s="36">
        <v>44750</v>
      </c>
      <c r="G2593" s="38">
        <f t="shared" si="40"/>
        <v>39</v>
      </c>
      <c r="H2593" s="5">
        <v>44719</v>
      </c>
      <c r="I2593" s="5">
        <v>44762</v>
      </c>
      <c r="J2593" s="1" t="s">
        <v>26</v>
      </c>
      <c r="K2593" s="1" t="s">
        <v>5473</v>
      </c>
      <c r="L2593" s="1" t="s">
        <v>5467</v>
      </c>
      <c r="M2593" s="1" t="s">
        <v>5477</v>
      </c>
      <c r="N2593" s="1" t="s">
        <v>38</v>
      </c>
      <c r="O2593" s="1" t="s">
        <v>1440</v>
      </c>
      <c r="P2593" s="1" t="s">
        <v>1540</v>
      </c>
      <c r="Q2593" s="1" t="s">
        <v>1541</v>
      </c>
      <c r="R2593" s="1" t="s">
        <v>113</v>
      </c>
      <c r="S2593" s="1"/>
      <c r="U2593" s="1" t="s">
        <v>35</v>
      </c>
      <c r="V2593" s="1" t="s">
        <v>49</v>
      </c>
      <c r="W2593" s="1" t="str">
        <f>VLOOKUP(Table1[[#This Row],[Obergruppe ATC-Code]],Tabelle3!$A$2:$B$100,2)</f>
        <v>ANTIPARKINSONMITTEL</v>
      </c>
      <c r="X2593" s="1" t="str">
        <f xml:space="preserve"> LEFT(Table1[[#This Row],[Atc Code]],3)</f>
        <v>N04</v>
      </c>
    </row>
    <row r="2594" spans="1:24" ht="14.4">
      <c r="A2594" s="14">
        <v>2462</v>
      </c>
      <c r="B2594" s="24" t="s">
        <v>5478</v>
      </c>
      <c r="C2594" s="1">
        <v>2172060</v>
      </c>
      <c r="D2594" s="1" t="s">
        <v>175</v>
      </c>
      <c r="E2594" s="36">
        <v>45176</v>
      </c>
      <c r="F2594" s="36">
        <v>45233</v>
      </c>
      <c r="G2594" s="38">
        <f t="shared" si="40"/>
        <v>57</v>
      </c>
      <c r="H2594" s="5">
        <v>45180</v>
      </c>
      <c r="I2594" s="5">
        <v>45180</v>
      </c>
      <c r="J2594" s="1" t="s">
        <v>41</v>
      </c>
      <c r="K2594" s="1" t="s">
        <v>5473</v>
      </c>
      <c r="L2594" s="1" t="s">
        <v>5467</v>
      </c>
      <c r="M2594" s="1" t="s">
        <v>5477</v>
      </c>
      <c r="N2594" s="1" t="s">
        <v>38</v>
      </c>
      <c r="O2594" s="1" t="s">
        <v>1440</v>
      </c>
      <c r="Q2594" s="1" t="s">
        <v>1541</v>
      </c>
      <c r="R2594" s="1" t="s">
        <v>26</v>
      </c>
      <c r="S2594" s="1" t="s">
        <v>5135</v>
      </c>
      <c r="U2594" s="1" t="s">
        <v>35</v>
      </c>
      <c r="V2594" s="1" t="s">
        <v>49</v>
      </c>
      <c r="W2594" s="1" t="str">
        <f>VLOOKUP(Table1[[#This Row],[Obergruppe ATC-Code]],Tabelle3!$A$2:$B$100,2)</f>
        <v>ANTIPARKINSONMITTEL</v>
      </c>
      <c r="X2594" s="1" t="str">
        <f xml:space="preserve"> LEFT(Table1[[#This Row],[Atc Code]],3)</f>
        <v>N04</v>
      </c>
    </row>
    <row r="2595" spans="1:24" ht="14.4">
      <c r="A2595" s="14">
        <v>2461</v>
      </c>
      <c r="B2595" s="24" t="s">
        <v>5479</v>
      </c>
      <c r="C2595" s="1">
        <v>2172059</v>
      </c>
      <c r="D2595" s="1" t="s">
        <v>175</v>
      </c>
      <c r="E2595" s="36">
        <v>45154</v>
      </c>
      <c r="F2595" s="36">
        <v>45254</v>
      </c>
      <c r="G2595" s="38">
        <f t="shared" si="40"/>
        <v>100</v>
      </c>
      <c r="H2595" s="5">
        <v>45180</v>
      </c>
      <c r="I2595" s="5">
        <v>45180</v>
      </c>
      <c r="J2595" s="1" t="s">
        <v>41</v>
      </c>
      <c r="K2595" s="1" t="s">
        <v>5470</v>
      </c>
      <c r="L2595" s="1" t="s">
        <v>5467</v>
      </c>
      <c r="M2595" s="1" t="s">
        <v>5477</v>
      </c>
      <c r="N2595" s="1" t="s">
        <v>38</v>
      </c>
      <c r="O2595" s="1" t="s">
        <v>1440</v>
      </c>
      <c r="Q2595" s="1" t="s">
        <v>1541</v>
      </c>
      <c r="R2595" s="1" t="s">
        <v>26</v>
      </c>
      <c r="S2595" s="1" t="s">
        <v>5135</v>
      </c>
      <c r="U2595" s="1" t="s">
        <v>35</v>
      </c>
      <c r="V2595" s="1" t="s">
        <v>49</v>
      </c>
      <c r="W2595" s="1" t="str">
        <f>VLOOKUP(Table1[[#This Row],[Obergruppe ATC-Code]],Tabelle3!$A$2:$B$100,2)</f>
        <v>ANTIPARKINSONMITTEL</v>
      </c>
      <c r="X2595" s="1" t="str">
        <f xml:space="preserve"> LEFT(Table1[[#This Row],[Atc Code]],3)</f>
        <v>N04</v>
      </c>
    </row>
    <row r="2596" spans="1:24" ht="14.4">
      <c r="A2596" s="14">
        <v>2472</v>
      </c>
      <c r="B2596" s="24" t="s">
        <v>5480</v>
      </c>
      <c r="C2596" s="1">
        <v>2166781</v>
      </c>
      <c r="D2596" s="1" t="s">
        <v>25</v>
      </c>
      <c r="E2596" s="36">
        <v>44105</v>
      </c>
      <c r="F2596" s="36">
        <v>44227</v>
      </c>
      <c r="G2596" s="38">
        <f t="shared" si="40"/>
        <v>122</v>
      </c>
      <c r="H2596" s="5">
        <v>44113</v>
      </c>
      <c r="I2596" s="5">
        <v>44246</v>
      </c>
      <c r="J2596" s="1" t="s">
        <v>41</v>
      </c>
      <c r="K2596" s="1" t="s">
        <v>5481</v>
      </c>
      <c r="L2596" s="1" t="s">
        <v>5482</v>
      </c>
      <c r="M2596" s="1" t="s">
        <v>2150</v>
      </c>
      <c r="N2596" s="1" t="s">
        <v>38</v>
      </c>
      <c r="O2596" s="1" t="s">
        <v>1035</v>
      </c>
      <c r="P2596" s="1" t="s">
        <v>2154</v>
      </c>
      <c r="Q2596" s="1" t="s">
        <v>118</v>
      </c>
      <c r="R2596" s="1" t="s">
        <v>26</v>
      </c>
      <c r="S2596" s="1"/>
      <c r="U2596" s="1" t="s">
        <v>35</v>
      </c>
      <c r="V2596" s="1" t="s">
        <v>49</v>
      </c>
      <c r="W2596" s="1" t="str">
        <f>VLOOKUP(Table1[[#This Row],[Obergruppe ATC-Code]],Tabelle3!$A$2:$B$100,2)</f>
        <v>ANTIPARKINSONMITTEL</v>
      </c>
      <c r="X2596" s="1" t="str">
        <f xml:space="preserve"> LEFT(Table1[[#This Row],[Atc Code]],3)</f>
        <v>N04</v>
      </c>
    </row>
    <row r="2597" spans="1:24" ht="14.4">
      <c r="A2597" s="14">
        <v>1947</v>
      </c>
      <c r="B2597" s="24" t="s">
        <v>5483</v>
      </c>
      <c r="C2597" s="1">
        <v>2166341</v>
      </c>
      <c r="D2597" s="1" t="s">
        <v>25</v>
      </c>
      <c r="E2597" s="36">
        <v>44105</v>
      </c>
      <c r="F2597" s="36">
        <v>44227</v>
      </c>
      <c r="G2597" s="38">
        <f t="shared" si="40"/>
        <v>122</v>
      </c>
      <c r="H2597" s="5">
        <v>44113</v>
      </c>
      <c r="I2597" s="5">
        <v>44246</v>
      </c>
      <c r="J2597" s="1" t="s">
        <v>41</v>
      </c>
      <c r="K2597" s="1" t="s">
        <v>5484</v>
      </c>
      <c r="L2597" s="1" t="s">
        <v>5482</v>
      </c>
      <c r="M2597" s="1" t="s">
        <v>2150</v>
      </c>
      <c r="N2597" s="1" t="s">
        <v>30</v>
      </c>
      <c r="O2597" s="1" t="s">
        <v>45</v>
      </c>
      <c r="P2597" s="1" t="s">
        <v>2154</v>
      </c>
      <c r="Q2597" s="1" t="s">
        <v>118</v>
      </c>
      <c r="R2597" s="1" t="s">
        <v>26</v>
      </c>
      <c r="S2597" s="1"/>
      <c r="U2597" s="1" t="s">
        <v>35</v>
      </c>
      <c r="V2597" s="1" t="s">
        <v>49</v>
      </c>
      <c r="W2597" s="1" t="str">
        <f>VLOOKUP(Table1[[#This Row],[Obergruppe ATC-Code]],Tabelle3!$A$2:$B$100,2)</f>
        <v>ANTIPARKINSONMITTEL</v>
      </c>
      <c r="X2597" s="1" t="str">
        <f xml:space="preserve"> LEFT(Table1[[#This Row],[Atc Code]],3)</f>
        <v>N04</v>
      </c>
    </row>
    <row r="2598" spans="1:24" ht="14.4">
      <c r="A2598" s="14">
        <v>2471</v>
      </c>
      <c r="B2598" s="24" t="s">
        <v>5485</v>
      </c>
      <c r="C2598" s="1">
        <v>2166780</v>
      </c>
      <c r="D2598" s="1" t="s">
        <v>25</v>
      </c>
      <c r="E2598" s="36">
        <v>44105</v>
      </c>
      <c r="F2598" s="36">
        <v>44316</v>
      </c>
      <c r="G2598" s="38">
        <f t="shared" si="40"/>
        <v>211</v>
      </c>
      <c r="H2598" s="5">
        <v>44113</v>
      </c>
      <c r="I2598" s="5">
        <v>44321</v>
      </c>
      <c r="J2598" s="1" t="s">
        <v>41</v>
      </c>
      <c r="K2598" s="1" t="s">
        <v>5486</v>
      </c>
      <c r="L2598" s="1" t="s">
        <v>5482</v>
      </c>
      <c r="M2598" s="1" t="s">
        <v>2150</v>
      </c>
      <c r="N2598" s="1" t="s">
        <v>38</v>
      </c>
      <c r="O2598" s="1" t="s">
        <v>1035</v>
      </c>
      <c r="P2598" s="1" t="s">
        <v>2154</v>
      </c>
      <c r="Q2598" s="1" t="s">
        <v>118</v>
      </c>
      <c r="R2598" s="1" t="s">
        <v>26</v>
      </c>
      <c r="S2598" s="1"/>
      <c r="U2598" s="1" t="s">
        <v>35</v>
      </c>
      <c r="V2598" s="1" t="s">
        <v>49</v>
      </c>
      <c r="W2598" s="1" t="str">
        <f>VLOOKUP(Table1[[#This Row],[Obergruppe ATC-Code]],Tabelle3!$A$2:$B$100,2)</f>
        <v>ANTIPARKINSONMITTEL</v>
      </c>
      <c r="X2598" s="1" t="str">
        <f xml:space="preserve"> LEFT(Table1[[#This Row],[Atc Code]],3)</f>
        <v>N04</v>
      </c>
    </row>
    <row r="2599" spans="1:24" ht="14.4">
      <c r="A2599" s="14">
        <v>1946</v>
      </c>
      <c r="B2599" s="24" t="s">
        <v>5487</v>
      </c>
      <c r="C2599" s="1">
        <v>2166340</v>
      </c>
      <c r="D2599" s="1" t="s">
        <v>25</v>
      </c>
      <c r="E2599" s="36">
        <v>44105</v>
      </c>
      <c r="F2599" s="36">
        <v>44316</v>
      </c>
      <c r="G2599" s="38">
        <f t="shared" si="40"/>
        <v>211</v>
      </c>
      <c r="H2599" s="5">
        <v>44113</v>
      </c>
      <c r="I2599" s="5">
        <v>44321</v>
      </c>
      <c r="J2599" s="1" t="s">
        <v>41</v>
      </c>
      <c r="K2599" s="1" t="s">
        <v>5488</v>
      </c>
      <c r="L2599" s="1" t="s">
        <v>5482</v>
      </c>
      <c r="M2599" s="1" t="s">
        <v>2150</v>
      </c>
      <c r="N2599" s="1" t="s">
        <v>30</v>
      </c>
      <c r="O2599" s="1" t="s">
        <v>45</v>
      </c>
      <c r="P2599" s="1" t="s">
        <v>2154</v>
      </c>
      <c r="Q2599" s="1" t="s">
        <v>118</v>
      </c>
      <c r="R2599" s="1" t="s">
        <v>26</v>
      </c>
      <c r="S2599" s="1"/>
      <c r="U2599" s="1" t="s">
        <v>35</v>
      </c>
      <c r="V2599" s="1" t="s">
        <v>49</v>
      </c>
      <c r="W2599" s="1" t="str">
        <f>VLOOKUP(Table1[[#This Row],[Obergruppe ATC-Code]],Tabelle3!$A$2:$B$100,2)</f>
        <v>ANTIPARKINSONMITTEL</v>
      </c>
      <c r="X2599" s="1" t="str">
        <f xml:space="preserve"> LEFT(Table1[[#This Row],[Atc Code]],3)</f>
        <v>N04</v>
      </c>
    </row>
    <row r="2600" spans="1:24" ht="14.4">
      <c r="A2600" s="14">
        <v>2013</v>
      </c>
      <c r="B2600" s="24" t="s">
        <v>5489</v>
      </c>
      <c r="C2600" s="1">
        <v>2143569</v>
      </c>
      <c r="D2600" s="1" t="s">
        <v>25</v>
      </c>
      <c r="E2600" s="36">
        <v>44823</v>
      </c>
      <c r="F2600" s="36">
        <v>44859</v>
      </c>
      <c r="G2600" s="38">
        <f t="shared" si="40"/>
        <v>36</v>
      </c>
      <c r="H2600" s="5">
        <v>44823</v>
      </c>
      <c r="I2600" s="5">
        <v>44859</v>
      </c>
      <c r="J2600" s="1" t="s">
        <v>26</v>
      </c>
      <c r="K2600" s="1" t="s">
        <v>5490</v>
      </c>
      <c r="L2600" s="1" t="s">
        <v>5482</v>
      </c>
      <c r="M2600" s="1" t="s">
        <v>2150</v>
      </c>
      <c r="N2600" s="1" t="s">
        <v>30</v>
      </c>
      <c r="O2600" s="1" t="s">
        <v>329</v>
      </c>
      <c r="P2600" s="1" t="s">
        <v>1259</v>
      </c>
      <c r="Q2600" s="1" t="s">
        <v>331</v>
      </c>
      <c r="R2600" s="1" t="s">
        <v>113</v>
      </c>
      <c r="S2600" s="1"/>
      <c r="U2600" s="1" t="s">
        <v>35</v>
      </c>
      <c r="V2600" s="1" t="s">
        <v>49</v>
      </c>
      <c r="W2600" s="1" t="str">
        <f>VLOOKUP(Table1[[#This Row],[Obergruppe ATC-Code]],Tabelle3!$A$2:$B$100,2)</f>
        <v>ANTIPARKINSONMITTEL</v>
      </c>
      <c r="X2600" s="1" t="str">
        <f xml:space="preserve"> LEFT(Table1[[#This Row],[Atc Code]],3)</f>
        <v>N04</v>
      </c>
    </row>
    <row r="2601" spans="1:24" ht="14.4">
      <c r="A2601" s="14">
        <v>1038</v>
      </c>
      <c r="B2601" s="24">
        <v>8873673</v>
      </c>
      <c r="C2601" s="1">
        <v>2708811</v>
      </c>
      <c r="D2601" s="1" t="s">
        <v>25</v>
      </c>
      <c r="E2601" s="36">
        <v>44424</v>
      </c>
      <c r="F2601" s="36">
        <v>44432</v>
      </c>
      <c r="G2601" s="38">
        <f t="shared" si="40"/>
        <v>8</v>
      </c>
      <c r="H2601" s="5">
        <v>44405</v>
      </c>
      <c r="I2601" s="5">
        <v>44449</v>
      </c>
      <c r="J2601" s="1" t="s">
        <v>41</v>
      </c>
      <c r="K2601" s="1" t="s">
        <v>5491</v>
      </c>
      <c r="L2601" s="1" t="s">
        <v>5492</v>
      </c>
      <c r="M2601" s="1" t="s">
        <v>5493</v>
      </c>
      <c r="N2601" s="1" t="s">
        <v>30</v>
      </c>
      <c r="O2601" s="1" t="s">
        <v>5333</v>
      </c>
      <c r="P2601" s="1" t="s">
        <v>5494</v>
      </c>
      <c r="Q2601" s="1" t="s">
        <v>868</v>
      </c>
      <c r="R2601" s="1" t="s">
        <v>128</v>
      </c>
      <c r="S2601" s="1" t="s">
        <v>5495</v>
      </c>
      <c r="T2601" s="1" t="s">
        <v>5496</v>
      </c>
      <c r="U2601" s="1" t="s">
        <v>130</v>
      </c>
      <c r="V2601" s="1" t="s">
        <v>236</v>
      </c>
      <c r="W2601" s="1" t="str">
        <f>VLOOKUP(Table1[[#This Row],[Obergruppe ATC-Code]],Tabelle3!$A$2:$B$100,2)</f>
        <v>ANTIPARKINSONMITTEL</v>
      </c>
      <c r="X2601" s="1" t="str">
        <f xml:space="preserve"> LEFT(Table1[[#This Row],[Atc Code]],3)</f>
        <v>N04</v>
      </c>
    </row>
    <row r="2602" spans="1:24" ht="14.4">
      <c r="A2602" s="14">
        <v>1037</v>
      </c>
      <c r="B2602" s="24">
        <v>8873667</v>
      </c>
      <c r="C2602" s="1">
        <v>2708809</v>
      </c>
      <c r="D2602" s="1" t="s">
        <v>25</v>
      </c>
      <c r="E2602" s="36">
        <v>44404</v>
      </c>
      <c r="F2602" s="36">
        <v>44432</v>
      </c>
      <c r="G2602" s="38">
        <f t="shared" si="40"/>
        <v>28</v>
      </c>
      <c r="H2602" s="5">
        <v>44405</v>
      </c>
      <c r="I2602" s="5">
        <v>44449</v>
      </c>
      <c r="J2602" s="1" t="s">
        <v>41</v>
      </c>
      <c r="K2602" s="1" t="s">
        <v>5497</v>
      </c>
      <c r="L2602" s="1" t="s">
        <v>5492</v>
      </c>
      <c r="M2602" s="1" t="s">
        <v>5493</v>
      </c>
      <c r="N2602" s="1" t="s">
        <v>30</v>
      </c>
      <c r="O2602" s="1" t="s">
        <v>5333</v>
      </c>
      <c r="P2602" s="1" t="s">
        <v>5494</v>
      </c>
      <c r="Q2602" s="1" t="s">
        <v>868</v>
      </c>
      <c r="R2602" s="1" t="s">
        <v>128</v>
      </c>
      <c r="S2602" s="1" t="s">
        <v>5498</v>
      </c>
      <c r="T2602" s="1" t="s">
        <v>5499</v>
      </c>
      <c r="U2602" s="1" t="s">
        <v>130</v>
      </c>
      <c r="V2602" s="1" t="s">
        <v>236</v>
      </c>
      <c r="W2602" s="1" t="str">
        <f>VLOOKUP(Table1[[#This Row],[Obergruppe ATC-Code]],Tabelle3!$A$2:$B$100,2)</f>
        <v>ANTIPARKINSONMITTEL</v>
      </c>
      <c r="X2602" s="1" t="str">
        <f xml:space="preserve"> LEFT(Table1[[#This Row],[Atc Code]],3)</f>
        <v>N04</v>
      </c>
    </row>
    <row r="2603" spans="1:24" ht="14.4">
      <c r="A2603" s="14">
        <v>1729</v>
      </c>
      <c r="B2603" s="24" t="s">
        <v>5500</v>
      </c>
      <c r="C2603" s="1">
        <v>2144336</v>
      </c>
      <c r="D2603" s="1" t="s">
        <v>102</v>
      </c>
      <c r="E2603" s="36">
        <v>44804</v>
      </c>
      <c r="F2603" s="36">
        <v>45291</v>
      </c>
      <c r="G2603" s="38">
        <f t="shared" si="40"/>
        <v>487</v>
      </c>
      <c r="H2603" s="5">
        <v>44804</v>
      </c>
      <c r="I2603" s="5">
        <v>45106</v>
      </c>
      <c r="J2603" s="1" t="s">
        <v>26</v>
      </c>
      <c r="K2603" s="1" t="s">
        <v>5501</v>
      </c>
      <c r="L2603" s="1" t="s">
        <v>5502</v>
      </c>
      <c r="M2603" s="1" t="s">
        <v>5503</v>
      </c>
      <c r="N2603" s="1" t="s">
        <v>38</v>
      </c>
      <c r="O2603" s="1" t="s">
        <v>110</v>
      </c>
      <c r="P2603" s="1">
        <v>49733396510</v>
      </c>
      <c r="Q2603" s="1" t="s">
        <v>112</v>
      </c>
      <c r="R2603" s="1" t="s">
        <v>113</v>
      </c>
      <c r="S2603" s="1"/>
      <c r="U2603" s="1" t="s">
        <v>130</v>
      </c>
      <c r="V2603" s="1" t="s">
        <v>49</v>
      </c>
      <c r="W2603" s="1" t="str">
        <f>VLOOKUP(Table1[[#This Row],[Obergruppe ATC-Code]],Tabelle3!$A$2:$B$100,2)</f>
        <v>ANTIPARKINSONMITTEL</v>
      </c>
      <c r="X2603" s="1" t="str">
        <f xml:space="preserve"> LEFT(Table1[[#This Row],[Atc Code]],3)</f>
        <v>N04</v>
      </c>
    </row>
    <row r="2604" spans="1:24" ht="14.4">
      <c r="A2604" s="14">
        <v>1286</v>
      </c>
      <c r="B2604" s="24">
        <v>11865329</v>
      </c>
      <c r="C2604" s="1">
        <v>2194220</v>
      </c>
      <c r="D2604" s="1" t="s">
        <v>25</v>
      </c>
      <c r="E2604" s="36">
        <v>43739</v>
      </c>
      <c r="F2604" s="36">
        <v>43921</v>
      </c>
      <c r="G2604" s="38">
        <f t="shared" si="40"/>
        <v>182</v>
      </c>
      <c r="H2604" s="5">
        <v>43780</v>
      </c>
      <c r="I2604" s="5">
        <v>43924</v>
      </c>
      <c r="J2604" s="1" t="s">
        <v>26</v>
      </c>
      <c r="K2604" s="1" t="s">
        <v>5504</v>
      </c>
      <c r="L2604" s="1" t="s">
        <v>5505</v>
      </c>
      <c r="M2604" s="1" t="s">
        <v>5506</v>
      </c>
      <c r="N2604" s="1" t="s">
        <v>38</v>
      </c>
      <c r="O2604" s="1" t="s">
        <v>1440</v>
      </c>
      <c r="P2604" s="1" t="s">
        <v>1441</v>
      </c>
      <c r="Q2604" s="1" t="s">
        <v>1442</v>
      </c>
      <c r="R2604" s="1" t="s">
        <v>33</v>
      </c>
      <c r="S2604" s="1"/>
      <c r="U2604" s="1" t="s">
        <v>35</v>
      </c>
      <c r="V2604" s="1" t="s">
        <v>49</v>
      </c>
      <c r="W2604" s="1" t="str">
        <f>VLOOKUP(Table1[[#This Row],[Obergruppe ATC-Code]],Tabelle3!$A$2:$B$100,2)</f>
        <v>ANTIPARKINSONMITTEL</v>
      </c>
      <c r="X2604" s="1" t="str">
        <f xml:space="preserve"> LEFT(Table1[[#This Row],[Atc Code]],3)</f>
        <v>N04</v>
      </c>
    </row>
    <row r="2605" spans="1:24" ht="14.4">
      <c r="A2605" s="14">
        <v>1287</v>
      </c>
      <c r="B2605" s="24">
        <v>11865329</v>
      </c>
      <c r="C2605" s="1">
        <v>2194220</v>
      </c>
      <c r="D2605" s="1" t="s">
        <v>25</v>
      </c>
      <c r="E2605" s="36">
        <v>44404</v>
      </c>
      <c r="F2605" s="36">
        <v>44435</v>
      </c>
      <c r="G2605" s="38">
        <f t="shared" si="40"/>
        <v>31</v>
      </c>
      <c r="H2605" s="5">
        <v>44410</v>
      </c>
      <c r="I2605" s="5">
        <v>44442</v>
      </c>
      <c r="J2605" s="1" t="s">
        <v>26</v>
      </c>
      <c r="K2605" s="1" t="s">
        <v>5504</v>
      </c>
      <c r="L2605" s="1" t="s">
        <v>5505</v>
      </c>
      <c r="M2605" s="1" t="s">
        <v>5506</v>
      </c>
      <c r="N2605" s="1" t="s">
        <v>38</v>
      </c>
      <c r="O2605" s="1" t="s">
        <v>1440</v>
      </c>
      <c r="P2605" s="1" t="s">
        <v>1907</v>
      </c>
      <c r="Q2605" s="1" t="s">
        <v>1541</v>
      </c>
      <c r="R2605" s="1" t="s">
        <v>113</v>
      </c>
      <c r="S2605" s="1"/>
      <c r="U2605" s="1" t="s">
        <v>130</v>
      </c>
      <c r="V2605" s="1" t="s">
        <v>49</v>
      </c>
      <c r="W2605" s="1" t="str">
        <f>VLOOKUP(Table1[[#This Row],[Obergruppe ATC-Code]],Tabelle3!$A$2:$B$100,2)</f>
        <v>ANTIPARKINSONMITTEL</v>
      </c>
      <c r="X2605" s="1" t="str">
        <f xml:space="preserve"> LEFT(Table1[[#This Row],[Atc Code]],3)</f>
        <v>N04</v>
      </c>
    </row>
    <row r="2606" spans="1:24" ht="14.4">
      <c r="A2606" s="14">
        <v>2695</v>
      </c>
      <c r="B2606" s="24" t="s">
        <v>5507</v>
      </c>
      <c r="C2606" s="1">
        <v>2194220</v>
      </c>
      <c r="D2606" s="1" t="s">
        <v>102</v>
      </c>
      <c r="E2606" s="36">
        <v>44928</v>
      </c>
      <c r="F2606" s="36">
        <v>45261</v>
      </c>
      <c r="G2606" s="38">
        <f t="shared" si="40"/>
        <v>333</v>
      </c>
      <c r="H2606" s="5">
        <v>44946</v>
      </c>
      <c r="I2606" s="5">
        <v>45177</v>
      </c>
      <c r="J2606" s="1" t="s">
        <v>26</v>
      </c>
      <c r="K2606" s="1" t="s">
        <v>5504</v>
      </c>
      <c r="L2606" s="1" t="s">
        <v>5505</v>
      </c>
      <c r="M2606" s="1" t="s">
        <v>5506</v>
      </c>
      <c r="N2606" s="1" t="s">
        <v>38</v>
      </c>
      <c r="O2606" s="1" t="s">
        <v>1440</v>
      </c>
      <c r="P2606" s="1" t="s">
        <v>1540</v>
      </c>
      <c r="Q2606" s="1" t="s">
        <v>1916</v>
      </c>
      <c r="R2606" s="1" t="s">
        <v>732</v>
      </c>
      <c r="S2606" s="1" t="s">
        <v>5508</v>
      </c>
      <c r="U2606" s="1" t="s">
        <v>35</v>
      </c>
      <c r="V2606" s="1" t="s">
        <v>49</v>
      </c>
      <c r="W2606" s="1" t="str">
        <f>VLOOKUP(Table1[[#This Row],[Obergruppe ATC-Code]],Tabelle3!$A$2:$B$100,2)</f>
        <v>ANTIPARKINSONMITTEL</v>
      </c>
      <c r="X2606" s="1" t="str">
        <f xml:space="preserve"> LEFT(Table1[[#This Row],[Atc Code]],3)</f>
        <v>N04</v>
      </c>
    </row>
    <row r="2607" spans="1:24" ht="14.4">
      <c r="A2607" s="14">
        <v>2709</v>
      </c>
      <c r="B2607" s="24" t="s">
        <v>5509</v>
      </c>
      <c r="C2607" s="1">
        <v>2712065</v>
      </c>
      <c r="D2607" s="1" t="s">
        <v>25</v>
      </c>
      <c r="E2607" s="36">
        <v>43800</v>
      </c>
      <c r="F2607" s="36">
        <v>43890</v>
      </c>
      <c r="G2607" s="38">
        <f t="shared" si="40"/>
        <v>90</v>
      </c>
      <c r="H2607" s="5">
        <v>43755</v>
      </c>
      <c r="I2607" s="5">
        <v>43893</v>
      </c>
      <c r="J2607" s="1" t="s">
        <v>41</v>
      </c>
      <c r="K2607" s="1" t="s">
        <v>5510</v>
      </c>
      <c r="L2607" s="1" t="s">
        <v>5511</v>
      </c>
      <c r="M2607" s="1" t="s">
        <v>5512</v>
      </c>
      <c r="N2607" s="1" t="s">
        <v>38</v>
      </c>
      <c r="O2607" s="1" t="s">
        <v>5513</v>
      </c>
      <c r="P2607" s="1" t="s">
        <v>5514</v>
      </c>
      <c r="Q2607" s="1" t="s">
        <v>5515</v>
      </c>
      <c r="R2607" s="1" t="s">
        <v>26</v>
      </c>
      <c r="S2607" s="1"/>
      <c r="U2607" s="1" t="s">
        <v>35</v>
      </c>
      <c r="V2607" s="1" t="s">
        <v>262</v>
      </c>
      <c r="W2607" s="1" t="str">
        <f>VLOOKUP(Table1[[#This Row],[Obergruppe ATC-Code]],Tabelle3!$A$2:$B$100,2)</f>
        <v>ANTIPARKINSONMITTEL</v>
      </c>
      <c r="X2607" s="1" t="str">
        <f xml:space="preserve"> LEFT(Table1[[#This Row],[Atc Code]],3)</f>
        <v>N04</v>
      </c>
    </row>
    <row r="2608" spans="1:24" ht="14.4">
      <c r="A2608" s="14">
        <v>2710</v>
      </c>
      <c r="B2608" s="24" t="s">
        <v>5509</v>
      </c>
      <c r="C2608" s="1">
        <v>2712069</v>
      </c>
      <c r="D2608" s="1" t="s">
        <v>25</v>
      </c>
      <c r="E2608" s="36">
        <v>43800</v>
      </c>
      <c r="F2608" s="36">
        <v>43890</v>
      </c>
      <c r="G2608" s="38">
        <f t="shared" si="40"/>
        <v>90</v>
      </c>
      <c r="H2608" s="5">
        <v>43755</v>
      </c>
      <c r="I2608" s="5">
        <v>43893</v>
      </c>
      <c r="J2608" s="1" t="s">
        <v>41</v>
      </c>
      <c r="K2608" s="1" t="s">
        <v>5516</v>
      </c>
      <c r="L2608" s="1" t="s">
        <v>5511</v>
      </c>
      <c r="M2608" s="1" t="s">
        <v>5512</v>
      </c>
      <c r="N2608" s="1" t="s">
        <v>38</v>
      </c>
      <c r="O2608" s="1" t="s">
        <v>5513</v>
      </c>
      <c r="P2608" s="1" t="s">
        <v>5514</v>
      </c>
      <c r="Q2608" s="1" t="s">
        <v>5515</v>
      </c>
      <c r="R2608" s="1" t="s">
        <v>26</v>
      </c>
      <c r="S2608" s="1"/>
      <c r="U2608" s="1" t="s">
        <v>35</v>
      </c>
      <c r="V2608" s="1" t="s">
        <v>262</v>
      </c>
      <c r="W2608" s="1" t="str">
        <f>VLOOKUP(Table1[[#This Row],[Obergruppe ATC-Code]],Tabelle3!$A$2:$B$100,2)</f>
        <v>ANTIPARKINSONMITTEL</v>
      </c>
      <c r="X2608" s="1" t="str">
        <f xml:space="preserve"> LEFT(Table1[[#This Row],[Atc Code]],3)</f>
        <v>N04</v>
      </c>
    </row>
    <row r="2609" spans="1:24" ht="14.4">
      <c r="A2609" s="14">
        <v>3011</v>
      </c>
      <c r="B2609" s="24" t="s">
        <v>5517</v>
      </c>
      <c r="C2609" s="1">
        <v>397291</v>
      </c>
      <c r="D2609" s="1" t="s">
        <v>25</v>
      </c>
      <c r="E2609" s="36">
        <v>43466</v>
      </c>
      <c r="F2609" s="36">
        <v>43830</v>
      </c>
      <c r="G2609" s="38">
        <f t="shared" si="40"/>
        <v>364</v>
      </c>
      <c r="H2609" s="5">
        <v>43482</v>
      </c>
      <c r="I2609" s="5">
        <v>43837</v>
      </c>
      <c r="J2609" s="1" t="s">
        <v>41</v>
      </c>
      <c r="K2609" s="1" t="s">
        <v>5518</v>
      </c>
      <c r="L2609" s="1" t="s">
        <v>5519</v>
      </c>
      <c r="M2609" s="1" t="s">
        <v>5520</v>
      </c>
      <c r="N2609" s="1" t="s">
        <v>30</v>
      </c>
      <c r="O2609" s="1" t="s">
        <v>91</v>
      </c>
      <c r="P2609" s="1" t="s">
        <v>374</v>
      </c>
      <c r="Q2609" s="1" t="s">
        <v>375</v>
      </c>
      <c r="R2609" s="1" t="s">
        <v>26</v>
      </c>
      <c r="S2609" s="1"/>
      <c r="U2609" s="1" t="s">
        <v>35</v>
      </c>
      <c r="V2609" s="1" t="s">
        <v>639</v>
      </c>
      <c r="W2609" s="1" t="str">
        <f>VLOOKUP(Table1[[#This Row],[Obergruppe ATC-Code]],Tabelle3!$A$2:$B$100,2)</f>
        <v>PSYCHOLEPTIKA</v>
      </c>
      <c r="X2609" s="1" t="str">
        <f xml:space="preserve"> LEFT(Table1[[#This Row],[Atc Code]],3)</f>
        <v>N05</v>
      </c>
    </row>
    <row r="2610" spans="1:24" ht="14.4">
      <c r="A2610" s="14">
        <v>2386</v>
      </c>
      <c r="B2610" s="24" t="s">
        <v>5521</v>
      </c>
      <c r="C2610" s="1">
        <v>2134066</v>
      </c>
      <c r="D2610" s="1" t="s">
        <v>102</v>
      </c>
      <c r="E2610" s="36">
        <v>44651</v>
      </c>
      <c r="F2610" s="36">
        <v>45291</v>
      </c>
      <c r="G2610" s="38">
        <f t="shared" si="40"/>
        <v>640</v>
      </c>
      <c r="H2610" s="5">
        <v>44875</v>
      </c>
      <c r="I2610" s="5">
        <v>44875</v>
      </c>
      <c r="J2610" s="1" t="s">
        <v>41</v>
      </c>
      <c r="K2610" s="1" t="s">
        <v>5522</v>
      </c>
      <c r="L2610" s="1" t="s">
        <v>5523</v>
      </c>
      <c r="M2610" s="1" t="s">
        <v>5524</v>
      </c>
      <c r="N2610" s="1" t="s">
        <v>38</v>
      </c>
      <c r="O2610" s="1" t="s">
        <v>5179</v>
      </c>
      <c r="Q2610" s="1" t="s">
        <v>5525</v>
      </c>
      <c r="R2610" s="1" t="s">
        <v>128</v>
      </c>
      <c r="S2610" s="1"/>
      <c r="U2610" s="1" t="s">
        <v>35</v>
      </c>
      <c r="V2610" s="1" t="s">
        <v>74</v>
      </c>
      <c r="W2610" s="1" t="str">
        <f>VLOOKUP(Table1[[#This Row],[Obergruppe ATC-Code]],Tabelle3!$A$2:$B$100,2)</f>
        <v>PSYCHOLEPTIKA</v>
      </c>
      <c r="X2610" s="1" t="str">
        <f xml:space="preserve"> LEFT(Table1[[#This Row],[Atc Code]],3)</f>
        <v>N05</v>
      </c>
    </row>
    <row r="2611" spans="1:24" ht="14.4">
      <c r="A2611" s="14">
        <v>2385</v>
      </c>
      <c r="B2611" s="24" t="s">
        <v>5526</v>
      </c>
      <c r="C2611" s="1">
        <v>2134065</v>
      </c>
      <c r="D2611" s="1" t="s">
        <v>102</v>
      </c>
      <c r="E2611" s="36">
        <v>44773</v>
      </c>
      <c r="F2611" s="36">
        <v>45291</v>
      </c>
      <c r="G2611" s="38">
        <f t="shared" si="40"/>
        <v>518</v>
      </c>
      <c r="H2611" s="5">
        <v>44875</v>
      </c>
      <c r="I2611" s="5">
        <v>44875</v>
      </c>
      <c r="J2611" s="1" t="s">
        <v>41</v>
      </c>
      <c r="K2611" s="1" t="s">
        <v>5527</v>
      </c>
      <c r="L2611" s="1" t="s">
        <v>5523</v>
      </c>
      <c r="M2611" s="1" t="s">
        <v>5524</v>
      </c>
      <c r="N2611" s="1" t="s">
        <v>38</v>
      </c>
      <c r="O2611" s="1" t="s">
        <v>5179</v>
      </c>
      <c r="Q2611" s="1" t="s">
        <v>5525</v>
      </c>
      <c r="R2611" s="1" t="s">
        <v>128</v>
      </c>
      <c r="S2611" s="1"/>
      <c r="U2611" s="1" t="s">
        <v>35</v>
      </c>
      <c r="V2611" s="1" t="s">
        <v>74</v>
      </c>
      <c r="W2611" s="1" t="str">
        <f>VLOOKUP(Table1[[#This Row],[Obergruppe ATC-Code]],Tabelle3!$A$2:$B$100,2)</f>
        <v>PSYCHOLEPTIKA</v>
      </c>
      <c r="X2611" s="1" t="str">
        <f xml:space="preserve"> LEFT(Table1[[#This Row],[Atc Code]],3)</f>
        <v>N05</v>
      </c>
    </row>
    <row r="2612" spans="1:24" ht="14.4">
      <c r="A2612" s="14">
        <v>2189</v>
      </c>
      <c r="B2612" s="24" t="s">
        <v>5528</v>
      </c>
      <c r="C2612" s="1">
        <v>2122199</v>
      </c>
      <c r="D2612" s="1" t="s">
        <v>102</v>
      </c>
      <c r="E2612" s="36">
        <v>44865</v>
      </c>
      <c r="F2612" s="36">
        <v>45291</v>
      </c>
      <c r="G2612" s="38">
        <f t="shared" si="40"/>
        <v>426</v>
      </c>
      <c r="H2612" s="5">
        <v>44875</v>
      </c>
      <c r="I2612" s="5">
        <v>44875</v>
      </c>
      <c r="J2612" s="1" t="s">
        <v>41</v>
      </c>
      <c r="K2612" s="1" t="s">
        <v>5529</v>
      </c>
      <c r="L2612" s="1" t="s">
        <v>5523</v>
      </c>
      <c r="M2612" s="1" t="s">
        <v>5524</v>
      </c>
      <c r="N2612" s="1" t="s">
        <v>38</v>
      </c>
      <c r="O2612" s="1" t="s">
        <v>5179</v>
      </c>
      <c r="Q2612" s="1" t="s">
        <v>5525</v>
      </c>
      <c r="R2612" s="1" t="s">
        <v>128</v>
      </c>
      <c r="S2612" s="1"/>
      <c r="U2612" s="1" t="s">
        <v>35</v>
      </c>
      <c r="V2612" s="1" t="s">
        <v>74</v>
      </c>
      <c r="W2612" s="1" t="str">
        <f>VLOOKUP(Table1[[#This Row],[Obergruppe ATC-Code]],Tabelle3!$A$2:$B$100,2)</f>
        <v>PSYCHOLEPTIKA</v>
      </c>
      <c r="X2612" s="1" t="str">
        <f xml:space="preserve"> LEFT(Table1[[#This Row],[Atc Code]],3)</f>
        <v>N05</v>
      </c>
    </row>
    <row r="2613" spans="1:24" ht="14.4">
      <c r="A2613" s="14">
        <v>2188</v>
      </c>
      <c r="B2613" s="24" t="s">
        <v>5530</v>
      </c>
      <c r="C2613" s="1">
        <v>2122198</v>
      </c>
      <c r="D2613" s="1" t="s">
        <v>102</v>
      </c>
      <c r="E2613" s="36">
        <v>44681</v>
      </c>
      <c r="F2613" s="36">
        <v>45291</v>
      </c>
      <c r="G2613" s="38">
        <f t="shared" si="40"/>
        <v>610</v>
      </c>
      <c r="H2613" s="5">
        <v>44875</v>
      </c>
      <c r="I2613" s="5">
        <v>44875</v>
      </c>
      <c r="J2613" s="1" t="s">
        <v>41</v>
      </c>
      <c r="K2613" s="1" t="s">
        <v>5531</v>
      </c>
      <c r="L2613" s="1" t="s">
        <v>5523</v>
      </c>
      <c r="M2613" s="1" t="s">
        <v>5524</v>
      </c>
      <c r="N2613" s="1" t="s">
        <v>38</v>
      </c>
      <c r="O2613" s="1" t="s">
        <v>5179</v>
      </c>
      <c r="Q2613" s="1" t="s">
        <v>5525</v>
      </c>
      <c r="R2613" s="1" t="s">
        <v>128</v>
      </c>
      <c r="S2613" s="1"/>
      <c r="U2613" s="1" t="s">
        <v>35</v>
      </c>
      <c r="V2613" s="1" t="s">
        <v>74</v>
      </c>
      <c r="W2613" s="1" t="str">
        <f>VLOOKUP(Table1[[#This Row],[Obergruppe ATC-Code]],Tabelle3!$A$2:$B$100,2)</f>
        <v>PSYCHOLEPTIKA</v>
      </c>
      <c r="X2613" s="1" t="str">
        <f xml:space="preserve"> LEFT(Table1[[#This Row],[Atc Code]],3)</f>
        <v>N05</v>
      </c>
    </row>
    <row r="2614" spans="1:24" ht="14.4">
      <c r="A2614" s="14">
        <v>295</v>
      </c>
      <c r="B2614" s="24">
        <v>1852277</v>
      </c>
      <c r="C2614" s="1">
        <v>2146515</v>
      </c>
      <c r="D2614" s="1" t="s">
        <v>102</v>
      </c>
      <c r="E2614" s="36">
        <v>44834</v>
      </c>
      <c r="F2614" s="36">
        <v>45291</v>
      </c>
      <c r="G2614" s="38">
        <f t="shared" si="40"/>
        <v>457</v>
      </c>
      <c r="H2614" s="5">
        <v>44875</v>
      </c>
      <c r="I2614" s="5">
        <v>44875</v>
      </c>
      <c r="J2614" s="1" t="s">
        <v>41</v>
      </c>
      <c r="K2614" s="1" t="s">
        <v>5532</v>
      </c>
      <c r="L2614" s="1" t="s">
        <v>5523</v>
      </c>
      <c r="M2614" s="1" t="s">
        <v>5524</v>
      </c>
      <c r="N2614" s="1" t="s">
        <v>38</v>
      </c>
      <c r="O2614" s="1" t="s">
        <v>5179</v>
      </c>
      <c r="Q2614" s="1" t="s">
        <v>5525</v>
      </c>
      <c r="R2614" s="1" t="s">
        <v>128</v>
      </c>
      <c r="S2614" s="1"/>
      <c r="U2614" s="1" t="s">
        <v>35</v>
      </c>
      <c r="V2614" s="1" t="s">
        <v>74</v>
      </c>
      <c r="W2614" s="1" t="str">
        <f>VLOOKUP(Table1[[#This Row],[Obergruppe ATC-Code]],Tabelle3!$A$2:$B$100,2)</f>
        <v>PSYCHOLEPTIKA</v>
      </c>
      <c r="X2614" s="1" t="str">
        <f xml:space="preserve"> LEFT(Table1[[#This Row],[Atc Code]],3)</f>
        <v>N05</v>
      </c>
    </row>
    <row r="2615" spans="1:24" ht="14.4">
      <c r="A2615" s="14">
        <v>1943</v>
      </c>
      <c r="B2615" s="24" t="s">
        <v>5533</v>
      </c>
      <c r="C2615" s="1">
        <v>525926</v>
      </c>
      <c r="D2615" s="1" t="s">
        <v>25</v>
      </c>
      <c r="E2615" s="36">
        <v>44868</v>
      </c>
      <c r="F2615" s="36">
        <v>45163</v>
      </c>
      <c r="G2615" s="38">
        <f t="shared" si="40"/>
        <v>295</v>
      </c>
      <c r="H2615" s="5">
        <v>45006</v>
      </c>
      <c r="I2615" s="5">
        <v>45163</v>
      </c>
      <c r="J2615" s="1" t="s">
        <v>41</v>
      </c>
      <c r="K2615" s="1" t="s">
        <v>5534</v>
      </c>
      <c r="L2615" s="1" t="s">
        <v>5535</v>
      </c>
      <c r="M2615" s="1" t="s">
        <v>5536</v>
      </c>
      <c r="N2615" s="1" t="s">
        <v>38</v>
      </c>
      <c r="O2615" s="1" t="s">
        <v>5179</v>
      </c>
      <c r="P2615" s="1" t="s">
        <v>5180</v>
      </c>
      <c r="Q2615" s="1" t="s">
        <v>5181</v>
      </c>
      <c r="R2615" s="1" t="s">
        <v>165</v>
      </c>
      <c r="S2615" s="1"/>
      <c r="U2615" s="1" t="s">
        <v>35</v>
      </c>
      <c r="V2615" s="1" t="s">
        <v>49</v>
      </c>
      <c r="W2615" s="1" t="str">
        <f>VLOOKUP(Table1[[#This Row],[Obergruppe ATC-Code]],Tabelle3!$A$2:$B$100,2)</f>
        <v>PSYCHOLEPTIKA</v>
      </c>
      <c r="X2615" s="1" t="str">
        <f xml:space="preserve"> LEFT(Table1[[#This Row],[Atc Code]],3)</f>
        <v>N05</v>
      </c>
    </row>
    <row r="2616" spans="1:24" ht="14.4">
      <c r="A2616" s="14">
        <v>3184</v>
      </c>
      <c r="B2616" s="1">
        <v>667069</v>
      </c>
      <c r="C2616" s="1">
        <v>523577</v>
      </c>
      <c r="D2616" s="1" t="s">
        <v>25</v>
      </c>
      <c r="E2616" s="36">
        <v>43891</v>
      </c>
      <c r="F2616" s="36">
        <v>43982</v>
      </c>
      <c r="G2616" s="38">
        <f t="shared" si="40"/>
        <v>91</v>
      </c>
      <c r="H2616" s="5">
        <v>43908</v>
      </c>
      <c r="I2616" s="5">
        <v>43986</v>
      </c>
      <c r="J2616" s="1" t="s">
        <v>26</v>
      </c>
      <c r="K2616" s="1" t="s">
        <v>5537</v>
      </c>
      <c r="L2616" s="1" t="s">
        <v>5538</v>
      </c>
      <c r="M2616" s="1" t="s">
        <v>5539</v>
      </c>
      <c r="N2616" s="1" t="s">
        <v>38</v>
      </c>
      <c r="O2616" s="1" t="s">
        <v>1035</v>
      </c>
      <c r="P2616" s="1" t="s">
        <v>104</v>
      </c>
      <c r="Q2616" s="1" t="s">
        <v>105</v>
      </c>
      <c r="R2616" s="1" t="s">
        <v>33</v>
      </c>
      <c r="S2616" s="1"/>
      <c r="U2616" s="1" t="s">
        <v>35</v>
      </c>
      <c r="V2616" s="1" t="s">
        <v>359</v>
      </c>
      <c r="W2616" s="1" t="str">
        <f>VLOOKUP(Table1[[#This Row],[Obergruppe ATC-Code]],Tabelle3!$A$2:$B$100,2)</f>
        <v>PSYCHOLEPTIKA</v>
      </c>
      <c r="X2616" s="1" t="str">
        <f xml:space="preserve"> LEFT(Table1[[#This Row],[Atc Code]],3)</f>
        <v>N05</v>
      </c>
    </row>
    <row r="2617" spans="1:24" ht="14.4">
      <c r="A2617" s="14">
        <v>3183</v>
      </c>
      <c r="B2617" s="24" t="s">
        <v>5540</v>
      </c>
      <c r="C2617" s="1">
        <v>523548</v>
      </c>
      <c r="D2617" s="1" t="s">
        <v>25</v>
      </c>
      <c r="E2617" s="36">
        <v>43891</v>
      </c>
      <c r="F2617" s="36">
        <v>44561</v>
      </c>
      <c r="G2617" s="38">
        <f t="shared" si="40"/>
        <v>670</v>
      </c>
      <c r="H2617" s="5">
        <v>43908</v>
      </c>
      <c r="I2617" s="5">
        <v>44148</v>
      </c>
      <c r="J2617" s="1" t="s">
        <v>26</v>
      </c>
      <c r="K2617" s="1" t="s">
        <v>5541</v>
      </c>
      <c r="L2617" s="1" t="s">
        <v>5538</v>
      </c>
      <c r="M2617" s="1" t="s">
        <v>5539</v>
      </c>
      <c r="N2617" s="1" t="s">
        <v>38</v>
      </c>
      <c r="O2617" s="1" t="s">
        <v>1035</v>
      </c>
      <c r="P2617" s="1" t="s">
        <v>104</v>
      </c>
      <c r="Q2617" s="1" t="s">
        <v>105</v>
      </c>
      <c r="R2617" s="1" t="s">
        <v>33</v>
      </c>
      <c r="S2617" s="1"/>
      <c r="U2617" s="1" t="s">
        <v>35</v>
      </c>
      <c r="V2617" s="1" t="s">
        <v>359</v>
      </c>
      <c r="W2617" s="1" t="str">
        <f>VLOOKUP(Table1[[#This Row],[Obergruppe ATC-Code]],Tabelle3!$A$2:$B$100,2)</f>
        <v>PSYCHOLEPTIKA</v>
      </c>
      <c r="X2617" s="1" t="str">
        <f xml:space="preserve"> LEFT(Table1[[#This Row],[Atc Code]],3)</f>
        <v>N05</v>
      </c>
    </row>
    <row r="2618" spans="1:24" ht="14.4">
      <c r="A2618" s="14">
        <v>2141</v>
      </c>
      <c r="B2618" s="24" t="s">
        <v>5542</v>
      </c>
      <c r="C2618" s="1">
        <v>2114921</v>
      </c>
      <c r="D2618" s="1" t="s">
        <v>25</v>
      </c>
      <c r="E2618" s="36">
        <v>44228</v>
      </c>
      <c r="F2618" s="36">
        <v>44433</v>
      </c>
      <c r="G2618" s="38">
        <f t="shared" si="40"/>
        <v>205</v>
      </c>
      <c r="H2618" s="5">
        <v>44249</v>
      </c>
      <c r="I2618" s="5">
        <v>44433</v>
      </c>
      <c r="J2618" s="1" t="s">
        <v>26</v>
      </c>
      <c r="K2618" s="1" t="s">
        <v>5543</v>
      </c>
      <c r="L2618" s="1" t="s">
        <v>5544</v>
      </c>
      <c r="M2618" s="1" t="s">
        <v>5545</v>
      </c>
      <c r="N2618" s="1" t="s">
        <v>30</v>
      </c>
      <c r="O2618" s="1" t="s">
        <v>45</v>
      </c>
      <c r="P2618" s="1" t="s">
        <v>104</v>
      </c>
      <c r="Q2618" s="1" t="s">
        <v>118</v>
      </c>
      <c r="R2618" s="1" t="s">
        <v>33</v>
      </c>
      <c r="S2618" s="1"/>
      <c r="U2618" s="1" t="s">
        <v>35</v>
      </c>
      <c r="V2618" s="1" t="s">
        <v>49</v>
      </c>
      <c r="W2618" s="1" t="str">
        <f>VLOOKUP(Table1[[#This Row],[Obergruppe ATC-Code]],Tabelle3!$A$2:$B$100,2)</f>
        <v>PSYCHOLEPTIKA</v>
      </c>
      <c r="X2618" s="1" t="str">
        <f xml:space="preserve"> LEFT(Table1[[#This Row],[Atc Code]],3)</f>
        <v>N05</v>
      </c>
    </row>
    <row r="2619" spans="1:24" ht="14.4">
      <c r="A2619" s="14">
        <v>408</v>
      </c>
      <c r="B2619" s="24">
        <v>2478148</v>
      </c>
      <c r="C2619" s="1">
        <v>762187</v>
      </c>
      <c r="D2619" s="1" t="s">
        <v>25</v>
      </c>
      <c r="E2619" s="36">
        <v>44439</v>
      </c>
      <c r="F2619" s="36">
        <v>44476</v>
      </c>
      <c r="G2619" s="38">
        <f t="shared" si="40"/>
        <v>37</v>
      </c>
      <c r="H2619" s="5">
        <v>44431</v>
      </c>
      <c r="I2619" s="5">
        <v>44476</v>
      </c>
      <c r="J2619" s="1" t="s">
        <v>26</v>
      </c>
      <c r="K2619" s="1" t="s">
        <v>5546</v>
      </c>
      <c r="L2619" s="1" t="s">
        <v>5544</v>
      </c>
      <c r="M2619" s="1" t="s">
        <v>5545</v>
      </c>
      <c r="N2619" s="1" t="s">
        <v>30</v>
      </c>
      <c r="O2619" s="1" t="s">
        <v>347</v>
      </c>
      <c r="P2619" s="1" t="s">
        <v>744</v>
      </c>
      <c r="Q2619" s="1" t="s">
        <v>745</v>
      </c>
      <c r="R2619" s="1" t="s">
        <v>26</v>
      </c>
      <c r="S2619" s="1" t="s">
        <v>5547</v>
      </c>
      <c r="T2619" s="1" t="s">
        <v>5548</v>
      </c>
      <c r="U2619" s="1" t="s">
        <v>35</v>
      </c>
      <c r="V2619" s="1" t="s">
        <v>49</v>
      </c>
      <c r="W2619" s="1" t="str">
        <f>VLOOKUP(Table1[[#This Row],[Obergruppe ATC-Code]],Tabelle3!$A$2:$B$100,2)</f>
        <v>PSYCHOLEPTIKA</v>
      </c>
      <c r="X2619" s="1" t="str">
        <f xml:space="preserve"> LEFT(Table1[[#This Row],[Atc Code]],3)</f>
        <v>N05</v>
      </c>
    </row>
    <row r="2620" spans="1:24" ht="14.4">
      <c r="A2620" s="14">
        <v>665</v>
      </c>
      <c r="B2620" s="24">
        <v>4334146</v>
      </c>
      <c r="C2620" s="1">
        <v>2114922</v>
      </c>
      <c r="D2620" s="1" t="s">
        <v>25</v>
      </c>
      <c r="E2620" s="36">
        <v>44228</v>
      </c>
      <c r="F2620" s="36">
        <v>44512</v>
      </c>
      <c r="G2620" s="38">
        <f t="shared" si="40"/>
        <v>284</v>
      </c>
      <c r="H2620" s="5">
        <v>44249</v>
      </c>
      <c r="I2620" s="5">
        <v>44515</v>
      </c>
      <c r="J2620" s="1" t="s">
        <v>26</v>
      </c>
      <c r="K2620" s="1" t="s">
        <v>5549</v>
      </c>
      <c r="L2620" s="1" t="s">
        <v>5544</v>
      </c>
      <c r="M2620" s="1" t="s">
        <v>5545</v>
      </c>
      <c r="N2620" s="1" t="s">
        <v>30</v>
      </c>
      <c r="O2620" s="1" t="s">
        <v>45</v>
      </c>
      <c r="P2620" s="1" t="s">
        <v>104</v>
      </c>
      <c r="Q2620" s="1" t="s">
        <v>118</v>
      </c>
      <c r="R2620" s="1" t="s">
        <v>33</v>
      </c>
      <c r="S2620" s="1"/>
      <c r="U2620" s="1" t="s">
        <v>35</v>
      </c>
      <c r="V2620" s="1" t="s">
        <v>49</v>
      </c>
      <c r="W2620" s="1" t="str">
        <f>VLOOKUP(Table1[[#This Row],[Obergruppe ATC-Code]],Tabelle3!$A$2:$B$100,2)</f>
        <v>PSYCHOLEPTIKA</v>
      </c>
      <c r="X2620" s="1" t="str">
        <f xml:space="preserve"> LEFT(Table1[[#This Row],[Atc Code]],3)</f>
        <v>N05</v>
      </c>
    </row>
    <row r="2621" spans="1:24" ht="14.4">
      <c r="A2621" s="14">
        <v>2023</v>
      </c>
      <c r="B2621" s="24" t="s">
        <v>5550</v>
      </c>
      <c r="C2621" s="1">
        <v>2107819</v>
      </c>
      <c r="D2621" s="1" t="s">
        <v>25</v>
      </c>
      <c r="E2621" s="36">
        <v>44390</v>
      </c>
      <c r="F2621" s="36">
        <v>44518</v>
      </c>
      <c r="G2621" s="38">
        <f t="shared" si="40"/>
        <v>128</v>
      </c>
      <c r="H2621" s="5">
        <v>44421</v>
      </c>
      <c r="I2621" s="5">
        <v>44567</v>
      </c>
      <c r="J2621" s="1" t="s">
        <v>26</v>
      </c>
      <c r="K2621" s="1" t="s">
        <v>5551</v>
      </c>
      <c r="L2621" s="1" t="s">
        <v>5544</v>
      </c>
      <c r="M2621" s="1" t="s">
        <v>5545</v>
      </c>
      <c r="N2621" s="1" t="s">
        <v>30</v>
      </c>
      <c r="O2621" s="1" t="s">
        <v>5552</v>
      </c>
      <c r="Q2621" s="1" t="s">
        <v>5181</v>
      </c>
      <c r="R2621" s="1" t="s">
        <v>33</v>
      </c>
      <c r="S2621" s="1"/>
      <c r="U2621" s="1" t="s">
        <v>35</v>
      </c>
      <c r="V2621" s="1" t="s">
        <v>49</v>
      </c>
      <c r="W2621" s="1" t="str">
        <f>VLOOKUP(Table1[[#This Row],[Obergruppe ATC-Code]],Tabelle3!$A$2:$B$100,2)</f>
        <v>PSYCHOLEPTIKA</v>
      </c>
      <c r="X2621" s="1" t="str">
        <f xml:space="preserve"> LEFT(Table1[[#This Row],[Atc Code]],3)</f>
        <v>N05</v>
      </c>
    </row>
    <row r="2622" spans="1:24" ht="14.4">
      <c r="A2622" s="14">
        <v>2184</v>
      </c>
      <c r="B2622" s="24" t="s">
        <v>5553</v>
      </c>
      <c r="C2622" s="1">
        <v>2155123</v>
      </c>
      <c r="D2622" s="1" t="s">
        <v>175</v>
      </c>
      <c r="E2622" s="36">
        <v>45006</v>
      </c>
      <c r="F2622" s="36">
        <v>45199</v>
      </c>
      <c r="G2622" s="38">
        <f t="shared" si="40"/>
        <v>193</v>
      </c>
      <c r="H2622" s="5">
        <v>45006</v>
      </c>
      <c r="I2622" s="5">
        <v>45006</v>
      </c>
      <c r="J2622" s="1" t="s">
        <v>41</v>
      </c>
      <c r="K2622" s="1" t="s">
        <v>5554</v>
      </c>
      <c r="L2622" s="1" t="s">
        <v>5544</v>
      </c>
      <c r="M2622" s="1" t="s">
        <v>5555</v>
      </c>
      <c r="N2622" s="1" t="s">
        <v>38</v>
      </c>
      <c r="O2622" s="1" t="s">
        <v>5179</v>
      </c>
      <c r="P2622" s="1" t="s">
        <v>5556</v>
      </c>
      <c r="Q2622" s="1" t="s">
        <v>5181</v>
      </c>
      <c r="R2622" s="1" t="s">
        <v>128</v>
      </c>
      <c r="S2622" s="1"/>
      <c r="U2622" s="1" t="s">
        <v>35</v>
      </c>
      <c r="V2622" s="1" t="s">
        <v>74</v>
      </c>
      <c r="W2622" s="1" t="str">
        <f>VLOOKUP(Table1[[#This Row],[Obergruppe ATC-Code]],Tabelle3!$A$2:$B$100,2)</f>
        <v>PSYCHOLEPTIKA</v>
      </c>
      <c r="X2622" s="1" t="str">
        <f xml:space="preserve"> LEFT(Table1[[#This Row],[Atc Code]],3)</f>
        <v>N05</v>
      </c>
    </row>
    <row r="2623" spans="1:24" ht="14.4">
      <c r="A2623" s="14">
        <v>1849</v>
      </c>
      <c r="B2623" s="24" t="s">
        <v>5557</v>
      </c>
      <c r="C2623" s="1">
        <v>2155124</v>
      </c>
      <c r="D2623" s="1" t="s">
        <v>175</v>
      </c>
      <c r="E2623" s="36">
        <v>44972</v>
      </c>
      <c r="F2623" s="36">
        <v>45199</v>
      </c>
      <c r="G2623" s="38">
        <f t="shared" si="40"/>
        <v>227</v>
      </c>
      <c r="H2623" s="5">
        <v>45006</v>
      </c>
      <c r="I2623" s="5">
        <v>45006</v>
      </c>
      <c r="J2623" s="1" t="s">
        <v>41</v>
      </c>
      <c r="K2623" s="1" t="s">
        <v>5558</v>
      </c>
      <c r="L2623" s="1" t="s">
        <v>5544</v>
      </c>
      <c r="M2623" s="1" t="s">
        <v>5555</v>
      </c>
      <c r="N2623" s="1" t="s">
        <v>38</v>
      </c>
      <c r="O2623" s="1" t="s">
        <v>5179</v>
      </c>
      <c r="P2623" s="1" t="s">
        <v>5180</v>
      </c>
      <c r="Q2623" s="1" t="s">
        <v>5181</v>
      </c>
      <c r="R2623" s="1" t="s">
        <v>128</v>
      </c>
      <c r="S2623" s="1"/>
      <c r="U2623" s="1" t="s">
        <v>35</v>
      </c>
      <c r="V2623" s="1" t="s">
        <v>74</v>
      </c>
      <c r="W2623" s="1" t="str">
        <f>VLOOKUP(Table1[[#This Row],[Obergruppe ATC-Code]],Tabelle3!$A$2:$B$100,2)</f>
        <v>PSYCHOLEPTIKA</v>
      </c>
      <c r="X2623" s="1" t="str">
        <f xml:space="preserve"> LEFT(Table1[[#This Row],[Atc Code]],3)</f>
        <v>N05</v>
      </c>
    </row>
    <row r="2624" spans="1:24" ht="14.4">
      <c r="A2624" s="14">
        <v>240</v>
      </c>
      <c r="B2624" s="24">
        <v>1359134</v>
      </c>
      <c r="C2624" s="1">
        <v>2154429</v>
      </c>
      <c r="D2624" s="1" t="s">
        <v>175</v>
      </c>
      <c r="E2624" s="36">
        <v>44972</v>
      </c>
      <c r="F2624" s="36">
        <v>45199</v>
      </c>
      <c r="G2624" s="38">
        <f t="shared" si="40"/>
        <v>227</v>
      </c>
      <c r="H2624" s="5">
        <v>45006</v>
      </c>
      <c r="I2624" s="5">
        <v>45006</v>
      </c>
      <c r="J2624" s="1" t="s">
        <v>41</v>
      </c>
      <c r="K2624" s="1" t="s">
        <v>5559</v>
      </c>
      <c r="L2624" s="1" t="s">
        <v>5544</v>
      </c>
      <c r="M2624" s="1" t="s">
        <v>5555</v>
      </c>
      <c r="N2624" s="1" t="s">
        <v>38</v>
      </c>
      <c r="O2624" s="1" t="s">
        <v>5179</v>
      </c>
      <c r="P2624" s="1" t="s">
        <v>5180</v>
      </c>
      <c r="Q2624" s="1" t="s">
        <v>5181</v>
      </c>
      <c r="R2624" s="1" t="s">
        <v>128</v>
      </c>
      <c r="S2624" s="1"/>
      <c r="U2624" s="1" t="s">
        <v>35</v>
      </c>
      <c r="V2624" s="1" t="s">
        <v>74</v>
      </c>
      <c r="W2624" s="1" t="str">
        <f>VLOOKUP(Table1[[#This Row],[Obergruppe ATC-Code]],Tabelle3!$A$2:$B$100,2)</f>
        <v>PSYCHOLEPTIKA</v>
      </c>
      <c r="X2624" s="1" t="str">
        <f xml:space="preserve"> LEFT(Table1[[#This Row],[Atc Code]],3)</f>
        <v>N05</v>
      </c>
    </row>
    <row r="2625" spans="1:24" ht="14.4">
      <c r="A2625" s="14">
        <v>1701</v>
      </c>
      <c r="B2625" s="24" t="s">
        <v>5560</v>
      </c>
      <c r="C2625" s="1">
        <v>2138746</v>
      </c>
      <c r="D2625" s="1" t="s">
        <v>25</v>
      </c>
      <c r="E2625" s="36">
        <v>44356</v>
      </c>
      <c r="F2625" s="36">
        <v>44411</v>
      </c>
      <c r="G2625" s="38">
        <f t="shared" si="40"/>
        <v>55</v>
      </c>
      <c r="H2625" s="5">
        <v>44356</v>
      </c>
      <c r="I2625" s="5">
        <v>44411</v>
      </c>
      <c r="J2625" s="1" t="s">
        <v>26</v>
      </c>
      <c r="K2625" s="1" t="s">
        <v>5561</v>
      </c>
      <c r="L2625" s="1" t="s">
        <v>5562</v>
      </c>
      <c r="M2625" s="1" t="s">
        <v>5563</v>
      </c>
      <c r="N2625" s="1" t="s">
        <v>30</v>
      </c>
      <c r="O2625" s="1" t="s">
        <v>91</v>
      </c>
      <c r="P2625" s="1" t="s">
        <v>92</v>
      </c>
      <c r="Q2625" s="1" t="s">
        <v>93</v>
      </c>
      <c r="R2625" s="1" t="s">
        <v>26</v>
      </c>
      <c r="S2625" s="1"/>
      <c r="U2625" s="1" t="s">
        <v>35</v>
      </c>
      <c r="V2625" s="1" t="s">
        <v>1292</v>
      </c>
      <c r="W2625" s="1" t="str">
        <f>VLOOKUP(Table1[[#This Row],[Obergruppe ATC-Code]],Tabelle3!$A$2:$B$100,2)</f>
        <v>PSYCHOLEPTIKA</v>
      </c>
      <c r="X2625" s="1" t="str">
        <f xml:space="preserve"> LEFT(Table1[[#This Row],[Atc Code]],3)</f>
        <v>N05</v>
      </c>
    </row>
    <row r="2626" spans="1:24" ht="14.4">
      <c r="A2626" s="14">
        <v>2497</v>
      </c>
      <c r="B2626" s="24" t="s">
        <v>5564</v>
      </c>
      <c r="C2626" s="1">
        <v>2145327</v>
      </c>
      <c r="D2626" s="1" t="s">
        <v>102</v>
      </c>
      <c r="E2626" s="36">
        <v>45009</v>
      </c>
      <c r="F2626" s="36">
        <v>45413</v>
      </c>
      <c r="G2626" s="38">
        <f t="shared" ref="G2626:G2689" si="41">F2626-E2626</f>
        <v>404</v>
      </c>
      <c r="H2626" s="5">
        <v>45009</v>
      </c>
      <c r="I2626" s="5">
        <v>45027</v>
      </c>
      <c r="J2626" s="1" t="s">
        <v>26</v>
      </c>
      <c r="K2626" s="1" t="s">
        <v>5565</v>
      </c>
      <c r="L2626" s="1" t="s">
        <v>5562</v>
      </c>
      <c r="M2626" s="1" t="s">
        <v>5563</v>
      </c>
      <c r="N2626" s="1" t="s">
        <v>38</v>
      </c>
      <c r="O2626" s="1" t="s">
        <v>140</v>
      </c>
      <c r="Q2626" s="1" t="s">
        <v>141</v>
      </c>
      <c r="R2626" s="1" t="s">
        <v>142</v>
      </c>
      <c r="S2626" s="1"/>
      <c r="U2626" s="1" t="s">
        <v>130</v>
      </c>
      <c r="V2626" s="1" t="s">
        <v>99</v>
      </c>
      <c r="W2626" s="1" t="str">
        <f>VLOOKUP(Table1[[#This Row],[Obergruppe ATC-Code]],Tabelle3!$A$2:$B$100,2)</f>
        <v>PSYCHOLEPTIKA</v>
      </c>
      <c r="X2626" s="1" t="str">
        <f xml:space="preserve"> LEFT(Table1[[#This Row],[Atc Code]],3)</f>
        <v>N05</v>
      </c>
    </row>
    <row r="2627" spans="1:24" ht="14.4">
      <c r="A2627" s="14">
        <v>1656</v>
      </c>
      <c r="B2627" s="24" t="s">
        <v>5566</v>
      </c>
      <c r="C2627" s="1">
        <v>2156009</v>
      </c>
      <c r="D2627" s="1" t="s">
        <v>25</v>
      </c>
      <c r="E2627" s="36">
        <v>43497</v>
      </c>
      <c r="F2627" s="36">
        <v>43616</v>
      </c>
      <c r="G2627" s="38">
        <f t="shared" si="41"/>
        <v>119</v>
      </c>
      <c r="H2627" s="5">
        <v>43515</v>
      </c>
      <c r="I2627" s="5">
        <v>43612</v>
      </c>
      <c r="J2627" s="1" t="s">
        <v>41</v>
      </c>
      <c r="K2627" s="1" t="s">
        <v>5567</v>
      </c>
      <c r="L2627" s="1" t="s">
        <v>5568</v>
      </c>
      <c r="M2627" s="1" t="s">
        <v>5569</v>
      </c>
      <c r="N2627" s="1" t="s">
        <v>30</v>
      </c>
      <c r="O2627" s="1" t="s">
        <v>91</v>
      </c>
      <c r="P2627" s="1" t="s">
        <v>374</v>
      </c>
      <c r="Q2627" s="1" t="s">
        <v>375</v>
      </c>
      <c r="R2627" s="1" t="s">
        <v>48</v>
      </c>
      <c r="S2627" s="1"/>
      <c r="T2627" s="1" t="s">
        <v>5570</v>
      </c>
      <c r="U2627" s="1" t="s">
        <v>35</v>
      </c>
      <c r="V2627" s="1" t="s">
        <v>225</v>
      </c>
      <c r="W2627" s="1" t="str">
        <f>VLOOKUP(Table1[[#This Row],[Obergruppe ATC-Code]],Tabelle3!$A$2:$B$100,2)</f>
        <v>PSYCHOLEPTIKA</v>
      </c>
      <c r="X2627" s="1" t="str">
        <f xml:space="preserve"> LEFT(Table1[[#This Row],[Atc Code]],3)</f>
        <v>N05</v>
      </c>
    </row>
    <row r="2628" spans="1:24" ht="14.4">
      <c r="A2628" s="14">
        <v>218</v>
      </c>
      <c r="B2628" s="25">
        <v>1202409</v>
      </c>
      <c r="C2628" s="1">
        <v>2156012</v>
      </c>
      <c r="D2628" s="1" t="s">
        <v>25</v>
      </c>
      <c r="E2628" s="36">
        <v>43497</v>
      </c>
      <c r="F2628" s="36">
        <v>43616</v>
      </c>
      <c r="G2628" s="38">
        <f t="shared" si="41"/>
        <v>119</v>
      </c>
      <c r="H2628" s="5">
        <v>43585</v>
      </c>
      <c r="I2628" s="5">
        <v>43612</v>
      </c>
      <c r="J2628" s="1" t="s">
        <v>41</v>
      </c>
      <c r="K2628" s="1" t="s">
        <v>5571</v>
      </c>
      <c r="L2628" s="1" t="s">
        <v>5568</v>
      </c>
      <c r="M2628" s="1" t="s">
        <v>5569</v>
      </c>
      <c r="N2628" s="1" t="s">
        <v>30</v>
      </c>
      <c r="O2628" s="1" t="s">
        <v>52</v>
      </c>
      <c r="P2628" s="1" t="s">
        <v>53</v>
      </c>
      <c r="Q2628" s="1" t="s">
        <v>54</v>
      </c>
      <c r="R2628" s="1" t="s">
        <v>48</v>
      </c>
      <c r="S2628" s="1"/>
      <c r="U2628" s="1" t="s">
        <v>35</v>
      </c>
      <c r="V2628" s="1" t="s">
        <v>1292</v>
      </c>
      <c r="W2628" s="1" t="str">
        <f>VLOOKUP(Table1[[#This Row],[Obergruppe ATC-Code]],Tabelle3!$A$2:$B$100,2)</f>
        <v>PSYCHOLEPTIKA</v>
      </c>
      <c r="X2628" s="1" t="str">
        <f xml:space="preserve"> LEFT(Table1[[#This Row],[Atc Code]],3)</f>
        <v>N05</v>
      </c>
    </row>
    <row r="2629" spans="1:24" ht="14.4">
      <c r="A2629" s="14">
        <v>2273</v>
      </c>
      <c r="B2629" s="24" t="s">
        <v>5572</v>
      </c>
      <c r="C2629" s="1">
        <v>2160377</v>
      </c>
      <c r="D2629" s="1" t="s">
        <v>25</v>
      </c>
      <c r="E2629" s="36">
        <v>44317</v>
      </c>
      <c r="F2629" s="36">
        <v>44377</v>
      </c>
      <c r="G2629" s="38">
        <f t="shared" si="41"/>
        <v>60</v>
      </c>
      <c r="H2629" s="5">
        <v>44335</v>
      </c>
      <c r="I2629" s="5">
        <v>44376</v>
      </c>
      <c r="J2629" s="1" t="s">
        <v>41</v>
      </c>
      <c r="K2629" s="1" t="s">
        <v>5573</v>
      </c>
      <c r="L2629" s="1" t="s">
        <v>5568</v>
      </c>
      <c r="M2629" s="1" t="s">
        <v>5569</v>
      </c>
      <c r="N2629" s="1" t="s">
        <v>38</v>
      </c>
      <c r="O2629" s="1" t="s">
        <v>52</v>
      </c>
      <c r="P2629" s="1" t="s">
        <v>53</v>
      </c>
      <c r="Q2629" s="1" t="s">
        <v>54</v>
      </c>
      <c r="R2629" s="1" t="s">
        <v>48</v>
      </c>
      <c r="S2629" s="1"/>
      <c r="U2629" s="1" t="s">
        <v>35</v>
      </c>
      <c r="V2629" s="1" t="s">
        <v>49</v>
      </c>
      <c r="W2629" s="1" t="str">
        <f>VLOOKUP(Table1[[#This Row],[Obergruppe ATC-Code]],Tabelle3!$A$2:$B$100,2)</f>
        <v>PSYCHOLEPTIKA</v>
      </c>
      <c r="X2629" s="1" t="str">
        <f xml:space="preserve"> LEFT(Table1[[#This Row],[Atc Code]],3)</f>
        <v>N05</v>
      </c>
    </row>
    <row r="2630" spans="1:24" ht="14.4">
      <c r="A2630" s="14">
        <v>1814</v>
      </c>
      <c r="B2630" s="24" t="s">
        <v>5574</v>
      </c>
      <c r="C2630" s="1">
        <v>2160376</v>
      </c>
      <c r="D2630" s="1" t="s">
        <v>25</v>
      </c>
      <c r="E2630" s="36">
        <v>44475</v>
      </c>
      <c r="F2630" s="36">
        <v>44778</v>
      </c>
      <c r="G2630" s="38">
        <f t="shared" si="41"/>
        <v>303</v>
      </c>
      <c r="H2630" s="5">
        <v>44476</v>
      </c>
      <c r="I2630" s="5">
        <v>44781</v>
      </c>
      <c r="J2630" s="1" t="s">
        <v>26</v>
      </c>
      <c r="K2630" s="1" t="s">
        <v>5575</v>
      </c>
      <c r="L2630" s="1" t="s">
        <v>5568</v>
      </c>
      <c r="M2630" s="1" t="s">
        <v>5569</v>
      </c>
      <c r="N2630" s="1" t="s">
        <v>30</v>
      </c>
      <c r="O2630" s="1" t="s">
        <v>91</v>
      </c>
      <c r="P2630" s="1" t="s">
        <v>92</v>
      </c>
      <c r="Q2630" s="1" t="s">
        <v>93</v>
      </c>
      <c r="R2630" s="1" t="s">
        <v>26</v>
      </c>
      <c r="S2630" s="1"/>
      <c r="U2630" s="1" t="s">
        <v>35</v>
      </c>
      <c r="V2630" s="1" t="s">
        <v>49</v>
      </c>
      <c r="W2630" s="1" t="str">
        <f>VLOOKUP(Table1[[#This Row],[Obergruppe ATC-Code]],Tabelle3!$A$2:$B$100,2)</f>
        <v>PSYCHOLEPTIKA</v>
      </c>
      <c r="X2630" s="1" t="str">
        <f xml:space="preserve"> LEFT(Table1[[#This Row],[Atc Code]],3)</f>
        <v>N05</v>
      </c>
    </row>
    <row r="2631" spans="1:24" ht="14.4">
      <c r="A2631" s="14">
        <v>2274</v>
      </c>
      <c r="B2631" s="24" t="s">
        <v>5576</v>
      </c>
      <c r="C2631" s="1">
        <v>2160377</v>
      </c>
      <c r="D2631" s="1" t="s">
        <v>25</v>
      </c>
      <c r="E2631" s="36">
        <v>44475</v>
      </c>
      <c r="F2631" s="36">
        <v>44883</v>
      </c>
      <c r="G2631" s="38">
        <f t="shared" si="41"/>
        <v>408</v>
      </c>
      <c r="H2631" s="5">
        <v>44476</v>
      </c>
      <c r="I2631" s="5">
        <v>44888</v>
      </c>
      <c r="J2631" s="1" t="s">
        <v>26</v>
      </c>
      <c r="K2631" s="1" t="s">
        <v>5573</v>
      </c>
      <c r="L2631" s="1" t="s">
        <v>5568</v>
      </c>
      <c r="M2631" s="1" t="s">
        <v>5569</v>
      </c>
      <c r="N2631" s="1" t="s">
        <v>38</v>
      </c>
      <c r="O2631" s="1" t="s">
        <v>52</v>
      </c>
      <c r="P2631" s="1" t="s">
        <v>53</v>
      </c>
      <c r="Q2631" s="1" t="s">
        <v>54</v>
      </c>
      <c r="R2631" s="1" t="s">
        <v>26</v>
      </c>
      <c r="S2631" s="1"/>
      <c r="U2631" s="1" t="s">
        <v>35</v>
      </c>
      <c r="V2631" s="1" t="s">
        <v>49</v>
      </c>
      <c r="W2631" s="1" t="str">
        <f>VLOOKUP(Table1[[#This Row],[Obergruppe ATC-Code]],Tabelle3!$A$2:$B$100,2)</f>
        <v>PSYCHOLEPTIKA</v>
      </c>
      <c r="X2631" s="1" t="str">
        <f xml:space="preserve"> LEFT(Table1[[#This Row],[Atc Code]],3)</f>
        <v>N05</v>
      </c>
    </row>
    <row r="2632" spans="1:24" ht="14.4">
      <c r="A2632" s="14">
        <v>292</v>
      </c>
      <c r="B2632" s="24">
        <v>1808804</v>
      </c>
      <c r="C2632" s="1">
        <v>762307</v>
      </c>
      <c r="D2632" s="1" t="s">
        <v>175</v>
      </c>
      <c r="E2632" s="36">
        <v>45176</v>
      </c>
      <c r="F2632" s="36">
        <v>45291</v>
      </c>
      <c r="G2632" s="38">
        <f t="shared" si="41"/>
        <v>115</v>
      </c>
      <c r="H2632" s="5">
        <v>45176</v>
      </c>
      <c r="I2632" s="5">
        <v>45176</v>
      </c>
      <c r="J2632" s="1" t="s">
        <v>26</v>
      </c>
      <c r="K2632" s="1" t="s">
        <v>5577</v>
      </c>
      <c r="L2632" s="1" t="s">
        <v>5568</v>
      </c>
      <c r="M2632" s="1" t="s">
        <v>5569</v>
      </c>
      <c r="N2632" s="1" t="s">
        <v>38</v>
      </c>
      <c r="O2632" s="1" t="s">
        <v>5578</v>
      </c>
      <c r="Q2632" s="1" t="s">
        <v>5066</v>
      </c>
      <c r="R2632" s="1" t="s">
        <v>113</v>
      </c>
      <c r="S2632" s="1" t="s">
        <v>5579</v>
      </c>
      <c r="U2632" s="1" t="s">
        <v>35</v>
      </c>
      <c r="V2632" s="1" t="s">
        <v>5395</v>
      </c>
      <c r="W2632" s="1" t="str">
        <f>VLOOKUP(Table1[[#This Row],[Obergruppe ATC-Code]],Tabelle3!$A$2:$B$100,2)</f>
        <v>PSYCHOLEPTIKA</v>
      </c>
      <c r="X2632" s="1" t="str">
        <f xml:space="preserve"> LEFT(Table1[[#This Row],[Atc Code]],3)</f>
        <v>N05</v>
      </c>
    </row>
    <row r="2633" spans="1:24" ht="14.4">
      <c r="A2633" s="14">
        <v>211</v>
      </c>
      <c r="B2633" s="24">
        <v>1161314</v>
      </c>
      <c r="C2633" s="1">
        <v>2167161</v>
      </c>
      <c r="D2633" s="1" t="s">
        <v>25</v>
      </c>
      <c r="E2633" s="36">
        <v>43831</v>
      </c>
      <c r="F2633" s="36">
        <v>43951</v>
      </c>
      <c r="G2633" s="38">
        <f t="shared" si="41"/>
        <v>120</v>
      </c>
      <c r="H2633" s="5">
        <v>43853</v>
      </c>
      <c r="I2633" s="5">
        <v>43951</v>
      </c>
      <c r="J2633" s="1" t="s">
        <v>41</v>
      </c>
      <c r="K2633" s="1" t="s">
        <v>5580</v>
      </c>
      <c r="L2633" s="1" t="s">
        <v>5581</v>
      </c>
      <c r="M2633" s="1" t="s">
        <v>5582</v>
      </c>
      <c r="N2633" s="1" t="s">
        <v>30</v>
      </c>
      <c r="O2633" s="1" t="s">
        <v>311</v>
      </c>
      <c r="P2633" s="1" t="s">
        <v>233</v>
      </c>
      <c r="Q2633" s="1" t="s">
        <v>234</v>
      </c>
      <c r="R2633" s="1" t="s">
        <v>26</v>
      </c>
      <c r="S2633" s="1"/>
      <c r="T2633" s="1" t="s">
        <v>5583</v>
      </c>
      <c r="U2633" s="1" t="s">
        <v>35</v>
      </c>
      <c r="V2633" s="1" t="s">
        <v>74</v>
      </c>
      <c r="W2633" s="1" t="str">
        <f>VLOOKUP(Table1[[#This Row],[Obergruppe ATC-Code]],Tabelle3!$A$2:$B$100,2)</f>
        <v>PSYCHOLEPTIKA</v>
      </c>
      <c r="X2633" s="1" t="str">
        <f xml:space="preserve"> LEFT(Table1[[#This Row],[Atc Code]],3)</f>
        <v>N05</v>
      </c>
    </row>
    <row r="2634" spans="1:24" ht="14.4">
      <c r="A2634" s="14">
        <v>212</v>
      </c>
      <c r="B2634" s="24">
        <v>1161314</v>
      </c>
      <c r="C2634" s="1">
        <v>2167161</v>
      </c>
      <c r="D2634" s="1" t="s">
        <v>25</v>
      </c>
      <c r="E2634" s="36">
        <v>44361</v>
      </c>
      <c r="F2634" s="36">
        <v>44927</v>
      </c>
      <c r="G2634" s="38">
        <f t="shared" si="41"/>
        <v>566</v>
      </c>
      <c r="H2634" s="5">
        <v>44691</v>
      </c>
      <c r="I2634" s="5">
        <v>44936</v>
      </c>
      <c r="J2634" s="1" t="s">
        <v>41</v>
      </c>
      <c r="K2634" s="1" t="s">
        <v>5580</v>
      </c>
      <c r="L2634" s="1" t="s">
        <v>5581</v>
      </c>
      <c r="M2634" s="1" t="s">
        <v>5582</v>
      </c>
      <c r="N2634" s="1" t="s">
        <v>30</v>
      </c>
      <c r="O2634" s="1" t="s">
        <v>311</v>
      </c>
      <c r="P2634" s="1" t="s">
        <v>5584</v>
      </c>
      <c r="Q2634" s="1" t="s">
        <v>241</v>
      </c>
      <c r="R2634" s="1" t="s">
        <v>128</v>
      </c>
      <c r="S2634" s="1" t="s">
        <v>5585</v>
      </c>
      <c r="U2634" s="1" t="s">
        <v>130</v>
      </c>
      <c r="V2634" s="1" t="s">
        <v>74</v>
      </c>
      <c r="W2634" s="1" t="str">
        <f>VLOOKUP(Table1[[#This Row],[Obergruppe ATC-Code]],Tabelle3!$A$2:$B$100,2)</f>
        <v>PSYCHOLEPTIKA</v>
      </c>
      <c r="X2634" s="1" t="str">
        <f xml:space="preserve"> LEFT(Table1[[#This Row],[Atc Code]],3)</f>
        <v>N05</v>
      </c>
    </row>
    <row r="2635" spans="1:24" ht="14.4">
      <c r="A2635" s="14">
        <v>3185</v>
      </c>
      <c r="B2635" s="3">
        <v>2583135</v>
      </c>
      <c r="C2635" s="1">
        <v>2153092</v>
      </c>
      <c r="D2635" s="1" t="s">
        <v>25</v>
      </c>
      <c r="E2635" s="36">
        <v>44228</v>
      </c>
      <c r="F2635" s="36">
        <v>44347</v>
      </c>
      <c r="G2635" s="38">
        <f t="shared" si="41"/>
        <v>119</v>
      </c>
      <c r="H2635" s="5">
        <v>44237</v>
      </c>
      <c r="I2635" s="5">
        <v>44322</v>
      </c>
      <c r="J2635" s="1" t="s">
        <v>41</v>
      </c>
      <c r="K2635" s="1" t="s">
        <v>5586</v>
      </c>
      <c r="L2635" s="1" t="s">
        <v>5587</v>
      </c>
      <c r="M2635" s="1" t="s">
        <v>5588</v>
      </c>
      <c r="N2635" s="1" t="s">
        <v>30</v>
      </c>
      <c r="O2635" s="1" t="s">
        <v>5589</v>
      </c>
      <c r="P2635" s="1" t="s">
        <v>2305</v>
      </c>
      <c r="Q2635" s="1" t="s">
        <v>327</v>
      </c>
      <c r="R2635" s="1" t="s">
        <v>65</v>
      </c>
      <c r="S2635" s="1"/>
      <c r="U2635" s="1" t="s">
        <v>57</v>
      </c>
      <c r="V2635" s="1" t="s">
        <v>803</v>
      </c>
      <c r="W2635" s="1" t="str">
        <f>VLOOKUP(Table1[[#This Row],[Obergruppe ATC-Code]],Tabelle3!$A$2:$B$100,2)</f>
        <v>PSYCHOLEPTIKA</v>
      </c>
      <c r="X2635" s="1" t="str">
        <f xml:space="preserve"> LEFT(Table1[[#This Row],[Atc Code]],3)</f>
        <v>N05</v>
      </c>
    </row>
    <row r="2636" spans="1:24" ht="14.4">
      <c r="A2636" s="14">
        <v>2662</v>
      </c>
      <c r="B2636" s="24" t="s">
        <v>5590</v>
      </c>
      <c r="C2636" s="1">
        <v>2199815</v>
      </c>
      <c r="D2636" s="1" t="s">
        <v>25</v>
      </c>
      <c r="E2636" s="36">
        <v>43862</v>
      </c>
      <c r="F2636" s="36">
        <v>43982</v>
      </c>
      <c r="G2636" s="38">
        <f t="shared" si="41"/>
        <v>120</v>
      </c>
      <c r="H2636" s="5">
        <v>43901</v>
      </c>
      <c r="I2636" s="5">
        <v>43992</v>
      </c>
      <c r="J2636" s="1" t="s">
        <v>26</v>
      </c>
      <c r="K2636" s="1" t="s">
        <v>5591</v>
      </c>
      <c r="L2636" s="1" t="s">
        <v>5592</v>
      </c>
      <c r="M2636" s="1" t="s">
        <v>5593</v>
      </c>
      <c r="N2636" s="1" t="s">
        <v>38</v>
      </c>
      <c r="O2636" s="1" t="s">
        <v>5400</v>
      </c>
      <c r="P2636" s="1" t="s">
        <v>1441</v>
      </c>
      <c r="Q2636" s="1" t="s">
        <v>1442</v>
      </c>
      <c r="R2636" s="1" t="s">
        <v>33</v>
      </c>
      <c r="S2636" s="1"/>
      <c r="U2636" s="1" t="s">
        <v>35</v>
      </c>
      <c r="V2636" s="1" t="s">
        <v>49</v>
      </c>
      <c r="W2636" s="1" t="str">
        <f>VLOOKUP(Table1[[#This Row],[Obergruppe ATC-Code]],Tabelle3!$A$2:$B$100,2)</f>
        <v>PSYCHOLEPTIKA</v>
      </c>
      <c r="X2636" s="1" t="str">
        <f xml:space="preserve"> LEFT(Table1[[#This Row],[Atc Code]],3)</f>
        <v>N05</v>
      </c>
    </row>
    <row r="2637" spans="1:24" ht="14.4">
      <c r="A2637" s="14">
        <v>2666</v>
      </c>
      <c r="B2637" s="24" t="s">
        <v>5594</v>
      </c>
      <c r="C2637" s="1">
        <v>2199818</v>
      </c>
      <c r="D2637" s="1" t="s">
        <v>25</v>
      </c>
      <c r="E2637" s="36">
        <v>44228</v>
      </c>
      <c r="F2637" s="36">
        <v>44286</v>
      </c>
      <c r="G2637" s="38">
        <f t="shared" si="41"/>
        <v>58</v>
      </c>
      <c r="H2637" s="5">
        <v>44242</v>
      </c>
      <c r="I2637" s="5">
        <v>44294</v>
      </c>
      <c r="J2637" s="1" t="s">
        <v>41</v>
      </c>
      <c r="K2637" s="1" t="s">
        <v>5595</v>
      </c>
      <c r="L2637" s="1" t="s">
        <v>5592</v>
      </c>
      <c r="M2637" s="1" t="s">
        <v>5593</v>
      </c>
      <c r="N2637" s="1" t="s">
        <v>38</v>
      </c>
      <c r="O2637" s="1" t="s">
        <v>5400</v>
      </c>
      <c r="P2637" s="1" t="s">
        <v>1441</v>
      </c>
      <c r="Q2637" s="1" t="s">
        <v>1916</v>
      </c>
      <c r="R2637" s="1" t="s">
        <v>26</v>
      </c>
      <c r="S2637" s="1"/>
      <c r="U2637" s="1" t="s">
        <v>35</v>
      </c>
      <c r="V2637" s="1" t="s">
        <v>49</v>
      </c>
      <c r="W2637" s="1" t="str">
        <f>VLOOKUP(Table1[[#This Row],[Obergruppe ATC-Code]],Tabelle3!$A$2:$B$100,2)</f>
        <v>PSYCHOLEPTIKA</v>
      </c>
      <c r="X2637" s="1" t="str">
        <f xml:space="preserve"> LEFT(Table1[[#This Row],[Atc Code]],3)</f>
        <v>N05</v>
      </c>
    </row>
    <row r="2638" spans="1:24" ht="14.4">
      <c r="A2638" s="14">
        <v>2667</v>
      </c>
      <c r="B2638" s="24" t="s">
        <v>5596</v>
      </c>
      <c r="C2638" s="1">
        <v>2199818</v>
      </c>
      <c r="D2638" s="1" t="s">
        <v>25</v>
      </c>
      <c r="E2638" s="36">
        <v>44945</v>
      </c>
      <c r="F2638" s="36">
        <v>45013</v>
      </c>
      <c r="G2638" s="38">
        <f t="shared" si="41"/>
        <v>68</v>
      </c>
      <c r="H2638" s="5">
        <v>44967</v>
      </c>
      <c r="I2638" s="5">
        <v>45035</v>
      </c>
      <c r="J2638" s="1" t="s">
        <v>26</v>
      </c>
      <c r="K2638" s="1" t="s">
        <v>5595</v>
      </c>
      <c r="L2638" s="1" t="s">
        <v>5592</v>
      </c>
      <c r="M2638" s="1" t="s">
        <v>5593</v>
      </c>
      <c r="N2638" s="1" t="s">
        <v>38</v>
      </c>
      <c r="O2638" s="1" t="s">
        <v>5400</v>
      </c>
      <c r="P2638" s="1" t="s">
        <v>1540</v>
      </c>
      <c r="Q2638" s="1" t="s">
        <v>1541</v>
      </c>
      <c r="R2638" s="1" t="s">
        <v>113</v>
      </c>
      <c r="S2638" s="1"/>
      <c r="U2638" s="1" t="s">
        <v>35</v>
      </c>
      <c r="V2638" s="1" t="s">
        <v>49</v>
      </c>
      <c r="W2638" s="1" t="str">
        <f>VLOOKUP(Table1[[#This Row],[Obergruppe ATC-Code]],Tabelle3!$A$2:$B$100,2)</f>
        <v>PSYCHOLEPTIKA</v>
      </c>
      <c r="X2638" s="1" t="str">
        <f xml:space="preserve"> LEFT(Table1[[#This Row],[Atc Code]],3)</f>
        <v>N05</v>
      </c>
    </row>
    <row r="2639" spans="1:24" ht="14.4">
      <c r="A2639" s="14">
        <v>2664</v>
      </c>
      <c r="B2639" s="24" t="s">
        <v>5597</v>
      </c>
      <c r="C2639" s="1">
        <v>2199817</v>
      </c>
      <c r="D2639" s="1" t="s">
        <v>102</v>
      </c>
      <c r="E2639" s="36">
        <v>44963</v>
      </c>
      <c r="F2639" s="36">
        <v>45303</v>
      </c>
      <c r="G2639" s="38">
        <f t="shared" si="41"/>
        <v>340</v>
      </c>
      <c r="H2639" s="5">
        <v>44967</v>
      </c>
      <c r="I2639" s="5">
        <v>45141</v>
      </c>
      <c r="J2639" s="1" t="s">
        <v>26</v>
      </c>
      <c r="K2639" s="1" t="s">
        <v>5598</v>
      </c>
      <c r="L2639" s="1" t="s">
        <v>5592</v>
      </c>
      <c r="M2639" s="1" t="s">
        <v>5593</v>
      </c>
      <c r="N2639" s="1" t="s">
        <v>38</v>
      </c>
      <c r="O2639" s="1" t="s">
        <v>5400</v>
      </c>
      <c r="P2639" s="1" t="s">
        <v>1540</v>
      </c>
      <c r="Q2639" s="1" t="s">
        <v>1541</v>
      </c>
      <c r="R2639" s="1" t="s">
        <v>113</v>
      </c>
      <c r="S2639" s="1"/>
      <c r="U2639" s="1" t="s">
        <v>35</v>
      </c>
      <c r="V2639" s="1" t="s">
        <v>49</v>
      </c>
      <c r="W2639" s="1" t="str">
        <f>VLOOKUP(Table1[[#This Row],[Obergruppe ATC-Code]],Tabelle3!$A$2:$B$100,2)</f>
        <v>PSYCHOLEPTIKA</v>
      </c>
      <c r="X2639" s="1" t="str">
        <f xml:space="preserve"> LEFT(Table1[[#This Row],[Atc Code]],3)</f>
        <v>N05</v>
      </c>
    </row>
    <row r="2640" spans="1:24" ht="14.4">
      <c r="A2640" s="14">
        <v>2665</v>
      </c>
      <c r="B2640" s="24" t="s">
        <v>5599</v>
      </c>
      <c r="C2640" s="1">
        <v>2199818</v>
      </c>
      <c r="D2640" s="1" t="s">
        <v>25</v>
      </c>
      <c r="E2640" s="36">
        <v>45124</v>
      </c>
      <c r="F2640" s="36">
        <v>45176</v>
      </c>
      <c r="G2640" s="38">
        <f t="shared" si="41"/>
        <v>52</v>
      </c>
      <c r="H2640" s="5">
        <v>45141</v>
      </c>
      <c r="I2640" s="5">
        <v>45177</v>
      </c>
      <c r="J2640" s="1" t="s">
        <v>26</v>
      </c>
      <c r="K2640" s="1" t="s">
        <v>5595</v>
      </c>
      <c r="L2640" s="1" t="s">
        <v>5592</v>
      </c>
      <c r="M2640" s="1" t="s">
        <v>5593</v>
      </c>
      <c r="N2640" s="1" t="s">
        <v>38</v>
      </c>
      <c r="O2640" s="1" t="s">
        <v>5400</v>
      </c>
      <c r="Q2640" s="1" t="s">
        <v>1541</v>
      </c>
      <c r="R2640" s="1" t="s">
        <v>113</v>
      </c>
      <c r="S2640" s="1"/>
      <c r="U2640" s="1" t="s">
        <v>35</v>
      </c>
      <c r="V2640" s="1" t="s">
        <v>49</v>
      </c>
      <c r="W2640" s="1" t="str">
        <f>VLOOKUP(Table1[[#This Row],[Obergruppe ATC-Code]],Tabelle3!$A$2:$B$100,2)</f>
        <v>PSYCHOLEPTIKA</v>
      </c>
      <c r="X2640" s="1" t="str">
        <f xml:space="preserve"> LEFT(Table1[[#This Row],[Atc Code]],3)</f>
        <v>N05</v>
      </c>
    </row>
    <row r="2641" spans="1:24" ht="14.4">
      <c r="A2641" s="14">
        <v>2663</v>
      </c>
      <c r="B2641" s="24" t="s">
        <v>5600</v>
      </c>
      <c r="C2641" s="1">
        <v>2199816</v>
      </c>
      <c r="D2641" s="1" t="s">
        <v>25</v>
      </c>
      <c r="E2641" s="36">
        <v>45124</v>
      </c>
      <c r="F2641" s="36">
        <v>45176</v>
      </c>
      <c r="G2641" s="38">
        <f t="shared" si="41"/>
        <v>52</v>
      </c>
      <c r="H2641" s="5">
        <v>45141</v>
      </c>
      <c r="I2641" s="5">
        <v>45177</v>
      </c>
      <c r="J2641" s="1" t="s">
        <v>26</v>
      </c>
      <c r="K2641" s="1" t="s">
        <v>5601</v>
      </c>
      <c r="L2641" s="1" t="s">
        <v>5592</v>
      </c>
      <c r="M2641" s="1" t="s">
        <v>5593</v>
      </c>
      <c r="N2641" s="1" t="s">
        <v>38</v>
      </c>
      <c r="O2641" s="1" t="s">
        <v>5400</v>
      </c>
      <c r="Q2641" s="1" t="s">
        <v>1541</v>
      </c>
      <c r="R2641" s="1" t="s">
        <v>113</v>
      </c>
      <c r="S2641" s="1"/>
      <c r="U2641" s="1" t="s">
        <v>35</v>
      </c>
      <c r="V2641" s="1" t="s">
        <v>49</v>
      </c>
      <c r="W2641" s="1" t="str">
        <f>VLOOKUP(Table1[[#This Row],[Obergruppe ATC-Code]],Tabelle3!$A$2:$B$100,2)</f>
        <v>PSYCHOLEPTIKA</v>
      </c>
      <c r="X2641" s="1" t="str">
        <f xml:space="preserve"> LEFT(Table1[[#This Row],[Atc Code]],3)</f>
        <v>N05</v>
      </c>
    </row>
    <row r="2642" spans="1:24" ht="14.4">
      <c r="A2642" s="14">
        <v>2661</v>
      </c>
      <c r="B2642" s="24" t="s">
        <v>5602</v>
      </c>
      <c r="C2642" s="1">
        <v>2199815</v>
      </c>
      <c r="D2642" s="1" t="s">
        <v>25</v>
      </c>
      <c r="E2642" s="36">
        <v>45124</v>
      </c>
      <c r="F2642" s="36">
        <v>45176</v>
      </c>
      <c r="G2642" s="38">
        <f t="shared" si="41"/>
        <v>52</v>
      </c>
      <c r="H2642" s="5">
        <v>45141</v>
      </c>
      <c r="I2642" s="5">
        <v>45177</v>
      </c>
      <c r="J2642" s="1" t="s">
        <v>26</v>
      </c>
      <c r="K2642" s="1" t="s">
        <v>5591</v>
      </c>
      <c r="L2642" s="1" t="s">
        <v>5592</v>
      </c>
      <c r="M2642" s="1" t="s">
        <v>5593</v>
      </c>
      <c r="N2642" s="1" t="s">
        <v>38</v>
      </c>
      <c r="O2642" s="1" t="s">
        <v>5400</v>
      </c>
      <c r="Q2642" s="1" t="s">
        <v>1541</v>
      </c>
      <c r="R2642" s="1" t="s">
        <v>113</v>
      </c>
      <c r="S2642" s="1"/>
      <c r="U2642" s="1" t="s">
        <v>35</v>
      </c>
      <c r="V2642" s="1" t="s">
        <v>49</v>
      </c>
      <c r="W2642" s="1" t="str">
        <f>VLOOKUP(Table1[[#This Row],[Obergruppe ATC-Code]],Tabelle3!$A$2:$B$100,2)</f>
        <v>PSYCHOLEPTIKA</v>
      </c>
      <c r="X2642" s="1" t="str">
        <f xml:space="preserve"> LEFT(Table1[[#This Row],[Atc Code]],3)</f>
        <v>N05</v>
      </c>
    </row>
    <row r="2643" spans="1:24" ht="14.4">
      <c r="A2643" s="14">
        <v>3188</v>
      </c>
      <c r="B2643" s="3" t="s">
        <v>5603</v>
      </c>
      <c r="C2643" s="1">
        <v>2706431</v>
      </c>
      <c r="D2643" s="1" t="s">
        <v>25</v>
      </c>
      <c r="E2643" s="36">
        <v>43891</v>
      </c>
      <c r="F2643" s="36">
        <v>43951</v>
      </c>
      <c r="G2643" s="38">
        <f t="shared" si="41"/>
        <v>60</v>
      </c>
      <c r="H2643" s="5">
        <v>43928</v>
      </c>
      <c r="I2643" s="5">
        <v>43963</v>
      </c>
      <c r="J2643" s="1" t="s">
        <v>41</v>
      </c>
      <c r="K2643" s="1" t="s">
        <v>5604</v>
      </c>
      <c r="L2643" s="1" t="s">
        <v>5605</v>
      </c>
      <c r="M2643" s="1" t="s">
        <v>5606</v>
      </c>
      <c r="N2643" s="1" t="s">
        <v>38</v>
      </c>
      <c r="O2643" s="1" t="s">
        <v>1440</v>
      </c>
      <c r="P2643" s="1" t="s">
        <v>1441</v>
      </c>
      <c r="Q2643" s="1" t="s">
        <v>1442</v>
      </c>
      <c r="R2643" s="1" t="s">
        <v>65</v>
      </c>
      <c r="S2643" s="1"/>
      <c r="U2643" s="1" t="s">
        <v>35</v>
      </c>
      <c r="V2643" s="1" t="s">
        <v>49</v>
      </c>
      <c r="W2643" s="1" t="str">
        <f>VLOOKUP(Table1[[#This Row],[Obergruppe ATC-Code]],Tabelle3!$A$2:$B$100,2)</f>
        <v>PSYCHOLEPTIKA</v>
      </c>
      <c r="X2643" s="1" t="str">
        <f xml:space="preserve"> LEFT(Table1[[#This Row],[Atc Code]],3)</f>
        <v>N05</v>
      </c>
    </row>
    <row r="2644" spans="1:24" ht="14.4">
      <c r="A2644" s="14">
        <v>1121</v>
      </c>
      <c r="B2644" s="24">
        <v>9465982</v>
      </c>
      <c r="C2644" s="1">
        <v>2706426</v>
      </c>
      <c r="D2644" s="1" t="s">
        <v>25</v>
      </c>
      <c r="E2644" s="36">
        <v>43891</v>
      </c>
      <c r="F2644" s="36">
        <v>43951</v>
      </c>
      <c r="G2644" s="38">
        <f t="shared" si="41"/>
        <v>60</v>
      </c>
      <c r="H2644" s="5">
        <v>43928</v>
      </c>
      <c r="I2644" s="5">
        <v>43963</v>
      </c>
      <c r="J2644" s="1" t="s">
        <v>41</v>
      </c>
      <c r="K2644" s="1" t="s">
        <v>5607</v>
      </c>
      <c r="L2644" s="1" t="s">
        <v>5605</v>
      </c>
      <c r="M2644" s="1" t="s">
        <v>5606</v>
      </c>
      <c r="N2644" s="1" t="s">
        <v>38</v>
      </c>
      <c r="O2644" s="1" t="s">
        <v>1440</v>
      </c>
      <c r="P2644" s="1" t="s">
        <v>1441</v>
      </c>
      <c r="Q2644" s="1" t="s">
        <v>1442</v>
      </c>
      <c r="R2644" s="1" t="s">
        <v>65</v>
      </c>
      <c r="S2644" s="1"/>
      <c r="U2644" s="1" t="s">
        <v>35</v>
      </c>
      <c r="V2644" s="1" t="s">
        <v>49</v>
      </c>
      <c r="W2644" s="1" t="str">
        <f>VLOOKUP(Table1[[#This Row],[Obergruppe ATC-Code]],Tabelle3!$A$2:$B$100,2)</f>
        <v>PSYCHOLEPTIKA</v>
      </c>
      <c r="X2644" s="1" t="str">
        <f xml:space="preserve"> LEFT(Table1[[#This Row],[Atc Code]],3)</f>
        <v>N05</v>
      </c>
    </row>
    <row r="2645" spans="1:24" ht="14.4">
      <c r="A2645" s="14">
        <v>1208</v>
      </c>
      <c r="B2645" s="24">
        <v>11130639</v>
      </c>
      <c r="C2645" s="1">
        <v>2706422</v>
      </c>
      <c r="D2645" s="1" t="s">
        <v>25</v>
      </c>
      <c r="E2645" s="36">
        <v>43891</v>
      </c>
      <c r="F2645" s="36">
        <v>43982</v>
      </c>
      <c r="G2645" s="38">
        <f t="shared" si="41"/>
        <v>91</v>
      </c>
      <c r="H2645" s="5">
        <v>43928</v>
      </c>
      <c r="I2645" s="5">
        <v>43992</v>
      </c>
      <c r="J2645" s="1" t="s">
        <v>41</v>
      </c>
      <c r="K2645" s="1" t="s">
        <v>5608</v>
      </c>
      <c r="L2645" s="1" t="s">
        <v>5605</v>
      </c>
      <c r="M2645" s="1" t="s">
        <v>5606</v>
      </c>
      <c r="N2645" s="1" t="s">
        <v>38</v>
      </c>
      <c r="O2645" s="1" t="s">
        <v>1440</v>
      </c>
      <c r="P2645" s="1" t="s">
        <v>1441</v>
      </c>
      <c r="Q2645" s="1" t="s">
        <v>1442</v>
      </c>
      <c r="R2645" s="1" t="s">
        <v>65</v>
      </c>
      <c r="S2645" s="1"/>
      <c r="U2645" s="1" t="s">
        <v>35</v>
      </c>
      <c r="V2645" s="1" t="s">
        <v>49</v>
      </c>
      <c r="W2645" s="1" t="str">
        <f>VLOOKUP(Table1[[#This Row],[Obergruppe ATC-Code]],Tabelle3!$A$2:$B$100,2)</f>
        <v>PSYCHOLEPTIKA</v>
      </c>
      <c r="X2645" s="1" t="str">
        <f xml:space="preserve"> LEFT(Table1[[#This Row],[Atc Code]],3)</f>
        <v>N05</v>
      </c>
    </row>
    <row r="2646" spans="1:24" ht="14.4">
      <c r="A2646" s="14">
        <v>1123</v>
      </c>
      <c r="B2646" s="24">
        <v>9466036</v>
      </c>
      <c r="C2646" s="1">
        <v>2706429</v>
      </c>
      <c r="D2646" s="1" t="s">
        <v>25</v>
      </c>
      <c r="E2646" s="36">
        <v>43891</v>
      </c>
      <c r="F2646" s="36">
        <v>43982</v>
      </c>
      <c r="G2646" s="38">
        <f t="shared" si="41"/>
        <v>91</v>
      </c>
      <c r="H2646" s="5">
        <v>43928</v>
      </c>
      <c r="I2646" s="5">
        <v>43992</v>
      </c>
      <c r="J2646" s="1" t="s">
        <v>41</v>
      </c>
      <c r="K2646" s="1" t="s">
        <v>5609</v>
      </c>
      <c r="L2646" s="1" t="s">
        <v>5605</v>
      </c>
      <c r="M2646" s="1" t="s">
        <v>5606</v>
      </c>
      <c r="N2646" s="1" t="s">
        <v>38</v>
      </c>
      <c r="O2646" s="1" t="s">
        <v>1440</v>
      </c>
      <c r="P2646" s="1" t="s">
        <v>1441</v>
      </c>
      <c r="Q2646" s="1" t="s">
        <v>1442</v>
      </c>
      <c r="R2646" s="1" t="s">
        <v>65</v>
      </c>
      <c r="S2646" s="1"/>
      <c r="U2646" s="1" t="s">
        <v>35</v>
      </c>
      <c r="V2646" s="1" t="s">
        <v>49</v>
      </c>
      <c r="W2646" s="1" t="str">
        <f>VLOOKUP(Table1[[#This Row],[Obergruppe ATC-Code]],Tabelle3!$A$2:$B$100,2)</f>
        <v>PSYCHOLEPTIKA</v>
      </c>
      <c r="X2646" s="1" t="str">
        <f xml:space="preserve"> LEFT(Table1[[#This Row],[Atc Code]],3)</f>
        <v>N05</v>
      </c>
    </row>
    <row r="2647" spans="1:24" ht="14.4">
      <c r="A2647" s="14">
        <v>1211</v>
      </c>
      <c r="B2647" s="24">
        <v>11130645</v>
      </c>
      <c r="C2647" s="1">
        <v>2706425</v>
      </c>
      <c r="D2647" s="1" t="s">
        <v>25</v>
      </c>
      <c r="E2647" s="36">
        <v>43891</v>
      </c>
      <c r="F2647" s="36">
        <v>44074</v>
      </c>
      <c r="G2647" s="38">
        <f t="shared" si="41"/>
        <v>183</v>
      </c>
      <c r="H2647" s="5">
        <v>43928</v>
      </c>
      <c r="I2647" s="5">
        <v>44069</v>
      </c>
      <c r="J2647" s="1" t="s">
        <v>41</v>
      </c>
      <c r="K2647" s="1" t="s">
        <v>5610</v>
      </c>
      <c r="L2647" s="1" t="s">
        <v>5605</v>
      </c>
      <c r="M2647" s="1" t="s">
        <v>5606</v>
      </c>
      <c r="N2647" s="1" t="s">
        <v>38</v>
      </c>
      <c r="O2647" s="1" t="s">
        <v>1440</v>
      </c>
      <c r="P2647" s="1" t="s">
        <v>1441</v>
      </c>
      <c r="Q2647" s="1" t="s">
        <v>1442</v>
      </c>
      <c r="R2647" s="1" t="s">
        <v>65</v>
      </c>
      <c r="S2647" s="1"/>
      <c r="U2647" s="1" t="s">
        <v>35</v>
      </c>
      <c r="V2647" s="1" t="s">
        <v>49</v>
      </c>
      <c r="W2647" s="1" t="str">
        <f>VLOOKUP(Table1[[#This Row],[Obergruppe ATC-Code]],Tabelle3!$A$2:$B$100,2)</f>
        <v>PSYCHOLEPTIKA</v>
      </c>
      <c r="X2647" s="1" t="str">
        <f xml:space="preserve"> LEFT(Table1[[#This Row],[Atc Code]],3)</f>
        <v>N05</v>
      </c>
    </row>
    <row r="2648" spans="1:24" ht="14.4">
      <c r="A2648" s="14">
        <v>1213</v>
      </c>
      <c r="B2648" s="24">
        <v>11130651</v>
      </c>
      <c r="C2648" s="1">
        <v>2706428</v>
      </c>
      <c r="D2648" s="1" t="s">
        <v>25</v>
      </c>
      <c r="E2648" s="36">
        <v>44044</v>
      </c>
      <c r="F2648" s="36">
        <v>44135</v>
      </c>
      <c r="G2648" s="38">
        <f t="shared" si="41"/>
        <v>91</v>
      </c>
      <c r="H2648" s="5">
        <v>44075</v>
      </c>
      <c r="I2648" s="5">
        <v>44127</v>
      </c>
      <c r="J2648" s="1" t="s">
        <v>41</v>
      </c>
      <c r="K2648" s="1" t="s">
        <v>5611</v>
      </c>
      <c r="L2648" s="1" t="s">
        <v>5605</v>
      </c>
      <c r="M2648" s="1" t="s">
        <v>5606</v>
      </c>
      <c r="N2648" s="1" t="s">
        <v>38</v>
      </c>
      <c r="O2648" s="1" t="s">
        <v>1440</v>
      </c>
      <c r="P2648" s="1" t="s">
        <v>1441</v>
      </c>
      <c r="Q2648" s="1" t="s">
        <v>1442</v>
      </c>
      <c r="R2648" s="1" t="s">
        <v>65</v>
      </c>
      <c r="S2648" s="1"/>
      <c r="U2648" s="1" t="s">
        <v>35</v>
      </c>
      <c r="V2648" s="1" t="s">
        <v>49</v>
      </c>
      <c r="W2648" s="1" t="str">
        <f>VLOOKUP(Table1[[#This Row],[Obergruppe ATC-Code]],Tabelle3!$A$2:$B$100,2)</f>
        <v>PSYCHOLEPTIKA</v>
      </c>
      <c r="X2648" s="1" t="str">
        <f xml:space="preserve"> LEFT(Table1[[#This Row],[Atc Code]],3)</f>
        <v>N05</v>
      </c>
    </row>
    <row r="2649" spans="1:24" ht="14.4">
      <c r="A2649" s="14">
        <v>3189</v>
      </c>
      <c r="B2649" s="3" t="s">
        <v>5603</v>
      </c>
      <c r="C2649" s="1">
        <v>2711918</v>
      </c>
      <c r="D2649" s="1" t="s">
        <v>25</v>
      </c>
      <c r="E2649" s="36">
        <v>44256</v>
      </c>
      <c r="F2649" s="36">
        <v>44344</v>
      </c>
      <c r="G2649" s="38">
        <f t="shared" si="41"/>
        <v>88</v>
      </c>
      <c r="H2649" s="5">
        <v>44258</v>
      </c>
      <c r="I2649" s="5">
        <v>44348</v>
      </c>
      <c r="J2649" s="1" t="s">
        <v>26</v>
      </c>
      <c r="K2649" s="1" t="s">
        <v>5612</v>
      </c>
      <c r="L2649" s="1" t="s">
        <v>5605</v>
      </c>
      <c r="M2649" s="1" t="s">
        <v>5606</v>
      </c>
      <c r="N2649" s="1" t="s">
        <v>38</v>
      </c>
      <c r="O2649" s="1" t="s">
        <v>1440</v>
      </c>
      <c r="P2649" s="1" t="s">
        <v>1441</v>
      </c>
      <c r="Q2649" s="1" t="s">
        <v>1916</v>
      </c>
      <c r="R2649" s="1" t="s">
        <v>33</v>
      </c>
      <c r="S2649" s="1"/>
      <c r="U2649" s="1" t="s">
        <v>35</v>
      </c>
      <c r="V2649" s="1" t="s">
        <v>49</v>
      </c>
      <c r="W2649" s="1" t="str">
        <f>VLOOKUP(Table1[[#This Row],[Obergruppe ATC-Code]],Tabelle3!$A$2:$B$100,2)</f>
        <v>PSYCHOLEPTIKA</v>
      </c>
      <c r="X2649" s="1" t="str">
        <f xml:space="preserve"> LEFT(Table1[[#This Row],[Atc Code]],3)</f>
        <v>N05</v>
      </c>
    </row>
    <row r="2650" spans="1:24" ht="14.4">
      <c r="A2650" s="14">
        <v>3187</v>
      </c>
      <c r="B2650" s="3" t="s">
        <v>5603</v>
      </c>
      <c r="C2650" s="1">
        <v>2706431</v>
      </c>
      <c r="D2650" s="1" t="s">
        <v>25</v>
      </c>
      <c r="E2650" s="36">
        <v>44256</v>
      </c>
      <c r="F2650" s="36">
        <v>44372</v>
      </c>
      <c r="G2650" s="38">
        <f t="shared" si="41"/>
        <v>116</v>
      </c>
      <c r="H2650" s="5">
        <v>44305</v>
      </c>
      <c r="I2650" s="5">
        <v>44393</v>
      </c>
      <c r="J2650" s="1" t="s">
        <v>41</v>
      </c>
      <c r="K2650" s="1" t="s">
        <v>5604</v>
      </c>
      <c r="L2650" s="1" t="s">
        <v>5605</v>
      </c>
      <c r="M2650" s="1" t="s">
        <v>5606</v>
      </c>
      <c r="N2650" s="1" t="s">
        <v>38</v>
      </c>
      <c r="O2650" s="1" t="s">
        <v>1440</v>
      </c>
      <c r="P2650" s="1" t="s">
        <v>1441</v>
      </c>
      <c r="Q2650" s="1" t="s">
        <v>1916</v>
      </c>
      <c r="R2650" s="1" t="s">
        <v>26</v>
      </c>
      <c r="S2650" s="1"/>
      <c r="U2650" s="1" t="s">
        <v>35</v>
      </c>
      <c r="V2650" s="1" t="s">
        <v>49</v>
      </c>
      <c r="W2650" s="1" t="str">
        <f>VLOOKUP(Table1[[#This Row],[Obergruppe ATC-Code]],Tabelle3!$A$2:$B$100,2)</f>
        <v>PSYCHOLEPTIKA</v>
      </c>
      <c r="X2650" s="1" t="str">
        <f xml:space="preserve"> LEFT(Table1[[#This Row],[Atc Code]],3)</f>
        <v>N05</v>
      </c>
    </row>
    <row r="2651" spans="1:24" ht="14.4">
      <c r="A2651" s="14">
        <v>1186</v>
      </c>
      <c r="B2651" s="24">
        <v>10417758</v>
      </c>
      <c r="C2651" s="1">
        <v>2711919</v>
      </c>
      <c r="D2651" s="1" t="s">
        <v>25</v>
      </c>
      <c r="E2651" s="36">
        <v>44482</v>
      </c>
      <c r="F2651" s="36">
        <v>44530</v>
      </c>
      <c r="G2651" s="38">
        <f t="shared" si="41"/>
        <v>48</v>
      </c>
      <c r="H2651" s="5">
        <v>44491</v>
      </c>
      <c r="I2651" s="5">
        <v>44537</v>
      </c>
      <c r="J2651" s="1" t="s">
        <v>26</v>
      </c>
      <c r="K2651" s="1" t="s">
        <v>5613</v>
      </c>
      <c r="L2651" s="1" t="s">
        <v>5605</v>
      </c>
      <c r="M2651" s="1" t="s">
        <v>5606</v>
      </c>
      <c r="N2651" s="1" t="s">
        <v>38</v>
      </c>
      <c r="O2651" s="1" t="s">
        <v>1440</v>
      </c>
      <c r="P2651" s="1" t="s">
        <v>1540</v>
      </c>
      <c r="Q2651" s="1" t="s">
        <v>1541</v>
      </c>
      <c r="R2651" s="1" t="s">
        <v>26</v>
      </c>
      <c r="S2651" s="1"/>
      <c r="U2651" s="1" t="s">
        <v>35</v>
      </c>
      <c r="V2651" s="1" t="s">
        <v>49</v>
      </c>
      <c r="W2651" s="1" t="str">
        <f>VLOOKUP(Table1[[#This Row],[Obergruppe ATC-Code]],Tabelle3!$A$2:$B$100,2)</f>
        <v>PSYCHOLEPTIKA</v>
      </c>
      <c r="X2651" s="1" t="str">
        <f xml:space="preserve"> LEFT(Table1[[#This Row],[Atc Code]],3)</f>
        <v>N05</v>
      </c>
    </row>
    <row r="2652" spans="1:24" ht="14.4">
      <c r="A2652" s="14">
        <v>1127</v>
      </c>
      <c r="B2652" s="24">
        <v>9466071</v>
      </c>
      <c r="C2652" s="1">
        <v>2706432</v>
      </c>
      <c r="D2652" s="1" t="s">
        <v>25</v>
      </c>
      <c r="E2652" s="36">
        <v>44477</v>
      </c>
      <c r="F2652" s="36">
        <v>44526</v>
      </c>
      <c r="G2652" s="38">
        <f t="shared" si="41"/>
        <v>49</v>
      </c>
      <c r="H2652" s="5">
        <v>44491</v>
      </c>
      <c r="I2652" s="5">
        <v>44537</v>
      </c>
      <c r="J2652" s="1" t="s">
        <v>26</v>
      </c>
      <c r="K2652" s="1" t="s">
        <v>5614</v>
      </c>
      <c r="L2652" s="1" t="s">
        <v>5605</v>
      </c>
      <c r="M2652" s="1" t="s">
        <v>5606</v>
      </c>
      <c r="N2652" s="1" t="s">
        <v>38</v>
      </c>
      <c r="O2652" s="1" t="s">
        <v>1440</v>
      </c>
      <c r="P2652" s="1" t="s">
        <v>1540</v>
      </c>
      <c r="Q2652" s="1" t="s">
        <v>1541</v>
      </c>
      <c r="R2652" s="1" t="s">
        <v>26</v>
      </c>
      <c r="S2652" s="1"/>
      <c r="U2652" s="1" t="s">
        <v>35</v>
      </c>
      <c r="V2652" s="1" t="s">
        <v>49</v>
      </c>
      <c r="W2652" s="1" t="str">
        <f>VLOOKUP(Table1[[#This Row],[Obergruppe ATC-Code]],Tabelle3!$A$2:$B$100,2)</f>
        <v>PSYCHOLEPTIKA</v>
      </c>
      <c r="X2652" s="1" t="str">
        <f xml:space="preserve"> LEFT(Table1[[#This Row],[Atc Code]],3)</f>
        <v>N05</v>
      </c>
    </row>
    <row r="2653" spans="1:24" ht="14.4">
      <c r="A2653" s="14">
        <v>1215</v>
      </c>
      <c r="B2653" s="24">
        <v>11130651</v>
      </c>
      <c r="C2653" s="1">
        <v>2706428</v>
      </c>
      <c r="D2653" s="1" t="s">
        <v>25</v>
      </c>
      <c r="E2653" s="36">
        <v>44505</v>
      </c>
      <c r="F2653" s="36">
        <v>44607</v>
      </c>
      <c r="G2653" s="38">
        <f t="shared" si="41"/>
        <v>102</v>
      </c>
      <c r="H2653" s="5">
        <v>44537</v>
      </c>
      <c r="I2653" s="5">
        <v>44631</v>
      </c>
      <c r="J2653" s="1" t="s">
        <v>26</v>
      </c>
      <c r="K2653" s="1" t="s">
        <v>5611</v>
      </c>
      <c r="L2653" s="1" t="s">
        <v>5605</v>
      </c>
      <c r="M2653" s="1" t="s">
        <v>5606</v>
      </c>
      <c r="N2653" s="1" t="s">
        <v>38</v>
      </c>
      <c r="O2653" s="1" t="s">
        <v>1440</v>
      </c>
      <c r="P2653" s="1" t="s">
        <v>1540</v>
      </c>
      <c r="Q2653" s="1" t="s">
        <v>1541</v>
      </c>
      <c r="R2653" s="1" t="s">
        <v>113</v>
      </c>
      <c r="S2653" s="1"/>
      <c r="U2653" s="1" t="s">
        <v>35</v>
      </c>
      <c r="V2653" s="1" t="s">
        <v>49</v>
      </c>
      <c r="W2653" s="1" t="str">
        <f>VLOOKUP(Table1[[#This Row],[Obergruppe ATC-Code]],Tabelle3!$A$2:$B$100,2)</f>
        <v>PSYCHOLEPTIKA</v>
      </c>
      <c r="X2653" s="1" t="str">
        <f xml:space="preserve"> LEFT(Table1[[#This Row],[Atc Code]],3)</f>
        <v>N05</v>
      </c>
    </row>
    <row r="2654" spans="1:24" ht="14.4">
      <c r="A2654" s="14">
        <v>1210</v>
      </c>
      <c r="B2654" s="24">
        <v>11130639</v>
      </c>
      <c r="C2654" s="1">
        <v>2706422</v>
      </c>
      <c r="D2654" s="1" t="s">
        <v>25</v>
      </c>
      <c r="E2654" s="36">
        <v>44515</v>
      </c>
      <c r="F2654" s="36">
        <v>44636</v>
      </c>
      <c r="G2654" s="38">
        <f t="shared" si="41"/>
        <v>121</v>
      </c>
      <c r="H2654" s="5">
        <v>44537</v>
      </c>
      <c r="I2654" s="5">
        <v>44648</v>
      </c>
      <c r="J2654" s="1" t="s">
        <v>26</v>
      </c>
      <c r="K2654" s="1" t="s">
        <v>5608</v>
      </c>
      <c r="L2654" s="1" t="s">
        <v>5605</v>
      </c>
      <c r="M2654" s="1" t="s">
        <v>5606</v>
      </c>
      <c r="N2654" s="1" t="s">
        <v>38</v>
      </c>
      <c r="O2654" s="1" t="s">
        <v>1440</v>
      </c>
      <c r="P2654" s="1" t="s">
        <v>1540</v>
      </c>
      <c r="Q2654" s="1" t="s">
        <v>1541</v>
      </c>
      <c r="R2654" s="1" t="s">
        <v>113</v>
      </c>
      <c r="S2654" s="1"/>
      <c r="U2654" s="1" t="s">
        <v>35</v>
      </c>
      <c r="V2654" s="1" t="s">
        <v>49</v>
      </c>
      <c r="W2654" s="1" t="str">
        <f>VLOOKUP(Table1[[#This Row],[Obergruppe ATC-Code]],Tabelle3!$A$2:$B$100,2)</f>
        <v>PSYCHOLEPTIKA</v>
      </c>
      <c r="X2654" s="1" t="str">
        <f xml:space="preserve"> LEFT(Table1[[#This Row],[Atc Code]],3)</f>
        <v>N05</v>
      </c>
    </row>
    <row r="2655" spans="1:24" ht="14.4">
      <c r="A2655" s="14">
        <v>1125</v>
      </c>
      <c r="B2655" s="24">
        <v>9466036</v>
      </c>
      <c r="C2655" s="1">
        <v>2706429</v>
      </c>
      <c r="D2655" s="1" t="s">
        <v>25</v>
      </c>
      <c r="E2655" s="36">
        <v>44469</v>
      </c>
      <c r="F2655" s="36">
        <v>44652</v>
      </c>
      <c r="G2655" s="38">
        <f t="shared" si="41"/>
        <v>183</v>
      </c>
      <c r="H2655" s="5">
        <v>44491</v>
      </c>
      <c r="I2655" s="5">
        <v>44663</v>
      </c>
      <c r="J2655" s="1" t="s">
        <v>26</v>
      </c>
      <c r="K2655" s="1" t="s">
        <v>5609</v>
      </c>
      <c r="L2655" s="1" t="s">
        <v>5605</v>
      </c>
      <c r="M2655" s="1" t="s">
        <v>5606</v>
      </c>
      <c r="N2655" s="1" t="s">
        <v>38</v>
      </c>
      <c r="O2655" s="1" t="s">
        <v>1440</v>
      </c>
      <c r="P2655" s="1" t="s">
        <v>1540</v>
      </c>
      <c r="Q2655" s="1" t="s">
        <v>1541</v>
      </c>
      <c r="R2655" s="1" t="s">
        <v>113</v>
      </c>
      <c r="S2655" s="1"/>
      <c r="U2655" s="1" t="s">
        <v>35</v>
      </c>
      <c r="V2655" s="1" t="s">
        <v>49</v>
      </c>
      <c r="W2655" s="1" t="str">
        <f>VLOOKUP(Table1[[#This Row],[Obergruppe ATC-Code]],Tabelle3!$A$2:$B$100,2)</f>
        <v>PSYCHOLEPTIKA</v>
      </c>
      <c r="X2655" s="1" t="str">
        <f xml:space="preserve"> LEFT(Table1[[#This Row],[Atc Code]],3)</f>
        <v>N05</v>
      </c>
    </row>
    <row r="2656" spans="1:24" ht="14.4">
      <c r="A2656" s="14">
        <v>1185</v>
      </c>
      <c r="B2656" s="24">
        <v>10417758</v>
      </c>
      <c r="C2656" s="1">
        <v>2711919</v>
      </c>
      <c r="D2656" s="1" t="s">
        <v>25</v>
      </c>
      <c r="E2656" s="36">
        <v>44928</v>
      </c>
      <c r="F2656" s="36">
        <v>44972</v>
      </c>
      <c r="G2656" s="38">
        <f t="shared" si="41"/>
        <v>44</v>
      </c>
      <c r="H2656" s="5">
        <v>44943</v>
      </c>
      <c r="I2656" s="5">
        <v>44998</v>
      </c>
      <c r="J2656" s="1" t="s">
        <v>26</v>
      </c>
      <c r="K2656" s="1" t="s">
        <v>5613</v>
      </c>
      <c r="L2656" s="1" t="s">
        <v>5605</v>
      </c>
      <c r="M2656" s="1" t="s">
        <v>5606</v>
      </c>
      <c r="N2656" s="1" t="s">
        <v>38</v>
      </c>
      <c r="O2656" s="1" t="s">
        <v>1440</v>
      </c>
      <c r="P2656" s="1" t="s">
        <v>1540</v>
      </c>
      <c r="Q2656" s="1" t="s">
        <v>1541</v>
      </c>
      <c r="R2656" s="1" t="s">
        <v>113</v>
      </c>
      <c r="S2656" s="1"/>
      <c r="U2656" s="1" t="s">
        <v>35</v>
      </c>
      <c r="V2656" s="1" t="s">
        <v>49</v>
      </c>
      <c r="W2656" s="1" t="str">
        <f>VLOOKUP(Table1[[#This Row],[Obergruppe ATC-Code]],Tabelle3!$A$2:$B$100,2)</f>
        <v>PSYCHOLEPTIKA</v>
      </c>
      <c r="X2656" s="1" t="str">
        <f xml:space="preserve"> LEFT(Table1[[#This Row],[Atc Code]],3)</f>
        <v>N05</v>
      </c>
    </row>
    <row r="2657" spans="1:24" ht="14.4">
      <c r="A2657" s="14">
        <v>1124</v>
      </c>
      <c r="B2657" s="24">
        <v>9466036</v>
      </c>
      <c r="C2657" s="1">
        <v>2706429</v>
      </c>
      <c r="D2657" s="1" t="s">
        <v>25</v>
      </c>
      <c r="E2657" s="36">
        <v>44956</v>
      </c>
      <c r="F2657" s="36">
        <v>45028</v>
      </c>
      <c r="G2657" s="38">
        <f t="shared" si="41"/>
        <v>72</v>
      </c>
      <c r="H2657" s="5">
        <v>44967</v>
      </c>
      <c r="I2657" s="5">
        <v>45035</v>
      </c>
      <c r="J2657" s="1" t="s">
        <v>26</v>
      </c>
      <c r="K2657" s="1" t="s">
        <v>5609</v>
      </c>
      <c r="L2657" s="1" t="s">
        <v>5605</v>
      </c>
      <c r="M2657" s="1" t="s">
        <v>5606</v>
      </c>
      <c r="N2657" s="1" t="s">
        <v>38</v>
      </c>
      <c r="O2657" s="1" t="s">
        <v>1440</v>
      </c>
      <c r="P2657" s="1" t="s">
        <v>1540</v>
      </c>
      <c r="Q2657" s="1" t="s">
        <v>1541</v>
      </c>
      <c r="R2657" s="1" t="s">
        <v>113</v>
      </c>
      <c r="S2657" s="1"/>
      <c r="U2657" s="1" t="s">
        <v>35</v>
      </c>
      <c r="V2657" s="1" t="s">
        <v>49</v>
      </c>
      <c r="W2657" s="1" t="str">
        <f>VLOOKUP(Table1[[#This Row],[Obergruppe ATC-Code]],Tabelle3!$A$2:$B$100,2)</f>
        <v>PSYCHOLEPTIKA</v>
      </c>
      <c r="X2657" s="1" t="str">
        <f xml:space="preserve"> LEFT(Table1[[#This Row],[Atc Code]],3)</f>
        <v>N05</v>
      </c>
    </row>
    <row r="2658" spans="1:24" ht="14.4">
      <c r="A2658" s="14">
        <v>1214</v>
      </c>
      <c r="B2658" s="24">
        <v>11130651</v>
      </c>
      <c r="C2658" s="1">
        <v>2706428</v>
      </c>
      <c r="D2658" s="1" t="s">
        <v>25</v>
      </c>
      <c r="E2658" s="36">
        <v>45030</v>
      </c>
      <c r="F2658" s="36">
        <v>45086</v>
      </c>
      <c r="G2658" s="38">
        <f t="shared" si="41"/>
        <v>56</v>
      </c>
      <c r="H2658" s="5">
        <v>45037</v>
      </c>
      <c r="I2658" s="5">
        <v>45076</v>
      </c>
      <c r="J2658" s="1" t="s">
        <v>26</v>
      </c>
      <c r="K2658" s="1" t="s">
        <v>5611</v>
      </c>
      <c r="L2658" s="1" t="s">
        <v>5605</v>
      </c>
      <c r="M2658" s="1" t="s">
        <v>5606</v>
      </c>
      <c r="N2658" s="1" t="s">
        <v>38</v>
      </c>
      <c r="O2658" s="1" t="s">
        <v>1440</v>
      </c>
      <c r="P2658" s="1" t="s">
        <v>1540</v>
      </c>
      <c r="Q2658" s="1" t="s">
        <v>1916</v>
      </c>
      <c r="R2658" s="1" t="s">
        <v>113</v>
      </c>
      <c r="S2658" s="1"/>
      <c r="U2658" s="1" t="s">
        <v>35</v>
      </c>
      <c r="V2658" s="1" t="s">
        <v>49</v>
      </c>
      <c r="W2658" s="1" t="str">
        <f>VLOOKUP(Table1[[#This Row],[Obergruppe ATC-Code]],Tabelle3!$A$2:$B$100,2)</f>
        <v>PSYCHOLEPTIKA</v>
      </c>
      <c r="X2658" s="1" t="str">
        <f xml:space="preserve"> LEFT(Table1[[#This Row],[Atc Code]],3)</f>
        <v>N05</v>
      </c>
    </row>
    <row r="2659" spans="1:24" ht="14.4">
      <c r="A2659" s="14">
        <v>1184</v>
      </c>
      <c r="B2659" s="24">
        <v>10417758</v>
      </c>
      <c r="C2659" s="1">
        <v>2711919</v>
      </c>
      <c r="D2659" s="1" t="s">
        <v>25</v>
      </c>
      <c r="E2659" s="36">
        <v>45030</v>
      </c>
      <c r="F2659" s="36">
        <v>45079</v>
      </c>
      <c r="G2659" s="38">
        <f t="shared" si="41"/>
        <v>49</v>
      </c>
      <c r="H2659" s="5">
        <v>45037</v>
      </c>
      <c r="I2659" s="5">
        <v>45076</v>
      </c>
      <c r="J2659" s="1" t="s">
        <v>26</v>
      </c>
      <c r="K2659" s="1" t="s">
        <v>5613</v>
      </c>
      <c r="L2659" s="1" t="s">
        <v>5605</v>
      </c>
      <c r="M2659" s="1" t="s">
        <v>5606</v>
      </c>
      <c r="N2659" s="1" t="s">
        <v>38</v>
      </c>
      <c r="O2659" s="1" t="s">
        <v>1440</v>
      </c>
      <c r="P2659" s="1" t="s">
        <v>1540</v>
      </c>
      <c r="Q2659" s="1" t="s">
        <v>1916</v>
      </c>
      <c r="R2659" s="1" t="s">
        <v>113</v>
      </c>
      <c r="S2659" s="1"/>
      <c r="U2659" s="1" t="s">
        <v>35</v>
      </c>
      <c r="V2659" s="1" t="s">
        <v>49</v>
      </c>
      <c r="W2659" s="1" t="str">
        <f>VLOOKUP(Table1[[#This Row],[Obergruppe ATC-Code]],Tabelle3!$A$2:$B$100,2)</f>
        <v>PSYCHOLEPTIKA</v>
      </c>
      <c r="X2659" s="1" t="str">
        <f xml:space="preserve"> LEFT(Table1[[#This Row],[Atc Code]],3)</f>
        <v>N05</v>
      </c>
    </row>
    <row r="2660" spans="1:24" ht="14.4">
      <c r="A2660" s="14">
        <v>1177</v>
      </c>
      <c r="B2660" s="24">
        <v>10229270</v>
      </c>
      <c r="C2660" s="1">
        <v>2706419</v>
      </c>
      <c r="D2660" s="1" t="s">
        <v>25</v>
      </c>
      <c r="E2660" s="36">
        <v>44949</v>
      </c>
      <c r="F2660" s="36">
        <v>45070</v>
      </c>
      <c r="G2660" s="38">
        <f t="shared" si="41"/>
        <v>121</v>
      </c>
      <c r="H2660" s="5">
        <v>44967</v>
      </c>
      <c r="I2660" s="5">
        <v>45076</v>
      </c>
      <c r="J2660" s="1" t="s">
        <v>26</v>
      </c>
      <c r="K2660" s="1" t="s">
        <v>5615</v>
      </c>
      <c r="L2660" s="1" t="s">
        <v>5605</v>
      </c>
      <c r="M2660" s="1" t="s">
        <v>5606</v>
      </c>
      <c r="N2660" s="1" t="s">
        <v>38</v>
      </c>
      <c r="O2660" s="1" t="s">
        <v>1440</v>
      </c>
      <c r="P2660" s="1" t="s">
        <v>1540</v>
      </c>
      <c r="Q2660" s="1" t="s">
        <v>1541</v>
      </c>
      <c r="R2660" s="1" t="s">
        <v>113</v>
      </c>
      <c r="S2660" s="1"/>
      <c r="U2660" s="1" t="s">
        <v>35</v>
      </c>
      <c r="V2660" s="1" t="s">
        <v>49</v>
      </c>
      <c r="W2660" s="1" t="str">
        <f>VLOOKUP(Table1[[#This Row],[Obergruppe ATC-Code]],Tabelle3!$A$2:$B$100,2)</f>
        <v>PSYCHOLEPTIKA</v>
      </c>
      <c r="X2660" s="1" t="str">
        <f xml:space="preserve"> LEFT(Table1[[#This Row],[Atc Code]],3)</f>
        <v>N05</v>
      </c>
    </row>
    <row r="2661" spans="1:24" ht="14.4">
      <c r="A2661" s="14">
        <v>1126</v>
      </c>
      <c r="B2661" s="24">
        <v>9466071</v>
      </c>
      <c r="C2661" s="1">
        <v>2706432</v>
      </c>
      <c r="D2661" s="1" t="s">
        <v>25</v>
      </c>
      <c r="E2661" s="36">
        <v>44928</v>
      </c>
      <c r="F2661" s="36">
        <v>45070</v>
      </c>
      <c r="G2661" s="38">
        <f t="shared" si="41"/>
        <v>142</v>
      </c>
      <c r="H2661" s="5">
        <v>44942</v>
      </c>
      <c r="I2661" s="5">
        <v>45076</v>
      </c>
      <c r="J2661" s="1" t="s">
        <v>26</v>
      </c>
      <c r="K2661" s="1" t="s">
        <v>5614</v>
      </c>
      <c r="L2661" s="1" t="s">
        <v>5605</v>
      </c>
      <c r="M2661" s="1" t="s">
        <v>5606</v>
      </c>
      <c r="N2661" s="1" t="s">
        <v>38</v>
      </c>
      <c r="O2661" s="1" t="s">
        <v>1440</v>
      </c>
      <c r="P2661" s="1" t="s">
        <v>1540</v>
      </c>
      <c r="Q2661" s="1" t="s">
        <v>1541</v>
      </c>
      <c r="R2661" s="1" t="s">
        <v>113</v>
      </c>
      <c r="S2661" s="1"/>
      <c r="U2661" s="1" t="s">
        <v>35</v>
      </c>
      <c r="V2661" s="1" t="s">
        <v>49</v>
      </c>
      <c r="W2661" s="1" t="str">
        <f>VLOOKUP(Table1[[#This Row],[Obergruppe ATC-Code]],Tabelle3!$A$2:$B$100,2)</f>
        <v>PSYCHOLEPTIKA</v>
      </c>
      <c r="X2661" s="1" t="str">
        <f xml:space="preserve"> LEFT(Table1[[#This Row],[Atc Code]],3)</f>
        <v>N05</v>
      </c>
    </row>
    <row r="2662" spans="1:24" ht="14.4">
      <c r="A2662" s="14">
        <v>1117</v>
      </c>
      <c r="B2662" s="24">
        <v>9465893</v>
      </c>
      <c r="C2662" s="1">
        <v>2706420</v>
      </c>
      <c r="D2662" s="1" t="s">
        <v>25</v>
      </c>
      <c r="E2662" s="36">
        <v>44928</v>
      </c>
      <c r="F2662" s="36">
        <v>45079</v>
      </c>
      <c r="G2662" s="38">
        <f t="shared" si="41"/>
        <v>151</v>
      </c>
      <c r="H2662" s="5">
        <v>44943</v>
      </c>
      <c r="I2662" s="5">
        <v>45076</v>
      </c>
      <c r="J2662" s="1" t="s">
        <v>26</v>
      </c>
      <c r="K2662" s="1" t="s">
        <v>5616</v>
      </c>
      <c r="L2662" s="1" t="s">
        <v>5605</v>
      </c>
      <c r="M2662" s="1" t="s">
        <v>5606</v>
      </c>
      <c r="N2662" s="1" t="s">
        <v>38</v>
      </c>
      <c r="O2662" s="1" t="s">
        <v>1440</v>
      </c>
      <c r="P2662" s="1" t="s">
        <v>1540</v>
      </c>
      <c r="Q2662" s="1" t="s">
        <v>1541</v>
      </c>
      <c r="R2662" s="1" t="s">
        <v>113</v>
      </c>
      <c r="S2662" s="1"/>
      <c r="U2662" s="1" t="s">
        <v>35</v>
      </c>
      <c r="V2662" s="1" t="s">
        <v>49</v>
      </c>
      <c r="W2662" s="1" t="str">
        <f>VLOOKUP(Table1[[#This Row],[Obergruppe ATC-Code]],Tabelle3!$A$2:$B$100,2)</f>
        <v>PSYCHOLEPTIKA</v>
      </c>
      <c r="X2662" s="1" t="str">
        <f xml:space="preserve"> LEFT(Table1[[#This Row],[Atc Code]],3)</f>
        <v>N05</v>
      </c>
    </row>
    <row r="2663" spans="1:24" ht="14.4">
      <c r="A2663" s="14">
        <v>1212</v>
      </c>
      <c r="B2663" s="24">
        <v>11130645</v>
      </c>
      <c r="C2663" s="1">
        <v>2706425</v>
      </c>
      <c r="D2663" s="1" t="s">
        <v>25</v>
      </c>
      <c r="E2663" s="36">
        <v>45132</v>
      </c>
      <c r="F2663" s="36">
        <v>45184</v>
      </c>
      <c r="G2663" s="38">
        <f t="shared" si="41"/>
        <v>52</v>
      </c>
      <c r="H2663" s="5">
        <v>45141</v>
      </c>
      <c r="I2663" s="5">
        <v>45177</v>
      </c>
      <c r="J2663" s="1" t="s">
        <v>26</v>
      </c>
      <c r="K2663" s="1" t="s">
        <v>5610</v>
      </c>
      <c r="L2663" s="1" t="s">
        <v>5605</v>
      </c>
      <c r="M2663" s="1" t="s">
        <v>5606</v>
      </c>
      <c r="N2663" s="1" t="s">
        <v>38</v>
      </c>
      <c r="O2663" s="1" t="s">
        <v>1440</v>
      </c>
      <c r="Q2663" s="1" t="s">
        <v>1541</v>
      </c>
      <c r="R2663" s="1" t="s">
        <v>113</v>
      </c>
      <c r="S2663" s="1"/>
      <c r="U2663" s="1" t="s">
        <v>35</v>
      </c>
      <c r="V2663" s="1" t="s">
        <v>49</v>
      </c>
      <c r="W2663" s="1" t="str">
        <f>VLOOKUP(Table1[[#This Row],[Obergruppe ATC-Code]],Tabelle3!$A$2:$B$100,2)</f>
        <v>PSYCHOLEPTIKA</v>
      </c>
      <c r="X2663" s="1" t="str">
        <f xml:space="preserve"> LEFT(Table1[[#This Row],[Atc Code]],3)</f>
        <v>N05</v>
      </c>
    </row>
    <row r="2664" spans="1:24" ht="14.4">
      <c r="A2664" s="14">
        <v>1209</v>
      </c>
      <c r="B2664" s="24">
        <v>11130639</v>
      </c>
      <c r="C2664" s="1">
        <v>2706422</v>
      </c>
      <c r="D2664" s="1" t="s">
        <v>25</v>
      </c>
      <c r="E2664" s="36">
        <v>44956</v>
      </c>
      <c r="F2664" s="36">
        <v>45198</v>
      </c>
      <c r="G2664" s="38">
        <f t="shared" si="41"/>
        <v>242</v>
      </c>
      <c r="H2664" s="5">
        <v>44967</v>
      </c>
      <c r="I2664" s="5">
        <v>45177</v>
      </c>
      <c r="J2664" s="1" t="s">
        <v>26</v>
      </c>
      <c r="K2664" s="1" t="s">
        <v>5608</v>
      </c>
      <c r="L2664" s="1" t="s">
        <v>5605</v>
      </c>
      <c r="M2664" s="1" t="s">
        <v>5606</v>
      </c>
      <c r="N2664" s="1" t="s">
        <v>38</v>
      </c>
      <c r="O2664" s="1" t="s">
        <v>1440</v>
      </c>
      <c r="P2664" s="1" t="s">
        <v>1540</v>
      </c>
      <c r="Q2664" s="1" t="s">
        <v>1541</v>
      </c>
      <c r="R2664" s="1" t="s">
        <v>113</v>
      </c>
      <c r="S2664" s="1"/>
      <c r="U2664" s="1" t="s">
        <v>35</v>
      </c>
      <c r="V2664" s="1" t="s">
        <v>49</v>
      </c>
      <c r="W2664" s="1" t="str">
        <f>VLOOKUP(Table1[[#This Row],[Obergruppe ATC-Code]],Tabelle3!$A$2:$B$100,2)</f>
        <v>PSYCHOLEPTIKA</v>
      </c>
      <c r="X2664" s="1" t="str">
        <f xml:space="preserve"> LEFT(Table1[[#This Row],[Atc Code]],3)</f>
        <v>N05</v>
      </c>
    </row>
    <row r="2665" spans="1:24" ht="14.4">
      <c r="A2665" s="14">
        <v>1122</v>
      </c>
      <c r="B2665" s="24">
        <v>9465982</v>
      </c>
      <c r="C2665" s="1">
        <v>2706426</v>
      </c>
      <c r="D2665" s="1" t="s">
        <v>25</v>
      </c>
      <c r="E2665" s="36">
        <v>45105</v>
      </c>
      <c r="F2665" s="36">
        <v>45184</v>
      </c>
      <c r="G2665" s="38">
        <f t="shared" si="41"/>
        <v>79</v>
      </c>
      <c r="H2665" s="5">
        <v>45141</v>
      </c>
      <c r="I2665" s="5">
        <v>45177</v>
      </c>
      <c r="J2665" s="1" t="s">
        <v>26</v>
      </c>
      <c r="K2665" s="1" t="s">
        <v>5607</v>
      </c>
      <c r="L2665" s="1" t="s">
        <v>5605</v>
      </c>
      <c r="M2665" s="1" t="s">
        <v>5606</v>
      </c>
      <c r="N2665" s="1" t="s">
        <v>38</v>
      </c>
      <c r="O2665" s="1" t="s">
        <v>1440</v>
      </c>
      <c r="Q2665" s="1" t="s">
        <v>1541</v>
      </c>
      <c r="R2665" s="1" t="s">
        <v>113</v>
      </c>
      <c r="S2665" s="1"/>
      <c r="U2665" s="1" t="s">
        <v>35</v>
      </c>
      <c r="V2665" s="1" t="s">
        <v>49</v>
      </c>
      <c r="W2665" s="1" t="str">
        <f>VLOOKUP(Table1[[#This Row],[Obergruppe ATC-Code]],Tabelle3!$A$2:$B$100,2)</f>
        <v>PSYCHOLEPTIKA</v>
      </c>
      <c r="X2665" s="1" t="str">
        <f xml:space="preserve"> LEFT(Table1[[#This Row],[Atc Code]],3)</f>
        <v>N05</v>
      </c>
    </row>
    <row r="2666" spans="1:24" ht="14.4">
      <c r="A2666" s="14">
        <v>1120</v>
      </c>
      <c r="B2666" s="24">
        <v>9465953</v>
      </c>
      <c r="C2666" s="1">
        <v>2706424</v>
      </c>
      <c r="D2666" s="1" t="s">
        <v>25</v>
      </c>
      <c r="E2666" s="36">
        <v>45030</v>
      </c>
      <c r="F2666" s="36">
        <v>45184</v>
      </c>
      <c r="G2666" s="38">
        <f t="shared" si="41"/>
        <v>154</v>
      </c>
      <c r="H2666" s="5">
        <v>45037</v>
      </c>
      <c r="I2666" s="5">
        <v>45177</v>
      </c>
      <c r="J2666" s="1" t="s">
        <v>26</v>
      </c>
      <c r="K2666" s="1" t="s">
        <v>5617</v>
      </c>
      <c r="L2666" s="1" t="s">
        <v>5605</v>
      </c>
      <c r="M2666" s="1" t="s">
        <v>5606</v>
      </c>
      <c r="N2666" s="1" t="s">
        <v>38</v>
      </c>
      <c r="O2666" s="1" t="s">
        <v>1440</v>
      </c>
      <c r="P2666" s="1" t="s">
        <v>1540</v>
      </c>
      <c r="Q2666" s="1" t="s">
        <v>1916</v>
      </c>
      <c r="R2666" s="1" t="s">
        <v>113</v>
      </c>
      <c r="S2666" s="1"/>
      <c r="U2666" s="1" t="s">
        <v>35</v>
      </c>
      <c r="V2666" s="1" t="s">
        <v>49</v>
      </c>
      <c r="W2666" s="1" t="str">
        <f>VLOOKUP(Table1[[#This Row],[Obergruppe ATC-Code]],Tabelle3!$A$2:$B$100,2)</f>
        <v>PSYCHOLEPTIKA</v>
      </c>
      <c r="X2666" s="1" t="str">
        <f xml:space="preserve"> LEFT(Table1[[#This Row],[Atc Code]],3)</f>
        <v>N05</v>
      </c>
    </row>
    <row r="2667" spans="1:24" ht="14.4">
      <c r="A2667" s="14">
        <v>1119</v>
      </c>
      <c r="B2667" s="24">
        <v>9465930</v>
      </c>
      <c r="C2667" s="1">
        <v>2706423</v>
      </c>
      <c r="D2667" s="1" t="s">
        <v>25</v>
      </c>
      <c r="E2667" s="36">
        <v>45124</v>
      </c>
      <c r="F2667" s="36">
        <v>45198</v>
      </c>
      <c r="G2667" s="38">
        <f t="shared" si="41"/>
        <v>74</v>
      </c>
      <c r="H2667" s="5">
        <v>45141</v>
      </c>
      <c r="I2667" s="5">
        <v>45177</v>
      </c>
      <c r="J2667" s="1" t="s">
        <v>26</v>
      </c>
      <c r="K2667" s="1" t="s">
        <v>5618</v>
      </c>
      <c r="L2667" s="1" t="s">
        <v>5605</v>
      </c>
      <c r="M2667" s="1" t="s">
        <v>5606</v>
      </c>
      <c r="N2667" s="1" t="s">
        <v>38</v>
      </c>
      <c r="O2667" s="1" t="s">
        <v>1440</v>
      </c>
      <c r="Q2667" s="1" t="s">
        <v>1541</v>
      </c>
      <c r="R2667" s="1" t="s">
        <v>113</v>
      </c>
      <c r="S2667" s="1"/>
      <c r="U2667" s="1" t="s">
        <v>35</v>
      </c>
      <c r="V2667" s="1" t="s">
        <v>49</v>
      </c>
      <c r="W2667" s="1" t="str">
        <f>VLOOKUP(Table1[[#This Row],[Obergruppe ATC-Code]],Tabelle3!$A$2:$B$100,2)</f>
        <v>PSYCHOLEPTIKA</v>
      </c>
      <c r="X2667" s="1" t="str">
        <f xml:space="preserve"> LEFT(Table1[[#This Row],[Atc Code]],3)</f>
        <v>N05</v>
      </c>
    </row>
    <row r="2668" spans="1:24" ht="14.4">
      <c r="A2668" s="14">
        <v>1118</v>
      </c>
      <c r="B2668" s="24">
        <v>9465918</v>
      </c>
      <c r="C2668" s="1">
        <v>2706421</v>
      </c>
      <c r="D2668" s="1" t="s">
        <v>25</v>
      </c>
      <c r="E2668" s="36">
        <v>45057</v>
      </c>
      <c r="F2668" s="36">
        <v>45198</v>
      </c>
      <c r="G2668" s="38">
        <f t="shared" si="41"/>
        <v>141</v>
      </c>
      <c r="H2668" s="5">
        <v>45078</v>
      </c>
      <c r="I2668" s="5">
        <v>45177</v>
      </c>
      <c r="J2668" s="1" t="s">
        <v>26</v>
      </c>
      <c r="K2668" s="1" t="s">
        <v>5619</v>
      </c>
      <c r="L2668" s="1" t="s">
        <v>5605</v>
      </c>
      <c r="M2668" s="1" t="s">
        <v>5606</v>
      </c>
      <c r="N2668" s="1" t="s">
        <v>38</v>
      </c>
      <c r="O2668" s="1" t="s">
        <v>1440</v>
      </c>
      <c r="Q2668" s="1" t="s">
        <v>1916</v>
      </c>
      <c r="R2668" s="1" t="s">
        <v>113</v>
      </c>
      <c r="S2668" s="1"/>
      <c r="U2668" s="1" t="s">
        <v>35</v>
      </c>
      <c r="V2668" s="1" t="s">
        <v>49</v>
      </c>
      <c r="W2668" s="1" t="str">
        <f>VLOOKUP(Table1[[#This Row],[Obergruppe ATC-Code]],Tabelle3!$A$2:$B$100,2)</f>
        <v>PSYCHOLEPTIKA</v>
      </c>
      <c r="X2668" s="1" t="str">
        <f xml:space="preserve"> LEFT(Table1[[#This Row],[Atc Code]],3)</f>
        <v>N05</v>
      </c>
    </row>
    <row r="2669" spans="1:24" ht="14.4">
      <c r="A2669" s="14">
        <v>1846</v>
      </c>
      <c r="B2669" s="24" t="s">
        <v>5620</v>
      </c>
      <c r="C2669" s="1" t="s">
        <v>5621</v>
      </c>
      <c r="D2669" s="1" t="s">
        <v>25</v>
      </c>
      <c r="E2669" s="36">
        <v>44501</v>
      </c>
      <c r="F2669" s="36">
        <v>44621</v>
      </c>
      <c r="G2669" s="38">
        <f t="shared" si="41"/>
        <v>120</v>
      </c>
      <c r="H2669" s="5">
        <v>44509</v>
      </c>
      <c r="I2669" s="5">
        <v>44642</v>
      </c>
      <c r="J2669" s="1" t="s">
        <v>26</v>
      </c>
      <c r="K2669" s="1" t="s">
        <v>5622</v>
      </c>
      <c r="L2669" s="1" t="s">
        <v>5623</v>
      </c>
      <c r="M2669" s="1" t="s">
        <v>5624</v>
      </c>
      <c r="N2669" s="1" t="s">
        <v>38</v>
      </c>
      <c r="O2669" s="1" t="s">
        <v>1035</v>
      </c>
      <c r="Q2669" s="1" t="s">
        <v>1036</v>
      </c>
      <c r="R2669" s="1" t="s">
        <v>26</v>
      </c>
      <c r="S2669" s="1"/>
      <c r="U2669" s="1" t="s">
        <v>130</v>
      </c>
      <c r="V2669" s="1" t="s">
        <v>99</v>
      </c>
      <c r="W2669" s="1" t="str">
        <f>VLOOKUP(Table1[[#This Row],[Obergruppe ATC-Code]],Tabelle3!$A$2:$B$100,2)</f>
        <v>PSYCHOLEPTIKA</v>
      </c>
      <c r="X2669" s="1" t="str">
        <f xml:space="preserve"> LEFT(Table1[[#This Row],[Atc Code]],3)</f>
        <v>N05</v>
      </c>
    </row>
    <row r="2670" spans="1:24" ht="14.4">
      <c r="A2670" s="14">
        <v>1428</v>
      </c>
      <c r="B2670" s="24">
        <v>14179534</v>
      </c>
      <c r="C2670" s="1">
        <v>373669</v>
      </c>
      <c r="D2670" s="1" t="s">
        <v>25</v>
      </c>
      <c r="E2670" s="36">
        <v>44788</v>
      </c>
      <c r="F2670" s="36">
        <v>45062</v>
      </c>
      <c r="G2670" s="38">
        <f t="shared" si="41"/>
        <v>274</v>
      </c>
      <c r="H2670" s="5">
        <v>44799</v>
      </c>
      <c r="I2670" s="5">
        <v>45057</v>
      </c>
      <c r="J2670" s="1" t="s">
        <v>26</v>
      </c>
      <c r="K2670" s="1" t="s">
        <v>5625</v>
      </c>
      <c r="L2670" s="1" t="s">
        <v>5623</v>
      </c>
      <c r="M2670" s="1" t="s">
        <v>5624</v>
      </c>
      <c r="N2670" s="1" t="s">
        <v>38</v>
      </c>
      <c r="O2670" s="1" t="s">
        <v>1035</v>
      </c>
      <c r="Q2670" s="1" t="s">
        <v>1036</v>
      </c>
      <c r="R2670" s="1" t="s">
        <v>26</v>
      </c>
      <c r="S2670" s="1"/>
      <c r="U2670" s="1" t="s">
        <v>130</v>
      </c>
      <c r="V2670" s="1" t="s">
        <v>639</v>
      </c>
      <c r="W2670" s="1" t="str">
        <f>VLOOKUP(Table1[[#This Row],[Obergruppe ATC-Code]],Tabelle3!$A$2:$B$100,2)</f>
        <v>PSYCHOLEPTIKA</v>
      </c>
      <c r="X2670" s="1" t="str">
        <f xml:space="preserve"> LEFT(Table1[[#This Row],[Atc Code]],3)</f>
        <v>N05</v>
      </c>
    </row>
    <row r="2671" spans="1:24" ht="14.4">
      <c r="A2671" s="14">
        <v>231</v>
      </c>
      <c r="B2671" s="24">
        <v>1314137</v>
      </c>
      <c r="C2671" s="1">
        <v>373586</v>
      </c>
      <c r="D2671" s="1" t="s">
        <v>25</v>
      </c>
      <c r="E2671" s="36">
        <v>44788</v>
      </c>
      <c r="F2671" s="36">
        <v>45046</v>
      </c>
      <c r="G2671" s="38">
        <f t="shared" si="41"/>
        <v>258</v>
      </c>
      <c r="H2671" s="5">
        <v>44799</v>
      </c>
      <c r="I2671" s="5">
        <v>45057</v>
      </c>
      <c r="J2671" s="1" t="s">
        <v>26</v>
      </c>
      <c r="K2671" s="1" t="s">
        <v>5622</v>
      </c>
      <c r="L2671" s="1" t="s">
        <v>5623</v>
      </c>
      <c r="M2671" s="1" t="s">
        <v>5624</v>
      </c>
      <c r="N2671" s="1" t="s">
        <v>38</v>
      </c>
      <c r="O2671" s="1" t="s">
        <v>1035</v>
      </c>
      <c r="Q2671" s="1" t="s">
        <v>1036</v>
      </c>
      <c r="R2671" s="1" t="s">
        <v>26</v>
      </c>
      <c r="S2671" s="1"/>
      <c r="U2671" s="1" t="s">
        <v>130</v>
      </c>
      <c r="V2671" s="1" t="s">
        <v>99</v>
      </c>
      <c r="W2671" s="1" t="str">
        <f>VLOOKUP(Table1[[#This Row],[Obergruppe ATC-Code]],Tabelle3!$A$2:$B$100,2)</f>
        <v>PSYCHOLEPTIKA</v>
      </c>
      <c r="X2671" s="1" t="str">
        <f xml:space="preserve"> LEFT(Table1[[#This Row],[Atc Code]],3)</f>
        <v>N05</v>
      </c>
    </row>
    <row r="2672" spans="1:24" ht="14.4">
      <c r="A2672" s="14">
        <v>2645</v>
      </c>
      <c r="B2672" s="24" t="s">
        <v>5626</v>
      </c>
      <c r="C2672" s="1">
        <v>2195716</v>
      </c>
      <c r="D2672" s="1" t="s">
        <v>25</v>
      </c>
      <c r="E2672" s="36">
        <v>44287</v>
      </c>
      <c r="F2672" s="36">
        <v>44501</v>
      </c>
      <c r="G2672" s="38">
        <f t="shared" si="41"/>
        <v>214</v>
      </c>
      <c r="H2672" s="5">
        <v>44301</v>
      </c>
      <c r="I2672" s="5">
        <v>44515</v>
      </c>
      <c r="J2672" s="1" t="s">
        <v>26</v>
      </c>
      <c r="K2672" s="1" t="s">
        <v>5627</v>
      </c>
      <c r="L2672" s="1" t="s">
        <v>5628</v>
      </c>
      <c r="M2672" s="1" t="s">
        <v>5629</v>
      </c>
      <c r="N2672" s="1" t="s">
        <v>30</v>
      </c>
      <c r="O2672" s="1" t="s">
        <v>1284</v>
      </c>
      <c r="P2672" s="1" t="s">
        <v>1285</v>
      </c>
      <c r="Q2672" s="1" t="s">
        <v>1286</v>
      </c>
      <c r="R2672" s="1" t="s">
        <v>33</v>
      </c>
      <c r="S2672" s="1"/>
      <c r="U2672" s="1" t="s">
        <v>35</v>
      </c>
      <c r="V2672" s="1" t="s">
        <v>99</v>
      </c>
      <c r="W2672" s="1" t="str">
        <f>VLOOKUP(Table1[[#This Row],[Obergruppe ATC-Code]],Tabelle3!$A$2:$B$100,2)</f>
        <v>PSYCHOLEPTIKA</v>
      </c>
      <c r="X2672" s="1" t="str">
        <f xml:space="preserve"> LEFT(Table1[[#This Row],[Atc Code]],3)</f>
        <v>N05</v>
      </c>
    </row>
    <row r="2673" spans="1:24" ht="14.4">
      <c r="A2673" s="14">
        <v>2644</v>
      </c>
      <c r="B2673" s="24" t="s">
        <v>5630</v>
      </c>
      <c r="C2673" s="1">
        <v>2195715</v>
      </c>
      <c r="D2673" s="1" t="s">
        <v>25</v>
      </c>
      <c r="E2673" s="36">
        <v>44287</v>
      </c>
      <c r="F2673" s="36">
        <v>44501</v>
      </c>
      <c r="G2673" s="38">
        <f t="shared" si="41"/>
        <v>214</v>
      </c>
      <c r="H2673" s="5">
        <v>44301</v>
      </c>
      <c r="I2673" s="5">
        <v>44515</v>
      </c>
      <c r="J2673" s="1" t="s">
        <v>26</v>
      </c>
      <c r="K2673" s="1" t="s">
        <v>5631</v>
      </c>
      <c r="L2673" s="1" t="s">
        <v>5628</v>
      </c>
      <c r="M2673" s="1" t="s">
        <v>5629</v>
      </c>
      <c r="N2673" s="1" t="s">
        <v>30</v>
      </c>
      <c r="O2673" s="1" t="s">
        <v>1284</v>
      </c>
      <c r="P2673" s="1" t="s">
        <v>1285</v>
      </c>
      <c r="Q2673" s="1" t="s">
        <v>1286</v>
      </c>
      <c r="R2673" s="1" t="s">
        <v>33</v>
      </c>
      <c r="S2673" s="1"/>
      <c r="U2673" s="1" t="s">
        <v>35</v>
      </c>
      <c r="V2673" s="1" t="s">
        <v>99</v>
      </c>
      <c r="W2673" s="1" t="str">
        <f>VLOOKUP(Table1[[#This Row],[Obergruppe ATC-Code]],Tabelle3!$A$2:$B$100,2)</f>
        <v>PSYCHOLEPTIKA</v>
      </c>
      <c r="X2673" s="1" t="str">
        <f xml:space="preserve"> LEFT(Table1[[#This Row],[Atc Code]],3)</f>
        <v>N05</v>
      </c>
    </row>
    <row r="2674" spans="1:24" ht="14.4">
      <c r="A2674" s="14">
        <v>2612</v>
      </c>
      <c r="B2674" s="24" t="s">
        <v>5632</v>
      </c>
      <c r="C2674" s="1">
        <v>2163363</v>
      </c>
      <c r="D2674" s="1" t="s">
        <v>175</v>
      </c>
      <c r="E2674" s="36">
        <v>45140</v>
      </c>
      <c r="F2674" s="36">
        <v>45473</v>
      </c>
      <c r="G2674" s="38">
        <f t="shared" si="41"/>
        <v>333</v>
      </c>
      <c r="H2674" s="5">
        <v>45142</v>
      </c>
      <c r="I2674" s="5">
        <v>45142</v>
      </c>
      <c r="J2674" s="1" t="s">
        <v>26</v>
      </c>
      <c r="K2674" s="1" t="s">
        <v>5633</v>
      </c>
      <c r="L2674" s="1" t="s">
        <v>5628</v>
      </c>
      <c r="M2674" s="1" t="s">
        <v>5629</v>
      </c>
      <c r="N2674" s="1" t="s">
        <v>38</v>
      </c>
      <c r="O2674" s="1" t="s">
        <v>140</v>
      </c>
      <c r="Q2674" s="1" t="s">
        <v>141</v>
      </c>
      <c r="R2674" s="1" t="s">
        <v>113</v>
      </c>
      <c r="S2674" s="1"/>
      <c r="U2674" s="1" t="s">
        <v>130</v>
      </c>
      <c r="V2674" s="1" t="s">
        <v>1292</v>
      </c>
      <c r="W2674" s="1" t="str">
        <f>VLOOKUP(Table1[[#This Row],[Obergruppe ATC-Code]],Tabelle3!$A$2:$B$100,2)</f>
        <v>PSYCHOLEPTIKA</v>
      </c>
      <c r="X2674" s="1" t="str">
        <f xml:space="preserve"> LEFT(Table1[[#This Row],[Atc Code]],3)</f>
        <v>N05</v>
      </c>
    </row>
    <row r="2675" spans="1:24" ht="14.4">
      <c r="A2675" s="14">
        <v>745</v>
      </c>
      <c r="B2675" s="24">
        <v>5117451</v>
      </c>
      <c r="C2675" s="1">
        <v>2160225</v>
      </c>
      <c r="D2675" s="1" t="s">
        <v>175</v>
      </c>
      <c r="E2675" s="36">
        <v>45132</v>
      </c>
      <c r="F2675" s="36">
        <v>45268</v>
      </c>
      <c r="G2675" s="38">
        <f t="shared" si="41"/>
        <v>136</v>
      </c>
      <c r="H2675" s="5">
        <v>45142</v>
      </c>
      <c r="I2675" s="5">
        <v>45142</v>
      </c>
      <c r="J2675" s="1" t="s">
        <v>41</v>
      </c>
      <c r="K2675" s="1" t="s">
        <v>5634</v>
      </c>
      <c r="L2675" s="1" t="s">
        <v>5628</v>
      </c>
      <c r="M2675" s="1" t="s">
        <v>5629</v>
      </c>
      <c r="N2675" s="1" t="s">
        <v>38</v>
      </c>
      <c r="O2675" s="1" t="s">
        <v>123</v>
      </c>
      <c r="Q2675" s="1" t="s">
        <v>201</v>
      </c>
      <c r="R2675" s="1" t="s">
        <v>128</v>
      </c>
      <c r="S2675" s="1"/>
      <c r="U2675" s="1" t="s">
        <v>130</v>
      </c>
      <c r="V2675" s="1" t="s">
        <v>99</v>
      </c>
      <c r="W2675" s="1" t="str">
        <f>VLOOKUP(Table1[[#This Row],[Obergruppe ATC-Code]],Tabelle3!$A$2:$B$100,2)</f>
        <v>PSYCHOLEPTIKA</v>
      </c>
      <c r="X2675" s="1" t="str">
        <f xml:space="preserve"> LEFT(Table1[[#This Row],[Atc Code]],3)</f>
        <v>N05</v>
      </c>
    </row>
    <row r="2676" spans="1:24" ht="14.4">
      <c r="A2676" s="14">
        <v>772</v>
      </c>
      <c r="B2676" s="24">
        <v>6063295</v>
      </c>
      <c r="C2676" s="1">
        <v>2164107</v>
      </c>
      <c r="D2676" s="1" t="s">
        <v>102</v>
      </c>
      <c r="E2676" s="36">
        <v>45141</v>
      </c>
      <c r="F2676" s="36">
        <v>45296</v>
      </c>
      <c r="G2676" s="38">
        <f t="shared" si="41"/>
        <v>155</v>
      </c>
      <c r="H2676" s="5">
        <v>45183</v>
      </c>
      <c r="I2676" s="5">
        <v>45183</v>
      </c>
      <c r="J2676" s="1" t="s">
        <v>26</v>
      </c>
      <c r="K2676" s="1" t="s">
        <v>5635</v>
      </c>
      <c r="L2676" s="1" t="s">
        <v>5628</v>
      </c>
      <c r="M2676" s="1" t="s">
        <v>5629</v>
      </c>
      <c r="N2676" s="1" t="s">
        <v>30</v>
      </c>
      <c r="O2676" s="1" t="s">
        <v>52</v>
      </c>
      <c r="Q2676" s="1" t="s">
        <v>54</v>
      </c>
      <c r="R2676" s="1" t="s">
        <v>33</v>
      </c>
      <c r="S2676" s="1"/>
      <c r="U2676" s="1" t="s">
        <v>130</v>
      </c>
      <c r="V2676" s="1" t="s">
        <v>1292</v>
      </c>
      <c r="W2676" s="1" t="str">
        <f>VLOOKUP(Table1[[#This Row],[Obergruppe ATC-Code]],Tabelle3!$A$2:$B$100,2)</f>
        <v>PSYCHOLEPTIKA</v>
      </c>
      <c r="X2676" s="1" t="str">
        <f xml:space="preserve"> LEFT(Table1[[#This Row],[Atc Code]],3)</f>
        <v>N05</v>
      </c>
    </row>
    <row r="2677" spans="1:24" ht="14.4">
      <c r="A2677" s="14">
        <v>2812</v>
      </c>
      <c r="B2677" s="24" t="s">
        <v>5636</v>
      </c>
      <c r="C2677" s="1">
        <v>2193183</v>
      </c>
      <c r="D2677" s="1" t="s">
        <v>25</v>
      </c>
      <c r="E2677" s="36">
        <v>44927</v>
      </c>
      <c r="F2677" s="36">
        <v>45077</v>
      </c>
      <c r="G2677" s="38">
        <f t="shared" si="41"/>
        <v>150</v>
      </c>
      <c r="H2677" s="5">
        <v>45019</v>
      </c>
      <c r="I2677" s="5">
        <v>45077</v>
      </c>
      <c r="J2677" s="1" t="s">
        <v>26</v>
      </c>
      <c r="K2677" s="1" t="s">
        <v>5637</v>
      </c>
      <c r="L2677" s="1" t="s">
        <v>5638</v>
      </c>
      <c r="M2677" s="1" t="s">
        <v>5639</v>
      </c>
      <c r="N2677" s="1" t="s">
        <v>38</v>
      </c>
      <c r="O2677" s="1" t="s">
        <v>162</v>
      </c>
      <c r="Q2677" s="1" t="s">
        <v>5376</v>
      </c>
      <c r="R2677" s="1" t="s">
        <v>33</v>
      </c>
      <c r="S2677" s="1" t="s">
        <v>5379</v>
      </c>
      <c r="U2677" s="1" t="s">
        <v>35</v>
      </c>
      <c r="V2677" s="1" t="s">
        <v>49</v>
      </c>
      <c r="W2677" s="1" t="str">
        <f>VLOOKUP(Table1[[#This Row],[Obergruppe ATC-Code]],Tabelle3!$A$2:$B$100,2)</f>
        <v>PSYCHOLEPTIKA</v>
      </c>
      <c r="X2677" s="1" t="str">
        <f xml:space="preserve"> LEFT(Table1[[#This Row],[Atc Code]],3)</f>
        <v>N05</v>
      </c>
    </row>
    <row r="2678" spans="1:24" ht="14.4">
      <c r="A2678" s="14">
        <v>2811</v>
      </c>
      <c r="B2678" s="24" t="s">
        <v>5640</v>
      </c>
      <c r="C2678" s="1">
        <v>2193181</v>
      </c>
      <c r="D2678" s="1" t="s">
        <v>25</v>
      </c>
      <c r="E2678" s="36">
        <v>44927</v>
      </c>
      <c r="F2678" s="36">
        <v>45077</v>
      </c>
      <c r="G2678" s="38">
        <f t="shared" si="41"/>
        <v>150</v>
      </c>
      <c r="H2678" s="5">
        <v>45019</v>
      </c>
      <c r="I2678" s="5">
        <v>45077</v>
      </c>
      <c r="J2678" s="1" t="s">
        <v>26</v>
      </c>
      <c r="K2678" s="1" t="s">
        <v>5641</v>
      </c>
      <c r="L2678" s="1" t="s">
        <v>5638</v>
      </c>
      <c r="M2678" s="1" t="s">
        <v>5639</v>
      </c>
      <c r="N2678" s="1" t="s">
        <v>38</v>
      </c>
      <c r="O2678" s="1" t="s">
        <v>162</v>
      </c>
      <c r="Q2678" s="1" t="s">
        <v>5376</v>
      </c>
      <c r="R2678" s="1" t="s">
        <v>33</v>
      </c>
      <c r="S2678" s="1" t="s">
        <v>5379</v>
      </c>
      <c r="U2678" s="1" t="s">
        <v>35</v>
      </c>
      <c r="V2678" s="1" t="s">
        <v>49</v>
      </c>
      <c r="W2678" s="1" t="str">
        <f>VLOOKUP(Table1[[#This Row],[Obergruppe ATC-Code]],Tabelle3!$A$2:$B$100,2)</f>
        <v>PSYCHOLEPTIKA</v>
      </c>
      <c r="X2678" s="1" t="str">
        <f xml:space="preserve"> LEFT(Table1[[#This Row],[Atc Code]],3)</f>
        <v>N05</v>
      </c>
    </row>
    <row r="2679" spans="1:24" ht="14.4">
      <c r="A2679" s="14">
        <v>552</v>
      </c>
      <c r="B2679" s="24">
        <v>3501027</v>
      </c>
      <c r="C2679" s="1">
        <v>2106148</v>
      </c>
      <c r="D2679" s="1" t="s">
        <v>25</v>
      </c>
      <c r="E2679" s="36">
        <v>44105</v>
      </c>
      <c r="F2679" s="36">
        <v>44411</v>
      </c>
      <c r="G2679" s="38">
        <f t="shared" si="41"/>
        <v>306</v>
      </c>
      <c r="H2679" s="5">
        <v>44130</v>
      </c>
      <c r="I2679" s="5">
        <v>44411</v>
      </c>
      <c r="J2679" s="1" t="s">
        <v>41</v>
      </c>
      <c r="K2679" s="1" t="s">
        <v>5642</v>
      </c>
      <c r="L2679" s="1" t="s">
        <v>5643</v>
      </c>
      <c r="M2679" s="1" t="s">
        <v>5644</v>
      </c>
      <c r="N2679" s="1" t="s">
        <v>30</v>
      </c>
      <c r="O2679" s="1" t="s">
        <v>213</v>
      </c>
      <c r="P2679" s="1" t="s">
        <v>4658</v>
      </c>
      <c r="Q2679" s="1" t="s">
        <v>215</v>
      </c>
      <c r="R2679" s="1" t="s">
        <v>26</v>
      </c>
      <c r="S2679" s="1"/>
      <c r="T2679" s="1" t="s">
        <v>5645</v>
      </c>
      <c r="U2679" s="1" t="s">
        <v>35</v>
      </c>
      <c r="V2679" s="1" t="s">
        <v>4642</v>
      </c>
      <c r="W2679" s="1" t="str">
        <f>VLOOKUP(Table1[[#This Row],[Obergruppe ATC-Code]],Tabelle3!$A$2:$B$100,2)</f>
        <v>PSYCHOLEPTIKA</v>
      </c>
      <c r="X2679" s="1" t="str">
        <f xml:space="preserve"> LEFT(Table1[[#This Row],[Atc Code]],3)</f>
        <v>N05</v>
      </c>
    </row>
    <row r="2680" spans="1:24" ht="14.4">
      <c r="A2680" s="14">
        <v>554</v>
      </c>
      <c r="B2680" s="24">
        <v>3501027</v>
      </c>
      <c r="C2680" s="1">
        <v>2106148</v>
      </c>
      <c r="D2680" s="1" t="s">
        <v>25</v>
      </c>
      <c r="E2680" s="36">
        <v>44594</v>
      </c>
      <c r="F2680" s="36">
        <v>44651</v>
      </c>
      <c r="G2680" s="38">
        <f t="shared" si="41"/>
        <v>57</v>
      </c>
      <c r="H2680" s="5">
        <v>44594</v>
      </c>
      <c r="I2680" s="5">
        <v>44655</v>
      </c>
      <c r="J2680" s="1" t="s">
        <v>41</v>
      </c>
      <c r="K2680" s="1" t="s">
        <v>5642</v>
      </c>
      <c r="L2680" s="1" t="s">
        <v>5643</v>
      </c>
      <c r="M2680" s="1" t="s">
        <v>5644</v>
      </c>
      <c r="N2680" s="1" t="s">
        <v>30</v>
      </c>
      <c r="O2680" s="1" t="s">
        <v>213</v>
      </c>
      <c r="P2680" s="1">
        <v>566191477309</v>
      </c>
      <c r="Q2680" s="1" t="s">
        <v>911</v>
      </c>
      <c r="R2680" s="1" t="s">
        <v>128</v>
      </c>
      <c r="S2680" s="1"/>
      <c r="U2680" s="1" t="s">
        <v>130</v>
      </c>
      <c r="V2680" s="1" t="s">
        <v>4642</v>
      </c>
      <c r="W2680" s="1" t="str">
        <f>VLOOKUP(Table1[[#This Row],[Obergruppe ATC-Code]],Tabelle3!$A$2:$B$100,2)</f>
        <v>PSYCHOLEPTIKA</v>
      </c>
      <c r="X2680" s="1" t="str">
        <f xml:space="preserve"> LEFT(Table1[[#This Row],[Atc Code]],3)</f>
        <v>N05</v>
      </c>
    </row>
    <row r="2681" spans="1:24" ht="14.4">
      <c r="A2681" s="14">
        <v>398</v>
      </c>
      <c r="B2681" s="24">
        <v>2404782</v>
      </c>
      <c r="C2681" s="1">
        <v>2115919</v>
      </c>
      <c r="D2681" s="1" t="s">
        <v>25</v>
      </c>
      <c r="E2681" s="36">
        <v>45078</v>
      </c>
      <c r="F2681" s="36">
        <v>45110</v>
      </c>
      <c r="G2681" s="38">
        <f t="shared" si="41"/>
        <v>32</v>
      </c>
      <c r="H2681" s="5">
        <v>45077</v>
      </c>
      <c r="I2681" s="5">
        <v>45113</v>
      </c>
      <c r="J2681" s="1" t="s">
        <v>41</v>
      </c>
      <c r="K2681" s="1" t="s">
        <v>5646</v>
      </c>
      <c r="L2681" s="1" t="s">
        <v>5643</v>
      </c>
      <c r="M2681" s="1" t="s">
        <v>5644</v>
      </c>
      <c r="N2681" s="1" t="s">
        <v>30</v>
      </c>
      <c r="O2681" s="1" t="s">
        <v>5148</v>
      </c>
      <c r="P2681" s="1">
        <v>40591010</v>
      </c>
      <c r="R2681" s="1" t="s">
        <v>128</v>
      </c>
      <c r="S2681" s="1"/>
      <c r="U2681" s="1" t="s">
        <v>35</v>
      </c>
      <c r="V2681" s="1" t="s">
        <v>5647</v>
      </c>
      <c r="W2681" s="1" t="str">
        <f>VLOOKUP(Table1[[#This Row],[Obergruppe ATC-Code]],Tabelle3!$A$2:$B$100,2)</f>
        <v>PSYCHOLEPTIKA</v>
      </c>
      <c r="X2681" s="1" t="str">
        <f xml:space="preserve"> LEFT(Table1[[#This Row],[Atc Code]],3)</f>
        <v>N05</v>
      </c>
    </row>
    <row r="2682" spans="1:24" ht="14.4">
      <c r="A2682" s="14">
        <v>672</v>
      </c>
      <c r="B2682" s="24">
        <v>4464073</v>
      </c>
      <c r="C2682" s="1">
        <v>2116605</v>
      </c>
      <c r="D2682" s="1" t="s">
        <v>25</v>
      </c>
      <c r="E2682" s="36">
        <v>45133</v>
      </c>
      <c r="F2682" s="36">
        <v>45184</v>
      </c>
      <c r="G2682" s="38">
        <f t="shared" si="41"/>
        <v>51</v>
      </c>
      <c r="H2682" s="5">
        <v>45133</v>
      </c>
      <c r="I2682" s="5">
        <v>45184</v>
      </c>
      <c r="J2682" s="1" t="s">
        <v>26</v>
      </c>
      <c r="K2682" s="1" t="s">
        <v>5648</v>
      </c>
      <c r="L2682" s="1" t="s">
        <v>5643</v>
      </c>
      <c r="M2682" s="1" t="s">
        <v>5644</v>
      </c>
      <c r="N2682" s="1" t="s">
        <v>38</v>
      </c>
      <c r="O2682" s="1" t="s">
        <v>45</v>
      </c>
      <c r="Q2682" s="1" t="s">
        <v>118</v>
      </c>
      <c r="R2682" s="1" t="s">
        <v>113</v>
      </c>
      <c r="S2682" s="1"/>
      <c r="U2682" s="1" t="s">
        <v>130</v>
      </c>
      <c r="V2682" s="1" t="s">
        <v>596</v>
      </c>
      <c r="W2682" s="1" t="str">
        <f>VLOOKUP(Table1[[#This Row],[Obergruppe ATC-Code]],Tabelle3!$A$2:$B$100,2)</f>
        <v>PSYCHOLEPTIKA</v>
      </c>
      <c r="X2682" s="1" t="str">
        <f xml:space="preserve"> LEFT(Table1[[#This Row],[Atc Code]],3)</f>
        <v>N05</v>
      </c>
    </row>
    <row r="2683" spans="1:24" ht="14.4">
      <c r="A2683" s="14">
        <v>163</v>
      </c>
      <c r="B2683" s="24">
        <v>1015506</v>
      </c>
      <c r="C2683" s="1">
        <v>2116646</v>
      </c>
      <c r="D2683" s="1" t="s">
        <v>25</v>
      </c>
      <c r="E2683" s="36">
        <v>45133</v>
      </c>
      <c r="F2683" s="36">
        <v>45184</v>
      </c>
      <c r="G2683" s="38">
        <f t="shared" si="41"/>
        <v>51</v>
      </c>
      <c r="H2683" s="5">
        <v>45133</v>
      </c>
      <c r="I2683" s="5">
        <v>45184</v>
      </c>
      <c r="J2683" s="1" t="s">
        <v>26</v>
      </c>
      <c r="K2683" s="1" t="s">
        <v>5649</v>
      </c>
      <c r="L2683" s="1" t="s">
        <v>5643</v>
      </c>
      <c r="M2683" s="1" t="s">
        <v>5644</v>
      </c>
      <c r="N2683" s="1" t="s">
        <v>38</v>
      </c>
      <c r="O2683" s="1" t="s">
        <v>117</v>
      </c>
      <c r="Q2683" s="1" t="s">
        <v>118</v>
      </c>
      <c r="R2683" s="1" t="s">
        <v>113</v>
      </c>
      <c r="S2683" s="1"/>
      <c r="U2683" s="1" t="s">
        <v>130</v>
      </c>
      <c r="V2683" s="1" t="s">
        <v>596</v>
      </c>
      <c r="W2683" s="1" t="str">
        <f>VLOOKUP(Table1[[#This Row],[Obergruppe ATC-Code]],Tabelle3!$A$2:$B$100,2)</f>
        <v>PSYCHOLEPTIKA</v>
      </c>
      <c r="X2683" s="1" t="str">
        <f xml:space="preserve"> LEFT(Table1[[#This Row],[Atc Code]],3)</f>
        <v>N05</v>
      </c>
    </row>
    <row r="2684" spans="1:24" ht="14.4">
      <c r="A2684" s="14">
        <v>399</v>
      </c>
      <c r="B2684" s="24">
        <v>2404799</v>
      </c>
      <c r="C2684" s="1">
        <v>2115920</v>
      </c>
      <c r="D2684" s="1" t="s">
        <v>25</v>
      </c>
      <c r="E2684" s="36">
        <v>45078</v>
      </c>
      <c r="F2684" s="36">
        <v>45169</v>
      </c>
      <c r="G2684" s="38">
        <f t="shared" si="41"/>
        <v>91</v>
      </c>
      <c r="H2684" s="5">
        <v>45077</v>
      </c>
      <c r="I2684" s="5">
        <v>45195</v>
      </c>
      <c r="J2684" s="1" t="s">
        <v>41</v>
      </c>
      <c r="K2684" s="1" t="s">
        <v>5650</v>
      </c>
      <c r="L2684" s="1" t="s">
        <v>5643</v>
      </c>
      <c r="M2684" s="1" t="s">
        <v>5644</v>
      </c>
      <c r="N2684" s="1" t="s">
        <v>30</v>
      </c>
      <c r="O2684" s="1" t="s">
        <v>5148</v>
      </c>
      <c r="P2684" s="1">
        <v>40591010</v>
      </c>
      <c r="R2684" s="1" t="s">
        <v>128</v>
      </c>
      <c r="S2684" s="1"/>
      <c r="U2684" s="1" t="s">
        <v>35</v>
      </c>
      <c r="V2684" s="1" t="s">
        <v>5647</v>
      </c>
      <c r="W2684" s="1" t="str">
        <f>VLOOKUP(Table1[[#This Row],[Obergruppe ATC-Code]],Tabelle3!$A$2:$B$100,2)</f>
        <v>PSYCHOLEPTIKA</v>
      </c>
      <c r="X2684" s="1" t="str">
        <f xml:space="preserve"> LEFT(Table1[[#This Row],[Atc Code]],3)</f>
        <v>N05</v>
      </c>
    </row>
    <row r="2685" spans="1:24" ht="14.4">
      <c r="A2685" s="14">
        <v>553</v>
      </c>
      <c r="B2685" s="24">
        <v>3501027</v>
      </c>
      <c r="C2685" s="1">
        <v>2106148</v>
      </c>
      <c r="D2685" s="1" t="s">
        <v>25</v>
      </c>
      <c r="E2685" s="36">
        <v>45127</v>
      </c>
      <c r="F2685" s="36">
        <v>45210</v>
      </c>
      <c r="G2685" s="38">
        <f t="shared" si="41"/>
        <v>83</v>
      </c>
      <c r="H2685" s="5">
        <v>45127</v>
      </c>
      <c r="I2685" s="5">
        <v>45210</v>
      </c>
      <c r="J2685" s="1" t="s">
        <v>41</v>
      </c>
      <c r="K2685" s="1" t="s">
        <v>5642</v>
      </c>
      <c r="L2685" s="1" t="s">
        <v>5643</v>
      </c>
      <c r="M2685" s="1" t="s">
        <v>5644</v>
      </c>
      <c r="N2685" s="1" t="s">
        <v>30</v>
      </c>
      <c r="O2685" s="1" t="s">
        <v>213</v>
      </c>
      <c r="P2685" s="1">
        <v>56617191477309</v>
      </c>
      <c r="Q2685" s="1" t="s">
        <v>911</v>
      </c>
      <c r="R2685" s="1" t="s">
        <v>2138</v>
      </c>
      <c r="S2685" s="1"/>
      <c r="U2685" s="1" t="s">
        <v>130</v>
      </c>
      <c r="V2685" s="1" t="s">
        <v>4642</v>
      </c>
      <c r="W2685" s="1" t="str">
        <f>VLOOKUP(Table1[[#This Row],[Obergruppe ATC-Code]],Tabelle3!$A$2:$B$100,2)</f>
        <v>PSYCHOLEPTIKA</v>
      </c>
      <c r="X2685" s="1" t="str">
        <f xml:space="preserve"> LEFT(Table1[[#This Row],[Atc Code]],3)</f>
        <v>N05</v>
      </c>
    </row>
    <row r="2686" spans="1:24" ht="14.4">
      <c r="A2686" s="14">
        <v>294</v>
      </c>
      <c r="B2686" s="24">
        <v>1835652</v>
      </c>
      <c r="C2686" s="1">
        <v>3000637</v>
      </c>
      <c r="D2686" s="1" t="s">
        <v>102</v>
      </c>
      <c r="E2686" s="36">
        <v>44652</v>
      </c>
      <c r="F2686" s="36">
        <v>45291</v>
      </c>
      <c r="G2686" s="38">
        <f t="shared" si="41"/>
        <v>639</v>
      </c>
      <c r="H2686" s="5">
        <v>44736</v>
      </c>
      <c r="I2686" s="5">
        <v>45113</v>
      </c>
      <c r="J2686" s="1" t="s">
        <v>41</v>
      </c>
      <c r="K2686" s="1" t="s">
        <v>5651</v>
      </c>
      <c r="L2686" s="1" t="s">
        <v>5652</v>
      </c>
      <c r="M2686" s="1" t="s">
        <v>5653</v>
      </c>
      <c r="N2686" s="1" t="s">
        <v>38</v>
      </c>
      <c r="O2686" s="1" t="s">
        <v>1035</v>
      </c>
      <c r="P2686" s="1" t="s">
        <v>1042</v>
      </c>
      <c r="R2686" s="1" t="s">
        <v>48</v>
      </c>
      <c r="S2686" s="1"/>
      <c r="U2686" s="1" t="s">
        <v>130</v>
      </c>
      <c r="V2686" s="1" t="s">
        <v>49</v>
      </c>
      <c r="W2686" s="1" t="str">
        <f>VLOOKUP(Table1[[#This Row],[Obergruppe ATC-Code]],Tabelle3!$A$2:$B$100,2)</f>
        <v>PSYCHOLEPTIKA</v>
      </c>
      <c r="X2686" s="1" t="str">
        <f xml:space="preserve"> LEFT(Table1[[#This Row],[Atc Code]],3)</f>
        <v>N05</v>
      </c>
    </row>
    <row r="2687" spans="1:24" ht="14.4">
      <c r="A2687" s="14">
        <v>544</v>
      </c>
      <c r="B2687" s="25">
        <v>3449611</v>
      </c>
      <c r="C2687" s="1">
        <v>2107379</v>
      </c>
      <c r="D2687" s="1" t="s">
        <v>25</v>
      </c>
      <c r="E2687" s="36">
        <v>43132</v>
      </c>
      <c r="F2687" s="36">
        <v>43496</v>
      </c>
      <c r="G2687" s="38">
        <f t="shared" si="41"/>
        <v>364</v>
      </c>
      <c r="H2687" s="5">
        <v>43144</v>
      </c>
      <c r="I2687" s="5">
        <v>43434</v>
      </c>
      <c r="J2687" s="1" t="s">
        <v>41</v>
      </c>
      <c r="K2687" s="1" t="s">
        <v>5654</v>
      </c>
      <c r="L2687" s="1" t="s">
        <v>5655</v>
      </c>
      <c r="M2687" s="1" t="s">
        <v>5656</v>
      </c>
      <c r="N2687" s="1" t="s">
        <v>30</v>
      </c>
      <c r="O2687" s="1" t="s">
        <v>321</v>
      </c>
      <c r="P2687" s="1" t="s">
        <v>5657</v>
      </c>
      <c r="Q2687" s="1" t="s">
        <v>5658</v>
      </c>
      <c r="R2687" s="1" t="s">
        <v>48</v>
      </c>
      <c r="S2687" s="1"/>
      <c r="T2687" s="1" t="s">
        <v>5659</v>
      </c>
      <c r="U2687" s="1" t="s">
        <v>35</v>
      </c>
      <c r="V2687" s="1" t="s">
        <v>74</v>
      </c>
      <c r="W2687" s="1" t="str">
        <f>VLOOKUP(Table1[[#This Row],[Obergruppe ATC-Code]],Tabelle3!$A$2:$B$100,2)</f>
        <v>PSYCHOLEPTIKA</v>
      </c>
      <c r="X2687" s="1" t="str">
        <f xml:space="preserve"> LEFT(Table1[[#This Row],[Atc Code]],3)</f>
        <v>N05</v>
      </c>
    </row>
    <row r="2688" spans="1:24" ht="14.4">
      <c r="A2688" s="14">
        <v>543</v>
      </c>
      <c r="B2688" s="25">
        <v>3449611</v>
      </c>
      <c r="C2688" s="1">
        <v>2107379</v>
      </c>
      <c r="D2688" s="1" t="s">
        <v>25</v>
      </c>
      <c r="E2688" s="36">
        <v>43556</v>
      </c>
      <c r="F2688" s="36">
        <v>43616</v>
      </c>
      <c r="G2688" s="38">
        <f t="shared" si="41"/>
        <v>60</v>
      </c>
      <c r="H2688" s="5">
        <v>43570</v>
      </c>
      <c r="I2688" s="5">
        <v>43584</v>
      </c>
      <c r="J2688" s="1" t="s">
        <v>26</v>
      </c>
      <c r="K2688" s="1" t="s">
        <v>5654</v>
      </c>
      <c r="L2688" s="1" t="s">
        <v>5655</v>
      </c>
      <c r="M2688" s="1" t="s">
        <v>5656</v>
      </c>
      <c r="N2688" s="1" t="s">
        <v>30</v>
      </c>
      <c r="O2688" s="1" t="s">
        <v>321</v>
      </c>
      <c r="P2688" s="1" t="s">
        <v>326</v>
      </c>
      <c r="Q2688" s="1" t="s">
        <v>327</v>
      </c>
      <c r="R2688" s="1" t="s">
        <v>33</v>
      </c>
      <c r="S2688" s="1"/>
      <c r="T2688" s="1" t="s">
        <v>5659</v>
      </c>
      <c r="U2688" s="1" t="s">
        <v>35</v>
      </c>
      <c r="V2688" s="1" t="s">
        <v>74</v>
      </c>
      <c r="W2688" s="1" t="str">
        <f>VLOOKUP(Table1[[#This Row],[Obergruppe ATC-Code]],Tabelle3!$A$2:$B$100,2)</f>
        <v>PSYCHOLEPTIKA</v>
      </c>
      <c r="X2688" s="1" t="str">
        <f xml:space="preserve"> LEFT(Table1[[#This Row],[Atc Code]],3)</f>
        <v>N05</v>
      </c>
    </row>
    <row r="2689" spans="1:24" ht="14.4">
      <c r="A2689" s="14">
        <v>542</v>
      </c>
      <c r="B2689" s="25">
        <v>3449611</v>
      </c>
      <c r="C2689" s="1">
        <v>2107379</v>
      </c>
      <c r="D2689" s="1" t="s">
        <v>25</v>
      </c>
      <c r="E2689" s="36">
        <v>43617</v>
      </c>
      <c r="F2689" s="36">
        <v>43708</v>
      </c>
      <c r="G2689" s="38">
        <f t="shared" si="41"/>
        <v>91</v>
      </c>
      <c r="H2689" s="5">
        <v>43633</v>
      </c>
      <c r="I2689" s="5">
        <v>43683</v>
      </c>
      <c r="J2689" s="1" t="s">
        <v>26</v>
      </c>
      <c r="K2689" s="1" t="s">
        <v>5654</v>
      </c>
      <c r="L2689" s="1" t="s">
        <v>5655</v>
      </c>
      <c r="M2689" s="1" t="s">
        <v>5656</v>
      </c>
      <c r="N2689" s="1" t="s">
        <v>30</v>
      </c>
      <c r="O2689" s="1" t="s">
        <v>321</v>
      </c>
      <c r="P2689" s="1" t="s">
        <v>326</v>
      </c>
      <c r="Q2689" s="1" t="s">
        <v>327</v>
      </c>
      <c r="R2689" s="1" t="s">
        <v>33</v>
      </c>
      <c r="S2689" s="1"/>
      <c r="T2689" s="1" t="s">
        <v>5659</v>
      </c>
      <c r="U2689" s="1" t="s">
        <v>35</v>
      </c>
      <c r="V2689" s="1" t="s">
        <v>74</v>
      </c>
      <c r="W2689" s="1" t="str">
        <f>VLOOKUP(Table1[[#This Row],[Obergruppe ATC-Code]],Tabelle3!$A$2:$B$100,2)</f>
        <v>PSYCHOLEPTIKA</v>
      </c>
      <c r="X2689" s="1" t="str">
        <f xml:space="preserve"> LEFT(Table1[[#This Row],[Atc Code]],3)</f>
        <v>N05</v>
      </c>
    </row>
    <row r="2690" spans="1:24" ht="14.4">
      <c r="A2690" s="14">
        <v>541</v>
      </c>
      <c r="B2690" s="24">
        <v>3449611</v>
      </c>
      <c r="C2690" s="1">
        <v>2107379</v>
      </c>
      <c r="D2690" s="1" t="s">
        <v>25</v>
      </c>
      <c r="E2690" s="36">
        <v>43739</v>
      </c>
      <c r="F2690" s="36">
        <v>44297</v>
      </c>
      <c r="G2690" s="38">
        <f t="shared" ref="G2690:G2753" si="42">F2690-E2690</f>
        <v>558</v>
      </c>
      <c r="H2690" s="5">
        <v>43717</v>
      </c>
      <c r="I2690" s="5">
        <v>44662</v>
      </c>
      <c r="J2690" s="1" t="s">
        <v>26</v>
      </c>
      <c r="K2690" s="1" t="s">
        <v>5654</v>
      </c>
      <c r="L2690" s="1" t="s">
        <v>5655</v>
      </c>
      <c r="M2690" s="1" t="s">
        <v>5656</v>
      </c>
      <c r="N2690" s="1" t="s">
        <v>30</v>
      </c>
      <c r="O2690" s="1" t="s">
        <v>321</v>
      </c>
      <c r="P2690" s="1" t="s">
        <v>326</v>
      </c>
      <c r="Q2690" s="1" t="s">
        <v>327</v>
      </c>
      <c r="R2690" s="1" t="s">
        <v>26</v>
      </c>
      <c r="S2690" s="1" t="s">
        <v>5660</v>
      </c>
      <c r="T2690" s="1" t="s">
        <v>5659</v>
      </c>
      <c r="U2690" s="1" t="s">
        <v>35</v>
      </c>
      <c r="V2690" s="1" t="s">
        <v>74</v>
      </c>
      <c r="W2690" s="1" t="str">
        <f>VLOOKUP(Table1[[#This Row],[Obergruppe ATC-Code]],Tabelle3!$A$2:$B$100,2)</f>
        <v>PSYCHOLEPTIKA</v>
      </c>
      <c r="X2690" s="1" t="str">
        <f xml:space="preserve"> LEFT(Table1[[#This Row],[Atc Code]],3)</f>
        <v>N05</v>
      </c>
    </row>
    <row r="2691" spans="1:24" ht="14.4">
      <c r="A2691" s="14">
        <v>2052</v>
      </c>
      <c r="B2691" s="24" t="s">
        <v>5661</v>
      </c>
      <c r="C2691" s="1">
        <v>2106948</v>
      </c>
      <c r="D2691" s="1" t="s">
        <v>25</v>
      </c>
      <c r="E2691" s="36">
        <v>44949</v>
      </c>
      <c r="F2691" s="36">
        <v>44984</v>
      </c>
      <c r="G2691" s="38">
        <f t="shared" si="42"/>
        <v>35</v>
      </c>
      <c r="H2691" s="5">
        <v>44935</v>
      </c>
      <c r="I2691" s="5">
        <v>44984</v>
      </c>
      <c r="J2691" s="1" t="s">
        <v>26</v>
      </c>
      <c r="K2691" s="1" t="s">
        <v>5662</v>
      </c>
      <c r="L2691" s="1" t="s">
        <v>5655</v>
      </c>
      <c r="M2691" s="1" t="s">
        <v>5656</v>
      </c>
      <c r="N2691" s="1" t="s">
        <v>30</v>
      </c>
      <c r="O2691" s="1" t="s">
        <v>329</v>
      </c>
      <c r="P2691" s="1" t="s">
        <v>2125</v>
      </c>
      <c r="Q2691" s="1" t="s">
        <v>331</v>
      </c>
      <c r="R2691" s="1" t="s">
        <v>26</v>
      </c>
      <c r="S2691" s="1"/>
      <c r="U2691" s="1" t="s">
        <v>35</v>
      </c>
      <c r="V2691" s="1" t="s">
        <v>352</v>
      </c>
      <c r="W2691" s="1" t="str">
        <f>VLOOKUP(Table1[[#This Row],[Obergruppe ATC-Code]],Tabelle3!$A$2:$B$100,2)</f>
        <v>PSYCHOLEPTIKA</v>
      </c>
      <c r="X2691" s="1" t="str">
        <f xml:space="preserve"> LEFT(Table1[[#This Row],[Atc Code]],3)</f>
        <v>N05</v>
      </c>
    </row>
    <row r="2692" spans="1:24" ht="14.4">
      <c r="A2692" s="14">
        <v>569</v>
      </c>
      <c r="B2692" s="24">
        <v>3565582</v>
      </c>
      <c r="C2692" s="1">
        <v>2106949</v>
      </c>
      <c r="D2692" s="1" t="s">
        <v>25</v>
      </c>
      <c r="E2692" s="36">
        <v>44939</v>
      </c>
      <c r="F2692" s="36">
        <v>44984</v>
      </c>
      <c r="G2692" s="38">
        <f t="shared" si="42"/>
        <v>45</v>
      </c>
      <c r="H2692" s="5">
        <v>44935</v>
      </c>
      <c r="I2692" s="5">
        <v>44984</v>
      </c>
      <c r="J2692" s="1" t="s">
        <v>26</v>
      </c>
      <c r="K2692" s="1" t="s">
        <v>5663</v>
      </c>
      <c r="L2692" s="1" t="s">
        <v>5655</v>
      </c>
      <c r="M2692" s="1" t="s">
        <v>5656</v>
      </c>
      <c r="N2692" s="1" t="s">
        <v>38</v>
      </c>
      <c r="O2692" s="1" t="s">
        <v>329</v>
      </c>
      <c r="P2692" s="1" t="s">
        <v>1259</v>
      </c>
      <c r="Q2692" s="1" t="s">
        <v>331</v>
      </c>
      <c r="R2692" s="1" t="s">
        <v>113</v>
      </c>
      <c r="S2692" s="1"/>
      <c r="U2692" s="1" t="s">
        <v>35</v>
      </c>
      <c r="V2692" s="1" t="s">
        <v>352</v>
      </c>
      <c r="W2692" s="1" t="str">
        <f>VLOOKUP(Table1[[#This Row],[Obergruppe ATC-Code]],Tabelle3!$A$2:$B$100,2)</f>
        <v>PSYCHOLEPTIKA</v>
      </c>
      <c r="X2692" s="1" t="str">
        <f xml:space="preserve"> LEFT(Table1[[#This Row],[Atc Code]],3)</f>
        <v>N05</v>
      </c>
    </row>
    <row r="2693" spans="1:24" ht="14.4">
      <c r="A2693" s="14">
        <v>2029</v>
      </c>
      <c r="B2693" s="24" t="s">
        <v>5664</v>
      </c>
      <c r="C2693" s="1">
        <v>175142</v>
      </c>
      <c r="D2693" s="1" t="s">
        <v>175</v>
      </c>
      <c r="E2693" s="36">
        <v>45082</v>
      </c>
      <c r="F2693" s="36">
        <v>45230</v>
      </c>
      <c r="G2693" s="38">
        <f t="shared" si="42"/>
        <v>148</v>
      </c>
      <c r="H2693" s="5">
        <v>45082</v>
      </c>
      <c r="I2693" s="5">
        <v>45082</v>
      </c>
      <c r="J2693" s="1" t="s">
        <v>26</v>
      </c>
      <c r="K2693" s="1" t="s">
        <v>5665</v>
      </c>
      <c r="L2693" s="1" t="s">
        <v>5655</v>
      </c>
      <c r="M2693" s="1" t="s">
        <v>5656</v>
      </c>
      <c r="N2693" s="1" t="s">
        <v>38</v>
      </c>
      <c r="O2693" s="1" t="s">
        <v>329</v>
      </c>
      <c r="P2693" s="1" t="s">
        <v>2125</v>
      </c>
      <c r="Q2693" s="1" t="s">
        <v>331</v>
      </c>
      <c r="R2693" s="1" t="s">
        <v>26</v>
      </c>
      <c r="S2693" s="1"/>
      <c r="U2693" s="1" t="s">
        <v>35</v>
      </c>
      <c r="V2693" s="1" t="s">
        <v>49</v>
      </c>
      <c r="W2693" s="1" t="str">
        <f>VLOOKUP(Table1[[#This Row],[Obergruppe ATC-Code]],Tabelle3!$A$2:$B$100,2)</f>
        <v>PSYCHOLEPTIKA</v>
      </c>
      <c r="X2693" s="1" t="str">
        <f xml:space="preserve"> LEFT(Table1[[#This Row],[Atc Code]],3)</f>
        <v>N05</v>
      </c>
    </row>
    <row r="2694" spans="1:24" ht="14.4">
      <c r="A2694" s="14">
        <v>2053</v>
      </c>
      <c r="B2694" s="24" t="s">
        <v>5666</v>
      </c>
      <c r="C2694" s="1" t="s">
        <v>5667</v>
      </c>
      <c r="D2694" s="1" t="s">
        <v>175</v>
      </c>
      <c r="E2694" s="36">
        <v>45117</v>
      </c>
      <c r="F2694" s="36">
        <v>45350</v>
      </c>
      <c r="G2694" s="38">
        <f t="shared" si="42"/>
        <v>233</v>
      </c>
      <c r="H2694" s="5">
        <v>45118</v>
      </c>
      <c r="I2694" s="5">
        <v>45118</v>
      </c>
      <c r="J2694" s="1" t="s">
        <v>26</v>
      </c>
      <c r="K2694" s="1" t="s">
        <v>5662</v>
      </c>
      <c r="L2694" s="1" t="s">
        <v>5655</v>
      </c>
      <c r="M2694" s="1" t="s">
        <v>5656</v>
      </c>
      <c r="N2694" s="1" t="s">
        <v>30</v>
      </c>
      <c r="O2694" s="1" t="s">
        <v>329</v>
      </c>
      <c r="P2694" s="1" t="s">
        <v>1153</v>
      </c>
      <c r="Q2694" s="1" t="s">
        <v>331</v>
      </c>
      <c r="R2694" s="1" t="s">
        <v>26</v>
      </c>
      <c r="S2694" s="1"/>
      <c r="U2694" s="1" t="s">
        <v>35</v>
      </c>
      <c r="V2694" s="1" t="s">
        <v>352</v>
      </c>
      <c r="W2694" s="1" t="str">
        <f>VLOOKUP(Table1[[#This Row],[Obergruppe ATC-Code]],Tabelle3!$A$2:$B$100,2)</f>
        <v>PSYCHOLEPTIKA</v>
      </c>
      <c r="X2694" s="1" t="str">
        <f xml:space="preserve"> LEFT(Table1[[#This Row],[Atc Code]],3)</f>
        <v>N05</v>
      </c>
    </row>
    <row r="2695" spans="1:24" ht="14.4">
      <c r="A2695" s="14">
        <v>258</v>
      </c>
      <c r="B2695" s="24">
        <v>1463736</v>
      </c>
      <c r="C2695" s="1">
        <v>175165</v>
      </c>
      <c r="D2695" s="1" t="s">
        <v>175</v>
      </c>
      <c r="E2695" s="36">
        <v>45138</v>
      </c>
      <c r="F2695" s="36">
        <v>45230</v>
      </c>
      <c r="G2695" s="38">
        <f t="shared" si="42"/>
        <v>92</v>
      </c>
      <c r="H2695" s="5">
        <v>45118</v>
      </c>
      <c r="I2695" s="5">
        <v>45118</v>
      </c>
      <c r="J2695" s="1" t="s">
        <v>26</v>
      </c>
      <c r="K2695" s="1" t="s">
        <v>5668</v>
      </c>
      <c r="L2695" s="1" t="s">
        <v>5655</v>
      </c>
      <c r="M2695" s="1" t="s">
        <v>5656</v>
      </c>
      <c r="N2695" s="1" t="s">
        <v>30</v>
      </c>
      <c r="O2695" s="1" t="s">
        <v>329</v>
      </c>
      <c r="P2695" s="1" t="s">
        <v>1153</v>
      </c>
      <c r="Q2695" s="1" t="s">
        <v>331</v>
      </c>
      <c r="R2695" s="1" t="s">
        <v>26</v>
      </c>
      <c r="S2695" s="1"/>
      <c r="T2695" s="1" t="s">
        <v>5669</v>
      </c>
      <c r="U2695" s="1" t="s">
        <v>35</v>
      </c>
      <c r="V2695" s="1" t="s">
        <v>49</v>
      </c>
      <c r="W2695" s="1" t="str">
        <f>VLOOKUP(Table1[[#This Row],[Obergruppe ATC-Code]],Tabelle3!$A$2:$B$100,2)</f>
        <v>PSYCHOLEPTIKA</v>
      </c>
      <c r="X2695" s="1" t="str">
        <f xml:space="preserve"> LEFT(Table1[[#This Row],[Atc Code]],3)</f>
        <v>N05</v>
      </c>
    </row>
    <row r="2696" spans="1:24" ht="14.4">
      <c r="A2696" s="14">
        <v>1996</v>
      </c>
      <c r="B2696" s="24" t="s">
        <v>5670</v>
      </c>
      <c r="C2696" s="1">
        <v>174941</v>
      </c>
      <c r="D2696" s="1" t="s">
        <v>25</v>
      </c>
      <c r="E2696" s="36">
        <v>45058</v>
      </c>
      <c r="F2696" s="36">
        <v>45146</v>
      </c>
      <c r="G2696" s="38">
        <f t="shared" si="42"/>
        <v>88</v>
      </c>
      <c r="H2696" s="5">
        <v>45056</v>
      </c>
      <c r="I2696" s="5">
        <v>45146</v>
      </c>
      <c r="J2696" s="1" t="s">
        <v>26</v>
      </c>
      <c r="K2696" s="1" t="s">
        <v>5671</v>
      </c>
      <c r="L2696" s="1" t="s">
        <v>5655</v>
      </c>
      <c r="M2696" s="1" t="s">
        <v>5656</v>
      </c>
      <c r="N2696" s="1" t="s">
        <v>38</v>
      </c>
      <c r="O2696" s="1" t="s">
        <v>329</v>
      </c>
      <c r="P2696" s="1">
        <v>493055005551000</v>
      </c>
      <c r="Q2696" s="1" t="s">
        <v>331</v>
      </c>
      <c r="R2696" s="1" t="s">
        <v>26</v>
      </c>
      <c r="S2696" s="1"/>
      <c r="U2696" s="1" t="s">
        <v>35</v>
      </c>
      <c r="V2696" s="1" t="s">
        <v>49</v>
      </c>
      <c r="W2696" s="1" t="str">
        <f>VLOOKUP(Table1[[#This Row],[Obergruppe ATC-Code]],Tabelle3!$A$2:$B$100,2)</f>
        <v>PSYCHOLEPTIKA</v>
      </c>
      <c r="X2696" s="1" t="str">
        <f xml:space="preserve"> LEFT(Table1[[#This Row],[Atc Code]],3)</f>
        <v>N05</v>
      </c>
    </row>
    <row r="2697" spans="1:24" ht="14.4">
      <c r="A2697" s="14">
        <v>1875</v>
      </c>
      <c r="B2697" s="24" t="s">
        <v>5672</v>
      </c>
      <c r="C2697" s="1">
        <v>175113</v>
      </c>
      <c r="D2697" s="1" t="s">
        <v>25</v>
      </c>
      <c r="E2697" s="36">
        <v>45138</v>
      </c>
      <c r="F2697" s="36">
        <v>45195</v>
      </c>
      <c r="G2697" s="38">
        <f t="shared" si="42"/>
        <v>57</v>
      </c>
      <c r="H2697" s="5">
        <v>45118</v>
      </c>
      <c r="I2697" s="5">
        <v>45195</v>
      </c>
      <c r="J2697" s="1" t="s">
        <v>26</v>
      </c>
      <c r="K2697" s="1" t="s">
        <v>5673</v>
      </c>
      <c r="L2697" s="1" t="s">
        <v>5655</v>
      </c>
      <c r="M2697" s="1" t="s">
        <v>5656</v>
      </c>
      <c r="N2697" s="1" t="s">
        <v>30</v>
      </c>
      <c r="O2697" s="1" t="s">
        <v>329</v>
      </c>
      <c r="P2697" s="1" t="s">
        <v>1259</v>
      </c>
      <c r="Q2697" s="1" t="s">
        <v>331</v>
      </c>
      <c r="R2697" s="1" t="s">
        <v>26</v>
      </c>
      <c r="S2697" s="1"/>
      <c r="T2697" s="1" t="s">
        <v>5674</v>
      </c>
      <c r="U2697" s="1" t="s">
        <v>35</v>
      </c>
      <c r="V2697" s="1" t="s">
        <v>49</v>
      </c>
      <c r="W2697" s="1" t="str">
        <f>VLOOKUP(Table1[[#This Row],[Obergruppe ATC-Code]],Tabelle3!$A$2:$B$100,2)</f>
        <v>PSYCHOLEPTIKA</v>
      </c>
      <c r="X2697" s="1" t="str">
        <f xml:space="preserve"> LEFT(Table1[[#This Row],[Atc Code]],3)</f>
        <v>N05</v>
      </c>
    </row>
    <row r="2698" spans="1:24" ht="14.4">
      <c r="A2698" s="14">
        <v>1773</v>
      </c>
      <c r="B2698" s="24" t="s">
        <v>5675</v>
      </c>
      <c r="C2698" s="1">
        <v>2107427</v>
      </c>
      <c r="D2698" s="1" t="s">
        <v>25</v>
      </c>
      <c r="E2698" s="36">
        <v>44392</v>
      </c>
      <c r="F2698" s="36">
        <v>44439</v>
      </c>
      <c r="G2698" s="38">
        <f t="shared" si="42"/>
        <v>47</v>
      </c>
      <c r="H2698" s="5">
        <v>44392</v>
      </c>
      <c r="I2698" s="5">
        <v>44435</v>
      </c>
      <c r="J2698" s="1" t="s">
        <v>26</v>
      </c>
      <c r="K2698" s="1" t="s">
        <v>5676</v>
      </c>
      <c r="L2698" s="1" t="s">
        <v>5677</v>
      </c>
      <c r="M2698" s="1" t="s">
        <v>5678</v>
      </c>
      <c r="N2698" s="1" t="s">
        <v>38</v>
      </c>
      <c r="O2698" s="1" t="s">
        <v>52</v>
      </c>
      <c r="P2698" s="1" t="s">
        <v>53</v>
      </c>
      <c r="Q2698" s="1" t="s">
        <v>54</v>
      </c>
      <c r="R2698" s="1" t="s">
        <v>26</v>
      </c>
      <c r="S2698" s="1"/>
      <c r="U2698" s="1" t="s">
        <v>35</v>
      </c>
      <c r="V2698" s="1" t="s">
        <v>49</v>
      </c>
      <c r="W2698" s="1" t="str">
        <f>VLOOKUP(Table1[[#This Row],[Obergruppe ATC-Code]],Tabelle3!$A$2:$B$100,2)</f>
        <v>PSYCHOLEPTIKA</v>
      </c>
      <c r="X2698" s="1" t="str">
        <f xml:space="preserve"> LEFT(Table1[[#This Row],[Atc Code]],3)</f>
        <v>N05</v>
      </c>
    </row>
    <row r="2699" spans="1:24" ht="14.4">
      <c r="A2699" s="14">
        <v>423</v>
      </c>
      <c r="B2699" s="24">
        <v>2545063</v>
      </c>
      <c r="C2699" s="1">
        <v>2102961</v>
      </c>
      <c r="D2699" s="1" t="s">
        <v>25</v>
      </c>
      <c r="E2699" s="36">
        <v>44348</v>
      </c>
      <c r="F2699" s="36">
        <v>44442</v>
      </c>
      <c r="G2699" s="38">
        <f t="shared" si="42"/>
        <v>94</v>
      </c>
      <c r="H2699" s="5">
        <v>44392</v>
      </c>
      <c r="I2699" s="5">
        <v>44442</v>
      </c>
      <c r="J2699" s="1" t="s">
        <v>26</v>
      </c>
      <c r="K2699" s="1" t="s">
        <v>5679</v>
      </c>
      <c r="L2699" s="1" t="s">
        <v>5677</v>
      </c>
      <c r="M2699" s="1" t="s">
        <v>5678</v>
      </c>
      <c r="N2699" s="1" t="s">
        <v>38</v>
      </c>
      <c r="O2699" s="1" t="s">
        <v>5680</v>
      </c>
      <c r="Q2699" s="1" t="s">
        <v>5681</v>
      </c>
      <c r="R2699" s="1" t="s">
        <v>113</v>
      </c>
      <c r="S2699" s="1"/>
      <c r="U2699" s="1" t="s">
        <v>35</v>
      </c>
      <c r="V2699" s="1" t="s">
        <v>49</v>
      </c>
      <c r="W2699" s="1" t="str">
        <f>VLOOKUP(Table1[[#This Row],[Obergruppe ATC-Code]],Tabelle3!$A$2:$B$100,2)</f>
        <v>PSYCHOLEPTIKA</v>
      </c>
      <c r="X2699" s="1" t="str">
        <f xml:space="preserve"> LEFT(Table1[[#This Row],[Atc Code]],3)</f>
        <v>N05</v>
      </c>
    </row>
    <row r="2700" spans="1:24" ht="14.4">
      <c r="A2700" s="14">
        <v>2006</v>
      </c>
      <c r="B2700" s="24" t="s">
        <v>5682</v>
      </c>
      <c r="C2700" s="1">
        <v>2104725</v>
      </c>
      <c r="D2700" s="1" t="s">
        <v>25</v>
      </c>
      <c r="E2700" s="36">
        <v>44392</v>
      </c>
      <c r="F2700" s="36">
        <v>44470</v>
      </c>
      <c r="G2700" s="38">
        <f t="shared" si="42"/>
        <v>78</v>
      </c>
      <c r="H2700" s="5">
        <v>44392</v>
      </c>
      <c r="I2700" s="5">
        <v>44470</v>
      </c>
      <c r="J2700" s="1" t="s">
        <v>26</v>
      </c>
      <c r="K2700" s="1" t="s">
        <v>5683</v>
      </c>
      <c r="L2700" s="1" t="s">
        <v>5677</v>
      </c>
      <c r="M2700" s="1" t="s">
        <v>5678</v>
      </c>
      <c r="N2700" s="1" t="s">
        <v>30</v>
      </c>
      <c r="O2700" s="1" t="s">
        <v>91</v>
      </c>
      <c r="P2700" s="1" t="s">
        <v>92</v>
      </c>
      <c r="Q2700" s="1" t="s">
        <v>93</v>
      </c>
      <c r="R2700" s="1" t="s">
        <v>26</v>
      </c>
      <c r="S2700" s="1"/>
      <c r="U2700" s="1" t="s">
        <v>35</v>
      </c>
      <c r="V2700" s="1" t="s">
        <v>49</v>
      </c>
      <c r="W2700" s="1" t="str">
        <f>VLOOKUP(Table1[[#This Row],[Obergruppe ATC-Code]],Tabelle3!$A$2:$B$100,2)</f>
        <v>PSYCHOLEPTIKA</v>
      </c>
      <c r="X2700" s="1" t="str">
        <f xml:space="preserve"> LEFT(Table1[[#This Row],[Atc Code]],3)</f>
        <v>N05</v>
      </c>
    </row>
    <row r="2701" spans="1:24" ht="14.4">
      <c r="A2701" s="14">
        <v>2135</v>
      </c>
      <c r="B2701" s="24" t="s">
        <v>5684</v>
      </c>
      <c r="C2701" s="1">
        <v>3003276</v>
      </c>
      <c r="D2701" s="1" t="s">
        <v>25</v>
      </c>
      <c r="E2701" s="36">
        <v>44392</v>
      </c>
      <c r="F2701" s="36">
        <v>44599</v>
      </c>
      <c r="G2701" s="38">
        <f t="shared" si="42"/>
        <v>207</v>
      </c>
      <c r="H2701" s="5">
        <v>44392</v>
      </c>
      <c r="I2701" s="5">
        <v>44599</v>
      </c>
      <c r="J2701" s="1" t="s">
        <v>26</v>
      </c>
      <c r="K2701" s="1" t="s">
        <v>5685</v>
      </c>
      <c r="L2701" s="1" t="s">
        <v>5677</v>
      </c>
      <c r="M2701" s="1" t="s">
        <v>5678</v>
      </c>
      <c r="N2701" s="1" t="s">
        <v>38</v>
      </c>
      <c r="O2701" s="1" t="s">
        <v>91</v>
      </c>
      <c r="P2701" s="1" t="s">
        <v>92</v>
      </c>
      <c r="Q2701" s="1" t="s">
        <v>93</v>
      </c>
      <c r="R2701" s="1" t="s">
        <v>26</v>
      </c>
      <c r="S2701" s="1"/>
      <c r="U2701" s="1" t="s">
        <v>35</v>
      </c>
      <c r="V2701" s="1" t="s">
        <v>49</v>
      </c>
      <c r="W2701" s="1" t="str">
        <f>VLOOKUP(Table1[[#This Row],[Obergruppe ATC-Code]],Tabelle3!$A$2:$B$100,2)</f>
        <v>PSYCHOLEPTIKA</v>
      </c>
      <c r="X2701" s="1" t="str">
        <f xml:space="preserve"> LEFT(Table1[[#This Row],[Atc Code]],3)</f>
        <v>N05</v>
      </c>
    </row>
    <row r="2702" spans="1:24" ht="14.4">
      <c r="A2702" s="14">
        <v>877</v>
      </c>
      <c r="B2702" s="24">
        <v>7410190</v>
      </c>
      <c r="C2702" s="1">
        <v>2104036</v>
      </c>
      <c r="D2702" s="1" t="s">
        <v>25</v>
      </c>
      <c r="E2702" s="36">
        <v>43586</v>
      </c>
      <c r="F2702" s="36">
        <v>43646</v>
      </c>
      <c r="G2702" s="38">
        <f t="shared" si="42"/>
        <v>60</v>
      </c>
      <c r="H2702" s="5">
        <v>43609</v>
      </c>
      <c r="I2702" s="5">
        <v>43644</v>
      </c>
      <c r="J2702" s="1" t="s">
        <v>41</v>
      </c>
      <c r="K2702" s="1" t="s">
        <v>5686</v>
      </c>
      <c r="L2702" s="1" t="s">
        <v>5687</v>
      </c>
      <c r="M2702" s="1" t="s">
        <v>5688</v>
      </c>
      <c r="N2702" s="1" t="s">
        <v>30</v>
      </c>
      <c r="O2702" s="1" t="s">
        <v>62</v>
      </c>
      <c r="P2702" s="1" t="s">
        <v>63</v>
      </c>
      <c r="Q2702" s="1" t="s">
        <v>64</v>
      </c>
      <c r="R2702" s="1" t="s">
        <v>26</v>
      </c>
      <c r="S2702" s="1"/>
      <c r="U2702" s="1" t="s">
        <v>35</v>
      </c>
      <c r="V2702" s="1" t="s">
        <v>49</v>
      </c>
      <c r="W2702" s="1" t="str">
        <f>VLOOKUP(Table1[[#This Row],[Obergruppe ATC-Code]],Tabelle3!$A$2:$B$100,2)</f>
        <v>PSYCHOLEPTIKA</v>
      </c>
      <c r="X2702" s="1" t="str">
        <f xml:space="preserve"> LEFT(Table1[[#This Row],[Atc Code]],3)</f>
        <v>N05</v>
      </c>
    </row>
    <row r="2703" spans="1:24" ht="14.4">
      <c r="A2703" s="14">
        <v>528</v>
      </c>
      <c r="B2703" s="24">
        <v>3333593</v>
      </c>
      <c r="C2703" s="1">
        <v>2104038</v>
      </c>
      <c r="D2703" s="1" t="s">
        <v>25</v>
      </c>
      <c r="E2703" s="36">
        <v>43617</v>
      </c>
      <c r="F2703" s="36">
        <v>43708</v>
      </c>
      <c r="G2703" s="38">
        <f t="shared" si="42"/>
        <v>91</v>
      </c>
      <c r="H2703" s="5">
        <v>43609</v>
      </c>
      <c r="I2703" s="5">
        <v>43679</v>
      </c>
      <c r="J2703" s="1" t="s">
        <v>41</v>
      </c>
      <c r="K2703" s="1" t="s">
        <v>5689</v>
      </c>
      <c r="L2703" s="1" t="s">
        <v>5687</v>
      </c>
      <c r="M2703" s="1" t="s">
        <v>5688</v>
      </c>
      <c r="N2703" s="1" t="s">
        <v>30</v>
      </c>
      <c r="O2703" s="1" t="s">
        <v>62</v>
      </c>
      <c r="P2703" s="1" t="s">
        <v>63</v>
      </c>
      <c r="Q2703" s="1" t="s">
        <v>64</v>
      </c>
      <c r="R2703" s="1" t="s">
        <v>26</v>
      </c>
      <c r="S2703" s="1"/>
      <c r="U2703" s="1" t="s">
        <v>35</v>
      </c>
      <c r="V2703" s="1" t="s">
        <v>49</v>
      </c>
      <c r="W2703" s="1" t="str">
        <f>VLOOKUP(Table1[[#This Row],[Obergruppe ATC-Code]],Tabelle3!$A$2:$B$100,2)</f>
        <v>PSYCHOLEPTIKA</v>
      </c>
      <c r="X2703" s="1" t="str">
        <f xml:space="preserve"> LEFT(Table1[[#This Row],[Atc Code]],3)</f>
        <v>N05</v>
      </c>
    </row>
    <row r="2704" spans="1:24" ht="14.4">
      <c r="A2704" s="14">
        <v>1933</v>
      </c>
      <c r="B2704" s="24" t="s">
        <v>5690</v>
      </c>
      <c r="C2704" s="1">
        <v>2104036</v>
      </c>
      <c r="D2704" s="1" t="s">
        <v>25</v>
      </c>
      <c r="E2704" s="36">
        <v>44963</v>
      </c>
      <c r="F2704" s="36">
        <v>44991</v>
      </c>
      <c r="G2704" s="38">
        <f t="shared" si="42"/>
        <v>28</v>
      </c>
      <c r="H2704" s="5">
        <v>44963</v>
      </c>
      <c r="I2704" s="5">
        <v>44991</v>
      </c>
      <c r="J2704" s="1" t="s">
        <v>26</v>
      </c>
      <c r="K2704" s="1" t="s">
        <v>5686</v>
      </c>
      <c r="L2704" s="1" t="s">
        <v>5687</v>
      </c>
      <c r="M2704" s="1" t="s">
        <v>5688</v>
      </c>
      <c r="N2704" s="1" t="s">
        <v>30</v>
      </c>
      <c r="O2704" s="1" t="s">
        <v>62</v>
      </c>
      <c r="P2704" s="1" t="s">
        <v>63</v>
      </c>
      <c r="Q2704" s="1" t="s">
        <v>64</v>
      </c>
      <c r="R2704" s="1" t="s">
        <v>113</v>
      </c>
      <c r="S2704" s="1" t="s">
        <v>421</v>
      </c>
      <c r="T2704" s="1" t="s">
        <v>5691</v>
      </c>
      <c r="U2704" s="1" t="s">
        <v>35</v>
      </c>
      <c r="V2704" s="1" t="s">
        <v>49</v>
      </c>
      <c r="W2704" s="1" t="str">
        <f>VLOOKUP(Table1[[#This Row],[Obergruppe ATC-Code]],Tabelle3!$A$2:$B$100,2)</f>
        <v>PSYCHOLEPTIKA</v>
      </c>
      <c r="X2704" s="1" t="str">
        <f xml:space="preserve"> LEFT(Table1[[#This Row],[Atc Code]],3)</f>
        <v>N05</v>
      </c>
    </row>
    <row r="2705" spans="1:24" ht="14.4">
      <c r="A2705" s="14">
        <v>1932</v>
      </c>
      <c r="B2705" s="24" t="s">
        <v>5690</v>
      </c>
      <c r="C2705" s="1">
        <v>2104036</v>
      </c>
      <c r="D2705" s="1" t="s">
        <v>25</v>
      </c>
      <c r="E2705" s="36">
        <v>45033</v>
      </c>
      <c r="F2705" s="36">
        <v>45086</v>
      </c>
      <c r="G2705" s="38">
        <f t="shared" si="42"/>
        <v>53</v>
      </c>
      <c r="H2705" s="5">
        <v>45033</v>
      </c>
      <c r="I2705" s="5">
        <v>45086</v>
      </c>
      <c r="J2705" s="1" t="s">
        <v>26</v>
      </c>
      <c r="K2705" s="1" t="s">
        <v>5686</v>
      </c>
      <c r="L2705" s="1" t="s">
        <v>5687</v>
      </c>
      <c r="M2705" s="1" t="s">
        <v>5688</v>
      </c>
      <c r="N2705" s="1" t="s">
        <v>30</v>
      </c>
      <c r="O2705" s="1" t="s">
        <v>62</v>
      </c>
      <c r="P2705" s="1" t="s">
        <v>63</v>
      </c>
      <c r="Q2705" s="1" t="s">
        <v>64</v>
      </c>
      <c r="R2705" s="1" t="s">
        <v>113</v>
      </c>
      <c r="S2705" s="1" t="s">
        <v>421</v>
      </c>
      <c r="T2705" s="1" t="s">
        <v>5691</v>
      </c>
      <c r="U2705" s="1" t="s">
        <v>35</v>
      </c>
      <c r="V2705" s="1" t="s">
        <v>49</v>
      </c>
      <c r="W2705" s="1" t="str">
        <f>VLOOKUP(Table1[[#This Row],[Obergruppe ATC-Code]],Tabelle3!$A$2:$B$100,2)</f>
        <v>PSYCHOLEPTIKA</v>
      </c>
      <c r="X2705" s="1" t="str">
        <f xml:space="preserve"> LEFT(Table1[[#This Row],[Atc Code]],3)</f>
        <v>N05</v>
      </c>
    </row>
    <row r="2706" spans="1:24" ht="14.4">
      <c r="A2706" s="14">
        <v>2402</v>
      </c>
      <c r="B2706" s="24" t="s">
        <v>5692</v>
      </c>
      <c r="C2706" s="1">
        <v>2137734</v>
      </c>
      <c r="D2706" s="1" t="s">
        <v>175</v>
      </c>
      <c r="E2706" s="36">
        <v>45131</v>
      </c>
      <c r="F2706" s="36">
        <v>45159</v>
      </c>
      <c r="G2706" s="38">
        <f t="shared" si="42"/>
        <v>28</v>
      </c>
      <c r="H2706" s="5">
        <v>45135</v>
      </c>
      <c r="I2706" s="5">
        <v>45135</v>
      </c>
      <c r="J2706" s="1" t="s">
        <v>26</v>
      </c>
      <c r="K2706" s="1" t="s">
        <v>5693</v>
      </c>
      <c r="L2706" s="1" t="s">
        <v>5694</v>
      </c>
      <c r="M2706" s="1" t="s">
        <v>5695</v>
      </c>
      <c r="N2706" s="1" t="s">
        <v>38</v>
      </c>
      <c r="O2706" s="1" t="s">
        <v>45</v>
      </c>
      <c r="Q2706" s="1" t="s">
        <v>118</v>
      </c>
      <c r="R2706" s="1" t="s">
        <v>113</v>
      </c>
      <c r="S2706" s="1" t="s">
        <v>5696</v>
      </c>
      <c r="U2706" s="1" t="s">
        <v>130</v>
      </c>
      <c r="V2706" s="1" t="s">
        <v>49</v>
      </c>
      <c r="W2706" s="1" t="str">
        <f>VLOOKUP(Table1[[#This Row],[Obergruppe ATC-Code]],Tabelle3!$A$2:$B$100,2)</f>
        <v>PSYCHOLEPTIKA</v>
      </c>
      <c r="X2706" s="1" t="str">
        <f xml:space="preserve"> LEFT(Table1[[#This Row],[Atc Code]],3)</f>
        <v>N05</v>
      </c>
    </row>
    <row r="2707" spans="1:24" ht="14.4">
      <c r="A2707" s="14">
        <v>2401</v>
      </c>
      <c r="B2707" s="24" t="s">
        <v>5697</v>
      </c>
      <c r="C2707" s="1">
        <v>2137737</v>
      </c>
      <c r="D2707" s="1" t="s">
        <v>175</v>
      </c>
      <c r="E2707" s="36">
        <v>45131</v>
      </c>
      <c r="F2707" s="36">
        <v>45187</v>
      </c>
      <c r="G2707" s="38">
        <f t="shared" si="42"/>
        <v>56</v>
      </c>
      <c r="H2707" s="5">
        <v>45135</v>
      </c>
      <c r="I2707" s="5">
        <v>45135</v>
      </c>
      <c r="J2707" s="1" t="s">
        <v>26</v>
      </c>
      <c r="K2707" s="1" t="s">
        <v>5698</v>
      </c>
      <c r="L2707" s="1" t="s">
        <v>5694</v>
      </c>
      <c r="M2707" s="1" t="s">
        <v>5695</v>
      </c>
      <c r="N2707" s="1" t="s">
        <v>38</v>
      </c>
      <c r="O2707" s="1" t="s">
        <v>45</v>
      </c>
      <c r="Q2707" s="1" t="s">
        <v>118</v>
      </c>
      <c r="R2707" s="1" t="s">
        <v>113</v>
      </c>
      <c r="S2707" s="1" t="s">
        <v>5696</v>
      </c>
      <c r="U2707" s="1" t="s">
        <v>130</v>
      </c>
      <c r="V2707" s="1" t="s">
        <v>49</v>
      </c>
      <c r="W2707" s="1" t="str">
        <f>VLOOKUP(Table1[[#This Row],[Obergruppe ATC-Code]],Tabelle3!$A$2:$B$100,2)</f>
        <v>PSYCHOLEPTIKA</v>
      </c>
      <c r="X2707" s="1" t="str">
        <f xml:space="preserve"> LEFT(Table1[[#This Row],[Atc Code]],3)</f>
        <v>N05</v>
      </c>
    </row>
    <row r="2708" spans="1:24" ht="14.4">
      <c r="A2708" s="14">
        <v>2031</v>
      </c>
      <c r="B2708" s="24" t="s">
        <v>5699</v>
      </c>
      <c r="C2708" s="1">
        <v>2154835</v>
      </c>
      <c r="D2708" s="1" t="s">
        <v>175</v>
      </c>
      <c r="E2708" s="36">
        <v>45131</v>
      </c>
      <c r="F2708" s="36">
        <v>45215</v>
      </c>
      <c r="G2708" s="38">
        <f t="shared" si="42"/>
        <v>84</v>
      </c>
      <c r="H2708" s="5">
        <v>45135</v>
      </c>
      <c r="I2708" s="5">
        <v>45135</v>
      </c>
      <c r="J2708" s="1" t="s">
        <v>26</v>
      </c>
      <c r="K2708" s="1" t="s">
        <v>5700</v>
      </c>
      <c r="L2708" s="1" t="s">
        <v>5694</v>
      </c>
      <c r="M2708" s="1" t="s">
        <v>5695</v>
      </c>
      <c r="N2708" s="1" t="s">
        <v>38</v>
      </c>
      <c r="O2708" s="1" t="s">
        <v>45</v>
      </c>
      <c r="Q2708" s="1" t="s">
        <v>118</v>
      </c>
      <c r="R2708" s="1" t="s">
        <v>113</v>
      </c>
      <c r="S2708" s="1" t="s">
        <v>5696</v>
      </c>
      <c r="U2708" s="1" t="s">
        <v>130</v>
      </c>
      <c r="V2708" s="1" t="s">
        <v>49</v>
      </c>
      <c r="W2708" s="1" t="str">
        <f>VLOOKUP(Table1[[#This Row],[Obergruppe ATC-Code]],Tabelle3!$A$2:$B$100,2)</f>
        <v>PSYCHOLEPTIKA</v>
      </c>
      <c r="X2708" s="1" t="str">
        <f xml:space="preserve"> LEFT(Table1[[#This Row],[Atc Code]],3)</f>
        <v>N05</v>
      </c>
    </row>
    <row r="2709" spans="1:24" ht="14.4">
      <c r="A2709" s="14">
        <v>2003</v>
      </c>
      <c r="B2709" s="24" t="s">
        <v>5701</v>
      </c>
      <c r="C2709" s="1">
        <v>2154834</v>
      </c>
      <c r="D2709" s="1" t="s">
        <v>175</v>
      </c>
      <c r="E2709" s="36">
        <v>45131</v>
      </c>
      <c r="F2709" s="36">
        <v>45215</v>
      </c>
      <c r="G2709" s="38">
        <f t="shared" si="42"/>
        <v>84</v>
      </c>
      <c r="H2709" s="5">
        <v>45135</v>
      </c>
      <c r="I2709" s="5">
        <v>45135</v>
      </c>
      <c r="J2709" s="1" t="s">
        <v>26</v>
      </c>
      <c r="K2709" s="1" t="s">
        <v>5702</v>
      </c>
      <c r="L2709" s="1" t="s">
        <v>5694</v>
      </c>
      <c r="M2709" s="1" t="s">
        <v>5695</v>
      </c>
      <c r="N2709" s="1" t="s">
        <v>38</v>
      </c>
      <c r="O2709" s="1" t="s">
        <v>117</v>
      </c>
      <c r="Q2709" s="1" t="s">
        <v>1495</v>
      </c>
      <c r="R2709" s="1" t="s">
        <v>113</v>
      </c>
      <c r="S2709" s="1" t="s">
        <v>5696</v>
      </c>
      <c r="U2709" s="1" t="s">
        <v>130</v>
      </c>
      <c r="V2709" s="1" t="s">
        <v>49</v>
      </c>
      <c r="W2709" s="1" t="str">
        <f>VLOOKUP(Table1[[#This Row],[Obergruppe ATC-Code]],Tabelle3!$A$2:$B$100,2)</f>
        <v>PSYCHOLEPTIKA</v>
      </c>
      <c r="X2709" s="1" t="str">
        <f xml:space="preserve"> LEFT(Table1[[#This Row],[Atc Code]],3)</f>
        <v>N05</v>
      </c>
    </row>
    <row r="2710" spans="1:24" ht="14.4">
      <c r="A2710" s="14">
        <v>30</v>
      </c>
      <c r="B2710" s="24">
        <v>179358</v>
      </c>
      <c r="C2710" s="1">
        <v>2154833</v>
      </c>
      <c r="D2710" s="1" t="s">
        <v>175</v>
      </c>
      <c r="E2710" s="36">
        <v>45131</v>
      </c>
      <c r="F2710" s="36">
        <v>45187</v>
      </c>
      <c r="G2710" s="38">
        <f t="shared" si="42"/>
        <v>56</v>
      </c>
      <c r="H2710" s="5">
        <v>45135</v>
      </c>
      <c r="I2710" s="5">
        <v>45135</v>
      </c>
      <c r="J2710" s="1" t="s">
        <v>26</v>
      </c>
      <c r="K2710" s="1" t="s">
        <v>5703</v>
      </c>
      <c r="L2710" s="1" t="s">
        <v>5694</v>
      </c>
      <c r="M2710" s="1" t="s">
        <v>5695</v>
      </c>
      <c r="N2710" s="1" t="s">
        <v>38</v>
      </c>
      <c r="O2710" s="1" t="s">
        <v>117</v>
      </c>
      <c r="Q2710" s="1" t="s">
        <v>1495</v>
      </c>
      <c r="R2710" s="1" t="s">
        <v>113</v>
      </c>
      <c r="S2710" s="1" t="s">
        <v>5696</v>
      </c>
      <c r="U2710" s="1" t="s">
        <v>130</v>
      </c>
      <c r="V2710" s="1" t="s">
        <v>49</v>
      </c>
      <c r="W2710" s="1" t="str">
        <f>VLOOKUP(Table1[[#This Row],[Obergruppe ATC-Code]],Tabelle3!$A$2:$B$100,2)</f>
        <v>PSYCHOLEPTIKA</v>
      </c>
      <c r="X2710" s="1" t="str">
        <f xml:space="preserve"> LEFT(Table1[[#This Row],[Atc Code]],3)</f>
        <v>N05</v>
      </c>
    </row>
    <row r="2711" spans="1:24" ht="14.4">
      <c r="A2711" s="14">
        <v>1761</v>
      </c>
      <c r="B2711" s="24" t="s">
        <v>5704</v>
      </c>
      <c r="C2711" s="1">
        <v>2169677</v>
      </c>
      <c r="D2711" s="1" t="s">
        <v>102</v>
      </c>
      <c r="E2711" s="36">
        <v>45106</v>
      </c>
      <c r="F2711" s="36">
        <v>45230</v>
      </c>
      <c r="G2711" s="38">
        <f t="shared" si="42"/>
        <v>124</v>
      </c>
      <c r="H2711" s="5">
        <v>45134</v>
      </c>
      <c r="I2711" s="5">
        <v>45155</v>
      </c>
      <c r="J2711" s="1" t="s">
        <v>41</v>
      </c>
      <c r="K2711" s="1" t="s">
        <v>5705</v>
      </c>
      <c r="L2711" s="1" t="s">
        <v>5694</v>
      </c>
      <c r="M2711" s="1" t="s">
        <v>5695</v>
      </c>
      <c r="N2711" s="1" t="s">
        <v>38</v>
      </c>
      <c r="O2711" s="1" t="s">
        <v>52</v>
      </c>
      <c r="Q2711" s="1" t="s">
        <v>54</v>
      </c>
      <c r="R2711" s="1" t="s">
        <v>128</v>
      </c>
      <c r="S2711" s="1"/>
      <c r="U2711" s="1" t="s">
        <v>130</v>
      </c>
      <c r="V2711" s="1" t="s">
        <v>49</v>
      </c>
      <c r="W2711" s="1" t="str">
        <f>VLOOKUP(Table1[[#This Row],[Obergruppe ATC-Code]],Tabelle3!$A$2:$B$100,2)</f>
        <v>PSYCHOLEPTIKA</v>
      </c>
      <c r="X2711" s="1" t="str">
        <f xml:space="preserve"> LEFT(Table1[[#This Row],[Atc Code]],3)</f>
        <v>N05</v>
      </c>
    </row>
    <row r="2712" spans="1:24" ht="14.4">
      <c r="A2712" s="14">
        <v>1766</v>
      </c>
      <c r="B2712" s="24" t="s">
        <v>5706</v>
      </c>
      <c r="C2712" s="1">
        <v>2169678</v>
      </c>
      <c r="D2712" s="1" t="s">
        <v>25</v>
      </c>
      <c r="E2712" s="36">
        <v>45106</v>
      </c>
      <c r="F2712" s="36">
        <v>45182</v>
      </c>
      <c r="G2712" s="38">
        <f t="shared" si="42"/>
        <v>76</v>
      </c>
      <c r="H2712" s="5">
        <v>45134</v>
      </c>
      <c r="I2712" s="5">
        <v>45184</v>
      </c>
      <c r="J2712" s="1" t="s">
        <v>41</v>
      </c>
      <c r="K2712" s="1" t="s">
        <v>5707</v>
      </c>
      <c r="L2712" s="1" t="s">
        <v>5694</v>
      </c>
      <c r="M2712" s="1" t="s">
        <v>5695</v>
      </c>
      <c r="N2712" s="1" t="s">
        <v>38</v>
      </c>
      <c r="O2712" s="1" t="s">
        <v>52</v>
      </c>
      <c r="Q2712" s="1" t="s">
        <v>54</v>
      </c>
      <c r="R2712" s="1" t="s">
        <v>128</v>
      </c>
      <c r="S2712" s="1"/>
      <c r="U2712" s="1" t="s">
        <v>130</v>
      </c>
      <c r="V2712" s="1" t="s">
        <v>49</v>
      </c>
      <c r="W2712" s="1" t="str">
        <f>VLOOKUP(Table1[[#This Row],[Obergruppe ATC-Code]],Tabelle3!$A$2:$B$100,2)</f>
        <v>PSYCHOLEPTIKA</v>
      </c>
      <c r="X2712" s="1" t="str">
        <f xml:space="preserve"> LEFT(Table1[[#This Row],[Atc Code]],3)</f>
        <v>N05</v>
      </c>
    </row>
    <row r="2713" spans="1:24" ht="14.4">
      <c r="A2713" s="14">
        <v>2400</v>
      </c>
      <c r="B2713" s="24" t="s">
        <v>5708</v>
      </c>
      <c r="C2713" s="1">
        <v>2111426</v>
      </c>
      <c r="D2713" s="1" t="s">
        <v>25</v>
      </c>
      <c r="E2713" s="36">
        <v>44351</v>
      </c>
      <c r="F2713" s="36">
        <v>44411</v>
      </c>
      <c r="G2713" s="38">
        <f t="shared" si="42"/>
        <v>60</v>
      </c>
      <c r="H2713" s="5">
        <v>44351</v>
      </c>
      <c r="I2713" s="5">
        <v>44411</v>
      </c>
      <c r="J2713" s="1" t="s">
        <v>41</v>
      </c>
      <c r="K2713" s="1" t="s">
        <v>5709</v>
      </c>
      <c r="L2713" s="1" t="s">
        <v>5710</v>
      </c>
      <c r="M2713" s="1" t="s">
        <v>5711</v>
      </c>
      <c r="N2713" s="1" t="s">
        <v>38</v>
      </c>
      <c r="O2713" s="1" t="s">
        <v>91</v>
      </c>
      <c r="P2713" s="1" t="s">
        <v>5712</v>
      </c>
      <c r="Q2713" s="1" t="s">
        <v>5713</v>
      </c>
      <c r="R2713" s="1" t="s">
        <v>128</v>
      </c>
      <c r="S2713" s="1"/>
      <c r="U2713" s="1" t="s">
        <v>35</v>
      </c>
      <c r="V2713" s="1" t="s">
        <v>49</v>
      </c>
      <c r="W2713" s="1" t="str">
        <f>VLOOKUP(Table1[[#This Row],[Obergruppe ATC-Code]],Tabelle3!$A$2:$B$100,2)</f>
        <v>PSYCHOLEPTIKA</v>
      </c>
      <c r="X2713" s="1" t="str">
        <f xml:space="preserve"> LEFT(Table1[[#This Row],[Atc Code]],3)</f>
        <v>N05</v>
      </c>
    </row>
    <row r="2714" spans="1:24" ht="15.6">
      <c r="A2714" s="14">
        <v>3195</v>
      </c>
      <c r="B2714" s="44" t="s">
        <v>5714</v>
      </c>
      <c r="C2714" s="1">
        <v>2144859</v>
      </c>
      <c r="D2714" s="1" t="s">
        <v>25</v>
      </c>
      <c r="E2714" s="36">
        <v>43922</v>
      </c>
      <c r="F2714" s="36">
        <v>44012</v>
      </c>
      <c r="G2714" s="38">
        <f t="shared" si="42"/>
        <v>90</v>
      </c>
      <c r="H2714" s="5">
        <v>43930</v>
      </c>
      <c r="I2714" s="5">
        <v>44000</v>
      </c>
      <c r="J2714" s="1" t="s">
        <v>26</v>
      </c>
      <c r="K2714" s="1" t="s">
        <v>5715</v>
      </c>
      <c r="L2714" s="1" t="s">
        <v>5716</v>
      </c>
      <c r="M2714" s="1" t="s">
        <v>5717</v>
      </c>
      <c r="N2714" s="1" t="s">
        <v>30</v>
      </c>
      <c r="O2714" s="1" t="s">
        <v>45</v>
      </c>
      <c r="P2714" s="1" t="s">
        <v>104</v>
      </c>
      <c r="Q2714" s="1" t="s">
        <v>105</v>
      </c>
      <c r="R2714" s="1" t="s">
        <v>33</v>
      </c>
      <c r="S2714" s="1"/>
      <c r="U2714" s="1" t="s">
        <v>35</v>
      </c>
      <c r="V2714" s="1" t="s">
        <v>74</v>
      </c>
      <c r="W2714" s="1" t="str">
        <f>VLOOKUP(Table1[[#This Row],[Obergruppe ATC-Code]],Tabelle3!$A$2:$B$100,2)</f>
        <v>PSYCHOLEPTIKA</v>
      </c>
      <c r="X2714" s="1" t="str">
        <f xml:space="preserve"> LEFT(Table1[[#This Row],[Atc Code]],3)</f>
        <v>N05</v>
      </c>
    </row>
    <row r="2715" spans="1:24" ht="14.4">
      <c r="A2715" s="14">
        <v>3194</v>
      </c>
      <c r="B2715" s="3" t="s">
        <v>5718</v>
      </c>
      <c r="C2715" s="1">
        <v>2144857</v>
      </c>
      <c r="D2715" s="1" t="s">
        <v>25</v>
      </c>
      <c r="E2715" s="36">
        <v>43922</v>
      </c>
      <c r="F2715" s="36">
        <v>44012</v>
      </c>
      <c r="G2715" s="38">
        <f t="shared" si="42"/>
        <v>90</v>
      </c>
      <c r="H2715" s="5">
        <v>43930</v>
      </c>
      <c r="I2715" s="5">
        <v>44000</v>
      </c>
      <c r="J2715" s="1" t="s">
        <v>26</v>
      </c>
      <c r="K2715" s="1" t="s">
        <v>5719</v>
      </c>
      <c r="L2715" s="1" t="s">
        <v>5716</v>
      </c>
      <c r="M2715" s="1" t="s">
        <v>5717</v>
      </c>
      <c r="N2715" s="1" t="s">
        <v>30</v>
      </c>
      <c r="O2715" s="1" t="s">
        <v>45</v>
      </c>
      <c r="P2715" s="1" t="s">
        <v>104</v>
      </c>
      <c r="Q2715" s="1" t="s">
        <v>105</v>
      </c>
      <c r="R2715" s="1" t="s">
        <v>33</v>
      </c>
      <c r="S2715" s="1"/>
      <c r="U2715" s="1" t="s">
        <v>35</v>
      </c>
      <c r="V2715" s="1" t="s">
        <v>74</v>
      </c>
      <c r="W2715" s="1" t="str">
        <f>VLOOKUP(Table1[[#This Row],[Obergruppe ATC-Code]],Tabelle3!$A$2:$B$100,2)</f>
        <v>PSYCHOLEPTIKA</v>
      </c>
      <c r="X2715" s="1" t="str">
        <f xml:space="preserve"> LEFT(Table1[[#This Row],[Atc Code]],3)</f>
        <v>N05</v>
      </c>
    </row>
    <row r="2716" spans="1:24" ht="14.4">
      <c r="A2716" s="14">
        <v>3196</v>
      </c>
      <c r="B2716" s="3">
        <v>4921748</v>
      </c>
      <c r="C2716" s="1">
        <v>2144862</v>
      </c>
      <c r="D2716" s="1" t="s">
        <v>25</v>
      </c>
      <c r="E2716" s="36">
        <v>43891</v>
      </c>
      <c r="F2716" s="36">
        <v>44012</v>
      </c>
      <c r="G2716" s="38">
        <f t="shared" si="42"/>
        <v>121</v>
      </c>
      <c r="H2716" s="5">
        <v>43917</v>
      </c>
      <c r="I2716" s="5">
        <v>44000</v>
      </c>
      <c r="J2716" s="1" t="s">
        <v>26</v>
      </c>
      <c r="K2716" s="1" t="s">
        <v>5720</v>
      </c>
      <c r="L2716" s="1" t="s">
        <v>5716</v>
      </c>
      <c r="M2716" s="1" t="s">
        <v>5717</v>
      </c>
      <c r="N2716" s="1" t="s">
        <v>30</v>
      </c>
      <c r="O2716" s="1" t="s">
        <v>45</v>
      </c>
      <c r="P2716" s="1" t="s">
        <v>104</v>
      </c>
      <c r="Q2716" s="1" t="s">
        <v>105</v>
      </c>
      <c r="R2716" s="1" t="s">
        <v>33</v>
      </c>
      <c r="S2716" s="1"/>
      <c r="U2716" s="1" t="s">
        <v>35</v>
      </c>
      <c r="V2716" s="1" t="s">
        <v>74</v>
      </c>
      <c r="W2716" s="1" t="str">
        <f>VLOOKUP(Table1[[#This Row],[Obergruppe ATC-Code]],Tabelle3!$A$2:$B$100,2)</f>
        <v>PSYCHOLEPTIKA</v>
      </c>
      <c r="X2716" s="1" t="str">
        <f xml:space="preserve"> LEFT(Table1[[#This Row],[Atc Code]],3)</f>
        <v>N05</v>
      </c>
    </row>
    <row r="2717" spans="1:24" ht="14.4">
      <c r="A2717" s="14">
        <v>3191</v>
      </c>
      <c r="B2717" s="3">
        <v>4467367</v>
      </c>
      <c r="C2717" s="1">
        <v>2147047</v>
      </c>
      <c r="D2717" s="1" t="s">
        <v>25</v>
      </c>
      <c r="E2717" s="36">
        <v>43922</v>
      </c>
      <c r="F2717" s="36">
        <v>44012</v>
      </c>
      <c r="G2717" s="38">
        <f t="shared" si="42"/>
        <v>90</v>
      </c>
      <c r="H2717" s="5">
        <v>43936</v>
      </c>
      <c r="I2717" s="5">
        <v>44015</v>
      </c>
      <c r="J2717" s="1" t="s">
        <v>41</v>
      </c>
      <c r="K2717" s="1" t="s">
        <v>5721</v>
      </c>
      <c r="L2717" s="1" t="s">
        <v>5716</v>
      </c>
      <c r="M2717" s="1" t="s">
        <v>5717</v>
      </c>
      <c r="N2717" s="1" t="s">
        <v>30</v>
      </c>
      <c r="O2717" s="1" t="s">
        <v>1081</v>
      </c>
      <c r="P2717" s="1" t="s">
        <v>4528</v>
      </c>
      <c r="Q2717" s="1" t="s">
        <v>5722</v>
      </c>
      <c r="R2717" s="1" t="s">
        <v>26</v>
      </c>
      <c r="S2717" s="1"/>
      <c r="T2717" s="1" t="s">
        <v>5723</v>
      </c>
      <c r="U2717" s="1" t="s">
        <v>35</v>
      </c>
      <c r="V2717" s="1" t="s">
        <v>652</v>
      </c>
      <c r="W2717" s="1" t="str">
        <f>VLOOKUP(Table1[[#This Row],[Obergruppe ATC-Code]],Tabelle3!$A$2:$B$100,2)</f>
        <v>PSYCHOLEPTIKA</v>
      </c>
      <c r="X2717" s="1" t="str">
        <f xml:space="preserve"> LEFT(Table1[[#This Row],[Atc Code]],3)</f>
        <v>N05</v>
      </c>
    </row>
    <row r="2718" spans="1:24" ht="14.4">
      <c r="A2718" s="14">
        <v>3193</v>
      </c>
      <c r="B2718" s="3">
        <v>11356450</v>
      </c>
      <c r="C2718" s="1">
        <v>2147054</v>
      </c>
      <c r="D2718" s="1" t="s">
        <v>25</v>
      </c>
      <c r="E2718" s="36">
        <v>43922</v>
      </c>
      <c r="F2718" s="36">
        <v>44043</v>
      </c>
      <c r="G2718" s="38">
        <f t="shared" si="42"/>
        <v>121</v>
      </c>
      <c r="H2718" s="5">
        <v>43924</v>
      </c>
      <c r="I2718" s="5">
        <v>44043</v>
      </c>
      <c r="J2718" s="1" t="s">
        <v>41</v>
      </c>
      <c r="K2718" s="1" t="s">
        <v>5724</v>
      </c>
      <c r="L2718" s="1" t="s">
        <v>5716</v>
      </c>
      <c r="M2718" s="1" t="s">
        <v>5717</v>
      </c>
      <c r="N2718" s="1" t="s">
        <v>30</v>
      </c>
      <c r="O2718" s="1" t="s">
        <v>1284</v>
      </c>
      <c r="P2718" s="1">
        <v>895589090</v>
      </c>
      <c r="Q2718" s="1" t="s">
        <v>1286</v>
      </c>
      <c r="R2718" s="1" t="s">
        <v>26</v>
      </c>
      <c r="S2718" s="1"/>
      <c r="U2718" s="1" t="s">
        <v>35</v>
      </c>
      <c r="V2718" s="1" t="s">
        <v>5725</v>
      </c>
      <c r="W2718" s="1" t="str">
        <f>VLOOKUP(Table1[[#This Row],[Obergruppe ATC-Code]],Tabelle3!$A$2:$B$100,2)</f>
        <v>PSYCHOLEPTIKA</v>
      </c>
      <c r="X2718" s="1" t="str">
        <f xml:space="preserve"> LEFT(Table1[[#This Row],[Atc Code]],3)</f>
        <v>N05</v>
      </c>
    </row>
    <row r="2719" spans="1:24" ht="14.4">
      <c r="A2719" s="14">
        <v>3192</v>
      </c>
      <c r="B2719" s="3">
        <v>11356421</v>
      </c>
      <c r="C2719" s="1">
        <v>2147053</v>
      </c>
      <c r="D2719" s="1" t="s">
        <v>25</v>
      </c>
      <c r="E2719" s="36">
        <v>43922</v>
      </c>
      <c r="F2719" s="36">
        <v>44043</v>
      </c>
      <c r="G2719" s="38">
        <f t="shared" si="42"/>
        <v>121</v>
      </c>
      <c r="H2719" s="5">
        <v>43924</v>
      </c>
      <c r="I2719" s="5">
        <v>44043</v>
      </c>
      <c r="J2719" s="1" t="s">
        <v>41</v>
      </c>
      <c r="K2719" s="1" t="s">
        <v>5726</v>
      </c>
      <c r="L2719" s="1" t="s">
        <v>5716</v>
      </c>
      <c r="M2719" s="1" t="s">
        <v>5717</v>
      </c>
      <c r="N2719" s="1" t="s">
        <v>30</v>
      </c>
      <c r="O2719" s="1" t="s">
        <v>1284</v>
      </c>
      <c r="P2719" s="1">
        <v>895589090</v>
      </c>
      <c r="Q2719" s="1" t="s">
        <v>1286</v>
      </c>
      <c r="R2719" s="1" t="s">
        <v>26</v>
      </c>
      <c r="S2719" s="1"/>
      <c r="U2719" s="1" t="s">
        <v>35</v>
      </c>
      <c r="V2719" s="1" t="s">
        <v>5725</v>
      </c>
      <c r="W2719" s="1" t="str">
        <f>VLOOKUP(Table1[[#This Row],[Obergruppe ATC-Code]],Tabelle3!$A$2:$B$100,2)</f>
        <v>PSYCHOLEPTIKA</v>
      </c>
      <c r="X2719" s="1" t="str">
        <f xml:space="preserve"> LEFT(Table1[[#This Row],[Atc Code]],3)</f>
        <v>N05</v>
      </c>
    </row>
    <row r="2720" spans="1:24" ht="15.6">
      <c r="A2720" s="14">
        <v>3200</v>
      </c>
      <c r="B2720" s="44">
        <v>15735859</v>
      </c>
      <c r="C2720" s="1">
        <v>2202120</v>
      </c>
      <c r="D2720" s="1" t="s">
        <v>25</v>
      </c>
      <c r="E2720" s="36">
        <v>43952</v>
      </c>
      <c r="F2720" s="36">
        <v>44043</v>
      </c>
      <c r="G2720" s="38">
        <f t="shared" si="42"/>
        <v>91</v>
      </c>
      <c r="H2720" s="5">
        <v>43957</v>
      </c>
      <c r="I2720" s="5">
        <v>44046</v>
      </c>
      <c r="J2720" s="1" t="s">
        <v>41</v>
      </c>
      <c r="K2720" s="1" t="s">
        <v>5727</v>
      </c>
      <c r="L2720" s="1" t="s">
        <v>5716</v>
      </c>
      <c r="M2720" s="1" t="s">
        <v>5728</v>
      </c>
      <c r="N2720" s="1" t="s">
        <v>30</v>
      </c>
      <c r="O2720" s="1" t="s">
        <v>2757</v>
      </c>
      <c r="P2720" s="1">
        <v>214403990</v>
      </c>
      <c r="Q2720" s="1" t="s">
        <v>98</v>
      </c>
      <c r="R2720" s="1" t="s">
        <v>26</v>
      </c>
      <c r="S2720" s="1"/>
      <c r="U2720" s="1" t="s">
        <v>35</v>
      </c>
      <c r="V2720" s="1" t="s">
        <v>652</v>
      </c>
      <c r="W2720" s="1" t="str">
        <f>VLOOKUP(Table1[[#This Row],[Obergruppe ATC-Code]],Tabelle3!$A$2:$B$100,2)</f>
        <v>PSYCHOLEPTIKA</v>
      </c>
      <c r="X2720" s="1" t="str">
        <f xml:space="preserve"> LEFT(Table1[[#This Row],[Atc Code]],3)</f>
        <v>N05</v>
      </c>
    </row>
    <row r="2721" spans="1:24" ht="14.4">
      <c r="A2721" s="14">
        <v>3199</v>
      </c>
      <c r="B2721" s="3">
        <v>15735842</v>
      </c>
      <c r="C2721" s="1">
        <v>2202119</v>
      </c>
      <c r="D2721" s="1" t="s">
        <v>25</v>
      </c>
      <c r="E2721" s="36">
        <v>43891</v>
      </c>
      <c r="F2721" s="36">
        <v>44043</v>
      </c>
      <c r="G2721" s="38">
        <f t="shared" si="42"/>
        <v>152</v>
      </c>
      <c r="H2721" s="5">
        <v>43957</v>
      </c>
      <c r="I2721" s="5">
        <v>44046</v>
      </c>
      <c r="J2721" s="1" t="s">
        <v>41</v>
      </c>
      <c r="K2721" s="1" t="s">
        <v>5729</v>
      </c>
      <c r="L2721" s="1" t="s">
        <v>5716</v>
      </c>
      <c r="M2721" s="1" t="s">
        <v>5728</v>
      </c>
      <c r="N2721" s="1" t="s">
        <v>30</v>
      </c>
      <c r="O2721" s="1" t="s">
        <v>2757</v>
      </c>
      <c r="P2721" s="1">
        <v>214403990</v>
      </c>
      <c r="Q2721" s="1" t="s">
        <v>98</v>
      </c>
      <c r="R2721" s="1" t="s">
        <v>26</v>
      </c>
      <c r="S2721" s="1"/>
      <c r="U2721" s="1" t="s">
        <v>35</v>
      </c>
      <c r="V2721" s="1" t="s">
        <v>652</v>
      </c>
      <c r="W2721" s="1" t="str">
        <f>VLOOKUP(Table1[[#This Row],[Obergruppe ATC-Code]],Tabelle3!$A$2:$B$100,2)</f>
        <v>PSYCHOLEPTIKA</v>
      </c>
      <c r="X2721" s="1" t="str">
        <f xml:space="preserve"> LEFT(Table1[[#This Row],[Atc Code]],3)</f>
        <v>N05</v>
      </c>
    </row>
    <row r="2722" spans="1:24" ht="14.4">
      <c r="A2722" s="14">
        <v>1103</v>
      </c>
      <c r="B2722" s="24">
        <v>9312422</v>
      </c>
      <c r="C2722" s="1">
        <v>2150454</v>
      </c>
      <c r="D2722" s="1" t="s">
        <v>25</v>
      </c>
      <c r="E2722" s="36">
        <v>43922</v>
      </c>
      <c r="F2722" s="36">
        <v>44104</v>
      </c>
      <c r="G2722" s="38">
        <f t="shared" si="42"/>
        <v>182</v>
      </c>
      <c r="H2722" s="5">
        <v>43944</v>
      </c>
      <c r="I2722" s="5">
        <v>44067</v>
      </c>
      <c r="J2722" s="1" t="s">
        <v>41</v>
      </c>
      <c r="K2722" s="1" t="s">
        <v>5730</v>
      </c>
      <c r="L2722" s="1" t="s">
        <v>5716</v>
      </c>
      <c r="M2722" s="1" t="s">
        <v>5717</v>
      </c>
      <c r="N2722" s="1" t="s">
        <v>30</v>
      </c>
      <c r="O2722" s="1" t="s">
        <v>213</v>
      </c>
      <c r="P2722" s="1" t="s">
        <v>214</v>
      </c>
      <c r="Q2722" s="1" t="s">
        <v>215</v>
      </c>
      <c r="R2722" s="1" t="s">
        <v>26</v>
      </c>
      <c r="S2722" s="1"/>
      <c r="T2722" s="1" t="s">
        <v>5731</v>
      </c>
      <c r="U2722" s="1" t="s">
        <v>57</v>
      </c>
      <c r="V2722" s="1" t="s">
        <v>5725</v>
      </c>
      <c r="W2722" s="1" t="str">
        <f>VLOOKUP(Table1[[#This Row],[Obergruppe ATC-Code]],Tabelle3!$A$2:$B$100,2)</f>
        <v>PSYCHOLEPTIKA</v>
      </c>
      <c r="X2722" s="1" t="str">
        <f xml:space="preserve"> LEFT(Table1[[#This Row],[Atc Code]],3)</f>
        <v>N05</v>
      </c>
    </row>
    <row r="2723" spans="1:24" ht="14.4">
      <c r="A2723" s="14">
        <v>3198</v>
      </c>
      <c r="B2723" s="3">
        <v>787827</v>
      </c>
      <c r="C2723" s="1">
        <v>2154706</v>
      </c>
      <c r="D2723" s="1" t="s">
        <v>25</v>
      </c>
      <c r="E2723" s="36">
        <v>43891</v>
      </c>
      <c r="F2723" s="36">
        <v>44227</v>
      </c>
      <c r="G2723" s="38">
        <f t="shared" si="42"/>
        <v>336</v>
      </c>
      <c r="H2723" s="5">
        <v>43917</v>
      </c>
      <c r="I2723" s="5">
        <v>44070</v>
      </c>
      <c r="J2723" s="1" t="s">
        <v>26</v>
      </c>
      <c r="K2723" s="1" t="s">
        <v>5732</v>
      </c>
      <c r="L2723" s="1" t="s">
        <v>5716</v>
      </c>
      <c r="M2723" s="1" t="s">
        <v>5728</v>
      </c>
      <c r="N2723" s="1" t="s">
        <v>30</v>
      </c>
      <c r="O2723" s="1" t="s">
        <v>45</v>
      </c>
      <c r="P2723" s="1" t="s">
        <v>104</v>
      </c>
      <c r="Q2723" s="1" t="s">
        <v>105</v>
      </c>
      <c r="R2723" s="1" t="s">
        <v>33</v>
      </c>
      <c r="S2723" s="1"/>
      <c r="U2723" s="1" t="s">
        <v>35</v>
      </c>
      <c r="V2723" s="1" t="s">
        <v>74</v>
      </c>
      <c r="W2723" s="1" t="str">
        <f>VLOOKUP(Table1[[#This Row],[Obergruppe ATC-Code]],Tabelle3!$A$2:$B$100,2)</f>
        <v>PSYCHOLEPTIKA</v>
      </c>
      <c r="X2723" s="1" t="str">
        <f xml:space="preserve"> LEFT(Table1[[#This Row],[Atc Code]],3)</f>
        <v>N05</v>
      </c>
    </row>
    <row r="2724" spans="1:24" ht="14.4">
      <c r="A2724" s="14">
        <v>2300</v>
      </c>
      <c r="B2724" s="24" t="s">
        <v>5733</v>
      </c>
      <c r="C2724" s="1">
        <v>2150451</v>
      </c>
      <c r="D2724" s="1" t="s">
        <v>25</v>
      </c>
      <c r="E2724" s="36">
        <v>43922</v>
      </c>
      <c r="F2724" s="36">
        <v>44104</v>
      </c>
      <c r="G2724" s="38">
        <f t="shared" si="42"/>
        <v>182</v>
      </c>
      <c r="H2724" s="5">
        <v>43944</v>
      </c>
      <c r="I2724" s="5">
        <v>44078</v>
      </c>
      <c r="J2724" s="1" t="s">
        <v>41</v>
      </c>
      <c r="K2724" s="1" t="s">
        <v>5734</v>
      </c>
      <c r="L2724" s="1" t="s">
        <v>5716</v>
      </c>
      <c r="M2724" s="1" t="s">
        <v>5717</v>
      </c>
      <c r="N2724" s="1" t="s">
        <v>30</v>
      </c>
      <c r="O2724" s="1" t="s">
        <v>213</v>
      </c>
      <c r="P2724" s="1" t="s">
        <v>214</v>
      </c>
      <c r="Q2724" s="1" t="s">
        <v>215</v>
      </c>
      <c r="R2724" s="1" t="s">
        <v>26</v>
      </c>
      <c r="S2724" s="1"/>
      <c r="T2724" s="1" t="s">
        <v>5735</v>
      </c>
      <c r="U2724" s="1" t="s">
        <v>57</v>
      </c>
      <c r="V2724" s="1" t="s">
        <v>652</v>
      </c>
      <c r="W2724" s="1" t="str">
        <f>VLOOKUP(Table1[[#This Row],[Obergruppe ATC-Code]],Tabelle3!$A$2:$B$100,2)</f>
        <v>PSYCHOLEPTIKA</v>
      </c>
      <c r="X2724" s="1" t="str">
        <f xml:space="preserve"> LEFT(Table1[[#This Row],[Atc Code]],3)</f>
        <v>N05</v>
      </c>
    </row>
    <row r="2725" spans="1:24" ht="14.4">
      <c r="A2725" s="14">
        <v>3017</v>
      </c>
      <c r="B2725" s="24" t="s">
        <v>5736</v>
      </c>
      <c r="C2725" s="1">
        <v>2142000</v>
      </c>
      <c r="D2725" s="1" t="s">
        <v>25</v>
      </c>
      <c r="E2725" s="36">
        <v>44013</v>
      </c>
      <c r="F2725" s="36">
        <v>44165</v>
      </c>
      <c r="G2725" s="38">
        <f t="shared" si="42"/>
        <v>152</v>
      </c>
      <c r="H2725" s="5">
        <v>44021</v>
      </c>
      <c r="I2725" s="5">
        <v>44138</v>
      </c>
      <c r="J2725" s="1" t="s">
        <v>41</v>
      </c>
      <c r="K2725" s="1" t="s">
        <v>5737</v>
      </c>
      <c r="L2725" s="1" t="s">
        <v>5716</v>
      </c>
      <c r="M2725" s="1" t="s">
        <v>5717</v>
      </c>
      <c r="N2725" s="1" t="s">
        <v>30</v>
      </c>
      <c r="O2725" s="1" t="s">
        <v>91</v>
      </c>
      <c r="P2725" s="1" t="s">
        <v>92</v>
      </c>
      <c r="Q2725" s="1" t="s">
        <v>93</v>
      </c>
      <c r="R2725" s="1" t="s">
        <v>48</v>
      </c>
      <c r="S2725" s="1"/>
      <c r="U2725" s="1" t="s">
        <v>35</v>
      </c>
      <c r="V2725" s="1" t="s">
        <v>74</v>
      </c>
      <c r="W2725" s="1" t="str">
        <f>VLOOKUP(Table1[[#This Row],[Obergruppe ATC-Code]],Tabelle3!$A$2:$B$100,2)</f>
        <v>PSYCHOLEPTIKA</v>
      </c>
      <c r="X2725" s="1" t="str">
        <f xml:space="preserve"> LEFT(Table1[[#This Row],[Atc Code]],3)</f>
        <v>N05</v>
      </c>
    </row>
    <row r="2726" spans="1:24" ht="14.4">
      <c r="A2726" s="14">
        <v>3197</v>
      </c>
      <c r="B2726" s="3">
        <v>787810</v>
      </c>
      <c r="C2726" s="1">
        <v>2154705</v>
      </c>
      <c r="D2726" s="1" t="s">
        <v>25</v>
      </c>
      <c r="E2726" s="36">
        <v>43922</v>
      </c>
      <c r="F2726" s="36">
        <v>44165</v>
      </c>
      <c r="G2726" s="38">
        <f t="shared" si="42"/>
        <v>243</v>
      </c>
      <c r="H2726" s="5">
        <v>43928</v>
      </c>
      <c r="I2726" s="5">
        <v>44138</v>
      </c>
      <c r="J2726" s="1" t="s">
        <v>26</v>
      </c>
      <c r="K2726" s="1" t="s">
        <v>5738</v>
      </c>
      <c r="L2726" s="1" t="s">
        <v>5716</v>
      </c>
      <c r="M2726" s="1" t="s">
        <v>5728</v>
      </c>
      <c r="N2726" s="1" t="s">
        <v>30</v>
      </c>
      <c r="O2726" s="1" t="s">
        <v>45</v>
      </c>
      <c r="P2726" s="1" t="s">
        <v>104</v>
      </c>
      <c r="Q2726" s="1" t="s">
        <v>105</v>
      </c>
      <c r="R2726" s="1" t="s">
        <v>33</v>
      </c>
      <c r="S2726" s="1"/>
      <c r="U2726" s="1" t="s">
        <v>35</v>
      </c>
      <c r="V2726" s="1" t="s">
        <v>74</v>
      </c>
      <c r="W2726" s="1" t="str">
        <f>VLOOKUP(Table1[[#This Row],[Obergruppe ATC-Code]],Tabelle3!$A$2:$B$100,2)</f>
        <v>PSYCHOLEPTIKA</v>
      </c>
      <c r="X2726" s="1" t="str">
        <f xml:space="preserve"> LEFT(Table1[[#This Row],[Atc Code]],3)</f>
        <v>N05</v>
      </c>
    </row>
    <row r="2727" spans="1:24" ht="14.4">
      <c r="A2727" s="14">
        <v>2230</v>
      </c>
      <c r="B2727" s="24" t="s">
        <v>5739</v>
      </c>
      <c r="C2727" s="1">
        <v>2166027</v>
      </c>
      <c r="D2727" s="1" t="s">
        <v>25</v>
      </c>
      <c r="E2727" s="36">
        <v>44105</v>
      </c>
      <c r="F2727" s="36">
        <v>44165</v>
      </c>
      <c r="G2727" s="38">
        <f t="shared" si="42"/>
        <v>60</v>
      </c>
      <c r="H2727" s="5">
        <v>44116</v>
      </c>
      <c r="I2727" s="5">
        <v>44165</v>
      </c>
      <c r="J2727" s="1" t="s">
        <v>41</v>
      </c>
      <c r="K2727" s="1" t="s">
        <v>5740</v>
      </c>
      <c r="L2727" s="1" t="s">
        <v>5716</v>
      </c>
      <c r="M2727" s="1" t="s">
        <v>5728</v>
      </c>
      <c r="N2727" s="1" t="s">
        <v>30</v>
      </c>
      <c r="O2727" s="1" t="s">
        <v>91</v>
      </c>
      <c r="P2727" s="1" t="s">
        <v>92</v>
      </c>
      <c r="Q2727" s="1" t="s">
        <v>93</v>
      </c>
      <c r="R2727" s="1" t="s">
        <v>48</v>
      </c>
      <c r="S2727" s="1"/>
      <c r="U2727" s="1" t="s">
        <v>57</v>
      </c>
      <c r="V2727" s="1" t="s">
        <v>652</v>
      </c>
      <c r="W2727" s="1" t="str">
        <f>VLOOKUP(Table1[[#This Row],[Obergruppe ATC-Code]],Tabelle3!$A$2:$B$100,2)</f>
        <v>PSYCHOLEPTIKA</v>
      </c>
      <c r="X2727" s="1" t="str">
        <f xml:space="preserve"> LEFT(Table1[[#This Row],[Atc Code]],3)</f>
        <v>N05</v>
      </c>
    </row>
    <row r="2728" spans="1:24" ht="14.4">
      <c r="A2728" s="14">
        <v>2299</v>
      </c>
      <c r="B2728" s="24" t="s">
        <v>5733</v>
      </c>
      <c r="C2728" s="1">
        <v>2150451</v>
      </c>
      <c r="D2728" s="1" t="s">
        <v>25</v>
      </c>
      <c r="E2728" s="36">
        <v>44105</v>
      </c>
      <c r="F2728" s="36">
        <v>44227</v>
      </c>
      <c r="G2728" s="38">
        <f t="shared" si="42"/>
        <v>122</v>
      </c>
      <c r="H2728" s="5">
        <v>44130</v>
      </c>
      <c r="I2728" s="5">
        <v>44169</v>
      </c>
      <c r="J2728" s="1" t="s">
        <v>41</v>
      </c>
      <c r="K2728" s="1" t="s">
        <v>5734</v>
      </c>
      <c r="L2728" s="1" t="s">
        <v>5716</v>
      </c>
      <c r="M2728" s="1" t="s">
        <v>5717</v>
      </c>
      <c r="N2728" s="1" t="s">
        <v>30</v>
      </c>
      <c r="O2728" s="1" t="s">
        <v>213</v>
      </c>
      <c r="P2728" s="1" t="s">
        <v>4658</v>
      </c>
      <c r="Q2728" s="1" t="s">
        <v>215</v>
      </c>
      <c r="R2728" s="1" t="s">
        <v>26</v>
      </c>
      <c r="S2728" s="1"/>
      <c r="T2728" s="1" t="s">
        <v>5735</v>
      </c>
      <c r="U2728" s="1" t="s">
        <v>35</v>
      </c>
      <c r="V2728" s="1" t="s">
        <v>652</v>
      </c>
      <c r="W2728" s="1" t="str">
        <f>VLOOKUP(Table1[[#This Row],[Obergruppe ATC-Code]],Tabelle3!$A$2:$B$100,2)</f>
        <v>PSYCHOLEPTIKA</v>
      </c>
      <c r="X2728" s="1" t="str">
        <f xml:space="preserve"> LEFT(Table1[[#This Row],[Atc Code]],3)</f>
        <v>N05</v>
      </c>
    </row>
    <row r="2729" spans="1:24" ht="14.4">
      <c r="A2729" s="14">
        <v>3016</v>
      </c>
      <c r="B2729" s="24" t="s">
        <v>5741</v>
      </c>
      <c r="C2729" s="1">
        <v>2142003</v>
      </c>
      <c r="D2729" s="1" t="s">
        <v>25</v>
      </c>
      <c r="E2729" s="36">
        <v>44013</v>
      </c>
      <c r="F2729" s="36">
        <v>44196</v>
      </c>
      <c r="G2729" s="38">
        <f t="shared" si="42"/>
        <v>183</v>
      </c>
      <c r="H2729" s="5">
        <v>44021</v>
      </c>
      <c r="I2729" s="5">
        <v>44186</v>
      </c>
      <c r="J2729" s="1" t="s">
        <v>41</v>
      </c>
      <c r="K2729" s="1" t="s">
        <v>5742</v>
      </c>
      <c r="L2729" s="1" t="s">
        <v>5716</v>
      </c>
      <c r="M2729" s="1" t="s">
        <v>5717</v>
      </c>
      <c r="N2729" s="1" t="s">
        <v>30</v>
      </c>
      <c r="O2729" s="1" t="s">
        <v>91</v>
      </c>
      <c r="P2729" s="1" t="s">
        <v>92</v>
      </c>
      <c r="Q2729" s="1" t="s">
        <v>93</v>
      </c>
      <c r="R2729" s="1" t="s">
        <v>48</v>
      </c>
      <c r="S2729" s="1"/>
      <c r="U2729" s="1" t="s">
        <v>57</v>
      </c>
      <c r="V2729" s="1" t="s">
        <v>74</v>
      </c>
      <c r="W2729" s="1" t="str">
        <f>VLOOKUP(Table1[[#This Row],[Obergruppe ATC-Code]],Tabelle3!$A$2:$B$100,2)</f>
        <v>PSYCHOLEPTIKA</v>
      </c>
      <c r="X2729" s="1" t="str">
        <f xml:space="preserve"> LEFT(Table1[[#This Row],[Atc Code]],3)</f>
        <v>N05</v>
      </c>
    </row>
    <row r="2730" spans="1:24" ht="14.4">
      <c r="A2730" s="14">
        <v>1104</v>
      </c>
      <c r="B2730" s="24">
        <v>9312422</v>
      </c>
      <c r="C2730" s="1">
        <v>2150454</v>
      </c>
      <c r="D2730" s="1" t="s">
        <v>25</v>
      </c>
      <c r="E2730" s="36">
        <v>44762</v>
      </c>
      <c r="F2730" s="36">
        <v>44834</v>
      </c>
      <c r="G2730" s="38">
        <f t="shared" si="42"/>
        <v>72</v>
      </c>
      <c r="H2730" s="5">
        <v>44762</v>
      </c>
      <c r="I2730" s="5">
        <v>44838</v>
      </c>
      <c r="J2730" s="1" t="s">
        <v>41</v>
      </c>
      <c r="K2730" s="1" t="s">
        <v>5730</v>
      </c>
      <c r="L2730" s="1" t="s">
        <v>5716</v>
      </c>
      <c r="M2730" s="1" t="s">
        <v>5717</v>
      </c>
      <c r="N2730" s="1" t="s">
        <v>38</v>
      </c>
      <c r="O2730" s="1" t="s">
        <v>213</v>
      </c>
      <c r="P2730" s="1">
        <v>566191477309</v>
      </c>
      <c r="Q2730" s="1" t="s">
        <v>911</v>
      </c>
      <c r="R2730" s="1" t="s">
        <v>26</v>
      </c>
      <c r="S2730" s="1"/>
      <c r="U2730" s="1" t="s">
        <v>130</v>
      </c>
      <c r="V2730" s="1" t="s">
        <v>5725</v>
      </c>
      <c r="W2730" s="1" t="str">
        <f>VLOOKUP(Table1[[#This Row],[Obergruppe ATC-Code]],Tabelle3!$A$2:$B$100,2)</f>
        <v>PSYCHOLEPTIKA</v>
      </c>
      <c r="X2730" s="1" t="str">
        <f xml:space="preserve"> LEFT(Table1[[#This Row],[Atc Code]],3)</f>
        <v>N05</v>
      </c>
    </row>
    <row r="2731" spans="1:24" ht="14.4">
      <c r="A2731" s="14">
        <v>2575</v>
      </c>
      <c r="B2731" s="24" t="s">
        <v>5743</v>
      </c>
      <c r="C2731" s="1">
        <v>2159308</v>
      </c>
      <c r="D2731" s="1" t="s">
        <v>102</v>
      </c>
      <c r="E2731" s="36">
        <v>45002</v>
      </c>
      <c r="F2731" s="36">
        <v>45260</v>
      </c>
      <c r="G2731" s="38">
        <f t="shared" si="42"/>
        <v>258</v>
      </c>
      <c r="H2731" s="5">
        <v>45057</v>
      </c>
      <c r="I2731" s="5">
        <v>45149</v>
      </c>
      <c r="J2731" s="1" t="s">
        <v>26</v>
      </c>
      <c r="K2731" s="1" t="s">
        <v>5744</v>
      </c>
      <c r="L2731" s="1" t="s">
        <v>5716</v>
      </c>
      <c r="M2731" s="1" t="s">
        <v>5728</v>
      </c>
      <c r="N2731" s="1" t="s">
        <v>38</v>
      </c>
      <c r="O2731" s="1" t="s">
        <v>45</v>
      </c>
      <c r="Q2731" s="1" t="s">
        <v>118</v>
      </c>
      <c r="R2731" s="1" t="s">
        <v>33</v>
      </c>
      <c r="S2731" s="1" t="s">
        <v>943</v>
      </c>
      <c r="U2731" s="1" t="s">
        <v>130</v>
      </c>
      <c r="V2731" s="1" t="s">
        <v>1292</v>
      </c>
      <c r="W2731" s="1" t="str">
        <f>VLOOKUP(Table1[[#This Row],[Obergruppe ATC-Code]],Tabelle3!$A$2:$B$100,2)</f>
        <v>PSYCHOLEPTIKA</v>
      </c>
      <c r="X2731" s="1" t="str">
        <f xml:space="preserve"> LEFT(Table1[[#This Row],[Atc Code]],3)</f>
        <v>N05</v>
      </c>
    </row>
    <row r="2732" spans="1:24" ht="14.4">
      <c r="A2732" s="14">
        <v>1731</v>
      </c>
      <c r="B2732" s="24" t="s">
        <v>5745</v>
      </c>
      <c r="C2732" s="1">
        <v>2141219</v>
      </c>
      <c r="D2732" s="1" t="s">
        <v>25</v>
      </c>
      <c r="E2732" s="36">
        <v>44392</v>
      </c>
      <c r="F2732" s="36">
        <v>44470</v>
      </c>
      <c r="G2732" s="38">
        <f t="shared" si="42"/>
        <v>78</v>
      </c>
      <c r="H2732" s="5">
        <v>44433</v>
      </c>
      <c r="I2732" s="5">
        <v>44474</v>
      </c>
      <c r="J2732" s="1" t="s">
        <v>26</v>
      </c>
      <c r="K2732" s="1" t="s">
        <v>5746</v>
      </c>
      <c r="L2732" s="1" t="s">
        <v>5747</v>
      </c>
      <c r="M2732" s="1" t="s">
        <v>5748</v>
      </c>
      <c r="N2732" s="1" t="s">
        <v>38</v>
      </c>
      <c r="O2732" s="1" t="s">
        <v>45</v>
      </c>
      <c r="Q2732" s="1" t="s">
        <v>118</v>
      </c>
      <c r="R2732" s="1" t="s">
        <v>26</v>
      </c>
      <c r="S2732" s="1"/>
      <c r="U2732" s="1" t="s">
        <v>35</v>
      </c>
      <c r="V2732" s="1" t="s">
        <v>99</v>
      </c>
      <c r="W2732" s="1" t="str">
        <f>VLOOKUP(Table1[[#This Row],[Obergruppe ATC-Code]],Tabelle3!$A$2:$B$100,2)</f>
        <v>PSYCHOLEPTIKA</v>
      </c>
      <c r="X2732" s="1" t="str">
        <f xml:space="preserve"> LEFT(Table1[[#This Row],[Atc Code]],3)</f>
        <v>N05</v>
      </c>
    </row>
    <row r="2733" spans="1:24" ht="14.4">
      <c r="A2733" s="14">
        <v>1745</v>
      </c>
      <c r="B2733" s="24" t="s">
        <v>5749</v>
      </c>
      <c r="C2733" s="1">
        <v>2141223</v>
      </c>
      <c r="D2733" s="1" t="s">
        <v>25</v>
      </c>
      <c r="E2733" s="36">
        <v>44378</v>
      </c>
      <c r="F2733" s="36">
        <v>44531</v>
      </c>
      <c r="G2733" s="38">
        <f t="shared" si="42"/>
        <v>153</v>
      </c>
      <c r="H2733" s="5">
        <v>44433</v>
      </c>
      <c r="I2733" s="5">
        <v>44537</v>
      </c>
      <c r="J2733" s="1" t="s">
        <v>26</v>
      </c>
      <c r="K2733" s="1" t="s">
        <v>5750</v>
      </c>
      <c r="L2733" s="1" t="s">
        <v>5747</v>
      </c>
      <c r="M2733" s="1" t="s">
        <v>5748</v>
      </c>
      <c r="N2733" s="1" t="s">
        <v>38</v>
      </c>
      <c r="O2733" s="1" t="s">
        <v>117</v>
      </c>
      <c r="Q2733" s="1" t="s">
        <v>1495</v>
      </c>
      <c r="R2733" s="1" t="s">
        <v>26</v>
      </c>
      <c r="S2733" s="1"/>
      <c r="U2733" s="1" t="s">
        <v>35</v>
      </c>
      <c r="V2733" s="1" t="s">
        <v>99</v>
      </c>
      <c r="W2733" s="1" t="str">
        <f>VLOOKUP(Table1[[#This Row],[Obergruppe ATC-Code]],Tabelle3!$A$2:$B$100,2)</f>
        <v>PSYCHOLEPTIKA</v>
      </c>
      <c r="X2733" s="1" t="str">
        <f xml:space="preserve"> LEFT(Table1[[#This Row],[Atc Code]],3)</f>
        <v>N05</v>
      </c>
    </row>
    <row r="2734" spans="1:24" ht="14.4">
      <c r="A2734" s="14">
        <v>605</v>
      </c>
      <c r="B2734" s="24">
        <v>3909372</v>
      </c>
      <c r="C2734" s="1">
        <v>2105823</v>
      </c>
      <c r="D2734" s="1" t="s">
        <v>25</v>
      </c>
      <c r="E2734" s="36">
        <v>44711</v>
      </c>
      <c r="F2734" s="36">
        <v>44784</v>
      </c>
      <c r="G2734" s="38">
        <f t="shared" si="42"/>
        <v>73</v>
      </c>
      <c r="H2734" s="5">
        <v>44712</v>
      </c>
      <c r="I2734" s="5">
        <v>44784</v>
      </c>
      <c r="J2734" s="1" t="s">
        <v>41</v>
      </c>
      <c r="K2734" s="1" t="s">
        <v>5751</v>
      </c>
      <c r="L2734" s="1" t="s">
        <v>5747</v>
      </c>
      <c r="M2734" s="1" t="s">
        <v>5748</v>
      </c>
      <c r="N2734" s="1" t="s">
        <v>30</v>
      </c>
      <c r="O2734" s="1" t="s">
        <v>62</v>
      </c>
      <c r="P2734" s="1" t="s">
        <v>63</v>
      </c>
      <c r="Q2734" s="1" t="s">
        <v>64</v>
      </c>
      <c r="R2734" s="1" t="s">
        <v>26</v>
      </c>
      <c r="S2734" s="1"/>
      <c r="U2734" s="1" t="s">
        <v>35</v>
      </c>
      <c r="V2734" s="1" t="s">
        <v>99</v>
      </c>
      <c r="W2734" s="1" t="str">
        <f>VLOOKUP(Table1[[#This Row],[Obergruppe ATC-Code]],Tabelle3!$A$2:$B$100,2)</f>
        <v>PSYCHOLEPTIKA</v>
      </c>
      <c r="X2734" s="1" t="str">
        <f xml:space="preserve"> LEFT(Table1[[#This Row],[Atc Code]],3)</f>
        <v>N05</v>
      </c>
    </row>
    <row r="2735" spans="1:24" ht="14.4">
      <c r="A2735" s="14">
        <v>1733</v>
      </c>
      <c r="B2735" s="24" t="s">
        <v>5752</v>
      </c>
      <c r="C2735" s="1">
        <v>2141127</v>
      </c>
      <c r="D2735" s="1" t="s">
        <v>175</v>
      </c>
      <c r="E2735" s="36">
        <v>45094</v>
      </c>
      <c r="F2735" s="36">
        <v>45230</v>
      </c>
      <c r="G2735" s="38">
        <f t="shared" si="42"/>
        <v>136</v>
      </c>
      <c r="H2735" s="5">
        <v>45099</v>
      </c>
      <c r="I2735" s="5">
        <v>45099</v>
      </c>
      <c r="J2735" s="1" t="s">
        <v>41</v>
      </c>
      <c r="K2735" s="1" t="s">
        <v>5753</v>
      </c>
      <c r="L2735" s="1" t="s">
        <v>5747</v>
      </c>
      <c r="M2735" s="1" t="s">
        <v>5748</v>
      </c>
      <c r="N2735" s="1" t="s">
        <v>38</v>
      </c>
      <c r="O2735" s="1" t="s">
        <v>5179</v>
      </c>
      <c r="P2735" s="1" t="s">
        <v>5180</v>
      </c>
      <c r="Q2735" s="1" t="s">
        <v>5181</v>
      </c>
      <c r="R2735" s="1" t="s">
        <v>165</v>
      </c>
      <c r="S2735" s="1"/>
      <c r="U2735" s="1" t="s">
        <v>35</v>
      </c>
      <c r="V2735" s="1" t="s">
        <v>99</v>
      </c>
      <c r="W2735" s="1" t="str">
        <f>VLOOKUP(Table1[[#This Row],[Obergruppe ATC-Code]],Tabelle3!$A$2:$B$100,2)</f>
        <v>PSYCHOLEPTIKA</v>
      </c>
      <c r="X2735" s="1" t="str">
        <f xml:space="preserve"> LEFT(Table1[[#This Row],[Atc Code]],3)</f>
        <v>N05</v>
      </c>
    </row>
    <row r="2736" spans="1:24" ht="14.4">
      <c r="A2736" s="14">
        <v>1732</v>
      </c>
      <c r="B2736" s="24" t="s">
        <v>5754</v>
      </c>
      <c r="C2736" s="1">
        <v>2141125</v>
      </c>
      <c r="D2736" s="1" t="s">
        <v>102</v>
      </c>
      <c r="E2736" s="36">
        <v>45094</v>
      </c>
      <c r="F2736" s="36">
        <v>45230</v>
      </c>
      <c r="G2736" s="38">
        <f t="shared" si="42"/>
        <v>136</v>
      </c>
      <c r="H2736" s="5">
        <v>45099</v>
      </c>
      <c r="I2736" s="5">
        <v>45100</v>
      </c>
      <c r="J2736" s="1" t="s">
        <v>41</v>
      </c>
      <c r="K2736" s="1" t="s">
        <v>5755</v>
      </c>
      <c r="L2736" s="1" t="s">
        <v>5747</v>
      </c>
      <c r="M2736" s="1" t="s">
        <v>5748</v>
      </c>
      <c r="N2736" s="1" t="s">
        <v>38</v>
      </c>
      <c r="O2736" s="1" t="s">
        <v>5179</v>
      </c>
      <c r="P2736" s="1" t="s">
        <v>5180</v>
      </c>
      <c r="Q2736" s="1" t="s">
        <v>5181</v>
      </c>
      <c r="R2736" s="1" t="s">
        <v>165</v>
      </c>
      <c r="S2736" s="1"/>
      <c r="U2736" s="1" t="s">
        <v>35</v>
      </c>
      <c r="V2736" s="1" t="s">
        <v>99</v>
      </c>
      <c r="W2736" s="1" t="str">
        <f>VLOOKUP(Table1[[#This Row],[Obergruppe ATC-Code]],Tabelle3!$A$2:$B$100,2)</f>
        <v>PSYCHOLEPTIKA</v>
      </c>
      <c r="X2736" s="1" t="str">
        <f xml:space="preserve"> LEFT(Table1[[#This Row],[Atc Code]],3)</f>
        <v>N05</v>
      </c>
    </row>
    <row r="2737" spans="1:24" ht="14.4">
      <c r="A2737" s="14">
        <v>2680</v>
      </c>
      <c r="B2737" s="24" t="s">
        <v>5756</v>
      </c>
      <c r="C2737" s="1">
        <v>2195986</v>
      </c>
      <c r="D2737" s="1" t="s">
        <v>25</v>
      </c>
      <c r="E2737" s="36">
        <v>43922</v>
      </c>
      <c r="F2737" s="36">
        <v>44043</v>
      </c>
      <c r="G2737" s="38">
        <f t="shared" si="42"/>
        <v>121</v>
      </c>
      <c r="H2737" s="5">
        <v>43938</v>
      </c>
      <c r="I2737" s="5">
        <v>44039</v>
      </c>
      <c r="J2737" s="1" t="s">
        <v>26</v>
      </c>
      <c r="K2737" s="1" t="s">
        <v>5757</v>
      </c>
      <c r="L2737" s="1" t="s">
        <v>5758</v>
      </c>
      <c r="M2737" s="1" t="s">
        <v>5759</v>
      </c>
      <c r="N2737" s="1" t="s">
        <v>30</v>
      </c>
      <c r="O2737" s="1" t="s">
        <v>45</v>
      </c>
      <c r="P2737" s="1" t="s">
        <v>104</v>
      </c>
      <c r="Q2737" s="1" t="s">
        <v>105</v>
      </c>
      <c r="R2737" s="1" t="s">
        <v>33</v>
      </c>
      <c r="S2737" s="1"/>
      <c r="U2737" s="1" t="s">
        <v>35</v>
      </c>
      <c r="V2737" s="1" t="s">
        <v>279</v>
      </c>
      <c r="W2737" s="1" t="str">
        <f>VLOOKUP(Table1[[#This Row],[Obergruppe ATC-Code]],Tabelle3!$A$2:$B$100,2)</f>
        <v>PSYCHOLEPTIKA</v>
      </c>
      <c r="X2737" s="1" t="str">
        <f xml:space="preserve"> LEFT(Table1[[#This Row],[Atc Code]],3)</f>
        <v>N05</v>
      </c>
    </row>
    <row r="2738" spans="1:24" ht="14.4">
      <c r="A2738" s="14">
        <v>2787</v>
      </c>
      <c r="B2738" s="24" t="s">
        <v>5760</v>
      </c>
      <c r="C2738" s="1">
        <v>2151896</v>
      </c>
      <c r="D2738" s="1" t="s">
        <v>25</v>
      </c>
      <c r="E2738" s="36">
        <v>44287</v>
      </c>
      <c r="F2738" s="36">
        <v>44564</v>
      </c>
      <c r="G2738" s="38">
        <f t="shared" si="42"/>
        <v>277</v>
      </c>
      <c r="H2738" s="5">
        <v>44314</v>
      </c>
      <c r="I2738" s="5">
        <v>44568</v>
      </c>
      <c r="J2738" s="1" t="s">
        <v>41</v>
      </c>
      <c r="K2738" s="1" t="s">
        <v>5761</v>
      </c>
      <c r="L2738" s="1" t="s">
        <v>5762</v>
      </c>
      <c r="M2738" s="1" t="s">
        <v>5763</v>
      </c>
      <c r="N2738" s="1" t="s">
        <v>38</v>
      </c>
      <c r="O2738" s="1" t="s">
        <v>52</v>
      </c>
      <c r="P2738" s="1" t="s">
        <v>53</v>
      </c>
      <c r="Q2738" s="1" t="s">
        <v>54</v>
      </c>
      <c r="R2738" s="1" t="s">
        <v>48</v>
      </c>
      <c r="S2738" s="1"/>
      <c r="U2738" s="1" t="s">
        <v>35</v>
      </c>
      <c r="V2738" s="1" t="s">
        <v>359</v>
      </c>
      <c r="W2738" s="1" t="str">
        <f>VLOOKUP(Table1[[#This Row],[Obergruppe ATC-Code]],Tabelle3!$A$2:$B$100,2)</f>
        <v>PSYCHOANALEPTIKA</v>
      </c>
      <c r="X2738" s="1" t="str">
        <f xml:space="preserve"> LEFT(Table1[[#This Row],[Atc Code]],3)</f>
        <v>N06</v>
      </c>
    </row>
    <row r="2739" spans="1:24" ht="14.4">
      <c r="A2739" s="14">
        <v>3201</v>
      </c>
      <c r="B2739" s="3">
        <v>7152753</v>
      </c>
      <c r="C2739" s="1">
        <v>2104088</v>
      </c>
      <c r="D2739" s="1" t="s">
        <v>25</v>
      </c>
      <c r="E2739" s="36">
        <v>44136</v>
      </c>
      <c r="F2739" s="36">
        <v>44599</v>
      </c>
      <c r="G2739" s="38">
        <f t="shared" si="42"/>
        <v>463</v>
      </c>
      <c r="H2739" s="5">
        <v>44148</v>
      </c>
      <c r="I2739" s="5">
        <v>44599</v>
      </c>
      <c r="J2739" s="1" t="s">
        <v>41</v>
      </c>
      <c r="K2739" s="1" t="s">
        <v>5764</v>
      </c>
      <c r="L2739" s="1" t="s">
        <v>5762</v>
      </c>
      <c r="M2739" s="1" t="s">
        <v>5763</v>
      </c>
      <c r="N2739" s="1" t="s">
        <v>30</v>
      </c>
      <c r="O2739" s="1" t="s">
        <v>184</v>
      </c>
      <c r="P2739" s="1" t="s">
        <v>5765</v>
      </c>
      <c r="Q2739" s="1" t="s">
        <v>5766</v>
      </c>
      <c r="R2739" s="1" t="s">
        <v>48</v>
      </c>
      <c r="S2739" s="1"/>
      <c r="U2739" s="1" t="s">
        <v>35</v>
      </c>
      <c r="V2739" s="1" t="s">
        <v>359</v>
      </c>
      <c r="W2739" s="1" t="str">
        <f>VLOOKUP(Table1[[#This Row],[Obergruppe ATC-Code]],Tabelle3!$A$2:$B$100,2)</f>
        <v>PSYCHOANALEPTIKA</v>
      </c>
      <c r="X2739" s="1" t="str">
        <f xml:space="preserve"> LEFT(Table1[[#This Row],[Atc Code]],3)</f>
        <v>N06</v>
      </c>
    </row>
    <row r="2740" spans="1:24" ht="14.4">
      <c r="A2740" s="14">
        <v>288</v>
      </c>
      <c r="B2740" s="24">
        <v>1755255</v>
      </c>
      <c r="C2740" s="1">
        <v>2154107</v>
      </c>
      <c r="D2740" s="1" t="s">
        <v>25</v>
      </c>
      <c r="E2740" s="36">
        <v>45153</v>
      </c>
      <c r="F2740" s="36">
        <v>45205</v>
      </c>
      <c r="G2740" s="38">
        <f t="shared" si="42"/>
        <v>52</v>
      </c>
      <c r="H2740" s="5">
        <v>45153</v>
      </c>
      <c r="I2740" s="5">
        <v>45205</v>
      </c>
      <c r="J2740" s="1" t="s">
        <v>41</v>
      </c>
      <c r="K2740" s="1" t="s">
        <v>5767</v>
      </c>
      <c r="L2740" s="1" t="s">
        <v>5768</v>
      </c>
      <c r="M2740" s="1" t="s">
        <v>5769</v>
      </c>
      <c r="N2740" s="1" t="s">
        <v>30</v>
      </c>
      <c r="O2740" s="1" t="s">
        <v>177</v>
      </c>
      <c r="P2740" s="1">
        <v>33426294008</v>
      </c>
      <c r="Q2740" s="1" t="s">
        <v>5770</v>
      </c>
      <c r="R2740" s="1" t="s">
        <v>26</v>
      </c>
      <c r="S2740" s="1"/>
      <c r="T2740" s="1" t="s">
        <v>5771</v>
      </c>
      <c r="U2740" s="1" t="s">
        <v>35</v>
      </c>
      <c r="V2740" s="1" t="s">
        <v>99</v>
      </c>
      <c r="W2740" s="1" t="str">
        <f>VLOOKUP(Table1[[#This Row],[Obergruppe ATC-Code]],Tabelle3!$A$2:$B$100,2)</f>
        <v>PSYCHOANALEPTIKA</v>
      </c>
      <c r="X2740" s="1" t="str">
        <f xml:space="preserve"> LEFT(Table1[[#This Row],[Atc Code]],3)</f>
        <v>N06</v>
      </c>
    </row>
    <row r="2741" spans="1:24" ht="14.4">
      <c r="A2741" s="14">
        <v>2063</v>
      </c>
      <c r="B2741" s="24" t="s">
        <v>5772</v>
      </c>
      <c r="C2741" s="1">
        <v>2109768</v>
      </c>
      <c r="D2741" s="1" t="s">
        <v>25</v>
      </c>
      <c r="E2741" s="36">
        <v>44538</v>
      </c>
      <c r="F2741" s="36">
        <v>44601</v>
      </c>
      <c r="G2741" s="38">
        <f t="shared" si="42"/>
        <v>63</v>
      </c>
      <c r="H2741" s="5">
        <v>44540</v>
      </c>
      <c r="I2741" s="5">
        <v>44603</v>
      </c>
      <c r="J2741" s="1" t="s">
        <v>26</v>
      </c>
      <c r="K2741" s="1" t="s">
        <v>5773</v>
      </c>
      <c r="L2741" s="1" t="s">
        <v>5774</v>
      </c>
      <c r="M2741" s="1" t="s">
        <v>5775</v>
      </c>
      <c r="N2741" s="1" t="s">
        <v>38</v>
      </c>
      <c r="O2741" s="1" t="s">
        <v>91</v>
      </c>
      <c r="P2741" s="1" t="s">
        <v>92</v>
      </c>
      <c r="Q2741" s="1" t="s">
        <v>93</v>
      </c>
      <c r="R2741" s="1" t="s">
        <v>113</v>
      </c>
      <c r="S2741" s="1"/>
      <c r="U2741" s="1" t="s">
        <v>35</v>
      </c>
      <c r="V2741" s="1" t="s">
        <v>99</v>
      </c>
      <c r="W2741" s="1" t="str">
        <f>VLOOKUP(Table1[[#This Row],[Obergruppe ATC-Code]],Tabelle3!$A$2:$B$100,2)</f>
        <v>PSYCHOANALEPTIKA</v>
      </c>
      <c r="X2741" s="1" t="str">
        <f xml:space="preserve"> LEFT(Table1[[#This Row],[Atc Code]],3)</f>
        <v>N06</v>
      </c>
    </row>
    <row r="2742" spans="1:24" ht="14.4">
      <c r="A2742" s="14">
        <v>2768</v>
      </c>
      <c r="B2742" s="24" t="s">
        <v>5776</v>
      </c>
      <c r="C2742" s="1">
        <v>2200128</v>
      </c>
      <c r="D2742" s="1" t="s">
        <v>25</v>
      </c>
      <c r="E2742" s="36">
        <v>43497</v>
      </c>
      <c r="F2742" s="36">
        <v>43646</v>
      </c>
      <c r="G2742" s="38">
        <f t="shared" si="42"/>
        <v>149</v>
      </c>
      <c r="H2742" s="5">
        <v>43593</v>
      </c>
      <c r="I2742" s="5">
        <v>43651</v>
      </c>
      <c r="J2742" s="1" t="s">
        <v>41</v>
      </c>
      <c r="K2742" s="1" t="s">
        <v>5777</v>
      </c>
      <c r="L2742" s="1" t="s">
        <v>5778</v>
      </c>
      <c r="M2742" s="1" t="s">
        <v>5779</v>
      </c>
      <c r="N2742" s="1" t="s">
        <v>38</v>
      </c>
      <c r="O2742" s="1" t="s">
        <v>1440</v>
      </c>
      <c r="P2742" s="1" t="s">
        <v>1540</v>
      </c>
      <c r="Q2742" s="1" t="s">
        <v>5780</v>
      </c>
      <c r="R2742" s="1" t="s">
        <v>48</v>
      </c>
      <c r="S2742" s="1"/>
      <c r="U2742" s="1" t="s">
        <v>35</v>
      </c>
      <c r="V2742" s="1" t="s">
        <v>99</v>
      </c>
      <c r="W2742" s="1" t="str">
        <f>VLOOKUP(Table1[[#This Row],[Obergruppe ATC-Code]],Tabelle3!$A$2:$B$100,2)</f>
        <v>PSYCHOANALEPTIKA</v>
      </c>
      <c r="X2742" s="1" t="str">
        <f xml:space="preserve"> LEFT(Table1[[#This Row],[Atc Code]],3)</f>
        <v>N06</v>
      </c>
    </row>
    <row r="2743" spans="1:24" ht="14.4">
      <c r="A2743" s="14">
        <v>1399</v>
      </c>
      <c r="B2743" s="24">
        <v>13912493</v>
      </c>
      <c r="C2743" s="1">
        <v>2200127</v>
      </c>
      <c r="D2743" s="1" t="s">
        <v>25</v>
      </c>
      <c r="E2743" s="36">
        <v>43525</v>
      </c>
      <c r="F2743" s="36">
        <v>43738</v>
      </c>
      <c r="G2743" s="38">
        <f t="shared" si="42"/>
        <v>213</v>
      </c>
      <c r="H2743" s="5">
        <v>43593</v>
      </c>
      <c r="I2743" s="5">
        <v>43718</v>
      </c>
      <c r="J2743" s="1" t="s">
        <v>41</v>
      </c>
      <c r="K2743" s="1" t="s">
        <v>5781</v>
      </c>
      <c r="L2743" s="1" t="s">
        <v>5778</v>
      </c>
      <c r="M2743" s="1" t="s">
        <v>5779</v>
      </c>
      <c r="N2743" s="1" t="s">
        <v>38</v>
      </c>
      <c r="O2743" s="1" t="s">
        <v>1440</v>
      </c>
      <c r="P2743" s="1" t="s">
        <v>1540</v>
      </c>
      <c r="Q2743" s="1" t="s">
        <v>5780</v>
      </c>
      <c r="R2743" s="1" t="s">
        <v>48</v>
      </c>
      <c r="S2743" s="1"/>
      <c r="U2743" s="1" t="s">
        <v>35</v>
      </c>
      <c r="V2743" s="1" t="s">
        <v>99</v>
      </c>
      <c r="W2743" s="1" t="str">
        <f>VLOOKUP(Table1[[#This Row],[Obergruppe ATC-Code]],Tabelle3!$A$2:$B$100,2)</f>
        <v>PSYCHOANALEPTIKA</v>
      </c>
      <c r="X2743" s="1" t="str">
        <f xml:space="preserve"> LEFT(Table1[[#This Row],[Atc Code]],3)</f>
        <v>N06</v>
      </c>
    </row>
    <row r="2744" spans="1:24" ht="14.4">
      <c r="A2744" s="14">
        <v>2767</v>
      </c>
      <c r="B2744" s="24" t="s">
        <v>5776</v>
      </c>
      <c r="C2744" s="1">
        <v>2200128</v>
      </c>
      <c r="D2744" s="1" t="s">
        <v>25</v>
      </c>
      <c r="E2744" s="36">
        <v>44105</v>
      </c>
      <c r="F2744" s="36">
        <v>44286</v>
      </c>
      <c r="G2744" s="38">
        <f t="shared" si="42"/>
        <v>181</v>
      </c>
      <c r="H2744" s="5">
        <v>44130</v>
      </c>
      <c r="I2744" s="5">
        <v>44294</v>
      </c>
      <c r="J2744" s="1" t="s">
        <v>41</v>
      </c>
      <c r="K2744" s="1" t="s">
        <v>5777</v>
      </c>
      <c r="L2744" s="1" t="s">
        <v>5778</v>
      </c>
      <c r="M2744" s="1" t="s">
        <v>5779</v>
      </c>
      <c r="N2744" s="1" t="s">
        <v>38</v>
      </c>
      <c r="O2744" s="1" t="s">
        <v>1440</v>
      </c>
      <c r="P2744" s="1" t="s">
        <v>1441</v>
      </c>
      <c r="Q2744" s="1" t="s">
        <v>1916</v>
      </c>
      <c r="R2744" s="1" t="s">
        <v>26</v>
      </c>
      <c r="S2744" s="1"/>
      <c r="U2744" s="1" t="s">
        <v>35</v>
      </c>
      <c r="V2744" s="1" t="s">
        <v>99</v>
      </c>
      <c r="W2744" s="1" t="str">
        <f>VLOOKUP(Table1[[#This Row],[Obergruppe ATC-Code]],Tabelle3!$A$2:$B$100,2)</f>
        <v>PSYCHOANALEPTIKA</v>
      </c>
      <c r="X2744" s="1" t="str">
        <f xml:space="preserve"> LEFT(Table1[[#This Row],[Atc Code]],3)</f>
        <v>N06</v>
      </c>
    </row>
    <row r="2745" spans="1:24" ht="14.4">
      <c r="A2745" s="14">
        <v>1401</v>
      </c>
      <c r="B2745" s="24">
        <v>13912493</v>
      </c>
      <c r="C2745" s="1">
        <v>2200127</v>
      </c>
      <c r="D2745" s="1" t="s">
        <v>25</v>
      </c>
      <c r="E2745" s="36">
        <v>44362</v>
      </c>
      <c r="F2745" s="36">
        <v>44410</v>
      </c>
      <c r="G2745" s="38">
        <f t="shared" si="42"/>
        <v>48</v>
      </c>
      <c r="H2745" s="5">
        <v>44393</v>
      </c>
      <c r="I2745" s="5">
        <v>44442</v>
      </c>
      <c r="J2745" s="1" t="s">
        <v>26</v>
      </c>
      <c r="K2745" s="1" t="s">
        <v>5781</v>
      </c>
      <c r="L2745" s="1" t="s">
        <v>5778</v>
      </c>
      <c r="M2745" s="1" t="s">
        <v>5779</v>
      </c>
      <c r="N2745" s="1" t="s">
        <v>38</v>
      </c>
      <c r="O2745" s="1" t="s">
        <v>1440</v>
      </c>
      <c r="P2745" s="1" t="s">
        <v>1540</v>
      </c>
      <c r="Q2745" s="1" t="s">
        <v>1541</v>
      </c>
      <c r="R2745" s="1" t="s">
        <v>113</v>
      </c>
      <c r="S2745" s="1"/>
      <c r="U2745" s="1" t="s">
        <v>130</v>
      </c>
      <c r="V2745" s="1" t="s">
        <v>99</v>
      </c>
      <c r="W2745" s="1" t="str">
        <f>VLOOKUP(Table1[[#This Row],[Obergruppe ATC-Code]],Tabelle3!$A$2:$B$100,2)</f>
        <v>PSYCHOANALEPTIKA</v>
      </c>
      <c r="X2745" s="1" t="str">
        <f xml:space="preserve"> LEFT(Table1[[#This Row],[Atc Code]],3)</f>
        <v>N06</v>
      </c>
    </row>
    <row r="2746" spans="1:24" ht="14.4">
      <c r="A2746" s="14">
        <v>2766</v>
      </c>
      <c r="B2746" s="24" t="s">
        <v>5782</v>
      </c>
      <c r="C2746" s="1">
        <v>2200128</v>
      </c>
      <c r="D2746" s="1" t="s">
        <v>25</v>
      </c>
      <c r="E2746" s="36">
        <v>45056</v>
      </c>
      <c r="F2746" s="36">
        <v>45125</v>
      </c>
      <c r="G2746" s="38">
        <f t="shared" si="42"/>
        <v>69</v>
      </c>
      <c r="H2746" s="5">
        <v>45078</v>
      </c>
      <c r="I2746" s="5">
        <v>45141</v>
      </c>
      <c r="J2746" s="1" t="s">
        <v>41</v>
      </c>
      <c r="K2746" s="1" t="s">
        <v>5777</v>
      </c>
      <c r="L2746" s="1" t="s">
        <v>5778</v>
      </c>
      <c r="M2746" s="1" t="s">
        <v>5779</v>
      </c>
      <c r="N2746" s="1" t="s">
        <v>38</v>
      </c>
      <c r="O2746" s="1" t="s">
        <v>1440</v>
      </c>
      <c r="Q2746" s="1" t="s">
        <v>1916</v>
      </c>
      <c r="R2746" s="1" t="s">
        <v>128</v>
      </c>
      <c r="S2746" s="1"/>
      <c r="U2746" s="1" t="s">
        <v>35</v>
      </c>
      <c r="V2746" s="1" t="s">
        <v>99</v>
      </c>
      <c r="W2746" s="1" t="str">
        <f>VLOOKUP(Table1[[#This Row],[Obergruppe ATC-Code]],Tabelle3!$A$2:$B$100,2)</f>
        <v>PSYCHOANALEPTIKA</v>
      </c>
      <c r="X2746" s="1" t="str">
        <f xml:space="preserve"> LEFT(Table1[[#This Row],[Atc Code]],3)</f>
        <v>N06</v>
      </c>
    </row>
    <row r="2747" spans="1:24" ht="14.4">
      <c r="A2747" s="14">
        <v>1400</v>
      </c>
      <c r="B2747" s="24">
        <v>13912493</v>
      </c>
      <c r="C2747" s="1">
        <v>2200127</v>
      </c>
      <c r="D2747" s="1" t="s">
        <v>25</v>
      </c>
      <c r="E2747" s="36">
        <v>45126</v>
      </c>
      <c r="F2747" s="36">
        <v>45203</v>
      </c>
      <c r="G2747" s="38">
        <f t="shared" si="42"/>
        <v>77</v>
      </c>
      <c r="H2747" s="5">
        <v>45141</v>
      </c>
      <c r="I2747" s="5">
        <v>45216</v>
      </c>
      <c r="J2747" s="1" t="s">
        <v>41</v>
      </c>
      <c r="K2747" s="1" t="s">
        <v>5781</v>
      </c>
      <c r="L2747" s="1" t="s">
        <v>5778</v>
      </c>
      <c r="M2747" s="1" t="s">
        <v>5779</v>
      </c>
      <c r="N2747" s="1" t="s">
        <v>38</v>
      </c>
      <c r="O2747" s="1" t="s">
        <v>1440</v>
      </c>
      <c r="Q2747" s="1" t="s">
        <v>1541</v>
      </c>
      <c r="R2747" s="1" t="s">
        <v>128</v>
      </c>
      <c r="S2747" s="1"/>
      <c r="U2747" s="1" t="s">
        <v>35</v>
      </c>
      <c r="V2747" s="1" t="s">
        <v>99</v>
      </c>
      <c r="W2747" s="1" t="str">
        <f>VLOOKUP(Table1[[#This Row],[Obergruppe ATC-Code]],Tabelle3!$A$2:$B$100,2)</f>
        <v>PSYCHOANALEPTIKA</v>
      </c>
      <c r="X2747" s="1" t="str">
        <f xml:space="preserve"> LEFT(Table1[[#This Row],[Atc Code]],3)</f>
        <v>N06</v>
      </c>
    </row>
    <row r="2748" spans="1:24" ht="14.4">
      <c r="A2748" s="14">
        <v>1736</v>
      </c>
      <c r="B2748" s="24" t="s">
        <v>5783</v>
      </c>
      <c r="C2748" s="1" t="s">
        <v>5784</v>
      </c>
      <c r="D2748" s="1" t="s">
        <v>25</v>
      </c>
      <c r="E2748" s="36">
        <v>44652</v>
      </c>
      <c r="F2748" s="36">
        <v>45065</v>
      </c>
      <c r="G2748" s="38">
        <f t="shared" si="42"/>
        <v>413</v>
      </c>
      <c r="H2748" s="5">
        <v>44685</v>
      </c>
      <c r="I2748" s="5">
        <v>45078</v>
      </c>
      <c r="J2748" s="1" t="s">
        <v>41</v>
      </c>
      <c r="K2748" s="1" t="s">
        <v>5785</v>
      </c>
      <c r="L2748" s="1" t="s">
        <v>5786</v>
      </c>
      <c r="M2748" s="1" t="s">
        <v>5787</v>
      </c>
      <c r="N2748" s="1" t="s">
        <v>38</v>
      </c>
      <c r="O2748" s="1" t="s">
        <v>1697</v>
      </c>
      <c r="P2748" s="1" t="s">
        <v>823</v>
      </c>
      <c r="Q2748" s="1" t="s">
        <v>824</v>
      </c>
      <c r="R2748" s="1" t="s">
        <v>942</v>
      </c>
      <c r="S2748" s="1"/>
      <c r="U2748" s="1" t="s">
        <v>130</v>
      </c>
      <c r="V2748" s="1" t="s">
        <v>99</v>
      </c>
      <c r="W2748" s="1" t="str">
        <f>VLOOKUP(Table1[[#This Row],[Obergruppe ATC-Code]],Tabelle3!$A$2:$B$100,2)</f>
        <v>PSYCHOANALEPTIKA</v>
      </c>
      <c r="X2748" s="1" t="str">
        <f xml:space="preserve"> LEFT(Table1[[#This Row],[Atc Code]],3)</f>
        <v>N06</v>
      </c>
    </row>
    <row r="2749" spans="1:24" ht="14.4">
      <c r="A2749" s="14">
        <v>32</v>
      </c>
      <c r="B2749" s="24">
        <v>192229</v>
      </c>
      <c r="C2749" s="1">
        <v>2144172</v>
      </c>
      <c r="D2749" s="1" t="s">
        <v>175</v>
      </c>
      <c r="E2749" s="36">
        <v>45139</v>
      </c>
      <c r="F2749" s="36">
        <v>45324</v>
      </c>
      <c r="G2749" s="38">
        <f t="shared" si="42"/>
        <v>185</v>
      </c>
      <c r="H2749" s="5">
        <v>45141</v>
      </c>
      <c r="I2749" s="5">
        <v>45141</v>
      </c>
      <c r="J2749" s="1" t="s">
        <v>26</v>
      </c>
      <c r="K2749" s="1" t="s">
        <v>5788</v>
      </c>
      <c r="L2749" s="1" t="s">
        <v>5786</v>
      </c>
      <c r="M2749" s="1" t="s">
        <v>5787</v>
      </c>
      <c r="N2749" s="1" t="s">
        <v>38</v>
      </c>
      <c r="O2749" s="1" t="s">
        <v>123</v>
      </c>
      <c r="Q2749" s="1" t="s">
        <v>201</v>
      </c>
      <c r="R2749" s="1" t="s">
        <v>113</v>
      </c>
      <c r="S2749" s="1"/>
      <c r="U2749" s="1" t="s">
        <v>130</v>
      </c>
      <c r="V2749" s="1" t="s">
        <v>99</v>
      </c>
      <c r="W2749" s="1" t="str">
        <f>VLOOKUP(Table1[[#This Row],[Obergruppe ATC-Code]],Tabelle3!$A$2:$B$100,2)</f>
        <v>PSYCHOANALEPTIKA</v>
      </c>
      <c r="X2749" s="1" t="str">
        <f xml:space="preserve"> LEFT(Table1[[#This Row],[Atc Code]],3)</f>
        <v>N06</v>
      </c>
    </row>
    <row r="2750" spans="1:24" ht="14.4">
      <c r="A2750" s="14">
        <v>2247</v>
      </c>
      <c r="B2750" s="24" t="s">
        <v>5789</v>
      </c>
      <c r="C2750" s="1">
        <v>2121913</v>
      </c>
      <c r="D2750" s="1" t="s">
        <v>175</v>
      </c>
      <c r="E2750" s="36">
        <v>45110</v>
      </c>
      <c r="F2750" s="36">
        <v>45306</v>
      </c>
      <c r="G2750" s="38">
        <f t="shared" si="42"/>
        <v>196</v>
      </c>
      <c r="H2750" s="5">
        <v>45208</v>
      </c>
      <c r="I2750" s="5">
        <v>45208</v>
      </c>
      <c r="J2750" s="1" t="s">
        <v>26</v>
      </c>
      <c r="K2750" s="1" t="s">
        <v>5790</v>
      </c>
      <c r="L2750" s="1" t="s">
        <v>5786</v>
      </c>
      <c r="M2750" s="1" t="s">
        <v>5787</v>
      </c>
      <c r="N2750" s="1" t="s">
        <v>38</v>
      </c>
      <c r="O2750" s="1" t="s">
        <v>1123</v>
      </c>
      <c r="P2750" s="1">
        <v>38343914465</v>
      </c>
      <c r="Q2750" s="1" t="s">
        <v>5791</v>
      </c>
      <c r="R2750" s="1" t="s">
        <v>33</v>
      </c>
      <c r="S2750" s="1"/>
      <c r="U2750" s="1" t="s">
        <v>130</v>
      </c>
      <c r="V2750" s="1" t="s">
        <v>1292</v>
      </c>
      <c r="W2750" s="1" t="str">
        <f>VLOOKUP(Table1[[#This Row],[Obergruppe ATC-Code]],Tabelle3!$A$2:$B$100,2)</f>
        <v>PSYCHOANALEPTIKA</v>
      </c>
      <c r="X2750" s="1" t="str">
        <f xml:space="preserve"> LEFT(Table1[[#This Row],[Atc Code]],3)</f>
        <v>N06</v>
      </c>
    </row>
    <row r="2751" spans="1:24" ht="14.4">
      <c r="A2751" s="14">
        <v>293</v>
      </c>
      <c r="B2751" s="24">
        <v>1822916</v>
      </c>
      <c r="C2751" s="1">
        <v>2140254</v>
      </c>
      <c r="D2751" s="1" t="s">
        <v>102</v>
      </c>
      <c r="E2751" s="36">
        <v>45021</v>
      </c>
      <c r="F2751" s="36">
        <v>45288</v>
      </c>
      <c r="G2751" s="38">
        <f t="shared" si="42"/>
        <v>267</v>
      </c>
      <c r="H2751" s="5">
        <v>45021</v>
      </c>
      <c r="I2751" s="5">
        <v>45152</v>
      </c>
      <c r="J2751" s="1" t="s">
        <v>26</v>
      </c>
      <c r="K2751" s="1" t="s">
        <v>5792</v>
      </c>
      <c r="L2751" s="1" t="s">
        <v>5793</v>
      </c>
      <c r="M2751" s="1" t="s">
        <v>5794</v>
      </c>
      <c r="N2751" s="1" t="s">
        <v>38</v>
      </c>
      <c r="O2751" s="1" t="s">
        <v>91</v>
      </c>
      <c r="Q2751" s="1" t="s">
        <v>93</v>
      </c>
      <c r="R2751" s="1" t="s">
        <v>26</v>
      </c>
      <c r="S2751" s="1"/>
      <c r="U2751" s="1" t="s">
        <v>130</v>
      </c>
      <c r="V2751" s="1" t="s">
        <v>49</v>
      </c>
      <c r="W2751" s="1" t="str">
        <f>VLOOKUP(Table1[[#This Row],[Obergruppe ATC-Code]],Tabelle3!$A$2:$B$100,2)</f>
        <v>PSYCHOANALEPTIKA</v>
      </c>
      <c r="X2751" s="1" t="str">
        <f xml:space="preserve"> LEFT(Table1[[#This Row],[Atc Code]],3)</f>
        <v>N06</v>
      </c>
    </row>
    <row r="2752" spans="1:24" ht="14.4">
      <c r="A2752" s="14">
        <v>2176</v>
      </c>
      <c r="B2752" s="24" t="s">
        <v>5795</v>
      </c>
      <c r="C2752" s="1">
        <v>2140448</v>
      </c>
      <c r="D2752" s="1" t="s">
        <v>102</v>
      </c>
      <c r="E2752" s="36">
        <v>45021</v>
      </c>
      <c r="F2752" s="36">
        <v>45230</v>
      </c>
      <c r="G2752" s="38">
        <f t="shared" si="42"/>
        <v>209</v>
      </c>
      <c r="H2752" s="5">
        <v>45021</v>
      </c>
      <c r="I2752" s="5">
        <v>45175</v>
      </c>
      <c r="J2752" s="1" t="s">
        <v>26</v>
      </c>
      <c r="K2752" s="1" t="s">
        <v>5796</v>
      </c>
      <c r="L2752" s="1" t="s">
        <v>5793</v>
      </c>
      <c r="M2752" s="1" t="s">
        <v>5794</v>
      </c>
      <c r="N2752" s="1" t="s">
        <v>38</v>
      </c>
      <c r="O2752" s="1" t="s">
        <v>52</v>
      </c>
      <c r="Q2752" s="1" t="s">
        <v>54</v>
      </c>
      <c r="R2752" s="1" t="s">
        <v>26</v>
      </c>
      <c r="S2752" s="1"/>
      <c r="U2752" s="1" t="s">
        <v>130</v>
      </c>
      <c r="V2752" s="1" t="s">
        <v>49</v>
      </c>
      <c r="W2752" s="1" t="str">
        <f>VLOOKUP(Table1[[#This Row],[Obergruppe ATC-Code]],Tabelle3!$A$2:$B$100,2)</f>
        <v>PSYCHOANALEPTIKA</v>
      </c>
      <c r="X2752" s="1" t="str">
        <f xml:space="preserve"> LEFT(Table1[[#This Row],[Atc Code]],3)</f>
        <v>N06</v>
      </c>
    </row>
    <row r="2753" spans="1:24" ht="14.4">
      <c r="A2753" s="14">
        <v>1915</v>
      </c>
      <c r="B2753" s="24" t="s">
        <v>5797</v>
      </c>
      <c r="C2753" s="1">
        <v>2140447</v>
      </c>
      <c r="D2753" s="1" t="s">
        <v>102</v>
      </c>
      <c r="E2753" s="36">
        <v>45021</v>
      </c>
      <c r="F2753" s="36">
        <v>45230</v>
      </c>
      <c r="G2753" s="38">
        <f t="shared" si="42"/>
        <v>209</v>
      </c>
      <c r="H2753" s="5">
        <v>45021</v>
      </c>
      <c r="I2753" s="5">
        <v>45175</v>
      </c>
      <c r="J2753" s="1" t="s">
        <v>26</v>
      </c>
      <c r="K2753" s="1" t="s">
        <v>5798</v>
      </c>
      <c r="L2753" s="1" t="s">
        <v>5793</v>
      </c>
      <c r="M2753" s="1" t="s">
        <v>5794</v>
      </c>
      <c r="N2753" s="1" t="s">
        <v>38</v>
      </c>
      <c r="O2753" s="1" t="s">
        <v>91</v>
      </c>
      <c r="Q2753" s="1" t="s">
        <v>93</v>
      </c>
      <c r="R2753" s="1" t="s">
        <v>26</v>
      </c>
      <c r="S2753" s="1"/>
      <c r="U2753" s="1" t="s">
        <v>130</v>
      </c>
      <c r="V2753" s="1" t="s">
        <v>49</v>
      </c>
      <c r="W2753" s="1" t="str">
        <f>VLOOKUP(Table1[[#This Row],[Obergruppe ATC-Code]],Tabelle3!$A$2:$B$100,2)</f>
        <v>PSYCHOANALEPTIKA</v>
      </c>
      <c r="X2753" s="1" t="str">
        <f xml:space="preserve"> LEFT(Table1[[#This Row],[Atc Code]],3)</f>
        <v>N06</v>
      </c>
    </row>
    <row r="2754" spans="1:24" ht="14.4">
      <c r="A2754" s="14">
        <v>2175</v>
      </c>
      <c r="B2754" s="24" t="s">
        <v>5799</v>
      </c>
      <c r="C2754" s="1">
        <v>2140465</v>
      </c>
      <c r="D2754" s="1" t="s">
        <v>175</v>
      </c>
      <c r="E2754" s="36">
        <v>45169</v>
      </c>
      <c r="F2754" s="36">
        <v>45280</v>
      </c>
      <c r="G2754" s="38">
        <f t="shared" ref="G2754:G2817" si="43">F2754-E2754</f>
        <v>111</v>
      </c>
      <c r="H2754" s="5">
        <v>45200</v>
      </c>
      <c r="I2754" s="5">
        <v>45200</v>
      </c>
      <c r="J2754" s="1" t="s">
        <v>26</v>
      </c>
      <c r="K2754" s="1" t="s">
        <v>5800</v>
      </c>
      <c r="L2754" s="1" t="s">
        <v>5793</v>
      </c>
      <c r="M2754" s="1" t="s">
        <v>5794</v>
      </c>
      <c r="N2754" s="1" t="s">
        <v>38</v>
      </c>
      <c r="O2754" s="1" t="s">
        <v>91</v>
      </c>
      <c r="Q2754" s="1" t="s">
        <v>93</v>
      </c>
      <c r="R2754" s="1" t="s">
        <v>26</v>
      </c>
      <c r="S2754" s="1"/>
      <c r="U2754" s="1" t="s">
        <v>130</v>
      </c>
      <c r="V2754" s="1" t="s">
        <v>49</v>
      </c>
      <c r="W2754" s="1" t="str">
        <f>VLOOKUP(Table1[[#This Row],[Obergruppe ATC-Code]],Tabelle3!$A$2:$B$100,2)</f>
        <v>PSYCHOANALEPTIKA</v>
      </c>
      <c r="X2754" s="1" t="str">
        <f xml:space="preserve"> LEFT(Table1[[#This Row],[Atc Code]],3)</f>
        <v>N06</v>
      </c>
    </row>
    <row r="2755" spans="1:24" ht="14.4">
      <c r="A2755" s="14">
        <v>1881</v>
      </c>
      <c r="B2755" s="24" t="s">
        <v>5801</v>
      </c>
      <c r="C2755" s="1">
        <v>2151397</v>
      </c>
      <c r="D2755" s="1" t="s">
        <v>25</v>
      </c>
      <c r="E2755" s="36">
        <v>43891</v>
      </c>
      <c r="F2755" s="36">
        <v>44165</v>
      </c>
      <c r="G2755" s="38">
        <f t="shared" si="43"/>
        <v>274</v>
      </c>
      <c r="H2755" s="5">
        <v>43910</v>
      </c>
      <c r="I2755" s="5">
        <v>44165</v>
      </c>
      <c r="J2755" s="1" t="s">
        <v>41</v>
      </c>
      <c r="K2755" s="1" t="s">
        <v>5802</v>
      </c>
      <c r="L2755" s="1" t="s">
        <v>5803</v>
      </c>
      <c r="M2755" s="1" t="s">
        <v>5804</v>
      </c>
      <c r="N2755" s="1" t="s">
        <v>30</v>
      </c>
      <c r="O2755" s="1" t="s">
        <v>91</v>
      </c>
      <c r="P2755" s="1" t="s">
        <v>92</v>
      </c>
      <c r="Q2755" s="1" t="s">
        <v>93</v>
      </c>
      <c r="R2755" s="1" t="s">
        <v>48</v>
      </c>
      <c r="S2755" s="1"/>
      <c r="U2755" s="1" t="s">
        <v>35</v>
      </c>
      <c r="V2755" s="1" t="s">
        <v>99</v>
      </c>
      <c r="W2755" s="1" t="str">
        <f>VLOOKUP(Table1[[#This Row],[Obergruppe ATC-Code]],Tabelle3!$A$2:$B$100,2)</f>
        <v>PSYCHOANALEPTIKA</v>
      </c>
      <c r="X2755" s="1" t="str">
        <f xml:space="preserve"> LEFT(Table1[[#This Row],[Atc Code]],3)</f>
        <v>N06</v>
      </c>
    </row>
    <row r="2756" spans="1:24" ht="14.4">
      <c r="A2756" s="14">
        <v>2549</v>
      </c>
      <c r="B2756" s="24" t="s">
        <v>5805</v>
      </c>
      <c r="C2756" s="1">
        <v>2190507</v>
      </c>
      <c r="D2756" s="1" t="s">
        <v>25</v>
      </c>
      <c r="E2756" s="36">
        <v>43739</v>
      </c>
      <c r="F2756" s="36">
        <v>43830</v>
      </c>
      <c r="G2756" s="38">
        <f t="shared" si="43"/>
        <v>91</v>
      </c>
      <c r="H2756" s="5">
        <v>43780</v>
      </c>
      <c r="I2756" s="5">
        <v>43812</v>
      </c>
      <c r="J2756" s="1" t="s">
        <v>41</v>
      </c>
      <c r="K2756" s="1" t="s">
        <v>5806</v>
      </c>
      <c r="L2756" s="1" t="s">
        <v>5807</v>
      </c>
      <c r="M2756" s="1" t="s">
        <v>5808</v>
      </c>
      <c r="N2756" s="1" t="s">
        <v>38</v>
      </c>
      <c r="O2756" s="1" t="s">
        <v>1440</v>
      </c>
      <c r="P2756" s="1" t="s">
        <v>1441</v>
      </c>
      <c r="Q2756" s="1" t="s">
        <v>1442</v>
      </c>
      <c r="R2756" s="1" t="s">
        <v>65</v>
      </c>
      <c r="S2756" s="1"/>
      <c r="U2756" s="1" t="s">
        <v>35</v>
      </c>
      <c r="V2756" s="1" t="s">
        <v>99</v>
      </c>
      <c r="W2756" s="1" t="str">
        <f>VLOOKUP(Table1[[#This Row],[Obergruppe ATC-Code]],Tabelle3!$A$2:$B$100,2)</f>
        <v>PSYCHOANALEPTIKA</v>
      </c>
      <c r="X2756" s="1" t="str">
        <f xml:space="preserve"> LEFT(Table1[[#This Row],[Atc Code]],3)</f>
        <v>N06</v>
      </c>
    </row>
    <row r="2757" spans="1:24" ht="14.4">
      <c r="A2757" s="14">
        <v>2546</v>
      </c>
      <c r="B2757" s="24" t="s">
        <v>5809</v>
      </c>
      <c r="C2757" s="1">
        <v>2190506</v>
      </c>
      <c r="D2757" s="1" t="s">
        <v>25</v>
      </c>
      <c r="E2757" s="36">
        <v>43739</v>
      </c>
      <c r="F2757" s="36">
        <v>43830</v>
      </c>
      <c r="G2757" s="38">
        <f t="shared" si="43"/>
        <v>91</v>
      </c>
      <c r="H2757" s="5">
        <v>43780</v>
      </c>
      <c r="I2757" s="5">
        <v>43812</v>
      </c>
      <c r="J2757" s="1" t="s">
        <v>41</v>
      </c>
      <c r="K2757" s="1" t="s">
        <v>5810</v>
      </c>
      <c r="L2757" s="1" t="s">
        <v>5807</v>
      </c>
      <c r="M2757" s="1" t="s">
        <v>5808</v>
      </c>
      <c r="N2757" s="1" t="s">
        <v>38</v>
      </c>
      <c r="O2757" s="1" t="s">
        <v>1440</v>
      </c>
      <c r="P2757" s="1" t="s">
        <v>1441</v>
      </c>
      <c r="Q2757" s="1" t="s">
        <v>1442</v>
      </c>
      <c r="R2757" s="1" t="s">
        <v>65</v>
      </c>
      <c r="S2757" s="1"/>
      <c r="U2757" s="1" t="s">
        <v>35</v>
      </c>
      <c r="V2757" s="1" t="s">
        <v>99</v>
      </c>
      <c r="W2757" s="1" t="str">
        <f>VLOOKUP(Table1[[#This Row],[Obergruppe ATC-Code]],Tabelle3!$A$2:$B$100,2)</f>
        <v>PSYCHOANALEPTIKA</v>
      </c>
      <c r="X2757" s="1" t="str">
        <f xml:space="preserve"> LEFT(Table1[[#This Row],[Atc Code]],3)</f>
        <v>N06</v>
      </c>
    </row>
    <row r="2758" spans="1:24" ht="14.4">
      <c r="A2758" s="14">
        <v>2543</v>
      </c>
      <c r="B2758" s="24" t="s">
        <v>5811</v>
      </c>
      <c r="C2758" s="1">
        <v>2190505</v>
      </c>
      <c r="D2758" s="1" t="s">
        <v>25</v>
      </c>
      <c r="E2758" s="36">
        <v>43739</v>
      </c>
      <c r="F2758" s="36">
        <v>43799</v>
      </c>
      <c r="G2758" s="38">
        <f t="shared" si="43"/>
        <v>60</v>
      </c>
      <c r="H2758" s="5">
        <v>43780</v>
      </c>
      <c r="I2758" s="5">
        <v>43812</v>
      </c>
      <c r="J2758" s="1" t="s">
        <v>41</v>
      </c>
      <c r="K2758" s="1" t="s">
        <v>5812</v>
      </c>
      <c r="L2758" s="1" t="s">
        <v>5807</v>
      </c>
      <c r="M2758" s="1" t="s">
        <v>5808</v>
      </c>
      <c r="N2758" s="1" t="s">
        <v>38</v>
      </c>
      <c r="O2758" s="1" t="s">
        <v>1440</v>
      </c>
      <c r="P2758" s="1" t="s">
        <v>1441</v>
      </c>
      <c r="Q2758" s="1" t="s">
        <v>1442</v>
      </c>
      <c r="R2758" s="1" t="s">
        <v>65</v>
      </c>
      <c r="S2758" s="1"/>
      <c r="U2758" s="1" t="s">
        <v>35</v>
      </c>
      <c r="V2758" s="1" t="s">
        <v>99</v>
      </c>
      <c r="W2758" s="1" t="str">
        <f>VLOOKUP(Table1[[#This Row],[Obergruppe ATC-Code]],Tabelle3!$A$2:$B$100,2)</f>
        <v>PSYCHOANALEPTIKA</v>
      </c>
      <c r="X2758" s="1" t="str">
        <f xml:space="preserve"> LEFT(Table1[[#This Row],[Atc Code]],3)</f>
        <v>N06</v>
      </c>
    </row>
    <row r="2759" spans="1:24" ht="14.4">
      <c r="A2759" s="14">
        <v>2542</v>
      </c>
      <c r="B2759" s="24" t="s">
        <v>5811</v>
      </c>
      <c r="C2759" s="1">
        <v>2190505</v>
      </c>
      <c r="D2759" s="1" t="s">
        <v>25</v>
      </c>
      <c r="E2759" s="36">
        <v>43831</v>
      </c>
      <c r="F2759" s="36">
        <v>43890</v>
      </c>
      <c r="G2759" s="38">
        <f t="shared" si="43"/>
        <v>59</v>
      </c>
      <c r="H2759" s="5">
        <v>43866</v>
      </c>
      <c r="I2759" s="5">
        <v>43899</v>
      </c>
      <c r="J2759" s="1" t="s">
        <v>41</v>
      </c>
      <c r="K2759" s="1" t="s">
        <v>5812</v>
      </c>
      <c r="L2759" s="1" t="s">
        <v>5807</v>
      </c>
      <c r="M2759" s="1" t="s">
        <v>5808</v>
      </c>
      <c r="N2759" s="1" t="s">
        <v>38</v>
      </c>
      <c r="O2759" s="1" t="s">
        <v>1440</v>
      </c>
      <c r="P2759" s="1" t="s">
        <v>1441</v>
      </c>
      <c r="Q2759" s="1" t="s">
        <v>1442</v>
      </c>
      <c r="R2759" s="1" t="s">
        <v>65</v>
      </c>
      <c r="S2759" s="1"/>
      <c r="U2759" s="1" t="s">
        <v>35</v>
      </c>
      <c r="V2759" s="1" t="s">
        <v>99</v>
      </c>
      <c r="W2759" s="1" t="str">
        <f>VLOOKUP(Table1[[#This Row],[Obergruppe ATC-Code]],Tabelle3!$A$2:$B$100,2)</f>
        <v>PSYCHOANALEPTIKA</v>
      </c>
      <c r="X2759" s="1" t="str">
        <f xml:space="preserve"> LEFT(Table1[[#This Row],[Atc Code]],3)</f>
        <v>N06</v>
      </c>
    </row>
    <row r="2760" spans="1:24" ht="14.4">
      <c r="A2760" s="14">
        <v>2545</v>
      </c>
      <c r="B2760" s="24" t="s">
        <v>5809</v>
      </c>
      <c r="C2760" s="1">
        <v>2190506</v>
      </c>
      <c r="D2760" s="1" t="s">
        <v>25</v>
      </c>
      <c r="E2760" s="36">
        <v>43831</v>
      </c>
      <c r="F2760" s="36">
        <v>43921</v>
      </c>
      <c r="G2760" s="38">
        <f t="shared" si="43"/>
        <v>90</v>
      </c>
      <c r="H2760" s="5">
        <v>43866</v>
      </c>
      <c r="I2760" s="5">
        <v>43924</v>
      </c>
      <c r="J2760" s="1" t="s">
        <v>41</v>
      </c>
      <c r="K2760" s="1" t="s">
        <v>5810</v>
      </c>
      <c r="L2760" s="1" t="s">
        <v>5807</v>
      </c>
      <c r="M2760" s="1" t="s">
        <v>5808</v>
      </c>
      <c r="N2760" s="1" t="s">
        <v>38</v>
      </c>
      <c r="O2760" s="1" t="s">
        <v>1440</v>
      </c>
      <c r="P2760" s="1" t="s">
        <v>1441</v>
      </c>
      <c r="Q2760" s="1" t="s">
        <v>1442</v>
      </c>
      <c r="R2760" s="1" t="s">
        <v>65</v>
      </c>
      <c r="S2760" s="1"/>
      <c r="U2760" s="1" t="s">
        <v>35</v>
      </c>
      <c r="V2760" s="1" t="s">
        <v>99</v>
      </c>
      <c r="W2760" s="1" t="str">
        <f>VLOOKUP(Table1[[#This Row],[Obergruppe ATC-Code]],Tabelle3!$A$2:$B$100,2)</f>
        <v>PSYCHOANALEPTIKA</v>
      </c>
      <c r="X2760" s="1" t="str">
        <f xml:space="preserve"> LEFT(Table1[[#This Row],[Atc Code]],3)</f>
        <v>N06</v>
      </c>
    </row>
    <row r="2761" spans="1:24" ht="14.4">
      <c r="A2761" s="14">
        <v>2548</v>
      </c>
      <c r="B2761" s="24" t="s">
        <v>5805</v>
      </c>
      <c r="C2761" s="1">
        <v>2190507</v>
      </c>
      <c r="D2761" s="1" t="s">
        <v>25</v>
      </c>
      <c r="E2761" s="36">
        <v>44044</v>
      </c>
      <c r="F2761" s="36">
        <v>44165</v>
      </c>
      <c r="G2761" s="38">
        <f t="shared" si="43"/>
        <v>121</v>
      </c>
      <c r="H2761" s="5">
        <v>44075</v>
      </c>
      <c r="I2761" s="5">
        <v>44144</v>
      </c>
      <c r="J2761" s="1" t="s">
        <v>41</v>
      </c>
      <c r="K2761" s="1" t="s">
        <v>5806</v>
      </c>
      <c r="L2761" s="1" t="s">
        <v>5807</v>
      </c>
      <c r="M2761" s="1" t="s">
        <v>5808</v>
      </c>
      <c r="N2761" s="1" t="s">
        <v>38</v>
      </c>
      <c r="O2761" s="1" t="s">
        <v>1440</v>
      </c>
      <c r="P2761" s="1" t="s">
        <v>1441</v>
      </c>
      <c r="Q2761" s="1" t="s">
        <v>1442</v>
      </c>
      <c r="R2761" s="1" t="s">
        <v>26</v>
      </c>
      <c r="S2761" s="1"/>
      <c r="U2761" s="1" t="s">
        <v>35</v>
      </c>
      <c r="V2761" s="1" t="s">
        <v>99</v>
      </c>
      <c r="W2761" s="1" t="str">
        <f>VLOOKUP(Table1[[#This Row],[Obergruppe ATC-Code]],Tabelle3!$A$2:$B$100,2)</f>
        <v>PSYCHOANALEPTIKA</v>
      </c>
      <c r="X2761" s="1" t="str">
        <f xml:space="preserve"> LEFT(Table1[[#This Row],[Atc Code]],3)</f>
        <v>N06</v>
      </c>
    </row>
    <row r="2762" spans="1:24" ht="14.4">
      <c r="A2762" s="14">
        <v>2541</v>
      </c>
      <c r="B2762" s="24" t="s">
        <v>5811</v>
      </c>
      <c r="C2762" s="1">
        <v>2190505</v>
      </c>
      <c r="D2762" s="1" t="s">
        <v>25</v>
      </c>
      <c r="E2762" s="36">
        <v>44044</v>
      </c>
      <c r="F2762" s="36">
        <v>44165</v>
      </c>
      <c r="G2762" s="38">
        <f t="shared" si="43"/>
        <v>121</v>
      </c>
      <c r="H2762" s="5">
        <v>44075</v>
      </c>
      <c r="I2762" s="5">
        <v>44181</v>
      </c>
      <c r="J2762" s="1" t="s">
        <v>41</v>
      </c>
      <c r="K2762" s="1" t="s">
        <v>5812</v>
      </c>
      <c r="L2762" s="1" t="s">
        <v>5807</v>
      </c>
      <c r="M2762" s="1" t="s">
        <v>5808</v>
      </c>
      <c r="N2762" s="1" t="s">
        <v>38</v>
      </c>
      <c r="O2762" s="1" t="s">
        <v>1440</v>
      </c>
      <c r="P2762" s="1" t="s">
        <v>1441</v>
      </c>
      <c r="Q2762" s="1" t="s">
        <v>1442</v>
      </c>
      <c r="R2762" s="1" t="s">
        <v>26</v>
      </c>
      <c r="S2762" s="1"/>
      <c r="U2762" s="1" t="s">
        <v>35</v>
      </c>
      <c r="V2762" s="1" t="s">
        <v>99</v>
      </c>
      <c r="W2762" s="1" t="str">
        <f>VLOOKUP(Table1[[#This Row],[Obergruppe ATC-Code]],Tabelle3!$A$2:$B$100,2)</f>
        <v>PSYCHOANALEPTIKA</v>
      </c>
      <c r="X2762" s="1" t="str">
        <f xml:space="preserve"> LEFT(Table1[[#This Row],[Atc Code]],3)</f>
        <v>N06</v>
      </c>
    </row>
    <row r="2763" spans="1:24" ht="14.4">
      <c r="A2763" s="14">
        <v>2544</v>
      </c>
      <c r="B2763" s="24" t="s">
        <v>5809</v>
      </c>
      <c r="C2763" s="1">
        <v>2190506</v>
      </c>
      <c r="D2763" s="1" t="s">
        <v>25</v>
      </c>
      <c r="E2763" s="36">
        <v>44044</v>
      </c>
      <c r="F2763" s="36">
        <v>44255</v>
      </c>
      <c r="G2763" s="38">
        <f t="shared" si="43"/>
        <v>211</v>
      </c>
      <c r="H2763" s="5">
        <v>44075</v>
      </c>
      <c r="I2763" s="5">
        <v>44239</v>
      </c>
      <c r="J2763" s="1" t="s">
        <v>41</v>
      </c>
      <c r="K2763" s="1" t="s">
        <v>5810</v>
      </c>
      <c r="L2763" s="1" t="s">
        <v>5807</v>
      </c>
      <c r="M2763" s="1" t="s">
        <v>5808</v>
      </c>
      <c r="N2763" s="1" t="s">
        <v>38</v>
      </c>
      <c r="O2763" s="1" t="s">
        <v>1440</v>
      </c>
      <c r="P2763" s="1" t="s">
        <v>1441</v>
      </c>
      <c r="Q2763" s="1" t="s">
        <v>1442</v>
      </c>
      <c r="R2763" s="1" t="s">
        <v>26</v>
      </c>
      <c r="S2763" s="1"/>
      <c r="U2763" s="1" t="s">
        <v>35</v>
      </c>
      <c r="V2763" s="1" t="s">
        <v>99</v>
      </c>
      <c r="W2763" s="1" t="str">
        <f>VLOOKUP(Table1[[#This Row],[Obergruppe ATC-Code]],Tabelle3!$A$2:$B$100,2)</f>
        <v>PSYCHOANALEPTIKA</v>
      </c>
      <c r="X2763" s="1" t="str">
        <f xml:space="preserve"> LEFT(Table1[[#This Row],[Atc Code]],3)</f>
        <v>N06</v>
      </c>
    </row>
    <row r="2764" spans="1:24" ht="14.4">
      <c r="A2764" s="14">
        <v>2547</v>
      </c>
      <c r="B2764" s="24" t="s">
        <v>5805</v>
      </c>
      <c r="C2764" s="1">
        <v>2190507</v>
      </c>
      <c r="D2764" s="1" t="s">
        <v>25</v>
      </c>
      <c r="E2764" s="36">
        <v>44166</v>
      </c>
      <c r="F2764" s="36">
        <v>44227</v>
      </c>
      <c r="G2764" s="38">
        <f t="shared" si="43"/>
        <v>61</v>
      </c>
      <c r="H2764" s="5">
        <v>44181</v>
      </c>
      <c r="I2764" s="5">
        <v>44242</v>
      </c>
      <c r="J2764" s="1" t="s">
        <v>26</v>
      </c>
      <c r="K2764" s="1" t="s">
        <v>5806</v>
      </c>
      <c r="L2764" s="1" t="s">
        <v>5807</v>
      </c>
      <c r="M2764" s="1" t="s">
        <v>5808</v>
      </c>
      <c r="N2764" s="1" t="s">
        <v>38</v>
      </c>
      <c r="O2764" s="1" t="s">
        <v>1440</v>
      </c>
      <c r="P2764" s="1" t="s">
        <v>1441</v>
      </c>
      <c r="Q2764" s="1" t="s">
        <v>1916</v>
      </c>
      <c r="R2764" s="1" t="s">
        <v>33</v>
      </c>
      <c r="S2764" s="1"/>
      <c r="U2764" s="1" t="s">
        <v>35</v>
      </c>
      <c r="V2764" s="1" t="s">
        <v>99</v>
      </c>
      <c r="W2764" s="1" t="str">
        <f>VLOOKUP(Table1[[#This Row],[Obergruppe ATC-Code]],Tabelle3!$A$2:$B$100,2)</f>
        <v>PSYCHOANALEPTIKA</v>
      </c>
      <c r="X2764" s="1" t="str">
        <f xml:space="preserve"> LEFT(Table1[[#This Row],[Atc Code]],3)</f>
        <v>N06</v>
      </c>
    </row>
    <row r="2765" spans="1:24" ht="14.4">
      <c r="A2765" s="14">
        <v>2540</v>
      </c>
      <c r="B2765" s="24" t="s">
        <v>5813</v>
      </c>
      <c r="C2765" s="1">
        <v>2190505</v>
      </c>
      <c r="D2765" s="1" t="s">
        <v>25</v>
      </c>
      <c r="E2765" s="36">
        <v>44530</v>
      </c>
      <c r="F2765" s="36">
        <v>44620</v>
      </c>
      <c r="G2765" s="38">
        <f t="shared" si="43"/>
        <v>90</v>
      </c>
      <c r="H2765" s="5">
        <v>44537</v>
      </c>
      <c r="I2765" s="5">
        <v>44631</v>
      </c>
      <c r="J2765" s="1" t="s">
        <v>26</v>
      </c>
      <c r="K2765" s="1" t="s">
        <v>5812</v>
      </c>
      <c r="L2765" s="1" t="s">
        <v>5807</v>
      </c>
      <c r="M2765" s="1" t="s">
        <v>5808</v>
      </c>
      <c r="N2765" s="1" t="s">
        <v>38</v>
      </c>
      <c r="O2765" s="1" t="s">
        <v>1440</v>
      </c>
      <c r="P2765" s="1" t="s">
        <v>1540</v>
      </c>
      <c r="Q2765" s="1" t="s">
        <v>1541</v>
      </c>
      <c r="R2765" s="1" t="s">
        <v>113</v>
      </c>
      <c r="S2765" s="1"/>
      <c r="U2765" s="1" t="s">
        <v>35</v>
      </c>
      <c r="V2765" s="1" t="s">
        <v>99</v>
      </c>
      <c r="W2765" s="1" t="str">
        <f>VLOOKUP(Table1[[#This Row],[Obergruppe ATC-Code]],Tabelle3!$A$2:$B$100,2)</f>
        <v>PSYCHOANALEPTIKA</v>
      </c>
      <c r="X2765" s="1" t="str">
        <f xml:space="preserve"> LEFT(Table1[[#This Row],[Atc Code]],3)</f>
        <v>N06</v>
      </c>
    </row>
    <row r="2766" spans="1:24" ht="14.4">
      <c r="A2766" s="14">
        <v>1178</v>
      </c>
      <c r="B2766" s="24">
        <v>10251246</v>
      </c>
      <c r="C2766" s="1">
        <v>2168169</v>
      </c>
      <c r="D2766" s="1" t="s">
        <v>175</v>
      </c>
      <c r="E2766" s="36">
        <v>45133</v>
      </c>
      <c r="F2766" s="36">
        <v>45212</v>
      </c>
      <c r="G2766" s="38">
        <f t="shared" si="43"/>
        <v>79</v>
      </c>
      <c r="H2766" s="5">
        <v>45141</v>
      </c>
      <c r="I2766" s="5">
        <v>45141</v>
      </c>
      <c r="J2766" s="1" t="s">
        <v>26</v>
      </c>
      <c r="K2766" s="1" t="s">
        <v>5814</v>
      </c>
      <c r="L2766" s="1" t="s">
        <v>5807</v>
      </c>
      <c r="M2766" s="1" t="s">
        <v>5808</v>
      </c>
      <c r="N2766" s="1" t="s">
        <v>38</v>
      </c>
      <c r="O2766" s="1" t="s">
        <v>123</v>
      </c>
      <c r="Q2766" s="1" t="s">
        <v>201</v>
      </c>
      <c r="R2766" s="1" t="s">
        <v>113</v>
      </c>
      <c r="S2766" s="1"/>
      <c r="U2766" s="1" t="s">
        <v>130</v>
      </c>
      <c r="V2766" s="1" t="s">
        <v>99</v>
      </c>
      <c r="W2766" s="1" t="str">
        <f>VLOOKUP(Table1[[#This Row],[Obergruppe ATC-Code]],Tabelle3!$A$2:$B$100,2)</f>
        <v>PSYCHOANALEPTIKA</v>
      </c>
      <c r="X2766" s="1" t="str">
        <f xml:space="preserve"> LEFT(Table1[[#This Row],[Atc Code]],3)</f>
        <v>N06</v>
      </c>
    </row>
    <row r="2767" spans="1:24" ht="14.4">
      <c r="A2767" s="14">
        <v>1441</v>
      </c>
      <c r="B2767" s="24">
        <v>14266026</v>
      </c>
      <c r="C2767" s="1">
        <v>2197932</v>
      </c>
      <c r="D2767" s="1" t="s">
        <v>25</v>
      </c>
      <c r="E2767" s="36">
        <v>43739</v>
      </c>
      <c r="F2767" s="36">
        <v>43861</v>
      </c>
      <c r="G2767" s="38">
        <f t="shared" si="43"/>
        <v>122</v>
      </c>
      <c r="H2767" s="5">
        <v>43780</v>
      </c>
      <c r="I2767" s="5">
        <v>43847</v>
      </c>
      <c r="J2767" s="1" t="s">
        <v>26</v>
      </c>
      <c r="K2767" s="1" t="s">
        <v>5815</v>
      </c>
      <c r="L2767" s="1" t="s">
        <v>5816</v>
      </c>
      <c r="M2767" s="1" t="s">
        <v>5817</v>
      </c>
      <c r="N2767" s="1" t="s">
        <v>38</v>
      </c>
      <c r="O2767" s="1" t="s">
        <v>1440</v>
      </c>
      <c r="P2767" s="1" t="s">
        <v>1441</v>
      </c>
      <c r="Q2767" s="1" t="s">
        <v>1442</v>
      </c>
      <c r="R2767" s="1" t="s">
        <v>33</v>
      </c>
      <c r="S2767" s="1"/>
      <c r="U2767" s="1" t="s">
        <v>35</v>
      </c>
      <c r="V2767" s="1" t="s">
        <v>49</v>
      </c>
      <c r="W2767" s="1" t="str">
        <f>VLOOKUP(Table1[[#This Row],[Obergruppe ATC-Code]],Tabelle3!$A$2:$B$100,2)</f>
        <v>PSYCHOANALEPTIKA</v>
      </c>
      <c r="X2767" s="1" t="str">
        <f xml:space="preserve"> LEFT(Table1[[#This Row],[Atc Code]],3)</f>
        <v>N06</v>
      </c>
    </row>
    <row r="2768" spans="1:24" ht="14.4">
      <c r="A2768" s="14">
        <v>1440</v>
      </c>
      <c r="B2768" s="24">
        <v>14266026</v>
      </c>
      <c r="C2768" s="1">
        <v>2197932</v>
      </c>
      <c r="D2768" s="1" t="s">
        <v>25</v>
      </c>
      <c r="E2768" s="36">
        <v>43831</v>
      </c>
      <c r="F2768" s="36">
        <v>43890</v>
      </c>
      <c r="G2768" s="38">
        <f t="shared" si="43"/>
        <v>59</v>
      </c>
      <c r="H2768" s="5">
        <v>43866</v>
      </c>
      <c r="I2768" s="5">
        <v>43899</v>
      </c>
      <c r="J2768" s="1" t="s">
        <v>26</v>
      </c>
      <c r="K2768" s="1" t="s">
        <v>5815</v>
      </c>
      <c r="L2768" s="1" t="s">
        <v>5816</v>
      </c>
      <c r="M2768" s="1" t="s">
        <v>5817</v>
      </c>
      <c r="N2768" s="1" t="s">
        <v>38</v>
      </c>
      <c r="O2768" s="1" t="s">
        <v>1440</v>
      </c>
      <c r="P2768" s="1" t="s">
        <v>1441</v>
      </c>
      <c r="Q2768" s="1" t="s">
        <v>1442</v>
      </c>
      <c r="R2768" s="1" t="s">
        <v>33</v>
      </c>
      <c r="S2768" s="1"/>
      <c r="U2768" s="1" t="s">
        <v>35</v>
      </c>
      <c r="V2768" s="1" t="s">
        <v>49</v>
      </c>
      <c r="W2768" s="1" t="str">
        <f>VLOOKUP(Table1[[#This Row],[Obergruppe ATC-Code]],Tabelle3!$A$2:$B$100,2)</f>
        <v>PSYCHOANALEPTIKA</v>
      </c>
      <c r="X2768" s="1" t="str">
        <f xml:space="preserve"> LEFT(Table1[[#This Row],[Atc Code]],3)</f>
        <v>N06</v>
      </c>
    </row>
    <row r="2769" spans="1:24" ht="14.4">
      <c r="A2769" s="14">
        <v>1439</v>
      </c>
      <c r="B2769" s="24">
        <v>14266026</v>
      </c>
      <c r="C2769" s="1">
        <v>2197932</v>
      </c>
      <c r="D2769" s="1" t="s">
        <v>25</v>
      </c>
      <c r="E2769" s="36">
        <v>43891</v>
      </c>
      <c r="F2769" s="36">
        <v>44104</v>
      </c>
      <c r="G2769" s="38">
        <f t="shared" si="43"/>
        <v>213</v>
      </c>
      <c r="H2769" s="5">
        <v>43928</v>
      </c>
      <c r="I2769" s="5">
        <v>44102</v>
      </c>
      <c r="J2769" s="1" t="s">
        <v>26</v>
      </c>
      <c r="K2769" s="1" t="s">
        <v>5815</v>
      </c>
      <c r="L2769" s="1" t="s">
        <v>5816</v>
      </c>
      <c r="M2769" s="1" t="s">
        <v>5817</v>
      </c>
      <c r="N2769" s="1" t="s">
        <v>38</v>
      </c>
      <c r="O2769" s="1" t="s">
        <v>1440</v>
      </c>
      <c r="P2769" s="1" t="s">
        <v>1441</v>
      </c>
      <c r="Q2769" s="1" t="s">
        <v>1442</v>
      </c>
      <c r="R2769" s="1" t="s">
        <v>33</v>
      </c>
      <c r="S2769" s="1"/>
      <c r="U2769" s="1" t="s">
        <v>35</v>
      </c>
      <c r="V2769" s="1" t="s">
        <v>49</v>
      </c>
      <c r="W2769" s="1" t="str">
        <f>VLOOKUP(Table1[[#This Row],[Obergruppe ATC-Code]],Tabelle3!$A$2:$B$100,2)</f>
        <v>PSYCHOANALEPTIKA</v>
      </c>
      <c r="X2769" s="1" t="str">
        <f xml:space="preserve"> LEFT(Table1[[#This Row],[Atc Code]],3)</f>
        <v>N06</v>
      </c>
    </row>
    <row r="2770" spans="1:24" ht="14.4">
      <c r="A2770" s="14">
        <v>1438</v>
      </c>
      <c r="B2770" s="24">
        <v>14266026</v>
      </c>
      <c r="C2770" s="1">
        <v>2197932</v>
      </c>
      <c r="D2770" s="1" t="s">
        <v>25</v>
      </c>
      <c r="E2770" s="36">
        <v>44105</v>
      </c>
      <c r="F2770" s="36">
        <v>44255</v>
      </c>
      <c r="G2770" s="38">
        <f t="shared" si="43"/>
        <v>150</v>
      </c>
      <c r="H2770" s="5">
        <v>44106</v>
      </c>
      <c r="I2770" s="5">
        <v>44239</v>
      </c>
      <c r="J2770" s="1" t="s">
        <v>41</v>
      </c>
      <c r="K2770" s="1" t="s">
        <v>5815</v>
      </c>
      <c r="L2770" s="1" t="s">
        <v>5816</v>
      </c>
      <c r="M2770" s="1" t="s">
        <v>5817</v>
      </c>
      <c r="N2770" s="1" t="s">
        <v>38</v>
      </c>
      <c r="O2770" s="1" t="s">
        <v>1440</v>
      </c>
      <c r="P2770" s="1" t="s">
        <v>1441</v>
      </c>
      <c r="Q2770" s="1" t="s">
        <v>1916</v>
      </c>
      <c r="R2770" s="1" t="s">
        <v>48</v>
      </c>
      <c r="S2770" s="1"/>
      <c r="U2770" s="1" t="s">
        <v>35</v>
      </c>
      <c r="V2770" s="1" t="s">
        <v>49</v>
      </c>
      <c r="W2770" s="1" t="str">
        <f>VLOOKUP(Table1[[#This Row],[Obergruppe ATC-Code]],Tabelle3!$A$2:$B$100,2)</f>
        <v>PSYCHOANALEPTIKA</v>
      </c>
      <c r="X2770" s="1" t="str">
        <f xml:space="preserve"> LEFT(Table1[[#This Row],[Atc Code]],3)</f>
        <v>N06</v>
      </c>
    </row>
    <row r="2771" spans="1:24" ht="14.4">
      <c r="A2771" s="14">
        <v>1442</v>
      </c>
      <c r="B2771" s="24">
        <v>14266026</v>
      </c>
      <c r="C2771" s="1">
        <v>2197932</v>
      </c>
      <c r="D2771" s="1" t="s">
        <v>175</v>
      </c>
      <c r="E2771" s="36">
        <v>45159</v>
      </c>
      <c r="F2771" s="36">
        <v>45219</v>
      </c>
      <c r="G2771" s="38">
        <f t="shared" si="43"/>
        <v>60</v>
      </c>
      <c r="H2771" s="5">
        <v>45180</v>
      </c>
      <c r="I2771" s="5">
        <v>45180</v>
      </c>
      <c r="J2771" s="1" t="s">
        <v>41</v>
      </c>
      <c r="K2771" s="1" t="s">
        <v>5815</v>
      </c>
      <c r="L2771" s="1" t="s">
        <v>5816</v>
      </c>
      <c r="M2771" s="1" t="s">
        <v>5817</v>
      </c>
      <c r="N2771" s="1" t="s">
        <v>38</v>
      </c>
      <c r="O2771" s="1" t="s">
        <v>1440</v>
      </c>
      <c r="Q2771" s="1" t="s">
        <v>1541</v>
      </c>
      <c r="R2771" s="1" t="s">
        <v>128</v>
      </c>
      <c r="S2771" s="1"/>
      <c r="U2771" s="1" t="s">
        <v>35</v>
      </c>
      <c r="V2771" s="1" t="s">
        <v>49</v>
      </c>
      <c r="W2771" s="1" t="str">
        <f>VLOOKUP(Table1[[#This Row],[Obergruppe ATC-Code]],Tabelle3!$A$2:$B$100,2)</f>
        <v>PSYCHOANALEPTIKA</v>
      </c>
      <c r="X2771" s="1" t="str">
        <f xml:space="preserve"> LEFT(Table1[[#This Row],[Atc Code]],3)</f>
        <v>N06</v>
      </c>
    </row>
    <row r="2772" spans="1:24" ht="14.4">
      <c r="A2772" s="14">
        <v>2121</v>
      </c>
      <c r="B2772" s="24" t="s">
        <v>5818</v>
      </c>
      <c r="C2772" s="1">
        <v>2160056</v>
      </c>
      <c r="D2772" s="1" t="s">
        <v>175</v>
      </c>
      <c r="E2772" s="36">
        <v>45174</v>
      </c>
      <c r="F2772" s="36">
        <v>45230</v>
      </c>
      <c r="G2772" s="38">
        <f t="shared" si="43"/>
        <v>56</v>
      </c>
      <c r="H2772" s="5">
        <v>45175</v>
      </c>
      <c r="I2772" s="5">
        <v>45175</v>
      </c>
      <c r="J2772" s="1" t="s">
        <v>26</v>
      </c>
      <c r="K2772" s="1" t="s">
        <v>5819</v>
      </c>
      <c r="L2772" s="1" t="s">
        <v>5820</v>
      </c>
      <c r="M2772" s="1" t="s">
        <v>5821</v>
      </c>
      <c r="N2772" s="1" t="s">
        <v>38</v>
      </c>
      <c r="O2772" s="1" t="s">
        <v>3619</v>
      </c>
      <c r="P2772" s="1">
        <v>69478730</v>
      </c>
      <c r="Q2772" s="1" t="s">
        <v>3620</v>
      </c>
      <c r="R2772" s="1" t="s">
        <v>113</v>
      </c>
      <c r="S2772" s="1" t="s">
        <v>5822</v>
      </c>
      <c r="U2772" s="1" t="s">
        <v>130</v>
      </c>
      <c r="V2772" s="1" t="s">
        <v>99</v>
      </c>
      <c r="W2772" s="1" t="str">
        <f>VLOOKUP(Table1[[#This Row],[Obergruppe ATC-Code]],Tabelle3!$A$2:$B$100,2)</f>
        <v>PSYCHOANALEPTIKA</v>
      </c>
      <c r="X2772" s="1" t="str">
        <f xml:space="preserve"> LEFT(Table1[[#This Row],[Atc Code]],3)</f>
        <v>N06</v>
      </c>
    </row>
    <row r="2773" spans="1:24" ht="14.4">
      <c r="A2773" s="14">
        <v>2120</v>
      </c>
      <c r="B2773" s="24" t="s">
        <v>5823</v>
      </c>
      <c r="C2773" s="1">
        <v>2160055</v>
      </c>
      <c r="D2773" s="1" t="s">
        <v>175</v>
      </c>
      <c r="E2773" s="36">
        <v>45216</v>
      </c>
      <c r="F2773" s="36">
        <v>45278</v>
      </c>
      <c r="G2773" s="38">
        <f t="shared" si="43"/>
        <v>62</v>
      </c>
      <c r="H2773" s="5">
        <v>45216</v>
      </c>
      <c r="I2773" s="5">
        <v>45216</v>
      </c>
      <c r="J2773" s="1" t="s">
        <v>26</v>
      </c>
      <c r="K2773" s="1" t="s">
        <v>5824</v>
      </c>
      <c r="L2773" s="1" t="s">
        <v>5820</v>
      </c>
      <c r="M2773" s="1" t="s">
        <v>5821</v>
      </c>
      <c r="N2773" s="1" t="s">
        <v>38</v>
      </c>
      <c r="O2773" s="1" t="s">
        <v>3619</v>
      </c>
      <c r="P2773" s="1">
        <v>69478730</v>
      </c>
      <c r="Q2773" s="1" t="s">
        <v>3620</v>
      </c>
      <c r="R2773" s="1" t="s">
        <v>113</v>
      </c>
      <c r="S2773" s="1" t="s">
        <v>5825</v>
      </c>
      <c r="U2773" s="1" t="s">
        <v>130</v>
      </c>
      <c r="V2773" s="1" t="s">
        <v>99</v>
      </c>
      <c r="W2773" s="1" t="str">
        <f>VLOOKUP(Table1[[#This Row],[Obergruppe ATC-Code]],Tabelle3!$A$2:$B$100,2)</f>
        <v>PSYCHOANALEPTIKA</v>
      </c>
      <c r="X2773" s="1" t="str">
        <f xml:space="preserve"> LEFT(Table1[[#This Row],[Atc Code]],3)</f>
        <v>N06</v>
      </c>
    </row>
    <row r="2774" spans="1:24" ht="14.4">
      <c r="A2774" s="14">
        <v>2309</v>
      </c>
      <c r="B2774" s="24" t="s">
        <v>5826</v>
      </c>
      <c r="C2774" s="1">
        <v>2162236</v>
      </c>
      <c r="D2774" s="1" t="s">
        <v>25</v>
      </c>
      <c r="E2774" s="36">
        <v>43709</v>
      </c>
      <c r="F2774" s="36">
        <v>43769</v>
      </c>
      <c r="G2774" s="38">
        <f t="shared" si="43"/>
        <v>60</v>
      </c>
      <c r="H2774" s="5">
        <v>43734</v>
      </c>
      <c r="I2774" s="5">
        <v>43755</v>
      </c>
      <c r="J2774" s="1" t="s">
        <v>26</v>
      </c>
      <c r="K2774" s="1" t="s">
        <v>5827</v>
      </c>
      <c r="L2774" s="1" t="s">
        <v>5828</v>
      </c>
      <c r="M2774" s="1" t="s">
        <v>5829</v>
      </c>
      <c r="N2774" s="1" t="s">
        <v>30</v>
      </c>
      <c r="O2774" s="1" t="s">
        <v>1687</v>
      </c>
      <c r="P2774" s="1" t="s">
        <v>1688</v>
      </c>
      <c r="Q2774" s="1" t="s">
        <v>1689</v>
      </c>
      <c r="R2774" s="1" t="s">
        <v>33</v>
      </c>
      <c r="S2774" s="1"/>
      <c r="U2774" s="1" t="s">
        <v>35</v>
      </c>
      <c r="V2774" s="1" t="s">
        <v>199</v>
      </c>
      <c r="W2774" s="1" t="str">
        <f>VLOOKUP(Table1[[#This Row],[Obergruppe ATC-Code]],Tabelle3!$A$2:$B$100,2)</f>
        <v>PSYCHOANALEPTIKA</v>
      </c>
      <c r="X2774" s="1" t="str">
        <f xml:space="preserve"> LEFT(Table1[[#This Row],[Atc Code]],3)</f>
        <v>N06</v>
      </c>
    </row>
    <row r="2775" spans="1:24" ht="14.4">
      <c r="A2775" s="14">
        <v>2306</v>
      </c>
      <c r="B2775" s="24" t="s">
        <v>5830</v>
      </c>
      <c r="C2775" s="1">
        <v>2162235</v>
      </c>
      <c r="D2775" s="1" t="s">
        <v>25</v>
      </c>
      <c r="E2775" s="36">
        <v>43709</v>
      </c>
      <c r="F2775" s="36">
        <v>43799</v>
      </c>
      <c r="G2775" s="38">
        <f t="shared" si="43"/>
        <v>90</v>
      </c>
      <c r="H2775" s="5">
        <v>43735</v>
      </c>
      <c r="I2775" s="5">
        <v>43775</v>
      </c>
      <c r="J2775" s="1" t="s">
        <v>26</v>
      </c>
      <c r="K2775" s="1" t="s">
        <v>5831</v>
      </c>
      <c r="L2775" s="1" t="s">
        <v>5828</v>
      </c>
      <c r="M2775" s="1" t="s">
        <v>5829</v>
      </c>
      <c r="N2775" s="1" t="s">
        <v>30</v>
      </c>
      <c r="O2775" s="1" t="s">
        <v>1687</v>
      </c>
      <c r="P2775" s="1" t="s">
        <v>1688</v>
      </c>
      <c r="Q2775" s="1" t="s">
        <v>1689</v>
      </c>
      <c r="R2775" s="1" t="s">
        <v>33</v>
      </c>
      <c r="S2775" s="1"/>
      <c r="U2775" s="1" t="s">
        <v>35</v>
      </c>
      <c r="V2775" s="1" t="s">
        <v>199</v>
      </c>
      <c r="W2775" s="1" t="str">
        <f>VLOOKUP(Table1[[#This Row],[Obergruppe ATC-Code]],Tabelle3!$A$2:$B$100,2)</f>
        <v>PSYCHOANALEPTIKA</v>
      </c>
      <c r="X2775" s="1" t="str">
        <f xml:space="preserve"> LEFT(Table1[[#This Row],[Atc Code]],3)</f>
        <v>N06</v>
      </c>
    </row>
    <row r="2776" spans="1:24" ht="14.4">
      <c r="A2776" s="14">
        <v>2308</v>
      </c>
      <c r="B2776" s="24" t="s">
        <v>5826</v>
      </c>
      <c r="C2776" s="1">
        <v>2162236</v>
      </c>
      <c r="D2776" s="1" t="s">
        <v>25</v>
      </c>
      <c r="E2776" s="36">
        <v>43800</v>
      </c>
      <c r="F2776" s="36">
        <v>43890</v>
      </c>
      <c r="G2776" s="38">
        <f t="shared" si="43"/>
        <v>90</v>
      </c>
      <c r="H2776" s="5">
        <v>43815</v>
      </c>
      <c r="I2776" s="5">
        <v>43880</v>
      </c>
      <c r="J2776" s="1" t="s">
        <v>26</v>
      </c>
      <c r="K2776" s="1" t="s">
        <v>5827</v>
      </c>
      <c r="L2776" s="1" t="s">
        <v>5828</v>
      </c>
      <c r="M2776" s="1" t="s">
        <v>5829</v>
      </c>
      <c r="N2776" s="1" t="s">
        <v>30</v>
      </c>
      <c r="O2776" s="1" t="s">
        <v>1687</v>
      </c>
      <c r="P2776" s="1" t="s">
        <v>1708</v>
      </c>
      <c r="Q2776" s="1" t="s">
        <v>1689</v>
      </c>
      <c r="R2776" s="1" t="s">
        <v>33</v>
      </c>
      <c r="S2776" s="1"/>
      <c r="U2776" s="1" t="s">
        <v>35</v>
      </c>
      <c r="V2776" s="1" t="s">
        <v>199</v>
      </c>
      <c r="W2776" s="1" t="str">
        <f>VLOOKUP(Table1[[#This Row],[Obergruppe ATC-Code]],Tabelle3!$A$2:$B$100,2)</f>
        <v>PSYCHOANALEPTIKA</v>
      </c>
      <c r="X2776" s="1" t="str">
        <f xml:space="preserve"> LEFT(Table1[[#This Row],[Atc Code]],3)</f>
        <v>N06</v>
      </c>
    </row>
    <row r="2777" spans="1:24" ht="14.4">
      <c r="A2777" s="14">
        <v>2304</v>
      </c>
      <c r="B2777" s="24" t="s">
        <v>5832</v>
      </c>
      <c r="C2777" s="1">
        <v>2162234</v>
      </c>
      <c r="D2777" s="1" t="s">
        <v>25</v>
      </c>
      <c r="E2777" s="36">
        <v>43709</v>
      </c>
      <c r="F2777" s="36">
        <v>43921</v>
      </c>
      <c r="G2777" s="38">
        <f t="shared" si="43"/>
        <v>212</v>
      </c>
      <c r="H2777" s="5">
        <v>43734</v>
      </c>
      <c r="I2777" s="5">
        <v>43893</v>
      </c>
      <c r="J2777" s="1" t="s">
        <v>26</v>
      </c>
      <c r="K2777" s="1" t="s">
        <v>5833</v>
      </c>
      <c r="L2777" s="1" t="s">
        <v>5828</v>
      </c>
      <c r="M2777" s="1" t="s">
        <v>5829</v>
      </c>
      <c r="N2777" s="1" t="s">
        <v>30</v>
      </c>
      <c r="O2777" s="1" t="s">
        <v>1687</v>
      </c>
      <c r="P2777" s="1" t="s">
        <v>1688</v>
      </c>
      <c r="Q2777" s="1" t="s">
        <v>1689</v>
      </c>
      <c r="R2777" s="1" t="s">
        <v>33</v>
      </c>
      <c r="S2777" s="1"/>
      <c r="U2777" s="1" t="s">
        <v>35</v>
      </c>
      <c r="V2777" s="1" t="s">
        <v>199</v>
      </c>
      <c r="W2777" s="1" t="str">
        <f>VLOOKUP(Table1[[#This Row],[Obergruppe ATC-Code]],Tabelle3!$A$2:$B$100,2)</f>
        <v>PSYCHOANALEPTIKA</v>
      </c>
      <c r="X2777" s="1" t="str">
        <f xml:space="preserve"> LEFT(Table1[[#This Row],[Atc Code]],3)</f>
        <v>N06</v>
      </c>
    </row>
    <row r="2778" spans="1:24" ht="14.4">
      <c r="A2778" s="14">
        <v>1683</v>
      </c>
      <c r="B2778" s="24" t="s">
        <v>5834</v>
      </c>
      <c r="C2778" s="1">
        <v>2162233</v>
      </c>
      <c r="D2778" s="1" t="s">
        <v>25</v>
      </c>
      <c r="E2778" s="36">
        <v>43800</v>
      </c>
      <c r="F2778" s="36">
        <v>43951</v>
      </c>
      <c r="G2778" s="38">
        <f t="shared" si="43"/>
        <v>151</v>
      </c>
      <c r="H2778" s="5">
        <v>43812</v>
      </c>
      <c r="I2778" s="5">
        <v>43959</v>
      </c>
      <c r="J2778" s="1" t="s">
        <v>26</v>
      </c>
      <c r="K2778" s="1" t="s">
        <v>5835</v>
      </c>
      <c r="L2778" s="1" t="s">
        <v>5828</v>
      </c>
      <c r="M2778" s="1" t="s">
        <v>5829</v>
      </c>
      <c r="N2778" s="1" t="s">
        <v>30</v>
      </c>
      <c r="O2778" s="1" t="s">
        <v>91</v>
      </c>
      <c r="P2778" s="1" t="s">
        <v>92</v>
      </c>
      <c r="Q2778" s="1" t="s">
        <v>93</v>
      </c>
      <c r="R2778" s="1" t="s">
        <v>33</v>
      </c>
      <c r="S2778" s="1"/>
      <c r="U2778" s="1" t="s">
        <v>57</v>
      </c>
      <c r="V2778" s="1" t="s">
        <v>199</v>
      </c>
      <c r="W2778" s="1" t="str">
        <f>VLOOKUP(Table1[[#This Row],[Obergruppe ATC-Code]],Tabelle3!$A$2:$B$100,2)</f>
        <v>PSYCHOANALEPTIKA</v>
      </c>
      <c r="X2778" s="1" t="str">
        <f xml:space="preserve"> LEFT(Table1[[#This Row],[Atc Code]],3)</f>
        <v>N06</v>
      </c>
    </row>
    <row r="2779" spans="1:24" ht="14.4">
      <c r="A2779" s="14">
        <v>1795</v>
      </c>
      <c r="B2779" s="24" t="s">
        <v>5836</v>
      </c>
      <c r="C2779" s="1">
        <v>2170416</v>
      </c>
      <c r="D2779" s="1" t="s">
        <v>25</v>
      </c>
      <c r="E2779" s="36">
        <v>43800</v>
      </c>
      <c r="F2779" s="36">
        <v>43982</v>
      </c>
      <c r="G2779" s="38">
        <f t="shared" si="43"/>
        <v>182</v>
      </c>
      <c r="H2779" s="5">
        <v>43812</v>
      </c>
      <c r="I2779" s="5">
        <v>43964</v>
      </c>
      <c r="J2779" s="1" t="s">
        <v>26</v>
      </c>
      <c r="K2779" s="1" t="s">
        <v>5837</v>
      </c>
      <c r="L2779" s="1" t="s">
        <v>5828</v>
      </c>
      <c r="M2779" s="1" t="s">
        <v>5829</v>
      </c>
      <c r="N2779" s="1" t="s">
        <v>30</v>
      </c>
      <c r="O2779" s="1" t="s">
        <v>52</v>
      </c>
      <c r="P2779" s="1" t="s">
        <v>53</v>
      </c>
      <c r="Q2779" s="1" t="s">
        <v>54</v>
      </c>
      <c r="R2779" s="1" t="s">
        <v>33</v>
      </c>
      <c r="S2779" s="1"/>
      <c r="U2779" s="1" t="s">
        <v>35</v>
      </c>
      <c r="V2779" s="1" t="s">
        <v>49</v>
      </c>
      <c r="W2779" s="1" t="str">
        <f>VLOOKUP(Table1[[#This Row],[Obergruppe ATC-Code]],Tabelle3!$A$2:$B$100,2)</f>
        <v>PSYCHOANALEPTIKA</v>
      </c>
      <c r="X2779" s="1" t="str">
        <f xml:space="preserve"> LEFT(Table1[[#This Row],[Atc Code]],3)</f>
        <v>N06</v>
      </c>
    </row>
    <row r="2780" spans="1:24" ht="14.4">
      <c r="A2780" s="14">
        <v>2307</v>
      </c>
      <c r="B2780" s="24" t="s">
        <v>5826</v>
      </c>
      <c r="C2780" s="1">
        <v>2162236</v>
      </c>
      <c r="D2780" s="1" t="s">
        <v>25</v>
      </c>
      <c r="E2780" s="36">
        <v>43862</v>
      </c>
      <c r="F2780" s="36">
        <v>44043</v>
      </c>
      <c r="G2780" s="38">
        <f t="shared" si="43"/>
        <v>181</v>
      </c>
      <c r="H2780" s="5">
        <v>43889</v>
      </c>
      <c r="I2780" s="5">
        <v>44027</v>
      </c>
      <c r="J2780" s="1" t="s">
        <v>26</v>
      </c>
      <c r="K2780" s="1" t="s">
        <v>5827</v>
      </c>
      <c r="L2780" s="1" t="s">
        <v>5828</v>
      </c>
      <c r="M2780" s="1" t="s">
        <v>5829</v>
      </c>
      <c r="N2780" s="1" t="s">
        <v>30</v>
      </c>
      <c r="O2780" s="1" t="s">
        <v>1687</v>
      </c>
      <c r="P2780" s="1" t="s">
        <v>1708</v>
      </c>
      <c r="Q2780" s="1" t="s">
        <v>1689</v>
      </c>
      <c r="R2780" s="1" t="s">
        <v>33</v>
      </c>
      <c r="S2780" s="1"/>
      <c r="U2780" s="1" t="s">
        <v>35</v>
      </c>
      <c r="V2780" s="1" t="s">
        <v>199</v>
      </c>
      <c r="W2780" s="1" t="str">
        <f>VLOOKUP(Table1[[#This Row],[Obergruppe ATC-Code]],Tabelle3!$A$2:$B$100,2)</f>
        <v>PSYCHOANALEPTIKA</v>
      </c>
      <c r="X2780" s="1" t="str">
        <f xml:space="preserve"> LEFT(Table1[[#This Row],[Atc Code]],3)</f>
        <v>N06</v>
      </c>
    </row>
    <row r="2781" spans="1:24" ht="14.4">
      <c r="A2781" s="14">
        <v>2305</v>
      </c>
      <c r="B2781" s="24" t="s">
        <v>5830</v>
      </c>
      <c r="C2781" s="1">
        <v>2162235</v>
      </c>
      <c r="D2781" s="1" t="s">
        <v>25</v>
      </c>
      <c r="E2781" s="36">
        <v>43831</v>
      </c>
      <c r="F2781" s="36">
        <v>44043</v>
      </c>
      <c r="G2781" s="38">
        <f t="shared" si="43"/>
        <v>212</v>
      </c>
      <c r="H2781" s="5">
        <v>43860</v>
      </c>
      <c r="I2781" s="5">
        <v>44028</v>
      </c>
      <c r="J2781" s="1" t="s">
        <v>26</v>
      </c>
      <c r="K2781" s="1" t="s">
        <v>5831</v>
      </c>
      <c r="L2781" s="1" t="s">
        <v>5828</v>
      </c>
      <c r="M2781" s="1" t="s">
        <v>5829</v>
      </c>
      <c r="N2781" s="1" t="s">
        <v>30</v>
      </c>
      <c r="O2781" s="1" t="s">
        <v>1687</v>
      </c>
      <c r="P2781" s="1" t="s">
        <v>1708</v>
      </c>
      <c r="Q2781" s="1" t="s">
        <v>1689</v>
      </c>
      <c r="R2781" s="1" t="s">
        <v>33</v>
      </c>
      <c r="S2781" s="1"/>
      <c r="U2781" s="1" t="s">
        <v>35</v>
      </c>
      <c r="V2781" s="1" t="s">
        <v>199</v>
      </c>
      <c r="W2781" s="1" t="str">
        <f>VLOOKUP(Table1[[#This Row],[Obergruppe ATC-Code]],Tabelle3!$A$2:$B$100,2)</f>
        <v>PSYCHOANALEPTIKA</v>
      </c>
      <c r="X2781" s="1" t="str">
        <f xml:space="preserve"> LEFT(Table1[[#This Row],[Atc Code]],3)</f>
        <v>N06</v>
      </c>
    </row>
    <row r="2782" spans="1:24" ht="14.4">
      <c r="A2782" s="14">
        <v>2311</v>
      </c>
      <c r="B2782" s="24" t="s">
        <v>5838</v>
      </c>
      <c r="C2782" s="1">
        <v>2172996</v>
      </c>
      <c r="D2782" s="1" t="s">
        <v>25</v>
      </c>
      <c r="E2782" s="36">
        <v>43739</v>
      </c>
      <c r="F2782" s="36">
        <v>44012</v>
      </c>
      <c r="G2782" s="38">
        <f t="shared" si="43"/>
        <v>273</v>
      </c>
      <c r="H2782" s="5">
        <v>43761</v>
      </c>
      <c r="I2782" s="5">
        <v>44034</v>
      </c>
      <c r="J2782" s="1" t="s">
        <v>26</v>
      </c>
      <c r="K2782" s="1" t="s">
        <v>5839</v>
      </c>
      <c r="L2782" s="1" t="s">
        <v>5828</v>
      </c>
      <c r="M2782" s="1" t="s">
        <v>5829</v>
      </c>
      <c r="N2782" s="1" t="s">
        <v>30</v>
      </c>
      <c r="O2782" s="1" t="s">
        <v>52</v>
      </c>
      <c r="P2782" s="1" t="s">
        <v>53</v>
      </c>
      <c r="Q2782" s="1" t="s">
        <v>54</v>
      </c>
      <c r="R2782" s="1" t="s">
        <v>33</v>
      </c>
      <c r="S2782" s="1"/>
      <c r="U2782" s="1" t="s">
        <v>35</v>
      </c>
      <c r="V2782" s="1" t="s">
        <v>199</v>
      </c>
      <c r="W2782" s="1" t="str">
        <f>VLOOKUP(Table1[[#This Row],[Obergruppe ATC-Code]],Tabelle3!$A$2:$B$100,2)</f>
        <v>PSYCHOANALEPTIKA</v>
      </c>
      <c r="X2782" s="1" t="str">
        <f xml:space="preserve"> LEFT(Table1[[#This Row],[Atc Code]],3)</f>
        <v>N06</v>
      </c>
    </row>
    <row r="2783" spans="1:24" ht="14.4">
      <c r="A2783" s="14">
        <v>1684</v>
      </c>
      <c r="B2783" s="24" t="s">
        <v>5840</v>
      </c>
      <c r="C2783" s="1">
        <v>2162232</v>
      </c>
      <c r="D2783" s="1" t="s">
        <v>25</v>
      </c>
      <c r="E2783" s="36">
        <v>43739</v>
      </c>
      <c r="F2783" s="36">
        <v>44012</v>
      </c>
      <c r="G2783" s="38">
        <f t="shared" si="43"/>
        <v>273</v>
      </c>
      <c r="H2783" s="5">
        <v>43761</v>
      </c>
      <c r="I2783" s="5">
        <v>44034</v>
      </c>
      <c r="J2783" s="1" t="s">
        <v>26</v>
      </c>
      <c r="K2783" s="1" t="s">
        <v>5841</v>
      </c>
      <c r="L2783" s="1" t="s">
        <v>5828</v>
      </c>
      <c r="M2783" s="1" t="s">
        <v>5829</v>
      </c>
      <c r="N2783" s="1" t="s">
        <v>30</v>
      </c>
      <c r="O2783" s="1" t="s">
        <v>91</v>
      </c>
      <c r="P2783" s="1" t="s">
        <v>92</v>
      </c>
      <c r="Q2783" s="1" t="s">
        <v>93</v>
      </c>
      <c r="R2783" s="1" t="s">
        <v>33</v>
      </c>
      <c r="S2783" s="1"/>
      <c r="U2783" s="1" t="s">
        <v>35</v>
      </c>
      <c r="V2783" s="1" t="s">
        <v>199</v>
      </c>
      <c r="W2783" s="1" t="str">
        <f>VLOOKUP(Table1[[#This Row],[Obergruppe ATC-Code]],Tabelle3!$A$2:$B$100,2)</f>
        <v>PSYCHOANALEPTIKA</v>
      </c>
      <c r="X2783" s="1" t="str">
        <f xml:space="preserve"> LEFT(Table1[[#This Row],[Atc Code]],3)</f>
        <v>N06</v>
      </c>
    </row>
    <row r="2784" spans="1:24" ht="14.4">
      <c r="A2784" s="14">
        <v>2312</v>
      </c>
      <c r="B2784" s="24" t="s">
        <v>5842</v>
      </c>
      <c r="C2784" s="1">
        <v>2172997</v>
      </c>
      <c r="D2784" s="1" t="s">
        <v>25</v>
      </c>
      <c r="E2784" s="36">
        <v>43739</v>
      </c>
      <c r="F2784" s="36">
        <v>44104</v>
      </c>
      <c r="G2784" s="38">
        <f t="shared" si="43"/>
        <v>365</v>
      </c>
      <c r="H2784" s="5">
        <v>43761</v>
      </c>
      <c r="I2784" s="5">
        <v>44104</v>
      </c>
      <c r="J2784" s="1" t="s">
        <v>26</v>
      </c>
      <c r="K2784" s="1" t="s">
        <v>5843</v>
      </c>
      <c r="L2784" s="1" t="s">
        <v>5828</v>
      </c>
      <c r="M2784" s="1" t="s">
        <v>5829</v>
      </c>
      <c r="N2784" s="1" t="s">
        <v>30</v>
      </c>
      <c r="O2784" s="1" t="s">
        <v>52</v>
      </c>
      <c r="P2784" s="1" t="s">
        <v>53</v>
      </c>
      <c r="Q2784" s="1" t="s">
        <v>54</v>
      </c>
      <c r="R2784" s="1" t="s">
        <v>33</v>
      </c>
      <c r="S2784" s="1"/>
      <c r="U2784" s="1" t="s">
        <v>35</v>
      </c>
      <c r="V2784" s="1" t="s">
        <v>199</v>
      </c>
      <c r="W2784" s="1" t="str">
        <f>VLOOKUP(Table1[[#This Row],[Obergruppe ATC-Code]],Tabelle3!$A$2:$B$100,2)</f>
        <v>PSYCHOANALEPTIKA</v>
      </c>
      <c r="X2784" s="1" t="str">
        <f xml:space="preserve"> LEFT(Table1[[#This Row],[Atc Code]],3)</f>
        <v>N06</v>
      </c>
    </row>
    <row r="2785" spans="1:24" ht="14.4">
      <c r="A2785" s="14">
        <v>2216</v>
      </c>
      <c r="B2785" s="24" t="s">
        <v>5844</v>
      </c>
      <c r="C2785" s="1">
        <v>2170418</v>
      </c>
      <c r="D2785" s="1" t="s">
        <v>25</v>
      </c>
      <c r="E2785" s="36">
        <v>43800</v>
      </c>
      <c r="F2785" s="36">
        <v>44104</v>
      </c>
      <c r="G2785" s="38">
        <f t="shared" si="43"/>
        <v>304</v>
      </c>
      <c r="H2785" s="5">
        <v>43812</v>
      </c>
      <c r="I2785" s="5">
        <v>44104</v>
      </c>
      <c r="J2785" s="1" t="s">
        <v>26</v>
      </c>
      <c r="K2785" s="1" t="s">
        <v>5845</v>
      </c>
      <c r="L2785" s="1" t="s">
        <v>5828</v>
      </c>
      <c r="M2785" s="1" t="s">
        <v>5829</v>
      </c>
      <c r="N2785" s="1" t="s">
        <v>30</v>
      </c>
      <c r="O2785" s="1" t="s">
        <v>52</v>
      </c>
      <c r="P2785" s="1" t="s">
        <v>53</v>
      </c>
      <c r="Q2785" s="1" t="s">
        <v>54</v>
      </c>
      <c r="R2785" s="1" t="s">
        <v>33</v>
      </c>
      <c r="S2785" s="1"/>
      <c r="U2785" s="1" t="s">
        <v>35</v>
      </c>
      <c r="V2785" s="1" t="s">
        <v>49</v>
      </c>
      <c r="W2785" s="1" t="str">
        <f>VLOOKUP(Table1[[#This Row],[Obergruppe ATC-Code]],Tabelle3!$A$2:$B$100,2)</f>
        <v>PSYCHOANALEPTIKA</v>
      </c>
      <c r="X2785" s="1" t="str">
        <f xml:space="preserve"> LEFT(Table1[[#This Row],[Atc Code]],3)</f>
        <v>N06</v>
      </c>
    </row>
    <row r="2786" spans="1:24" ht="14.4">
      <c r="A2786" s="14">
        <v>1794</v>
      </c>
      <c r="B2786" s="24" t="s">
        <v>5836</v>
      </c>
      <c r="C2786" s="1">
        <v>2170416</v>
      </c>
      <c r="D2786" s="1" t="s">
        <v>25</v>
      </c>
      <c r="E2786" s="36">
        <v>44013</v>
      </c>
      <c r="F2786" s="36">
        <v>44104</v>
      </c>
      <c r="G2786" s="38">
        <f t="shared" si="43"/>
        <v>91</v>
      </c>
      <c r="H2786" s="5">
        <v>44034</v>
      </c>
      <c r="I2786" s="5">
        <v>44104</v>
      </c>
      <c r="J2786" s="1" t="s">
        <v>26</v>
      </c>
      <c r="K2786" s="1" t="s">
        <v>5837</v>
      </c>
      <c r="L2786" s="1" t="s">
        <v>5828</v>
      </c>
      <c r="M2786" s="1" t="s">
        <v>5829</v>
      </c>
      <c r="N2786" s="1" t="s">
        <v>30</v>
      </c>
      <c r="O2786" s="1" t="s">
        <v>52</v>
      </c>
      <c r="P2786" s="1" t="s">
        <v>53</v>
      </c>
      <c r="Q2786" s="1" t="s">
        <v>54</v>
      </c>
      <c r="R2786" s="1" t="s">
        <v>33</v>
      </c>
      <c r="S2786" s="1"/>
      <c r="U2786" s="1" t="s">
        <v>35</v>
      </c>
      <c r="V2786" s="1" t="s">
        <v>49</v>
      </c>
      <c r="W2786" s="1" t="str">
        <f>VLOOKUP(Table1[[#This Row],[Obergruppe ATC-Code]],Tabelle3!$A$2:$B$100,2)</f>
        <v>PSYCHOANALEPTIKA</v>
      </c>
      <c r="X2786" s="1" t="str">
        <f xml:space="preserve"> LEFT(Table1[[#This Row],[Atc Code]],3)</f>
        <v>N06</v>
      </c>
    </row>
    <row r="2787" spans="1:24" ht="14.4">
      <c r="A2787" s="14">
        <v>1687</v>
      </c>
      <c r="B2787" s="25" t="s">
        <v>5846</v>
      </c>
      <c r="C2787" s="1">
        <v>2170315</v>
      </c>
      <c r="D2787" s="1" t="s">
        <v>25</v>
      </c>
      <c r="E2787" s="36">
        <v>43800</v>
      </c>
      <c r="F2787" s="36">
        <v>44104</v>
      </c>
      <c r="G2787" s="38">
        <f t="shared" si="43"/>
        <v>304</v>
      </c>
      <c r="H2787" s="5">
        <v>43812</v>
      </c>
      <c r="I2787" s="5">
        <v>44104</v>
      </c>
      <c r="J2787" s="1" t="s">
        <v>26</v>
      </c>
      <c r="K2787" s="1" t="s">
        <v>5847</v>
      </c>
      <c r="L2787" s="1" t="s">
        <v>5828</v>
      </c>
      <c r="M2787" s="1" t="s">
        <v>5829</v>
      </c>
      <c r="N2787" s="1" t="s">
        <v>30</v>
      </c>
      <c r="O2787" s="1" t="s">
        <v>91</v>
      </c>
      <c r="P2787" s="1" t="s">
        <v>92</v>
      </c>
      <c r="Q2787" s="1" t="s">
        <v>93</v>
      </c>
      <c r="R2787" s="1" t="s">
        <v>33</v>
      </c>
      <c r="S2787" s="1"/>
      <c r="U2787" s="1" t="s">
        <v>35</v>
      </c>
      <c r="V2787" s="1" t="s">
        <v>49</v>
      </c>
      <c r="W2787" s="1" t="str">
        <f>VLOOKUP(Table1[[#This Row],[Obergruppe ATC-Code]],Tabelle3!$A$2:$B$100,2)</f>
        <v>PSYCHOANALEPTIKA</v>
      </c>
      <c r="X2787" s="1" t="str">
        <f xml:space="preserve"> LEFT(Table1[[#This Row],[Atc Code]],3)</f>
        <v>N06</v>
      </c>
    </row>
    <row r="2788" spans="1:24" ht="14.4">
      <c r="A2788" s="14">
        <v>1685</v>
      </c>
      <c r="B2788" s="24" t="s">
        <v>5848</v>
      </c>
      <c r="C2788" s="1">
        <v>2162231</v>
      </c>
      <c r="D2788" s="1" t="s">
        <v>25</v>
      </c>
      <c r="E2788" s="36">
        <v>43739</v>
      </c>
      <c r="F2788" s="36">
        <v>44104</v>
      </c>
      <c r="G2788" s="38">
        <f t="shared" si="43"/>
        <v>365</v>
      </c>
      <c r="H2788" s="5">
        <v>43761</v>
      </c>
      <c r="I2788" s="5">
        <v>44104</v>
      </c>
      <c r="J2788" s="1" t="s">
        <v>26</v>
      </c>
      <c r="K2788" s="1" t="s">
        <v>5849</v>
      </c>
      <c r="L2788" s="1" t="s">
        <v>5828</v>
      </c>
      <c r="M2788" s="1" t="s">
        <v>5829</v>
      </c>
      <c r="N2788" s="1" t="s">
        <v>30</v>
      </c>
      <c r="O2788" s="1" t="s">
        <v>91</v>
      </c>
      <c r="P2788" s="1" t="s">
        <v>92</v>
      </c>
      <c r="Q2788" s="1" t="s">
        <v>93</v>
      </c>
      <c r="R2788" s="1" t="s">
        <v>33</v>
      </c>
      <c r="S2788" s="1"/>
      <c r="U2788" s="1" t="s">
        <v>57</v>
      </c>
      <c r="V2788" s="1" t="s">
        <v>199</v>
      </c>
      <c r="W2788" s="1" t="str">
        <f>VLOOKUP(Table1[[#This Row],[Obergruppe ATC-Code]],Tabelle3!$A$2:$B$100,2)</f>
        <v>PSYCHOANALEPTIKA</v>
      </c>
      <c r="X2788" s="1" t="str">
        <f xml:space="preserve"> LEFT(Table1[[#This Row],[Atc Code]],3)</f>
        <v>N06</v>
      </c>
    </row>
    <row r="2789" spans="1:24" ht="14.4">
      <c r="A2789" s="14">
        <v>2499</v>
      </c>
      <c r="B2789" s="24" t="s">
        <v>5850</v>
      </c>
      <c r="C2789" s="1">
        <v>2165963</v>
      </c>
      <c r="D2789" s="1" t="s">
        <v>25</v>
      </c>
      <c r="E2789" s="36">
        <v>43862</v>
      </c>
      <c r="F2789" s="36">
        <v>44104</v>
      </c>
      <c r="G2789" s="38">
        <f t="shared" si="43"/>
        <v>242</v>
      </c>
      <c r="H2789" s="5">
        <v>43880</v>
      </c>
      <c r="I2789" s="5">
        <v>44105</v>
      </c>
      <c r="J2789" s="1" t="s">
        <v>41</v>
      </c>
      <c r="K2789" s="1" t="s">
        <v>5851</v>
      </c>
      <c r="L2789" s="1" t="s">
        <v>5828</v>
      </c>
      <c r="M2789" s="1" t="s">
        <v>5829</v>
      </c>
      <c r="N2789" s="1" t="s">
        <v>38</v>
      </c>
      <c r="O2789" s="1" t="s">
        <v>1636</v>
      </c>
      <c r="P2789" s="1" t="s">
        <v>1637</v>
      </c>
      <c r="Q2789" s="1" t="s">
        <v>1638</v>
      </c>
      <c r="R2789" s="1" t="s">
        <v>942</v>
      </c>
      <c r="S2789" s="1" t="s">
        <v>943</v>
      </c>
      <c r="U2789" s="1" t="s">
        <v>35</v>
      </c>
      <c r="V2789" s="1" t="s">
        <v>49</v>
      </c>
      <c r="W2789" s="1" t="str">
        <f>VLOOKUP(Table1[[#This Row],[Obergruppe ATC-Code]],Tabelle3!$A$2:$B$100,2)</f>
        <v>PSYCHOANALEPTIKA</v>
      </c>
      <c r="X2789" s="1" t="str">
        <f xml:space="preserve"> LEFT(Table1[[#This Row],[Atc Code]],3)</f>
        <v>N06</v>
      </c>
    </row>
    <row r="2790" spans="1:24" ht="14.4">
      <c r="A2790" s="14">
        <v>1686</v>
      </c>
      <c r="B2790" s="24" t="s">
        <v>5852</v>
      </c>
      <c r="C2790" s="1">
        <v>2172144</v>
      </c>
      <c r="D2790" s="1" t="s">
        <v>25</v>
      </c>
      <c r="E2790" s="36">
        <v>43800</v>
      </c>
      <c r="F2790" s="36">
        <v>44104</v>
      </c>
      <c r="G2790" s="38">
        <f t="shared" si="43"/>
        <v>304</v>
      </c>
      <c r="H2790" s="5">
        <v>43812</v>
      </c>
      <c r="I2790" s="5">
        <v>44106</v>
      </c>
      <c r="J2790" s="1" t="s">
        <v>26</v>
      </c>
      <c r="K2790" s="1" t="s">
        <v>5853</v>
      </c>
      <c r="L2790" s="1" t="s">
        <v>5828</v>
      </c>
      <c r="M2790" s="1" t="s">
        <v>5829</v>
      </c>
      <c r="N2790" s="1" t="s">
        <v>30</v>
      </c>
      <c r="O2790" s="1" t="s">
        <v>91</v>
      </c>
      <c r="P2790" s="1" t="s">
        <v>92</v>
      </c>
      <c r="Q2790" s="1" t="s">
        <v>93</v>
      </c>
      <c r="R2790" s="1" t="s">
        <v>33</v>
      </c>
      <c r="S2790" s="1"/>
      <c r="U2790" s="1" t="s">
        <v>35</v>
      </c>
      <c r="V2790" s="1" t="s">
        <v>49</v>
      </c>
      <c r="W2790" s="1" t="str">
        <f>VLOOKUP(Table1[[#This Row],[Obergruppe ATC-Code]],Tabelle3!$A$2:$B$100,2)</f>
        <v>PSYCHOANALEPTIKA</v>
      </c>
      <c r="X2790" s="1" t="str">
        <f xml:space="preserve"> LEFT(Table1[[#This Row],[Atc Code]],3)</f>
        <v>N06</v>
      </c>
    </row>
    <row r="2791" spans="1:24" ht="14.4">
      <c r="A2791" s="14">
        <v>1941</v>
      </c>
      <c r="B2791" s="24" t="s">
        <v>5854</v>
      </c>
      <c r="C2791" s="1">
        <v>2165953</v>
      </c>
      <c r="D2791" s="1" t="s">
        <v>25</v>
      </c>
      <c r="E2791" s="36">
        <v>43709</v>
      </c>
      <c r="F2791" s="36">
        <v>46173</v>
      </c>
      <c r="G2791" s="38">
        <f t="shared" si="43"/>
        <v>2464</v>
      </c>
      <c r="H2791" s="5">
        <v>43734</v>
      </c>
      <c r="I2791" s="5">
        <v>44109</v>
      </c>
      <c r="J2791" s="1" t="s">
        <v>26</v>
      </c>
      <c r="K2791" s="1" t="s">
        <v>5855</v>
      </c>
      <c r="L2791" s="1" t="s">
        <v>5828</v>
      </c>
      <c r="M2791" s="1" t="s">
        <v>5829</v>
      </c>
      <c r="N2791" s="1" t="s">
        <v>30</v>
      </c>
      <c r="O2791" s="1" t="s">
        <v>1687</v>
      </c>
      <c r="P2791" s="1" t="s">
        <v>1688</v>
      </c>
      <c r="Q2791" s="1" t="s">
        <v>1689</v>
      </c>
      <c r="R2791" s="1" t="s">
        <v>33</v>
      </c>
      <c r="S2791" s="1"/>
      <c r="U2791" s="1" t="s">
        <v>35</v>
      </c>
      <c r="V2791" s="1" t="s">
        <v>49</v>
      </c>
      <c r="W2791" s="1" t="str">
        <f>VLOOKUP(Table1[[#This Row],[Obergruppe ATC-Code]],Tabelle3!$A$2:$B$100,2)</f>
        <v>PSYCHOANALEPTIKA</v>
      </c>
      <c r="X2791" s="1" t="str">
        <f xml:space="preserve"> LEFT(Table1[[#This Row],[Atc Code]],3)</f>
        <v>N06</v>
      </c>
    </row>
    <row r="2792" spans="1:24" ht="14.4">
      <c r="A2792" s="14">
        <v>2738</v>
      </c>
      <c r="B2792" s="24" t="s">
        <v>5856</v>
      </c>
      <c r="C2792" s="1">
        <v>2197367</v>
      </c>
      <c r="D2792" s="1" t="s">
        <v>25</v>
      </c>
      <c r="E2792" s="36">
        <v>43374</v>
      </c>
      <c r="F2792" s="36">
        <v>44165</v>
      </c>
      <c r="G2792" s="38">
        <f t="shared" si="43"/>
        <v>791</v>
      </c>
      <c r="H2792" s="5">
        <v>43734</v>
      </c>
      <c r="I2792" s="5">
        <v>44139</v>
      </c>
      <c r="J2792" s="1" t="s">
        <v>26</v>
      </c>
      <c r="K2792" s="1" t="s">
        <v>5857</v>
      </c>
      <c r="L2792" s="1" t="s">
        <v>5828</v>
      </c>
      <c r="M2792" s="1" t="s">
        <v>5829</v>
      </c>
      <c r="N2792" s="1" t="s">
        <v>30</v>
      </c>
      <c r="O2792" s="1" t="s">
        <v>123</v>
      </c>
      <c r="P2792" s="1" t="s">
        <v>124</v>
      </c>
      <c r="Q2792" s="1" t="s">
        <v>125</v>
      </c>
      <c r="R2792" s="1" t="s">
        <v>33</v>
      </c>
      <c r="S2792" s="1"/>
      <c r="U2792" s="1" t="s">
        <v>35</v>
      </c>
      <c r="V2792" s="1" t="s">
        <v>199</v>
      </c>
      <c r="W2792" s="1" t="str">
        <f>VLOOKUP(Table1[[#This Row],[Obergruppe ATC-Code]],Tabelle3!$A$2:$B$100,2)</f>
        <v>PSYCHOANALEPTIKA</v>
      </c>
      <c r="X2792" s="1" t="str">
        <f xml:space="preserve"> LEFT(Table1[[#This Row],[Atc Code]],3)</f>
        <v>N06</v>
      </c>
    </row>
    <row r="2793" spans="1:24" ht="14.4">
      <c r="A2793" s="14">
        <v>2837</v>
      </c>
      <c r="B2793" s="24" t="s">
        <v>5858</v>
      </c>
      <c r="C2793" s="1">
        <v>2172995</v>
      </c>
      <c r="D2793" s="1" t="s">
        <v>25</v>
      </c>
      <c r="E2793" s="36">
        <v>43739</v>
      </c>
      <c r="F2793" s="36">
        <v>44196</v>
      </c>
      <c r="G2793" s="38">
        <f t="shared" si="43"/>
        <v>457</v>
      </c>
      <c r="H2793" s="5">
        <v>43761</v>
      </c>
      <c r="I2793" s="5">
        <v>44165</v>
      </c>
      <c r="J2793" s="1" t="s">
        <v>26</v>
      </c>
      <c r="K2793" s="1" t="s">
        <v>5859</v>
      </c>
      <c r="L2793" s="1" t="s">
        <v>5828</v>
      </c>
      <c r="M2793" s="1" t="s">
        <v>5829</v>
      </c>
      <c r="N2793" s="1" t="s">
        <v>30</v>
      </c>
      <c r="O2793" s="1" t="s">
        <v>52</v>
      </c>
      <c r="P2793" s="1" t="s">
        <v>53</v>
      </c>
      <c r="Q2793" s="1" t="s">
        <v>54</v>
      </c>
      <c r="R2793" s="1" t="s">
        <v>33</v>
      </c>
      <c r="S2793" s="1"/>
      <c r="U2793" s="1" t="s">
        <v>35</v>
      </c>
      <c r="V2793" s="1" t="s">
        <v>199</v>
      </c>
      <c r="W2793" s="1" t="str">
        <f>VLOOKUP(Table1[[#This Row],[Obergruppe ATC-Code]],Tabelle3!$A$2:$B$100,2)</f>
        <v>PSYCHOANALEPTIKA</v>
      </c>
      <c r="X2793" s="1" t="str">
        <f xml:space="preserve"> LEFT(Table1[[#This Row],[Atc Code]],3)</f>
        <v>N06</v>
      </c>
    </row>
    <row r="2794" spans="1:24" ht="14.4">
      <c r="A2794" s="14">
        <v>2284</v>
      </c>
      <c r="B2794" s="24" t="s">
        <v>5860</v>
      </c>
      <c r="C2794" s="1">
        <v>2172516</v>
      </c>
      <c r="D2794" s="1" t="s">
        <v>25</v>
      </c>
      <c r="E2794" s="36">
        <v>43586</v>
      </c>
      <c r="F2794" s="36">
        <v>44227</v>
      </c>
      <c r="G2794" s="38">
        <f t="shared" si="43"/>
        <v>641</v>
      </c>
      <c r="H2794" s="5">
        <v>43734</v>
      </c>
      <c r="I2794" s="5">
        <v>44200</v>
      </c>
      <c r="J2794" s="1" t="s">
        <v>26</v>
      </c>
      <c r="K2794" s="1" t="s">
        <v>5861</v>
      </c>
      <c r="L2794" s="1" t="s">
        <v>5828</v>
      </c>
      <c r="M2794" s="1" t="s">
        <v>5829</v>
      </c>
      <c r="N2794" s="1" t="s">
        <v>30</v>
      </c>
      <c r="O2794" s="1" t="s">
        <v>123</v>
      </c>
      <c r="P2794" s="1" t="s">
        <v>124</v>
      </c>
      <c r="Q2794" s="1" t="s">
        <v>125</v>
      </c>
      <c r="R2794" s="1" t="s">
        <v>33</v>
      </c>
      <c r="S2794" s="1"/>
      <c r="U2794" s="1" t="s">
        <v>35</v>
      </c>
      <c r="V2794" s="1" t="s">
        <v>199</v>
      </c>
      <c r="W2794" s="1" t="str">
        <f>VLOOKUP(Table1[[#This Row],[Obergruppe ATC-Code]],Tabelle3!$A$2:$B$100,2)</f>
        <v>PSYCHOANALEPTIKA</v>
      </c>
      <c r="X2794" s="1" t="str">
        <f xml:space="preserve"> LEFT(Table1[[#This Row],[Atc Code]],3)</f>
        <v>N06</v>
      </c>
    </row>
    <row r="2795" spans="1:24" ht="14.4">
      <c r="A2795" s="14">
        <v>2283</v>
      </c>
      <c r="B2795" s="24" t="s">
        <v>5862</v>
      </c>
      <c r="C2795" s="1">
        <v>2172514</v>
      </c>
      <c r="D2795" s="1" t="s">
        <v>25</v>
      </c>
      <c r="E2795" s="36">
        <v>43556</v>
      </c>
      <c r="F2795" s="36">
        <v>44196</v>
      </c>
      <c r="G2795" s="38">
        <f t="shared" si="43"/>
        <v>640</v>
      </c>
      <c r="H2795" s="5">
        <v>43734</v>
      </c>
      <c r="I2795" s="5">
        <v>44215</v>
      </c>
      <c r="J2795" s="1" t="s">
        <v>26</v>
      </c>
      <c r="K2795" s="1" t="s">
        <v>5863</v>
      </c>
      <c r="L2795" s="1" t="s">
        <v>5828</v>
      </c>
      <c r="M2795" s="1" t="s">
        <v>5829</v>
      </c>
      <c r="N2795" s="1" t="s">
        <v>30</v>
      </c>
      <c r="O2795" s="1" t="s">
        <v>123</v>
      </c>
      <c r="P2795" s="1" t="s">
        <v>124</v>
      </c>
      <c r="Q2795" s="1" t="s">
        <v>125</v>
      </c>
      <c r="R2795" s="1" t="s">
        <v>33</v>
      </c>
      <c r="S2795" s="1"/>
      <c r="U2795" s="1" t="s">
        <v>35</v>
      </c>
      <c r="V2795" s="1" t="s">
        <v>199</v>
      </c>
      <c r="W2795" s="1" t="str">
        <f>VLOOKUP(Table1[[#This Row],[Obergruppe ATC-Code]],Tabelle3!$A$2:$B$100,2)</f>
        <v>PSYCHOANALEPTIKA</v>
      </c>
      <c r="X2795" s="1" t="str">
        <f xml:space="preserve"> LEFT(Table1[[#This Row],[Atc Code]],3)</f>
        <v>N06</v>
      </c>
    </row>
    <row r="2796" spans="1:24" ht="14.4">
      <c r="A2796" s="14">
        <v>2782</v>
      </c>
      <c r="B2796" s="24" t="s">
        <v>5864</v>
      </c>
      <c r="C2796" s="1">
        <v>2199251</v>
      </c>
      <c r="D2796" s="1" t="s">
        <v>25</v>
      </c>
      <c r="E2796" s="36">
        <v>43739</v>
      </c>
      <c r="F2796" s="36">
        <v>44227</v>
      </c>
      <c r="G2796" s="38">
        <f t="shared" si="43"/>
        <v>488</v>
      </c>
      <c r="H2796" s="5">
        <v>43761</v>
      </c>
      <c r="I2796" s="5">
        <v>44225</v>
      </c>
      <c r="J2796" s="1" t="s">
        <v>26</v>
      </c>
      <c r="K2796" s="1" t="s">
        <v>5865</v>
      </c>
      <c r="L2796" s="1" t="s">
        <v>5828</v>
      </c>
      <c r="M2796" s="1" t="s">
        <v>5829</v>
      </c>
      <c r="N2796" s="1" t="s">
        <v>30</v>
      </c>
      <c r="O2796" s="1" t="s">
        <v>52</v>
      </c>
      <c r="P2796" s="1" t="s">
        <v>53</v>
      </c>
      <c r="Q2796" s="1" t="s">
        <v>54</v>
      </c>
      <c r="R2796" s="1" t="s">
        <v>33</v>
      </c>
      <c r="S2796" s="1"/>
      <c r="U2796" s="1" t="s">
        <v>35</v>
      </c>
      <c r="V2796" s="1" t="s">
        <v>199</v>
      </c>
      <c r="W2796" s="1" t="str">
        <f>VLOOKUP(Table1[[#This Row],[Obergruppe ATC-Code]],Tabelle3!$A$2:$B$100,2)</f>
        <v>PSYCHOANALEPTIKA</v>
      </c>
      <c r="X2796" s="1" t="str">
        <f xml:space="preserve"> LEFT(Table1[[#This Row],[Atc Code]],3)</f>
        <v>N06</v>
      </c>
    </row>
    <row r="2797" spans="1:24" ht="14.4">
      <c r="A2797" s="14">
        <v>2781</v>
      </c>
      <c r="B2797" s="24" t="s">
        <v>5866</v>
      </c>
      <c r="C2797" s="1">
        <v>2197365</v>
      </c>
      <c r="D2797" s="1" t="s">
        <v>25</v>
      </c>
      <c r="E2797" s="36">
        <v>43556</v>
      </c>
      <c r="F2797" s="36">
        <v>44286</v>
      </c>
      <c r="G2797" s="38">
        <f t="shared" si="43"/>
        <v>730</v>
      </c>
      <c r="H2797" s="5">
        <v>43734</v>
      </c>
      <c r="I2797" s="5">
        <v>44267</v>
      </c>
      <c r="J2797" s="1" t="s">
        <v>26</v>
      </c>
      <c r="K2797" s="1" t="s">
        <v>5867</v>
      </c>
      <c r="L2797" s="1" t="s">
        <v>5828</v>
      </c>
      <c r="M2797" s="1" t="s">
        <v>5829</v>
      </c>
      <c r="N2797" s="1" t="s">
        <v>30</v>
      </c>
      <c r="O2797" s="1" t="s">
        <v>123</v>
      </c>
      <c r="P2797" s="1" t="s">
        <v>124</v>
      </c>
      <c r="Q2797" s="1" t="s">
        <v>125</v>
      </c>
      <c r="R2797" s="1" t="s">
        <v>33</v>
      </c>
      <c r="S2797" s="1"/>
      <c r="U2797" s="1" t="s">
        <v>35</v>
      </c>
      <c r="V2797" s="1" t="s">
        <v>199</v>
      </c>
      <c r="W2797" s="1" t="str">
        <f>VLOOKUP(Table1[[#This Row],[Obergruppe ATC-Code]],Tabelle3!$A$2:$B$100,2)</f>
        <v>PSYCHOANALEPTIKA</v>
      </c>
      <c r="X2797" s="1" t="str">
        <f xml:space="preserve"> LEFT(Table1[[#This Row],[Atc Code]],3)</f>
        <v>N06</v>
      </c>
    </row>
    <row r="2798" spans="1:24" ht="14.4">
      <c r="A2798" s="14">
        <v>2498</v>
      </c>
      <c r="B2798" s="24" t="s">
        <v>5850</v>
      </c>
      <c r="C2798" s="1">
        <v>2165963</v>
      </c>
      <c r="D2798" s="1" t="s">
        <v>25</v>
      </c>
      <c r="E2798" s="36">
        <v>43831</v>
      </c>
      <c r="F2798" s="36">
        <v>44286</v>
      </c>
      <c r="G2798" s="38">
        <f t="shared" si="43"/>
        <v>455</v>
      </c>
      <c r="H2798" s="5">
        <v>44229</v>
      </c>
      <c r="I2798" s="5">
        <v>44267</v>
      </c>
      <c r="J2798" s="1" t="s">
        <v>41</v>
      </c>
      <c r="K2798" s="1" t="s">
        <v>5851</v>
      </c>
      <c r="L2798" s="1" t="s">
        <v>5828</v>
      </c>
      <c r="M2798" s="1" t="s">
        <v>5829</v>
      </c>
      <c r="N2798" s="1" t="s">
        <v>38</v>
      </c>
      <c r="O2798" s="1" t="s">
        <v>1636</v>
      </c>
      <c r="P2798" s="1" t="s">
        <v>1637</v>
      </c>
      <c r="Q2798" s="1" t="s">
        <v>1638</v>
      </c>
      <c r="R2798" s="1" t="s">
        <v>942</v>
      </c>
      <c r="S2798" s="1" t="s">
        <v>943</v>
      </c>
      <c r="U2798" s="1" t="s">
        <v>35</v>
      </c>
      <c r="V2798" s="1" t="s">
        <v>49</v>
      </c>
      <c r="W2798" s="1" t="str">
        <f>VLOOKUP(Table1[[#This Row],[Obergruppe ATC-Code]],Tabelle3!$A$2:$B$100,2)</f>
        <v>PSYCHOANALEPTIKA</v>
      </c>
      <c r="X2798" s="1" t="str">
        <f xml:space="preserve"> LEFT(Table1[[#This Row],[Atc Code]],3)</f>
        <v>N06</v>
      </c>
    </row>
    <row r="2799" spans="1:24" ht="14.4">
      <c r="A2799" s="14">
        <v>1942</v>
      </c>
      <c r="B2799" s="24" t="s">
        <v>5854</v>
      </c>
      <c r="C2799" s="1">
        <v>2165961</v>
      </c>
      <c r="D2799" s="1" t="s">
        <v>25</v>
      </c>
      <c r="E2799" s="36">
        <v>43862</v>
      </c>
      <c r="F2799" s="36">
        <v>44316</v>
      </c>
      <c r="G2799" s="38">
        <f t="shared" si="43"/>
        <v>454</v>
      </c>
      <c r="H2799" s="5">
        <v>43880</v>
      </c>
      <c r="I2799" s="5">
        <v>44326</v>
      </c>
      <c r="J2799" s="1" t="s">
        <v>41</v>
      </c>
      <c r="K2799" s="1" t="s">
        <v>5868</v>
      </c>
      <c r="L2799" s="1" t="s">
        <v>5828</v>
      </c>
      <c r="M2799" s="1" t="s">
        <v>5829</v>
      </c>
      <c r="N2799" s="1" t="s">
        <v>38</v>
      </c>
      <c r="O2799" s="1" t="s">
        <v>1636</v>
      </c>
      <c r="P2799" s="1" t="s">
        <v>1637</v>
      </c>
      <c r="Q2799" s="1" t="s">
        <v>1638</v>
      </c>
      <c r="R2799" s="1" t="s">
        <v>942</v>
      </c>
      <c r="S2799" s="1" t="s">
        <v>943</v>
      </c>
      <c r="U2799" s="1" t="s">
        <v>35</v>
      </c>
      <c r="V2799" s="1" t="s">
        <v>49</v>
      </c>
      <c r="W2799" s="1" t="str">
        <f>VLOOKUP(Table1[[#This Row],[Obergruppe ATC-Code]],Tabelle3!$A$2:$B$100,2)</f>
        <v>PSYCHOANALEPTIKA</v>
      </c>
      <c r="X2799" s="1" t="str">
        <f xml:space="preserve"> LEFT(Table1[[#This Row],[Atc Code]],3)</f>
        <v>N06</v>
      </c>
    </row>
    <row r="2800" spans="1:24" ht="14.4">
      <c r="A2800" s="14">
        <v>2627</v>
      </c>
      <c r="B2800" s="24" t="s">
        <v>5869</v>
      </c>
      <c r="C2800" s="1">
        <v>2195447</v>
      </c>
      <c r="D2800" s="1" t="s">
        <v>25</v>
      </c>
      <c r="E2800" s="36">
        <v>43891</v>
      </c>
      <c r="F2800" s="36">
        <v>43951</v>
      </c>
      <c r="G2800" s="38">
        <f t="shared" si="43"/>
        <v>60</v>
      </c>
      <c r="H2800" s="5">
        <v>43901</v>
      </c>
      <c r="I2800" s="5">
        <v>43963</v>
      </c>
      <c r="J2800" s="1" t="s">
        <v>41</v>
      </c>
      <c r="K2800" s="1" t="s">
        <v>5870</v>
      </c>
      <c r="L2800" s="1" t="s">
        <v>5871</v>
      </c>
      <c r="M2800" s="1" t="s">
        <v>5872</v>
      </c>
      <c r="N2800" s="1" t="s">
        <v>38</v>
      </c>
      <c r="O2800" s="1" t="s">
        <v>1440</v>
      </c>
      <c r="P2800" s="1" t="s">
        <v>1441</v>
      </c>
      <c r="Q2800" s="1" t="s">
        <v>1442</v>
      </c>
      <c r="R2800" s="1" t="s">
        <v>48</v>
      </c>
      <c r="S2800" s="1"/>
      <c r="U2800" s="1" t="s">
        <v>35</v>
      </c>
      <c r="V2800" s="1" t="s">
        <v>158</v>
      </c>
      <c r="W2800" s="1" t="str">
        <f>VLOOKUP(Table1[[#This Row],[Obergruppe ATC-Code]],Tabelle3!$A$2:$B$100,2)</f>
        <v>PSYCHOANALEPTIKA</v>
      </c>
      <c r="X2800" s="1" t="str">
        <f xml:space="preserve"> LEFT(Table1[[#This Row],[Atc Code]],3)</f>
        <v>N06</v>
      </c>
    </row>
    <row r="2801" spans="1:24" ht="14.4">
      <c r="A2801" s="14">
        <v>2626</v>
      </c>
      <c r="B2801" s="24" t="s">
        <v>5873</v>
      </c>
      <c r="C2801" s="1">
        <v>2195446</v>
      </c>
      <c r="D2801" s="1" t="s">
        <v>25</v>
      </c>
      <c r="E2801" s="36">
        <v>43891</v>
      </c>
      <c r="F2801" s="36">
        <v>43951</v>
      </c>
      <c r="G2801" s="38">
        <f t="shared" si="43"/>
        <v>60</v>
      </c>
      <c r="H2801" s="5">
        <v>43928</v>
      </c>
      <c r="I2801" s="5">
        <v>43963</v>
      </c>
      <c r="J2801" s="1" t="s">
        <v>41</v>
      </c>
      <c r="K2801" s="1" t="s">
        <v>5874</v>
      </c>
      <c r="L2801" s="1" t="s">
        <v>5871</v>
      </c>
      <c r="M2801" s="1" t="s">
        <v>5872</v>
      </c>
      <c r="N2801" s="1" t="s">
        <v>38</v>
      </c>
      <c r="O2801" s="1" t="s">
        <v>1440</v>
      </c>
      <c r="P2801" s="1" t="s">
        <v>1441</v>
      </c>
      <c r="Q2801" s="1" t="s">
        <v>1442</v>
      </c>
      <c r="R2801" s="1" t="s">
        <v>48</v>
      </c>
      <c r="S2801" s="1"/>
      <c r="U2801" s="1" t="s">
        <v>35</v>
      </c>
      <c r="V2801" s="1" t="s">
        <v>158</v>
      </c>
      <c r="W2801" s="1" t="str">
        <f>VLOOKUP(Table1[[#This Row],[Obergruppe ATC-Code]],Tabelle3!$A$2:$B$100,2)</f>
        <v>PSYCHOANALEPTIKA</v>
      </c>
      <c r="X2801" s="1" t="str">
        <f xml:space="preserve"> LEFT(Table1[[#This Row],[Atc Code]],3)</f>
        <v>N06</v>
      </c>
    </row>
    <row r="2802" spans="1:24" ht="14.4">
      <c r="A2802" s="14">
        <v>2625</v>
      </c>
      <c r="B2802" s="24" t="s">
        <v>5875</v>
      </c>
      <c r="C2802" s="1">
        <v>2193467</v>
      </c>
      <c r="D2802" s="1" t="s">
        <v>25</v>
      </c>
      <c r="E2802" s="36">
        <v>43862</v>
      </c>
      <c r="F2802" s="36">
        <v>43951</v>
      </c>
      <c r="G2802" s="38">
        <f t="shared" si="43"/>
        <v>89</v>
      </c>
      <c r="H2802" s="5">
        <v>43901</v>
      </c>
      <c r="I2802" s="5">
        <v>43963</v>
      </c>
      <c r="J2802" s="1" t="s">
        <v>41</v>
      </c>
      <c r="K2802" s="1" t="s">
        <v>5876</v>
      </c>
      <c r="L2802" s="1" t="s">
        <v>5871</v>
      </c>
      <c r="M2802" s="1" t="s">
        <v>5872</v>
      </c>
      <c r="N2802" s="1" t="s">
        <v>38</v>
      </c>
      <c r="O2802" s="1" t="s">
        <v>1440</v>
      </c>
      <c r="P2802" s="1" t="s">
        <v>1441</v>
      </c>
      <c r="Q2802" s="1" t="s">
        <v>1442</v>
      </c>
      <c r="R2802" s="1" t="s">
        <v>48</v>
      </c>
      <c r="S2802" s="1"/>
      <c r="U2802" s="1" t="s">
        <v>35</v>
      </c>
      <c r="V2802" s="1" t="s">
        <v>158</v>
      </c>
      <c r="W2802" s="1" t="str">
        <f>VLOOKUP(Table1[[#This Row],[Obergruppe ATC-Code]],Tabelle3!$A$2:$B$100,2)</f>
        <v>PSYCHOANALEPTIKA</v>
      </c>
      <c r="X2802" s="1" t="str">
        <f xml:space="preserve"> LEFT(Table1[[#This Row],[Atc Code]],3)</f>
        <v>N06</v>
      </c>
    </row>
    <row r="2803" spans="1:24" ht="14.4">
      <c r="A2803" s="14">
        <v>3202</v>
      </c>
      <c r="B2803" s="3">
        <v>11175978</v>
      </c>
      <c r="C2803" s="1">
        <v>2196395</v>
      </c>
      <c r="D2803" s="1" t="s">
        <v>25</v>
      </c>
      <c r="E2803" s="36">
        <v>44197</v>
      </c>
      <c r="F2803" s="36">
        <v>44413</v>
      </c>
      <c r="G2803" s="38">
        <f t="shared" si="43"/>
        <v>216</v>
      </c>
      <c r="H2803" s="5">
        <v>44230</v>
      </c>
      <c r="I2803" s="5">
        <v>44413</v>
      </c>
      <c r="J2803" s="1" t="s">
        <v>26</v>
      </c>
      <c r="K2803" s="1" t="s">
        <v>5877</v>
      </c>
      <c r="L2803" s="1" t="s">
        <v>5871</v>
      </c>
      <c r="M2803" s="1" t="s">
        <v>5872</v>
      </c>
      <c r="N2803" s="1" t="s">
        <v>30</v>
      </c>
      <c r="O2803" s="1" t="s">
        <v>1284</v>
      </c>
      <c r="P2803" s="1" t="s">
        <v>1285</v>
      </c>
      <c r="Q2803" s="1" t="s">
        <v>1286</v>
      </c>
      <c r="R2803" s="1" t="s">
        <v>33</v>
      </c>
      <c r="S2803" s="1"/>
      <c r="U2803" s="1" t="s">
        <v>35</v>
      </c>
      <c r="V2803" s="1" t="s">
        <v>158</v>
      </c>
      <c r="W2803" s="1" t="str">
        <f>VLOOKUP(Table1[[#This Row],[Obergruppe ATC-Code]],Tabelle3!$A$2:$B$100,2)</f>
        <v>PSYCHOANALEPTIKA</v>
      </c>
      <c r="X2803" s="1" t="str">
        <f xml:space="preserve"> LEFT(Table1[[#This Row],[Atc Code]],3)</f>
        <v>N06</v>
      </c>
    </row>
    <row r="2804" spans="1:24" ht="14.4">
      <c r="A2804" s="14">
        <v>1940</v>
      </c>
      <c r="B2804" s="24" t="s">
        <v>5878</v>
      </c>
      <c r="C2804" s="1">
        <v>2152912</v>
      </c>
      <c r="D2804" s="1" t="s">
        <v>25</v>
      </c>
      <c r="E2804" s="36">
        <v>44960</v>
      </c>
      <c r="F2804" s="36">
        <v>45044</v>
      </c>
      <c r="G2804" s="38">
        <f t="shared" si="43"/>
        <v>84</v>
      </c>
      <c r="H2804" s="5">
        <v>45036</v>
      </c>
      <c r="I2804" s="5">
        <v>45048</v>
      </c>
      <c r="J2804" s="1" t="s">
        <v>41</v>
      </c>
      <c r="K2804" s="1" t="s">
        <v>5879</v>
      </c>
      <c r="L2804" s="1" t="s">
        <v>5880</v>
      </c>
      <c r="M2804" s="1" t="s">
        <v>5881</v>
      </c>
      <c r="N2804" s="1" t="s">
        <v>38</v>
      </c>
      <c r="O2804" s="1" t="s">
        <v>1475</v>
      </c>
      <c r="Q2804" s="1" t="s">
        <v>753</v>
      </c>
      <c r="R2804" s="1" t="s">
        <v>2138</v>
      </c>
      <c r="S2804" s="1"/>
      <c r="U2804" s="1" t="s">
        <v>35</v>
      </c>
      <c r="V2804" s="1" t="s">
        <v>99</v>
      </c>
      <c r="W2804" s="1" t="str">
        <f>VLOOKUP(Table1[[#This Row],[Obergruppe ATC-Code]],Tabelle3!$A$2:$B$100,2)</f>
        <v>PSYCHOANALEPTIKA</v>
      </c>
      <c r="X2804" s="1" t="str">
        <f xml:space="preserve"> LEFT(Table1[[#This Row],[Atc Code]],3)</f>
        <v>N06</v>
      </c>
    </row>
    <row r="2805" spans="1:24" ht="14.4">
      <c r="A2805" s="14">
        <v>1939</v>
      </c>
      <c r="B2805" s="24" t="s">
        <v>5878</v>
      </c>
      <c r="C2805" s="1">
        <v>2152912</v>
      </c>
      <c r="D2805" s="1" t="s">
        <v>102</v>
      </c>
      <c r="E2805" s="36">
        <v>45065</v>
      </c>
      <c r="F2805" s="36">
        <v>45291</v>
      </c>
      <c r="G2805" s="38">
        <f t="shared" si="43"/>
        <v>226</v>
      </c>
      <c r="H2805" s="5">
        <v>45072</v>
      </c>
      <c r="I2805" s="5">
        <v>45131</v>
      </c>
      <c r="J2805" s="1" t="s">
        <v>26</v>
      </c>
      <c r="K2805" s="1" t="s">
        <v>5879</v>
      </c>
      <c r="L2805" s="1" t="s">
        <v>5880</v>
      </c>
      <c r="M2805" s="1" t="s">
        <v>5881</v>
      </c>
      <c r="N2805" s="1" t="s">
        <v>38</v>
      </c>
      <c r="O2805" s="1" t="s">
        <v>1475</v>
      </c>
      <c r="Q2805" s="1" t="s">
        <v>753</v>
      </c>
      <c r="R2805" s="1" t="s">
        <v>113</v>
      </c>
      <c r="S2805" s="1"/>
      <c r="T2805" s="1" t="s">
        <v>5882</v>
      </c>
      <c r="U2805" s="1" t="s">
        <v>35</v>
      </c>
      <c r="V2805" s="1" t="s">
        <v>99</v>
      </c>
      <c r="W2805" s="1" t="str">
        <f>VLOOKUP(Table1[[#This Row],[Obergruppe ATC-Code]],Tabelle3!$A$2:$B$100,2)</f>
        <v>PSYCHOANALEPTIKA</v>
      </c>
      <c r="X2805" s="1" t="str">
        <f xml:space="preserve"> LEFT(Table1[[#This Row],[Atc Code]],3)</f>
        <v>N06</v>
      </c>
    </row>
    <row r="2806" spans="1:24" ht="14.4">
      <c r="A2806" s="14">
        <v>2715</v>
      </c>
      <c r="B2806" s="24" t="s">
        <v>5883</v>
      </c>
      <c r="C2806" s="1">
        <v>2195622</v>
      </c>
      <c r="D2806" s="1" t="s">
        <v>25</v>
      </c>
      <c r="E2806" s="36">
        <v>44317</v>
      </c>
      <c r="F2806" s="36">
        <v>44347</v>
      </c>
      <c r="G2806" s="38">
        <f t="shared" si="43"/>
        <v>30</v>
      </c>
      <c r="H2806" s="5">
        <v>44333</v>
      </c>
      <c r="I2806" s="5">
        <v>44335</v>
      </c>
      <c r="J2806" s="1" t="s">
        <v>41</v>
      </c>
      <c r="K2806" s="1" t="s">
        <v>5884</v>
      </c>
      <c r="L2806" s="1" t="s">
        <v>5885</v>
      </c>
      <c r="M2806" s="1" t="s">
        <v>5886</v>
      </c>
      <c r="N2806" s="1" t="s">
        <v>38</v>
      </c>
      <c r="O2806" s="1" t="s">
        <v>3850</v>
      </c>
      <c r="P2806" s="1" t="s">
        <v>5887</v>
      </c>
      <c r="Q2806" s="1" t="s">
        <v>5888</v>
      </c>
      <c r="R2806" s="1" t="s">
        <v>26</v>
      </c>
      <c r="S2806" s="1"/>
      <c r="T2806" s="1" t="s">
        <v>5889</v>
      </c>
      <c r="U2806" s="1" t="s">
        <v>57</v>
      </c>
      <c r="V2806" s="1" t="s">
        <v>359</v>
      </c>
      <c r="W2806" s="1" t="str">
        <f>VLOOKUP(Table1[[#This Row],[Obergruppe ATC-Code]],Tabelle3!$A$2:$B$100,2)</f>
        <v>PSYCHOANALEPTIKA</v>
      </c>
      <c r="X2806" s="1" t="str">
        <f xml:space="preserve"> LEFT(Table1[[#This Row],[Atc Code]],3)</f>
        <v>N06</v>
      </c>
    </row>
    <row r="2807" spans="1:24" ht="14.4">
      <c r="A2807" s="14">
        <v>2883</v>
      </c>
      <c r="B2807" s="24" t="s">
        <v>5890</v>
      </c>
      <c r="C2807" s="1">
        <v>2204196</v>
      </c>
      <c r="D2807" s="1" t="s">
        <v>175</v>
      </c>
      <c r="E2807" s="36">
        <v>45152</v>
      </c>
      <c r="F2807" s="36">
        <v>45219</v>
      </c>
      <c r="G2807" s="38">
        <f t="shared" si="43"/>
        <v>67</v>
      </c>
      <c r="H2807" s="5">
        <v>45153</v>
      </c>
      <c r="I2807" s="5">
        <v>45153</v>
      </c>
      <c r="J2807" s="1" t="s">
        <v>41</v>
      </c>
      <c r="K2807" s="1" t="s">
        <v>5891</v>
      </c>
      <c r="L2807" s="1" t="s">
        <v>5885</v>
      </c>
      <c r="M2807" s="1" t="s">
        <v>5886</v>
      </c>
      <c r="N2807" s="1" t="s">
        <v>38</v>
      </c>
      <c r="O2807" s="1" t="s">
        <v>140</v>
      </c>
      <c r="Q2807" s="1" t="s">
        <v>3065</v>
      </c>
      <c r="R2807" s="1" t="s">
        <v>128</v>
      </c>
      <c r="S2807" s="1"/>
      <c r="U2807" s="1" t="s">
        <v>130</v>
      </c>
      <c r="V2807" s="1" t="s">
        <v>2321</v>
      </c>
      <c r="W2807" s="1" t="str">
        <f>VLOOKUP(Table1[[#This Row],[Obergruppe ATC-Code]],Tabelle3!$A$2:$B$100,2)</f>
        <v>PSYCHOANALEPTIKA</v>
      </c>
      <c r="X2807" s="1" t="str">
        <f xml:space="preserve"> LEFT(Table1[[#This Row],[Atc Code]],3)</f>
        <v>N06</v>
      </c>
    </row>
    <row r="2808" spans="1:24" ht="14.4">
      <c r="A2808" s="14">
        <v>2886</v>
      </c>
      <c r="B2808" s="24" t="s">
        <v>5892</v>
      </c>
      <c r="C2808" s="1">
        <v>2204199</v>
      </c>
      <c r="D2808" s="1" t="s">
        <v>102</v>
      </c>
      <c r="E2808" s="36">
        <v>45152</v>
      </c>
      <c r="F2808" s="36">
        <v>45381</v>
      </c>
      <c r="G2808" s="38">
        <f t="shared" si="43"/>
        <v>229</v>
      </c>
      <c r="H2808" s="5">
        <v>45153</v>
      </c>
      <c r="I2808" s="5">
        <v>45215</v>
      </c>
      <c r="J2808" s="1" t="s">
        <v>41</v>
      </c>
      <c r="K2808" s="1" t="s">
        <v>5891</v>
      </c>
      <c r="L2808" s="1" t="s">
        <v>5885</v>
      </c>
      <c r="M2808" s="1" t="s">
        <v>5886</v>
      </c>
      <c r="N2808" s="1" t="s">
        <v>38</v>
      </c>
      <c r="O2808" s="1" t="s">
        <v>140</v>
      </c>
      <c r="Q2808" s="1" t="s">
        <v>141</v>
      </c>
      <c r="R2808" s="1" t="s">
        <v>128</v>
      </c>
      <c r="S2808" s="1"/>
      <c r="U2808" s="1" t="s">
        <v>130</v>
      </c>
      <c r="V2808" s="1" t="s">
        <v>2321</v>
      </c>
      <c r="W2808" s="1" t="str">
        <f>VLOOKUP(Table1[[#This Row],[Obergruppe ATC-Code]],Tabelle3!$A$2:$B$100,2)</f>
        <v>PSYCHOANALEPTIKA</v>
      </c>
      <c r="X2808" s="1" t="str">
        <f xml:space="preserve"> LEFT(Table1[[#This Row],[Atc Code]],3)</f>
        <v>N06</v>
      </c>
    </row>
    <row r="2809" spans="1:24" ht="14.4">
      <c r="A2809" s="14">
        <v>2885</v>
      </c>
      <c r="B2809" s="24" t="s">
        <v>5893</v>
      </c>
      <c r="C2809" s="1">
        <v>2204198</v>
      </c>
      <c r="D2809" s="1" t="s">
        <v>102</v>
      </c>
      <c r="E2809" s="36">
        <v>45152</v>
      </c>
      <c r="F2809" s="36">
        <v>45381</v>
      </c>
      <c r="G2809" s="38">
        <f t="shared" si="43"/>
        <v>229</v>
      </c>
      <c r="H2809" s="5">
        <v>45153</v>
      </c>
      <c r="I2809" s="5">
        <v>45215</v>
      </c>
      <c r="J2809" s="1" t="s">
        <v>41</v>
      </c>
      <c r="K2809" s="1" t="s">
        <v>5891</v>
      </c>
      <c r="L2809" s="1" t="s">
        <v>5885</v>
      </c>
      <c r="M2809" s="1" t="s">
        <v>5886</v>
      </c>
      <c r="N2809" s="1" t="s">
        <v>38</v>
      </c>
      <c r="O2809" s="1" t="s">
        <v>140</v>
      </c>
      <c r="Q2809" s="1" t="s">
        <v>141</v>
      </c>
      <c r="R2809" s="1" t="s">
        <v>128</v>
      </c>
      <c r="S2809" s="1"/>
      <c r="U2809" s="1" t="s">
        <v>130</v>
      </c>
      <c r="V2809" s="1" t="s">
        <v>2321</v>
      </c>
      <c r="W2809" s="1" t="str">
        <f>VLOOKUP(Table1[[#This Row],[Obergruppe ATC-Code]],Tabelle3!$A$2:$B$100,2)</f>
        <v>PSYCHOANALEPTIKA</v>
      </c>
      <c r="X2809" s="1" t="str">
        <f xml:space="preserve"> LEFT(Table1[[#This Row],[Atc Code]],3)</f>
        <v>N06</v>
      </c>
    </row>
    <row r="2810" spans="1:24" ht="14.4">
      <c r="A2810" s="14">
        <v>2884</v>
      </c>
      <c r="B2810" s="24" t="s">
        <v>5894</v>
      </c>
      <c r="C2810" s="1">
        <v>2204197</v>
      </c>
      <c r="D2810" s="1" t="s">
        <v>102</v>
      </c>
      <c r="E2810" s="36">
        <v>45152</v>
      </c>
      <c r="F2810" s="36">
        <v>45382</v>
      </c>
      <c r="G2810" s="38">
        <f t="shared" si="43"/>
        <v>230</v>
      </c>
      <c r="H2810" s="5">
        <v>45153</v>
      </c>
      <c r="I2810" s="5">
        <v>45215</v>
      </c>
      <c r="J2810" s="1" t="s">
        <v>41</v>
      </c>
      <c r="K2810" s="1" t="s">
        <v>5891</v>
      </c>
      <c r="L2810" s="1" t="s">
        <v>5885</v>
      </c>
      <c r="M2810" s="1" t="s">
        <v>5886</v>
      </c>
      <c r="N2810" s="1" t="s">
        <v>38</v>
      </c>
      <c r="O2810" s="1" t="s">
        <v>140</v>
      </c>
      <c r="Q2810" s="1" t="s">
        <v>141</v>
      </c>
      <c r="R2810" s="1" t="s">
        <v>128</v>
      </c>
      <c r="S2810" s="1"/>
      <c r="U2810" s="1" t="s">
        <v>130</v>
      </c>
      <c r="V2810" s="1" t="s">
        <v>2321</v>
      </c>
      <c r="W2810" s="1" t="str">
        <f>VLOOKUP(Table1[[#This Row],[Obergruppe ATC-Code]],Tabelle3!$A$2:$B$100,2)</f>
        <v>PSYCHOANALEPTIKA</v>
      </c>
      <c r="X2810" s="1" t="str">
        <f xml:space="preserve"> LEFT(Table1[[#This Row],[Atc Code]],3)</f>
        <v>N06</v>
      </c>
    </row>
    <row r="2811" spans="1:24" ht="14.4">
      <c r="A2811" s="14">
        <v>1557</v>
      </c>
      <c r="B2811" s="24">
        <v>16832866</v>
      </c>
      <c r="C2811" s="1">
        <v>2204201</v>
      </c>
      <c r="D2811" s="1" t="s">
        <v>102</v>
      </c>
      <c r="E2811" s="36">
        <v>45152</v>
      </c>
      <c r="F2811" s="36">
        <v>45381</v>
      </c>
      <c r="G2811" s="38">
        <f t="shared" si="43"/>
        <v>229</v>
      </c>
      <c r="H2811" s="5">
        <v>45153</v>
      </c>
      <c r="I2811" s="5">
        <v>45215</v>
      </c>
      <c r="J2811" s="1" t="s">
        <v>41</v>
      </c>
      <c r="K2811" s="1" t="s">
        <v>5891</v>
      </c>
      <c r="L2811" s="1" t="s">
        <v>5885</v>
      </c>
      <c r="M2811" s="1" t="s">
        <v>5886</v>
      </c>
      <c r="N2811" s="1" t="s">
        <v>38</v>
      </c>
      <c r="O2811" s="1" t="s">
        <v>140</v>
      </c>
      <c r="Q2811" s="1" t="s">
        <v>141</v>
      </c>
      <c r="R2811" s="1" t="s">
        <v>128</v>
      </c>
      <c r="S2811" s="1"/>
      <c r="U2811" s="1" t="s">
        <v>130</v>
      </c>
      <c r="V2811" s="1" t="s">
        <v>2321</v>
      </c>
      <c r="W2811" s="1" t="str">
        <f>VLOOKUP(Table1[[#This Row],[Obergruppe ATC-Code]],Tabelle3!$A$2:$B$100,2)</f>
        <v>PSYCHOANALEPTIKA</v>
      </c>
      <c r="X2811" s="1" t="str">
        <f xml:space="preserve"> LEFT(Table1[[#This Row],[Atc Code]],3)</f>
        <v>N06</v>
      </c>
    </row>
    <row r="2812" spans="1:24" ht="14.4">
      <c r="A2812" s="14">
        <v>1556</v>
      </c>
      <c r="B2812" s="24">
        <v>16832843</v>
      </c>
      <c r="C2812" s="1">
        <v>2204200</v>
      </c>
      <c r="D2812" s="1" t="s">
        <v>102</v>
      </c>
      <c r="E2812" s="36">
        <v>45152</v>
      </c>
      <c r="F2812" s="36">
        <v>45381</v>
      </c>
      <c r="G2812" s="38">
        <f t="shared" si="43"/>
        <v>229</v>
      </c>
      <c r="H2812" s="5">
        <v>45153</v>
      </c>
      <c r="I2812" s="5">
        <v>45215</v>
      </c>
      <c r="J2812" s="1" t="s">
        <v>41</v>
      </c>
      <c r="K2812" s="1" t="s">
        <v>5891</v>
      </c>
      <c r="L2812" s="1" t="s">
        <v>5885</v>
      </c>
      <c r="M2812" s="1" t="s">
        <v>5886</v>
      </c>
      <c r="N2812" s="1" t="s">
        <v>38</v>
      </c>
      <c r="O2812" s="1" t="s">
        <v>140</v>
      </c>
      <c r="Q2812" s="1" t="s">
        <v>141</v>
      </c>
      <c r="R2812" s="1" t="s">
        <v>128</v>
      </c>
      <c r="S2812" s="1"/>
      <c r="U2812" s="1" t="s">
        <v>130</v>
      </c>
      <c r="V2812" s="1" t="s">
        <v>2321</v>
      </c>
      <c r="W2812" s="1" t="str">
        <f>VLOOKUP(Table1[[#This Row],[Obergruppe ATC-Code]],Tabelle3!$A$2:$B$100,2)</f>
        <v>PSYCHOANALEPTIKA</v>
      </c>
      <c r="X2812" s="1" t="str">
        <f xml:space="preserve"> LEFT(Table1[[#This Row],[Atc Code]],3)</f>
        <v>N06</v>
      </c>
    </row>
    <row r="2813" spans="1:24" ht="14.4">
      <c r="A2813" s="14">
        <v>2629</v>
      </c>
      <c r="B2813" s="24" t="s">
        <v>5895</v>
      </c>
      <c r="C2813" s="1">
        <v>2191991</v>
      </c>
      <c r="D2813" s="1" t="s">
        <v>25</v>
      </c>
      <c r="E2813" s="36">
        <v>43739</v>
      </c>
      <c r="F2813" s="36">
        <v>43830</v>
      </c>
      <c r="G2813" s="38">
        <f t="shared" si="43"/>
        <v>91</v>
      </c>
      <c r="H2813" s="5">
        <v>43780</v>
      </c>
      <c r="I2813" s="5">
        <v>43812</v>
      </c>
      <c r="J2813" s="1" t="s">
        <v>26</v>
      </c>
      <c r="K2813" s="1" t="s">
        <v>5896</v>
      </c>
      <c r="L2813" s="1" t="s">
        <v>5897</v>
      </c>
      <c r="M2813" s="1" t="s">
        <v>5898</v>
      </c>
      <c r="N2813" s="1" t="s">
        <v>38</v>
      </c>
      <c r="O2813" s="1" t="s">
        <v>1440</v>
      </c>
      <c r="P2813" s="1" t="s">
        <v>1441</v>
      </c>
      <c r="Q2813" s="1" t="s">
        <v>1442</v>
      </c>
      <c r="R2813" s="1" t="s">
        <v>33</v>
      </c>
      <c r="S2813" s="1"/>
      <c r="U2813" s="1" t="s">
        <v>35</v>
      </c>
      <c r="V2813" s="1" t="s">
        <v>49</v>
      </c>
      <c r="W2813" s="1" t="str">
        <f>VLOOKUP(Table1[[#This Row],[Obergruppe ATC-Code]],Tabelle3!$A$2:$B$100,2)</f>
        <v>PSYCHOANALEPTIKA</v>
      </c>
      <c r="X2813" s="1" t="str">
        <f xml:space="preserve"> LEFT(Table1[[#This Row],[Atc Code]],3)</f>
        <v>N06</v>
      </c>
    </row>
    <row r="2814" spans="1:24" ht="14.4">
      <c r="A2814" s="14">
        <v>2628</v>
      </c>
      <c r="B2814" s="24" t="s">
        <v>5899</v>
      </c>
      <c r="C2814" s="1">
        <v>2191990</v>
      </c>
      <c r="D2814" s="1" t="s">
        <v>25</v>
      </c>
      <c r="E2814" s="36">
        <v>44228</v>
      </c>
      <c r="F2814" s="36">
        <v>44286</v>
      </c>
      <c r="G2814" s="38">
        <f t="shared" si="43"/>
        <v>58</v>
      </c>
      <c r="H2814" s="5">
        <v>44242</v>
      </c>
      <c r="I2814" s="5">
        <v>44294</v>
      </c>
      <c r="J2814" s="1" t="s">
        <v>26</v>
      </c>
      <c r="K2814" s="1" t="s">
        <v>5900</v>
      </c>
      <c r="L2814" s="1" t="s">
        <v>5897</v>
      </c>
      <c r="M2814" s="1" t="s">
        <v>5898</v>
      </c>
      <c r="N2814" s="1" t="s">
        <v>38</v>
      </c>
      <c r="O2814" s="1" t="s">
        <v>1440</v>
      </c>
      <c r="P2814" s="1" t="s">
        <v>1441</v>
      </c>
      <c r="Q2814" s="1" t="s">
        <v>1916</v>
      </c>
      <c r="R2814" s="1" t="s">
        <v>33</v>
      </c>
      <c r="S2814" s="1"/>
      <c r="U2814" s="1" t="s">
        <v>35</v>
      </c>
      <c r="V2814" s="1" t="s">
        <v>49</v>
      </c>
      <c r="W2814" s="1" t="str">
        <f>VLOOKUP(Table1[[#This Row],[Obergruppe ATC-Code]],Tabelle3!$A$2:$B$100,2)</f>
        <v>PSYCHOANALEPTIKA</v>
      </c>
      <c r="X2814" s="1" t="str">
        <f xml:space="preserve"> LEFT(Table1[[#This Row],[Atc Code]],3)</f>
        <v>N06</v>
      </c>
    </row>
    <row r="2815" spans="1:24" ht="14.4">
      <c r="A2815" s="14">
        <v>2611</v>
      </c>
      <c r="B2815" s="24" t="s">
        <v>5901</v>
      </c>
      <c r="C2815" s="1">
        <v>2193472</v>
      </c>
      <c r="D2815" s="1" t="s">
        <v>25</v>
      </c>
      <c r="E2815" s="36">
        <v>43800</v>
      </c>
      <c r="F2815" s="36">
        <v>43830</v>
      </c>
      <c r="G2815" s="38">
        <f t="shared" si="43"/>
        <v>30</v>
      </c>
      <c r="H2815" s="5">
        <v>43803</v>
      </c>
      <c r="I2815" s="5">
        <v>43822</v>
      </c>
      <c r="J2815" s="1" t="s">
        <v>41</v>
      </c>
      <c r="K2815" s="1" t="s">
        <v>5902</v>
      </c>
      <c r="L2815" s="1" t="s">
        <v>5903</v>
      </c>
      <c r="M2815" s="1" t="s">
        <v>5904</v>
      </c>
      <c r="N2815" s="1" t="s">
        <v>38</v>
      </c>
      <c r="O2815" s="1" t="s">
        <v>1207</v>
      </c>
      <c r="P2815" s="1" t="s">
        <v>3714</v>
      </c>
      <c r="Q2815" s="1" t="s">
        <v>5905</v>
      </c>
      <c r="R2815" s="1" t="s">
        <v>26</v>
      </c>
      <c r="S2815" s="1"/>
      <c r="T2815" s="1" t="s">
        <v>5906</v>
      </c>
      <c r="U2815" s="1" t="s">
        <v>35</v>
      </c>
      <c r="V2815" s="1" t="s">
        <v>262</v>
      </c>
      <c r="W2815" s="1" t="str">
        <f>VLOOKUP(Table1[[#This Row],[Obergruppe ATC-Code]],Tabelle3!$A$2:$B$100,2)</f>
        <v>PSYCHOANALEPTIKA</v>
      </c>
      <c r="X2815" s="1" t="str">
        <f xml:space="preserve"> LEFT(Table1[[#This Row],[Atc Code]],3)</f>
        <v>N06</v>
      </c>
    </row>
    <row r="2816" spans="1:24" ht="14.4">
      <c r="A2816" s="14">
        <v>2940</v>
      </c>
      <c r="B2816" s="24" t="s">
        <v>5907</v>
      </c>
      <c r="C2816" s="1">
        <v>1449819</v>
      </c>
      <c r="D2816" s="1" t="s">
        <v>25</v>
      </c>
      <c r="E2816" s="36">
        <v>43497</v>
      </c>
      <c r="F2816" s="36">
        <v>43585</v>
      </c>
      <c r="G2816" s="38">
        <f t="shared" si="43"/>
        <v>88</v>
      </c>
      <c r="H2816" s="5">
        <v>43522</v>
      </c>
      <c r="I2816" s="5">
        <v>43563</v>
      </c>
      <c r="J2816" s="1" t="s">
        <v>26</v>
      </c>
      <c r="K2816" s="1" t="s">
        <v>5908</v>
      </c>
      <c r="L2816" s="1" t="s">
        <v>5909</v>
      </c>
      <c r="M2816" s="1" t="s">
        <v>5910</v>
      </c>
      <c r="N2816" s="1" t="s">
        <v>30</v>
      </c>
      <c r="O2816" s="1" t="s">
        <v>866</v>
      </c>
      <c r="P2816" s="1" t="s">
        <v>5911</v>
      </c>
      <c r="Q2816" s="1" t="s">
        <v>868</v>
      </c>
      <c r="R2816" s="1" t="s">
        <v>33</v>
      </c>
      <c r="S2816" s="1"/>
      <c r="T2816" s="1" t="s">
        <v>5912</v>
      </c>
      <c r="U2816" s="1" t="s">
        <v>35</v>
      </c>
      <c r="V2816" s="1" t="s">
        <v>648</v>
      </c>
      <c r="W2816" s="1" t="str">
        <f>VLOOKUP(Table1[[#This Row],[Obergruppe ATC-Code]],Tabelle3!$A$2:$B$100,2)</f>
        <v>PSYCHOANALEPTIKA</v>
      </c>
      <c r="X2816" s="1" t="str">
        <f xml:space="preserve"> LEFT(Table1[[#This Row],[Atc Code]],3)</f>
        <v>N06</v>
      </c>
    </row>
    <row r="2817" spans="1:24" ht="14.4">
      <c r="A2817" s="14">
        <v>2533</v>
      </c>
      <c r="B2817" s="24" t="s">
        <v>5913</v>
      </c>
      <c r="C2817" s="1">
        <v>2181493</v>
      </c>
      <c r="D2817" s="1" t="s">
        <v>25</v>
      </c>
      <c r="E2817" s="36">
        <v>44136</v>
      </c>
      <c r="F2817" s="36">
        <v>44286</v>
      </c>
      <c r="G2817" s="38">
        <f t="shared" si="43"/>
        <v>150</v>
      </c>
      <c r="H2817" s="5">
        <v>44153</v>
      </c>
      <c r="I2817" s="5">
        <v>44257</v>
      </c>
      <c r="J2817" s="1" t="s">
        <v>26</v>
      </c>
      <c r="K2817" s="1" t="s">
        <v>5914</v>
      </c>
      <c r="L2817" s="1" t="s">
        <v>5915</v>
      </c>
      <c r="M2817" s="1" t="s">
        <v>5916</v>
      </c>
      <c r="N2817" s="1" t="s">
        <v>38</v>
      </c>
      <c r="O2817" s="1" t="s">
        <v>162</v>
      </c>
      <c r="P2817" s="1" t="s">
        <v>163</v>
      </c>
      <c r="Q2817" s="1" t="s">
        <v>164</v>
      </c>
      <c r="R2817" s="1" t="s">
        <v>33</v>
      </c>
      <c r="S2817" s="1"/>
      <c r="U2817" s="1" t="s">
        <v>35</v>
      </c>
      <c r="V2817" s="1" t="s">
        <v>99</v>
      </c>
      <c r="W2817" s="1" t="str">
        <f>VLOOKUP(Table1[[#This Row],[Obergruppe ATC-Code]],Tabelle3!$A$2:$B$100,2)</f>
        <v>PSYCHOANALEPTIKA</v>
      </c>
      <c r="X2817" s="1" t="str">
        <f xml:space="preserve"> LEFT(Table1[[#This Row],[Atc Code]],3)</f>
        <v>N06</v>
      </c>
    </row>
    <row r="2818" spans="1:24" ht="14.4">
      <c r="A2818" s="14">
        <v>1171</v>
      </c>
      <c r="B2818" s="24">
        <v>10044346</v>
      </c>
      <c r="C2818" s="1">
        <v>2181492</v>
      </c>
      <c r="D2818" s="1" t="s">
        <v>25</v>
      </c>
      <c r="E2818" s="36">
        <v>44105</v>
      </c>
      <c r="F2818" s="36">
        <v>44286</v>
      </c>
      <c r="G2818" s="38">
        <f t="shared" ref="G2818:G2881" si="44">F2818-E2818</f>
        <v>181</v>
      </c>
      <c r="H2818" s="5">
        <v>44109</v>
      </c>
      <c r="I2818" s="5">
        <v>44293</v>
      </c>
      <c r="J2818" s="1" t="s">
        <v>26</v>
      </c>
      <c r="K2818" s="1" t="s">
        <v>5917</v>
      </c>
      <c r="L2818" s="1" t="s">
        <v>5915</v>
      </c>
      <c r="M2818" s="1" t="s">
        <v>5916</v>
      </c>
      <c r="N2818" s="1" t="s">
        <v>38</v>
      </c>
      <c r="O2818" s="1" t="s">
        <v>162</v>
      </c>
      <c r="P2818" s="1" t="s">
        <v>163</v>
      </c>
      <c r="Q2818" s="1" t="s">
        <v>164</v>
      </c>
      <c r="R2818" s="1" t="s">
        <v>33</v>
      </c>
      <c r="S2818" s="1"/>
      <c r="U2818" s="1" t="s">
        <v>35</v>
      </c>
      <c r="V2818" s="1" t="s">
        <v>99</v>
      </c>
      <c r="W2818" s="1" t="str">
        <f>VLOOKUP(Table1[[#This Row],[Obergruppe ATC-Code]],Tabelle3!$A$2:$B$100,2)</f>
        <v>PSYCHOANALEPTIKA</v>
      </c>
      <c r="X2818" s="1" t="str">
        <f xml:space="preserve"> LEFT(Table1[[#This Row],[Atc Code]],3)</f>
        <v>N06</v>
      </c>
    </row>
    <row r="2819" spans="1:24" ht="14.4">
      <c r="A2819" s="14">
        <v>1172</v>
      </c>
      <c r="B2819" s="24">
        <v>10044346</v>
      </c>
      <c r="C2819" s="1">
        <v>2181492</v>
      </c>
      <c r="D2819" s="1" t="s">
        <v>25</v>
      </c>
      <c r="E2819" s="36">
        <v>44978</v>
      </c>
      <c r="F2819" s="36">
        <v>44998</v>
      </c>
      <c r="G2819" s="38">
        <f t="shared" si="44"/>
        <v>20</v>
      </c>
      <c r="H2819" s="5">
        <v>44978</v>
      </c>
      <c r="I2819" s="5">
        <v>44998</v>
      </c>
      <c r="J2819" s="1" t="s">
        <v>41</v>
      </c>
      <c r="K2819" s="1" t="s">
        <v>5917</v>
      </c>
      <c r="L2819" s="1" t="s">
        <v>5915</v>
      </c>
      <c r="M2819" s="1" t="s">
        <v>5916</v>
      </c>
      <c r="N2819" s="1" t="s">
        <v>38</v>
      </c>
      <c r="O2819" s="1" t="s">
        <v>162</v>
      </c>
      <c r="Q2819" s="1" t="s">
        <v>5376</v>
      </c>
      <c r="R2819" s="1" t="s">
        <v>128</v>
      </c>
      <c r="S2819" s="1"/>
      <c r="U2819" s="1" t="s">
        <v>130</v>
      </c>
      <c r="V2819" s="1" t="s">
        <v>99</v>
      </c>
      <c r="W2819" s="1" t="str">
        <f>VLOOKUP(Table1[[#This Row],[Obergruppe ATC-Code]],Tabelle3!$A$2:$B$100,2)</f>
        <v>PSYCHOANALEPTIKA</v>
      </c>
      <c r="X2819" s="1" t="str">
        <f xml:space="preserve"> LEFT(Table1[[#This Row],[Atc Code]],3)</f>
        <v>N06</v>
      </c>
    </row>
    <row r="2820" spans="1:24" ht="14.4">
      <c r="A2820" s="14">
        <v>1108</v>
      </c>
      <c r="B2820" s="24">
        <v>9335305</v>
      </c>
      <c r="C2820" s="1">
        <v>2175026</v>
      </c>
      <c r="D2820" s="1" t="s">
        <v>175</v>
      </c>
      <c r="E2820" s="36">
        <v>45135</v>
      </c>
      <c r="F2820" s="36">
        <v>45254</v>
      </c>
      <c r="G2820" s="38">
        <f t="shared" si="44"/>
        <v>119</v>
      </c>
      <c r="H2820" s="5">
        <v>45141</v>
      </c>
      <c r="I2820" s="5">
        <v>45141</v>
      </c>
      <c r="J2820" s="1" t="s">
        <v>26</v>
      </c>
      <c r="K2820" s="1" t="s">
        <v>5918</v>
      </c>
      <c r="L2820" s="1" t="s">
        <v>5915</v>
      </c>
      <c r="M2820" s="1" t="s">
        <v>5916</v>
      </c>
      <c r="N2820" s="1" t="s">
        <v>38</v>
      </c>
      <c r="O2820" s="1" t="s">
        <v>123</v>
      </c>
      <c r="Q2820" s="1" t="s">
        <v>201</v>
      </c>
      <c r="R2820" s="1" t="s">
        <v>113</v>
      </c>
      <c r="S2820" s="1"/>
      <c r="U2820" s="1" t="s">
        <v>130</v>
      </c>
      <c r="V2820" s="1" t="s">
        <v>99</v>
      </c>
      <c r="W2820" s="1" t="str">
        <f>VLOOKUP(Table1[[#This Row],[Obergruppe ATC-Code]],Tabelle3!$A$2:$B$100,2)</f>
        <v>PSYCHOANALEPTIKA</v>
      </c>
      <c r="X2820" s="1" t="str">
        <f xml:space="preserve"> LEFT(Table1[[#This Row],[Atc Code]],3)</f>
        <v>N06</v>
      </c>
    </row>
    <row r="2821" spans="1:24" ht="14.4">
      <c r="A2821" s="14">
        <v>2712</v>
      </c>
      <c r="B2821" s="24" t="s">
        <v>5919</v>
      </c>
      <c r="C2821" s="1">
        <v>2189267</v>
      </c>
      <c r="D2821" s="1" t="s">
        <v>25</v>
      </c>
      <c r="E2821" s="36">
        <v>44456</v>
      </c>
      <c r="F2821" s="36">
        <v>44497</v>
      </c>
      <c r="G2821" s="38">
        <f t="shared" si="44"/>
        <v>41</v>
      </c>
      <c r="H2821" s="5">
        <v>44456</v>
      </c>
      <c r="I2821" s="5">
        <v>44497</v>
      </c>
      <c r="J2821" s="1" t="s">
        <v>26</v>
      </c>
      <c r="K2821" s="1" t="s">
        <v>5920</v>
      </c>
      <c r="L2821" s="1" t="s">
        <v>5921</v>
      </c>
      <c r="M2821" s="1" t="s">
        <v>5922</v>
      </c>
      <c r="N2821" s="1" t="s">
        <v>38</v>
      </c>
      <c r="O2821" s="1" t="s">
        <v>52</v>
      </c>
      <c r="P2821" s="1" t="s">
        <v>53</v>
      </c>
      <c r="Q2821" s="1" t="s">
        <v>54</v>
      </c>
      <c r="R2821" s="1" t="s">
        <v>26</v>
      </c>
      <c r="S2821" s="1"/>
      <c r="U2821" s="1" t="s">
        <v>35</v>
      </c>
      <c r="V2821" s="1" t="s">
        <v>236</v>
      </c>
      <c r="W2821" s="1" t="str">
        <f>VLOOKUP(Table1[[#This Row],[Obergruppe ATC-Code]],Tabelle3!$A$2:$B$100,2)</f>
        <v>PSYCHOANALEPTIKA</v>
      </c>
      <c r="X2821" s="1" t="str">
        <f xml:space="preserve"> LEFT(Table1[[#This Row],[Atc Code]],3)</f>
        <v>N06</v>
      </c>
    </row>
    <row r="2822" spans="1:24" ht="14.4">
      <c r="A2822" s="14">
        <v>2713</v>
      </c>
      <c r="B2822" s="24" t="s">
        <v>5923</v>
      </c>
      <c r="C2822" s="1">
        <v>2189268</v>
      </c>
      <c r="D2822" s="1" t="s">
        <v>25</v>
      </c>
      <c r="E2822" s="36">
        <v>44456</v>
      </c>
      <c r="F2822" s="36">
        <v>44547</v>
      </c>
      <c r="G2822" s="38">
        <f t="shared" si="44"/>
        <v>91</v>
      </c>
      <c r="H2822" s="5">
        <v>44456</v>
      </c>
      <c r="I2822" s="5">
        <v>44547</v>
      </c>
      <c r="J2822" s="1" t="s">
        <v>26</v>
      </c>
      <c r="K2822" s="1" t="s">
        <v>5924</v>
      </c>
      <c r="L2822" s="1" t="s">
        <v>5921</v>
      </c>
      <c r="M2822" s="1" t="s">
        <v>5922</v>
      </c>
      <c r="N2822" s="1" t="s">
        <v>38</v>
      </c>
      <c r="O2822" s="1" t="s">
        <v>52</v>
      </c>
      <c r="P2822" s="1" t="s">
        <v>53</v>
      </c>
      <c r="Q2822" s="1" t="s">
        <v>54</v>
      </c>
      <c r="R2822" s="1" t="s">
        <v>26</v>
      </c>
      <c r="S2822" s="1"/>
      <c r="U2822" s="1" t="s">
        <v>35</v>
      </c>
      <c r="V2822" s="1" t="s">
        <v>236</v>
      </c>
      <c r="W2822" s="1" t="str">
        <f>VLOOKUP(Table1[[#This Row],[Obergruppe ATC-Code]],Tabelle3!$A$2:$B$100,2)</f>
        <v>PSYCHOANALEPTIKA</v>
      </c>
      <c r="X2822" s="1" t="str">
        <f xml:space="preserve"> LEFT(Table1[[#This Row],[Atc Code]],3)</f>
        <v>N06</v>
      </c>
    </row>
    <row r="2823" spans="1:24" ht="14.4">
      <c r="A2823" s="14">
        <v>2714</v>
      </c>
      <c r="B2823" s="24" t="s">
        <v>5925</v>
      </c>
      <c r="C2823" s="1">
        <v>2192416</v>
      </c>
      <c r="D2823" s="1" t="s">
        <v>25</v>
      </c>
      <c r="E2823" s="36">
        <v>44456</v>
      </c>
      <c r="F2823" s="36">
        <v>44557</v>
      </c>
      <c r="G2823" s="38">
        <f t="shared" si="44"/>
        <v>101</v>
      </c>
      <c r="H2823" s="5">
        <v>44456</v>
      </c>
      <c r="I2823" s="5">
        <v>44557</v>
      </c>
      <c r="J2823" s="1" t="s">
        <v>26</v>
      </c>
      <c r="K2823" s="1" t="s">
        <v>5926</v>
      </c>
      <c r="L2823" s="1" t="s">
        <v>5921</v>
      </c>
      <c r="M2823" s="1" t="s">
        <v>5922</v>
      </c>
      <c r="N2823" s="1" t="s">
        <v>38</v>
      </c>
      <c r="O2823" s="1" t="s">
        <v>52</v>
      </c>
      <c r="P2823" s="1" t="s">
        <v>53</v>
      </c>
      <c r="Q2823" s="1" t="s">
        <v>54</v>
      </c>
      <c r="R2823" s="1" t="s">
        <v>26</v>
      </c>
      <c r="S2823" s="1"/>
      <c r="U2823" s="1" t="s">
        <v>35</v>
      </c>
      <c r="V2823" s="1" t="s">
        <v>236</v>
      </c>
      <c r="W2823" s="1" t="str">
        <f>VLOOKUP(Table1[[#This Row],[Obergruppe ATC-Code]],Tabelle3!$A$2:$B$100,2)</f>
        <v>PSYCHOANALEPTIKA</v>
      </c>
      <c r="X2823" s="1" t="str">
        <f xml:space="preserve"> LEFT(Table1[[#This Row],[Atc Code]],3)</f>
        <v>N06</v>
      </c>
    </row>
    <row r="2824" spans="1:24" ht="14.4">
      <c r="A2824" s="14">
        <v>1670</v>
      </c>
      <c r="B2824" s="24" t="s">
        <v>5927</v>
      </c>
      <c r="C2824" s="1">
        <v>2710695</v>
      </c>
      <c r="D2824" s="1" t="s">
        <v>25</v>
      </c>
      <c r="E2824" s="36">
        <v>43617</v>
      </c>
      <c r="F2824" s="36">
        <v>43799</v>
      </c>
      <c r="G2824" s="38">
        <f t="shared" si="44"/>
        <v>182</v>
      </c>
      <c r="H2824" s="5">
        <v>43654</v>
      </c>
      <c r="I2824" s="5">
        <v>43760</v>
      </c>
      <c r="J2824" s="1" t="s">
        <v>26</v>
      </c>
      <c r="K2824" s="1" t="s">
        <v>5928</v>
      </c>
      <c r="L2824" s="1" t="s">
        <v>5929</v>
      </c>
      <c r="M2824" s="1" t="s">
        <v>5930</v>
      </c>
      <c r="N2824" s="1" t="s">
        <v>30</v>
      </c>
      <c r="O2824" s="1" t="s">
        <v>275</v>
      </c>
      <c r="P2824" s="1" t="s">
        <v>276</v>
      </c>
      <c r="Q2824" s="1" t="s">
        <v>277</v>
      </c>
      <c r="R2824" s="1" t="s">
        <v>33</v>
      </c>
      <c r="S2824" s="1"/>
      <c r="T2824" s="1" t="s">
        <v>5931</v>
      </c>
      <c r="U2824" s="1" t="s">
        <v>35</v>
      </c>
      <c r="V2824" s="1" t="s">
        <v>99</v>
      </c>
      <c r="W2824" s="1" t="str">
        <f>VLOOKUP(Table1[[#This Row],[Obergruppe ATC-Code]],Tabelle3!$A$2:$B$100,2)</f>
        <v>PSYCHOANALEPTIKA</v>
      </c>
      <c r="X2824" s="1" t="str">
        <f xml:space="preserve"> LEFT(Table1[[#This Row],[Atc Code]],3)</f>
        <v>N06</v>
      </c>
    </row>
    <row r="2825" spans="1:24" ht="14.4">
      <c r="A2825" s="14">
        <v>2906</v>
      </c>
      <c r="B2825" s="24" t="s">
        <v>5932</v>
      </c>
      <c r="C2825" s="1">
        <v>2188226</v>
      </c>
      <c r="D2825" s="1" t="s">
        <v>25</v>
      </c>
      <c r="E2825" s="36">
        <v>43831</v>
      </c>
      <c r="F2825" s="36">
        <v>43921</v>
      </c>
      <c r="G2825" s="38">
        <f t="shared" si="44"/>
        <v>90</v>
      </c>
      <c r="H2825" s="5">
        <v>43866</v>
      </c>
      <c r="I2825" s="5">
        <v>43924</v>
      </c>
      <c r="J2825" s="1" t="s">
        <v>26</v>
      </c>
      <c r="K2825" s="1" t="s">
        <v>5933</v>
      </c>
      <c r="L2825" s="1" t="s">
        <v>5929</v>
      </c>
      <c r="M2825" s="1" t="s">
        <v>5930</v>
      </c>
      <c r="N2825" s="1" t="s">
        <v>38</v>
      </c>
      <c r="O2825" s="1" t="s">
        <v>5934</v>
      </c>
      <c r="P2825" s="1" t="s">
        <v>1441</v>
      </c>
      <c r="Q2825" s="1" t="s">
        <v>1442</v>
      </c>
      <c r="R2825" s="1" t="s">
        <v>33</v>
      </c>
      <c r="S2825" s="1"/>
      <c r="U2825" s="1" t="s">
        <v>35</v>
      </c>
      <c r="V2825" s="1" t="s">
        <v>99</v>
      </c>
      <c r="W2825" s="1" t="str">
        <f>VLOOKUP(Table1[[#This Row],[Obergruppe ATC-Code]],Tabelle3!$A$2:$B$100,2)</f>
        <v>PSYCHOANALEPTIKA</v>
      </c>
      <c r="X2825" s="1" t="str">
        <f xml:space="preserve"> LEFT(Table1[[#This Row],[Atc Code]],3)</f>
        <v>N06</v>
      </c>
    </row>
    <row r="2826" spans="1:24" ht="15" customHeight="1">
      <c r="A2826" s="14">
        <v>2257</v>
      </c>
      <c r="B2826" s="24" t="s">
        <v>5935</v>
      </c>
      <c r="C2826" s="1">
        <v>2705247</v>
      </c>
      <c r="D2826" s="1" t="s">
        <v>25</v>
      </c>
      <c r="E2826" s="36">
        <v>43922</v>
      </c>
      <c r="F2826" s="36">
        <v>44012</v>
      </c>
      <c r="G2826" s="38">
        <f t="shared" si="44"/>
        <v>90</v>
      </c>
      <c r="H2826" s="5">
        <v>43942</v>
      </c>
      <c r="I2826" s="5">
        <v>43979</v>
      </c>
      <c r="J2826" s="1" t="s">
        <v>41</v>
      </c>
      <c r="K2826" s="1" t="s">
        <v>5936</v>
      </c>
      <c r="L2826" s="1" t="s">
        <v>5929</v>
      </c>
      <c r="M2826" s="1" t="s">
        <v>5930</v>
      </c>
      <c r="N2826" s="1" t="s">
        <v>30</v>
      </c>
      <c r="O2826" s="1" t="s">
        <v>275</v>
      </c>
      <c r="P2826" s="1" t="s">
        <v>276</v>
      </c>
      <c r="Q2826" s="1" t="s">
        <v>277</v>
      </c>
      <c r="R2826" s="1" t="s">
        <v>26</v>
      </c>
      <c r="S2826" s="1"/>
      <c r="T2826" s="1" t="s">
        <v>5937</v>
      </c>
      <c r="U2826" s="1" t="s">
        <v>35</v>
      </c>
      <c r="V2826" s="1" t="s">
        <v>99</v>
      </c>
      <c r="W2826" s="1" t="str">
        <f>VLOOKUP(Table1[[#This Row],[Obergruppe ATC-Code]],Tabelle3!$A$2:$B$100,2)</f>
        <v>PSYCHOANALEPTIKA</v>
      </c>
      <c r="X2826" s="1" t="str">
        <f xml:space="preserve"> LEFT(Table1[[#This Row],[Atc Code]],3)</f>
        <v>N06</v>
      </c>
    </row>
    <row r="2827" spans="1:24" ht="14.4">
      <c r="A2827" s="14">
        <v>2256</v>
      </c>
      <c r="B2827" s="24" t="s">
        <v>5938</v>
      </c>
      <c r="C2827" s="1">
        <v>2705246</v>
      </c>
      <c r="D2827" s="1" t="s">
        <v>25</v>
      </c>
      <c r="E2827" s="36">
        <v>43891</v>
      </c>
      <c r="F2827" s="36">
        <v>44043</v>
      </c>
      <c r="G2827" s="38">
        <f t="shared" si="44"/>
        <v>152</v>
      </c>
      <c r="H2827" s="5">
        <v>43942</v>
      </c>
      <c r="I2827" s="5">
        <v>44033</v>
      </c>
      <c r="J2827" s="1" t="s">
        <v>26</v>
      </c>
      <c r="K2827" s="1" t="s">
        <v>5939</v>
      </c>
      <c r="L2827" s="1" t="s">
        <v>5929</v>
      </c>
      <c r="M2827" s="1" t="s">
        <v>5930</v>
      </c>
      <c r="N2827" s="1" t="s">
        <v>30</v>
      </c>
      <c r="O2827" s="1" t="s">
        <v>275</v>
      </c>
      <c r="P2827" s="1" t="s">
        <v>276</v>
      </c>
      <c r="Q2827" s="1" t="s">
        <v>277</v>
      </c>
      <c r="R2827" s="1" t="s">
        <v>33</v>
      </c>
      <c r="S2827" s="1"/>
      <c r="T2827" s="1" t="s">
        <v>5940</v>
      </c>
      <c r="U2827" s="1" t="s">
        <v>35</v>
      </c>
      <c r="V2827" s="1" t="s">
        <v>99</v>
      </c>
      <c r="W2827" s="1" t="str">
        <f>VLOOKUP(Table1[[#This Row],[Obergruppe ATC-Code]],Tabelle3!$A$2:$B$100,2)</f>
        <v>PSYCHOANALEPTIKA</v>
      </c>
      <c r="X2827" s="1" t="str">
        <f xml:space="preserve"> LEFT(Table1[[#This Row],[Atc Code]],3)</f>
        <v>N06</v>
      </c>
    </row>
    <row r="2828" spans="1:24" ht="14.4">
      <c r="A2828" s="14">
        <v>2258</v>
      </c>
      <c r="B2828" s="24" t="s">
        <v>5941</v>
      </c>
      <c r="C2828" s="1">
        <v>2711078</v>
      </c>
      <c r="D2828" s="1" t="s">
        <v>25</v>
      </c>
      <c r="E2828" s="36">
        <v>44044</v>
      </c>
      <c r="F2828" s="36">
        <v>44104</v>
      </c>
      <c r="G2828" s="38">
        <f t="shared" si="44"/>
        <v>60</v>
      </c>
      <c r="H2828" s="5">
        <v>44050</v>
      </c>
      <c r="I2828" s="5">
        <v>44097</v>
      </c>
      <c r="J2828" s="1" t="s">
        <v>41</v>
      </c>
      <c r="K2828" s="1" t="s">
        <v>5942</v>
      </c>
      <c r="L2828" s="1" t="s">
        <v>5929</v>
      </c>
      <c r="M2828" s="1" t="s">
        <v>5930</v>
      </c>
      <c r="N2828" s="1" t="s">
        <v>30</v>
      </c>
      <c r="O2828" s="1" t="s">
        <v>275</v>
      </c>
      <c r="P2828" s="1" t="s">
        <v>276</v>
      </c>
      <c r="Q2828" s="1" t="s">
        <v>277</v>
      </c>
      <c r="R2828" s="1" t="s">
        <v>26</v>
      </c>
      <c r="S2828" s="1"/>
      <c r="U2828" s="1" t="s">
        <v>35</v>
      </c>
      <c r="V2828" s="1" t="s">
        <v>99</v>
      </c>
      <c r="W2828" s="1" t="str">
        <f>VLOOKUP(Table1[[#This Row],[Obergruppe ATC-Code]],Tabelle3!$A$2:$B$100,2)</f>
        <v>PSYCHOANALEPTIKA</v>
      </c>
      <c r="X2828" s="1" t="str">
        <f xml:space="preserve"> LEFT(Table1[[#This Row],[Atc Code]],3)</f>
        <v>N06</v>
      </c>
    </row>
    <row r="2829" spans="1:24" ht="14.4">
      <c r="A2829" s="14">
        <v>1672</v>
      </c>
      <c r="B2829" s="24" t="s">
        <v>5943</v>
      </c>
      <c r="C2829" s="1">
        <v>2710693</v>
      </c>
      <c r="D2829" s="1" t="s">
        <v>25</v>
      </c>
      <c r="E2829" s="36">
        <v>43983</v>
      </c>
      <c r="F2829" s="36">
        <v>44104</v>
      </c>
      <c r="G2829" s="38">
        <f t="shared" si="44"/>
        <v>121</v>
      </c>
      <c r="H2829" s="5">
        <v>44013</v>
      </c>
      <c r="I2829" s="5">
        <v>44097</v>
      </c>
      <c r="J2829" s="1" t="s">
        <v>26</v>
      </c>
      <c r="K2829" s="1" t="s">
        <v>5944</v>
      </c>
      <c r="L2829" s="1" t="s">
        <v>5929</v>
      </c>
      <c r="M2829" s="1" t="s">
        <v>5930</v>
      </c>
      <c r="N2829" s="1" t="s">
        <v>30</v>
      </c>
      <c r="O2829" s="1" t="s">
        <v>275</v>
      </c>
      <c r="P2829" s="1" t="s">
        <v>276</v>
      </c>
      <c r="Q2829" s="1" t="s">
        <v>277</v>
      </c>
      <c r="R2829" s="1" t="s">
        <v>33</v>
      </c>
      <c r="S2829" s="1"/>
      <c r="T2829" s="1" t="s">
        <v>5945</v>
      </c>
      <c r="U2829" s="1" t="s">
        <v>35</v>
      </c>
      <c r="V2829" s="1" t="s">
        <v>99</v>
      </c>
      <c r="W2829" s="1" t="str">
        <f>VLOOKUP(Table1[[#This Row],[Obergruppe ATC-Code]],Tabelle3!$A$2:$B$100,2)</f>
        <v>PSYCHOANALEPTIKA</v>
      </c>
      <c r="X2829" s="1" t="str">
        <f xml:space="preserve"> LEFT(Table1[[#This Row],[Atc Code]],3)</f>
        <v>N06</v>
      </c>
    </row>
    <row r="2830" spans="1:24" ht="14.4">
      <c r="A2830" s="14">
        <v>1671</v>
      </c>
      <c r="B2830" s="24" t="s">
        <v>5946</v>
      </c>
      <c r="C2830" s="1" t="s">
        <v>5947</v>
      </c>
      <c r="D2830" s="1" t="s">
        <v>102</v>
      </c>
      <c r="E2830" s="36">
        <v>44545</v>
      </c>
      <c r="F2830" s="36">
        <v>45352</v>
      </c>
      <c r="G2830" s="38">
        <f t="shared" si="44"/>
        <v>807</v>
      </c>
      <c r="H2830" s="5">
        <v>44610</v>
      </c>
      <c r="I2830" s="5">
        <v>45146</v>
      </c>
      <c r="J2830" s="1" t="s">
        <v>26</v>
      </c>
      <c r="K2830" s="1" t="s">
        <v>5948</v>
      </c>
      <c r="L2830" s="1" t="s">
        <v>5929</v>
      </c>
      <c r="M2830" s="1" t="s">
        <v>5930</v>
      </c>
      <c r="N2830" s="1" t="s">
        <v>30</v>
      </c>
      <c r="O2830" s="1" t="s">
        <v>275</v>
      </c>
      <c r="P2830" s="1">
        <v>6915036724</v>
      </c>
      <c r="Q2830" s="1" t="s">
        <v>5949</v>
      </c>
      <c r="R2830" s="1" t="s">
        <v>26</v>
      </c>
      <c r="S2830" s="1" t="s">
        <v>5950</v>
      </c>
      <c r="U2830" s="1" t="s">
        <v>35</v>
      </c>
      <c r="V2830" s="1" t="s">
        <v>99</v>
      </c>
      <c r="W2830" s="1" t="str">
        <f>VLOOKUP(Table1[[#This Row],[Obergruppe ATC-Code]],Tabelle3!$A$2:$B$100,2)</f>
        <v>PSYCHOANALEPTIKA</v>
      </c>
      <c r="X2830" s="1" t="str">
        <f xml:space="preserve"> LEFT(Table1[[#This Row],[Atc Code]],3)</f>
        <v>N06</v>
      </c>
    </row>
    <row r="2831" spans="1:24" ht="14.4">
      <c r="A2831" s="14">
        <v>1308</v>
      </c>
      <c r="B2831" s="24">
        <v>12480175</v>
      </c>
      <c r="C2831" s="1">
        <v>2710483</v>
      </c>
      <c r="D2831" s="1" t="s">
        <v>175</v>
      </c>
      <c r="E2831" s="36">
        <v>45159</v>
      </c>
      <c r="F2831" s="36">
        <v>45382</v>
      </c>
      <c r="G2831" s="38">
        <f t="shared" si="44"/>
        <v>223</v>
      </c>
      <c r="H2831" s="5">
        <v>45154</v>
      </c>
      <c r="I2831" s="5">
        <v>45154</v>
      </c>
      <c r="J2831" s="1" t="s">
        <v>26</v>
      </c>
      <c r="K2831" s="1" t="s">
        <v>5951</v>
      </c>
      <c r="L2831" s="1" t="s">
        <v>5929</v>
      </c>
      <c r="M2831" s="1" t="s">
        <v>5930</v>
      </c>
      <c r="N2831" s="1" t="s">
        <v>38</v>
      </c>
      <c r="O2831" s="1" t="s">
        <v>45</v>
      </c>
      <c r="P2831" s="1" t="s">
        <v>118</v>
      </c>
      <c r="R2831" s="1" t="s">
        <v>113</v>
      </c>
      <c r="S2831" s="1"/>
      <c r="U2831" s="1" t="s">
        <v>130</v>
      </c>
      <c r="V2831" s="1" t="s">
        <v>99</v>
      </c>
      <c r="W2831" s="1" t="str">
        <f>VLOOKUP(Table1[[#This Row],[Obergruppe ATC-Code]],Tabelle3!$A$2:$B$100,2)</f>
        <v>PSYCHOANALEPTIKA</v>
      </c>
      <c r="X2831" s="1" t="str">
        <f xml:space="preserve"> LEFT(Table1[[#This Row],[Atc Code]],3)</f>
        <v>N06</v>
      </c>
    </row>
    <row r="2832" spans="1:24" ht="14.4">
      <c r="A2832" s="14">
        <v>2856</v>
      </c>
      <c r="B2832" s="24" t="s">
        <v>5952</v>
      </c>
      <c r="C2832" s="1">
        <v>222166</v>
      </c>
      <c r="D2832" s="1" t="s">
        <v>25</v>
      </c>
      <c r="E2832" s="36">
        <v>43160</v>
      </c>
      <c r="F2832" s="36">
        <v>43251</v>
      </c>
      <c r="G2832" s="38">
        <f t="shared" si="44"/>
        <v>91</v>
      </c>
      <c r="H2832" s="5">
        <v>43188</v>
      </c>
      <c r="I2832" s="5">
        <v>43255</v>
      </c>
      <c r="J2832" s="1" t="s">
        <v>26</v>
      </c>
      <c r="K2832" s="1" t="s">
        <v>5953</v>
      </c>
      <c r="L2832" s="1" t="s">
        <v>5954</v>
      </c>
      <c r="M2832" s="1" t="s">
        <v>5955</v>
      </c>
      <c r="N2832" s="1" t="s">
        <v>30</v>
      </c>
      <c r="O2832" s="1" t="s">
        <v>718</v>
      </c>
      <c r="P2832" s="1" t="s">
        <v>719</v>
      </c>
      <c r="Q2832" s="1" t="s">
        <v>720</v>
      </c>
      <c r="R2832" s="1" t="s">
        <v>33</v>
      </c>
      <c r="S2832" s="1"/>
      <c r="U2832" s="1" t="s">
        <v>35</v>
      </c>
      <c r="V2832" s="1" t="s">
        <v>74</v>
      </c>
      <c r="W2832" s="1" t="str">
        <f>VLOOKUP(Table1[[#This Row],[Obergruppe ATC-Code]],Tabelle3!$A$2:$B$100,2)</f>
        <v>ANDERE MITTEL FÜR DAS NERVENSYSTEM</v>
      </c>
      <c r="X2832" s="1" t="str">
        <f xml:space="preserve"> LEFT(Table1[[#This Row],[Atc Code]],3)</f>
        <v>N07</v>
      </c>
    </row>
    <row r="2833" spans="1:24" ht="14.4">
      <c r="A2833" s="14">
        <v>1641</v>
      </c>
      <c r="B2833" s="24" t="s">
        <v>5956</v>
      </c>
      <c r="C2833" s="1">
        <v>37173</v>
      </c>
      <c r="D2833" s="1" t="s">
        <v>25</v>
      </c>
      <c r="E2833" s="36">
        <v>43101</v>
      </c>
      <c r="F2833" s="36">
        <v>43373</v>
      </c>
      <c r="G2833" s="38">
        <f t="shared" si="44"/>
        <v>272</v>
      </c>
      <c r="H2833" s="5">
        <v>43137</v>
      </c>
      <c r="I2833" s="5">
        <v>43343</v>
      </c>
      <c r="J2833" s="1" t="s">
        <v>41</v>
      </c>
      <c r="K2833" s="1" t="s">
        <v>5957</v>
      </c>
      <c r="L2833" s="1" t="s">
        <v>5958</v>
      </c>
      <c r="M2833" s="1" t="s">
        <v>5959</v>
      </c>
      <c r="N2833" s="1" t="s">
        <v>30</v>
      </c>
      <c r="O2833" s="1" t="s">
        <v>1114</v>
      </c>
      <c r="P2833" s="1" t="s">
        <v>5960</v>
      </c>
      <c r="Q2833" s="1" t="s">
        <v>1056</v>
      </c>
      <c r="R2833" s="1" t="s">
        <v>165</v>
      </c>
      <c r="S2833" s="1"/>
      <c r="U2833" s="1" t="s">
        <v>35</v>
      </c>
      <c r="V2833" s="1" t="s">
        <v>74</v>
      </c>
      <c r="W2833" s="1" t="str">
        <f>VLOOKUP(Table1[[#This Row],[Obergruppe ATC-Code]],Tabelle3!$A$2:$B$100,2)</f>
        <v>ANDERE MITTEL FÜR DAS NERVENSYSTEM</v>
      </c>
      <c r="X2833" s="1" t="str">
        <f xml:space="preserve"> LEFT(Table1[[#This Row],[Atc Code]],3)</f>
        <v>N07</v>
      </c>
    </row>
    <row r="2834" spans="1:24" ht="14.4">
      <c r="A2834" s="14">
        <v>2914</v>
      </c>
      <c r="B2834" s="24" t="s">
        <v>5961</v>
      </c>
      <c r="C2834" s="1">
        <v>2134384</v>
      </c>
      <c r="D2834" s="1" t="s">
        <v>25</v>
      </c>
      <c r="E2834" s="36">
        <v>43678</v>
      </c>
      <c r="F2834" s="36">
        <v>43799</v>
      </c>
      <c r="G2834" s="38">
        <f t="shared" si="44"/>
        <v>121</v>
      </c>
      <c r="H2834" s="5">
        <v>43692</v>
      </c>
      <c r="I2834" s="5">
        <v>43775</v>
      </c>
      <c r="J2834" s="1" t="s">
        <v>41</v>
      </c>
      <c r="K2834" s="1" t="s">
        <v>5962</v>
      </c>
      <c r="L2834" s="1" t="s">
        <v>5963</v>
      </c>
      <c r="M2834" s="1" t="s">
        <v>5964</v>
      </c>
      <c r="N2834" s="1" t="s">
        <v>30</v>
      </c>
      <c r="O2834" s="1" t="s">
        <v>548</v>
      </c>
      <c r="P2834" s="1">
        <v>8004288373</v>
      </c>
      <c r="Q2834" s="1" t="s">
        <v>549</v>
      </c>
      <c r="R2834" s="1" t="s">
        <v>26</v>
      </c>
      <c r="S2834" s="1"/>
      <c r="U2834" s="1" t="s">
        <v>35</v>
      </c>
      <c r="V2834" s="1" t="s">
        <v>143</v>
      </c>
      <c r="W2834" s="1" t="str">
        <f>VLOOKUP(Table1[[#This Row],[Obergruppe ATC-Code]],Tabelle3!$A$2:$B$100,2)</f>
        <v>ANDERE MITTEL FÜR DAS NERVENSYSTEM</v>
      </c>
      <c r="X2834" s="1" t="str">
        <f xml:space="preserve"> LEFT(Table1[[#This Row],[Atc Code]],3)</f>
        <v>N07</v>
      </c>
    </row>
    <row r="2835" spans="1:24" ht="14.4">
      <c r="A2835" s="14">
        <v>2913</v>
      </c>
      <c r="B2835" s="24" t="s">
        <v>5961</v>
      </c>
      <c r="C2835" s="1">
        <v>2134384</v>
      </c>
      <c r="D2835" s="1" t="s">
        <v>25</v>
      </c>
      <c r="E2835" s="36">
        <v>43800</v>
      </c>
      <c r="F2835" s="36">
        <v>43921</v>
      </c>
      <c r="G2835" s="38">
        <f t="shared" si="44"/>
        <v>121</v>
      </c>
      <c r="H2835" s="5">
        <v>43832</v>
      </c>
      <c r="I2835" s="5">
        <v>43900</v>
      </c>
      <c r="J2835" s="1" t="s">
        <v>26</v>
      </c>
      <c r="K2835" s="1" t="s">
        <v>5962</v>
      </c>
      <c r="L2835" s="1" t="s">
        <v>5963</v>
      </c>
      <c r="M2835" s="1" t="s">
        <v>5964</v>
      </c>
      <c r="N2835" s="1" t="s">
        <v>30</v>
      </c>
      <c r="O2835" s="1" t="s">
        <v>548</v>
      </c>
      <c r="P2835" s="1">
        <v>8004288373</v>
      </c>
      <c r="Q2835" s="1" t="s">
        <v>549</v>
      </c>
      <c r="R2835" s="1" t="s">
        <v>33</v>
      </c>
      <c r="S2835" s="1"/>
      <c r="U2835" s="1" t="s">
        <v>35</v>
      </c>
      <c r="V2835" s="1" t="s">
        <v>143</v>
      </c>
      <c r="W2835" s="1" t="str">
        <f>VLOOKUP(Table1[[#This Row],[Obergruppe ATC-Code]],Tabelle3!$A$2:$B$100,2)</f>
        <v>ANDERE MITTEL FÜR DAS NERVENSYSTEM</v>
      </c>
      <c r="X2835" s="1" t="str">
        <f xml:space="preserve"> LEFT(Table1[[#This Row],[Atc Code]],3)</f>
        <v>N07</v>
      </c>
    </row>
    <row r="2836" spans="1:24" ht="14.4">
      <c r="A2836" s="14">
        <v>2442</v>
      </c>
      <c r="B2836" s="24" t="s">
        <v>5965</v>
      </c>
      <c r="C2836" s="1">
        <v>2142450</v>
      </c>
      <c r="D2836" s="1" t="s">
        <v>25</v>
      </c>
      <c r="E2836" s="36">
        <v>45020</v>
      </c>
      <c r="F2836" s="36">
        <v>45169</v>
      </c>
      <c r="G2836" s="38">
        <f t="shared" si="44"/>
        <v>149</v>
      </c>
      <c r="H2836" s="5">
        <v>45021</v>
      </c>
      <c r="I2836" s="5">
        <v>45170</v>
      </c>
      <c r="J2836" s="1" t="s">
        <v>26</v>
      </c>
      <c r="K2836" s="1" t="s">
        <v>5966</v>
      </c>
      <c r="L2836" s="1" t="s">
        <v>5967</v>
      </c>
      <c r="M2836" s="1" t="s">
        <v>5968</v>
      </c>
      <c r="N2836" s="1" t="s">
        <v>30</v>
      </c>
      <c r="O2836" s="1" t="s">
        <v>91</v>
      </c>
      <c r="Q2836" s="1" t="s">
        <v>93</v>
      </c>
      <c r="R2836" s="1" t="s">
        <v>26</v>
      </c>
      <c r="S2836" s="1"/>
      <c r="T2836" s="1" t="s">
        <v>5969</v>
      </c>
      <c r="U2836" s="1" t="s">
        <v>130</v>
      </c>
      <c r="V2836" s="1" t="s">
        <v>5970</v>
      </c>
      <c r="W2836" s="1" t="str">
        <f>VLOOKUP(Table1[[#This Row],[Obergruppe ATC-Code]],Tabelle3!$A$2:$B$100,2)</f>
        <v>ANDERE MITTEL FÜR DAS NERVENSYSTEM</v>
      </c>
      <c r="X2836" s="1" t="str">
        <f xml:space="preserve"> LEFT(Table1[[#This Row],[Atc Code]],3)</f>
        <v>N07</v>
      </c>
    </row>
    <row r="2837" spans="1:24" ht="14.4">
      <c r="A2837" s="14">
        <v>1542</v>
      </c>
      <c r="B2837" s="24">
        <v>16512624</v>
      </c>
      <c r="C2837" s="1">
        <v>2715900</v>
      </c>
      <c r="D2837" s="1" t="s">
        <v>25</v>
      </c>
      <c r="E2837" s="36">
        <v>44166</v>
      </c>
      <c r="F2837" s="36">
        <v>44227</v>
      </c>
      <c r="G2837" s="38">
        <f t="shared" si="44"/>
        <v>61</v>
      </c>
      <c r="H2837" s="5">
        <v>44179</v>
      </c>
      <c r="I2837" s="5">
        <v>44201</v>
      </c>
      <c r="J2837" s="1" t="s">
        <v>26</v>
      </c>
      <c r="K2837" s="1" t="s">
        <v>5971</v>
      </c>
      <c r="L2837" s="1" t="s">
        <v>5972</v>
      </c>
      <c r="M2837" s="1" t="s">
        <v>5973</v>
      </c>
      <c r="N2837" s="1" t="s">
        <v>30</v>
      </c>
      <c r="O2837" s="1" t="s">
        <v>5053</v>
      </c>
      <c r="P2837" s="1" t="s">
        <v>5051</v>
      </c>
      <c r="Q2837" s="1" t="s">
        <v>5052</v>
      </c>
      <c r="R2837" s="1" t="s">
        <v>33</v>
      </c>
      <c r="S2837" s="1"/>
      <c r="U2837" s="1" t="s">
        <v>35</v>
      </c>
      <c r="V2837" s="1" t="s">
        <v>5974</v>
      </c>
      <c r="W2837" s="1" t="str">
        <f>VLOOKUP(Table1[[#This Row],[Obergruppe ATC-Code]],Tabelle3!$A$2:$B$100,2)</f>
        <v>ANDERE MITTEL FÜR DAS NERVENSYSTEM</v>
      </c>
      <c r="X2837" s="1" t="str">
        <f xml:space="preserve"> LEFT(Table1[[#This Row],[Atc Code]],3)</f>
        <v>N07</v>
      </c>
    </row>
    <row r="2838" spans="1:24" ht="14.4">
      <c r="A2838" s="14">
        <v>1538</v>
      </c>
      <c r="B2838" s="24">
        <v>16512618</v>
      </c>
      <c r="C2838" s="1">
        <v>2715897</v>
      </c>
      <c r="D2838" s="1" t="s">
        <v>25</v>
      </c>
      <c r="E2838" s="36">
        <v>44166</v>
      </c>
      <c r="F2838" s="36">
        <v>44227</v>
      </c>
      <c r="G2838" s="38">
        <f t="shared" si="44"/>
        <v>61</v>
      </c>
      <c r="H2838" s="5">
        <v>44179</v>
      </c>
      <c r="I2838" s="5">
        <v>44201</v>
      </c>
      <c r="J2838" s="1" t="s">
        <v>26</v>
      </c>
      <c r="K2838" s="1" t="s">
        <v>5975</v>
      </c>
      <c r="L2838" s="1" t="s">
        <v>5972</v>
      </c>
      <c r="M2838" s="1" t="s">
        <v>5973</v>
      </c>
      <c r="N2838" s="1" t="s">
        <v>30</v>
      </c>
      <c r="O2838" s="1" t="s">
        <v>5053</v>
      </c>
      <c r="P2838" s="1" t="s">
        <v>5051</v>
      </c>
      <c r="Q2838" s="1" t="s">
        <v>5052</v>
      </c>
      <c r="R2838" s="1" t="s">
        <v>33</v>
      </c>
      <c r="S2838" s="1"/>
      <c r="U2838" s="1" t="s">
        <v>35</v>
      </c>
      <c r="V2838" s="1" t="s">
        <v>5974</v>
      </c>
      <c r="W2838" s="1" t="str">
        <f>VLOOKUP(Table1[[#This Row],[Obergruppe ATC-Code]],Tabelle3!$A$2:$B$100,2)</f>
        <v>ANDERE MITTEL FÜR DAS NERVENSYSTEM</v>
      </c>
      <c r="X2838" s="1" t="str">
        <f xml:space="preserve"> LEFT(Table1[[#This Row],[Atc Code]],3)</f>
        <v>N07</v>
      </c>
    </row>
    <row r="2839" spans="1:24" ht="14.4">
      <c r="A2839" s="14">
        <v>1534</v>
      </c>
      <c r="B2839" s="24">
        <v>16512593</v>
      </c>
      <c r="C2839" s="1">
        <v>2715891</v>
      </c>
      <c r="D2839" s="1" t="s">
        <v>25</v>
      </c>
      <c r="E2839" s="36">
        <v>44166</v>
      </c>
      <c r="F2839" s="36">
        <v>44227</v>
      </c>
      <c r="G2839" s="38">
        <f t="shared" si="44"/>
        <v>61</v>
      </c>
      <c r="H2839" s="5">
        <v>44179</v>
      </c>
      <c r="I2839" s="5">
        <v>44201</v>
      </c>
      <c r="J2839" s="1" t="s">
        <v>26</v>
      </c>
      <c r="K2839" s="1" t="s">
        <v>5976</v>
      </c>
      <c r="L2839" s="1" t="s">
        <v>5972</v>
      </c>
      <c r="M2839" s="1" t="s">
        <v>5973</v>
      </c>
      <c r="N2839" s="1" t="s">
        <v>30</v>
      </c>
      <c r="O2839" s="1" t="s">
        <v>5053</v>
      </c>
      <c r="P2839" s="1" t="s">
        <v>5051</v>
      </c>
      <c r="Q2839" s="1" t="s">
        <v>5052</v>
      </c>
      <c r="R2839" s="1" t="s">
        <v>33</v>
      </c>
      <c r="S2839" s="1"/>
      <c r="U2839" s="1" t="s">
        <v>35</v>
      </c>
      <c r="V2839" s="1" t="s">
        <v>5974</v>
      </c>
      <c r="W2839" s="1" t="str">
        <f>VLOOKUP(Table1[[#This Row],[Obergruppe ATC-Code]],Tabelle3!$A$2:$B$100,2)</f>
        <v>ANDERE MITTEL FÜR DAS NERVENSYSTEM</v>
      </c>
      <c r="X2839" s="1" t="str">
        <f xml:space="preserve"> LEFT(Table1[[#This Row],[Atc Code]],3)</f>
        <v>N07</v>
      </c>
    </row>
    <row r="2840" spans="1:24" ht="14.4">
      <c r="A2840" s="14">
        <v>1541</v>
      </c>
      <c r="B2840" s="24">
        <v>16512624</v>
      </c>
      <c r="C2840" s="1">
        <v>2715900</v>
      </c>
      <c r="D2840" s="1" t="s">
        <v>25</v>
      </c>
      <c r="E2840" s="36">
        <v>44228</v>
      </c>
      <c r="F2840" s="36">
        <v>44286</v>
      </c>
      <c r="G2840" s="38">
        <f t="shared" si="44"/>
        <v>58</v>
      </c>
      <c r="H2840" s="5">
        <v>44231</v>
      </c>
      <c r="I2840" s="5">
        <v>44263</v>
      </c>
      <c r="J2840" s="1" t="s">
        <v>26</v>
      </c>
      <c r="K2840" s="1" t="s">
        <v>5971</v>
      </c>
      <c r="L2840" s="1" t="s">
        <v>5972</v>
      </c>
      <c r="M2840" s="1" t="s">
        <v>5973</v>
      </c>
      <c r="N2840" s="1" t="s">
        <v>30</v>
      </c>
      <c r="O2840" s="1" t="s">
        <v>5053</v>
      </c>
      <c r="P2840" s="1" t="s">
        <v>5051</v>
      </c>
      <c r="Q2840" s="1" t="s">
        <v>5052</v>
      </c>
      <c r="R2840" s="1" t="s">
        <v>33</v>
      </c>
      <c r="S2840" s="1"/>
      <c r="U2840" s="1" t="s">
        <v>35</v>
      </c>
      <c r="V2840" s="1" t="s">
        <v>5974</v>
      </c>
      <c r="W2840" s="1" t="str">
        <f>VLOOKUP(Table1[[#This Row],[Obergruppe ATC-Code]],Tabelle3!$A$2:$B$100,2)</f>
        <v>ANDERE MITTEL FÜR DAS NERVENSYSTEM</v>
      </c>
      <c r="X2840" s="1" t="str">
        <f xml:space="preserve"> LEFT(Table1[[#This Row],[Atc Code]],3)</f>
        <v>N07</v>
      </c>
    </row>
    <row r="2841" spans="1:24" ht="14.4">
      <c r="A2841" s="14">
        <v>1537</v>
      </c>
      <c r="B2841" s="24">
        <v>16512618</v>
      </c>
      <c r="C2841" s="1">
        <v>2715897</v>
      </c>
      <c r="D2841" s="1" t="s">
        <v>25</v>
      </c>
      <c r="E2841" s="36">
        <v>44228</v>
      </c>
      <c r="F2841" s="36">
        <v>44286</v>
      </c>
      <c r="G2841" s="38">
        <f t="shared" si="44"/>
        <v>58</v>
      </c>
      <c r="H2841" s="5">
        <v>44231</v>
      </c>
      <c r="I2841" s="5">
        <v>44263</v>
      </c>
      <c r="J2841" s="1" t="s">
        <v>26</v>
      </c>
      <c r="K2841" s="1" t="s">
        <v>5975</v>
      </c>
      <c r="L2841" s="1" t="s">
        <v>5972</v>
      </c>
      <c r="M2841" s="1" t="s">
        <v>5973</v>
      </c>
      <c r="N2841" s="1" t="s">
        <v>30</v>
      </c>
      <c r="O2841" s="1" t="s">
        <v>5053</v>
      </c>
      <c r="P2841" s="1" t="s">
        <v>5051</v>
      </c>
      <c r="Q2841" s="1" t="s">
        <v>5052</v>
      </c>
      <c r="R2841" s="1" t="s">
        <v>33</v>
      </c>
      <c r="S2841" s="1"/>
      <c r="U2841" s="1" t="s">
        <v>35</v>
      </c>
      <c r="V2841" s="1" t="s">
        <v>5974</v>
      </c>
      <c r="W2841" s="1" t="str">
        <f>VLOOKUP(Table1[[#This Row],[Obergruppe ATC-Code]],Tabelle3!$A$2:$B$100,2)</f>
        <v>ANDERE MITTEL FÜR DAS NERVENSYSTEM</v>
      </c>
      <c r="X2841" s="1" t="str">
        <f xml:space="preserve"> LEFT(Table1[[#This Row],[Atc Code]],3)</f>
        <v>N07</v>
      </c>
    </row>
    <row r="2842" spans="1:24" ht="14.4">
      <c r="A2842" s="14">
        <v>1533</v>
      </c>
      <c r="B2842" s="24">
        <v>16512593</v>
      </c>
      <c r="C2842" s="1">
        <v>2715891</v>
      </c>
      <c r="D2842" s="1" t="s">
        <v>25</v>
      </c>
      <c r="E2842" s="36">
        <v>44228</v>
      </c>
      <c r="F2842" s="36">
        <v>44286</v>
      </c>
      <c r="G2842" s="38">
        <f t="shared" si="44"/>
        <v>58</v>
      </c>
      <c r="H2842" s="5">
        <v>44231</v>
      </c>
      <c r="I2842" s="5">
        <v>44263</v>
      </c>
      <c r="J2842" s="1" t="s">
        <v>26</v>
      </c>
      <c r="K2842" s="1" t="s">
        <v>5976</v>
      </c>
      <c r="L2842" s="1" t="s">
        <v>5972</v>
      </c>
      <c r="M2842" s="1" t="s">
        <v>5973</v>
      </c>
      <c r="N2842" s="1" t="s">
        <v>30</v>
      </c>
      <c r="O2842" s="1" t="s">
        <v>5053</v>
      </c>
      <c r="P2842" s="1" t="s">
        <v>5051</v>
      </c>
      <c r="Q2842" s="1" t="s">
        <v>5052</v>
      </c>
      <c r="R2842" s="1" t="s">
        <v>33</v>
      </c>
      <c r="S2842" s="1"/>
      <c r="U2842" s="1" t="s">
        <v>35</v>
      </c>
      <c r="V2842" s="1" t="s">
        <v>5974</v>
      </c>
      <c r="W2842" s="1" t="str">
        <f>VLOOKUP(Table1[[#This Row],[Obergruppe ATC-Code]],Tabelle3!$A$2:$B$100,2)</f>
        <v>ANDERE MITTEL FÜR DAS NERVENSYSTEM</v>
      </c>
      <c r="X2842" s="1" t="str">
        <f xml:space="preserve"> LEFT(Table1[[#This Row],[Atc Code]],3)</f>
        <v>N07</v>
      </c>
    </row>
    <row r="2843" spans="1:24" ht="14.4">
      <c r="A2843" s="14">
        <v>1543</v>
      </c>
      <c r="B2843" s="24">
        <v>16512624</v>
      </c>
      <c r="C2843" s="1">
        <v>2715900</v>
      </c>
      <c r="D2843" s="1" t="s">
        <v>25</v>
      </c>
      <c r="E2843" s="36">
        <v>44579</v>
      </c>
      <c r="F2843" s="36">
        <v>44635</v>
      </c>
      <c r="G2843" s="38">
        <f t="shared" si="44"/>
        <v>56</v>
      </c>
      <c r="H2843" s="5">
        <v>44574</v>
      </c>
      <c r="I2843" s="5">
        <v>44634</v>
      </c>
      <c r="J2843" s="1" t="s">
        <v>26</v>
      </c>
      <c r="K2843" s="1" t="s">
        <v>5971</v>
      </c>
      <c r="L2843" s="1" t="s">
        <v>5972</v>
      </c>
      <c r="M2843" s="1" t="s">
        <v>5973</v>
      </c>
      <c r="N2843" s="1" t="s">
        <v>30</v>
      </c>
      <c r="O2843" s="1" t="s">
        <v>5053</v>
      </c>
      <c r="P2843" s="1" t="s">
        <v>5055</v>
      </c>
      <c r="Q2843" s="1" t="s">
        <v>5052</v>
      </c>
      <c r="R2843" s="1" t="s">
        <v>26</v>
      </c>
      <c r="S2843" s="1"/>
      <c r="U2843" s="1" t="s">
        <v>35</v>
      </c>
      <c r="V2843" s="1" t="s">
        <v>5974</v>
      </c>
      <c r="W2843" s="1" t="str">
        <f>VLOOKUP(Table1[[#This Row],[Obergruppe ATC-Code]],Tabelle3!$A$2:$B$100,2)</f>
        <v>ANDERE MITTEL FÜR DAS NERVENSYSTEM</v>
      </c>
      <c r="X2843" s="1" t="str">
        <f xml:space="preserve"> LEFT(Table1[[#This Row],[Atc Code]],3)</f>
        <v>N07</v>
      </c>
    </row>
    <row r="2844" spans="1:24" ht="14.4">
      <c r="A2844" s="14">
        <v>1540</v>
      </c>
      <c r="B2844" s="24">
        <v>16512618</v>
      </c>
      <c r="C2844" s="1">
        <v>2715897</v>
      </c>
      <c r="D2844" s="1" t="s">
        <v>25</v>
      </c>
      <c r="E2844" s="36">
        <v>44586</v>
      </c>
      <c r="F2844" s="36">
        <v>44635</v>
      </c>
      <c r="G2844" s="38">
        <f t="shared" si="44"/>
        <v>49</v>
      </c>
      <c r="H2844" s="5">
        <v>44586</v>
      </c>
      <c r="I2844" s="5">
        <v>44634</v>
      </c>
      <c r="J2844" s="1" t="s">
        <v>26</v>
      </c>
      <c r="K2844" s="1" t="s">
        <v>5975</v>
      </c>
      <c r="L2844" s="1" t="s">
        <v>5972</v>
      </c>
      <c r="M2844" s="1" t="s">
        <v>5973</v>
      </c>
      <c r="N2844" s="1" t="s">
        <v>30</v>
      </c>
      <c r="O2844" s="1" t="s">
        <v>5053</v>
      </c>
      <c r="P2844" s="1" t="s">
        <v>5055</v>
      </c>
      <c r="Q2844" s="1" t="s">
        <v>5052</v>
      </c>
      <c r="R2844" s="1" t="s">
        <v>26</v>
      </c>
      <c r="S2844" s="1"/>
      <c r="U2844" s="1" t="s">
        <v>35</v>
      </c>
      <c r="V2844" s="1" t="s">
        <v>5974</v>
      </c>
      <c r="W2844" s="1" t="str">
        <f>VLOOKUP(Table1[[#This Row],[Obergruppe ATC-Code]],Tabelle3!$A$2:$B$100,2)</f>
        <v>ANDERE MITTEL FÜR DAS NERVENSYSTEM</v>
      </c>
      <c r="X2844" s="1" t="str">
        <f xml:space="preserve"> LEFT(Table1[[#This Row],[Atc Code]],3)</f>
        <v>N07</v>
      </c>
    </row>
    <row r="2845" spans="1:24" ht="14.4">
      <c r="A2845" s="14">
        <v>1536</v>
      </c>
      <c r="B2845" s="24">
        <v>16512593</v>
      </c>
      <c r="C2845" s="1">
        <v>2715891</v>
      </c>
      <c r="D2845" s="1" t="s">
        <v>25</v>
      </c>
      <c r="E2845" s="36">
        <v>44579</v>
      </c>
      <c r="F2845" s="36">
        <v>44635</v>
      </c>
      <c r="G2845" s="38">
        <f t="shared" si="44"/>
        <v>56</v>
      </c>
      <c r="H2845" s="5">
        <v>44574</v>
      </c>
      <c r="I2845" s="5">
        <v>44634</v>
      </c>
      <c r="J2845" s="1" t="s">
        <v>26</v>
      </c>
      <c r="K2845" s="1" t="s">
        <v>5976</v>
      </c>
      <c r="L2845" s="1" t="s">
        <v>5972</v>
      </c>
      <c r="M2845" s="1" t="s">
        <v>5973</v>
      </c>
      <c r="N2845" s="1" t="s">
        <v>30</v>
      </c>
      <c r="O2845" s="1" t="s">
        <v>5053</v>
      </c>
      <c r="P2845" s="1" t="s">
        <v>5055</v>
      </c>
      <c r="Q2845" s="1" t="s">
        <v>5052</v>
      </c>
      <c r="R2845" s="1" t="s">
        <v>26</v>
      </c>
      <c r="S2845" s="1"/>
      <c r="U2845" s="1" t="s">
        <v>35</v>
      </c>
      <c r="V2845" s="1" t="s">
        <v>5974</v>
      </c>
      <c r="W2845" s="1" t="str">
        <f>VLOOKUP(Table1[[#This Row],[Obergruppe ATC-Code]],Tabelle3!$A$2:$B$100,2)</f>
        <v>ANDERE MITTEL FÜR DAS NERVENSYSTEM</v>
      </c>
      <c r="X2845" s="1" t="str">
        <f xml:space="preserve"> LEFT(Table1[[#This Row],[Atc Code]],3)</f>
        <v>N07</v>
      </c>
    </row>
    <row r="2846" spans="1:24" ht="14.4">
      <c r="A2846" s="14">
        <v>1275</v>
      </c>
      <c r="B2846" s="24">
        <v>11677651</v>
      </c>
      <c r="C2846" s="1">
        <v>2712897</v>
      </c>
      <c r="D2846" s="1" t="s">
        <v>25</v>
      </c>
      <c r="E2846" s="36">
        <v>44697</v>
      </c>
      <c r="F2846" s="36">
        <v>44711</v>
      </c>
      <c r="G2846" s="38">
        <f t="shared" si="44"/>
        <v>14</v>
      </c>
      <c r="H2846" s="5">
        <v>44659</v>
      </c>
      <c r="I2846" s="5">
        <v>44711</v>
      </c>
      <c r="J2846" s="1" t="s">
        <v>26</v>
      </c>
      <c r="K2846" s="1" t="s">
        <v>5977</v>
      </c>
      <c r="L2846" s="1" t="s">
        <v>5972</v>
      </c>
      <c r="M2846" s="1" t="s">
        <v>5973</v>
      </c>
      <c r="N2846" s="1" t="s">
        <v>30</v>
      </c>
      <c r="O2846" s="1" t="s">
        <v>5053</v>
      </c>
      <c r="P2846" s="1" t="s">
        <v>5051</v>
      </c>
      <c r="Q2846" s="1" t="s">
        <v>5052</v>
      </c>
      <c r="R2846" s="1" t="s">
        <v>26</v>
      </c>
      <c r="S2846" s="1"/>
      <c r="U2846" s="1" t="s">
        <v>35</v>
      </c>
      <c r="V2846" s="1" t="s">
        <v>5002</v>
      </c>
      <c r="W2846" s="1" t="str">
        <f>VLOOKUP(Table1[[#This Row],[Obergruppe ATC-Code]],Tabelle3!$A$2:$B$100,2)</f>
        <v>ANDERE MITTEL FÜR DAS NERVENSYSTEM</v>
      </c>
      <c r="X2846" s="1" t="str">
        <f xml:space="preserve"> LEFT(Table1[[#This Row],[Atc Code]],3)</f>
        <v>N07</v>
      </c>
    </row>
    <row r="2847" spans="1:24" ht="14.4">
      <c r="A2847" s="14">
        <v>1539</v>
      </c>
      <c r="B2847" s="24">
        <v>16512618</v>
      </c>
      <c r="C2847" s="1">
        <v>2715897</v>
      </c>
      <c r="D2847" s="1" t="s">
        <v>25</v>
      </c>
      <c r="E2847" s="36">
        <v>45023</v>
      </c>
      <c r="F2847" s="36">
        <v>45028</v>
      </c>
      <c r="G2847" s="38">
        <f t="shared" si="44"/>
        <v>5</v>
      </c>
      <c r="H2847" s="5">
        <v>45014</v>
      </c>
      <c r="I2847" s="5">
        <v>45033</v>
      </c>
      <c r="J2847" s="1" t="s">
        <v>41</v>
      </c>
      <c r="K2847" s="1" t="s">
        <v>5975</v>
      </c>
      <c r="L2847" s="1" t="s">
        <v>5972</v>
      </c>
      <c r="M2847" s="1" t="s">
        <v>5973</v>
      </c>
      <c r="N2847" s="1" t="s">
        <v>30</v>
      </c>
      <c r="O2847" s="1" t="s">
        <v>5053</v>
      </c>
      <c r="P2847" s="1">
        <v>80027081901</v>
      </c>
      <c r="Q2847" s="1" t="s">
        <v>5052</v>
      </c>
      <c r="R2847" s="1" t="s">
        <v>128</v>
      </c>
      <c r="S2847" s="1"/>
      <c r="U2847" s="1" t="s">
        <v>130</v>
      </c>
      <c r="V2847" s="1" t="s">
        <v>5974</v>
      </c>
      <c r="W2847" s="1" t="str">
        <f>VLOOKUP(Table1[[#This Row],[Obergruppe ATC-Code]],Tabelle3!$A$2:$B$100,2)</f>
        <v>ANDERE MITTEL FÜR DAS NERVENSYSTEM</v>
      </c>
      <c r="X2847" s="1" t="str">
        <f xml:space="preserve"> LEFT(Table1[[#This Row],[Atc Code]],3)</f>
        <v>N07</v>
      </c>
    </row>
    <row r="2848" spans="1:24" ht="14.4">
      <c r="A2848" s="14">
        <v>1535</v>
      </c>
      <c r="B2848" s="24">
        <v>16512593</v>
      </c>
      <c r="C2848" s="1">
        <v>2715891</v>
      </c>
      <c r="D2848" s="1" t="s">
        <v>25</v>
      </c>
      <c r="E2848" s="36">
        <v>45019</v>
      </c>
      <c r="F2848" s="36">
        <v>45028</v>
      </c>
      <c r="G2848" s="38">
        <f t="shared" si="44"/>
        <v>9</v>
      </c>
      <c r="H2848" s="5">
        <v>45014</v>
      </c>
      <c r="I2848" s="5">
        <v>45033</v>
      </c>
      <c r="J2848" s="1" t="s">
        <v>41</v>
      </c>
      <c r="K2848" s="1" t="s">
        <v>5976</v>
      </c>
      <c r="L2848" s="1" t="s">
        <v>5972</v>
      </c>
      <c r="M2848" s="1" t="s">
        <v>5973</v>
      </c>
      <c r="N2848" s="1" t="s">
        <v>30</v>
      </c>
      <c r="O2848" s="1" t="s">
        <v>5053</v>
      </c>
      <c r="P2848" s="1">
        <v>80027081901</v>
      </c>
      <c r="Q2848" s="1" t="s">
        <v>5052</v>
      </c>
      <c r="R2848" s="1" t="s">
        <v>128</v>
      </c>
      <c r="S2848" s="1"/>
      <c r="U2848" s="1" t="s">
        <v>130</v>
      </c>
      <c r="V2848" s="1" t="s">
        <v>5974</v>
      </c>
      <c r="W2848" s="1" t="str">
        <f>VLOOKUP(Table1[[#This Row],[Obergruppe ATC-Code]],Tabelle3!$A$2:$B$100,2)</f>
        <v>ANDERE MITTEL FÜR DAS NERVENSYSTEM</v>
      </c>
      <c r="X2848" s="1" t="str">
        <f xml:space="preserve"> LEFT(Table1[[#This Row],[Atc Code]],3)</f>
        <v>N07</v>
      </c>
    </row>
    <row r="2849" spans="1:24" ht="14.4">
      <c r="A2849" s="14">
        <v>750</v>
      </c>
      <c r="B2849" s="24">
        <v>5138602</v>
      </c>
      <c r="C2849" s="1">
        <v>2703306</v>
      </c>
      <c r="D2849" s="1" t="s">
        <v>25</v>
      </c>
      <c r="E2849" s="36">
        <v>45128</v>
      </c>
      <c r="F2849" s="36">
        <v>45194</v>
      </c>
      <c r="G2849" s="38">
        <f t="shared" si="44"/>
        <v>66</v>
      </c>
      <c r="H2849" s="5">
        <v>45126</v>
      </c>
      <c r="I2849" s="5">
        <v>45194</v>
      </c>
      <c r="J2849" s="1" t="s">
        <v>41</v>
      </c>
      <c r="K2849" s="1" t="s">
        <v>5978</v>
      </c>
      <c r="L2849" s="1" t="s">
        <v>5972</v>
      </c>
      <c r="M2849" s="1" t="s">
        <v>5973</v>
      </c>
      <c r="N2849" s="1" t="s">
        <v>30</v>
      </c>
      <c r="O2849" s="1" t="s">
        <v>5053</v>
      </c>
      <c r="P2849" s="1">
        <v>80027081901</v>
      </c>
      <c r="Q2849" s="1" t="s">
        <v>5052</v>
      </c>
      <c r="R2849" s="1" t="s">
        <v>128</v>
      </c>
      <c r="S2849" s="1"/>
      <c r="U2849" s="1" t="s">
        <v>35</v>
      </c>
      <c r="V2849" s="1" t="s">
        <v>5002</v>
      </c>
      <c r="W2849" s="1" t="str">
        <f>VLOOKUP(Table1[[#This Row],[Obergruppe ATC-Code]],Tabelle3!$A$2:$B$100,2)</f>
        <v>ANDERE MITTEL FÜR DAS NERVENSYSTEM</v>
      </c>
      <c r="X2849" s="1" t="str">
        <f xml:space="preserve"> LEFT(Table1[[#This Row],[Atc Code]],3)</f>
        <v>N07</v>
      </c>
    </row>
    <row r="2850" spans="1:24" ht="14.4">
      <c r="A2850" s="14">
        <v>749</v>
      </c>
      <c r="B2850" s="24">
        <v>5138594</v>
      </c>
      <c r="C2850" s="1">
        <v>2703305</v>
      </c>
      <c r="D2850" s="1" t="s">
        <v>102</v>
      </c>
      <c r="E2850" s="36">
        <v>45183</v>
      </c>
      <c r="F2850" s="36">
        <v>45254</v>
      </c>
      <c r="G2850" s="38">
        <f t="shared" si="44"/>
        <v>71</v>
      </c>
      <c r="H2850" s="5">
        <v>45183</v>
      </c>
      <c r="I2850" s="5">
        <v>45200</v>
      </c>
      <c r="J2850" s="1" t="s">
        <v>41</v>
      </c>
      <c r="K2850" s="1" t="s">
        <v>5979</v>
      </c>
      <c r="L2850" s="1" t="s">
        <v>5972</v>
      </c>
      <c r="M2850" s="1" t="s">
        <v>5973</v>
      </c>
      <c r="N2850" s="1" t="s">
        <v>30</v>
      </c>
      <c r="O2850" s="1" t="s">
        <v>5053</v>
      </c>
      <c r="P2850" s="1">
        <v>80027081901</v>
      </c>
      <c r="Q2850" s="1" t="s">
        <v>5052</v>
      </c>
      <c r="R2850" s="1" t="s">
        <v>128</v>
      </c>
      <c r="S2850" s="1"/>
      <c r="U2850" s="1" t="s">
        <v>35</v>
      </c>
      <c r="V2850" s="1" t="s">
        <v>5002</v>
      </c>
      <c r="W2850" s="1" t="str">
        <f>VLOOKUP(Table1[[#This Row],[Obergruppe ATC-Code]],Tabelle3!$A$2:$B$100,2)</f>
        <v>ANDERE MITTEL FÜR DAS NERVENSYSTEM</v>
      </c>
      <c r="X2850" s="1" t="str">
        <f xml:space="preserve"> LEFT(Table1[[#This Row],[Atc Code]],3)</f>
        <v>N07</v>
      </c>
    </row>
    <row r="2851" spans="1:24" ht="14.4">
      <c r="A2851" s="14">
        <v>1842</v>
      </c>
      <c r="B2851" s="24" t="s">
        <v>5980</v>
      </c>
      <c r="C2851" s="1">
        <v>2112815</v>
      </c>
      <c r="D2851" s="1" t="s">
        <v>25</v>
      </c>
      <c r="E2851" s="36">
        <v>44595</v>
      </c>
      <c r="F2851" s="36">
        <v>44697</v>
      </c>
      <c r="G2851" s="38">
        <f t="shared" si="44"/>
        <v>102</v>
      </c>
      <c r="H2851" s="5">
        <v>44595</v>
      </c>
      <c r="I2851" s="5">
        <v>44706</v>
      </c>
      <c r="J2851" s="1" t="s">
        <v>26</v>
      </c>
      <c r="K2851" s="1" t="s">
        <v>5981</v>
      </c>
      <c r="L2851" s="1" t="s">
        <v>5982</v>
      </c>
      <c r="M2851" s="1" t="s">
        <v>5983</v>
      </c>
      <c r="N2851" s="1" t="s">
        <v>38</v>
      </c>
      <c r="O2851" s="1" t="s">
        <v>110</v>
      </c>
      <c r="Q2851" s="1" t="s">
        <v>112</v>
      </c>
      <c r="R2851" s="1" t="s">
        <v>113</v>
      </c>
      <c r="S2851" s="1" t="s">
        <v>5984</v>
      </c>
      <c r="U2851" s="1" t="s">
        <v>130</v>
      </c>
      <c r="V2851" s="1" t="s">
        <v>49</v>
      </c>
      <c r="W2851" s="1" t="str">
        <f>VLOOKUP(Table1[[#This Row],[Obergruppe ATC-Code]],Tabelle3!$A$2:$B$100,2)</f>
        <v>ANDERE MITTEL FÜR DAS NERVENSYSTEM</v>
      </c>
      <c r="X2851" s="1" t="str">
        <f xml:space="preserve"> LEFT(Table1[[#This Row],[Atc Code]],3)</f>
        <v>N07</v>
      </c>
    </row>
    <row r="2852" spans="1:24" ht="14.4">
      <c r="A2852" s="14">
        <v>1841</v>
      </c>
      <c r="B2852" s="24" t="s">
        <v>5980</v>
      </c>
      <c r="C2852" s="1">
        <v>2112815</v>
      </c>
      <c r="D2852" s="1" t="s">
        <v>25</v>
      </c>
      <c r="E2852" s="36">
        <v>44927</v>
      </c>
      <c r="F2852" s="36">
        <v>45156</v>
      </c>
      <c r="G2852" s="38">
        <f t="shared" si="44"/>
        <v>229</v>
      </c>
      <c r="H2852" s="5">
        <v>45015</v>
      </c>
      <c r="I2852" s="5">
        <v>45156</v>
      </c>
      <c r="J2852" s="1" t="s">
        <v>26</v>
      </c>
      <c r="K2852" s="1" t="s">
        <v>5981</v>
      </c>
      <c r="L2852" s="1" t="s">
        <v>5982</v>
      </c>
      <c r="M2852" s="1" t="s">
        <v>5983</v>
      </c>
      <c r="N2852" s="1" t="s">
        <v>38</v>
      </c>
      <c r="O2852" s="1" t="s">
        <v>110</v>
      </c>
      <c r="P2852" s="1">
        <v>49733396510</v>
      </c>
      <c r="Q2852" s="1" t="s">
        <v>112</v>
      </c>
      <c r="R2852" s="1" t="s">
        <v>113</v>
      </c>
      <c r="S2852" s="1" t="s">
        <v>5985</v>
      </c>
      <c r="U2852" s="1" t="s">
        <v>130</v>
      </c>
      <c r="V2852" s="1" t="s">
        <v>49</v>
      </c>
      <c r="W2852" s="1" t="str">
        <f>VLOOKUP(Table1[[#This Row],[Obergruppe ATC-Code]],Tabelle3!$A$2:$B$100,2)</f>
        <v>ANDERE MITTEL FÜR DAS NERVENSYSTEM</v>
      </c>
      <c r="X2852" s="1" t="str">
        <f xml:space="preserve"> LEFT(Table1[[#This Row],[Atc Code]],3)</f>
        <v>N07</v>
      </c>
    </row>
    <row r="2853" spans="1:24" ht="14.4">
      <c r="A2853" s="14">
        <v>2840</v>
      </c>
      <c r="B2853" s="24" t="s">
        <v>5986</v>
      </c>
      <c r="C2853" s="1">
        <v>2200825</v>
      </c>
      <c r="D2853" s="1" t="s">
        <v>102</v>
      </c>
      <c r="E2853" s="36">
        <v>44629</v>
      </c>
      <c r="F2853" s="36">
        <v>45291</v>
      </c>
      <c r="G2853" s="38">
        <f t="shared" si="44"/>
        <v>662</v>
      </c>
      <c r="H2853" s="5">
        <v>44629</v>
      </c>
      <c r="I2853" s="5">
        <v>45196</v>
      </c>
      <c r="J2853" s="1" t="s">
        <v>26</v>
      </c>
      <c r="K2853" s="1" t="s">
        <v>5987</v>
      </c>
      <c r="L2853" s="1" t="s">
        <v>5982</v>
      </c>
      <c r="M2853" s="1" t="s">
        <v>5988</v>
      </c>
      <c r="N2853" s="1" t="s">
        <v>38</v>
      </c>
      <c r="O2853" s="1" t="s">
        <v>110</v>
      </c>
      <c r="P2853" s="1">
        <v>49733396510</v>
      </c>
      <c r="Q2853" s="1" t="s">
        <v>112</v>
      </c>
      <c r="R2853" s="1" t="s">
        <v>113</v>
      </c>
      <c r="S2853" s="1"/>
      <c r="U2853" s="1" t="s">
        <v>130</v>
      </c>
      <c r="V2853" s="1" t="s">
        <v>49</v>
      </c>
      <c r="W2853" s="1" t="str">
        <f>VLOOKUP(Table1[[#This Row],[Obergruppe ATC-Code]],Tabelle3!$A$2:$B$100,2)</f>
        <v>ANDERE MITTEL FÜR DAS NERVENSYSTEM</v>
      </c>
      <c r="X2853" s="1" t="str">
        <f xml:space="preserve"> LEFT(Table1[[#This Row],[Atc Code]],3)</f>
        <v>N07</v>
      </c>
    </row>
    <row r="2854" spans="1:24" ht="14.4">
      <c r="A2854" s="14">
        <v>2839</v>
      </c>
      <c r="B2854" s="24" t="s">
        <v>5989</v>
      </c>
      <c r="C2854" s="1">
        <v>2200824</v>
      </c>
      <c r="D2854" s="1" t="s">
        <v>102</v>
      </c>
      <c r="E2854" s="36">
        <v>44629</v>
      </c>
      <c r="F2854" s="36">
        <v>45291</v>
      </c>
      <c r="G2854" s="38">
        <f t="shared" si="44"/>
        <v>662</v>
      </c>
      <c r="H2854" s="5">
        <v>44629</v>
      </c>
      <c r="I2854" s="5">
        <v>45196</v>
      </c>
      <c r="J2854" s="1" t="s">
        <v>26</v>
      </c>
      <c r="K2854" s="1" t="s">
        <v>5990</v>
      </c>
      <c r="L2854" s="1" t="s">
        <v>5982</v>
      </c>
      <c r="M2854" s="1" t="s">
        <v>5988</v>
      </c>
      <c r="N2854" s="1" t="s">
        <v>38</v>
      </c>
      <c r="O2854" s="1" t="s">
        <v>110</v>
      </c>
      <c r="P2854" s="1">
        <v>49733396510</v>
      </c>
      <c r="Q2854" s="1" t="s">
        <v>112</v>
      </c>
      <c r="R2854" s="1" t="s">
        <v>113</v>
      </c>
      <c r="S2854" s="1"/>
      <c r="U2854" s="1" t="s">
        <v>130</v>
      </c>
      <c r="V2854" s="1" t="s">
        <v>49</v>
      </c>
      <c r="W2854" s="1" t="str">
        <f>VLOOKUP(Table1[[#This Row],[Obergruppe ATC-Code]],Tabelle3!$A$2:$B$100,2)</f>
        <v>ANDERE MITTEL FÜR DAS NERVENSYSTEM</v>
      </c>
      <c r="X2854" s="1" t="str">
        <f xml:space="preserve"> LEFT(Table1[[#This Row],[Atc Code]],3)</f>
        <v>N07</v>
      </c>
    </row>
    <row r="2855" spans="1:24" ht="14.4">
      <c r="A2855" s="14">
        <v>2838</v>
      </c>
      <c r="B2855" s="24" t="s">
        <v>5991</v>
      </c>
      <c r="C2855" s="1">
        <v>2200823</v>
      </c>
      <c r="D2855" s="1" t="s">
        <v>102</v>
      </c>
      <c r="E2855" s="36">
        <v>44686</v>
      </c>
      <c r="F2855" s="36">
        <v>45291</v>
      </c>
      <c r="G2855" s="38">
        <f t="shared" si="44"/>
        <v>605</v>
      </c>
      <c r="H2855" s="5">
        <v>44686</v>
      </c>
      <c r="I2855" s="5">
        <v>45196</v>
      </c>
      <c r="J2855" s="1" t="s">
        <v>26</v>
      </c>
      <c r="K2855" s="1" t="s">
        <v>5992</v>
      </c>
      <c r="L2855" s="1" t="s">
        <v>5982</v>
      </c>
      <c r="M2855" s="1" t="s">
        <v>5988</v>
      </c>
      <c r="N2855" s="1" t="s">
        <v>38</v>
      </c>
      <c r="O2855" s="1" t="s">
        <v>110</v>
      </c>
      <c r="P2855" s="1">
        <v>49733396510</v>
      </c>
      <c r="Q2855" s="1" t="s">
        <v>112</v>
      </c>
      <c r="R2855" s="1" t="s">
        <v>113</v>
      </c>
      <c r="S2855" s="1"/>
      <c r="U2855" s="1" t="s">
        <v>130</v>
      </c>
      <c r="V2855" s="1" t="s">
        <v>49</v>
      </c>
      <c r="W2855" s="1" t="str">
        <f>VLOOKUP(Table1[[#This Row],[Obergruppe ATC-Code]],Tabelle3!$A$2:$B$100,2)</f>
        <v>ANDERE MITTEL FÜR DAS NERVENSYSTEM</v>
      </c>
      <c r="X2855" s="1" t="str">
        <f xml:space="preserve"> LEFT(Table1[[#This Row],[Atc Code]],3)</f>
        <v>N07</v>
      </c>
    </row>
    <row r="2856" spans="1:24" ht="14.4">
      <c r="A2856" s="14">
        <v>1843</v>
      </c>
      <c r="B2856" s="24" t="s">
        <v>5993</v>
      </c>
      <c r="C2856" s="1">
        <v>2112814</v>
      </c>
      <c r="D2856" s="1" t="s">
        <v>102</v>
      </c>
      <c r="E2856" s="36">
        <v>44809</v>
      </c>
      <c r="F2856" s="36">
        <v>45291</v>
      </c>
      <c r="G2856" s="38">
        <f t="shared" si="44"/>
        <v>482</v>
      </c>
      <c r="H2856" s="5">
        <v>44887</v>
      </c>
      <c r="I2856" s="5">
        <v>45196</v>
      </c>
      <c r="J2856" s="1" t="s">
        <v>26</v>
      </c>
      <c r="K2856" s="1" t="s">
        <v>5994</v>
      </c>
      <c r="L2856" s="1" t="s">
        <v>5982</v>
      </c>
      <c r="M2856" s="1" t="s">
        <v>5983</v>
      </c>
      <c r="N2856" s="1" t="s">
        <v>38</v>
      </c>
      <c r="O2856" s="1" t="s">
        <v>110</v>
      </c>
      <c r="P2856" s="1">
        <v>49733396510</v>
      </c>
      <c r="Q2856" s="1" t="s">
        <v>112</v>
      </c>
      <c r="R2856" s="1" t="s">
        <v>113</v>
      </c>
      <c r="S2856" s="1"/>
      <c r="U2856" s="1" t="s">
        <v>130</v>
      </c>
      <c r="V2856" s="1" t="s">
        <v>49</v>
      </c>
      <c r="W2856" s="1" t="str">
        <f>VLOOKUP(Table1[[#This Row],[Obergruppe ATC-Code]],Tabelle3!$A$2:$B$100,2)</f>
        <v>ANDERE MITTEL FÜR DAS NERVENSYSTEM</v>
      </c>
      <c r="X2856" s="1" t="str">
        <f xml:space="preserve"> LEFT(Table1[[#This Row],[Atc Code]],3)</f>
        <v>N07</v>
      </c>
    </row>
    <row r="2857" spans="1:24" ht="14.4">
      <c r="A2857" s="14">
        <v>2392</v>
      </c>
      <c r="B2857" s="24" t="s">
        <v>5995</v>
      </c>
      <c r="C2857" s="1">
        <v>2110772</v>
      </c>
      <c r="D2857" s="1" t="s">
        <v>25</v>
      </c>
      <c r="E2857" s="36">
        <v>44663</v>
      </c>
      <c r="F2857" s="36">
        <v>44693</v>
      </c>
      <c r="G2857" s="38">
        <f t="shared" si="44"/>
        <v>30</v>
      </c>
      <c r="H2857" s="5">
        <v>44664</v>
      </c>
      <c r="I2857" s="5">
        <v>44693</v>
      </c>
      <c r="J2857" s="1" t="s">
        <v>26</v>
      </c>
      <c r="K2857" s="1" t="s">
        <v>5996</v>
      </c>
      <c r="L2857" s="1" t="s">
        <v>5997</v>
      </c>
      <c r="M2857" s="1" t="s">
        <v>5998</v>
      </c>
      <c r="N2857" s="1" t="s">
        <v>38</v>
      </c>
      <c r="O2857" s="1" t="s">
        <v>78</v>
      </c>
      <c r="P2857" s="1">
        <v>49894423246221</v>
      </c>
      <c r="Q2857" s="1" t="s">
        <v>5999</v>
      </c>
      <c r="R2857" s="1" t="s">
        <v>26</v>
      </c>
      <c r="S2857" s="1"/>
      <c r="T2857" s="1" t="s">
        <v>6000</v>
      </c>
      <c r="U2857" s="1" t="s">
        <v>35</v>
      </c>
      <c r="V2857" s="1" t="s">
        <v>262</v>
      </c>
      <c r="W2857" s="1" t="str">
        <f>VLOOKUP(Table1[[#This Row],[Obergruppe ATC-Code]],Tabelle3!$A$2:$B$100,2)</f>
        <v>ANDERE MITTEL FÜR DAS NERVENSYSTEM</v>
      </c>
      <c r="X2857" s="1" t="str">
        <f xml:space="preserve"> LEFT(Table1[[#This Row],[Atc Code]],3)</f>
        <v>N07</v>
      </c>
    </row>
    <row r="2858" spans="1:24" ht="14.4">
      <c r="A2858" s="14">
        <v>990</v>
      </c>
      <c r="B2858" s="24">
        <v>8535858</v>
      </c>
      <c r="C2858" s="1">
        <v>2110773</v>
      </c>
      <c r="D2858" s="1" t="s">
        <v>25</v>
      </c>
      <c r="E2858" s="36">
        <v>44761</v>
      </c>
      <c r="F2858" s="36">
        <v>44802</v>
      </c>
      <c r="G2858" s="38">
        <f t="shared" si="44"/>
        <v>41</v>
      </c>
      <c r="H2858" s="5">
        <v>44761</v>
      </c>
      <c r="I2858" s="5">
        <v>44802</v>
      </c>
      <c r="J2858" s="1" t="s">
        <v>26</v>
      </c>
      <c r="K2858" s="1" t="s">
        <v>6001</v>
      </c>
      <c r="L2858" s="1" t="s">
        <v>5997</v>
      </c>
      <c r="M2858" s="1" t="s">
        <v>5998</v>
      </c>
      <c r="N2858" s="1" t="s">
        <v>38</v>
      </c>
      <c r="O2858" s="1" t="s">
        <v>78</v>
      </c>
      <c r="P2858" s="1">
        <v>49894423246220</v>
      </c>
      <c r="Q2858" s="1" t="s">
        <v>2034</v>
      </c>
      <c r="R2858" s="1" t="s">
        <v>33</v>
      </c>
      <c r="S2858" s="1"/>
      <c r="T2858" s="1" t="s">
        <v>6002</v>
      </c>
      <c r="U2858" s="1" t="s">
        <v>35</v>
      </c>
      <c r="V2858" s="1" t="s">
        <v>262</v>
      </c>
      <c r="W2858" s="1" t="str">
        <f>VLOOKUP(Table1[[#This Row],[Obergruppe ATC-Code]],Tabelle3!$A$2:$B$100,2)</f>
        <v>ANDERE MITTEL FÜR DAS NERVENSYSTEM</v>
      </c>
      <c r="X2858" s="1" t="str">
        <f xml:space="preserve"> LEFT(Table1[[#This Row],[Atc Code]],3)</f>
        <v>N07</v>
      </c>
    </row>
    <row r="2859" spans="1:24" ht="14.4">
      <c r="A2859" s="14">
        <v>2391</v>
      </c>
      <c r="B2859" s="24" t="s">
        <v>6003</v>
      </c>
      <c r="C2859" s="1">
        <v>2110772</v>
      </c>
      <c r="D2859" s="1" t="s">
        <v>102</v>
      </c>
      <c r="E2859" s="36">
        <v>44879</v>
      </c>
      <c r="F2859" s="36">
        <v>45351</v>
      </c>
      <c r="G2859" s="38">
        <f t="shared" si="44"/>
        <v>472</v>
      </c>
      <c r="H2859" s="5">
        <v>44883</v>
      </c>
      <c r="I2859" s="5">
        <v>45069</v>
      </c>
      <c r="J2859" s="1" t="s">
        <v>41</v>
      </c>
      <c r="K2859" s="1" t="s">
        <v>5996</v>
      </c>
      <c r="L2859" s="1" t="s">
        <v>5997</v>
      </c>
      <c r="M2859" s="1" t="s">
        <v>5998</v>
      </c>
      <c r="N2859" s="1" t="s">
        <v>38</v>
      </c>
      <c r="O2859" s="1" t="s">
        <v>78</v>
      </c>
      <c r="P2859" s="1" t="s">
        <v>6004</v>
      </c>
      <c r="Q2859" s="1" t="s">
        <v>86</v>
      </c>
      <c r="R2859" s="1" t="s">
        <v>26</v>
      </c>
      <c r="S2859" s="1"/>
      <c r="U2859" s="1" t="s">
        <v>130</v>
      </c>
      <c r="V2859" s="1" t="s">
        <v>262</v>
      </c>
      <c r="W2859" s="1" t="str">
        <f>VLOOKUP(Table1[[#This Row],[Obergruppe ATC-Code]],Tabelle3!$A$2:$B$100,2)</f>
        <v>ANDERE MITTEL FÜR DAS NERVENSYSTEM</v>
      </c>
      <c r="X2859" s="1" t="str">
        <f xml:space="preserve"> LEFT(Table1[[#This Row],[Atc Code]],3)</f>
        <v>N07</v>
      </c>
    </row>
    <row r="2860" spans="1:24" ht="14.4">
      <c r="A2860" s="14">
        <v>991</v>
      </c>
      <c r="B2860" s="24">
        <v>8535858</v>
      </c>
      <c r="C2860" s="1">
        <v>2110773</v>
      </c>
      <c r="D2860" s="1" t="s">
        <v>25</v>
      </c>
      <c r="E2860" s="36">
        <v>45058</v>
      </c>
      <c r="F2860" s="36">
        <v>45091</v>
      </c>
      <c r="G2860" s="38">
        <f t="shared" si="44"/>
        <v>33</v>
      </c>
      <c r="H2860" s="5">
        <v>45062</v>
      </c>
      <c r="I2860" s="5">
        <v>45092</v>
      </c>
      <c r="J2860" s="1" t="s">
        <v>26</v>
      </c>
      <c r="K2860" s="1" t="s">
        <v>6001</v>
      </c>
      <c r="L2860" s="1" t="s">
        <v>5997</v>
      </c>
      <c r="M2860" s="1" t="s">
        <v>5998</v>
      </c>
      <c r="N2860" s="1" t="s">
        <v>38</v>
      </c>
      <c r="O2860" s="1" t="s">
        <v>78</v>
      </c>
      <c r="P2860" s="1">
        <v>8944232460</v>
      </c>
      <c r="Q2860" s="1" t="s">
        <v>86</v>
      </c>
      <c r="R2860" s="1" t="s">
        <v>33</v>
      </c>
      <c r="S2860" s="1"/>
      <c r="U2860" s="1" t="s">
        <v>35</v>
      </c>
      <c r="V2860" s="1" t="s">
        <v>262</v>
      </c>
      <c r="W2860" s="1" t="str">
        <f>VLOOKUP(Table1[[#This Row],[Obergruppe ATC-Code]],Tabelle3!$A$2:$B$100,2)</f>
        <v>ANDERE MITTEL FÜR DAS NERVENSYSTEM</v>
      </c>
      <c r="X2860" s="1" t="str">
        <f xml:space="preserve"> LEFT(Table1[[#This Row],[Atc Code]],3)</f>
        <v>N07</v>
      </c>
    </row>
    <row r="2861" spans="1:24" ht="14.4">
      <c r="A2861" s="14">
        <v>2530</v>
      </c>
      <c r="B2861" s="24" t="s">
        <v>6005</v>
      </c>
      <c r="C2861" s="1">
        <v>2185173</v>
      </c>
      <c r="D2861" s="1" t="s">
        <v>25</v>
      </c>
      <c r="E2861" s="36">
        <v>43800</v>
      </c>
      <c r="F2861" s="36">
        <v>43861</v>
      </c>
      <c r="G2861" s="38">
        <f t="shared" si="44"/>
        <v>61</v>
      </c>
      <c r="H2861" s="5">
        <v>43812</v>
      </c>
      <c r="I2861" s="5">
        <v>43847</v>
      </c>
      <c r="J2861" s="1" t="s">
        <v>41</v>
      </c>
      <c r="K2861" s="1" t="s">
        <v>6006</v>
      </c>
      <c r="L2861" s="1" t="s">
        <v>6007</v>
      </c>
      <c r="M2861" s="1" t="s">
        <v>6008</v>
      </c>
      <c r="N2861" s="1" t="s">
        <v>38</v>
      </c>
      <c r="O2861" s="1" t="s">
        <v>1440</v>
      </c>
      <c r="P2861" s="1" t="s">
        <v>1441</v>
      </c>
      <c r="Q2861" s="1" t="s">
        <v>1442</v>
      </c>
      <c r="R2861" s="1" t="s">
        <v>48</v>
      </c>
      <c r="S2861" s="1"/>
      <c r="U2861" s="1" t="s">
        <v>35</v>
      </c>
      <c r="V2861" s="1" t="s">
        <v>99</v>
      </c>
      <c r="W2861" s="1" t="str">
        <f>VLOOKUP(Table1[[#This Row],[Obergruppe ATC-Code]],Tabelle3!$A$2:$B$100,2)</f>
        <v>ANDERE MITTEL FÜR DAS NERVENSYSTEM</v>
      </c>
      <c r="X2861" s="1" t="str">
        <f xml:space="preserve"> LEFT(Table1[[#This Row],[Atc Code]],3)</f>
        <v>N07</v>
      </c>
    </row>
    <row r="2862" spans="1:24" ht="14.4">
      <c r="A2862" s="14">
        <v>2529</v>
      </c>
      <c r="B2862" s="24" t="s">
        <v>6005</v>
      </c>
      <c r="C2862" s="1">
        <v>2185173</v>
      </c>
      <c r="D2862" s="1" t="s">
        <v>25</v>
      </c>
      <c r="E2862" s="36">
        <v>43831</v>
      </c>
      <c r="F2862" s="36">
        <v>43921</v>
      </c>
      <c r="G2862" s="38">
        <f t="shared" si="44"/>
        <v>90</v>
      </c>
      <c r="H2862" s="5">
        <v>43866</v>
      </c>
      <c r="I2862" s="5">
        <v>43899</v>
      </c>
      <c r="J2862" s="1" t="s">
        <v>26</v>
      </c>
      <c r="K2862" s="1" t="s">
        <v>6006</v>
      </c>
      <c r="L2862" s="1" t="s">
        <v>6007</v>
      </c>
      <c r="M2862" s="1" t="s">
        <v>6008</v>
      </c>
      <c r="N2862" s="1" t="s">
        <v>38</v>
      </c>
      <c r="O2862" s="1" t="s">
        <v>1440</v>
      </c>
      <c r="P2862" s="1" t="s">
        <v>1441</v>
      </c>
      <c r="Q2862" s="1" t="s">
        <v>1442</v>
      </c>
      <c r="R2862" s="1" t="s">
        <v>33</v>
      </c>
      <c r="S2862" s="1"/>
      <c r="U2862" s="1" t="s">
        <v>35</v>
      </c>
      <c r="V2862" s="1" t="s">
        <v>99</v>
      </c>
      <c r="W2862" s="1" t="str">
        <f>VLOOKUP(Table1[[#This Row],[Obergruppe ATC-Code]],Tabelle3!$A$2:$B$100,2)</f>
        <v>ANDERE MITTEL FÜR DAS NERVENSYSTEM</v>
      </c>
      <c r="X2862" s="1" t="str">
        <f xml:space="preserve"> LEFT(Table1[[#This Row],[Atc Code]],3)</f>
        <v>N07</v>
      </c>
    </row>
    <row r="2863" spans="1:24" ht="14.4">
      <c r="A2863" s="14">
        <v>2327</v>
      </c>
      <c r="B2863" s="24" t="s">
        <v>6009</v>
      </c>
      <c r="C2863" s="1">
        <v>2700076</v>
      </c>
      <c r="D2863" s="1" t="s">
        <v>25</v>
      </c>
      <c r="E2863" s="36">
        <v>43770</v>
      </c>
      <c r="F2863" s="36">
        <v>44165</v>
      </c>
      <c r="G2863" s="38">
        <f t="shared" si="44"/>
        <v>395</v>
      </c>
      <c r="H2863" s="5">
        <v>43791</v>
      </c>
      <c r="I2863" s="5">
        <v>44162</v>
      </c>
      <c r="J2863" s="1" t="s">
        <v>41</v>
      </c>
      <c r="K2863" s="1" t="s">
        <v>6010</v>
      </c>
      <c r="L2863" s="1" t="s">
        <v>6007</v>
      </c>
      <c r="M2863" s="1" t="s">
        <v>6008</v>
      </c>
      <c r="N2863" s="1" t="s">
        <v>30</v>
      </c>
      <c r="O2863" s="1" t="s">
        <v>6011</v>
      </c>
      <c r="P2863" s="1" t="s">
        <v>6012</v>
      </c>
      <c r="Q2863" s="1" t="s">
        <v>64</v>
      </c>
      <c r="R2863" s="1" t="s">
        <v>165</v>
      </c>
      <c r="S2863" s="1"/>
      <c r="U2863" s="1" t="s">
        <v>35</v>
      </c>
      <c r="V2863" s="1" t="s">
        <v>99</v>
      </c>
      <c r="W2863" s="1" t="str">
        <f>VLOOKUP(Table1[[#This Row],[Obergruppe ATC-Code]],Tabelle3!$A$2:$B$100,2)</f>
        <v>ANDERE MITTEL FÜR DAS NERVENSYSTEM</v>
      </c>
      <c r="X2863" s="1" t="str">
        <f xml:space="preserve"> LEFT(Table1[[#This Row],[Atc Code]],3)</f>
        <v>N07</v>
      </c>
    </row>
    <row r="2864" spans="1:24" ht="14.4">
      <c r="A2864" s="14">
        <v>2528</v>
      </c>
      <c r="B2864" s="24" t="s">
        <v>6013</v>
      </c>
      <c r="C2864" s="1">
        <v>2185173</v>
      </c>
      <c r="D2864" s="1" t="s">
        <v>25</v>
      </c>
      <c r="E2864" s="36">
        <v>44958</v>
      </c>
      <c r="F2864" s="36">
        <v>45191</v>
      </c>
      <c r="G2864" s="38">
        <f t="shared" si="44"/>
        <v>233</v>
      </c>
      <c r="H2864" s="5">
        <v>44967</v>
      </c>
      <c r="I2864" s="5">
        <v>45177</v>
      </c>
      <c r="J2864" s="1" t="s">
        <v>26</v>
      </c>
      <c r="K2864" s="1" t="s">
        <v>6006</v>
      </c>
      <c r="L2864" s="1" t="s">
        <v>6007</v>
      </c>
      <c r="M2864" s="1" t="s">
        <v>6008</v>
      </c>
      <c r="N2864" s="1" t="s">
        <v>38</v>
      </c>
      <c r="O2864" s="1" t="s">
        <v>1440</v>
      </c>
      <c r="P2864" s="1" t="s">
        <v>1540</v>
      </c>
      <c r="Q2864" s="1" t="s">
        <v>1541</v>
      </c>
      <c r="R2864" s="1" t="s">
        <v>113</v>
      </c>
      <c r="S2864" s="1"/>
      <c r="U2864" s="1" t="s">
        <v>35</v>
      </c>
      <c r="V2864" s="1" t="s">
        <v>99</v>
      </c>
      <c r="W2864" s="1" t="str">
        <f>VLOOKUP(Table1[[#This Row],[Obergruppe ATC-Code]],Tabelle3!$A$2:$B$100,2)</f>
        <v>ANDERE MITTEL FÜR DAS NERVENSYSTEM</v>
      </c>
      <c r="X2864" s="1" t="str">
        <f xml:space="preserve"> LEFT(Table1[[#This Row],[Atc Code]],3)</f>
        <v>N07</v>
      </c>
    </row>
    <row r="2865" spans="1:24" ht="14.4">
      <c r="A2865" s="14">
        <v>1230</v>
      </c>
      <c r="B2865" s="24">
        <v>11288984</v>
      </c>
      <c r="C2865" s="1">
        <v>2139772</v>
      </c>
      <c r="D2865" s="1" t="s">
        <v>25</v>
      </c>
      <c r="E2865" s="36">
        <v>43922</v>
      </c>
      <c r="F2865" s="36">
        <v>44074</v>
      </c>
      <c r="G2865" s="38">
        <f t="shared" si="44"/>
        <v>152</v>
      </c>
      <c r="H2865" s="5">
        <v>43938</v>
      </c>
      <c r="I2865" s="5">
        <v>44049</v>
      </c>
      <c r="J2865" s="1" t="s">
        <v>41</v>
      </c>
      <c r="K2865" s="1" t="s">
        <v>6014</v>
      </c>
      <c r="L2865" s="1" t="s">
        <v>6015</v>
      </c>
      <c r="M2865" s="1" t="s">
        <v>6016</v>
      </c>
      <c r="N2865" s="1" t="s">
        <v>30</v>
      </c>
      <c r="O2865" s="1" t="s">
        <v>2107</v>
      </c>
      <c r="P2865" s="1" t="s">
        <v>3639</v>
      </c>
      <c r="Q2865" s="1" t="s">
        <v>761</v>
      </c>
      <c r="R2865" s="1" t="s">
        <v>48</v>
      </c>
      <c r="S2865" s="1"/>
      <c r="U2865" s="1" t="s">
        <v>35</v>
      </c>
      <c r="V2865" s="1" t="s">
        <v>3179</v>
      </c>
      <c r="W2865" s="1" t="str">
        <f>VLOOKUP(Table1[[#This Row],[Obergruppe ATC-Code]],Tabelle3!$A$2:$B$100,2)</f>
        <v>MITTEL GEGEN PROTOZOEN-ERKRANKUNGEN</v>
      </c>
      <c r="X2865" s="1" t="str">
        <f xml:space="preserve"> LEFT(Table1[[#This Row],[Atc Code]],3)</f>
        <v>P01</v>
      </c>
    </row>
    <row r="2866" spans="1:24" ht="14.4">
      <c r="A2866" s="14">
        <v>1233</v>
      </c>
      <c r="B2866" s="24">
        <v>11288984</v>
      </c>
      <c r="C2866" s="1">
        <v>2139772</v>
      </c>
      <c r="D2866" s="1" t="s">
        <v>25</v>
      </c>
      <c r="E2866" s="36">
        <v>44411</v>
      </c>
      <c r="F2866" s="36">
        <v>44442</v>
      </c>
      <c r="G2866" s="38">
        <f t="shared" si="44"/>
        <v>31</v>
      </c>
      <c r="H2866" s="5">
        <v>44420</v>
      </c>
      <c r="I2866" s="5">
        <v>44442</v>
      </c>
      <c r="J2866" s="1" t="s">
        <v>41</v>
      </c>
      <c r="K2866" s="1" t="s">
        <v>6014</v>
      </c>
      <c r="L2866" s="1" t="s">
        <v>6015</v>
      </c>
      <c r="M2866" s="1" t="s">
        <v>6016</v>
      </c>
      <c r="N2866" s="1" t="s">
        <v>30</v>
      </c>
      <c r="O2866" s="1" t="s">
        <v>2107</v>
      </c>
      <c r="P2866" s="1">
        <v>8001223355</v>
      </c>
      <c r="Q2866" s="1" t="s">
        <v>761</v>
      </c>
      <c r="R2866" s="1" t="s">
        <v>128</v>
      </c>
      <c r="S2866" s="1"/>
      <c r="U2866" s="1" t="s">
        <v>35</v>
      </c>
      <c r="V2866" s="1" t="s">
        <v>3179</v>
      </c>
      <c r="W2866" s="1" t="str">
        <f>VLOOKUP(Table1[[#This Row],[Obergruppe ATC-Code]],Tabelle3!$A$2:$B$100,2)</f>
        <v>MITTEL GEGEN PROTOZOEN-ERKRANKUNGEN</v>
      </c>
      <c r="X2866" s="1" t="str">
        <f xml:space="preserve"> LEFT(Table1[[#This Row],[Atc Code]],3)</f>
        <v>P01</v>
      </c>
    </row>
    <row r="2867" spans="1:24" ht="14.4">
      <c r="A2867" s="14">
        <v>1523</v>
      </c>
      <c r="B2867" s="24">
        <v>16333962</v>
      </c>
      <c r="C2867" s="1">
        <v>2204025</v>
      </c>
      <c r="D2867" s="1" t="s">
        <v>25</v>
      </c>
      <c r="E2867" s="36">
        <v>44657</v>
      </c>
      <c r="F2867" s="36">
        <v>44705</v>
      </c>
      <c r="G2867" s="38">
        <f t="shared" si="44"/>
        <v>48</v>
      </c>
      <c r="H2867" s="5">
        <v>44664</v>
      </c>
      <c r="I2867" s="5">
        <v>44712</v>
      </c>
      <c r="J2867" s="1" t="s">
        <v>26</v>
      </c>
      <c r="K2867" s="1" t="s">
        <v>6017</v>
      </c>
      <c r="L2867" s="1" t="s">
        <v>6015</v>
      </c>
      <c r="M2867" s="1" t="s">
        <v>6016</v>
      </c>
      <c r="N2867" s="1" t="s">
        <v>38</v>
      </c>
      <c r="O2867" s="1" t="s">
        <v>1440</v>
      </c>
      <c r="P2867" s="1" t="s">
        <v>1540</v>
      </c>
      <c r="Q2867" s="1" t="s">
        <v>1541</v>
      </c>
      <c r="R2867" s="1" t="s">
        <v>113</v>
      </c>
      <c r="S2867" s="1"/>
      <c r="U2867" s="1" t="s">
        <v>130</v>
      </c>
      <c r="V2867" s="1" t="s">
        <v>2924</v>
      </c>
      <c r="W2867" s="1" t="str">
        <f>VLOOKUP(Table1[[#This Row],[Obergruppe ATC-Code]],Tabelle3!$A$2:$B$100,2)</f>
        <v>MITTEL GEGEN PROTOZOEN-ERKRANKUNGEN</v>
      </c>
      <c r="X2867" s="1" t="str">
        <f xml:space="preserve"> LEFT(Table1[[#This Row],[Atc Code]],3)</f>
        <v>P01</v>
      </c>
    </row>
    <row r="2868" spans="1:24" ht="14.4">
      <c r="A2868" s="14">
        <v>1232</v>
      </c>
      <c r="B2868" s="24">
        <v>11288984</v>
      </c>
      <c r="C2868" s="1">
        <v>2139772</v>
      </c>
      <c r="D2868" s="1" t="s">
        <v>25</v>
      </c>
      <c r="E2868" s="36">
        <v>44923</v>
      </c>
      <c r="F2868" s="36">
        <v>44967</v>
      </c>
      <c r="G2868" s="38">
        <f t="shared" si="44"/>
        <v>44</v>
      </c>
      <c r="H2868" s="5">
        <v>44931</v>
      </c>
      <c r="I2868" s="5">
        <v>44969</v>
      </c>
      <c r="J2868" s="1" t="s">
        <v>26</v>
      </c>
      <c r="K2868" s="1" t="s">
        <v>6014</v>
      </c>
      <c r="L2868" s="1" t="s">
        <v>6015</v>
      </c>
      <c r="M2868" s="1" t="s">
        <v>6016</v>
      </c>
      <c r="N2868" s="1" t="s">
        <v>30</v>
      </c>
      <c r="O2868" s="1" t="s">
        <v>2107</v>
      </c>
      <c r="P2868" s="1" t="s">
        <v>2108</v>
      </c>
      <c r="Q2868" s="1" t="s">
        <v>761</v>
      </c>
      <c r="R2868" s="1" t="s">
        <v>113</v>
      </c>
      <c r="S2868" s="1"/>
      <c r="U2868" s="1" t="s">
        <v>35</v>
      </c>
      <c r="V2868" s="1" t="s">
        <v>3179</v>
      </c>
      <c r="W2868" s="1" t="str">
        <f>VLOOKUP(Table1[[#This Row],[Obergruppe ATC-Code]],Tabelle3!$A$2:$B$100,2)</f>
        <v>MITTEL GEGEN PROTOZOEN-ERKRANKUNGEN</v>
      </c>
      <c r="X2868" s="1" t="str">
        <f xml:space="preserve"> LEFT(Table1[[#This Row],[Atc Code]],3)</f>
        <v>P01</v>
      </c>
    </row>
    <row r="2869" spans="1:24" ht="14.4">
      <c r="A2869" s="14">
        <v>1231</v>
      </c>
      <c r="B2869" s="24">
        <v>11288984</v>
      </c>
      <c r="C2869" s="1">
        <v>2139772</v>
      </c>
      <c r="D2869" s="1" t="s">
        <v>25</v>
      </c>
      <c r="E2869" s="36">
        <v>44974</v>
      </c>
      <c r="F2869" s="36">
        <v>45036</v>
      </c>
      <c r="G2869" s="38">
        <f t="shared" si="44"/>
        <v>62</v>
      </c>
      <c r="H2869" s="5">
        <v>44981</v>
      </c>
      <c r="I2869" s="5">
        <v>45041</v>
      </c>
      <c r="J2869" s="1" t="s">
        <v>26</v>
      </c>
      <c r="K2869" s="1" t="s">
        <v>6014</v>
      </c>
      <c r="L2869" s="1" t="s">
        <v>6015</v>
      </c>
      <c r="M2869" s="1" t="s">
        <v>6016</v>
      </c>
      <c r="N2869" s="1" t="s">
        <v>30</v>
      </c>
      <c r="O2869" s="1" t="s">
        <v>2107</v>
      </c>
      <c r="P2869" s="1">
        <v>8001223355</v>
      </c>
      <c r="Q2869" s="1" t="s">
        <v>761</v>
      </c>
      <c r="R2869" s="1" t="s">
        <v>113</v>
      </c>
      <c r="S2869" s="1"/>
      <c r="U2869" s="1" t="s">
        <v>35</v>
      </c>
      <c r="V2869" s="1" t="s">
        <v>3179</v>
      </c>
      <c r="W2869" s="1" t="str">
        <f>VLOOKUP(Table1[[#This Row],[Obergruppe ATC-Code]],Tabelle3!$A$2:$B$100,2)</f>
        <v>MITTEL GEGEN PROTOZOEN-ERKRANKUNGEN</v>
      </c>
      <c r="X2869" s="1" t="str">
        <f xml:space="preserve"> LEFT(Table1[[#This Row],[Atc Code]],3)</f>
        <v>P01</v>
      </c>
    </row>
    <row r="2870" spans="1:24" ht="14.4">
      <c r="A2870" s="14">
        <v>2749</v>
      </c>
      <c r="B2870" s="24" t="s">
        <v>6018</v>
      </c>
      <c r="C2870" s="1">
        <v>2191285</v>
      </c>
      <c r="D2870" s="1" t="s">
        <v>25</v>
      </c>
      <c r="E2870" s="36">
        <v>43891</v>
      </c>
      <c r="F2870" s="36">
        <v>43951</v>
      </c>
      <c r="G2870" s="38">
        <f t="shared" si="44"/>
        <v>60</v>
      </c>
      <c r="H2870" s="5">
        <v>43908</v>
      </c>
      <c r="I2870" s="5">
        <v>43924</v>
      </c>
      <c r="J2870" s="1" t="s">
        <v>41</v>
      </c>
      <c r="K2870" s="1" t="s">
        <v>6019</v>
      </c>
      <c r="L2870" s="1" t="s">
        <v>6020</v>
      </c>
      <c r="M2870" s="1" t="s">
        <v>6021</v>
      </c>
      <c r="N2870" s="1" t="s">
        <v>30</v>
      </c>
      <c r="O2870" s="1" t="s">
        <v>2850</v>
      </c>
      <c r="P2870" s="1" t="s">
        <v>2856</v>
      </c>
      <c r="Q2870" s="1" t="s">
        <v>2857</v>
      </c>
      <c r="R2870" s="1" t="s">
        <v>65</v>
      </c>
      <c r="S2870" s="1"/>
      <c r="U2870" s="1" t="s">
        <v>35</v>
      </c>
      <c r="V2870" s="1" t="s">
        <v>99</v>
      </c>
      <c r="W2870" s="1" t="str">
        <f>VLOOKUP(Table1[[#This Row],[Obergruppe ATC-Code]],Tabelle3!$A$2:$B$100,2)</f>
        <v>MITTEL GEGEN PROTOZOEN-ERKRANKUNGEN</v>
      </c>
      <c r="X2870" s="1" t="str">
        <f xml:space="preserve"> LEFT(Table1[[#This Row],[Atc Code]],3)</f>
        <v>P01</v>
      </c>
    </row>
    <row r="2871" spans="1:24" ht="14.4">
      <c r="A2871" s="14">
        <v>2748</v>
      </c>
      <c r="B2871" s="24" t="s">
        <v>6018</v>
      </c>
      <c r="C2871" s="1">
        <v>2191285</v>
      </c>
      <c r="D2871" s="1" t="s">
        <v>25</v>
      </c>
      <c r="E2871" s="36">
        <v>43922</v>
      </c>
      <c r="F2871" s="36">
        <v>44074</v>
      </c>
      <c r="G2871" s="38">
        <f t="shared" si="44"/>
        <v>152</v>
      </c>
      <c r="H2871" s="5">
        <v>43944</v>
      </c>
      <c r="I2871" s="5">
        <v>43999</v>
      </c>
      <c r="J2871" s="1" t="s">
        <v>41</v>
      </c>
      <c r="K2871" s="1" t="s">
        <v>6019</v>
      </c>
      <c r="L2871" s="1" t="s">
        <v>6020</v>
      </c>
      <c r="M2871" s="1" t="s">
        <v>6021</v>
      </c>
      <c r="N2871" s="1" t="s">
        <v>30</v>
      </c>
      <c r="O2871" s="1" t="s">
        <v>2850</v>
      </c>
      <c r="P2871" s="1" t="s">
        <v>2856</v>
      </c>
      <c r="Q2871" s="1" t="s">
        <v>2857</v>
      </c>
      <c r="R2871" s="1" t="s">
        <v>65</v>
      </c>
      <c r="S2871" s="1"/>
      <c r="U2871" s="1" t="s">
        <v>35</v>
      </c>
      <c r="V2871" s="1" t="s">
        <v>99</v>
      </c>
      <c r="W2871" s="1" t="str">
        <f>VLOOKUP(Table1[[#This Row],[Obergruppe ATC-Code]],Tabelle3!$A$2:$B$100,2)</f>
        <v>MITTEL GEGEN PROTOZOEN-ERKRANKUNGEN</v>
      </c>
      <c r="X2871" s="1" t="str">
        <f xml:space="preserve"> LEFT(Table1[[#This Row],[Atc Code]],3)</f>
        <v>P01</v>
      </c>
    </row>
    <row r="2872" spans="1:24" ht="14.4">
      <c r="A2872" s="14">
        <v>2142</v>
      </c>
      <c r="B2872" s="24" t="s">
        <v>6022</v>
      </c>
      <c r="C2872" s="1">
        <v>584604</v>
      </c>
      <c r="D2872" s="1" t="s">
        <v>175</v>
      </c>
      <c r="E2872" s="36">
        <v>45019</v>
      </c>
      <c r="F2872" s="36">
        <v>45291</v>
      </c>
      <c r="G2872" s="38">
        <f t="shared" si="44"/>
        <v>272</v>
      </c>
      <c r="H2872" s="5">
        <v>45019</v>
      </c>
      <c r="I2872" s="5">
        <v>45019</v>
      </c>
      <c r="J2872" s="1" t="s">
        <v>26</v>
      </c>
      <c r="K2872" s="1" t="s">
        <v>6023</v>
      </c>
      <c r="L2872" s="1" t="s">
        <v>6020</v>
      </c>
      <c r="M2872" s="1" t="s">
        <v>6021</v>
      </c>
      <c r="N2872" s="1" t="s">
        <v>30</v>
      </c>
      <c r="O2872" s="1" t="s">
        <v>62</v>
      </c>
      <c r="P2872" s="1" t="s">
        <v>733</v>
      </c>
      <c r="Q2872" s="1" t="s">
        <v>64</v>
      </c>
      <c r="R2872" s="1" t="s">
        <v>113</v>
      </c>
      <c r="S2872" s="1" t="s">
        <v>6024</v>
      </c>
      <c r="U2872" s="1" t="s">
        <v>130</v>
      </c>
      <c r="V2872" s="1" t="s">
        <v>99</v>
      </c>
      <c r="W2872" s="1" t="str">
        <f>VLOOKUP(Table1[[#This Row],[Obergruppe ATC-Code]],Tabelle3!$A$2:$B$100,2)</f>
        <v>MITTEL GEGEN PROTOZOEN-ERKRANKUNGEN</v>
      </c>
      <c r="X2872" s="1" t="str">
        <f xml:space="preserve"> LEFT(Table1[[#This Row],[Atc Code]],3)</f>
        <v>P01</v>
      </c>
    </row>
    <row r="2873" spans="1:24" ht="14.4">
      <c r="A2873" s="14">
        <v>3203</v>
      </c>
      <c r="B2873" s="24" t="s">
        <v>6025</v>
      </c>
      <c r="C2873" s="1">
        <v>2116694</v>
      </c>
      <c r="D2873" s="1" t="s">
        <v>25</v>
      </c>
      <c r="E2873" s="36">
        <v>43922</v>
      </c>
      <c r="F2873" s="36">
        <v>44398</v>
      </c>
      <c r="G2873" s="38">
        <f t="shared" si="44"/>
        <v>476</v>
      </c>
      <c r="H2873" s="5">
        <v>43943</v>
      </c>
      <c r="I2873" s="5">
        <v>44398</v>
      </c>
      <c r="J2873" s="1" t="s">
        <v>41</v>
      </c>
      <c r="K2873" s="1" t="s">
        <v>6026</v>
      </c>
      <c r="L2873" s="1" t="s">
        <v>6027</v>
      </c>
      <c r="M2873" s="1" t="s">
        <v>6028</v>
      </c>
      <c r="N2873" s="1" t="s">
        <v>30</v>
      </c>
      <c r="O2873" s="1" t="s">
        <v>62</v>
      </c>
      <c r="P2873" s="1" t="s">
        <v>63</v>
      </c>
      <c r="Q2873" s="1" t="s">
        <v>64</v>
      </c>
      <c r="R2873" s="1" t="s">
        <v>26</v>
      </c>
      <c r="S2873" s="1"/>
      <c r="U2873" s="1" t="s">
        <v>35</v>
      </c>
      <c r="V2873" s="1" t="s">
        <v>6029</v>
      </c>
      <c r="W2873" s="1" t="str">
        <f>VLOOKUP(Table1[[#This Row],[Obergruppe ATC-Code]],Tabelle3!$A$2:$B$100,2)</f>
        <v>MITTEL GEGEN PROTOZOEN-ERKRANKUNGEN</v>
      </c>
      <c r="X2873" s="1" t="str">
        <f xml:space="preserve"> LEFT(Table1[[#This Row],[Atc Code]],3)</f>
        <v>P01</v>
      </c>
    </row>
    <row r="2874" spans="1:24" ht="14.4">
      <c r="A2874" s="14">
        <v>658</v>
      </c>
      <c r="B2874" s="24">
        <v>4316970</v>
      </c>
      <c r="C2874" s="1">
        <v>2125054</v>
      </c>
      <c r="D2874" s="1" t="s">
        <v>25</v>
      </c>
      <c r="E2874" s="36">
        <v>43070</v>
      </c>
      <c r="F2874" s="36">
        <v>43251</v>
      </c>
      <c r="G2874" s="38">
        <f t="shared" si="44"/>
        <v>181</v>
      </c>
      <c r="H2874" s="5">
        <v>43073</v>
      </c>
      <c r="I2874" s="5">
        <v>43236</v>
      </c>
      <c r="J2874" s="1" t="s">
        <v>41</v>
      </c>
      <c r="K2874" s="1" t="s">
        <v>6030</v>
      </c>
      <c r="L2874" s="1" t="s">
        <v>6031</v>
      </c>
      <c r="M2874" s="1" t="s">
        <v>6032</v>
      </c>
      <c r="N2874" s="1" t="s">
        <v>30</v>
      </c>
      <c r="O2874" s="1" t="s">
        <v>2107</v>
      </c>
      <c r="P2874" s="1" t="s">
        <v>3639</v>
      </c>
      <c r="Q2874" s="1" t="s">
        <v>761</v>
      </c>
      <c r="R2874" s="1" t="s">
        <v>48</v>
      </c>
      <c r="S2874" s="1"/>
      <c r="U2874" s="1" t="s">
        <v>35</v>
      </c>
      <c r="V2874" s="1" t="s">
        <v>49</v>
      </c>
      <c r="W2874" s="1" t="str">
        <f>VLOOKUP(Table1[[#This Row],[Obergruppe ATC-Code]],Tabelle3!$A$2:$B$100,2)</f>
        <v>ANTHELMINTHIKA</v>
      </c>
      <c r="X2874" s="1" t="str">
        <f xml:space="preserve"> LEFT(Table1[[#This Row],[Atc Code]],3)</f>
        <v>P02</v>
      </c>
    </row>
    <row r="2875" spans="1:24" ht="14.4">
      <c r="A2875" s="14">
        <v>657</v>
      </c>
      <c r="B2875" s="24">
        <v>4316970</v>
      </c>
      <c r="C2875" s="1">
        <v>2125054</v>
      </c>
      <c r="D2875" s="1" t="s">
        <v>25</v>
      </c>
      <c r="E2875" s="36">
        <v>43252</v>
      </c>
      <c r="F2875" s="36">
        <v>43343</v>
      </c>
      <c r="G2875" s="38">
        <f t="shared" si="44"/>
        <v>91</v>
      </c>
      <c r="H2875" s="5">
        <v>43278</v>
      </c>
      <c r="I2875" s="5">
        <v>43332</v>
      </c>
      <c r="J2875" s="1" t="s">
        <v>41</v>
      </c>
      <c r="K2875" s="1" t="s">
        <v>6030</v>
      </c>
      <c r="L2875" s="1" t="s">
        <v>6031</v>
      </c>
      <c r="M2875" s="1" t="s">
        <v>6032</v>
      </c>
      <c r="N2875" s="1" t="s">
        <v>30</v>
      </c>
      <c r="O2875" s="1" t="s">
        <v>2107</v>
      </c>
      <c r="P2875" s="1" t="s">
        <v>760</v>
      </c>
      <c r="Q2875" s="1" t="s">
        <v>761</v>
      </c>
      <c r="R2875" s="1" t="s">
        <v>26</v>
      </c>
      <c r="S2875" s="1"/>
      <c r="U2875" s="1" t="s">
        <v>35</v>
      </c>
      <c r="V2875" s="1" t="s">
        <v>49</v>
      </c>
      <c r="W2875" s="1" t="str">
        <f>VLOOKUP(Table1[[#This Row],[Obergruppe ATC-Code]],Tabelle3!$A$2:$B$100,2)</f>
        <v>ANTHELMINTHIKA</v>
      </c>
      <c r="X2875" s="1" t="str">
        <f xml:space="preserve"> LEFT(Table1[[#This Row],[Atc Code]],3)</f>
        <v>P02</v>
      </c>
    </row>
    <row r="2876" spans="1:24" ht="14.4">
      <c r="A2876" s="14">
        <v>656</v>
      </c>
      <c r="B2876" s="24">
        <v>4316970</v>
      </c>
      <c r="C2876" s="1">
        <v>2125054</v>
      </c>
      <c r="D2876" s="1" t="s">
        <v>25</v>
      </c>
      <c r="E2876" s="36">
        <v>43617</v>
      </c>
      <c r="F2876" s="36">
        <v>43708</v>
      </c>
      <c r="G2876" s="38">
        <f t="shared" si="44"/>
        <v>91</v>
      </c>
      <c r="H2876" s="5">
        <v>43644</v>
      </c>
      <c r="I2876" s="5">
        <v>43682</v>
      </c>
      <c r="J2876" s="1" t="s">
        <v>41</v>
      </c>
      <c r="K2876" s="1" t="s">
        <v>6030</v>
      </c>
      <c r="L2876" s="1" t="s">
        <v>6031</v>
      </c>
      <c r="M2876" s="1" t="s">
        <v>6032</v>
      </c>
      <c r="N2876" s="1" t="s">
        <v>30</v>
      </c>
      <c r="O2876" s="1" t="s">
        <v>2107</v>
      </c>
      <c r="P2876" s="1" t="s">
        <v>760</v>
      </c>
      <c r="Q2876" s="1" t="s">
        <v>761</v>
      </c>
      <c r="R2876" s="1" t="s">
        <v>26</v>
      </c>
      <c r="S2876" s="1"/>
      <c r="U2876" s="1" t="s">
        <v>35</v>
      </c>
      <c r="V2876" s="1" t="s">
        <v>49</v>
      </c>
      <c r="W2876" s="1" t="str">
        <f>VLOOKUP(Table1[[#This Row],[Obergruppe ATC-Code]],Tabelle3!$A$2:$B$100,2)</f>
        <v>ANTHELMINTHIKA</v>
      </c>
      <c r="X2876" s="1" t="str">
        <f xml:space="preserve"> LEFT(Table1[[#This Row],[Atc Code]],3)</f>
        <v>P02</v>
      </c>
    </row>
    <row r="2877" spans="1:24" ht="14.4">
      <c r="A2877" s="14">
        <v>2893</v>
      </c>
      <c r="B2877" s="24" t="s">
        <v>6033</v>
      </c>
      <c r="C2877" s="1">
        <v>2195398</v>
      </c>
      <c r="D2877" s="1" t="s">
        <v>25</v>
      </c>
      <c r="E2877" s="36">
        <v>43101</v>
      </c>
      <c r="F2877" s="36">
        <v>43220</v>
      </c>
      <c r="G2877" s="38">
        <f t="shared" si="44"/>
        <v>119</v>
      </c>
      <c r="H2877" s="5">
        <v>42979</v>
      </c>
      <c r="I2877" s="5">
        <v>43173</v>
      </c>
      <c r="J2877" s="1" t="s">
        <v>41</v>
      </c>
      <c r="K2877" s="1" t="s">
        <v>6034</v>
      </c>
      <c r="L2877" s="1" t="s">
        <v>6035</v>
      </c>
      <c r="M2877" s="1" t="s">
        <v>6036</v>
      </c>
      <c r="N2877" s="1" t="s">
        <v>30</v>
      </c>
      <c r="O2877" s="1" t="s">
        <v>2769</v>
      </c>
      <c r="P2877" s="1" t="s">
        <v>2916</v>
      </c>
      <c r="Q2877" s="1" t="s">
        <v>2809</v>
      </c>
      <c r="R2877" s="1" t="s">
        <v>26</v>
      </c>
      <c r="S2877" s="1"/>
      <c r="T2877" s="1" t="s">
        <v>6037</v>
      </c>
      <c r="U2877" s="1" t="s">
        <v>57</v>
      </c>
      <c r="V2877" s="1" t="s">
        <v>49</v>
      </c>
      <c r="W2877" s="1" t="str">
        <f>VLOOKUP(Table1[[#This Row],[Obergruppe ATC-Code]],Tabelle3!$A$2:$B$100,2)</f>
        <v>ANTHELMINTHIKA</v>
      </c>
      <c r="X2877" s="1" t="str">
        <f xml:space="preserve"> LEFT(Table1[[#This Row],[Atc Code]],3)</f>
        <v>P02</v>
      </c>
    </row>
    <row r="2878" spans="1:24" ht="14.4">
      <c r="A2878" s="14">
        <v>2892</v>
      </c>
      <c r="B2878" s="24" t="s">
        <v>6033</v>
      </c>
      <c r="C2878" s="1">
        <v>2195398</v>
      </c>
      <c r="D2878" s="1" t="s">
        <v>25</v>
      </c>
      <c r="E2878" s="36">
        <v>43556</v>
      </c>
      <c r="F2878" s="36">
        <v>43646</v>
      </c>
      <c r="G2878" s="38">
        <f t="shared" si="44"/>
        <v>90</v>
      </c>
      <c r="H2878" s="5">
        <v>43579</v>
      </c>
      <c r="I2878" s="5">
        <v>43633</v>
      </c>
      <c r="J2878" s="1" t="s">
        <v>41</v>
      </c>
      <c r="K2878" s="1" t="s">
        <v>6034</v>
      </c>
      <c r="L2878" s="1" t="s">
        <v>6035</v>
      </c>
      <c r="M2878" s="1" t="s">
        <v>6036</v>
      </c>
      <c r="N2878" s="1" t="s">
        <v>30</v>
      </c>
      <c r="O2878" s="1" t="s">
        <v>2769</v>
      </c>
      <c r="P2878" s="1" t="s">
        <v>2916</v>
      </c>
      <c r="Q2878" s="1" t="s">
        <v>2809</v>
      </c>
      <c r="R2878" s="1" t="s">
        <v>26</v>
      </c>
      <c r="S2878" s="1"/>
      <c r="T2878" s="1" t="s">
        <v>6038</v>
      </c>
      <c r="U2878" s="1" t="s">
        <v>35</v>
      </c>
      <c r="V2878" s="1" t="s">
        <v>49</v>
      </c>
      <c r="W2878" s="1" t="str">
        <f>VLOOKUP(Table1[[#This Row],[Obergruppe ATC-Code]],Tabelle3!$A$2:$B$100,2)</f>
        <v>ANTHELMINTHIKA</v>
      </c>
      <c r="X2878" s="1" t="str">
        <f xml:space="preserve"> LEFT(Table1[[#This Row],[Atc Code]],3)</f>
        <v>P02</v>
      </c>
    </row>
    <row r="2879" spans="1:24" ht="14.4">
      <c r="A2879" s="14">
        <v>210</v>
      </c>
      <c r="B2879" s="24">
        <v>1140720</v>
      </c>
      <c r="C2879" s="1">
        <v>245026</v>
      </c>
      <c r="D2879" s="1" t="s">
        <v>175</v>
      </c>
      <c r="E2879" s="36">
        <v>45093</v>
      </c>
      <c r="F2879" s="36">
        <v>45382</v>
      </c>
      <c r="G2879" s="38">
        <f t="shared" si="44"/>
        <v>289</v>
      </c>
      <c r="H2879" s="5">
        <v>45089</v>
      </c>
      <c r="I2879" s="5">
        <v>45089</v>
      </c>
      <c r="J2879" s="1" t="s">
        <v>41</v>
      </c>
      <c r="K2879" s="1" t="s">
        <v>6039</v>
      </c>
      <c r="L2879" s="1" t="s">
        <v>6040</v>
      </c>
      <c r="M2879" s="1" t="s">
        <v>6041</v>
      </c>
      <c r="N2879" s="1" t="s">
        <v>38</v>
      </c>
      <c r="O2879" s="1" t="s">
        <v>1475</v>
      </c>
      <c r="P2879" s="1" t="s">
        <v>814</v>
      </c>
      <c r="Q2879" s="1" t="s">
        <v>753</v>
      </c>
      <c r="R2879" s="1" t="s">
        <v>128</v>
      </c>
      <c r="S2879" s="1"/>
      <c r="U2879" s="1" t="s">
        <v>130</v>
      </c>
      <c r="V2879" s="1" t="s">
        <v>1903</v>
      </c>
      <c r="W2879" s="1" t="str">
        <f>VLOOKUP(Table1[[#This Row],[Obergruppe ATC-Code]],Tabelle3!$A$2:$B$100,2)</f>
        <v>ANTHELMINTHIKA</v>
      </c>
      <c r="X2879" s="1" t="str">
        <f xml:space="preserve"> LEFT(Table1[[#This Row],[Atc Code]],3)</f>
        <v>P02</v>
      </c>
    </row>
    <row r="2880" spans="1:24" ht="14.4">
      <c r="A2880" s="14">
        <v>171</v>
      </c>
      <c r="B2880" s="24">
        <v>1038246</v>
      </c>
      <c r="C2880" s="1">
        <v>2146280</v>
      </c>
      <c r="D2880" s="1" t="s">
        <v>25</v>
      </c>
      <c r="E2880" s="36">
        <v>45107</v>
      </c>
      <c r="F2880" s="36">
        <v>45208</v>
      </c>
      <c r="G2880" s="38">
        <f t="shared" si="44"/>
        <v>101</v>
      </c>
      <c r="H2880" s="5">
        <v>45117</v>
      </c>
      <c r="I2880" s="5">
        <v>45208</v>
      </c>
      <c r="J2880" s="1" t="s">
        <v>26</v>
      </c>
      <c r="K2880" s="1" t="s">
        <v>6042</v>
      </c>
      <c r="L2880" s="1" t="s">
        <v>6043</v>
      </c>
      <c r="M2880" s="1" t="s">
        <v>6044</v>
      </c>
      <c r="N2880" s="1" t="s">
        <v>38</v>
      </c>
      <c r="O2880" s="1" t="s">
        <v>1054</v>
      </c>
      <c r="P2880" s="1" t="s">
        <v>823</v>
      </c>
      <c r="Q2880" s="1" t="s">
        <v>824</v>
      </c>
      <c r="R2880" s="1" t="s">
        <v>113</v>
      </c>
      <c r="S2880" s="1"/>
      <c r="T2880" s="1" t="s">
        <v>6045</v>
      </c>
      <c r="U2880" s="1" t="s">
        <v>35</v>
      </c>
      <c r="V2880" s="1" t="s">
        <v>6046</v>
      </c>
      <c r="W2880" s="1" t="str">
        <f>VLOOKUP(Table1[[#This Row],[Obergruppe ATC-Code]],Tabelle3!$A$2:$B$100,2)</f>
        <v>RHINOLOGIKA</v>
      </c>
      <c r="X2880" s="1" t="str">
        <f xml:space="preserve"> LEFT(Table1[[#This Row],[Atc Code]],3)</f>
        <v>R01</v>
      </c>
    </row>
    <row r="2881" spans="1:24" ht="14.4">
      <c r="A2881" s="14">
        <v>51</v>
      </c>
      <c r="B2881" s="24">
        <v>332707</v>
      </c>
      <c r="C2881" s="1">
        <v>2137831</v>
      </c>
      <c r="D2881" s="1" t="s">
        <v>175</v>
      </c>
      <c r="E2881" s="36">
        <v>45110</v>
      </c>
      <c r="F2881" s="36">
        <v>45291</v>
      </c>
      <c r="G2881" s="38">
        <f t="shared" si="44"/>
        <v>181</v>
      </c>
      <c r="H2881" s="5">
        <v>45120</v>
      </c>
      <c r="I2881" s="5">
        <v>45120</v>
      </c>
      <c r="J2881" s="1" t="s">
        <v>26</v>
      </c>
      <c r="K2881" s="1" t="s">
        <v>6047</v>
      </c>
      <c r="L2881" s="1" t="s">
        <v>6048</v>
      </c>
      <c r="M2881" s="1" t="s">
        <v>6049</v>
      </c>
      <c r="N2881" s="1" t="s">
        <v>38</v>
      </c>
      <c r="O2881" s="1" t="s">
        <v>31</v>
      </c>
      <c r="P2881" s="1">
        <v>498964186105</v>
      </c>
      <c r="Q2881" s="1" t="s">
        <v>39</v>
      </c>
      <c r="R2881" s="1" t="s">
        <v>33</v>
      </c>
      <c r="S2881" s="1"/>
      <c r="U2881" s="1" t="s">
        <v>130</v>
      </c>
      <c r="V2881" s="1" t="s">
        <v>6050</v>
      </c>
      <c r="W2881" s="1" t="str">
        <f>VLOOKUP(Table1[[#This Row],[Obergruppe ATC-Code]],Tabelle3!$A$2:$B$100,2)</f>
        <v>RHINOLOGIKA</v>
      </c>
      <c r="X2881" s="1" t="str">
        <f xml:space="preserve"> LEFT(Table1[[#This Row],[Atc Code]],3)</f>
        <v>R01</v>
      </c>
    </row>
    <row r="2882" spans="1:24" ht="14.4">
      <c r="A2882" s="14">
        <v>823</v>
      </c>
      <c r="B2882" s="24">
        <v>6888311</v>
      </c>
      <c r="C2882" s="1">
        <v>2100245</v>
      </c>
      <c r="D2882" s="1" t="s">
        <v>25</v>
      </c>
      <c r="E2882" s="36">
        <v>45092</v>
      </c>
      <c r="F2882" s="36">
        <v>45104</v>
      </c>
      <c r="G2882" s="38">
        <f t="shared" ref="G2882:G2945" si="45">F2882-E2882</f>
        <v>12</v>
      </c>
      <c r="H2882" s="5">
        <v>45098</v>
      </c>
      <c r="I2882" s="5">
        <v>45104</v>
      </c>
      <c r="J2882" s="1" t="s">
        <v>26</v>
      </c>
      <c r="K2882" s="1" t="s">
        <v>6051</v>
      </c>
      <c r="L2882" s="1" t="s">
        <v>6052</v>
      </c>
      <c r="M2882" s="1" t="s">
        <v>6053</v>
      </c>
      <c r="N2882" s="1" t="s">
        <v>38</v>
      </c>
      <c r="O2882" s="1" t="s">
        <v>31</v>
      </c>
      <c r="P2882" s="1">
        <v>498964186105</v>
      </c>
      <c r="Q2882" s="1" t="s">
        <v>39</v>
      </c>
      <c r="R2882" s="1" t="s">
        <v>33</v>
      </c>
      <c r="S2882" s="1"/>
      <c r="U2882" s="1" t="s">
        <v>130</v>
      </c>
      <c r="V2882" s="1" t="s">
        <v>2384</v>
      </c>
      <c r="W2882" s="1" t="str">
        <f>VLOOKUP(Table1[[#This Row],[Obergruppe ATC-Code]],Tabelle3!$A$2:$B$100,2)</f>
        <v>RHINOLOGIKA</v>
      </c>
      <c r="X2882" s="1" t="str">
        <f xml:space="preserve"> LEFT(Table1[[#This Row],[Atc Code]],3)</f>
        <v>R01</v>
      </c>
    </row>
    <row r="2883" spans="1:24" ht="14.4">
      <c r="A2883" s="14">
        <v>2007</v>
      </c>
      <c r="B2883" s="24" t="s">
        <v>6054</v>
      </c>
      <c r="C2883" s="1">
        <v>2155032</v>
      </c>
      <c r="D2883" s="1" t="s">
        <v>25</v>
      </c>
      <c r="E2883" s="36">
        <v>45005</v>
      </c>
      <c r="F2883" s="36">
        <v>45019</v>
      </c>
      <c r="G2883" s="38">
        <f t="shared" si="45"/>
        <v>14</v>
      </c>
      <c r="H2883" s="5">
        <v>45005</v>
      </c>
      <c r="I2883" s="5">
        <v>45027</v>
      </c>
      <c r="J2883" s="1" t="s">
        <v>41</v>
      </c>
      <c r="K2883" s="1" t="s">
        <v>6055</v>
      </c>
      <c r="L2883" s="1" t="s">
        <v>6056</v>
      </c>
      <c r="M2883" s="1" t="s">
        <v>355</v>
      </c>
      <c r="N2883" s="1" t="s">
        <v>38</v>
      </c>
      <c r="O2883" s="1" t="s">
        <v>140</v>
      </c>
      <c r="Q2883" s="1" t="s">
        <v>3065</v>
      </c>
      <c r="R2883" s="1" t="s">
        <v>942</v>
      </c>
      <c r="S2883" s="1"/>
      <c r="U2883" s="1" t="s">
        <v>130</v>
      </c>
      <c r="V2883" s="1" t="s">
        <v>6050</v>
      </c>
      <c r="W2883" s="1" t="str">
        <f>VLOOKUP(Table1[[#This Row],[Obergruppe ATC-Code]],Tabelle3!$A$2:$B$100,2)</f>
        <v>RHINOLOGIKA</v>
      </c>
      <c r="X2883" s="1" t="str">
        <f xml:space="preserve"> LEFT(Table1[[#This Row],[Atc Code]],3)</f>
        <v>R01</v>
      </c>
    </row>
    <row r="2884" spans="1:24" ht="14.4">
      <c r="A2884" s="14">
        <v>1904</v>
      </c>
      <c r="B2884" s="24" t="s">
        <v>6057</v>
      </c>
      <c r="C2884" s="1">
        <v>2167867</v>
      </c>
      <c r="D2884" s="1" t="s">
        <v>25</v>
      </c>
      <c r="E2884" s="36">
        <v>45009</v>
      </c>
      <c r="F2884" s="36">
        <v>45122</v>
      </c>
      <c r="G2884" s="38">
        <f t="shared" si="45"/>
        <v>113</v>
      </c>
      <c r="H2884" s="5">
        <v>45009</v>
      </c>
      <c r="I2884" s="5">
        <v>45128</v>
      </c>
      <c r="J2884" s="1" t="s">
        <v>41</v>
      </c>
      <c r="K2884" s="1" t="s">
        <v>6058</v>
      </c>
      <c r="L2884" s="1" t="s">
        <v>6056</v>
      </c>
      <c r="M2884" s="1" t="s">
        <v>355</v>
      </c>
      <c r="N2884" s="1" t="s">
        <v>38</v>
      </c>
      <c r="O2884" s="1" t="s">
        <v>91</v>
      </c>
      <c r="Q2884" s="1" t="s">
        <v>93</v>
      </c>
      <c r="R2884" s="1" t="s">
        <v>128</v>
      </c>
      <c r="S2884" s="1"/>
      <c r="U2884" s="1" t="s">
        <v>130</v>
      </c>
      <c r="V2884" s="1" t="s">
        <v>6050</v>
      </c>
      <c r="W2884" s="1" t="str">
        <f>VLOOKUP(Table1[[#This Row],[Obergruppe ATC-Code]],Tabelle3!$A$2:$B$100,2)</f>
        <v>RHINOLOGIKA</v>
      </c>
      <c r="X2884" s="1" t="str">
        <f xml:space="preserve"> LEFT(Table1[[#This Row],[Atc Code]],3)</f>
        <v>R01</v>
      </c>
    </row>
    <row r="2885" spans="1:24" ht="14.4">
      <c r="A2885" s="14">
        <v>1910</v>
      </c>
      <c r="B2885" s="24" t="s">
        <v>6059</v>
      </c>
      <c r="C2885" s="1">
        <v>2167866</v>
      </c>
      <c r="D2885" s="1" t="s">
        <v>25</v>
      </c>
      <c r="E2885" s="36">
        <v>45009</v>
      </c>
      <c r="F2885" s="36">
        <v>45163</v>
      </c>
      <c r="G2885" s="38">
        <f t="shared" si="45"/>
        <v>154</v>
      </c>
      <c r="H2885" s="5">
        <v>45009</v>
      </c>
      <c r="I2885" s="5">
        <v>45166</v>
      </c>
      <c r="J2885" s="1" t="s">
        <v>41</v>
      </c>
      <c r="K2885" s="1" t="s">
        <v>6060</v>
      </c>
      <c r="L2885" s="1" t="s">
        <v>6056</v>
      </c>
      <c r="M2885" s="1" t="s">
        <v>355</v>
      </c>
      <c r="N2885" s="1" t="s">
        <v>38</v>
      </c>
      <c r="O2885" s="1" t="s">
        <v>91</v>
      </c>
      <c r="Q2885" s="1" t="s">
        <v>93</v>
      </c>
      <c r="R2885" s="1" t="s">
        <v>128</v>
      </c>
      <c r="S2885" s="1"/>
      <c r="U2885" s="1" t="s">
        <v>130</v>
      </c>
      <c r="V2885" s="1" t="s">
        <v>6050</v>
      </c>
      <c r="W2885" s="1" t="str">
        <f>VLOOKUP(Table1[[#This Row],[Obergruppe ATC-Code]],Tabelle3!$A$2:$B$100,2)</f>
        <v>RHINOLOGIKA</v>
      </c>
      <c r="X2885" s="1" t="str">
        <f xml:space="preserve"> LEFT(Table1[[#This Row],[Atc Code]],3)</f>
        <v>R01</v>
      </c>
    </row>
    <row r="2886" spans="1:24" ht="14.4">
      <c r="A2886" s="14">
        <v>2215</v>
      </c>
      <c r="B2886" s="24" t="s">
        <v>6061</v>
      </c>
      <c r="C2886" s="1">
        <v>2167871</v>
      </c>
      <c r="D2886" s="1" t="s">
        <v>25</v>
      </c>
      <c r="E2886" s="36">
        <v>45009</v>
      </c>
      <c r="F2886" s="36">
        <v>45169</v>
      </c>
      <c r="G2886" s="38">
        <f t="shared" si="45"/>
        <v>160</v>
      </c>
      <c r="H2886" s="5">
        <v>45009</v>
      </c>
      <c r="I2886" s="5">
        <v>45170</v>
      </c>
      <c r="J2886" s="1" t="s">
        <v>41</v>
      </c>
      <c r="K2886" s="1" t="s">
        <v>6062</v>
      </c>
      <c r="L2886" s="1" t="s">
        <v>6056</v>
      </c>
      <c r="M2886" s="1" t="s">
        <v>355</v>
      </c>
      <c r="N2886" s="1" t="s">
        <v>38</v>
      </c>
      <c r="O2886" s="1" t="s">
        <v>52</v>
      </c>
      <c r="Q2886" s="1" t="s">
        <v>54</v>
      </c>
      <c r="R2886" s="1" t="s">
        <v>128</v>
      </c>
      <c r="S2886" s="1"/>
      <c r="U2886" s="1" t="s">
        <v>130</v>
      </c>
      <c r="V2886" s="1" t="s">
        <v>6050</v>
      </c>
      <c r="W2886" s="1" t="str">
        <f>VLOOKUP(Table1[[#This Row],[Obergruppe ATC-Code]],Tabelle3!$A$2:$B$100,2)</f>
        <v>RHINOLOGIKA</v>
      </c>
      <c r="X2886" s="1" t="str">
        <f xml:space="preserve"> LEFT(Table1[[#This Row],[Atc Code]],3)</f>
        <v>R01</v>
      </c>
    </row>
    <row r="2887" spans="1:24" ht="14.4">
      <c r="A2887" s="14">
        <v>2050</v>
      </c>
      <c r="B2887" s="24" t="s">
        <v>6063</v>
      </c>
      <c r="C2887" s="1">
        <v>2155033</v>
      </c>
      <c r="D2887" s="1" t="s">
        <v>25</v>
      </c>
      <c r="E2887" s="36">
        <v>45009</v>
      </c>
      <c r="F2887" s="36">
        <v>45169</v>
      </c>
      <c r="G2887" s="38">
        <f t="shared" si="45"/>
        <v>160</v>
      </c>
      <c r="H2887" s="5">
        <v>45009</v>
      </c>
      <c r="I2887" s="5">
        <v>45170</v>
      </c>
      <c r="J2887" s="1" t="s">
        <v>26</v>
      </c>
      <c r="K2887" s="1" t="s">
        <v>6064</v>
      </c>
      <c r="L2887" s="1" t="s">
        <v>6056</v>
      </c>
      <c r="M2887" s="1" t="s">
        <v>355</v>
      </c>
      <c r="N2887" s="1" t="s">
        <v>38</v>
      </c>
      <c r="O2887" s="1" t="s">
        <v>91</v>
      </c>
      <c r="Q2887" s="1" t="s">
        <v>93</v>
      </c>
      <c r="R2887" s="1" t="s">
        <v>26</v>
      </c>
      <c r="S2887" s="1"/>
      <c r="U2887" s="1" t="s">
        <v>130</v>
      </c>
      <c r="V2887" s="1" t="s">
        <v>6050</v>
      </c>
      <c r="W2887" s="1" t="str">
        <f>VLOOKUP(Table1[[#This Row],[Obergruppe ATC-Code]],Tabelle3!$A$2:$B$100,2)</f>
        <v>RHINOLOGIKA</v>
      </c>
      <c r="X2887" s="1" t="str">
        <f xml:space="preserve"> LEFT(Table1[[#This Row],[Atc Code]],3)</f>
        <v>R01</v>
      </c>
    </row>
    <row r="2888" spans="1:24" ht="14.4">
      <c r="A2888" s="14">
        <v>743</v>
      </c>
      <c r="B2888" s="24">
        <v>5024815</v>
      </c>
      <c r="C2888" s="1">
        <v>2182316</v>
      </c>
      <c r="D2888" s="1" t="s">
        <v>102</v>
      </c>
      <c r="E2888" s="36">
        <v>45009</v>
      </c>
      <c r="F2888" s="36">
        <v>45275</v>
      </c>
      <c r="G2888" s="38">
        <f t="shared" si="45"/>
        <v>266</v>
      </c>
      <c r="H2888" s="5">
        <v>45009</v>
      </c>
      <c r="I2888" s="5">
        <v>45215</v>
      </c>
      <c r="J2888" s="1" t="s">
        <v>26</v>
      </c>
      <c r="K2888" s="1" t="s">
        <v>6065</v>
      </c>
      <c r="L2888" s="1" t="s">
        <v>6066</v>
      </c>
      <c r="M2888" s="1" t="s">
        <v>6067</v>
      </c>
      <c r="N2888" s="1" t="s">
        <v>38</v>
      </c>
      <c r="O2888" s="1" t="s">
        <v>91</v>
      </c>
      <c r="Q2888" s="1" t="s">
        <v>93</v>
      </c>
      <c r="R2888" s="1" t="s">
        <v>26</v>
      </c>
      <c r="S2888" s="1"/>
      <c r="U2888" s="1" t="s">
        <v>130</v>
      </c>
      <c r="V2888" s="1" t="s">
        <v>6050</v>
      </c>
      <c r="W2888" s="1" t="str">
        <f>VLOOKUP(Table1[[#This Row],[Obergruppe ATC-Code]],Tabelle3!$A$2:$B$100,2)</f>
        <v>RHINOLOGIKA</v>
      </c>
      <c r="X2888" s="1" t="str">
        <f xml:space="preserve"> LEFT(Table1[[#This Row],[Atc Code]],3)</f>
        <v>R01</v>
      </c>
    </row>
    <row r="2889" spans="1:24" ht="14.4">
      <c r="A2889" s="14">
        <v>1873</v>
      </c>
      <c r="B2889" s="24" t="s">
        <v>6068</v>
      </c>
      <c r="C2889" s="1">
        <v>2141504</v>
      </c>
      <c r="D2889" s="1" t="s">
        <v>175</v>
      </c>
      <c r="E2889" s="36">
        <v>45105</v>
      </c>
      <c r="F2889" s="36">
        <v>45215</v>
      </c>
      <c r="G2889" s="38">
        <f t="shared" si="45"/>
        <v>110</v>
      </c>
      <c r="H2889" s="5">
        <v>45100</v>
      </c>
      <c r="I2889" s="5">
        <v>45100</v>
      </c>
      <c r="J2889" s="1" t="s">
        <v>41</v>
      </c>
      <c r="K2889" s="1" t="s">
        <v>6069</v>
      </c>
      <c r="L2889" s="1" t="s">
        <v>6070</v>
      </c>
      <c r="M2889" s="1" t="s">
        <v>1999</v>
      </c>
      <c r="N2889" s="1" t="s">
        <v>30</v>
      </c>
      <c r="O2889" s="1" t="s">
        <v>5101</v>
      </c>
      <c r="Q2889" s="1" t="s">
        <v>5102</v>
      </c>
      <c r="R2889" s="1" t="s">
        <v>2138</v>
      </c>
      <c r="S2889" s="1"/>
      <c r="T2889" s="1" t="s">
        <v>6071</v>
      </c>
      <c r="U2889" s="1" t="s">
        <v>35</v>
      </c>
      <c r="V2889" s="1" t="s">
        <v>6050</v>
      </c>
      <c r="W2889" s="1" t="str">
        <f>VLOOKUP(Table1[[#This Row],[Obergruppe ATC-Code]],Tabelle3!$A$2:$B$100,2)</f>
        <v>RHINOLOGIKA</v>
      </c>
      <c r="X2889" s="1" t="str">
        <f xml:space="preserve"> LEFT(Table1[[#This Row],[Atc Code]],3)</f>
        <v>R01</v>
      </c>
    </row>
    <row r="2890" spans="1:24" ht="14.4">
      <c r="A2890" s="14">
        <v>675</v>
      </c>
      <c r="B2890" s="24">
        <v>4524898</v>
      </c>
      <c r="C2890" s="1">
        <v>2119284</v>
      </c>
      <c r="D2890" s="1" t="s">
        <v>25</v>
      </c>
      <c r="E2890" s="36">
        <v>42948</v>
      </c>
      <c r="F2890" s="36">
        <v>43281</v>
      </c>
      <c r="G2890" s="38">
        <f t="shared" si="45"/>
        <v>333</v>
      </c>
      <c r="H2890" s="5">
        <v>42954</v>
      </c>
      <c r="I2890" s="5">
        <v>43278</v>
      </c>
      <c r="J2890" s="1" t="s">
        <v>41</v>
      </c>
      <c r="K2890" s="1" t="s">
        <v>6072</v>
      </c>
      <c r="L2890" s="1" t="s">
        <v>6073</v>
      </c>
      <c r="M2890" s="1" t="s">
        <v>6074</v>
      </c>
      <c r="N2890" s="1" t="s">
        <v>30</v>
      </c>
      <c r="O2890" s="1" t="s">
        <v>2107</v>
      </c>
      <c r="P2890" s="1" t="s">
        <v>3639</v>
      </c>
      <c r="Q2890" s="1" t="s">
        <v>761</v>
      </c>
      <c r="R2890" s="1" t="s">
        <v>48</v>
      </c>
      <c r="S2890" s="1"/>
      <c r="U2890" s="1" t="s">
        <v>35</v>
      </c>
      <c r="V2890" s="1" t="s">
        <v>6075</v>
      </c>
      <c r="W2890" s="1" t="str">
        <f>VLOOKUP(Table1[[#This Row],[Obergruppe ATC-Code]],Tabelle3!$A$2:$B$100,2)</f>
        <v>RHINOLOGIKA</v>
      </c>
      <c r="X2890" s="1" t="str">
        <f xml:space="preserve"> LEFT(Table1[[#This Row],[Atc Code]],3)</f>
        <v>R01</v>
      </c>
    </row>
    <row r="2891" spans="1:24" ht="14.4">
      <c r="A2891" s="14">
        <v>2437</v>
      </c>
      <c r="B2891" s="24" t="s">
        <v>6076</v>
      </c>
      <c r="C2891" s="1">
        <v>2117373</v>
      </c>
      <c r="D2891" s="1" t="s">
        <v>25</v>
      </c>
      <c r="E2891" s="36">
        <v>43497</v>
      </c>
      <c r="F2891" s="36">
        <v>43769</v>
      </c>
      <c r="G2891" s="38">
        <f t="shared" si="45"/>
        <v>272</v>
      </c>
      <c r="H2891" s="5">
        <v>43528</v>
      </c>
      <c r="I2891" s="5">
        <v>43773</v>
      </c>
      <c r="J2891" s="1" t="s">
        <v>41</v>
      </c>
      <c r="K2891" s="1" t="s">
        <v>6077</v>
      </c>
      <c r="L2891" s="1" t="s">
        <v>6078</v>
      </c>
      <c r="M2891" s="1" t="s">
        <v>6079</v>
      </c>
      <c r="N2891" s="1" t="s">
        <v>30</v>
      </c>
      <c r="O2891" s="1" t="s">
        <v>91</v>
      </c>
      <c r="P2891" s="1" t="s">
        <v>374</v>
      </c>
      <c r="Q2891" s="1" t="s">
        <v>375</v>
      </c>
      <c r="R2891" s="1" t="s">
        <v>48</v>
      </c>
      <c r="S2891" s="1"/>
      <c r="U2891" s="1" t="s">
        <v>35</v>
      </c>
      <c r="V2891" s="1" t="s">
        <v>754</v>
      </c>
      <c r="W2891" s="1" t="str">
        <f>VLOOKUP(Table1[[#This Row],[Obergruppe ATC-Code]],Tabelle3!$A$2:$B$100,2)</f>
        <v>MITTEL BEI OBSTRUKTIVEN ATEMWEGSERKRANKUNGEN</v>
      </c>
      <c r="X2891" s="1" t="str">
        <f xml:space="preserve"> LEFT(Table1[[#This Row],[Atc Code]],3)</f>
        <v>R03</v>
      </c>
    </row>
    <row r="2892" spans="1:24" ht="14.4">
      <c r="A2892" s="14">
        <v>1871</v>
      </c>
      <c r="B2892" s="24" t="s">
        <v>6080</v>
      </c>
      <c r="C2892" s="1">
        <v>2167774</v>
      </c>
      <c r="D2892" s="1" t="s">
        <v>25</v>
      </c>
      <c r="E2892" s="36">
        <v>43891</v>
      </c>
      <c r="F2892" s="36">
        <v>43982</v>
      </c>
      <c r="G2892" s="38">
        <f t="shared" si="45"/>
        <v>91</v>
      </c>
      <c r="H2892" s="5">
        <v>43917</v>
      </c>
      <c r="I2892" s="5">
        <v>43959</v>
      </c>
      <c r="J2892" s="1" t="s">
        <v>41</v>
      </c>
      <c r="K2892" s="1" t="s">
        <v>6081</v>
      </c>
      <c r="L2892" s="1" t="s">
        <v>6078</v>
      </c>
      <c r="M2892" s="1" t="s">
        <v>6079</v>
      </c>
      <c r="N2892" s="1" t="s">
        <v>38</v>
      </c>
      <c r="O2892" s="1" t="s">
        <v>91</v>
      </c>
      <c r="P2892" s="1" t="s">
        <v>92</v>
      </c>
      <c r="Q2892" s="1" t="s">
        <v>93</v>
      </c>
      <c r="R2892" s="1" t="s">
        <v>48</v>
      </c>
      <c r="S2892" s="1"/>
      <c r="U2892" s="1" t="s">
        <v>35</v>
      </c>
      <c r="V2892" s="1" t="s">
        <v>6082</v>
      </c>
      <c r="W2892" s="1" t="str">
        <f>VLOOKUP(Table1[[#This Row],[Obergruppe ATC-Code]],Tabelle3!$A$2:$B$100,2)</f>
        <v>MITTEL BEI OBSTRUKTIVEN ATEMWEGSERKRANKUNGEN</v>
      </c>
      <c r="X2892" s="1" t="str">
        <f xml:space="preserve"> LEFT(Table1[[#This Row],[Atc Code]],3)</f>
        <v>R03</v>
      </c>
    </row>
    <row r="2893" spans="1:24" ht="14.4">
      <c r="A2893" s="14">
        <v>3007</v>
      </c>
      <c r="B2893" s="24" t="s">
        <v>6083</v>
      </c>
      <c r="C2893" s="1">
        <v>2125592</v>
      </c>
      <c r="D2893" s="1" t="s">
        <v>25</v>
      </c>
      <c r="E2893" s="36">
        <v>43922</v>
      </c>
      <c r="F2893" s="36">
        <v>44012</v>
      </c>
      <c r="G2893" s="38">
        <f t="shared" si="45"/>
        <v>90</v>
      </c>
      <c r="H2893" s="5">
        <v>43922</v>
      </c>
      <c r="I2893" s="5">
        <v>44000</v>
      </c>
      <c r="J2893" s="1" t="s">
        <v>26</v>
      </c>
      <c r="K2893" s="1" t="s">
        <v>6084</v>
      </c>
      <c r="L2893" s="1" t="s">
        <v>6078</v>
      </c>
      <c r="M2893" s="1" t="s">
        <v>6079</v>
      </c>
      <c r="N2893" s="1" t="s">
        <v>30</v>
      </c>
      <c r="O2893" s="1" t="s">
        <v>45</v>
      </c>
      <c r="P2893" s="1" t="s">
        <v>104</v>
      </c>
      <c r="Q2893" s="1" t="s">
        <v>105</v>
      </c>
      <c r="R2893" s="1" t="s">
        <v>33</v>
      </c>
      <c r="S2893" s="1"/>
      <c r="U2893" s="1" t="s">
        <v>35</v>
      </c>
      <c r="V2893" s="1" t="s">
        <v>754</v>
      </c>
      <c r="W2893" s="1" t="str">
        <f>VLOOKUP(Table1[[#This Row],[Obergruppe ATC-Code]],Tabelle3!$A$2:$B$100,2)</f>
        <v>MITTEL BEI OBSTRUKTIVEN ATEMWEGSERKRANKUNGEN</v>
      </c>
      <c r="X2893" s="1" t="str">
        <f xml:space="preserve"> LEFT(Table1[[#This Row],[Atc Code]],3)</f>
        <v>R03</v>
      </c>
    </row>
    <row r="2894" spans="1:24" ht="14.4">
      <c r="A2894" s="14">
        <v>253</v>
      </c>
      <c r="B2894" s="24">
        <v>1448777</v>
      </c>
      <c r="C2894" s="1">
        <v>2145315</v>
      </c>
      <c r="D2894" s="1" t="s">
        <v>25</v>
      </c>
      <c r="E2894" s="36">
        <v>43922</v>
      </c>
      <c r="F2894" s="36">
        <v>44012</v>
      </c>
      <c r="G2894" s="38">
        <f t="shared" si="45"/>
        <v>90</v>
      </c>
      <c r="H2894" s="5">
        <v>43922</v>
      </c>
      <c r="I2894" s="5">
        <v>44000</v>
      </c>
      <c r="J2894" s="1" t="s">
        <v>26</v>
      </c>
      <c r="K2894" s="1" t="s">
        <v>6085</v>
      </c>
      <c r="L2894" s="1" t="s">
        <v>6078</v>
      </c>
      <c r="M2894" s="1" t="s">
        <v>6079</v>
      </c>
      <c r="N2894" s="1" t="s">
        <v>30</v>
      </c>
      <c r="O2894" s="1" t="s">
        <v>45</v>
      </c>
      <c r="P2894" s="1" t="s">
        <v>104</v>
      </c>
      <c r="Q2894" s="1" t="s">
        <v>105</v>
      </c>
      <c r="R2894" s="1" t="s">
        <v>33</v>
      </c>
      <c r="S2894" s="1"/>
      <c r="U2894" s="1" t="s">
        <v>35</v>
      </c>
      <c r="V2894" s="1" t="s">
        <v>6082</v>
      </c>
      <c r="W2894" s="1" t="str">
        <f>VLOOKUP(Table1[[#This Row],[Obergruppe ATC-Code]],Tabelle3!$A$2:$B$100,2)</f>
        <v>MITTEL BEI OBSTRUKTIVEN ATEMWEGSERKRANKUNGEN</v>
      </c>
      <c r="X2894" s="1" t="str">
        <f xml:space="preserve"> LEFT(Table1[[#This Row],[Atc Code]],3)</f>
        <v>R03</v>
      </c>
    </row>
    <row r="2895" spans="1:24" ht="14.4">
      <c r="A2895" s="14">
        <v>1044</v>
      </c>
      <c r="B2895" s="24">
        <v>8903109</v>
      </c>
      <c r="C2895" s="1">
        <v>2117377</v>
      </c>
      <c r="D2895" s="1" t="s">
        <v>25</v>
      </c>
      <c r="E2895" s="36">
        <v>44317</v>
      </c>
      <c r="F2895" s="36">
        <v>44377</v>
      </c>
      <c r="G2895" s="38">
        <f t="shared" si="45"/>
        <v>60</v>
      </c>
      <c r="H2895" s="5">
        <v>44326</v>
      </c>
      <c r="I2895" s="5">
        <v>44376</v>
      </c>
      <c r="J2895" s="1" t="s">
        <v>41</v>
      </c>
      <c r="K2895" s="1" t="s">
        <v>6086</v>
      </c>
      <c r="L2895" s="1" t="s">
        <v>6078</v>
      </c>
      <c r="M2895" s="1" t="s">
        <v>6079</v>
      </c>
      <c r="N2895" s="1" t="s">
        <v>38</v>
      </c>
      <c r="O2895" s="1" t="s">
        <v>91</v>
      </c>
      <c r="P2895" s="1" t="s">
        <v>92</v>
      </c>
      <c r="Q2895" s="1" t="s">
        <v>93</v>
      </c>
      <c r="R2895" s="1" t="s">
        <v>48</v>
      </c>
      <c r="S2895" s="1"/>
      <c r="U2895" s="1" t="s">
        <v>35</v>
      </c>
      <c r="V2895" s="1" t="s">
        <v>754</v>
      </c>
      <c r="W2895" s="1" t="str">
        <f>VLOOKUP(Table1[[#This Row],[Obergruppe ATC-Code]],Tabelle3!$A$2:$B$100,2)</f>
        <v>MITTEL BEI OBSTRUKTIVEN ATEMWEGSERKRANKUNGEN</v>
      </c>
      <c r="X2895" s="1" t="str">
        <f xml:space="preserve"> LEFT(Table1[[#This Row],[Atc Code]],3)</f>
        <v>R03</v>
      </c>
    </row>
    <row r="2896" spans="1:24" ht="14.4">
      <c r="A2896" s="14">
        <v>1015</v>
      </c>
      <c r="B2896" s="24">
        <v>8730399</v>
      </c>
      <c r="C2896" s="1">
        <v>2141161</v>
      </c>
      <c r="D2896" s="1" t="s">
        <v>25</v>
      </c>
      <c r="E2896" s="36">
        <v>44763</v>
      </c>
      <c r="F2896" s="36">
        <v>44880</v>
      </c>
      <c r="G2896" s="38">
        <f t="shared" si="45"/>
        <v>117</v>
      </c>
      <c r="H2896" s="5">
        <v>44806</v>
      </c>
      <c r="I2896" s="5">
        <v>44889</v>
      </c>
      <c r="J2896" s="1" t="s">
        <v>26</v>
      </c>
      <c r="K2896" s="1" t="s">
        <v>6087</v>
      </c>
      <c r="L2896" s="1" t="s">
        <v>6078</v>
      </c>
      <c r="M2896" s="1" t="s">
        <v>6079</v>
      </c>
      <c r="N2896" s="1" t="s">
        <v>30</v>
      </c>
      <c r="O2896" s="1" t="s">
        <v>123</v>
      </c>
      <c r="Q2896" s="1" t="s">
        <v>124</v>
      </c>
      <c r="R2896" s="1" t="s">
        <v>33</v>
      </c>
      <c r="S2896" s="1"/>
      <c r="U2896" s="1" t="s">
        <v>130</v>
      </c>
      <c r="V2896" s="1" t="s">
        <v>754</v>
      </c>
      <c r="W2896" s="1" t="str">
        <f>VLOOKUP(Table1[[#This Row],[Obergruppe ATC-Code]],Tabelle3!$A$2:$B$100,2)</f>
        <v>MITTEL BEI OBSTRUKTIVEN ATEMWEGSERKRANKUNGEN</v>
      </c>
      <c r="X2896" s="1" t="str">
        <f xml:space="preserve"> LEFT(Table1[[#This Row],[Atc Code]],3)</f>
        <v>R03</v>
      </c>
    </row>
    <row r="2897" spans="1:24" ht="14.4">
      <c r="A2897" s="14">
        <v>1676</v>
      </c>
      <c r="B2897" s="24" t="s">
        <v>6088</v>
      </c>
      <c r="C2897" s="1">
        <v>2141160</v>
      </c>
      <c r="D2897" s="1" t="s">
        <v>25</v>
      </c>
      <c r="E2897" s="36">
        <v>44931</v>
      </c>
      <c r="F2897" s="36">
        <v>44985</v>
      </c>
      <c r="G2897" s="38">
        <f t="shared" si="45"/>
        <v>54</v>
      </c>
      <c r="H2897" s="5">
        <v>44936</v>
      </c>
      <c r="I2897" s="5">
        <v>44985</v>
      </c>
      <c r="J2897" s="1" t="s">
        <v>26</v>
      </c>
      <c r="K2897" s="1" t="s">
        <v>6089</v>
      </c>
      <c r="L2897" s="1" t="s">
        <v>6078</v>
      </c>
      <c r="M2897" s="1" t="s">
        <v>6079</v>
      </c>
      <c r="N2897" s="1" t="s">
        <v>38</v>
      </c>
      <c r="O2897" s="1" t="s">
        <v>110</v>
      </c>
      <c r="P2897" s="1">
        <v>49733396510</v>
      </c>
      <c r="Q2897" s="1" t="s">
        <v>1141</v>
      </c>
      <c r="R2897" s="1" t="s">
        <v>113</v>
      </c>
      <c r="S2897" s="1"/>
      <c r="U2897" s="1" t="s">
        <v>130</v>
      </c>
      <c r="V2897" s="1" t="s">
        <v>754</v>
      </c>
      <c r="W2897" s="1" t="str">
        <f>VLOOKUP(Table1[[#This Row],[Obergruppe ATC-Code]],Tabelle3!$A$2:$B$100,2)</f>
        <v>MITTEL BEI OBSTRUKTIVEN ATEMWEGSERKRANKUNGEN</v>
      </c>
      <c r="X2897" s="1" t="str">
        <f xml:space="preserve"> LEFT(Table1[[#This Row],[Atc Code]],3)</f>
        <v>R03</v>
      </c>
    </row>
    <row r="2898" spans="1:24" ht="14.4">
      <c r="A2898" s="14">
        <v>2436</v>
      </c>
      <c r="B2898" s="24" t="s">
        <v>6090</v>
      </c>
      <c r="C2898" s="1">
        <v>2117373</v>
      </c>
      <c r="D2898" s="1" t="s">
        <v>25</v>
      </c>
      <c r="E2898" s="36">
        <v>44740</v>
      </c>
      <c r="F2898" s="36">
        <v>44987</v>
      </c>
      <c r="G2898" s="38">
        <f t="shared" si="45"/>
        <v>247</v>
      </c>
      <c r="H2898" s="5">
        <v>44740</v>
      </c>
      <c r="I2898" s="5">
        <v>44987</v>
      </c>
      <c r="J2898" s="1" t="s">
        <v>26</v>
      </c>
      <c r="K2898" s="1" t="s">
        <v>6077</v>
      </c>
      <c r="L2898" s="1" t="s">
        <v>6078</v>
      </c>
      <c r="M2898" s="1" t="s">
        <v>6079</v>
      </c>
      <c r="N2898" s="1" t="s">
        <v>38</v>
      </c>
      <c r="O2898" s="1" t="s">
        <v>91</v>
      </c>
      <c r="P2898" s="1" t="s">
        <v>92</v>
      </c>
      <c r="Q2898" s="1" t="s">
        <v>1505</v>
      </c>
      <c r="R2898" s="1" t="s">
        <v>26</v>
      </c>
      <c r="S2898" s="1" t="s">
        <v>6091</v>
      </c>
      <c r="U2898" s="1" t="s">
        <v>130</v>
      </c>
      <c r="V2898" s="1" t="s">
        <v>754</v>
      </c>
      <c r="W2898" s="1" t="str">
        <f>VLOOKUP(Table1[[#This Row],[Obergruppe ATC-Code]],Tabelle3!$A$2:$B$100,2)</f>
        <v>MITTEL BEI OBSTRUKTIVEN ATEMWEGSERKRANKUNGEN</v>
      </c>
      <c r="X2898" s="1" t="str">
        <f xml:space="preserve"> LEFT(Table1[[#This Row],[Atc Code]],3)</f>
        <v>R03</v>
      </c>
    </row>
    <row r="2899" spans="1:24" ht="14.4">
      <c r="A2899" s="14">
        <v>948</v>
      </c>
      <c r="B2899" s="24">
        <v>7722179</v>
      </c>
      <c r="C2899" s="1">
        <v>2134011</v>
      </c>
      <c r="D2899" s="1" t="s">
        <v>25</v>
      </c>
      <c r="E2899" s="36">
        <v>44935</v>
      </c>
      <c r="F2899" s="36">
        <v>44975</v>
      </c>
      <c r="G2899" s="38">
        <f t="shared" si="45"/>
        <v>40</v>
      </c>
      <c r="H2899" s="5">
        <v>44943</v>
      </c>
      <c r="I2899" s="5">
        <v>44987</v>
      </c>
      <c r="J2899" s="1" t="s">
        <v>26</v>
      </c>
      <c r="K2899" s="1" t="s">
        <v>6092</v>
      </c>
      <c r="L2899" s="1" t="s">
        <v>6078</v>
      </c>
      <c r="M2899" s="1" t="s">
        <v>6079</v>
      </c>
      <c r="N2899" s="1" t="s">
        <v>38</v>
      </c>
      <c r="O2899" s="1" t="s">
        <v>6093</v>
      </c>
      <c r="Q2899" s="1" t="s">
        <v>6094</v>
      </c>
      <c r="R2899" s="1" t="s">
        <v>113</v>
      </c>
      <c r="S2899" s="1"/>
      <c r="U2899" s="1" t="s">
        <v>130</v>
      </c>
      <c r="V2899" s="1" t="s">
        <v>6082</v>
      </c>
      <c r="W2899" s="1" t="str">
        <f>VLOOKUP(Table1[[#This Row],[Obergruppe ATC-Code]],Tabelle3!$A$2:$B$100,2)</f>
        <v>MITTEL BEI OBSTRUKTIVEN ATEMWEGSERKRANKUNGEN</v>
      </c>
      <c r="X2899" s="1" t="str">
        <f xml:space="preserve"> LEFT(Table1[[#This Row],[Atc Code]],3)</f>
        <v>R03</v>
      </c>
    </row>
    <row r="2900" spans="1:24" ht="14.4">
      <c r="A2900" s="14">
        <v>2388</v>
      </c>
      <c r="B2900" s="24" t="s">
        <v>6095</v>
      </c>
      <c r="C2900" s="1">
        <v>2125592</v>
      </c>
      <c r="D2900" s="1" t="s">
        <v>25</v>
      </c>
      <c r="E2900" s="36">
        <v>44788</v>
      </c>
      <c r="F2900" s="36">
        <v>45046</v>
      </c>
      <c r="G2900" s="38">
        <f t="shared" si="45"/>
        <v>258</v>
      </c>
      <c r="H2900" s="5">
        <v>44778</v>
      </c>
      <c r="I2900" s="5">
        <v>45057</v>
      </c>
      <c r="J2900" s="1" t="s">
        <v>41</v>
      </c>
      <c r="K2900" s="1" t="s">
        <v>6084</v>
      </c>
      <c r="L2900" s="1" t="s">
        <v>6078</v>
      </c>
      <c r="M2900" s="1" t="s">
        <v>6079</v>
      </c>
      <c r="N2900" s="1" t="s">
        <v>38</v>
      </c>
      <c r="O2900" s="1" t="s">
        <v>45</v>
      </c>
      <c r="Q2900" s="1" t="s">
        <v>1036</v>
      </c>
      <c r="R2900" s="1" t="s">
        <v>128</v>
      </c>
      <c r="S2900" s="1"/>
      <c r="U2900" s="1" t="s">
        <v>130</v>
      </c>
      <c r="V2900" s="1" t="s">
        <v>754</v>
      </c>
      <c r="W2900" s="1" t="str">
        <f>VLOOKUP(Table1[[#This Row],[Obergruppe ATC-Code]],Tabelle3!$A$2:$B$100,2)</f>
        <v>MITTEL BEI OBSTRUKTIVEN ATEMWEGSERKRANKUNGEN</v>
      </c>
      <c r="X2900" s="1" t="str">
        <f xml:space="preserve"> LEFT(Table1[[#This Row],[Atc Code]],3)</f>
        <v>R03</v>
      </c>
    </row>
    <row r="2901" spans="1:24" ht="14.4">
      <c r="A2901" s="14">
        <v>437</v>
      </c>
      <c r="B2901" s="24">
        <v>2682937</v>
      </c>
      <c r="C2901" s="1">
        <v>2125597</v>
      </c>
      <c r="D2901" s="1" t="s">
        <v>25</v>
      </c>
      <c r="E2901" s="36">
        <v>44921</v>
      </c>
      <c r="F2901" s="36">
        <v>45076</v>
      </c>
      <c r="G2901" s="38">
        <f t="shared" si="45"/>
        <v>155</v>
      </c>
      <c r="H2901" s="5">
        <v>44936</v>
      </c>
      <c r="I2901" s="5">
        <v>45076</v>
      </c>
      <c r="J2901" s="1" t="s">
        <v>26</v>
      </c>
      <c r="K2901" s="1" t="s">
        <v>6096</v>
      </c>
      <c r="L2901" s="1" t="s">
        <v>6078</v>
      </c>
      <c r="M2901" s="1" t="s">
        <v>6079</v>
      </c>
      <c r="N2901" s="1" t="s">
        <v>38</v>
      </c>
      <c r="O2901" s="1" t="s">
        <v>110</v>
      </c>
      <c r="P2901" s="1">
        <v>49733396510</v>
      </c>
      <c r="Q2901" s="1" t="s">
        <v>1141</v>
      </c>
      <c r="R2901" s="1" t="s">
        <v>113</v>
      </c>
      <c r="S2901" s="1" t="s">
        <v>4578</v>
      </c>
      <c r="U2901" s="1" t="s">
        <v>130</v>
      </c>
      <c r="V2901" s="1" t="s">
        <v>754</v>
      </c>
      <c r="W2901" s="1" t="str">
        <f>VLOOKUP(Table1[[#This Row],[Obergruppe ATC-Code]],Tabelle3!$A$2:$B$100,2)</f>
        <v>MITTEL BEI OBSTRUKTIVEN ATEMWEGSERKRANKUNGEN</v>
      </c>
      <c r="X2901" s="1" t="str">
        <f xml:space="preserve"> LEFT(Table1[[#This Row],[Atc Code]],3)</f>
        <v>R03</v>
      </c>
    </row>
    <row r="2902" spans="1:24" ht="14.4">
      <c r="A2902" s="14">
        <v>1762</v>
      </c>
      <c r="B2902" s="24" t="s">
        <v>6097</v>
      </c>
      <c r="C2902" s="1">
        <v>2140393</v>
      </c>
      <c r="D2902" s="1" t="s">
        <v>102</v>
      </c>
      <c r="E2902" s="36">
        <v>45096</v>
      </c>
      <c r="F2902" s="36">
        <v>45291</v>
      </c>
      <c r="G2902" s="38">
        <f t="shared" si="45"/>
        <v>195</v>
      </c>
      <c r="H2902" s="5">
        <v>45084</v>
      </c>
      <c r="I2902" s="5">
        <v>45098</v>
      </c>
      <c r="J2902" s="1" t="s">
        <v>26</v>
      </c>
      <c r="K2902" s="1" t="s">
        <v>6098</v>
      </c>
      <c r="L2902" s="1" t="s">
        <v>6078</v>
      </c>
      <c r="M2902" s="1" t="s">
        <v>6079</v>
      </c>
      <c r="N2902" s="1" t="s">
        <v>38</v>
      </c>
      <c r="O2902" s="1" t="s">
        <v>2107</v>
      </c>
      <c r="P2902" s="1">
        <v>8001223355</v>
      </c>
      <c r="Q2902" s="1" t="s">
        <v>761</v>
      </c>
      <c r="R2902" s="1" t="s">
        <v>113</v>
      </c>
      <c r="S2902" s="1"/>
      <c r="U2902" s="1" t="s">
        <v>35</v>
      </c>
      <c r="V2902" s="1" t="s">
        <v>6082</v>
      </c>
      <c r="W2902" s="1" t="str">
        <f>VLOOKUP(Table1[[#This Row],[Obergruppe ATC-Code]],Tabelle3!$A$2:$B$100,2)</f>
        <v>MITTEL BEI OBSTRUKTIVEN ATEMWEGSERKRANKUNGEN</v>
      </c>
      <c r="X2902" s="1" t="str">
        <f xml:space="preserve"> LEFT(Table1[[#This Row],[Atc Code]],3)</f>
        <v>R03</v>
      </c>
    </row>
    <row r="2903" spans="1:24" ht="14.4">
      <c r="A2903" s="14">
        <v>1014</v>
      </c>
      <c r="B2903" s="24">
        <v>8730399</v>
      </c>
      <c r="C2903" s="1">
        <v>2141161</v>
      </c>
      <c r="D2903" s="1" t="s">
        <v>25</v>
      </c>
      <c r="E2903" s="36">
        <v>44924</v>
      </c>
      <c r="F2903" s="36">
        <v>45118</v>
      </c>
      <c r="G2903" s="38">
        <f t="shared" si="45"/>
        <v>194</v>
      </c>
      <c r="H2903" s="5">
        <v>44936</v>
      </c>
      <c r="I2903" s="5">
        <v>45121</v>
      </c>
      <c r="J2903" s="1" t="s">
        <v>41</v>
      </c>
      <c r="K2903" s="1" t="s">
        <v>6087</v>
      </c>
      <c r="L2903" s="1" t="s">
        <v>6078</v>
      </c>
      <c r="M2903" s="1" t="s">
        <v>6079</v>
      </c>
      <c r="N2903" s="1" t="s">
        <v>38</v>
      </c>
      <c r="O2903" s="1" t="s">
        <v>123</v>
      </c>
      <c r="Q2903" s="1" t="s">
        <v>127</v>
      </c>
      <c r="R2903" s="1" t="s">
        <v>128</v>
      </c>
      <c r="S2903" s="1" t="s">
        <v>6099</v>
      </c>
      <c r="U2903" s="1" t="s">
        <v>130</v>
      </c>
      <c r="V2903" s="1" t="s">
        <v>754</v>
      </c>
      <c r="W2903" s="1" t="str">
        <f>VLOOKUP(Table1[[#This Row],[Obergruppe ATC-Code]],Tabelle3!$A$2:$B$100,2)</f>
        <v>MITTEL BEI OBSTRUKTIVEN ATEMWEGSERKRANKUNGEN</v>
      </c>
      <c r="X2903" s="1" t="str">
        <f xml:space="preserve"> LEFT(Table1[[#This Row],[Atc Code]],3)</f>
        <v>R03</v>
      </c>
    </row>
    <row r="2904" spans="1:24" ht="14.4">
      <c r="A2904" s="14">
        <v>254</v>
      </c>
      <c r="B2904" s="24">
        <v>1448777</v>
      </c>
      <c r="C2904" s="1">
        <v>2145315</v>
      </c>
      <c r="D2904" s="1" t="s">
        <v>175</v>
      </c>
      <c r="E2904" s="36">
        <v>45126</v>
      </c>
      <c r="F2904" s="36">
        <v>45187</v>
      </c>
      <c r="G2904" s="38">
        <f t="shared" si="45"/>
        <v>61</v>
      </c>
      <c r="H2904" s="5">
        <v>45128</v>
      </c>
      <c r="I2904" s="5">
        <v>45128</v>
      </c>
      <c r="J2904" s="1" t="s">
        <v>26</v>
      </c>
      <c r="K2904" s="1" t="s">
        <v>6085</v>
      </c>
      <c r="L2904" s="1" t="s">
        <v>6078</v>
      </c>
      <c r="M2904" s="1" t="s">
        <v>6079</v>
      </c>
      <c r="N2904" s="1" t="s">
        <v>38</v>
      </c>
      <c r="O2904" s="1" t="s">
        <v>45</v>
      </c>
      <c r="Q2904" s="1" t="s">
        <v>118</v>
      </c>
      <c r="R2904" s="1" t="s">
        <v>113</v>
      </c>
      <c r="S2904" s="1"/>
      <c r="U2904" s="1" t="s">
        <v>130</v>
      </c>
      <c r="V2904" s="1" t="s">
        <v>6082</v>
      </c>
      <c r="W2904" s="1" t="str">
        <f>VLOOKUP(Table1[[#This Row],[Obergruppe ATC-Code]],Tabelle3!$A$2:$B$100,2)</f>
        <v>MITTEL BEI OBSTRUKTIVEN ATEMWEGSERKRANKUNGEN</v>
      </c>
      <c r="X2904" s="1" t="str">
        <f xml:space="preserve"> LEFT(Table1[[#This Row],[Atc Code]],3)</f>
        <v>R03</v>
      </c>
    </row>
    <row r="2905" spans="1:24" ht="14.4">
      <c r="A2905" s="14">
        <v>1677</v>
      </c>
      <c r="B2905" s="24" t="s">
        <v>6100</v>
      </c>
      <c r="C2905" s="1">
        <v>2141160</v>
      </c>
      <c r="D2905" s="1" t="s">
        <v>25</v>
      </c>
      <c r="E2905" s="36">
        <v>45085</v>
      </c>
      <c r="F2905" s="36">
        <v>45133</v>
      </c>
      <c r="G2905" s="38">
        <f t="shared" si="45"/>
        <v>48</v>
      </c>
      <c r="H2905" s="5">
        <v>45092</v>
      </c>
      <c r="I2905" s="5">
        <v>45133</v>
      </c>
      <c r="J2905" s="1" t="s">
        <v>26</v>
      </c>
      <c r="K2905" s="1" t="s">
        <v>6089</v>
      </c>
      <c r="L2905" s="1" t="s">
        <v>6078</v>
      </c>
      <c r="M2905" s="1" t="s">
        <v>6079</v>
      </c>
      <c r="N2905" s="1" t="s">
        <v>38</v>
      </c>
      <c r="O2905" s="1" t="s">
        <v>110</v>
      </c>
      <c r="P2905" s="1">
        <v>49733396510</v>
      </c>
      <c r="Q2905" s="1" t="s">
        <v>1141</v>
      </c>
      <c r="R2905" s="1" t="s">
        <v>113</v>
      </c>
      <c r="S2905" s="1"/>
      <c r="U2905" s="1" t="s">
        <v>130</v>
      </c>
      <c r="V2905" s="1" t="s">
        <v>754</v>
      </c>
      <c r="W2905" s="1" t="str">
        <f>VLOOKUP(Table1[[#This Row],[Obergruppe ATC-Code]],Tabelle3!$A$2:$B$100,2)</f>
        <v>MITTEL BEI OBSTRUKTIVEN ATEMWEGSERKRANKUNGEN</v>
      </c>
      <c r="X2905" s="1" t="str">
        <f xml:space="preserve"> LEFT(Table1[[#This Row],[Atc Code]],3)</f>
        <v>R03</v>
      </c>
    </row>
    <row r="2906" spans="1:24" ht="14.4">
      <c r="A2906" s="14">
        <v>1045</v>
      </c>
      <c r="B2906" s="24">
        <v>8903109</v>
      </c>
      <c r="C2906" s="1">
        <v>2117377</v>
      </c>
      <c r="D2906" s="1" t="s">
        <v>25</v>
      </c>
      <c r="E2906" s="36">
        <v>44740</v>
      </c>
      <c r="F2906" s="36">
        <v>45141</v>
      </c>
      <c r="G2906" s="38">
        <f t="shared" si="45"/>
        <v>401</v>
      </c>
      <c r="H2906" s="5">
        <v>44740</v>
      </c>
      <c r="I2906" s="5">
        <v>45141</v>
      </c>
      <c r="J2906" s="1" t="s">
        <v>26</v>
      </c>
      <c r="K2906" s="1" t="s">
        <v>6086</v>
      </c>
      <c r="L2906" s="1" t="s">
        <v>6078</v>
      </c>
      <c r="M2906" s="1" t="s">
        <v>6079</v>
      </c>
      <c r="N2906" s="1" t="s">
        <v>38</v>
      </c>
      <c r="O2906" s="1" t="s">
        <v>91</v>
      </c>
      <c r="P2906" s="1" t="s">
        <v>92</v>
      </c>
      <c r="Q2906" s="1" t="s">
        <v>93</v>
      </c>
      <c r="R2906" s="1" t="s">
        <v>26</v>
      </c>
      <c r="S2906" s="1" t="s">
        <v>6101</v>
      </c>
      <c r="U2906" s="1" t="s">
        <v>130</v>
      </c>
      <c r="V2906" s="1" t="s">
        <v>754</v>
      </c>
      <c r="W2906" s="1" t="str">
        <f>VLOOKUP(Table1[[#This Row],[Obergruppe ATC-Code]],Tabelle3!$A$2:$B$100,2)</f>
        <v>MITTEL BEI OBSTRUKTIVEN ATEMWEGSERKRANKUNGEN</v>
      </c>
      <c r="X2906" s="1" t="str">
        <f xml:space="preserve"> LEFT(Table1[[#This Row],[Atc Code]],3)</f>
        <v>R03</v>
      </c>
    </row>
    <row r="2907" spans="1:24" ht="14.4">
      <c r="A2907" s="14">
        <v>2355</v>
      </c>
      <c r="B2907" s="24" t="s">
        <v>6102</v>
      </c>
      <c r="C2907" s="1">
        <v>2134011</v>
      </c>
      <c r="D2907" s="1" t="s">
        <v>102</v>
      </c>
      <c r="E2907" s="36">
        <v>45119</v>
      </c>
      <c r="F2907" s="36">
        <v>45287</v>
      </c>
      <c r="G2907" s="38">
        <f t="shared" si="45"/>
        <v>168</v>
      </c>
      <c r="H2907" s="5">
        <v>45127</v>
      </c>
      <c r="I2907" s="5">
        <v>45201</v>
      </c>
      <c r="J2907" s="1" t="s">
        <v>41</v>
      </c>
      <c r="K2907" s="1" t="s">
        <v>6092</v>
      </c>
      <c r="L2907" s="1" t="s">
        <v>6078</v>
      </c>
      <c r="M2907" s="1" t="s">
        <v>6079</v>
      </c>
      <c r="N2907" s="1" t="s">
        <v>38</v>
      </c>
      <c r="O2907" s="1" t="s">
        <v>6093</v>
      </c>
      <c r="P2907" s="1" t="s">
        <v>6103</v>
      </c>
      <c r="Q2907" s="1" t="s">
        <v>6104</v>
      </c>
      <c r="R2907" s="1" t="s">
        <v>128</v>
      </c>
      <c r="S2907" s="1" t="s">
        <v>113</v>
      </c>
      <c r="U2907" s="1" t="s">
        <v>35</v>
      </c>
      <c r="V2907" s="1" t="s">
        <v>6082</v>
      </c>
      <c r="W2907" s="1" t="str">
        <f>VLOOKUP(Table1[[#This Row],[Obergruppe ATC-Code]],Tabelle3!$A$2:$B$100,2)</f>
        <v>MITTEL BEI OBSTRUKTIVEN ATEMWEGSERKRANKUNGEN</v>
      </c>
      <c r="X2907" s="1" t="str">
        <f xml:space="preserve"> LEFT(Table1[[#This Row],[Atc Code]],3)</f>
        <v>R03</v>
      </c>
    </row>
    <row r="2908" spans="1:24" ht="14.4">
      <c r="A2908" s="14">
        <v>2371</v>
      </c>
      <c r="B2908" s="24" t="s">
        <v>6105</v>
      </c>
      <c r="C2908" s="1">
        <v>2141202</v>
      </c>
      <c r="D2908" s="1" t="s">
        <v>102</v>
      </c>
      <c r="E2908" s="36">
        <v>45119</v>
      </c>
      <c r="F2908" s="36">
        <v>45222</v>
      </c>
      <c r="G2908" s="38">
        <f t="shared" si="45"/>
        <v>103</v>
      </c>
      <c r="H2908" s="5">
        <v>45131</v>
      </c>
      <c r="I2908" s="5">
        <v>45209</v>
      </c>
      <c r="J2908" s="1" t="s">
        <v>26</v>
      </c>
      <c r="K2908" s="1" t="s">
        <v>6106</v>
      </c>
      <c r="L2908" s="1" t="s">
        <v>6078</v>
      </c>
      <c r="M2908" s="1" t="s">
        <v>6079</v>
      </c>
      <c r="N2908" s="1" t="s">
        <v>38</v>
      </c>
      <c r="O2908" s="1" t="s">
        <v>6093</v>
      </c>
      <c r="P2908" s="1" t="s">
        <v>6103</v>
      </c>
      <c r="Q2908" s="1" t="s">
        <v>2771</v>
      </c>
      <c r="R2908" s="1" t="s">
        <v>113</v>
      </c>
      <c r="S2908" s="1"/>
      <c r="U2908" s="1" t="s">
        <v>130</v>
      </c>
      <c r="V2908" s="1" t="s">
        <v>6082</v>
      </c>
      <c r="W2908" s="1" t="str">
        <f>VLOOKUP(Table1[[#This Row],[Obergruppe ATC-Code]],Tabelle3!$A$2:$B$100,2)</f>
        <v>MITTEL BEI OBSTRUKTIVEN ATEMWEGSERKRANKUNGEN</v>
      </c>
      <c r="X2908" s="1" t="str">
        <f xml:space="preserve"> LEFT(Table1[[#This Row],[Atc Code]],3)</f>
        <v>R03</v>
      </c>
    </row>
    <row r="2909" spans="1:24" ht="14.4">
      <c r="A2909" s="14">
        <v>756</v>
      </c>
      <c r="B2909" s="24">
        <v>5391873</v>
      </c>
      <c r="C2909" s="1">
        <v>2167868</v>
      </c>
      <c r="D2909" s="1" t="s">
        <v>102</v>
      </c>
      <c r="E2909" s="36">
        <v>45127</v>
      </c>
      <c r="F2909" s="36">
        <v>45290</v>
      </c>
      <c r="G2909" s="38">
        <f t="shared" si="45"/>
        <v>163</v>
      </c>
      <c r="H2909" s="5">
        <v>45128</v>
      </c>
      <c r="I2909" s="5">
        <v>45211</v>
      </c>
      <c r="J2909" s="1" t="s">
        <v>26</v>
      </c>
      <c r="K2909" s="1" t="s">
        <v>6107</v>
      </c>
      <c r="L2909" s="1" t="s">
        <v>6078</v>
      </c>
      <c r="M2909" s="1" t="s">
        <v>6079</v>
      </c>
      <c r="N2909" s="1" t="s">
        <v>38</v>
      </c>
      <c r="O2909" s="1" t="s">
        <v>52</v>
      </c>
      <c r="Q2909" s="1" t="s">
        <v>54</v>
      </c>
      <c r="R2909" s="1" t="s">
        <v>113</v>
      </c>
      <c r="S2909" s="1"/>
      <c r="U2909" s="1" t="s">
        <v>130</v>
      </c>
      <c r="V2909" s="1" t="s">
        <v>6082</v>
      </c>
      <c r="W2909" s="1" t="str">
        <f>VLOOKUP(Table1[[#This Row],[Obergruppe ATC-Code]],Tabelle3!$A$2:$B$100,2)</f>
        <v>MITTEL BEI OBSTRUKTIVEN ATEMWEGSERKRANKUNGEN</v>
      </c>
      <c r="X2909" s="1" t="str">
        <f xml:space="preserve"> LEFT(Table1[[#This Row],[Atc Code]],3)</f>
        <v>R03</v>
      </c>
    </row>
    <row r="2910" spans="1:24" ht="14.4">
      <c r="A2910" s="14">
        <v>1741</v>
      </c>
      <c r="B2910" s="24" t="s">
        <v>6108</v>
      </c>
      <c r="C2910" s="1">
        <v>2103160</v>
      </c>
      <c r="D2910" s="1" t="s">
        <v>25</v>
      </c>
      <c r="E2910" s="36">
        <v>44228</v>
      </c>
      <c r="F2910" s="36">
        <v>44568</v>
      </c>
      <c r="G2910" s="38">
        <f t="shared" si="45"/>
        <v>340</v>
      </c>
      <c r="H2910" s="5">
        <v>44322</v>
      </c>
      <c r="I2910" s="5">
        <v>44568</v>
      </c>
      <c r="J2910" s="1" t="s">
        <v>41</v>
      </c>
      <c r="K2910" s="1" t="s">
        <v>6109</v>
      </c>
      <c r="L2910" s="1" t="s">
        <v>6110</v>
      </c>
      <c r="M2910" s="1" t="s">
        <v>6111</v>
      </c>
      <c r="N2910" s="1" t="s">
        <v>30</v>
      </c>
      <c r="O2910" s="1" t="s">
        <v>1114</v>
      </c>
      <c r="P2910" s="1" t="s">
        <v>1072</v>
      </c>
      <c r="Q2910" s="1" t="s">
        <v>6112</v>
      </c>
      <c r="R2910" s="1" t="s">
        <v>2138</v>
      </c>
      <c r="S2910" s="1"/>
      <c r="U2910" s="1" t="s">
        <v>35</v>
      </c>
      <c r="V2910" s="1" t="s">
        <v>6082</v>
      </c>
      <c r="W2910" s="1" t="str">
        <f>VLOOKUP(Table1[[#This Row],[Obergruppe ATC-Code]],Tabelle3!$A$2:$B$100,2)</f>
        <v>MITTEL BEI OBSTRUKTIVEN ATEMWEGSERKRANKUNGEN</v>
      </c>
      <c r="X2910" s="1" t="str">
        <f xml:space="preserve"> LEFT(Table1[[#This Row],[Atc Code]],3)</f>
        <v>R03</v>
      </c>
    </row>
    <row r="2911" spans="1:24" ht="14.4">
      <c r="A2911" s="14">
        <v>1691</v>
      </c>
      <c r="B2911" s="24" t="s">
        <v>6113</v>
      </c>
      <c r="C2911" s="1">
        <v>2103159</v>
      </c>
      <c r="D2911" s="1" t="s">
        <v>25</v>
      </c>
      <c r="E2911" s="36">
        <v>44228</v>
      </c>
      <c r="F2911" s="36">
        <v>44770</v>
      </c>
      <c r="G2911" s="38">
        <f t="shared" si="45"/>
        <v>542</v>
      </c>
      <c r="H2911" s="5">
        <v>44316</v>
      </c>
      <c r="I2911" s="5">
        <v>44770</v>
      </c>
      <c r="J2911" s="1" t="s">
        <v>41</v>
      </c>
      <c r="K2911" s="1" t="s">
        <v>6114</v>
      </c>
      <c r="L2911" s="1" t="s">
        <v>6110</v>
      </c>
      <c r="M2911" s="1" t="s">
        <v>6111</v>
      </c>
      <c r="N2911" s="1" t="s">
        <v>38</v>
      </c>
      <c r="O2911" s="1" t="s">
        <v>62</v>
      </c>
      <c r="P2911" s="1" t="s">
        <v>63</v>
      </c>
      <c r="Q2911" s="1" t="s">
        <v>64</v>
      </c>
      <c r="R2911" s="1" t="s">
        <v>65</v>
      </c>
      <c r="S2911" s="1" t="s">
        <v>6115</v>
      </c>
      <c r="U2911" s="1" t="s">
        <v>35</v>
      </c>
      <c r="V2911" s="1" t="s">
        <v>6116</v>
      </c>
      <c r="W2911" s="1" t="str">
        <f>VLOOKUP(Table1[[#This Row],[Obergruppe ATC-Code]],Tabelle3!$A$2:$B$100,2)</f>
        <v>MITTEL BEI OBSTRUKTIVEN ATEMWEGSERKRANKUNGEN</v>
      </c>
      <c r="X2911" s="1" t="str">
        <f xml:space="preserve"> LEFT(Table1[[#This Row],[Atc Code]],3)</f>
        <v>R03</v>
      </c>
    </row>
    <row r="2912" spans="1:24" ht="14.4">
      <c r="A2912" s="14">
        <v>1690</v>
      </c>
      <c r="B2912" s="24" t="s">
        <v>6113</v>
      </c>
      <c r="C2912" s="1">
        <v>2103159</v>
      </c>
      <c r="D2912" s="1" t="s">
        <v>25</v>
      </c>
      <c r="E2912" s="36">
        <v>44949</v>
      </c>
      <c r="F2912" s="36">
        <v>45177</v>
      </c>
      <c r="G2912" s="38">
        <f t="shared" si="45"/>
        <v>228</v>
      </c>
      <c r="H2912" s="5">
        <v>44949</v>
      </c>
      <c r="I2912" s="5">
        <v>45177</v>
      </c>
      <c r="J2912" s="1" t="s">
        <v>26</v>
      </c>
      <c r="K2912" s="1" t="s">
        <v>6114</v>
      </c>
      <c r="L2912" s="1" t="s">
        <v>6110</v>
      </c>
      <c r="M2912" s="1" t="s">
        <v>6111</v>
      </c>
      <c r="N2912" s="1" t="s">
        <v>38</v>
      </c>
      <c r="O2912" s="1" t="s">
        <v>62</v>
      </c>
      <c r="P2912" s="1">
        <v>8005252010</v>
      </c>
      <c r="Q2912" s="1" t="s">
        <v>64</v>
      </c>
      <c r="R2912" s="1" t="s">
        <v>142</v>
      </c>
      <c r="S2912" s="1" t="s">
        <v>6117</v>
      </c>
      <c r="U2912" s="1" t="s">
        <v>35</v>
      </c>
      <c r="V2912" s="1" t="s">
        <v>6116</v>
      </c>
      <c r="W2912" s="1" t="str">
        <f>VLOOKUP(Table1[[#This Row],[Obergruppe ATC-Code]],Tabelle3!$A$2:$B$100,2)</f>
        <v>MITTEL BEI OBSTRUKTIVEN ATEMWEGSERKRANKUNGEN</v>
      </c>
      <c r="X2912" s="1" t="str">
        <f xml:space="preserve"> LEFT(Table1[[#This Row],[Atc Code]],3)</f>
        <v>R03</v>
      </c>
    </row>
    <row r="2913" spans="1:24" ht="14.4">
      <c r="A2913" s="14">
        <v>96</v>
      </c>
      <c r="B2913" s="24">
        <v>585012</v>
      </c>
      <c r="C2913" s="1">
        <v>2103160</v>
      </c>
      <c r="D2913" s="1" t="s">
        <v>102</v>
      </c>
      <c r="E2913" s="36">
        <v>44961</v>
      </c>
      <c r="F2913" s="36">
        <v>45327</v>
      </c>
      <c r="G2913" s="38">
        <f t="shared" si="45"/>
        <v>366</v>
      </c>
      <c r="H2913" s="5">
        <v>44974</v>
      </c>
      <c r="I2913" s="5">
        <v>45194</v>
      </c>
      <c r="J2913" s="1" t="s">
        <v>26</v>
      </c>
      <c r="K2913" s="1" t="s">
        <v>6109</v>
      </c>
      <c r="L2913" s="1" t="s">
        <v>6110</v>
      </c>
      <c r="M2913" s="1" t="s">
        <v>6111</v>
      </c>
      <c r="N2913" s="1" t="s">
        <v>30</v>
      </c>
      <c r="O2913" s="1" t="s">
        <v>1054</v>
      </c>
      <c r="P2913" s="1" t="s">
        <v>823</v>
      </c>
      <c r="Q2913" s="1" t="s">
        <v>824</v>
      </c>
      <c r="R2913" s="1" t="s">
        <v>26</v>
      </c>
      <c r="S2913" s="1"/>
      <c r="U2913" s="1" t="s">
        <v>35</v>
      </c>
      <c r="V2913" s="1" t="s">
        <v>6082</v>
      </c>
      <c r="W2913" s="1" t="str">
        <f>VLOOKUP(Table1[[#This Row],[Obergruppe ATC-Code]],Tabelle3!$A$2:$B$100,2)</f>
        <v>MITTEL BEI OBSTRUKTIVEN ATEMWEGSERKRANKUNGEN</v>
      </c>
      <c r="X2913" s="1" t="str">
        <f xml:space="preserve"> LEFT(Table1[[#This Row],[Atc Code]],3)</f>
        <v>R03</v>
      </c>
    </row>
    <row r="2914" spans="1:24" ht="14.4">
      <c r="A2914" s="14">
        <v>2523</v>
      </c>
      <c r="B2914" s="24" t="s">
        <v>6118</v>
      </c>
      <c r="C2914" s="1">
        <v>2195816</v>
      </c>
      <c r="D2914" s="1" t="s">
        <v>25</v>
      </c>
      <c r="E2914" s="36">
        <v>43862</v>
      </c>
      <c r="F2914" s="36">
        <v>43921</v>
      </c>
      <c r="G2914" s="38">
        <f t="shared" si="45"/>
        <v>59</v>
      </c>
      <c r="H2914" s="5">
        <v>43864</v>
      </c>
      <c r="I2914" s="5">
        <v>43910</v>
      </c>
      <c r="J2914" s="1" t="s">
        <v>41</v>
      </c>
      <c r="K2914" s="1" t="s">
        <v>6119</v>
      </c>
      <c r="L2914" s="1" t="s">
        <v>6120</v>
      </c>
      <c r="M2914" s="1" t="s">
        <v>6121</v>
      </c>
      <c r="N2914" s="1" t="s">
        <v>30</v>
      </c>
      <c r="O2914" s="1" t="s">
        <v>4783</v>
      </c>
      <c r="P2914" s="1" t="s">
        <v>4895</v>
      </c>
      <c r="Q2914" s="1" t="s">
        <v>4896</v>
      </c>
      <c r="R2914" s="1" t="s">
        <v>26</v>
      </c>
      <c r="S2914" s="1"/>
      <c r="T2914" s="1" t="s">
        <v>6122</v>
      </c>
      <c r="U2914" s="1" t="s">
        <v>35</v>
      </c>
      <c r="V2914" s="1" t="s">
        <v>6082</v>
      </c>
      <c r="W2914" s="1" t="str">
        <f>VLOOKUP(Table1[[#This Row],[Obergruppe ATC-Code]],Tabelle3!$A$2:$B$100,2)</f>
        <v>MITTEL BEI OBSTRUKTIVEN ATEMWEGSERKRANKUNGEN</v>
      </c>
      <c r="X2914" s="1" t="str">
        <f xml:space="preserve"> LEFT(Table1[[#This Row],[Atc Code]],3)</f>
        <v>R03</v>
      </c>
    </row>
    <row r="2915" spans="1:24" ht="14.4">
      <c r="A2915" s="14">
        <v>2465</v>
      </c>
      <c r="B2915" s="24" t="s">
        <v>6123</v>
      </c>
      <c r="C2915" s="1" t="s">
        <v>6124</v>
      </c>
      <c r="D2915" s="1" t="s">
        <v>25</v>
      </c>
      <c r="E2915" s="36">
        <v>44651</v>
      </c>
      <c r="F2915" s="36">
        <v>44742</v>
      </c>
      <c r="G2915" s="38">
        <f t="shared" si="45"/>
        <v>91</v>
      </c>
      <c r="H2915" s="5">
        <v>44651</v>
      </c>
      <c r="I2915" s="5">
        <v>44741</v>
      </c>
      <c r="J2915" s="1" t="s">
        <v>26</v>
      </c>
      <c r="K2915" s="1" t="s">
        <v>6125</v>
      </c>
      <c r="L2915" s="1" t="s">
        <v>6120</v>
      </c>
      <c r="M2915" s="1" t="s">
        <v>6121</v>
      </c>
      <c r="N2915" s="1" t="s">
        <v>38</v>
      </c>
      <c r="O2915" s="1" t="s">
        <v>4783</v>
      </c>
      <c r="Q2915" s="1" t="s">
        <v>4803</v>
      </c>
      <c r="R2915" s="1" t="s">
        <v>33</v>
      </c>
      <c r="S2915" s="1"/>
      <c r="U2915" s="1" t="s">
        <v>130</v>
      </c>
      <c r="V2915" s="1" t="s">
        <v>6082</v>
      </c>
      <c r="W2915" s="1" t="str">
        <f>VLOOKUP(Table1[[#This Row],[Obergruppe ATC-Code]],Tabelle3!$A$2:$B$100,2)</f>
        <v>MITTEL BEI OBSTRUKTIVEN ATEMWEGSERKRANKUNGEN</v>
      </c>
      <c r="X2915" s="1" t="str">
        <f xml:space="preserve"> LEFT(Table1[[#This Row],[Atc Code]],3)</f>
        <v>R03</v>
      </c>
    </row>
    <row r="2916" spans="1:24" ht="14.4">
      <c r="A2916" s="14">
        <v>2468</v>
      </c>
      <c r="B2916" s="24" t="s">
        <v>6126</v>
      </c>
      <c r="C2916" s="1">
        <v>2181899</v>
      </c>
      <c r="D2916" s="1" t="s">
        <v>25</v>
      </c>
      <c r="E2916" s="36">
        <v>44732</v>
      </c>
      <c r="F2916" s="36">
        <v>44776</v>
      </c>
      <c r="G2916" s="38">
        <f t="shared" si="45"/>
        <v>44</v>
      </c>
      <c r="H2916" s="5">
        <v>44732</v>
      </c>
      <c r="I2916" s="5">
        <v>44777</v>
      </c>
      <c r="J2916" s="1" t="s">
        <v>26</v>
      </c>
      <c r="K2916" s="1" t="s">
        <v>6125</v>
      </c>
      <c r="L2916" s="1" t="s">
        <v>6120</v>
      </c>
      <c r="M2916" s="1" t="s">
        <v>6127</v>
      </c>
      <c r="N2916" s="1" t="s">
        <v>38</v>
      </c>
      <c r="O2916" s="1" t="s">
        <v>4783</v>
      </c>
      <c r="Q2916" s="1" t="s">
        <v>4803</v>
      </c>
      <c r="R2916" s="1" t="s">
        <v>33</v>
      </c>
      <c r="S2916" s="1"/>
      <c r="U2916" s="1" t="s">
        <v>130</v>
      </c>
      <c r="V2916" s="1" t="s">
        <v>6082</v>
      </c>
      <c r="W2916" s="1" t="str">
        <f>VLOOKUP(Table1[[#This Row],[Obergruppe ATC-Code]],Tabelle3!$A$2:$B$100,2)</f>
        <v>MITTEL BEI OBSTRUKTIVEN ATEMWEGSERKRANKUNGEN</v>
      </c>
      <c r="X2916" s="1" t="str">
        <f xml:space="preserve"> LEFT(Table1[[#This Row],[Atc Code]],3)</f>
        <v>R03</v>
      </c>
    </row>
    <row r="2917" spans="1:24" ht="14.4">
      <c r="A2917" s="14">
        <v>1074</v>
      </c>
      <c r="B2917" s="24">
        <v>9101470</v>
      </c>
      <c r="C2917" s="1">
        <v>2181898</v>
      </c>
      <c r="D2917" s="1" t="s">
        <v>25</v>
      </c>
      <c r="E2917" s="36">
        <v>44760</v>
      </c>
      <c r="F2917" s="36">
        <v>44795</v>
      </c>
      <c r="G2917" s="38">
        <f t="shared" si="45"/>
        <v>35</v>
      </c>
      <c r="H2917" s="5">
        <v>44762</v>
      </c>
      <c r="I2917" s="5">
        <v>44796</v>
      </c>
      <c r="J2917" s="1" t="s">
        <v>26</v>
      </c>
      <c r="K2917" s="1" t="s">
        <v>6125</v>
      </c>
      <c r="L2917" s="1" t="s">
        <v>6120</v>
      </c>
      <c r="M2917" s="1" t="s">
        <v>6127</v>
      </c>
      <c r="N2917" s="1" t="s">
        <v>38</v>
      </c>
      <c r="O2917" s="1" t="s">
        <v>4783</v>
      </c>
      <c r="Q2917" s="1" t="s">
        <v>4803</v>
      </c>
      <c r="R2917" s="1" t="s">
        <v>33</v>
      </c>
      <c r="S2917" s="1"/>
      <c r="U2917" s="1" t="s">
        <v>130</v>
      </c>
      <c r="V2917" s="1" t="s">
        <v>6082</v>
      </c>
      <c r="W2917" s="1" t="str">
        <f>VLOOKUP(Table1[[#This Row],[Obergruppe ATC-Code]],Tabelle3!$A$2:$B$100,2)</f>
        <v>MITTEL BEI OBSTRUKTIVEN ATEMWEGSERKRANKUNGEN</v>
      </c>
      <c r="X2917" s="1" t="str">
        <f xml:space="preserve"> LEFT(Table1[[#This Row],[Atc Code]],3)</f>
        <v>R03</v>
      </c>
    </row>
    <row r="2918" spans="1:24" ht="14.4">
      <c r="A2918" s="14">
        <v>1076</v>
      </c>
      <c r="B2918" s="24">
        <v>9101493</v>
      </c>
      <c r="C2918" s="1">
        <v>2181899</v>
      </c>
      <c r="D2918" s="1" t="s">
        <v>25</v>
      </c>
      <c r="E2918" s="36">
        <v>44783</v>
      </c>
      <c r="F2918" s="36">
        <v>44797</v>
      </c>
      <c r="G2918" s="38">
        <f t="shared" si="45"/>
        <v>14</v>
      </c>
      <c r="H2918" s="5">
        <v>44783</v>
      </c>
      <c r="I2918" s="5">
        <v>44797</v>
      </c>
      <c r="J2918" s="1" t="s">
        <v>26</v>
      </c>
      <c r="K2918" s="1" t="s">
        <v>6125</v>
      </c>
      <c r="L2918" s="1" t="s">
        <v>6120</v>
      </c>
      <c r="M2918" s="1" t="s">
        <v>6127</v>
      </c>
      <c r="N2918" s="1" t="s">
        <v>38</v>
      </c>
      <c r="O2918" s="1" t="s">
        <v>4861</v>
      </c>
      <c r="Q2918" s="1" t="s">
        <v>4803</v>
      </c>
      <c r="R2918" s="1" t="s">
        <v>33</v>
      </c>
      <c r="S2918" s="1"/>
      <c r="U2918" s="1" t="s">
        <v>130</v>
      </c>
      <c r="V2918" s="1" t="s">
        <v>6082</v>
      </c>
      <c r="W2918" s="1" t="str">
        <f>VLOOKUP(Table1[[#This Row],[Obergruppe ATC-Code]],Tabelle3!$A$2:$B$100,2)</f>
        <v>MITTEL BEI OBSTRUKTIVEN ATEMWEGSERKRANKUNGEN</v>
      </c>
      <c r="X2918" s="1" t="str">
        <f xml:space="preserve"> LEFT(Table1[[#This Row],[Atc Code]],3)</f>
        <v>R03</v>
      </c>
    </row>
    <row r="2919" spans="1:24" ht="14.4">
      <c r="A2919" s="14">
        <v>1073</v>
      </c>
      <c r="B2919" s="24">
        <v>9101470</v>
      </c>
      <c r="C2919" s="1">
        <v>2181898</v>
      </c>
      <c r="D2919" s="1" t="s">
        <v>25</v>
      </c>
      <c r="E2919" s="36">
        <v>44811</v>
      </c>
      <c r="F2919" s="36">
        <v>44816</v>
      </c>
      <c r="G2919" s="38">
        <f t="shared" si="45"/>
        <v>5</v>
      </c>
      <c r="H2919" s="5">
        <v>44811</v>
      </c>
      <c r="I2919" s="5">
        <v>44817</v>
      </c>
      <c r="J2919" s="1" t="s">
        <v>26</v>
      </c>
      <c r="K2919" s="1" t="s">
        <v>6125</v>
      </c>
      <c r="L2919" s="1" t="s">
        <v>6120</v>
      </c>
      <c r="M2919" s="1" t="s">
        <v>6127</v>
      </c>
      <c r="N2919" s="1" t="s">
        <v>38</v>
      </c>
      <c r="O2919" s="1" t="s">
        <v>4783</v>
      </c>
      <c r="Q2919" s="1" t="s">
        <v>4927</v>
      </c>
      <c r="R2919" s="1" t="s">
        <v>33</v>
      </c>
      <c r="S2919" s="1"/>
      <c r="U2919" s="1" t="s">
        <v>130</v>
      </c>
      <c r="V2919" s="1" t="s">
        <v>6082</v>
      </c>
      <c r="W2919" s="1" t="str">
        <f>VLOOKUP(Table1[[#This Row],[Obergruppe ATC-Code]],Tabelle3!$A$2:$B$100,2)</f>
        <v>MITTEL BEI OBSTRUKTIVEN ATEMWEGSERKRANKUNGEN</v>
      </c>
      <c r="X2919" s="1" t="str">
        <f xml:space="preserve"> LEFT(Table1[[#This Row],[Atc Code]],3)</f>
        <v>R03</v>
      </c>
    </row>
    <row r="2920" spans="1:24" ht="14.4">
      <c r="A2920" s="14">
        <v>2467</v>
      </c>
      <c r="B2920" s="24" t="s">
        <v>6126</v>
      </c>
      <c r="C2920" s="1">
        <v>2181899</v>
      </c>
      <c r="D2920" s="1" t="s">
        <v>25</v>
      </c>
      <c r="E2920" s="36">
        <v>44811</v>
      </c>
      <c r="F2920" s="36">
        <v>44855</v>
      </c>
      <c r="G2920" s="38">
        <f t="shared" si="45"/>
        <v>44</v>
      </c>
      <c r="H2920" s="5">
        <v>44811</v>
      </c>
      <c r="I2920" s="5">
        <v>44855</v>
      </c>
      <c r="J2920" s="1" t="s">
        <v>26</v>
      </c>
      <c r="K2920" s="1" t="s">
        <v>6125</v>
      </c>
      <c r="L2920" s="1" t="s">
        <v>6120</v>
      </c>
      <c r="M2920" s="1" t="s">
        <v>6127</v>
      </c>
      <c r="N2920" s="1" t="s">
        <v>38</v>
      </c>
      <c r="O2920" s="1" t="s">
        <v>4783</v>
      </c>
      <c r="Q2920" s="1" t="s">
        <v>4927</v>
      </c>
      <c r="R2920" s="1" t="s">
        <v>33</v>
      </c>
      <c r="S2920" s="1"/>
      <c r="U2920" s="1" t="s">
        <v>130</v>
      </c>
      <c r="V2920" s="1" t="s">
        <v>6082</v>
      </c>
      <c r="W2920" s="1" t="str">
        <f>VLOOKUP(Table1[[#This Row],[Obergruppe ATC-Code]],Tabelle3!$A$2:$B$100,2)</f>
        <v>MITTEL BEI OBSTRUKTIVEN ATEMWEGSERKRANKUNGEN</v>
      </c>
      <c r="X2920" s="1" t="str">
        <f xml:space="preserve"> LEFT(Table1[[#This Row],[Atc Code]],3)</f>
        <v>R03</v>
      </c>
    </row>
    <row r="2921" spans="1:24" ht="14.4">
      <c r="A2921" s="14">
        <v>2466</v>
      </c>
      <c r="B2921" s="24" t="s">
        <v>6128</v>
      </c>
      <c r="C2921" s="1">
        <v>2181898</v>
      </c>
      <c r="D2921" s="1" t="s">
        <v>25</v>
      </c>
      <c r="E2921" s="36">
        <v>44816</v>
      </c>
      <c r="F2921" s="36">
        <v>44860</v>
      </c>
      <c r="G2921" s="38">
        <f t="shared" si="45"/>
        <v>44</v>
      </c>
      <c r="H2921" s="5">
        <v>44817</v>
      </c>
      <c r="I2921" s="5">
        <v>44867</v>
      </c>
      <c r="J2921" s="1" t="s">
        <v>26</v>
      </c>
      <c r="K2921" s="1" t="s">
        <v>6125</v>
      </c>
      <c r="L2921" s="1" t="s">
        <v>6120</v>
      </c>
      <c r="M2921" s="1" t="s">
        <v>6127</v>
      </c>
      <c r="N2921" s="1" t="s">
        <v>38</v>
      </c>
      <c r="O2921" s="1" t="s">
        <v>4783</v>
      </c>
      <c r="Q2921" s="1" t="s">
        <v>4803</v>
      </c>
      <c r="R2921" s="1" t="s">
        <v>33</v>
      </c>
      <c r="S2921" s="1"/>
      <c r="U2921" s="1" t="s">
        <v>130</v>
      </c>
      <c r="V2921" s="1" t="s">
        <v>6082</v>
      </c>
      <c r="W2921" s="1" t="str">
        <f>VLOOKUP(Table1[[#This Row],[Obergruppe ATC-Code]],Tabelle3!$A$2:$B$100,2)</f>
        <v>MITTEL BEI OBSTRUKTIVEN ATEMWEGSERKRANKUNGEN</v>
      </c>
      <c r="X2921" s="1" t="str">
        <f xml:space="preserve"> LEFT(Table1[[#This Row],[Atc Code]],3)</f>
        <v>R03</v>
      </c>
    </row>
    <row r="2922" spans="1:24" ht="14.4">
      <c r="A2922" s="14">
        <v>1072</v>
      </c>
      <c r="B2922" s="24">
        <v>9101464</v>
      </c>
      <c r="C2922" s="1">
        <v>2181897</v>
      </c>
      <c r="D2922" s="1" t="s">
        <v>25</v>
      </c>
      <c r="E2922" s="36">
        <v>44811</v>
      </c>
      <c r="F2922" s="36">
        <v>44883</v>
      </c>
      <c r="G2922" s="38">
        <f t="shared" si="45"/>
        <v>72</v>
      </c>
      <c r="H2922" s="5">
        <v>44811</v>
      </c>
      <c r="I2922" s="5">
        <v>44883</v>
      </c>
      <c r="J2922" s="1" t="s">
        <v>26</v>
      </c>
      <c r="K2922" s="1" t="s">
        <v>6125</v>
      </c>
      <c r="L2922" s="1" t="s">
        <v>6120</v>
      </c>
      <c r="M2922" s="1" t="s">
        <v>6127</v>
      </c>
      <c r="N2922" s="1" t="s">
        <v>38</v>
      </c>
      <c r="O2922" s="1" t="s">
        <v>4783</v>
      </c>
      <c r="Q2922" s="1" t="s">
        <v>4927</v>
      </c>
      <c r="R2922" s="1" t="s">
        <v>33</v>
      </c>
      <c r="S2922" s="1"/>
      <c r="U2922" s="1" t="s">
        <v>130</v>
      </c>
      <c r="V2922" s="1" t="s">
        <v>6082</v>
      </c>
      <c r="W2922" s="1" t="str">
        <f>VLOOKUP(Table1[[#This Row],[Obergruppe ATC-Code]],Tabelle3!$A$2:$B$100,2)</f>
        <v>MITTEL BEI OBSTRUKTIVEN ATEMWEGSERKRANKUNGEN</v>
      </c>
      <c r="X2922" s="1" t="str">
        <f xml:space="preserve"> LEFT(Table1[[#This Row],[Atc Code]],3)</f>
        <v>R03</v>
      </c>
    </row>
    <row r="2923" spans="1:24" ht="14.4">
      <c r="A2923" s="14">
        <v>1077</v>
      </c>
      <c r="B2923" s="24">
        <v>9101493</v>
      </c>
      <c r="C2923" s="1">
        <v>2181899</v>
      </c>
      <c r="D2923" s="1" t="s">
        <v>25</v>
      </c>
      <c r="E2923" s="36">
        <v>44873</v>
      </c>
      <c r="F2923" s="36">
        <v>44888</v>
      </c>
      <c r="G2923" s="38">
        <f t="shared" si="45"/>
        <v>15</v>
      </c>
      <c r="H2923" s="5">
        <v>44874</v>
      </c>
      <c r="I2923" s="5">
        <v>44900</v>
      </c>
      <c r="J2923" s="1" t="s">
        <v>26</v>
      </c>
      <c r="K2923" s="1" t="s">
        <v>6125</v>
      </c>
      <c r="L2923" s="1" t="s">
        <v>6120</v>
      </c>
      <c r="M2923" s="1" t="s">
        <v>6127</v>
      </c>
      <c r="N2923" s="1" t="s">
        <v>38</v>
      </c>
      <c r="O2923" s="1" t="s">
        <v>4783</v>
      </c>
      <c r="Q2923" s="1" t="s">
        <v>4803</v>
      </c>
      <c r="R2923" s="1" t="s">
        <v>33</v>
      </c>
      <c r="S2923" s="1"/>
      <c r="U2923" s="1" t="s">
        <v>130</v>
      </c>
      <c r="V2923" s="1" t="s">
        <v>6082</v>
      </c>
      <c r="W2923" s="1" t="str">
        <f>VLOOKUP(Table1[[#This Row],[Obergruppe ATC-Code]],Tabelle3!$A$2:$B$100,2)</f>
        <v>MITTEL BEI OBSTRUKTIVEN ATEMWEGSERKRANKUNGEN</v>
      </c>
      <c r="X2923" s="1" t="str">
        <f xml:space="preserve"> LEFT(Table1[[#This Row],[Atc Code]],3)</f>
        <v>R03</v>
      </c>
    </row>
    <row r="2924" spans="1:24" ht="14.4">
      <c r="A2924" s="14">
        <v>1075</v>
      </c>
      <c r="B2924" s="24">
        <v>9101487</v>
      </c>
      <c r="C2924" s="1">
        <v>2181898</v>
      </c>
      <c r="D2924" s="1" t="s">
        <v>25</v>
      </c>
      <c r="E2924" s="36">
        <v>44971</v>
      </c>
      <c r="F2924" s="36">
        <v>44998</v>
      </c>
      <c r="G2924" s="38">
        <f t="shared" si="45"/>
        <v>27</v>
      </c>
      <c r="H2924" s="5">
        <v>44972</v>
      </c>
      <c r="I2924" s="5">
        <v>44998</v>
      </c>
      <c r="J2924" s="1" t="s">
        <v>26</v>
      </c>
      <c r="K2924" s="1" t="s">
        <v>6125</v>
      </c>
      <c r="L2924" s="1" t="s">
        <v>6120</v>
      </c>
      <c r="M2924" s="1" t="s">
        <v>6127</v>
      </c>
      <c r="N2924" s="1" t="s">
        <v>38</v>
      </c>
      <c r="O2924" s="1" t="s">
        <v>4783</v>
      </c>
      <c r="Q2924" s="1" t="s">
        <v>4803</v>
      </c>
      <c r="R2924" s="1" t="s">
        <v>33</v>
      </c>
      <c r="S2924" s="1"/>
      <c r="U2924" s="1" t="s">
        <v>130</v>
      </c>
      <c r="V2924" s="1" t="s">
        <v>6082</v>
      </c>
      <c r="W2924" s="1" t="str">
        <f>VLOOKUP(Table1[[#This Row],[Obergruppe ATC-Code]],Tabelle3!$A$2:$B$100,2)</f>
        <v>MITTEL BEI OBSTRUKTIVEN ATEMWEGSERKRANKUNGEN</v>
      </c>
      <c r="X2924" s="1" t="str">
        <f xml:space="preserve"> LEFT(Table1[[#This Row],[Atc Code]],3)</f>
        <v>R03</v>
      </c>
    </row>
    <row r="2925" spans="1:24" ht="14.4">
      <c r="A2925" s="14">
        <v>2596</v>
      </c>
      <c r="B2925" s="24" t="s">
        <v>6129</v>
      </c>
      <c r="C2925" s="1">
        <v>2188376</v>
      </c>
      <c r="D2925" s="1" t="s">
        <v>25</v>
      </c>
      <c r="E2925" s="36">
        <v>45061</v>
      </c>
      <c r="F2925" s="36">
        <v>45082</v>
      </c>
      <c r="G2925" s="38">
        <f t="shared" si="45"/>
        <v>21</v>
      </c>
      <c r="H2925" s="5">
        <v>45065</v>
      </c>
      <c r="I2925" s="5">
        <v>45084</v>
      </c>
      <c r="J2925" s="1" t="s">
        <v>41</v>
      </c>
      <c r="K2925" s="1" t="s">
        <v>6130</v>
      </c>
      <c r="L2925" s="1" t="s">
        <v>6131</v>
      </c>
      <c r="M2925" s="1" t="s">
        <v>6132</v>
      </c>
      <c r="N2925" s="1" t="s">
        <v>38</v>
      </c>
      <c r="O2925" s="1" t="s">
        <v>6133</v>
      </c>
      <c r="P2925" s="1" t="s">
        <v>6134</v>
      </c>
      <c r="R2925" s="1" t="s">
        <v>128</v>
      </c>
      <c r="S2925" s="1"/>
      <c r="U2925" s="1" t="s">
        <v>35</v>
      </c>
      <c r="V2925" s="1" t="s">
        <v>754</v>
      </c>
      <c r="W2925" s="1" t="str">
        <f>VLOOKUP(Table1[[#This Row],[Obergruppe ATC-Code]],Tabelle3!$A$2:$B$100,2)</f>
        <v>MITTEL BEI OBSTRUKTIVEN ATEMWEGSERKRANKUNGEN</v>
      </c>
      <c r="X2925" s="1" t="str">
        <f xml:space="preserve"> LEFT(Table1[[#This Row],[Atc Code]],3)</f>
        <v>R03</v>
      </c>
    </row>
    <row r="2926" spans="1:24" ht="14.4">
      <c r="A2926" s="14">
        <v>2595</v>
      </c>
      <c r="B2926" s="24" t="s">
        <v>6129</v>
      </c>
      <c r="C2926" s="1">
        <v>2188376</v>
      </c>
      <c r="D2926" s="1" t="s">
        <v>25</v>
      </c>
      <c r="E2926" s="36">
        <v>45162</v>
      </c>
      <c r="F2926" s="36">
        <v>45173</v>
      </c>
      <c r="G2926" s="38">
        <f t="shared" si="45"/>
        <v>11</v>
      </c>
      <c r="H2926" s="5">
        <v>45161</v>
      </c>
      <c r="I2926" s="5">
        <v>45173</v>
      </c>
      <c r="J2926" s="1" t="s">
        <v>41</v>
      </c>
      <c r="K2926" s="1" t="s">
        <v>6130</v>
      </c>
      <c r="L2926" s="1" t="s">
        <v>6131</v>
      </c>
      <c r="M2926" s="1" t="s">
        <v>6132</v>
      </c>
      <c r="N2926" s="1" t="s">
        <v>30</v>
      </c>
      <c r="O2926" s="1" t="s">
        <v>6133</v>
      </c>
      <c r="Q2926" s="1" t="s">
        <v>6135</v>
      </c>
      <c r="R2926" s="1" t="s">
        <v>128</v>
      </c>
      <c r="S2926" s="1"/>
      <c r="U2926" s="1" t="s">
        <v>35</v>
      </c>
      <c r="V2926" s="1" t="s">
        <v>754</v>
      </c>
      <c r="W2926" s="1" t="str">
        <f>VLOOKUP(Table1[[#This Row],[Obergruppe ATC-Code]],Tabelle3!$A$2:$B$100,2)</f>
        <v>MITTEL BEI OBSTRUKTIVEN ATEMWEGSERKRANKUNGEN</v>
      </c>
      <c r="X2926" s="1" t="str">
        <f xml:space="preserve"> LEFT(Table1[[#This Row],[Atc Code]],3)</f>
        <v>R03</v>
      </c>
    </row>
    <row r="2927" spans="1:24" ht="14.4">
      <c r="A2927" s="14">
        <v>1569</v>
      </c>
      <c r="B2927" s="24">
        <v>16894146</v>
      </c>
      <c r="C2927" s="1">
        <v>2204606</v>
      </c>
      <c r="D2927" s="1" t="s">
        <v>25</v>
      </c>
      <c r="E2927" s="36">
        <v>44662</v>
      </c>
      <c r="F2927" s="36">
        <v>44755</v>
      </c>
      <c r="G2927" s="38">
        <f t="shared" si="45"/>
        <v>93</v>
      </c>
      <c r="H2927" s="5">
        <v>44691</v>
      </c>
      <c r="I2927" s="5">
        <v>44761</v>
      </c>
      <c r="J2927" s="1" t="s">
        <v>26</v>
      </c>
      <c r="K2927" s="1" t="s">
        <v>6136</v>
      </c>
      <c r="L2927" s="1" t="s">
        <v>6137</v>
      </c>
      <c r="M2927" s="1" t="s">
        <v>6049</v>
      </c>
      <c r="N2927" s="1" t="s">
        <v>38</v>
      </c>
      <c r="O2927" s="1" t="s">
        <v>1440</v>
      </c>
      <c r="P2927" s="1" t="s">
        <v>1540</v>
      </c>
      <c r="Q2927" s="1" t="s">
        <v>1541</v>
      </c>
      <c r="R2927" s="1" t="s">
        <v>113</v>
      </c>
      <c r="S2927" s="1"/>
      <c r="U2927" s="1" t="s">
        <v>130</v>
      </c>
      <c r="V2927" s="1" t="s">
        <v>6138</v>
      </c>
      <c r="W2927" s="1" t="str">
        <f>VLOOKUP(Table1[[#This Row],[Obergruppe ATC-Code]],Tabelle3!$A$2:$B$100,2)</f>
        <v>MITTEL BEI OBSTRUKTIVEN ATEMWEGSERKRANKUNGEN</v>
      </c>
      <c r="X2927" s="1" t="str">
        <f xml:space="preserve"> LEFT(Table1[[#This Row],[Atc Code]],3)</f>
        <v>R03</v>
      </c>
    </row>
    <row r="2928" spans="1:24" ht="14.4">
      <c r="A2928" s="14">
        <v>1570</v>
      </c>
      <c r="B2928" s="24">
        <v>16894175</v>
      </c>
      <c r="C2928" s="1">
        <v>2204608</v>
      </c>
      <c r="D2928" s="1" t="s">
        <v>25</v>
      </c>
      <c r="E2928" s="36">
        <v>44719</v>
      </c>
      <c r="F2928" s="36">
        <v>44798</v>
      </c>
      <c r="G2928" s="38">
        <f t="shared" si="45"/>
        <v>79</v>
      </c>
      <c r="H2928" s="5">
        <v>44719</v>
      </c>
      <c r="I2928" s="5">
        <v>44803</v>
      </c>
      <c r="J2928" s="1" t="s">
        <v>26</v>
      </c>
      <c r="K2928" s="1" t="s">
        <v>6139</v>
      </c>
      <c r="L2928" s="1" t="s">
        <v>6137</v>
      </c>
      <c r="M2928" s="1" t="s">
        <v>6049</v>
      </c>
      <c r="N2928" s="1" t="s">
        <v>38</v>
      </c>
      <c r="O2928" s="1" t="s">
        <v>1440</v>
      </c>
      <c r="P2928" s="1" t="s">
        <v>1540</v>
      </c>
      <c r="Q2928" s="1" t="s">
        <v>1541</v>
      </c>
      <c r="R2928" s="1" t="s">
        <v>113</v>
      </c>
      <c r="S2928" s="1"/>
      <c r="U2928" s="1" t="s">
        <v>35</v>
      </c>
      <c r="V2928" s="1" t="s">
        <v>6138</v>
      </c>
      <c r="W2928" s="1" t="str">
        <f>VLOOKUP(Table1[[#This Row],[Obergruppe ATC-Code]],Tabelle3!$A$2:$B$100,2)</f>
        <v>MITTEL BEI OBSTRUKTIVEN ATEMWEGSERKRANKUNGEN</v>
      </c>
      <c r="X2928" s="1" t="str">
        <f xml:space="preserve"> LEFT(Table1[[#This Row],[Atc Code]],3)</f>
        <v>R03</v>
      </c>
    </row>
    <row r="2929" spans="1:24" ht="14.4">
      <c r="A2929" s="14">
        <v>2889</v>
      </c>
      <c r="B2929" s="24" t="s">
        <v>6140</v>
      </c>
      <c r="C2929" s="1">
        <v>2204609</v>
      </c>
      <c r="D2929" s="1" t="s">
        <v>25</v>
      </c>
      <c r="E2929" s="36">
        <v>44991</v>
      </c>
      <c r="F2929" s="36">
        <v>45134</v>
      </c>
      <c r="G2929" s="38">
        <f t="shared" si="45"/>
        <v>143</v>
      </c>
      <c r="H2929" s="5">
        <v>44998</v>
      </c>
      <c r="I2929" s="5">
        <v>45141</v>
      </c>
      <c r="J2929" s="1" t="s">
        <v>26</v>
      </c>
      <c r="K2929" s="1" t="s">
        <v>6141</v>
      </c>
      <c r="L2929" s="1" t="s">
        <v>6137</v>
      </c>
      <c r="M2929" s="1" t="s">
        <v>6049</v>
      </c>
      <c r="N2929" s="1" t="s">
        <v>38</v>
      </c>
      <c r="O2929" s="1" t="s">
        <v>1440</v>
      </c>
      <c r="P2929" s="1" t="s">
        <v>1540</v>
      </c>
      <c r="Q2929" s="1" t="s">
        <v>1541</v>
      </c>
      <c r="R2929" s="1" t="s">
        <v>113</v>
      </c>
      <c r="S2929" s="1"/>
      <c r="U2929" s="1" t="s">
        <v>35</v>
      </c>
      <c r="V2929" s="1" t="s">
        <v>6138</v>
      </c>
      <c r="W2929" s="1" t="str">
        <f>VLOOKUP(Table1[[#This Row],[Obergruppe ATC-Code]],Tabelle3!$A$2:$B$100,2)</f>
        <v>MITTEL BEI OBSTRUKTIVEN ATEMWEGSERKRANKUNGEN</v>
      </c>
      <c r="X2929" s="1" t="str">
        <f xml:space="preserve"> LEFT(Table1[[#This Row],[Atc Code]],3)</f>
        <v>R03</v>
      </c>
    </row>
    <row r="2930" spans="1:24" ht="14.4">
      <c r="A2930" s="14">
        <v>2888</v>
      </c>
      <c r="B2930" s="24" t="s">
        <v>6142</v>
      </c>
      <c r="C2930" s="1">
        <v>2204608</v>
      </c>
      <c r="D2930" s="1" t="s">
        <v>25</v>
      </c>
      <c r="E2930" s="36">
        <v>44959</v>
      </c>
      <c r="F2930" s="36">
        <v>45125</v>
      </c>
      <c r="G2930" s="38">
        <f t="shared" si="45"/>
        <v>166</v>
      </c>
      <c r="H2930" s="5">
        <v>44967</v>
      </c>
      <c r="I2930" s="5">
        <v>45141</v>
      </c>
      <c r="J2930" s="1" t="s">
        <v>26</v>
      </c>
      <c r="K2930" s="1" t="s">
        <v>6139</v>
      </c>
      <c r="L2930" s="1" t="s">
        <v>6137</v>
      </c>
      <c r="M2930" s="1" t="s">
        <v>6049</v>
      </c>
      <c r="N2930" s="1" t="s">
        <v>38</v>
      </c>
      <c r="O2930" s="1" t="s">
        <v>1440</v>
      </c>
      <c r="P2930" s="1" t="s">
        <v>1540</v>
      </c>
      <c r="Q2930" s="1" t="s">
        <v>1541</v>
      </c>
      <c r="R2930" s="1" t="s">
        <v>113</v>
      </c>
      <c r="S2930" s="1"/>
      <c r="U2930" s="1" t="s">
        <v>35</v>
      </c>
      <c r="V2930" s="1" t="s">
        <v>6138</v>
      </c>
      <c r="W2930" s="1" t="str">
        <f>VLOOKUP(Table1[[#This Row],[Obergruppe ATC-Code]],Tabelle3!$A$2:$B$100,2)</f>
        <v>MITTEL BEI OBSTRUKTIVEN ATEMWEGSERKRANKUNGEN</v>
      </c>
      <c r="X2930" s="1" t="str">
        <f xml:space="preserve"> LEFT(Table1[[#This Row],[Atc Code]],3)</f>
        <v>R03</v>
      </c>
    </row>
    <row r="2931" spans="1:24" ht="14.4">
      <c r="A2931" s="14">
        <v>2318</v>
      </c>
      <c r="B2931" s="24" t="s">
        <v>6143</v>
      </c>
      <c r="C2931" s="1">
        <v>2124716</v>
      </c>
      <c r="D2931" s="1" t="s">
        <v>25</v>
      </c>
      <c r="E2931" s="36">
        <v>44735</v>
      </c>
      <c r="F2931" s="36">
        <v>44783</v>
      </c>
      <c r="G2931" s="38">
        <f t="shared" si="45"/>
        <v>48</v>
      </c>
      <c r="H2931" s="5">
        <v>44748</v>
      </c>
      <c r="I2931" s="5">
        <v>44783</v>
      </c>
      <c r="J2931" s="1" t="s">
        <v>26</v>
      </c>
      <c r="K2931" s="1" t="s">
        <v>6144</v>
      </c>
      <c r="L2931" s="1" t="s">
        <v>6145</v>
      </c>
      <c r="M2931" s="1" t="s">
        <v>355</v>
      </c>
      <c r="N2931" s="1" t="s">
        <v>38</v>
      </c>
      <c r="O2931" s="1" t="s">
        <v>150</v>
      </c>
      <c r="P2931" s="1" t="s">
        <v>151</v>
      </c>
      <c r="Q2931" s="1" t="s">
        <v>152</v>
      </c>
      <c r="R2931" s="1" t="s">
        <v>113</v>
      </c>
      <c r="S2931" s="1"/>
      <c r="U2931" s="1" t="s">
        <v>35</v>
      </c>
      <c r="V2931" s="1" t="s">
        <v>6146</v>
      </c>
      <c r="W2931" s="1" t="str">
        <f>VLOOKUP(Table1[[#This Row],[Obergruppe ATC-Code]],Tabelle3!$A$2:$B$100,2)</f>
        <v>MITTEL BEI OBSTRUKTIVEN ATEMWEGSERKRANKUNGEN</v>
      </c>
      <c r="X2931" s="1" t="str">
        <f xml:space="preserve"> LEFT(Table1[[#This Row],[Atc Code]],3)</f>
        <v>R03</v>
      </c>
    </row>
    <row r="2932" spans="1:24" ht="14.4">
      <c r="A2932" s="14">
        <v>1678</v>
      </c>
      <c r="B2932" s="24" t="s">
        <v>6147</v>
      </c>
      <c r="C2932" s="1">
        <v>2126067</v>
      </c>
      <c r="D2932" s="1" t="s">
        <v>102</v>
      </c>
      <c r="E2932" s="36">
        <v>44287</v>
      </c>
      <c r="F2932" s="36">
        <v>45229</v>
      </c>
      <c r="G2932" s="38">
        <f t="shared" si="45"/>
        <v>942</v>
      </c>
      <c r="H2932" s="5">
        <v>44305</v>
      </c>
      <c r="I2932" s="5">
        <v>45200</v>
      </c>
      <c r="J2932" s="1" t="s">
        <v>26</v>
      </c>
      <c r="K2932" s="1" t="s">
        <v>6148</v>
      </c>
      <c r="L2932" s="1" t="s">
        <v>6145</v>
      </c>
      <c r="M2932" s="1" t="s">
        <v>355</v>
      </c>
      <c r="N2932" s="1" t="s">
        <v>38</v>
      </c>
      <c r="O2932" s="1" t="s">
        <v>91</v>
      </c>
      <c r="P2932" s="1" t="s">
        <v>92</v>
      </c>
      <c r="Q2932" s="1" t="s">
        <v>93</v>
      </c>
      <c r="R2932" s="1" t="s">
        <v>26</v>
      </c>
      <c r="S2932" s="1"/>
      <c r="U2932" s="1" t="s">
        <v>35</v>
      </c>
      <c r="V2932" s="1" t="s">
        <v>6138</v>
      </c>
      <c r="W2932" s="1" t="str">
        <f>VLOOKUP(Table1[[#This Row],[Obergruppe ATC-Code]],Tabelle3!$A$2:$B$100,2)</f>
        <v>MITTEL BEI OBSTRUKTIVEN ATEMWEGSERKRANKUNGEN</v>
      </c>
      <c r="X2932" s="1" t="str">
        <f xml:space="preserve"> LEFT(Table1[[#This Row],[Atc Code]],3)</f>
        <v>R03</v>
      </c>
    </row>
    <row r="2933" spans="1:24" ht="14.4">
      <c r="A2933" s="14">
        <v>951</v>
      </c>
      <c r="B2933" s="24">
        <v>7727484</v>
      </c>
      <c r="C2933" s="1">
        <v>2128529</v>
      </c>
      <c r="D2933" s="1" t="s">
        <v>102</v>
      </c>
      <c r="E2933" s="36">
        <v>45184</v>
      </c>
      <c r="F2933" s="36">
        <v>45250</v>
      </c>
      <c r="G2933" s="38">
        <f t="shared" si="45"/>
        <v>66</v>
      </c>
      <c r="H2933" s="5">
        <v>45183</v>
      </c>
      <c r="I2933" s="5">
        <v>45205</v>
      </c>
      <c r="J2933" s="1" t="s">
        <v>41</v>
      </c>
      <c r="K2933" s="1" t="s">
        <v>6149</v>
      </c>
      <c r="L2933" s="1" t="s">
        <v>6145</v>
      </c>
      <c r="M2933" s="1" t="s">
        <v>355</v>
      </c>
      <c r="N2933" s="1" t="s">
        <v>30</v>
      </c>
      <c r="O2933" s="1" t="s">
        <v>150</v>
      </c>
      <c r="P2933" s="1" t="s">
        <v>151</v>
      </c>
      <c r="Q2933" s="1" t="s">
        <v>152</v>
      </c>
      <c r="R2933" s="1" t="s">
        <v>65</v>
      </c>
      <c r="S2933" s="1"/>
      <c r="U2933" s="1" t="s">
        <v>35</v>
      </c>
      <c r="V2933" s="1" t="s">
        <v>6150</v>
      </c>
      <c r="W2933" s="1" t="str">
        <f>VLOOKUP(Table1[[#This Row],[Obergruppe ATC-Code]],Tabelle3!$A$2:$B$100,2)</f>
        <v>MITTEL BEI OBSTRUKTIVEN ATEMWEGSERKRANKUNGEN</v>
      </c>
      <c r="X2933" s="1" t="str">
        <f xml:space="preserve"> LEFT(Table1[[#This Row],[Atc Code]],3)</f>
        <v>R03</v>
      </c>
    </row>
    <row r="2934" spans="1:24" ht="14.4">
      <c r="A2934" s="14">
        <v>846</v>
      </c>
      <c r="B2934" s="24">
        <v>7123987</v>
      </c>
      <c r="C2934" s="1">
        <v>2139640</v>
      </c>
      <c r="D2934" s="1" t="s">
        <v>102</v>
      </c>
      <c r="E2934" s="36">
        <v>45096</v>
      </c>
      <c r="F2934" s="36">
        <v>45245</v>
      </c>
      <c r="G2934" s="38">
        <f t="shared" si="45"/>
        <v>149</v>
      </c>
      <c r="H2934" s="5">
        <v>45163</v>
      </c>
      <c r="I2934" s="5">
        <v>45183</v>
      </c>
      <c r="J2934" s="1" t="s">
        <v>26</v>
      </c>
      <c r="K2934" s="1" t="s">
        <v>6151</v>
      </c>
      <c r="L2934" s="1" t="s">
        <v>6152</v>
      </c>
      <c r="M2934" s="1" t="s">
        <v>6153</v>
      </c>
      <c r="N2934" s="1" t="s">
        <v>38</v>
      </c>
      <c r="O2934" s="1" t="s">
        <v>2107</v>
      </c>
      <c r="P2934" s="1">
        <v>8001223355</v>
      </c>
      <c r="Q2934" s="1" t="s">
        <v>761</v>
      </c>
      <c r="R2934" s="1" t="s">
        <v>113</v>
      </c>
      <c r="S2934" s="1"/>
      <c r="U2934" s="1" t="s">
        <v>35</v>
      </c>
      <c r="V2934" s="1" t="s">
        <v>6082</v>
      </c>
      <c r="W2934" s="1" t="str">
        <f>VLOOKUP(Table1[[#This Row],[Obergruppe ATC-Code]],Tabelle3!$A$2:$B$100,2)</f>
        <v>MITTEL BEI OBSTRUKTIVEN ATEMWEGSERKRANKUNGEN</v>
      </c>
      <c r="X2934" s="1" t="str">
        <f xml:space="preserve"> LEFT(Table1[[#This Row],[Atc Code]],3)</f>
        <v>R03</v>
      </c>
    </row>
    <row r="2935" spans="1:24" ht="14.4">
      <c r="A2935" s="14">
        <v>3205</v>
      </c>
      <c r="B2935" s="40">
        <v>3418935</v>
      </c>
      <c r="C2935" s="1">
        <v>2160979</v>
      </c>
      <c r="D2935" s="1" t="s">
        <v>25</v>
      </c>
      <c r="E2935" s="36">
        <v>42948</v>
      </c>
      <c r="F2935" s="36">
        <v>43008</v>
      </c>
      <c r="G2935" s="38">
        <f t="shared" si="45"/>
        <v>60</v>
      </c>
      <c r="H2935" s="5">
        <v>42941</v>
      </c>
      <c r="I2935" s="5">
        <v>43000</v>
      </c>
      <c r="J2935" s="1" t="s">
        <v>41</v>
      </c>
      <c r="K2935" s="1" t="s">
        <v>6154</v>
      </c>
      <c r="L2935" s="1" t="s">
        <v>6155</v>
      </c>
      <c r="M2935" s="1" t="s">
        <v>6156</v>
      </c>
      <c r="N2935" s="1" t="s">
        <v>38</v>
      </c>
      <c r="O2935" s="1" t="s">
        <v>150</v>
      </c>
      <c r="P2935" s="1" t="s">
        <v>6157</v>
      </c>
      <c r="Q2935" s="1" t="s">
        <v>152</v>
      </c>
      <c r="R2935" s="1" t="s">
        <v>65</v>
      </c>
      <c r="S2935" s="1"/>
      <c r="U2935" s="1" t="s">
        <v>35</v>
      </c>
      <c r="V2935" s="1" t="s">
        <v>6138</v>
      </c>
      <c r="W2935" s="1" t="str">
        <f>VLOOKUP(Table1[[#This Row],[Obergruppe ATC-Code]],Tabelle3!$A$2:$B$100,2)</f>
        <v>MITTEL BEI OBSTRUKTIVEN ATEMWEGSERKRANKUNGEN</v>
      </c>
      <c r="X2935" s="1" t="str">
        <f xml:space="preserve"> LEFT(Table1[[#This Row],[Atc Code]],3)</f>
        <v>R03</v>
      </c>
    </row>
    <row r="2936" spans="1:24" ht="14.4">
      <c r="A2936" s="14">
        <v>3204</v>
      </c>
      <c r="B2936" s="40">
        <v>3418935</v>
      </c>
      <c r="C2936" s="1">
        <v>2160979</v>
      </c>
      <c r="D2936" s="1" t="s">
        <v>25</v>
      </c>
      <c r="E2936" s="36">
        <v>43709</v>
      </c>
      <c r="F2936" s="36">
        <v>43769</v>
      </c>
      <c r="G2936" s="38">
        <f t="shared" si="45"/>
        <v>60</v>
      </c>
      <c r="H2936" s="5">
        <v>43690</v>
      </c>
      <c r="I2936" s="5">
        <v>43745</v>
      </c>
      <c r="J2936" s="1" t="s">
        <v>41</v>
      </c>
      <c r="K2936" s="1" t="s">
        <v>6154</v>
      </c>
      <c r="L2936" s="1" t="s">
        <v>6155</v>
      </c>
      <c r="M2936" s="1" t="s">
        <v>6156</v>
      </c>
      <c r="N2936" s="1" t="s">
        <v>38</v>
      </c>
      <c r="O2936" s="1" t="s">
        <v>150</v>
      </c>
      <c r="P2936" s="1" t="s">
        <v>6158</v>
      </c>
      <c r="Q2936" s="1" t="s">
        <v>152</v>
      </c>
      <c r="R2936" s="1" t="s">
        <v>26</v>
      </c>
      <c r="S2936" s="1"/>
      <c r="U2936" s="1" t="s">
        <v>35</v>
      </c>
      <c r="V2936" s="1" t="s">
        <v>6138</v>
      </c>
      <c r="W2936" s="1" t="str">
        <f>VLOOKUP(Table1[[#This Row],[Obergruppe ATC-Code]],Tabelle3!$A$2:$B$100,2)</f>
        <v>MITTEL BEI OBSTRUKTIVEN ATEMWEGSERKRANKUNGEN</v>
      </c>
      <c r="X2936" s="1" t="str">
        <f xml:space="preserve"> LEFT(Table1[[#This Row],[Atc Code]],3)</f>
        <v>R03</v>
      </c>
    </row>
    <row r="2937" spans="1:24" ht="14.4">
      <c r="A2937" s="14">
        <v>2572</v>
      </c>
      <c r="B2937" s="24" t="s">
        <v>6159</v>
      </c>
      <c r="C2937" s="1">
        <v>2190970</v>
      </c>
      <c r="D2937" s="1" t="s">
        <v>175</v>
      </c>
      <c r="E2937" s="36">
        <v>44994</v>
      </c>
      <c r="F2937" s="36">
        <v>45260</v>
      </c>
      <c r="G2937" s="38">
        <f t="shared" si="45"/>
        <v>266</v>
      </c>
      <c r="H2937" s="5">
        <v>45093</v>
      </c>
      <c r="I2937" s="5">
        <v>45093</v>
      </c>
      <c r="J2937" s="1" t="s">
        <v>26</v>
      </c>
      <c r="K2937" s="1" t="s">
        <v>6160</v>
      </c>
      <c r="L2937" s="1" t="s">
        <v>6161</v>
      </c>
      <c r="M2937" s="1" t="s">
        <v>6162</v>
      </c>
      <c r="N2937" s="1" t="s">
        <v>38</v>
      </c>
      <c r="O2937" s="1" t="s">
        <v>91</v>
      </c>
      <c r="Q2937" s="1" t="s">
        <v>93</v>
      </c>
      <c r="R2937" s="1" t="s">
        <v>26</v>
      </c>
      <c r="S2937" s="1"/>
      <c r="U2937" s="1" t="s">
        <v>130</v>
      </c>
      <c r="V2937" s="1" t="s">
        <v>6138</v>
      </c>
      <c r="W2937" s="1" t="str">
        <f>VLOOKUP(Table1[[#This Row],[Obergruppe ATC-Code]],Tabelle3!$A$2:$B$100,2)</f>
        <v>MITTEL BEI OBSTRUKTIVEN ATEMWEGSERKRANKUNGEN</v>
      </c>
      <c r="X2937" s="1" t="str">
        <f xml:space="preserve"> LEFT(Table1[[#This Row],[Atc Code]],3)</f>
        <v>R03</v>
      </c>
    </row>
    <row r="2938" spans="1:24" ht="14.4">
      <c r="A2938" s="14">
        <v>112</v>
      </c>
      <c r="B2938" s="24">
        <v>668749</v>
      </c>
      <c r="C2938" s="1">
        <v>2171467</v>
      </c>
      <c r="D2938" s="1" t="s">
        <v>175</v>
      </c>
      <c r="E2938" s="36">
        <v>45033</v>
      </c>
      <c r="F2938" s="36">
        <v>45291</v>
      </c>
      <c r="G2938" s="38">
        <f t="shared" si="45"/>
        <v>258</v>
      </c>
      <c r="H2938" s="5">
        <v>45111</v>
      </c>
      <c r="I2938" s="5">
        <v>45111</v>
      </c>
      <c r="J2938" s="1" t="s">
        <v>41</v>
      </c>
      <c r="K2938" s="1" t="s">
        <v>6163</v>
      </c>
      <c r="L2938" s="1" t="s">
        <v>6161</v>
      </c>
      <c r="M2938" s="1" t="s">
        <v>6162</v>
      </c>
      <c r="N2938" s="1" t="s">
        <v>38</v>
      </c>
      <c r="O2938" s="1" t="s">
        <v>1035</v>
      </c>
      <c r="P2938" s="1" t="s">
        <v>71</v>
      </c>
      <c r="Q2938" s="1" t="s">
        <v>56</v>
      </c>
      <c r="R2938" s="1" t="s">
        <v>128</v>
      </c>
      <c r="S2938" s="1"/>
      <c r="U2938" s="1" t="s">
        <v>130</v>
      </c>
      <c r="V2938" s="1" t="s">
        <v>754</v>
      </c>
      <c r="W2938" s="1" t="str">
        <f>VLOOKUP(Table1[[#This Row],[Obergruppe ATC-Code]],Tabelle3!$A$2:$B$100,2)</f>
        <v>MITTEL BEI OBSTRUKTIVEN ATEMWEGSERKRANKUNGEN</v>
      </c>
      <c r="X2938" s="1" t="str">
        <f xml:space="preserve"> LEFT(Table1[[#This Row],[Atc Code]],3)</f>
        <v>R03</v>
      </c>
    </row>
    <row r="2939" spans="1:24" ht="14.4">
      <c r="A2939" s="14">
        <v>111</v>
      </c>
      <c r="B2939" s="24">
        <v>668732</v>
      </c>
      <c r="C2939" s="1">
        <v>2171466</v>
      </c>
      <c r="D2939" s="1" t="s">
        <v>175</v>
      </c>
      <c r="E2939" s="36">
        <v>45033</v>
      </c>
      <c r="F2939" s="36">
        <v>45291</v>
      </c>
      <c r="G2939" s="38">
        <f t="shared" si="45"/>
        <v>258</v>
      </c>
      <c r="H2939" s="5">
        <v>45111</v>
      </c>
      <c r="I2939" s="5">
        <v>45111</v>
      </c>
      <c r="J2939" s="1" t="s">
        <v>41</v>
      </c>
      <c r="K2939" s="1" t="s">
        <v>6164</v>
      </c>
      <c r="L2939" s="1" t="s">
        <v>6161</v>
      </c>
      <c r="M2939" s="1" t="s">
        <v>6162</v>
      </c>
      <c r="N2939" s="1" t="s">
        <v>38</v>
      </c>
      <c r="O2939" s="1" t="s">
        <v>1035</v>
      </c>
      <c r="P2939" s="1" t="s">
        <v>71</v>
      </c>
      <c r="Q2939" s="1" t="s">
        <v>56</v>
      </c>
      <c r="R2939" s="1" t="s">
        <v>128</v>
      </c>
      <c r="S2939" s="1"/>
      <c r="U2939" s="1" t="s">
        <v>130</v>
      </c>
      <c r="V2939" s="1" t="s">
        <v>754</v>
      </c>
      <c r="W2939" s="1" t="str">
        <f>VLOOKUP(Table1[[#This Row],[Obergruppe ATC-Code]],Tabelle3!$A$2:$B$100,2)</f>
        <v>MITTEL BEI OBSTRUKTIVEN ATEMWEGSERKRANKUNGEN</v>
      </c>
      <c r="X2939" s="1" t="str">
        <f xml:space="preserve"> LEFT(Table1[[#This Row],[Atc Code]],3)</f>
        <v>R03</v>
      </c>
    </row>
    <row r="2940" spans="1:24" ht="14.4">
      <c r="A2940" s="14">
        <v>1248</v>
      </c>
      <c r="B2940" s="24">
        <v>11509801</v>
      </c>
      <c r="C2940" s="1">
        <v>2182005</v>
      </c>
      <c r="D2940" s="1" t="s">
        <v>175</v>
      </c>
      <c r="E2940" s="36">
        <v>45159</v>
      </c>
      <c r="F2940" s="36">
        <v>45291</v>
      </c>
      <c r="G2940" s="38">
        <f t="shared" si="45"/>
        <v>132</v>
      </c>
      <c r="H2940" s="5">
        <v>45161</v>
      </c>
      <c r="I2940" s="5">
        <v>45161</v>
      </c>
      <c r="J2940" s="1" t="s">
        <v>41</v>
      </c>
      <c r="K2940" s="1" t="s">
        <v>6165</v>
      </c>
      <c r="L2940" s="1" t="s">
        <v>6161</v>
      </c>
      <c r="M2940" s="1" t="s">
        <v>6166</v>
      </c>
      <c r="N2940" s="1" t="s">
        <v>30</v>
      </c>
      <c r="O2940" s="1" t="s">
        <v>6133</v>
      </c>
      <c r="Q2940" s="1" t="s">
        <v>6135</v>
      </c>
      <c r="R2940" s="1" t="s">
        <v>128</v>
      </c>
      <c r="S2940" s="1"/>
      <c r="U2940" s="1" t="s">
        <v>35</v>
      </c>
      <c r="V2940" s="1" t="s">
        <v>754</v>
      </c>
      <c r="W2940" s="1" t="str">
        <f>VLOOKUP(Table1[[#This Row],[Obergruppe ATC-Code]],Tabelle3!$A$2:$B$100,2)</f>
        <v>MITTEL BEI OBSTRUKTIVEN ATEMWEGSERKRANKUNGEN</v>
      </c>
      <c r="X2940" s="1" t="str">
        <f xml:space="preserve"> LEFT(Table1[[#This Row],[Atc Code]],3)</f>
        <v>R03</v>
      </c>
    </row>
    <row r="2941" spans="1:24" ht="14.4">
      <c r="A2941" s="14">
        <v>2652</v>
      </c>
      <c r="B2941" s="24" t="s">
        <v>6167</v>
      </c>
      <c r="C2941" s="1">
        <v>2182006</v>
      </c>
      <c r="D2941" s="1" t="s">
        <v>25</v>
      </c>
      <c r="E2941" s="36">
        <v>45161</v>
      </c>
      <c r="F2941" s="36">
        <v>45209</v>
      </c>
      <c r="G2941" s="38">
        <f t="shared" si="45"/>
        <v>48</v>
      </c>
      <c r="H2941" s="5">
        <v>45161</v>
      </c>
      <c r="I2941" s="5">
        <v>45216</v>
      </c>
      <c r="J2941" s="1" t="s">
        <v>41</v>
      </c>
      <c r="K2941" s="1" t="s">
        <v>6168</v>
      </c>
      <c r="L2941" s="1" t="s">
        <v>6161</v>
      </c>
      <c r="M2941" s="1" t="s">
        <v>6166</v>
      </c>
      <c r="N2941" s="1" t="s">
        <v>30</v>
      </c>
      <c r="O2941" s="1" t="s">
        <v>6133</v>
      </c>
      <c r="Q2941" s="1" t="s">
        <v>6135</v>
      </c>
      <c r="R2941" s="1" t="s">
        <v>128</v>
      </c>
      <c r="S2941" s="1"/>
      <c r="U2941" s="1" t="s">
        <v>35</v>
      </c>
      <c r="V2941" s="1" t="s">
        <v>754</v>
      </c>
      <c r="W2941" s="1" t="str">
        <f>VLOOKUP(Table1[[#This Row],[Obergruppe ATC-Code]],Tabelle3!$A$2:$B$100,2)</f>
        <v>MITTEL BEI OBSTRUKTIVEN ATEMWEGSERKRANKUNGEN</v>
      </c>
      <c r="X2941" s="1" t="str">
        <f xml:space="preserve"> LEFT(Table1[[#This Row],[Atc Code]],3)</f>
        <v>R03</v>
      </c>
    </row>
    <row r="2942" spans="1:24" ht="14.4">
      <c r="A2942" s="14">
        <v>2910</v>
      </c>
      <c r="B2942" s="24" t="s">
        <v>6169</v>
      </c>
      <c r="C2942" s="1">
        <v>191879</v>
      </c>
      <c r="D2942" s="1" t="s">
        <v>25</v>
      </c>
      <c r="E2942" s="36">
        <v>44075</v>
      </c>
      <c r="F2942" s="36">
        <v>44561</v>
      </c>
      <c r="G2942" s="38">
        <f t="shared" si="45"/>
        <v>486</v>
      </c>
      <c r="H2942" s="5">
        <v>44083</v>
      </c>
      <c r="I2942" s="5">
        <v>44572</v>
      </c>
      <c r="J2942" s="1" t="s">
        <v>41</v>
      </c>
      <c r="K2942" s="1" t="s">
        <v>6170</v>
      </c>
      <c r="L2942" s="1" t="s">
        <v>6171</v>
      </c>
      <c r="M2942" s="1" t="s">
        <v>6172</v>
      </c>
      <c r="N2942" s="1" t="s">
        <v>30</v>
      </c>
      <c r="O2942" s="1" t="s">
        <v>1078</v>
      </c>
      <c r="P2942" s="1">
        <v>8945450153</v>
      </c>
      <c r="Q2942" s="1" t="s">
        <v>6173</v>
      </c>
      <c r="R2942" s="1" t="s">
        <v>48</v>
      </c>
      <c r="S2942" s="1" t="s">
        <v>6174</v>
      </c>
      <c r="U2942" s="1" t="s">
        <v>35</v>
      </c>
      <c r="V2942" s="1" t="s">
        <v>279</v>
      </c>
      <c r="W2942" s="1" t="str">
        <f>VLOOKUP(Table1[[#This Row],[Obergruppe ATC-Code]],Tabelle3!$A$2:$B$100,2)</f>
        <v>MITTEL BEI OBSTRUKTIVEN ATEMWEGSERKRANKUNGEN</v>
      </c>
      <c r="X2942" s="1" t="str">
        <f xml:space="preserve"> LEFT(Table1[[#This Row],[Atc Code]],3)</f>
        <v>R03</v>
      </c>
    </row>
    <row r="2943" spans="1:24" ht="14.4">
      <c r="A2943" s="14">
        <v>278</v>
      </c>
      <c r="B2943" s="24">
        <v>1676515</v>
      </c>
      <c r="C2943" s="1">
        <v>84327</v>
      </c>
      <c r="D2943" s="1" t="s">
        <v>25</v>
      </c>
      <c r="E2943" s="36">
        <v>44741</v>
      </c>
      <c r="F2943" s="36">
        <v>44783</v>
      </c>
      <c r="G2943" s="38">
        <f t="shared" si="45"/>
        <v>42</v>
      </c>
      <c r="H2943" s="5">
        <v>44748</v>
      </c>
      <c r="I2943" s="5">
        <v>44783</v>
      </c>
      <c r="J2943" s="1" t="s">
        <v>41</v>
      </c>
      <c r="K2943" s="1" t="s">
        <v>6175</v>
      </c>
      <c r="L2943" s="1" t="s">
        <v>6176</v>
      </c>
      <c r="M2943" s="1" t="s">
        <v>6177</v>
      </c>
      <c r="N2943" s="1" t="s">
        <v>30</v>
      </c>
      <c r="O2943" s="1" t="s">
        <v>150</v>
      </c>
      <c r="P2943" s="1" t="s">
        <v>151</v>
      </c>
      <c r="Q2943" s="1" t="s">
        <v>152</v>
      </c>
      <c r="R2943" s="1" t="s">
        <v>128</v>
      </c>
      <c r="S2943" s="1"/>
      <c r="U2943" s="1" t="s">
        <v>35</v>
      </c>
      <c r="V2943" s="1" t="s">
        <v>74</v>
      </c>
      <c r="W2943" s="1" t="str">
        <f>VLOOKUP(Table1[[#This Row],[Obergruppe ATC-Code]],Tabelle3!$A$2:$B$100,2)</f>
        <v>MITTEL BEI OBSTRUKTIVEN ATEMWEGSERKRANKUNGEN</v>
      </c>
      <c r="X2943" s="1" t="str">
        <f xml:space="preserve"> LEFT(Table1[[#This Row],[Atc Code]],3)</f>
        <v>R03</v>
      </c>
    </row>
    <row r="2944" spans="1:24" ht="14.4">
      <c r="A2944" s="14">
        <v>1927</v>
      </c>
      <c r="B2944" s="24" t="s">
        <v>6178</v>
      </c>
      <c r="C2944" s="1">
        <v>2182718</v>
      </c>
      <c r="D2944" s="1" t="s">
        <v>25</v>
      </c>
      <c r="E2944" s="36">
        <v>43770</v>
      </c>
      <c r="F2944" s="36">
        <v>43951</v>
      </c>
      <c r="G2944" s="38">
        <f t="shared" si="45"/>
        <v>181</v>
      </c>
      <c r="H2944" s="5">
        <v>43815</v>
      </c>
      <c r="I2944" s="5">
        <v>43956</v>
      </c>
      <c r="J2944" s="1" t="s">
        <v>41</v>
      </c>
      <c r="K2944" s="1" t="s">
        <v>6179</v>
      </c>
      <c r="L2944" s="1" t="s">
        <v>6180</v>
      </c>
      <c r="M2944" s="1" t="s">
        <v>6181</v>
      </c>
      <c r="N2944" s="1" t="s">
        <v>30</v>
      </c>
      <c r="O2944" s="1" t="s">
        <v>1114</v>
      </c>
      <c r="P2944" s="1" t="s">
        <v>1115</v>
      </c>
      <c r="Q2944" s="1" t="s">
        <v>1116</v>
      </c>
      <c r="R2944" s="1" t="s">
        <v>26</v>
      </c>
      <c r="S2944" s="1"/>
      <c r="U2944" s="1" t="s">
        <v>35</v>
      </c>
      <c r="V2944" s="1" t="s">
        <v>74</v>
      </c>
      <c r="W2944" s="1" t="str">
        <f>VLOOKUP(Table1[[#This Row],[Obergruppe ATC-Code]],Tabelle3!$A$2:$B$100,2)</f>
        <v>MITTEL BEI OBSTRUKTIVEN ATEMWEGSERKRANKUNGEN</v>
      </c>
      <c r="X2944" s="1" t="str">
        <f xml:space="preserve"> LEFT(Table1[[#This Row],[Atc Code]],3)</f>
        <v>R03</v>
      </c>
    </row>
    <row r="2945" spans="1:24" ht="14.4">
      <c r="A2945" s="14">
        <v>2797</v>
      </c>
      <c r="B2945" s="24" t="s">
        <v>6182</v>
      </c>
      <c r="C2945" s="1">
        <v>2129619</v>
      </c>
      <c r="D2945" s="1" t="s">
        <v>25</v>
      </c>
      <c r="E2945" s="36">
        <v>43983</v>
      </c>
      <c r="F2945" s="36">
        <v>44757</v>
      </c>
      <c r="G2945" s="38">
        <f t="shared" si="45"/>
        <v>774</v>
      </c>
      <c r="H2945" s="5">
        <v>44005</v>
      </c>
      <c r="I2945" s="5">
        <v>44798</v>
      </c>
      <c r="J2945" s="1" t="s">
        <v>41</v>
      </c>
      <c r="K2945" s="1" t="s">
        <v>6183</v>
      </c>
      <c r="L2945" s="1" t="s">
        <v>6184</v>
      </c>
      <c r="M2945" s="1" t="s">
        <v>6185</v>
      </c>
      <c r="N2945" s="1" t="s">
        <v>30</v>
      </c>
      <c r="O2945" s="1" t="s">
        <v>110</v>
      </c>
      <c r="P2945" s="1" t="s">
        <v>111</v>
      </c>
      <c r="Q2945" s="1" t="s">
        <v>112</v>
      </c>
      <c r="R2945" s="1" t="s">
        <v>26</v>
      </c>
      <c r="S2945" s="1" t="s">
        <v>6186</v>
      </c>
      <c r="U2945" s="1" t="s">
        <v>35</v>
      </c>
      <c r="V2945" s="1" t="s">
        <v>6187</v>
      </c>
      <c r="W2945" s="1" t="str">
        <f>VLOOKUP(Table1[[#This Row],[Obergruppe ATC-Code]],Tabelle3!$A$2:$B$100,2)</f>
        <v>MITTEL BEI OBSTRUKTIVEN ATEMWEGSERKRANKUNGEN</v>
      </c>
      <c r="X2945" s="1" t="str">
        <f xml:space="preserve"> LEFT(Table1[[#This Row],[Atc Code]],3)</f>
        <v>R03</v>
      </c>
    </row>
    <row r="2946" spans="1:24" ht="14.4">
      <c r="A2946" s="14">
        <v>56</v>
      </c>
      <c r="B2946" s="24">
        <v>346052</v>
      </c>
      <c r="C2946" s="1">
        <v>2129620</v>
      </c>
      <c r="D2946" s="1" t="s">
        <v>25</v>
      </c>
      <c r="E2946" s="36">
        <v>43922</v>
      </c>
      <c r="F2946" s="36">
        <v>44757</v>
      </c>
      <c r="G2946" s="38">
        <f t="shared" ref="G2946:G3009" si="46">F2946-E2946</f>
        <v>835</v>
      </c>
      <c r="H2946" s="5">
        <v>43922</v>
      </c>
      <c r="I2946" s="5">
        <v>44798</v>
      </c>
      <c r="J2946" s="1" t="s">
        <v>41</v>
      </c>
      <c r="K2946" s="1" t="s">
        <v>6188</v>
      </c>
      <c r="L2946" s="1" t="s">
        <v>6184</v>
      </c>
      <c r="M2946" s="1" t="s">
        <v>6185</v>
      </c>
      <c r="N2946" s="1" t="s">
        <v>30</v>
      </c>
      <c r="O2946" s="1" t="s">
        <v>110</v>
      </c>
      <c r="P2946" s="1" t="s">
        <v>111</v>
      </c>
      <c r="Q2946" s="1" t="s">
        <v>112</v>
      </c>
      <c r="R2946" s="1" t="s">
        <v>26</v>
      </c>
      <c r="S2946" s="1" t="s">
        <v>6186</v>
      </c>
      <c r="U2946" s="1" t="s">
        <v>35</v>
      </c>
      <c r="V2946" s="1" t="s">
        <v>6187</v>
      </c>
      <c r="W2946" s="1" t="str">
        <f>VLOOKUP(Table1[[#This Row],[Obergruppe ATC-Code]],Tabelle3!$A$2:$B$100,2)</f>
        <v>MITTEL BEI OBSTRUKTIVEN ATEMWEGSERKRANKUNGEN</v>
      </c>
      <c r="X2946" s="1" t="str">
        <f xml:space="preserve"> LEFT(Table1[[#This Row],[Atc Code]],3)</f>
        <v>R03</v>
      </c>
    </row>
    <row r="2947" spans="1:24" ht="14.4">
      <c r="A2947" s="14">
        <v>3206</v>
      </c>
      <c r="B2947" s="1">
        <v>3007238</v>
      </c>
      <c r="C2947" s="1">
        <v>2104539</v>
      </c>
      <c r="D2947" s="1" t="s">
        <v>25</v>
      </c>
      <c r="E2947" s="36">
        <v>43040</v>
      </c>
      <c r="F2947" s="36">
        <v>43708</v>
      </c>
      <c r="G2947" s="38">
        <f t="shared" si="46"/>
        <v>668</v>
      </c>
      <c r="H2947" s="5">
        <v>43150</v>
      </c>
      <c r="I2947" s="5">
        <v>43696</v>
      </c>
      <c r="J2947" s="1" t="s">
        <v>41</v>
      </c>
      <c r="K2947" s="1" t="s">
        <v>6189</v>
      </c>
      <c r="L2947" s="1" t="s">
        <v>6190</v>
      </c>
      <c r="M2947" s="1" t="s">
        <v>6191</v>
      </c>
      <c r="N2947" s="1" t="s">
        <v>30</v>
      </c>
      <c r="O2947" s="1" t="s">
        <v>62</v>
      </c>
      <c r="P2947" s="1" t="s">
        <v>63</v>
      </c>
      <c r="Q2947" s="1" t="s">
        <v>64</v>
      </c>
      <c r="R2947" s="1" t="s">
        <v>26</v>
      </c>
      <c r="S2947" s="1"/>
      <c r="U2947" s="1" t="s">
        <v>35</v>
      </c>
      <c r="V2947" s="1" t="s">
        <v>279</v>
      </c>
      <c r="W2947" s="1" t="str">
        <f>VLOOKUP(Table1[[#This Row],[Obergruppe ATC-Code]],Tabelle3!$A$2:$B$100,2)</f>
        <v>MITTEL BEI OBSTRUKTIVEN ATEMWEGSERKRANKUNGEN</v>
      </c>
      <c r="X2947" s="1" t="str">
        <f xml:space="preserve"> LEFT(Table1[[#This Row],[Atc Code]],3)</f>
        <v>R03</v>
      </c>
    </row>
    <row r="2948" spans="1:24" ht="14.4">
      <c r="A2948" s="14">
        <v>2255</v>
      </c>
      <c r="B2948" s="24" t="s">
        <v>6192</v>
      </c>
      <c r="C2948" s="1">
        <v>2706931</v>
      </c>
      <c r="D2948" s="1" t="s">
        <v>25</v>
      </c>
      <c r="E2948" s="36">
        <v>43252</v>
      </c>
      <c r="F2948" s="36">
        <v>43312</v>
      </c>
      <c r="G2948" s="38">
        <f t="shared" si="46"/>
        <v>60</v>
      </c>
      <c r="H2948" s="5">
        <v>43245</v>
      </c>
      <c r="I2948" s="5">
        <v>43264</v>
      </c>
      <c r="J2948" s="1" t="s">
        <v>41</v>
      </c>
      <c r="K2948" s="1" t="s">
        <v>6193</v>
      </c>
      <c r="L2948" s="1" t="s">
        <v>6194</v>
      </c>
      <c r="M2948" s="1" t="s">
        <v>6195</v>
      </c>
      <c r="N2948" s="1" t="s">
        <v>30</v>
      </c>
      <c r="O2948" s="1" t="s">
        <v>6196</v>
      </c>
      <c r="P2948" s="1" t="s">
        <v>6157</v>
      </c>
      <c r="Q2948" s="1" t="s">
        <v>152</v>
      </c>
      <c r="R2948" s="1" t="s">
        <v>26</v>
      </c>
      <c r="S2948" s="1"/>
      <c r="U2948" s="1" t="s">
        <v>35</v>
      </c>
      <c r="V2948" s="1" t="s">
        <v>99</v>
      </c>
      <c r="W2948" s="1" t="str">
        <f>VLOOKUP(Table1[[#This Row],[Obergruppe ATC-Code]],Tabelle3!$A$2:$B$100,2)</f>
        <v>MITTEL BEI OBSTRUKTIVEN ATEMWEGSERKRANKUNGEN</v>
      </c>
      <c r="X2948" s="1" t="str">
        <f xml:space="preserve"> LEFT(Table1[[#This Row],[Atc Code]],3)</f>
        <v>R03</v>
      </c>
    </row>
    <row r="2949" spans="1:24" ht="14.4">
      <c r="A2949" s="14">
        <v>2254</v>
      </c>
      <c r="B2949" s="24" t="s">
        <v>6197</v>
      </c>
      <c r="C2949" s="1">
        <v>2706930</v>
      </c>
      <c r="D2949" s="1" t="s">
        <v>25</v>
      </c>
      <c r="E2949" s="36">
        <v>43252</v>
      </c>
      <c r="F2949" s="36">
        <v>43312</v>
      </c>
      <c r="G2949" s="38">
        <f t="shared" si="46"/>
        <v>60</v>
      </c>
      <c r="H2949" s="5">
        <v>43245</v>
      </c>
      <c r="I2949" s="5">
        <v>43264</v>
      </c>
      <c r="J2949" s="1" t="s">
        <v>41</v>
      </c>
      <c r="K2949" s="1" t="s">
        <v>6198</v>
      </c>
      <c r="L2949" s="1" t="s">
        <v>6194</v>
      </c>
      <c r="M2949" s="1" t="s">
        <v>6195</v>
      </c>
      <c r="N2949" s="1" t="s">
        <v>30</v>
      </c>
      <c r="O2949" s="1" t="s">
        <v>6196</v>
      </c>
      <c r="P2949" s="1" t="s">
        <v>6157</v>
      </c>
      <c r="Q2949" s="1" t="s">
        <v>152</v>
      </c>
      <c r="R2949" s="1" t="s">
        <v>26</v>
      </c>
      <c r="S2949" s="1"/>
      <c r="U2949" s="1" t="s">
        <v>35</v>
      </c>
      <c r="V2949" s="1" t="s">
        <v>99</v>
      </c>
      <c r="W2949" s="1" t="str">
        <f>VLOOKUP(Table1[[#This Row],[Obergruppe ATC-Code]],Tabelle3!$A$2:$B$100,2)</f>
        <v>MITTEL BEI OBSTRUKTIVEN ATEMWEGSERKRANKUNGEN</v>
      </c>
      <c r="X2949" s="1" t="str">
        <f xml:space="preserve"> LEFT(Table1[[#This Row],[Atc Code]],3)</f>
        <v>R03</v>
      </c>
    </row>
    <row r="2950" spans="1:24" ht="14.4">
      <c r="A2950" s="14">
        <v>1367</v>
      </c>
      <c r="B2950" s="24">
        <v>13475319</v>
      </c>
      <c r="C2950" s="1">
        <v>2714288</v>
      </c>
      <c r="D2950" s="1" t="s">
        <v>25</v>
      </c>
      <c r="E2950" s="36">
        <v>44659</v>
      </c>
      <c r="F2950" s="36">
        <v>44684</v>
      </c>
      <c r="G2950" s="38">
        <f t="shared" si="46"/>
        <v>25</v>
      </c>
      <c r="H2950" s="5">
        <v>44672</v>
      </c>
      <c r="I2950" s="5">
        <v>44684</v>
      </c>
      <c r="J2950" s="1" t="s">
        <v>26</v>
      </c>
      <c r="K2950" s="1" t="s">
        <v>6199</v>
      </c>
      <c r="L2950" s="1" t="s">
        <v>6194</v>
      </c>
      <c r="M2950" s="1" t="s">
        <v>6195</v>
      </c>
      <c r="N2950" s="1" t="s">
        <v>38</v>
      </c>
      <c r="O2950" s="1" t="s">
        <v>6196</v>
      </c>
      <c r="P2950" s="1" t="s">
        <v>151</v>
      </c>
      <c r="Q2950" s="1" t="s">
        <v>152</v>
      </c>
      <c r="R2950" s="1" t="s">
        <v>48</v>
      </c>
      <c r="S2950" s="1"/>
      <c r="U2950" s="1" t="s">
        <v>35</v>
      </c>
      <c r="V2950" s="1" t="s">
        <v>49</v>
      </c>
      <c r="W2950" s="1" t="str">
        <f>VLOOKUP(Table1[[#This Row],[Obergruppe ATC-Code]],Tabelle3!$A$2:$B$100,2)</f>
        <v>MITTEL BEI OBSTRUKTIVEN ATEMWEGSERKRANKUNGEN</v>
      </c>
      <c r="X2950" s="1" t="str">
        <f xml:space="preserve"> LEFT(Table1[[#This Row],[Atc Code]],3)</f>
        <v>R03</v>
      </c>
    </row>
    <row r="2951" spans="1:24" ht="14.4">
      <c r="A2951" s="14">
        <v>2689</v>
      </c>
      <c r="B2951" s="24" t="s">
        <v>6200</v>
      </c>
      <c r="C2951" s="1" t="s">
        <v>6201</v>
      </c>
      <c r="D2951" s="1" t="s">
        <v>175</v>
      </c>
      <c r="E2951" s="36">
        <v>45108</v>
      </c>
      <c r="F2951" s="36">
        <v>45291</v>
      </c>
      <c r="G2951" s="38">
        <f t="shared" si="46"/>
        <v>183</v>
      </c>
      <c r="H2951" s="5">
        <v>45098</v>
      </c>
      <c r="I2951" s="5">
        <v>45098</v>
      </c>
      <c r="J2951" s="1" t="s">
        <v>41</v>
      </c>
      <c r="K2951" s="1" t="s">
        <v>6202</v>
      </c>
      <c r="L2951" s="1" t="s">
        <v>6203</v>
      </c>
      <c r="M2951" s="1" t="s">
        <v>6204</v>
      </c>
      <c r="N2951" s="1" t="s">
        <v>38</v>
      </c>
      <c r="O2951" s="1" t="s">
        <v>3986</v>
      </c>
      <c r="P2951" s="1" t="s">
        <v>71</v>
      </c>
      <c r="Q2951" s="1" t="s">
        <v>56</v>
      </c>
      <c r="R2951" s="1" t="s">
        <v>128</v>
      </c>
      <c r="S2951" s="1"/>
      <c r="U2951" s="1" t="s">
        <v>130</v>
      </c>
      <c r="V2951" s="1" t="s">
        <v>279</v>
      </c>
      <c r="W2951" s="1" t="str">
        <f>VLOOKUP(Table1[[#This Row],[Obergruppe ATC-Code]],Tabelle3!$A$2:$B$100,2)</f>
        <v>MITTEL BEI OBSTRUKTIVEN ATEMWEGSERKRANKUNGEN</v>
      </c>
      <c r="X2951" s="1" t="str">
        <f xml:space="preserve"> LEFT(Table1[[#This Row],[Atc Code]],3)</f>
        <v>R03</v>
      </c>
    </row>
    <row r="2952" spans="1:24" ht="14.4">
      <c r="A2952" s="14">
        <v>2057</v>
      </c>
      <c r="B2952" s="25" t="s">
        <v>6205</v>
      </c>
      <c r="C2952" s="1">
        <v>2108371</v>
      </c>
      <c r="D2952" s="1" t="s">
        <v>25</v>
      </c>
      <c r="E2952" s="36">
        <v>43862</v>
      </c>
      <c r="F2952" s="36">
        <v>43982</v>
      </c>
      <c r="G2952" s="38">
        <f t="shared" si="46"/>
        <v>120</v>
      </c>
      <c r="H2952" s="5">
        <v>43882</v>
      </c>
      <c r="I2952" s="5">
        <v>43973</v>
      </c>
      <c r="J2952" s="1" t="s">
        <v>41</v>
      </c>
      <c r="K2952" s="1" t="s">
        <v>6206</v>
      </c>
      <c r="L2952" s="1" t="s">
        <v>6207</v>
      </c>
      <c r="M2952" s="1" t="s">
        <v>6208</v>
      </c>
      <c r="N2952" s="1" t="s">
        <v>30</v>
      </c>
      <c r="O2952" s="1" t="s">
        <v>91</v>
      </c>
      <c r="P2952" s="1" t="s">
        <v>92</v>
      </c>
      <c r="Q2952" s="1" t="s">
        <v>93</v>
      </c>
      <c r="R2952" s="1" t="s">
        <v>26</v>
      </c>
      <c r="S2952" s="1"/>
      <c r="U2952" s="1" t="s">
        <v>35</v>
      </c>
      <c r="V2952" s="1" t="s">
        <v>74</v>
      </c>
      <c r="W2952" s="1" t="str">
        <f>VLOOKUP(Table1[[#This Row],[Obergruppe ATC-Code]],Tabelle3!$A$2:$B$100,2)</f>
        <v>HUSTEN- UND ERKÄLTUNGSMITTEL</v>
      </c>
      <c r="X2952" s="1" t="str">
        <f xml:space="preserve"> LEFT(Table1[[#This Row],[Atc Code]],3)</f>
        <v>R05</v>
      </c>
    </row>
    <row r="2953" spans="1:24" ht="14.4">
      <c r="A2953" s="14">
        <v>2170</v>
      </c>
      <c r="B2953" s="24" t="s">
        <v>6209</v>
      </c>
      <c r="C2953" s="1">
        <v>2105731</v>
      </c>
      <c r="D2953" s="1" t="s">
        <v>25</v>
      </c>
      <c r="E2953" s="36">
        <v>44136</v>
      </c>
      <c r="F2953" s="36">
        <v>44316</v>
      </c>
      <c r="G2953" s="38">
        <f t="shared" si="46"/>
        <v>180</v>
      </c>
      <c r="H2953" s="5">
        <v>44145</v>
      </c>
      <c r="I2953" s="5">
        <v>44313</v>
      </c>
      <c r="J2953" s="1" t="s">
        <v>41</v>
      </c>
      <c r="K2953" s="1" t="s">
        <v>6210</v>
      </c>
      <c r="L2953" s="1" t="s">
        <v>6211</v>
      </c>
      <c r="M2953" s="1" t="s">
        <v>6212</v>
      </c>
      <c r="N2953" s="1" t="s">
        <v>30</v>
      </c>
      <c r="O2953" s="1" t="s">
        <v>110</v>
      </c>
      <c r="P2953" s="1" t="s">
        <v>111</v>
      </c>
      <c r="Q2953" s="1" t="s">
        <v>112</v>
      </c>
      <c r="R2953" s="1" t="s">
        <v>26</v>
      </c>
      <c r="S2953" s="1"/>
      <c r="U2953" s="1" t="s">
        <v>35</v>
      </c>
      <c r="V2953" s="1" t="s">
        <v>49</v>
      </c>
      <c r="W2953" s="1" t="str">
        <f>VLOOKUP(Table1[[#This Row],[Obergruppe ATC-Code]],Tabelle3!$A$2:$B$100,2)</f>
        <v>HUSTEN- UND ERKÄLTUNGSMITTEL</v>
      </c>
      <c r="X2953" s="1" t="str">
        <f xml:space="preserve"> LEFT(Table1[[#This Row],[Atc Code]],3)</f>
        <v>R05</v>
      </c>
    </row>
    <row r="2954" spans="1:24" ht="14.4">
      <c r="A2954" s="14">
        <v>1433</v>
      </c>
      <c r="B2954" s="24">
        <v>14238691</v>
      </c>
      <c r="C2954" s="1">
        <v>243027</v>
      </c>
      <c r="D2954" s="1" t="s">
        <v>102</v>
      </c>
      <c r="E2954" s="36">
        <v>45021</v>
      </c>
      <c r="F2954" s="36">
        <v>45224</v>
      </c>
      <c r="G2954" s="38">
        <f t="shared" si="46"/>
        <v>203</v>
      </c>
      <c r="H2954" s="5">
        <v>45021</v>
      </c>
      <c r="I2954" s="5">
        <v>45189</v>
      </c>
      <c r="J2954" s="1" t="s">
        <v>26</v>
      </c>
      <c r="K2954" s="1" t="s">
        <v>6213</v>
      </c>
      <c r="L2954" s="1" t="s">
        <v>6214</v>
      </c>
      <c r="M2954" s="1" t="s">
        <v>6215</v>
      </c>
      <c r="N2954" s="1" t="s">
        <v>30</v>
      </c>
      <c r="O2954" s="1" t="s">
        <v>52</v>
      </c>
      <c r="Q2954" s="1" t="s">
        <v>54</v>
      </c>
      <c r="R2954" s="1" t="s">
        <v>113</v>
      </c>
      <c r="S2954" s="1"/>
      <c r="U2954" s="1" t="s">
        <v>130</v>
      </c>
      <c r="V2954" s="1" t="s">
        <v>596</v>
      </c>
      <c r="W2954" s="1" t="str">
        <f>VLOOKUP(Table1[[#This Row],[Obergruppe ATC-Code]],Tabelle3!$A$2:$B$100,2)</f>
        <v>HUSTEN- UND ERKÄLTUNGSMITTEL</v>
      </c>
      <c r="X2954" s="1" t="str">
        <f xml:space="preserve"> LEFT(Table1[[#This Row],[Atc Code]],3)</f>
        <v>R05</v>
      </c>
    </row>
    <row r="2955" spans="1:24" ht="14.4">
      <c r="A2955" s="14">
        <v>383</v>
      </c>
      <c r="B2955" s="24">
        <v>2187132</v>
      </c>
      <c r="C2955" s="1">
        <v>2156226</v>
      </c>
      <c r="D2955" s="1" t="s">
        <v>25</v>
      </c>
      <c r="E2955" s="36">
        <v>44885</v>
      </c>
      <c r="F2955" s="36">
        <v>44915</v>
      </c>
      <c r="G2955" s="38">
        <f t="shared" si="46"/>
        <v>30</v>
      </c>
      <c r="H2955" s="5">
        <v>44873</v>
      </c>
      <c r="I2955" s="5">
        <v>44915</v>
      </c>
      <c r="J2955" s="1" t="s">
        <v>26</v>
      </c>
      <c r="K2955" s="1" t="s">
        <v>6216</v>
      </c>
      <c r="L2955" s="1" t="s">
        <v>6217</v>
      </c>
      <c r="M2955" s="1" t="s">
        <v>6218</v>
      </c>
      <c r="N2955" s="1" t="s">
        <v>38</v>
      </c>
      <c r="O2955" s="1" t="s">
        <v>866</v>
      </c>
      <c r="P2955" s="1" t="s">
        <v>5494</v>
      </c>
      <c r="R2955" s="1" t="s">
        <v>113</v>
      </c>
      <c r="S2955" s="1"/>
      <c r="U2955" s="1" t="s">
        <v>35</v>
      </c>
      <c r="V2955" s="1" t="s">
        <v>596</v>
      </c>
      <c r="W2955" s="1" t="str">
        <f>VLOOKUP(Table1[[#This Row],[Obergruppe ATC-Code]],Tabelle3!$A$2:$B$100,2)</f>
        <v>ANTIHISTAMINIKA ZUR SYSTEMISCHEN ANWENDUNG</v>
      </c>
      <c r="X2955" s="1" t="str">
        <f xml:space="preserve"> LEFT(Table1[[#This Row],[Atc Code]],3)</f>
        <v>R06</v>
      </c>
    </row>
    <row r="2956" spans="1:24" ht="14.4">
      <c r="A2956" s="14">
        <v>2095</v>
      </c>
      <c r="B2956" s="24" t="s">
        <v>6219</v>
      </c>
      <c r="C2956" s="1">
        <v>2111729</v>
      </c>
      <c r="D2956" s="1" t="s">
        <v>25</v>
      </c>
      <c r="E2956" s="36">
        <v>44228</v>
      </c>
      <c r="F2956" s="36">
        <v>44484</v>
      </c>
      <c r="G2956" s="38">
        <f t="shared" si="46"/>
        <v>256</v>
      </c>
      <c r="H2956" s="5">
        <v>44323</v>
      </c>
      <c r="I2956" s="5">
        <v>44658</v>
      </c>
      <c r="J2956" s="1" t="s">
        <v>41</v>
      </c>
      <c r="K2956" s="1" t="s">
        <v>6220</v>
      </c>
      <c r="L2956" s="1" t="s">
        <v>6221</v>
      </c>
      <c r="M2956" s="1" t="s">
        <v>6222</v>
      </c>
      <c r="N2956" s="1" t="s">
        <v>38</v>
      </c>
      <c r="O2956" s="1" t="s">
        <v>123</v>
      </c>
      <c r="P2956" s="1" t="s">
        <v>124</v>
      </c>
      <c r="Q2956" s="1" t="s">
        <v>125</v>
      </c>
      <c r="R2956" s="1" t="s">
        <v>942</v>
      </c>
      <c r="S2956" s="1" t="s">
        <v>943</v>
      </c>
      <c r="U2956" s="1" t="s">
        <v>35</v>
      </c>
      <c r="V2956" s="1" t="s">
        <v>262</v>
      </c>
      <c r="W2956" s="1" t="str">
        <f>VLOOKUP(Table1[[#This Row],[Obergruppe ATC-Code]],Tabelle3!$A$2:$B$100,2)</f>
        <v>ANTIHISTAMINIKA ZUR SYSTEMISCHEN ANWENDUNG</v>
      </c>
      <c r="X2956" s="1" t="str">
        <f xml:space="preserve"> LEFT(Table1[[#This Row],[Atc Code]],3)</f>
        <v>R06</v>
      </c>
    </row>
    <row r="2957" spans="1:24" ht="14.4">
      <c r="A2957" s="14">
        <v>1029</v>
      </c>
      <c r="B2957" s="24">
        <v>8844128</v>
      </c>
      <c r="C2957" s="1">
        <v>2168486</v>
      </c>
      <c r="D2957" s="1" t="s">
        <v>25</v>
      </c>
      <c r="E2957" s="36">
        <v>44851</v>
      </c>
      <c r="F2957" s="36">
        <v>44860</v>
      </c>
      <c r="G2957" s="38">
        <f t="shared" si="46"/>
        <v>9</v>
      </c>
      <c r="H2957" s="5">
        <v>44852</v>
      </c>
      <c r="I2957" s="5">
        <v>44862</v>
      </c>
      <c r="J2957" s="1" t="s">
        <v>26</v>
      </c>
      <c r="K2957" s="1" t="s">
        <v>6223</v>
      </c>
      <c r="L2957" s="1" t="s">
        <v>6224</v>
      </c>
      <c r="M2957" s="1" t="s">
        <v>6225</v>
      </c>
      <c r="N2957" s="1" t="s">
        <v>30</v>
      </c>
      <c r="O2957" s="1" t="s">
        <v>31</v>
      </c>
      <c r="Q2957" s="1" t="s">
        <v>32</v>
      </c>
      <c r="R2957" s="1" t="s">
        <v>33</v>
      </c>
      <c r="S2957" s="1" t="s">
        <v>6226</v>
      </c>
      <c r="U2957" s="1" t="s">
        <v>35</v>
      </c>
      <c r="V2957" s="1" t="s">
        <v>99</v>
      </c>
      <c r="W2957" s="1" t="str">
        <f>VLOOKUP(Table1[[#This Row],[Obergruppe ATC-Code]],Tabelle3!$A$2:$B$100,2)</f>
        <v>ANTIHISTAMINIKA ZUR SYSTEMISCHEN ANWENDUNG</v>
      </c>
      <c r="X2957" s="1" t="str">
        <f xml:space="preserve"> LEFT(Table1[[#This Row],[Atc Code]],3)</f>
        <v>R06</v>
      </c>
    </row>
    <row r="2958" spans="1:24" ht="14.4">
      <c r="A2958" s="14">
        <v>1646</v>
      </c>
      <c r="B2958" s="24" t="s">
        <v>6227</v>
      </c>
      <c r="C2958" s="1">
        <v>2140860</v>
      </c>
      <c r="D2958" s="1" t="s">
        <v>25</v>
      </c>
      <c r="E2958" s="36">
        <v>44991</v>
      </c>
      <c r="F2958" s="36">
        <v>45163</v>
      </c>
      <c r="G2958" s="38">
        <f t="shared" si="46"/>
        <v>172</v>
      </c>
      <c r="H2958" s="5">
        <v>45006</v>
      </c>
      <c r="I2958" s="5">
        <v>45166</v>
      </c>
      <c r="J2958" s="1" t="s">
        <v>41</v>
      </c>
      <c r="K2958" s="1" t="s">
        <v>6228</v>
      </c>
      <c r="L2958" s="1" t="s">
        <v>6224</v>
      </c>
      <c r="M2958" s="1" t="s">
        <v>6225</v>
      </c>
      <c r="N2958" s="1" t="s">
        <v>38</v>
      </c>
      <c r="O2958" s="1" t="s">
        <v>554</v>
      </c>
      <c r="P2958" s="1">
        <v>8005353010</v>
      </c>
      <c r="Q2958" s="1" t="s">
        <v>267</v>
      </c>
      <c r="R2958" s="1" t="s">
        <v>26</v>
      </c>
      <c r="S2958" s="1" t="s">
        <v>6229</v>
      </c>
      <c r="U2958" s="1" t="s">
        <v>130</v>
      </c>
      <c r="V2958" s="1" t="s">
        <v>99</v>
      </c>
      <c r="W2958" s="1" t="str">
        <f>VLOOKUP(Table1[[#This Row],[Obergruppe ATC-Code]],Tabelle3!$A$2:$B$100,2)</f>
        <v>ANTIHISTAMINIKA ZUR SYSTEMISCHEN ANWENDUNG</v>
      </c>
      <c r="X2958" s="1" t="str">
        <f xml:space="preserve"> LEFT(Table1[[#This Row],[Atc Code]],3)</f>
        <v>R06</v>
      </c>
    </row>
    <row r="2959" spans="1:24" ht="14.4">
      <c r="A2959" s="14">
        <v>9</v>
      </c>
      <c r="B2959" s="24">
        <v>53999</v>
      </c>
      <c r="C2959" s="1">
        <v>2176707</v>
      </c>
      <c r="D2959" s="1" t="s">
        <v>102</v>
      </c>
      <c r="E2959" s="36">
        <v>44998</v>
      </c>
      <c r="F2959" s="36">
        <v>45230</v>
      </c>
      <c r="G2959" s="38">
        <f t="shared" si="46"/>
        <v>232</v>
      </c>
      <c r="H2959" s="5">
        <v>45006</v>
      </c>
      <c r="I2959" s="5">
        <v>45204</v>
      </c>
      <c r="J2959" s="1" t="s">
        <v>41</v>
      </c>
      <c r="K2959" s="1" t="s">
        <v>6230</v>
      </c>
      <c r="L2959" s="1" t="s">
        <v>6224</v>
      </c>
      <c r="M2959" s="1" t="s">
        <v>6225</v>
      </c>
      <c r="N2959" s="1" t="s">
        <v>38</v>
      </c>
      <c r="O2959" s="1" t="s">
        <v>554</v>
      </c>
      <c r="P2959" s="1">
        <v>8005353010</v>
      </c>
      <c r="Q2959" s="1" t="s">
        <v>267</v>
      </c>
      <c r="R2959" s="1" t="s">
        <v>26</v>
      </c>
      <c r="S2959" s="1" t="s">
        <v>6231</v>
      </c>
      <c r="U2959" s="1" t="s">
        <v>130</v>
      </c>
      <c r="V2959" s="1" t="s">
        <v>99</v>
      </c>
      <c r="W2959" s="1" t="str">
        <f>VLOOKUP(Table1[[#This Row],[Obergruppe ATC-Code]],Tabelle3!$A$2:$B$100,2)</f>
        <v>ANTIHISTAMINIKA ZUR SYSTEMISCHEN ANWENDUNG</v>
      </c>
      <c r="X2959" s="1" t="str">
        <f xml:space="preserve"> LEFT(Table1[[#This Row],[Atc Code]],3)</f>
        <v>R06</v>
      </c>
    </row>
    <row r="2960" spans="1:24" ht="14.4">
      <c r="A2960" s="14">
        <v>559</v>
      </c>
      <c r="B2960" s="24">
        <v>3524519</v>
      </c>
      <c r="C2960" s="1">
        <v>3000279</v>
      </c>
      <c r="D2960" s="1" t="s">
        <v>25</v>
      </c>
      <c r="E2960" s="36">
        <v>44887</v>
      </c>
      <c r="F2960" s="36">
        <v>44910</v>
      </c>
      <c r="G2960" s="38">
        <f t="shared" si="46"/>
        <v>23</v>
      </c>
      <c r="H2960" s="5">
        <v>44909</v>
      </c>
      <c r="I2960" s="5">
        <v>44911</v>
      </c>
      <c r="J2960" s="1" t="s">
        <v>26</v>
      </c>
      <c r="K2960" s="1" t="s">
        <v>6232</v>
      </c>
      <c r="L2960" s="1" t="s">
        <v>6233</v>
      </c>
      <c r="M2960" s="1" t="s">
        <v>6234</v>
      </c>
      <c r="N2960" s="1" t="s">
        <v>38</v>
      </c>
      <c r="O2960" s="1" t="s">
        <v>615</v>
      </c>
      <c r="P2960" s="1">
        <v>49349542470</v>
      </c>
      <c r="Q2960" s="1" t="s">
        <v>619</v>
      </c>
      <c r="R2960" s="1" t="s">
        <v>33</v>
      </c>
      <c r="S2960" s="1"/>
      <c r="U2960" s="1" t="s">
        <v>35</v>
      </c>
      <c r="V2960" s="1" t="s">
        <v>6235</v>
      </c>
      <c r="W2960" s="1" t="str">
        <f>VLOOKUP(Table1[[#This Row],[Obergruppe ATC-Code]],Tabelle3!$A$2:$B$100,2)</f>
        <v>OPHTHALMIKA**</v>
      </c>
      <c r="X2960" s="1" t="str">
        <f xml:space="preserve"> LEFT(Table1[[#This Row],[Atc Code]],3)</f>
        <v>S01</v>
      </c>
    </row>
    <row r="2961" spans="1:24" ht="14.4">
      <c r="A2961" s="14">
        <v>2956</v>
      </c>
      <c r="B2961" s="24" t="s">
        <v>6236</v>
      </c>
      <c r="C2961" s="1">
        <v>2115657</v>
      </c>
      <c r="D2961" s="1" t="s">
        <v>25</v>
      </c>
      <c r="E2961" s="36">
        <v>43739</v>
      </c>
      <c r="F2961" s="36">
        <v>43799</v>
      </c>
      <c r="G2961" s="38">
        <f t="shared" si="46"/>
        <v>60</v>
      </c>
      <c r="H2961" s="5">
        <v>43763</v>
      </c>
      <c r="I2961" s="5">
        <v>43805</v>
      </c>
      <c r="J2961" s="1" t="s">
        <v>41</v>
      </c>
      <c r="K2961" s="1" t="s">
        <v>6237</v>
      </c>
      <c r="L2961" s="1" t="s">
        <v>6238</v>
      </c>
      <c r="M2961" s="1" t="s">
        <v>6239</v>
      </c>
      <c r="N2961" s="1" t="s">
        <v>38</v>
      </c>
      <c r="O2961" s="1" t="s">
        <v>1154</v>
      </c>
      <c r="P2961" s="1" t="s">
        <v>3208</v>
      </c>
      <c r="Q2961" s="1" t="s">
        <v>3206</v>
      </c>
      <c r="R2961" s="1" t="s">
        <v>26</v>
      </c>
      <c r="S2961" s="1"/>
      <c r="U2961" s="1" t="s">
        <v>35</v>
      </c>
      <c r="V2961" s="1" t="s">
        <v>6240</v>
      </c>
      <c r="W2961" s="1" t="str">
        <f>VLOOKUP(Table1[[#This Row],[Obergruppe ATC-Code]],Tabelle3!$A$2:$B$100,2)</f>
        <v>OPHTHALMIKA**</v>
      </c>
      <c r="X2961" s="1" t="str">
        <f xml:space="preserve"> LEFT(Table1[[#This Row],[Atc Code]],3)</f>
        <v>S01</v>
      </c>
    </row>
    <row r="2962" spans="1:24" ht="14.4">
      <c r="A2962" s="14">
        <v>666</v>
      </c>
      <c r="B2962" s="24">
        <v>4336056</v>
      </c>
      <c r="C2962" s="1">
        <v>2156654</v>
      </c>
      <c r="D2962" s="1" t="s">
        <v>25</v>
      </c>
      <c r="E2962" s="36">
        <v>44816</v>
      </c>
      <c r="F2962" s="36">
        <v>44845</v>
      </c>
      <c r="G2962" s="38">
        <f t="shared" si="46"/>
        <v>29</v>
      </c>
      <c r="H2962" s="5">
        <v>44816</v>
      </c>
      <c r="I2962" s="5">
        <v>44845</v>
      </c>
      <c r="J2962" s="1" t="s">
        <v>26</v>
      </c>
      <c r="K2962" s="1" t="s">
        <v>6241</v>
      </c>
      <c r="L2962" s="1" t="s">
        <v>6242</v>
      </c>
      <c r="M2962" s="1" t="s">
        <v>3346</v>
      </c>
      <c r="N2962" s="1" t="s">
        <v>38</v>
      </c>
      <c r="O2962" s="1" t="s">
        <v>224</v>
      </c>
      <c r="Q2962" s="1" t="s">
        <v>4386</v>
      </c>
      <c r="R2962" s="1" t="s">
        <v>26</v>
      </c>
      <c r="S2962" s="1"/>
      <c r="U2962" s="1" t="s">
        <v>35</v>
      </c>
      <c r="V2962" s="1" t="s">
        <v>6240</v>
      </c>
      <c r="W2962" s="1" t="str">
        <f>VLOOKUP(Table1[[#This Row],[Obergruppe ATC-Code]],Tabelle3!$A$2:$B$100,2)</f>
        <v>OPHTHALMIKA**</v>
      </c>
      <c r="X2962" s="1" t="str">
        <f xml:space="preserve"> LEFT(Table1[[#This Row],[Atc Code]],3)</f>
        <v>S01</v>
      </c>
    </row>
    <row r="2963" spans="1:24" ht="14.4">
      <c r="A2963" s="14">
        <v>2268</v>
      </c>
      <c r="B2963" s="24" t="s">
        <v>6243</v>
      </c>
      <c r="C2963" s="1">
        <v>2706804</v>
      </c>
      <c r="D2963" s="1" t="s">
        <v>25</v>
      </c>
      <c r="E2963" s="36">
        <v>43405</v>
      </c>
      <c r="F2963" s="36">
        <v>43465</v>
      </c>
      <c r="G2963" s="38">
        <f t="shared" si="46"/>
        <v>60</v>
      </c>
      <c r="H2963" s="5">
        <v>43406</v>
      </c>
      <c r="I2963" s="5">
        <v>43453</v>
      </c>
      <c r="J2963" s="1" t="s">
        <v>41</v>
      </c>
      <c r="K2963" s="1" t="s">
        <v>6244</v>
      </c>
      <c r="L2963" s="1" t="s">
        <v>6245</v>
      </c>
      <c r="M2963" s="1" t="s">
        <v>2454</v>
      </c>
      <c r="N2963" s="1" t="s">
        <v>38</v>
      </c>
      <c r="O2963" s="1" t="s">
        <v>6246</v>
      </c>
      <c r="P2963" s="1" t="s">
        <v>6247</v>
      </c>
      <c r="Q2963" s="1" t="s">
        <v>6248</v>
      </c>
      <c r="R2963" s="1" t="s">
        <v>165</v>
      </c>
      <c r="S2963" s="1"/>
      <c r="U2963" s="1" t="s">
        <v>57</v>
      </c>
      <c r="V2963" s="1" t="s">
        <v>6249</v>
      </c>
      <c r="W2963" s="1" t="str">
        <f>VLOOKUP(Table1[[#This Row],[Obergruppe ATC-Code]],Tabelle3!$A$2:$B$100,2)</f>
        <v>OPHTHALMIKA**</v>
      </c>
      <c r="X2963" s="1" t="str">
        <f xml:space="preserve"> LEFT(Table1[[#This Row],[Atc Code]],3)</f>
        <v>S01</v>
      </c>
    </row>
    <row r="2964" spans="1:24" ht="14.4">
      <c r="A2964" s="14">
        <v>2267</v>
      </c>
      <c r="B2964" s="24" t="s">
        <v>6243</v>
      </c>
      <c r="C2964" s="1">
        <v>2706804</v>
      </c>
      <c r="D2964" s="1" t="s">
        <v>25</v>
      </c>
      <c r="E2964" s="36">
        <v>43497</v>
      </c>
      <c r="F2964" s="36">
        <v>43830</v>
      </c>
      <c r="G2964" s="38">
        <f t="shared" si="46"/>
        <v>333</v>
      </c>
      <c r="H2964" s="5">
        <v>43497</v>
      </c>
      <c r="I2964" s="5">
        <v>43816</v>
      </c>
      <c r="J2964" s="1" t="s">
        <v>41</v>
      </c>
      <c r="K2964" s="1" t="s">
        <v>6244</v>
      </c>
      <c r="L2964" s="1" t="s">
        <v>6245</v>
      </c>
      <c r="M2964" s="1" t="s">
        <v>2454</v>
      </c>
      <c r="N2964" s="1" t="s">
        <v>38</v>
      </c>
      <c r="O2964" s="1" t="s">
        <v>6246</v>
      </c>
      <c r="P2964" s="1" t="s">
        <v>6247</v>
      </c>
      <c r="Q2964" s="1" t="s">
        <v>6248</v>
      </c>
      <c r="R2964" s="1" t="s">
        <v>165</v>
      </c>
      <c r="S2964" s="1"/>
      <c r="U2964" s="1" t="s">
        <v>35</v>
      </c>
      <c r="V2964" s="1" t="s">
        <v>6249</v>
      </c>
      <c r="W2964" s="1" t="str">
        <f>VLOOKUP(Table1[[#This Row],[Obergruppe ATC-Code]],Tabelle3!$A$2:$B$100,2)</f>
        <v>OPHTHALMIKA**</v>
      </c>
      <c r="X2964" s="1" t="str">
        <f xml:space="preserve"> LEFT(Table1[[#This Row],[Atc Code]],3)</f>
        <v>S01</v>
      </c>
    </row>
    <row r="2965" spans="1:24" ht="14.4">
      <c r="A2965" s="14">
        <v>2554</v>
      </c>
      <c r="B2965" s="24" t="s">
        <v>6250</v>
      </c>
      <c r="C2965" s="1">
        <v>2192373</v>
      </c>
      <c r="D2965" s="1" t="s">
        <v>25</v>
      </c>
      <c r="E2965" s="36">
        <v>44655</v>
      </c>
      <c r="F2965" s="36">
        <v>44704</v>
      </c>
      <c r="G2965" s="38">
        <f t="shared" si="46"/>
        <v>49</v>
      </c>
      <c r="H2965" s="5">
        <v>44656</v>
      </c>
      <c r="I2965" s="5">
        <v>44706</v>
      </c>
      <c r="J2965" s="1" t="s">
        <v>26</v>
      </c>
      <c r="K2965" s="1" t="s">
        <v>6251</v>
      </c>
      <c r="L2965" s="1" t="s">
        <v>6245</v>
      </c>
      <c r="M2965" s="1" t="s">
        <v>2460</v>
      </c>
      <c r="N2965" s="1" t="s">
        <v>30</v>
      </c>
      <c r="O2965" s="1" t="s">
        <v>615</v>
      </c>
      <c r="P2965" s="1">
        <v>349542470</v>
      </c>
      <c r="Q2965" s="1" t="s">
        <v>619</v>
      </c>
      <c r="R2965" s="1" t="s">
        <v>33</v>
      </c>
      <c r="S2965" s="1" t="s">
        <v>887</v>
      </c>
      <c r="U2965" s="1" t="s">
        <v>35</v>
      </c>
      <c r="V2965" s="1" t="s">
        <v>6240</v>
      </c>
      <c r="W2965" s="1" t="str">
        <f>VLOOKUP(Table1[[#This Row],[Obergruppe ATC-Code]],Tabelle3!$A$2:$B$100,2)</f>
        <v>OPHTHALMIKA**</v>
      </c>
      <c r="X2965" s="1" t="str">
        <f xml:space="preserve"> LEFT(Table1[[#This Row],[Atc Code]],3)</f>
        <v>S01</v>
      </c>
    </row>
    <row r="2966" spans="1:24" ht="14.4">
      <c r="A2966" s="14">
        <v>2552</v>
      </c>
      <c r="B2966" s="24" t="s">
        <v>6252</v>
      </c>
      <c r="C2966" s="1">
        <v>2192373</v>
      </c>
      <c r="D2966" s="1" t="s">
        <v>25</v>
      </c>
      <c r="E2966" s="36">
        <v>44774</v>
      </c>
      <c r="F2966" s="36">
        <v>44783</v>
      </c>
      <c r="G2966" s="38">
        <f t="shared" si="46"/>
        <v>9</v>
      </c>
      <c r="H2966" s="5">
        <v>44749</v>
      </c>
      <c r="I2966" s="5">
        <v>44783</v>
      </c>
      <c r="J2966" s="1" t="s">
        <v>26</v>
      </c>
      <c r="K2966" s="1" t="s">
        <v>6251</v>
      </c>
      <c r="L2966" s="1" t="s">
        <v>6245</v>
      </c>
      <c r="M2966" s="1" t="s">
        <v>2460</v>
      </c>
      <c r="N2966" s="1" t="s">
        <v>30</v>
      </c>
      <c r="O2966" s="1" t="s">
        <v>615</v>
      </c>
      <c r="P2966" s="1" t="s">
        <v>623</v>
      </c>
      <c r="Q2966" s="1" t="s">
        <v>621</v>
      </c>
      <c r="R2966" s="1" t="s">
        <v>113</v>
      </c>
      <c r="S2966" s="1"/>
      <c r="T2966" s="1" t="s">
        <v>6253</v>
      </c>
      <c r="U2966" s="1" t="s">
        <v>35</v>
      </c>
      <c r="V2966" s="1" t="s">
        <v>6240</v>
      </c>
      <c r="W2966" s="1" t="str">
        <f>VLOOKUP(Table1[[#This Row],[Obergruppe ATC-Code]],Tabelle3!$A$2:$B$100,2)</f>
        <v>OPHTHALMIKA**</v>
      </c>
      <c r="X2966" s="1" t="str">
        <f xml:space="preserve"> LEFT(Table1[[#This Row],[Atc Code]],3)</f>
        <v>S01</v>
      </c>
    </row>
    <row r="2967" spans="1:24" ht="14.4">
      <c r="A2967" s="14">
        <v>2553</v>
      </c>
      <c r="B2967" s="24" t="s">
        <v>6250</v>
      </c>
      <c r="C2967" s="1">
        <v>2192373</v>
      </c>
      <c r="D2967" s="1" t="s">
        <v>25</v>
      </c>
      <c r="E2967" s="36">
        <v>44816</v>
      </c>
      <c r="F2967" s="36">
        <v>44883</v>
      </c>
      <c r="G2967" s="38">
        <f t="shared" si="46"/>
        <v>67</v>
      </c>
      <c r="H2967" s="5">
        <v>44818</v>
      </c>
      <c r="I2967" s="5">
        <v>44890</v>
      </c>
      <c r="J2967" s="1" t="s">
        <v>26</v>
      </c>
      <c r="K2967" s="1" t="s">
        <v>6251</v>
      </c>
      <c r="L2967" s="1" t="s">
        <v>6245</v>
      </c>
      <c r="M2967" s="1" t="s">
        <v>2460</v>
      </c>
      <c r="N2967" s="1" t="s">
        <v>38</v>
      </c>
      <c r="O2967" s="1" t="s">
        <v>615</v>
      </c>
      <c r="P2967" s="1">
        <v>4934954247478</v>
      </c>
      <c r="Q2967" s="1" t="s">
        <v>619</v>
      </c>
      <c r="R2967" s="1" t="s">
        <v>33</v>
      </c>
      <c r="S2967" s="1"/>
      <c r="T2967" s="1" t="s">
        <v>6253</v>
      </c>
      <c r="U2967" s="1" t="s">
        <v>35</v>
      </c>
      <c r="V2967" s="1" t="s">
        <v>6240</v>
      </c>
      <c r="W2967" s="1" t="str">
        <f>VLOOKUP(Table1[[#This Row],[Obergruppe ATC-Code]],Tabelle3!$A$2:$B$100,2)</f>
        <v>OPHTHALMIKA**</v>
      </c>
      <c r="X2967" s="1" t="str">
        <f xml:space="preserve"> LEFT(Table1[[#This Row],[Atc Code]],3)</f>
        <v>S01</v>
      </c>
    </row>
    <row r="2968" spans="1:24" ht="14.4">
      <c r="A2968" s="14">
        <v>1097</v>
      </c>
      <c r="B2968" s="24">
        <v>9280225</v>
      </c>
      <c r="C2968" s="1">
        <v>2180767</v>
      </c>
      <c r="D2968" s="1" t="s">
        <v>25</v>
      </c>
      <c r="E2968" s="36">
        <v>44909</v>
      </c>
      <c r="F2968" s="36">
        <v>44937</v>
      </c>
      <c r="G2968" s="38">
        <f t="shared" si="46"/>
        <v>28</v>
      </c>
      <c r="H2968" s="5">
        <v>44916</v>
      </c>
      <c r="I2968" s="5">
        <v>44944</v>
      </c>
      <c r="J2968" s="1" t="s">
        <v>26</v>
      </c>
      <c r="K2968" s="1" t="s">
        <v>6254</v>
      </c>
      <c r="L2968" s="1" t="s">
        <v>6245</v>
      </c>
      <c r="M2968" s="1" t="s">
        <v>2460</v>
      </c>
      <c r="N2968" s="1" t="s">
        <v>38</v>
      </c>
      <c r="O2968" s="1" t="s">
        <v>615</v>
      </c>
      <c r="P2968" s="1" t="s">
        <v>623</v>
      </c>
      <c r="Q2968" s="1" t="s">
        <v>621</v>
      </c>
      <c r="R2968" s="1" t="s">
        <v>33</v>
      </c>
      <c r="S2968" s="1"/>
      <c r="T2968" s="1" t="s">
        <v>6255</v>
      </c>
      <c r="U2968" s="1" t="s">
        <v>35</v>
      </c>
      <c r="V2968" s="1" t="s">
        <v>6240</v>
      </c>
      <c r="W2968" s="1" t="str">
        <f>VLOOKUP(Table1[[#This Row],[Obergruppe ATC-Code]],Tabelle3!$A$2:$B$100,2)</f>
        <v>OPHTHALMIKA**</v>
      </c>
      <c r="X2968" s="1" t="str">
        <f xml:space="preserve"> LEFT(Table1[[#This Row],[Atc Code]],3)</f>
        <v>S01</v>
      </c>
    </row>
    <row r="2969" spans="1:24" ht="14.4">
      <c r="A2969" s="14">
        <v>558</v>
      </c>
      <c r="B2969" s="24">
        <v>3524502</v>
      </c>
      <c r="C2969" s="1">
        <v>3000404</v>
      </c>
      <c r="D2969" s="1" t="s">
        <v>25</v>
      </c>
      <c r="E2969" s="36">
        <v>44893</v>
      </c>
      <c r="F2969" s="36">
        <v>44936</v>
      </c>
      <c r="G2969" s="38">
        <f t="shared" si="46"/>
        <v>43</v>
      </c>
      <c r="H2969" s="5">
        <v>44894</v>
      </c>
      <c r="I2969" s="5">
        <v>44944</v>
      </c>
      <c r="J2969" s="1" t="s">
        <v>26</v>
      </c>
      <c r="K2969" s="1" t="s">
        <v>6256</v>
      </c>
      <c r="L2969" s="1" t="s">
        <v>6245</v>
      </c>
      <c r="M2969" s="1" t="s">
        <v>2454</v>
      </c>
      <c r="N2969" s="1" t="s">
        <v>38</v>
      </c>
      <c r="O2969" s="1" t="s">
        <v>615</v>
      </c>
      <c r="P2969" s="1">
        <v>49349542470</v>
      </c>
      <c r="Q2969" s="1" t="s">
        <v>619</v>
      </c>
      <c r="R2969" s="1" t="s">
        <v>33</v>
      </c>
      <c r="S2969" s="1"/>
      <c r="U2969" s="1" t="s">
        <v>35</v>
      </c>
      <c r="V2969" s="1" t="s">
        <v>6235</v>
      </c>
      <c r="W2969" s="1" t="str">
        <f>VLOOKUP(Table1[[#This Row],[Obergruppe ATC-Code]],Tabelle3!$A$2:$B$100,2)</f>
        <v>OPHTHALMIKA**</v>
      </c>
      <c r="X2969" s="1" t="str">
        <f xml:space="preserve"> LEFT(Table1[[#This Row],[Atc Code]],3)</f>
        <v>S01</v>
      </c>
    </row>
    <row r="2970" spans="1:24" ht="14.4">
      <c r="A2970" s="14">
        <v>1187</v>
      </c>
      <c r="B2970" s="24">
        <v>10420269</v>
      </c>
      <c r="C2970" s="1">
        <v>2192373</v>
      </c>
      <c r="D2970" s="1" t="s">
        <v>25</v>
      </c>
      <c r="E2970" s="36">
        <v>44949</v>
      </c>
      <c r="F2970" s="36">
        <v>44980</v>
      </c>
      <c r="G2970" s="38">
        <f t="shared" si="46"/>
        <v>31</v>
      </c>
      <c r="H2970" s="5">
        <v>44951</v>
      </c>
      <c r="I2970" s="5">
        <v>44980</v>
      </c>
      <c r="J2970" s="1" t="s">
        <v>26</v>
      </c>
      <c r="K2970" s="1" t="s">
        <v>6251</v>
      </c>
      <c r="L2970" s="1" t="s">
        <v>6245</v>
      </c>
      <c r="M2970" s="1" t="s">
        <v>2460</v>
      </c>
      <c r="N2970" s="1" t="s">
        <v>38</v>
      </c>
      <c r="O2970" s="1" t="s">
        <v>615</v>
      </c>
      <c r="P2970" s="1">
        <v>49349542470</v>
      </c>
      <c r="Q2970" s="1" t="s">
        <v>619</v>
      </c>
      <c r="R2970" s="1" t="s">
        <v>33</v>
      </c>
      <c r="S2970" s="1"/>
      <c r="T2970" s="1" t="s">
        <v>6253</v>
      </c>
      <c r="U2970" s="1" t="s">
        <v>35</v>
      </c>
      <c r="V2970" s="1" t="s">
        <v>6240</v>
      </c>
      <c r="W2970" s="1" t="str">
        <f>VLOOKUP(Table1[[#This Row],[Obergruppe ATC-Code]],Tabelle3!$A$2:$B$100,2)</f>
        <v>OPHTHALMIKA**</v>
      </c>
      <c r="X2970" s="1" t="str">
        <f xml:space="preserve"> LEFT(Table1[[#This Row],[Atc Code]],3)</f>
        <v>S01</v>
      </c>
    </row>
    <row r="2971" spans="1:24" ht="14.4">
      <c r="A2971" s="14">
        <v>1099</v>
      </c>
      <c r="B2971" s="24">
        <v>9280231</v>
      </c>
      <c r="C2971" s="1">
        <v>2180767</v>
      </c>
      <c r="D2971" s="1" t="s">
        <v>25</v>
      </c>
      <c r="E2971" s="36">
        <v>44970</v>
      </c>
      <c r="F2971" s="36">
        <v>45005</v>
      </c>
      <c r="G2971" s="38">
        <f t="shared" si="46"/>
        <v>35</v>
      </c>
      <c r="H2971" s="5">
        <v>44971</v>
      </c>
      <c r="I2971" s="5">
        <v>45008</v>
      </c>
      <c r="J2971" s="1" t="s">
        <v>26</v>
      </c>
      <c r="K2971" s="1" t="s">
        <v>6254</v>
      </c>
      <c r="L2971" s="1" t="s">
        <v>6245</v>
      </c>
      <c r="M2971" s="1" t="s">
        <v>2460</v>
      </c>
      <c r="N2971" s="1" t="s">
        <v>38</v>
      </c>
      <c r="O2971" s="1" t="s">
        <v>615</v>
      </c>
      <c r="P2971" s="1" t="s">
        <v>623</v>
      </c>
      <c r="Q2971" s="1" t="s">
        <v>621</v>
      </c>
      <c r="R2971" s="1" t="s">
        <v>33</v>
      </c>
      <c r="S2971" s="1"/>
      <c r="T2971" s="1" t="s">
        <v>6255</v>
      </c>
      <c r="U2971" s="1" t="s">
        <v>35</v>
      </c>
      <c r="V2971" s="1" t="s">
        <v>6240</v>
      </c>
      <c r="W2971" s="1" t="str">
        <f>VLOOKUP(Table1[[#This Row],[Obergruppe ATC-Code]],Tabelle3!$A$2:$B$100,2)</f>
        <v>OPHTHALMIKA**</v>
      </c>
      <c r="X2971" s="1" t="str">
        <f xml:space="preserve"> LEFT(Table1[[#This Row],[Atc Code]],3)</f>
        <v>S01</v>
      </c>
    </row>
    <row r="2972" spans="1:24" ht="14.4">
      <c r="A2972" s="14">
        <v>557</v>
      </c>
      <c r="B2972" s="24">
        <v>3524502</v>
      </c>
      <c r="C2972" s="1">
        <v>3000404</v>
      </c>
      <c r="D2972" s="1" t="s">
        <v>25</v>
      </c>
      <c r="E2972" s="36">
        <v>44956</v>
      </c>
      <c r="F2972" s="36">
        <v>45006</v>
      </c>
      <c r="G2972" s="38">
        <f t="shared" si="46"/>
        <v>50</v>
      </c>
      <c r="H2972" s="5">
        <v>44957</v>
      </c>
      <c r="I2972" s="5">
        <v>45008</v>
      </c>
      <c r="J2972" s="1" t="s">
        <v>41</v>
      </c>
      <c r="K2972" s="1" t="s">
        <v>6256</v>
      </c>
      <c r="L2972" s="1" t="s">
        <v>6245</v>
      </c>
      <c r="M2972" s="1" t="s">
        <v>2454</v>
      </c>
      <c r="N2972" s="1" t="s">
        <v>38</v>
      </c>
      <c r="O2972" s="1" t="s">
        <v>615</v>
      </c>
      <c r="P2972" s="1">
        <v>49349542470</v>
      </c>
      <c r="Q2972" s="1" t="s">
        <v>619</v>
      </c>
      <c r="R2972" s="1" t="s">
        <v>26</v>
      </c>
      <c r="S2972" s="1"/>
      <c r="U2972" s="1" t="s">
        <v>35</v>
      </c>
      <c r="V2972" s="1" t="s">
        <v>6235</v>
      </c>
      <c r="W2972" s="1" t="str">
        <f>VLOOKUP(Table1[[#This Row],[Obergruppe ATC-Code]],Tabelle3!$A$2:$B$100,2)</f>
        <v>OPHTHALMIKA**</v>
      </c>
      <c r="X2972" s="1" t="str">
        <f xml:space="preserve"> LEFT(Table1[[#This Row],[Atc Code]],3)</f>
        <v>S01</v>
      </c>
    </row>
    <row r="2973" spans="1:24" ht="14.4">
      <c r="A2973" s="14">
        <v>556</v>
      </c>
      <c r="B2973" s="24">
        <v>3524502</v>
      </c>
      <c r="C2973" s="1">
        <v>3000404</v>
      </c>
      <c r="D2973" s="1" t="s">
        <v>25</v>
      </c>
      <c r="E2973" s="36">
        <v>45110</v>
      </c>
      <c r="F2973" s="36">
        <v>45166</v>
      </c>
      <c r="G2973" s="38">
        <f t="shared" si="46"/>
        <v>56</v>
      </c>
      <c r="H2973" s="5">
        <v>45119</v>
      </c>
      <c r="I2973" s="5">
        <v>45169</v>
      </c>
      <c r="J2973" s="1" t="s">
        <v>41</v>
      </c>
      <c r="K2973" s="1" t="s">
        <v>6256</v>
      </c>
      <c r="L2973" s="1" t="s">
        <v>6245</v>
      </c>
      <c r="M2973" s="1" t="s">
        <v>2454</v>
      </c>
      <c r="N2973" s="1" t="s">
        <v>38</v>
      </c>
      <c r="O2973" s="1" t="s">
        <v>615</v>
      </c>
      <c r="P2973" s="1">
        <v>349542470</v>
      </c>
      <c r="Q2973" s="1" t="s">
        <v>621</v>
      </c>
      <c r="R2973" s="1" t="s">
        <v>26</v>
      </c>
      <c r="S2973" s="1"/>
      <c r="U2973" s="1" t="s">
        <v>35</v>
      </c>
      <c r="V2973" s="1" t="s">
        <v>6235</v>
      </c>
      <c r="W2973" s="1" t="str">
        <f>VLOOKUP(Table1[[#This Row],[Obergruppe ATC-Code]],Tabelle3!$A$2:$B$100,2)</f>
        <v>OPHTHALMIKA**</v>
      </c>
      <c r="X2973" s="1" t="str">
        <f xml:space="preserve"> LEFT(Table1[[#This Row],[Atc Code]],3)</f>
        <v>S01</v>
      </c>
    </row>
    <row r="2974" spans="1:24" ht="14.4">
      <c r="A2974" s="14">
        <v>555</v>
      </c>
      <c r="B2974" s="24">
        <v>3524502</v>
      </c>
      <c r="C2974" s="1">
        <v>3000404</v>
      </c>
      <c r="D2974" s="1" t="s">
        <v>175</v>
      </c>
      <c r="E2974" s="36">
        <v>45170</v>
      </c>
      <c r="F2974" s="36">
        <v>45291</v>
      </c>
      <c r="G2974" s="38">
        <f t="shared" si="46"/>
        <v>121</v>
      </c>
      <c r="H2974" s="5">
        <v>45174</v>
      </c>
      <c r="I2974" s="5">
        <v>45174</v>
      </c>
      <c r="J2974" s="1" t="s">
        <v>41</v>
      </c>
      <c r="K2974" s="1" t="s">
        <v>6256</v>
      </c>
      <c r="L2974" s="1" t="s">
        <v>6245</v>
      </c>
      <c r="M2974" s="1" t="s">
        <v>2454</v>
      </c>
      <c r="N2974" s="1" t="s">
        <v>38</v>
      </c>
      <c r="O2974" s="1" t="s">
        <v>615</v>
      </c>
      <c r="P2974" s="1">
        <v>349542470</v>
      </c>
      <c r="Q2974" s="1" t="s">
        <v>2503</v>
      </c>
      <c r="R2974" s="1" t="s">
        <v>26</v>
      </c>
      <c r="S2974" s="1"/>
      <c r="U2974" s="1" t="s">
        <v>35</v>
      </c>
      <c r="V2974" s="1" t="s">
        <v>6235</v>
      </c>
      <c r="W2974" s="1" t="str">
        <f>VLOOKUP(Table1[[#This Row],[Obergruppe ATC-Code]],Tabelle3!$A$2:$B$100,2)</f>
        <v>OPHTHALMIKA**</v>
      </c>
      <c r="X2974" s="1" t="str">
        <f xml:space="preserve"> LEFT(Table1[[#This Row],[Atc Code]],3)</f>
        <v>S01</v>
      </c>
    </row>
    <row r="2975" spans="1:24" ht="14.4">
      <c r="A2975" s="14">
        <v>1098</v>
      </c>
      <c r="B2975" s="24">
        <v>9280225</v>
      </c>
      <c r="C2975" s="1">
        <v>2180767</v>
      </c>
      <c r="D2975" s="1" t="s">
        <v>102</v>
      </c>
      <c r="E2975" s="36">
        <v>45091</v>
      </c>
      <c r="F2975" s="36">
        <v>45230</v>
      </c>
      <c r="G2975" s="38">
        <f t="shared" si="46"/>
        <v>139</v>
      </c>
      <c r="H2975" s="5">
        <v>45098</v>
      </c>
      <c r="I2975" s="5">
        <v>45204</v>
      </c>
      <c r="J2975" s="1" t="s">
        <v>26</v>
      </c>
      <c r="K2975" s="1" t="s">
        <v>6254</v>
      </c>
      <c r="L2975" s="1" t="s">
        <v>6245</v>
      </c>
      <c r="M2975" s="1" t="s">
        <v>2460</v>
      </c>
      <c r="N2975" s="1" t="s">
        <v>38</v>
      </c>
      <c r="O2975" s="1" t="s">
        <v>615</v>
      </c>
      <c r="P2975" s="1" t="s">
        <v>623</v>
      </c>
      <c r="Q2975" s="1" t="s">
        <v>621</v>
      </c>
      <c r="R2975" s="1" t="s">
        <v>33</v>
      </c>
      <c r="S2975" s="1"/>
      <c r="U2975" s="1" t="s">
        <v>35</v>
      </c>
      <c r="V2975" s="1" t="s">
        <v>6240</v>
      </c>
      <c r="W2975" s="1" t="str">
        <f>VLOOKUP(Table1[[#This Row],[Obergruppe ATC-Code]],Tabelle3!$A$2:$B$100,2)</f>
        <v>OPHTHALMIKA**</v>
      </c>
      <c r="X2975" s="1" t="str">
        <f xml:space="preserve"> LEFT(Table1[[#This Row],[Atc Code]],3)</f>
        <v>S01</v>
      </c>
    </row>
    <row r="2976" spans="1:24" ht="14.4">
      <c r="A2976" s="14">
        <v>1194</v>
      </c>
      <c r="B2976" s="24">
        <v>10775794</v>
      </c>
      <c r="C2976" s="1">
        <v>2189383</v>
      </c>
      <c r="D2976" s="1" t="s">
        <v>25</v>
      </c>
      <c r="E2976" s="36">
        <v>44013</v>
      </c>
      <c r="F2976" s="36">
        <v>44316</v>
      </c>
      <c r="G2976" s="38">
        <f t="shared" si="46"/>
        <v>303</v>
      </c>
      <c r="H2976" s="5">
        <v>44056</v>
      </c>
      <c r="I2976" s="5">
        <v>44293</v>
      </c>
      <c r="J2976" s="1" t="s">
        <v>41</v>
      </c>
      <c r="K2976" s="1" t="s">
        <v>6257</v>
      </c>
      <c r="L2976" s="1" t="s">
        <v>6258</v>
      </c>
      <c r="M2976" s="1" t="s">
        <v>61</v>
      </c>
      <c r="N2976" s="1" t="s">
        <v>30</v>
      </c>
      <c r="O2976" s="1" t="s">
        <v>615</v>
      </c>
      <c r="P2976" s="1" t="s">
        <v>1326</v>
      </c>
      <c r="Q2976" s="1" t="s">
        <v>621</v>
      </c>
      <c r="R2976" s="1" t="s">
        <v>26</v>
      </c>
      <c r="S2976" s="1"/>
      <c r="T2976" s="1" t="s">
        <v>6259</v>
      </c>
      <c r="U2976" s="1" t="s">
        <v>35</v>
      </c>
      <c r="V2976" s="1" t="s">
        <v>6240</v>
      </c>
      <c r="W2976" s="1" t="str">
        <f>VLOOKUP(Table1[[#This Row],[Obergruppe ATC-Code]],Tabelle3!$A$2:$B$100,2)</f>
        <v>OPHTHALMIKA**</v>
      </c>
      <c r="X2976" s="1" t="str">
        <f xml:space="preserve"> LEFT(Table1[[#This Row],[Atc Code]],3)</f>
        <v>S01</v>
      </c>
    </row>
    <row r="2977" spans="1:24" ht="14.4">
      <c r="A2977" s="14">
        <v>312</v>
      </c>
      <c r="B2977" s="24">
        <v>1970781</v>
      </c>
      <c r="C2977" s="1">
        <v>514673</v>
      </c>
      <c r="D2977" s="1" t="s">
        <v>25</v>
      </c>
      <c r="E2977" s="36">
        <v>44648</v>
      </c>
      <c r="F2977" s="36">
        <v>44694</v>
      </c>
      <c r="G2977" s="38">
        <f t="shared" si="46"/>
        <v>46</v>
      </c>
      <c r="H2977" s="5">
        <v>44656</v>
      </c>
      <c r="I2977" s="5">
        <v>44694</v>
      </c>
      <c r="J2977" s="1" t="s">
        <v>26</v>
      </c>
      <c r="K2977" s="1" t="s">
        <v>6260</v>
      </c>
      <c r="L2977" s="1" t="s">
        <v>6258</v>
      </c>
      <c r="M2977" s="1" t="s">
        <v>61</v>
      </c>
      <c r="N2977" s="1" t="s">
        <v>38</v>
      </c>
      <c r="O2977" s="1" t="s">
        <v>6246</v>
      </c>
      <c r="Q2977" s="1" t="s">
        <v>6261</v>
      </c>
      <c r="R2977" s="1" t="s">
        <v>113</v>
      </c>
      <c r="S2977" s="1" t="s">
        <v>6262</v>
      </c>
      <c r="U2977" s="1" t="s">
        <v>35</v>
      </c>
      <c r="V2977" s="1" t="s">
        <v>6240</v>
      </c>
      <c r="W2977" s="1" t="str">
        <f>VLOOKUP(Table1[[#This Row],[Obergruppe ATC-Code]],Tabelle3!$A$2:$B$100,2)</f>
        <v>OPHTHALMIKA**</v>
      </c>
      <c r="X2977" s="1" t="str">
        <f xml:space="preserve"> LEFT(Table1[[#This Row],[Atc Code]],3)</f>
        <v>S01</v>
      </c>
    </row>
    <row r="2978" spans="1:24" ht="14.4">
      <c r="A2978" s="14">
        <v>566</v>
      </c>
      <c r="B2978" s="24">
        <v>3524548</v>
      </c>
      <c r="C2978" s="1">
        <v>3000274</v>
      </c>
      <c r="D2978" s="1" t="s">
        <v>25</v>
      </c>
      <c r="E2978" s="36">
        <v>44858</v>
      </c>
      <c r="F2978" s="36">
        <v>44910</v>
      </c>
      <c r="G2978" s="38">
        <f t="shared" si="46"/>
        <v>52</v>
      </c>
      <c r="H2978" s="5">
        <v>44861</v>
      </c>
      <c r="I2978" s="5">
        <v>44911</v>
      </c>
      <c r="J2978" s="1" t="s">
        <v>41</v>
      </c>
      <c r="K2978" s="1" t="s">
        <v>6263</v>
      </c>
      <c r="L2978" s="1" t="s">
        <v>6258</v>
      </c>
      <c r="M2978" s="1" t="s">
        <v>2534</v>
      </c>
      <c r="N2978" s="1" t="s">
        <v>38</v>
      </c>
      <c r="O2978" s="1" t="s">
        <v>615</v>
      </c>
      <c r="P2978" s="1">
        <v>49349542470</v>
      </c>
      <c r="Q2978" s="1" t="s">
        <v>619</v>
      </c>
      <c r="R2978" s="1" t="s">
        <v>26</v>
      </c>
      <c r="S2978" s="1"/>
      <c r="U2978" s="1" t="s">
        <v>35</v>
      </c>
      <c r="V2978" s="1" t="s">
        <v>6235</v>
      </c>
      <c r="W2978" s="1" t="str">
        <f>VLOOKUP(Table1[[#This Row],[Obergruppe ATC-Code]],Tabelle3!$A$2:$B$100,2)</f>
        <v>OPHTHALMIKA**</v>
      </c>
      <c r="X2978" s="1" t="str">
        <f xml:space="preserve"> LEFT(Table1[[#This Row],[Atc Code]],3)</f>
        <v>S01</v>
      </c>
    </row>
    <row r="2979" spans="1:24" ht="14.4">
      <c r="A2979" s="14">
        <v>565</v>
      </c>
      <c r="B2979" s="24">
        <v>3524548</v>
      </c>
      <c r="C2979" s="1">
        <v>3000274</v>
      </c>
      <c r="D2979" s="1" t="s">
        <v>25</v>
      </c>
      <c r="E2979" s="36">
        <v>44925</v>
      </c>
      <c r="F2979" s="36">
        <v>44998</v>
      </c>
      <c r="G2979" s="38">
        <f t="shared" si="46"/>
        <v>73</v>
      </c>
      <c r="H2979" s="5">
        <v>44930</v>
      </c>
      <c r="I2979" s="5">
        <v>45002</v>
      </c>
      <c r="J2979" s="1" t="s">
        <v>41</v>
      </c>
      <c r="K2979" s="1" t="s">
        <v>6263</v>
      </c>
      <c r="L2979" s="1" t="s">
        <v>6258</v>
      </c>
      <c r="M2979" s="1" t="s">
        <v>2534</v>
      </c>
      <c r="N2979" s="1" t="s">
        <v>38</v>
      </c>
      <c r="O2979" s="1" t="s">
        <v>615</v>
      </c>
      <c r="P2979" s="1">
        <v>349542470</v>
      </c>
      <c r="Q2979" s="1" t="s">
        <v>621</v>
      </c>
      <c r="R2979" s="1" t="s">
        <v>26</v>
      </c>
      <c r="S2979" s="1"/>
      <c r="U2979" s="1" t="s">
        <v>35</v>
      </c>
      <c r="V2979" s="1" t="s">
        <v>6235</v>
      </c>
      <c r="W2979" s="1" t="str">
        <f>VLOOKUP(Table1[[#This Row],[Obergruppe ATC-Code]],Tabelle3!$A$2:$B$100,2)</f>
        <v>OPHTHALMIKA**</v>
      </c>
      <c r="X2979" s="1" t="str">
        <f xml:space="preserve"> LEFT(Table1[[#This Row],[Atc Code]],3)</f>
        <v>S01</v>
      </c>
    </row>
    <row r="2980" spans="1:24" ht="14.4">
      <c r="A2980" s="14">
        <v>1196</v>
      </c>
      <c r="B2980" s="24">
        <v>10775794</v>
      </c>
      <c r="C2980" s="1">
        <v>2189383</v>
      </c>
      <c r="D2980" s="1" t="s">
        <v>25</v>
      </c>
      <c r="E2980" s="36">
        <v>44347</v>
      </c>
      <c r="F2980" s="36">
        <v>45062</v>
      </c>
      <c r="G2980" s="38">
        <f t="shared" si="46"/>
        <v>715</v>
      </c>
      <c r="H2980" s="5">
        <v>44351</v>
      </c>
      <c r="I2980" s="5">
        <v>45063</v>
      </c>
      <c r="J2980" s="1" t="s">
        <v>41</v>
      </c>
      <c r="K2980" s="1" t="s">
        <v>6257</v>
      </c>
      <c r="L2980" s="1" t="s">
        <v>6258</v>
      </c>
      <c r="M2980" s="1" t="s">
        <v>61</v>
      </c>
      <c r="N2980" s="1" t="s">
        <v>38</v>
      </c>
      <c r="O2980" s="1" t="s">
        <v>615</v>
      </c>
      <c r="P2980" s="1">
        <v>49349542470</v>
      </c>
      <c r="Q2980" s="1" t="s">
        <v>2503</v>
      </c>
      <c r="R2980" s="1" t="s">
        <v>128</v>
      </c>
      <c r="S2980" s="1"/>
      <c r="U2980" s="1" t="s">
        <v>35</v>
      </c>
      <c r="V2980" s="1" t="s">
        <v>6240</v>
      </c>
      <c r="W2980" s="1" t="str">
        <f>VLOOKUP(Table1[[#This Row],[Obergruppe ATC-Code]],Tabelle3!$A$2:$B$100,2)</f>
        <v>OPHTHALMIKA**</v>
      </c>
      <c r="X2980" s="1" t="str">
        <f xml:space="preserve"> LEFT(Table1[[#This Row],[Atc Code]],3)</f>
        <v>S01</v>
      </c>
    </row>
    <row r="2981" spans="1:24" ht="14.4">
      <c r="A2981" s="14">
        <v>311</v>
      </c>
      <c r="B2981" s="24">
        <v>1970781</v>
      </c>
      <c r="C2981" s="1">
        <v>514673</v>
      </c>
      <c r="D2981" s="1" t="s">
        <v>25</v>
      </c>
      <c r="E2981" s="36">
        <v>45041</v>
      </c>
      <c r="F2981" s="36">
        <v>45125</v>
      </c>
      <c r="G2981" s="38">
        <f t="shared" si="46"/>
        <v>84</v>
      </c>
      <c r="H2981" s="5">
        <v>45041</v>
      </c>
      <c r="I2981" s="5">
        <v>45132</v>
      </c>
      <c r="J2981" s="1" t="s">
        <v>26</v>
      </c>
      <c r="K2981" s="1" t="s">
        <v>6260</v>
      </c>
      <c r="L2981" s="1" t="s">
        <v>6258</v>
      </c>
      <c r="M2981" s="1" t="s">
        <v>61</v>
      </c>
      <c r="N2981" s="1" t="s">
        <v>30</v>
      </c>
      <c r="O2981" s="1" t="s">
        <v>3570</v>
      </c>
      <c r="P2981" s="1" t="s">
        <v>6264</v>
      </c>
      <c r="Q2981" s="1" t="s">
        <v>6265</v>
      </c>
      <c r="R2981" s="1" t="s">
        <v>113</v>
      </c>
      <c r="S2981" s="1" t="s">
        <v>6266</v>
      </c>
      <c r="U2981" s="1" t="s">
        <v>35</v>
      </c>
      <c r="V2981" s="1" t="s">
        <v>6240</v>
      </c>
      <c r="W2981" s="1" t="str">
        <f>VLOOKUP(Table1[[#This Row],[Obergruppe ATC-Code]],Tabelle3!$A$2:$B$100,2)</f>
        <v>OPHTHALMIKA**</v>
      </c>
      <c r="X2981" s="1" t="str">
        <f xml:space="preserve"> LEFT(Table1[[#This Row],[Atc Code]],3)</f>
        <v>S01</v>
      </c>
    </row>
    <row r="2982" spans="1:24" ht="14.4">
      <c r="A2982" s="14">
        <v>564</v>
      </c>
      <c r="B2982" s="24">
        <v>3524548</v>
      </c>
      <c r="C2982" s="1">
        <v>3000274</v>
      </c>
      <c r="D2982" s="1" t="s">
        <v>25</v>
      </c>
      <c r="E2982" s="36">
        <v>45076</v>
      </c>
      <c r="F2982" s="36">
        <v>45133</v>
      </c>
      <c r="G2982" s="38">
        <f t="shared" si="46"/>
        <v>57</v>
      </c>
      <c r="H2982" s="5">
        <v>45078</v>
      </c>
      <c r="I2982" s="5">
        <v>45135</v>
      </c>
      <c r="J2982" s="1" t="s">
        <v>41</v>
      </c>
      <c r="K2982" s="1" t="s">
        <v>6263</v>
      </c>
      <c r="L2982" s="1" t="s">
        <v>6258</v>
      </c>
      <c r="M2982" s="1" t="s">
        <v>2534</v>
      </c>
      <c r="N2982" s="1" t="s">
        <v>38</v>
      </c>
      <c r="O2982" s="1" t="s">
        <v>615</v>
      </c>
      <c r="P2982" s="1">
        <v>349542470</v>
      </c>
      <c r="Q2982" s="1" t="s">
        <v>621</v>
      </c>
      <c r="R2982" s="1" t="s">
        <v>26</v>
      </c>
      <c r="S2982" s="1"/>
      <c r="U2982" s="1" t="s">
        <v>35</v>
      </c>
      <c r="V2982" s="1" t="s">
        <v>6235</v>
      </c>
      <c r="W2982" s="1" t="str">
        <f>VLOOKUP(Table1[[#This Row],[Obergruppe ATC-Code]],Tabelle3!$A$2:$B$100,2)</f>
        <v>OPHTHALMIKA**</v>
      </c>
      <c r="X2982" s="1" t="str">
        <f xml:space="preserve"> LEFT(Table1[[#This Row],[Atc Code]],3)</f>
        <v>S01</v>
      </c>
    </row>
    <row r="2983" spans="1:24" ht="14.4">
      <c r="A2983" s="14">
        <v>1195</v>
      </c>
      <c r="B2983" s="24">
        <v>10775794</v>
      </c>
      <c r="C2983" s="1">
        <v>2189383</v>
      </c>
      <c r="D2983" s="1" t="s">
        <v>102</v>
      </c>
      <c r="E2983" s="36">
        <v>45071</v>
      </c>
      <c r="F2983" s="36">
        <v>45291</v>
      </c>
      <c r="G2983" s="38">
        <f t="shared" si="46"/>
        <v>220</v>
      </c>
      <c r="H2983" s="5">
        <v>45078</v>
      </c>
      <c r="I2983" s="5">
        <v>45153</v>
      </c>
      <c r="J2983" s="1" t="s">
        <v>41</v>
      </c>
      <c r="K2983" s="1" t="s">
        <v>6257</v>
      </c>
      <c r="L2983" s="1" t="s">
        <v>6258</v>
      </c>
      <c r="M2983" s="1" t="s">
        <v>61</v>
      </c>
      <c r="N2983" s="1" t="s">
        <v>38</v>
      </c>
      <c r="O2983" s="1" t="s">
        <v>615</v>
      </c>
      <c r="P2983" s="1">
        <v>349542470</v>
      </c>
      <c r="Q2983" s="1" t="s">
        <v>621</v>
      </c>
      <c r="R2983" s="1" t="s">
        <v>128</v>
      </c>
      <c r="S2983" s="1"/>
      <c r="U2983" s="1" t="s">
        <v>35</v>
      </c>
      <c r="V2983" s="1" t="s">
        <v>6240</v>
      </c>
      <c r="W2983" s="1" t="str">
        <f>VLOOKUP(Table1[[#This Row],[Obergruppe ATC-Code]],Tabelle3!$A$2:$B$100,2)</f>
        <v>OPHTHALMIKA**</v>
      </c>
      <c r="X2983" s="1" t="str">
        <f xml:space="preserve"> LEFT(Table1[[#This Row],[Atc Code]],3)</f>
        <v>S01</v>
      </c>
    </row>
    <row r="2984" spans="1:24" ht="14.4">
      <c r="A2984" s="14">
        <v>563</v>
      </c>
      <c r="B2984" s="24">
        <v>3524548</v>
      </c>
      <c r="C2984" s="1">
        <v>3000274</v>
      </c>
      <c r="D2984" s="1" t="s">
        <v>102</v>
      </c>
      <c r="E2984" s="36">
        <v>45173</v>
      </c>
      <c r="F2984" s="36">
        <v>45291</v>
      </c>
      <c r="G2984" s="38">
        <f t="shared" si="46"/>
        <v>118</v>
      </c>
      <c r="H2984" s="5">
        <v>45174</v>
      </c>
      <c r="I2984" s="5">
        <v>45176</v>
      </c>
      <c r="J2984" s="1" t="s">
        <v>41</v>
      </c>
      <c r="K2984" s="1" t="s">
        <v>6263</v>
      </c>
      <c r="L2984" s="1" t="s">
        <v>6258</v>
      </c>
      <c r="M2984" s="1" t="s">
        <v>2534</v>
      </c>
      <c r="N2984" s="1" t="s">
        <v>38</v>
      </c>
      <c r="O2984" s="1" t="s">
        <v>615</v>
      </c>
      <c r="P2984" s="1">
        <v>349542470</v>
      </c>
      <c r="Q2984" s="1" t="s">
        <v>2503</v>
      </c>
      <c r="R2984" s="1" t="s">
        <v>26</v>
      </c>
      <c r="S2984" s="1"/>
      <c r="U2984" s="1" t="s">
        <v>35</v>
      </c>
      <c r="V2984" s="1" t="s">
        <v>6235</v>
      </c>
      <c r="W2984" s="1" t="str">
        <f>VLOOKUP(Table1[[#This Row],[Obergruppe ATC-Code]],Tabelle3!$A$2:$B$100,2)</f>
        <v>OPHTHALMIKA**</v>
      </c>
      <c r="X2984" s="1" t="str">
        <f xml:space="preserve"> LEFT(Table1[[#This Row],[Atc Code]],3)</f>
        <v>S01</v>
      </c>
    </row>
    <row r="2985" spans="1:24" ht="14.4">
      <c r="A2985" s="14">
        <v>562</v>
      </c>
      <c r="B2985" s="24">
        <v>3524525</v>
      </c>
      <c r="C2985" s="1">
        <v>3000312</v>
      </c>
      <c r="D2985" s="1" t="s">
        <v>25</v>
      </c>
      <c r="E2985" s="36">
        <v>44662</v>
      </c>
      <c r="F2985" s="36">
        <v>44698</v>
      </c>
      <c r="G2985" s="38">
        <f t="shared" si="46"/>
        <v>36</v>
      </c>
      <c r="H2985" s="5">
        <v>44663</v>
      </c>
      <c r="I2985" s="5">
        <v>44698</v>
      </c>
      <c r="J2985" s="1" t="s">
        <v>26</v>
      </c>
      <c r="K2985" s="1" t="s">
        <v>6267</v>
      </c>
      <c r="L2985" s="1" t="s">
        <v>6268</v>
      </c>
      <c r="M2985" s="1" t="s">
        <v>6269</v>
      </c>
      <c r="N2985" s="1" t="s">
        <v>38</v>
      </c>
      <c r="O2985" s="1" t="s">
        <v>615</v>
      </c>
      <c r="P2985" s="1">
        <v>349542470</v>
      </c>
      <c r="Q2985" s="1" t="s">
        <v>619</v>
      </c>
      <c r="R2985" s="1" t="s">
        <v>33</v>
      </c>
      <c r="S2985" s="1" t="s">
        <v>887</v>
      </c>
      <c r="U2985" s="1" t="s">
        <v>35</v>
      </c>
      <c r="V2985" s="1" t="s">
        <v>6235</v>
      </c>
      <c r="W2985" s="1" t="str">
        <f>VLOOKUP(Table1[[#This Row],[Obergruppe ATC-Code]],Tabelle3!$A$2:$B$100,2)</f>
        <v>OPHTHALMIKA**</v>
      </c>
      <c r="X2985" s="1" t="str">
        <f xml:space="preserve"> LEFT(Table1[[#This Row],[Atc Code]],3)</f>
        <v>S01</v>
      </c>
    </row>
    <row r="2986" spans="1:24" ht="14.4">
      <c r="A2986" s="14">
        <v>561</v>
      </c>
      <c r="B2986" s="24">
        <v>3524525</v>
      </c>
      <c r="C2986" s="1">
        <v>3000312</v>
      </c>
      <c r="D2986" s="1" t="s">
        <v>25</v>
      </c>
      <c r="E2986" s="36">
        <v>44900</v>
      </c>
      <c r="F2986" s="36">
        <v>44939</v>
      </c>
      <c r="G2986" s="38">
        <f t="shared" si="46"/>
        <v>39</v>
      </c>
      <c r="H2986" s="5">
        <v>44909</v>
      </c>
      <c r="I2986" s="5">
        <v>44944</v>
      </c>
      <c r="J2986" s="1" t="s">
        <v>41</v>
      </c>
      <c r="K2986" s="1" t="s">
        <v>6267</v>
      </c>
      <c r="L2986" s="1" t="s">
        <v>6268</v>
      </c>
      <c r="M2986" s="1" t="s">
        <v>6269</v>
      </c>
      <c r="N2986" s="1" t="s">
        <v>38</v>
      </c>
      <c r="O2986" s="1" t="s">
        <v>615</v>
      </c>
      <c r="P2986" s="1">
        <v>49349542470</v>
      </c>
      <c r="Q2986" s="1" t="s">
        <v>619</v>
      </c>
      <c r="R2986" s="1" t="s">
        <v>26</v>
      </c>
      <c r="S2986" s="1"/>
      <c r="U2986" s="1" t="s">
        <v>35</v>
      </c>
      <c r="V2986" s="1" t="s">
        <v>6235</v>
      </c>
      <c r="W2986" s="1" t="str">
        <f>VLOOKUP(Table1[[#This Row],[Obergruppe ATC-Code]],Tabelle3!$A$2:$B$100,2)</f>
        <v>OPHTHALMIKA**</v>
      </c>
      <c r="X2986" s="1" t="str">
        <f xml:space="preserve"> LEFT(Table1[[#This Row],[Atc Code]],3)</f>
        <v>S01</v>
      </c>
    </row>
    <row r="2987" spans="1:24" ht="14.4">
      <c r="A2987" s="14">
        <v>560</v>
      </c>
      <c r="B2987" s="24">
        <v>3524525</v>
      </c>
      <c r="C2987" s="1">
        <v>3000312</v>
      </c>
      <c r="D2987" s="1" t="s">
        <v>175</v>
      </c>
      <c r="E2987" s="36">
        <v>45196</v>
      </c>
      <c r="F2987" s="36">
        <v>45291</v>
      </c>
      <c r="G2987" s="38">
        <f t="shared" si="46"/>
        <v>95</v>
      </c>
      <c r="H2987" s="5">
        <v>45208</v>
      </c>
      <c r="I2987" s="5">
        <v>45208</v>
      </c>
      <c r="J2987" s="1" t="s">
        <v>41</v>
      </c>
      <c r="K2987" s="1" t="s">
        <v>6267</v>
      </c>
      <c r="L2987" s="1" t="s">
        <v>6268</v>
      </c>
      <c r="M2987" s="1" t="s">
        <v>6269</v>
      </c>
      <c r="N2987" s="1" t="s">
        <v>38</v>
      </c>
      <c r="O2987" s="1" t="s">
        <v>615</v>
      </c>
      <c r="P2987" s="1" t="s">
        <v>623</v>
      </c>
      <c r="Q2987" s="1" t="s">
        <v>621</v>
      </c>
      <c r="R2987" s="1" t="s">
        <v>26</v>
      </c>
      <c r="S2987" s="1"/>
      <c r="U2987" s="1" t="s">
        <v>35</v>
      </c>
      <c r="V2987" s="1" t="s">
        <v>6235</v>
      </c>
      <c r="W2987" s="1" t="str">
        <f>VLOOKUP(Table1[[#This Row],[Obergruppe ATC-Code]],Tabelle3!$A$2:$B$100,2)</f>
        <v>OPHTHALMIKA**</v>
      </c>
      <c r="X2987" s="1" t="str">
        <f xml:space="preserve"> LEFT(Table1[[#This Row],[Atc Code]],3)</f>
        <v>S01</v>
      </c>
    </row>
    <row r="2988" spans="1:24" ht="14.4">
      <c r="A2988" s="14">
        <v>1673</v>
      </c>
      <c r="B2988" s="24" t="s">
        <v>6270</v>
      </c>
      <c r="C2988" s="1">
        <v>2186854</v>
      </c>
      <c r="D2988" s="1" t="s">
        <v>25</v>
      </c>
      <c r="E2988" s="36">
        <v>45104</v>
      </c>
      <c r="F2988" s="36">
        <v>45195</v>
      </c>
      <c r="G2988" s="38">
        <f t="shared" si="46"/>
        <v>91</v>
      </c>
      <c r="H2988" s="5">
        <v>45111</v>
      </c>
      <c r="I2988" s="5">
        <v>45198</v>
      </c>
      <c r="J2988" s="1" t="s">
        <v>26</v>
      </c>
      <c r="K2988" s="1" t="s">
        <v>6271</v>
      </c>
      <c r="L2988" s="1" t="s">
        <v>6272</v>
      </c>
      <c r="M2988" s="1" t="s">
        <v>6273</v>
      </c>
      <c r="N2988" s="1" t="s">
        <v>38</v>
      </c>
      <c r="O2988" s="1" t="s">
        <v>615</v>
      </c>
      <c r="P2988" s="1">
        <v>49349542470</v>
      </c>
      <c r="Q2988" s="1" t="s">
        <v>619</v>
      </c>
      <c r="R2988" s="1" t="s">
        <v>33</v>
      </c>
      <c r="S2988" s="1"/>
      <c r="U2988" s="1" t="s">
        <v>35</v>
      </c>
      <c r="V2988" s="1" t="s">
        <v>6240</v>
      </c>
      <c r="W2988" s="1" t="str">
        <f>VLOOKUP(Table1[[#This Row],[Obergruppe ATC-Code]],Tabelle3!$A$2:$B$100,2)</f>
        <v>OPHTHALMIKA**</v>
      </c>
      <c r="X2988" s="1" t="str">
        <f xml:space="preserve"> LEFT(Table1[[#This Row],[Atc Code]],3)</f>
        <v>S01</v>
      </c>
    </row>
    <row r="2989" spans="1:24" ht="14.4">
      <c r="A2989" s="14">
        <v>175</v>
      </c>
      <c r="B2989" s="24">
        <v>1084648</v>
      </c>
      <c r="C2989" s="1">
        <v>309602</v>
      </c>
      <c r="D2989" s="1" t="s">
        <v>25</v>
      </c>
      <c r="E2989" s="36">
        <v>44197</v>
      </c>
      <c r="F2989" s="36">
        <v>44255</v>
      </c>
      <c r="G2989" s="38">
        <f t="shared" si="46"/>
        <v>58</v>
      </c>
      <c r="H2989" s="5">
        <v>44224</v>
      </c>
      <c r="I2989" s="5">
        <v>44258</v>
      </c>
      <c r="J2989" s="1" t="s">
        <v>41</v>
      </c>
      <c r="K2989" s="1" t="s">
        <v>6274</v>
      </c>
      <c r="L2989" s="1" t="s">
        <v>6275</v>
      </c>
      <c r="M2989" s="1" t="s">
        <v>6276</v>
      </c>
      <c r="N2989" s="1" t="s">
        <v>30</v>
      </c>
      <c r="O2989" s="1" t="s">
        <v>6277</v>
      </c>
      <c r="P2989" s="1" t="s">
        <v>6278</v>
      </c>
      <c r="Q2989" s="1" t="s">
        <v>6279</v>
      </c>
      <c r="R2989" s="1" t="s">
        <v>65</v>
      </c>
      <c r="S2989" s="1"/>
      <c r="U2989" s="1" t="s">
        <v>35</v>
      </c>
      <c r="V2989" s="1" t="s">
        <v>6280</v>
      </c>
      <c r="W2989" s="1" t="str">
        <f>VLOOKUP(Table1[[#This Row],[Obergruppe ATC-Code]],Tabelle3!$A$2:$B$100,2)</f>
        <v>OPHTHALMIKA**</v>
      </c>
      <c r="X2989" s="1" t="str">
        <f xml:space="preserve"> LEFT(Table1[[#This Row],[Atc Code]],3)</f>
        <v>S01</v>
      </c>
    </row>
    <row r="2990" spans="1:24" ht="14.4">
      <c r="A2990" s="14">
        <v>177</v>
      </c>
      <c r="B2990" s="24">
        <v>1084648</v>
      </c>
      <c r="C2990" s="1">
        <v>309602</v>
      </c>
      <c r="D2990" s="1" t="s">
        <v>25</v>
      </c>
      <c r="E2990" s="36">
        <v>44620</v>
      </c>
      <c r="F2990" s="36">
        <v>44819</v>
      </c>
      <c r="G2990" s="38">
        <f t="shared" si="46"/>
        <v>199</v>
      </c>
      <c r="H2990" s="5">
        <v>44658</v>
      </c>
      <c r="I2990" s="5">
        <v>44819</v>
      </c>
      <c r="J2990" s="1" t="s">
        <v>41</v>
      </c>
      <c r="K2990" s="1" t="s">
        <v>6274</v>
      </c>
      <c r="L2990" s="1" t="s">
        <v>6275</v>
      </c>
      <c r="M2990" s="1" t="s">
        <v>6276</v>
      </c>
      <c r="N2990" s="1" t="s">
        <v>30</v>
      </c>
      <c r="O2990" s="1" t="s">
        <v>6277</v>
      </c>
      <c r="P2990" s="1">
        <v>800090949094</v>
      </c>
      <c r="Q2990" s="1" t="s">
        <v>6281</v>
      </c>
      <c r="R2990" s="1" t="s">
        <v>128</v>
      </c>
      <c r="S2990" s="1"/>
      <c r="U2990" s="1" t="s">
        <v>130</v>
      </c>
      <c r="V2990" s="1" t="s">
        <v>6280</v>
      </c>
      <c r="W2990" s="1" t="str">
        <f>VLOOKUP(Table1[[#This Row],[Obergruppe ATC-Code]],Tabelle3!$A$2:$B$100,2)</f>
        <v>OPHTHALMIKA**</v>
      </c>
      <c r="X2990" s="1" t="str">
        <f xml:space="preserve"> LEFT(Table1[[#This Row],[Atc Code]],3)</f>
        <v>S01</v>
      </c>
    </row>
    <row r="2991" spans="1:24" ht="14.4">
      <c r="A2991" s="14">
        <v>176</v>
      </c>
      <c r="B2991" s="24">
        <v>1084648</v>
      </c>
      <c r="C2991" s="1">
        <v>309602</v>
      </c>
      <c r="D2991" s="1" t="s">
        <v>102</v>
      </c>
      <c r="E2991" s="36">
        <v>45055</v>
      </c>
      <c r="F2991" s="36">
        <v>45322</v>
      </c>
      <c r="G2991" s="38">
        <f t="shared" si="46"/>
        <v>267</v>
      </c>
      <c r="H2991" s="5">
        <v>45055</v>
      </c>
      <c r="I2991" s="5">
        <v>45204</v>
      </c>
      <c r="J2991" s="1" t="s">
        <v>41</v>
      </c>
      <c r="K2991" s="1" t="s">
        <v>6274</v>
      </c>
      <c r="L2991" s="1" t="s">
        <v>6275</v>
      </c>
      <c r="M2991" s="1" t="s">
        <v>6276</v>
      </c>
      <c r="N2991" s="1" t="s">
        <v>30</v>
      </c>
      <c r="O2991" s="1" t="s">
        <v>6277</v>
      </c>
      <c r="Q2991" s="1" t="s">
        <v>6282</v>
      </c>
      <c r="R2991" s="1" t="s">
        <v>26</v>
      </c>
      <c r="S2991" s="1"/>
      <c r="U2991" s="1" t="s">
        <v>130</v>
      </c>
      <c r="V2991" s="1" t="s">
        <v>6280</v>
      </c>
      <c r="W2991" s="1" t="str">
        <f>VLOOKUP(Table1[[#This Row],[Obergruppe ATC-Code]],Tabelle3!$A$2:$B$100,2)</f>
        <v>OPHTHALMIKA**</v>
      </c>
      <c r="X2991" s="1" t="str">
        <f xml:space="preserve"> LEFT(Table1[[#This Row],[Atc Code]],3)</f>
        <v>S01</v>
      </c>
    </row>
    <row r="2992" spans="1:24" ht="14.4">
      <c r="A2992" s="14">
        <v>1824</v>
      </c>
      <c r="B2992" s="24" t="s">
        <v>6283</v>
      </c>
      <c r="C2992" s="1">
        <v>2163083</v>
      </c>
      <c r="D2992" s="1" t="s">
        <v>25</v>
      </c>
      <c r="E2992" s="36">
        <v>43009</v>
      </c>
      <c r="F2992" s="36">
        <v>43496</v>
      </c>
      <c r="G2992" s="38">
        <f t="shared" si="46"/>
        <v>487</v>
      </c>
      <c r="H2992" s="5">
        <v>42975</v>
      </c>
      <c r="I2992" s="5">
        <v>43489</v>
      </c>
      <c r="J2992" s="1" t="s">
        <v>41</v>
      </c>
      <c r="K2992" s="1" t="s">
        <v>6284</v>
      </c>
      <c r="L2992" s="1" t="s">
        <v>6285</v>
      </c>
      <c r="M2992" s="1" t="s">
        <v>6286</v>
      </c>
      <c r="N2992" s="1" t="s">
        <v>30</v>
      </c>
      <c r="O2992" s="1" t="s">
        <v>6287</v>
      </c>
      <c r="P2992" s="1" t="s">
        <v>6288</v>
      </c>
      <c r="Q2992" s="1" t="s">
        <v>6289</v>
      </c>
      <c r="R2992" s="1" t="s">
        <v>26</v>
      </c>
      <c r="S2992" s="1"/>
      <c r="T2992" s="1" t="s">
        <v>6290</v>
      </c>
      <c r="U2992" s="1" t="s">
        <v>35</v>
      </c>
      <c r="V2992" s="1" t="s">
        <v>6240</v>
      </c>
      <c r="W2992" s="1" t="str">
        <f>VLOOKUP(Table1[[#This Row],[Obergruppe ATC-Code]],Tabelle3!$A$2:$B$100,2)</f>
        <v>OPHTHALMIKA**</v>
      </c>
      <c r="X2992" s="1" t="str">
        <f xml:space="preserve"> LEFT(Table1[[#This Row],[Atc Code]],3)</f>
        <v>S01</v>
      </c>
    </row>
    <row r="2993" spans="1:24" ht="14.4">
      <c r="A2993" s="14">
        <v>509</v>
      </c>
      <c r="B2993" s="24">
        <v>3204424</v>
      </c>
      <c r="C2993" s="1">
        <v>2105437</v>
      </c>
      <c r="D2993" s="1" t="s">
        <v>102</v>
      </c>
      <c r="E2993" s="36">
        <v>44915</v>
      </c>
      <c r="F2993" s="36">
        <v>45016</v>
      </c>
      <c r="G2993" s="38">
        <f t="shared" si="46"/>
        <v>101</v>
      </c>
      <c r="H2993" s="5">
        <v>44915</v>
      </c>
      <c r="I2993" s="5">
        <v>45012</v>
      </c>
      <c r="J2993" s="1" t="s">
        <v>41</v>
      </c>
      <c r="K2993" s="1" t="s">
        <v>6291</v>
      </c>
      <c r="L2993" s="1" t="s">
        <v>6292</v>
      </c>
      <c r="M2993" s="1" t="s">
        <v>6293</v>
      </c>
      <c r="N2993" s="1" t="s">
        <v>38</v>
      </c>
      <c r="O2993" s="1" t="s">
        <v>680</v>
      </c>
      <c r="P2993" s="1">
        <v>1737179964</v>
      </c>
      <c r="Q2993" s="1" t="s">
        <v>6294</v>
      </c>
      <c r="R2993" s="1" t="s">
        <v>128</v>
      </c>
      <c r="S2993" s="1" t="s">
        <v>6295</v>
      </c>
      <c r="U2993" s="1" t="s">
        <v>130</v>
      </c>
      <c r="V2993" s="1" t="s">
        <v>6240</v>
      </c>
      <c r="W2993" s="1" t="str">
        <f>VLOOKUP(Table1[[#This Row],[Obergruppe ATC-Code]],Tabelle3!$A$2:$B$100,2)</f>
        <v>OPHTHALMIKA**</v>
      </c>
      <c r="X2993" s="1" t="str">
        <f xml:space="preserve"> LEFT(Table1[[#This Row],[Atc Code]],3)</f>
        <v>S01</v>
      </c>
    </row>
    <row r="2994" spans="1:24" ht="14.4">
      <c r="A2994" s="14">
        <v>2831</v>
      </c>
      <c r="B2994" s="24" t="s">
        <v>6296</v>
      </c>
      <c r="C2994" s="1">
        <v>2189952</v>
      </c>
      <c r="D2994" s="1" t="s">
        <v>25</v>
      </c>
      <c r="E2994" s="36">
        <v>43497</v>
      </c>
      <c r="F2994" s="36">
        <v>43585</v>
      </c>
      <c r="G2994" s="38">
        <f t="shared" si="46"/>
        <v>88</v>
      </c>
      <c r="H2994" s="5">
        <v>43493</v>
      </c>
      <c r="I2994" s="5">
        <v>43578</v>
      </c>
      <c r="J2994" s="1" t="s">
        <v>41</v>
      </c>
      <c r="K2994" s="1" t="s">
        <v>6297</v>
      </c>
      <c r="L2994" s="1" t="s">
        <v>6298</v>
      </c>
      <c r="M2994" s="1" t="s">
        <v>6299</v>
      </c>
      <c r="N2994" s="1" t="s">
        <v>30</v>
      </c>
      <c r="O2994" s="1" t="s">
        <v>6287</v>
      </c>
      <c r="P2994" s="1" t="s">
        <v>6288</v>
      </c>
      <c r="Q2994" s="1" t="s">
        <v>6289</v>
      </c>
      <c r="R2994" s="1" t="s">
        <v>48</v>
      </c>
      <c r="S2994" s="1"/>
      <c r="U2994" s="1" t="s">
        <v>35</v>
      </c>
      <c r="V2994" s="1" t="s">
        <v>6240</v>
      </c>
      <c r="W2994" s="1" t="str">
        <f>VLOOKUP(Table1[[#This Row],[Obergruppe ATC-Code]],Tabelle3!$A$2:$B$100,2)</f>
        <v>OPHTHALMIKA**</v>
      </c>
      <c r="X2994" s="1" t="str">
        <f xml:space="preserve"> LEFT(Table1[[#This Row],[Atc Code]],3)</f>
        <v>S01</v>
      </c>
    </row>
    <row r="2995" spans="1:24" ht="14.4">
      <c r="A2995" s="14">
        <v>12</v>
      </c>
      <c r="B2995" s="24">
        <v>75156</v>
      </c>
      <c r="C2995" s="1">
        <v>2163505</v>
      </c>
      <c r="D2995" s="1" t="s">
        <v>25</v>
      </c>
      <c r="E2995" s="36">
        <v>44648</v>
      </c>
      <c r="F2995" s="36">
        <v>44693</v>
      </c>
      <c r="G2995" s="38">
        <f t="shared" si="46"/>
        <v>45</v>
      </c>
      <c r="H2995" s="5">
        <v>44656</v>
      </c>
      <c r="I2995" s="5">
        <v>44694</v>
      </c>
      <c r="J2995" s="1" t="s">
        <v>26</v>
      </c>
      <c r="K2995" s="1" t="s">
        <v>6300</v>
      </c>
      <c r="L2995" s="1" t="s">
        <v>6298</v>
      </c>
      <c r="M2995" s="1" t="s">
        <v>6301</v>
      </c>
      <c r="N2995" s="1" t="s">
        <v>38</v>
      </c>
      <c r="O2995" s="1" t="s">
        <v>6246</v>
      </c>
      <c r="Q2995" s="1" t="s">
        <v>6261</v>
      </c>
      <c r="R2995" s="1" t="s">
        <v>113</v>
      </c>
      <c r="S2995" s="1" t="s">
        <v>6302</v>
      </c>
      <c r="T2995" s="1" t="s">
        <v>6303</v>
      </c>
      <c r="U2995" s="1" t="s">
        <v>35</v>
      </c>
      <c r="V2995" s="1" t="s">
        <v>6240</v>
      </c>
      <c r="W2995" s="1" t="str">
        <f>VLOOKUP(Table1[[#This Row],[Obergruppe ATC-Code]],Tabelle3!$A$2:$B$100,2)</f>
        <v>OPHTHALMIKA**</v>
      </c>
      <c r="X2995" s="1" t="str">
        <f xml:space="preserve"> LEFT(Table1[[#This Row],[Atc Code]],3)</f>
        <v>S01</v>
      </c>
    </row>
    <row r="2996" spans="1:24" ht="14.4">
      <c r="A2996" s="14">
        <v>2488</v>
      </c>
      <c r="B2996" s="24" t="s">
        <v>6304</v>
      </c>
      <c r="C2996" s="1">
        <v>2180004</v>
      </c>
      <c r="D2996" s="1" t="s">
        <v>25</v>
      </c>
      <c r="E2996" s="36">
        <v>44256</v>
      </c>
      <c r="F2996" s="36">
        <v>44403</v>
      </c>
      <c r="G2996" s="38">
        <f t="shared" si="46"/>
        <v>147</v>
      </c>
      <c r="H2996" s="5">
        <v>44293</v>
      </c>
      <c r="I2996" s="5">
        <v>44400</v>
      </c>
      <c r="J2996" s="1" t="s">
        <v>41</v>
      </c>
      <c r="K2996" s="1" t="s">
        <v>6305</v>
      </c>
      <c r="L2996" s="1" t="s">
        <v>6306</v>
      </c>
      <c r="M2996" s="1" t="s">
        <v>6307</v>
      </c>
      <c r="N2996" s="1" t="s">
        <v>30</v>
      </c>
      <c r="O2996" s="1" t="s">
        <v>615</v>
      </c>
      <c r="P2996" s="1" t="s">
        <v>1326</v>
      </c>
      <c r="Q2996" s="1" t="s">
        <v>621</v>
      </c>
      <c r="R2996" s="1" t="s">
        <v>26</v>
      </c>
      <c r="S2996" s="1"/>
      <c r="T2996" s="1" t="s">
        <v>6308</v>
      </c>
      <c r="U2996" s="1" t="s">
        <v>35</v>
      </c>
      <c r="V2996" s="1" t="s">
        <v>6240</v>
      </c>
      <c r="W2996" s="1" t="str">
        <f>VLOOKUP(Table1[[#This Row],[Obergruppe ATC-Code]],Tabelle3!$A$2:$B$100,2)</f>
        <v>OPHTHALMIKA**</v>
      </c>
      <c r="X2996" s="1" t="str">
        <f xml:space="preserve"> LEFT(Table1[[#This Row],[Atc Code]],3)</f>
        <v>S01</v>
      </c>
    </row>
    <row r="2997" spans="1:24" ht="14.4">
      <c r="A2997" s="14">
        <v>262</v>
      </c>
      <c r="B2997" s="24">
        <v>1491276</v>
      </c>
      <c r="C2997" s="1">
        <v>150231</v>
      </c>
      <c r="D2997" s="1" t="s">
        <v>25</v>
      </c>
      <c r="E2997" s="36">
        <v>44044</v>
      </c>
      <c r="F2997" s="36">
        <v>44227</v>
      </c>
      <c r="G2997" s="38">
        <f t="shared" si="46"/>
        <v>183</v>
      </c>
      <c r="H2997" s="5">
        <v>44097</v>
      </c>
      <c r="I2997" s="5">
        <v>44218</v>
      </c>
      <c r="J2997" s="1" t="s">
        <v>41</v>
      </c>
      <c r="K2997" s="1" t="s">
        <v>6309</v>
      </c>
      <c r="L2997" s="1" t="s">
        <v>6310</v>
      </c>
      <c r="M2997" s="1" t="s">
        <v>6311</v>
      </c>
      <c r="N2997" s="1" t="s">
        <v>38</v>
      </c>
      <c r="O2997" s="1" t="s">
        <v>6312</v>
      </c>
      <c r="P2997" s="1" t="s">
        <v>6313</v>
      </c>
      <c r="Q2997" s="1" t="s">
        <v>6314</v>
      </c>
      <c r="R2997" s="1" t="s">
        <v>26</v>
      </c>
      <c r="S2997" s="1"/>
      <c r="U2997" s="1" t="s">
        <v>35</v>
      </c>
      <c r="V2997" s="1" t="s">
        <v>6240</v>
      </c>
      <c r="W2997" s="1" t="str">
        <f>VLOOKUP(Table1[[#This Row],[Obergruppe ATC-Code]],Tabelle3!$A$2:$B$100,2)</f>
        <v>OPHTHALMIKA**</v>
      </c>
      <c r="X2997" s="1" t="str">
        <f xml:space="preserve"> LEFT(Table1[[#This Row],[Atc Code]],3)</f>
        <v>S01</v>
      </c>
    </row>
    <row r="2998" spans="1:24" ht="14.4">
      <c r="A2998" s="14">
        <v>935</v>
      </c>
      <c r="B2998" s="24">
        <v>7617732</v>
      </c>
      <c r="C2998" s="1">
        <v>253221</v>
      </c>
      <c r="D2998" s="1" t="s">
        <v>25</v>
      </c>
      <c r="E2998" s="36">
        <v>44665</v>
      </c>
      <c r="F2998" s="36">
        <v>44732</v>
      </c>
      <c r="G2998" s="38">
        <f t="shared" si="46"/>
        <v>67</v>
      </c>
      <c r="H2998" s="5">
        <v>44665</v>
      </c>
      <c r="I2998" s="5">
        <v>44734</v>
      </c>
      <c r="J2998" s="1" t="s">
        <v>41</v>
      </c>
      <c r="K2998" s="1" t="s">
        <v>6315</v>
      </c>
      <c r="L2998" s="1" t="s">
        <v>6310</v>
      </c>
      <c r="M2998" s="1" t="s">
        <v>6311</v>
      </c>
      <c r="N2998" s="1" t="s">
        <v>30</v>
      </c>
      <c r="O2998" s="1" t="s">
        <v>6277</v>
      </c>
      <c r="P2998" s="1" t="s">
        <v>6316</v>
      </c>
      <c r="Q2998" s="1" t="s">
        <v>6317</v>
      </c>
      <c r="R2998" s="1" t="s">
        <v>26</v>
      </c>
      <c r="S2998" s="1"/>
      <c r="U2998" s="1" t="s">
        <v>130</v>
      </c>
      <c r="V2998" s="1" t="s">
        <v>6240</v>
      </c>
      <c r="W2998" s="1" t="str">
        <f>VLOOKUP(Table1[[#This Row],[Obergruppe ATC-Code]],Tabelle3!$A$2:$B$100,2)</f>
        <v>OPHTHALMIKA**</v>
      </c>
      <c r="X2998" s="1" t="str">
        <f xml:space="preserve"> LEFT(Table1[[#This Row],[Atc Code]],3)</f>
        <v>S01</v>
      </c>
    </row>
    <row r="2999" spans="1:24" ht="14.4">
      <c r="A2999" s="14">
        <v>934</v>
      </c>
      <c r="B2999" s="24">
        <v>7617732</v>
      </c>
      <c r="C2999" s="1">
        <v>253221</v>
      </c>
      <c r="D2999" s="1" t="s">
        <v>102</v>
      </c>
      <c r="E2999" s="36">
        <v>45055</v>
      </c>
      <c r="F2999" s="36">
        <v>45382</v>
      </c>
      <c r="G2999" s="38">
        <f t="shared" si="46"/>
        <v>327</v>
      </c>
      <c r="H2999" s="5">
        <v>45055</v>
      </c>
      <c r="I2999" s="5">
        <v>45105</v>
      </c>
      <c r="J2999" s="1" t="s">
        <v>41</v>
      </c>
      <c r="K2999" s="1" t="s">
        <v>6315</v>
      </c>
      <c r="L2999" s="1" t="s">
        <v>6310</v>
      </c>
      <c r="M2999" s="1" t="s">
        <v>6311</v>
      </c>
      <c r="N2999" s="1" t="s">
        <v>30</v>
      </c>
      <c r="O2999" s="1" t="s">
        <v>6277</v>
      </c>
      <c r="Q2999" s="1" t="s">
        <v>6282</v>
      </c>
      <c r="R2999" s="1" t="s">
        <v>26</v>
      </c>
      <c r="S2999" s="1"/>
      <c r="U2999" s="1" t="s">
        <v>130</v>
      </c>
      <c r="V2999" s="1" t="s">
        <v>6240</v>
      </c>
      <c r="W2999" s="1" t="str">
        <f>VLOOKUP(Table1[[#This Row],[Obergruppe ATC-Code]],Tabelle3!$A$2:$B$100,2)</f>
        <v>OPHTHALMIKA**</v>
      </c>
      <c r="X2999" s="1" t="str">
        <f xml:space="preserve"> LEFT(Table1[[#This Row],[Atc Code]],3)</f>
        <v>S01</v>
      </c>
    </row>
    <row r="3000" spans="1:24" ht="14.4">
      <c r="A3000" s="14">
        <v>264</v>
      </c>
      <c r="B3000" s="24">
        <v>1491276</v>
      </c>
      <c r="C3000" s="1">
        <v>150231</v>
      </c>
      <c r="D3000" s="1" t="s">
        <v>25</v>
      </c>
      <c r="E3000" s="36">
        <v>44985</v>
      </c>
      <c r="F3000" s="36">
        <v>45194</v>
      </c>
      <c r="G3000" s="38">
        <f t="shared" si="46"/>
        <v>209</v>
      </c>
      <c r="H3000" s="5">
        <v>44995</v>
      </c>
      <c r="I3000" s="5">
        <v>45194</v>
      </c>
      <c r="J3000" s="1" t="s">
        <v>41</v>
      </c>
      <c r="K3000" s="1" t="s">
        <v>6309</v>
      </c>
      <c r="L3000" s="1" t="s">
        <v>6310</v>
      </c>
      <c r="M3000" s="1" t="s">
        <v>6311</v>
      </c>
      <c r="N3000" s="1" t="s">
        <v>38</v>
      </c>
      <c r="O3000" s="1" t="s">
        <v>6312</v>
      </c>
      <c r="Q3000" s="1" t="s">
        <v>6314</v>
      </c>
      <c r="R3000" s="1" t="s">
        <v>128</v>
      </c>
      <c r="S3000" s="1"/>
      <c r="U3000" s="1" t="s">
        <v>130</v>
      </c>
      <c r="V3000" s="1" t="s">
        <v>6240</v>
      </c>
      <c r="W3000" s="1" t="str">
        <f>VLOOKUP(Table1[[#This Row],[Obergruppe ATC-Code]],Tabelle3!$A$2:$B$100,2)</f>
        <v>OPHTHALMIKA**</v>
      </c>
      <c r="X3000" s="1" t="str">
        <f xml:space="preserve"> LEFT(Table1[[#This Row],[Atc Code]],3)</f>
        <v>S01</v>
      </c>
    </row>
    <row r="3001" spans="1:24" ht="14.4">
      <c r="A3001" s="14">
        <v>263</v>
      </c>
      <c r="B3001" s="24">
        <v>1491276</v>
      </c>
      <c r="C3001" s="1">
        <v>150231</v>
      </c>
      <c r="D3001" s="1" t="s">
        <v>175</v>
      </c>
      <c r="E3001" s="36">
        <v>45216</v>
      </c>
      <c r="F3001" s="36">
        <v>45460</v>
      </c>
      <c r="G3001" s="38">
        <f t="shared" si="46"/>
        <v>244</v>
      </c>
      <c r="H3001" s="5">
        <v>45216</v>
      </c>
      <c r="I3001" s="5">
        <v>45216</v>
      </c>
      <c r="J3001" s="1" t="s">
        <v>41</v>
      </c>
      <c r="K3001" s="1" t="s">
        <v>6309</v>
      </c>
      <c r="L3001" s="1" t="s">
        <v>6310</v>
      </c>
      <c r="M3001" s="1" t="s">
        <v>6311</v>
      </c>
      <c r="N3001" s="1" t="s">
        <v>38</v>
      </c>
      <c r="O3001" s="1" t="s">
        <v>6312</v>
      </c>
      <c r="P3001" s="1">
        <v>497611304481</v>
      </c>
      <c r="Q3001" s="1" t="s">
        <v>6314</v>
      </c>
      <c r="R3001" s="1" t="s">
        <v>128</v>
      </c>
      <c r="S3001" s="1"/>
      <c r="U3001" s="1" t="s">
        <v>130</v>
      </c>
      <c r="V3001" s="1" t="s">
        <v>6240</v>
      </c>
      <c r="W3001" s="1" t="str">
        <f>VLOOKUP(Table1[[#This Row],[Obergruppe ATC-Code]],Tabelle3!$A$2:$B$100,2)</f>
        <v>OPHTHALMIKA**</v>
      </c>
      <c r="X3001" s="1" t="str">
        <f xml:space="preserve"> LEFT(Table1[[#This Row],[Atc Code]],3)</f>
        <v>S01</v>
      </c>
    </row>
    <row r="3002" spans="1:24" ht="14.4">
      <c r="A3002" s="14">
        <v>2229</v>
      </c>
      <c r="B3002" s="24" t="s">
        <v>6318</v>
      </c>
      <c r="C3002" s="1">
        <v>1464144</v>
      </c>
      <c r="D3002" s="1" t="s">
        <v>102</v>
      </c>
      <c r="E3002" s="36">
        <v>45159</v>
      </c>
      <c r="F3002" s="36">
        <v>45229</v>
      </c>
      <c r="G3002" s="38">
        <f t="shared" si="46"/>
        <v>70</v>
      </c>
      <c r="H3002" s="5">
        <v>45170</v>
      </c>
      <c r="I3002" s="5">
        <v>45203</v>
      </c>
      <c r="J3002" s="1" t="s">
        <v>41</v>
      </c>
      <c r="K3002" s="1" t="s">
        <v>6319</v>
      </c>
      <c r="L3002" s="1" t="s">
        <v>6320</v>
      </c>
      <c r="M3002" s="1" t="s">
        <v>6321</v>
      </c>
      <c r="N3002" s="1" t="s">
        <v>30</v>
      </c>
      <c r="O3002" s="1" t="s">
        <v>6322</v>
      </c>
      <c r="Q3002" s="1" t="s">
        <v>6323</v>
      </c>
      <c r="R3002" s="1" t="s">
        <v>128</v>
      </c>
      <c r="S3002" s="1" t="s">
        <v>6324</v>
      </c>
      <c r="U3002" s="1" t="s">
        <v>35</v>
      </c>
      <c r="V3002" s="1" t="s">
        <v>6240</v>
      </c>
      <c r="W3002" s="1" t="str">
        <f>VLOOKUP(Table1[[#This Row],[Obergruppe ATC-Code]],Tabelle3!$A$2:$B$100,2)</f>
        <v>OPHTHALMIKA**</v>
      </c>
      <c r="X3002" s="1" t="str">
        <f xml:space="preserve"> LEFT(Table1[[#This Row],[Atc Code]],3)</f>
        <v>S01</v>
      </c>
    </row>
    <row r="3003" spans="1:24" ht="14.4">
      <c r="A3003" s="14">
        <v>1922</v>
      </c>
      <c r="B3003" s="24" t="s">
        <v>6325</v>
      </c>
      <c r="C3003" s="1">
        <v>37055</v>
      </c>
      <c r="D3003" s="1" t="s">
        <v>175</v>
      </c>
      <c r="E3003" s="36">
        <v>45159</v>
      </c>
      <c r="F3003" s="36">
        <v>45229</v>
      </c>
      <c r="G3003" s="38">
        <f t="shared" si="46"/>
        <v>70</v>
      </c>
      <c r="H3003" s="5">
        <v>45170</v>
      </c>
      <c r="I3003" s="5">
        <v>45170</v>
      </c>
      <c r="J3003" s="1" t="s">
        <v>41</v>
      </c>
      <c r="K3003" s="1" t="s">
        <v>6326</v>
      </c>
      <c r="L3003" s="1" t="s">
        <v>6327</v>
      </c>
      <c r="M3003" s="1" t="s">
        <v>6321</v>
      </c>
      <c r="N3003" s="1" t="s">
        <v>38</v>
      </c>
      <c r="O3003" s="1" t="s">
        <v>6322</v>
      </c>
      <c r="Q3003" s="1" t="s">
        <v>6323</v>
      </c>
      <c r="R3003" s="1" t="s">
        <v>128</v>
      </c>
      <c r="S3003" s="1" t="s">
        <v>6324</v>
      </c>
      <c r="U3003" s="1" t="s">
        <v>35</v>
      </c>
      <c r="V3003" s="1" t="s">
        <v>6240</v>
      </c>
      <c r="W3003" s="1" t="str">
        <f>VLOOKUP(Table1[[#This Row],[Obergruppe ATC-Code]],Tabelle3!$A$2:$B$100,2)</f>
        <v>OPHTHALMIKA**</v>
      </c>
      <c r="X3003" s="1" t="str">
        <f xml:space="preserve"> LEFT(Table1[[#This Row],[Atc Code]],3)</f>
        <v>S01</v>
      </c>
    </row>
    <row r="3004" spans="1:24" ht="14.4">
      <c r="A3004" s="14">
        <v>259</v>
      </c>
      <c r="B3004" s="24">
        <v>1467007</v>
      </c>
      <c r="C3004" s="1">
        <v>375757</v>
      </c>
      <c r="D3004" s="1" t="s">
        <v>25</v>
      </c>
      <c r="E3004" s="36">
        <v>43617</v>
      </c>
      <c r="F3004" s="36">
        <v>43830</v>
      </c>
      <c r="G3004" s="38">
        <f t="shared" si="46"/>
        <v>213</v>
      </c>
      <c r="H3004" s="5">
        <v>43655</v>
      </c>
      <c r="I3004" s="5">
        <v>43819</v>
      </c>
      <c r="J3004" s="1" t="s">
        <v>26</v>
      </c>
      <c r="K3004" s="1" t="s">
        <v>6328</v>
      </c>
      <c r="L3004" s="1" t="s">
        <v>6329</v>
      </c>
      <c r="M3004" s="1" t="s">
        <v>6330</v>
      </c>
      <c r="N3004" s="1" t="s">
        <v>30</v>
      </c>
      <c r="O3004" s="1" t="s">
        <v>6312</v>
      </c>
      <c r="P3004" s="1" t="s">
        <v>6313</v>
      </c>
      <c r="Q3004" s="1" t="s">
        <v>6331</v>
      </c>
      <c r="R3004" s="1" t="s">
        <v>33</v>
      </c>
      <c r="S3004" s="1"/>
      <c r="U3004" s="1" t="s">
        <v>35</v>
      </c>
      <c r="V3004" s="1" t="s">
        <v>74</v>
      </c>
      <c r="W3004" s="1" t="str">
        <f>VLOOKUP(Table1[[#This Row],[Obergruppe ATC-Code]],Tabelle3!$A$2:$B$100,2)</f>
        <v>OPHTHALMIKA**</v>
      </c>
      <c r="X3004" s="1" t="str">
        <f xml:space="preserve"> LEFT(Table1[[#This Row],[Atc Code]],3)</f>
        <v>S01</v>
      </c>
    </row>
    <row r="3005" spans="1:24" ht="14.4">
      <c r="A3005" s="14">
        <v>143</v>
      </c>
      <c r="B3005" s="24">
        <v>869382</v>
      </c>
      <c r="C3005" s="1">
        <v>2701101</v>
      </c>
      <c r="D3005" s="1" t="s">
        <v>102</v>
      </c>
      <c r="E3005" s="36">
        <v>44378</v>
      </c>
      <c r="F3005" s="36">
        <v>45291</v>
      </c>
      <c r="G3005" s="38">
        <f t="shared" si="46"/>
        <v>913</v>
      </c>
      <c r="H3005" s="5">
        <v>44252</v>
      </c>
      <c r="I3005" s="5">
        <v>45014</v>
      </c>
      <c r="J3005" s="1" t="s">
        <v>26</v>
      </c>
      <c r="K3005" s="1" t="s">
        <v>6332</v>
      </c>
      <c r="L3005" s="1" t="s">
        <v>6333</v>
      </c>
      <c r="M3005" s="1" t="s">
        <v>6334</v>
      </c>
      <c r="N3005" s="1" t="s">
        <v>30</v>
      </c>
      <c r="O3005" s="1" t="s">
        <v>1123</v>
      </c>
      <c r="Q3005" s="1" t="s">
        <v>6335</v>
      </c>
      <c r="R3005" s="1" t="s">
        <v>33</v>
      </c>
      <c r="S3005" s="1" t="s">
        <v>6336</v>
      </c>
      <c r="U3005" s="1" t="s">
        <v>35</v>
      </c>
      <c r="V3005" s="1" t="s">
        <v>1151</v>
      </c>
      <c r="W3005" s="1" t="str">
        <f>VLOOKUP(Table1[[#This Row],[Obergruppe ATC-Code]],Tabelle3!$A$2:$B$100,2)</f>
        <v>OPHTHALMIKA**</v>
      </c>
      <c r="X3005" s="1" t="str">
        <f xml:space="preserve"> LEFT(Table1[[#This Row],[Atc Code]],3)</f>
        <v>S01</v>
      </c>
    </row>
    <row r="3006" spans="1:24" ht="14.4">
      <c r="A3006" s="14">
        <v>1217</v>
      </c>
      <c r="B3006" s="24">
        <v>11130792</v>
      </c>
      <c r="C3006" s="1">
        <v>2713172</v>
      </c>
      <c r="D3006" s="1" t="s">
        <v>25</v>
      </c>
      <c r="E3006" s="36">
        <v>44988</v>
      </c>
      <c r="F3006" s="36">
        <v>45055</v>
      </c>
      <c r="G3006" s="38">
        <f t="shared" si="46"/>
        <v>67</v>
      </c>
      <c r="H3006" s="5">
        <v>44988</v>
      </c>
      <c r="I3006" s="5">
        <v>45055</v>
      </c>
      <c r="J3006" s="1" t="s">
        <v>26</v>
      </c>
      <c r="K3006" s="1" t="s">
        <v>6337</v>
      </c>
      <c r="L3006" s="1" t="s">
        <v>6338</v>
      </c>
      <c r="M3006" s="1" t="s">
        <v>4385</v>
      </c>
      <c r="N3006" s="1" t="s">
        <v>30</v>
      </c>
      <c r="O3006" s="1" t="s">
        <v>6287</v>
      </c>
      <c r="P3006" s="1" t="s">
        <v>6339</v>
      </c>
      <c r="R3006" s="1" t="s">
        <v>33</v>
      </c>
      <c r="S3006" s="1"/>
      <c r="U3006" s="1" t="s">
        <v>130</v>
      </c>
      <c r="V3006" s="1" t="s">
        <v>6240</v>
      </c>
      <c r="W3006" s="1" t="str">
        <f>VLOOKUP(Table1[[#This Row],[Obergruppe ATC-Code]],Tabelle3!$A$2:$B$100,2)</f>
        <v>OPHTHALMIKA**</v>
      </c>
      <c r="X3006" s="1" t="str">
        <f xml:space="preserve"> LEFT(Table1[[#This Row],[Atc Code]],3)</f>
        <v>S01</v>
      </c>
    </row>
    <row r="3007" spans="1:24" ht="14.4">
      <c r="A3007" s="14">
        <v>1216</v>
      </c>
      <c r="B3007" s="24">
        <v>11130763</v>
      </c>
      <c r="C3007" s="1">
        <v>2713171</v>
      </c>
      <c r="D3007" s="1" t="s">
        <v>25</v>
      </c>
      <c r="E3007" s="36">
        <v>45009</v>
      </c>
      <c r="F3007" s="36">
        <v>45055</v>
      </c>
      <c r="G3007" s="38">
        <f t="shared" si="46"/>
        <v>46</v>
      </c>
      <c r="H3007" s="5">
        <v>44988</v>
      </c>
      <c r="I3007" s="5">
        <v>45055</v>
      </c>
      <c r="J3007" s="1" t="s">
        <v>26</v>
      </c>
      <c r="K3007" s="1" t="s">
        <v>6340</v>
      </c>
      <c r="L3007" s="1" t="s">
        <v>6338</v>
      </c>
      <c r="M3007" s="1" t="s">
        <v>4385</v>
      </c>
      <c r="N3007" s="1" t="s">
        <v>30</v>
      </c>
      <c r="O3007" s="1" t="s">
        <v>6287</v>
      </c>
      <c r="P3007" s="1" t="s">
        <v>6339</v>
      </c>
      <c r="R3007" s="1" t="s">
        <v>33</v>
      </c>
      <c r="S3007" s="1"/>
      <c r="U3007" s="1" t="s">
        <v>130</v>
      </c>
      <c r="V3007" s="1" t="s">
        <v>6240</v>
      </c>
      <c r="W3007" s="1" t="str">
        <f>VLOOKUP(Table1[[#This Row],[Obergruppe ATC-Code]],Tabelle3!$A$2:$B$100,2)</f>
        <v>OPHTHALMIKA**</v>
      </c>
      <c r="X3007" s="1" t="str">
        <f xml:space="preserve"> LEFT(Table1[[#This Row],[Atc Code]],3)</f>
        <v>S01</v>
      </c>
    </row>
    <row r="3008" spans="1:24" ht="14.4">
      <c r="A3008" s="14">
        <v>1113</v>
      </c>
      <c r="B3008" s="24">
        <v>9404176</v>
      </c>
      <c r="C3008" s="1">
        <v>2156662</v>
      </c>
      <c r="D3008" s="1" t="s">
        <v>25</v>
      </c>
      <c r="E3008" s="36">
        <v>44971</v>
      </c>
      <c r="F3008" s="36">
        <v>45035</v>
      </c>
      <c r="G3008" s="38">
        <f t="shared" si="46"/>
        <v>64</v>
      </c>
      <c r="H3008" s="5">
        <v>44971</v>
      </c>
      <c r="I3008" s="5">
        <v>45035</v>
      </c>
      <c r="J3008" s="1" t="s">
        <v>41</v>
      </c>
      <c r="K3008" s="1" t="s">
        <v>6341</v>
      </c>
      <c r="L3008" s="1" t="s">
        <v>6342</v>
      </c>
      <c r="M3008" s="1" t="s">
        <v>6343</v>
      </c>
      <c r="N3008" s="1" t="s">
        <v>38</v>
      </c>
      <c r="O3008" s="1" t="s">
        <v>3940</v>
      </c>
      <c r="Q3008" s="1" t="s">
        <v>2102</v>
      </c>
      <c r="R3008" s="1" t="s">
        <v>128</v>
      </c>
      <c r="S3008" s="1" t="s">
        <v>6344</v>
      </c>
      <c r="U3008" s="1" t="s">
        <v>130</v>
      </c>
      <c r="V3008" s="1" t="s">
        <v>6345</v>
      </c>
      <c r="W3008" s="1" t="str">
        <f>VLOOKUP(Table1[[#This Row],[Obergruppe ATC-Code]],Tabelle3!$A$2:$B$100,2)</f>
        <v>OTOLOGIKA</v>
      </c>
      <c r="X3008" s="1" t="str">
        <f xml:space="preserve"> LEFT(Table1[[#This Row],[Atc Code]],3)</f>
        <v>S02</v>
      </c>
    </row>
    <row r="3009" spans="1:24" ht="14.4">
      <c r="A3009" s="14">
        <v>1112</v>
      </c>
      <c r="B3009" s="24">
        <v>9404176</v>
      </c>
      <c r="C3009" s="1">
        <v>2156662</v>
      </c>
      <c r="D3009" s="1" t="s">
        <v>25</v>
      </c>
      <c r="E3009" s="36">
        <v>45086</v>
      </c>
      <c r="F3009" s="36">
        <v>45126</v>
      </c>
      <c r="G3009" s="38">
        <f t="shared" si="46"/>
        <v>40</v>
      </c>
      <c r="H3009" s="5">
        <v>45086</v>
      </c>
      <c r="I3009" s="5">
        <v>45126</v>
      </c>
      <c r="J3009" s="1" t="s">
        <v>41</v>
      </c>
      <c r="K3009" s="1" t="s">
        <v>6341</v>
      </c>
      <c r="L3009" s="1" t="s">
        <v>6342</v>
      </c>
      <c r="M3009" s="1" t="s">
        <v>6343</v>
      </c>
      <c r="N3009" s="1" t="s">
        <v>38</v>
      </c>
      <c r="O3009" s="1" t="s">
        <v>3940</v>
      </c>
      <c r="P3009" s="1">
        <v>76145261237</v>
      </c>
      <c r="Q3009" s="1" t="s">
        <v>2102</v>
      </c>
      <c r="R3009" s="1" t="s">
        <v>128</v>
      </c>
      <c r="S3009" s="1"/>
      <c r="U3009" s="1" t="s">
        <v>35</v>
      </c>
      <c r="V3009" s="1" t="s">
        <v>6345</v>
      </c>
      <c r="W3009" s="1" t="str">
        <f>VLOOKUP(Table1[[#This Row],[Obergruppe ATC-Code]],Tabelle3!$A$2:$B$100,2)</f>
        <v>OTOLOGIKA</v>
      </c>
      <c r="X3009" s="1" t="str">
        <f xml:space="preserve"> LEFT(Table1[[#This Row],[Atc Code]],3)</f>
        <v>S02</v>
      </c>
    </row>
    <row r="3010" spans="1:24" ht="14.4">
      <c r="A3010" s="14">
        <v>839</v>
      </c>
      <c r="B3010" s="24">
        <v>7110938</v>
      </c>
      <c r="C3010" s="1">
        <v>2186844</v>
      </c>
      <c r="D3010" s="1" t="s">
        <v>25</v>
      </c>
      <c r="E3010" s="36">
        <v>44348</v>
      </c>
      <c r="F3010" s="36">
        <v>44552</v>
      </c>
      <c r="G3010" s="38">
        <f t="shared" ref="G3010:G3073" si="47">F3010-E3010</f>
        <v>204</v>
      </c>
      <c r="H3010" s="5">
        <v>44342</v>
      </c>
      <c r="I3010" s="5">
        <v>44553</v>
      </c>
      <c r="J3010" s="1" t="s">
        <v>41</v>
      </c>
      <c r="K3010" s="1" t="s">
        <v>6346</v>
      </c>
      <c r="L3010" s="1" t="s">
        <v>6347</v>
      </c>
      <c r="M3010" s="1" t="s">
        <v>6348</v>
      </c>
      <c r="N3010" s="1" t="s">
        <v>30</v>
      </c>
      <c r="O3010" s="1" t="s">
        <v>1081</v>
      </c>
      <c r="P3010" s="1" t="s">
        <v>4528</v>
      </c>
      <c r="Q3010" s="1" t="s">
        <v>4529</v>
      </c>
      <c r="R3010" s="1" t="s">
        <v>942</v>
      </c>
      <c r="S3010" s="1" t="s">
        <v>4530</v>
      </c>
      <c r="T3010" s="1" t="s">
        <v>6349</v>
      </c>
      <c r="U3010" s="1" t="s">
        <v>35</v>
      </c>
      <c r="V3010" s="1" t="s">
        <v>74</v>
      </c>
      <c r="W3010" s="1" t="str">
        <f>VLOOKUP(Table1[[#This Row],[Obergruppe ATC-Code]],Tabelle3!$A$2:$B$100,2)</f>
        <v>OPHTHALMOLOGISCHE UND OTOLOGISCHE ZUBEREITUNGEN</v>
      </c>
      <c r="X3010" s="1" t="str">
        <f xml:space="preserve"> LEFT(Table1[[#This Row],[Atc Code]],3)</f>
        <v>TER</v>
      </c>
    </row>
    <row r="3011" spans="1:24" ht="14.4">
      <c r="A3011" s="14">
        <v>1826</v>
      </c>
      <c r="B3011" s="24" t="s">
        <v>6350</v>
      </c>
      <c r="C3011" s="1">
        <v>581008</v>
      </c>
      <c r="D3011" s="1" t="s">
        <v>25</v>
      </c>
      <c r="E3011" s="36">
        <v>45163</v>
      </c>
      <c r="F3011" s="36">
        <v>45210</v>
      </c>
      <c r="G3011" s="38">
        <f t="shared" si="47"/>
        <v>47</v>
      </c>
      <c r="H3011" s="5">
        <v>45163</v>
      </c>
      <c r="I3011" s="5">
        <v>45210</v>
      </c>
      <c r="J3011" s="1" t="s">
        <v>26</v>
      </c>
      <c r="K3011" s="1" t="s">
        <v>6351</v>
      </c>
      <c r="L3011" s="1" t="s">
        <v>6347</v>
      </c>
      <c r="M3011" s="1" t="s">
        <v>6348</v>
      </c>
      <c r="N3011" s="1" t="s">
        <v>30</v>
      </c>
      <c r="O3011" s="1" t="s">
        <v>6352</v>
      </c>
      <c r="Q3011" s="1" t="s">
        <v>6353</v>
      </c>
      <c r="R3011" s="1" t="s">
        <v>142</v>
      </c>
      <c r="S3011" s="1"/>
      <c r="U3011" s="1" t="s">
        <v>130</v>
      </c>
      <c r="V3011" s="1" t="s">
        <v>74</v>
      </c>
      <c r="W3011" s="1" t="str">
        <f>VLOOKUP(Table1[[#This Row],[Obergruppe ATC-Code]],Tabelle3!$A$2:$B$100,2)</f>
        <v>OPHTHALMOLOGISCHE UND OTOLOGISCHE ZUBEREITUNGEN</v>
      </c>
      <c r="X3011" s="1" t="str">
        <f xml:space="preserve"> LEFT(Table1[[#This Row],[Atc Code]],3)</f>
        <v>TER</v>
      </c>
    </row>
    <row r="3012" spans="1:24" ht="14.4">
      <c r="A3012" s="14">
        <v>1238</v>
      </c>
      <c r="B3012" s="24">
        <v>11304921</v>
      </c>
      <c r="C3012" s="1">
        <v>2711754</v>
      </c>
      <c r="D3012" s="1" t="s">
        <v>25</v>
      </c>
      <c r="E3012" s="36">
        <v>44896</v>
      </c>
      <c r="F3012" s="36">
        <v>44930</v>
      </c>
      <c r="G3012" s="38">
        <f t="shared" si="47"/>
        <v>34</v>
      </c>
      <c r="H3012" s="5">
        <v>44896</v>
      </c>
      <c r="I3012" s="5">
        <v>44930</v>
      </c>
      <c r="J3012" s="1" t="s">
        <v>26</v>
      </c>
      <c r="K3012" s="1" t="s">
        <v>6354</v>
      </c>
      <c r="L3012" s="1" t="s">
        <v>6355</v>
      </c>
      <c r="M3012" s="1" t="s">
        <v>6356</v>
      </c>
      <c r="N3012" s="1" t="s">
        <v>38</v>
      </c>
      <c r="O3012" s="1" t="s">
        <v>428</v>
      </c>
      <c r="P3012" s="1">
        <v>61319031144</v>
      </c>
      <c r="Q3012" s="1" t="s">
        <v>463</v>
      </c>
      <c r="R3012" s="1" t="s">
        <v>113</v>
      </c>
      <c r="S3012" s="1" t="s">
        <v>580</v>
      </c>
      <c r="T3012" s="1" t="s">
        <v>6357</v>
      </c>
      <c r="U3012" s="1" t="s">
        <v>35</v>
      </c>
      <c r="V3012" s="1" t="s">
        <v>74</v>
      </c>
      <c r="W3012" s="1" t="str">
        <f>VLOOKUP(Table1[[#This Row],[Obergruppe ATC-Code]],Tabelle3!$A$2:$B$100,2)</f>
        <v>OPHTHALMOLOGISCHE UND OTOLOGISCHE ZUBEREITUNGEN</v>
      </c>
      <c r="X3012" s="1" t="str">
        <f xml:space="preserve"> LEFT(Table1[[#This Row],[Atc Code]],3)</f>
        <v>TER</v>
      </c>
    </row>
    <row r="3013" spans="1:24" ht="14.4">
      <c r="A3013" s="14">
        <v>523</v>
      </c>
      <c r="B3013" s="24">
        <v>3277707</v>
      </c>
      <c r="C3013" s="1">
        <v>2706026</v>
      </c>
      <c r="D3013" s="1" t="s">
        <v>25</v>
      </c>
      <c r="E3013" s="36">
        <v>44903</v>
      </c>
      <c r="F3013" s="36">
        <v>44944</v>
      </c>
      <c r="G3013" s="38">
        <f t="shared" si="47"/>
        <v>41</v>
      </c>
      <c r="H3013" s="5">
        <v>44903</v>
      </c>
      <c r="I3013" s="5">
        <v>44944</v>
      </c>
      <c r="J3013" s="1" t="s">
        <v>26</v>
      </c>
      <c r="K3013" s="1" t="s">
        <v>6358</v>
      </c>
      <c r="L3013" s="1" t="s">
        <v>6355</v>
      </c>
      <c r="M3013" s="1" t="s">
        <v>6356</v>
      </c>
      <c r="N3013" s="1" t="s">
        <v>38</v>
      </c>
      <c r="O3013" s="1" t="s">
        <v>428</v>
      </c>
      <c r="P3013" s="1">
        <v>61319031144</v>
      </c>
      <c r="Q3013" s="1" t="s">
        <v>463</v>
      </c>
      <c r="R3013" s="1" t="s">
        <v>113</v>
      </c>
      <c r="S3013" s="1" t="s">
        <v>481</v>
      </c>
      <c r="U3013" s="1" t="s">
        <v>35</v>
      </c>
      <c r="V3013" s="1" t="s">
        <v>74</v>
      </c>
      <c r="W3013" s="1" t="str">
        <f>VLOOKUP(Table1[[#This Row],[Obergruppe ATC-Code]],Tabelle3!$A$2:$B$100,2)</f>
        <v>OPHTHALMOLOGISCHE UND OTOLOGISCHE ZUBEREITUNGEN</v>
      </c>
      <c r="X3013" s="1" t="str">
        <f xml:space="preserve"> LEFT(Table1[[#This Row],[Atc Code]],3)</f>
        <v>TER</v>
      </c>
    </row>
    <row r="3014" spans="1:24" ht="14.4">
      <c r="A3014" s="14">
        <v>519</v>
      </c>
      <c r="B3014" s="24">
        <v>3277653</v>
      </c>
      <c r="C3014" s="1">
        <v>2706025</v>
      </c>
      <c r="D3014" s="1" t="s">
        <v>25</v>
      </c>
      <c r="E3014" s="36">
        <v>44904</v>
      </c>
      <c r="F3014" s="36">
        <v>44942</v>
      </c>
      <c r="G3014" s="38">
        <f t="shared" si="47"/>
        <v>38</v>
      </c>
      <c r="H3014" s="5">
        <v>44904</v>
      </c>
      <c r="I3014" s="5">
        <v>44944</v>
      </c>
      <c r="J3014" s="1" t="s">
        <v>26</v>
      </c>
      <c r="K3014" s="1" t="s">
        <v>6359</v>
      </c>
      <c r="L3014" s="1" t="s">
        <v>6355</v>
      </c>
      <c r="M3014" s="1" t="s">
        <v>6356</v>
      </c>
      <c r="N3014" s="1" t="s">
        <v>38</v>
      </c>
      <c r="O3014" s="1" t="s">
        <v>428</v>
      </c>
      <c r="P3014" s="1">
        <v>61319031144</v>
      </c>
      <c r="Q3014" s="1" t="s">
        <v>463</v>
      </c>
      <c r="R3014" s="1" t="s">
        <v>113</v>
      </c>
      <c r="S3014" s="1" t="s">
        <v>481</v>
      </c>
      <c r="U3014" s="1" t="s">
        <v>35</v>
      </c>
      <c r="V3014" s="1" t="s">
        <v>74</v>
      </c>
      <c r="W3014" s="1" t="str">
        <f>VLOOKUP(Table1[[#This Row],[Obergruppe ATC-Code]],Tabelle3!$A$2:$B$100,2)</f>
        <v>OPHTHALMOLOGISCHE UND OTOLOGISCHE ZUBEREITUNGEN</v>
      </c>
      <c r="X3014" s="1" t="str">
        <f xml:space="preserve"> LEFT(Table1[[#This Row],[Atc Code]],3)</f>
        <v>TER</v>
      </c>
    </row>
    <row r="3015" spans="1:24" ht="14.4">
      <c r="A3015" s="14">
        <v>1240</v>
      </c>
      <c r="B3015" s="24">
        <v>11304921</v>
      </c>
      <c r="C3015" s="1">
        <v>2711754</v>
      </c>
      <c r="D3015" s="1" t="s">
        <v>25</v>
      </c>
      <c r="E3015" s="36">
        <v>45012</v>
      </c>
      <c r="F3015" s="36">
        <v>45090</v>
      </c>
      <c r="G3015" s="38">
        <f t="shared" si="47"/>
        <v>78</v>
      </c>
      <c r="H3015" s="5">
        <v>45006</v>
      </c>
      <c r="I3015" s="5">
        <v>45090</v>
      </c>
      <c r="J3015" s="1" t="s">
        <v>26</v>
      </c>
      <c r="K3015" s="1" t="s">
        <v>6354</v>
      </c>
      <c r="L3015" s="1" t="s">
        <v>6355</v>
      </c>
      <c r="M3015" s="1" t="s">
        <v>6356</v>
      </c>
      <c r="N3015" s="1" t="s">
        <v>38</v>
      </c>
      <c r="O3015" s="1" t="s">
        <v>428</v>
      </c>
      <c r="P3015" s="1">
        <v>61319031144</v>
      </c>
      <c r="Q3015" s="1" t="s">
        <v>429</v>
      </c>
      <c r="R3015" s="1" t="s">
        <v>113</v>
      </c>
      <c r="S3015" s="1" t="s">
        <v>470</v>
      </c>
      <c r="U3015" s="1" t="s">
        <v>130</v>
      </c>
      <c r="V3015" s="1" t="s">
        <v>74</v>
      </c>
      <c r="W3015" s="1" t="str">
        <f>VLOOKUP(Table1[[#This Row],[Obergruppe ATC-Code]],Tabelle3!$A$2:$B$100,2)</f>
        <v>OPHTHALMOLOGISCHE UND OTOLOGISCHE ZUBEREITUNGEN</v>
      </c>
      <c r="X3015" s="1" t="str">
        <f xml:space="preserve"> LEFT(Table1[[#This Row],[Atc Code]],3)</f>
        <v>TER</v>
      </c>
    </row>
    <row r="3016" spans="1:24" ht="14.4">
      <c r="A3016" s="14">
        <v>516</v>
      </c>
      <c r="B3016" s="24">
        <v>3277630</v>
      </c>
      <c r="C3016" s="1">
        <v>2706023</v>
      </c>
      <c r="D3016" s="1" t="s">
        <v>25</v>
      </c>
      <c r="E3016" s="36">
        <v>45063</v>
      </c>
      <c r="F3016" s="36">
        <v>45098</v>
      </c>
      <c r="G3016" s="38">
        <f t="shared" si="47"/>
        <v>35</v>
      </c>
      <c r="H3016" s="5">
        <v>45063</v>
      </c>
      <c r="I3016" s="5">
        <v>45098</v>
      </c>
      <c r="J3016" s="1" t="s">
        <v>26</v>
      </c>
      <c r="K3016" s="1" t="s">
        <v>6360</v>
      </c>
      <c r="L3016" s="1" t="s">
        <v>6355</v>
      </c>
      <c r="M3016" s="1" t="s">
        <v>6356</v>
      </c>
      <c r="N3016" s="1" t="s">
        <v>38</v>
      </c>
      <c r="O3016" s="1" t="s">
        <v>428</v>
      </c>
      <c r="P3016" s="1">
        <v>61319031144</v>
      </c>
      <c r="Q3016" s="1" t="s">
        <v>429</v>
      </c>
      <c r="R3016" s="1" t="s">
        <v>33</v>
      </c>
      <c r="S3016" s="1" t="s">
        <v>481</v>
      </c>
      <c r="T3016" s="1" t="s">
        <v>6361</v>
      </c>
      <c r="U3016" s="1" t="s">
        <v>130</v>
      </c>
      <c r="V3016" s="1" t="s">
        <v>74</v>
      </c>
      <c r="W3016" s="1" t="str">
        <f>VLOOKUP(Table1[[#This Row],[Obergruppe ATC-Code]],Tabelle3!$A$2:$B$100,2)</f>
        <v>OPHTHALMOLOGISCHE UND OTOLOGISCHE ZUBEREITUNGEN</v>
      </c>
      <c r="X3016" s="1" t="str">
        <f xml:space="preserve"> LEFT(Table1[[#This Row],[Atc Code]],3)</f>
        <v>TER</v>
      </c>
    </row>
    <row r="3017" spans="1:24" ht="14.4">
      <c r="A3017" s="14">
        <v>1237</v>
      </c>
      <c r="B3017" s="24">
        <v>11304915</v>
      </c>
      <c r="C3017" s="1">
        <v>2711753</v>
      </c>
      <c r="D3017" s="1" t="s">
        <v>25</v>
      </c>
      <c r="E3017" s="36">
        <v>45028</v>
      </c>
      <c r="F3017" s="36">
        <v>45106</v>
      </c>
      <c r="G3017" s="38">
        <f t="shared" si="47"/>
        <v>78</v>
      </c>
      <c r="H3017" s="5">
        <v>45028</v>
      </c>
      <c r="I3017" s="5">
        <v>45106</v>
      </c>
      <c r="J3017" s="1" t="s">
        <v>26</v>
      </c>
      <c r="K3017" s="1" t="s">
        <v>6362</v>
      </c>
      <c r="L3017" s="1" t="s">
        <v>6355</v>
      </c>
      <c r="M3017" s="1" t="s">
        <v>6356</v>
      </c>
      <c r="N3017" s="1" t="s">
        <v>30</v>
      </c>
      <c r="O3017" s="1" t="s">
        <v>428</v>
      </c>
      <c r="P3017" s="1">
        <v>61319031144</v>
      </c>
      <c r="Q3017" s="1" t="s">
        <v>429</v>
      </c>
      <c r="R3017" s="1" t="s">
        <v>113</v>
      </c>
      <c r="S3017" s="1" t="s">
        <v>470</v>
      </c>
      <c r="U3017" s="1" t="s">
        <v>130</v>
      </c>
      <c r="V3017" s="1" t="s">
        <v>74</v>
      </c>
      <c r="W3017" s="1" t="str">
        <f>VLOOKUP(Table1[[#This Row],[Obergruppe ATC-Code]],Tabelle3!$A$2:$B$100,2)</f>
        <v>OPHTHALMOLOGISCHE UND OTOLOGISCHE ZUBEREITUNGEN</v>
      </c>
      <c r="X3017" s="1" t="str">
        <f xml:space="preserve"> LEFT(Table1[[#This Row],[Atc Code]],3)</f>
        <v>TER</v>
      </c>
    </row>
    <row r="3018" spans="1:24" ht="14.4">
      <c r="A3018" s="14">
        <v>522</v>
      </c>
      <c r="B3018" s="24">
        <v>3277707</v>
      </c>
      <c r="C3018" s="1">
        <v>2706026</v>
      </c>
      <c r="D3018" s="1" t="s">
        <v>25</v>
      </c>
      <c r="E3018" s="36">
        <v>45110</v>
      </c>
      <c r="F3018" s="36">
        <v>45126</v>
      </c>
      <c r="G3018" s="38">
        <f t="shared" si="47"/>
        <v>16</v>
      </c>
      <c r="H3018" s="5">
        <v>45110</v>
      </c>
      <c r="I3018" s="5">
        <v>45127</v>
      </c>
      <c r="J3018" s="1" t="s">
        <v>26</v>
      </c>
      <c r="K3018" s="1" t="s">
        <v>6358</v>
      </c>
      <c r="L3018" s="1" t="s">
        <v>6355</v>
      </c>
      <c r="M3018" s="1" t="s">
        <v>6356</v>
      </c>
      <c r="N3018" s="1" t="s">
        <v>30</v>
      </c>
      <c r="O3018" s="1" t="s">
        <v>428</v>
      </c>
      <c r="P3018" s="1">
        <v>61319031144</v>
      </c>
      <c r="Q3018" s="1" t="s">
        <v>429</v>
      </c>
      <c r="R3018" s="1" t="s">
        <v>33</v>
      </c>
      <c r="S3018" s="1"/>
      <c r="U3018" s="1" t="s">
        <v>130</v>
      </c>
      <c r="V3018" s="1" t="s">
        <v>74</v>
      </c>
      <c r="W3018" s="1" t="str">
        <f>VLOOKUP(Table1[[#This Row],[Obergruppe ATC-Code]],Tabelle3!$A$2:$B$100,2)</f>
        <v>OPHTHALMOLOGISCHE UND OTOLOGISCHE ZUBEREITUNGEN</v>
      </c>
      <c r="X3018" s="1" t="str">
        <f xml:space="preserve"> LEFT(Table1[[#This Row],[Atc Code]],3)</f>
        <v>TER</v>
      </c>
    </row>
    <row r="3019" spans="1:24" ht="14.4">
      <c r="A3019" s="14">
        <v>518</v>
      </c>
      <c r="B3019" s="24">
        <v>3277653</v>
      </c>
      <c r="C3019" s="1">
        <v>2706025</v>
      </c>
      <c r="D3019" s="1" t="s">
        <v>25</v>
      </c>
      <c r="E3019" s="36">
        <v>45047</v>
      </c>
      <c r="F3019" s="36">
        <v>45126</v>
      </c>
      <c r="G3019" s="38">
        <f t="shared" si="47"/>
        <v>79</v>
      </c>
      <c r="H3019" s="5">
        <v>45036</v>
      </c>
      <c r="I3019" s="5">
        <v>45127</v>
      </c>
      <c r="J3019" s="1" t="s">
        <v>26</v>
      </c>
      <c r="K3019" s="1" t="s">
        <v>6359</v>
      </c>
      <c r="L3019" s="1" t="s">
        <v>6355</v>
      </c>
      <c r="M3019" s="1" t="s">
        <v>6356</v>
      </c>
      <c r="N3019" s="1" t="s">
        <v>38</v>
      </c>
      <c r="O3019" s="1" t="s">
        <v>428</v>
      </c>
      <c r="P3019" s="1">
        <v>61319031144</v>
      </c>
      <c r="Q3019" s="1" t="s">
        <v>429</v>
      </c>
      <c r="R3019" s="1" t="s">
        <v>113</v>
      </c>
      <c r="S3019" s="1" t="s">
        <v>470</v>
      </c>
      <c r="U3019" s="1" t="s">
        <v>35</v>
      </c>
      <c r="V3019" s="1" t="s">
        <v>74</v>
      </c>
      <c r="W3019" s="1" t="str">
        <f>VLOOKUP(Table1[[#This Row],[Obergruppe ATC-Code]],Tabelle3!$A$2:$B$100,2)</f>
        <v>OPHTHALMOLOGISCHE UND OTOLOGISCHE ZUBEREITUNGEN</v>
      </c>
      <c r="X3019" s="1" t="str">
        <f xml:space="preserve"> LEFT(Table1[[#This Row],[Atc Code]],3)</f>
        <v>TER</v>
      </c>
    </row>
    <row r="3020" spans="1:24" ht="14.4">
      <c r="A3020" s="14">
        <v>515</v>
      </c>
      <c r="B3020" s="24">
        <v>3277630</v>
      </c>
      <c r="C3020" s="1">
        <v>2706023</v>
      </c>
      <c r="D3020" s="1" t="s">
        <v>25</v>
      </c>
      <c r="E3020" s="36">
        <v>45110</v>
      </c>
      <c r="F3020" s="36">
        <v>45131</v>
      </c>
      <c r="G3020" s="38">
        <f t="shared" si="47"/>
        <v>21</v>
      </c>
      <c r="H3020" s="5">
        <v>45110</v>
      </c>
      <c r="I3020" s="5">
        <v>45133</v>
      </c>
      <c r="J3020" s="1" t="s">
        <v>26</v>
      </c>
      <c r="K3020" s="1" t="s">
        <v>6360</v>
      </c>
      <c r="L3020" s="1" t="s">
        <v>6355</v>
      </c>
      <c r="M3020" s="1" t="s">
        <v>6356</v>
      </c>
      <c r="N3020" s="1" t="s">
        <v>30</v>
      </c>
      <c r="O3020" s="1" t="s">
        <v>428</v>
      </c>
      <c r="P3020" s="1">
        <v>61319031144</v>
      </c>
      <c r="Q3020" s="1" t="s">
        <v>429</v>
      </c>
      <c r="R3020" s="1" t="s">
        <v>33</v>
      </c>
      <c r="S3020" s="1"/>
      <c r="T3020" s="1" t="s">
        <v>6361</v>
      </c>
      <c r="U3020" s="1" t="s">
        <v>130</v>
      </c>
      <c r="V3020" s="1" t="s">
        <v>74</v>
      </c>
      <c r="W3020" s="1" t="str">
        <f>VLOOKUP(Table1[[#This Row],[Obergruppe ATC-Code]],Tabelle3!$A$2:$B$100,2)</f>
        <v>OPHTHALMOLOGISCHE UND OTOLOGISCHE ZUBEREITUNGEN</v>
      </c>
      <c r="X3020" s="1" t="str">
        <f xml:space="preserve"> LEFT(Table1[[#This Row],[Atc Code]],3)</f>
        <v>TER</v>
      </c>
    </row>
    <row r="3021" spans="1:24" ht="14.4">
      <c r="A3021" s="14">
        <v>1239</v>
      </c>
      <c r="B3021" s="24">
        <v>11304921</v>
      </c>
      <c r="C3021" s="1">
        <v>2711754</v>
      </c>
      <c r="D3021" s="1" t="s">
        <v>25</v>
      </c>
      <c r="E3021" s="36">
        <v>45120</v>
      </c>
      <c r="F3021" s="36">
        <v>45140</v>
      </c>
      <c r="G3021" s="38">
        <f t="shared" si="47"/>
        <v>20</v>
      </c>
      <c r="H3021" s="5">
        <v>45120</v>
      </c>
      <c r="I3021" s="5">
        <v>45140</v>
      </c>
      <c r="J3021" s="1" t="s">
        <v>26</v>
      </c>
      <c r="K3021" s="1" t="s">
        <v>6354</v>
      </c>
      <c r="L3021" s="1" t="s">
        <v>6355</v>
      </c>
      <c r="M3021" s="1" t="s">
        <v>6356</v>
      </c>
      <c r="N3021" s="1" t="s">
        <v>38</v>
      </c>
      <c r="O3021" s="1" t="s">
        <v>428</v>
      </c>
      <c r="P3021" s="1">
        <v>61319031144</v>
      </c>
      <c r="Q3021" s="1" t="s">
        <v>429</v>
      </c>
      <c r="R3021" s="1" t="s">
        <v>113</v>
      </c>
      <c r="S3021" s="1" t="s">
        <v>470</v>
      </c>
      <c r="U3021" s="1" t="s">
        <v>130</v>
      </c>
      <c r="V3021" s="1" t="s">
        <v>74</v>
      </c>
      <c r="W3021" s="1" t="str">
        <f>VLOOKUP(Table1[[#This Row],[Obergruppe ATC-Code]],Tabelle3!$A$2:$B$100,2)</f>
        <v>OPHTHALMOLOGISCHE UND OTOLOGISCHE ZUBEREITUNGEN</v>
      </c>
      <c r="X3021" s="1" t="str">
        <f xml:space="preserve"> LEFT(Table1[[#This Row],[Atc Code]],3)</f>
        <v>TER</v>
      </c>
    </row>
    <row r="3022" spans="1:24" ht="14.4">
      <c r="A3022" s="14">
        <v>1236</v>
      </c>
      <c r="B3022" s="24">
        <v>11304915</v>
      </c>
      <c r="C3022" s="1">
        <v>2711753</v>
      </c>
      <c r="D3022" s="1" t="s">
        <v>25</v>
      </c>
      <c r="E3022" s="36">
        <v>45133</v>
      </c>
      <c r="F3022" s="36">
        <v>45147</v>
      </c>
      <c r="G3022" s="38">
        <f t="shared" si="47"/>
        <v>14</v>
      </c>
      <c r="H3022" s="5">
        <v>45133</v>
      </c>
      <c r="I3022" s="5">
        <v>45147</v>
      </c>
      <c r="J3022" s="1" t="s">
        <v>26</v>
      </c>
      <c r="K3022" s="1" t="s">
        <v>6362</v>
      </c>
      <c r="L3022" s="1" t="s">
        <v>6355</v>
      </c>
      <c r="M3022" s="1" t="s">
        <v>6356</v>
      </c>
      <c r="N3022" s="1" t="s">
        <v>38</v>
      </c>
      <c r="O3022" s="1" t="s">
        <v>428</v>
      </c>
      <c r="P3022" s="1">
        <v>61319031144</v>
      </c>
      <c r="Q3022" s="1" t="s">
        <v>429</v>
      </c>
      <c r="R3022" s="1" t="s">
        <v>113</v>
      </c>
      <c r="S3022" s="1" t="s">
        <v>470</v>
      </c>
      <c r="U3022" s="1" t="s">
        <v>130</v>
      </c>
      <c r="V3022" s="1" t="s">
        <v>74</v>
      </c>
      <c r="W3022" s="1" t="str">
        <f>VLOOKUP(Table1[[#This Row],[Obergruppe ATC-Code]],Tabelle3!$A$2:$B$100,2)</f>
        <v>OPHTHALMOLOGISCHE UND OTOLOGISCHE ZUBEREITUNGEN</v>
      </c>
      <c r="X3022" s="1" t="str">
        <f xml:space="preserve"> LEFT(Table1[[#This Row],[Atc Code]],3)</f>
        <v>TER</v>
      </c>
    </row>
    <row r="3023" spans="1:24" ht="14.4">
      <c r="A3023" s="14">
        <v>2616</v>
      </c>
      <c r="B3023" s="24" t="s">
        <v>6363</v>
      </c>
      <c r="C3023" s="1" t="s">
        <v>6364</v>
      </c>
      <c r="D3023" s="1" t="s">
        <v>102</v>
      </c>
      <c r="E3023" s="36">
        <v>45182</v>
      </c>
      <c r="F3023" s="36">
        <v>45291</v>
      </c>
      <c r="G3023" s="38">
        <f t="shared" si="47"/>
        <v>109</v>
      </c>
      <c r="H3023" s="5">
        <v>45177</v>
      </c>
      <c r="I3023" s="5">
        <v>45189</v>
      </c>
      <c r="J3023" s="1" t="s">
        <v>26</v>
      </c>
      <c r="K3023" s="1" t="s">
        <v>6362</v>
      </c>
      <c r="L3023" s="1" t="s">
        <v>6355</v>
      </c>
      <c r="M3023" s="1" t="s">
        <v>6356</v>
      </c>
      <c r="N3023" s="1" t="s">
        <v>30</v>
      </c>
      <c r="O3023" s="1" t="s">
        <v>428</v>
      </c>
      <c r="P3023" s="1">
        <v>61319031144</v>
      </c>
      <c r="Q3023" s="1" t="s">
        <v>429</v>
      </c>
      <c r="R3023" s="1" t="s">
        <v>113</v>
      </c>
      <c r="S3023" s="1" t="s">
        <v>470</v>
      </c>
      <c r="U3023" s="1" t="s">
        <v>130</v>
      </c>
      <c r="V3023" s="1" t="s">
        <v>74</v>
      </c>
      <c r="W3023" s="1" t="str">
        <f>VLOOKUP(Table1[[#This Row],[Obergruppe ATC-Code]],Tabelle3!$A$2:$B$100,2)</f>
        <v>OPHTHALMOLOGISCHE UND OTOLOGISCHE ZUBEREITUNGEN</v>
      </c>
      <c r="X3023" s="1" t="str">
        <f xml:space="preserve"> LEFT(Table1[[#This Row],[Atc Code]],3)</f>
        <v>TER</v>
      </c>
    </row>
    <row r="3024" spans="1:24" ht="14.4">
      <c r="A3024" s="14">
        <v>520</v>
      </c>
      <c r="B3024" s="24">
        <v>3277707</v>
      </c>
      <c r="C3024" s="1">
        <v>2706026</v>
      </c>
      <c r="D3024" s="1" t="s">
        <v>25</v>
      </c>
      <c r="E3024" s="36">
        <v>45170</v>
      </c>
      <c r="F3024" s="36">
        <v>45188</v>
      </c>
      <c r="G3024" s="38">
        <f t="shared" si="47"/>
        <v>18</v>
      </c>
      <c r="H3024" s="5">
        <v>45161</v>
      </c>
      <c r="I3024" s="5">
        <v>45189</v>
      </c>
      <c r="J3024" s="1" t="s">
        <v>26</v>
      </c>
      <c r="K3024" s="1" t="s">
        <v>6358</v>
      </c>
      <c r="L3024" s="1" t="s">
        <v>6355</v>
      </c>
      <c r="M3024" s="1" t="s">
        <v>6356</v>
      </c>
      <c r="N3024" s="1" t="s">
        <v>38</v>
      </c>
      <c r="O3024" s="1" t="s">
        <v>428</v>
      </c>
      <c r="P3024" s="1">
        <v>61319031144</v>
      </c>
      <c r="Q3024" s="1" t="s">
        <v>429</v>
      </c>
      <c r="R3024" s="1" t="s">
        <v>113</v>
      </c>
      <c r="S3024" s="1" t="s">
        <v>470</v>
      </c>
      <c r="T3024" s="1" t="s">
        <v>6365</v>
      </c>
      <c r="U3024" s="1" t="s">
        <v>130</v>
      </c>
      <c r="V3024" s="1" t="s">
        <v>74</v>
      </c>
      <c r="W3024" s="1" t="str">
        <f>VLOOKUP(Table1[[#This Row],[Obergruppe ATC-Code]],Tabelle3!$A$2:$B$100,2)</f>
        <v>OPHTHALMOLOGISCHE UND OTOLOGISCHE ZUBEREITUNGEN</v>
      </c>
      <c r="X3024" s="1" t="str">
        <f xml:space="preserve"> LEFT(Table1[[#This Row],[Atc Code]],3)</f>
        <v>TER</v>
      </c>
    </row>
    <row r="3025" spans="1:24" ht="14.4">
      <c r="A3025" s="14">
        <v>521</v>
      </c>
      <c r="B3025" s="24">
        <v>3277707</v>
      </c>
      <c r="C3025" s="1">
        <v>2706026</v>
      </c>
      <c r="D3025" s="1" t="s">
        <v>175</v>
      </c>
      <c r="E3025" s="36">
        <v>45203</v>
      </c>
      <c r="F3025" s="36">
        <v>45291</v>
      </c>
      <c r="G3025" s="38">
        <f t="shared" si="47"/>
        <v>88</v>
      </c>
      <c r="H3025" s="5">
        <v>45196</v>
      </c>
      <c r="I3025" s="5">
        <v>45196</v>
      </c>
      <c r="J3025" s="1" t="s">
        <v>26</v>
      </c>
      <c r="K3025" s="1" t="s">
        <v>6358</v>
      </c>
      <c r="L3025" s="1" t="s">
        <v>6355</v>
      </c>
      <c r="M3025" s="1" t="s">
        <v>6356</v>
      </c>
      <c r="N3025" s="1" t="s">
        <v>30</v>
      </c>
      <c r="O3025" s="1" t="s">
        <v>428</v>
      </c>
      <c r="P3025" s="1">
        <v>61319031144</v>
      </c>
      <c r="Q3025" s="1" t="s">
        <v>429</v>
      </c>
      <c r="R3025" s="1" t="s">
        <v>113</v>
      </c>
      <c r="S3025" s="1" t="s">
        <v>470</v>
      </c>
      <c r="U3025" s="1" t="s">
        <v>130</v>
      </c>
      <c r="V3025" s="1" t="s">
        <v>74</v>
      </c>
      <c r="W3025" s="1" t="str">
        <f>VLOOKUP(Table1[[#This Row],[Obergruppe ATC-Code]],Tabelle3!$A$2:$B$100,2)</f>
        <v>OPHTHALMOLOGISCHE UND OTOLOGISCHE ZUBEREITUNGEN</v>
      </c>
      <c r="X3025" s="1" t="str">
        <f xml:space="preserve"> LEFT(Table1[[#This Row],[Atc Code]],3)</f>
        <v>TER</v>
      </c>
    </row>
    <row r="3026" spans="1:24" ht="14.4">
      <c r="A3026" s="14">
        <v>517</v>
      </c>
      <c r="B3026" s="24">
        <v>3277630</v>
      </c>
      <c r="C3026" s="1">
        <v>2706023</v>
      </c>
      <c r="D3026" s="1" t="s">
        <v>175</v>
      </c>
      <c r="E3026" s="36">
        <v>45210</v>
      </c>
      <c r="F3026" s="36">
        <v>45291</v>
      </c>
      <c r="G3026" s="38">
        <f t="shared" si="47"/>
        <v>81</v>
      </c>
      <c r="H3026" s="5">
        <v>45210</v>
      </c>
      <c r="I3026" s="5">
        <v>45210</v>
      </c>
      <c r="J3026" s="1" t="s">
        <v>26</v>
      </c>
      <c r="K3026" s="1" t="s">
        <v>6360</v>
      </c>
      <c r="L3026" s="1" t="s">
        <v>6355</v>
      </c>
      <c r="M3026" s="1" t="s">
        <v>6356</v>
      </c>
      <c r="N3026" s="1" t="s">
        <v>38</v>
      </c>
      <c r="O3026" s="1" t="s">
        <v>428</v>
      </c>
      <c r="P3026" s="1">
        <v>61319031144</v>
      </c>
      <c r="Q3026" s="1" t="s">
        <v>429</v>
      </c>
      <c r="R3026" s="1" t="s">
        <v>113</v>
      </c>
      <c r="S3026" s="1" t="s">
        <v>470</v>
      </c>
      <c r="U3026" s="1" t="s">
        <v>130</v>
      </c>
      <c r="V3026" s="1" t="s">
        <v>74</v>
      </c>
      <c r="W3026" s="1" t="str">
        <f>VLOOKUP(Table1[[#This Row],[Obergruppe ATC-Code]],Tabelle3!$A$2:$B$100,2)</f>
        <v>OPHTHALMOLOGISCHE UND OTOLOGISCHE ZUBEREITUNGEN</v>
      </c>
      <c r="X3026" s="1" t="str">
        <f xml:space="preserve"> LEFT(Table1[[#This Row],[Atc Code]],3)</f>
        <v>TER</v>
      </c>
    </row>
    <row r="3027" spans="1:24" ht="14.4">
      <c r="A3027" s="14">
        <v>1299</v>
      </c>
      <c r="B3027" s="24">
        <v>12392726</v>
      </c>
      <c r="C3027" s="1">
        <v>2672745</v>
      </c>
      <c r="D3027" s="1" t="s">
        <v>25</v>
      </c>
      <c r="E3027" s="36">
        <v>43132</v>
      </c>
      <c r="F3027" s="36">
        <v>43220</v>
      </c>
      <c r="G3027" s="38">
        <f t="shared" si="47"/>
        <v>88</v>
      </c>
      <c r="H3027" s="5">
        <v>43144</v>
      </c>
      <c r="I3027" s="5">
        <v>43200</v>
      </c>
      <c r="J3027" s="1" t="s">
        <v>41</v>
      </c>
      <c r="K3027" s="1" t="s">
        <v>6366</v>
      </c>
      <c r="L3027" s="1" t="s">
        <v>6367</v>
      </c>
      <c r="M3027" s="1" t="s">
        <v>6368</v>
      </c>
      <c r="N3027" s="1" t="s">
        <v>30</v>
      </c>
      <c r="O3027" s="1" t="s">
        <v>6369</v>
      </c>
      <c r="P3027" s="1" t="s">
        <v>6370</v>
      </c>
      <c r="Q3027" s="1" t="s">
        <v>6371</v>
      </c>
      <c r="R3027" s="1" t="s">
        <v>65</v>
      </c>
      <c r="S3027" s="1"/>
      <c r="U3027" s="1" t="s">
        <v>35</v>
      </c>
      <c r="V3027" s="1" t="s">
        <v>6372</v>
      </c>
      <c r="W3027" s="1" t="str">
        <f>VLOOKUP(Table1[[#This Row],[Obergruppe ATC-Code]],Tabelle3!$A$2:$B$100,2)</f>
        <v>OPHTHALMOLOGISCHE UND OTOLOGISCHE ZUBEREITUNGEN</v>
      </c>
      <c r="X3027" s="1" t="str">
        <f xml:space="preserve"> LEFT(Table1[[#This Row],[Atc Code]],3)</f>
        <v>TER</v>
      </c>
    </row>
    <row r="3028" spans="1:24" ht="14.4">
      <c r="A3028" s="14">
        <v>1296</v>
      </c>
      <c r="B3028" s="24">
        <v>12392703</v>
      </c>
      <c r="C3028" s="1">
        <v>2672744</v>
      </c>
      <c r="D3028" s="1" t="s">
        <v>25</v>
      </c>
      <c r="E3028" s="36">
        <v>43132</v>
      </c>
      <c r="F3028" s="36">
        <v>43251</v>
      </c>
      <c r="G3028" s="38">
        <f t="shared" si="47"/>
        <v>119</v>
      </c>
      <c r="H3028" s="5">
        <v>43144</v>
      </c>
      <c r="I3028" s="5">
        <v>43222</v>
      </c>
      <c r="J3028" s="1" t="s">
        <v>41</v>
      </c>
      <c r="K3028" s="1" t="s">
        <v>6366</v>
      </c>
      <c r="L3028" s="1" t="s">
        <v>6367</v>
      </c>
      <c r="M3028" s="1" t="s">
        <v>6368</v>
      </c>
      <c r="N3028" s="1" t="s">
        <v>30</v>
      </c>
      <c r="O3028" s="1" t="s">
        <v>6369</v>
      </c>
      <c r="P3028" s="1" t="s">
        <v>6370</v>
      </c>
      <c r="Q3028" s="1" t="s">
        <v>6371</v>
      </c>
      <c r="R3028" s="1" t="s">
        <v>65</v>
      </c>
      <c r="S3028" s="1"/>
      <c r="U3028" s="1" t="s">
        <v>35</v>
      </c>
      <c r="V3028" s="1" t="s">
        <v>6372</v>
      </c>
      <c r="W3028" s="1" t="str">
        <f>VLOOKUP(Table1[[#This Row],[Obergruppe ATC-Code]],Tabelle3!$A$2:$B$100,2)</f>
        <v>OPHTHALMOLOGISCHE UND OTOLOGISCHE ZUBEREITUNGEN</v>
      </c>
      <c r="X3028" s="1" t="str">
        <f xml:space="preserve"> LEFT(Table1[[#This Row],[Atc Code]],3)</f>
        <v>TER</v>
      </c>
    </row>
    <row r="3029" spans="1:24" ht="14.4">
      <c r="A3029" s="14">
        <v>1298</v>
      </c>
      <c r="B3029" s="24">
        <v>12392726</v>
      </c>
      <c r="C3029" s="1">
        <v>2672745</v>
      </c>
      <c r="D3029" s="1" t="s">
        <v>25</v>
      </c>
      <c r="E3029" s="36">
        <v>43497</v>
      </c>
      <c r="F3029" s="36">
        <v>43769</v>
      </c>
      <c r="G3029" s="38">
        <f t="shared" si="47"/>
        <v>272</v>
      </c>
      <c r="H3029" s="5">
        <v>43481</v>
      </c>
      <c r="I3029" s="5">
        <v>43481</v>
      </c>
      <c r="J3029" s="1" t="s">
        <v>41</v>
      </c>
      <c r="K3029" s="1" t="s">
        <v>6366</v>
      </c>
      <c r="L3029" s="1" t="s">
        <v>6367</v>
      </c>
      <c r="M3029" s="1" t="s">
        <v>6368</v>
      </c>
      <c r="N3029" s="1" t="s">
        <v>30</v>
      </c>
      <c r="O3029" s="1" t="s">
        <v>6369</v>
      </c>
      <c r="P3029" s="1" t="s">
        <v>6370</v>
      </c>
      <c r="Q3029" s="1" t="s">
        <v>6371</v>
      </c>
      <c r="R3029" s="1" t="s">
        <v>26</v>
      </c>
      <c r="S3029" s="1"/>
      <c r="U3029" s="1" t="s">
        <v>35</v>
      </c>
      <c r="V3029" s="1" t="s">
        <v>6372</v>
      </c>
      <c r="W3029" s="1" t="str">
        <f>VLOOKUP(Table1[[#This Row],[Obergruppe ATC-Code]],Tabelle3!$A$2:$B$100,2)</f>
        <v>OPHTHALMOLOGISCHE UND OTOLOGISCHE ZUBEREITUNGEN</v>
      </c>
      <c r="X3029" s="1" t="str">
        <f xml:space="preserve"> LEFT(Table1[[#This Row],[Atc Code]],3)</f>
        <v>TER</v>
      </c>
    </row>
    <row r="3030" spans="1:24" ht="14.4">
      <c r="A3030" s="14">
        <v>1295</v>
      </c>
      <c r="B3030" s="24">
        <v>12392703</v>
      </c>
      <c r="C3030" s="1">
        <v>2672744</v>
      </c>
      <c r="D3030" s="1" t="s">
        <v>25</v>
      </c>
      <c r="E3030" s="36">
        <v>43497</v>
      </c>
      <c r="F3030" s="36">
        <v>43769</v>
      </c>
      <c r="G3030" s="38">
        <f t="shared" si="47"/>
        <v>272</v>
      </c>
      <c r="H3030" s="5">
        <v>43481</v>
      </c>
      <c r="I3030" s="5">
        <v>43481</v>
      </c>
      <c r="J3030" s="1" t="s">
        <v>41</v>
      </c>
      <c r="K3030" s="1" t="s">
        <v>6366</v>
      </c>
      <c r="L3030" s="1" t="s">
        <v>6367</v>
      </c>
      <c r="M3030" s="1" t="s">
        <v>6368</v>
      </c>
      <c r="N3030" s="1" t="s">
        <v>30</v>
      </c>
      <c r="O3030" s="1" t="s">
        <v>6369</v>
      </c>
      <c r="P3030" s="1" t="s">
        <v>6370</v>
      </c>
      <c r="Q3030" s="1" t="s">
        <v>6371</v>
      </c>
      <c r="R3030" s="1" t="s">
        <v>26</v>
      </c>
      <c r="S3030" s="1"/>
      <c r="U3030" s="1" t="s">
        <v>35</v>
      </c>
      <c r="V3030" s="1" t="s">
        <v>6372</v>
      </c>
      <c r="W3030" s="1" t="str">
        <f>VLOOKUP(Table1[[#This Row],[Obergruppe ATC-Code]],Tabelle3!$A$2:$B$100,2)</f>
        <v>OPHTHALMOLOGISCHE UND OTOLOGISCHE ZUBEREITUNGEN</v>
      </c>
      <c r="X3030" s="1" t="str">
        <f xml:space="preserve"> LEFT(Table1[[#This Row],[Atc Code]],3)</f>
        <v>TER</v>
      </c>
    </row>
    <row r="3031" spans="1:24" ht="14.4">
      <c r="A3031" s="14">
        <v>1301</v>
      </c>
      <c r="B3031" s="24">
        <v>12392726</v>
      </c>
      <c r="C3031" s="1">
        <v>2672745</v>
      </c>
      <c r="D3031" s="1" t="s">
        <v>25</v>
      </c>
      <c r="E3031" s="36">
        <v>44400</v>
      </c>
      <c r="F3031" s="36">
        <v>44739</v>
      </c>
      <c r="G3031" s="38">
        <f t="shared" si="47"/>
        <v>339</v>
      </c>
      <c r="H3031" s="5">
        <v>44405</v>
      </c>
      <c r="I3031" s="5">
        <v>44740</v>
      </c>
      <c r="J3031" s="1" t="s">
        <v>41</v>
      </c>
      <c r="K3031" s="1" t="s">
        <v>6366</v>
      </c>
      <c r="L3031" s="1" t="s">
        <v>6367</v>
      </c>
      <c r="M3031" s="1" t="s">
        <v>6368</v>
      </c>
      <c r="N3031" s="1" t="s">
        <v>30</v>
      </c>
      <c r="O3031" s="1" t="s">
        <v>6373</v>
      </c>
      <c r="P3031" s="1" t="s">
        <v>6374</v>
      </c>
      <c r="Q3031" s="1" t="s">
        <v>6371</v>
      </c>
      <c r="R3031" s="1" t="s">
        <v>26</v>
      </c>
      <c r="S3031" s="1"/>
      <c r="U3031" s="1" t="s">
        <v>35</v>
      </c>
      <c r="V3031" s="1" t="s">
        <v>6372</v>
      </c>
      <c r="W3031" s="1" t="str">
        <f>VLOOKUP(Table1[[#This Row],[Obergruppe ATC-Code]],Tabelle3!$A$2:$B$100,2)</f>
        <v>OPHTHALMOLOGISCHE UND OTOLOGISCHE ZUBEREITUNGEN</v>
      </c>
      <c r="X3031" s="1" t="str">
        <f xml:space="preserve"> LEFT(Table1[[#This Row],[Atc Code]],3)</f>
        <v>TER</v>
      </c>
    </row>
    <row r="3032" spans="1:24" ht="14.4">
      <c r="A3032" s="14">
        <v>1297</v>
      </c>
      <c r="B3032" s="24">
        <v>12392703</v>
      </c>
      <c r="C3032" s="1">
        <v>2672744</v>
      </c>
      <c r="D3032" s="1" t="s">
        <v>25</v>
      </c>
      <c r="E3032" s="36">
        <v>44567</v>
      </c>
      <c r="F3032" s="36">
        <v>44739</v>
      </c>
      <c r="G3032" s="38">
        <f t="shared" si="47"/>
        <v>172</v>
      </c>
      <c r="H3032" s="5">
        <v>44573</v>
      </c>
      <c r="I3032" s="5">
        <v>44740</v>
      </c>
      <c r="J3032" s="1" t="s">
        <v>41</v>
      </c>
      <c r="K3032" s="1" t="s">
        <v>6366</v>
      </c>
      <c r="L3032" s="1" t="s">
        <v>6367</v>
      </c>
      <c r="M3032" s="1" t="s">
        <v>6368</v>
      </c>
      <c r="N3032" s="1" t="s">
        <v>30</v>
      </c>
      <c r="O3032" s="1" t="s">
        <v>6373</v>
      </c>
      <c r="P3032" s="1" t="s">
        <v>6374</v>
      </c>
      <c r="Q3032" s="1" t="s">
        <v>6371</v>
      </c>
      <c r="R3032" s="1" t="s">
        <v>26</v>
      </c>
      <c r="S3032" s="1"/>
      <c r="U3032" s="1" t="s">
        <v>35</v>
      </c>
      <c r="V3032" s="1" t="s">
        <v>6372</v>
      </c>
      <c r="W3032" s="1" t="str">
        <f>VLOOKUP(Table1[[#This Row],[Obergruppe ATC-Code]],Tabelle3!$A$2:$B$100,2)</f>
        <v>OPHTHALMOLOGISCHE UND OTOLOGISCHE ZUBEREITUNGEN</v>
      </c>
      <c r="X3032" s="1" t="str">
        <f xml:space="preserve"> LEFT(Table1[[#This Row],[Atc Code]],3)</f>
        <v>TER</v>
      </c>
    </row>
    <row r="3033" spans="1:24" ht="14.4">
      <c r="A3033" s="14">
        <v>2707</v>
      </c>
      <c r="B3033" s="24" t="s">
        <v>6375</v>
      </c>
      <c r="C3033" s="1" t="s">
        <v>6376</v>
      </c>
      <c r="D3033" s="1" t="s">
        <v>25</v>
      </c>
      <c r="E3033" s="36">
        <v>45009</v>
      </c>
      <c r="F3033" s="36">
        <v>45082</v>
      </c>
      <c r="G3033" s="38">
        <f t="shared" si="47"/>
        <v>73</v>
      </c>
      <c r="H3033" s="5">
        <v>45020</v>
      </c>
      <c r="I3033" s="5">
        <v>45154</v>
      </c>
      <c r="J3033" s="1" t="s">
        <v>26</v>
      </c>
      <c r="K3033" s="1" t="s">
        <v>6366</v>
      </c>
      <c r="L3033" s="1" t="s">
        <v>6367</v>
      </c>
      <c r="M3033" s="1" t="s">
        <v>6368</v>
      </c>
      <c r="N3033" s="1" t="s">
        <v>30</v>
      </c>
      <c r="O3033" s="1" t="s">
        <v>6373</v>
      </c>
      <c r="R3033" s="1" t="s">
        <v>26</v>
      </c>
      <c r="S3033" s="1" t="s">
        <v>6377</v>
      </c>
      <c r="U3033" s="1" t="s">
        <v>130</v>
      </c>
      <c r="V3033" s="1" t="s">
        <v>6372</v>
      </c>
      <c r="W3033" s="1" t="str">
        <f>VLOOKUP(Table1[[#This Row],[Obergruppe ATC-Code]],Tabelle3!$A$2:$B$100,2)</f>
        <v>OPHTHALMOLOGISCHE UND OTOLOGISCHE ZUBEREITUNGEN</v>
      </c>
      <c r="X3033" s="1" t="str">
        <f xml:space="preserve"> LEFT(Table1[[#This Row],[Atc Code]],3)</f>
        <v>TER</v>
      </c>
    </row>
    <row r="3034" spans="1:24" ht="14.4">
      <c r="A3034" s="14">
        <v>1300</v>
      </c>
      <c r="B3034" s="24">
        <v>12392726</v>
      </c>
      <c r="C3034" s="1">
        <v>2672745</v>
      </c>
      <c r="D3034" s="1" t="s">
        <v>175</v>
      </c>
      <c r="E3034" s="36">
        <v>45131</v>
      </c>
      <c r="F3034" s="36">
        <v>45199</v>
      </c>
      <c r="G3034" s="38">
        <f t="shared" si="47"/>
        <v>68</v>
      </c>
      <c r="H3034" s="5">
        <v>45154</v>
      </c>
      <c r="I3034" s="5">
        <v>45154</v>
      </c>
      <c r="J3034" s="1" t="s">
        <v>26</v>
      </c>
      <c r="K3034" s="1" t="s">
        <v>6366</v>
      </c>
      <c r="L3034" s="1" t="s">
        <v>6367</v>
      </c>
      <c r="M3034" s="1" t="s">
        <v>6378</v>
      </c>
      <c r="N3034" s="1" t="s">
        <v>38</v>
      </c>
      <c r="O3034" s="1" t="s">
        <v>6373</v>
      </c>
      <c r="Q3034" s="1" t="s">
        <v>6379</v>
      </c>
      <c r="R3034" s="1" t="s">
        <v>113</v>
      </c>
      <c r="S3034" s="1"/>
      <c r="U3034" s="1" t="s">
        <v>130</v>
      </c>
      <c r="V3034" s="1" t="s">
        <v>6372</v>
      </c>
      <c r="W3034" s="1" t="str">
        <f>VLOOKUP(Table1[[#This Row],[Obergruppe ATC-Code]],Tabelle3!$A$2:$B$100,2)</f>
        <v>OPHTHALMOLOGISCHE UND OTOLOGISCHE ZUBEREITUNGEN</v>
      </c>
      <c r="X3034" s="1" t="str">
        <f xml:space="preserve"> LEFT(Table1[[#This Row],[Atc Code]],3)</f>
        <v>TER</v>
      </c>
    </row>
    <row r="3035" spans="1:24" ht="14.4">
      <c r="A3035" s="14">
        <v>2981</v>
      </c>
      <c r="B3035" s="24" t="s">
        <v>6380</v>
      </c>
      <c r="C3035" s="1">
        <v>2172942</v>
      </c>
      <c r="D3035" s="1" t="s">
        <v>25</v>
      </c>
      <c r="E3035" s="36">
        <v>43739</v>
      </c>
      <c r="F3035" s="36">
        <v>44135</v>
      </c>
      <c r="G3035" s="38">
        <f t="shared" si="47"/>
        <v>396</v>
      </c>
      <c r="H3035" s="5">
        <v>43759</v>
      </c>
      <c r="I3035" s="5">
        <v>44134</v>
      </c>
      <c r="J3035" s="1" t="s">
        <v>41</v>
      </c>
      <c r="K3035" s="1" t="s">
        <v>6381</v>
      </c>
      <c r="L3035" s="1" t="s">
        <v>6382</v>
      </c>
      <c r="M3035" s="1" t="s">
        <v>6383</v>
      </c>
      <c r="N3035" s="1" t="s">
        <v>30</v>
      </c>
      <c r="O3035" s="1" t="s">
        <v>1687</v>
      </c>
      <c r="P3035" s="1" t="s">
        <v>1688</v>
      </c>
      <c r="Q3035" s="1" t="s">
        <v>1689</v>
      </c>
      <c r="R3035" s="1" t="s">
        <v>26</v>
      </c>
      <c r="S3035" s="1"/>
      <c r="U3035" s="1" t="s">
        <v>35</v>
      </c>
      <c r="V3035" s="1" t="s">
        <v>99</v>
      </c>
      <c r="W3035" s="1" t="str">
        <f>VLOOKUP(Table1[[#This Row],[Obergruppe ATC-Code]],Tabelle3!$A$2:$B$100,2)</f>
        <v>OPHTHALMOLOGISCHE UND OTOLOGISCHE ZUBEREITUNGEN</v>
      </c>
      <c r="X3035" s="1" t="str">
        <f xml:space="preserve"> LEFT(Table1[[#This Row],[Atc Code]],3)</f>
        <v>TER</v>
      </c>
    </row>
    <row r="3036" spans="1:24" ht="14.4">
      <c r="A3036" s="14">
        <v>502</v>
      </c>
      <c r="B3036" s="24">
        <v>3125759</v>
      </c>
      <c r="C3036" s="1">
        <v>2141547</v>
      </c>
      <c r="D3036" s="1" t="s">
        <v>25</v>
      </c>
      <c r="E3036" s="36">
        <v>44494</v>
      </c>
      <c r="F3036" s="36">
        <v>44622</v>
      </c>
      <c r="G3036" s="38">
        <f t="shared" si="47"/>
        <v>128</v>
      </c>
      <c r="H3036" s="5">
        <v>44550</v>
      </c>
      <c r="I3036" s="5">
        <v>44622</v>
      </c>
      <c r="J3036" s="1" t="s">
        <v>26</v>
      </c>
      <c r="K3036" s="1" t="s">
        <v>6384</v>
      </c>
      <c r="L3036" s="1" t="s">
        <v>6382</v>
      </c>
      <c r="M3036" s="1" t="s">
        <v>6383</v>
      </c>
      <c r="N3036" s="1" t="s">
        <v>38</v>
      </c>
      <c r="O3036" s="1" t="s">
        <v>1339</v>
      </c>
      <c r="P3036" s="1">
        <v>8003384726</v>
      </c>
      <c r="Q3036" s="1" t="s">
        <v>1340</v>
      </c>
      <c r="R3036" s="1" t="s">
        <v>113</v>
      </c>
      <c r="S3036" s="1"/>
      <c r="U3036" s="1" t="s">
        <v>35</v>
      </c>
      <c r="V3036" s="1" t="s">
        <v>99</v>
      </c>
      <c r="W3036" s="1" t="str">
        <f>VLOOKUP(Table1[[#This Row],[Obergruppe ATC-Code]],Tabelle3!$A$2:$B$100,2)</f>
        <v>OPHTHALMOLOGISCHE UND OTOLOGISCHE ZUBEREITUNGEN</v>
      </c>
      <c r="X3036" s="1" t="str">
        <f xml:space="preserve"> LEFT(Table1[[#This Row],[Atc Code]],3)</f>
        <v>TER</v>
      </c>
    </row>
    <row r="3037" spans="1:24" ht="14.4">
      <c r="A3037" s="14">
        <v>501</v>
      </c>
      <c r="B3037" s="24">
        <v>3125676</v>
      </c>
      <c r="C3037" s="1">
        <v>2141547</v>
      </c>
      <c r="D3037" s="1" t="s">
        <v>25</v>
      </c>
      <c r="E3037" s="36">
        <v>44509</v>
      </c>
      <c r="F3037" s="36">
        <v>44635</v>
      </c>
      <c r="G3037" s="38">
        <f t="shared" si="47"/>
        <v>126</v>
      </c>
      <c r="H3037" s="5">
        <v>44550</v>
      </c>
      <c r="I3037" s="5">
        <v>44636</v>
      </c>
      <c r="J3037" s="1" t="s">
        <v>26</v>
      </c>
      <c r="K3037" s="1" t="s">
        <v>6384</v>
      </c>
      <c r="L3037" s="1" t="s">
        <v>6382</v>
      </c>
      <c r="M3037" s="1" t="s">
        <v>6383</v>
      </c>
      <c r="N3037" s="1" t="s">
        <v>38</v>
      </c>
      <c r="O3037" s="1" t="s">
        <v>1339</v>
      </c>
      <c r="P3037" s="1">
        <v>498003384726</v>
      </c>
      <c r="Q3037" s="1" t="s">
        <v>1340</v>
      </c>
      <c r="R3037" s="1" t="s">
        <v>113</v>
      </c>
      <c r="S3037" s="1"/>
      <c r="U3037" s="1" t="s">
        <v>35</v>
      </c>
      <c r="V3037" s="1" t="s">
        <v>99</v>
      </c>
      <c r="W3037" s="1" t="str">
        <f>VLOOKUP(Table1[[#This Row],[Obergruppe ATC-Code]],Tabelle3!$A$2:$B$100,2)</f>
        <v>OPHTHALMOLOGISCHE UND OTOLOGISCHE ZUBEREITUNGEN</v>
      </c>
      <c r="X3037" s="1" t="str">
        <f xml:space="preserve"> LEFT(Table1[[#This Row],[Atc Code]],3)</f>
        <v>TER</v>
      </c>
    </row>
    <row r="3038" spans="1:24" ht="14.4">
      <c r="A3038" s="14">
        <v>503</v>
      </c>
      <c r="B3038" s="24">
        <v>3126121</v>
      </c>
      <c r="C3038" s="1">
        <v>2152619</v>
      </c>
      <c r="D3038" s="1" t="s">
        <v>25</v>
      </c>
      <c r="E3038" s="36">
        <v>44526</v>
      </c>
      <c r="F3038" s="36">
        <v>44637</v>
      </c>
      <c r="G3038" s="38">
        <f t="shared" si="47"/>
        <v>111</v>
      </c>
      <c r="H3038" s="5">
        <v>44550</v>
      </c>
      <c r="I3038" s="5">
        <v>44641</v>
      </c>
      <c r="J3038" s="1" t="s">
        <v>26</v>
      </c>
      <c r="K3038" s="1" t="s">
        <v>6385</v>
      </c>
      <c r="L3038" s="1" t="s">
        <v>6382</v>
      </c>
      <c r="M3038" s="1" t="s">
        <v>6383</v>
      </c>
      <c r="N3038" s="1" t="s">
        <v>38</v>
      </c>
      <c r="O3038" s="1" t="s">
        <v>1339</v>
      </c>
      <c r="P3038" s="1">
        <v>498003384726</v>
      </c>
      <c r="Q3038" s="1" t="s">
        <v>1340</v>
      </c>
      <c r="R3038" s="1" t="s">
        <v>113</v>
      </c>
      <c r="S3038" s="1"/>
      <c r="U3038" s="1" t="s">
        <v>35</v>
      </c>
      <c r="V3038" s="1" t="s">
        <v>99</v>
      </c>
      <c r="W3038" s="1" t="str">
        <f>VLOOKUP(Table1[[#This Row],[Obergruppe ATC-Code]],Tabelle3!$A$2:$B$100,2)</f>
        <v>OPHTHALMOLOGISCHE UND OTOLOGISCHE ZUBEREITUNGEN</v>
      </c>
      <c r="X3038" s="1" t="str">
        <f xml:space="preserve"> LEFT(Table1[[#This Row],[Atc Code]],3)</f>
        <v>TER</v>
      </c>
    </row>
    <row r="3039" spans="1:24" ht="14.4">
      <c r="A3039" s="14">
        <v>1751</v>
      </c>
      <c r="B3039" s="24" t="s">
        <v>6386</v>
      </c>
      <c r="C3039" s="1" t="s">
        <v>6387</v>
      </c>
      <c r="D3039" s="1" t="s">
        <v>25</v>
      </c>
      <c r="E3039" s="36">
        <v>44461</v>
      </c>
      <c r="F3039" s="36">
        <v>44712</v>
      </c>
      <c r="G3039" s="38">
        <f t="shared" si="47"/>
        <v>251</v>
      </c>
      <c r="H3039" s="5">
        <v>44468</v>
      </c>
      <c r="I3039" s="5">
        <v>44715</v>
      </c>
      <c r="J3039" s="1" t="s">
        <v>26</v>
      </c>
      <c r="K3039" s="1" t="s">
        <v>6388</v>
      </c>
      <c r="L3039" s="1" t="s">
        <v>6382</v>
      </c>
      <c r="M3039" s="1" t="s">
        <v>6383</v>
      </c>
      <c r="N3039" s="1" t="s">
        <v>38</v>
      </c>
      <c r="O3039" s="1" t="s">
        <v>1682</v>
      </c>
      <c r="P3039" s="1">
        <v>49602394800</v>
      </c>
      <c r="Q3039" s="1" t="s">
        <v>1684</v>
      </c>
      <c r="R3039" s="1" t="s">
        <v>26</v>
      </c>
      <c r="S3039" s="1" t="s">
        <v>6389</v>
      </c>
      <c r="U3039" s="1" t="s">
        <v>130</v>
      </c>
      <c r="V3039" s="1" t="s">
        <v>99</v>
      </c>
      <c r="W3039" s="1" t="str">
        <f>VLOOKUP(Table1[[#This Row],[Obergruppe ATC-Code]],Tabelle3!$A$2:$B$100,2)</f>
        <v>OPHTHALMOLOGISCHE UND OTOLOGISCHE ZUBEREITUNGEN</v>
      </c>
      <c r="X3039" s="1" t="str">
        <f xml:space="preserve"> LEFT(Table1[[#This Row],[Atc Code]],3)</f>
        <v>TER</v>
      </c>
    </row>
    <row r="3040" spans="1:24" ht="14.4">
      <c r="A3040" s="14">
        <v>1525</v>
      </c>
      <c r="B3040" s="24">
        <v>16398022</v>
      </c>
      <c r="C3040" s="1">
        <v>2202510</v>
      </c>
      <c r="D3040" s="1" t="s">
        <v>25</v>
      </c>
      <c r="E3040" s="36">
        <v>44991</v>
      </c>
      <c r="F3040" s="36">
        <v>45049</v>
      </c>
      <c r="G3040" s="38">
        <f t="shared" si="47"/>
        <v>58</v>
      </c>
      <c r="H3040" s="5">
        <v>44992</v>
      </c>
      <c r="I3040" s="5">
        <v>45049</v>
      </c>
      <c r="J3040" s="1" t="s">
        <v>41</v>
      </c>
      <c r="K3040" s="1" t="s">
        <v>6390</v>
      </c>
      <c r="L3040" s="1" t="s">
        <v>6391</v>
      </c>
      <c r="M3040" s="1" t="s">
        <v>6392</v>
      </c>
      <c r="N3040" s="1" t="s">
        <v>38</v>
      </c>
      <c r="O3040" s="1" t="s">
        <v>162</v>
      </c>
      <c r="P3040" s="1" t="s">
        <v>163</v>
      </c>
      <c r="R3040" s="1" t="s">
        <v>128</v>
      </c>
      <c r="S3040" s="1"/>
      <c r="U3040" s="1" t="s">
        <v>35</v>
      </c>
      <c r="V3040" s="1" t="s">
        <v>99</v>
      </c>
      <c r="W3040" s="1" t="str">
        <f>VLOOKUP(Table1[[#This Row],[Obergruppe ATC-Code]],Tabelle3!$A$2:$B$100,2)</f>
        <v>OPHTHALMOLOGISCHE UND OTOLOGISCHE ZUBEREITUNGEN</v>
      </c>
      <c r="X3040" s="1" t="str">
        <f xml:space="preserve"> LEFT(Table1[[#This Row],[Atc Code]],3)</f>
        <v>TER</v>
      </c>
    </row>
    <row r="3041" spans="1:24" ht="14.4">
      <c r="A3041" s="14">
        <v>1526</v>
      </c>
      <c r="B3041" s="24">
        <v>16398039</v>
      </c>
      <c r="C3041" s="1">
        <v>2202511</v>
      </c>
      <c r="D3041" s="1" t="s">
        <v>25</v>
      </c>
      <c r="E3041" s="36">
        <v>45022</v>
      </c>
      <c r="F3041" s="36">
        <v>45043</v>
      </c>
      <c r="G3041" s="38">
        <f t="shared" si="47"/>
        <v>21</v>
      </c>
      <c r="H3041" s="5">
        <v>45022</v>
      </c>
      <c r="I3041" s="5">
        <v>45077</v>
      </c>
      <c r="J3041" s="1" t="s">
        <v>41</v>
      </c>
      <c r="K3041" s="1" t="s">
        <v>6393</v>
      </c>
      <c r="L3041" s="1" t="s">
        <v>6391</v>
      </c>
      <c r="M3041" s="1" t="s">
        <v>6392</v>
      </c>
      <c r="N3041" s="1" t="s">
        <v>38</v>
      </c>
      <c r="O3041" s="1" t="s">
        <v>162</v>
      </c>
      <c r="Q3041" s="1" t="s">
        <v>5376</v>
      </c>
      <c r="R3041" s="1" t="s">
        <v>128</v>
      </c>
      <c r="S3041" s="1"/>
      <c r="U3041" s="1" t="s">
        <v>35</v>
      </c>
      <c r="V3041" s="1" t="s">
        <v>99</v>
      </c>
      <c r="W3041" s="1" t="str">
        <f>VLOOKUP(Table1[[#This Row],[Obergruppe ATC-Code]],Tabelle3!$A$2:$B$100,2)</f>
        <v>OPHTHALMOLOGISCHE UND OTOLOGISCHE ZUBEREITUNGEN</v>
      </c>
      <c r="X3041" s="1" t="str">
        <f xml:space="preserve"> LEFT(Table1[[#This Row],[Atc Code]],3)</f>
        <v>TER</v>
      </c>
    </row>
    <row r="3042" spans="1:24" ht="14.4">
      <c r="A3042" s="14">
        <v>2173</v>
      </c>
      <c r="B3042" s="24" t="s">
        <v>6394</v>
      </c>
      <c r="C3042" s="1">
        <v>149593</v>
      </c>
      <c r="D3042" s="1" t="s">
        <v>25</v>
      </c>
      <c r="E3042" s="36">
        <v>44812</v>
      </c>
      <c r="F3042" s="36">
        <v>44897</v>
      </c>
      <c r="G3042" s="38">
        <f t="shared" si="47"/>
        <v>85</v>
      </c>
      <c r="H3042" s="5">
        <v>44812</v>
      </c>
      <c r="I3042" s="5">
        <v>44897</v>
      </c>
      <c r="J3042" s="1" t="s">
        <v>26</v>
      </c>
      <c r="K3042" s="1" t="s">
        <v>6395</v>
      </c>
      <c r="L3042" s="1" t="s">
        <v>6396</v>
      </c>
      <c r="M3042" s="1" t="s">
        <v>6397</v>
      </c>
      <c r="N3042" s="1" t="s">
        <v>38</v>
      </c>
      <c r="O3042" s="1" t="s">
        <v>31</v>
      </c>
      <c r="Q3042" s="1" t="s">
        <v>32</v>
      </c>
      <c r="R3042" s="1" t="s">
        <v>33</v>
      </c>
      <c r="S3042" s="1"/>
      <c r="U3042" s="1" t="s">
        <v>35</v>
      </c>
      <c r="V3042" s="1" t="s">
        <v>6398</v>
      </c>
      <c r="W3042" s="1" t="str">
        <f>VLOOKUP(Table1[[#This Row],[Obergruppe ATC-Code]],Tabelle3!$A$2:$B$100,2)</f>
        <v>OPHTHALMOLOGISCHE UND OTOLOGISCHE ZUBEREITUNGEN</v>
      </c>
      <c r="X3042" s="1" t="str">
        <f xml:space="preserve"> LEFT(Table1[[#This Row],[Atc Code]],3)</f>
        <v>TER</v>
      </c>
    </row>
    <row r="3043" spans="1:24" ht="14.4">
      <c r="A3043" s="14">
        <v>2979</v>
      </c>
      <c r="B3043" s="24" t="s">
        <v>6399</v>
      </c>
      <c r="C3043" s="1">
        <v>165907</v>
      </c>
      <c r="D3043" s="1" t="s">
        <v>25</v>
      </c>
      <c r="E3043" s="36">
        <v>43221</v>
      </c>
      <c r="F3043" s="36">
        <v>43434</v>
      </c>
      <c r="G3043" s="38">
        <f t="shared" si="47"/>
        <v>213</v>
      </c>
      <c r="H3043" s="5">
        <v>43277</v>
      </c>
      <c r="I3043" s="5">
        <v>43424</v>
      </c>
      <c r="J3043" s="1" t="s">
        <v>26</v>
      </c>
      <c r="K3043" s="1" t="s">
        <v>6400</v>
      </c>
      <c r="L3043" s="1" t="s">
        <v>6401</v>
      </c>
      <c r="M3043" s="1" t="s">
        <v>61</v>
      </c>
      <c r="N3043" s="1" t="s">
        <v>30</v>
      </c>
      <c r="O3043" s="1" t="s">
        <v>554</v>
      </c>
      <c r="P3043" s="1" t="s">
        <v>1662</v>
      </c>
      <c r="Q3043" s="1" t="s">
        <v>64</v>
      </c>
      <c r="R3043" s="1" t="s">
        <v>33</v>
      </c>
      <c r="S3043" s="1"/>
      <c r="T3043" s="1" t="s">
        <v>6402</v>
      </c>
      <c r="U3043" s="1" t="s">
        <v>35</v>
      </c>
      <c r="V3043" s="1" t="s">
        <v>508</v>
      </c>
      <c r="W3043" s="1" t="str">
        <f>VLOOKUP(Table1[[#This Row],[Obergruppe ATC-Code]],Tabelle3!$A$2:$B$100,2)</f>
        <v>OPHTHALMOLOGISCHE UND OTOLOGISCHE ZUBEREITUNGEN</v>
      </c>
      <c r="X3043" s="1" t="str">
        <f xml:space="preserve"> LEFT(Table1[[#This Row],[Atc Code]],3)</f>
        <v>TER</v>
      </c>
    </row>
    <row r="3044" spans="1:24" ht="14.4">
      <c r="A3044" s="14">
        <v>2928</v>
      </c>
      <c r="B3044" s="24" t="s">
        <v>6403</v>
      </c>
      <c r="C3044" s="1">
        <v>158853</v>
      </c>
      <c r="D3044" s="1" t="s">
        <v>25</v>
      </c>
      <c r="E3044" s="36">
        <v>43221</v>
      </c>
      <c r="F3044" s="36">
        <v>43434</v>
      </c>
      <c r="G3044" s="38">
        <f t="shared" si="47"/>
        <v>213</v>
      </c>
      <c r="H3044" s="5">
        <v>43276</v>
      </c>
      <c r="I3044" s="5">
        <v>43424</v>
      </c>
      <c r="J3044" s="1" t="s">
        <v>26</v>
      </c>
      <c r="K3044" s="1" t="s">
        <v>6404</v>
      </c>
      <c r="L3044" s="1" t="s">
        <v>6401</v>
      </c>
      <c r="M3044" s="1" t="s">
        <v>61</v>
      </c>
      <c r="N3044" s="1" t="s">
        <v>30</v>
      </c>
      <c r="O3044" s="1" t="s">
        <v>554</v>
      </c>
      <c r="P3044" s="1" t="s">
        <v>1662</v>
      </c>
      <c r="Q3044" s="1" t="s">
        <v>64</v>
      </c>
      <c r="R3044" s="1" t="s">
        <v>33</v>
      </c>
      <c r="S3044" s="1"/>
      <c r="T3044" s="1" t="s">
        <v>2529</v>
      </c>
      <c r="U3044" s="1" t="s">
        <v>35</v>
      </c>
      <c r="V3044" s="1" t="s">
        <v>508</v>
      </c>
      <c r="W3044" s="1" t="str">
        <f>VLOOKUP(Table1[[#This Row],[Obergruppe ATC-Code]],Tabelle3!$A$2:$B$100,2)</f>
        <v>OPHTHALMOLOGISCHE UND OTOLOGISCHE ZUBEREITUNGEN</v>
      </c>
      <c r="X3044" s="1" t="str">
        <f xml:space="preserve"> LEFT(Table1[[#This Row],[Atc Code]],3)</f>
        <v>TER</v>
      </c>
    </row>
    <row r="3045" spans="1:24" ht="14.4">
      <c r="A3045" s="14">
        <v>2978</v>
      </c>
      <c r="B3045" s="24" t="s">
        <v>6399</v>
      </c>
      <c r="C3045" s="1">
        <v>165907</v>
      </c>
      <c r="D3045" s="1" t="s">
        <v>25</v>
      </c>
      <c r="E3045" s="36">
        <v>43709</v>
      </c>
      <c r="F3045" s="36">
        <v>43830</v>
      </c>
      <c r="G3045" s="38">
        <f t="shared" si="47"/>
        <v>121</v>
      </c>
      <c r="H3045" s="5">
        <v>43728</v>
      </c>
      <c r="I3045" s="5">
        <v>43840</v>
      </c>
      <c r="J3045" s="1" t="s">
        <v>26</v>
      </c>
      <c r="K3045" s="1" t="s">
        <v>6400</v>
      </c>
      <c r="L3045" s="1" t="s">
        <v>6401</v>
      </c>
      <c r="M3045" s="1" t="s">
        <v>61</v>
      </c>
      <c r="N3045" s="1" t="s">
        <v>30</v>
      </c>
      <c r="O3045" s="1" t="s">
        <v>554</v>
      </c>
      <c r="P3045" s="1" t="s">
        <v>266</v>
      </c>
      <c r="Q3045" s="1" t="s">
        <v>2532</v>
      </c>
      <c r="R3045" s="1" t="s">
        <v>33</v>
      </c>
      <c r="S3045" s="1"/>
      <c r="T3045" s="1" t="s">
        <v>6402</v>
      </c>
      <c r="U3045" s="1" t="s">
        <v>35</v>
      </c>
      <c r="V3045" s="1" t="s">
        <v>508</v>
      </c>
      <c r="W3045" s="1" t="str">
        <f>VLOOKUP(Table1[[#This Row],[Obergruppe ATC-Code]],Tabelle3!$A$2:$B$100,2)</f>
        <v>OPHTHALMOLOGISCHE UND OTOLOGISCHE ZUBEREITUNGEN</v>
      </c>
      <c r="X3045" s="1" t="str">
        <f xml:space="preserve"> LEFT(Table1[[#This Row],[Atc Code]],3)</f>
        <v>TER</v>
      </c>
    </row>
    <row r="3046" spans="1:24" ht="14.4">
      <c r="A3046" s="14">
        <v>2927</v>
      </c>
      <c r="B3046" s="24" t="s">
        <v>6403</v>
      </c>
      <c r="C3046" s="1">
        <v>158853</v>
      </c>
      <c r="D3046" s="1" t="s">
        <v>25</v>
      </c>
      <c r="E3046" s="36">
        <v>43709</v>
      </c>
      <c r="F3046" s="36">
        <v>43861</v>
      </c>
      <c r="G3046" s="38">
        <f t="shared" si="47"/>
        <v>152</v>
      </c>
      <c r="H3046" s="5">
        <v>43728</v>
      </c>
      <c r="I3046" s="5">
        <v>43893</v>
      </c>
      <c r="J3046" s="1" t="s">
        <v>26</v>
      </c>
      <c r="K3046" s="1" t="s">
        <v>6404</v>
      </c>
      <c r="L3046" s="1" t="s">
        <v>6401</v>
      </c>
      <c r="M3046" s="1" t="s">
        <v>61</v>
      </c>
      <c r="N3046" s="1" t="s">
        <v>30</v>
      </c>
      <c r="O3046" s="1" t="s">
        <v>554</v>
      </c>
      <c r="P3046" s="1" t="s">
        <v>266</v>
      </c>
      <c r="Q3046" s="1" t="s">
        <v>555</v>
      </c>
      <c r="R3046" s="1" t="s">
        <v>33</v>
      </c>
      <c r="S3046" s="1"/>
      <c r="T3046" s="1" t="s">
        <v>2529</v>
      </c>
      <c r="U3046" s="1" t="s">
        <v>35</v>
      </c>
      <c r="V3046" s="1" t="s">
        <v>508</v>
      </c>
      <c r="W3046" s="1" t="str">
        <f>VLOOKUP(Table1[[#This Row],[Obergruppe ATC-Code]],Tabelle3!$A$2:$B$100,2)</f>
        <v>OPHTHALMOLOGISCHE UND OTOLOGISCHE ZUBEREITUNGEN</v>
      </c>
      <c r="X3046" s="1" t="str">
        <f xml:space="preserve"> LEFT(Table1[[#This Row],[Atc Code]],3)</f>
        <v>TER</v>
      </c>
    </row>
    <row r="3047" spans="1:24" ht="14.4">
      <c r="A3047" s="14">
        <v>637</v>
      </c>
      <c r="B3047" s="24">
        <v>4169612</v>
      </c>
      <c r="C3047" s="1">
        <v>2702324</v>
      </c>
      <c r="D3047" s="1" t="s">
        <v>25</v>
      </c>
      <c r="E3047" s="36">
        <v>43922</v>
      </c>
      <c r="F3047" s="36">
        <v>44012</v>
      </c>
      <c r="G3047" s="38">
        <f t="shared" si="47"/>
        <v>90</v>
      </c>
      <c r="H3047" s="5">
        <v>43924</v>
      </c>
      <c r="I3047" s="5">
        <v>43964</v>
      </c>
      <c r="J3047" s="1" t="s">
        <v>26</v>
      </c>
      <c r="K3047" s="1" t="s">
        <v>6405</v>
      </c>
      <c r="L3047" s="1" t="s">
        <v>6406</v>
      </c>
      <c r="M3047" s="1" t="s">
        <v>6407</v>
      </c>
      <c r="N3047" s="1" t="s">
        <v>30</v>
      </c>
      <c r="O3047" s="1" t="s">
        <v>590</v>
      </c>
      <c r="P3047" s="1" t="s">
        <v>256</v>
      </c>
      <c r="Q3047" s="1" t="s">
        <v>257</v>
      </c>
      <c r="R3047" s="1" t="s">
        <v>33</v>
      </c>
      <c r="S3047" s="1"/>
      <c r="T3047" s="1" t="s">
        <v>6408</v>
      </c>
      <c r="U3047" s="1" t="s">
        <v>35</v>
      </c>
      <c r="V3047" s="1" t="s">
        <v>1292</v>
      </c>
      <c r="W3047" s="1" t="str">
        <f>VLOOKUP(Table1[[#This Row],[Obergruppe ATC-Code]],Tabelle3!$A$2:$B$100,2)</f>
        <v>OPHTHALMOLOGISCHE UND OTOLOGISCHE ZUBEREITUNGEN</v>
      </c>
      <c r="X3047" s="1" t="str">
        <f xml:space="preserve"> LEFT(Table1[[#This Row],[Atc Code]],3)</f>
        <v>TER</v>
      </c>
    </row>
    <row r="3048" spans="1:24" ht="14.4">
      <c r="A3048" s="14">
        <v>3209</v>
      </c>
      <c r="B3048" s="51">
        <v>2764575</v>
      </c>
      <c r="C3048" s="1">
        <v>2603341</v>
      </c>
      <c r="D3048" s="1" t="s">
        <v>25</v>
      </c>
      <c r="E3048" s="36">
        <v>43466</v>
      </c>
      <c r="F3048" s="36">
        <v>43524</v>
      </c>
      <c r="G3048" s="38">
        <f t="shared" si="47"/>
        <v>58</v>
      </c>
      <c r="H3048" s="5">
        <v>43473</v>
      </c>
      <c r="I3048" s="5">
        <v>43517</v>
      </c>
      <c r="J3048" s="1" t="s">
        <v>41</v>
      </c>
      <c r="K3048" s="1" t="s">
        <v>6409</v>
      </c>
      <c r="L3048" s="1" t="s">
        <v>6410</v>
      </c>
      <c r="M3048" s="1" t="s">
        <v>6411</v>
      </c>
      <c r="N3048" s="1" t="s">
        <v>38</v>
      </c>
      <c r="O3048" s="1" t="s">
        <v>2312</v>
      </c>
      <c r="P3048" s="1" t="s">
        <v>2313</v>
      </c>
      <c r="Q3048" s="1" t="s">
        <v>2314</v>
      </c>
      <c r="R3048" s="1" t="s">
        <v>65</v>
      </c>
      <c r="S3048" s="1"/>
      <c r="U3048" s="1" t="s">
        <v>35</v>
      </c>
      <c r="V3048" s="1" t="s">
        <v>6412</v>
      </c>
      <c r="W3048" s="1" t="str">
        <f>VLOOKUP(Table1[[#This Row],[Obergruppe ATC-Code]],Tabelle3!$A$2:$B$100,2)</f>
        <v>OPHTHALMOLOGISCHE UND OTOLOGISCHE ZUBEREITUNGEN</v>
      </c>
      <c r="X3048" s="1" t="str">
        <f xml:space="preserve"> LEFT(Table1[[#This Row],[Atc Code]],3)</f>
        <v>TER</v>
      </c>
    </row>
    <row r="3049" spans="1:24" ht="14.4">
      <c r="A3049" s="14">
        <v>3208</v>
      </c>
      <c r="B3049" s="1">
        <v>2764575</v>
      </c>
      <c r="C3049" s="1">
        <v>2603341</v>
      </c>
      <c r="D3049" s="1" t="s">
        <v>25</v>
      </c>
      <c r="E3049" s="36">
        <v>43922</v>
      </c>
      <c r="F3049" s="36">
        <v>44348</v>
      </c>
      <c r="G3049" s="38">
        <f t="shared" si="47"/>
        <v>426</v>
      </c>
      <c r="H3049" s="5">
        <v>43921</v>
      </c>
      <c r="I3049" s="5">
        <v>44370</v>
      </c>
      <c r="J3049" s="1" t="s">
        <v>41</v>
      </c>
      <c r="K3049" s="1" t="s">
        <v>6409</v>
      </c>
      <c r="L3049" s="1" t="s">
        <v>6410</v>
      </c>
      <c r="M3049" s="1" t="s">
        <v>6411</v>
      </c>
      <c r="N3049" s="1" t="s">
        <v>38</v>
      </c>
      <c r="O3049" s="1" t="s">
        <v>2312</v>
      </c>
      <c r="P3049" s="1" t="s">
        <v>2313</v>
      </c>
      <c r="Q3049" s="1" t="s">
        <v>4279</v>
      </c>
      <c r="R3049" s="1" t="s">
        <v>48</v>
      </c>
      <c r="S3049" s="1"/>
      <c r="U3049" s="1" t="s">
        <v>35</v>
      </c>
      <c r="V3049" s="1" t="s">
        <v>6412</v>
      </c>
      <c r="W3049" s="1" t="str">
        <f>VLOOKUP(Table1[[#This Row],[Obergruppe ATC-Code]],Tabelle3!$A$2:$B$100,2)</f>
        <v>OPHTHALMOLOGISCHE UND OTOLOGISCHE ZUBEREITUNGEN</v>
      </c>
      <c r="X3049" s="1" t="str">
        <f xml:space="preserve"> LEFT(Table1[[#This Row],[Atc Code]],3)</f>
        <v>TER</v>
      </c>
    </row>
    <row r="3050" spans="1:24" ht="14.4">
      <c r="A3050" s="14">
        <v>724</v>
      </c>
      <c r="B3050" s="24">
        <v>4939116</v>
      </c>
      <c r="C3050" s="1">
        <v>2112896</v>
      </c>
      <c r="D3050" s="1" t="s">
        <v>25</v>
      </c>
      <c r="E3050" s="36">
        <v>44540</v>
      </c>
      <c r="F3050" s="36">
        <v>44763</v>
      </c>
      <c r="G3050" s="38">
        <f t="shared" si="47"/>
        <v>223</v>
      </c>
      <c r="H3050" s="5">
        <v>44540</v>
      </c>
      <c r="I3050" s="5">
        <v>44764</v>
      </c>
      <c r="J3050" s="1" t="s">
        <v>41</v>
      </c>
      <c r="K3050" s="1" t="s">
        <v>6413</v>
      </c>
      <c r="L3050" s="1" t="s">
        <v>6414</v>
      </c>
      <c r="M3050" s="1" t="s">
        <v>1941</v>
      </c>
      <c r="N3050" s="1" t="s">
        <v>38</v>
      </c>
      <c r="O3050" s="1" t="s">
        <v>91</v>
      </c>
      <c r="P3050" s="1" t="s">
        <v>92</v>
      </c>
      <c r="Q3050" s="1" t="s">
        <v>93</v>
      </c>
      <c r="R3050" s="1" t="s">
        <v>128</v>
      </c>
      <c r="S3050" s="1" t="s">
        <v>6415</v>
      </c>
      <c r="U3050" s="1" t="s">
        <v>130</v>
      </c>
      <c r="V3050" s="1" t="s">
        <v>49</v>
      </c>
      <c r="W3050" s="1" t="str">
        <f>VLOOKUP(Table1[[#This Row],[Obergruppe ATC-Code]],Tabelle3!$A$2:$B$100,2)</f>
        <v>OPHTHALMOLOGISCHE UND OTOLOGISCHE ZUBEREITUNGEN</v>
      </c>
      <c r="X3050" s="1" t="str">
        <f xml:space="preserve"> LEFT(Table1[[#This Row],[Atc Code]],3)</f>
        <v>TER</v>
      </c>
    </row>
    <row r="3051" spans="1:24" ht="14.4">
      <c r="A3051" s="14">
        <v>2196</v>
      </c>
      <c r="B3051" s="24" t="s">
        <v>6416</v>
      </c>
      <c r="C3051" s="1">
        <v>2159343</v>
      </c>
      <c r="D3051" s="1" t="s">
        <v>25</v>
      </c>
      <c r="E3051" s="36">
        <v>44540</v>
      </c>
      <c r="F3051" s="36">
        <v>44781</v>
      </c>
      <c r="G3051" s="38">
        <f t="shared" si="47"/>
        <v>241</v>
      </c>
      <c r="H3051" s="5">
        <v>44540</v>
      </c>
      <c r="I3051" s="5">
        <v>44781</v>
      </c>
      <c r="J3051" s="1" t="s">
        <v>41</v>
      </c>
      <c r="K3051" s="1" t="s">
        <v>6417</v>
      </c>
      <c r="L3051" s="1" t="s">
        <v>6414</v>
      </c>
      <c r="M3051" s="1" t="s">
        <v>1941</v>
      </c>
      <c r="N3051" s="1" t="s">
        <v>38</v>
      </c>
      <c r="O3051" s="1" t="s">
        <v>91</v>
      </c>
      <c r="P3051" s="1" t="s">
        <v>92</v>
      </c>
      <c r="Q3051" s="1" t="s">
        <v>93</v>
      </c>
      <c r="R3051" s="1" t="s">
        <v>128</v>
      </c>
      <c r="S3051" s="1" t="s">
        <v>6415</v>
      </c>
      <c r="U3051" s="1" t="s">
        <v>35</v>
      </c>
      <c r="V3051" s="1" t="s">
        <v>49</v>
      </c>
      <c r="W3051" s="1" t="str">
        <f>VLOOKUP(Table1[[#This Row],[Obergruppe ATC-Code]],Tabelle3!$A$2:$B$100,2)</f>
        <v>OPHTHALMOLOGISCHE UND OTOLOGISCHE ZUBEREITUNGEN</v>
      </c>
      <c r="X3051" s="1" t="str">
        <f xml:space="preserve"> LEFT(Table1[[#This Row],[Atc Code]],3)</f>
        <v>TER</v>
      </c>
    </row>
    <row r="3052" spans="1:24" ht="14.4">
      <c r="A3052" s="14">
        <v>2195</v>
      </c>
      <c r="B3052" s="24" t="s">
        <v>6418</v>
      </c>
      <c r="C3052" s="1">
        <v>2159341</v>
      </c>
      <c r="D3052" s="1" t="s">
        <v>25</v>
      </c>
      <c r="E3052" s="36">
        <v>44540</v>
      </c>
      <c r="F3052" s="36">
        <v>44797</v>
      </c>
      <c r="G3052" s="38">
        <f t="shared" si="47"/>
        <v>257</v>
      </c>
      <c r="H3052" s="5">
        <v>44540</v>
      </c>
      <c r="I3052" s="5">
        <v>44802</v>
      </c>
      <c r="J3052" s="1" t="s">
        <v>41</v>
      </c>
      <c r="K3052" s="1" t="s">
        <v>6419</v>
      </c>
      <c r="L3052" s="1" t="s">
        <v>6414</v>
      </c>
      <c r="M3052" s="1" t="s">
        <v>1941</v>
      </c>
      <c r="N3052" s="1" t="s">
        <v>38</v>
      </c>
      <c r="O3052" s="1" t="s">
        <v>91</v>
      </c>
      <c r="P3052" s="1" t="s">
        <v>92</v>
      </c>
      <c r="Q3052" s="1" t="s">
        <v>93</v>
      </c>
      <c r="R3052" s="1" t="s">
        <v>128</v>
      </c>
      <c r="S3052" s="1" t="s">
        <v>6420</v>
      </c>
      <c r="U3052" s="1" t="s">
        <v>35</v>
      </c>
      <c r="V3052" s="1" t="s">
        <v>49</v>
      </c>
      <c r="W3052" s="1" t="str">
        <f>VLOOKUP(Table1[[#This Row],[Obergruppe ATC-Code]],Tabelle3!$A$2:$B$100,2)</f>
        <v>OPHTHALMOLOGISCHE UND OTOLOGISCHE ZUBEREITUNGEN</v>
      </c>
      <c r="X3052" s="1" t="str">
        <f xml:space="preserve"> LEFT(Table1[[#This Row],[Atc Code]],3)</f>
        <v>TER</v>
      </c>
    </row>
    <row r="3053" spans="1:24" ht="14.4">
      <c r="A3053" s="14">
        <v>2015</v>
      </c>
      <c r="B3053" s="24" t="s">
        <v>6421</v>
      </c>
      <c r="C3053" s="1">
        <v>2112897</v>
      </c>
      <c r="D3053" s="1" t="s">
        <v>25</v>
      </c>
      <c r="E3053" s="36">
        <v>44540</v>
      </c>
      <c r="F3053" s="36">
        <v>44806</v>
      </c>
      <c r="G3053" s="38">
        <f t="shared" si="47"/>
        <v>266</v>
      </c>
      <c r="H3053" s="5">
        <v>44540</v>
      </c>
      <c r="I3053" s="5">
        <v>44809</v>
      </c>
      <c r="J3053" s="1" t="s">
        <v>41</v>
      </c>
      <c r="K3053" s="1" t="s">
        <v>6422</v>
      </c>
      <c r="L3053" s="1" t="s">
        <v>6414</v>
      </c>
      <c r="M3053" s="1" t="s">
        <v>1941</v>
      </c>
      <c r="N3053" s="1" t="s">
        <v>38</v>
      </c>
      <c r="O3053" s="1" t="s">
        <v>91</v>
      </c>
      <c r="P3053" s="1" t="s">
        <v>92</v>
      </c>
      <c r="Q3053" s="1" t="s">
        <v>93</v>
      </c>
      <c r="R3053" s="1" t="s">
        <v>128</v>
      </c>
      <c r="S3053" s="1" t="s">
        <v>6423</v>
      </c>
      <c r="U3053" s="1" t="s">
        <v>35</v>
      </c>
      <c r="V3053" s="1" t="s">
        <v>49</v>
      </c>
      <c r="W3053" s="1" t="str">
        <f>VLOOKUP(Table1[[#This Row],[Obergruppe ATC-Code]],Tabelle3!$A$2:$B$100,2)</f>
        <v>OPHTHALMOLOGISCHE UND OTOLOGISCHE ZUBEREITUNGEN</v>
      </c>
      <c r="X3053" s="1" t="str">
        <f xml:space="preserve"> LEFT(Table1[[#This Row],[Atc Code]],3)</f>
        <v>TER</v>
      </c>
    </row>
    <row r="3054" spans="1:24" ht="14.4">
      <c r="A3054" s="14">
        <v>1848</v>
      </c>
      <c r="B3054" s="24" t="s">
        <v>6424</v>
      </c>
      <c r="C3054" s="1">
        <v>2149756</v>
      </c>
      <c r="D3054" s="1" t="s">
        <v>25</v>
      </c>
      <c r="E3054" s="36">
        <v>44540</v>
      </c>
      <c r="F3054" s="36">
        <v>44806</v>
      </c>
      <c r="G3054" s="38">
        <f t="shared" si="47"/>
        <v>266</v>
      </c>
      <c r="H3054" s="5">
        <v>44540</v>
      </c>
      <c r="I3054" s="5">
        <v>44809</v>
      </c>
      <c r="J3054" s="1" t="s">
        <v>41</v>
      </c>
      <c r="K3054" s="1" t="s">
        <v>6425</v>
      </c>
      <c r="L3054" s="1" t="s">
        <v>6414</v>
      </c>
      <c r="M3054" s="1" t="s">
        <v>1941</v>
      </c>
      <c r="N3054" s="1" t="s">
        <v>38</v>
      </c>
      <c r="O3054" s="1" t="s">
        <v>91</v>
      </c>
      <c r="P3054" s="1" t="s">
        <v>92</v>
      </c>
      <c r="Q3054" s="1" t="s">
        <v>93</v>
      </c>
      <c r="R3054" s="1" t="s">
        <v>128</v>
      </c>
      <c r="S3054" s="1" t="s">
        <v>6415</v>
      </c>
      <c r="U3054" s="1" t="s">
        <v>35</v>
      </c>
      <c r="V3054" s="1" t="s">
        <v>49</v>
      </c>
      <c r="W3054" s="1" t="str">
        <f>VLOOKUP(Table1[[#This Row],[Obergruppe ATC-Code]],Tabelle3!$A$2:$B$100,2)</f>
        <v>OPHTHALMOLOGISCHE UND OTOLOGISCHE ZUBEREITUNGEN</v>
      </c>
      <c r="X3054" s="1" t="str">
        <f xml:space="preserve"> LEFT(Table1[[#This Row],[Atc Code]],3)</f>
        <v>TER</v>
      </c>
    </row>
    <row r="3055" spans="1:24" ht="14.4">
      <c r="A3055" s="14">
        <v>710</v>
      </c>
      <c r="B3055" s="25">
        <v>4832252</v>
      </c>
      <c r="C3055" s="1">
        <v>2104094</v>
      </c>
      <c r="D3055" s="1" t="s">
        <v>25</v>
      </c>
      <c r="E3055" s="36">
        <v>43586</v>
      </c>
      <c r="F3055" s="36">
        <v>43677</v>
      </c>
      <c r="G3055" s="38">
        <f t="shared" si="47"/>
        <v>91</v>
      </c>
      <c r="H3055" s="5">
        <v>43612</v>
      </c>
      <c r="I3055" s="5">
        <v>43651</v>
      </c>
      <c r="J3055" s="1" t="s">
        <v>26</v>
      </c>
      <c r="K3055" s="1" t="s">
        <v>6426</v>
      </c>
      <c r="L3055" s="1" t="s">
        <v>6427</v>
      </c>
      <c r="M3055" s="1" t="s">
        <v>363</v>
      </c>
      <c r="N3055" s="1" t="s">
        <v>30</v>
      </c>
      <c r="O3055" s="1" t="s">
        <v>321</v>
      </c>
      <c r="P3055" s="1" t="s">
        <v>326</v>
      </c>
      <c r="Q3055" s="1" t="s">
        <v>327</v>
      </c>
      <c r="R3055" s="1" t="s">
        <v>33</v>
      </c>
      <c r="S3055" s="1"/>
      <c r="T3055" s="1" t="s">
        <v>6428</v>
      </c>
      <c r="U3055" s="1" t="s">
        <v>35</v>
      </c>
      <c r="V3055" s="1" t="s">
        <v>367</v>
      </c>
      <c r="W3055" s="1" t="str">
        <f>VLOOKUP(Table1[[#This Row],[Obergruppe ATC-Code]],Tabelle3!$A$2:$B$100,2)</f>
        <v>OPHTHALMOLOGISCHE UND OTOLOGISCHE ZUBEREITUNGEN</v>
      </c>
      <c r="X3055" s="1" t="str">
        <f xml:space="preserve"> LEFT(Table1[[#This Row],[Atc Code]],3)</f>
        <v>TER</v>
      </c>
    </row>
    <row r="3056" spans="1:24" ht="14.4">
      <c r="A3056" s="14">
        <v>712</v>
      </c>
      <c r="B3056" s="25">
        <v>4832252</v>
      </c>
      <c r="C3056" s="1">
        <v>2104094</v>
      </c>
      <c r="D3056" s="1" t="s">
        <v>25</v>
      </c>
      <c r="E3056" s="36">
        <v>43800</v>
      </c>
      <c r="F3056" s="36">
        <v>43951</v>
      </c>
      <c r="G3056" s="38">
        <f t="shared" si="47"/>
        <v>151</v>
      </c>
      <c r="H3056" s="5">
        <v>43818</v>
      </c>
      <c r="I3056" s="5">
        <v>43942</v>
      </c>
      <c r="J3056" s="1" t="s">
        <v>41</v>
      </c>
      <c r="K3056" s="1" t="s">
        <v>6426</v>
      </c>
      <c r="L3056" s="1" t="s">
        <v>6427</v>
      </c>
      <c r="M3056" s="1" t="s">
        <v>363</v>
      </c>
      <c r="N3056" s="1" t="s">
        <v>30</v>
      </c>
      <c r="O3056" s="1" t="s">
        <v>321</v>
      </c>
      <c r="P3056" s="1" t="s">
        <v>326</v>
      </c>
      <c r="Q3056" s="1" t="s">
        <v>327</v>
      </c>
      <c r="R3056" s="1" t="s">
        <v>48</v>
      </c>
      <c r="S3056" s="1"/>
      <c r="T3056" s="1" t="s">
        <v>6429</v>
      </c>
      <c r="U3056" s="1" t="s">
        <v>35</v>
      </c>
      <c r="V3056" s="1" t="s">
        <v>367</v>
      </c>
      <c r="W3056" s="1" t="str">
        <f>VLOOKUP(Table1[[#This Row],[Obergruppe ATC-Code]],Tabelle3!$A$2:$B$100,2)</f>
        <v>OPHTHALMOLOGISCHE UND OTOLOGISCHE ZUBEREITUNGEN</v>
      </c>
      <c r="X3056" s="1" t="str">
        <f xml:space="preserve"> LEFT(Table1[[#This Row],[Atc Code]],3)</f>
        <v>TER</v>
      </c>
    </row>
    <row r="3057" spans="1:24" ht="14.4">
      <c r="A3057" s="14">
        <v>711</v>
      </c>
      <c r="B3057" s="25">
        <v>4832252</v>
      </c>
      <c r="C3057" s="1">
        <v>2104094</v>
      </c>
      <c r="D3057" s="1" t="s">
        <v>25</v>
      </c>
      <c r="E3057" s="36">
        <v>43952</v>
      </c>
      <c r="F3057" s="36">
        <v>44227</v>
      </c>
      <c r="G3057" s="38">
        <f t="shared" si="47"/>
        <v>275</v>
      </c>
      <c r="H3057" s="5">
        <v>43978</v>
      </c>
      <c r="I3057" s="5">
        <v>44181</v>
      </c>
      <c r="J3057" s="1" t="s">
        <v>41</v>
      </c>
      <c r="K3057" s="1" t="s">
        <v>6426</v>
      </c>
      <c r="L3057" s="1" t="s">
        <v>6427</v>
      </c>
      <c r="M3057" s="1" t="s">
        <v>363</v>
      </c>
      <c r="N3057" s="1" t="s">
        <v>30</v>
      </c>
      <c r="O3057" s="1" t="s">
        <v>321</v>
      </c>
      <c r="P3057" s="1" t="s">
        <v>326</v>
      </c>
      <c r="Q3057" s="1" t="s">
        <v>327</v>
      </c>
      <c r="R3057" s="1" t="s">
        <v>48</v>
      </c>
      <c r="S3057" s="1"/>
      <c r="T3057" s="1" t="s">
        <v>6429</v>
      </c>
      <c r="U3057" s="1" t="s">
        <v>35</v>
      </c>
      <c r="V3057" s="1" t="s">
        <v>367</v>
      </c>
      <c r="W3057" s="1" t="str">
        <f>VLOOKUP(Table1[[#This Row],[Obergruppe ATC-Code]],Tabelle3!$A$2:$B$100,2)</f>
        <v>OPHTHALMOLOGISCHE UND OTOLOGISCHE ZUBEREITUNGEN</v>
      </c>
      <c r="X3057" s="1" t="str">
        <f xml:space="preserve"> LEFT(Table1[[#This Row],[Atc Code]],3)</f>
        <v>TER</v>
      </c>
    </row>
    <row r="3058" spans="1:24" ht="14.4">
      <c r="A3058" s="14">
        <v>695</v>
      </c>
      <c r="B3058" s="24">
        <v>4706530</v>
      </c>
      <c r="C3058" s="1">
        <v>196428</v>
      </c>
      <c r="D3058" s="1" t="s">
        <v>25</v>
      </c>
      <c r="E3058" s="36">
        <v>44508</v>
      </c>
      <c r="F3058" s="36">
        <v>44672</v>
      </c>
      <c r="G3058" s="38">
        <f t="shared" si="47"/>
        <v>164</v>
      </c>
      <c r="H3058" s="5">
        <v>44508</v>
      </c>
      <c r="I3058" s="5">
        <v>44672</v>
      </c>
      <c r="J3058" s="1" t="s">
        <v>26</v>
      </c>
      <c r="K3058" s="1" t="s">
        <v>6430</v>
      </c>
      <c r="L3058" s="1" t="s">
        <v>6431</v>
      </c>
      <c r="M3058" s="1" t="s">
        <v>6432</v>
      </c>
      <c r="N3058" s="1" t="s">
        <v>30</v>
      </c>
      <c r="O3058" s="1" t="s">
        <v>62</v>
      </c>
      <c r="P3058" s="1" t="s">
        <v>63</v>
      </c>
      <c r="Q3058" s="1" t="s">
        <v>64</v>
      </c>
      <c r="R3058" s="1" t="s">
        <v>113</v>
      </c>
      <c r="S3058" s="1" t="s">
        <v>6433</v>
      </c>
      <c r="U3058" s="1" t="s">
        <v>35</v>
      </c>
      <c r="V3058" s="1" t="s">
        <v>74</v>
      </c>
      <c r="W3058" s="1" t="str">
        <f>VLOOKUP(Table1[[#This Row],[Obergruppe ATC-Code]],Tabelle3!$A$2:$B$100,2)</f>
        <v>OPHTHALMOLOGISCHE UND OTOLOGISCHE ZUBEREITUNGEN</v>
      </c>
      <c r="X3058" s="1" t="str">
        <f xml:space="preserve"> LEFT(Table1[[#This Row],[Atc Code]],3)</f>
        <v>TER</v>
      </c>
    </row>
    <row r="3059" spans="1:24" ht="14.4">
      <c r="A3059" s="14">
        <v>2326</v>
      </c>
      <c r="B3059" s="24" t="s">
        <v>6434</v>
      </c>
      <c r="C3059" s="1">
        <v>196782</v>
      </c>
      <c r="D3059" s="1" t="s">
        <v>25</v>
      </c>
      <c r="E3059" s="36">
        <v>44782</v>
      </c>
      <c r="F3059" s="36">
        <v>44825</v>
      </c>
      <c r="G3059" s="38">
        <f t="shared" si="47"/>
        <v>43</v>
      </c>
      <c r="H3059" s="5">
        <v>44782</v>
      </c>
      <c r="I3059" s="5">
        <v>44825</v>
      </c>
      <c r="J3059" s="1" t="s">
        <v>41</v>
      </c>
      <c r="K3059" s="1" t="s">
        <v>6435</v>
      </c>
      <c r="L3059" s="1" t="s">
        <v>6431</v>
      </c>
      <c r="M3059" s="1" t="s">
        <v>6432</v>
      </c>
      <c r="N3059" s="1" t="s">
        <v>30</v>
      </c>
      <c r="O3059" s="1" t="s">
        <v>62</v>
      </c>
      <c r="P3059" s="1" t="s">
        <v>6436</v>
      </c>
      <c r="Q3059" s="1" t="s">
        <v>64</v>
      </c>
      <c r="R3059" s="1" t="s">
        <v>26</v>
      </c>
      <c r="S3059" s="1" t="s">
        <v>6437</v>
      </c>
      <c r="U3059" s="1" t="s">
        <v>35</v>
      </c>
      <c r="V3059" s="1" t="s">
        <v>596</v>
      </c>
      <c r="W3059" s="1" t="str">
        <f>VLOOKUP(Table1[[#This Row],[Obergruppe ATC-Code]],Tabelle3!$A$2:$B$100,2)</f>
        <v>OPHTHALMOLOGISCHE UND OTOLOGISCHE ZUBEREITUNGEN</v>
      </c>
      <c r="X3059" s="1" t="str">
        <f xml:space="preserve"> LEFT(Table1[[#This Row],[Atc Code]],3)</f>
        <v>TER</v>
      </c>
    </row>
    <row r="3060" spans="1:24" ht="14.4">
      <c r="A3060" s="14">
        <v>2325</v>
      </c>
      <c r="B3060" s="24" t="s">
        <v>6434</v>
      </c>
      <c r="C3060" s="1">
        <v>196782</v>
      </c>
      <c r="D3060" s="1" t="s">
        <v>25</v>
      </c>
      <c r="E3060" s="36">
        <v>44946</v>
      </c>
      <c r="F3060" s="36">
        <v>45044</v>
      </c>
      <c r="G3060" s="38">
        <f t="shared" si="47"/>
        <v>98</v>
      </c>
      <c r="H3060" s="5">
        <v>44938</v>
      </c>
      <c r="I3060" s="5">
        <v>45044</v>
      </c>
      <c r="J3060" s="1" t="s">
        <v>41</v>
      </c>
      <c r="K3060" s="1" t="s">
        <v>6435</v>
      </c>
      <c r="L3060" s="1" t="s">
        <v>6431</v>
      </c>
      <c r="M3060" s="1" t="s">
        <v>6432</v>
      </c>
      <c r="N3060" s="1" t="s">
        <v>30</v>
      </c>
      <c r="O3060" s="1" t="s">
        <v>62</v>
      </c>
      <c r="P3060" s="1">
        <v>8005252010</v>
      </c>
      <c r="Q3060" s="1" t="s">
        <v>64</v>
      </c>
      <c r="R3060" s="1" t="s">
        <v>26</v>
      </c>
      <c r="S3060" s="1" t="s">
        <v>6437</v>
      </c>
      <c r="U3060" s="1" t="s">
        <v>35</v>
      </c>
      <c r="V3060" s="1" t="s">
        <v>596</v>
      </c>
      <c r="W3060" s="1" t="str">
        <f>VLOOKUP(Table1[[#This Row],[Obergruppe ATC-Code]],Tabelle3!$A$2:$B$100,2)</f>
        <v>OPHTHALMOLOGISCHE UND OTOLOGISCHE ZUBEREITUNGEN</v>
      </c>
      <c r="X3060" s="1" t="str">
        <f xml:space="preserve"> LEFT(Table1[[#This Row],[Atc Code]],3)</f>
        <v>TER</v>
      </c>
    </row>
    <row r="3061" spans="1:24" ht="14.4">
      <c r="A3061" s="14">
        <v>2649</v>
      </c>
      <c r="B3061" s="24" t="s">
        <v>6438</v>
      </c>
      <c r="C3061" s="1">
        <v>2192337</v>
      </c>
      <c r="D3061" s="1" t="s">
        <v>25</v>
      </c>
      <c r="E3061" s="36">
        <v>44013</v>
      </c>
      <c r="F3061" s="36">
        <v>44440</v>
      </c>
      <c r="G3061" s="38">
        <f t="shared" si="47"/>
        <v>427</v>
      </c>
      <c r="H3061" s="5">
        <v>44034</v>
      </c>
      <c r="I3061" s="5">
        <v>44441</v>
      </c>
      <c r="J3061" s="1" t="s">
        <v>41</v>
      </c>
      <c r="K3061" s="1" t="s">
        <v>6439</v>
      </c>
      <c r="L3061" s="1" t="s">
        <v>6440</v>
      </c>
      <c r="M3061" s="1" t="s">
        <v>6441</v>
      </c>
      <c r="N3061" s="1" t="s">
        <v>30</v>
      </c>
      <c r="O3061" s="1" t="s">
        <v>1489</v>
      </c>
      <c r="P3061" s="1" t="s">
        <v>1733</v>
      </c>
      <c r="Q3061" s="1" t="s">
        <v>1734</v>
      </c>
      <c r="R3061" s="1" t="s">
        <v>26</v>
      </c>
      <c r="S3061" s="1"/>
      <c r="U3061" s="1" t="s">
        <v>35</v>
      </c>
      <c r="V3061" s="1" t="s">
        <v>99</v>
      </c>
      <c r="W3061" s="1" t="str">
        <f>VLOOKUP(Table1[[#This Row],[Obergruppe ATC-Code]],Tabelle3!$A$2:$B$100,2)</f>
        <v>OPHTHALMOLOGISCHE UND OTOLOGISCHE ZUBEREITUNGEN</v>
      </c>
      <c r="X3061" s="1" t="str">
        <f xml:space="preserve"> LEFT(Table1[[#This Row],[Atc Code]],3)</f>
        <v>TER</v>
      </c>
    </row>
    <row r="3062" spans="1:24" ht="14.4">
      <c r="A3062" s="14">
        <v>1716</v>
      </c>
      <c r="B3062" s="24" t="s">
        <v>6442</v>
      </c>
      <c r="C3062" s="1">
        <v>2145583</v>
      </c>
      <c r="D3062" s="1" t="s">
        <v>25</v>
      </c>
      <c r="E3062" s="36">
        <v>44791</v>
      </c>
      <c r="F3062" s="36">
        <v>44825</v>
      </c>
      <c r="G3062" s="38">
        <f t="shared" si="47"/>
        <v>34</v>
      </c>
      <c r="H3062" s="5">
        <v>44798</v>
      </c>
      <c r="I3062" s="5">
        <v>44825</v>
      </c>
      <c r="J3062" s="1" t="s">
        <v>41</v>
      </c>
      <c r="K3062" s="1" t="s">
        <v>6443</v>
      </c>
      <c r="L3062" s="1" t="s">
        <v>6444</v>
      </c>
      <c r="M3062" s="1" t="s">
        <v>6432</v>
      </c>
      <c r="N3062" s="1" t="s">
        <v>38</v>
      </c>
      <c r="O3062" s="1" t="s">
        <v>62</v>
      </c>
      <c r="P3062" s="1" t="s">
        <v>63</v>
      </c>
      <c r="Q3062" s="1" t="s">
        <v>64</v>
      </c>
      <c r="R3062" s="1" t="s">
        <v>26</v>
      </c>
      <c r="S3062" s="1" t="s">
        <v>6445</v>
      </c>
      <c r="T3062" s="1" t="s">
        <v>6446</v>
      </c>
      <c r="U3062" s="1" t="s">
        <v>35</v>
      </c>
      <c r="V3062" s="1" t="s">
        <v>1292</v>
      </c>
      <c r="W3062" s="1" t="str">
        <f>VLOOKUP(Table1[[#This Row],[Obergruppe ATC-Code]],Tabelle3!$A$2:$B$100,2)</f>
        <v>OPHTHALMOLOGISCHE UND OTOLOGISCHE ZUBEREITUNGEN</v>
      </c>
      <c r="X3062" s="1" t="str">
        <f xml:space="preserve"> LEFT(Table1[[#This Row],[Atc Code]],3)</f>
        <v>TER</v>
      </c>
    </row>
    <row r="3063" spans="1:24" ht="14.4">
      <c r="A3063" s="14">
        <v>1719</v>
      </c>
      <c r="B3063" s="24" t="s">
        <v>6447</v>
      </c>
      <c r="C3063" s="1">
        <v>2145583</v>
      </c>
      <c r="D3063" s="1" t="s">
        <v>25</v>
      </c>
      <c r="E3063" s="36">
        <v>44942</v>
      </c>
      <c r="F3063" s="36">
        <v>45044</v>
      </c>
      <c r="G3063" s="38">
        <f t="shared" si="47"/>
        <v>102</v>
      </c>
      <c r="H3063" s="5">
        <v>44938</v>
      </c>
      <c r="I3063" s="5">
        <v>45044</v>
      </c>
      <c r="J3063" s="1" t="s">
        <v>41</v>
      </c>
      <c r="K3063" s="1" t="s">
        <v>6443</v>
      </c>
      <c r="L3063" s="1" t="s">
        <v>6444</v>
      </c>
      <c r="M3063" s="1" t="s">
        <v>6432</v>
      </c>
      <c r="N3063" s="1" t="s">
        <v>30</v>
      </c>
      <c r="O3063" s="1" t="s">
        <v>62</v>
      </c>
      <c r="P3063" s="1">
        <v>8005252010</v>
      </c>
      <c r="Q3063" s="1" t="s">
        <v>64</v>
      </c>
      <c r="R3063" s="1" t="s">
        <v>26</v>
      </c>
      <c r="S3063" s="1" t="s">
        <v>6448</v>
      </c>
      <c r="U3063" s="1" t="s">
        <v>35</v>
      </c>
      <c r="V3063" s="1" t="s">
        <v>1292</v>
      </c>
      <c r="W3063" s="1" t="str">
        <f>VLOOKUP(Table1[[#This Row],[Obergruppe ATC-Code]],Tabelle3!$A$2:$B$100,2)</f>
        <v>OPHTHALMOLOGISCHE UND OTOLOGISCHE ZUBEREITUNGEN</v>
      </c>
      <c r="X3063" s="1" t="str">
        <f xml:space="preserve"> LEFT(Table1[[#This Row],[Atc Code]],3)</f>
        <v>TER</v>
      </c>
    </row>
    <row r="3064" spans="1:24" ht="14.4">
      <c r="A3064" s="14">
        <v>2570</v>
      </c>
      <c r="B3064" s="24" t="s">
        <v>6449</v>
      </c>
      <c r="C3064" s="1">
        <v>2197530</v>
      </c>
      <c r="D3064" s="1" t="s">
        <v>102</v>
      </c>
      <c r="E3064" s="36">
        <v>45175</v>
      </c>
      <c r="F3064" s="36">
        <v>45229</v>
      </c>
      <c r="G3064" s="38">
        <f t="shared" si="47"/>
        <v>54</v>
      </c>
      <c r="H3064" s="5">
        <v>45177</v>
      </c>
      <c r="I3064" s="5">
        <v>45182</v>
      </c>
      <c r="J3064" s="1" t="s">
        <v>26</v>
      </c>
      <c r="K3064" s="1" t="s">
        <v>6450</v>
      </c>
      <c r="L3064" s="1" t="s">
        <v>6444</v>
      </c>
      <c r="M3064" s="1" t="s">
        <v>6432</v>
      </c>
      <c r="N3064" s="1" t="s">
        <v>38</v>
      </c>
      <c r="O3064" s="1" t="s">
        <v>91</v>
      </c>
      <c r="Q3064" s="1" t="s">
        <v>93</v>
      </c>
      <c r="R3064" s="1" t="s">
        <v>26</v>
      </c>
      <c r="S3064" s="1"/>
      <c r="T3064" s="1" t="s">
        <v>6451</v>
      </c>
      <c r="U3064" s="1" t="s">
        <v>57</v>
      </c>
      <c r="V3064" s="1" t="s">
        <v>1292</v>
      </c>
      <c r="W3064" s="1" t="str">
        <f>VLOOKUP(Table1[[#This Row],[Obergruppe ATC-Code]],Tabelle3!$A$2:$B$100,2)</f>
        <v>OPHTHALMOLOGISCHE UND OTOLOGISCHE ZUBEREITUNGEN</v>
      </c>
      <c r="X3064" s="1" t="str">
        <f xml:space="preserve"> LEFT(Table1[[#This Row],[Atc Code]],3)</f>
        <v>TER</v>
      </c>
    </row>
    <row r="3065" spans="1:24" ht="14.4">
      <c r="A3065" s="14">
        <v>1326</v>
      </c>
      <c r="B3065" s="24">
        <v>12589328</v>
      </c>
      <c r="C3065" s="1">
        <v>2196250</v>
      </c>
      <c r="D3065" s="1" t="s">
        <v>175</v>
      </c>
      <c r="E3065" s="36">
        <v>45159</v>
      </c>
      <c r="F3065" s="36">
        <v>45484</v>
      </c>
      <c r="G3065" s="38">
        <f t="shared" si="47"/>
        <v>325</v>
      </c>
      <c r="H3065" s="5">
        <v>45183</v>
      </c>
      <c r="I3065" s="5">
        <v>45183</v>
      </c>
      <c r="J3065" s="1" t="s">
        <v>26</v>
      </c>
      <c r="K3065" s="1" t="s">
        <v>6452</v>
      </c>
      <c r="L3065" s="1" t="s">
        <v>6444</v>
      </c>
      <c r="M3065" s="1" t="s">
        <v>6432</v>
      </c>
      <c r="N3065" s="1" t="s">
        <v>38</v>
      </c>
      <c r="O3065" s="1" t="s">
        <v>91</v>
      </c>
      <c r="Q3065" s="1" t="s">
        <v>93</v>
      </c>
      <c r="R3065" s="1" t="s">
        <v>26</v>
      </c>
      <c r="S3065" s="1"/>
      <c r="T3065" s="1" t="s">
        <v>6453</v>
      </c>
      <c r="U3065" s="1" t="s">
        <v>57</v>
      </c>
      <c r="V3065" s="1" t="s">
        <v>49</v>
      </c>
      <c r="W3065" s="1" t="str">
        <f>VLOOKUP(Table1[[#This Row],[Obergruppe ATC-Code]],Tabelle3!$A$2:$B$100,2)</f>
        <v>OPHTHALMOLOGISCHE UND OTOLOGISCHE ZUBEREITUNGEN</v>
      </c>
      <c r="X3065" s="1" t="str">
        <f xml:space="preserve"> LEFT(Table1[[#This Row],[Atc Code]],3)</f>
        <v>TER</v>
      </c>
    </row>
    <row r="3066" spans="1:24" ht="14.4">
      <c r="A3066" s="14">
        <v>1327</v>
      </c>
      <c r="B3066" s="24">
        <v>12589392</v>
      </c>
      <c r="C3066" s="1">
        <v>2196251</v>
      </c>
      <c r="D3066" s="1" t="s">
        <v>102</v>
      </c>
      <c r="E3066" s="36">
        <v>45175</v>
      </c>
      <c r="F3066" s="36">
        <v>45484</v>
      </c>
      <c r="G3066" s="38">
        <f t="shared" si="47"/>
        <v>309</v>
      </c>
      <c r="H3066" s="5">
        <v>45183</v>
      </c>
      <c r="I3066" s="5">
        <v>45200</v>
      </c>
      <c r="J3066" s="1" t="s">
        <v>26</v>
      </c>
      <c r="K3066" s="1" t="s">
        <v>6454</v>
      </c>
      <c r="L3066" s="1" t="s">
        <v>6444</v>
      </c>
      <c r="M3066" s="1" t="s">
        <v>6432</v>
      </c>
      <c r="N3066" s="1" t="s">
        <v>38</v>
      </c>
      <c r="O3066" s="1" t="s">
        <v>91</v>
      </c>
      <c r="Q3066" s="1" t="s">
        <v>93</v>
      </c>
      <c r="R3066" s="1" t="s">
        <v>26</v>
      </c>
      <c r="S3066" s="1"/>
      <c r="T3066" s="1" t="s">
        <v>6455</v>
      </c>
      <c r="U3066" s="1" t="s">
        <v>57</v>
      </c>
      <c r="V3066" s="1" t="s">
        <v>49</v>
      </c>
      <c r="W3066" s="1" t="str">
        <f>VLOOKUP(Table1[[#This Row],[Obergruppe ATC-Code]],Tabelle3!$A$2:$B$100,2)</f>
        <v>OPHTHALMOLOGISCHE UND OTOLOGISCHE ZUBEREITUNGEN</v>
      </c>
      <c r="X3066" s="1" t="str">
        <f xml:space="preserve"> LEFT(Table1[[#This Row],[Atc Code]],3)</f>
        <v>TER</v>
      </c>
    </row>
    <row r="3067" spans="1:24" ht="14.4">
      <c r="A3067" s="14">
        <v>1257</v>
      </c>
      <c r="B3067" s="24">
        <v>11532645</v>
      </c>
      <c r="C3067" s="1">
        <v>2192233</v>
      </c>
      <c r="D3067" s="1" t="s">
        <v>25</v>
      </c>
      <c r="E3067" s="36">
        <v>43891</v>
      </c>
      <c r="F3067" s="36">
        <v>44012</v>
      </c>
      <c r="G3067" s="38">
        <f t="shared" si="47"/>
        <v>121</v>
      </c>
      <c r="H3067" s="5">
        <v>43951</v>
      </c>
      <c r="I3067" s="5">
        <v>44005</v>
      </c>
      <c r="J3067" s="1" t="s">
        <v>26</v>
      </c>
      <c r="K3067" s="1" t="s">
        <v>6456</v>
      </c>
      <c r="L3067" s="1" t="s">
        <v>6457</v>
      </c>
      <c r="M3067" s="1" t="s">
        <v>6458</v>
      </c>
      <c r="N3067" s="1" t="s">
        <v>38</v>
      </c>
      <c r="O3067" s="1" t="s">
        <v>162</v>
      </c>
      <c r="P3067" s="1" t="s">
        <v>163</v>
      </c>
      <c r="Q3067" s="1" t="s">
        <v>164</v>
      </c>
      <c r="R3067" s="1" t="s">
        <v>33</v>
      </c>
      <c r="S3067" s="1"/>
      <c r="U3067" s="1" t="s">
        <v>35</v>
      </c>
      <c r="V3067" s="1" t="s">
        <v>3637</v>
      </c>
      <c r="W3067" s="1" t="str">
        <f>VLOOKUP(Table1[[#This Row],[Obergruppe ATC-Code]],Tabelle3!$A$2:$B$100,2)</f>
        <v>OPHTHALMOLOGISCHE UND OTOLOGISCHE ZUBEREITUNGEN</v>
      </c>
      <c r="X3067" s="1" t="str">
        <f xml:space="preserve"> LEFT(Table1[[#This Row],[Atc Code]],3)</f>
        <v>TER</v>
      </c>
    </row>
    <row r="3068" spans="1:24" ht="14.4">
      <c r="A3068" s="14">
        <v>1253</v>
      </c>
      <c r="B3068" s="24">
        <v>11532579</v>
      </c>
      <c r="C3068" s="1">
        <v>2192231</v>
      </c>
      <c r="D3068" s="1" t="s">
        <v>25</v>
      </c>
      <c r="E3068" s="36">
        <v>43891</v>
      </c>
      <c r="F3068" s="36">
        <v>44012</v>
      </c>
      <c r="G3068" s="38">
        <f t="shared" si="47"/>
        <v>121</v>
      </c>
      <c r="H3068" s="5">
        <v>43951</v>
      </c>
      <c r="I3068" s="5">
        <v>44005</v>
      </c>
      <c r="J3068" s="1" t="s">
        <v>26</v>
      </c>
      <c r="K3068" s="1" t="s">
        <v>6459</v>
      </c>
      <c r="L3068" s="1" t="s">
        <v>6457</v>
      </c>
      <c r="M3068" s="1" t="s">
        <v>6458</v>
      </c>
      <c r="N3068" s="1" t="s">
        <v>38</v>
      </c>
      <c r="O3068" s="1" t="s">
        <v>162</v>
      </c>
      <c r="P3068" s="1" t="s">
        <v>163</v>
      </c>
      <c r="Q3068" s="1" t="s">
        <v>164</v>
      </c>
      <c r="R3068" s="1" t="s">
        <v>33</v>
      </c>
      <c r="S3068" s="1"/>
      <c r="U3068" s="1" t="s">
        <v>35</v>
      </c>
      <c r="V3068" s="1" t="s">
        <v>3637</v>
      </c>
      <c r="W3068" s="1" t="str">
        <f>VLOOKUP(Table1[[#This Row],[Obergruppe ATC-Code]],Tabelle3!$A$2:$B$100,2)</f>
        <v>OPHTHALMOLOGISCHE UND OTOLOGISCHE ZUBEREITUNGEN</v>
      </c>
      <c r="X3068" s="1" t="str">
        <f xml:space="preserve"> LEFT(Table1[[#This Row],[Atc Code]],3)</f>
        <v>TER</v>
      </c>
    </row>
    <row r="3069" spans="1:24" ht="18" customHeight="1">
      <c r="A3069" s="14">
        <v>1255</v>
      </c>
      <c r="B3069" s="24">
        <v>11532591</v>
      </c>
      <c r="C3069" s="1">
        <v>2192232</v>
      </c>
      <c r="D3069" s="1" t="s">
        <v>25</v>
      </c>
      <c r="E3069" s="36">
        <v>44642</v>
      </c>
      <c r="F3069" s="36">
        <v>44972</v>
      </c>
      <c r="G3069" s="38">
        <f t="shared" si="47"/>
        <v>330</v>
      </c>
      <c r="H3069" s="5">
        <v>44642</v>
      </c>
      <c r="I3069" s="5">
        <v>44972</v>
      </c>
      <c r="J3069" s="1" t="s">
        <v>41</v>
      </c>
      <c r="K3069" s="1" t="s">
        <v>6460</v>
      </c>
      <c r="L3069" s="1" t="s">
        <v>6457</v>
      </c>
      <c r="M3069" s="1" t="s">
        <v>6458</v>
      </c>
      <c r="N3069" s="1" t="s">
        <v>38</v>
      </c>
      <c r="O3069" s="1" t="s">
        <v>162</v>
      </c>
      <c r="Q3069" s="1" t="s">
        <v>5376</v>
      </c>
      <c r="R3069" s="1" t="s">
        <v>128</v>
      </c>
      <c r="S3069" s="1"/>
      <c r="U3069" s="1" t="s">
        <v>35</v>
      </c>
      <c r="V3069" s="1" t="s">
        <v>3637</v>
      </c>
      <c r="W3069" s="1" t="str">
        <f>VLOOKUP(Table1[[#This Row],[Obergruppe ATC-Code]],Tabelle3!$A$2:$B$100,2)</f>
        <v>OPHTHALMOLOGISCHE UND OTOLOGISCHE ZUBEREITUNGEN</v>
      </c>
      <c r="X3069" s="1" t="str">
        <f xml:space="preserve"> LEFT(Table1[[#This Row],[Atc Code]],3)</f>
        <v>TER</v>
      </c>
    </row>
    <row r="3070" spans="1:24" ht="14.4">
      <c r="A3070" s="14">
        <v>1258</v>
      </c>
      <c r="B3070" s="24">
        <v>11532645</v>
      </c>
      <c r="C3070" s="1">
        <v>2192233</v>
      </c>
      <c r="D3070" s="1" t="s">
        <v>25</v>
      </c>
      <c r="E3070" s="36">
        <v>44642</v>
      </c>
      <c r="F3070" s="36">
        <v>45200</v>
      </c>
      <c r="G3070" s="38">
        <f t="shared" si="47"/>
        <v>558</v>
      </c>
      <c r="H3070" s="5">
        <v>44642</v>
      </c>
      <c r="I3070" s="5">
        <v>45194</v>
      </c>
      <c r="J3070" s="1" t="s">
        <v>41</v>
      </c>
      <c r="K3070" s="1" t="s">
        <v>6456</v>
      </c>
      <c r="L3070" s="1" t="s">
        <v>6457</v>
      </c>
      <c r="M3070" s="1" t="s">
        <v>6458</v>
      </c>
      <c r="N3070" s="1" t="s">
        <v>38</v>
      </c>
      <c r="O3070" s="1" t="s">
        <v>162</v>
      </c>
      <c r="P3070" s="1" t="s">
        <v>163</v>
      </c>
      <c r="R3070" s="1" t="s">
        <v>128</v>
      </c>
      <c r="S3070" s="1" t="s">
        <v>6461</v>
      </c>
      <c r="U3070" s="1" t="s">
        <v>35</v>
      </c>
      <c r="V3070" s="1" t="s">
        <v>3637</v>
      </c>
      <c r="W3070" s="1" t="str">
        <f>VLOOKUP(Table1[[#This Row],[Obergruppe ATC-Code]],Tabelle3!$A$2:$B$100,2)</f>
        <v>OPHTHALMOLOGISCHE UND OTOLOGISCHE ZUBEREITUNGEN</v>
      </c>
      <c r="X3070" s="1" t="str">
        <f xml:space="preserve"> LEFT(Table1[[#This Row],[Atc Code]],3)</f>
        <v>TER</v>
      </c>
    </row>
    <row r="3071" spans="1:24" ht="14.4">
      <c r="A3071" s="14">
        <v>1256</v>
      </c>
      <c r="B3071" s="24">
        <v>11532616</v>
      </c>
      <c r="C3071" s="1">
        <v>2192232</v>
      </c>
      <c r="D3071" s="1" t="s">
        <v>25</v>
      </c>
      <c r="E3071" s="36">
        <v>44927</v>
      </c>
      <c r="F3071" s="36">
        <v>45200</v>
      </c>
      <c r="G3071" s="38">
        <f t="shared" si="47"/>
        <v>273</v>
      </c>
      <c r="H3071" s="5">
        <v>44992</v>
      </c>
      <c r="I3071" s="5">
        <v>45194</v>
      </c>
      <c r="J3071" s="1" t="s">
        <v>41</v>
      </c>
      <c r="K3071" s="1" t="s">
        <v>6460</v>
      </c>
      <c r="L3071" s="1" t="s">
        <v>6457</v>
      </c>
      <c r="M3071" s="1" t="s">
        <v>6458</v>
      </c>
      <c r="N3071" s="1" t="s">
        <v>38</v>
      </c>
      <c r="O3071" s="1" t="s">
        <v>162</v>
      </c>
      <c r="P3071" s="1" t="s">
        <v>163</v>
      </c>
      <c r="R3071" s="1" t="s">
        <v>128</v>
      </c>
      <c r="S3071" s="1" t="s">
        <v>6462</v>
      </c>
      <c r="U3071" s="1" t="s">
        <v>35</v>
      </c>
      <c r="V3071" s="1" t="s">
        <v>3637</v>
      </c>
      <c r="W3071" s="1" t="str">
        <f>VLOOKUP(Table1[[#This Row],[Obergruppe ATC-Code]],Tabelle3!$A$2:$B$100,2)</f>
        <v>OPHTHALMOLOGISCHE UND OTOLOGISCHE ZUBEREITUNGEN</v>
      </c>
      <c r="X3071" s="1" t="str">
        <f xml:space="preserve"> LEFT(Table1[[#This Row],[Atc Code]],3)</f>
        <v>TER</v>
      </c>
    </row>
    <row r="3072" spans="1:24" ht="14.4">
      <c r="A3072" s="14">
        <v>1254</v>
      </c>
      <c r="B3072" s="24">
        <v>11532579</v>
      </c>
      <c r="C3072" s="1">
        <v>2192231</v>
      </c>
      <c r="D3072" s="1" t="s">
        <v>25</v>
      </c>
      <c r="E3072" s="36">
        <v>44642</v>
      </c>
      <c r="F3072" s="36">
        <v>45200</v>
      </c>
      <c r="G3072" s="38">
        <f t="shared" si="47"/>
        <v>558</v>
      </c>
      <c r="H3072" s="5">
        <v>44642</v>
      </c>
      <c r="I3072" s="5">
        <v>45194</v>
      </c>
      <c r="J3072" s="1" t="s">
        <v>41</v>
      </c>
      <c r="K3072" s="1" t="s">
        <v>6459</v>
      </c>
      <c r="L3072" s="1" t="s">
        <v>6457</v>
      </c>
      <c r="M3072" s="1" t="s">
        <v>6458</v>
      </c>
      <c r="N3072" s="1" t="s">
        <v>38</v>
      </c>
      <c r="O3072" s="1" t="s">
        <v>162</v>
      </c>
      <c r="P3072" s="1" t="s">
        <v>163</v>
      </c>
      <c r="R3072" s="1" t="s">
        <v>128</v>
      </c>
      <c r="S3072" s="1" t="s">
        <v>6463</v>
      </c>
      <c r="U3072" s="1" t="s">
        <v>35</v>
      </c>
      <c r="V3072" s="1" t="s">
        <v>3637</v>
      </c>
      <c r="W3072" s="1" t="str">
        <f>VLOOKUP(Table1[[#This Row],[Obergruppe ATC-Code]],Tabelle3!$A$2:$B$100,2)</f>
        <v>OPHTHALMOLOGISCHE UND OTOLOGISCHE ZUBEREITUNGEN</v>
      </c>
      <c r="X3072" s="1" t="str">
        <f xml:space="preserve"> LEFT(Table1[[#This Row],[Atc Code]],3)</f>
        <v>TER</v>
      </c>
    </row>
    <row r="3073" spans="1:24" ht="14.4">
      <c r="A3073" s="14">
        <v>2475</v>
      </c>
      <c r="B3073" s="24" t="s">
        <v>6464</v>
      </c>
      <c r="C3073" s="1">
        <v>2140676</v>
      </c>
      <c r="D3073" s="1" t="s">
        <v>25</v>
      </c>
      <c r="E3073" s="36">
        <v>44166</v>
      </c>
      <c r="F3073" s="36">
        <v>44227</v>
      </c>
      <c r="G3073" s="38">
        <f t="shared" si="47"/>
        <v>61</v>
      </c>
      <c r="H3073" s="5">
        <v>44182</v>
      </c>
      <c r="I3073" s="5">
        <v>44210</v>
      </c>
      <c r="J3073" s="1" t="s">
        <v>41</v>
      </c>
      <c r="K3073" s="1" t="s">
        <v>6465</v>
      </c>
      <c r="L3073" s="1" t="s">
        <v>6466</v>
      </c>
      <c r="N3073" s="1" t="s">
        <v>30</v>
      </c>
      <c r="O3073" s="1" t="s">
        <v>220</v>
      </c>
      <c r="P3073" s="1" t="s">
        <v>221</v>
      </c>
      <c r="Q3073" s="1" t="s">
        <v>222</v>
      </c>
      <c r="R3073" s="1" t="s">
        <v>65</v>
      </c>
      <c r="S3073" s="1"/>
      <c r="T3073" s="1" t="s">
        <v>944</v>
      </c>
      <c r="U3073" s="1" t="s">
        <v>35</v>
      </c>
      <c r="V3073" s="1" t="s">
        <v>6467</v>
      </c>
      <c r="W3073" s="1" t="str">
        <f>VLOOKUP(Table1[[#This Row],[Obergruppe ATC-Code]],Tabelle3!$A$2:$B$100,2)</f>
        <v>OPHTHALMOLOGISCHE UND OTOLOGISCHE ZUBEREITUNGEN</v>
      </c>
      <c r="X3073" s="1" t="str">
        <f xml:space="preserve"> LEFT(Table1[[#This Row],[Atc Code]],3)</f>
        <v>TER</v>
      </c>
    </row>
    <row r="3074" spans="1:24" ht="14.4">
      <c r="A3074" s="14">
        <v>252</v>
      </c>
      <c r="B3074" s="24">
        <v>1442993</v>
      </c>
      <c r="C3074" s="1">
        <v>813022</v>
      </c>
      <c r="D3074" s="1" t="s">
        <v>102</v>
      </c>
      <c r="E3074" s="36">
        <v>44251</v>
      </c>
      <c r="F3074" s="36">
        <v>45291</v>
      </c>
      <c r="G3074" s="38">
        <f t="shared" ref="G3074:G3137" si="48">F3074-E3074</f>
        <v>1040</v>
      </c>
      <c r="H3074" s="5">
        <v>44518</v>
      </c>
      <c r="I3074" s="5">
        <v>44931</v>
      </c>
      <c r="J3074" s="1" t="s">
        <v>26</v>
      </c>
      <c r="K3074" s="1" t="s">
        <v>6468</v>
      </c>
      <c r="L3074" s="1" t="s">
        <v>6469</v>
      </c>
      <c r="M3074" s="1" t="s">
        <v>6470</v>
      </c>
      <c r="N3074" s="1" t="s">
        <v>30</v>
      </c>
      <c r="O3074" s="1" t="s">
        <v>364</v>
      </c>
      <c r="P3074" s="1" t="s">
        <v>4494</v>
      </c>
      <c r="Q3074" s="1" t="s">
        <v>4495</v>
      </c>
      <c r="R3074" s="1" t="s">
        <v>26</v>
      </c>
      <c r="S3074" s="1" t="s">
        <v>6471</v>
      </c>
      <c r="T3074" s="1" t="s">
        <v>6472</v>
      </c>
      <c r="U3074" s="1" t="s">
        <v>35</v>
      </c>
      <c r="V3074" s="1" t="s">
        <v>262</v>
      </c>
      <c r="W3074" s="1" t="str">
        <f>VLOOKUP(Table1[[#This Row],[Obergruppe ATC-Code]],Tabelle3!$A$2:$B$100,2)</f>
        <v>OPHTHALMOLOGISCHE UND OTOLOGISCHE ZUBEREITUNGEN</v>
      </c>
      <c r="X3074" s="1" t="str">
        <f xml:space="preserve"> LEFT(Table1[[#This Row],[Atc Code]],3)</f>
        <v>TER</v>
      </c>
    </row>
    <row r="3075" spans="1:24" ht="14.4">
      <c r="A3075" s="14">
        <v>282</v>
      </c>
      <c r="B3075" s="24">
        <v>1686353</v>
      </c>
      <c r="C3075" s="1">
        <v>2125465</v>
      </c>
      <c r="D3075" s="1" t="s">
        <v>102</v>
      </c>
      <c r="E3075" s="36">
        <v>44889</v>
      </c>
      <c r="F3075" s="36">
        <v>45230</v>
      </c>
      <c r="G3075" s="38">
        <f t="shared" si="48"/>
        <v>341</v>
      </c>
      <c r="H3075" s="5">
        <v>44911</v>
      </c>
      <c r="I3075" s="5">
        <v>45146</v>
      </c>
      <c r="J3075" s="1" t="s">
        <v>26</v>
      </c>
      <c r="K3075" s="1" t="s">
        <v>6473</v>
      </c>
      <c r="L3075" s="1" t="s">
        <v>6474</v>
      </c>
      <c r="M3075" s="1" t="s">
        <v>6475</v>
      </c>
      <c r="N3075" s="1" t="s">
        <v>30</v>
      </c>
      <c r="O3075" s="1" t="s">
        <v>364</v>
      </c>
      <c r="Q3075" s="1" t="s">
        <v>366</v>
      </c>
      <c r="R3075" s="1" t="s">
        <v>26</v>
      </c>
      <c r="S3075" s="1"/>
      <c r="T3075" s="1" t="s">
        <v>6476</v>
      </c>
      <c r="U3075" s="1" t="s">
        <v>35</v>
      </c>
      <c r="V3075" s="1" t="s">
        <v>74</v>
      </c>
      <c r="W3075" s="1" t="str">
        <f>VLOOKUP(Table1[[#This Row],[Obergruppe ATC-Code]],Tabelle3!$A$2:$B$100,2)</f>
        <v>OPHTHALMOLOGISCHE UND OTOLOGISCHE ZUBEREITUNGEN</v>
      </c>
      <c r="X3075" s="1" t="str">
        <f xml:space="preserve"> LEFT(Table1[[#This Row],[Atc Code]],3)</f>
        <v>TER</v>
      </c>
    </row>
    <row r="3076" spans="1:24" ht="14.4">
      <c r="A3076" s="14">
        <v>2071</v>
      </c>
      <c r="B3076" s="24" t="s">
        <v>6477</v>
      </c>
      <c r="C3076" s="1">
        <v>813507</v>
      </c>
      <c r="D3076" s="1" t="s">
        <v>102</v>
      </c>
      <c r="E3076" s="36">
        <v>44656</v>
      </c>
      <c r="F3076" s="36">
        <v>45322</v>
      </c>
      <c r="G3076" s="38">
        <f t="shared" si="48"/>
        <v>666</v>
      </c>
      <c r="H3076" s="5">
        <v>44656</v>
      </c>
      <c r="I3076" s="5">
        <v>45147</v>
      </c>
      <c r="J3076" s="1" t="s">
        <v>41</v>
      </c>
      <c r="K3076" s="1" t="s">
        <v>6478</v>
      </c>
      <c r="L3076" s="1" t="s">
        <v>6474</v>
      </c>
      <c r="M3076" s="1" t="s">
        <v>6475</v>
      </c>
      <c r="N3076" s="1" t="s">
        <v>30</v>
      </c>
      <c r="O3076" s="1" t="s">
        <v>364</v>
      </c>
      <c r="P3076" s="1" t="s">
        <v>4494</v>
      </c>
      <c r="Q3076" s="1" t="s">
        <v>366</v>
      </c>
      <c r="R3076" s="1" t="s">
        <v>128</v>
      </c>
      <c r="S3076" s="1" t="s">
        <v>6479</v>
      </c>
      <c r="T3076" s="1" t="s">
        <v>6476</v>
      </c>
      <c r="U3076" s="1" t="s">
        <v>35</v>
      </c>
      <c r="V3076" s="1" t="s">
        <v>262</v>
      </c>
      <c r="W3076" s="1" t="str">
        <f>VLOOKUP(Table1[[#This Row],[Obergruppe ATC-Code]],Tabelle3!$A$2:$B$100,2)</f>
        <v>OPHTHALMOLOGISCHE UND OTOLOGISCHE ZUBEREITUNGEN</v>
      </c>
      <c r="X3076" s="1" t="str">
        <f xml:space="preserve"> LEFT(Table1[[#This Row],[Atc Code]],3)</f>
        <v>TER</v>
      </c>
    </row>
    <row r="3077" spans="1:24" ht="15" customHeight="1">
      <c r="A3077" s="14">
        <v>1914</v>
      </c>
      <c r="B3077" s="24" t="s">
        <v>6480</v>
      </c>
      <c r="C3077" s="1">
        <v>73358</v>
      </c>
      <c r="D3077" s="1" t="s">
        <v>25</v>
      </c>
      <c r="E3077" s="36">
        <v>44410</v>
      </c>
      <c r="F3077" s="36">
        <v>44859</v>
      </c>
      <c r="G3077" s="38">
        <f t="shared" si="48"/>
        <v>449</v>
      </c>
      <c r="H3077" s="5">
        <v>44378</v>
      </c>
      <c r="I3077" s="5">
        <v>44859</v>
      </c>
      <c r="J3077" s="1" t="s">
        <v>26</v>
      </c>
      <c r="K3077" s="1" t="s">
        <v>6481</v>
      </c>
      <c r="L3077" s="1" t="s">
        <v>6482</v>
      </c>
      <c r="M3077" s="1" t="s">
        <v>6483</v>
      </c>
      <c r="N3077" s="1" t="s">
        <v>30</v>
      </c>
      <c r="O3077" s="1" t="s">
        <v>644</v>
      </c>
      <c r="P3077" s="1" t="s">
        <v>6484</v>
      </c>
      <c r="Q3077" s="1" t="s">
        <v>6485</v>
      </c>
      <c r="R3077" s="1" t="s">
        <v>26</v>
      </c>
      <c r="S3077" s="1" t="s">
        <v>6486</v>
      </c>
      <c r="U3077" s="1" t="s">
        <v>35</v>
      </c>
      <c r="V3077" s="1" t="s">
        <v>74</v>
      </c>
      <c r="W3077" s="1" t="str">
        <f>VLOOKUP(Table1[[#This Row],[Obergruppe ATC-Code]],Tabelle3!$A$2:$B$100,2)</f>
        <v>OPHTHALMOLOGISCHE UND OTOLOGISCHE ZUBEREITUNGEN</v>
      </c>
      <c r="X3077" s="1" t="str">
        <f xml:space="preserve"> LEFT(Table1[[#This Row],[Atc Code]],3)</f>
        <v>TER</v>
      </c>
    </row>
    <row r="3078" spans="1:24" ht="14.4">
      <c r="A3078" s="14">
        <v>2207</v>
      </c>
      <c r="B3078" s="24" t="s">
        <v>6487</v>
      </c>
      <c r="C3078" s="1">
        <v>2164876</v>
      </c>
      <c r="D3078" s="1" t="s">
        <v>25</v>
      </c>
      <c r="E3078" s="36">
        <v>44166</v>
      </c>
      <c r="F3078" s="36">
        <v>44316</v>
      </c>
      <c r="G3078" s="38">
        <f t="shared" si="48"/>
        <v>150</v>
      </c>
      <c r="H3078" s="5">
        <v>44224</v>
      </c>
      <c r="I3078" s="5">
        <v>44307</v>
      </c>
      <c r="J3078" s="1" t="s">
        <v>41</v>
      </c>
      <c r="K3078" s="1" t="s">
        <v>6488</v>
      </c>
      <c r="L3078" s="1" t="s">
        <v>6489</v>
      </c>
      <c r="M3078" s="1" t="s">
        <v>6490</v>
      </c>
      <c r="N3078" s="1" t="s">
        <v>30</v>
      </c>
      <c r="O3078" s="1" t="s">
        <v>1955</v>
      </c>
      <c r="P3078" s="1" t="s">
        <v>6491</v>
      </c>
      <c r="Q3078" s="1" t="s">
        <v>1957</v>
      </c>
      <c r="R3078" s="1" t="s">
        <v>48</v>
      </c>
      <c r="S3078" s="1"/>
      <c r="U3078" s="1" t="s">
        <v>35</v>
      </c>
      <c r="V3078" s="1" t="s">
        <v>652</v>
      </c>
      <c r="W3078" s="1" t="str">
        <f>VLOOKUP(Table1[[#This Row],[Obergruppe ATC-Code]],Tabelle3!$A$2:$B$100,2)</f>
        <v>OPHTHALMOLOGISCHE UND OTOLOGISCHE ZUBEREITUNGEN</v>
      </c>
      <c r="X3078" s="1" t="str">
        <f xml:space="preserve"> LEFT(Table1[[#This Row],[Atc Code]],3)</f>
        <v>TER</v>
      </c>
    </row>
    <row r="3079" spans="1:24" ht="14.4">
      <c r="A3079" s="14">
        <v>1642</v>
      </c>
      <c r="B3079" s="24" t="s">
        <v>6492</v>
      </c>
      <c r="C3079" s="1">
        <v>37368</v>
      </c>
      <c r="D3079" s="1" t="s">
        <v>102</v>
      </c>
      <c r="E3079" s="36">
        <v>44197</v>
      </c>
      <c r="F3079" s="36">
        <v>45535</v>
      </c>
      <c r="G3079" s="38">
        <f t="shared" si="48"/>
        <v>1338</v>
      </c>
      <c r="H3079" s="5">
        <v>44223</v>
      </c>
      <c r="I3079" s="5">
        <v>44775</v>
      </c>
      <c r="J3079" s="1" t="s">
        <v>41</v>
      </c>
      <c r="K3079" s="1" t="s">
        <v>6493</v>
      </c>
      <c r="L3079" s="1" t="s">
        <v>6489</v>
      </c>
      <c r="M3079" s="1" t="s">
        <v>6494</v>
      </c>
      <c r="N3079" s="1" t="s">
        <v>30</v>
      </c>
      <c r="O3079" s="1" t="s">
        <v>1114</v>
      </c>
      <c r="P3079" s="1" t="s">
        <v>1072</v>
      </c>
      <c r="Q3079" s="1" t="s">
        <v>824</v>
      </c>
      <c r="R3079" s="1" t="s">
        <v>165</v>
      </c>
      <c r="S3079" s="1"/>
      <c r="U3079" s="1" t="s">
        <v>57</v>
      </c>
      <c r="V3079" s="1" t="s">
        <v>74</v>
      </c>
      <c r="W3079" s="1" t="str">
        <f>VLOOKUP(Table1[[#This Row],[Obergruppe ATC-Code]],Tabelle3!$A$2:$B$100,2)</f>
        <v>OPHTHALMOLOGISCHE UND OTOLOGISCHE ZUBEREITUNGEN</v>
      </c>
      <c r="X3079" s="1" t="str">
        <f xml:space="preserve"> LEFT(Table1[[#This Row],[Atc Code]],3)</f>
        <v>TER</v>
      </c>
    </row>
    <row r="3080" spans="1:24" ht="14.4">
      <c r="A3080" s="14">
        <v>757</v>
      </c>
      <c r="B3080" s="24">
        <v>5460634</v>
      </c>
      <c r="C3080" s="1">
        <v>37397</v>
      </c>
      <c r="D3080" s="1" t="s">
        <v>102</v>
      </c>
      <c r="E3080" s="36">
        <v>44197</v>
      </c>
      <c r="F3080" s="36">
        <v>45473</v>
      </c>
      <c r="G3080" s="38">
        <f t="shared" si="48"/>
        <v>1276</v>
      </c>
      <c r="H3080" s="5">
        <v>44223</v>
      </c>
      <c r="I3080" s="5">
        <v>44775</v>
      </c>
      <c r="J3080" s="1" t="s">
        <v>41</v>
      </c>
      <c r="K3080" s="1" t="s">
        <v>6495</v>
      </c>
      <c r="L3080" s="1" t="s">
        <v>6489</v>
      </c>
      <c r="M3080" s="1" t="s">
        <v>6494</v>
      </c>
      <c r="N3080" s="1" t="s">
        <v>30</v>
      </c>
      <c r="O3080" s="1" t="s">
        <v>1114</v>
      </c>
      <c r="P3080" s="1" t="s">
        <v>1072</v>
      </c>
      <c r="Q3080" s="1" t="s">
        <v>824</v>
      </c>
      <c r="R3080" s="1" t="s">
        <v>165</v>
      </c>
      <c r="S3080" s="1"/>
      <c r="U3080" s="1" t="s">
        <v>57</v>
      </c>
      <c r="V3080" s="1" t="s">
        <v>74</v>
      </c>
      <c r="W3080" s="1" t="str">
        <f>VLOOKUP(Table1[[#This Row],[Obergruppe ATC-Code]],Tabelle3!$A$2:$B$100,2)</f>
        <v>OPHTHALMOLOGISCHE UND OTOLOGISCHE ZUBEREITUNGEN</v>
      </c>
      <c r="X3080" s="1" t="str">
        <f xml:space="preserve"> LEFT(Table1[[#This Row],[Atc Code]],3)</f>
        <v>TER</v>
      </c>
    </row>
    <row r="3081" spans="1:24" ht="14.4">
      <c r="A3081" s="14">
        <v>2922</v>
      </c>
      <c r="B3081" s="24" t="s">
        <v>6496</v>
      </c>
      <c r="C3081" s="1">
        <v>72985</v>
      </c>
      <c r="D3081" s="1" t="s">
        <v>25</v>
      </c>
      <c r="E3081" s="36">
        <v>41760</v>
      </c>
      <c r="F3081" s="36">
        <v>43100</v>
      </c>
      <c r="G3081" s="38">
        <f t="shared" si="48"/>
        <v>1340</v>
      </c>
      <c r="H3081" s="5">
        <v>41768</v>
      </c>
      <c r="I3081" s="5">
        <v>43110</v>
      </c>
      <c r="J3081" s="1" t="s">
        <v>41</v>
      </c>
      <c r="K3081" s="1" t="s">
        <v>6497</v>
      </c>
      <c r="L3081" s="1" t="s">
        <v>6498</v>
      </c>
      <c r="M3081" s="1" t="s">
        <v>6499</v>
      </c>
      <c r="N3081" s="1" t="s">
        <v>30</v>
      </c>
      <c r="O3081" s="1" t="s">
        <v>644</v>
      </c>
      <c r="P3081" s="1" t="s">
        <v>6500</v>
      </c>
      <c r="Q3081" s="1" t="s">
        <v>647</v>
      </c>
      <c r="R3081" s="1" t="s">
        <v>942</v>
      </c>
      <c r="S3081" s="1" t="s">
        <v>943</v>
      </c>
      <c r="U3081" s="1" t="s">
        <v>35</v>
      </c>
      <c r="V3081" s="1" t="s">
        <v>74</v>
      </c>
      <c r="W3081" s="1" t="str">
        <f>VLOOKUP(Table1[[#This Row],[Obergruppe ATC-Code]],Tabelle3!$A$2:$B$100,2)</f>
        <v>OPHTHALMOLOGISCHE UND OTOLOGISCHE ZUBEREITUNGEN</v>
      </c>
      <c r="X3081" s="1" t="str">
        <f xml:space="preserve"> LEFT(Table1[[#This Row],[Atc Code]],3)</f>
        <v>TER</v>
      </c>
    </row>
    <row r="3082" spans="1:24" ht="14.4">
      <c r="A3082" s="14">
        <v>2699</v>
      </c>
      <c r="B3082" s="24" t="s">
        <v>6501</v>
      </c>
      <c r="C3082" s="1">
        <v>2131571</v>
      </c>
      <c r="D3082" s="1" t="s">
        <v>25</v>
      </c>
      <c r="E3082" s="36">
        <v>44363</v>
      </c>
      <c r="F3082" s="36">
        <v>44743</v>
      </c>
      <c r="G3082" s="38">
        <f t="shared" si="48"/>
        <v>380</v>
      </c>
      <c r="H3082" s="5">
        <v>44363</v>
      </c>
      <c r="I3082" s="5">
        <v>44741</v>
      </c>
      <c r="J3082" s="1" t="s">
        <v>41</v>
      </c>
      <c r="K3082" s="1" t="s">
        <v>6502</v>
      </c>
      <c r="L3082" s="1" t="s">
        <v>6503</v>
      </c>
      <c r="M3082" s="1" t="s">
        <v>4782</v>
      </c>
      <c r="N3082" s="1" t="s">
        <v>30</v>
      </c>
      <c r="O3082" s="1" t="s">
        <v>4783</v>
      </c>
      <c r="Q3082" s="1" t="s">
        <v>4803</v>
      </c>
      <c r="R3082" s="1" t="s">
        <v>2138</v>
      </c>
      <c r="S3082" s="1"/>
      <c r="U3082" s="1" t="s">
        <v>35</v>
      </c>
      <c r="V3082" s="1" t="s">
        <v>199</v>
      </c>
      <c r="W3082" s="1" t="str">
        <f>VLOOKUP(Table1[[#This Row],[Obergruppe ATC-Code]],Tabelle3!$A$2:$B$100,2)</f>
        <v>OPHTHALMOLOGISCHE UND OTOLOGISCHE ZUBEREITUNGEN</v>
      </c>
      <c r="X3082" s="1" t="str">
        <f xml:space="preserve"> LEFT(Table1[[#This Row],[Atc Code]],3)</f>
        <v>TER</v>
      </c>
    </row>
    <row r="3083" spans="1:24" ht="14.4">
      <c r="A3083" s="14">
        <v>2698</v>
      </c>
      <c r="B3083" s="24" t="s">
        <v>6504</v>
      </c>
      <c r="C3083" s="1">
        <v>2132455</v>
      </c>
      <c r="D3083" s="1" t="s">
        <v>25</v>
      </c>
      <c r="E3083" s="36">
        <v>44384</v>
      </c>
      <c r="F3083" s="36">
        <v>44743</v>
      </c>
      <c r="G3083" s="38">
        <f t="shared" si="48"/>
        <v>359</v>
      </c>
      <c r="H3083" s="5">
        <v>44370</v>
      </c>
      <c r="I3083" s="5">
        <v>44741</v>
      </c>
      <c r="J3083" s="1" t="s">
        <v>41</v>
      </c>
      <c r="K3083" s="1" t="s">
        <v>6505</v>
      </c>
      <c r="L3083" s="1" t="s">
        <v>6503</v>
      </c>
      <c r="M3083" s="1" t="s">
        <v>4782</v>
      </c>
      <c r="N3083" s="1" t="s">
        <v>30</v>
      </c>
      <c r="O3083" s="1" t="s">
        <v>4783</v>
      </c>
      <c r="Q3083" s="1" t="s">
        <v>4803</v>
      </c>
      <c r="R3083" s="1" t="s">
        <v>2138</v>
      </c>
      <c r="S3083" s="1"/>
      <c r="U3083" s="1" t="s">
        <v>35</v>
      </c>
      <c r="V3083" s="1" t="s">
        <v>199</v>
      </c>
      <c r="W3083" s="1" t="str">
        <f>VLOOKUP(Table1[[#This Row],[Obergruppe ATC-Code]],Tabelle3!$A$2:$B$100,2)</f>
        <v>OPHTHALMOLOGISCHE UND OTOLOGISCHE ZUBEREITUNGEN</v>
      </c>
      <c r="X3083" s="1" t="str">
        <f xml:space="preserve"> LEFT(Table1[[#This Row],[Atc Code]],3)</f>
        <v>TER</v>
      </c>
    </row>
    <row r="3084" spans="1:24" ht="14.4">
      <c r="A3084" s="14">
        <v>2696</v>
      </c>
      <c r="B3084" s="24" t="s">
        <v>6506</v>
      </c>
      <c r="C3084" s="1">
        <v>2131512</v>
      </c>
      <c r="D3084" s="1" t="s">
        <v>25</v>
      </c>
      <c r="E3084" s="36">
        <v>44363</v>
      </c>
      <c r="F3084" s="36">
        <v>44743</v>
      </c>
      <c r="G3084" s="38">
        <f t="shared" si="48"/>
        <v>380</v>
      </c>
      <c r="H3084" s="5">
        <v>44363</v>
      </c>
      <c r="I3084" s="5">
        <v>44741</v>
      </c>
      <c r="J3084" s="1" t="s">
        <v>41</v>
      </c>
      <c r="K3084" s="1" t="s">
        <v>6507</v>
      </c>
      <c r="L3084" s="1" t="s">
        <v>6503</v>
      </c>
      <c r="M3084" s="1" t="s">
        <v>4782</v>
      </c>
      <c r="N3084" s="1" t="s">
        <v>30</v>
      </c>
      <c r="O3084" s="1" t="s">
        <v>4783</v>
      </c>
      <c r="Q3084" s="1" t="s">
        <v>4803</v>
      </c>
      <c r="R3084" s="1" t="s">
        <v>2138</v>
      </c>
      <c r="S3084" s="1"/>
      <c r="T3084" s="1" t="s">
        <v>6508</v>
      </c>
      <c r="U3084" s="1" t="s">
        <v>35</v>
      </c>
      <c r="V3084" s="1" t="s">
        <v>199</v>
      </c>
      <c r="W3084" s="1" t="str">
        <f>VLOOKUP(Table1[[#This Row],[Obergruppe ATC-Code]],Tabelle3!$A$2:$B$100,2)</f>
        <v>OPHTHALMOLOGISCHE UND OTOLOGISCHE ZUBEREITUNGEN</v>
      </c>
      <c r="X3084" s="1" t="str">
        <f xml:space="preserve"> LEFT(Table1[[#This Row],[Atc Code]],3)</f>
        <v>TER</v>
      </c>
    </row>
    <row r="3085" spans="1:24" ht="14.4">
      <c r="A3085" s="14">
        <v>1291</v>
      </c>
      <c r="B3085" s="24">
        <v>11870974</v>
      </c>
      <c r="C3085" s="1">
        <v>2133233</v>
      </c>
      <c r="D3085" s="1" t="s">
        <v>25</v>
      </c>
      <c r="E3085" s="36">
        <v>44384</v>
      </c>
      <c r="F3085" s="36">
        <v>44743</v>
      </c>
      <c r="G3085" s="38">
        <f t="shared" si="48"/>
        <v>359</v>
      </c>
      <c r="H3085" s="5">
        <v>44370</v>
      </c>
      <c r="I3085" s="5">
        <v>44741</v>
      </c>
      <c r="J3085" s="1" t="s">
        <v>41</v>
      </c>
      <c r="K3085" s="1" t="s">
        <v>6509</v>
      </c>
      <c r="L3085" s="1" t="s">
        <v>6503</v>
      </c>
      <c r="M3085" s="1" t="s">
        <v>4782</v>
      </c>
      <c r="N3085" s="1" t="s">
        <v>30</v>
      </c>
      <c r="O3085" s="1" t="s">
        <v>4783</v>
      </c>
      <c r="Q3085" s="1" t="s">
        <v>4803</v>
      </c>
      <c r="R3085" s="1" t="s">
        <v>2138</v>
      </c>
      <c r="S3085" s="1"/>
      <c r="U3085" s="1" t="s">
        <v>35</v>
      </c>
      <c r="V3085" s="1" t="s">
        <v>199</v>
      </c>
      <c r="W3085" s="1" t="str">
        <f>VLOOKUP(Table1[[#This Row],[Obergruppe ATC-Code]],Tabelle3!$A$2:$B$100,2)</f>
        <v>OPHTHALMOLOGISCHE UND OTOLOGISCHE ZUBEREITUNGEN</v>
      </c>
      <c r="X3085" s="1" t="str">
        <f xml:space="preserve"> LEFT(Table1[[#This Row],[Atc Code]],3)</f>
        <v>TER</v>
      </c>
    </row>
    <row r="3086" spans="1:24" ht="14.4">
      <c r="A3086" s="14">
        <v>1288</v>
      </c>
      <c r="B3086" s="24">
        <v>11870885</v>
      </c>
      <c r="C3086" s="1">
        <v>2131512</v>
      </c>
      <c r="D3086" s="1" t="s">
        <v>25</v>
      </c>
      <c r="E3086" s="36">
        <v>44384</v>
      </c>
      <c r="F3086" s="36">
        <v>44743</v>
      </c>
      <c r="G3086" s="38">
        <f t="shared" si="48"/>
        <v>359</v>
      </c>
      <c r="H3086" s="5">
        <v>44370</v>
      </c>
      <c r="I3086" s="5">
        <v>44741</v>
      </c>
      <c r="J3086" s="1" t="s">
        <v>41</v>
      </c>
      <c r="K3086" s="1" t="s">
        <v>6507</v>
      </c>
      <c r="L3086" s="1" t="s">
        <v>6503</v>
      </c>
      <c r="M3086" s="1" t="s">
        <v>4782</v>
      </c>
      <c r="N3086" s="1" t="s">
        <v>30</v>
      </c>
      <c r="O3086" s="1" t="s">
        <v>4783</v>
      </c>
      <c r="Q3086" s="1" t="s">
        <v>4803</v>
      </c>
      <c r="R3086" s="1" t="s">
        <v>2138</v>
      </c>
      <c r="S3086" s="1"/>
      <c r="U3086" s="1" t="s">
        <v>35</v>
      </c>
      <c r="V3086" s="1" t="s">
        <v>199</v>
      </c>
      <c r="W3086" s="1" t="str">
        <f>VLOOKUP(Table1[[#This Row],[Obergruppe ATC-Code]],Tabelle3!$A$2:$B$100,2)</f>
        <v>OPHTHALMOLOGISCHE UND OTOLOGISCHE ZUBEREITUNGEN</v>
      </c>
      <c r="X3086" s="1" t="str">
        <f xml:space="preserve"> LEFT(Table1[[#This Row],[Atc Code]],3)</f>
        <v>TER</v>
      </c>
    </row>
    <row r="3087" spans="1:24" ht="14.4">
      <c r="A3087" s="14">
        <v>2697</v>
      </c>
      <c r="B3087" s="24" t="s">
        <v>6510</v>
      </c>
      <c r="C3087" s="1">
        <v>2131512</v>
      </c>
      <c r="D3087" s="1" t="s">
        <v>25</v>
      </c>
      <c r="E3087" s="36">
        <v>44317</v>
      </c>
      <c r="F3087" s="36">
        <v>44743</v>
      </c>
      <c r="G3087" s="38">
        <f t="shared" si="48"/>
        <v>426</v>
      </c>
      <c r="H3087" s="5">
        <v>44323</v>
      </c>
      <c r="I3087" s="5">
        <v>44742</v>
      </c>
      <c r="J3087" s="1" t="s">
        <v>41</v>
      </c>
      <c r="K3087" s="1" t="s">
        <v>6507</v>
      </c>
      <c r="L3087" s="1" t="s">
        <v>6503</v>
      </c>
      <c r="M3087" s="1" t="s">
        <v>4782</v>
      </c>
      <c r="N3087" s="1" t="s">
        <v>30</v>
      </c>
      <c r="O3087" s="1" t="s">
        <v>4783</v>
      </c>
      <c r="P3087" s="1" t="s">
        <v>2594</v>
      </c>
      <c r="Q3087" s="1" t="s">
        <v>4803</v>
      </c>
      <c r="R3087" s="1" t="s">
        <v>26</v>
      </c>
      <c r="S3087" s="1"/>
      <c r="T3087" s="1" t="s">
        <v>6508</v>
      </c>
      <c r="U3087" s="1" t="s">
        <v>35</v>
      </c>
      <c r="V3087" s="1" t="s">
        <v>199</v>
      </c>
      <c r="W3087" s="1" t="str">
        <f>VLOOKUP(Table1[[#This Row],[Obergruppe ATC-Code]],Tabelle3!$A$2:$B$100,2)</f>
        <v>OPHTHALMOLOGISCHE UND OTOLOGISCHE ZUBEREITUNGEN</v>
      </c>
      <c r="X3087" s="1" t="str">
        <f xml:space="preserve"> LEFT(Table1[[#This Row],[Atc Code]],3)</f>
        <v>TER</v>
      </c>
    </row>
    <row r="3088" spans="1:24" ht="14.4">
      <c r="A3088" s="14">
        <v>1289</v>
      </c>
      <c r="B3088" s="24">
        <v>11870922</v>
      </c>
      <c r="C3088" s="1">
        <v>2131512</v>
      </c>
      <c r="D3088" s="1" t="s">
        <v>25</v>
      </c>
      <c r="E3088" s="36">
        <v>44930</v>
      </c>
      <c r="F3088" s="36">
        <v>44993</v>
      </c>
      <c r="G3088" s="38">
        <f t="shared" si="48"/>
        <v>63</v>
      </c>
      <c r="H3088" s="5">
        <v>44930</v>
      </c>
      <c r="I3088" s="5">
        <v>44993</v>
      </c>
      <c r="J3088" s="1" t="s">
        <v>41</v>
      </c>
      <c r="K3088" s="1" t="s">
        <v>6507</v>
      </c>
      <c r="L3088" s="1" t="s">
        <v>6503</v>
      </c>
      <c r="M3088" s="1" t="s">
        <v>4782</v>
      </c>
      <c r="N3088" s="1" t="s">
        <v>38</v>
      </c>
      <c r="O3088" s="1" t="s">
        <v>4783</v>
      </c>
      <c r="Q3088" s="1" t="s">
        <v>4803</v>
      </c>
      <c r="R3088" s="1" t="s">
        <v>128</v>
      </c>
      <c r="S3088" s="1"/>
      <c r="T3088" s="1" t="s">
        <v>6508</v>
      </c>
      <c r="U3088" s="1" t="s">
        <v>130</v>
      </c>
      <c r="V3088" s="1" t="s">
        <v>199</v>
      </c>
      <c r="W3088" s="1" t="str">
        <f>VLOOKUP(Table1[[#This Row],[Obergruppe ATC-Code]],Tabelle3!$A$2:$B$100,2)</f>
        <v>OPHTHALMOLOGISCHE UND OTOLOGISCHE ZUBEREITUNGEN</v>
      </c>
      <c r="X3088" s="1" t="str">
        <f xml:space="preserve"> LEFT(Table1[[#This Row],[Atc Code]],3)</f>
        <v>TER</v>
      </c>
    </row>
    <row r="3089" spans="1:24" ht="14.4">
      <c r="A3089" s="14">
        <v>1293</v>
      </c>
      <c r="B3089" s="24">
        <v>11871011</v>
      </c>
      <c r="C3089" s="1">
        <v>2131571</v>
      </c>
      <c r="D3089" s="1" t="s">
        <v>25</v>
      </c>
      <c r="E3089" s="36">
        <v>45070</v>
      </c>
      <c r="F3089" s="36">
        <v>45086</v>
      </c>
      <c r="G3089" s="38">
        <f t="shared" si="48"/>
        <v>16</v>
      </c>
      <c r="H3089" s="5">
        <v>45071</v>
      </c>
      <c r="I3089" s="5">
        <v>45086</v>
      </c>
      <c r="J3089" s="1" t="s">
        <v>26</v>
      </c>
      <c r="K3089" s="1" t="s">
        <v>6502</v>
      </c>
      <c r="L3089" s="1" t="s">
        <v>6503</v>
      </c>
      <c r="M3089" s="1" t="s">
        <v>4782</v>
      </c>
      <c r="N3089" s="1" t="s">
        <v>38</v>
      </c>
      <c r="O3089" s="1" t="s">
        <v>4783</v>
      </c>
      <c r="Q3089" s="1" t="s">
        <v>4803</v>
      </c>
      <c r="R3089" s="1" t="s">
        <v>33</v>
      </c>
      <c r="S3089" s="1"/>
      <c r="U3089" s="1" t="s">
        <v>130</v>
      </c>
      <c r="V3089" s="1" t="s">
        <v>199</v>
      </c>
      <c r="W3089" s="1" t="str">
        <f>VLOOKUP(Table1[[#This Row],[Obergruppe ATC-Code]],Tabelle3!$A$2:$B$100,2)</f>
        <v>OPHTHALMOLOGISCHE UND OTOLOGISCHE ZUBEREITUNGEN</v>
      </c>
      <c r="X3089" s="1" t="str">
        <f xml:space="preserve"> LEFT(Table1[[#This Row],[Atc Code]],3)</f>
        <v>TER</v>
      </c>
    </row>
    <row r="3090" spans="1:24" ht="14.4">
      <c r="A3090" s="14">
        <v>1292</v>
      </c>
      <c r="B3090" s="24">
        <v>11871011</v>
      </c>
      <c r="C3090" s="1">
        <v>2131571</v>
      </c>
      <c r="D3090" s="1" t="s">
        <v>25</v>
      </c>
      <c r="E3090" s="36">
        <v>45170</v>
      </c>
      <c r="F3090" s="36">
        <v>45170</v>
      </c>
      <c r="G3090" s="38">
        <f t="shared" si="48"/>
        <v>0</v>
      </c>
      <c r="H3090" s="5">
        <v>45170</v>
      </c>
      <c r="I3090" s="5">
        <v>45170</v>
      </c>
      <c r="J3090" s="1" t="s">
        <v>26</v>
      </c>
      <c r="K3090" s="1" t="s">
        <v>6502</v>
      </c>
      <c r="L3090" s="1" t="s">
        <v>6503</v>
      </c>
      <c r="M3090" s="1" t="s">
        <v>4782</v>
      </c>
      <c r="N3090" s="1" t="s">
        <v>38</v>
      </c>
      <c r="O3090" s="1" t="s">
        <v>4783</v>
      </c>
      <c r="Q3090" s="1" t="s">
        <v>4803</v>
      </c>
      <c r="R3090" s="1" t="s">
        <v>33</v>
      </c>
      <c r="S3090" s="1"/>
      <c r="U3090" s="1" t="s">
        <v>130</v>
      </c>
      <c r="V3090" s="1" t="s">
        <v>199</v>
      </c>
      <c r="W3090" s="1" t="str">
        <f>VLOOKUP(Table1[[#This Row],[Obergruppe ATC-Code]],Tabelle3!$A$2:$B$100,2)</f>
        <v>OPHTHALMOLOGISCHE UND OTOLOGISCHE ZUBEREITUNGEN</v>
      </c>
      <c r="X3090" s="1" t="str">
        <f xml:space="preserve"> LEFT(Table1[[#This Row],[Atc Code]],3)</f>
        <v>TER</v>
      </c>
    </row>
    <row r="3091" spans="1:24" ht="14.4">
      <c r="A3091" s="14">
        <v>1290</v>
      </c>
      <c r="B3091" s="24">
        <v>11870974</v>
      </c>
      <c r="C3091" s="1">
        <v>2133233</v>
      </c>
      <c r="D3091" s="1" t="s">
        <v>25</v>
      </c>
      <c r="E3091" s="36">
        <v>45152</v>
      </c>
      <c r="F3091" s="36">
        <v>45170</v>
      </c>
      <c r="G3091" s="38">
        <f t="shared" si="48"/>
        <v>18</v>
      </c>
      <c r="H3091" s="5">
        <v>45153</v>
      </c>
      <c r="I3091" s="5">
        <v>45170</v>
      </c>
      <c r="J3091" s="1" t="s">
        <v>26</v>
      </c>
      <c r="K3091" s="1" t="s">
        <v>6509</v>
      </c>
      <c r="L3091" s="1" t="s">
        <v>6503</v>
      </c>
      <c r="M3091" s="1" t="s">
        <v>4782</v>
      </c>
      <c r="N3091" s="1" t="s">
        <v>38</v>
      </c>
      <c r="O3091" s="1" t="s">
        <v>4783</v>
      </c>
      <c r="Q3091" s="1" t="s">
        <v>4803</v>
      </c>
      <c r="R3091" s="1" t="s">
        <v>33</v>
      </c>
      <c r="S3091" s="1"/>
      <c r="U3091" s="1" t="s">
        <v>130</v>
      </c>
      <c r="V3091" s="1" t="s">
        <v>199</v>
      </c>
      <c r="W3091" s="1" t="str">
        <f>VLOOKUP(Table1[[#This Row],[Obergruppe ATC-Code]],Tabelle3!$A$2:$B$100,2)</f>
        <v>OPHTHALMOLOGISCHE UND OTOLOGISCHE ZUBEREITUNGEN</v>
      </c>
      <c r="X3091" s="1" t="str">
        <f xml:space="preserve"> LEFT(Table1[[#This Row],[Atc Code]],3)</f>
        <v>TER</v>
      </c>
    </row>
    <row r="3092" spans="1:24" ht="14.4">
      <c r="A3092" s="14">
        <v>1176</v>
      </c>
      <c r="B3092" s="24">
        <v>10212855</v>
      </c>
      <c r="C3092" s="1">
        <v>813163</v>
      </c>
      <c r="D3092" s="1" t="s">
        <v>25</v>
      </c>
      <c r="E3092" s="36">
        <v>44748</v>
      </c>
      <c r="F3092" s="36">
        <v>44783</v>
      </c>
      <c r="G3092" s="38">
        <f t="shared" si="48"/>
        <v>35</v>
      </c>
      <c r="H3092" s="5">
        <v>44734</v>
      </c>
      <c r="I3092" s="5">
        <v>44790</v>
      </c>
      <c r="J3092" s="1" t="s">
        <v>41</v>
      </c>
      <c r="K3092" s="1" t="s">
        <v>6511</v>
      </c>
      <c r="L3092" s="1" t="s">
        <v>6512</v>
      </c>
      <c r="M3092" s="1" t="s">
        <v>6470</v>
      </c>
      <c r="N3092" s="1" t="s">
        <v>38</v>
      </c>
      <c r="O3092" s="1" t="s">
        <v>364</v>
      </c>
      <c r="P3092" s="1">
        <v>308169624</v>
      </c>
      <c r="Q3092" s="1" t="s">
        <v>6513</v>
      </c>
      <c r="R3092" s="1" t="s">
        <v>26</v>
      </c>
      <c r="S3092" s="1"/>
      <c r="U3092" s="1" t="s">
        <v>130</v>
      </c>
      <c r="V3092" s="1" t="s">
        <v>262</v>
      </c>
      <c r="W3092" s="1" t="str">
        <f>VLOOKUP(Table1[[#This Row],[Obergruppe ATC-Code]],Tabelle3!$A$2:$B$100,2)</f>
        <v>ALLE ÜBRIGEN THERAPEUTISCHEN MITTEL</v>
      </c>
      <c r="X3092" s="1" t="str">
        <f xml:space="preserve"> LEFT(Table1[[#This Row],[Atc Code]],3)</f>
        <v>V03</v>
      </c>
    </row>
    <row r="3093" spans="1:24" ht="14.4">
      <c r="A3093" s="14">
        <v>2947</v>
      </c>
      <c r="B3093" s="25" t="s">
        <v>6514</v>
      </c>
      <c r="C3093" s="1">
        <v>2108709</v>
      </c>
      <c r="D3093" s="1" t="s">
        <v>25</v>
      </c>
      <c r="E3093" s="36">
        <v>44256</v>
      </c>
      <c r="F3093" s="36">
        <v>44938</v>
      </c>
      <c r="G3093" s="38">
        <f t="shared" si="48"/>
        <v>682</v>
      </c>
      <c r="H3093" s="5">
        <v>44236</v>
      </c>
      <c r="I3093" s="5">
        <v>44938</v>
      </c>
      <c r="J3093" s="1" t="s">
        <v>41</v>
      </c>
      <c r="K3093" s="1" t="s">
        <v>6515</v>
      </c>
      <c r="L3093" s="1" t="s">
        <v>6516</v>
      </c>
      <c r="M3093" s="1" t="s">
        <v>6517</v>
      </c>
      <c r="N3093" s="1" t="s">
        <v>30</v>
      </c>
      <c r="O3093" s="1" t="s">
        <v>6518</v>
      </c>
      <c r="P3093" s="1" t="s">
        <v>6519</v>
      </c>
      <c r="Q3093" s="1" t="s">
        <v>6520</v>
      </c>
      <c r="R3093" s="1" t="s">
        <v>65</v>
      </c>
      <c r="S3093" s="1" t="s">
        <v>6521</v>
      </c>
      <c r="U3093" s="1" t="s">
        <v>35</v>
      </c>
      <c r="V3093" s="1" t="s">
        <v>279</v>
      </c>
      <c r="W3093" s="1" t="str">
        <f>VLOOKUP(Table1[[#This Row],[Obergruppe ATC-Code]],Tabelle3!$A$2:$B$100,2)</f>
        <v>ALLE ÜBRIGEN THERAPEUTISCHEN MITTEL</v>
      </c>
      <c r="X3093" s="1" t="str">
        <f xml:space="preserve"> LEFT(Table1[[#This Row],[Atc Code]],3)</f>
        <v>V03</v>
      </c>
    </row>
    <row r="3094" spans="1:24" ht="14.4">
      <c r="A3094" s="14">
        <v>1505</v>
      </c>
      <c r="B3094" s="24">
        <v>16020967</v>
      </c>
      <c r="C3094" s="1">
        <v>2713397</v>
      </c>
      <c r="D3094" s="1" t="s">
        <v>25</v>
      </c>
      <c r="E3094" s="36">
        <v>44711</v>
      </c>
      <c r="F3094" s="36">
        <v>44742</v>
      </c>
      <c r="G3094" s="38">
        <f t="shared" si="48"/>
        <v>31</v>
      </c>
      <c r="H3094" s="5">
        <v>44713</v>
      </c>
      <c r="I3094" s="5">
        <v>44742</v>
      </c>
      <c r="J3094" s="1" t="s">
        <v>26</v>
      </c>
      <c r="K3094" s="1" t="s">
        <v>6522</v>
      </c>
      <c r="L3094" s="1" t="s">
        <v>6523</v>
      </c>
      <c r="M3094" s="1" t="s">
        <v>6524</v>
      </c>
      <c r="N3094" s="1" t="s">
        <v>30</v>
      </c>
      <c r="O3094" s="1" t="s">
        <v>6196</v>
      </c>
      <c r="P3094" s="1" t="s">
        <v>151</v>
      </c>
      <c r="Q3094" s="1" t="s">
        <v>152</v>
      </c>
      <c r="R3094" s="1" t="s">
        <v>113</v>
      </c>
      <c r="S3094" s="1"/>
      <c r="T3094" s="1" t="s">
        <v>6525</v>
      </c>
      <c r="U3094" s="1" t="s">
        <v>35</v>
      </c>
      <c r="V3094" s="1" t="s">
        <v>259</v>
      </c>
      <c r="W3094" s="1" t="str">
        <f>VLOOKUP(Table1[[#This Row],[Obergruppe ATC-Code]],Tabelle3!$A$2:$B$100,2)</f>
        <v>ALLE ÜBRIGEN THERAPEUTISCHEN MITTEL</v>
      </c>
      <c r="X3094" s="1" t="str">
        <f xml:space="preserve"> LEFT(Table1[[#This Row],[Atc Code]],3)</f>
        <v>V03</v>
      </c>
    </row>
    <row r="3095" spans="1:24" ht="14.4">
      <c r="A3095" s="14">
        <v>1504</v>
      </c>
      <c r="B3095" s="24">
        <v>16020950</v>
      </c>
      <c r="C3095" s="1">
        <v>2713395</v>
      </c>
      <c r="D3095" s="1" t="s">
        <v>25</v>
      </c>
      <c r="E3095" s="36">
        <v>44846</v>
      </c>
      <c r="F3095" s="36">
        <v>44880</v>
      </c>
      <c r="G3095" s="38">
        <f t="shared" si="48"/>
        <v>34</v>
      </c>
      <c r="H3095" s="5">
        <v>44816</v>
      </c>
      <c r="I3095" s="5">
        <v>44880</v>
      </c>
      <c r="J3095" s="1" t="s">
        <v>41</v>
      </c>
      <c r="K3095" s="1" t="s">
        <v>6526</v>
      </c>
      <c r="L3095" s="1" t="s">
        <v>6523</v>
      </c>
      <c r="M3095" s="1" t="s">
        <v>6524</v>
      </c>
      <c r="N3095" s="1" t="s">
        <v>30</v>
      </c>
      <c r="O3095" s="1" t="s">
        <v>6196</v>
      </c>
      <c r="P3095" s="1" t="s">
        <v>6527</v>
      </c>
      <c r="Q3095" s="1" t="s">
        <v>152</v>
      </c>
      <c r="R3095" s="1" t="s">
        <v>128</v>
      </c>
      <c r="S3095" s="1"/>
      <c r="T3095" s="1" t="s">
        <v>6528</v>
      </c>
      <c r="U3095" s="1" t="s">
        <v>35</v>
      </c>
      <c r="V3095" s="1" t="s">
        <v>259</v>
      </c>
      <c r="W3095" s="1" t="str">
        <f>VLOOKUP(Table1[[#This Row],[Obergruppe ATC-Code]],Tabelle3!$A$2:$B$100,2)</f>
        <v>ALLE ÜBRIGEN THERAPEUTISCHEN MITTEL</v>
      </c>
      <c r="X3095" s="1" t="str">
        <f xml:space="preserve"> LEFT(Table1[[#This Row],[Atc Code]],3)</f>
        <v>V03</v>
      </c>
    </row>
    <row r="3096" spans="1:24" ht="14.4">
      <c r="A3096" s="14">
        <v>2017</v>
      </c>
      <c r="B3096" s="24" t="s">
        <v>6529</v>
      </c>
      <c r="C3096" s="1">
        <v>2146836</v>
      </c>
      <c r="D3096" s="1" t="s">
        <v>25</v>
      </c>
      <c r="E3096" s="36">
        <v>43282</v>
      </c>
      <c r="F3096" s="36">
        <v>43524</v>
      </c>
      <c r="G3096" s="38">
        <f t="shared" si="48"/>
        <v>242</v>
      </c>
      <c r="H3096" s="5">
        <v>43277</v>
      </c>
      <c r="I3096" s="5">
        <v>43516</v>
      </c>
      <c r="J3096" s="1" t="s">
        <v>41</v>
      </c>
      <c r="K3096" s="1" t="s">
        <v>6530</v>
      </c>
      <c r="L3096" s="1" t="s">
        <v>6531</v>
      </c>
      <c r="M3096" s="1" t="s">
        <v>6532</v>
      </c>
      <c r="N3096" s="1" t="s">
        <v>30</v>
      </c>
      <c r="O3096" s="1" t="s">
        <v>123</v>
      </c>
      <c r="P3096" s="1" t="s">
        <v>6533</v>
      </c>
      <c r="Q3096" s="1" t="s">
        <v>6534</v>
      </c>
      <c r="R3096" s="1" t="s">
        <v>26</v>
      </c>
      <c r="S3096" s="1"/>
      <c r="T3096" s="1" t="s">
        <v>6535</v>
      </c>
      <c r="U3096" s="1" t="s">
        <v>35</v>
      </c>
      <c r="V3096" s="1" t="s">
        <v>74</v>
      </c>
      <c r="W3096" s="1" t="str">
        <f>VLOOKUP(Table1[[#This Row],[Obergruppe ATC-Code]],Tabelle3!$A$2:$B$100,2)</f>
        <v>ALLE ÜBRIGEN THERAPEUTISCHEN MITTEL</v>
      </c>
      <c r="X3096" s="1" t="str">
        <f xml:space="preserve"> LEFT(Table1[[#This Row],[Atc Code]],3)</f>
        <v>V03</v>
      </c>
    </row>
    <row r="3097" spans="1:24" ht="14.4">
      <c r="A3097" s="14">
        <v>356</v>
      </c>
      <c r="B3097" s="24">
        <v>2056111</v>
      </c>
      <c r="C3097" s="1">
        <v>2164356</v>
      </c>
      <c r="D3097" s="1" t="s">
        <v>25</v>
      </c>
      <c r="E3097" s="36">
        <v>43101</v>
      </c>
      <c r="F3097" s="36">
        <v>43159</v>
      </c>
      <c r="G3097" s="38">
        <f t="shared" si="48"/>
        <v>58</v>
      </c>
      <c r="H3097" s="5">
        <v>43131</v>
      </c>
      <c r="I3097" s="5">
        <v>43151</v>
      </c>
      <c r="J3097" s="1" t="s">
        <v>41</v>
      </c>
      <c r="K3097" s="1" t="s">
        <v>6536</v>
      </c>
      <c r="L3097" s="1" t="s">
        <v>6537</v>
      </c>
      <c r="M3097" s="1" t="s">
        <v>6538</v>
      </c>
      <c r="N3097" s="1" t="s">
        <v>30</v>
      </c>
      <c r="P3097" s="1" t="s">
        <v>3564</v>
      </c>
      <c r="Q3097" s="1" t="s">
        <v>3565</v>
      </c>
      <c r="R3097" s="1" t="s">
        <v>65</v>
      </c>
      <c r="S3097" s="1"/>
      <c r="U3097" s="1" t="s">
        <v>35</v>
      </c>
      <c r="V3097" s="1" t="s">
        <v>154</v>
      </c>
      <c r="W3097" s="1" t="str">
        <f>VLOOKUP(Table1[[#This Row],[Obergruppe ATC-Code]],Tabelle3!$A$2:$B$100,2)</f>
        <v>ALLE ÜBRIGEN THERAPEUTISCHEN MITTEL</v>
      </c>
      <c r="X3097" s="1" t="str">
        <f xml:space="preserve"> LEFT(Table1[[#This Row],[Atc Code]],3)</f>
        <v>V03</v>
      </c>
    </row>
    <row r="3098" spans="1:24" ht="14.4">
      <c r="A3098" s="14">
        <v>355</v>
      </c>
      <c r="B3098" s="24">
        <v>2056111</v>
      </c>
      <c r="C3098" s="1">
        <v>2164356</v>
      </c>
      <c r="D3098" s="1" t="s">
        <v>25</v>
      </c>
      <c r="E3098" s="36">
        <v>43405</v>
      </c>
      <c r="F3098" s="36">
        <v>43465</v>
      </c>
      <c r="G3098" s="38">
        <f t="shared" si="48"/>
        <v>60</v>
      </c>
      <c r="H3098" s="5">
        <v>43412</v>
      </c>
      <c r="I3098" s="5">
        <v>43434</v>
      </c>
      <c r="J3098" s="1" t="s">
        <v>41</v>
      </c>
      <c r="K3098" s="1" t="s">
        <v>6536</v>
      </c>
      <c r="L3098" s="1" t="s">
        <v>6537</v>
      </c>
      <c r="M3098" s="1" t="s">
        <v>6538</v>
      </c>
      <c r="N3098" s="1" t="s">
        <v>30</v>
      </c>
      <c r="P3098" s="1" t="s">
        <v>3564</v>
      </c>
      <c r="Q3098" s="1" t="s">
        <v>3565</v>
      </c>
      <c r="R3098" s="1" t="s">
        <v>65</v>
      </c>
      <c r="S3098" s="1"/>
      <c r="U3098" s="1" t="s">
        <v>35</v>
      </c>
      <c r="V3098" s="1" t="s">
        <v>154</v>
      </c>
      <c r="W3098" s="1" t="str">
        <f>VLOOKUP(Table1[[#This Row],[Obergruppe ATC-Code]],Tabelle3!$A$2:$B$100,2)</f>
        <v>ALLE ÜBRIGEN THERAPEUTISCHEN MITTEL</v>
      </c>
      <c r="X3098" s="1" t="str">
        <f xml:space="preserve"> LEFT(Table1[[#This Row],[Atc Code]],3)</f>
        <v>V03</v>
      </c>
    </row>
    <row r="3099" spans="1:24" ht="14.4">
      <c r="A3099" s="14">
        <v>421</v>
      </c>
      <c r="B3099" s="24">
        <v>2515317</v>
      </c>
      <c r="C3099" s="1">
        <v>2703297</v>
      </c>
      <c r="D3099" s="1" t="s">
        <v>25</v>
      </c>
      <c r="E3099" s="36">
        <v>43831</v>
      </c>
      <c r="F3099" s="36">
        <v>43921</v>
      </c>
      <c r="G3099" s="38">
        <f t="shared" si="48"/>
        <v>90</v>
      </c>
      <c r="H3099" s="5">
        <v>43844</v>
      </c>
      <c r="I3099" s="5">
        <v>43914</v>
      </c>
      <c r="J3099" s="1" t="s">
        <v>41</v>
      </c>
      <c r="K3099" s="1" t="s">
        <v>6539</v>
      </c>
      <c r="L3099" s="1" t="s">
        <v>6537</v>
      </c>
      <c r="M3099" s="1" t="s">
        <v>6540</v>
      </c>
      <c r="N3099" s="1" t="s">
        <v>30</v>
      </c>
      <c r="O3099" s="1" t="s">
        <v>3563</v>
      </c>
      <c r="P3099" s="1" t="s">
        <v>3564</v>
      </c>
      <c r="Q3099" s="1" t="s">
        <v>4294</v>
      </c>
      <c r="R3099" s="1" t="s">
        <v>26</v>
      </c>
      <c r="S3099" s="1"/>
      <c r="U3099" s="1" t="s">
        <v>35</v>
      </c>
      <c r="V3099" s="1" t="s">
        <v>740</v>
      </c>
      <c r="W3099" s="1" t="str">
        <f>VLOOKUP(Table1[[#This Row],[Obergruppe ATC-Code]],Tabelle3!$A$2:$B$100,2)</f>
        <v>ALLE ÜBRIGEN THERAPEUTISCHEN MITTEL</v>
      </c>
      <c r="X3099" s="1" t="str">
        <f xml:space="preserve"> LEFT(Table1[[#This Row],[Atc Code]],3)</f>
        <v>V03</v>
      </c>
    </row>
    <row r="3100" spans="1:24" ht="14.4">
      <c r="A3100" s="14">
        <v>422</v>
      </c>
      <c r="B3100" s="24">
        <v>2515317</v>
      </c>
      <c r="C3100" s="1">
        <v>2703297</v>
      </c>
      <c r="D3100" s="1" t="s">
        <v>25</v>
      </c>
      <c r="E3100" s="36">
        <v>44704</v>
      </c>
      <c r="F3100" s="36">
        <v>44826</v>
      </c>
      <c r="G3100" s="38">
        <f t="shared" si="48"/>
        <v>122</v>
      </c>
      <c r="H3100" s="5">
        <v>44708</v>
      </c>
      <c r="I3100" s="5">
        <v>44827</v>
      </c>
      <c r="J3100" s="1" t="s">
        <v>41</v>
      </c>
      <c r="K3100" s="1" t="s">
        <v>6539</v>
      </c>
      <c r="L3100" s="1" t="s">
        <v>6537</v>
      </c>
      <c r="M3100" s="1" t="s">
        <v>6541</v>
      </c>
      <c r="N3100" s="1" t="s">
        <v>30</v>
      </c>
      <c r="O3100" s="1" t="s">
        <v>3563</v>
      </c>
      <c r="P3100" s="1" t="s">
        <v>6542</v>
      </c>
      <c r="Q3100" s="1" t="s">
        <v>6543</v>
      </c>
      <c r="R3100" s="1" t="s">
        <v>65</v>
      </c>
      <c r="S3100" s="1" t="s">
        <v>6544</v>
      </c>
      <c r="U3100" s="1" t="s">
        <v>35</v>
      </c>
      <c r="V3100" s="1" t="s">
        <v>740</v>
      </c>
      <c r="W3100" s="1" t="str">
        <f>VLOOKUP(Table1[[#This Row],[Obergruppe ATC-Code]],Tabelle3!$A$2:$B$100,2)</f>
        <v>ALLE ÜBRIGEN THERAPEUTISCHEN MITTEL</v>
      </c>
      <c r="X3100" s="1" t="str">
        <f xml:space="preserve"> LEFT(Table1[[#This Row],[Atc Code]],3)</f>
        <v>V03</v>
      </c>
    </row>
    <row r="3101" spans="1:24" ht="14.4">
      <c r="A3101" s="14">
        <v>354</v>
      </c>
      <c r="B3101" s="24">
        <v>2056111</v>
      </c>
      <c r="C3101" s="1">
        <v>2164356</v>
      </c>
      <c r="D3101" s="1" t="s">
        <v>25</v>
      </c>
      <c r="E3101" s="36">
        <v>44972</v>
      </c>
      <c r="F3101" s="36">
        <v>44972</v>
      </c>
      <c r="G3101" s="38">
        <f t="shared" si="48"/>
        <v>0</v>
      </c>
      <c r="H3101" s="5">
        <v>44951</v>
      </c>
      <c r="I3101" s="5">
        <v>44971</v>
      </c>
      <c r="J3101" s="1" t="s">
        <v>41</v>
      </c>
      <c r="K3101" s="1" t="s">
        <v>6536</v>
      </c>
      <c r="L3101" s="1" t="s">
        <v>6537</v>
      </c>
      <c r="M3101" s="1" t="s">
        <v>6538</v>
      </c>
      <c r="N3101" s="1" t="s">
        <v>30</v>
      </c>
      <c r="O3101" s="1" t="s">
        <v>3563</v>
      </c>
      <c r="P3101" s="1" t="s">
        <v>6542</v>
      </c>
      <c r="Q3101" s="1" t="s">
        <v>6543</v>
      </c>
      <c r="R3101" s="1" t="s">
        <v>2138</v>
      </c>
      <c r="S3101" s="1"/>
      <c r="T3101" s="1" t="s">
        <v>6545</v>
      </c>
      <c r="U3101" s="1" t="s">
        <v>35</v>
      </c>
      <c r="V3101" s="1" t="s">
        <v>154</v>
      </c>
      <c r="W3101" s="1" t="str">
        <f>VLOOKUP(Table1[[#This Row],[Obergruppe ATC-Code]],Tabelle3!$A$2:$B$100,2)</f>
        <v>ALLE ÜBRIGEN THERAPEUTISCHEN MITTEL</v>
      </c>
      <c r="X3101" s="1" t="str">
        <f xml:space="preserve"> LEFT(Table1[[#This Row],[Atc Code]],3)</f>
        <v>V03</v>
      </c>
    </row>
    <row r="3102" spans="1:24" ht="14.4">
      <c r="A3102" s="14">
        <v>353</v>
      </c>
      <c r="B3102" s="24">
        <v>2056111</v>
      </c>
      <c r="C3102" s="1">
        <v>2164356</v>
      </c>
      <c r="D3102" s="1" t="s">
        <v>25</v>
      </c>
      <c r="E3102" s="36">
        <v>45047</v>
      </c>
      <c r="F3102" s="36">
        <v>45092</v>
      </c>
      <c r="G3102" s="38">
        <f t="shared" si="48"/>
        <v>45</v>
      </c>
      <c r="H3102" s="5">
        <v>45043</v>
      </c>
      <c r="I3102" s="5">
        <v>45092</v>
      </c>
      <c r="J3102" s="1" t="s">
        <v>41</v>
      </c>
      <c r="K3102" s="1" t="s">
        <v>6536</v>
      </c>
      <c r="L3102" s="1" t="s">
        <v>6537</v>
      </c>
      <c r="M3102" s="1" t="s">
        <v>6538</v>
      </c>
      <c r="N3102" s="1" t="s">
        <v>30</v>
      </c>
      <c r="O3102" s="1" t="s">
        <v>3563</v>
      </c>
      <c r="P3102" s="1" t="s">
        <v>6542</v>
      </c>
      <c r="Q3102" s="1" t="s">
        <v>6543</v>
      </c>
      <c r="R3102" s="1" t="s">
        <v>2138</v>
      </c>
      <c r="S3102" s="1"/>
      <c r="T3102" s="1" t="s">
        <v>6545</v>
      </c>
      <c r="U3102" s="1" t="s">
        <v>35</v>
      </c>
      <c r="V3102" s="1" t="s">
        <v>154</v>
      </c>
      <c r="W3102" s="1" t="str">
        <f>VLOOKUP(Table1[[#This Row],[Obergruppe ATC-Code]],Tabelle3!$A$2:$B$100,2)</f>
        <v>ALLE ÜBRIGEN THERAPEUTISCHEN MITTEL</v>
      </c>
      <c r="X3102" s="1" t="str">
        <f xml:space="preserve"> LEFT(Table1[[#This Row],[Atc Code]],3)</f>
        <v>V03</v>
      </c>
    </row>
    <row r="3103" spans="1:24" ht="14.4">
      <c r="A3103" s="14">
        <v>3002</v>
      </c>
      <c r="B3103" s="24" t="s">
        <v>6546</v>
      </c>
      <c r="C3103" s="1">
        <v>2126702</v>
      </c>
      <c r="D3103" s="1" t="s">
        <v>25</v>
      </c>
      <c r="E3103" s="36">
        <v>42675</v>
      </c>
      <c r="F3103" s="36">
        <v>43008</v>
      </c>
      <c r="G3103" s="38">
        <f t="shared" si="48"/>
        <v>333</v>
      </c>
      <c r="H3103" s="5">
        <v>42494</v>
      </c>
      <c r="I3103" s="5">
        <v>43131</v>
      </c>
      <c r="J3103" s="1" t="s">
        <v>41</v>
      </c>
      <c r="K3103" s="1" t="s">
        <v>6547</v>
      </c>
      <c r="L3103" s="1" t="s">
        <v>6548</v>
      </c>
      <c r="M3103" s="1" t="s">
        <v>6549</v>
      </c>
      <c r="N3103" s="1" t="s">
        <v>30</v>
      </c>
      <c r="O3103" s="1" t="s">
        <v>1035</v>
      </c>
      <c r="P3103" s="1" t="s">
        <v>6550</v>
      </c>
      <c r="Q3103" s="1" t="s">
        <v>647</v>
      </c>
      <c r="R3103" s="1" t="s">
        <v>26</v>
      </c>
      <c r="S3103" s="1"/>
      <c r="U3103" s="1" t="s">
        <v>35</v>
      </c>
      <c r="V3103" s="1" t="s">
        <v>74</v>
      </c>
      <c r="W3103" s="1" t="str">
        <f>VLOOKUP(Table1[[#This Row],[Obergruppe ATC-Code]],Tabelle3!$A$2:$B$100,2)</f>
        <v>ALLE ÜBRIGEN THERAPEUTISCHEN MITTEL</v>
      </c>
      <c r="X3103" s="1" t="str">
        <f xml:space="preserve"> LEFT(Table1[[#This Row],[Atc Code]],3)</f>
        <v>V03</v>
      </c>
    </row>
    <row r="3104" spans="1:24" ht="14.4">
      <c r="A3104" s="14">
        <v>3212</v>
      </c>
      <c r="B3104" s="3">
        <v>7691384</v>
      </c>
      <c r="C3104" s="1">
        <v>2112806</v>
      </c>
      <c r="D3104" s="1" t="s">
        <v>25</v>
      </c>
      <c r="E3104" s="36">
        <v>42491</v>
      </c>
      <c r="F3104" s="36">
        <v>43190</v>
      </c>
      <c r="G3104" s="38">
        <f t="shared" si="48"/>
        <v>699</v>
      </c>
      <c r="H3104" s="5">
        <v>42494</v>
      </c>
      <c r="I3104" s="5">
        <v>43209</v>
      </c>
      <c r="J3104" s="1" t="s">
        <v>41</v>
      </c>
      <c r="K3104" s="1" t="s">
        <v>6551</v>
      </c>
      <c r="L3104" s="1" t="s">
        <v>6548</v>
      </c>
      <c r="M3104" s="1" t="s">
        <v>6549</v>
      </c>
      <c r="N3104" s="1" t="s">
        <v>30</v>
      </c>
      <c r="O3104" s="1" t="s">
        <v>1035</v>
      </c>
      <c r="P3104" s="1" t="s">
        <v>6550</v>
      </c>
      <c r="Q3104" s="1" t="s">
        <v>647</v>
      </c>
      <c r="R3104" s="1" t="s">
        <v>48</v>
      </c>
      <c r="S3104" s="1"/>
      <c r="U3104" s="1" t="s">
        <v>35</v>
      </c>
      <c r="V3104" s="1" t="s">
        <v>74</v>
      </c>
      <c r="W3104" s="1" t="str">
        <f>VLOOKUP(Table1[[#This Row],[Obergruppe ATC-Code]],Tabelle3!$A$2:$B$100,2)</f>
        <v>ALLE ÜBRIGEN THERAPEUTISCHEN MITTEL</v>
      </c>
      <c r="X3104" s="1" t="str">
        <f xml:space="preserve"> LEFT(Table1[[#This Row],[Atc Code]],3)</f>
        <v>V03</v>
      </c>
    </row>
    <row r="3105" spans="1:24" ht="14.4">
      <c r="A3105" s="14">
        <v>1302</v>
      </c>
      <c r="B3105" s="24">
        <v>12412222</v>
      </c>
      <c r="C3105" s="1">
        <v>2193327</v>
      </c>
      <c r="D3105" s="1" t="s">
        <v>25</v>
      </c>
      <c r="E3105" s="36">
        <v>43983</v>
      </c>
      <c r="F3105" s="36">
        <v>44196</v>
      </c>
      <c r="G3105" s="38">
        <f t="shared" si="48"/>
        <v>213</v>
      </c>
      <c r="H3105" s="5">
        <v>43999</v>
      </c>
      <c r="I3105" s="5">
        <v>44186</v>
      </c>
      <c r="J3105" s="1" t="s">
        <v>41</v>
      </c>
      <c r="K3105" s="1" t="s">
        <v>6552</v>
      </c>
      <c r="L3105" s="1" t="s">
        <v>6548</v>
      </c>
      <c r="M3105" s="1" t="s">
        <v>6553</v>
      </c>
      <c r="N3105" s="1" t="s">
        <v>30</v>
      </c>
      <c r="O3105" s="1" t="s">
        <v>220</v>
      </c>
      <c r="P3105" s="1" t="s">
        <v>221</v>
      </c>
      <c r="Q3105" s="1" t="s">
        <v>222</v>
      </c>
      <c r="R3105" s="1" t="s">
        <v>65</v>
      </c>
      <c r="S3105" s="1"/>
      <c r="T3105" s="1" t="s">
        <v>944</v>
      </c>
      <c r="U3105" s="1" t="s">
        <v>35</v>
      </c>
      <c r="V3105" s="1" t="s">
        <v>652</v>
      </c>
      <c r="W3105" s="1" t="str">
        <f>VLOOKUP(Table1[[#This Row],[Obergruppe ATC-Code]],Tabelle3!$A$2:$B$100,2)</f>
        <v>ALLE ÜBRIGEN THERAPEUTISCHEN MITTEL</v>
      </c>
      <c r="X3105" s="1" t="str">
        <f xml:space="preserve"> LEFT(Table1[[#This Row],[Atc Code]],3)</f>
        <v>V03</v>
      </c>
    </row>
    <row r="3106" spans="1:24" ht="14.4">
      <c r="A3106" s="14">
        <v>2564</v>
      </c>
      <c r="B3106" s="24" t="s">
        <v>6554</v>
      </c>
      <c r="C3106" s="1">
        <v>2152678</v>
      </c>
      <c r="D3106" s="1" t="s">
        <v>25</v>
      </c>
      <c r="E3106" s="36">
        <v>43891</v>
      </c>
      <c r="F3106" s="36">
        <v>44074</v>
      </c>
      <c r="G3106" s="38">
        <f t="shared" si="48"/>
        <v>183</v>
      </c>
      <c r="H3106" s="5">
        <v>43907</v>
      </c>
      <c r="I3106" s="5">
        <v>44231</v>
      </c>
      <c r="J3106" s="1" t="s">
        <v>41</v>
      </c>
      <c r="K3106" s="1" t="s">
        <v>6555</v>
      </c>
      <c r="L3106" s="1" t="s">
        <v>6548</v>
      </c>
      <c r="M3106" s="1" t="s">
        <v>6553</v>
      </c>
      <c r="N3106" s="1" t="s">
        <v>30</v>
      </c>
      <c r="O3106" s="1" t="s">
        <v>1284</v>
      </c>
      <c r="P3106" s="1">
        <v>895589090</v>
      </c>
      <c r="Q3106" s="1" t="s">
        <v>1286</v>
      </c>
      <c r="R3106" s="1" t="s">
        <v>65</v>
      </c>
      <c r="S3106" s="1"/>
      <c r="U3106" s="1" t="s">
        <v>35</v>
      </c>
      <c r="V3106" s="1" t="s">
        <v>74</v>
      </c>
      <c r="W3106" s="1" t="str">
        <f>VLOOKUP(Table1[[#This Row],[Obergruppe ATC-Code]],Tabelle3!$A$2:$B$100,2)</f>
        <v>ALLE ÜBRIGEN THERAPEUTISCHEN MITTEL</v>
      </c>
      <c r="X3106" s="1" t="str">
        <f xml:space="preserve"> LEFT(Table1[[#This Row],[Atc Code]],3)</f>
        <v>V03</v>
      </c>
    </row>
    <row r="3107" spans="1:24" ht="14.4">
      <c r="A3107" s="14">
        <v>2353</v>
      </c>
      <c r="B3107" s="24" t="s">
        <v>6556</v>
      </c>
      <c r="C3107" s="1">
        <v>2112752</v>
      </c>
      <c r="D3107" s="1" t="s">
        <v>25</v>
      </c>
      <c r="E3107" s="36">
        <v>43922</v>
      </c>
      <c r="F3107" s="36">
        <v>44377</v>
      </c>
      <c r="G3107" s="38">
        <f t="shared" si="48"/>
        <v>455</v>
      </c>
      <c r="H3107" s="5">
        <v>43923</v>
      </c>
      <c r="I3107" s="5">
        <v>44413</v>
      </c>
      <c r="J3107" s="1" t="s">
        <v>41</v>
      </c>
      <c r="K3107" s="1" t="s">
        <v>6557</v>
      </c>
      <c r="L3107" s="1" t="s">
        <v>6548</v>
      </c>
      <c r="M3107" s="1" t="s">
        <v>6549</v>
      </c>
      <c r="N3107" s="1" t="s">
        <v>30</v>
      </c>
      <c r="O3107" s="1" t="s">
        <v>1035</v>
      </c>
      <c r="P3107" s="1" t="s">
        <v>71</v>
      </c>
      <c r="Q3107" s="1" t="s">
        <v>56</v>
      </c>
      <c r="R3107" s="1" t="s">
        <v>48</v>
      </c>
      <c r="S3107" s="1"/>
      <c r="T3107" s="1" t="s">
        <v>6558</v>
      </c>
      <c r="U3107" s="1" t="s">
        <v>35</v>
      </c>
      <c r="V3107" s="1" t="s">
        <v>49</v>
      </c>
      <c r="W3107" s="1" t="str">
        <f>VLOOKUP(Table1[[#This Row],[Obergruppe ATC-Code]],Tabelle3!$A$2:$B$100,2)</f>
        <v>ALLE ÜBRIGEN THERAPEUTISCHEN MITTEL</v>
      </c>
      <c r="X3107" s="1" t="str">
        <f xml:space="preserve"> LEFT(Table1[[#This Row],[Atc Code]],3)</f>
        <v>V03</v>
      </c>
    </row>
    <row r="3108" spans="1:24" ht="14.4">
      <c r="A3108" s="14">
        <v>2096</v>
      </c>
      <c r="B3108" s="24" t="s">
        <v>6559</v>
      </c>
      <c r="C3108" s="1">
        <v>2137140</v>
      </c>
      <c r="D3108" s="1" t="s">
        <v>25</v>
      </c>
      <c r="E3108" s="36">
        <v>44530</v>
      </c>
      <c r="F3108" s="36">
        <v>44687</v>
      </c>
      <c r="G3108" s="38">
        <f t="shared" si="48"/>
        <v>157</v>
      </c>
      <c r="H3108" s="5">
        <v>44530</v>
      </c>
      <c r="I3108" s="5">
        <v>44687</v>
      </c>
      <c r="J3108" s="1" t="s">
        <v>26</v>
      </c>
      <c r="K3108" s="1" t="s">
        <v>6560</v>
      </c>
      <c r="L3108" s="1" t="s">
        <v>6548</v>
      </c>
      <c r="M3108" s="1" t="s">
        <v>6561</v>
      </c>
      <c r="N3108" s="1" t="s">
        <v>38</v>
      </c>
      <c r="O3108" s="1" t="s">
        <v>91</v>
      </c>
      <c r="P3108" s="1" t="s">
        <v>92</v>
      </c>
      <c r="Q3108" s="1" t="s">
        <v>93</v>
      </c>
      <c r="R3108" s="1" t="s">
        <v>26</v>
      </c>
      <c r="S3108" s="1"/>
      <c r="U3108" s="1" t="s">
        <v>35</v>
      </c>
      <c r="V3108" s="1" t="s">
        <v>262</v>
      </c>
      <c r="W3108" s="1" t="str">
        <f>VLOOKUP(Table1[[#This Row],[Obergruppe ATC-Code]],Tabelle3!$A$2:$B$100,2)</f>
        <v>ALLE ÜBRIGEN THERAPEUTISCHEN MITTEL</v>
      </c>
      <c r="X3108" s="1" t="str">
        <f xml:space="preserve"> LEFT(Table1[[#This Row],[Atc Code]],3)</f>
        <v>V03</v>
      </c>
    </row>
    <row r="3109" spans="1:24" ht="14.4">
      <c r="A3109" s="14">
        <v>1516</v>
      </c>
      <c r="B3109" s="24">
        <v>16164229</v>
      </c>
      <c r="C3109" s="1">
        <v>2189553</v>
      </c>
      <c r="D3109" s="1" t="s">
        <v>102</v>
      </c>
      <c r="E3109" s="36">
        <v>44687</v>
      </c>
      <c r="F3109" s="36">
        <v>45214</v>
      </c>
      <c r="G3109" s="38">
        <f t="shared" si="48"/>
        <v>527</v>
      </c>
      <c r="H3109" s="5">
        <v>44687</v>
      </c>
      <c r="I3109" s="5">
        <v>44893</v>
      </c>
      <c r="J3109" s="1" t="s">
        <v>26</v>
      </c>
      <c r="K3109" s="1" t="s">
        <v>6562</v>
      </c>
      <c r="L3109" s="1" t="s">
        <v>6548</v>
      </c>
      <c r="M3109" s="1" t="s">
        <v>6561</v>
      </c>
      <c r="N3109" s="1" t="s">
        <v>30</v>
      </c>
      <c r="O3109" s="1" t="s">
        <v>4200</v>
      </c>
      <c r="Q3109" s="1" t="s">
        <v>6563</v>
      </c>
      <c r="R3109" s="1" t="s">
        <v>142</v>
      </c>
      <c r="S3109" s="1"/>
      <c r="U3109" s="1" t="s">
        <v>35</v>
      </c>
      <c r="V3109" s="1" t="s">
        <v>74</v>
      </c>
      <c r="W3109" s="1" t="str">
        <f>VLOOKUP(Table1[[#This Row],[Obergruppe ATC-Code]],Tabelle3!$A$2:$B$100,2)</f>
        <v>ALLE ÜBRIGEN THERAPEUTISCHEN MITTEL</v>
      </c>
      <c r="X3109" s="1" t="str">
        <f xml:space="preserve"> LEFT(Table1[[#This Row],[Atc Code]],3)</f>
        <v>V03</v>
      </c>
    </row>
    <row r="3110" spans="1:24" ht="14.4">
      <c r="A3110" s="14">
        <v>2708</v>
      </c>
      <c r="B3110" s="24" t="s">
        <v>6564</v>
      </c>
      <c r="C3110" s="1">
        <v>2193327</v>
      </c>
      <c r="D3110" s="1" t="s">
        <v>25</v>
      </c>
      <c r="E3110" s="36">
        <v>44713</v>
      </c>
      <c r="F3110" s="36">
        <v>44896</v>
      </c>
      <c r="G3110" s="38">
        <f t="shared" si="48"/>
        <v>183</v>
      </c>
      <c r="H3110" s="5">
        <v>44713</v>
      </c>
      <c r="I3110" s="5">
        <v>44896</v>
      </c>
      <c r="J3110" s="1" t="s">
        <v>41</v>
      </c>
      <c r="K3110" s="1" t="s">
        <v>6552</v>
      </c>
      <c r="L3110" s="1" t="s">
        <v>6548</v>
      </c>
      <c r="M3110" s="1" t="s">
        <v>6565</v>
      </c>
      <c r="N3110" s="1" t="s">
        <v>30</v>
      </c>
      <c r="O3110" s="1" t="s">
        <v>220</v>
      </c>
      <c r="P3110" s="1">
        <v>61726867883</v>
      </c>
      <c r="Q3110" s="1" t="s">
        <v>958</v>
      </c>
      <c r="R3110" s="1" t="s">
        <v>128</v>
      </c>
      <c r="S3110" s="1"/>
      <c r="U3110" s="1" t="s">
        <v>57</v>
      </c>
      <c r="V3110" s="1" t="s">
        <v>652</v>
      </c>
      <c r="W3110" s="1" t="str">
        <f>VLOOKUP(Table1[[#This Row],[Obergruppe ATC-Code]],Tabelle3!$A$2:$B$100,2)</f>
        <v>ALLE ÜBRIGEN THERAPEUTISCHEN MITTEL</v>
      </c>
      <c r="X3110" s="1" t="str">
        <f xml:space="preserve"> LEFT(Table1[[#This Row],[Atc Code]],3)</f>
        <v>V03</v>
      </c>
    </row>
    <row r="3111" spans="1:24" ht="14.4">
      <c r="A3111" s="14">
        <v>1003</v>
      </c>
      <c r="B3111" s="24">
        <v>8670556</v>
      </c>
      <c r="C3111" s="1">
        <v>2107604</v>
      </c>
      <c r="D3111" s="1" t="s">
        <v>25</v>
      </c>
      <c r="E3111" s="36">
        <v>44693</v>
      </c>
      <c r="F3111" s="36">
        <v>44949</v>
      </c>
      <c r="G3111" s="38">
        <f t="shared" si="48"/>
        <v>256</v>
      </c>
      <c r="H3111" s="5">
        <v>44693</v>
      </c>
      <c r="I3111" s="5">
        <v>44949</v>
      </c>
      <c r="J3111" s="1" t="s">
        <v>41</v>
      </c>
      <c r="K3111" s="1" t="s">
        <v>6566</v>
      </c>
      <c r="L3111" s="1" t="s">
        <v>6548</v>
      </c>
      <c r="M3111" s="1" t="s">
        <v>6561</v>
      </c>
      <c r="N3111" s="1" t="s">
        <v>30</v>
      </c>
      <c r="O3111" s="1" t="s">
        <v>1078</v>
      </c>
      <c r="P3111" s="1">
        <v>15785126413</v>
      </c>
      <c r="Q3111" s="1" t="s">
        <v>1079</v>
      </c>
      <c r="R3111" s="1" t="s">
        <v>128</v>
      </c>
      <c r="S3111" s="1"/>
      <c r="U3111" s="1" t="s">
        <v>35</v>
      </c>
      <c r="V3111" s="1" t="s">
        <v>74</v>
      </c>
      <c r="W3111" s="1" t="str">
        <f>VLOOKUP(Table1[[#This Row],[Obergruppe ATC-Code]],Tabelle3!$A$2:$B$100,2)</f>
        <v>ALLE ÜBRIGEN THERAPEUTISCHEN MITTEL</v>
      </c>
      <c r="X3111" s="1" t="str">
        <f xml:space="preserve"> LEFT(Table1[[#This Row],[Atc Code]],3)</f>
        <v>V03</v>
      </c>
    </row>
    <row r="3112" spans="1:24" ht="14.4">
      <c r="A3112" s="14">
        <v>775</v>
      </c>
      <c r="B3112" s="24">
        <v>6107727</v>
      </c>
      <c r="C3112" s="1">
        <v>2177080</v>
      </c>
      <c r="D3112" s="1" t="s">
        <v>175</v>
      </c>
      <c r="E3112" s="36">
        <v>44896</v>
      </c>
      <c r="F3112" s="36">
        <v>45382</v>
      </c>
      <c r="G3112" s="38">
        <f t="shared" si="48"/>
        <v>486</v>
      </c>
      <c r="H3112" s="5">
        <v>44970</v>
      </c>
      <c r="I3112" s="5">
        <v>44970</v>
      </c>
      <c r="J3112" s="1" t="s">
        <v>26</v>
      </c>
      <c r="K3112" s="1" t="s">
        <v>6567</v>
      </c>
      <c r="L3112" s="1" t="s">
        <v>6548</v>
      </c>
      <c r="M3112" s="1" t="s">
        <v>6565</v>
      </c>
      <c r="N3112" s="1" t="s">
        <v>30</v>
      </c>
      <c r="O3112" s="1" t="s">
        <v>6568</v>
      </c>
      <c r="P3112" s="1" t="s">
        <v>6569</v>
      </c>
      <c r="Q3112" s="1" t="s">
        <v>6570</v>
      </c>
      <c r="R3112" s="1" t="s">
        <v>33</v>
      </c>
      <c r="S3112" s="1" t="s">
        <v>6571</v>
      </c>
      <c r="U3112" s="1" t="s">
        <v>130</v>
      </c>
      <c r="V3112" s="1" t="s">
        <v>74</v>
      </c>
      <c r="W3112" s="1" t="str">
        <f>VLOOKUP(Table1[[#This Row],[Obergruppe ATC-Code]],Tabelle3!$A$2:$B$100,2)</f>
        <v>ALLE ÜBRIGEN THERAPEUTISCHEN MITTEL</v>
      </c>
      <c r="X3112" s="1" t="str">
        <f xml:space="preserve"> LEFT(Table1[[#This Row],[Atc Code]],3)</f>
        <v>V03</v>
      </c>
    </row>
    <row r="3113" spans="1:24" ht="14.4">
      <c r="A3113" s="14">
        <v>1616</v>
      </c>
      <c r="B3113" s="24">
        <v>17930163</v>
      </c>
      <c r="C3113" s="1">
        <v>2159237</v>
      </c>
      <c r="D3113" s="1" t="s">
        <v>25</v>
      </c>
      <c r="E3113" s="36">
        <v>44944</v>
      </c>
      <c r="F3113" s="36">
        <v>44985</v>
      </c>
      <c r="G3113" s="38">
        <f t="shared" si="48"/>
        <v>41</v>
      </c>
      <c r="H3113" s="5">
        <v>44944</v>
      </c>
      <c r="I3113" s="5">
        <v>44988</v>
      </c>
      <c r="J3113" s="1" t="s">
        <v>41</v>
      </c>
      <c r="K3113" s="1" t="s">
        <v>6572</v>
      </c>
      <c r="L3113" s="1" t="s">
        <v>6548</v>
      </c>
      <c r="M3113" s="1" t="s">
        <v>6561</v>
      </c>
      <c r="N3113" s="1" t="s">
        <v>38</v>
      </c>
      <c r="O3113" s="1" t="s">
        <v>6573</v>
      </c>
      <c r="P3113" s="1">
        <v>442033227743</v>
      </c>
      <c r="Q3113" s="1" t="s">
        <v>6574</v>
      </c>
      <c r="R3113" s="1" t="s">
        <v>128</v>
      </c>
      <c r="S3113" s="1" t="s">
        <v>6575</v>
      </c>
      <c r="U3113" s="1" t="s">
        <v>35</v>
      </c>
      <c r="V3113" s="1" t="s">
        <v>74</v>
      </c>
      <c r="W3113" s="1" t="str">
        <f>VLOOKUP(Table1[[#This Row],[Obergruppe ATC-Code]],Tabelle3!$A$2:$B$100,2)</f>
        <v>ALLE ÜBRIGEN THERAPEUTISCHEN MITTEL</v>
      </c>
      <c r="X3113" s="1" t="str">
        <f xml:space="preserve"> LEFT(Table1[[#This Row],[Atc Code]],3)</f>
        <v>V03</v>
      </c>
    </row>
    <row r="3114" spans="1:24" ht="14.4">
      <c r="A3114" s="14">
        <v>1885</v>
      </c>
      <c r="B3114" s="24" t="s">
        <v>6576</v>
      </c>
      <c r="C3114" s="1">
        <v>2139412</v>
      </c>
      <c r="D3114" s="1" t="s">
        <v>102</v>
      </c>
      <c r="E3114" s="36">
        <v>44525</v>
      </c>
      <c r="F3114" s="36">
        <v>45238</v>
      </c>
      <c r="G3114" s="38">
        <f t="shared" si="48"/>
        <v>713</v>
      </c>
      <c r="H3114" s="5">
        <v>44537</v>
      </c>
      <c r="I3114" s="5">
        <v>45091</v>
      </c>
      <c r="J3114" s="1" t="s">
        <v>26</v>
      </c>
      <c r="K3114" s="1" t="s">
        <v>6577</v>
      </c>
      <c r="L3114" s="1" t="s">
        <v>6548</v>
      </c>
      <c r="M3114" s="1" t="s">
        <v>6561</v>
      </c>
      <c r="N3114" s="1" t="s">
        <v>38</v>
      </c>
      <c r="O3114" s="1" t="s">
        <v>91</v>
      </c>
      <c r="P3114" s="1" t="s">
        <v>92</v>
      </c>
      <c r="Q3114" s="1" t="s">
        <v>93</v>
      </c>
      <c r="R3114" s="1" t="s">
        <v>26</v>
      </c>
      <c r="S3114" s="1"/>
      <c r="U3114" s="1" t="s">
        <v>130</v>
      </c>
      <c r="V3114" s="1" t="s">
        <v>74</v>
      </c>
      <c r="W3114" s="1" t="str">
        <f>VLOOKUP(Table1[[#This Row],[Obergruppe ATC-Code]],Tabelle3!$A$2:$B$100,2)</f>
        <v>ALLE ÜBRIGEN THERAPEUTISCHEN MITTEL</v>
      </c>
      <c r="X3114" s="1" t="str">
        <f xml:space="preserve"> LEFT(Table1[[#This Row],[Atc Code]],3)</f>
        <v>V03</v>
      </c>
    </row>
    <row r="3115" spans="1:24" ht="14.4">
      <c r="A3115" s="14">
        <v>510</v>
      </c>
      <c r="B3115" s="24">
        <v>3247994</v>
      </c>
      <c r="C3115" s="1">
        <v>2115034</v>
      </c>
      <c r="D3115" s="1" t="s">
        <v>102</v>
      </c>
      <c r="E3115" s="36">
        <v>44615</v>
      </c>
      <c r="F3115" s="36">
        <v>45230</v>
      </c>
      <c r="G3115" s="38">
        <f t="shared" si="48"/>
        <v>615</v>
      </c>
      <c r="H3115" s="5">
        <v>44631</v>
      </c>
      <c r="I3115" s="5">
        <v>45098</v>
      </c>
      <c r="J3115" s="1" t="s">
        <v>41</v>
      </c>
      <c r="K3115" s="1" t="s">
        <v>6578</v>
      </c>
      <c r="L3115" s="1" t="s">
        <v>6548</v>
      </c>
      <c r="M3115" s="1" t="s">
        <v>6579</v>
      </c>
      <c r="N3115" s="1" t="s">
        <v>30</v>
      </c>
      <c r="O3115" s="1" t="s">
        <v>329</v>
      </c>
      <c r="P3115" s="1" t="s">
        <v>1259</v>
      </c>
      <c r="Q3115" s="1" t="s">
        <v>331</v>
      </c>
      <c r="R3115" s="1" t="s">
        <v>128</v>
      </c>
      <c r="S3115" s="1"/>
      <c r="T3115" s="1" t="s">
        <v>6580</v>
      </c>
      <c r="U3115" s="1" t="s">
        <v>57</v>
      </c>
      <c r="V3115" s="1" t="s">
        <v>652</v>
      </c>
      <c r="W3115" s="1" t="str">
        <f>VLOOKUP(Table1[[#This Row],[Obergruppe ATC-Code]],Tabelle3!$A$2:$B$100,2)</f>
        <v>ALLE ÜBRIGEN THERAPEUTISCHEN MITTEL</v>
      </c>
      <c r="X3115" s="1" t="str">
        <f xml:space="preserve"> LEFT(Table1[[#This Row],[Atc Code]],3)</f>
        <v>V03</v>
      </c>
    </row>
    <row r="3116" spans="1:24" ht="14.4">
      <c r="A3116" s="14">
        <v>2295</v>
      </c>
      <c r="B3116" s="24" t="s">
        <v>6581</v>
      </c>
      <c r="C3116" s="1">
        <v>3001934</v>
      </c>
      <c r="D3116" s="1" t="s">
        <v>25</v>
      </c>
      <c r="E3116" s="36">
        <v>44721</v>
      </c>
      <c r="F3116" s="36">
        <v>45131</v>
      </c>
      <c r="G3116" s="38">
        <f t="shared" si="48"/>
        <v>410</v>
      </c>
      <c r="H3116" s="5">
        <v>44721</v>
      </c>
      <c r="I3116" s="5">
        <v>45145</v>
      </c>
      <c r="J3116" s="1" t="s">
        <v>26</v>
      </c>
      <c r="K3116" s="1" t="s">
        <v>6582</v>
      </c>
      <c r="L3116" s="1" t="s">
        <v>6548</v>
      </c>
      <c r="M3116" s="1" t="s">
        <v>6579</v>
      </c>
      <c r="N3116" s="1" t="s">
        <v>30</v>
      </c>
      <c r="O3116" s="1" t="s">
        <v>123</v>
      </c>
      <c r="Q3116" s="1" t="s">
        <v>124</v>
      </c>
      <c r="R3116" s="1" t="s">
        <v>142</v>
      </c>
      <c r="S3116" s="1" t="s">
        <v>6583</v>
      </c>
      <c r="U3116" s="1" t="s">
        <v>130</v>
      </c>
      <c r="V3116" s="1" t="s">
        <v>74</v>
      </c>
      <c r="W3116" s="1" t="str">
        <f>VLOOKUP(Table1[[#This Row],[Obergruppe ATC-Code]],Tabelle3!$A$2:$B$100,2)</f>
        <v>ALLE ÜBRIGEN THERAPEUTISCHEN MITTEL</v>
      </c>
      <c r="X3116" s="1" t="str">
        <f xml:space="preserve"> LEFT(Table1[[#This Row],[Atc Code]],3)</f>
        <v>V03</v>
      </c>
    </row>
    <row r="3117" spans="1:24" ht="14.4">
      <c r="A3117" s="14">
        <v>1303</v>
      </c>
      <c r="B3117" s="24">
        <v>12412222</v>
      </c>
      <c r="C3117" s="1">
        <v>2193327</v>
      </c>
      <c r="D3117" s="1" t="s">
        <v>25</v>
      </c>
      <c r="E3117" s="36">
        <v>45125</v>
      </c>
      <c r="F3117" s="36">
        <v>45145</v>
      </c>
      <c r="G3117" s="38">
        <f t="shared" si="48"/>
        <v>20</v>
      </c>
      <c r="H3117" s="5">
        <v>45125</v>
      </c>
      <c r="I3117" s="5">
        <v>45145</v>
      </c>
      <c r="J3117" s="1" t="s">
        <v>41</v>
      </c>
      <c r="K3117" s="1" t="s">
        <v>6552</v>
      </c>
      <c r="L3117" s="1" t="s">
        <v>6548</v>
      </c>
      <c r="M3117" s="1" t="s">
        <v>6565</v>
      </c>
      <c r="N3117" s="1" t="s">
        <v>30</v>
      </c>
      <c r="O3117" s="1" t="s">
        <v>220</v>
      </c>
      <c r="P3117" s="1">
        <v>61726867883</v>
      </c>
      <c r="Q3117" s="1" t="s">
        <v>958</v>
      </c>
      <c r="R3117" s="1" t="s">
        <v>128</v>
      </c>
      <c r="S3117" s="1"/>
      <c r="U3117" s="1" t="s">
        <v>130</v>
      </c>
      <c r="V3117" s="1" t="s">
        <v>652</v>
      </c>
      <c r="W3117" s="1" t="str">
        <f>VLOOKUP(Table1[[#This Row],[Obergruppe ATC-Code]],Tabelle3!$A$2:$B$100,2)</f>
        <v>ALLE ÜBRIGEN THERAPEUTISCHEN MITTEL</v>
      </c>
      <c r="X3117" s="1" t="str">
        <f xml:space="preserve"> LEFT(Table1[[#This Row],[Atc Code]],3)</f>
        <v>V03</v>
      </c>
    </row>
    <row r="3118" spans="1:24" ht="14.4">
      <c r="A3118" s="14">
        <v>847</v>
      </c>
      <c r="B3118" s="24">
        <v>7127057</v>
      </c>
      <c r="C3118" s="1">
        <v>2146558</v>
      </c>
      <c r="D3118" s="1" t="s">
        <v>25</v>
      </c>
      <c r="E3118" s="36">
        <v>44907</v>
      </c>
      <c r="F3118" s="36">
        <v>45131</v>
      </c>
      <c r="G3118" s="38">
        <f t="shared" si="48"/>
        <v>224</v>
      </c>
      <c r="H3118" s="5">
        <v>45092</v>
      </c>
      <c r="I3118" s="5">
        <v>45145</v>
      </c>
      <c r="J3118" s="1" t="s">
        <v>41</v>
      </c>
      <c r="K3118" s="1" t="s">
        <v>6584</v>
      </c>
      <c r="L3118" s="1" t="s">
        <v>6548</v>
      </c>
      <c r="M3118" s="1" t="s">
        <v>6579</v>
      </c>
      <c r="N3118" s="1" t="s">
        <v>38</v>
      </c>
      <c r="O3118" s="1" t="s">
        <v>123</v>
      </c>
      <c r="P3118" s="1" t="s">
        <v>6585</v>
      </c>
      <c r="Q3118" s="1" t="s">
        <v>127</v>
      </c>
      <c r="R3118" s="1" t="s">
        <v>128</v>
      </c>
      <c r="S3118" s="1"/>
      <c r="U3118" s="1" t="s">
        <v>130</v>
      </c>
      <c r="V3118" s="1" t="s">
        <v>74</v>
      </c>
      <c r="W3118" s="1" t="str">
        <f>VLOOKUP(Table1[[#This Row],[Obergruppe ATC-Code]],Tabelle3!$A$2:$B$100,2)</f>
        <v>ALLE ÜBRIGEN THERAPEUTISCHEN MITTEL</v>
      </c>
      <c r="X3118" s="1" t="str">
        <f xml:space="preserve"> LEFT(Table1[[#This Row],[Atc Code]],3)</f>
        <v>V03</v>
      </c>
    </row>
    <row r="3119" spans="1:24" ht="14.4">
      <c r="A3119" s="14">
        <v>1002</v>
      </c>
      <c r="B3119" s="24">
        <v>8670556</v>
      </c>
      <c r="C3119" s="1">
        <v>2107604</v>
      </c>
      <c r="D3119" s="1" t="s">
        <v>102</v>
      </c>
      <c r="E3119" s="36">
        <v>45000</v>
      </c>
      <c r="F3119" s="36">
        <v>45291</v>
      </c>
      <c r="G3119" s="38">
        <f t="shared" si="48"/>
        <v>291</v>
      </c>
      <c r="H3119" s="5">
        <v>45000</v>
      </c>
      <c r="I3119" s="5">
        <v>45188</v>
      </c>
      <c r="J3119" s="1" t="s">
        <v>26</v>
      </c>
      <c r="K3119" s="1" t="s">
        <v>6566</v>
      </c>
      <c r="L3119" s="1" t="s">
        <v>6548</v>
      </c>
      <c r="M3119" s="1" t="s">
        <v>6561</v>
      </c>
      <c r="N3119" s="1" t="s">
        <v>30</v>
      </c>
      <c r="O3119" s="1" t="s">
        <v>1078</v>
      </c>
      <c r="P3119" s="1" t="s">
        <v>6586</v>
      </c>
      <c r="Q3119" s="1" t="s">
        <v>1079</v>
      </c>
      <c r="R3119" s="1" t="s">
        <v>113</v>
      </c>
      <c r="S3119" s="1" t="s">
        <v>6587</v>
      </c>
      <c r="U3119" s="1" t="s">
        <v>35</v>
      </c>
      <c r="V3119" s="1" t="s">
        <v>74</v>
      </c>
      <c r="W3119" s="1" t="str">
        <f>VLOOKUP(Table1[[#This Row],[Obergruppe ATC-Code]],Tabelle3!$A$2:$B$100,2)</f>
        <v>ALLE ÜBRIGEN THERAPEUTISCHEN MITTEL</v>
      </c>
      <c r="X3119" s="1" t="str">
        <f xml:space="preserve"> LEFT(Table1[[#This Row],[Atc Code]],3)</f>
        <v>V03</v>
      </c>
    </row>
    <row r="3120" spans="1:24" ht="14.4">
      <c r="A3120" s="14">
        <v>2988</v>
      </c>
      <c r="B3120" s="24" t="s">
        <v>6588</v>
      </c>
      <c r="C3120" s="1">
        <v>2129573</v>
      </c>
      <c r="D3120" s="1" t="s">
        <v>25</v>
      </c>
      <c r="E3120" s="36">
        <v>43770</v>
      </c>
      <c r="F3120" s="36">
        <v>44773</v>
      </c>
      <c r="G3120" s="38">
        <f t="shared" si="48"/>
        <v>1003</v>
      </c>
      <c r="H3120" s="5">
        <v>43537</v>
      </c>
      <c r="I3120" s="5">
        <v>44789</v>
      </c>
      <c r="J3120" s="1" t="s">
        <v>41</v>
      </c>
      <c r="K3120" s="1" t="s">
        <v>6589</v>
      </c>
      <c r="L3120" s="1" t="s">
        <v>6590</v>
      </c>
      <c r="M3120" s="1" t="s">
        <v>6591</v>
      </c>
      <c r="N3120" s="1" t="s">
        <v>30</v>
      </c>
      <c r="O3120" s="1" t="s">
        <v>3563</v>
      </c>
      <c r="P3120" s="1" t="s">
        <v>3564</v>
      </c>
      <c r="Q3120" s="1" t="s">
        <v>3565</v>
      </c>
      <c r="R3120" s="1" t="s">
        <v>48</v>
      </c>
      <c r="S3120" s="1" t="s">
        <v>6592</v>
      </c>
      <c r="U3120" s="1" t="s">
        <v>35</v>
      </c>
      <c r="V3120" s="1" t="s">
        <v>154</v>
      </c>
      <c r="W3120" s="1" t="str">
        <f>VLOOKUP(Table1[[#This Row],[Obergruppe ATC-Code]],Tabelle3!$A$2:$B$100,2)</f>
        <v>ALLE ÜBRIGEN THERAPEUTISCHEN MITTEL</v>
      </c>
      <c r="X3120" s="1" t="str">
        <f xml:space="preserve"> LEFT(Table1[[#This Row],[Atc Code]],3)</f>
        <v>V03</v>
      </c>
    </row>
    <row r="3121" spans="1:24" ht="14.4">
      <c r="A3121" s="14">
        <v>1888</v>
      </c>
      <c r="B3121" s="24" t="s">
        <v>6593</v>
      </c>
      <c r="C3121" s="1" t="s">
        <v>6594</v>
      </c>
      <c r="D3121" s="1" t="s">
        <v>25</v>
      </c>
      <c r="E3121" s="36">
        <v>44802</v>
      </c>
      <c r="F3121" s="36">
        <v>44831</v>
      </c>
      <c r="G3121" s="38">
        <f t="shared" si="48"/>
        <v>29</v>
      </c>
      <c r="H3121" s="5">
        <v>44802</v>
      </c>
      <c r="I3121" s="5">
        <v>44831</v>
      </c>
      <c r="J3121" s="1" t="s">
        <v>41</v>
      </c>
      <c r="K3121" s="1" t="s">
        <v>6595</v>
      </c>
      <c r="L3121" s="1" t="s">
        <v>6596</v>
      </c>
      <c r="M3121" s="1" t="s">
        <v>6597</v>
      </c>
      <c r="N3121" s="1" t="s">
        <v>30</v>
      </c>
      <c r="O3121" s="1" t="s">
        <v>448</v>
      </c>
      <c r="P3121" s="1" t="s">
        <v>2358</v>
      </c>
      <c r="Q3121" s="1" t="s">
        <v>64</v>
      </c>
      <c r="R3121" s="1" t="s">
        <v>65</v>
      </c>
      <c r="S3121" s="1" t="s">
        <v>421</v>
      </c>
      <c r="U3121" s="1" t="s">
        <v>35</v>
      </c>
      <c r="V3121" s="1" t="s">
        <v>803</v>
      </c>
      <c r="W3121" s="1" t="str">
        <f>VLOOKUP(Table1[[#This Row],[Obergruppe ATC-Code]],Tabelle3!$A$2:$B$100,2)</f>
        <v>ALLE ÜBRIGEN THERAPEUTISCHEN MITTEL</v>
      </c>
      <c r="X3121" s="1" t="str">
        <f xml:space="preserve"> LEFT(Table1[[#This Row],[Atc Code]],3)</f>
        <v>V03</v>
      </c>
    </row>
    <row r="3122" spans="1:24" ht="14.4">
      <c r="A3122" s="14">
        <v>391</v>
      </c>
      <c r="B3122" s="24">
        <v>2245645</v>
      </c>
      <c r="C3122" s="1">
        <v>2702379</v>
      </c>
      <c r="D3122" s="1" t="s">
        <v>102</v>
      </c>
      <c r="E3122" s="36">
        <v>45016</v>
      </c>
      <c r="F3122" s="36">
        <v>45473</v>
      </c>
      <c r="G3122" s="38">
        <f t="shared" si="48"/>
        <v>457</v>
      </c>
      <c r="H3122" s="5">
        <v>44894</v>
      </c>
      <c r="I3122" s="5">
        <v>45015</v>
      </c>
      <c r="J3122" s="1" t="s">
        <v>41</v>
      </c>
      <c r="K3122" s="1" t="s">
        <v>6598</v>
      </c>
      <c r="L3122" s="1" t="s">
        <v>6596</v>
      </c>
      <c r="M3122" s="1" t="s">
        <v>6597</v>
      </c>
      <c r="N3122" s="1" t="s">
        <v>30</v>
      </c>
      <c r="O3122" s="1" t="s">
        <v>448</v>
      </c>
      <c r="P3122" s="1" t="s">
        <v>2358</v>
      </c>
      <c r="Q3122" s="1" t="s">
        <v>64</v>
      </c>
      <c r="R3122" s="1" t="s">
        <v>26</v>
      </c>
      <c r="S3122" s="1" t="s">
        <v>6599</v>
      </c>
      <c r="U3122" s="1" t="s">
        <v>57</v>
      </c>
      <c r="V3122" s="1" t="s">
        <v>803</v>
      </c>
      <c r="W3122" s="1" t="str">
        <f>VLOOKUP(Table1[[#This Row],[Obergruppe ATC-Code]],Tabelle3!$A$2:$B$100,2)</f>
        <v>ALLE ÜBRIGEN THERAPEUTISCHEN MITTEL</v>
      </c>
      <c r="X3122" s="1" t="str">
        <f xml:space="preserve"> LEFT(Table1[[#This Row],[Atc Code]],3)</f>
        <v>V03</v>
      </c>
    </row>
    <row r="3123" spans="1:24" ht="14.4">
      <c r="A3123" s="14">
        <v>598</v>
      </c>
      <c r="B3123" s="24">
        <v>3837980</v>
      </c>
      <c r="C3123" s="1">
        <v>723862</v>
      </c>
      <c r="D3123" s="1" t="s">
        <v>25</v>
      </c>
      <c r="E3123" s="36">
        <v>43344</v>
      </c>
      <c r="F3123" s="36">
        <v>43524</v>
      </c>
      <c r="G3123" s="38">
        <f t="shared" si="48"/>
        <v>180</v>
      </c>
      <c r="H3123" s="5">
        <v>43370</v>
      </c>
      <c r="I3123" s="5">
        <v>43516</v>
      </c>
      <c r="J3123" s="1" t="s">
        <v>41</v>
      </c>
      <c r="K3123" s="1" t="s">
        <v>6600</v>
      </c>
      <c r="L3123" s="1" t="s">
        <v>6601</v>
      </c>
      <c r="M3123" s="1" t="s">
        <v>6602</v>
      </c>
      <c r="N3123" s="1" t="s">
        <v>30</v>
      </c>
      <c r="O3123" s="1" t="s">
        <v>213</v>
      </c>
      <c r="P3123" s="1" t="s">
        <v>214</v>
      </c>
      <c r="Q3123" s="1" t="s">
        <v>215</v>
      </c>
      <c r="R3123" s="1" t="s">
        <v>942</v>
      </c>
      <c r="S3123" s="1" t="s">
        <v>943</v>
      </c>
      <c r="U3123" s="1" t="s">
        <v>35</v>
      </c>
      <c r="V3123" s="1" t="s">
        <v>279</v>
      </c>
      <c r="W3123" s="1" t="str">
        <f>VLOOKUP(Table1[[#This Row],[Obergruppe ATC-Code]],Tabelle3!$A$2:$B$100,2)</f>
        <v>ALLE ÜBRIGEN THERAPEUTISCHEN MITTEL</v>
      </c>
      <c r="X3123" s="1" t="str">
        <f xml:space="preserve"> LEFT(Table1[[#This Row],[Atc Code]],3)</f>
        <v>V03</v>
      </c>
    </row>
    <row r="3124" spans="1:24" ht="14.4">
      <c r="A3124" s="14">
        <v>597</v>
      </c>
      <c r="B3124" s="24">
        <v>3837980</v>
      </c>
      <c r="C3124" s="1">
        <v>723862</v>
      </c>
      <c r="D3124" s="1" t="s">
        <v>25</v>
      </c>
      <c r="E3124" s="36">
        <v>44136</v>
      </c>
      <c r="F3124" s="36">
        <v>44500</v>
      </c>
      <c r="G3124" s="38">
        <f t="shared" si="48"/>
        <v>364</v>
      </c>
      <c r="H3124" s="5">
        <v>44141</v>
      </c>
      <c r="I3124" s="5">
        <v>44284</v>
      </c>
      <c r="J3124" s="1" t="s">
        <v>41</v>
      </c>
      <c r="K3124" s="1" t="s">
        <v>6600</v>
      </c>
      <c r="L3124" s="1" t="s">
        <v>6601</v>
      </c>
      <c r="M3124" s="1" t="s">
        <v>6602</v>
      </c>
      <c r="N3124" s="1" t="s">
        <v>30</v>
      </c>
      <c r="O3124" s="1" t="s">
        <v>213</v>
      </c>
      <c r="P3124" s="1" t="s">
        <v>899</v>
      </c>
      <c r="Q3124" s="1" t="s">
        <v>215</v>
      </c>
      <c r="R3124" s="1" t="s">
        <v>26</v>
      </c>
      <c r="S3124" s="1"/>
      <c r="U3124" s="1" t="s">
        <v>57</v>
      </c>
      <c r="V3124" s="1" t="s">
        <v>279</v>
      </c>
      <c r="W3124" s="1" t="str">
        <f>VLOOKUP(Table1[[#This Row],[Obergruppe ATC-Code]],Tabelle3!$A$2:$B$100,2)</f>
        <v>ALLE ÜBRIGEN THERAPEUTISCHEN MITTEL</v>
      </c>
      <c r="X3124" s="1" t="str">
        <f xml:space="preserve"> LEFT(Table1[[#This Row],[Atc Code]],3)</f>
        <v>V03</v>
      </c>
    </row>
    <row r="3125" spans="1:24" ht="14.4">
      <c r="A3125" s="14">
        <v>2987</v>
      </c>
      <c r="B3125" s="24" t="s">
        <v>6603</v>
      </c>
      <c r="C3125" s="1">
        <v>624485</v>
      </c>
      <c r="D3125" s="1" t="s">
        <v>25</v>
      </c>
      <c r="E3125" s="36">
        <v>43647</v>
      </c>
      <c r="F3125" s="36">
        <v>43921</v>
      </c>
      <c r="G3125" s="38">
        <f t="shared" si="48"/>
        <v>274</v>
      </c>
      <c r="H3125" s="5">
        <v>43651</v>
      </c>
      <c r="I3125" s="5">
        <v>43852</v>
      </c>
      <c r="J3125" s="1" t="s">
        <v>26</v>
      </c>
      <c r="K3125" s="1" t="s">
        <v>6604</v>
      </c>
      <c r="L3125" s="1" t="s">
        <v>6605</v>
      </c>
      <c r="M3125" s="1" t="s">
        <v>6606</v>
      </c>
      <c r="N3125" s="1" t="s">
        <v>38</v>
      </c>
      <c r="O3125" s="1" t="s">
        <v>5412</v>
      </c>
      <c r="P3125" s="1" t="s">
        <v>3646</v>
      </c>
      <c r="Q3125" s="1" t="s">
        <v>3647</v>
      </c>
      <c r="R3125" s="1" t="s">
        <v>33</v>
      </c>
      <c r="S3125" s="1"/>
      <c r="U3125" s="1" t="s">
        <v>35</v>
      </c>
      <c r="V3125" s="1" t="s">
        <v>6607</v>
      </c>
      <c r="W3125" s="1" t="str">
        <f>VLOOKUP(Table1[[#This Row],[Obergruppe ATC-Code]],Tabelle3!$A$2:$B$100,2)</f>
        <v>DIAGNOSTIKA</v>
      </c>
      <c r="X3125" s="1" t="str">
        <f xml:space="preserve"> LEFT(Table1[[#This Row],[Atc Code]],3)</f>
        <v>V04</v>
      </c>
    </row>
    <row r="3126" spans="1:24" ht="14.4">
      <c r="A3126" s="14">
        <v>2191</v>
      </c>
      <c r="B3126" s="24" t="s">
        <v>6608</v>
      </c>
      <c r="C3126" s="1">
        <v>2108425</v>
      </c>
      <c r="D3126" s="1" t="s">
        <v>25</v>
      </c>
      <c r="E3126" s="36">
        <v>42979</v>
      </c>
      <c r="F3126" s="36">
        <v>43039</v>
      </c>
      <c r="G3126" s="38">
        <f t="shared" si="48"/>
        <v>60</v>
      </c>
      <c r="H3126" s="5">
        <v>42977</v>
      </c>
      <c r="I3126" s="5">
        <v>43032</v>
      </c>
      <c r="J3126" s="1" t="s">
        <v>41</v>
      </c>
      <c r="K3126" s="1" t="s">
        <v>6609</v>
      </c>
      <c r="L3126" s="1" t="s">
        <v>6610</v>
      </c>
      <c r="M3126" s="1" t="s">
        <v>6611</v>
      </c>
      <c r="N3126" s="1" t="s">
        <v>30</v>
      </c>
      <c r="O3126" s="1" t="s">
        <v>356</v>
      </c>
      <c r="P3126" s="1" t="s">
        <v>2381</v>
      </c>
      <c r="Q3126" s="1" t="s">
        <v>2382</v>
      </c>
      <c r="R3126" s="1" t="s">
        <v>26</v>
      </c>
      <c r="S3126" s="1"/>
      <c r="T3126" s="1" t="s">
        <v>6612</v>
      </c>
      <c r="U3126" s="1" t="s">
        <v>35</v>
      </c>
      <c r="V3126" s="1" t="s">
        <v>1007</v>
      </c>
      <c r="W3126" s="1" t="str">
        <f>VLOOKUP(Table1[[#This Row],[Obergruppe ATC-Code]],Tabelle3!$A$2:$B$100,2)</f>
        <v>DIAGNOSTIKA</v>
      </c>
      <c r="X3126" s="1" t="str">
        <f xml:space="preserve"> LEFT(Table1[[#This Row],[Atc Code]],3)</f>
        <v>V04</v>
      </c>
    </row>
    <row r="3127" spans="1:24" ht="14.4">
      <c r="A3127" s="14">
        <v>3213</v>
      </c>
      <c r="B3127" s="24" t="s">
        <v>6613</v>
      </c>
      <c r="C3127" s="1">
        <v>2134136</v>
      </c>
      <c r="D3127" s="1" t="s">
        <v>25</v>
      </c>
      <c r="E3127" s="36">
        <v>42675</v>
      </c>
      <c r="F3127" s="36">
        <v>44196</v>
      </c>
      <c r="G3127" s="38">
        <f t="shared" si="48"/>
        <v>1521</v>
      </c>
      <c r="H3127" s="5">
        <v>42685</v>
      </c>
      <c r="I3127" s="5">
        <v>44209</v>
      </c>
      <c r="J3127" s="1" t="s">
        <v>41</v>
      </c>
      <c r="K3127" s="1" t="s">
        <v>6614</v>
      </c>
      <c r="L3127" s="1" t="s">
        <v>6610</v>
      </c>
      <c r="M3127" s="1" t="s">
        <v>6611</v>
      </c>
      <c r="N3127" s="1" t="s">
        <v>30</v>
      </c>
      <c r="O3127" s="1" t="s">
        <v>6615</v>
      </c>
      <c r="P3127" s="1" t="s">
        <v>6616</v>
      </c>
      <c r="Q3127" s="1" t="s">
        <v>647</v>
      </c>
      <c r="R3127" s="1" t="s">
        <v>48</v>
      </c>
      <c r="S3127" s="1"/>
      <c r="U3127" s="1" t="s">
        <v>57</v>
      </c>
      <c r="V3127" s="1" t="s">
        <v>1007</v>
      </c>
      <c r="W3127" s="1" t="str">
        <f>VLOOKUP(Table1[[#This Row],[Obergruppe ATC-Code]],Tabelle3!$A$2:$B$100,2)</f>
        <v>DIAGNOSTIKA</v>
      </c>
      <c r="X3127" s="1" t="str">
        <f xml:space="preserve"> LEFT(Table1[[#This Row],[Atc Code]],3)</f>
        <v>V04</v>
      </c>
    </row>
    <row r="3128" spans="1:24" ht="14.4">
      <c r="A3128" s="14">
        <v>2192</v>
      </c>
      <c r="B3128" s="24" t="s">
        <v>6617</v>
      </c>
      <c r="C3128" s="1">
        <v>2106712</v>
      </c>
      <c r="D3128" s="1" t="s">
        <v>102</v>
      </c>
      <c r="E3128" s="36">
        <v>44893</v>
      </c>
      <c r="F3128" s="36">
        <v>45291</v>
      </c>
      <c r="G3128" s="38">
        <f t="shared" si="48"/>
        <v>398</v>
      </c>
      <c r="H3128" s="5">
        <v>44893</v>
      </c>
      <c r="I3128" s="5">
        <v>45082</v>
      </c>
      <c r="J3128" s="1" t="s">
        <v>41</v>
      </c>
      <c r="K3128" s="1" t="s">
        <v>6618</v>
      </c>
      <c r="L3128" s="1" t="s">
        <v>6610</v>
      </c>
      <c r="M3128" s="1" t="s">
        <v>6619</v>
      </c>
      <c r="N3128" s="1" t="s">
        <v>38</v>
      </c>
      <c r="O3128" s="1" t="s">
        <v>356</v>
      </c>
      <c r="P3128" s="1">
        <v>4315852134</v>
      </c>
      <c r="Q3128" s="1" t="s">
        <v>357</v>
      </c>
      <c r="R3128" s="1" t="s">
        <v>128</v>
      </c>
      <c r="S3128" s="1"/>
      <c r="U3128" s="1" t="s">
        <v>130</v>
      </c>
      <c r="V3128" s="1" t="s">
        <v>1007</v>
      </c>
      <c r="W3128" s="1" t="str">
        <f>VLOOKUP(Table1[[#This Row],[Obergruppe ATC-Code]],Tabelle3!$A$2:$B$100,2)</f>
        <v>DIAGNOSTIKA</v>
      </c>
      <c r="X3128" s="1" t="str">
        <f xml:space="preserve"> LEFT(Table1[[#This Row],[Atc Code]],3)</f>
        <v>V04</v>
      </c>
    </row>
    <row r="3129" spans="1:24" ht="14.4">
      <c r="A3129" s="14">
        <v>2190</v>
      </c>
      <c r="B3129" s="24" t="s">
        <v>6620</v>
      </c>
      <c r="C3129" s="1">
        <v>2108425</v>
      </c>
      <c r="D3129" s="1" t="s">
        <v>102</v>
      </c>
      <c r="E3129" s="36">
        <v>44783</v>
      </c>
      <c r="F3129" s="36">
        <v>45291</v>
      </c>
      <c r="G3129" s="38">
        <f t="shared" si="48"/>
        <v>508</v>
      </c>
      <c r="H3129" s="5">
        <v>44782</v>
      </c>
      <c r="I3129" s="5">
        <v>45082</v>
      </c>
      <c r="J3129" s="1" t="s">
        <v>41</v>
      </c>
      <c r="K3129" s="1" t="s">
        <v>6609</v>
      </c>
      <c r="L3129" s="1" t="s">
        <v>6610</v>
      </c>
      <c r="M3129" s="1" t="s">
        <v>6611</v>
      </c>
      <c r="N3129" s="1" t="s">
        <v>38</v>
      </c>
      <c r="O3129" s="1" t="s">
        <v>356</v>
      </c>
      <c r="P3129" s="1">
        <v>4315852134</v>
      </c>
      <c r="Q3129" s="1" t="s">
        <v>357</v>
      </c>
      <c r="R3129" s="1" t="s">
        <v>128</v>
      </c>
      <c r="S3129" s="1"/>
      <c r="U3129" s="1" t="s">
        <v>130</v>
      </c>
      <c r="V3129" s="1" t="s">
        <v>1007</v>
      </c>
      <c r="W3129" s="1" t="str">
        <f>VLOOKUP(Table1[[#This Row],[Obergruppe ATC-Code]],Tabelle3!$A$2:$B$100,2)</f>
        <v>DIAGNOSTIKA</v>
      </c>
      <c r="X3129" s="1" t="str">
        <f xml:space="preserve"> LEFT(Table1[[#This Row],[Atc Code]],3)</f>
        <v>V04</v>
      </c>
    </row>
    <row r="3130" spans="1:24" ht="14.4">
      <c r="A3130" s="14">
        <v>2556</v>
      </c>
      <c r="B3130" s="24" t="s">
        <v>6621</v>
      </c>
      <c r="C3130" s="1">
        <v>2191422</v>
      </c>
      <c r="D3130" s="1" t="s">
        <v>25</v>
      </c>
      <c r="E3130" s="36">
        <v>43313</v>
      </c>
      <c r="F3130" s="36">
        <v>43373</v>
      </c>
      <c r="G3130" s="38">
        <f t="shared" si="48"/>
        <v>60</v>
      </c>
      <c r="H3130" s="5">
        <v>43336</v>
      </c>
      <c r="I3130" s="5">
        <v>43346</v>
      </c>
      <c r="J3130" s="1" t="s">
        <v>41</v>
      </c>
      <c r="K3130" s="1" t="s">
        <v>6622</v>
      </c>
      <c r="L3130" s="1" t="s">
        <v>6623</v>
      </c>
      <c r="M3130" s="1" t="s">
        <v>6624</v>
      </c>
      <c r="N3130" s="1" t="s">
        <v>38</v>
      </c>
      <c r="O3130" s="1" t="s">
        <v>6625</v>
      </c>
      <c r="P3130" s="1" t="s">
        <v>6626</v>
      </c>
      <c r="Q3130" s="1" t="s">
        <v>6627</v>
      </c>
      <c r="R3130" s="1" t="s">
        <v>26</v>
      </c>
      <c r="S3130" s="1"/>
      <c r="U3130" s="1" t="s">
        <v>35</v>
      </c>
      <c r="V3130" s="1" t="s">
        <v>604</v>
      </c>
      <c r="W3130" s="1" t="str">
        <f>VLOOKUP(Table1[[#This Row],[Obergruppe ATC-Code]],Tabelle3!$A$2:$B$100,2)</f>
        <v>DIAGNOSTIKA</v>
      </c>
      <c r="X3130" s="1" t="str">
        <f xml:space="preserve"> LEFT(Table1[[#This Row],[Atc Code]],3)</f>
        <v>V04</v>
      </c>
    </row>
    <row r="3131" spans="1:24" ht="14.4">
      <c r="A3131" s="14">
        <v>2555</v>
      </c>
      <c r="B3131" s="24" t="s">
        <v>6621</v>
      </c>
      <c r="C3131" s="1">
        <v>2191422</v>
      </c>
      <c r="D3131" s="1" t="s">
        <v>25</v>
      </c>
      <c r="E3131" s="36">
        <v>43497</v>
      </c>
      <c r="F3131" s="36">
        <v>43769</v>
      </c>
      <c r="G3131" s="38">
        <f t="shared" si="48"/>
        <v>272</v>
      </c>
      <c r="H3131" s="5">
        <v>43495</v>
      </c>
      <c r="I3131" s="5">
        <v>43752</v>
      </c>
      <c r="J3131" s="1" t="s">
        <v>26</v>
      </c>
      <c r="K3131" s="1" t="s">
        <v>6622</v>
      </c>
      <c r="L3131" s="1" t="s">
        <v>6623</v>
      </c>
      <c r="M3131" s="1" t="s">
        <v>6624</v>
      </c>
      <c r="N3131" s="1" t="s">
        <v>30</v>
      </c>
      <c r="O3131" s="1" t="s">
        <v>6625</v>
      </c>
      <c r="P3131" s="1" t="s">
        <v>6628</v>
      </c>
      <c r="Q3131" s="1" t="s">
        <v>6627</v>
      </c>
      <c r="R3131" s="1" t="s">
        <v>33</v>
      </c>
      <c r="S3131" s="1"/>
      <c r="U3131" s="1" t="s">
        <v>35</v>
      </c>
      <c r="V3131" s="1" t="s">
        <v>604</v>
      </c>
      <c r="W3131" s="1" t="str">
        <f>VLOOKUP(Table1[[#This Row],[Obergruppe ATC-Code]],Tabelle3!$A$2:$B$100,2)</f>
        <v>DIAGNOSTIKA</v>
      </c>
      <c r="X3131" s="1" t="str">
        <f xml:space="preserve"> LEFT(Table1[[#This Row],[Atc Code]],3)</f>
        <v>V04</v>
      </c>
    </row>
    <row r="3132" spans="1:24" ht="14.4">
      <c r="A3132" s="14">
        <v>2765</v>
      </c>
      <c r="B3132" s="24" t="s">
        <v>6629</v>
      </c>
      <c r="C3132" s="1">
        <v>2196936</v>
      </c>
      <c r="D3132" s="1" t="s">
        <v>102</v>
      </c>
      <c r="E3132" s="36">
        <v>43252</v>
      </c>
      <c r="F3132" s="36">
        <v>45382</v>
      </c>
      <c r="G3132" s="38">
        <f t="shared" si="48"/>
        <v>2130</v>
      </c>
      <c r="H3132" s="5">
        <v>43270</v>
      </c>
      <c r="I3132" s="5">
        <v>44992</v>
      </c>
      <c r="J3132" s="1" t="s">
        <v>41</v>
      </c>
      <c r="K3132" s="1" t="s">
        <v>6630</v>
      </c>
      <c r="L3132" s="1" t="s">
        <v>6631</v>
      </c>
      <c r="M3132" s="1" t="s">
        <v>6632</v>
      </c>
      <c r="N3132" s="1" t="s">
        <v>30</v>
      </c>
      <c r="O3132" s="1" t="s">
        <v>6633</v>
      </c>
      <c r="P3132" s="1" t="s">
        <v>6634</v>
      </c>
      <c r="Q3132" s="1" t="s">
        <v>6635</v>
      </c>
      <c r="R3132" s="1" t="s">
        <v>65</v>
      </c>
      <c r="S3132" s="1"/>
      <c r="U3132" s="1" t="s">
        <v>35</v>
      </c>
      <c r="V3132" s="1" t="s">
        <v>74</v>
      </c>
      <c r="W3132" s="1" t="str">
        <f>VLOOKUP(Table1[[#This Row],[Obergruppe ATC-Code]],Tabelle3!$A$2:$B$100,2)</f>
        <v>DIAGNOSTIKA</v>
      </c>
      <c r="X3132" s="1" t="str">
        <f xml:space="preserve"> LEFT(Table1[[#This Row],[Atc Code]],3)</f>
        <v>V04</v>
      </c>
    </row>
    <row r="3133" spans="1:24" ht="14.4">
      <c r="A3133" s="14">
        <v>1699</v>
      </c>
      <c r="B3133" s="24" t="s">
        <v>6636</v>
      </c>
      <c r="C3133" s="1">
        <v>2104360</v>
      </c>
      <c r="D3133" s="1" t="s">
        <v>25</v>
      </c>
      <c r="E3133" s="36">
        <v>44725</v>
      </c>
      <c r="F3133" s="36">
        <v>44859</v>
      </c>
      <c r="G3133" s="38">
        <f t="shared" si="48"/>
        <v>134</v>
      </c>
      <c r="H3133" s="5">
        <v>44725</v>
      </c>
      <c r="I3133" s="5">
        <v>44859</v>
      </c>
      <c r="J3133" s="1" t="s">
        <v>41</v>
      </c>
      <c r="K3133" s="1" t="s">
        <v>6637</v>
      </c>
      <c r="L3133" s="1" t="s">
        <v>6638</v>
      </c>
      <c r="M3133" s="1" t="s">
        <v>6639</v>
      </c>
      <c r="N3133" s="1" t="s">
        <v>30</v>
      </c>
      <c r="O3133" s="1" t="s">
        <v>644</v>
      </c>
      <c r="P3133" s="1" t="s">
        <v>6484</v>
      </c>
      <c r="Q3133" s="1" t="s">
        <v>6485</v>
      </c>
      <c r="R3133" s="1" t="s">
        <v>128</v>
      </c>
      <c r="S3133" s="1" t="s">
        <v>647</v>
      </c>
      <c r="U3133" s="1" t="s">
        <v>35</v>
      </c>
      <c r="V3133" s="1" t="s">
        <v>1292</v>
      </c>
      <c r="W3133" s="1" t="str">
        <f>VLOOKUP(Table1[[#This Row],[Obergruppe ATC-Code]],Tabelle3!$A$2:$B$100,2)</f>
        <v>KONTRASTMITTEL</v>
      </c>
      <c r="X3133" s="1" t="str">
        <f xml:space="preserve"> LEFT(Table1[[#This Row],[Atc Code]],3)</f>
        <v>V08</v>
      </c>
    </row>
    <row r="3134" spans="1:24" ht="14.4">
      <c r="A3134" s="14">
        <v>382</v>
      </c>
      <c r="B3134" s="24">
        <v>2183737</v>
      </c>
      <c r="C3134" s="1">
        <v>2122523</v>
      </c>
      <c r="D3134" s="1" t="s">
        <v>175</v>
      </c>
      <c r="E3134" s="36">
        <v>45110</v>
      </c>
      <c r="F3134" s="36">
        <v>45230</v>
      </c>
      <c r="G3134" s="38">
        <f t="shared" si="48"/>
        <v>120</v>
      </c>
      <c r="H3134" s="5">
        <v>45061</v>
      </c>
      <c r="I3134" s="5">
        <v>45061</v>
      </c>
      <c r="J3134" s="1" t="s">
        <v>41</v>
      </c>
      <c r="K3134" s="1" t="s">
        <v>6640</v>
      </c>
      <c r="L3134" s="1" t="s">
        <v>6638</v>
      </c>
      <c r="M3134" s="1" t="s">
        <v>6639</v>
      </c>
      <c r="N3134" s="1" t="s">
        <v>30</v>
      </c>
      <c r="O3134" s="1" t="s">
        <v>644</v>
      </c>
      <c r="P3134" s="1" t="s">
        <v>645</v>
      </c>
      <c r="Q3134" s="1" t="s">
        <v>6485</v>
      </c>
      <c r="R3134" s="1" t="s">
        <v>128</v>
      </c>
      <c r="S3134" s="1"/>
      <c r="T3134" s="1" t="s">
        <v>6641</v>
      </c>
      <c r="U3134" s="1" t="s">
        <v>35</v>
      </c>
      <c r="V3134" s="1" t="s">
        <v>225</v>
      </c>
      <c r="W3134" s="1" t="str">
        <f>VLOOKUP(Table1[[#This Row],[Obergruppe ATC-Code]],Tabelle3!$A$2:$B$100,2)</f>
        <v>KONTRASTMITTEL</v>
      </c>
      <c r="X3134" s="1" t="str">
        <f xml:space="preserve"> LEFT(Table1[[#This Row],[Atc Code]],3)</f>
        <v>V08</v>
      </c>
    </row>
    <row r="3135" spans="1:24" ht="14.4">
      <c r="A3135" s="14">
        <v>1151</v>
      </c>
      <c r="B3135" s="25">
        <v>9882473</v>
      </c>
      <c r="C3135" s="1" t="s">
        <v>6642</v>
      </c>
      <c r="D3135" s="1" t="s">
        <v>25</v>
      </c>
      <c r="E3135" s="36">
        <v>44760</v>
      </c>
      <c r="F3135" s="36">
        <v>44985</v>
      </c>
      <c r="G3135" s="38">
        <f t="shared" si="48"/>
        <v>225</v>
      </c>
      <c r="H3135" s="5">
        <v>44760</v>
      </c>
      <c r="I3135" s="5">
        <v>44994</v>
      </c>
      <c r="J3135" s="1" t="s">
        <v>26</v>
      </c>
      <c r="K3135" s="1" t="s">
        <v>6643</v>
      </c>
      <c r="L3135" s="1" t="s">
        <v>6644</v>
      </c>
      <c r="M3135" s="1" t="s">
        <v>6645</v>
      </c>
      <c r="N3135" s="1" t="s">
        <v>30</v>
      </c>
      <c r="O3135" s="1" t="s">
        <v>6646</v>
      </c>
      <c r="Q3135" s="1" t="s">
        <v>1174</v>
      </c>
      <c r="R3135" s="1" t="s">
        <v>26</v>
      </c>
      <c r="S3135" s="1"/>
      <c r="U3135" s="1" t="s">
        <v>57</v>
      </c>
      <c r="V3135" s="1" t="s">
        <v>6647</v>
      </c>
      <c r="W3135" s="1" t="str">
        <f>VLOOKUP(Table1[[#This Row],[Obergruppe ATC-Code]],Tabelle3!$A$2:$B$100,2)</f>
        <v>KONTRASTMITTEL</v>
      </c>
      <c r="X3135" s="1" t="str">
        <f xml:space="preserve"> LEFT(Table1[[#This Row],[Atc Code]],3)</f>
        <v>V08</v>
      </c>
    </row>
    <row r="3136" spans="1:24" ht="14.4">
      <c r="A3136" s="14">
        <v>2320</v>
      </c>
      <c r="B3136" s="24" t="s">
        <v>6648</v>
      </c>
      <c r="C3136" s="1">
        <v>2105644</v>
      </c>
      <c r="D3136" s="1" t="s">
        <v>25</v>
      </c>
      <c r="E3136" s="36">
        <v>43435</v>
      </c>
      <c r="F3136" s="36">
        <v>43524</v>
      </c>
      <c r="G3136" s="38">
        <f t="shared" si="48"/>
        <v>89</v>
      </c>
      <c r="H3136" s="5">
        <v>43494</v>
      </c>
      <c r="I3136" s="5">
        <v>43508</v>
      </c>
      <c r="J3136" s="1" t="s">
        <v>41</v>
      </c>
      <c r="K3136" s="1" t="s">
        <v>6649</v>
      </c>
      <c r="L3136" s="1" t="s">
        <v>6650</v>
      </c>
      <c r="M3136" s="1" t="s">
        <v>6651</v>
      </c>
      <c r="N3136" s="1" t="s">
        <v>30</v>
      </c>
      <c r="O3136" s="1" t="s">
        <v>1475</v>
      </c>
      <c r="P3136" s="1" t="s">
        <v>814</v>
      </c>
      <c r="Q3136" s="1" t="s">
        <v>753</v>
      </c>
      <c r="R3136" s="1" t="s">
        <v>65</v>
      </c>
      <c r="S3136" s="1"/>
      <c r="U3136" s="1" t="s">
        <v>35</v>
      </c>
      <c r="V3136" s="1" t="s">
        <v>652</v>
      </c>
      <c r="W3136" s="1" t="str">
        <f>VLOOKUP(Table1[[#This Row],[Obergruppe ATC-Code]],Tabelle3!$A$2:$B$100,2)</f>
        <v>KONTRASTMITTEL</v>
      </c>
      <c r="X3136" s="1" t="str">
        <f xml:space="preserve"> LEFT(Table1[[#This Row],[Atc Code]],3)</f>
        <v>V08</v>
      </c>
    </row>
    <row r="3137" spans="1:24" ht="14.4">
      <c r="A3137" s="14">
        <v>1609</v>
      </c>
      <c r="B3137" s="24">
        <v>17817567</v>
      </c>
      <c r="C3137" s="1">
        <v>2125695</v>
      </c>
      <c r="D3137" s="1" t="s">
        <v>25</v>
      </c>
      <c r="E3137" s="36">
        <v>44938</v>
      </c>
      <c r="F3137" s="36">
        <v>44956</v>
      </c>
      <c r="G3137" s="38">
        <f t="shared" si="48"/>
        <v>18</v>
      </c>
      <c r="H3137" s="5">
        <v>44953</v>
      </c>
      <c r="I3137" s="5">
        <v>44956</v>
      </c>
      <c r="J3137" s="1" t="s">
        <v>26</v>
      </c>
      <c r="K3137" s="1" t="s">
        <v>6652</v>
      </c>
      <c r="L3137" s="1" t="s">
        <v>6653</v>
      </c>
      <c r="M3137" s="1" t="s">
        <v>6654</v>
      </c>
      <c r="N3137" s="1" t="s">
        <v>30</v>
      </c>
      <c r="O3137" s="1" t="s">
        <v>6655</v>
      </c>
      <c r="Q3137" s="1" t="s">
        <v>6656</v>
      </c>
      <c r="R3137" s="1" t="s">
        <v>113</v>
      </c>
      <c r="S3137" s="1"/>
      <c r="T3137" s="1" t="s">
        <v>6657</v>
      </c>
      <c r="U3137" s="1" t="s">
        <v>35</v>
      </c>
      <c r="V3137" s="1" t="s">
        <v>1151</v>
      </c>
      <c r="W3137" s="1" t="str">
        <f>VLOOKUP(Table1[[#This Row],[Obergruppe ATC-Code]],Tabelle3!$A$2:$B$100,2)</f>
        <v>RADIODIAGNOSTIKA</v>
      </c>
      <c r="X3137" s="1" t="str">
        <f xml:space="preserve"> LEFT(Table1[[#This Row],[Atc Code]],3)</f>
        <v>V09</v>
      </c>
    </row>
    <row r="3138" spans="1:24" ht="14.4">
      <c r="A3138" s="14">
        <v>433</v>
      </c>
      <c r="B3138" s="25">
        <v>2682268</v>
      </c>
      <c r="C3138" s="1">
        <v>820973</v>
      </c>
      <c r="D3138" s="1" t="s">
        <v>25</v>
      </c>
      <c r="E3138" s="36">
        <v>44586</v>
      </c>
      <c r="F3138" s="36">
        <v>44608</v>
      </c>
      <c r="G3138" s="38">
        <f t="shared" ref="G3138:G3144" si="49">F3138-E3138</f>
        <v>22</v>
      </c>
      <c r="H3138" s="5">
        <v>44593</v>
      </c>
      <c r="I3138" s="5">
        <v>44610</v>
      </c>
      <c r="J3138" s="1" t="s">
        <v>41</v>
      </c>
      <c r="K3138" s="1" t="s">
        <v>6658</v>
      </c>
      <c r="L3138" s="1" t="s">
        <v>6659</v>
      </c>
      <c r="M3138" s="1" t="s">
        <v>6660</v>
      </c>
      <c r="N3138" s="1" t="s">
        <v>38</v>
      </c>
      <c r="O3138" s="1" t="s">
        <v>6661</v>
      </c>
      <c r="Q3138" s="1" t="s">
        <v>6656</v>
      </c>
      <c r="R3138" s="1" t="s">
        <v>128</v>
      </c>
      <c r="S3138" s="1"/>
      <c r="U3138" s="1" t="s">
        <v>57</v>
      </c>
      <c r="V3138" s="1" t="s">
        <v>508</v>
      </c>
      <c r="W3138" s="1" t="str">
        <f>VLOOKUP(Table1[[#This Row],[Obergruppe ATC-Code]],Tabelle3!$A$2:$B$100,2)</f>
        <v>RADIOTHERAPEUTIKA</v>
      </c>
      <c r="X3138" s="1" t="str">
        <f xml:space="preserve"> LEFT(Table1[[#This Row],[Atc Code]],3)</f>
        <v>V10</v>
      </c>
    </row>
    <row r="3139" spans="1:24" ht="14.4">
      <c r="A3139" s="14">
        <v>432</v>
      </c>
      <c r="B3139" s="25">
        <v>2682268</v>
      </c>
      <c r="C3139" s="1">
        <v>820973</v>
      </c>
      <c r="D3139" s="1" t="s">
        <v>25</v>
      </c>
      <c r="E3139" s="36">
        <v>44872</v>
      </c>
      <c r="F3139" s="36">
        <v>44895</v>
      </c>
      <c r="G3139" s="38">
        <f t="shared" si="49"/>
        <v>23</v>
      </c>
      <c r="H3139" s="5">
        <v>44882</v>
      </c>
      <c r="I3139" s="5">
        <v>44895</v>
      </c>
      <c r="J3139" s="1" t="s">
        <v>41</v>
      </c>
      <c r="K3139" s="1" t="s">
        <v>6658</v>
      </c>
      <c r="L3139" s="1" t="s">
        <v>6659</v>
      </c>
      <c r="M3139" s="1" t="s">
        <v>6660</v>
      </c>
      <c r="N3139" s="1" t="s">
        <v>38</v>
      </c>
      <c r="O3139" s="1" t="s">
        <v>6661</v>
      </c>
      <c r="Q3139" s="1" t="s">
        <v>6656</v>
      </c>
      <c r="R3139" s="1" t="s">
        <v>26</v>
      </c>
      <c r="S3139" s="1"/>
      <c r="U3139" s="1" t="s">
        <v>57</v>
      </c>
      <c r="V3139" s="1" t="s">
        <v>508</v>
      </c>
      <c r="W3139" s="1" t="str">
        <f>VLOOKUP(Table1[[#This Row],[Obergruppe ATC-Code]],Tabelle3!$A$2:$B$100,2)</f>
        <v>RADIOTHERAPEUTIKA</v>
      </c>
      <c r="X3139" s="1" t="str">
        <f xml:space="preserve"> LEFT(Table1[[#This Row],[Atc Code]],3)</f>
        <v>V10</v>
      </c>
    </row>
    <row r="3140" spans="1:24" ht="14.4">
      <c r="A3140" s="14">
        <v>435</v>
      </c>
      <c r="B3140" s="24">
        <v>2682268</v>
      </c>
      <c r="C3140" s="1">
        <v>819102</v>
      </c>
      <c r="D3140" s="1" t="s">
        <v>25</v>
      </c>
      <c r="E3140" s="36">
        <v>44586</v>
      </c>
      <c r="F3140" s="36">
        <v>44608</v>
      </c>
      <c r="G3140" s="38">
        <f t="shared" si="49"/>
        <v>22</v>
      </c>
      <c r="H3140" s="5">
        <v>44593</v>
      </c>
      <c r="I3140" s="5">
        <v>44610</v>
      </c>
      <c r="J3140" s="1" t="s">
        <v>41</v>
      </c>
      <c r="K3140" s="1" t="s">
        <v>6662</v>
      </c>
      <c r="L3140" s="1" t="s">
        <v>6663</v>
      </c>
      <c r="M3140" s="1" t="s">
        <v>6664</v>
      </c>
      <c r="N3140" s="1" t="s">
        <v>38</v>
      </c>
      <c r="O3140" s="1" t="s">
        <v>6661</v>
      </c>
      <c r="Q3140" s="1" t="s">
        <v>6656</v>
      </c>
      <c r="R3140" s="1" t="s">
        <v>128</v>
      </c>
      <c r="S3140" s="1"/>
      <c r="U3140" s="1" t="s">
        <v>57</v>
      </c>
      <c r="V3140" s="1" t="s">
        <v>508</v>
      </c>
      <c r="W3140" s="1" t="str">
        <f>VLOOKUP(Table1[[#This Row],[Obergruppe ATC-Code]],Tabelle3!$A$2:$B$100,2)</f>
        <v>RADIOTHERAPEUTIKA</v>
      </c>
      <c r="X3140" s="1" t="str">
        <f xml:space="preserve"> LEFT(Table1[[#This Row],[Atc Code]],3)</f>
        <v>V10</v>
      </c>
    </row>
    <row r="3141" spans="1:24" ht="14.4">
      <c r="A3141" s="14">
        <v>434</v>
      </c>
      <c r="B3141" s="25">
        <v>2682268</v>
      </c>
      <c r="C3141" s="1">
        <v>819102</v>
      </c>
      <c r="D3141" s="1" t="s">
        <v>25</v>
      </c>
      <c r="E3141" s="36">
        <v>44872</v>
      </c>
      <c r="F3141" s="36">
        <v>44895</v>
      </c>
      <c r="G3141" s="38">
        <f t="shared" si="49"/>
        <v>23</v>
      </c>
      <c r="H3141" s="5">
        <v>44882</v>
      </c>
      <c r="I3141" s="5">
        <v>44895</v>
      </c>
      <c r="J3141" s="1" t="s">
        <v>41</v>
      </c>
      <c r="K3141" s="1" t="s">
        <v>6662</v>
      </c>
      <c r="L3141" s="1" t="s">
        <v>6663</v>
      </c>
      <c r="M3141" s="1" t="s">
        <v>6664</v>
      </c>
      <c r="N3141" s="1" t="s">
        <v>38</v>
      </c>
      <c r="O3141" s="1" t="s">
        <v>6661</v>
      </c>
      <c r="Q3141" s="1" t="s">
        <v>6656</v>
      </c>
      <c r="R3141" s="1" t="s">
        <v>26</v>
      </c>
      <c r="S3141" s="1"/>
      <c r="U3141" s="1" t="s">
        <v>57</v>
      </c>
      <c r="V3141" s="1" t="s">
        <v>508</v>
      </c>
      <c r="W3141" s="1" t="str">
        <f>VLOOKUP(Table1[[#This Row],[Obergruppe ATC-Code]],Tabelle3!$A$2:$B$100,2)</f>
        <v>RADIOTHERAPEUTIKA</v>
      </c>
      <c r="X3141" s="1" t="str">
        <f xml:space="preserve"> LEFT(Table1[[#This Row],[Atc Code]],3)</f>
        <v>V10</v>
      </c>
    </row>
    <row r="3142" spans="1:24" ht="14.4">
      <c r="A3142" s="14">
        <v>1638</v>
      </c>
      <c r="B3142" s="26" t="s">
        <v>6665</v>
      </c>
      <c r="C3142" s="1">
        <v>811827</v>
      </c>
      <c r="D3142" s="1" t="s">
        <v>25</v>
      </c>
      <c r="E3142" s="36">
        <v>44586</v>
      </c>
      <c r="F3142" s="36">
        <v>44608</v>
      </c>
      <c r="G3142" s="38">
        <f t="shared" si="49"/>
        <v>22</v>
      </c>
      <c r="H3142" s="5">
        <v>44593</v>
      </c>
      <c r="I3142" s="5">
        <v>44610</v>
      </c>
      <c r="J3142" s="1" t="s">
        <v>41</v>
      </c>
      <c r="K3142" s="1" t="s">
        <v>6666</v>
      </c>
      <c r="L3142" s="1" t="s">
        <v>6667</v>
      </c>
      <c r="M3142" s="1" t="s">
        <v>6668</v>
      </c>
      <c r="N3142" s="1" t="s">
        <v>38</v>
      </c>
      <c r="O3142" s="1" t="s">
        <v>6661</v>
      </c>
      <c r="Q3142" s="1" t="s">
        <v>6656</v>
      </c>
      <c r="R3142" s="1" t="s">
        <v>128</v>
      </c>
      <c r="S3142" s="1"/>
      <c r="U3142" s="1" t="s">
        <v>57</v>
      </c>
      <c r="V3142" s="1" t="s">
        <v>508</v>
      </c>
      <c r="W3142" s="1" t="str">
        <f>VLOOKUP(Table1[[#This Row],[Obergruppe ATC-Code]],Tabelle3!$A$2:$B$100,2)</f>
        <v>RADIOTHERAPEUTIKA</v>
      </c>
      <c r="X3142" s="1" t="str">
        <f xml:space="preserve"> LEFT(Table1[[#This Row],[Atc Code]],3)</f>
        <v>V10</v>
      </c>
    </row>
    <row r="3143" spans="1:24" ht="14.4">
      <c r="A3143" s="14">
        <v>436</v>
      </c>
      <c r="B3143" s="25">
        <v>2682268</v>
      </c>
      <c r="C3143" s="1">
        <v>811827</v>
      </c>
      <c r="D3143" s="1" t="s">
        <v>25</v>
      </c>
      <c r="E3143" s="36">
        <v>44872</v>
      </c>
      <c r="F3143" s="36">
        <v>44895</v>
      </c>
      <c r="G3143" s="38">
        <f t="shared" si="49"/>
        <v>23</v>
      </c>
      <c r="H3143" s="5">
        <v>44882</v>
      </c>
      <c r="I3143" s="5">
        <v>44895</v>
      </c>
      <c r="J3143" s="1" t="s">
        <v>41</v>
      </c>
      <c r="K3143" s="1" t="s">
        <v>6666</v>
      </c>
      <c r="L3143" s="1" t="s">
        <v>6667</v>
      </c>
      <c r="M3143" s="1" t="s">
        <v>6668</v>
      </c>
      <c r="N3143" s="1" t="s">
        <v>38</v>
      </c>
      <c r="O3143" s="1" t="s">
        <v>6661</v>
      </c>
      <c r="Q3143" s="1" t="s">
        <v>6656</v>
      </c>
      <c r="R3143" s="1" t="s">
        <v>26</v>
      </c>
      <c r="S3143" s="1"/>
      <c r="U3143" s="1" t="s">
        <v>57</v>
      </c>
      <c r="V3143" s="1" t="s">
        <v>508</v>
      </c>
      <c r="W3143" s="1" t="str">
        <f>VLOOKUP(Table1[[#This Row],[Obergruppe ATC-Code]],Tabelle3!$A$2:$B$100,2)</f>
        <v>RADIOTHERAPEUTIKA</v>
      </c>
      <c r="X3143" s="1" t="str">
        <f xml:space="preserve"> LEFT(Table1[[#This Row],[Atc Code]],3)</f>
        <v>V10</v>
      </c>
    </row>
    <row r="3144" spans="1:24" ht="14.4">
      <c r="A3144" s="14">
        <v>2823</v>
      </c>
      <c r="B3144" s="24" t="s">
        <v>6669</v>
      </c>
      <c r="C3144" s="1">
        <v>2674391</v>
      </c>
      <c r="D3144" s="1" t="s">
        <v>25</v>
      </c>
      <c r="E3144" s="36">
        <v>43983</v>
      </c>
      <c r="F3144" s="36">
        <v>44043</v>
      </c>
      <c r="G3144" s="38">
        <f t="shared" si="49"/>
        <v>60</v>
      </c>
      <c r="H3144" s="5">
        <v>43990</v>
      </c>
      <c r="I3144" s="5">
        <v>44041</v>
      </c>
      <c r="J3144" s="1" t="s">
        <v>41</v>
      </c>
      <c r="K3144" s="1" t="s">
        <v>6670</v>
      </c>
      <c r="L3144" s="1" t="s">
        <v>6671</v>
      </c>
      <c r="M3144" s="1" t="s">
        <v>6672</v>
      </c>
      <c r="N3144" s="1" t="s">
        <v>30</v>
      </c>
      <c r="O3144" s="1" t="s">
        <v>3645</v>
      </c>
      <c r="P3144" s="1" t="s">
        <v>6673</v>
      </c>
      <c r="Q3144" s="1" t="s">
        <v>3647</v>
      </c>
      <c r="R3144" s="1" t="s">
        <v>48</v>
      </c>
      <c r="S3144" s="1"/>
      <c r="U3144" s="1" t="s">
        <v>57</v>
      </c>
      <c r="V3144" s="1" t="s">
        <v>3155</v>
      </c>
      <c r="W3144" s="1" t="str">
        <f>VLOOKUP(Table1[[#This Row],[Obergruppe ATC-Code]],Tabelle3!$A$2:$B$100,2)</f>
        <v>SONDERGRUPPEN</v>
      </c>
      <c r="X3144" s="1" t="str">
        <f xml:space="preserve"> LEFT(Table1[[#This Row],[Atc Code]],3)</f>
        <v>XXX</v>
      </c>
    </row>
    <row r="3149" spans="1:24" ht="15" customHeight="1">
      <c r="B3149" s="4"/>
    </row>
    <row r="3150" spans="1:24" ht="15" customHeight="1">
      <c r="B3150" s="4"/>
    </row>
    <row r="3151" spans="1:24" ht="15" customHeight="1">
      <c r="B3151" s="4"/>
    </row>
    <row r="3152" spans="1:24" ht="15" customHeight="1">
      <c r="B3152" s="4"/>
    </row>
    <row r="3154" spans="2:2" ht="15" customHeight="1">
      <c r="B3154" s="4"/>
    </row>
  </sheetData>
  <phoneticPr fontId="1" type="noConversion"/>
  <pageMargins left="0.75" right="0.75" top="1" bottom="1" header="0.5" footer="0.5"/>
  <pageSetup paperSize="9" orientation="portrait" horizontalDpi="0" verticalDpi="0"/>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1FF74-AE82-4BA7-B668-018921F698D2}">
  <dimension ref="A1:DH101"/>
  <sheetViews>
    <sheetView topLeftCell="S98" zoomScale="38" workbookViewId="0">
      <selection activeCell="Z57" sqref="Z57"/>
    </sheetView>
  </sheetViews>
  <sheetFormatPr defaultColWidth="11.44140625" defaultRowHeight="14.4"/>
  <cols>
    <col min="2" max="2" width="94.44140625" customWidth="1"/>
    <col min="3" max="98" width="12.33203125" customWidth="1"/>
  </cols>
  <sheetData>
    <row r="1" spans="1:112" s="13" customFormat="1">
      <c r="B1" s="13" t="s">
        <v>6674</v>
      </c>
      <c r="C1" s="13" t="s">
        <v>6675</v>
      </c>
      <c r="D1" s="13" t="s">
        <v>6676</v>
      </c>
      <c r="E1" s="13" t="s">
        <v>6677</v>
      </c>
      <c r="F1" s="13" t="s">
        <v>6678</v>
      </c>
      <c r="G1" s="13" t="s">
        <v>6679</v>
      </c>
      <c r="H1" s="13" t="s">
        <v>6680</v>
      </c>
      <c r="I1" s="13" t="s">
        <v>6681</v>
      </c>
      <c r="J1" s="13" t="s">
        <v>6682</v>
      </c>
      <c r="K1" s="13" t="s">
        <v>6683</v>
      </c>
      <c r="L1" s="13" t="s">
        <v>6684</v>
      </c>
      <c r="M1" s="13" t="s">
        <v>6685</v>
      </c>
      <c r="N1" s="13" t="s">
        <v>6686</v>
      </c>
      <c r="O1" s="13" t="s">
        <v>6687</v>
      </c>
      <c r="P1" s="13" t="s">
        <v>6688</v>
      </c>
      <c r="Q1" s="13" t="s">
        <v>6689</v>
      </c>
      <c r="R1" s="13" t="s">
        <v>6690</v>
      </c>
      <c r="S1" s="13" t="s">
        <v>6691</v>
      </c>
      <c r="T1" s="13" t="s">
        <v>6692</v>
      </c>
      <c r="U1" s="13" t="s">
        <v>6693</v>
      </c>
      <c r="V1" s="13" t="s">
        <v>6694</v>
      </c>
      <c r="W1" s="13" t="s">
        <v>6695</v>
      </c>
      <c r="X1" s="13" t="s">
        <v>6696</v>
      </c>
      <c r="Y1" s="13" t="s">
        <v>6697</v>
      </c>
      <c r="Z1" s="13" t="s">
        <v>6698</v>
      </c>
      <c r="AA1" s="13" t="s">
        <v>6699</v>
      </c>
      <c r="AB1" s="13" t="s">
        <v>6700</v>
      </c>
      <c r="AC1" s="13" t="s">
        <v>6701</v>
      </c>
      <c r="AD1" s="13" t="s">
        <v>6702</v>
      </c>
      <c r="AE1" s="13" t="s">
        <v>6703</v>
      </c>
      <c r="AF1" s="13" t="s">
        <v>6704</v>
      </c>
      <c r="AG1" s="13" t="s">
        <v>6705</v>
      </c>
      <c r="AH1" s="13" t="s">
        <v>6706</v>
      </c>
      <c r="AI1" s="13" t="s">
        <v>6707</v>
      </c>
      <c r="AJ1" s="13" t="s">
        <v>6708</v>
      </c>
      <c r="AK1" s="13" t="s">
        <v>6709</v>
      </c>
      <c r="AL1" s="13" t="s">
        <v>6710</v>
      </c>
      <c r="AM1" s="13" t="s">
        <v>6711</v>
      </c>
      <c r="AN1" s="13" t="s">
        <v>6712</v>
      </c>
      <c r="AO1" s="13" t="s">
        <v>6713</v>
      </c>
      <c r="AP1" s="13" t="s">
        <v>6714</v>
      </c>
      <c r="AQ1" s="13" t="s">
        <v>6715</v>
      </c>
      <c r="AR1" s="13" t="s">
        <v>6716</v>
      </c>
      <c r="AS1" s="13" t="s">
        <v>6717</v>
      </c>
      <c r="AT1" s="13" t="s">
        <v>6718</v>
      </c>
      <c r="AU1" s="13" t="s">
        <v>6719</v>
      </c>
      <c r="AV1" s="13" t="s">
        <v>6720</v>
      </c>
      <c r="AW1" s="13" t="s">
        <v>6721</v>
      </c>
      <c r="AX1" s="13" t="s">
        <v>6722</v>
      </c>
      <c r="AY1" s="13" t="s">
        <v>6723</v>
      </c>
      <c r="AZ1" s="13" t="s">
        <v>6724</v>
      </c>
      <c r="BA1" s="13" t="s">
        <v>6725</v>
      </c>
      <c r="BB1" s="13" t="s">
        <v>6726</v>
      </c>
      <c r="BC1" s="13" t="s">
        <v>6727</v>
      </c>
      <c r="BD1" s="13" t="s">
        <v>6728</v>
      </c>
      <c r="BE1" s="13" t="s">
        <v>6729</v>
      </c>
      <c r="BF1" s="13" t="s">
        <v>6730</v>
      </c>
      <c r="BG1" s="13" t="s">
        <v>6731</v>
      </c>
      <c r="BH1" s="13" t="s">
        <v>6732</v>
      </c>
      <c r="BI1" s="13" t="s">
        <v>6733</v>
      </c>
      <c r="BJ1" s="13" t="s">
        <v>6734</v>
      </c>
      <c r="BK1" s="13" t="s">
        <v>6735</v>
      </c>
      <c r="BL1" s="13" t="s">
        <v>6736</v>
      </c>
      <c r="BM1" s="13" t="s">
        <v>6737</v>
      </c>
      <c r="BN1" s="13" t="s">
        <v>6738</v>
      </c>
      <c r="BO1" s="13" t="s">
        <v>6739</v>
      </c>
      <c r="BP1" s="13" t="s">
        <v>6740</v>
      </c>
      <c r="BQ1" s="13" t="s">
        <v>6741</v>
      </c>
      <c r="BR1" s="13" t="s">
        <v>6742</v>
      </c>
      <c r="BS1" s="13" t="s">
        <v>6743</v>
      </c>
      <c r="BT1" s="13" t="s">
        <v>6744</v>
      </c>
      <c r="BU1" s="13" t="s">
        <v>6745</v>
      </c>
      <c r="BV1" s="13" t="s">
        <v>6746</v>
      </c>
      <c r="BW1" s="13" t="s">
        <v>6747</v>
      </c>
      <c r="BX1" s="13" t="s">
        <v>6748</v>
      </c>
      <c r="BY1" s="13" t="s">
        <v>6749</v>
      </c>
      <c r="BZ1" s="13" t="s">
        <v>6750</v>
      </c>
      <c r="CA1" s="13" t="s">
        <v>6751</v>
      </c>
      <c r="CB1" s="13" t="s">
        <v>6752</v>
      </c>
      <c r="CC1" s="13" t="s">
        <v>6753</v>
      </c>
      <c r="CD1" s="13" t="s">
        <v>6754</v>
      </c>
      <c r="CE1" s="13" t="s">
        <v>6755</v>
      </c>
      <c r="CF1" s="13" t="s">
        <v>6756</v>
      </c>
      <c r="CG1" s="13" t="s">
        <v>6757</v>
      </c>
      <c r="CH1" s="13" t="s">
        <v>6758</v>
      </c>
      <c r="CI1" s="13" t="s">
        <v>6759</v>
      </c>
      <c r="CJ1" s="13" t="s">
        <v>6760</v>
      </c>
      <c r="CK1" s="13" t="s">
        <v>6761</v>
      </c>
      <c r="CL1" s="13" t="s">
        <v>6762</v>
      </c>
      <c r="CM1" s="13" t="s">
        <v>6763</v>
      </c>
      <c r="CN1" s="13" t="s">
        <v>6764</v>
      </c>
      <c r="CO1" s="13" t="s">
        <v>6765</v>
      </c>
      <c r="CP1" s="13" t="s">
        <v>6766</v>
      </c>
      <c r="CQ1" s="13" t="s">
        <v>6767</v>
      </c>
      <c r="CR1" s="13" t="s">
        <v>6768</v>
      </c>
      <c r="CS1" s="13" t="s">
        <v>6769</v>
      </c>
      <c r="CT1" s="13" t="s">
        <v>6770</v>
      </c>
    </row>
    <row r="2" spans="1:112" ht="18" customHeight="1">
      <c r="A2" s="7" t="s">
        <v>6771</v>
      </c>
      <c r="B2" s="8" t="s">
        <v>6772</v>
      </c>
      <c r="C2">
        <f ca="1">COUNTIFS(INDIRECT("Table1[Beginn]"),"&lt;="&amp;C$1,INDIRECT("Table1[Ende]"),"&gt;="&amp;C$1,INDIRECT("Table1[Obergruppe ATC-Code]"),Tabelle3!$A2)</f>
        <v>0</v>
      </c>
      <c r="D2">
        <f ca="1">COUNTIFS(INDIRECT("Table1[Beginn]"),"&lt;="&amp;D$1,INDIRECT("Table1[Ende]"),"&gt;="&amp;D$1,INDIRECT("Table1[Obergruppe ATC-Code]"),Tabelle3!$A2)</f>
        <v>0</v>
      </c>
      <c r="E2">
        <f ca="1">COUNTIFS(INDIRECT("Table1[Beginn]"),"&lt;="&amp;E$1,INDIRECT("Table1[Ende]"),"&gt;="&amp;E$1,INDIRECT("Table1[Obergruppe ATC-Code]"),Tabelle3!$A2)</f>
        <v>0</v>
      </c>
      <c r="F2">
        <f ca="1">COUNTIFS(INDIRECT("Table1[Beginn]"),"&lt;="&amp;F$1,INDIRECT("Table1[Ende]"),"&gt;="&amp;F$1,INDIRECT("Table1[Obergruppe ATC-Code]"),Tabelle3!$A2)</f>
        <v>0</v>
      </c>
      <c r="G2">
        <f ca="1">COUNTIFS(INDIRECT("Table1[Beginn]"),"&lt;="&amp;G$1,INDIRECT("Table1[Ende]"),"&gt;="&amp;G$1,INDIRECT("Table1[Obergruppe ATC-Code]"),Tabelle3!$A2)</f>
        <v>0</v>
      </c>
      <c r="H2">
        <f ca="1">COUNTIFS(INDIRECT("Table1[Beginn]"),"&lt;="&amp;H$1,INDIRECT("Table1[Ende]"),"&gt;="&amp;H$1,INDIRECT("Table1[Obergruppe ATC-Code]"),Tabelle3!$A2)</f>
        <v>1</v>
      </c>
      <c r="I2">
        <f ca="1">COUNTIFS(INDIRECT("Table1[Beginn]"),"&lt;="&amp;I$1,INDIRECT("Table1[Ende]"),"&gt;="&amp;I$1,INDIRECT("Table1[Obergruppe ATC-Code]"),Tabelle3!$A2)</f>
        <v>1</v>
      </c>
      <c r="J2">
        <f ca="1">COUNTIFS(INDIRECT("Table1[Beginn]"),"&lt;="&amp;J$1,INDIRECT("Table1[Ende]"),"&gt;="&amp;J$1,INDIRECT("Table1[Obergruppe ATC-Code]"),Tabelle3!$A2)</f>
        <v>0</v>
      </c>
      <c r="K2">
        <f ca="1">COUNTIFS(INDIRECT("Table1[Beginn]"),"&lt;="&amp;K$1,INDIRECT("Table1[Ende]"),"&gt;="&amp;K$1,INDIRECT("Table1[Obergruppe ATC-Code]"),Tabelle3!$A2)</f>
        <v>0</v>
      </c>
      <c r="L2">
        <f ca="1">COUNTIFS(INDIRECT("Table1[Beginn]"),"&lt;="&amp;L$1,INDIRECT("Table1[Ende]"),"&gt;="&amp;L$1,INDIRECT("Table1[Obergruppe ATC-Code]"),Tabelle3!$A2)</f>
        <v>0</v>
      </c>
      <c r="M2">
        <f ca="1">COUNTIFS(INDIRECT("Table1[Beginn]"),"&lt;="&amp;M$1,INDIRECT("Table1[Ende]"),"&gt;="&amp;M$1,INDIRECT("Table1[Obergruppe ATC-Code]"),Tabelle3!$A2)</f>
        <v>0</v>
      </c>
      <c r="N2">
        <f ca="1">COUNTIFS(INDIRECT("Table1[Beginn]"),"&lt;="&amp;N$1,INDIRECT("Table1[Ende]"),"&gt;="&amp;N$1,INDIRECT("Table1[Obergruppe ATC-Code]"),Tabelle3!$A2)</f>
        <v>0</v>
      </c>
      <c r="O2">
        <f ca="1">COUNTIFS(INDIRECT("Table1[Beginn]"),"&lt;="&amp;O$1,INDIRECT("Table1[Ende]"),"&gt;="&amp;O$1,INDIRECT("Table1[Obergruppe ATC-Code]"),Tabelle3!$A2)</f>
        <v>0</v>
      </c>
      <c r="P2">
        <f ca="1">COUNTIFS(INDIRECT("Table1[Beginn]"),"&lt;="&amp;P$1,INDIRECT("Table1[Ende]"),"&gt;="&amp;P$1,INDIRECT("Table1[Obergruppe ATC-Code]"),Tabelle3!$A2)</f>
        <v>0</v>
      </c>
      <c r="Q2">
        <f ca="1">COUNTIFS(INDIRECT("Table1[Beginn]"),"&lt;="&amp;Q$1,INDIRECT("Table1[Ende]"),"&gt;="&amp;Q$1,INDIRECT("Table1[Obergruppe ATC-Code]"),Tabelle3!$A2)</f>
        <v>0</v>
      </c>
      <c r="R2">
        <f ca="1">COUNTIFS(INDIRECT("Table1[Beginn]"),"&lt;="&amp;R$1,INDIRECT("Table1[Ende]"),"&gt;="&amp;R$1,INDIRECT("Table1[Obergruppe ATC-Code]"),Tabelle3!$A2)</f>
        <v>0</v>
      </c>
      <c r="S2">
        <f ca="1">COUNTIFS(INDIRECT("Table1[Beginn]"),"&lt;="&amp;S$1,INDIRECT("Table1[Ende]"),"&gt;="&amp;S$1,INDIRECT("Table1[Obergruppe ATC-Code]"),Tabelle3!$A2)</f>
        <v>0</v>
      </c>
      <c r="T2">
        <f ca="1">COUNTIFS(INDIRECT("Table1[Beginn]"),"&lt;="&amp;T$1,INDIRECT("Table1[Ende]"),"&gt;="&amp;T$1,INDIRECT("Table1[Obergruppe ATC-Code]"),Tabelle3!$A2)</f>
        <v>0</v>
      </c>
      <c r="U2">
        <f ca="1">COUNTIFS(INDIRECT("Table1[Beginn]"),"&lt;="&amp;U$1,INDIRECT("Table1[Ende]"),"&gt;="&amp;U$1,INDIRECT("Table1[Obergruppe ATC-Code]"),Tabelle3!$A2)</f>
        <v>0</v>
      </c>
      <c r="V2">
        <f ca="1">COUNTIFS(INDIRECT("Table1[Beginn]"),"&lt;="&amp;V$1,INDIRECT("Table1[Ende]"),"&gt;="&amp;V$1,INDIRECT("Table1[Obergruppe ATC-Code]"),Tabelle3!$A2)</f>
        <v>0</v>
      </c>
      <c r="W2">
        <f ca="1">COUNTIFS(INDIRECT("Table1[Beginn]"),"&lt;="&amp;W$1,INDIRECT("Table1[Ende]"),"&gt;="&amp;W$1,INDIRECT("Table1[Obergruppe ATC-Code]"),Tabelle3!$A2)</f>
        <v>0</v>
      </c>
      <c r="X2">
        <f ca="1">COUNTIFS(INDIRECT("Table1[Beginn]"),"&lt;="&amp;X$1,INDIRECT("Table1[Ende]"),"&gt;="&amp;X$1,INDIRECT("Table1[Obergruppe ATC-Code]"),Tabelle3!$A2)</f>
        <v>0</v>
      </c>
      <c r="Y2">
        <f ca="1">COUNTIFS(INDIRECT("Table1[Beginn]"),"&lt;="&amp;Y$1,INDIRECT("Table1[Ende]"),"&gt;="&amp;Y$1,INDIRECT("Table1[Obergruppe ATC-Code]"),Tabelle3!$A2)</f>
        <v>0</v>
      </c>
      <c r="Z2">
        <f ca="1">COUNTIFS(INDIRECT("Table1[Beginn]"),"&lt;="&amp;Z$1,INDIRECT("Table1[Ende]"),"&gt;="&amp;Z$1,INDIRECT("Table1[Obergruppe ATC-Code]"),Tabelle3!$A2)</f>
        <v>0</v>
      </c>
      <c r="AA2">
        <f ca="1">COUNTIFS(INDIRECT("Table1[Beginn]"),"&lt;="&amp;AA$1,INDIRECT("Table1[Ende]"),"&gt;="&amp;AA$1,INDIRECT("Table1[Obergruppe ATC-Code]"),Tabelle3!$A2)</f>
        <v>0</v>
      </c>
      <c r="AB2">
        <f ca="1">COUNTIFS(INDIRECT("Table1[Beginn]"),"&lt;="&amp;AB$1,INDIRECT("Table1[Ende]"),"&gt;="&amp;AB$1,INDIRECT("Table1[Obergruppe ATC-Code]"),Tabelle3!$A2)</f>
        <v>0</v>
      </c>
      <c r="AC2">
        <f ca="1">COUNTIFS(INDIRECT("Table1[Beginn]"),"&lt;="&amp;AC$1,INDIRECT("Table1[Ende]"),"&gt;="&amp;AC$1,INDIRECT("Table1[Obergruppe ATC-Code]"),Tabelle3!$A2)</f>
        <v>0</v>
      </c>
      <c r="AD2">
        <f ca="1">COUNTIFS(INDIRECT("Table1[Beginn]"),"&lt;="&amp;AD$1,INDIRECT("Table1[Ende]"),"&gt;="&amp;AD$1,INDIRECT("Table1[Obergruppe ATC-Code]"),Tabelle3!$A2)</f>
        <v>0</v>
      </c>
      <c r="AE2">
        <f ca="1">COUNTIFS(INDIRECT("Table1[Beginn]"),"&lt;="&amp;AE$1,INDIRECT("Table1[Ende]"),"&gt;="&amp;AE$1,INDIRECT("Table1[Obergruppe ATC-Code]"),Tabelle3!$A2)</f>
        <v>0</v>
      </c>
      <c r="AF2">
        <f ca="1">COUNTIFS(INDIRECT("Table1[Beginn]"),"&lt;="&amp;AF$1,INDIRECT("Table1[Ende]"),"&gt;="&amp;AF$1,INDIRECT("Table1[Obergruppe ATC-Code]"),Tabelle3!$A2)</f>
        <v>0</v>
      </c>
      <c r="AG2">
        <f ca="1">COUNTIFS(INDIRECT("Table1[Beginn]"),"&lt;="&amp;AG$1,INDIRECT("Table1[Ende]"),"&gt;="&amp;AG$1,INDIRECT("Table1[Obergruppe ATC-Code]"),Tabelle3!$A2)</f>
        <v>0</v>
      </c>
      <c r="AH2">
        <f ca="1">COUNTIFS(INDIRECT("Table1[Beginn]"),"&lt;="&amp;AH$1,INDIRECT("Table1[Ende]"),"&gt;="&amp;AH$1,INDIRECT("Table1[Obergruppe ATC-Code]"),Tabelle3!$A2)</f>
        <v>0</v>
      </c>
      <c r="AI2">
        <f ca="1">COUNTIFS(INDIRECT("Table1[Beginn]"),"&lt;="&amp;AI$1,INDIRECT("Table1[Ende]"),"&gt;="&amp;AI$1,INDIRECT("Table1[Obergruppe ATC-Code]"),Tabelle3!$A2)</f>
        <v>0</v>
      </c>
      <c r="AJ2">
        <f ca="1">COUNTIFS(INDIRECT("Table1[Beginn]"),"&lt;="&amp;AJ$1,INDIRECT("Table1[Ende]"),"&gt;="&amp;AJ$1,INDIRECT("Table1[Obergruppe ATC-Code]"),Tabelle3!$A2)</f>
        <v>0</v>
      </c>
      <c r="AK2">
        <f ca="1">COUNTIFS(INDIRECT("Table1[Beginn]"),"&lt;="&amp;AK$1,INDIRECT("Table1[Ende]"),"&gt;="&amp;AK$1,INDIRECT("Table1[Obergruppe ATC-Code]"),Tabelle3!$A2)</f>
        <v>0</v>
      </c>
      <c r="AL2">
        <f ca="1">COUNTIFS(INDIRECT("Table1[Beginn]"),"&lt;="&amp;AL$1,INDIRECT("Table1[Ende]"),"&gt;="&amp;AL$1,INDIRECT("Table1[Obergruppe ATC-Code]"),Tabelle3!$A2)</f>
        <v>0</v>
      </c>
      <c r="AM2">
        <f ca="1">COUNTIFS(INDIRECT("Table1[Beginn]"),"&lt;="&amp;AM$1,INDIRECT("Table1[Ende]"),"&gt;="&amp;AM$1,INDIRECT("Table1[Obergruppe ATC-Code]"),Tabelle3!$A2)</f>
        <v>0</v>
      </c>
      <c r="AN2">
        <f ca="1">COUNTIFS(INDIRECT("Table1[Beginn]"),"&lt;="&amp;AN$1,INDIRECT("Table1[Ende]"),"&gt;="&amp;AN$1,INDIRECT("Table1[Obergruppe ATC-Code]"),Tabelle3!$A2)</f>
        <v>0</v>
      </c>
      <c r="AO2">
        <f ca="1">COUNTIFS(INDIRECT("Table1[Beginn]"),"&lt;="&amp;AO$1,INDIRECT("Table1[Ende]"),"&gt;="&amp;AO$1,INDIRECT("Table1[Obergruppe ATC-Code]"),Tabelle3!$A2)</f>
        <v>1</v>
      </c>
      <c r="AP2">
        <f ca="1">COUNTIFS(INDIRECT("Table1[Beginn]"),"&lt;="&amp;AP$1,INDIRECT("Table1[Ende]"),"&gt;="&amp;AP$1,INDIRECT("Table1[Obergruppe ATC-Code]"),Tabelle3!$A2)</f>
        <v>1</v>
      </c>
      <c r="AQ2">
        <f ca="1">COUNTIFS(INDIRECT("Table1[Beginn]"),"&lt;="&amp;AQ$1,INDIRECT("Table1[Ende]"),"&gt;="&amp;AQ$1,INDIRECT("Table1[Obergruppe ATC-Code]"),Tabelle3!$A2)</f>
        <v>1</v>
      </c>
      <c r="AR2">
        <f ca="1">COUNTIFS(INDIRECT("Table1[Beginn]"),"&lt;="&amp;AR$1,INDIRECT("Table1[Ende]"),"&gt;="&amp;AR$1,INDIRECT("Table1[Obergruppe ATC-Code]"),Tabelle3!$A2)</f>
        <v>2</v>
      </c>
      <c r="AS2">
        <f ca="1">COUNTIFS(INDIRECT("Table1[Beginn]"),"&lt;="&amp;AS$1,INDIRECT("Table1[Ende]"),"&gt;="&amp;AS$1,INDIRECT("Table1[Obergruppe ATC-Code]"),Tabelle3!$A2)</f>
        <v>2</v>
      </c>
      <c r="AT2">
        <f ca="1">COUNTIFS(INDIRECT("Table1[Beginn]"),"&lt;="&amp;AT$1,INDIRECT("Table1[Ende]"),"&gt;="&amp;AT$1,INDIRECT("Table1[Obergruppe ATC-Code]"),Tabelle3!$A2)</f>
        <v>2</v>
      </c>
      <c r="AU2">
        <f ca="1">COUNTIFS(INDIRECT("Table1[Beginn]"),"&lt;="&amp;AU$1,INDIRECT("Table1[Ende]"),"&gt;="&amp;AU$1,INDIRECT("Table1[Obergruppe ATC-Code]"),Tabelle3!$A2)</f>
        <v>1</v>
      </c>
      <c r="AV2">
        <f ca="1">COUNTIFS(INDIRECT("Table1[Beginn]"),"&lt;="&amp;AV$1,INDIRECT("Table1[Ende]"),"&gt;="&amp;AV$1,INDIRECT("Table1[Obergruppe ATC-Code]"),Tabelle3!$A2)</f>
        <v>0</v>
      </c>
      <c r="AW2">
        <f ca="1">COUNTIFS(INDIRECT("Table1[Beginn]"),"&lt;="&amp;AW$1,INDIRECT("Table1[Ende]"),"&gt;="&amp;AW$1,INDIRECT("Table1[Obergruppe ATC-Code]"),Tabelle3!$A2)</f>
        <v>0</v>
      </c>
      <c r="AX2">
        <f ca="1">COUNTIFS(INDIRECT("Table1[Beginn]"),"&lt;="&amp;AX$1,INDIRECT("Table1[Ende]"),"&gt;="&amp;AX$1,INDIRECT("Table1[Obergruppe ATC-Code]"),Tabelle3!$A2)</f>
        <v>0</v>
      </c>
      <c r="AY2">
        <f ca="1">COUNTIFS(INDIRECT("Table1[Beginn]"),"&lt;="&amp;AY$1,INDIRECT("Table1[Ende]"),"&gt;="&amp;AY$1,INDIRECT("Table1[Obergruppe ATC-Code]"),Tabelle3!$A2)</f>
        <v>0</v>
      </c>
      <c r="AZ2">
        <f ca="1">COUNTIFS(INDIRECT("Table1[Beginn]"),"&lt;="&amp;AZ$1,INDIRECT("Table1[Ende]"),"&gt;="&amp;AZ$1,INDIRECT("Table1[Obergruppe ATC-Code]"),Tabelle3!$A2)</f>
        <v>1</v>
      </c>
      <c r="BA2">
        <f ca="1">COUNTIFS(INDIRECT("Table1[Beginn]"),"&lt;="&amp;BA$1,INDIRECT("Table1[Ende]"),"&gt;="&amp;BA$1,INDIRECT("Table1[Obergruppe ATC-Code]"),Tabelle3!$A2)</f>
        <v>1</v>
      </c>
      <c r="BB2">
        <f ca="1">COUNTIFS(INDIRECT("Table1[Beginn]"),"&lt;="&amp;BB$1,INDIRECT("Table1[Ende]"),"&gt;="&amp;BB$1,INDIRECT("Table1[Obergruppe ATC-Code]"),Tabelle3!$A2)</f>
        <v>1</v>
      </c>
      <c r="BC2">
        <f ca="1">COUNTIFS(INDIRECT("Table1[Beginn]"),"&lt;="&amp;BC$1,INDIRECT("Table1[Ende]"),"&gt;="&amp;BC$1,INDIRECT("Table1[Obergruppe ATC-Code]"),Tabelle3!$A2)</f>
        <v>1</v>
      </c>
      <c r="BD2">
        <f ca="1">COUNTIFS(INDIRECT("Table1[Beginn]"),"&lt;="&amp;BD$1,INDIRECT("Table1[Ende]"),"&gt;="&amp;BD$1,INDIRECT("Table1[Obergruppe ATC-Code]"),Tabelle3!$A2)</f>
        <v>1</v>
      </c>
      <c r="BE2">
        <f ca="1">COUNTIFS(INDIRECT("Table1[Beginn]"),"&lt;="&amp;BE$1,INDIRECT("Table1[Ende]"),"&gt;="&amp;BE$1,INDIRECT("Table1[Obergruppe ATC-Code]"),Tabelle3!$A2)</f>
        <v>1</v>
      </c>
      <c r="BF2">
        <f ca="1">COUNTIFS(INDIRECT("Table1[Beginn]"),"&lt;="&amp;BF$1,INDIRECT("Table1[Ende]"),"&gt;="&amp;BF$1,INDIRECT("Table1[Obergruppe ATC-Code]"),Tabelle3!$A2)</f>
        <v>1</v>
      </c>
      <c r="BG2">
        <f ca="1">COUNTIFS(INDIRECT("Table1[Beginn]"),"&lt;="&amp;BG$1,INDIRECT("Table1[Ende]"),"&gt;="&amp;BG$1,INDIRECT("Table1[Obergruppe ATC-Code]"),Tabelle3!$A2)</f>
        <v>1</v>
      </c>
      <c r="BH2">
        <f ca="1">COUNTIFS(INDIRECT("Table1[Beginn]"),"&lt;="&amp;BH$1,INDIRECT("Table1[Ende]"),"&gt;="&amp;BH$1,INDIRECT("Table1[Obergruppe ATC-Code]"),Tabelle3!$A2)</f>
        <v>1</v>
      </c>
      <c r="BI2">
        <f ca="1">COUNTIFS(INDIRECT("Table1[Beginn]"),"&lt;="&amp;BI$1,INDIRECT("Table1[Ende]"),"&gt;="&amp;BI$1,INDIRECT("Table1[Obergruppe ATC-Code]"),Tabelle3!$A2)</f>
        <v>0</v>
      </c>
      <c r="BJ2">
        <f ca="1">COUNTIFS(INDIRECT("Table1[Beginn]"),"&lt;="&amp;BJ$1,INDIRECT("Table1[Ende]"),"&gt;="&amp;BJ$1,INDIRECT("Table1[Obergruppe ATC-Code]"),Tabelle3!$A2)</f>
        <v>0</v>
      </c>
      <c r="BK2">
        <f ca="1">COUNTIFS(INDIRECT("Table1[Beginn]"),"&lt;="&amp;BK$1,INDIRECT("Table1[Ende]"),"&gt;="&amp;BK$1,INDIRECT("Table1[Obergruppe ATC-Code]"),Tabelle3!$A2)</f>
        <v>0</v>
      </c>
      <c r="BL2">
        <f ca="1">COUNTIFS(INDIRECT("Table1[Beginn]"),"&lt;="&amp;BL$1,INDIRECT("Table1[Ende]"),"&gt;="&amp;BL$1,INDIRECT("Table1[Obergruppe ATC-Code]"),Tabelle3!$A2)</f>
        <v>0</v>
      </c>
      <c r="BM2">
        <f ca="1">COUNTIFS(INDIRECT("Table1[Beginn]"),"&lt;="&amp;BM$1,INDIRECT("Table1[Ende]"),"&gt;="&amp;BM$1,INDIRECT("Table1[Obergruppe ATC-Code]"),Tabelle3!$A2)</f>
        <v>0</v>
      </c>
      <c r="BN2">
        <f ca="1">COUNTIFS(INDIRECT("Table1[Beginn]"),"&lt;="&amp;BN$1,INDIRECT("Table1[Ende]"),"&gt;="&amp;BN$1,INDIRECT("Table1[Obergruppe ATC-Code]"),Tabelle3!$A2)</f>
        <v>0</v>
      </c>
      <c r="BO2">
        <f ca="1">COUNTIFS(INDIRECT("Table1[Beginn]"),"&lt;="&amp;BO$1,INDIRECT("Table1[Ende]"),"&gt;="&amp;BO$1,INDIRECT("Table1[Obergruppe ATC-Code]"),Tabelle3!$A2)</f>
        <v>0</v>
      </c>
      <c r="BP2">
        <f ca="1">COUNTIFS(INDIRECT("Table1[Beginn]"),"&lt;="&amp;BP$1,INDIRECT("Table1[Ende]"),"&gt;="&amp;BP$1,INDIRECT("Table1[Obergruppe ATC-Code]"),Tabelle3!$A2)</f>
        <v>0</v>
      </c>
      <c r="BQ2">
        <f ca="1">COUNTIFS(INDIRECT("Table1[Beginn]"),"&lt;="&amp;BQ$1,INDIRECT("Table1[Ende]"),"&gt;="&amp;BQ$1,INDIRECT("Table1[Obergruppe ATC-Code]"),Tabelle3!$A2)</f>
        <v>0</v>
      </c>
      <c r="BR2">
        <f ca="1">COUNTIFS(INDIRECT("Table1[Beginn]"),"&lt;="&amp;BR$1,INDIRECT("Table1[Ende]"),"&gt;="&amp;BR$1,INDIRECT("Table1[Obergruppe ATC-Code]"),Tabelle3!$A2)</f>
        <v>0</v>
      </c>
      <c r="BS2">
        <f ca="1">COUNTIFS(INDIRECT("Table1[Beginn]"),"&lt;="&amp;BS$1,INDIRECT("Table1[Ende]"),"&gt;="&amp;BS$1,INDIRECT("Table1[Obergruppe ATC-Code]"),Tabelle3!$A2)</f>
        <v>0</v>
      </c>
      <c r="BT2">
        <f ca="1">COUNTIFS(INDIRECT("Table1[Beginn]"),"&lt;="&amp;BT$1,INDIRECT("Table1[Ende]"),"&gt;="&amp;BT$1,INDIRECT("Table1[Obergruppe ATC-Code]"),Tabelle3!$A2)</f>
        <v>0</v>
      </c>
      <c r="BU2">
        <f ca="1">COUNTIFS(INDIRECT("Table1[Beginn]"),"&lt;="&amp;BU$1,INDIRECT("Table1[Ende]"),"&gt;="&amp;BU$1,INDIRECT("Table1[Obergruppe ATC-Code]"),Tabelle3!$A2)</f>
        <v>0</v>
      </c>
      <c r="BV2">
        <f ca="1">COUNTIFS(INDIRECT("Table1[Beginn]"),"&lt;="&amp;BV$1,INDIRECT("Table1[Ende]"),"&gt;="&amp;BV$1,INDIRECT("Table1[Obergruppe ATC-Code]"),Tabelle3!$A2)</f>
        <v>0</v>
      </c>
      <c r="BW2">
        <f ca="1">COUNTIFS(INDIRECT("Table1[Beginn]"),"&lt;="&amp;BW$1,INDIRECT("Table1[Ende]"),"&gt;="&amp;BW$1,INDIRECT("Table1[Obergruppe ATC-Code]"),Tabelle3!$A2)</f>
        <v>0</v>
      </c>
      <c r="BX2">
        <f ca="1">COUNTIFS(INDIRECT("Table1[Beginn]"),"&lt;="&amp;BX$1,INDIRECT("Table1[Ende]"),"&gt;="&amp;BX$1,INDIRECT("Table1[Obergruppe ATC-Code]"),Tabelle3!$A2)</f>
        <v>1</v>
      </c>
      <c r="BY2">
        <f ca="1">COUNTIFS(INDIRECT("Table1[Beginn]"),"&lt;="&amp;BY$1,INDIRECT("Table1[Ende]"),"&gt;="&amp;BY$1,INDIRECT("Table1[Obergruppe ATC-Code]"),Tabelle3!$A2)</f>
        <v>0</v>
      </c>
      <c r="BZ2">
        <f ca="1">COUNTIFS(INDIRECT("Table1[Beginn]"),"&lt;="&amp;BZ$1,INDIRECT("Table1[Ende]"),"&gt;="&amp;BZ$1,INDIRECT("Table1[Obergruppe ATC-Code]"),Tabelle3!$A2)</f>
        <v>0</v>
      </c>
      <c r="CA2">
        <f ca="1">COUNTIFS(INDIRECT("Table1[Beginn]"),"&lt;="&amp;CA$1,INDIRECT("Table1[Ende]"),"&gt;="&amp;CA$1,INDIRECT("Table1[Obergruppe ATC-Code]"),Tabelle3!$A2)</f>
        <v>0</v>
      </c>
      <c r="CB2">
        <f ca="1">COUNTIFS(INDIRECT("Table1[Beginn]"),"&lt;="&amp;CB$1,INDIRECT("Table1[Ende]"),"&gt;="&amp;CB$1,INDIRECT("Table1[Obergruppe ATC-Code]"),Tabelle3!$A2)</f>
        <v>0</v>
      </c>
      <c r="CC2">
        <f ca="1">COUNTIFS(INDIRECT("Table1[Beginn]"),"&lt;="&amp;CC$1,INDIRECT("Table1[Ende]"),"&gt;="&amp;CC$1,INDIRECT("Table1[Obergruppe ATC-Code]"),Tabelle3!$A2)</f>
        <v>0</v>
      </c>
      <c r="CD2">
        <f ca="1">COUNTIFS(INDIRECT("Table1[Beginn]"),"&lt;="&amp;CD$1,INDIRECT("Table1[Ende]"),"&gt;="&amp;CD$1,INDIRECT("Table1[Obergruppe ATC-Code]"),Tabelle3!$A2)</f>
        <v>0</v>
      </c>
      <c r="CE2">
        <f ca="1">COUNTIFS(INDIRECT("Table1[Beginn]"),"&lt;="&amp;CE$1,INDIRECT("Table1[Ende]"),"&gt;="&amp;CE$1,INDIRECT("Table1[Obergruppe ATC-Code]"),Tabelle3!$A2)</f>
        <v>1</v>
      </c>
      <c r="CF2">
        <f ca="1">COUNTIFS(INDIRECT("Table1[Beginn]"),"&lt;="&amp;CF$1,INDIRECT("Table1[Ende]"),"&gt;="&amp;CF$1,INDIRECT("Table1[Obergruppe ATC-Code]"),Tabelle3!$A2)</f>
        <v>0</v>
      </c>
      <c r="CG2">
        <f ca="1">COUNTIFS(INDIRECT("Table1[Beginn]"),"&lt;="&amp;CG$1,INDIRECT("Table1[Ende]"),"&gt;="&amp;CG$1,INDIRECT("Table1[Obergruppe ATC-Code]"),Tabelle3!$A2)</f>
        <v>0</v>
      </c>
      <c r="CH2">
        <f ca="1">COUNTIFS(INDIRECT("Table1[Beginn]"),"&lt;="&amp;CH$1,INDIRECT("Table1[Ende]"),"&gt;="&amp;CH$1,INDIRECT("Table1[Obergruppe ATC-Code]"),Tabelle3!$A2)</f>
        <v>0</v>
      </c>
      <c r="CI2">
        <f ca="1">COUNTIFS(INDIRECT("Table1[Beginn]"),"&lt;="&amp;CI$1,INDIRECT("Table1[Ende]"),"&gt;="&amp;CI$1,INDIRECT("Table1[Obergruppe ATC-Code]"),Tabelle3!$A2)</f>
        <v>0</v>
      </c>
      <c r="CJ2">
        <f ca="1">COUNTIFS(INDIRECT("Table1[Beginn]"),"&lt;="&amp;CJ$1,INDIRECT("Table1[Ende]"),"&gt;="&amp;CJ$1,INDIRECT("Table1[Obergruppe ATC-Code]"),Tabelle3!$A2)</f>
        <v>0</v>
      </c>
      <c r="CK2">
        <f ca="1">COUNTIFS(INDIRECT("Table1[Beginn]"),"&lt;="&amp;CK$1,INDIRECT("Table1[Ende]"),"&gt;="&amp;CK$1,INDIRECT("Table1[Obergruppe ATC-Code]"),Tabelle3!$A2)</f>
        <v>0</v>
      </c>
      <c r="CL2">
        <f ca="1">COUNTIFS(INDIRECT("Table1[Beginn]"),"&lt;="&amp;CL$1,INDIRECT("Table1[Ende]"),"&gt;="&amp;CL$1,INDIRECT("Table1[Obergruppe ATC-Code]"),Tabelle3!$A2)</f>
        <v>0</v>
      </c>
      <c r="CM2">
        <f ca="1">COUNTIFS(INDIRECT("Table1[Beginn]"),"&lt;="&amp;CM$1,INDIRECT("Table1[Ende]"),"&gt;="&amp;CM$1,INDIRECT("Table1[Obergruppe ATC-Code]"),Tabelle3!$A2)</f>
        <v>0</v>
      </c>
      <c r="CN2">
        <f ca="1">COUNTIFS(INDIRECT("Table1[Beginn]"),"&lt;="&amp;CN$1,INDIRECT("Table1[Ende]"),"&gt;="&amp;CN$1,INDIRECT("Table1[Obergruppe ATC-Code]"),Tabelle3!$A2)</f>
        <v>0</v>
      </c>
      <c r="CO2">
        <f ca="1">COUNTIFS(INDIRECT("Table1[Beginn]"),"&lt;="&amp;CO$1,INDIRECT("Table1[Ende]"),"&gt;="&amp;CO$1,INDIRECT("Table1[Obergruppe ATC-Code]"),Tabelle3!$A2)</f>
        <v>0</v>
      </c>
      <c r="CP2">
        <f ca="1">COUNTIFS(INDIRECT("Table1[Beginn]"),"&lt;="&amp;CP$1,INDIRECT("Table1[Ende]"),"&gt;="&amp;CP$1,INDIRECT("Table1[Obergruppe ATC-Code]"),Tabelle3!$A2)</f>
        <v>0</v>
      </c>
      <c r="CQ2">
        <f ca="1">COUNTIFS(INDIRECT("Table1[Beginn]"),"&lt;="&amp;CQ$1,INDIRECT("Table1[Ende]"),"&gt;="&amp;CQ$1,INDIRECT("Table1[Obergruppe ATC-Code]"),Tabelle3!$A2)</f>
        <v>0</v>
      </c>
      <c r="CR2">
        <f ca="1">COUNTIFS(INDIRECT("Table1[Beginn]"),"&lt;="&amp;CR$1,INDIRECT("Table1[Ende]"),"&gt;="&amp;CR$1,INDIRECT("Table1[Obergruppe ATC-Code]"),Tabelle3!$A2)</f>
        <v>0</v>
      </c>
      <c r="CS2">
        <f ca="1">COUNTIFS(INDIRECT("Table1[Beginn]"),"&lt;="&amp;CS$1,INDIRECT("Table1[Ende]"),"&gt;="&amp;CS$1,INDIRECT("Table1[Obergruppe ATC-Code]"),Tabelle3!$A2)</f>
        <v>0</v>
      </c>
      <c r="CT2">
        <f ca="1">COUNTIFS(INDIRECT("Table1[Beginn]"),"&lt;="&amp;CT$1,INDIRECT("Table1[Ende]"),"&gt;="&amp;CT$1,INDIRECT("Table1[Obergruppe ATC-Code]"),Tabelle3!$A2)</f>
        <v>0</v>
      </c>
      <c r="CU2" s="53" t="s">
        <v>6773</v>
      </c>
      <c r="CV2" s="54"/>
      <c r="CW2" s="54"/>
      <c r="CX2" s="54"/>
      <c r="CY2" s="54"/>
      <c r="CZ2" s="54"/>
      <c r="DA2" s="54"/>
      <c r="DB2" s="54"/>
      <c r="DC2" s="54"/>
      <c r="DD2" s="54"/>
      <c r="DE2" s="54"/>
      <c r="DF2" s="54"/>
      <c r="DG2" s="54"/>
      <c r="DH2" s="54"/>
    </row>
    <row r="3" spans="1:112" ht="18" customHeight="1">
      <c r="A3" s="9" t="s">
        <v>6774</v>
      </c>
      <c r="B3" s="10" t="s">
        <v>6775</v>
      </c>
      <c r="C3">
        <f ca="1">COUNTIFS(INDIRECT("Table1[Beginn]"),"&lt;="&amp;C$1,INDIRECT("Table1[Ende]"),"&gt;="&amp;C$1,INDIRECT("Table1[Obergruppe ATC-Code]"),Tabelle3!$A3)</f>
        <v>0</v>
      </c>
      <c r="D3">
        <f ca="1">COUNTIFS(INDIRECT("Table1[Beginn]"),"&lt;="&amp;D$1,INDIRECT("Table1[Ende]"),"&gt;="&amp;D$1,INDIRECT("Table1[Obergruppe ATC-Code]"),Tabelle3!$A3)</f>
        <v>0</v>
      </c>
      <c r="E3">
        <f ca="1">COUNTIFS(INDIRECT("Table1[Beginn]"),"&lt;="&amp;E$1,INDIRECT("Table1[Ende]"),"&gt;="&amp;E$1,INDIRECT("Table1[Obergruppe ATC-Code]"),Tabelle3!$A3)</f>
        <v>0</v>
      </c>
      <c r="F3">
        <f ca="1">COUNTIFS(INDIRECT("Table1[Beginn]"),"&lt;="&amp;F$1,INDIRECT("Table1[Ende]"),"&gt;="&amp;F$1,INDIRECT("Table1[Obergruppe ATC-Code]"),Tabelle3!$A3)</f>
        <v>0</v>
      </c>
      <c r="G3">
        <f ca="1">COUNTIFS(INDIRECT("Table1[Beginn]"),"&lt;="&amp;G$1,INDIRECT("Table1[Ende]"),"&gt;="&amp;G$1,INDIRECT("Table1[Obergruppe ATC-Code]"),Tabelle3!$A3)</f>
        <v>0</v>
      </c>
      <c r="H3">
        <f ca="1">COUNTIFS(INDIRECT("Table1[Beginn]"),"&lt;="&amp;H$1,INDIRECT("Table1[Ende]"),"&gt;="&amp;H$1,INDIRECT("Table1[Obergruppe ATC-Code]"),Tabelle3!$A3)</f>
        <v>0</v>
      </c>
      <c r="I3">
        <f ca="1">COUNTIFS(INDIRECT("Table1[Beginn]"),"&lt;="&amp;I$1,INDIRECT("Table1[Ende]"),"&gt;="&amp;I$1,INDIRECT("Table1[Obergruppe ATC-Code]"),Tabelle3!$A3)</f>
        <v>0</v>
      </c>
      <c r="J3">
        <f ca="1">COUNTIFS(INDIRECT("Table1[Beginn]"),"&lt;="&amp;J$1,INDIRECT("Table1[Ende]"),"&gt;="&amp;J$1,INDIRECT("Table1[Obergruppe ATC-Code]"),Tabelle3!$A3)</f>
        <v>0</v>
      </c>
      <c r="K3">
        <f ca="1">COUNTIFS(INDIRECT("Table1[Beginn]"),"&lt;="&amp;K$1,INDIRECT("Table1[Ende]"),"&gt;="&amp;K$1,INDIRECT("Table1[Obergruppe ATC-Code]"),Tabelle3!$A3)</f>
        <v>0</v>
      </c>
      <c r="L3">
        <f ca="1">COUNTIFS(INDIRECT("Table1[Beginn]"),"&lt;="&amp;L$1,INDIRECT("Table1[Ende]"),"&gt;="&amp;L$1,INDIRECT("Table1[Obergruppe ATC-Code]"),Tabelle3!$A3)</f>
        <v>0</v>
      </c>
      <c r="M3">
        <f ca="1">COUNTIFS(INDIRECT("Table1[Beginn]"),"&lt;="&amp;M$1,INDIRECT("Table1[Ende]"),"&gt;="&amp;M$1,INDIRECT("Table1[Obergruppe ATC-Code]"),Tabelle3!$A3)</f>
        <v>0</v>
      </c>
      <c r="N3">
        <f ca="1">COUNTIFS(INDIRECT("Table1[Beginn]"),"&lt;="&amp;N$1,INDIRECT("Table1[Ende]"),"&gt;="&amp;N$1,INDIRECT("Table1[Obergruppe ATC-Code]"),Tabelle3!$A3)</f>
        <v>0</v>
      </c>
      <c r="O3">
        <f ca="1">COUNTIFS(INDIRECT("Table1[Beginn]"),"&lt;="&amp;O$1,INDIRECT("Table1[Ende]"),"&gt;="&amp;O$1,INDIRECT("Table1[Obergruppe ATC-Code]"),Tabelle3!$A3)</f>
        <v>0</v>
      </c>
      <c r="P3">
        <f ca="1">COUNTIFS(INDIRECT("Table1[Beginn]"),"&lt;="&amp;P$1,INDIRECT("Table1[Ende]"),"&gt;="&amp;P$1,INDIRECT("Table1[Obergruppe ATC-Code]"),Tabelle3!$A3)</f>
        <v>0</v>
      </c>
      <c r="Q3">
        <f ca="1">COUNTIFS(INDIRECT("Table1[Beginn]"),"&lt;="&amp;Q$1,INDIRECT("Table1[Ende]"),"&gt;="&amp;Q$1,INDIRECT("Table1[Obergruppe ATC-Code]"),Tabelle3!$A3)</f>
        <v>0</v>
      </c>
      <c r="R3">
        <f ca="1">COUNTIFS(INDIRECT("Table1[Beginn]"),"&lt;="&amp;R$1,INDIRECT("Table1[Ende]"),"&gt;="&amp;R$1,INDIRECT("Table1[Obergruppe ATC-Code]"),Tabelle3!$A3)</f>
        <v>0</v>
      </c>
      <c r="S3">
        <f ca="1">COUNTIFS(INDIRECT("Table1[Beginn]"),"&lt;="&amp;S$1,INDIRECT("Table1[Ende]"),"&gt;="&amp;S$1,INDIRECT("Table1[Obergruppe ATC-Code]"),Tabelle3!$A3)</f>
        <v>0</v>
      </c>
      <c r="T3">
        <f ca="1">COUNTIFS(INDIRECT("Table1[Beginn]"),"&lt;="&amp;T$1,INDIRECT("Table1[Ende]"),"&gt;="&amp;T$1,INDIRECT("Table1[Obergruppe ATC-Code]"),Tabelle3!$A3)</f>
        <v>0</v>
      </c>
      <c r="U3">
        <f ca="1">COUNTIFS(INDIRECT("Table1[Beginn]"),"&lt;="&amp;U$1,INDIRECT("Table1[Ende]"),"&gt;="&amp;U$1,INDIRECT("Table1[Obergruppe ATC-Code]"),Tabelle3!$A3)</f>
        <v>0</v>
      </c>
      <c r="V3">
        <f ca="1">COUNTIFS(INDIRECT("Table1[Beginn]"),"&lt;="&amp;V$1,INDIRECT("Table1[Ende]"),"&gt;="&amp;V$1,INDIRECT("Table1[Obergruppe ATC-Code]"),Tabelle3!$A3)</f>
        <v>0</v>
      </c>
      <c r="W3">
        <f ca="1">COUNTIFS(INDIRECT("Table1[Beginn]"),"&lt;="&amp;W$1,INDIRECT("Table1[Ende]"),"&gt;="&amp;W$1,INDIRECT("Table1[Obergruppe ATC-Code]"),Tabelle3!$A3)</f>
        <v>0</v>
      </c>
      <c r="X3">
        <f ca="1">COUNTIFS(INDIRECT("Table1[Beginn]"),"&lt;="&amp;X$1,INDIRECT("Table1[Ende]"),"&gt;="&amp;X$1,INDIRECT("Table1[Obergruppe ATC-Code]"),Tabelle3!$A3)</f>
        <v>0</v>
      </c>
      <c r="Y3">
        <f ca="1">COUNTIFS(INDIRECT("Table1[Beginn]"),"&lt;="&amp;Y$1,INDIRECT("Table1[Ende]"),"&gt;="&amp;Y$1,INDIRECT("Table1[Obergruppe ATC-Code]"),Tabelle3!$A3)</f>
        <v>0</v>
      </c>
      <c r="Z3">
        <f ca="1">COUNTIFS(INDIRECT("Table1[Beginn]"),"&lt;="&amp;Z$1,INDIRECT("Table1[Ende]"),"&gt;="&amp;Z$1,INDIRECT("Table1[Obergruppe ATC-Code]"),Tabelle3!$A3)</f>
        <v>0</v>
      </c>
      <c r="AA3">
        <f ca="1">COUNTIFS(INDIRECT("Table1[Beginn]"),"&lt;="&amp;AA$1,INDIRECT("Table1[Ende]"),"&gt;="&amp;AA$1,INDIRECT("Table1[Obergruppe ATC-Code]"),Tabelle3!$A3)</f>
        <v>0</v>
      </c>
      <c r="AB3">
        <f ca="1">COUNTIFS(INDIRECT("Table1[Beginn]"),"&lt;="&amp;AB$1,INDIRECT("Table1[Ende]"),"&gt;="&amp;AB$1,INDIRECT("Table1[Obergruppe ATC-Code]"),Tabelle3!$A3)</f>
        <v>0</v>
      </c>
      <c r="AC3">
        <f ca="1">COUNTIFS(INDIRECT("Table1[Beginn]"),"&lt;="&amp;AC$1,INDIRECT("Table1[Ende]"),"&gt;="&amp;AC$1,INDIRECT("Table1[Obergruppe ATC-Code]"),Tabelle3!$A3)</f>
        <v>0</v>
      </c>
      <c r="AD3">
        <f ca="1">COUNTIFS(INDIRECT("Table1[Beginn]"),"&lt;="&amp;AD$1,INDIRECT("Table1[Ende]"),"&gt;="&amp;AD$1,INDIRECT("Table1[Obergruppe ATC-Code]"),Tabelle3!$A3)</f>
        <v>0</v>
      </c>
      <c r="AE3">
        <f ca="1">COUNTIFS(INDIRECT("Table1[Beginn]"),"&lt;="&amp;AE$1,INDIRECT("Table1[Ende]"),"&gt;="&amp;AE$1,INDIRECT("Table1[Obergruppe ATC-Code]"),Tabelle3!$A3)</f>
        <v>0</v>
      </c>
      <c r="AF3">
        <f ca="1">COUNTIFS(INDIRECT("Table1[Beginn]"),"&lt;="&amp;AF$1,INDIRECT("Table1[Ende]"),"&gt;="&amp;AF$1,INDIRECT("Table1[Obergruppe ATC-Code]"),Tabelle3!$A3)</f>
        <v>0</v>
      </c>
      <c r="AG3">
        <f ca="1">COUNTIFS(INDIRECT("Table1[Beginn]"),"&lt;="&amp;AG$1,INDIRECT("Table1[Ende]"),"&gt;="&amp;AG$1,INDIRECT("Table1[Obergruppe ATC-Code]"),Tabelle3!$A3)</f>
        <v>0</v>
      </c>
      <c r="AH3">
        <f ca="1">COUNTIFS(INDIRECT("Table1[Beginn]"),"&lt;="&amp;AH$1,INDIRECT("Table1[Ende]"),"&gt;="&amp;AH$1,INDIRECT("Table1[Obergruppe ATC-Code]"),Tabelle3!$A3)</f>
        <v>0</v>
      </c>
      <c r="AI3">
        <f ca="1">COUNTIFS(INDIRECT("Table1[Beginn]"),"&lt;="&amp;AI$1,INDIRECT("Table1[Ende]"),"&gt;="&amp;AI$1,INDIRECT("Table1[Obergruppe ATC-Code]"),Tabelle3!$A3)</f>
        <v>7</v>
      </c>
      <c r="AJ3">
        <f ca="1">COUNTIFS(INDIRECT("Table1[Beginn]"),"&lt;="&amp;AJ$1,INDIRECT("Table1[Ende]"),"&gt;="&amp;AJ$1,INDIRECT("Table1[Obergruppe ATC-Code]"),Tabelle3!$A3)</f>
        <v>9</v>
      </c>
      <c r="AK3">
        <f ca="1">COUNTIFS(INDIRECT("Table1[Beginn]"),"&lt;="&amp;AK$1,INDIRECT("Table1[Ende]"),"&gt;="&amp;AK$1,INDIRECT("Table1[Obergruppe ATC-Code]"),Tabelle3!$A3)</f>
        <v>9</v>
      </c>
      <c r="AL3">
        <f ca="1">COUNTIFS(INDIRECT("Table1[Beginn]"),"&lt;="&amp;AL$1,INDIRECT("Table1[Ende]"),"&gt;="&amp;AL$1,INDIRECT("Table1[Obergruppe ATC-Code]"),Tabelle3!$A3)</f>
        <v>12</v>
      </c>
      <c r="AM3">
        <f ca="1">COUNTIFS(INDIRECT("Table1[Beginn]"),"&lt;="&amp;AM$1,INDIRECT("Table1[Ende]"),"&gt;="&amp;AM$1,INDIRECT("Table1[Obergruppe ATC-Code]"),Tabelle3!$A3)</f>
        <v>13</v>
      </c>
      <c r="AN3">
        <f ca="1">COUNTIFS(INDIRECT("Table1[Beginn]"),"&lt;="&amp;AN$1,INDIRECT("Table1[Ende]"),"&gt;="&amp;AN$1,INDIRECT("Table1[Obergruppe ATC-Code]"),Tabelle3!$A3)</f>
        <v>13</v>
      </c>
      <c r="AO3">
        <f ca="1">COUNTIFS(INDIRECT("Table1[Beginn]"),"&lt;="&amp;AO$1,INDIRECT("Table1[Ende]"),"&gt;="&amp;AO$1,INDIRECT("Table1[Obergruppe ATC-Code]"),Tabelle3!$A3)</f>
        <v>17</v>
      </c>
      <c r="AP3">
        <f ca="1">COUNTIFS(INDIRECT("Table1[Beginn]"),"&lt;="&amp;AP$1,INDIRECT("Table1[Ende]"),"&gt;="&amp;AP$1,INDIRECT("Table1[Obergruppe ATC-Code]"),Tabelle3!$A3)</f>
        <v>17</v>
      </c>
      <c r="AQ3">
        <f ca="1">COUNTIFS(INDIRECT("Table1[Beginn]"),"&lt;="&amp;AQ$1,INDIRECT("Table1[Ende]"),"&gt;="&amp;AQ$1,INDIRECT("Table1[Obergruppe ATC-Code]"),Tabelle3!$A3)</f>
        <v>17</v>
      </c>
      <c r="AR3">
        <f ca="1">COUNTIFS(INDIRECT("Table1[Beginn]"),"&lt;="&amp;AR$1,INDIRECT("Table1[Ende]"),"&gt;="&amp;AR$1,INDIRECT("Table1[Obergruppe ATC-Code]"),Tabelle3!$A3)</f>
        <v>17</v>
      </c>
      <c r="AS3">
        <f ca="1">COUNTIFS(INDIRECT("Table1[Beginn]"),"&lt;="&amp;AS$1,INDIRECT("Table1[Ende]"),"&gt;="&amp;AS$1,INDIRECT("Table1[Obergruppe ATC-Code]"),Tabelle3!$A3)</f>
        <v>16</v>
      </c>
      <c r="AT3">
        <f ca="1">COUNTIFS(INDIRECT("Table1[Beginn]"),"&lt;="&amp;AT$1,INDIRECT("Table1[Ende]"),"&gt;="&amp;AT$1,INDIRECT("Table1[Obergruppe ATC-Code]"),Tabelle3!$A3)</f>
        <v>16</v>
      </c>
      <c r="AU3">
        <f ca="1">COUNTIFS(INDIRECT("Table1[Beginn]"),"&lt;="&amp;AU$1,INDIRECT("Table1[Ende]"),"&gt;="&amp;AU$1,INDIRECT("Table1[Obergruppe ATC-Code]"),Tabelle3!$A3)</f>
        <v>16</v>
      </c>
      <c r="AV3">
        <f ca="1">COUNTIFS(INDIRECT("Table1[Beginn]"),"&lt;="&amp;AV$1,INDIRECT("Table1[Ende]"),"&gt;="&amp;AV$1,INDIRECT("Table1[Obergruppe ATC-Code]"),Tabelle3!$A3)</f>
        <v>16</v>
      </c>
      <c r="AW3">
        <f ca="1">COUNTIFS(INDIRECT("Table1[Beginn]"),"&lt;="&amp;AW$1,INDIRECT("Table1[Ende]"),"&gt;="&amp;AW$1,INDIRECT("Table1[Obergruppe ATC-Code]"),Tabelle3!$A3)</f>
        <v>16</v>
      </c>
      <c r="AX3">
        <f ca="1">COUNTIFS(INDIRECT("Table1[Beginn]"),"&lt;="&amp;AX$1,INDIRECT("Table1[Ende]"),"&gt;="&amp;AX$1,INDIRECT("Table1[Obergruppe ATC-Code]"),Tabelle3!$A3)</f>
        <v>14</v>
      </c>
      <c r="AY3">
        <f ca="1">COUNTIFS(INDIRECT("Table1[Beginn]"),"&lt;="&amp;AY$1,INDIRECT("Table1[Ende]"),"&gt;="&amp;AY$1,INDIRECT("Table1[Obergruppe ATC-Code]"),Tabelle3!$A3)</f>
        <v>13</v>
      </c>
      <c r="AZ3">
        <f ca="1">COUNTIFS(INDIRECT("Table1[Beginn]"),"&lt;="&amp;AZ$1,INDIRECT("Table1[Ende]"),"&gt;="&amp;AZ$1,INDIRECT("Table1[Obergruppe ATC-Code]"),Tabelle3!$A3)</f>
        <v>13</v>
      </c>
      <c r="BA3">
        <f ca="1">COUNTIFS(INDIRECT("Table1[Beginn]"),"&lt;="&amp;BA$1,INDIRECT("Table1[Ende]"),"&gt;="&amp;BA$1,INDIRECT("Table1[Obergruppe ATC-Code]"),Tabelle3!$A3)</f>
        <v>13</v>
      </c>
      <c r="BB3">
        <f ca="1">COUNTIFS(INDIRECT("Table1[Beginn]"),"&lt;="&amp;BB$1,INDIRECT("Table1[Ende]"),"&gt;="&amp;BB$1,INDIRECT("Table1[Obergruppe ATC-Code]"),Tabelle3!$A3)</f>
        <v>13</v>
      </c>
      <c r="BC3">
        <f ca="1">COUNTIFS(INDIRECT("Table1[Beginn]"),"&lt;="&amp;BC$1,INDIRECT("Table1[Ende]"),"&gt;="&amp;BC$1,INDIRECT("Table1[Obergruppe ATC-Code]"),Tabelle3!$A3)</f>
        <v>10</v>
      </c>
      <c r="BD3">
        <f ca="1">COUNTIFS(INDIRECT("Table1[Beginn]"),"&lt;="&amp;BD$1,INDIRECT("Table1[Ende]"),"&gt;="&amp;BD$1,INDIRECT("Table1[Obergruppe ATC-Code]"),Tabelle3!$A3)</f>
        <v>10</v>
      </c>
      <c r="BE3">
        <f ca="1">COUNTIFS(INDIRECT("Table1[Beginn]"),"&lt;="&amp;BE$1,INDIRECT("Table1[Ende]"),"&gt;="&amp;BE$1,INDIRECT("Table1[Obergruppe ATC-Code]"),Tabelle3!$A3)</f>
        <v>10</v>
      </c>
      <c r="BF3">
        <f ca="1">COUNTIFS(INDIRECT("Table1[Beginn]"),"&lt;="&amp;BF$1,INDIRECT("Table1[Ende]"),"&gt;="&amp;BF$1,INDIRECT("Table1[Obergruppe ATC-Code]"),Tabelle3!$A3)</f>
        <v>8</v>
      </c>
      <c r="BG3">
        <f ca="1">COUNTIFS(INDIRECT("Table1[Beginn]"),"&lt;="&amp;BG$1,INDIRECT("Table1[Ende]"),"&gt;="&amp;BG$1,INDIRECT("Table1[Obergruppe ATC-Code]"),Tabelle3!$A3)</f>
        <v>8</v>
      </c>
      <c r="BH3">
        <f ca="1">COUNTIFS(INDIRECT("Table1[Beginn]"),"&lt;="&amp;BH$1,INDIRECT("Table1[Ende]"),"&gt;="&amp;BH$1,INDIRECT("Table1[Obergruppe ATC-Code]"),Tabelle3!$A3)</f>
        <v>8</v>
      </c>
      <c r="BI3">
        <f ca="1">COUNTIFS(INDIRECT("Table1[Beginn]"),"&lt;="&amp;BI$1,INDIRECT("Table1[Ende]"),"&gt;="&amp;BI$1,INDIRECT("Table1[Obergruppe ATC-Code]"),Tabelle3!$A3)</f>
        <v>8</v>
      </c>
      <c r="BJ3">
        <f ca="1">COUNTIFS(INDIRECT("Table1[Beginn]"),"&lt;="&amp;BJ$1,INDIRECT("Table1[Ende]"),"&gt;="&amp;BJ$1,INDIRECT("Table1[Obergruppe ATC-Code]"),Tabelle3!$A3)</f>
        <v>8</v>
      </c>
      <c r="BK3">
        <f ca="1">COUNTIFS(INDIRECT("Table1[Beginn]"),"&lt;="&amp;BK$1,INDIRECT("Table1[Ende]"),"&gt;="&amp;BK$1,INDIRECT("Table1[Obergruppe ATC-Code]"),Tabelle3!$A3)</f>
        <v>8</v>
      </c>
      <c r="BL3">
        <f ca="1">COUNTIFS(INDIRECT("Table1[Beginn]"),"&lt;="&amp;BL$1,INDIRECT("Table1[Ende]"),"&gt;="&amp;BL$1,INDIRECT("Table1[Obergruppe ATC-Code]"),Tabelle3!$A3)</f>
        <v>8</v>
      </c>
      <c r="BM3">
        <f ca="1">COUNTIFS(INDIRECT("Table1[Beginn]"),"&lt;="&amp;BM$1,INDIRECT("Table1[Ende]"),"&gt;="&amp;BM$1,INDIRECT("Table1[Obergruppe ATC-Code]"),Tabelle3!$A3)</f>
        <v>8</v>
      </c>
      <c r="BN3">
        <f ca="1">COUNTIFS(INDIRECT("Table1[Beginn]"),"&lt;="&amp;BN$1,INDIRECT("Table1[Ende]"),"&gt;="&amp;BN$1,INDIRECT("Table1[Obergruppe ATC-Code]"),Tabelle3!$A3)</f>
        <v>8</v>
      </c>
      <c r="BO3">
        <f ca="1">COUNTIFS(INDIRECT("Table1[Beginn]"),"&lt;="&amp;BO$1,INDIRECT("Table1[Ende]"),"&gt;="&amp;BO$1,INDIRECT("Table1[Obergruppe ATC-Code]"),Tabelle3!$A3)</f>
        <v>8</v>
      </c>
      <c r="BP3">
        <f ca="1">COUNTIFS(INDIRECT("Table1[Beginn]"),"&lt;="&amp;BP$1,INDIRECT("Table1[Ende]"),"&gt;="&amp;BP$1,INDIRECT("Table1[Obergruppe ATC-Code]"),Tabelle3!$A3)</f>
        <v>10</v>
      </c>
      <c r="BQ3">
        <f ca="1">COUNTIFS(INDIRECT("Table1[Beginn]"),"&lt;="&amp;BQ$1,INDIRECT("Table1[Ende]"),"&gt;="&amp;BQ$1,INDIRECT("Table1[Obergruppe ATC-Code]"),Tabelle3!$A3)</f>
        <v>9</v>
      </c>
      <c r="BR3">
        <f ca="1">COUNTIFS(INDIRECT("Table1[Beginn]"),"&lt;="&amp;BR$1,INDIRECT("Table1[Ende]"),"&gt;="&amp;BR$1,INDIRECT("Table1[Obergruppe ATC-Code]"),Tabelle3!$A3)</f>
        <v>10</v>
      </c>
      <c r="BS3">
        <f ca="1">COUNTIFS(INDIRECT("Table1[Beginn]"),"&lt;="&amp;BS$1,INDIRECT("Table1[Ende]"),"&gt;="&amp;BS$1,INDIRECT("Table1[Obergruppe ATC-Code]"),Tabelle3!$A3)</f>
        <v>10</v>
      </c>
      <c r="BT3">
        <f ca="1">COUNTIFS(INDIRECT("Table1[Beginn]"),"&lt;="&amp;BT$1,INDIRECT("Table1[Ende]"),"&gt;="&amp;BT$1,INDIRECT("Table1[Obergruppe ATC-Code]"),Tabelle3!$A3)</f>
        <v>10</v>
      </c>
      <c r="BU3">
        <f ca="1">COUNTIFS(INDIRECT("Table1[Beginn]"),"&lt;="&amp;BU$1,INDIRECT("Table1[Ende]"),"&gt;="&amp;BU$1,INDIRECT("Table1[Obergruppe ATC-Code]"),Tabelle3!$A3)</f>
        <v>11</v>
      </c>
      <c r="BV3">
        <f ca="1">COUNTIFS(INDIRECT("Table1[Beginn]"),"&lt;="&amp;BV$1,INDIRECT("Table1[Ende]"),"&gt;="&amp;BV$1,INDIRECT("Table1[Obergruppe ATC-Code]"),Tabelle3!$A3)</f>
        <v>11</v>
      </c>
      <c r="BW3">
        <f ca="1">COUNTIFS(INDIRECT("Table1[Beginn]"),"&lt;="&amp;BW$1,INDIRECT("Table1[Ende]"),"&gt;="&amp;BW$1,INDIRECT("Table1[Obergruppe ATC-Code]"),Tabelle3!$A3)</f>
        <v>11</v>
      </c>
      <c r="BX3">
        <f ca="1">COUNTIFS(INDIRECT("Table1[Beginn]"),"&lt;="&amp;BX$1,INDIRECT("Table1[Ende]"),"&gt;="&amp;BX$1,INDIRECT("Table1[Obergruppe ATC-Code]"),Tabelle3!$A3)</f>
        <v>11</v>
      </c>
      <c r="BY3">
        <f ca="1">COUNTIFS(INDIRECT("Table1[Beginn]"),"&lt;="&amp;BY$1,INDIRECT("Table1[Ende]"),"&gt;="&amp;BY$1,INDIRECT("Table1[Obergruppe ATC-Code]"),Tabelle3!$A3)</f>
        <v>13</v>
      </c>
      <c r="BZ3">
        <f ca="1">COUNTIFS(INDIRECT("Table1[Beginn]"),"&lt;="&amp;BZ$1,INDIRECT("Table1[Ende]"),"&gt;="&amp;BZ$1,INDIRECT("Table1[Obergruppe ATC-Code]"),Tabelle3!$A3)</f>
        <v>12</v>
      </c>
      <c r="CA3">
        <f ca="1">COUNTIFS(INDIRECT("Table1[Beginn]"),"&lt;="&amp;CA$1,INDIRECT("Table1[Ende]"),"&gt;="&amp;CA$1,INDIRECT("Table1[Obergruppe ATC-Code]"),Tabelle3!$A3)</f>
        <v>12</v>
      </c>
      <c r="CB3">
        <f ca="1">COUNTIFS(INDIRECT("Table1[Beginn]"),"&lt;="&amp;CB$1,INDIRECT("Table1[Ende]"),"&gt;="&amp;CB$1,INDIRECT("Table1[Obergruppe ATC-Code]"),Tabelle3!$A3)</f>
        <v>10</v>
      </c>
      <c r="CC3">
        <f ca="1">COUNTIFS(INDIRECT("Table1[Beginn]"),"&lt;="&amp;CC$1,INDIRECT("Table1[Ende]"),"&gt;="&amp;CC$1,INDIRECT("Table1[Obergruppe ATC-Code]"),Tabelle3!$A3)</f>
        <v>7</v>
      </c>
      <c r="CD3">
        <f ca="1">COUNTIFS(INDIRECT("Table1[Beginn]"),"&lt;="&amp;CD$1,INDIRECT("Table1[Ende]"),"&gt;="&amp;CD$1,INDIRECT("Table1[Obergruppe ATC-Code]"),Tabelle3!$A3)</f>
        <v>9</v>
      </c>
      <c r="CE3">
        <f ca="1">COUNTIFS(INDIRECT("Table1[Beginn]"),"&lt;="&amp;CE$1,INDIRECT("Table1[Ende]"),"&gt;="&amp;CE$1,INDIRECT("Table1[Obergruppe ATC-Code]"),Tabelle3!$A3)</f>
        <v>9</v>
      </c>
      <c r="CF3">
        <f ca="1">COUNTIFS(INDIRECT("Table1[Beginn]"),"&lt;="&amp;CF$1,INDIRECT("Table1[Ende]"),"&gt;="&amp;CF$1,INDIRECT("Table1[Obergruppe ATC-Code]"),Tabelle3!$A3)</f>
        <v>10</v>
      </c>
      <c r="CG3">
        <f ca="1">COUNTIFS(INDIRECT("Table1[Beginn]"),"&lt;="&amp;CG$1,INDIRECT("Table1[Ende]"),"&gt;="&amp;CG$1,INDIRECT("Table1[Obergruppe ATC-Code]"),Tabelle3!$A3)</f>
        <v>7</v>
      </c>
      <c r="CH3">
        <f ca="1">COUNTIFS(INDIRECT("Table1[Beginn]"),"&lt;="&amp;CH$1,INDIRECT("Table1[Ende]"),"&gt;="&amp;CH$1,INDIRECT("Table1[Obergruppe ATC-Code]"),Tabelle3!$A3)</f>
        <v>7</v>
      </c>
      <c r="CI3">
        <f ca="1">COUNTIFS(INDIRECT("Table1[Beginn]"),"&lt;="&amp;CI$1,INDIRECT("Table1[Ende]"),"&gt;="&amp;CI$1,INDIRECT("Table1[Obergruppe ATC-Code]"),Tabelle3!$A3)</f>
        <v>5</v>
      </c>
      <c r="CJ3">
        <f ca="1">COUNTIFS(INDIRECT("Table1[Beginn]"),"&lt;="&amp;CJ$1,INDIRECT("Table1[Ende]"),"&gt;="&amp;CJ$1,INDIRECT("Table1[Obergruppe ATC-Code]"),Tabelle3!$A3)</f>
        <v>5</v>
      </c>
      <c r="CK3">
        <f ca="1">COUNTIFS(INDIRECT("Table1[Beginn]"),"&lt;="&amp;CK$1,INDIRECT("Table1[Ende]"),"&gt;="&amp;CK$1,INDIRECT("Table1[Obergruppe ATC-Code]"),Tabelle3!$A3)</f>
        <v>5</v>
      </c>
      <c r="CL3">
        <f ca="1">COUNTIFS(INDIRECT("Table1[Beginn]"),"&lt;="&amp;CL$1,INDIRECT("Table1[Ende]"),"&gt;="&amp;CL$1,INDIRECT("Table1[Obergruppe ATC-Code]"),Tabelle3!$A3)</f>
        <v>5</v>
      </c>
      <c r="CM3">
        <f ca="1">COUNTIFS(INDIRECT("Table1[Beginn]"),"&lt;="&amp;CM$1,INDIRECT("Table1[Ende]"),"&gt;="&amp;CM$1,INDIRECT("Table1[Obergruppe ATC-Code]"),Tabelle3!$A3)</f>
        <v>5</v>
      </c>
      <c r="CN3">
        <f ca="1">COUNTIFS(INDIRECT("Table1[Beginn]"),"&lt;="&amp;CN$1,INDIRECT("Table1[Ende]"),"&gt;="&amp;CN$1,INDIRECT("Table1[Obergruppe ATC-Code]"),Tabelle3!$A3)</f>
        <v>5</v>
      </c>
      <c r="CO3">
        <f ca="1">COUNTIFS(INDIRECT("Table1[Beginn]"),"&lt;="&amp;CO$1,INDIRECT("Table1[Ende]"),"&gt;="&amp;CO$1,INDIRECT("Table1[Obergruppe ATC-Code]"),Tabelle3!$A3)</f>
        <v>0</v>
      </c>
      <c r="CP3">
        <f ca="1">COUNTIFS(INDIRECT("Table1[Beginn]"),"&lt;="&amp;CP$1,INDIRECT("Table1[Ende]"),"&gt;="&amp;CP$1,INDIRECT("Table1[Obergruppe ATC-Code]"),Tabelle3!$A3)</f>
        <v>0</v>
      </c>
      <c r="CQ3">
        <f ca="1">COUNTIFS(INDIRECT("Table1[Beginn]"),"&lt;="&amp;CQ$1,INDIRECT("Table1[Ende]"),"&gt;="&amp;CQ$1,INDIRECT("Table1[Obergruppe ATC-Code]"),Tabelle3!$A3)</f>
        <v>0</v>
      </c>
      <c r="CR3">
        <f ca="1">COUNTIFS(INDIRECT("Table1[Beginn]"),"&lt;="&amp;CR$1,INDIRECT("Table1[Ende]"),"&gt;="&amp;CR$1,INDIRECT("Table1[Obergruppe ATC-Code]"),Tabelle3!$A3)</f>
        <v>0</v>
      </c>
      <c r="CS3">
        <f ca="1">COUNTIFS(INDIRECT("Table1[Beginn]"),"&lt;="&amp;CS$1,INDIRECT("Table1[Ende]"),"&gt;="&amp;CS$1,INDIRECT("Table1[Obergruppe ATC-Code]"),Tabelle3!$A3)</f>
        <v>0</v>
      </c>
      <c r="CT3">
        <f ca="1">COUNTIFS(INDIRECT("Table1[Beginn]"),"&lt;="&amp;CT$1,INDIRECT("Table1[Ende]"),"&gt;="&amp;CT$1,INDIRECT("Table1[Obergruppe ATC-Code]"),Tabelle3!$A3)</f>
        <v>0</v>
      </c>
      <c r="CU3" s="54"/>
      <c r="CV3" s="54"/>
      <c r="CW3" s="54"/>
      <c r="CX3" s="54"/>
      <c r="CY3" s="54"/>
      <c r="CZ3" s="54"/>
      <c r="DA3" s="54"/>
      <c r="DB3" s="54"/>
      <c r="DC3" s="54"/>
      <c r="DD3" s="54"/>
      <c r="DE3" s="54"/>
      <c r="DF3" s="54"/>
      <c r="DG3" s="54"/>
      <c r="DH3" s="54"/>
    </row>
    <row r="4" spans="1:112" ht="18" customHeight="1">
      <c r="A4" s="7" t="s">
        <v>6776</v>
      </c>
      <c r="B4" s="8" t="s">
        <v>6777</v>
      </c>
      <c r="C4">
        <f ca="1">COUNTIFS(INDIRECT("Table1[Beginn]"),"&lt;="&amp;C$1,INDIRECT("Table1[Ende]"),"&gt;="&amp;C$1,INDIRECT("Table1[Obergruppe ATC-Code]"),Tabelle3!$A4)</f>
        <v>0</v>
      </c>
      <c r="D4">
        <f ca="1">COUNTIFS(INDIRECT("Table1[Beginn]"),"&lt;="&amp;D$1,INDIRECT("Table1[Ende]"),"&gt;="&amp;D$1,INDIRECT("Table1[Obergruppe ATC-Code]"),Tabelle3!$A4)</f>
        <v>0</v>
      </c>
      <c r="E4">
        <f ca="1">COUNTIFS(INDIRECT("Table1[Beginn]"),"&lt;="&amp;E$1,INDIRECT("Table1[Ende]"),"&gt;="&amp;E$1,INDIRECT("Table1[Obergruppe ATC-Code]"),Tabelle3!$A4)</f>
        <v>0</v>
      </c>
      <c r="F4">
        <f ca="1">COUNTIFS(INDIRECT("Table1[Beginn]"),"&lt;="&amp;F$1,INDIRECT("Table1[Ende]"),"&gt;="&amp;F$1,INDIRECT("Table1[Obergruppe ATC-Code]"),Tabelle3!$A4)</f>
        <v>0</v>
      </c>
      <c r="G4">
        <f ca="1">COUNTIFS(INDIRECT("Table1[Beginn]"),"&lt;="&amp;G$1,INDIRECT("Table1[Ende]"),"&gt;="&amp;G$1,INDIRECT("Table1[Obergruppe ATC-Code]"),Tabelle3!$A4)</f>
        <v>0</v>
      </c>
      <c r="H4">
        <f ca="1">COUNTIFS(INDIRECT("Table1[Beginn]"),"&lt;="&amp;H$1,INDIRECT("Table1[Ende]"),"&gt;="&amp;H$1,INDIRECT("Table1[Obergruppe ATC-Code]"),Tabelle3!$A4)</f>
        <v>0</v>
      </c>
      <c r="I4">
        <f ca="1">COUNTIFS(INDIRECT("Table1[Beginn]"),"&lt;="&amp;I$1,INDIRECT("Table1[Ende]"),"&gt;="&amp;I$1,INDIRECT("Table1[Obergruppe ATC-Code]"),Tabelle3!$A4)</f>
        <v>0</v>
      </c>
      <c r="J4">
        <f ca="1">COUNTIFS(INDIRECT("Table1[Beginn]"),"&lt;="&amp;J$1,INDIRECT("Table1[Ende]"),"&gt;="&amp;J$1,INDIRECT("Table1[Obergruppe ATC-Code]"),Tabelle3!$A4)</f>
        <v>0</v>
      </c>
      <c r="K4">
        <f ca="1">COUNTIFS(INDIRECT("Table1[Beginn]"),"&lt;="&amp;K$1,INDIRECT("Table1[Ende]"),"&gt;="&amp;K$1,INDIRECT("Table1[Obergruppe ATC-Code]"),Tabelle3!$A4)</f>
        <v>0</v>
      </c>
      <c r="L4">
        <f ca="1">COUNTIFS(INDIRECT("Table1[Beginn]"),"&lt;="&amp;L$1,INDIRECT("Table1[Ende]"),"&gt;="&amp;L$1,INDIRECT("Table1[Obergruppe ATC-Code]"),Tabelle3!$A4)</f>
        <v>0</v>
      </c>
      <c r="M4">
        <f ca="1">COUNTIFS(INDIRECT("Table1[Beginn]"),"&lt;="&amp;M$1,INDIRECT("Table1[Ende]"),"&gt;="&amp;M$1,INDIRECT("Table1[Obergruppe ATC-Code]"),Tabelle3!$A4)</f>
        <v>0</v>
      </c>
      <c r="N4">
        <f ca="1">COUNTIFS(INDIRECT("Table1[Beginn]"),"&lt;="&amp;N$1,INDIRECT("Table1[Ende]"),"&gt;="&amp;N$1,INDIRECT("Table1[Obergruppe ATC-Code]"),Tabelle3!$A4)</f>
        <v>0</v>
      </c>
      <c r="O4">
        <f ca="1">COUNTIFS(INDIRECT("Table1[Beginn]"),"&lt;="&amp;O$1,INDIRECT("Table1[Ende]"),"&gt;="&amp;O$1,INDIRECT("Table1[Obergruppe ATC-Code]"),Tabelle3!$A4)</f>
        <v>0</v>
      </c>
      <c r="P4">
        <f ca="1">COUNTIFS(INDIRECT("Table1[Beginn]"),"&lt;="&amp;P$1,INDIRECT("Table1[Ende]"),"&gt;="&amp;P$1,INDIRECT("Table1[Obergruppe ATC-Code]"),Tabelle3!$A4)</f>
        <v>0</v>
      </c>
      <c r="Q4">
        <f ca="1">COUNTIFS(INDIRECT("Table1[Beginn]"),"&lt;="&amp;Q$1,INDIRECT("Table1[Ende]"),"&gt;="&amp;Q$1,INDIRECT("Table1[Obergruppe ATC-Code]"),Tabelle3!$A4)</f>
        <v>0</v>
      </c>
      <c r="R4">
        <f ca="1">COUNTIFS(INDIRECT("Table1[Beginn]"),"&lt;="&amp;R$1,INDIRECT("Table1[Ende]"),"&gt;="&amp;R$1,INDIRECT("Table1[Obergruppe ATC-Code]"),Tabelle3!$A4)</f>
        <v>0</v>
      </c>
      <c r="S4">
        <f ca="1">COUNTIFS(INDIRECT("Table1[Beginn]"),"&lt;="&amp;S$1,INDIRECT("Table1[Ende]"),"&gt;="&amp;S$1,INDIRECT("Table1[Obergruppe ATC-Code]"),Tabelle3!$A4)</f>
        <v>0</v>
      </c>
      <c r="T4">
        <f ca="1">COUNTIFS(INDIRECT("Table1[Beginn]"),"&lt;="&amp;T$1,INDIRECT("Table1[Ende]"),"&gt;="&amp;T$1,INDIRECT("Table1[Obergruppe ATC-Code]"),Tabelle3!$A4)</f>
        <v>0</v>
      </c>
      <c r="U4">
        <f ca="1">COUNTIFS(INDIRECT("Table1[Beginn]"),"&lt;="&amp;U$1,INDIRECT("Table1[Ende]"),"&gt;="&amp;U$1,INDIRECT("Table1[Obergruppe ATC-Code]"),Tabelle3!$A4)</f>
        <v>0</v>
      </c>
      <c r="V4">
        <f ca="1">COUNTIFS(INDIRECT("Table1[Beginn]"),"&lt;="&amp;V$1,INDIRECT("Table1[Ende]"),"&gt;="&amp;V$1,INDIRECT("Table1[Obergruppe ATC-Code]"),Tabelle3!$A4)</f>
        <v>0</v>
      </c>
      <c r="W4">
        <f ca="1">COUNTIFS(INDIRECT("Table1[Beginn]"),"&lt;="&amp;W$1,INDIRECT("Table1[Ende]"),"&gt;="&amp;W$1,INDIRECT("Table1[Obergruppe ATC-Code]"),Tabelle3!$A4)</f>
        <v>0</v>
      </c>
      <c r="X4">
        <f ca="1">COUNTIFS(INDIRECT("Table1[Beginn]"),"&lt;="&amp;X$1,INDIRECT("Table1[Ende]"),"&gt;="&amp;X$1,INDIRECT("Table1[Obergruppe ATC-Code]"),Tabelle3!$A4)</f>
        <v>0</v>
      </c>
      <c r="Y4">
        <f ca="1">COUNTIFS(INDIRECT("Table1[Beginn]"),"&lt;="&amp;Y$1,INDIRECT("Table1[Ende]"),"&gt;="&amp;Y$1,INDIRECT("Table1[Obergruppe ATC-Code]"),Tabelle3!$A4)</f>
        <v>0</v>
      </c>
      <c r="Z4">
        <f ca="1">COUNTIFS(INDIRECT("Table1[Beginn]"),"&lt;="&amp;Z$1,INDIRECT("Table1[Ende]"),"&gt;="&amp;Z$1,INDIRECT("Table1[Obergruppe ATC-Code]"),Tabelle3!$A4)</f>
        <v>0</v>
      </c>
      <c r="AA4">
        <f ca="1">COUNTIFS(INDIRECT("Table1[Beginn]"),"&lt;="&amp;AA$1,INDIRECT("Table1[Ende]"),"&gt;="&amp;AA$1,INDIRECT("Table1[Obergruppe ATC-Code]"),Tabelle3!$A4)</f>
        <v>0</v>
      </c>
      <c r="AB4">
        <f ca="1">COUNTIFS(INDIRECT("Table1[Beginn]"),"&lt;="&amp;AB$1,INDIRECT("Table1[Ende]"),"&gt;="&amp;AB$1,INDIRECT("Table1[Obergruppe ATC-Code]"),Tabelle3!$A4)</f>
        <v>0</v>
      </c>
      <c r="AC4">
        <f ca="1">COUNTIFS(INDIRECT("Table1[Beginn]"),"&lt;="&amp;AC$1,INDIRECT("Table1[Ende]"),"&gt;="&amp;AC$1,INDIRECT("Table1[Obergruppe ATC-Code]"),Tabelle3!$A4)</f>
        <v>0</v>
      </c>
      <c r="AD4">
        <f ca="1">COUNTIFS(INDIRECT("Table1[Beginn]"),"&lt;="&amp;AD$1,INDIRECT("Table1[Ende]"),"&gt;="&amp;AD$1,INDIRECT("Table1[Obergruppe ATC-Code]"),Tabelle3!$A4)</f>
        <v>0</v>
      </c>
      <c r="AE4">
        <f ca="1">COUNTIFS(INDIRECT("Table1[Beginn]"),"&lt;="&amp;AE$1,INDIRECT("Table1[Ende]"),"&gt;="&amp;AE$1,INDIRECT("Table1[Obergruppe ATC-Code]"),Tabelle3!$A4)</f>
        <v>0</v>
      </c>
      <c r="AF4">
        <f ca="1">COUNTIFS(INDIRECT("Table1[Beginn]"),"&lt;="&amp;AF$1,INDIRECT("Table1[Ende]"),"&gt;="&amp;AF$1,INDIRECT("Table1[Obergruppe ATC-Code]"),Tabelle3!$A4)</f>
        <v>0</v>
      </c>
      <c r="AG4">
        <f ca="1">COUNTIFS(INDIRECT("Table1[Beginn]"),"&lt;="&amp;AG$1,INDIRECT("Table1[Ende]"),"&gt;="&amp;AG$1,INDIRECT("Table1[Obergruppe ATC-Code]"),Tabelle3!$A4)</f>
        <v>0</v>
      </c>
      <c r="AH4">
        <f ca="1">COUNTIFS(INDIRECT("Table1[Beginn]"),"&lt;="&amp;AH$1,INDIRECT("Table1[Ende]"),"&gt;="&amp;AH$1,INDIRECT("Table1[Obergruppe ATC-Code]"),Tabelle3!$A4)</f>
        <v>0</v>
      </c>
      <c r="AI4">
        <f ca="1">COUNTIFS(INDIRECT("Table1[Beginn]"),"&lt;="&amp;AI$1,INDIRECT("Table1[Ende]"),"&gt;="&amp;AI$1,INDIRECT("Table1[Obergruppe ATC-Code]"),Tabelle3!$A4)</f>
        <v>0</v>
      </c>
      <c r="AJ4">
        <f ca="1">COUNTIFS(INDIRECT("Table1[Beginn]"),"&lt;="&amp;AJ$1,INDIRECT("Table1[Ende]"),"&gt;="&amp;AJ$1,INDIRECT("Table1[Obergruppe ATC-Code]"),Tabelle3!$A4)</f>
        <v>0</v>
      </c>
      <c r="AK4">
        <f ca="1">COUNTIFS(INDIRECT("Table1[Beginn]"),"&lt;="&amp;AK$1,INDIRECT("Table1[Ende]"),"&gt;="&amp;AK$1,INDIRECT("Table1[Obergruppe ATC-Code]"),Tabelle3!$A4)</f>
        <v>0</v>
      </c>
      <c r="AL4">
        <f ca="1">COUNTIFS(INDIRECT("Table1[Beginn]"),"&lt;="&amp;AL$1,INDIRECT("Table1[Ende]"),"&gt;="&amp;AL$1,INDIRECT("Table1[Obergruppe ATC-Code]"),Tabelle3!$A4)</f>
        <v>0</v>
      </c>
      <c r="AM4">
        <f ca="1">COUNTIFS(INDIRECT("Table1[Beginn]"),"&lt;="&amp;AM$1,INDIRECT("Table1[Ende]"),"&gt;="&amp;AM$1,INDIRECT("Table1[Obergruppe ATC-Code]"),Tabelle3!$A4)</f>
        <v>1</v>
      </c>
      <c r="AN4">
        <f ca="1">COUNTIFS(INDIRECT("Table1[Beginn]"),"&lt;="&amp;AN$1,INDIRECT("Table1[Ende]"),"&gt;="&amp;AN$1,INDIRECT("Table1[Obergruppe ATC-Code]"),Tabelle3!$A4)</f>
        <v>1</v>
      </c>
      <c r="AO4">
        <f ca="1">COUNTIFS(INDIRECT("Table1[Beginn]"),"&lt;="&amp;AO$1,INDIRECT("Table1[Ende]"),"&gt;="&amp;AO$1,INDIRECT("Table1[Obergruppe ATC-Code]"),Tabelle3!$A4)</f>
        <v>1</v>
      </c>
      <c r="AP4">
        <f ca="1">COUNTIFS(INDIRECT("Table1[Beginn]"),"&lt;="&amp;AP$1,INDIRECT("Table1[Ende]"),"&gt;="&amp;AP$1,INDIRECT("Table1[Obergruppe ATC-Code]"),Tabelle3!$A4)</f>
        <v>1</v>
      </c>
      <c r="AQ4">
        <f ca="1">COUNTIFS(INDIRECT("Table1[Beginn]"),"&lt;="&amp;AQ$1,INDIRECT("Table1[Ende]"),"&gt;="&amp;AQ$1,INDIRECT("Table1[Obergruppe ATC-Code]"),Tabelle3!$A4)</f>
        <v>1</v>
      </c>
      <c r="AR4">
        <f ca="1">COUNTIFS(INDIRECT("Table1[Beginn]"),"&lt;="&amp;AR$1,INDIRECT("Table1[Ende]"),"&gt;="&amp;AR$1,INDIRECT("Table1[Obergruppe ATC-Code]"),Tabelle3!$A4)</f>
        <v>1</v>
      </c>
      <c r="AS4">
        <f ca="1">COUNTIFS(INDIRECT("Table1[Beginn]"),"&lt;="&amp;AS$1,INDIRECT("Table1[Ende]"),"&gt;="&amp;AS$1,INDIRECT("Table1[Obergruppe ATC-Code]"),Tabelle3!$A4)</f>
        <v>1</v>
      </c>
      <c r="AT4">
        <f ca="1">COUNTIFS(INDIRECT("Table1[Beginn]"),"&lt;="&amp;AT$1,INDIRECT("Table1[Ende]"),"&gt;="&amp;AT$1,INDIRECT("Table1[Obergruppe ATC-Code]"),Tabelle3!$A4)</f>
        <v>1</v>
      </c>
      <c r="AU4">
        <f ca="1">COUNTIFS(INDIRECT("Table1[Beginn]"),"&lt;="&amp;AU$1,INDIRECT("Table1[Ende]"),"&gt;="&amp;AU$1,INDIRECT("Table1[Obergruppe ATC-Code]"),Tabelle3!$A4)</f>
        <v>1</v>
      </c>
      <c r="AV4">
        <f ca="1">COUNTIFS(INDIRECT("Table1[Beginn]"),"&lt;="&amp;AV$1,INDIRECT("Table1[Ende]"),"&gt;="&amp;AV$1,INDIRECT("Table1[Obergruppe ATC-Code]"),Tabelle3!$A4)</f>
        <v>1</v>
      </c>
      <c r="AW4">
        <f ca="1">COUNTIFS(INDIRECT("Table1[Beginn]"),"&lt;="&amp;AW$1,INDIRECT("Table1[Ende]"),"&gt;="&amp;AW$1,INDIRECT("Table1[Obergruppe ATC-Code]"),Tabelle3!$A4)</f>
        <v>1</v>
      </c>
      <c r="AX4">
        <f ca="1">COUNTIFS(INDIRECT("Table1[Beginn]"),"&lt;="&amp;AX$1,INDIRECT("Table1[Ende]"),"&gt;="&amp;AX$1,INDIRECT("Table1[Obergruppe ATC-Code]"),Tabelle3!$A4)</f>
        <v>1</v>
      </c>
      <c r="AY4">
        <f ca="1">COUNTIFS(INDIRECT("Table1[Beginn]"),"&lt;="&amp;AY$1,INDIRECT("Table1[Ende]"),"&gt;="&amp;AY$1,INDIRECT("Table1[Obergruppe ATC-Code]"),Tabelle3!$A4)</f>
        <v>1</v>
      </c>
      <c r="AZ4">
        <f ca="1">COUNTIFS(INDIRECT("Table1[Beginn]"),"&lt;="&amp;AZ$1,INDIRECT("Table1[Ende]"),"&gt;="&amp;AZ$1,INDIRECT("Table1[Obergruppe ATC-Code]"),Tabelle3!$A4)</f>
        <v>1</v>
      </c>
      <c r="BA4">
        <f ca="1">COUNTIFS(INDIRECT("Table1[Beginn]"),"&lt;="&amp;BA$1,INDIRECT("Table1[Ende]"),"&gt;="&amp;BA$1,INDIRECT("Table1[Obergruppe ATC-Code]"),Tabelle3!$A4)</f>
        <v>2</v>
      </c>
      <c r="BB4">
        <f ca="1">COUNTIFS(INDIRECT("Table1[Beginn]"),"&lt;="&amp;BB$1,INDIRECT("Table1[Ende]"),"&gt;="&amp;BB$1,INDIRECT("Table1[Obergruppe ATC-Code]"),Tabelle3!$A4)</f>
        <v>2</v>
      </c>
      <c r="BC4">
        <f ca="1">COUNTIFS(INDIRECT("Table1[Beginn]"),"&lt;="&amp;BC$1,INDIRECT("Table1[Ende]"),"&gt;="&amp;BC$1,INDIRECT("Table1[Obergruppe ATC-Code]"),Tabelle3!$A4)</f>
        <v>2</v>
      </c>
      <c r="BD4">
        <f ca="1">COUNTIFS(INDIRECT("Table1[Beginn]"),"&lt;="&amp;BD$1,INDIRECT("Table1[Ende]"),"&gt;="&amp;BD$1,INDIRECT("Table1[Obergruppe ATC-Code]"),Tabelle3!$A4)</f>
        <v>2</v>
      </c>
      <c r="BE4">
        <f ca="1">COUNTIFS(INDIRECT("Table1[Beginn]"),"&lt;="&amp;BE$1,INDIRECT("Table1[Ende]"),"&gt;="&amp;BE$1,INDIRECT("Table1[Obergruppe ATC-Code]"),Tabelle3!$A4)</f>
        <v>3</v>
      </c>
      <c r="BF4">
        <f ca="1">COUNTIFS(INDIRECT("Table1[Beginn]"),"&lt;="&amp;BF$1,INDIRECT("Table1[Ende]"),"&gt;="&amp;BF$1,INDIRECT("Table1[Obergruppe ATC-Code]"),Tabelle3!$A4)</f>
        <v>2</v>
      </c>
      <c r="BG4">
        <f ca="1">COUNTIFS(INDIRECT("Table1[Beginn]"),"&lt;="&amp;BG$1,INDIRECT("Table1[Ende]"),"&gt;="&amp;BG$1,INDIRECT("Table1[Obergruppe ATC-Code]"),Tabelle3!$A4)</f>
        <v>1</v>
      </c>
      <c r="BH4">
        <f ca="1">COUNTIFS(INDIRECT("Table1[Beginn]"),"&lt;="&amp;BH$1,INDIRECT("Table1[Ende]"),"&gt;="&amp;BH$1,INDIRECT("Table1[Obergruppe ATC-Code]"),Tabelle3!$A4)</f>
        <v>1</v>
      </c>
      <c r="BI4">
        <f ca="1">COUNTIFS(INDIRECT("Table1[Beginn]"),"&lt;="&amp;BI$1,INDIRECT("Table1[Ende]"),"&gt;="&amp;BI$1,INDIRECT("Table1[Obergruppe ATC-Code]"),Tabelle3!$A4)</f>
        <v>2</v>
      </c>
      <c r="BJ4">
        <f ca="1">COUNTIFS(INDIRECT("Table1[Beginn]"),"&lt;="&amp;BJ$1,INDIRECT("Table1[Ende]"),"&gt;="&amp;BJ$1,INDIRECT("Table1[Obergruppe ATC-Code]"),Tabelle3!$A4)</f>
        <v>2</v>
      </c>
      <c r="BK4">
        <f ca="1">COUNTIFS(INDIRECT("Table1[Beginn]"),"&lt;="&amp;BK$1,INDIRECT("Table1[Ende]"),"&gt;="&amp;BK$1,INDIRECT("Table1[Obergruppe ATC-Code]"),Tabelle3!$A4)</f>
        <v>2</v>
      </c>
      <c r="BL4">
        <f ca="1">COUNTIFS(INDIRECT("Table1[Beginn]"),"&lt;="&amp;BL$1,INDIRECT("Table1[Ende]"),"&gt;="&amp;BL$1,INDIRECT("Table1[Obergruppe ATC-Code]"),Tabelle3!$A4)</f>
        <v>2</v>
      </c>
      <c r="BM4">
        <f ca="1">COUNTIFS(INDIRECT("Table1[Beginn]"),"&lt;="&amp;BM$1,INDIRECT("Table1[Ende]"),"&gt;="&amp;BM$1,INDIRECT("Table1[Obergruppe ATC-Code]"),Tabelle3!$A4)</f>
        <v>2</v>
      </c>
      <c r="BN4">
        <f ca="1">COUNTIFS(INDIRECT("Table1[Beginn]"),"&lt;="&amp;BN$1,INDIRECT("Table1[Ende]"),"&gt;="&amp;BN$1,INDIRECT("Table1[Obergruppe ATC-Code]"),Tabelle3!$A4)</f>
        <v>2</v>
      </c>
      <c r="BO4">
        <f ca="1">COUNTIFS(INDIRECT("Table1[Beginn]"),"&lt;="&amp;BO$1,INDIRECT("Table1[Ende]"),"&gt;="&amp;BO$1,INDIRECT("Table1[Obergruppe ATC-Code]"),Tabelle3!$A4)</f>
        <v>2</v>
      </c>
      <c r="BP4">
        <f ca="1">COUNTIFS(INDIRECT("Table1[Beginn]"),"&lt;="&amp;BP$1,INDIRECT("Table1[Ende]"),"&gt;="&amp;BP$1,INDIRECT("Table1[Obergruppe ATC-Code]"),Tabelle3!$A4)</f>
        <v>2</v>
      </c>
      <c r="BQ4">
        <f ca="1">COUNTIFS(INDIRECT("Table1[Beginn]"),"&lt;="&amp;BQ$1,INDIRECT("Table1[Ende]"),"&gt;="&amp;BQ$1,INDIRECT("Table1[Obergruppe ATC-Code]"),Tabelle3!$A4)</f>
        <v>1</v>
      </c>
      <c r="BR4">
        <f ca="1">COUNTIFS(INDIRECT("Table1[Beginn]"),"&lt;="&amp;BR$1,INDIRECT("Table1[Ende]"),"&gt;="&amp;BR$1,INDIRECT("Table1[Obergruppe ATC-Code]"),Tabelle3!$A4)</f>
        <v>0</v>
      </c>
      <c r="BS4">
        <f ca="1">COUNTIFS(INDIRECT("Table1[Beginn]"),"&lt;="&amp;BS$1,INDIRECT("Table1[Ende]"),"&gt;="&amp;BS$1,INDIRECT("Table1[Obergruppe ATC-Code]"),Tabelle3!$A4)</f>
        <v>0</v>
      </c>
      <c r="BT4">
        <f ca="1">COUNTIFS(INDIRECT("Table1[Beginn]"),"&lt;="&amp;BT$1,INDIRECT("Table1[Ende]"),"&gt;="&amp;BT$1,INDIRECT("Table1[Obergruppe ATC-Code]"),Tabelle3!$A4)</f>
        <v>0</v>
      </c>
      <c r="BU4">
        <f ca="1">COUNTIFS(INDIRECT("Table1[Beginn]"),"&lt;="&amp;BU$1,INDIRECT("Table1[Ende]"),"&gt;="&amp;BU$1,INDIRECT("Table1[Obergruppe ATC-Code]"),Tabelle3!$A4)</f>
        <v>0</v>
      </c>
      <c r="BV4">
        <f ca="1">COUNTIFS(INDIRECT("Table1[Beginn]"),"&lt;="&amp;BV$1,INDIRECT("Table1[Ende]"),"&gt;="&amp;BV$1,INDIRECT("Table1[Obergruppe ATC-Code]"),Tabelle3!$A4)</f>
        <v>0</v>
      </c>
      <c r="BW4">
        <f ca="1">COUNTIFS(INDIRECT("Table1[Beginn]"),"&lt;="&amp;BW$1,INDIRECT("Table1[Ende]"),"&gt;="&amp;BW$1,INDIRECT("Table1[Obergruppe ATC-Code]"),Tabelle3!$A4)</f>
        <v>0</v>
      </c>
      <c r="BX4">
        <f ca="1">COUNTIFS(INDIRECT("Table1[Beginn]"),"&lt;="&amp;BX$1,INDIRECT("Table1[Ende]"),"&gt;="&amp;BX$1,INDIRECT("Table1[Obergruppe ATC-Code]"),Tabelle3!$A4)</f>
        <v>0</v>
      </c>
      <c r="BY4">
        <f ca="1">COUNTIFS(INDIRECT("Table1[Beginn]"),"&lt;="&amp;BY$1,INDIRECT("Table1[Ende]"),"&gt;="&amp;BY$1,INDIRECT("Table1[Obergruppe ATC-Code]"),Tabelle3!$A4)</f>
        <v>0</v>
      </c>
      <c r="BZ4">
        <f ca="1">COUNTIFS(INDIRECT("Table1[Beginn]"),"&lt;="&amp;BZ$1,INDIRECT("Table1[Ende]"),"&gt;="&amp;BZ$1,INDIRECT("Table1[Obergruppe ATC-Code]"),Tabelle3!$A4)</f>
        <v>2</v>
      </c>
      <c r="CA4">
        <f ca="1">COUNTIFS(INDIRECT("Table1[Beginn]"),"&lt;="&amp;CA$1,INDIRECT("Table1[Ende]"),"&gt;="&amp;CA$1,INDIRECT("Table1[Obergruppe ATC-Code]"),Tabelle3!$A4)</f>
        <v>2</v>
      </c>
      <c r="CB4">
        <f ca="1">COUNTIFS(INDIRECT("Table1[Beginn]"),"&lt;="&amp;CB$1,INDIRECT("Table1[Ende]"),"&gt;="&amp;CB$1,INDIRECT("Table1[Obergruppe ATC-Code]"),Tabelle3!$A4)</f>
        <v>2</v>
      </c>
      <c r="CC4">
        <f ca="1">COUNTIFS(INDIRECT("Table1[Beginn]"),"&lt;="&amp;CC$1,INDIRECT("Table1[Ende]"),"&gt;="&amp;CC$1,INDIRECT("Table1[Obergruppe ATC-Code]"),Tabelle3!$A4)</f>
        <v>2</v>
      </c>
      <c r="CD4">
        <f ca="1">COUNTIFS(INDIRECT("Table1[Beginn]"),"&lt;="&amp;CD$1,INDIRECT("Table1[Ende]"),"&gt;="&amp;CD$1,INDIRECT("Table1[Obergruppe ATC-Code]"),Tabelle3!$A4)</f>
        <v>3</v>
      </c>
      <c r="CE4">
        <f ca="1">COUNTIFS(INDIRECT("Table1[Beginn]"),"&lt;="&amp;CE$1,INDIRECT("Table1[Ende]"),"&gt;="&amp;CE$1,INDIRECT("Table1[Obergruppe ATC-Code]"),Tabelle3!$A4)</f>
        <v>2</v>
      </c>
      <c r="CF4">
        <f ca="1">COUNTIFS(INDIRECT("Table1[Beginn]"),"&lt;="&amp;CF$1,INDIRECT("Table1[Ende]"),"&gt;="&amp;CF$1,INDIRECT("Table1[Obergruppe ATC-Code]"),Tabelle3!$A4)</f>
        <v>2</v>
      </c>
      <c r="CG4">
        <f ca="1">COUNTIFS(INDIRECT("Table1[Beginn]"),"&lt;="&amp;CG$1,INDIRECT("Table1[Ende]"),"&gt;="&amp;CG$1,INDIRECT("Table1[Obergruppe ATC-Code]"),Tabelle3!$A4)</f>
        <v>1</v>
      </c>
      <c r="CH4">
        <f ca="1">COUNTIFS(INDIRECT("Table1[Beginn]"),"&lt;="&amp;CH$1,INDIRECT("Table1[Ende]"),"&gt;="&amp;CH$1,INDIRECT("Table1[Obergruppe ATC-Code]"),Tabelle3!$A4)</f>
        <v>1</v>
      </c>
      <c r="CI4">
        <f ca="1">COUNTIFS(INDIRECT("Table1[Beginn]"),"&lt;="&amp;CI$1,INDIRECT("Table1[Ende]"),"&gt;="&amp;CI$1,INDIRECT("Table1[Obergruppe ATC-Code]"),Tabelle3!$A4)</f>
        <v>0</v>
      </c>
      <c r="CJ4">
        <f ca="1">COUNTIFS(INDIRECT("Table1[Beginn]"),"&lt;="&amp;CJ$1,INDIRECT("Table1[Ende]"),"&gt;="&amp;CJ$1,INDIRECT("Table1[Obergruppe ATC-Code]"),Tabelle3!$A4)</f>
        <v>0</v>
      </c>
      <c r="CK4">
        <f ca="1">COUNTIFS(INDIRECT("Table1[Beginn]"),"&lt;="&amp;CK$1,INDIRECT("Table1[Ende]"),"&gt;="&amp;CK$1,INDIRECT("Table1[Obergruppe ATC-Code]"),Tabelle3!$A4)</f>
        <v>0</v>
      </c>
      <c r="CL4">
        <f ca="1">COUNTIFS(INDIRECT("Table1[Beginn]"),"&lt;="&amp;CL$1,INDIRECT("Table1[Ende]"),"&gt;="&amp;CL$1,INDIRECT("Table1[Obergruppe ATC-Code]"),Tabelle3!$A4)</f>
        <v>0</v>
      </c>
      <c r="CM4">
        <f ca="1">COUNTIFS(INDIRECT("Table1[Beginn]"),"&lt;="&amp;CM$1,INDIRECT("Table1[Ende]"),"&gt;="&amp;CM$1,INDIRECT("Table1[Obergruppe ATC-Code]"),Tabelle3!$A4)</f>
        <v>0</v>
      </c>
      <c r="CN4">
        <f ca="1">COUNTIFS(INDIRECT("Table1[Beginn]"),"&lt;="&amp;CN$1,INDIRECT("Table1[Ende]"),"&gt;="&amp;CN$1,INDIRECT("Table1[Obergruppe ATC-Code]"),Tabelle3!$A4)</f>
        <v>0</v>
      </c>
      <c r="CO4">
        <f ca="1">COUNTIFS(INDIRECT("Table1[Beginn]"),"&lt;="&amp;CO$1,INDIRECT("Table1[Ende]"),"&gt;="&amp;CO$1,INDIRECT("Table1[Obergruppe ATC-Code]"),Tabelle3!$A4)</f>
        <v>0</v>
      </c>
      <c r="CP4">
        <f ca="1">COUNTIFS(INDIRECT("Table1[Beginn]"),"&lt;="&amp;CP$1,INDIRECT("Table1[Ende]"),"&gt;="&amp;CP$1,INDIRECT("Table1[Obergruppe ATC-Code]"),Tabelle3!$A4)</f>
        <v>0</v>
      </c>
      <c r="CQ4">
        <f ca="1">COUNTIFS(INDIRECT("Table1[Beginn]"),"&lt;="&amp;CQ$1,INDIRECT("Table1[Ende]"),"&gt;="&amp;CQ$1,INDIRECT("Table1[Obergruppe ATC-Code]"),Tabelle3!$A4)</f>
        <v>0</v>
      </c>
      <c r="CR4">
        <f ca="1">COUNTIFS(INDIRECT("Table1[Beginn]"),"&lt;="&amp;CR$1,INDIRECT("Table1[Ende]"),"&gt;="&amp;CR$1,INDIRECT("Table1[Obergruppe ATC-Code]"),Tabelle3!$A4)</f>
        <v>0</v>
      </c>
      <c r="CS4">
        <f ca="1">COUNTIFS(INDIRECT("Table1[Beginn]"),"&lt;="&amp;CS$1,INDIRECT("Table1[Ende]"),"&gt;="&amp;CS$1,INDIRECT("Table1[Obergruppe ATC-Code]"),Tabelle3!$A4)</f>
        <v>0</v>
      </c>
      <c r="CT4">
        <f ca="1">COUNTIFS(INDIRECT("Table1[Beginn]"),"&lt;="&amp;CT$1,INDIRECT("Table1[Ende]"),"&gt;="&amp;CT$1,INDIRECT("Table1[Obergruppe ATC-Code]"),Tabelle3!$A4)</f>
        <v>0</v>
      </c>
      <c r="CU4" s="54"/>
      <c r="CV4" s="54"/>
      <c r="CW4" s="54"/>
      <c r="CX4" s="54"/>
      <c r="CY4" s="54"/>
      <c r="CZ4" s="54"/>
      <c r="DA4" s="54"/>
      <c r="DB4" s="54"/>
      <c r="DC4" s="54"/>
      <c r="DD4" s="54"/>
      <c r="DE4" s="54"/>
      <c r="DF4" s="54"/>
      <c r="DG4" s="54"/>
      <c r="DH4" s="54"/>
    </row>
    <row r="5" spans="1:112" ht="18" customHeight="1">
      <c r="A5" s="9" t="s">
        <v>6778</v>
      </c>
      <c r="B5" s="10" t="s">
        <v>6779</v>
      </c>
      <c r="C5">
        <f ca="1">COUNTIFS(INDIRECT("Table1[Beginn]"),"&lt;="&amp;C$1,INDIRECT("Table1[Ende]"),"&gt;="&amp;C$1,INDIRECT("Table1[Obergruppe ATC-Code]"),Tabelle3!$A5)</f>
        <v>0</v>
      </c>
      <c r="D5">
        <f ca="1">COUNTIFS(INDIRECT("Table1[Beginn]"),"&lt;="&amp;D$1,INDIRECT("Table1[Ende]"),"&gt;="&amp;D$1,INDIRECT("Table1[Obergruppe ATC-Code]"),Tabelle3!$A5)</f>
        <v>0</v>
      </c>
      <c r="E5">
        <f ca="1">COUNTIFS(INDIRECT("Table1[Beginn]"),"&lt;="&amp;E$1,INDIRECT("Table1[Ende]"),"&gt;="&amp;E$1,INDIRECT("Table1[Obergruppe ATC-Code]"),Tabelle3!$A5)</f>
        <v>0</v>
      </c>
      <c r="F5">
        <f ca="1">COUNTIFS(INDIRECT("Table1[Beginn]"),"&lt;="&amp;F$1,INDIRECT("Table1[Ende]"),"&gt;="&amp;F$1,INDIRECT("Table1[Obergruppe ATC-Code]"),Tabelle3!$A5)</f>
        <v>0</v>
      </c>
      <c r="G5">
        <f ca="1">COUNTIFS(INDIRECT("Table1[Beginn]"),"&lt;="&amp;G$1,INDIRECT("Table1[Ende]"),"&gt;="&amp;G$1,INDIRECT("Table1[Obergruppe ATC-Code]"),Tabelle3!$A5)</f>
        <v>0</v>
      </c>
      <c r="H5">
        <f ca="1">COUNTIFS(INDIRECT("Table1[Beginn]"),"&lt;="&amp;H$1,INDIRECT("Table1[Ende]"),"&gt;="&amp;H$1,INDIRECT("Table1[Obergruppe ATC-Code]"),Tabelle3!$A5)</f>
        <v>0</v>
      </c>
      <c r="I5">
        <f ca="1">COUNTIFS(INDIRECT("Table1[Beginn]"),"&lt;="&amp;I$1,INDIRECT("Table1[Ende]"),"&gt;="&amp;I$1,INDIRECT("Table1[Obergruppe ATC-Code]"),Tabelle3!$A5)</f>
        <v>1</v>
      </c>
      <c r="J5">
        <f ca="1">COUNTIFS(INDIRECT("Table1[Beginn]"),"&lt;="&amp;J$1,INDIRECT("Table1[Ende]"),"&gt;="&amp;J$1,INDIRECT("Table1[Obergruppe ATC-Code]"),Tabelle3!$A5)</f>
        <v>1</v>
      </c>
      <c r="K5">
        <f ca="1">COUNTIFS(INDIRECT("Table1[Beginn]"),"&lt;="&amp;K$1,INDIRECT("Table1[Ende]"),"&gt;="&amp;K$1,INDIRECT("Table1[Obergruppe ATC-Code]"),Tabelle3!$A5)</f>
        <v>1</v>
      </c>
      <c r="L5">
        <f ca="1">COUNTIFS(INDIRECT("Table1[Beginn]"),"&lt;="&amp;L$1,INDIRECT("Table1[Ende]"),"&gt;="&amp;L$1,INDIRECT("Table1[Obergruppe ATC-Code]"),Tabelle3!$A5)</f>
        <v>2</v>
      </c>
      <c r="M5">
        <f ca="1">COUNTIFS(INDIRECT("Table1[Beginn]"),"&lt;="&amp;M$1,INDIRECT("Table1[Ende]"),"&gt;="&amp;M$1,INDIRECT("Table1[Obergruppe ATC-Code]"),Tabelle3!$A5)</f>
        <v>2</v>
      </c>
      <c r="N5">
        <f ca="1">COUNTIFS(INDIRECT("Table1[Beginn]"),"&lt;="&amp;N$1,INDIRECT("Table1[Ende]"),"&gt;="&amp;N$1,INDIRECT("Table1[Obergruppe ATC-Code]"),Tabelle3!$A5)</f>
        <v>2</v>
      </c>
      <c r="O5">
        <f ca="1">COUNTIFS(INDIRECT("Table1[Beginn]"),"&lt;="&amp;O$1,INDIRECT("Table1[Ende]"),"&gt;="&amp;O$1,INDIRECT("Table1[Obergruppe ATC-Code]"),Tabelle3!$A5)</f>
        <v>2</v>
      </c>
      <c r="P5">
        <f ca="1">COUNTIFS(INDIRECT("Table1[Beginn]"),"&lt;="&amp;P$1,INDIRECT("Table1[Ende]"),"&gt;="&amp;P$1,INDIRECT("Table1[Obergruppe ATC-Code]"),Tabelle3!$A5)</f>
        <v>2</v>
      </c>
      <c r="Q5">
        <f ca="1">COUNTIFS(INDIRECT("Table1[Beginn]"),"&lt;="&amp;Q$1,INDIRECT("Table1[Ende]"),"&gt;="&amp;Q$1,INDIRECT("Table1[Obergruppe ATC-Code]"),Tabelle3!$A5)</f>
        <v>2</v>
      </c>
      <c r="R5">
        <f ca="1">COUNTIFS(INDIRECT("Table1[Beginn]"),"&lt;="&amp;R$1,INDIRECT("Table1[Ende]"),"&gt;="&amp;R$1,INDIRECT("Table1[Obergruppe ATC-Code]"),Tabelle3!$A5)</f>
        <v>2</v>
      </c>
      <c r="S5">
        <f ca="1">COUNTIFS(INDIRECT("Table1[Beginn]"),"&lt;="&amp;S$1,INDIRECT("Table1[Ende]"),"&gt;="&amp;S$1,INDIRECT("Table1[Obergruppe ATC-Code]"),Tabelle3!$A5)</f>
        <v>1</v>
      </c>
      <c r="T5">
        <f ca="1">COUNTIFS(INDIRECT("Table1[Beginn]"),"&lt;="&amp;T$1,INDIRECT("Table1[Ende]"),"&gt;="&amp;T$1,INDIRECT("Table1[Obergruppe ATC-Code]"),Tabelle3!$A5)</f>
        <v>1</v>
      </c>
      <c r="U5">
        <f ca="1">COUNTIFS(INDIRECT("Table1[Beginn]"),"&lt;="&amp;U$1,INDIRECT("Table1[Ende]"),"&gt;="&amp;U$1,INDIRECT("Table1[Obergruppe ATC-Code]"),Tabelle3!$A5)</f>
        <v>1</v>
      </c>
      <c r="V5">
        <f ca="1">COUNTIFS(INDIRECT("Table1[Beginn]"),"&lt;="&amp;V$1,INDIRECT("Table1[Ende]"),"&gt;="&amp;V$1,INDIRECT("Table1[Obergruppe ATC-Code]"),Tabelle3!$A5)</f>
        <v>1</v>
      </c>
      <c r="W5">
        <f ca="1">COUNTIFS(INDIRECT("Table1[Beginn]"),"&lt;="&amp;W$1,INDIRECT("Table1[Ende]"),"&gt;="&amp;W$1,INDIRECT("Table1[Obergruppe ATC-Code]"),Tabelle3!$A5)</f>
        <v>1</v>
      </c>
      <c r="X5">
        <f ca="1">COUNTIFS(INDIRECT("Table1[Beginn]"),"&lt;="&amp;X$1,INDIRECT("Table1[Ende]"),"&gt;="&amp;X$1,INDIRECT("Table1[Obergruppe ATC-Code]"),Tabelle3!$A5)</f>
        <v>1</v>
      </c>
      <c r="Y5">
        <f ca="1">COUNTIFS(INDIRECT("Table1[Beginn]"),"&lt;="&amp;Y$1,INDIRECT("Table1[Ende]"),"&gt;="&amp;Y$1,INDIRECT("Table1[Obergruppe ATC-Code]"),Tabelle3!$A5)</f>
        <v>1</v>
      </c>
      <c r="Z5">
        <f ca="1">COUNTIFS(INDIRECT("Table1[Beginn]"),"&lt;="&amp;Z$1,INDIRECT("Table1[Ende]"),"&gt;="&amp;Z$1,INDIRECT("Table1[Obergruppe ATC-Code]"),Tabelle3!$A5)</f>
        <v>2</v>
      </c>
      <c r="AA5">
        <f ca="1">COUNTIFS(INDIRECT("Table1[Beginn]"),"&lt;="&amp;AA$1,INDIRECT("Table1[Ende]"),"&gt;="&amp;AA$1,INDIRECT("Table1[Obergruppe ATC-Code]"),Tabelle3!$A5)</f>
        <v>3</v>
      </c>
      <c r="AB5">
        <f ca="1">COUNTIFS(INDIRECT("Table1[Beginn]"),"&lt;="&amp;AB$1,INDIRECT("Table1[Ende]"),"&gt;="&amp;AB$1,INDIRECT("Table1[Obergruppe ATC-Code]"),Tabelle3!$A5)</f>
        <v>2</v>
      </c>
      <c r="AC5">
        <f ca="1">COUNTIFS(INDIRECT("Table1[Beginn]"),"&lt;="&amp;AC$1,INDIRECT("Table1[Ende]"),"&gt;="&amp;AC$1,INDIRECT("Table1[Obergruppe ATC-Code]"),Tabelle3!$A5)</f>
        <v>1</v>
      </c>
      <c r="AD5">
        <f ca="1">COUNTIFS(INDIRECT("Table1[Beginn]"),"&lt;="&amp;AD$1,INDIRECT("Table1[Ende]"),"&gt;="&amp;AD$1,INDIRECT("Table1[Obergruppe ATC-Code]"),Tabelle3!$A5)</f>
        <v>3</v>
      </c>
      <c r="AE5">
        <f ca="1">COUNTIFS(INDIRECT("Table1[Beginn]"),"&lt;="&amp;AE$1,INDIRECT("Table1[Ende]"),"&gt;="&amp;AE$1,INDIRECT("Table1[Obergruppe ATC-Code]"),Tabelle3!$A5)</f>
        <v>3</v>
      </c>
      <c r="AF5">
        <f ca="1">COUNTIFS(INDIRECT("Table1[Beginn]"),"&lt;="&amp;AF$1,INDIRECT("Table1[Ende]"),"&gt;="&amp;AF$1,INDIRECT("Table1[Obergruppe ATC-Code]"),Tabelle3!$A5)</f>
        <v>3</v>
      </c>
      <c r="AG5">
        <f ca="1">COUNTIFS(INDIRECT("Table1[Beginn]"),"&lt;="&amp;AG$1,INDIRECT("Table1[Ende]"),"&gt;="&amp;AG$1,INDIRECT("Table1[Obergruppe ATC-Code]"),Tabelle3!$A5)</f>
        <v>3</v>
      </c>
      <c r="AH5">
        <f ca="1">COUNTIFS(INDIRECT("Table1[Beginn]"),"&lt;="&amp;AH$1,INDIRECT("Table1[Ende]"),"&gt;="&amp;AH$1,INDIRECT("Table1[Obergruppe ATC-Code]"),Tabelle3!$A5)</f>
        <v>2</v>
      </c>
      <c r="AI5">
        <f ca="1">COUNTIFS(INDIRECT("Table1[Beginn]"),"&lt;="&amp;AI$1,INDIRECT("Table1[Ende]"),"&gt;="&amp;AI$1,INDIRECT("Table1[Obergruppe ATC-Code]"),Tabelle3!$A5)</f>
        <v>2</v>
      </c>
      <c r="AJ5">
        <f ca="1">COUNTIFS(INDIRECT("Table1[Beginn]"),"&lt;="&amp;AJ$1,INDIRECT("Table1[Ende]"),"&gt;="&amp;AJ$1,INDIRECT("Table1[Obergruppe ATC-Code]"),Tabelle3!$A5)</f>
        <v>2</v>
      </c>
      <c r="AK5">
        <f ca="1">COUNTIFS(INDIRECT("Table1[Beginn]"),"&lt;="&amp;AK$1,INDIRECT("Table1[Ende]"),"&gt;="&amp;AK$1,INDIRECT("Table1[Obergruppe ATC-Code]"),Tabelle3!$A5)</f>
        <v>2</v>
      </c>
      <c r="AL5">
        <f ca="1">COUNTIFS(INDIRECT("Table1[Beginn]"),"&lt;="&amp;AL$1,INDIRECT("Table1[Ende]"),"&gt;="&amp;AL$1,INDIRECT("Table1[Obergruppe ATC-Code]"),Tabelle3!$A5)</f>
        <v>2</v>
      </c>
      <c r="AM5">
        <f ca="1">COUNTIFS(INDIRECT("Table1[Beginn]"),"&lt;="&amp;AM$1,INDIRECT("Table1[Ende]"),"&gt;="&amp;AM$1,INDIRECT("Table1[Obergruppe ATC-Code]"),Tabelle3!$A5)</f>
        <v>1</v>
      </c>
      <c r="AN5">
        <f ca="1">COUNTIFS(INDIRECT("Table1[Beginn]"),"&lt;="&amp;AN$1,INDIRECT("Table1[Ende]"),"&gt;="&amp;AN$1,INDIRECT("Table1[Obergruppe ATC-Code]"),Tabelle3!$A5)</f>
        <v>1</v>
      </c>
      <c r="AO5">
        <f ca="1">COUNTIFS(INDIRECT("Table1[Beginn]"),"&lt;="&amp;AO$1,INDIRECT("Table1[Ende]"),"&gt;="&amp;AO$1,INDIRECT("Table1[Obergruppe ATC-Code]"),Tabelle3!$A5)</f>
        <v>3</v>
      </c>
      <c r="AP5">
        <f ca="1">COUNTIFS(INDIRECT("Table1[Beginn]"),"&lt;="&amp;AP$1,INDIRECT("Table1[Ende]"),"&gt;="&amp;AP$1,INDIRECT("Table1[Obergruppe ATC-Code]"),Tabelle3!$A5)</f>
        <v>2</v>
      </c>
      <c r="AQ5">
        <f ca="1">COUNTIFS(INDIRECT("Table1[Beginn]"),"&lt;="&amp;AQ$1,INDIRECT("Table1[Ende]"),"&gt;="&amp;AQ$1,INDIRECT("Table1[Obergruppe ATC-Code]"),Tabelle3!$A5)</f>
        <v>2</v>
      </c>
      <c r="AR5">
        <f ca="1">COUNTIFS(INDIRECT("Table1[Beginn]"),"&lt;="&amp;AR$1,INDIRECT("Table1[Ende]"),"&gt;="&amp;AR$1,INDIRECT("Table1[Obergruppe ATC-Code]"),Tabelle3!$A5)</f>
        <v>2</v>
      </c>
      <c r="AS5">
        <f ca="1">COUNTIFS(INDIRECT("Table1[Beginn]"),"&lt;="&amp;AS$1,INDIRECT("Table1[Ende]"),"&gt;="&amp;AS$1,INDIRECT("Table1[Obergruppe ATC-Code]"),Tabelle3!$A5)</f>
        <v>2</v>
      </c>
      <c r="AT5">
        <f ca="1">COUNTIFS(INDIRECT("Table1[Beginn]"),"&lt;="&amp;AT$1,INDIRECT("Table1[Ende]"),"&gt;="&amp;AT$1,INDIRECT("Table1[Obergruppe ATC-Code]"),Tabelle3!$A5)</f>
        <v>2</v>
      </c>
      <c r="AU5">
        <f ca="1">COUNTIFS(INDIRECT("Table1[Beginn]"),"&lt;="&amp;AU$1,INDIRECT("Table1[Ende]"),"&gt;="&amp;AU$1,INDIRECT("Table1[Obergruppe ATC-Code]"),Tabelle3!$A5)</f>
        <v>2</v>
      </c>
      <c r="AV5">
        <f ca="1">COUNTIFS(INDIRECT("Table1[Beginn]"),"&lt;="&amp;AV$1,INDIRECT("Table1[Ende]"),"&gt;="&amp;AV$1,INDIRECT("Table1[Obergruppe ATC-Code]"),Tabelle3!$A5)</f>
        <v>3</v>
      </c>
      <c r="AW5">
        <f ca="1">COUNTIFS(INDIRECT("Table1[Beginn]"),"&lt;="&amp;AW$1,INDIRECT("Table1[Ende]"),"&gt;="&amp;AW$1,INDIRECT("Table1[Obergruppe ATC-Code]"),Tabelle3!$A5)</f>
        <v>2</v>
      </c>
      <c r="AX5">
        <f ca="1">COUNTIFS(INDIRECT("Table1[Beginn]"),"&lt;="&amp;AX$1,INDIRECT("Table1[Ende]"),"&gt;="&amp;AX$1,INDIRECT("Table1[Obergruppe ATC-Code]"),Tabelle3!$A5)</f>
        <v>2</v>
      </c>
      <c r="AY5">
        <f ca="1">COUNTIFS(INDIRECT("Table1[Beginn]"),"&lt;="&amp;AY$1,INDIRECT("Table1[Ende]"),"&gt;="&amp;AY$1,INDIRECT("Table1[Obergruppe ATC-Code]"),Tabelle3!$A5)</f>
        <v>2</v>
      </c>
      <c r="AZ5">
        <f ca="1">COUNTIFS(INDIRECT("Table1[Beginn]"),"&lt;="&amp;AZ$1,INDIRECT("Table1[Ende]"),"&gt;="&amp;AZ$1,INDIRECT("Table1[Obergruppe ATC-Code]"),Tabelle3!$A5)</f>
        <v>1</v>
      </c>
      <c r="BA5">
        <f ca="1">COUNTIFS(INDIRECT("Table1[Beginn]"),"&lt;="&amp;BA$1,INDIRECT("Table1[Ende]"),"&gt;="&amp;BA$1,INDIRECT("Table1[Obergruppe ATC-Code]"),Tabelle3!$A5)</f>
        <v>1</v>
      </c>
      <c r="BB5">
        <f ca="1">COUNTIFS(INDIRECT("Table1[Beginn]"),"&lt;="&amp;BB$1,INDIRECT("Table1[Ende]"),"&gt;="&amp;BB$1,INDIRECT("Table1[Obergruppe ATC-Code]"),Tabelle3!$A5)</f>
        <v>0</v>
      </c>
      <c r="BC5">
        <f ca="1">COUNTIFS(INDIRECT("Table1[Beginn]"),"&lt;="&amp;BC$1,INDIRECT("Table1[Ende]"),"&gt;="&amp;BC$1,INDIRECT("Table1[Obergruppe ATC-Code]"),Tabelle3!$A5)</f>
        <v>0</v>
      </c>
      <c r="BD5">
        <f ca="1">COUNTIFS(INDIRECT("Table1[Beginn]"),"&lt;="&amp;BD$1,INDIRECT("Table1[Ende]"),"&gt;="&amp;BD$1,INDIRECT("Table1[Obergruppe ATC-Code]"),Tabelle3!$A5)</f>
        <v>0</v>
      </c>
      <c r="BE5">
        <f ca="1">COUNTIFS(INDIRECT("Table1[Beginn]"),"&lt;="&amp;BE$1,INDIRECT("Table1[Ende]"),"&gt;="&amp;BE$1,INDIRECT("Table1[Obergruppe ATC-Code]"),Tabelle3!$A5)</f>
        <v>0</v>
      </c>
      <c r="BF5">
        <f ca="1">COUNTIFS(INDIRECT("Table1[Beginn]"),"&lt;="&amp;BF$1,INDIRECT("Table1[Ende]"),"&gt;="&amp;BF$1,INDIRECT("Table1[Obergruppe ATC-Code]"),Tabelle3!$A5)</f>
        <v>0</v>
      </c>
      <c r="BG5">
        <f ca="1">COUNTIFS(INDIRECT("Table1[Beginn]"),"&lt;="&amp;BG$1,INDIRECT("Table1[Ende]"),"&gt;="&amp;BG$1,INDIRECT("Table1[Obergruppe ATC-Code]"),Tabelle3!$A5)</f>
        <v>0</v>
      </c>
      <c r="BH5">
        <f ca="1">COUNTIFS(INDIRECT("Table1[Beginn]"),"&lt;="&amp;BH$1,INDIRECT("Table1[Ende]"),"&gt;="&amp;BH$1,INDIRECT("Table1[Obergruppe ATC-Code]"),Tabelle3!$A5)</f>
        <v>0</v>
      </c>
      <c r="BI5">
        <f ca="1">COUNTIFS(INDIRECT("Table1[Beginn]"),"&lt;="&amp;BI$1,INDIRECT("Table1[Ende]"),"&gt;="&amp;BI$1,INDIRECT("Table1[Obergruppe ATC-Code]"),Tabelle3!$A5)</f>
        <v>0</v>
      </c>
      <c r="BJ5">
        <f ca="1">COUNTIFS(INDIRECT("Table1[Beginn]"),"&lt;="&amp;BJ$1,INDIRECT("Table1[Ende]"),"&gt;="&amp;BJ$1,INDIRECT("Table1[Obergruppe ATC-Code]"),Tabelle3!$A5)</f>
        <v>0</v>
      </c>
      <c r="BK5">
        <f ca="1">COUNTIFS(INDIRECT("Table1[Beginn]"),"&lt;="&amp;BK$1,INDIRECT("Table1[Ende]"),"&gt;="&amp;BK$1,INDIRECT("Table1[Obergruppe ATC-Code]"),Tabelle3!$A5)</f>
        <v>0</v>
      </c>
      <c r="BL5">
        <f ca="1">COUNTIFS(INDIRECT("Table1[Beginn]"),"&lt;="&amp;BL$1,INDIRECT("Table1[Ende]"),"&gt;="&amp;BL$1,INDIRECT("Table1[Obergruppe ATC-Code]"),Tabelle3!$A5)</f>
        <v>0</v>
      </c>
      <c r="BM5">
        <f ca="1">COUNTIFS(INDIRECT("Table1[Beginn]"),"&lt;="&amp;BM$1,INDIRECT("Table1[Ende]"),"&gt;="&amp;BM$1,INDIRECT("Table1[Obergruppe ATC-Code]"),Tabelle3!$A5)</f>
        <v>1</v>
      </c>
      <c r="BN5">
        <f ca="1">COUNTIFS(INDIRECT("Table1[Beginn]"),"&lt;="&amp;BN$1,INDIRECT("Table1[Ende]"),"&gt;="&amp;BN$1,INDIRECT("Table1[Obergruppe ATC-Code]"),Tabelle3!$A5)</f>
        <v>1</v>
      </c>
      <c r="BO5">
        <f ca="1">COUNTIFS(INDIRECT("Table1[Beginn]"),"&lt;="&amp;BO$1,INDIRECT("Table1[Ende]"),"&gt;="&amp;BO$1,INDIRECT("Table1[Obergruppe ATC-Code]"),Tabelle3!$A5)</f>
        <v>1</v>
      </c>
      <c r="BP5">
        <f ca="1">COUNTIFS(INDIRECT("Table1[Beginn]"),"&lt;="&amp;BP$1,INDIRECT("Table1[Ende]"),"&gt;="&amp;BP$1,INDIRECT("Table1[Obergruppe ATC-Code]"),Tabelle3!$A5)</f>
        <v>1</v>
      </c>
      <c r="BQ5">
        <f ca="1">COUNTIFS(INDIRECT("Table1[Beginn]"),"&lt;="&amp;BQ$1,INDIRECT("Table1[Ende]"),"&gt;="&amp;BQ$1,INDIRECT("Table1[Obergruppe ATC-Code]"),Tabelle3!$A5)</f>
        <v>0</v>
      </c>
      <c r="BR5">
        <f ca="1">COUNTIFS(INDIRECT("Table1[Beginn]"),"&lt;="&amp;BR$1,INDIRECT("Table1[Ende]"),"&gt;="&amp;BR$1,INDIRECT("Table1[Obergruppe ATC-Code]"),Tabelle3!$A5)</f>
        <v>0</v>
      </c>
      <c r="BS5">
        <f ca="1">COUNTIFS(INDIRECT("Table1[Beginn]"),"&lt;="&amp;BS$1,INDIRECT("Table1[Ende]"),"&gt;="&amp;BS$1,INDIRECT("Table1[Obergruppe ATC-Code]"),Tabelle3!$A5)</f>
        <v>2</v>
      </c>
      <c r="BT5">
        <f ca="1">COUNTIFS(INDIRECT("Table1[Beginn]"),"&lt;="&amp;BT$1,INDIRECT("Table1[Ende]"),"&gt;="&amp;BT$1,INDIRECT("Table1[Obergruppe ATC-Code]"),Tabelle3!$A5)</f>
        <v>2</v>
      </c>
      <c r="BU5">
        <f ca="1">COUNTIFS(INDIRECT("Table1[Beginn]"),"&lt;="&amp;BU$1,INDIRECT("Table1[Ende]"),"&gt;="&amp;BU$1,INDIRECT("Table1[Obergruppe ATC-Code]"),Tabelle3!$A5)</f>
        <v>2</v>
      </c>
      <c r="BV5">
        <f ca="1">COUNTIFS(INDIRECT("Table1[Beginn]"),"&lt;="&amp;BV$1,INDIRECT("Table1[Ende]"),"&gt;="&amp;BV$1,INDIRECT("Table1[Obergruppe ATC-Code]"),Tabelle3!$A5)</f>
        <v>3</v>
      </c>
      <c r="BW5">
        <f ca="1">COUNTIFS(INDIRECT("Table1[Beginn]"),"&lt;="&amp;BW$1,INDIRECT("Table1[Ende]"),"&gt;="&amp;BW$1,INDIRECT("Table1[Obergruppe ATC-Code]"),Tabelle3!$A5)</f>
        <v>3</v>
      </c>
      <c r="BX5">
        <f ca="1">COUNTIFS(INDIRECT("Table1[Beginn]"),"&lt;="&amp;BX$1,INDIRECT("Table1[Ende]"),"&gt;="&amp;BX$1,INDIRECT("Table1[Obergruppe ATC-Code]"),Tabelle3!$A5)</f>
        <v>3</v>
      </c>
      <c r="BY5">
        <f ca="1">COUNTIFS(INDIRECT("Table1[Beginn]"),"&lt;="&amp;BY$1,INDIRECT("Table1[Ende]"),"&gt;="&amp;BY$1,INDIRECT("Table1[Obergruppe ATC-Code]"),Tabelle3!$A5)</f>
        <v>3</v>
      </c>
      <c r="BZ5">
        <f ca="1">COUNTIFS(INDIRECT("Table1[Beginn]"),"&lt;="&amp;BZ$1,INDIRECT("Table1[Ende]"),"&gt;="&amp;BZ$1,INDIRECT("Table1[Obergruppe ATC-Code]"),Tabelle3!$A5)</f>
        <v>3</v>
      </c>
      <c r="CA5">
        <f ca="1">COUNTIFS(INDIRECT("Table1[Beginn]"),"&lt;="&amp;CA$1,INDIRECT("Table1[Ende]"),"&gt;="&amp;CA$1,INDIRECT("Table1[Obergruppe ATC-Code]"),Tabelle3!$A5)</f>
        <v>4</v>
      </c>
      <c r="CB5">
        <f ca="1">COUNTIFS(INDIRECT("Table1[Beginn]"),"&lt;="&amp;CB$1,INDIRECT("Table1[Ende]"),"&gt;="&amp;CB$1,INDIRECT("Table1[Obergruppe ATC-Code]"),Tabelle3!$A5)</f>
        <v>4</v>
      </c>
      <c r="CC5">
        <f ca="1">COUNTIFS(INDIRECT("Table1[Beginn]"),"&lt;="&amp;CC$1,INDIRECT("Table1[Ende]"),"&gt;="&amp;CC$1,INDIRECT("Table1[Obergruppe ATC-Code]"),Tabelle3!$A5)</f>
        <v>4</v>
      </c>
      <c r="CD5">
        <f ca="1">COUNTIFS(INDIRECT("Table1[Beginn]"),"&lt;="&amp;CD$1,INDIRECT("Table1[Ende]"),"&gt;="&amp;CD$1,INDIRECT("Table1[Obergruppe ATC-Code]"),Tabelle3!$A5)</f>
        <v>4</v>
      </c>
      <c r="CE5">
        <f ca="1">COUNTIFS(INDIRECT("Table1[Beginn]"),"&lt;="&amp;CE$1,INDIRECT("Table1[Ende]"),"&gt;="&amp;CE$1,INDIRECT("Table1[Obergruppe ATC-Code]"),Tabelle3!$A5)</f>
        <v>3</v>
      </c>
      <c r="CF5">
        <f ca="1">COUNTIFS(INDIRECT("Table1[Beginn]"),"&lt;="&amp;CF$1,INDIRECT("Table1[Ende]"),"&gt;="&amp;CF$1,INDIRECT("Table1[Obergruppe ATC-Code]"),Tabelle3!$A5)</f>
        <v>2</v>
      </c>
      <c r="CG5">
        <f ca="1">COUNTIFS(INDIRECT("Table1[Beginn]"),"&lt;="&amp;CG$1,INDIRECT("Table1[Ende]"),"&gt;="&amp;CG$1,INDIRECT("Table1[Obergruppe ATC-Code]"),Tabelle3!$A5)</f>
        <v>2</v>
      </c>
      <c r="CH5">
        <f ca="1">COUNTIFS(INDIRECT("Table1[Beginn]"),"&lt;="&amp;CH$1,INDIRECT("Table1[Ende]"),"&gt;="&amp;CH$1,INDIRECT("Table1[Obergruppe ATC-Code]"),Tabelle3!$A5)</f>
        <v>2</v>
      </c>
      <c r="CI5">
        <f ca="1">COUNTIFS(INDIRECT("Table1[Beginn]"),"&lt;="&amp;CI$1,INDIRECT("Table1[Ende]"),"&gt;="&amp;CI$1,INDIRECT("Table1[Obergruppe ATC-Code]"),Tabelle3!$A5)</f>
        <v>1</v>
      </c>
      <c r="CJ5">
        <f ca="1">COUNTIFS(INDIRECT("Table1[Beginn]"),"&lt;="&amp;CJ$1,INDIRECT("Table1[Ende]"),"&gt;="&amp;CJ$1,INDIRECT("Table1[Obergruppe ATC-Code]"),Tabelle3!$A5)</f>
        <v>1</v>
      </c>
      <c r="CK5">
        <f ca="1">COUNTIFS(INDIRECT("Table1[Beginn]"),"&lt;="&amp;CK$1,INDIRECT("Table1[Ende]"),"&gt;="&amp;CK$1,INDIRECT("Table1[Obergruppe ATC-Code]"),Tabelle3!$A5)</f>
        <v>1</v>
      </c>
      <c r="CL5">
        <f ca="1">COUNTIFS(INDIRECT("Table1[Beginn]"),"&lt;="&amp;CL$1,INDIRECT("Table1[Ende]"),"&gt;="&amp;CL$1,INDIRECT("Table1[Obergruppe ATC-Code]"),Tabelle3!$A5)</f>
        <v>1</v>
      </c>
      <c r="CM5">
        <f ca="1">COUNTIFS(INDIRECT("Table1[Beginn]"),"&lt;="&amp;CM$1,INDIRECT("Table1[Ende]"),"&gt;="&amp;CM$1,INDIRECT("Table1[Obergruppe ATC-Code]"),Tabelle3!$A5)</f>
        <v>1</v>
      </c>
      <c r="CN5">
        <f ca="1">COUNTIFS(INDIRECT("Table1[Beginn]"),"&lt;="&amp;CN$1,INDIRECT("Table1[Ende]"),"&gt;="&amp;CN$1,INDIRECT("Table1[Obergruppe ATC-Code]"),Tabelle3!$A5)</f>
        <v>1</v>
      </c>
      <c r="CO5">
        <f ca="1">COUNTIFS(INDIRECT("Table1[Beginn]"),"&lt;="&amp;CO$1,INDIRECT("Table1[Ende]"),"&gt;="&amp;CO$1,INDIRECT("Table1[Obergruppe ATC-Code]"),Tabelle3!$A5)</f>
        <v>0</v>
      </c>
      <c r="CP5">
        <f ca="1">COUNTIFS(INDIRECT("Table1[Beginn]"),"&lt;="&amp;CP$1,INDIRECT("Table1[Ende]"),"&gt;="&amp;CP$1,INDIRECT("Table1[Obergruppe ATC-Code]"),Tabelle3!$A5)</f>
        <v>0</v>
      </c>
      <c r="CQ5">
        <f ca="1">COUNTIFS(INDIRECT("Table1[Beginn]"),"&lt;="&amp;CQ$1,INDIRECT("Table1[Ende]"),"&gt;="&amp;CQ$1,INDIRECT("Table1[Obergruppe ATC-Code]"),Tabelle3!$A5)</f>
        <v>0</v>
      </c>
      <c r="CR5">
        <f ca="1">COUNTIFS(INDIRECT("Table1[Beginn]"),"&lt;="&amp;CR$1,INDIRECT("Table1[Ende]"),"&gt;="&amp;CR$1,INDIRECT("Table1[Obergruppe ATC-Code]"),Tabelle3!$A5)</f>
        <v>0</v>
      </c>
      <c r="CS5">
        <f ca="1">COUNTIFS(INDIRECT("Table1[Beginn]"),"&lt;="&amp;CS$1,INDIRECT("Table1[Ende]"),"&gt;="&amp;CS$1,INDIRECT("Table1[Obergruppe ATC-Code]"),Tabelle3!$A5)</f>
        <v>0</v>
      </c>
      <c r="CT5">
        <f ca="1">COUNTIFS(INDIRECT("Table1[Beginn]"),"&lt;="&amp;CT$1,INDIRECT("Table1[Ende]"),"&gt;="&amp;CT$1,INDIRECT("Table1[Obergruppe ATC-Code]"),Tabelle3!$A5)</f>
        <v>0</v>
      </c>
      <c r="CU5" s="54"/>
      <c r="CV5" s="54"/>
      <c r="CW5" s="54"/>
      <c r="CX5" s="54"/>
      <c r="CY5" s="54"/>
      <c r="CZ5" s="54"/>
      <c r="DA5" s="54"/>
      <c r="DB5" s="54"/>
      <c r="DC5" s="54"/>
      <c r="DD5" s="54"/>
      <c r="DE5" s="54"/>
      <c r="DF5" s="54"/>
      <c r="DG5" s="54"/>
      <c r="DH5" s="54"/>
    </row>
    <row r="6" spans="1:112" ht="18" customHeight="1">
      <c r="A6" s="7" t="s">
        <v>6780</v>
      </c>
      <c r="B6" s="8" t="s">
        <v>6781</v>
      </c>
      <c r="C6">
        <f ca="1">COUNTIFS(INDIRECT("Table1[Beginn]"),"&lt;="&amp;C$1,INDIRECT("Table1[Ende]"),"&gt;="&amp;C$1,INDIRECT("Table1[Obergruppe ATC-Code]"),Tabelle3!$A6)</f>
        <v>0</v>
      </c>
      <c r="D6">
        <f ca="1">COUNTIFS(INDIRECT("Table1[Beginn]"),"&lt;="&amp;D$1,INDIRECT("Table1[Ende]"),"&gt;="&amp;D$1,INDIRECT("Table1[Obergruppe ATC-Code]"),Tabelle3!$A6)</f>
        <v>0</v>
      </c>
      <c r="E6">
        <f ca="1">COUNTIFS(INDIRECT("Table1[Beginn]"),"&lt;="&amp;E$1,INDIRECT("Table1[Ende]"),"&gt;="&amp;E$1,INDIRECT("Table1[Obergruppe ATC-Code]"),Tabelle3!$A6)</f>
        <v>0</v>
      </c>
      <c r="F6">
        <f ca="1">COUNTIFS(INDIRECT("Table1[Beginn]"),"&lt;="&amp;F$1,INDIRECT("Table1[Ende]"),"&gt;="&amp;F$1,INDIRECT("Table1[Obergruppe ATC-Code]"),Tabelle3!$A6)</f>
        <v>0</v>
      </c>
      <c r="G6">
        <f ca="1">COUNTIFS(INDIRECT("Table1[Beginn]"),"&lt;="&amp;G$1,INDIRECT("Table1[Ende]"),"&gt;="&amp;G$1,INDIRECT("Table1[Obergruppe ATC-Code]"),Tabelle3!$A6)</f>
        <v>0</v>
      </c>
      <c r="H6">
        <f ca="1">COUNTIFS(INDIRECT("Table1[Beginn]"),"&lt;="&amp;H$1,INDIRECT("Table1[Ende]"),"&gt;="&amp;H$1,INDIRECT("Table1[Obergruppe ATC-Code]"),Tabelle3!$A6)</f>
        <v>0</v>
      </c>
      <c r="I6">
        <f ca="1">COUNTIFS(INDIRECT("Table1[Beginn]"),"&lt;="&amp;I$1,INDIRECT("Table1[Ende]"),"&gt;="&amp;I$1,INDIRECT("Table1[Obergruppe ATC-Code]"),Tabelle3!$A6)</f>
        <v>0</v>
      </c>
      <c r="J6">
        <f ca="1">COUNTIFS(INDIRECT("Table1[Beginn]"),"&lt;="&amp;J$1,INDIRECT("Table1[Ende]"),"&gt;="&amp;J$1,INDIRECT("Table1[Obergruppe ATC-Code]"),Tabelle3!$A6)</f>
        <v>0</v>
      </c>
      <c r="K6">
        <f ca="1">COUNTIFS(INDIRECT("Table1[Beginn]"),"&lt;="&amp;K$1,INDIRECT("Table1[Ende]"),"&gt;="&amp;K$1,INDIRECT("Table1[Obergruppe ATC-Code]"),Tabelle3!$A6)</f>
        <v>0</v>
      </c>
      <c r="L6">
        <f ca="1">COUNTIFS(INDIRECT("Table1[Beginn]"),"&lt;="&amp;L$1,INDIRECT("Table1[Ende]"),"&gt;="&amp;L$1,INDIRECT("Table1[Obergruppe ATC-Code]"),Tabelle3!$A6)</f>
        <v>0</v>
      </c>
      <c r="M6">
        <f ca="1">COUNTIFS(INDIRECT("Table1[Beginn]"),"&lt;="&amp;M$1,INDIRECT("Table1[Ende]"),"&gt;="&amp;M$1,INDIRECT("Table1[Obergruppe ATC-Code]"),Tabelle3!$A6)</f>
        <v>0</v>
      </c>
      <c r="N6">
        <f ca="1">COUNTIFS(INDIRECT("Table1[Beginn]"),"&lt;="&amp;N$1,INDIRECT("Table1[Ende]"),"&gt;="&amp;N$1,INDIRECT("Table1[Obergruppe ATC-Code]"),Tabelle3!$A6)</f>
        <v>0</v>
      </c>
      <c r="O6">
        <f ca="1">COUNTIFS(INDIRECT("Table1[Beginn]"),"&lt;="&amp;O$1,INDIRECT("Table1[Ende]"),"&gt;="&amp;O$1,INDIRECT("Table1[Obergruppe ATC-Code]"),Tabelle3!$A6)</f>
        <v>0</v>
      </c>
      <c r="P6">
        <f ca="1">COUNTIFS(INDIRECT("Table1[Beginn]"),"&lt;="&amp;P$1,INDIRECT("Table1[Ende]"),"&gt;="&amp;P$1,INDIRECT("Table1[Obergruppe ATC-Code]"),Tabelle3!$A6)</f>
        <v>0</v>
      </c>
      <c r="Q6">
        <f ca="1">COUNTIFS(INDIRECT("Table1[Beginn]"),"&lt;="&amp;Q$1,INDIRECT("Table1[Ende]"),"&gt;="&amp;Q$1,INDIRECT("Table1[Obergruppe ATC-Code]"),Tabelle3!$A6)</f>
        <v>0</v>
      </c>
      <c r="R6">
        <f ca="1">COUNTIFS(INDIRECT("Table1[Beginn]"),"&lt;="&amp;R$1,INDIRECT("Table1[Ende]"),"&gt;="&amp;R$1,INDIRECT("Table1[Obergruppe ATC-Code]"),Tabelle3!$A6)</f>
        <v>0</v>
      </c>
      <c r="S6">
        <f ca="1">COUNTIFS(INDIRECT("Table1[Beginn]"),"&lt;="&amp;S$1,INDIRECT("Table1[Ende]"),"&gt;="&amp;S$1,INDIRECT("Table1[Obergruppe ATC-Code]"),Tabelle3!$A6)</f>
        <v>0</v>
      </c>
      <c r="T6">
        <f ca="1">COUNTIFS(INDIRECT("Table1[Beginn]"),"&lt;="&amp;T$1,INDIRECT("Table1[Ende]"),"&gt;="&amp;T$1,INDIRECT("Table1[Obergruppe ATC-Code]"),Tabelle3!$A6)</f>
        <v>0</v>
      </c>
      <c r="U6">
        <f ca="1">COUNTIFS(INDIRECT("Table1[Beginn]"),"&lt;="&amp;U$1,INDIRECT("Table1[Ende]"),"&gt;="&amp;U$1,INDIRECT("Table1[Obergruppe ATC-Code]"),Tabelle3!$A6)</f>
        <v>0</v>
      </c>
      <c r="V6">
        <f ca="1">COUNTIFS(INDIRECT("Table1[Beginn]"),"&lt;="&amp;V$1,INDIRECT("Table1[Ende]"),"&gt;="&amp;V$1,INDIRECT("Table1[Obergruppe ATC-Code]"),Tabelle3!$A6)</f>
        <v>0</v>
      </c>
      <c r="W6">
        <f ca="1">COUNTIFS(INDIRECT("Table1[Beginn]"),"&lt;="&amp;W$1,INDIRECT("Table1[Ende]"),"&gt;="&amp;W$1,INDIRECT("Table1[Obergruppe ATC-Code]"),Tabelle3!$A6)</f>
        <v>0</v>
      </c>
      <c r="X6">
        <f ca="1">COUNTIFS(INDIRECT("Table1[Beginn]"),"&lt;="&amp;X$1,INDIRECT("Table1[Ende]"),"&gt;="&amp;X$1,INDIRECT("Table1[Obergruppe ATC-Code]"),Tabelle3!$A6)</f>
        <v>0</v>
      </c>
      <c r="Y6">
        <f ca="1">COUNTIFS(INDIRECT("Table1[Beginn]"),"&lt;="&amp;Y$1,INDIRECT("Table1[Ende]"),"&gt;="&amp;Y$1,INDIRECT("Table1[Obergruppe ATC-Code]"),Tabelle3!$A6)</f>
        <v>0</v>
      </c>
      <c r="Z6">
        <f ca="1">COUNTIFS(INDIRECT("Table1[Beginn]"),"&lt;="&amp;Z$1,INDIRECT("Table1[Ende]"),"&gt;="&amp;Z$1,INDIRECT("Table1[Obergruppe ATC-Code]"),Tabelle3!$A6)</f>
        <v>0</v>
      </c>
      <c r="AA6">
        <f ca="1">COUNTIFS(INDIRECT("Table1[Beginn]"),"&lt;="&amp;AA$1,INDIRECT("Table1[Ende]"),"&gt;="&amp;AA$1,INDIRECT("Table1[Obergruppe ATC-Code]"),Tabelle3!$A6)</f>
        <v>0</v>
      </c>
      <c r="AB6">
        <f ca="1">COUNTIFS(INDIRECT("Table1[Beginn]"),"&lt;="&amp;AB$1,INDIRECT("Table1[Ende]"),"&gt;="&amp;AB$1,INDIRECT("Table1[Obergruppe ATC-Code]"),Tabelle3!$A6)</f>
        <v>0</v>
      </c>
      <c r="AC6">
        <f ca="1">COUNTIFS(INDIRECT("Table1[Beginn]"),"&lt;="&amp;AC$1,INDIRECT("Table1[Ende]"),"&gt;="&amp;AC$1,INDIRECT("Table1[Obergruppe ATC-Code]"),Tabelle3!$A6)</f>
        <v>0</v>
      </c>
      <c r="AD6">
        <f ca="1">COUNTIFS(INDIRECT("Table1[Beginn]"),"&lt;="&amp;AD$1,INDIRECT("Table1[Ende]"),"&gt;="&amp;AD$1,INDIRECT("Table1[Obergruppe ATC-Code]"),Tabelle3!$A6)</f>
        <v>0</v>
      </c>
      <c r="AE6">
        <f ca="1">COUNTIFS(INDIRECT("Table1[Beginn]"),"&lt;="&amp;AE$1,INDIRECT("Table1[Ende]"),"&gt;="&amp;AE$1,INDIRECT("Table1[Obergruppe ATC-Code]"),Tabelle3!$A6)</f>
        <v>0</v>
      </c>
      <c r="AF6">
        <f ca="1">COUNTIFS(INDIRECT("Table1[Beginn]"),"&lt;="&amp;AF$1,INDIRECT("Table1[Ende]"),"&gt;="&amp;AF$1,INDIRECT("Table1[Obergruppe ATC-Code]"),Tabelle3!$A6)</f>
        <v>1</v>
      </c>
      <c r="AG6">
        <f ca="1">COUNTIFS(INDIRECT("Table1[Beginn]"),"&lt;="&amp;AG$1,INDIRECT("Table1[Ende]"),"&gt;="&amp;AG$1,INDIRECT("Table1[Obergruppe ATC-Code]"),Tabelle3!$A6)</f>
        <v>1</v>
      </c>
      <c r="AH6">
        <f ca="1">COUNTIFS(INDIRECT("Table1[Beginn]"),"&lt;="&amp;AH$1,INDIRECT("Table1[Ende]"),"&gt;="&amp;AH$1,INDIRECT("Table1[Obergruppe ATC-Code]"),Tabelle3!$A6)</f>
        <v>1</v>
      </c>
      <c r="AI6">
        <f ca="1">COUNTIFS(INDIRECT("Table1[Beginn]"),"&lt;="&amp;AI$1,INDIRECT("Table1[Ende]"),"&gt;="&amp;AI$1,INDIRECT("Table1[Obergruppe ATC-Code]"),Tabelle3!$A6)</f>
        <v>1</v>
      </c>
      <c r="AJ6">
        <f ca="1">COUNTIFS(INDIRECT("Table1[Beginn]"),"&lt;="&amp;AJ$1,INDIRECT("Table1[Ende]"),"&gt;="&amp;AJ$1,INDIRECT("Table1[Obergruppe ATC-Code]"),Tabelle3!$A6)</f>
        <v>1</v>
      </c>
      <c r="AK6">
        <f ca="1">COUNTIFS(INDIRECT("Table1[Beginn]"),"&lt;="&amp;AK$1,INDIRECT("Table1[Ende]"),"&gt;="&amp;AK$1,INDIRECT("Table1[Obergruppe ATC-Code]"),Tabelle3!$A6)</f>
        <v>1</v>
      </c>
      <c r="AL6">
        <f ca="1">COUNTIFS(INDIRECT("Table1[Beginn]"),"&lt;="&amp;AL$1,INDIRECT("Table1[Ende]"),"&gt;="&amp;AL$1,INDIRECT("Table1[Obergruppe ATC-Code]"),Tabelle3!$A6)</f>
        <v>1</v>
      </c>
      <c r="AM6">
        <f ca="1">COUNTIFS(INDIRECT("Table1[Beginn]"),"&lt;="&amp;AM$1,INDIRECT("Table1[Ende]"),"&gt;="&amp;AM$1,INDIRECT("Table1[Obergruppe ATC-Code]"),Tabelle3!$A6)</f>
        <v>1</v>
      </c>
      <c r="AN6">
        <f ca="1">COUNTIFS(INDIRECT("Table1[Beginn]"),"&lt;="&amp;AN$1,INDIRECT("Table1[Ende]"),"&gt;="&amp;AN$1,INDIRECT("Table1[Obergruppe ATC-Code]"),Tabelle3!$A6)</f>
        <v>1</v>
      </c>
      <c r="AO6">
        <f ca="1">COUNTIFS(INDIRECT("Table1[Beginn]"),"&lt;="&amp;AO$1,INDIRECT("Table1[Ende]"),"&gt;="&amp;AO$1,INDIRECT("Table1[Obergruppe ATC-Code]"),Tabelle3!$A6)</f>
        <v>0</v>
      </c>
      <c r="AP6">
        <f ca="1">COUNTIFS(INDIRECT("Table1[Beginn]"),"&lt;="&amp;AP$1,INDIRECT("Table1[Ende]"),"&gt;="&amp;AP$1,INDIRECT("Table1[Obergruppe ATC-Code]"),Tabelle3!$A6)</f>
        <v>0</v>
      </c>
      <c r="AQ6">
        <f ca="1">COUNTIFS(INDIRECT("Table1[Beginn]"),"&lt;="&amp;AQ$1,INDIRECT("Table1[Ende]"),"&gt;="&amp;AQ$1,INDIRECT("Table1[Obergruppe ATC-Code]"),Tabelle3!$A6)</f>
        <v>0</v>
      </c>
      <c r="AR6">
        <f ca="1">COUNTIFS(INDIRECT("Table1[Beginn]"),"&lt;="&amp;AR$1,INDIRECT("Table1[Ende]"),"&gt;="&amp;AR$1,INDIRECT("Table1[Obergruppe ATC-Code]"),Tabelle3!$A6)</f>
        <v>0</v>
      </c>
      <c r="AS6">
        <f ca="1">COUNTIFS(INDIRECT("Table1[Beginn]"),"&lt;="&amp;AS$1,INDIRECT("Table1[Ende]"),"&gt;="&amp;AS$1,INDIRECT("Table1[Obergruppe ATC-Code]"),Tabelle3!$A6)</f>
        <v>0</v>
      </c>
      <c r="AT6">
        <f ca="1">COUNTIFS(INDIRECT("Table1[Beginn]"),"&lt;="&amp;AT$1,INDIRECT("Table1[Ende]"),"&gt;="&amp;AT$1,INDIRECT("Table1[Obergruppe ATC-Code]"),Tabelle3!$A6)</f>
        <v>0</v>
      </c>
      <c r="AU6">
        <f ca="1">COUNTIFS(INDIRECT("Table1[Beginn]"),"&lt;="&amp;AU$1,INDIRECT("Table1[Ende]"),"&gt;="&amp;AU$1,INDIRECT("Table1[Obergruppe ATC-Code]"),Tabelle3!$A6)</f>
        <v>0</v>
      </c>
      <c r="AV6">
        <f ca="1">COUNTIFS(INDIRECT("Table1[Beginn]"),"&lt;="&amp;AV$1,INDIRECT("Table1[Ende]"),"&gt;="&amp;AV$1,INDIRECT("Table1[Obergruppe ATC-Code]"),Tabelle3!$A6)</f>
        <v>0</v>
      </c>
      <c r="AW6">
        <f ca="1">COUNTIFS(INDIRECT("Table1[Beginn]"),"&lt;="&amp;AW$1,INDIRECT("Table1[Ende]"),"&gt;="&amp;AW$1,INDIRECT("Table1[Obergruppe ATC-Code]"),Tabelle3!$A6)</f>
        <v>0</v>
      </c>
      <c r="AX6">
        <f ca="1">COUNTIFS(INDIRECT("Table1[Beginn]"),"&lt;="&amp;AX$1,INDIRECT("Table1[Ende]"),"&gt;="&amp;AX$1,INDIRECT("Table1[Obergruppe ATC-Code]"),Tabelle3!$A6)</f>
        <v>0</v>
      </c>
      <c r="AY6">
        <f ca="1">COUNTIFS(INDIRECT("Table1[Beginn]"),"&lt;="&amp;AY$1,INDIRECT("Table1[Ende]"),"&gt;="&amp;AY$1,INDIRECT("Table1[Obergruppe ATC-Code]"),Tabelle3!$A6)</f>
        <v>1</v>
      </c>
      <c r="AZ6">
        <f ca="1">COUNTIFS(INDIRECT("Table1[Beginn]"),"&lt;="&amp;AZ$1,INDIRECT("Table1[Ende]"),"&gt;="&amp;AZ$1,INDIRECT("Table1[Obergruppe ATC-Code]"),Tabelle3!$A6)</f>
        <v>3</v>
      </c>
      <c r="BA6">
        <f ca="1">COUNTIFS(INDIRECT("Table1[Beginn]"),"&lt;="&amp;BA$1,INDIRECT("Table1[Ende]"),"&gt;="&amp;BA$1,INDIRECT("Table1[Obergruppe ATC-Code]"),Tabelle3!$A6)</f>
        <v>3</v>
      </c>
      <c r="BB6">
        <f ca="1">COUNTIFS(INDIRECT("Table1[Beginn]"),"&lt;="&amp;BB$1,INDIRECT("Table1[Ende]"),"&gt;="&amp;BB$1,INDIRECT("Table1[Obergruppe ATC-Code]"),Tabelle3!$A6)</f>
        <v>1</v>
      </c>
      <c r="BC6">
        <f ca="1">COUNTIFS(INDIRECT("Table1[Beginn]"),"&lt;="&amp;BC$1,INDIRECT("Table1[Ende]"),"&gt;="&amp;BC$1,INDIRECT("Table1[Obergruppe ATC-Code]"),Tabelle3!$A6)</f>
        <v>1</v>
      </c>
      <c r="BD6">
        <f ca="1">COUNTIFS(INDIRECT("Table1[Beginn]"),"&lt;="&amp;BD$1,INDIRECT("Table1[Ende]"),"&gt;="&amp;BD$1,INDIRECT("Table1[Obergruppe ATC-Code]"),Tabelle3!$A6)</f>
        <v>0</v>
      </c>
      <c r="BE6">
        <f ca="1">COUNTIFS(INDIRECT("Table1[Beginn]"),"&lt;="&amp;BE$1,INDIRECT("Table1[Ende]"),"&gt;="&amp;BE$1,INDIRECT("Table1[Obergruppe ATC-Code]"),Tabelle3!$A6)</f>
        <v>0</v>
      </c>
      <c r="BF6">
        <f ca="1">COUNTIFS(INDIRECT("Table1[Beginn]"),"&lt;="&amp;BF$1,INDIRECT("Table1[Ende]"),"&gt;="&amp;BF$1,INDIRECT("Table1[Obergruppe ATC-Code]"),Tabelle3!$A6)</f>
        <v>0</v>
      </c>
      <c r="BG6">
        <f ca="1">COUNTIFS(INDIRECT("Table1[Beginn]"),"&lt;="&amp;BG$1,INDIRECT("Table1[Ende]"),"&gt;="&amp;BG$1,INDIRECT("Table1[Obergruppe ATC-Code]"),Tabelle3!$A6)</f>
        <v>0</v>
      </c>
      <c r="BH6">
        <f ca="1">COUNTIFS(INDIRECT("Table1[Beginn]"),"&lt;="&amp;BH$1,INDIRECT("Table1[Ende]"),"&gt;="&amp;BH$1,INDIRECT("Table1[Obergruppe ATC-Code]"),Tabelle3!$A6)</f>
        <v>0</v>
      </c>
      <c r="BI6">
        <f ca="1">COUNTIFS(INDIRECT("Table1[Beginn]"),"&lt;="&amp;BI$1,INDIRECT("Table1[Ende]"),"&gt;="&amp;BI$1,INDIRECT("Table1[Obergruppe ATC-Code]"),Tabelle3!$A6)</f>
        <v>0</v>
      </c>
      <c r="BJ6">
        <f ca="1">COUNTIFS(INDIRECT("Table1[Beginn]"),"&lt;="&amp;BJ$1,INDIRECT("Table1[Ende]"),"&gt;="&amp;BJ$1,INDIRECT("Table1[Obergruppe ATC-Code]"),Tabelle3!$A6)</f>
        <v>0</v>
      </c>
      <c r="BK6">
        <f ca="1">COUNTIFS(INDIRECT("Table1[Beginn]"),"&lt;="&amp;BK$1,INDIRECT("Table1[Ende]"),"&gt;="&amp;BK$1,INDIRECT("Table1[Obergruppe ATC-Code]"),Tabelle3!$A6)</f>
        <v>0</v>
      </c>
      <c r="BL6">
        <f ca="1">COUNTIFS(INDIRECT("Table1[Beginn]"),"&lt;="&amp;BL$1,INDIRECT("Table1[Ende]"),"&gt;="&amp;BL$1,INDIRECT("Table1[Obergruppe ATC-Code]"),Tabelle3!$A6)</f>
        <v>0</v>
      </c>
      <c r="BM6">
        <f ca="1">COUNTIFS(INDIRECT("Table1[Beginn]"),"&lt;="&amp;BM$1,INDIRECT("Table1[Ende]"),"&gt;="&amp;BM$1,INDIRECT("Table1[Obergruppe ATC-Code]"),Tabelle3!$A6)</f>
        <v>0</v>
      </c>
      <c r="BN6">
        <f ca="1">COUNTIFS(INDIRECT("Table1[Beginn]"),"&lt;="&amp;BN$1,INDIRECT("Table1[Ende]"),"&gt;="&amp;BN$1,INDIRECT("Table1[Obergruppe ATC-Code]"),Tabelle3!$A6)</f>
        <v>0</v>
      </c>
      <c r="BO6">
        <f ca="1">COUNTIFS(INDIRECT("Table1[Beginn]"),"&lt;="&amp;BO$1,INDIRECT("Table1[Ende]"),"&gt;="&amp;BO$1,INDIRECT("Table1[Obergruppe ATC-Code]"),Tabelle3!$A6)</f>
        <v>0</v>
      </c>
      <c r="BP6">
        <f ca="1">COUNTIFS(INDIRECT("Table1[Beginn]"),"&lt;="&amp;BP$1,INDIRECT("Table1[Ende]"),"&gt;="&amp;BP$1,INDIRECT("Table1[Obergruppe ATC-Code]"),Tabelle3!$A6)</f>
        <v>1</v>
      </c>
      <c r="BQ6">
        <f ca="1">COUNTIFS(INDIRECT("Table1[Beginn]"),"&lt;="&amp;BQ$1,INDIRECT("Table1[Ende]"),"&gt;="&amp;BQ$1,INDIRECT("Table1[Obergruppe ATC-Code]"),Tabelle3!$A6)</f>
        <v>1</v>
      </c>
      <c r="BR6">
        <f ca="1">COUNTIFS(INDIRECT("Table1[Beginn]"),"&lt;="&amp;BR$1,INDIRECT("Table1[Ende]"),"&gt;="&amp;BR$1,INDIRECT("Table1[Obergruppe ATC-Code]"),Tabelle3!$A6)</f>
        <v>1</v>
      </c>
      <c r="BS6">
        <f ca="1">COUNTIFS(INDIRECT("Table1[Beginn]"),"&lt;="&amp;BS$1,INDIRECT("Table1[Ende]"),"&gt;="&amp;BS$1,INDIRECT("Table1[Obergruppe ATC-Code]"),Tabelle3!$A6)</f>
        <v>2</v>
      </c>
      <c r="BT6">
        <f ca="1">COUNTIFS(INDIRECT("Table1[Beginn]"),"&lt;="&amp;BT$1,INDIRECT("Table1[Ende]"),"&gt;="&amp;BT$1,INDIRECT("Table1[Obergruppe ATC-Code]"),Tabelle3!$A6)</f>
        <v>1</v>
      </c>
      <c r="BU6">
        <f ca="1">COUNTIFS(INDIRECT("Table1[Beginn]"),"&lt;="&amp;BU$1,INDIRECT("Table1[Ende]"),"&gt;="&amp;BU$1,INDIRECT("Table1[Obergruppe ATC-Code]"),Tabelle3!$A6)</f>
        <v>1</v>
      </c>
      <c r="BV6">
        <f ca="1">COUNTIFS(INDIRECT("Table1[Beginn]"),"&lt;="&amp;BV$1,INDIRECT("Table1[Ende]"),"&gt;="&amp;BV$1,INDIRECT("Table1[Obergruppe ATC-Code]"),Tabelle3!$A6)</f>
        <v>1</v>
      </c>
      <c r="BW6">
        <f ca="1">COUNTIFS(INDIRECT("Table1[Beginn]"),"&lt;="&amp;BW$1,INDIRECT("Table1[Ende]"),"&gt;="&amp;BW$1,INDIRECT("Table1[Obergruppe ATC-Code]"),Tabelle3!$A6)</f>
        <v>3</v>
      </c>
      <c r="BX6">
        <f ca="1">COUNTIFS(INDIRECT("Table1[Beginn]"),"&lt;="&amp;BX$1,INDIRECT("Table1[Ende]"),"&gt;="&amp;BX$1,INDIRECT("Table1[Obergruppe ATC-Code]"),Tabelle3!$A6)</f>
        <v>3</v>
      </c>
      <c r="BY6">
        <f ca="1">COUNTIFS(INDIRECT("Table1[Beginn]"),"&lt;="&amp;BY$1,INDIRECT("Table1[Ende]"),"&gt;="&amp;BY$1,INDIRECT("Table1[Obergruppe ATC-Code]"),Tabelle3!$A6)</f>
        <v>3</v>
      </c>
      <c r="BZ6">
        <f ca="1">COUNTIFS(INDIRECT("Table1[Beginn]"),"&lt;="&amp;BZ$1,INDIRECT("Table1[Ende]"),"&gt;="&amp;BZ$1,INDIRECT("Table1[Obergruppe ATC-Code]"),Tabelle3!$A6)</f>
        <v>2</v>
      </c>
      <c r="CA6">
        <f ca="1">COUNTIFS(INDIRECT("Table1[Beginn]"),"&lt;="&amp;CA$1,INDIRECT("Table1[Ende]"),"&gt;="&amp;CA$1,INDIRECT("Table1[Obergruppe ATC-Code]"),Tabelle3!$A6)</f>
        <v>2</v>
      </c>
      <c r="CB6">
        <f ca="1">COUNTIFS(INDIRECT("Table1[Beginn]"),"&lt;="&amp;CB$1,INDIRECT("Table1[Ende]"),"&gt;="&amp;CB$1,INDIRECT("Table1[Obergruppe ATC-Code]"),Tabelle3!$A6)</f>
        <v>1</v>
      </c>
      <c r="CC6">
        <f ca="1">COUNTIFS(INDIRECT("Table1[Beginn]"),"&lt;="&amp;CC$1,INDIRECT("Table1[Ende]"),"&gt;="&amp;CC$1,INDIRECT("Table1[Obergruppe ATC-Code]"),Tabelle3!$A6)</f>
        <v>1</v>
      </c>
      <c r="CD6">
        <f ca="1">COUNTIFS(INDIRECT("Table1[Beginn]"),"&lt;="&amp;CD$1,INDIRECT("Table1[Ende]"),"&gt;="&amp;CD$1,INDIRECT("Table1[Obergruppe ATC-Code]"),Tabelle3!$A6)</f>
        <v>0</v>
      </c>
      <c r="CE6">
        <f ca="1">COUNTIFS(INDIRECT("Table1[Beginn]"),"&lt;="&amp;CE$1,INDIRECT("Table1[Ende]"),"&gt;="&amp;CE$1,INDIRECT("Table1[Obergruppe ATC-Code]"),Tabelle3!$A6)</f>
        <v>0</v>
      </c>
      <c r="CF6">
        <f ca="1">COUNTIFS(INDIRECT("Table1[Beginn]"),"&lt;="&amp;CF$1,INDIRECT("Table1[Ende]"),"&gt;="&amp;CF$1,INDIRECT("Table1[Obergruppe ATC-Code]"),Tabelle3!$A6)</f>
        <v>0</v>
      </c>
      <c r="CG6">
        <f ca="1">COUNTIFS(INDIRECT("Table1[Beginn]"),"&lt;="&amp;CG$1,INDIRECT("Table1[Ende]"),"&gt;="&amp;CG$1,INDIRECT("Table1[Obergruppe ATC-Code]"),Tabelle3!$A6)</f>
        <v>0</v>
      </c>
      <c r="CH6">
        <f ca="1">COUNTIFS(INDIRECT("Table1[Beginn]"),"&lt;="&amp;CH$1,INDIRECT("Table1[Ende]"),"&gt;="&amp;CH$1,INDIRECT("Table1[Obergruppe ATC-Code]"),Tabelle3!$A6)</f>
        <v>0</v>
      </c>
      <c r="CI6">
        <f ca="1">COUNTIFS(INDIRECT("Table1[Beginn]"),"&lt;="&amp;CI$1,INDIRECT("Table1[Ende]"),"&gt;="&amp;CI$1,INDIRECT("Table1[Obergruppe ATC-Code]"),Tabelle3!$A6)</f>
        <v>0</v>
      </c>
      <c r="CJ6">
        <f ca="1">COUNTIFS(INDIRECT("Table1[Beginn]"),"&lt;="&amp;CJ$1,INDIRECT("Table1[Ende]"),"&gt;="&amp;CJ$1,INDIRECT("Table1[Obergruppe ATC-Code]"),Tabelle3!$A6)</f>
        <v>0</v>
      </c>
      <c r="CK6">
        <f ca="1">COUNTIFS(INDIRECT("Table1[Beginn]"),"&lt;="&amp;CK$1,INDIRECT("Table1[Ende]"),"&gt;="&amp;CK$1,INDIRECT("Table1[Obergruppe ATC-Code]"),Tabelle3!$A6)</f>
        <v>0</v>
      </c>
      <c r="CL6">
        <f ca="1">COUNTIFS(INDIRECT("Table1[Beginn]"),"&lt;="&amp;CL$1,INDIRECT("Table1[Ende]"),"&gt;="&amp;CL$1,INDIRECT("Table1[Obergruppe ATC-Code]"),Tabelle3!$A6)</f>
        <v>0</v>
      </c>
      <c r="CM6">
        <f ca="1">COUNTIFS(INDIRECT("Table1[Beginn]"),"&lt;="&amp;CM$1,INDIRECT("Table1[Ende]"),"&gt;="&amp;CM$1,INDIRECT("Table1[Obergruppe ATC-Code]"),Tabelle3!$A6)</f>
        <v>0</v>
      </c>
      <c r="CN6">
        <f ca="1">COUNTIFS(INDIRECT("Table1[Beginn]"),"&lt;="&amp;CN$1,INDIRECT("Table1[Ende]"),"&gt;="&amp;CN$1,INDIRECT("Table1[Obergruppe ATC-Code]"),Tabelle3!$A6)</f>
        <v>0</v>
      </c>
      <c r="CO6">
        <f ca="1">COUNTIFS(INDIRECT("Table1[Beginn]"),"&lt;="&amp;CO$1,INDIRECT("Table1[Ende]"),"&gt;="&amp;CO$1,INDIRECT("Table1[Obergruppe ATC-Code]"),Tabelle3!$A6)</f>
        <v>0</v>
      </c>
      <c r="CP6">
        <f ca="1">COUNTIFS(INDIRECT("Table1[Beginn]"),"&lt;="&amp;CP$1,INDIRECT("Table1[Ende]"),"&gt;="&amp;CP$1,INDIRECT("Table1[Obergruppe ATC-Code]"),Tabelle3!$A6)</f>
        <v>0</v>
      </c>
      <c r="CQ6">
        <f ca="1">COUNTIFS(INDIRECT("Table1[Beginn]"),"&lt;="&amp;CQ$1,INDIRECT("Table1[Ende]"),"&gt;="&amp;CQ$1,INDIRECT("Table1[Obergruppe ATC-Code]"),Tabelle3!$A6)</f>
        <v>0</v>
      </c>
      <c r="CR6">
        <f ca="1">COUNTIFS(INDIRECT("Table1[Beginn]"),"&lt;="&amp;CR$1,INDIRECT("Table1[Ende]"),"&gt;="&amp;CR$1,INDIRECT("Table1[Obergruppe ATC-Code]"),Tabelle3!$A6)</f>
        <v>0</v>
      </c>
      <c r="CS6">
        <f ca="1">COUNTIFS(INDIRECT("Table1[Beginn]"),"&lt;="&amp;CS$1,INDIRECT("Table1[Ende]"),"&gt;="&amp;CS$1,INDIRECT("Table1[Obergruppe ATC-Code]"),Tabelle3!$A6)</f>
        <v>0</v>
      </c>
      <c r="CT6">
        <f ca="1">COUNTIFS(INDIRECT("Table1[Beginn]"),"&lt;="&amp;CT$1,INDIRECT("Table1[Ende]"),"&gt;="&amp;CT$1,INDIRECT("Table1[Obergruppe ATC-Code]"),Tabelle3!$A6)</f>
        <v>0</v>
      </c>
      <c r="CU6" s="54"/>
      <c r="CV6" s="54"/>
      <c r="CW6" s="54"/>
      <c r="CX6" s="54"/>
      <c r="CY6" s="54"/>
      <c r="CZ6" s="54"/>
      <c r="DA6" s="54"/>
      <c r="DB6" s="54"/>
      <c r="DC6" s="54"/>
      <c r="DD6" s="54"/>
      <c r="DE6" s="54"/>
      <c r="DF6" s="54"/>
      <c r="DG6" s="54"/>
      <c r="DH6" s="54"/>
    </row>
    <row r="7" spans="1:112" ht="18" customHeight="1">
      <c r="A7" s="9" t="s">
        <v>6782</v>
      </c>
      <c r="B7" s="10" t="s">
        <v>6783</v>
      </c>
      <c r="C7">
        <f ca="1">COUNTIFS(INDIRECT("Table1[Beginn]"),"&lt;="&amp;C$1,INDIRECT("Table1[Ende]"),"&gt;="&amp;C$1,INDIRECT("Table1[Obergruppe ATC-Code]"),Tabelle3!$A7)</f>
        <v>0</v>
      </c>
      <c r="D7">
        <f ca="1">COUNTIFS(INDIRECT("Table1[Beginn]"),"&lt;="&amp;D$1,INDIRECT("Table1[Ende]"),"&gt;="&amp;D$1,INDIRECT("Table1[Obergruppe ATC-Code]"),Tabelle3!$A7)</f>
        <v>0</v>
      </c>
      <c r="E7">
        <f ca="1">COUNTIFS(INDIRECT("Table1[Beginn]"),"&lt;="&amp;E$1,INDIRECT("Table1[Ende]"),"&gt;="&amp;E$1,INDIRECT("Table1[Obergruppe ATC-Code]"),Tabelle3!$A7)</f>
        <v>0</v>
      </c>
      <c r="F7">
        <f ca="1">COUNTIFS(INDIRECT("Table1[Beginn]"),"&lt;="&amp;F$1,INDIRECT("Table1[Ende]"),"&gt;="&amp;F$1,INDIRECT("Table1[Obergruppe ATC-Code]"),Tabelle3!$A7)</f>
        <v>0</v>
      </c>
      <c r="G7">
        <f ca="1">COUNTIFS(INDIRECT("Table1[Beginn]"),"&lt;="&amp;G$1,INDIRECT("Table1[Ende]"),"&gt;="&amp;G$1,INDIRECT("Table1[Obergruppe ATC-Code]"),Tabelle3!$A7)</f>
        <v>0</v>
      </c>
      <c r="H7">
        <f ca="1">COUNTIFS(INDIRECT("Table1[Beginn]"),"&lt;="&amp;H$1,INDIRECT("Table1[Ende]"),"&gt;="&amp;H$1,INDIRECT("Table1[Obergruppe ATC-Code]"),Tabelle3!$A7)</f>
        <v>0</v>
      </c>
      <c r="I7">
        <f ca="1">COUNTIFS(INDIRECT("Table1[Beginn]"),"&lt;="&amp;I$1,INDIRECT("Table1[Ende]"),"&gt;="&amp;I$1,INDIRECT("Table1[Obergruppe ATC-Code]"),Tabelle3!$A7)</f>
        <v>0</v>
      </c>
      <c r="J7">
        <f ca="1">COUNTIFS(INDIRECT("Table1[Beginn]"),"&lt;="&amp;J$1,INDIRECT("Table1[Ende]"),"&gt;="&amp;J$1,INDIRECT("Table1[Obergruppe ATC-Code]"),Tabelle3!$A7)</f>
        <v>0</v>
      </c>
      <c r="K7">
        <f ca="1">COUNTIFS(INDIRECT("Table1[Beginn]"),"&lt;="&amp;K$1,INDIRECT("Table1[Ende]"),"&gt;="&amp;K$1,INDIRECT("Table1[Obergruppe ATC-Code]"),Tabelle3!$A7)</f>
        <v>0</v>
      </c>
      <c r="L7">
        <f ca="1">COUNTIFS(INDIRECT("Table1[Beginn]"),"&lt;="&amp;L$1,INDIRECT("Table1[Ende]"),"&gt;="&amp;L$1,INDIRECT("Table1[Obergruppe ATC-Code]"),Tabelle3!$A7)</f>
        <v>0</v>
      </c>
      <c r="M7">
        <f ca="1">COUNTIFS(INDIRECT("Table1[Beginn]"),"&lt;="&amp;M$1,INDIRECT("Table1[Ende]"),"&gt;="&amp;M$1,INDIRECT("Table1[Obergruppe ATC-Code]"),Tabelle3!$A7)</f>
        <v>0</v>
      </c>
      <c r="N7">
        <f ca="1">COUNTIFS(INDIRECT("Table1[Beginn]"),"&lt;="&amp;N$1,INDIRECT("Table1[Ende]"),"&gt;="&amp;N$1,INDIRECT("Table1[Obergruppe ATC-Code]"),Tabelle3!$A7)</f>
        <v>0</v>
      </c>
      <c r="O7">
        <f ca="1">COUNTIFS(INDIRECT("Table1[Beginn]"),"&lt;="&amp;O$1,INDIRECT("Table1[Ende]"),"&gt;="&amp;O$1,INDIRECT("Table1[Obergruppe ATC-Code]"),Tabelle3!$A7)</f>
        <v>0</v>
      </c>
      <c r="P7">
        <f ca="1">COUNTIFS(INDIRECT("Table1[Beginn]"),"&lt;="&amp;P$1,INDIRECT("Table1[Ende]"),"&gt;="&amp;P$1,INDIRECT("Table1[Obergruppe ATC-Code]"),Tabelle3!$A7)</f>
        <v>0</v>
      </c>
      <c r="Q7">
        <f ca="1">COUNTIFS(INDIRECT("Table1[Beginn]"),"&lt;="&amp;Q$1,INDIRECT("Table1[Ende]"),"&gt;="&amp;Q$1,INDIRECT("Table1[Obergruppe ATC-Code]"),Tabelle3!$A7)</f>
        <v>0</v>
      </c>
      <c r="R7">
        <f ca="1">COUNTIFS(INDIRECT("Table1[Beginn]"),"&lt;="&amp;R$1,INDIRECT("Table1[Ende]"),"&gt;="&amp;R$1,INDIRECT("Table1[Obergruppe ATC-Code]"),Tabelle3!$A7)</f>
        <v>0</v>
      </c>
      <c r="S7">
        <f ca="1">COUNTIFS(INDIRECT("Table1[Beginn]"),"&lt;="&amp;S$1,INDIRECT("Table1[Ende]"),"&gt;="&amp;S$1,INDIRECT("Table1[Obergruppe ATC-Code]"),Tabelle3!$A7)</f>
        <v>0</v>
      </c>
      <c r="T7">
        <f ca="1">COUNTIFS(INDIRECT("Table1[Beginn]"),"&lt;="&amp;T$1,INDIRECT("Table1[Ende]"),"&gt;="&amp;T$1,INDIRECT("Table1[Obergruppe ATC-Code]"),Tabelle3!$A7)</f>
        <v>0</v>
      </c>
      <c r="U7">
        <f ca="1">COUNTIFS(INDIRECT("Table1[Beginn]"),"&lt;="&amp;U$1,INDIRECT("Table1[Ende]"),"&gt;="&amp;U$1,INDIRECT("Table1[Obergruppe ATC-Code]"),Tabelle3!$A7)</f>
        <v>2</v>
      </c>
      <c r="V7">
        <f ca="1">COUNTIFS(INDIRECT("Table1[Beginn]"),"&lt;="&amp;V$1,INDIRECT("Table1[Ende]"),"&gt;="&amp;V$1,INDIRECT("Table1[Obergruppe ATC-Code]"),Tabelle3!$A7)</f>
        <v>2</v>
      </c>
      <c r="W7">
        <f ca="1">COUNTIFS(INDIRECT("Table1[Beginn]"),"&lt;="&amp;W$1,INDIRECT("Table1[Ende]"),"&gt;="&amp;W$1,INDIRECT("Table1[Obergruppe ATC-Code]"),Tabelle3!$A7)</f>
        <v>2</v>
      </c>
      <c r="X7">
        <f ca="1">COUNTIFS(INDIRECT("Table1[Beginn]"),"&lt;="&amp;X$1,INDIRECT("Table1[Ende]"),"&gt;="&amp;X$1,INDIRECT("Table1[Obergruppe ATC-Code]"),Tabelle3!$A7)</f>
        <v>0</v>
      </c>
      <c r="Y7">
        <f ca="1">COUNTIFS(INDIRECT("Table1[Beginn]"),"&lt;="&amp;Y$1,INDIRECT("Table1[Ende]"),"&gt;="&amp;Y$1,INDIRECT("Table1[Obergruppe ATC-Code]"),Tabelle3!$A7)</f>
        <v>0</v>
      </c>
      <c r="Z7">
        <f ca="1">COUNTIFS(INDIRECT("Table1[Beginn]"),"&lt;="&amp;Z$1,INDIRECT("Table1[Ende]"),"&gt;="&amp;Z$1,INDIRECT("Table1[Obergruppe ATC-Code]"),Tabelle3!$A7)</f>
        <v>0</v>
      </c>
      <c r="AA7">
        <f ca="1">COUNTIFS(INDIRECT("Table1[Beginn]"),"&lt;="&amp;AA$1,INDIRECT("Table1[Ende]"),"&gt;="&amp;AA$1,INDIRECT("Table1[Obergruppe ATC-Code]"),Tabelle3!$A7)</f>
        <v>0</v>
      </c>
      <c r="AB7">
        <f ca="1">COUNTIFS(INDIRECT("Table1[Beginn]"),"&lt;="&amp;AB$1,INDIRECT("Table1[Ende]"),"&gt;="&amp;AB$1,INDIRECT("Table1[Obergruppe ATC-Code]"),Tabelle3!$A7)</f>
        <v>1</v>
      </c>
      <c r="AC7">
        <f ca="1">COUNTIFS(INDIRECT("Table1[Beginn]"),"&lt;="&amp;AC$1,INDIRECT("Table1[Ende]"),"&gt;="&amp;AC$1,INDIRECT("Table1[Obergruppe ATC-Code]"),Tabelle3!$A7)</f>
        <v>1</v>
      </c>
      <c r="AD7">
        <f ca="1">COUNTIFS(INDIRECT("Table1[Beginn]"),"&lt;="&amp;AD$1,INDIRECT("Table1[Ende]"),"&gt;="&amp;AD$1,INDIRECT("Table1[Obergruppe ATC-Code]"),Tabelle3!$A7)</f>
        <v>0</v>
      </c>
      <c r="AE7">
        <f ca="1">COUNTIFS(INDIRECT("Table1[Beginn]"),"&lt;="&amp;AE$1,INDIRECT("Table1[Ende]"),"&gt;="&amp;AE$1,INDIRECT("Table1[Obergruppe ATC-Code]"),Tabelle3!$A7)</f>
        <v>0</v>
      </c>
      <c r="AF7">
        <f ca="1">COUNTIFS(INDIRECT("Table1[Beginn]"),"&lt;="&amp;AF$1,INDIRECT("Table1[Ende]"),"&gt;="&amp;AF$1,INDIRECT("Table1[Obergruppe ATC-Code]"),Tabelle3!$A7)</f>
        <v>1</v>
      </c>
      <c r="AG7">
        <f ca="1">COUNTIFS(INDIRECT("Table1[Beginn]"),"&lt;="&amp;AG$1,INDIRECT("Table1[Ende]"),"&gt;="&amp;AG$1,INDIRECT("Table1[Obergruppe ATC-Code]"),Tabelle3!$A7)</f>
        <v>1</v>
      </c>
      <c r="AH7">
        <f ca="1">COUNTIFS(INDIRECT("Table1[Beginn]"),"&lt;="&amp;AH$1,INDIRECT("Table1[Ende]"),"&gt;="&amp;AH$1,INDIRECT("Table1[Obergruppe ATC-Code]"),Tabelle3!$A7)</f>
        <v>1</v>
      </c>
      <c r="AI7">
        <f ca="1">COUNTIFS(INDIRECT("Table1[Beginn]"),"&lt;="&amp;AI$1,INDIRECT("Table1[Ende]"),"&gt;="&amp;AI$1,INDIRECT("Table1[Obergruppe ATC-Code]"),Tabelle3!$A7)</f>
        <v>0</v>
      </c>
      <c r="AJ7">
        <f ca="1">COUNTIFS(INDIRECT("Table1[Beginn]"),"&lt;="&amp;AJ$1,INDIRECT("Table1[Ende]"),"&gt;="&amp;AJ$1,INDIRECT("Table1[Obergruppe ATC-Code]"),Tabelle3!$A7)</f>
        <v>0</v>
      </c>
      <c r="AK7">
        <f ca="1">COUNTIFS(INDIRECT("Table1[Beginn]"),"&lt;="&amp;AK$1,INDIRECT("Table1[Ende]"),"&gt;="&amp;AK$1,INDIRECT("Table1[Obergruppe ATC-Code]"),Tabelle3!$A7)</f>
        <v>0</v>
      </c>
      <c r="AL7">
        <f ca="1">COUNTIFS(INDIRECT("Table1[Beginn]"),"&lt;="&amp;AL$1,INDIRECT("Table1[Ende]"),"&gt;="&amp;AL$1,INDIRECT("Table1[Obergruppe ATC-Code]"),Tabelle3!$A7)</f>
        <v>0</v>
      </c>
      <c r="AM7">
        <f ca="1">COUNTIFS(INDIRECT("Table1[Beginn]"),"&lt;="&amp;AM$1,INDIRECT("Table1[Ende]"),"&gt;="&amp;AM$1,INDIRECT("Table1[Obergruppe ATC-Code]"),Tabelle3!$A7)</f>
        <v>0</v>
      </c>
      <c r="AN7">
        <f ca="1">COUNTIFS(INDIRECT("Table1[Beginn]"),"&lt;="&amp;AN$1,INDIRECT("Table1[Ende]"),"&gt;="&amp;AN$1,INDIRECT("Table1[Obergruppe ATC-Code]"),Tabelle3!$A7)</f>
        <v>1</v>
      </c>
      <c r="AO7">
        <f ca="1">COUNTIFS(INDIRECT("Table1[Beginn]"),"&lt;="&amp;AO$1,INDIRECT("Table1[Ende]"),"&gt;="&amp;AO$1,INDIRECT("Table1[Obergruppe ATC-Code]"),Tabelle3!$A7)</f>
        <v>1</v>
      </c>
      <c r="AP7">
        <f ca="1">COUNTIFS(INDIRECT("Table1[Beginn]"),"&lt;="&amp;AP$1,INDIRECT("Table1[Ende]"),"&gt;="&amp;AP$1,INDIRECT("Table1[Obergruppe ATC-Code]"),Tabelle3!$A7)</f>
        <v>0</v>
      </c>
      <c r="AQ7">
        <f ca="1">COUNTIFS(INDIRECT("Table1[Beginn]"),"&lt;="&amp;AQ$1,INDIRECT("Table1[Ende]"),"&gt;="&amp;AQ$1,INDIRECT("Table1[Obergruppe ATC-Code]"),Tabelle3!$A7)</f>
        <v>0</v>
      </c>
      <c r="AR7">
        <f ca="1">COUNTIFS(INDIRECT("Table1[Beginn]"),"&lt;="&amp;AR$1,INDIRECT("Table1[Ende]"),"&gt;="&amp;AR$1,INDIRECT("Table1[Obergruppe ATC-Code]"),Tabelle3!$A7)</f>
        <v>0</v>
      </c>
      <c r="AS7">
        <f ca="1">COUNTIFS(INDIRECT("Table1[Beginn]"),"&lt;="&amp;AS$1,INDIRECT("Table1[Ende]"),"&gt;="&amp;AS$1,INDIRECT("Table1[Obergruppe ATC-Code]"),Tabelle3!$A7)</f>
        <v>0</v>
      </c>
      <c r="AT7">
        <f ca="1">COUNTIFS(INDIRECT("Table1[Beginn]"),"&lt;="&amp;AT$1,INDIRECT("Table1[Ende]"),"&gt;="&amp;AT$1,INDIRECT("Table1[Obergruppe ATC-Code]"),Tabelle3!$A7)</f>
        <v>0</v>
      </c>
      <c r="AU7">
        <f ca="1">COUNTIFS(INDIRECT("Table1[Beginn]"),"&lt;="&amp;AU$1,INDIRECT("Table1[Ende]"),"&gt;="&amp;AU$1,INDIRECT("Table1[Obergruppe ATC-Code]"),Tabelle3!$A7)</f>
        <v>0</v>
      </c>
      <c r="AV7">
        <f ca="1">COUNTIFS(INDIRECT("Table1[Beginn]"),"&lt;="&amp;AV$1,INDIRECT("Table1[Ende]"),"&gt;="&amp;AV$1,INDIRECT("Table1[Obergruppe ATC-Code]"),Tabelle3!$A7)</f>
        <v>0</v>
      </c>
      <c r="AW7">
        <f ca="1">COUNTIFS(INDIRECT("Table1[Beginn]"),"&lt;="&amp;AW$1,INDIRECT("Table1[Ende]"),"&gt;="&amp;AW$1,INDIRECT("Table1[Obergruppe ATC-Code]"),Tabelle3!$A7)</f>
        <v>0</v>
      </c>
      <c r="AX7">
        <f ca="1">COUNTIFS(INDIRECT("Table1[Beginn]"),"&lt;="&amp;AX$1,INDIRECT("Table1[Ende]"),"&gt;="&amp;AX$1,INDIRECT("Table1[Obergruppe ATC-Code]"),Tabelle3!$A7)</f>
        <v>0</v>
      </c>
      <c r="AY7">
        <f ca="1">COUNTIFS(INDIRECT("Table1[Beginn]"),"&lt;="&amp;AY$1,INDIRECT("Table1[Ende]"),"&gt;="&amp;AY$1,INDIRECT("Table1[Obergruppe ATC-Code]"),Tabelle3!$A7)</f>
        <v>0</v>
      </c>
      <c r="AZ7">
        <f ca="1">COUNTIFS(INDIRECT("Table1[Beginn]"),"&lt;="&amp;AZ$1,INDIRECT("Table1[Ende]"),"&gt;="&amp;AZ$1,INDIRECT("Table1[Obergruppe ATC-Code]"),Tabelle3!$A7)</f>
        <v>0</v>
      </c>
      <c r="BA7">
        <f ca="1">COUNTIFS(INDIRECT("Table1[Beginn]"),"&lt;="&amp;BA$1,INDIRECT("Table1[Ende]"),"&gt;="&amp;BA$1,INDIRECT("Table1[Obergruppe ATC-Code]"),Tabelle3!$A7)</f>
        <v>0</v>
      </c>
      <c r="BB7">
        <f ca="1">COUNTIFS(INDIRECT("Table1[Beginn]"),"&lt;="&amp;BB$1,INDIRECT("Table1[Ende]"),"&gt;="&amp;BB$1,INDIRECT("Table1[Obergruppe ATC-Code]"),Tabelle3!$A7)</f>
        <v>0</v>
      </c>
      <c r="BC7">
        <f ca="1">COUNTIFS(INDIRECT("Table1[Beginn]"),"&lt;="&amp;BC$1,INDIRECT("Table1[Ende]"),"&gt;="&amp;BC$1,INDIRECT("Table1[Obergruppe ATC-Code]"),Tabelle3!$A7)</f>
        <v>0</v>
      </c>
      <c r="BD7">
        <f ca="1">COUNTIFS(INDIRECT("Table1[Beginn]"),"&lt;="&amp;BD$1,INDIRECT("Table1[Ende]"),"&gt;="&amp;BD$1,INDIRECT("Table1[Obergruppe ATC-Code]"),Tabelle3!$A7)</f>
        <v>0</v>
      </c>
      <c r="BE7">
        <f ca="1">COUNTIFS(INDIRECT("Table1[Beginn]"),"&lt;="&amp;BE$1,INDIRECT("Table1[Ende]"),"&gt;="&amp;BE$1,INDIRECT("Table1[Obergruppe ATC-Code]"),Tabelle3!$A7)</f>
        <v>0</v>
      </c>
      <c r="BF7">
        <f ca="1">COUNTIFS(INDIRECT("Table1[Beginn]"),"&lt;="&amp;BF$1,INDIRECT("Table1[Ende]"),"&gt;="&amp;BF$1,INDIRECT("Table1[Obergruppe ATC-Code]"),Tabelle3!$A7)</f>
        <v>0</v>
      </c>
      <c r="BG7">
        <f ca="1">COUNTIFS(INDIRECT("Table1[Beginn]"),"&lt;="&amp;BG$1,INDIRECT("Table1[Ende]"),"&gt;="&amp;BG$1,INDIRECT("Table1[Obergruppe ATC-Code]"),Tabelle3!$A7)</f>
        <v>0</v>
      </c>
      <c r="BH7">
        <f ca="1">COUNTIFS(INDIRECT("Table1[Beginn]"),"&lt;="&amp;BH$1,INDIRECT("Table1[Ende]"),"&gt;="&amp;BH$1,INDIRECT("Table1[Obergruppe ATC-Code]"),Tabelle3!$A7)</f>
        <v>0</v>
      </c>
      <c r="BI7">
        <f ca="1">COUNTIFS(INDIRECT("Table1[Beginn]"),"&lt;="&amp;BI$1,INDIRECT("Table1[Ende]"),"&gt;="&amp;BI$1,INDIRECT("Table1[Obergruppe ATC-Code]"),Tabelle3!$A7)</f>
        <v>0</v>
      </c>
      <c r="BJ7">
        <f ca="1">COUNTIFS(INDIRECT("Table1[Beginn]"),"&lt;="&amp;BJ$1,INDIRECT("Table1[Ende]"),"&gt;="&amp;BJ$1,INDIRECT("Table1[Obergruppe ATC-Code]"),Tabelle3!$A7)</f>
        <v>0</v>
      </c>
      <c r="BK7">
        <f ca="1">COUNTIFS(INDIRECT("Table1[Beginn]"),"&lt;="&amp;BK$1,INDIRECT("Table1[Ende]"),"&gt;="&amp;BK$1,INDIRECT("Table1[Obergruppe ATC-Code]"),Tabelle3!$A7)</f>
        <v>0</v>
      </c>
      <c r="BL7">
        <f ca="1">COUNTIFS(INDIRECT("Table1[Beginn]"),"&lt;="&amp;BL$1,INDIRECT("Table1[Ende]"),"&gt;="&amp;BL$1,INDIRECT("Table1[Obergruppe ATC-Code]"),Tabelle3!$A7)</f>
        <v>0</v>
      </c>
      <c r="BM7">
        <f ca="1">COUNTIFS(INDIRECT("Table1[Beginn]"),"&lt;="&amp;BM$1,INDIRECT("Table1[Ende]"),"&gt;="&amp;BM$1,INDIRECT("Table1[Obergruppe ATC-Code]"),Tabelle3!$A7)</f>
        <v>0</v>
      </c>
      <c r="BN7">
        <f ca="1">COUNTIFS(INDIRECT("Table1[Beginn]"),"&lt;="&amp;BN$1,INDIRECT("Table1[Ende]"),"&gt;="&amp;BN$1,INDIRECT("Table1[Obergruppe ATC-Code]"),Tabelle3!$A7)</f>
        <v>0</v>
      </c>
      <c r="BO7">
        <f ca="1">COUNTIFS(INDIRECT("Table1[Beginn]"),"&lt;="&amp;BO$1,INDIRECT("Table1[Ende]"),"&gt;="&amp;BO$1,INDIRECT("Table1[Obergruppe ATC-Code]"),Tabelle3!$A7)</f>
        <v>0</v>
      </c>
      <c r="BP7">
        <f ca="1">COUNTIFS(INDIRECT("Table1[Beginn]"),"&lt;="&amp;BP$1,INDIRECT("Table1[Ende]"),"&gt;="&amp;BP$1,INDIRECT("Table1[Obergruppe ATC-Code]"),Tabelle3!$A7)</f>
        <v>0</v>
      </c>
      <c r="BQ7">
        <f ca="1">COUNTIFS(INDIRECT("Table1[Beginn]"),"&lt;="&amp;BQ$1,INDIRECT("Table1[Ende]"),"&gt;="&amp;BQ$1,INDIRECT("Table1[Obergruppe ATC-Code]"),Tabelle3!$A7)</f>
        <v>0</v>
      </c>
      <c r="BR7">
        <f ca="1">COUNTIFS(INDIRECT("Table1[Beginn]"),"&lt;="&amp;BR$1,INDIRECT("Table1[Ende]"),"&gt;="&amp;BR$1,INDIRECT("Table1[Obergruppe ATC-Code]"),Tabelle3!$A7)</f>
        <v>0</v>
      </c>
      <c r="BS7">
        <f ca="1">COUNTIFS(INDIRECT("Table1[Beginn]"),"&lt;="&amp;BS$1,INDIRECT("Table1[Ende]"),"&gt;="&amp;BS$1,INDIRECT("Table1[Obergruppe ATC-Code]"),Tabelle3!$A7)</f>
        <v>0</v>
      </c>
      <c r="BT7">
        <f ca="1">COUNTIFS(INDIRECT("Table1[Beginn]"),"&lt;="&amp;BT$1,INDIRECT("Table1[Ende]"),"&gt;="&amp;BT$1,INDIRECT("Table1[Obergruppe ATC-Code]"),Tabelle3!$A7)</f>
        <v>0</v>
      </c>
      <c r="BU7">
        <f ca="1">COUNTIFS(INDIRECT("Table1[Beginn]"),"&lt;="&amp;BU$1,INDIRECT("Table1[Ende]"),"&gt;="&amp;BU$1,INDIRECT("Table1[Obergruppe ATC-Code]"),Tabelle3!$A7)</f>
        <v>0</v>
      </c>
      <c r="BV7">
        <f ca="1">COUNTIFS(INDIRECT("Table1[Beginn]"),"&lt;="&amp;BV$1,INDIRECT("Table1[Ende]"),"&gt;="&amp;BV$1,INDIRECT("Table1[Obergruppe ATC-Code]"),Tabelle3!$A7)</f>
        <v>1</v>
      </c>
      <c r="BW7">
        <f ca="1">COUNTIFS(INDIRECT("Table1[Beginn]"),"&lt;="&amp;BW$1,INDIRECT("Table1[Ende]"),"&gt;="&amp;BW$1,INDIRECT("Table1[Obergruppe ATC-Code]"),Tabelle3!$A7)</f>
        <v>0</v>
      </c>
      <c r="BX7">
        <f ca="1">COUNTIFS(INDIRECT("Table1[Beginn]"),"&lt;="&amp;BX$1,INDIRECT("Table1[Ende]"),"&gt;="&amp;BX$1,INDIRECT("Table1[Obergruppe ATC-Code]"),Tabelle3!$A7)</f>
        <v>0</v>
      </c>
      <c r="BY7">
        <f ca="1">COUNTIFS(INDIRECT("Table1[Beginn]"),"&lt;="&amp;BY$1,INDIRECT("Table1[Ende]"),"&gt;="&amp;BY$1,INDIRECT("Table1[Obergruppe ATC-Code]"),Tabelle3!$A7)</f>
        <v>0</v>
      </c>
      <c r="BZ7">
        <f ca="1">COUNTIFS(INDIRECT("Table1[Beginn]"),"&lt;="&amp;BZ$1,INDIRECT("Table1[Ende]"),"&gt;="&amp;BZ$1,INDIRECT("Table1[Obergruppe ATC-Code]"),Tabelle3!$A7)</f>
        <v>0</v>
      </c>
      <c r="CA7">
        <f ca="1">COUNTIFS(INDIRECT("Table1[Beginn]"),"&lt;="&amp;CA$1,INDIRECT("Table1[Ende]"),"&gt;="&amp;CA$1,INDIRECT("Table1[Obergruppe ATC-Code]"),Tabelle3!$A7)</f>
        <v>0</v>
      </c>
      <c r="CB7">
        <f ca="1">COUNTIFS(INDIRECT("Table1[Beginn]"),"&lt;="&amp;CB$1,INDIRECT("Table1[Ende]"),"&gt;="&amp;CB$1,INDIRECT("Table1[Obergruppe ATC-Code]"),Tabelle3!$A7)</f>
        <v>0</v>
      </c>
      <c r="CC7">
        <f ca="1">COUNTIFS(INDIRECT("Table1[Beginn]"),"&lt;="&amp;CC$1,INDIRECT("Table1[Ende]"),"&gt;="&amp;CC$1,INDIRECT("Table1[Obergruppe ATC-Code]"),Tabelle3!$A7)</f>
        <v>0</v>
      </c>
      <c r="CD7">
        <f ca="1">COUNTIFS(INDIRECT("Table1[Beginn]"),"&lt;="&amp;CD$1,INDIRECT("Table1[Ende]"),"&gt;="&amp;CD$1,INDIRECT("Table1[Obergruppe ATC-Code]"),Tabelle3!$A7)</f>
        <v>0</v>
      </c>
      <c r="CE7">
        <f ca="1">COUNTIFS(INDIRECT("Table1[Beginn]"),"&lt;="&amp;CE$1,INDIRECT("Table1[Ende]"),"&gt;="&amp;CE$1,INDIRECT("Table1[Obergruppe ATC-Code]"),Tabelle3!$A7)</f>
        <v>0</v>
      </c>
      <c r="CF7">
        <f ca="1">COUNTIFS(INDIRECT("Table1[Beginn]"),"&lt;="&amp;CF$1,INDIRECT("Table1[Ende]"),"&gt;="&amp;CF$1,INDIRECT("Table1[Obergruppe ATC-Code]"),Tabelle3!$A7)</f>
        <v>0</v>
      </c>
      <c r="CG7">
        <f ca="1">COUNTIFS(INDIRECT("Table1[Beginn]"),"&lt;="&amp;CG$1,INDIRECT("Table1[Ende]"),"&gt;="&amp;CG$1,INDIRECT("Table1[Obergruppe ATC-Code]"),Tabelle3!$A7)</f>
        <v>0</v>
      </c>
      <c r="CH7">
        <f ca="1">COUNTIFS(INDIRECT("Table1[Beginn]"),"&lt;="&amp;CH$1,INDIRECT("Table1[Ende]"),"&gt;="&amp;CH$1,INDIRECT("Table1[Obergruppe ATC-Code]"),Tabelle3!$A7)</f>
        <v>0</v>
      </c>
      <c r="CI7">
        <f ca="1">COUNTIFS(INDIRECT("Table1[Beginn]"),"&lt;="&amp;CI$1,INDIRECT("Table1[Ende]"),"&gt;="&amp;CI$1,INDIRECT("Table1[Obergruppe ATC-Code]"),Tabelle3!$A7)</f>
        <v>0</v>
      </c>
      <c r="CJ7">
        <f ca="1">COUNTIFS(INDIRECT("Table1[Beginn]"),"&lt;="&amp;CJ$1,INDIRECT("Table1[Ende]"),"&gt;="&amp;CJ$1,INDIRECT("Table1[Obergruppe ATC-Code]"),Tabelle3!$A7)</f>
        <v>0</v>
      </c>
      <c r="CK7">
        <f ca="1">COUNTIFS(INDIRECT("Table1[Beginn]"),"&lt;="&amp;CK$1,INDIRECT("Table1[Ende]"),"&gt;="&amp;CK$1,INDIRECT("Table1[Obergruppe ATC-Code]"),Tabelle3!$A7)</f>
        <v>0</v>
      </c>
      <c r="CL7">
        <f ca="1">COUNTIFS(INDIRECT("Table1[Beginn]"),"&lt;="&amp;CL$1,INDIRECT("Table1[Ende]"),"&gt;="&amp;CL$1,INDIRECT("Table1[Obergruppe ATC-Code]"),Tabelle3!$A7)</f>
        <v>0</v>
      </c>
      <c r="CM7">
        <f ca="1">COUNTIFS(INDIRECT("Table1[Beginn]"),"&lt;="&amp;CM$1,INDIRECT("Table1[Ende]"),"&gt;="&amp;CM$1,INDIRECT("Table1[Obergruppe ATC-Code]"),Tabelle3!$A7)</f>
        <v>0</v>
      </c>
      <c r="CN7">
        <f ca="1">COUNTIFS(INDIRECT("Table1[Beginn]"),"&lt;="&amp;CN$1,INDIRECT("Table1[Ende]"),"&gt;="&amp;CN$1,INDIRECT("Table1[Obergruppe ATC-Code]"),Tabelle3!$A7)</f>
        <v>0</v>
      </c>
      <c r="CO7">
        <f ca="1">COUNTIFS(INDIRECT("Table1[Beginn]"),"&lt;="&amp;CO$1,INDIRECT("Table1[Ende]"),"&gt;="&amp;CO$1,INDIRECT("Table1[Obergruppe ATC-Code]"),Tabelle3!$A7)</f>
        <v>0</v>
      </c>
      <c r="CP7">
        <f ca="1">COUNTIFS(INDIRECT("Table1[Beginn]"),"&lt;="&amp;CP$1,INDIRECT("Table1[Ende]"),"&gt;="&amp;CP$1,INDIRECT("Table1[Obergruppe ATC-Code]"),Tabelle3!$A7)</f>
        <v>0</v>
      </c>
      <c r="CQ7">
        <f ca="1">COUNTIFS(INDIRECT("Table1[Beginn]"),"&lt;="&amp;CQ$1,INDIRECT("Table1[Ende]"),"&gt;="&amp;CQ$1,INDIRECT("Table1[Obergruppe ATC-Code]"),Tabelle3!$A7)</f>
        <v>0</v>
      </c>
      <c r="CR7">
        <f ca="1">COUNTIFS(INDIRECT("Table1[Beginn]"),"&lt;="&amp;CR$1,INDIRECT("Table1[Ende]"),"&gt;="&amp;CR$1,INDIRECT("Table1[Obergruppe ATC-Code]"),Tabelle3!$A7)</f>
        <v>0</v>
      </c>
      <c r="CS7">
        <f ca="1">COUNTIFS(INDIRECT("Table1[Beginn]"),"&lt;="&amp;CS$1,INDIRECT("Table1[Ende]"),"&gt;="&amp;CS$1,INDIRECT("Table1[Obergruppe ATC-Code]"),Tabelle3!$A7)</f>
        <v>0</v>
      </c>
      <c r="CT7">
        <f ca="1">COUNTIFS(INDIRECT("Table1[Beginn]"),"&lt;="&amp;CT$1,INDIRECT("Table1[Ende]"),"&gt;="&amp;CT$1,INDIRECT("Table1[Obergruppe ATC-Code]"),Tabelle3!$A7)</f>
        <v>0</v>
      </c>
      <c r="CU7" s="54"/>
      <c r="CV7" s="54"/>
      <c r="CW7" s="54"/>
      <c r="CX7" s="54"/>
      <c r="CY7" s="54"/>
      <c r="CZ7" s="54"/>
      <c r="DA7" s="54"/>
      <c r="DB7" s="54"/>
      <c r="DC7" s="54"/>
      <c r="DD7" s="54"/>
      <c r="DE7" s="54"/>
      <c r="DF7" s="54"/>
      <c r="DG7" s="54"/>
      <c r="DH7" s="54"/>
    </row>
    <row r="8" spans="1:112" ht="18" customHeight="1">
      <c r="A8" s="7" t="s">
        <v>6784</v>
      </c>
      <c r="B8" s="8" t="s">
        <v>6785</v>
      </c>
      <c r="C8">
        <f ca="1">COUNTIFS(INDIRECT("Table1[Beginn]"),"&lt;="&amp;C$1,INDIRECT("Table1[Ende]"),"&gt;="&amp;C$1,INDIRECT("Table1[Obergruppe ATC-Code]"),Tabelle3!$A8)</f>
        <v>0</v>
      </c>
      <c r="D8">
        <f ca="1">COUNTIFS(INDIRECT("Table1[Beginn]"),"&lt;="&amp;D$1,INDIRECT("Table1[Ende]"),"&gt;="&amp;D$1,INDIRECT("Table1[Obergruppe ATC-Code]"),Tabelle3!$A8)</f>
        <v>0</v>
      </c>
      <c r="E8">
        <f ca="1">COUNTIFS(INDIRECT("Table1[Beginn]"),"&lt;="&amp;E$1,INDIRECT("Table1[Ende]"),"&gt;="&amp;E$1,INDIRECT("Table1[Obergruppe ATC-Code]"),Tabelle3!$A8)</f>
        <v>0</v>
      </c>
      <c r="F8">
        <f ca="1">COUNTIFS(INDIRECT("Table1[Beginn]"),"&lt;="&amp;F$1,INDIRECT("Table1[Ende]"),"&gt;="&amp;F$1,INDIRECT("Table1[Obergruppe ATC-Code]"),Tabelle3!$A8)</f>
        <v>0</v>
      </c>
      <c r="G8">
        <f ca="1">COUNTIFS(INDIRECT("Table1[Beginn]"),"&lt;="&amp;G$1,INDIRECT("Table1[Ende]"),"&gt;="&amp;G$1,INDIRECT("Table1[Obergruppe ATC-Code]"),Tabelle3!$A8)</f>
        <v>0</v>
      </c>
      <c r="H8">
        <f ca="1">COUNTIFS(INDIRECT("Table1[Beginn]"),"&lt;="&amp;H$1,INDIRECT("Table1[Ende]"),"&gt;="&amp;H$1,INDIRECT("Table1[Obergruppe ATC-Code]"),Tabelle3!$A8)</f>
        <v>0</v>
      </c>
      <c r="I8">
        <f ca="1">COUNTIFS(INDIRECT("Table1[Beginn]"),"&lt;="&amp;I$1,INDIRECT("Table1[Ende]"),"&gt;="&amp;I$1,INDIRECT("Table1[Obergruppe ATC-Code]"),Tabelle3!$A8)</f>
        <v>0</v>
      </c>
      <c r="J8">
        <f ca="1">COUNTIFS(INDIRECT("Table1[Beginn]"),"&lt;="&amp;J$1,INDIRECT("Table1[Ende]"),"&gt;="&amp;J$1,INDIRECT("Table1[Obergruppe ATC-Code]"),Tabelle3!$A8)</f>
        <v>0</v>
      </c>
      <c r="K8">
        <f ca="1">COUNTIFS(INDIRECT("Table1[Beginn]"),"&lt;="&amp;K$1,INDIRECT("Table1[Ende]"),"&gt;="&amp;K$1,INDIRECT("Table1[Obergruppe ATC-Code]"),Tabelle3!$A8)</f>
        <v>0</v>
      </c>
      <c r="L8">
        <f ca="1">COUNTIFS(INDIRECT("Table1[Beginn]"),"&lt;="&amp;L$1,INDIRECT("Table1[Ende]"),"&gt;="&amp;L$1,INDIRECT("Table1[Obergruppe ATC-Code]"),Tabelle3!$A8)</f>
        <v>0</v>
      </c>
      <c r="M8">
        <f ca="1">COUNTIFS(INDIRECT("Table1[Beginn]"),"&lt;="&amp;M$1,INDIRECT("Table1[Ende]"),"&gt;="&amp;M$1,INDIRECT("Table1[Obergruppe ATC-Code]"),Tabelle3!$A8)</f>
        <v>1</v>
      </c>
      <c r="N8">
        <f ca="1">COUNTIFS(INDIRECT("Table1[Beginn]"),"&lt;="&amp;N$1,INDIRECT("Table1[Ende]"),"&gt;="&amp;N$1,INDIRECT("Table1[Obergruppe ATC-Code]"),Tabelle3!$A8)</f>
        <v>1</v>
      </c>
      <c r="O8">
        <f ca="1">COUNTIFS(INDIRECT("Table1[Beginn]"),"&lt;="&amp;O$1,INDIRECT("Table1[Ende]"),"&gt;="&amp;O$1,INDIRECT("Table1[Obergruppe ATC-Code]"),Tabelle3!$A8)</f>
        <v>2</v>
      </c>
      <c r="P8">
        <f ca="1">COUNTIFS(INDIRECT("Table1[Beginn]"),"&lt;="&amp;P$1,INDIRECT("Table1[Ende]"),"&gt;="&amp;P$1,INDIRECT("Table1[Obergruppe ATC-Code]"),Tabelle3!$A8)</f>
        <v>2</v>
      </c>
      <c r="Q8">
        <f ca="1">COUNTIFS(INDIRECT("Table1[Beginn]"),"&lt;="&amp;Q$1,INDIRECT("Table1[Ende]"),"&gt;="&amp;Q$1,INDIRECT("Table1[Obergruppe ATC-Code]"),Tabelle3!$A8)</f>
        <v>2</v>
      </c>
      <c r="R8">
        <f ca="1">COUNTIFS(INDIRECT("Table1[Beginn]"),"&lt;="&amp;R$1,INDIRECT("Table1[Ende]"),"&gt;="&amp;R$1,INDIRECT("Table1[Obergruppe ATC-Code]"),Tabelle3!$A8)</f>
        <v>2</v>
      </c>
      <c r="S8">
        <f ca="1">COUNTIFS(INDIRECT("Table1[Beginn]"),"&lt;="&amp;S$1,INDIRECT("Table1[Ende]"),"&gt;="&amp;S$1,INDIRECT("Table1[Obergruppe ATC-Code]"),Tabelle3!$A8)</f>
        <v>2</v>
      </c>
      <c r="T8">
        <f ca="1">COUNTIFS(INDIRECT("Table1[Beginn]"),"&lt;="&amp;T$1,INDIRECT("Table1[Ende]"),"&gt;="&amp;T$1,INDIRECT("Table1[Obergruppe ATC-Code]"),Tabelle3!$A8)</f>
        <v>2</v>
      </c>
      <c r="U8">
        <f ca="1">COUNTIFS(INDIRECT("Table1[Beginn]"),"&lt;="&amp;U$1,INDIRECT("Table1[Ende]"),"&gt;="&amp;U$1,INDIRECT("Table1[Obergruppe ATC-Code]"),Tabelle3!$A8)</f>
        <v>2</v>
      </c>
      <c r="V8">
        <f ca="1">COUNTIFS(INDIRECT("Table1[Beginn]"),"&lt;="&amp;V$1,INDIRECT("Table1[Ende]"),"&gt;="&amp;V$1,INDIRECT("Table1[Obergruppe ATC-Code]"),Tabelle3!$A8)</f>
        <v>2</v>
      </c>
      <c r="W8">
        <f ca="1">COUNTIFS(INDIRECT("Table1[Beginn]"),"&lt;="&amp;W$1,INDIRECT("Table1[Ende]"),"&gt;="&amp;W$1,INDIRECT("Table1[Obergruppe ATC-Code]"),Tabelle3!$A8)</f>
        <v>1</v>
      </c>
      <c r="X8">
        <f ca="1">COUNTIFS(INDIRECT("Table1[Beginn]"),"&lt;="&amp;X$1,INDIRECT("Table1[Ende]"),"&gt;="&amp;X$1,INDIRECT("Table1[Obergruppe ATC-Code]"),Tabelle3!$A8)</f>
        <v>1</v>
      </c>
      <c r="Y8">
        <f ca="1">COUNTIFS(INDIRECT("Table1[Beginn]"),"&lt;="&amp;Y$1,INDIRECT("Table1[Ende]"),"&gt;="&amp;Y$1,INDIRECT("Table1[Obergruppe ATC-Code]"),Tabelle3!$A8)</f>
        <v>1</v>
      </c>
      <c r="Z8">
        <f ca="1">COUNTIFS(INDIRECT("Table1[Beginn]"),"&lt;="&amp;Z$1,INDIRECT("Table1[Ende]"),"&gt;="&amp;Z$1,INDIRECT("Table1[Obergruppe ATC-Code]"),Tabelle3!$A8)</f>
        <v>1</v>
      </c>
      <c r="AA8">
        <f ca="1">COUNTIFS(INDIRECT("Table1[Beginn]"),"&lt;="&amp;AA$1,INDIRECT("Table1[Ende]"),"&gt;="&amp;AA$1,INDIRECT("Table1[Obergruppe ATC-Code]"),Tabelle3!$A8)</f>
        <v>1</v>
      </c>
      <c r="AB8">
        <f ca="1">COUNTIFS(INDIRECT("Table1[Beginn]"),"&lt;="&amp;AB$1,INDIRECT("Table1[Ende]"),"&gt;="&amp;AB$1,INDIRECT("Table1[Obergruppe ATC-Code]"),Tabelle3!$A8)</f>
        <v>0</v>
      </c>
      <c r="AC8">
        <f ca="1">COUNTIFS(INDIRECT("Table1[Beginn]"),"&lt;="&amp;AC$1,INDIRECT("Table1[Ende]"),"&gt;="&amp;AC$1,INDIRECT("Table1[Obergruppe ATC-Code]"),Tabelle3!$A8)</f>
        <v>1</v>
      </c>
      <c r="AD8">
        <f ca="1">COUNTIFS(INDIRECT("Table1[Beginn]"),"&lt;="&amp;AD$1,INDIRECT("Table1[Ende]"),"&gt;="&amp;AD$1,INDIRECT("Table1[Obergruppe ATC-Code]"),Tabelle3!$A8)</f>
        <v>1</v>
      </c>
      <c r="AE8">
        <f ca="1">COUNTIFS(INDIRECT("Table1[Beginn]"),"&lt;="&amp;AE$1,INDIRECT("Table1[Ende]"),"&gt;="&amp;AE$1,INDIRECT("Table1[Obergruppe ATC-Code]"),Tabelle3!$A8)</f>
        <v>2</v>
      </c>
      <c r="AF8">
        <f ca="1">COUNTIFS(INDIRECT("Table1[Beginn]"),"&lt;="&amp;AF$1,INDIRECT("Table1[Ende]"),"&gt;="&amp;AF$1,INDIRECT("Table1[Obergruppe ATC-Code]"),Tabelle3!$A8)</f>
        <v>2</v>
      </c>
      <c r="AG8">
        <f ca="1">COUNTIFS(INDIRECT("Table1[Beginn]"),"&lt;="&amp;AG$1,INDIRECT("Table1[Ende]"),"&gt;="&amp;AG$1,INDIRECT("Table1[Obergruppe ATC-Code]"),Tabelle3!$A8)</f>
        <v>2</v>
      </c>
      <c r="AH8">
        <f ca="1">COUNTIFS(INDIRECT("Table1[Beginn]"),"&lt;="&amp;AH$1,INDIRECT("Table1[Ende]"),"&gt;="&amp;AH$1,INDIRECT("Table1[Obergruppe ATC-Code]"),Tabelle3!$A8)</f>
        <v>2</v>
      </c>
      <c r="AI8">
        <f ca="1">COUNTIFS(INDIRECT("Table1[Beginn]"),"&lt;="&amp;AI$1,INDIRECT("Table1[Ende]"),"&gt;="&amp;AI$1,INDIRECT("Table1[Obergruppe ATC-Code]"),Tabelle3!$A8)</f>
        <v>3</v>
      </c>
      <c r="AJ8">
        <f ca="1">COUNTIFS(INDIRECT("Table1[Beginn]"),"&lt;="&amp;AJ$1,INDIRECT("Table1[Ende]"),"&gt;="&amp;AJ$1,INDIRECT("Table1[Obergruppe ATC-Code]"),Tabelle3!$A8)</f>
        <v>3</v>
      </c>
      <c r="AK8">
        <f ca="1">COUNTIFS(INDIRECT("Table1[Beginn]"),"&lt;="&amp;AK$1,INDIRECT("Table1[Ende]"),"&gt;="&amp;AK$1,INDIRECT("Table1[Obergruppe ATC-Code]"),Tabelle3!$A8)</f>
        <v>2</v>
      </c>
      <c r="AL8">
        <f ca="1">COUNTIFS(INDIRECT("Table1[Beginn]"),"&lt;="&amp;AL$1,INDIRECT("Table1[Ende]"),"&gt;="&amp;AL$1,INDIRECT("Table1[Obergruppe ATC-Code]"),Tabelle3!$A8)</f>
        <v>2</v>
      </c>
      <c r="AM8">
        <f ca="1">COUNTIFS(INDIRECT("Table1[Beginn]"),"&lt;="&amp;AM$1,INDIRECT("Table1[Ende]"),"&gt;="&amp;AM$1,INDIRECT("Table1[Obergruppe ATC-Code]"),Tabelle3!$A8)</f>
        <v>2</v>
      </c>
      <c r="AN8">
        <f ca="1">COUNTIFS(INDIRECT("Table1[Beginn]"),"&lt;="&amp;AN$1,INDIRECT("Table1[Ende]"),"&gt;="&amp;AN$1,INDIRECT("Table1[Obergruppe ATC-Code]"),Tabelle3!$A8)</f>
        <v>2</v>
      </c>
      <c r="AO8">
        <f ca="1">COUNTIFS(INDIRECT("Table1[Beginn]"),"&lt;="&amp;AO$1,INDIRECT("Table1[Ende]"),"&gt;="&amp;AO$1,INDIRECT("Table1[Obergruppe ATC-Code]"),Tabelle3!$A8)</f>
        <v>3</v>
      </c>
      <c r="AP8">
        <f ca="1">COUNTIFS(INDIRECT("Table1[Beginn]"),"&lt;="&amp;AP$1,INDIRECT("Table1[Ende]"),"&gt;="&amp;AP$1,INDIRECT("Table1[Obergruppe ATC-Code]"),Tabelle3!$A8)</f>
        <v>3</v>
      </c>
      <c r="AQ8">
        <f ca="1">COUNTIFS(INDIRECT("Table1[Beginn]"),"&lt;="&amp;AQ$1,INDIRECT("Table1[Ende]"),"&gt;="&amp;AQ$1,INDIRECT("Table1[Obergruppe ATC-Code]"),Tabelle3!$A8)</f>
        <v>3</v>
      </c>
      <c r="AR8">
        <f ca="1">COUNTIFS(INDIRECT("Table1[Beginn]"),"&lt;="&amp;AR$1,INDIRECT("Table1[Ende]"),"&gt;="&amp;AR$1,INDIRECT("Table1[Obergruppe ATC-Code]"),Tabelle3!$A8)</f>
        <v>3</v>
      </c>
      <c r="AS8">
        <f ca="1">COUNTIFS(INDIRECT("Table1[Beginn]"),"&lt;="&amp;AS$1,INDIRECT("Table1[Ende]"),"&gt;="&amp;AS$1,INDIRECT("Table1[Obergruppe ATC-Code]"),Tabelle3!$A8)</f>
        <v>1</v>
      </c>
      <c r="AT8">
        <f ca="1">COUNTIFS(INDIRECT("Table1[Beginn]"),"&lt;="&amp;AT$1,INDIRECT("Table1[Ende]"),"&gt;="&amp;AT$1,INDIRECT("Table1[Obergruppe ATC-Code]"),Tabelle3!$A8)</f>
        <v>1</v>
      </c>
      <c r="AU8">
        <f ca="1">COUNTIFS(INDIRECT("Table1[Beginn]"),"&lt;="&amp;AU$1,INDIRECT("Table1[Ende]"),"&gt;="&amp;AU$1,INDIRECT("Table1[Obergruppe ATC-Code]"),Tabelle3!$A8)</f>
        <v>1</v>
      </c>
      <c r="AV8">
        <f ca="1">COUNTIFS(INDIRECT("Table1[Beginn]"),"&lt;="&amp;AV$1,INDIRECT("Table1[Ende]"),"&gt;="&amp;AV$1,INDIRECT("Table1[Obergruppe ATC-Code]"),Tabelle3!$A8)</f>
        <v>2</v>
      </c>
      <c r="AW8">
        <f ca="1">COUNTIFS(INDIRECT("Table1[Beginn]"),"&lt;="&amp;AW$1,INDIRECT("Table1[Ende]"),"&gt;="&amp;AW$1,INDIRECT("Table1[Obergruppe ATC-Code]"),Tabelle3!$A8)</f>
        <v>1</v>
      </c>
      <c r="AX8">
        <f ca="1">COUNTIFS(INDIRECT("Table1[Beginn]"),"&lt;="&amp;AX$1,INDIRECT("Table1[Ende]"),"&gt;="&amp;AX$1,INDIRECT("Table1[Obergruppe ATC-Code]"),Tabelle3!$A8)</f>
        <v>1</v>
      </c>
      <c r="AY8">
        <f ca="1">COUNTIFS(INDIRECT("Table1[Beginn]"),"&lt;="&amp;AY$1,INDIRECT("Table1[Ende]"),"&gt;="&amp;AY$1,INDIRECT("Table1[Obergruppe ATC-Code]"),Tabelle3!$A8)</f>
        <v>1</v>
      </c>
      <c r="AZ8">
        <f ca="1">COUNTIFS(INDIRECT("Table1[Beginn]"),"&lt;="&amp;AZ$1,INDIRECT("Table1[Ende]"),"&gt;="&amp;AZ$1,INDIRECT("Table1[Obergruppe ATC-Code]"),Tabelle3!$A8)</f>
        <v>1</v>
      </c>
      <c r="BA8">
        <f ca="1">COUNTIFS(INDIRECT("Table1[Beginn]"),"&lt;="&amp;BA$1,INDIRECT("Table1[Ende]"),"&gt;="&amp;BA$1,INDIRECT("Table1[Obergruppe ATC-Code]"),Tabelle3!$A8)</f>
        <v>0</v>
      </c>
      <c r="BB8">
        <f ca="1">COUNTIFS(INDIRECT("Table1[Beginn]"),"&lt;="&amp;BB$1,INDIRECT("Table1[Ende]"),"&gt;="&amp;BB$1,INDIRECT("Table1[Obergruppe ATC-Code]"),Tabelle3!$A8)</f>
        <v>0</v>
      </c>
      <c r="BC8">
        <f ca="1">COUNTIFS(INDIRECT("Table1[Beginn]"),"&lt;="&amp;BC$1,INDIRECT("Table1[Ende]"),"&gt;="&amp;BC$1,INDIRECT("Table1[Obergruppe ATC-Code]"),Tabelle3!$A8)</f>
        <v>0</v>
      </c>
      <c r="BD8">
        <f ca="1">COUNTIFS(INDIRECT("Table1[Beginn]"),"&lt;="&amp;BD$1,INDIRECT("Table1[Ende]"),"&gt;="&amp;BD$1,INDIRECT("Table1[Obergruppe ATC-Code]"),Tabelle3!$A8)</f>
        <v>0</v>
      </c>
      <c r="BE8">
        <f ca="1">COUNTIFS(INDIRECT("Table1[Beginn]"),"&lt;="&amp;BE$1,INDIRECT("Table1[Ende]"),"&gt;="&amp;BE$1,INDIRECT("Table1[Obergruppe ATC-Code]"),Tabelle3!$A8)</f>
        <v>0</v>
      </c>
      <c r="BF8">
        <f ca="1">COUNTIFS(INDIRECT("Table1[Beginn]"),"&lt;="&amp;BF$1,INDIRECT("Table1[Ende]"),"&gt;="&amp;BF$1,INDIRECT("Table1[Obergruppe ATC-Code]"),Tabelle3!$A8)</f>
        <v>0</v>
      </c>
      <c r="BG8">
        <f ca="1">COUNTIFS(INDIRECT("Table1[Beginn]"),"&lt;="&amp;BG$1,INDIRECT("Table1[Ende]"),"&gt;="&amp;BG$1,INDIRECT("Table1[Obergruppe ATC-Code]"),Tabelle3!$A8)</f>
        <v>0</v>
      </c>
      <c r="BH8">
        <f ca="1">COUNTIFS(INDIRECT("Table1[Beginn]"),"&lt;="&amp;BH$1,INDIRECT("Table1[Ende]"),"&gt;="&amp;BH$1,INDIRECT("Table1[Obergruppe ATC-Code]"),Tabelle3!$A8)</f>
        <v>0</v>
      </c>
      <c r="BI8">
        <f ca="1">COUNTIFS(INDIRECT("Table1[Beginn]"),"&lt;="&amp;BI$1,INDIRECT("Table1[Ende]"),"&gt;="&amp;BI$1,INDIRECT("Table1[Obergruppe ATC-Code]"),Tabelle3!$A8)</f>
        <v>0</v>
      </c>
      <c r="BJ8">
        <f ca="1">COUNTIFS(INDIRECT("Table1[Beginn]"),"&lt;="&amp;BJ$1,INDIRECT("Table1[Ende]"),"&gt;="&amp;BJ$1,INDIRECT("Table1[Obergruppe ATC-Code]"),Tabelle3!$A8)</f>
        <v>0</v>
      </c>
      <c r="BK8">
        <f ca="1">COUNTIFS(INDIRECT("Table1[Beginn]"),"&lt;="&amp;BK$1,INDIRECT("Table1[Ende]"),"&gt;="&amp;BK$1,INDIRECT("Table1[Obergruppe ATC-Code]"),Tabelle3!$A8)</f>
        <v>0</v>
      </c>
      <c r="BL8">
        <f ca="1">COUNTIFS(INDIRECT("Table1[Beginn]"),"&lt;="&amp;BL$1,INDIRECT("Table1[Ende]"),"&gt;="&amp;BL$1,INDIRECT("Table1[Obergruppe ATC-Code]"),Tabelle3!$A8)</f>
        <v>0</v>
      </c>
      <c r="BM8">
        <f ca="1">COUNTIFS(INDIRECT("Table1[Beginn]"),"&lt;="&amp;BM$1,INDIRECT("Table1[Ende]"),"&gt;="&amp;BM$1,INDIRECT("Table1[Obergruppe ATC-Code]"),Tabelle3!$A8)</f>
        <v>0</v>
      </c>
      <c r="BN8">
        <f ca="1">COUNTIFS(INDIRECT("Table1[Beginn]"),"&lt;="&amp;BN$1,INDIRECT("Table1[Ende]"),"&gt;="&amp;BN$1,INDIRECT("Table1[Obergruppe ATC-Code]"),Tabelle3!$A8)</f>
        <v>0</v>
      </c>
      <c r="BO8">
        <f ca="1">COUNTIFS(INDIRECT("Table1[Beginn]"),"&lt;="&amp;BO$1,INDIRECT("Table1[Ende]"),"&gt;="&amp;BO$1,INDIRECT("Table1[Obergruppe ATC-Code]"),Tabelle3!$A8)</f>
        <v>1</v>
      </c>
      <c r="BP8">
        <f ca="1">COUNTIFS(INDIRECT("Table1[Beginn]"),"&lt;="&amp;BP$1,INDIRECT("Table1[Ende]"),"&gt;="&amp;BP$1,INDIRECT("Table1[Obergruppe ATC-Code]"),Tabelle3!$A8)</f>
        <v>0</v>
      </c>
      <c r="BQ8">
        <f ca="1">COUNTIFS(INDIRECT("Table1[Beginn]"),"&lt;="&amp;BQ$1,INDIRECT("Table1[Ende]"),"&gt;="&amp;BQ$1,INDIRECT("Table1[Obergruppe ATC-Code]"),Tabelle3!$A8)</f>
        <v>0</v>
      </c>
      <c r="BR8">
        <f ca="1">COUNTIFS(INDIRECT("Table1[Beginn]"),"&lt;="&amp;BR$1,INDIRECT("Table1[Ende]"),"&gt;="&amp;BR$1,INDIRECT("Table1[Obergruppe ATC-Code]"),Tabelle3!$A8)</f>
        <v>0</v>
      </c>
      <c r="BS8">
        <f ca="1">COUNTIFS(INDIRECT("Table1[Beginn]"),"&lt;="&amp;BS$1,INDIRECT("Table1[Ende]"),"&gt;="&amp;BS$1,INDIRECT("Table1[Obergruppe ATC-Code]"),Tabelle3!$A8)</f>
        <v>0</v>
      </c>
      <c r="BT8">
        <f ca="1">COUNTIFS(INDIRECT("Table1[Beginn]"),"&lt;="&amp;BT$1,INDIRECT("Table1[Ende]"),"&gt;="&amp;BT$1,INDIRECT("Table1[Obergruppe ATC-Code]"),Tabelle3!$A8)</f>
        <v>0</v>
      </c>
      <c r="BU8">
        <f ca="1">COUNTIFS(INDIRECT("Table1[Beginn]"),"&lt;="&amp;BU$1,INDIRECT("Table1[Ende]"),"&gt;="&amp;BU$1,INDIRECT("Table1[Obergruppe ATC-Code]"),Tabelle3!$A8)</f>
        <v>1</v>
      </c>
      <c r="BV8">
        <f ca="1">COUNTIFS(INDIRECT("Table1[Beginn]"),"&lt;="&amp;BV$1,INDIRECT("Table1[Ende]"),"&gt;="&amp;BV$1,INDIRECT("Table1[Obergruppe ATC-Code]"),Tabelle3!$A8)</f>
        <v>0</v>
      </c>
      <c r="BW8">
        <f ca="1">COUNTIFS(INDIRECT("Table1[Beginn]"),"&lt;="&amp;BW$1,INDIRECT("Table1[Ende]"),"&gt;="&amp;BW$1,INDIRECT("Table1[Obergruppe ATC-Code]"),Tabelle3!$A8)</f>
        <v>2</v>
      </c>
      <c r="BX8">
        <f ca="1">COUNTIFS(INDIRECT("Table1[Beginn]"),"&lt;="&amp;BX$1,INDIRECT("Table1[Ende]"),"&gt;="&amp;BX$1,INDIRECT("Table1[Obergruppe ATC-Code]"),Tabelle3!$A8)</f>
        <v>2</v>
      </c>
      <c r="BY8">
        <f ca="1">COUNTIFS(INDIRECT("Table1[Beginn]"),"&lt;="&amp;BY$1,INDIRECT("Table1[Ende]"),"&gt;="&amp;BY$1,INDIRECT("Table1[Obergruppe ATC-Code]"),Tabelle3!$A8)</f>
        <v>1</v>
      </c>
      <c r="BZ8">
        <f ca="1">COUNTIFS(INDIRECT("Table1[Beginn]"),"&lt;="&amp;BZ$1,INDIRECT("Table1[Ende]"),"&gt;="&amp;BZ$1,INDIRECT("Table1[Obergruppe ATC-Code]"),Tabelle3!$A8)</f>
        <v>1</v>
      </c>
      <c r="CA8">
        <f ca="1">COUNTIFS(INDIRECT("Table1[Beginn]"),"&lt;="&amp;CA$1,INDIRECT("Table1[Ende]"),"&gt;="&amp;CA$1,INDIRECT("Table1[Obergruppe ATC-Code]"),Tabelle3!$A8)</f>
        <v>1</v>
      </c>
      <c r="CB8">
        <f ca="1">COUNTIFS(INDIRECT("Table1[Beginn]"),"&lt;="&amp;CB$1,INDIRECT("Table1[Ende]"),"&gt;="&amp;CB$1,INDIRECT("Table1[Obergruppe ATC-Code]"),Tabelle3!$A8)</f>
        <v>0</v>
      </c>
      <c r="CC8">
        <f ca="1">COUNTIFS(INDIRECT("Table1[Beginn]"),"&lt;="&amp;CC$1,INDIRECT("Table1[Ende]"),"&gt;="&amp;CC$1,INDIRECT("Table1[Obergruppe ATC-Code]"),Tabelle3!$A8)</f>
        <v>0</v>
      </c>
      <c r="CD8">
        <f ca="1">COUNTIFS(INDIRECT("Table1[Beginn]"),"&lt;="&amp;CD$1,INDIRECT("Table1[Ende]"),"&gt;="&amp;CD$1,INDIRECT("Table1[Obergruppe ATC-Code]"),Tabelle3!$A8)</f>
        <v>0</v>
      </c>
      <c r="CE8">
        <f ca="1">COUNTIFS(INDIRECT("Table1[Beginn]"),"&lt;="&amp;CE$1,INDIRECT("Table1[Ende]"),"&gt;="&amp;CE$1,INDIRECT("Table1[Obergruppe ATC-Code]"),Tabelle3!$A8)</f>
        <v>2</v>
      </c>
      <c r="CF8">
        <f ca="1">COUNTIFS(INDIRECT("Table1[Beginn]"),"&lt;="&amp;CF$1,INDIRECT("Table1[Ende]"),"&gt;="&amp;CF$1,INDIRECT("Table1[Obergruppe ATC-Code]"),Tabelle3!$A8)</f>
        <v>2</v>
      </c>
      <c r="CG8">
        <f ca="1">COUNTIFS(INDIRECT("Table1[Beginn]"),"&lt;="&amp;CG$1,INDIRECT("Table1[Ende]"),"&gt;="&amp;CG$1,INDIRECT("Table1[Obergruppe ATC-Code]"),Tabelle3!$A8)</f>
        <v>2</v>
      </c>
      <c r="CH8">
        <f ca="1">COUNTIFS(INDIRECT("Table1[Beginn]"),"&lt;="&amp;CH$1,INDIRECT("Table1[Ende]"),"&gt;="&amp;CH$1,INDIRECT("Table1[Obergruppe ATC-Code]"),Tabelle3!$A8)</f>
        <v>1</v>
      </c>
      <c r="CI8">
        <f ca="1">COUNTIFS(INDIRECT("Table1[Beginn]"),"&lt;="&amp;CI$1,INDIRECT("Table1[Ende]"),"&gt;="&amp;CI$1,INDIRECT("Table1[Obergruppe ATC-Code]"),Tabelle3!$A8)</f>
        <v>1</v>
      </c>
      <c r="CJ8">
        <f ca="1">COUNTIFS(INDIRECT("Table1[Beginn]"),"&lt;="&amp;CJ$1,INDIRECT("Table1[Ende]"),"&gt;="&amp;CJ$1,INDIRECT("Table1[Obergruppe ATC-Code]"),Tabelle3!$A8)</f>
        <v>1</v>
      </c>
      <c r="CK8">
        <f ca="1">COUNTIFS(INDIRECT("Table1[Beginn]"),"&lt;="&amp;CK$1,INDIRECT("Table1[Ende]"),"&gt;="&amp;CK$1,INDIRECT("Table1[Obergruppe ATC-Code]"),Tabelle3!$A8)</f>
        <v>1</v>
      </c>
      <c r="CL8">
        <f ca="1">COUNTIFS(INDIRECT("Table1[Beginn]"),"&lt;="&amp;CL$1,INDIRECT("Table1[Ende]"),"&gt;="&amp;CL$1,INDIRECT("Table1[Obergruppe ATC-Code]"),Tabelle3!$A8)</f>
        <v>1</v>
      </c>
      <c r="CM8">
        <f ca="1">COUNTIFS(INDIRECT("Table1[Beginn]"),"&lt;="&amp;CM$1,INDIRECT("Table1[Ende]"),"&gt;="&amp;CM$1,INDIRECT("Table1[Obergruppe ATC-Code]"),Tabelle3!$A8)</f>
        <v>1</v>
      </c>
      <c r="CN8">
        <f ca="1">COUNTIFS(INDIRECT("Table1[Beginn]"),"&lt;="&amp;CN$1,INDIRECT("Table1[Ende]"),"&gt;="&amp;CN$1,INDIRECT("Table1[Obergruppe ATC-Code]"),Tabelle3!$A8)</f>
        <v>1</v>
      </c>
      <c r="CO8">
        <f ca="1">COUNTIFS(INDIRECT("Table1[Beginn]"),"&lt;="&amp;CO$1,INDIRECT("Table1[Ende]"),"&gt;="&amp;CO$1,INDIRECT("Table1[Obergruppe ATC-Code]"),Tabelle3!$A8)</f>
        <v>1</v>
      </c>
      <c r="CP8">
        <f ca="1">COUNTIFS(INDIRECT("Table1[Beginn]"),"&lt;="&amp;CP$1,INDIRECT("Table1[Ende]"),"&gt;="&amp;CP$1,INDIRECT("Table1[Obergruppe ATC-Code]"),Tabelle3!$A8)</f>
        <v>1</v>
      </c>
      <c r="CQ8">
        <f ca="1">COUNTIFS(INDIRECT("Table1[Beginn]"),"&lt;="&amp;CQ$1,INDIRECT("Table1[Ende]"),"&gt;="&amp;CQ$1,INDIRECT("Table1[Obergruppe ATC-Code]"),Tabelle3!$A8)</f>
        <v>1</v>
      </c>
      <c r="CR8">
        <f ca="1">COUNTIFS(INDIRECT("Table1[Beginn]"),"&lt;="&amp;CR$1,INDIRECT("Table1[Ende]"),"&gt;="&amp;CR$1,INDIRECT("Table1[Obergruppe ATC-Code]"),Tabelle3!$A8)</f>
        <v>1</v>
      </c>
      <c r="CS8">
        <f ca="1">COUNTIFS(INDIRECT("Table1[Beginn]"),"&lt;="&amp;CS$1,INDIRECT("Table1[Ende]"),"&gt;="&amp;CS$1,INDIRECT("Table1[Obergruppe ATC-Code]"),Tabelle3!$A8)</f>
        <v>1</v>
      </c>
      <c r="CT8">
        <f ca="1">COUNTIFS(INDIRECT("Table1[Beginn]"),"&lt;="&amp;CT$1,INDIRECT("Table1[Ende]"),"&gt;="&amp;CT$1,INDIRECT("Table1[Obergruppe ATC-Code]"),Tabelle3!$A8)</f>
        <v>1</v>
      </c>
      <c r="CU8" s="54"/>
      <c r="CV8" s="54"/>
      <c r="CW8" s="54"/>
      <c r="CX8" s="54"/>
      <c r="CY8" s="54"/>
      <c r="CZ8" s="54"/>
      <c r="DA8" s="54"/>
      <c r="DB8" s="54"/>
      <c r="DC8" s="54"/>
      <c r="DD8" s="54"/>
      <c r="DE8" s="54"/>
      <c r="DF8" s="54"/>
      <c r="DG8" s="54"/>
      <c r="DH8" s="54"/>
    </row>
    <row r="9" spans="1:112" ht="18" customHeight="1">
      <c r="A9" s="9" t="s">
        <v>6786</v>
      </c>
      <c r="B9" s="10" t="s">
        <v>6787</v>
      </c>
      <c r="C9">
        <f ca="1">COUNTIFS(INDIRECT("Table1[Beginn]"),"&lt;="&amp;C$1,INDIRECT("Table1[Ende]"),"&gt;="&amp;C$1,INDIRECT("Table1[Obergruppe ATC-Code]"),Tabelle3!$A9)</f>
        <v>0</v>
      </c>
      <c r="D9">
        <f ca="1">COUNTIFS(INDIRECT("Table1[Beginn]"),"&lt;="&amp;D$1,INDIRECT("Table1[Ende]"),"&gt;="&amp;D$1,INDIRECT("Table1[Obergruppe ATC-Code]"),Tabelle3!$A9)</f>
        <v>0</v>
      </c>
      <c r="E9">
        <f ca="1">COUNTIFS(INDIRECT("Table1[Beginn]"),"&lt;="&amp;E$1,INDIRECT("Table1[Ende]"),"&gt;="&amp;E$1,INDIRECT("Table1[Obergruppe ATC-Code]"),Tabelle3!$A9)</f>
        <v>0</v>
      </c>
      <c r="F9">
        <f ca="1">COUNTIFS(INDIRECT("Table1[Beginn]"),"&lt;="&amp;F$1,INDIRECT("Table1[Ende]"),"&gt;="&amp;F$1,INDIRECT("Table1[Obergruppe ATC-Code]"),Tabelle3!$A9)</f>
        <v>0</v>
      </c>
      <c r="G9">
        <f ca="1">COUNTIFS(INDIRECT("Table1[Beginn]"),"&lt;="&amp;G$1,INDIRECT("Table1[Ende]"),"&gt;="&amp;G$1,INDIRECT("Table1[Obergruppe ATC-Code]"),Tabelle3!$A9)</f>
        <v>0</v>
      </c>
      <c r="H9">
        <f ca="1">COUNTIFS(INDIRECT("Table1[Beginn]"),"&lt;="&amp;H$1,INDIRECT("Table1[Ende]"),"&gt;="&amp;H$1,INDIRECT("Table1[Obergruppe ATC-Code]"),Tabelle3!$A9)</f>
        <v>0</v>
      </c>
      <c r="I9">
        <f ca="1">COUNTIFS(INDIRECT("Table1[Beginn]"),"&lt;="&amp;I$1,INDIRECT("Table1[Ende]"),"&gt;="&amp;I$1,INDIRECT("Table1[Obergruppe ATC-Code]"),Tabelle3!$A9)</f>
        <v>0</v>
      </c>
      <c r="J9">
        <f ca="1">COUNTIFS(INDIRECT("Table1[Beginn]"),"&lt;="&amp;J$1,INDIRECT("Table1[Ende]"),"&gt;="&amp;J$1,INDIRECT("Table1[Obergruppe ATC-Code]"),Tabelle3!$A9)</f>
        <v>0</v>
      </c>
      <c r="K9">
        <f ca="1">COUNTIFS(INDIRECT("Table1[Beginn]"),"&lt;="&amp;K$1,INDIRECT("Table1[Ende]"),"&gt;="&amp;K$1,INDIRECT("Table1[Obergruppe ATC-Code]"),Tabelle3!$A9)</f>
        <v>0</v>
      </c>
      <c r="L9">
        <f ca="1">COUNTIFS(INDIRECT("Table1[Beginn]"),"&lt;="&amp;L$1,INDIRECT("Table1[Ende]"),"&gt;="&amp;L$1,INDIRECT("Table1[Obergruppe ATC-Code]"),Tabelle3!$A9)</f>
        <v>0</v>
      </c>
      <c r="M9">
        <f ca="1">COUNTIFS(INDIRECT("Table1[Beginn]"),"&lt;="&amp;M$1,INDIRECT("Table1[Ende]"),"&gt;="&amp;M$1,INDIRECT("Table1[Obergruppe ATC-Code]"),Tabelle3!$A9)</f>
        <v>0</v>
      </c>
      <c r="N9">
        <f ca="1">COUNTIFS(INDIRECT("Table1[Beginn]"),"&lt;="&amp;N$1,INDIRECT("Table1[Ende]"),"&gt;="&amp;N$1,INDIRECT("Table1[Obergruppe ATC-Code]"),Tabelle3!$A9)</f>
        <v>0</v>
      </c>
      <c r="O9">
        <f ca="1">COUNTIFS(INDIRECT("Table1[Beginn]"),"&lt;="&amp;O$1,INDIRECT("Table1[Ende]"),"&gt;="&amp;O$1,INDIRECT("Table1[Obergruppe ATC-Code]"),Tabelle3!$A9)</f>
        <v>0</v>
      </c>
      <c r="P9">
        <f ca="1">COUNTIFS(INDIRECT("Table1[Beginn]"),"&lt;="&amp;P$1,INDIRECT("Table1[Ende]"),"&gt;="&amp;P$1,INDIRECT("Table1[Obergruppe ATC-Code]"),Tabelle3!$A9)</f>
        <v>0</v>
      </c>
      <c r="Q9">
        <f ca="1">COUNTIFS(INDIRECT("Table1[Beginn]"),"&lt;="&amp;Q$1,INDIRECT("Table1[Ende]"),"&gt;="&amp;Q$1,INDIRECT("Table1[Obergruppe ATC-Code]"),Tabelle3!$A9)</f>
        <v>0</v>
      </c>
      <c r="R9">
        <f ca="1">COUNTIFS(INDIRECT("Table1[Beginn]"),"&lt;="&amp;R$1,INDIRECT("Table1[Ende]"),"&gt;="&amp;R$1,INDIRECT("Table1[Obergruppe ATC-Code]"),Tabelle3!$A9)</f>
        <v>0</v>
      </c>
      <c r="S9">
        <f ca="1">COUNTIFS(INDIRECT("Table1[Beginn]"),"&lt;="&amp;S$1,INDIRECT("Table1[Ende]"),"&gt;="&amp;S$1,INDIRECT("Table1[Obergruppe ATC-Code]"),Tabelle3!$A9)</f>
        <v>0</v>
      </c>
      <c r="T9">
        <f ca="1">COUNTIFS(INDIRECT("Table1[Beginn]"),"&lt;="&amp;T$1,INDIRECT("Table1[Ende]"),"&gt;="&amp;T$1,INDIRECT("Table1[Obergruppe ATC-Code]"),Tabelle3!$A9)</f>
        <v>0</v>
      </c>
      <c r="U9">
        <f ca="1">COUNTIFS(INDIRECT("Table1[Beginn]"),"&lt;="&amp;U$1,INDIRECT("Table1[Ende]"),"&gt;="&amp;U$1,INDIRECT("Table1[Obergruppe ATC-Code]"),Tabelle3!$A9)</f>
        <v>0</v>
      </c>
      <c r="V9">
        <f ca="1">COUNTIFS(INDIRECT("Table1[Beginn]"),"&lt;="&amp;V$1,INDIRECT("Table1[Ende]"),"&gt;="&amp;V$1,INDIRECT("Table1[Obergruppe ATC-Code]"),Tabelle3!$A9)</f>
        <v>0</v>
      </c>
      <c r="W9">
        <f ca="1">COUNTIFS(INDIRECT("Table1[Beginn]"),"&lt;="&amp;W$1,INDIRECT("Table1[Ende]"),"&gt;="&amp;W$1,INDIRECT("Table1[Obergruppe ATC-Code]"),Tabelle3!$A9)</f>
        <v>0</v>
      </c>
      <c r="X9">
        <f ca="1">COUNTIFS(INDIRECT("Table1[Beginn]"),"&lt;="&amp;X$1,INDIRECT("Table1[Ende]"),"&gt;="&amp;X$1,INDIRECT("Table1[Obergruppe ATC-Code]"),Tabelle3!$A9)</f>
        <v>0</v>
      </c>
      <c r="Y9">
        <f ca="1">COUNTIFS(INDIRECT("Table1[Beginn]"),"&lt;="&amp;Y$1,INDIRECT("Table1[Ende]"),"&gt;="&amp;Y$1,INDIRECT("Table1[Obergruppe ATC-Code]"),Tabelle3!$A9)</f>
        <v>0</v>
      </c>
      <c r="Z9">
        <f ca="1">COUNTIFS(INDIRECT("Table1[Beginn]"),"&lt;="&amp;Z$1,INDIRECT("Table1[Ende]"),"&gt;="&amp;Z$1,INDIRECT("Table1[Obergruppe ATC-Code]"),Tabelle3!$A9)</f>
        <v>0</v>
      </c>
      <c r="AA9">
        <f ca="1">COUNTIFS(INDIRECT("Table1[Beginn]"),"&lt;="&amp;AA$1,INDIRECT("Table1[Ende]"),"&gt;="&amp;AA$1,INDIRECT("Table1[Obergruppe ATC-Code]"),Tabelle3!$A9)</f>
        <v>0</v>
      </c>
      <c r="AB9">
        <f ca="1">COUNTIFS(INDIRECT("Table1[Beginn]"),"&lt;="&amp;AB$1,INDIRECT("Table1[Ende]"),"&gt;="&amp;AB$1,INDIRECT("Table1[Obergruppe ATC-Code]"),Tabelle3!$A9)</f>
        <v>0</v>
      </c>
      <c r="AC9">
        <f ca="1">COUNTIFS(INDIRECT("Table1[Beginn]"),"&lt;="&amp;AC$1,INDIRECT("Table1[Ende]"),"&gt;="&amp;AC$1,INDIRECT("Table1[Obergruppe ATC-Code]"),Tabelle3!$A9)</f>
        <v>0</v>
      </c>
      <c r="AD9">
        <f ca="1">COUNTIFS(INDIRECT("Table1[Beginn]"),"&lt;="&amp;AD$1,INDIRECT("Table1[Ende]"),"&gt;="&amp;AD$1,INDIRECT("Table1[Obergruppe ATC-Code]"),Tabelle3!$A9)</f>
        <v>0</v>
      </c>
      <c r="AE9">
        <f ca="1">COUNTIFS(INDIRECT("Table1[Beginn]"),"&lt;="&amp;AE$1,INDIRECT("Table1[Ende]"),"&gt;="&amp;AE$1,INDIRECT("Table1[Obergruppe ATC-Code]"),Tabelle3!$A9)</f>
        <v>0</v>
      </c>
      <c r="AF9">
        <f ca="1">COUNTIFS(INDIRECT("Table1[Beginn]"),"&lt;="&amp;AF$1,INDIRECT("Table1[Ende]"),"&gt;="&amp;AF$1,INDIRECT("Table1[Obergruppe ATC-Code]"),Tabelle3!$A9)</f>
        <v>0</v>
      </c>
      <c r="AG9">
        <f ca="1">COUNTIFS(INDIRECT("Table1[Beginn]"),"&lt;="&amp;AG$1,INDIRECT("Table1[Ende]"),"&gt;="&amp;AG$1,INDIRECT("Table1[Obergruppe ATC-Code]"),Tabelle3!$A9)</f>
        <v>0</v>
      </c>
      <c r="AH9">
        <f ca="1">COUNTIFS(INDIRECT("Table1[Beginn]"),"&lt;="&amp;AH$1,INDIRECT("Table1[Ende]"),"&gt;="&amp;AH$1,INDIRECT("Table1[Obergruppe ATC-Code]"),Tabelle3!$A9)</f>
        <v>0</v>
      </c>
      <c r="AI9">
        <f ca="1">COUNTIFS(INDIRECT("Table1[Beginn]"),"&lt;="&amp;AI$1,INDIRECT("Table1[Ende]"),"&gt;="&amp;AI$1,INDIRECT("Table1[Obergruppe ATC-Code]"),Tabelle3!$A9)</f>
        <v>0</v>
      </c>
      <c r="AJ9">
        <f ca="1">COUNTIFS(INDIRECT("Table1[Beginn]"),"&lt;="&amp;AJ$1,INDIRECT("Table1[Ende]"),"&gt;="&amp;AJ$1,INDIRECT("Table1[Obergruppe ATC-Code]"),Tabelle3!$A9)</f>
        <v>0</v>
      </c>
      <c r="AK9">
        <f ca="1">COUNTIFS(INDIRECT("Table1[Beginn]"),"&lt;="&amp;AK$1,INDIRECT("Table1[Ende]"),"&gt;="&amp;AK$1,INDIRECT("Table1[Obergruppe ATC-Code]"),Tabelle3!$A9)</f>
        <v>0</v>
      </c>
      <c r="AL9">
        <f ca="1">COUNTIFS(INDIRECT("Table1[Beginn]"),"&lt;="&amp;AL$1,INDIRECT("Table1[Ende]"),"&gt;="&amp;AL$1,INDIRECT("Table1[Obergruppe ATC-Code]"),Tabelle3!$A9)</f>
        <v>0</v>
      </c>
      <c r="AM9">
        <f ca="1">COUNTIFS(INDIRECT("Table1[Beginn]"),"&lt;="&amp;AM$1,INDIRECT("Table1[Ende]"),"&gt;="&amp;AM$1,INDIRECT("Table1[Obergruppe ATC-Code]"),Tabelle3!$A9)</f>
        <v>0</v>
      </c>
      <c r="AN9">
        <f ca="1">COUNTIFS(INDIRECT("Table1[Beginn]"),"&lt;="&amp;AN$1,INDIRECT("Table1[Ende]"),"&gt;="&amp;AN$1,INDIRECT("Table1[Obergruppe ATC-Code]"),Tabelle3!$A9)</f>
        <v>0</v>
      </c>
      <c r="AO9">
        <f ca="1">COUNTIFS(INDIRECT("Table1[Beginn]"),"&lt;="&amp;AO$1,INDIRECT("Table1[Ende]"),"&gt;="&amp;AO$1,INDIRECT("Table1[Obergruppe ATC-Code]"),Tabelle3!$A9)</f>
        <v>0</v>
      </c>
      <c r="AP9">
        <f ca="1">COUNTIFS(INDIRECT("Table1[Beginn]"),"&lt;="&amp;AP$1,INDIRECT("Table1[Ende]"),"&gt;="&amp;AP$1,INDIRECT("Table1[Obergruppe ATC-Code]"),Tabelle3!$A9)</f>
        <v>0</v>
      </c>
      <c r="AQ9">
        <f ca="1">COUNTIFS(INDIRECT("Table1[Beginn]"),"&lt;="&amp;AQ$1,INDIRECT("Table1[Ende]"),"&gt;="&amp;AQ$1,INDIRECT("Table1[Obergruppe ATC-Code]"),Tabelle3!$A9)</f>
        <v>0</v>
      </c>
      <c r="AR9">
        <f ca="1">COUNTIFS(INDIRECT("Table1[Beginn]"),"&lt;="&amp;AR$1,INDIRECT("Table1[Ende]"),"&gt;="&amp;AR$1,INDIRECT("Table1[Obergruppe ATC-Code]"),Tabelle3!$A9)</f>
        <v>0</v>
      </c>
      <c r="AS9">
        <f ca="1">COUNTIFS(INDIRECT("Table1[Beginn]"),"&lt;="&amp;AS$1,INDIRECT("Table1[Ende]"),"&gt;="&amp;AS$1,INDIRECT("Table1[Obergruppe ATC-Code]"),Tabelle3!$A9)</f>
        <v>0</v>
      </c>
      <c r="AT9">
        <f ca="1">COUNTIFS(INDIRECT("Table1[Beginn]"),"&lt;="&amp;AT$1,INDIRECT("Table1[Ende]"),"&gt;="&amp;AT$1,INDIRECT("Table1[Obergruppe ATC-Code]"),Tabelle3!$A9)</f>
        <v>0</v>
      </c>
      <c r="AU9">
        <f ca="1">COUNTIFS(INDIRECT("Table1[Beginn]"),"&lt;="&amp;AU$1,INDIRECT("Table1[Ende]"),"&gt;="&amp;AU$1,INDIRECT("Table1[Obergruppe ATC-Code]"),Tabelle3!$A9)</f>
        <v>0</v>
      </c>
      <c r="AV9">
        <f ca="1">COUNTIFS(INDIRECT("Table1[Beginn]"),"&lt;="&amp;AV$1,INDIRECT("Table1[Ende]"),"&gt;="&amp;AV$1,INDIRECT("Table1[Obergruppe ATC-Code]"),Tabelle3!$A9)</f>
        <v>0</v>
      </c>
      <c r="AW9">
        <f ca="1">COUNTIFS(INDIRECT("Table1[Beginn]"),"&lt;="&amp;AW$1,INDIRECT("Table1[Ende]"),"&gt;="&amp;AW$1,INDIRECT("Table1[Obergruppe ATC-Code]"),Tabelle3!$A9)</f>
        <v>0</v>
      </c>
      <c r="AX9">
        <f ca="1">COUNTIFS(INDIRECT("Table1[Beginn]"),"&lt;="&amp;AX$1,INDIRECT("Table1[Ende]"),"&gt;="&amp;AX$1,INDIRECT("Table1[Obergruppe ATC-Code]"),Tabelle3!$A9)</f>
        <v>0</v>
      </c>
      <c r="AY9">
        <f ca="1">COUNTIFS(INDIRECT("Table1[Beginn]"),"&lt;="&amp;AY$1,INDIRECT("Table1[Ende]"),"&gt;="&amp;AY$1,INDIRECT("Table1[Obergruppe ATC-Code]"),Tabelle3!$A9)</f>
        <v>0</v>
      </c>
      <c r="AZ9">
        <f ca="1">COUNTIFS(INDIRECT("Table1[Beginn]"),"&lt;="&amp;AZ$1,INDIRECT("Table1[Ende]"),"&gt;="&amp;AZ$1,INDIRECT("Table1[Obergruppe ATC-Code]"),Tabelle3!$A9)</f>
        <v>0</v>
      </c>
      <c r="BA9">
        <f ca="1">COUNTIFS(INDIRECT("Table1[Beginn]"),"&lt;="&amp;BA$1,INDIRECT("Table1[Ende]"),"&gt;="&amp;BA$1,INDIRECT("Table1[Obergruppe ATC-Code]"),Tabelle3!$A9)</f>
        <v>0</v>
      </c>
      <c r="BB9">
        <f ca="1">COUNTIFS(INDIRECT("Table1[Beginn]"),"&lt;="&amp;BB$1,INDIRECT("Table1[Ende]"),"&gt;="&amp;BB$1,INDIRECT("Table1[Obergruppe ATC-Code]"),Tabelle3!$A9)</f>
        <v>0</v>
      </c>
      <c r="BC9">
        <f ca="1">COUNTIFS(INDIRECT("Table1[Beginn]"),"&lt;="&amp;BC$1,INDIRECT("Table1[Ende]"),"&gt;="&amp;BC$1,INDIRECT("Table1[Obergruppe ATC-Code]"),Tabelle3!$A9)</f>
        <v>0</v>
      </c>
      <c r="BD9">
        <f ca="1">COUNTIFS(INDIRECT("Table1[Beginn]"),"&lt;="&amp;BD$1,INDIRECT("Table1[Ende]"),"&gt;="&amp;BD$1,INDIRECT("Table1[Obergruppe ATC-Code]"),Tabelle3!$A9)</f>
        <v>0</v>
      </c>
      <c r="BE9">
        <f ca="1">COUNTIFS(INDIRECT("Table1[Beginn]"),"&lt;="&amp;BE$1,INDIRECT("Table1[Ende]"),"&gt;="&amp;BE$1,INDIRECT("Table1[Obergruppe ATC-Code]"),Tabelle3!$A9)</f>
        <v>0</v>
      </c>
      <c r="BF9">
        <f ca="1">COUNTIFS(INDIRECT("Table1[Beginn]"),"&lt;="&amp;BF$1,INDIRECT("Table1[Ende]"),"&gt;="&amp;BF$1,INDIRECT("Table1[Obergruppe ATC-Code]"),Tabelle3!$A9)</f>
        <v>0</v>
      </c>
      <c r="BG9">
        <f ca="1">COUNTIFS(INDIRECT("Table1[Beginn]"),"&lt;="&amp;BG$1,INDIRECT("Table1[Ende]"),"&gt;="&amp;BG$1,INDIRECT("Table1[Obergruppe ATC-Code]"),Tabelle3!$A9)</f>
        <v>0</v>
      </c>
      <c r="BH9">
        <f ca="1">COUNTIFS(INDIRECT("Table1[Beginn]"),"&lt;="&amp;BH$1,INDIRECT("Table1[Ende]"),"&gt;="&amp;BH$1,INDIRECT("Table1[Obergruppe ATC-Code]"),Tabelle3!$A9)</f>
        <v>0</v>
      </c>
      <c r="BI9">
        <f ca="1">COUNTIFS(INDIRECT("Table1[Beginn]"),"&lt;="&amp;BI$1,INDIRECT("Table1[Ende]"),"&gt;="&amp;BI$1,INDIRECT("Table1[Obergruppe ATC-Code]"),Tabelle3!$A9)</f>
        <v>0</v>
      </c>
      <c r="BJ9">
        <f ca="1">COUNTIFS(INDIRECT("Table1[Beginn]"),"&lt;="&amp;BJ$1,INDIRECT("Table1[Ende]"),"&gt;="&amp;BJ$1,INDIRECT("Table1[Obergruppe ATC-Code]"),Tabelle3!$A9)</f>
        <v>0</v>
      </c>
      <c r="BK9">
        <f ca="1">COUNTIFS(INDIRECT("Table1[Beginn]"),"&lt;="&amp;BK$1,INDIRECT("Table1[Ende]"),"&gt;="&amp;BK$1,INDIRECT("Table1[Obergruppe ATC-Code]"),Tabelle3!$A9)</f>
        <v>0</v>
      </c>
      <c r="BL9">
        <f ca="1">COUNTIFS(INDIRECT("Table1[Beginn]"),"&lt;="&amp;BL$1,INDIRECT("Table1[Ende]"),"&gt;="&amp;BL$1,INDIRECT("Table1[Obergruppe ATC-Code]"),Tabelle3!$A9)</f>
        <v>0</v>
      </c>
      <c r="BM9">
        <f ca="1">COUNTIFS(INDIRECT("Table1[Beginn]"),"&lt;="&amp;BM$1,INDIRECT("Table1[Ende]"),"&gt;="&amp;BM$1,INDIRECT("Table1[Obergruppe ATC-Code]"),Tabelle3!$A9)</f>
        <v>0</v>
      </c>
      <c r="BN9">
        <f ca="1">COUNTIFS(INDIRECT("Table1[Beginn]"),"&lt;="&amp;BN$1,INDIRECT("Table1[Ende]"),"&gt;="&amp;BN$1,INDIRECT("Table1[Obergruppe ATC-Code]"),Tabelle3!$A9)</f>
        <v>0</v>
      </c>
      <c r="BO9">
        <f ca="1">COUNTIFS(INDIRECT("Table1[Beginn]"),"&lt;="&amp;BO$1,INDIRECT("Table1[Ende]"),"&gt;="&amp;BO$1,INDIRECT("Table1[Obergruppe ATC-Code]"),Tabelle3!$A9)</f>
        <v>0</v>
      </c>
      <c r="BP9">
        <f ca="1">COUNTIFS(INDIRECT("Table1[Beginn]"),"&lt;="&amp;BP$1,INDIRECT("Table1[Ende]"),"&gt;="&amp;BP$1,INDIRECT("Table1[Obergruppe ATC-Code]"),Tabelle3!$A9)</f>
        <v>0</v>
      </c>
      <c r="BQ9">
        <f ca="1">COUNTIFS(INDIRECT("Table1[Beginn]"),"&lt;="&amp;BQ$1,INDIRECT("Table1[Ende]"),"&gt;="&amp;BQ$1,INDIRECT("Table1[Obergruppe ATC-Code]"),Tabelle3!$A9)</f>
        <v>0</v>
      </c>
      <c r="BR9">
        <f ca="1">COUNTIFS(INDIRECT("Table1[Beginn]"),"&lt;="&amp;BR$1,INDIRECT("Table1[Ende]"),"&gt;="&amp;BR$1,INDIRECT("Table1[Obergruppe ATC-Code]"),Tabelle3!$A9)</f>
        <v>0</v>
      </c>
      <c r="BS9">
        <f ca="1">COUNTIFS(INDIRECT("Table1[Beginn]"),"&lt;="&amp;BS$1,INDIRECT("Table1[Ende]"),"&gt;="&amp;BS$1,INDIRECT("Table1[Obergruppe ATC-Code]"),Tabelle3!$A9)</f>
        <v>0</v>
      </c>
      <c r="BT9">
        <f ca="1">COUNTIFS(INDIRECT("Table1[Beginn]"),"&lt;="&amp;BT$1,INDIRECT("Table1[Ende]"),"&gt;="&amp;BT$1,INDIRECT("Table1[Obergruppe ATC-Code]"),Tabelle3!$A9)</f>
        <v>0</v>
      </c>
      <c r="BU9">
        <f ca="1">COUNTIFS(INDIRECT("Table1[Beginn]"),"&lt;="&amp;BU$1,INDIRECT("Table1[Ende]"),"&gt;="&amp;BU$1,INDIRECT("Table1[Obergruppe ATC-Code]"),Tabelle3!$A9)</f>
        <v>0</v>
      </c>
      <c r="BV9">
        <f ca="1">COUNTIFS(INDIRECT("Table1[Beginn]"),"&lt;="&amp;BV$1,INDIRECT("Table1[Ende]"),"&gt;="&amp;BV$1,INDIRECT("Table1[Obergruppe ATC-Code]"),Tabelle3!$A9)</f>
        <v>0</v>
      </c>
      <c r="BW9">
        <f ca="1">COUNTIFS(INDIRECT("Table1[Beginn]"),"&lt;="&amp;BW$1,INDIRECT("Table1[Ende]"),"&gt;="&amp;BW$1,INDIRECT("Table1[Obergruppe ATC-Code]"),Tabelle3!$A9)</f>
        <v>0</v>
      </c>
      <c r="BX9">
        <f ca="1">COUNTIFS(INDIRECT("Table1[Beginn]"),"&lt;="&amp;BX$1,INDIRECT("Table1[Ende]"),"&gt;="&amp;BX$1,INDIRECT("Table1[Obergruppe ATC-Code]"),Tabelle3!$A9)</f>
        <v>0</v>
      </c>
      <c r="BY9">
        <f ca="1">COUNTIFS(INDIRECT("Table1[Beginn]"),"&lt;="&amp;BY$1,INDIRECT("Table1[Ende]"),"&gt;="&amp;BY$1,INDIRECT("Table1[Obergruppe ATC-Code]"),Tabelle3!$A9)</f>
        <v>0</v>
      </c>
      <c r="BZ9">
        <f ca="1">COUNTIFS(INDIRECT("Table1[Beginn]"),"&lt;="&amp;BZ$1,INDIRECT("Table1[Ende]"),"&gt;="&amp;BZ$1,INDIRECT("Table1[Obergruppe ATC-Code]"),Tabelle3!$A9)</f>
        <v>0</v>
      </c>
      <c r="CA9">
        <f ca="1">COUNTIFS(INDIRECT("Table1[Beginn]"),"&lt;="&amp;CA$1,INDIRECT("Table1[Ende]"),"&gt;="&amp;CA$1,INDIRECT("Table1[Obergruppe ATC-Code]"),Tabelle3!$A9)</f>
        <v>0</v>
      </c>
      <c r="CB9">
        <f ca="1">COUNTIFS(INDIRECT("Table1[Beginn]"),"&lt;="&amp;CB$1,INDIRECT("Table1[Ende]"),"&gt;="&amp;CB$1,INDIRECT("Table1[Obergruppe ATC-Code]"),Tabelle3!$A9)</f>
        <v>0</v>
      </c>
      <c r="CC9">
        <f ca="1">COUNTIFS(INDIRECT("Table1[Beginn]"),"&lt;="&amp;CC$1,INDIRECT("Table1[Ende]"),"&gt;="&amp;CC$1,INDIRECT("Table1[Obergruppe ATC-Code]"),Tabelle3!$A9)</f>
        <v>0</v>
      </c>
      <c r="CD9">
        <f ca="1">COUNTIFS(INDIRECT("Table1[Beginn]"),"&lt;="&amp;CD$1,INDIRECT("Table1[Ende]"),"&gt;="&amp;CD$1,INDIRECT("Table1[Obergruppe ATC-Code]"),Tabelle3!$A9)</f>
        <v>0</v>
      </c>
      <c r="CE9">
        <f ca="1">COUNTIFS(INDIRECT("Table1[Beginn]"),"&lt;="&amp;CE$1,INDIRECT("Table1[Ende]"),"&gt;="&amp;CE$1,INDIRECT("Table1[Obergruppe ATC-Code]"),Tabelle3!$A9)</f>
        <v>0</v>
      </c>
      <c r="CF9">
        <f ca="1">COUNTIFS(INDIRECT("Table1[Beginn]"),"&lt;="&amp;CF$1,INDIRECT("Table1[Ende]"),"&gt;="&amp;CF$1,INDIRECT("Table1[Obergruppe ATC-Code]"),Tabelle3!$A9)</f>
        <v>0</v>
      </c>
      <c r="CG9">
        <f ca="1">COUNTIFS(INDIRECT("Table1[Beginn]"),"&lt;="&amp;CG$1,INDIRECT("Table1[Ende]"),"&gt;="&amp;CG$1,INDIRECT("Table1[Obergruppe ATC-Code]"),Tabelle3!$A9)</f>
        <v>0</v>
      </c>
      <c r="CH9">
        <f ca="1">COUNTIFS(INDIRECT("Table1[Beginn]"),"&lt;="&amp;CH$1,INDIRECT("Table1[Ende]"),"&gt;="&amp;CH$1,INDIRECT("Table1[Obergruppe ATC-Code]"),Tabelle3!$A9)</f>
        <v>0</v>
      </c>
      <c r="CI9">
        <f ca="1">COUNTIFS(INDIRECT("Table1[Beginn]"),"&lt;="&amp;CI$1,INDIRECT("Table1[Ende]"),"&gt;="&amp;CI$1,INDIRECT("Table1[Obergruppe ATC-Code]"),Tabelle3!$A9)</f>
        <v>0</v>
      </c>
      <c r="CJ9">
        <f ca="1">COUNTIFS(INDIRECT("Table1[Beginn]"),"&lt;="&amp;CJ$1,INDIRECT("Table1[Ende]"),"&gt;="&amp;CJ$1,INDIRECT("Table1[Obergruppe ATC-Code]"),Tabelle3!$A9)</f>
        <v>0</v>
      </c>
      <c r="CK9">
        <f ca="1">COUNTIFS(INDIRECT("Table1[Beginn]"),"&lt;="&amp;CK$1,INDIRECT("Table1[Ende]"),"&gt;="&amp;CK$1,INDIRECT("Table1[Obergruppe ATC-Code]"),Tabelle3!$A9)</f>
        <v>0</v>
      </c>
      <c r="CL9">
        <f ca="1">COUNTIFS(INDIRECT("Table1[Beginn]"),"&lt;="&amp;CL$1,INDIRECT("Table1[Ende]"),"&gt;="&amp;CL$1,INDIRECT("Table1[Obergruppe ATC-Code]"),Tabelle3!$A9)</f>
        <v>0</v>
      </c>
      <c r="CM9">
        <f ca="1">COUNTIFS(INDIRECT("Table1[Beginn]"),"&lt;="&amp;CM$1,INDIRECT("Table1[Ende]"),"&gt;="&amp;CM$1,INDIRECT("Table1[Obergruppe ATC-Code]"),Tabelle3!$A9)</f>
        <v>0</v>
      </c>
      <c r="CN9">
        <f ca="1">COUNTIFS(INDIRECT("Table1[Beginn]"),"&lt;="&amp;CN$1,INDIRECT("Table1[Ende]"),"&gt;="&amp;CN$1,INDIRECT("Table1[Obergruppe ATC-Code]"),Tabelle3!$A9)</f>
        <v>0</v>
      </c>
      <c r="CO9">
        <f ca="1">COUNTIFS(INDIRECT("Table1[Beginn]"),"&lt;="&amp;CO$1,INDIRECT("Table1[Ende]"),"&gt;="&amp;CO$1,INDIRECT("Table1[Obergruppe ATC-Code]"),Tabelle3!$A9)</f>
        <v>0</v>
      </c>
      <c r="CP9">
        <f ca="1">COUNTIFS(INDIRECT("Table1[Beginn]"),"&lt;="&amp;CP$1,INDIRECT("Table1[Ende]"),"&gt;="&amp;CP$1,INDIRECT("Table1[Obergruppe ATC-Code]"),Tabelle3!$A9)</f>
        <v>0</v>
      </c>
      <c r="CQ9">
        <f ca="1">COUNTIFS(INDIRECT("Table1[Beginn]"),"&lt;="&amp;CQ$1,INDIRECT("Table1[Ende]"),"&gt;="&amp;CQ$1,INDIRECT("Table1[Obergruppe ATC-Code]"),Tabelle3!$A9)</f>
        <v>0</v>
      </c>
      <c r="CR9">
        <f ca="1">COUNTIFS(INDIRECT("Table1[Beginn]"),"&lt;="&amp;CR$1,INDIRECT("Table1[Ende]"),"&gt;="&amp;CR$1,INDIRECT("Table1[Obergruppe ATC-Code]"),Tabelle3!$A9)</f>
        <v>0</v>
      </c>
      <c r="CS9">
        <f ca="1">COUNTIFS(INDIRECT("Table1[Beginn]"),"&lt;="&amp;CS$1,INDIRECT("Table1[Ende]"),"&gt;="&amp;CS$1,INDIRECT("Table1[Obergruppe ATC-Code]"),Tabelle3!$A9)</f>
        <v>0</v>
      </c>
      <c r="CT9">
        <f ca="1">COUNTIFS(INDIRECT("Table1[Beginn]"),"&lt;="&amp;CT$1,INDIRECT("Table1[Ende]"),"&gt;="&amp;CT$1,INDIRECT("Table1[Obergruppe ATC-Code]"),Tabelle3!$A9)</f>
        <v>0</v>
      </c>
      <c r="CU9" s="54"/>
      <c r="CV9" s="54"/>
      <c r="CW9" s="54"/>
      <c r="CX9" s="54"/>
      <c r="CY9" s="54"/>
      <c r="CZ9" s="54"/>
      <c r="DA9" s="54"/>
      <c r="DB9" s="54"/>
      <c r="DC9" s="54"/>
      <c r="DD9" s="54"/>
      <c r="DE9" s="54"/>
      <c r="DF9" s="54"/>
      <c r="DG9" s="54"/>
      <c r="DH9" s="54"/>
    </row>
    <row r="10" spans="1:112" ht="18" customHeight="1">
      <c r="A10" s="7" t="s">
        <v>6788</v>
      </c>
      <c r="B10" s="8" t="s">
        <v>6789</v>
      </c>
      <c r="C10">
        <f ca="1">COUNTIFS(INDIRECT("Table1[Beginn]"),"&lt;="&amp;C$1,INDIRECT("Table1[Ende]"),"&gt;="&amp;C$1,INDIRECT("Table1[Obergruppe ATC-Code]"),Tabelle3!$A10)</f>
        <v>1</v>
      </c>
      <c r="D10">
        <f ca="1">COUNTIFS(INDIRECT("Table1[Beginn]"),"&lt;="&amp;D$1,INDIRECT("Table1[Ende]"),"&gt;="&amp;D$1,INDIRECT("Table1[Obergruppe ATC-Code]"),Tabelle3!$A10)</f>
        <v>1</v>
      </c>
      <c r="E10">
        <f ca="1">COUNTIFS(INDIRECT("Table1[Beginn]"),"&lt;="&amp;E$1,INDIRECT("Table1[Ende]"),"&gt;="&amp;E$1,INDIRECT("Table1[Obergruppe ATC-Code]"),Tabelle3!$A10)</f>
        <v>1</v>
      </c>
      <c r="F10">
        <f ca="1">COUNTIFS(INDIRECT("Table1[Beginn]"),"&lt;="&amp;F$1,INDIRECT("Table1[Ende]"),"&gt;="&amp;F$1,INDIRECT("Table1[Obergruppe ATC-Code]"),Tabelle3!$A10)</f>
        <v>1</v>
      </c>
      <c r="G10">
        <f ca="1">COUNTIFS(INDIRECT("Table1[Beginn]"),"&lt;="&amp;G$1,INDIRECT("Table1[Ende]"),"&gt;="&amp;G$1,INDIRECT("Table1[Obergruppe ATC-Code]"),Tabelle3!$A10)</f>
        <v>1</v>
      </c>
      <c r="H10">
        <f ca="1">COUNTIFS(INDIRECT("Table1[Beginn]"),"&lt;="&amp;H$1,INDIRECT("Table1[Ende]"),"&gt;="&amp;H$1,INDIRECT("Table1[Obergruppe ATC-Code]"),Tabelle3!$A10)</f>
        <v>1</v>
      </c>
      <c r="I10">
        <f ca="1">COUNTIFS(INDIRECT("Table1[Beginn]"),"&lt;="&amp;I$1,INDIRECT("Table1[Ende]"),"&gt;="&amp;I$1,INDIRECT("Table1[Obergruppe ATC-Code]"),Tabelle3!$A10)</f>
        <v>1</v>
      </c>
      <c r="J10">
        <f ca="1">COUNTIFS(INDIRECT("Table1[Beginn]"),"&lt;="&amp;J$1,INDIRECT("Table1[Ende]"),"&gt;="&amp;J$1,INDIRECT("Table1[Obergruppe ATC-Code]"),Tabelle3!$A10)</f>
        <v>1</v>
      </c>
      <c r="K10">
        <f ca="1">COUNTIFS(INDIRECT("Table1[Beginn]"),"&lt;="&amp;K$1,INDIRECT("Table1[Ende]"),"&gt;="&amp;K$1,INDIRECT("Table1[Obergruppe ATC-Code]"),Tabelle3!$A10)</f>
        <v>1</v>
      </c>
      <c r="L10">
        <f ca="1">COUNTIFS(INDIRECT("Table1[Beginn]"),"&lt;="&amp;L$1,INDIRECT("Table1[Ende]"),"&gt;="&amp;L$1,INDIRECT("Table1[Obergruppe ATC-Code]"),Tabelle3!$A10)</f>
        <v>1</v>
      </c>
      <c r="M10">
        <f ca="1">COUNTIFS(INDIRECT("Table1[Beginn]"),"&lt;="&amp;M$1,INDIRECT("Table1[Ende]"),"&gt;="&amp;M$1,INDIRECT("Table1[Obergruppe ATC-Code]"),Tabelle3!$A10)</f>
        <v>1</v>
      </c>
      <c r="N10">
        <f ca="1">COUNTIFS(INDIRECT("Table1[Beginn]"),"&lt;="&amp;N$1,INDIRECT("Table1[Ende]"),"&gt;="&amp;N$1,INDIRECT("Table1[Obergruppe ATC-Code]"),Tabelle3!$A10)</f>
        <v>1</v>
      </c>
      <c r="O10">
        <f ca="1">COUNTIFS(INDIRECT("Table1[Beginn]"),"&lt;="&amp;O$1,INDIRECT("Table1[Ende]"),"&gt;="&amp;O$1,INDIRECT("Table1[Obergruppe ATC-Code]"),Tabelle3!$A10)</f>
        <v>1</v>
      </c>
      <c r="P10">
        <f ca="1">COUNTIFS(INDIRECT("Table1[Beginn]"),"&lt;="&amp;P$1,INDIRECT("Table1[Ende]"),"&gt;="&amp;P$1,INDIRECT("Table1[Obergruppe ATC-Code]"),Tabelle3!$A10)</f>
        <v>1</v>
      </c>
      <c r="Q10">
        <f ca="1">COUNTIFS(INDIRECT("Table1[Beginn]"),"&lt;="&amp;Q$1,INDIRECT("Table1[Ende]"),"&gt;="&amp;Q$1,INDIRECT("Table1[Obergruppe ATC-Code]"),Tabelle3!$A10)</f>
        <v>1</v>
      </c>
      <c r="R10">
        <f ca="1">COUNTIFS(INDIRECT("Table1[Beginn]"),"&lt;="&amp;R$1,INDIRECT("Table1[Ende]"),"&gt;="&amp;R$1,INDIRECT("Table1[Obergruppe ATC-Code]"),Tabelle3!$A10)</f>
        <v>2</v>
      </c>
      <c r="S10">
        <f ca="1">COUNTIFS(INDIRECT("Table1[Beginn]"),"&lt;="&amp;S$1,INDIRECT("Table1[Ende]"),"&gt;="&amp;S$1,INDIRECT("Table1[Obergruppe ATC-Code]"),Tabelle3!$A10)</f>
        <v>2</v>
      </c>
      <c r="T10">
        <f ca="1">COUNTIFS(INDIRECT("Table1[Beginn]"),"&lt;="&amp;T$1,INDIRECT("Table1[Ende]"),"&gt;="&amp;T$1,INDIRECT("Table1[Obergruppe ATC-Code]"),Tabelle3!$A10)</f>
        <v>2</v>
      </c>
      <c r="U10">
        <f ca="1">COUNTIFS(INDIRECT("Table1[Beginn]"),"&lt;="&amp;U$1,INDIRECT("Table1[Ende]"),"&gt;="&amp;U$1,INDIRECT("Table1[Obergruppe ATC-Code]"),Tabelle3!$A10)</f>
        <v>2</v>
      </c>
      <c r="V10">
        <f ca="1">COUNTIFS(INDIRECT("Table1[Beginn]"),"&lt;="&amp;V$1,INDIRECT("Table1[Ende]"),"&gt;="&amp;V$1,INDIRECT("Table1[Obergruppe ATC-Code]"),Tabelle3!$A10)</f>
        <v>2</v>
      </c>
      <c r="W10">
        <f ca="1">COUNTIFS(INDIRECT("Table1[Beginn]"),"&lt;="&amp;W$1,INDIRECT("Table1[Ende]"),"&gt;="&amp;W$1,INDIRECT("Table1[Obergruppe ATC-Code]"),Tabelle3!$A10)</f>
        <v>2</v>
      </c>
      <c r="X10">
        <f ca="1">COUNTIFS(INDIRECT("Table1[Beginn]"),"&lt;="&amp;X$1,INDIRECT("Table1[Ende]"),"&gt;="&amp;X$1,INDIRECT("Table1[Obergruppe ATC-Code]"),Tabelle3!$A10)</f>
        <v>1</v>
      </c>
      <c r="Y10">
        <f ca="1">COUNTIFS(INDIRECT("Table1[Beginn]"),"&lt;="&amp;Y$1,INDIRECT("Table1[Ende]"),"&gt;="&amp;Y$1,INDIRECT("Table1[Obergruppe ATC-Code]"),Tabelle3!$A10)</f>
        <v>1</v>
      </c>
      <c r="Z10">
        <f ca="1">COUNTIFS(INDIRECT("Table1[Beginn]"),"&lt;="&amp;Z$1,INDIRECT("Table1[Ende]"),"&gt;="&amp;Z$1,INDIRECT("Table1[Obergruppe ATC-Code]"),Tabelle3!$A10)</f>
        <v>2</v>
      </c>
      <c r="AA10">
        <f ca="1">COUNTIFS(INDIRECT("Table1[Beginn]"),"&lt;="&amp;AA$1,INDIRECT("Table1[Ende]"),"&gt;="&amp;AA$1,INDIRECT("Table1[Obergruppe ATC-Code]"),Tabelle3!$A10)</f>
        <v>2</v>
      </c>
      <c r="AB10">
        <f ca="1">COUNTIFS(INDIRECT("Table1[Beginn]"),"&lt;="&amp;AB$1,INDIRECT("Table1[Ende]"),"&gt;="&amp;AB$1,INDIRECT("Table1[Obergruppe ATC-Code]"),Tabelle3!$A10)</f>
        <v>2</v>
      </c>
      <c r="AC10">
        <f ca="1">COUNTIFS(INDIRECT("Table1[Beginn]"),"&lt;="&amp;AC$1,INDIRECT("Table1[Ende]"),"&gt;="&amp;AC$1,INDIRECT("Table1[Obergruppe ATC-Code]"),Tabelle3!$A10)</f>
        <v>2</v>
      </c>
      <c r="AD10">
        <f ca="1">COUNTIFS(INDIRECT("Table1[Beginn]"),"&lt;="&amp;AD$1,INDIRECT("Table1[Ende]"),"&gt;="&amp;AD$1,INDIRECT("Table1[Obergruppe ATC-Code]"),Tabelle3!$A10)</f>
        <v>2</v>
      </c>
      <c r="AE10">
        <f ca="1">COUNTIFS(INDIRECT("Table1[Beginn]"),"&lt;="&amp;AE$1,INDIRECT("Table1[Ende]"),"&gt;="&amp;AE$1,INDIRECT("Table1[Obergruppe ATC-Code]"),Tabelle3!$A10)</f>
        <v>2</v>
      </c>
      <c r="AF10">
        <f ca="1">COUNTIFS(INDIRECT("Table1[Beginn]"),"&lt;="&amp;AF$1,INDIRECT("Table1[Ende]"),"&gt;="&amp;AF$1,INDIRECT("Table1[Obergruppe ATC-Code]"),Tabelle3!$A10)</f>
        <v>2</v>
      </c>
      <c r="AG10">
        <f ca="1">COUNTIFS(INDIRECT("Table1[Beginn]"),"&lt;="&amp;AG$1,INDIRECT("Table1[Ende]"),"&gt;="&amp;AG$1,INDIRECT("Table1[Obergruppe ATC-Code]"),Tabelle3!$A10)</f>
        <v>1</v>
      </c>
      <c r="AH10">
        <f ca="1">COUNTIFS(INDIRECT("Table1[Beginn]"),"&lt;="&amp;AH$1,INDIRECT("Table1[Ende]"),"&gt;="&amp;AH$1,INDIRECT("Table1[Obergruppe ATC-Code]"),Tabelle3!$A10)</f>
        <v>1</v>
      </c>
      <c r="AI10">
        <f ca="1">COUNTIFS(INDIRECT("Table1[Beginn]"),"&lt;="&amp;AI$1,INDIRECT("Table1[Ende]"),"&gt;="&amp;AI$1,INDIRECT("Table1[Obergruppe ATC-Code]"),Tabelle3!$A10)</f>
        <v>1</v>
      </c>
      <c r="AJ10">
        <f ca="1">COUNTIFS(INDIRECT("Table1[Beginn]"),"&lt;="&amp;AJ$1,INDIRECT("Table1[Ende]"),"&gt;="&amp;AJ$1,INDIRECT("Table1[Obergruppe ATC-Code]"),Tabelle3!$A10)</f>
        <v>1</v>
      </c>
      <c r="AK10">
        <f ca="1">COUNTIFS(INDIRECT("Table1[Beginn]"),"&lt;="&amp;AK$1,INDIRECT("Table1[Ende]"),"&gt;="&amp;AK$1,INDIRECT("Table1[Obergruppe ATC-Code]"),Tabelle3!$A10)</f>
        <v>1</v>
      </c>
      <c r="AL10">
        <f ca="1">COUNTIFS(INDIRECT("Table1[Beginn]"),"&lt;="&amp;AL$1,INDIRECT("Table1[Ende]"),"&gt;="&amp;AL$1,INDIRECT("Table1[Obergruppe ATC-Code]"),Tabelle3!$A10)</f>
        <v>1</v>
      </c>
      <c r="AM10">
        <f ca="1">COUNTIFS(INDIRECT("Table1[Beginn]"),"&lt;="&amp;AM$1,INDIRECT("Table1[Ende]"),"&gt;="&amp;AM$1,INDIRECT("Table1[Obergruppe ATC-Code]"),Tabelle3!$A10)</f>
        <v>1</v>
      </c>
      <c r="AN10">
        <f ca="1">COUNTIFS(INDIRECT("Table1[Beginn]"),"&lt;="&amp;AN$1,INDIRECT("Table1[Ende]"),"&gt;="&amp;AN$1,INDIRECT("Table1[Obergruppe ATC-Code]"),Tabelle3!$A10)</f>
        <v>1</v>
      </c>
      <c r="AO10">
        <f ca="1">COUNTIFS(INDIRECT("Table1[Beginn]"),"&lt;="&amp;AO$1,INDIRECT("Table1[Ende]"),"&gt;="&amp;AO$1,INDIRECT("Table1[Obergruppe ATC-Code]"),Tabelle3!$A10)</f>
        <v>1</v>
      </c>
      <c r="AP10">
        <f ca="1">COUNTIFS(INDIRECT("Table1[Beginn]"),"&lt;="&amp;AP$1,INDIRECT("Table1[Ende]"),"&gt;="&amp;AP$1,INDIRECT("Table1[Obergruppe ATC-Code]"),Tabelle3!$A10)</f>
        <v>1</v>
      </c>
      <c r="AQ10">
        <f ca="1">COUNTIFS(INDIRECT("Table1[Beginn]"),"&lt;="&amp;AQ$1,INDIRECT("Table1[Ende]"),"&gt;="&amp;AQ$1,INDIRECT("Table1[Obergruppe ATC-Code]"),Tabelle3!$A10)</f>
        <v>1</v>
      </c>
      <c r="AR10">
        <f ca="1">COUNTIFS(INDIRECT("Table1[Beginn]"),"&lt;="&amp;AR$1,INDIRECT("Table1[Ende]"),"&gt;="&amp;AR$1,INDIRECT("Table1[Obergruppe ATC-Code]"),Tabelle3!$A10)</f>
        <v>1</v>
      </c>
      <c r="AS10">
        <f ca="1">COUNTIFS(INDIRECT("Table1[Beginn]"),"&lt;="&amp;AS$1,INDIRECT("Table1[Ende]"),"&gt;="&amp;AS$1,INDIRECT("Table1[Obergruppe ATC-Code]"),Tabelle3!$A10)</f>
        <v>1</v>
      </c>
      <c r="AT10">
        <f ca="1">COUNTIFS(INDIRECT("Table1[Beginn]"),"&lt;="&amp;AT$1,INDIRECT("Table1[Ende]"),"&gt;="&amp;AT$1,INDIRECT("Table1[Obergruppe ATC-Code]"),Tabelle3!$A10)</f>
        <v>1</v>
      </c>
      <c r="AU10">
        <f ca="1">COUNTIFS(INDIRECT("Table1[Beginn]"),"&lt;="&amp;AU$1,INDIRECT("Table1[Ende]"),"&gt;="&amp;AU$1,INDIRECT("Table1[Obergruppe ATC-Code]"),Tabelle3!$A10)</f>
        <v>1</v>
      </c>
      <c r="AV10">
        <f ca="1">COUNTIFS(INDIRECT("Table1[Beginn]"),"&lt;="&amp;AV$1,INDIRECT("Table1[Ende]"),"&gt;="&amp;AV$1,INDIRECT("Table1[Obergruppe ATC-Code]"),Tabelle3!$A10)</f>
        <v>1</v>
      </c>
      <c r="AW10">
        <f ca="1">COUNTIFS(INDIRECT("Table1[Beginn]"),"&lt;="&amp;AW$1,INDIRECT("Table1[Ende]"),"&gt;="&amp;AW$1,INDIRECT("Table1[Obergruppe ATC-Code]"),Tabelle3!$A10)</f>
        <v>1</v>
      </c>
      <c r="AX10">
        <f ca="1">COUNTIFS(INDIRECT("Table1[Beginn]"),"&lt;="&amp;AX$1,INDIRECT("Table1[Ende]"),"&gt;="&amp;AX$1,INDIRECT("Table1[Obergruppe ATC-Code]"),Tabelle3!$A10)</f>
        <v>1</v>
      </c>
      <c r="AY10">
        <f ca="1">COUNTIFS(INDIRECT("Table1[Beginn]"),"&lt;="&amp;AY$1,INDIRECT("Table1[Ende]"),"&gt;="&amp;AY$1,INDIRECT("Table1[Obergruppe ATC-Code]"),Tabelle3!$A10)</f>
        <v>1</v>
      </c>
      <c r="AZ10">
        <f ca="1">COUNTIFS(INDIRECT("Table1[Beginn]"),"&lt;="&amp;AZ$1,INDIRECT("Table1[Ende]"),"&gt;="&amp;AZ$1,INDIRECT("Table1[Obergruppe ATC-Code]"),Tabelle3!$A10)</f>
        <v>1</v>
      </c>
      <c r="BA10">
        <f ca="1">COUNTIFS(INDIRECT("Table1[Beginn]"),"&lt;="&amp;BA$1,INDIRECT("Table1[Ende]"),"&gt;="&amp;BA$1,INDIRECT("Table1[Obergruppe ATC-Code]"),Tabelle3!$A10)</f>
        <v>1</v>
      </c>
      <c r="BB10">
        <f ca="1">COUNTIFS(INDIRECT("Table1[Beginn]"),"&lt;="&amp;BB$1,INDIRECT("Table1[Ende]"),"&gt;="&amp;BB$1,INDIRECT("Table1[Obergruppe ATC-Code]"),Tabelle3!$A10)</f>
        <v>1</v>
      </c>
      <c r="BC10">
        <f ca="1">COUNTIFS(INDIRECT("Table1[Beginn]"),"&lt;="&amp;BC$1,INDIRECT("Table1[Ende]"),"&gt;="&amp;BC$1,INDIRECT("Table1[Obergruppe ATC-Code]"),Tabelle3!$A10)</f>
        <v>1</v>
      </c>
      <c r="BD10">
        <f ca="1">COUNTIFS(INDIRECT("Table1[Beginn]"),"&lt;="&amp;BD$1,INDIRECT("Table1[Ende]"),"&gt;="&amp;BD$1,INDIRECT("Table1[Obergruppe ATC-Code]"),Tabelle3!$A10)</f>
        <v>1</v>
      </c>
      <c r="BE10">
        <f ca="1">COUNTIFS(INDIRECT("Table1[Beginn]"),"&lt;="&amp;BE$1,INDIRECT("Table1[Ende]"),"&gt;="&amp;BE$1,INDIRECT("Table1[Obergruppe ATC-Code]"),Tabelle3!$A10)</f>
        <v>1</v>
      </c>
      <c r="BF10">
        <f ca="1">COUNTIFS(INDIRECT("Table1[Beginn]"),"&lt;="&amp;BF$1,INDIRECT("Table1[Ende]"),"&gt;="&amp;BF$1,INDIRECT("Table1[Obergruppe ATC-Code]"),Tabelle3!$A10)</f>
        <v>1</v>
      </c>
      <c r="BG10">
        <f ca="1">COUNTIFS(INDIRECT("Table1[Beginn]"),"&lt;="&amp;BG$1,INDIRECT("Table1[Ende]"),"&gt;="&amp;BG$1,INDIRECT("Table1[Obergruppe ATC-Code]"),Tabelle3!$A10)</f>
        <v>1</v>
      </c>
      <c r="BH10">
        <f ca="1">COUNTIFS(INDIRECT("Table1[Beginn]"),"&lt;="&amp;BH$1,INDIRECT("Table1[Ende]"),"&gt;="&amp;BH$1,INDIRECT("Table1[Obergruppe ATC-Code]"),Tabelle3!$A10)</f>
        <v>1</v>
      </c>
      <c r="BI10">
        <f ca="1">COUNTIFS(INDIRECT("Table1[Beginn]"),"&lt;="&amp;BI$1,INDIRECT("Table1[Ende]"),"&gt;="&amp;BI$1,INDIRECT("Table1[Obergruppe ATC-Code]"),Tabelle3!$A10)</f>
        <v>1</v>
      </c>
      <c r="BJ10">
        <f ca="1">COUNTIFS(INDIRECT("Table1[Beginn]"),"&lt;="&amp;BJ$1,INDIRECT("Table1[Ende]"),"&gt;="&amp;BJ$1,INDIRECT("Table1[Obergruppe ATC-Code]"),Tabelle3!$A10)</f>
        <v>1</v>
      </c>
      <c r="BK10">
        <f ca="1">COUNTIFS(INDIRECT("Table1[Beginn]"),"&lt;="&amp;BK$1,INDIRECT("Table1[Ende]"),"&gt;="&amp;BK$1,INDIRECT("Table1[Obergruppe ATC-Code]"),Tabelle3!$A10)</f>
        <v>1</v>
      </c>
      <c r="BL10">
        <f ca="1">COUNTIFS(INDIRECT("Table1[Beginn]"),"&lt;="&amp;BL$1,INDIRECT("Table1[Ende]"),"&gt;="&amp;BL$1,INDIRECT("Table1[Obergruppe ATC-Code]"),Tabelle3!$A10)</f>
        <v>1</v>
      </c>
      <c r="BM10">
        <f ca="1">COUNTIFS(INDIRECT("Table1[Beginn]"),"&lt;="&amp;BM$1,INDIRECT("Table1[Ende]"),"&gt;="&amp;BM$1,INDIRECT("Table1[Obergruppe ATC-Code]"),Tabelle3!$A10)</f>
        <v>1</v>
      </c>
      <c r="BN10">
        <f ca="1">COUNTIFS(INDIRECT("Table1[Beginn]"),"&lt;="&amp;BN$1,INDIRECT("Table1[Ende]"),"&gt;="&amp;BN$1,INDIRECT("Table1[Obergruppe ATC-Code]"),Tabelle3!$A10)</f>
        <v>1</v>
      </c>
      <c r="BO10">
        <f ca="1">COUNTIFS(INDIRECT("Table1[Beginn]"),"&lt;="&amp;BO$1,INDIRECT("Table1[Ende]"),"&gt;="&amp;BO$1,INDIRECT("Table1[Obergruppe ATC-Code]"),Tabelle3!$A10)</f>
        <v>1</v>
      </c>
      <c r="BP10">
        <f ca="1">COUNTIFS(INDIRECT("Table1[Beginn]"),"&lt;="&amp;BP$1,INDIRECT("Table1[Ende]"),"&gt;="&amp;BP$1,INDIRECT("Table1[Obergruppe ATC-Code]"),Tabelle3!$A10)</f>
        <v>1</v>
      </c>
      <c r="BQ10">
        <f ca="1">COUNTIFS(INDIRECT("Table1[Beginn]"),"&lt;="&amp;BQ$1,INDIRECT("Table1[Ende]"),"&gt;="&amp;BQ$1,INDIRECT("Table1[Obergruppe ATC-Code]"),Tabelle3!$A10)</f>
        <v>1</v>
      </c>
      <c r="BR10">
        <f ca="1">COUNTIFS(INDIRECT("Table1[Beginn]"),"&lt;="&amp;BR$1,INDIRECT("Table1[Ende]"),"&gt;="&amp;BR$1,INDIRECT("Table1[Obergruppe ATC-Code]"),Tabelle3!$A10)</f>
        <v>1</v>
      </c>
      <c r="BS10">
        <f ca="1">COUNTIFS(INDIRECT("Table1[Beginn]"),"&lt;="&amp;BS$1,INDIRECT("Table1[Ende]"),"&gt;="&amp;BS$1,INDIRECT("Table1[Obergruppe ATC-Code]"),Tabelle3!$A10)</f>
        <v>1</v>
      </c>
      <c r="BT10">
        <f ca="1">COUNTIFS(INDIRECT("Table1[Beginn]"),"&lt;="&amp;BT$1,INDIRECT("Table1[Ende]"),"&gt;="&amp;BT$1,INDIRECT("Table1[Obergruppe ATC-Code]"),Tabelle3!$A10)</f>
        <v>1</v>
      </c>
      <c r="BU10">
        <f ca="1">COUNTIFS(INDIRECT("Table1[Beginn]"),"&lt;="&amp;BU$1,INDIRECT("Table1[Ende]"),"&gt;="&amp;BU$1,INDIRECT("Table1[Obergruppe ATC-Code]"),Tabelle3!$A10)</f>
        <v>1</v>
      </c>
      <c r="BV10">
        <f ca="1">COUNTIFS(INDIRECT("Table1[Beginn]"),"&lt;="&amp;BV$1,INDIRECT("Table1[Ende]"),"&gt;="&amp;BV$1,INDIRECT("Table1[Obergruppe ATC-Code]"),Tabelle3!$A10)</f>
        <v>1</v>
      </c>
      <c r="BW10">
        <f ca="1">COUNTIFS(INDIRECT("Table1[Beginn]"),"&lt;="&amp;BW$1,INDIRECT("Table1[Ende]"),"&gt;="&amp;BW$1,INDIRECT("Table1[Obergruppe ATC-Code]"),Tabelle3!$A10)</f>
        <v>1</v>
      </c>
      <c r="BX10">
        <f ca="1">COUNTIFS(INDIRECT("Table1[Beginn]"),"&lt;="&amp;BX$1,INDIRECT("Table1[Ende]"),"&gt;="&amp;BX$1,INDIRECT("Table1[Obergruppe ATC-Code]"),Tabelle3!$A10)</f>
        <v>1</v>
      </c>
      <c r="BY10">
        <f ca="1">COUNTIFS(INDIRECT("Table1[Beginn]"),"&lt;="&amp;BY$1,INDIRECT("Table1[Ende]"),"&gt;="&amp;BY$1,INDIRECT("Table1[Obergruppe ATC-Code]"),Tabelle3!$A10)</f>
        <v>1</v>
      </c>
      <c r="BZ10">
        <f ca="1">COUNTIFS(INDIRECT("Table1[Beginn]"),"&lt;="&amp;BZ$1,INDIRECT("Table1[Ende]"),"&gt;="&amp;BZ$1,INDIRECT("Table1[Obergruppe ATC-Code]"),Tabelle3!$A10)</f>
        <v>1</v>
      </c>
      <c r="CA10">
        <f ca="1">COUNTIFS(INDIRECT("Table1[Beginn]"),"&lt;="&amp;CA$1,INDIRECT("Table1[Ende]"),"&gt;="&amp;CA$1,INDIRECT("Table1[Obergruppe ATC-Code]"),Tabelle3!$A10)</f>
        <v>1</v>
      </c>
      <c r="CB10">
        <f ca="1">COUNTIFS(INDIRECT("Table1[Beginn]"),"&lt;="&amp;CB$1,INDIRECT("Table1[Ende]"),"&gt;="&amp;CB$1,INDIRECT("Table1[Obergruppe ATC-Code]"),Tabelle3!$A10)</f>
        <v>1</v>
      </c>
      <c r="CC10">
        <f ca="1">COUNTIFS(INDIRECT("Table1[Beginn]"),"&lt;="&amp;CC$1,INDIRECT("Table1[Ende]"),"&gt;="&amp;CC$1,INDIRECT("Table1[Obergruppe ATC-Code]"),Tabelle3!$A10)</f>
        <v>1</v>
      </c>
      <c r="CD10">
        <f ca="1">COUNTIFS(INDIRECT("Table1[Beginn]"),"&lt;="&amp;CD$1,INDIRECT("Table1[Ende]"),"&gt;="&amp;CD$1,INDIRECT("Table1[Obergruppe ATC-Code]"),Tabelle3!$A10)</f>
        <v>0</v>
      </c>
      <c r="CE10">
        <f ca="1">COUNTIFS(INDIRECT("Table1[Beginn]"),"&lt;="&amp;CE$1,INDIRECT("Table1[Ende]"),"&gt;="&amp;CE$1,INDIRECT("Table1[Obergruppe ATC-Code]"),Tabelle3!$A10)</f>
        <v>0</v>
      </c>
      <c r="CF10">
        <f ca="1">COUNTIFS(INDIRECT("Table1[Beginn]"),"&lt;="&amp;CF$1,INDIRECT("Table1[Ende]"),"&gt;="&amp;CF$1,INDIRECT("Table1[Obergruppe ATC-Code]"),Tabelle3!$A10)</f>
        <v>0</v>
      </c>
      <c r="CG10">
        <f ca="1">COUNTIFS(INDIRECT("Table1[Beginn]"),"&lt;="&amp;CG$1,INDIRECT("Table1[Ende]"),"&gt;="&amp;CG$1,INDIRECT("Table1[Obergruppe ATC-Code]"),Tabelle3!$A10)</f>
        <v>0</v>
      </c>
      <c r="CH10">
        <f ca="1">COUNTIFS(INDIRECT("Table1[Beginn]"),"&lt;="&amp;CH$1,INDIRECT("Table1[Ende]"),"&gt;="&amp;CH$1,INDIRECT("Table1[Obergruppe ATC-Code]"),Tabelle3!$A10)</f>
        <v>0</v>
      </c>
      <c r="CI10">
        <f ca="1">COUNTIFS(INDIRECT("Table1[Beginn]"),"&lt;="&amp;CI$1,INDIRECT("Table1[Ende]"),"&gt;="&amp;CI$1,INDIRECT("Table1[Obergruppe ATC-Code]"),Tabelle3!$A10)</f>
        <v>0</v>
      </c>
      <c r="CJ10">
        <f ca="1">COUNTIFS(INDIRECT("Table1[Beginn]"),"&lt;="&amp;CJ$1,INDIRECT("Table1[Ende]"),"&gt;="&amp;CJ$1,INDIRECT("Table1[Obergruppe ATC-Code]"),Tabelle3!$A10)</f>
        <v>0</v>
      </c>
      <c r="CK10">
        <f ca="1">COUNTIFS(INDIRECT("Table1[Beginn]"),"&lt;="&amp;CK$1,INDIRECT("Table1[Ende]"),"&gt;="&amp;CK$1,INDIRECT("Table1[Obergruppe ATC-Code]"),Tabelle3!$A10)</f>
        <v>0</v>
      </c>
      <c r="CL10">
        <f ca="1">COUNTIFS(INDIRECT("Table1[Beginn]"),"&lt;="&amp;CL$1,INDIRECT("Table1[Ende]"),"&gt;="&amp;CL$1,INDIRECT("Table1[Obergruppe ATC-Code]"),Tabelle3!$A10)</f>
        <v>0</v>
      </c>
      <c r="CM10">
        <f ca="1">COUNTIFS(INDIRECT("Table1[Beginn]"),"&lt;="&amp;CM$1,INDIRECT("Table1[Ende]"),"&gt;="&amp;CM$1,INDIRECT("Table1[Obergruppe ATC-Code]"),Tabelle3!$A10)</f>
        <v>0</v>
      </c>
      <c r="CN10">
        <f ca="1">COUNTIFS(INDIRECT("Table1[Beginn]"),"&lt;="&amp;CN$1,INDIRECT("Table1[Ende]"),"&gt;="&amp;CN$1,INDIRECT("Table1[Obergruppe ATC-Code]"),Tabelle3!$A10)</f>
        <v>0</v>
      </c>
      <c r="CO10">
        <f ca="1">COUNTIFS(INDIRECT("Table1[Beginn]"),"&lt;="&amp;CO$1,INDIRECT("Table1[Ende]"),"&gt;="&amp;CO$1,INDIRECT("Table1[Obergruppe ATC-Code]"),Tabelle3!$A10)</f>
        <v>0</v>
      </c>
      <c r="CP10">
        <f ca="1">COUNTIFS(INDIRECT("Table1[Beginn]"),"&lt;="&amp;CP$1,INDIRECT("Table1[Ende]"),"&gt;="&amp;CP$1,INDIRECT("Table1[Obergruppe ATC-Code]"),Tabelle3!$A10)</f>
        <v>0</v>
      </c>
      <c r="CQ10">
        <f ca="1">COUNTIFS(INDIRECT("Table1[Beginn]"),"&lt;="&amp;CQ$1,INDIRECT("Table1[Ende]"),"&gt;="&amp;CQ$1,INDIRECT("Table1[Obergruppe ATC-Code]"),Tabelle3!$A10)</f>
        <v>0</v>
      </c>
      <c r="CR10">
        <f ca="1">COUNTIFS(INDIRECT("Table1[Beginn]"),"&lt;="&amp;CR$1,INDIRECT("Table1[Ende]"),"&gt;="&amp;CR$1,INDIRECT("Table1[Obergruppe ATC-Code]"),Tabelle3!$A10)</f>
        <v>0</v>
      </c>
      <c r="CS10">
        <f ca="1">COUNTIFS(INDIRECT("Table1[Beginn]"),"&lt;="&amp;CS$1,INDIRECT("Table1[Ende]"),"&gt;="&amp;CS$1,INDIRECT("Table1[Obergruppe ATC-Code]"),Tabelle3!$A10)</f>
        <v>0</v>
      </c>
      <c r="CT10">
        <f ca="1">COUNTIFS(INDIRECT("Table1[Beginn]"),"&lt;="&amp;CT$1,INDIRECT("Table1[Ende]"),"&gt;="&amp;CT$1,INDIRECT("Table1[Obergruppe ATC-Code]"),Tabelle3!$A10)</f>
        <v>0</v>
      </c>
      <c r="CU10" s="54"/>
      <c r="CV10" s="54"/>
      <c r="CW10" s="54"/>
      <c r="CX10" s="54"/>
      <c r="CY10" s="54"/>
      <c r="CZ10" s="54"/>
      <c r="DA10" s="54"/>
      <c r="DB10" s="54"/>
      <c r="DC10" s="54"/>
      <c r="DD10" s="54"/>
      <c r="DE10" s="54"/>
      <c r="DF10" s="54"/>
      <c r="DG10" s="54"/>
      <c r="DH10" s="54"/>
    </row>
    <row r="11" spans="1:112" ht="18" customHeight="1">
      <c r="A11" s="9" t="s">
        <v>6790</v>
      </c>
      <c r="B11" s="10" t="s">
        <v>6791</v>
      </c>
      <c r="C11">
        <f ca="1">COUNTIFS(INDIRECT("Table1[Beginn]"),"&lt;="&amp;C$1,INDIRECT("Table1[Ende]"),"&gt;="&amp;C$1,INDIRECT("Table1[Obergruppe ATC-Code]"),Tabelle3!$A11)</f>
        <v>0</v>
      </c>
      <c r="D11">
        <f ca="1">COUNTIFS(INDIRECT("Table1[Beginn]"),"&lt;="&amp;D$1,INDIRECT("Table1[Ende]"),"&gt;="&amp;D$1,INDIRECT("Table1[Obergruppe ATC-Code]"),Tabelle3!$A11)</f>
        <v>0</v>
      </c>
      <c r="E11">
        <f ca="1">COUNTIFS(INDIRECT("Table1[Beginn]"),"&lt;="&amp;E$1,INDIRECT("Table1[Ende]"),"&gt;="&amp;E$1,INDIRECT("Table1[Obergruppe ATC-Code]"),Tabelle3!$A11)</f>
        <v>0</v>
      </c>
      <c r="F11">
        <f ca="1">COUNTIFS(INDIRECT("Table1[Beginn]"),"&lt;="&amp;F$1,INDIRECT("Table1[Ende]"),"&gt;="&amp;F$1,INDIRECT("Table1[Obergruppe ATC-Code]"),Tabelle3!$A11)</f>
        <v>0</v>
      </c>
      <c r="G11">
        <f ca="1">COUNTIFS(INDIRECT("Table1[Beginn]"),"&lt;="&amp;G$1,INDIRECT("Table1[Ende]"),"&gt;="&amp;G$1,INDIRECT("Table1[Obergruppe ATC-Code]"),Tabelle3!$A11)</f>
        <v>0</v>
      </c>
      <c r="H11">
        <f ca="1">COUNTIFS(INDIRECT("Table1[Beginn]"),"&lt;="&amp;H$1,INDIRECT("Table1[Ende]"),"&gt;="&amp;H$1,INDIRECT("Table1[Obergruppe ATC-Code]"),Tabelle3!$A11)</f>
        <v>0</v>
      </c>
      <c r="I11">
        <f ca="1">COUNTIFS(INDIRECT("Table1[Beginn]"),"&lt;="&amp;I$1,INDIRECT("Table1[Ende]"),"&gt;="&amp;I$1,INDIRECT("Table1[Obergruppe ATC-Code]"),Tabelle3!$A11)</f>
        <v>0</v>
      </c>
      <c r="J11">
        <f ca="1">COUNTIFS(INDIRECT("Table1[Beginn]"),"&lt;="&amp;J$1,INDIRECT("Table1[Ende]"),"&gt;="&amp;J$1,INDIRECT("Table1[Obergruppe ATC-Code]"),Tabelle3!$A11)</f>
        <v>0</v>
      </c>
      <c r="K11">
        <f ca="1">COUNTIFS(INDIRECT("Table1[Beginn]"),"&lt;="&amp;K$1,INDIRECT("Table1[Ende]"),"&gt;="&amp;K$1,INDIRECT("Table1[Obergruppe ATC-Code]"),Tabelle3!$A11)</f>
        <v>0</v>
      </c>
      <c r="L11">
        <f ca="1">COUNTIFS(INDIRECT("Table1[Beginn]"),"&lt;="&amp;L$1,INDIRECT("Table1[Ende]"),"&gt;="&amp;L$1,INDIRECT("Table1[Obergruppe ATC-Code]"),Tabelle3!$A11)</f>
        <v>0</v>
      </c>
      <c r="M11">
        <f ca="1">COUNTIFS(INDIRECT("Table1[Beginn]"),"&lt;="&amp;M$1,INDIRECT("Table1[Ende]"),"&gt;="&amp;M$1,INDIRECT("Table1[Obergruppe ATC-Code]"),Tabelle3!$A11)</f>
        <v>0</v>
      </c>
      <c r="N11">
        <f ca="1">COUNTIFS(INDIRECT("Table1[Beginn]"),"&lt;="&amp;N$1,INDIRECT("Table1[Ende]"),"&gt;="&amp;N$1,INDIRECT("Table1[Obergruppe ATC-Code]"),Tabelle3!$A11)</f>
        <v>0</v>
      </c>
      <c r="O11">
        <f ca="1">COUNTIFS(INDIRECT("Table1[Beginn]"),"&lt;="&amp;O$1,INDIRECT("Table1[Ende]"),"&gt;="&amp;O$1,INDIRECT("Table1[Obergruppe ATC-Code]"),Tabelle3!$A11)</f>
        <v>0</v>
      </c>
      <c r="P11">
        <f ca="1">COUNTIFS(INDIRECT("Table1[Beginn]"),"&lt;="&amp;P$1,INDIRECT("Table1[Ende]"),"&gt;="&amp;P$1,INDIRECT("Table1[Obergruppe ATC-Code]"),Tabelle3!$A11)</f>
        <v>0</v>
      </c>
      <c r="Q11">
        <f ca="1">COUNTIFS(INDIRECT("Table1[Beginn]"),"&lt;="&amp;Q$1,INDIRECT("Table1[Ende]"),"&gt;="&amp;Q$1,INDIRECT("Table1[Obergruppe ATC-Code]"),Tabelle3!$A11)</f>
        <v>0</v>
      </c>
      <c r="R11">
        <f ca="1">COUNTIFS(INDIRECT("Table1[Beginn]"),"&lt;="&amp;R$1,INDIRECT("Table1[Ende]"),"&gt;="&amp;R$1,INDIRECT("Table1[Obergruppe ATC-Code]"),Tabelle3!$A11)</f>
        <v>0</v>
      </c>
      <c r="S11">
        <f ca="1">COUNTIFS(INDIRECT("Table1[Beginn]"),"&lt;="&amp;S$1,INDIRECT("Table1[Ende]"),"&gt;="&amp;S$1,INDIRECT("Table1[Obergruppe ATC-Code]"),Tabelle3!$A11)</f>
        <v>0</v>
      </c>
      <c r="T11">
        <f ca="1">COUNTIFS(INDIRECT("Table1[Beginn]"),"&lt;="&amp;T$1,INDIRECT("Table1[Ende]"),"&gt;="&amp;T$1,INDIRECT("Table1[Obergruppe ATC-Code]"),Tabelle3!$A11)</f>
        <v>0</v>
      </c>
      <c r="U11">
        <f ca="1">COUNTIFS(INDIRECT("Table1[Beginn]"),"&lt;="&amp;U$1,INDIRECT("Table1[Ende]"),"&gt;="&amp;U$1,INDIRECT("Table1[Obergruppe ATC-Code]"),Tabelle3!$A11)</f>
        <v>0</v>
      </c>
      <c r="V11">
        <f ca="1">COUNTIFS(INDIRECT("Table1[Beginn]"),"&lt;="&amp;V$1,INDIRECT("Table1[Ende]"),"&gt;="&amp;V$1,INDIRECT("Table1[Obergruppe ATC-Code]"),Tabelle3!$A11)</f>
        <v>0</v>
      </c>
      <c r="W11">
        <f ca="1">COUNTIFS(INDIRECT("Table1[Beginn]"),"&lt;="&amp;W$1,INDIRECT("Table1[Ende]"),"&gt;="&amp;W$1,INDIRECT("Table1[Obergruppe ATC-Code]"),Tabelle3!$A11)</f>
        <v>0</v>
      </c>
      <c r="X11">
        <f ca="1">COUNTIFS(INDIRECT("Table1[Beginn]"),"&lt;="&amp;X$1,INDIRECT("Table1[Ende]"),"&gt;="&amp;X$1,INDIRECT("Table1[Obergruppe ATC-Code]"),Tabelle3!$A11)</f>
        <v>0</v>
      </c>
      <c r="Y11">
        <f ca="1">COUNTIFS(INDIRECT("Table1[Beginn]"),"&lt;="&amp;Y$1,INDIRECT("Table1[Ende]"),"&gt;="&amp;Y$1,INDIRECT("Table1[Obergruppe ATC-Code]"),Tabelle3!$A11)</f>
        <v>1</v>
      </c>
      <c r="Z11">
        <f ca="1">COUNTIFS(INDIRECT("Table1[Beginn]"),"&lt;="&amp;Z$1,INDIRECT("Table1[Ende]"),"&gt;="&amp;Z$1,INDIRECT("Table1[Obergruppe ATC-Code]"),Tabelle3!$A11)</f>
        <v>1</v>
      </c>
      <c r="AA11">
        <f ca="1">COUNTIFS(INDIRECT("Table1[Beginn]"),"&lt;="&amp;AA$1,INDIRECT("Table1[Ende]"),"&gt;="&amp;AA$1,INDIRECT("Table1[Obergruppe ATC-Code]"),Tabelle3!$A11)</f>
        <v>0</v>
      </c>
      <c r="AB11">
        <f ca="1">COUNTIFS(INDIRECT("Table1[Beginn]"),"&lt;="&amp;AB$1,INDIRECT("Table1[Ende]"),"&gt;="&amp;AB$1,INDIRECT("Table1[Obergruppe ATC-Code]"),Tabelle3!$A11)</f>
        <v>1</v>
      </c>
      <c r="AC11">
        <f ca="1">COUNTIFS(INDIRECT("Table1[Beginn]"),"&lt;="&amp;AC$1,INDIRECT("Table1[Ende]"),"&gt;="&amp;AC$1,INDIRECT("Table1[Obergruppe ATC-Code]"),Tabelle3!$A11)</f>
        <v>1</v>
      </c>
      <c r="AD11">
        <f ca="1">COUNTIFS(INDIRECT("Table1[Beginn]"),"&lt;="&amp;AD$1,INDIRECT("Table1[Ende]"),"&gt;="&amp;AD$1,INDIRECT("Table1[Obergruppe ATC-Code]"),Tabelle3!$A11)</f>
        <v>1</v>
      </c>
      <c r="AE11">
        <f ca="1">COUNTIFS(INDIRECT("Table1[Beginn]"),"&lt;="&amp;AE$1,INDIRECT("Table1[Ende]"),"&gt;="&amp;AE$1,INDIRECT("Table1[Obergruppe ATC-Code]"),Tabelle3!$A11)</f>
        <v>1</v>
      </c>
      <c r="AF11">
        <f ca="1">COUNTIFS(INDIRECT("Table1[Beginn]"),"&lt;="&amp;AF$1,INDIRECT("Table1[Ende]"),"&gt;="&amp;AF$1,INDIRECT("Table1[Obergruppe ATC-Code]"),Tabelle3!$A11)</f>
        <v>1</v>
      </c>
      <c r="AG11">
        <f ca="1">COUNTIFS(INDIRECT("Table1[Beginn]"),"&lt;="&amp;AG$1,INDIRECT("Table1[Ende]"),"&gt;="&amp;AG$1,INDIRECT("Table1[Obergruppe ATC-Code]"),Tabelle3!$A11)</f>
        <v>1</v>
      </c>
      <c r="AH11">
        <f ca="1">COUNTIFS(INDIRECT("Table1[Beginn]"),"&lt;="&amp;AH$1,INDIRECT("Table1[Ende]"),"&gt;="&amp;AH$1,INDIRECT("Table1[Obergruppe ATC-Code]"),Tabelle3!$A11)</f>
        <v>1</v>
      </c>
      <c r="AI11">
        <f ca="1">COUNTIFS(INDIRECT("Table1[Beginn]"),"&lt;="&amp;AI$1,INDIRECT("Table1[Ende]"),"&gt;="&amp;AI$1,INDIRECT("Table1[Obergruppe ATC-Code]"),Tabelle3!$A11)</f>
        <v>3</v>
      </c>
      <c r="AJ11">
        <f ca="1">COUNTIFS(INDIRECT("Table1[Beginn]"),"&lt;="&amp;AJ$1,INDIRECT("Table1[Ende]"),"&gt;="&amp;AJ$1,INDIRECT("Table1[Obergruppe ATC-Code]"),Tabelle3!$A11)</f>
        <v>2</v>
      </c>
      <c r="AK11">
        <f ca="1">COUNTIFS(INDIRECT("Table1[Beginn]"),"&lt;="&amp;AK$1,INDIRECT("Table1[Ende]"),"&gt;="&amp;AK$1,INDIRECT("Table1[Obergruppe ATC-Code]"),Tabelle3!$A11)</f>
        <v>3</v>
      </c>
      <c r="AL11">
        <f ca="1">COUNTIFS(INDIRECT("Table1[Beginn]"),"&lt;="&amp;AL$1,INDIRECT("Table1[Ende]"),"&gt;="&amp;AL$1,INDIRECT("Table1[Obergruppe ATC-Code]"),Tabelle3!$A11)</f>
        <v>3</v>
      </c>
      <c r="AM11">
        <f ca="1">COUNTIFS(INDIRECT("Table1[Beginn]"),"&lt;="&amp;AM$1,INDIRECT("Table1[Ende]"),"&gt;="&amp;AM$1,INDIRECT("Table1[Obergruppe ATC-Code]"),Tabelle3!$A11)</f>
        <v>4</v>
      </c>
      <c r="AN11">
        <f ca="1">COUNTIFS(INDIRECT("Table1[Beginn]"),"&lt;="&amp;AN$1,INDIRECT("Table1[Ende]"),"&gt;="&amp;AN$1,INDIRECT("Table1[Obergruppe ATC-Code]"),Tabelle3!$A11)</f>
        <v>3</v>
      </c>
      <c r="AO11">
        <f ca="1">COUNTIFS(INDIRECT("Table1[Beginn]"),"&lt;="&amp;AO$1,INDIRECT("Table1[Ende]"),"&gt;="&amp;AO$1,INDIRECT("Table1[Obergruppe ATC-Code]"),Tabelle3!$A11)</f>
        <v>2</v>
      </c>
      <c r="AP11">
        <f ca="1">COUNTIFS(INDIRECT("Table1[Beginn]"),"&lt;="&amp;AP$1,INDIRECT("Table1[Ende]"),"&gt;="&amp;AP$1,INDIRECT("Table1[Obergruppe ATC-Code]"),Tabelle3!$A11)</f>
        <v>3</v>
      </c>
      <c r="AQ11">
        <f ca="1">COUNTIFS(INDIRECT("Table1[Beginn]"),"&lt;="&amp;AQ$1,INDIRECT("Table1[Ende]"),"&gt;="&amp;AQ$1,INDIRECT("Table1[Obergruppe ATC-Code]"),Tabelle3!$A11)</f>
        <v>3</v>
      </c>
      <c r="AR11">
        <f ca="1">COUNTIFS(INDIRECT("Table1[Beginn]"),"&lt;="&amp;AR$1,INDIRECT("Table1[Ende]"),"&gt;="&amp;AR$1,INDIRECT("Table1[Obergruppe ATC-Code]"),Tabelle3!$A11)</f>
        <v>2</v>
      </c>
      <c r="AS11">
        <f ca="1">COUNTIFS(INDIRECT("Table1[Beginn]"),"&lt;="&amp;AS$1,INDIRECT("Table1[Ende]"),"&gt;="&amp;AS$1,INDIRECT("Table1[Obergruppe ATC-Code]"),Tabelle3!$A11)</f>
        <v>2</v>
      </c>
      <c r="AT11">
        <f ca="1">COUNTIFS(INDIRECT("Table1[Beginn]"),"&lt;="&amp;AT$1,INDIRECT("Table1[Ende]"),"&gt;="&amp;AT$1,INDIRECT("Table1[Obergruppe ATC-Code]"),Tabelle3!$A11)</f>
        <v>2</v>
      </c>
      <c r="AU11">
        <f ca="1">COUNTIFS(INDIRECT("Table1[Beginn]"),"&lt;="&amp;AU$1,INDIRECT("Table1[Ende]"),"&gt;="&amp;AU$1,INDIRECT("Table1[Obergruppe ATC-Code]"),Tabelle3!$A11)</f>
        <v>2</v>
      </c>
      <c r="AV11">
        <f ca="1">COUNTIFS(INDIRECT("Table1[Beginn]"),"&lt;="&amp;AV$1,INDIRECT("Table1[Ende]"),"&gt;="&amp;AV$1,INDIRECT("Table1[Obergruppe ATC-Code]"),Tabelle3!$A11)</f>
        <v>2</v>
      </c>
      <c r="AW11">
        <f ca="1">COUNTIFS(INDIRECT("Table1[Beginn]"),"&lt;="&amp;AW$1,INDIRECT("Table1[Ende]"),"&gt;="&amp;AW$1,INDIRECT("Table1[Obergruppe ATC-Code]"),Tabelle3!$A11)</f>
        <v>0</v>
      </c>
      <c r="AX11">
        <f ca="1">COUNTIFS(INDIRECT("Table1[Beginn]"),"&lt;="&amp;AX$1,INDIRECT("Table1[Ende]"),"&gt;="&amp;AX$1,INDIRECT("Table1[Obergruppe ATC-Code]"),Tabelle3!$A11)</f>
        <v>0</v>
      </c>
      <c r="AY11">
        <f ca="1">COUNTIFS(INDIRECT("Table1[Beginn]"),"&lt;="&amp;AY$1,INDIRECT("Table1[Ende]"),"&gt;="&amp;AY$1,INDIRECT("Table1[Obergruppe ATC-Code]"),Tabelle3!$A11)</f>
        <v>0</v>
      </c>
      <c r="AZ11">
        <f ca="1">COUNTIFS(INDIRECT("Table1[Beginn]"),"&lt;="&amp;AZ$1,INDIRECT("Table1[Ende]"),"&gt;="&amp;AZ$1,INDIRECT("Table1[Obergruppe ATC-Code]"),Tabelle3!$A11)</f>
        <v>1</v>
      </c>
      <c r="BA11">
        <f ca="1">COUNTIFS(INDIRECT("Table1[Beginn]"),"&lt;="&amp;BA$1,INDIRECT("Table1[Ende]"),"&gt;="&amp;BA$1,INDIRECT("Table1[Obergruppe ATC-Code]"),Tabelle3!$A11)</f>
        <v>2</v>
      </c>
      <c r="BB11">
        <f ca="1">COUNTIFS(INDIRECT("Table1[Beginn]"),"&lt;="&amp;BB$1,INDIRECT("Table1[Ende]"),"&gt;="&amp;BB$1,INDIRECT("Table1[Obergruppe ATC-Code]"),Tabelle3!$A11)</f>
        <v>4</v>
      </c>
      <c r="BC11">
        <f ca="1">COUNTIFS(INDIRECT("Table1[Beginn]"),"&lt;="&amp;BC$1,INDIRECT("Table1[Ende]"),"&gt;="&amp;BC$1,INDIRECT("Table1[Obergruppe ATC-Code]"),Tabelle3!$A11)</f>
        <v>2</v>
      </c>
      <c r="BD11">
        <f ca="1">COUNTIFS(INDIRECT("Table1[Beginn]"),"&lt;="&amp;BD$1,INDIRECT("Table1[Ende]"),"&gt;="&amp;BD$1,INDIRECT("Table1[Obergruppe ATC-Code]"),Tabelle3!$A11)</f>
        <v>0</v>
      </c>
      <c r="BE11">
        <f ca="1">COUNTIFS(INDIRECT("Table1[Beginn]"),"&lt;="&amp;BE$1,INDIRECT("Table1[Ende]"),"&gt;="&amp;BE$1,INDIRECT("Table1[Obergruppe ATC-Code]"),Tabelle3!$A11)</f>
        <v>0</v>
      </c>
      <c r="BF11">
        <f ca="1">COUNTIFS(INDIRECT("Table1[Beginn]"),"&lt;="&amp;BF$1,INDIRECT("Table1[Ende]"),"&gt;="&amp;BF$1,INDIRECT("Table1[Obergruppe ATC-Code]"),Tabelle3!$A11)</f>
        <v>0</v>
      </c>
      <c r="BG11">
        <f ca="1">COUNTIFS(INDIRECT("Table1[Beginn]"),"&lt;="&amp;BG$1,INDIRECT("Table1[Ende]"),"&gt;="&amp;BG$1,INDIRECT("Table1[Obergruppe ATC-Code]"),Tabelle3!$A11)</f>
        <v>0</v>
      </c>
      <c r="BH11">
        <f ca="1">COUNTIFS(INDIRECT("Table1[Beginn]"),"&lt;="&amp;BH$1,INDIRECT("Table1[Ende]"),"&gt;="&amp;BH$1,INDIRECT("Table1[Obergruppe ATC-Code]"),Tabelle3!$A11)</f>
        <v>0</v>
      </c>
      <c r="BI11">
        <f ca="1">COUNTIFS(INDIRECT("Table1[Beginn]"),"&lt;="&amp;BI$1,INDIRECT("Table1[Ende]"),"&gt;="&amp;BI$1,INDIRECT("Table1[Obergruppe ATC-Code]"),Tabelle3!$A11)</f>
        <v>0</v>
      </c>
      <c r="BJ11">
        <f ca="1">COUNTIFS(INDIRECT("Table1[Beginn]"),"&lt;="&amp;BJ$1,INDIRECT("Table1[Ende]"),"&gt;="&amp;BJ$1,INDIRECT("Table1[Obergruppe ATC-Code]"),Tabelle3!$A11)</f>
        <v>0</v>
      </c>
      <c r="BK11">
        <f ca="1">COUNTIFS(INDIRECT("Table1[Beginn]"),"&lt;="&amp;BK$1,INDIRECT("Table1[Ende]"),"&gt;="&amp;BK$1,INDIRECT("Table1[Obergruppe ATC-Code]"),Tabelle3!$A11)</f>
        <v>1</v>
      </c>
      <c r="BL11">
        <f ca="1">COUNTIFS(INDIRECT("Table1[Beginn]"),"&lt;="&amp;BL$1,INDIRECT("Table1[Ende]"),"&gt;="&amp;BL$1,INDIRECT("Table1[Obergruppe ATC-Code]"),Tabelle3!$A11)</f>
        <v>2</v>
      </c>
      <c r="BM11">
        <f ca="1">COUNTIFS(INDIRECT("Table1[Beginn]"),"&lt;="&amp;BM$1,INDIRECT("Table1[Ende]"),"&gt;="&amp;BM$1,INDIRECT("Table1[Obergruppe ATC-Code]"),Tabelle3!$A11)</f>
        <v>4</v>
      </c>
      <c r="BN11">
        <f ca="1">COUNTIFS(INDIRECT("Table1[Beginn]"),"&lt;="&amp;BN$1,INDIRECT("Table1[Ende]"),"&gt;="&amp;BN$1,INDIRECT("Table1[Obergruppe ATC-Code]"),Tabelle3!$A11)</f>
        <v>4</v>
      </c>
      <c r="BO11">
        <f ca="1">COUNTIFS(INDIRECT("Table1[Beginn]"),"&lt;="&amp;BO$1,INDIRECT("Table1[Ende]"),"&gt;="&amp;BO$1,INDIRECT("Table1[Obergruppe ATC-Code]"),Tabelle3!$A11)</f>
        <v>1</v>
      </c>
      <c r="BP11">
        <f ca="1">COUNTIFS(INDIRECT("Table1[Beginn]"),"&lt;="&amp;BP$1,INDIRECT("Table1[Ende]"),"&gt;="&amp;BP$1,INDIRECT("Table1[Obergruppe ATC-Code]"),Tabelle3!$A11)</f>
        <v>3</v>
      </c>
      <c r="BQ11">
        <f ca="1">COUNTIFS(INDIRECT("Table1[Beginn]"),"&lt;="&amp;BQ$1,INDIRECT("Table1[Ende]"),"&gt;="&amp;BQ$1,INDIRECT("Table1[Obergruppe ATC-Code]"),Tabelle3!$A11)</f>
        <v>1</v>
      </c>
      <c r="BR11">
        <f ca="1">COUNTIFS(INDIRECT("Table1[Beginn]"),"&lt;="&amp;BR$1,INDIRECT("Table1[Ende]"),"&gt;="&amp;BR$1,INDIRECT("Table1[Obergruppe ATC-Code]"),Tabelle3!$A11)</f>
        <v>2</v>
      </c>
      <c r="BS11">
        <f ca="1">COUNTIFS(INDIRECT("Table1[Beginn]"),"&lt;="&amp;BS$1,INDIRECT("Table1[Ende]"),"&gt;="&amp;BS$1,INDIRECT("Table1[Obergruppe ATC-Code]"),Tabelle3!$A11)</f>
        <v>1</v>
      </c>
      <c r="BT11">
        <f ca="1">COUNTIFS(INDIRECT("Table1[Beginn]"),"&lt;="&amp;BT$1,INDIRECT("Table1[Ende]"),"&gt;="&amp;BT$1,INDIRECT("Table1[Obergruppe ATC-Code]"),Tabelle3!$A11)</f>
        <v>4</v>
      </c>
      <c r="BU11">
        <f ca="1">COUNTIFS(INDIRECT("Table1[Beginn]"),"&lt;="&amp;BU$1,INDIRECT("Table1[Ende]"),"&gt;="&amp;BU$1,INDIRECT("Table1[Obergruppe ATC-Code]"),Tabelle3!$A11)</f>
        <v>5</v>
      </c>
      <c r="BV11">
        <f ca="1">COUNTIFS(INDIRECT("Table1[Beginn]"),"&lt;="&amp;BV$1,INDIRECT("Table1[Ende]"),"&gt;="&amp;BV$1,INDIRECT("Table1[Obergruppe ATC-Code]"),Tabelle3!$A11)</f>
        <v>3</v>
      </c>
      <c r="BW11">
        <f ca="1">COUNTIFS(INDIRECT("Table1[Beginn]"),"&lt;="&amp;BW$1,INDIRECT("Table1[Ende]"),"&gt;="&amp;BW$1,INDIRECT("Table1[Obergruppe ATC-Code]"),Tabelle3!$A11)</f>
        <v>8</v>
      </c>
      <c r="BX11">
        <f ca="1">COUNTIFS(INDIRECT("Table1[Beginn]"),"&lt;="&amp;BX$1,INDIRECT("Table1[Ende]"),"&gt;="&amp;BX$1,INDIRECT("Table1[Obergruppe ATC-Code]"),Tabelle3!$A11)</f>
        <v>15</v>
      </c>
      <c r="BY11">
        <f ca="1">COUNTIFS(INDIRECT("Table1[Beginn]"),"&lt;="&amp;BY$1,INDIRECT("Table1[Ende]"),"&gt;="&amp;BY$1,INDIRECT("Table1[Obergruppe ATC-Code]"),Tabelle3!$A11)</f>
        <v>12</v>
      </c>
      <c r="BZ11">
        <f ca="1">COUNTIFS(INDIRECT("Table1[Beginn]"),"&lt;="&amp;BZ$1,INDIRECT("Table1[Ende]"),"&gt;="&amp;BZ$1,INDIRECT("Table1[Obergruppe ATC-Code]"),Tabelle3!$A11)</f>
        <v>11</v>
      </c>
      <c r="CA11">
        <f ca="1">COUNTIFS(INDIRECT("Table1[Beginn]"),"&lt;="&amp;CA$1,INDIRECT("Table1[Ende]"),"&gt;="&amp;CA$1,INDIRECT("Table1[Obergruppe ATC-Code]"),Tabelle3!$A11)</f>
        <v>13</v>
      </c>
      <c r="CB11">
        <f ca="1">COUNTIFS(INDIRECT("Table1[Beginn]"),"&lt;="&amp;CB$1,INDIRECT("Table1[Ende]"),"&gt;="&amp;CB$1,INDIRECT("Table1[Obergruppe ATC-Code]"),Tabelle3!$A11)</f>
        <v>5</v>
      </c>
      <c r="CC11">
        <f ca="1">COUNTIFS(INDIRECT("Table1[Beginn]"),"&lt;="&amp;CC$1,INDIRECT("Table1[Ende]"),"&gt;="&amp;CC$1,INDIRECT("Table1[Obergruppe ATC-Code]"),Tabelle3!$A11)</f>
        <v>1</v>
      </c>
      <c r="CD11">
        <f ca="1">COUNTIFS(INDIRECT("Table1[Beginn]"),"&lt;="&amp;CD$1,INDIRECT("Table1[Ende]"),"&gt;="&amp;CD$1,INDIRECT("Table1[Obergruppe ATC-Code]"),Tabelle3!$A11)</f>
        <v>10</v>
      </c>
      <c r="CE11">
        <f ca="1">COUNTIFS(INDIRECT("Table1[Beginn]"),"&lt;="&amp;CE$1,INDIRECT("Table1[Ende]"),"&gt;="&amp;CE$1,INDIRECT("Table1[Obergruppe ATC-Code]"),Tabelle3!$A11)</f>
        <v>12</v>
      </c>
      <c r="CF11">
        <f ca="1">COUNTIFS(INDIRECT("Table1[Beginn]"),"&lt;="&amp;CF$1,INDIRECT("Table1[Ende]"),"&gt;="&amp;CF$1,INDIRECT("Table1[Obergruppe ATC-Code]"),Tabelle3!$A11)</f>
        <v>14</v>
      </c>
      <c r="CG11">
        <f ca="1">COUNTIFS(INDIRECT("Table1[Beginn]"),"&lt;="&amp;CG$1,INDIRECT("Table1[Ende]"),"&gt;="&amp;CG$1,INDIRECT("Table1[Obergruppe ATC-Code]"),Tabelle3!$A11)</f>
        <v>11</v>
      </c>
      <c r="CH11">
        <f ca="1">COUNTIFS(INDIRECT("Table1[Beginn]"),"&lt;="&amp;CH$1,INDIRECT("Table1[Ende]"),"&gt;="&amp;CH$1,INDIRECT("Table1[Obergruppe ATC-Code]"),Tabelle3!$A11)</f>
        <v>11</v>
      </c>
      <c r="CI11">
        <f ca="1">COUNTIFS(INDIRECT("Table1[Beginn]"),"&lt;="&amp;CI$1,INDIRECT("Table1[Ende]"),"&gt;="&amp;CI$1,INDIRECT("Table1[Obergruppe ATC-Code]"),Tabelle3!$A11)</f>
        <v>3</v>
      </c>
      <c r="CJ11">
        <f ca="1">COUNTIFS(INDIRECT("Table1[Beginn]"),"&lt;="&amp;CJ$1,INDIRECT("Table1[Ende]"),"&gt;="&amp;CJ$1,INDIRECT("Table1[Obergruppe ATC-Code]"),Tabelle3!$A11)</f>
        <v>2</v>
      </c>
      <c r="CK11">
        <f ca="1">COUNTIFS(INDIRECT("Table1[Beginn]"),"&lt;="&amp;CK$1,INDIRECT("Table1[Ende]"),"&gt;="&amp;CK$1,INDIRECT("Table1[Obergruppe ATC-Code]"),Tabelle3!$A11)</f>
        <v>2</v>
      </c>
      <c r="CL11">
        <f ca="1">COUNTIFS(INDIRECT("Table1[Beginn]"),"&lt;="&amp;CL$1,INDIRECT("Table1[Ende]"),"&gt;="&amp;CL$1,INDIRECT("Table1[Obergruppe ATC-Code]"),Tabelle3!$A11)</f>
        <v>1</v>
      </c>
      <c r="CM11">
        <f ca="1">COUNTIFS(INDIRECT("Table1[Beginn]"),"&lt;="&amp;CM$1,INDIRECT("Table1[Ende]"),"&gt;="&amp;CM$1,INDIRECT("Table1[Obergruppe ATC-Code]"),Tabelle3!$A11)</f>
        <v>1</v>
      </c>
      <c r="CN11">
        <f ca="1">COUNTIFS(INDIRECT("Table1[Beginn]"),"&lt;="&amp;CN$1,INDIRECT("Table1[Ende]"),"&gt;="&amp;CN$1,INDIRECT("Table1[Obergruppe ATC-Code]"),Tabelle3!$A11)</f>
        <v>1</v>
      </c>
      <c r="CO11">
        <f ca="1">COUNTIFS(INDIRECT("Table1[Beginn]"),"&lt;="&amp;CO$1,INDIRECT("Table1[Ende]"),"&gt;="&amp;CO$1,INDIRECT("Table1[Obergruppe ATC-Code]"),Tabelle3!$A11)</f>
        <v>1</v>
      </c>
      <c r="CP11">
        <f ca="1">COUNTIFS(INDIRECT("Table1[Beginn]"),"&lt;="&amp;CP$1,INDIRECT("Table1[Ende]"),"&gt;="&amp;CP$1,INDIRECT("Table1[Obergruppe ATC-Code]"),Tabelle3!$A11)</f>
        <v>1</v>
      </c>
      <c r="CQ11">
        <f ca="1">COUNTIFS(INDIRECT("Table1[Beginn]"),"&lt;="&amp;CQ$1,INDIRECT("Table1[Ende]"),"&gt;="&amp;CQ$1,INDIRECT("Table1[Obergruppe ATC-Code]"),Tabelle3!$A11)</f>
        <v>1</v>
      </c>
      <c r="CR11">
        <f ca="1">COUNTIFS(INDIRECT("Table1[Beginn]"),"&lt;="&amp;CR$1,INDIRECT("Table1[Ende]"),"&gt;="&amp;CR$1,INDIRECT("Table1[Obergruppe ATC-Code]"),Tabelle3!$A11)</f>
        <v>1</v>
      </c>
      <c r="CS11">
        <f ca="1">COUNTIFS(INDIRECT("Table1[Beginn]"),"&lt;="&amp;CS$1,INDIRECT("Table1[Ende]"),"&gt;="&amp;CS$1,INDIRECT("Table1[Obergruppe ATC-Code]"),Tabelle3!$A11)</f>
        <v>1</v>
      </c>
      <c r="CT11">
        <f ca="1">COUNTIFS(INDIRECT("Table1[Beginn]"),"&lt;="&amp;CT$1,INDIRECT("Table1[Ende]"),"&gt;="&amp;CT$1,INDIRECT("Table1[Obergruppe ATC-Code]"),Tabelle3!$A11)</f>
        <v>1</v>
      </c>
      <c r="CU11" s="54"/>
      <c r="CV11" s="54"/>
      <c r="CW11" s="54"/>
      <c r="CX11" s="54"/>
      <c r="CY11" s="54"/>
      <c r="CZ11" s="54"/>
      <c r="DA11" s="54"/>
      <c r="DB11" s="54"/>
      <c r="DC11" s="54"/>
      <c r="DD11" s="54"/>
      <c r="DE11" s="54"/>
      <c r="DF11" s="54"/>
      <c r="DG11" s="54"/>
      <c r="DH11" s="54"/>
    </row>
    <row r="12" spans="1:112" ht="18" customHeight="1">
      <c r="A12" s="7" t="s">
        <v>6792</v>
      </c>
      <c r="B12" s="8" t="s">
        <v>6793</v>
      </c>
      <c r="C12">
        <f ca="1">COUNTIFS(INDIRECT("Table1[Beginn]"),"&lt;="&amp;C$1,INDIRECT("Table1[Ende]"),"&gt;="&amp;C$1,INDIRECT("Table1[Obergruppe ATC-Code]"),Tabelle3!$A12)</f>
        <v>0</v>
      </c>
      <c r="D12">
        <f ca="1">COUNTIFS(INDIRECT("Table1[Beginn]"),"&lt;="&amp;D$1,INDIRECT("Table1[Ende]"),"&gt;="&amp;D$1,INDIRECT("Table1[Obergruppe ATC-Code]"),Tabelle3!$A12)</f>
        <v>0</v>
      </c>
      <c r="E12">
        <f ca="1">COUNTIFS(INDIRECT("Table1[Beginn]"),"&lt;="&amp;E$1,INDIRECT("Table1[Ende]"),"&gt;="&amp;E$1,INDIRECT("Table1[Obergruppe ATC-Code]"),Tabelle3!$A12)</f>
        <v>0</v>
      </c>
      <c r="F12">
        <f ca="1">COUNTIFS(INDIRECT("Table1[Beginn]"),"&lt;="&amp;F$1,INDIRECT("Table1[Ende]"),"&gt;="&amp;F$1,INDIRECT("Table1[Obergruppe ATC-Code]"),Tabelle3!$A12)</f>
        <v>0</v>
      </c>
      <c r="G12">
        <f ca="1">COUNTIFS(INDIRECT("Table1[Beginn]"),"&lt;="&amp;G$1,INDIRECT("Table1[Ende]"),"&gt;="&amp;G$1,INDIRECT("Table1[Obergruppe ATC-Code]"),Tabelle3!$A12)</f>
        <v>0</v>
      </c>
      <c r="H12">
        <f ca="1">COUNTIFS(INDIRECT("Table1[Beginn]"),"&lt;="&amp;H$1,INDIRECT("Table1[Ende]"),"&gt;="&amp;H$1,INDIRECT("Table1[Obergruppe ATC-Code]"),Tabelle3!$A12)</f>
        <v>0</v>
      </c>
      <c r="I12">
        <f ca="1">COUNTIFS(INDIRECT("Table1[Beginn]"),"&lt;="&amp;I$1,INDIRECT("Table1[Ende]"),"&gt;="&amp;I$1,INDIRECT("Table1[Obergruppe ATC-Code]"),Tabelle3!$A12)</f>
        <v>0</v>
      </c>
      <c r="J12">
        <f ca="1">COUNTIFS(INDIRECT("Table1[Beginn]"),"&lt;="&amp;J$1,INDIRECT("Table1[Ende]"),"&gt;="&amp;J$1,INDIRECT("Table1[Obergruppe ATC-Code]"),Tabelle3!$A12)</f>
        <v>0</v>
      </c>
      <c r="K12">
        <f ca="1">COUNTIFS(INDIRECT("Table1[Beginn]"),"&lt;="&amp;K$1,INDIRECT("Table1[Ende]"),"&gt;="&amp;K$1,INDIRECT("Table1[Obergruppe ATC-Code]"),Tabelle3!$A12)</f>
        <v>0</v>
      </c>
      <c r="L12">
        <f ca="1">COUNTIFS(INDIRECT("Table1[Beginn]"),"&lt;="&amp;L$1,INDIRECT("Table1[Ende]"),"&gt;="&amp;L$1,INDIRECT("Table1[Obergruppe ATC-Code]"),Tabelle3!$A12)</f>
        <v>0</v>
      </c>
      <c r="M12">
        <f ca="1">COUNTIFS(INDIRECT("Table1[Beginn]"),"&lt;="&amp;M$1,INDIRECT("Table1[Ende]"),"&gt;="&amp;M$1,INDIRECT("Table1[Obergruppe ATC-Code]"),Tabelle3!$A12)</f>
        <v>0</v>
      </c>
      <c r="N12">
        <f ca="1">COUNTIFS(INDIRECT("Table1[Beginn]"),"&lt;="&amp;N$1,INDIRECT("Table1[Ende]"),"&gt;="&amp;N$1,INDIRECT("Table1[Obergruppe ATC-Code]"),Tabelle3!$A12)</f>
        <v>0</v>
      </c>
      <c r="O12">
        <f ca="1">COUNTIFS(INDIRECT("Table1[Beginn]"),"&lt;="&amp;O$1,INDIRECT("Table1[Ende]"),"&gt;="&amp;O$1,INDIRECT("Table1[Obergruppe ATC-Code]"),Tabelle3!$A12)</f>
        <v>0</v>
      </c>
      <c r="P12">
        <f ca="1">COUNTIFS(INDIRECT("Table1[Beginn]"),"&lt;="&amp;P$1,INDIRECT("Table1[Ende]"),"&gt;="&amp;P$1,INDIRECT("Table1[Obergruppe ATC-Code]"),Tabelle3!$A12)</f>
        <v>0</v>
      </c>
      <c r="Q12">
        <f ca="1">COUNTIFS(INDIRECT("Table1[Beginn]"),"&lt;="&amp;Q$1,INDIRECT("Table1[Ende]"),"&gt;="&amp;Q$1,INDIRECT("Table1[Obergruppe ATC-Code]"),Tabelle3!$A12)</f>
        <v>0</v>
      </c>
      <c r="R12">
        <f ca="1">COUNTIFS(INDIRECT("Table1[Beginn]"),"&lt;="&amp;R$1,INDIRECT("Table1[Ende]"),"&gt;="&amp;R$1,INDIRECT("Table1[Obergruppe ATC-Code]"),Tabelle3!$A12)</f>
        <v>0</v>
      </c>
      <c r="S12">
        <f ca="1">COUNTIFS(INDIRECT("Table1[Beginn]"),"&lt;="&amp;S$1,INDIRECT("Table1[Ende]"),"&gt;="&amp;S$1,INDIRECT("Table1[Obergruppe ATC-Code]"),Tabelle3!$A12)</f>
        <v>0</v>
      </c>
      <c r="T12">
        <f ca="1">COUNTIFS(INDIRECT("Table1[Beginn]"),"&lt;="&amp;T$1,INDIRECT("Table1[Ende]"),"&gt;="&amp;T$1,INDIRECT("Table1[Obergruppe ATC-Code]"),Tabelle3!$A12)</f>
        <v>0</v>
      </c>
      <c r="U12">
        <f ca="1">COUNTIFS(INDIRECT("Table1[Beginn]"),"&lt;="&amp;U$1,INDIRECT("Table1[Ende]"),"&gt;="&amp;U$1,INDIRECT("Table1[Obergruppe ATC-Code]"),Tabelle3!$A12)</f>
        <v>0</v>
      </c>
      <c r="V12">
        <f ca="1">COUNTIFS(INDIRECT("Table1[Beginn]"),"&lt;="&amp;V$1,INDIRECT("Table1[Ende]"),"&gt;="&amp;V$1,INDIRECT("Table1[Obergruppe ATC-Code]"),Tabelle3!$A12)</f>
        <v>0</v>
      </c>
      <c r="W12">
        <f ca="1">COUNTIFS(INDIRECT("Table1[Beginn]"),"&lt;="&amp;W$1,INDIRECT("Table1[Ende]"),"&gt;="&amp;W$1,INDIRECT("Table1[Obergruppe ATC-Code]"),Tabelle3!$A12)</f>
        <v>0</v>
      </c>
      <c r="X12">
        <f ca="1">COUNTIFS(INDIRECT("Table1[Beginn]"),"&lt;="&amp;X$1,INDIRECT("Table1[Ende]"),"&gt;="&amp;X$1,INDIRECT("Table1[Obergruppe ATC-Code]"),Tabelle3!$A12)</f>
        <v>0</v>
      </c>
      <c r="Y12">
        <f ca="1">COUNTIFS(INDIRECT("Table1[Beginn]"),"&lt;="&amp;Y$1,INDIRECT("Table1[Ende]"),"&gt;="&amp;Y$1,INDIRECT("Table1[Obergruppe ATC-Code]"),Tabelle3!$A12)</f>
        <v>0</v>
      </c>
      <c r="Z12">
        <f ca="1">COUNTIFS(INDIRECT("Table1[Beginn]"),"&lt;="&amp;Z$1,INDIRECT("Table1[Ende]"),"&gt;="&amp;Z$1,INDIRECT("Table1[Obergruppe ATC-Code]"),Tabelle3!$A12)</f>
        <v>0</v>
      </c>
      <c r="AA12">
        <f ca="1">COUNTIFS(INDIRECT("Table1[Beginn]"),"&lt;="&amp;AA$1,INDIRECT("Table1[Ende]"),"&gt;="&amp;AA$1,INDIRECT("Table1[Obergruppe ATC-Code]"),Tabelle3!$A12)</f>
        <v>0</v>
      </c>
      <c r="AB12">
        <f ca="1">COUNTIFS(INDIRECT("Table1[Beginn]"),"&lt;="&amp;AB$1,INDIRECT("Table1[Ende]"),"&gt;="&amp;AB$1,INDIRECT("Table1[Obergruppe ATC-Code]"),Tabelle3!$A12)</f>
        <v>0</v>
      </c>
      <c r="AC12">
        <f ca="1">COUNTIFS(INDIRECT("Table1[Beginn]"),"&lt;="&amp;AC$1,INDIRECT("Table1[Ende]"),"&gt;="&amp;AC$1,INDIRECT("Table1[Obergruppe ATC-Code]"),Tabelle3!$A12)</f>
        <v>0</v>
      </c>
      <c r="AD12">
        <f ca="1">COUNTIFS(INDIRECT("Table1[Beginn]"),"&lt;="&amp;AD$1,INDIRECT("Table1[Ende]"),"&gt;="&amp;AD$1,INDIRECT("Table1[Obergruppe ATC-Code]"),Tabelle3!$A12)</f>
        <v>0</v>
      </c>
      <c r="AE12">
        <f ca="1">COUNTIFS(INDIRECT("Table1[Beginn]"),"&lt;="&amp;AE$1,INDIRECT("Table1[Ende]"),"&gt;="&amp;AE$1,INDIRECT("Table1[Obergruppe ATC-Code]"),Tabelle3!$A12)</f>
        <v>0</v>
      </c>
      <c r="AF12">
        <f ca="1">COUNTIFS(INDIRECT("Table1[Beginn]"),"&lt;="&amp;AF$1,INDIRECT("Table1[Ende]"),"&gt;="&amp;AF$1,INDIRECT("Table1[Obergruppe ATC-Code]"),Tabelle3!$A12)</f>
        <v>0</v>
      </c>
      <c r="AG12">
        <f ca="1">COUNTIFS(INDIRECT("Table1[Beginn]"),"&lt;="&amp;AG$1,INDIRECT("Table1[Ende]"),"&gt;="&amp;AG$1,INDIRECT("Table1[Obergruppe ATC-Code]"),Tabelle3!$A12)</f>
        <v>0</v>
      </c>
      <c r="AH12">
        <f ca="1">COUNTIFS(INDIRECT("Table1[Beginn]"),"&lt;="&amp;AH$1,INDIRECT("Table1[Ende]"),"&gt;="&amp;AH$1,INDIRECT("Table1[Obergruppe ATC-Code]"),Tabelle3!$A12)</f>
        <v>0</v>
      </c>
      <c r="AI12">
        <f ca="1">COUNTIFS(INDIRECT("Table1[Beginn]"),"&lt;="&amp;AI$1,INDIRECT("Table1[Ende]"),"&gt;="&amp;AI$1,INDIRECT("Table1[Obergruppe ATC-Code]"),Tabelle3!$A12)</f>
        <v>0</v>
      </c>
      <c r="AJ12">
        <f ca="1">COUNTIFS(INDIRECT("Table1[Beginn]"),"&lt;="&amp;AJ$1,INDIRECT("Table1[Ende]"),"&gt;="&amp;AJ$1,INDIRECT("Table1[Obergruppe ATC-Code]"),Tabelle3!$A12)</f>
        <v>0</v>
      </c>
      <c r="AK12">
        <f ca="1">COUNTIFS(INDIRECT("Table1[Beginn]"),"&lt;="&amp;AK$1,INDIRECT("Table1[Ende]"),"&gt;="&amp;AK$1,INDIRECT("Table1[Obergruppe ATC-Code]"),Tabelle3!$A12)</f>
        <v>0</v>
      </c>
      <c r="AL12">
        <f ca="1">COUNTIFS(INDIRECT("Table1[Beginn]"),"&lt;="&amp;AL$1,INDIRECT("Table1[Ende]"),"&gt;="&amp;AL$1,INDIRECT("Table1[Obergruppe ATC-Code]"),Tabelle3!$A12)</f>
        <v>0</v>
      </c>
      <c r="AM12">
        <f ca="1">COUNTIFS(INDIRECT("Table1[Beginn]"),"&lt;="&amp;AM$1,INDIRECT("Table1[Ende]"),"&gt;="&amp;AM$1,INDIRECT("Table1[Obergruppe ATC-Code]"),Tabelle3!$A12)</f>
        <v>1</v>
      </c>
      <c r="AN12">
        <f ca="1">COUNTIFS(INDIRECT("Table1[Beginn]"),"&lt;="&amp;AN$1,INDIRECT("Table1[Ende]"),"&gt;="&amp;AN$1,INDIRECT("Table1[Obergruppe ATC-Code]"),Tabelle3!$A12)</f>
        <v>1</v>
      </c>
      <c r="AO12">
        <f ca="1">COUNTIFS(INDIRECT("Table1[Beginn]"),"&lt;="&amp;AO$1,INDIRECT("Table1[Ende]"),"&gt;="&amp;AO$1,INDIRECT("Table1[Obergruppe ATC-Code]"),Tabelle3!$A12)</f>
        <v>1</v>
      </c>
      <c r="AP12">
        <f ca="1">COUNTIFS(INDIRECT("Table1[Beginn]"),"&lt;="&amp;AP$1,INDIRECT("Table1[Ende]"),"&gt;="&amp;AP$1,INDIRECT("Table1[Obergruppe ATC-Code]"),Tabelle3!$A12)</f>
        <v>1</v>
      </c>
      <c r="AQ12">
        <f ca="1">COUNTIFS(INDIRECT("Table1[Beginn]"),"&lt;="&amp;AQ$1,INDIRECT("Table1[Ende]"),"&gt;="&amp;AQ$1,INDIRECT("Table1[Obergruppe ATC-Code]"),Tabelle3!$A12)</f>
        <v>1</v>
      </c>
      <c r="AR12">
        <f ca="1">COUNTIFS(INDIRECT("Table1[Beginn]"),"&lt;="&amp;AR$1,INDIRECT("Table1[Ende]"),"&gt;="&amp;AR$1,INDIRECT("Table1[Obergruppe ATC-Code]"),Tabelle3!$A12)</f>
        <v>1</v>
      </c>
      <c r="AS12">
        <f ca="1">COUNTIFS(INDIRECT("Table1[Beginn]"),"&lt;="&amp;AS$1,INDIRECT("Table1[Ende]"),"&gt;="&amp;AS$1,INDIRECT("Table1[Obergruppe ATC-Code]"),Tabelle3!$A12)</f>
        <v>1</v>
      </c>
      <c r="AT12">
        <f ca="1">COUNTIFS(INDIRECT("Table1[Beginn]"),"&lt;="&amp;AT$1,INDIRECT("Table1[Ende]"),"&gt;="&amp;AT$1,INDIRECT("Table1[Obergruppe ATC-Code]"),Tabelle3!$A12)</f>
        <v>1</v>
      </c>
      <c r="AU12">
        <f ca="1">COUNTIFS(INDIRECT("Table1[Beginn]"),"&lt;="&amp;AU$1,INDIRECT("Table1[Ende]"),"&gt;="&amp;AU$1,INDIRECT("Table1[Obergruppe ATC-Code]"),Tabelle3!$A12)</f>
        <v>1</v>
      </c>
      <c r="AV12">
        <f ca="1">COUNTIFS(INDIRECT("Table1[Beginn]"),"&lt;="&amp;AV$1,INDIRECT("Table1[Ende]"),"&gt;="&amp;AV$1,INDIRECT("Table1[Obergruppe ATC-Code]"),Tabelle3!$A12)</f>
        <v>1</v>
      </c>
      <c r="AW12">
        <f ca="1">COUNTIFS(INDIRECT("Table1[Beginn]"),"&lt;="&amp;AW$1,INDIRECT("Table1[Ende]"),"&gt;="&amp;AW$1,INDIRECT("Table1[Obergruppe ATC-Code]"),Tabelle3!$A12)</f>
        <v>1</v>
      </c>
      <c r="AX12">
        <f ca="1">COUNTIFS(INDIRECT("Table1[Beginn]"),"&lt;="&amp;AX$1,INDIRECT("Table1[Ende]"),"&gt;="&amp;AX$1,INDIRECT("Table1[Obergruppe ATC-Code]"),Tabelle3!$A12)</f>
        <v>1</v>
      </c>
      <c r="AY12">
        <f ca="1">COUNTIFS(INDIRECT("Table1[Beginn]"),"&lt;="&amp;AY$1,INDIRECT("Table1[Ende]"),"&gt;="&amp;AY$1,INDIRECT("Table1[Obergruppe ATC-Code]"),Tabelle3!$A12)</f>
        <v>1</v>
      </c>
      <c r="AZ12">
        <f ca="1">COUNTIFS(INDIRECT("Table1[Beginn]"),"&lt;="&amp;AZ$1,INDIRECT("Table1[Ende]"),"&gt;="&amp;AZ$1,INDIRECT("Table1[Obergruppe ATC-Code]"),Tabelle3!$A12)</f>
        <v>1</v>
      </c>
      <c r="BA12">
        <f ca="1">COUNTIFS(INDIRECT("Table1[Beginn]"),"&lt;="&amp;BA$1,INDIRECT("Table1[Ende]"),"&gt;="&amp;BA$1,INDIRECT("Table1[Obergruppe ATC-Code]"),Tabelle3!$A12)</f>
        <v>2</v>
      </c>
      <c r="BB12">
        <f ca="1">COUNTIFS(INDIRECT("Table1[Beginn]"),"&lt;="&amp;BB$1,INDIRECT("Table1[Ende]"),"&gt;="&amp;BB$1,INDIRECT("Table1[Obergruppe ATC-Code]"),Tabelle3!$A12)</f>
        <v>3</v>
      </c>
      <c r="BC12">
        <f ca="1">COUNTIFS(INDIRECT("Table1[Beginn]"),"&lt;="&amp;BC$1,INDIRECT("Table1[Ende]"),"&gt;="&amp;BC$1,INDIRECT("Table1[Obergruppe ATC-Code]"),Tabelle3!$A12)</f>
        <v>3</v>
      </c>
      <c r="BD12">
        <f ca="1">COUNTIFS(INDIRECT("Table1[Beginn]"),"&lt;="&amp;BD$1,INDIRECT("Table1[Ende]"),"&gt;="&amp;BD$1,INDIRECT("Table1[Obergruppe ATC-Code]"),Tabelle3!$A12)</f>
        <v>3</v>
      </c>
      <c r="BE12">
        <f ca="1">COUNTIFS(INDIRECT("Table1[Beginn]"),"&lt;="&amp;BE$1,INDIRECT("Table1[Ende]"),"&gt;="&amp;BE$1,INDIRECT("Table1[Obergruppe ATC-Code]"),Tabelle3!$A12)</f>
        <v>3</v>
      </c>
      <c r="BF12">
        <f ca="1">COUNTIFS(INDIRECT("Table1[Beginn]"),"&lt;="&amp;BF$1,INDIRECT("Table1[Ende]"),"&gt;="&amp;BF$1,INDIRECT("Table1[Obergruppe ATC-Code]"),Tabelle3!$A12)</f>
        <v>3</v>
      </c>
      <c r="BG12">
        <f ca="1">COUNTIFS(INDIRECT("Table1[Beginn]"),"&lt;="&amp;BG$1,INDIRECT("Table1[Ende]"),"&gt;="&amp;BG$1,INDIRECT("Table1[Obergruppe ATC-Code]"),Tabelle3!$A12)</f>
        <v>3</v>
      </c>
      <c r="BH12">
        <f ca="1">COUNTIFS(INDIRECT("Table1[Beginn]"),"&lt;="&amp;BH$1,INDIRECT("Table1[Ende]"),"&gt;="&amp;BH$1,INDIRECT("Table1[Obergruppe ATC-Code]"),Tabelle3!$A12)</f>
        <v>4</v>
      </c>
      <c r="BI12">
        <f ca="1">COUNTIFS(INDIRECT("Table1[Beginn]"),"&lt;="&amp;BI$1,INDIRECT("Table1[Ende]"),"&gt;="&amp;BI$1,INDIRECT("Table1[Obergruppe ATC-Code]"),Tabelle3!$A12)</f>
        <v>3</v>
      </c>
      <c r="BJ12">
        <f ca="1">COUNTIFS(INDIRECT("Table1[Beginn]"),"&lt;="&amp;BJ$1,INDIRECT("Table1[Ende]"),"&gt;="&amp;BJ$1,INDIRECT("Table1[Obergruppe ATC-Code]"),Tabelle3!$A12)</f>
        <v>3</v>
      </c>
      <c r="BK12">
        <f ca="1">COUNTIFS(INDIRECT("Table1[Beginn]"),"&lt;="&amp;BK$1,INDIRECT("Table1[Ende]"),"&gt;="&amp;BK$1,INDIRECT("Table1[Obergruppe ATC-Code]"),Tabelle3!$A12)</f>
        <v>3</v>
      </c>
      <c r="BL12">
        <f ca="1">COUNTIFS(INDIRECT("Table1[Beginn]"),"&lt;="&amp;BL$1,INDIRECT("Table1[Ende]"),"&gt;="&amp;BL$1,INDIRECT("Table1[Obergruppe ATC-Code]"),Tabelle3!$A12)</f>
        <v>3</v>
      </c>
      <c r="BM12">
        <f ca="1">COUNTIFS(INDIRECT("Table1[Beginn]"),"&lt;="&amp;BM$1,INDIRECT("Table1[Ende]"),"&gt;="&amp;BM$1,INDIRECT("Table1[Obergruppe ATC-Code]"),Tabelle3!$A12)</f>
        <v>3</v>
      </c>
      <c r="BN12">
        <f ca="1">COUNTIFS(INDIRECT("Table1[Beginn]"),"&lt;="&amp;BN$1,INDIRECT("Table1[Ende]"),"&gt;="&amp;BN$1,INDIRECT("Table1[Obergruppe ATC-Code]"),Tabelle3!$A12)</f>
        <v>4</v>
      </c>
      <c r="BO12">
        <f ca="1">COUNTIFS(INDIRECT("Table1[Beginn]"),"&lt;="&amp;BO$1,INDIRECT("Table1[Ende]"),"&gt;="&amp;BO$1,INDIRECT("Table1[Obergruppe ATC-Code]"),Tabelle3!$A12)</f>
        <v>5</v>
      </c>
      <c r="BP12">
        <f ca="1">COUNTIFS(INDIRECT("Table1[Beginn]"),"&lt;="&amp;BP$1,INDIRECT("Table1[Ende]"),"&gt;="&amp;BP$1,INDIRECT("Table1[Obergruppe ATC-Code]"),Tabelle3!$A12)</f>
        <v>4</v>
      </c>
      <c r="BQ12">
        <f ca="1">COUNTIFS(INDIRECT("Table1[Beginn]"),"&lt;="&amp;BQ$1,INDIRECT("Table1[Ende]"),"&gt;="&amp;BQ$1,INDIRECT("Table1[Obergruppe ATC-Code]"),Tabelle3!$A12)</f>
        <v>3</v>
      </c>
      <c r="BR12">
        <f ca="1">COUNTIFS(INDIRECT("Table1[Beginn]"),"&lt;="&amp;BR$1,INDIRECT("Table1[Ende]"),"&gt;="&amp;BR$1,INDIRECT("Table1[Obergruppe ATC-Code]"),Tabelle3!$A12)</f>
        <v>3</v>
      </c>
      <c r="BS12">
        <f ca="1">COUNTIFS(INDIRECT("Table1[Beginn]"),"&lt;="&amp;BS$1,INDIRECT("Table1[Ende]"),"&gt;="&amp;BS$1,INDIRECT("Table1[Obergruppe ATC-Code]"),Tabelle3!$A12)</f>
        <v>3</v>
      </c>
      <c r="BT12">
        <f ca="1">COUNTIFS(INDIRECT("Table1[Beginn]"),"&lt;="&amp;BT$1,INDIRECT("Table1[Ende]"),"&gt;="&amp;BT$1,INDIRECT("Table1[Obergruppe ATC-Code]"),Tabelle3!$A12)</f>
        <v>5</v>
      </c>
      <c r="BU12">
        <f ca="1">COUNTIFS(INDIRECT("Table1[Beginn]"),"&lt;="&amp;BU$1,INDIRECT("Table1[Ende]"),"&gt;="&amp;BU$1,INDIRECT("Table1[Obergruppe ATC-Code]"),Tabelle3!$A12)</f>
        <v>4</v>
      </c>
      <c r="BV12">
        <f ca="1">COUNTIFS(INDIRECT("Table1[Beginn]"),"&lt;="&amp;BV$1,INDIRECT("Table1[Ende]"),"&gt;="&amp;BV$1,INDIRECT("Table1[Obergruppe ATC-Code]"),Tabelle3!$A12)</f>
        <v>3</v>
      </c>
      <c r="BW12">
        <f ca="1">COUNTIFS(INDIRECT("Table1[Beginn]"),"&lt;="&amp;BW$1,INDIRECT("Table1[Ende]"),"&gt;="&amp;BW$1,INDIRECT("Table1[Obergruppe ATC-Code]"),Tabelle3!$A12)</f>
        <v>3</v>
      </c>
      <c r="BX12">
        <f ca="1">COUNTIFS(INDIRECT("Table1[Beginn]"),"&lt;="&amp;BX$1,INDIRECT("Table1[Ende]"),"&gt;="&amp;BX$1,INDIRECT("Table1[Obergruppe ATC-Code]"),Tabelle3!$A12)</f>
        <v>2</v>
      </c>
      <c r="BY12">
        <f ca="1">COUNTIFS(INDIRECT("Table1[Beginn]"),"&lt;="&amp;BY$1,INDIRECT("Table1[Ende]"),"&gt;="&amp;BY$1,INDIRECT("Table1[Obergruppe ATC-Code]"),Tabelle3!$A12)</f>
        <v>2</v>
      </c>
      <c r="BZ12">
        <f ca="1">COUNTIFS(INDIRECT("Table1[Beginn]"),"&lt;="&amp;BZ$1,INDIRECT("Table1[Ende]"),"&gt;="&amp;BZ$1,INDIRECT("Table1[Obergruppe ATC-Code]"),Tabelle3!$A12)</f>
        <v>2</v>
      </c>
      <c r="CA12">
        <f ca="1">COUNTIFS(INDIRECT("Table1[Beginn]"),"&lt;="&amp;CA$1,INDIRECT("Table1[Ende]"),"&gt;="&amp;CA$1,INDIRECT("Table1[Obergruppe ATC-Code]"),Tabelle3!$A12)</f>
        <v>2</v>
      </c>
      <c r="CB12">
        <f ca="1">COUNTIFS(INDIRECT("Table1[Beginn]"),"&lt;="&amp;CB$1,INDIRECT("Table1[Ende]"),"&gt;="&amp;CB$1,INDIRECT("Table1[Obergruppe ATC-Code]"),Tabelle3!$A12)</f>
        <v>3</v>
      </c>
      <c r="CC12">
        <f ca="1">COUNTIFS(INDIRECT("Table1[Beginn]"),"&lt;="&amp;CC$1,INDIRECT("Table1[Ende]"),"&gt;="&amp;CC$1,INDIRECT("Table1[Obergruppe ATC-Code]"),Tabelle3!$A12)</f>
        <v>3</v>
      </c>
      <c r="CD12">
        <f ca="1">COUNTIFS(INDIRECT("Table1[Beginn]"),"&lt;="&amp;CD$1,INDIRECT("Table1[Ende]"),"&gt;="&amp;CD$1,INDIRECT("Table1[Obergruppe ATC-Code]"),Tabelle3!$A12)</f>
        <v>6</v>
      </c>
      <c r="CE12">
        <f ca="1">COUNTIFS(INDIRECT("Table1[Beginn]"),"&lt;="&amp;CE$1,INDIRECT("Table1[Ende]"),"&gt;="&amp;CE$1,INDIRECT("Table1[Obergruppe ATC-Code]"),Tabelle3!$A12)</f>
        <v>5</v>
      </c>
      <c r="CF12">
        <f ca="1">COUNTIFS(INDIRECT("Table1[Beginn]"),"&lt;="&amp;CF$1,INDIRECT("Table1[Ende]"),"&gt;="&amp;CF$1,INDIRECT("Table1[Obergruppe ATC-Code]"),Tabelle3!$A12)</f>
        <v>4</v>
      </c>
      <c r="CG12">
        <f ca="1">COUNTIFS(INDIRECT("Table1[Beginn]"),"&lt;="&amp;CG$1,INDIRECT("Table1[Ende]"),"&gt;="&amp;CG$1,INDIRECT("Table1[Obergruppe ATC-Code]"),Tabelle3!$A12)</f>
        <v>2</v>
      </c>
      <c r="CH12">
        <f ca="1">COUNTIFS(INDIRECT("Table1[Beginn]"),"&lt;="&amp;CH$1,INDIRECT("Table1[Ende]"),"&gt;="&amp;CH$1,INDIRECT("Table1[Obergruppe ATC-Code]"),Tabelle3!$A12)</f>
        <v>1</v>
      </c>
      <c r="CI12">
        <f ca="1">COUNTIFS(INDIRECT("Table1[Beginn]"),"&lt;="&amp;CI$1,INDIRECT("Table1[Ende]"),"&gt;="&amp;CI$1,INDIRECT("Table1[Obergruppe ATC-Code]"),Tabelle3!$A12)</f>
        <v>0</v>
      </c>
      <c r="CJ12">
        <f ca="1">COUNTIFS(INDIRECT("Table1[Beginn]"),"&lt;="&amp;CJ$1,INDIRECT("Table1[Ende]"),"&gt;="&amp;CJ$1,INDIRECT("Table1[Obergruppe ATC-Code]"),Tabelle3!$A12)</f>
        <v>0</v>
      </c>
      <c r="CK12">
        <f ca="1">COUNTIFS(INDIRECT("Table1[Beginn]"),"&lt;="&amp;CK$1,INDIRECT("Table1[Ende]"),"&gt;="&amp;CK$1,INDIRECT("Table1[Obergruppe ATC-Code]"),Tabelle3!$A12)</f>
        <v>0</v>
      </c>
      <c r="CL12">
        <f ca="1">COUNTIFS(INDIRECT("Table1[Beginn]"),"&lt;="&amp;CL$1,INDIRECT("Table1[Ende]"),"&gt;="&amp;CL$1,INDIRECT("Table1[Obergruppe ATC-Code]"),Tabelle3!$A12)</f>
        <v>0</v>
      </c>
      <c r="CM12">
        <f ca="1">COUNTIFS(INDIRECT("Table1[Beginn]"),"&lt;="&amp;CM$1,INDIRECT("Table1[Ende]"),"&gt;="&amp;CM$1,INDIRECT("Table1[Obergruppe ATC-Code]"),Tabelle3!$A12)</f>
        <v>0</v>
      </c>
      <c r="CN12">
        <f ca="1">COUNTIFS(INDIRECT("Table1[Beginn]"),"&lt;="&amp;CN$1,INDIRECT("Table1[Ende]"),"&gt;="&amp;CN$1,INDIRECT("Table1[Obergruppe ATC-Code]"),Tabelle3!$A12)</f>
        <v>0</v>
      </c>
      <c r="CO12">
        <f ca="1">COUNTIFS(INDIRECT("Table1[Beginn]"),"&lt;="&amp;CO$1,INDIRECT("Table1[Ende]"),"&gt;="&amp;CO$1,INDIRECT("Table1[Obergruppe ATC-Code]"),Tabelle3!$A12)</f>
        <v>0</v>
      </c>
      <c r="CP12">
        <f ca="1">COUNTIFS(INDIRECT("Table1[Beginn]"),"&lt;="&amp;CP$1,INDIRECT("Table1[Ende]"),"&gt;="&amp;CP$1,INDIRECT("Table1[Obergruppe ATC-Code]"),Tabelle3!$A12)</f>
        <v>0</v>
      </c>
      <c r="CQ12">
        <f ca="1">COUNTIFS(INDIRECT("Table1[Beginn]"),"&lt;="&amp;CQ$1,INDIRECT("Table1[Ende]"),"&gt;="&amp;CQ$1,INDIRECT("Table1[Obergruppe ATC-Code]"),Tabelle3!$A12)</f>
        <v>0</v>
      </c>
      <c r="CR12">
        <f ca="1">COUNTIFS(INDIRECT("Table1[Beginn]"),"&lt;="&amp;CR$1,INDIRECT("Table1[Ende]"),"&gt;="&amp;CR$1,INDIRECT("Table1[Obergruppe ATC-Code]"),Tabelle3!$A12)</f>
        <v>0</v>
      </c>
      <c r="CS12">
        <f ca="1">COUNTIFS(INDIRECT("Table1[Beginn]"),"&lt;="&amp;CS$1,INDIRECT("Table1[Ende]"),"&gt;="&amp;CS$1,INDIRECT("Table1[Obergruppe ATC-Code]"),Tabelle3!$A12)</f>
        <v>0</v>
      </c>
      <c r="CT12">
        <f ca="1">COUNTIFS(INDIRECT("Table1[Beginn]"),"&lt;="&amp;CT$1,INDIRECT("Table1[Ende]"),"&gt;="&amp;CT$1,INDIRECT("Table1[Obergruppe ATC-Code]"),Tabelle3!$A12)</f>
        <v>0</v>
      </c>
      <c r="CU12" s="54"/>
      <c r="CV12" s="54"/>
      <c r="CW12" s="54"/>
      <c r="CX12" s="54"/>
      <c r="CY12" s="54"/>
      <c r="CZ12" s="54"/>
      <c r="DA12" s="54"/>
      <c r="DB12" s="54"/>
      <c r="DC12" s="54"/>
      <c r="DD12" s="54"/>
      <c r="DE12" s="54"/>
      <c r="DF12" s="54"/>
      <c r="DG12" s="54"/>
      <c r="DH12" s="54"/>
    </row>
    <row r="13" spans="1:112" ht="18" customHeight="1">
      <c r="A13" s="9" t="s">
        <v>6794</v>
      </c>
      <c r="B13" s="10" t="s">
        <v>6795</v>
      </c>
      <c r="C13">
        <f ca="1">COUNTIFS(INDIRECT("Table1[Beginn]"),"&lt;="&amp;C$1,INDIRECT("Table1[Ende]"),"&gt;="&amp;C$1,INDIRECT("Table1[Obergruppe ATC-Code]"),Tabelle3!$A13)</f>
        <v>0</v>
      </c>
      <c r="D13">
        <f ca="1">COUNTIFS(INDIRECT("Table1[Beginn]"),"&lt;="&amp;D$1,INDIRECT("Table1[Ende]"),"&gt;="&amp;D$1,INDIRECT("Table1[Obergruppe ATC-Code]"),Tabelle3!$A13)</f>
        <v>0</v>
      </c>
      <c r="E13">
        <f ca="1">COUNTIFS(INDIRECT("Table1[Beginn]"),"&lt;="&amp;E$1,INDIRECT("Table1[Ende]"),"&gt;="&amp;E$1,INDIRECT("Table1[Obergruppe ATC-Code]"),Tabelle3!$A13)</f>
        <v>0</v>
      </c>
      <c r="F13">
        <f ca="1">COUNTIFS(INDIRECT("Table1[Beginn]"),"&lt;="&amp;F$1,INDIRECT("Table1[Ende]"),"&gt;="&amp;F$1,INDIRECT("Table1[Obergruppe ATC-Code]"),Tabelle3!$A13)</f>
        <v>0</v>
      </c>
      <c r="G13">
        <f ca="1">COUNTIFS(INDIRECT("Table1[Beginn]"),"&lt;="&amp;G$1,INDIRECT("Table1[Ende]"),"&gt;="&amp;G$1,INDIRECT("Table1[Obergruppe ATC-Code]"),Tabelle3!$A13)</f>
        <v>0</v>
      </c>
      <c r="H13">
        <f ca="1">COUNTIFS(INDIRECT("Table1[Beginn]"),"&lt;="&amp;H$1,INDIRECT("Table1[Ende]"),"&gt;="&amp;H$1,INDIRECT("Table1[Obergruppe ATC-Code]"),Tabelle3!$A13)</f>
        <v>0</v>
      </c>
      <c r="I13">
        <f ca="1">COUNTIFS(INDIRECT("Table1[Beginn]"),"&lt;="&amp;I$1,INDIRECT("Table1[Ende]"),"&gt;="&amp;I$1,INDIRECT("Table1[Obergruppe ATC-Code]"),Tabelle3!$A13)</f>
        <v>0</v>
      </c>
      <c r="J13">
        <f ca="1">COUNTIFS(INDIRECT("Table1[Beginn]"),"&lt;="&amp;J$1,INDIRECT("Table1[Ende]"),"&gt;="&amp;J$1,INDIRECT("Table1[Obergruppe ATC-Code]"),Tabelle3!$A13)</f>
        <v>0</v>
      </c>
      <c r="K13">
        <f ca="1">COUNTIFS(INDIRECT("Table1[Beginn]"),"&lt;="&amp;K$1,INDIRECT("Table1[Ende]"),"&gt;="&amp;K$1,INDIRECT("Table1[Obergruppe ATC-Code]"),Tabelle3!$A13)</f>
        <v>0</v>
      </c>
      <c r="L13">
        <f ca="1">COUNTIFS(INDIRECT("Table1[Beginn]"),"&lt;="&amp;L$1,INDIRECT("Table1[Ende]"),"&gt;="&amp;L$1,INDIRECT("Table1[Obergruppe ATC-Code]"),Tabelle3!$A13)</f>
        <v>0</v>
      </c>
      <c r="M13">
        <f ca="1">COUNTIFS(INDIRECT("Table1[Beginn]"),"&lt;="&amp;M$1,INDIRECT("Table1[Ende]"),"&gt;="&amp;M$1,INDIRECT("Table1[Obergruppe ATC-Code]"),Tabelle3!$A13)</f>
        <v>0</v>
      </c>
      <c r="N13">
        <f ca="1">COUNTIFS(INDIRECT("Table1[Beginn]"),"&lt;="&amp;N$1,INDIRECT("Table1[Ende]"),"&gt;="&amp;N$1,INDIRECT("Table1[Obergruppe ATC-Code]"),Tabelle3!$A13)</f>
        <v>0</v>
      </c>
      <c r="O13">
        <f ca="1">COUNTIFS(INDIRECT("Table1[Beginn]"),"&lt;="&amp;O$1,INDIRECT("Table1[Ende]"),"&gt;="&amp;O$1,INDIRECT("Table1[Obergruppe ATC-Code]"),Tabelle3!$A13)</f>
        <v>0</v>
      </c>
      <c r="P13">
        <f ca="1">COUNTIFS(INDIRECT("Table1[Beginn]"),"&lt;="&amp;P$1,INDIRECT("Table1[Ende]"),"&gt;="&amp;P$1,INDIRECT("Table1[Obergruppe ATC-Code]"),Tabelle3!$A13)</f>
        <v>0</v>
      </c>
      <c r="Q13">
        <f ca="1">COUNTIFS(INDIRECT("Table1[Beginn]"),"&lt;="&amp;Q$1,INDIRECT("Table1[Ende]"),"&gt;="&amp;Q$1,INDIRECT("Table1[Obergruppe ATC-Code]"),Tabelle3!$A13)</f>
        <v>0</v>
      </c>
      <c r="R13">
        <f ca="1">COUNTIFS(INDIRECT("Table1[Beginn]"),"&lt;="&amp;R$1,INDIRECT("Table1[Ende]"),"&gt;="&amp;R$1,INDIRECT("Table1[Obergruppe ATC-Code]"),Tabelle3!$A13)</f>
        <v>0</v>
      </c>
      <c r="S13">
        <f ca="1">COUNTIFS(INDIRECT("Table1[Beginn]"),"&lt;="&amp;S$1,INDIRECT("Table1[Ende]"),"&gt;="&amp;S$1,INDIRECT("Table1[Obergruppe ATC-Code]"),Tabelle3!$A13)</f>
        <v>0</v>
      </c>
      <c r="T13">
        <f ca="1">COUNTIFS(INDIRECT("Table1[Beginn]"),"&lt;="&amp;T$1,INDIRECT("Table1[Ende]"),"&gt;="&amp;T$1,INDIRECT("Table1[Obergruppe ATC-Code]"),Tabelle3!$A13)</f>
        <v>0</v>
      </c>
      <c r="U13">
        <f ca="1">COUNTIFS(INDIRECT("Table1[Beginn]"),"&lt;="&amp;U$1,INDIRECT("Table1[Ende]"),"&gt;="&amp;U$1,INDIRECT("Table1[Obergruppe ATC-Code]"),Tabelle3!$A13)</f>
        <v>0</v>
      </c>
      <c r="V13">
        <f ca="1">COUNTIFS(INDIRECT("Table1[Beginn]"),"&lt;="&amp;V$1,INDIRECT("Table1[Ende]"),"&gt;="&amp;V$1,INDIRECT("Table1[Obergruppe ATC-Code]"),Tabelle3!$A13)</f>
        <v>0</v>
      </c>
      <c r="W13">
        <f ca="1">COUNTIFS(INDIRECT("Table1[Beginn]"),"&lt;="&amp;W$1,INDIRECT("Table1[Ende]"),"&gt;="&amp;W$1,INDIRECT("Table1[Obergruppe ATC-Code]"),Tabelle3!$A13)</f>
        <v>0</v>
      </c>
      <c r="X13">
        <f ca="1">COUNTIFS(INDIRECT("Table1[Beginn]"),"&lt;="&amp;X$1,INDIRECT("Table1[Ende]"),"&gt;="&amp;X$1,INDIRECT("Table1[Obergruppe ATC-Code]"),Tabelle3!$A13)</f>
        <v>0</v>
      </c>
      <c r="Y13">
        <f ca="1">COUNTIFS(INDIRECT("Table1[Beginn]"),"&lt;="&amp;Y$1,INDIRECT("Table1[Ende]"),"&gt;="&amp;Y$1,INDIRECT("Table1[Obergruppe ATC-Code]"),Tabelle3!$A13)</f>
        <v>0</v>
      </c>
      <c r="Z13">
        <f ca="1">COUNTIFS(INDIRECT("Table1[Beginn]"),"&lt;="&amp;Z$1,INDIRECT("Table1[Ende]"),"&gt;="&amp;Z$1,INDIRECT("Table1[Obergruppe ATC-Code]"),Tabelle3!$A13)</f>
        <v>0</v>
      </c>
      <c r="AA13">
        <f ca="1">COUNTIFS(INDIRECT("Table1[Beginn]"),"&lt;="&amp;AA$1,INDIRECT("Table1[Ende]"),"&gt;="&amp;AA$1,INDIRECT("Table1[Obergruppe ATC-Code]"),Tabelle3!$A13)</f>
        <v>0</v>
      </c>
      <c r="AB13">
        <f ca="1">COUNTIFS(INDIRECT("Table1[Beginn]"),"&lt;="&amp;AB$1,INDIRECT("Table1[Ende]"),"&gt;="&amp;AB$1,INDIRECT("Table1[Obergruppe ATC-Code]"),Tabelle3!$A13)</f>
        <v>0</v>
      </c>
      <c r="AC13">
        <f ca="1">COUNTIFS(INDIRECT("Table1[Beginn]"),"&lt;="&amp;AC$1,INDIRECT("Table1[Ende]"),"&gt;="&amp;AC$1,INDIRECT("Table1[Obergruppe ATC-Code]"),Tabelle3!$A13)</f>
        <v>0</v>
      </c>
      <c r="AD13">
        <f ca="1">COUNTIFS(INDIRECT("Table1[Beginn]"),"&lt;="&amp;AD$1,INDIRECT("Table1[Ende]"),"&gt;="&amp;AD$1,INDIRECT("Table1[Obergruppe ATC-Code]"),Tabelle3!$A13)</f>
        <v>0</v>
      </c>
      <c r="AE13">
        <f ca="1">COUNTIFS(INDIRECT("Table1[Beginn]"),"&lt;="&amp;AE$1,INDIRECT("Table1[Ende]"),"&gt;="&amp;AE$1,INDIRECT("Table1[Obergruppe ATC-Code]"),Tabelle3!$A13)</f>
        <v>0</v>
      </c>
      <c r="AF13">
        <f ca="1">COUNTIFS(INDIRECT("Table1[Beginn]"),"&lt;="&amp;AF$1,INDIRECT("Table1[Ende]"),"&gt;="&amp;AF$1,INDIRECT("Table1[Obergruppe ATC-Code]"),Tabelle3!$A13)</f>
        <v>0</v>
      </c>
      <c r="AG13">
        <f ca="1">COUNTIFS(INDIRECT("Table1[Beginn]"),"&lt;="&amp;AG$1,INDIRECT("Table1[Ende]"),"&gt;="&amp;AG$1,INDIRECT("Table1[Obergruppe ATC-Code]"),Tabelle3!$A13)</f>
        <v>0</v>
      </c>
      <c r="AH13">
        <f ca="1">COUNTIFS(INDIRECT("Table1[Beginn]"),"&lt;="&amp;AH$1,INDIRECT("Table1[Ende]"),"&gt;="&amp;AH$1,INDIRECT("Table1[Obergruppe ATC-Code]"),Tabelle3!$A13)</f>
        <v>0</v>
      </c>
      <c r="AI13">
        <f ca="1">COUNTIFS(INDIRECT("Table1[Beginn]"),"&lt;="&amp;AI$1,INDIRECT("Table1[Ende]"),"&gt;="&amp;AI$1,INDIRECT("Table1[Obergruppe ATC-Code]"),Tabelle3!$A13)</f>
        <v>0</v>
      </c>
      <c r="AJ13">
        <f ca="1">COUNTIFS(INDIRECT("Table1[Beginn]"),"&lt;="&amp;AJ$1,INDIRECT("Table1[Ende]"),"&gt;="&amp;AJ$1,INDIRECT("Table1[Obergruppe ATC-Code]"),Tabelle3!$A13)</f>
        <v>0</v>
      </c>
      <c r="AK13">
        <f ca="1">COUNTIFS(INDIRECT("Table1[Beginn]"),"&lt;="&amp;AK$1,INDIRECT("Table1[Ende]"),"&gt;="&amp;AK$1,INDIRECT("Table1[Obergruppe ATC-Code]"),Tabelle3!$A13)</f>
        <v>0</v>
      </c>
      <c r="AL13">
        <f ca="1">COUNTIFS(INDIRECT("Table1[Beginn]"),"&lt;="&amp;AL$1,INDIRECT("Table1[Ende]"),"&gt;="&amp;AL$1,INDIRECT("Table1[Obergruppe ATC-Code]"),Tabelle3!$A13)</f>
        <v>0</v>
      </c>
      <c r="AM13">
        <f ca="1">COUNTIFS(INDIRECT("Table1[Beginn]"),"&lt;="&amp;AM$1,INDIRECT("Table1[Ende]"),"&gt;="&amp;AM$1,INDIRECT("Table1[Obergruppe ATC-Code]"),Tabelle3!$A13)</f>
        <v>0</v>
      </c>
      <c r="AN13">
        <f ca="1">COUNTIFS(INDIRECT("Table1[Beginn]"),"&lt;="&amp;AN$1,INDIRECT("Table1[Ende]"),"&gt;="&amp;AN$1,INDIRECT("Table1[Obergruppe ATC-Code]"),Tabelle3!$A13)</f>
        <v>0</v>
      </c>
      <c r="AO13">
        <f ca="1">COUNTIFS(INDIRECT("Table1[Beginn]"),"&lt;="&amp;AO$1,INDIRECT("Table1[Ende]"),"&gt;="&amp;AO$1,INDIRECT("Table1[Obergruppe ATC-Code]"),Tabelle3!$A13)</f>
        <v>0</v>
      </c>
      <c r="AP13">
        <f ca="1">COUNTIFS(INDIRECT("Table1[Beginn]"),"&lt;="&amp;AP$1,INDIRECT("Table1[Ende]"),"&gt;="&amp;AP$1,INDIRECT("Table1[Obergruppe ATC-Code]"),Tabelle3!$A13)</f>
        <v>0</v>
      </c>
      <c r="AQ13">
        <f ca="1">COUNTIFS(INDIRECT("Table1[Beginn]"),"&lt;="&amp;AQ$1,INDIRECT("Table1[Ende]"),"&gt;="&amp;AQ$1,INDIRECT("Table1[Obergruppe ATC-Code]"),Tabelle3!$A13)</f>
        <v>0</v>
      </c>
      <c r="AR13">
        <f ca="1">COUNTIFS(INDIRECT("Table1[Beginn]"),"&lt;="&amp;AR$1,INDIRECT("Table1[Ende]"),"&gt;="&amp;AR$1,INDIRECT("Table1[Obergruppe ATC-Code]"),Tabelle3!$A13)</f>
        <v>0</v>
      </c>
      <c r="AS13">
        <f ca="1">COUNTIFS(INDIRECT("Table1[Beginn]"),"&lt;="&amp;AS$1,INDIRECT("Table1[Ende]"),"&gt;="&amp;AS$1,INDIRECT("Table1[Obergruppe ATC-Code]"),Tabelle3!$A13)</f>
        <v>0</v>
      </c>
      <c r="AT13">
        <f ca="1">COUNTIFS(INDIRECT("Table1[Beginn]"),"&lt;="&amp;AT$1,INDIRECT("Table1[Ende]"),"&gt;="&amp;AT$1,INDIRECT("Table1[Obergruppe ATC-Code]"),Tabelle3!$A13)</f>
        <v>0</v>
      </c>
      <c r="AU13">
        <f ca="1">COUNTIFS(INDIRECT("Table1[Beginn]"),"&lt;="&amp;AU$1,INDIRECT("Table1[Ende]"),"&gt;="&amp;AU$1,INDIRECT("Table1[Obergruppe ATC-Code]"),Tabelle3!$A13)</f>
        <v>0</v>
      </c>
      <c r="AV13">
        <f ca="1">COUNTIFS(INDIRECT("Table1[Beginn]"),"&lt;="&amp;AV$1,INDIRECT("Table1[Ende]"),"&gt;="&amp;AV$1,INDIRECT("Table1[Obergruppe ATC-Code]"),Tabelle3!$A13)</f>
        <v>0</v>
      </c>
      <c r="AW13">
        <f ca="1">COUNTIFS(INDIRECT("Table1[Beginn]"),"&lt;="&amp;AW$1,INDIRECT("Table1[Ende]"),"&gt;="&amp;AW$1,INDIRECT("Table1[Obergruppe ATC-Code]"),Tabelle3!$A13)</f>
        <v>0</v>
      </c>
      <c r="AX13">
        <f ca="1">COUNTIFS(INDIRECT("Table1[Beginn]"),"&lt;="&amp;AX$1,INDIRECT("Table1[Ende]"),"&gt;="&amp;AX$1,INDIRECT("Table1[Obergruppe ATC-Code]"),Tabelle3!$A13)</f>
        <v>0</v>
      </c>
      <c r="AY13">
        <f ca="1">COUNTIFS(INDIRECT("Table1[Beginn]"),"&lt;="&amp;AY$1,INDIRECT("Table1[Ende]"),"&gt;="&amp;AY$1,INDIRECT("Table1[Obergruppe ATC-Code]"),Tabelle3!$A13)</f>
        <v>0</v>
      </c>
      <c r="AZ13">
        <f ca="1">COUNTIFS(INDIRECT("Table1[Beginn]"),"&lt;="&amp;AZ$1,INDIRECT("Table1[Ende]"),"&gt;="&amp;AZ$1,INDIRECT("Table1[Obergruppe ATC-Code]"),Tabelle3!$A13)</f>
        <v>0</v>
      </c>
      <c r="BA13">
        <f ca="1">COUNTIFS(INDIRECT("Table1[Beginn]"),"&lt;="&amp;BA$1,INDIRECT("Table1[Ende]"),"&gt;="&amp;BA$1,INDIRECT("Table1[Obergruppe ATC-Code]"),Tabelle3!$A13)</f>
        <v>0</v>
      </c>
      <c r="BB13">
        <f ca="1">COUNTIFS(INDIRECT("Table1[Beginn]"),"&lt;="&amp;BB$1,INDIRECT("Table1[Ende]"),"&gt;="&amp;BB$1,INDIRECT("Table1[Obergruppe ATC-Code]"),Tabelle3!$A13)</f>
        <v>0</v>
      </c>
      <c r="BC13">
        <f ca="1">COUNTIFS(INDIRECT("Table1[Beginn]"),"&lt;="&amp;BC$1,INDIRECT("Table1[Ende]"),"&gt;="&amp;BC$1,INDIRECT("Table1[Obergruppe ATC-Code]"),Tabelle3!$A13)</f>
        <v>0</v>
      </c>
      <c r="BD13">
        <f ca="1">COUNTIFS(INDIRECT("Table1[Beginn]"),"&lt;="&amp;BD$1,INDIRECT("Table1[Ende]"),"&gt;="&amp;BD$1,INDIRECT("Table1[Obergruppe ATC-Code]"),Tabelle3!$A13)</f>
        <v>0</v>
      </c>
      <c r="BE13">
        <f ca="1">COUNTIFS(INDIRECT("Table1[Beginn]"),"&lt;="&amp;BE$1,INDIRECT("Table1[Ende]"),"&gt;="&amp;BE$1,INDIRECT("Table1[Obergruppe ATC-Code]"),Tabelle3!$A13)</f>
        <v>0</v>
      </c>
      <c r="BF13">
        <f ca="1">COUNTIFS(INDIRECT("Table1[Beginn]"),"&lt;="&amp;BF$1,INDIRECT("Table1[Ende]"),"&gt;="&amp;BF$1,INDIRECT("Table1[Obergruppe ATC-Code]"),Tabelle3!$A13)</f>
        <v>0</v>
      </c>
      <c r="BG13">
        <f ca="1">COUNTIFS(INDIRECT("Table1[Beginn]"),"&lt;="&amp;BG$1,INDIRECT("Table1[Ende]"),"&gt;="&amp;BG$1,INDIRECT("Table1[Obergruppe ATC-Code]"),Tabelle3!$A13)</f>
        <v>0</v>
      </c>
      <c r="BH13">
        <f ca="1">COUNTIFS(INDIRECT("Table1[Beginn]"),"&lt;="&amp;BH$1,INDIRECT("Table1[Ende]"),"&gt;="&amp;BH$1,INDIRECT("Table1[Obergruppe ATC-Code]"),Tabelle3!$A13)</f>
        <v>0</v>
      </c>
      <c r="BI13">
        <f ca="1">COUNTIFS(INDIRECT("Table1[Beginn]"),"&lt;="&amp;BI$1,INDIRECT("Table1[Ende]"),"&gt;="&amp;BI$1,INDIRECT("Table1[Obergruppe ATC-Code]"),Tabelle3!$A13)</f>
        <v>0</v>
      </c>
      <c r="BJ13">
        <f ca="1">COUNTIFS(INDIRECT("Table1[Beginn]"),"&lt;="&amp;BJ$1,INDIRECT("Table1[Ende]"),"&gt;="&amp;BJ$1,INDIRECT("Table1[Obergruppe ATC-Code]"),Tabelle3!$A13)</f>
        <v>0</v>
      </c>
      <c r="BK13">
        <f ca="1">COUNTIFS(INDIRECT("Table1[Beginn]"),"&lt;="&amp;BK$1,INDIRECT("Table1[Ende]"),"&gt;="&amp;BK$1,INDIRECT("Table1[Obergruppe ATC-Code]"),Tabelle3!$A13)</f>
        <v>0</v>
      </c>
      <c r="BL13">
        <f ca="1">COUNTIFS(INDIRECT("Table1[Beginn]"),"&lt;="&amp;BL$1,INDIRECT("Table1[Ende]"),"&gt;="&amp;BL$1,INDIRECT("Table1[Obergruppe ATC-Code]"),Tabelle3!$A13)</f>
        <v>0</v>
      </c>
      <c r="BM13">
        <f ca="1">COUNTIFS(INDIRECT("Table1[Beginn]"),"&lt;="&amp;BM$1,INDIRECT("Table1[Ende]"),"&gt;="&amp;BM$1,INDIRECT("Table1[Obergruppe ATC-Code]"),Tabelle3!$A13)</f>
        <v>0</v>
      </c>
      <c r="BN13">
        <f ca="1">COUNTIFS(INDIRECT("Table1[Beginn]"),"&lt;="&amp;BN$1,INDIRECT("Table1[Ende]"),"&gt;="&amp;BN$1,INDIRECT("Table1[Obergruppe ATC-Code]"),Tabelle3!$A13)</f>
        <v>0</v>
      </c>
      <c r="BO13">
        <f ca="1">COUNTIFS(INDIRECT("Table1[Beginn]"),"&lt;="&amp;BO$1,INDIRECT("Table1[Ende]"),"&gt;="&amp;BO$1,INDIRECT("Table1[Obergruppe ATC-Code]"),Tabelle3!$A13)</f>
        <v>0</v>
      </c>
      <c r="BP13">
        <f ca="1">COUNTIFS(INDIRECT("Table1[Beginn]"),"&lt;="&amp;BP$1,INDIRECT("Table1[Ende]"),"&gt;="&amp;BP$1,INDIRECT("Table1[Obergruppe ATC-Code]"),Tabelle3!$A13)</f>
        <v>0</v>
      </c>
      <c r="BQ13">
        <f ca="1">COUNTIFS(INDIRECT("Table1[Beginn]"),"&lt;="&amp;BQ$1,INDIRECT("Table1[Ende]"),"&gt;="&amp;BQ$1,INDIRECT("Table1[Obergruppe ATC-Code]"),Tabelle3!$A13)</f>
        <v>1</v>
      </c>
      <c r="BR13">
        <f ca="1">COUNTIFS(INDIRECT("Table1[Beginn]"),"&lt;="&amp;BR$1,INDIRECT("Table1[Ende]"),"&gt;="&amp;BR$1,INDIRECT("Table1[Obergruppe ATC-Code]"),Tabelle3!$A13)</f>
        <v>1</v>
      </c>
      <c r="BS13">
        <f ca="1">COUNTIFS(INDIRECT("Table1[Beginn]"),"&lt;="&amp;BS$1,INDIRECT("Table1[Ende]"),"&gt;="&amp;BS$1,INDIRECT("Table1[Obergruppe ATC-Code]"),Tabelle3!$A13)</f>
        <v>2</v>
      </c>
      <c r="BT13">
        <f ca="1">COUNTIFS(INDIRECT("Table1[Beginn]"),"&lt;="&amp;BT$1,INDIRECT("Table1[Ende]"),"&gt;="&amp;BT$1,INDIRECT("Table1[Obergruppe ATC-Code]"),Tabelle3!$A13)</f>
        <v>2</v>
      </c>
      <c r="BU13">
        <f ca="1">COUNTIFS(INDIRECT("Table1[Beginn]"),"&lt;="&amp;BU$1,INDIRECT("Table1[Ende]"),"&gt;="&amp;BU$1,INDIRECT("Table1[Obergruppe ATC-Code]"),Tabelle3!$A13)</f>
        <v>2</v>
      </c>
      <c r="BV13">
        <f ca="1">COUNTIFS(INDIRECT("Table1[Beginn]"),"&lt;="&amp;BV$1,INDIRECT("Table1[Ende]"),"&gt;="&amp;BV$1,INDIRECT("Table1[Obergruppe ATC-Code]"),Tabelle3!$A13)</f>
        <v>2</v>
      </c>
      <c r="BW13">
        <f ca="1">COUNTIFS(INDIRECT("Table1[Beginn]"),"&lt;="&amp;BW$1,INDIRECT("Table1[Ende]"),"&gt;="&amp;BW$1,INDIRECT("Table1[Obergruppe ATC-Code]"),Tabelle3!$A13)</f>
        <v>2</v>
      </c>
      <c r="BX13">
        <f ca="1">COUNTIFS(INDIRECT("Table1[Beginn]"),"&lt;="&amp;BX$1,INDIRECT("Table1[Ende]"),"&gt;="&amp;BX$1,INDIRECT("Table1[Obergruppe ATC-Code]"),Tabelle3!$A13)</f>
        <v>2</v>
      </c>
      <c r="BY13">
        <f ca="1">COUNTIFS(INDIRECT("Table1[Beginn]"),"&lt;="&amp;BY$1,INDIRECT("Table1[Ende]"),"&gt;="&amp;BY$1,INDIRECT("Table1[Obergruppe ATC-Code]"),Tabelle3!$A13)</f>
        <v>2</v>
      </c>
      <c r="BZ13">
        <f ca="1">COUNTIFS(INDIRECT("Table1[Beginn]"),"&lt;="&amp;BZ$1,INDIRECT("Table1[Ende]"),"&gt;="&amp;BZ$1,INDIRECT("Table1[Obergruppe ATC-Code]"),Tabelle3!$A13)</f>
        <v>2</v>
      </c>
      <c r="CA13">
        <f ca="1">COUNTIFS(INDIRECT("Table1[Beginn]"),"&lt;="&amp;CA$1,INDIRECT("Table1[Ende]"),"&gt;="&amp;CA$1,INDIRECT("Table1[Obergruppe ATC-Code]"),Tabelle3!$A13)</f>
        <v>2</v>
      </c>
      <c r="CB13">
        <f ca="1">COUNTIFS(INDIRECT("Table1[Beginn]"),"&lt;="&amp;CB$1,INDIRECT("Table1[Ende]"),"&gt;="&amp;CB$1,INDIRECT("Table1[Obergruppe ATC-Code]"),Tabelle3!$A13)</f>
        <v>2</v>
      </c>
      <c r="CC13">
        <f ca="1">COUNTIFS(INDIRECT("Table1[Beginn]"),"&lt;="&amp;CC$1,INDIRECT("Table1[Ende]"),"&gt;="&amp;CC$1,INDIRECT("Table1[Obergruppe ATC-Code]"),Tabelle3!$A13)</f>
        <v>2</v>
      </c>
      <c r="CD13">
        <f ca="1">COUNTIFS(INDIRECT("Table1[Beginn]"),"&lt;="&amp;CD$1,INDIRECT("Table1[Ende]"),"&gt;="&amp;CD$1,INDIRECT("Table1[Obergruppe ATC-Code]"),Tabelle3!$A13)</f>
        <v>2</v>
      </c>
      <c r="CE13">
        <f ca="1">COUNTIFS(INDIRECT("Table1[Beginn]"),"&lt;="&amp;CE$1,INDIRECT("Table1[Ende]"),"&gt;="&amp;CE$1,INDIRECT("Table1[Obergruppe ATC-Code]"),Tabelle3!$A13)</f>
        <v>2</v>
      </c>
      <c r="CF13">
        <f ca="1">COUNTIFS(INDIRECT("Table1[Beginn]"),"&lt;="&amp;CF$1,INDIRECT("Table1[Ende]"),"&gt;="&amp;CF$1,INDIRECT("Table1[Obergruppe ATC-Code]"),Tabelle3!$A13)</f>
        <v>2</v>
      </c>
      <c r="CG13">
        <f ca="1">COUNTIFS(INDIRECT("Table1[Beginn]"),"&lt;="&amp;CG$1,INDIRECT("Table1[Ende]"),"&gt;="&amp;CG$1,INDIRECT("Table1[Obergruppe ATC-Code]"),Tabelle3!$A13)</f>
        <v>2</v>
      </c>
      <c r="CH13">
        <f ca="1">COUNTIFS(INDIRECT("Table1[Beginn]"),"&lt;="&amp;CH$1,INDIRECT("Table1[Ende]"),"&gt;="&amp;CH$1,INDIRECT("Table1[Obergruppe ATC-Code]"),Tabelle3!$A13)</f>
        <v>2</v>
      </c>
      <c r="CI13">
        <f ca="1">COUNTIFS(INDIRECT("Table1[Beginn]"),"&lt;="&amp;CI$1,INDIRECT("Table1[Ende]"),"&gt;="&amp;CI$1,INDIRECT("Table1[Obergruppe ATC-Code]"),Tabelle3!$A13)</f>
        <v>0</v>
      </c>
      <c r="CJ13">
        <f ca="1">COUNTIFS(INDIRECT("Table1[Beginn]"),"&lt;="&amp;CJ$1,INDIRECT("Table1[Ende]"),"&gt;="&amp;CJ$1,INDIRECT("Table1[Obergruppe ATC-Code]"),Tabelle3!$A13)</f>
        <v>0</v>
      </c>
      <c r="CK13">
        <f ca="1">COUNTIFS(INDIRECT("Table1[Beginn]"),"&lt;="&amp;CK$1,INDIRECT("Table1[Ende]"),"&gt;="&amp;CK$1,INDIRECT("Table1[Obergruppe ATC-Code]"),Tabelle3!$A13)</f>
        <v>0</v>
      </c>
      <c r="CL13">
        <f ca="1">COUNTIFS(INDIRECT("Table1[Beginn]"),"&lt;="&amp;CL$1,INDIRECT("Table1[Ende]"),"&gt;="&amp;CL$1,INDIRECT("Table1[Obergruppe ATC-Code]"),Tabelle3!$A13)</f>
        <v>0</v>
      </c>
      <c r="CM13">
        <f ca="1">COUNTIFS(INDIRECT("Table1[Beginn]"),"&lt;="&amp;CM$1,INDIRECT("Table1[Ende]"),"&gt;="&amp;CM$1,INDIRECT("Table1[Obergruppe ATC-Code]"),Tabelle3!$A13)</f>
        <v>0</v>
      </c>
      <c r="CN13">
        <f ca="1">COUNTIFS(INDIRECT("Table1[Beginn]"),"&lt;="&amp;CN$1,INDIRECT("Table1[Ende]"),"&gt;="&amp;CN$1,INDIRECT("Table1[Obergruppe ATC-Code]"),Tabelle3!$A13)</f>
        <v>0</v>
      </c>
      <c r="CO13">
        <f ca="1">COUNTIFS(INDIRECT("Table1[Beginn]"),"&lt;="&amp;CO$1,INDIRECT("Table1[Ende]"),"&gt;="&amp;CO$1,INDIRECT("Table1[Obergruppe ATC-Code]"),Tabelle3!$A13)</f>
        <v>0</v>
      </c>
      <c r="CP13">
        <f ca="1">COUNTIFS(INDIRECT("Table1[Beginn]"),"&lt;="&amp;CP$1,INDIRECT("Table1[Ende]"),"&gt;="&amp;CP$1,INDIRECT("Table1[Obergruppe ATC-Code]"),Tabelle3!$A13)</f>
        <v>0</v>
      </c>
      <c r="CQ13">
        <f ca="1">COUNTIFS(INDIRECT("Table1[Beginn]"),"&lt;="&amp;CQ$1,INDIRECT("Table1[Ende]"),"&gt;="&amp;CQ$1,INDIRECT("Table1[Obergruppe ATC-Code]"),Tabelle3!$A13)</f>
        <v>0</v>
      </c>
      <c r="CR13">
        <f ca="1">COUNTIFS(INDIRECT("Table1[Beginn]"),"&lt;="&amp;CR$1,INDIRECT("Table1[Ende]"),"&gt;="&amp;CR$1,INDIRECT("Table1[Obergruppe ATC-Code]"),Tabelle3!$A13)</f>
        <v>0</v>
      </c>
      <c r="CS13">
        <f ca="1">COUNTIFS(INDIRECT("Table1[Beginn]"),"&lt;="&amp;CS$1,INDIRECT("Table1[Ende]"),"&gt;="&amp;CS$1,INDIRECT("Table1[Obergruppe ATC-Code]"),Tabelle3!$A13)</f>
        <v>0</v>
      </c>
      <c r="CT13">
        <f ca="1">COUNTIFS(INDIRECT("Table1[Beginn]"),"&lt;="&amp;CT$1,INDIRECT("Table1[Ende]"),"&gt;="&amp;CT$1,INDIRECT("Table1[Obergruppe ATC-Code]"),Tabelle3!$A13)</f>
        <v>0</v>
      </c>
      <c r="CU13" s="54"/>
      <c r="CV13" s="54"/>
      <c r="CW13" s="54"/>
      <c r="CX13" s="54"/>
      <c r="CY13" s="54"/>
      <c r="CZ13" s="54"/>
      <c r="DA13" s="54"/>
      <c r="DB13" s="54"/>
      <c r="DC13" s="54"/>
      <c r="DD13" s="54"/>
      <c r="DE13" s="54"/>
      <c r="DF13" s="54"/>
      <c r="DG13" s="54"/>
      <c r="DH13" s="54"/>
    </row>
    <row r="14" spans="1:112" ht="18" customHeight="1">
      <c r="A14" s="7" t="s">
        <v>6796</v>
      </c>
      <c r="B14" s="8" t="s">
        <v>6797</v>
      </c>
      <c r="C14">
        <f ca="1">COUNTIFS(INDIRECT("Table1[Beginn]"),"&lt;="&amp;C$1,INDIRECT("Table1[Ende]"),"&gt;="&amp;C$1,INDIRECT("Table1[Obergruppe ATC-Code]"),Tabelle3!$A14)</f>
        <v>0</v>
      </c>
      <c r="D14">
        <f ca="1">COUNTIFS(INDIRECT("Table1[Beginn]"),"&lt;="&amp;D$1,INDIRECT("Table1[Ende]"),"&gt;="&amp;D$1,INDIRECT("Table1[Obergruppe ATC-Code]"),Tabelle3!$A14)</f>
        <v>0</v>
      </c>
      <c r="E14">
        <f ca="1">COUNTIFS(INDIRECT("Table1[Beginn]"),"&lt;="&amp;E$1,INDIRECT("Table1[Ende]"),"&gt;="&amp;E$1,INDIRECT("Table1[Obergruppe ATC-Code]"),Tabelle3!$A14)</f>
        <v>0</v>
      </c>
      <c r="F14">
        <f ca="1">COUNTIFS(INDIRECT("Table1[Beginn]"),"&lt;="&amp;F$1,INDIRECT("Table1[Ende]"),"&gt;="&amp;F$1,INDIRECT("Table1[Obergruppe ATC-Code]"),Tabelle3!$A14)</f>
        <v>0</v>
      </c>
      <c r="G14">
        <f ca="1">COUNTIFS(INDIRECT("Table1[Beginn]"),"&lt;="&amp;G$1,INDIRECT("Table1[Ende]"),"&gt;="&amp;G$1,INDIRECT("Table1[Obergruppe ATC-Code]"),Tabelle3!$A14)</f>
        <v>0</v>
      </c>
      <c r="H14">
        <f ca="1">COUNTIFS(INDIRECT("Table1[Beginn]"),"&lt;="&amp;H$1,INDIRECT("Table1[Ende]"),"&gt;="&amp;H$1,INDIRECT("Table1[Obergruppe ATC-Code]"),Tabelle3!$A14)</f>
        <v>0</v>
      </c>
      <c r="I14">
        <f ca="1">COUNTIFS(INDIRECT("Table1[Beginn]"),"&lt;="&amp;I$1,INDIRECT("Table1[Ende]"),"&gt;="&amp;I$1,INDIRECT("Table1[Obergruppe ATC-Code]"),Tabelle3!$A14)</f>
        <v>0</v>
      </c>
      <c r="J14">
        <f ca="1">COUNTIFS(INDIRECT("Table1[Beginn]"),"&lt;="&amp;J$1,INDIRECT("Table1[Ende]"),"&gt;="&amp;J$1,INDIRECT("Table1[Obergruppe ATC-Code]"),Tabelle3!$A14)</f>
        <v>0</v>
      </c>
      <c r="K14">
        <f ca="1">COUNTIFS(INDIRECT("Table1[Beginn]"),"&lt;="&amp;K$1,INDIRECT("Table1[Ende]"),"&gt;="&amp;K$1,INDIRECT("Table1[Obergruppe ATC-Code]"),Tabelle3!$A14)</f>
        <v>0</v>
      </c>
      <c r="L14">
        <f ca="1">COUNTIFS(INDIRECT("Table1[Beginn]"),"&lt;="&amp;L$1,INDIRECT("Table1[Ende]"),"&gt;="&amp;L$1,INDIRECT("Table1[Obergruppe ATC-Code]"),Tabelle3!$A14)</f>
        <v>0</v>
      </c>
      <c r="M14">
        <f ca="1">COUNTIFS(INDIRECT("Table1[Beginn]"),"&lt;="&amp;M$1,INDIRECT("Table1[Ende]"),"&gt;="&amp;M$1,INDIRECT("Table1[Obergruppe ATC-Code]"),Tabelle3!$A14)</f>
        <v>0</v>
      </c>
      <c r="N14">
        <f ca="1">COUNTIFS(INDIRECT("Table1[Beginn]"),"&lt;="&amp;N$1,INDIRECT("Table1[Ende]"),"&gt;="&amp;N$1,INDIRECT("Table1[Obergruppe ATC-Code]"),Tabelle3!$A14)</f>
        <v>0</v>
      </c>
      <c r="O14">
        <f ca="1">COUNTIFS(INDIRECT("Table1[Beginn]"),"&lt;="&amp;O$1,INDIRECT("Table1[Ende]"),"&gt;="&amp;O$1,INDIRECT("Table1[Obergruppe ATC-Code]"),Tabelle3!$A14)</f>
        <v>0</v>
      </c>
      <c r="P14">
        <f ca="1">COUNTIFS(INDIRECT("Table1[Beginn]"),"&lt;="&amp;P$1,INDIRECT("Table1[Ende]"),"&gt;="&amp;P$1,INDIRECT("Table1[Obergruppe ATC-Code]"),Tabelle3!$A14)</f>
        <v>0</v>
      </c>
      <c r="Q14">
        <f ca="1">COUNTIFS(INDIRECT("Table1[Beginn]"),"&lt;="&amp;Q$1,INDIRECT("Table1[Ende]"),"&gt;="&amp;Q$1,INDIRECT("Table1[Obergruppe ATC-Code]"),Tabelle3!$A14)</f>
        <v>0</v>
      </c>
      <c r="R14">
        <f ca="1">COUNTIFS(INDIRECT("Table1[Beginn]"),"&lt;="&amp;R$1,INDIRECT("Table1[Ende]"),"&gt;="&amp;R$1,INDIRECT("Table1[Obergruppe ATC-Code]"),Tabelle3!$A14)</f>
        <v>0</v>
      </c>
      <c r="S14">
        <f ca="1">COUNTIFS(INDIRECT("Table1[Beginn]"),"&lt;="&amp;S$1,INDIRECT("Table1[Ende]"),"&gt;="&amp;S$1,INDIRECT("Table1[Obergruppe ATC-Code]"),Tabelle3!$A14)</f>
        <v>0</v>
      </c>
      <c r="T14">
        <f ca="1">COUNTIFS(INDIRECT("Table1[Beginn]"),"&lt;="&amp;T$1,INDIRECT("Table1[Ende]"),"&gt;="&amp;T$1,INDIRECT("Table1[Obergruppe ATC-Code]"),Tabelle3!$A14)</f>
        <v>0</v>
      </c>
      <c r="U14">
        <f ca="1">COUNTIFS(INDIRECT("Table1[Beginn]"),"&lt;="&amp;U$1,INDIRECT("Table1[Ende]"),"&gt;="&amp;U$1,INDIRECT("Table1[Obergruppe ATC-Code]"),Tabelle3!$A14)</f>
        <v>0</v>
      </c>
      <c r="V14">
        <f ca="1">COUNTIFS(INDIRECT("Table1[Beginn]"),"&lt;="&amp;V$1,INDIRECT("Table1[Ende]"),"&gt;="&amp;V$1,INDIRECT("Table1[Obergruppe ATC-Code]"),Tabelle3!$A14)</f>
        <v>0</v>
      </c>
      <c r="W14">
        <f ca="1">COUNTIFS(INDIRECT("Table1[Beginn]"),"&lt;="&amp;W$1,INDIRECT("Table1[Ende]"),"&gt;="&amp;W$1,INDIRECT("Table1[Obergruppe ATC-Code]"),Tabelle3!$A14)</f>
        <v>0</v>
      </c>
      <c r="X14">
        <f ca="1">COUNTIFS(INDIRECT("Table1[Beginn]"),"&lt;="&amp;X$1,INDIRECT("Table1[Ende]"),"&gt;="&amp;X$1,INDIRECT("Table1[Obergruppe ATC-Code]"),Tabelle3!$A14)</f>
        <v>0</v>
      </c>
      <c r="Y14">
        <f ca="1">COUNTIFS(INDIRECT("Table1[Beginn]"),"&lt;="&amp;Y$1,INDIRECT("Table1[Ende]"),"&gt;="&amp;Y$1,INDIRECT("Table1[Obergruppe ATC-Code]"),Tabelle3!$A14)</f>
        <v>0</v>
      </c>
      <c r="Z14">
        <f ca="1">COUNTIFS(INDIRECT("Table1[Beginn]"),"&lt;="&amp;Z$1,INDIRECT("Table1[Ende]"),"&gt;="&amp;Z$1,INDIRECT("Table1[Obergruppe ATC-Code]"),Tabelle3!$A14)</f>
        <v>0</v>
      </c>
      <c r="AA14">
        <f ca="1">COUNTIFS(INDIRECT("Table1[Beginn]"),"&lt;="&amp;AA$1,INDIRECT("Table1[Ende]"),"&gt;="&amp;AA$1,INDIRECT("Table1[Obergruppe ATC-Code]"),Tabelle3!$A14)</f>
        <v>0</v>
      </c>
      <c r="AB14">
        <f ca="1">COUNTIFS(INDIRECT("Table1[Beginn]"),"&lt;="&amp;AB$1,INDIRECT("Table1[Ende]"),"&gt;="&amp;AB$1,INDIRECT("Table1[Obergruppe ATC-Code]"),Tabelle3!$A14)</f>
        <v>0</v>
      </c>
      <c r="AC14">
        <f ca="1">COUNTIFS(INDIRECT("Table1[Beginn]"),"&lt;="&amp;AC$1,INDIRECT("Table1[Ende]"),"&gt;="&amp;AC$1,INDIRECT("Table1[Obergruppe ATC-Code]"),Tabelle3!$A14)</f>
        <v>0</v>
      </c>
      <c r="AD14">
        <f ca="1">COUNTIFS(INDIRECT("Table1[Beginn]"),"&lt;="&amp;AD$1,INDIRECT("Table1[Ende]"),"&gt;="&amp;AD$1,INDIRECT("Table1[Obergruppe ATC-Code]"),Tabelle3!$A14)</f>
        <v>0</v>
      </c>
      <c r="AE14">
        <f ca="1">COUNTIFS(INDIRECT("Table1[Beginn]"),"&lt;="&amp;AE$1,INDIRECT("Table1[Ende]"),"&gt;="&amp;AE$1,INDIRECT("Table1[Obergruppe ATC-Code]"),Tabelle3!$A14)</f>
        <v>0</v>
      </c>
      <c r="AF14">
        <f ca="1">COUNTIFS(INDIRECT("Table1[Beginn]"),"&lt;="&amp;AF$1,INDIRECT("Table1[Ende]"),"&gt;="&amp;AF$1,INDIRECT("Table1[Obergruppe ATC-Code]"),Tabelle3!$A14)</f>
        <v>0</v>
      </c>
      <c r="AG14">
        <f ca="1">COUNTIFS(INDIRECT("Table1[Beginn]"),"&lt;="&amp;AG$1,INDIRECT("Table1[Ende]"),"&gt;="&amp;AG$1,INDIRECT("Table1[Obergruppe ATC-Code]"),Tabelle3!$A14)</f>
        <v>0</v>
      </c>
      <c r="AH14">
        <f ca="1">COUNTIFS(INDIRECT("Table1[Beginn]"),"&lt;="&amp;AH$1,INDIRECT("Table1[Ende]"),"&gt;="&amp;AH$1,INDIRECT("Table1[Obergruppe ATC-Code]"),Tabelle3!$A14)</f>
        <v>0</v>
      </c>
      <c r="AI14">
        <f ca="1">COUNTIFS(INDIRECT("Table1[Beginn]"),"&lt;="&amp;AI$1,INDIRECT("Table1[Ende]"),"&gt;="&amp;AI$1,INDIRECT("Table1[Obergruppe ATC-Code]"),Tabelle3!$A14)</f>
        <v>0</v>
      </c>
      <c r="AJ14">
        <f ca="1">COUNTIFS(INDIRECT("Table1[Beginn]"),"&lt;="&amp;AJ$1,INDIRECT("Table1[Ende]"),"&gt;="&amp;AJ$1,INDIRECT("Table1[Obergruppe ATC-Code]"),Tabelle3!$A14)</f>
        <v>0</v>
      </c>
      <c r="AK14">
        <f ca="1">COUNTIFS(INDIRECT("Table1[Beginn]"),"&lt;="&amp;AK$1,INDIRECT("Table1[Ende]"),"&gt;="&amp;AK$1,INDIRECT("Table1[Obergruppe ATC-Code]"),Tabelle3!$A14)</f>
        <v>0</v>
      </c>
      <c r="AL14">
        <f ca="1">COUNTIFS(INDIRECT("Table1[Beginn]"),"&lt;="&amp;AL$1,INDIRECT("Table1[Ende]"),"&gt;="&amp;AL$1,INDIRECT("Table1[Obergruppe ATC-Code]"),Tabelle3!$A14)</f>
        <v>0</v>
      </c>
      <c r="AM14">
        <f ca="1">COUNTIFS(INDIRECT("Table1[Beginn]"),"&lt;="&amp;AM$1,INDIRECT("Table1[Ende]"),"&gt;="&amp;AM$1,INDIRECT("Table1[Obergruppe ATC-Code]"),Tabelle3!$A14)</f>
        <v>0</v>
      </c>
      <c r="AN14">
        <f ca="1">COUNTIFS(INDIRECT("Table1[Beginn]"),"&lt;="&amp;AN$1,INDIRECT("Table1[Ende]"),"&gt;="&amp;AN$1,INDIRECT("Table1[Obergruppe ATC-Code]"),Tabelle3!$A14)</f>
        <v>0</v>
      </c>
      <c r="AO14">
        <f ca="1">COUNTIFS(INDIRECT("Table1[Beginn]"),"&lt;="&amp;AO$1,INDIRECT("Table1[Ende]"),"&gt;="&amp;AO$1,INDIRECT("Table1[Obergruppe ATC-Code]"),Tabelle3!$A14)</f>
        <v>0</v>
      </c>
      <c r="AP14">
        <f ca="1">COUNTIFS(INDIRECT("Table1[Beginn]"),"&lt;="&amp;AP$1,INDIRECT("Table1[Ende]"),"&gt;="&amp;AP$1,INDIRECT("Table1[Obergruppe ATC-Code]"),Tabelle3!$A14)</f>
        <v>0</v>
      </c>
      <c r="AQ14">
        <f ca="1">COUNTIFS(INDIRECT("Table1[Beginn]"),"&lt;="&amp;AQ$1,INDIRECT("Table1[Ende]"),"&gt;="&amp;AQ$1,INDIRECT("Table1[Obergruppe ATC-Code]"),Tabelle3!$A14)</f>
        <v>0</v>
      </c>
      <c r="AR14">
        <f ca="1">COUNTIFS(INDIRECT("Table1[Beginn]"),"&lt;="&amp;AR$1,INDIRECT("Table1[Ende]"),"&gt;="&amp;AR$1,INDIRECT("Table1[Obergruppe ATC-Code]"),Tabelle3!$A14)</f>
        <v>0</v>
      </c>
      <c r="AS14">
        <f ca="1">COUNTIFS(INDIRECT("Table1[Beginn]"),"&lt;="&amp;AS$1,INDIRECT("Table1[Ende]"),"&gt;="&amp;AS$1,INDIRECT("Table1[Obergruppe ATC-Code]"),Tabelle3!$A14)</f>
        <v>0</v>
      </c>
      <c r="AT14">
        <f ca="1">COUNTIFS(INDIRECT("Table1[Beginn]"),"&lt;="&amp;AT$1,INDIRECT("Table1[Ende]"),"&gt;="&amp;AT$1,INDIRECT("Table1[Obergruppe ATC-Code]"),Tabelle3!$A14)</f>
        <v>0</v>
      </c>
      <c r="AU14">
        <f ca="1">COUNTIFS(INDIRECT("Table1[Beginn]"),"&lt;="&amp;AU$1,INDIRECT("Table1[Ende]"),"&gt;="&amp;AU$1,INDIRECT("Table1[Obergruppe ATC-Code]"),Tabelle3!$A14)</f>
        <v>0</v>
      </c>
      <c r="AV14">
        <f ca="1">COUNTIFS(INDIRECT("Table1[Beginn]"),"&lt;="&amp;AV$1,INDIRECT("Table1[Ende]"),"&gt;="&amp;AV$1,INDIRECT("Table1[Obergruppe ATC-Code]"),Tabelle3!$A14)</f>
        <v>0</v>
      </c>
      <c r="AW14">
        <f ca="1">COUNTIFS(INDIRECT("Table1[Beginn]"),"&lt;="&amp;AW$1,INDIRECT("Table1[Ende]"),"&gt;="&amp;AW$1,INDIRECT("Table1[Obergruppe ATC-Code]"),Tabelle3!$A14)</f>
        <v>0</v>
      </c>
      <c r="AX14">
        <f ca="1">COUNTIFS(INDIRECT("Table1[Beginn]"),"&lt;="&amp;AX$1,INDIRECT("Table1[Ende]"),"&gt;="&amp;AX$1,INDIRECT("Table1[Obergruppe ATC-Code]"),Tabelle3!$A14)</f>
        <v>0</v>
      </c>
      <c r="AY14">
        <f ca="1">COUNTIFS(INDIRECT("Table1[Beginn]"),"&lt;="&amp;AY$1,INDIRECT("Table1[Ende]"),"&gt;="&amp;AY$1,INDIRECT("Table1[Obergruppe ATC-Code]"),Tabelle3!$A14)</f>
        <v>0</v>
      </c>
      <c r="AZ14">
        <f ca="1">COUNTIFS(INDIRECT("Table1[Beginn]"),"&lt;="&amp;AZ$1,INDIRECT("Table1[Ende]"),"&gt;="&amp;AZ$1,INDIRECT("Table1[Obergruppe ATC-Code]"),Tabelle3!$A14)</f>
        <v>0</v>
      </c>
      <c r="BA14">
        <f ca="1">COUNTIFS(INDIRECT("Table1[Beginn]"),"&lt;="&amp;BA$1,INDIRECT("Table1[Ende]"),"&gt;="&amp;BA$1,INDIRECT("Table1[Obergruppe ATC-Code]"),Tabelle3!$A14)</f>
        <v>0</v>
      </c>
      <c r="BB14">
        <f ca="1">COUNTIFS(INDIRECT("Table1[Beginn]"),"&lt;="&amp;BB$1,INDIRECT("Table1[Ende]"),"&gt;="&amp;BB$1,INDIRECT("Table1[Obergruppe ATC-Code]"),Tabelle3!$A14)</f>
        <v>0</v>
      </c>
      <c r="BC14">
        <f ca="1">COUNTIFS(INDIRECT("Table1[Beginn]"),"&lt;="&amp;BC$1,INDIRECT("Table1[Ende]"),"&gt;="&amp;BC$1,INDIRECT("Table1[Obergruppe ATC-Code]"),Tabelle3!$A14)</f>
        <v>0</v>
      </c>
      <c r="BD14">
        <f ca="1">COUNTIFS(INDIRECT("Table1[Beginn]"),"&lt;="&amp;BD$1,INDIRECT("Table1[Ende]"),"&gt;="&amp;BD$1,INDIRECT("Table1[Obergruppe ATC-Code]"),Tabelle3!$A14)</f>
        <v>0</v>
      </c>
      <c r="BE14">
        <f ca="1">COUNTIFS(INDIRECT("Table1[Beginn]"),"&lt;="&amp;BE$1,INDIRECT("Table1[Ende]"),"&gt;="&amp;BE$1,INDIRECT("Table1[Obergruppe ATC-Code]"),Tabelle3!$A14)</f>
        <v>0</v>
      </c>
      <c r="BF14">
        <f ca="1">COUNTIFS(INDIRECT("Table1[Beginn]"),"&lt;="&amp;BF$1,INDIRECT("Table1[Ende]"),"&gt;="&amp;BF$1,INDIRECT("Table1[Obergruppe ATC-Code]"),Tabelle3!$A14)</f>
        <v>0</v>
      </c>
      <c r="BG14">
        <f ca="1">COUNTIFS(INDIRECT("Table1[Beginn]"),"&lt;="&amp;BG$1,INDIRECT("Table1[Ende]"),"&gt;="&amp;BG$1,INDIRECT("Table1[Obergruppe ATC-Code]"),Tabelle3!$A14)</f>
        <v>0</v>
      </c>
      <c r="BH14">
        <f ca="1">COUNTIFS(INDIRECT("Table1[Beginn]"),"&lt;="&amp;BH$1,INDIRECT("Table1[Ende]"),"&gt;="&amp;BH$1,INDIRECT("Table1[Obergruppe ATC-Code]"),Tabelle3!$A14)</f>
        <v>0</v>
      </c>
      <c r="BI14">
        <f ca="1">COUNTIFS(INDIRECT("Table1[Beginn]"),"&lt;="&amp;BI$1,INDIRECT("Table1[Ende]"),"&gt;="&amp;BI$1,INDIRECT("Table1[Obergruppe ATC-Code]"),Tabelle3!$A14)</f>
        <v>0</v>
      </c>
      <c r="BJ14">
        <f ca="1">COUNTIFS(INDIRECT("Table1[Beginn]"),"&lt;="&amp;BJ$1,INDIRECT("Table1[Ende]"),"&gt;="&amp;BJ$1,INDIRECT("Table1[Obergruppe ATC-Code]"),Tabelle3!$A14)</f>
        <v>0</v>
      </c>
      <c r="BK14">
        <f ca="1">COUNTIFS(INDIRECT("Table1[Beginn]"),"&lt;="&amp;BK$1,INDIRECT("Table1[Ende]"),"&gt;="&amp;BK$1,INDIRECT("Table1[Obergruppe ATC-Code]"),Tabelle3!$A14)</f>
        <v>0</v>
      </c>
      <c r="BL14">
        <f ca="1">COUNTIFS(INDIRECT("Table1[Beginn]"),"&lt;="&amp;BL$1,INDIRECT("Table1[Ende]"),"&gt;="&amp;BL$1,INDIRECT("Table1[Obergruppe ATC-Code]"),Tabelle3!$A14)</f>
        <v>0</v>
      </c>
      <c r="BM14">
        <f ca="1">COUNTIFS(INDIRECT("Table1[Beginn]"),"&lt;="&amp;BM$1,INDIRECT("Table1[Ende]"),"&gt;="&amp;BM$1,INDIRECT("Table1[Obergruppe ATC-Code]"),Tabelle3!$A14)</f>
        <v>0</v>
      </c>
      <c r="BN14">
        <f ca="1">COUNTIFS(INDIRECT("Table1[Beginn]"),"&lt;="&amp;BN$1,INDIRECT("Table1[Ende]"),"&gt;="&amp;BN$1,INDIRECT("Table1[Obergruppe ATC-Code]"),Tabelle3!$A14)</f>
        <v>0</v>
      </c>
      <c r="BO14">
        <f ca="1">COUNTIFS(INDIRECT("Table1[Beginn]"),"&lt;="&amp;BO$1,INDIRECT("Table1[Ende]"),"&gt;="&amp;BO$1,INDIRECT("Table1[Obergruppe ATC-Code]"),Tabelle3!$A14)</f>
        <v>0</v>
      </c>
      <c r="BP14">
        <f ca="1">COUNTIFS(INDIRECT("Table1[Beginn]"),"&lt;="&amp;BP$1,INDIRECT("Table1[Ende]"),"&gt;="&amp;BP$1,INDIRECT("Table1[Obergruppe ATC-Code]"),Tabelle3!$A14)</f>
        <v>0</v>
      </c>
      <c r="BQ14">
        <f ca="1">COUNTIFS(INDIRECT("Table1[Beginn]"),"&lt;="&amp;BQ$1,INDIRECT("Table1[Ende]"),"&gt;="&amp;BQ$1,INDIRECT("Table1[Obergruppe ATC-Code]"),Tabelle3!$A14)</f>
        <v>0</v>
      </c>
      <c r="BR14">
        <f ca="1">COUNTIFS(INDIRECT("Table1[Beginn]"),"&lt;="&amp;BR$1,INDIRECT("Table1[Ende]"),"&gt;="&amp;BR$1,INDIRECT("Table1[Obergruppe ATC-Code]"),Tabelle3!$A14)</f>
        <v>0</v>
      </c>
      <c r="BS14">
        <f ca="1">COUNTIFS(INDIRECT("Table1[Beginn]"),"&lt;="&amp;BS$1,INDIRECT("Table1[Ende]"),"&gt;="&amp;BS$1,INDIRECT("Table1[Obergruppe ATC-Code]"),Tabelle3!$A14)</f>
        <v>0</v>
      </c>
      <c r="BT14">
        <f ca="1">COUNTIFS(INDIRECT("Table1[Beginn]"),"&lt;="&amp;BT$1,INDIRECT("Table1[Ende]"),"&gt;="&amp;BT$1,INDIRECT("Table1[Obergruppe ATC-Code]"),Tabelle3!$A14)</f>
        <v>0</v>
      </c>
      <c r="BU14">
        <f ca="1">COUNTIFS(INDIRECT("Table1[Beginn]"),"&lt;="&amp;BU$1,INDIRECT("Table1[Ende]"),"&gt;="&amp;BU$1,INDIRECT("Table1[Obergruppe ATC-Code]"),Tabelle3!$A14)</f>
        <v>0</v>
      </c>
      <c r="BV14">
        <f ca="1">COUNTIFS(INDIRECT("Table1[Beginn]"),"&lt;="&amp;BV$1,INDIRECT("Table1[Ende]"),"&gt;="&amp;BV$1,INDIRECT("Table1[Obergruppe ATC-Code]"),Tabelle3!$A14)</f>
        <v>0</v>
      </c>
      <c r="BW14">
        <f ca="1">COUNTIFS(INDIRECT("Table1[Beginn]"),"&lt;="&amp;BW$1,INDIRECT("Table1[Ende]"),"&gt;="&amp;BW$1,INDIRECT("Table1[Obergruppe ATC-Code]"),Tabelle3!$A14)</f>
        <v>0</v>
      </c>
      <c r="BX14">
        <f ca="1">COUNTIFS(INDIRECT("Table1[Beginn]"),"&lt;="&amp;BX$1,INDIRECT("Table1[Ende]"),"&gt;="&amp;BX$1,INDIRECT("Table1[Obergruppe ATC-Code]"),Tabelle3!$A14)</f>
        <v>0</v>
      </c>
      <c r="BY14">
        <f ca="1">COUNTIFS(INDIRECT("Table1[Beginn]"),"&lt;="&amp;BY$1,INDIRECT("Table1[Ende]"),"&gt;="&amp;BY$1,INDIRECT("Table1[Obergruppe ATC-Code]"),Tabelle3!$A14)</f>
        <v>0</v>
      </c>
      <c r="BZ14">
        <f ca="1">COUNTIFS(INDIRECT("Table1[Beginn]"),"&lt;="&amp;BZ$1,INDIRECT("Table1[Ende]"),"&gt;="&amp;BZ$1,INDIRECT("Table1[Obergruppe ATC-Code]"),Tabelle3!$A14)</f>
        <v>0</v>
      </c>
      <c r="CA14">
        <f ca="1">COUNTIFS(INDIRECT("Table1[Beginn]"),"&lt;="&amp;CA$1,INDIRECT("Table1[Ende]"),"&gt;="&amp;CA$1,INDIRECT("Table1[Obergruppe ATC-Code]"),Tabelle3!$A14)</f>
        <v>0</v>
      </c>
      <c r="CB14">
        <f ca="1">COUNTIFS(INDIRECT("Table1[Beginn]"),"&lt;="&amp;CB$1,INDIRECT("Table1[Ende]"),"&gt;="&amp;CB$1,INDIRECT("Table1[Obergruppe ATC-Code]"),Tabelle3!$A14)</f>
        <v>0</v>
      </c>
      <c r="CC14">
        <f ca="1">COUNTIFS(INDIRECT("Table1[Beginn]"),"&lt;="&amp;CC$1,INDIRECT("Table1[Ende]"),"&gt;="&amp;CC$1,INDIRECT("Table1[Obergruppe ATC-Code]"),Tabelle3!$A14)</f>
        <v>0</v>
      </c>
      <c r="CD14">
        <f ca="1">COUNTIFS(INDIRECT("Table1[Beginn]"),"&lt;="&amp;CD$1,INDIRECT("Table1[Ende]"),"&gt;="&amp;CD$1,INDIRECT("Table1[Obergruppe ATC-Code]"),Tabelle3!$A14)</f>
        <v>0</v>
      </c>
      <c r="CE14">
        <f ca="1">COUNTIFS(INDIRECT("Table1[Beginn]"),"&lt;="&amp;CE$1,INDIRECT("Table1[Ende]"),"&gt;="&amp;CE$1,INDIRECT("Table1[Obergruppe ATC-Code]"),Tabelle3!$A14)</f>
        <v>0</v>
      </c>
      <c r="CF14">
        <f ca="1">COUNTIFS(INDIRECT("Table1[Beginn]"),"&lt;="&amp;CF$1,INDIRECT("Table1[Ende]"),"&gt;="&amp;CF$1,INDIRECT("Table1[Obergruppe ATC-Code]"),Tabelle3!$A14)</f>
        <v>0</v>
      </c>
      <c r="CG14">
        <f ca="1">COUNTIFS(INDIRECT("Table1[Beginn]"),"&lt;="&amp;CG$1,INDIRECT("Table1[Ende]"),"&gt;="&amp;CG$1,INDIRECT("Table1[Obergruppe ATC-Code]"),Tabelle3!$A14)</f>
        <v>0</v>
      </c>
      <c r="CH14">
        <f ca="1">COUNTIFS(INDIRECT("Table1[Beginn]"),"&lt;="&amp;CH$1,INDIRECT("Table1[Ende]"),"&gt;="&amp;CH$1,INDIRECT("Table1[Obergruppe ATC-Code]"),Tabelle3!$A14)</f>
        <v>0</v>
      </c>
      <c r="CI14">
        <f ca="1">COUNTIFS(INDIRECT("Table1[Beginn]"),"&lt;="&amp;CI$1,INDIRECT("Table1[Ende]"),"&gt;="&amp;CI$1,INDIRECT("Table1[Obergruppe ATC-Code]"),Tabelle3!$A14)</f>
        <v>0</v>
      </c>
      <c r="CJ14">
        <f ca="1">COUNTIFS(INDIRECT("Table1[Beginn]"),"&lt;="&amp;CJ$1,INDIRECT("Table1[Ende]"),"&gt;="&amp;CJ$1,INDIRECT("Table1[Obergruppe ATC-Code]"),Tabelle3!$A14)</f>
        <v>0</v>
      </c>
      <c r="CK14">
        <f ca="1">COUNTIFS(INDIRECT("Table1[Beginn]"),"&lt;="&amp;CK$1,INDIRECT("Table1[Ende]"),"&gt;="&amp;CK$1,INDIRECT("Table1[Obergruppe ATC-Code]"),Tabelle3!$A14)</f>
        <v>0</v>
      </c>
      <c r="CL14">
        <f ca="1">COUNTIFS(INDIRECT("Table1[Beginn]"),"&lt;="&amp;CL$1,INDIRECT("Table1[Ende]"),"&gt;="&amp;CL$1,INDIRECT("Table1[Obergruppe ATC-Code]"),Tabelle3!$A14)</f>
        <v>0</v>
      </c>
      <c r="CM14">
        <f ca="1">COUNTIFS(INDIRECT("Table1[Beginn]"),"&lt;="&amp;CM$1,INDIRECT("Table1[Ende]"),"&gt;="&amp;CM$1,INDIRECT("Table1[Obergruppe ATC-Code]"),Tabelle3!$A14)</f>
        <v>0</v>
      </c>
      <c r="CN14">
        <f ca="1">COUNTIFS(INDIRECT("Table1[Beginn]"),"&lt;="&amp;CN$1,INDIRECT("Table1[Ende]"),"&gt;="&amp;CN$1,INDIRECT("Table1[Obergruppe ATC-Code]"),Tabelle3!$A14)</f>
        <v>0</v>
      </c>
      <c r="CO14">
        <f ca="1">COUNTIFS(INDIRECT("Table1[Beginn]"),"&lt;="&amp;CO$1,INDIRECT("Table1[Ende]"),"&gt;="&amp;CO$1,INDIRECT("Table1[Obergruppe ATC-Code]"),Tabelle3!$A14)</f>
        <v>0</v>
      </c>
      <c r="CP14">
        <f ca="1">COUNTIFS(INDIRECT("Table1[Beginn]"),"&lt;="&amp;CP$1,INDIRECT("Table1[Ende]"),"&gt;="&amp;CP$1,INDIRECT("Table1[Obergruppe ATC-Code]"),Tabelle3!$A14)</f>
        <v>0</v>
      </c>
      <c r="CQ14">
        <f ca="1">COUNTIFS(INDIRECT("Table1[Beginn]"),"&lt;="&amp;CQ$1,INDIRECT("Table1[Ende]"),"&gt;="&amp;CQ$1,INDIRECT("Table1[Obergruppe ATC-Code]"),Tabelle3!$A14)</f>
        <v>0</v>
      </c>
      <c r="CR14">
        <f ca="1">COUNTIFS(INDIRECT("Table1[Beginn]"),"&lt;="&amp;CR$1,INDIRECT("Table1[Ende]"),"&gt;="&amp;CR$1,INDIRECT("Table1[Obergruppe ATC-Code]"),Tabelle3!$A14)</f>
        <v>0</v>
      </c>
      <c r="CS14">
        <f ca="1">COUNTIFS(INDIRECT("Table1[Beginn]"),"&lt;="&amp;CS$1,INDIRECT("Table1[Ende]"),"&gt;="&amp;CS$1,INDIRECT("Table1[Obergruppe ATC-Code]"),Tabelle3!$A14)</f>
        <v>0</v>
      </c>
      <c r="CT14">
        <f ca="1">COUNTIFS(INDIRECT("Table1[Beginn]"),"&lt;="&amp;CT$1,INDIRECT("Table1[Ende]"),"&gt;="&amp;CT$1,INDIRECT("Table1[Obergruppe ATC-Code]"),Tabelle3!$A14)</f>
        <v>0</v>
      </c>
      <c r="CU14" s="54"/>
      <c r="CV14" s="54"/>
      <c r="CW14" s="54"/>
      <c r="CX14" s="54"/>
      <c r="CY14" s="54"/>
      <c r="CZ14" s="54"/>
      <c r="DA14" s="54"/>
      <c r="DB14" s="54"/>
      <c r="DC14" s="54"/>
      <c r="DD14" s="54"/>
      <c r="DE14" s="54"/>
      <c r="DF14" s="54"/>
      <c r="DG14" s="54"/>
      <c r="DH14" s="54"/>
    </row>
    <row r="15" spans="1:112" ht="18" customHeight="1">
      <c r="A15" s="9" t="s">
        <v>6798</v>
      </c>
      <c r="B15" s="10" t="s">
        <v>6799</v>
      </c>
      <c r="C15">
        <f ca="1">COUNTIFS(INDIRECT("Table1[Beginn]"),"&lt;="&amp;C$1,INDIRECT("Table1[Ende]"),"&gt;="&amp;C$1,INDIRECT("Table1[Obergruppe ATC-Code]"),Tabelle3!$A15)</f>
        <v>0</v>
      </c>
      <c r="D15">
        <f ca="1">COUNTIFS(INDIRECT("Table1[Beginn]"),"&lt;="&amp;D$1,INDIRECT("Table1[Ende]"),"&gt;="&amp;D$1,INDIRECT("Table1[Obergruppe ATC-Code]"),Tabelle3!$A15)</f>
        <v>0</v>
      </c>
      <c r="E15">
        <f ca="1">COUNTIFS(INDIRECT("Table1[Beginn]"),"&lt;="&amp;E$1,INDIRECT("Table1[Ende]"),"&gt;="&amp;E$1,INDIRECT("Table1[Obergruppe ATC-Code]"),Tabelle3!$A15)</f>
        <v>0</v>
      </c>
      <c r="F15">
        <f ca="1">COUNTIFS(INDIRECT("Table1[Beginn]"),"&lt;="&amp;F$1,INDIRECT("Table1[Ende]"),"&gt;="&amp;F$1,INDIRECT("Table1[Obergruppe ATC-Code]"),Tabelle3!$A15)</f>
        <v>0</v>
      </c>
      <c r="G15">
        <f ca="1">COUNTIFS(INDIRECT("Table1[Beginn]"),"&lt;="&amp;G$1,INDIRECT("Table1[Ende]"),"&gt;="&amp;G$1,INDIRECT("Table1[Obergruppe ATC-Code]"),Tabelle3!$A15)</f>
        <v>0</v>
      </c>
      <c r="H15">
        <f ca="1">COUNTIFS(INDIRECT("Table1[Beginn]"),"&lt;="&amp;H$1,INDIRECT("Table1[Ende]"),"&gt;="&amp;H$1,INDIRECT("Table1[Obergruppe ATC-Code]"),Tabelle3!$A15)</f>
        <v>0</v>
      </c>
      <c r="I15">
        <f ca="1">COUNTIFS(INDIRECT("Table1[Beginn]"),"&lt;="&amp;I$1,INDIRECT("Table1[Ende]"),"&gt;="&amp;I$1,INDIRECT("Table1[Obergruppe ATC-Code]"),Tabelle3!$A15)</f>
        <v>0</v>
      </c>
      <c r="J15">
        <f ca="1">COUNTIFS(INDIRECT("Table1[Beginn]"),"&lt;="&amp;J$1,INDIRECT("Table1[Ende]"),"&gt;="&amp;J$1,INDIRECT("Table1[Obergruppe ATC-Code]"),Tabelle3!$A15)</f>
        <v>0</v>
      </c>
      <c r="K15">
        <f ca="1">COUNTIFS(INDIRECT("Table1[Beginn]"),"&lt;="&amp;K$1,INDIRECT("Table1[Ende]"),"&gt;="&amp;K$1,INDIRECT("Table1[Obergruppe ATC-Code]"),Tabelle3!$A15)</f>
        <v>0</v>
      </c>
      <c r="L15">
        <f ca="1">COUNTIFS(INDIRECT("Table1[Beginn]"),"&lt;="&amp;L$1,INDIRECT("Table1[Ende]"),"&gt;="&amp;L$1,INDIRECT("Table1[Obergruppe ATC-Code]"),Tabelle3!$A15)</f>
        <v>0</v>
      </c>
      <c r="M15">
        <f ca="1">COUNTIFS(INDIRECT("Table1[Beginn]"),"&lt;="&amp;M$1,INDIRECT("Table1[Ende]"),"&gt;="&amp;M$1,INDIRECT("Table1[Obergruppe ATC-Code]"),Tabelle3!$A15)</f>
        <v>0</v>
      </c>
      <c r="N15">
        <f ca="1">COUNTIFS(INDIRECT("Table1[Beginn]"),"&lt;="&amp;N$1,INDIRECT("Table1[Ende]"),"&gt;="&amp;N$1,INDIRECT("Table1[Obergruppe ATC-Code]"),Tabelle3!$A15)</f>
        <v>0</v>
      </c>
      <c r="O15">
        <f ca="1">COUNTIFS(INDIRECT("Table1[Beginn]"),"&lt;="&amp;O$1,INDIRECT("Table1[Ende]"),"&gt;="&amp;O$1,INDIRECT("Table1[Obergruppe ATC-Code]"),Tabelle3!$A15)</f>
        <v>0</v>
      </c>
      <c r="P15">
        <f ca="1">COUNTIFS(INDIRECT("Table1[Beginn]"),"&lt;="&amp;P$1,INDIRECT("Table1[Ende]"),"&gt;="&amp;P$1,INDIRECT("Table1[Obergruppe ATC-Code]"),Tabelle3!$A15)</f>
        <v>0</v>
      </c>
      <c r="Q15">
        <f ca="1">COUNTIFS(INDIRECT("Table1[Beginn]"),"&lt;="&amp;Q$1,INDIRECT("Table1[Ende]"),"&gt;="&amp;Q$1,INDIRECT("Table1[Obergruppe ATC-Code]"),Tabelle3!$A15)</f>
        <v>0</v>
      </c>
      <c r="R15">
        <f ca="1">COUNTIFS(INDIRECT("Table1[Beginn]"),"&lt;="&amp;R$1,INDIRECT("Table1[Ende]"),"&gt;="&amp;R$1,INDIRECT("Table1[Obergruppe ATC-Code]"),Tabelle3!$A15)</f>
        <v>0</v>
      </c>
      <c r="S15">
        <f ca="1">COUNTIFS(INDIRECT("Table1[Beginn]"),"&lt;="&amp;S$1,INDIRECT("Table1[Ende]"),"&gt;="&amp;S$1,INDIRECT("Table1[Obergruppe ATC-Code]"),Tabelle3!$A15)</f>
        <v>0</v>
      </c>
      <c r="T15">
        <f ca="1">COUNTIFS(INDIRECT("Table1[Beginn]"),"&lt;="&amp;T$1,INDIRECT("Table1[Ende]"),"&gt;="&amp;T$1,INDIRECT("Table1[Obergruppe ATC-Code]"),Tabelle3!$A15)</f>
        <v>0</v>
      </c>
      <c r="U15">
        <f ca="1">COUNTIFS(INDIRECT("Table1[Beginn]"),"&lt;="&amp;U$1,INDIRECT("Table1[Ende]"),"&gt;="&amp;U$1,INDIRECT("Table1[Obergruppe ATC-Code]"),Tabelle3!$A15)</f>
        <v>0</v>
      </c>
      <c r="V15">
        <f ca="1">COUNTIFS(INDIRECT("Table1[Beginn]"),"&lt;="&amp;V$1,INDIRECT("Table1[Ende]"),"&gt;="&amp;V$1,INDIRECT("Table1[Obergruppe ATC-Code]"),Tabelle3!$A15)</f>
        <v>0</v>
      </c>
      <c r="W15">
        <f ca="1">COUNTIFS(INDIRECT("Table1[Beginn]"),"&lt;="&amp;W$1,INDIRECT("Table1[Ende]"),"&gt;="&amp;W$1,INDIRECT("Table1[Obergruppe ATC-Code]"),Tabelle3!$A15)</f>
        <v>0</v>
      </c>
      <c r="X15">
        <f ca="1">COUNTIFS(INDIRECT("Table1[Beginn]"),"&lt;="&amp;X$1,INDIRECT("Table1[Ende]"),"&gt;="&amp;X$1,INDIRECT("Table1[Obergruppe ATC-Code]"),Tabelle3!$A15)</f>
        <v>0</v>
      </c>
      <c r="Y15">
        <f ca="1">COUNTIFS(INDIRECT("Table1[Beginn]"),"&lt;="&amp;Y$1,INDIRECT("Table1[Ende]"),"&gt;="&amp;Y$1,INDIRECT("Table1[Obergruppe ATC-Code]"),Tabelle3!$A15)</f>
        <v>0</v>
      </c>
      <c r="Z15">
        <f ca="1">COUNTIFS(INDIRECT("Table1[Beginn]"),"&lt;="&amp;Z$1,INDIRECT("Table1[Ende]"),"&gt;="&amp;Z$1,INDIRECT("Table1[Obergruppe ATC-Code]"),Tabelle3!$A15)</f>
        <v>0</v>
      </c>
      <c r="AA15">
        <f ca="1">COUNTIFS(INDIRECT("Table1[Beginn]"),"&lt;="&amp;AA$1,INDIRECT("Table1[Ende]"),"&gt;="&amp;AA$1,INDIRECT("Table1[Obergruppe ATC-Code]"),Tabelle3!$A15)</f>
        <v>0</v>
      </c>
      <c r="AB15">
        <f ca="1">COUNTIFS(INDIRECT("Table1[Beginn]"),"&lt;="&amp;AB$1,INDIRECT("Table1[Ende]"),"&gt;="&amp;AB$1,INDIRECT("Table1[Obergruppe ATC-Code]"),Tabelle3!$A15)</f>
        <v>0</v>
      </c>
      <c r="AC15">
        <f ca="1">COUNTIFS(INDIRECT("Table1[Beginn]"),"&lt;="&amp;AC$1,INDIRECT("Table1[Ende]"),"&gt;="&amp;AC$1,INDIRECT("Table1[Obergruppe ATC-Code]"),Tabelle3!$A15)</f>
        <v>0</v>
      </c>
      <c r="AD15">
        <f ca="1">COUNTIFS(INDIRECT("Table1[Beginn]"),"&lt;="&amp;AD$1,INDIRECT("Table1[Ende]"),"&gt;="&amp;AD$1,INDIRECT("Table1[Obergruppe ATC-Code]"),Tabelle3!$A15)</f>
        <v>0</v>
      </c>
      <c r="AE15">
        <f ca="1">COUNTIFS(INDIRECT("Table1[Beginn]"),"&lt;="&amp;AE$1,INDIRECT("Table1[Ende]"),"&gt;="&amp;AE$1,INDIRECT("Table1[Obergruppe ATC-Code]"),Tabelle3!$A15)</f>
        <v>0</v>
      </c>
      <c r="AF15">
        <f ca="1">COUNTIFS(INDIRECT("Table1[Beginn]"),"&lt;="&amp;AF$1,INDIRECT("Table1[Ende]"),"&gt;="&amp;AF$1,INDIRECT("Table1[Obergruppe ATC-Code]"),Tabelle3!$A15)</f>
        <v>0</v>
      </c>
      <c r="AG15">
        <f ca="1">COUNTIFS(INDIRECT("Table1[Beginn]"),"&lt;="&amp;AG$1,INDIRECT("Table1[Ende]"),"&gt;="&amp;AG$1,INDIRECT("Table1[Obergruppe ATC-Code]"),Tabelle3!$A15)</f>
        <v>0</v>
      </c>
      <c r="AH15">
        <f ca="1">COUNTIFS(INDIRECT("Table1[Beginn]"),"&lt;="&amp;AH$1,INDIRECT("Table1[Ende]"),"&gt;="&amp;AH$1,INDIRECT("Table1[Obergruppe ATC-Code]"),Tabelle3!$A15)</f>
        <v>0</v>
      </c>
      <c r="AI15">
        <f ca="1">COUNTIFS(INDIRECT("Table1[Beginn]"),"&lt;="&amp;AI$1,INDIRECT("Table1[Ende]"),"&gt;="&amp;AI$1,INDIRECT("Table1[Obergruppe ATC-Code]"),Tabelle3!$A15)</f>
        <v>0</v>
      </c>
      <c r="AJ15">
        <f ca="1">COUNTIFS(INDIRECT("Table1[Beginn]"),"&lt;="&amp;AJ$1,INDIRECT("Table1[Ende]"),"&gt;="&amp;AJ$1,INDIRECT("Table1[Obergruppe ATC-Code]"),Tabelle3!$A15)</f>
        <v>0</v>
      </c>
      <c r="AK15">
        <f ca="1">COUNTIFS(INDIRECT("Table1[Beginn]"),"&lt;="&amp;AK$1,INDIRECT("Table1[Ende]"),"&gt;="&amp;AK$1,INDIRECT("Table1[Obergruppe ATC-Code]"),Tabelle3!$A15)</f>
        <v>0</v>
      </c>
      <c r="AL15">
        <f ca="1">COUNTIFS(INDIRECT("Table1[Beginn]"),"&lt;="&amp;AL$1,INDIRECT("Table1[Ende]"),"&gt;="&amp;AL$1,INDIRECT("Table1[Obergruppe ATC-Code]"),Tabelle3!$A15)</f>
        <v>0</v>
      </c>
      <c r="AM15">
        <f ca="1">COUNTIFS(INDIRECT("Table1[Beginn]"),"&lt;="&amp;AM$1,INDIRECT("Table1[Ende]"),"&gt;="&amp;AM$1,INDIRECT("Table1[Obergruppe ATC-Code]"),Tabelle3!$A15)</f>
        <v>0</v>
      </c>
      <c r="AN15">
        <f ca="1">COUNTIFS(INDIRECT("Table1[Beginn]"),"&lt;="&amp;AN$1,INDIRECT("Table1[Ende]"),"&gt;="&amp;AN$1,INDIRECT("Table1[Obergruppe ATC-Code]"),Tabelle3!$A15)</f>
        <v>0</v>
      </c>
      <c r="AO15">
        <f ca="1">COUNTIFS(INDIRECT("Table1[Beginn]"),"&lt;="&amp;AO$1,INDIRECT("Table1[Ende]"),"&gt;="&amp;AO$1,INDIRECT("Table1[Obergruppe ATC-Code]"),Tabelle3!$A15)</f>
        <v>0</v>
      </c>
      <c r="AP15">
        <f ca="1">COUNTIFS(INDIRECT("Table1[Beginn]"),"&lt;="&amp;AP$1,INDIRECT("Table1[Ende]"),"&gt;="&amp;AP$1,INDIRECT("Table1[Obergruppe ATC-Code]"),Tabelle3!$A15)</f>
        <v>0</v>
      </c>
      <c r="AQ15">
        <f ca="1">COUNTIFS(INDIRECT("Table1[Beginn]"),"&lt;="&amp;AQ$1,INDIRECT("Table1[Ende]"),"&gt;="&amp;AQ$1,INDIRECT("Table1[Obergruppe ATC-Code]"),Tabelle3!$A15)</f>
        <v>0</v>
      </c>
      <c r="AR15">
        <f ca="1">COUNTIFS(INDIRECT("Table1[Beginn]"),"&lt;="&amp;AR$1,INDIRECT("Table1[Ende]"),"&gt;="&amp;AR$1,INDIRECT("Table1[Obergruppe ATC-Code]"),Tabelle3!$A15)</f>
        <v>0</v>
      </c>
      <c r="AS15">
        <f ca="1">COUNTIFS(INDIRECT("Table1[Beginn]"),"&lt;="&amp;AS$1,INDIRECT("Table1[Ende]"),"&gt;="&amp;AS$1,INDIRECT("Table1[Obergruppe ATC-Code]"),Tabelle3!$A15)</f>
        <v>0</v>
      </c>
      <c r="AT15">
        <f ca="1">COUNTIFS(INDIRECT("Table1[Beginn]"),"&lt;="&amp;AT$1,INDIRECT("Table1[Ende]"),"&gt;="&amp;AT$1,INDIRECT("Table1[Obergruppe ATC-Code]"),Tabelle3!$A15)</f>
        <v>0</v>
      </c>
      <c r="AU15">
        <f ca="1">COUNTIFS(INDIRECT("Table1[Beginn]"),"&lt;="&amp;AU$1,INDIRECT("Table1[Ende]"),"&gt;="&amp;AU$1,INDIRECT("Table1[Obergruppe ATC-Code]"),Tabelle3!$A15)</f>
        <v>0</v>
      </c>
      <c r="AV15">
        <f ca="1">COUNTIFS(INDIRECT("Table1[Beginn]"),"&lt;="&amp;AV$1,INDIRECT("Table1[Ende]"),"&gt;="&amp;AV$1,INDIRECT("Table1[Obergruppe ATC-Code]"),Tabelle3!$A15)</f>
        <v>0</v>
      </c>
      <c r="AW15">
        <f ca="1">COUNTIFS(INDIRECT("Table1[Beginn]"),"&lt;="&amp;AW$1,INDIRECT("Table1[Ende]"),"&gt;="&amp;AW$1,INDIRECT("Table1[Obergruppe ATC-Code]"),Tabelle3!$A15)</f>
        <v>0</v>
      </c>
      <c r="AX15">
        <f ca="1">COUNTIFS(INDIRECT("Table1[Beginn]"),"&lt;="&amp;AX$1,INDIRECT("Table1[Ende]"),"&gt;="&amp;AX$1,INDIRECT("Table1[Obergruppe ATC-Code]"),Tabelle3!$A15)</f>
        <v>0</v>
      </c>
      <c r="AY15">
        <f ca="1">COUNTIFS(INDIRECT("Table1[Beginn]"),"&lt;="&amp;AY$1,INDIRECT("Table1[Ende]"),"&gt;="&amp;AY$1,INDIRECT("Table1[Obergruppe ATC-Code]"),Tabelle3!$A15)</f>
        <v>0</v>
      </c>
      <c r="AZ15">
        <f ca="1">COUNTIFS(INDIRECT("Table1[Beginn]"),"&lt;="&amp;AZ$1,INDIRECT("Table1[Ende]"),"&gt;="&amp;AZ$1,INDIRECT("Table1[Obergruppe ATC-Code]"),Tabelle3!$A15)</f>
        <v>0</v>
      </c>
      <c r="BA15">
        <f ca="1">COUNTIFS(INDIRECT("Table1[Beginn]"),"&lt;="&amp;BA$1,INDIRECT("Table1[Ende]"),"&gt;="&amp;BA$1,INDIRECT("Table1[Obergruppe ATC-Code]"),Tabelle3!$A15)</f>
        <v>0</v>
      </c>
      <c r="BB15">
        <f ca="1">COUNTIFS(INDIRECT("Table1[Beginn]"),"&lt;="&amp;BB$1,INDIRECT("Table1[Ende]"),"&gt;="&amp;BB$1,INDIRECT("Table1[Obergruppe ATC-Code]"),Tabelle3!$A15)</f>
        <v>0</v>
      </c>
      <c r="BC15">
        <f ca="1">COUNTIFS(INDIRECT("Table1[Beginn]"),"&lt;="&amp;BC$1,INDIRECT("Table1[Ende]"),"&gt;="&amp;BC$1,INDIRECT("Table1[Obergruppe ATC-Code]"),Tabelle3!$A15)</f>
        <v>0</v>
      </c>
      <c r="BD15">
        <f ca="1">COUNTIFS(INDIRECT("Table1[Beginn]"),"&lt;="&amp;BD$1,INDIRECT("Table1[Ende]"),"&gt;="&amp;BD$1,INDIRECT("Table1[Obergruppe ATC-Code]"),Tabelle3!$A15)</f>
        <v>0</v>
      </c>
      <c r="BE15">
        <f ca="1">COUNTIFS(INDIRECT("Table1[Beginn]"),"&lt;="&amp;BE$1,INDIRECT("Table1[Ende]"),"&gt;="&amp;BE$1,INDIRECT("Table1[Obergruppe ATC-Code]"),Tabelle3!$A15)</f>
        <v>0</v>
      </c>
      <c r="BF15">
        <f ca="1">COUNTIFS(INDIRECT("Table1[Beginn]"),"&lt;="&amp;BF$1,INDIRECT("Table1[Ende]"),"&gt;="&amp;BF$1,INDIRECT("Table1[Obergruppe ATC-Code]"),Tabelle3!$A15)</f>
        <v>0</v>
      </c>
      <c r="BG15">
        <f ca="1">COUNTIFS(INDIRECT("Table1[Beginn]"),"&lt;="&amp;BG$1,INDIRECT("Table1[Ende]"),"&gt;="&amp;BG$1,INDIRECT("Table1[Obergruppe ATC-Code]"),Tabelle3!$A15)</f>
        <v>0</v>
      </c>
      <c r="BH15">
        <f ca="1">COUNTIFS(INDIRECT("Table1[Beginn]"),"&lt;="&amp;BH$1,INDIRECT("Table1[Ende]"),"&gt;="&amp;BH$1,INDIRECT("Table1[Obergruppe ATC-Code]"),Tabelle3!$A15)</f>
        <v>0</v>
      </c>
      <c r="BI15">
        <f ca="1">COUNTIFS(INDIRECT("Table1[Beginn]"),"&lt;="&amp;BI$1,INDIRECT("Table1[Ende]"),"&gt;="&amp;BI$1,INDIRECT("Table1[Obergruppe ATC-Code]"),Tabelle3!$A15)</f>
        <v>0</v>
      </c>
      <c r="BJ15">
        <f ca="1">COUNTIFS(INDIRECT("Table1[Beginn]"),"&lt;="&amp;BJ$1,INDIRECT("Table1[Ende]"),"&gt;="&amp;BJ$1,INDIRECT("Table1[Obergruppe ATC-Code]"),Tabelle3!$A15)</f>
        <v>0</v>
      </c>
      <c r="BK15">
        <f ca="1">COUNTIFS(INDIRECT("Table1[Beginn]"),"&lt;="&amp;BK$1,INDIRECT("Table1[Ende]"),"&gt;="&amp;BK$1,INDIRECT("Table1[Obergruppe ATC-Code]"),Tabelle3!$A15)</f>
        <v>0</v>
      </c>
      <c r="BL15">
        <f ca="1">COUNTIFS(INDIRECT("Table1[Beginn]"),"&lt;="&amp;BL$1,INDIRECT("Table1[Ende]"),"&gt;="&amp;BL$1,INDIRECT("Table1[Obergruppe ATC-Code]"),Tabelle3!$A15)</f>
        <v>0</v>
      </c>
      <c r="BM15">
        <f ca="1">COUNTIFS(INDIRECT("Table1[Beginn]"),"&lt;="&amp;BM$1,INDIRECT("Table1[Ende]"),"&gt;="&amp;BM$1,INDIRECT("Table1[Obergruppe ATC-Code]"),Tabelle3!$A15)</f>
        <v>0</v>
      </c>
      <c r="BN15">
        <f ca="1">COUNTIFS(INDIRECT("Table1[Beginn]"),"&lt;="&amp;BN$1,INDIRECT("Table1[Ende]"),"&gt;="&amp;BN$1,INDIRECT("Table1[Obergruppe ATC-Code]"),Tabelle3!$A15)</f>
        <v>0</v>
      </c>
      <c r="BO15">
        <f ca="1">COUNTIFS(INDIRECT("Table1[Beginn]"),"&lt;="&amp;BO$1,INDIRECT("Table1[Ende]"),"&gt;="&amp;BO$1,INDIRECT("Table1[Obergruppe ATC-Code]"),Tabelle3!$A15)</f>
        <v>0</v>
      </c>
      <c r="BP15">
        <f ca="1">COUNTIFS(INDIRECT("Table1[Beginn]"),"&lt;="&amp;BP$1,INDIRECT("Table1[Ende]"),"&gt;="&amp;BP$1,INDIRECT("Table1[Obergruppe ATC-Code]"),Tabelle3!$A15)</f>
        <v>0</v>
      </c>
      <c r="BQ15">
        <f ca="1">COUNTIFS(INDIRECT("Table1[Beginn]"),"&lt;="&amp;BQ$1,INDIRECT("Table1[Ende]"),"&gt;="&amp;BQ$1,INDIRECT("Table1[Obergruppe ATC-Code]"),Tabelle3!$A15)</f>
        <v>0</v>
      </c>
      <c r="BR15">
        <f ca="1">COUNTIFS(INDIRECT("Table1[Beginn]"),"&lt;="&amp;BR$1,INDIRECT("Table1[Ende]"),"&gt;="&amp;BR$1,INDIRECT("Table1[Obergruppe ATC-Code]"),Tabelle3!$A15)</f>
        <v>0</v>
      </c>
      <c r="BS15">
        <f ca="1">COUNTIFS(INDIRECT("Table1[Beginn]"),"&lt;="&amp;BS$1,INDIRECT("Table1[Ende]"),"&gt;="&amp;BS$1,INDIRECT("Table1[Obergruppe ATC-Code]"),Tabelle3!$A15)</f>
        <v>0</v>
      </c>
      <c r="BT15">
        <f ca="1">COUNTIFS(INDIRECT("Table1[Beginn]"),"&lt;="&amp;BT$1,INDIRECT("Table1[Ende]"),"&gt;="&amp;BT$1,INDIRECT("Table1[Obergruppe ATC-Code]"),Tabelle3!$A15)</f>
        <v>0</v>
      </c>
      <c r="BU15">
        <f ca="1">COUNTIFS(INDIRECT("Table1[Beginn]"),"&lt;="&amp;BU$1,INDIRECT("Table1[Ende]"),"&gt;="&amp;BU$1,INDIRECT("Table1[Obergruppe ATC-Code]"),Tabelle3!$A15)</f>
        <v>0</v>
      </c>
      <c r="BV15">
        <f ca="1">COUNTIFS(INDIRECT("Table1[Beginn]"),"&lt;="&amp;BV$1,INDIRECT("Table1[Ende]"),"&gt;="&amp;BV$1,INDIRECT("Table1[Obergruppe ATC-Code]"),Tabelle3!$A15)</f>
        <v>0</v>
      </c>
      <c r="BW15">
        <f ca="1">COUNTIFS(INDIRECT("Table1[Beginn]"),"&lt;="&amp;BW$1,INDIRECT("Table1[Ende]"),"&gt;="&amp;BW$1,INDIRECT("Table1[Obergruppe ATC-Code]"),Tabelle3!$A15)</f>
        <v>0</v>
      </c>
      <c r="BX15">
        <f ca="1">COUNTIFS(INDIRECT("Table1[Beginn]"),"&lt;="&amp;BX$1,INDIRECT("Table1[Ende]"),"&gt;="&amp;BX$1,INDIRECT("Table1[Obergruppe ATC-Code]"),Tabelle3!$A15)</f>
        <v>0</v>
      </c>
      <c r="BY15">
        <f ca="1">COUNTIFS(INDIRECT("Table1[Beginn]"),"&lt;="&amp;BY$1,INDIRECT("Table1[Ende]"),"&gt;="&amp;BY$1,INDIRECT("Table1[Obergruppe ATC-Code]"),Tabelle3!$A15)</f>
        <v>0</v>
      </c>
      <c r="BZ15">
        <f ca="1">COUNTIFS(INDIRECT("Table1[Beginn]"),"&lt;="&amp;BZ$1,INDIRECT("Table1[Ende]"),"&gt;="&amp;BZ$1,INDIRECT("Table1[Obergruppe ATC-Code]"),Tabelle3!$A15)</f>
        <v>0</v>
      </c>
      <c r="CA15">
        <f ca="1">COUNTIFS(INDIRECT("Table1[Beginn]"),"&lt;="&amp;CA$1,INDIRECT("Table1[Ende]"),"&gt;="&amp;CA$1,INDIRECT("Table1[Obergruppe ATC-Code]"),Tabelle3!$A15)</f>
        <v>0</v>
      </c>
      <c r="CB15">
        <f ca="1">COUNTIFS(INDIRECT("Table1[Beginn]"),"&lt;="&amp;CB$1,INDIRECT("Table1[Ende]"),"&gt;="&amp;CB$1,INDIRECT("Table1[Obergruppe ATC-Code]"),Tabelle3!$A15)</f>
        <v>0</v>
      </c>
      <c r="CC15">
        <f ca="1">COUNTIFS(INDIRECT("Table1[Beginn]"),"&lt;="&amp;CC$1,INDIRECT("Table1[Ende]"),"&gt;="&amp;CC$1,INDIRECT("Table1[Obergruppe ATC-Code]"),Tabelle3!$A15)</f>
        <v>0</v>
      </c>
      <c r="CD15">
        <f ca="1">COUNTIFS(INDIRECT("Table1[Beginn]"),"&lt;="&amp;CD$1,INDIRECT("Table1[Ende]"),"&gt;="&amp;CD$1,INDIRECT("Table1[Obergruppe ATC-Code]"),Tabelle3!$A15)</f>
        <v>0</v>
      </c>
      <c r="CE15">
        <f ca="1">COUNTIFS(INDIRECT("Table1[Beginn]"),"&lt;="&amp;CE$1,INDIRECT("Table1[Ende]"),"&gt;="&amp;CE$1,INDIRECT("Table1[Obergruppe ATC-Code]"),Tabelle3!$A15)</f>
        <v>0</v>
      </c>
      <c r="CF15">
        <f ca="1">COUNTIFS(INDIRECT("Table1[Beginn]"),"&lt;="&amp;CF$1,INDIRECT("Table1[Ende]"),"&gt;="&amp;CF$1,INDIRECT("Table1[Obergruppe ATC-Code]"),Tabelle3!$A15)</f>
        <v>0</v>
      </c>
      <c r="CG15">
        <f ca="1">COUNTIFS(INDIRECT("Table1[Beginn]"),"&lt;="&amp;CG$1,INDIRECT("Table1[Ende]"),"&gt;="&amp;CG$1,INDIRECT("Table1[Obergruppe ATC-Code]"),Tabelle3!$A15)</f>
        <v>0</v>
      </c>
      <c r="CH15">
        <f ca="1">COUNTIFS(INDIRECT("Table1[Beginn]"),"&lt;="&amp;CH$1,INDIRECT("Table1[Ende]"),"&gt;="&amp;CH$1,INDIRECT("Table1[Obergruppe ATC-Code]"),Tabelle3!$A15)</f>
        <v>0</v>
      </c>
      <c r="CI15">
        <f ca="1">COUNTIFS(INDIRECT("Table1[Beginn]"),"&lt;="&amp;CI$1,INDIRECT("Table1[Ende]"),"&gt;="&amp;CI$1,INDIRECT("Table1[Obergruppe ATC-Code]"),Tabelle3!$A15)</f>
        <v>0</v>
      </c>
      <c r="CJ15">
        <f ca="1">COUNTIFS(INDIRECT("Table1[Beginn]"),"&lt;="&amp;CJ$1,INDIRECT("Table1[Ende]"),"&gt;="&amp;CJ$1,INDIRECT("Table1[Obergruppe ATC-Code]"),Tabelle3!$A15)</f>
        <v>0</v>
      </c>
      <c r="CK15">
        <f ca="1">COUNTIFS(INDIRECT("Table1[Beginn]"),"&lt;="&amp;CK$1,INDIRECT("Table1[Ende]"),"&gt;="&amp;CK$1,INDIRECT("Table1[Obergruppe ATC-Code]"),Tabelle3!$A15)</f>
        <v>0</v>
      </c>
      <c r="CL15">
        <f ca="1">COUNTIFS(INDIRECT("Table1[Beginn]"),"&lt;="&amp;CL$1,INDIRECT("Table1[Ende]"),"&gt;="&amp;CL$1,INDIRECT("Table1[Obergruppe ATC-Code]"),Tabelle3!$A15)</f>
        <v>0</v>
      </c>
      <c r="CM15">
        <f ca="1">COUNTIFS(INDIRECT("Table1[Beginn]"),"&lt;="&amp;CM$1,INDIRECT("Table1[Ende]"),"&gt;="&amp;CM$1,INDIRECT("Table1[Obergruppe ATC-Code]"),Tabelle3!$A15)</f>
        <v>0</v>
      </c>
      <c r="CN15">
        <f ca="1">COUNTIFS(INDIRECT("Table1[Beginn]"),"&lt;="&amp;CN$1,INDIRECT("Table1[Ende]"),"&gt;="&amp;CN$1,INDIRECT("Table1[Obergruppe ATC-Code]"),Tabelle3!$A15)</f>
        <v>0</v>
      </c>
      <c r="CO15">
        <f ca="1">COUNTIFS(INDIRECT("Table1[Beginn]"),"&lt;="&amp;CO$1,INDIRECT("Table1[Ende]"),"&gt;="&amp;CO$1,INDIRECT("Table1[Obergruppe ATC-Code]"),Tabelle3!$A15)</f>
        <v>0</v>
      </c>
      <c r="CP15">
        <f ca="1">COUNTIFS(INDIRECT("Table1[Beginn]"),"&lt;="&amp;CP$1,INDIRECT("Table1[Ende]"),"&gt;="&amp;CP$1,INDIRECT("Table1[Obergruppe ATC-Code]"),Tabelle3!$A15)</f>
        <v>0</v>
      </c>
      <c r="CQ15">
        <f ca="1">COUNTIFS(INDIRECT("Table1[Beginn]"),"&lt;="&amp;CQ$1,INDIRECT("Table1[Ende]"),"&gt;="&amp;CQ$1,INDIRECT("Table1[Obergruppe ATC-Code]"),Tabelle3!$A15)</f>
        <v>0</v>
      </c>
      <c r="CR15">
        <f ca="1">COUNTIFS(INDIRECT("Table1[Beginn]"),"&lt;="&amp;CR$1,INDIRECT("Table1[Ende]"),"&gt;="&amp;CR$1,INDIRECT("Table1[Obergruppe ATC-Code]"),Tabelle3!$A15)</f>
        <v>0</v>
      </c>
      <c r="CS15">
        <f ca="1">COUNTIFS(INDIRECT("Table1[Beginn]"),"&lt;="&amp;CS$1,INDIRECT("Table1[Ende]"),"&gt;="&amp;CS$1,INDIRECT("Table1[Obergruppe ATC-Code]"),Tabelle3!$A15)</f>
        <v>0</v>
      </c>
      <c r="CT15">
        <f ca="1">COUNTIFS(INDIRECT("Table1[Beginn]"),"&lt;="&amp;CT$1,INDIRECT("Table1[Ende]"),"&gt;="&amp;CT$1,INDIRECT("Table1[Obergruppe ATC-Code]"),Tabelle3!$A15)</f>
        <v>0</v>
      </c>
      <c r="CU15" s="54"/>
      <c r="CV15" s="54"/>
      <c r="CW15" s="54"/>
      <c r="CX15" s="54"/>
      <c r="CY15" s="54"/>
      <c r="CZ15" s="54"/>
      <c r="DA15" s="54"/>
      <c r="DB15" s="54"/>
      <c r="DC15" s="54"/>
      <c r="DD15" s="54"/>
      <c r="DE15" s="54"/>
      <c r="DF15" s="54"/>
      <c r="DG15" s="54"/>
      <c r="DH15" s="54"/>
    </row>
    <row r="16" spans="1:112" ht="18" customHeight="1">
      <c r="A16" s="7" t="s">
        <v>6800</v>
      </c>
      <c r="B16" s="8" t="s">
        <v>6801</v>
      </c>
      <c r="C16">
        <f ca="1">COUNTIFS(INDIRECT("Table1[Beginn]"),"&lt;="&amp;C$1,INDIRECT("Table1[Ende]"),"&gt;="&amp;C$1,INDIRECT("Table1[Obergruppe ATC-Code]"),Tabelle3!$A16)</f>
        <v>0</v>
      </c>
      <c r="D16">
        <f ca="1">COUNTIFS(INDIRECT("Table1[Beginn]"),"&lt;="&amp;D$1,INDIRECT("Table1[Ende]"),"&gt;="&amp;D$1,INDIRECT("Table1[Obergruppe ATC-Code]"),Tabelle3!$A16)</f>
        <v>0</v>
      </c>
      <c r="E16">
        <f ca="1">COUNTIFS(INDIRECT("Table1[Beginn]"),"&lt;="&amp;E$1,INDIRECT("Table1[Ende]"),"&gt;="&amp;E$1,INDIRECT("Table1[Obergruppe ATC-Code]"),Tabelle3!$A16)</f>
        <v>0</v>
      </c>
      <c r="F16">
        <f ca="1">COUNTIFS(INDIRECT("Table1[Beginn]"),"&lt;="&amp;F$1,INDIRECT("Table1[Ende]"),"&gt;="&amp;F$1,INDIRECT("Table1[Obergruppe ATC-Code]"),Tabelle3!$A16)</f>
        <v>0</v>
      </c>
      <c r="G16">
        <f ca="1">COUNTIFS(INDIRECT("Table1[Beginn]"),"&lt;="&amp;G$1,INDIRECT("Table1[Ende]"),"&gt;="&amp;G$1,INDIRECT("Table1[Obergruppe ATC-Code]"),Tabelle3!$A16)</f>
        <v>0</v>
      </c>
      <c r="H16">
        <f ca="1">COUNTIFS(INDIRECT("Table1[Beginn]"),"&lt;="&amp;H$1,INDIRECT("Table1[Ende]"),"&gt;="&amp;H$1,INDIRECT("Table1[Obergruppe ATC-Code]"),Tabelle3!$A16)</f>
        <v>0</v>
      </c>
      <c r="I16">
        <f ca="1">COUNTIFS(INDIRECT("Table1[Beginn]"),"&lt;="&amp;I$1,INDIRECT("Table1[Ende]"),"&gt;="&amp;I$1,INDIRECT("Table1[Obergruppe ATC-Code]"),Tabelle3!$A16)</f>
        <v>0</v>
      </c>
      <c r="J16">
        <f ca="1">COUNTIFS(INDIRECT("Table1[Beginn]"),"&lt;="&amp;J$1,INDIRECT("Table1[Ende]"),"&gt;="&amp;J$1,INDIRECT("Table1[Obergruppe ATC-Code]"),Tabelle3!$A16)</f>
        <v>0</v>
      </c>
      <c r="K16">
        <f ca="1">COUNTIFS(INDIRECT("Table1[Beginn]"),"&lt;="&amp;K$1,INDIRECT("Table1[Ende]"),"&gt;="&amp;K$1,INDIRECT("Table1[Obergruppe ATC-Code]"),Tabelle3!$A16)</f>
        <v>0</v>
      </c>
      <c r="L16">
        <f ca="1">COUNTIFS(INDIRECT("Table1[Beginn]"),"&lt;="&amp;L$1,INDIRECT("Table1[Ende]"),"&gt;="&amp;L$1,INDIRECT("Table1[Obergruppe ATC-Code]"),Tabelle3!$A16)</f>
        <v>0</v>
      </c>
      <c r="M16">
        <f ca="1">COUNTIFS(INDIRECT("Table1[Beginn]"),"&lt;="&amp;M$1,INDIRECT("Table1[Ende]"),"&gt;="&amp;M$1,INDIRECT("Table1[Obergruppe ATC-Code]"),Tabelle3!$A16)</f>
        <v>0</v>
      </c>
      <c r="N16">
        <f ca="1">COUNTIFS(INDIRECT("Table1[Beginn]"),"&lt;="&amp;N$1,INDIRECT("Table1[Ende]"),"&gt;="&amp;N$1,INDIRECT("Table1[Obergruppe ATC-Code]"),Tabelle3!$A16)</f>
        <v>0</v>
      </c>
      <c r="O16">
        <f ca="1">COUNTIFS(INDIRECT("Table1[Beginn]"),"&lt;="&amp;O$1,INDIRECT("Table1[Ende]"),"&gt;="&amp;O$1,INDIRECT("Table1[Obergruppe ATC-Code]"),Tabelle3!$A16)</f>
        <v>0</v>
      </c>
      <c r="P16">
        <f ca="1">COUNTIFS(INDIRECT("Table1[Beginn]"),"&lt;="&amp;P$1,INDIRECT("Table1[Ende]"),"&gt;="&amp;P$1,INDIRECT("Table1[Obergruppe ATC-Code]"),Tabelle3!$A16)</f>
        <v>0</v>
      </c>
      <c r="Q16">
        <f ca="1">COUNTIFS(INDIRECT("Table1[Beginn]"),"&lt;="&amp;Q$1,INDIRECT("Table1[Ende]"),"&gt;="&amp;Q$1,INDIRECT("Table1[Obergruppe ATC-Code]"),Tabelle3!$A16)</f>
        <v>0</v>
      </c>
      <c r="R16">
        <f ca="1">COUNTIFS(INDIRECT("Table1[Beginn]"),"&lt;="&amp;R$1,INDIRECT("Table1[Ende]"),"&gt;="&amp;R$1,INDIRECT("Table1[Obergruppe ATC-Code]"),Tabelle3!$A16)</f>
        <v>0</v>
      </c>
      <c r="S16">
        <f ca="1">COUNTIFS(INDIRECT("Table1[Beginn]"),"&lt;="&amp;S$1,INDIRECT("Table1[Ende]"),"&gt;="&amp;S$1,INDIRECT("Table1[Obergruppe ATC-Code]"),Tabelle3!$A16)</f>
        <v>0</v>
      </c>
      <c r="T16">
        <f ca="1">COUNTIFS(INDIRECT("Table1[Beginn]"),"&lt;="&amp;T$1,INDIRECT("Table1[Ende]"),"&gt;="&amp;T$1,INDIRECT("Table1[Obergruppe ATC-Code]"),Tabelle3!$A16)</f>
        <v>0</v>
      </c>
      <c r="U16">
        <f ca="1">COUNTIFS(INDIRECT("Table1[Beginn]"),"&lt;="&amp;U$1,INDIRECT("Table1[Ende]"),"&gt;="&amp;U$1,INDIRECT("Table1[Obergruppe ATC-Code]"),Tabelle3!$A16)</f>
        <v>0</v>
      </c>
      <c r="V16">
        <f ca="1">COUNTIFS(INDIRECT("Table1[Beginn]"),"&lt;="&amp;V$1,INDIRECT("Table1[Ende]"),"&gt;="&amp;V$1,INDIRECT("Table1[Obergruppe ATC-Code]"),Tabelle3!$A16)</f>
        <v>0</v>
      </c>
      <c r="W16">
        <f ca="1">COUNTIFS(INDIRECT("Table1[Beginn]"),"&lt;="&amp;W$1,INDIRECT("Table1[Ende]"),"&gt;="&amp;W$1,INDIRECT("Table1[Obergruppe ATC-Code]"),Tabelle3!$A16)</f>
        <v>0</v>
      </c>
      <c r="X16">
        <f ca="1">COUNTIFS(INDIRECT("Table1[Beginn]"),"&lt;="&amp;X$1,INDIRECT("Table1[Ende]"),"&gt;="&amp;X$1,INDIRECT("Table1[Obergruppe ATC-Code]"),Tabelle3!$A16)</f>
        <v>0</v>
      </c>
      <c r="Y16">
        <f ca="1">COUNTIFS(INDIRECT("Table1[Beginn]"),"&lt;="&amp;Y$1,INDIRECT("Table1[Ende]"),"&gt;="&amp;Y$1,INDIRECT("Table1[Obergruppe ATC-Code]"),Tabelle3!$A16)</f>
        <v>0</v>
      </c>
      <c r="Z16">
        <f ca="1">COUNTIFS(INDIRECT("Table1[Beginn]"),"&lt;="&amp;Z$1,INDIRECT("Table1[Ende]"),"&gt;="&amp;Z$1,INDIRECT("Table1[Obergruppe ATC-Code]"),Tabelle3!$A16)</f>
        <v>0</v>
      </c>
      <c r="AA16">
        <f ca="1">COUNTIFS(INDIRECT("Table1[Beginn]"),"&lt;="&amp;AA$1,INDIRECT("Table1[Ende]"),"&gt;="&amp;AA$1,INDIRECT("Table1[Obergruppe ATC-Code]"),Tabelle3!$A16)</f>
        <v>0</v>
      </c>
      <c r="AB16">
        <f ca="1">COUNTIFS(INDIRECT("Table1[Beginn]"),"&lt;="&amp;AB$1,INDIRECT("Table1[Ende]"),"&gt;="&amp;AB$1,INDIRECT("Table1[Obergruppe ATC-Code]"),Tabelle3!$A16)</f>
        <v>0</v>
      </c>
      <c r="AC16">
        <f ca="1">COUNTIFS(INDIRECT("Table1[Beginn]"),"&lt;="&amp;AC$1,INDIRECT("Table1[Ende]"),"&gt;="&amp;AC$1,INDIRECT("Table1[Obergruppe ATC-Code]"),Tabelle3!$A16)</f>
        <v>0</v>
      </c>
      <c r="AD16">
        <f ca="1">COUNTIFS(INDIRECT("Table1[Beginn]"),"&lt;="&amp;AD$1,INDIRECT("Table1[Ende]"),"&gt;="&amp;AD$1,INDIRECT("Table1[Obergruppe ATC-Code]"),Tabelle3!$A16)</f>
        <v>0</v>
      </c>
      <c r="AE16">
        <f ca="1">COUNTIFS(INDIRECT("Table1[Beginn]"),"&lt;="&amp;AE$1,INDIRECT("Table1[Ende]"),"&gt;="&amp;AE$1,INDIRECT("Table1[Obergruppe ATC-Code]"),Tabelle3!$A16)</f>
        <v>0</v>
      </c>
      <c r="AF16">
        <f ca="1">COUNTIFS(INDIRECT("Table1[Beginn]"),"&lt;="&amp;AF$1,INDIRECT("Table1[Ende]"),"&gt;="&amp;AF$1,INDIRECT("Table1[Obergruppe ATC-Code]"),Tabelle3!$A16)</f>
        <v>0</v>
      </c>
      <c r="AG16">
        <f ca="1">COUNTIFS(INDIRECT("Table1[Beginn]"),"&lt;="&amp;AG$1,INDIRECT("Table1[Ende]"),"&gt;="&amp;AG$1,INDIRECT("Table1[Obergruppe ATC-Code]"),Tabelle3!$A16)</f>
        <v>0</v>
      </c>
      <c r="AH16">
        <f ca="1">COUNTIFS(INDIRECT("Table1[Beginn]"),"&lt;="&amp;AH$1,INDIRECT("Table1[Ende]"),"&gt;="&amp;AH$1,INDIRECT("Table1[Obergruppe ATC-Code]"),Tabelle3!$A16)</f>
        <v>0</v>
      </c>
      <c r="AI16">
        <f ca="1">COUNTIFS(INDIRECT("Table1[Beginn]"),"&lt;="&amp;AI$1,INDIRECT("Table1[Ende]"),"&gt;="&amp;AI$1,INDIRECT("Table1[Obergruppe ATC-Code]"),Tabelle3!$A16)</f>
        <v>0</v>
      </c>
      <c r="AJ16">
        <f ca="1">COUNTIFS(INDIRECT("Table1[Beginn]"),"&lt;="&amp;AJ$1,INDIRECT("Table1[Ende]"),"&gt;="&amp;AJ$1,INDIRECT("Table1[Obergruppe ATC-Code]"),Tabelle3!$A16)</f>
        <v>0</v>
      </c>
      <c r="AK16">
        <f ca="1">COUNTIFS(INDIRECT("Table1[Beginn]"),"&lt;="&amp;AK$1,INDIRECT("Table1[Ende]"),"&gt;="&amp;AK$1,INDIRECT("Table1[Obergruppe ATC-Code]"),Tabelle3!$A16)</f>
        <v>0</v>
      </c>
      <c r="AL16">
        <f ca="1">COUNTIFS(INDIRECT("Table1[Beginn]"),"&lt;="&amp;AL$1,INDIRECT("Table1[Ende]"),"&gt;="&amp;AL$1,INDIRECT("Table1[Obergruppe ATC-Code]"),Tabelle3!$A16)</f>
        <v>0</v>
      </c>
      <c r="AM16">
        <f ca="1">COUNTIFS(INDIRECT("Table1[Beginn]"),"&lt;="&amp;AM$1,INDIRECT("Table1[Ende]"),"&gt;="&amp;AM$1,INDIRECT("Table1[Obergruppe ATC-Code]"),Tabelle3!$A16)</f>
        <v>0</v>
      </c>
      <c r="AN16">
        <f ca="1">COUNTIFS(INDIRECT("Table1[Beginn]"),"&lt;="&amp;AN$1,INDIRECT("Table1[Ende]"),"&gt;="&amp;AN$1,INDIRECT("Table1[Obergruppe ATC-Code]"),Tabelle3!$A16)</f>
        <v>0</v>
      </c>
      <c r="AO16">
        <f ca="1">COUNTIFS(INDIRECT("Table1[Beginn]"),"&lt;="&amp;AO$1,INDIRECT("Table1[Ende]"),"&gt;="&amp;AO$1,INDIRECT("Table1[Obergruppe ATC-Code]"),Tabelle3!$A16)</f>
        <v>0</v>
      </c>
      <c r="AP16">
        <f ca="1">COUNTIFS(INDIRECT("Table1[Beginn]"),"&lt;="&amp;AP$1,INDIRECT("Table1[Ende]"),"&gt;="&amp;AP$1,INDIRECT("Table1[Obergruppe ATC-Code]"),Tabelle3!$A16)</f>
        <v>0</v>
      </c>
      <c r="AQ16">
        <f ca="1">COUNTIFS(INDIRECT("Table1[Beginn]"),"&lt;="&amp;AQ$1,INDIRECT("Table1[Ende]"),"&gt;="&amp;AQ$1,INDIRECT("Table1[Obergruppe ATC-Code]"),Tabelle3!$A16)</f>
        <v>0</v>
      </c>
      <c r="AR16">
        <f ca="1">COUNTIFS(INDIRECT("Table1[Beginn]"),"&lt;="&amp;AR$1,INDIRECT("Table1[Ende]"),"&gt;="&amp;AR$1,INDIRECT("Table1[Obergruppe ATC-Code]"),Tabelle3!$A16)</f>
        <v>0</v>
      </c>
      <c r="AS16">
        <f ca="1">COUNTIFS(INDIRECT("Table1[Beginn]"),"&lt;="&amp;AS$1,INDIRECT("Table1[Ende]"),"&gt;="&amp;AS$1,INDIRECT("Table1[Obergruppe ATC-Code]"),Tabelle3!$A16)</f>
        <v>0</v>
      </c>
      <c r="AT16">
        <f ca="1">COUNTIFS(INDIRECT("Table1[Beginn]"),"&lt;="&amp;AT$1,INDIRECT("Table1[Ende]"),"&gt;="&amp;AT$1,INDIRECT("Table1[Obergruppe ATC-Code]"),Tabelle3!$A16)</f>
        <v>0</v>
      </c>
      <c r="AU16">
        <f ca="1">COUNTIFS(INDIRECT("Table1[Beginn]"),"&lt;="&amp;AU$1,INDIRECT("Table1[Ende]"),"&gt;="&amp;AU$1,INDIRECT("Table1[Obergruppe ATC-Code]"),Tabelle3!$A16)</f>
        <v>0</v>
      </c>
      <c r="AV16">
        <f ca="1">COUNTIFS(INDIRECT("Table1[Beginn]"),"&lt;="&amp;AV$1,INDIRECT("Table1[Ende]"),"&gt;="&amp;AV$1,INDIRECT("Table1[Obergruppe ATC-Code]"),Tabelle3!$A16)</f>
        <v>0</v>
      </c>
      <c r="AW16">
        <f ca="1">COUNTIFS(INDIRECT("Table1[Beginn]"),"&lt;="&amp;AW$1,INDIRECT("Table1[Ende]"),"&gt;="&amp;AW$1,INDIRECT("Table1[Obergruppe ATC-Code]"),Tabelle3!$A16)</f>
        <v>0</v>
      </c>
      <c r="AX16">
        <f ca="1">COUNTIFS(INDIRECT("Table1[Beginn]"),"&lt;="&amp;AX$1,INDIRECT("Table1[Ende]"),"&gt;="&amp;AX$1,INDIRECT("Table1[Obergruppe ATC-Code]"),Tabelle3!$A16)</f>
        <v>0</v>
      </c>
      <c r="AY16">
        <f ca="1">COUNTIFS(INDIRECT("Table1[Beginn]"),"&lt;="&amp;AY$1,INDIRECT("Table1[Ende]"),"&gt;="&amp;AY$1,INDIRECT("Table1[Obergruppe ATC-Code]"),Tabelle3!$A16)</f>
        <v>0</v>
      </c>
      <c r="AZ16">
        <f ca="1">COUNTIFS(INDIRECT("Table1[Beginn]"),"&lt;="&amp;AZ$1,INDIRECT("Table1[Ende]"),"&gt;="&amp;AZ$1,INDIRECT("Table1[Obergruppe ATC-Code]"),Tabelle3!$A16)</f>
        <v>0</v>
      </c>
      <c r="BA16">
        <f ca="1">COUNTIFS(INDIRECT("Table1[Beginn]"),"&lt;="&amp;BA$1,INDIRECT("Table1[Ende]"),"&gt;="&amp;BA$1,INDIRECT("Table1[Obergruppe ATC-Code]"),Tabelle3!$A16)</f>
        <v>0</v>
      </c>
      <c r="BB16">
        <f ca="1">COUNTIFS(INDIRECT("Table1[Beginn]"),"&lt;="&amp;BB$1,INDIRECT("Table1[Ende]"),"&gt;="&amp;BB$1,INDIRECT("Table1[Obergruppe ATC-Code]"),Tabelle3!$A16)</f>
        <v>0</v>
      </c>
      <c r="BC16">
        <f ca="1">COUNTIFS(INDIRECT("Table1[Beginn]"),"&lt;="&amp;BC$1,INDIRECT("Table1[Ende]"),"&gt;="&amp;BC$1,INDIRECT("Table1[Obergruppe ATC-Code]"),Tabelle3!$A16)</f>
        <v>0</v>
      </c>
      <c r="BD16">
        <f ca="1">COUNTIFS(INDIRECT("Table1[Beginn]"),"&lt;="&amp;BD$1,INDIRECT("Table1[Ende]"),"&gt;="&amp;BD$1,INDIRECT("Table1[Obergruppe ATC-Code]"),Tabelle3!$A16)</f>
        <v>0</v>
      </c>
      <c r="BE16">
        <f ca="1">COUNTIFS(INDIRECT("Table1[Beginn]"),"&lt;="&amp;BE$1,INDIRECT("Table1[Ende]"),"&gt;="&amp;BE$1,INDIRECT("Table1[Obergruppe ATC-Code]"),Tabelle3!$A16)</f>
        <v>0</v>
      </c>
      <c r="BF16">
        <f ca="1">COUNTIFS(INDIRECT("Table1[Beginn]"),"&lt;="&amp;BF$1,INDIRECT("Table1[Ende]"),"&gt;="&amp;BF$1,INDIRECT("Table1[Obergruppe ATC-Code]"),Tabelle3!$A16)</f>
        <v>0</v>
      </c>
      <c r="BG16">
        <f ca="1">COUNTIFS(INDIRECT("Table1[Beginn]"),"&lt;="&amp;BG$1,INDIRECT("Table1[Ende]"),"&gt;="&amp;BG$1,INDIRECT("Table1[Obergruppe ATC-Code]"),Tabelle3!$A16)</f>
        <v>0</v>
      </c>
      <c r="BH16">
        <f ca="1">COUNTIFS(INDIRECT("Table1[Beginn]"),"&lt;="&amp;BH$1,INDIRECT("Table1[Ende]"),"&gt;="&amp;BH$1,INDIRECT("Table1[Obergruppe ATC-Code]"),Tabelle3!$A16)</f>
        <v>0</v>
      </c>
      <c r="BI16">
        <f ca="1">COUNTIFS(INDIRECT("Table1[Beginn]"),"&lt;="&amp;BI$1,INDIRECT("Table1[Ende]"),"&gt;="&amp;BI$1,INDIRECT("Table1[Obergruppe ATC-Code]"),Tabelle3!$A16)</f>
        <v>0</v>
      </c>
      <c r="BJ16">
        <f ca="1">COUNTIFS(INDIRECT("Table1[Beginn]"),"&lt;="&amp;BJ$1,INDIRECT("Table1[Ende]"),"&gt;="&amp;BJ$1,INDIRECT("Table1[Obergruppe ATC-Code]"),Tabelle3!$A16)</f>
        <v>0</v>
      </c>
      <c r="BK16">
        <f ca="1">COUNTIFS(INDIRECT("Table1[Beginn]"),"&lt;="&amp;BK$1,INDIRECT("Table1[Ende]"),"&gt;="&amp;BK$1,INDIRECT("Table1[Obergruppe ATC-Code]"),Tabelle3!$A16)</f>
        <v>0</v>
      </c>
      <c r="BL16">
        <f ca="1">COUNTIFS(INDIRECT("Table1[Beginn]"),"&lt;="&amp;BL$1,INDIRECT("Table1[Ende]"),"&gt;="&amp;BL$1,INDIRECT("Table1[Obergruppe ATC-Code]"),Tabelle3!$A16)</f>
        <v>0</v>
      </c>
      <c r="BM16">
        <f ca="1">COUNTIFS(INDIRECT("Table1[Beginn]"),"&lt;="&amp;BM$1,INDIRECT("Table1[Ende]"),"&gt;="&amp;BM$1,INDIRECT("Table1[Obergruppe ATC-Code]"),Tabelle3!$A16)</f>
        <v>0</v>
      </c>
      <c r="BN16">
        <f ca="1">COUNTIFS(INDIRECT("Table1[Beginn]"),"&lt;="&amp;BN$1,INDIRECT("Table1[Ende]"),"&gt;="&amp;BN$1,INDIRECT("Table1[Obergruppe ATC-Code]"),Tabelle3!$A16)</f>
        <v>0</v>
      </c>
      <c r="BO16">
        <f ca="1">COUNTIFS(INDIRECT("Table1[Beginn]"),"&lt;="&amp;BO$1,INDIRECT("Table1[Ende]"),"&gt;="&amp;BO$1,INDIRECT("Table1[Obergruppe ATC-Code]"),Tabelle3!$A16)</f>
        <v>0</v>
      </c>
      <c r="BP16">
        <f ca="1">COUNTIFS(INDIRECT("Table1[Beginn]"),"&lt;="&amp;BP$1,INDIRECT("Table1[Ende]"),"&gt;="&amp;BP$1,INDIRECT("Table1[Obergruppe ATC-Code]"),Tabelle3!$A16)</f>
        <v>0</v>
      </c>
      <c r="BQ16">
        <f ca="1">COUNTIFS(INDIRECT("Table1[Beginn]"),"&lt;="&amp;BQ$1,INDIRECT("Table1[Ende]"),"&gt;="&amp;BQ$1,INDIRECT("Table1[Obergruppe ATC-Code]"),Tabelle3!$A16)</f>
        <v>0</v>
      </c>
      <c r="BR16">
        <f ca="1">COUNTIFS(INDIRECT("Table1[Beginn]"),"&lt;="&amp;BR$1,INDIRECT("Table1[Ende]"),"&gt;="&amp;BR$1,INDIRECT("Table1[Obergruppe ATC-Code]"),Tabelle3!$A16)</f>
        <v>0</v>
      </c>
      <c r="BS16">
        <f ca="1">COUNTIFS(INDIRECT("Table1[Beginn]"),"&lt;="&amp;BS$1,INDIRECT("Table1[Ende]"),"&gt;="&amp;BS$1,INDIRECT("Table1[Obergruppe ATC-Code]"),Tabelle3!$A16)</f>
        <v>0</v>
      </c>
      <c r="BT16">
        <f ca="1">COUNTIFS(INDIRECT("Table1[Beginn]"),"&lt;="&amp;BT$1,INDIRECT("Table1[Ende]"),"&gt;="&amp;BT$1,INDIRECT("Table1[Obergruppe ATC-Code]"),Tabelle3!$A16)</f>
        <v>0</v>
      </c>
      <c r="BU16">
        <f ca="1">COUNTIFS(INDIRECT("Table1[Beginn]"),"&lt;="&amp;BU$1,INDIRECT("Table1[Ende]"),"&gt;="&amp;BU$1,INDIRECT("Table1[Obergruppe ATC-Code]"),Tabelle3!$A16)</f>
        <v>0</v>
      </c>
      <c r="BV16">
        <f ca="1">COUNTIFS(INDIRECT("Table1[Beginn]"),"&lt;="&amp;BV$1,INDIRECT("Table1[Ende]"),"&gt;="&amp;BV$1,INDIRECT("Table1[Obergruppe ATC-Code]"),Tabelle3!$A16)</f>
        <v>0</v>
      </c>
      <c r="BW16">
        <f ca="1">COUNTIFS(INDIRECT("Table1[Beginn]"),"&lt;="&amp;BW$1,INDIRECT("Table1[Ende]"),"&gt;="&amp;BW$1,INDIRECT("Table1[Obergruppe ATC-Code]"),Tabelle3!$A16)</f>
        <v>0</v>
      </c>
      <c r="BX16">
        <f ca="1">COUNTIFS(INDIRECT("Table1[Beginn]"),"&lt;="&amp;BX$1,INDIRECT("Table1[Ende]"),"&gt;="&amp;BX$1,INDIRECT("Table1[Obergruppe ATC-Code]"),Tabelle3!$A16)</f>
        <v>0</v>
      </c>
      <c r="BY16">
        <f ca="1">COUNTIFS(INDIRECT("Table1[Beginn]"),"&lt;="&amp;BY$1,INDIRECT("Table1[Ende]"),"&gt;="&amp;BY$1,INDIRECT("Table1[Obergruppe ATC-Code]"),Tabelle3!$A16)</f>
        <v>0</v>
      </c>
      <c r="BZ16">
        <f ca="1">COUNTIFS(INDIRECT("Table1[Beginn]"),"&lt;="&amp;BZ$1,INDIRECT("Table1[Ende]"),"&gt;="&amp;BZ$1,INDIRECT("Table1[Obergruppe ATC-Code]"),Tabelle3!$A16)</f>
        <v>0</v>
      </c>
      <c r="CA16">
        <f ca="1">COUNTIFS(INDIRECT("Table1[Beginn]"),"&lt;="&amp;CA$1,INDIRECT("Table1[Ende]"),"&gt;="&amp;CA$1,INDIRECT("Table1[Obergruppe ATC-Code]"),Tabelle3!$A16)</f>
        <v>0</v>
      </c>
      <c r="CB16">
        <f ca="1">COUNTIFS(INDIRECT("Table1[Beginn]"),"&lt;="&amp;CB$1,INDIRECT("Table1[Ende]"),"&gt;="&amp;CB$1,INDIRECT("Table1[Obergruppe ATC-Code]"),Tabelle3!$A16)</f>
        <v>0</v>
      </c>
      <c r="CC16">
        <f ca="1">COUNTIFS(INDIRECT("Table1[Beginn]"),"&lt;="&amp;CC$1,INDIRECT("Table1[Ende]"),"&gt;="&amp;CC$1,INDIRECT("Table1[Obergruppe ATC-Code]"),Tabelle3!$A16)</f>
        <v>0</v>
      </c>
      <c r="CD16">
        <f ca="1">COUNTIFS(INDIRECT("Table1[Beginn]"),"&lt;="&amp;CD$1,INDIRECT("Table1[Ende]"),"&gt;="&amp;CD$1,INDIRECT("Table1[Obergruppe ATC-Code]"),Tabelle3!$A16)</f>
        <v>0</v>
      </c>
      <c r="CE16">
        <f ca="1">COUNTIFS(INDIRECT("Table1[Beginn]"),"&lt;="&amp;CE$1,INDIRECT("Table1[Ende]"),"&gt;="&amp;CE$1,INDIRECT("Table1[Obergruppe ATC-Code]"),Tabelle3!$A16)</f>
        <v>0</v>
      </c>
      <c r="CF16">
        <f ca="1">COUNTIFS(INDIRECT("Table1[Beginn]"),"&lt;="&amp;CF$1,INDIRECT("Table1[Ende]"),"&gt;="&amp;CF$1,INDIRECT("Table1[Obergruppe ATC-Code]"),Tabelle3!$A16)</f>
        <v>0</v>
      </c>
      <c r="CG16">
        <f ca="1">COUNTIFS(INDIRECT("Table1[Beginn]"),"&lt;="&amp;CG$1,INDIRECT("Table1[Ende]"),"&gt;="&amp;CG$1,INDIRECT("Table1[Obergruppe ATC-Code]"),Tabelle3!$A16)</f>
        <v>0</v>
      </c>
      <c r="CH16">
        <f ca="1">COUNTIFS(INDIRECT("Table1[Beginn]"),"&lt;="&amp;CH$1,INDIRECT("Table1[Ende]"),"&gt;="&amp;CH$1,INDIRECT("Table1[Obergruppe ATC-Code]"),Tabelle3!$A16)</f>
        <v>0</v>
      </c>
      <c r="CI16">
        <f ca="1">COUNTIFS(INDIRECT("Table1[Beginn]"),"&lt;="&amp;CI$1,INDIRECT("Table1[Ende]"),"&gt;="&amp;CI$1,INDIRECT("Table1[Obergruppe ATC-Code]"),Tabelle3!$A16)</f>
        <v>0</v>
      </c>
      <c r="CJ16">
        <f ca="1">COUNTIFS(INDIRECT("Table1[Beginn]"),"&lt;="&amp;CJ$1,INDIRECT("Table1[Ende]"),"&gt;="&amp;CJ$1,INDIRECT("Table1[Obergruppe ATC-Code]"),Tabelle3!$A16)</f>
        <v>0</v>
      </c>
      <c r="CK16">
        <f ca="1">COUNTIFS(INDIRECT("Table1[Beginn]"),"&lt;="&amp;CK$1,INDIRECT("Table1[Ende]"),"&gt;="&amp;CK$1,INDIRECT("Table1[Obergruppe ATC-Code]"),Tabelle3!$A16)</f>
        <v>0</v>
      </c>
      <c r="CL16">
        <f ca="1">COUNTIFS(INDIRECT("Table1[Beginn]"),"&lt;="&amp;CL$1,INDIRECT("Table1[Ende]"),"&gt;="&amp;CL$1,INDIRECT("Table1[Obergruppe ATC-Code]"),Tabelle3!$A16)</f>
        <v>0</v>
      </c>
      <c r="CM16">
        <f ca="1">COUNTIFS(INDIRECT("Table1[Beginn]"),"&lt;="&amp;CM$1,INDIRECT("Table1[Ende]"),"&gt;="&amp;CM$1,INDIRECT("Table1[Obergruppe ATC-Code]"),Tabelle3!$A16)</f>
        <v>0</v>
      </c>
      <c r="CN16">
        <f ca="1">COUNTIFS(INDIRECT("Table1[Beginn]"),"&lt;="&amp;CN$1,INDIRECT("Table1[Ende]"),"&gt;="&amp;CN$1,INDIRECT("Table1[Obergruppe ATC-Code]"),Tabelle3!$A16)</f>
        <v>0</v>
      </c>
      <c r="CO16">
        <f ca="1">COUNTIFS(INDIRECT("Table1[Beginn]"),"&lt;="&amp;CO$1,INDIRECT("Table1[Ende]"),"&gt;="&amp;CO$1,INDIRECT("Table1[Obergruppe ATC-Code]"),Tabelle3!$A16)</f>
        <v>0</v>
      </c>
      <c r="CP16">
        <f ca="1">COUNTIFS(INDIRECT("Table1[Beginn]"),"&lt;="&amp;CP$1,INDIRECT("Table1[Ende]"),"&gt;="&amp;CP$1,INDIRECT("Table1[Obergruppe ATC-Code]"),Tabelle3!$A16)</f>
        <v>0</v>
      </c>
      <c r="CQ16">
        <f ca="1">COUNTIFS(INDIRECT("Table1[Beginn]"),"&lt;="&amp;CQ$1,INDIRECT("Table1[Ende]"),"&gt;="&amp;CQ$1,INDIRECT("Table1[Obergruppe ATC-Code]"),Tabelle3!$A16)</f>
        <v>0</v>
      </c>
      <c r="CR16">
        <f ca="1">COUNTIFS(INDIRECT("Table1[Beginn]"),"&lt;="&amp;CR$1,INDIRECT("Table1[Ende]"),"&gt;="&amp;CR$1,INDIRECT("Table1[Obergruppe ATC-Code]"),Tabelle3!$A16)</f>
        <v>0</v>
      </c>
      <c r="CS16">
        <f ca="1">COUNTIFS(INDIRECT("Table1[Beginn]"),"&lt;="&amp;CS$1,INDIRECT("Table1[Ende]"),"&gt;="&amp;CS$1,INDIRECT("Table1[Obergruppe ATC-Code]"),Tabelle3!$A16)</f>
        <v>0</v>
      </c>
      <c r="CT16">
        <f ca="1">COUNTIFS(INDIRECT("Table1[Beginn]"),"&lt;="&amp;CT$1,INDIRECT("Table1[Ende]"),"&gt;="&amp;CT$1,INDIRECT("Table1[Obergruppe ATC-Code]"),Tabelle3!$A16)</f>
        <v>0</v>
      </c>
      <c r="CU16" s="54"/>
      <c r="CV16" s="54"/>
      <c r="CW16" s="54"/>
      <c r="CX16" s="54"/>
      <c r="CY16" s="54"/>
      <c r="CZ16" s="54"/>
      <c r="DA16" s="54"/>
      <c r="DB16" s="54"/>
      <c r="DC16" s="54"/>
      <c r="DD16" s="54"/>
      <c r="DE16" s="54"/>
      <c r="DF16" s="54"/>
      <c r="DG16" s="54"/>
      <c r="DH16" s="54"/>
    </row>
    <row r="17" spans="1:112" ht="18" customHeight="1">
      <c r="A17" s="9" t="s">
        <v>6802</v>
      </c>
      <c r="B17" s="10" t="s">
        <v>6803</v>
      </c>
      <c r="C17">
        <f ca="1">COUNTIFS(INDIRECT("Table1[Beginn]"),"&lt;="&amp;C$1,INDIRECT("Table1[Ende]"),"&gt;="&amp;C$1,INDIRECT("Table1[Obergruppe ATC-Code]"),Tabelle3!$A17)</f>
        <v>0</v>
      </c>
      <c r="D17">
        <f ca="1">COUNTIFS(INDIRECT("Table1[Beginn]"),"&lt;="&amp;D$1,INDIRECT("Table1[Ende]"),"&gt;="&amp;D$1,INDIRECT("Table1[Obergruppe ATC-Code]"),Tabelle3!$A17)</f>
        <v>0</v>
      </c>
      <c r="E17">
        <f ca="1">COUNTIFS(INDIRECT("Table1[Beginn]"),"&lt;="&amp;E$1,INDIRECT("Table1[Ende]"),"&gt;="&amp;E$1,INDIRECT("Table1[Obergruppe ATC-Code]"),Tabelle3!$A17)</f>
        <v>0</v>
      </c>
      <c r="F17">
        <f ca="1">COUNTIFS(INDIRECT("Table1[Beginn]"),"&lt;="&amp;F$1,INDIRECT("Table1[Ende]"),"&gt;="&amp;F$1,INDIRECT("Table1[Obergruppe ATC-Code]"),Tabelle3!$A17)</f>
        <v>0</v>
      </c>
      <c r="G17">
        <f ca="1">COUNTIFS(INDIRECT("Table1[Beginn]"),"&lt;="&amp;G$1,INDIRECT("Table1[Ende]"),"&gt;="&amp;G$1,INDIRECT("Table1[Obergruppe ATC-Code]"),Tabelle3!$A17)</f>
        <v>0</v>
      </c>
      <c r="H17">
        <f ca="1">COUNTIFS(INDIRECT("Table1[Beginn]"),"&lt;="&amp;H$1,INDIRECT("Table1[Ende]"),"&gt;="&amp;H$1,INDIRECT("Table1[Obergruppe ATC-Code]"),Tabelle3!$A17)</f>
        <v>0</v>
      </c>
      <c r="I17">
        <f ca="1">COUNTIFS(INDIRECT("Table1[Beginn]"),"&lt;="&amp;I$1,INDIRECT("Table1[Ende]"),"&gt;="&amp;I$1,INDIRECT("Table1[Obergruppe ATC-Code]"),Tabelle3!$A17)</f>
        <v>0</v>
      </c>
      <c r="J17">
        <f ca="1">COUNTIFS(INDIRECT("Table1[Beginn]"),"&lt;="&amp;J$1,INDIRECT("Table1[Ende]"),"&gt;="&amp;J$1,INDIRECT("Table1[Obergruppe ATC-Code]"),Tabelle3!$A17)</f>
        <v>0</v>
      </c>
      <c r="K17">
        <f ca="1">COUNTIFS(INDIRECT("Table1[Beginn]"),"&lt;="&amp;K$1,INDIRECT("Table1[Ende]"),"&gt;="&amp;K$1,INDIRECT("Table1[Obergruppe ATC-Code]"),Tabelle3!$A17)</f>
        <v>0</v>
      </c>
      <c r="L17">
        <f ca="1">COUNTIFS(INDIRECT("Table1[Beginn]"),"&lt;="&amp;L$1,INDIRECT("Table1[Ende]"),"&gt;="&amp;L$1,INDIRECT("Table1[Obergruppe ATC-Code]"),Tabelle3!$A17)</f>
        <v>0</v>
      </c>
      <c r="M17">
        <f ca="1">COUNTIFS(INDIRECT("Table1[Beginn]"),"&lt;="&amp;M$1,INDIRECT("Table1[Ende]"),"&gt;="&amp;M$1,INDIRECT("Table1[Obergruppe ATC-Code]"),Tabelle3!$A17)</f>
        <v>0</v>
      </c>
      <c r="N17">
        <f ca="1">COUNTIFS(INDIRECT("Table1[Beginn]"),"&lt;="&amp;N$1,INDIRECT("Table1[Ende]"),"&gt;="&amp;N$1,INDIRECT("Table1[Obergruppe ATC-Code]"),Tabelle3!$A17)</f>
        <v>0</v>
      </c>
      <c r="O17">
        <f ca="1">COUNTIFS(INDIRECT("Table1[Beginn]"),"&lt;="&amp;O$1,INDIRECT("Table1[Ende]"),"&gt;="&amp;O$1,INDIRECT("Table1[Obergruppe ATC-Code]"),Tabelle3!$A17)</f>
        <v>0</v>
      </c>
      <c r="P17">
        <f ca="1">COUNTIFS(INDIRECT("Table1[Beginn]"),"&lt;="&amp;P$1,INDIRECT("Table1[Ende]"),"&gt;="&amp;P$1,INDIRECT("Table1[Obergruppe ATC-Code]"),Tabelle3!$A17)</f>
        <v>0</v>
      </c>
      <c r="Q17">
        <f ca="1">COUNTIFS(INDIRECT("Table1[Beginn]"),"&lt;="&amp;Q$1,INDIRECT("Table1[Ende]"),"&gt;="&amp;Q$1,INDIRECT("Table1[Obergruppe ATC-Code]"),Tabelle3!$A17)</f>
        <v>0</v>
      </c>
      <c r="R17">
        <f ca="1">COUNTIFS(INDIRECT("Table1[Beginn]"),"&lt;="&amp;R$1,INDIRECT("Table1[Ende]"),"&gt;="&amp;R$1,INDIRECT("Table1[Obergruppe ATC-Code]"),Tabelle3!$A17)</f>
        <v>0</v>
      </c>
      <c r="S17">
        <f ca="1">COUNTIFS(INDIRECT("Table1[Beginn]"),"&lt;="&amp;S$1,INDIRECT("Table1[Ende]"),"&gt;="&amp;S$1,INDIRECT("Table1[Obergruppe ATC-Code]"),Tabelle3!$A17)</f>
        <v>0</v>
      </c>
      <c r="T17">
        <f ca="1">COUNTIFS(INDIRECT("Table1[Beginn]"),"&lt;="&amp;T$1,INDIRECT("Table1[Ende]"),"&gt;="&amp;T$1,INDIRECT("Table1[Obergruppe ATC-Code]"),Tabelle3!$A17)</f>
        <v>0</v>
      </c>
      <c r="U17">
        <f ca="1">COUNTIFS(INDIRECT("Table1[Beginn]"),"&lt;="&amp;U$1,INDIRECT("Table1[Ende]"),"&gt;="&amp;U$1,INDIRECT("Table1[Obergruppe ATC-Code]"),Tabelle3!$A17)</f>
        <v>0</v>
      </c>
      <c r="V17">
        <f ca="1">COUNTIFS(INDIRECT("Table1[Beginn]"),"&lt;="&amp;V$1,INDIRECT("Table1[Ende]"),"&gt;="&amp;V$1,INDIRECT("Table1[Obergruppe ATC-Code]"),Tabelle3!$A17)</f>
        <v>0</v>
      </c>
      <c r="W17">
        <f ca="1">COUNTIFS(INDIRECT("Table1[Beginn]"),"&lt;="&amp;W$1,INDIRECT("Table1[Ende]"),"&gt;="&amp;W$1,INDIRECT("Table1[Obergruppe ATC-Code]"),Tabelle3!$A17)</f>
        <v>0</v>
      </c>
      <c r="X17">
        <f ca="1">COUNTIFS(INDIRECT("Table1[Beginn]"),"&lt;="&amp;X$1,INDIRECT("Table1[Ende]"),"&gt;="&amp;X$1,INDIRECT("Table1[Obergruppe ATC-Code]"),Tabelle3!$A17)</f>
        <v>0</v>
      </c>
      <c r="Y17">
        <f ca="1">COUNTIFS(INDIRECT("Table1[Beginn]"),"&lt;="&amp;Y$1,INDIRECT("Table1[Ende]"),"&gt;="&amp;Y$1,INDIRECT("Table1[Obergruppe ATC-Code]"),Tabelle3!$A17)</f>
        <v>0</v>
      </c>
      <c r="Z17">
        <f ca="1">COUNTIFS(INDIRECT("Table1[Beginn]"),"&lt;="&amp;Z$1,INDIRECT("Table1[Ende]"),"&gt;="&amp;Z$1,INDIRECT("Table1[Obergruppe ATC-Code]"),Tabelle3!$A17)</f>
        <v>0</v>
      </c>
      <c r="AA17">
        <f ca="1">COUNTIFS(INDIRECT("Table1[Beginn]"),"&lt;="&amp;AA$1,INDIRECT("Table1[Ende]"),"&gt;="&amp;AA$1,INDIRECT("Table1[Obergruppe ATC-Code]"),Tabelle3!$A17)</f>
        <v>0</v>
      </c>
      <c r="AB17">
        <f ca="1">COUNTIFS(INDIRECT("Table1[Beginn]"),"&lt;="&amp;AB$1,INDIRECT("Table1[Ende]"),"&gt;="&amp;AB$1,INDIRECT("Table1[Obergruppe ATC-Code]"),Tabelle3!$A17)</f>
        <v>0</v>
      </c>
      <c r="AC17">
        <f ca="1">COUNTIFS(INDIRECT("Table1[Beginn]"),"&lt;="&amp;AC$1,INDIRECT("Table1[Ende]"),"&gt;="&amp;AC$1,INDIRECT("Table1[Obergruppe ATC-Code]"),Tabelle3!$A17)</f>
        <v>0</v>
      </c>
      <c r="AD17">
        <f ca="1">COUNTIFS(INDIRECT("Table1[Beginn]"),"&lt;="&amp;AD$1,INDIRECT("Table1[Ende]"),"&gt;="&amp;AD$1,INDIRECT("Table1[Obergruppe ATC-Code]"),Tabelle3!$A17)</f>
        <v>0</v>
      </c>
      <c r="AE17">
        <f ca="1">COUNTIFS(INDIRECT("Table1[Beginn]"),"&lt;="&amp;AE$1,INDIRECT("Table1[Ende]"),"&gt;="&amp;AE$1,INDIRECT("Table1[Obergruppe ATC-Code]"),Tabelle3!$A17)</f>
        <v>1</v>
      </c>
      <c r="AF17">
        <f ca="1">COUNTIFS(INDIRECT("Table1[Beginn]"),"&lt;="&amp;AF$1,INDIRECT("Table1[Ende]"),"&gt;="&amp;AF$1,INDIRECT("Table1[Obergruppe ATC-Code]"),Tabelle3!$A17)</f>
        <v>1</v>
      </c>
      <c r="AG17">
        <f ca="1">COUNTIFS(INDIRECT("Table1[Beginn]"),"&lt;="&amp;AG$1,INDIRECT("Table1[Ende]"),"&gt;="&amp;AG$1,INDIRECT("Table1[Obergruppe ATC-Code]"),Tabelle3!$A17)</f>
        <v>3</v>
      </c>
      <c r="AH17">
        <f ca="1">COUNTIFS(INDIRECT("Table1[Beginn]"),"&lt;="&amp;AH$1,INDIRECT("Table1[Ende]"),"&gt;="&amp;AH$1,INDIRECT("Table1[Obergruppe ATC-Code]"),Tabelle3!$A17)</f>
        <v>3</v>
      </c>
      <c r="AI17">
        <f ca="1">COUNTIFS(INDIRECT("Table1[Beginn]"),"&lt;="&amp;AI$1,INDIRECT("Table1[Ende]"),"&gt;="&amp;AI$1,INDIRECT("Table1[Obergruppe ATC-Code]"),Tabelle3!$A17)</f>
        <v>3</v>
      </c>
      <c r="AJ17">
        <f ca="1">COUNTIFS(INDIRECT("Table1[Beginn]"),"&lt;="&amp;AJ$1,INDIRECT("Table1[Ende]"),"&gt;="&amp;AJ$1,INDIRECT("Table1[Obergruppe ATC-Code]"),Tabelle3!$A17)</f>
        <v>0</v>
      </c>
      <c r="AK17">
        <f ca="1">COUNTIFS(INDIRECT("Table1[Beginn]"),"&lt;="&amp;AK$1,INDIRECT("Table1[Ende]"),"&gt;="&amp;AK$1,INDIRECT("Table1[Obergruppe ATC-Code]"),Tabelle3!$A17)</f>
        <v>1</v>
      </c>
      <c r="AL17">
        <f ca="1">COUNTIFS(INDIRECT("Table1[Beginn]"),"&lt;="&amp;AL$1,INDIRECT("Table1[Ende]"),"&gt;="&amp;AL$1,INDIRECT("Table1[Obergruppe ATC-Code]"),Tabelle3!$A17)</f>
        <v>1</v>
      </c>
      <c r="AM17">
        <f ca="1">COUNTIFS(INDIRECT("Table1[Beginn]"),"&lt;="&amp;AM$1,INDIRECT("Table1[Ende]"),"&gt;="&amp;AM$1,INDIRECT("Table1[Obergruppe ATC-Code]"),Tabelle3!$A17)</f>
        <v>1</v>
      </c>
      <c r="AN17">
        <f ca="1">COUNTIFS(INDIRECT("Table1[Beginn]"),"&lt;="&amp;AN$1,INDIRECT("Table1[Ende]"),"&gt;="&amp;AN$1,INDIRECT("Table1[Obergruppe ATC-Code]"),Tabelle3!$A17)</f>
        <v>0</v>
      </c>
      <c r="AO17">
        <f ca="1">COUNTIFS(INDIRECT("Table1[Beginn]"),"&lt;="&amp;AO$1,INDIRECT("Table1[Ende]"),"&gt;="&amp;AO$1,INDIRECT("Table1[Obergruppe ATC-Code]"),Tabelle3!$A17)</f>
        <v>0</v>
      </c>
      <c r="AP17">
        <f ca="1">COUNTIFS(INDIRECT("Table1[Beginn]"),"&lt;="&amp;AP$1,INDIRECT("Table1[Ende]"),"&gt;="&amp;AP$1,INDIRECT("Table1[Obergruppe ATC-Code]"),Tabelle3!$A17)</f>
        <v>1</v>
      </c>
      <c r="AQ17">
        <f ca="1">COUNTIFS(INDIRECT("Table1[Beginn]"),"&lt;="&amp;AQ$1,INDIRECT("Table1[Ende]"),"&gt;="&amp;AQ$1,INDIRECT("Table1[Obergruppe ATC-Code]"),Tabelle3!$A17)</f>
        <v>1</v>
      </c>
      <c r="AR17">
        <f ca="1">COUNTIFS(INDIRECT("Table1[Beginn]"),"&lt;="&amp;AR$1,INDIRECT("Table1[Ende]"),"&gt;="&amp;AR$1,INDIRECT("Table1[Obergruppe ATC-Code]"),Tabelle3!$A17)</f>
        <v>0</v>
      </c>
      <c r="AS17">
        <f ca="1">COUNTIFS(INDIRECT("Table1[Beginn]"),"&lt;="&amp;AS$1,INDIRECT("Table1[Ende]"),"&gt;="&amp;AS$1,INDIRECT("Table1[Obergruppe ATC-Code]"),Tabelle3!$A17)</f>
        <v>0</v>
      </c>
      <c r="AT17">
        <f ca="1">COUNTIFS(INDIRECT("Table1[Beginn]"),"&lt;="&amp;AT$1,INDIRECT("Table1[Ende]"),"&gt;="&amp;AT$1,INDIRECT("Table1[Obergruppe ATC-Code]"),Tabelle3!$A17)</f>
        <v>0</v>
      </c>
      <c r="AU17">
        <f ca="1">COUNTIFS(INDIRECT("Table1[Beginn]"),"&lt;="&amp;AU$1,INDIRECT("Table1[Ende]"),"&gt;="&amp;AU$1,INDIRECT("Table1[Obergruppe ATC-Code]"),Tabelle3!$A17)</f>
        <v>1</v>
      </c>
      <c r="AV17">
        <f ca="1">COUNTIFS(INDIRECT("Table1[Beginn]"),"&lt;="&amp;AV$1,INDIRECT("Table1[Ende]"),"&gt;="&amp;AV$1,INDIRECT("Table1[Obergruppe ATC-Code]"),Tabelle3!$A17)</f>
        <v>1</v>
      </c>
      <c r="AW17">
        <f ca="1">COUNTIFS(INDIRECT("Table1[Beginn]"),"&lt;="&amp;AW$1,INDIRECT("Table1[Ende]"),"&gt;="&amp;AW$1,INDIRECT("Table1[Obergruppe ATC-Code]"),Tabelle3!$A17)</f>
        <v>0</v>
      </c>
      <c r="AX17">
        <f ca="1">COUNTIFS(INDIRECT("Table1[Beginn]"),"&lt;="&amp;AX$1,INDIRECT("Table1[Ende]"),"&gt;="&amp;AX$1,INDIRECT("Table1[Obergruppe ATC-Code]"),Tabelle3!$A17)</f>
        <v>0</v>
      </c>
      <c r="AY17">
        <f ca="1">COUNTIFS(INDIRECT("Table1[Beginn]"),"&lt;="&amp;AY$1,INDIRECT("Table1[Ende]"),"&gt;="&amp;AY$1,INDIRECT("Table1[Obergruppe ATC-Code]"),Tabelle3!$A17)</f>
        <v>0</v>
      </c>
      <c r="AZ17">
        <f ca="1">COUNTIFS(INDIRECT("Table1[Beginn]"),"&lt;="&amp;AZ$1,INDIRECT("Table1[Ende]"),"&gt;="&amp;AZ$1,INDIRECT("Table1[Obergruppe ATC-Code]"),Tabelle3!$A17)</f>
        <v>0</v>
      </c>
      <c r="BA17">
        <f ca="1">COUNTIFS(INDIRECT("Table1[Beginn]"),"&lt;="&amp;BA$1,INDIRECT("Table1[Ende]"),"&gt;="&amp;BA$1,INDIRECT("Table1[Obergruppe ATC-Code]"),Tabelle3!$A17)</f>
        <v>0</v>
      </c>
      <c r="BB17">
        <f ca="1">COUNTIFS(INDIRECT("Table1[Beginn]"),"&lt;="&amp;BB$1,INDIRECT("Table1[Ende]"),"&gt;="&amp;BB$1,INDIRECT("Table1[Obergruppe ATC-Code]"),Tabelle3!$A17)</f>
        <v>2</v>
      </c>
      <c r="BC17">
        <f ca="1">COUNTIFS(INDIRECT("Table1[Beginn]"),"&lt;="&amp;BC$1,INDIRECT("Table1[Ende]"),"&gt;="&amp;BC$1,INDIRECT("Table1[Obergruppe ATC-Code]"),Tabelle3!$A17)</f>
        <v>3</v>
      </c>
      <c r="BD17">
        <f ca="1">COUNTIFS(INDIRECT("Table1[Beginn]"),"&lt;="&amp;BD$1,INDIRECT("Table1[Ende]"),"&gt;="&amp;BD$1,INDIRECT("Table1[Obergruppe ATC-Code]"),Tabelle3!$A17)</f>
        <v>3</v>
      </c>
      <c r="BE17">
        <f ca="1">COUNTIFS(INDIRECT("Table1[Beginn]"),"&lt;="&amp;BE$1,INDIRECT("Table1[Ende]"),"&gt;="&amp;BE$1,INDIRECT("Table1[Obergruppe ATC-Code]"),Tabelle3!$A17)</f>
        <v>3</v>
      </c>
      <c r="BF17">
        <f ca="1">COUNTIFS(INDIRECT("Table1[Beginn]"),"&lt;="&amp;BF$1,INDIRECT("Table1[Ende]"),"&gt;="&amp;BF$1,INDIRECT("Table1[Obergruppe ATC-Code]"),Tabelle3!$A17)</f>
        <v>2</v>
      </c>
      <c r="BG17">
        <f ca="1">COUNTIFS(INDIRECT("Table1[Beginn]"),"&lt;="&amp;BG$1,INDIRECT("Table1[Ende]"),"&gt;="&amp;BG$1,INDIRECT("Table1[Obergruppe ATC-Code]"),Tabelle3!$A17)</f>
        <v>2</v>
      </c>
      <c r="BH17">
        <f ca="1">COUNTIFS(INDIRECT("Table1[Beginn]"),"&lt;="&amp;BH$1,INDIRECT("Table1[Ende]"),"&gt;="&amp;BH$1,INDIRECT("Table1[Obergruppe ATC-Code]"),Tabelle3!$A17)</f>
        <v>2</v>
      </c>
      <c r="BI17">
        <f ca="1">COUNTIFS(INDIRECT("Table1[Beginn]"),"&lt;="&amp;BI$1,INDIRECT("Table1[Ende]"),"&gt;="&amp;BI$1,INDIRECT("Table1[Obergruppe ATC-Code]"),Tabelle3!$A17)</f>
        <v>2</v>
      </c>
      <c r="BJ17">
        <f ca="1">COUNTIFS(INDIRECT("Table1[Beginn]"),"&lt;="&amp;BJ$1,INDIRECT("Table1[Ende]"),"&gt;="&amp;BJ$1,INDIRECT("Table1[Obergruppe ATC-Code]"),Tabelle3!$A17)</f>
        <v>2</v>
      </c>
      <c r="BK17">
        <f ca="1">COUNTIFS(INDIRECT("Table1[Beginn]"),"&lt;="&amp;BK$1,INDIRECT("Table1[Ende]"),"&gt;="&amp;BK$1,INDIRECT("Table1[Obergruppe ATC-Code]"),Tabelle3!$A17)</f>
        <v>2</v>
      </c>
      <c r="BL17">
        <f ca="1">COUNTIFS(INDIRECT("Table1[Beginn]"),"&lt;="&amp;BL$1,INDIRECT("Table1[Ende]"),"&gt;="&amp;BL$1,INDIRECT("Table1[Obergruppe ATC-Code]"),Tabelle3!$A17)</f>
        <v>2</v>
      </c>
      <c r="BM17">
        <f ca="1">COUNTIFS(INDIRECT("Table1[Beginn]"),"&lt;="&amp;BM$1,INDIRECT("Table1[Ende]"),"&gt;="&amp;BM$1,INDIRECT("Table1[Obergruppe ATC-Code]"),Tabelle3!$A17)</f>
        <v>2</v>
      </c>
      <c r="BN17">
        <f ca="1">COUNTIFS(INDIRECT("Table1[Beginn]"),"&lt;="&amp;BN$1,INDIRECT("Table1[Ende]"),"&gt;="&amp;BN$1,INDIRECT("Table1[Obergruppe ATC-Code]"),Tabelle3!$A17)</f>
        <v>2</v>
      </c>
      <c r="BO17">
        <f ca="1">COUNTIFS(INDIRECT("Table1[Beginn]"),"&lt;="&amp;BO$1,INDIRECT("Table1[Ende]"),"&gt;="&amp;BO$1,INDIRECT("Table1[Obergruppe ATC-Code]"),Tabelle3!$A17)</f>
        <v>2</v>
      </c>
      <c r="BP17">
        <f ca="1">COUNTIFS(INDIRECT("Table1[Beginn]"),"&lt;="&amp;BP$1,INDIRECT("Table1[Ende]"),"&gt;="&amp;BP$1,INDIRECT("Table1[Obergruppe ATC-Code]"),Tabelle3!$A17)</f>
        <v>2</v>
      </c>
      <c r="BQ17">
        <f ca="1">COUNTIFS(INDIRECT("Table1[Beginn]"),"&lt;="&amp;BQ$1,INDIRECT("Table1[Ende]"),"&gt;="&amp;BQ$1,INDIRECT("Table1[Obergruppe ATC-Code]"),Tabelle3!$A17)</f>
        <v>2</v>
      </c>
      <c r="BR17">
        <f ca="1">COUNTIFS(INDIRECT("Table1[Beginn]"),"&lt;="&amp;BR$1,INDIRECT("Table1[Ende]"),"&gt;="&amp;BR$1,INDIRECT("Table1[Obergruppe ATC-Code]"),Tabelle3!$A17)</f>
        <v>2</v>
      </c>
      <c r="BS17">
        <f ca="1">COUNTIFS(INDIRECT("Table1[Beginn]"),"&lt;="&amp;BS$1,INDIRECT("Table1[Ende]"),"&gt;="&amp;BS$1,INDIRECT("Table1[Obergruppe ATC-Code]"),Tabelle3!$A17)</f>
        <v>2</v>
      </c>
      <c r="BT17">
        <f ca="1">COUNTIFS(INDIRECT("Table1[Beginn]"),"&lt;="&amp;BT$1,INDIRECT("Table1[Ende]"),"&gt;="&amp;BT$1,INDIRECT("Table1[Obergruppe ATC-Code]"),Tabelle3!$A17)</f>
        <v>2</v>
      </c>
      <c r="BU17">
        <f ca="1">COUNTIFS(INDIRECT("Table1[Beginn]"),"&lt;="&amp;BU$1,INDIRECT("Table1[Ende]"),"&gt;="&amp;BU$1,INDIRECT("Table1[Obergruppe ATC-Code]"),Tabelle3!$A17)</f>
        <v>2</v>
      </c>
      <c r="BV17">
        <f ca="1">COUNTIFS(INDIRECT("Table1[Beginn]"),"&lt;="&amp;BV$1,INDIRECT("Table1[Ende]"),"&gt;="&amp;BV$1,INDIRECT("Table1[Obergruppe ATC-Code]"),Tabelle3!$A17)</f>
        <v>2</v>
      </c>
      <c r="BW17">
        <f ca="1">COUNTIFS(INDIRECT("Table1[Beginn]"),"&lt;="&amp;BW$1,INDIRECT("Table1[Ende]"),"&gt;="&amp;BW$1,INDIRECT("Table1[Obergruppe ATC-Code]"),Tabelle3!$A17)</f>
        <v>2</v>
      </c>
      <c r="BX17">
        <f ca="1">COUNTIFS(INDIRECT("Table1[Beginn]"),"&lt;="&amp;BX$1,INDIRECT("Table1[Ende]"),"&gt;="&amp;BX$1,INDIRECT("Table1[Obergruppe ATC-Code]"),Tabelle3!$A17)</f>
        <v>2</v>
      </c>
      <c r="BY17">
        <f ca="1">COUNTIFS(INDIRECT("Table1[Beginn]"),"&lt;="&amp;BY$1,INDIRECT("Table1[Ende]"),"&gt;="&amp;BY$1,INDIRECT("Table1[Obergruppe ATC-Code]"),Tabelle3!$A17)</f>
        <v>2</v>
      </c>
      <c r="BZ17">
        <f ca="1">COUNTIFS(INDIRECT("Table1[Beginn]"),"&lt;="&amp;BZ$1,INDIRECT("Table1[Ende]"),"&gt;="&amp;BZ$1,INDIRECT("Table1[Obergruppe ATC-Code]"),Tabelle3!$A17)</f>
        <v>2</v>
      </c>
      <c r="CA17">
        <f ca="1">COUNTIFS(INDIRECT("Table1[Beginn]"),"&lt;="&amp;CA$1,INDIRECT("Table1[Ende]"),"&gt;="&amp;CA$1,INDIRECT("Table1[Obergruppe ATC-Code]"),Tabelle3!$A17)</f>
        <v>2</v>
      </c>
      <c r="CB17">
        <f ca="1">COUNTIFS(INDIRECT("Table1[Beginn]"),"&lt;="&amp;CB$1,INDIRECT("Table1[Ende]"),"&gt;="&amp;CB$1,INDIRECT("Table1[Obergruppe ATC-Code]"),Tabelle3!$A17)</f>
        <v>2</v>
      </c>
      <c r="CC17">
        <f ca="1">COUNTIFS(INDIRECT("Table1[Beginn]"),"&lt;="&amp;CC$1,INDIRECT("Table1[Ende]"),"&gt;="&amp;CC$1,INDIRECT("Table1[Obergruppe ATC-Code]"),Tabelle3!$A17)</f>
        <v>2</v>
      </c>
      <c r="CD17">
        <f ca="1">COUNTIFS(INDIRECT("Table1[Beginn]"),"&lt;="&amp;CD$1,INDIRECT("Table1[Ende]"),"&gt;="&amp;CD$1,INDIRECT("Table1[Obergruppe ATC-Code]"),Tabelle3!$A17)</f>
        <v>2</v>
      </c>
      <c r="CE17">
        <f ca="1">COUNTIFS(INDIRECT("Table1[Beginn]"),"&lt;="&amp;CE$1,INDIRECT("Table1[Ende]"),"&gt;="&amp;CE$1,INDIRECT("Table1[Obergruppe ATC-Code]"),Tabelle3!$A17)</f>
        <v>2</v>
      </c>
      <c r="CF17">
        <f ca="1">COUNTIFS(INDIRECT("Table1[Beginn]"),"&lt;="&amp;CF$1,INDIRECT("Table1[Ende]"),"&gt;="&amp;CF$1,INDIRECT("Table1[Obergruppe ATC-Code]"),Tabelle3!$A17)</f>
        <v>2</v>
      </c>
      <c r="CG17">
        <f ca="1">COUNTIFS(INDIRECT("Table1[Beginn]"),"&lt;="&amp;CG$1,INDIRECT("Table1[Ende]"),"&gt;="&amp;CG$1,INDIRECT("Table1[Obergruppe ATC-Code]"),Tabelle3!$A17)</f>
        <v>2</v>
      </c>
      <c r="CH17">
        <f ca="1">COUNTIFS(INDIRECT("Table1[Beginn]"),"&lt;="&amp;CH$1,INDIRECT("Table1[Ende]"),"&gt;="&amp;CH$1,INDIRECT("Table1[Obergruppe ATC-Code]"),Tabelle3!$A17)</f>
        <v>2</v>
      </c>
      <c r="CI17">
        <f ca="1">COUNTIFS(INDIRECT("Table1[Beginn]"),"&lt;="&amp;CI$1,INDIRECT("Table1[Ende]"),"&gt;="&amp;CI$1,INDIRECT("Table1[Obergruppe ATC-Code]"),Tabelle3!$A17)</f>
        <v>2</v>
      </c>
      <c r="CJ17">
        <f ca="1">COUNTIFS(INDIRECT("Table1[Beginn]"),"&lt;="&amp;CJ$1,INDIRECT("Table1[Ende]"),"&gt;="&amp;CJ$1,INDIRECT("Table1[Obergruppe ATC-Code]"),Tabelle3!$A17)</f>
        <v>2</v>
      </c>
      <c r="CK17">
        <f ca="1">COUNTIFS(INDIRECT("Table1[Beginn]"),"&lt;="&amp;CK$1,INDIRECT("Table1[Ende]"),"&gt;="&amp;CK$1,INDIRECT("Table1[Obergruppe ATC-Code]"),Tabelle3!$A17)</f>
        <v>2</v>
      </c>
      <c r="CL17">
        <f ca="1">COUNTIFS(INDIRECT("Table1[Beginn]"),"&lt;="&amp;CL$1,INDIRECT("Table1[Ende]"),"&gt;="&amp;CL$1,INDIRECT("Table1[Obergruppe ATC-Code]"),Tabelle3!$A17)</f>
        <v>2</v>
      </c>
      <c r="CM17">
        <f ca="1">COUNTIFS(INDIRECT("Table1[Beginn]"),"&lt;="&amp;CM$1,INDIRECT("Table1[Ende]"),"&gt;="&amp;CM$1,INDIRECT("Table1[Obergruppe ATC-Code]"),Tabelle3!$A17)</f>
        <v>2</v>
      </c>
      <c r="CN17">
        <f ca="1">COUNTIFS(INDIRECT("Table1[Beginn]"),"&lt;="&amp;CN$1,INDIRECT("Table1[Ende]"),"&gt;="&amp;CN$1,INDIRECT("Table1[Obergruppe ATC-Code]"),Tabelle3!$A17)</f>
        <v>2</v>
      </c>
      <c r="CO17">
        <f ca="1">COUNTIFS(INDIRECT("Table1[Beginn]"),"&lt;="&amp;CO$1,INDIRECT("Table1[Ende]"),"&gt;="&amp;CO$1,INDIRECT("Table1[Obergruppe ATC-Code]"),Tabelle3!$A17)</f>
        <v>2</v>
      </c>
      <c r="CP17">
        <f ca="1">COUNTIFS(INDIRECT("Table1[Beginn]"),"&lt;="&amp;CP$1,INDIRECT("Table1[Ende]"),"&gt;="&amp;CP$1,INDIRECT("Table1[Obergruppe ATC-Code]"),Tabelle3!$A17)</f>
        <v>2</v>
      </c>
      <c r="CQ17">
        <f ca="1">COUNTIFS(INDIRECT("Table1[Beginn]"),"&lt;="&amp;CQ$1,INDIRECT("Table1[Ende]"),"&gt;="&amp;CQ$1,INDIRECT("Table1[Obergruppe ATC-Code]"),Tabelle3!$A17)</f>
        <v>2</v>
      </c>
      <c r="CR17">
        <f ca="1">COUNTIFS(INDIRECT("Table1[Beginn]"),"&lt;="&amp;CR$1,INDIRECT("Table1[Ende]"),"&gt;="&amp;CR$1,INDIRECT("Table1[Obergruppe ATC-Code]"),Tabelle3!$A17)</f>
        <v>2</v>
      </c>
      <c r="CS17">
        <f ca="1">COUNTIFS(INDIRECT("Table1[Beginn]"),"&lt;="&amp;CS$1,INDIRECT("Table1[Ende]"),"&gt;="&amp;CS$1,INDIRECT("Table1[Obergruppe ATC-Code]"),Tabelle3!$A17)</f>
        <v>2</v>
      </c>
      <c r="CT17">
        <f ca="1">COUNTIFS(INDIRECT("Table1[Beginn]"),"&lt;="&amp;CT$1,INDIRECT("Table1[Ende]"),"&gt;="&amp;CT$1,INDIRECT("Table1[Obergruppe ATC-Code]"),Tabelle3!$A17)</f>
        <v>2</v>
      </c>
      <c r="CU17" s="54"/>
      <c r="CV17" s="54"/>
      <c r="CW17" s="54"/>
      <c r="CX17" s="54"/>
      <c r="CY17" s="54"/>
      <c r="CZ17" s="54"/>
      <c r="DA17" s="54"/>
      <c r="DB17" s="54"/>
      <c r="DC17" s="54"/>
      <c r="DD17" s="54"/>
      <c r="DE17" s="54"/>
      <c r="DF17" s="54"/>
      <c r="DG17" s="54"/>
      <c r="DH17" s="54"/>
    </row>
    <row r="18" spans="1:112" ht="18" customHeight="1">
      <c r="A18" s="7" t="s">
        <v>6804</v>
      </c>
      <c r="B18" s="8" t="s">
        <v>6805</v>
      </c>
      <c r="C18">
        <f ca="1">COUNTIFS(INDIRECT("Table1[Beginn]"),"&lt;="&amp;C$1,INDIRECT("Table1[Ende]"),"&gt;="&amp;C$1,INDIRECT("Table1[Obergruppe ATC-Code]"),Tabelle3!$A18)</f>
        <v>0</v>
      </c>
      <c r="D18">
        <f ca="1">COUNTIFS(INDIRECT("Table1[Beginn]"),"&lt;="&amp;D$1,INDIRECT("Table1[Ende]"),"&gt;="&amp;D$1,INDIRECT("Table1[Obergruppe ATC-Code]"),Tabelle3!$A18)</f>
        <v>0</v>
      </c>
      <c r="E18">
        <f ca="1">COUNTIFS(INDIRECT("Table1[Beginn]"),"&lt;="&amp;E$1,INDIRECT("Table1[Ende]"),"&gt;="&amp;E$1,INDIRECT("Table1[Obergruppe ATC-Code]"),Tabelle3!$A18)</f>
        <v>0</v>
      </c>
      <c r="F18">
        <f ca="1">COUNTIFS(INDIRECT("Table1[Beginn]"),"&lt;="&amp;F$1,INDIRECT("Table1[Ende]"),"&gt;="&amp;F$1,INDIRECT("Table1[Obergruppe ATC-Code]"),Tabelle3!$A18)</f>
        <v>0</v>
      </c>
      <c r="G18">
        <f ca="1">COUNTIFS(INDIRECT("Table1[Beginn]"),"&lt;="&amp;G$1,INDIRECT("Table1[Ende]"),"&gt;="&amp;G$1,INDIRECT("Table1[Obergruppe ATC-Code]"),Tabelle3!$A18)</f>
        <v>0</v>
      </c>
      <c r="H18">
        <f ca="1">COUNTIFS(INDIRECT("Table1[Beginn]"),"&lt;="&amp;H$1,INDIRECT("Table1[Ende]"),"&gt;="&amp;H$1,INDIRECT("Table1[Obergruppe ATC-Code]"),Tabelle3!$A18)</f>
        <v>0</v>
      </c>
      <c r="I18">
        <f ca="1">COUNTIFS(INDIRECT("Table1[Beginn]"),"&lt;="&amp;I$1,INDIRECT("Table1[Ende]"),"&gt;="&amp;I$1,INDIRECT("Table1[Obergruppe ATC-Code]"),Tabelle3!$A18)</f>
        <v>1</v>
      </c>
      <c r="J18">
        <f ca="1">COUNTIFS(INDIRECT("Table1[Beginn]"),"&lt;="&amp;J$1,INDIRECT("Table1[Ende]"),"&gt;="&amp;J$1,INDIRECT("Table1[Obergruppe ATC-Code]"),Tabelle3!$A18)</f>
        <v>1</v>
      </c>
      <c r="K18">
        <f ca="1">COUNTIFS(INDIRECT("Table1[Beginn]"),"&lt;="&amp;K$1,INDIRECT("Table1[Ende]"),"&gt;="&amp;K$1,INDIRECT("Table1[Obergruppe ATC-Code]"),Tabelle3!$A18)</f>
        <v>2</v>
      </c>
      <c r="L18">
        <f ca="1">COUNTIFS(INDIRECT("Table1[Beginn]"),"&lt;="&amp;L$1,INDIRECT("Table1[Ende]"),"&gt;="&amp;L$1,INDIRECT("Table1[Obergruppe ATC-Code]"),Tabelle3!$A18)</f>
        <v>2</v>
      </c>
      <c r="M18">
        <f ca="1">COUNTIFS(INDIRECT("Table1[Beginn]"),"&lt;="&amp;M$1,INDIRECT("Table1[Ende]"),"&gt;="&amp;M$1,INDIRECT("Table1[Obergruppe ATC-Code]"),Tabelle3!$A18)</f>
        <v>2</v>
      </c>
      <c r="N18">
        <f ca="1">COUNTIFS(INDIRECT("Table1[Beginn]"),"&lt;="&amp;N$1,INDIRECT("Table1[Ende]"),"&gt;="&amp;N$1,INDIRECT("Table1[Obergruppe ATC-Code]"),Tabelle3!$A18)</f>
        <v>4</v>
      </c>
      <c r="O18">
        <f ca="1">COUNTIFS(INDIRECT("Table1[Beginn]"),"&lt;="&amp;O$1,INDIRECT("Table1[Ende]"),"&gt;="&amp;O$1,INDIRECT("Table1[Obergruppe ATC-Code]"),Tabelle3!$A18)</f>
        <v>4</v>
      </c>
      <c r="P18">
        <f ca="1">COUNTIFS(INDIRECT("Table1[Beginn]"),"&lt;="&amp;P$1,INDIRECT("Table1[Ende]"),"&gt;="&amp;P$1,INDIRECT("Table1[Obergruppe ATC-Code]"),Tabelle3!$A18)</f>
        <v>5</v>
      </c>
      <c r="Q18">
        <f ca="1">COUNTIFS(INDIRECT("Table1[Beginn]"),"&lt;="&amp;Q$1,INDIRECT("Table1[Ende]"),"&gt;="&amp;Q$1,INDIRECT("Table1[Obergruppe ATC-Code]"),Tabelle3!$A18)</f>
        <v>3</v>
      </c>
      <c r="R18">
        <f ca="1">COUNTIFS(INDIRECT("Table1[Beginn]"),"&lt;="&amp;R$1,INDIRECT("Table1[Ende]"),"&gt;="&amp;R$1,INDIRECT("Table1[Obergruppe ATC-Code]"),Tabelle3!$A18)</f>
        <v>3</v>
      </c>
      <c r="S18">
        <f ca="1">COUNTIFS(INDIRECT("Table1[Beginn]"),"&lt;="&amp;S$1,INDIRECT("Table1[Ende]"),"&gt;="&amp;S$1,INDIRECT("Table1[Obergruppe ATC-Code]"),Tabelle3!$A18)</f>
        <v>2</v>
      </c>
      <c r="T18">
        <f ca="1">COUNTIFS(INDIRECT("Table1[Beginn]"),"&lt;="&amp;T$1,INDIRECT("Table1[Ende]"),"&gt;="&amp;T$1,INDIRECT("Table1[Obergruppe ATC-Code]"),Tabelle3!$A18)</f>
        <v>1</v>
      </c>
      <c r="U18">
        <f ca="1">COUNTIFS(INDIRECT("Table1[Beginn]"),"&lt;="&amp;U$1,INDIRECT("Table1[Ende]"),"&gt;="&amp;U$1,INDIRECT("Table1[Obergruppe ATC-Code]"),Tabelle3!$A18)</f>
        <v>1</v>
      </c>
      <c r="V18">
        <f ca="1">COUNTIFS(INDIRECT("Table1[Beginn]"),"&lt;="&amp;V$1,INDIRECT("Table1[Ende]"),"&gt;="&amp;V$1,INDIRECT("Table1[Obergruppe ATC-Code]"),Tabelle3!$A18)</f>
        <v>1</v>
      </c>
      <c r="W18">
        <f ca="1">COUNTIFS(INDIRECT("Table1[Beginn]"),"&lt;="&amp;W$1,INDIRECT("Table1[Ende]"),"&gt;="&amp;W$1,INDIRECT("Table1[Obergruppe ATC-Code]"),Tabelle3!$A18)</f>
        <v>5</v>
      </c>
      <c r="X18">
        <f ca="1">COUNTIFS(INDIRECT("Table1[Beginn]"),"&lt;="&amp;X$1,INDIRECT("Table1[Ende]"),"&gt;="&amp;X$1,INDIRECT("Table1[Obergruppe ATC-Code]"),Tabelle3!$A18)</f>
        <v>5</v>
      </c>
      <c r="Y18">
        <f ca="1">COUNTIFS(INDIRECT("Table1[Beginn]"),"&lt;="&amp;Y$1,INDIRECT("Table1[Ende]"),"&gt;="&amp;Y$1,INDIRECT("Table1[Obergruppe ATC-Code]"),Tabelle3!$A18)</f>
        <v>6</v>
      </c>
      <c r="Z18">
        <f ca="1">COUNTIFS(INDIRECT("Table1[Beginn]"),"&lt;="&amp;Z$1,INDIRECT("Table1[Ende]"),"&gt;="&amp;Z$1,INDIRECT("Table1[Obergruppe ATC-Code]"),Tabelle3!$A18)</f>
        <v>6</v>
      </c>
      <c r="AA18">
        <f ca="1">COUNTIFS(INDIRECT("Table1[Beginn]"),"&lt;="&amp;AA$1,INDIRECT("Table1[Ende]"),"&gt;="&amp;AA$1,INDIRECT("Table1[Obergruppe ATC-Code]"),Tabelle3!$A18)</f>
        <v>6</v>
      </c>
      <c r="AB18">
        <f ca="1">COUNTIFS(INDIRECT("Table1[Beginn]"),"&lt;="&amp;AB$1,INDIRECT("Table1[Ende]"),"&gt;="&amp;AB$1,INDIRECT("Table1[Obergruppe ATC-Code]"),Tabelle3!$A18)</f>
        <v>6</v>
      </c>
      <c r="AC18">
        <f ca="1">COUNTIFS(INDIRECT("Table1[Beginn]"),"&lt;="&amp;AC$1,INDIRECT("Table1[Ende]"),"&gt;="&amp;AC$1,INDIRECT("Table1[Obergruppe ATC-Code]"),Tabelle3!$A18)</f>
        <v>7</v>
      </c>
      <c r="AD18">
        <f ca="1">COUNTIFS(INDIRECT("Table1[Beginn]"),"&lt;="&amp;AD$1,INDIRECT("Table1[Ende]"),"&gt;="&amp;AD$1,INDIRECT("Table1[Obergruppe ATC-Code]"),Tabelle3!$A18)</f>
        <v>6</v>
      </c>
      <c r="AE18">
        <f ca="1">COUNTIFS(INDIRECT("Table1[Beginn]"),"&lt;="&amp;AE$1,INDIRECT("Table1[Ende]"),"&gt;="&amp;AE$1,INDIRECT("Table1[Obergruppe ATC-Code]"),Tabelle3!$A18)</f>
        <v>5</v>
      </c>
      <c r="AF18">
        <f ca="1">COUNTIFS(INDIRECT("Table1[Beginn]"),"&lt;="&amp;AF$1,INDIRECT("Table1[Ende]"),"&gt;="&amp;AF$1,INDIRECT("Table1[Obergruppe ATC-Code]"),Tabelle3!$A18)</f>
        <v>5</v>
      </c>
      <c r="AG18">
        <f ca="1">COUNTIFS(INDIRECT("Table1[Beginn]"),"&lt;="&amp;AG$1,INDIRECT("Table1[Ende]"),"&gt;="&amp;AG$1,INDIRECT("Table1[Obergruppe ATC-Code]"),Tabelle3!$A18)</f>
        <v>6</v>
      </c>
      <c r="AH18">
        <f ca="1">COUNTIFS(INDIRECT("Table1[Beginn]"),"&lt;="&amp;AH$1,INDIRECT("Table1[Ende]"),"&gt;="&amp;AH$1,INDIRECT("Table1[Obergruppe ATC-Code]"),Tabelle3!$A18)</f>
        <v>6</v>
      </c>
      <c r="AI18">
        <f ca="1">COUNTIFS(INDIRECT("Table1[Beginn]"),"&lt;="&amp;AI$1,INDIRECT("Table1[Ende]"),"&gt;="&amp;AI$1,INDIRECT("Table1[Obergruppe ATC-Code]"),Tabelle3!$A18)</f>
        <v>6</v>
      </c>
      <c r="AJ18">
        <f ca="1">COUNTIFS(INDIRECT("Table1[Beginn]"),"&lt;="&amp;AJ$1,INDIRECT("Table1[Ende]"),"&gt;="&amp;AJ$1,INDIRECT("Table1[Obergruppe ATC-Code]"),Tabelle3!$A18)</f>
        <v>5</v>
      </c>
      <c r="AK18">
        <f ca="1">COUNTIFS(INDIRECT("Table1[Beginn]"),"&lt;="&amp;AK$1,INDIRECT("Table1[Ende]"),"&gt;="&amp;AK$1,INDIRECT("Table1[Obergruppe ATC-Code]"),Tabelle3!$A18)</f>
        <v>5</v>
      </c>
      <c r="AL18">
        <f ca="1">COUNTIFS(INDIRECT("Table1[Beginn]"),"&lt;="&amp;AL$1,INDIRECT("Table1[Ende]"),"&gt;="&amp;AL$1,INDIRECT("Table1[Obergruppe ATC-Code]"),Tabelle3!$A18)</f>
        <v>5</v>
      </c>
      <c r="AM18">
        <f ca="1">COUNTIFS(INDIRECT("Table1[Beginn]"),"&lt;="&amp;AM$1,INDIRECT("Table1[Ende]"),"&gt;="&amp;AM$1,INDIRECT("Table1[Obergruppe ATC-Code]"),Tabelle3!$A18)</f>
        <v>5</v>
      </c>
      <c r="AN18">
        <f ca="1">COUNTIFS(INDIRECT("Table1[Beginn]"),"&lt;="&amp;AN$1,INDIRECT("Table1[Ende]"),"&gt;="&amp;AN$1,INDIRECT("Table1[Obergruppe ATC-Code]"),Tabelle3!$A18)</f>
        <v>5</v>
      </c>
      <c r="AO18">
        <f ca="1">COUNTIFS(INDIRECT("Table1[Beginn]"),"&lt;="&amp;AO$1,INDIRECT("Table1[Ende]"),"&gt;="&amp;AO$1,INDIRECT("Table1[Obergruppe ATC-Code]"),Tabelle3!$A18)</f>
        <v>7</v>
      </c>
      <c r="AP18">
        <f ca="1">COUNTIFS(INDIRECT("Table1[Beginn]"),"&lt;="&amp;AP$1,INDIRECT("Table1[Ende]"),"&gt;="&amp;AP$1,INDIRECT("Table1[Obergruppe ATC-Code]"),Tabelle3!$A18)</f>
        <v>7</v>
      </c>
      <c r="AQ18">
        <f ca="1">COUNTIFS(INDIRECT("Table1[Beginn]"),"&lt;="&amp;AQ$1,INDIRECT("Table1[Ende]"),"&gt;="&amp;AQ$1,INDIRECT("Table1[Obergruppe ATC-Code]"),Tabelle3!$A18)</f>
        <v>7</v>
      </c>
      <c r="AR18">
        <f ca="1">COUNTIFS(INDIRECT("Table1[Beginn]"),"&lt;="&amp;AR$1,INDIRECT("Table1[Ende]"),"&gt;="&amp;AR$1,INDIRECT("Table1[Obergruppe ATC-Code]"),Tabelle3!$A18)</f>
        <v>7</v>
      </c>
      <c r="AS18">
        <f ca="1">COUNTIFS(INDIRECT("Table1[Beginn]"),"&lt;="&amp;AS$1,INDIRECT("Table1[Ende]"),"&gt;="&amp;AS$1,INDIRECT("Table1[Obergruppe ATC-Code]"),Tabelle3!$A18)</f>
        <v>7</v>
      </c>
      <c r="AT18">
        <f ca="1">COUNTIFS(INDIRECT("Table1[Beginn]"),"&lt;="&amp;AT$1,INDIRECT("Table1[Ende]"),"&gt;="&amp;AT$1,INDIRECT("Table1[Obergruppe ATC-Code]"),Tabelle3!$A18)</f>
        <v>5</v>
      </c>
      <c r="AU18">
        <f ca="1">COUNTIFS(INDIRECT("Table1[Beginn]"),"&lt;="&amp;AU$1,INDIRECT("Table1[Ende]"),"&gt;="&amp;AU$1,INDIRECT("Table1[Obergruppe ATC-Code]"),Tabelle3!$A18)</f>
        <v>5</v>
      </c>
      <c r="AV18">
        <f ca="1">COUNTIFS(INDIRECT("Table1[Beginn]"),"&lt;="&amp;AV$1,INDIRECT("Table1[Ende]"),"&gt;="&amp;AV$1,INDIRECT("Table1[Obergruppe ATC-Code]"),Tabelle3!$A18)</f>
        <v>5</v>
      </c>
      <c r="AW18">
        <f ca="1">COUNTIFS(INDIRECT("Table1[Beginn]"),"&lt;="&amp;AW$1,INDIRECT("Table1[Ende]"),"&gt;="&amp;AW$1,INDIRECT("Table1[Obergruppe ATC-Code]"),Tabelle3!$A18)</f>
        <v>5</v>
      </c>
      <c r="AX18">
        <f ca="1">COUNTIFS(INDIRECT("Table1[Beginn]"),"&lt;="&amp;AX$1,INDIRECT("Table1[Ende]"),"&gt;="&amp;AX$1,INDIRECT("Table1[Obergruppe ATC-Code]"),Tabelle3!$A18)</f>
        <v>5</v>
      </c>
      <c r="AY18">
        <f ca="1">COUNTIFS(INDIRECT("Table1[Beginn]"),"&lt;="&amp;AY$1,INDIRECT("Table1[Ende]"),"&gt;="&amp;AY$1,INDIRECT("Table1[Obergruppe ATC-Code]"),Tabelle3!$A18)</f>
        <v>5</v>
      </c>
      <c r="AZ18">
        <f ca="1">COUNTIFS(INDIRECT("Table1[Beginn]"),"&lt;="&amp;AZ$1,INDIRECT("Table1[Ende]"),"&gt;="&amp;AZ$1,INDIRECT("Table1[Obergruppe ATC-Code]"),Tabelle3!$A18)</f>
        <v>6</v>
      </c>
      <c r="BA18">
        <f ca="1">COUNTIFS(INDIRECT("Table1[Beginn]"),"&lt;="&amp;BA$1,INDIRECT("Table1[Ende]"),"&gt;="&amp;BA$1,INDIRECT("Table1[Obergruppe ATC-Code]"),Tabelle3!$A18)</f>
        <v>6</v>
      </c>
      <c r="BB18">
        <f ca="1">COUNTIFS(INDIRECT("Table1[Beginn]"),"&lt;="&amp;BB$1,INDIRECT("Table1[Ende]"),"&gt;="&amp;BB$1,INDIRECT("Table1[Obergruppe ATC-Code]"),Tabelle3!$A18)</f>
        <v>6</v>
      </c>
      <c r="BC18">
        <f ca="1">COUNTIFS(INDIRECT("Table1[Beginn]"),"&lt;="&amp;BC$1,INDIRECT("Table1[Ende]"),"&gt;="&amp;BC$1,INDIRECT("Table1[Obergruppe ATC-Code]"),Tabelle3!$A18)</f>
        <v>6</v>
      </c>
      <c r="BD18">
        <f ca="1">COUNTIFS(INDIRECT("Table1[Beginn]"),"&lt;="&amp;BD$1,INDIRECT("Table1[Ende]"),"&gt;="&amp;BD$1,INDIRECT("Table1[Obergruppe ATC-Code]"),Tabelle3!$A18)</f>
        <v>6</v>
      </c>
      <c r="BE18">
        <f ca="1">COUNTIFS(INDIRECT("Table1[Beginn]"),"&lt;="&amp;BE$1,INDIRECT("Table1[Ende]"),"&gt;="&amp;BE$1,INDIRECT("Table1[Obergruppe ATC-Code]"),Tabelle3!$A18)</f>
        <v>7</v>
      </c>
      <c r="BF18">
        <f ca="1">COUNTIFS(INDIRECT("Table1[Beginn]"),"&lt;="&amp;BF$1,INDIRECT("Table1[Ende]"),"&gt;="&amp;BF$1,INDIRECT("Table1[Obergruppe ATC-Code]"),Tabelle3!$A18)</f>
        <v>6</v>
      </c>
      <c r="BG18">
        <f ca="1">COUNTIFS(INDIRECT("Table1[Beginn]"),"&lt;="&amp;BG$1,INDIRECT("Table1[Ende]"),"&gt;="&amp;BG$1,INDIRECT("Table1[Obergruppe ATC-Code]"),Tabelle3!$A18)</f>
        <v>8</v>
      </c>
      <c r="BH18">
        <f ca="1">COUNTIFS(INDIRECT("Table1[Beginn]"),"&lt;="&amp;BH$1,INDIRECT("Table1[Ende]"),"&gt;="&amp;BH$1,INDIRECT("Table1[Obergruppe ATC-Code]"),Tabelle3!$A18)</f>
        <v>7</v>
      </c>
      <c r="BI18">
        <f ca="1">COUNTIFS(INDIRECT("Table1[Beginn]"),"&lt;="&amp;BI$1,INDIRECT("Table1[Ende]"),"&gt;="&amp;BI$1,INDIRECT("Table1[Obergruppe ATC-Code]"),Tabelle3!$A18)</f>
        <v>8</v>
      </c>
      <c r="BJ18">
        <f ca="1">COUNTIFS(INDIRECT("Table1[Beginn]"),"&lt;="&amp;BJ$1,INDIRECT("Table1[Ende]"),"&gt;="&amp;BJ$1,INDIRECT("Table1[Obergruppe ATC-Code]"),Tabelle3!$A18)</f>
        <v>7</v>
      </c>
      <c r="BK18">
        <f ca="1">COUNTIFS(INDIRECT("Table1[Beginn]"),"&lt;="&amp;BK$1,INDIRECT("Table1[Ende]"),"&gt;="&amp;BK$1,INDIRECT("Table1[Obergruppe ATC-Code]"),Tabelle3!$A18)</f>
        <v>7</v>
      </c>
      <c r="BL18">
        <f ca="1">COUNTIFS(INDIRECT("Table1[Beginn]"),"&lt;="&amp;BL$1,INDIRECT("Table1[Ende]"),"&gt;="&amp;BL$1,INDIRECT("Table1[Obergruppe ATC-Code]"),Tabelle3!$A18)</f>
        <v>7</v>
      </c>
      <c r="BM18">
        <f ca="1">COUNTIFS(INDIRECT("Table1[Beginn]"),"&lt;="&amp;BM$1,INDIRECT("Table1[Ende]"),"&gt;="&amp;BM$1,INDIRECT("Table1[Obergruppe ATC-Code]"),Tabelle3!$A18)</f>
        <v>3</v>
      </c>
      <c r="BN18">
        <f ca="1">COUNTIFS(INDIRECT("Table1[Beginn]"),"&lt;="&amp;BN$1,INDIRECT("Table1[Ende]"),"&gt;="&amp;BN$1,INDIRECT("Table1[Obergruppe ATC-Code]"),Tabelle3!$A18)</f>
        <v>3</v>
      </c>
      <c r="BO18">
        <f ca="1">COUNTIFS(INDIRECT("Table1[Beginn]"),"&lt;="&amp;BO$1,INDIRECT("Table1[Ende]"),"&gt;="&amp;BO$1,INDIRECT("Table1[Obergruppe ATC-Code]"),Tabelle3!$A18)</f>
        <v>5</v>
      </c>
      <c r="BP18">
        <f ca="1">COUNTIFS(INDIRECT("Table1[Beginn]"),"&lt;="&amp;BP$1,INDIRECT("Table1[Ende]"),"&gt;="&amp;BP$1,INDIRECT("Table1[Obergruppe ATC-Code]"),Tabelle3!$A18)</f>
        <v>5</v>
      </c>
      <c r="BQ18">
        <f ca="1">COUNTIFS(INDIRECT("Table1[Beginn]"),"&lt;="&amp;BQ$1,INDIRECT("Table1[Ende]"),"&gt;="&amp;BQ$1,INDIRECT("Table1[Obergruppe ATC-Code]"),Tabelle3!$A18)</f>
        <v>6</v>
      </c>
      <c r="BR18">
        <f ca="1">COUNTIFS(INDIRECT("Table1[Beginn]"),"&lt;="&amp;BR$1,INDIRECT("Table1[Ende]"),"&gt;="&amp;BR$1,INDIRECT("Table1[Obergruppe ATC-Code]"),Tabelle3!$A18)</f>
        <v>6</v>
      </c>
      <c r="BS18">
        <f ca="1">COUNTIFS(INDIRECT("Table1[Beginn]"),"&lt;="&amp;BS$1,INDIRECT("Table1[Ende]"),"&gt;="&amp;BS$1,INDIRECT("Table1[Obergruppe ATC-Code]"),Tabelle3!$A18)</f>
        <v>8</v>
      </c>
      <c r="BT18">
        <f ca="1">COUNTIFS(INDIRECT("Table1[Beginn]"),"&lt;="&amp;BT$1,INDIRECT("Table1[Ende]"),"&gt;="&amp;BT$1,INDIRECT("Table1[Obergruppe ATC-Code]"),Tabelle3!$A18)</f>
        <v>8</v>
      </c>
      <c r="BU18">
        <f ca="1">COUNTIFS(INDIRECT("Table1[Beginn]"),"&lt;="&amp;BU$1,INDIRECT("Table1[Ende]"),"&gt;="&amp;BU$1,INDIRECT("Table1[Obergruppe ATC-Code]"),Tabelle3!$A18)</f>
        <v>7</v>
      </c>
      <c r="BV18">
        <f ca="1">COUNTIFS(INDIRECT("Table1[Beginn]"),"&lt;="&amp;BV$1,INDIRECT("Table1[Ende]"),"&gt;="&amp;BV$1,INDIRECT("Table1[Obergruppe ATC-Code]"),Tabelle3!$A18)</f>
        <v>8</v>
      </c>
      <c r="BW18">
        <f ca="1">COUNTIFS(INDIRECT("Table1[Beginn]"),"&lt;="&amp;BW$1,INDIRECT("Table1[Ende]"),"&gt;="&amp;BW$1,INDIRECT("Table1[Obergruppe ATC-Code]"),Tabelle3!$A18)</f>
        <v>8</v>
      </c>
      <c r="BX18">
        <f ca="1">COUNTIFS(INDIRECT("Table1[Beginn]"),"&lt;="&amp;BX$1,INDIRECT("Table1[Ende]"),"&gt;="&amp;BX$1,INDIRECT("Table1[Obergruppe ATC-Code]"),Tabelle3!$A18)</f>
        <v>9</v>
      </c>
      <c r="BY18">
        <f ca="1">COUNTIFS(INDIRECT("Table1[Beginn]"),"&lt;="&amp;BY$1,INDIRECT("Table1[Ende]"),"&gt;="&amp;BY$1,INDIRECT("Table1[Obergruppe ATC-Code]"),Tabelle3!$A18)</f>
        <v>10</v>
      </c>
      <c r="BZ18">
        <f ca="1">COUNTIFS(INDIRECT("Table1[Beginn]"),"&lt;="&amp;BZ$1,INDIRECT("Table1[Ende]"),"&gt;="&amp;BZ$1,INDIRECT("Table1[Obergruppe ATC-Code]"),Tabelle3!$A18)</f>
        <v>8</v>
      </c>
      <c r="CA18">
        <f ca="1">COUNTIFS(INDIRECT("Table1[Beginn]"),"&lt;="&amp;CA$1,INDIRECT("Table1[Ende]"),"&gt;="&amp;CA$1,INDIRECT("Table1[Obergruppe ATC-Code]"),Tabelle3!$A18)</f>
        <v>9</v>
      </c>
      <c r="CB18">
        <f ca="1">COUNTIFS(INDIRECT("Table1[Beginn]"),"&lt;="&amp;CB$1,INDIRECT("Table1[Ende]"),"&gt;="&amp;CB$1,INDIRECT("Table1[Obergruppe ATC-Code]"),Tabelle3!$A18)</f>
        <v>8</v>
      </c>
      <c r="CC18">
        <f ca="1">COUNTIFS(INDIRECT("Table1[Beginn]"),"&lt;="&amp;CC$1,INDIRECT("Table1[Ende]"),"&gt;="&amp;CC$1,INDIRECT("Table1[Obergruppe ATC-Code]"),Tabelle3!$A18)</f>
        <v>5</v>
      </c>
      <c r="CD18">
        <f ca="1">COUNTIFS(INDIRECT("Table1[Beginn]"),"&lt;="&amp;CD$1,INDIRECT("Table1[Ende]"),"&gt;="&amp;CD$1,INDIRECT("Table1[Obergruppe ATC-Code]"),Tabelle3!$A18)</f>
        <v>5</v>
      </c>
      <c r="CE18">
        <f ca="1">COUNTIFS(INDIRECT("Table1[Beginn]"),"&lt;="&amp;CE$1,INDIRECT("Table1[Ende]"),"&gt;="&amp;CE$1,INDIRECT("Table1[Obergruppe ATC-Code]"),Tabelle3!$A18)</f>
        <v>7</v>
      </c>
      <c r="CF18">
        <f ca="1">COUNTIFS(INDIRECT("Table1[Beginn]"),"&lt;="&amp;CF$1,INDIRECT("Table1[Ende]"),"&gt;="&amp;CF$1,INDIRECT("Table1[Obergruppe ATC-Code]"),Tabelle3!$A18)</f>
        <v>8</v>
      </c>
      <c r="CG18">
        <f ca="1">COUNTIFS(INDIRECT("Table1[Beginn]"),"&lt;="&amp;CG$1,INDIRECT("Table1[Ende]"),"&gt;="&amp;CG$1,INDIRECT("Table1[Obergruppe ATC-Code]"),Tabelle3!$A18)</f>
        <v>5</v>
      </c>
      <c r="CH18">
        <f ca="1">COUNTIFS(INDIRECT("Table1[Beginn]"),"&lt;="&amp;CH$1,INDIRECT("Table1[Ende]"),"&gt;="&amp;CH$1,INDIRECT("Table1[Obergruppe ATC-Code]"),Tabelle3!$A18)</f>
        <v>5</v>
      </c>
      <c r="CI18">
        <f ca="1">COUNTIFS(INDIRECT("Table1[Beginn]"),"&lt;="&amp;CI$1,INDIRECT("Table1[Ende]"),"&gt;="&amp;CI$1,INDIRECT("Table1[Obergruppe ATC-Code]"),Tabelle3!$A18)</f>
        <v>3</v>
      </c>
      <c r="CJ18">
        <f ca="1">COUNTIFS(INDIRECT("Table1[Beginn]"),"&lt;="&amp;CJ$1,INDIRECT("Table1[Ende]"),"&gt;="&amp;CJ$1,INDIRECT("Table1[Obergruppe ATC-Code]"),Tabelle3!$A18)</f>
        <v>3</v>
      </c>
      <c r="CK18">
        <f ca="1">COUNTIFS(INDIRECT("Table1[Beginn]"),"&lt;="&amp;CK$1,INDIRECT("Table1[Ende]"),"&gt;="&amp;CK$1,INDIRECT("Table1[Obergruppe ATC-Code]"),Tabelle3!$A18)</f>
        <v>3</v>
      </c>
      <c r="CL18">
        <f ca="1">COUNTIFS(INDIRECT("Table1[Beginn]"),"&lt;="&amp;CL$1,INDIRECT("Table1[Ende]"),"&gt;="&amp;CL$1,INDIRECT("Table1[Obergruppe ATC-Code]"),Tabelle3!$A18)</f>
        <v>3</v>
      </c>
      <c r="CM18">
        <f ca="1">COUNTIFS(INDIRECT("Table1[Beginn]"),"&lt;="&amp;CM$1,INDIRECT("Table1[Ende]"),"&gt;="&amp;CM$1,INDIRECT("Table1[Obergruppe ATC-Code]"),Tabelle3!$A18)</f>
        <v>3</v>
      </c>
      <c r="CN18">
        <f ca="1">COUNTIFS(INDIRECT("Table1[Beginn]"),"&lt;="&amp;CN$1,INDIRECT("Table1[Ende]"),"&gt;="&amp;CN$1,INDIRECT("Table1[Obergruppe ATC-Code]"),Tabelle3!$A18)</f>
        <v>3</v>
      </c>
      <c r="CO18">
        <f ca="1">COUNTIFS(INDIRECT("Table1[Beginn]"),"&lt;="&amp;CO$1,INDIRECT("Table1[Ende]"),"&gt;="&amp;CO$1,INDIRECT("Table1[Obergruppe ATC-Code]"),Tabelle3!$A18)</f>
        <v>3</v>
      </c>
      <c r="CP18">
        <f ca="1">COUNTIFS(INDIRECT("Table1[Beginn]"),"&lt;="&amp;CP$1,INDIRECT("Table1[Ende]"),"&gt;="&amp;CP$1,INDIRECT("Table1[Obergruppe ATC-Code]"),Tabelle3!$A18)</f>
        <v>3</v>
      </c>
      <c r="CQ18">
        <f ca="1">COUNTIFS(INDIRECT("Table1[Beginn]"),"&lt;="&amp;CQ$1,INDIRECT("Table1[Ende]"),"&gt;="&amp;CQ$1,INDIRECT("Table1[Obergruppe ATC-Code]"),Tabelle3!$A18)</f>
        <v>3</v>
      </c>
      <c r="CR18">
        <f ca="1">COUNTIFS(INDIRECT("Table1[Beginn]"),"&lt;="&amp;CR$1,INDIRECT("Table1[Ende]"),"&gt;="&amp;CR$1,INDIRECT("Table1[Obergruppe ATC-Code]"),Tabelle3!$A18)</f>
        <v>3</v>
      </c>
      <c r="CS18">
        <f ca="1">COUNTIFS(INDIRECT("Table1[Beginn]"),"&lt;="&amp;CS$1,INDIRECT("Table1[Ende]"),"&gt;="&amp;CS$1,INDIRECT("Table1[Obergruppe ATC-Code]"),Tabelle3!$A18)</f>
        <v>3</v>
      </c>
      <c r="CT18">
        <f ca="1">COUNTIFS(INDIRECT("Table1[Beginn]"),"&lt;="&amp;CT$1,INDIRECT("Table1[Ende]"),"&gt;="&amp;CT$1,INDIRECT("Table1[Obergruppe ATC-Code]"),Tabelle3!$A18)</f>
        <v>3</v>
      </c>
      <c r="CU18" s="54"/>
      <c r="CV18" s="54"/>
      <c r="CW18" s="54"/>
      <c r="CX18" s="54"/>
      <c r="CY18" s="54"/>
      <c r="CZ18" s="54"/>
      <c r="DA18" s="54"/>
      <c r="DB18" s="54"/>
      <c r="DC18" s="54"/>
      <c r="DD18" s="54"/>
      <c r="DE18" s="54"/>
      <c r="DF18" s="54"/>
      <c r="DG18" s="54"/>
      <c r="DH18" s="54"/>
    </row>
    <row r="19" spans="1:112" ht="18" customHeight="1">
      <c r="A19" s="9" t="s">
        <v>6806</v>
      </c>
      <c r="B19" s="10" t="s">
        <v>6807</v>
      </c>
      <c r="C19">
        <f ca="1">COUNTIFS(INDIRECT("Table1[Beginn]"),"&lt;="&amp;C$1,INDIRECT("Table1[Ende]"),"&gt;="&amp;C$1,INDIRECT("Table1[Obergruppe ATC-Code]"),Tabelle3!$A19)</f>
        <v>0</v>
      </c>
      <c r="D19">
        <f ca="1">COUNTIFS(INDIRECT("Table1[Beginn]"),"&lt;="&amp;D$1,INDIRECT("Table1[Ende]"),"&gt;="&amp;D$1,INDIRECT("Table1[Obergruppe ATC-Code]"),Tabelle3!$A19)</f>
        <v>0</v>
      </c>
      <c r="E19">
        <f ca="1">COUNTIFS(INDIRECT("Table1[Beginn]"),"&lt;="&amp;E$1,INDIRECT("Table1[Ende]"),"&gt;="&amp;E$1,INDIRECT("Table1[Obergruppe ATC-Code]"),Tabelle3!$A19)</f>
        <v>0</v>
      </c>
      <c r="F19">
        <f ca="1">COUNTIFS(INDIRECT("Table1[Beginn]"),"&lt;="&amp;F$1,INDIRECT("Table1[Ende]"),"&gt;="&amp;F$1,INDIRECT("Table1[Obergruppe ATC-Code]"),Tabelle3!$A19)</f>
        <v>0</v>
      </c>
      <c r="G19">
        <f ca="1">COUNTIFS(INDIRECT("Table1[Beginn]"),"&lt;="&amp;G$1,INDIRECT("Table1[Ende]"),"&gt;="&amp;G$1,INDIRECT("Table1[Obergruppe ATC-Code]"),Tabelle3!$A19)</f>
        <v>0</v>
      </c>
      <c r="H19">
        <f ca="1">COUNTIFS(INDIRECT("Table1[Beginn]"),"&lt;="&amp;H$1,INDIRECT("Table1[Ende]"),"&gt;="&amp;H$1,INDIRECT("Table1[Obergruppe ATC-Code]"),Tabelle3!$A19)</f>
        <v>0</v>
      </c>
      <c r="I19">
        <f ca="1">COUNTIFS(INDIRECT("Table1[Beginn]"),"&lt;="&amp;I$1,INDIRECT("Table1[Ende]"),"&gt;="&amp;I$1,INDIRECT("Table1[Obergruppe ATC-Code]"),Tabelle3!$A19)</f>
        <v>0</v>
      </c>
      <c r="J19">
        <f ca="1">COUNTIFS(INDIRECT("Table1[Beginn]"),"&lt;="&amp;J$1,INDIRECT("Table1[Ende]"),"&gt;="&amp;J$1,INDIRECT("Table1[Obergruppe ATC-Code]"),Tabelle3!$A19)</f>
        <v>0</v>
      </c>
      <c r="K19">
        <f ca="1">COUNTIFS(INDIRECT("Table1[Beginn]"),"&lt;="&amp;K$1,INDIRECT("Table1[Ende]"),"&gt;="&amp;K$1,INDIRECT("Table1[Obergruppe ATC-Code]"),Tabelle3!$A19)</f>
        <v>0</v>
      </c>
      <c r="L19">
        <f ca="1">COUNTIFS(INDIRECT("Table1[Beginn]"),"&lt;="&amp;L$1,INDIRECT("Table1[Ende]"),"&gt;="&amp;L$1,INDIRECT("Table1[Obergruppe ATC-Code]"),Tabelle3!$A19)</f>
        <v>0</v>
      </c>
      <c r="M19">
        <f ca="1">COUNTIFS(INDIRECT("Table1[Beginn]"),"&lt;="&amp;M$1,INDIRECT("Table1[Ende]"),"&gt;="&amp;M$1,INDIRECT("Table1[Obergruppe ATC-Code]"),Tabelle3!$A19)</f>
        <v>0</v>
      </c>
      <c r="N19">
        <f ca="1">COUNTIFS(INDIRECT("Table1[Beginn]"),"&lt;="&amp;N$1,INDIRECT("Table1[Ende]"),"&gt;="&amp;N$1,INDIRECT("Table1[Obergruppe ATC-Code]"),Tabelle3!$A19)</f>
        <v>0</v>
      </c>
      <c r="O19">
        <f ca="1">COUNTIFS(INDIRECT("Table1[Beginn]"),"&lt;="&amp;O$1,INDIRECT("Table1[Ende]"),"&gt;="&amp;O$1,INDIRECT("Table1[Obergruppe ATC-Code]"),Tabelle3!$A19)</f>
        <v>0</v>
      </c>
      <c r="P19">
        <f ca="1">COUNTIFS(INDIRECT("Table1[Beginn]"),"&lt;="&amp;P$1,INDIRECT("Table1[Ende]"),"&gt;="&amp;P$1,INDIRECT("Table1[Obergruppe ATC-Code]"),Tabelle3!$A19)</f>
        <v>1</v>
      </c>
      <c r="Q19">
        <f ca="1">COUNTIFS(INDIRECT("Table1[Beginn]"),"&lt;="&amp;Q$1,INDIRECT("Table1[Ende]"),"&gt;="&amp;Q$1,INDIRECT("Table1[Obergruppe ATC-Code]"),Tabelle3!$A19)</f>
        <v>1</v>
      </c>
      <c r="R19">
        <f ca="1">COUNTIFS(INDIRECT("Table1[Beginn]"),"&lt;="&amp;R$1,INDIRECT("Table1[Ende]"),"&gt;="&amp;R$1,INDIRECT("Table1[Obergruppe ATC-Code]"),Tabelle3!$A19)</f>
        <v>1</v>
      </c>
      <c r="S19">
        <f ca="1">COUNTIFS(INDIRECT("Table1[Beginn]"),"&lt;="&amp;S$1,INDIRECT("Table1[Ende]"),"&gt;="&amp;S$1,INDIRECT("Table1[Obergruppe ATC-Code]"),Tabelle3!$A19)</f>
        <v>1</v>
      </c>
      <c r="T19">
        <f ca="1">COUNTIFS(INDIRECT("Table1[Beginn]"),"&lt;="&amp;T$1,INDIRECT("Table1[Ende]"),"&gt;="&amp;T$1,INDIRECT("Table1[Obergruppe ATC-Code]"),Tabelle3!$A19)</f>
        <v>0</v>
      </c>
      <c r="U19">
        <f ca="1">COUNTIFS(INDIRECT("Table1[Beginn]"),"&lt;="&amp;U$1,INDIRECT("Table1[Ende]"),"&gt;="&amp;U$1,INDIRECT("Table1[Obergruppe ATC-Code]"),Tabelle3!$A19)</f>
        <v>0</v>
      </c>
      <c r="V19">
        <f ca="1">COUNTIFS(INDIRECT("Table1[Beginn]"),"&lt;="&amp;V$1,INDIRECT("Table1[Ende]"),"&gt;="&amp;V$1,INDIRECT("Table1[Obergruppe ATC-Code]"),Tabelle3!$A19)</f>
        <v>0</v>
      </c>
      <c r="W19">
        <f ca="1">COUNTIFS(INDIRECT("Table1[Beginn]"),"&lt;="&amp;W$1,INDIRECT("Table1[Ende]"),"&gt;="&amp;W$1,INDIRECT("Table1[Obergruppe ATC-Code]"),Tabelle3!$A19)</f>
        <v>0</v>
      </c>
      <c r="X19">
        <f ca="1">COUNTIFS(INDIRECT("Table1[Beginn]"),"&lt;="&amp;X$1,INDIRECT("Table1[Ende]"),"&gt;="&amp;X$1,INDIRECT("Table1[Obergruppe ATC-Code]"),Tabelle3!$A19)</f>
        <v>0</v>
      </c>
      <c r="Y19">
        <f ca="1">COUNTIFS(INDIRECT("Table1[Beginn]"),"&lt;="&amp;Y$1,INDIRECT("Table1[Ende]"),"&gt;="&amp;Y$1,INDIRECT("Table1[Obergruppe ATC-Code]"),Tabelle3!$A19)</f>
        <v>1</v>
      </c>
      <c r="Z19">
        <f ca="1">COUNTIFS(INDIRECT("Table1[Beginn]"),"&lt;="&amp;Z$1,INDIRECT("Table1[Ende]"),"&gt;="&amp;Z$1,INDIRECT("Table1[Obergruppe ATC-Code]"),Tabelle3!$A19)</f>
        <v>1</v>
      </c>
      <c r="AA19">
        <f ca="1">COUNTIFS(INDIRECT("Table1[Beginn]"),"&lt;="&amp;AA$1,INDIRECT("Table1[Ende]"),"&gt;="&amp;AA$1,INDIRECT("Table1[Obergruppe ATC-Code]"),Tabelle3!$A19)</f>
        <v>1</v>
      </c>
      <c r="AB19">
        <f ca="1">COUNTIFS(INDIRECT("Table1[Beginn]"),"&lt;="&amp;AB$1,INDIRECT("Table1[Ende]"),"&gt;="&amp;AB$1,INDIRECT("Table1[Obergruppe ATC-Code]"),Tabelle3!$A19)</f>
        <v>1</v>
      </c>
      <c r="AC19">
        <f ca="1">COUNTIFS(INDIRECT("Table1[Beginn]"),"&lt;="&amp;AC$1,INDIRECT("Table1[Ende]"),"&gt;="&amp;AC$1,INDIRECT("Table1[Obergruppe ATC-Code]"),Tabelle3!$A19)</f>
        <v>1</v>
      </c>
      <c r="AD19">
        <f ca="1">COUNTIFS(INDIRECT("Table1[Beginn]"),"&lt;="&amp;AD$1,INDIRECT("Table1[Ende]"),"&gt;="&amp;AD$1,INDIRECT("Table1[Obergruppe ATC-Code]"),Tabelle3!$A19)</f>
        <v>1</v>
      </c>
      <c r="AE19">
        <f ca="1">COUNTIFS(INDIRECT("Table1[Beginn]"),"&lt;="&amp;AE$1,INDIRECT("Table1[Ende]"),"&gt;="&amp;AE$1,INDIRECT("Table1[Obergruppe ATC-Code]"),Tabelle3!$A19)</f>
        <v>2</v>
      </c>
      <c r="AF19">
        <f ca="1">COUNTIFS(INDIRECT("Table1[Beginn]"),"&lt;="&amp;AF$1,INDIRECT("Table1[Ende]"),"&gt;="&amp;AF$1,INDIRECT("Table1[Obergruppe ATC-Code]"),Tabelle3!$A19)</f>
        <v>2</v>
      </c>
      <c r="AG19">
        <f ca="1">COUNTIFS(INDIRECT("Table1[Beginn]"),"&lt;="&amp;AG$1,INDIRECT("Table1[Ende]"),"&gt;="&amp;AG$1,INDIRECT("Table1[Obergruppe ATC-Code]"),Tabelle3!$A19)</f>
        <v>2</v>
      </c>
      <c r="AH19">
        <f ca="1">COUNTIFS(INDIRECT("Table1[Beginn]"),"&lt;="&amp;AH$1,INDIRECT("Table1[Ende]"),"&gt;="&amp;AH$1,INDIRECT("Table1[Obergruppe ATC-Code]"),Tabelle3!$A19)</f>
        <v>1</v>
      </c>
      <c r="AI19">
        <f ca="1">COUNTIFS(INDIRECT("Table1[Beginn]"),"&lt;="&amp;AI$1,INDIRECT("Table1[Ende]"),"&gt;="&amp;AI$1,INDIRECT("Table1[Obergruppe ATC-Code]"),Tabelle3!$A19)</f>
        <v>1</v>
      </c>
      <c r="AJ19">
        <f ca="1">COUNTIFS(INDIRECT("Table1[Beginn]"),"&lt;="&amp;AJ$1,INDIRECT("Table1[Ende]"),"&gt;="&amp;AJ$1,INDIRECT("Table1[Obergruppe ATC-Code]"),Tabelle3!$A19)</f>
        <v>1</v>
      </c>
      <c r="AK19">
        <f ca="1">COUNTIFS(INDIRECT("Table1[Beginn]"),"&lt;="&amp;AK$1,INDIRECT("Table1[Ende]"),"&gt;="&amp;AK$1,INDIRECT("Table1[Obergruppe ATC-Code]"),Tabelle3!$A19)</f>
        <v>2</v>
      </c>
      <c r="AL19">
        <f ca="1">COUNTIFS(INDIRECT("Table1[Beginn]"),"&lt;="&amp;AL$1,INDIRECT("Table1[Ende]"),"&gt;="&amp;AL$1,INDIRECT("Table1[Obergruppe ATC-Code]"),Tabelle3!$A19)</f>
        <v>2</v>
      </c>
      <c r="AM19">
        <f ca="1">COUNTIFS(INDIRECT("Table1[Beginn]"),"&lt;="&amp;AM$1,INDIRECT("Table1[Ende]"),"&gt;="&amp;AM$1,INDIRECT("Table1[Obergruppe ATC-Code]"),Tabelle3!$A19)</f>
        <v>2</v>
      </c>
      <c r="AN19">
        <f ca="1">COUNTIFS(INDIRECT("Table1[Beginn]"),"&lt;="&amp;AN$1,INDIRECT("Table1[Ende]"),"&gt;="&amp;AN$1,INDIRECT("Table1[Obergruppe ATC-Code]"),Tabelle3!$A19)</f>
        <v>2</v>
      </c>
      <c r="AO19">
        <f ca="1">COUNTIFS(INDIRECT("Table1[Beginn]"),"&lt;="&amp;AO$1,INDIRECT("Table1[Ende]"),"&gt;="&amp;AO$1,INDIRECT("Table1[Obergruppe ATC-Code]"),Tabelle3!$A19)</f>
        <v>2</v>
      </c>
      <c r="AP19">
        <f ca="1">COUNTIFS(INDIRECT("Table1[Beginn]"),"&lt;="&amp;AP$1,INDIRECT("Table1[Ende]"),"&gt;="&amp;AP$1,INDIRECT("Table1[Obergruppe ATC-Code]"),Tabelle3!$A19)</f>
        <v>1</v>
      </c>
      <c r="AQ19">
        <f ca="1">COUNTIFS(INDIRECT("Table1[Beginn]"),"&lt;="&amp;AQ$1,INDIRECT("Table1[Ende]"),"&gt;="&amp;AQ$1,INDIRECT("Table1[Obergruppe ATC-Code]"),Tabelle3!$A19)</f>
        <v>1</v>
      </c>
      <c r="AR19">
        <f ca="1">COUNTIFS(INDIRECT("Table1[Beginn]"),"&lt;="&amp;AR$1,INDIRECT("Table1[Ende]"),"&gt;="&amp;AR$1,INDIRECT("Table1[Obergruppe ATC-Code]"),Tabelle3!$A19)</f>
        <v>1</v>
      </c>
      <c r="AS19">
        <f ca="1">COUNTIFS(INDIRECT("Table1[Beginn]"),"&lt;="&amp;AS$1,INDIRECT("Table1[Ende]"),"&gt;="&amp;AS$1,INDIRECT("Table1[Obergruppe ATC-Code]"),Tabelle3!$A19)</f>
        <v>1</v>
      </c>
      <c r="AT19">
        <f ca="1">COUNTIFS(INDIRECT("Table1[Beginn]"),"&lt;="&amp;AT$1,INDIRECT("Table1[Ende]"),"&gt;="&amp;AT$1,INDIRECT("Table1[Obergruppe ATC-Code]"),Tabelle3!$A19)</f>
        <v>1</v>
      </c>
      <c r="AU19">
        <f ca="1">COUNTIFS(INDIRECT("Table1[Beginn]"),"&lt;="&amp;AU$1,INDIRECT("Table1[Ende]"),"&gt;="&amp;AU$1,INDIRECT("Table1[Obergruppe ATC-Code]"),Tabelle3!$A19)</f>
        <v>1</v>
      </c>
      <c r="AV19">
        <f ca="1">COUNTIFS(INDIRECT("Table1[Beginn]"),"&lt;="&amp;AV$1,INDIRECT("Table1[Ende]"),"&gt;="&amp;AV$1,INDIRECT("Table1[Obergruppe ATC-Code]"),Tabelle3!$A19)</f>
        <v>1</v>
      </c>
      <c r="AW19">
        <f ca="1">COUNTIFS(INDIRECT("Table1[Beginn]"),"&lt;="&amp;AW$1,INDIRECT("Table1[Ende]"),"&gt;="&amp;AW$1,INDIRECT("Table1[Obergruppe ATC-Code]"),Tabelle3!$A19)</f>
        <v>1</v>
      </c>
      <c r="AX19">
        <f ca="1">COUNTIFS(INDIRECT("Table1[Beginn]"),"&lt;="&amp;AX$1,INDIRECT("Table1[Ende]"),"&gt;="&amp;AX$1,INDIRECT("Table1[Obergruppe ATC-Code]"),Tabelle3!$A19)</f>
        <v>1</v>
      </c>
      <c r="AY19">
        <f ca="1">COUNTIFS(INDIRECT("Table1[Beginn]"),"&lt;="&amp;AY$1,INDIRECT("Table1[Ende]"),"&gt;="&amp;AY$1,INDIRECT("Table1[Obergruppe ATC-Code]"),Tabelle3!$A19)</f>
        <v>1</v>
      </c>
      <c r="AZ19">
        <f ca="1">COUNTIFS(INDIRECT("Table1[Beginn]"),"&lt;="&amp;AZ$1,INDIRECT("Table1[Ende]"),"&gt;="&amp;AZ$1,INDIRECT("Table1[Obergruppe ATC-Code]"),Tabelle3!$A19)</f>
        <v>1</v>
      </c>
      <c r="BA19">
        <f ca="1">COUNTIFS(INDIRECT("Table1[Beginn]"),"&lt;="&amp;BA$1,INDIRECT("Table1[Ende]"),"&gt;="&amp;BA$1,INDIRECT("Table1[Obergruppe ATC-Code]"),Tabelle3!$A19)</f>
        <v>1</v>
      </c>
      <c r="BB19">
        <f ca="1">COUNTIFS(INDIRECT("Table1[Beginn]"),"&lt;="&amp;BB$1,INDIRECT("Table1[Ende]"),"&gt;="&amp;BB$1,INDIRECT("Table1[Obergruppe ATC-Code]"),Tabelle3!$A19)</f>
        <v>1</v>
      </c>
      <c r="BC19">
        <f ca="1">COUNTIFS(INDIRECT("Table1[Beginn]"),"&lt;="&amp;BC$1,INDIRECT("Table1[Ende]"),"&gt;="&amp;BC$1,INDIRECT("Table1[Obergruppe ATC-Code]"),Tabelle3!$A19)</f>
        <v>1</v>
      </c>
      <c r="BD19">
        <f ca="1">COUNTIFS(INDIRECT("Table1[Beginn]"),"&lt;="&amp;BD$1,INDIRECT("Table1[Ende]"),"&gt;="&amp;BD$1,INDIRECT("Table1[Obergruppe ATC-Code]"),Tabelle3!$A19)</f>
        <v>1</v>
      </c>
      <c r="BE19">
        <f ca="1">COUNTIFS(INDIRECT("Table1[Beginn]"),"&lt;="&amp;BE$1,INDIRECT("Table1[Ende]"),"&gt;="&amp;BE$1,INDIRECT("Table1[Obergruppe ATC-Code]"),Tabelle3!$A19)</f>
        <v>1</v>
      </c>
      <c r="BF19">
        <f ca="1">COUNTIFS(INDIRECT("Table1[Beginn]"),"&lt;="&amp;BF$1,INDIRECT("Table1[Ende]"),"&gt;="&amp;BF$1,INDIRECT("Table1[Obergruppe ATC-Code]"),Tabelle3!$A19)</f>
        <v>1</v>
      </c>
      <c r="BG19">
        <f ca="1">COUNTIFS(INDIRECT("Table1[Beginn]"),"&lt;="&amp;BG$1,INDIRECT("Table1[Ende]"),"&gt;="&amp;BG$1,INDIRECT("Table1[Obergruppe ATC-Code]"),Tabelle3!$A19)</f>
        <v>1</v>
      </c>
      <c r="BH19">
        <f ca="1">COUNTIFS(INDIRECT("Table1[Beginn]"),"&lt;="&amp;BH$1,INDIRECT("Table1[Ende]"),"&gt;="&amp;BH$1,INDIRECT("Table1[Obergruppe ATC-Code]"),Tabelle3!$A19)</f>
        <v>1</v>
      </c>
      <c r="BI19">
        <f ca="1">COUNTIFS(INDIRECT("Table1[Beginn]"),"&lt;="&amp;BI$1,INDIRECT("Table1[Ende]"),"&gt;="&amp;BI$1,INDIRECT("Table1[Obergruppe ATC-Code]"),Tabelle3!$A19)</f>
        <v>1</v>
      </c>
      <c r="BJ19">
        <f ca="1">COUNTIFS(INDIRECT("Table1[Beginn]"),"&lt;="&amp;BJ$1,INDIRECT("Table1[Ende]"),"&gt;="&amp;BJ$1,INDIRECT("Table1[Obergruppe ATC-Code]"),Tabelle3!$A19)</f>
        <v>1</v>
      </c>
      <c r="BK19">
        <f ca="1">COUNTIFS(INDIRECT("Table1[Beginn]"),"&lt;="&amp;BK$1,INDIRECT("Table1[Ende]"),"&gt;="&amp;BK$1,INDIRECT("Table1[Obergruppe ATC-Code]"),Tabelle3!$A19)</f>
        <v>1</v>
      </c>
      <c r="BL19">
        <f ca="1">COUNTIFS(INDIRECT("Table1[Beginn]"),"&lt;="&amp;BL$1,INDIRECT("Table1[Ende]"),"&gt;="&amp;BL$1,INDIRECT("Table1[Obergruppe ATC-Code]"),Tabelle3!$A19)</f>
        <v>1</v>
      </c>
      <c r="BM19">
        <f ca="1">COUNTIFS(INDIRECT("Table1[Beginn]"),"&lt;="&amp;BM$1,INDIRECT("Table1[Ende]"),"&gt;="&amp;BM$1,INDIRECT("Table1[Obergruppe ATC-Code]"),Tabelle3!$A19)</f>
        <v>1</v>
      </c>
      <c r="BN19">
        <f ca="1">COUNTIFS(INDIRECT("Table1[Beginn]"),"&lt;="&amp;BN$1,INDIRECT("Table1[Ende]"),"&gt;="&amp;BN$1,INDIRECT("Table1[Obergruppe ATC-Code]"),Tabelle3!$A19)</f>
        <v>1</v>
      </c>
      <c r="BO19">
        <f ca="1">COUNTIFS(INDIRECT("Table1[Beginn]"),"&lt;="&amp;BO$1,INDIRECT("Table1[Ende]"),"&gt;="&amp;BO$1,INDIRECT("Table1[Obergruppe ATC-Code]"),Tabelle3!$A19)</f>
        <v>1</v>
      </c>
      <c r="BP19">
        <f ca="1">COUNTIFS(INDIRECT("Table1[Beginn]"),"&lt;="&amp;BP$1,INDIRECT("Table1[Ende]"),"&gt;="&amp;BP$1,INDIRECT("Table1[Obergruppe ATC-Code]"),Tabelle3!$A19)</f>
        <v>1</v>
      </c>
      <c r="BQ19">
        <f ca="1">COUNTIFS(INDIRECT("Table1[Beginn]"),"&lt;="&amp;BQ$1,INDIRECT("Table1[Ende]"),"&gt;="&amp;BQ$1,INDIRECT("Table1[Obergruppe ATC-Code]"),Tabelle3!$A19)</f>
        <v>1</v>
      </c>
      <c r="BR19">
        <f ca="1">COUNTIFS(INDIRECT("Table1[Beginn]"),"&lt;="&amp;BR$1,INDIRECT("Table1[Ende]"),"&gt;="&amp;BR$1,INDIRECT("Table1[Obergruppe ATC-Code]"),Tabelle3!$A19)</f>
        <v>1</v>
      </c>
      <c r="BS19">
        <f ca="1">COUNTIFS(INDIRECT("Table1[Beginn]"),"&lt;="&amp;BS$1,INDIRECT("Table1[Ende]"),"&gt;="&amp;BS$1,INDIRECT("Table1[Obergruppe ATC-Code]"),Tabelle3!$A19)</f>
        <v>1</v>
      </c>
      <c r="BT19">
        <f ca="1">COUNTIFS(INDIRECT("Table1[Beginn]"),"&lt;="&amp;BT$1,INDIRECT("Table1[Ende]"),"&gt;="&amp;BT$1,INDIRECT("Table1[Obergruppe ATC-Code]"),Tabelle3!$A19)</f>
        <v>1</v>
      </c>
      <c r="BU19">
        <f ca="1">COUNTIFS(INDIRECT("Table1[Beginn]"),"&lt;="&amp;BU$1,INDIRECT("Table1[Ende]"),"&gt;="&amp;BU$1,INDIRECT("Table1[Obergruppe ATC-Code]"),Tabelle3!$A19)</f>
        <v>1</v>
      </c>
      <c r="BV19">
        <f ca="1">COUNTIFS(INDIRECT("Table1[Beginn]"),"&lt;="&amp;BV$1,INDIRECT("Table1[Ende]"),"&gt;="&amp;BV$1,INDIRECT("Table1[Obergruppe ATC-Code]"),Tabelle3!$A19)</f>
        <v>2</v>
      </c>
      <c r="BW19">
        <f ca="1">COUNTIFS(INDIRECT("Table1[Beginn]"),"&lt;="&amp;BW$1,INDIRECT("Table1[Ende]"),"&gt;="&amp;BW$1,INDIRECT("Table1[Obergruppe ATC-Code]"),Tabelle3!$A19)</f>
        <v>2</v>
      </c>
      <c r="BX19">
        <f ca="1">COUNTIFS(INDIRECT("Table1[Beginn]"),"&lt;="&amp;BX$1,INDIRECT("Table1[Ende]"),"&gt;="&amp;BX$1,INDIRECT("Table1[Obergruppe ATC-Code]"),Tabelle3!$A19)</f>
        <v>1</v>
      </c>
      <c r="BY19">
        <f ca="1">COUNTIFS(INDIRECT("Table1[Beginn]"),"&lt;="&amp;BY$1,INDIRECT("Table1[Ende]"),"&gt;="&amp;BY$1,INDIRECT("Table1[Obergruppe ATC-Code]"),Tabelle3!$A19)</f>
        <v>1</v>
      </c>
      <c r="BZ19">
        <f ca="1">COUNTIFS(INDIRECT("Table1[Beginn]"),"&lt;="&amp;BZ$1,INDIRECT("Table1[Ende]"),"&gt;="&amp;BZ$1,INDIRECT("Table1[Obergruppe ATC-Code]"),Tabelle3!$A19)</f>
        <v>1</v>
      </c>
      <c r="CA19">
        <f ca="1">COUNTIFS(INDIRECT("Table1[Beginn]"),"&lt;="&amp;CA$1,INDIRECT("Table1[Ende]"),"&gt;="&amp;CA$1,INDIRECT("Table1[Obergruppe ATC-Code]"),Tabelle3!$A19)</f>
        <v>1</v>
      </c>
      <c r="CB19">
        <f ca="1">COUNTIFS(INDIRECT("Table1[Beginn]"),"&lt;="&amp;CB$1,INDIRECT("Table1[Ende]"),"&gt;="&amp;CB$1,INDIRECT("Table1[Obergruppe ATC-Code]"),Tabelle3!$A19)</f>
        <v>1</v>
      </c>
      <c r="CC19">
        <f ca="1">COUNTIFS(INDIRECT("Table1[Beginn]"),"&lt;="&amp;CC$1,INDIRECT("Table1[Ende]"),"&gt;="&amp;CC$1,INDIRECT("Table1[Obergruppe ATC-Code]"),Tabelle3!$A19)</f>
        <v>1</v>
      </c>
      <c r="CD19">
        <f ca="1">COUNTIFS(INDIRECT("Table1[Beginn]"),"&lt;="&amp;CD$1,INDIRECT("Table1[Ende]"),"&gt;="&amp;CD$1,INDIRECT("Table1[Obergruppe ATC-Code]"),Tabelle3!$A19)</f>
        <v>1</v>
      </c>
      <c r="CE19">
        <f ca="1">COUNTIFS(INDIRECT("Table1[Beginn]"),"&lt;="&amp;CE$1,INDIRECT("Table1[Ende]"),"&gt;="&amp;CE$1,INDIRECT("Table1[Obergruppe ATC-Code]"),Tabelle3!$A19)</f>
        <v>2</v>
      </c>
      <c r="CF19">
        <f ca="1">COUNTIFS(INDIRECT("Table1[Beginn]"),"&lt;="&amp;CF$1,INDIRECT("Table1[Ende]"),"&gt;="&amp;CF$1,INDIRECT("Table1[Obergruppe ATC-Code]"),Tabelle3!$A19)</f>
        <v>2</v>
      </c>
      <c r="CG19">
        <f ca="1">COUNTIFS(INDIRECT("Table1[Beginn]"),"&lt;="&amp;CG$1,INDIRECT("Table1[Ende]"),"&gt;="&amp;CG$1,INDIRECT("Table1[Obergruppe ATC-Code]"),Tabelle3!$A19)</f>
        <v>2</v>
      </c>
      <c r="CH19">
        <f ca="1">COUNTIFS(INDIRECT("Table1[Beginn]"),"&lt;="&amp;CH$1,INDIRECT("Table1[Ende]"),"&gt;="&amp;CH$1,INDIRECT("Table1[Obergruppe ATC-Code]"),Tabelle3!$A19)</f>
        <v>1</v>
      </c>
      <c r="CI19">
        <f ca="1">COUNTIFS(INDIRECT("Table1[Beginn]"),"&lt;="&amp;CI$1,INDIRECT("Table1[Ende]"),"&gt;="&amp;CI$1,INDIRECT("Table1[Obergruppe ATC-Code]"),Tabelle3!$A19)</f>
        <v>0</v>
      </c>
      <c r="CJ19">
        <f ca="1">COUNTIFS(INDIRECT("Table1[Beginn]"),"&lt;="&amp;CJ$1,INDIRECT("Table1[Ende]"),"&gt;="&amp;CJ$1,INDIRECT("Table1[Obergruppe ATC-Code]"),Tabelle3!$A19)</f>
        <v>0</v>
      </c>
      <c r="CK19">
        <f ca="1">COUNTIFS(INDIRECT("Table1[Beginn]"),"&lt;="&amp;CK$1,INDIRECT("Table1[Ende]"),"&gt;="&amp;CK$1,INDIRECT("Table1[Obergruppe ATC-Code]"),Tabelle3!$A19)</f>
        <v>0</v>
      </c>
      <c r="CL19">
        <f ca="1">COUNTIFS(INDIRECT("Table1[Beginn]"),"&lt;="&amp;CL$1,INDIRECT("Table1[Ende]"),"&gt;="&amp;CL$1,INDIRECT("Table1[Obergruppe ATC-Code]"),Tabelle3!$A19)</f>
        <v>0</v>
      </c>
      <c r="CM19">
        <f ca="1">COUNTIFS(INDIRECT("Table1[Beginn]"),"&lt;="&amp;CM$1,INDIRECT("Table1[Ende]"),"&gt;="&amp;CM$1,INDIRECT("Table1[Obergruppe ATC-Code]"),Tabelle3!$A19)</f>
        <v>0</v>
      </c>
      <c r="CN19">
        <f ca="1">COUNTIFS(INDIRECT("Table1[Beginn]"),"&lt;="&amp;CN$1,INDIRECT("Table1[Ende]"),"&gt;="&amp;CN$1,INDIRECT("Table1[Obergruppe ATC-Code]"),Tabelle3!$A19)</f>
        <v>0</v>
      </c>
      <c r="CO19">
        <f ca="1">COUNTIFS(INDIRECT("Table1[Beginn]"),"&lt;="&amp;CO$1,INDIRECT("Table1[Ende]"),"&gt;="&amp;CO$1,INDIRECT("Table1[Obergruppe ATC-Code]"),Tabelle3!$A19)</f>
        <v>0</v>
      </c>
      <c r="CP19">
        <f ca="1">COUNTIFS(INDIRECT("Table1[Beginn]"),"&lt;="&amp;CP$1,INDIRECT("Table1[Ende]"),"&gt;="&amp;CP$1,INDIRECT("Table1[Obergruppe ATC-Code]"),Tabelle3!$A19)</f>
        <v>0</v>
      </c>
      <c r="CQ19">
        <f ca="1">COUNTIFS(INDIRECT("Table1[Beginn]"),"&lt;="&amp;CQ$1,INDIRECT("Table1[Ende]"),"&gt;="&amp;CQ$1,INDIRECT("Table1[Obergruppe ATC-Code]"),Tabelle3!$A19)</f>
        <v>0</v>
      </c>
      <c r="CR19">
        <f ca="1">COUNTIFS(INDIRECT("Table1[Beginn]"),"&lt;="&amp;CR$1,INDIRECT("Table1[Ende]"),"&gt;="&amp;CR$1,INDIRECT("Table1[Obergruppe ATC-Code]"),Tabelle3!$A19)</f>
        <v>0</v>
      </c>
      <c r="CS19">
        <f ca="1">COUNTIFS(INDIRECT("Table1[Beginn]"),"&lt;="&amp;CS$1,INDIRECT("Table1[Ende]"),"&gt;="&amp;CS$1,INDIRECT("Table1[Obergruppe ATC-Code]"),Tabelle3!$A19)</f>
        <v>0</v>
      </c>
      <c r="CT19">
        <f ca="1">COUNTIFS(INDIRECT("Table1[Beginn]"),"&lt;="&amp;CT$1,INDIRECT("Table1[Ende]"),"&gt;="&amp;CT$1,INDIRECT("Table1[Obergruppe ATC-Code]"),Tabelle3!$A19)</f>
        <v>0</v>
      </c>
      <c r="CU19" s="54"/>
      <c r="CV19" s="54"/>
      <c r="CW19" s="54"/>
      <c r="CX19" s="54"/>
      <c r="CY19" s="54"/>
      <c r="CZ19" s="54"/>
      <c r="DA19" s="54"/>
      <c r="DB19" s="54"/>
      <c r="DC19" s="54"/>
      <c r="DD19" s="54"/>
      <c r="DE19" s="54"/>
      <c r="DF19" s="54"/>
      <c r="DG19" s="54"/>
      <c r="DH19" s="54"/>
    </row>
    <row r="20" spans="1:112" ht="18" customHeight="1">
      <c r="A20" s="7" t="s">
        <v>6808</v>
      </c>
      <c r="B20" s="8" t="s">
        <v>6809</v>
      </c>
      <c r="C20">
        <f ca="1">COUNTIFS(INDIRECT("Table1[Beginn]"),"&lt;="&amp;C$1,INDIRECT("Table1[Ende]"),"&gt;="&amp;C$1,INDIRECT("Table1[Obergruppe ATC-Code]"),Tabelle3!$A20)</f>
        <v>0</v>
      </c>
      <c r="D20">
        <f ca="1">COUNTIFS(INDIRECT("Table1[Beginn]"),"&lt;="&amp;D$1,INDIRECT("Table1[Ende]"),"&gt;="&amp;D$1,INDIRECT("Table1[Obergruppe ATC-Code]"),Tabelle3!$A20)</f>
        <v>0</v>
      </c>
      <c r="E20">
        <f ca="1">COUNTIFS(INDIRECT("Table1[Beginn]"),"&lt;="&amp;E$1,INDIRECT("Table1[Ende]"),"&gt;="&amp;E$1,INDIRECT("Table1[Obergruppe ATC-Code]"),Tabelle3!$A20)</f>
        <v>0</v>
      </c>
      <c r="F20">
        <f ca="1">COUNTIFS(INDIRECT("Table1[Beginn]"),"&lt;="&amp;F$1,INDIRECT("Table1[Ende]"),"&gt;="&amp;F$1,INDIRECT("Table1[Obergruppe ATC-Code]"),Tabelle3!$A20)</f>
        <v>0</v>
      </c>
      <c r="G20">
        <f ca="1">COUNTIFS(INDIRECT("Table1[Beginn]"),"&lt;="&amp;G$1,INDIRECT("Table1[Ende]"),"&gt;="&amp;G$1,INDIRECT("Table1[Obergruppe ATC-Code]"),Tabelle3!$A20)</f>
        <v>0</v>
      </c>
      <c r="H20">
        <f ca="1">COUNTIFS(INDIRECT("Table1[Beginn]"),"&lt;="&amp;H$1,INDIRECT("Table1[Ende]"),"&gt;="&amp;H$1,INDIRECT("Table1[Obergruppe ATC-Code]"),Tabelle3!$A20)</f>
        <v>0</v>
      </c>
      <c r="I20">
        <f ca="1">COUNTIFS(INDIRECT("Table1[Beginn]"),"&lt;="&amp;I$1,INDIRECT("Table1[Ende]"),"&gt;="&amp;I$1,INDIRECT("Table1[Obergruppe ATC-Code]"),Tabelle3!$A20)</f>
        <v>1</v>
      </c>
      <c r="J20">
        <f ca="1">COUNTIFS(INDIRECT("Table1[Beginn]"),"&lt;="&amp;J$1,INDIRECT("Table1[Ende]"),"&gt;="&amp;J$1,INDIRECT("Table1[Obergruppe ATC-Code]"),Tabelle3!$A20)</f>
        <v>1</v>
      </c>
      <c r="K20">
        <f ca="1">COUNTIFS(INDIRECT("Table1[Beginn]"),"&lt;="&amp;K$1,INDIRECT("Table1[Ende]"),"&gt;="&amp;K$1,INDIRECT("Table1[Obergruppe ATC-Code]"),Tabelle3!$A20)</f>
        <v>1</v>
      </c>
      <c r="L20">
        <f ca="1">COUNTIFS(INDIRECT("Table1[Beginn]"),"&lt;="&amp;L$1,INDIRECT("Table1[Ende]"),"&gt;="&amp;L$1,INDIRECT("Table1[Obergruppe ATC-Code]"),Tabelle3!$A20)</f>
        <v>1</v>
      </c>
      <c r="M20">
        <f ca="1">COUNTIFS(INDIRECT("Table1[Beginn]"),"&lt;="&amp;M$1,INDIRECT("Table1[Ende]"),"&gt;="&amp;M$1,INDIRECT("Table1[Obergruppe ATC-Code]"),Tabelle3!$A20)</f>
        <v>1</v>
      </c>
      <c r="N20">
        <f ca="1">COUNTIFS(INDIRECT("Table1[Beginn]"),"&lt;="&amp;N$1,INDIRECT("Table1[Ende]"),"&gt;="&amp;N$1,INDIRECT("Table1[Obergruppe ATC-Code]"),Tabelle3!$A20)</f>
        <v>1</v>
      </c>
      <c r="O20">
        <f ca="1">COUNTIFS(INDIRECT("Table1[Beginn]"),"&lt;="&amp;O$1,INDIRECT("Table1[Ende]"),"&gt;="&amp;O$1,INDIRECT("Table1[Obergruppe ATC-Code]"),Tabelle3!$A20)</f>
        <v>1</v>
      </c>
      <c r="P20">
        <f ca="1">COUNTIFS(INDIRECT("Table1[Beginn]"),"&lt;="&amp;P$1,INDIRECT("Table1[Ende]"),"&gt;="&amp;P$1,INDIRECT("Table1[Obergruppe ATC-Code]"),Tabelle3!$A20)</f>
        <v>1</v>
      </c>
      <c r="Q20">
        <f ca="1">COUNTIFS(INDIRECT("Table1[Beginn]"),"&lt;="&amp;Q$1,INDIRECT("Table1[Ende]"),"&gt;="&amp;Q$1,INDIRECT("Table1[Obergruppe ATC-Code]"),Tabelle3!$A20)</f>
        <v>1</v>
      </c>
      <c r="R20">
        <f ca="1">COUNTIFS(INDIRECT("Table1[Beginn]"),"&lt;="&amp;R$1,INDIRECT("Table1[Ende]"),"&gt;="&amp;R$1,INDIRECT("Table1[Obergruppe ATC-Code]"),Tabelle3!$A20)</f>
        <v>1</v>
      </c>
      <c r="S20">
        <f ca="1">COUNTIFS(INDIRECT("Table1[Beginn]"),"&lt;="&amp;S$1,INDIRECT("Table1[Ende]"),"&gt;="&amp;S$1,INDIRECT("Table1[Obergruppe ATC-Code]"),Tabelle3!$A20)</f>
        <v>1</v>
      </c>
      <c r="T20">
        <f ca="1">COUNTIFS(INDIRECT("Table1[Beginn]"),"&lt;="&amp;T$1,INDIRECT("Table1[Ende]"),"&gt;="&amp;T$1,INDIRECT("Table1[Obergruppe ATC-Code]"),Tabelle3!$A20)</f>
        <v>1</v>
      </c>
      <c r="U20">
        <f ca="1">COUNTIFS(INDIRECT("Table1[Beginn]"),"&lt;="&amp;U$1,INDIRECT("Table1[Ende]"),"&gt;="&amp;U$1,INDIRECT("Table1[Obergruppe ATC-Code]"),Tabelle3!$A20)</f>
        <v>1</v>
      </c>
      <c r="V20">
        <f ca="1">COUNTIFS(INDIRECT("Table1[Beginn]"),"&lt;="&amp;V$1,INDIRECT("Table1[Ende]"),"&gt;="&amp;V$1,INDIRECT("Table1[Obergruppe ATC-Code]"),Tabelle3!$A20)</f>
        <v>0</v>
      </c>
      <c r="W20">
        <f ca="1">COUNTIFS(INDIRECT("Table1[Beginn]"),"&lt;="&amp;W$1,INDIRECT("Table1[Ende]"),"&gt;="&amp;W$1,INDIRECT("Table1[Obergruppe ATC-Code]"),Tabelle3!$A20)</f>
        <v>0</v>
      </c>
      <c r="X20">
        <f ca="1">COUNTIFS(INDIRECT("Table1[Beginn]"),"&lt;="&amp;X$1,INDIRECT("Table1[Ende]"),"&gt;="&amp;X$1,INDIRECT("Table1[Obergruppe ATC-Code]"),Tabelle3!$A20)</f>
        <v>0</v>
      </c>
      <c r="Y20">
        <f ca="1">COUNTIFS(INDIRECT("Table1[Beginn]"),"&lt;="&amp;Y$1,INDIRECT("Table1[Ende]"),"&gt;="&amp;Y$1,INDIRECT("Table1[Obergruppe ATC-Code]"),Tabelle3!$A20)</f>
        <v>0</v>
      </c>
      <c r="Z20">
        <f ca="1">COUNTIFS(INDIRECT("Table1[Beginn]"),"&lt;="&amp;Z$1,INDIRECT("Table1[Ende]"),"&gt;="&amp;Z$1,INDIRECT("Table1[Obergruppe ATC-Code]"),Tabelle3!$A20)</f>
        <v>0</v>
      </c>
      <c r="AA20">
        <f ca="1">COUNTIFS(INDIRECT("Table1[Beginn]"),"&lt;="&amp;AA$1,INDIRECT("Table1[Ende]"),"&gt;="&amp;AA$1,INDIRECT("Table1[Obergruppe ATC-Code]"),Tabelle3!$A20)</f>
        <v>0</v>
      </c>
      <c r="AB20">
        <f ca="1">COUNTIFS(INDIRECT("Table1[Beginn]"),"&lt;="&amp;AB$1,INDIRECT("Table1[Ende]"),"&gt;="&amp;AB$1,INDIRECT("Table1[Obergruppe ATC-Code]"),Tabelle3!$A20)</f>
        <v>0</v>
      </c>
      <c r="AC20">
        <f ca="1">COUNTIFS(INDIRECT("Table1[Beginn]"),"&lt;="&amp;AC$1,INDIRECT("Table1[Ende]"),"&gt;="&amp;AC$1,INDIRECT("Table1[Obergruppe ATC-Code]"),Tabelle3!$A20)</f>
        <v>0</v>
      </c>
      <c r="AD20">
        <f ca="1">COUNTIFS(INDIRECT("Table1[Beginn]"),"&lt;="&amp;AD$1,INDIRECT("Table1[Ende]"),"&gt;="&amp;AD$1,INDIRECT("Table1[Obergruppe ATC-Code]"),Tabelle3!$A20)</f>
        <v>0</v>
      </c>
      <c r="AE20">
        <f ca="1">COUNTIFS(INDIRECT("Table1[Beginn]"),"&lt;="&amp;AE$1,INDIRECT("Table1[Ende]"),"&gt;="&amp;AE$1,INDIRECT("Table1[Obergruppe ATC-Code]"),Tabelle3!$A20)</f>
        <v>0</v>
      </c>
      <c r="AF20">
        <f ca="1">COUNTIFS(INDIRECT("Table1[Beginn]"),"&lt;="&amp;AF$1,INDIRECT("Table1[Ende]"),"&gt;="&amp;AF$1,INDIRECT("Table1[Obergruppe ATC-Code]"),Tabelle3!$A20)</f>
        <v>0</v>
      </c>
      <c r="AG20">
        <f ca="1">COUNTIFS(INDIRECT("Table1[Beginn]"),"&lt;="&amp;AG$1,INDIRECT("Table1[Ende]"),"&gt;="&amp;AG$1,INDIRECT("Table1[Obergruppe ATC-Code]"),Tabelle3!$A20)</f>
        <v>0</v>
      </c>
      <c r="AH20">
        <f ca="1">COUNTIFS(INDIRECT("Table1[Beginn]"),"&lt;="&amp;AH$1,INDIRECT("Table1[Ende]"),"&gt;="&amp;AH$1,INDIRECT("Table1[Obergruppe ATC-Code]"),Tabelle3!$A20)</f>
        <v>0</v>
      </c>
      <c r="AI20">
        <f ca="1">COUNTIFS(INDIRECT("Table1[Beginn]"),"&lt;="&amp;AI$1,INDIRECT("Table1[Ende]"),"&gt;="&amp;AI$1,INDIRECT("Table1[Obergruppe ATC-Code]"),Tabelle3!$A20)</f>
        <v>0</v>
      </c>
      <c r="AJ20">
        <f ca="1">COUNTIFS(INDIRECT("Table1[Beginn]"),"&lt;="&amp;AJ$1,INDIRECT("Table1[Ende]"),"&gt;="&amp;AJ$1,INDIRECT("Table1[Obergruppe ATC-Code]"),Tabelle3!$A20)</f>
        <v>0</v>
      </c>
      <c r="AK20">
        <f ca="1">COUNTIFS(INDIRECT("Table1[Beginn]"),"&lt;="&amp;AK$1,INDIRECT("Table1[Ende]"),"&gt;="&amp;AK$1,INDIRECT("Table1[Obergruppe ATC-Code]"),Tabelle3!$A20)</f>
        <v>0</v>
      </c>
      <c r="AL20">
        <f ca="1">COUNTIFS(INDIRECT("Table1[Beginn]"),"&lt;="&amp;AL$1,INDIRECT("Table1[Ende]"),"&gt;="&amp;AL$1,INDIRECT("Table1[Obergruppe ATC-Code]"),Tabelle3!$A20)</f>
        <v>0</v>
      </c>
      <c r="AM20">
        <f ca="1">COUNTIFS(INDIRECT("Table1[Beginn]"),"&lt;="&amp;AM$1,INDIRECT("Table1[Ende]"),"&gt;="&amp;AM$1,INDIRECT("Table1[Obergruppe ATC-Code]"),Tabelle3!$A20)</f>
        <v>0</v>
      </c>
      <c r="AN20">
        <f ca="1">COUNTIFS(INDIRECT("Table1[Beginn]"),"&lt;="&amp;AN$1,INDIRECT("Table1[Ende]"),"&gt;="&amp;AN$1,INDIRECT("Table1[Obergruppe ATC-Code]"),Tabelle3!$A20)</f>
        <v>0</v>
      </c>
      <c r="AO20">
        <f ca="1">COUNTIFS(INDIRECT("Table1[Beginn]"),"&lt;="&amp;AO$1,INDIRECT("Table1[Ende]"),"&gt;="&amp;AO$1,INDIRECT("Table1[Obergruppe ATC-Code]"),Tabelle3!$A20)</f>
        <v>0</v>
      </c>
      <c r="AP20">
        <f ca="1">COUNTIFS(INDIRECT("Table1[Beginn]"),"&lt;="&amp;AP$1,INDIRECT("Table1[Ende]"),"&gt;="&amp;AP$1,INDIRECT("Table1[Obergruppe ATC-Code]"),Tabelle3!$A20)</f>
        <v>0</v>
      </c>
      <c r="AQ20">
        <f ca="1">COUNTIFS(INDIRECT("Table1[Beginn]"),"&lt;="&amp;AQ$1,INDIRECT("Table1[Ende]"),"&gt;="&amp;AQ$1,INDIRECT("Table1[Obergruppe ATC-Code]"),Tabelle3!$A20)</f>
        <v>0</v>
      </c>
      <c r="AR20">
        <f ca="1">COUNTIFS(INDIRECT("Table1[Beginn]"),"&lt;="&amp;AR$1,INDIRECT("Table1[Ende]"),"&gt;="&amp;AR$1,INDIRECT("Table1[Obergruppe ATC-Code]"),Tabelle3!$A20)</f>
        <v>0</v>
      </c>
      <c r="AS20">
        <f ca="1">COUNTIFS(INDIRECT("Table1[Beginn]"),"&lt;="&amp;AS$1,INDIRECT("Table1[Ende]"),"&gt;="&amp;AS$1,INDIRECT("Table1[Obergruppe ATC-Code]"),Tabelle3!$A20)</f>
        <v>0</v>
      </c>
      <c r="AT20">
        <f ca="1">COUNTIFS(INDIRECT("Table1[Beginn]"),"&lt;="&amp;AT$1,INDIRECT("Table1[Ende]"),"&gt;="&amp;AT$1,INDIRECT("Table1[Obergruppe ATC-Code]"),Tabelle3!$A20)</f>
        <v>0</v>
      </c>
      <c r="AU20">
        <f ca="1">COUNTIFS(INDIRECT("Table1[Beginn]"),"&lt;="&amp;AU$1,INDIRECT("Table1[Ende]"),"&gt;="&amp;AU$1,INDIRECT("Table1[Obergruppe ATC-Code]"),Tabelle3!$A20)</f>
        <v>0</v>
      </c>
      <c r="AV20">
        <f ca="1">COUNTIFS(INDIRECT("Table1[Beginn]"),"&lt;="&amp;AV$1,INDIRECT("Table1[Ende]"),"&gt;="&amp;AV$1,INDIRECT("Table1[Obergruppe ATC-Code]"),Tabelle3!$A20)</f>
        <v>0</v>
      </c>
      <c r="AW20">
        <f ca="1">COUNTIFS(INDIRECT("Table1[Beginn]"),"&lt;="&amp;AW$1,INDIRECT("Table1[Ende]"),"&gt;="&amp;AW$1,INDIRECT("Table1[Obergruppe ATC-Code]"),Tabelle3!$A20)</f>
        <v>0</v>
      </c>
      <c r="AX20">
        <f ca="1">COUNTIFS(INDIRECT("Table1[Beginn]"),"&lt;="&amp;AX$1,INDIRECT("Table1[Ende]"),"&gt;="&amp;AX$1,INDIRECT("Table1[Obergruppe ATC-Code]"),Tabelle3!$A20)</f>
        <v>0</v>
      </c>
      <c r="AY20">
        <f ca="1">COUNTIFS(INDIRECT("Table1[Beginn]"),"&lt;="&amp;AY$1,INDIRECT("Table1[Ende]"),"&gt;="&amp;AY$1,INDIRECT("Table1[Obergruppe ATC-Code]"),Tabelle3!$A20)</f>
        <v>0</v>
      </c>
      <c r="AZ20">
        <f ca="1">COUNTIFS(INDIRECT("Table1[Beginn]"),"&lt;="&amp;AZ$1,INDIRECT("Table1[Ende]"),"&gt;="&amp;AZ$1,INDIRECT("Table1[Obergruppe ATC-Code]"),Tabelle3!$A20)</f>
        <v>0</v>
      </c>
      <c r="BA20">
        <f ca="1">COUNTIFS(INDIRECT("Table1[Beginn]"),"&lt;="&amp;BA$1,INDIRECT("Table1[Ende]"),"&gt;="&amp;BA$1,INDIRECT("Table1[Obergruppe ATC-Code]"),Tabelle3!$A20)</f>
        <v>0</v>
      </c>
      <c r="BB20">
        <f ca="1">COUNTIFS(INDIRECT("Table1[Beginn]"),"&lt;="&amp;BB$1,INDIRECT("Table1[Ende]"),"&gt;="&amp;BB$1,INDIRECT("Table1[Obergruppe ATC-Code]"),Tabelle3!$A20)</f>
        <v>0</v>
      </c>
      <c r="BC20">
        <f ca="1">COUNTIFS(INDIRECT("Table1[Beginn]"),"&lt;="&amp;BC$1,INDIRECT("Table1[Ende]"),"&gt;="&amp;BC$1,INDIRECT("Table1[Obergruppe ATC-Code]"),Tabelle3!$A20)</f>
        <v>0</v>
      </c>
      <c r="BD20">
        <f ca="1">COUNTIFS(INDIRECT("Table1[Beginn]"),"&lt;="&amp;BD$1,INDIRECT("Table1[Ende]"),"&gt;="&amp;BD$1,INDIRECT("Table1[Obergruppe ATC-Code]"),Tabelle3!$A20)</f>
        <v>0</v>
      </c>
      <c r="BE20">
        <f ca="1">COUNTIFS(INDIRECT("Table1[Beginn]"),"&lt;="&amp;BE$1,INDIRECT("Table1[Ende]"),"&gt;="&amp;BE$1,INDIRECT("Table1[Obergruppe ATC-Code]"),Tabelle3!$A20)</f>
        <v>0</v>
      </c>
      <c r="BF20">
        <f ca="1">COUNTIFS(INDIRECT("Table1[Beginn]"),"&lt;="&amp;BF$1,INDIRECT("Table1[Ende]"),"&gt;="&amp;BF$1,INDIRECT("Table1[Obergruppe ATC-Code]"),Tabelle3!$A20)</f>
        <v>0</v>
      </c>
      <c r="BG20">
        <f ca="1">COUNTIFS(INDIRECT("Table1[Beginn]"),"&lt;="&amp;BG$1,INDIRECT("Table1[Ende]"),"&gt;="&amp;BG$1,INDIRECT("Table1[Obergruppe ATC-Code]"),Tabelle3!$A20)</f>
        <v>0</v>
      </c>
      <c r="BH20">
        <f ca="1">COUNTIFS(INDIRECT("Table1[Beginn]"),"&lt;="&amp;BH$1,INDIRECT("Table1[Ende]"),"&gt;="&amp;BH$1,INDIRECT("Table1[Obergruppe ATC-Code]"),Tabelle3!$A20)</f>
        <v>0</v>
      </c>
      <c r="BI20">
        <f ca="1">COUNTIFS(INDIRECT("Table1[Beginn]"),"&lt;="&amp;BI$1,INDIRECT("Table1[Ende]"),"&gt;="&amp;BI$1,INDIRECT("Table1[Obergruppe ATC-Code]"),Tabelle3!$A20)</f>
        <v>0</v>
      </c>
      <c r="BJ20">
        <f ca="1">COUNTIFS(INDIRECT("Table1[Beginn]"),"&lt;="&amp;BJ$1,INDIRECT("Table1[Ende]"),"&gt;="&amp;BJ$1,INDIRECT("Table1[Obergruppe ATC-Code]"),Tabelle3!$A20)</f>
        <v>0</v>
      </c>
      <c r="BK20">
        <f ca="1">COUNTIFS(INDIRECT("Table1[Beginn]"),"&lt;="&amp;BK$1,INDIRECT("Table1[Ende]"),"&gt;="&amp;BK$1,INDIRECT("Table1[Obergruppe ATC-Code]"),Tabelle3!$A20)</f>
        <v>0</v>
      </c>
      <c r="BL20">
        <f ca="1">COUNTIFS(INDIRECT("Table1[Beginn]"),"&lt;="&amp;BL$1,INDIRECT("Table1[Ende]"),"&gt;="&amp;BL$1,INDIRECT("Table1[Obergruppe ATC-Code]"),Tabelle3!$A20)</f>
        <v>0</v>
      </c>
      <c r="BM20">
        <f ca="1">COUNTIFS(INDIRECT("Table1[Beginn]"),"&lt;="&amp;BM$1,INDIRECT("Table1[Ende]"),"&gt;="&amp;BM$1,INDIRECT("Table1[Obergruppe ATC-Code]"),Tabelle3!$A20)</f>
        <v>0</v>
      </c>
      <c r="BN20">
        <f ca="1">COUNTIFS(INDIRECT("Table1[Beginn]"),"&lt;="&amp;BN$1,INDIRECT("Table1[Ende]"),"&gt;="&amp;BN$1,INDIRECT("Table1[Obergruppe ATC-Code]"),Tabelle3!$A20)</f>
        <v>1</v>
      </c>
      <c r="BO20">
        <f ca="1">COUNTIFS(INDIRECT("Table1[Beginn]"),"&lt;="&amp;BO$1,INDIRECT("Table1[Ende]"),"&gt;="&amp;BO$1,INDIRECT("Table1[Obergruppe ATC-Code]"),Tabelle3!$A20)</f>
        <v>2</v>
      </c>
      <c r="BP20">
        <f ca="1">COUNTIFS(INDIRECT("Table1[Beginn]"),"&lt;="&amp;BP$1,INDIRECT("Table1[Ende]"),"&gt;="&amp;BP$1,INDIRECT("Table1[Obergruppe ATC-Code]"),Tabelle3!$A20)</f>
        <v>0</v>
      </c>
      <c r="BQ20">
        <f ca="1">COUNTIFS(INDIRECT("Table1[Beginn]"),"&lt;="&amp;BQ$1,INDIRECT("Table1[Ende]"),"&gt;="&amp;BQ$1,INDIRECT("Table1[Obergruppe ATC-Code]"),Tabelle3!$A20)</f>
        <v>1</v>
      </c>
      <c r="BR20">
        <f ca="1">COUNTIFS(INDIRECT("Table1[Beginn]"),"&lt;="&amp;BR$1,INDIRECT("Table1[Ende]"),"&gt;="&amp;BR$1,INDIRECT("Table1[Obergruppe ATC-Code]"),Tabelle3!$A20)</f>
        <v>1</v>
      </c>
      <c r="BS20">
        <f ca="1">COUNTIFS(INDIRECT("Table1[Beginn]"),"&lt;="&amp;BS$1,INDIRECT("Table1[Ende]"),"&gt;="&amp;BS$1,INDIRECT("Table1[Obergruppe ATC-Code]"),Tabelle3!$A20)</f>
        <v>0</v>
      </c>
      <c r="BT20">
        <f ca="1">COUNTIFS(INDIRECT("Table1[Beginn]"),"&lt;="&amp;BT$1,INDIRECT("Table1[Ende]"),"&gt;="&amp;BT$1,INDIRECT("Table1[Obergruppe ATC-Code]"),Tabelle3!$A20)</f>
        <v>1</v>
      </c>
      <c r="BU20">
        <f ca="1">COUNTIFS(INDIRECT("Table1[Beginn]"),"&lt;="&amp;BU$1,INDIRECT("Table1[Ende]"),"&gt;="&amp;BU$1,INDIRECT("Table1[Obergruppe ATC-Code]"),Tabelle3!$A20)</f>
        <v>1</v>
      </c>
      <c r="BV20">
        <f ca="1">COUNTIFS(INDIRECT("Table1[Beginn]"),"&lt;="&amp;BV$1,INDIRECT("Table1[Ende]"),"&gt;="&amp;BV$1,INDIRECT("Table1[Obergruppe ATC-Code]"),Tabelle3!$A20)</f>
        <v>1</v>
      </c>
      <c r="BW20">
        <f ca="1">COUNTIFS(INDIRECT("Table1[Beginn]"),"&lt;="&amp;BW$1,INDIRECT("Table1[Ende]"),"&gt;="&amp;BW$1,INDIRECT("Table1[Obergruppe ATC-Code]"),Tabelle3!$A20)</f>
        <v>0</v>
      </c>
      <c r="BX20">
        <f ca="1">COUNTIFS(INDIRECT("Table1[Beginn]"),"&lt;="&amp;BX$1,INDIRECT("Table1[Ende]"),"&gt;="&amp;BX$1,INDIRECT("Table1[Obergruppe ATC-Code]"),Tabelle3!$A20)</f>
        <v>2</v>
      </c>
      <c r="BY20">
        <f ca="1">COUNTIFS(INDIRECT("Table1[Beginn]"),"&lt;="&amp;BY$1,INDIRECT("Table1[Ende]"),"&gt;="&amp;BY$1,INDIRECT("Table1[Obergruppe ATC-Code]"),Tabelle3!$A20)</f>
        <v>1</v>
      </c>
      <c r="BZ20">
        <f ca="1">COUNTIFS(INDIRECT("Table1[Beginn]"),"&lt;="&amp;BZ$1,INDIRECT("Table1[Ende]"),"&gt;="&amp;BZ$1,INDIRECT("Table1[Obergruppe ATC-Code]"),Tabelle3!$A20)</f>
        <v>1</v>
      </c>
      <c r="CA20">
        <f ca="1">COUNTIFS(INDIRECT("Table1[Beginn]"),"&lt;="&amp;CA$1,INDIRECT("Table1[Ende]"),"&gt;="&amp;CA$1,INDIRECT("Table1[Obergruppe ATC-Code]"),Tabelle3!$A20)</f>
        <v>0</v>
      </c>
      <c r="CB20">
        <f ca="1">COUNTIFS(INDIRECT("Table1[Beginn]"),"&lt;="&amp;CB$1,INDIRECT("Table1[Ende]"),"&gt;="&amp;CB$1,INDIRECT("Table1[Obergruppe ATC-Code]"),Tabelle3!$A20)</f>
        <v>0</v>
      </c>
      <c r="CC20">
        <f ca="1">COUNTIFS(INDIRECT("Table1[Beginn]"),"&lt;="&amp;CC$1,INDIRECT("Table1[Ende]"),"&gt;="&amp;CC$1,INDIRECT("Table1[Obergruppe ATC-Code]"),Tabelle3!$A20)</f>
        <v>0</v>
      </c>
      <c r="CD20">
        <f ca="1">COUNTIFS(INDIRECT("Table1[Beginn]"),"&lt;="&amp;CD$1,INDIRECT("Table1[Ende]"),"&gt;="&amp;CD$1,INDIRECT("Table1[Obergruppe ATC-Code]"),Tabelle3!$A20)</f>
        <v>0</v>
      </c>
      <c r="CE20">
        <f ca="1">COUNTIFS(INDIRECT("Table1[Beginn]"),"&lt;="&amp;CE$1,INDIRECT("Table1[Ende]"),"&gt;="&amp;CE$1,INDIRECT("Table1[Obergruppe ATC-Code]"),Tabelle3!$A20)</f>
        <v>2</v>
      </c>
      <c r="CF20">
        <f ca="1">COUNTIFS(INDIRECT("Table1[Beginn]"),"&lt;="&amp;CF$1,INDIRECT("Table1[Ende]"),"&gt;="&amp;CF$1,INDIRECT("Table1[Obergruppe ATC-Code]"),Tabelle3!$A20)</f>
        <v>1</v>
      </c>
      <c r="CG20">
        <f ca="1">COUNTIFS(INDIRECT("Table1[Beginn]"),"&lt;="&amp;CG$1,INDIRECT("Table1[Ende]"),"&gt;="&amp;CG$1,INDIRECT("Table1[Obergruppe ATC-Code]"),Tabelle3!$A20)</f>
        <v>1</v>
      </c>
      <c r="CH20">
        <f ca="1">COUNTIFS(INDIRECT("Table1[Beginn]"),"&lt;="&amp;CH$1,INDIRECT("Table1[Ende]"),"&gt;="&amp;CH$1,INDIRECT("Table1[Obergruppe ATC-Code]"),Tabelle3!$A20)</f>
        <v>1</v>
      </c>
      <c r="CI20">
        <f ca="1">COUNTIFS(INDIRECT("Table1[Beginn]"),"&lt;="&amp;CI$1,INDIRECT("Table1[Ende]"),"&gt;="&amp;CI$1,INDIRECT("Table1[Obergruppe ATC-Code]"),Tabelle3!$A20)</f>
        <v>1</v>
      </c>
      <c r="CJ20">
        <f ca="1">COUNTIFS(INDIRECT("Table1[Beginn]"),"&lt;="&amp;CJ$1,INDIRECT("Table1[Ende]"),"&gt;="&amp;CJ$1,INDIRECT("Table1[Obergruppe ATC-Code]"),Tabelle3!$A20)</f>
        <v>1</v>
      </c>
      <c r="CK20">
        <f ca="1">COUNTIFS(INDIRECT("Table1[Beginn]"),"&lt;="&amp;CK$1,INDIRECT("Table1[Ende]"),"&gt;="&amp;CK$1,INDIRECT("Table1[Obergruppe ATC-Code]"),Tabelle3!$A20)</f>
        <v>1</v>
      </c>
      <c r="CL20">
        <f ca="1">COUNTIFS(INDIRECT("Table1[Beginn]"),"&lt;="&amp;CL$1,INDIRECT("Table1[Ende]"),"&gt;="&amp;CL$1,INDIRECT("Table1[Obergruppe ATC-Code]"),Tabelle3!$A20)</f>
        <v>1</v>
      </c>
      <c r="CM20">
        <f ca="1">COUNTIFS(INDIRECT("Table1[Beginn]"),"&lt;="&amp;CM$1,INDIRECT("Table1[Ende]"),"&gt;="&amp;CM$1,INDIRECT("Table1[Obergruppe ATC-Code]"),Tabelle3!$A20)</f>
        <v>1</v>
      </c>
      <c r="CN20">
        <f ca="1">COUNTIFS(INDIRECT("Table1[Beginn]"),"&lt;="&amp;CN$1,INDIRECT("Table1[Ende]"),"&gt;="&amp;CN$1,INDIRECT("Table1[Obergruppe ATC-Code]"),Tabelle3!$A20)</f>
        <v>1</v>
      </c>
      <c r="CO20">
        <f ca="1">COUNTIFS(INDIRECT("Table1[Beginn]"),"&lt;="&amp;CO$1,INDIRECT("Table1[Ende]"),"&gt;="&amp;CO$1,INDIRECT("Table1[Obergruppe ATC-Code]"),Tabelle3!$A20)</f>
        <v>1</v>
      </c>
      <c r="CP20">
        <f ca="1">COUNTIFS(INDIRECT("Table1[Beginn]"),"&lt;="&amp;CP$1,INDIRECT("Table1[Ende]"),"&gt;="&amp;CP$1,INDIRECT("Table1[Obergruppe ATC-Code]"),Tabelle3!$A20)</f>
        <v>1</v>
      </c>
      <c r="CQ20">
        <f ca="1">COUNTIFS(INDIRECT("Table1[Beginn]"),"&lt;="&amp;CQ$1,INDIRECT("Table1[Ende]"),"&gt;="&amp;CQ$1,INDIRECT("Table1[Obergruppe ATC-Code]"),Tabelle3!$A20)</f>
        <v>1</v>
      </c>
      <c r="CR20">
        <f ca="1">COUNTIFS(INDIRECT("Table1[Beginn]"),"&lt;="&amp;CR$1,INDIRECT("Table1[Ende]"),"&gt;="&amp;CR$1,INDIRECT("Table1[Obergruppe ATC-Code]"),Tabelle3!$A20)</f>
        <v>1</v>
      </c>
      <c r="CS20">
        <f ca="1">COUNTIFS(INDIRECT("Table1[Beginn]"),"&lt;="&amp;CS$1,INDIRECT("Table1[Ende]"),"&gt;="&amp;CS$1,INDIRECT("Table1[Obergruppe ATC-Code]"),Tabelle3!$A20)</f>
        <v>1</v>
      </c>
      <c r="CT20">
        <f ca="1">COUNTIFS(INDIRECT("Table1[Beginn]"),"&lt;="&amp;CT$1,INDIRECT("Table1[Ende]"),"&gt;="&amp;CT$1,INDIRECT("Table1[Obergruppe ATC-Code]"),Tabelle3!$A20)</f>
        <v>1</v>
      </c>
      <c r="CU20" s="54"/>
      <c r="CV20" s="54"/>
      <c r="CW20" s="54"/>
      <c r="CX20" s="54"/>
      <c r="CY20" s="54"/>
      <c r="CZ20" s="54"/>
      <c r="DA20" s="54"/>
      <c r="DB20" s="54"/>
      <c r="DC20" s="54"/>
      <c r="DD20" s="54"/>
      <c r="DE20" s="54"/>
      <c r="DF20" s="54"/>
      <c r="DG20" s="54"/>
      <c r="DH20" s="54"/>
    </row>
    <row r="21" spans="1:112" ht="18" customHeight="1">
      <c r="A21" s="9" t="s">
        <v>6810</v>
      </c>
      <c r="B21" s="10" t="s">
        <v>6811</v>
      </c>
      <c r="C21">
        <f ca="1">COUNTIFS(INDIRECT("Table1[Beginn]"),"&lt;="&amp;C$1,INDIRECT("Table1[Ende]"),"&gt;="&amp;C$1,INDIRECT("Table1[Obergruppe ATC-Code]"),Tabelle3!$A21)</f>
        <v>0</v>
      </c>
      <c r="D21">
        <f ca="1">COUNTIFS(INDIRECT("Table1[Beginn]"),"&lt;="&amp;D$1,INDIRECT("Table1[Ende]"),"&gt;="&amp;D$1,INDIRECT("Table1[Obergruppe ATC-Code]"),Tabelle3!$A21)</f>
        <v>0</v>
      </c>
      <c r="E21">
        <f ca="1">COUNTIFS(INDIRECT("Table1[Beginn]"),"&lt;="&amp;E$1,INDIRECT("Table1[Ende]"),"&gt;="&amp;E$1,INDIRECT("Table1[Obergruppe ATC-Code]"),Tabelle3!$A21)</f>
        <v>0</v>
      </c>
      <c r="F21">
        <f ca="1">COUNTIFS(INDIRECT("Table1[Beginn]"),"&lt;="&amp;F$1,INDIRECT("Table1[Ende]"),"&gt;="&amp;F$1,INDIRECT("Table1[Obergruppe ATC-Code]"),Tabelle3!$A21)</f>
        <v>0</v>
      </c>
      <c r="G21">
        <f ca="1">COUNTIFS(INDIRECT("Table1[Beginn]"),"&lt;="&amp;G$1,INDIRECT("Table1[Ende]"),"&gt;="&amp;G$1,INDIRECT("Table1[Obergruppe ATC-Code]"),Tabelle3!$A21)</f>
        <v>1</v>
      </c>
      <c r="H21">
        <f ca="1">COUNTIFS(INDIRECT("Table1[Beginn]"),"&lt;="&amp;H$1,INDIRECT("Table1[Ende]"),"&gt;="&amp;H$1,INDIRECT("Table1[Obergruppe ATC-Code]"),Tabelle3!$A21)</f>
        <v>2</v>
      </c>
      <c r="I21">
        <f ca="1">COUNTIFS(INDIRECT("Table1[Beginn]"),"&lt;="&amp;I$1,INDIRECT("Table1[Ende]"),"&gt;="&amp;I$1,INDIRECT("Table1[Obergruppe ATC-Code]"),Tabelle3!$A21)</f>
        <v>4</v>
      </c>
      <c r="J21">
        <f ca="1">COUNTIFS(INDIRECT("Table1[Beginn]"),"&lt;="&amp;J$1,INDIRECT("Table1[Ende]"),"&gt;="&amp;J$1,INDIRECT("Table1[Obergruppe ATC-Code]"),Tabelle3!$A21)</f>
        <v>3</v>
      </c>
      <c r="K21">
        <f ca="1">COUNTIFS(INDIRECT("Table1[Beginn]"),"&lt;="&amp;K$1,INDIRECT("Table1[Ende]"),"&gt;="&amp;K$1,INDIRECT("Table1[Obergruppe ATC-Code]"),Tabelle3!$A21)</f>
        <v>0</v>
      </c>
      <c r="L21">
        <f ca="1">COUNTIFS(INDIRECT("Table1[Beginn]"),"&lt;="&amp;L$1,INDIRECT("Table1[Ende]"),"&gt;="&amp;L$1,INDIRECT("Table1[Obergruppe ATC-Code]"),Tabelle3!$A21)</f>
        <v>0</v>
      </c>
      <c r="M21">
        <f ca="1">COUNTIFS(INDIRECT("Table1[Beginn]"),"&lt;="&amp;M$1,INDIRECT("Table1[Ende]"),"&gt;="&amp;M$1,INDIRECT("Table1[Obergruppe ATC-Code]"),Tabelle3!$A21)</f>
        <v>0</v>
      </c>
      <c r="N21">
        <f ca="1">COUNTIFS(INDIRECT("Table1[Beginn]"),"&lt;="&amp;N$1,INDIRECT("Table1[Ende]"),"&gt;="&amp;N$1,INDIRECT("Table1[Obergruppe ATC-Code]"),Tabelle3!$A21)</f>
        <v>0</v>
      </c>
      <c r="O21">
        <f ca="1">COUNTIFS(INDIRECT("Table1[Beginn]"),"&lt;="&amp;O$1,INDIRECT("Table1[Ende]"),"&gt;="&amp;O$1,INDIRECT("Table1[Obergruppe ATC-Code]"),Tabelle3!$A21)</f>
        <v>0</v>
      </c>
      <c r="P21">
        <f ca="1">COUNTIFS(INDIRECT("Table1[Beginn]"),"&lt;="&amp;P$1,INDIRECT("Table1[Ende]"),"&gt;="&amp;P$1,INDIRECT("Table1[Obergruppe ATC-Code]"),Tabelle3!$A21)</f>
        <v>1</v>
      </c>
      <c r="Q21">
        <f ca="1">COUNTIFS(INDIRECT("Table1[Beginn]"),"&lt;="&amp;Q$1,INDIRECT("Table1[Ende]"),"&gt;="&amp;Q$1,INDIRECT("Table1[Obergruppe ATC-Code]"),Tabelle3!$A21)</f>
        <v>2</v>
      </c>
      <c r="R21">
        <f ca="1">COUNTIFS(INDIRECT("Table1[Beginn]"),"&lt;="&amp;R$1,INDIRECT("Table1[Ende]"),"&gt;="&amp;R$1,INDIRECT("Table1[Obergruppe ATC-Code]"),Tabelle3!$A21)</f>
        <v>1</v>
      </c>
      <c r="S21">
        <f ca="1">COUNTIFS(INDIRECT("Table1[Beginn]"),"&lt;="&amp;S$1,INDIRECT("Table1[Ende]"),"&gt;="&amp;S$1,INDIRECT("Table1[Obergruppe ATC-Code]"),Tabelle3!$A21)</f>
        <v>0</v>
      </c>
      <c r="T21">
        <f ca="1">COUNTIFS(INDIRECT("Table1[Beginn]"),"&lt;="&amp;T$1,INDIRECT("Table1[Ende]"),"&gt;="&amp;T$1,INDIRECT("Table1[Obergruppe ATC-Code]"),Tabelle3!$A21)</f>
        <v>0</v>
      </c>
      <c r="U21">
        <f ca="1">COUNTIFS(INDIRECT("Table1[Beginn]"),"&lt;="&amp;U$1,INDIRECT("Table1[Ende]"),"&gt;="&amp;U$1,INDIRECT("Table1[Obergruppe ATC-Code]"),Tabelle3!$A21)</f>
        <v>0</v>
      </c>
      <c r="V21">
        <f ca="1">COUNTIFS(INDIRECT("Table1[Beginn]"),"&lt;="&amp;V$1,INDIRECT("Table1[Ende]"),"&gt;="&amp;V$1,INDIRECT("Table1[Obergruppe ATC-Code]"),Tabelle3!$A21)</f>
        <v>0</v>
      </c>
      <c r="W21">
        <f ca="1">COUNTIFS(INDIRECT("Table1[Beginn]"),"&lt;="&amp;W$1,INDIRECT("Table1[Ende]"),"&gt;="&amp;W$1,INDIRECT("Table1[Obergruppe ATC-Code]"),Tabelle3!$A21)</f>
        <v>0</v>
      </c>
      <c r="X21">
        <f ca="1">COUNTIFS(INDIRECT("Table1[Beginn]"),"&lt;="&amp;X$1,INDIRECT("Table1[Ende]"),"&gt;="&amp;X$1,INDIRECT("Table1[Obergruppe ATC-Code]"),Tabelle3!$A21)</f>
        <v>1</v>
      </c>
      <c r="Y21">
        <f ca="1">COUNTIFS(INDIRECT("Table1[Beginn]"),"&lt;="&amp;Y$1,INDIRECT("Table1[Ende]"),"&gt;="&amp;Y$1,INDIRECT("Table1[Obergruppe ATC-Code]"),Tabelle3!$A21)</f>
        <v>1</v>
      </c>
      <c r="Z21">
        <f ca="1">COUNTIFS(INDIRECT("Table1[Beginn]"),"&lt;="&amp;Z$1,INDIRECT("Table1[Ende]"),"&gt;="&amp;Z$1,INDIRECT("Table1[Obergruppe ATC-Code]"),Tabelle3!$A21)</f>
        <v>0</v>
      </c>
      <c r="AA21">
        <f ca="1">COUNTIFS(INDIRECT("Table1[Beginn]"),"&lt;="&amp;AA$1,INDIRECT("Table1[Ende]"),"&gt;="&amp;AA$1,INDIRECT("Table1[Obergruppe ATC-Code]"),Tabelle3!$A21)</f>
        <v>0</v>
      </c>
      <c r="AB21">
        <f ca="1">COUNTIFS(INDIRECT("Table1[Beginn]"),"&lt;="&amp;AB$1,INDIRECT("Table1[Ende]"),"&gt;="&amp;AB$1,INDIRECT("Table1[Obergruppe ATC-Code]"),Tabelle3!$A21)</f>
        <v>0</v>
      </c>
      <c r="AC21">
        <f ca="1">COUNTIFS(INDIRECT("Table1[Beginn]"),"&lt;="&amp;AC$1,INDIRECT("Table1[Ende]"),"&gt;="&amp;AC$1,INDIRECT("Table1[Obergruppe ATC-Code]"),Tabelle3!$A21)</f>
        <v>0</v>
      </c>
      <c r="AD21">
        <f ca="1">COUNTIFS(INDIRECT("Table1[Beginn]"),"&lt;="&amp;AD$1,INDIRECT("Table1[Ende]"),"&gt;="&amp;AD$1,INDIRECT("Table1[Obergruppe ATC-Code]"),Tabelle3!$A21)</f>
        <v>0</v>
      </c>
      <c r="AE21">
        <f ca="1">COUNTIFS(INDIRECT("Table1[Beginn]"),"&lt;="&amp;AE$1,INDIRECT("Table1[Ende]"),"&gt;="&amp;AE$1,INDIRECT("Table1[Obergruppe ATC-Code]"),Tabelle3!$A21)</f>
        <v>0</v>
      </c>
      <c r="AF21">
        <f ca="1">COUNTIFS(INDIRECT("Table1[Beginn]"),"&lt;="&amp;AF$1,INDIRECT("Table1[Ende]"),"&gt;="&amp;AF$1,INDIRECT("Table1[Obergruppe ATC-Code]"),Tabelle3!$A21)</f>
        <v>1</v>
      </c>
      <c r="AG21">
        <f ca="1">COUNTIFS(INDIRECT("Table1[Beginn]"),"&lt;="&amp;AG$1,INDIRECT("Table1[Ende]"),"&gt;="&amp;AG$1,INDIRECT("Table1[Obergruppe ATC-Code]"),Tabelle3!$A21)</f>
        <v>1</v>
      </c>
      <c r="AH21">
        <f ca="1">COUNTIFS(INDIRECT("Table1[Beginn]"),"&lt;="&amp;AH$1,INDIRECT("Table1[Ende]"),"&gt;="&amp;AH$1,INDIRECT("Table1[Obergruppe ATC-Code]"),Tabelle3!$A21)</f>
        <v>1</v>
      </c>
      <c r="AI21">
        <f ca="1">COUNTIFS(INDIRECT("Table1[Beginn]"),"&lt;="&amp;AI$1,INDIRECT("Table1[Ende]"),"&gt;="&amp;AI$1,INDIRECT("Table1[Obergruppe ATC-Code]"),Tabelle3!$A21)</f>
        <v>1</v>
      </c>
      <c r="AJ21">
        <f ca="1">COUNTIFS(INDIRECT("Table1[Beginn]"),"&lt;="&amp;AJ$1,INDIRECT("Table1[Ende]"),"&gt;="&amp;AJ$1,INDIRECT("Table1[Obergruppe ATC-Code]"),Tabelle3!$A21)</f>
        <v>1</v>
      </c>
      <c r="AK21">
        <f ca="1">COUNTIFS(INDIRECT("Table1[Beginn]"),"&lt;="&amp;AK$1,INDIRECT("Table1[Ende]"),"&gt;="&amp;AK$1,INDIRECT("Table1[Obergruppe ATC-Code]"),Tabelle3!$A21)</f>
        <v>1</v>
      </c>
      <c r="AL21">
        <f ca="1">COUNTIFS(INDIRECT("Table1[Beginn]"),"&lt;="&amp;AL$1,INDIRECT("Table1[Ende]"),"&gt;="&amp;AL$1,INDIRECT("Table1[Obergruppe ATC-Code]"),Tabelle3!$A21)</f>
        <v>1</v>
      </c>
      <c r="AM21">
        <f ca="1">COUNTIFS(INDIRECT("Table1[Beginn]"),"&lt;="&amp;AM$1,INDIRECT("Table1[Ende]"),"&gt;="&amp;AM$1,INDIRECT("Table1[Obergruppe ATC-Code]"),Tabelle3!$A21)</f>
        <v>0</v>
      </c>
      <c r="AN21">
        <f ca="1">COUNTIFS(INDIRECT("Table1[Beginn]"),"&lt;="&amp;AN$1,INDIRECT("Table1[Ende]"),"&gt;="&amp;AN$1,INDIRECT("Table1[Obergruppe ATC-Code]"),Tabelle3!$A21)</f>
        <v>1</v>
      </c>
      <c r="AO21">
        <f ca="1">COUNTIFS(INDIRECT("Table1[Beginn]"),"&lt;="&amp;AO$1,INDIRECT("Table1[Ende]"),"&gt;="&amp;AO$1,INDIRECT("Table1[Obergruppe ATC-Code]"),Tabelle3!$A21)</f>
        <v>1</v>
      </c>
      <c r="AP21">
        <f ca="1">COUNTIFS(INDIRECT("Table1[Beginn]"),"&lt;="&amp;AP$1,INDIRECT("Table1[Ende]"),"&gt;="&amp;AP$1,INDIRECT("Table1[Obergruppe ATC-Code]"),Tabelle3!$A21)</f>
        <v>0</v>
      </c>
      <c r="AQ21">
        <f ca="1">COUNTIFS(INDIRECT("Table1[Beginn]"),"&lt;="&amp;AQ$1,INDIRECT("Table1[Ende]"),"&gt;="&amp;AQ$1,INDIRECT("Table1[Obergruppe ATC-Code]"),Tabelle3!$A21)</f>
        <v>0</v>
      </c>
      <c r="AR21">
        <f ca="1">COUNTIFS(INDIRECT("Table1[Beginn]"),"&lt;="&amp;AR$1,INDIRECT("Table1[Ende]"),"&gt;="&amp;AR$1,INDIRECT("Table1[Obergruppe ATC-Code]"),Tabelle3!$A21)</f>
        <v>0</v>
      </c>
      <c r="AS21">
        <f ca="1">COUNTIFS(INDIRECT("Table1[Beginn]"),"&lt;="&amp;AS$1,INDIRECT("Table1[Ende]"),"&gt;="&amp;AS$1,INDIRECT("Table1[Obergruppe ATC-Code]"),Tabelle3!$A21)</f>
        <v>0</v>
      </c>
      <c r="AT21">
        <f ca="1">COUNTIFS(INDIRECT("Table1[Beginn]"),"&lt;="&amp;AT$1,INDIRECT("Table1[Ende]"),"&gt;="&amp;AT$1,INDIRECT("Table1[Obergruppe ATC-Code]"),Tabelle3!$A21)</f>
        <v>0</v>
      </c>
      <c r="AU21">
        <f ca="1">COUNTIFS(INDIRECT("Table1[Beginn]"),"&lt;="&amp;AU$1,INDIRECT("Table1[Ende]"),"&gt;="&amp;AU$1,INDIRECT("Table1[Obergruppe ATC-Code]"),Tabelle3!$A21)</f>
        <v>0</v>
      </c>
      <c r="AV21">
        <f ca="1">COUNTIFS(INDIRECT("Table1[Beginn]"),"&lt;="&amp;AV$1,INDIRECT("Table1[Ende]"),"&gt;="&amp;AV$1,INDIRECT("Table1[Obergruppe ATC-Code]"),Tabelle3!$A21)</f>
        <v>1</v>
      </c>
      <c r="AW21">
        <f ca="1">COUNTIFS(INDIRECT("Table1[Beginn]"),"&lt;="&amp;AW$1,INDIRECT("Table1[Ende]"),"&gt;="&amp;AW$1,INDIRECT("Table1[Obergruppe ATC-Code]"),Tabelle3!$A21)</f>
        <v>1</v>
      </c>
      <c r="AX21">
        <f ca="1">COUNTIFS(INDIRECT("Table1[Beginn]"),"&lt;="&amp;AX$1,INDIRECT("Table1[Ende]"),"&gt;="&amp;AX$1,INDIRECT("Table1[Obergruppe ATC-Code]"),Tabelle3!$A21)</f>
        <v>3</v>
      </c>
      <c r="AY21">
        <f ca="1">COUNTIFS(INDIRECT("Table1[Beginn]"),"&lt;="&amp;AY$1,INDIRECT("Table1[Ende]"),"&gt;="&amp;AY$1,INDIRECT("Table1[Obergruppe ATC-Code]"),Tabelle3!$A21)</f>
        <v>2</v>
      </c>
      <c r="AZ21">
        <f ca="1">COUNTIFS(INDIRECT("Table1[Beginn]"),"&lt;="&amp;AZ$1,INDIRECT("Table1[Ende]"),"&gt;="&amp;AZ$1,INDIRECT("Table1[Obergruppe ATC-Code]"),Tabelle3!$A21)</f>
        <v>1</v>
      </c>
      <c r="BA21">
        <f ca="1">COUNTIFS(INDIRECT("Table1[Beginn]"),"&lt;="&amp;BA$1,INDIRECT("Table1[Ende]"),"&gt;="&amp;BA$1,INDIRECT("Table1[Obergruppe ATC-Code]"),Tabelle3!$A21)</f>
        <v>0</v>
      </c>
      <c r="BB21">
        <f ca="1">COUNTIFS(INDIRECT("Table1[Beginn]"),"&lt;="&amp;BB$1,INDIRECT("Table1[Ende]"),"&gt;="&amp;BB$1,INDIRECT("Table1[Obergruppe ATC-Code]"),Tabelle3!$A21)</f>
        <v>0</v>
      </c>
      <c r="BC21">
        <f ca="1">COUNTIFS(INDIRECT("Table1[Beginn]"),"&lt;="&amp;BC$1,INDIRECT("Table1[Ende]"),"&gt;="&amp;BC$1,INDIRECT("Table1[Obergruppe ATC-Code]"),Tabelle3!$A21)</f>
        <v>1</v>
      </c>
      <c r="BD21">
        <f ca="1">COUNTIFS(INDIRECT("Table1[Beginn]"),"&lt;="&amp;BD$1,INDIRECT("Table1[Ende]"),"&gt;="&amp;BD$1,INDIRECT("Table1[Obergruppe ATC-Code]"),Tabelle3!$A21)</f>
        <v>1</v>
      </c>
      <c r="BE21">
        <f ca="1">COUNTIFS(INDIRECT("Table1[Beginn]"),"&lt;="&amp;BE$1,INDIRECT("Table1[Ende]"),"&gt;="&amp;BE$1,INDIRECT("Table1[Obergruppe ATC-Code]"),Tabelle3!$A21)</f>
        <v>2</v>
      </c>
      <c r="BF21">
        <f ca="1">COUNTIFS(INDIRECT("Table1[Beginn]"),"&lt;="&amp;BF$1,INDIRECT("Table1[Ende]"),"&gt;="&amp;BF$1,INDIRECT("Table1[Obergruppe ATC-Code]"),Tabelle3!$A21)</f>
        <v>2</v>
      </c>
      <c r="BG21">
        <f ca="1">COUNTIFS(INDIRECT("Table1[Beginn]"),"&lt;="&amp;BG$1,INDIRECT("Table1[Ende]"),"&gt;="&amp;BG$1,INDIRECT("Table1[Obergruppe ATC-Code]"),Tabelle3!$A21)</f>
        <v>3</v>
      </c>
      <c r="BH21">
        <f ca="1">COUNTIFS(INDIRECT("Table1[Beginn]"),"&lt;="&amp;BH$1,INDIRECT("Table1[Ende]"),"&gt;="&amp;BH$1,INDIRECT("Table1[Obergruppe ATC-Code]"),Tabelle3!$A21)</f>
        <v>3</v>
      </c>
      <c r="BI21">
        <f ca="1">COUNTIFS(INDIRECT("Table1[Beginn]"),"&lt;="&amp;BI$1,INDIRECT("Table1[Ende]"),"&gt;="&amp;BI$1,INDIRECT("Table1[Obergruppe ATC-Code]"),Tabelle3!$A21)</f>
        <v>1</v>
      </c>
      <c r="BJ21">
        <f ca="1">COUNTIFS(INDIRECT("Table1[Beginn]"),"&lt;="&amp;BJ$1,INDIRECT("Table1[Ende]"),"&gt;="&amp;BJ$1,INDIRECT("Table1[Obergruppe ATC-Code]"),Tabelle3!$A21)</f>
        <v>1</v>
      </c>
      <c r="BK21">
        <f ca="1">COUNTIFS(INDIRECT("Table1[Beginn]"),"&lt;="&amp;BK$1,INDIRECT("Table1[Ende]"),"&gt;="&amp;BK$1,INDIRECT("Table1[Obergruppe ATC-Code]"),Tabelle3!$A21)</f>
        <v>2</v>
      </c>
      <c r="BL21">
        <f ca="1">COUNTIFS(INDIRECT("Table1[Beginn]"),"&lt;="&amp;BL$1,INDIRECT("Table1[Ende]"),"&gt;="&amp;BL$1,INDIRECT("Table1[Obergruppe ATC-Code]"),Tabelle3!$A21)</f>
        <v>3</v>
      </c>
      <c r="BM21">
        <f ca="1">COUNTIFS(INDIRECT("Table1[Beginn]"),"&lt;="&amp;BM$1,INDIRECT("Table1[Ende]"),"&gt;="&amp;BM$1,INDIRECT("Table1[Obergruppe ATC-Code]"),Tabelle3!$A21)</f>
        <v>2</v>
      </c>
      <c r="BN21">
        <f ca="1">COUNTIFS(INDIRECT("Table1[Beginn]"),"&lt;="&amp;BN$1,INDIRECT("Table1[Ende]"),"&gt;="&amp;BN$1,INDIRECT("Table1[Obergruppe ATC-Code]"),Tabelle3!$A21)</f>
        <v>5</v>
      </c>
      <c r="BO21">
        <f ca="1">COUNTIFS(INDIRECT("Table1[Beginn]"),"&lt;="&amp;BO$1,INDIRECT("Table1[Ende]"),"&gt;="&amp;BO$1,INDIRECT("Table1[Obergruppe ATC-Code]"),Tabelle3!$A21)</f>
        <v>3</v>
      </c>
      <c r="BP21">
        <f ca="1">COUNTIFS(INDIRECT("Table1[Beginn]"),"&lt;="&amp;BP$1,INDIRECT("Table1[Ende]"),"&gt;="&amp;BP$1,INDIRECT("Table1[Obergruppe ATC-Code]"),Tabelle3!$A21)</f>
        <v>4</v>
      </c>
      <c r="BQ21">
        <f ca="1">COUNTIFS(INDIRECT("Table1[Beginn]"),"&lt;="&amp;BQ$1,INDIRECT("Table1[Ende]"),"&gt;="&amp;BQ$1,INDIRECT("Table1[Obergruppe ATC-Code]"),Tabelle3!$A21)</f>
        <v>2</v>
      </c>
      <c r="BR21">
        <f ca="1">COUNTIFS(INDIRECT("Table1[Beginn]"),"&lt;="&amp;BR$1,INDIRECT("Table1[Ende]"),"&gt;="&amp;BR$1,INDIRECT("Table1[Obergruppe ATC-Code]"),Tabelle3!$A21)</f>
        <v>2</v>
      </c>
      <c r="BS21">
        <f ca="1">COUNTIFS(INDIRECT("Table1[Beginn]"),"&lt;="&amp;BS$1,INDIRECT("Table1[Ende]"),"&gt;="&amp;BS$1,INDIRECT("Table1[Obergruppe ATC-Code]"),Tabelle3!$A21)</f>
        <v>5</v>
      </c>
      <c r="BT21">
        <f ca="1">COUNTIFS(INDIRECT("Table1[Beginn]"),"&lt;="&amp;BT$1,INDIRECT("Table1[Ende]"),"&gt;="&amp;BT$1,INDIRECT("Table1[Obergruppe ATC-Code]"),Tabelle3!$A21)</f>
        <v>3</v>
      </c>
      <c r="BU21">
        <f ca="1">COUNTIFS(INDIRECT("Table1[Beginn]"),"&lt;="&amp;BU$1,INDIRECT("Table1[Ende]"),"&gt;="&amp;BU$1,INDIRECT("Table1[Obergruppe ATC-Code]"),Tabelle3!$A21)</f>
        <v>2</v>
      </c>
      <c r="BV21">
        <f ca="1">COUNTIFS(INDIRECT("Table1[Beginn]"),"&lt;="&amp;BV$1,INDIRECT("Table1[Ende]"),"&gt;="&amp;BV$1,INDIRECT("Table1[Obergruppe ATC-Code]"),Tabelle3!$A21)</f>
        <v>1</v>
      </c>
      <c r="BW21">
        <f ca="1">COUNTIFS(INDIRECT("Table1[Beginn]"),"&lt;="&amp;BW$1,INDIRECT("Table1[Ende]"),"&gt;="&amp;BW$1,INDIRECT("Table1[Obergruppe ATC-Code]"),Tabelle3!$A21)</f>
        <v>1</v>
      </c>
      <c r="BX21">
        <f ca="1">COUNTIFS(INDIRECT("Table1[Beginn]"),"&lt;="&amp;BX$1,INDIRECT("Table1[Ende]"),"&gt;="&amp;BX$1,INDIRECT("Table1[Obergruppe ATC-Code]"),Tabelle3!$A21)</f>
        <v>1</v>
      </c>
      <c r="BY21">
        <f ca="1">COUNTIFS(INDIRECT("Table1[Beginn]"),"&lt;="&amp;BY$1,INDIRECT("Table1[Ende]"),"&gt;="&amp;BY$1,INDIRECT("Table1[Obergruppe ATC-Code]"),Tabelle3!$A21)</f>
        <v>1</v>
      </c>
      <c r="BZ21">
        <f ca="1">COUNTIFS(INDIRECT("Table1[Beginn]"),"&lt;="&amp;BZ$1,INDIRECT("Table1[Ende]"),"&gt;="&amp;BZ$1,INDIRECT("Table1[Obergruppe ATC-Code]"),Tabelle3!$A21)</f>
        <v>0</v>
      </c>
      <c r="CA21">
        <f ca="1">COUNTIFS(INDIRECT("Table1[Beginn]"),"&lt;="&amp;CA$1,INDIRECT("Table1[Ende]"),"&gt;="&amp;CA$1,INDIRECT("Table1[Obergruppe ATC-Code]"),Tabelle3!$A21)</f>
        <v>0</v>
      </c>
      <c r="CB21">
        <f ca="1">COUNTIFS(INDIRECT("Table1[Beginn]"),"&lt;="&amp;CB$1,INDIRECT("Table1[Ende]"),"&gt;="&amp;CB$1,INDIRECT("Table1[Obergruppe ATC-Code]"),Tabelle3!$A21)</f>
        <v>0</v>
      </c>
      <c r="CC21">
        <f ca="1">COUNTIFS(INDIRECT("Table1[Beginn]"),"&lt;="&amp;CC$1,INDIRECT("Table1[Ende]"),"&gt;="&amp;CC$1,INDIRECT("Table1[Obergruppe ATC-Code]"),Tabelle3!$A21)</f>
        <v>0</v>
      </c>
      <c r="CD21">
        <f ca="1">COUNTIFS(INDIRECT("Table1[Beginn]"),"&lt;="&amp;CD$1,INDIRECT("Table1[Ende]"),"&gt;="&amp;CD$1,INDIRECT("Table1[Obergruppe ATC-Code]"),Tabelle3!$A21)</f>
        <v>0</v>
      </c>
      <c r="CE21">
        <f ca="1">COUNTIFS(INDIRECT("Table1[Beginn]"),"&lt;="&amp;CE$1,INDIRECT("Table1[Ende]"),"&gt;="&amp;CE$1,INDIRECT("Table1[Obergruppe ATC-Code]"),Tabelle3!$A21)</f>
        <v>2</v>
      </c>
      <c r="CF21">
        <f ca="1">COUNTIFS(INDIRECT("Table1[Beginn]"),"&lt;="&amp;CF$1,INDIRECT("Table1[Ende]"),"&gt;="&amp;CF$1,INDIRECT("Table1[Obergruppe ATC-Code]"),Tabelle3!$A21)</f>
        <v>2</v>
      </c>
      <c r="CG21">
        <f ca="1">COUNTIFS(INDIRECT("Table1[Beginn]"),"&lt;="&amp;CG$1,INDIRECT("Table1[Ende]"),"&gt;="&amp;CG$1,INDIRECT("Table1[Obergruppe ATC-Code]"),Tabelle3!$A21)</f>
        <v>1</v>
      </c>
      <c r="CH21">
        <f ca="1">COUNTIFS(INDIRECT("Table1[Beginn]"),"&lt;="&amp;CH$1,INDIRECT("Table1[Ende]"),"&gt;="&amp;CH$1,INDIRECT("Table1[Obergruppe ATC-Code]"),Tabelle3!$A21)</f>
        <v>0</v>
      </c>
      <c r="CI21">
        <f ca="1">COUNTIFS(INDIRECT("Table1[Beginn]"),"&lt;="&amp;CI$1,INDIRECT("Table1[Ende]"),"&gt;="&amp;CI$1,INDIRECT("Table1[Obergruppe ATC-Code]"),Tabelle3!$A21)</f>
        <v>0</v>
      </c>
      <c r="CJ21">
        <f ca="1">COUNTIFS(INDIRECT("Table1[Beginn]"),"&lt;="&amp;CJ$1,INDIRECT("Table1[Ende]"),"&gt;="&amp;CJ$1,INDIRECT("Table1[Obergruppe ATC-Code]"),Tabelle3!$A21)</f>
        <v>0</v>
      </c>
      <c r="CK21">
        <f ca="1">COUNTIFS(INDIRECT("Table1[Beginn]"),"&lt;="&amp;CK$1,INDIRECT("Table1[Ende]"),"&gt;="&amp;CK$1,INDIRECT("Table1[Obergruppe ATC-Code]"),Tabelle3!$A21)</f>
        <v>0</v>
      </c>
      <c r="CL21">
        <f ca="1">COUNTIFS(INDIRECT("Table1[Beginn]"),"&lt;="&amp;CL$1,INDIRECT("Table1[Ende]"),"&gt;="&amp;CL$1,INDIRECT("Table1[Obergruppe ATC-Code]"),Tabelle3!$A21)</f>
        <v>0</v>
      </c>
      <c r="CM21">
        <f ca="1">COUNTIFS(INDIRECT("Table1[Beginn]"),"&lt;="&amp;CM$1,INDIRECT("Table1[Ende]"),"&gt;="&amp;CM$1,INDIRECT("Table1[Obergruppe ATC-Code]"),Tabelle3!$A21)</f>
        <v>0</v>
      </c>
      <c r="CN21">
        <f ca="1">COUNTIFS(INDIRECT("Table1[Beginn]"),"&lt;="&amp;CN$1,INDIRECT("Table1[Ende]"),"&gt;="&amp;CN$1,INDIRECT("Table1[Obergruppe ATC-Code]"),Tabelle3!$A21)</f>
        <v>0</v>
      </c>
      <c r="CO21">
        <f ca="1">COUNTIFS(INDIRECT("Table1[Beginn]"),"&lt;="&amp;CO$1,INDIRECT("Table1[Ende]"),"&gt;="&amp;CO$1,INDIRECT("Table1[Obergruppe ATC-Code]"),Tabelle3!$A21)</f>
        <v>0</v>
      </c>
      <c r="CP21">
        <f ca="1">COUNTIFS(INDIRECT("Table1[Beginn]"),"&lt;="&amp;CP$1,INDIRECT("Table1[Ende]"),"&gt;="&amp;CP$1,INDIRECT("Table1[Obergruppe ATC-Code]"),Tabelle3!$A21)</f>
        <v>0</v>
      </c>
      <c r="CQ21">
        <f ca="1">COUNTIFS(INDIRECT("Table1[Beginn]"),"&lt;="&amp;CQ$1,INDIRECT("Table1[Ende]"),"&gt;="&amp;CQ$1,INDIRECT("Table1[Obergruppe ATC-Code]"),Tabelle3!$A21)</f>
        <v>0</v>
      </c>
      <c r="CR21">
        <f ca="1">COUNTIFS(INDIRECT("Table1[Beginn]"),"&lt;="&amp;CR$1,INDIRECT("Table1[Ende]"),"&gt;="&amp;CR$1,INDIRECT("Table1[Obergruppe ATC-Code]"),Tabelle3!$A21)</f>
        <v>0</v>
      </c>
      <c r="CS21">
        <f ca="1">COUNTIFS(INDIRECT("Table1[Beginn]"),"&lt;="&amp;CS$1,INDIRECT("Table1[Ende]"),"&gt;="&amp;CS$1,INDIRECT("Table1[Obergruppe ATC-Code]"),Tabelle3!$A21)</f>
        <v>0</v>
      </c>
      <c r="CT21">
        <f ca="1">COUNTIFS(INDIRECT("Table1[Beginn]"),"&lt;="&amp;CT$1,INDIRECT("Table1[Ende]"),"&gt;="&amp;CT$1,INDIRECT("Table1[Obergruppe ATC-Code]"),Tabelle3!$A21)</f>
        <v>0</v>
      </c>
      <c r="CU21" s="54"/>
      <c r="CV21" s="54"/>
      <c r="CW21" s="54"/>
      <c r="CX21" s="54"/>
      <c r="CY21" s="54"/>
      <c r="CZ21" s="54"/>
      <c r="DA21" s="54"/>
      <c r="DB21" s="54"/>
      <c r="DC21" s="54"/>
      <c r="DD21" s="54"/>
      <c r="DE21" s="54"/>
      <c r="DF21" s="54"/>
      <c r="DG21" s="54"/>
      <c r="DH21" s="54"/>
    </row>
    <row r="22" spans="1:112" ht="18" customHeight="1">
      <c r="A22" s="7" t="s">
        <v>6812</v>
      </c>
      <c r="B22" s="8" t="s">
        <v>6813</v>
      </c>
      <c r="C22">
        <f ca="1">COUNTIFS(INDIRECT("Table1[Beginn]"),"&lt;="&amp;C$1,INDIRECT("Table1[Ende]"),"&gt;="&amp;C$1,INDIRECT("Table1[Obergruppe ATC-Code]"),Tabelle3!$A22)</f>
        <v>0</v>
      </c>
      <c r="D22">
        <f ca="1">COUNTIFS(INDIRECT("Table1[Beginn]"),"&lt;="&amp;D$1,INDIRECT("Table1[Ende]"),"&gt;="&amp;D$1,INDIRECT("Table1[Obergruppe ATC-Code]"),Tabelle3!$A22)</f>
        <v>0</v>
      </c>
      <c r="E22">
        <f ca="1">COUNTIFS(INDIRECT("Table1[Beginn]"),"&lt;="&amp;E$1,INDIRECT("Table1[Ende]"),"&gt;="&amp;E$1,INDIRECT("Table1[Obergruppe ATC-Code]"),Tabelle3!$A22)</f>
        <v>0</v>
      </c>
      <c r="F22">
        <f ca="1">COUNTIFS(INDIRECT("Table1[Beginn]"),"&lt;="&amp;F$1,INDIRECT("Table1[Ende]"),"&gt;="&amp;F$1,INDIRECT("Table1[Obergruppe ATC-Code]"),Tabelle3!$A22)</f>
        <v>0</v>
      </c>
      <c r="G22">
        <f ca="1">COUNTIFS(INDIRECT("Table1[Beginn]"),"&lt;="&amp;G$1,INDIRECT("Table1[Ende]"),"&gt;="&amp;G$1,INDIRECT("Table1[Obergruppe ATC-Code]"),Tabelle3!$A22)</f>
        <v>0</v>
      </c>
      <c r="H22">
        <f ca="1">COUNTIFS(INDIRECT("Table1[Beginn]"),"&lt;="&amp;H$1,INDIRECT("Table1[Ende]"),"&gt;="&amp;H$1,INDIRECT("Table1[Obergruppe ATC-Code]"),Tabelle3!$A22)</f>
        <v>0</v>
      </c>
      <c r="I22">
        <f ca="1">COUNTIFS(INDIRECT("Table1[Beginn]"),"&lt;="&amp;I$1,INDIRECT("Table1[Ende]"),"&gt;="&amp;I$1,INDIRECT("Table1[Obergruppe ATC-Code]"),Tabelle3!$A22)</f>
        <v>0</v>
      </c>
      <c r="J22">
        <f ca="1">COUNTIFS(INDIRECT("Table1[Beginn]"),"&lt;="&amp;J$1,INDIRECT("Table1[Ende]"),"&gt;="&amp;J$1,INDIRECT("Table1[Obergruppe ATC-Code]"),Tabelle3!$A22)</f>
        <v>0</v>
      </c>
      <c r="K22">
        <f ca="1">COUNTIFS(INDIRECT("Table1[Beginn]"),"&lt;="&amp;K$1,INDIRECT("Table1[Ende]"),"&gt;="&amp;K$1,INDIRECT("Table1[Obergruppe ATC-Code]"),Tabelle3!$A22)</f>
        <v>0</v>
      </c>
      <c r="L22">
        <f ca="1">COUNTIFS(INDIRECT("Table1[Beginn]"),"&lt;="&amp;L$1,INDIRECT("Table1[Ende]"),"&gt;="&amp;L$1,INDIRECT("Table1[Obergruppe ATC-Code]"),Tabelle3!$A22)</f>
        <v>0</v>
      </c>
      <c r="M22">
        <f ca="1">COUNTIFS(INDIRECT("Table1[Beginn]"),"&lt;="&amp;M$1,INDIRECT("Table1[Ende]"),"&gt;="&amp;M$1,INDIRECT("Table1[Obergruppe ATC-Code]"),Tabelle3!$A22)</f>
        <v>0</v>
      </c>
      <c r="N22">
        <f ca="1">COUNTIFS(INDIRECT("Table1[Beginn]"),"&lt;="&amp;N$1,INDIRECT("Table1[Ende]"),"&gt;="&amp;N$1,INDIRECT("Table1[Obergruppe ATC-Code]"),Tabelle3!$A22)</f>
        <v>0</v>
      </c>
      <c r="O22">
        <f ca="1">COUNTIFS(INDIRECT("Table1[Beginn]"),"&lt;="&amp;O$1,INDIRECT("Table1[Ende]"),"&gt;="&amp;O$1,INDIRECT("Table1[Obergruppe ATC-Code]"),Tabelle3!$A22)</f>
        <v>0</v>
      </c>
      <c r="P22">
        <f ca="1">COUNTIFS(INDIRECT("Table1[Beginn]"),"&lt;="&amp;P$1,INDIRECT("Table1[Ende]"),"&gt;="&amp;P$1,INDIRECT("Table1[Obergruppe ATC-Code]"),Tabelle3!$A22)</f>
        <v>2</v>
      </c>
      <c r="Q22">
        <f ca="1">COUNTIFS(INDIRECT("Table1[Beginn]"),"&lt;="&amp;Q$1,INDIRECT("Table1[Ende]"),"&gt;="&amp;Q$1,INDIRECT("Table1[Obergruppe ATC-Code]"),Tabelle3!$A22)</f>
        <v>2</v>
      </c>
      <c r="R22">
        <f ca="1">COUNTIFS(INDIRECT("Table1[Beginn]"),"&lt;="&amp;R$1,INDIRECT("Table1[Ende]"),"&gt;="&amp;R$1,INDIRECT("Table1[Obergruppe ATC-Code]"),Tabelle3!$A22)</f>
        <v>2</v>
      </c>
      <c r="S22">
        <f ca="1">COUNTIFS(INDIRECT("Table1[Beginn]"),"&lt;="&amp;S$1,INDIRECT("Table1[Ende]"),"&gt;="&amp;S$1,INDIRECT("Table1[Obergruppe ATC-Code]"),Tabelle3!$A22)</f>
        <v>0</v>
      </c>
      <c r="T22">
        <f ca="1">COUNTIFS(INDIRECT("Table1[Beginn]"),"&lt;="&amp;T$1,INDIRECT("Table1[Ende]"),"&gt;="&amp;T$1,INDIRECT("Table1[Obergruppe ATC-Code]"),Tabelle3!$A22)</f>
        <v>0</v>
      </c>
      <c r="U22">
        <f ca="1">COUNTIFS(INDIRECT("Table1[Beginn]"),"&lt;="&amp;U$1,INDIRECT("Table1[Ende]"),"&gt;="&amp;U$1,INDIRECT("Table1[Obergruppe ATC-Code]"),Tabelle3!$A22)</f>
        <v>0</v>
      </c>
      <c r="V22">
        <f ca="1">COUNTIFS(INDIRECT("Table1[Beginn]"),"&lt;="&amp;V$1,INDIRECT("Table1[Ende]"),"&gt;="&amp;V$1,INDIRECT("Table1[Obergruppe ATC-Code]"),Tabelle3!$A22)</f>
        <v>0</v>
      </c>
      <c r="W22">
        <f ca="1">COUNTIFS(INDIRECT("Table1[Beginn]"),"&lt;="&amp;W$1,INDIRECT("Table1[Ende]"),"&gt;="&amp;W$1,INDIRECT("Table1[Obergruppe ATC-Code]"),Tabelle3!$A22)</f>
        <v>0</v>
      </c>
      <c r="X22">
        <f ca="1">COUNTIFS(INDIRECT("Table1[Beginn]"),"&lt;="&amp;X$1,INDIRECT("Table1[Ende]"),"&gt;="&amp;X$1,INDIRECT("Table1[Obergruppe ATC-Code]"),Tabelle3!$A22)</f>
        <v>0</v>
      </c>
      <c r="Y22">
        <f ca="1">COUNTIFS(INDIRECT("Table1[Beginn]"),"&lt;="&amp;Y$1,INDIRECT("Table1[Ende]"),"&gt;="&amp;Y$1,INDIRECT("Table1[Obergruppe ATC-Code]"),Tabelle3!$A22)</f>
        <v>0</v>
      </c>
      <c r="Z22">
        <f ca="1">COUNTIFS(INDIRECT("Table1[Beginn]"),"&lt;="&amp;Z$1,INDIRECT("Table1[Ende]"),"&gt;="&amp;Z$1,INDIRECT("Table1[Obergruppe ATC-Code]"),Tabelle3!$A22)</f>
        <v>0</v>
      </c>
      <c r="AA22">
        <f ca="1">COUNTIFS(INDIRECT("Table1[Beginn]"),"&lt;="&amp;AA$1,INDIRECT("Table1[Ende]"),"&gt;="&amp;AA$1,INDIRECT("Table1[Obergruppe ATC-Code]"),Tabelle3!$A22)</f>
        <v>0</v>
      </c>
      <c r="AB22">
        <f ca="1">COUNTIFS(INDIRECT("Table1[Beginn]"),"&lt;="&amp;AB$1,INDIRECT("Table1[Ende]"),"&gt;="&amp;AB$1,INDIRECT("Table1[Obergruppe ATC-Code]"),Tabelle3!$A22)</f>
        <v>0</v>
      </c>
      <c r="AC22">
        <f ca="1">COUNTIFS(INDIRECT("Table1[Beginn]"),"&lt;="&amp;AC$1,INDIRECT("Table1[Ende]"),"&gt;="&amp;AC$1,INDIRECT("Table1[Obergruppe ATC-Code]"),Tabelle3!$A22)</f>
        <v>0</v>
      </c>
      <c r="AD22">
        <f ca="1">COUNTIFS(INDIRECT("Table1[Beginn]"),"&lt;="&amp;AD$1,INDIRECT("Table1[Ende]"),"&gt;="&amp;AD$1,INDIRECT("Table1[Obergruppe ATC-Code]"),Tabelle3!$A22)</f>
        <v>0</v>
      </c>
      <c r="AE22">
        <f ca="1">COUNTIFS(INDIRECT("Table1[Beginn]"),"&lt;="&amp;AE$1,INDIRECT("Table1[Ende]"),"&gt;="&amp;AE$1,INDIRECT("Table1[Obergruppe ATC-Code]"),Tabelle3!$A22)</f>
        <v>0</v>
      </c>
      <c r="AF22">
        <f ca="1">COUNTIFS(INDIRECT("Table1[Beginn]"),"&lt;="&amp;AF$1,INDIRECT("Table1[Ende]"),"&gt;="&amp;AF$1,INDIRECT("Table1[Obergruppe ATC-Code]"),Tabelle3!$A22)</f>
        <v>0</v>
      </c>
      <c r="AG22">
        <f ca="1">COUNTIFS(INDIRECT("Table1[Beginn]"),"&lt;="&amp;AG$1,INDIRECT("Table1[Ende]"),"&gt;="&amp;AG$1,INDIRECT("Table1[Obergruppe ATC-Code]"),Tabelle3!$A22)</f>
        <v>0</v>
      </c>
      <c r="AH22">
        <f ca="1">COUNTIFS(INDIRECT("Table1[Beginn]"),"&lt;="&amp;AH$1,INDIRECT("Table1[Ende]"),"&gt;="&amp;AH$1,INDIRECT("Table1[Obergruppe ATC-Code]"),Tabelle3!$A22)</f>
        <v>0</v>
      </c>
      <c r="AI22">
        <f ca="1">COUNTIFS(INDIRECT("Table1[Beginn]"),"&lt;="&amp;AI$1,INDIRECT("Table1[Ende]"),"&gt;="&amp;AI$1,INDIRECT("Table1[Obergruppe ATC-Code]"),Tabelle3!$A22)</f>
        <v>0</v>
      </c>
      <c r="AJ22">
        <f ca="1">COUNTIFS(INDIRECT("Table1[Beginn]"),"&lt;="&amp;AJ$1,INDIRECT("Table1[Ende]"),"&gt;="&amp;AJ$1,INDIRECT("Table1[Obergruppe ATC-Code]"),Tabelle3!$A22)</f>
        <v>0</v>
      </c>
      <c r="AK22">
        <f ca="1">COUNTIFS(INDIRECT("Table1[Beginn]"),"&lt;="&amp;AK$1,INDIRECT("Table1[Ende]"),"&gt;="&amp;AK$1,INDIRECT("Table1[Obergruppe ATC-Code]"),Tabelle3!$A22)</f>
        <v>0</v>
      </c>
      <c r="AL22">
        <f ca="1">COUNTIFS(INDIRECT("Table1[Beginn]"),"&lt;="&amp;AL$1,INDIRECT("Table1[Ende]"),"&gt;="&amp;AL$1,INDIRECT("Table1[Obergruppe ATC-Code]"),Tabelle3!$A22)</f>
        <v>0</v>
      </c>
      <c r="AM22">
        <f ca="1">COUNTIFS(INDIRECT("Table1[Beginn]"),"&lt;="&amp;AM$1,INDIRECT("Table1[Ende]"),"&gt;="&amp;AM$1,INDIRECT("Table1[Obergruppe ATC-Code]"),Tabelle3!$A22)</f>
        <v>0</v>
      </c>
      <c r="AN22">
        <f ca="1">COUNTIFS(INDIRECT("Table1[Beginn]"),"&lt;="&amp;AN$1,INDIRECT("Table1[Ende]"),"&gt;="&amp;AN$1,INDIRECT("Table1[Obergruppe ATC-Code]"),Tabelle3!$A22)</f>
        <v>0</v>
      </c>
      <c r="AO22">
        <f ca="1">COUNTIFS(INDIRECT("Table1[Beginn]"),"&lt;="&amp;AO$1,INDIRECT("Table1[Ende]"),"&gt;="&amp;AO$1,INDIRECT("Table1[Obergruppe ATC-Code]"),Tabelle3!$A22)</f>
        <v>0</v>
      </c>
      <c r="AP22">
        <f ca="1">COUNTIFS(INDIRECT("Table1[Beginn]"),"&lt;="&amp;AP$1,INDIRECT("Table1[Ende]"),"&gt;="&amp;AP$1,INDIRECT("Table1[Obergruppe ATC-Code]"),Tabelle3!$A22)</f>
        <v>0</v>
      </c>
      <c r="AQ22">
        <f ca="1">COUNTIFS(INDIRECT("Table1[Beginn]"),"&lt;="&amp;AQ$1,INDIRECT("Table1[Ende]"),"&gt;="&amp;AQ$1,INDIRECT("Table1[Obergruppe ATC-Code]"),Tabelle3!$A22)</f>
        <v>0</v>
      </c>
      <c r="AR22">
        <f ca="1">COUNTIFS(INDIRECT("Table1[Beginn]"),"&lt;="&amp;AR$1,INDIRECT("Table1[Ende]"),"&gt;="&amp;AR$1,INDIRECT("Table1[Obergruppe ATC-Code]"),Tabelle3!$A22)</f>
        <v>0</v>
      </c>
      <c r="AS22">
        <f ca="1">COUNTIFS(INDIRECT("Table1[Beginn]"),"&lt;="&amp;AS$1,INDIRECT("Table1[Ende]"),"&gt;="&amp;AS$1,INDIRECT("Table1[Obergruppe ATC-Code]"),Tabelle3!$A22)</f>
        <v>0</v>
      </c>
      <c r="AT22">
        <f ca="1">COUNTIFS(INDIRECT("Table1[Beginn]"),"&lt;="&amp;AT$1,INDIRECT("Table1[Ende]"),"&gt;="&amp;AT$1,INDIRECT("Table1[Obergruppe ATC-Code]"),Tabelle3!$A22)</f>
        <v>0</v>
      </c>
      <c r="AU22">
        <f ca="1">COUNTIFS(INDIRECT("Table1[Beginn]"),"&lt;="&amp;AU$1,INDIRECT("Table1[Ende]"),"&gt;="&amp;AU$1,INDIRECT("Table1[Obergruppe ATC-Code]"),Tabelle3!$A22)</f>
        <v>0</v>
      </c>
      <c r="AV22">
        <f ca="1">COUNTIFS(INDIRECT("Table1[Beginn]"),"&lt;="&amp;AV$1,INDIRECT("Table1[Ende]"),"&gt;="&amp;AV$1,INDIRECT("Table1[Obergruppe ATC-Code]"),Tabelle3!$A22)</f>
        <v>0</v>
      </c>
      <c r="AW22">
        <f ca="1">COUNTIFS(INDIRECT("Table1[Beginn]"),"&lt;="&amp;AW$1,INDIRECT("Table1[Ende]"),"&gt;="&amp;AW$1,INDIRECT("Table1[Obergruppe ATC-Code]"),Tabelle3!$A22)</f>
        <v>0</v>
      </c>
      <c r="AX22">
        <f ca="1">COUNTIFS(INDIRECT("Table1[Beginn]"),"&lt;="&amp;AX$1,INDIRECT("Table1[Ende]"),"&gt;="&amp;AX$1,INDIRECT("Table1[Obergruppe ATC-Code]"),Tabelle3!$A22)</f>
        <v>0</v>
      </c>
      <c r="AY22">
        <f ca="1">COUNTIFS(INDIRECT("Table1[Beginn]"),"&lt;="&amp;AY$1,INDIRECT("Table1[Ende]"),"&gt;="&amp;AY$1,INDIRECT("Table1[Obergruppe ATC-Code]"),Tabelle3!$A22)</f>
        <v>0</v>
      </c>
      <c r="AZ22">
        <f ca="1">COUNTIFS(INDIRECT("Table1[Beginn]"),"&lt;="&amp;AZ$1,INDIRECT("Table1[Ende]"),"&gt;="&amp;AZ$1,INDIRECT("Table1[Obergruppe ATC-Code]"),Tabelle3!$A22)</f>
        <v>0</v>
      </c>
      <c r="BA22">
        <f ca="1">COUNTIFS(INDIRECT("Table1[Beginn]"),"&lt;="&amp;BA$1,INDIRECT("Table1[Ende]"),"&gt;="&amp;BA$1,INDIRECT("Table1[Obergruppe ATC-Code]"),Tabelle3!$A22)</f>
        <v>0</v>
      </c>
      <c r="BB22">
        <f ca="1">COUNTIFS(INDIRECT("Table1[Beginn]"),"&lt;="&amp;BB$1,INDIRECT("Table1[Ende]"),"&gt;="&amp;BB$1,INDIRECT("Table1[Obergruppe ATC-Code]"),Tabelle3!$A22)</f>
        <v>0</v>
      </c>
      <c r="BC22">
        <f ca="1">COUNTIFS(INDIRECT("Table1[Beginn]"),"&lt;="&amp;BC$1,INDIRECT("Table1[Ende]"),"&gt;="&amp;BC$1,INDIRECT("Table1[Obergruppe ATC-Code]"),Tabelle3!$A22)</f>
        <v>0</v>
      </c>
      <c r="BD22">
        <f ca="1">COUNTIFS(INDIRECT("Table1[Beginn]"),"&lt;="&amp;BD$1,INDIRECT("Table1[Ende]"),"&gt;="&amp;BD$1,INDIRECT("Table1[Obergruppe ATC-Code]"),Tabelle3!$A22)</f>
        <v>0</v>
      </c>
      <c r="BE22">
        <f ca="1">COUNTIFS(INDIRECT("Table1[Beginn]"),"&lt;="&amp;BE$1,INDIRECT("Table1[Ende]"),"&gt;="&amp;BE$1,INDIRECT("Table1[Obergruppe ATC-Code]"),Tabelle3!$A22)</f>
        <v>0</v>
      </c>
      <c r="BF22">
        <f ca="1">COUNTIFS(INDIRECT("Table1[Beginn]"),"&lt;="&amp;BF$1,INDIRECT("Table1[Ende]"),"&gt;="&amp;BF$1,INDIRECT("Table1[Obergruppe ATC-Code]"),Tabelle3!$A22)</f>
        <v>0</v>
      </c>
      <c r="BG22">
        <f ca="1">COUNTIFS(INDIRECT("Table1[Beginn]"),"&lt;="&amp;BG$1,INDIRECT("Table1[Ende]"),"&gt;="&amp;BG$1,INDIRECT("Table1[Obergruppe ATC-Code]"),Tabelle3!$A22)</f>
        <v>0</v>
      </c>
      <c r="BH22">
        <f ca="1">COUNTIFS(INDIRECT("Table1[Beginn]"),"&lt;="&amp;BH$1,INDIRECT("Table1[Ende]"),"&gt;="&amp;BH$1,INDIRECT("Table1[Obergruppe ATC-Code]"),Tabelle3!$A22)</f>
        <v>0</v>
      </c>
      <c r="BI22">
        <f ca="1">COUNTIFS(INDIRECT("Table1[Beginn]"),"&lt;="&amp;BI$1,INDIRECT("Table1[Ende]"),"&gt;="&amp;BI$1,INDIRECT("Table1[Obergruppe ATC-Code]"),Tabelle3!$A22)</f>
        <v>0</v>
      </c>
      <c r="BJ22">
        <f ca="1">COUNTIFS(INDIRECT("Table1[Beginn]"),"&lt;="&amp;BJ$1,INDIRECT("Table1[Ende]"),"&gt;="&amp;BJ$1,INDIRECT("Table1[Obergruppe ATC-Code]"),Tabelle3!$A22)</f>
        <v>0</v>
      </c>
      <c r="BK22">
        <f ca="1">COUNTIFS(INDIRECT("Table1[Beginn]"),"&lt;="&amp;BK$1,INDIRECT("Table1[Ende]"),"&gt;="&amp;BK$1,INDIRECT("Table1[Obergruppe ATC-Code]"),Tabelle3!$A22)</f>
        <v>0</v>
      </c>
      <c r="BL22">
        <f ca="1">COUNTIFS(INDIRECT("Table1[Beginn]"),"&lt;="&amp;BL$1,INDIRECT("Table1[Ende]"),"&gt;="&amp;BL$1,INDIRECT("Table1[Obergruppe ATC-Code]"),Tabelle3!$A22)</f>
        <v>0</v>
      </c>
      <c r="BM22">
        <f ca="1">COUNTIFS(INDIRECT("Table1[Beginn]"),"&lt;="&amp;BM$1,INDIRECT("Table1[Ende]"),"&gt;="&amp;BM$1,INDIRECT("Table1[Obergruppe ATC-Code]"),Tabelle3!$A22)</f>
        <v>0</v>
      </c>
      <c r="BN22">
        <f ca="1">COUNTIFS(INDIRECT("Table1[Beginn]"),"&lt;="&amp;BN$1,INDIRECT("Table1[Ende]"),"&gt;="&amp;BN$1,INDIRECT("Table1[Obergruppe ATC-Code]"),Tabelle3!$A22)</f>
        <v>0</v>
      </c>
      <c r="BO22">
        <f ca="1">COUNTIFS(INDIRECT("Table1[Beginn]"),"&lt;="&amp;BO$1,INDIRECT("Table1[Ende]"),"&gt;="&amp;BO$1,INDIRECT("Table1[Obergruppe ATC-Code]"),Tabelle3!$A22)</f>
        <v>0</v>
      </c>
      <c r="BP22">
        <f ca="1">COUNTIFS(INDIRECT("Table1[Beginn]"),"&lt;="&amp;BP$1,INDIRECT("Table1[Ende]"),"&gt;="&amp;BP$1,INDIRECT("Table1[Obergruppe ATC-Code]"),Tabelle3!$A22)</f>
        <v>0</v>
      </c>
      <c r="BQ22">
        <f ca="1">COUNTIFS(INDIRECT("Table1[Beginn]"),"&lt;="&amp;BQ$1,INDIRECT("Table1[Ende]"),"&gt;="&amp;BQ$1,INDIRECT("Table1[Obergruppe ATC-Code]"),Tabelle3!$A22)</f>
        <v>0</v>
      </c>
      <c r="BR22">
        <f ca="1">COUNTIFS(INDIRECT("Table1[Beginn]"),"&lt;="&amp;BR$1,INDIRECT("Table1[Ende]"),"&gt;="&amp;BR$1,INDIRECT("Table1[Obergruppe ATC-Code]"),Tabelle3!$A22)</f>
        <v>1</v>
      </c>
      <c r="BS22">
        <f ca="1">COUNTIFS(INDIRECT("Table1[Beginn]"),"&lt;="&amp;BS$1,INDIRECT("Table1[Ende]"),"&gt;="&amp;BS$1,INDIRECT("Table1[Obergruppe ATC-Code]"),Tabelle3!$A22)</f>
        <v>1</v>
      </c>
      <c r="BT22">
        <f ca="1">COUNTIFS(INDIRECT("Table1[Beginn]"),"&lt;="&amp;BT$1,INDIRECT("Table1[Ende]"),"&gt;="&amp;BT$1,INDIRECT("Table1[Obergruppe ATC-Code]"),Tabelle3!$A22)</f>
        <v>1</v>
      </c>
      <c r="BU22">
        <f ca="1">COUNTIFS(INDIRECT("Table1[Beginn]"),"&lt;="&amp;BU$1,INDIRECT("Table1[Ende]"),"&gt;="&amp;BU$1,INDIRECT("Table1[Obergruppe ATC-Code]"),Tabelle3!$A22)</f>
        <v>1</v>
      </c>
      <c r="BV22">
        <f ca="1">COUNTIFS(INDIRECT("Table1[Beginn]"),"&lt;="&amp;BV$1,INDIRECT("Table1[Ende]"),"&gt;="&amp;BV$1,INDIRECT("Table1[Obergruppe ATC-Code]"),Tabelle3!$A22)</f>
        <v>0</v>
      </c>
      <c r="BW22">
        <f ca="1">COUNTIFS(INDIRECT("Table1[Beginn]"),"&lt;="&amp;BW$1,INDIRECT("Table1[Ende]"),"&gt;="&amp;BW$1,INDIRECT("Table1[Obergruppe ATC-Code]"),Tabelle3!$A22)</f>
        <v>0</v>
      </c>
      <c r="BX22">
        <f ca="1">COUNTIFS(INDIRECT("Table1[Beginn]"),"&lt;="&amp;BX$1,INDIRECT("Table1[Ende]"),"&gt;="&amp;BX$1,INDIRECT("Table1[Obergruppe ATC-Code]"),Tabelle3!$A22)</f>
        <v>0</v>
      </c>
      <c r="BY22">
        <f ca="1">COUNTIFS(INDIRECT("Table1[Beginn]"),"&lt;="&amp;BY$1,INDIRECT("Table1[Ende]"),"&gt;="&amp;BY$1,INDIRECT("Table1[Obergruppe ATC-Code]"),Tabelle3!$A22)</f>
        <v>1</v>
      </c>
      <c r="BZ22">
        <f ca="1">COUNTIFS(INDIRECT("Table1[Beginn]"),"&lt;="&amp;BZ$1,INDIRECT("Table1[Ende]"),"&gt;="&amp;BZ$1,INDIRECT("Table1[Obergruppe ATC-Code]"),Tabelle3!$A22)</f>
        <v>1</v>
      </c>
      <c r="CA22">
        <f ca="1">COUNTIFS(INDIRECT("Table1[Beginn]"),"&lt;="&amp;CA$1,INDIRECT("Table1[Ende]"),"&gt;="&amp;CA$1,INDIRECT("Table1[Obergruppe ATC-Code]"),Tabelle3!$A22)</f>
        <v>1</v>
      </c>
      <c r="CB22">
        <f ca="1">COUNTIFS(INDIRECT("Table1[Beginn]"),"&lt;="&amp;CB$1,INDIRECT("Table1[Ende]"),"&gt;="&amp;CB$1,INDIRECT("Table1[Obergruppe ATC-Code]"),Tabelle3!$A22)</f>
        <v>1</v>
      </c>
      <c r="CC22">
        <f ca="1">COUNTIFS(INDIRECT("Table1[Beginn]"),"&lt;="&amp;CC$1,INDIRECT("Table1[Ende]"),"&gt;="&amp;CC$1,INDIRECT("Table1[Obergruppe ATC-Code]"),Tabelle3!$A22)</f>
        <v>1</v>
      </c>
      <c r="CD22">
        <f ca="1">COUNTIFS(INDIRECT("Table1[Beginn]"),"&lt;="&amp;CD$1,INDIRECT("Table1[Ende]"),"&gt;="&amp;CD$1,INDIRECT("Table1[Obergruppe ATC-Code]"),Tabelle3!$A22)</f>
        <v>1</v>
      </c>
      <c r="CE22">
        <f ca="1">COUNTIFS(INDIRECT("Table1[Beginn]"),"&lt;="&amp;CE$1,INDIRECT("Table1[Ende]"),"&gt;="&amp;CE$1,INDIRECT("Table1[Obergruppe ATC-Code]"),Tabelle3!$A22)</f>
        <v>2</v>
      </c>
      <c r="CF22">
        <f ca="1">COUNTIFS(INDIRECT("Table1[Beginn]"),"&lt;="&amp;CF$1,INDIRECT("Table1[Ende]"),"&gt;="&amp;CF$1,INDIRECT("Table1[Obergruppe ATC-Code]"),Tabelle3!$A22)</f>
        <v>2</v>
      </c>
      <c r="CG22">
        <f ca="1">COUNTIFS(INDIRECT("Table1[Beginn]"),"&lt;="&amp;CG$1,INDIRECT("Table1[Ende]"),"&gt;="&amp;CG$1,INDIRECT("Table1[Obergruppe ATC-Code]"),Tabelle3!$A22)</f>
        <v>1</v>
      </c>
      <c r="CH22">
        <f ca="1">COUNTIFS(INDIRECT("Table1[Beginn]"),"&lt;="&amp;CH$1,INDIRECT("Table1[Ende]"),"&gt;="&amp;CH$1,INDIRECT("Table1[Obergruppe ATC-Code]"),Tabelle3!$A22)</f>
        <v>0</v>
      </c>
      <c r="CI22">
        <f ca="1">COUNTIFS(INDIRECT("Table1[Beginn]"),"&lt;="&amp;CI$1,INDIRECT("Table1[Ende]"),"&gt;="&amp;CI$1,INDIRECT("Table1[Obergruppe ATC-Code]"),Tabelle3!$A22)</f>
        <v>0</v>
      </c>
      <c r="CJ22">
        <f ca="1">COUNTIFS(INDIRECT("Table1[Beginn]"),"&lt;="&amp;CJ$1,INDIRECT("Table1[Ende]"),"&gt;="&amp;CJ$1,INDIRECT("Table1[Obergruppe ATC-Code]"),Tabelle3!$A22)</f>
        <v>0</v>
      </c>
      <c r="CK22">
        <f ca="1">COUNTIFS(INDIRECT("Table1[Beginn]"),"&lt;="&amp;CK$1,INDIRECT("Table1[Ende]"),"&gt;="&amp;CK$1,INDIRECT("Table1[Obergruppe ATC-Code]"),Tabelle3!$A22)</f>
        <v>0</v>
      </c>
      <c r="CL22">
        <f ca="1">COUNTIFS(INDIRECT("Table1[Beginn]"),"&lt;="&amp;CL$1,INDIRECT("Table1[Ende]"),"&gt;="&amp;CL$1,INDIRECT("Table1[Obergruppe ATC-Code]"),Tabelle3!$A22)</f>
        <v>0</v>
      </c>
      <c r="CM22">
        <f ca="1">COUNTIFS(INDIRECT("Table1[Beginn]"),"&lt;="&amp;CM$1,INDIRECT("Table1[Ende]"),"&gt;="&amp;CM$1,INDIRECT("Table1[Obergruppe ATC-Code]"),Tabelle3!$A22)</f>
        <v>0</v>
      </c>
      <c r="CN22">
        <f ca="1">COUNTIFS(INDIRECT("Table1[Beginn]"),"&lt;="&amp;CN$1,INDIRECT("Table1[Ende]"),"&gt;="&amp;CN$1,INDIRECT("Table1[Obergruppe ATC-Code]"),Tabelle3!$A22)</f>
        <v>0</v>
      </c>
      <c r="CO22">
        <f ca="1">COUNTIFS(INDIRECT("Table1[Beginn]"),"&lt;="&amp;CO$1,INDIRECT("Table1[Ende]"),"&gt;="&amp;CO$1,INDIRECT("Table1[Obergruppe ATC-Code]"),Tabelle3!$A22)</f>
        <v>0</v>
      </c>
      <c r="CP22">
        <f ca="1">COUNTIFS(INDIRECT("Table1[Beginn]"),"&lt;="&amp;CP$1,INDIRECT("Table1[Ende]"),"&gt;="&amp;CP$1,INDIRECT("Table1[Obergruppe ATC-Code]"),Tabelle3!$A22)</f>
        <v>0</v>
      </c>
      <c r="CQ22">
        <f ca="1">COUNTIFS(INDIRECT("Table1[Beginn]"),"&lt;="&amp;CQ$1,INDIRECT("Table1[Ende]"),"&gt;="&amp;CQ$1,INDIRECT("Table1[Obergruppe ATC-Code]"),Tabelle3!$A22)</f>
        <v>0</v>
      </c>
      <c r="CR22">
        <f ca="1">COUNTIFS(INDIRECT("Table1[Beginn]"),"&lt;="&amp;CR$1,INDIRECT("Table1[Ende]"),"&gt;="&amp;CR$1,INDIRECT("Table1[Obergruppe ATC-Code]"),Tabelle3!$A22)</f>
        <v>0</v>
      </c>
      <c r="CS22">
        <f ca="1">COUNTIFS(INDIRECT("Table1[Beginn]"),"&lt;="&amp;CS$1,INDIRECT("Table1[Ende]"),"&gt;="&amp;CS$1,INDIRECT("Table1[Obergruppe ATC-Code]"),Tabelle3!$A22)</f>
        <v>0</v>
      </c>
      <c r="CT22">
        <f ca="1">COUNTIFS(INDIRECT("Table1[Beginn]"),"&lt;="&amp;CT$1,INDIRECT("Table1[Ende]"),"&gt;="&amp;CT$1,INDIRECT("Table1[Obergruppe ATC-Code]"),Tabelle3!$A22)</f>
        <v>0</v>
      </c>
      <c r="CU22" s="54"/>
      <c r="CV22" s="54"/>
      <c r="CW22" s="54"/>
      <c r="CX22" s="54"/>
      <c r="CY22" s="54"/>
      <c r="CZ22" s="54"/>
      <c r="DA22" s="54"/>
      <c r="DB22" s="54"/>
      <c r="DC22" s="54"/>
      <c r="DD22" s="54"/>
      <c r="DE22" s="54"/>
      <c r="DF22" s="54"/>
      <c r="DG22" s="54"/>
      <c r="DH22" s="54"/>
    </row>
    <row r="23" spans="1:112" ht="18" customHeight="1">
      <c r="A23" s="9" t="s">
        <v>6814</v>
      </c>
      <c r="B23" s="10" t="s">
        <v>6815</v>
      </c>
      <c r="C23">
        <f ca="1">COUNTIFS(INDIRECT("Table1[Beginn]"),"&lt;="&amp;C$1,INDIRECT("Table1[Ende]"),"&gt;="&amp;C$1,INDIRECT("Table1[Obergruppe ATC-Code]"),Tabelle3!$A23)</f>
        <v>0</v>
      </c>
      <c r="D23">
        <f ca="1">COUNTIFS(INDIRECT("Table1[Beginn]"),"&lt;="&amp;D$1,INDIRECT("Table1[Ende]"),"&gt;="&amp;D$1,INDIRECT("Table1[Obergruppe ATC-Code]"),Tabelle3!$A23)</f>
        <v>0</v>
      </c>
      <c r="E23">
        <f ca="1">COUNTIFS(INDIRECT("Table1[Beginn]"),"&lt;="&amp;E$1,INDIRECT("Table1[Ende]"),"&gt;="&amp;E$1,INDIRECT("Table1[Obergruppe ATC-Code]"),Tabelle3!$A23)</f>
        <v>0</v>
      </c>
      <c r="F23">
        <f ca="1">COUNTIFS(INDIRECT("Table1[Beginn]"),"&lt;="&amp;F$1,INDIRECT("Table1[Ende]"),"&gt;="&amp;F$1,INDIRECT("Table1[Obergruppe ATC-Code]"),Tabelle3!$A23)</f>
        <v>0</v>
      </c>
      <c r="G23">
        <f ca="1">COUNTIFS(INDIRECT("Table1[Beginn]"),"&lt;="&amp;G$1,INDIRECT("Table1[Ende]"),"&gt;="&amp;G$1,INDIRECT("Table1[Obergruppe ATC-Code]"),Tabelle3!$A23)</f>
        <v>0</v>
      </c>
      <c r="H23">
        <f ca="1">COUNTIFS(INDIRECT("Table1[Beginn]"),"&lt;="&amp;H$1,INDIRECT("Table1[Ende]"),"&gt;="&amp;H$1,INDIRECT("Table1[Obergruppe ATC-Code]"),Tabelle3!$A23)</f>
        <v>0</v>
      </c>
      <c r="I23">
        <f ca="1">COUNTIFS(INDIRECT("Table1[Beginn]"),"&lt;="&amp;I$1,INDIRECT("Table1[Ende]"),"&gt;="&amp;I$1,INDIRECT("Table1[Obergruppe ATC-Code]"),Tabelle3!$A23)</f>
        <v>0</v>
      </c>
      <c r="J23">
        <f ca="1">COUNTIFS(INDIRECT("Table1[Beginn]"),"&lt;="&amp;J$1,INDIRECT("Table1[Ende]"),"&gt;="&amp;J$1,INDIRECT("Table1[Obergruppe ATC-Code]"),Tabelle3!$A23)</f>
        <v>0</v>
      </c>
      <c r="K23">
        <f ca="1">COUNTIFS(INDIRECT("Table1[Beginn]"),"&lt;="&amp;K$1,INDIRECT("Table1[Ende]"),"&gt;="&amp;K$1,INDIRECT("Table1[Obergruppe ATC-Code]"),Tabelle3!$A23)</f>
        <v>0</v>
      </c>
      <c r="L23">
        <f ca="1">COUNTIFS(INDIRECT("Table1[Beginn]"),"&lt;="&amp;L$1,INDIRECT("Table1[Ende]"),"&gt;="&amp;L$1,INDIRECT("Table1[Obergruppe ATC-Code]"),Tabelle3!$A23)</f>
        <v>0</v>
      </c>
      <c r="M23">
        <f ca="1">COUNTIFS(INDIRECT("Table1[Beginn]"),"&lt;="&amp;M$1,INDIRECT("Table1[Ende]"),"&gt;="&amp;M$1,INDIRECT("Table1[Obergruppe ATC-Code]"),Tabelle3!$A23)</f>
        <v>0</v>
      </c>
      <c r="N23">
        <f ca="1">COUNTIFS(INDIRECT("Table1[Beginn]"),"&lt;="&amp;N$1,INDIRECT("Table1[Ende]"),"&gt;="&amp;N$1,INDIRECT("Table1[Obergruppe ATC-Code]"),Tabelle3!$A23)</f>
        <v>0</v>
      </c>
      <c r="O23">
        <f ca="1">COUNTIFS(INDIRECT("Table1[Beginn]"),"&lt;="&amp;O$1,INDIRECT("Table1[Ende]"),"&gt;="&amp;O$1,INDIRECT("Table1[Obergruppe ATC-Code]"),Tabelle3!$A23)</f>
        <v>0</v>
      </c>
      <c r="P23">
        <f ca="1">COUNTIFS(INDIRECT("Table1[Beginn]"),"&lt;="&amp;P$1,INDIRECT("Table1[Ende]"),"&gt;="&amp;P$1,INDIRECT("Table1[Obergruppe ATC-Code]"),Tabelle3!$A23)</f>
        <v>1</v>
      </c>
      <c r="Q23">
        <f ca="1">COUNTIFS(INDIRECT("Table1[Beginn]"),"&lt;="&amp;Q$1,INDIRECT("Table1[Ende]"),"&gt;="&amp;Q$1,INDIRECT("Table1[Obergruppe ATC-Code]"),Tabelle3!$A23)</f>
        <v>3</v>
      </c>
      <c r="R23">
        <f ca="1">COUNTIFS(INDIRECT("Table1[Beginn]"),"&lt;="&amp;R$1,INDIRECT("Table1[Ende]"),"&gt;="&amp;R$1,INDIRECT("Table1[Obergruppe ATC-Code]"),Tabelle3!$A23)</f>
        <v>3</v>
      </c>
      <c r="S23">
        <f ca="1">COUNTIFS(INDIRECT("Table1[Beginn]"),"&lt;="&amp;S$1,INDIRECT("Table1[Ende]"),"&gt;="&amp;S$1,INDIRECT("Table1[Obergruppe ATC-Code]"),Tabelle3!$A23)</f>
        <v>2</v>
      </c>
      <c r="T23">
        <f ca="1">COUNTIFS(INDIRECT("Table1[Beginn]"),"&lt;="&amp;T$1,INDIRECT("Table1[Ende]"),"&gt;="&amp;T$1,INDIRECT("Table1[Obergruppe ATC-Code]"),Tabelle3!$A23)</f>
        <v>2</v>
      </c>
      <c r="U23">
        <f ca="1">COUNTIFS(INDIRECT("Table1[Beginn]"),"&lt;="&amp;U$1,INDIRECT("Table1[Ende]"),"&gt;="&amp;U$1,INDIRECT("Table1[Obergruppe ATC-Code]"),Tabelle3!$A23)</f>
        <v>4</v>
      </c>
      <c r="V23">
        <f ca="1">COUNTIFS(INDIRECT("Table1[Beginn]"),"&lt;="&amp;V$1,INDIRECT("Table1[Ende]"),"&gt;="&amp;V$1,INDIRECT("Table1[Obergruppe ATC-Code]"),Tabelle3!$A23)</f>
        <v>2</v>
      </c>
      <c r="W23">
        <f ca="1">COUNTIFS(INDIRECT("Table1[Beginn]"),"&lt;="&amp;W$1,INDIRECT("Table1[Ende]"),"&gt;="&amp;W$1,INDIRECT("Table1[Obergruppe ATC-Code]"),Tabelle3!$A23)</f>
        <v>3</v>
      </c>
      <c r="X23">
        <f ca="1">COUNTIFS(INDIRECT("Table1[Beginn]"),"&lt;="&amp;X$1,INDIRECT("Table1[Ende]"),"&gt;="&amp;X$1,INDIRECT("Table1[Obergruppe ATC-Code]"),Tabelle3!$A23)</f>
        <v>2</v>
      </c>
      <c r="Y23">
        <f ca="1">COUNTIFS(INDIRECT("Table1[Beginn]"),"&lt;="&amp;Y$1,INDIRECT("Table1[Ende]"),"&gt;="&amp;Y$1,INDIRECT("Table1[Obergruppe ATC-Code]"),Tabelle3!$A23)</f>
        <v>2</v>
      </c>
      <c r="Z23">
        <f ca="1">COUNTIFS(INDIRECT("Table1[Beginn]"),"&lt;="&amp;Z$1,INDIRECT("Table1[Ende]"),"&gt;="&amp;Z$1,INDIRECT("Table1[Obergruppe ATC-Code]"),Tabelle3!$A23)</f>
        <v>2</v>
      </c>
      <c r="AA23">
        <f ca="1">COUNTIFS(INDIRECT("Table1[Beginn]"),"&lt;="&amp;AA$1,INDIRECT("Table1[Ende]"),"&gt;="&amp;AA$1,INDIRECT("Table1[Obergruppe ATC-Code]"),Tabelle3!$A23)</f>
        <v>1</v>
      </c>
      <c r="AB23">
        <f ca="1">COUNTIFS(INDIRECT("Table1[Beginn]"),"&lt;="&amp;AB$1,INDIRECT("Table1[Ende]"),"&gt;="&amp;AB$1,INDIRECT("Table1[Obergruppe ATC-Code]"),Tabelle3!$A23)</f>
        <v>1</v>
      </c>
      <c r="AC23">
        <f ca="1">COUNTIFS(INDIRECT("Table1[Beginn]"),"&lt;="&amp;AC$1,INDIRECT("Table1[Ende]"),"&gt;="&amp;AC$1,INDIRECT("Table1[Obergruppe ATC-Code]"),Tabelle3!$A23)</f>
        <v>1</v>
      </c>
      <c r="AD23">
        <f ca="1">COUNTIFS(INDIRECT("Table1[Beginn]"),"&lt;="&amp;AD$1,INDIRECT("Table1[Ende]"),"&gt;="&amp;AD$1,INDIRECT("Table1[Obergruppe ATC-Code]"),Tabelle3!$A23)</f>
        <v>1</v>
      </c>
      <c r="AE23">
        <f ca="1">COUNTIFS(INDIRECT("Table1[Beginn]"),"&lt;="&amp;AE$1,INDIRECT("Table1[Ende]"),"&gt;="&amp;AE$1,INDIRECT("Table1[Obergruppe ATC-Code]"),Tabelle3!$A23)</f>
        <v>3</v>
      </c>
      <c r="AF23">
        <f ca="1">COUNTIFS(INDIRECT("Table1[Beginn]"),"&lt;="&amp;AF$1,INDIRECT("Table1[Ende]"),"&gt;="&amp;AF$1,INDIRECT("Table1[Obergruppe ATC-Code]"),Tabelle3!$A23)</f>
        <v>2</v>
      </c>
      <c r="AG23">
        <f ca="1">COUNTIFS(INDIRECT("Table1[Beginn]"),"&lt;="&amp;AG$1,INDIRECT("Table1[Ende]"),"&gt;="&amp;AG$1,INDIRECT("Table1[Obergruppe ATC-Code]"),Tabelle3!$A23)</f>
        <v>2</v>
      </c>
      <c r="AH23">
        <f ca="1">COUNTIFS(INDIRECT("Table1[Beginn]"),"&lt;="&amp;AH$1,INDIRECT("Table1[Ende]"),"&gt;="&amp;AH$1,INDIRECT("Table1[Obergruppe ATC-Code]"),Tabelle3!$A23)</f>
        <v>2</v>
      </c>
      <c r="AI23">
        <f ca="1">COUNTIFS(INDIRECT("Table1[Beginn]"),"&lt;="&amp;AI$1,INDIRECT("Table1[Ende]"),"&gt;="&amp;AI$1,INDIRECT("Table1[Obergruppe ATC-Code]"),Tabelle3!$A23)</f>
        <v>2</v>
      </c>
      <c r="AJ23">
        <f ca="1">COUNTIFS(INDIRECT("Table1[Beginn]"),"&lt;="&amp;AJ$1,INDIRECT("Table1[Ende]"),"&gt;="&amp;AJ$1,INDIRECT("Table1[Obergruppe ATC-Code]"),Tabelle3!$A23)</f>
        <v>2</v>
      </c>
      <c r="AK23">
        <f ca="1">COUNTIFS(INDIRECT("Table1[Beginn]"),"&lt;="&amp;AK$1,INDIRECT("Table1[Ende]"),"&gt;="&amp;AK$1,INDIRECT("Table1[Obergruppe ATC-Code]"),Tabelle3!$A23)</f>
        <v>2</v>
      </c>
      <c r="AL23">
        <f ca="1">COUNTIFS(INDIRECT("Table1[Beginn]"),"&lt;="&amp;AL$1,INDIRECT("Table1[Ende]"),"&gt;="&amp;AL$1,INDIRECT("Table1[Obergruppe ATC-Code]"),Tabelle3!$A23)</f>
        <v>2</v>
      </c>
      <c r="AM23">
        <f ca="1">COUNTIFS(INDIRECT("Table1[Beginn]"),"&lt;="&amp;AM$1,INDIRECT("Table1[Ende]"),"&gt;="&amp;AM$1,INDIRECT("Table1[Obergruppe ATC-Code]"),Tabelle3!$A23)</f>
        <v>1</v>
      </c>
      <c r="AN23">
        <f ca="1">COUNTIFS(INDIRECT("Table1[Beginn]"),"&lt;="&amp;AN$1,INDIRECT("Table1[Ende]"),"&gt;="&amp;AN$1,INDIRECT("Table1[Obergruppe ATC-Code]"),Tabelle3!$A23)</f>
        <v>1</v>
      </c>
      <c r="AO23">
        <f ca="1">COUNTIFS(INDIRECT("Table1[Beginn]"),"&lt;="&amp;AO$1,INDIRECT("Table1[Ende]"),"&gt;="&amp;AO$1,INDIRECT("Table1[Obergruppe ATC-Code]"),Tabelle3!$A23)</f>
        <v>3</v>
      </c>
      <c r="AP23">
        <f ca="1">COUNTIFS(INDIRECT("Table1[Beginn]"),"&lt;="&amp;AP$1,INDIRECT("Table1[Ende]"),"&gt;="&amp;AP$1,INDIRECT("Table1[Obergruppe ATC-Code]"),Tabelle3!$A23)</f>
        <v>4</v>
      </c>
      <c r="AQ23">
        <f ca="1">COUNTIFS(INDIRECT("Table1[Beginn]"),"&lt;="&amp;AQ$1,INDIRECT("Table1[Ende]"),"&gt;="&amp;AQ$1,INDIRECT("Table1[Obergruppe ATC-Code]"),Tabelle3!$A23)</f>
        <v>3</v>
      </c>
      <c r="AR23">
        <f ca="1">COUNTIFS(INDIRECT("Table1[Beginn]"),"&lt;="&amp;AR$1,INDIRECT("Table1[Ende]"),"&gt;="&amp;AR$1,INDIRECT("Table1[Obergruppe ATC-Code]"),Tabelle3!$A23)</f>
        <v>1</v>
      </c>
      <c r="AS23">
        <f ca="1">COUNTIFS(INDIRECT("Table1[Beginn]"),"&lt;="&amp;AS$1,INDIRECT("Table1[Ende]"),"&gt;="&amp;AS$1,INDIRECT("Table1[Obergruppe ATC-Code]"),Tabelle3!$A23)</f>
        <v>1</v>
      </c>
      <c r="AT23">
        <f ca="1">COUNTIFS(INDIRECT("Table1[Beginn]"),"&lt;="&amp;AT$1,INDIRECT("Table1[Ende]"),"&gt;="&amp;AT$1,INDIRECT("Table1[Obergruppe ATC-Code]"),Tabelle3!$A23)</f>
        <v>3</v>
      </c>
      <c r="AU23">
        <f ca="1">COUNTIFS(INDIRECT("Table1[Beginn]"),"&lt;="&amp;AU$1,INDIRECT("Table1[Ende]"),"&gt;="&amp;AU$1,INDIRECT("Table1[Obergruppe ATC-Code]"),Tabelle3!$A23)</f>
        <v>3</v>
      </c>
      <c r="AV23">
        <f ca="1">COUNTIFS(INDIRECT("Table1[Beginn]"),"&lt;="&amp;AV$1,INDIRECT("Table1[Ende]"),"&gt;="&amp;AV$1,INDIRECT("Table1[Obergruppe ATC-Code]"),Tabelle3!$A23)</f>
        <v>1</v>
      </c>
      <c r="AW23">
        <f ca="1">COUNTIFS(INDIRECT("Table1[Beginn]"),"&lt;="&amp;AW$1,INDIRECT("Table1[Ende]"),"&gt;="&amp;AW$1,INDIRECT("Table1[Obergruppe ATC-Code]"),Tabelle3!$A23)</f>
        <v>1</v>
      </c>
      <c r="AX23">
        <f ca="1">COUNTIFS(INDIRECT("Table1[Beginn]"),"&lt;="&amp;AX$1,INDIRECT("Table1[Ende]"),"&gt;="&amp;AX$1,INDIRECT("Table1[Obergruppe ATC-Code]"),Tabelle3!$A23)</f>
        <v>1</v>
      </c>
      <c r="AY23">
        <f ca="1">COUNTIFS(INDIRECT("Table1[Beginn]"),"&lt;="&amp;AY$1,INDIRECT("Table1[Ende]"),"&gt;="&amp;AY$1,INDIRECT("Table1[Obergruppe ATC-Code]"),Tabelle3!$A23)</f>
        <v>2</v>
      </c>
      <c r="AZ23">
        <f ca="1">COUNTIFS(INDIRECT("Table1[Beginn]"),"&lt;="&amp;AZ$1,INDIRECT("Table1[Ende]"),"&gt;="&amp;AZ$1,INDIRECT("Table1[Obergruppe ATC-Code]"),Tabelle3!$A23)</f>
        <v>3</v>
      </c>
      <c r="BA23">
        <f ca="1">COUNTIFS(INDIRECT("Table1[Beginn]"),"&lt;="&amp;BA$1,INDIRECT("Table1[Ende]"),"&gt;="&amp;BA$1,INDIRECT("Table1[Obergruppe ATC-Code]"),Tabelle3!$A23)</f>
        <v>3</v>
      </c>
      <c r="BB23">
        <f ca="1">COUNTIFS(INDIRECT("Table1[Beginn]"),"&lt;="&amp;BB$1,INDIRECT("Table1[Ende]"),"&gt;="&amp;BB$1,INDIRECT("Table1[Obergruppe ATC-Code]"),Tabelle3!$A23)</f>
        <v>2</v>
      </c>
      <c r="BC23">
        <f ca="1">COUNTIFS(INDIRECT("Table1[Beginn]"),"&lt;="&amp;BC$1,INDIRECT("Table1[Ende]"),"&gt;="&amp;BC$1,INDIRECT("Table1[Obergruppe ATC-Code]"),Tabelle3!$A23)</f>
        <v>1</v>
      </c>
      <c r="BD23">
        <f ca="1">COUNTIFS(INDIRECT("Table1[Beginn]"),"&lt;="&amp;BD$1,INDIRECT("Table1[Ende]"),"&gt;="&amp;BD$1,INDIRECT("Table1[Obergruppe ATC-Code]"),Tabelle3!$A23)</f>
        <v>1</v>
      </c>
      <c r="BE23">
        <f ca="1">COUNTIFS(INDIRECT("Table1[Beginn]"),"&lt;="&amp;BE$1,INDIRECT("Table1[Ende]"),"&gt;="&amp;BE$1,INDIRECT("Table1[Obergruppe ATC-Code]"),Tabelle3!$A23)</f>
        <v>0</v>
      </c>
      <c r="BF23">
        <f ca="1">COUNTIFS(INDIRECT("Table1[Beginn]"),"&lt;="&amp;BF$1,INDIRECT("Table1[Ende]"),"&gt;="&amp;BF$1,INDIRECT("Table1[Obergruppe ATC-Code]"),Tabelle3!$A23)</f>
        <v>0</v>
      </c>
      <c r="BG23">
        <f ca="1">COUNTIFS(INDIRECT("Table1[Beginn]"),"&lt;="&amp;BG$1,INDIRECT("Table1[Ende]"),"&gt;="&amp;BG$1,INDIRECT("Table1[Obergruppe ATC-Code]"),Tabelle3!$A23)</f>
        <v>0</v>
      </c>
      <c r="BH23">
        <f ca="1">COUNTIFS(INDIRECT("Table1[Beginn]"),"&lt;="&amp;BH$1,INDIRECT("Table1[Ende]"),"&gt;="&amp;BH$1,INDIRECT("Table1[Obergruppe ATC-Code]"),Tabelle3!$A23)</f>
        <v>0</v>
      </c>
      <c r="BI23">
        <f ca="1">COUNTIFS(INDIRECT("Table1[Beginn]"),"&lt;="&amp;BI$1,INDIRECT("Table1[Ende]"),"&gt;="&amp;BI$1,INDIRECT("Table1[Obergruppe ATC-Code]"),Tabelle3!$A23)</f>
        <v>0</v>
      </c>
      <c r="BJ23">
        <f ca="1">COUNTIFS(INDIRECT("Table1[Beginn]"),"&lt;="&amp;BJ$1,INDIRECT("Table1[Ende]"),"&gt;="&amp;BJ$1,INDIRECT("Table1[Obergruppe ATC-Code]"),Tabelle3!$A23)</f>
        <v>1</v>
      </c>
      <c r="BK23">
        <f ca="1">COUNTIFS(INDIRECT("Table1[Beginn]"),"&lt;="&amp;BK$1,INDIRECT("Table1[Ende]"),"&gt;="&amp;BK$1,INDIRECT("Table1[Obergruppe ATC-Code]"),Tabelle3!$A23)</f>
        <v>0</v>
      </c>
      <c r="BL23">
        <f ca="1">COUNTIFS(INDIRECT("Table1[Beginn]"),"&lt;="&amp;BL$1,INDIRECT("Table1[Ende]"),"&gt;="&amp;BL$1,INDIRECT("Table1[Obergruppe ATC-Code]"),Tabelle3!$A23)</f>
        <v>0</v>
      </c>
      <c r="BM23">
        <f ca="1">COUNTIFS(INDIRECT("Table1[Beginn]"),"&lt;="&amp;BM$1,INDIRECT("Table1[Ende]"),"&gt;="&amp;BM$1,INDIRECT("Table1[Obergruppe ATC-Code]"),Tabelle3!$A23)</f>
        <v>0</v>
      </c>
      <c r="BN23">
        <f ca="1">COUNTIFS(INDIRECT("Table1[Beginn]"),"&lt;="&amp;BN$1,INDIRECT("Table1[Ende]"),"&gt;="&amp;BN$1,INDIRECT("Table1[Obergruppe ATC-Code]"),Tabelle3!$A23)</f>
        <v>1</v>
      </c>
      <c r="BO23">
        <f ca="1">COUNTIFS(INDIRECT("Table1[Beginn]"),"&lt;="&amp;BO$1,INDIRECT("Table1[Ende]"),"&gt;="&amp;BO$1,INDIRECT("Table1[Obergruppe ATC-Code]"),Tabelle3!$A23)</f>
        <v>1</v>
      </c>
      <c r="BP23">
        <f ca="1">COUNTIFS(INDIRECT("Table1[Beginn]"),"&lt;="&amp;BP$1,INDIRECT("Table1[Ende]"),"&gt;="&amp;BP$1,INDIRECT("Table1[Obergruppe ATC-Code]"),Tabelle3!$A23)</f>
        <v>2</v>
      </c>
      <c r="BQ23">
        <f ca="1">COUNTIFS(INDIRECT("Table1[Beginn]"),"&lt;="&amp;BQ$1,INDIRECT("Table1[Ende]"),"&gt;="&amp;BQ$1,INDIRECT("Table1[Obergruppe ATC-Code]"),Tabelle3!$A23)</f>
        <v>1</v>
      </c>
      <c r="BR23">
        <f ca="1">COUNTIFS(INDIRECT("Table1[Beginn]"),"&lt;="&amp;BR$1,INDIRECT("Table1[Ende]"),"&gt;="&amp;BR$1,INDIRECT("Table1[Obergruppe ATC-Code]"),Tabelle3!$A23)</f>
        <v>4</v>
      </c>
      <c r="BS23">
        <f ca="1">COUNTIFS(INDIRECT("Table1[Beginn]"),"&lt;="&amp;BS$1,INDIRECT("Table1[Ende]"),"&gt;="&amp;BS$1,INDIRECT("Table1[Obergruppe ATC-Code]"),Tabelle3!$A23)</f>
        <v>3</v>
      </c>
      <c r="BT23">
        <f ca="1">COUNTIFS(INDIRECT("Table1[Beginn]"),"&lt;="&amp;BT$1,INDIRECT("Table1[Ende]"),"&gt;="&amp;BT$1,INDIRECT("Table1[Obergruppe ATC-Code]"),Tabelle3!$A23)</f>
        <v>4</v>
      </c>
      <c r="BU23">
        <f ca="1">COUNTIFS(INDIRECT("Table1[Beginn]"),"&lt;="&amp;BU$1,INDIRECT("Table1[Ende]"),"&gt;="&amp;BU$1,INDIRECT("Table1[Obergruppe ATC-Code]"),Tabelle3!$A23)</f>
        <v>5</v>
      </c>
      <c r="BV23">
        <f ca="1">COUNTIFS(INDIRECT("Table1[Beginn]"),"&lt;="&amp;BV$1,INDIRECT("Table1[Ende]"),"&gt;="&amp;BV$1,INDIRECT("Table1[Obergruppe ATC-Code]"),Tabelle3!$A23)</f>
        <v>3</v>
      </c>
      <c r="BW23">
        <f ca="1">COUNTIFS(INDIRECT("Table1[Beginn]"),"&lt;="&amp;BW$1,INDIRECT("Table1[Ende]"),"&gt;="&amp;BW$1,INDIRECT("Table1[Obergruppe ATC-Code]"),Tabelle3!$A23)</f>
        <v>7</v>
      </c>
      <c r="BX23">
        <f ca="1">COUNTIFS(INDIRECT("Table1[Beginn]"),"&lt;="&amp;BX$1,INDIRECT("Table1[Ende]"),"&gt;="&amp;BX$1,INDIRECT("Table1[Obergruppe ATC-Code]"),Tabelle3!$A23)</f>
        <v>8</v>
      </c>
      <c r="BY23">
        <f ca="1">COUNTIFS(INDIRECT("Table1[Beginn]"),"&lt;="&amp;BY$1,INDIRECT("Table1[Ende]"),"&gt;="&amp;BY$1,INDIRECT("Table1[Obergruppe ATC-Code]"),Tabelle3!$A23)</f>
        <v>9</v>
      </c>
      <c r="BZ23">
        <f ca="1">COUNTIFS(INDIRECT("Table1[Beginn]"),"&lt;="&amp;BZ$1,INDIRECT("Table1[Ende]"),"&gt;="&amp;BZ$1,INDIRECT("Table1[Obergruppe ATC-Code]"),Tabelle3!$A23)</f>
        <v>9</v>
      </c>
      <c r="CA23">
        <f ca="1">COUNTIFS(INDIRECT("Table1[Beginn]"),"&lt;="&amp;CA$1,INDIRECT("Table1[Ende]"),"&gt;="&amp;CA$1,INDIRECT("Table1[Obergruppe ATC-Code]"),Tabelle3!$A23)</f>
        <v>9</v>
      </c>
      <c r="CB23">
        <f ca="1">COUNTIFS(INDIRECT("Table1[Beginn]"),"&lt;="&amp;CB$1,INDIRECT("Table1[Ende]"),"&gt;="&amp;CB$1,INDIRECT("Table1[Obergruppe ATC-Code]"),Tabelle3!$A23)</f>
        <v>10</v>
      </c>
      <c r="CC23">
        <f ca="1">COUNTIFS(INDIRECT("Table1[Beginn]"),"&lt;="&amp;CC$1,INDIRECT("Table1[Ende]"),"&gt;="&amp;CC$1,INDIRECT("Table1[Obergruppe ATC-Code]"),Tabelle3!$A23)</f>
        <v>11</v>
      </c>
      <c r="CD23">
        <f ca="1">COUNTIFS(INDIRECT("Table1[Beginn]"),"&lt;="&amp;CD$1,INDIRECT("Table1[Ende]"),"&gt;="&amp;CD$1,INDIRECT("Table1[Obergruppe ATC-Code]"),Tabelle3!$A23)</f>
        <v>9</v>
      </c>
      <c r="CE23">
        <f ca="1">COUNTIFS(INDIRECT("Table1[Beginn]"),"&lt;="&amp;CE$1,INDIRECT("Table1[Ende]"),"&gt;="&amp;CE$1,INDIRECT("Table1[Obergruppe ATC-Code]"),Tabelle3!$A23)</f>
        <v>8</v>
      </c>
      <c r="CF23">
        <f ca="1">COUNTIFS(INDIRECT("Table1[Beginn]"),"&lt;="&amp;CF$1,INDIRECT("Table1[Ende]"),"&gt;="&amp;CF$1,INDIRECT("Table1[Obergruppe ATC-Code]"),Tabelle3!$A23)</f>
        <v>8</v>
      </c>
      <c r="CG23">
        <f ca="1">COUNTIFS(INDIRECT("Table1[Beginn]"),"&lt;="&amp;CG$1,INDIRECT("Table1[Ende]"),"&gt;="&amp;CG$1,INDIRECT("Table1[Obergruppe ATC-Code]"),Tabelle3!$A23)</f>
        <v>9</v>
      </c>
      <c r="CH23">
        <f ca="1">COUNTIFS(INDIRECT("Table1[Beginn]"),"&lt;="&amp;CH$1,INDIRECT("Table1[Ende]"),"&gt;="&amp;CH$1,INDIRECT("Table1[Obergruppe ATC-Code]"),Tabelle3!$A23)</f>
        <v>7</v>
      </c>
      <c r="CI23">
        <f ca="1">COUNTIFS(INDIRECT("Table1[Beginn]"),"&lt;="&amp;CI$1,INDIRECT("Table1[Ende]"),"&gt;="&amp;CI$1,INDIRECT("Table1[Obergruppe ATC-Code]"),Tabelle3!$A23)</f>
        <v>2</v>
      </c>
      <c r="CJ23">
        <f ca="1">COUNTIFS(INDIRECT("Table1[Beginn]"),"&lt;="&amp;CJ$1,INDIRECT("Table1[Ende]"),"&gt;="&amp;CJ$1,INDIRECT("Table1[Obergruppe ATC-Code]"),Tabelle3!$A23)</f>
        <v>1</v>
      </c>
      <c r="CK23">
        <f ca="1">COUNTIFS(INDIRECT("Table1[Beginn]"),"&lt;="&amp;CK$1,INDIRECT("Table1[Ende]"),"&gt;="&amp;CK$1,INDIRECT("Table1[Obergruppe ATC-Code]"),Tabelle3!$A23)</f>
        <v>0</v>
      </c>
      <c r="CL23">
        <f ca="1">COUNTIFS(INDIRECT("Table1[Beginn]"),"&lt;="&amp;CL$1,INDIRECT("Table1[Ende]"),"&gt;="&amp;CL$1,INDIRECT("Table1[Obergruppe ATC-Code]"),Tabelle3!$A23)</f>
        <v>0</v>
      </c>
      <c r="CM23">
        <f ca="1">COUNTIFS(INDIRECT("Table1[Beginn]"),"&lt;="&amp;CM$1,INDIRECT("Table1[Ende]"),"&gt;="&amp;CM$1,INDIRECT("Table1[Obergruppe ATC-Code]"),Tabelle3!$A23)</f>
        <v>0</v>
      </c>
      <c r="CN23">
        <f ca="1">COUNTIFS(INDIRECT("Table1[Beginn]"),"&lt;="&amp;CN$1,INDIRECT("Table1[Ende]"),"&gt;="&amp;CN$1,INDIRECT("Table1[Obergruppe ATC-Code]"),Tabelle3!$A23)</f>
        <v>0</v>
      </c>
      <c r="CO23">
        <f ca="1">COUNTIFS(INDIRECT("Table1[Beginn]"),"&lt;="&amp;CO$1,INDIRECT("Table1[Ende]"),"&gt;="&amp;CO$1,INDIRECT("Table1[Obergruppe ATC-Code]"),Tabelle3!$A23)</f>
        <v>0</v>
      </c>
      <c r="CP23">
        <f ca="1">COUNTIFS(INDIRECT("Table1[Beginn]"),"&lt;="&amp;CP$1,INDIRECT("Table1[Ende]"),"&gt;="&amp;CP$1,INDIRECT("Table1[Obergruppe ATC-Code]"),Tabelle3!$A23)</f>
        <v>0</v>
      </c>
      <c r="CQ23">
        <f ca="1">COUNTIFS(INDIRECT("Table1[Beginn]"),"&lt;="&amp;CQ$1,INDIRECT("Table1[Ende]"),"&gt;="&amp;CQ$1,INDIRECT("Table1[Obergruppe ATC-Code]"),Tabelle3!$A23)</f>
        <v>0</v>
      </c>
      <c r="CR23">
        <f ca="1">COUNTIFS(INDIRECT("Table1[Beginn]"),"&lt;="&amp;CR$1,INDIRECT("Table1[Ende]"),"&gt;="&amp;CR$1,INDIRECT("Table1[Obergruppe ATC-Code]"),Tabelle3!$A23)</f>
        <v>0</v>
      </c>
      <c r="CS23">
        <f ca="1">COUNTIFS(INDIRECT("Table1[Beginn]"),"&lt;="&amp;CS$1,INDIRECT("Table1[Ende]"),"&gt;="&amp;CS$1,INDIRECT("Table1[Obergruppe ATC-Code]"),Tabelle3!$A23)</f>
        <v>0</v>
      </c>
      <c r="CT23">
        <f ca="1">COUNTIFS(INDIRECT("Table1[Beginn]"),"&lt;="&amp;CT$1,INDIRECT("Table1[Ende]"),"&gt;="&amp;CT$1,INDIRECT("Table1[Obergruppe ATC-Code]"),Tabelle3!$A23)</f>
        <v>0</v>
      </c>
      <c r="CU23" s="54"/>
      <c r="CV23" s="54"/>
      <c r="CW23" s="54"/>
      <c r="CX23" s="54"/>
      <c r="CY23" s="54"/>
      <c r="CZ23" s="54"/>
      <c r="DA23" s="54"/>
      <c r="DB23" s="54"/>
      <c r="DC23" s="54"/>
      <c r="DD23" s="54"/>
      <c r="DE23" s="54"/>
      <c r="DF23" s="54"/>
      <c r="DG23" s="54"/>
      <c r="DH23" s="54"/>
    </row>
    <row r="24" spans="1:112" ht="18" customHeight="1">
      <c r="A24" s="7" t="s">
        <v>6816</v>
      </c>
      <c r="B24" s="8" t="s">
        <v>6817</v>
      </c>
      <c r="C24">
        <f ca="1">COUNTIFS(INDIRECT("Table1[Beginn]"),"&lt;="&amp;C$1,INDIRECT("Table1[Ende]"),"&gt;="&amp;C$1,INDIRECT("Table1[Obergruppe ATC-Code]"),Tabelle3!$A24)</f>
        <v>0</v>
      </c>
      <c r="D24">
        <f ca="1">COUNTIFS(INDIRECT("Table1[Beginn]"),"&lt;="&amp;D$1,INDIRECT("Table1[Ende]"),"&gt;="&amp;D$1,INDIRECT("Table1[Obergruppe ATC-Code]"),Tabelle3!$A24)</f>
        <v>0</v>
      </c>
      <c r="E24">
        <f ca="1">COUNTIFS(INDIRECT("Table1[Beginn]"),"&lt;="&amp;E$1,INDIRECT("Table1[Ende]"),"&gt;="&amp;E$1,INDIRECT("Table1[Obergruppe ATC-Code]"),Tabelle3!$A24)</f>
        <v>0</v>
      </c>
      <c r="F24">
        <f ca="1">COUNTIFS(INDIRECT("Table1[Beginn]"),"&lt;="&amp;F$1,INDIRECT("Table1[Ende]"),"&gt;="&amp;F$1,INDIRECT("Table1[Obergruppe ATC-Code]"),Tabelle3!$A24)</f>
        <v>0</v>
      </c>
      <c r="G24">
        <f ca="1">COUNTIFS(INDIRECT("Table1[Beginn]"),"&lt;="&amp;G$1,INDIRECT("Table1[Ende]"),"&gt;="&amp;G$1,INDIRECT("Table1[Obergruppe ATC-Code]"),Tabelle3!$A24)</f>
        <v>0</v>
      </c>
      <c r="H24">
        <f ca="1">COUNTIFS(INDIRECT("Table1[Beginn]"),"&lt;="&amp;H$1,INDIRECT("Table1[Ende]"),"&gt;="&amp;H$1,INDIRECT("Table1[Obergruppe ATC-Code]"),Tabelle3!$A24)</f>
        <v>1</v>
      </c>
      <c r="I24">
        <f ca="1">COUNTIFS(INDIRECT("Table1[Beginn]"),"&lt;="&amp;I$1,INDIRECT("Table1[Ende]"),"&gt;="&amp;I$1,INDIRECT("Table1[Obergruppe ATC-Code]"),Tabelle3!$A24)</f>
        <v>1</v>
      </c>
      <c r="J24">
        <f ca="1">COUNTIFS(INDIRECT("Table1[Beginn]"),"&lt;="&amp;J$1,INDIRECT("Table1[Ende]"),"&gt;="&amp;J$1,INDIRECT("Table1[Obergruppe ATC-Code]"),Tabelle3!$A24)</f>
        <v>1</v>
      </c>
      <c r="K24">
        <f ca="1">COUNTIFS(INDIRECT("Table1[Beginn]"),"&lt;="&amp;K$1,INDIRECT("Table1[Ende]"),"&gt;="&amp;K$1,INDIRECT("Table1[Obergruppe ATC-Code]"),Tabelle3!$A24)</f>
        <v>0</v>
      </c>
      <c r="L24">
        <f ca="1">COUNTIFS(INDIRECT("Table1[Beginn]"),"&lt;="&amp;L$1,INDIRECT("Table1[Ende]"),"&gt;="&amp;L$1,INDIRECT("Table1[Obergruppe ATC-Code]"),Tabelle3!$A24)</f>
        <v>0</v>
      </c>
      <c r="M24">
        <f ca="1">COUNTIFS(INDIRECT("Table1[Beginn]"),"&lt;="&amp;M$1,INDIRECT("Table1[Ende]"),"&gt;="&amp;M$1,INDIRECT("Table1[Obergruppe ATC-Code]"),Tabelle3!$A24)</f>
        <v>0</v>
      </c>
      <c r="N24">
        <f ca="1">COUNTIFS(INDIRECT("Table1[Beginn]"),"&lt;="&amp;N$1,INDIRECT("Table1[Ende]"),"&gt;="&amp;N$1,INDIRECT("Table1[Obergruppe ATC-Code]"),Tabelle3!$A24)</f>
        <v>0</v>
      </c>
      <c r="O24">
        <f ca="1">COUNTIFS(INDIRECT("Table1[Beginn]"),"&lt;="&amp;O$1,INDIRECT("Table1[Ende]"),"&gt;="&amp;O$1,INDIRECT("Table1[Obergruppe ATC-Code]"),Tabelle3!$A24)</f>
        <v>1</v>
      </c>
      <c r="P24">
        <f ca="1">COUNTIFS(INDIRECT("Table1[Beginn]"),"&lt;="&amp;P$1,INDIRECT("Table1[Ende]"),"&gt;="&amp;P$1,INDIRECT("Table1[Obergruppe ATC-Code]"),Tabelle3!$A24)</f>
        <v>1</v>
      </c>
      <c r="Q24">
        <f ca="1">COUNTIFS(INDIRECT("Table1[Beginn]"),"&lt;="&amp;Q$1,INDIRECT("Table1[Ende]"),"&gt;="&amp;Q$1,INDIRECT("Table1[Obergruppe ATC-Code]"),Tabelle3!$A24)</f>
        <v>1</v>
      </c>
      <c r="R24">
        <f ca="1">COUNTIFS(INDIRECT("Table1[Beginn]"),"&lt;="&amp;R$1,INDIRECT("Table1[Ende]"),"&gt;="&amp;R$1,INDIRECT("Table1[Obergruppe ATC-Code]"),Tabelle3!$A24)</f>
        <v>2</v>
      </c>
      <c r="S24">
        <f ca="1">COUNTIFS(INDIRECT("Table1[Beginn]"),"&lt;="&amp;S$1,INDIRECT("Table1[Ende]"),"&gt;="&amp;S$1,INDIRECT("Table1[Obergruppe ATC-Code]"),Tabelle3!$A24)</f>
        <v>3</v>
      </c>
      <c r="T24">
        <f ca="1">COUNTIFS(INDIRECT("Table1[Beginn]"),"&lt;="&amp;T$1,INDIRECT("Table1[Ende]"),"&gt;="&amp;T$1,INDIRECT("Table1[Obergruppe ATC-Code]"),Tabelle3!$A24)</f>
        <v>2</v>
      </c>
      <c r="U24">
        <f ca="1">COUNTIFS(INDIRECT("Table1[Beginn]"),"&lt;="&amp;U$1,INDIRECT("Table1[Ende]"),"&gt;="&amp;U$1,INDIRECT("Table1[Obergruppe ATC-Code]"),Tabelle3!$A24)</f>
        <v>2</v>
      </c>
      <c r="V24">
        <f ca="1">COUNTIFS(INDIRECT("Table1[Beginn]"),"&lt;="&amp;V$1,INDIRECT("Table1[Ende]"),"&gt;="&amp;V$1,INDIRECT("Table1[Obergruppe ATC-Code]"),Tabelle3!$A24)</f>
        <v>1</v>
      </c>
      <c r="W24">
        <f ca="1">COUNTIFS(INDIRECT("Table1[Beginn]"),"&lt;="&amp;W$1,INDIRECT("Table1[Ende]"),"&gt;="&amp;W$1,INDIRECT("Table1[Obergruppe ATC-Code]"),Tabelle3!$A24)</f>
        <v>1</v>
      </c>
      <c r="X24">
        <f ca="1">COUNTIFS(INDIRECT("Table1[Beginn]"),"&lt;="&amp;X$1,INDIRECT("Table1[Ende]"),"&gt;="&amp;X$1,INDIRECT("Table1[Obergruppe ATC-Code]"),Tabelle3!$A24)</f>
        <v>0</v>
      </c>
      <c r="Y24">
        <f ca="1">COUNTIFS(INDIRECT("Table1[Beginn]"),"&lt;="&amp;Y$1,INDIRECT("Table1[Ende]"),"&gt;="&amp;Y$1,INDIRECT("Table1[Obergruppe ATC-Code]"),Tabelle3!$A24)</f>
        <v>0</v>
      </c>
      <c r="Z24">
        <f ca="1">COUNTIFS(INDIRECT("Table1[Beginn]"),"&lt;="&amp;Z$1,INDIRECT("Table1[Ende]"),"&gt;="&amp;Z$1,INDIRECT("Table1[Obergruppe ATC-Code]"),Tabelle3!$A24)</f>
        <v>0</v>
      </c>
      <c r="AA24">
        <f ca="1">COUNTIFS(INDIRECT("Table1[Beginn]"),"&lt;="&amp;AA$1,INDIRECT("Table1[Ende]"),"&gt;="&amp;AA$1,INDIRECT("Table1[Obergruppe ATC-Code]"),Tabelle3!$A24)</f>
        <v>0</v>
      </c>
      <c r="AB24">
        <f ca="1">COUNTIFS(INDIRECT("Table1[Beginn]"),"&lt;="&amp;AB$1,INDIRECT("Table1[Ende]"),"&gt;="&amp;AB$1,INDIRECT("Table1[Obergruppe ATC-Code]"),Tabelle3!$A24)</f>
        <v>1</v>
      </c>
      <c r="AC24">
        <f ca="1">COUNTIFS(INDIRECT("Table1[Beginn]"),"&lt;="&amp;AC$1,INDIRECT("Table1[Ende]"),"&gt;="&amp;AC$1,INDIRECT("Table1[Obergruppe ATC-Code]"),Tabelle3!$A24)</f>
        <v>1</v>
      </c>
      <c r="AD24">
        <f ca="1">COUNTIFS(INDIRECT("Table1[Beginn]"),"&lt;="&amp;AD$1,INDIRECT("Table1[Ende]"),"&gt;="&amp;AD$1,INDIRECT("Table1[Obergruppe ATC-Code]"),Tabelle3!$A24)</f>
        <v>0</v>
      </c>
      <c r="AE24">
        <f ca="1">COUNTIFS(INDIRECT("Table1[Beginn]"),"&lt;="&amp;AE$1,INDIRECT("Table1[Ende]"),"&gt;="&amp;AE$1,INDIRECT("Table1[Obergruppe ATC-Code]"),Tabelle3!$A24)</f>
        <v>0</v>
      </c>
      <c r="AF24">
        <f ca="1">COUNTIFS(INDIRECT("Table1[Beginn]"),"&lt;="&amp;AF$1,INDIRECT("Table1[Ende]"),"&gt;="&amp;AF$1,INDIRECT("Table1[Obergruppe ATC-Code]"),Tabelle3!$A24)</f>
        <v>0</v>
      </c>
      <c r="AG24">
        <f ca="1">COUNTIFS(INDIRECT("Table1[Beginn]"),"&lt;="&amp;AG$1,INDIRECT("Table1[Ende]"),"&gt;="&amp;AG$1,INDIRECT("Table1[Obergruppe ATC-Code]"),Tabelle3!$A24)</f>
        <v>1</v>
      </c>
      <c r="AH24">
        <f ca="1">COUNTIFS(INDIRECT("Table1[Beginn]"),"&lt;="&amp;AH$1,INDIRECT("Table1[Ende]"),"&gt;="&amp;AH$1,INDIRECT("Table1[Obergruppe ATC-Code]"),Tabelle3!$A24)</f>
        <v>1</v>
      </c>
      <c r="AI24">
        <f ca="1">COUNTIFS(INDIRECT("Table1[Beginn]"),"&lt;="&amp;AI$1,INDIRECT("Table1[Ende]"),"&gt;="&amp;AI$1,INDIRECT("Table1[Obergruppe ATC-Code]"),Tabelle3!$A24)</f>
        <v>1</v>
      </c>
      <c r="AJ24">
        <f ca="1">COUNTIFS(INDIRECT("Table1[Beginn]"),"&lt;="&amp;AJ$1,INDIRECT("Table1[Ende]"),"&gt;="&amp;AJ$1,INDIRECT("Table1[Obergruppe ATC-Code]"),Tabelle3!$A24)</f>
        <v>1</v>
      </c>
      <c r="AK24">
        <f ca="1">COUNTIFS(INDIRECT("Table1[Beginn]"),"&lt;="&amp;AK$1,INDIRECT("Table1[Ende]"),"&gt;="&amp;AK$1,INDIRECT("Table1[Obergruppe ATC-Code]"),Tabelle3!$A24)</f>
        <v>3</v>
      </c>
      <c r="AL24">
        <f ca="1">COUNTIFS(INDIRECT("Table1[Beginn]"),"&lt;="&amp;AL$1,INDIRECT("Table1[Ende]"),"&gt;="&amp;AL$1,INDIRECT("Table1[Obergruppe ATC-Code]"),Tabelle3!$A24)</f>
        <v>3</v>
      </c>
      <c r="AM24">
        <f ca="1">COUNTIFS(INDIRECT("Table1[Beginn]"),"&lt;="&amp;AM$1,INDIRECT("Table1[Ende]"),"&gt;="&amp;AM$1,INDIRECT("Table1[Obergruppe ATC-Code]"),Tabelle3!$A24)</f>
        <v>2</v>
      </c>
      <c r="AN24">
        <f ca="1">COUNTIFS(INDIRECT("Table1[Beginn]"),"&lt;="&amp;AN$1,INDIRECT("Table1[Ende]"),"&gt;="&amp;AN$1,INDIRECT("Table1[Obergruppe ATC-Code]"),Tabelle3!$A24)</f>
        <v>2</v>
      </c>
      <c r="AO24">
        <f ca="1">COUNTIFS(INDIRECT("Table1[Beginn]"),"&lt;="&amp;AO$1,INDIRECT("Table1[Ende]"),"&gt;="&amp;AO$1,INDIRECT("Table1[Obergruppe ATC-Code]"),Tabelle3!$A24)</f>
        <v>2</v>
      </c>
      <c r="AP24">
        <f ca="1">COUNTIFS(INDIRECT("Table1[Beginn]"),"&lt;="&amp;AP$1,INDIRECT("Table1[Ende]"),"&gt;="&amp;AP$1,INDIRECT("Table1[Obergruppe ATC-Code]"),Tabelle3!$A24)</f>
        <v>3</v>
      </c>
      <c r="AQ24">
        <f ca="1">COUNTIFS(INDIRECT("Table1[Beginn]"),"&lt;="&amp;AQ$1,INDIRECT("Table1[Ende]"),"&gt;="&amp;AQ$1,INDIRECT("Table1[Obergruppe ATC-Code]"),Tabelle3!$A24)</f>
        <v>3</v>
      </c>
      <c r="AR24">
        <f ca="1">COUNTIFS(INDIRECT("Table1[Beginn]"),"&lt;="&amp;AR$1,INDIRECT("Table1[Ende]"),"&gt;="&amp;AR$1,INDIRECT("Table1[Obergruppe ATC-Code]"),Tabelle3!$A24)</f>
        <v>2</v>
      </c>
      <c r="AS24">
        <f ca="1">COUNTIFS(INDIRECT("Table1[Beginn]"),"&lt;="&amp;AS$1,INDIRECT("Table1[Ende]"),"&gt;="&amp;AS$1,INDIRECT("Table1[Obergruppe ATC-Code]"),Tabelle3!$A24)</f>
        <v>2</v>
      </c>
      <c r="AT24">
        <f ca="1">COUNTIFS(INDIRECT("Table1[Beginn]"),"&lt;="&amp;AT$1,INDIRECT("Table1[Ende]"),"&gt;="&amp;AT$1,INDIRECT("Table1[Obergruppe ATC-Code]"),Tabelle3!$A24)</f>
        <v>2</v>
      </c>
      <c r="AU24">
        <f ca="1">COUNTIFS(INDIRECT("Table1[Beginn]"),"&lt;="&amp;AU$1,INDIRECT("Table1[Ende]"),"&gt;="&amp;AU$1,INDIRECT("Table1[Obergruppe ATC-Code]"),Tabelle3!$A24)</f>
        <v>2</v>
      </c>
      <c r="AV24">
        <f ca="1">COUNTIFS(INDIRECT("Table1[Beginn]"),"&lt;="&amp;AV$1,INDIRECT("Table1[Ende]"),"&gt;="&amp;AV$1,INDIRECT("Table1[Obergruppe ATC-Code]"),Tabelle3!$A24)</f>
        <v>1</v>
      </c>
      <c r="AW24">
        <f ca="1">COUNTIFS(INDIRECT("Table1[Beginn]"),"&lt;="&amp;AW$1,INDIRECT("Table1[Ende]"),"&gt;="&amp;AW$1,INDIRECT("Table1[Obergruppe ATC-Code]"),Tabelle3!$A24)</f>
        <v>1</v>
      </c>
      <c r="AX24">
        <f ca="1">COUNTIFS(INDIRECT("Table1[Beginn]"),"&lt;="&amp;AX$1,INDIRECT("Table1[Ende]"),"&gt;="&amp;AX$1,INDIRECT("Table1[Obergruppe ATC-Code]"),Tabelle3!$A24)</f>
        <v>1</v>
      </c>
      <c r="AY24">
        <f ca="1">COUNTIFS(INDIRECT("Table1[Beginn]"),"&lt;="&amp;AY$1,INDIRECT("Table1[Ende]"),"&gt;="&amp;AY$1,INDIRECT("Table1[Obergruppe ATC-Code]"),Tabelle3!$A24)</f>
        <v>0</v>
      </c>
      <c r="AZ24">
        <f ca="1">COUNTIFS(INDIRECT("Table1[Beginn]"),"&lt;="&amp;AZ$1,INDIRECT("Table1[Ende]"),"&gt;="&amp;AZ$1,INDIRECT("Table1[Obergruppe ATC-Code]"),Tabelle3!$A24)</f>
        <v>2</v>
      </c>
      <c r="BA24">
        <f ca="1">COUNTIFS(INDIRECT("Table1[Beginn]"),"&lt;="&amp;BA$1,INDIRECT("Table1[Ende]"),"&gt;="&amp;BA$1,INDIRECT("Table1[Obergruppe ATC-Code]"),Tabelle3!$A24)</f>
        <v>2</v>
      </c>
      <c r="BB24">
        <f ca="1">COUNTIFS(INDIRECT("Table1[Beginn]"),"&lt;="&amp;BB$1,INDIRECT("Table1[Ende]"),"&gt;="&amp;BB$1,INDIRECT("Table1[Obergruppe ATC-Code]"),Tabelle3!$A24)</f>
        <v>2</v>
      </c>
      <c r="BC24">
        <f ca="1">COUNTIFS(INDIRECT("Table1[Beginn]"),"&lt;="&amp;BC$1,INDIRECT("Table1[Ende]"),"&gt;="&amp;BC$1,INDIRECT("Table1[Obergruppe ATC-Code]"),Tabelle3!$A24)</f>
        <v>1</v>
      </c>
      <c r="BD24">
        <f ca="1">COUNTIFS(INDIRECT("Table1[Beginn]"),"&lt;="&amp;BD$1,INDIRECT("Table1[Ende]"),"&gt;="&amp;BD$1,INDIRECT("Table1[Obergruppe ATC-Code]"),Tabelle3!$A24)</f>
        <v>1</v>
      </c>
      <c r="BE24">
        <f ca="1">COUNTIFS(INDIRECT("Table1[Beginn]"),"&lt;="&amp;BE$1,INDIRECT("Table1[Ende]"),"&gt;="&amp;BE$1,INDIRECT("Table1[Obergruppe ATC-Code]"),Tabelle3!$A24)</f>
        <v>2</v>
      </c>
      <c r="BF24">
        <f ca="1">COUNTIFS(INDIRECT("Table1[Beginn]"),"&lt;="&amp;BF$1,INDIRECT("Table1[Ende]"),"&gt;="&amp;BF$1,INDIRECT("Table1[Obergruppe ATC-Code]"),Tabelle3!$A24)</f>
        <v>3</v>
      </c>
      <c r="BG24">
        <f ca="1">COUNTIFS(INDIRECT("Table1[Beginn]"),"&lt;="&amp;BG$1,INDIRECT("Table1[Ende]"),"&gt;="&amp;BG$1,INDIRECT("Table1[Obergruppe ATC-Code]"),Tabelle3!$A24)</f>
        <v>4</v>
      </c>
      <c r="BH24">
        <f ca="1">COUNTIFS(INDIRECT("Table1[Beginn]"),"&lt;="&amp;BH$1,INDIRECT("Table1[Ende]"),"&gt;="&amp;BH$1,INDIRECT("Table1[Obergruppe ATC-Code]"),Tabelle3!$A24)</f>
        <v>8</v>
      </c>
      <c r="BI24">
        <f ca="1">COUNTIFS(INDIRECT("Table1[Beginn]"),"&lt;="&amp;BI$1,INDIRECT("Table1[Ende]"),"&gt;="&amp;BI$1,INDIRECT("Table1[Obergruppe ATC-Code]"),Tabelle3!$A24)</f>
        <v>8</v>
      </c>
      <c r="BJ24">
        <f ca="1">COUNTIFS(INDIRECT("Table1[Beginn]"),"&lt;="&amp;BJ$1,INDIRECT("Table1[Ende]"),"&gt;="&amp;BJ$1,INDIRECT("Table1[Obergruppe ATC-Code]"),Tabelle3!$A24)</f>
        <v>9</v>
      </c>
      <c r="BK24">
        <f ca="1">COUNTIFS(INDIRECT("Table1[Beginn]"),"&lt;="&amp;BK$1,INDIRECT("Table1[Ende]"),"&gt;="&amp;BK$1,INDIRECT("Table1[Obergruppe ATC-Code]"),Tabelle3!$A24)</f>
        <v>9</v>
      </c>
      <c r="BL24">
        <f ca="1">COUNTIFS(INDIRECT("Table1[Beginn]"),"&lt;="&amp;BL$1,INDIRECT("Table1[Ende]"),"&gt;="&amp;BL$1,INDIRECT("Table1[Obergruppe ATC-Code]"),Tabelle3!$A24)</f>
        <v>11</v>
      </c>
      <c r="BM24">
        <f ca="1">COUNTIFS(INDIRECT("Table1[Beginn]"),"&lt;="&amp;BM$1,INDIRECT("Table1[Ende]"),"&gt;="&amp;BM$1,INDIRECT("Table1[Obergruppe ATC-Code]"),Tabelle3!$A24)</f>
        <v>11</v>
      </c>
      <c r="BN24">
        <f ca="1">COUNTIFS(INDIRECT("Table1[Beginn]"),"&lt;="&amp;BN$1,INDIRECT("Table1[Ende]"),"&gt;="&amp;BN$1,INDIRECT("Table1[Obergruppe ATC-Code]"),Tabelle3!$A24)</f>
        <v>8</v>
      </c>
      <c r="BO24">
        <f ca="1">COUNTIFS(INDIRECT("Table1[Beginn]"),"&lt;="&amp;BO$1,INDIRECT("Table1[Ende]"),"&gt;="&amp;BO$1,INDIRECT("Table1[Obergruppe ATC-Code]"),Tabelle3!$A24)</f>
        <v>8</v>
      </c>
      <c r="BP24">
        <f ca="1">COUNTIFS(INDIRECT("Table1[Beginn]"),"&lt;="&amp;BP$1,INDIRECT("Table1[Ende]"),"&gt;="&amp;BP$1,INDIRECT("Table1[Obergruppe ATC-Code]"),Tabelle3!$A24)</f>
        <v>6</v>
      </c>
      <c r="BQ24">
        <f ca="1">COUNTIFS(INDIRECT("Table1[Beginn]"),"&lt;="&amp;BQ$1,INDIRECT("Table1[Ende]"),"&gt;="&amp;BQ$1,INDIRECT("Table1[Obergruppe ATC-Code]"),Tabelle3!$A24)</f>
        <v>6</v>
      </c>
      <c r="BR24">
        <f ca="1">COUNTIFS(INDIRECT("Table1[Beginn]"),"&lt;="&amp;BR$1,INDIRECT("Table1[Ende]"),"&gt;="&amp;BR$1,INDIRECT("Table1[Obergruppe ATC-Code]"),Tabelle3!$A24)</f>
        <v>3</v>
      </c>
      <c r="BS24">
        <f ca="1">COUNTIFS(INDIRECT("Table1[Beginn]"),"&lt;="&amp;BS$1,INDIRECT("Table1[Ende]"),"&gt;="&amp;BS$1,INDIRECT("Table1[Obergruppe ATC-Code]"),Tabelle3!$A24)</f>
        <v>2</v>
      </c>
      <c r="BT24">
        <f ca="1">COUNTIFS(INDIRECT("Table1[Beginn]"),"&lt;="&amp;BT$1,INDIRECT("Table1[Ende]"),"&gt;="&amp;BT$1,INDIRECT("Table1[Obergruppe ATC-Code]"),Tabelle3!$A24)</f>
        <v>2</v>
      </c>
      <c r="BU24">
        <f ca="1">COUNTIFS(INDIRECT("Table1[Beginn]"),"&lt;="&amp;BU$1,INDIRECT("Table1[Ende]"),"&gt;="&amp;BU$1,INDIRECT("Table1[Obergruppe ATC-Code]"),Tabelle3!$A24)</f>
        <v>2</v>
      </c>
      <c r="BV24">
        <f ca="1">COUNTIFS(INDIRECT("Table1[Beginn]"),"&lt;="&amp;BV$1,INDIRECT("Table1[Ende]"),"&gt;="&amp;BV$1,INDIRECT("Table1[Obergruppe ATC-Code]"),Tabelle3!$A24)</f>
        <v>4</v>
      </c>
      <c r="BW24">
        <f ca="1">COUNTIFS(INDIRECT("Table1[Beginn]"),"&lt;="&amp;BW$1,INDIRECT("Table1[Ende]"),"&gt;="&amp;BW$1,INDIRECT("Table1[Obergruppe ATC-Code]"),Tabelle3!$A24)</f>
        <v>7</v>
      </c>
      <c r="BX24">
        <f ca="1">COUNTIFS(INDIRECT("Table1[Beginn]"),"&lt;="&amp;BX$1,INDIRECT("Table1[Ende]"),"&gt;="&amp;BX$1,INDIRECT("Table1[Obergruppe ATC-Code]"),Tabelle3!$A24)</f>
        <v>7</v>
      </c>
      <c r="BY24">
        <f ca="1">COUNTIFS(INDIRECT("Table1[Beginn]"),"&lt;="&amp;BY$1,INDIRECT("Table1[Ende]"),"&gt;="&amp;BY$1,INDIRECT("Table1[Obergruppe ATC-Code]"),Tabelle3!$A24)</f>
        <v>7</v>
      </c>
      <c r="BZ24">
        <f ca="1">COUNTIFS(INDIRECT("Table1[Beginn]"),"&lt;="&amp;BZ$1,INDIRECT("Table1[Ende]"),"&gt;="&amp;BZ$1,INDIRECT("Table1[Obergruppe ATC-Code]"),Tabelle3!$A24)</f>
        <v>7</v>
      </c>
      <c r="CA24">
        <f ca="1">COUNTIFS(INDIRECT("Table1[Beginn]"),"&lt;="&amp;CA$1,INDIRECT("Table1[Ende]"),"&gt;="&amp;CA$1,INDIRECT("Table1[Obergruppe ATC-Code]"),Tabelle3!$A24)</f>
        <v>7</v>
      </c>
      <c r="CB24">
        <f ca="1">COUNTIFS(INDIRECT("Table1[Beginn]"),"&lt;="&amp;CB$1,INDIRECT("Table1[Ende]"),"&gt;="&amp;CB$1,INDIRECT("Table1[Obergruppe ATC-Code]"),Tabelle3!$A24)</f>
        <v>7</v>
      </c>
      <c r="CC24">
        <f ca="1">COUNTIFS(INDIRECT("Table1[Beginn]"),"&lt;="&amp;CC$1,INDIRECT("Table1[Ende]"),"&gt;="&amp;CC$1,INDIRECT("Table1[Obergruppe ATC-Code]"),Tabelle3!$A24)</f>
        <v>8</v>
      </c>
      <c r="CD24">
        <f ca="1">COUNTIFS(INDIRECT("Table1[Beginn]"),"&lt;="&amp;CD$1,INDIRECT("Table1[Ende]"),"&gt;="&amp;CD$1,INDIRECT("Table1[Obergruppe ATC-Code]"),Tabelle3!$A24)</f>
        <v>6</v>
      </c>
      <c r="CE24">
        <f ca="1">COUNTIFS(INDIRECT("Table1[Beginn]"),"&lt;="&amp;CE$1,INDIRECT("Table1[Ende]"),"&gt;="&amp;CE$1,INDIRECT("Table1[Obergruppe ATC-Code]"),Tabelle3!$A24)</f>
        <v>5</v>
      </c>
      <c r="CF24">
        <f ca="1">COUNTIFS(INDIRECT("Table1[Beginn]"),"&lt;="&amp;CF$1,INDIRECT("Table1[Ende]"),"&gt;="&amp;CF$1,INDIRECT("Table1[Obergruppe ATC-Code]"),Tabelle3!$A24)</f>
        <v>6</v>
      </c>
      <c r="CG24">
        <f ca="1">COUNTIFS(INDIRECT("Table1[Beginn]"),"&lt;="&amp;CG$1,INDIRECT("Table1[Ende]"),"&gt;="&amp;CG$1,INDIRECT("Table1[Obergruppe ATC-Code]"),Tabelle3!$A24)</f>
        <v>5</v>
      </c>
      <c r="CH24">
        <f ca="1">COUNTIFS(INDIRECT("Table1[Beginn]"),"&lt;="&amp;CH$1,INDIRECT("Table1[Ende]"),"&gt;="&amp;CH$1,INDIRECT("Table1[Obergruppe ATC-Code]"),Tabelle3!$A24)</f>
        <v>4</v>
      </c>
      <c r="CI24">
        <f ca="1">COUNTIFS(INDIRECT("Table1[Beginn]"),"&lt;="&amp;CI$1,INDIRECT("Table1[Ende]"),"&gt;="&amp;CI$1,INDIRECT("Table1[Obergruppe ATC-Code]"),Tabelle3!$A24)</f>
        <v>0</v>
      </c>
      <c r="CJ24">
        <f ca="1">COUNTIFS(INDIRECT("Table1[Beginn]"),"&lt;="&amp;CJ$1,INDIRECT("Table1[Ende]"),"&gt;="&amp;CJ$1,INDIRECT("Table1[Obergruppe ATC-Code]"),Tabelle3!$A24)</f>
        <v>0</v>
      </c>
      <c r="CK24">
        <f ca="1">COUNTIFS(INDIRECT("Table1[Beginn]"),"&lt;="&amp;CK$1,INDIRECT("Table1[Ende]"),"&gt;="&amp;CK$1,INDIRECT("Table1[Obergruppe ATC-Code]"),Tabelle3!$A24)</f>
        <v>0</v>
      </c>
      <c r="CL24">
        <f ca="1">COUNTIFS(INDIRECT("Table1[Beginn]"),"&lt;="&amp;CL$1,INDIRECT("Table1[Ende]"),"&gt;="&amp;CL$1,INDIRECT("Table1[Obergruppe ATC-Code]"),Tabelle3!$A24)</f>
        <v>0</v>
      </c>
      <c r="CM24">
        <f ca="1">COUNTIFS(INDIRECT("Table1[Beginn]"),"&lt;="&amp;CM$1,INDIRECT("Table1[Ende]"),"&gt;="&amp;CM$1,INDIRECT("Table1[Obergruppe ATC-Code]"),Tabelle3!$A24)</f>
        <v>0</v>
      </c>
      <c r="CN24">
        <f ca="1">COUNTIFS(INDIRECT("Table1[Beginn]"),"&lt;="&amp;CN$1,INDIRECT("Table1[Ende]"),"&gt;="&amp;CN$1,INDIRECT("Table1[Obergruppe ATC-Code]"),Tabelle3!$A24)</f>
        <v>0</v>
      </c>
      <c r="CO24">
        <f ca="1">COUNTIFS(INDIRECT("Table1[Beginn]"),"&lt;="&amp;CO$1,INDIRECT("Table1[Ende]"),"&gt;="&amp;CO$1,INDIRECT("Table1[Obergruppe ATC-Code]"),Tabelle3!$A24)</f>
        <v>0</v>
      </c>
      <c r="CP24">
        <f ca="1">COUNTIFS(INDIRECT("Table1[Beginn]"),"&lt;="&amp;CP$1,INDIRECT("Table1[Ende]"),"&gt;="&amp;CP$1,INDIRECT("Table1[Obergruppe ATC-Code]"),Tabelle3!$A24)</f>
        <v>0</v>
      </c>
      <c r="CQ24">
        <f ca="1">COUNTIFS(INDIRECT("Table1[Beginn]"),"&lt;="&amp;CQ$1,INDIRECT("Table1[Ende]"),"&gt;="&amp;CQ$1,INDIRECT("Table1[Obergruppe ATC-Code]"),Tabelle3!$A24)</f>
        <v>0</v>
      </c>
      <c r="CR24">
        <f ca="1">COUNTIFS(INDIRECT("Table1[Beginn]"),"&lt;="&amp;CR$1,INDIRECT("Table1[Ende]"),"&gt;="&amp;CR$1,INDIRECT("Table1[Obergruppe ATC-Code]"),Tabelle3!$A24)</f>
        <v>0</v>
      </c>
      <c r="CS24">
        <f ca="1">COUNTIFS(INDIRECT("Table1[Beginn]"),"&lt;="&amp;CS$1,INDIRECT("Table1[Ende]"),"&gt;="&amp;CS$1,INDIRECT("Table1[Obergruppe ATC-Code]"),Tabelle3!$A24)</f>
        <v>0</v>
      </c>
      <c r="CT24">
        <f ca="1">COUNTIFS(INDIRECT("Table1[Beginn]"),"&lt;="&amp;CT$1,INDIRECT("Table1[Ende]"),"&gt;="&amp;CT$1,INDIRECT("Table1[Obergruppe ATC-Code]"),Tabelle3!$A24)</f>
        <v>0</v>
      </c>
      <c r="CU24" s="54"/>
      <c r="CV24" s="54"/>
      <c r="CW24" s="54"/>
      <c r="CX24" s="54"/>
      <c r="CY24" s="54"/>
      <c r="CZ24" s="54"/>
      <c r="DA24" s="54"/>
      <c r="DB24" s="54"/>
      <c r="DC24" s="54"/>
      <c r="DD24" s="54"/>
      <c r="DE24" s="54"/>
      <c r="DF24" s="54"/>
      <c r="DG24" s="54"/>
      <c r="DH24" s="54"/>
    </row>
    <row r="25" spans="1:112" ht="18" customHeight="1">
      <c r="A25" s="9" t="s">
        <v>6818</v>
      </c>
      <c r="B25" s="10" t="s">
        <v>6819</v>
      </c>
      <c r="C25">
        <f ca="1">COUNTIFS(INDIRECT("Table1[Beginn]"),"&lt;="&amp;C$1,INDIRECT("Table1[Ende]"),"&gt;="&amp;C$1,INDIRECT("Table1[Obergruppe ATC-Code]"),Tabelle3!$A25)</f>
        <v>0</v>
      </c>
      <c r="D25">
        <f ca="1">COUNTIFS(INDIRECT("Table1[Beginn]"),"&lt;="&amp;D$1,INDIRECT("Table1[Ende]"),"&gt;="&amp;D$1,INDIRECT("Table1[Obergruppe ATC-Code]"),Tabelle3!$A25)</f>
        <v>0</v>
      </c>
      <c r="E25">
        <f ca="1">COUNTIFS(INDIRECT("Table1[Beginn]"),"&lt;="&amp;E$1,INDIRECT("Table1[Ende]"),"&gt;="&amp;E$1,INDIRECT("Table1[Obergruppe ATC-Code]"),Tabelle3!$A25)</f>
        <v>0</v>
      </c>
      <c r="F25">
        <f ca="1">COUNTIFS(INDIRECT("Table1[Beginn]"),"&lt;="&amp;F$1,INDIRECT("Table1[Ende]"),"&gt;="&amp;F$1,INDIRECT("Table1[Obergruppe ATC-Code]"),Tabelle3!$A25)</f>
        <v>0</v>
      </c>
      <c r="G25">
        <f ca="1">COUNTIFS(INDIRECT("Table1[Beginn]"),"&lt;="&amp;G$1,INDIRECT("Table1[Ende]"),"&gt;="&amp;G$1,INDIRECT("Table1[Obergruppe ATC-Code]"),Tabelle3!$A25)</f>
        <v>1</v>
      </c>
      <c r="H25">
        <f ca="1">COUNTIFS(INDIRECT("Table1[Beginn]"),"&lt;="&amp;H$1,INDIRECT("Table1[Ende]"),"&gt;="&amp;H$1,INDIRECT("Table1[Obergruppe ATC-Code]"),Tabelle3!$A25)</f>
        <v>0</v>
      </c>
      <c r="I25">
        <f ca="1">COUNTIFS(INDIRECT("Table1[Beginn]"),"&lt;="&amp;I$1,INDIRECT("Table1[Ende]"),"&gt;="&amp;I$1,INDIRECT("Table1[Obergruppe ATC-Code]"),Tabelle3!$A25)</f>
        <v>1</v>
      </c>
      <c r="J25">
        <f ca="1">COUNTIFS(INDIRECT("Table1[Beginn]"),"&lt;="&amp;J$1,INDIRECT("Table1[Ende]"),"&gt;="&amp;J$1,INDIRECT("Table1[Obergruppe ATC-Code]"),Tabelle3!$A25)</f>
        <v>1</v>
      </c>
      <c r="K25">
        <f ca="1">COUNTIFS(INDIRECT("Table1[Beginn]"),"&lt;="&amp;K$1,INDIRECT("Table1[Ende]"),"&gt;="&amp;K$1,INDIRECT("Table1[Obergruppe ATC-Code]"),Tabelle3!$A25)</f>
        <v>1</v>
      </c>
      <c r="L25">
        <f ca="1">COUNTIFS(INDIRECT("Table1[Beginn]"),"&lt;="&amp;L$1,INDIRECT("Table1[Ende]"),"&gt;="&amp;L$1,INDIRECT("Table1[Obergruppe ATC-Code]"),Tabelle3!$A25)</f>
        <v>1</v>
      </c>
      <c r="M25">
        <f ca="1">COUNTIFS(INDIRECT("Table1[Beginn]"),"&lt;="&amp;M$1,INDIRECT("Table1[Ende]"),"&gt;="&amp;M$1,INDIRECT("Table1[Obergruppe ATC-Code]"),Tabelle3!$A25)</f>
        <v>0</v>
      </c>
      <c r="N25">
        <f ca="1">COUNTIFS(INDIRECT("Table1[Beginn]"),"&lt;="&amp;N$1,INDIRECT("Table1[Ende]"),"&gt;="&amp;N$1,INDIRECT("Table1[Obergruppe ATC-Code]"),Tabelle3!$A25)</f>
        <v>0</v>
      </c>
      <c r="O25">
        <f ca="1">COUNTIFS(INDIRECT("Table1[Beginn]"),"&lt;="&amp;O$1,INDIRECT("Table1[Ende]"),"&gt;="&amp;O$1,INDIRECT("Table1[Obergruppe ATC-Code]"),Tabelle3!$A25)</f>
        <v>0</v>
      </c>
      <c r="P25">
        <f ca="1">COUNTIFS(INDIRECT("Table1[Beginn]"),"&lt;="&amp;P$1,INDIRECT("Table1[Ende]"),"&gt;="&amp;P$1,INDIRECT("Table1[Obergruppe ATC-Code]"),Tabelle3!$A25)</f>
        <v>0</v>
      </c>
      <c r="Q25">
        <f ca="1">COUNTIFS(INDIRECT("Table1[Beginn]"),"&lt;="&amp;Q$1,INDIRECT("Table1[Ende]"),"&gt;="&amp;Q$1,INDIRECT("Table1[Obergruppe ATC-Code]"),Tabelle3!$A25)</f>
        <v>0</v>
      </c>
      <c r="R25">
        <f ca="1">COUNTIFS(INDIRECT("Table1[Beginn]"),"&lt;="&amp;R$1,INDIRECT("Table1[Ende]"),"&gt;="&amp;R$1,INDIRECT("Table1[Obergruppe ATC-Code]"),Tabelle3!$A25)</f>
        <v>0</v>
      </c>
      <c r="S25">
        <f ca="1">COUNTIFS(INDIRECT("Table1[Beginn]"),"&lt;="&amp;S$1,INDIRECT("Table1[Ende]"),"&gt;="&amp;S$1,INDIRECT("Table1[Obergruppe ATC-Code]"),Tabelle3!$A25)</f>
        <v>0</v>
      </c>
      <c r="T25">
        <f ca="1">COUNTIFS(INDIRECT("Table1[Beginn]"),"&lt;="&amp;T$1,INDIRECT("Table1[Ende]"),"&gt;="&amp;T$1,INDIRECT("Table1[Obergruppe ATC-Code]"),Tabelle3!$A25)</f>
        <v>0</v>
      </c>
      <c r="U25">
        <f ca="1">COUNTIFS(INDIRECT("Table1[Beginn]"),"&lt;="&amp;U$1,INDIRECT("Table1[Ende]"),"&gt;="&amp;U$1,INDIRECT("Table1[Obergruppe ATC-Code]"),Tabelle3!$A25)</f>
        <v>0</v>
      </c>
      <c r="V25">
        <f ca="1">COUNTIFS(INDIRECT("Table1[Beginn]"),"&lt;="&amp;V$1,INDIRECT("Table1[Ende]"),"&gt;="&amp;V$1,INDIRECT("Table1[Obergruppe ATC-Code]"),Tabelle3!$A25)</f>
        <v>0</v>
      </c>
      <c r="W25">
        <f ca="1">COUNTIFS(INDIRECT("Table1[Beginn]"),"&lt;="&amp;W$1,INDIRECT("Table1[Ende]"),"&gt;="&amp;W$1,INDIRECT("Table1[Obergruppe ATC-Code]"),Tabelle3!$A25)</f>
        <v>0</v>
      </c>
      <c r="X25">
        <f ca="1">COUNTIFS(INDIRECT("Table1[Beginn]"),"&lt;="&amp;X$1,INDIRECT("Table1[Ende]"),"&gt;="&amp;X$1,INDIRECT("Table1[Obergruppe ATC-Code]"),Tabelle3!$A25)</f>
        <v>0</v>
      </c>
      <c r="Y25">
        <f ca="1">COUNTIFS(INDIRECT("Table1[Beginn]"),"&lt;="&amp;Y$1,INDIRECT("Table1[Ende]"),"&gt;="&amp;Y$1,INDIRECT("Table1[Obergruppe ATC-Code]"),Tabelle3!$A25)</f>
        <v>0</v>
      </c>
      <c r="Z25">
        <f ca="1">COUNTIFS(INDIRECT("Table1[Beginn]"),"&lt;="&amp;Z$1,INDIRECT("Table1[Ende]"),"&gt;="&amp;Z$1,INDIRECT("Table1[Obergruppe ATC-Code]"),Tabelle3!$A25)</f>
        <v>0</v>
      </c>
      <c r="AA25">
        <f ca="1">COUNTIFS(INDIRECT("Table1[Beginn]"),"&lt;="&amp;AA$1,INDIRECT("Table1[Ende]"),"&gt;="&amp;AA$1,INDIRECT("Table1[Obergruppe ATC-Code]"),Tabelle3!$A25)</f>
        <v>0</v>
      </c>
      <c r="AB25">
        <f ca="1">COUNTIFS(INDIRECT("Table1[Beginn]"),"&lt;="&amp;AB$1,INDIRECT("Table1[Ende]"),"&gt;="&amp;AB$1,INDIRECT("Table1[Obergruppe ATC-Code]"),Tabelle3!$A25)</f>
        <v>2</v>
      </c>
      <c r="AC25">
        <f ca="1">COUNTIFS(INDIRECT("Table1[Beginn]"),"&lt;="&amp;AC$1,INDIRECT("Table1[Ende]"),"&gt;="&amp;AC$1,INDIRECT("Table1[Obergruppe ATC-Code]"),Tabelle3!$A25)</f>
        <v>1</v>
      </c>
      <c r="AD25">
        <f ca="1">COUNTIFS(INDIRECT("Table1[Beginn]"),"&lt;="&amp;AD$1,INDIRECT("Table1[Ende]"),"&gt;="&amp;AD$1,INDIRECT("Table1[Obergruppe ATC-Code]"),Tabelle3!$A25)</f>
        <v>3</v>
      </c>
      <c r="AE25">
        <f ca="1">COUNTIFS(INDIRECT("Table1[Beginn]"),"&lt;="&amp;AE$1,INDIRECT("Table1[Ende]"),"&gt;="&amp;AE$1,INDIRECT("Table1[Obergruppe ATC-Code]"),Tabelle3!$A25)</f>
        <v>3</v>
      </c>
      <c r="AF25">
        <f ca="1">COUNTIFS(INDIRECT("Table1[Beginn]"),"&lt;="&amp;AF$1,INDIRECT("Table1[Ende]"),"&gt;="&amp;AF$1,INDIRECT("Table1[Obergruppe ATC-Code]"),Tabelle3!$A25)</f>
        <v>3</v>
      </c>
      <c r="AG25">
        <f ca="1">COUNTIFS(INDIRECT("Table1[Beginn]"),"&lt;="&amp;AG$1,INDIRECT("Table1[Ende]"),"&gt;="&amp;AG$1,INDIRECT("Table1[Obergruppe ATC-Code]"),Tabelle3!$A25)</f>
        <v>1</v>
      </c>
      <c r="AH25">
        <f ca="1">COUNTIFS(INDIRECT("Table1[Beginn]"),"&lt;="&amp;AH$1,INDIRECT("Table1[Ende]"),"&gt;="&amp;AH$1,INDIRECT("Table1[Obergruppe ATC-Code]"),Tabelle3!$A25)</f>
        <v>1</v>
      </c>
      <c r="AI25">
        <f ca="1">COUNTIFS(INDIRECT("Table1[Beginn]"),"&lt;="&amp;AI$1,INDIRECT("Table1[Ende]"),"&gt;="&amp;AI$1,INDIRECT("Table1[Obergruppe ATC-Code]"),Tabelle3!$A25)</f>
        <v>1</v>
      </c>
      <c r="AJ25">
        <f ca="1">COUNTIFS(INDIRECT("Table1[Beginn]"),"&lt;="&amp;AJ$1,INDIRECT("Table1[Ende]"),"&gt;="&amp;AJ$1,INDIRECT("Table1[Obergruppe ATC-Code]"),Tabelle3!$A25)</f>
        <v>1</v>
      </c>
      <c r="AK25">
        <f ca="1">COUNTIFS(INDIRECT("Table1[Beginn]"),"&lt;="&amp;AK$1,INDIRECT("Table1[Ende]"),"&gt;="&amp;AK$1,INDIRECT("Table1[Obergruppe ATC-Code]"),Tabelle3!$A25)</f>
        <v>1</v>
      </c>
      <c r="AL25">
        <f ca="1">COUNTIFS(INDIRECT("Table1[Beginn]"),"&lt;="&amp;AL$1,INDIRECT("Table1[Ende]"),"&gt;="&amp;AL$1,INDIRECT("Table1[Obergruppe ATC-Code]"),Tabelle3!$A25)</f>
        <v>1</v>
      </c>
      <c r="AM25">
        <f ca="1">COUNTIFS(INDIRECT("Table1[Beginn]"),"&lt;="&amp;AM$1,INDIRECT("Table1[Ende]"),"&gt;="&amp;AM$1,INDIRECT("Table1[Obergruppe ATC-Code]"),Tabelle3!$A25)</f>
        <v>1</v>
      </c>
      <c r="AN25">
        <f ca="1">COUNTIFS(INDIRECT("Table1[Beginn]"),"&lt;="&amp;AN$1,INDIRECT("Table1[Ende]"),"&gt;="&amp;AN$1,INDIRECT("Table1[Obergruppe ATC-Code]"),Tabelle3!$A25)</f>
        <v>2</v>
      </c>
      <c r="AO25">
        <f ca="1">COUNTIFS(INDIRECT("Table1[Beginn]"),"&lt;="&amp;AO$1,INDIRECT("Table1[Ende]"),"&gt;="&amp;AO$1,INDIRECT("Table1[Obergruppe ATC-Code]"),Tabelle3!$A25)</f>
        <v>3</v>
      </c>
      <c r="AP25">
        <f ca="1">COUNTIFS(INDIRECT("Table1[Beginn]"),"&lt;="&amp;AP$1,INDIRECT("Table1[Ende]"),"&gt;="&amp;AP$1,INDIRECT("Table1[Obergruppe ATC-Code]"),Tabelle3!$A25)</f>
        <v>3</v>
      </c>
      <c r="AQ25">
        <f ca="1">COUNTIFS(INDIRECT("Table1[Beginn]"),"&lt;="&amp;AQ$1,INDIRECT("Table1[Ende]"),"&gt;="&amp;AQ$1,INDIRECT("Table1[Obergruppe ATC-Code]"),Tabelle3!$A25)</f>
        <v>2</v>
      </c>
      <c r="AR25">
        <f ca="1">COUNTIFS(INDIRECT("Table1[Beginn]"),"&lt;="&amp;AR$1,INDIRECT("Table1[Ende]"),"&gt;="&amp;AR$1,INDIRECT("Table1[Obergruppe ATC-Code]"),Tabelle3!$A25)</f>
        <v>1</v>
      </c>
      <c r="AS25">
        <f ca="1">COUNTIFS(INDIRECT("Table1[Beginn]"),"&lt;="&amp;AS$1,INDIRECT("Table1[Ende]"),"&gt;="&amp;AS$1,INDIRECT("Table1[Obergruppe ATC-Code]"),Tabelle3!$A25)</f>
        <v>1</v>
      </c>
      <c r="AT25">
        <f ca="1">COUNTIFS(INDIRECT("Table1[Beginn]"),"&lt;="&amp;AT$1,INDIRECT("Table1[Ende]"),"&gt;="&amp;AT$1,INDIRECT("Table1[Obergruppe ATC-Code]"),Tabelle3!$A25)</f>
        <v>1</v>
      </c>
      <c r="AU25">
        <f ca="1">COUNTIFS(INDIRECT("Table1[Beginn]"),"&lt;="&amp;AU$1,INDIRECT("Table1[Ende]"),"&gt;="&amp;AU$1,INDIRECT("Table1[Obergruppe ATC-Code]"),Tabelle3!$A25)</f>
        <v>1</v>
      </c>
      <c r="AV25">
        <f ca="1">COUNTIFS(INDIRECT("Table1[Beginn]"),"&lt;="&amp;AV$1,INDIRECT("Table1[Ende]"),"&gt;="&amp;AV$1,INDIRECT("Table1[Obergruppe ATC-Code]"),Tabelle3!$A25)</f>
        <v>1</v>
      </c>
      <c r="AW25">
        <f ca="1">COUNTIFS(INDIRECT("Table1[Beginn]"),"&lt;="&amp;AW$1,INDIRECT("Table1[Ende]"),"&gt;="&amp;AW$1,INDIRECT("Table1[Obergruppe ATC-Code]"),Tabelle3!$A25)</f>
        <v>1</v>
      </c>
      <c r="AX25">
        <f ca="1">COUNTIFS(INDIRECT("Table1[Beginn]"),"&lt;="&amp;AX$1,INDIRECT("Table1[Ende]"),"&gt;="&amp;AX$1,INDIRECT("Table1[Obergruppe ATC-Code]"),Tabelle3!$A25)</f>
        <v>1</v>
      </c>
      <c r="AY25">
        <f ca="1">COUNTIFS(INDIRECT("Table1[Beginn]"),"&lt;="&amp;AY$1,INDIRECT("Table1[Ende]"),"&gt;="&amp;AY$1,INDIRECT("Table1[Obergruppe ATC-Code]"),Tabelle3!$A25)</f>
        <v>1</v>
      </c>
      <c r="AZ25">
        <f ca="1">COUNTIFS(INDIRECT("Table1[Beginn]"),"&lt;="&amp;AZ$1,INDIRECT("Table1[Ende]"),"&gt;="&amp;AZ$1,INDIRECT("Table1[Obergruppe ATC-Code]"),Tabelle3!$A25)</f>
        <v>0</v>
      </c>
      <c r="BA25">
        <f ca="1">COUNTIFS(INDIRECT("Table1[Beginn]"),"&lt;="&amp;BA$1,INDIRECT("Table1[Ende]"),"&gt;="&amp;BA$1,INDIRECT("Table1[Obergruppe ATC-Code]"),Tabelle3!$A25)</f>
        <v>1</v>
      </c>
      <c r="BB25">
        <f ca="1">COUNTIFS(INDIRECT("Table1[Beginn]"),"&lt;="&amp;BB$1,INDIRECT("Table1[Ende]"),"&gt;="&amp;BB$1,INDIRECT("Table1[Obergruppe ATC-Code]"),Tabelle3!$A25)</f>
        <v>1</v>
      </c>
      <c r="BC25">
        <f ca="1">COUNTIFS(INDIRECT("Table1[Beginn]"),"&lt;="&amp;BC$1,INDIRECT("Table1[Ende]"),"&gt;="&amp;BC$1,INDIRECT("Table1[Obergruppe ATC-Code]"),Tabelle3!$A25)</f>
        <v>1</v>
      </c>
      <c r="BD25">
        <f ca="1">COUNTIFS(INDIRECT("Table1[Beginn]"),"&lt;="&amp;BD$1,INDIRECT("Table1[Ende]"),"&gt;="&amp;BD$1,INDIRECT("Table1[Obergruppe ATC-Code]"),Tabelle3!$A25)</f>
        <v>1</v>
      </c>
      <c r="BE25">
        <f ca="1">COUNTIFS(INDIRECT("Table1[Beginn]"),"&lt;="&amp;BE$1,INDIRECT("Table1[Ende]"),"&gt;="&amp;BE$1,INDIRECT("Table1[Obergruppe ATC-Code]"),Tabelle3!$A25)</f>
        <v>1</v>
      </c>
      <c r="BF25">
        <f ca="1">COUNTIFS(INDIRECT("Table1[Beginn]"),"&lt;="&amp;BF$1,INDIRECT("Table1[Ende]"),"&gt;="&amp;BF$1,INDIRECT("Table1[Obergruppe ATC-Code]"),Tabelle3!$A25)</f>
        <v>1</v>
      </c>
      <c r="BG25">
        <f ca="1">COUNTIFS(INDIRECT("Table1[Beginn]"),"&lt;="&amp;BG$1,INDIRECT("Table1[Ende]"),"&gt;="&amp;BG$1,INDIRECT("Table1[Obergruppe ATC-Code]"),Tabelle3!$A25)</f>
        <v>1</v>
      </c>
      <c r="BH25">
        <f ca="1">COUNTIFS(INDIRECT("Table1[Beginn]"),"&lt;="&amp;BH$1,INDIRECT("Table1[Ende]"),"&gt;="&amp;BH$1,INDIRECT("Table1[Obergruppe ATC-Code]"),Tabelle3!$A25)</f>
        <v>1</v>
      </c>
      <c r="BI25">
        <f ca="1">COUNTIFS(INDIRECT("Table1[Beginn]"),"&lt;="&amp;BI$1,INDIRECT("Table1[Ende]"),"&gt;="&amp;BI$1,INDIRECT("Table1[Obergruppe ATC-Code]"),Tabelle3!$A25)</f>
        <v>1</v>
      </c>
      <c r="BJ25">
        <f ca="1">COUNTIFS(INDIRECT("Table1[Beginn]"),"&lt;="&amp;BJ$1,INDIRECT("Table1[Ende]"),"&gt;="&amp;BJ$1,INDIRECT("Table1[Obergruppe ATC-Code]"),Tabelle3!$A25)</f>
        <v>1</v>
      </c>
      <c r="BK25">
        <f ca="1">COUNTIFS(INDIRECT("Table1[Beginn]"),"&lt;="&amp;BK$1,INDIRECT("Table1[Ende]"),"&gt;="&amp;BK$1,INDIRECT("Table1[Obergruppe ATC-Code]"),Tabelle3!$A25)</f>
        <v>1</v>
      </c>
      <c r="BL25">
        <f ca="1">COUNTIFS(INDIRECT("Table1[Beginn]"),"&lt;="&amp;BL$1,INDIRECT("Table1[Ende]"),"&gt;="&amp;BL$1,INDIRECT("Table1[Obergruppe ATC-Code]"),Tabelle3!$A25)</f>
        <v>1</v>
      </c>
      <c r="BM25">
        <f ca="1">COUNTIFS(INDIRECT("Table1[Beginn]"),"&lt;="&amp;BM$1,INDIRECT("Table1[Ende]"),"&gt;="&amp;BM$1,INDIRECT("Table1[Obergruppe ATC-Code]"),Tabelle3!$A25)</f>
        <v>1</v>
      </c>
      <c r="BN25">
        <f ca="1">COUNTIFS(INDIRECT("Table1[Beginn]"),"&lt;="&amp;BN$1,INDIRECT("Table1[Ende]"),"&gt;="&amp;BN$1,INDIRECT("Table1[Obergruppe ATC-Code]"),Tabelle3!$A25)</f>
        <v>1</v>
      </c>
      <c r="BO25">
        <f ca="1">COUNTIFS(INDIRECT("Table1[Beginn]"),"&lt;="&amp;BO$1,INDIRECT("Table1[Ende]"),"&gt;="&amp;BO$1,INDIRECT("Table1[Obergruppe ATC-Code]"),Tabelle3!$A25)</f>
        <v>1</v>
      </c>
      <c r="BP25">
        <f ca="1">COUNTIFS(INDIRECT("Table1[Beginn]"),"&lt;="&amp;BP$1,INDIRECT("Table1[Ende]"),"&gt;="&amp;BP$1,INDIRECT("Table1[Obergruppe ATC-Code]"),Tabelle3!$A25)</f>
        <v>1</v>
      </c>
      <c r="BQ25">
        <f ca="1">COUNTIFS(INDIRECT("Table1[Beginn]"),"&lt;="&amp;BQ$1,INDIRECT("Table1[Ende]"),"&gt;="&amp;BQ$1,INDIRECT("Table1[Obergruppe ATC-Code]"),Tabelle3!$A25)</f>
        <v>1</v>
      </c>
      <c r="BR25">
        <f ca="1">COUNTIFS(INDIRECT("Table1[Beginn]"),"&lt;="&amp;BR$1,INDIRECT("Table1[Ende]"),"&gt;="&amp;BR$1,INDIRECT("Table1[Obergruppe ATC-Code]"),Tabelle3!$A25)</f>
        <v>1</v>
      </c>
      <c r="BS25">
        <f ca="1">COUNTIFS(INDIRECT("Table1[Beginn]"),"&lt;="&amp;BS$1,INDIRECT("Table1[Ende]"),"&gt;="&amp;BS$1,INDIRECT("Table1[Obergruppe ATC-Code]"),Tabelle3!$A25)</f>
        <v>2</v>
      </c>
      <c r="BT25">
        <f ca="1">COUNTIFS(INDIRECT("Table1[Beginn]"),"&lt;="&amp;BT$1,INDIRECT("Table1[Ende]"),"&gt;="&amp;BT$1,INDIRECT("Table1[Obergruppe ATC-Code]"),Tabelle3!$A25)</f>
        <v>2</v>
      </c>
      <c r="BU25">
        <f ca="1">COUNTIFS(INDIRECT("Table1[Beginn]"),"&lt;="&amp;BU$1,INDIRECT("Table1[Ende]"),"&gt;="&amp;BU$1,INDIRECT("Table1[Obergruppe ATC-Code]"),Tabelle3!$A25)</f>
        <v>1</v>
      </c>
      <c r="BV25">
        <f ca="1">COUNTIFS(INDIRECT("Table1[Beginn]"),"&lt;="&amp;BV$1,INDIRECT("Table1[Ende]"),"&gt;="&amp;BV$1,INDIRECT("Table1[Obergruppe ATC-Code]"),Tabelle3!$A25)</f>
        <v>2</v>
      </c>
      <c r="BW25">
        <f ca="1">COUNTIFS(INDIRECT("Table1[Beginn]"),"&lt;="&amp;BW$1,INDIRECT("Table1[Ende]"),"&gt;="&amp;BW$1,INDIRECT("Table1[Obergruppe ATC-Code]"),Tabelle3!$A25)</f>
        <v>2</v>
      </c>
      <c r="BX25">
        <f ca="1">COUNTIFS(INDIRECT("Table1[Beginn]"),"&lt;="&amp;BX$1,INDIRECT("Table1[Ende]"),"&gt;="&amp;BX$1,INDIRECT("Table1[Obergruppe ATC-Code]"),Tabelle3!$A25)</f>
        <v>2</v>
      </c>
      <c r="BY25">
        <f ca="1">COUNTIFS(INDIRECT("Table1[Beginn]"),"&lt;="&amp;BY$1,INDIRECT("Table1[Ende]"),"&gt;="&amp;BY$1,INDIRECT("Table1[Obergruppe ATC-Code]"),Tabelle3!$A25)</f>
        <v>10</v>
      </c>
      <c r="BZ25">
        <f ca="1">COUNTIFS(INDIRECT("Table1[Beginn]"),"&lt;="&amp;BZ$1,INDIRECT("Table1[Ende]"),"&gt;="&amp;BZ$1,INDIRECT("Table1[Obergruppe ATC-Code]"),Tabelle3!$A25)</f>
        <v>10</v>
      </c>
      <c r="CA25">
        <f ca="1">COUNTIFS(INDIRECT("Table1[Beginn]"),"&lt;="&amp;CA$1,INDIRECT("Table1[Ende]"),"&gt;="&amp;CA$1,INDIRECT("Table1[Obergruppe ATC-Code]"),Tabelle3!$A25)</f>
        <v>12</v>
      </c>
      <c r="CB25">
        <f ca="1">COUNTIFS(INDIRECT("Table1[Beginn]"),"&lt;="&amp;CB$1,INDIRECT("Table1[Ende]"),"&gt;="&amp;CB$1,INDIRECT("Table1[Obergruppe ATC-Code]"),Tabelle3!$A25)</f>
        <v>9</v>
      </c>
      <c r="CC25">
        <f ca="1">COUNTIFS(INDIRECT("Table1[Beginn]"),"&lt;="&amp;CC$1,INDIRECT("Table1[Ende]"),"&gt;="&amp;CC$1,INDIRECT("Table1[Obergruppe ATC-Code]"),Tabelle3!$A25)</f>
        <v>9</v>
      </c>
      <c r="CD25">
        <f ca="1">COUNTIFS(INDIRECT("Table1[Beginn]"),"&lt;="&amp;CD$1,INDIRECT("Table1[Ende]"),"&gt;="&amp;CD$1,INDIRECT("Table1[Obergruppe ATC-Code]"),Tabelle3!$A25)</f>
        <v>7</v>
      </c>
      <c r="CE25">
        <f ca="1">COUNTIFS(INDIRECT("Table1[Beginn]"),"&lt;="&amp;CE$1,INDIRECT("Table1[Ende]"),"&gt;="&amp;CE$1,INDIRECT("Table1[Obergruppe ATC-Code]"),Tabelle3!$A25)</f>
        <v>2</v>
      </c>
      <c r="CF25">
        <f ca="1">COUNTIFS(INDIRECT("Table1[Beginn]"),"&lt;="&amp;CF$1,INDIRECT("Table1[Ende]"),"&gt;="&amp;CF$1,INDIRECT("Table1[Obergruppe ATC-Code]"),Tabelle3!$A25)</f>
        <v>2</v>
      </c>
      <c r="CG25">
        <f ca="1">COUNTIFS(INDIRECT("Table1[Beginn]"),"&lt;="&amp;CG$1,INDIRECT("Table1[Ende]"),"&gt;="&amp;CG$1,INDIRECT("Table1[Obergruppe ATC-Code]"),Tabelle3!$A25)</f>
        <v>1</v>
      </c>
      <c r="CH25">
        <f ca="1">COUNTIFS(INDIRECT("Table1[Beginn]"),"&lt;="&amp;CH$1,INDIRECT("Table1[Ende]"),"&gt;="&amp;CH$1,INDIRECT("Table1[Obergruppe ATC-Code]"),Tabelle3!$A25)</f>
        <v>1</v>
      </c>
      <c r="CI25">
        <f ca="1">COUNTIFS(INDIRECT("Table1[Beginn]"),"&lt;="&amp;CI$1,INDIRECT("Table1[Ende]"),"&gt;="&amp;CI$1,INDIRECT("Table1[Obergruppe ATC-Code]"),Tabelle3!$A25)</f>
        <v>0</v>
      </c>
      <c r="CJ25">
        <f ca="1">COUNTIFS(INDIRECT("Table1[Beginn]"),"&lt;="&amp;CJ$1,INDIRECT("Table1[Ende]"),"&gt;="&amp;CJ$1,INDIRECT("Table1[Obergruppe ATC-Code]"),Tabelle3!$A25)</f>
        <v>0</v>
      </c>
      <c r="CK25">
        <f ca="1">COUNTIFS(INDIRECT("Table1[Beginn]"),"&lt;="&amp;CK$1,INDIRECT("Table1[Ende]"),"&gt;="&amp;CK$1,INDIRECT("Table1[Obergruppe ATC-Code]"),Tabelle3!$A25)</f>
        <v>0</v>
      </c>
      <c r="CL25">
        <f ca="1">COUNTIFS(INDIRECT("Table1[Beginn]"),"&lt;="&amp;CL$1,INDIRECT("Table1[Ende]"),"&gt;="&amp;CL$1,INDIRECT("Table1[Obergruppe ATC-Code]"),Tabelle3!$A25)</f>
        <v>0</v>
      </c>
      <c r="CM25">
        <f ca="1">COUNTIFS(INDIRECT("Table1[Beginn]"),"&lt;="&amp;CM$1,INDIRECT("Table1[Ende]"),"&gt;="&amp;CM$1,INDIRECT("Table1[Obergruppe ATC-Code]"),Tabelle3!$A25)</f>
        <v>0</v>
      </c>
      <c r="CN25">
        <f ca="1">COUNTIFS(INDIRECT("Table1[Beginn]"),"&lt;="&amp;CN$1,INDIRECT("Table1[Ende]"),"&gt;="&amp;CN$1,INDIRECT("Table1[Obergruppe ATC-Code]"),Tabelle3!$A25)</f>
        <v>0</v>
      </c>
      <c r="CO25">
        <f ca="1">COUNTIFS(INDIRECT("Table1[Beginn]"),"&lt;="&amp;CO$1,INDIRECT("Table1[Ende]"),"&gt;="&amp;CO$1,INDIRECT("Table1[Obergruppe ATC-Code]"),Tabelle3!$A25)</f>
        <v>0</v>
      </c>
      <c r="CP25">
        <f ca="1">COUNTIFS(INDIRECT("Table1[Beginn]"),"&lt;="&amp;CP$1,INDIRECT("Table1[Ende]"),"&gt;="&amp;CP$1,INDIRECT("Table1[Obergruppe ATC-Code]"),Tabelle3!$A25)</f>
        <v>0</v>
      </c>
      <c r="CQ25">
        <f ca="1">COUNTIFS(INDIRECT("Table1[Beginn]"),"&lt;="&amp;CQ$1,INDIRECT("Table1[Ende]"),"&gt;="&amp;CQ$1,INDIRECT("Table1[Obergruppe ATC-Code]"),Tabelle3!$A25)</f>
        <v>0</v>
      </c>
      <c r="CR25">
        <f ca="1">COUNTIFS(INDIRECT("Table1[Beginn]"),"&lt;="&amp;CR$1,INDIRECT("Table1[Ende]"),"&gt;="&amp;CR$1,INDIRECT("Table1[Obergruppe ATC-Code]"),Tabelle3!$A25)</f>
        <v>0</v>
      </c>
      <c r="CS25">
        <f ca="1">COUNTIFS(INDIRECT("Table1[Beginn]"),"&lt;="&amp;CS$1,INDIRECT("Table1[Ende]"),"&gt;="&amp;CS$1,INDIRECT("Table1[Obergruppe ATC-Code]"),Tabelle3!$A25)</f>
        <v>0</v>
      </c>
      <c r="CT25">
        <f ca="1">COUNTIFS(INDIRECT("Table1[Beginn]"),"&lt;="&amp;CT$1,INDIRECT("Table1[Ende]"),"&gt;="&amp;CT$1,INDIRECT("Table1[Obergruppe ATC-Code]"),Tabelle3!$A25)</f>
        <v>0</v>
      </c>
      <c r="CU25" s="54"/>
      <c r="CV25" s="54"/>
      <c r="CW25" s="54"/>
      <c r="CX25" s="54"/>
      <c r="CY25" s="54"/>
      <c r="CZ25" s="54"/>
      <c r="DA25" s="54"/>
      <c r="DB25" s="54"/>
      <c r="DC25" s="54"/>
      <c r="DD25" s="54"/>
      <c r="DE25" s="54"/>
      <c r="DF25" s="54"/>
      <c r="DG25" s="54"/>
      <c r="DH25" s="54"/>
    </row>
    <row r="26" spans="1:112" ht="18" customHeight="1">
      <c r="A26" s="7" t="s">
        <v>6820</v>
      </c>
      <c r="B26" s="8" t="s">
        <v>6821</v>
      </c>
      <c r="C26">
        <f ca="1">COUNTIFS(INDIRECT("Table1[Beginn]"),"&lt;="&amp;C$1,INDIRECT("Table1[Ende]"),"&gt;="&amp;C$1,INDIRECT("Table1[Obergruppe ATC-Code]"),Tabelle3!$A26)</f>
        <v>0</v>
      </c>
      <c r="D26">
        <f ca="1">COUNTIFS(INDIRECT("Table1[Beginn]"),"&lt;="&amp;D$1,INDIRECT("Table1[Ende]"),"&gt;="&amp;D$1,INDIRECT("Table1[Obergruppe ATC-Code]"),Tabelle3!$A26)</f>
        <v>0</v>
      </c>
      <c r="E26">
        <f ca="1">COUNTIFS(INDIRECT("Table1[Beginn]"),"&lt;="&amp;E$1,INDIRECT("Table1[Ende]"),"&gt;="&amp;E$1,INDIRECT("Table1[Obergruppe ATC-Code]"),Tabelle3!$A26)</f>
        <v>0</v>
      </c>
      <c r="F26">
        <f ca="1">COUNTIFS(INDIRECT("Table1[Beginn]"),"&lt;="&amp;F$1,INDIRECT("Table1[Ende]"),"&gt;="&amp;F$1,INDIRECT("Table1[Obergruppe ATC-Code]"),Tabelle3!$A26)</f>
        <v>0</v>
      </c>
      <c r="G26">
        <f ca="1">COUNTIFS(INDIRECT("Table1[Beginn]"),"&lt;="&amp;G$1,INDIRECT("Table1[Ende]"),"&gt;="&amp;G$1,INDIRECT("Table1[Obergruppe ATC-Code]"),Tabelle3!$A26)</f>
        <v>0</v>
      </c>
      <c r="H26">
        <f ca="1">COUNTIFS(INDIRECT("Table1[Beginn]"),"&lt;="&amp;H$1,INDIRECT("Table1[Ende]"),"&gt;="&amp;H$1,INDIRECT("Table1[Obergruppe ATC-Code]"),Tabelle3!$A26)</f>
        <v>0</v>
      </c>
      <c r="I26">
        <f ca="1">COUNTIFS(INDIRECT("Table1[Beginn]"),"&lt;="&amp;I$1,INDIRECT("Table1[Ende]"),"&gt;="&amp;I$1,INDIRECT("Table1[Obergruppe ATC-Code]"),Tabelle3!$A26)</f>
        <v>0</v>
      </c>
      <c r="J26">
        <f ca="1">COUNTIFS(INDIRECT("Table1[Beginn]"),"&lt;="&amp;J$1,INDIRECT("Table1[Ende]"),"&gt;="&amp;J$1,INDIRECT("Table1[Obergruppe ATC-Code]"),Tabelle3!$A26)</f>
        <v>0</v>
      </c>
      <c r="K26">
        <f ca="1">COUNTIFS(INDIRECT("Table1[Beginn]"),"&lt;="&amp;K$1,INDIRECT("Table1[Ende]"),"&gt;="&amp;K$1,INDIRECT("Table1[Obergruppe ATC-Code]"),Tabelle3!$A26)</f>
        <v>0</v>
      </c>
      <c r="L26">
        <f ca="1">COUNTIFS(INDIRECT("Table1[Beginn]"),"&lt;="&amp;L$1,INDIRECT("Table1[Ende]"),"&gt;="&amp;L$1,INDIRECT("Table1[Obergruppe ATC-Code]"),Tabelle3!$A26)</f>
        <v>0</v>
      </c>
      <c r="M26">
        <f ca="1">COUNTIFS(INDIRECT("Table1[Beginn]"),"&lt;="&amp;M$1,INDIRECT("Table1[Ende]"),"&gt;="&amp;M$1,INDIRECT("Table1[Obergruppe ATC-Code]"),Tabelle3!$A26)</f>
        <v>0</v>
      </c>
      <c r="N26">
        <f ca="1">COUNTIFS(INDIRECT("Table1[Beginn]"),"&lt;="&amp;N$1,INDIRECT("Table1[Ende]"),"&gt;="&amp;N$1,INDIRECT("Table1[Obergruppe ATC-Code]"),Tabelle3!$A26)</f>
        <v>0</v>
      </c>
      <c r="O26">
        <f ca="1">COUNTIFS(INDIRECT("Table1[Beginn]"),"&lt;="&amp;O$1,INDIRECT("Table1[Ende]"),"&gt;="&amp;O$1,INDIRECT("Table1[Obergruppe ATC-Code]"),Tabelle3!$A26)</f>
        <v>0</v>
      </c>
      <c r="P26">
        <f ca="1">COUNTIFS(INDIRECT("Table1[Beginn]"),"&lt;="&amp;P$1,INDIRECT("Table1[Ende]"),"&gt;="&amp;P$1,INDIRECT("Table1[Obergruppe ATC-Code]"),Tabelle3!$A26)</f>
        <v>0</v>
      </c>
      <c r="Q26">
        <f ca="1">COUNTIFS(INDIRECT("Table1[Beginn]"),"&lt;="&amp;Q$1,INDIRECT("Table1[Ende]"),"&gt;="&amp;Q$1,INDIRECT("Table1[Obergruppe ATC-Code]"),Tabelle3!$A26)</f>
        <v>0</v>
      </c>
      <c r="R26">
        <f ca="1">COUNTIFS(INDIRECT("Table1[Beginn]"),"&lt;="&amp;R$1,INDIRECT("Table1[Ende]"),"&gt;="&amp;R$1,INDIRECT("Table1[Obergruppe ATC-Code]"),Tabelle3!$A26)</f>
        <v>0</v>
      </c>
      <c r="S26">
        <f ca="1">COUNTIFS(INDIRECT("Table1[Beginn]"),"&lt;="&amp;S$1,INDIRECT("Table1[Ende]"),"&gt;="&amp;S$1,INDIRECT("Table1[Obergruppe ATC-Code]"),Tabelle3!$A26)</f>
        <v>0</v>
      </c>
      <c r="T26">
        <f ca="1">COUNTIFS(INDIRECT("Table1[Beginn]"),"&lt;="&amp;T$1,INDIRECT("Table1[Ende]"),"&gt;="&amp;T$1,INDIRECT("Table1[Obergruppe ATC-Code]"),Tabelle3!$A26)</f>
        <v>0</v>
      </c>
      <c r="U26">
        <f ca="1">COUNTIFS(INDIRECT("Table1[Beginn]"),"&lt;="&amp;U$1,INDIRECT("Table1[Ende]"),"&gt;="&amp;U$1,INDIRECT("Table1[Obergruppe ATC-Code]"),Tabelle3!$A26)</f>
        <v>0</v>
      </c>
      <c r="V26">
        <f ca="1">COUNTIFS(INDIRECT("Table1[Beginn]"),"&lt;="&amp;V$1,INDIRECT("Table1[Ende]"),"&gt;="&amp;V$1,INDIRECT("Table1[Obergruppe ATC-Code]"),Tabelle3!$A26)</f>
        <v>0</v>
      </c>
      <c r="W26">
        <f ca="1">COUNTIFS(INDIRECT("Table1[Beginn]"),"&lt;="&amp;W$1,INDIRECT("Table1[Ende]"),"&gt;="&amp;W$1,INDIRECT("Table1[Obergruppe ATC-Code]"),Tabelle3!$A26)</f>
        <v>0</v>
      </c>
      <c r="X26">
        <f ca="1">COUNTIFS(INDIRECT("Table1[Beginn]"),"&lt;="&amp;X$1,INDIRECT("Table1[Ende]"),"&gt;="&amp;X$1,INDIRECT("Table1[Obergruppe ATC-Code]"),Tabelle3!$A26)</f>
        <v>0</v>
      </c>
      <c r="Y26">
        <f ca="1">COUNTIFS(INDIRECT("Table1[Beginn]"),"&lt;="&amp;Y$1,INDIRECT("Table1[Ende]"),"&gt;="&amp;Y$1,INDIRECT("Table1[Obergruppe ATC-Code]"),Tabelle3!$A26)</f>
        <v>0</v>
      </c>
      <c r="Z26">
        <f ca="1">COUNTIFS(INDIRECT("Table1[Beginn]"),"&lt;="&amp;Z$1,INDIRECT("Table1[Ende]"),"&gt;="&amp;Z$1,INDIRECT("Table1[Obergruppe ATC-Code]"),Tabelle3!$A26)</f>
        <v>0</v>
      </c>
      <c r="AA26">
        <f ca="1">COUNTIFS(INDIRECT("Table1[Beginn]"),"&lt;="&amp;AA$1,INDIRECT("Table1[Ende]"),"&gt;="&amp;AA$1,INDIRECT("Table1[Obergruppe ATC-Code]"),Tabelle3!$A26)</f>
        <v>0</v>
      </c>
      <c r="AB26">
        <f ca="1">COUNTIFS(INDIRECT("Table1[Beginn]"),"&lt;="&amp;AB$1,INDIRECT("Table1[Ende]"),"&gt;="&amp;AB$1,INDIRECT("Table1[Obergruppe ATC-Code]"),Tabelle3!$A26)</f>
        <v>0</v>
      </c>
      <c r="AC26">
        <f ca="1">COUNTIFS(INDIRECT("Table1[Beginn]"),"&lt;="&amp;AC$1,INDIRECT("Table1[Ende]"),"&gt;="&amp;AC$1,INDIRECT("Table1[Obergruppe ATC-Code]"),Tabelle3!$A26)</f>
        <v>0</v>
      </c>
      <c r="AD26">
        <f ca="1">COUNTIFS(INDIRECT("Table1[Beginn]"),"&lt;="&amp;AD$1,INDIRECT("Table1[Ende]"),"&gt;="&amp;AD$1,INDIRECT("Table1[Obergruppe ATC-Code]"),Tabelle3!$A26)</f>
        <v>0</v>
      </c>
      <c r="AE26">
        <f ca="1">COUNTIFS(INDIRECT("Table1[Beginn]"),"&lt;="&amp;AE$1,INDIRECT("Table1[Ende]"),"&gt;="&amp;AE$1,INDIRECT("Table1[Obergruppe ATC-Code]"),Tabelle3!$A26)</f>
        <v>0</v>
      </c>
      <c r="AF26">
        <f ca="1">COUNTIFS(INDIRECT("Table1[Beginn]"),"&lt;="&amp;AF$1,INDIRECT("Table1[Ende]"),"&gt;="&amp;AF$1,INDIRECT("Table1[Obergruppe ATC-Code]"),Tabelle3!$A26)</f>
        <v>0</v>
      </c>
      <c r="AG26">
        <f ca="1">COUNTIFS(INDIRECT("Table1[Beginn]"),"&lt;="&amp;AG$1,INDIRECT("Table1[Ende]"),"&gt;="&amp;AG$1,INDIRECT("Table1[Obergruppe ATC-Code]"),Tabelle3!$A26)</f>
        <v>0</v>
      </c>
      <c r="AH26">
        <f ca="1">COUNTIFS(INDIRECT("Table1[Beginn]"),"&lt;="&amp;AH$1,INDIRECT("Table1[Ende]"),"&gt;="&amp;AH$1,INDIRECT("Table1[Obergruppe ATC-Code]"),Tabelle3!$A26)</f>
        <v>0</v>
      </c>
      <c r="AI26">
        <f ca="1">COUNTIFS(INDIRECT("Table1[Beginn]"),"&lt;="&amp;AI$1,INDIRECT("Table1[Ende]"),"&gt;="&amp;AI$1,INDIRECT("Table1[Obergruppe ATC-Code]"),Tabelle3!$A26)</f>
        <v>0</v>
      </c>
      <c r="AJ26">
        <f ca="1">COUNTIFS(INDIRECT("Table1[Beginn]"),"&lt;="&amp;AJ$1,INDIRECT("Table1[Ende]"),"&gt;="&amp;AJ$1,INDIRECT("Table1[Obergruppe ATC-Code]"),Tabelle3!$A26)</f>
        <v>0</v>
      </c>
      <c r="AK26">
        <f ca="1">COUNTIFS(INDIRECT("Table1[Beginn]"),"&lt;="&amp;AK$1,INDIRECT("Table1[Ende]"),"&gt;="&amp;AK$1,INDIRECT("Table1[Obergruppe ATC-Code]"),Tabelle3!$A26)</f>
        <v>0</v>
      </c>
      <c r="AL26">
        <f ca="1">COUNTIFS(INDIRECT("Table1[Beginn]"),"&lt;="&amp;AL$1,INDIRECT("Table1[Ende]"),"&gt;="&amp;AL$1,INDIRECT("Table1[Obergruppe ATC-Code]"),Tabelle3!$A26)</f>
        <v>0</v>
      </c>
      <c r="AM26">
        <f ca="1">COUNTIFS(INDIRECT("Table1[Beginn]"),"&lt;="&amp;AM$1,INDIRECT("Table1[Ende]"),"&gt;="&amp;AM$1,INDIRECT("Table1[Obergruppe ATC-Code]"),Tabelle3!$A26)</f>
        <v>0</v>
      </c>
      <c r="AN26">
        <f ca="1">COUNTIFS(INDIRECT("Table1[Beginn]"),"&lt;="&amp;AN$1,INDIRECT("Table1[Ende]"),"&gt;="&amp;AN$1,INDIRECT("Table1[Obergruppe ATC-Code]"),Tabelle3!$A26)</f>
        <v>0</v>
      </c>
      <c r="AO26">
        <f ca="1">COUNTIFS(INDIRECT("Table1[Beginn]"),"&lt;="&amp;AO$1,INDIRECT("Table1[Ende]"),"&gt;="&amp;AO$1,INDIRECT("Table1[Obergruppe ATC-Code]"),Tabelle3!$A26)</f>
        <v>0</v>
      </c>
      <c r="AP26">
        <f ca="1">COUNTIFS(INDIRECT("Table1[Beginn]"),"&lt;="&amp;AP$1,INDIRECT("Table1[Ende]"),"&gt;="&amp;AP$1,INDIRECT("Table1[Obergruppe ATC-Code]"),Tabelle3!$A26)</f>
        <v>0</v>
      </c>
      <c r="AQ26">
        <f ca="1">COUNTIFS(INDIRECT("Table1[Beginn]"),"&lt;="&amp;AQ$1,INDIRECT("Table1[Ende]"),"&gt;="&amp;AQ$1,INDIRECT("Table1[Obergruppe ATC-Code]"),Tabelle3!$A26)</f>
        <v>0</v>
      </c>
      <c r="AR26">
        <f ca="1">COUNTIFS(INDIRECT("Table1[Beginn]"),"&lt;="&amp;AR$1,INDIRECT("Table1[Ende]"),"&gt;="&amp;AR$1,INDIRECT("Table1[Obergruppe ATC-Code]"),Tabelle3!$A26)</f>
        <v>0</v>
      </c>
      <c r="AS26">
        <f ca="1">COUNTIFS(INDIRECT("Table1[Beginn]"),"&lt;="&amp;AS$1,INDIRECT("Table1[Ende]"),"&gt;="&amp;AS$1,INDIRECT("Table1[Obergruppe ATC-Code]"),Tabelle3!$A26)</f>
        <v>0</v>
      </c>
      <c r="AT26">
        <f ca="1">COUNTIFS(INDIRECT("Table1[Beginn]"),"&lt;="&amp;AT$1,INDIRECT("Table1[Ende]"),"&gt;="&amp;AT$1,INDIRECT("Table1[Obergruppe ATC-Code]"),Tabelle3!$A26)</f>
        <v>0</v>
      </c>
      <c r="AU26">
        <f ca="1">COUNTIFS(INDIRECT("Table1[Beginn]"),"&lt;="&amp;AU$1,INDIRECT("Table1[Ende]"),"&gt;="&amp;AU$1,INDIRECT("Table1[Obergruppe ATC-Code]"),Tabelle3!$A26)</f>
        <v>0</v>
      </c>
      <c r="AV26">
        <f ca="1">COUNTIFS(INDIRECT("Table1[Beginn]"),"&lt;="&amp;AV$1,INDIRECT("Table1[Ende]"),"&gt;="&amp;AV$1,INDIRECT("Table1[Obergruppe ATC-Code]"),Tabelle3!$A26)</f>
        <v>0</v>
      </c>
      <c r="AW26">
        <f ca="1">COUNTIFS(INDIRECT("Table1[Beginn]"),"&lt;="&amp;AW$1,INDIRECT("Table1[Ende]"),"&gt;="&amp;AW$1,INDIRECT("Table1[Obergruppe ATC-Code]"),Tabelle3!$A26)</f>
        <v>0</v>
      </c>
      <c r="AX26">
        <f ca="1">COUNTIFS(INDIRECT("Table1[Beginn]"),"&lt;="&amp;AX$1,INDIRECT("Table1[Ende]"),"&gt;="&amp;AX$1,INDIRECT("Table1[Obergruppe ATC-Code]"),Tabelle3!$A26)</f>
        <v>0</v>
      </c>
      <c r="AY26">
        <f ca="1">COUNTIFS(INDIRECT("Table1[Beginn]"),"&lt;="&amp;AY$1,INDIRECT("Table1[Ende]"),"&gt;="&amp;AY$1,INDIRECT("Table1[Obergruppe ATC-Code]"),Tabelle3!$A26)</f>
        <v>0</v>
      </c>
      <c r="AZ26">
        <f ca="1">COUNTIFS(INDIRECT("Table1[Beginn]"),"&lt;="&amp;AZ$1,INDIRECT("Table1[Ende]"),"&gt;="&amp;AZ$1,INDIRECT("Table1[Obergruppe ATC-Code]"),Tabelle3!$A26)</f>
        <v>0</v>
      </c>
      <c r="BA26">
        <f ca="1">COUNTIFS(INDIRECT("Table1[Beginn]"),"&lt;="&amp;BA$1,INDIRECT("Table1[Ende]"),"&gt;="&amp;BA$1,INDIRECT("Table1[Obergruppe ATC-Code]"),Tabelle3!$A26)</f>
        <v>0</v>
      </c>
      <c r="BB26">
        <f ca="1">COUNTIFS(INDIRECT("Table1[Beginn]"),"&lt;="&amp;BB$1,INDIRECT("Table1[Ende]"),"&gt;="&amp;BB$1,INDIRECT("Table1[Obergruppe ATC-Code]"),Tabelle3!$A26)</f>
        <v>0</v>
      </c>
      <c r="BC26">
        <f ca="1">COUNTIFS(INDIRECT("Table1[Beginn]"),"&lt;="&amp;BC$1,INDIRECT("Table1[Ende]"),"&gt;="&amp;BC$1,INDIRECT("Table1[Obergruppe ATC-Code]"),Tabelle3!$A26)</f>
        <v>0</v>
      </c>
      <c r="BD26">
        <f ca="1">COUNTIFS(INDIRECT("Table1[Beginn]"),"&lt;="&amp;BD$1,INDIRECT("Table1[Ende]"),"&gt;="&amp;BD$1,INDIRECT("Table1[Obergruppe ATC-Code]"),Tabelle3!$A26)</f>
        <v>0</v>
      </c>
      <c r="BE26">
        <f ca="1">COUNTIFS(INDIRECT("Table1[Beginn]"),"&lt;="&amp;BE$1,INDIRECT("Table1[Ende]"),"&gt;="&amp;BE$1,INDIRECT("Table1[Obergruppe ATC-Code]"),Tabelle3!$A26)</f>
        <v>0</v>
      </c>
      <c r="BF26">
        <f ca="1">COUNTIFS(INDIRECT("Table1[Beginn]"),"&lt;="&amp;BF$1,INDIRECT("Table1[Ende]"),"&gt;="&amp;BF$1,INDIRECT("Table1[Obergruppe ATC-Code]"),Tabelle3!$A26)</f>
        <v>0</v>
      </c>
      <c r="BG26">
        <f ca="1">COUNTIFS(INDIRECT("Table1[Beginn]"),"&lt;="&amp;BG$1,INDIRECT("Table1[Ende]"),"&gt;="&amp;BG$1,INDIRECT("Table1[Obergruppe ATC-Code]"),Tabelle3!$A26)</f>
        <v>0</v>
      </c>
      <c r="BH26">
        <f ca="1">COUNTIFS(INDIRECT("Table1[Beginn]"),"&lt;="&amp;BH$1,INDIRECT("Table1[Ende]"),"&gt;="&amp;BH$1,INDIRECT("Table1[Obergruppe ATC-Code]"),Tabelle3!$A26)</f>
        <v>0</v>
      </c>
      <c r="BI26">
        <f ca="1">COUNTIFS(INDIRECT("Table1[Beginn]"),"&lt;="&amp;BI$1,INDIRECT("Table1[Ende]"),"&gt;="&amp;BI$1,INDIRECT("Table1[Obergruppe ATC-Code]"),Tabelle3!$A26)</f>
        <v>0</v>
      </c>
      <c r="BJ26">
        <f ca="1">COUNTIFS(INDIRECT("Table1[Beginn]"),"&lt;="&amp;BJ$1,INDIRECT("Table1[Ende]"),"&gt;="&amp;BJ$1,INDIRECT("Table1[Obergruppe ATC-Code]"),Tabelle3!$A26)</f>
        <v>0</v>
      </c>
      <c r="BK26">
        <f ca="1">COUNTIFS(INDIRECT("Table1[Beginn]"),"&lt;="&amp;BK$1,INDIRECT("Table1[Ende]"),"&gt;="&amp;BK$1,INDIRECT("Table1[Obergruppe ATC-Code]"),Tabelle3!$A26)</f>
        <v>0</v>
      </c>
      <c r="BL26">
        <f ca="1">COUNTIFS(INDIRECT("Table1[Beginn]"),"&lt;="&amp;BL$1,INDIRECT("Table1[Ende]"),"&gt;="&amp;BL$1,INDIRECT("Table1[Obergruppe ATC-Code]"),Tabelle3!$A26)</f>
        <v>0</v>
      </c>
      <c r="BM26">
        <f ca="1">COUNTIFS(INDIRECT("Table1[Beginn]"),"&lt;="&amp;BM$1,INDIRECT("Table1[Ende]"),"&gt;="&amp;BM$1,INDIRECT("Table1[Obergruppe ATC-Code]"),Tabelle3!$A26)</f>
        <v>0</v>
      </c>
      <c r="BN26">
        <f ca="1">COUNTIFS(INDIRECT("Table1[Beginn]"),"&lt;="&amp;BN$1,INDIRECT("Table1[Ende]"),"&gt;="&amp;BN$1,INDIRECT("Table1[Obergruppe ATC-Code]"),Tabelle3!$A26)</f>
        <v>0</v>
      </c>
      <c r="BO26">
        <f ca="1">COUNTIFS(INDIRECT("Table1[Beginn]"),"&lt;="&amp;BO$1,INDIRECT("Table1[Ende]"),"&gt;="&amp;BO$1,INDIRECT("Table1[Obergruppe ATC-Code]"),Tabelle3!$A26)</f>
        <v>0</v>
      </c>
      <c r="BP26">
        <f ca="1">COUNTIFS(INDIRECT("Table1[Beginn]"),"&lt;="&amp;BP$1,INDIRECT("Table1[Ende]"),"&gt;="&amp;BP$1,INDIRECT("Table1[Obergruppe ATC-Code]"),Tabelle3!$A26)</f>
        <v>0</v>
      </c>
      <c r="BQ26">
        <f ca="1">COUNTIFS(INDIRECT("Table1[Beginn]"),"&lt;="&amp;BQ$1,INDIRECT("Table1[Ende]"),"&gt;="&amp;BQ$1,INDIRECT("Table1[Obergruppe ATC-Code]"),Tabelle3!$A26)</f>
        <v>0</v>
      </c>
      <c r="BR26">
        <f ca="1">COUNTIFS(INDIRECT("Table1[Beginn]"),"&lt;="&amp;BR$1,INDIRECT("Table1[Ende]"),"&gt;="&amp;BR$1,INDIRECT("Table1[Obergruppe ATC-Code]"),Tabelle3!$A26)</f>
        <v>0</v>
      </c>
      <c r="BS26">
        <f ca="1">COUNTIFS(INDIRECT("Table1[Beginn]"),"&lt;="&amp;BS$1,INDIRECT("Table1[Ende]"),"&gt;="&amp;BS$1,INDIRECT("Table1[Obergruppe ATC-Code]"),Tabelle3!$A26)</f>
        <v>0</v>
      </c>
      <c r="BT26">
        <f ca="1">COUNTIFS(INDIRECT("Table1[Beginn]"),"&lt;="&amp;BT$1,INDIRECT("Table1[Ende]"),"&gt;="&amp;BT$1,INDIRECT("Table1[Obergruppe ATC-Code]"),Tabelle3!$A26)</f>
        <v>0</v>
      </c>
      <c r="BU26">
        <f ca="1">COUNTIFS(INDIRECT("Table1[Beginn]"),"&lt;="&amp;BU$1,INDIRECT("Table1[Ende]"),"&gt;="&amp;BU$1,INDIRECT("Table1[Obergruppe ATC-Code]"),Tabelle3!$A26)</f>
        <v>0</v>
      </c>
      <c r="BV26">
        <f ca="1">COUNTIFS(INDIRECT("Table1[Beginn]"),"&lt;="&amp;BV$1,INDIRECT("Table1[Ende]"),"&gt;="&amp;BV$1,INDIRECT("Table1[Obergruppe ATC-Code]"),Tabelle3!$A26)</f>
        <v>0</v>
      </c>
      <c r="BW26">
        <f ca="1">COUNTIFS(INDIRECT("Table1[Beginn]"),"&lt;="&amp;BW$1,INDIRECT("Table1[Ende]"),"&gt;="&amp;BW$1,INDIRECT("Table1[Obergruppe ATC-Code]"),Tabelle3!$A26)</f>
        <v>0</v>
      </c>
      <c r="BX26">
        <f ca="1">COUNTIFS(INDIRECT("Table1[Beginn]"),"&lt;="&amp;BX$1,INDIRECT("Table1[Ende]"),"&gt;="&amp;BX$1,INDIRECT("Table1[Obergruppe ATC-Code]"),Tabelle3!$A26)</f>
        <v>0</v>
      </c>
      <c r="BY26">
        <f ca="1">COUNTIFS(INDIRECT("Table1[Beginn]"),"&lt;="&amp;BY$1,INDIRECT("Table1[Ende]"),"&gt;="&amp;BY$1,INDIRECT("Table1[Obergruppe ATC-Code]"),Tabelle3!$A26)</f>
        <v>0</v>
      </c>
      <c r="BZ26">
        <f ca="1">COUNTIFS(INDIRECT("Table1[Beginn]"),"&lt;="&amp;BZ$1,INDIRECT("Table1[Ende]"),"&gt;="&amp;BZ$1,INDIRECT("Table1[Obergruppe ATC-Code]"),Tabelle3!$A26)</f>
        <v>0</v>
      </c>
      <c r="CA26">
        <f ca="1">COUNTIFS(INDIRECT("Table1[Beginn]"),"&lt;="&amp;CA$1,INDIRECT("Table1[Ende]"),"&gt;="&amp;CA$1,INDIRECT("Table1[Obergruppe ATC-Code]"),Tabelle3!$A26)</f>
        <v>0</v>
      </c>
      <c r="CB26">
        <f ca="1">COUNTIFS(INDIRECT("Table1[Beginn]"),"&lt;="&amp;CB$1,INDIRECT("Table1[Ende]"),"&gt;="&amp;CB$1,INDIRECT("Table1[Obergruppe ATC-Code]"),Tabelle3!$A26)</f>
        <v>0</v>
      </c>
      <c r="CC26">
        <f ca="1">COUNTIFS(INDIRECT("Table1[Beginn]"),"&lt;="&amp;CC$1,INDIRECT("Table1[Ende]"),"&gt;="&amp;CC$1,INDIRECT("Table1[Obergruppe ATC-Code]"),Tabelle3!$A26)</f>
        <v>0</v>
      </c>
      <c r="CD26">
        <f ca="1">COUNTIFS(INDIRECT("Table1[Beginn]"),"&lt;="&amp;CD$1,INDIRECT("Table1[Ende]"),"&gt;="&amp;CD$1,INDIRECT("Table1[Obergruppe ATC-Code]"),Tabelle3!$A26)</f>
        <v>0</v>
      </c>
      <c r="CE26">
        <f ca="1">COUNTIFS(INDIRECT("Table1[Beginn]"),"&lt;="&amp;CE$1,INDIRECT("Table1[Ende]"),"&gt;="&amp;CE$1,INDIRECT("Table1[Obergruppe ATC-Code]"),Tabelle3!$A26)</f>
        <v>0</v>
      </c>
      <c r="CF26">
        <f ca="1">COUNTIFS(INDIRECT("Table1[Beginn]"),"&lt;="&amp;CF$1,INDIRECT("Table1[Ende]"),"&gt;="&amp;CF$1,INDIRECT("Table1[Obergruppe ATC-Code]"),Tabelle3!$A26)</f>
        <v>0</v>
      </c>
      <c r="CG26">
        <f ca="1">COUNTIFS(INDIRECT("Table1[Beginn]"),"&lt;="&amp;CG$1,INDIRECT("Table1[Ende]"),"&gt;="&amp;CG$1,INDIRECT("Table1[Obergruppe ATC-Code]"),Tabelle3!$A26)</f>
        <v>0</v>
      </c>
      <c r="CH26">
        <f ca="1">COUNTIFS(INDIRECT("Table1[Beginn]"),"&lt;="&amp;CH$1,INDIRECT("Table1[Ende]"),"&gt;="&amp;CH$1,INDIRECT("Table1[Obergruppe ATC-Code]"),Tabelle3!$A26)</f>
        <v>0</v>
      </c>
      <c r="CI26">
        <f ca="1">COUNTIFS(INDIRECT("Table1[Beginn]"),"&lt;="&amp;CI$1,INDIRECT("Table1[Ende]"),"&gt;="&amp;CI$1,INDIRECT("Table1[Obergruppe ATC-Code]"),Tabelle3!$A26)</f>
        <v>0</v>
      </c>
      <c r="CJ26">
        <f ca="1">COUNTIFS(INDIRECT("Table1[Beginn]"),"&lt;="&amp;CJ$1,INDIRECT("Table1[Ende]"),"&gt;="&amp;CJ$1,INDIRECT("Table1[Obergruppe ATC-Code]"),Tabelle3!$A26)</f>
        <v>0</v>
      </c>
      <c r="CK26">
        <f ca="1">COUNTIFS(INDIRECT("Table1[Beginn]"),"&lt;="&amp;CK$1,INDIRECT("Table1[Ende]"),"&gt;="&amp;CK$1,INDIRECT("Table1[Obergruppe ATC-Code]"),Tabelle3!$A26)</f>
        <v>0</v>
      </c>
      <c r="CL26">
        <f ca="1">COUNTIFS(INDIRECT("Table1[Beginn]"),"&lt;="&amp;CL$1,INDIRECT("Table1[Ende]"),"&gt;="&amp;CL$1,INDIRECT("Table1[Obergruppe ATC-Code]"),Tabelle3!$A26)</f>
        <v>0</v>
      </c>
      <c r="CM26">
        <f ca="1">COUNTIFS(INDIRECT("Table1[Beginn]"),"&lt;="&amp;CM$1,INDIRECT("Table1[Ende]"),"&gt;="&amp;CM$1,INDIRECT("Table1[Obergruppe ATC-Code]"),Tabelle3!$A26)</f>
        <v>0</v>
      </c>
      <c r="CN26">
        <f ca="1">COUNTIFS(INDIRECT("Table1[Beginn]"),"&lt;="&amp;CN$1,INDIRECT("Table1[Ende]"),"&gt;="&amp;CN$1,INDIRECT("Table1[Obergruppe ATC-Code]"),Tabelle3!$A26)</f>
        <v>0</v>
      </c>
      <c r="CO26">
        <f ca="1">COUNTIFS(INDIRECT("Table1[Beginn]"),"&lt;="&amp;CO$1,INDIRECT("Table1[Ende]"),"&gt;="&amp;CO$1,INDIRECT("Table1[Obergruppe ATC-Code]"),Tabelle3!$A26)</f>
        <v>0</v>
      </c>
      <c r="CP26">
        <f ca="1">COUNTIFS(INDIRECT("Table1[Beginn]"),"&lt;="&amp;CP$1,INDIRECT("Table1[Ende]"),"&gt;="&amp;CP$1,INDIRECT("Table1[Obergruppe ATC-Code]"),Tabelle3!$A26)</f>
        <v>0</v>
      </c>
      <c r="CQ26">
        <f ca="1">COUNTIFS(INDIRECT("Table1[Beginn]"),"&lt;="&amp;CQ$1,INDIRECT("Table1[Ende]"),"&gt;="&amp;CQ$1,INDIRECT("Table1[Obergruppe ATC-Code]"),Tabelle3!$A26)</f>
        <v>0</v>
      </c>
      <c r="CR26">
        <f ca="1">COUNTIFS(INDIRECT("Table1[Beginn]"),"&lt;="&amp;CR$1,INDIRECT("Table1[Ende]"),"&gt;="&amp;CR$1,INDIRECT("Table1[Obergruppe ATC-Code]"),Tabelle3!$A26)</f>
        <v>0</v>
      </c>
      <c r="CS26">
        <f ca="1">COUNTIFS(INDIRECT("Table1[Beginn]"),"&lt;="&amp;CS$1,INDIRECT("Table1[Ende]"),"&gt;="&amp;CS$1,INDIRECT("Table1[Obergruppe ATC-Code]"),Tabelle3!$A26)</f>
        <v>0</v>
      </c>
      <c r="CT26">
        <f ca="1">COUNTIFS(INDIRECT("Table1[Beginn]"),"&lt;="&amp;CT$1,INDIRECT("Table1[Ende]"),"&gt;="&amp;CT$1,INDIRECT("Table1[Obergruppe ATC-Code]"),Tabelle3!$A26)</f>
        <v>0</v>
      </c>
      <c r="CU26" s="54"/>
      <c r="CV26" s="54"/>
      <c r="CW26" s="54"/>
      <c r="CX26" s="54"/>
      <c r="CY26" s="54"/>
      <c r="CZ26" s="54"/>
      <c r="DA26" s="54"/>
      <c r="DB26" s="54"/>
      <c r="DC26" s="54"/>
      <c r="DD26" s="54"/>
      <c r="DE26" s="54"/>
      <c r="DF26" s="54"/>
      <c r="DG26" s="54"/>
      <c r="DH26" s="54"/>
    </row>
    <row r="27" spans="1:112" ht="18" customHeight="1">
      <c r="A27" s="9" t="s">
        <v>6822</v>
      </c>
      <c r="B27" s="10" t="s">
        <v>6823</v>
      </c>
      <c r="C27">
        <f ca="1">COUNTIFS(INDIRECT("Table1[Beginn]"),"&lt;="&amp;C$1,INDIRECT("Table1[Ende]"),"&gt;="&amp;C$1,INDIRECT("Table1[Obergruppe ATC-Code]"),Tabelle3!$A27)</f>
        <v>0</v>
      </c>
      <c r="D27">
        <f ca="1">COUNTIFS(INDIRECT("Table1[Beginn]"),"&lt;="&amp;D$1,INDIRECT("Table1[Ende]"),"&gt;="&amp;D$1,INDIRECT("Table1[Obergruppe ATC-Code]"),Tabelle3!$A27)</f>
        <v>0</v>
      </c>
      <c r="E27">
        <f ca="1">COUNTIFS(INDIRECT("Table1[Beginn]"),"&lt;="&amp;E$1,INDIRECT("Table1[Ende]"),"&gt;="&amp;E$1,INDIRECT("Table1[Obergruppe ATC-Code]"),Tabelle3!$A27)</f>
        <v>0</v>
      </c>
      <c r="F27">
        <f ca="1">COUNTIFS(INDIRECT("Table1[Beginn]"),"&lt;="&amp;F$1,INDIRECT("Table1[Ende]"),"&gt;="&amp;F$1,INDIRECT("Table1[Obergruppe ATC-Code]"),Tabelle3!$A27)</f>
        <v>0</v>
      </c>
      <c r="G27">
        <f ca="1">COUNTIFS(INDIRECT("Table1[Beginn]"),"&lt;="&amp;G$1,INDIRECT("Table1[Ende]"),"&gt;="&amp;G$1,INDIRECT("Table1[Obergruppe ATC-Code]"),Tabelle3!$A27)</f>
        <v>0</v>
      </c>
      <c r="H27">
        <f ca="1">COUNTIFS(INDIRECT("Table1[Beginn]"),"&lt;="&amp;H$1,INDIRECT("Table1[Ende]"),"&gt;="&amp;H$1,INDIRECT("Table1[Obergruppe ATC-Code]"),Tabelle3!$A27)</f>
        <v>0</v>
      </c>
      <c r="I27">
        <f ca="1">COUNTIFS(INDIRECT("Table1[Beginn]"),"&lt;="&amp;I$1,INDIRECT("Table1[Ende]"),"&gt;="&amp;I$1,INDIRECT("Table1[Obergruppe ATC-Code]"),Tabelle3!$A27)</f>
        <v>0</v>
      </c>
      <c r="J27">
        <f ca="1">COUNTIFS(INDIRECT("Table1[Beginn]"),"&lt;="&amp;J$1,INDIRECT("Table1[Ende]"),"&gt;="&amp;J$1,INDIRECT("Table1[Obergruppe ATC-Code]"),Tabelle3!$A27)</f>
        <v>0</v>
      </c>
      <c r="K27">
        <f ca="1">COUNTIFS(INDIRECT("Table1[Beginn]"),"&lt;="&amp;K$1,INDIRECT("Table1[Ende]"),"&gt;="&amp;K$1,INDIRECT("Table1[Obergruppe ATC-Code]"),Tabelle3!$A27)</f>
        <v>0</v>
      </c>
      <c r="L27">
        <f ca="1">COUNTIFS(INDIRECT("Table1[Beginn]"),"&lt;="&amp;L$1,INDIRECT("Table1[Ende]"),"&gt;="&amp;L$1,INDIRECT("Table1[Obergruppe ATC-Code]"),Tabelle3!$A27)</f>
        <v>0</v>
      </c>
      <c r="M27">
        <f ca="1">COUNTIFS(INDIRECT("Table1[Beginn]"),"&lt;="&amp;M$1,INDIRECT("Table1[Ende]"),"&gt;="&amp;M$1,INDIRECT("Table1[Obergruppe ATC-Code]"),Tabelle3!$A27)</f>
        <v>0</v>
      </c>
      <c r="N27">
        <f ca="1">COUNTIFS(INDIRECT("Table1[Beginn]"),"&lt;="&amp;N$1,INDIRECT("Table1[Ende]"),"&gt;="&amp;N$1,INDIRECT("Table1[Obergruppe ATC-Code]"),Tabelle3!$A27)</f>
        <v>0</v>
      </c>
      <c r="O27">
        <f ca="1">COUNTIFS(INDIRECT("Table1[Beginn]"),"&lt;="&amp;O$1,INDIRECT("Table1[Ende]"),"&gt;="&amp;O$1,INDIRECT("Table1[Obergruppe ATC-Code]"),Tabelle3!$A27)</f>
        <v>0</v>
      </c>
      <c r="P27">
        <f ca="1">COUNTIFS(INDIRECT("Table1[Beginn]"),"&lt;="&amp;P$1,INDIRECT("Table1[Ende]"),"&gt;="&amp;P$1,INDIRECT("Table1[Obergruppe ATC-Code]"),Tabelle3!$A27)</f>
        <v>0</v>
      </c>
      <c r="Q27">
        <f ca="1">COUNTIFS(INDIRECT("Table1[Beginn]"),"&lt;="&amp;Q$1,INDIRECT("Table1[Ende]"),"&gt;="&amp;Q$1,INDIRECT("Table1[Obergruppe ATC-Code]"),Tabelle3!$A27)</f>
        <v>0</v>
      </c>
      <c r="R27">
        <f ca="1">COUNTIFS(INDIRECT("Table1[Beginn]"),"&lt;="&amp;R$1,INDIRECT("Table1[Ende]"),"&gt;="&amp;R$1,INDIRECT("Table1[Obergruppe ATC-Code]"),Tabelle3!$A27)</f>
        <v>0</v>
      </c>
      <c r="S27">
        <f ca="1">COUNTIFS(INDIRECT("Table1[Beginn]"),"&lt;="&amp;S$1,INDIRECT("Table1[Ende]"),"&gt;="&amp;S$1,INDIRECT("Table1[Obergruppe ATC-Code]"),Tabelle3!$A27)</f>
        <v>0</v>
      </c>
      <c r="T27">
        <f ca="1">COUNTIFS(INDIRECT("Table1[Beginn]"),"&lt;="&amp;T$1,INDIRECT("Table1[Ende]"),"&gt;="&amp;T$1,INDIRECT("Table1[Obergruppe ATC-Code]"),Tabelle3!$A27)</f>
        <v>0</v>
      </c>
      <c r="U27">
        <f ca="1">COUNTIFS(INDIRECT("Table1[Beginn]"),"&lt;="&amp;U$1,INDIRECT("Table1[Ende]"),"&gt;="&amp;U$1,INDIRECT("Table1[Obergruppe ATC-Code]"),Tabelle3!$A27)</f>
        <v>0</v>
      </c>
      <c r="V27">
        <f ca="1">COUNTIFS(INDIRECT("Table1[Beginn]"),"&lt;="&amp;V$1,INDIRECT("Table1[Ende]"),"&gt;="&amp;V$1,INDIRECT("Table1[Obergruppe ATC-Code]"),Tabelle3!$A27)</f>
        <v>0</v>
      </c>
      <c r="W27">
        <f ca="1">COUNTIFS(INDIRECT("Table1[Beginn]"),"&lt;="&amp;W$1,INDIRECT("Table1[Ende]"),"&gt;="&amp;W$1,INDIRECT("Table1[Obergruppe ATC-Code]"),Tabelle3!$A27)</f>
        <v>0</v>
      </c>
      <c r="X27">
        <f ca="1">COUNTIFS(INDIRECT("Table1[Beginn]"),"&lt;="&amp;X$1,INDIRECT("Table1[Ende]"),"&gt;="&amp;X$1,INDIRECT("Table1[Obergruppe ATC-Code]"),Tabelle3!$A27)</f>
        <v>0</v>
      </c>
      <c r="Y27">
        <f ca="1">COUNTIFS(INDIRECT("Table1[Beginn]"),"&lt;="&amp;Y$1,INDIRECT("Table1[Ende]"),"&gt;="&amp;Y$1,INDIRECT("Table1[Obergruppe ATC-Code]"),Tabelle3!$A27)</f>
        <v>0</v>
      </c>
      <c r="Z27">
        <f ca="1">COUNTIFS(INDIRECT("Table1[Beginn]"),"&lt;="&amp;Z$1,INDIRECT("Table1[Ende]"),"&gt;="&amp;Z$1,INDIRECT("Table1[Obergruppe ATC-Code]"),Tabelle3!$A27)</f>
        <v>0</v>
      </c>
      <c r="AA27">
        <f ca="1">COUNTIFS(INDIRECT("Table1[Beginn]"),"&lt;="&amp;AA$1,INDIRECT("Table1[Ende]"),"&gt;="&amp;AA$1,INDIRECT("Table1[Obergruppe ATC-Code]"),Tabelle3!$A27)</f>
        <v>0</v>
      </c>
      <c r="AB27">
        <f ca="1">COUNTIFS(INDIRECT("Table1[Beginn]"),"&lt;="&amp;AB$1,INDIRECT("Table1[Ende]"),"&gt;="&amp;AB$1,INDIRECT("Table1[Obergruppe ATC-Code]"),Tabelle3!$A27)</f>
        <v>0</v>
      </c>
      <c r="AC27">
        <f ca="1">COUNTIFS(INDIRECT("Table1[Beginn]"),"&lt;="&amp;AC$1,INDIRECT("Table1[Ende]"),"&gt;="&amp;AC$1,INDIRECT("Table1[Obergruppe ATC-Code]"),Tabelle3!$A27)</f>
        <v>0</v>
      </c>
      <c r="AD27">
        <f ca="1">COUNTIFS(INDIRECT("Table1[Beginn]"),"&lt;="&amp;AD$1,INDIRECT("Table1[Ende]"),"&gt;="&amp;AD$1,INDIRECT("Table1[Obergruppe ATC-Code]"),Tabelle3!$A27)</f>
        <v>0</v>
      </c>
      <c r="AE27">
        <f ca="1">COUNTIFS(INDIRECT("Table1[Beginn]"),"&lt;="&amp;AE$1,INDIRECT("Table1[Ende]"),"&gt;="&amp;AE$1,INDIRECT("Table1[Obergruppe ATC-Code]"),Tabelle3!$A27)</f>
        <v>0</v>
      </c>
      <c r="AF27">
        <f ca="1">COUNTIFS(INDIRECT("Table1[Beginn]"),"&lt;="&amp;AF$1,INDIRECT("Table1[Ende]"),"&gt;="&amp;AF$1,INDIRECT("Table1[Obergruppe ATC-Code]"),Tabelle3!$A27)</f>
        <v>0</v>
      </c>
      <c r="AG27">
        <f ca="1">COUNTIFS(INDIRECT("Table1[Beginn]"),"&lt;="&amp;AG$1,INDIRECT("Table1[Ende]"),"&gt;="&amp;AG$1,INDIRECT("Table1[Obergruppe ATC-Code]"),Tabelle3!$A27)</f>
        <v>0</v>
      </c>
      <c r="AH27">
        <f ca="1">COUNTIFS(INDIRECT("Table1[Beginn]"),"&lt;="&amp;AH$1,INDIRECT("Table1[Ende]"),"&gt;="&amp;AH$1,INDIRECT("Table1[Obergruppe ATC-Code]"),Tabelle3!$A27)</f>
        <v>0</v>
      </c>
      <c r="AI27">
        <f ca="1">COUNTIFS(INDIRECT("Table1[Beginn]"),"&lt;="&amp;AI$1,INDIRECT("Table1[Ende]"),"&gt;="&amp;AI$1,INDIRECT("Table1[Obergruppe ATC-Code]"),Tabelle3!$A27)</f>
        <v>0</v>
      </c>
      <c r="AJ27">
        <f ca="1">COUNTIFS(INDIRECT("Table1[Beginn]"),"&lt;="&amp;AJ$1,INDIRECT("Table1[Ende]"),"&gt;="&amp;AJ$1,INDIRECT("Table1[Obergruppe ATC-Code]"),Tabelle3!$A27)</f>
        <v>0</v>
      </c>
      <c r="AK27">
        <f ca="1">COUNTIFS(INDIRECT("Table1[Beginn]"),"&lt;="&amp;AK$1,INDIRECT("Table1[Ende]"),"&gt;="&amp;AK$1,INDIRECT("Table1[Obergruppe ATC-Code]"),Tabelle3!$A27)</f>
        <v>0</v>
      </c>
      <c r="AL27">
        <f ca="1">COUNTIFS(INDIRECT("Table1[Beginn]"),"&lt;="&amp;AL$1,INDIRECT("Table1[Ende]"),"&gt;="&amp;AL$1,INDIRECT("Table1[Obergruppe ATC-Code]"),Tabelle3!$A27)</f>
        <v>0</v>
      </c>
      <c r="AM27">
        <f ca="1">COUNTIFS(INDIRECT("Table1[Beginn]"),"&lt;="&amp;AM$1,INDIRECT("Table1[Ende]"),"&gt;="&amp;AM$1,INDIRECT("Table1[Obergruppe ATC-Code]"),Tabelle3!$A27)</f>
        <v>0</v>
      </c>
      <c r="AN27">
        <f ca="1">COUNTIFS(INDIRECT("Table1[Beginn]"),"&lt;="&amp;AN$1,INDIRECT("Table1[Ende]"),"&gt;="&amp;AN$1,INDIRECT("Table1[Obergruppe ATC-Code]"),Tabelle3!$A27)</f>
        <v>0</v>
      </c>
      <c r="AO27">
        <f ca="1">COUNTIFS(INDIRECT("Table1[Beginn]"),"&lt;="&amp;AO$1,INDIRECT("Table1[Ende]"),"&gt;="&amp;AO$1,INDIRECT("Table1[Obergruppe ATC-Code]"),Tabelle3!$A27)</f>
        <v>0</v>
      </c>
      <c r="AP27">
        <f ca="1">COUNTIFS(INDIRECT("Table1[Beginn]"),"&lt;="&amp;AP$1,INDIRECT("Table1[Ende]"),"&gt;="&amp;AP$1,INDIRECT("Table1[Obergruppe ATC-Code]"),Tabelle3!$A27)</f>
        <v>0</v>
      </c>
      <c r="AQ27">
        <f ca="1">COUNTIFS(INDIRECT("Table1[Beginn]"),"&lt;="&amp;AQ$1,INDIRECT("Table1[Ende]"),"&gt;="&amp;AQ$1,INDIRECT("Table1[Obergruppe ATC-Code]"),Tabelle3!$A27)</f>
        <v>0</v>
      </c>
      <c r="AR27">
        <f ca="1">COUNTIFS(INDIRECT("Table1[Beginn]"),"&lt;="&amp;AR$1,INDIRECT("Table1[Ende]"),"&gt;="&amp;AR$1,INDIRECT("Table1[Obergruppe ATC-Code]"),Tabelle3!$A27)</f>
        <v>0</v>
      </c>
      <c r="AS27">
        <f ca="1">COUNTIFS(INDIRECT("Table1[Beginn]"),"&lt;="&amp;AS$1,INDIRECT("Table1[Ende]"),"&gt;="&amp;AS$1,INDIRECT("Table1[Obergruppe ATC-Code]"),Tabelle3!$A27)</f>
        <v>0</v>
      </c>
      <c r="AT27">
        <f ca="1">COUNTIFS(INDIRECT("Table1[Beginn]"),"&lt;="&amp;AT$1,INDIRECT("Table1[Ende]"),"&gt;="&amp;AT$1,INDIRECT("Table1[Obergruppe ATC-Code]"),Tabelle3!$A27)</f>
        <v>0</v>
      </c>
      <c r="AU27">
        <f ca="1">COUNTIFS(INDIRECT("Table1[Beginn]"),"&lt;="&amp;AU$1,INDIRECT("Table1[Ende]"),"&gt;="&amp;AU$1,INDIRECT("Table1[Obergruppe ATC-Code]"),Tabelle3!$A27)</f>
        <v>0</v>
      </c>
      <c r="AV27">
        <f ca="1">COUNTIFS(INDIRECT("Table1[Beginn]"),"&lt;="&amp;AV$1,INDIRECT("Table1[Ende]"),"&gt;="&amp;AV$1,INDIRECT("Table1[Obergruppe ATC-Code]"),Tabelle3!$A27)</f>
        <v>1</v>
      </c>
      <c r="AW27">
        <f ca="1">COUNTIFS(INDIRECT("Table1[Beginn]"),"&lt;="&amp;AW$1,INDIRECT("Table1[Ende]"),"&gt;="&amp;AW$1,INDIRECT("Table1[Obergruppe ATC-Code]"),Tabelle3!$A27)</f>
        <v>1</v>
      </c>
      <c r="AX27">
        <f ca="1">COUNTIFS(INDIRECT("Table1[Beginn]"),"&lt;="&amp;AX$1,INDIRECT("Table1[Ende]"),"&gt;="&amp;AX$1,INDIRECT("Table1[Obergruppe ATC-Code]"),Tabelle3!$A27)</f>
        <v>1</v>
      </c>
      <c r="AY27">
        <f ca="1">COUNTIFS(INDIRECT("Table1[Beginn]"),"&lt;="&amp;AY$1,INDIRECT("Table1[Ende]"),"&gt;="&amp;AY$1,INDIRECT("Table1[Obergruppe ATC-Code]"),Tabelle3!$A27)</f>
        <v>0</v>
      </c>
      <c r="AZ27">
        <f ca="1">COUNTIFS(INDIRECT("Table1[Beginn]"),"&lt;="&amp;AZ$1,INDIRECT("Table1[Ende]"),"&gt;="&amp;AZ$1,INDIRECT("Table1[Obergruppe ATC-Code]"),Tabelle3!$A27)</f>
        <v>0</v>
      </c>
      <c r="BA27">
        <f ca="1">COUNTIFS(INDIRECT("Table1[Beginn]"),"&lt;="&amp;BA$1,INDIRECT("Table1[Ende]"),"&gt;="&amp;BA$1,INDIRECT("Table1[Obergruppe ATC-Code]"),Tabelle3!$A27)</f>
        <v>0</v>
      </c>
      <c r="BB27">
        <f ca="1">COUNTIFS(INDIRECT("Table1[Beginn]"),"&lt;="&amp;BB$1,INDIRECT("Table1[Ende]"),"&gt;="&amp;BB$1,INDIRECT("Table1[Obergruppe ATC-Code]"),Tabelle3!$A27)</f>
        <v>0</v>
      </c>
      <c r="BC27">
        <f ca="1">COUNTIFS(INDIRECT("Table1[Beginn]"),"&lt;="&amp;BC$1,INDIRECT("Table1[Ende]"),"&gt;="&amp;BC$1,INDIRECT("Table1[Obergruppe ATC-Code]"),Tabelle3!$A27)</f>
        <v>0</v>
      </c>
      <c r="BD27">
        <f ca="1">COUNTIFS(INDIRECT("Table1[Beginn]"),"&lt;="&amp;BD$1,INDIRECT("Table1[Ende]"),"&gt;="&amp;BD$1,INDIRECT("Table1[Obergruppe ATC-Code]"),Tabelle3!$A27)</f>
        <v>0</v>
      </c>
      <c r="BE27">
        <f ca="1">COUNTIFS(INDIRECT("Table1[Beginn]"),"&lt;="&amp;BE$1,INDIRECT("Table1[Ende]"),"&gt;="&amp;BE$1,INDIRECT("Table1[Obergruppe ATC-Code]"),Tabelle3!$A27)</f>
        <v>0</v>
      </c>
      <c r="BF27">
        <f ca="1">COUNTIFS(INDIRECT("Table1[Beginn]"),"&lt;="&amp;BF$1,INDIRECT("Table1[Ende]"),"&gt;="&amp;BF$1,INDIRECT("Table1[Obergruppe ATC-Code]"),Tabelle3!$A27)</f>
        <v>0</v>
      </c>
      <c r="BG27">
        <f ca="1">COUNTIFS(INDIRECT("Table1[Beginn]"),"&lt;="&amp;BG$1,INDIRECT("Table1[Ende]"),"&gt;="&amp;BG$1,INDIRECT("Table1[Obergruppe ATC-Code]"),Tabelle3!$A27)</f>
        <v>0</v>
      </c>
      <c r="BH27">
        <f ca="1">COUNTIFS(INDIRECT("Table1[Beginn]"),"&lt;="&amp;BH$1,INDIRECT("Table1[Ende]"),"&gt;="&amp;BH$1,INDIRECT("Table1[Obergruppe ATC-Code]"),Tabelle3!$A27)</f>
        <v>0</v>
      </c>
      <c r="BI27">
        <f ca="1">COUNTIFS(INDIRECT("Table1[Beginn]"),"&lt;="&amp;BI$1,INDIRECT("Table1[Ende]"),"&gt;="&amp;BI$1,INDIRECT("Table1[Obergruppe ATC-Code]"),Tabelle3!$A27)</f>
        <v>0</v>
      </c>
      <c r="BJ27">
        <f ca="1">COUNTIFS(INDIRECT("Table1[Beginn]"),"&lt;="&amp;BJ$1,INDIRECT("Table1[Ende]"),"&gt;="&amp;BJ$1,INDIRECT("Table1[Obergruppe ATC-Code]"),Tabelle3!$A27)</f>
        <v>0</v>
      </c>
      <c r="BK27">
        <f ca="1">COUNTIFS(INDIRECT("Table1[Beginn]"),"&lt;="&amp;BK$1,INDIRECT("Table1[Ende]"),"&gt;="&amp;BK$1,INDIRECT("Table1[Obergruppe ATC-Code]"),Tabelle3!$A27)</f>
        <v>0</v>
      </c>
      <c r="BL27">
        <f ca="1">COUNTIFS(INDIRECT("Table1[Beginn]"),"&lt;="&amp;BL$1,INDIRECT("Table1[Ende]"),"&gt;="&amp;BL$1,INDIRECT("Table1[Obergruppe ATC-Code]"),Tabelle3!$A27)</f>
        <v>0</v>
      </c>
      <c r="BM27">
        <f ca="1">COUNTIFS(INDIRECT("Table1[Beginn]"),"&lt;="&amp;BM$1,INDIRECT("Table1[Ende]"),"&gt;="&amp;BM$1,INDIRECT("Table1[Obergruppe ATC-Code]"),Tabelle3!$A27)</f>
        <v>0</v>
      </c>
      <c r="BN27">
        <f ca="1">COUNTIFS(INDIRECT("Table1[Beginn]"),"&lt;="&amp;BN$1,INDIRECT("Table1[Ende]"),"&gt;="&amp;BN$1,INDIRECT("Table1[Obergruppe ATC-Code]"),Tabelle3!$A27)</f>
        <v>0</v>
      </c>
      <c r="BO27">
        <f ca="1">COUNTIFS(INDIRECT("Table1[Beginn]"),"&lt;="&amp;BO$1,INDIRECT("Table1[Ende]"),"&gt;="&amp;BO$1,INDIRECT("Table1[Obergruppe ATC-Code]"),Tabelle3!$A27)</f>
        <v>0</v>
      </c>
      <c r="BP27">
        <f ca="1">COUNTIFS(INDIRECT("Table1[Beginn]"),"&lt;="&amp;BP$1,INDIRECT("Table1[Ende]"),"&gt;="&amp;BP$1,INDIRECT("Table1[Obergruppe ATC-Code]"),Tabelle3!$A27)</f>
        <v>0</v>
      </c>
      <c r="BQ27">
        <f ca="1">COUNTIFS(INDIRECT("Table1[Beginn]"),"&lt;="&amp;BQ$1,INDIRECT("Table1[Ende]"),"&gt;="&amp;BQ$1,INDIRECT("Table1[Obergruppe ATC-Code]"),Tabelle3!$A27)</f>
        <v>0</v>
      </c>
      <c r="BR27">
        <f ca="1">COUNTIFS(INDIRECT("Table1[Beginn]"),"&lt;="&amp;BR$1,INDIRECT("Table1[Ende]"),"&gt;="&amp;BR$1,INDIRECT("Table1[Obergruppe ATC-Code]"),Tabelle3!$A27)</f>
        <v>0</v>
      </c>
      <c r="BS27">
        <f ca="1">COUNTIFS(INDIRECT("Table1[Beginn]"),"&lt;="&amp;BS$1,INDIRECT("Table1[Ende]"),"&gt;="&amp;BS$1,INDIRECT("Table1[Obergruppe ATC-Code]"),Tabelle3!$A27)</f>
        <v>1</v>
      </c>
      <c r="BT27">
        <f ca="1">COUNTIFS(INDIRECT("Table1[Beginn]"),"&lt;="&amp;BT$1,INDIRECT("Table1[Ende]"),"&gt;="&amp;BT$1,INDIRECT("Table1[Obergruppe ATC-Code]"),Tabelle3!$A27)</f>
        <v>0</v>
      </c>
      <c r="BU27">
        <f ca="1">COUNTIFS(INDIRECT("Table1[Beginn]"),"&lt;="&amp;BU$1,INDIRECT("Table1[Ende]"),"&gt;="&amp;BU$1,INDIRECT("Table1[Obergruppe ATC-Code]"),Tabelle3!$A27)</f>
        <v>0</v>
      </c>
      <c r="BV27">
        <f ca="1">COUNTIFS(INDIRECT("Table1[Beginn]"),"&lt;="&amp;BV$1,INDIRECT("Table1[Ende]"),"&gt;="&amp;BV$1,INDIRECT("Table1[Obergruppe ATC-Code]"),Tabelle3!$A27)</f>
        <v>0</v>
      </c>
      <c r="BW27">
        <f ca="1">COUNTIFS(INDIRECT("Table1[Beginn]"),"&lt;="&amp;BW$1,INDIRECT("Table1[Ende]"),"&gt;="&amp;BW$1,INDIRECT("Table1[Obergruppe ATC-Code]"),Tabelle3!$A27)</f>
        <v>0</v>
      </c>
      <c r="BX27">
        <f ca="1">COUNTIFS(INDIRECT("Table1[Beginn]"),"&lt;="&amp;BX$1,INDIRECT("Table1[Ende]"),"&gt;="&amp;BX$1,INDIRECT("Table1[Obergruppe ATC-Code]"),Tabelle3!$A27)</f>
        <v>0</v>
      </c>
      <c r="BY27">
        <f ca="1">COUNTIFS(INDIRECT("Table1[Beginn]"),"&lt;="&amp;BY$1,INDIRECT("Table1[Ende]"),"&gt;="&amp;BY$1,INDIRECT("Table1[Obergruppe ATC-Code]"),Tabelle3!$A27)</f>
        <v>0</v>
      </c>
      <c r="BZ27">
        <f ca="1">COUNTIFS(INDIRECT("Table1[Beginn]"),"&lt;="&amp;BZ$1,INDIRECT("Table1[Ende]"),"&gt;="&amp;BZ$1,INDIRECT("Table1[Obergruppe ATC-Code]"),Tabelle3!$A27)</f>
        <v>0</v>
      </c>
      <c r="CA27">
        <f ca="1">COUNTIFS(INDIRECT("Table1[Beginn]"),"&lt;="&amp;CA$1,INDIRECT("Table1[Ende]"),"&gt;="&amp;CA$1,INDIRECT("Table1[Obergruppe ATC-Code]"),Tabelle3!$A27)</f>
        <v>0</v>
      </c>
      <c r="CB27">
        <f ca="1">COUNTIFS(INDIRECT("Table1[Beginn]"),"&lt;="&amp;CB$1,INDIRECT("Table1[Ende]"),"&gt;="&amp;CB$1,INDIRECT("Table1[Obergruppe ATC-Code]"),Tabelle3!$A27)</f>
        <v>0</v>
      </c>
      <c r="CC27">
        <f ca="1">COUNTIFS(INDIRECT("Table1[Beginn]"),"&lt;="&amp;CC$1,INDIRECT("Table1[Ende]"),"&gt;="&amp;CC$1,INDIRECT("Table1[Obergruppe ATC-Code]"),Tabelle3!$A27)</f>
        <v>0</v>
      </c>
      <c r="CD27">
        <f ca="1">COUNTIFS(INDIRECT("Table1[Beginn]"),"&lt;="&amp;CD$1,INDIRECT("Table1[Ende]"),"&gt;="&amp;CD$1,INDIRECT("Table1[Obergruppe ATC-Code]"),Tabelle3!$A27)</f>
        <v>1</v>
      </c>
      <c r="CE27">
        <f ca="1">COUNTIFS(INDIRECT("Table1[Beginn]"),"&lt;="&amp;CE$1,INDIRECT("Table1[Ende]"),"&gt;="&amp;CE$1,INDIRECT("Table1[Obergruppe ATC-Code]"),Tabelle3!$A27)</f>
        <v>1</v>
      </c>
      <c r="CF27">
        <f ca="1">COUNTIFS(INDIRECT("Table1[Beginn]"),"&lt;="&amp;CF$1,INDIRECT("Table1[Ende]"),"&gt;="&amp;CF$1,INDIRECT("Table1[Obergruppe ATC-Code]"),Tabelle3!$A27)</f>
        <v>0</v>
      </c>
      <c r="CG27">
        <f ca="1">COUNTIFS(INDIRECT("Table1[Beginn]"),"&lt;="&amp;CG$1,INDIRECT("Table1[Ende]"),"&gt;="&amp;CG$1,INDIRECT("Table1[Obergruppe ATC-Code]"),Tabelle3!$A27)</f>
        <v>0</v>
      </c>
      <c r="CH27">
        <f ca="1">COUNTIFS(INDIRECT("Table1[Beginn]"),"&lt;="&amp;CH$1,INDIRECT("Table1[Ende]"),"&gt;="&amp;CH$1,INDIRECT("Table1[Obergruppe ATC-Code]"),Tabelle3!$A27)</f>
        <v>0</v>
      </c>
      <c r="CI27">
        <f ca="1">COUNTIFS(INDIRECT("Table1[Beginn]"),"&lt;="&amp;CI$1,INDIRECT("Table1[Ende]"),"&gt;="&amp;CI$1,INDIRECT("Table1[Obergruppe ATC-Code]"),Tabelle3!$A27)</f>
        <v>0</v>
      </c>
      <c r="CJ27">
        <f ca="1">COUNTIFS(INDIRECT("Table1[Beginn]"),"&lt;="&amp;CJ$1,INDIRECT("Table1[Ende]"),"&gt;="&amp;CJ$1,INDIRECT("Table1[Obergruppe ATC-Code]"),Tabelle3!$A27)</f>
        <v>0</v>
      </c>
      <c r="CK27">
        <f ca="1">COUNTIFS(INDIRECT("Table1[Beginn]"),"&lt;="&amp;CK$1,INDIRECT("Table1[Ende]"),"&gt;="&amp;CK$1,INDIRECT("Table1[Obergruppe ATC-Code]"),Tabelle3!$A27)</f>
        <v>0</v>
      </c>
      <c r="CL27">
        <f ca="1">COUNTIFS(INDIRECT("Table1[Beginn]"),"&lt;="&amp;CL$1,INDIRECT("Table1[Ende]"),"&gt;="&amp;CL$1,INDIRECT("Table1[Obergruppe ATC-Code]"),Tabelle3!$A27)</f>
        <v>0</v>
      </c>
      <c r="CM27">
        <f ca="1">COUNTIFS(INDIRECT("Table1[Beginn]"),"&lt;="&amp;CM$1,INDIRECT("Table1[Ende]"),"&gt;="&amp;CM$1,INDIRECT("Table1[Obergruppe ATC-Code]"),Tabelle3!$A27)</f>
        <v>0</v>
      </c>
      <c r="CN27">
        <f ca="1">COUNTIFS(INDIRECT("Table1[Beginn]"),"&lt;="&amp;CN$1,INDIRECT("Table1[Ende]"),"&gt;="&amp;CN$1,INDIRECT("Table1[Obergruppe ATC-Code]"),Tabelle3!$A27)</f>
        <v>0</v>
      </c>
      <c r="CO27">
        <f ca="1">COUNTIFS(INDIRECT("Table1[Beginn]"),"&lt;="&amp;CO$1,INDIRECT("Table1[Ende]"),"&gt;="&amp;CO$1,INDIRECT("Table1[Obergruppe ATC-Code]"),Tabelle3!$A27)</f>
        <v>0</v>
      </c>
      <c r="CP27">
        <f ca="1">COUNTIFS(INDIRECT("Table1[Beginn]"),"&lt;="&amp;CP$1,INDIRECT("Table1[Ende]"),"&gt;="&amp;CP$1,INDIRECT("Table1[Obergruppe ATC-Code]"),Tabelle3!$A27)</f>
        <v>0</v>
      </c>
      <c r="CQ27">
        <f ca="1">COUNTIFS(INDIRECT("Table1[Beginn]"),"&lt;="&amp;CQ$1,INDIRECT("Table1[Ende]"),"&gt;="&amp;CQ$1,INDIRECT("Table1[Obergruppe ATC-Code]"),Tabelle3!$A27)</f>
        <v>0</v>
      </c>
      <c r="CR27">
        <f ca="1">COUNTIFS(INDIRECT("Table1[Beginn]"),"&lt;="&amp;CR$1,INDIRECT("Table1[Ende]"),"&gt;="&amp;CR$1,INDIRECT("Table1[Obergruppe ATC-Code]"),Tabelle3!$A27)</f>
        <v>0</v>
      </c>
      <c r="CS27">
        <f ca="1">COUNTIFS(INDIRECT("Table1[Beginn]"),"&lt;="&amp;CS$1,INDIRECT("Table1[Ende]"),"&gt;="&amp;CS$1,INDIRECT("Table1[Obergruppe ATC-Code]"),Tabelle3!$A27)</f>
        <v>0</v>
      </c>
      <c r="CT27">
        <f ca="1">COUNTIFS(INDIRECT("Table1[Beginn]"),"&lt;="&amp;CT$1,INDIRECT("Table1[Ende]"),"&gt;="&amp;CT$1,INDIRECT("Table1[Obergruppe ATC-Code]"),Tabelle3!$A27)</f>
        <v>0</v>
      </c>
      <c r="CU27" s="54"/>
      <c r="CV27" s="54"/>
      <c r="CW27" s="54"/>
      <c r="CX27" s="54"/>
      <c r="CY27" s="54"/>
      <c r="CZ27" s="54"/>
      <c r="DA27" s="54"/>
      <c r="DB27" s="54"/>
      <c r="DC27" s="54"/>
      <c r="DD27" s="54"/>
      <c r="DE27" s="54"/>
      <c r="DF27" s="54"/>
      <c r="DG27" s="54"/>
      <c r="DH27" s="54"/>
    </row>
    <row r="28" spans="1:112" ht="18" customHeight="1">
      <c r="A28" s="7" t="s">
        <v>6824</v>
      </c>
      <c r="B28" s="8" t="s">
        <v>6825</v>
      </c>
      <c r="C28">
        <f ca="1">COUNTIFS(INDIRECT("Table1[Beginn]"),"&lt;="&amp;C$1,INDIRECT("Table1[Ende]"),"&gt;="&amp;C$1,INDIRECT("Table1[Obergruppe ATC-Code]"),Tabelle3!$A28)</f>
        <v>0</v>
      </c>
      <c r="D28">
        <f ca="1">COUNTIFS(INDIRECT("Table1[Beginn]"),"&lt;="&amp;D$1,INDIRECT("Table1[Ende]"),"&gt;="&amp;D$1,INDIRECT("Table1[Obergruppe ATC-Code]"),Tabelle3!$A28)</f>
        <v>0</v>
      </c>
      <c r="E28">
        <f ca="1">COUNTIFS(INDIRECT("Table1[Beginn]"),"&lt;="&amp;E$1,INDIRECT("Table1[Ende]"),"&gt;="&amp;E$1,INDIRECT("Table1[Obergruppe ATC-Code]"),Tabelle3!$A28)</f>
        <v>0</v>
      </c>
      <c r="F28">
        <f ca="1">COUNTIFS(INDIRECT("Table1[Beginn]"),"&lt;="&amp;F$1,INDIRECT("Table1[Ende]"),"&gt;="&amp;F$1,INDIRECT("Table1[Obergruppe ATC-Code]"),Tabelle3!$A28)</f>
        <v>0</v>
      </c>
      <c r="G28">
        <f ca="1">COUNTIFS(INDIRECT("Table1[Beginn]"),"&lt;="&amp;G$1,INDIRECT("Table1[Ende]"),"&gt;="&amp;G$1,INDIRECT("Table1[Obergruppe ATC-Code]"),Tabelle3!$A28)</f>
        <v>0</v>
      </c>
      <c r="H28">
        <f ca="1">COUNTIFS(INDIRECT("Table1[Beginn]"),"&lt;="&amp;H$1,INDIRECT("Table1[Ende]"),"&gt;="&amp;H$1,INDIRECT("Table1[Obergruppe ATC-Code]"),Tabelle3!$A28)</f>
        <v>0</v>
      </c>
      <c r="I28">
        <f ca="1">COUNTIFS(INDIRECT("Table1[Beginn]"),"&lt;="&amp;I$1,INDIRECT("Table1[Ende]"),"&gt;="&amp;I$1,INDIRECT("Table1[Obergruppe ATC-Code]"),Tabelle3!$A28)</f>
        <v>0</v>
      </c>
      <c r="J28">
        <f ca="1">COUNTIFS(INDIRECT("Table1[Beginn]"),"&lt;="&amp;J$1,INDIRECT("Table1[Ende]"),"&gt;="&amp;J$1,INDIRECT("Table1[Obergruppe ATC-Code]"),Tabelle3!$A28)</f>
        <v>0</v>
      </c>
      <c r="K28">
        <f ca="1">COUNTIFS(INDIRECT("Table1[Beginn]"),"&lt;="&amp;K$1,INDIRECT("Table1[Ende]"),"&gt;="&amp;K$1,INDIRECT("Table1[Obergruppe ATC-Code]"),Tabelle3!$A28)</f>
        <v>0</v>
      </c>
      <c r="L28">
        <f ca="1">COUNTIFS(INDIRECT("Table1[Beginn]"),"&lt;="&amp;L$1,INDIRECT("Table1[Ende]"),"&gt;="&amp;L$1,INDIRECT("Table1[Obergruppe ATC-Code]"),Tabelle3!$A28)</f>
        <v>0</v>
      </c>
      <c r="M28">
        <f ca="1">COUNTIFS(INDIRECT("Table1[Beginn]"),"&lt;="&amp;M$1,INDIRECT("Table1[Ende]"),"&gt;="&amp;M$1,INDIRECT("Table1[Obergruppe ATC-Code]"),Tabelle3!$A28)</f>
        <v>0</v>
      </c>
      <c r="N28">
        <f ca="1">COUNTIFS(INDIRECT("Table1[Beginn]"),"&lt;="&amp;N$1,INDIRECT("Table1[Ende]"),"&gt;="&amp;N$1,INDIRECT("Table1[Obergruppe ATC-Code]"),Tabelle3!$A28)</f>
        <v>0</v>
      </c>
      <c r="O28">
        <f ca="1">COUNTIFS(INDIRECT("Table1[Beginn]"),"&lt;="&amp;O$1,INDIRECT("Table1[Ende]"),"&gt;="&amp;O$1,INDIRECT("Table1[Obergruppe ATC-Code]"),Tabelle3!$A28)</f>
        <v>0</v>
      </c>
      <c r="P28">
        <f ca="1">COUNTIFS(INDIRECT("Table1[Beginn]"),"&lt;="&amp;P$1,INDIRECT("Table1[Ende]"),"&gt;="&amp;P$1,INDIRECT("Table1[Obergruppe ATC-Code]"),Tabelle3!$A28)</f>
        <v>0</v>
      </c>
      <c r="Q28">
        <f ca="1">COUNTIFS(INDIRECT("Table1[Beginn]"),"&lt;="&amp;Q$1,INDIRECT("Table1[Ende]"),"&gt;="&amp;Q$1,INDIRECT("Table1[Obergruppe ATC-Code]"),Tabelle3!$A28)</f>
        <v>0</v>
      </c>
      <c r="R28">
        <f ca="1">COUNTIFS(INDIRECT("Table1[Beginn]"),"&lt;="&amp;R$1,INDIRECT("Table1[Ende]"),"&gt;="&amp;R$1,INDIRECT("Table1[Obergruppe ATC-Code]"),Tabelle3!$A28)</f>
        <v>0</v>
      </c>
      <c r="S28">
        <f ca="1">COUNTIFS(INDIRECT("Table1[Beginn]"),"&lt;="&amp;S$1,INDIRECT("Table1[Ende]"),"&gt;="&amp;S$1,INDIRECT("Table1[Obergruppe ATC-Code]"),Tabelle3!$A28)</f>
        <v>0</v>
      </c>
      <c r="T28">
        <f ca="1">COUNTIFS(INDIRECT("Table1[Beginn]"),"&lt;="&amp;T$1,INDIRECT("Table1[Ende]"),"&gt;="&amp;T$1,INDIRECT("Table1[Obergruppe ATC-Code]"),Tabelle3!$A28)</f>
        <v>0</v>
      </c>
      <c r="U28">
        <f ca="1">COUNTIFS(INDIRECT("Table1[Beginn]"),"&lt;="&amp;U$1,INDIRECT("Table1[Ende]"),"&gt;="&amp;U$1,INDIRECT("Table1[Obergruppe ATC-Code]"),Tabelle3!$A28)</f>
        <v>0</v>
      </c>
      <c r="V28">
        <f ca="1">COUNTIFS(INDIRECT("Table1[Beginn]"),"&lt;="&amp;V$1,INDIRECT("Table1[Ende]"),"&gt;="&amp;V$1,INDIRECT("Table1[Obergruppe ATC-Code]"),Tabelle3!$A28)</f>
        <v>0</v>
      </c>
      <c r="W28">
        <f ca="1">COUNTIFS(INDIRECT("Table1[Beginn]"),"&lt;="&amp;W$1,INDIRECT("Table1[Ende]"),"&gt;="&amp;W$1,INDIRECT("Table1[Obergruppe ATC-Code]"),Tabelle3!$A28)</f>
        <v>0</v>
      </c>
      <c r="X28">
        <f ca="1">COUNTIFS(INDIRECT("Table1[Beginn]"),"&lt;="&amp;X$1,INDIRECT("Table1[Ende]"),"&gt;="&amp;X$1,INDIRECT("Table1[Obergruppe ATC-Code]"),Tabelle3!$A28)</f>
        <v>0</v>
      </c>
      <c r="Y28">
        <f ca="1">COUNTIFS(INDIRECT("Table1[Beginn]"),"&lt;="&amp;Y$1,INDIRECT("Table1[Ende]"),"&gt;="&amp;Y$1,INDIRECT("Table1[Obergruppe ATC-Code]"),Tabelle3!$A28)</f>
        <v>0</v>
      </c>
      <c r="Z28">
        <f ca="1">COUNTIFS(INDIRECT("Table1[Beginn]"),"&lt;="&amp;Z$1,INDIRECT("Table1[Ende]"),"&gt;="&amp;Z$1,INDIRECT("Table1[Obergruppe ATC-Code]"),Tabelle3!$A28)</f>
        <v>0</v>
      </c>
      <c r="AA28">
        <f ca="1">COUNTIFS(INDIRECT("Table1[Beginn]"),"&lt;="&amp;AA$1,INDIRECT("Table1[Ende]"),"&gt;="&amp;AA$1,INDIRECT("Table1[Obergruppe ATC-Code]"),Tabelle3!$A28)</f>
        <v>0</v>
      </c>
      <c r="AB28">
        <f ca="1">COUNTIFS(INDIRECT("Table1[Beginn]"),"&lt;="&amp;AB$1,INDIRECT("Table1[Ende]"),"&gt;="&amp;AB$1,INDIRECT("Table1[Obergruppe ATC-Code]"),Tabelle3!$A28)</f>
        <v>0</v>
      </c>
      <c r="AC28">
        <f ca="1">COUNTIFS(INDIRECT("Table1[Beginn]"),"&lt;="&amp;AC$1,INDIRECT("Table1[Ende]"),"&gt;="&amp;AC$1,INDIRECT("Table1[Obergruppe ATC-Code]"),Tabelle3!$A28)</f>
        <v>0</v>
      </c>
      <c r="AD28">
        <f ca="1">COUNTIFS(INDIRECT("Table1[Beginn]"),"&lt;="&amp;AD$1,INDIRECT("Table1[Ende]"),"&gt;="&amp;AD$1,INDIRECT("Table1[Obergruppe ATC-Code]"),Tabelle3!$A28)</f>
        <v>0</v>
      </c>
      <c r="AE28">
        <f ca="1">COUNTIFS(INDIRECT("Table1[Beginn]"),"&lt;="&amp;AE$1,INDIRECT("Table1[Ende]"),"&gt;="&amp;AE$1,INDIRECT("Table1[Obergruppe ATC-Code]"),Tabelle3!$A28)</f>
        <v>0</v>
      </c>
      <c r="AF28">
        <f ca="1">COUNTIFS(INDIRECT("Table1[Beginn]"),"&lt;="&amp;AF$1,INDIRECT("Table1[Ende]"),"&gt;="&amp;AF$1,INDIRECT("Table1[Obergruppe ATC-Code]"),Tabelle3!$A28)</f>
        <v>0</v>
      </c>
      <c r="AG28">
        <f ca="1">COUNTIFS(INDIRECT("Table1[Beginn]"),"&lt;="&amp;AG$1,INDIRECT("Table1[Ende]"),"&gt;="&amp;AG$1,INDIRECT("Table1[Obergruppe ATC-Code]"),Tabelle3!$A28)</f>
        <v>0</v>
      </c>
      <c r="AH28">
        <f ca="1">COUNTIFS(INDIRECT("Table1[Beginn]"),"&lt;="&amp;AH$1,INDIRECT("Table1[Ende]"),"&gt;="&amp;AH$1,INDIRECT("Table1[Obergruppe ATC-Code]"),Tabelle3!$A28)</f>
        <v>0</v>
      </c>
      <c r="AI28">
        <f ca="1">COUNTIFS(INDIRECT("Table1[Beginn]"),"&lt;="&amp;AI$1,INDIRECT("Table1[Ende]"),"&gt;="&amp;AI$1,INDIRECT("Table1[Obergruppe ATC-Code]"),Tabelle3!$A28)</f>
        <v>0</v>
      </c>
      <c r="AJ28">
        <f ca="1">COUNTIFS(INDIRECT("Table1[Beginn]"),"&lt;="&amp;AJ$1,INDIRECT("Table1[Ende]"),"&gt;="&amp;AJ$1,INDIRECT("Table1[Obergruppe ATC-Code]"),Tabelle3!$A28)</f>
        <v>0</v>
      </c>
      <c r="AK28">
        <f ca="1">COUNTIFS(INDIRECT("Table1[Beginn]"),"&lt;="&amp;AK$1,INDIRECT("Table1[Ende]"),"&gt;="&amp;AK$1,INDIRECT("Table1[Obergruppe ATC-Code]"),Tabelle3!$A28)</f>
        <v>0</v>
      </c>
      <c r="AL28">
        <f ca="1">COUNTIFS(INDIRECT("Table1[Beginn]"),"&lt;="&amp;AL$1,INDIRECT("Table1[Ende]"),"&gt;="&amp;AL$1,INDIRECT("Table1[Obergruppe ATC-Code]"),Tabelle3!$A28)</f>
        <v>0</v>
      </c>
      <c r="AM28">
        <f ca="1">COUNTIFS(INDIRECT("Table1[Beginn]"),"&lt;="&amp;AM$1,INDIRECT("Table1[Ende]"),"&gt;="&amp;AM$1,INDIRECT("Table1[Obergruppe ATC-Code]"),Tabelle3!$A28)</f>
        <v>0</v>
      </c>
      <c r="AN28">
        <f ca="1">COUNTIFS(INDIRECT("Table1[Beginn]"),"&lt;="&amp;AN$1,INDIRECT("Table1[Ende]"),"&gt;="&amp;AN$1,INDIRECT("Table1[Obergruppe ATC-Code]"),Tabelle3!$A28)</f>
        <v>0</v>
      </c>
      <c r="AO28">
        <f ca="1">COUNTIFS(INDIRECT("Table1[Beginn]"),"&lt;="&amp;AO$1,INDIRECT("Table1[Ende]"),"&gt;="&amp;AO$1,INDIRECT("Table1[Obergruppe ATC-Code]"),Tabelle3!$A28)</f>
        <v>0</v>
      </c>
      <c r="AP28">
        <f ca="1">COUNTIFS(INDIRECT("Table1[Beginn]"),"&lt;="&amp;AP$1,INDIRECT("Table1[Ende]"),"&gt;="&amp;AP$1,INDIRECT("Table1[Obergruppe ATC-Code]"),Tabelle3!$A28)</f>
        <v>0</v>
      </c>
      <c r="AQ28">
        <f ca="1">COUNTIFS(INDIRECT("Table1[Beginn]"),"&lt;="&amp;AQ$1,INDIRECT("Table1[Ende]"),"&gt;="&amp;AQ$1,INDIRECT("Table1[Obergruppe ATC-Code]"),Tabelle3!$A28)</f>
        <v>0</v>
      </c>
      <c r="AR28">
        <f ca="1">COUNTIFS(INDIRECT("Table1[Beginn]"),"&lt;="&amp;AR$1,INDIRECT("Table1[Ende]"),"&gt;="&amp;AR$1,INDIRECT("Table1[Obergruppe ATC-Code]"),Tabelle3!$A28)</f>
        <v>0</v>
      </c>
      <c r="AS28">
        <f ca="1">COUNTIFS(INDIRECT("Table1[Beginn]"),"&lt;="&amp;AS$1,INDIRECT("Table1[Ende]"),"&gt;="&amp;AS$1,INDIRECT("Table1[Obergruppe ATC-Code]"),Tabelle3!$A28)</f>
        <v>0</v>
      </c>
      <c r="AT28">
        <f ca="1">COUNTIFS(INDIRECT("Table1[Beginn]"),"&lt;="&amp;AT$1,INDIRECT("Table1[Ende]"),"&gt;="&amp;AT$1,INDIRECT("Table1[Obergruppe ATC-Code]"),Tabelle3!$A28)</f>
        <v>0</v>
      </c>
      <c r="AU28">
        <f ca="1">COUNTIFS(INDIRECT("Table1[Beginn]"),"&lt;="&amp;AU$1,INDIRECT("Table1[Ende]"),"&gt;="&amp;AU$1,INDIRECT("Table1[Obergruppe ATC-Code]"),Tabelle3!$A28)</f>
        <v>0</v>
      </c>
      <c r="AV28">
        <f ca="1">COUNTIFS(INDIRECT("Table1[Beginn]"),"&lt;="&amp;AV$1,INDIRECT("Table1[Ende]"),"&gt;="&amp;AV$1,INDIRECT("Table1[Obergruppe ATC-Code]"),Tabelle3!$A28)</f>
        <v>0</v>
      </c>
      <c r="AW28">
        <f ca="1">COUNTIFS(INDIRECT("Table1[Beginn]"),"&lt;="&amp;AW$1,INDIRECT("Table1[Ende]"),"&gt;="&amp;AW$1,INDIRECT("Table1[Obergruppe ATC-Code]"),Tabelle3!$A28)</f>
        <v>0</v>
      </c>
      <c r="AX28">
        <f ca="1">COUNTIFS(INDIRECT("Table1[Beginn]"),"&lt;="&amp;AX$1,INDIRECT("Table1[Ende]"),"&gt;="&amp;AX$1,INDIRECT("Table1[Obergruppe ATC-Code]"),Tabelle3!$A28)</f>
        <v>0</v>
      </c>
      <c r="AY28">
        <f ca="1">COUNTIFS(INDIRECT("Table1[Beginn]"),"&lt;="&amp;AY$1,INDIRECT("Table1[Ende]"),"&gt;="&amp;AY$1,INDIRECT("Table1[Obergruppe ATC-Code]"),Tabelle3!$A28)</f>
        <v>0</v>
      </c>
      <c r="AZ28">
        <f ca="1">COUNTIFS(INDIRECT("Table1[Beginn]"),"&lt;="&amp;AZ$1,INDIRECT("Table1[Ende]"),"&gt;="&amp;AZ$1,INDIRECT("Table1[Obergruppe ATC-Code]"),Tabelle3!$A28)</f>
        <v>0</v>
      </c>
      <c r="BA28">
        <f ca="1">COUNTIFS(INDIRECT("Table1[Beginn]"),"&lt;="&amp;BA$1,INDIRECT("Table1[Ende]"),"&gt;="&amp;BA$1,INDIRECT("Table1[Obergruppe ATC-Code]"),Tabelle3!$A28)</f>
        <v>0</v>
      </c>
      <c r="BB28">
        <f ca="1">COUNTIFS(INDIRECT("Table1[Beginn]"),"&lt;="&amp;BB$1,INDIRECT("Table1[Ende]"),"&gt;="&amp;BB$1,INDIRECT("Table1[Obergruppe ATC-Code]"),Tabelle3!$A28)</f>
        <v>0</v>
      </c>
      <c r="BC28">
        <f ca="1">COUNTIFS(INDIRECT("Table1[Beginn]"),"&lt;="&amp;BC$1,INDIRECT("Table1[Ende]"),"&gt;="&amp;BC$1,INDIRECT("Table1[Obergruppe ATC-Code]"),Tabelle3!$A28)</f>
        <v>0</v>
      </c>
      <c r="BD28">
        <f ca="1">COUNTIFS(INDIRECT("Table1[Beginn]"),"&lt;="&amp;BD$1,INDIRECT("Table1[Ende]"),"&gt;="&amp;BD$1,INDIRECT("Table1[Obergruppe ATC-Code]"),Tabelle3!$A28)</f>
        <v>0</v>
      </c>
      <c r="BE28">
        <f ca="1">COUNTIFS(INDIRECT("Table1[Beginn]"),"&lt;="&amp;BE$1,INDIRECT("Table1[Ende]"),"&gt;="&amp;BE$1,INDIRECT("Table1[Obergruppe ATC-Code]"),Tabelle3!$A28)</f>
        <v>0</v>
      </c>
      <c r="BF28">
        <f ca="1">COUNTIFS(INDIRECT("Table1[Beginn]"),"&lt;="&amp;BF$1,INDIRECT("Table1[Ende]"),"&gt;="&amp;BF$1,INDIRECT("Table1[Obergruppe ATC-Code]"),Tabelle3!$A28)</f>
        <v>0</v>
      </c>
      <c r="BG28">
        <f ca="1">COUNTIFS(INDIRECT("Table1[Beginn]"),"&lt;="&amp;BG$1,INDIRECT("Table1[Ende]"),"&gt;="&amp;BG$1,INDIRECT("Table1[Obergruppe ATC-Code]"),Tabelle3!$A28)</f>
        <v>0</v>
      </c>
      <c r="BH28">
        <f ca="1">COUNTIFS(INDIRECT("Table1[Beginn]"),"&lt;="&amp;BH$1,INDIRECT("Table1[Ende]"),"&gt;="&amp;BH$1,INDIRECT("Table1[Obergruppe ATC-Code]"),Tabelle3!$A28)</f>
        <v>0</v>
      </c>
      <c r="BI28">
        <f ca="1">COUNTIFS(INDIRECT("Table1[Beginn]"),"&lt;="&amp;BI$1,INDIRECT("Table1[Ende]"),"&gt;="&amp;BI$1,INDIRECT("Table1[Obergruppe ATC-Code]"),Tabelle3!$A28)</f>
        <v>0</v>
      </c>
      <c r="BJ28">
        <f ca="1">COUNTIFS(INDIRECT("Table1[Beginn]"),"&lt;="&amp;BJ$1,INDIRECT("Table1[Ende]"),"&gt;="&amp;BJ$1,INDIRECT("Table1[Obergruppe ATC-Code]"),Tabelle3!$A28)</f>
        <v>0</v>
      </c>
      <c r="BK28">
        <f ca="1">COUNTIFS(INDIRECT("Table1[Beginn]"),"&lt;="&amp;BK$1,INDIRECT("Table1[Ende]"),"&gt;="&amp;BK$1,INDIRECT("Table1[Obergruppe ATC-Code]"),Tabelle3!$A28)</f>
        <v>0</v>
      </c>
      <c r="BL28">
        <f ca="1">COUNTIFS(INDIRECT("Table1[Beginn]"),"&lt;="&amp;BL$1,INDIRECT("Table1[Ende]"),"&gt;="&amp;BL$1,INDIRECT("Table1[Obergruppe ATC-Code]"),Tabelle3!$A28)</f>
        <v>0</v>
      </c>
      <c r="BM28">
        <f ca="1">COUNTIFS(INDIRECT("Table1[Beginn]"),"&lt;="&amp;BM$1,INDIRECT("Table1[Ende]"),"&gt;="&amp;BM$1,INDIRECT("Table1[Obergruppe ATC-Code]"),Tabelle3!$A28)</f>
        <v>0</v>
      </c>
      <c r="BN28">
        <f ca="1">COUNTIFS(INDIRECT("Table1[Beginn]"),"&lt;="&amp;BN$1,INDIRECT("Table1[Ende]"),"&gt;="&amp;BN$1,INDIRECT("Table1[Obergruppe ATC-Code]"),Tabelle3!$A28)</f>
        <v>0</v>
      </c>
      <c r="BO28">
        <f ca="1">COUNTIFS(INDIRECT("Table1[Beginn]"),"&lt;="&amp;BO$1,INDIRECT("Table1[Ende]"),"&gt;="&amp;BO$1,INDIRECT("Table1[Obergruppe ATC-Code]"),Tabelle3!$A28)</f>
        <v>0</v>
      </c>
      <c r="BP28">
        <f ca="1">COUNTIFS(INDIRECT("Table1[Beginn]"),"&lt;="&amp;BP$1,INDIRECT("Table1[Ende]"),"&gt;="&amp;BP$1,INDIRECT("Table1[Obergruppe ATC-Code]"),Tabelle3!$A28)</f>
        <v>0</v>
      </c>
      <c r="BQ28">
        <f ca="1">COUNTIFS(INDIRECT("Table1[Beginn]"),"&lt;="&amp;BQ$1,INDIRECT("Table1[Ende]"),"&gt;="&amp;BQ$1,INDIRECT("Table1[Obergruppe ATC-Code]"),Tabelle3!$A28)</f>
        <v>0</v>
      </c>
      <c r="BR28">
        <f ca="1">COUNTIFS(INDIRECT("Table1[Beginn]"),"&lt;="&amp;BR$1,INDIRECT("Table1[Ende]"),"&gt;="&amp;BR$1,INDIRECT("Table1[Obergruppe ATC-Code]"),Tabelle3!$A28)</f>
        <v>0</v>
      </c>
      <c r="BS28">
        <f ca="1">COUNTIFS(INDIRECT("Table1[Beginn]"),"&lt;="&amp;BS$1,INDIRECT("Table1[Ende]"),"&gt;="&amp;BS$1,INDIRECT("Table1[Obergruppe ATC-Code]"),Tabelle3!$A28)</f>
        <v>0</v>
      </c>
      <c r="BT28">
        <f ca="1">COUNTIFS(INDIRECT("Table1[Beginn]"),"&lt;="&amp;BT$1,INDIRECT("Table1[Ende]"),"&gt;="&amp;BT$1,INDIRECT("Table1[Obergruppe ATC-Code]"),Tabelle3!$A28)</f>
        <v>0</v>
      </c>
      <c r="BU28">
        <f ca="1">COUNTIFS(INDIRECT("Table1[Beginn]"),"&lt;="&amp;BU$1,INDIRECT("Table1[Ende]"),"&gt;="&amp;BU$1,INDIRECT("Table1[Obergruppe ATC-Code]"),Tabelle3!$A28)</f>
        <v>0</v>
      </c>
      <c r="BV28">
        <f ca="1">COUNTIFS(INDIRECT("Table1[Beginn]"),"&lt;="&amp;BV$1,INDIRECT("Table1[Ende]"),"&gt;="&amp;BV$1,INDIRECT("Table1[Obergruppe ATC-Code]"),Tabelle3!$A28)</f>
        <v>0</v>
      </c>
      <c r="BW28">
        <f ca="1">COUNTIFS(INDIRECT("Table1[Beginn]"),"&lt;="&amp;BW$1,INDIRECT("Table1[Ende]"),"&gt;="&amp;BW$1,INDIRECT("Table1[Obergruppe ATC-Code]"),Tabelle3!$A28)</f>
        <v>0</v>
      </c>
      <c r="BX28">
        <f ca="1">COUNTIFS(INDIRECT("Table1[Beginn]"),"&lt;="&amp;BX$1,INDIRECT("Table1[Ende]"),"&gt;="&amp;BX$1,INDIRECT("Table1[Obergruppe ATC-Code]"),Tabelle3!$A28)</f>
        <v>0</v>
      </c>
      <c r="BY28">
        <f ca="1">COUNTIFS(INDIRECT("Table1[Beginn]"),"&lt;="&amp;BY$1,INDIRECT("Table1[Ende]"),"&gt;="&amp;BY$1,INDIRECT("Table1[Obergruppe ATC-Code]"),Tabelle3!$A28)</f>
        <v>0</v>
      </c>
      <c r="BZ28">
        <f ca="1">COUNTIFS(INDIRECT("Table1[Beginn]"),"&lt;="&amp;BZ$1,INDIRECT("Table1[Ende]"),"&gt;="&amp;BZ$1,INDIRECT("Table1[Obergruppe ATC-Code]"),Tabelle3!$A28)</f>
        <v>0</v>
      </c>
      <c r="CA28">
        <f ca="1">COUNTIFS(INDIRECT("Table1[Beginn]"),"&lt;="&amp;CA$1,INDIRECT("Table1[Ende]"),"&gt;="&amp;CA$1,INDIRECT("Table1[Obergruppe ATC-Code]"),Tabelle3!$A28)</f>
        <v>0</v>
      </c>
      <c r="CB28">
        <f ca="1">COUNTIFS(INDIRECT("Table1[Beginn]"),"&lt;="&amp;CB$1,INDIRECT("Table1[Ende]"),"&gt;="&amp;CB$1,INDIRECT("Table1[Obergruppe ATC-Code]"),Tabelle3!$A28)</f>
        <v>0</v>
      </c>
      <c r="CC28">
        <f ca="1">COUNTIFS(INDIRECT("Table1[Beginn]"),"&lt;="&amp;CC$1,INDIRECT("Table1[Ende]"),"&gt;="&amp;CC$1,INDIRECT("Table1[Obergruppe ATC-Code]"),Tabelle3!$A28)</f>
        <v>0</v>
      </c>
      <c r="CD28">
        <f ca="1">COUNTIFS(INDIRECT("Table1[Beginn]"),"&lt;="&amp;CD$1,INDIRECT("Table1[Ende]"),"&gt;="&amp;CD$1,INDIRECT("Table1[Obergruppe ATC-Code]"),Tabelle3!$A28)</f>
        <v>0</v>
      </c>
      <c r="CE28">
        <f ca="1">COUNTIFS(INDIRECT("Table1[Beginn]"),"&lt;="&amp;CE$1,INDIRECT("Table1[Ende]"),"&gt;="&amp;CE$1,INDIRECT("Table1[Obergruppe ATC-Code]"),Tabelle3!$A28)</f>
        <v>0</v>
      </c>
      <c r="CF28">
        <f ca="1">COUNTIFS(INDIRECT("Table1[Beginn]"),"&lt;="&amp;CF$1,INDIRECT("Table1[Ende]"),"&gt;="&amp;CF$1,INDIRECT("Table1[Obergruppe ATC-Code]"),Tabelle3!$A28)</f>
        <v>0</v>
      </c>
      <c r="CG28">
        <f ca="1">COUNTIFS(INDIRECT("Table1[Beginn]"),"&lt;="&amp;CG$1,INDIRECT("Table1[Ende]"),"&gt;="&amp;CG$1,INDIRECT("Table1[Obergruppe ATC-Code]"),Tabelle3!$A28)</f>
        <v>0</v>
      </c>
      <c r="CH28">
        <f ca="1">COUNTIFS(INDIRECT("Table1[Beginn]"),"&lt;="&amp;CH$1,INDIRECT("Table1[Ende]"),"&gt;="&amp;CH$1,INDIRECT("Table1[Obergruppe ATC-Code]"),Tabelle3!$A28)</f>
        <v>0</v>
      </c>
      <c r="CI28">
        <f ca="1">COUNTIFS(INDIRECT("Table1[Beginn]"),"&lt;="&amp;CI$1,INDIRECT("Table1[Ende]"),"&gt;="&amp;CI$1,INDIRECT("Table1[Obergruppe ATC-Code]"),Tabelle3!$A28)</f>
        <v>0</v>
      </c>
      <c r="CJ28">
        <f ca="1">COUNTIFS(INDIRECT("Table1[Beginn]"),"&lt;="&amp;CJ$1,INDIRECT("Table1[Ende]"),"&gt;="&amp;CJ$1,INDIRECT("Table1[Obergruppe ATC-Code]"),Tabelle3!$A28)</f>
        <v>0</v>
      </c>
      <c r="CK28">
        <f ca="1">COUNTIFS(INDIRECT("Table1[Beginn]"),"&lt;="&amp;CK$1,INDIRECT("Table1[Ende]"),"&gt;="&amp;CK$1,INDIRECT("Table1[Obergruppe ATC-Code]"),Tabelle3!$A28)</f>
        <v>0</v>
      </c>
      <c r="CL28">
        <f ca="1">COUNTIFS(INDIRECT("Table1[Beginn]"),"&lt;="&amp;CL$1,INDIRECT("Table1[Ende]"),"&gt;="&amp;CL$1,INDIRECT("Table1[Obergruppe ATC-Code]"),Tabelle3!$A28)</f>
        <v>0</v>
      </c>
      <c r="CM28">
        <f ca="1">COUNTIFS(INDIRECT("Table1[Beginn]"),"&lt;="&amp;CM$1,INDIRECT("Table1[Ende]"),"&gt;="&amp;CM$1,INDIRECT("Table1[Obergruppe ATC-Code]"),Tabelle3!$A28)</f>
        <v>0</v>
      </c>
      <c r="CN28">
        <f ca="1">COUNTIFS(INDIRECT("Table1[Beginn]"),"&lt;="&amp;CN$1,INDIRECT("Table1[Ende]"),"&gt;="&amp;CN$1,INDIRECT("Table1[Obergruppe ATC-Code]"),Tabelle3!$A28)</f>
        <v>0</v>
      </c>
      <c r="CO28">
        <f ca="1">COUNTIFS(INDIRECT("Table1[Beginn]"),"&lt;="&amp;CO$1,INDIRECT("Table1[Ende]"),"&gt;="&amp;CO$1,INDIRECT("Table1[Obergruppe ATC-Code]"),Tabelle3!$A28)</f>
        <v>0</v>
      </c>
      <c r="CP28">
        <f ca="1">COUNTIFS(INDIRECT("Table1[Beginn]"),"&lt;="&amp;CP$1,INDIRECT("Table1[Ende]"),"&gt;="&amp;CP$1,INDIRECT("Table1[Obergruppe ATC-Code]"),Tabelle3!$A28)</f>
        <v>0</v>
      </c>
      <c r="CQ28">
        <f ca="1">COUNTIFS(INDIRECT("Table1[Beginn]"),"&lt;="&amp;CQ$1,INDIRECT("Table1[Ende]"),"&gt;="&amp;CQ$1,INDIRECT("Table1[Obergruppe ATC-Code]"),Tabelle3!$A28)</f>
        <v>0</v>
      </c>
      <c r="CR28">
        <f ca="1">COUNTIFS(INDIRECT("Table1[Beginn]"),"&lt;="&amp;CR$1,INDIRECT("Table1[Ende]"),"&gt;="&amp;CR$1,INDIRECT("Table1[Obergruppe ATC-Code]"),Tabelle3!$A28)</f>
        <v>0</v>
      </c>
      <c r="CS28">
        <f ca="1">COUNTIFS(INDIRECT("Table1[Beginn]"),"&lt;="&amp;CS$1,INDIRECT("Table1[Ende]"),"&gt;="&amp;CS$1,INDIRECT("Table1[Obergruppe ATC-Code]"),Tabelle3!$A28)</f>
        <v>0</v>
      </c>
      <c r="CT28">
        <f ca="1">COUNTIFS(INDIRECT("Table1[Beginn]"),"&lt;="&amp;CT$1,INDIRECT("Table1[Ende]"),"&gt;="&amp;CT$1,INDIRECT("Table1[Obergruppe ATC-Code]"),Tabelle3!$A28)</f>
        <v>0</v>
      </c>
      <c r="CU28" s="54"/>
      <c r="CV28" s="54"/>
      <c r="CW28" s="54"/>
      <c r="CX28" s="54"/>
      <c r="CY28" s="54"/>
      <c r="CZ28" s="54"/>
      <c r="DA28" s="54"/>
      <c r="DB28" s="54"/>
      <c r="DC28" s="54"/>
      <c r="DD28" s="54"/>
      <c r="DE28" s="54"/>
      <c r="DF28" s="54"/>
      <c r="DG28" s="54"/>
      <c r="DH28" s="54"/>
    </row>
    <row r="29" spans="1:112" ht="18" customHeight="1">
      <c r="A29" s="9" t="s">
        <v>6826</v>
      </c>
      <c r="B29" s="10" t="s">
        <v>6827</v>
      </c>
      <c r="C29">
        <f ca="1">COUNTIFS(INDIRECT("Table1[Beginn]"),"&lt;="&amp;C$1,INDIRECT("Table1[Ende]"),"&gt;="&amp;C$1,INDIRECT("Table1[Obergruppe ATC-Code]"),Tabelle3!$A29)</f>
        <v>1</v>
      </c>
      <c r="D29">
        <f ca="1">COUNTIFS(INDIRECT("Table1[Beginn]"),"&lt;="&amp;D$1,INDIRECT("Table1[Ende]"),"&gt;="&amp;D$1,INDIRECT("Table1[Obergruppe ATC-Code]"),Tabelle3!$A29)</f>
        <v>1</v>
      </c>
      <c r="E29">
        <f ca="1">COUNTIFS(INDIRECT("Table1[Beginn]"),"&lt;="&amp;E$1,INDIRECT("Table1[Ende]"),"&gt;="&amp;E$1,INDIRECT("Table1[Obergruppe ATC-Code]"),Tabelle3!$A29)</f>
        <v>1</v>
      </c>
      <c r="F29">
        <f ca="1">COUNTIFS(INDIRECT("Table1[Beginn]"),"&lt;="&amp;F$1,INDIRECT("Table1[Ende]"),"&gt;="&amp;F$1,INDIRECT("Table1[Obergruppe ATC-Code]"),Tabelle3!$A29)</f>
        <v>1</v>
      </c>
      <c r="G29">
        <f ca="1">COUNTIFS(INDIRECT("Table1[Beginn]"),"&lt;="&amp;G$1,INDIRECT("Table1[Ende]"),"&gt;="&amp;G$1,INDIRECT("Table1[Obergruppe ATC-Code]"),Tabelle3!$A29)</f>
        <v>1</v>
      </c>
      <c r="H29">
        <f ca="1">COUNTIFS(INDIRECT("Table1[Beginn]"),"&lt;="&amp;H$1,INDIRECT("Table1[Ende]"),"&gt;="&amp;H$1,INDIRECT("Table1[Obergruppe ATC-Code]"),Tabelle3!$A29)</f>
        <v>1</v>
      </c>
      <c r="I29">
        <f ca="1">COUNTIFS(INDIRECT("Table1[Beginn]"),"&lt;="&amp;I$1,INDIRECT("Table1[Ende]"),"&gt;="&amp;I$1,INDIRECT("Table1[Obergruppe ATC-Code]"),Tabelle3!$A29)</f>
        <v>1</v>
      </c>
      <c r="J29">
        <f ca="1">COUNTIFS(INDIRECT("Table1[Beginn]"),"&lt;="&amp;J$1,INDIRECT("Table1[Ende]"),"&gt;="&amp;J$1,INDIRECT("Table1[Obergruppe ATC-Code]"),Tabelle3!$A29)</f>
        <v>1</v>
      </c>
      <c r="K29">
        <f ca="1">COUNTIFS(INDIRECT("Table1[Beginn]"),"&lt;="&amp;K$1,INDIRECT("Table1[Ende]"),"&gt;="&amp;K$1,INDIRECT("Table1[Obergruppe ATC-Code]"),Tabelle3!$A29)</f>
        <v>1</v>
      </c>
      <c r="L29">
        <f ca="1">COUNTIFS(INDIRECT("Table1[Beginn]"),"&lt;="&amp;L$1,INDIRECT("Table1[Ende]"),"&gt;="&amp;L$1,INDIRECT("Table1[Obergruppe ATC-Code]"),Tabelle3!$A29)</f>
        <v>1</v>
      </c>
      <c r="M29">
        <f ca="1">COUNTIFS(INDIRECT("Table1[Beginn]"),"&lt;="&amp;M$1,INDIRECT("Table1[Ende]"),"&gt;="&amp;M$1,INDIRECT("Table1[Obergruppe ATC-Code]"),Tabelle3!$A29)</f>
        <v>1</v>
      </c>
      <c r="N29">
        <f ca="1">COUNTIFS(INDIRECT("Table1[Beginn]"),"&lt;="&amp;N$1,INDIRECT("Table1[Ende]"),"&gt;="&amp;N$1,INDIRECT("Table1[Obergruppe ATC-Code]"),Tabelle3!$A29)</f>
        <v>1</v>
      </c>
      <c r="O29">
        <f ca="1">COUNTIFS(INDIRECT("Table1[Beginn]"),"&lt;="&amp;O$1,INDIRECT("Table1[Ende]"),"&gt;="&amp;O$1,INDIRECT("Table1[Obergruppe ATC-Code]"),Tabelle3!$A29)</f>
        <v>1</v>
      </c>
      <c r="P29">
        <f ca="1">COUNTIFS(INDIRECT("Table1[Beginn]"),"&lt;="&amp;P$1,INDIRECT("Table1[Ende]"),"&gt;="&amp;P$1,INDIRECT("Table1[Obergruppe ATC-Code]"),Tabelle3!$A29)</f>
        <v>0</v>
      </c>
      <c r="Q29">
        <f ca="1">COUNTIFS(INDIRECT("Table1[Beginn]"),"&lt;="&amp;Q$1,INDIRECT("Table1[Ende]"),"&gt;="&amp;Q$1,INDIRECT("Table1[Obergruppe ATC-Code]"),Tabelle3!$A29)</f>
        <v>0</v>
      </c>
      <c r="R29">
        <f ca="1">COUNTIFS(INDIRECT("Table1[Beginn]"),"&lt;="&amp;R$1,INDIRECT("Table1[Ende]"),"&gt;="&amp;R$1,INDIRECT("Table1[Obergruppe ATC-Code]"),Tabelle3!$A29)</f>
        <v>0</v>
      </c>
      <c r="S29">
        <f ca="1">COUNTIFS(INDIRECT("Table1[Beginn]"),"&lt;="&amp;S$1,INDIRECT("Table1[Ende]"),"&gt;="&amp;S$1,INDIRECT("Table1[Obergruppe ATC-Code]"),Tabelle3!$A29)</f>
        <v>0</v>
      </c>
      <c r="T29">
        <f ca="1">COUNTIFS(INDIRECT("Table1[Beginn]"),"&lt;="&amp;T$1,INDIRECT("Table1[Ende]"),"&gt;="&amp;T$1,INDIRECT("Table1[Obergruppe ATC-Code]"),Tabelle3!$A29)</f>
        <v>0</v>
      </c>
      <c r="U29">
        <f ca="1">COUNTIFS(INDIRECT("Table1[Beginn]"),"&lt;="&amp;U$1,INDIRECT("Table1[Ende]"),"&gt;="&amp;U$1,INDIRECT("Table1[Obergruppe ATC-Code]"),Tabelle3!$A29)</f>
        <v>0</v>
      </c>
      <c r="V29">
        <f ca="1">COUNTIFS(INDIRECT("Table1[Beginn]"),"&lt;="&amp;V$1,INDIRECT("Table1[Ende]"),"&gt;="&amp;V$1,INDIRECT("Table1[Obergruppe ATC-Code]"),Tabelle3!$A29)</f>
        <v>0</v>
      </c>
      <c r="W29">
        <f ca="1">COUNTIFS(INDIRECT("Table1[Beginn]"),"&lt;="&amp;W$1,INDIRECT("Table1[Ende]"),"&gt;="&amp;W$1,INDIRECT("Table1[Obergruppe ATC-Code]"),Tabelle3!$A29)</f>
        <v>0</v>
      </c>
      <c r="X29">
        <f ca="1">COUNTIFS(INDIRECT("Table1[Beginn]"),"&lt;="&amp;X$1,INDIRECT("Table1[Ende]"),"&gt;="&amp;X$1,INDIRECT("Table1[Obergruppe ATC-Code]"),Tabelle3!$A29)</f>
        <v>0</v>
      </c>
      <c r="Y29">
        <f ca="1">COUNTIFS(INDIRECT("Table1[Beginn]"),"&lt;="&amp;Y$1,INDIRECT("Table1[Ende]"),"&gt;="&amp;Y$1,INDIRECT("Table1[Obergruppe ATC-Code]"),Tabelle3!$A29)</f>
        <v>1</v>
      </c>
      <c r="Z29">
        <f ca="1">COUNTIFS(INDIRECT("Table1[Beginn]"),"&lt;="&amp;Z$1,INDIRECT("Table1[Ende]"),"&gt;="&amp;Z$1,INDIRECT("Table1[Obergruppe ATC-Code]"),Tabelle3!$A29)</f>
        <v>1</v>
      </c>
      <c r="AA29">
        <f ca="1">COUNTIFS(INDIRECT("Table1[Beginn]"),"&lt;="&amp;AA$1,INDIRECT("Table1[Ende]"),"&gt;="&amp;AA$1,INDIRECT("Table1[Obergruppe ATC-Code]"),Tabelle3!$A29)</f>
        <v>1</v>
      </c>
      <c r="AB29">
        <f ca="1">COUNTIFS(INDIRECT("Table1[Beginn]"),"&lt;="&amp;AB$1,INDIRECT("Table1[Ende]"),"&gt;="&amp;AB$1,INDIRECT("Table1[Obergruppe ATC-Code]"),Tabelle3!$A29)</f>
        <v>1</v>
      </c>
      <c r="AC29">
        <f ca="1">COUNTIFS(INDIRECT("Table1[Beginn]"),"&lt;="&amp;AC$1,INDIRECT("Table1[Ende]"),"&gt;="&amp;AC$1,INDIRECT("Table1[Obergruppe ATC-Code]"),Tabelle3!$A29)</f>
        <v>1</v>
      </c>
      <c r="AD29">
        <f ca="1">COUNTIFS(INDIRECT("Table1[Beginn]"),"&lt;="&amp;AD$1,INDIRECT("Table1[Ende]"),"&gt;="&amp;AD$1,INDIRECT("Table1[Obergruppe ATC-Code]"),Tabelle3!$A29)</f>
        <v>1</v>
      </c>
      <c r="AE29">
        <f ca="1">COUNTIFS(INDIRECT("Table1[Beginn]"),"&lt;="&amp;AE$1,INDIRECT("Table1[Ende]"),"&gt;="&amp;AE$1,INDIRECT("Table1[Obergruppe ATC-Code]"),Tabelle3!$A29)</f>
        <v>1</v>
      </c>
      <c r="AF29">
        <f ca="1">COUNTIFS(INDIRECT("Table1[Beginn]"),"&lt;="&amp;AF$1,INDIRECT("Table1[Ende]"),"&gt;="&amp;AF$1,INDIRECT("Table1[Obergruppe ATC-Code]"),Tabelle3!$A29)</f>
        <v>1</v>
      </c>
      <c r="AG29">
        <f ca="1">COUNTIFS(INDIRECT("Table1[Beginn]"),"&lt;="&amp;AG$1,INDIRECT("Table1[Ende]"),"&gt;="&amp;AG$1,INDIRECT("Table1[Obergruppe ATC-Code]"),Tabelle3!$A29)</f>
        <v>1</v>
      </c>
      <c r="AH29">
        <f ca="1">COUNTIFS(INDIRECT("Table1[Beginn]"),"&lt;="&amp;AH$1,INDIRECT("Table1[Ende]"),"&gt;="&amp;AH$1,INDIRECT("Table1[Obergruppe ATC-Code]"),Tabelle3!$A29)</f>
        <v>1</v>
      </c>
      <c r="AI29">
        <f ca="1">COUNTIFS(INDIRECT("Table1[Beginn]"),"&lt;="&amp;AI$1,INDIRECT("Table1[Ende]"),"&gt;="&amp;AI$1,INDIRECT("Table1[Obergruppe ATC-Code]"),Tabelle3!$A29)</f>
        <v>1</v>
      </c>
      <c r="AJ29">
        <f ca="1">COUNTIFS(INDIRECT("Table1[Beginn]"),"&lt;="&amp;AJ$1,INDIRECT("Table1[Ende]"),"&gt;="&amp;AJ$1,INDIRECT("Table1[Obergruppe ATC-Code]"),Tabelle3!$A29)</f>
        <v>1</v>
      </c>
      <c r="AK29">
        <f ca="1">COUNTIFS(INDIRECT("Table1[Beginn]"),"&lt;="&amp;AK$1,INDIRECT("Table1[Ende]"),"&gt;="&amp;AK$1,INDIRECT("Table1[Obergruppe ATC-Code]"),Tabelle3!$A29)</f>
        <v>1</v>
      </c>
      <c r="AL29">
        <f ca="1">COUNTIFS(INDIRECT("Table1[Beginn]"),"&lt;="&amp;AL$1,INDIRECT("Table1[Ende]"),"&gt;="&amp;AL$1,INDIRECT("Table1[Obergruppe ATC-Code]"),Tabelle3!$A29)</f>
        <v>1</v>
      </c>
      <c r="AM29">
        <f ca="1">COUNTIFS(INDIRECT("Table1[Beginn]"),"&lt;="&amp;AM$1,INDIRECT("Table1[Ende]"),"&gt;="&amp;AM$1,INDIRECT("Table1[Obergruppe ATC-Code]"),Tabelle3!$A29)</f>
        <v>1</v>
      </c>
      <c r="AN29">
        <f ca="1">COUNTIFS(INDIRECT("Table1[Beginn]"),"&lt;="&amp;AN$1,INDIRECT("Table1[Ende]"),"&gt;="&amp;AN$1,INDIRECT("Table1[Obergruppe ATC-Code]"),Tabelle3!$A29)</f>
        <v>4</v>
      </c>
      <c r="AO29">
        <f ca="1">COUNTIFS(INDIRECT("Table1[Beginn]"),"&lt;="&amp;AO$1,INDIRECT("Table1[Ende]"),"&gt;="&amp;AO$1,INDIRECT("Table1[Obergruppe ATC-Code]"),Tabelle3!$A29)</f>
        <v>4</v>
      </c>
      <c r="AP29">
        <f ca="1">COUNTIFS(INDIRECT("Table1[Beginn]"),"&lt;="&amp;AP$1,INDIRECT("Table1[Ende]"),"&gt;="&amp;AP$1,INDIRECT("Table1[Obergruppe ATC-Code]"),Tabelle3!$A29)</f>
        <v>4</v>
      </c>
      <c r="AQ29">
        <f ca="1">COUNTIFS(INDIRECT("Table1[Beginn]"),"&lt;="&amp;AQ$1,INDIRECT("Table1[Ende]"),"&gt;="&amp;AQ$1,INDIRECT("Table1[Obergruppe ATC-Code]"),Tabelle3!$A29)</f>
        <v>5</v>
      </c>
      <c r="AR29">
        <f ca="1">COUNTIFS(INDIRECT("Table1[Beginn]"),"&lt;="&amp;AR$1,INDIRECT("Table1[Ende]"),"&gt;="&amp;AR$1,INDIRECT("Table1[Obergruppe ATC-Code]"),Tabelle3!$A29)</f>
        <v>6</v>
      </c>
      <c r="AS29">
        <f ca="1">COUNTIFS(INDIRECT("Table1[Beginn]"),"&lt;="&amp;AS$1,INDIRECT("Table1[Ende]"),"&gt;="&amp;AS$1,INDIRECT("Table1[Obergruppe ATC-Code]"),Tabelle3!$A29)</f>
        <v>6</v>
      </c>
      <c r="AT29">
        <f ca="1">COUNTIFS(INDIRECT("Table1[Beginn]"),"&lt;="&amp;AT$1,INDIRECT("Table1[Ende]"),"&gt;="&amp;AT$1,INDIRECT("Table1[Obergruppe ATC-Code]"),Tabelle3!$A29)</f>
        <v>5</v>
      </c>
      <c r="AU29">
        <f ca="1">COUNTIFS(INDIRECT("Table1[Beginn]"),"&lt;="&amp;AU$1,INDIRECT("Table1[Ende]"),"&gt;="&amp;AU$1,INDIRECT("Table1[Obergruppe ATC-Code]"),Tabelle3!$A29)</f>
        <v>6</v>
      </c>
      <c r="AV29">
        <f ca="1">COUNTIFS(INDIRECT("Table1[Beginn]"),"&lt;="&amp;AV$1,INDIRECT("Table1[Ende]"),"&gt;="&amp;AV$1,INDIRECT("Table1[Obergruppe ATC-Code]"),Tabelle3!$A29)</f>
        <v>7</v>
      </c>
      <c r="AW29">
        <f ca="1">COUNTIFS(INDIRECT("Table1[Beginn]"),"&lt;="&amp;AW$1,INDIRECT("Table1[Ende]"),"&gt;="&amp;AW$1,INDIRECT("Table1[Obergruppe ATC-Code]"),Tabelle3!$A29)</f>
        <v>12</v>
      </c>
      <c r="AX29">
        <f ca="1">COUNTIFS(INDIRECT("Table1[Beginn]"),"&lt;="&amp;AX$1,INDIRECT("Table1[Ende]"),"&gt;="&amp;AX$1,INDIRECT("Table1[Obergruppe ATC-Code]"),Tabelle3!$A29)</f>
        <v>11</v>
      </c>
      <c r="AY29">
        <f ca="1">COUNTIFS(INDIRECT("Table1[Beginn]"),"&lt;="&amp;AY$1,INDIRECT("Table1[Ende]"),"&gt;="&amp;AY$1,INDIRECT("Table1[Obergruppe ATC-Code]"),Tabelle3!$A29)</f>
        <v>11</v>
      </c>
      <c r="AZ29">
        <f ca="1">COUNTIFS(INDIRECT("Table1[Beginn]"),"&lt;="&amp;AZ$1,INDIRECT("Table1[Ende]"),"&gt;="&amp;AZ$1,INDIRECT("Table1[Obergruppe ATC-Code]"),Tabelle3!$A29)</f>
        <v>11</v>
      </c>
      <c r="BA29">
        <f ca="1">COUNTIFS(INDIRECT("Table1[Beginn]"),"&lt;="&amp;BA$1,INDIRECT("Table1[Ende]"),"&gt;="&amp;BA$1,INDIRECT("Table1[Obergruppe ATC-Code]"),Tabelle3!$A29)</f>
        <v>9</v>
      </c>
      <c r="BB29">
        <f ca="1">COUNTIFS(INDIRECT("Table1[Beginn]"),"&lt;="&amp;BB$1,INDIRECT("Table1[Ende]"),"&gt;="&amp;BB$1,INDIRECT("Table1[Obergruppe ATC-Code]"),Tabelle3!$A29)</f>
        <v>6</v>
      </c>
      <c r="BC29">
        <f ca="1">COUNTIFS(INDIRECT("Table1[Beginn]"),"&lt;="&amp;BC$1,INDIRECT("Table1[Ende]"),"&gt;="&amp;BC$1,INDIRECT("Table1[Obergruppe ATC-Code]"),Tabelle3!$A29)</f>
        <v>6</v>
      </c>
      <c r="BD29">
        <f ca="1">COUNTIFS(INDIRECT("Table1[Beginn]"),"&lt;="&amp;BD$1,INDIRECT("Table1[Ende]"),"&gt;="&amp;BD$1,INDIRECT("Table1[Obergruppe ATC-Code]"),Tabelle3!$A29)</f>
        <v>5</v>
      </c>
      <c r="BE29">
        <f ca="1">COUNTIFS(INDIRECT("Table1[Beginn]"),"&lt;="&amp;BE$1,INDIRECT("Table1[Ende]"),"&gt;="&amp;BE$1,INDIRECT("Table1[Obergruppe ATC-Code]"),Tabelle3!$A29)</f>
        <v>3</v>
      </c>
      <c r="BF29">
        <f ca="1">COUNTIFS(INDIRECT("Table1[Beginn]"),"&lt;="&amp;BF$1,INDIRECT("Table1[Ende]"),"&gt;="&amp;BF$1,INDIRECT("Table1[Obergruppe ATC-Code]"),Tabelle3!$A29)</f>
        <v>3</v>
      </c>
      <c r="BG29">
        <f ca="1">COUNTIFS(INDIRECT("Table1[Beginn]"),"&lt;="&amp;BG$1,INDIRECT("Table1[Ende]"),"&gt;="&amp;BG$1,INDIRECT("Table1[Obergruppe ATC-Code]"),Tabelle3!$A29)</f>
        <v>2</v>
      </c>
      <c r="BH29">
        <f ca="1">COUNTIFS(INDIRECT("Table1[Beginn]"),"&lt;="&amp;BH$1,INDIRECT("Table1[Ende]"),"&gt;="&amp;BH$1,INDIRECT("Table1[Obergruppe ATC-Code]"),Tabelle3!$A29)</f>
        <v>2</v>
      </c>
      <c r="BI29">
        <f ca="1">COUNTIFS(INDIRECT("Table1[Beginn]"),"&lt;="&amp;BI$1,INDIRECT("Table1[Ende]"),"&gt;="&amp;BI$1,INDIRECT("Table1[Obergruppe ATC-Code]"),Tabelle3!$A29)</f>
        <v>1</v>
      </c>
      <c r="BJ29">
        <f ca="1">COUNTIFS(INDIRECT("Table1[Beginn]"),"&lt;="&amp;BJ$1,INDIRECT("Table1[Ende]"),"&gt;="&amp;BJ$1,INDIRECT("Table1[Obergruppe ATC-Code]"),Tabelle3!$A29)</f>
        <v>3</v>
      </c>
      <c r="BK29">
        <f ca="1">COUNTIFS(INDIRECT("Table1[Beginn]"),"&lt;="&amp;BK$1,INDIRECT("Table1[Ende]"),"&gt;="&amp;BK$1,INDIRECT("Table1[Obergruppe ATC-Code]"),Tabelle3!$A29)</f>
        <v>6</v>
      </c>
      <c r="BL29">
        <f ca="1">COUNTIFS(INDIRECT("Table1[Beginn]"),"&lt;="&amp;BL$1,INDIRECT("Table1[Ende]"),"&gt;="&amp;BL$1,INDIRECT("Table1[Obergruppe ATC-Code]"),Tabelle3!$A29)</f>
        <v>7</v>
      </c>
      <c r="BM29">
        <f ca="1">COUNTIFS(INDIRECT("Table1[Beginn]"),"&lt;="&amp;BM$1,INDIRECT("Table1[Ende]"),"&gt;="&amp;BM$1,INDIRECT("Table1[Obergruppe ATC-Code]"),Tabelle3!$A29)</f>
        <v>7</v>
      </c>
      <c r="BN29">
        <f ca="1">COUNTIFS(INDIRECT("Table1[Beginn]"),"&lt;="&amp;BN$1,INDIRECT("Table1[Ende]"),"&gt;="&amp;BN$1,INDIRECT("Table1[Obergruppe ATC-Code]"),Tabelle3!$A29)</f>
        <v>6</v>
      </c>
      <c r="BO29">
        <f ca="1">COUNTIFS(INDIRECT("Table1[Beginn]"),"&lt;="&amp;BO$1,INDIRECT("Table1[Ende]"),"&gt;="&amp;BO$1,INDIRECT("Table1[Obergruppe ATC-Code]"),Tabelle3!$A29)</f>
        <v>6</v>
      </c>
      <c r="BP29">
        <f ca="1">COUNTIFS(INDIRECT("Table1[Beginn]"),"&lt;="&amp;BP$1,INDIRECT("Table1[Ende]"),"&gt;="&amp;BP$1,INDIRECT("Table1[Obergruppe ATC-Code]"),Tabelle3!$A29)</f>
        <v>4</v>
      </c>
      <c r="BQ29">
        <f ca="1">COUNTIFS(INDIRECT("Table1[Beginn]"),"&lt;="&amp;BQ$1,INDIRECT("Table1[Ende]"),"&gt;="&amp;BQ$1,INDIRECT("Table1[Obergruppe ATC-Code]"),Tabelle3!$A29)</f>
        <v>3</v>
      </c>
      <c r="BR29">
        <f ca="1">COUNTIFS(INDIRECT("Table1[Beginn]"),"&lt;="&amp;BR$1,INDIRECT("Table1[Ende]"),"&gt;="&amp;BR$1,INDIRECT("Table1[Obergruppe ATC-Code]"),Tabelle3!$A29)</f>
        <v>2</v>
      </c>
      <c r="BS29">
        <f ca="1">COUNTIFS(INDIRECT("Table1[Beginn]"),"&lt;="&amp;BS$1,INDIRECT("Table1[Ende]"),"&gt;="&amp;BS$1,INDIRECT("Table1[Obergruppe ATC-Code]"),Tabelle3!$A29)</f>
        <v>0</v>
      </c>
      <c r="BT29">
        <f ca="1">COUNTIFS(INDIRECT("Table1[Beginn]"),"&lt;="&amp;BT$1,INDIRECT("Table1[Ende]"),"&gt;="&amp;BT$1,INDIRECT("Table1[Obergruppe ATC-Code]"),Tabelle3!$A29)</f>
        <v>0</v>
      </c>
      <c r="BU29">
        <f ca="1">COUNTIFS(INDIRECT("Table1[Beginn]"),"&lt;="&amp;BU$1,INDIRECT("Table1[Ende]"),"&gt;="&amp;BU$1,INDIRECT("Table1[Obergruppe ATC-Code]"),Tabelle3!$A29)</f>
        <v>0</v>
      </c>
      <c r="BV29">
        <f ca="1">COUNTIFS(INDIRECT("Table1[Beginn]"),"&lt;="&amp;BV$1,INDIRECT("Table1[Ende]"),"&gt;="&amp;BV$1,INDIRECT("Table1[Obergruppe ATC-Code]"),Tabelle3!$A29)</f>
        <v>0</v>
      </c>
      <c r="BW29">
        <f ca="1">COUNTIFS(INDIRECT("Table1[Beginn]"),"&lt;="&amp;BW$1,INDIRECT("Table1[Ende]"),"&gt;="&amp;BW$1,INDIRECT("Table1[Obergruppe ATC-Code]"),Tabelle3!$A29)</f>
        <v>18</v>
      </c>
      <c r="BX29">
        <f ca="1">COUNTIFS(INDIRECT("Table1[Beginn]"),"&lt;="&amp;BX$1,INDIRECT("Table1[Ende]"),"&gt;="&amp;BX$1,INDIRECT("Table1[Obergruppe ATC-Code]"),Tabelle3!$A29)</f>
        <v>16</v>
      </c>
      <c r="BY29">
        <f ca="1">COUNTIFS(INDIRECT("Table1[Beginn]"),"&lt;="&amp;BY$1,INDIRECT("Table1[Ende]"),"&gt;="&amp;BY$1,INDIRECT("Table1[Obergruppe ATC-Code]"),Tabelle3!$A29)</f>
        <v>10</v>
      </c>
      <c r="BZ29">
        <f ca="1">COUNTIFS(INDIRECT("Table1[Beginn]"),"&lt;="&amp;BZ$1,INDIRECT("Table1[Ende]"),"&gt;="&amp;BZ$1,INDIRECT("Table1[Obergruppe ATC-Code]"),Tabelle3!$A29)</f>
        <v>9</v>
      </c>
      <c r="CA29">
        <f ca="1">COUNTIFS(INDIRECT("Table1[Beginn]"),"&lt;="&amp;CA$1,INDIRECT("Table1[Ende]"),"&gt;="&amp;CA$1,INDIRECT("Table1[Obergruppe ATC-Code]"),Tabelle3!$A29)</f>
        <v>9</v>
      </c>
      <c r="CB29">
        <f ca="1">COUNTIFS(INDIRECT("Table1[Beginn]"),"&lt;="&amp;CB$1,INDIRECT("Table1[Ende]"),"&gt;="&amp;CB$1,INDIRECT("Table1[Obergruppe ATC-Code]"),Tabelle3!$A29)</f>
        <v>6</v>
      </c>
      <c r="CC29">
        <f ca="1">COUNTIFS(INDIRECT("Table1[Beginn]"),"&lt;="&amp;CC$1,INDIRECT("Table1[Ende]"),"&gt;="&amp;CC$1,INDIRECT("Table1[Obergruppe ATC-Code]"),Tabelle3!$A29)</f>
        <v>2</v>
      </c>
      <c r="CD29">
        <f ca="1">COUNTIFS(INDIRECT("Table1[Beginn]"),"&lt;="&amp;CD$1,INDIRECT("Table1[Ende]"),"&gt;="&amp;CD$1,INDIRECT("Table1[Obergruppe ATC-Code]"),Tabelle3!$A29)</f>
        <v>3</v>
      </c>
      <c r="CE29">
        <f ca="1">COUNTIFS(INDIRECT("Table1[Beginn]"),"&lt;="&amp;CE$1,INDIRECT("Table1[Ende]"),"&gt;="&amp;CE$1,INDIRECT("Table1[Obergruppe ATC-Code]"),Tabelle3!$A29)</f>
        <v>2</v>
      </c>
      <c r="CF29">
        <f ca="1">COUNTIFS(INDIRECT("Table1[Beginn]"),"&lt;="&amp;CF$1,INDIRECT("Table1[Ende]"),"&gt;="&amp;CF$1,INDIRECT("Table1[Obergruppe ATC-Code]"),Tabelle3!$A29)</f>
        <v>3</v>
      </c>
      <c r="CG29">
        <f ca="1">COUNTIFS(INDIRECT("Table1[Beginn]"),"&lt;="&amp;CG$1,INDIRECT("Table1[Ende]"),"&gt;="&amp;CG$1,INDIRECT("Table1[Obergruppe ATC-Code]"),Tabelle3!$A29)</f>
        <v>2</v>
      </c>
      <c r="CH29">
        <f ca="1">COUNTIFS(INDIRECT("Table1[Beginn]"),"&lt;="&amp;CH$1,INDIRECT("Table1[Ende]"),"&gt;="&amp;CH$1,INDIRECT("Table1[Obergruppe ATC-Code]"),Tabelle3!$A29)</f>
        <v>0</v>
      </c>
      <c r="CI29">
        <f ca="1">COUNTIFS(INDIRECT("Table1[Beginn]"),"&lt;="&amp;CI$1,INDIRECT("Table1[Ende]"),"&gt;="&amp;CI$1,INDIRECT("Table1[Obergruppe ATC-Code]"),Tabelle3!$A29)</f>
        <v>0</v>
      </c>
      <c r="CJ29">
        <f ca="1">COUNTIFS(INDIRECT("Table1[Beginn]"),"&lt;="&amp;CJ$1,INDIRECT("Table1[Ende]"),"&gt;="&amp;CJ$1,INDIRECT("Table1[Obergruppe ATC-Code]"),Tabelle3!$A29)</f>
        <v>0</v>
      </c>
      <c r="CK29">
        <f ca="1">COUNTIFS(INDIRECT("Table1[Beginn]"),"&lt;="&amp;CK$1,INDIRECT("Table1[Ende]"),"&gt;="&amp;CK$1,INDIRECT("Table1[Obergruppe ATC-Code]"),Tabelle3!$A29)</f>
        <v>0</v>
      </c>
      <c r="CL29">
        <f ca="1">COUNTIFS(INDIRECT("Table1[Beginn]"),"&lt;="&amp;CL$1,INDIRECT("Table1[Ende]"),"&gt;="&amp;CL$1,INDIRECT("Table1[Obergruppe ATC-Code]"),Tabelle3!$A29)</f>
        <v>0</v>
      </c>
      <c r="CM29">
        <f ca="1">COUNTIFS(INDIRECT("Table1[Beginn]"),"&lt;="&amp;CM$1,INDIRECT("Table1[Ende]"),"&gt;="&amp;CM$1,INDIRECT("Table1[Obergruppe ATC-Code]"),Tabelle3!$A29)</f>
        <v>0</v>
      </c>
      <c r="CN29">
        <f ca="1">COUNTIFS(INDIRECT("Table1[Beginn]"),"&lt;="&amp;CN$1,INDIRECT("Table1[Ende]"),"&gt;="&amp;CN$1,INDIRECT("Table1[Obergruppe ATC-Code]"),Tabelle3!$A29)</f>
        <v>0</v>
      </c>
      <c r="CO29">
        <f ca="1">COUNTIFS(INDIRECT("Table1[Beginn]"),"&lt;="&amp;CO$1,INDIRECT("Table1[Ende]"),"&gt;="&amp;CO$1,INDIRECT("Table1[Obergruppe ATC-Code]"),Tabelle3!$A29)</f>
        <v>0</v>
      </c>
      <c r="CP29">
        <f ca="1">COUNTIFS(INDIRECT("Table1[Beginn]"),"&lt;="&amp;CP$1,INDIRECT("Table1[Ende]"),"&gt;="&amp;CP$1,INDIRECT("Table1[Obergruppe ATC-Code]"),Tabelle3!$A29)</f>
        <v>0</v>
      </c>
      <c r="CQ29">
        <f ca="1">COUNTIFS(INDIRECT("Table1[Beginn]"),"&lt;="&amp;CQ$1,INDIRECT("Table1[Ende]"),"&gt;="&amp;CQ$1,INDIRECT("Table1[Obergruppe ATC-Code]"),Tabelle3!$A29)</f>
        <v>0</v>
      </c>
      <c r="CR29">
        <f ca="1">COUNTIFS(INDIRECT("Table1[Beginn]"),"&lt;="&amp;CR$1,INDIRECT("Table1[Ende]"),"&gt;="&amp;CR$1,INDIRECT("Table1[Obergruppe ATC-Code]"),Tabelle3!$A29)</f>
        <v>0</v>
      </c>
      <c r="CS29">
        <f ca="1">COUNTIFS(INDIRECT("Table1[Beginn]"),"&lt;="&amp;CS$1,INDIRECT("Table1[Ende]"),"&gt;="&amp;CS$1,INDIRECT("Table1[Obergruppe ATC-Code]"),Tabelle3!$A29)</f>
        <v>0</v>
      </c>
      <c r="CT29">
        <f ca="1">COUNTIFS(INDIRECT("Table1[Beginn]"),"&lt;="&amp;CT$1,INDIRECT("Table1[Ende]"),"&gt;="&amp;CT$1,INDIRECT("Table1[Obergruppe ATC-Code]"),Tabelle3!$A29)</f>
        <v>0</v>
      </c>
      <c r="CU29" s="54"/>
      <c r="CV29" s="54"/>
      <c r="CW29" s="54"/>
      <c r="CX29" s="54"/>
      <c r="CY29" s="54"/>
      <c r="CZ29" s="54"/>
      <c r="DA29" s="54"/>
      <c r="DB29" s="54"/>
      <c r="DC29" s="54"/>
      <c r="DD29" s="54"/>
      <c r="DE29" s="54"/>
      <c r="DF29" s="54"/>
      <c r="DG29" s="54"/>
      <c r="DH29" s="54"/>
    </row>
    <row r="30" spans="1:112" ht="18" customHeight="1">
      <c r="A30" s="7" t="s">
        <v>6828</v>
      </c>
      <c r="B30" s="8" t="s">
        <v>6829</v>
      </c>
      <c r="C30">
        <f ca="1">COUNTIFS(INDIRECT("Table1[Beginn]"),"&lt;="&amp;C$1,INDIRECT("Table1[Ende]"),"&gt;="&amp;C$1,INDIRECT("Table1[Obergruppe ATC-Code]"),Tabelle3!$A30)</f>
        <v>0</v>
      </c>
      <c r="D30">
        <f ca="1">COUNTIFS(INDIRECT("Table1[Beginn]"),"&lt;="&amp;D$1,INDIRECT("Table1[Ende]"),"&gt;="&amp;D$1,INDIRECT("Table1[Obergruppe ATC-Code]"),Tabelle3!$A30)</f>
        <v>2</v>
      </c>
      <c r="E30">
        <f ca="1">COUNTIFS(INDIRECT("Table1[Beginn]"),"&lt;="&amp;E$1,INDIRECT("Table1[Ende]"),"&gt;="&amp;E$1,INDIRECT("Table1[Obergruppe ATC-Code]"),Tabelle3!$A30)</f>
        <v>2</v>
      </c>
      <c r="F30">
        <f ca="1">COUNTIFS(INDIRECT("Table1[Beginn]"),"&lt;="&amp;F$1,INDIRECT("Table1[Ende]"),"&gt;="&amp;F$1,INDIRECT("Table1[Obergruppe ATC-Code]"),Tabelle3!$A30)</f>
        <v>2</v>
      </c>
      <c r="G30">
        <f ca="1">COUNTIFS(INDIRECT("Table1[Beginn]"),"&lt;="&amp;G$1,INDIRECT("Table1[Ende]"),"&gt;="&amp;G$1,INDIRECT("Table1[Obergruppe ATC-Code]"),Tabelle3!$A30)</f>
        <v>2</v>
      </c>
      <c r="H30">
        <f ca="1">COUNTIFS(INDIRECT("Table1[Beginn]"),"&lt;="&amp;H$1,INDIRECT("Table1[Ende]"),"&gt;="&amp;H$1,INDIRECT("Table1[Obergruppe ATC-Code]"),Tabelle3!$A30)</f>
        <v>2</v>
      </c>
      <c r="I30">
        <f ca="1">COUNTIFS(INDIRECT("Table1[Beginn]"),"&lt;="&amp;I$1,INDIRECT("Table1[Ende]"),"&gt;="&amp;I$1,INDIRECT("Table1[Obergruppe ATC-Code]"),Tabelle3!$A30)</f>
        <v>2</v>
      </c>
      <c r="J30">
        <f ca="1">COUNTIFS(INDIRECT("Table1[Beginn]"),"&lt;="&amp;J$1,INDIRECT("Table1[Ende]"),"&gt;="&amp;J$1,INDIRECT("Table1[Obergruppe ATC-Code]"),Tabelle3!$A30)</f>
        <v>2</v>
      </c>
      <c r="K30">
        <f ca="1">COUNTIFS(INDIRECT("Table1[Beginn]"),"&lt;="&amp;K$1,INDIRECT("Table1[Ende]"),"&gt;="&amp;K$1,INDIRECT("Table1[Obergruppe ATC-Code]"),Tabelle3!$A30)</f>
        <v>2</v>
      </c>
      <c r="L30">
        <f ca="1">COUNTIFS(INDIRECT("Table1[Beginn]"),"&lt;="&amp;L$1,INDIRECT("Table1[Ende]"),"&gt;="&amp;L$1,INDIRECT("Table1[Obergruppe ATC-Code]"),Tabelle3!$A30)</f>
        <v>0</v>
      </c>
      <c r="M30">
        <f ca="1">COUNTIFS(INDIRECT("Table1[Beginn]"),"&lt;="&amp;M$1,INDIRECT("Table1[Ende]"),"&gt;="&amp;M$1,INDIRECT("Table1[Obergruppe ATC-Code]"),Tabelle3!$A30)</f>
        <v>0</v>
      </c>
      <c r="N30">
        <f ca="1">COUNTIFS(INDIRECT("Table1[Beginn]"),"&lt;="&amp;N$1,INDIRECT("Table1[Ende]"),"&gt;="&amp;N$1,INDIRECT("Table1[Obergruppe ATC-Code]"),Tabelle3!$A30)</f>
        <v>0</v>
      </c>
      <c r="O30">
        <f ca="1">COUNTIFS(INDIRECT("Table1[Beginn]"),"&lt;="&amp;O$1,INDIRECT("Table1[Ende]"),"&gt;="&amp;O$1,INDIRECT("Table1[Obergruppe ATC-Code]"),Tabelle3!$A30)</f>
        <v>0</v>
      </c>
      <c r="P30">
        <f ca="1">COUNTIFS(INDIRECT("Table1[Beginn]"),"&lt;="&amp;P$1,INDIRECT("Table1[Ende]"),"&gt;="&amp;P$1,INDIRECT("Table1[Obergruppe ATC-Code]"),Tabelle3!$A30)</f>
        <v>0</v>
      </c>
      <c r="Q30">
        <f ca="1">COUNTIFS(INDIRECT("Table1[Beginn]"),"&lt;="&amp;Q$1,INDIRECT("Table1[Ende]"),"&gt;="&amp;Q$1,INDIRECT("Table1[Obergruppe ATC-Code]"),Tabelle3!$A30)</f>
        <v>1</v>
      </c>
      <c r="R30">
        <f ca="1">COUNTIFS(INDIRECT("Table1[Beginn]"),"&lt;="&amp;R$1,INDIRECT("Table1[Ende]"),"&gt;="&amp;R$1,INDIRECT("Table1[Obergruppe ATC-Code]"),Tabelle3!$A30)</f>
        <v>1</v>
      </c>
      <c r="S30">
        <f ca="1">COUNTIFS(INDIRECT("Table1[Beginn]"),"&lt;="&amp;S$1,INDIRECT("Table1[Ende]"),"&gt;="&amp;S$1,INDIRECT("Table1[Obergruppe ATC-Code]"),Tabelle3!$A30)</f>
        <v>1</v>
      </c>
      <c r="T30">
        <f ca="1">COUNTIFS(INDIRECT("Table1[Beginn]"),"&lt;="&amp;T$1,INDIRECT("Table1[Ende]"),"&gt;="&amp;T$1,INDIRECT("Table1[Obergruppe ATC-Code]"),Tabelle3!$A30)</f>
        <v>2</v>
      </c>
      <c r="U30">
        <f ca="1">COUNTIFS(INDIRECT("Table1[Beginn]"),"&lt;="&amp;U$1,INDIRECT("Table1[Ende]"),"&gt;="&amp;U$1,INDIRECT("Table1[Obergruppe ATC-Code]"),Tabelle3!$A30)</f>
        <v>2</v>
      </c>
      <c r="V30">
        <f ca="1">COUNTIFS(INDIRECT("Table1[Beginn]"),"&lt;="&amp;V$1,INDIRECT("Table1[Ende]"),"&gt;="&amp;V$1,INDIRECT("Table1[Obergruppe ATC-Code]"),Tabelle3!$A30)</f>
        <v>2</v>
      </c>
      <c r="W30">
        <f ca="1">COUNTIFS(INDIRECT("Table1[Beginn]"),"&lt;="&amp;W$1,INDIRECT("Table1[Ende]"),"&gt;="&amp;W$1,INDIRECT("Table1[Obergruppe ATC-Code]"),Tabelle3!$A30)</f>
        <v>2</v>
      </c>
      <c r="X30">
        <f ca="1">COUNTIFS(INDIRECT("Table1[Beginn]"),"&lt;="&amp;X$1,INDIRECT("Table1[Ende]"),"&gt;="&amp;X$1,INDIRECT("Table1[Obergruppe ATC-Code]"),Tabelle3!$A30)</f>
        <v>2</v>
      </c>
      <c r="Y30">
        <f ca="1">COUNTIFS(INDIRECT("Table1[Beginn]"),"&lt;="&amp;Y$1,INDIRECT("Table1[Ende]"),"&gt;="&amp;Y$1,INDIRECT("Table1[Obergruppe ATC-Code]"),Tabelle3!$A30)</f>
        <v>2</v>
      </c>
      <c r="Z30">
        <f ca="1">COUNTIFS(INDIRECT("Table1[Beginn]"),"&lt;="&amp;Z$1,INDIRECT("Table1[Ende]"),"&gt;="&amp;Z$1,INDIRECT("Table1[Obergruppe ATC-Code]"),Tabelle3!$A30)</f>
        <v>2</v>
      </c>
      <c r="AA30">
        <f ca="1">COUNTIFS(INDIRECT("Table1[Beginn]"),"&lt;="&amp;AA$1,INDIRECT("Table1[Ende]"),"&gt;="&amp;AA$1,INDIRECT("Table1[Obergruppe ATC-Code]"),Tabelle3!$A30)</f>
        <v>2</v>
      </c>
      <c r="AB30">
        <f ca="1">COUNTIFS(INDIRECT("Table1[Beginn]"),"&lt;="&amp;AB$1,INDIRECT("Table1[Ende]"),"&gt;="&amp;AB$1,INDIRECT("Table1[Obergruppe ATC-Code]"),Tabelle3!$A30)</f>
        <v>2</v>
      </c>
      <c r="AC30">
        <f ca="1">COUNTIFS(INDIRECT("Table1[Beginn]"),"&lt;="&amp;AC$1,INDIRECT("Table1[Ende]"),"&gt;="&amp;AC$1,INDIRECT("Table1[Obergruppe ATC-Code]"),Tabelle3!$A30)</f>
        <v>3</v>
      </c>
      <c r="AD30">
        <f ca="1">COUNTIFS(INDIRECT("Table1[Beginn]"),"&lt;="&amp;AD$1,INDIRECT("Table1[Ende]"),"&gt;="&amp;AD$1,INDIRECT("Table1[Obergruppe ATC-Code]"),Tabelle3!$A30)</f>
        <v>4</v>
      </c>
      <c r="AE30">
        <f ca="1">COUNTIFS(INDIRECT("Table1[Beginn]"),"&lt;="&amp;AE$1,INDIRECT("Table1[Ende]"),"&gt;="&amp;AE$1,INDIRECT("Table1[Obergruppe ATC-Code]"),Tabelle3!$A30)</f>
        <v>4</v>
      </c>
      <c r="AF30">
        <f ca="1">COUNTIFS(INDIRECT("Table1[Beginn]"),"&lt;="&amp;AF$1,INDIRECT("Table1[Ende]"),"&gt;="&amp;AF$1,INDIRECT("Table1[Obergruppe ATC-Code]"),Tabelle3!$A30)</f>
        <v>4</v>
      </c>
      <c r="AG30">
        <f ca="1">COUNTIFS(INDIRECT("Table1[Beginn]"),"&lt;="&amp;AG$1,INDIRECT("Table1[Ende]"),"&gt;="&amp;AG$1,INDIRECT("Table1[Obergruppe ATC-Code]"),Tabelle3!$A30)</f>
        <v>4</v>
      </c>
      <c r="AH30">
        <f ca="1">COUNTIFS(INDIRECT("Table1[Beginn]"),"&lt;="&amp;AH$1,INDIRECT("Table1[Ende]"),"&gt;="&amp;AH$1,INDIRECT("Table1[Obergruppe ATC-Code]"),Tabelle3!$A30)</f>
        <v>2</v>
      </c>
      <c r="AI30">
        <f ca="1">COUNTIFS(INDIRECT("Table1[Beginn]"),"&lt;="&amp;AI$1,INDIRECT("Table1[Ende]"),"&gt;="&amp;AI$1,INDIRECT("Table1[Obergruppe ATC-Code]"),Tabelle3!$A30)</f>
        <v>2</v>
      </c>
      <c r="AJ30">
        <f ca="1">COUNTIFS(INDIRECT("Table1[Beginn]"),"&lt;="&amp;AJ$1,INDIRECT("Table1[Ende]"),"&gt;="&amp;AJ$1,INDIRECT("Table1[Obergruppe ATC-Code]"),Tabelle3!$A30)</f>
        <v>2</v>
      </c>
      <c r="AK30">
        <f ca="1">COUNTIFS(INDIRECT("Table1[Beginn]"),"&lt;="&amp;AK$1,INDIRECT("Table1[Ende]"),"&gt;="&amp;AK$1,INDIRECT("Table1[Obergruppe ATC-Code]"),Tabelle3!$A30)</f>
        <v>2</v>
      </c>
      <c r="AL30">
        <f ca="1">COUNTIFS(INDIRECT("Table1[Beginn]"),"&lt;="&amp;AL$1,INDIRECT("Table1[Ende]"),"&gt;="&amp;AL$1,INDIRECT("Table1[Obergruppe ATC-Code]"),Tabelle3!$A30)</f>
        <v>3</v>
      </c>
      <c r="AM30">
        <f ca="1">COUNTIFS(INDIRECT("Table1[Beginn]"),"&lt;="&amp;AM$1,INDIRECT("Table1[Ende]"),"&gt;="&amp;AM$1,INDIRECT("Table1[Obergruppe ATC-Code]"),Tabelle3!$A30)</f>
        <v>2</v>
      </c>
      <c r="AN30">
        <f ca="1">COUNTIFS(INDIRECT("Table1[Beginn]"),"&lt;="&amp;AN$1,INDIRECT("Table1[Ende]"),"&gt;="&amp;AN$1,INDIRECT("Table1[Obergruppe ATC-Code]"),Tabelle3!$A30)</f>
        <v>2</v>
      </c>
      <c r="AO30">
        <f ca="1">COUNTIFS(INDIRECT("Table1[Beginn]"),"&lt;="&amp;AO$1,INDIRECT("Table1[Ende]"),"&gt;="&amp;AO$1,INDIRECT("Table1[Obergruppe ATC-Code]"),Tabelle3!$A30)</f>
        <v>5</v>
      </c>
      <c r="AP30">
        <f ca="1">COUNTIFS(INDIRECT("Table1[Beginn]"),"&lt;="&amp;AP$1,INDIRECT("Table1[Ende]"),"&gt;="&amp;AP$1,INDIRECT("Table1[Obergruppe ATC-Code]"),Tabelle3!$A30)</f>
        <v>4</v>
      </c>
      <c r="AQ30">
        <f ca="1">COUNTIFS(INDIRECT("Table1[Beginn]"),"&lt;="&amp;AQ$1,INDIRECT("Table1[Ende]"),"&gt;="&amp;AQ$1,INDIRECT("Table1[Obergruppe ATC-Code]"),Tabelle3!$A30)</f>
        <v>5</v>
      </c>
      <c r="AR30">
        <f ca="1">COUNTIFS(INDIRECT("Table1[Beginn]"),"&lt;="&amp;AR$1,INDIRECT("Table1[Ende]"),"&gt;="&amp;AR$1,INDIRECT("Table1[Obergruppe ATC-Code]"),Tabelle3!$A30)</f>
        <v>4</v>
      </c>
      <c r="AS30">
        <f ca="1">COUNTIFS(INDIRECT("Table1[Beginn]"),"&lt;="&amp;AS$1,INDIRECT("Table1[Ende]"),"&gt;="&amp;AS$1,INDIRECT("Table1[Obergruppe ATC-Code]"),Tabelle3!$A30)</f>
        <v>4</v>
      </c>
      <c r="AT30">
        <f ca="1">COUNTIFS(INDIRECT("Table1[Beginn]"),"&lt;="&amp;AT$1,INDIRECT("Table1[Ende]"),"&gt;="&amp;AT$1,INDIRECT("Table1[Obergruppe ATC-Code]"),Tabelle3!$A30)</f>
        <v>4</v>
      </c>
      <c r="AU30">
        <f ca="1">COUNTIFS(INDIRECT("Table1[Beginn]"),"&lt;="&amp;AU$1,INDIRECT("Table1[Ende]"),"&gt;="&amp;AU$1,INDIRECT("Table1[Obergruppe ATC-Code]"),Tabelle3!$A30)</f>
        <v>4</v>
      </c>
      <c r="AV30">
        <f ca="1">COUNTIFS(INDIRECT("Table1[Beginn]"),"&lt;="&amp;AV$1,INDIRECT("Table1[Ende]"),"&gt;="&amp;AV$1,INDIRECT("Table1[Obergruppe ATC-Code]"),Tabelle3!$A30)</f>
        <v>5</v>
      </c>
      <c r="AW30">
        <f ca="1">COUNTIFS(INDIRECT("Table1[Beginn]"),"&lt;="&amp;AW$1,INDIRECT("Table1[Ende]"),"&gt;="&amp;AW$1,INDIRECT("Table1[Obergruppe ATC-Code]"),Tabelle3!$A30)</f>
        <v>5</v>
      </c>
      <c r="AX30">
        <f ca="1">COUNTIFS(INDIRECT("Table1[Beginn]"),"&lt;="&amp;AX$1,INDIRECT("Table1[Ende]"),"&gt;="&amp;AX$1,INDIRECT("Table1[Obergruppe ATC-Code]"),Tabelle3!$A30)</f>
        <v>6</v>
      </c>
      <c r="AY30">
        <f ca="1">COUNTIFS(INDIRECT("Table1[Beginn]"),"&lt;="&amp;AY$1,INDIRECT("Table1[Ende]"),"&gt;="&amp;AY$1,INDIRECT("Table1[Obergruppe ATC-Code]"),Tabelle3!$A30)</f>
        <v>5</v>
      </c>
      <c r="AZ30">
        <f ca="1">COUNTIFS(INDIRECT("Table1[Beginn]"),"&lt;="&amp;AZ$1,INDIRECT("Table1[Ende]"),"&gt;="&amp;AZ$1,INDIRECT("Table1[Obergruppe ATC-Code]"),Tabelle3!$A30)</f>
        <v>5</v>
      </c>
      <c r="BA30">
        <f ca="1">COUNTIFS(INDIRECT("Table1[Beginn]"),"&lt;="&amp;BA$1,INDIRECT("Table1[Ende]"),"&gt;="&amp;BA$1,INDIRECT("Table1[Obergruppe ATC-Code]"),Tabelle3!$A30)</f>
        <v>6</v>
      </c>
      <c r="BB30">
        <f ca="1">COUNTIFS(INDIRECT("Table1[Beginn]"),"&lt;="&amp;BB$1,INDIRECT("Table1[Ende]"),"&gt;="&amp;BB$1,INDIRECT("Table1[Obergruppe ATC-Code]"),Tabelle3!$A30)</f>
        <v>4</v>
      </c>
      <c r="BC30">
        <f ca="1">COUNTIFS(INDIRECT("Table1[Beginn]"),"&lt;="&amp;BC$1,INDIRECT("Table1[Ende]"),"&gt;="&amp;BC$1,INDIRECT("Table1[Obergruppe ATC-Code]"),Tabelle3!$A30)</f>
        <v>4</v>
      </c>
      <c r="BD30">
        <f ca="1">COUNTIFS(INDIRECT("Table1[Beginn]"),"&lt;="&amp;BD$1,INDIRECT("Table1[Ende]"),"&gt;="&amp;BD$1,INDIRECT("Table1[Obergruppe ATC-Code]"),Tabelle3!$A30)</f>
        <v>3</v>
      </c>
      <c r="BE30">
        <f ca="1">COUNTIFS(INDIRECT("Table1[Beginn]"),"&lt;="&amp;BE$1,INDIRECT("Table1[Ende]"),"&gt;="&amp;BE$1,INDIRECT("Table1[Obergruppe ATC-Code]"),Tabelle3!$A30)</f>
        <v>2</v>
      </c>
      <c r="BF30">
        <f ca="1">COUNTIFS(INDIRECT("Table1[Beginn]"),"&lt;="&amp;BF$1,INDIRECT("Table1[Ende]"),"&gt;="&amp;BF$1,INDIRECT("Table1[Obergruppe ATC-Code]"),Tabelle3!$A30)</f>
        <v>2</v>
      </c>
      <c r="BG30">
        <f ca="1">COUNTIFS(INDIRECT("Table1[Beginn]"),"&lt;="&amp;BG$1,INDIRECT("Table1[Ende]"),"&gt;="&amp;BG$1,INDIRECT("Table1[Obergruppe ATC-Code]"),Tabelle3!$A30)</f>
        <v>2</v>
      </c>
      <c r="BH30">
        <f ca="1">COUNTIFS(INDIRECT("Table1[Beginn]"),"&lt;="&amp;BH$1,INDIRECT("Table1[Ende]"),"&gt;="&amp;BH$1,INDIRECT("Table1[Obergruppe ATC-Code]"),Tabelle3!$A30)</f>
        <v>2</v>
      </c>
      <c r="BI30">
        <f ca="1">COUNTIFS(INDIRECT("Table1[Beginn]"),"&lt;="&amp;BI$1,INDIRECT("Table1[Ende]"),"&gt;="&amp;BI$1,INDIRECT("Table1[Obergruppe ATC-Code]"),Tabelle3!$A30)</f>
        <v>2</v>
      </c>
      <c r="BJ30">
        <f ca="1">COUNTIFS(INDIRECT("Table1[Beginn]"),"&lt;="&amp;BJ$1,INDIRECT("Table1[Ende]"),"&gt;="&amp;BJ$1,INDIRECT("Table1[Obergruppe ATC-Code]"),Tabelle3!$A30)</f>
        <v>2</v>
      </c>
      <c r="BK30">
        <f ca="1">COUNTIFS(INDIRECT("Table1[Beginn]"),"&lt;="&amp;BK$1,INDIRECT("Table1[Ende]"),"&gt;="&amp;BK$1,INDIRECT("Table1[Obergruppe ATC-Code]"),Tabelle3!$A30)</f>
        <v>0</v>
      </c>
      <c r="BL30">
        <f ca="1">COUNTIFS(INDIRECT("Table1[Beginn]"),"&lt;="&amp;BL$1,INDIRECT("Table1[Ende]"),"&gt;="&amp;BL$1,INDIRECT("Table1[Obergruppe ATC-Code]"),Tabelle3!$A30)</f>
        <v>0</v>
      </c>
      <c r="BM30">
        <f ca="1">COUNTIFS(INDIRECT("Table1[Beginn]"),"&lt;="&amp;BM$1,INDIRECT("Table1[Ende]"),"&gt;="&amp;BM$1,INDIRECT("Table1[Obergruppe ATC-Code]"),Tabelle3!$A30)</f>
        <v>0</v>
      </c>
      <c r="BN30">
        <f ca="1">COUNTIFS(INDIRECT("Table1[Beginn]"),"&lt;="&amp;BN$1,INDIRECT("Table1[Ende]"),"&gt;="&amp;BN$1,INDIRECT("Table1[Obergruppe ATC-Code]"),Tabelle3!$A30)</f>
        <v>0</v>
      </c>
      <c r="BO30">
        <f ca="1">COUNTIFS(INDIRECT("Table1[Beginn]"),"&lt;="&amp;BO$1,INDIRECT("Table1[Ende]"),"&gt;="&amp;BO$1,INDIRECT("Table1[Obergruppe ATC-Code]"),Tabelle3!$A30)</f>
        <v>1</v>
      </c>
      <c r="BP30">
        <f ca="1">COUNTIFS(INDIRECT("Table1[Beginn]"),"&lt;="&amp;BP$1,INDIRECT("Table1[Ende]"),"&gt;="&amp;BP$1,INDIRECT("Table1[Obergruppe ATC-Code]"),Tabelle3!$A30)</f>
        <v>1</v>
      </c>
      <c r="BQ30">
        <f ca="1">COUNTIFS(INDIRECT("Table1[Beginn]"),"&lt;="&amp;BQ$1,INDIRECT("Table1[Ende]"),"&gt;="&amp;BQ$1,INDIRECT("Table1[Obergruppe ATC-Code]"),Tabelle3!$A30)</f>
        <v>2</v>
      </c>
      <c r="BR30">
        <f ca="1">COUNTIFS(INDIRECT("Table1[Beginn]"),"&lt;="&amp;BR$1,INDIRECT("Table1[Ende]"),"&gt;="&amp;BR$1,INDIRECT("Table1[Obergruppe ATC-Code]"),Tabelle3!$A30)</f>
        <v>2</v>
      </c>
      <c r="BS30">
        <f ca="1">COUNTIFS(INDIRECT("Table1[Beginn]"),"&lt;="&amp;BS$1,INDIRECT("Table1[Ende]"),"&gt;="&amp;BS$1,INDIRECT("Table1[Obergruppe ATC-Code]"),Tabelle3!$A30)</f>
        <v>5</v>
      </c>
      <c r="BT30">
        <f ca="1">COUNTIFS(INDIRECT("Table1[Beginn]"),"&lt;="&amp;BT$1,INDIRECT("Table1[Ende]"),"&gt;="&amp;BT$1,INDIRECT("Table1[Obergruppe ATC-Code]"),Tabelle3!$A30)</f>
        <v>6</v>
      </c>
      <c r="BU30">
        <f ca="1">COUNTIFS(INDIRECT("Table1[Beginn]"),"&lt;="&amp;BU$1,INDIRECT("Table1[Ende]"),"&gt;="&amp;BU$1,INDIRECT("Table1[Obergruppe ATC-Code]"),Tabelle3!$A30)</f>
        <v>4</v>
      </c>
      <c r="BV30">
        <f ca="1">COUNTIFS(INDIRECT("Table1[Beginn]"),"&lt;="&amp;BV$1,INDIRECT("Table1[Ende]"),"&gt;="&amp;BV$1,INDIRECT("Table1[Obergruppe ATC-Code]"),Tabelle3!$A30)</f>
        <v>6</v>
      </c>
      <c r="BW30">
        <f ca="1">COUNTIFS(INDIRECT("Table1[Beginn]"),"&lt;="&amp;BW$1,INDIRECT("Table1[Ende]"),"&gt;="&amp;BW$1,INDIRECT("Table1[Obergruppe ATC-Code]"),Tabelle3!$A30)</f>
        <v>8</v>
      </c>
      <c r="BX30">
        <f ca="1">COUNTIFS(INDIRECT("Table1[Beginn]"),"&lt;="&amp;BX$1,INDIRECT("Table1[Ende]"),"&gt;="&amp;BX$1,INDIRECT("Table1[Obergruppe ATC-Code]"),Tabelle3!$A30)</f>
        <v>6</v>
      </c>
      <c r="BY30">
        <f ca="1">COUNTIFS(INDIRECT("Table1[Beginn]"),"&lt;="&amp;BY$1,INDIRECT("Table1[Ende]"),"&gt;="&amp;BY$1,INDIRECT("Table1[Obergruppe ATC-Code]"),Tabelle3!$A30)</f>
        <v>5</v>
      </c>
      <c r="BZ30">
        <f ca="1">COUNTIFS(INDIRECT("Table1[Beginn]"),"&lt;="&amp;BZ$1,INDIRECT("Table1[Ende]"),"&gt;="&amp;BZ$1,INDIRECT("Table1[Obergruppe ATC-Code]"),Tabelle3!$A30)</f>
        <v>4</v>
      </c>
      <c r="CA30">
        <f ca="1">COUNTIFS(INDIRECT("Table1[Beginn]"),"&lt;="&amp;CA$1,INDIRECT("Table1[Ende]"),"&gt;="&amp;CA$1,INDIRECT("Table1[Obergruppe ATC-Code]"),Tabelle3!$A30)</f>
        <v>3</v>
      </c>
      <c r="CB30">
        <f ca="1">COUNTIFS(INDIRECT("Table1[Beginn]"),"&lt;="&amp;CB$1,INDIRECT("Table1[Ende]"),"&gt;="&amp;CB$1,INDIRECT("Table1[Obergruppe ATC-Code]"),Tabelle3!$A30)</f>
        <v>4</v>
      </c>
      <c r="CC30">
        <f ca="1">COUNTIFS(INDIRECT("Table1[Beginn]"),"&lt;="&amp;CC$1,INDIRECT("Table1[Ende]"),"&gt;="&amp;CC$1,INDIRECT("Table1[Obergruppe ATC-Code]"),Tabelle3!$A30)</f>
        <v>6</v>
      </c>
      <c r="CD30">
        <f ca="1">COUNTIFS(INDIRECT("Table1[Beginn]"),"&lt;="&amp;CD$1,INDIRECT("Table1[Ende]"),"&gt;="&amp;CD$1,INDIRECT("Table1[Obergruppe ATC-Code]"),Tabelle3!$A30)</f>
        <v>7</v>
      </c>
      <c r="CE30">
        <f ca="1">COUNTIFS(INDIRECT("Table1[Beginn]"),"&lt;="&amp;CE$1,INDIRECT("Table1[Ende]"),"&gt;="&amp;CE$1,INDIRECT("Table1[Obergruppe ATC-Code]"),Tabelle3!$A30)</f>
        <v>5</v>
      </c>
      <c r="CF30">
        <f ca="1">COUNTIFS(INDIRECT("Table1[Beginn]"),"&lt;="&amp;CF$1,INDIRECT("Table1[Ende]"),"&gt;="&amp;CF$1,INDIRECT("Table1[Obergruppe ATC-Code]"),Tabelle3!$A30)</f>
        <v>5</v>
      </c>
      <c r="CG30">
        <f ca="1">COUNTIFS(INDIRECT("Table1[Beginn]"),"&lt;="&amp;CG$1,INDIRECT("Table1[Ende]"),"&gt;="&amp;CG$1,INDIRECT("Table1[Obergruppe ATC-Code]"),Tabelle3!$A30)</f>
        <v>7</v>
      </c>
      <c r="CH30">
        <f ca="1">COUNTIFS(INDIRECT("Table1[Beginn]"),"&lt;="&amp;CH$1,INDIRECT("Table1[Ende]"),"&gt;="&amp;CH$1,INDIRECT("Table1[Obergruppe ATC-Code]"),Tabelle3!$A30)</f>
        <v>7</v>
      </c>
      <c r="CI30">
        <f ca="1">COUNTIFS(INDIRECT("Table1[Beginn]"),"&lt;="&amp;CI$1,INDIRECT("Table1[Ende]"),"&gt;="&amp;CI$1,INDIRECT("Table1[Obergruppe ATC-Code]"),Tabelle3!$A30)</f>
        <v>2</v>
      </c>
      <c r="CJ30">
        <f ca="1">COUNTIFS(INDIRECT("Table1[Beginn]"),"&lt;="&amp;CJ$1,INDIRECT("Table1[Ende]"),"&gt;="&amp;CJ$1,INDIRECT("Table1[Obergruppe ATC-Code]"),Tabelle3!$A30)</f>
        <v>0</v>
      </c>
      <c r="CK30">
        <f ca="1">COUNTIFS(INDIRECT("Table1[Beginn]"),"&lt;="&amp;CK$1,INDIRECT("Table1[Ende]"),"&gt;="&amp;CK$1,INDIRECT("Table1[Obergruppe ATC-Code]"),Tabelle3!$A30)</f>
        <v>0</v>
      </c>
      <c r="CL30">
        <f ca="1">COUNTIFS(INDIRECT("Table1[Beginn]"),"&lt;="&amp;CL$1,INDIRECT("Table1[Ende]"),"&gt;="&amp;CL$1,INDIRECT("Table1[Obergruppe ATC-Code]"),Tabelle3!$A30)</f>
        <v>0</v>
      </c>
      <c r="CM30">
        <f ca="1">COUNTIFS(INDIRECT("Table1[Beginn]"),"&lt;="&amp;CM$1,INDIRECT("Table1[Ende]"),"&gt;="&amp;CM$1,INDIRECT("Table1[Obergruppe ATC-Code]"),Tabelle3!$A30)</f>
        <v>0</v>
      </c>
      <c r="CN30">
        <f ca="1">COUNTIFS(INDIRECT("Table1[Beginn]"),"&lt;="&amp;CN$1,INDIRECT("Table1[Ende]"),"&gt;="&amp;CN$1,INDIRECT("Table1[Obergruppe ATC-Code]"),Tabelle3!$A30)</f>
        <v>0</v>
      </c>
      <c r="CO30">
        <f ca="1">COUNTIFS(INDIRECT("Table1[Beginn]"),"&lt;="&amp;CO$1,INDIRECT("Table1[Ende]"),"&gt;="&amp;CO$1,INDIRECT("Table1[Obergruppe ATC-Code]"),Tabelle3!$A30)</f>
        <v>0</v>
      </c>
      <c r="CP30">
        <f ca="1">COUNTIFS(INDIRECT("Table1[Beginn]"),"&lt;="&amp;CP$1,INDIRECT("Table1[Ende]"),"&gt;="&amp;CP$1,INDIRECT("Table1[Obergruppe ATC-Code]"),Tabelle3!$A30)</f>
        <v>0</v>
      </c>
      <c r="CQ30">
        <f ca="1">COUNTIFS(INDIRECT("Table1[Beginn]"),"&lt;="&amp;CQ$1,INDIRECT("Table1[Ende]"),"&gt;="&amp;CQ$1,INDIRECT("Table1[Obergruppe ATC-Code]"),Tabelle3!$A30)</f>
        <v>0</v>
      </c>
      <c r="CR30">
        <f ca="1">COUNTIFS(INDIRECT("Table1[Beginn]"),"&lt;="&amp;CR$1,INDIRECT("Table1[Ende]"),"&gt;="&amp;CR$1,INDIRECT("Table1[Obergruppe ATC-Code]"),Tabelle3!$A30)</f>
        <v>0</v>
      </c>
      <c r="CS30">
        <f ca="1">COUNTIFS(INDIRECT("Table1[Beginn]"),"&lt;="&amp;CS$1,INDIRECT("Table1[Ende]"),"&gt;="&amp;CS$1,INDIRECT("Table1[Obergruppe ATC-Code]"),Tabelle3!$A30)</f>
        <v>0</v>
      </c>
      <c r="CT30">
        <f ca="1">COUNTIFS(INDIRECT("Table1[Beginn]"),"&lt;="&amp;CT$1,INDIRECT("Table1[Ende]"),"&gt;="&amp;CT$1,INDIRECT("Table1[Obergruppe ATC-Code]"),Tabelle3!$A30)</f>
        <v>0</v>
      </c>
      <c r="CU30" s="54"/>
      <c r="CV30" s="54"/>
      <c r="CW30" s="54"/>
      <c r="CX30" s="54"/>
      <c r="CY30" s="54"/>
      <c r="CZ30" s="54"/>
      <c r="DA30" s="54"/>
      <c r="DB30" s="54"/>
      <c r="DC30" s="54"/>
      <c r="DD30" s="54"/>
      <c r="DE30" s="54"/>
      <c r="DF30" s="54"/>
      <c r="DG30" s="54"/>
      <c r="DH30" s="54"/>
    </row>
    <row r="31" spans="1:112" ht="18" customHeight="1">
      <c r="A31" s="17" t="s">
        <v>6830</v>
      </c>
      <c r="B31" s="18" t="s">
        <v>6831</v>
      </c>
      <c r="C31" s="22">
        <f ca="1">COUNTIFS(INDIRECT("Table1[Beginn]"),"&lt;="&amp;C$1,INDIRECT("Table1[Ende]"),"&gt;="&amp;C$1,INDIRECT("Table1[Obergruppe ATC-Code]"),Tabelle3!$A31)</f>
        <v>0</v>
      </c>
      <c r="D31" s="22">
        <f ca="1">COUNTIFS(INDIRECT("Table1[Beginn]"),"&lt;="&amp;D$1,INDIRECT("Table1[Ende]"),"&gt;="&amp;D$1,INDIRECT("Table1[Obergruppe ATC-Code]"),Tabelle3!$A31)</f>
        <v>0</v>
      </c>
      <c r="E31" s="22">
        <f ca="1">COUNTIFS(INDIRECT("Table1[Beginn]"),"&lt;="&amp;E$1,INDIRECT("Table1[Ende]"),"&gt;="&amp;E$1,INDIRECT("Table1[Obergruppe ATC-Code]"),Tabelle3!$A31)</f>
        <v>0</v>
      </c>
      <c r="F31" s="22">
        <f ca="1">COUNTIFS(INDIRECT("Table1[Beginn]"),"&lt;="&amp;F$1,INDIRECT("Table1[Ende]"),"&gt;="&amp;F$1,INDIRECT("Table1[Obergruppe ATC-Code]"),Tabelle3!$A31)</f>
        <v>0</v>
      </c>
      <c r="G31" s="22">
        <f ca="1">COUNTIFS(INDIRECT("Table1[Beginn]"),"&lt;="&amp;G$1,INDIRECT("Table1[Ende]"),"&gt;="&amp;G$1,INDIRECT("Table1[Obergruppe ATC-Code]"),Tabelle3!$A31)</f>
        <v>0</v>
      </c>
      <c r="H31" s="22">
        <f ca="1">COUNTIFS(INDIRECT("Table1[Beginn]"),"&lt;="&amp;H$1,INDIRECT("Table1[Ende]"),"&gt;="&amp;H$1,INDIRECT("Table1[Obergruppe ATC-Code]"),Tabelle3!$A31)</f>
        <v>0</v>
      </c>
      <c r="I31" s="22">
        <f ca="1">COUNTIFS(INDIRECT("Table1[Beginn]"),"&lt;="&amp;I$1,INDIRECT("Table1[Ende]"),"&gt;="&amp;I$1,INDIRECT("Table1[Obergruppe ATC-Code]"),Tabelle3!$A31)</f>
        <v>0</v>
      </c>
      <c r="J31" s="22">
        <f ca="1">COUNTIFS(INDIRECT("Table1[Beginn]"),"&lt;="&amp;J$1,INDIRECT("Table1[Ende]"),"&gt;="&amp;J$1,INDIRECT("Table1[Obergruppe ATC-Code]"),Tabelle3!$A31)</f>
        <v>0</v>
      </c>
      <c r="K31" s="22">
        <f ca="1">COUNTIFS(INDIRECT("Table1[Beginn]"),"&lt;="&amp;K$1,INDIRECT("Table1[Ende]"),"&gt;="&amp;K$1,INDIRECT("Table1[Obergruppe ATC-Code]"),Tabelle3!$A31)</f>
        <v>0</v>
      </c>
      <c r="L31" s="22">
        <f ca="1">COUNTIFS(INDIRECT("Table1[Beginn]"),"&lt;="&amp;L$1,INDIRECT("Table1[Ende]"),"&gt;="&amp;L$1,INDIRECT("Table1[Obergruppe ATC-Code]"),Tabelle3!$A31)</f>
        <v>0</v>
      </c>
      <c r="M31" s="22">
        <f ca="1">COUNTIFS(INDIRECT("Table1[Beginn]"),"&lt;="&amp;M$1,INDIRECT("Table1[Ende]"),"&gt;="&amp;M$1,INDIRECT("Table1[Obergruppe ATC-Code]"),Tabelle3!$A31)</f>
        <v>0</v>
      </c>
      <c r="N31" s="22">
        <f ca="1">COUNTIFS(INDIRECT("Table1[Beginn]"),"&lt;="&amp;N$1,INDIRECT("Table1[Ende]"),"&gt;="&amp;N$1,INDIRECT("Table1[Obergruppe ATC-Code]"),Tabelle3!$A31)</f>
        <v>0</v>
      </c>
      <c r="O31" s="22">
        <f ca="1">COUNTIFS(INDIRECT("Table1[Beginn]"),"&lt;="&amp;O$1,INDIRECT("Table1[Ende]"),"&gt;="&amp;O$1,INDIRECT("Table1[Obergruppe ATC-Code]"),Tabelle3!$A31)</f>
        <v>0</v>
      </c>
      <c r="P31" s="22">
        <f ca="1">COUNTIFS(INDIRECT("Table1[Beginn]"),"&lt;="&amp;P$1,INDIRECT("Table1[Ende]"),"&gt;="&amp;P$1,INDIRECT("Table1[Obergruppe ATC-Code]"),Tabelle3!$A31)</f>
        <v>0</v>
      </c>
      <c r="Q31" s="22">
        <f ca="1">COUNTIFS(INDIRECT("Table1[Beginn]"),"&lt;="&amp;Q$1,INDIRECT("Table1[Ende]"),"&gt;="&amp;Q$1,INDIRECT("Table1[Obergruppe ATC-Code]"),Tabelle3!$A31)</f>
        <v>0</v>
      </c>
      <c r="R31" s="22">
        <f ca="1">COUNTIFS(INDIRECT("Table1[Beginn]"),"&lt;="&amp;R$1,INDIRECT("Table1[Ende]"),"&gt;="&amp;R$1,INDIRECT("Table1[Obergruppe ATC-Code]"),Tabelle3!$A31)</f>
        <v>0</v>
      </c>
      <c r="S31" s="22">
        <f ca="1">COUNTIFS(INDIRECT("Table1[Beginn]"),"&lt;="&amp;S$1,INDIRECT("Table1[Ende]"),"&gt;="&amp;S$1,INDIRECT("Table1[Obergruppe ATC-Code]"),Tabelle3!$A31)</f>
        <v>0</v>
      </c>
      <c r="T31" s="22">
        <f ca="1">COUNTIFS(INDIRECT("Table1[Beginn]"),"&lt;="&amp;T$1,INDIRECT("Table1[Ende]"),"&gt;="&amp;T$1,INDIRECT("Table1[Obergruppe ATC-Code]"),Tabelle3!$A31)</f>
        <v>0</v>
      </c>
      <c r="U31" s="22">
        <f ca="1">COUNTIFS(INDIRECT("Table1[Beginn]"),"&lt;="&amp;U$1,INDIRECT("Table1[Ende]"),"&gt;="&amp;U$1,INDIRECT("Table1[Obergruppe ATC-Code]"),Tabelle3!$A31)</f>
        <v>95</v>
      </c>
      <c r="V31" s="22">
        <f ca="1">COUNTIFS(INDIRECT("Table1[Beginn]"),"&lt;="&amp;V$1,INDIRECT("Table1[Ende]"),"&gt;="&amp;V$1,INDIRECT("Table1[Obergruppe ATC-Code]"),Tabelle3!$A31)</f>
        <v>95</v>
      </c>
      <c r="W31" s="22">
        <f ca="1">COUNTIFS(INDIRECT("Table1[Beginn]"),"&lt;="&amp;W$1,INDIRECT("Table1[Ende]"),"&gt;="&amp;W$1,INDIRECT("Table1[Obergruppe ATC-Code]"),Tabelle3!$A31)</f>
        <v>95</v>
      </c>
      <c r="X31" s="22">
        <f ca="1">COUNTIFS(INDIRECT("Table1[Beginn]"),"&lt;="&amp;X$1,INDIRECT("Table1[Ende]"),"&gt;="&amp;X$1,INDIRECT("Table1[Obergruppe ATC-Code]"),Tabelle3!$A31)</f>
        <v>101</v>
      </c>
      <c r="Y31" s="22">
        <f ca="1">COUNTIFS(INDIRECT("Table1[Beginn]"),"&lt;="&amp;Y$1,INDIRECT("Table1[Ende]"),"&gt;="&amp;Y$1,INDIRECT("Table1[Obergruppe ATC-Code]"),Tabelle3!$A31)</f>
        <v>108</v>
      </c>
      <c r="Z31" s="22">
        <f ca="1">COUNTIFS(INDIRECT("Table1[Beginn]"),"&lt;="&amp;Z$1,INDIRECT("Table1[Ende]"),"&gt;="&amp;Z$1,INDIRECT("Table1[Obergruppe ATC-Code]"),Tabelle3!$A31)</f>
        <v>110</v>
      </c>
      <c r="AA31" s="22">
        <f ca="1">COUNTIFS(INDIRECT("Table1[Beginn]"),"&lt;="&amp;AA$1,INDIRECT("Table1[Ende]"),"&gt;="&amp;AA$1,INDIRECT("Table1[Obergruppe ATC-Code]"),Tabelle3!$A31)</f>
        <v>101</v>
      </c>
      <c r="AB31" s="22">
        <f ca="1">COUNTIFS(INDIRECT("Table1[Beginn]"),"&lt;="&amp;AB$1,INDIRECT("Table1[Ende]"),"&gt;="&amp;AB$1,INDIRECT("Table1[Obergruppe ATC-Code]"),Tabelle3!$A31)</f>
        <v>99</v>
      </c>
      <c r="AC31" s="22">
        <f ca="1">COUNTIFS(INDIRECT("Table1[Beginn]"),"&lt;="&amp;AC$1,INDIRECT("Table1[Ende]"),"&gt;="&amp;AC$1,INDIRECT("Table1[Obergruppe ATC-Code]"),Tabelle3!$A31)</f>
        <v>97</v>
      </c>
      <c r="AD31" s="22">
        <f ca="1">COUNTIFS(INDIRECT("Table1[Beginn]"),"&lt;="&amp;AD$1,INDIRECT("Table1[Ende]"),"&gt;="&amp;AD$1,INDIRECT("Table1[Obergruppe ATC-Code]"),Tabelle3!$A31)</f>
        <v>94</v>
      </c>
      <c r="AE31" s="22">
        <f ca="1">COUNTIFS(INDIRECT("Table1[Beginn]"),"&lt;="&amp;AE$1,INDIRECT("Table1[Ende]"),"&gt;="&amp;AE$1,INDIRECT("Table1[Obergruppe ATC-Code]"),Tabelle3!$A31)</f>
        <v>94</v>
      </c>
      <c r="AF31" s="22">
        <f ca="1">COUNTIFS(INDIRECT("Table1[Beginn]"),"&lt;="&amp;AF$1,INDIRECT("Table1[Ende]"),"&gt;="&amp;AF$1,INDIRECT("Table1[Obergruppe ATC-Code]"),Tabelle3!$A31)</f>
        <v>95</v>
      </c>
      <c r="AG31" s="22">
        <f ca="1">COUNTIFS(INDIRECT("Table1[Beginn]"),"&lt;="&amp;AG$1,INDIRECT("Table1[Ende]"),"&gt;="&amp;AG$1,INDIRECT("Table1[Obergruppe ATC-Code]"),Tabelle3!$A31)</f>
        <v>87</v>
      </c>
      <c r="AH31" s="22">
        <f ca="1">COUNTIFS(INDIRECT("Table1[Beginn]"),"&lt;="&amp;AH$1,INDIRECT("Table1[Ende]"),"&gt;="&amp;AH$1,INDIRECT("Table1[Obergruppe ATC-Code]"),Tabelle3!$A31)</f>
        <v>87</v>
      </c>
      <c r="AI31" s="22">
        <f ca="1">COUNTIFS(INDIRECT("Table1[Beginn]"),"&lt;="&amp;AI$1,INDIRECT("Table1[Ende]"),"&gt;="&amp;AI$1,INDIRECT("Table1[Obergruppe ATC-Code]"),Tabelle3!$A31)</f>
        <v>85</v>
      </c>
      <c r="AJ31" s="22">
        <f ca="1">COUNTIFS(INDIRECT("Table1[Beginn]"),"&lt;="&amp;AJ$1,INDIRECT("Table1[Ende]"),"&gt;="&amp;AJ$1,INDIRECT("Table1[Obergruppe ATC-Code]"),Tabelle3!$A31)</f>
        <v>85</v>
      </c>
      <c r="AK31" s="22">
        <f ca="1">COUNTIFS(INDIRECT("Table1[Beginn]"),"&lt;="&amp;AK$1,INDIRECT("Table1[Ende]"),"&gt;="&amp;AK$1,INDIRECT("Table1[Obergruppe ATC-Code]"),Tabelle3!$A31)</f>
        <v>85</v>
      </c>
      <c r="AL31" s="22">
        <f ca="1">COUNTIFS(INDIRECT("Table1[Beginn]"),"&lt;="&amp;AL$1,INDIRECT("Table1[Ende]"),"&gt;="&amp;AL$1,INDIRECT("Table1[Obergruppe ATC-Code]"),Tabelle3!$A31)</f>
        <v>86</v>
      </c>
      <c r="AM31" s="22">
        <f ca="1">COUNTIFS(INDIRECT("Table1[Beginn]"),"&lt;="&amp;AM$1,INDIRECT("Table1[Ende]"),"&gt;="&amp;AM$1,INDIRECT("Table1[Obergruppe ATC-Code]"),Tabelle3!$A31)</f>
        <v>70</v>
      </c>
      <c r="AN31" s="22">
        <f ca="1">COUNTIFS(INDIRECT("Table1[Beginn]"),"&lt;="&amp;AN$1,INDIRECT("Table1[Ende]"),"&gt;="&amp;AN$1,INDIRECT("Table1[Obergruppe ATC-Code]"),Tabelle3!$A31)</f>
        <v>56</v>
      </c>
      <c r="AO31" s="22">
        <f ca="1">COUNTIFS(INDIRECT("Table1[Beginn]"),"&lt;="&amp;AO$1,INDIRECT("Table1[Ende]"),"&gt;="&amp;AO$1,INDIRECT("Table1[Obergruppe ATC-Code]"),Tabelle3!$A31)</f>
        <v>59</v>
      </c>
      <c r="AP31" s="22">
        <f ca="1">COUNTIFS(INDIRECT("Table1[Beginn]"),"&lt;="&amp;AP$1,INDIRECT("Table1[Ende]"),"&gt;="&amp;AP$1,INDIRECT("Table1[Obergruppe ATC-Code]"),Tabelle3!$A31)</f>
        <v>61</v>
      </c>
      <c r="AQ31" s="22">
        <f ca="1">COUNTIFS(INDIRECT("Table1[Beginn]"),"&lt;="&amp;AQ$1,INDIRECT("Table1[Ende]"),"&gt;="&amp;AQ$1,INDIRECT("Table1[Obergruppe ATC-Code]"),Tabelle3!$A31)</f>
        <v>64</v>
      </c>
      <c r="AR31" s="22">
        <f ca="1">COUNTIFS(INDIRECT("Table1[Beginn]"),"&lt;="&amp;AR$1,INDIRECT("Table1[Ende]"),"&gt;="&amp;AR$1,INDIRECT("Table1[Obergruppe ATC-Code]"),Tabelle3!$A31)</f>
        <v>62</v>
      </c>
      <c r="AS31" s="22">
        <f ca="1">COUNTIFS(INDIRECT("Table1[Beginn]"),"&lt;="&amp;AS$1,INDIRECT("Table1[Ende]"),"&gt;="&amp;AS$1,INDIRECT("Table1[Obergruppe ATC-Code]"),Tabelle3!$A31)</f>
        <v>52</v>
      </c>
      <c r="AT31" s="22">
        <f ca="1">COUNTIFS(INDIRECT("Table1[Beginn]"),"&lt;="&amp;AT$1,INDIRECT("Table1[Ende]"),"&gt;="&amp;AT$1,INDIRECT("Table1[Obergruppe ATC-Code]"),Tabelle3!$A31)</f>
        <v>52</v>
      </c>
      <c r="AU31" s="22">
        <f ca="1">COUNTIFS(INDIRECT("Table1[Beginn]"),"&lt;="&amp;AU$1,INDIRECT("Table1[Ende]"),"&gt;="&amp;AU$1,INDIRECT("Table1[Obergruppe ATC-Code]"),Tabelle3!$A31)</f>
        <v>48</v>
      </c>
      <c r="AV31" s="22">
        <f ca="1">COUNTIFS(INDIRECT("Table1[Beginn]"),"&lt;="&amp;AV$1,INDIRECT("Table1[Ende]"),"&gt;="&amp;AV$1,INDIRECT("Table1[Obergruppe ATC-Code]"),Tabelle3!$A31)</f>
        <v>47</v>
      </c>
      <c r="AW31" s="22">
        <f ca="1">COUNTIFS(INDIRECT("Table1[Beginn]"),"&lt;="&amp;AW$1,INDIRECT("Table1[Ende]"),"&gt;="&amp;AW$1,INDIRECT("Table1[Obergruppe ATC-Code]"),Tabelle3!$A31)</f>
        <v>46</v>
      </c>
      <c r="AX31" s="22">
        <f ca="1">COUNTIFS(INDIRECT("Table1[Beginn]"),"&lt;="&amp;AX$1,INDIRECT("Table1[Ende]"),"&gt;="&amp;AX$1,INDIRECT("Table1[Obergruppe ATC-Code]"),Tabelle3!$A31)</f>
        <v>39</v>
      </c>
      <c r="AY31" s="22">
        <f ca="1">COUNTIFS(INDIRECT("Table1[Beginn]"),"&lt;="&amp;AY$1,INDIRECT("Table1[Ende]"),"&gt;="&amp;AY$1,INDIRECT("Table1[Obergruppe ATC-Code]"),Tabelle3!$A31)</f>
        <v>17</v>
      </c>
      <c r="AZ31" s="22">
        <f ca="1">COUNTIFS(INDIRECT("Table1[Beginn]"),"&lt;="&amp;AZ$1,INDIRECT("Table1[Ende]"),"&gt;="&amp;AZ$1,INDIRECT("Table1[Obergruppe ATC-Code]"),Tabelle3!$A31)</f>
        <v>14</v>
      </c>
      <c r="BA31" s="22">
        <f ca="1">COUNTIFS(INDIRECT("Table1[Beginn]"),"&lt;="&amp;BA$1,INDIRECT("Table1[Ende]"),"&gt;="&amp;BA$1,INDIRECT("Table1[Obergruppe ATC-Code]"),Tabelle3!$A31)</f>
        <v>14</v>
      </c>
      <c r="BB31" s="22">
        <f ca="1">COUNTIFS(INDIRECT("Table1[Beginn]"),"&lt;="&amp;BB$1,INDIRECT("Table1[Ende]"),"&gt;="&amp;BB$1,INDIRECT("Table1[Obergruppe ATC-Code]"),Tabelle3!$A31)</f>
        <v>4</v>
      </c>
      <c r="BC31" s="22">
        <f ca="1">COUNTIFS(INDIRECT("Table1[Beginn]"),"&lt;="&amp;BC$1,INDIRECT("Table1[Ende]"),"&gt;="&amp;BC$1,INDIRECT("Table1[Obergruppe ATC-Code]"),Tabelle3!$A31)</f>
        <v>4</v>
      </c>
      <c r="BD31" s="22">
        <f ca="1">COUNTIFS(INDIRECT("Table1[Beginn]"),"&lt;="&amp;BD$1,INDIRECT("Table1[Ende]"),"&gt;="&amp;BD$1,INDIRECT("Table1[Obergruppe ATC-Code]"),Tabelle3!$A31)</f>
        <v>4</v>
      </c>
      <c r="BE31" s="22">
        <f ca="1">COUNTIFS(INDIRECT("Table1[Beginn]"),"&lt;="&amp;BE$1,INDIRECT("Table1[Ende]"),"&gt;="&amp;BE$1,INDIRECT("Table1[Obergruppe ATC-Code]"),Tabelle3!$A31)</f>
        <v>4</v>
      </c>
      <c r="BF31" s="22">
        <f ca="1">COUNTIFS(INDIRECT("Table1[Beginn]"),"&lt;="&amp;BF$1,INDIRECT("Table1[Ende]"),"&gt;="&amp;BF$1,INDIRECT("Table1[Obergruppe ATC-Code]"),Tabelle3!$A31)</f>
        <v>8</v>
      </c>
      <c r="BG31" s="22">
        <f ca="1">COUNTIFS(INDIRECT("Table1[Beginn]"),"&lt;="&amp;BG$1,INDIRECT("Table1[Ende]"),"&gt;="&amp;BG$1,INDIRECT("Table1[Obergruppe ATC-Code]"),Tabelle3!$A31)</f>
        <v>8</v>
      </c>
      <c r="BH31" s="22">
        <f ca="1">COUNTIFS(INDIRECT("Table1[Beginn]"),"&lt;="&amp;BH$1,INDIRECT("Table1[Ende]"),"&gt;="&amp;BH$1,INDIRECT("Table1[Obergruppe ATC-Code]"),Tabelle3!$A31)</f>
        <v>6</v>
      </c>
      <c r="BI31" s="22">
        <f ca="1">COUNTIFS(INDIRECT("Table1[Beginn]"),"&lt;="&amp;BI$1,INDIRECT("Table1[Ende]"),"&gt;="&amp;BI$1,INDIRECT("Table1[Obergruppe ATC-Code]"),Tabelle3!$A31)</f>
        <v>7</v>
      </c>
      <c r="BJ31" s="22">
        <f ca="1">COUNTIFS(INDIRECT("Table1[Beginn]"),"&lt;="&amp;BJ$1,INDIRECT("Table1[Ende]"),"&gt;="&amp;BJ$1,INDIRECT("Table1[Obergruppe ATC-Code]"),Tabelle3!$A31)</f>
        <v>9</v>
      </c>
      <c r="BK31" s="22">
        <f ca="1">COUNTIFS(INDIRECT("Table1[Beginn]"),"&lt;="&amp;BK$1,INDIRECT("Table1[Ende]"),"&gt;="&amp;BK$1,INDIRECT("Table1[Obergruppe ATC-Code]"),Tabelle3!$A31)</f>
        <v>12</v>
      </c>
      <c r="BL31" s="22">
        <f ca="1">COUNTIFS(INDIRECT("Table1[Beginn]"),"&lt;="&amp;BL$1,INDIRECT("Table1[Ende]"),"&gt;="&amp;BL$1,INDIRECT("Table1[Obergruppe ATC-Code]"),Tabelle3!$A31)</f>
        <v>12</v>
      </c>
      <c r="BM31" s="22">
        <f ca="1">COUNTIFS(INDIRECT("Table1[Beginn]"),"&lt;="&amp;BM$1,INDIRECT("Table1[Ende]"),"&gt;="&amp;BM$1,INDIRECT("Table1[Obergruppe ATC-Code]"),Tabelle3!$A31)</f>
        <v>11</v>
      </c>
      <c r="BN31" s="22">
        <f ca="1">COUNTIFS(INDIRECT("Table1[Beginn]"),"&lt;="&amp;BN$1,INDIRECT("Table1[Ende]"),"&gt;="&amp;BN$1,INDIRECT("Table1[Obergruppe ATC-Code]"),Tabelle3!$A31)</f>
        <v>11</v>
      </c>
      <c r="BO31" s="22">
        <f ca="1">COUNTIFS(INDIRECT("Table1[Beginn]"),"&lt;="&amp;BO$1,INDIRECT("Table1[Ende]"),"&gt;="&amp;BO$1,INDIRECT("Table1[Obergruppe ATC-Code]"),Tabelle3!$A31)</f>
        <v>13</v>
      </c>
      <c r="BP31" s="22">
        <f ca="1">COUNTIFS(INDIRECT("Table1[Beginn]"),"&lt;="&amp;BP$1,INDIRECT("Table1[Ende]"),"&gt;="&amp;BP$1,INDIRECT("Table1[Obergruppe ATC-Code]"),Tabelle3!$A31)</f>
        <v>12</v>
      </c>
      <c r="BQ31" s="22">
        <f ca="1">COUNTIFS(INDIRECT("Table1[Beginn]"),"&lt;="&amp;BQ$1,INDIRECT("Table1[Ende]"),"&gt;="&amp;BQ$1,INDIRECT("Table1[Obergruppe ATC-Code]"),Tabelle3!$A31)</f>
        <v>12</v>
      </c>
      <c r="BR31" s="22">
        <f ca="1">COUNTIFS(INDIRECT("Table1[Beginn]"),"&lt;="&amp;BR$1,INDIRECT("Table1[Ende]"),"&gt;="&amp;BR$1,INDIRECT("Table1[Obergruppe ATC-Code]"),Tabelle3!$A31)</f>
        <v>12</v>
      </c>
      <c r="BS31" s="22">
        <f ca="1">COUNTIFS(INDIRECT("Table1[Beginn]"),"&lt;="&amp;BS$1,INDIRECT("Table1[Ende]"),"&gt;="&amp;BS$1,INDIRECT("Table1[Obergruppe ATC-Code]"),Tabelle3!$A31)</f>
        <v>14</v>
      </c>
      <c r="BT31" s="22">
        <f ca="1">COUNTIFS(INDIRECT("Table1[Beginn]"),"&lt;="&amp;BT$1,INDIRECT("Table1[Ende]"),"&gt;="&amp;BT$1,INDIRECT("Table1[Obergruppe ATC-Code]"),Tabelle3!$A31)</f>
        <v>13</v>
      </c>
      <c r="BU31" s="22">
        <f ca="1">COUNTIFS(INDIRECT("Table1[Beginn]"),"&lt;="&amp;BU$1,INDIRECT("Table1[Ende]"),"&gt;="&amp;BU$1,INDIRECT("Table1[Obergruppe ATC-Code]"),Tabelle3!$A31)</f>
        <v>13</v>
      </c>
      <c r="BV31" s="22">
        <f ca="1">COUNTIFS(INDIRECT("Table1[Beginn]"),"&lt;="&amp;BV$1,INDIRECT("Table1[Ende]"),"&gt;="&amp;BV$1,INDIRECT("Table1[Obergruppe ATC-Code]"),Tabelle3!$A31)</f>
        <v>13</v>
      </c>
      <c r="BW31" s="22">
        <f ca="1">COUNTIFS(INDIRECT("Table1[Beginn]"),"&lt;="&amp;BW$1,INDIRECT("Table1[Ende]"),"&gt;="&amp;BW$1,INDIRECT("Table1[Obergruppe ATC-Code]"),Tabelle3!$A31)</f>
        <v>12</v>
      </c>
      <c r="BX31" s="22">
        <f ca="1">COUNTIFS(INDIRECT("Table1[Beginn]"),"&lt;="&amp;BX$1,INDIRECT("Table1[Ende]"),"&gt;="&amp;BX$1,INDIRECT("Table1[Obergruppe ATC-Code]"),Tabelle3!$A31)</f>
        <v>12</v>
      </c>
      <c r="BY31" s="22">
        <f ca="1">COUNTIFS(INDIRECT("Table1[Beginn]"),"&lt;="&amp;BY$1,INDIRECT("Table1[Ende]"),"&gt;="&amp;BY$1,INDIRECT("Table1[Obergruppe ATC-Code]"),Tabelle3!$A31)</f>
        <v>13</v>
      </c>
      <c r="BZ31" s="22">
        <f ca="1">COUNTIFS(INDIRECT("Table1[Beginn]"),"&lt;="&amp;BZ$1,INDIRECT("Table1[Ende]"),"&gt;="&amp;BZ$1,INDIRECT("Table1[Obergruppe ATC-Code]"),Tabelle3!$A31)</f>
        <v>14</v>
      </c>
      <c r="CA31" s="22">
        <f ca="1">COUNTIFS(INDIRECT("Table1[Beginn]"),"&lt;="&amp;CA$1,INDIRECT("Table1[Ende]"),"&gt;="&amp;CA$1,INDIRECT("Table1[Obergruppe ATC-Code]"),Tabelle3!$A31)</f>
        <v>14</v>
      </c>
      <c r="CB31" s="22">
        <f ca="1">COUNTIFS(INDIRECT("Table1[Beginn]"),"&lt;="&amp;CB$1,INDIRECT("Table1[Ende]"),"&gt;="&amp;CB$1,INDIRECT("Table1[Obergruppe ATC-Code]"),Tabelle3!$A31)</f>
        <v>14</v>
      </c>
      <c r="CC31" s="22">
        <f ca="1">COUNTIFS(INDIRECT("Table1[Beginn]"),"&lt;="&amp;CC$1,INDIRECT("Table1[Ende]"),"&gt;="&amp;CC$1,INDIRECT("Table1[Obergruppe ATC-Code]"),Tabelle3!$A31)</f>
        <v>14</v>
      </c>
      <c r="CD31" s="22">
        <f ca="1">COUNTIFS(INDIRECT("Table1[Beginn]"),"&lt;="&amp;CD$1,INDIRECT("Table1[Ende]"),"&gt;="&amp;CD$1,INDIRECT("Table1[Obergruppe ATC-Code]"),Tabelle3!$A31)</f>
        <v>14</v>
      </c>
      <c r="CE31" s="22">
        <f ca="1">COUNTIFS(INDIRECT("Table1[Beginn]"),"&lt;="&amp;CE$1,INDIRECT("Table1[Ende]"),"&gt;="&amp;CE$1,INDIRECT("Table1[Obergruppe ATC-Code]"),Tabelle3!$A31)</f>
        <v>15</v>
      </c>
      <c r="CF31" s="22">
        <f ca="1">COUNTIFS(INDIRECT("Table1[Beginn]"),"&lt;="&amp;CF$1,INDIRECT("Table1[Ende]"),"&gt;="&amp;CF$1,INDIRECT("Table1[Obergruppe ATC-Code]"),Tabelle3!$A31)</f>
        <v>19</v>
      </c>
      <c r="CG31" s="22">
        <f ca="1">COUNTIFS(INDIRECT("Table1[Beginn]"),"&lt;="&amp;CG$1,INDIRECT("Table1[Ende]"),"&gt;="&amp;CG$1,INDIRECT("Table1[Obergruppe ATC-Code]"),Tabelle3!$A31)</f>
        <v>18</v>
      </c>
      <c r="CH31" s="22">
        <f ca="1">COUNTIFS(INDIRECT("Table1[Beginn]"),"&lt;="&amp;CH$1,INDIRECT("Table1[Ende]"),"&gt;="&amp;CH$1,INDIRECT("Table1[Obergruppe ATC-Code]"),Tabelle3!$A31)</f>
        <v>12</v>
      </c>
      <c r="CI31" s="22">
        <f ca="1">COUNTIFS(INDIRECT("Table1[Beginn]"),"&lt;="&amp;CI$1,INDIRECT("Table1[Ende]"),"&gt;="&amp;CI$1,INDIRECT("Table1[Obergruppe ATC-Code]"),Tabelle3!$A31)</f>
        <v>7</v>
      </c>
      <c r="CJ31" s="22">
        <f ca="1">COUNTIFS(INDIRECT("Table1[Beginn]"),"&lt;="&amp;CJ$1,INDIRECT("Table1[Ende]"),"&gt;="&amp;CJ$1,INDIRECT("Table1[Obergruppe ATC-Code]"),Tabelle3!$A31)</f>
        <v>1</v>
      </c>
      <c r="CK31" s="22">
        <f ca="1">COUNTIFS(INDIRECT("Table1[Beginn]"),"&lt;="&amp;CK$1,INDIRECT("Table1[Ende]"),"&gt;="&amp;CK$1,INDIRECT("Table1[Obergruppe ATC-Code]"),Tabelle3!$A31)</f>
        <v>0</v>
      </c>
      <c r="CL31" s="22">
        <f ca="1">COUNTIFS(INDIRECT("Table1[Beginn]"),"&lt;="&amp;CL$1,INDIRECT("Table1[Ende]"),"&gt;="&amp;CL$1,INDIRECT("Table1[Obergruppe ATC-Code]"),Tabelle3!$A31)</f>
        <v>0</v>
      </c>
      <c r="CM31" s="22">
        <f ca="1">COUNTIFS(INDIRECT("Table1[Beginn]"),"&lt;="&amp;CM$1,INDIRECT("Table1[Ende]"),"&gt;="&amp;CM$1,INDIRECT("Table1[Obergruppe ATC-Code]"),Tabelle3!$A31)</f>
        <v>0</v>
      </c>
      <c r="CN31" s="22">
        <f ca="1">COUNTIFS(INDIRECT("Table1[Beginn]"),"&lt;="&amp;CN$1,INDIRECT("Table1[Ende]"),"&gt;="&amp;CN$1,INDIRECT("Table1[Obergruppe ATC-Code]"),Tabelle3!$A31)</f>
        <v>0</v>
      </c>
      <c r="CO31" s="22">
        <f ca="1">COUNTIFS(INDIRECT("Table1[Beginn]"),"&lt;="&amp;CO$1,INDIRECT("Table1[Ende]"),"&gt;="&amp;CO$1,INDIRECT("Table1[Obergruppe ATC-Code]"),Tabelle3!$A31)</f>
        <v>0</v>
      </c>
      <c r="CP31" s="22">
        <f ca="1">COUNTIFS(INDIRECT("Table1[Beginn]"),"&lt;="&amp;CP$1,INDIRECT("Table1[Ende]"),"&gt;="&amp;CP$1,INDIRECT("Table1[Obergruppe ATC-Code]"),Tabelle3!$A31)</f>
        <v>0</v>
      </c>
      <c r="CQ31" s="22">
        <f ca="1">COUNTIFS(INDIRECT("Table1[Beginn]"),"&lt;="&amp;CQ$1,INDIRECT("Table1[Ende]"),"&gt;="&amp;CQ$1,INDIRECT("Table1[Obergruppe ATC-Code]"),Tabelle3!$A31)</f>
        <v>0</v>
      </c>
      <c r="CR31" s="22">
        <f ca="1">COUNTIFS(INDIRECT("Table1[Beginn]"),"&lt;="&amp;CR$1,INDIRECT("Table1[Ende]"),"&gt;="&amp;CR$1,INDIRECT("Table1[Obergruppe ATC-Code]"),Tabelle3!$A31)</f>
        <v>0</v>
      </c>
      <c r="CS31" s="22">
        <f ca="1">COUNTIFS(INDIRECT("Table1[Beginn]"),"&lt;="&amp;CS$1,INDIRECT("Table1[Ende]"),"&gt;="&amp;CS$1,INDIRECT("Table1[Obergruppe ATC-Code]"),Tabelle3!$A31)</f>
        <v>0</v>
      </c>
      <c r="CT31" s="22">
        <f ca="1">COUNTIFS(INDIRECT("Table1[Beginn]"),"&lt;="&amp;CT$1,INDIRECT("Table1[Ende]"),"&gt;="&amp;CT$1,INDIRECT("Table1[Obergruppe ATC-Code]"),Tabelle3!$A31)</f>
        <v>0</v>
      </c>
      <c r="CU31" s="54"/>
      <c r="CV31" s="54"/>
      <c r="CW31" s="54"/>
      <c r="CX31" s="54"/>
      <c r="CY31" s="54"/>
      <c r="CZ31" s="54"/>
      <c r="DA31" s="54"/>
      <c r="DB31" s="54"/>
      <c r="DC31" s="54"/>
      <c r="DD31" s="54"/>
      <c r="DE31" s="54"/>
      <c r="DF31" s="54"/>
      <c r="DG31" s="54"/>
      <c r="DH31" s="54"/>
    </row>
    <row r="32" spans="1:112" ht="18" customHeight="1">
      <c r="A32" s="7" t="s">
        <v>6832</v>
      </c>
      <c r="B32" s="8" t="s">
        <v>6833</v>
      </c>
      <c r="C32">
        <f ca="1">COUNTIFS(INDIRECT("Table1[Beginn]"),"&lt;="&amp;C$1,INDIRECT("Table1[Ende]"),"&gt;="&amp;C$1,INDIRECT("Table1[Obergruppe ATC-Code]"),Tabelle3!$A32)</f>
        <v>0</v>
      </c>
      <c r="D32">
        <f ca="1">COUNTIFS(INDIRECT("Table1[Beginn]"),"&lt;="&amp;D$1,INDIRECT("Table1[Ende]"),"&gt;="&amp;D$1,INDIRECT("Table1[Obergruppe ATC-Code]"),Tabelle3!$A32)</f>
        <v>0</v>
      </c>
      <c r="E32">
        <f ca="1">COUNTIFS(INDIRECT("Table1[Beginn]"),"&lt;="&amp;E$1,INDIRECT("Table1[Ende]"),"&gt;="&amp;E$1,INDIRECT("Table1[Obergruppe ATC-Code]"),Tabelle3!$A32)</f>
        <v>0</v>
      </c>
      <c r="F32">
        <f ca="1">COUNTIFS(INDIRECT("Table1[Beginn]"),"&lt;="&amp;F$1,INDIRECT("Table1[Ende]"),"&gt;="&amp;F$1,INDIRECT("Table1[Obergruppe ATC-Code]"),Tabelle3!$A32)</f>
        <v>0</v>
      </c>
      <c r="G32">
        <f ca="1">COUNTIFS(INDIRECT("Table1[Beginn]"),"&lt;="&amp;G$1,INDIRECT("Table1[Ende]"),"&gt;="&amp;G$1,INDIRECT("Table1[Obergruppe ATC-Code]"),Tabelle3!$A32)</f>
        <v>0</v>
      </c>
      <c r="H32">
        <f ca="1">COUNTIFS(INDIRECT("Table1[Beginn]"),"&lt;="&amp;H$1,INDIRECT("Table1[Ende]"),"&gt;="&amp;H$1,INDIRECT("Table1[Obergruppe ATC-Code]"),Tabelle3!$A32)</f>
        <v>0</v>
      </c>
      <c r="I32">
        <f ca="1">COUNTIFS(INDIRECT("Table1[Beginn]"),"&lt;="&amp;I$1,INDIRECT("Table1[Ende]"),"&gt;="&amp;I$1,INDIRECT("Table1[Obergruppe ATC-Code]"),Tabelle3!$A32)</f>
        <v>0</v>
      </c>
      <c r="J32">
        <f ca="1">COUNTIFS(INDIRECT("Table1[Beginn]"),"&lt;="&amp;J$1,INDIRECT("Table1[Ende]"),"&gt;="&amp;J$1,INDIRECT("Table1[Obergruppe ATC-Code]"),Tabelle3!$A32)</f>
        <v>0</v>
      </c>
      <c r="K32">
        <f ca="1">COUNTIFS(INDIRECT("Table1[Beginn]"),"&lt;="&amp;K$1,INDIRECT("Table1[Ende]"),"&gt;="&amp;K$1,INDIRECT("Table1[Obergruppe ATC-Code]"),Tabelle3!$A32)</f>
        <v>0</v>
      </c>
      <c r="L32">
        <f ca="1">COUNTIFS(INDIRECT("Table1[Beginn]"),"&lt;="&amp;L$1,INDIRECT("Table1[Ende]"),"&gt;="&amp;L$1,INDIRECT("Table1[Obergruppe ATC-Code]"),Tabelle3!$A32)</f>
        <v>0</v>
      </c>
      <c r="M32">
        <f ca="1">COUNTIFS(INDIRECT("Table1[Beginn]"),"&lt;="&amp;M$1,INDIRECT("Table1[Ende]"),"&gt;="&amp;M$1,INDIRECT("Table1[Obergruppe ATC-Code]"),Tabelle3!$A32)</f>
        <v>0</v>
      </c>
      <c r="N32">
        <f ca="1">COUNTIFS(INDIRECT("Table1[Beginn]"),"&lt;="&amp;N$1,INDIRECT("Table1[Ende]"),"&gt;="&amp;N$1,INDIRECT("Table1[Obergruppe ATC-Code]"),Tabelle3!$A32)</f>
        <v>0</v>
      </c>
      <c r="O32">
        <f ca="1">COUNTIFS(INDIRECT("Table1[Beginn]"),"&lt;="&amp;O$1,INDIRECT("Table1[Ende]"),"&gt;="&amp;O$1,INDIRECT("Table1[Obergruppe ATC-Code]"),Tabelle3!$A32)</f>
        <v>0</v>
      </c>
      <c r="P32">
        <f ca="1">COUNTIFS(INDIRECT("Table1[Beginn]"),"&lt;="&amp;P$1,INDIRECT("Table1[Ende]"),"&gt;="&amp;P$1,INDIRECT("Table1[Obergruppe ATC-Code]"),Tabelle3!$A32)</f>
        <v>3</v>
      </c>
      <c r="Q32">
        <f ca="1">COUNTIFS(INDIRECT("Table1[Beginn]"),"&lt;="&amp;Q$1,INDIRECT("Table1[Ende]"),"&gt;="&amp;Q$1,INDIRECT("Table1[Obergruppe ATC-Code]"),Tabelle3!$A32)</f>
        <v>3</v>
      </c>
      <c r="R32">
        <f ca="1">COUNTIFS(INDIRECT("Table1[Beginn]"),"&lt;="&amp;R$1,INDIRECT("Table1[Ende]"),"&gt;="&amp;R$1,INDIRECT("Table1[Obergruppe ATC-Code]"),Tabelle3!$A32)</f>
        <v>3</v>
      </c>
      <c r="S32">
        <f ca="1">COUNTIFS(INDIRECT("Table1[Beginn]"),"&lt;="&amp;S$1,INDIRECT("Table1[Ende]"),"&gt;="&amp;S$1,INDIRECT("Table1[Obergruppe ATC-Code]"),Tabelle3!$A32)</f>
        <v>3</v>
      </c>
      <c r="T32">
        <f ca="1">COUNTIFS(INDIRECT("Table1[Beginn]"),"&lt;="&amp;T$1,INDIRECT("Table1[Ende]"),"&gt;="&amp;T$1,INDIRECT("Table1[Obergruppe ATC-Code]"),Tabelle3!$A32)</f>
        <v>3</v>
      </c>
      <c r="U32">
        <f ca="1">COUNTIFS(INDIRECT("Table1[Beginn]"),"&lt;="&amp;U$1,INDIRECT("Table1[Ende]"),"&gt;="&amp;U$1,INDIRECT("Table1[Obergruppe ATC-Code]"),Tabelle3!$A32)</f>
        <v>3</v>
      </c>
      <c r="V32">
        <f ca="1">COUNTIFS(INDIRECT("Table1[Beginn]"),"&lt;="&amp;V$1,INDIRECT("Table1[Ende]"),"&gt;="&amp;V$1,INDIRECT("Table1[Obergruppe ATC-Code]"),Tabelle3!$A32)</f>
        <v>3</v>
      </c>
      <c r="W32">
        <f ca="1">COUNTIFS(INDIRECT("Table1[Beginn]"),"&lt;="&amp;W$1,INDIRECT("Table1[Ende]"),"&gt;="&amp;W$1,INDIRECT("Table1[Obergruppe ATC-Code]"),Tabelle3!$A32)</f>
        <v>3</v>
      </c>
      <c r="X32">
        <f ca="1">COUNTIFS(INDIRECT("Table1[Beginn]"),"&lt;="&amp;X$1,INDIRECT("Table1[Ende]"),"&gt;="&amp;X$1,INDIRECT("Table1[Obergruppe ATC-Code]"),Tabelle3!$A32)</f>
        <v>6</v>
      </c>
      <c r="Y32">
        <f ca="1">COUNTIFS(INDIRECT("Table1[Beginn]"),"&lt;="&amp;Y$1,INDIRECT("Table1[Ende]"),"&gt;="&amp;Y$1,INDIRECT("Table1[Obergruppe ATC-Code]"),Tabelle3!$A32)</f>
        <v>7</v>
      </c>
      <c r="Z32">
        <f ca="1">COUNTIFS(INDIRECT("Table1[Beginn]"),"&lt;="&amp;Z$1,INDIRECT("Table1[Ende]"),"&gt;="&amp;Z$1,INDIRECT("Table1[Obergruppe ATC-Code]"),Tabelle3!$A32)</f>
        <v>4</v>
      </c>
      <c r="AA32">
        <f ca="1">COUNTIFS(INDIRECT("Table1[Beginn]"),"&lt;="&amp;AA$1,INDIRECT("Table1[Ende]"),"&gt;="&amp;AA$1,INDIRECT("Table1[Obergruppe ATC-Code]"),Tabelle3!$A32)</f>
        <v>6</v>
      </c>
      <c r="AB32">
        <f ca="1">COUNTIFS(INDIRECT("Table1[Beginn]"),"&lt;="&amp;AB$1,INDIRECT("Table1[Ende]"),"&gt;="&amp;AB$1,INDIRECT("Table1[Obergruppe ATC-Code]"),Tabelle3!$A32)</f>
        <v>6</v>
      </c>
      <c r="AC32">
        <f ca="1">COUNTIFS(INDIRECT("Table1[Beginn]"),"&lt;="&amp;AC$1,INDIRECT("Table1[Ende]"),"&gt;="&amp;AC$1,INDIRECT("Table1[Obergruppe ATC-Code]"),Tabelle3!$A32)</f>
        <v>6</v>
      </c>
      <c r="AD32">
        <f ca="1">COUNTIFS(INDIRECT("Table1[Beginn]"),"&lt;="&amp;AD$1,INDIRECT("Table1[Ende]"),"&gt;="&amp;AD$1,INDIRECT("Table1[Obergruppe ATC-Code]"),Tabelle3!$A32)</f>
        <v>6</v>
      </c>
      <c r="AE32">
        <f ca="1">COUNTIFS(INDIRECT("Table1[Beginn]"),"&lt;="&amp;AE$1,INDIRECT("Table1[Ende]"),"&gt;="&amp;AE$1,INDIRECT("Table1[Obergruppe ATC-Code]"),Tabelle3!$A32)</f>
        <v>5</v>
      </c>
      <c r="AF32">
        <f ca="1">COUNTIFS(INDIRECT("Table1[Beginn]"),"&lt;="&amp;AF$1,INDIRECT("Table1[Ende]"),"&gt;="&amp;AF$1,INDIRECT("Table1[Obergruppe ATC-Code]"),Tabelle3!$A32)</f>
        <v>5</v>
      </c>
      <c r="AG32">
        <f ca="1">COUNTIFS(INDIRECT("Table1[Beginn]"),"&lt;="&amp;AG$1,INDIRECT("Table1[Ende]"),"&gt;="&amp;AG$1,INDIRECT("Table1[Obergruppe ATC-Code]"),Tabelle3!$A32)</f>
        <v>4</v>
      </c>
      <c r="AH32">
        <f ca="1">COUNTIFS(INDIRECT("Table1[Beginn]"),"&lt;="&amp;AH$1,INDIRECT("Table1[Ende]"),"&gt;="&amp;AH$1,INDIRECT("Table1[Obergruppe ATC-Code]"),Tabelle3!$A32)</f>
        <v>3</v>
      </c>
      <c r="AI32">
        <f ca="1">COUNTIFS(INDIRECT("Table1[Beginn]"),"&lt;="&amp;AI$1,INDIRECT("Table1[Ende]"),"&gt;="&amp;AI$1,INDIRECT("Table1[Obergruppe ATC-Code]"),Tabelle3!$A32)</f>
        <v>3</v>
      </c>
      <c r="AJ32">
        <f ca="1">COUNTIFS(INDIRECT("Table1[Beginn]"),"&lt;="&amp;AJ$1,INDIRECT("Table1[Ende]"),"&gt;="&amp;AJ$1,INDIRECT("Table1[Obergruppe ATC-Code]"),Tabelle3!$A32)</f>
        <v>2</v>
      </c>
      <c r="AK32">
        <f ca="1">COUNTIFS(INDIRECT("Table1[Beginn]"),"&lt;="&amp;AK$1,INDIRECT("Table1[Ende]"),"&gt;="&amp;AK$1,INDIRECT("Table1[Obergruppe ATC-Code]"),Tabelle3!$A32)</f>
        <v>2</v>
      </c>
      <c r="AL32">
        <f ca="1">COUNTIFS(INDIRECT("Table1[Beginn]"),"&lt;="&amp;AL$1,INDIRECT("Table1[Ende]"),"&gt;="&amp;AL$1,INDIRECT("Table1[Obergruppe ATC-Code]"),Tabelle3!$A32)</f>
        <v>2</v>
      </c>
      <c r="AM32">
        <f ca="1">COUNTIFS(INDIRECT("Table1[Beginn]"),"&lt;="&amp;AM$1,INDIRECT("Table1[Ende]"),"&gt;="&amp;AM$1,INDIRECT("Table1[Obergruppe ATC-Code]"),Tabelle3!$A32)</f>
        <v>2</v>
      </c>
      <c r="AN32">
        <f ca="1">COUNTIFS(INDIRECT("Table1[Beginn]"),"&lt;="&amp;AN$1,INDIRECT("Table1[Ende]"),"&gt;="&amp;AN$1,INDIRECT("Table1[Obergruppe ATC-Code]"),Tabelle3!$A32)</f>
        <v>2</v>
      </c>
      <c r="AO32">
        <f ca="1">COUNTIFS(INDIRECT("Table1[Beginn]"),"&lt;="&amp;AO$1,INDIRECT("Table1[Ende]"),"&gt;="&amp;AO$1,INDIRECT("Table1[Obergruppe ATC-Code]"),Tabelle3!$A32)</f>
        <v>4</v>
      </c>
      <c r="AP32">
        <f ca="1">COUNTIFS(INDIRECT("Table1[Beginn]"),"&lt;="&amp;AP$1,INDIRECT("Table1[Ende]"),"&gt;="&amp;AP$1,INDIRECT("Table1[Obergruppe ATC-Code]"),Tabelle3!$A32)</f>
        <v>4</v>
      </c>
      <c r="AQ32">
        <f ca="1">COUNTIFS(INDIRECT("Table1[Beginn]"),"&lt;="&amp;AQ$1,INDIRECT("Table1[Ende]"),"&gt;="&amp;AQ$1,INDIRECT("Table1[Obergruppe ATC-Code]"),Tabelle3!$A32)</f>
        <v>4</v>
      </c>
      <c r="AR32">
        <f ca="1">COUNTIFS(INDIRECT("Table1[Beginn]"),"&lt;="&amp;AR$1,INDIRECT("Table1[Ende]"),"&gt;="&amp;AR$1,INDIRECT("Table1[Obergruppe ATC-Code]"),Tabelle3!$A32)</f>
        <v>5</v>
      </c>
      <c r="AS32">
        <f ca="1">COUNTIFS(INDIRECT("Table1[Beginn]"),"&lt;="&amp;AS$1,INDIRECT("Table1[Ende]"),"&gt;="&amp;AS$1,INDIRECT("Table1[Obergruppe ATC-Code]"),Tabelle3!$A32)</f>
        <v>4</v>
      </c>
      <c r="AT32">
        <f ca="1">COUNTIFS(INDIRECT("Table1[Beginn]"),"&lt;="&amp;AT$1,INDIRECT("Table1[Ende]"),"&gt;="&amp;AT$1,INDIRECT("Table1[Obergruppe ATC-Code]"),Tabelle3!$A32)</f>
        <v>4</v>
      </c>
      <c r="AU32">
        <f ca="1">COUNTIFS(INDIRECT("Table1[Beginn]"),"&lt;="&amp;AU$1,INDIRECT("Table1[Ende]"),"&gt;="&amp;AU$1,INDIRECT("Table1[Obergruppe ATC-Code]"),Tabelle3!$A32)</f>
        <v>4</v>
      </c>
      <c r="AV32">
        <f ca="1">COUNTIFS(INDIRECT("Table1[Beginn]"),"&lt;="&amp;AV$1,INDIRECT("Table1[Ende]"),"&gt;="&amp;AV$1,INDIRECT("Table1[Obergruppe ATC-Code]"),Tabelle3!$A32)</f>
        <v>5</v>
      </c>
      <c r="AW32">
        <f ca="1">COUNTIFS(INDIRECT("Table1[Beginn]"),"&lt;="&amp;AW$1,INDIRECT("Table1[Ende]"),"&gt;="&amp;AW$1,INDIRECT("Table1[Obergruppe ATC-Code]"),Tabelle3!$A32)</f>
        <v>4</v>
      </c>
      <c r="AX32">
        <f ca="1">COUNTIFS(INDIRECT("Table1[Beginn]"),"&lt;="&amp;AX$1,INDIRECT("Table1[Ende]"),"&gt;="&amp;AX$1,INDIRECT("Table1[Obergruppe ATC-Code]"),Tabelle3!$A32)</f>
        <v>2</v>
      </c>
      <c r="AY32">
        <f ca="1">COUNTIFS(INDIRECT("Table1[Beginn]"),"&lt;="&amp;AY$1,INDIRECT("Table1[Ende]"),"&gt;="&amp;AY$1,INDIRECT("Table1[Obergruppe ATC-Code]"),Tabelle3!$A32)</f>
        <v>2</v>
      </c>
      <c r="AZ32">
        <f ca="1">COUNTIFS(INDIRECT("Table1[Beginn]"),"&lt;="&amp;AZ$1,INDIRECT("Table1[Ende]"),"&gt;="&amp;AZ$1,INDIRECT("Table1[Obergruppe ATC-Code]"),Tabelle3!$A32)</f>
        <v>2</v>
      </c>
      <c r="BA32">
        <f ca="1">COUNTIFS(INDIRECT("Table1[Beginn]"),"&lt;="&amp;BA$1,INDIRECT("Table1[Ende]"),"&gt;="&amp;BA$1,INDIRECT("Table1[Obergruppe ATC-Code]"),Tabelle3!$A32)</f>
        <v>2</v>
      </c>
      <c r="BB32">
        <f ca="1">COUNTIFS(INDIRECT("Table1[Beginn]"),"&lt;="&amp;BB$1,INDIRECT("Table1[Ende]"),"&gt;="&amp;BB$1,INDIRECT("Table1[Obergruppe ATC-Code]"),Tabelle3!$A32)</f>
        <v>1</v>
      </c>
      <c r="BC32">
        <f ca="1">COUNTIFS(INDIRECT("Table1[Beginn]"),"&lt;="&amp;BC$1,INDIRECT("Table1[Ende]"),"&gt;="&amp;BC$1,INDIRECT("Table1[Obergruppe ATC-Code]"),Tabelle3!$A32)</f>
        <v>1</v>
      </c>
      <c r="BD32">
        <f ca="1">COUNTIFS(INDIRECT("Table1[Beginn]"),"&lt;="&amp;BD$1,INDIRECT("Table1[Ende]"),"&gt;="&amp;BD$1,INDIRECT("Table1[Obergruppe ATC-Code]"),Tabelle3!$A32)</f>
        <v>1</v>
      </c>
      <c r="BE32">
        <f ca="1">COUNTIFS(INDIRECT("Table1[Beginn]"),"&lt;="&amp;BE$1,INDIRECT("Table1[Ende]"),"&gt;="&amp;BE$1,INDIRECT("Table1[Obergruppe ATC-Code]"),Tabelle3!$A32)</f>
        <v>1</v>
      </c>
      <c r="BF32">
        <f ca="1">COUNTIFS(INDIRECT("Table1[Beginn]"),"&lt;="&amp;BF$1,INDIRECT("Table1[Ende]"),"&gt;="&amp;BF$1,INDIRECT("Table1[Obergruppe ATC-Code]"),Tabelle3!$A32)</f>
        <v>1</v>
      </c>
      <c r="BG32">
        <f ca="1">COUNTIFS(INDIRECT("Table1[Beginn]"),"&lt;="&amp;BG$1,INDIRECT("Table1[Ende]"),"&gt;="&amp;BG$1,INDIRECT("Table1[Obergruppe ATC-Code]"),Tabelle3!$A32)</f>
        <v>1</v>
      </c>
      <c r="BH32">
        <f ca="1">COUNTIFS(INDIRECT("Table1[Beginn]"),"&lt;="&amp;BH$1,INDIRECT("Table1[Ende]"),"&gt;="&amp;BH$1,INDIRECT("Table1[Obergruppe ATC-Code]"),Tabelle3!$A32)</f>
        <v>3</v>
      </c>
      <c r="BI32">
        <f ca="1">COUNTIFS(INDIRECT("Table1[Beginn]"),"&lt;="&amp;BI$1,INDIRECT("Table1[Ende]"),"&gt;="&amp;BI$1,INDIRECT("Table1[Obergruppe ATC-Code]"),Tabelle3!$A32)</f>
        <v>2</v>
      </c>
      <c r="BJ32">
        <f ca="1">COUNTIFS(INDIRECT("Table1[Beginn]"),"&lt;="&amp;BJ$1,INDIRECT("Table1[Ende]"),"&gt;="&amp;BJ$1,INDIRECT("Table1[Obergruppe ATC-Code]"),Tabelle3!$A32)</f>
        <v>2</v>
      </c>
      <c r="BK32">
        <f ca="1">COUNTIFS(INDIRECT("Table1[Beginn]"),"&lt;="&amp;BK$1,INDIRECT("Table1[Ende]"),"&gt;="&amp;BK$1,INDIRECT("Table1[Obergruppe ATC-Code]"),Tabelle3!$A32)</f>
        <v>2</v>
      </c>
      <c r="BL32">
        <f ca="1">COUNTIFS(INDIRECT("Table1[Beginn]"),"&lt;="&amp;BL$1,INDIRECT("Table1[Ende]"),"&gt;="&amp;BL$1,INDIRECT("Table1[Obergruppe ATC-Code]"),Tabelle3!$A32)</f>
        <v>2</v>
      </c>
      <c r="BM32">
        <f ca="1">COUNTIFS(INDIRECT("Table1[Beginn]"),"&lt;="&amp;BM$1,INDIRECT("Table1[Ende]"),"&gt;="&amp;BM$1,INDIRECT("Table1[Obergruppe ATC-Code]"),Tabelle3!$A32)</f>
        <v>1</v>
      </c>
      <c r="BN32">
        <f ca="1">COUNTIFS(INDIRECT("Table1[Beginn]"),"&lt;="&amp;BN$1,INDIRECT("Table1[Ende]"),"&gt;="&amp;BN$1,INDIRECT("Table1[Obergruppe ATC-Code]"),Tabelle3!$A32)</f>
        <v>1</v>
      </c>
      <c r="BO32">
        <f ca="1">COUNTIFS(INDIRECT("Table1[Beginn]"),"&lt;="&amp;BO$1,INDIRECT("Table1[Ende]"),"&gt;="&amp;BO$1,INDIRECT("Table1[Obergruppe ATC-Code]"),Tabelle3!$A32)</f>
        <v>1</v>
      </c>
      <c r="BP32">
        <f ca="1">COUNTIFS(INDIRECT("Table1[Beginn]"),"&lt;="&amp;BP$1,INDIRECT("Table1[Ende]"),"&gt;="&amp;BP$1,INDIRECT("Table1[Obergruppe ATC-Code]"),Tabelle3!$A32)</f>
        <v>1</v>
      </c>
      <c r="BQ32">
        <f ca="1">COUNTIFS(INDIRECT("Table1[Beginn]"),"&lt;="&amp;BQ$1,INDIRECT("Table1[Ende]"),"&gt;="&amp;BQ$1,INDIRECT("Table1[Obergruppe ATC-Code]"),Tabelle3!$A32)</f>
        <v>1</v>
      </c>
      <c r="BR32">
        <f ca="1">COUNTIFS(INDIRECT("Table1[Beginn]"),"&lt;="&amp;BR$1,INDIRECT("Table1[Ende]"),"&gt;="&amp;BR$1,INDIRECT("Table1[Obergruppe ATC-Code]"),Tabelle3!$A32)</f>
        <v>1</v>
      </c>
      <c r="BS32">
        <f ca="1">COUNTIFS(INDIRECT("Table1[Beginn]"),"&lt;="&amp;BS$1,INDIRECT("Table1[Ende]"),"&gt;="&amp;BS$1,INDIRECT("Table1[Obergruppe ATC-Code]"),Tabelle3!$A32)</f>
        <v>2</v>
      </c>
      <c r="BT32">
        <f ca="1">COUNTIFS(INDIRECT("Table1[Beginn]"),"&lt;="&amp;BT$1,INDIRECT("Table1[Ende]"),"&gt;="&amp;BT$1,INDIRECT("Table1[Obergruppe ATC-Code]"),Tabelle3!$A32)</f>
        <v>1</v>
      </c>
      <c r="BU32">
        <f ca="1">COUNTIFS(INDIRECT("Table1[Beginn]"),"&lt;="&amp;BU$1,INDIRECT("Table1[Ende]"),"&gt;="&amp;BU$1,INDIRECT("Table1[Obergruppe ATC-Code]"),Tabelle3!$A32)</f>
        <v>1</v>
      </c>
      <c r="BV32">
        <f ca="1">COUNTIFS(INDIRECT("Table1[Beginn]"),"&lt;="&amp;BV$1,INDIRECT("Table1[Ende]"),"&gt;="&amp;BV$1,INDIRECT("Table1[Obergruppe ATC-Code]"),Tabelle3!$A32)</f>
        <v>1</v>
      </c>
      <c r="BW32">
        <f ca="1">COUNTIFS(INDIRECT("Table1[Beginn]"),"&lt;="&amp;BW$1,INDIRECT("Table1[Ende]"),"&gt;="&amp;BW$1,INDIRECT("Table1[Obergruppe ATC-Code]"),Tabelle3!$A32)</f>
        <v>1</v>
      </c>
      <c r="BX32">
        <f ca="1">COUNTIFS(INDIRECT("Table1[Beginn]"),"&lt;="&amp;BX$1,INDIRECT("Table1[Ende]"),"&gt;="&amp;BX$1,INDIRECT("Table1[Obergruppe ATC-Code]"),Tabelle3!$A32)</f>
        <v>3</v>
      </c>
      <c r="BY32">
        <f ca="1">COUNTIFS(INDIRECT("Table1[Beginn]"),"&lt;="&amp;BY$1,INDIRECT("Table1[Ende]"),"&gt;="&amp;BY$1,INDIRECT("Table1[Obergruppe ATC-Code]"),Tabelle3!$A32)</f>
        <v>4</v>
      </c>
      <c r="BZ32">
        <f ca="1">COUNTIFS(INDIRECT("Table1[Beginn]"),"&lt;="&amp;BZ$1,INDIRECT("Table1[Ende]"),"&gt;="&amp;BZ$1,INDIRECT("Table1[Obergruppe ATC-Code]"),Tabelle3!$A32)</f>
        <v>13</v>
      </c>
      <c r="CA32">
        <f ca="1">COUNTIFS(INDIRECT("Table1[Beginn]"),"&lt;="&amp;CA$1,INDIRECT("Table1[Ende]"),"&gt;="&amp;CA$1,INDIRECT("Table1[Obergruppe ATC-Code]"),Tabelle3!$A32)</f>
        <v>15</v>
      </c>
      <c r="CB32">
        <f ca="1">COUNTIFS(INDIRECT("Table1[Beginn]"),"&lt;="&amp;CB$1,INDIRECT("Table1[Ende]"),"&gt;="&amp;CB$1,INDIRECT("Table1[Obergruppe ATC-Code]"),Tabelle3!$A32)</f>
        <v>20</v>
      </c>
      <c r="CC32">
        <f ca="1">COUNTIFS(INDIRECT("Table1[Beginn]"),"&lt;="&amp;CC$1,INDIRECT("Table1[Ende]"),"&gt;="&amp;CC$1,INDIRECT("Table1[Obergruppe ATC-Code]"),Tabelle3!$A32)</f>
        <v>25</v>
      </c>
      <c r="CD32">
        <f ca="1">COUNTIFS(INDIRECT("Table1[Beginn]"),"&lt;="&amp;CD$1,INDIRECT("Table1[Ende]"),"&gt;="&amp;CD$1,INDIRECT("Table1[Obergruppe ATC-Code]"),Tabelle3!$A32)</f>
        <v>22</v>
      </c>
      <c r="CE32">
        <f ca="1">COUNTIFS(INDIRECT("Table1[Beginn]"),"&lt;="&amp;CE$1,INDIRECT("Table1[Ende]"),"&gt;="&amp;CE$1,INDIRECT("Table1[Obergruppe ATC-Code]"),Tabelle3!$A32)</f>
        <v>20</v>
      </c>
      <c r="CF32">
        <f ca="1">COUNTIFS(INDIRECT("Table1[Beginn]"),"&lt;="&amp;CF$1,INDIRECT("Table1[Ende]"),"&gt;="&amp;CF$1,INDIRECT("Table1[Obergruppe ATC-Code]"),Tabelle3!$A32)</f>
        <v>13</v>
      </c>
      <c r="CG32">
        <f ca="1">COUNTIFS(INDIRECT("Table1[Beginn]"),"&lt;="&amp;CG$1,INDIRECT("Table1[Ende]"),"&gt;="&amp;CG$1,INDIRECT("Table1[Obergruppe ATC-Code]"),Tabelle3!$A32)</f>
        <v>11</v>
      </c>
      <c r="CH32">
        <f ca="1">COUNTIFS(INDIRECT("Table1[Beginn]"),"&lt;="&amp;CH$1,INDIRECT("Table1[Ende]"),"&gt;="&amp;CH$1,INDIRECT("Table1[Obergruppe ATC-Code]"),Tabelle3!$A32)</f>
        <v>9</v>
      </c>
      <c r="CI32">
        <f ca="1">COUNTIFS(INDIRECT("Table1[Beginn]"),"&lt;="&amp;CI$1,INDIRECT("Table1[Ende]"),"&gt;="&amp;CI$1,INDIRECT("Table1[Obergruppe ATC-Code]"),Tabelle3!$A32)</f>
        <v>3</v>
      </c>
      <c r="CJ32">
        <f ca="1">COUNTIFS(INDIRECT("Table1[Beginn]"),"&lt;="&amp;CJ$1,INDIRECT("Table1[Ende]"),"&gt;="&amp;CJ$1,INDIRECT("Table1[Obergruppe ATC-Code]"),Tabelle3!$A32)</f>
        <v>2</v>
      </c>
      <c r="CK32">
        <f ca="1">COUNTIFS(INDIRECT("Table1[Beginn]"),"&lt;="&amp;CK$1,INDIRECT("Table1[Ende]"),"&gt;="&amp;CK$1,INDIRECT("Table1[Obergruppe ATC-Code]"),Tabelle3!$A32)</f>
        <v>0</v>
      </c>
      <c r="CL32">
        <f ca="1">COUNTIFS(INDIRECT("Table1[Beginn]"),"&lt;="&amp;CL$1,INDIRECT("Table1[Ende]"),"&gt;="&amp;CL$1,INDIRECT("Table1[Obergruppe ATC-Code]"),Tabelle3!$A32)</f>
        <v>0</v>
      </c>
      <c r="CM32">
        <f ca="1">COUNTIFS(INDIRECT("Table1[Beginn]"),"&lt;="&amp;CM$1,INDIRECT("Table1[Ende]"),"&gt;="&amp;CM$1,INDIRECT("Table1[Obergruppe ATC-Code]"),Tabelle3!$A32)</f>
        <v>0</v>
      </c>
      <c r="CN32">
        <f ca="1">COUNTIFS(INDIRECT("Table1[Beginn]"),"&lt;="&amp;CN$1,INDIRECT("Table1[Ende]"),"&gt;="&amp;CN$1,INDIRECT("Table1[Obergruppe ATC-Code]"),Tabelle3!$A32)</f>
        <v>0</v>
      </c>
      <c r="CO32">
        <f ca="1">COUNTIFS(INDIRECT("Table1[Beginn]"),"&lt;="&amp;CO$1,INDIRECT("Table1[Ende]"),"&gt;="&amp;CO$1,INDIRECT("Table1[Obergruppe ATC-Code]"),Tabelle3!$A32)</f>
        <v>0</v>
      </c>
      <c r="CP32">
        <f ca="1">COUNTIFS(INDIRECT("Table1[Beginn]"),"&lt;="&amp;CP$1,INDIRECT("Table1[Ende]"),"&gt;="&amp;CP$1,INDIRECT("Table1[Obergruppe ATC-Code]"),Tabelle3!$A32)</f>
        <v>0</v>
      </c>
      <c r="CQ32">
        <f ca="1">COUNTIFS(INDIRECT("Table1[Beginn]"),"&lt;="&amp;CQ$1,INDIRECT("Table1[Ende]"),"&gt;="&amp;CQ$1,INDIRECT("Table1[Obergruppe ATC-Code]"),Tabelle3!$A32)</f>
        <v>0</v>
      </c>
      <c r="CR32">
        <f ca="1">COUNTIFS(INDIRECT("Table1[Beginn]"),"&lt;="&amp;CR$1,INDIRECT("Table1[Ende]"),"&gt;="&amp;CR$1,INDIRECT("Table1[Obergruppe ATC-Code]"),Tabelle3!$A32)</f>
        <v>0</v>
      </c>
      <c r="CS32">
        <f ca="1">COUNTIFS(INDIRECT("Table1[Beginn]"),"&lt;="&amp;CS$1,INDIRECT("Table1[Ende]"),"&gt;="&amp;CS$1,INDIRECT("Table1[Obergruppe ATC-Code]"),Tabelle3!$A32)</f>
        <v>0</v>
      </c>
      <c r="CT32">
        <f ca="1">COUNTIFS(INDIRECT("Table1[Beginn]"),"&lt;="&amp;CT$1,INDIRECT("Table1[Ende]"),"&gt;="&amp;CT$1,INDIRECT("Table1[Obergruppe ATC-Code]"),Tabelle3!$A32)</f>
        <v>0</v>
      </c>
      <c r="CU32" s="54"/>
      <c r="CV32" s="54"/>
      <c r="CW32" s="54"/>
      <c r="CX32" s="54"/>
      <c r="CY32" s="54"/>
      <c r="CZ32" s="54"/>
      <c r="DA32" s="54"/>
      <c r="DB32" s="54"/>
      <c r="DC32" s="54"/>
      <c r="DD32" s="54"/>
      <c r="DE32" s="54"/>
      <c r="DF32" s="54"/>
      <c r="DG32" s="54"/>
      <c r="DH32" s="54"/>
    </row>
    <row r="33" spans="1:112" ht="18" customHeight="1">
      <c r="A33" s="9" t="s">
        <v>6834</v>
      </c>
      <c r="B33" s="10" t="s">
        <v>6835</v>
      </c>
      <c r="C33">
        <f ca="1">COUNTIFS(INDIRECT("Table1[Beginn]"),"&lt;="&amp;C$1,INDIRECT("Table1[Ende]"),"&gt;="&amp;C$1,INDIRECT("Table1[Obergruppe ATC-Code]"),Tabelle3!$A33)</f>
        <v>0</v>
      </c>
      <c r="D33">
        <f ca="1">COUNTIFS(INDIRECT("Table1[Beginn]"),"&lt;="&amp;D$1,INDIRECT("Table1[Ende]"),"&gt;="&amp;D$1,INDIRECT("Table1[Obergruppe ATC-Code]"),Tabelle3!$A33)</f>
        <v>0</v>
      </c>
      <c r="E33">
        <f ca="1">COUNTIFS(INDIRECT("Table1[Beginn]"),"&lt;="&amp;E$1,INDIRECT("Table1[Ende]"),"&gt;="&amp;E$1,INDIRECT("Table1[Obergruppe ATC-Code]"),Tabelle3!$A33)</f>
        <v>0</v>
      </c>
      <c r="F33">
        <f ca="1">COUNTIFS(INDIRECT("Table1[Beginn]"),"&lt;="&amp;F$1,INDIRECT("Table1[Ende]"),"&gt;="&amp;F$1,INDIRECT("Table1[Obergruppe ATC-Code]"),Tabelle3!$A33)</f>
        <v>0</v>
      </c>
      <c r="G33">
        <f ca="1">COUNTIFS(INDIRECT("Table1[Beginn]"),"&lt;="&amp;G$1,INDIRECT("Table1[Ende]"),"&gt;="&amp;G$1,INDIRECT("Table1[Obergruppe ATC-Code]"),Tabelle3!$A33)</f>
        <v>0</v>
      </c>
      <c r="H33">
        <f ca="1">COUNTIFS(INDIRECT("Table1[Beginn]"),"&lt;="&amp;H$1,INDIRECT("Table1[Ende]"),"&gt;="&amp;H$1,INDIRECT("Table1[Obergruppe ATC-Code]"),Tabelle3!$A33)</f>
        <v>0</v>
      </c>
      <c r="I33">
        <f ca="1">COUNTIFS(INDIRECT("Table1[Beginn]"),"&lt;="&amp;I$1,INDIRECT("Table1[Ende]"),"&gt;="&amp;I$1,INDIRECT("Table1[Obergruppe ATC-Code]"),Tabelle3!$A33)</f>
        <v>0</v>
      </c>
      <c r="J33">
        <f ca="1">COUNTIFS(INDIRECT("Table1[Beginn]"),"&lt;="&amp;J$1,INDIRECT("Table1[Ende]"),"&gt;="&amp;J$1,INDIRECT("Table1[Obergruppe ATC-Code]"),Tabelle3!$A33)</f>
        <v>0</v>
      </c>
      <c r="K33">
        <f ca="1">COUNTIFS(INDIRECT("Table1[Beginn]"),"&lt;="&amp;K$1,INDIRECT("Table1[Ende]"),"&gt;="&amp;K$1,INDIRECT("Table1[Obergruppe ATC-Code]"),Tabelle3!$A33)</f>
        <v>0</v>
      </c>
      <c r="L33">
        <f ca="1">COUNTIFS(INDIRECT("Table1[Beginn]"),"&lt;="&amp;L$1,INDIRECT("Table1[Ende]"),"&gt;="&amp;L$1,INDIRECT("Table1[Obergruppe ATC-Code]"),Tabelle3!$A33)</f>
        <v>0</v>
      </c>
      <c r="M33">
        <f ca="1">COUNTIFS(INDIRECT("Table1[Beginn]"),"&lt;="&amp;M$1,INDIRECT("Table1[Ende]"),"&gt;="&amp;M$1,INDIRECT("Table1[Obergruppe ATC-Code]"),Tabelle3!$A33)</f>
        <v>0</v>
      </c>
      <c r="N33">
        <f ca="1">COUNTIFS(INDIRECT("Table1[Beginn]"),"&lt;="&amp;N$1,INDIRECT("Table1[Ende]"),"&gt;="&amp;N$1,INDIRECT("Table1[Obergruppe ATC-Code]"),Tabelle3!$A33)</f>
        <v>0</v>
      </c>
      <c r="O33">
        <f ca="1">COUNTIFS(INDIRECT("Table1[Beginn]"),"&lt;="&amp;O$1,INDIRECT("Table1[Ende]"),"&gt;="&amp;O$1,INDIRECT("Table1[Obergruppe ATC-Code]"),Tabelle3!$A33)</f>
        <v>0</v>
      </c>
      <c r="P33">
        <f ca="1">COUNTIFS(INDIRECT("Table1[Beginn]"),"&lt;="&amp;P$1,INDIRECT("Table1[Ende]"),"&gt;="&amp;P$1,INDIRECT("Table1[Obergruppe ATC-Code]"),Tabelle3!$A33)</f>
        <v>0</v>
      </c>
      <c r="Q33">
        <f ca="1">COUNTIFS(INDIRECT("Table1[Beginn]"),"&lt;="&amp;Q$1,INDIRECT("Table1[Ende]"),"&gt;="&amp;Q$1,INDIRECT("Table1[Obergruppe ATC-Code]"),Tabelle3!$A33)</f>
        <v>0</v>
      </c>
      <c r="R33">
        <f ca="1">COUNTIFS(INDIRECT("Table1[Beginn]"),"&lt;="&amp;R$1,INDIRECT("Table1[Ende]"),"&gt;="&amp;R$1,INDIRECT("Table1[Obergruppe ATC-Code]"),Tabelle3!$A33)</f>
        <v>0</v>
      </c>
      <c r="S33">
        <f ca="1">COUNTIFS(INDIRECT("Table1[Beginn]"),"&lt;="&amp;S$1,INDIRECT("Table1[Ende]"),"&gt;="&amp;S$1,INDIRECT("Table1[Obergruppe ATC-Code]"),Tabelle3!$A33)</f>
        <v>0</v>
      </c>
      <c r="T33">
        <f ca="1">COUNTIFS(INDIRECT("Table1[Beginn]"),"&lt;="&amp;T$1,INDIRECT("Table1[Ende]"),"&gt;="&amp;T$1,INDIRECT("Table1[Obergruppe ATC-Code]"),Tabelle3!$A33)</f>
        <v>0</v>
      </c>
      <c r="U33">
        <f ca="1">COUNTIFS(INDIRECT("Table1[Beginn]"),"&lt;="&amp;U$1,INDIRECT("Table1[Ende]"),"&gt;="&amp;U$1,INDIRECT("Table1[Obergruppe ATC-Code]"),Tabelle3!$A33)</f>
        <v>0</v>
      </c>
      <c r="V33">
        <f ca="1">COUNTIFS(INDIRECT("Table1[Beginn]"),"&lt;="&amp;V$1,INDIRECT("Table1[Ende]"),"&gt;="&amp;V$1,INDIRECT("Table1[Obergruppe ATC-Code]"),Tabelle3!$A33)</f>
        <v>0</v>
      </c>
      <c r="W33">
        <f ca="1">COUNTIFS(INDIRECT("Table1[Beginn]"),"&lt;="&amp;W$1,INDIRECT("Table1[Ende]"),"&gt;="&amp;W$1,INDIRECT("Table1[Obergruppe ATC-Code]"),Tabelle3!$A33)</f>
        <v>0</v>
      </c>
      <c r="X33">
        <f ca="1">COUNTIFS(INDIRECT("Table1[Beginn]"),"&lt;="&amp;X$1,INDIRECT("Table1[Ende]"),"&gt;="&amp;X$1,INDIRECT("Table1[Obergruppe ATC-Code]"),Tabelle3!$A33)</f>
        <v>0</v>
      </c>
      <c r="Y33">
        <f ca="1">COUNTIFS(INDIRECT("Table1[Beginn]"),"&lt;="&amp;Y$1,INDIRECT("Table1[Ende]"),"&gt;="&amp;Y$1,INDIRECT("Table1[Obergruppe ATC-Code]"),Tabelle3!$A33)</f>
        <v>0</v>
      </c>
      <c r="Z33">
        <f ca="1">COUNTIFS(INDIRECT("Table1[Beginn]"),"&lt;="&amp;Z$1,INDIRECT("Table1[Ende]"),"&gt;="&amp;Z$1,INDIRECT("Table1[Obergruppe ATC-Code]"),Tabelle3!$A33)</f>
        <v>0</v>
      </c>
      <c r="AA33">
        <f ca="1">COUNTIFS(INDIRECT("Table1[Beginn]"),"&lt;="&amp;AA$1,INDIRECT("Table1[Ende]"),"&gt;="&amp;AA$1,INDIRECT("Table1[Obergruppe ATC-Code]"),Tabelle3!$A33)</f>
        <v>0</v>
      </c>
      <c r="AB33">
        <f ca="1">COUNTIFS(INDIRECT("Table1[Beginn]"),"&lt;="&amp;AB$1,INDIRECT("Table1[Ende]"),"&gt;="&amp;AB$1,INDIRECT("Table1[Obergruppe ATC-Code]"),Tabelle3!$A33)</f>
        <v>0</v>
      </c>
      <c r="AC33">
        <f ca="1">COUNTIFS(INDIRECT("Table1[Beginn]"),"&lt;="&amp;AC$1,INDIRECT("Table1[Ende]"),"&gt;="&amp;AC$1,INDIRECT("Table1[Obergruppe ATC-Code]"),Tabelle3!$A33)</f>
        <v>0</v>
      </c>
      <c r="AD33">
        <f ca="1">COUNTIFS(INDIRECT("Table1[Beginn]"),"&lt;="&amp;AD$1,INDIRECT("Table1[Ende]"),"&gt;="&amp;AD$1,INDIRECT("Table1[Obergruppe ATC-Code]"),Tabelle3!$A33)</f>
        <v>0</v>
      </c>
      <c r="AE33">
        <f ca="1">COUNTIFS(INDIRECT("Table1[Beginn]"),"&lt;="&amp;AE$1,INDIRECT("Table1[Ende]"),"&gt;="&amp;AE$1,INDIRECT("Table1[Obergruppe ATC-Code]"),Tabelle3!$A33)</f>
        <v>0</v>
      </c>
      <c r="AF33">
        <f ca="1">COUNTIFS(INDIRECT("Table1[Beginn]"),"&lt;="&amp;AF$1,INDIRECT("Table1[Ende]"),"&gt;="&amp;AF$1,INDIRECT("Table1[Obergruppe ATC-Code]"),Tabelle3!$A33)</f>
        <v>0</v>
      </c>
      <c r="AG33">
        <f ca="1">COUNTIFS(INDIRECT("Table1[Beginn]"),"&lt;="&amp;AG$1,INDIRECT("Table1[Ende]"),"&gt;="&amp;AG$1,INDIRECT("Table1[Obergruppe ATC-Code]"),Tabelle3!$A33)</f>
        <v>0</v>
      </c>
      <c r="AH33">
        <f ca="1">COUNTIFS(INDIRECT("Table1[Beginn]"),"&lt;="&amp;AH$1,INDIRECT("Table1[Ende]"),"&gt;="&amp;AH$1,INDIRECT("Table1[Obergruppe ATC-Code]"),Tabelle3!$A33)</f>
        <v>0</v>
      </c>
      <c r="AI33">
        <f ca="1">COUNTIFS(INDIRECT("Table1[Beginn]"),"&lt;="&amp;AI$1,INDIRECT("Table1[Ende]"),"&gt;="&amp;AI$1,INDIRECT("Table1[Obergruppe ATC-Code]"),Tabelle3!$A33)</f>
        <v>0</v>
      </c>
      <c r="AJ33">
        <f ca="1">COUNTIFS(INDIRECT("Table1[Beginn]"),"&lt;="&amp;AJ$1,INDIRECT("Table1[Ende]"),"&gt;="&amp;AJ$1,INDIRECT("Table1[Obergruppe ATC-Code]"),Tabelle3!$A33)</f>
        <v>0</v>
      </c>
      <c r="AK33">
        <f ca="1">COUNTIFS(INDIRECT("Table1[Beginn]"),"&lt;="&amp;AK$1,INDIRECT("Table1[Ende]"),"&gt;="&amp;AK$1,INDIRECT("Table1[Obergruppe ATC-Code]"),Tabelle3!$A33)</f>
        <v>0</v>
      </c>
      <c r="AL33">
        <f ca="1">COUNTIFS(INDIRECT("Table1[Beginn]"),"&lt;="&amp;AL$1,INDIRECT("Table1[Ende]"),"&gt;="&amp;AL$1,INDIRECT("Table1[Obergruppe ATC-Code]"),Tabelle3!$A33)</f>
        <v>0</v>
      </c>
      <c r="AM33">
        <f ca="1">COUNTIFS(INDIRECT("Table1[Beginn]"),"&lt;="&amp;AM$1,INDIRECT("Table1[Ende]"),"&gt;="&amp;AM$1,INDIRECT("Table1[Obergruppe ATC-Code]"),Tabelle3!$A33)</f>
        <v>0</v>
      </c>
      <c r="AN33">
        <f ca="1">COUNTIFS(INDIRECT("Table1[Beginn]"),"&lt;="&amp;AN$1,INDIRECT("Table1[Ende]"),"&gt;="&amp;AN$1,INDIRECT("Table1[Obergruppe ATC-Code]"),Tabelle3!$A33)</f>
        <v>0</v>
      </c>
      <c r="AO33">
        <f ca="1">COUNTIFS(INDIRECT("Table1[Beginn]"),"&lt;="&amp;AO$1,INDIRECT("Table1[Ende]"),"&gt;="&amp;AO$1,INDIRECT("Table1[Obergruppe ATC-Code]"),Tabelle3!$A33)</f>
        <v>0</v>
      </c>
      <c r="AP33">
        <f ca="1">COUNTIFS(INDIRECT("Table1[Beginn]"),"&lt;="&amp;AP$1,INDIRECT("Table1[Ende]"),"&gt;="&amp;AP$1,INDIRECT("Table1[Obergruppe ATC-Code]"),Tabelle3!$A33)</f>
        <v>0</v>
      </c>
      <c r="AQ33">
        <f ca="1">COUNTIFS(INDIRECT("Table1[Beginn]"),"&lt;="&amp;AQ$1,INDIRECT("Table1[Ende]"),"&gt;="&amp;AQ$1,INDIRECT("Table1[Obergruppe ATC-Code]"),Tabelle3!$A33)</f>
        <v>0</v>
      </c>
      <c r="AR33">
        <f ca="1">COUNTIFS(INDIRECT("Table1[Beginn]"),"&lt;="&amp;AR$1,INDIRECT("Table1[Ende]"),"&gt;="&amp;AR$1,INDIRECT("Table1[Obergruppe ATC-Code]"),Tabelle3!$A33)</f>
        <v>0</v>
      </c>
      <c r="AS33">
        <f ca="1">COUNTIFS(INDIRECT("Table1[Beginn]"),"&lt;="&amp;AS$1,INDIRECT("Table1[Ende]"),"&gt;="&amp;AS$1,INDIRECT("Table1[Obergruppe ATC-Code]"),Tabelle3!$A33)</f>
        <v>0</v>
      </c>
      <c r="AT33">
        <f ca="1">COUNTIFS(INDIRECT("Table1[Beginn]"),"&lt;="&amp;AT$1,INDIRECT("Table1[Ende]"),"&gt;="&amp;AT$1,INDIRECT("Table1[Obergruppe ATC-Code]"),Tabelle3!$A33)</f>
        <v>0</v>
      </c>
      <c r="AU33">
        <f ca="1">COUNTIFS(INDIRECT("Table1[Beginn]"),"&lt;="&amp;AU$1,INDIRECT("Table1[Ende]"),"&gt;="&amp;AU$1,INDIRECT("Table1[Obergruppe ATC-Code]"),Tabelle3!$A33)</f>
        <v>0</v>
      </c>
      <c r="AV33">
        <f ca="1">COUNTIFS(INDIRECT("Table1[Beginn]"),"&lt;="&amp;AV$1,INDIRECT("Table1[Ende]"),"&gt;="&amp;AV$1,INDIRECT("Table1[Obergruppe ATC-Code]"),Tabelle3!$A33)</f>
        <v>0</v>
      </c>
      <c r="AW33">
        <f ca="1">COUNTIFS(INDIRECT("Table1[Beginn]"),"&lt;="&amp;AW$1,INDIRECT("Table1[Ende]"),"&gt;="&amp;AW$1,INDIRECT("Table1[Obergruppe ATC-Code]"),Tabelle3!$A33)</f>
        <v>0</v>
      </c>
      <c r="AX33">
        <f ca="1">COUNTIFS(INDIRECT("Table1[Beginn]"),"&lt;="&amp;AX$1,INDIRECT("Table1[Ende]"),"&gt;="&amp;AX$1,INDIRECT("Table1[Obergruppe ATC-Code]"),Tabelle3!$A33)</f>
        <v>0</v>
      </c>
      <c r="AY33">
        <f ca="1">COUNTIFS(INDIRECT("Table1[Beginn]"),"&lt;="&amp;AY$1,INDIRECT("Table1[Ende]"),"&gt;="&amp;AY$1,INDIRECT("Table1[Obergruppe ATC-Code]"),Tabelle3!$A33)</f>
        <v>0</v>
      </c>
      <c r="AZ33">
        <f ca="1">COUNTIFS(INDIRECT("Table1[Beginn]"),"&lt;="&amp;AZ$1,INDIRECT("Table1[Ende]"),"&gt;="&amp;AZ$1,INDIRECT("Table1[Obergruppe ATC-Code]"),Tabelle3!$A33)</f>
        <v>0</v>
      </c>
      <c r="BA33">
        <f ca="1">COUNTIFS(INDIRECT("Table1[Beginn]"),"&lt;="&amp;BA$1,INDIRECT("Table1[Ende]"),"&gt;="&amp;BA$1,INDIRECT("Table1[Obergruppe ATC-Code]"),Tabelle3!$A33)</f>
        <v>0</v>
      </c>
      <c r="BB33">
        <f ca="1">COUNTIFS(INDIRECT("Table1[Beginn]"),"&lt;="&amp;BB$1,INDIRECT("Table1[Ende]"),"&gt;="&amp;BB$1,INDIRECT("Table1[Obergruppe ATC-Code]"),Tabelle3!$A33)</f>
        <v>0</v>
      </c>
      <c r="BC33">
        <f ca="1">COUNTIFS(INDIRECT("Table1[Beginn]"),"&lt;="&amp;BC$1,INDIRECT("Table1[Ende]"),"&gt;="&amp;BC$1,INDIRECT("Table1[Obergruppe ATC-Code]"),Tabelle3!$A33)</f>
        <v>0</v>
      </c>
      <c r="BD33">
        <f ca="1">COUNTIFS(INDIRECT("Table1[Beginn]"),"&lt;="&amp;BD$1,INDIRECT("Table1[Ende]"),"&gt;="&amp;BD$1,INDIRECT("Table1[Obergruppe ATC-Code]"),Tabelle3!$A33)</f>
        <v>0</v>
      </c>
      <c r="BE33">
        <f ca="1">COUNTIFS(INDIRECT("Table1[Beginn]"),"&lt;="&amp;BE$1,INDIRECT("Table1[Ende]"),"&gt;="&amp;BE$1,INDIRECT("Table1[Obergruppe ATC-Code]"),Tabelle3!$A33)</f>
        <v>0</v>
      </c>
      <c r="BF33">
        <f ca="1">COUNTIFS(INDIRECT("Table1[Beginn]"),"&lt;="&amp;BF$1,INDIRECT("Table1[Ende]"),"&gt;="&amp;BF$1,INDIRECT("Table1[Obergruppe ATC-Code]"),Tabelle3!$A33)</f>
        <v>0</v>
      </c>
      <c r="BG33">
        <f ca="1">COUNTIFS(INDIRECT("Table1[Beginn]"),"&lt;="&amp;BG$1,INDIRECT("Table1[Ende]"),"&gt;="&amp;BG$1,INDIRECT("Table1[Obergruppe ATC-Code]"),Tabelle3!$A33)</f>
        <v>0</v>
      </c>
      <c r="BH33">
        <f ca="1">COUNTIFS(INDIRECT("Table1[Beginn]"),"&lt;="&amp;BH$1,INDIRECT("Table1[Ende]"),"&gt;="&amp;BH$1,INDIRECT("Table1[Obergruppe ATC-Code]"),Tabelle3!$A33)</f>
        <v>0</v>
      </c>
      <c r="BI33">
        <f ca="1">COUNTIFS(INDIRECT("Table1[Beginn]"),"&lt;="&amp;BI$1,INDIRECT("Table1[Ende]"),"&gt;="&amp;BI$1,INDIRECT("Table1[Obergruppe ATC-Code]"),Tabelle3!$A33)</f>
        <v>0</v>
      </c>
      <c r="BJ33">
        <f ca="1">COUNTIFS(INDIRECT("Table1[Beginn]"),"&lt;="&amp;BJ$1,INDIRECT("Table1[Ende]"),"&gt;="&amp;BJ$1,INDIRECT("Table1[Obergruppe ATC-Code]"),Tabelle3!$A33)</f>
        <v>0</v>
      </c>
      <c r="BK33">
        <f ca="1">COUNTIFS(INDIRECT("Table1[Beginn]"),"&lt;="&amp;BK$1,INDIRECT("Table1[Ende]"),"&gt;="&amp;BK$1,INDIRECT("Table1[Obergruppe ATC-Code]"),Tabelle3!$A33)</f>
        <v>1</v>
      </c>
      <c r="BL33">
        <f ca="1">COUNTIFS(INDIRECT("Table1[Beginn]"),"&lt;="&amp;BL$1,INDIRECT("Table1[Ende]"),"&gt;="&amp;BL$1,INDIRECT("Table1[Obergruppe ATC-Code]"),Tabelle3!$A33)</f>
        <v>0</v>
      </c>
      <c r="BM33">
        <f ca="1">COUNTIFS(INDIRECT("Table1[Beginn]"),"&lt;="&amp;BM$1,INDIRECT("Table1[Ende]"),"&gt;="&amp;BM$1,INDIRECT("Table1[Obergruppe ATC-Code]"),Tabelle3!$A33)</f>
        <v>0</v>
      </c>
      <c r="BN33">
        <f ca="1">COUNTIFS(INDIRECT("Table1[Beginn]"),"&lt;="&amp;BN$1,INDIRECT("Table1[Ende]"),"&gt;="&amp;BN$1,INDIRECT("Table1[Obergruppe ATC-Code]"),Tabelle3!$A33)</f>
        <v>1</v>
      </c>
      <c r="BO33">
        <f ca="1">COUNTIFS(INDIRECT("Table1[Beginn]"),"&lt;="&amp;BO$1,INDIRECT("Table1[Ende]"),"&gt;="&amp;BO$1,INDIRECT("Table1[Obergruppe ATC-Code]"),Tabelle3!$A33)</f>
        <v>0</v>
      </c>
      <c r="BP33">
        <f ca="1">COUNTIFS(INDIRECT("Table1[Beginn]"),"&lt;="&amp;BP$1,INDIRECT("Table1[Ende]"),"&gt;="&amp;BP$1,INDIRECT("Table1[Obergruppe ATC-Code]"),Tabelle3!$A33)</f>
        <v>0</v>
      </c>
      <c r="BQ33">
        <f ca="1">COUNTIFS(INDIRECT("Table1[Beginn]"),"&lt;="&amp;BQ$1,INDIRECT("Table1[Ende]"),"&gt;="&amp;BQ$1,INDIRECT("Table1[Obergruppe ATC-Code]"),Tabelle3!$A33)</f>
        <v>0</v>
      </c>
      <c r="BR33">
        <f ca="1">COUNTIFS(INDIRECT("Table1[Beginn]"),"&lt;="&amp;BR$1,INDIRECT("Table1[Ende]"),"&gt;="&amp;BR$1,INDIRECT("Table1[Obergruppe ATC-Code]"),Tabelle3!$A33)</f>
        <v>0</v>
      </c>
      <c r="BS33">
        <f ca="1">COUNTIFS(INDIRECT("Table1[Beginn]"),"&lt;="&amp;BS$1,INDIRECT("Table1[Ende]"),"&gt;="&amp;BS$1,INDIRECT("Table1[Obergruppe ATC-Code]"),Tabelle3!$A33)</f>
        <v>0</v>
      </c>
      <c r="BT33">
        <f ca="1">COUNTIFS(INDIRECT("Table1[Beginn]"),"&lt;="&amp;BT$1,INDIRECT("Table1[Ende]"),"&gt;="&amp;BT$1,INDIRECT("Table1[Obergruppe ATC-Code]"),Tabelle3!$A33)</f>
        <v>0</v>
      </c>
      <c r="BU33">
        <f ca="1">COUNTIFS(INDIRECT("Table1[Beginn]"),"&lt;="&amp;BU$1,INDIRECT("Table1[Ende]"),"&gt;="&amp;BU$1,INDIRECT("Table1[Obergruppe ATC-Code]"),Tabelle3!$A33)</f>
        <v>0</v>
      </c>
      <c r="BV33">
        <f ca="1">COUNTIFS(INDIRECT("Table1[Beginn]"),"&lt;="&amp;BV$1,INDIRECT("Table1[Ende]"),"&gt;="&amp;BV$1,INDIRECT("Table1[Obergruppe ATC-Code]"),Tabelle3!$A33)</f>
        <v>0</v>
      </c>
      <c r="BW33">
        <f ca="1">COUNTIFS(INDIRECT("Table1[Beginn]"),"&lt;="&amp;BW$1,INDIRECT("Table1[Ende]"),"&gt;="&amp;BW$1,INDIRECT("Table1[Obergruppe ATC-Code]"),Tabelle3!$A33)</f>
        <v>0</v>
      </c>
      <c r="BX33">
        <f ca="1">COUNTIFS(INDIRECT("Table1[Beginn]"),"&lt;="&amp;BX$1,INDIRECT("Table1[Ende]"),"&gt;="&amp;BX$1,INDIRECT("Table1[Obergruppe ATC-Code]"),Tabelle3!$A33)</f>
        <v>1</v>
      </c>
      <c r="BY33">
        <f ca="1">COUNTIFS(INDIRECT("Table1[Beginn]"),"&lt;="&amp;BY$1,INDIRECT("Table1[Ende]"),"&gt;="&amp;BY$1,INDIRECT("Table1[Obergruppe ATC-Code]"),Tabelle3!$A33)</f>
        <v>1</v>
      </c>
      <c r="BZ33">
        <f ca="1">COUNTIFS(INDIRECT("Table1[Beginn]"),"&lt;="&amp;BZ$1,INDIRECT("Table1[Ende]"),"&gt;="&amp;BZ$1,INDIRECT("Table1[Obergruppe ATC-Code]"),Tabelle3!$A33)</f>
        <v>0</v>
      </c>
      <c r="CA33">
        <f ca="1">COUNTIFS(INDIRECT("Table1[Beginn]"),"&lt;="&amp;CA$1,INDIRECT("Table1[Ende]"),"&gt;="&amp;CA$1,INDIRECT("Table1[Obergruppe ATC-Code]"),Tabelle3!$A33)</f>
        <v>0</v>
      </c>
      <c r="CB33">
        <f ca="1">COUNTIFS(INDIRECT("Table1[Beginn]"),"&lt;="&amp;CB$1,INDIRECT("Table1[Ende]"),"&gt;="&amp;CB$1,INDIRECT("Table1[Obergruppe ATC-Code]"),Tabelle3!$A33)</f>
        <v>0</v>
      </c>
      <c r="CC33">
        <f ca="1">COUNTIFS(INDIRECT("Table1[Beginn]"),"&lt;="&amp;CC$1,INDIRECT("Table1[Ende]"),"&gt;="&amp;CC$1,INDIRECT("Table1[Obergruppe ATC-Code]"),Tabelle3!$A33)</f>
        <v>0</v>
      </c>
      <c r="CD33">
        <f ca="1">COUNTIFS(INDIRECT("Table1[Beginn]"),"&lt;="&amp;CD$1,INDIRECT("Table1[Ende]"),"&gt;="&amp;CD$1,INDIRECT("Table1[Obergruppe ATC-Code]"),Tabelle3!$A33)</f>
        <v>0</v>
      </c>
      <c r="CE33">
        <f ca="1">COUNTIFS(INDIRECT("Table1[Beginn]"),"&lt;="&amp;CE$1,INDIRECT("Table1[Ende]"),"&gt;="&amp;CE$1,INDIRECT("Table1[Obergruppe ATC-Code]"),Tabelle3!$A33)</f>
        <v>0</v>
      </c>
      <c r="CF33">
        <f ca="1">COUNTIFS(INDIRECT("Table1[Beginn]"),"&lt;="&amp;CF$1,INDIRECT("Table1[Ende]"),"&gt;="&amp;CF$1,INDIRECT("Table1[Obergruppe ATC-Code]"),Tabelle3!$A33)</f>
        <v>0</v>
      </c>
      <c r="CG33">
        <f ca="1">COUNTIFS(INDIRECT("Table1[Beginn]"),"&lt;="&amp;CG$1,INDIRECT("Table1[Ende]"),"&gt;="&amp;CG$1,INDIRECT("Table1[Obergruppe ATC-Code]"),Tabelle3!$A33)</f>
        <v>0</v>
      </c>
      <c r="CH33">
        <f ca="1">COUNTIFS(INDIRECT("Table1[Beginn]"),"&lt;="&amp;CH$1,INDIRECT("Table1[Ende]"),"&gt;="&amp;CH$1,INDIRECT("Table1[Obergruppe ATC-Code]"),Tabelle3!$A33)</f>
        <v>0</v>
      </c>
      <c r="CI33">
        <f ca="1">COUNTIFS(INDIRECT("Table1[Beginn]"),"&lt;="&amp;CI$1,INDIRECT("Table1[Ende]"),"&gt;="&amp;CI$1,INDIRECT("Table1[Obergruppe ATC-Code]"),Tabelle3!$A33)</f>
        <v>0</v>
      </c>
      <c r="CJ33">
        <f ca="1">COUNTIFS(INDIRECT("Table1[Beginn]"),"&lt;="&amp;CJ$1,INDIRECT("Table1[Ende]"),"&gt;="&amp;CJ$1,INDIRECT("Table1[Obergruppe ATC-Code]"),Tabelle3!$A33)</f>
        <v>0</v>
      </c>
      <c r="CK33">
        <f ca="1">COUNTIFS(INDIRECT("Table1[Beginn]"),"&lt;="&amp;CK$1,INDIRECT("Table1[Ende]"),"&gt;="&amp;CK$1,INDIRECT("Table1[Obergruppe ATC-Code]"),Tabelle3!$A33)</f>
        <v>0</v>
      </c>
      <c r="CL33">
        <f ca="1">COUNTIFS(INDIRECT("Table1[Beginn]"),"&lt;="&amp;CL$1,INDIRECT("Table1[Ende]"),"&gt;="&amp;CL$1,INDIRECT("Table1[Obergruppe ATC-Code]"),Tabelle3!$A33)</f>
        <v>0</v>
      </c>
      <c r="CM33">
        <f ca="1">COUNTIFS(INDIRECT("Table1[Beginn]"),"&lt;="&amp;CM$1,INDIRECT("Table1[Ende]"),"&gt;="&amp;CM$1,INDIRECT("Table1[Obergruppe ATC-Code]"),Tabelle3!$A33)</f>
        <v>0</v>
      </c>
      <c r="CN33">
        <f ca="1">COUNTIFS(INDIRECT("Table1[Beginn]"),"&lt;="&amp;CN$1,INDIRECT("Table1[Ende]"),"&gt;="&amp;CN$1,INDIRECT("Table1[Obergruppe ATC-Code]"),Tabelle3!$A33)</f>
        <v>0</v>
      </c>
      <c r="CO33">
        <f ca="1">COUNTIFS(INDIRECT("Table1[Beginn]"),"&lt;="&amp;CO$1,INDIRECT("Table1[Ende]"),"&gt;="&amp;CO$1,INDIRECT("Table1[Obergruppe ATC-Code]"),Tabelle3!$A33)</f>
        <v>0</v>
      </c>
      <c r="CP33">
        <f ca="1">COUNTIFS(INDIRECT("Table1[Beginn]"),"&lt;="&amp;CP$1,INDIRECT("Table1[Ende]"),"&gt;="&amp;CP$1,INDIRECT("Table1[Obergruppe ATC-Code]"),Tabelle3!$A33)</f>
        <v>0</v>
      </c>
      <c r="CQ33">
        <f ca="1">COUNTIFS(INDIRECT("Table1[Beginn]"),"&lt;="&amp;CQ$1,INDIRECT("Table1[Ende]"),"&gt;="&amp;CQ$1,INDIRECT("Table1[Obergruppe ATC-Code]"),Tabelle3!$A33)</f>
        <v>0</v>
      </c>
      <c r="CR33">
        <f ca="1">COUNTIFS(INDIRECT("Table1[Beginn]"),"&lt;="&amp;CR$1,INDIRECT("Table1[Ende]"),"&gt;="&amp;CR$1,INDIRECT("Table1[Obergruppe ATC-Code]"),Tabelle3!$A33)</f>
        <v>0</v>
      </c>
      <c r="CS33">
        <f ca="1">COUNTIFS(INDIRECT("Table1[Beginn]"),"&lt;="&amp;CS$1,INDIRECT("Table1[Ende]"),"&gt;="&amp;CS$1,INDIRECT("Table1[Obergruppe ATC-Code]"),Tabelle3!$A33)</f>
        <v>0</v>
      </c>
      <c r="CT33">
        <f ca="1">COUNTIFS(INDIRECT("Table1[Beginn]"),"&lt;="&amp;CT$1,INDIRECT("Table1[Ende]"),"&gt;="&amp;CT$1,INDIRECT("Table1[Obergruppe ATC-Code]"),Tabelle3!$A33)</f>
        <v>0</v>
      </c>
      <c r="CU33" s="54"/>
      <c r="CV33" s="54"/>
      <c r="CW33" s="54"/>
      <c r="CX33" s="54"/>
      <c r="CY33" s="54"/>
      <c r="CZ33" s="54"/>
      <c r="DA33" s="54"/>
      <c r="DB33" s="54"/>
      <c r="DC33" s="54"/>
      <c r="DD33" s="54"/>
      <c r="DE33" s="54"/>
      <c r="DF33" s="54"/>
      <c r="DG33" s="54"/>
      <c r="DH33" s="54"/>
    </row>
    <row r="34" spans="1:112" ht="18" customHeight="1">
      <c r="A34" s="7" t="s">
        <v>6836</v>
      </c>
      <c r="B34" s="8" t="s">
        <v>6837</v>
      </c>
      <c r="C34">
        <f ca="1">COUNTIFS(INDIRECT("Table1[Beginn]"),"&lt;="&amp;C$1,INDIRECT("Table1[Ende]"),"&gt;="&amp;C$1,INDIRECT("Table1[Obergruppe ATC-Code]"),Tabelle3!$A34)</f>
        <v>0</v>
      </c>
      <c r="D34">
        <f ca="1">COUNTIFS(INDIRECT("Table1[Beginn]"),"&lt;="&amp;D$1,INDIRECT("Table1[Ende]"),"&gt;="&amp;D$1,INDIRECT("Table1[Obergruppe ATC-Code]"),Tabelle3!$A34)</f>
        <v>0</v>
      </c>
      <c r="E34">
        <f ca="1">COUNTIFS(INDIRECT("Table1[Beginn]"),"&lt;="&amp;E$1,INDIRECT("Table1[Ende]"),"&gt;="&amp;E$1,INDIRECT("Table1[Obergruppe ATC-Code]"),Tabelle3!$A34)</f>
        <v>0</v>
      </c>
      <c r="F34">
        <f ca="1">COUNTIFS(INDIRECT("Table1[Beginn]"),"&lt;="&amp;F$1,INDIRECT("Table1[Ende]"),"&gt;="&amp;F$1,INDIRECT("Table1[Obergruppe ATC-Code]"),Tabelle3!$A34)</f>
        <v>0</v>
      </c>
      <c r="G34">
        <f ca="1">COUNTIFS(INDIRECT("Table1[Beginn]"),"&lt;="&amp;G$1,INDIRECT("Table1[Ende]"),"&gt;="&amp;G$1,INDIRECT("Table1[Obergruppe ATC-Code]"),Tabelle3!$A34)</f>
        <v>0</v>
      </c>
      <c r="H34">
        <f ca="1">COUNTIFS(INDIRECT("Table1[Beginn]"),"&lt;="&amp;H$1,INDIRECT("Table1[Ende]"),"&gt;="&amp;H$1,INDIRECT("Table1[Obergruppe ATC-Code]"),Tabelle3!$A34)</f>
        <v>0</v>
      </c>
      <c r="I34">
        <f ca="1">COUNTIFS(INDIRECT("Table1[Beginn]"),"&lt;="&amp;I$1,INDIRECT("Table1[Ende]"),"&gt;="&amp;I$1,INDIRECT("Table1[Obergruppe ATC-Code]"),Tabelle3!$A34)</f>
        <v>0</v>
      </c>
      <c r="J34">
        <f ca="1">COUNTIFS(INDIRECT("Table1[Beginn]"),"&lt;="&amp;J$1,INDIRECT("Table1[Ende]"),"&gt;="&amp;J$1,INDIRECT("Table1[Obergruppe ATC-Code]"),Tabelle3!$A34)</f>
        <v>0</v>
      </c>
      <c r="K34">
        <f ca="1">COUNTIFS(INDIRECT("Table1[Beginn]"),"&lt;="&amp;K$1,INDIRECT("Table1[Ende]"),"&gt;="&amp;K$1,INDIRECT("Table1[Obergruppe ATC-Code]"),Tabelle3!$A34)</f>
        <v>0</v>
      </c>
      <c r="L34">
        <f ca="1">COUNTIFS(INDIRECT("Table1[Beginn]"),"&lt;="&amp;L$1,INDIRECT("Table1[Ende]"),"&gt;="&amp;L$1,INDIRECT("Table1[Obergruppe ATC-Code]"),Tabelle3!$A34)</f>
        <v>0</v>
      </c>
      <c r="M34">
        <f ca="1">COUNTIFS(INDIRECT("Table1[Beginn]"),"&lt;="&amp;M$1,INDIRECT("Table1[Ende]"),"&gt;="&amp;M$1,INDIRECT("Table1[Obergruppe ATC-Code]"),Tabelle3!$A34)</f>
        <v>0</v>
      </c>
      <c r="N34">
        <f ca="1">COUNTIFS(INDIRECT("Table1[Beginn]"),"&lt;="&amp;N$1,INDIRECT("Table1[Ende]"),"&gt;="&amp;N$1,INDIRECT("Table1[Obergruppe ATC-Code]"),Tabelle3!$A34)</f>
        <v>0</v>
      </c>
      <c r="O34">
        <f ca="1">COUNTIFS(INDIRECT("Table1[Beginn]"),"&lt;="&amp;O$1,INDIRECT("Table1[Ende]"),"&gt;="&amp;O$1,INDIRECT("Table1[Obergruppe ATC-Code]"),Tabelle3!$A34)</f>
        <v>0</v>
      </c>
      <c r="P34">
        <f ca="1">COUNTIFS(INDIRECT("Table1[Beginn]"),"&lt;="&amp;P$1,INDIRECT("Table1[Ende]"),"&gt;="&amp;P$1,INDIRECT("Table1[Obergruppe ATC-Code]"),Tabelle3!$A34)</f>
        <v>0</v>
      </c>
      <c r="Q34">
        <f ca="1">COUNTIFS(INDIRECT("Table1[Beginn]"),"&lt;="&amp;Q$1,INDIRECT("Table1[Ende]"),"&gt;="&amp;Q$1,INDIRECT("Table1[Obergruppe ATC-Code]"),Tabelle3!$A34)</f>
        <v>0</v>
      </c>
      <c r="R34">
        <f ca="1">COUNTIFS(INDIRECT("Table1[Beginn]"),"&lt;="&amp;R$1,INDIRECT("Table1[Ende]"),"&gt;="&amp;R$1,INDIRECT("Table1[Obergruppe ATC-Code]"),Tabelle3!$A34)</f>
        <v>0</v>
      </c>
      <c r="S34">
        <f ca="1">COUNTIFS(INDIRECT("Table1[Beginn]"),"&lt;="&amp;S$1,INDIRECT("Table1[Ende]"),"&gt;="&amp;S$1,INDIRECT("Table1[Obergruppe ATC-Code]"),Tabelle3!$A34)</f>
        <v>0</v>
      </c>
      <c r="T34">
        <f ca="1">COUNTIFS(INDIRECT("Table1[Beginn]"),"&lt;="&amp;T$1,INDIRECT("Table1[Ende]"),"&gt;="&amp;T$1,INDIRECT("Table1[Obergruppe ATC-Code]"),Tabelle3!$A34)</f>
        <v>0</v>
      </c>
      <c r="U34">
        <f ca="1">COUNTIFS(INDIRECT("Table1[Beginn]"),"&lt;="&amp;U$1,INDIRECT("Table1[Ende]"),"&gt;="&amp;U$1,INDIRECT("Table1[Obergruppe ATC-Code]"),Tabelle3!$A34)</f>
        <v>0</v>
      </c>
      <c r="V34">
        <f ca="1">COUNTIFS(INDIRECT("Table1[Beginn]"),"&lt;="&amp;V$1,INDIRECT("Table1[Ende]"),"&gt;="&amp;V$1,INDIRECT("Table1[Obergruppe ATC-Code]"),Tabelle3!$A34)</f>
        <v>0</v>
      </c>
      <c r="W34">
        <f ca="1">COUNTIFS(INDIRECT("Table1[Beginn]"),"&lt;="&amp;W$1,INDIRECT("Table1[Ende]"),"&gt;="&amp;W$1,INDIRECT("Table1[Obergruppe ATC-Code]"),Tabelle3!$A34)</f>
        <v>0</v>
      </c>
      <c r="X34">
        <f ca="1">COUNTIFS(INDIRECT("Table1[Beginn]"),"&lt;="&amp;X$1,INDIRECT("Table1[Ende]"),"&gt;="&amp;X$1,INDIRECT("Table1[Obergruppe ATC-Code]"),Tabelle3!$A34)</f>
        <v>0</v>
      </c>
      <c r="Y34">
        <f ca="1">COUNTIFS(INDIRECT("Table1[Beginn]"),"&lt;="&amp;Y$1,INDIRECT("Table1[Ende]"),"&gt;="&amp;Y$1,INDIRECT("Table1[Obergruppe ATC-Code]"),Tabelle3!$A34)</f>
        <v>0</v>
      </c>
      <c r="Z34">
        <f ca="1">COUNTIFS(INDIRECT("Table1[Beginn]"),"&lt;="&amp;Z$1,INDIRECT("Table1[Ende]"),"&gt;="&amp;Z$1,INDIRECT("Table1[Obergruppe ATC-Code]"),Tabelle3!$A34)</f>
        <v>0</v>
      </c>
      <c r="AA34">
        <f ca="1">COUNTIFS(INDIRECT("Table1[Beginn]"),"&lt;="&amp;AA$1,INDIRECT("Table1[Ende]"),"&gt;="&amp;AA$1,INDIRECT("Table1[Obergruppe ATC-Code]"),Tabelle3!$A34)</f>
        <v>0</v>
      </c>
      <c r="AB34">
        <f ca="1">COUNTIFS(INDIRECT("Table1[Beginn]"),"&lt;="&amp;AB$1,INDIRECT("Table1[Ende]"),"&gt;="&amp;AB$1,INDIRECT("Table1[Obergruppe ATC-Code]"),Tabelle3!$A34)</f>
        <v>0</v>
      </c>
      <c r="AC34">
        <f ca="1">COUNTIFS(INDIRECT("Table1[Beginn]"),"&lt;="&amp;AC$1,INDIRECT("Table1[Ende]"),"&gt;="&amp;AC$1,INDIRECT("Table1[Obergruppe ATC-Code]"),Tabelle3!$A34)</f>
        <v>0</v>
      </c>
      <c r="AD34">
        <f ca="1">COUNTIFS(INDIRECT("Table1[Beginn]"),"&lt;="&amp;AD$1,INDIRECT("Table1[Ende]"),"&gt;="&amp;AD$1,INDIRECT("Table1[Obergruppe ATC-Code]"),Tabelle3!$A34)</f>
        <v>0</v>
      </c>
      <c r="AE34">
        <f ca="1">COUNTIFS(INDIRECT("Table1[Beginn]"),"&lt;="&amp;AE$1,INDIRECT("Table1[Ende]"),"&gt;="&amp;AE$1,INDIRECT("Table1[Obergruppe ATC-Code]"),Tabelle3!$A34)</f>
        <v>0</v>
      </c>
      <c r="AF34">
        <f ca="1">COUNTIFS(INDIRECT("Table1[Beginn]"),"&lt;="&amp;AF$1,INDIRECT("Table1[Ende]"),"&gt;="&amp;AF$1,INDIRECT("Table1[Obergruppe ATC-Code]"),Tabelle3!$A34)</f>
        <v>0</v>
      </c>
      <c r="AG34">
        <f ca="1">COUNTIFS(INDIRECT("Table1[Beginn]"),"&lt;="&amp;AG$1,INDIRECT("Table1[Ende]"),"&gt;="&amp;AG$1,INDIRECT("Table1[Obergruppe ATC-Code]"),Tabelle3!$A34)</f>
        <v>0</v>
      </c>
      <c r="AH34">
        <f ca="1">COUNTIFS(INDIRECT("Table1[Beginn]"),"&lt;="&amp;AH$1,INDIRECT("Table1[Ende]"),"&gt;="&amp;AH$1,INDIRECT("Table1[Obergruppe ATC-Code]"),Tabelle3!$A34)</f>
        <v>0</v>
      </c>
      <c r="AI34">
        <f ca="1">COUNTIFS(INDIRECT("Table1[Beginn]"),"&lt;="&amp;AI$1,INDIRECT("Table1[Ende]"),"&gt;="&amp;AI$1,INDIRECT("Table1[Obergruppe ATC-Code]"),Tabelle3!$A34)</f>
        <v>0</v>
      </c>
      <c r="AJ34">
        <f ca="1">COUNTIFS(INDIRECT("Table1[Beginn]"),"&lt;="&amp;AJ$1,INDIRECT("Table1[Ende]"),"&gt;="&amp;AJ$1,INDIRECT("Table1[Obergruppe ATC-Code]"),Tabelle3!$A34)</f>
        <v>0</v>
      </c>
      <c r="AK34">
        <f ca="1">COUNTIFS(INDIRECT("Table1[Beginn]"),"&lt;="&amp;AK$1,INDIRECT("Table1[Ende]"),"&gt;="&amp;AK$1,INDIRECT("Table1[Obergruppe ATC-Code]"),Tabelle3!$A34)</f>
        <v>0</v>
      </c>
      <c r="AL34">
        <f ca="1">COUNTIFS(INDIRECT("Table1[Beginn]"),"&lt;="&amp;AL$1,INDIRECT("Table1[Ende]"),"&gt;="&amp;AL$1,INDIRECT("Table1[Obergruppe ATC-Code]"),Tabelle3!$A34)</f>
        <v>0</v>
      </c>
      <c r="AM34">
        <f ca="1">COUNTIFS(INDIRECT("Table1[Beginn]"),"&lt;="&amp;AM$1,INDIRECT("Table1[Ende]"),"&gt;="&amp;AM$1,INDIRECT("Table1[Obergruppe ATC-Code]"),Tabelle3!$A34)</f>
        <v>0</v>
      </c>
      <c r="AN34">
        <f ca="1">COUNTIFS(INDIRECT("Table1[Beginn]"),"&lt;="&amp;AN$1,INDIRECT("Table1[Ende]"),"&gt;="&amp;AN$1,INDIRECT("Table1[Obergruppe ATC-Code]"),Tabelle3!$A34)</f>
        <v>0</v>
      </c>
      <c r="AO34">
        <f ca="1">COUNTIFS(INDIRECT("Table1[Beginn]"),"&lt;="&amp;AO$1,INDIRECT("Table1[Ende]"),"&gt;="&amp;AO$1,INDIRECT("Table1[Obergruppe ATC-Code]"),Tabelle3!$A34)</f>
        <v>0</v>
      </c>
      <c r="AP34">
        <f ca="1">COUNTIFS(INDIRECT("Table1[Beginn]"),"&lt;="&amp;AP$1,INDIRECT("Table1[Ende]"),"&gt;="&amp;AP$1,INDIRECT("Table1[Obergruppe ATC-Code]"),Tabelle3!$A34)</f>
        <v>0</v>
      </c>
      <c r="AQ34">
        <f ca="1">COUNTIFS(INDIRECT("Table1[Beginn]"),"&lt;="&amp;AQ$1,INDIRECT("Table1[Ende]"),"&gt;="&amp;AQ$1,INDIRECT("Table1[Obergruppe ATC-Code]"),Tabelle3!$A34)</f>
        <v>0</v>
      </c>
      <c r="AR34">
        <f ca="1">COUNTIFS(INDIRECT("Table1[Beginn]"),"&lt;="&amp;AR$1,INDIRECT("Table1[Ende]"),"&gt;="&amp;AR$1,INDIRECT("Table1[Obergruppe ATC-Code]"),Tabelle3!$A34)</f>
        <v>0</v>
      </c>
      <c r="AS34">
        <f ca="1">COUNTIFS(INDIRECT("Table1[Beginn]"),"&lt;="&amp;AS$1,INDIRECT("Table1[Ende]"),"&gt;="&amp;AS$1,INDIRECT("Table1[Obergruppe ATC-Code]"),Tabelle3!$A34)</f>
        <v>0</v>
      </c>
      <c r="AT34">
        <f ca="1">COUNTIFS(INDIRECT("Table1[Beginn]"),"&lt;="&amp;AT$1,INDIRECT("Table1[Ende]"),"&gt;="&amp;AT$1,INDIRECT("Table1[Obergruppe ATC-Code]"),Tabelle3!$A34)</f>
        <v>0</v>
      </c>
      <c r="AU34">
        <f ca="1">COUNTIFS(INDIRECT("Table1[Beginn]"),"&lt;="&amp;AU$1,INDIRECT("Table1[Ende]"),"&gt;="&amp;AU$1,INDIRECT("Table1[Obergruppe ATC-Code]"),Tabelle3!$A34)</f>
        <v>0</v>
      </c>
      <c r="AV34">
        <f ca="1">COUNTIFS(INDIRECT("Table1[Beginn]"),"&lt;="&amp;AV$1,INDIRECT("Table1[Ende]"),"&gt;="&amp;AV$1,INDIRECT("Table1[Obergruppe ATC-Code]"),Tabelle3!$A34)</f>
        <v>0</v>
      </c>
      <c r="AW34">
        <f ca="1">COUNTIFS(INDIRECT("Table1[Beginn]"),"&lt;="&amp;AW$1,INDIRECT("Table1[Ende]"),"&gt;="&amp;AW$1,INDIRECT("Table1[Obergruppe ATC-Code]"),Tabelle3!$A34)</f>
        <v>0</v>
      </c>
      <c r="AX34">
        <f ca="1">COUNTIFS(INDIRECT("Table1[Beginn]"),"&lt;="&amp;AX$1,INDIRECT("Table1[Ende]"),"&gt;="&amp;AX$1,INDIRECT("Table1[Obergruppe ATC-Code]"),Tabelle3!$A34)</f>
        <v>0</v>
      </c>
      <c r="AY34">
        <f ca="1">COUNTIFS(INDIRECT("Table1[Beginn]"),"&lt;="&amp;AY$1,INDIRECT("Table1[Ende]"),"&gt;="&amp;AY$1,INDIRECT("Table1[Obergruppe ATC-Code]"),Tabelle3!$A34)</f>
        <v>0</v>
      </c>
      <c r="AZ34">
        <f ca="1">COUNTIFS(INDIRECT("Table1[Beginn]"),"&lt;="&amp;AZ$1,INDIRECT("Table1[Ende]"),"&gt;="&amp;AZ$1,INDIRECT("Table1[Obergruppe ATC-Code]"),Tabelle3!$A34)</f>
        <v>0</v>
      </c>
      <c r="BA34">
        <f ca="1">COUNTIFS(INDIRECT("Table1[Beginn]"),"&lt;="&amp;BA$1,INDIRECT("Table1[Ende]"),"&gt;="&amp;BA$1,INDIRECT("Table1[Obergruppe ATC-Code]"),Tabelle3!$A34)</f>
        <v>0</v>
      </c>
      <c r="BB34">
        <f ca="1">COUNTIFS(INDIRECT("Table1[Beginn]"),"&lt;="&amp;BB$1,INDIRECT("Table1[Ende]"),"&gt;="&amp;BB$1,INDIRECT("Table1[Obergruppe ATC-Code]"),Tabelle3!$A34)</f>
        <v>0</v>
      </c>
      <c r="BC34">
        <f ca="1">COUNTIFS(INDIRECT("Table1[Beginn]"),"&lt;="&amp;BC$1,INDIRECT("Table1[Ende]"),"&gt;="&amp;BC$1,INDIRECT("Table1[Obergruppe ATC-Code]"),Tabelle3!$A34)</f>
        <v>0</v>
      </c>
      <c r="BD34">
        <f ca="1">COUNTIFS(INDIRECT("Table1[Beginn]"),"&lt;="&amp;BD$1,INDIRECT("Table1[Ende]"),"&gt;="&amp;BD$1,INDIRECT("Table1[Obergruppe ATC-Code]"),Tabelle3!$A34)</f>
        <v>0</v>
      </c>
      <c r="BE34">
        <f ca="1">COUNTIFS(INDIRECT("Table1[Beginn]"),"&lt;="&amp;BE$1,INDIRECT("Table1[Ende]"),"&gt;="&amp;BE$1,INDIRECT("Table1[Obergruppe ATC-Code]"),Tabelle3!$A34)</f>
        <v>0</v>
      </c>
      <c r="BF34">
        <f ca="1">COUNTIFS(INDIRECT("Table1[Beginn]"),"&lt;="&amp;BF$1,INDIRECT("Table1[Ende]"),"&gt;="&amp;BF$1,INDIRECT("Table1[Obergruppe ATC-Code]"),Tabelle3!$A34)</f>
        <v>0</v>
      </c>
      <c r="BG34">
        <f ca="1">COUNTIFS(INDIRECT("Table1[Beginn]"),"&lt;="&amp;BG$1,INDIRECT("Table1[Ende]"),"&gt;="&amp;BG$1,INDIRECT("Table1[Obergruppe ATC-Code]"),Tabelle3!$A34)</f>
        <v>0</v>
      </c>
      <c r="BH34">
        <f ca="1">COUNTIFS(INDIRECT("Table1[Beginn]"),"&lt;="&amp;BH$1,INDIRECT("Table1[Ende]"),"&gt;="&amp;BH$1,INDIRECT("Table1[Obergruppe ATC-Code]"),Tabelle3!$A34)</f>
        <v>0</v>
      </c>
      <c r="BI34">
        <f ca="1">COUNTIFS(INDIRECT("Table1[Beginn]"),"&lt;="&amp;BI$1,INDIRECT("Table1[Ende]"),"&gt;="&amp;BI$1,INDIRECT("Table1[Obergruppe ATC-Code]"),Tabelle3!$A34)</f>
        <v>0</v>
      </c>
      <c r="BJ34">
        <f ca="1">COUNTIFS(INDIRECT("Table1[Beginn]"),"&lt;="&amp;BJ$1,INDIRECT("Table1[Ende]"),"&gt;="&amp;BJ$1,INDIRECT("Table1[Obergruppe ATC-Code]"),Tabelle3!$A34)</f>
        <v>0</v>
      </c>
      <c r="BK34">
        <f ca="1">COUNTIFS(INDIRECT("Table1[Beginn]"),"&lt;="&amp;BK$1,INDIRECT("Table1[Ende]"),"&gt;="&amp;BK$1,INDIRECT("Table1[Obergruppe ATC-Code]"),Tabelle3!$A34)</f>
        <v>0</v>
      </c>
      <c r="BL34">
        <f ca="1">COUNTIFS(INDIRECT("Table1[Beginn]"),"&lt;="&amp;BL$1,INDIRECT("Table1[Ende]"),"&gt;="&amp;BL$1,INDIRECT("Table1[Obergruppe ATC-Code]"),Tabelle3!$A34)</f>
        <v>0</v>
      </c>
      <c r="BM34">
        <f ca="1">COUNTIFS(INDIRECT("Table1[Beginn]"),"&lt;="&amp;BM$1,INDIRECT("Table1[Ende]"),"&gt;="&amp;BM$1,INDIRECT("Table1[Obergruppe ATC-Code]"),Tabelle3!$A34)</f>
        <v>0</v>
      </c>
      <c r="BN34">
        <f ca="1">COUNTIFS(INDIRECT("Table1[Beginn]"),"&lt;="&amp;BN$1,INDIRECT("Table1[Ende]"),"&gt;="&amp;BN$1,INDIRECT("Table1[Obergruppe ATC-Code]"),Tabelle3!$A34)</f>
        <v>0</v>
      </c>
      <c r="BO34">
        <f ca="1">COUNTIFS(INDIRECT("Table1[Beginn]"),"&lt;="&amp;BO$1,INDIRECT("Table1[Ende]"),"&gt;="&amp;BO$1,INDIRECT("Table1[Obergruppe ATC-Code]"),Tabelle3!$A34)</f>
        <v>0</v>
      </c>
      <c r="BP34">
        <f ca="1">COUNTIFS(INDIRECT("Table1[Beginn]"),"&lt;="&amp;BP$1,INDIRECT("Table1[Ende]"),"&gt;="&amp;BP$1,INDIRECT("Table1[Obergruppe ATC-Code]"),Tabelle3!$A34)</f>
        <v>0</v>
      </c>
      <c r="BQ34">
        <f ca="1">COUNTIFS(INDIRECT("Table1[Beginn]"),"&lt;="&amp;BQ$1,INDIRECT("Table1[Ende]"),"&gt;="&amp;BQ$1,INDIRECT("Table1[Obergruppe ATC-Code]"),Tabelle3!$A34)</f>
        <v>0</v>
      </c>
      <c r="BR34">
        <f ca="1">COUNTIFS(INDIRECT("Table1[Beginn]"),"&lt;="&amp;BR$1,INDIRECT("Table1[Ende]"),"&gt;="&amp;BR$1,INDIRECT("Table1[Obergruppe ATC-Code]"),Tabelle3!$A34)</f>
        <v>0</v>
      </c>
      <c r="BS34">
        <f ca="1">COUNTIFS(INDIRECT("Table1[Beginn]"),"&lt;="&amp;BS$1,INDIRECT("Table1[Ende]"),"&gt;="&amp;BS$1,INDIRECT("Table1[Obergruppe ATC-Code]"),Tabelle3!$A34)</f>
        <v>0</v>
      </c>
      <c r="BT34">
        <f ca="1">COUNTIFS(INDIRECT("Table1[Beginn]"),"&lt;="&amp;BT$1,INDIRECT("Table1[Ende]"),"&gt;="&amp;BT$1,INDIRECT("Table1[Obergruppe ATC-Code]"),Tabelle3!$A34)</f>
        <v>0</v>
      </c>
      <c r="BU34">
        <f ca="1">COUNTIFS(INDIRECT("Table1[Beginn]"),"&lt;="&amp;BU$1,INDIRECT("Table1[Ende]"),"&gt;="&amp;BU$1,INDIRECT("Table1[Obergruppe ATC-Code]"),Tabelle3!$A34)</f>
        <v>0</v>
      </c>
      <c r="BV34">
        <f ca="1">COUNTIFS(INDIRECT("Table1[Beginn]"),"&lt;="&amp;BV$1,INDIRECT("Table1[Ende]"),"&gt;="&amp;BV$1,INDIRECT("Table1[Obergruppe ATC-Code]"),Tabelle3!$A34)</f>
        <v>0</v>
      </c>
      <c r="BW34">
        <f ca="1">COUNTIFS(INDIRECT("Table1[Beginn]"),"&lt;="&amp;BW$1,INDIRECT("Table1[Ende]"),"&gt;="&amp;BW$1,INDIRECT("Table1[Obergruppe ATC-Code]"),Tabelle3!$A34)</f>
        <v>0</v>
      </c>
      <c r="BX34">
        <f ca="1">COUNTIFS(INDIRECT("Table1[Beginn]"),"&lt;="&amp;BX$1,INDIRECT("Table1[Ende]"),"&gt;="&amp;BX$1,INDIRECT("Table1[Obergruppe ATC-Code]"),Tabelle3!$A34)</f>
        <v>0</v>
      </c>
      <c r="BY34">
        <f ca="1">COUNTIFS(INDIRECT("Table1[Beginn]"),"&lt;="&amp;BY$1,INDIRECT("Table1[Ende]"),"&gt;="&amp;BY$1,INDIRECT("Table1[Obergruppe ATC-Code]"),Tabelle3!$A34)</f>
        <v>0</v>
      </c>
      <c r="BZ34">
        <f ca="1">COUNTIFS(INDIRECT("Table1[Beginn]"),"&lt;="&amp;BZ$1,INDIRECT("Table1[Ende]"),"&gt;="&amp;BZ$1,INDIRECT("Table1[Obergruppe ATC-Code]"),Tabelle3!$A34)</f>
        <v>0</v>
      </c>
      <c r="CA34">
        <f ca="1">COUNTIFS(INDIRECT("Table1[Beginn]"),"&lt;="&amp;CA$1,INDIRECT("Table1[Ende]"),"&gt;="&amp;CA$1,INDIRECT("Table1[Obergruppe ATC-Code]"),Tabelle3!$A34)</f>
        <v>0</v>
      </c>
      <c r="CB34">
        <f ca="1">COUNTIFS(INDIRECT("Table1[Beginn]"),"&lt;="&amp;CB$1,INDIRECT("Table1[Ende]"),"&gt;="&amp;CB$1,INDIRECT("Table1[Obergruppe ATC-Code]"),Tabelle3!$A34)</f>
        <v>0</v>
      </c>
      <c r="CC34">
        <f ca="1">COUNTIFS(INDIRECT("Table1[Beginn]"),"&lt;="&amp;CC$1,INDIRECT("Table1[Ende]"),"&gt;="&amp;CC$1,INDIRECT("Table1[Obergruppe ATC-Code]"),Tabelle3!$A34)</f>
        <v>0</v>
      </c>
      <c r="CD34">
        <f ca="1">COUNTIFS(INDIRECT("Table1[Beginn]"),"&lt;="&amp;CD$1,INDIRECT("Table1[Ende]"),"&gt;="&amp;CD$1,INDIRECT("Table1[Obergruppe ATC-Code]"),Tabelle3!$A34)</f>
        <v>0</v>
      </c>
      <c r="CE34">
        <f ca="1">COUNTIFS(INDIRECT("Table1[Beginn]"),"&lt;="&amp;CE$1,INDIRECT("Table1[Ende]"),"&gt;="&amp;CE$1,INDIRECT("Table1[Obergruppe ATC-Code]"),Tabelle3!$A34)</f>
        <v>0</v>
      </c>
      <c r="CF34">
        <f ca="1">COUNTIFS(INDIRECT("Table1[Beginn]"),"&lt;="&amp;CF$1,INDIRECT("Table1[Ende]"),"&gt;="&amp;CF$1,INDIRECT("Table1[Obergruppe ATC-Code]"),Tabelle3!$A34)</f>
        <v>0</v>
      </c>
      <c r="CG34">
        <f ca="1">COUNTIFS(INDIRECT("Table1[Beginn]"),"&lt;="&amp;CG$1,INDIRECT("Table1[Ende]"),"&gt;="&amp;CG$1,INDIRECT("Table1[Obergruppe ATC-Code]"),Tabelle3!$A34)</f>
        <v>0</v>
      </c>
      <c r="CH34">
        <f ca="1">COUNTIFS(INDIRECT("Table1[Beginn]"),"&lt;="&amp;CH$1,INDIRECT("Table1[Ende]"),"&gt;="&amp;CH$1,INDIRECT("Table1[Obergruppe ATC-Code]"),Tabelle3!$A34)</f>
        <v>0</v>
      </c>
      <c r="CI34">
        <f ca="1">COUNTIFS(INDIRECT("Table1[Beginn]"),"&lt;="&amp;CI$1,INDIRECT("Table1[Ende]"),"&gt;="&amp;CI$1,INDIRECT("Table1[Obergruppe ATC-Code]"),Tabelle3!$A34)</f>
        <v>0</v>
      </c>
      <c r="CJ34">
        <f ca="1">COUNTIFS(INDIRECT("Table1[Beginn]"),"&lt;="&amp;CJ$1,INDIRECT("Table1[Ende]"),"&gt;="&amp;CJ$1,INDIRECT("Table1[Obergruppe ATC-Code]"),Tabelle3!$A34)</f>
        <v>0</v>
      </c>
      <c r="CK34">
        <f ca="1">COUNTIFS(INDIRECT("Table1[Beginn]"),"&lt;="&amp;CK$1,INDIRECT("Table1[Ende]"),"&gt;="&amp;CK$1,INDIRECT("Table1[Obergruppe ATC-Code]"),Tabelle3!$A34)</f>
        <v>0</v>
      </c>
      <c r="CL34">
        <f ca="1">COUNTIFS(INDIRECT("Table1[Beginn]"),"&lt;="&amp;CL$1,INDIRECT("Table1[Ende]"),"&gt;="&amp;CL$1,INDIRECT("Table1[Obergruppe ATC-Code]"),Tabelle3!$A34)</f>
        <v>0</v>
      </c>
      <c r="CM34">
        <f ca="1">COUNTIFS(INDIRECT("Table1[Beginn]"),"&lt;="&amp;CM$1,INDIRECT("Table1[Ende]"),"&gt;="&amp;CM$1,INDIRECT("Table1[Obergruppe ATC-Code]"),Tabelle3!$A34)</f>
        <v>0</v>
      </c>
      <c r="CN34">
        <f ca="1">COUNTIFS(INDIRECT("Table1[Beginn]"),"&lt;="&amp;CN$1,INDIRECT("Table1[Ende]"),"&gt;="&amp;CN$1,INDIRECT("Table1[Obergruppe ATC-Code]"),Tabelle3!$A34)</f>
        <v>0</v>
      </c>
      <c r="CO34">
        <f ca="1">COUNTIFS(INDIRECT("Table1[Beginn]"),"&lt;="&amp;CO$1,INDIRECT("Table1[Ende]"),"&gt;="&amp;CO$1,INDIRECT("Table1[Obergruppe ATC-Code]"),Tabelle3!$A34)</f>
        <v>0</v>
      </c>
      <c r="CP34">
        <f ca="1">COUNTIFS(INDIRECT("Table1[Beginn]"),"&lt;="&amp;CP$1,INDIRECT("Table1[Ende]"),"&gt;="&amp;CP$1,INDIRECT("Table1[Obergruppe ATC-Code]"),Tabelle3!$A34)</f>
        <v>0</v>
      </c>
      <c r="CQ34">
        <f ca="1">COUNTIFS(INDIRECT("Table1[Beginn]"),"&lt;="&amp;CQ$1,INDIRECT("Table1[Ende]"),"&gt;="&amp;CQ$1,INDIRECT("Table1[Obergruppe ATC-Code]"),Tabelle3!$A34)</f>
        <v>0</v>
      </c>
      <c r="CR34">
        <f ca="1">COUNTIFS(INDIRECT("Table1[Beginn]"),"&lt;="&amp;CR$1,INDIRECT("Table1[Ende]"),"&gt;="&amp;CR$1,INDIRECT("Table1[Obergruppe ATC-Code]"),Tabelle3!$A34)</f>
        <v>0</v>
      </c>
      <c r="CS34">
        <f ca="1">COUNTIFS(INDIRECT("Table1[Beginn]"),"&lt;="&amp;CS$1,INDIRECT("Table1[Ende]"),"&gt;="&amp;CS$1,INDIRECT("Table1[Obergruppe ATC-Code]"),Tabelle3!$A34)</f>
        <v>0</v>
      </c>
      <c r="CT34">
        <f ca="1">COUNTIFS(INDIRECT("Table1[Beginn]"),"&lt;="&amp;CT$1,INDIRECT("Table1[Ende]"),"&gt;="&amp;CT$1,INDIRECT("Table1[Obergruppe ATC-Code]"),Tabelle3!$A34)</f>
        <v>0</v>
      </c>
      <c r="CU34" s="54"/>
      <c r="CV34" s="54"/>
      <c r="CW34" s="54"/>
      <c r="CX34" s="54"/>
      <c r="CY34" s="54"/>
      <c r="CZ34" s="54"/>
      <c r="DA34" s="54"/>
      <c r="DB34" s="54"/>
      <c r="DC34" s="54"/>
      <c r="DD34" s="54"/>
      <c r="DE34" s="54"/>
      <c r="DF34" s="54"/>
      <c r="DG34" s="54"/>
      <c r="DH34" s="54"/>
    </row>
    <row r="35" spans="1:112" ht="18">
      <c r="A35" s="9" t="s">
        <v>6838</v>
      </c>
      <c r="B35" s="10" t="s">
        <v>6839</v>
      </c>
      <c r="C35">
        <f ca="1">COUNTIFS(INDIRECT("Table1[Beginn]"),"&lt;="&amp;C$1,INDIRECT("Table1[Ende]"),"&gt;="&amp;C$1,INDIRECT("Table1[Obergruppe ATC-Code]"),Tabelle3!$A35)</f>
        <v>0</v>
      </c>
      <c r="D35">
        <f ca="1">COUNTIFS(INDIRECT("Table1[Beginn]"),"&lt;="&amp;D$1,INDIRECT("Table1[Ende]"),"&gt;="&amp;D$1,INDIRECT("Table1[Obergruppe ATC-Code]"),Tabelle3!$A35)</f>
        <v>0</v>
      </c>
      <c r="E35">
        <f ca="1">COUNTIFS(INDIRECT("Table1[Beginn]"),"&lt;="&amp;E$1,INDIRECT("Table1[Ende]"),"&gt;="&amp;E$1,INDIRECT("Table1[Obergruppe ATC-Code]"),Tabelle3!$A35)</f>
        <v>0</v>
      </c>
      <c r="F35">
        <f ca="1">COUNTIFS(INDIRECT("Table1[Beginn]"),"&lt;="&amp;F$1,INDIRECT("Table1[Ende]"),"&gt;="&amp;F$1,INDIRECT("Table1[Obergruppe ATC-Code]"),Tabelle3!$A35)</f>
        <v>0</v>
      </c>
      <c r="G35">
        <f ca="1">COUNTIFS(INDIRECT("Table1[Beginn]"),"&lt;="&amp;G$1,INDIRECT("Table1[Ende]"),"&gt;="&amp;G$1,INDIRECT("Table1[Obergruppe ATC-Code]"),Tabelle3!$A35)</f>
        <v>0</v>
      </c>
      <c r="H35">
        <f ca="1">COUNTIFS(INDIRECT("Table1[Beginn]"),"&lt;="&amp;H$1,INDIRECT("Table1[Ende]"),"&gt;="&amp;H$1,INDIRECT("Table1[Obergruppe ATC-Code]"),Tabelle3!$A35)</f>
        <v>0</v>
      </c>
      <c r="I35">
        <f ca="1">COUNTIFS(INDIRECT("Table1[Beginn]"),"&lt;="&amp;I$1,INDIRECT("Table1[Ende]"),"&gt;="&amp;I$1,INDIRECT("Table1[Obergruppe ATC-Code]"),Tabelle3!$A35)</f>
        <v>0</v>
      </c>
      <c r="J35">
        <f ca="1">COUNTIFS(INDIRECT("Table1[Beginn]"),"&lt;="&amp;J$1,INDIRECT("Table1[Ende]"),"&gt;="&amp;J$1,INDIRECT("Table1[Obergruppe ATC-Code]"),Tabelle3!$A35)</f>
        <v>0</v>
      </c>
      <c r="K35">
        <f ca="1">COUNTIFS(INDIRECT("Table1[Beginn]"),"&lt;="&amp;K$1,INDIRECT("Table1[Ende]"),"&gt;="&amp;K$1,INDIRECT("Table1[Obergruppe ATC-Code]"),Tabelle3!$A35)</f>
        <v>0</v>
      </c>
      <c r="L35">
        <f ca="1">COUNTIFS(INDIRECT("Table1[Beginn]"),"&lt;="&amp;L$1,INDIRECT("Table1[Ende]"),"&gt;="&amp;L$1,INDIRECT("Table1[Obergruppe ATC-Code]"),Tabelle3!$A35)</f>
        <v>0</v>
      </c>
      <c r="M35">
        <f ca="1">COUNTIFS(INDIRECT("Table1[Beginn]"),"&lt;="&amp;M$1,INDIRECT("Table1[Ende]"),"&gt;="&amp;M$1,INDIRECT("Table1[Obergruppe ATC-Code]"),Tabelle3!$A35)</f>
        <v>0</v>
      </c>
      <c r="N35">
        <f ca="1">COUNTIFS(INDIRECT("Table1[Beginn]"),"&lt;="&amp;N$1,INDIRECT("Table1[Ende]"),"&gt;="&amp;N$1,INDIRECT("Table1[Obergruppe ATC-Code]"),Tabelle3!$A35)</f>
        <v>0</v>
      </c>
      <c r="O35">
        <f ca="1">COUNTIFS(INDIRECT("Table1[Beginn]"),"&lt;="&amp;O$1,INDIRECT("Table1[Ende]"),"&gt;="&amp;O$1,INDIRECT("Table1[Obergruppe ATC-Code]"),Tabelle3!$A35)</f>
        <v>0</v>
      </c>
      <c r="P35">
        <f ca="1">COUNTIFS(INDIRECT("Table1[Beginn]"),"&lt;="&amp;P$1,INDIRECT("Table1[Ende]"),"&gt;="&amp;P$1,INDIRECT("Table1[Obergruppe ATC-Code]"),Tabelle3!$A35)</f>
        <v>0</v>
      </c>
      <c r="Q35">
        <f ca="1">COUNTIFS(INDIRECT("Table1[Beginn]"),"&lt;="&amp;Q$1,INDIRECT("Table1[Ende]"),"&gt;="&amp;Q$1,INDIRECT("Table1[Obergruppe ATC-Code]"),Tabelle3!$A35)</f>
        <v>0</v>
      </c>
      <c r="R35">
        <f ca="1">COUNTIFS(INDIRECT("Table1[Beginn]"),"&lt;="&amp;R$1,INDIRECT("Table1[Ende]"),"&gt;="&amp;R$1,INDIRECT("Table1[Obergruppe ATC-Code]"),Tabelle3!$A35)</f>
        <v>0</v>
      </c>
      <c r="S35">
        <f ca="1">COUNTIFS(INDIRECT("Table1[Beginn]"),"&lt;="&amp;S$1,INDIRECT("Table1[Ende]"),"&gt;="&amp;S$1,INDIRECT("Table1[Obergruppe ATC-Code]"),Tabelle3!$A35)</f>
        <v>0</v>
      </c>
      <c r="T35">
        <f ca="1">COUNTIFS(INDIRECT("Table1[Beginn]"),"&lt;="&amp;T$1,INDIRECT("Table1[Ende]"),"&gt;="&amp;T$1,INDIRECT("Table1[Obergruppe ATC-Code]"),Tabelle3!$A35)</f>
        <v>0</v>
      </c>
      <c r="U35">
        <f ca="1">COUNTIFS(INDIRECT("Table1[Beginn]"),"&lt;="&amp;U$1,INDIRECT("Table1[Ende]"),"&gt;="&amp;U$1,INDIRECT("Table1[Obergruppe ATC-Code]"),Tabelle3!$A35)</f>
        <v>0</v>
      </c>
      <c r="V35">
        <f ca="1">COUNTIFS(INDIRECT("Table1[Beginn]"),"&lt;="&amp;V$1,INDIRECT("Table1[Ende]"),"&gt;="&amp;V$1,INDIRECT("Table1[Obergruppe ATC-Code]"),Tabelle3!$A35)</f>
        <v>0</v>
      </c>
      <c r="W35">
        <f ca="1">COUNTIFS(INDIRECT("Table1[Beginn]"),"&lt;="&amp;W$1,INDIRECT("Table1[Ende]"),"&gt;="&amp;W$1,INDIRECT("Table1[Obergruppe ATC-Code]"),Tabelle3!$A35)</f>
        <v>0</v>
      </c>
      <c r="X35">
        <f ca="1">COUNTIFS(INDIRECT("Table1[Beginn]"),"&lt;="&amp;X$1,INDIRECT("Table1[Ende]"),"&gt;="&amp;X$1,INDIRECT("Table1[Obergruppe ATC-Code]"),Tabelle3!$A35)</f>
        <v>0</v>
      </c>
      <c r="Y35">
        <f ca="1">COUNTIFS(INDIRECT("Table1[Beginn]"),"&lt;="&amp;Y$1,INDIRECT("Table1[Ende]"),"&gt;="&amp;Y$1,INDIRECT("Table1[Obergruppe ATC-Code]"),Tabelle3!$A35)</f>
        <v>0</v>
      </c>
      <c r="Z35">
        <f ca="1">COUNTIFS(INDIRECT("Table1[Beginn]"),"&lt;="&amp;Z$1,INDIRECT("Table1[Ende]"),"&gt;="&amp;Z$1,INDIRECT("Table1[Obergruppe ATC-Code]"),Tabelle3!$A35)</f>
        <v>0</v>
      </c>
      <c r="AA35">
        <f ca="1">COUNTIFS(INDIRECT("Table1[Beginn]"),"&lt;="&amp;AA$1,INDIRECT("Table1[Ende]"),"&gt;="&amp;AA$1,INDIRECT("Table1[Obergruppe ATC-Code]"),Tabelle3!$A35)</f>
        <v>0</v>
      </c>
      <c r="AB35">
        <f ca="1">COUNTIFS(INDIRECT("Table1[Beginn]"),"&lt;="&amp;AB$1,INDIRECT("Table1[Ende]"),"&gt;="&amp;AB$1,INDIRECT("Table1[Obergruppe ATC-Code]"),Tabelle3!$A35)</f>
        <v>0</v>
      </c>
      <c r="AC35">
        <f ca="1">COUNTIFS(INDIRECT("Table1[Beginn]"),"&lt;="&amp;AC$1,INDIRECT("Table1[Ende]"),"&gt;="&amp;AC$1,INDIRECT("Table1[Obergruppe ATC-Code]"),Tabelle3!$A35)</f>
        <v>0</v>
      </c>
      <c r="AD35">
        <f ca="1">COUNTIFS(INDIRECT("Table1[Beginn]"),"&lt;="&amp;AD$1,INDIRECT("Table1[Ende]"),"&gt;="&amp;AD$1,INDIRECT("Table1[Obergruppe ATC-Code]"),Tabelle3!$A35)</f>
        <v>0</v>
      </c>
      <c r="AE35">
        <f ca="1">COUNTIFS(INDIRECT("Table1[Beginn]"),"&lt;="&amp;AE$1,INDIRECT("Table1[Ende]"),"&gt;="&amp;AE$1,INDIRECT("Table1[Obergruppe ATC-Code]"),Tabelle3!$A35)</f>
        <v>0</v>
      </c>
      <c r="AF35">
        <f ca="1">COUNTIFS(INDIRECT("Table1[Beginn]"),"&lt;="&amp;AF$1,INDIRECT("Table1[Ende]"),"&gt;="&amp;AF$1,INDIRECT("Table1[Obergruppe ATC-Code]"),Tabelle3!$A35)</f>
        <v>0</v>
      </c>
      <c r="AG35">
        <f ca="1">COUNTIFS(INDIRECT("Table1[Beginn]"),"&lt;="&amp;AG$1,INDIRECT("Table1[Ende]"),"&gt;="&amp;AG$1,INDIRECT("Table1[Obergruppe ATC-Code]"),Tabelle3!$A35)</f>
        <v>0</v>
      </c>
      <c r="AH35">
        <f ca="1">COUNTIFS(INDIRECT("Table1[Beginn]"),"&lt;="&amp;AH$1,INDIRECT("Table1[Ende]"),"&gt;="&amp;AH$1,INDIRECT("Table1[Obergruppe ATC-Code]"),Tabelle3!$A35)</f>
        <v>0</v>
      </c>
      <c r="AI35">
        <f ca="1">COUNTIFS(INDIRECT("Table1[Beginn]"),"&lt;="&amp;AI$1,INDIRECT("Table1[Ende]"),"&gt;="&amp;AI$1,INDIRECT("Table1[Obergruppe ATC-Code]"),Tabelle3!$A35)</f>
        <v>0</v>
      </c>
      <c r="AJ35">
        <f ca="1">COUNTIFS(INDIRECT("Table1[Beginn]"),"&lt;="&amp;AJ$1,INDIRECT("Table1[Ende]"),"&gt;="&amp;AJ$1,INDIRECT("Table1[Obergruppe ATC-Code]"),Tabelle3!$A35)</f>
        <v>0</v>
      </c>
      <c r="AK35">
        <f ca="1">COUNTIFS(INDIRECT("Table1[Beginn]"),"&lt;="&amp;AK$1,INDIRECT("Table1[Ende]"),"&gt;="&amp;AK$1,INDIRECT("Table1[Obergruppe ATC-Code]"),Tabelle3!$A35)</f>
        <v>0</v>
      </c>
      <c r="AL35">
        <f ca="1">COUNTIFS(INDIRECT("Table1[Beginn]"),"&lt;="&amp;AL$1,INDIRECT("Table1[Ende]"),"&gt;="&amp;AL$1,INDIRECT("Table1[Obergruppe ATC-Code]"),Tabelle3!$A35)</f>
        <v>0</v>
      </c>
      <c r="AM35">
        <f ca="1">COUNTIFS(INDIRECT("Table1[Beginn]"),"&lt;="&amp;AM$1,INDIRECT("Table1[Ende]"),"&gt;="&amp;AM$1,INDIRECT("Table1[Obergruppe ATC-Code]"),Tabelle3!$A35)</f>
        <v>0</v>
      </c>
      <c r="AN35">
        <f ca="1">COUNTIFS(INDIRECT("Table1[Beginn]"),"&lt;="&amp;AN$1,INDIRECT("Table1[Ende]"),"&gt;="&amp;AN$1,INDIRECT("Table1[Obergruppe ATC-Code]"),Tabelle3!$A35)</f>
        <v>0</v>
      </c>
      <c r="AO35">
        <f ca="1">COUNTIFS(INDIRECT("Table1[Beginn]"),"&lt;="&amp;AO$1,INDIRECT("Table1[Ende]"),"&gt;="&amp;AO$1,INDIRECT("Table1[Obergruppe ATC-Code]"),Tabelle3!$A35)</f>
        <v>0</v>
      </c>
      <c r="AP35">
        <f ca="1">COUNTIFS(INDIRECT("Table1[Beginn]"),"&lt;="&amp;AP$1,INDIRECT("Table1[Ende]"),"&gt;="&amp;AP$1,INDIRECT("Table1[Obergruppe ATC-Code]"),Tabelle3!$A35)</f>
        <v>0</v>
      </c>
      <c r="AQ35">
        <f ca="1">COUNTIFS(INDIRECT("Table1[Beginn]"),"&lt;="&amp;AQ$1,INDIRECT("Table1[Ende]"),"&gt;="&amp;AQ$1,INDIRECT("Table1[Obergruppe ATC-Code]"),Tabelle3!$A35)</f>
        <v>0</v>
      </c>
      <c r="AR35">
        <f ca="1">COUNTIFS(INDIRECT("Table1[Beginn]"),"&lt;="&amp;AR$1,INDIRECT("Table1[Ende]"),"&gt;="&amp;AR$1,INDIRECT("Table1[Obergruppe ATC-Code]"),Tabelle3!$A35)</f>
        <v>0</v>
      </c>
      <c r="AS35">
        <f ca="1">COUNTIFS(INDIRECT("Table1[Beginn]"),"&lt;="&amp;AS$1,INDIRECT("Table1[Ende]"),"&gt;="&amp;AS$1,INDIRECT("Table1[Obergruppe ATC-Code]"),Tabelle3!$A35)</f>
        <v>0</v>
      </c>
      <c r="AT35">
        <f ca="1">COUNTIFS(INDIRECT("Table1[Beginn]"),"&lt;="&amp;AT$1,INDIRECT("Table1[Ende]"),"&gt;="&amp;AT$1,INDIRECT("Table1[Obergruppe ATC-Code]"),Tabelle3!$A35)</f>
        <v>0</v>
      </c>
      <c r="AU35">
        <f ca="1">COUNTIFS(INDIRECT("Table1[Beginn]"),"&lt;="&amp;AU$1,INDIRECT("Table1[Ende]"),"&gt;="&amp;AU$1,INDIRECT("Table1[Obergruppe ATC-Code]"),Tabelle3!$A35)</f>
        <v>0</v>
      </c>
      <c r="AV35">
        <f ca="1">COUNTIFS(INDIRECT("Table1[Beginn]"),"&lt;="&amp;AV$1,INDIRECT("Table1[Ende]"),"&gt;="&amp;AV$1,INDIRECT("Table1[Obergruppe ATC-Code]"),Tabelle3!$A35)</f>
        <v>0</v>
      </c>
      <c r="AW35">
        <f ca="1">COUNTIFS(INDIRECT("Table1[Beginn]"),"&lt;="&amp;AW$1,INDIRECT("Table1[Ende]"),"&gt;="&amp;AW$1,INDIRECT("Table1[Obergruppe ATC-Code]"),Tabelle3!$A35)</f>
        <v>0</v>
      </c>
      <c r="AX35">
        <f ca="1">COUNTIFS(INDIRECT("Table1[Beginn]"),"&lt;="&amp;AX$1,INDIRECT("Table1[Ende]"),"&gt;="&amp;AX$1,INDIRECT("Table1[Obergruppe ATC-Code]"),Tabelle3!$A35)</f>
        <v>0</v>
      </c>
      <c r="AY35">
        <f ca="1">COUNTIFS(INDIRECT("Table1[Beginn]"),"&lt;="&amp;AY$1,INDIRECT("Table1[Ende]"),"&gt;="&amp;AY$1,INDIRECT("Table1[Obergruppe ATC-Code]"),Tabelle3!$A35)</f>
        <v>0</v>
      </c>
      <c r="AZ35">
        <f ca="1">COUNTIFS(INDIRECT("Table1[Beginn]"),"&lt;="&amp;AZ$1,INDIRECT("Table1[Ende]"),"&gt;="&amp;AZ$1,INDIRECT("Table1[Obergruppe ATC-Code]"),Tabelle3!$A35)</f>
        <v>0</v>
      </c>
      <c r="BA35">
        <f ca="1">COUNTIFS(INDIRECT("Table1[Beginn]"),"&lt;="&amp;BA$1,INDIRECT("Table1[Ende]"),"&gt;="&amp;BA$1,INDIRECT("Table1[Obergruppe ATC-Code]"),Tabelle3!$A35)</f>
        <v>0</v>
      </c>
      <c r="BB35">
        <f ca="1">COUNTIFS(INDIRECT("Table1[Beginn]"),"&lt;="&amp;BB$1,INDIRECT("Table1[Ende]"),"&gt;="&amp;BB$1,INDIRECT("Table1[Obergruppe ATC-Code]"),Tabelle3!$A35)</f>
        <v>0</v>
      </c>
      <c r="BC35">
        <f ca="1">COUNTIFS(INDIRECT("Table1[Beginn]"),"&lt;="&amp;BC$1,INDIRECT("Table1[Ende]"),"&gt;="&amp;BC$1,INDIRECT("Table1[Obergruppe ATC-Code]"),Tabelle3!$A35)</f>
        <v>0</v>
      </c>
      <c r="BD35">
        <f ca="1">COUNTIFS(INDIRECT("Table1[Beginn]"),"&lt;="&amp;BD$1,INDIRECT("Table1[Ende]"),"&gt;="&amp;BD$1,INDIRECT("Table1[Obergruppe ATC-Code]"),Tabelle3!$A35)</f>
        <v>0</v>
      </c>
      <c r="BE35">
        <f ca="1">COUNTIFS(INDIRECT("Table1[Beginn]"),"&lt;="&amp;BE$1,INDIRECT("Table1[Ende]"),"&gt;="&amp;BE$1,INDIRECT("Table1[Obergruppe ATC-Code]"),Tabelle3!$A35)</f>
        <v>0</v>
      </c>
      <c r="BF35">
        <f ca="1">COUNTIFS(INDIRECT("Table1[Beginn]"),"&lt;="&amp;BF$1,INDIRECT("Table1[Ende]"),"&gt;="&amp;BF$1,INDIRECT("Table1[Obergruppe ATC-Code]"),Tabelle3!$A35)</f>
        <v>0</v>
      </c>
      <c r="BG35">
        <f ca="1">COUNTIFS(INDIRECT("Table1[Beginn]"),"&lt;="&amp;BG$1,INDIRECT("Table1[Ende]"),"&gt;="&amp;BG$1,INDIRECT("Table1[Obergruppe ATC-Code]"),Tabelle3!$A35)</f>
        <v>0</v>
      </c>
      <c r="BH35">
        <f ca="1">COUNTIFS(INDIRECT("Table1[Beginn]"),"&lt;="&amp;BH$1,INDIRECT("Table1[Ende]"),"&gt;="&amp;BH$1,INDIRECT("Table1[Obergruppe ATC-Code]"),Tabelle3!$A35)</f>
        <v>0</v>
      </c>
      <c r="BI35">
        <f ca="1">COUNTIFS(INDIRECT("Table1[Beginn]"),"&lt;="&amp;BI$1,INDIRECT("Table1[Ende]"),"&gt;="&amp;BI$1,INDIRECT("Table1[Obergruppe ATC-Code]"),Tabelle3!$A35)</f>
        <v>0</v>
      </c>
      <c r="BJ35">
        <f ca="1">COUNTIFS(INDIRECT("Table1[Beginn]"),"&lt;="&amp;BJ$1,INDIRECT("Table1[Ende]"),"&gt;="&amp;BJ$1,INDIRECT("Table1[Obergruppe ATC-Code]"),Tabelle3!$A35)</f>
        <v>0</v>
      </c>
      <c r="BK35">
        <f ca="1">COUNTIFS(INDIRECT("Table1[Beginn]"),"&lt;="&amp;BK$1,INDIRECT("Table1[Ende]"),"&gt;="&amp;BK$1,INDIRECT("Table1[Obergruppe ATC-Code]"),Tabelle3!$A35)</f>
        <v>0</v>
      </c>
      <c r="BL35">
        <f ca="1">COUNTIFS(INDIRECT("Table1[Beginn]"),"&lt;="&amp;BL$1,INDIRECT("Table1[Ende]"),"&gt;="&amp;BL$1,INDIRECT("Table1[Obergruppe ATC-Code]"),Tabelle3!$A35)</f>
        <v>0</v>
      </c>
      <c r="BM35">
        <f ca="1">COUNTIFS(INDIRECT("Table1[Beginn]"),"&lt;="&amp;BM$1,INDIRECT("Table1[Ende]"),"&gt;="&amp;BM$1,INDIRECT("Table1[Obergruppe ATC-Code]"),Tabelle3!$A35)</f>
        <v>0</v>
      </c>
      <c r="BN35">
        <f ca="1">COUNTIFS(INDIRECT("Table1[Beginn]"),"&lt;="&amp;BN$1,INDIRECT("Table1[Ende]"),"&gt;="&amp;BN$1,INDIRECT("Table1[Obergruppe ATC-Code]"),Tabelle3!$A35)</f>
        <v>0</v>
      </c>
      <c r="BO35">
        <f ca="1">COUNTIFS(INDIRECT("Table1[Beginn]"),"&lt;="&amp;BO$1,INDIRECT("Table1[Ende]"),"&gt;="&amp;BO$1,INDIRECT("Table1[Obergruppe ATC-Code]"),Tabelle3!$A35)</f>
        <v>0</v>
      </c>
      <c r="BP35">
        <f ca="1">COUNTIFS(INDIRECT("Table1[Beginn]"),"&lt;="&amp;BP$1,INDIRECT("Table1[Ende]"),"&gt;="&amp;BP$1,INDIRECT("Table1[Obergruppe ATC-Code]"),Tabelle3!$A35)</f>
        <v>0</v>
      </c>
      <c r="BQ35">
        <f ca="1">COUNTIFS(INDIRECT("Table1[Beginn]"),"&lt;="&amp;BQ$1,INDIRECT("Table1[Ende]"),"&gt;="&amp;BQ$1,INDIRECT("Table1[Obergruppe ATC-Code]"),Tabelle3!$A35)</f>
        <v>0</v>
      </c>
      <c r="BR35">
        <f ca="1">COUNTIFS(INDIRECT("Table1[Beginn]"),"&lt;="&amp;BR$1,INDIRECT("Table1[Ende]"),"&gt;="&amp;BR$1,INDIRECT("Table1[Obergruppe ATC-Code]"),Tabelle3!$A35)</f>
        <v>0</v>
      </c>
      <c r="BS35">
        <f ca="1">COUNTIFS(INDIRECT("Table1[Beginn]"),"&lt;="&amp;BS$1,INDIRECT("Table1[Ende]"),"&gt;="&amp;BS$1,INDIRECT("Table1[Obergruppe ATC-Code]"),Tabelle3!$A35)</f>
        <v>0</v>
      </c>
      <c r="BT35">
        <f ca="1">COUNTIFS(INDIRECT("Table1[Beginn]"),"&lt;="&amp;BT$1,INDIRECT("Table1[Ende]"),"&gt;="&amp;BT$1,INDIRECT("Table1[Obergruppe ATC-Code]"),Tabelle3!$A35)</f>
        <v>0</v>
      </c>
      <c r="BU35">
        <f ca="1">COUNTIFS(INDIRECT("Table1[Beginn]"),"&lt;="&amp;BU$1,INDIRECT("Table1[Ende]"),"&gt;="&amp;BU$1,INDIRECT("Table1[Obergruppe ATC-Code]"),Tabelle3!$A35)</f>
        <v>0</v>
      </c>
      <c r="BV35">
        <f ca="1">COUNTIFS(INDIRECT("Table1[Beginn]"),"&lt;="&amp;BV$1,INDIRECT("Table1[Ende]"),"&gt;="&amp;BV$1,INDIRECT("Table1[Obergruppe ATC-Code]"),Tabelle3!$A35)</f>
        <v>0</v>
      </c>
      <c r="BW35">
        <f ca="1">COUNTIFS(INDIRECT("Table1[Beginn]"),"&lt;="&amp;BW$1,INDIRECT("Table1[Ende]"),"&gt;="&amp;BW$1,INDIRECT("Table1[Obergruppe ATC-Code]"),Tabelle3!$A35)</f>
        <v>0</v>
      </c>
      <c r="BX35">
        <f ca="1">COUNTIFS(INDIRECT("Table1[Beginn]"),"&lt;="&amp;BX$1,INDIRECT("Table1[Ende]"),"&gt;="&amp;BX$1,INDIRECT("Table1[Obergruppe ATC-Code]"),Tabelle3!$A35)</f>
        <v>0</v>
      </c>
      <c r="BY35">
        <f ca="1">COUNTIFS(INDIRECT("Table1[Beginn]"),"&lt;="&amp;BY$1,INDIRECT("Table1[Ende]"),"&gt;="&amp;BY$1,INDIRECT("Table1[Obergruppe ATC-Code]"),Tabelle3!$A35)</f>
        <v>0</v>
      </c>
      <c r="BZ35">
        <f ca="1">COUNTIFS(INDIRECT("Table1[Beginn]"),"&lt;="&amp;BZ$1,INDIRECT("Table1[Ende]"),"&gt;="&amp;BZ$1,INDIRECT("Table1[Obergruppe ATC-Code]"),Tabelle3!$A35)</f>
        <v>0</v>
      </c>
      <c r="CA35">
        <f ca="1">COUNTIFS(INDIRECT("Table1[Beginn]"),"&lt;="&amp;CA$1,INDIRECT("Table1[Ende]"),"&gt;="&amp;CA$1,INDIRECT("Table1[Obergruppe ATC-Code]"),Tabelle3!$A35)</f>
        <v>0</v>
      </c>
      <c r="CB35">
        <f ca="1">COUNTIFS(INDIRECT("Table1[Beginn]"),"&lt;="&amp;CB$1,INDIRECT("Table1[Ende]"),"&gt;="&amp;CB$1,INDIRECT("Table1[Obergruppe ATC-Code]"),Tabelle3!$A35)</f>
        <v>0</v>
      </c>
      <c r="CC35">
        <f ca="1">COUNTIFS(INDIRECT("Table1[Beginn]"),"&lt;="&amp;CC$1,INDIRECT("Table1[Ende]"),"&gt;="&amp;CC$1,INDIRECT("Table1[Obergruppe ATC-Code]"),Tabelle3!$A35)</f>
        <v>0</v>
      </c>
      <c r="CD35">
        <f ca="1">COUNTIFS(INDIRECT("Table1[Beginn]"),"&lt;="&amp;CD$1,INDIRECT("Table1[Ende]"),"&gt;="&amp;CD$1,INDIRECT("Table1[Obergruppe ATC-Code]"),Tabelle3!$A35)</f>
        <v>0</v>
      </c>
      <c r="CE35">
        <f ca="1">COUNTIFS(INDIRECT("Table1[Beginn]"),"&lt;="&amp;CE$1,INDIRECT("Table1[Ende]"),"&gt;="&amp;CE$1,INDIRECT("Table1[Obergruppe ATC-Code]"),Tabelle3!$A35)</f>
        <v>0</v>
      </c>
      <c r="CF35">
        <f ca="1">COUNTIFS(INDIRECT("Table1[Beginn]"),"&lt;="&amp;CF$1,INDIRECT("Table1[Ende]"),"&gt;="&amp;CF$1,INDIRECT("Table1[Obergruppe ATC-Code]"),Tabelle3!$A35)</f>
        <v>0</v>
      </c>
      <c r="CG35">
        <f ca="1">COUNTIFS(INDIRECT("Table1[Beginn]"),"&lt;="&amp;CG$1,INDIRECT("Table1[Ende]"),"&gt;="&amp;CG$1,INDIRECT("Table1[Obergruppe ATC-Code]"),Tabelle3!$A35)</f>
        <v>0</v>
      </c>
      <c r="CH35">
        <f ca="1">COUNTIFS(INDIRECT("Table1[Beginn]"),"&lt;="&amp;CH$1,INDIRECT("Table1[Ende]"),"&gt;="&amp;CH$1,INDIRECT("Table1[Obergruppe ATC-Code]"),Tabelle3!$A35)</f>
        <v>0</v>
      </c>
      <c r="CI35">
        <f ca="1">COUNTIFS(INDIRECT("Table1[Beginn]"),"&lt;="&amp;CI$1,INDIRECT("Table1[Ende]"),"&gt;="&amp;CI$1,INDIRECT("Table1[Obergruppe ATC-Code]"),Tabelle3!$A35)</f>
        <v>0</v>
      </c>
      <c r="CJ35">
        <f ca="1">COUNTIFS(INDIRECT("Table1[Beginn]"),"&lt;="&amp;CJ$1,INDIRECT("Table1[Ende]"),"&gt;="&amp;CJ$1,INDIRECT("Table1[Obergruppe ATC-Code]"),Tabelle3!$A35)</f>
        <v>0</v>
      </c>
      <c r="CK35">
        <f ca="1">COUNTIFS(INDIRECT("Table1[Beginn]"),"&lt;="&amp;CK$1,INDIRECT("Table1[Ende]"),"&gt;="&amp;CK$1,INDIRECT("Table1[Obergruppe ATC-Code]"),Tabelle3!$A35)</f>
        <v>0</v>
      </c>
      <c r="CL35">
        <f ca="1">COUNTIFS(INDIRECT("Table1[Beginn]"),"&lt;="&amp;CL$1,INDIRECT("Table1[Ende]"),"&gt;="&amp;CL$1,INDIRECT("Table1[Obergruppe ATC-Code]"),Tabelle3!$A35)</f>
        <v>0</v>
      </c>
      <c r="CM35">
        <f ca="1">COUNTIFS(INDIRECT("Table1[Beginn]"),"&lt;="&amp;CM$1,INDIRECT("Table1[Ende]"),"&gt;="&amp;CM$1,INDIRECT("Table1[Obergruppe ATC-Code]"),Tabelle3!$A35)</f>
        <v>0</v>
      </c>
      <c r="CN35">
        <f ca="1">COUNTIFS(INDIRECT("Table1[Beginn]"),"&lt;="&amp;CN$1,INDIRECT("Table1[Ende]"),"&gt;="&amp;CN$1,INDIRECT("Table1[Obergruppe ATC-Code]"),Tabelle3!$A35)</f>
        <v>0</v>
      </c>
      <c r="CO35">
        <f ca="1">COUNTIFS(INDIRECT("Table1[Beginn]"),"&lt;="&amp;CO$1,INDIRECT("Table1[Ende]"),"&gt;="&amp;CO$1,INDIRECT("Table1[Obergruppe ATC-Code]"),Tabelle3!$A35)</f>
        <v>0</v>
      </c>
      <c r="CP35">
        <f ca="1">COUNTIFS(INDIRECT("Table1[Beginn]"),"&lt;="&amp;CP$1,INDIRECT("Table1[Ende]"),"&gt;="&amp;CP$1,INDIRECT("Table1[Obergruppe ATC-Code]"),Tabelle3!$A35)</f>
        <v>0</v>
      </c>
      <c r="CQ35">
        <f ca="1">COUNTIFS(INDIRECT("Table1[Beginn]"),"&lt;="&amp;CQ$1,INDIRECT("Table1[Ende]"),"&gt;="&amp;CQ$1,INDIRECT("Table1[Obergruppe ATC-Code]"),Tabelle3!$A35)</f>
        <v>0</v>
      </c>
      <c r="CR35">
        <f ca="1">COUNTIFS(INDIRECT("Table1[Beginn]"),"&lt;="&amp;CR$1,INDIRECT("Table1[Ende]"),"&gt;="&amp;CR$1,INDIRECT("Table1[Obergruppe ATC-Code]"),Tabelle3!$A35)</f>
        <v>0</v>
      </c>
      <c r="CS35">
        <f ca="1">COUNTIFS(INDIRECT("Table1[Beginn]"),"&lt;="&amp;CS$1,INDIRECT("Table1[Ende]"),"&gt;="&amp;CS$1,INDIRECT("Table1[Obergruppe ATC-Code]"),Tabelle3!$A35)</f>
        <v>0</v>
      </c>
      <c r="CT35">
        <f ca="1">COUNTIFS(INDIRECT("Table1[Beginn]"),"&lt;="&amp;CT$1,INDIRECT("Table1[Ende]"),"&gt;="&amp;CT$1,INDIRECT("Table1[Obergruppe ATC-Code]"),Tabelle3!$A35)</f>
        <v>0</v>
      </c>
    </row>
    <row r="36" spans="1:112" ht="18" customHeight="1">
      <c r="A36" s="7" t="s">
        <v>6840</v>
      </c>
      <c r="B36" s="8" t="s">
        <v>6841</v>
      </c>
      <c r="C36">
        <f ca="1">COUNTIFS(INDIRECT("Table1[Beginn]"),"&lt;="&amp;C$1,INDIRECT("Table1[Ende]"),"&gt;="&amp;C$1,INDIRECT("Table1[Obergruppe ATC-Code]"),Tabelle3!$A36)</f>
        <v>0</v>
      </c>
      <c r="D36">
        <f ca="1">COUNTIFS(INDIRECT("Table1[Beginn]"),"&lt;="&amp;D$1,INDIRECT("Table1[Ende]"),"&gt;="&amp;D$1,INDIRECT("Table1[Obergruppe ATC-Code]"),Tabelle3!$A36)</f>
        <v>0</v>
      </c>
      <c r="E36">
        <f ca="1">COUNTIFS(INDIRECT("Table1[Beginn]"),"&lt;="&amp;E$1,INDIRECT("Table1[Ende]"),"&gt;="&amp;E$1,INDIRECT("Table1[Obergruppe ATC-Code]"),Tabelle3!$A36)</f>
        <v>0</v>
      </c>
      <c r="F36">
        <f ca="1">COUNTIFS(INDIRECT("Table1[Beginn]"),"&lt;="&amp;F$1,INDIRECT("Table1[Ende]"),"&gt;="&amp;F$1,INDIRECT("Table1[Obergruppe ATC-Code]"),Tabelle3!$A36)</f>
        <v>0</v>
      </c>
      <c r="G36">
        <f ca="1">COUNTIFS(INDIRECT("Table1[Beginn]"),"&lt;="&amp;G$1,INDIRECT("Table1[Ende]"),"&gt;="&amp;G$1,INDIRECT("Table1[Obergruppe ATC-Code]"),Tabelle3!$A36)</f>
        <v>0</v>
      </c>
      <c r="H36">
        <f ca="1">COUNTIFS(INDIRECT("Table1[Beginn]"),"&lt;="&amp;H$1,INDIRECT("Table1[Ende]"),"&gt;="&amp;H$1,INDIRECT("Table1[Obergruppe ATC-Code]"),Tabelle3!$A36)</f>
        <v>0</v>
      </c>
      <c r="I36">
        <f ca="1">COUNTIFS(INDIRECT("Table1[Beginn]"),"&lt;="&amp;I$1,INDIRECT("Table1[Ende]"),"&gt;="&amp;I$1,INDIRECT("Table1[Obergruppe ATC-Code]"),Tabelle3!$A36)</f>
        <v>0</v>
      </c>
      <c r="J36">
        <f ca="1">COUNTIFS(INDIRECT("Table1[Beginn]"),"&lt;="&amp;J$1,INDIRECT("Table1[Ende]"),"&gt;="&amp;J$1,INDIRECT("Table1[Obergruppe ATC-Code]"),Tabelle3!$A36)</f>
        <v>0</v>
      </c>
      <c r="K36">
        <f ca="1">COUNTIFS(INDIRECT("Table1[Beginn]"),"&lt;="&amp;K$1,INDIRECT("Table1[Ende]"),"&gt;="&amp;K$1,INDIRECT("Table1[Obergruppe ATC-Code]"),Tabelle3!$A36)</f>
        <v>0</v>
      </c>
      <c r="L36">
        <f ca="1">COUNTIFS(INDIRECT("Table1[Beginn]"),"&lt;="&amp;L$1,INDIRECT("Table1[Ende]"),"&gt;="&amp;L$1,INDIRECT("Table1[Obergruppe ATC-Code]"),Tabelle3!$A36)</f>
        <v>0</v>
      </c>
      <c r="M36">
        <f ca="1">COUNTIFS(INDIRECT("Table1[Beginn]"),"&lt;="&amp;M$1,INDIRECT("Table1[Ende]"),"&gt;="&amp;M$1,INDIRECT("Table1[Obergruppe ATC-Code]"),Tabelle3!$A36)</f>
        <v>0</v>
      </c>
      <c r="N36">
        <f ca="1">COUNTIFS(INDIRECT("Table1[Beginn]"),"&lt;="&amp;N$1,INDIRECT("Table1[Ende]"),"&gt;="&amp;N$1,INDIRECT("Table1[Obergruppe ATC-Code]"),Tabelle3!$A36)</f>
        <v>0</v>
      </c>
      <c r="O36">
        <f ca="1">COUNTIFS(INDIRECT("Table1[Beginn]"),"&lt;="&amp;O$1,INDIRECT("Table1[Ende]"),"&gt;="&amp;O$1,INDIRECT("Table1[Obergruppe ATC-Code]"),Tabelle3!$A36)</f>
        <v>0</v>
      </c>
      <c r="P36">
        <f ca="1">COUNTIFS(INDIRECT("Table1[Beginn]"),"&lt;="&amp;P$1,INDIRECT("Table1[Ende]"),"&gt;="&amp;P$1,INDIRECT("Table1[Obergruppe ATC-Code]"),Tabelle3!$A36)</f>
        <v>0</v>
      </c>
      <c r="Q36">
        <f ca="1">COUNTIFS(INDIRECT("Table1[Beginn]"),"&lt;="&amp;Q$1,INDIRECT("Table1[Ende]"),"&gt;="&amp;Q$1,INDIRECT("Table1[Obergruppe ATC-Code]"),Tabelle3!$A36)</f>
        <v>0</v>
      </c>
      <c r="R36">
        <f ca="1">COUNTIFS(INDIRECT("Table1[Beginn]"),"&lt;="&amp;R$1,INDIRECT("Table1[Ende]"),"&gt;="&amp;R$1,INDIRECT("Table1[Obergruppe ATC-Code]"),Tabelle3!$A36)</f>
        <v>0</v>
      </c>
      <c r="S36">
        <f ca="1">COUNTIFS(INDIRECT("Table1[Beginn]"),"&lt;="&amp;S$1,INDIRECT("Table1[Ende]"),"&gt;="&amp;S$1,INDIRECT("Table1[Obergruppe ATC-Code]"),Tabelle3!$A36)</f>
        <v>0</v>
      </c>
      <c r="T36">
        <f ca="1">COUNTIFS(INDIRECT("Table1[Beginn]"),"&lt;="&amp;T$1,INDIRECT("Table1[Ende]"),"&gt;="&amp;T$1,INDIRECT("Table1[Obergruppe ATC-Code]"),Tabelle3!$A36)</f>
        <v>0</v>
      </c>
      <c r="U36">
        <f ca="1">COUNTIFS(INDIRECT("Table1[Beginn]"),"&lt;="&amp;U$1,INDIRECT("Table1[Ende]"),"&gt;="&amp;U$1,INDIRECT("Table1[Obergruppe ATC-Code]"),Tabelle3!$A36)</f>
        <v>0</v>
      </c>
      <c r="V36">
        <f ca="1">COUNTIFS(INDIRECT("Table1[Beginn]"),"&lt;="&amp;V$1,INDIRECT("Table1[Ende]"),"&gt;="&amp;V$1,INDIRECT("Table1[Obergruppe ATC-Code]"),Tabelle3!$A36)</f>
        <v>0</v>
      </c>
      <c r="W36">
        <f ca="1">COUNTIFS(INDIRECT("Table1[Beginn]"),"&lt;="&amp;W$1,INDIRECT("Table1[Ende]"),"&gt;="&amp;W$1,INDIRECT("Table1[Obergruppe ATC-Code]"),Tabelle3!$A36)</f>
        <v>0</v>
      </c>
      <c r="X36">
        <f ca="1">COUNTIFS(INDIRECT("Table1[Beginn]"),"&lt;="&amp;X$1,INDIRECT("Table1[Ende]"),"&gt;="&amp;X$1,INDIRECT("Table1[Obergruppe ATC-Code]"),Tabelle3!$A36)</f>
        <v>0</v>
      </c>
      <c r="Y36">
        <f ca="1">COUNTIFS(INDIRECT("Table1[Beginn]"),"&lt;="&amp;Y$1,INDIRECT("Table1[Ende]"),"&gt;="&amp;Y$1,INDIRECT("Table1[Obergruppe ATC-Code]"),Tabelle3!$A36)</f>
        <v>0</v>
      </c>
      <c r="Z36">
        <f ca="1">COUNTIFS(INDIRECT("Table1[Beginn]"),"&lt;="&amp;Z$1,INDIRECT("Table1[Ende]"),"&gt;="&amp;Z$1,INDIRECT("Table1[Obergruppe ATC-Code]"),Tabelle3!$A36)</f>
        <v>0</v>
      </c>
      <c r="AA36">
        <f ca="1">COUNTIFS(INDIRECT("Table1[Beginn]"),"&lt;="&amp;AA$1,INDIRECT("Table1[Ende]"),"&gt;="&amp;AA$1,INDIRECT("Table1[Obergruppe ATC-Code]"),Tabelle3!$A36)</f>
        <v>0</v>
      </c>
      <c r="AB36">
        <f ca="1">COUNTIFS(INDIRECT("Table1[Beginn]"),"&lt;="&amp;AB$1,INDIRECT("Table1[Ende]"),"&gt;="&amp;AB$1,INDIRECT("Table1[Obergruppe ATC-Code]"),Tabelle3!$A36)</f>
        <v>0</v>
      </c>
      <c r="AC36">
        <f ca="1">COUNTIFS(INDIRECT("Table1[Beginn]"),"&lt;="&amp;AC$1,INDIRECT("Table1[Ende]"),"&gt;="&amp;AC$1,INDIRECT("Table1[Obergruppe ATC-Code]"),Tabelle3!$A36)</f>
        <v>0</v>
      </c>
      <c r="AD36">
        <f ca="1">COUNTIFS(INDIRECT("Table1[Beginn]"),"&lt;="&amp;AD$1,INDIRECT("Table1[Ende]"),"&gt;="&amp;AD$1,INDIRECT("Table1[Obergruppe ATC-Code]"),Tabelle3!$A36)</f>
        <v>0</v>
      </c>
      <c r="AE36">
        <f ca="1">COUNTIFS(INDIRECT("Table1[Beginn]"),"&lt;="&amp;AE$1,INDIRECT("Table1[Ende]"),"&gt;="&amp;AE$1,INDIRECT("Table1[Obergruppe ATC-Code]"),Tabelle3!$A36)</f>
        <v>0</v>
      </c>
      <c r="AF36">
        <f ca="1">COUNTIFS(INDIRECT("Table1[Beginn]"),"&lt;="&amp;AF$1,INDIRECT("Table1[Ende]"),"&gt;="&amp;AF$1,INDIRECT("Table1[Obergruppe ATC-Code]"),Tabelle3!$A36)</f>
        <v>0</v>
      </c>
      <c r="AG36">
        <f ca="1">COUNTIFS(INDIRECT("Table1[Beginn]"),"&lt;="&amp;AG$1,INDIRECT("Table1[Ende]"),"&gt;="&amp;AG$1,INDIRECT("Table1[Obergruppe ATC-Code]"),Tabelle3!$A36)</f>
        <v>0</v>
      </c>
      <c r="AH36">
        <f ca="1">COUNTIFS(INDIRECT("Table1[Beginn]"),"&lt;="&amp;AH$1,INDIRECT("Table1[Ende]"),"&gt;="&amp;AH$1,INDIRECT("Table1[Obergruppe ATC-Code]"),Tabelle3!$A36)</f>
        <v>0</v>
      </c>
      <c r="AI36">
        <f ca="1">COUNTIFS(INDIRECT("Table1[Beginn]"),"&lt;="&amp;AI$1,INDIRECT("Table1[Ende]"),"&gt;="&amp;AI$1,INDIRECT("Table1[Obergruppe ATC-Code]"),Tabelle3!$A36)</f>
        <v>0</v>
      </c>
      <c r="AJ36">
        <f ca="1">COUNTIFS(INDIRECT("Table1[Beginn]"),"&lt;="&amp;AJ$1,INDIRECT("Table1[Ende]"),"&gt;="&amp;AJ$1,INDIRECT("Table1[Obergruppe ATC-Code]"),Tabelle3!$A36)</f>
        <v>0</v>
      </c>
      <c r="AK36">
        <f ca="1">COUNTIFS(INDIRECT("Table1[Beginn]"),"&lt;="&amp;AK$1,INDIRECT("Table1[Ende]"),"&gt;="&amp;AK$1,INDIRECT("Table1[Obergruppe ATC-Code]"),Tabelle3!$A36)</f>
        <v>0</v>
      </c>
      <c r="AL36">
        <f ca="1">COUNTIFS(INDIRECT("Table1[Beginn]"),"&lt;="&amp;AL$1,INDIRECT("Table1[Ende]"),"&gt;="&amp;AL$1,INDIRECT("Table1[Obergruppe ATC-Code]"),Tabelle3!$A36)</f>
        <v>0</v>
      </c>
      <c r="AM36">
        <f ca="1">COUNTIFS(INDIRECT("Table1[Beginn]"),"&lt;="&amp;AM$1,INDIRECT("Table1[Ende]"),"&gt;="&amp;AM$1,INDIRECT("Table1[Obergruppe ATC-Code]"),Tabelle3!$A36)</f>
        <v>0</v>
      </c>
      <c r="AN36">
        <f ca="1">COUNTIFS(INDIRECT("Table1[Beginn]"),"&lt;="&amp;AN$1,INDIRECT("Table1[Ende]"),"&gt;="&amp;AN$1,INDIRECT("Table1[Obergruppe ATC-Code]"),Tabelle3!$A36)</f>
        <v>0</v>
      </c>
      <c r="AO36">
        <f ca="1">COUNTIFS(INDIRECT("Table1[Beginn]"),"&lt;="&amp;AO$1,INDIRECT("Table1[Ende]"),"&gt;="&amp;AO$1,INDIRECT("Table1[Obergruppe ATC-Code]"),Tabelle3!$A36)</f>
        <v>0</v>
      </c>
      <c r="AP36">
        <f ca="1">COUNTIFS(INDIRECT("Table1[Beginn]"),"&lt;="&amp;AP$1,INDIRECT("Table1[Ende]"),"&gt;="&amp;AP$1,INDIRECT("Table1[Obergruppe ATC-Code]"),Tabelle3!$A36)</f>
        <v>0</v>
      </c>
      <c r="AQ36">
        <f ca="1">COUNTIFS(INDIRECT("Table1[Beginn]"),"&lt;="&amp;AQ$1,INDIRECT("Table1[Ende]"),"&gt;="&amp;AQ$1,INDIRECT("Table1[Obergruppe ATC-Code]"),Tabelle3!$A36)</f>
        <v>0</v>
      </c>
      <c r="AR36">
        <f ca="1">COUNTIFS(INDIRECT("Table1[Beginn]"),"&lt;="&amp;AR$1,INDIRECT("Table1[Ende]"),"&gt;="&amp;AR$1,INDIRECT("Table1[Obergruppe ATC-Code]"),Tabelle3!$A36)</f>
        <v>0</v>
      </c>
      <c r="AS36">
        <f ca="1">COUNTIFS(INDIRECT("Table1[Beginn]"),"&lt;="&amp;AS$1,INDIRECT("Table1[Ende]"),"&gt;="&amp;AS$1,INDIRECT("Table1[Obergruppe ATC-Code]"),Tabelle3!$A36)</f>
        <v>0</v>
      </c>
      <c r="AT36">
        <f ca="1">COUNTIFS(INDIRECT("Table1[Beginn]"),"&lt;="&amp;AT$1,INDIRECT("Table1[Ende]"),"&gt;="&amp;AT$1,INDIRECT("Table1[Obergruppe ATC-Code]"),Tabelle3!$A36)</f>
        <v>0</v>
      </c>
      <c r="AU36">
        <f ca="1">COUNTIFS(INDIRECT("Table1[Beginn]"),"&lt;="&amp;AU$1,INDIRECT("Table1[Ende]"),"&gt;="&amp;AU$1,INDIRECT("Table1[Obergruppe ATC-Code]"),Tabelle3!$A36)</f>
        <v>0</v>
      </c>
      <c r="AV36">
        <f ca="1">COUNTIFS(INDIRECT("Table1[Beginn]"),"&lt;="&amp;AV$1,INDIRECT("Table1[Ende]"),"&gt;="&amp;AV$1,INDIRECT("Table1[Obergruppe ATC-Code]"),Tabelle3!$A36)</f>
        <v>0</v>
      </c>
      <c r="AW36">
        <f ca="1">COUNTIFS(INDIRECT("Table1[Beginn]"),"&lt;="&amp;AW$1,INDIRECT("Table1[Ende]"),"&gt;="&amp;AW$1,INDIRECT("Table1[Obergruppe ATC-Code]"),Tabelle3!$A36)</f>
        <v>0</v>
      </c>
      <c r="AX36">
        <f ca="1">COUNTIFS(INDIRECT("Table1[Beginn]"),"&lt;="&amp;AX$1,INDIRECT("Table1[Ende]"),"&gt;="&amp;AX$1,INDIRECT("Table1[Obergruppe ATC-Code]"),Tabelle3!$A36)</f>
        <v>0</v>
      </c>
      <c r="AY36">
        <f ca="1">COUNTIFS(INDIRECT("Table1[Beginn]"),"&lt;="&amp;AY$1,INDIRECT("Table1[Ende]"),"&gt;="&amp;AY$1,INDIRECT("Table1[Obergruppe ATC-Code]"),Tabelle3!$A36)</f>
        <v>0</v>
      </c>
      <c r="AZ36">
        <f ca="1">COUNTIFS(INDIRECT("Table1[Beginn]"),"&lt;="&amp;AZ$1,INDIRECT("Table1[Ende]"),"&gt;="&amp;AZ$1,INDIRECT("Table1[Obergruppe ATC-Code]"),Tabelle3!$A36)</f>
        <v>0</v>
      </c>
      <c r="BA36">
        <f ca="1">COUNTIFS(INDIRECT("Table1[Beginn]"),"&lt;="&amp;BA$1,INDIRECT("Table1[Ende]"),"&gt;="&amp;BA$1,INDIRECT("Table1[Obergruppe ATC-Code]"),Tabelle3!$A36)</f>
        <v>0</v>
      </c>
      <c r="BB36">
        <f ca="1">COUNTIFS(INDIRECT("Table1[Beginn]"),"&lt;="&amp;BB$1,INDIRECT("Table1[Ende]"),"&gt;="&amp;BB$1,INDIRECT("Table1[Obergruppe ATC-Code]"),Tabelle3!$A36)</f>
        <v>0</v>
      </c>
      <c r="BC36">
        <f ca="1">COUNTIFS(INDIRECT("Table1[Beginn]"),"&lt;="&amp;BC$1,INDIRECT("Table1[Ende]"),"&gt;="&amp;BC$1,INDIRECT("Table1[Obergruppe ATC-Code]"),Tabelle3!$A36)</f>
        <v>0</v>
      </c>
      <c r="BD36">
        <f ca="1">COUNTIFS(INDIRECT("Table1[Beginn]"),"&lt;="&amp;BD$1,INDIRECT("Table1[Ende]"),"&gt;="&amp;BD$1,INDIRECT("Table1[Obergruppe ATC-Code]"),Tabelle3!$A36)</f>
        <v>0</v>
      </c>
      <c r="BE36">
        <f ca="1">COUNTIFS(INDIRECT("Table1[Beginn]"),"&lt;="&amp;BE$1,INDIRECT("Table1[Ende]"),"&gt;="&amp;BE$1,INDIRECT("Table1[Obergruppe ATC-Code]"),Tabelle3!$A36)</f>
        <v>0</v>
      </c>
      <c r="BF36">
        <f ca="1">COUNTIFS(INDIRECT("Table1[Beginn]"),"&lt;="&amp;BF$1,INDIRECT("Table1[Ende]"),"&gt;="&amp;BF$1,INDIRECT("Table1[Obergruppe ATC-Code]"),Tabelle3!$A36)</f>
        <v>0</v>
      </c>
      <c r="BG36">
        <f ca="1">COUNTIFS(INDIRECT("Table1[Beginn]"),"&lt;="&amp;BG$1,INDIRECT("Table1[Ende]"),"&gt;="&amp;BG$1,INDIRECT("Table1[Obergruppe ATC-Code]"),Tabelle3!$A36)</f>
        <v>0</v>
      </c>
      <c r="BH36">
        <f ca="1">COUNTIFS(INDIRECT("Table1[Beginn]"),"&lt;="&amp;BH$1,INDIRECT("Table1[Ende]"),"&gt;="&amp;BH$1,INDIRECT("Table1[Obergruppe ATC-Code]"),Tabelle3!$A36)</f>
        <v>0</v>
      </c>
      <c r="BI36">
        <f ca="1">COUNTIFS(INDIRECT("Table1[Beginn]"),"&lt;="&amp;BI$1,INDIRECT("Table1[Ende]"),"&gt;="&amp;BI$1,INDIRECT("Table1[Obergruppe ATC-Code]"),Tabelle3!$A36)</f>
        <v>0</v>
      </c>
      <c r="BJ36">
        <f ca="1">COUNTIFS(INDIRECT("Table1[Beginn]"),"&lt;="&amp;BJ$1,INDIRECT("Table1[Ende]"),"&gt;="&amp;BJ$1,INDIRECT("Table1[Obergruppe ATC-Code]"),Tabelle3!$A36)</f>
        <v>0</v>
      </c>
      <c r="BK36">
        <f ca="1">COUNTIFS(INDIRECT("Table1[Beginn]"),"&lt;="&amp;BK$1,INDIRECT("Table1[Ende]"),"&gt;="&amp;BK$1,INDIRECT("Table1[Obergruppe ATC-Code]"),Tabelle3!$A36)</f>
        <v>0</v>
      </c>
      <c r="BL36">
        <f ca="1">COUNTIFS(INDIRECT("Table1[Beginn]"),"&lt;="&amp;BL$1,INDIRECT("Table1[Ende]"),"&gt;="&amp;BL$1,INDIRECT("Table1[Obergruppe ATC-Code]"),Tabelle3!$A36)</f>
        <v>0</v>
      </c>
      <c r="BM36">
        <f ca="1">COUNTIFS(INDIRECT("Table1[Beginn]"),"&lt;="&amp;BM$1,INDIRECT("Table1[Ende]"),"&gt;="&amp;BM$1,INDIRECT("Table1[Obergruppe ATC-Code]"),Tabelle3!$A36)</f>
        <v>0</v>
      </c>
      <c r="BN36">
        <f ca="1">COUNTIFS(INDIRECT("Table1[Beginn]"),"&lt;="&amp;BN$1,INDIRECT("Table1[Ende]"),"&gt;="&amp;BN$1,INDIRECT("Table1[Obergruppe ATC-Code]"),Tabelle3!$A36)</f>
        <v>0</v>
      </c>
      <c r="BO36">
        <f ca="1">COUNTIFS(INDIRECT("Table1[Beginn]"),"&lt;="&amp;BO$1,INDIRECT("Table1[Ende]"),"&gt;="&amp;BO$1,INDIRECT("Table1[Obergruppe ATC-Code]"),Tabelle3!$A36)</f>
        <v>0</v>
      </c>
      <c r="BP36">
        <f ca="1">COUNTIFS(INDIRECT("Table1[Beginn]"),"&lt;="&amp;BP$1,INDIRECT("Table1[Ende]"),"&gt;="&amp;BP$1,INDIRECT("Table1[Obergruppe ATC-Code]"),Tabelle3!$A36)</f>
        <v>0</v>
      </c>
      <c r="BQ36">
        <f ca="1">COUNTIFS(INDIRECT("Table1[Beginn]"),"&lt;="&amp;BQ$1,INDIRECT("Table1[Ende]"),"&gt;="&amp;BQ$1,INDIRECT("Table1[Obergruppe ATC-Code]"),Tabelle3!$A36)</f>
        <v>0</v>
      </c>
      <c r="BR36">
        <f ca="1">COUNTIFS(INDIRECT("Table1[Beginn]"),"&lt;="&amp;BR$1,INDIRECT("Table1[Ende]"),"&gt;="&amp;BR$1,INDIRECT("Table1[Obergruppe ATC-Code]"),Tabelle3!$A36)</f>
        <v>0</v>
      </c>
      <c r="BS36">
        <f ca="1">COUNTIFS(INDIRECT("Table1[Beginn]"),"&lt;="&amp;BS$1,INDIRECT("Table1[Ende]"),"&gt;="&amp;BS$1,INDIRECT("Table1[Obergruppe ATC-Code]"),Tabelle3!$A36)</f>
        <v>0</v>
      </c>
      <c r="BT36">
        <f ca="1">COUNTIFS(INDIRECT("Table1[Beginn]"),"&lt;="&amp;BT$1,INDIRECT("Table1[Ende]"),"&gt;="&amp;BT$1,INDIRECT("Table1[Obergruppe ATC-Code]"),Tabelle3!$A36)</f>
        <v>0</v>
      </c>
      <c r="BU36">
        <f ca="1">COUNTIFS(INDIRECT("Table1[Beginn]"),"&lt;="&amp;BU$1,INDIRECT("Table1[Ende]"),"&gt;="&amp;BU$1,INDIRECT("Table1[Obergruppe ATC-Code]"),Tabelle3!$A36)</f>
        <v>0</v>
      </c>
      <c r="BV36">
        <f ca="1">COUNTIFS(INDIRECT("Table1[Beginn]"),"&lt;="&amp;BV$1,INDIRECT("Table1[Ende]"),"&gt;="&amp;BV$1,INDIRECT("Table1[Obergruppe ATC-Code]"),Tabelle3!$A36)</f>
        <v>0</v>
      </c>
      <c r="BW36">
        <f ca="1">COUNTIFS(INDIRECT("Table1[Beginn]"),"&lt;="&amp;BW$1,INDIRECT("Table1[Ende]"),"&gt;="&amp;BW$1,INDIRECT("Table1[Obergruppe ATC-Code]"),Tabelle3!$A36)</f>
        <v>0</v>
      </c>
      <c r="BX36">
        <f ca="1">COUNTIFS(INDIRECT("Table1[Beginn]"),"&lt;="&amp;BX$1,INDIRECT("Table1[Ende]"),"&gt;="&amp;BX$1,INDIRECT("Table1[Obergruppe ATC-Code]"),Tabelle3!$A36)</f>
        <v>0</v>
      </c>
      <c r="BY36">
        <f ca="1">COUNTIFS(INDIRECT("Table1[Beginn]"),"&lt;="&amp;BY$1,INDIRECT("Table1[Ende]"),"&gt;="&amp;BY$1,INDIRECT("Table1[Obergruppe ATC-Code]"),Tabelle3!$A36)</f>
        <v>0</v>
      </c>
      <c r="BZ36">
        <f ca="1">COUNTIFS(INDIRECT("Table1[Beginn]"),"&lt;="&amp;BZ$1,INDIRECT("Table1[Ende]"),"&gt;="&amp;BZ$1,INDIRECT("Table1[Obergruppe ATC-Code]"),Tabelle3!$A36)</f>
        <v>0</v>
      </c>
      <c r="CA36">
        <f ca="1">COUNTIFS(INDIRECT("Table1[Beginn]"),"&lt;="&amp;CA$1,INDIRECT("Table1[Ende]"),"&gt;="&amp;CA$1,INDIRECT("Table1[Obergruppe ATC-Code]"),Tabelle3!$A36)</f>
        <v>0</v>
      </c>
      <c r="CB36">
        <f ca="1">COUNTIFS(INDIRECT("Table1[Beginn]"),"&lt;="&amp;CB$1,INDIRECT("Table1[Ende]"),"&gt;="&amp;CB$1,INDIRECT("Table1[Obergruppe ATC-Code]"),Tabelle3!$A36)</f>
        <v>0</v>
      </c>
      <c r="CC36">
        <f ca="1">COUNTIFS(INDIRECT("Table1[Beginn]"),"&lt;="&amp;CC$1,INDIRECT("Table1[Ende]"),"&gt;="&amp;CC$1,INDIRECT("Table1[Obergruppe ATC-Code]"),Tabelle3!$A36)</f>
        <v>0</v>
      </c>
      <c r="CD36">
        <f ca="1">COUNTIFS(INDIRECT("Table1[Beginn]"),"&lt;="&amp;CD$1,INDIRECT("Table1[Ende]"),"&gt;="&amp;CD$1,INDIRECT("Table1[Obergruppe ATC-Code]"),Tabelle3!$A36)</f>
        <v>0</v>
      </c>
      <c r="CE36">
        <f ca="1">COUNTIFS(INDIRECT("Table1[Beginn]"),"&lt;="&amp;CE$1,INDIRECT("Table1[Ende]"),"&gt;="&amp;CE$1,INDIRECT("Table1[Obergruppe ATC-Code]"),Tabelle3!$A36)</f>
        <v>0</v>
      </c>
      <c r="CF36">
        <f ca="1">COUNTIFS(INDIRECT("Table1[Beginn]"),"&lt;="&amp;CF$1,INDIRECT("Table1[Ende]"),"&gt;="&amp;CF$1,INDIRECT("Table1[Obergruppe ATC-Code]"),Tabelle3!$A36)</f>
        <v>0</v>
      </c>
      <c r="CG36">
        <f ca="1">COUNTIFS(INDIRECT("Table1[Beginn]"),"&lt;="&amp;CG$1,INDIRECT("Table1[Ende]"),"&gt;="&amp;CG$1,INDIRECT("Table1[Obergruppe ATC-Code]"),Tabelle3!$A36)</f>
        <v>0</v>
      </c>
      <c r="CH36">
        <f ca="1">COUNTIFS(INDIRECT("Table1[Beginn]"),"&lt;="&amp;CH$1,INDIRECT("Table1[Ende]"),"&gt;="&amp;CH$1,INDIRECT("Table1[Obergruppe ATC-Code]"),Tabelle3!$A36)</f>
        <v>0</v>
      </c>
      <c r="CI36">
        <f ca="1">COUNTIFS(INDIRECT("Table1[Beginn]"),"&lt;="&amp;CI$1,INDIRECT("Table1[Ende]"),"&gt;="&amp;CI$1,INDIRECT("Table1[Obergruppe ATC-Code]"),Tabelle3!$A36)</f>
        <v>0</v>
      </c>
      <c r="CJ36">
        <f ca="1">COUNTIFS(INDIRECT("Table1[Beginn]"),"&lt;="&amp;CJ$1,INDIRECT("Table1[Ende]"),"&gt;="&amp;CJ$1,INDIRECT("Table1[Obergruppe ATC-Code]"),Tabelle3!$A36)</f>
        <v>0</v>
      </c>
      <c r="CK36">
        <f ca="1">COUNTIFS(INDIRECT("Table1[Beginn]"),"&lt;="&amp;CK$1,INDIRECT("Table1[Ende]"),"&gt;="&amp;CK$1,INDIRECT("Table1[Obergruppe ATC-Code]"),Tabelle3!$A36)</f>
        <v>0</v>
      </c>
      <c r="CL36">
        <f ca="1">COUNTIFS(INDIRECT("Table1[Beginn]"),"&lt;="&amp;CL$1,INDIRECT("Table1[Ende]"),"&gt;="&amp;CL$1,INDIRECT("Table1[Obergruppe ATC-Code]"),Tabelle3!$A36)</f>
        <v>0</v>
      </c>
      <c r="CM36">
        <f ca="1">COUNTIFS(INDIRECT("Table1[Beginn]"),"&lt;="&amp;CM$1,INDIRECT("Table1[Ende]"),"&gt;="&amp;CM$1,INDIRECT("Table1[Obergruppe ATC-Code]"),Tabelle3!$A36)</f>
        <v>0</v>
      </c>
      <c r="CN36">
        <f ca="1">COUNTIFS(INDIRECT("Table1[Beginn]"),"&lt;="&amp;CN$1,INDIRECT("Table1[Ende]"),"&gt;="&amp;CN$1,INDIRECT("Table1[Obergruppe ATC-Code]"),Tabelle3!$A36)</f>
        <v>0</v>
      </c>
      <c r="CO36">
        <f ca="1">COUNTIFS(INDIRECT("Table1[Beginn]"),"&lt;="&amp;CO$1,INDIRECT("Table1[Ende]"),"&gt;="&amp;CO$1,INDIRECT("Table1[Obergruppe ATC-Code]"),Tabelle3!$A36)</f>
        <v>0</v>
      </c>
      <c r="CP36">
        <f ca="1">COUNTIFS(INDIRECT("Table1[Beginn]"),"&lt;="&amp;CP$1,INDIRECT("Table1[Ende]"),"&gt;="&amp;CP$1,INDIRECT("Table1[Obergruppe ATC-Code]"),Tabelle3!$A36)</f>
        <v>0</v>
      </c>
      <c r="CQ36">
        <f ca="1">COUNTIFS(INDIRECT("Table1[Beginn]"),"&lt;="&amp;CQ$1,INDIRECT("Table1[Ende]"),"&gt;="&amp;CQ$1,INDIRECT("Table1[Obergruppe ATC-Code]"),Tabelle3!$A36)</f>
        <v>0</v>
      </c>
      <c r="CR36">
        <f ca="1">COUNTIFS(INDIRECT("Table1[Beginn]"),"&lt;="&amp;CR$1,INDIRECT("Table1[Ende]"),"&gt;="&amp;CR$1,INDIRECT("Table1[Obergruppe ATC-Code]"),Tabelle3!$A36)</f>
        <v>0</v>
      </c>
      <c r="CS36">
        <f ca="1">COUNTIFS(INDIRECT("Table1[Beginn]"),"&lt;="&amp;CS$1,INDIRECT("Table1[Ende]"),"&gt;="&amp;CS$1,INDIRECT("Table1[Obergruppe ATC-Code]"),Tabelle3!$A36)</f>
        <v>0</v>
      </c>
      <c r="CT36">
        <f ca="1">COUNTIFS(INDIRECT("Table1[Beginn]"),"&lt;="&amp;CT$1,INDIRECT("Table1[Ende]"),"&gt;="&amp;CT$1,INDIRECT("Table1[Obergruppe ATC-Code]"),Tabelle3!$A36)</f>
        <v>0</v>
      </c>
      <c r="CU36" s="55" t="s">
        <v>6842</v>
      </c>
      <c r="CV36" s="56"/>
      <c r="CW36" s="56"/>
      <c r="CX36" s="56"/>
      <c r="CY36" s="56"/>
      <c r="CZ36" s="56"/>
      <c r="DA36" s="56"/>
      <c r="DB36" s="56"/>
      <c r="DC36" s="56"/>
      <c r="DD36" s="56"/>
      <c r="DE36" s="56"/>
      <c r="DF36" s="56"/>
      <c r="DG36" s="56"/>
      <c r="DH36" s="56"/>
    </row>
    <row r="37" spans="1:112" ht="18" customHeight="1">
      <c r="A37" s="9" t="s">
        <v>6843</v>
      </c>
      <c r="B37" s="10" t="s">
        <v>6844</v>
      </c>
      <c r="C37">
        <f ca="1">COUNTIFS(INDIRECT("Table1[Beginn]"),"&lt;="&amp;C$1,INDIRECT("Table1[Ende]"),"&gt;="&amp;C$1,INDIRECT("Table1[Obergruppe ATC-Code]"),Tabelle3!$A37)</f>
        <v>0</v>
      </c>
      <c r="D37">
        <f ca="1">COUNTIFS(INDIRECT("Table1[Beginn]"),"&lt;="&amp;D$1,INDIRECT("Table1[Ende]"),"&gt;="&amp;D$1,INDIRECT("Table1[Obergruppe ATC-Code]"),Tabelle3!$A37)</f>
        <v>0</v>
      </c>
      <c r="E37">
        <f ca="1">COUNTIFS(INDIRECT("Table1[Beginn]"),"&lt;="&amp;E$1,INDIRECT("Table1[Ende]"),"&gt;="&amp;E$1,INDIRECT("Table1[Obergruppe ATC-Code]"),Tabelle3!$A37)</f>
        <v>0</v>
      </c>
      <c r="F37">
        <f ca="1">COUNTIFS(INDIRECT("Table1[Beginn]"),"&lt;="&amp;F$1,INDIRECT("Table1[Ende]"),"&gt;="&amp;F$1,INDIRECT("Table1[Obergruppe ATC-Code]"),Tabelle3!$A37)</f>
        <v>0</v>
      </c>
      <c r="G37">
        <f ca="1">COUNTIFS(INDIRECT("Table1[Beginn]"),"&lt;="&amp;G$1,INDIRECT("Table1[Ende]"),"&gt;="&amp;G$1,INDIRECT("Table1[Obergruppe ATC-Code]"),Tabelle3!$A37)</f>
        <v>0</v>
      </c>
      <c r="H37">
        <f ca="1">COUNTIFS(INDIRECT("Table1[Beginn]"),"&lt;="&amp;H$1,INDIRECT("Table1[Ende]"),"&gt;="&amp;H$1,INDIRECT("Table1[Obergruppe ATC-Code]"),Tabelle3!$A37)</f>
        <v>0</v>
      </c>
      <c r="I37">
        <f ca="1">COUNTIFS(INDIRECT("Table1[Beginn]"),"&lt;="&amp;I$1,INDIRECT("Table1[Ende]"),"&gt;="&amp;I$1,INDIRECT("Table1[Obergruppe ATC-Code]"),Tabelle3!$A37)</f>
        <v>0</v>
      </c>
      <c r="J37">
        <f ca="1">COUNTIFS(INDIRECT("Table1[Beginn]"),"&lt;="&amp;J$1,INDIRECT("Table1[Ende]"),"&gt;="&amp;J$1,INDIRECT("Table1[Obergruppe ATC-Code]"),Tabelle3!$A37)</f>
        <v>0</v>
      </c>
      <c r="K37">
        <f ca="1">COUNTIFS(INDIRECT("Table1[Beginn]"),"&lt;="&amp;K$1,INDIRECT("Table1[Ende]"),"&gt;="&amp;K$1,INDIRECT("Table1[Obergruppe ATC-Code]"),Tabelle3!$A37)</f>
        <v>0</v>
      </c>
      <c r="L37">
        <f ca="1">COUNTIFS(INDIRECT("Table1[Beginn]"),"&lt;="&amp;L$1,INDIRECT("Table1[Ende]"),"&gt;="&amp;L$1,INDIRECT("Table1[Obergruppe ATC-Code]"),Tabelle3!$A37)</f>
        <v>0</v>
      </c>
      <c r="M37">
        <f ca="1">COUNTIFS(INDIRECT("Table1[Beginn]"),"&lt;="&amp;M$1,INDIRECT("Table1[Ende]"),"&gt;="&amp;M$1,INDIRECT("Table1[Obergruppe ATC-Code]"),Tabelle3!$A37)</f>
        <v>0</v>
      </c>
      <c r="N37">
        <f ca="1">COUNTIFS(INDIRECT("Table1[Beginn]"),"&lt;="&amp;N$1,INDIRECT("Table1[Ende]"),"&gt;="&amp;N$1,INDIRECT("Table1[Obergruppe ATC-Code]"),Tabelle3!$A37)</f>
        <v>0</v>
      </c>
      <c r="O37">
        <f ca="1">COUNTIFS(INDIRECT("Table1[Beginn]"),"&lt;="&amp;O$1,INDIRECT("Table1[Ende]"),"&gt;="&amp;O$1,INDIRECT("Table1[Obergruppe ATC-Code]"),Tabelle3!$A37)</f>
        <v>0</v>
      </c>
      <c r="P37">
        <f ca="1">COUNTIFS(INDIRECT("Table1[Beginn]"),"&lt;="&amp;P$1,INDIRECT("Table1[Ende]"),"&gt;="&amp;P$1,INDIRECT("Table1[Obergruppe ATC-Code]"),Tabelle3!$A37)</f>
        <v>0</v>
      </c>
      <c r="Q37">
        <f ca="1">COUNTIFS(INDIRECT("Table1[Beginn]"),"&lt;="&amp;Q$1,INDIRECT("Table1[Ende]"),"&gt;="&amp;Q$1,INDIRECT("Table1[Obergruppe ATC-Code]"),Tabelle3!$A37)</f>
        <v>0</v>
      </c>
      <c r="R37">
        <f ca="1">COUNTIFS(INDIRECT("Table1[Beginn]"),"&lt;="&amp;R$1,INDIRECT("Table1[Ende]"),"&gt;="&amp;R$1,INDIRECT("Table1[Obergruppe ATC-Code]"),Tabelle3!$A37)</f>
        <v>0</v>
      </c>
      <c r="S37">
        <f ca="1">COUNTIFS(INDIRECT("Table1[Beginn]"),"&lt;="&amp;S$1,INDIRECT("Table1[Ende]"),"&gt;="&amp;S$1,INDIRECT("Table1[Obergruppe ATC-Code]"),Tabelle3!$A37)</f>
        <v>0</v>
      </c>
      <c r="T37">
        <f ca="1">COUNTIFS(INDIRECT("Table1[Beginn]"),"&lt;="&amp;T$1,INDIRECT("Table1[Ende]"),"&gt;="&amp;T$1,INDIRECT("Table1[Obergruppe ATC-Code]"),Tabelle3!$A37)</f>
        <v>0</v>
      </c>
      <c r="U37">
        <f ca="1">COUNTIFS(INDIRECT("Table1[Beginn]"),"&lt;="&amp;U$1,INDIRECT("Table1[Ende]"),"&gt;="&amp;U$1,INDIRECT("Table1[Obergruppe ATC-Code]"),Tabelle3!$A37)</f>
        <v>0</v>
      </c>
      <c r="V37">
        <f ca="1">COUNTIFS(INDIRECT("Table1[Beginn]"),"&lt;="&amp;V$1,INDIRECT("Table1[Ende]"),"&gt;="&amp;V$1,INDIRECT("Table1[Obergruppe ATC-Code]"),Tabelle3!$A37)</f>
        <v>0</v>
      </c>
      <c r="W37">
        <f ca="1">COUNTIFS(INDIRECT("Table1[Beginn]"),"&lt;="&amp;W$1,INDIRECT("Table1[Ende]"),"&gt;="&amp;W$1,INDIRECT("Table1[Obergruppe ATC-Code]"),Tabelle3!$A37)</f>
        <v>0</v>
      </c>
      <c r="X37">
        <f ca="1">COUNTIFS(INDIRECT("Table1[Beginn]"),"&lt;="&amp;X$1,INDIRECT("Table1[Ende]"),"&gt;="&amp;X$1,INDIRECT("Table1[Obergruppe ATC-Code]"),Tabelle3!$A37)</f>
        <v>0</v>
      </c>
      <c r="Y37">
        <f ca="1">COUNTIFS(INDIRECT("Table1[Beginn]"),"&lt;="&amp;Y$1,INDIRECT("Table1[Ende]"),"&gt;="&amp;Y$1,INDIRECT("Table1[Obergruppe ATC-Code]"),Tabelle3!$A37)</f>
        <v>0</v>
      </c>
      <c r="Z37">
        <f ca="1">COUNTIFS(INDIRECT("Table1[Beginn]"),"&lt;="&amp;Z$1,INDIRECT("Table1[Ende]"),"&gt;="&amp;Z$1,INDIRECT("Table1[Obergruppe ATC-Code]"),Tabelle3!$A37)</f>
        <v>0</v>
      </c>
      <c r="AA37">
        <f ca="1">COUNTIFS(INDIRECT("Table1[Beginn]"),"&lt;="&amp;AA$1,INDIRECT("Table1[Ende]"),"&gt;="&amp;AA$1,INDIRECT("Table1[Obergruppe ATC-Code]"),Tabelle3!$A37)</f>
        <v>0</v>
      </c>
      <c r="AB37">
        <f ca="1">COUNTIFS(INDIRECT("Table1[Beginn]"),"&lt;="&amp;AB$1,INDIRECT("Table1[Ende]"),"&gt;="&amp;AB$1,INDIRECT("Table1[Obergruppe ATC-Code]"),Tabelle3!$A37)</f>
        <v>0</v>
      </c>
      <c r="AC37">
        <f ca="1">COUNTIFS(INDIRECT("Table1[Beginn]"),"&lt;="&amp;AC$1,INDIRECT("Table1[Ende]"),"&gt;="&amp;AC$1,INDIRECT("Table1[Obergruppe ATC-Code]"),Tabelle3!$A37)</f>
        <v>1</v>
      </c>
      <c r="AD37">
        <f ca="1">COUNTIFS(INDIRECT("Table1[Beginn]"),"&lt;="&amp;AD$1,INDIRECT("Table1[Ende]"),"&gt;="&amp;AD$1,INDIRECT("Table1[Obergruppe ATC-Code]"),Tabelle3!$A37)</f>
        <v>1</v>
      </c>
      <c r="AE37">
        <f ca="1">COUNTIFS(INDIRECT("Table1[Beginn]"),"&lt;="&amp;AE$1,INDIRECT("Table1[Ende]"),"&gt;="&amp;AE$1,INDIRECT("Table1[Obergruppe ATC-Code]"),Tabelle3!$A37)</f>
        <v>1</v>
      </c>
      <c r="AF37">
        <f ca="1">COUNTIFS(INDIRECT("Table1[Beginn]"),"&lt;="&amp;AF$1,INDIRECT("Table1[Ende]"),"&gt;="&amp;AF$1,INDIRECT("Table1[Obergruppe ATC-Code]"),Tabelle3!$A37)</f>
        <v>1</v>
      </c>
      <c r="AG37">
        <f ca="1">COUNTIFS(INDIRECT("Table1[Beginn]"),"&lt;="&amp;AG$1,INDIRECT("Table1[Ende]"),"&gt;="&amp;AG$1,INDIRECT("Table1[Obergruppe ATC-Code]"),Tabelle3!$A37)</f>
        <v>1</v>
      </c>
      <c r="AH37">
        <f ca="1">COUNTIFS(INDIRECT("Table1[Beginn]"),"&lt;="&amp;AH$1,INDIRECT("Table1[Ende]"),"&gt;="&amp;AH$1,INDIRECT("Table1[Obergruppe ATC-Code]"),Tabelle3!$A37)</f>
        <v>0</v>
      </c>
      <c r="AI37">
        <f ca="1">COUNTIFS(INDIRECT("Table1[Beginn]"),"&lt;="&amp;AI$1,INDIRECT("Table1[Ende]"),"&gt;="&amp;AI$1,INDIRECT("Table1[Obergruppe ATC-Code]"),Tabelle3!$A37)</f>
        <v>0</v>
      </c>
      <c r="AJ37">
        <f ca="1">COUNTIFS(INDIRECT("Table1[Beginn]"),"&lt;="&amp;AJ$1,INDIRECT("Table1[Ende]"),"&gt;="&amp;AJ$1,INDIRECT("Table1[Obergruppe ATC-Code]"),Tabelle3!$A37)</f>
        <v>0</v>
      </c>
      <c r="AK37">
        <f ca="1">COUNTIFS(INDIRECT("Table1[Beginn]"),"&lt;="&amp;AK$1,INDIRECT("Table1[Ende]"),"&gt;="&amp;AK$1,INDIRECT("Table1[Obergruppe ATC-Code]"),Tabelle3!$A37)</f>
        <v>0</v>
      </c>
      <c r="AL37">
        <f ca="1">COUNTIFS(INDIRECT("Table1[Beginn]"),"&lt;="&amp;AL$1,INDIRECT("Table1[Ende]"),"&gt;="&amp;AL$1,INDIRECT("Table1[Obergruppe ATC-Code]"),Tabelle3!$A37)</f>
        <v>0</v>
      </c>
      <c r="AM37">
        <f ca="1">COUNTIFS(INDIRECT("Table1[Beginn]"),"&lt;="&amp;AM$1,INDIRECT("Table1[Ende]"),"&gt;="&amp;AM$1,INDIRECT("Table1[Obergruppe ATC-Code]"),Tabelle3!$A37)</f>
        <v>0</v>
      </c>
      <c r="AN37">
        <f ca="1">COUNTIFS(INDIRECT("Table1[Beginn]"),"&lt;="&amp;AN$1,INDIRECT("Table1[Ende]"),"&gt;="&amp;AN$1,INDIRECT("Table1[Obergruppe ATC-Code]"),Tabelle3!$A37)</f>
        <v>0</v>
      </c>
      <c r="AO37">
        <f ca="1">COUNTIFS(INDIRECT("Table1[Beginn]"),"&lt;="&amp;AO$1,INDIRECT("Table1[Ende]"),"&gt;="&amp;AO$1,INDIRECT("Table1[Obergruppe ATC-Code]"),Tabelle3!$A37)</f>
        <v>0</v>
      </c>
      <c r="AP37">
        <f ca="1">COUNTIFS(INDIRECT("Table1[Beginn]"),"&lt;="&amp;AP$1,INDIRECT("Table1[Ende]"),"&gt;="&amp;AP$1,INDIRECT("Table1[Obergruppe ATC-Code]"),Tabelle3!$A37)</f>
        <v>0</v>
      </c>
      <c r="AQ37">
        <f ca="1">COUNTIFS(INDIRECT("Table1[Beginn]"),"&lt;="&amp;AQ$1,INDIRECT("Table1[Ende]"),"&gt;="&amp;AQ$1,INDIRECT("Table1[Obergruppe ATC-Code]"),Tabelle3!$A37)</f>
        <v>0</v>
      </c>
      <c r="AR37">
        <f ca="1">COUNTIFS(INDIRECT("Table1[Beginn]"),"&lt;="&amp;AR$1,INDIRECT("Table1[Ende]"),"&gt;="&amp;AR$1,INDIRECT("Table1[Obergruppe ATC-Code]"),Tabelle3!$A37)</f>
        <v>0</v>
      </c>
      <c r="AS37">
        <f ca="1">COUNTIFS(INDIRECT("Table1[Beginn]"),"&lt;="&amp;AS$1,INDIRECT("Table1[Ende]"),"&gt;="&amp;AS$1,INDIRECT("Table1[Obergruppe ATC-Code]"),Tabelle3!$A37)</f>
        <v>0</v>
      </c>
      <c r="AT37">
        <f ca="1">COUNTIFS(INDIRECT("Table1[Beginn]"),"&lt;="&amp;AT$1,INDIRECT("Table1[Ende]"),"&gt;="&amp;AT$1,INDIRECT("Table1[Obergruppe ATC-Code]"),Tabelle3!$A37)</f>
        <v>0</v>
      </c>
      <c r="AU37">
        <f ca="1">COUNTIFS(INDIRECT("Table1[Beginn]"),"&lt;="&amp;AU$1,INDIRECT("Table1[Ende]"),"&gt;="&amp;AU$1,INDIRECT("Table1[Obergruppe ATC-Code]"),Tabelle3!$A37)</f>
        <v>0</v>
      </c>
      <c r="AV37">
        <f ca="1">COUNTIFS(INDIRECT("Table1[Beginn]"),"&lt;="&amp;AV$1,INDIRECT("Table1[Ende]"),"&gt;="&amp;AV$1,INDIRECT("Table1[Obergruppe ATC-Code]"),Tabelle3!$A37)</f>
        <v>0</v>
      </c>
      <c r="AW37">
        <f ca="1">COUNTIFS(INDIRECT("Table1[Beginn]"),"&lt;="&amp;AW$1,INDIRECT("Table1[Ende]"),"&gt;="&amp;AW$1,INDIRECT("Table1[Obergruppe ATC-Code]"),Tabelle3!$A37)</f>
        <v>0</v>
      </c>
      <c r="AX37">
        <f ca="1">COUNTIFS(INDIRECT("Table1[Beginn]"),"&lt;="&amp;AX$1,INDIRECT("Table1[Ende]"),"&gt;="&amp;AX$1,INDIRECT("Table1[Obergruppe ATC-Code]"),Tabelle3!$A37)</f>
        <v>0</v>
      </c>
      <c r="AY37">
        <f ca="1">COUNTIFS(INDIRECT("Table1[Beginn]"),"&lt;="&amp;AY$1,INDIRECT("Table1[Ende]"),"&gt;="&amp;AY$1,INDIRECT("Table1[Obergruppe ATC-Code]"),Tabelle3!$A37)</f>
        <v>0</v>
      </c>
      <c r="AZ37">
        <f ca="1">COUNTIFS(INDIRECT("Table1[Beginn]"),"&lt;="&amp;AZ$1,INDIRECT("Table1[Ende]"),"&gt;="&amp;AZ$1,INDIRECT("Table1[Obergruppe ATC-Code]"),Tabelle3!$A37)</f>
        <v>0</v>
      </c>
      <c r="BA37">
        <f ca="1">COUNTIFS(INDIRECT("Table1[Beginn]"),"&lt;="&amp;BA$1,INDIRECT("Table1[Ende]"),"&gt;="&amp;BA$1,INDIRECT("Table1[Obergruppe ATC-Code]"),Tabelle3!$A37)</f>
        <v>0</v>
      </c>
      <c r="BB37">
        <f ca="1">COUNTIFS(INDIRECT("Table1[Beginn]"),"&lt;="&amp;BB$1,INDIRECT("Table1[Ende]"),"&gt;="&amp;BB$1,INDIRECT("Table1[Obergruppe ATC-Code]"),Tabelle3!$A37)</f>
        <v>0</v>
      </c>
      <c r="BC37">
        <f ca="1">COUNTIFS(INDIRECT("Table1[Beginn]"),"&lt;="&amp;BC$1,INDIRECT("Table1[Ende]"),"&gt;="&amp;BC$1,INDIRECT("Table1[Obergruppe ATC-Code]"),Tabelle3!$A37)</f>
        <v>1</v>
      </c>
      <c r="BD37">
        <f ca="1">COUNTIFS(INDIRECT("Table1[Beginn]"),"&lt;="&amp;BD$1,INDIRECT("Table1[Ende]"),"&gt;="&amp;BD$1,INDIRECT("Table1[Obergruppe ATC-Code]"),Tabelle3!$A37)</f>
        <v>1</v>
      </c>
      <c r="BE37">
        <f ca="1">COUNTIFS(INDIRECT("Table1[Beginn]"),"&lt;="&amp;BE$1,INDIRECT("Table1[Ende]"),"&gt;="&amp;BE$1,INDIRECT("Table1[Obergruppe ATC-Code]"),Tabelle3!$A37)</f>
        <v>1</v>
      </c>
      <c r="BF37">
        <f ca="1">COUNTIFS(INDIRECT("Table1[Beginn]"),"&lt;="&amp;BF$1,INDIRECT("Table1[Ende]"),"&gt;="&amp;BF$1,INDIRECT("Table1[Obergruppe ATC-Code]"),Tabelle3!$A37)</f>
        <v>1</v>
      </c>
      <c r="BG37">
        <f ca="1">COUNTIFS(INDIRECT("Table1[Beginn]"),"&lt;="&amp;BG$1,INDIRECT("Table1[Ende]"),"&gt;="&amp;BG$1,INDIRECT("Table1[Obergruppe ATC-Code]"),Tabelle3!$A37)</f>
        <v>1</v>
      </c>
      <c r="BH37">
        <f ca="1">COUNTIFS(INDIRECT("Table1[Beginn]"),"&lt;="&amp;BH$1,INDIRECT("Table1[Ende]"),"&gt;="&amp;BH$1,INDIRECT("Table1[Obergruppe ATC-Code]"),Tabelle3!$A37)</f>
        <v>1</v>
      </c>
      <c r="BI37">
        <f ca="1">COUNTIFS(INDIRECT("Table1[Beginn]"),"&lt;="&amp;BI$1,INDIRECT("Table1[Ende]"),"&gt;="&amp;BI$1,INDIRECT("Table1[Obergruppe ATC-Code]"),Tabelle3!$A37)</f>
        <v>1</v>
      </c>
      <c r="BJ37">
        <f ca="1">COUNTIFS(INDIRECT("Table1[Beginn]"),"&lt;="&amp;BJ$1,INDIRECT("Table1[Ende]"),"&gt;="&amp;BJ$1,INDIRECT("Table1[Obergruppe ATC-Code]"),Tabelle3!$A37)</f>
        <v>0</v>
      </c>
      <c r="BK37">
        <f ca="1">COUNTIFS(INDIRECT("Table1[Beginn]"),"&lt;="&amp;BK$1,INDIRECT("Table1[Ende]"),"&gt;="&amp;BK$1,INDIRECT("Table1[Obergruppe ATC-Code]"),Tabelle3!$A37)</f>
        <v>0</v>
      </c>
      <c r="BL37">
        <f ca="1">COUNTIFS(INDIRECT("Table1[Beginn]"),"&lt;="&amp;BL$1,INDIRECT("Table1[Ende]"),"&gt;="&amp;BL$1,INDIRECT("Table1[Obergruppe ATC-Code]"),Tabelle3!$A37)</f>
        <v>0</v>
      </c>
      <c r="BM37">
        <f ca="1">COUNTIFS(INDIRECT("Table1[Beginn]"),"&lt;="&amp;BM$1,INDIRECT("Table1[Ende]"),"&gt;="&amp;BM$1,INDIRECT("Table1[Obergruppe ATC-Code]"),Tabelle3!$A37)</f>
        <v>1</v>
      </c>
      <c r="BN37">
        <f ca="1">COUNTIFS(INDIRECT("Table1[Beginn]"),"&lt;="&amp;BN$1,INDIRECT("Table1[Ende]"),"&gt;="&amp;BN$1,INDIRECT("Table1[Obergruppe ATC-Code]"),Tabelle3!$A37)</f>
        <v>1</v>
      </c>
      <c r="BO37">
        <f ca="1">COUNTIFS(INDIRECT("Table1[Beginn]"),"&lt;="&amp;BO$1,INDIRECT("Table1[Ende]"),"&gt;="&amp;BO$1,INDIRECT("Table1[Obergruppe ATC-Code]"),Tabelle3!$A37)</f>
        <v>0</v>
      </c>
      <c r="BP37">
        <f ca="1">COUNTIFS(INDIRECT("Table1[Beginn]"),"&lt;="&amp;BP$1,INDIRECT("Table1[Ende]"),"&gt;="&amp;BP$1,INDIRECT("Table1[Obergruppe ATC-Code]"),Tabelle3!$A37)</f>
        <v>0</v>
      </c>
      <c r="BQ37">
        <f ca="1">COUNTIFS(INDIRECT("Table1[Beginn]"),"&lt;="&amp;BQ$1,INDIRECT("Table1[Ende]"),"&gt;="&amp;BQ$1,INDIRECT("Table1[Obergruppe ATC-Code]"),Tabelle3!$A37)</f>
        <v>0</v>
      </c>
      <c r="BR37">
        <f ca="1">COUNTIFS(INDIRECT("Table1[Beginn]"),"&lt;="&amp;BR$1,INDIRECT("Table1[Ende]"),"&gt;="&amp;BR$1,INDIRECT("Table1[Obergruppe ATC-Code]"),Tabelle3!$A37)</f>
        <v>0</v>
      </c>
      <c r="BS37">
        <f ca="1">COUNTIFS(INDIRECT("Table1[Beginn]"),"&lt;="&amp;BS$1,INDIRECT("Table1[Ende]"),"&gt;="&amp;BS$1,INDIRECT("Table1[Obergruppe ATC-Code]"),Tabelle3!$A37)</f>
        <v>0</v>
      </c>
      <c r="BT37">
        <f ca="1">COUNTIFS(INDIRECT("Table1[Beginn]"),"&lt;="&amp;BT$1,INDIRECT("Table1[Ende]"),"&gt;="&amp;BT$1,INDIRECT("Table1[Obergruppe ATC-Code]"),Tabelle3!$A37)</f>
        <v>1</v>
      </c>
      <c r="BU37">
        <f ca="1">COUNTIFS(INDIRECT("Table1[Beginn]"),"&lt;="&amp;BU$1,INDIRECT("Table1[Ende]"),"&gt;="&amp;BU$1,INDIRECT("Table1[Obergruppe ATC-Code]"),Tabelle3!$A37)</f>
        <v>1</v>
      </c>
      <c r="BV37">
        <f ca="1">COUNTIFS(INDIRECT("Table1[Beginn]"),"&lt;="&amp;BV$1,INDIRECT("Table1[Ende]"),"&gt;="&amp;BV$1,INDIRECT("Table1[Obergruppe ATC-Code]"),Tabelle3!$A37)</f>
        <v>1</v>
      </c>
      <c r="BW37">
        <f ca="1">COUNTIFS(INDIRECT("Table1[Beginn]"),"&lt;="&amp;BW$1,INDIRECT("Table1[Ende]"),"&gt;="&amp;BW$1,INDIRECT("Table1[Obergruppe ATC-Code]"),Tabelle3!$A37)</f>
        <v>0</v>
      </c>
      <c r="BX37">
        <f ca="1">COUNTIFS(INDIRECT("Table1[Beginn]"),"&lt;="&amp;BX$1,INDIRECT("Table1[Ende]"),"&gt;="&amp;BX$1,INDIRECT("Table1[Obergruppe ATC-Code]"),Tabelle3!$A37)</f>
        <v>0</v>
      </c>
      <c r="BY37">
        <f ca="1">COUNTIFS(INDIRECT("Table1[Beginn]"),"&lt;="&amp;BY$1,INDIRECT("Table1[Ende]"),"&gt;="&amp;BY$1,INDIRECT("Table1[Obergruppe ATC-Code]"),Tabelle3!$A37)</f>
        <v>0</v>
      </c>
      <c r="BZ37">
        <f ca="1">COUNTIFS(INDIRECT("Table1[Beginn]"),"&lt;="&amp;BZ$1,INDIRECT("Table1[Ende]"),"&gt;="&amp;BZ$1,INDIRECT("Table1[Obergruppe ATC-Code]"),Tabelle3!$A37)</f>
        <v>0</v>
      </c>
      <c r="CA37">
        <f ca="1">COUNTIFS(INDIRECT("Table1[Beginn]"),"&lt;="&amp;CA$1,INDIRECT("Table1[Ende]"),"&gt;="&amp;CA$1,INDIRECT("Table1[Obergruppe ATC-Code]"),Tabelle3!$A37)</f>
        <v>0</v>
      </c>
      <c r="CB37">
        <f ca="1">COUNTIFS(INDIRECT("Table1[Beginn]"),"&lt;="&amp;CB$1,INDIRECT("Table1[Ende]"),"&gt;="&amp;CB$1,INDIRECT("Table1[Obergruppe ATC-Code]"),Tabelle3!$A37)</f>
        <v>0</v>
      </c>
      <c r="CC37">
        <f ca="1">COUNTIFS(INDIRECT("Table1[Beginn]"),"&lt;="&amp;CC$1,INDIRECT("Table1[Ende]"),"&gt;="&amp;CC$1,INDIRECT("Table1[Obergruppe ATC-Code]"),Tabelle3!$A37)</f>
        <v>0</v>
      </c>
      <c r="CD37">
        <f ca="1">COUNTIFS(INDIRECT("Table1[Beginn]"),"&lt;="&amp;CD$1,INDIRECT("Table1[Ende]"),"&gt;="&amp;CD$1,INDIRECT("Table1[Obergruppe ATC-Code]"),Tabelle3!$A37)</f>
        <v>0</v>
      </c>
      <c r="CE37">
        <f ca="1">COUNTIFS(INDIRECT("Table1[Beginn]"),"&lt;="&amp;CE$1,INDIRECT("Table1[Ende]"),"&gt;="&amp;CE$1,INDIRECT("Table1[Obergruppe ATC-Code]"),Tabelle3!$A37)</f>
        <v>0</v>
      </c>
      <c r="CF37">
        <f ca="1">COUNTIFS(INDIRECT("Table1[Beginn]"),"&lt;="&amp;CF$1,INDIRECT("Table1[Ende]"),"&gt;="&amp;CF$1,INDIRECT("Table1[Obergruppe ATC-Code]"),Tabelle3!$A37)</f>
        <v>0</v>
      </c>
      <c r="CG37">
        <f ca="1">COUNTIFS(INDIRECT("Table1[Beginn]"),"&lt;="&amp;CG$1,INDIRECT("Table1[Ende]"),"&gt;="&amp;CG$1,INDIRECT("Table1[Obergruppe ATC-Code]"),Tabelle3!$A37)</f>
        <v>0</v>
      </c>
      <c r="CH37">
        <f ca="1">COUNTIFS(INDIRECT("Table1[Beginn]"),"&lt;="&amp;CH$1,INDIRECT("Table1[Ende]"),"&gt;="&amp;CH$1,INDIRECT("Table1[Obergruppe ATC-Code]"),Tabelle3!$A37)</f>
        <v>0</v>
      </c>
      <c r="CI37">
        <f ca="1">COUNTIFS(INDIRECT("Table1[Beginn]"),"&lt;="&amp;CI$1,INDIRECT("Table1[Ende]"),"&gt;="&amp;CI$1,INDIRECT("Table1[Obergruppe ATC-Code]"),Tabelle3!$A37)</f>
        <v>0</v>
      </c>
      <c r="CJ37">
        <f ca="1">COUNTIFS(INDIRECT("Table1[Beginn]"),"&lt;="&amp;CJ$1,INDIRECT("Table1[Ende]"),"&gt;="&amp;CJ$1,INDIRECT("Table1[Obergruppe ATC-Code]"),Tabelle3!$A37)</f>
        <v>0</v>
      </c>
      <c r="CK37">
        <f ca="1">COUNTIFS(INDIRECT("Table1[Beginn]"),"&lt;="&amp;CK$1,INDIRECT("Table1[Ende]"),"&gt;="&amp;CK$1,INDIRECT("Table1[Obergruppe ATC-Code]"),Tabelle3!$A37)</f>
        <v>0</v>
      </c>
      <c r="CL37">
        <f ca="1">COUNTIFS(INDIRECT("Table1[Beginn]"),"&lt;="&amp;CL$1,INDIRECT("Table1[Ende]"),"&gt;="&amp;CL$1,INDIRECT("Table1[Obergruppe ATC-Code]"),Tabelle3!$A37)</f>
        <v>0</v>
      </c>
      <c r="CM37">
        <f ca="1">COUNTIFS(INDIRECT("Table1[Beginn]"),"&lt;="&amp;CM$1,INDIRECT("Table1[Ende]"),"&gt;="&amp;CM$1,INDIRECT("Table1[Obergruppe ATC-Code]"),Tabelle3!$A37)</f>
        <v>0</v>
      </c>
      <c r="CN37">
        <f ca="1">COUNTIFS(INDIRECT("Table1[Beginn]"),"&lt;="&amp;CN$1,INDIRECT("Table1[Ende]"),"&gt;="&amp;CN$1,INDIRECT("Table1[Obergruppe ATC-Code]"),Tabelle3!$A37)</f>
        <v>0</v>
      </c>
      <c r="CO37">
        <f ca="1">COUNTIFS(INDIRECT("Table1[Beginn]"),"&lt;="&amp;CO$1,INDIRECT("Table1[Ende]"),"&gt;="&amp;CO$1,INDIRECT("Table1[Obergruppe ATC-Code]"),Tabelle3!$A37)</f>
        <v>0</v>
      </c>
      <c r="CP37">
        <f ca="1">COUNTIFS(INDIRECT("Table1[Beginn]"),"&lt;="&amp;CP$1,INDIRECT("Table1[Ende]"),"&gt;="&amp;CP$1,INDIRECT("Table1[Obergruppe ATC-Code]"),Tabelle3!$A37)</f>
        <v>0</v>
      </c>
      <c r="CQ37">
        <f ca="1">COUNTIFS(INDIRECT("Table1[Beginn]"),"&lt;="&amp;CQ$1,INDIRECT("Table1[Ende]"),"&gt;="&amp;CQ$1,INDIRECT("Table1[Obergruppe ATC-Code]"),Tabelle3!$A37)</f>
        <v>0</v>
      </c>
      <c r="CR37">
        <f ca="1">COUNTIFS(INDIRECT("Table1[Beginn]"),"&lt;="&amp;CR$1,INDIRECT("Table1[Ende]"),"&gt;="&amp;CR$1,INDIRECT("Table1[Obergruppe ATC-Code]"),Tabelle3!$A37)</f>
        <v>0</v>
      </c>
      <c r="CS37">
        <f ca="1">COUNTIFS(INDIRECT("Table1[Beginn]"),"&lt;="&amp;CS$1,INDIRECT("Table1[Ende]"),"&gt;="&amp;CS$1,INDIRECT("Table1[Obergruppe ATC-Code]"),Tabelle3!$A37)</f>
        <v>0</v>
      </c>
      <c r="CT37">
        <f ca="1">COUNTIFS(INDIRECT("Table1[Beginn]"),"&lt;="&amp;CT$1,INDIRECT("Table1[Ende]"),"&gt;="&amp;CT$1,INDIRECT("Table1[Obergruppe ATC-Code]"),Tabelle3!$A37)</f>
        <v>0</v>
      </c>
      <c r="CU37" s="56"/>
      <c r="CV37" s="56"/>
      <c r="CW37" s="56"/>
      <c r="CX37" s="56"/>
      <c r="CY37" s="56"/>
      <c r="CZ37" s="56"/>
      <c r="DA37" s="56"/>
      <c r="DB37" s="56"/>
      <c r="DC37" s="56"/>
      <c r="DD37" s="56"/>
      <c r="DE37" s="56"/>
      <c r="DF37" s="56"/>
      <c r="DG37" s="56"/>
      <c r="DH37" s="56"/>
    </row>
    <row r="38" spans="1:112" ht="18" customHeight="1">
      <c r="A38" s="7" t="s">
        <v>6845</v>
      </c>
      <c r="B38" s="8" t="s">
        <v>6846</v>
      </c>
      <c r="C38">
        <f ca="1">COUNTIFS(INDIRECT("Table1[Beginn]"),"&lt;="&amp;C$1,INDIRECT("Table1[Ende]"),"&gt;="&amp;C$1,INDIRECT("Table1[Obergruppe ATC-Code]"),Tabelle3!$A38)</f>
        <v>0</v>
      </c>
      <c r="D38">
        <f ca="1">COUNTIFS(INDIRECT("Table1[Beginn]"),"&lt;="&amp;D$1,INDIRECT("Table1[Ende]"),"&gt;="&amp;D$1,INDIRECT("Table1[Obergruppe ATC-Code]"),Tabelle3!$A38)</f>
        <v>0</v>
      </c>
      <c r="E38">
        <f ca="1">COUNTIFS(INDIRECT("Table1[Beginn]"),"&lt;="&amp;E$1,INDIRECT("Table1[Ende]"),"&gt;="&amp;E$1,INDIRECT("Table1[Obergruppe ATC-Code]"),Tabelle3!$A38)</f>
        <v>0</v>
      </c>
      <c r="F38">
        <f ca="1">COUNTIFS(INDIRECT("Table1[Beginn]"),"&lt;="&amp;F$1,INDIRECT("Table1[Ende]"),"&gt;="&amp;F$1,INDIRECT("Table1[Obergruppe ATC-Code]"),Tabelle3!$A38)</f>
        <v>0</v>
      </c>
      <c r="G38">
        <f ca="1">COUNTIFS(INDIRECT("Table1[Beginn]"),"&lt;="&amp;G$1,INDIRECT("Table1[Ende]"),"&gt;="&amp;G$1,INDIRECT("Table1[Obergruppe ATC-Code]"),Tabelle3!$A38)</f>
        <v>0</v>
      </c>
      <c r="H38">
        <f ca="1">COUNTIFS(INDIRECT("Table1[Beginn]"),"&lt;="&amp;H$1,INDIRECT("Table1[Ende]"),"&gt;="&amp;H$1,INDIRECT("Table1[Obergruppe ATC-Code]"),Tabelle3!$A38)</f>
        <v>0</v>
      </c>
      <c r="I38">
        <f ca="1">COUNTIFS(INDIRECT("Table1[Beginn]"),"&lt;="&amp;I$1,INDIRECT("Table1[Ende]"),"&gt;="&amp;I$1,INDIRECT("Table1[Obergruppe ATC-Code]"),Tabelle3!$A38)</f>
        <v>0</v>
      </c>
      <c r="J38">
        <f ca="1">COUNTIFS(INDIRECT("Table1[Beginn]"),"&lt;="&amp;J$1,INDIRECT("Table1[Ende]"),"&gt;="&amp;J$1,INDIRECT("Table1[Obergruppe ATC-Code]"),Tabelle3!$A38)</f>
        <v>0</v>
      </c>
      <c r="K38">
        <f ca="1">COUNTIFS(INDIRECT("Table1[Beginn]"),"&lt;="&amp;K$1,INDIRECT("Table1[Ende]"),"&gt;="&amp;K$1,INDIRECT("Table1[Obergruppe ATC-Code]"),Tabelle3!$A38)</f>
        <v>0</v>
      </c>
      <c r="L38">
        <f ca="1">COUNTIFS(INDIRECT("Table1[Beginn]"),"&lt;="&amp;L$1,INDIRECT("Table1[Ende]"),"&gt;="&amp;L$1,INDIRECT("Table1[Obergruppe ATC-Code]"),Tabelle3!$A38)</f>
        <v>0</v>
      </c>
      <c r="M38">
        <f ca="1">COUNTIFS(INDIRECT("Table1[Beginn]"),"&lt;="&amp;M$1,INDIRECT("Table1[Ende]"),"&gt;="&amp;M$1,INDIRECT("Table1[Obergruppe ATC-Code]"),Tabelle3!$A38)</f>
        <v>0</v>
      </c>
      <c r="N38">
        <f ca="1">COUNTIFS(INDIRECT("Table1[Beginn]"),"&lt;="&amp;N$1,INDIRECT("Table1[Ende]"),"&gt;="&amp;N$1,INDIRECT("Table1[Obergruppe ATC-Code]"),Tabelle3!$A38)</f>
        <v>0</v>
      </c>
      <c r="O38">
        <f ca="1">COUNTIFS(INDIRECT("Table1[Beginn]"),"&lt;="&amp;O$1,INDIRECT("Table1[Ende]"),"&gt;="&amp;O$1,INDIRECT("Table1[Obergruppe ATC-Code]"),Tabelle3!$A38)</f>
        <v>0</v>
      </c>
      <c r="P38">
        <f ca="1">COUNTIFS(INDIRECT("Table1[Beginn]"),"&lt;="&amp;P$1,INDIRECT("Table1[Ende]"),"&gt;="&amp;P$1,INDIRECT("Table1[Obergruppe ATC-Code]"),Tabelle3!$A38)</f>
        <v>0</v>
      </c>
      <c r="Q38">
        <f ca="1">COUNTIFS(INDIRECT("Table1[Beginn]"),"&lt;="&amp;Q$1,INDIRECT("Table1[Ende]"),"&gt;="&amp;Q$1,INDIRECT("Table1[Obergruppe ATC-Code]"),Tabelle3!$A38)</f>
        <v>0</v>
      </c>
      <c r="R38">
        <f ca="1">COUNTIFS(INDIRECT("Table1[Beginn]"),"&lt;="&amp;R$1,INDIRECT("Table1[Ende]"),"&gt;="&amp;R$1,INDIRECT("Table1[Obergruppe ATC-Code]"),Tabelle3!$A38)</f>
        <v>0</v>
      </c>
      <c r="S38">
        <f ca="1">COUNTIFS(INDIRECT("Table1[Beginn]"),"&lt;="&amp;S$1,INDIRECT("Table1[Ende]"),"&gt;="&amp;S$1,INDIRECT("Table1[Obergruppe ATC-Code]"),Tabelle3!$A38)</f>
        <v>0</v>
      </c>
      <c r="T38">
        <f ca="1">COUNTIFS(INDIRECT("Table1[Beginn]"),"&lt;="&amp;T$1,INDIRECT("Table1[Ende]"),"&gt;="&amp;T$1,INDIRECT("Table1[Obergruppe ATC-Code]"),Tabelle3!$A38)</f>
        <v>0</v>
      </c>
      <c r="U38">
        <f ca="1">COUNTIFS(INDIRECT("Table1[Beginn]"),"&lt;="&amp;U$1,INDIRECT("Table1[Ende]"),"&gt;="&amp;U$1,INDIRECT("Table1[Obergruppe ATC-Code]"),Tabelle3!$A38)</f>
        <v>0</v>
      </c>
      <c r="V38">
        <f ca="1">COUNTIFS(INDIRECT("Table1[Beginn]"),"&lt;="&amp;V$1,INDIRECT("Table1[Ende]"),"&gt;="&amp;V$1,INDIRECT("Table1[Obergruppe ATC-Code]"),Tabelle3!$A38)</f>
        <v>0</v>
      </c>
      <c r="W38">
        <f ca="1">COUNTIFS(INDIRECT("Table1[Beginn]"),"&lt;="&amp;W$1,INDIRECT("Table1[Ende]"),"&gt;="&amp;W$1,INDIRECT("Table1[Obergruppe ATC-Code]"),Tabelle3!$A38)</f>
        <v>0</v>
      </c>
      <c r="X38">
        <f ca="1">COUNTIFS(INDIRECT("Table1[Beginn]"),"&lt;="&amp;X$1,INDIRECT("Table1[Ende]"),"&gt;="&amp;X$1,INDIRECT("Table1[Obergruppe ATC-Code]"),Tabelle3!$A38)</f>
        <v>0</v>
      </c>
      <c r="Y38">
        <f ca="1">COUNTIFS(INDIRECT("Table1[Beginn]"),"&lt;="&amp;Y$1,INDIRECT("Table1[Ende]"),"&gt;="&amp;Y$1,INDIRECT("Table1[Obergruppe ATC-Code]"),Tabelle3!$A38)</f>
        <v>0</v>
      </c>
      <c r="Z38">
        <f ca="1">COUNTIFS(INDIRECT("Table1[Beginn]"),"&lt;="&amp;Z$1,INDIRECT("Table1[Ende]"),"&gt;="&amp;Z$1,INDIRECT("Table1[Obergruppe ATC-Code]"),Tabelle3!$A38)</f>
        <v>0</v>
      </c>
      <c r="AA38">
        <f ca="1">COUNTIFS(INDIRECT("Table1[Beginn]"),"&lt;="&amp;AA$1,INDIRECT("Table1[Ende]"),"&gt;="&amp;AA$1,INDIRECT("Table1[Obergruppe ATC-Code]"),Tabelle3!$A38)</f>
        <v>0</v>
      </c>
      <c r="AB38">
        <f ca="1">COUNTIFS(INDIRECT("Table1[Beginn]"),"&lt;="&amp;AB$1,INDIRECT("Table1[Ende]"),"&gt;="&amp;AB$1,INDIRECT("Table1[Obergruppe ATC-Code]"),Tabelle3!$A38)</f>
        <v>0</v>
      </c>
      <c r="AC38">
        <f ca="1">COUNTIFS(INDIRECT("Table1[Beginn]"),"&lt;="&amp;AC$1,INDIRECT("Table1[Ende]"),"&gt;="&amp;AC$1,INDIRECT("Table1[Obergruppe ATC-Code]"),Tabelle3!$A38)</f>
        <v>0</v>
      </c>
      <c r="AD38">
        <f ca="1">COUNTIFS(INDIRECT("Table1[Beginn]"),"&lt;="&amp;AD$1,INDIRECT("Table1[Ende]"),"&gt;="&amp;AD$1,INDIRECT("Table1[Obergruppe ATC-Code]"),Tabelle3!$A38)</f>
        <v>0</v>
      </c>
      <c r="AE38">
        <f ca="1">COUNTIFS(INDIRECT("Table1[Beginn]"),"&lt;="&amp;AE$1,INDIRECT("Table1[Ende]"),"&gt;="&amp;AE$1,INDIRECT("Table1[Obergruppe ATC-Code]"),Tabelle3!$A38)</f>
        <v>0</v>
      </c>
      <c r="AF38">
        <f ca="1">COUNTIFS(INDIRECT("Table1[Beginn]"),"&lt;="&amp;AF$1,INDIRECT("Table1[Ende]"),"&gt;="&amp;AF$1,INDIRECT("Table1[Obergruppe ATC-Code]"),Tabelle3!$A38)</f>
        <v>0</v>
      </c>
      <c r="AG38">
        <f ca="1">COUNTIFS(INDIRECT("Table1[Beginn]"),"&lt;="&amp;AG$1,INDIRECT("Table1[Ende]"),"&gt;="&amp;AG$1,INDIRECT("Table1[Obergruppe ATC-Code]"),Tabelle3!$A38)</f>
        <v>0</v>
      </c>
      <c r="AH38">
        <f ca="1">COUNTIFS(INDIRECT("Table1[Beginn]"),"&lt;="&amp;AH$1,INDIRECT("Table1[Ende]"),"&gt;="&amp;AH$1,INDIRECT("Table1[Obergruppe ATC-Code]"),Tabelle3!$A38)</f>
        <v>0</v>
      </c>
      <c r="AI38">
        <f ca="1">COUNTIFS(INDIRECT("Table1[Beginn]"),"&lt;="&amp;AI$1,INDIRECT("Table1[Ende]"),"&gt;="&amp;AI$1,INDIRECT("Table1[Obergruppe ATC-Code]"),Tabelle3!$A38)</f>
        <v>0</v>
      </c>
      <c r="AJ38">
        <f ca="1">COUNTIFS(INDIRECT("Table1[Beginn]"),"&lt;="&amp;AJ$1,INDIRECT("Table1[Ende]"),"&gt;="&amp;AJ$1,INDIRECT("Table1[Obergruppe ATC-Code]"),Tabelle3!$A38)</f>
        <v>0</v>
      </c>
      <c r="AK38">
        <f ca="1">COUNTIFS(INDIRECT("Table1[Beginn]"),"&lt;="&amp;AK$1,INDIRECT("Table1[Ende]"),"&gt;="&amp;AK$1,INDIRECT("Table1[Obergruppe ATC-Code]"),Tabelle3!$A38)</f>
        <v>0</v>
      </c>
      <c r="AL38">
        <f ca="1">COUNTIFS(INDIRECT("Table1[Beginn]"),"&lt;="&amp;AL$1,INDIRECT("Table1[Ende]"),"&gt;="&amp;AL$1,INDIRECT("Table1[Obergruppe ATC-Code]"),Tabelle3!$A38)</f>
        <v>0</v>
      </c>
      <c r="AM38">
        <f ca="1">COUNTIFS(INDIRECT("Table1[Beginn]"),"&lt;="&amp;AM$1,INDIRECT("Table1[Ende]"),"&gt;="&amp;AM$1,INDIRECT("Table1[Obergruppe ATC-Code]"),Tabelle3!$A38)</f>
        <v>0</v>
      </c>
      <c r="AN38">
        <f ca="1">COUNTIFS(INDIRECT("Table1[Beginn]"),"&lt;="&amp;AN$1,INDIRECT("Table1[Ende]"),"&gt;="&amp;AN$1,INDIRECT("Table1[Obergruppe ATC-Code]"),Tabelle3!$A38)</f>
        <v>0</v>
      </c>
      <c r="AO38">
        <f ca="1">COUNTIFS(INDIRECT("Table1[Beginn]"),"&lt;="&amp;AO$1,INDIRECT("Table1[Ende]"),"&gt;="&amp;AO$1,INDIRECT("Table1[Obergruppe ATC-Code]"),Tabelle3!$A38)</f>
        <v>1</v>
      </c>
      <c r="AP38">
        <f ca="1">COUNTIFS(INDIRECT("Table1[Beginn]"),"&lt;="&amp;AP$1,INDIRECT("Table1[Ende]"),"&gt;="&amp;AP$1,INDIRECT("Table1[Obergruppe ATC-Code]"),Tabelle3!$A38)</f>
        <v>2</v>
      </c>
      <c r="AQ38">
        <f ca="1">COUNTIFS(INDIRECT("Table1[Beginn]"),"&lt;="&amp;AQ$1,INDIRECT("Table1[Ende]"),"&gt;="&amp;AQ$1,INDIRECT("Table1[Obergruppe ATC-Code]"),Tabelle3!$A38)</f>
        <v>3</v>
      </c>
      <c r="AR38">
        <f ca="1">COUNTIFS(INDIRECT("Table1[Beginn]"),"&lt;="&amp;AR$1,INDIRECT("Table1[Ende]"),"&gt;="&amp;AR$1,INDIRECT("Table1[Obergruppe ATC-Code]"),Tabelle3!$A38)</f>
        <v>3</v>
      </c>
      <c r="AS38">
        <f ca="1">COUNTIFS(INDIRECT("Table1[Beginn]"),"&lt;="&amp;AS$1,INDIRECT("Table1[Ende]"),"&gt;="&amp;AS$1,INDIRECT("Table1[Obergruppe ATC-Code]"),Tabelle3!$A38)</f>
        <v>0</v>
      </c>
      <c r="AT38">
        <f ca="1">COUNTIFS(INDIRECT("Table1[Beginn]"),"&lt;="&amp;AT$1,INDIRECT("Table1[Ende]"),"&gt;="&amp;AT$1,INDIRECT("Table1[Obergruppe ATC-Code]"),Tabelle3!$A38)</f>
        <v>0</v>
      </c>
      <c r="AU38">
        <f ca="1">COUNTIFS(INDIRECT("Table1[Beginn]"),"&lt;="&amp;AU$1,INDIRECT("Table1[Ende]"),"&gt;="&amp;AU$1,INDIRECT("Table1[Obergruppe ATC-Code]"),Tabelle3!$A38)</f>
        <v>1</v>
      </c>
      <c r="AV38">
        <f ca="1">COUNTIFS(INDIRECT("Table1[Beginn]"),"&lt;="&amp;AV$1,INDIRECT("Table1[Ende]"),"&gt;="&amp;AV$1,INDIRECT("Table1[Obergruppe ATC-Code]"),Tabelle3!$A38)</f>
        <v>1</v>
      </c>
      <c r="AW38">
        <f ca="1">COUNTIFS(INDIRECT("Table1[Beginn]"),"&lt;="&amp;AW$1,INDIRECT("Table1[Ende]"),"&gt;="&amp;AW$1,INDIRECT("Table1[Obergruppe ATC-Code]"),Tabelle3!$A38)</f>
        <v>1</v>
      </c>
      <c r="AX38">
        <f ca="1">COUNTIFS(INDIRECT("Table1[Beginn]"),"&lt;="&amp;AX$1,INDIRECT("Table1[Ende]"),"&gt;="&amp;AX$1,INDIRECT("Table1[Obergruppe ATC-Code]"),Tabelle3!$A38)</f>
        <v>1</v>
      </c>
      <c r="AY38">
        <f ca="1">COUNTIFS(INDIRECT("Table1[Beginn]"),"&lt;="&amp;AY$1,INDIRECT("Table1[Ende]"),"&gt;="&amp;AY$1,INDIRECT("Table1[Obergruppe ATC-Code]"),Tabelle3!$A38)</f>
        <v>1</v>
      </c>
      <c r="AZ38">
        <f ca="1">COUNTIFS(INDIRECT("Table1[Beginn]"),"&lt;="&amp;AZ$1,INDIRECT("Table1[Ende]"),"&gt;="&amp;AZ$1,INDIRECT("Table1[Obergruppe ATC-Code]"),Tabelle3!$A38)</f>
        <v>0</v>
      </c>
      <c r="BA38">
        <f ca="1">COUNTIFS(INDIRECT("Table1[Beginn]"),"&lt;="&amp;BA$1,INDIRECT("Table1[Ende]"),"&gt;="&amp;BA$1,INDIRECT("Table1[Obergruppe ATC-Code]"),Tabelle3!$A38)</f>
        <v>0</v>
      </c>
      <c r="BB38">
        <f ca="1">COUNTIFS(INDIRECT("Table1[Beginn]"),"&lt;="&amp;BB$1,INDIRECT("Table1[Ende]"),"&gt;="&amp;BB$1,INDIRECT("Table1[Obergruppe ATC-Code]"),Tabelle3!$A38)</f>
        <v>0</v>
      </c>
      <c r="BC38">
        <f ca="1">COUNTIFS(INDIRECT("Table1[Beginn]"),"&lt;="&amp;BC$1,INDIRECT("Table1[Ende]"),"&gt;="&amp;BC$1,INDIRECT("Table1[Obergruppe ATC-Code]"),Tabelle3!$A38)</f>
        <v>0</v>
      </c>
      <c r="BD38">
        <f ca="1">COUNTIFS(INDIRECT("Table1[Beginn]"),"&lt;="&amp;BD$1,INDIRECT("Table1[Ende]"),"&gt;="&amp;BD$1,INDIRECT("Table1[Obergruppe ATC-Code]"),Tabelle3!$A38)</f>
        <v>1</v>
      </c>
      <c r="BE38">
        <f ca="1">COUNTIFS(INDIRECT("Table1[Beginn]"),"&lt;="&amp;BE$1,INDIRECT("Table1[Ende]"),"&gt;="&amp;BE$1,INDIRECT("Table1[Obergruppe ATC-Code]"),Tabelle3!$A38)</f>
        <v>1</v>
      </c>
      <c r="BF38">
        <f ca="1">COUNTIFS(INDIRECT("Table1[Beginn]"),"&lt;="&amp;BF$1,INDIRECT("Table1[Ende]"),"&gt;="&amp;BF$1,INDIRECT("Table1[Obergruppe ATC-Code]"),Tabelle3!$A38)</f>
        <v>0</v>
      </c>
      <c r="BG38">
        <f ca="1">COUNTIFS(INDIRECT("Table1[Beginn]"),"&lt;="&amp;BG$1,INDIRECT("Table1[Ende]"),"&gt;="&amp;BG$1,INDIRECT("Table1[Obergruppe ATC-Code]"),Tabelle3!$A38)</f>
        <v>0</v>
      </c>
      <c r="BH38">
        <f ca="1">COUNTIFS(INDIRECT("Table1[Beginn]"),"&lt;="&amp;BH$1,INDIRECT("Table1[Ende]"),"&gt;="&amp;BH$1,INDIRECT("Table1[Obergruppe ATC-Code]"),Tabelle3!$A38)</f>
        <v>0</v>
      </c>
      <c r="BI38">
        <f ca="1">COUNTIFS(INDIRECT("Table1[Beginn]"),"&lt;="&amp;BI$1,INDIRECT("Table1[Ende]"),"&gt;="&amp;BI$1,INDIRECT("Table1[Obergruppe ATC-Code]"),Tabelle3!$A38)</f>
        <v>1</v>
      </c>
      <c r="BJ38">
        <f ca="1">COUNTIFS(INDIRECT("Table1[Beginn]"),"&lt;="&amp;BJ$1,INDIRECT("Table1[Ende]"),"&gt;="&amp;BJ$1,INDIRECT("Table1[Obergruppe ATC-Code]"),Tabelle3!$A38)</f>
        <v>0</v>
      </c>
      <c r="BK38">
        <f ca="1">COUNTIFS(INDIRECT("Table1[Beginn]"),"&lt;="&amp;BK$1,INDIRECT("Table1[Ende]"),"&gt;="&amp;BK$1,INDIRECT("Table1[Obergruppe ATC-Code]"),Tabelle3!$A38)</f>
        <v>0</v>
      </c>
      <c r="BL38">
        <f ca="1">COUNTIFS(INDIRECT("Table1[Beginn]"),"&lt;="&amp;BL$1,INDIRECT("Table1[Ende]"),"&gt;="&amp;BL$1,INDIRECT("Table1[Obergruppe ATC-Code]"),Tabelle3!$A38)</f>
        <v>0</v>
      </c>
      <c r="BM38">
        <f ca="1">COUNTIFS(INDIRECT("Table1[Beginn]"),"&lt;="&amp;BM$1,INDIRECT("Table1[Ende]"),"&gt;="&amp;BM$1,INDIRECT("Table1[Obergruppe ATC-Code]"),Tabelle3!$A38)</f>
        <v>0</v>
      </c>
      <c r="BN38">
        <f ca="1">COUNTIFS(INDIRECT("Table1[Beginn]"),"&lt;="&amp;BN$1,INDIRECT("Table1[Ende]"),"&gt;="&amp;BN$1,INDIRECT("Table1[Obergruppe ATC-Code]"),Tabelle3!$A38)</f>
        <v>0</v>
      </c>
      <c r="BO38">
        <f ca="1">COUNTIFS(INDIRECT("Table1[Beginn]"),"&lt;="&amp;BO$1,INDIRECT("Table1[Ende]"),"&gt;="&amp;BO$1,INDIRECT("Table1[Obergruppe ATC-Code]"),Tabelle3!$A38)</f>
        <v>0</v>
      </c>
      <c r="BP38">
        <f ca="1">COUNTIFS(INDIRECT("Table1[Beginn]"),"&lt;="&amp;BP$1,INDIRECT("Table1[Ende]"),"&gt;="&amp;BP$1,INDIRECT("Table1[Obergruppe ATC-Code]"),Tabelle3!$A38)</f>
        <v>1</v>
      </c>
      <c r="BQ38">
        <f ca="1">COUNTIFS(INDIRECT("Table1[Beginn]"),"&lt;="&amp;BQ$1,INDIRECT("Table1[Ende]"),"&gt;="&amp;BQ$1,INDIRECT("Table1[Obergruppe ATC-Code]"),Tabelle3!$A38)</f>
        <v>1</v>
      </c>
      <c r="BR38">
        <f ca="1">COUNTIFS(INDIRECT("Table1[Beginn]"),"&lt;="&amp;BR$1,INDIRECT("Table1[Ende]"),"&gt;="&amp;BR$1,INDIRECT("Table1[Obergruppe ATC-Code]"),Tabelle3!$A38)</f>
        <v>1</v>
      </c>
      <c r="BS38">
        <f ca="1">COUNTIFS(INDIRECT("Table1[Beginn]"),"&lt;="&amp;BS$1,INDIRECT("Table1[Ende]"),"&gt;="&amp;BS$1,INDIRECT("Table1[Obergruppe ATC-Code]"),Tabelle3!$A38)</f>
        <v>0</v>
      </c>
      <c r="BT38">
        <f ca="1">COUNTIFS(INDIRECT("Table1[Beginn]"),"&lt;="&amp;BT$1,INDIRECT("Table1[Ende]"),"&gt;="&amp;BT$1,INDIRECT("Table1[Obergruppe ATC-Code]"),Tabelle3!$A38)</f>
        <v>0</v>
      </c>
      <c r="BU38">
        <f ca="1">COUNTIFS(INDIRECT("Table1[Beginn]"),"&lt;="&amp;BU$1,INDIRECT("Table1[Ende]"),"&gt;="&amp;BU$1,INDIRECT("Table1[Obergruppe ATC-Code]"),Tabelle3!$A38)</f>
        <v>0</v>
      </c>
      <c r="BV38">
        <f ca="1">COUNTIFS(INDIRECT("Table1[Beginn]"),"&lt;="&amp;BV$1,INDIRECT("Table1[Ende]"),"&gt;="&amp;BV$1,INDIRECT("Table1[Obergruppe ATC-Code]"),Tabelle3!$A38)</f>
        <v>0</v>
      </c>
      <c r="BW38">
        <f ca="1">COUNTIFS(INDIRECT("Table1[Beginn]"),"&lt;="&amp;BW$1,INDIRECT("Table1[Ende]"),"&gt;="&amp;BW$1,INDIRECT("Table1[Obergruppe ATC-Code]"),Tabelle3!$A38)</f>
        <v>0</v>
      </c>
      <c r="BX38">
        <f ca="1">COUNTIFS(INDIRECT("Table1[Beginn]"),"&lt;="&amp;BX$1,INDIRECT("Table1[Ende]"),"&gt;="&amp;BX$1,INDIRECT("Table1[Obergruppe ATC-Code]"),Tabelle3!$A38)</f>
        <v>0</v>
      </c>
      <c r="BY38">
        <f ca="1">COUNTIFS(INDIRECT("Table1[Beginn]"),"&lt;="&amp;BY$1,INDIRECT("Table1[Ende]"),"&gt;="&amp;BY$1,INDIRECT("Table1[Obergruppe ATC-Code]"),Tabelle3!$A38)</f>
        <v>1</v>
      </c>
      <c r="BZ38">
        <f ca="1">COUNTIFS(INDIRECT("Table1[Beginn]"),"&lt;="&amp;BZ$1,INDIRECT("Table1[Ende]"),"&gt;="&amp;BZ$1,INDIRECT("Table1[Obergruppe ATC-Code]"),Tabelle3!$A38)</f>
        <v>1</v>
      </c>
      <c r="CA38">
        <f ca="1">COUNTIFS(INDIRECT("Table1[Beginn]"),"&lt;="&amp;CA$1,INDIRECT("Table1[Ende]"),"&gt;="&amp;CA$1,INDIRECT("Table1[Obergruppe ATC-Code]"),Tabelle3!$A38)</f>
        <v>2</v>
      </c>
      <c r="CB38">
        <f ca="1">COUNTIFS(INDIRECT("Table1[Beginn]"),"&lt;="&amp;CB$1,INDIRECT("Table1[Ende]"),"&gt;="&amp;CB$1,INDIRECT("Table1[Obergruppe ATC-Code]"),Tabelle3!$A38)</f>
        <v>2</v>
      </c>
      <c r="CC38">
        <f ca="1">COUNTIFS(INDIRECT("Table1[Beginn]"),"&lt;="&amp;CC$1,INDIRECT("Table1[Ende]"),"&gt;="&amp;CC$1,INDIRECT("Table1[Obergruppe ATC-Code]"),Tabelle3!$A38)</f>
        <v>3</v>
      </c>
      <c r="CD38">
        <f ca="1">COUNTIFS(INDIRECT("Table1[Beginn]"),"&lt;="&amp;CD$1,INDIRECT("Table1[Ende]"),"&gt;="&amp;CD$1,INDIRECT("Table1[Obergruppe ATC-Code]"),Tabelle3!$A38)</f>
        <v>2</v>
      </c>
      <c r="CE38">
        <f ca="1">COUNTIFS(INDIRECT("Table1[Beginn]"),"&lt;="&amp;CE$1,INDIRECT("Table1[Ende]"),"&gt;="&amp;CE$1,INDIRECT("Table1[Obergruppe ATC-Code]"),Tabelle3!$A38)</f>
        <v>0</v>
      </c>
      <c r="CF38">
        <f ca="1">COUNTIFS(INDIRECT("Table1[Beginn]"),"&lt;="&amp;CF$1,INDIRECT("Table1[Ende]"),"&gt;="&amp;CF$1,INDIRECT("Table1[Obergruppe ATC-Code]"),Tabelle3!$A38)</f>
        <v>1</v>
      </c>
      <c r="CG38">
        <f ca="1">COUNTIFS(INDIRECT("Table1[Beginn]"),"&lt;="&amp;CG$1,INDIRECT("Table1[Ende]"),"&gt;="&amp;CG$1,INDIRECT("Table1[Obergruppe ATC-Code]"),Tabelle3!$A38)</f>
        <v>1</v>
      </c>
      <c r="CH38">
        <f ca="1">COUNTIFS(INDIRECT("Table1[Beginn]"),"&lt;="&amp;CH$1,INDIRECT("Table1[Ende]"),"&gt;="&amp;CH$1,INDIRECT("Table1[Obergruppe ATC-Code]"),Tabelle3!$A38)</f>
        <v>1</v>
      </c>
      <c r="CI38">
        <f ca="1">COUNTIFS(INDIRECT("Table1[Beginn]"),"&lt;="&amp;CI$1,INDIRECT("Table1[Ende]"),"&gt;="&amp;CI$1,INDIRECT("Table1[Obergruppe ATC-Code]"),Tabelle3!$A38)</f>
        <v>1</v>
      </c>
      <c r="CJ38">
        <f ca="1">COUNTIFS(INDIRECT("Table1[Beginn]"),"&lt;="&amp;CJ$1,INDIRECT("Table1[Ende]"),"&gt;="&amp;CJ$1,INDIRECT("Table1[Obergruppe ATC-Code]"),Tabelle3!$A38)</f>
        <v>1</v>
      </c>
      <c r="CK38">
        <f ca="1">COUNTIFS(INDIRECT("Table1[Beginn]"),"&lt;="&amp;CK$1,INDIRECT("Table1[Ende]"),"&gt;="&amp;CK$1,INDIRECT("Table1[Obergruppe ATC-Code]"),Tabelle3!$A38)</f>
        <v>0</v>
      </c>
      <c r="CL38">
        <f ca="1">COUNTIFS(INDIRECT("Table1[Beginn]"),"&lt;="&amp;CL$1,INDIRECT("Table1[Ende]"),"&gt;="&amp;CL$1,INDIRECT("Table1[Obergruppe ATC-Code]"),Tabelle3!$A38)</f>
        <v>0</v>
      </c>
      <c r="CM38">
        <f ca="1">COUNTIFS(INDIRECT("Table1[Beginn]"),"&lt;="&amp;CM$1,INDIRECT("Table1[Ende]"),"&gt;="&amp;CM$1,INDIRECT("Table1[Obergruppe ATC-Code]"),Tabelle3!$A38)</f>
        <v>0</v>
      </c>
      <c r="CN38">
        <f ca="1">COUNTIFS(INDIRECT("Table1[Beginn]"),"&lt;="&amp;CN$1,INDIRECT("Table1[Ende]"),"&gt;="&amp;CN$1,INDIRECT("Table1[Obergruppe ATC-Code]"),Tabelle3!$A38)</f>
        <v>0</v>
      </c>
      <c r="CO38">
        <f ca="1">COUNTIFS(INDIRECT("Table1[Beginn]"),"&lt;="&amp;CO$1,INDIRECT("Table1[Ende]"),"&gt;="&amp;CO$1,INDIRECT("Table1[Obergruppe ATC-Code]"),Tabelle3!$A38)</f>
        <v>0</v>
      </c>
      <c r="CP38">
        <f ca="1">COUNTIFS(INDIRECT("Table1[Beginn]"),"&lt;="&amp;CP$1,INDIRECT("Table1[Ende]"),"&gt;="&amp;CP$1,INDIRECT("Table1[Obergruppe ATC-Code]"),Tabelle3!$A38)</f>
        <v>0</v>
      </c>
      <c r="CQ38">
        <f ca="1">COUNTIFS(INDIRECT("Table1[Beginn]"),"&lt;="&amp;CQ$1,INDIRECT("Table1[Ende]"),"&gt;="&amp;CQ$1,INDIRECT("Table1[Obergruppe ATC-Code]"),Tabelle3!$A38)</f>
        <v>0</v>
      </c>
      <c r="CR38">
        <f ca="1">COUNTIFS(INDIRECT("Table1[Beginn]"),"&lt;="&amp;CR$1,INDIRECT("Table1[Ende]"),"&gt;="&amp;CR$1,INDIRECT("Table1[Obergruppe ATC-Code]"),Tabelle3!$A38)</f>
        <v>0</v>
      </c>
      <c r="CS38">
        <f ca="1">COUNTIFS(INDIRECT("Table1[Beginn]"),"&lt;="&amp;CS$1,INDIRECT("Table1[Ende]"),"&gt;="&amp;CS$1,INDIRECT("Table1[Obergruppe ATC-Code]"),Tabelle3!$A38)</f>
        <v>0</v>
      </c>
      <c r="CT38">
        <f ca="1">COUNTIFS(INDIRECT("Table1[Beginn]"),"&lt;="&amp;CT$1,INDIRECT("Table1[Ende]"),"&gt;="&amp;CT$1,INDIRECT("Table1[Obergruppe ATC-Code]"),Tabelle3!$A38)</f>
        <v>0</v>
      </c>
      <c r="CU38" s="56"/>
      <c r="CV38" s="56"/>
      <c r="CW38" s="56"/>
      <c r="CX38" s="56"/>
      <c r="CY38" s="56"/>
      <c r="CZ38" s="56"/>
      <c r="DA38" s="56"/>
      <c r="DB38" s="56"/>
      <c r="DC38" s="56"/>
      <c r="DD38" s="56"/>
      <c r="DE38" s="56"/>
      <c r="DF38" s="56"/>
      <c r="DG38" s="56"/>
      <c r="DH38" s="56"/>
    </row>
    <row r="39" spans="1:112" ht="18" customHeight="1">
      <c r="A39" s="9" t="s">
        <v>6847</v>
      </c>
      <c r="B39" s="10" t="s">
        <v>6848</v>
      </c>
      <c r="C39">
        <f ca="1">COUNTIFS(INDIRECT("Table1[Beginn]"),"&lt;="&amp;C$1,INDIRECT("Table1[Ende]"),"&gt;="&amp;C$1,INDIRECT("Table1[Obergruppe ATC-Code]"),Tabelle3!$A39)</f>
        <v>0</v>
      </c>
      <c r="D39">
        <f ca="1">COUNTIFS(INDIRECT("Table1[Beginn]"),"&lt;="&amp;D$1,INDIRECT("Table1[Ende]"),"&gt;="&amp;D$1,INDIRECT("Table1[Obergruppe ATC-Code]"),Tabelle3!$A39)</f>
        <v>0</v>
      </c>
      <c r="E39">
        <f ca="1">COUNTIFS(INDIRECT("Table1[Beginn]"),"&lt;="&amp;E$1,INDIRECT("Table1[Ende]"),"&gt;="&amp;E$1,INDIRECT("Table1[Obergruppe ATC-Code]"),Tabelle3!$A39)</f>
        <v>0</v>
      </c>
      <c r="F39">
        <f ca="1">COUNTIFS(INDIRECT("Table1[Beginn]"),"&lt;="&amp;F$1,INDIRECT("Table1[Ende]"),"&gt;="&amp;F$1,INDIRECT("Table1[Obergruppe ATC-Code]"),Tabelle3!$A39)</f>
        <v>2</v>
      </c>
      <c r="G39">
        <f ca="1">COUNTIFS(INDIRECT("Table1[Beginn]"),"&lt;="&amp;G$1,INDIRECT("Table1[Ende]"),"&gt;="&amp;G$1,INDIRECT("Table1[Obergruppe ATC-Code]"),Tabelle3!$A39)</f>
        <v>2</v>
      </c>
      <c r="H39">
        <f ca="1">COUNTIFS(INDIRECT("Table1[Beginn]"),"&lt;="&amp;H$1,INDIRECT("Table1[Ende]"),"&gt;="&amp;H$1,INDIRECT("Table1[Obergruppe ATC-Code]"),Tabelle3!$A39)</f>
        <v>2</v>
      </c>
      <c r="I39">
        <f ca="1">COUNTIFS(INDIRECT("Table1[Beginn]"),"&lt;="&amp;I$1,INDIRECT("Table1[Ende]"),"&gt;="&amp;I$1,INDIRECT("Table1[Obergruppe ATC-Code]"),Tabelle3!$A39)</f>
        <v>2</v>
      </c>
      <c r="J39">
        <f ca="1">COUNTIFS(INDIRECT("Table1[Beginn]"),"&lt;="&amp;J$1,INDIRECT("Table1[Ende]"),"&gt;="&amp;J$1,INDIRECT("Table1[Obergruppe ATC-Code]"),Tabelle3!$A39)</f>
        <v>2</v>
      </c>
      <c r="K39">
        <f ca="1">COUNTIFS(INDIRECT("Table1[Beginn]"),"&lt;="&amp;K$1,INDIRECT("Table1[Ende]"),"&gt;="&amp;K$1,INDIRECT("Table1[Obergruppe ATC-Code]"),Tabelle3!$A39)</f>
        <v>2</v>
      </c>
      <c r="L39">
        <f ca="1">COUNTIFS(INDIRECT("Table1[Beginn]"),"&lt;="&amp;L$1,INDIRECT("Table1[Ende]"),"&gt;="&amp;L$1,INDIRECT("Table1[Obergruppe ATC-Code]"),Tabelle3!$A39)</f>
        <v>2</v>
      </c>
      <c r="M39">
        <f ca="1">COUNTIFS(INDIRECT("Table1[Beginn]"),"&lt;="&amp;M$1,INDIRECT("Table1[Ende]"),"&gt;="&amp;M$1,INDIRECT("Table1[Obergruppe ATC-Code]"),Tabelle3!$A39)</f>
        <v>2</v>
      </c>
      <c r="N39">
        <f ca="1">COUNTIFS(INDIRECT("Table1[Beginn]"),"&lt;="&amp;N$1,INDIRECT("Table1[Ende]"),"&gt;="&amp;N$1,INDIRECT("Table1[Obergruppe ATC-Code]"),Tabelle3!$A39)</f>
        <v>2</v>
      </c>
      <c r="O39">
        <f ca="1">COUNTIFS(INDIRECT("Table1[Beginn]"),"&lt;="&amp;O$1,INDIRECT("Table1[Ende]"),"&gt;="&amp;O$1,INDIRECT("Table1[Obergruppe ATC-Code]"),Tabelle3!$A39)</f>
        <v>2</v>
      </c>
      <c r="P39">
        <f ca="1">COUNTIFS(INDIRECT("Table1[Beginn]"),"&lt;="&amp;P$1,INDIRECT("Table1[Ende]"),"&gt;="&amp;P$1,INDIRECT("Table1[Obergruppe ATC-Code]"),Tabelle3!$A39)</f>
        <v>2</v>
      </c>
      <c r="Q39">
        <f ca="1">COUNTIFS(INDIRECT("Table1[Beginn]"),"&lt;="&amp;Q$1,INDIRECT("Table1[Ende]"),"&gt;="&amp;Q$1,INDIRECT("Table1[Obergruppe ATC-Code]"),Tabelle3!$A39)</f>
        <v>2</v>
      </c>
      <c r="R39">
        <f ca="1">COUNTIFS(INDIRECT("Table1[Beginn]"),"&lt;="&amp;R$1,INDIRECT("Table1[Ende]"),"&gt;="&amp;R$1,INDIRECT("Table1[Obergruppe ATC-Code]"),Tabelle3!$A39)</f>
        <v>2</v>
      </c>
      <c r="S39">
        <f ca="1">COUNTIFS(INDIRECT("Table1[Beginn]"),"&lt;="&amp;S$1,INDIRECT("Table1[Ende]"),"&gt;="&amp;S$1,INDIRECT("Table1[Obergruppe ATC-Code]"),Tabelle3!$A39)</f>
        <v>2</v>
      </c>
      <c r="T39">
        <f ca="1">COUNTIFS(INDIRECT("Table1[Beginn]"),"&lt;="&amp;T$1,INDIRECT("Table1[Ende]"),"&gt;="&amp;T$1,INDIRECT("Table1[Obergruppe ATC-Code]"),Tabelle3!$A39)</f>
        <v>2</v>
      </c>
      <c r="U39">
        <f ca="1">COUNTIFS(INDIRECT("Table1[Beginn]"),"&lt;="&amp;U$1,INDIRECT("Table1[Ende]"),"&gt;="&amp;U$1,INDIRECT("Table1[Obergruppe ATC-Code]"),Tabelle3!$A39)</f>
        <v>2</v>
      </c>
      <c r="V39">
        <f ca="1">COUNTIFS(INDIRECT("Table1[Beginn]"),"&lt;="&amp;V$1,INDIRECT("Table1[Ende]"),"&gt;="&amp;V$1,INDIRECT("Table1[Obergruppe ATC-Code]"),Tabelle3!$A39)</f>
        <v>2</v>
      </c>
      <c r="W39">
        <f ca="1">COUNTIFS(INDIRECT("Table1[Beginn]"),"&lt;="&amp;W$1,INDIRECT("Table1[Ende]"),"&gt;="&amp;W$1,INDIRECT("Table1[Obergruppe ATC-Code]"),Tabelle3!$A39)</f>
        <v>2</v>
      </c>
      <c r="X39">
        <f ca="1">COUNTIFS(INDIRECT("Table1[Beginn]"),"&lt;="&amp;X$1,INDIRECT("Table1[Ende]"),"&gt;="&amp;X$1,INDIRECT("Table1[Obergruppe ATC-Code]"),Tabelle3!$A39)</f>
        <v>2</v>
      </c>
      <c r="Y39">
        <f ca="1">COUNTIFS(INDIRECT("Table1[Beginn]"),"&lt;="&amp;Y$1,INDIRECT("Table1[Ende]"),"&gt;="&amp;Y$1,INDIRECT("Table1[Obergruppe ATC-Code]"),Tabelle3!$A39)</f>
        <v>2</v>
      </c>
      <c r="Z39">
        <f ca="1">COUNTIFS(INDIRECT("Table1[Beginn]"),"&lt;="&amp;Z$1,INDIRECT("Table1[Ende]"),"&gt;="&amp;Z$1,INDIRECT("Table1[Obergruppe ATC-Code]"),Tabelle3!$A39)</f>
        <v>2</v>
      </c>
      <c r="AA39">
        <f ca="1">COUNTIFS(INDIRECT("Table1[Beginn]"),"&lt;="&amp;AA$1,INDIRECT("Table1[Ende]"),"&gt;="&amp;AA$1,INDIRECT("Table1[Obergruppe ATC-Code]"),Tabelle3!$A39)</f>
        <v>2</v>
      </c>
      <c r="AB39">
        <f ca="1">COUNTIFS(INDIRECT("Table1[Beginn]"),"&lt;="&amp;AB$1,INDIRECT("Table1[Ende]"),"&gt;="&amp;AB$1,INDIRECT("Table1[Obergruppe ATC-Code]"),Tabelle3!$A39)</f>
        <v>2</v>
      </c>
      <c r="AC39">
        <f ca="1">COUNTIFS(INDIRECT("Table1[Beginn]"),"&lt;="&amp;AC$1,INDIRECT("Table1[Ende]"),"&gt;="&amp;AC$1,INDIRECT("Table1[Obergruppe ATC-Code]"),Tabelle3!$A39)</f>
        <v>2</v>
      </c>
      <c r="AD39">
        <f ca="1">COUNTIFS(INDIRECT("Table1[Beginn]"),"&lt;="&amp;AD$1,INDIRECT("Table1[Ende]"),"&gt;="&amp;AD$1,INDIRECT("Table1[Obergruppe ATC-Code]"),Tabelle3!$A39)</f>
        <v>2</v>
      </c>
      <c r="AE39">
        <f ca="1">COUNTIFS(INDIRECT("Table1[Beginn]"),"&lt;="&amp;AE$1,INDIRECT("Table1[Ende]"),"&gt;="&amp;AE$1,INDIRECT("Table1[Obergruppe ATC-Code]"),Tabelle3!$A39)</f>
        <v>2</v>
      </c>
      <c r="AF39">
        <f ca="1">COUNTIFS(INDIRECT("Table1[Beginn]"),"&lt;="&amp;AF$1,INDIRECT("Table1[Ende]"),"&gt;="&amp;AF$1,INDIRECT("Table1[Obergruppe ATC-Code]"),Tabelle3!$A39)</f>
        <v>2</v>
      </c>
      <c r="AG39">
        <f ca="1">COUNTIFS(INDIRECT("Table1[Beginn]"),"&lt;="&amp;AG$1,INDIRECT("Table1[Ende]"),"&gt;="&amp;AG$1,INDIRECT("Table1[Obergruppe ATC-Code]"),Tabelle3!$A39)</f>
        <v>2</v>
      </c>
      <c r="AH39">
        <f ca="1">COUNTIFS(INDIRECT("Table1[Beginn]"),"&lt;="&amp;AH$1,INDIRECT("Table1[Ende]"),"&gt;="&amp;AH$1,INDIRECT("Table1[Obergruppe ATC-Code]"),Tabelle3!$A39)</f>
        <v>2</v>
      </c>
      <c r="AI39">
        <f ca="1">COUNTIFS(INDIRECT("Table1[Beginn]"),"&lt;="&amp;AI$1,INDIRECT("Table1[Ende]"),"&gt;="&amp;AI$1,INDIRECT("Table1[Obergruppe ATC-Code]"),Tabelle3!$A39)</f>
        <v>2</v>
      </c>
      <c r="AJ39">
        <f ca="1">COUNTIFS(INDIRECT("Table1[Beginn]"),"&lt;="&amp;AJ$1,INDIRECT("Table1[Ende]"),"&gt;="&amp;AJ$1,INDIRECT("Table1[Obergruppe ATC-Code]"),Tabelle3!$A39)</f>
        <v>2</v>
      </c>
      <c r="AK39">
        <f ca="1">COUNTIFS(INDIRECT("Table1[Beginn]"),"&lt;="&amp;AK$1,INDIRECT("Table1[Ende]"),"&gt;="&amp;AK$1,INDIRECT("Table1[Obergruppe ATC-Code]"),Tabelle3!$A39)</f>
        <v>3</v>
      </c>
      <c r="AL39">
        <f ca="1">COUNTIFS(INDIRECT("Table1[Beginn]"),"&lt;="&amp;AL$1,INDIRECT("Table1[Ende]"),"&gt;="&amp;AL$1,INDIRECT("Table1[Obergruppe ATC-Code]"),Tabelle3!$A39)</f>
        <v>3</v>
      </c>
      <c r="AM39">
        <f ca="1">COUNTIFS(INDIRECT("Table1[Beginn]"),"&lt;="&amp;AM$1,INDIRECT("Table1[Ende]"),"&gt;="&amp;AM$1,INDIRECT("Table1[Obergruppe ATC-Code]"),Tabelle3!$A39)</f>
        <v>3</v>
      </c>
      <c r="AN39">
        <f ca="1">COUNTIFS(INDIRECT("Table1[Beginn]"),"&lt;="&amp;AN$1,INDIRECT("Table1[Ende]"),"&gt;="&amp;AN$1,INDIRECT("Table1[Obergruppe ATC-Code]"),Tabelle3!$A39)</f>
        <v>3</v>
      </c>
      <c r="AO39">
        <f ca="1">COUNTIFS(INDIRECT("Table1[Beginn]"),"&lt;="&amp;AO$1,INDIRECT("Table1[Ende]"),"&gt;="&amp;AO$1,INDIRECT("Table1[Obergruppe ATC-Code]"),Tabelle3!$A39)</f>
        <v>3</v>
      </c>
      <c r="AP39">
        <f ca="1">COUNTIFS(INDIRECT("Table1[Beginn]"),"&lt;="&amp;AP$1,INDIRECT("Table1[Ende]"),"&gt;="&amp;AP$1,INDIRECT("Table1[Obergruppe ATC-Code]"),Tabelle3!$A39)</f>
        <v>3</v>
      </c>
      <c r="AQ39">
        <f ca="1">COUNTIFS(INDIRECT("Table1[Beginn]"),"&lt;="&amp;AQ$1,INDIRECT("Table1[Ende]"),"&gt;="&amp;AQ$1,INDIRECT("Table1[Obergruppe ATC-Code]"),Tabelle3!$A39)</f>
        <v>3</v>
      </c>
      <c r="AR39">
        <f ca="1">COUNTIFS(INDIRECT("Table1[Beginn]"),"&lt;="&amp;AR$1,INDIRECT("Table1[Ende]"),"&gt;="&amp;AR$1,INDIRECT("Table1[Obergruppe ATC-Code]"),Tabelle3!$A39)</f>
        <v>3</v>
      </c>
      <c r="AS39">
        <f ca="1">COUNTIFS(INDIRECT("Table1[Beginn]"),"&lt;="&amp;AS$1,INDIRECT("Table1[Ende]"),"&gt;="&amp;AS$1,INDIRECT("Table1[Obergruppe ATC-Code]"),Tabelle3!$A39)</f>
        <v>3</v>
      </c>
      <c r="AT39">
        <f ca="1">COUNTIFS(INDIRECT("Table1[Beginn]"),"&lt;="&amp;AT$1,INDIRECT("Table1[Ende]"),"&gt;="&amp;AT$1,INDIRECT("Table1[Obergruppe ATC-Code]"),Tabelle3!$A39)</f>
        <v>4</v>
      </c>
      <c r="AU39">
        <f ca="1">COUNTIFS(INDIRECT("Table1[Beginn]"),"&lt;="&amp;AU$1,INDIRECT("Table1[Ende]"),"&gt;="&amp;AU$1,INDIRECT("Table1[Obergruppe ATC-Code]"),Tabelle3!$A39)</f>
        <v>3</v>
      </c>
      <c r="AV39">
        <f ca="1">COUNTIFS(INDIRECT("Table1[Beginn]"),"&lt;="&amp;AV$1,INDIRECT("Table1[Ende]"),"&gt;="&amp;AV$1,INDIRECT("Table1[Obergruppe ATC-Code]"),Tabelle3!$A39)</f>
        <v>3</v>
      </c>
      <c r="AW39">
        <f ca="1">COUNTIFS(INDIRECT("Table1[Beginn]"),"&lt;="&amp;AW$1,INDIRECT("Table1[Ende]"),"&gt;="&amp;AW$1,INDIRECT("Table1[Obergruppe ATC-Code]"),Tabelle3!$A39)</f>
        <v>3</v>
      </c>
      <c r="AX39">
        <f ca="1">COUNTIFS(INDIRECT("Table1[Beginn]"),"&lt;="&amp;AX$1,INDIRECT("Table1[Ende]"),"&gt;="&amp;AX$1,INDIRECT("Table1[Obergruppe ATC-Code]"),Tabelle3!$A39)</f>
        <v>3</v>
      </c>
      <c r="AY39">
        <f ca="1">COUNTIFS(INDIRECT("Table1[Beginn]"),"&lt;="&amp;AY$1,INDIRECT("Table1[Ende]"),"&gt;="&amp;AY$1,INDIRECT("Table1[Obergruppe ATC-Code]"),Tabelle3!$A39)</f>
        <v>3</v>
      </c>
      <c r="AZ39">
        <f ca="1">COUNTIFS(INDIRECT("Table1[Beginn]"),"&lt;="&amp;AZ$1,INDIRECT("Table1[Ende]"),"&gt;="&amp;AZ$1,INDIRECT("Table1[Obergruppe ATC-Code]"),Tabelle3!$A39)</f>
        <v>4</v>
      </c>
      <c r="BA39">
        <f ca="1">COUNTIFS(INDIRECT("Table1[Beginn]"),"&lt;="&amp;BA$1,INDIRECT("Table1[Ende]"),"&gt;="&amp;BA$1,INDIRECT("Table1[Obergruppe ATC-Code]"),Tabelle3!$A39)</f>
        <v>3</v>
      </c>
      <c r="BB39">
        <f ca="1">COUNTIFS(INDIRECT("Table1[Beginn]"),"&lt;="&amp;BB$1,INDIRECT("Table1[Ende]"),"&gt;="&amp;BB$1,INDIRECT("Table1[Obergruppe ATC-Code]"),Tabelle3!$A39)</f>
        <v>3</v>
      </c>
      <c r="BC39">
        <f ca="1">COUNTIFS(INDIRECT("Table1[Beginn]"),"&lt;="&amp;BC$1,INDIRECT("Table1[Ende]"),"&gt;="&amp;BC$1,INDIRECT("Table1[Obergruppe ATC-Code]"),Tabelle3!$A39)</f>
        <v>2</v>
      </c>
      <c r="BD39">
        <f ca="1">COUNTIFS(INDIRECT("Table1[Beginn]"),"&lt;="&amp;BD$1,INDIRECT("Table1[Ende]"),"&gt;="&amp;BD$1,INDIRECT("Table1[Obergruppe ATC-Code]"),Tabelle3!$A39)</f>
        <v>2</v>
      </c>
      <c r="BE39">
        <f ca="1">COUNTIFS(INDIRECT("Table1[Beginn]"),"&lt;="&amp;BE$1,INDIRECT("Table1[Ende]"),"&gt;="&amp;BE$1,INDIRECT("Table1[Obergruppe ATC-Code]"),Tabelle3!$A39)</f>
        <v>2</v>
      </c>
      <c r="BF39">
        <f ca="1">COUNTIFS(INDIRECT("Table1[Beginn]"),"&lt;="&amp;BF$1,INDIRECT("Table1[Ende]"),"&gt;="&amp;BF$1,INDIRECT("Table1[Obergruppe ATC-Code]"),Tabelle3!$A39)</f>
        <v>3</v>
      </c>
      <c r="BG39">
        <f ca="1">COUNTIFS(INDIRECT("Table1[Beginn]"),"&lt;="&amp;BG$1,INDIRECT("Table1[Ende]"),"&gt;="&amp;BG$1,INDIRECT("Table1[Obergruppe ATC-Code]"),Tabelle3!$A39)</f>
        <v>4</v>
      </c>
      <c r="BH39">
        <f ca="1">COUNTIFS(INDIRECT("Table1[Beginn]"),"&lt;="&amp;BH$1,INDIRECT("Table1[Ende]"),"&gt;="&amp;BH$1,INDIRECT("Table1[Obergruppe ATC-Code]"),Tabelle3!$A39)</f>
        <v>5</v>
      </c>
      <c r="BI39">
        <f ca="1">COUNTIFS(INDIRECT("Table1[Beginn]"),"&lt;="&amp;BI$1,INDIRECT("Table1[Ende]"),"&gt;="&amp;BI$1,INDIRECT("Table1[Obergruppe ATC-Code]"),Tabelle3!$A39)</f>
        <v>3</v>
      </c>
      <c r="BJ39">
        <f ca="1">COUNTIFS(INDIRECT("Table1[Beginn]"),"&lt;="&amp;BJ$1,INDIRECT("Table1[Ende]"),"&gt;="&amp;BJ$1,INDIRECT("Table1[Obergruppe ATC-Code]"),Tabelle3!$A39)</f>
        <v>1</v>
      </c>
      <c r="BK39">
        <f ca="1">COUNTIFS(INDIRECT("Table1[Beginn]"),"&lt;="&amp;BK$1,INDIRECT("Table1[Ende]"),"&gt;="&amp;BK$1,INDIRECT("Table1[Obergruppe ATC-Code]"),Tabelle3!$A39)</f>
        <v>1</v>
      </c>
      <c r="BL39">
        <f ca="1">COUNTIFS(INDIRECT("Table1[Beginn]"),"&lt;="&amp;BL$1,INDIRECT("Table1[Ende]"),"&gt;="&amp;BL$1,INDIRECT("Table1[Obergruppe ATC-Code]"),Tabelle3!$A39)</f>
        <v>1</v>
      </c>
      <c r="BM39">
        <f ca="1">COUNTIFS(INDIRECT("Table1[Beginn]"),"&lt;="&amp;BM$1,INDIRECT("Table1[Ende]"),"&gt;="&amp;BM$1,INDIRECT("Table1[Obergruppe ATC-Code]"),Tabelle3!$A39)</f>
        <v>2</v>
      </c>
      <c r="BN39">
        <f ca="1">COUNTIFS(INDIRECT("Table1[Beginn]"),"&lt;="&amp;BN$1,INDIRECT("Table1[Ende]"),"&gt;="&amp;BN$1,INDIRECT("Table1[Obergruppe ATC-Code]"),Tabelle3!$A39)</f>
        <v>2</v>
      </c>
      <c r="BO39">
        <f ca="1">COUNTIFS(INDIRECT("Table1[Beginn]"),"&lt;="&amp;BO$1,INDIRECT("Table1[Ende]"),"&gt;="&amp;BO$1,INDIRECT("Table1[Obergruppe ATC-Code]"),Tabelle3!$A39)</f>
        <v>1</v>
      </c>
      <c r="BP39">
        <f ca="1">COUNTIFS(INDIRECT("Table1[Beginn]"),"&lt;="&amp;BP$1,INDIRECT("Table1[Ende]"),"&gt;="&amp;BP$1,INDIRECT("Table1[Obergruppe ATC-Code]"),Tabelle3!$A39)</f>
        <v>2</v>
      </c>
      <c r="BQ39">
        <f ca="1">COUNTIFS(INDIRECT("Table1[Beginn]"),"&lt;="&amp;BQ$1,INDIRECT("Table1[Ende]"),"&gt;="&amp;BQ$1,INDIRECT("Table1[Obergruppe ATC-Code]"),Tabelle3!$A39)</f>
        <v>2</v>
      </c>
      <c r="BR39">
        <f ca="1">COUNTIFS(INDIRECT("Table1[Beginn]"),"&lt;="&amp;BR$1,INDIRECT("Table1[Ende]"),"&gt;="&amp;BR$1,INDIRECT("Table1[Obergruppe ATC-Code]"),Tabelle3!$A39)</f>
        <v>3</v>
      </c>
      <c r="BS39">
        <f ca="1">COUNTIFS(INDIRECT("Table1[Beginn]"),"&lt;="&amp;BS$1,INDIRECT("Table1[Ende]"),"&gt;="&amp;BS$1,INDIRECT("Table1[Obergruppe ATC-Code]"),Tabelle3!$A39)</f>
        <v>3</v>
      </c>
      <c r="BT39">
        <f ca="1">COUNTIFS(INDIRECT("Table1[Beginn]"),"&lt;="&amp;BT$1,INDIRECT("Table1[Ende]"),"&gt;="&amp;BT$1,INDIRECT("Table1[Obergruppe ATC-Code]"),Tabelle3!$A39)</f>
        <v>1</v>
      </c>
      <c r="BU39">
        <f ca="1">COUNTIFS(INDIRECT("Table1[Beginn]"),"&lt;="&amp;BU$1,INDIRECT("Table1[Ende]"),"&gt;="&amp;BU$1,INDIRECT("Table1[Obergruppe ATC-Code]"),Tabelle3!$A39)</f>
        <v>2</v>
      </c>
      <c r="BV39">
        <f ca="1">COUNTIFS(INDIRECT("Table1[Beginn]"),"&lt;="&amp;BV$1,INDIRECT("Table1[Ende]"),"&gt;="&amp;BV$1,INDIRECT("Table1[Obergruppe ATC-Code]"),Tabelle3!$A39)</f>
        <v>4</v>
      </c>
      <c r="BW39">
        <f ca="1">COUNTIFS(INDIRECT("Table1[Beginn]"),"&lt;="&amp;BW$1,INDIRECT("Table1[Ende]"),"&gt;="&amp;BW$1,INDIRECT("Table1[Obergruppe ATC-Code]"),Tabelle3!$A39)</f>
        <v>3</v>
      </c>
      <c r="BX39">
        <f ca="1">COUNTIFS(INDIRECT("Table1[Beginn]"),"&lt;="&amp;BX$1,INDIRECT("Table1[Ende]"),"&gt;="&amp;BX$1,INDIRECT("Table1[Obergruppe ATC-Code]"),Tabelle3!$A39)</f>
        <v>4</v>
      </c>
      <c r="BY39">
        <f ca="1">COUNTIFS(INDIRECT("Table1[Beginn]"),"&lt;="&amp;BY$1,INDIRECT("Table1[Ende]"),"&gt;="&amp;BY$1,INDIRECT("Table1[Obergruppe ATC-Code]"),Tabelle3!$A39)</f>
        <v>1</v>
      </c>
      <c r="BZ39">
        <f ca="1">COUNTIFS(INDIRECT("Table1[Beginn]"),"&lt;="&amp;BZ$1,INDIRECT("Table1[Ende]"),"&gt;="&amp;BZ$1,INDIRECT("Table1[Obergruppe ATC-Code]"),Tabelle3!$A39)</f>
        <v>1</v>
      </c>
      <c r="CA39">
        <f ca="1">COUNTIFS(INDIRECT("Table1[Beginn]"),"&lt;="&amp;CA$1,INDIRECT("Table1[Ende]"),"&gt;="&amp;CA$1,INDIRECT("Table1[Obergruppe ATC-Code]"),Tabelle3!$A39)</f>
        <v>1</v>
      </c>
      <c r="CB39">
        <f ca="1">COUNTIFS(INDIRECT("Table1[Beginn]"),"&lt;="&amp;CB$1,INDIRECT("Table1[Ende]"),"&gt;="&amp;CB$1,INDIRECT("Table1[Obergruppe ATC-Code]"),Tabelle3!$A39)</f>
        <v>0</v>
      </c>
      <c r="CC39">
        <f ca="1">COUNTIFS(INDIRECT("Table1[Beginn]"),"&lt;="&amp;CC$1,INDIRECT("Table1[Ende]"),"&gt;="&amp;CC$1,INDIRECT("Table1[Obergruppe ATC-Code]"),Tabelle3!$A39)</f>
        <v>3</v>
      </c>
      <c r="CD39">
        <f ca="1">COUNTIFS(INDIRECT("Table1[Beginn]"),"&lt;="&amp;CD$1,INDIRECT("Table1[Ende]"),"&gt;="&amp;CD$1,INDIRECT("Table1[Obergruppe ATC-Code]"),Tabelle3!$A39)</f>
        <v>2</v>
      </c>
      <c r="CE39">
        <f ca="1">COUNTIFS(INDIRECT("Table1[Beginn]"),"&lt;="&amp;CE$1,INDIRECT("Table1[Ende]"),"&gt;="&amp;CE$1,INDIRECT("Table1[Obergruppe ATC-Code]"),Tabelle3!$A39)</f>
        <v>2</v>
      </c>
      <c r="CF39">
        <f ca="1">COUNTIFS(INDIRECT("Table1[Beginn]"),"&lt;="&amp;CF$1,INDIRECT("Table1[Ende]"),"&gt;="&amp;CF$1,INDIRECT("Table1[Obergruppe ATC-Code]"),Tabelle3!$A39)</f>
        <v>1</v>
      </c>
      <c r="CG39">
        <f ca="1">COUNTIFS(INDIRECT("Table1[Beginn]"),"&lt;="&amp;CG$1,INDIRECT("Table1[Ende]"),"&gt;="&amp;CG$1,INDIRECT("Table1[Obergruppe ATC-Code]"),Tabelle3!$A39)</f>
        <v>0</v>
      </c>
      <c r="CH39">
        <f ca="1">COUNTIFS(INDIRECT("Table1[Beginn]"),"&lt;="&amp;CH$1,INDIRECT("Table1[Ende]"),"&gt;="&amp;CH$1,INDIRECT("Table1[Obergruppe ATC-Code]"),Tabelle3!$A39)</f>
        <v>0</v>
      </c>
      <c r="CI39">
        <f ca="1">COUNTIFS(INDIRECT("Table1[Beginn]"),"&lt;="&amp;CI$1,INDIRECT("Table1[Ende]"),"&gt;="&amp;CI$1,INDIRECT("Table1[Obergruppe ATC-Code]"),Tabelle3!$A39)</f>
        <v>0</v>
      </c>
      <c r="CJ39">
        <f ca="1">COUNTIFS(INDIRECT("Table1[Beginn]"),"&lt;="&amp;CJ$1,INDIRECT("Table1[Ende]"),"&gt;="&amp;CJ$1,INDIRECT("Table1[Obergruppe ATC-Code]"),Tabelle3!$A39)</f>
        <v>0</v>
      </c>
      <c r="CK39">
        <f ca="1">COUNTIFS(INDIRECT("Table1[Beginn]"),"&lt;="&amp;CK$1,INDIRECT("Table1[Ende]"),"&gt;="&amp;CK$1,INDIRECT("Table1[Obergruppe ATC-Code]"),Tabelle3!$A39)</f>
        <v>0</v>
      </c>
      <c r="CL39">
        <f ca="1">COUNTIFS(INDIRECT("Table1[Beginn]"),"&lt;="&amp;CL$1,INDIRECT("Table1[Ende]"),"&gt;="&amp;CL$1,INDIRECT("Table1[Obergruppe ATC-Code]"),Tabelle3!$A39)</f>
        <v>0</v>
      </c>
      <c r="CM39">
        <f ca="1">COUNTIFS(INDIRECT("Table1[Beginn]"),"&lt;="&amp;CM$1,INDIRECT("Table1[Ende]"),"&gt;="&amp;CM$1,INDIRECT("Table1[Obergruppe ATC-Code]"),Tabelle3!$A39)</f>
        <v>0</v>
      </c>
      <c r="CN39">
        <f ca="1">COUNTIFS(INDIRECT("Table1[Beginn]"),"&lt;="&amp;CN$1,INDIRECT("Table1[Ende]"),"&gt;="&amp;CN$1,INDIRECT("Table1[Obergruppe ATC-Code]"),Tabelle3!$A39)</f>
        <v>0</v>
      </c>
      <c r="CO39">
        <f ca="1">COUNTIFS(INDIRECT("Table1[Beginn]"),"&lt;="&amp;CO$1,INDIRECT("Table1[Ende]"),"&gt;="&amp;CO$1,INDIRECT("Table1[Obergruppe ATC-Code]"),Tabelle3!$A39)</f>
        <v>0</v>
      </c>
      <c r="CP39">
        <f ca="1">COUNTIFS(INDIRECT("Table1[Beginn]"),"&lt;="&amp;CP$1,INDIRECT("Table1[Ende]"),"&gt;="&amp;CP$1,INDIRECT("Table1[Obergruppe ATC-Code]"),Tabelle3!$A39)</f>
        <v>0</v>
      </c>
      <c r="CQ39">
        <f ca="1">COUNTIFS(INDIRECT("Table1[Beginn]"),"&lt;="&amp;CQ$1,INDIRECT("Table1[Ende]"),"&gt;="&amp;CQ$1,INDIRECT("Table1[Obergruppe ATC-Code]"),Tabelle3!$A39)</f>
        <v>0</v>
      </c>
      <c r="CR39">
        <f ca="1">COUNTIFS(INDIRECT("Table1[Beginn]"),"&lt;="&amp;CR$1,INDIRECT("Table1[Ende]"),"&gt;="&amp;CR$1,INDIRECT("Table1[Obergruppe ATC-Code]"),Tabelle3!$A39)</f>
        <v>0</v>
      </c>
      <c r="CS39">
        <f ca="1">COUNTIFS(INDIRECT("Table1[Beginn]"),"&lt;="&amp;CS$1,INDIRECT("Table1[Ende]"),"&gt;="&amp;CS$1,INDIRECT("Table1[Obergruppe ATC-Code]"),Tabelle3!$A39)</f>
        <v>0</v>
      </c>
      <c r="CT39">
        <f ca="1">COUNTIFS(INDIRECT("Table1[Beginn]"),"&lt;="&amp;CT$1,INDIRECT("Table1[Ende]"),"&gt;="&amp;CT$1,INDIRECT("Table1[Obergruppe ATC-Code]"),Tabelle3!$A39)</f>
        <v>0</v>
      </c>
      <c r="CU39" s="56"/>
      <c r="CV39" s="56"/>
      <c r="CW39" s="56"/>
      <c r="CX39" s="56"/>
      <c r="CY39" s="56"/>
      <c r="CZ39" s="56"/>
      <c r="DA39" s="56"/>
      <c r="DB39" s="56"/>
      <c r="DC39" s="56"/>
      <c r="DD39" s="56"/>
      <c r="DE39" s="56"/>
      <c r="DF39" s="56"/>
      <c r="DG39" s="56"/>
      <c r="DH39" s="56"/>
    </row>
    <row r="40" spans="1:112" ht="18" customHeight="1">
      <c r="A40" s="7" t="s">
        <v>6849</v>
      </c>
      <c r="B40" s="8" t="s">
        <v>6850</v>
      </c>
      <c r="C40">
        <f ca="1">COUNTIFS(INDIRECT("Table1[Beginn]"),"&lt;="&amp;C$1,INDIRECT("Table1[Ende]"),"&gt;="&amp;C$1,INDIRECT("Table1[Obergruppe ATC-Code]"),Tabelle3!$A40)</f>
        <v>0</v>
      </c>
      <c r="D40">
        <f ca="1">COUNTIFS(INDIRECT("Table1[Beginn]"),"&lt;="&amp;D$1,INDIRECT("Table1[Ende]"),"&gt;="&amp;D$1,INDIRECT("Table1[Obergruppe ATC-Code]"),Tabelle3!$A40)</f>
        <v>0</v>
      </c>
      <c r="E40">
        <f ca="1">COUNTIFS(INDIRECT("Table1[Beginn]"),"&lt;="&amp;E$1,INDIRECT("Table1[Ende]"),"&gt;="&amp;E$1,INDIRECT("Table1[Obergruppe ATC-Code]"),Tabelle3!$A40)</f>
        <v>0</v>
      </c>
      <c r="F40">
        <f ca="1">COUNTIFS(INDIRECT("Table1[Beginn]"),"&lt;="&amp;F$1,INDIRECT("Table1[Ende]"),"&gt;="&amp;F$1,INDIRECT("Table1[Obergruppe ATC-Code]"),Tabelle3!$A40)</f>
        <v>0</v>
      </c>
      <c r="G40">
        <f ca="1">COUNTIFS(INDIRECT("Table1[Beginn]"),"&lt;="&amp;G$1,INDIRECT("Table1[Ende]"),"&gt;="&amp;G$1,INDIRECT("Table1[Obergruppe ATC-Code]"),Tabelle3!$A40)</f>
        <v>0</v>
      </c>
      <c r="H40">
        <f ca="1">COUNTIFS(INDIRECT("Table1[Beginn]"),"&lt;="&amp;H$1,INDIRECT("Table1[Ende]"),"&gt;="&amp;H$1,INDIRECT("Table1[Obergruppe ATC-Code]"),Tabelle3!$A40)</f>
        <v>0</v>
      </c>
      <c r="I40">
        <f ca="1">COUNTIFS(INDIRECT("Table1[Beginn]"),"&lt;="&amp;I$1,INDIRECT("Table1[Ende]"),"&gt;="&amp;I$1,INDIRECT("Table1[Obergruppe ATC-Code]"),Tabelle3!$A40)</f>
        <v>0</v>
      </c>
      <c r="J40">
        <f ca="1">COUNTIFS(INDIRECT("Table1[Beginn]"),"&lt;="&amp;J$1,INDIRECT("Table1[Ende]"),"&gt;="&amp;J$1,INDIRECT("Table1[Obergruppe ATC-Code]"),Tabelle3!$A40)</f>
        <v>0</v>
      </c>
      <c r="K40">
        <f ca="1">COUNTIFS(INDIRECT("Table1[Beginn]"),"&lt;="&amp;K$1,INDIRECT("Table1[Ende]"),"&gt;="&amp;K$1,INDIRECT("Table1[Obergruppe ATC-Code]"),Tabelle3!$A40)</f>
        <v>0</v>
      </c>
      <c r="L40">
        <f ca="1">COUNTIFS(INDIRECT("Table1[Beginn]"),"&lt;="&amp;L$1,INDIRECT("Table1[Ende]"),"&gt;="&amp;L$1,INDIRECT("Table1[Obergruppe ATC-Code]"),Tabelle3!$A40)</f>
        <v>0</v>
      </c>
      <c r="M40">
        <f ca="1">COUNTIFS(INDIRECT("Table1[Beginn]"),"&lt;="&amp;M$1,INDIRECT("Table1[Ende]"),"&gt;="&amp;M$1,INDIRECT("Table1[Obergruppe ATC-Code]"),Tabelle3!$A40)</f>
        <v>0</v>
      </c>
      <c r="N40">
        <f ca="1">COUNTIFS(INDIRECT("Table1[Beginn]"),"&lt;="&amp;N$1,INDIRECT("Table1[Ende]"),"&gt;="&amp;N$1,INDIRECT("Table1[Obergruppe ATC-Code]"),Tabelle3!$A40)</f>
        <v>0</v>
      </c>
      <c r="O40">
        <f ca="1">COUNTIFS(INDIRECT("Table1[Beginn]"),"&lt;="&amp;O$1,INDIRECT("Table1[Ende]"),"&gt;="&amp;O$1,INDIRECT("Table1[Obergruppe ATC-Code]"),Tabelle3!$A40)</f>
        <v>0</v>
      </c>
      <c r="P40">
        <f ca="1">COUNTIFS(INDIRECT("Table1[Beginn]"),"&lt;="&amp;P$1,INDIRECT("Table1[Ende]"),"&gt;="&amp;P$1,INDIRECT("Table1[Obergruppe ATC-Code]"),Tabelle3!$A40)</f>
        <v>0</v>
      </c>
      <c r="Q40">
        <f ca="1">COUNTIFS(INDIRECT("Table1[Beginn]"),"&lt;="&amp;Q$1,INDIRECT("Table1[Ende]"),"&gt;="&amp;Q$1,INDIRECT("Table1[Obergruppe ATC-Code]"),Tabelle3!$A40)</f>
        <v>0</v>
      </c>
      <c r="R40">
        <f ca="1">COUNTIFS(INDIRECT("Table1[Beginn]"),"&lt;="&amp;R$1,INDIRECT("Table1[Ende]"),"&gt;="&amp;R$1,INDIRECT("Table1[Obergruppe ATC-Code]"),Tabelle3!$A40)</f>
        <v>0</v>
      </c>
      <c r="S40">
        <f ca="1">COUNTIFS(INDIRECT("Table1[Beginn]"),"&lt;="&amp;S$1,INDIRECT("Table1[Ende]"),"&gt;="&amp;S$1,INDIRECT("Table1[Obergruppe ATC-Code]"),Tabelle3!$A40)</f>
        <v>0</v>
      </c>
      <c r="T40">
        <f ca="1">COUNTIFS(INDIRECT("Table1[Beginn]"),"&lt;="&amp;T$1,INDIRECT("Table1[Ende]"),"&gt;="&amp;T$1,INDIRECT("Table1[Obergruppe ATC-Code]"),Tabelle3!$A40)</f>
        <v>0</v>
      </c>
      <c r="U40">
        <f ca="1">COUNTIFS(INDIRECT("Table1[Beginn]"),"&lt;="&amp;U$1,INDIRECT("Table1[Ende]"),"&gt;="&amp;U$1,INDIRECT("Table1[Obergruppe ATC-Code]"),Tabelle3!$A40)</f>
        <v>0</v>
      </c>
      <c r="V40">
        <f ca="1">COUNTIFS(INDIRECT("Table1[Beginn]"),"&lt;="&amp;V$1,INDIRECT("Table1[Ende]"),"&gt;="&amp;V$1,INDIRECT("Table1[Obergruppe ATC-Code]"),Tabelle3!$A40)</f>
        <v>0</v>
      </c>
      <c r="W40">
        <f ca="1">COUNTIFS(INDIRECT("Table1[Beginn]"),"&lt;="&amp;W$1,INDIRECT("Table1[Ende]"),"&gt;="&amp;W$1,INDIRECT("Table1[Obergruppe ATC-Code]"),Tabelle3!$A40)</f>
        <v>0</v>
      </c>
      <c r="X40">
        <f ca="1">COUNTIFS(INDIRECT("Table1[Beginn]"),"&lt;="&amp;X$1,INDIRECT("Table1[Ende]"),"&gt;="&amp;X$1,INDIRECT("Table1[Obergruppe ATC-Code]"),Tabelle3!$A40)</f>
        <v>0</v>
      </c>
      <c r="Y40">
        <f ca="1">COUNTIFS(INDIRECT("Table1[Beginn]"),"&lt;="&amp;Y$1,INDIRECT("Table1[Ende]"),"&gt;="&amp;Y$1,INDIRECT("Table1[Obergruppe ATC-Code]"),Tabelle3!$A40)</f>
        <v>0</v>
      </c>
      <c r="Z40">
        <f ca="1">COUNTIFS(INDIRECT("Table1[Beginn]"),"&lt;="&amp;Z$1,INDIRECT("Table1[Ende]"),"&gt;="&amp;Z$1,INDIRECT("Table1[Obergruppe ATC-Code]"),Tabelle3!$A40)</f>
        <v>0</v>
      </c>
      <c r="AA40">
        <f ca="1">COUNTIFS(INDIRECT("Table1[Beginn]"),"&lt;="&amp;AA$1,INDIRECT("Table1[Ende]"),"&gt;="&amp;AA$1,INDIRECT("Table1[Obergruppe ATC-Code]"),Tabelle3!$A40)</f>
        <v>0</v>
      </c>
      <c r="AB40">
        <f ca="1">COUNTIFS(INDIRECT("Table1[Beginn]"),"&lt;="&amp;AB$1,INDIRECT("Table1[Ende]"),"&gt;="&amp;AB$1,INDIRECT("Table1[Obergruppe ATC-Code]"),Tabelle3!$A40)</f>
        <v>0</v>
      </c>
      <c r="AC40">
        <f ca="1">COUNTIFS(INDIRECT("Table1[Beginn]"),"&lt;="&amp;AC$1,INDIRECT("Table1[Ende]"),"&gt;="&amp;AC$1,INDIRECT("Table1[Obergruppe ATC-Code]"),Tabelle3!$A40)</f>
        <v>0</v>
      </c>
      <c r="AD40">
        <f ca="1">COUNTIFS(INDIRECT("Table1[Beginn]"),"&lt;="&amp;AD$1,INDIRECT("Table1[Ende]"),"&gt;="&amp;AD$1,INDIRECT("Table1[Obergruppe ATC-Code]"),Tabelle3!$A40)</f>
        <v>0</v>
      </c>
      <c r="AE40">
        <f ca="1">COUNTIFS(INDIRECT("Table1[Beginn]"),"&lt;="&amp;AE$1,INDIRECT("Table1[Ende]"),"&gt;="&amp;AE$1,INDIRECT("Table1[Obergruppe ATC-Code]"),Tabelle3!$A40)</f>
        <v>0</v>
      </c>
      <c r="AF40">
        <f ca="1">COUNTIFS(INDIRECT("Table1[Beginn]"),"&lt;="&amp;AF$1,INDIRECT("Table1[Ende]"),"&gt;="&amp;AF$1,INDIRECT("Table1[Obergruppe ATC-Code]"),Tabelle3!$A40)</f>
        <v>0</v>
      </c>
      <c r="AG40">
        <f ca="1">COUNTIFS(INDIRECT("Table1[Beginn]"),"&lt;="&amp;AG$1,INDIRECT("Table1[Ende]"),"&gt;="&amp;AG$1,INDIRECT("Table1[Obergruppe ATC-Code]"),Tabelle3!$A40)</f>
        <v>0</v>
      </c>
      <c r="AH40">
        <f ca="1">COUNTIFS(INDIRECT("Table1[Beginn]"),"&lt;="&amp;AH$1,INDIRECT("Table1[Ende]"),"&gt;="&amp;AH$1,INDIRECT("Table1[Obergruppe ATC-Code]"),Tabelle3!$A40)</f>
        <v>0</v>
      </c>
      <c r="AI40">
        <f ca="1">COUNTIFS(INDIRECT("Table1[Beginn]"),"&lt;="&amp;AI$1,INDIRECT("Table1[Ende]"),"&gt;="&amp;AI$1,INDIRECT("Table1[Obergruppe ATC-Code]"),Tabelle3!$A40)</f>
        <v>0</v>
      </c>
      <c r="AJ40">
        <f ca="1">COUNTIFS(INDIRECT("Table1[Beginn]"),"&lt;="&amp;AJ$1,INDIRECT("Table1[Ende]"),"&gt;="&amp;AJ$1,INDIRECT("Table1[Obergruppe ATC-Code]"),Tabelle3!$A40)</f>
        <v>0</v>
      </c>
      <c r="AK40">
        <f ca="1">COUNTIFS(INDIRECT("Table1[Beginn]"),"&lt;="&amp;AK$1,INDIRECT("Table1[Ende]"),"&gt;="&amp;AK$1,INDIRECT("Table1[Obergruppe ATC-Code]"),Tabelle3!$A40)</f>
        <v>0</v>
      </c>
      <c r="AL40">
        <f ca="1">COUNTIFS(INDIRECT("Table1[Beginn]"),"&lt;="&amp;AL$1,INDIRECT("Table1[Ende]"),"&gt;="&amp;AL$1,INDIRECT("Table1[Obergruppe ATC-Code]"),Tabelle3!$A40)</f>
        <v>0</v>
      </c>
      <c r="AM40">
        <f ca="1">COUNTIFS(INDIRECT("Table1[Beginn]"),"&lt;="&amp;AM$1,INDIRECT("Table1[Ende]"),"&gt;="&amp;AM$1,INDIRECT("Table1[Obergruppe ATC-Code]"),Tabelle3!$A40)</f>
        <v>0</v>
      </c>
      <c r="AN40">
        <f ca="1">COUNTIFS(INDIRECT("Table1[Beginn]"),"&lt;="&amp;AN$1,INDIRECT("Table1[Ende]"),"&gt;="&amp;AN$1,INDIRECT("Table1[Obergruppe ATC-Code]"),Tabelle3!$A40)</f>
        <v>0</v>
      </c>
      <c r="AO40">
        <f ca="1">COUNTIFS(INDIRECT("Table1[Beginn]"),"&lt;="&amp;AO$1,INDIRECT("Table1[Ende]"),"&gt;="&amp;AO$1,INDIRECT("Table1[Obergruppe ATC-Code]"),Tabelle3!$A40)</f>
        <v>0</v>
      </c>
      <c r="AP40">
        <f ca="1">COUNTIFS(INDIRECT("Table1[Beginn]"),"&lt;="&amp;AP$1,INDIRECT("Table1[Ende]"),"&gt;="&amp;AP$1,INDIRECT("Table1[Obergruppe ATC-Code]"),Tabelle3!$A40)</f>
        <v>0</v>
      </c>
      <c r="AQ40">
        <f ca="1">COUNTIFS(INDIRECT("Table1[Beginn]"),"&lt;="&amp;AQ$1,INDIRECT("Table1[Ende]"),"&gt;="&amp;AQ$1,INDIRECT("Table1[Obergruppe ATC-Code]"),Tabelle3!$A40)</f>
        <v>0</v>
      </c>
      <c r="AR40">
        <f ca="1">COUNTIFS(INDIRECT("Table1[Beginn]"),"&lt;="&amp;AR$1,INDIRECT("Table1[Ende]"),"&gt;="&amp;AR$1,INDIRECT("Table1[Obergruppe ATC-Code]"),Tabelle3!$A40)</f>
        <v>0</v>
      </c>
      <c r="AS40">
        <f ca="1">COUNTIFS(INDIRECT("Table1[Beginn]"),"&lt;="&amp;AS$1,INDIRECT("Table1[Ende]"),"&gt;="&amp;AS$1,INDIRECT("Table1[Obergruppe ATC-Code]"),Tabelle3!$A40)</f>
        <v>0</v>
      </c>
      <c r="AT40">
        <f ca="1">COUNTIFS(INDIRECT("Table1[Beginn]"),"&lt;="&amp;AT$1,INDIRECT("Table1[Ende]"),"&gt;="&amp;AT$1,INDIRECT("Table1[Obergruppe ATC-Code]"),Tabelle3!$A40)</f>
        <v>0</v>
      </c>
      <c r="AU40">
        <f ca="1">COUNTIFS(INDIRECT("Table1[Beginn]"),"&lt;="&amp;AU$1,INDIRECT("Table1[Ende]"),"&gt;="&amp;AU$1,INDIRECT("Table1[Obergruppe ATC-Code]"),Tabelle3!$A40)</f>
        <v>0</v>
      </c>
      <c r="AV40">
        <f ca="1">COUNTIFS(INDIRECT("Table1[Beginn]"),"&lt;="&amp;AV$1,INDIRECT("Table1[Ende]"),"&gt;="&amp;AV$1,INDIRECT("Table1[Obergruppe ATC-Code]"),Tabelle3!$A40)</f>
        <v>0</v>
      </c>
      <c r="AW40">
        <f ca="1">COUNTIFS(INDIRECT("Table1[Beginn]"),"&lt;="&amp;AW$1,INDIRECT("Table1[Ende]"),"&gt;="&amp;AW$1,INDIRECT("Table1[Obergruppe ATC-Code]"),Tabelle3!$A40)</f>
        <v>0</v>
      </c>
      <c r="AX40">
        <f ca="1">COUNTIFS(INDIRECT("Table1[Beginn]"),"&lt;="&amp;AX$1,INDIRECT("Table1[Ende]"),"&gt;="&amp;AX$1,INDIRECT("Table1[Obergruppe ATC-Code]"),Tabelle3!$A40)</f>
        <v>0</v>
      </c>
      <c r="AY40">
        <f ca="1">COUNTIFS(INDIRECT("Table1[Beginn]"),"&lt;="&amp;AY$1,INDIRECT("Table1[Ende]"),"&gt;="&amp;AY$1,INDIRECT("Table1[Obergruppe ATC-Code]"),Tabelle3!$A40)</f>
        <v>0</v>
      </c>
      <c r="AZ40">
        <f ca="1">COUNTIFS(INDIRECT("Table1[Beginn]"),"&lt;="&amp;AZ$1,INDIRECT("Table1[Ende]"),"&gt;="&amp;AZ$1,INDIRECT("Table1[Obergruppe ATC-Code]"),Tabelle3!$A40)</f>
        <v>0</v>
      </c>
      <c r="BA40">
        <f ca="1">COUNTIFS(INDIRECT("Table1[Beginn]"),"&lt;="&amp;BA$1,INDIRECT("Table1[Ende]"),"&gt;="&amp;BA$1,INDIRECT("Table1[Obergruppe ATC-Code]"),Tabelle3!$A40)</f>
        <v>0</v>
      </c>
      <c r="BB40">
        <f ca="1">COUNTIFS(INDIRECT("Table1[Beginn]"),"&lt;="&amp;BB$1,INDIRECT("Table1[Ende]"),"&gt;="&amp;BB$1,INDIRECT("Table1[Obergruppe ATC-Code]"),Tabelle3!$A40)</f>
        <v>0</v>
      </c>
      <c r="BC40">
        <f ca="1">COUNTIFS(INDIRECT("Table1[Beginn]"),"&lt;="&amp;BC$1,INDIRECT("Table1[Ende]"),"&gt;="&amp;BC$1,INDIRECT("Table1[Obergruppe ATC-Code]"),Tabelle3!$A40)</f>
        <v>1</v>
      </c>
      <c r="BD40">
        <f ca="1">COUNTIFS(INDIRECT("Table1[Beginn]"),"&lt;="&amp;BD$1,INDIRECT("Table1[Ende]"),"&gt;="&amp;BD$1,INDIRECT("Table1[Obergruppe ATC-Code]"),Tabelle3!$A40)</f>
        <v>1</v>
      </c>
      <c r="BE40">
        <f ca="1">COUNTIFS(INDIRECT("Table1[Beginn]"),"&lt;="&amp;BE$1,INDIRECT("Table1[Ende]"),"&gt;="&amp;BE$1,INDIRECT("Table1[Obergruppe ATC-Code]"),Tabelle3!$A40)</f>
        <v>1</v>
      </c>
      <c r="BF40">
        <f ca="1">COUNTIFS(INDIRECT("Table1[Beginn]"),"&lt;="&amp;BF$1,INDIRECT("Table1[Ende]"),"&gt;="&amp;BF$1,INDIRECT("Table1[Obergruppe ATC-Code]"),Tabelle3!$A40)</f>
        <v>2</v>
      </c>
      <c r="BG40">
        <f ca="1">COUNTIFS(INDIRECT("Table1[Beginn]"),"&lt;="&amp;BG$1,INDIRECT("Table1[Ende]"),"&gt;="&amp;BG$1,INDIRECT("Table1[Obergruppe ATC-Code]"),Tabelle3!$A40)</f>
        <v>2</v>
      </c>
      <c r="BH40">
        <f ca="1">COUNTIFS(INDIRECT("Table1[Beginn]"),"&lt;="&amp;BH$1,INDIRECT("Table1[Ende]"),"&gt;="&amp;BH$1,INDIRECT("Table1[Obergruppe ATC-Code]"),Tabelle3!$A40)</f>
        <v>0</v>
      </c>
      <c r="BI40">
        <f ca="1">COUNTIFS(INDIRECT("Table1[Beginn]"),"&lt;="&amp;BI$1,INDIRECT("Table1[Ende]"),"&gt;="&amp;BI$1,INDIRECT("Table1[Obergruppe ATC-Code]"),Tabelle3!$A40)</f>
        <v>0</v>
      </c>
      <c r="BJ40">
        <f ca="1">COUNTIFS(INDIRECT("Table1[Beginn]"),"&lt;="&amp;BJ$1,INDIRECT("Table1[Ende]"),"&gt;="&amp;BJ$1,INDIRECT("Table1[Obergruppe ATC-Code]"),Tabelle3!$A40)</f>
        <v>0</v>
      </c>
      <c r="BK40">
        <f ca="1">COUNTIFS(INDIRECT("Table1[Beginn]"),"&lt;="&amp;BK$1,INDIRECT("Table1[Ende]"),"&gt;="&amp;BK$1,INDIRECT("Table1[Obergruppe ATC-Code]"),Tabelle3!$A40)</f>
        <v>0</v>
      </c>
      <c r="BL40">
        <f ca="1">COUNTIFS(INDIRECT("Table1[Beginn]"),"&lt;="&amp;BL$1,INDIRECT("Table1[Ende]"),"&gt;="&amp;BL$1,INDIRECT("Table1[Obergruppe ATC-Code]"),Tabelle3!$A40)</f>
        <v>0</v>
      </c>
      <c r="BM40">
        <f ca="1">COUNTIFS(INDIRECT("Table1[Beginn]"),"&lt;="&amp;BM$1,INDIRECT("Table1[Ende]"),"&gt;="&amp;BM$1,INDIRECT("Table1[Obergruppe ATC-Code]"),Tabelle3!$A40)</f>
        <v>0</v>
      </c>
      <c r="BN40">
        <f ca="1">COUNTIFS(INDIRECT("Table1[Beginn]"),"&lt;="&amp;BN$1,INDIRECT("Table1[Ende]"),"&gt;="&amp;BN$1,INDIRECT("Table1[Obergruppe ATC-Code]"),Tabelle3!$A40)</f>
        <v>0</v>
      </c>
      <c r="BO40">
        <f ca="1">COUNTIFS(INDIRECT("Table1[Beginn]"),"&lt;="&amp;BO$1,INDIRECT("Table1[Ende]"),"&gt;="&amp;BO$1,INDIRECT("Table1[Obergruppe ATC-Code]"),Tabelle3!$A40)</f>
        <v>0</v>
      </c>
      <c r="BP40">
        <f ca="1">COUNTIFS(INDIRECT("Table1[Beginn]"),"&lt;="&amp;BP$1,INDIRECT("Table1[Ende]"),"&gt;="&amp;BP$1,INDIRECT("Table1[Obergruppe ATC-Code]"),Tabelle3!$A40)</f>
        <v>0</v>
      </c>
      <c r="BQ40">
        <f ca="1">COUNTIFS(INDIRECT("Table1[Beginn]"),"&lt;="&amp;BQ$1,INDIRECT("Table1[Ende]"),"&gt;="&amp;BQ$1,INDIRECT("Table1[Obergruppe ATC-Code]"),Tabelle3!$A40)</f>
        <v>0</v>
      </c>
      <c r="BR40">
        <f ca="1">COUNTIFS(INDIRECT("Table1[Beginn]"),"&lt;="&amp;BR$1,INDIRECT("Table1[Ende]"),"&gt;="&amp;BR$1,INDIRECT("Table1[Obergruppe ATC-Code]"),Tabelle3!$A40)</f>
        <v>0</v>
      </c>
      <c r="BS40">
        <f ca="1">COUNTIFS(INDIRECT("Table1[Beginn]"),"&lt;="&amp;BS$1,INDIRECT("Table1[Ende]"),"&gt;="&amp;BS$1,INDIRECT("Table1[Obergruppe ATC-Code]"),Tabelle3!$A40)</f>
        <v>0</v>
      </c>
      <c r="BT40">
        <f ca="1">COUNTIFS(INDIRECT("Table1[Beginn]"),"&lt;="&amp;BT$1,INDIRECT("Table1[Ende]"),"&gt;="&amp;BT$1,INDIRECT("Table1[Obergruppe ATC-Code]"),Tabelle3!$A40)</f>
        <v>0</v>
      </c>
      <c r="BU40">
        <f ca="1">COUNTIFS(INDIRECT("Table1[Beginn]"),"&lt;="&amp;BU$1,INDIRECT("Table1[Ende]"),"&gt;="&amp;BU$1,INDIRECT("Table1[Obergruppe ATC-Code]"),Tabelle3!$A40)</f>
        <v>0</v>
      </c>
      <c r="BV40">
        <f ca="1">COUNTIFS(INDIRECT("Table1[Beginn]"),"&lt;="&amp;BV$1,INDIRECT("Table1[Ende]"),"&gt;="&amp;BV$1,INDIRECT("Table1[Obergruppe ATC-Code]"),Tabelle3!$A40)</f>
        <v>0</v>
      </c>
      <c r="BW40">
        <f ca="1">COUNTIFS(INDIRECT("Table1[Beginn]"),"&lt;="&amp;BW$1,INDIRECT("Table1[Ende]"),"&gt;="&amp;BW$1,INDIRECT("Table1[Obergruppe ATC-Code]"),Tabelle3!$A40)</f>
        <v>0</v>
      </c>
      <c r="BX40">
        <f ca="1">COUNTIFS(INDIRECT("Table1[Beginn]"),"&lt;="&amp;BX$1,INDIRECT("Table1[Ende]"),"&gt;="&amp;BX$1,INDIRECT("Table1[Obergruppe ATC-Code]"),Tabelle3!$A40)</f>
        <v>0</v>
      </c>
      <c r="BY40">
        <f ca="1">COUNTIFS(INDIRECT("Table1[Beginn]"),"&lt;="&amp;BY$1,INDIRECT("Table1[Ende]"),"&gt;="&amp;BY$1,INDIRECT("Table1[Obergruppe ATC-Code]"),Tabelle3!$A40)</f>
        <v>0</v>
      </c>
      <c r="BZ40">
        <f ca="1">COUNTIFS(INDIRECT("Table1[Beginn]"),"&lt;="&amp;BZ$1,INDIRECT("Table1[Ende]"),"&gt;="&amp;BZ$1,INDIRECT("Table1[Obergruppe ATC-Code]"),Tabelle3!$A40)</f>
        <v>0</v>
      </c>
      <c r="CA40">
        <f ca="1">COUNTIFS(INDIRECT("Table1[Beginn]"),"&lt;="&amp;CA$1,INDIRECT("Table1[Ende]"),"&gt;="&amp;CA$1,INDIRECT("Table1[Obergruppe ATC-Code]"),Tabelle3!$A40)</f>
        <v>0</v>
      </c>
      <c r="CB40">
        <f ca="1">COUNTIFS(INDIRECT("Table1[Beginn]"),"&lt;="&amp;CB$1,INDIRECT("Table1[Ende]"),"&gt;="&amp;CB$1,INDIRECT("Table1[Obergruppe ATC-Code]"),Tabelle3!$A40)</f>
        <v>0</v>
      </c>
      <c r="CC40">
        <f ca="1">COUNTIFS(INDIRECT("Table1[Beginn]"),"&lt;="&amp;CC$1,INDIRECT("Table1[Ende]"),"&gt;="&amp;CC$1,INDIRECT("Table1[Obergruppe ATC-Code]"),Tabelle3!$A40)</f>
        <v>0</v>
      </c>
      <c r="CD40">
        <f ca="1">COUNTIFS(INDIRECT("Table1[Beginn]"),"&lt;="&amp;CD$1,INDIRECT("Table1[Ende]"),"&gt;="&amp;CD$1,INDIRECT("Table1[Obergruppe ATC-Code]"),Tabelle3!$A40)</f>
        <v>0</v>
      </c>
      <c r="CE40">
        <f ca="1">COUNTIFS(INDIRECT("Table1[Beginn]"),"&lt;="&amp;CE$1,INDIRECT("Table1[Ende]"),"&gt;="&amp;CE$1,INDIRECT("Table1[Obergruppe ATC-Code]"),Tabelle3!$A40)</f>
        <v>0</v>
      </c>
      <c r="CF40">
        <f ca="1">COUNTIFS(INDIRECT("Table1[Beginn]"),"&lt;="&amp;CF$1,INDIRECT("Table1[Ende]"),"&gt;="&amp;CF$1,INDIRECT("Table1[Obergruppe ATC-Code]"),Tabelle3!$A40)</f>
        <v>0</v>
      </c>
      <c r="CG40">
        <f ca="1">COUNTIFS(INDIRECT("Table1[Beginn]"),"&lt;="&amp;CG$1,INDIRECT("Table1[Ende]"),"&gt;="&amp;CG$1,INDIRECT("Table1[Obergruppe ATC-Code]"),Tabelle3!$A40)</f>
        <v>0</v>
      </c>
      <c r="CH40">
        <f ca="1">COUNTIFS(INDIRECT("Table1[Beginn]"),"&lt;="&amp;CH$1,INDIRECT("Table1[Ende]"),"&gt;="&amp;CH$1,INDIRECT("Table1[Obergruppe ATC-Code]"),Tabelle3!$A40)</f>
        <v>0</v>
      </c>
      <c r="CI40">
        <f ca="1">COUNTIFS(INDIRECT("Table1[Beginn]"),"&lt;="&amp;CI$1,INDIRECT("Table1[Ende]"),"&gt;="&amp;CI$1,INDIRECT("Table1[Obergruppe ATC-Code]"),Tabelle3!$A40)</f>
        <v>0</v>
      </c>
      <c r="CJ40">
        <f ca="1">COUNTIFS(INDIRECT("Table1[Beginn]"),"&lt;="&amp;CJ$1,INDIRECT("Table1[Ende]"),"&gt;="&amp;CJ$1,INDIRECT("Table1[Obergruppe ATC-Code]"),Tabelle3!$A40)</f>
        <v>0</v>
      </c>
      <c r="CK40">
        <f ca="1">COUNTIFS(INDIRECT("Table1[Beginn]"),"&lt;="&amp;CK$1,INDIRECT("Table1[Ende]"),"&gt;="&amp;CK$1,INDIRECT("Table1[Obergruppe ATC-Code]"),Tabelle3!$A40)</f>
        <v>0</v>
      </c>
      <c r="CL40">
        <f ca="1">COUNTIFS(INDIRECT("Table1[Beginn]"),"&lt;="&amp;CL$1,INDIRECT("Table1[Ende]"),"&gt;="&amp;CL$1,INDIRECT("Table1[Obergruppe ATC-Code]"),Tabelle3!$A40)</f>
        <v>0</v>
      </c>
      <c r="CM40">
        <f ca="1">COUNTIFS(INDIRECT("Table1[Beginn]"),"&lt;="&amp;CM$1,INDIRECT("Table1[Ende]"),"&gt;="&amp;CM$1,INDIRECT("Table1[Obergruppe ATC-Code]"),Tabelle3!$A40)</f>
        <v>0</v>
      </c>
      <c r="CN40">
        <f ca="1">COUNTIFS(INDIRECT("Table1[Beginn]"),"&lt;="&amp;CN$1,INDIRECT("Table1[Ende]"),"&gt;="&amp;CN$1,INDIRECT("Table1[Obergruppe ATC-Code]"),Tabelle3!$A40)</f>
        <v>0</v>
      </c>
      <c r="CO40">
        <f ca="1">COUNTIFS(INDIRECT("Table1[Beginn]"),"&lt;="&amp;CO$1,INDIRECT("Table1[Ende]"),"&gt;="&amp;CO$1,INDIRECT("Table1[Obergruppe ATC-Code]"),Tabelle3!$A40)</f>
        <v>0</v>
      </c>
      <c r="CP40">
        <f ca="1">COUNTIFS(INDIRECT("Table1[Beginn]"),"&lt;="&amp;CP$1,INDIRECT("Table1[Ende]"),"&gt;="&amp;CP$1,INDIRECT("Table1[Obergruppe ATC-Code]"),Tabelle3!$A40)</f>
        <v>0</v>
      </c>
      <c r="CQ40">
        <f ca="1">COUNTIFS(INDIRECT("Table1[Beginn]"),"&lt;="&amp;CQ$1,INDIRECT("Table1[Ende]"),"&gt;="&amp;CQ$1,INDIRECT("Table1[Obergruppe ATC-Code]"),Tabelle3!$A40)</f>
        <v>0</v>
      </c>
      <c r="CR40">
        <f ca="1">COUNTIFS(INDIRECT("Table1[Beginn]"),"&lt;="&amp;CR$1,INDIRECT("Table1[Ende]"),"&gt;="&amp;CR$1,INDIRECT("Table1[Obergruppe ATC-Code]"),Tabelle3!$A40)</f>
        <v>0</v>
      </c>
      <c r="CS40">
        <f ca="1">COUNTIFS(INDIRECT("Table1[Beginn]"),"&lt;="&amp;CS$1,INDIRECT("Table1[Ende]"),"&gt;="&amp;CS$1,INDIRECT("Table1[Obergruppe ATC-Code]"),Tabelle3!$A40)</f>
        <v>0</v>
      </c>
      <c r="CT40">
        <f ca="1">COUNTIFS(INDIRECT("Table1[Beginn]"),"&lt;="&amp;CT$1,INDIRECT("Table1[Ende]"),"&gt;="&amp;CT$1,INDIRECT("Table1[Obergruppe ATC-Code]"),Tabelle3!$A40)</f>
        <v>0</v>
      </c>
      <c r="CU40" s="56"/>
      <c r="CV40" s="56"/>
      <c r="CW40" s="56"/>
      <c r="CX40" s="56"/>
      <c r="CY40" s="56"/>
      <c r="CZ40" s="56"/>
      <c r="DA40" s="56"/>
      <c r="DB40" s="56"/>
      <c r="DC40" s="56"/>
      <c r="DD40" s="56"/>
      <c r="DE40" s="56"/>
      <c r="DF40" s="56"/>
      <c r="DG40" s="56"/>
      <c r="DH40" s="56"/>
    </row>
    <row r="41" spans="1:112" ht="18" customHeight="1">
      <c r="A41" s="9" t="s">
        <v>6851</v>
      </c>
      <c r="B41" s="10" t="s">
        <v>6852</v>
      </c>
      <c r="C41">
        <f ca="1">COUNTIFS(INDIRECT("Table1[Beginn]"),"&lt;="&amp;C$1,INDIRECT("Table1[Ende]"),"&gt;="&amp;C$1,INDIRECT("Table1[Obergruppe ATC-Code]"),Tabelle3!$A41)</f>
        <v>0</v>
      </c>
      <c r="D41">
        <f ca="1">COUNTIFS(INDIRECT("Table1[Beginn]"),"&lt;="&amp;D$1,INDIRECT("Table1[Ende]"),"&gt;="&amp;D$1,INDIRECT("Table1[Obergruppe ATC-Code]"),Tabelle3!$A41)</f>
        <v>0</v>
      </c>
      <c r="E41">
        <f ca="1">COUNTIFS(INDIRECT("Table1[Beginn]"),"&lt;="&amp;E$1,INDIRECT("Table1[Ende]"),"&gt;="&amp;E$1,INDIRECT("Table1[Obergruppe ATC-Code]"),Tabelle3!$A41)</f>
        <v>0</v>
      </c>
      <c r="F41">
        <f ca="1">COUNTIFS(INDIRECT("Table1[Beginn]"),"&lt;="&amp;F$1,INDIRECT("Table1[Ende]"),"&gt;="&amp;F$1,INDIRECT("Table1[Obergruppe ATC-Code]"),Tabelle3!$A41)</f>
        <v>0</v>
      </c>
      <c r="G41">
        <f ca="1">COUNTIFS(INDIRECT("Table1[Beginn]"),"&lt;="&amp;G$1,INDIRECT("Table1[Ende]"),"&gt;="&amp;G$1,INDIRECT("Table1[Obergruppe ATC-Code]"),Tabelle3!$A41)</f>
        <v>0</v>
      </c>
      <c r="H41">
        <f ca="1">COUNTIFS(INDIRECT("Table1[Beginn]"),"&lt;="&amp;H$1,INDIRECT("Table1[Ende]"),"&gt;="&amp;H$1,INDIRECT("Table1[Obergruppe ATC-Code]"),Tabelle3!$A41)</f>
        <v>0</v>
      </c>
      <c r="I41">
        <f ca="1">COUNTIFS(INDIRECT("Table1[Beginn]"),"&lt;="&amp;I$1,INDIRECT("Table1[Ende]"),"&gt;="&amp;I$1,INDIRECT("Table1[Obergruppe ATC-Code]"),Tabelle3!$A41)</f>
        <v>0</v>
      </c>
      <c r="J41">
        <f ca="1">COUNTIFS(INDIRECT("Table1[Beginn]"),"&lt;="&amp;J$1,INDIRECT("Table1[Ende]"),"&gt;="&amp;J$1,INDIRECT("Table1[Obergruppe ATC-Code]"),Tabelle3!$A41)</f>
        <v>0</v>
      </c>
      <c r="K41">
        <f ca="1">COUNTIFS(INDIRECT("Table1[Beginn]"),"&lt;="&amp;K$1,INDIRECT("Table1[Ende]"),"&gt;="&amp;K$1,INDIRECT("Table1[Obergruppe ATC-Code]"),Tabelle3!$A41)</f>
        <v>0</v>
      </c>
      <c r="L41">
        <f ca="1">COUNTIFS(INDIRECT("Table1[Beginn]"),"&lt;="&amp;L$1,INDIRECT("Table1[Ende]"),"&gt;="&amp;L$1,INDIRECT("Table1[Obergruppe ATC-Code]"),Tabelle3!$A41)</f>
        <v>0</v>
      </c>
      <c r="M41">
        <f ca="1">COUNTIFS(INDIRECT("Table1[Beginn]"),"&lt;="&amp;M$1,INDIRECT("Table1[Ende]"),"&gt;="&amp;M$1,INDIRECT("Table1[Obergruppe ATC-Code]"),Tabelle3!$A41)</f>
        <v>0</v>
      </c>
      <c r="N41">
        <f ca="1">COUNTIFS(INDIRECT("Table1[Beginn]"),"&lt;="&amp;N$1,INDIRECT("Table1[Ende]"),"&gt;="&amp;N$1,INDIRECT("Table1[Obergruppe ATC-Code]"),Tabelle3!$A41)</f>
        <v>0</v>
      </c>
      <c r="O41">
        <f ca="1">COUNTIFS(INDIRECT("Table1[Beginn]"),"&lt;="&amp;O$1,INDIRECT("Table1[Ende]"),"&gt;="&amp;O$1,INDIRECT("Table1[Obergruppe ATC-Code]"),Tabelle3!$A41)</f>
        <v>0</v>
      </c>
      <c r="P41">
        <f ca="1">COUNTIFS(INDIRECT("Table1[Beginn]"),"&lt;="&amp;P$1,INDIRECT("Table1[Ende]"),"&gt;="&amp;P$1,INDIRECT("Table1[Obergruppe ATC-Code]"),Tabelle3!$A41)</f>
        <v>0</v>
      </c>
      <c r="Q41">
        <f ca="1">COUNTIFS(INDIRECT("Table1[Beginn]"),"&lt;="&amp;Q$1,INDIRECT("Table1[Ende]"),"&gt;="&amp;Q$1,INDIRECT("Table1[Obergruppe ATC-Code]"),Tabelle3!$A41)</f>
        <v>0</v>
      </c>
      <c r="R41">
        <f ca="1">COUNTIFS(INDIRECT("Table1[Beginn]"),"&lt;="&amp;R$1,INDIRECT("Table1[Ende]"),"&gt;="&amp;R$1,INDIRECT("Table1[Obergruppe ATC-Code]"),Tabelle3!$A41)</f>
        <v>0</v>
      </c>
      <c r="S41">
        <f ca="1">COUNTIFS(INDIRECT("Table1[Beginn]"),"&lt;="&amp;S$1,INDIRECT("Table1[Ende]"),"&gt;="&amp;S$1,INDIRECT("Table1[Obergruppe ATC-Code]"),Tabelle3!$A41)</f>
        <v>0</v>
      </c>
      <c r="T41">
        <f ca="1">COUNTIFS(INDIRECT("Table1[Beginn]"),"&lt;="&amp;T$1,INDIRECT("Table1[Ende]"),"&gt;="&amp;T$1,INDIRECT("Table1[Obergruppe ATC-Code]"),Tabelle3!$A41)</f>
        <v>0</v>
      </c>
      <c r="U41">
        <f ca="1">COUNTIFS(INDIRECT("Table1[Beginn]"),"&lt;="&amp;U$1,INDIRECT("Table1[Ende]"),"&gt;="&amp;U$1,INDIRECT("Table1[Obergruppe ATC-Code]"),Tabelle3!$A41)</f>
        <v>0</v>
      </c>
      <c r="V41">
        <f ca="1">COUNTIFS(INDIRECT("Table1[Beginn]"),"&lt;="&amp;V$1,INDIRECT("Table1[Ende]"),"&gt;="&amp;V$1,INDIRECT("Table1[Obergruppe ATC-Code]"),Tabelle3!$A41)</f>
        <v>0</v>
      </c>
      <c r="W41">
        <f ca="1">COUNTIFS(INDIRECT("Table1[Beginn]"),"&lt;="&amp;W$1,INDIRECT("Table1[Ende]"),"&gt;="&amp;W$1,INDIRECT("Table1[Obergruppe ATC-Code]"),Tabelle3!$A41)</f>
        <v>0</v>
      </c>
      <c r="X41">
        <f ca="1">COUNTIFS(INDIRECT("Table1[Beginn]"),"&lt;="&amp;X$1,INDIRECT("Table1[Ende]"),"&gt;="&amp;X$1,INDIRECT("Table1[Obergruppe ATC-Code]"),Tabelle3!$A41)</f>
        <v>0</v>
      </c>
      <c r="Y41">
        <f ca="1">COUNTIFS(INDIRECT("Table1[Beginn]"),"&lt;="&amp;Y$1,INDIRECT("Table1[Ende]"),"&gt;="&amp;Y$1,INDIRECT("Table1[Obergruppe ATC-Code]"),Tabelle3!$A41)</f>
        <v>0</v>
      </c>
      <c r="Z41">
        <f ca="1">COUNTIFS(INDIRECT("Table1[Beginn]"),"&lt;="&amp;Z$1,INDIRECT("Table1[Ende]"),"&gt;="&amp;Z$1,INDIRECT("Table1[Obergruppe ATC-Code]"),Tabelle3!$A41)</f>
        <v>0</v>
      </c>
      <c r="AA41">
        <f ca="1">COUNTIFS(INDIRECT("Table1[Beginn]"),"&lt;="&amp;AA$1,INDIRECT("Table1[Ende]"),"&gt;="&amp;AA$1,INDIRECT("Table1[Obergruppe ATC-Code]"),Tabelle3!$A41)</f>
        <v>0</v>
      </c>
      <c r="AB41">
        <f ca="1">COUNTIFS(INDIRECT("Table1[Beginn]"),"&lt;="&amp;AB$1,INDIRECT("Table1[Ende]"),"&gt;="&amp;AB$1,INDIRECT("Table1[Obergruppe ATC-Code]"),Tabelle3!$A41)</f>
        <v>0</v>
      </c>
      <c r="AC41">
        <f ca="1">COUNTIFS(INDIRECT("Table1[Beginn]"),"&lt;="&amp;AC$1,INDIRECT("Table1[Ende]"),"&gt;="&amp;AC$1,INDIRECT("Table1[Obergruppe ATC-Code]"),Tabelle3!$A41)</f>
        <v>0</v>
      </c>
      <c r="AD41">
        <f ca="1">COUNTIFS(INDIRECT("Table1[Beginn]"),"&lt;="&amp;AD$1,INDIRECT("Table1[Ende]"),"&gt;="&amp;AD$1,INDIRECT("Table1[Obergruppe ATC-Code]"),Tabelle3!$A41)</f>
        <v>0</v>
      </c>
      <c r="AE41">
        <f ca="1">COUNTIFS(INDIRECT("Table1[Beginn]"),"&lt;="&amp;AE$1,INDIRECT("Table1[Ende]"),"&gt;="&amp;AE$1,INDIRECT("Table1[Obergruppe ATC-Code]"),Tabelle3!$A41)</f>
        <v>0</v>
      </c>
      <c r="AF41">
        <f ca="1">COUNTIFS(INDIRECT("Table1[Beginn]"),"&lt;="&amp;AF$1,INDIRECT("Table1[Ende]"),"&gt;="&amp;AF$1,INDIRECT("Table1[Obergruppe ATC-Code]"),Tabelle3!$A41)</f>
        <v>0</v>
      </c>
      <c r="AG41">
        <f ca="1">COUNTIFS(INDIRECT("Table1[Beginn]"),"&lt;="&amp;AG$1,INDIRECT("Table1[Ende]"),"&gt;="&amp;AG$1,INDIRECT("Table1[Obergruppe ATC-Code]"),Tabelle3!$A41)</f>
        <v>0</v>
      </c>
      <c r="AH41">
        <f ca="1">COUNTIFS(INDIRECT("Table1[Beginn]"),"&lt;="&amp;AH$1,INDIRECT("Table1[Ende]"),"&gt;="&amp;AH$1,INDIRECT("Table1[Obergruppe ATC-Code]"),Tabelle3!$A41)</f>
        <v>0</v>
      </c>
      <c r="AI41">
        <f ca="1">COUNTIFS(INDIRECT("Table1[Beginn]"),"&lt;="&amp;AI$1,INDIRECT("Table1[Ende]"),"&gt;="&amp;AI$1,INDIRECT("Table1[Obergruppe ATC-Code]"),Tabelle3!$A41)</f>
        <v>0</v>
      </c>
      <c r="AJ41">
        <f ca="1">COUNTIFS(INDIRECT("Table1[Beginn]"),"&lt;="&amp;AJ$1,INDIRECT("Table1[Ende]"),"&gt;="&amp;AJ$1,INDIRECT("Table1[Obergruppe ATC-Code]"),Tabelle3!$A41)</f>
        <v>0</v>
      </c>
      <c r="AK41">
        <f ca="1">COUNTIFS(INDIRECT("Table1[Beginn]"),"&lt;="&amp;AK$1,INDIRECT("Table1[Ende]"),"&gt;="&amp;AK$1,INDIRECT("Table1[Obergruppe ATC-Code]"),Tabelle3!$A41)</f>
        <v>0</v>
      </c>
      <c r="AL41">
        <f ca="1">COUNTIFS(INDIRECT("Table1[Beginn]"),"&lt;="&amp;AL$1,INDIRECT("Table1[Ende]"),"&gt;="&amp;AL$1,INDIRECT("Table1[Obergruppe ATC-Code]"),Tabelle3!$A41)</f>
        <v>0</v>
      </c>
      <c r="AM41">
        <f ca="1">COUNTIFS(INDIRECT("Table1[Beginn]"),"&lt;="&amp;AM$1,INDIRECT("Table1[Ende]"),"&gt;="&amp;AM$1,INDIRECT("Table1[Obergruppe ATC-Code]"),Tabelle3!$A41)</f>
        <v>0</v>
      </c>
      <c r="AN41">
        <f ca="1">COUNTIFS(INDIRECT("Table1[Beginn]"),"&lt;="&amp;AN$1,INDIRECT("Table1[Ende]"),"&gt;="&amp;AN$1,INDIRECT("Table1[Obergruppe ATC-Code]"),Tabelle3!$A41)</f>
        <v>0</v>
      </c>
      <c r="AO41">
        <f ca="1">COUNTIFS(INDIRECT("Table1[Beginn]"),"&lt;="&amp;AO$1,INDIRECT("Table1[Ende]"),"&gt;="&amp;AO$1,INDIRECT("Table1[Obergruppe ATC-Code]"),Tabelle3!$A41)</f>
        <v>0</v>
      </c>
      <c r="AP41">
        <f ca="1">COUNTIFS(INDIRECT("Table1[Beginn]"),"&lt;="&amp;AP$1,INDIRECT("Table1[Ende]"),"&gt;="&amp;AP$1,INDIRECT("Table1[Obergruppe ATC-Code]"),Tabelle3!$A41)</f>
        <v>0</v>
      </c>
      <c r="AQ41">
        <f ca="1">COUNTIFS(INDIRECT("Table1[Beginn]"),"&lt;="&amp;AQ$1,INDIRECT("Table1[Ende]"),"&gt;="&amp;AQ$1,INDIRECT("Table1[Obergruppe ATC-Code]"),Tabelle3!$A41)</f>
        <v>0</v>
      </c>
      <c r="AR41">
        <f ca="1">COUNTIFS(INDIRECT("Table1[Beginn]"),"&lt;="&amp;AR$1,INDIRECT("Table1[Ende]"),"&gt;="&amp;AR$1,INDIRECT("Table1[Obergruppe ATC-Code]"),Tabelle3!$A41)</f>
        <v>0</v>
      </c>
      <c r="AS41">
        <f ca="1">COUNTIFS(INDIRECT("Table1[Beginn]"),"&lt;="&amp;AS$1,INDIRECT("Table1[Ende]"),"&gt;="&amp;AS$1,INDIRECT("Table1[Obergruppe ATC-Code]"),Tabelle3!$A41)</f>
        <v>0</v>
      </c>
      <c r="AT41">
        <f ca="1">COUNTIFS(INDIRECT("Table1[Beginn]"),"&lt;="&amp;AT$1,INDIRECT("Table1[Ende]"),"&gt;="&amp;AT$1,INDIRECT("Table1[Obergruppe ATC-Code]"),Tabelle3!$A41)</f>
        <v>0</v>
      </c>
      <c r="AU41">
        <f ca="1">COUNTIFS(INDIRECT("Table1[Beginn]"),"&lt;="&amp;AU$1,INDIRECT("Table1[Ende]"),"&gt;="&amp;AU$1,INDIRECT("Table1[Obergruppe ATC-Code]"),Tabelle3!$A41)</f>
        <v>0</v>
      </c>
      <c r="AV41">
        <f ca="1">COUNTIFS(INDIRECT("Table1[Beginn]"),"&lt;="&amp;AV$1,INDIRECT("Table1[Ende]"),"&gt;="&amp;AV$1,INDIRECT("Table1[Obergruppe ATC-Code]"),Tabelle3!$A41)</f>
        <v>0</v>
      </c>
      <c r="AW41">
        <f ca="1">COUNTIFS(INDIRECT("Table1[Beginn]"),"&lt;="&amp;AW$1,INDIRECT("Table1[Ende]"),"&gt;="&amp;AW$1,INDIRECT("Table1[Obergruppe ATC-Code]"),Tabelle3!$A41)</f>
        <v>0</v>
      </c>
      <c r="AX41">
        <f ca="1">COUNTIFS(INDIRECT("Table1[Beginn]"),"&lt;="&amp;AX$1,INDIRECT("Table1[Ende]"),"&gt;="&amp;AX$1,INDIRECT("Table1[Obergruppe ATC-Code]"),Tabelle3!$A41)</f>
        <v>0</v>
      </c>
      <c r="AY41">
        <f ca="1">COUNTIFS(INDIRECT("Table1[Beginn]"),"&lt;="&amp;AY$1,INDIRECT("Table1[Ende]"),"&gt;="&amp;AY$1,INDIRECT("Table1[Obergruppe ATC-Code]"),Tabelle3!$A41)</f>
        <v>0</v>
      </c>
      <c r="AZ41">
        <f ca="1">COUNTIFS(INDIRECT("Table1[Beginn]"),"&lt;="&amp;AZ$1,INDIRECT("Table1[Ende]"),"&gt;="&amp;AZ$1,INDIRECT("Table1[Obergruppe ATC-Code]"),Tabelle3!$A41)</f>
        <v>0</v>
      </c>
      <c r="BA41">
        <f ca="1">COUNTIFS(INDIRECT("Table1[Beginn]"),"&lt;="&amp;BA$1,INDIRECT("Table1[Ende]"),"&gt;="&amp;BA$1,INDIRECT("Table1[Obergruppe ATC-Code]"),Tabelle3!$A41)</f>
        <v>0</v>
      </c>
      <c r="BB41">
        <f ca="1">COUNTIFS(INDIRECT("Table1[Beginn]"),"&lt;="&amp;BB$1,INDIRECT("Table1[Ende]"),"&gt;="&amp;BB$1,INDIRECT("Table1[Obergruppe ATC-Code]"),Tabelle3!$A41)</f>
        <v>0</v>
      </c>
      <c r="BC41">
        <f ca="1">COUNTIFS(INDIRECT("Table1[Beginn]"),"&lt;="&amp;BC$1,INDIRECT("Table1[Ende]"),"&gt;="&amp;BC$1,INDIRECT("Table1[Obergruppe ATC-Code]"),Tabelle3!$A41)</f>
        <v>0</v>
      </c>
      <c r="BD41">
        <f ca="1">COUNTIFS(INDIRECT("Table1[Beginn]"),"&lt;="&amp;BD$1,INDIRECT("Table1[Ende]"),"&gt;="&amp;BD$1,INDIRECT("Table1[Obergruppe ATC-Code]"),Tabelle3!$A41)</f>
        <v>0</v>
      </c>
      <c r="BE41">
        <f ca="1">COUNTIFS(INDIRECT("Table1[Beginn]"),"&lt;="&amp;BE$1,INDIRECT("Table1[Ende]"),"&gt;="&amp;BE$1,INDIRECT("Table1[Obergruppe ATC-Code]"),Tabelle3!$A41)</f>
        <v>0</v>
      </c>
      <c r="BF41">
        <f ca="1">COUNTIFS(INDIRECT("Table1[Beginn]"),"&lt;="&amp;BF$1,INDIRECT("Table1[Ende]"),"&gt;="&amp;BF$1,INDIRECT("Table1[Obergruppe ATC-Code]"),Tabelle3!$A41)</f>
        <v>0</v>
      </c>
      <c r="BG41">
        <f ca="1">COUNTIFS(INDIRECT("Table1[Beginn]"),"&lt;="&amp;BG$1,INDIRECT("Table1[Ende]"),"&gt;="&amp;BG$1,INDIRECT("Table1[Obergruppe ATC-Code]"),Tabelle3!$A41)</f>
        <v>0</v>
      </c>
      <c r="BH41">
        <f ca="1">COUNTIFS(INDIRECT("Table1[Beginn]"),"&lt;="&amp;BH$1,INDIRECT("Table1[Ende]"),"&gt;="&amp;BH$1,INDIRECT("Table1[Obergruppe ATC-Code]"),Tabelle3!$A41)</f>
        <v>0</v>
      </c>
      <c r="BI41">
        <f ca="1">COUNTIFS(INDIRECT("Table1[Beginn]"),"&lt;="&amp;BI$1,INDIRECT("Table1[Ende]"),"&gt;="&amp;BI$1,INDIRECT("Table1[Obergruppe ATC-Code]"),Tabelle3!$A41)</f>
        <v>0</v>
      </c>
      <c r="BJ41">
        <f ca="1">COUNTIFS(INDIRECT("Table1[Beginn]"),"&lt;="&amp;BJ$1,INDIRECT("Table1[Ende]"),"&gt;="&amp;BJ$1,INDIRECT("Table1[Obergruppe ATC-Code]"),Tabelle3!$A41)</f>
        <v>0</v>
      </c>
      <c r="BK41">
        <f ca="1">COUNTIFS(INDIRECT("Table1[Beginn]"),"&lt;="&amp;BK$1,INDIRECT("Table1[Ende]"),"&gt;="&amp;BK$1,INDIRECT("Table1[Obergruppe ATC-Code]"),Tabelle3!$A41)</f>
        <v>0</v>
      </c>
      <c r="BL41">
        <f ca="1">COUNTIFS(INDIRECT("Table1[Beginn]"),"&lt;="&amp;BL$1,INDIRECT("Table1[Ende]"),"&gt;="&amp;BL$1,INDIRECT("Table1[Obergruppe ATC-Code]"),Tabelle3!$A41)</f>
        <v>0</v>
      </c>
      <c r="BM41">
        <f ca="1">COUNTIFS(INDIRECT("Table1[Beginn]"),"&lt;="&amp;BM$1,INDIRECT("Table1[Ende]"),"&gt;="&amp;BM$1,INDIRECT("Table1[Obergruppe ATC-Code]"),Tabelle3!$A41)</f>
        <v>0</v>
      </c>
      <c r="BN41">
        <f ca="1">COUNTIFS(INDIRECT("Table1[Beginn]"),"&lt;="&amp;BN$1,INDIRECT("Table1[Ende]"),"&gt;="&amp;BN$1,INDIRECT("Table1[Obergruppe ATC-Code]"),Tabelle3!$A41)</f>
        <v>0</v>
      </c>
      <c r="BO41">
        <f ca="1">COUNTIFS(INDIRECT("Table1[Beginn]"),"&lt;="&amp;BO$1,INDIRECT("Table1[Ende]"),"&gt;="&amp;BO$1,INDIRECT("Table1[Obergruppe ATC-Code]"),Tabelle3!$A41)</f>
        <v>0</v>
      </c>
      <c r="BP41">
        <f ca="1">COUNTIFS(INDIRECT("Table1[Beginn]"),"&lt;="&amp;BP$1,INDIRECT("Table1[Ende]"),"&gt;="&amp;BP$1,INDIRECT("Table1[Obergruppe ATC-Code]"),Tabelle3!$A41)</f>
        <v>0</v>
      </c>
      <c r="BQ41">
        <f ca="1">COUNTIFS(INDIRECT("Table1[Beginn]"),"&lt;="&amp;BQ$1,INDIRECT("Table1[Ende]"),"&gt;="&amp;BQ$1,INDIRECT("Table1[Obergruppe ATC-Code]"),Tabelle3!$A41)</f>
        <v>0</v>
      </c>
      <c r="BR41">
        <f ca="1">COUNTIFS(INDIRECT("Table1[Beginn]"),"&lt;="&amp;BR$1,INDIRECT("Table1[Ende]"),"&gt;="&amp;BR$1,INDIRECT("Table1[Obergruppe ATC-Code]"),Tabelle3!$A41)</f>
        <v>0</v>
      </c>
      <c r="BS41">
        <f ca="1">COUNTIFS(INDIRECT("Table1[Beginn]"),"&lt;="&amp;BS$1,INDIRECT("Table1[Ende]"),"&gt;="&amp;BS$1,INDIRECT("Table1[Obergruppe ATC-Code]"),Tabelle3!$A41)</f>
        <v>0</v>
      </c>
      <c r="BT41">
        <f ca="1">COUNTIFS(INDIRECT("Table1[Beginn]"),"&lt;="&amp;BT$1,INDIRECT("Table1[Ende]"),"&gt;="&amp;BT$1,INDIRECT("Table1[Obergruppe ATC-Code]"),Tabelle3!$A41)</f>
        <v>0</v>
      </c>
      <c r="BU41">
        <f ca="1">COUNTIFS(INDIRECT("Table1[Beginn]"),"&lt;="&amp;BU$1,INDIRECT("Table1[Ende]"),"&gt;="&amp;BU$1,INDIRECT("Table1[Obergruppe ATC-Code]"),Tabelle3!$A41)</f>
        <v>0</v>
      </c>
      <c r="BV41">
        <f ca="1">COUNTIFS(INDIRECT("Table1[Beginn]"),"&lt;="&amp;BV$1,INDIRECT("Table1[Ende]"),"&gt;="&amp;BV$1,INDIRECT("Table1[Obergruppe ATC-Code]"),Tabelle3!$A41)</f>
        <v>0</v>
      </c>
      <c r="BW41">
        <f ca="1">COUNTIFS(INDIRECT("Table1[Beginn]"),"&lt;="&amp;BW$1,INDIRECT("Table1[Ende]"),"&gt;="&amp;BW$1,INDIRECT("Table1[Obergruppe ATC-Code]"),Tabelle3!$A41)</f>
        <v>0</v>
      </c>
      <c r="BX41">
        <f ca="1">COUNTIFS(INDIRECT("Table1[Beginn]"),"&lt;="&amp;BX$1,INDIRECT("Table1[Ende]"),"&gt;="&amp;BX$1,INDIRECT("Table1[Obergruppe ATC-Code]"),Tabelle3!$A41)</f>
        <v>0</v>
      </c>
      <c r="BY41">
        <f ca="1">COUNTIFS(INDIRECT("Table1[Beginn]"),"&lt;="&amp;BY$1,INDIRECT("Table1[Ende]"),"&gt;="&amp;BY$1,INDIRECT("Table1[Obergruppe ATC-Code]"),Tabelle3!$A41)</f>
        <v>0</v>
      </c>
      <c r="BZ41">
        <f ca="1">COUNTIFS(INDIRECT("Table1[Beginn]"),"&lt;="&amp;BZ$1,INDIRECT("Table1[Ende]"),"&gt;="&amp;BZ$1,INDIRECT("Table1[Obergruppe ATC-Code]"),Tabelle3!$A41)</f>
        <v>0</v>
      </c>
      <c r="CA41">
        <f ca="1">COUNTIFS(INDIRECT("Table1[Beginn]"),"&lt;="&amp;CA$1,INDIRECT("Table1[Ende]"),"&gt;="&amp;CA$1,INDIRECT("Table1[Obergruppe ATC-Code]"),Tabelle3!$A41)</f>
        <v>0</v>
      </c>
      <c r="CB41">
        <f ca="1">COUNTIFS(INDIRECT("Table1[Beginn]"),"&lt;="&amp;CB$1,INDIRECT("Table1[Ende]"),"&gt;="&amp;CB$1,INDIRECT("Table1[Obergruppe ATC-Code]"),Tabelle3!$A41)</f>
        <v>0</v>
      </c>
      <c r="CC41">
        <f ca="1">COUNTIFS(INDIRECT("Table1[Beginn]"),"&lt;="&amp;CC$1,INDIRECT("Table1[Ende]"),"&gt;="&amp;CC$1,INDIRECT("Table1[Obergruppe ATC-Code]"),Tabelle3!$A41)</f>
        <v>0</v>
      </c>
      <c r="CD41">
        <f ca="1">COUNTIFS(INDIRECT("Table1[Beginn]"),"&lt;="&amp;CD$1,INDIRECT("Table1[Ende]"),"&gt;="&amp;CD$1,INDIRECT("Table1[Obergruppe ATC-Code]"),Tabelle3!$A41)</f>
        <v>0</v>
      </c>
      <c r="CE41">
        <f ca="1">COUNTIFS(INDIRECT("Table1[Beginn]"),"&lt;="&amp;CE$1,INDIRECT("Table1[Ende]"),"&gt;="&amp;CE$1,INDIRECT("Table1[Obergruppe ATC-Code]"),Tabelle3!$A41)</f>
        <v>0</v>
      </c>
      <c r="CF41">
        <f ca="1">COUNTIFS(INDIRECT("Table1[Beginn]"),"&lt;="&amp;CF$1,INDIRECT("Table1[Ende]"),"&gt;="&amp;CF$1,INDIRECT("Table1[Obergruppe ATC-Code]"),Tabelle3!$A41)</f>
        <v>0</v>
      </c>
      <c r="CG41">
        <f ca="1">COUNTIFS(INDIRECT("Table1[Beginn]"),"&lt;="&amp;CG$1,INDIRECT("Table1[Ende]"),"&gt;="&amp;CG$1,INDIRECT("Table1[Obergruppe ATC-Code]"),Tabelle3!$A41)</f>
        <v>0</v>
      </c>
      <c r="CH41">
        <f ca="1">COUNTIFS(INDIRECT("Table1[Beginn]"),"&lt;="&amp;CH$1,INDIRECT("Table1[Ende]"),"&gt;="&amp;CH$1,INDIRECT("Table1[Obergruppe ATC-Code]"),Tabelle3!$A41)</f>
        <v>0</v>
      </c>
      <c r="CI41">
        <f ca="1">COUNTIFS(INDIRECT("Table1[Beginn]"),"&lt;="&amp;CI$1,INDIRECT("Table1[Ende]"),"&gt;="&amp;CI$1,INDIRECT("Table1[Obergruppe ATC-Code]"),Tabelle3!$A41)</f>
        <v>0</v>
      </c>
      <c r="CJ41">
        <f ca="1">COUNTIFS(INDIRECT("Table1[Beginn]"),"&lt;="&amp;CJ$1,INDIRECT("Table1[Ende]"),"&gt;="&amp;CJ$1,INDIRECT("Table1[Obergruppe ATC-Code]"),Tabelle3!$A41)</f>
        <v>0</v>
      </c>
      <c r="CK41">
        <f ca="1">COUNTIFS(INDIRECT("Table1[Beginn]"),"&lt;="&amp;CK$1,INDIRECT("Table1[Ende]"),"&gt;="&amp;CK$1,INDIRECT("Table1[Obergruppe ATC-Code]"),Tabelle3!$A41)</f>
        <v>0</v>
      </c>
      <c r="CL41">
        <f ca="1">COUNTIFS(INDIRECT("Table1[Beginn]"),"&lt;="&amp;CL$1,INDIRECT("Table1[Ende]"),"&gt;="&amp;CL$1,INDIRECT("Table1[Obergruppe ATC-Code]"),Tabelle3!$A41)</f>
        <v>0</v>
      </c>
      <c r="CM41">
        <f ca="1">COUNTIFS(INDIRECT("Table1[Beginn]"),"&lt;="&amp;CM$1,INDIRECT("Table1[Ende]"),"&gt;="&amp;CM$1,INDIRECT("Table1[Obergruppe ATC-Code]"),Tabelle3!$A41)</f>
        <v>0</v>
      </c>
      <c r="CN41">
        <f ca="1">COUNTIFS(INDIRECT("Table1[Beginn]"),"&lt;="&amp;CN$1,INDIRECT("Table1[Ende]"),"&gt;="&amp;CN$1,INDIRECT("Table1[Obergruppe ATC-Code]"),Tabelle3!$A41)</f>
        <v>0</v>
      </c>
      <c r="CO41">
        <f ca="1">COUNTIFS(INDIRECT("Table1[Beginn]"),"&lt;="&amp;CO$1,INDIRECT("Table1[Ende]"),"&gt;="&amp;CO$1,INDIRECT("Table1[Obergruppe ATC-Code]"),Tabelle3!$A41)</f>
        <v>0</v>
      </c>
      <c r="CP41">
        <f ca="1">COUNTIFS(INDIRECT("Table1[Beginn]"),"&lt;="&amp;CP$1,INDIRECT("Table1[Ende]"),"&gt;="&amp;CP$1,INDIRECT("Table1[Obergruppe ATC-Code]"),Tabelle3!$A41)</f>
        <v>0</v>
      </c>
      <c r="CQ41">
        <f ca="1">COUNTIFS(INDIRECT("Table1[Beginn]"),"&lt;="&amp;CQ$1,INDIRECT("Table1[Ende]"),"&gt;="&amp;CQ$1,INDIRECT("Table1[Obergruppe ATC-Code]"),Tabelle3!$A41)</f>
        <v>0</v>
      </c>
      <c r="CR41">
        <f ca="1">COUNTIFS(INDIRECT("Table1[Beginn]"),"&lt;="&amp;CR$1,INDIRECT("Table1[Ende]"),"&gt;="&amp;CR$1,INDIRECT("Table1[Obergruppe ATC-Code]"),Tabelle3!$A41)</f>
        <v>0</v>
      </c>
      <c r="CS41">
        <f ca="1">COUNTIFS(INDIRECT("Table1[Beginn]"),"&lt;="&amp;CS$1,INDIRECT("Table1[Ende]"),"&gt;="&amp;CS$1,INDIRECT("Table1[Obergruppe ATC-Code]"),Tabelle3!$A41)</f>
        <v>0</v>
      </c>
      <c r="CT41">
        <f ca="1">COUNTIFS(INDIRECT("Table1[Beginn]"),"&lt;="&amp;CT$1,INDIRECT("Table1[Ende]"),"&gt;="&amp;CT$1,INDIRECT("Table1[Obergruppe ATC-Code]"),Tabelle3!$A41)</f>
        <v>0</v>
      </c>
      <c r="CU41" s="56"/>
      <c r="CV41" s="56"/>
      <c r="CW41" s="56"/>
      <c r="CX41" s="56"/>
      <c r="CY41" s="56"/>
      <c r="CZ41" s="56"/>
      <c r="DA41" s="56"/>
      <c r="DB41" s="56"/>
      <c r="DC41" s="56"/>
      <c r="DD41" s="56"/>
      <c r="DE41" s="56"/>
      <c r="DF41" s="56"/>
      <c r="DG41" s="56"/>
      <c r="DH41" s="56"/>
    </row>
    <row r="42" spans="1:112" ht="18" customHeight="1">
      <c r="A42" s="7" t="s">
        <v>6853</v>
      </c>
      <c r="B42" s="8" t="s">
        <v>6854</v>
      </c>
      <c r="C42">
        <f ca="1">COUNTIFS(INDIRECT("Table1[Beginn]"),"&lt;="&amp;C$1,INDIRECT("Table1[Ende]"),"&gt;="&amp;C$1,INDIRECT("Table1[Obergruppe ATC-Code]"),Tabelle3!$A42)</f>
        <v>0</v>
      </c>
      <c r="D42">
        <f ca="1">COUNTIFS(INDIRECT("Table1[Beginn]"),"&lt;="&amp;D$1,INDIRECT("Table1[Ende]"),"&gt;="&amp;D$1,INDIRECT("Table1[Obergruppe ATC-Code]"),Tabelle3!$A42)</f>
        <v>0</v>
      </c>
      <c r="E42">
        <f ca="1">COUNTIFS(INDIRECT("Table1[Beginn]"),"&lt;="&amp;E$1,INDIRECT("Table1[Ende]"),"&gt;="&amp;E$1,INDIRECT("Table1[Obergruppe ATC-Code]"),Tabelle3!$A42)</f>
        <v>0</v>
      </c>
      <c r="F42">
        <f ca="1">COUNTIFS(INDIRECT("Table1[Beginn]"),"&lt;="&amp;F$1,INDIRECT("Table1[Ende]"),"&gt;="&amp;F$1,INDIRECT("Table1[Obergruppe ATC-Code]"),Tabelle3!$A42)</f>
        <v>0</v>
      </c>
      <c r="G42">
        <f ca="1">COUNTIFS(INDIRECT("Table1[Beginn]"),"&lt;="&amp;G$1,INDIRECT("Table1[Ende]"),"&gt;="&amp;G$1,INDIRECT("Table1[Obergruppe ATC-Code]"),Tabelle3!$A42)</f>
        <v>0</v>
      </c>
      <c r="H42">
        <f ca="1">COUNTIFS(INDIRECT("Table1[Beginn]"),"&lt;="&amp;H$1,INDIRECT("Table1[Ende]"),"&gt;="&amp;H$1,INDIRECT("Table1[Obergruppe ATC-Code]"),Tabelle3!$A42)</f>
        <v>0</v>
      </c>
      <c r="I42">
        <f ca="1">COUNTIFS(INDIRECT("Table1[Beginn]"),"&lt;="&amp;I$1,INDIRECT("Table1[Ende]"),"&gt;="&amp;I$1,INDIRECT("Table1[Obergruppe ATC-Code]"),Tabelle3!$A42)</f>
        <v>0</v>
      </c>
      <c r="J42">
        <f ca="1">COUNTIFS(INDIRECT("Table1[Beginn]"),"&lt;="&amp;J$1,INDIRECT("Table1[Ende]"),"&gt;="&amp;J$1,INDIRECT("Table1[Obergruppe ATC-Code]"),Tabelle3!$A42)</f>
        <v>0</v>
      </c>
      <c r="K42">
        <f ca="1">COUNTIFS(INDIRECT("Table1[Beginn]"),"&lt;="&amp;K$1,INDIRECT("Table1[Ende]"),"&gt;="&amp;K$1,INDIRECT("Table1[Obergruppe ATC-Code]"),Tabelle3!$A42)</f>
        <v>0</v>
      </c>
      <c r="L42">
        <f ca="1">COUNTIFS(INDIRECT("Table1[Beginn]"),"&lt;="&amp;L$1,INDIRECT("Table1[Ende]"),"&gt;="&amp;L$1,INDIRECT("Table1[Obergruppe ATC-Code]"),Tabelle3!$A42)</f>
        <v>0</v>
      </c>
      <c r="M42">
        <f ca="1">COUNTIFS(INDIRECT("Table1[Beginn]"),"&lt;="&amp;M$1,INDIRECT("Table1[Ende]"),"&gt;="&amp;M$1,INDIRECT("Table1[Obergruppe ATC-Code]"),Tabelle3!$A42)</f>
        <v>0</v>
      </c>
      <c r="N42">
        <f ca="1">COUNTIFS(INDIRECT("Table1[Beginn]"),"&lt;="&amp;N$1,INDIRECT("Table1[Ende]"),"&gt;="&amp;N$1,INDIRECT("Table1[Obergruppe ATC-Code]"),Tabelle3!$A42)</f>
        <v>0</v>
      </c>
      <c r="O42">
        <f ca="1">COUNTIFS(INDIRECT("Table1[Beginn]"),"&lt;="&amp;O$1,INDIRECT("Table1[Ende]"),"&gt;="&amp;O$1,INDIRECT("Table1[Obergruppe ATC-Code]"),Tabelle3!$A42)</f>
        <v>0</v>
      </c>
      <c r="P42">
        <f ca="1">COUNTIFS(INDIRECT("Table1[Beginn]"),"&lt;="&amp;P$1,INDIRECT("Table1[Ende]"),"&gt;="&amp;P$1,INDIRECT("Table1[Obergruppe ATC-Code]"),Tabelle3!$A42)</f>
        <v>0</v>
      </c>
      <c r="Q42">
        <f ca="1">COUNTIFS(INDIRECT("Table1[Beginn]"),"&lt;="&amp;Q$1,INDIRECT("Table1[Ende]"),"&gt;="&amp;Q$1,INDIRECT("Table1[Obergruppe ATC-Code]"),Tabelle3!$A42)</f>
        <v>0</v>
      </c>
      <c r="R42">
        <f ca="1">COUNTIFS(INDIRECT("Table1[Beginn]"),"&lt;="&amp;R$1,INDIRECT("Table1[Ende]"),"&gt;="&amp;R$1,INDIRECT("Table1[Obergruppe ATC-Code]"),Tabelle3!$A42)</f>
        <v>0</v>
      </c>
      <c r="S42">
        <f ca="1">COUNTIFS(INDIRECT("Table1[Beginn]"),"&lt;="&amp;S$1,INDIRECT("Table1[Ende]"),"&gt;="&amp;S$1,INDIRECT("Table1[Obergruppe ATC-Code]"),Tabelle3!$A42)</f>
        <v>0</v>
      </c>
      <c r="T42">
        <f ca="1">COUNTIFS(INDIRECT("Table1[Beginn]"),"&lt;="&amp;T$1,INDIRECT("Table1[Ende]"),"&gt;="&amp;T$1,INDIRECT("Table1[Obergruppe ATC-Code]"),Tabelle3!$A42)</f>
        <v>0</v>
      </c>
      <c r="U42">
        <f ca="1">COUNTIFS(INDIRECT("Table1[Beginn]"),"&lt;="&amp;U$1,INDIRECT("Table1[Ende]"),"&gt;="&amp;U$1,INDIRECT("Table1[Obergruppe ATC-Code]"),Tabelle3!$A42)</f>
        <v>0</v>
      </c>
      <c r="V42">
        <f ca="1">COUNTIFS(INDIRECT("Table1[Beginn]"),"&lt;="&amp;V$1,INDIRECT("Table1[Ende]"),"&gt;="&amp;V$1,INDIRECT("Table1[Obergruppe ATC-Code]"),Tabelle3!$A42)</f>
        <v>0</v>
      </c>
      <c r="W42">
        <f ca="1">COUNTIFS(INDIRECT("Table1[Beginn]"),"&lt;="&amp;W$1,INDIRECT("Table1[Ende]"),"&gt;="&amp;W$1,INDIRECT("Table1[Obergruppe ATC-Code]"),Tabelle3!$A42)</f>
        <v>0</v>
      </c>
      <c r="X42">
        <f ca="1">COUNTIFS(INDIRECT("Table1[Beginn]"),"&lt;="&amp;X$1,INDIRECT("Table1[Ende]"),"&gt;="&amp;X$1,INDIRECT("Table1[Obergruppe ATC-Code]"),Tabelle3!$A42)</f>
        <v>0</v>
      </c>
      <c r="Y42">
        <f ca="1">COUNTIFS(INDIRECT("Table1[Beginn]"),"&lt;="&amp;Y$1,INDIRECT("Table1[Ende]"),"&gt;="&amp;Y$1,INDIRECT("Table1[Obergruppe ATC-Code]"),Tabelle3!$A42)</f>
        <v>0</v>
      </c>
      <c r="Z42">
        <f ca="1">COUNTIFS(INDIRECT("Table1[Beginn]"),"&lt;="&amp;Z$1,INDIRECT("Table1[Ende]"),"&gt;="&amp;Z$1,INDIRECT("Table1[Obergruppe ATC-Code]"),Tabelle3!$A42)</f>
        <v>0</v>
      </c>
      <c r="AA42">
        <f ca="1">COUNTIFS(INDIRECT("Table1[Beginn]"),"&lt;="&amp;AA$1,INDIRECT("Table1[Ende]"),"&gt;="&amp;AA$1,INDIRECT("Table1[Obergruppe ATC-Code]"),Tabelle3!$A42)</f>
        <v>0</v>
      </c>
      <c r="AB42">
        <f ca="1">COUNTIFS(INDIRECT("Table1[Beginn]"),"&lt;="&amp;AB$1,INDIRECT("Table1[Ende]"),"&gt;="&amp;AB$1,INDIRECT("Table1[Obergruppe ATC-Code]"),Tabelle3!$A42)</f>
        <v>0</v>
      </c>
      <c r="AC42">
        <f ca="1">COUNTIFS(INDIRECT("Table1[Beginn]"),"&lt;="&amp;AC$1,INDIRECT("Table1[Ende]"),"&gt;="&amp;AC$1,INDIRECT("Table1[Obergruppe ATC-Code]"),Tabelle3!$A42)</f>
        <v>1</v>
      </c>
      <c r="AD42">
        <f ca="1">COUNTIFS(INDIRECT("Table1[Beginn]"),"&lt;="&amp;AD$1,INDIRECT("Table1[Ende]"),"&gt;="&amp;AD$1,INDIRECT("Table1[Obergruppe ATC-Code]"),Tabelle3!$A42)</f>
        <v>1</v>
      </c>
      <c r="AE42">
        <f ca="1">COUNTIFS(INDIRECT("Table1[Beginn]"),"&lt;="&amp;AE$1,INDIRECT("Table1[Ende]"),"&gt;="&amp;AE$1,INDIRECT("Table1[Obergruppe ATC-Code]"),Tabelle3!$A42)</f>
        <v>1</v>
      </c>
      <c r="AF42">
        <f ca="1">COUNTIFS(INDIRECT("Table1[Beginn]"),"&lt;="&amp;AF$1,INDIRECT("Table1[Ende]"),"&gt;="&amp;AF$1,INDIRECT("Table1[Obergruppe ATC-Code]"),Tabelle3!$A42)</f>
        <v>1</v>
      </c>
      <c r="AG42">
        <f ca="1">COUNTIFS(INDIRECT("Table1[Beginn]"),"&lt;="&amp;AG$1,INDIRECT("Table1[Ende]"),"&gt;="&amp;AG$1,INDIRECT("Table1[Obergruppe ATC-Code]"),Tabelle3!$A42)</f>
        <v>1</v>
      </c>
      <c r="AH42">
        <f ca="1">COUNTIFS(INDIRECT("Table1[Beginn]"),"&lt;="&amp;AH$1,INDIRECT("Table1[Ende]"),"&gt;="&amp;AH$1,INDIRECT("Table1[Obergruppe ATC-Code]"),Tabelle3!$A42)</f>
        <v>1</v>
      </c>
      <c r="AI42">
        <f ca="1">COUNTIFS(INDIRECT("Table1[Beginn]"),"&lt;="&amp;AI$1,INDIRECT("Table1[Ende]"),"&gt;="&amp;AI$1,INDIRECT("Table1[Obergruppe ATC-Code]"),Tabelle3!$A42)</f>
        <v>1</v>
      </c>
      <c r="AJ42">
        <f ca="1">COUNTIFS(INDIRECT("Table1[Beginn]"),"&lt;="&amp;AJ$1,INDIRECT("Table1[Ende]"),"&gt;="&amp;AJ$1,INDIRECT("Table1[Obergruppe ATC-Code]"),Tabelle3!$A42)</f>
        <v>1</v>
      </c>
      <c r="AK42">
        <f ca="1">COUNTIFS(INDIRECT("Table1[Beginn]"),"&lt;="&amp;AK$1,INDIRECT("Table1[Ende]"),"&gt;="&amp;AK$1,INDIRECT("Table1[Obergruppe ATC-Code]"),Tabelle3!$A42)</f>
        <v>1</v>
      </c>
      <c r="AL42">
        <f ca="1">COUNTIFS(INDIRECT("Table1[Beginn]"),"&lt;="&amp;AL$1,INDIRECT("Table1[Ende]"),"&gt;="&amp;AL$1,INDIRECT("Table1[Obergruppe ATC-Code]"),Tabelle3!$A42)</f>
        <v>1</v>
      </c>
      <c r="AM42">
        <f ca="1">COUNTIFS(INDIRECT("Table1[Beginn]"),"&lt;="&amp;AM$1,INDIRECT("Table1[Ende]"),"&gt;="&amp;AM$1,INDIRECT("Table1[Obergruppe ATC-Code]"),Tabelle3!$A42)</f>
        <v>3</v>
      </c>
      <c r="AN42">
        <f ca="1">COUNTIFS(INDIRECT("Table1[Beginn]"),"&lt;="&amp;AN$1,INDIRECT("Table1[Ende]"),"&gt;="&amp;AN$1,INDIRECT("Table1[Obergruppe ATC-Code]"),Tabelle3!$A42)</f>
        <v>2</v>
      </c>
      <c r="AO42">
        <f ca="1">COUNTIFS(INDIRECT("Table1[Beginn]"),"&lt;="&amp;AO$1,INDIRECT("Table1[Ende]"),"&gt;="&amp;AO$1,INDIRECT("Table1[Obergruppe ATC-Code]"),Tabelle3!$A42)</f>
        <v>0</v>
      </c>
      <c r="AP42">
        <f ca="1">COUNTIFS(INDIRECT("Table1[Beginn]"),"&lt;="&amp;AP$1,INDIRECT("Table1[Ende]"),"&gt;="&amp;AP$1,INDIRECT("Table1[Obergruppe ATC-Code]"),Tabelle3!$A42)</f>
        <v>0</v>
      </c>
      <c r="AQ42">
        <f ca="1">COUNTIFS(INDIRECT("Table1[Beginn]"),"&lt;="&amp;AQ$1,INDIRECT("Table1[Ende]"),"&gt;="&amp;AQ$1,INDIRECT("Table1[Obergruppe ATC-Code]"),Tabelle3!$A42)</f>
        <v>2</v>
      </c>
      <c r="AR42">
        <f ca="1">COUNTIFS(INDIRECT("Table1[Beginn]"),"&lt;="&amp;AR$1,INDIRECT("Table1[Ende]"),"&gt;="&amp;AR$1,INDIRECT("Table1[Obergruppe ATC-Code]"),Tabelle3!$A42)</f>
        <v>2</v>
      </c>
      <c r="AS42">
        <f ca="1">COUNTIFS(INDIRECT("Table1[Beginn]"),"&lt;="&amp;AS$1,INDIRECT("Table1[Ende]"),"&gt;="&amp;AS$1,INDIRECT("Table1[Obergruppe ATC-Code]"),Tabelle3!$A42)</f>
        <v>3</v>
      </c>
      <c r="AT42">
        <f ca="1">COUNTIFS(INDIRECT("Table1[Beginn]"),"&lt;="&amp;AT$1,INDIRECT("Table1[Ende]"),"&gt;="&amp;AT$1,INDIRECT("Table1[Obergruppe ATC-Code]"),Tabelle3!$A42)</f>
        <v>3</v>
      </c>
      <c r="AU42">
        <f ca="1">COUNTIFS(INDIRECT("Table1[Beginn]"),"&lt;="&amp;AU$1,INDIRECT("Table1[Ende]"),"&gt;="&amp;AU$1,INDIRECT("Table1[Obergruppe ATC-Code]"),Tabelle3!$A42)</f>
        <v>3</v>
      </c>
      <c r="AV42">
        <f ca="1">COUNTIFS(INDIRECT("Table1[Beginn]"),"&lt;="&amp;AV$1,INDIRECT("Table1[Ende]"),"&gt;="&amp;AV$1,INDIRECT("Table1[Obergruppe ATC-Code]"),Tabelle3!$A42)</f>
        <v>3</v>
      </c>
      <c r="AW42">
        <f ca="1">COUNTIFS(INDIRECT("Table1[Beginn]"),"&lt;="&amp;AW$1,INDIRECT("Table1[Ende]"),"&gt;="&amp;AW$1,INDIRECT("Table1[Obergruppe ATC-Code]"),Tabelle3!$A42)</f>
        <v>4</v>
      </c>
      <c r="AX42">
        <f ca="1">COUNTIFS(INDIRECT("Table1[Beginn]"),"&lt;="&amp;AX$1,INDIRECT("Table1[Ende]"),"&gt;="&amp;AX$1,INDIRECT("Table1[Obergruppe ATC-Code]"),Tabelle3!$A42)</f>
        <v>4</v>
      </c>
      <c r="AY42">
        <f ca="1">COUNTIFS(INDIRECT("Table1[Beginn]"),"&lt;="&amp;AY$1,INDIRECT("Table1[Ende]"),"&gt;="&amp;AY$1,INDIRECT("Table1[Obergruppe ATC-Code]"),Tabelle3!$A42)</f>
        <v>4</v>
      </c>
      <c r="AZ42">
        <f ca="1">COUNTIFS(INDIRECT("Table1[Beginn]"),"&lt;="&amp;AZ$1,INDIRECT("Table1[Ende]"),"&gt;="&amp;AZ$1,INDIRECT("Table1[Obergruppe ATC-Code]"),Tabelle3!$A42)</f>
        <v>3</v>
      </c>
      <c r="BA42">
        <f ca="1">COUNTIFS(INDIRECT("Table1[Beginn]"),"&lt;="&amp;BA$1,INDIRECT("Table1[Ende]"),"&gt;="&amp;BA$1,INDIRECT("Table1[Obergruppe ATC-Code]"),Tabelle3!$A42)</f>
        <v>3</v>
      </c>
      <c r="BB42">
        <f ca="1">COUNTIFS(INDIRECT("Table1[Beginn]"),"&lt;="&amp;BB$1,INDIRECT("Table1[Ende]"),"&gt;="&amp;BB$1,INDIRECT("Table1[Obergruppe ATC-Code]"),Tabelle3!$A42)</f>
        <v>3</v>
      </c>
      <c r="BC42">
        <f ca="1">COUNTIFS(INDIRECT("Table1[Beginn]"),"&lt;="&amp;BC$1,INDIRECT("Table1[Ende]"),"&gt;="&amp;BC$1,INDIRECT("Table1[Obergruppe ATC-Code]"),Tabelle3!$A42)</f>
        <v>2</v>
      </c>
      <c r="BD42">
        <f ca="1">COUNTIFS(INDIRECT("Table1[Beginn]"),"&lt;="&amp;BD$1,INDIRECT("Table1[Ende]"),"&gt;="&amp;BD$1,INDIRECT("Table1[Obergruppe ATC-Code]"),Tabelle3!$A42)</f>
        <v>2</v>
      </c>
      <c r="BE42">
        <f ca="1">COUNTIFS(INDIRECT("Table1[Beginn]"),"&lt;="&amp;BE$1,INDIRECT("Table1[Ende]"),"&gt;="&amp;BE$1,INDIRECT("Table1[Obergruppe ATC-Code]"),Tabelle3!$A42)</f>
        <v>3</v>
      </c>
      <c r="BF42">
        <f ca="1">COUNTIFS(INDIRECT("Table1[Beginn]"),"&lt;="&amp;BF$1,INDIRECT("Table1[Ende]"),"&gt;="&amp;BF$1,INDIRECT("Table1[Obergruppe ATC-Code]"),Tabelle3!$A42)</f>
        <v>5</v>
      </c>
      <c r="BG42">
        <f ca="1">COUNTIFS(INDIRECT("Table1[Beginn]"),"&lt;="&amp;BG$1,INDIRECT("Table1[Ende]"),"&gt;="&amp;BG$1,INDIRECT("Table1[Obergruppe ATC-Code]"),Tabelle3!$A42)</f>
        <v>3</v>
      </c>
      <c r="BH42">
        <f ca="1">COUNTIFS(INDIRECT("Table1[Beginn]"),"&lt;="&amp;BH$1,INDIRECT("Table1[Ende]"),"&gt;="&amp;BH$1,INDIRECT("Table1[Obergruppe ATC-Code]"),Tabelle3!$A42)</f>
        <v>4</v>
      </c>
      <c r="BI42">
        <f ca="1">COUNTIFS(INDIRECT("Table1[Beginn]"),"&lt;="&amp;BI$1,INDIRECT("Table1[Ende]"),"&gt;="&amp;BI$1,INDIRECT("Table1[Obergruppe ATC-Code]"),Tabelle3!$A42)</f>
        <v>1</v>
      </c>
      <c r="BJ42">
        <f ca="1">COUNTIFS(INDIRECT("Table1[Beginn]"),"&lt;="&amp;BJ$1,INDIRECT("Table1[Ende]"),"&gt;="&amp;BJ$1,INDIRECT("Table1[Obergruppe ATC-Code]"),Tabelle3!$A42)</f>
        <v>1</v>
      </c>
      <c r="BK42">
        <f ca="1">COUNTIFS(INDIRECT("Table1[Beginn]"),"&lt;="&amp;BK$1,INDIRECT("Table1[Ende]"),"&gt;="&amp;BK$1,INDIRECT("Table1[Obergruppe ATC-Code]"),Tabelle3!$A42)</f>
        <v>1</v>
      </c>
      <c r="BL42">
        <f ca="1">COUNTIFS(INDIRECT("Table1[Beginn]"),"&lt;="&amp;BL$1,INDIRECT("Table1[Ende]"),"&gt;="&amp;BL$1,INDIRECT("Table1[Obergruppe ATC-Code]"),Tabelle3!$A42)</f>
        <v>1</v>
      </c>
      <c r="BM42">
        <f ca="1">COUNTIFS(INDIRECT("Table1[Beginn]"),"&lt;="&amp;BM$1,INDIRECT("Table1[Ende]"),"&gt;="&amp;BM$1,INDIRECT("Table1[Obergruppe ATC-Code]"),Tabelle3!$A42)</f>
        <v>2</v>
      </c>
      <c r="BN42">
        <f ca="1">COUNTIFS(INDIRECT("Table1[Beginn]"),"&lt;="&amp;BN$1,INDIRECT("Table1[Ende]"),"&gt;="&amp;BN$1,INDIRECT("Table1[Obergruppe ATC-Code]"),Tabelle3!$A42)</f>
        <v>2</v>
      </c>
      <c r="BO42">
        <f ca="1">COUNTIFS(INDIRECT("Table1[Beginn]"),"&lt;="&amp;BO$1,INDIRECT("Table1[Ende]"),"&gt;="&amp;BO$1,INDIRECT("Table1[Obergruppe ATC-Code]"),Tabelle3!$A42)</f>
        <v>1</v>
      </c>
      <c r="BP42">
        <f ca="1">COUNTIFS(INDIRECT("Table1[Beginn]"),"&lt;="&amp;BP$1,INDIRECT("Table1[Ende]"),"&gt;="&amp;BP$1,INDIRECT("Table1[Obergruppe ATC-Code]"),Tabelle3!$A42)</f>
        <v>1</v>
      </c>
      <c r="BQ42">
        <f ca="1">COUNTIFS(INDIRECT("Table1[Beginn]"),"&lt;="&amp;BQ$1,INDIRECT("Table1[Ende]"),"&gt;="&amp;BQ$1,INDIRECT("Table1[Obergruppe ATC-Code]"),Tabelle3!$A42)</f>
        <v>1</v>
      </c>
      <c r="BR42">
        <f ca="1">COUNTIFS(INDIRECT("Table1[Beginn]"),"&lt;="&amp;BR$1,INDIRECT("Table1[Ende]"),"&gt;="&amp;BR$1,INDIRECT("Table1[Obergruppe ATC-Code]"),Tabelle3!$A42)</f>
        <v>0</v>
      </c>
      <c r="BS42">
        <f ca="1">COUNTIFS(INDIRECT("Table1[Beginn]"),"&lt;="&amp;BS$1,INDIRECT("Table1[Ende]"),"&gt;="&amp;BS$1,INDIRECT("Table1[Obergruppe ATC-Code]"),Tabelle3!$A42)</f>
        <v>0</v>
      </c>
      <c r="BT42">
        <f ca="1">COUNTIFS(INDIRECT("Table1[Beginn]"),"&lt;="&amp;BT$1,INDIRECT("Table1[Ende]"),"&gt;="&amp;BT$1,INDIRECT("Table1[Obergruppe ATC-Code]"),Tabelle3!$A42)</f>
        <v>0</v>
      </c>
      <c r="BU42">
        <f ca="1">COUNTIFS(INDIRECT("Table1[Beginn]"),"&lt;="&amp;BU$1,INDIRECT("Table1[Ende]"),"&gt;="&amp;BU$1,INDIRECT("Table1[Obergruppe ATC-Code]"),Tabelle3!$A42)</f>
        <v>0</v>
      </c>
      <c r="BV42">
        <f ca="1">COUNTIFS(INDIRECT("Table1[Beginn]"),"&lt;="&amp;BV$1,INDIRECT("Table1[Ende]"),"&gt;="&amp;BV$1,INDIRECT("Table1[Obergruppe ATC-Code]"),Tabelle3!$A42)</f>
        <v>0</v>
      </c>
      <c r="BW42">
        <f ca="1">COUNTIFS(INDIRECT("Table1[Beginn]"),"&lt;="&amp;BW$1,INDIRECT("Table1[Ende]"),"&gt;="&amp;BW$1,INDIRECT("Table1[Obergruppe ATC-Code]"),Tabelle3!$A42)</f>
        <v>0</v>
      </c>
      <c r="BX42">
        <f ca="1">COUNTIFS(INDIRECT("Table1[Beginn]"),"&lt;="&amp;BX$1,INDIRECT("Table1[Ende]"),"&gt;="&amp;BX$1,INDIRECT("Table1[Obergruppe ATC-Code]"),Tabelle3!$A42)</f>
        <v>1</v>
      </c>
      <c r="BY42">
        <f ca="1">COUNTIFS(INDIRECT("Table1[Beginn]"),"&lt;="&amp;BY$1,INDIRECT("Table1[Ende]"),"&gt;="&amp;BY$1,INDIRECT("Table1[Obergruppe ATC-Code]"),Tabelle3!$A42)</f>
        <v>0</v>
      </c>
      <c r="BZ42">
        <f ca="1">COUNTIFS(INDIRECT("Table1[Beginn]"),"&lt;="&amp;BZ$1,INDIRECT("Table1[Ende]"),"&gt;="&amp;BZ$1,INDIRECT("Table1[Obergruppe ATC-Code]"),Tabelle3!$A42)</f>
        <v>0</v>
      </c>
      <c r="CA42">
        <f ca="1">COUNTIFS(INDIRECT("Table1[Beginn]"),"&lt;="&amp;CA$1,INDIRECT("Table1[Ende]"),"&gt;="&amp;CA$1,INDIRECT("Table1[Obergruppe ATC-Code]"),Tabelle3!$A42)</f>
        <v>0</v>
      </c>
      <c r="CB42">
        <f ca="1">COUNTIFS(INDIRECT("Table1[Beginn]"),"&lt;="&amp;CB$1,INDIRECT("Table1[Ende]"),"&gt;="&amp;CB$1,INDIRECT("Table1[Obergruppe ATC-Code]"),Tabelle3!$A42)</f>
        <v>0</v>
      </c>
      <c r="CC42">
        <f ca="1">COUNTIFS(INDIRECT("Table1[Beginn]"),"&lt;="&amp;CC$1,INDIRECT("Table1[Ende]"),"&gt;="&amp;CC$1,INDIRECT("Table1[Obergruppe ATC-Code]"),Tabelle3!$A42)</f>
        <v>0</v>
      </c>
      <c r="CD42">
        <f ca="1">COUNTIFS(INDIRECT("Table1[Beginn]"),"&lt;="&amp;CD$1,INDIRECT("Table1[Ende]"),"&gt;="&amp;CD$1,INDIRECT("Table1[Obergruppe ATC-Code]"),Tabelle3!$A42)</f>
        <v>1</v>
      </c>
      <c r="CE42">
        <f ca="1">COUNTIFS(INDIRECT("Table1[Beginn]"),"&lt;="&amp;CE$1,INDIRECT("Table1[Ende]"),"&gt;="&amp;CE$1,INDIRECT("Table1[Obergruppe ATC-Code]"),Tabelle3!$A42)</f>
        <v>3</v>
      </c>
      <c r="CF42">
        <f ca="1">COUNTIFS(INDIRECT("Table1[Beginn]"),"&lt;="&amp;CF$1,INDIRECT("Table1[Ende]"),"&gt;="&amp;CF$1,INDIRECT("Table1[Obergruppe ATC-Code]"),Tabelle3!$A42)</f>
        <v>1</v>
      </c>
      <c r="CG42">
        <f ca="1">COUNTIFS(INDIRECT("Table1[Beginn]"),"&lt;="&amp;CG$1,INDIRECT("Table1[Ende]"),"&gt;="&amp;CG$1,INDIRECT("Table1[Obergruppe ATC-Code]"),Tabelle3!$A42)</f>
        <v>2</v>
      </c>
      <c r="CH42">
        <f ca="1">COUNTIFS(INDIRECT("Table1[Beginn]"),"&lt;="&amp;CH$1,INDIRECT("Table1[Ende]"),"&gt;="&amp;CH$1,INDIRECT("Table1[Obergruppe ATC-Code]"),Tabelle3!$A42)</f>
        <v>0</v>
      </c>
      <c r="CI42">
        <f ca="1">COUNTIFS(INDIRECT("Table1[Beginn]"),"&lt;="&amp;CI$1,INDIRECT("Table1[Ende]"),"&gt;="&amp;CI$1,INDIRECT("Table1[Obergruppe ATC-Code]"),Tabelle3!$A42)</f>
        <v>0</v>
      </c>
      <c r="CJ42">
        <f ca="1">COUNTIFS(INDIRECT("Table1[Beginn]"),"&lt;="&amp;CJ$1,INDIRECT("Table1[Ende]"),"&gt;="&amp;CJ$1,INDIRECT("Table1[Obergruppe ATC-Code]"),Tabelle3!$A42)</f>
        <v>0</v>
      </c>
      <c r="CK42">
        <f ca="1">COUNTIFS(INDIRECT("Table1[Beginn]"),"&lt;="&amp;CK$1,INDIRECT("Table1[Ende]"),"&gt;="&amp;CK$1,INDIRECT("Table1[Obergruppe ATC-Code]"),Tabelle3!$A42)</f>
        <v>0</v>
      </c>
      <c r="CL42">
        <f ca="1">COUNTIFS(INDIRECT("Table1[Beginn]"),"&lt;="&amp;CL$1,INDIRECT("Table1[Ende]"),"&gt;="&amp;CL$1,INDIRECT("Table1[Obergruppe ATC-Code]"),Tabelle3!$A42)</f>
        <v>0</v>
      </c>
      <c r="CM42">
        <f ca="1">COUNTIFS(INDIRECT("Table1[Beginn]"),"&lt;="&amp;CM$1,INDIRECT("Table1[Ende]"),"&gt;="&amp;CM$1,INDIRECT("Table1[Obergruppe ATC-Code]"),Tabelle3!$A42)</f>
        <v>0</v>
      </c>
      <c r="CN42">
        <f ca="1">COUNTIFS(INDIRECT("Table1[Beginn]"),"&lt;="&amp;CN$1,INDIRECT("Table1[Ende]"),"&gt;="&amp;CN$1,INDIRECT("Table1[Obergruppe ATC-Code]"),Tabelle3!$A42)</f>
        <v>0</v>
      </c>
      <c r="CO42">
        <f ca="1">COUNTIFS(INDIRECT("Table1[Beginn]"),"&lt;="&amp;CO$1,INDIRECT("Table1[Ende]"),"&gt;="&amp;CO$1,INDIRECT("Table1[Obergruppe ATC-Code]"),Tabelle3!$A42)</f>
        <v>0</v>
      </c>
      <c r="CP42">
        <f ca="1">COUNTIFS(INDIRECT("Table1[Beginn]"),"&lt;="&amp;CP$1,INDIRECT("Table1[Ende]"),"&gt;="&amp;CP$1,INDIRECT("Table1[Obergruppe ATC-Code]"),Tabelle3!$A42)</f>
        <v>0</v>
      </c>
      <c r="CQ42">
        <f ca="1">COUNTIFS(INDIRECT("Table1[Beginn]"),"&lt;="&amp;CQ$1,INDIRECT("Table1[Ende]"),"&gt;="&amp;CQ$1,INDIRECT("Table1[Obergruppe ATC-Code]"),Tabelle3!$A42)</f>
        <v>0</v>
      </c>
      <c r="CR42">
        <f ca="1">COUNTIFS(INDIRECT("Table1[Beginn]"),"&lt;="&amp;CR$1,INDIRECT("Table1[Ende]"),"&gt;="&amp;CR$1,INDIRECT("Table1[Obergruppe ATC-Code]"),Tabelle3!$A42)</f>
        <v>0</v>
      </c>
      <c r="CS42">
        <f ca="1">COUNTIFS(INDIRECT("Table1[Beginn]"),"&lt;="&amp;CS$1,INDIRECT("Table1[Ende]"),"&gt;="&amp;CS$1,INDIRECT("Table1[Obergruppe ATC-Code]"),Tabelle3!$A42)</f>
        <v>0</v>
      </c>
      <c r="CT42">
        <f ca="1">COUNTIFS(INDIRECT("Table1[Beginn]"),"&lt;="&amp;CT$1,INDIRECT("Table1[Ende]"),"&gt;="&amp;CT$1,INDIRECT("Table1[Obergruppe ATC-Code]"),Tabelle3!$A42)</f>
        <v>0</v>
      </c>
      <c r="CU42" s="56"/>
      <c r="CV42" s="56"/>
      <c r="CW42" s="56"/>
      <c r="CX42" s="56"/>
      <c r="CY42" s="56"/>
      <c r="CZ42" s="56"/>
      <c r="DA42" s="56"/>
      <c r="DB42" s="56"/>
      <c r="DC42" s="56"/>
      <c r="DD42" s="56"/>
      <c r="DE42" s="56"/>
      <c r="DF42" s="56"/>
      <c r="DG42" s="56"/>
      <c r="DH42" s="56"/>
    </row>
    <row r="43" spans="1:112" ht="18" customHeight="1">
      <c r="A43" s="9" t="s">
        <v>6855</v>
      </c>
      <c r="B43" s="10" t="s">
        <v>6856</v>
      </c>
      <c r="C43">
        <f ca="1">COUNTIFS(INDIRECT("Table1[Beginn]"),"&lt;="&amp;C$1,INDIRECT("Table1[Ende]"),"&gt;="&amp;C$1,INDIRECT("Table1[Obergruppe ATC-Code]"),Tabelle3!$A43)</f>
        <v>0</v>
      </c>
      <c r="D43">
        <f ca="1">COUNTIFS(INDIRECT("Table1[Beginn]"),"&lt;="&amp;D$1,INDIRECT("Table1[Ende]"),"&gt;="&amp;D$1,INDIRECT("Table1[Obergruppe ATC-Code]"),Tabelle3!$A43)</f>
        <v>0</v>
      </c>
      <c r="E43">
        <f ca="1">COUNTIFS(INDIRECT("Table1[Beginn]"),"&lt;="&amp;E$1,INDIRECT("Table1[Ende]"),"&gt;="&amp;E$1,INDIRECT("Table1[Obergruppe ATC-Code]"),Tabelle3!$A43)</f>
        <v>0</v>
      </c>
      <c r="F43">
        <f ca="1">COUNTIFS(INDIRECT("Table1[Beginn]"),"&lt;="&amp;F$1,INDIRECT("Table1[Ende]"),"&gt;="&amp;F$1,INDIRECT("Table1[Obergruppe ATC-Code]"),Tabelle3!$A43)</f>
        <v>0</v>
      </c>
      <c r="G43">
        <f ca="1">COUNTIFS(INDIRECT("Table1[Beginn]"),"&lt;="&amp;G$1,INDIRECT("Table1[Ende]"),"&gt;="&amp;G$1,INDIRECT("Table1[Obergruppe ATC-Code]"),Tabelle3!$A43)</f>
        <v>0</v>
      </c>
      <c r="H43">
        <f ca="1">COUNTIFS(INDIRECT("Table1[Beginn]"),"&lt;="&amp;H$1,INDIRECT("Table1[Ende]"),"&gt;="&amp;H$1,INDIRECT("Table1[Obergruppe ATC-Code]"),Tabelle3!$A43)</f>
        <v>0</v>
      </c>
      <c r="I43">
        <f ca="1">COUNTIFS(INDIRECT("Table1[Beginn]"),"&lt;="&amp;I$1,INDIRECT("Table1[Ende]"),"&gt;="&amp;I$1,INDIRECT("Table1[Obergruppe ATC-Code]"),Tabelle3!$A43)</f>
        <v>0</v>
      </c>
      <c r="J43">
        <f ca="1">COUNTIFS(INDIRECT("Table1[Beginn]"),"&lt;="&amp;J$1,INDIRECT("Table1[Ende]"),"&gt;="&amp;J$1,INDIRECT("Table1[Obergruppe ATC-Code]"),Tabelle3!$A43)</f>
        <v>0</v>
      </c>
      <c r="K43">
        <f ca="1">COUNTIFS(INDIRECT("Table1[Beginn]"),"&lt;="&amp;K$1,INDIRECT("Table1[Ende]"),"&gt;="&amp;K$1,INDIRECT("Table1[Obergruppe ATC-Code]"),Tabelle3!$A43)</f>
        <v>0</v>
      </c>
      <c r="L43">
        <f ca="1">COUNTIFS(INDIRECT("Table1[Beginn]"),"&lt;="&amp;L$1,INDIRECT("Table1[Ende]"),"&gt;="&amp;L$1,INDIRECT("Table1[Obergruppe ATC-Code]"),Tabelle3!$A43)</f>
        <v>0</v>
      </c>
      <c r="M43">
        <f ca="1">COUNTIFS(INDIRECT("Table1[Beginn]"),"&lt;="&amp;M$1,INDIRECT("Table1[Ende]"),"&gt;="&amp;M$1,INDIRECT("Table1[Obergruppe ATC-Code]"),Tabelle3!$A43)</f>
        <v>0</v>
      </c>
      <c r="N43">
        <f ca="1">COUNTIFS(INDIRECT("Table1[Beginn]"),"&lt;="&amp;N$1,INDIRECT("Table1[Ende]"),"&gt;="&amp;N$1,INDIRECT("Table1[Obergruppe ATC-Code]"),Tabelle3!$A43)</f>
        <v>0</v>
      </c>
      <c r="O43">
        <f ca="1">COUNTIFS(INDIRECT("Table1[Beginn]"),"&lt;="&amp;O$1,INDIRECT("Table1[Ende]"),"&gt;="&amp;O$1,INDIRECT("Table1[Obergruppe ATC-Code]"),Tabelle3!$A43)</f>
        <v>0</v>
      </c>
      <c r="P43">
        <f ca="1">COUNTIFS(INDIRECT("Table1[Beginn]"),"&lt;="&amp;P$1,INDIRECT("Table1[Ende]"),"&gt;="&amp;P$1,INDIRECT("Table1[Obergruppe ATC-Code]"),Tabelle3!$A43)</f>
        <v>0</v>
      </c>
      <c r="Q43">
        <f ca="1">COUNTIFS(INDIRECT("Table1[Beginn]"),"&lt;="&amp;Q$1,INDIRECT("Table1[Ende]"),"&gt;="&amp;Q$1,INDIRECT("Table1[Obergruppe ATC-Code]"),Tabelle3!$A43)</f>
        <v>0</v>
      </c>
      <c r="R43">
        <f ca="1">COUNTIFS(INDIRECT("Table1[Beginn]"),"&lt;="&amp;R$1,INDIRECT("Table1[Ende]"),"&gt;="&amp;R$1,INDIRECT("Table1[Obergruppe ATC-Code]"),Tabelle3!$A43)</f>
        <v>0</v>
      </c>
      <c r="S43">
        <f ca="1">COUNTIFS(INDIRECT("Table1[Beginn]"),"&lt;="&amp;S$1,INDIRECT("Table1[Ende]"),"&gt;="&amp;S$1,INDIRECT("Table1[Obergruppe ATC-Code]"),Tabelle3!$A43)</f>
        <v>0</v>
      </c>
      <c r="T43">
        <f ca="1">COUNTIFS(INDIRECT("Table1[Beginn]"),"&lt;="&amp;T$1,INDIRECT("Table1[Ende]"),"&gt;="&amp;T$1,INDIRECT("Table1[Obergruppe ATC-Code]"),Tabelle3!$A43)</f>
        <v>0</v>
      </c>
      <c r="U43">
        <f ca="1">COUNTIFS(INDIRECT("Table1[Beginn]"),"&lt;="&amp;U$1,INDIRECT("Table1[Ende]"),"&gt;="&amp;U$1,INDIRECT("Table1[Obergruppe ATC-Code]"),Tabelle3!$A43)</f>
        <v>0</v>
      </c>
      <c r="V43">
        <f ca="1">COUNTIFS(INDIRECT("Table1[Beginn]"),"&lt;="&amp;V$1,INDIRECT("Table1[Ende]"),"&gt;="&amp;V$1,INDIRECT("Table1[Obergruppe ATC-Code]"),Tabelle3!$A43)</f>
        <v>0</v>
      </c>
      <c r="W43">
        <f ca="1">COUNTIFS(INDIRECT("Table1[Beginn]"),"&lt;="&amp;W$1,INDIRECT("Table1[Ende]"),"&gt;="&amp;W$1,INDIRECT("Table1[Obergruppe ATC-Code]"),Tabelle3!$A43)</f>
        <v>0</v>
      </c>
      <c r="X43">
        <f ca="1">COUNTIFS(INDIRECT("Table1[Beginn]"),"&lt;="&amp;X$1,INDIRECT("Table1[Ende]"),"&gt;="&amp;X$1,INDIRECT("Table1[Obergruppe ATC-Code]"),Tabelle3!$A43)</f>
        <v>0</v>
      </c>
      <c r="Y43">
        <f ca="1">COUNTIFS(INDIRECT("Table1[Beginn]"),"&lt;="&amp;Y$1,INDIRECT("Table1[Ende]"),"&gt;="&amp;Y$1,INDIRECT("Table1[Obergruppe ATC-Code]"),Tabelle3!$A43)</f>
        <v>0</v>
      </c>
      <c r="Z43">
        <f ca="1">COUNTIFS(INDIRECT("Table1[Beginn]"),"&lt;="&amp;Z$1,INDIRECT("Table1[Ende]"),"&gt;="&amp;Z$1,INDIRECT("Table1[Obergruppe ATC-Code]"),Tabelle3!$A43)</f>
        <v>0</v>
      </c>
      <c r="AA43">
        <f ca="1">COUNTIFS(INDIRECT("Table1[Beginn]"),"&lt;="&amp;AA$1,INDIRECT("Table1[Ende]"),"&gt;="&amp;AA$1,INDIRECT("Table1[Obergruppe ATC-Code]"),Tabelle3!$A43)</f>
        <v>0</v>
      </c>
      <c r="AB43">
        <f ca="1">COUNTIFS(INDIRECT("Table1[Beginn]"),"&lt;="&amp;AB$1,INDIRECT("Table1[Ende]"),"&gt;="&amp;AB$1,INDIRECT("Table1[Obergruppe ATC-Code]"),Tabelle3!$A43)</f>
        <v>0</v>
      </c>
      <c r="AC43">
        <f ca="1">COUNTIFS(INDIRECT("Table1[Beginn]"),"&lt;="&amp;AC$1,INDIRECT("Table1[Ende]"),"&gt;="&amp;AC$1,INDIRECT("Table1[Obergruppe ATC-Code]"),Tabelle3!$A43)</f>
        <v>0</v>
      </c>
      <c r="AD43">
        <f ca="1">COUNTIFS(INDIRECT("Table1[Beginn]"),"&lt;="&amp;AD$1,INDIRECT("Table1[Ende]"),"&gt;="&amp;AD$1,INDIRECT("Table1[Obergruppe ATC-Code]"),Tabelle3!$A43)</f>
        <v>0</v>
      </c>
      <c r="AE43">
        <f ca="1">COUNTIFS(INDIRECT("Table1[Beginn]"),"&lt;="&amp;AE$1,INDIRECT("Table1[Ende]"),"&gt;="&amp;AE$1,INDIRECT("Table1[Obergruppe ATC-Code]"),Tabelle3!$A43)</f>
        <v>0</v>
      </c>
      <c r="AF43">
        <f ca="1">COUNTIFS(INDIRECT("Table1[Beginn]"),"&lt;="&amp;AF$1,INDIRECT("Table1[Ende]"),"&gt;="&amp;AF$1,INDIRECT("Table1[Obergruppe ATC-Code]"),Tabelle3!$A43)</f>
        <v>0</v>
      </c>
      <c r="AG43">
        <f ca="1">COUNTIFS(INDIRECT("Table1[Beginn]"),"&lt;="&amp;AG$1,INDIRECT("Table1[Ende]"),"&gt;="&amp;AG$1,INDIRECT("Table1[Obergruppe ATC-Code]"),Tabelle3!$A43)</f>
        <v>0</v>
      </c>
      <c r="AH43">
        <f ca="1">COUNTIFS(INDIRECT("Table1[Beginn]"),"&lt;="&amp;AH$1,INDIRECT("Table1[Ende]"),"&gt;="&amp;AH$1,INDIRECT("Table1[Obergruppe ATC-Code]"),Tabelle3!$A43)</f>
        <v>0</v>
      </c>
      <c r="AI43">
        <f ca="1">COUNTIFS(INDIRECT("Table1[Beginn]"),"&lt;="&amp;AI$1,INDIRECT("Table1[Ende]"),"&gt;="&amp;AI$1,INDIRECT("Table1[Obergruppe ATC-Code]"),Tabelle3!$A43)</f>
        <v>0</v>
      </c>
      <c r="AJ43">
        <f ca="1">COUNTIFS(INDIRECT("Table1[Beginn]"),"&lt;="&amp;AJ$1,INDIRECT("Table1[Ende]"),"&gt;="&amp;AJ$1,INDIRECT("Table1[Obergruppe ATC-Code]"),Tabelle3!$A43)</f>
        <v>0</v>
      </c>
      <c r="AK43">
        <f ca="1">COUNTIFS(INDIRECT("Table1[Beginn]"),"&lt;="&amp;AK$1,INDIRECT("Table1[Ende]"),"&gt;="&amp;AK$1,INDIRECT("Table1[Obergruppe ATC-Code]"),Tabelle3!$A43)</f>
        <v>0</v>
      </c>
      <c r="AL43">
        <f ca="1">COUNTIFS(INDIRECT("Table1[Beginn]"),"&lt;="&amp;AL$1,INDIRECT("Table1[Ende]"),"&gt;="&amp;AL$1,INDIRECT("Table1[Obergruppe ATC-Code]"),Tabelle3!$A43)</f>
        <v>0</v>
      </c>
      <c r="AM43">
        <f ca="1">COUNTIFS(INDIRECT("Table1[Beginn]"),"&lt;="&amp;AM$1,INDIRECT("Table1[Ende]"),"&gt;="&amp;AM$1,INDIRECT("Table1[Obergruppe ATC-Code]"),Tabelle3!$A43)</f>
        <v>0</v>
      </c>
      <c r="AN43">
        <f ca="1">COUNTIFS(INDIRECT("Table1[Beginn]"),"&lt;="&amp;AN$1,INDIRECT("Table1[Ende]"),"&gt;="&amp;AN$1,INDIRECT("Table1[Obergruppe ATC-Code]"),Tabelle3!$A43)</f>
        <v>0</v>
      </c>
      <c r="AO43">
        <f ca="1">COUNTIFS(INDIRECT("Table1[Beginn]"),"&lt;="&amp;AO$1,INDIRECT("Table1[Ende]"),"&gt;="&amp;AO$1,INDIRECT("Table1[Obergruppe ATC-Code]"),Tabelle3!$A43)</f>
        <v>0</v>
      </c>
      <c r="AP43">
        <f ca="1">COUNTIFS(INDIRECT("Table1[Beginn]"),"&lt;="&amp;AP$1,INDIRECT("Table1[Ende]"),"&gt;="&amp;AP$1,INDIRECT("Table1[Obergruppe ATC-Code]"),Tabelle3!$A43)</f>
        <v>0</v>
      </c>
      <c r="AQ43">
        <f ca="1">COUNTIFS(INDIRECT("Table1[Beginn]"),"&lt;="&amp;AQ$1,INDIRECT("Table1[Ende]"),"&gt;="&amp;AQ$1,INDIRECT("Table1[Obergruppe ATC-Code]"),Tabelle3!$A43)</f>
        <v>0</v>
      </c>
      <c r="AR43">
        <f ca="1">COUNTIFS(INDIRECT("Table1[Beginn]"),"&lt;="&amp;AR$1,INDIRECT("Table1[Ende]"),"&gt;="&amp;AR$1,INDIRECT("Table1[Obergruppe ATC-Code]"),Tabelle3!$A43)</f>
        <v>0</v>
      </c>
      <c r="AS43">
        <f ca="1">COUNTIFS(INDIRECT("Table1[Beginn]"),"&lt;="&amp;AS$1,INDIRECT("Table1[Ende]"),"&gt;="&amp;AS$1,INDIRECT("Table1[Obergruppe ATC-Code]"),Tabelle3!$A43)</f>
        <v>0</v>
      </c>
      <c r="AT43">
        <f ca="1">COUNTIFS(INDIRECT("Table1[Beginn]"),"&lt;="&amp;AT$1,INDIRECT("Table1[Ende]"),"&gt;="&amp;AT$1,INDIRECT("Table1[Obergruppe ATC-Code]"),Tabelle3!$A43)</f>
        <v>0</v>
      </c>
      <c r="AU43">
        <f ca="1">COUNTIFS(INDIRECT("Table1[Beginn]"),"&lt;="&amp;AU$1,INDIRECT("Table1[Ende]"),"&gt;="&amp;AU$1,INDIRECT("Table1[Obergruppe ATC-Code]"),Tabelle3!$A43)</f>
        <v>1</v>
      </c>
      <c r="AV43">
        <f ca="1">COUNTIFS(INDIRECT("Table1[Beginn]"),"&lt;="&amp;AV$1,INDIRECT("Table1[Ende]"),"&gt;="&amp;AV$1,INDIRECT("Table1[Obergruppe ATC-Code]"),Tabelle3!$A43)</f>
        <v>1</v>
      </c>
      <c r="AW43">
        <f ca="1">COUNTIFS(INDIRECT("Table1[Beginn]"),"&lt;="&amp;AW$1,INDIRECT("Table1[Ende]"),"&gt;="&amp;AW$1,INDIRECT("Table1[Obergruppe ATC-Code]"),Tabelle3!$A43)</f>
        <v>0</v>
      </c>
      <c r="AX43">
        <f ca="1">COUNTIFS(INDIRECT("Table1[Beginn]"),"&lt;="&amp;AX$1,INDIRECT("Table1[Ende]"),"&gt;="&amp;AX$1,INDIRECT("Table1[Obergruppe ATC-Code]"),Tabelle3!$A43)</f>
        <v>0</v>
      </c>
      <c r="AY43">
        <f ca="1">COUNTIFS(INDIRECT("Table1[Beginn]"),"&lt;="&amp;AY$1,INDIRECT("Table1[Ende]"),"&gt;="&amp;AY$1,INDIRECT("Table1[Obergruppe ATC-Code]"),Tabelle3!$A43)</f>
        <v>0</v>
      </c>
      <c r="AZ43">
        <f ca="1">COUNTIFS(INDIRECT("Table1[Beginn]"),"&lt;="&amp;AZ$1,INDIRECT("Table1[Ende]"),"&gt;="&amp;AZ$1,INDIRECT("Table1[Obergruppe ATC-Code]"),Tabelle3!$A43)</f>
        <v>0</v>
      </c>
      <c r="BA43">
        <f ca="1">COUNTIFS(INDIRECT("Table1[Beginn]"),"&lt;="&amp;BA$1,INDIRECT("Table1[Ende]"),"&gt;="&amp;BA$1,INDIRECT("Table1[Obergruppe ATC-Code]"),Tabelle3!$A43)</f>
        <v>0</v>
      </c>
      <c r="BB43">
        <f ca="1">COUNTIFS(INDIRECT("Table1[Beginn]"),"&lt;="&amp;BB$1,INDIRECT("Table1[Ende]"),"&gt;="&amp;BB$1,INDIRECT("Table1[Obergruppe ATC-Code]"),Tabelle3!$A43)</f>
        <v>0</v>
      </c>
      <c r="BC43">
        <f ca="1">COUNTIFS(INDIRECT("Table1[Beginn]"),"&lt;="&amp;BC$1,INDIRECT("Table1[Ende]"),"&gt;="&amp;BC$1,INDIRECT("Table1[Obergruppe ATC-Code]"),Tabelle3!$A43)</f>
        <v>0</v>
      </c>
      <c r="BD43">
        <f ca="1">COUNTIFS(INDIRECT("Table1[Beginn]"),"&lt;="&amp;BD$1,INDIRECT("Table1[Ende]"),"&gt;="&amp;BD$1,INDIRECT("Table1[Obergruppe ATC-Code]"),Tabelle3!$A43)</f>
        <v>0</v>
      </c>
      <c r="BE43">
        <f ca="1">COUNTIFS(INDIRECT("Table1[Beginn]"),"&lt;="&amp;BE$1,INDIRECT("Table1[Ende]"),"&gt;="&amp;BE$1,INDIRECT("Table1[Obergruppe ATC-Code]"),Tabelle3!$A43)</f>
        <v>0</v>
      </c>
      <c r="BF43">
        <f ca="1">COUNTIFS(INDIRECT("Table1[Beginn]"),"&lt;="&amp;BF$1,INDIRECT("Table1[Ende]"),"&gt;="&amp;BF$1,INDIRECT("Table1[Obergruppe ATC-Code]"),Tabelle3!$A43)</f>
        <v>0</v>
      </c>
      <c r="BG43">
        <f ca="1">COUNTIFS(INDIRECT("Table1[Beginn]"),"&lt;="&amp;BG$1,INDIRECT("Table1[Ende]"),"&gt;="&amp;BG$1,INDIRECT("Table1[Obergruppe ATC-Code]"),Tabelle3!$A43)</f>
        <v>0</v>
      </c>
      <c r="BH43">
        <f ca="1">COUNTIFS(INDIRECT("Table1[Beginn]"),"&lt;="&amp;BH$1,INDIRECT("Table1[Ende]"),"&gt;="&amp;BH$1,INDIRECT("Table1[Obergruppe ATC-Code]"),Tabelle3!$A43)</f>
        <v>0</v>
      </c>
      <c r="BI43">
        <f ca="1">COUNTIFS(INDIRECT("Table1[Beginn]"),"&lt;="&amp;BI$1,INDIRECT("Table1[Ende]"),"&gt;="&amp;BI$1,INDIRECT("Table1[Obergruppe ATC-Code]"),Tabelle3!$A43)</f>
        <v>0</v>
      </c>
      <c r="BJ43">
        <f ca="1">COUNTIFS(INDIRECT("Table1[Beginn]"),"&lt;="&amp;BJ$1,INDIRECT("Table1[Ende]"),"&gt;="&amp;BJ$1,INDIRECT("Table1[Obergruppe ATC-Code]"),Tabelle3!$A43)</f>
        <v>0</v>
      </c>
      <c r="BK43">
        <f ca="1">COUNTIFS(INDIRECT("Table1[Beginn]"),"&lt;="&amp;BK$1,INDIRECT("Table1[Ende]"),"&gt;="&amp;BK$1,INDIRECT("Table1[Obergruppe ATC-Code]"),Tabelle3!$A43)</f>
        <v>0</v>
      </c>
      <c r="BL43">
        <f ca="1">COUNTIFS(INDIRECT("Table1[Beginn]"),"&lt;="&amp;BL$1,INDIRECT("Table1[Ende]"),"&gt;="&amp;BL$1,INDIRECT("Table1[Obergruppe ATC-Code]"),Tabelle3!$A43)</f>
        <v>0</v>
      </c>
      <c r="BM43">
        <f ca="1">COUNTIFS(INDIRECT("Table1[Beginn]"),"&lt;="&amp;BM$1,INDIRECT("Table1[Ende]"),"&gt;="&amp;BM$1,INDIRECT("Table1[Obergruppe ATC-Code]"),Tabelle3!$A43)</f>
        <v>0</v>
      </c>
      <c r="BN43">
        <f ca="1">COUNTIFS(INDIRECT("Table1[Beginn]"),"&lt;="&amp;BN$1,INDIRECT("Table1[Ende]"),"&gt;="&amp;BN$1,INDIRECT("Table1[Obergruppe ATC-Code]"),Tabelle3!$A43)</f>
        <v>0</v>
      </c>
      <c r="BO43">
        <f ca="1">COUNTIFS(INDIRECT("Table1[Beginn]"),"&lt;="&amp;BO$1,INDIRECT("Table1[Ende]"),"&gt;="&amp;BO$1,INDIRECT("Table1[Obergruppe ATC-Code]"),Tabelle3!$A43)</f>
        <v>0</v>
      </c>
      <c r="BP43">
        <f ca="1">COUNTIFS(INDIRECT("Table1[Beginn]"),"&lt;="&amp;BP$1,INDIRECT("Table1[Ende]"),"&gt;="&amp;BP$1,INDIRECT("Table1[Obergruppe ATC-Code]"),Tabelle3!$A43)</f>
        <v>0</v>
      </c>
      <c r="BQ43">
        <f ca="1">COUNTIFS(INDIRECT("Table1[Beginn]"),"&lt;="&amp;BQ$1,INDIRECT("Table1[Ende]"),"&gt;="&amp;BQ$1,INDIRECT("Table1[Obergruppe ATC-Code]"),Tabelle3!$A43)</f>
        <v>0</v>
      </c>
      <c r="BR43">
        <f ca="1">COUNTIFS(INDIRECT("Table1[Beginn]"),"&lt;="&amp;BR$1,INDIRECT("Table1[Ende]"),"&gt;="&amp;BR$1,INDIRECT("Table1[Obergruppe ATC-Code]"),Tabelle3!$A43)</f>
        <v>0</v>
      </c>
      <c r="BS43">
        <f ca="1">COUNTIFS(INDIRECT("Table1[Beginn]"),"&lt;="&amp;BS$1,INDIRECT("Table1[Ende]"),"&gt;="&amp;BS$1,INDIRECT("Table1[Obergruppe ATC-Code]"),Tabelle3!$A43)</f>
        <v>0</v>
      </c>
      <c r="BT43">
        <f ca="1">COUNTIFS(INDIRECT("Table1[Beginn]"),"&lt;="&amp;BT$1,INDIRECT("Table1[Ende]"),"&gt;="&amp;BT$1,INDIRECT("Table1[Obergruppe ATC-Code]"),Tabelle3!$A43)</f>
        <v>0</v>
      </c>
      <c r="BU43">
        <f ca="1">COUNTIFS(INDIRECT("Table1[Beginn]"),"&lt;="&amp;BU$1,INDIRECT("Table1[Ende]"),"&gt;="&amp;BU$1,INDIRECT("Table1[Obergruppe ATC-Code]"),Tabelle3!$A43)</f>
        <v>0</v>
      </c>
      <c r="BV43">
        <f ca="1">COUNTIFS(INDIRECT("Table1[Beginn]"),"&lt;="&amp;BV$1,INDIRECT("Table1[Ende]"),"&gt;="&amp;BV$1,INDIRECT("Table1[Obergruppe ATC-Code]"),Tabelle3!$A43)</f>
        <v>0</v>
      </c>
      <c r="BW43">
        <f ca="1">COUNTIFS(INDIRECT("Table1[Beginn]"),"&lt;="&amp;BW$1,INDIRECT("Table1[Ende]"),"&gt;="&amp;BW$1,INDIRECT("Table1[Obergruppe ATC-Code]"),Tabelle3!$A43)</f>
        <v>0</v>
      </c>
      <c r="BX43">
        <f ca="1">COUNTIFS(INDIRECT("Table1[Beginn]"),"&lt;="&amp;BX$1,INDIRECT("Table1[Ende]"),"&gt;="&amp;BX$1,INDIRECT("Table1[Obergruppe ATC-Code]"),Tabelle3!$A43)</f>
        <v>0</v>
      </c>
      <c r="BY43">
        <f ca="1">COUNTIFS(INDIRECT("Table1[Beginn]"),"&lt;="&amp;BY$1,INDIRECT("Table1[Ende]"),"&gt;="&amp;BY$1,INDIRECT("Table1[Obergruppe ATC-Code]"),Tabelle3!$A43)</f>
        <v>0</v>
      </c>
      <c r="BZ43">
        <f ca="1">COUNTIFS(INDIRECT("Table1[Beginn]"),"&lt;="&amp;BZ$1,INDIRECT("Table1[Ende]"),"&gt;="&amp;BZ$1,INDIRECT("Table1[Obergruppe ATC-Code]"),Tabelle3!$A43)</f>
        <v>0</v>
      </c>
      <c r="CA43">
        <f ca="1">COUNTIFS(INDIRECT("Table1[Beginn]"),"&lt;="&amp;CA$1,INDIRECT("Table1[Ende]"),"&gt;="&amp;CA$1,INDIRECT("Table1[Obergruppe ATC-Code]"),Tabelle3!$A43)</f>
        <v>0</v>
      </c>
      <c r="CB43">
        <f ca="1">COUNTIFS(INDIRECT("Table1[Beginn]"),"&lt;="&amp;CB$1,INDIRECT("Table1[Ende]"),"&gt;="&amp;CB$1,INDIRECT("Table1[Obergruppe ATC-Code]"),Tabelle3!$A43)</f>
        <v>1</v>
      </c>
      <c r="CC43">
        <f ca="1">COUNTIFS(INDIRECT("Table1[Beginn]"),"&lt;="&amp;CC$1,INDIRECT("Table1[Ende]"),"&gt;="&amp;CC$1,INDIRECT("Table1[Obergruppe ATC-Code]"),Tabelle3!$A43)</f>
        <v>2</v>
      </c>
      <c r="CD43">
        <f ca="1">COUNTIFS(INDIRECT("Table1[Beginn]"),"&lt;="&amp;CD$1,INDIRECT("Table1[Ende]"),"&gt;="&amp;CD$1,INDIRECT("Table1[Obergruppe ATC-Code]"),Tabelle3!$A43)</f>
        <v>2</v>
      </c>
      <c r="CE43">
        <f ca="1">COUNTIFS(INDIRECT("Table1[Beginn]"),"&lt;="&amp;CE$1,INDIRECT("Table1[Ende]"),"&gt;="&amp;CE$1,INDIRECT("Table1[Obergruppe ATC-Code]"),Tabelle3!$A43)</f>
        <v>2</v>
      </c>
      <c r="CF43">
        <f ca="1">COUNTIFS(INDIRECT("Table1[Beginn]"),"&lt;="&amp;CF$1,INDIRECT("Table1[Ende]"),"&gt;="&amp;CF$1,INDIRECT("Table1[Obergruppe ATC-Code]"),Tabelle3!$A43)</f>
        <v>2</v>
      </c>
      <c r="CG43">
        <f ca="1">COUNTIFS(INDIRECT("Table1[Beginn]"),"&lt;="&amp;CG$1,INDIRECT("Table1[Ende]"),"&gt;="&amp;CG$1,INDIRECT("Table1[Obergruppe ATC-Code]"),Tabelle3!$A43)</f>
        <v>2</v>
      </c>
      <c r="CH43">
        <f ca="1">COUNTIFS(INDIRECT("Table1[Beginn]"),"&lt;="&amp;CH$1,INDIRECT("Table1[Ende]"),"&gt;="&amp;CH$1,INDIRECT("Table1[Obergruppe ATC-Code]"),Tabelle3!$A43)</f>
        <v>2</v>
      </c>
      <c r="CI43">
        <f ca="1">COUNTIFS(INDIRECT("Table1[Beginn]"),"&lt;="&amp;CI$1,INDIRECT("Table1[Ende]"),"&gt;="&amp;CI$1,INDIRECT("Table1[Obergruppe ATC-Code]"),Tabelle3!$A43)</f>
        <v>2</v>
      </c>
      <c r="CJ43">
        <f ca="1">COUNTIFS(INDIRECT("Table1[Beginn]"),"&lt;="&amp;CJ$1,INDIRECT("Table1[Ende]"),"&gt;="&amp;CJ$1,INDIRECT("Table1[Obergruppe ATC-Code]"),Tabelle3!$A43)</f>
        <v>2</v>
      </c>
      <c r="CK43">
        <f ca="1">COUNTIFS(INDIRECT("Table1[Beginn]"),"&lt;="&amp;CK$1,INDIRECT("Table1[Ende]"),"&gt;="&amp;CK$1,INDIRECT("Table1[Obergruppe ATC-Code]"),Tabelle3!$A43)</f>
        <v>1</v>
      </c>
      <c r="CL43">
        <f ca="1">COUNTIFS(INDIRECT("Table1[Beginn]"),"&lt;="&amp;CL$1,INDIRECT("Table1[Ende]"),"&gt;="&amp;CL$1,INDIRECT("Table1[Obergruppe ATC-Code]"),Tabelle3!$A43)</f>
        <v>1</v>
      </c>
      <c r="CM43">
        <f ca="1">COUNTIFS(INDIRECT("Table1[Beginn]"),"&lt;="&amp;CM$1,INDIRECT("Table1[Ende]"),"&gt;="&amp;CM$1,INDIRECT("Table1[Obergruppe ATC-Code]"),Tabelle3!$A43)</f>
        <v>1</v>
      </c>
      <c r="CN43">
        <f ca="1">COUNTIFS(INDIRECT("Table1[Beginn]"),"&lt;="&amp;CN$1,INDIRECT("Table1[Ende]"),"&gt;="&amp;CN$1,INDIRECT("Table1[Obergruppe ATC-Code]"),Tabelle3!$A43)</f>
        <v>1</v>
      </c>
      <c r="CO43">
        <f ca="1">COUNTIFS(INDIRECT("Table1[Beginn]"),"&lt;="&amp;CO$1,INDIRECT("Table1[Ende]"),"&gt;="&amp;CO$1,INDIRECT("Table1[Obergruppe ATC-Code]"),Tabelle3!$A43)</f>
        <v>0</v>
      </c>
      <c r="CP43">
        <f ca="1">COUNTIFS(INDIRECT("Table1[Beginn]"),"&lt;="&amp;CP$1,INDIRECT("Table1[Ende]"),"&gt;="&amp;CP$1,INDIRECT("Table1[Obergruppe ATC-Code]"),Tabelle3!$A43)</f>
        <v>0</v>
      </c>
      <c r="CQ43">
        <f ca="1">COUNTIFS(INDIRECT("Table1[Beginn]"),"&lt;="&amp;CQ$1,INDIRECT("Table1[Ende]"),"&gt;="&amp;CQ$1,INDIRECT("Table1[Obergruppe ATC-Code]"),Tabelle3!$A43)</f>
        <v>0</v>
      </c>
      <c r="CR43">
        <f ca="1">COUNTIFS(INDIRECT("Table1[Beginn]"),"&lt;="&amp;CR$1,INDIRECT("Table1[Ende]"),"&gt;="&amp;CR$1,INDIRECT("Table1[Obergruppe ATC-Code]"),Tabelle3!$A43)</f>
        <v>0</v>
      </c>
      <c r="CS43">
        <f ca="1">COUNTIFS(INDIRECT("Table1[Beginn]"),"&lt;="&amp;CS$1,INDIRECT("Table1[Ende]"),"&gt;="&amp;CS$1,INDIRECT("Table1[Obergruppe ATC-Code]"),Tabelle3!$A43)</f>
        <v>0</v>
      </c>
      <c r="CT43">
        <f ca="1">COUNTIFS(INDIRECT("Table1[Beginn]"),"&lt;="&amp;CT$1,INDIRECT("Table1[Ende]"),"&gt;="&amp;CT$1,INDIRECT("Table1[Obergruppe ATC-Code]"),Tabelle3!$A43)</f>
        <v>0</v>
      </c>
      <c r="CU43" s="56"/>
      <c r="CV43" s="56"/>
      <c r="CW43" s="56"/>
      <c r="CX43" s="56"/>
      <c r="CY43" s="56"/>
      <c r="CZ43" s="56"/>
      <c r="DA43" s="56"/>
      <c r="DB43" s="56"/>
      <c r="DC43" s="56"/>
      <c r="DD43" s="56"/>
      <c r="DE43" s="56"/>
      <c r="DF43" s="56"/>
      <c r="DG43" s="56"/>
      <c r="DH43" s="56"/>
    </row>
    <row r="44" spans="1:112" ht="18" customHeight="1">
      <c r="A44" s="7" t="s">
        <v>6857</v>
      </c>
      <c r="B44" s="8" t="s">
        <v>6858</v>
      </c>
      <c r="C44">
        <f ca="1">COUNTIFS(INDIRECT("Table1[Beginn]"),"&lt;="&amp;C$1,INDIRECT("Table1[Ende]"),"&gt;="&amp;C$1,INDIRECT("Table1[Obergruppe ATC-Code]"),Tabelle3!$A44)</f>
        <v>0</v>
      </c>
      <c r="D44">
        <f ca="1">COUNTIFS(INDIRECT("Table1[Beginn]"),"&lt;="&amp;D$1,INDIRECT("Table1[Ende]"),"&gt;="&amp;D$1,INDIRECT("Table1[Obergruppe ATC-Code]"),Tabelle3!$A44)</f>
        <v>0</v>
      </c>
      <c r="E44">
        <f ca="1">COUNTIFS(INDIRECT("Table1[Beginn]"),"&lt;="&amp;E$1,INDIRECT("Table1[Ende]"),"&gt;="&amp;E$1,INDIRECT("Table1[Obergruppe ATC-Code]"),Tabelle3!$A44)</f>
        <v>0</v>
      </c>
      <c r="F44">
        <f ca="1">COUNTIFS(INDIRECT("Table1[Beginn]"),"&lt;="&amp;F$1,INDIRECT("Table1[Ende]"),"&gt;="&amp;F$1,INDIRECT("Table1[Obergruppe ATC-Code]"),Tabelle3!$A44)</f>
        <v>0</v>
      </c>
      <c r="G44">
        <f ca="1">COUNTIFS(INDIRECT("Table1[Beginn]"),"&lt;="&amp;G$1,INDIRECT("Table1[Ende]"),"&gt;="&amp;G$1,INDIRECT("Table1[Obergruppe ATC-Code]"),Tabelle3!$A44)</f>
        <v>0</v>
      </c>
      <c r="H44">
        <f ca="1">COUNTIFS(INDIRECT("Table1[Beginn]"),"&lt;="&amp;H$1,INDIRECT("Table1[Ende]"),"&gt;="&amp;H$1,INDIRECT("Table1[Obergruppe ATC-Code]"),Tabelle3!$A44)</f>
        <v>0</v>
      </c>
      <c r="I44">
        <f ca="1">COUNTIFS(INDIRECT("Table1[Beginn]"),"&lt;="&amp;I$1,INDIRECT("Table1[Ende]"),"&gt;="&amp;I$1,INDIRECT("Table1[Obergruppe ATC-Code]"),Tabelle3!$A44)</f>
        <v>0</v>
      </c>
      <c r="J44">
        <f ca="1">COUNTIFS(INDIRECT("Table1[Beginn]"),"&lt;="&amp;J$1,INDIRECT("Table1[Ende]"),"&gt;="&amp;J$1,INDIRECT("Table1[Obergruppe ATC-Code]"),Tabelle3!$A44)</f>
        <v>0</v>
      </c>
      <c r="K44">
        <f ca="1">COUNTIFS(INDIRECT("Table1[Beginn]"),"&lt;="&amp;K$1,INDIRECT("Table1[Ende]"),"&gt;="&amp;K$1,INDIRECT("Table1[Obergruppe ATC-Code]"),Tabelle3!$A44)</f>
        <v>0</v>
      </c>
      <c r="L44">
        <f ca="1">COUNTIFS(INDIRECT("Table1[Beginn]"),"&lt;="&amp;L$1,INDIRECT("Table1[Ende]"),"&gt;="&amp;L$1,INDIRECT("Table1[Obergruppe ATC-Code]"),Tabelle3!$A44)</f>
        <v>0</v>
      </c>
      <c r="M44">
        <f ca="1">COUNTIFS(INDIRECT("Table1[Beginn]"),"&lt;="&amp;M$1,INDIRECT("Table1[Ende]"),"&gt;="&amp;M$1,INDIRECT("Table1[Obergruppe ATC-Code]"),Tabelle3!$A44)</f>
        <v>0</v>
      </c>
      <c r="N44">
        <f ca="1">COUNTIFS(INDIRECT("Table1[Beginn]"),"&lt;="&amp;N$1,INDIRECT("Table1[Ende]"),"&gt;="&amp;N$1,INDIRECT("Table1[Obergruppe ATC-Code]"),Tabelle3!$A44)</f>
        <v>0</v>
      </c>
      <c r="O44">
        <f ca="1">COUNTIFS(INDIRECT("Table1[Beginn]"),"&lt;="&amp;O$1,INDIRECT("Table1[Ende]"),"&gt;="&amp;O$1,INDIRECT("Table1[Obergruppe ATC-Code]"),Tabelle3!$A44)</f>
        <v>0</v>
      </c>
      <c r="P44">
        <f ca="1">COUNTIFS(INDIRECT("Table1[Beginn]"),"&lt;="&amp;P$1,INDIRECT("Table1[Ende]"),"&gt;="&amp;P$1,INDIRECT("Table1[Obergruppe ATC-Code]"),Tabelle3!$A44)</f>
        <v>0</v>
      </c>
      <c r="Q44">
        <f ca="1">COUNTIFS(INDIRECT("Table1[Beginn]"),"&lt;="&amp;Q$1,INDIRECT("Table1[Ende]"),"&gt;="&amp;Q$1,INDIRECT("Table1[Obergruppe ATC-Code]"),Tabelle3!$A44)</f>
        <v>0</v>
      </c>
      <c r="R44">
        <f ca="1">COUNTIFS(INDIRECT("Table1[Beginn]"),"&lt;="&amp;R$1,INDIRECT("Table1[Ende]"),"&gt;="&amp;R$1,INDIRECT("Table1[Obergruppe ATC-Code]"),Tabelle3!$A44)</f>
        <v>0</v>
      </c>
      <c r="S44">
        <f ca="1">COUNTIFS(INDIRECT("Table1[Beginn]"),"&lt;="&amp;S$1,INDIRECT("Table1[Ende]"),"&gt;="&amp;S$1,INDIRECT("Table1[Obergruppe ATC-Code]"),Tabelle3!$A44)</f>
        <v>0</v>
      </c>
      <c r="T44">
        <f ca="1">COUNTIFS(INDIRECT("Table1[Beginn]"),"&lt;="&amp;T$1,INDIRECT("Table1[Ende]"),"&gt;="&amp;T$1,INDIRECT("Table1[Obergruppe ATC-Code]"),Tabelle3!$A44)</f>
        <v>0</v>
      </c>
      <c r="U44">
        <f ca="1">COUNTIFS(INDIRECT("Table1[Beginn]"),"&lt;="&amp;U$1,INDIRECT("Table1[Ende]"),"&gt;="&amp;U$1,INDIRECT("Table1[Obergruppe ATC-Code]"),Tabelle3!$A44)</f>
        <v>0</v>
      </c>
      <c r="V44">
        <f ca="1">COUNTIFS(INDIRECT("Table1[Beginn]"),"&lt;="&amp;V$1,INDIRECT("Table1[Ende]"),"&gt;="&amp;V$1,INDIRECT("Table1[Obergruppe ATC-Code]"),Tabelle3!$A44)</f>
        <v>0</v>
      </c>
      <c r="W44">
        <f ca="1">COUNTIFS(INDIRECT("Table1[Beginn]"),"&lt;="&amp;W$1,INDIRECT("Table1[Ende]"),"&gt;="&amp;W$1,INDIRECT("Table1[Obergruppe ATC-Code]"),Tabelle3!$A44)</f>
        <v>0</v>
      </c>
      <c r="X44">
        <f ca="1">COUNTIFS(INDIRECT("Table1[Beginn]"),"&lt;="&amp;X$1,INDIRECT("Table1[Ende]"),"&gt;="&amp;X$1,INDIRECT("Table1[Obergruppe ATC-Code]"),Tabelle3!$A44)</f>
        <v>0</v>
      </c>
      <c r="Y44">
        <f ca="1">COUNTIFS(INDIRECT("Table1[Beginn]"),"&lt;="&amp;Y$1,INDIRECT("Table1[Ende]"),"&gt;="&amp;Y$1,INDIRECT("Table1[Obergruppe ATC-Code]"),Tabelle3!$A44)</f>
        <v>0</v>
      </c>
      <c r="Z44">
        <f ca="1">COUNTIFS(INDIRECT("Table1[Beginn]"),"&lt;="&amp;Z$1,INDIRECT("Table1[Ende]"),"&gt;="&amp;Z$1,INDIRECT("Table1[Obergruppe ATC-Code]"),Tabelle3!$A44)</f>
        <v>0</v>
      </c>
      <c r="AA44">
        <f ca="1">COUNTIFS(INDIRECT("Table1[Beginn]"),"&lt;="&amp;AA$1,INDIRECT("Table1[Ende]"),"&gt;="&amp;AA$1,INDIRECT("Table1[Obergruppe ATC-Code]"),Tabelle3!$A44)</f>
        <v>0</v>
      </c>
      <c r="AB44">
        <f ca="1">COUNTIFS(INDIRECT("Table1[Beginn]"),"&lt;="&amp;AB$1,INDIRECT("Table1[Ende]"),"&gt;="&amp;AB$1,INDIRECT("Table1[Obergruppe ATC-Code]"),Tabelle3!$A44)</f>
        <v>0</v>
      </c>
      <c r="AC44">
        <f ca="1">COUNTIFS(INDIRECT("Table1[Beginn]"),"&lt;="&amp;AC$1,INDIRECT("Table1[Ende]"),"&gt;="&amp;AC$1,INDIRECT("Table1[Obergruppe ATC-Code]"),Tabelle3!$A44)</f>
        <v>0</v>
      </c>
      <c r="AD44">
        <f ca="1">COUNTIFS(INDIRECT("Table1[Beginn]"),"&lt;="&amp;AD$1,INDIRECT("Table1[Ende]"),"&gt;="&amp;AD$1,INDIRECT("Table1[Obergruppe ATC-Code]"),Tabelle3!$A44)</f>
        <v>0</v>
      </c>
      <c r="AE44">
        <f ca="1">COUNTIFS(INDIRECT("Table1[Beginn]"),"&lt;="&amp;AE$1,INDIRECT("Table1[Ende]"),"&gt;="&amp;AE$1,INDIRECT("Table1[Obergruppe ATC-Code]"),Tabelle3!$A44)</f>
        <v>0</v>
      </c>
      <c r="AF44">
        <f ca="1">COUNTIFS(INDIRECT("Table1[Beginn]"),"&lt;="&amp;AF$1,INDIRECT("Table1[Ende]"),"&gt;="&amp;AF$1,INDIRECT("Table1[Obergruppe ATC-Code]"),Tabelle3!$A44)</f>
        <v>0</v>
      </c>
      <c r="AG44">
        <f ca="1">COUNTIFS(INDIRECT("Table1[Beginn]"),"&lt;="&amp;AG$1,INDIRECT("Table1[Ende]"),"&gt;="&amp;AG$1,INDIRECT("Table1[Obergruppe ATC-Code]"),Tabelle3!$A44)</f>
        <v>0</v>
      </c>
      <c r="AH44">
        <f ca="1">COUNTIFS(INDIRECT("Table1[Beginn]"),"&lt;="&amp;AH$1,INDIRECT("Table1[Ende]"),"&gt;="&amp;AH$1,INDIRECT("Table1[Obergruppe ATC-Code]"),Tabelle3!$A44)</f>
        <v>0</v>
      </c>
      <c r="AI44">
        <f ca="1">COUNTIFS(INDIRECT("Table1[Beginn]"),"&lt;="&amp;AI$1,INDIRECT("Table1[Ende]"),"&gt;="&amp;AI$1,INDIRECT("Table1[Obergruppe ATC-Code]"),Tabelle3!$A44)</f>
        <v>0</v>
      </c>
      <c r="AJ44">
        <f ca="1">COUNTIFS(INDIRECT("Table1[Beginn]"),"&lt;="&amp;AJ$1,INDIRECT("Table1[Ende]"),"&gt;="&amp;AJ$1,INDIRECT("Table1[Obergruppe ATC-Code]"),Tabelle3!$A44)</f>
        <v>0</v>
      </c>
      <c r="AK44">
        <f ca="1">COUNTIFS(INDIRECT("Table1[Beginn]"),"&lt;="&amp;AK$1,INDIRECT("Table1[Ende]"),"&gt;="&amp;AK$1,INDIRECT("Table1[Obergruppe ATC-Code]"),Tabelle3!$A44)</f>
        <v>0</v>
      </c>
      <c r="AL44">
        <f ca="1">COUNTIFS(INDIRECT("Table1[Beginn]"),"&lt;="&amp;AL$1,INDIRECT("Table1[Ende]"),"&gt;="&amp;AL$1,INDIRECT("Table1[Obergruppe ATC-Code]"),Tabelle3!$A44)</f>
        <v>0</v>
      </c>
      <c r="AM44">
        <f ca="1">COUNTIFS(INDIRECT("Table1[Beginn]"),"&lt;="&amp;AM$1,INDIRECT("Table1[Ende]"),"&gt;="&amp;AM$1,INDIRECT("Table1[Obergruppe ATC-Code]"),Tabelle3!$A44)</f>
        <v>0</v>
      </c>
      <c r="AN44">
        <f ca="1">COUNTIFS(INDIRECT("Table1[Beginn]"),"&lt;="&amp;AN$1,INDIRECT("Table1[Ende]"),"&gt;="&amp;AN$1,INDIRECT("Table1[Obergruppe ATC-Code]"),Tabelle3!$A44)</f>
        <v>0</v>
      </c>
      <c r="AO44">
        <f ca="1">COUNTIFS(INDIRECT("Table1[Beginn]"),"&lt;="&amp;AO$1,INDIRECT("Table1[Ende]"),"&gt;="&amp;AO$1,INDIRECT("Table1[Obergruppe ATC-Code]"),Tabelle3!$A44)</f>
        <v>0</v>
      </c>
      <c r="AP44">
        <f ca="1">COUNTIFS(INDIRECT("Table1[Beginn]"),"&lt;="&amp;AP$1,INDIRECT("Table1[Ende]"),"&gt;="&amp;AP$1,INDIRECT("Table1[Obergruppe ATC-Code]"),Tabelle3!$A44)</f>
        <v>0</v>
      </c>
      <c r="AQ44">
        <f ca="1">COUNTIFS(INDIRECT("Table1[Beginn]"),"&lt;="&amp;AQ$1,INDIRECT("Table1[Ende]"),"&gt;="&amp;AQ$1,INDIRECT("Table1[Obergruppe ATC-Code]"),Tabelle3!$A44)</f>
        <v>0</v>
      </c>
      <c r="AR44">
        <f ca="1">COUNTIFS(INDIRECT("Table1[Beginn]"),"&lt;="&amp;AR$1,INDIRECT("Table1[Ende]"),"&gt;="&amp;AR$1,INDIRECT("Table1[Obergruppe ATC-Code]"),Tabelle3!$A44)</f>
        <v>0</v>
      </c>
      <c r="AS44">
        <f ca="1">COUNTIFS(INDIRECT("Table1[Beginn]"),"&lt;="&amp;AS$1,INDIRECT("Table1[Ende]"),"&gt;="&amp;AS$1,INDIRECT("Table1[Obergruppe ATC-Code]"),Tabelle3!$A44)</f>
        <v>0</v>
      </c>
      <c r="AT44">
        <f ca="1">COUNTIFS(INDIRECT("Table1[Beginn]"),"&lt;="&amp;AT$1,INDIRECT("Table1[Ende]"),"&gt;="&amp;AT$1,INDIRECT("Table1[Obergruppe ATC-Code]"),Tabelle3!$A44)</f>
        <v>0</v>
      </c>
      <c r="AU44">
        <f ca="1">COUNTIFS(INDIRECT("Table1[Beginn]"),"&lt;="&amp;AU$1,INDIRECT("Table1[Ende]"),"&gt;="&amp;AU$1,INDIRECT("Table1[Obergruppe ATC-Code]"),Tabelle3!$A44)</f>
        <v>0</v>
      </c>
      <c r="AV44">
        <f ca="1">COUNTIFS(INDIRECT("Table1[Beginn]"),"&lt;="&amp;AV$1,INDIRECT("Table1[Ende]"),"&gt;="&amp;AV$1,INDIRECT("Table1[Obergruppe ATC-Code]"),Tabelle3!$A44)</f>
        <v>0</v>
      </c>
      <c r="AW44">
        <f ca="1">COUNTIFS(INDIRECT("Table1[Beginn]"),"&lt;="&amp;AW$1,INDIRECT("Table1[Ende]"),"&gt;="&amp;AW$1,INDIRECT("Table1[Obergruppe ATC-Code]"),Tabelle3!$A44)</f>
        <v>0</v>
      </c>
      <c r="AX44">
        <f ca="1">COUNTIFS(INDIRECT("Table1[Beginn]"),"&lt;="&amp;AX$1,INDIRECT("Table1[Ende]"),"&gt;="&amp;AX$1,INDIRECT("Table1[Obergruppe ATC-Code]"),Tabelle3!$A44)</f>
        <v>0</v>
      </c>
      <c r="AY44">
        <f ca="1">COUNTIFS(INDIRECT("Table1[Beginn]"),"&lt;="&amp;AY$1,INDIRECT("Table1[Ende]"),"&gt;="&amp;AY$1,INDIRECT("Table1[Obergruppe ATC-Code]"),Tabelle3!$A44)</f>
        <v>0</v>
      </c>
      <c r="AZ44">
        <f ca="1">COUNTIFS(INDIRECT("Table1[Beginn]"),"&lt;="&amp;AZ$1,INDIRECT("Table1[Ende]"),"&gt;="&amp;AZ$1,INDIRECT("Table1[Obergruppe ATC-Code]"),Tabelle3!$A44)</f>
        <v>0</v>
      </c>
      <c r="BA44">
        <f ca="1">COUNTIFS(INDIRECT("Table1[Beginn]"),"&lt;="&amp;BA$1,INDIRECT("Table1[Ende]"),"&gt;="&amp;BA$1,INDIRECT("Table1[Obergruppe ATC-Code]"),Tabelle3!$A44)</f>
        <v>0</v>
      </c>
      <c r="BB44">
        <f ca="1">COUNTIFS(INDIRECT("Table1[Beginn]"),"&lt;="&amp;BB$1,INDIRECT("Table1[Ende]"),"&gt;="&amp;BB$1,INDIRECT("Table1[Obergruppe ATC-Code]"),Tabelle3!$A44)</f>
        <v>0</v>
      </c>
      <c r="BC44">
        <f ca="1">COUNTIFS(INDIRECT("Table1[Beginn]"),"&lt;="&amp;BC$1,INDIRECT("Table1[Ende]"),"&gt;="&amp;BC$1,INDIRECT("Table1[Obergruppe ATC-Code]"),Tabelle3!$A44)</f>
        <v>0</v>
      </c>
      <c r="BD44">
        <f ca="1">COUNTIFS(INDIRECT("Table1[Beginn]"),"&lt;="&amp;BD$1,INDIRECT("Table1[Ende]"),"&gt;="&amp;BD$1,INDIRECT("Table1[Obergruppe ATC-Code]"),Tabelle3!$A44)</f>
        <v>0</v>
      </c>
      <c r="BE44">
        <f ca="1">COUNTIFS(INDIRECT("Table1[Beginn]"),"&lt;="&amp;BE$1,INDIRECT("Table1[Ende]"),"&gt;="&amp;BE$1,INDIRECT("Table1[Obergruppe ATC-Code]"),Tabelle3!$A44)</f>
        <v>0</v>
      </c>
      <c r="BF44">
        <f ca="1">COUNTIFS(INDIRECT("Table1[Beginn]"),"&lt;="&amp;BF$1,INDIRECT("Table1[Ende]"),"&gt;="&amp;BF$1,INDIRECT("Table1[Obergruppe ATC-Code]"),Tabelle3!$A44)</f>
        <v>0</v>
      </c>
      <c r="BG44">
        <f ca="1">COUNTIFS(INDIRECT("Table1[Beginn]"),"&lt;="&amp;BG$1,INDIRECT("Table1[Ende]"),"&gt;="&amp;BG$1,INDIRECT("Table1[Obergruppe ATC-Code]"),Tabelle3!$A44)</f>
        <v>0</v>
      </c>
      <c r="BH44">
        <f ca="1">COUNTIFS(INDIRECT("Table1[Beginn]"),"&lt;="&amp;BH$1,INDIRECT("Table1[Ende]"),"&gt;="&amp;BH$1,INDIRECT("Table1[Obergruppe ATC-Code]"),Tabelle3!$A44)</f>
        <v>0</v>
      </c>
      <c r="BI44">
        <f ca="1">COUNTIFS(INDIRECT("Table1[Beginn]"),"&lt;="&amp;BI$1,INDIRECT("Table1[Ende]"),"&gt;="&amp;BI$1,INDIRECT("Table1[Obergruppe ATC-Code]"),Tabelle3!$A44)</f>
        <v>0</v>
      </c>
      <c r="BJ44">
        <f ca="1">COUNTIFS(INDIRECT("Table1[Beginn]"),"&lt;="&amp;BJ$1,INDIRECT("Table1[Ende]"),"&gt;="&amp;BJ$1,INDIRECT("Table1[Obergruppe ATC-Code]"),Tabelle3!$A44)</f>
        <v>0</v>
      </c>
      <c r="BK44">
        <f ca="1">COUNTIFS(INDIRECT("Table1[Beginn]"),"&lt;="&amp;BK$1,INDIRECT("Table1[Ende]"),"&gt;="&amp;BK$1,INDIRECT("Table1[Obergruppe ATC-Code]"),Tabelle3!$A44)</f>
        <v>0</v>
      </c>
      <c r="BL44">
        <f ca="1">COUNTIFS(INDIRECT("Table1[Beginn]"),"&lt;="&amp;BL$1,INDIRECT("Table1[Ende]"),"&gt;="&amp;BL$1,INDIRECT("Table1[Obergruppe ATC-Code]"),Tabelle3!$A44)</f>
        <v>0</v>
      </c>
      <c r="BM44">
        <f ca="1">COUNTIFS(INDIRECT("Table1[Beginn]"),"&lt;="&amp;BM$1,INDIRECT("Table1[Ende]"),"&gt;="&amp;BM$1,INDIRECT("Table1[Obergruppe ATC-Code]"),Tabelle3!$A44)</f>
        <v>0</v>
      </c>
      <c r="BN44">
        <f ca="1">COUNTIFS(INDIRECT("Table1[Beginn]"),"&lt;="&amp;BN$1,INDIRECT("Table1[Ende]"),"&gt;="&amp;BN$1,INDIRECT("Table1[Obergruppe ATC-Code]"),Tabelle3!$A44)</f>
        <v>0</v>
      </c>
      <c r="BO44">
        <f ca="1">COUNTIFS(INDIRECT("Table1[Beginn]"),"&lt;="&amp;BO$1,INDIRECT("Table1[Ende]"),"&gt;="&amp;BO$1,INDIRECT("Table1[Obergruppe ATC-Code]"),Tabelle3!$A44)</f>
        <v>0</v>
      </c>
      <c r="BP44">
        <f ca="1">COUNTIFS(INDIRECT("Table1[Beginn]"),"&lt;="&amp;BP$1,INDIRECT("Table1[Ende]"),"&gt;="&amp;BP$1,INDIRECT("Table1[Obergruppe ATC-Code]"),Tabelle3!$A44)</f>
        <v>0</v>
      </c>
      <c r="BQ44">
        <f ca="1">COUNTIFS(INDIRECT("Table1[Beginn]"),"&lt;="&amp;BQ$1,INDIRECT("Table1[Ende]"),"&gt;="&amp;BQ$1,INDIRECT("Table1[Obergruppe ATC-Code]"),Tabelle3!$A44)</f>
        <v>0</v>
      </c>
      <c r="BR44">
        <f ca="1">COUNTIFS(INDIRECT("Table1[Beginn]"),"&lt;="&amp;BR$1,INDIRECT("Table1[Ende]"),"&gt;="&amp;BR$1,INDIRECT("Table1[Obergruppe ATC-Code]"),Tabelle3!$A44)</f>
        <v>0</v>
      </c>
      <c r="BS44">
        <f ca="1">COUNTIFS(INDIRECT("Table1[Beginn]"),"&lt;="&amp;BS$1,INDIRECT("Table1[Ende]"),"&gt;="&amp;BS$1,INDIRECT("Table1[Obergruppe ATC-Code]"),Tabelle3!$A44)</f>
        <v>0</v>
      </c>
      <c r="BT44">
        <f ca="1">COUNTIFS(INDIRECT("Table1[Beginn]"),"&lt;="&amp;BT$1,INDIRECT("Table1[Ende]"),"&gt;="&amp;BT$1,INDIRECT("Table1[Obergruppe ATC-Code]"),Tabelle3!$A44)</f>
        <v>0</v>
      </c>
      <c r="BU44">
        <f ca="1">COUNTIFS(INDIRECT("Table1[Beginn]"),"&lt;="&amp;BU$1,INDIRECT("Table1[Ende]"),"&gt;="&amp;BU$1,INDIRECT("Table1[Obergruppe ATC-Code]"),Tabelle3!$A44)</f>
        <v>0</v>
      </c>
      <c r="BV44">
        <f ca="1">COUNTIFS(INDIRECT("Table1[Beginn]"),"&lt;="&amp;BV$1,INDIRECT("Table1[Ende]"),"&gt;="&amp;BV$1,INDIRECT("Table1[Obergruppe ATC-Code]"),Tabelle3!$A44)</f>
        <v>1</v>
      </c>
      <c r="BW44">
        <f ca="1">COUNTIFS(INDIRECT("Table1[Beginn]"),"&lt;="&amp;BW$1,INDIRECT("Table1[Ende]"),"&gt;="&amp;BW$1,INDIRECT("Table1[Obergruppe ATC-Code]"),Tabelle3!$A44)</f>
        <v>1</v>
      </c>
      <c r="BX44">
        <f ca="1">COUNTIFS(INDIRECT("Table1[Beginn]"),"&lt;="&amp;BX$1,INDIRECT("Table1[Ende]"),"&gt;="&amp;BX$1,INDIRECT("Table1[Obergruppe ATC-Code]"),Tabelle3!$A44)</f>
        <v>1</v>
      </c>
      <c r="BY44">
        <f ca="1">COUNTIFS(INDIRECT("Table1[Beginn]"),"&lt;="&amp;BY$1,INDIRECT("Table1[Ende]"),"&gt;="&amp;BY$1,INDIRECT("Table1[Obergruppe ATC-Code]"),Tabelle3!$A44)</f>
        <v>1</v>
      </c>
      <c r="BZ44">
        <f ca="1">COUNTIFS(INDIRECT("Table1[Beginn]"),"&lt;="&amp;BZ$1,INDIRECT("Table1[Ende]"),"&gt;="&amp;BZ$1,INDIRECT("Table1[Obergruppe ATC-Code]"),Tabelle3!$A44)</f>
        <v>1</v>
      </c>
      <c r="CA44">
        <f ca="1">COUNTIFS(INDIRECT("Table1[Beginn]"),"&lt;="&amp;CA$1,INDIRECT("Table1[Ende]"),"&gt;="&amp;CA$1,INDIRECT("Table1[Obergruppe ATC-Code]"),Tabelle3!$A44)</f>
        <v>2</v>
      </c>
      <c r="CB44">
        <f ca="1">COUNTIFS(INDIRECT("Table1[Beginn]"),"&lt;="&amp;CB$1,INDIRECT("Table1[Ende]"),"&gt;="&amp;CB$1,INDIRECT("Table1[Obergruppe ATC-Code]"),Tabelle3!$A44)</f>
        <v>2</v>
      </c>
      <c r="CC44">
        <f ca="1">COUNTIFS(INDIRECT("Table1[Beginn]"),"&lt;="&amp;CC$1,INDIRECT("Table1[Ende]"),"&gt;="&amp;CC$1,INDIRECT("Table1[Obergruppe ATC-Code]"),Tabelle3!$A44)</f>
        <v>2</v>
      </c>
      <c r="CD44">
        <f ca="1">COUNTIFS(INDIRECT("Table1[Beginn]"),"&lt;="&amp;CD$1,INDIRECT("Table1[Ende]"),"&gt;="&amp;CD$1,INDIRECT("Table1[Obergruppe ATC-Code]"),Tabelle3!$A44)</f>
        <v>1</v>
      </c>
      <c r="CE44">
        <f ca="1">COUNTIFS(INDIRECT("Table1[Beginn]"),"&lt;="&amp;CE$1,INDIRECT("Table1[Ende]"),"&gt;="&amp;CE$1,INDIRECT("Table1[Obergruppe ATC-Code]"),Tabelle3!$A44)</f>
        <v>2</v>
      </c>
      <c r="CF44">
        <f ca="1">COUNTIFS(INDIRECT("Table1[Beginn]"),"&lt;="&amp;CF$1,INDIRECT("Table1[Ende]"),"&gt;="&amp;CF$1,INDIRECT("Table1[Obergruppe ATC-Code]"),Tabelle3!$A44)</f>
        <v>2</v>
      </c>
      <c r="CG44">
        <f ca="1">COUNTIFS(INDIRECT("Table1[Beginn]"),"&lt;="&amp;CG$1,INDIRECT("Table1[Ende]"),"&gt;="&amp;CG$1,INDIRECT("Table1[Obergruppe ATC-Code]"),Tabelle3!$A44)</f>
        <v>1</v>
      </c>
      <c r="CH44">
        <f ca="1">COUNTIFS(INDIRECT("Table1[Beginn]"),"&lt;="&amp;CH$1,INDIRECT("Table1[Ende]"),"&gt;="&amp;CH$1,INDIRECT("Table1[Obergruppe ATC-Code]"),Tabelle3!$A44)</f>
        <v>1</v>
      </c>
      <c r="CI44">
        <f ca="1">COUNTIFS(INDIRECT("Table1[Beginn]"),"&lt;="&amp;CI$1,INDIRECT("Table1[Ende]"),"&gt;="&amp;CI$1,INDIRECT("Table1[Obergruppe ATC-Code]"),Tabelle3!$A44)</f>
        <v>1</v>
      </c>
      <c r="CJ44">
        <f ca="1">COUNTIFS(INDIRECT("Table1[Beginn]"),"&lt;="&amp;CJ$1,INDIRECT("Table1[Ende]"),"&gt;="&amp;CJ$1,INDIRECT("Table1[Obergruppe ATC-Code]"),Tabelle3!$A44)</f>
        <v>0</v>
      </c>
      <c r="CK44">
        <f ca="1">COUNTIFS(INDIRECT("Table1[Beginn]"),"&lt;="&amp;CK$1,INDIRECT("Table1[Ende]"),"&gt;="&amp;CK$1,INDIRECT("Table1[Obergruppe ATC-Code]"),Tabelle3!$A44)</f>
        <v>0</v>
      </c>
      <c r="CL44">
        <f ca="1">COUNTIFS(INDIRECT("Table1[Beginn]"),"&lt;="&amp;CL$1,INDIRECT("Table1[Ende]"),"&gt;="&amp;CL$1,INDIRECT("Table1[Obergruppe ATC-Code]"),Tabelle3!$A44)</f>
        <v>0</v>
      </c>
      <c r="CM44">
        <f ca="1">COUNTIFS(INDIRECT("Table1[Beginn]"),"&lt;="&amp;CM$1,INDIRECT("Table1[Ende]"),"&gt;="&amp;CM$1,INDIRECT("Table1[Obergruppe ATC-Code]"),Tabelle3!$A44)</f>
        <v>0</v>
      </c>
      <c r="CN44">
        <f ca="1">COUNTIFS(INDIRECT("Table1[Beginn]"),"&lt;="&amp;CN$1,INDIRECT("Table1[Ende]"),"&gt;="&amp;CN$1,INDIRECT("Table1[Obergruppe ATC-Code]"),Tabelle3!$A44)</f>
        <v>0</v>
      </c>
      <c r="CO44">
        <f ca="1">COUNTIFS(INDIRECT("Table1[Beginn]"),"&lt;="&amp;CO$1,INDIRECT("Table1[Ende]"),"&gt;="&amp;CO$1,INDIRECT("Table1[Obergruppe ATC-Code]"),Tabelle3!$A44)</f>
        <v>0</v>
      </c>
      <c r="CP44">
        <f ca="1">COUNTIFS(INDIRECT("Table1[Beginn]"),"&lt;="&amp;CP$1,INDIRECT("Table1[Ende]"),"&gt;="&amp;CP$1,INDIRECT("Table1[Obergruppe ATC-Code]"),Tabelle3!$A44)</f>
        <v>0</v>
      </c>
      <c r="CQ44">
        <f ca="1">COUNTIFS(INDIRECT("Table1[Beginn]"),"&lt;="&amp;CQ$1,INDIRECT("Table1[Ende]"),"&gt;="&amp;CQ$1,INDIRECT("Table1[Obergruppe ATC-Code]"),Tabelle3!$A44)</f>
        <v>0</v>
      </c>
      <c r="CR44">
        <f ca="1">COUNTIFS(INDIRECT("Table1[Beginn]"),"&lt;="&amp;CR$1,INDIRECT("Table1[Ende]"),"&gt;="&amp;CR$1,INDIRECT("Table1[Obergruppe ATC-Code]"),Tabelle3!$A44)</f>
        <v>0</v>
      </c>
      <c r="CS44">
        <f ca="1">COUNTIFS(INDIRECT("Table1[Beginn]"),"&lt;="&amp;CS$1,INDIRECT("Table1[Ende]"),"&gt;="&amp;CS$1,INDIRECT("Table1[Obergruppe ATC-Code]"),Tabelle3!$A44)</f>
        <v>0</v>
      </c>
      <c r="CT44">
        <f ca="1">COUNTIFS(INDIRECT("Table1[Beginn]"),"&lt;="&amp;CT$1,INDIRECT("Table1[Ende]"),"&gt;="&amp;CT$1,INDIRECT("Table1[Obergruppe ATC-Code]"),Tabelle3!$A44)</f>
        <v>0</v>
      </c>
      <c r="CU44" s="56"/>
      <c r="CV44" s="56"/>
      <c r="CW44" s="56"/>
      <c r="CX44" s="56"/>
      <c r="CY44" s="56"/>
      <c r="CZ44" s="56"/>
      <c r="DA44" s="56"/>
      <c r="DB44" s="56"/>
      <c r="DC44" s="56"/>
      <c r="DD44" s="56"/>
      <c r="DE44" s="56"/>
      <c r="DF44" s="56"/>
      <c r="DG44" s="56"/>
      <c r="DH44" s="56"/>
    </row>
    <row r="45" spans="1:112" ht="18" customHeight="1">
      <c r="A45" s="9" t="s">
        <v>6859</v>
      </c>
      <c r="B45" s="10" t="s">
        <v>6860</v>
      </c>
      <c r="C45">
        <f ca="1">COUNTIFS(INDIRECT("Table1[Beginn]"),"&lt;="&amp;C$1,INDIRECT("Table1[Ende]"),"&gt;="&amp;C$1,INDIRECT("Table1[Obergruppe ATC-Code]"),Tabelle3!$A45)</f>
        <v>0</v>
      </c>
      <c r="D45">
        <f ca="1">COUNTIFS(INDIRECT("Table1[Beginn]"),"&lt;="&amp;D$1,INDIRECT("Table1[Ende]"),"&gt;="&amp;D$1,INDIRECT("Table1[Obergruppe ATC-Code]"),Tabelle3!$A45)</f>
        <v>0</v>
      </c>
      <c r="E45">
        <f ca="1">COUNTIFS(INDIRECT("Table1[Beginn]"),"&lt;="&amp;E$1,INDIRECT("Table1[Ende]"),"&gt;="&amp;E$1,INDIRECT("Table1[Obergruppe ATC-Code]"),Tabelle3!$A45)</f>
        <v>0</v>
      </c>
      <c r="F45">
        <f ca="1">COUNTIFS(INDIRECT("Table1[Beginn]"),"&lt;="&amp;F$1,INDIRECT("Table1[Ende]"),"&gt;="&amp;F$1,INDIRECT("Table1[Obergruppe ATC-Code]"),Tabelle3!$A45)</f>
        <v>0</v>
      </c>
      <c r="G45">
        <f ca="1">COUNTIFS(INDIRECT("Table1[Beginn]"),"&lt;="&amp;G$1,INDIRECT("Table1[Ende]"),"&gt;="&amp;G$1,INDIRECT("Table1[Obergruppe ATC-Code]"),Tabelle3!$A45)</f>
        <v>0</v>
      </c>
      <c r="H45">
        <f ca="1">COUNTIFS(INDIRECT("Table1[Beginn]"),"&lt;="&amp;H$1,INDIRECT("Table1[Ende]"),"&gt;="&amp;H$1,INDIRECT("Table1[Obergruppe ATC-Code]"),Tabelle3!$A45)</f>
        <v>0</v>
      </c>
      <c r="I45">
        <f ca="1">COUNTIFS(INDIRECT("Table1[Beginn]"),"&lt;="&amp;I$1,INDIRECT("Table1[Ende]"),"&gt;="&amp;I$1,INDIRECT("Table1[Obergruppe ATC-Code]"),Tabelle3!$A45)</f>
        <v>0</v>
      </c>
      <c r="J45">
        <f ca="1">COUNTIFS(INDIRECT("Table1[Beginn]"),"&lt;="&amp;J$1,INDIRECT("Table1[Ende]"),"&gt;="&amp;J$1,INDIRECT("Table1[Obergruppe ATC-Code]"),Tabelle3!$A45)</f>
        <v>0</v>
      </c>
      <c r="K45">
        <f ca="1">COUNTIFS(INDIRECT("Table1[Beginn]"),"&lt;="&amp;K$1,INDIRECT("Table1[Ende]"),"&gt;="&amp;K$1,INDIRECT("Table1[Obergruppe ATC-Code]"),Tabelle3!$A45)</f>
        <v>0</v>
      </c>
      <c r="L45">
        <f ca="1">COUNTIFS(INDIRECT("Table1[Beginn]"),"&lt;="&amp;L$1,INDIRECT("Table1[Ende]"),"&gt;="&amp;L$1,INDIRECT("Table1[Obergruppe ATC-Code]"),Tabelle3!$A45)</f>
        <v>0</v>
      </c>
      <c r="M45">
        <f ca="1">COUNTIFS(INDIRECT("Table1[Beginn]"),"&lt;="&amp;M$1,INDIRECT("Table1[Ende]"),"&gt;="&amp;M$1,INDIRECT("Table1[Obergruppe ATC-Code]"),Tabelle3!$A45)</f>
        <v>0</v>
      </c>
      <c r="N45">
        <f ca="1">COUNTIFS(INDIRECT("Table1[Beginn]"),"&lt;="&amp;N$1,INDIRECT("Table1[Ende]"),"&gt;="&amp;N$1,INDIRECT("Table1[Obergruppe ATC-Code]"),Tabelle3!$A45)</f>
        <v>0</v>
      </c>
      <c r="O45">
        <f ca="1">COUNTIFS(INDIRECT("Table1[Beginn]"),"&lt;="&amp;O$1,INDIRECT("Table1[Ende]"),"&gt;="&amp;O$1,INDIRECT("Table1[Obergruppe ATC-Code]"),Tabelle3!$A45)</f>
        <v>0</v>
      </c>
      <c r="P45">
        <f ca="1">COUNTIFS(INDIRECT("Table1[Beginn]"),"&lt;="&amp;P$1,INDIRECT("Table1[Ende]"),"&gt;="&amp;P$1,INDIRECT("Table1[Obergruppe ATC-Code]"),Tabelle3!$A45)</f>
        <v>0</v>
      </c>
      <c r="Q45">
        <f ca="1">COUNTIFS(INDIRECT("Table1[Beginn]"),"&lt;="&amp;Q$1,INDIRECT("Table1[Ende]"),"&gt;="&amp;Q$1,INDIRECT("Table1[Obergruppe ATC-Code]"),Tabelle3!$A45)</f>
        <v>0</v>
      </c>
      <c r="R45">
        <f ca="1">COUNTIFS(INDIRECT("Table1[Beginn]"),"&lt;="&amp;R$1,INDIRECT("Table1[Ende]"),"&gt;="&amp;R$1,INDIRECT("Table1[Obergruppe ATC-Code]"),Tabelle3!$A45)</f>
        <v>0</v>
      </c>
      <c r="S45">
        <f ca="1">COUNTIFS(INDIRECT("Table1[Beginn]"),"&lt;="&amp;S$1,INDIRECT("Table1[Ende]"),"&gt;="&amp;S$1,INDIRECT("Table1[Obergruppe ATC-Code]"),Tabelle3!$A45)</f>
        <v>0</v>
      </c>
      <c r="T45">
        <f ca="1">COUNTIFS(INDIRECT("Table1[Beginn]"),"&lt;="&amp;T$1,INDIRECT("Table1[Ende]"),"&gt;="&amp;T$1,INDIRECT("Table1[Obergruppe ATC-Code]"),Tabelle3!$A45)</f>
        <v>0</v>
      </c>
      <c r="U45">
        <f ca="1">COUNTIFS(INDIRECT("Table1[Beginn]"),"&lt;="&amp;U$1,INDIRECT("Table1[Ende]"),"&gt;="&amp;U$1,INDIRECT("Table1[Obergruppe ATC-Code]"),Tabelle3!$A45)</f>
        <v>0</v>
      </c>
      <c r="V45">
        <f ca="1">COUNTIFS(INDIRECT("Table1[Beginn]"),"&lt;="&amp;V$1,INDIRECT("Table1[Ende]"),"&gt;="&amp;V$1,INDIRECT("Table1[Obergruppe ATC-Code]"),Tabelle3!$A45)</f>
        <v>0</v>
      </c>
      <c r="W45">
        <f ca="1">COUNTIFS(INDIRECT("Table1[Beginn]"),"&lt;="&amp;W$1,INDIRECT("Table1[Ende]"),"&gt;="&amp;W$1,INDIRECT("Table1[Obergruppe ATC-Code]"),Tabelle3!$A45)</f>
        <v>0</v>
      </c>
      <c r="X45">
        <f ca="1">COUNTIFS(INDIRECT("Table1[Beginn]"),"&lt;="&amp;X$1,INDIRECT("Table1[Ende]"),"&gt;="&amp;X$1,INDIRECT("Table1[Obergruppe ATC-Code]"),Tabelle3!$A45)</f>
        <v>0</v>
      </c>
      <c r="Y45">
        <f ca="1">COUNTIFS(INDIRECT("Table1[Beginn]"),"&lt;="&amp;Y$1,INDIRECT("Table1[Ende]"),"&gt;="&amp;Y$1,INDIRECT("Table1[Obergruppe ATC-Code]"),Tabelle3!$A45)</f>
        <v>0</v>
      </c>
      <c r="Z45">
        <f ca="1">COUNTIFS(INDIRECT("Table1[Beginn]"),"&lt;="&amp;Z$1,INDIRECT("Table1[Ende]"),"&gt;="&amp;Z$1,INDIRECT("Table1[Obergruppe ATC-Code]"),Tabelle3!$A45)</f>
        <v>0</v>
      </c>
      <c r="AA45">
        <f ca="1">COUNTIFS(INDIRECT("Table1[Beginn]"),"&lt;="&amp;AA$1,INDIRECT("Table1[Ende]"),"&gt;="&amp;AA$1,INDIRECT("Table1[Obergruppe ATC-Code]"),Tabelle3!$A45)</f>
        <v>0</v>
      </c>
      <c r="AB45">
        <f ca="1">COUNTIFS(INDIRECT("Table1[Beginn]"),"&lt;="&amp;AB$1,INDIRECT("Table1[Ende]"),"&gt;="&amp;AB$1,INDIRECT("Table1[Obergruppe ATC-Code]"),Tabelle3!$A45)</f>
        <v>0</v>
      </c>
      <c r="AC45">
        <f ca="1">COUNTIFS(INDIRECT("Table1[Beginn]"),"&lt;="&amp;AC$1,INDIRECT("Table1[Ende]"),"&gt;="&amp;AC$1,INDIRECT("Table1[Obergruppe ATC-Code]"),Tabelle3!$A45)</f>
        <v>0</v>
      </c>
      <c r="AD45">
        <f ca="1">COUNTIFS(INDIRECT("Table1[Beginn]"),"&lt;="&amp;AD$1,INDIRECT("Table1[Ende]"),"&gt;="&amp;AD$1,INDIRECT("Table1[Obergruppe ATC-Code]"),Tabelle3!$A45)</f>
        <v>0</v>
      </c>
      <c r="AE45">
        <f ca="1">COUNTIFS(INDIRECT("Table1[Beginn]"),"&lt;="&amp;AE$1,INDIRECT("Table1[Ende]"),"&gt;="&amp;AE$1,INDIRECT("Table1[Obergruppe ATC-Code]"),Tabelle3!$A45)</f>
        <v>0</v>
      </c>
      <c r="AF45">
        <f ca="1">COUNTIFS(INDIRECT("Table1[Beginn]"),"&lt;="&amp;AF$1,INDIRECT("Table1[Ende]"),"&gt;="&amp;AF$1,INDIRECT("Table1[Obergruppe ATC-Code]"),Tabelle3!$A45)</f>
        <v>1</v>
      </c>
      <c r="AG45">
        <f ca="1">COUNTIFS(INDIRECT("Table1[Beginn]"),"&lt;="&amp;AG$1,INDIRECT("Table1[Ende]"),"&gt;="&amp;AG$1,INDIRECT("Table1[Obergruppe ATC-Code]"),Tabelle3!$A45)</f>
        <v>2</v>
      </c>
      <c r="AH45">
        <f ca="1">COUNTIFS(INDIRECT("Table1[Beginn]"),"&lt;="&amp;AH$1,INDIRECT("Table1[Ende]"),"&gt;="&amp;AH$1,INDIRECT("Table1[Obergruppe ATC-Code]"),Tabelle3!$A45)</f>
        <v>2</v>
      </c>
      <c r="AI45">
        <f ca="1">COUNTIFS(INDIRECT("Table1[Beginn]"),"&lt;="&amp;AI$1,INDIRECT("Table1[Ende]"),"&gt;="&amp;AI$1,INDIRECT("Table1[Obergruppe ATC-Code]"),Tabelle3!$A45)</f>
        <v>2</v>
      </c>
      <c r="AJ45">
        <f ca="1">COUNTIFS(INDIRECT("Table1[Beginn]"),"&lt;="&amp;AJ$1,INDIRECT("Table1[Ende]"),"&gt;="&amp;AJ$1,INDIRECT("Table1[Obergruppe ATC-Code]"),Tabelle3!$A45)</f>
        <v>0</v>
      </c>
      <c r="AK45">
        <f ca="1">COUNTIFS(INDIRECT("Table1[Beginn]"),"&lt;="&amp;AK$1,INDIRECT("Table1[Ende]"),"&gt;="&amp;AK$1,INDIRECT("Table1[Obergruppe ATC-Code]"),Tabelle3!$A45)</f>
        <v>1</v>
      </c>
      <c r="AL45">
        <f ca="1">COUNTIFS(INDIRECT("Table1[Beginn]"),"&lt;="&amp;AL$1,INDIRECT("Table1[Ende]"),"&gt;="&amp;AL$1,INDIRECT("Table1[Obergruppe ATC-Code]"),Tabelle3!$A45)</f>
        <v>1</v>
      </c>
      <c r="AM45">
        <f ca="1">COUNTIFS(INDIRECT("Table1[Beginn]"),"&lt;="&amp;AM$1,INDIRECT("Table1[Ende]"),"&gt;="&amp;AM$1,INDIRECT("Table1[Obergruppe ATC-Code]"),Tabelle3!$A45)</f>
        <v>1</v>
      </c>
      <c r="AN45">
        <f ca="1">COUNTIFS(INDIRECT("Table1[Beginn]"),"&lt;="&amp;AN$1,INDIRECT("Table1[Ende]"),"&gt;="&amp;AN$1,INDIRECT("Table1[Obergruppe ATC-Code]"),Tabelle3!$A45)</f>
        <v>5</v>
      </c>
      <c r="AO45">
        <f ca="1">COUNTIFS(INDIRECT("Table1[Beginn]"),"&lt;="&amp;AO$1,INDIRECT("Table1[Ende]"),"&gt;="&amp;AO$1,INDIRECT("Table1[Obergruppe ATC-Code]"),Tabelle3!$A45)</f>
        <v>5</v>
      </c>
      <c r="AP45">
        <f ca="1">COUNTIFS(INDIRECT("Table1[Beginn]"),"&lt;="&amp;AP$1,INDIRECT("Table1[Ende]"),"&gt;="&amp;AP$1,INDIRECT("Table1[Obergruppe ATC-Code]"),Tabelle3!$A45)</f>
        <v>5</v>
      </c>
      <c r="AQ45">
        <f ca="1">COUNTIFS(INDIRECT("Table1[Beginn]"),"&lt;="&amp;AQ$1,INDIRECT("Table1[Ende]"),"&gt;="&amp;AQ$1,INDIRECT("Table1[Obergruppe ATC-Code]"),Tabelle3!$A45)</f>
        <v>4</v>
      </c>
      <c r="AR45">
        <f ca="1">COUNTIFS(INDIRECT("Table1[Beginn]"),"&lt;="&amp;AR$1,INDIRECT("Table1[Ende]"),"&gt;="&amp;AR$1,INDIRECT("Table1[Obergruppe ATC-Code]"),Tabelle3!$A45)</f>
        <v>4</v>
      </c>
      <c r="AS45">
        <f ca="1">COUNTIFS(INDIRECT("Table1[Beginn]"),"&lt;="&amp;AS$1,INDIRECT("Table1[Ende]"),"&gt;="&amp;AS$1,INDIRECT("Table1[Obergruppe ATC-Code]"),Tabelle3!$A45)</f>
        <v>5</v>
      </c>
      <c r="AT45">
        <f ca="1">COUNTIFS(INDIRECT("Table1[Beginn]"),"&lt;="&amp;AT$1,INDIRECT("Table1[Ende]"),"&gt;="&amp;AT$1,INDIRECT("Table1[Obergruppe ATC-Code]"),Tabelle3!$A45)</f>
        <v>5</v>
      </c>
      <c r="AU45">
        <f ca="1">COUNTIFS(INDIRECT("Table1[Beginn]"),"&lt;="&amp;AU$1,INDIRECT("Table1[Ende]"),"&gt;="&amp;AU$1,INDIRECT("Table1[Obergruppe ATC-Code]"),Tabelle3!$A45)</f>
        <v>5</v>
      </c>
      <c r="AV45">
        <f ca="1">COUNTIFS(INDIRECT("Table1[Beginn]"),"&lt;="&amp;AV$1,INDIRECT("Table1[Ende]"),"&gt;="&amp;AV$1,INDIRECT("Table1[Obergruppe ATC-Code]"),Tabelle3!$A45)</f>
        <v>7</v>
      </c>
      <c r="AW45">
        <f ca="1">COUNTIFS(INDIRECT("Table1[Beginn]"),"&lt;="&amp;AW$1,INDIRECT("Table1[Ende]"),"&gt;="&amp;AW$1,INDIRECT("Table1[Obergruppe ATC-Code]"),Tabelle3!$A45)</f>
        <v>7</v>
      </c>
      <c r="AX45">
        <f ca="1">COUNTIFS(INDIRECT("Table1[Beginn]"),"&lt;="&amp;AX$1,INDIRECT("Table1[Ende]"),"&gt;="&amp;AX$1,INDIRECT("Table1[Obergruppe ATC-Code]"),Tabelle3!$A45)</f>
        <v>7</v>
      </c>
      <c r="AY45">
        <f ca="1">COUNTIFS(INDIRECT("Table1[Beginn]"),"&lt;="&amp;AY$1,INDIRECT("Table1[Ende]"),"&gt;="&amp;AY$1,INDIRECT("Table1[Obergruppe ATC-Code]"),Tabelle3!$A45)</f>
        <v>5</v>
      </c>
      <c r="AZ45">
        <f ca="1">COUNTIFS(INDIRECT("Table1[Beginn]"),"&lt;="&amp;AZ$1,INDIRECT("Table1[Ende]"),"&gt;="&amp;AZ$1,INDIRECT("Table1[Obergruppe ATC-Code]"),Tabelle3!$A45)</f>
        <v>5</v>
      </c>
      <c r="BA45">
        <f ca="1">COUNTIFS(INDIRECT("Table1[Beginn]"),"&lt;="&amp;BA$1,INDIRECT("Table1[Ende]"),"&gt;="&amp;BA$1,INDIRECT("Table1[Obergruppe ATC-Code]"),Tabelle3!$A45)</f>
        <v>3</v>
      </c>
      <c r="BB45">
        <f ca="1">COUNTIFS(INDIRECT("Table1[Beginn]"),"&lt;="&amp;BB$1,INDIRECT("Table1[Ende]"),"&gt;="&amp;BB$1,INDIRECT("Table1[Obergruppe ATC-Code]"),Tabelle3!$A45)</f>
        <v>3</v>
      </c>
      <c r="BC45">
        <f ca="1">COUNTIFS(INDIRECT("Table1[Beginn]"),"&lt;="&amp;BC$1,INDIRECT("Table1[Ende]"),"&gt;="&amp;BC$1,INDIRECT("Table1[Obergruppe ATC-Code]"),Tabelle3!$A45)</f>
        <v>3</v>
      </c>
      <c r="BD45">
        <f ca="1">COUNTIFS(INDIRECT("Table1[Beginn]"),"&lt;="&amp;BD$1,INDIRECT("Table1[Ende]"),"&gt;="&amp;BD$1,INDIRECT("Table1[Obergruppe ATC-Code]"),Tabelle3!$A45)</f>
        <v>3</v>
      </c>
      <c r="BE45">
        <f ca="1">COUNTIFS(INDIRECT("Table1[Beginn]"),"&lt;="&amp;BE$1,INDIRECT("Table1[Ende]"),"&gt;="&amp;BE$1,INDIRECT("Table1[Obergruppe ATC-Code]"),Tabelle3!$A45)</f>
        <v>0</v>
      </c>
      <c r="BF45">
        <f ca="1">COUNTIFS(INDIRECT("Table1[Beginn]"),"&lt;="&amp;BF$1,INDIRECT("Table1[Ende]"),"&gt;="&amp;BF$1,INDIRECT("Table1[Obergruppe ATC-Code]"),Tabelle3!$A45)</f>
        <v>0</v>
      </c>
      <c r="BG45">
        <f ca="1">COUNTIFS(INDIRECT("Table1[Beginn]"),"&lt;="&amp;BG$1,INDIRECT("Table1[Ende]"),"&gt;="&amp;BG$1,INDIRECT("Table1[Obergruppe ATC-Code]"),Tabelle3!$A45)</f>
        <v>0</v>
      </c>
      <c r="BH45">
        <f ca="1">COUNTIFS(INDIRECT("Table1[Beginn]"),"&lt;="&amp;BH$1,INDIRECT("Table1[Ende]"),"&gt;="&amp;BH$1,INDIRECT("Table1[Obergruppe ATC-Code]"),Tabelle3!$A45)</f>
        <v>0</v>
      </c>
      <c r="BI45">
        <f ca="1">COUNTIFS(INDIRECT("Table1[Beginn]"),"&lt;="&amp;BI$1,INDIRECT("Table1[Ende]"),"&gt;="&amp;BI$1,INDIRECT("Table1[Obergruppe ATC-Code]"),Tabelle3!$A45)</f>
        <v>0</v>
      </c>
      <c r="BJ45">
        <f ca="1">COUNTIFS(INDIRECT("Table1[Beginn]"),"&lt;="&amp;BJ$1,INDIRECT("Table1[Ende]"),"&gt;="&amp;BJ$1,INDIRECT("Table1[Obergruppe ATC-Code]"),Tabelle3!$A45)</f>
        <v>0</v>
      </c>
      <c r="BK45">
        <f ca="1">COUNTIFS(INDIRECT("Table1[Beginn]"),"&lt;="&amp;BK$1,INDIRECT("Table1[Ende]"),"&gt;="&amp;BK$1,INDIRECT("Table1[Obergruppe ATC-Code]"),Tabelle3!$A45)</f>
        <v>0</v>
      </c>
      <c r="BL45">
        <f ca="1">COUNTIFS(INDIRECT("Table1[Beginn]"),"&lt;="&amp;BL$1,INDIRECT("Table1[Ende]"),"&gt;="&amp;BL$1,INDIRECT("Table1[Obergruppe ATC-Code]"),Tabelle3!$A45)</f>
        <v>0</v>
      </c>
      <c r="BM45">
        <f ca="1">COUNTIFS(INDIRECT("Table1[Beginn]"),"&lt;="&amp;BM$1,INDIRECT("Table1[Ende]"),"&gt;="&amp;BM$1,INDIRECT("Table1[Obergruppe ATC-Code]"),Tabelle3!$A45)</f>
        <v>0</v>
      </c>
      <c r="BN45">
        <f ca="1">COUNTIFS(INDIRECT("Table1[Beginn]"),"&lt;="&amp;BN$1,INDIRECT("Table1[Ende]"),"&gt;="&amp;BN$1,INDIRECT("Table1[Obergruppe ATC-Code]"),Tabelle3!$A45)</f>
        <v>0</v>
      </c>
      <c r="BO45">
        <f ca="1">COUNTIFS(INDIRECT("Table1[Beginn]"),"&lt;="&amp;BO$1,INDIRECT("Table1[Ende]"),"&gt;="&amp;BO$1,INDIRECT("Table1[Obergruppe ATC-Code]"),Tabelle3!$A45)</f>
        <v>0</v>
      </c>
      <c r="BP45">
        <f ca="1">COUNTIFS(INDIRECT("Table1[Beginn]"),"&lt;="&amp;BP$1,INDIRECT("Table1[Ende]"),"&gt;="&amp;BP$1,INDIRECT("Table1[Obergruppe ATC-Code]"),Tabelle3!$A45)</f>
        <v>0</v>
      </c>
      <c r="BQ45">
        <f ca="1">COUNTIFS(INDIRECT("Table1[Beginn]"),"&lt;="&amp;BQ$1,INDIRECT("Table1[Ende]"),"&gt;="&amp;BQ$1,INDIRECT("Table1[Obergruppe ATC-Code]"),Tabelle3!$A45)</f>
        <v>0</v>
      </c>
      <c r="BR45">
        <f ca="1">COUNTIFS(INDIRECT("Table1[Beginn]"),"&lt;="&amp;BR$1,INDIRECT("Table1[Ende]"),"&gt;="&amp;BR$1,INDIRECT("Table1[Obergruppe ATC-Code]"),Tabelle3!$A45)</f>
        <v>0</v>
      </c>
      <c r="BS45">
        <f ca="1">COUNTIFS(INDIRECT("Table1[Beginn]"),"&lt;="&amp;BS$1,INDIRECT("Table1[Ende]"),"&gt;="&amp;BS$1,INDIRECT("Table1[Obergruppe ATC-Code]"),Tabelle3!$A45)</f>
        <v>0</v>
      </c>
      <c r="BT45">
        <f ca="1">COUNTIFS(INDIRECT("Table1[Beginn]"),"&lt;="&amp;BT$1,INDIRECT("Table1[Ende]"),"&gt;="&amp;BT$1,INDIRECT("Table1[Obergruppe ATC-Code]"),Tabelle3!$A45)</f>
        <v>0</v>
      </c>
      <c r="BU45">
        <f ca="1">COUNTIFS(INDIRECT("Table1[Beginn]"),"&lt;="&amp;BU$1,INDIRECT("Table1[Ende]"),"&gt;="&amp;BU$1,INDIRECT("Table1[Obergruppe ATC-Code]"),Tabelle3!$A45)</f>
        <v>1</v>
      </c>
      <c r="BV45">
        <f ca="1">COUNTIFS(INDIRECT("Table1[Beginn]"),"&lt;="&amp;BV$1,INDIRECT("Table1[Ende]"),"&gt;="&amp;BV$1,INDIRECT("Table1[Obergruppe ATC-Code]"),Tabelle3!$A45)</f>
        <v>1</v>
      </c>
      <c r="BW45">
        <f ca="1">COUNTIFS(INDIRECT("Table1[Beginn]"),"&lt;="&amp;BW$1,INDIRECT("Table1[Ende]"),"&gt;="&amp;BW$1,INDIRECT("Table1[Obergruppe ATC-Code]"),Tabelle3!$A45)</f>
        <v>1</v>
      </c>
      <c r="BX45">
        <f ca="1">COUNTIFS(INDIRECT("Table1[Beginn]"),"&lt;="&amp;BX$1,INDIRECT("Table1[Ende]"),"&gt;="&amp;BX$1,INDIRECT("Table1[Obergruppe ATC-Code]"),Tabelle3!$A45)</f>
        <v>2</v>
      </c>
      <c r="BY45">
        <f ca="1">COUNTIFS(INDIRECT("Table1[Beginn]"),"&lt;="&amp;BY$1,INDIRECT("Table1[Ende]"),"&gt;="&amp;BY$1,INDIRECT("Table1[Obergruppe ATC-Code]"),Tabelle3!$A45)</f>
        <v>2</v>
      </c>
      <c r="BZ45">
        <f ca="1">COUNTIFS(INDIRECT("Table1[Beginn]"),"&lt;="&amp;BZ$1,INDIRECT("Table1[Ende]"),"&gt;="&amp;BZ$1,INDIRECT("Table1[Obergruppe ATC-Code]"),Tabelle3!$A45)</f>
        <v>0</v>
      </c>
      <c r="CA45">
        <f ca="1">COUNTIFS(INDIRECT("Table1[Beginn]"),"&lt;="&amp;CA$1,INDIRECT("Table1[Ende]"),"&gt;="&amp;CA$1,INDIRECT("Table1[Obergruppe ATC-Code]"),Tabelle3!$A45)</f>
        <v>0</v>
      </c>
      <c r="CB45">
        <f ca="1">COUNTIFS(INDIRECT("Table1[Beginn]"),"&lt;="&amp;CB$1,INDIRECT("Table1[Ende]"),"&gt;="&amp;CB$1,INDIRECT("Table1[Obergruppe ATC-Code]"),Tabelle3!$A45)</f>
        <v>0</v>
      </c>
      <c r="CC45">
        <f ca="1">COUNTIFS(INDIRECT("Table1[Beginn]"),"&lt;="&amp;CC$1,INDIRECT("Table1[Ende]"),"&gt;="&amp;CC$1,INDIRECT("Table1[Obergruppe ATC-Code]"),Tabelle3!$A45)</f>
        <v>0</v>
      </c>
      <c r="CD45">
        <f ca="1">COUNTIFS(INDIRECT("Table1[Beginn]"),"&lt;="&amp;CD$1,INDIRECT("Table1[Ende]"),"&gt;="&amp;CD$1,INDIRECT("Table1[Obergruppe ATC-Code]"),Tabelle3!$A45)</f>
        <v>2</v>
      </c>
      <c r="CE45">
        <f ca="1">COUNTIFS(INDIRECT("Table1[Beginn]"),"&lt;="&amp;CE$1,INDIRECT("Table1[Ende]"),"&gt;="&amp;CE$1,INDIRECT("Table1[Obergruppe ATC-Code]"),Tabelle3!$A45)</f>
        <v>1</v>
      </c>
      <c r="CF45">
        <f ca="1">COUNTIFS(INDIRECT("Table1[Beginn]"),"&lt;="&amp;CF$1,INDIRECT("Table1[Ende]"),"&gt;="&amp;CF$1,INDIRECT("Table1[Obergruppe ATC-Code]"),Tabelle3!$A45)</f>
        <v>1</v>
      </c>
      <c r="CG45">
        <f ca="1">COUNTIFS(INDIRECT("Table1[Beginn]"),"&lt;="&amp;CG$1,INDIRECT("Table1[Ende]"),"&gt;="&amp;CG$1,INDIRECT("Table1[Obergruppe ATC-Code]"),Tabelle3!$A45)</f>
        <v>1</v>
      </c>
      <c r="CH45">
        <f ca="1">COUNTIFS(INDIRECT("Table1[Beginn]"),"&lt;="&amp;CH$1,INDIRECT("Table1[Ende]"),"&gt;="&amp;CH$1,INDIRECT("Table1[Obergruppe ATC-Code]"),Tabelle3!$A45)</f>
        <v>0</v>
      </c>
      <c r="CI45">
        <f ca="1">COUNTIFS(INDIRECT("Table1[Beginn]"),"&lt;="&amp;CI$1,INDIRECT("Table1[Ende]"),"&gt;="&amp;CI$1,INDIRECT("Table1[Obergruppe ATC-Code]"),Tabelle3!$A45)</f>
        <v>0</v>
      </c>
      <c r="CJ45">
        <f ca="1">COUNTIFS(INDIRECT("Table1[Beginn]"),"&lt;="&amp;CJ$1,INDIRECT("Table1[Ende]"),"&gt;="&amp;CJ$1,INDIRECT("Table1[Obergruppe ATC-Code]"),Tabelle3!$A45)</f>
        <v>0</v>
      </c>
      <c r="CK45">
        <f ca="1">COUNTIFS(INDIRECT("Table1[Beginn]"),"&lt;="&amp;CK$1,INDIRECT("Table1[Ende]"),"&gt;="&amp;CK$1,INDIRECT("Table1[Obergruppe ATC-Code]"),Tabelle3!$A45)</f>
        <v>0</v>
      </c>
      <c r="CL45">
        <f ca="1">COUNTIFS(INDIRECT("Table1[Beginn]"),"&lt;="&amp;CL$1,INDIRECT("Table1[Ende]"),"&gt;="&amp;CL$1,INDIRECT("Table1[Obergruppe ATC-Code]"),Tabelle3!$A45)</f>
        <v>0</v>
      </c>
      <c r="CM45">
        <f ca="1">COUNTIFS(INDIRECT("Table1[Beginn]"),"&lt;="&amp;CM$1,INDIRECT("Table1[Ende]"),"&gt;="&amp;CM$1,INDIRECT("Table1[Obergruppe ATC-Code]"),Tabelle3!$A45)</f>
        <v>0</v>
      </c>
      <c r="CN45">
        <f ca="1">COUNTIFS(INDIRECT("Table1[Beginn]"),"&lt;="&amp;CN$1,INDIRECT("Table1[Ende]"),"&gt;="&amp;CN$1,INDIRECT("Table1[Obergruppe ATC-Code]"),Tabelle3!$A45)</f>
        <v>0</v>
      </c>
      <c r="CO45">
        <f ca="1">COUNTIFS(INDIRECT("Table1[Beginn]"),"&lt;="&amp;CO$1,INDIRECT("Table1[Ende]"),"&gt;="&amp;CO$1,INDIRECT("Table1[Obergruppe ATC-Code]"),Tabelle3!$A45)</f>
        <v>0</v>
      </c>
      <c r="CP45">
        <f ca="1">COUNTIFS(INDIRECT("Table1[Beginn]"),"&lt;="&amp;CP$1,INDIRECT("Table1[Ende]"),"&gt;="&amp;CP$1,INDIRECT("Table1[Obergruppe ATC-Code]"),Tabelle3!$A45)</f>
        <v>0</v>
      </c>
      <c r="CQ45">
        <f ca="1">COUNTIFS(INDIRECT("Table1[Beginn]"),"&lt;="&amp;CQ$1,INDIRECT("Table1[Ende]"),"&gt;="&amp;CQ$1,INDIRECT("Table1[Obergruppe ATC-Code]"),Tabelle3!$A45)</f>
        <v>0</v>
      </c>
      <c r="CR45">
        <f ca="1">COUNTIFS(INDIRECT("Table1[Beginn]"),"&lt;="&amp;CR$1,INDIRECT("Table1[Ende]"),"&gt;="&amp;CR$1,INDIRECT("Table1[Obergruppe ATC-Code]"),Tabelle3!$A45)</f>
        <v>0</v>
      </c>
      <c r="CS45">
        <f ca="1">COUNTIFS(INDIRECT("Table1[Beginn]"),"&lt;="&amp;CS$1,INDIRECT("Table1[Ende]"),"&gt;="&amp;CS$1,INDIRECT("Table1[Obergruppe ATC-Code]"),Tabelle3!$A45)</f>
        <v>0</v>
      </c>
      <c r="CT45">
        <f ca="1">COUNTIFS(INDIRECT("Table1[Beginn]"),"&lt;="&amp;CT$1,INDIRECT("Table1[Ende]"),"&gt;="&amp;CT$1,INDIRECT("Table1[Obergruppe ATC-Code]"),Tabelle3!$A45)</f>
        <v>0</v>
      </c>
      <c r="CU45" s="56"/>
      <c r="CV45" s="56"/>
      <c r="CW45" s="56"/>
      <c r="CX45" s="56"/>
      <c r="CY45" s="56"/>
      <c r="CZ45" s="56"/>
      <c r="DA45" s="56"/>
      <c r="DB45" s="56"/>
      <c r="DC45" s="56"/>
      <c r="DD45" s="56"/>
      <c r="DE45" s="56"/>
      <c r="DF45" s="56"/>
      <c r="DG45" s="56"/>
      <c r="DH45" s="56"/>
    </row>
    <row r="46" spans="1:112" ht="18" customHeight="1">
      <c r="A46" s="7" t="s">
        <v>6861</v>
      </c>
      <c r="B46" s="8" t="s">
        <v>6862</v>
      </c>
      <c r="C46">
        <f ca="1">COUNTIFS(INDIRECT("Table1[Beginn]"),"&lt;="&amp;C$1,INDIRECT("Table1[Ende]"),"&gt;="&amp;C$1,INDIRECT("Table1[Obergruppe ATC-Code]"),Tabelle3!$A46)</f>
        <v>0</v>
      </c>
      <c r="D46">
        <f ca="1">COUNTIFS(INDIRECT("Table1[Beginn]"),"&lt;="&amp;D$1,INDIRECT("Table1[Ende]"),"&gt;="&amp;D$1,INDIRECT("Table1[Obergruppe ATC-Code]"),Tabelle3!$A46)</f>
        <v>0</v>
      </c>
      <c r="E46">
        <f ca="1">COUNTIFS(INDIRECT("Table1[Beginn]"),"&lt;="&amp;E$1,INDIRECT("Table1[Ende]"),"&gt;="&amp;E$1,INDIRECT("Table1[Obergruppe ATC-Code]"),Tabelle3!$A46)</f>
        <v>0</v>
      </c>
      <c r="F46">
        <f ca="1">COUNTIFS(INDIRECT("Table1[Beginn]"),"&lt;="&amp;F$1,INDIRECT("Table1[Ende]"),"&gt;="&amp;F$1,INDIRECT("Table1[Obergruppe ATC-Code]"),Tabelle3!$A46)</f>
        <v>0</v>
      </c>
      <c r="G46">
        <f ca="1">COUNTIFS(INDIRECT("Table1[Beginn]"),"&lt;="&amp;G$1,INDIRECT("Table1[Ende]"),"&gt;="&amp;G$1,INDIRECT("Table1[Obergruppe ATC-Code]"),Tabelle3!$A46)</f>
        <v>0</v>
      </c>
      <c r="H46">
        <f ca="1">COUNTIFS(INDIRECT("Table1[Beginn]"),"&lt;="&amp;H$1,INDIRECT("Table1[Ende]"),"&gt;="&amp;H$1,INDIRECT("Table1[Obergruppe ATC-Code]"),Tabelle3!$A46)</f>
        <v>0</v>
      </c>
      <c r="I46">
        <f ca="1">COUNTIFS(INDIRECT("Table1[Beginn]"),"&lt;="&amp;I$1,INDIRECT("Table1[Ende]"),"&gt;="&amp;I$1,INDIRECT("Table1[Obergruppe ATC-Code]"),Tabelle3!$A46)</f>
        <v>0</v>
      </c>
      <c r="J46">
        <f ca="1">COUNTIFS(INDIRECT("Table1[Beginn]"),"&lt;="&amp;J$1,INDIRECT("Table1[Ende]"),"&gt;="&amp;J$1,INDIRECT("Table1[Obergruppe ATC-Code]"),Tabelle3!$A46)</f>
        <v>1</v>
      </c>
      <c r="K46">
        <f ca="1">COUNTIFS(INDIRECT("Table1[Beginn]"),"&lt;="&amp;K$1,INDIRECT("Table1[Ende]"),"&gt;="&amp;K$1,INDIRECT("Table1[Obergruppe ATC-Code]"),Tabelle3!$A46)</f>
        <v>0</v>
      </c>
      <c r="L46">
        <f ca="1">COUNTIFS(INDIRECT("Table1[Beginn]"),"&lt;="&amp;L$1,INDIRECT("Table1[Ende]"),"&gt;="&amp;L$1,INDIRECT("Table1[Obergruppe ATC-Code]"),Tabelle3!$A46)</f>
        <v>0</v>
      </c>
      <c r="M46">
        <f ca="1">COUNTIFS(INDIRECT("Table1[Beginn]"),"&lt;="&amp;M$1,INDIRECT("Table1[Ende]"),"&gt;="&amp;M$1,INDIRECT("Table1[Obergruppe ATC-Code]"),Tabelle3!$A46)</f>
        <v>0</v>
      </c>
      <c r="N46">
        <f ca="1">COUNTIFS(INDIRECT("Table1[Beginn]"),"&lt;="&amp;N$1,INDIRECT("Table1[Ende]"),"&gt;="&amp;N$1,INDIRECT("Table1[Obergruppe ATC-Code]"),Tabelle3!$A46)</f>
        <v>0</v>
      </c>
      <c r="O46">
        <f ca="1">COUNTIFS(INDIRECT("Table1[Beginn]"),"&lt;="&amp;O$1,INDIRECT("Table1[Ende]"),"&gt;="&amp;O$1,INDIRECT("Table1[Obergruppe ATC-Code]"),Tabelle3!$A46)</f>
        <v>0</v>
      </c>
      <c r="P46">
        <f ca="1">COUNTIFS(INDIRECT("Table1[Beginn]"),"&lt;="&amp;P$1,INDIRECT("Table1[Ende]"),"&gt;="&amp;P$1,INDIRECT("Table1[Obergruppe ATC-Code]"),Tabelle3!$A46)</f>
        <v>0</v>
      </c>
      <c r="Q46">
        <f ca="1">COUNTIFS(INDIRECT("Table1[Beginn]"),"&lt;="&amp;Q$1,INDIRECT("Table1[Ende]"),"&gt;="&amp;Q$1,INDIRECT("Table1[Obergruppe ATC-Code]"),Tabelle3!$A46)</f>
        <v>0</v>
      </c>
      <c r="R46">
        <f ca="1">COUNTIFS(INDIRECT("Table1[Beginn]"),"&lt;="&amp;R$1,INDIRECT("Table1[Ende]"),"&gt;="&amp;R$1,INDIRECT("Table1[Obergruppe ATC-Code]"),Tabelle3!$A46)</f>
        <v>0</v>
      </c>
      <c r="S46">
        <f ca="1">COUNTIFS(INDIRECT("Table1[Beginn]"),"&lt;="&amp;S$1,INDIRECT("Table1[Ende]"),"&gt;="&amp;S$1,INDIRECT("Table1[Obergruppe ATC-Code]"),Tabelle3!$A46)</f>
        <v>0</v>
      </c>
      <c r="T46">
        <f ca="1">COUNTIFS(INDIRECT("Table1[Beginn]"),"&lt;="&amp;T$1,INDIRECT("Table1[Ende]"),"&gt;="&amp;T$1,INDIRECT("Table1[Obergruppe ATC-Code]"),Tabelle3!$A46)</f>
        <v>0</v>
      </c>
      <c r="U46">
        <f ca="1">COUNTIFS(INDIRECT("Table1[Beginn]"),"&lt;="&amp;U$1,INDIRECT("Table1[Ende]"),"&gt;="&amp;U$1,INDIRECT("Table1[Obergruppe ATC-Code]"),Tabelle3!$A46)</f>
        <v>0</v>
      </c>
      <c r="V46">
        <f ca="1">COUNTIFS(INDIRECT("Table1[Beginn]"),"&lt;="&amp;V$1,INDIRECT("Table1[Ende]"),"&gt;="&amp;V$1,INDIRECT("Table1[Obergruppe ATC-Code]"),Tabelle3!$A46)</f>
        <v>0</v>
      </c>
      <c r="W46">
        <f ca="1">COUNTIFS(INDIRECT("Table1[Beginn]"),"&lt;="&amp;W$1,INDIRECT("Table1[Ende]"),"&gt;="&amp;W$1,INDIRECT("Table1[Obergruppe ATC-Code]"),Tabelle3!$A46)</f>
        <v>0</v>
      </c>
      <c r="X46">
        <f ca="1">COUNTIFS(INDIRECT("Table1[Beginn]"),"&lt;="&amp;X$1,INDIRECT("Table1[Ende]"),"&gt;="&amp;X$1,INDIRECT("Table1[Obergruppe ATC-Code]"),Tabelle3!$A46)</f>
        <v>0</v>
      </c>
      <c r="Y46">
        <f ca="1">COUNTIFS(INDIRECT("Table1[Beginn]"),"&lt;="&amp;Y$1,INDIRECT("Table1[Ende]"),"&gt;="&amp;Y$1,INDIRECT("Table1[Obergruppe ATC-Code]"),Tabelle3!$A46)</f>
        <v>1</v>
      </c>
      <c r="Z46">
        <f ca="1">COUNTIFS(INDIRECT("Table1[Beginn]"),"&lt;="&amp;Z$1,INDIRECT("Table1[Ende]"),"&gt;="&amp;Z$1,INDIRECT("Table1[Obergruppe ATC-Code]"),Tabelle3!$A46)</f>
        <v>2</v>
      </c>
      <c r="AA46">
        <f ca="1">COUNTIFS(INDIRECT("Table1[Beginn]"),"&lt;="&amp;AA$1,INDIRECT("Table1[Ende]"),"&gt;="&amp;AA$1,INDIRECT("Table1[Obergruppe ATC-Code]"),Tabelle3!$A46)</f>
        <v>1</v>
      </c>
      <c r="AB46">
        <f ca="1">COUNTIFS(INDIRECT("Table1[Beginn]"),"&lt;="&amp;AB$1,INDIRECT("Table1[Ende]"),"&gt;="&amp;AB$1,INDIRECT("Table1[Obergruppe ATC-Code]"),Tabelle3!$A46)</f>
        <v>1</v>
      </c>
      <c r="AC46">
        <f ca="1">COUNTIFS(INDIRECT("Table1[Beginn]"),"&lt;="&amp;AC$1,INDIRECT("Table1[Ende]"),"&gt;="&amp;AC$1,INDIRECT("Table1[Obergruppe ATC-Code]"),Tabelle3!$A46)</f>
        <v>1</v>
      </c>
      <c r="AD46">
        <f ca="1">COUNTIFS(INDIRECT("Table1[Beginn]"),"&lt;="&amp;AD$1,INDIRECT("Table1[Ende]"),"&gt;="&amp;AD$1,INDIRECT("Table1[Obergruppe ATC-Code]"),Tabelle3!$A46)</f>
        <v>1</v>
      </c>
      <c r="AE46">
        <f ca="1">COUNTIFS(INDIRECT("Table1[Beginn]"),"&lt;="&amp;AE$1,INDIRECT("Table1[Ende]"),"&gt;="&amp;AE$1,INDIRECT("Table1[Obergruppe ATC-Code]"),Tabelle3!$A46)</f>
        <v>1</v>
      </c>
      <c r="AF46">
        <f ca="1">COUNTIFS(INDIRECT("Table1[Beginn]"),"&lt;="&amp;AF$1,INDIRECT("Table1[Ende]"),"&gt;="&amp;AF$1,INDIRECT("Table1[Obergruppe ATC-Code]"),Tabelle3!$A46)</f>
        <v>0</v>
      </c>
      <c r="AG46">
        <f ca="1">COUNTIFS(INDIRECT("Table1[Beginn]"),"&lt;="&amp;AG$1,INDIRECT("Table1[Ende]"),"&gt;="&amp;AG$1,INDIRECT("Table1[Obergruppe ATC-Code]"),Tabelle3!$A46)</f>
        <v>0</v>
      </c>
      <c r="AH46">
        <f ca="1">COUNTIFS(INDIRECT("Table1[Beginn]"),"&lt;="&amp;AH$1,INDIRECT("Table1[Ende]"),"&gt;="&amp;AH$1,INDIRECT("Table1[Obergruppe ATC-Code]"),Tabelle3!$A46)</f>
        <v>0</v>
      </c>
      <c r="AI46">
        <f ca="1">COUNTIFS(INDIRECT("Table1[Beginn]"),"&lt;="&amp;AI$1,INDIRECT("Table1[Ende]"),"&gt;="&amp;AI$1,INDIRECT("Table1[Obergruppe ATC-Code]"),Tabelle3!$A46)</f>
        <v>0</v>
      </c>
      <c r="AJ46">
        <f ca="1">COUNTIFS(INDIRECT("Table1[Beginn]"),"&lt;="&amp;AJ$1,INDIRECT("Table1[Ende]"),"&gt;="&amp;AJ$1,INDIRECT("Table1[Obergruppe ATC-Code]"),Tabelle3!$A46)</f>
        <v>1</v>
      </c>
      <c r="AK46">
        <f ca="1">COUNTIFS(INDIRECT("Table1[Beginn]"),"&lt;="&amp;AK$1,INDIRECT("Table1[Ende]"),"&gt;="&amp;AK$1,INDIRECT("Table1[Obergruppe ATC-Code]"),Tabelle3!$A46)</f>
        <v>1</v>
      </c>
      <c r="AL46">
        <f ca="1">COUNTIFS(INDIRECT("Table1[Beginn]"),"&lt;="&amp;AL$1,INDIRECT("Table1[Ende]"),"&gt;="&amp;AL$1,INDIRECT("Table1[Obergruppe ATC-Code]"),Tabelle3!$A46)</f>
        <v>0</v>
      </c>
      <c r="AM46">
        <f ca="1">COUNTIFS(INDIRECT("Table1[Beginn]"),"&lt;="&amp;AM$1,INDIRECT("Table1[Ende]"),"&gt;="&amp;AM$1,INDIRECT("Table1[Obergruppe ATC-Code]"),Tabelle3!$A46)</f>
        <v>0</v>
      </c>
      <c r="AN46">
        <f ca="1">COUNTIFS(INDIRECT("Table1[Beginn]"),"&lt;="&amp;AN$1,INDIRECT("Table1[Ende]"),"&gt;="&amp;AN$1,INDIRECT("Table1[Obergruppe ATC-Code]"),Tabelle3!$A46)</f>
        <v>0</v>
      </c>
      <c r="AO46">
        <f ca="1">COUNTIFS(INDIRECT("Table1[Beginn]"),"&lt;="&amp;AO$1,INDIRECT("Table1[Ende]"),"&gt;="&amp;AO$1,INDIRECT("Table1[Obergruppe ATC-Code]"),Tabelle3!$A46)</f>
        <v>2</v>
      </c>
      <c r="AP46">
        <f ca="1">COUNTIFS(INDIRECT("Table1[Beginn]"),"&lt;="&amp;AP$1,INDIRECT("Table1[Ende]"),"&gt;="&amp;AP$1,INDIRECT("Table1[Obergruppe ATC-Code]"),Tabelle3!$A46)</f>
        <v>1</v>
      </c>
      <c r="AQ46">
        <f ca="1">COUNTIFS(INDIRECT("Table1[Beginn]"),"&lt;="&amp;AQ$1,INDIRECT("Table1[Ende]"),"&gt;="&amp;AQ$1,INDIRECT("Table1[Obergruppe ATC-Code]"),Tabelle3!$A46)</f>
        <v>1</v>
      </c>
      <c r="AR46">
        <f ca="1">COUNTIFS(INDIRECT("Table1[Beginn]"),"&lt;="&amp;AR$1,INDIRECT("Table1[Ende]"),"&gt;="&amp;AR$1,INDIRECT("Table1[Obergruppe ATC-Code]"),Tabelle3!$A46)</f>
        <v>1</v>
      </c>
      <c r="AS46">
        <f ca="1">COUNTIFS(INDIRECT("Table1[Beginn]"),"&lt;="&amp;AS$1,INDIRECT("Table1[Ende]"),"&gt;="&amp;AS$1,INDIRECT("Table1[Obergruppe ATC-Code]"),Tabelle3!$A46)</f>
        <v>2</v>
      </c>
      <c r="AT46">
        <f ca="1">COUNTIFS(INDIRECT("Table1[Beginn]"),"&lt;="&amp;AT$1,INDIRECT("Table1[Ende]"),"&gt;="&amp;AT$1,INDIRECT("Table1[Obergruppe ATC-Code]"),Tabelle3!$A46)</f>
        <v>2</v>
      </c>
      <c r="AU46">
        <f ca="1">COUNTIFS(INDIRECT("Table1[Beginn]"),"&lt;="&amp;AU$1,INDIRECT("Table1[Ende]"),"&gt;="&amp;AU$1,INDIRECT("Table1[Obergruppe ATC-Code]"),Tabelle3!$A46)</f>
        <v>4</v>
      </c>
      <c r="AV46">
        <f ca="1">COUNTIFS(INDIRECT("Table1[Beginn]"),"&lt;="&amp;AV$1,INDIRECT("Table1[Ende]"),"&gt;="&amp;AV$1,INDIRECT("Table1[Obergruppe ATC-Code]"),Tabelle3!$A46)</f>
        <v>6</v>
      </c>
      <c r="AW46">
        <f ca="1">COUNTIFS(INDIRECT("Table1[Beginn]"),"&lt;="&amp;AW$1,INDIRECT("Table1[Ende]"),"&gt;="&amp;AW$1,INDIRECT("Table1[Obergruppe ATC-Code]"),Tabelle3!$A46)</f>
        <v>6</v>
      </c>
      <c r="AX46">
        <f ca="1">COUNTIFS(INDIRECT("Table1[Beginn]"),"&lt;="&amp;AX$1,INDIRECT("Table1[Ende]"),"&gt;="&amp;AX$1,INDIRECT("Table1[Obergruppe ATC-Code]"),Tabelle3!$A46)</f>
        <v>5</v>
      </c>
      <c r="AY46">
        <f ca="1">COUNTIFS(INDIRECT("Table1[Beginn]"),"&lt;="&amp;AY$1,INDIRECT("Table1[Ende]"),"&gt;="&amp;AY$1,INDIRECT("Table1[Obergruppe ATC-Code]"),Tabelle3!$A46)</f>
        <v>5</v>
      </c>
      <c r="AZ46">
        <f ca="1">COUNTIFS(INDIRECT("Table1[Beginn]"),"&lt;="&amp;AZ$1,INDIRECT("Table1[Ende]"),"&gt;="&amp;AZ$1,INDIRECT("Table1[Obergruppe ATC-Code]"),Tabelle3!$A46)</f>
        <v>5</v>
      </c>
      <c r="BA46">
        <f ca="1">COUNTIFS(INDIRECT("Table1[Beginn]"),"&lt;="&amp;BA$1,INDIRECT("Table1[Ende]"),"&gt;="&amp;BA$1,INDIRECT("Table1[Obergruppe ATC-Code]"),Tabelle3!$A46)</f>
        <v>4</v>
      </c>
      <c r="BB46">
        <f ca="1">COUNTIFS(INDIRECT("Table1[Beginn]"),"&lt;="&amp;BB$1,INDIRECT("Table1[Ende]"),"&gt;="&amp;BB$1,INDIRECT("Table1[Obergruppe ATC-Code]"),Tabelle3!$A46)</f>
        <v>4</v>
      </c>
      <c r="BC46">
        <f ca="1">COUNTIFS(INDIRECT("Table1[Beginn]"),"&lt;="&amp;BC$1,INDIRECT("Table1[Ende]"),"&gt;="&amp;BC$1,INDIRECT("Table1[Obergruppe ATC-Code]"),Tabelle3!$A46)</f>
        <v>6</v>
      </c>
      <c r="BD46">
        <f ca="1">COUNTIFS(INDIRECT("Table1[Beginn]"),"&lt;="&amp;BD$1,INDIRECT("Table1[Ende]"),"&gt;="&amp;BD$1,INDIRECT("Table1[Obergruppe ATC-Code]"),Tabelle3!$A46)</f>
        <v>8</v>
      </c>
      <c r="BE46">
        <f ca="1">COUNTIFS(INDIRECT("Table1[Beginn]"),"&lt;="&amp;BE$1,INDIRECT("Table1[Ende]"),"&gt;="&amp;BE$1,INDIRECT("Table1[Obergruppe ATC-Code]"),Tabelle3!$A46)</f>
        <v>8</v>
      </c>
      <c r="BF46">
        <f ca="1">COUNTIFS(INDIRECT("Table1[Beginn]"),"&lt;="&amp;BF$1,INDIRECT("Table1[Ende]"),"&gt;="&amp;BF$1,INDIRECT("Table1[Obergruppe ATC-Code]"),Tabelle3!$A46)</f>
        <v>6</v>
      </c>
      <c r="BG46">
        <f ca="1">COUNTIFS(INDIRECT("Table1[Beginn]"),"&lt;="&amp;BG$1,INDIRECT("Table1[Ende]"),"&gt;="&amp;BG$1,INDIRECT("Table1[Obergruppe ATC-Code]"),Tabelle3!$A46)</f>
        <v>6</v>
      </c>
      <c r="BH46">
        <f ca="1">COUNTIFS(INDIRECT("Table1[Beginn]"),"&lt;="&amp;BH$1,INDIRECT("Table1[Ende]"),"&gt;="&amp;BH$1,INDIRECT("Table1[Obergruppe ATC-Code]"),Tabelle3!$A46)</f>
        <v>9</v>
      </c>
      <c r="BI46">
        <f ca="1">COUNTIFS(INDIRECT("Table1[Beginn]"),"&lt;="&amp;BI$1,INDIRECT("Table1[Ende]"),"&gt;="&amp;BI$1,INDIRECT("Table1[Obergruppe ATC-Code]"),Tabelle3!$A46)</f>
        <v>5</v>
      </c>
      <c r="BJ46">
        <f ca="1">COUNTIFS(INDIRECT("Table1[Beginn]"),"&lt;="&amp;BJ$1,INDIRECT("Table1[Ende]"),"&gt;="&amp;BJ$1,INDIRECT("Table1[Obergruppe ATC-Code]"),Tabelle3!$A46)</f>
        <v>6</v>
      </c>
      <c r="BK46">
        <f ca="1">COUNTIFS(INDIRECT("Table1[Beginn]"),"&lt;="&amp;BK$1,INDIRECT("Table1[Ende]"),"&gt;="&amp;BK$1,INDIRECT("Table1[Obergruppe ATC-Code]"),Tabelle3!$A46)</f>
        <v>6</v>
      </c>
      <c r="BL46">
        <f ca="1">COUNTIFS(INDIRECT("Table1[Beginn]"),"&lt;="&amp;BL$1,INDIRECT("Table1[Ende]"),"&gt;="&amp;BL$1,INDIRECT("Table1[Obergruppe ATC-Code]"),Tabelle3!$A46)</f>
        <v>4</v>
      </c>
      <c r="BM46">
        <f ca="1">COUNTIFS(INDIRECT("Table1[Beginn]"),"&lt;="&amp;BM$1,INDIRECT("Table1[Ende]"),"&gt;="&amp;BM$1,INDIRECT("Table1[Obergruppe ATC-Code]"),Tabelle3!$A46)</f>
        <v>2</v>
      </c>
      <c r="BN46">
        <f ca="1">COUNTIFS(INDIRECT("Table1[Beginn]"),"&lt;="&amp;BN$1,INDIRECT("Table1[Ende]"),"&gt;="&amp;BN$1,INDIRECT("Table1[Obergruppe ATC-Code]"),Tabelle3!$A46)</f>
        <v>3</v>
      </c>
      <c r="BO46">
        <f ca="1">COUNTIFS(INDIRECT("Table1[Beginn]"),"&lt;="&amp;BO$1,INDIRECT("Table1[Ende]"),"&gt;="&amp;BO$1,INDIRECT("Table1[Obergruppe ATC-Code]"),Tabelle3!$A46)</f>
        <v>3</v>
      </c>
      <c r="BP46">
        <f ca="1">COUNTIFS(INDIRECT("Table1[Beginn]"),"&lt;="&amp;BP$1,INDIRECT("Table1[Ende]"),"&gt;="&amp;BP$1,INDIRECT("Table1[Obergruppe ATC-Code]"),Tabelle3!$A46)</f>
        <v>3</v>
      </c>
      <c r="BQ46">
        <f ca="1">COUNTIFS(INDIRECT("Table1[Beginn]"),"&lt;="&amp;BQ$1,INDIRECT("Table1[Ende]"),"&gt;="&amp;BQ$1,INDIRECT("Table1[Obergruppe ATC-Code]"),Tabelle3!$A46)</f>
        <v>4</v>
      </c>
      <c r="BR46">
        <f ca="1">COUNTIFS(INDIRECT("Table1[Beginn]"),"&lt;="&amp;BR$1,INDIRECT("Table1[Ende]"),"&gt;="&amp;BR$1,INDIRECT("Table1[Obergruppe ATC-Code]"),Tabelle3!$A46)</f>
        <v>5</v>
      </c>
      <c r="BS46">
        <f ca="1">COUNTIFS(INDIRECT("Table1[Beginn]"),"&lt;="&amp;BS$1,INDIRECT("Table1[Ende]"),"&gt;="&amp;BS$1,INDIRECT("Table1[Obergruppe ATC-Code]"),Tabelle3!$A46)</f>
        <v>5</v>
      </c>
      <c r="BT46">
        <f ca="1">COUNTIFS(INDIRECT("Table1[Beginn]"),"&lt;="&amp;BT$1,INDIRECT("Table1[Ende]"),"&gt;="&amp;BT$1,INDIRECT("Table1[Obergruppe ATC-Code]"),Tabelle3!$A46)</f>
        <v>4</v>
      </c>
      <c r="BU46">
        <f ca="1">COUNTIFS(INDIRECT("Table1[Beginn]"),"&lt;="&amp;BU$1,INDIRECT("Table1[Ende]"),"&gt;="&amp;BU$1,INDIRECT("Table1[Obergruppe ATC-Code]"),Tabelle3!$A46)</f>
        <v>3</v>
      </c>
      <c r="BV46">
        <f ca="1">COUNTIFS(INDIRECT("Table1[Beginn]"),"&lt;="&amp;BV$1,INDIRECT("Table1[Ende]"),"&gt;="&amp;BV$1,INDIRECT("Table1[Obergruppe ATC-Code]"),Tabelle3!$A46)</f>
        <v>3</v>
      </c>
      <c r="BW46">
        <f ca="1">COUNTIFS(INDIRECT("Table1[Beginn]"),"&lt;="&amp;BW$1,INDIRECT("Table1[Ende]"),"&gt;="&amp;BW$1,INDIRECT("Table1[Obergruppe ATC-Code]"),Tabelle3!$A46)</f>
        <v>3</v>
      </c>
      <c r="BX46">
        <f ca="1">COUNTIFS(INDIRECT("Table1[Beginn]"),"&lt;="&amp;BX$1,INDIRECT("Table1[Ende]"),"&gt;="&amp;BX$1,INDIRECT("Table1[Obergruppe ATC-Code]"),Tabelle3!$A46)</f>
        <v>3</v>
      </c>
      <c r="BY46">
        <f ca="1">COUNTIFS(INDIRECT("Table1[Beginn]"),"&lt;="&amp;BY$1,INDIRECT("Table1[Ende]"),"&gt;="&amp;BY$1,INDIRECT("Table1[Obergruppe ATC-Code]"),Tabelle3!$A46)</f>
        <v>2</v>
      </c>
      <c r="BZ46">
        <f ca="1">COUNTIFS(INDIRECT("Table1[Beginn]"),"&lt;="&amp;BZ$1,INDIRECT("Table1[Ende]"),"&gt;="&amp;BZ$1,INDIRECT("Table1[Obergruppe ATC-Code]"),Tabelle3!$A46)</f>
        <v>4</v>
      </c>
      <c r="CA46">
        <f ca="1">COUNTIFS(INDIRECT("Table1[Beginn]"),"&lt;="&amp;CA$1,INDIRECT("Table1[Ende]"),"&gt;="&amp;CA$1,INDIRECT("Table1[Obergruppe ATC-Code]"),Tabelle3!$A46)</f>
        <v>5</v>
      </c>
      <c r="CB46">
        <f ca="1">COUNTIFS(INDIRECT("Table1[Beginn]"),"&lt;="&amp;CB$1,INDIRECT("Table1[Ende]"),"&gt;="&amp;CB$1,INDIRECT("Table1[Obergruppe ATC-Code]"),Tabelle3!$A46)</f>
        <v>6</v>
      </c>
      <c r="CC46">
        <f ca="1">COUNTIFS(INDIRECT("Table1[Beginn]"),"&lt;="&amp;CC$1,INDIRECT("Table1[Ende]"),"&gt;="&amp;CC$1,INDIRECT("Table1[Obergruppe ATC-Code]"),Tabelle3!$A46)</f>
        <v>6</v>
      </c>
      <c r="CD46">
        <f ca="1">COUNTIFS(INDIRECT("Table1[Beginn]"),"&lt;="&amp;CD$1,INDIRECT("Table1[Ende]"),"&gt;="&amp;CD$1,INDIRECT("Table1[Obergruppe ATC-Code]"),Tabelle3!$A46)</f>
        <v>5</v>
      </c>
      <c r="CE46">
        <f ca="1">COUNTIFS(INDIRECT("Table1[Beginn]"),"&lt;="&amp;CE$1,INDIRECT("Table1[Ende]"),"&gt;="&amp;CE$1,INDIRECT("Table1[Obergruppe ATC-Code]"),Tabelle3!$A46)</f>
        <v>3</v>
      </c>
      <c r="CF46">
        <f ca="1">COUNTIFS(INDIRECT("Table1[Beginn]"),"&lt;="&amp;CF$1,INDIRECT("Table1[Ende]"),"&gt;="&amp;CF$1,INDIRECT("Table1[Obergruppe ATC-Code]"),Tabelle3!$A46)</f>
        <v>4</v>
      </c>
      <c r="CG46">
        <f ca="1">COUNTIFS(INDIRECT("Table1[Beginn]"),"&lt;="&amp;CG$1,INDIRECT("Table1[Ende]"),"&gt;="&amp;CG$1,INDIRECT("Table1[Obergruppe ATC-Code]"),Tabelle3!$A46)</f>
        <v>2</v>
      </c>
      <c r="CH46">
        <f ca="1">COUNTIFS(INDIRECT("Table1[Beginn]"),"&lt;="&amp;CH$1,INDIRECT("Table1[Ende]"),"&gt;="&amp;CH$1,INDIRECT("Table1[Obergruppe ATC-Code]"),Tabelle3!$A46)</f>
        <v>1</v>
      </c>
      <c r="CI46">
        <f ca="1">COUNTIFS(INDIRECT("Table1[Beginn]"),"&lt;="&amp;CI$1,INDIRECT("Table1[Ende]"),"&gt;="&amp;CI$1,INDIRECT("Table1[Obergruppe ATC-Code]"),Tabelle3!$A46)</f>
        <v>0</v>
      </c>
      <c r="CJ46">
        <f ca="1">COUNTIFS(INDIRECT("Table1[Beginn]"),"&lt;="&amp;CJ$1,INDIRECT("Table1[Ende]"),"&gt;="&amp;CJ$1,INDIRECT("Table1[Obergruppe ATC-Code]"),Tabelle3!$A46)</f>
        <v>0</v>
      </c>
      <c r="CK46">
        <f ca="1">COUNTIFS(INDIRECT("Table1[Beginn]"),"&lt;="&amp;CK$1,INDIRECT("Table1[Ende]"),"&gt;="&amp;CK$1,INDIRECT("Table1[Obergruppe ATC-Code]"),Tabelle3!$A46)</f>
        <v>0</v>
      </c>
      <c r="CL46">
        <f ca="1">COUNTIFS(INDIRECT("Table1[Beginn]"),"&lt;="&amp;CL$1,INDIRECT("Table1[Ende]"),"&gt;="&amp;CL$1,INDIRECT("Table1[Obergruppe ATC-Code]"),Tabelle3!$A46)</f>
        <v>0</v>
      </c>
      <c r="CM46">
        <f ca="1">COUNTIFS(INDIRECT("Table1[Beginn]"),"&lt;="&amp;CM$1,INDIRECT("Table1[Ende]"),"&gt;="&amp;CM$1,INDIRECT("Table1[Obergruppe ATC-Code]"),Tabelle3!$A46)</f>
        <v>0</v>
      </c>
      <c r="CN46">
        <f ca="1">COUNTIFS(INDIRECT("Table1[Beginn]"),"&lt;="&amp;CN$1,INDIRECT("Table1[Ende]"),"&gt;="&amp;CN$1,INDIRECT("Table1[Obergruppe ATC-Code]"),Tabelle3!$A46)</f>
        <v>0</v>
      </c>
      <c r="CO46">
        <f ca="1">COUNTIFS(INDIRECT("Table1[Beginn]"),"&lt;="&amp;CO$1,INDIRECT("Table1[Ende]"),"&gt;="&amp;CO$1,INDIRECT("Table1[Obergruppe ATC-Code]"),Tabelle3!$A46)</f>
        <v>0</v>
      </c>
      <c r="CP46">
        <f ca="1">COUNTIFS(INDIRECT("Table1[Beginn]"),"&lt;="&amp;CP$1,INDIRECT("Table1[Ende]"),"&gt;="&amp;CP$1,INDIRECT("Table1[Obergruppe ATC-Code]"),Tabelle3!$A46)</f>
        <v>0</v>
      </c>
      <c r="CQ46">
        <f ca="1">COUNTIFS(INDIRECT("Table1[Beginn]"),"&lt;="&amp;CQ$1,INDIRECT("Table1[Ende]"),"&gt;="&amp;CQ$1,INDIRECT("Table1[Obergruppe ATC-Code]"),Tabelle3!$A46)</f>
        <v>0</v>
      </c>
      <c r="CR46">
        <f ca="1">COUNTIFS(INDIRECT("Table1[Beginn]"),"&lt;="&amp;CR$1,INDIRECT("Table1[Ende]"),"&gt;="&amp;CR$1,INDIRECT("Table1[Obergruppe ATC-Code]"),Tabelle3!$A46)</f>
        <v>0</v>
      </c>
      <c r="CS46">
        <f ca="1">COUNTIFS(INDIRECT("Table1[Beginn]"),"&lt;="&amp;CS$1,INDIRECT("Table1[Ende]"),"&gt;="&amp;CS$1,INDIRECT("Table1[Obergruppe ATC-Code]"),Tabelle3!$A46)</f>
        <v>0</v>
      </c>
      <c r="CT46">
        <f ca="1">COUNTIFS(INDIRECT("Table1[Beginn]"),"&lt;="&amp;CT$1,INDIRECT("Table1[Ende]"),"&gt;="&amp;CT$1,INDIRECT("Table1[Obergruppe ATC-Code]"),Tabelle3!$A46)</f>
        <v>0</v>
      </c>
      <c r="CU46" s="56"/>
      <c r="CV46" s="56"/>
      <c r="CW46" s="56"/>
      <c r="CX46" s="56"/>
      <c r="CY46" s="56"/>
      <c r="CZ46" s="56"/>
      <c r="DA46" s="56"/>
      <c r="DB46" s="56"/>
      <c r="DC46" s="56"/>
      <c r="DD46" s="56"/>
      <c r="DE46" s="56"/>
      <c r="DF46" s="56"/>
      <c r="DG46" s="56"/>
      <c r="DH46" s="56"/>
    </row>
    <row r="47" spans="1:112" ht="18" customHeight="1">
      <c r="A47" s="9" t="s">
        <v>6863</v>
      </c>
      <c r="B47" s="10" t="s">
        <v>6864</v>
      </c>
      <c r="C47">
        <f ca="1">COUNTIFS(INDIRECT("Table1[Beginn]"),"&lt;="&amp;C$1,INDIRECT("Table1[Ende]"),"&gt;="&amp;C$1,INDIRECT("Table1[Obergruppe ATC-Code]"),Tabelle3!$A47)</f>
        <v>0</v>
      </c>
      <c r="D47">
        <f ca="1">COUNTIFS(INDIRECT("Table1[Beginn]"),"&lt;="&amp;D$1,INDIRECT("Table1[Ende]"),"&gt;="&amp;D$1,INDIRECT("Table1[Obergruppe ATC-Code]"),Tabelle3!$A47)</f>
        <v>0</v>
      </c>
      <c r="E47">
        <f ca="1">COUNTIFS(INDIRECT("Table1[Beginn]"),"&lt;="&amp;E$1,INDIRECT("Table1[Ende]"),"&gt;="&amp;E$1,INDIRECT("Table1[Obergruppe ATC-Code]"),Tabelle3!$A47)</f>
        <v>0</v>
      </c>
      <c r="F47">
        <f ca="1">COUNTIFS(INDIRECT("Table1[Beginn]"),"&lt;="&amp;F$1,INDIRECT("Table1[Ende]"),"&gt;="&amp;F$1,INDIRECT("Table1[Obergruppe ATC-Code]"),Tabelle3!$A47)</f>
        <v>0</v>
      </c>
      <c r="G47">
        <f ca="1">COUNTIFS(INDIRECT("Table1[Beginn]"),"&lt;="&amp;G$1,INDIRECT("Table1[Ende]"),"&gt;="&amp;G$1,INDIRECT("Table1[Obergruppe ATC-Code]"),Tabelle3!$A47)</f>
        <v>1</v>
      </c>
      <c r="H47">
        <f ca="1">COUNTIFS(INDIRECT("Table1[Beginn]"),"&lt;="&amp;H$1,INDIRECT("Table1[Ende]"),"&gt;="&amp;H$1,INDIRECT("Table1[Obergruppe ATC-Code]"),Tabelle3!$A47)</f>
        <v>1</v>
      </c>
      <c r="I47">
        <f ca="1">COUNTIFS(INDIRECT("Table1[Beginn]"),"&lt;="&amp;I$1,INDIRECT("Table1[Ende]"),"&gt;="&amp;I$1,INDIRECT("Table1[Obergruppe ATC-Code]"),Tabelle3!$A47)</f>
        <v>1</v>
      </c>
      <c r="J47">
        <f ca="1">COUNTIFS(INDIRECT("Table1[Beginn]"),"&lt;="&amp;J$1,INDIRECT("Table1[Ende]"),"&gt;="&amp;J$1,INDIRECT("Table1[Obergruppe ATC-Code]"),Tabelle3!$A47)</f>
        <v>1</v>
      </c>
      <c r="K47">
        <f ca="1">COUNTIFS(INDIRECT("Table1[Beginn]"),"&lt;="&amp;K$1,INDIRECT("Table1[Ende]"),"&gt;="&amp;K$1,INDIRECT("Table1[Obergruppe ATC-Code]"),Tabelle3!$A47)</f>
        <v>1</v>
      </c>
      <c r="L47">
        <f ca="1">COUNTIFS(INDIRECT("Table1[Beginn]"),"&lt;="&amp;L$1,INDIRECT("Table1[Ende]"),"&gt;="&amp;L$1,INDIRECT("Table1[Obergruppe ATC-Code]"),Tabelle3!$A47)</f>
        <v>1</v>
      </c>
      <c r="M47">
        <f ca="1">COUNTIFS(INDIRECT("Table1[Beginn]"),"&lt;="&amp;M$1,INDIRECT("Table1[Ende]"),"&gt;="&amp;M$1,INDIRECT("Table1[Obergruppe ATC-Code]"),Tabelle3!$A47)</f>
        <v>1</v>
      </c>
      <c r="N47">
        <f ca="1">COUNTIFS(INDIRECT("Table1[Beginn]"),"&lt;="&amp;N$1,INDIRECT("Table1[Ende]"),"&gt;="&amp;N$1,INDIRECT("Table1[Obergruppe ATC-Code]"),Tabelle3!$A47)</f>
        <v>1</v>
      </c>
      <c r="O47">
        <f ca="1">COUNTIFS(INDIRECT("Table1[Beginn]"),"&lt;="&amp;O$1,INDIRECT("Table1[Ende]"),"&gt;="&amp;O$1,INDIRECT("Table1[Obergruppe ATC-Code]"),Tabelle3!$A47)</f>
        <v>1</v>
      </c>
      <c r="P47">
        <f ca="1">COUNTIFS(INDIRECT("Table1[Beginn]"),"&lt;="&amp;P$1,INDIRECT("Table1[Ende]"),"&gt;="&amp;P$1,INDIRECT("Table1[Obergruppe ATC-Code]"),Tabelle3!$A47)</f>
        <v>1</v>
      </c>
      <c r="Q47">
        <f ca="1">COUNTIFS(INDIRECT("Table1[Beginn]"),"&lt;="&amp;Q$1,INDIRECT("Table1[Ende]"),"&gt;="&amp;Q$1,INDIRECT("Table1[Obergruppe ATC-Code]"),Tabelle3!$A47)</f>
        <v>1</v>
      </c>
      <c r="R47">
        <f ca="1">COUNTIFS(INDIRECT("Table1[Beginn]"),"&lt;="&amp;R$1,INDIRECT("Table1[Ende]"),"&gt;="&amp;R$1,INDIRECT("Table1[Obergruppe ATC-Code]"),Tabelle3!$A47)</f>
        <v>1</v>
      </c>
      <c r="S47">
        <f ca="1">COUNTIFS(INDIRECT("Table1[Beginn]"),"&lt;="&amp;S$1,INDIRECT("Table1[Ende]"),"&gt;="&amp;S$1,INDIRECT("Table1[Obergruppe ATC-Code]"),Tabelle3!$A47)</f>
        <v>1</v>
      </c>
      <c r="T47">
        <f ca="1">COUNTIFS(INDIRECT("Table1[Beginn]"),"&lt;="&amp;T$1,INDIRECT("Table1[Ende]"),"&gt;="&amp;T$1,INDIRECT("Table1[Obergruppe ATC-Code]"),Tabelle3!$A47)</f>
        <v>1</v>
      </c>
      <c r="U47">
        <f ca="1">COUNTIFS(INDIRECT("Table1[Beginn]"),"&lt;="&amp;U$1,INDIRECT("Table1[Ende]"),"&gt;="&amp;U$1,INDIRECT("Table1[Obergruppe ATC-Code]"),Tabelle3!$A47)</f>
        <v>1</v>
      </c>
      <c r="V47">
        <f ca="1">COUNTIFS(INDIRECT("Table1[Beginn]"),"&lt;="&amp;V$1,INDIRECT("Table1[Ende]"),"&gt;="&amp;V$1,INDIRECT("Table1[Obergruppe ATC-Code]"),Tabelle3!$A47)</f>
        <v>2</v>
      </c>
      <c r="W47">
        <f ca="1">COUNTIFS(INDIRECT("Table1[Beginn]"),"&lt;="&amp;W$1,INDIRECT("Table1[Ende]"),"&gt;="&amp;W$1,INDIRECT("Table1[Obergruppe ATC-Code]"),Tabelle3!$A47)</f>
        <v>2</v>
      </c>
      <c r="X47">
        <f ca="1">COUNTIFS(INDIRECT("Table1[Beginn]"),"&lt;="&amp;X$1,INDIRECT("Table1[Ende]"),"&gt;="&amp;X$1,INDIRECT("Table1[Obergruppe ATC-Code]"),Tabelle3!$A47)</f>
        <v>1</v>
      </c>
      <c r="Y47">
        <f ca="1">COUNTIFS(INDIRECT("Table1[Beginn]"),"&lt;="&amp;Y$1,INDIRECT("Table1[Ende]"),"&gt;="&amp;Y$1,INDIRECT("Table1[Obergruppe ATC-Code]"),Tabelle3!$A47)</f>
        <v>1</v>
      </c>
      <c r="Z47">
        <f ca="1">COUNTIFS(INDIRECT("Table1[Beginn]"),"&lt;="&amp;Z$1,INDIRECT("Table1[Ende]"),"&gt;="&amp;Z$1,INDIRECT("Table1[Obergruppe ATC-Code]"),Tabelle3!$A47)</f>
        <v>1</v>
      </c>
      <c r="AA47">
        <f ca="1">COUNTIFS(INDIRECT("Table1[Beginn]"),"&lt;="&amp;AA$1,INDIRECT("Table1[Ende]"),"&gt;="&amp;AA$1,INDIRECT("Table1[Obergruppe ATC-Code]"),Tabelle3!$A47)</f>
        <v>1</v>
      </c>
      <c r="AB47">
        <f ca="1">COUNTIFS(INDIRECT("Table1[Beginn]"),"&lt;="&amp;AB$1,INDIRECT("Table1[Ende]"),"&gt;="&amp;AB$1,INDIRECT("Table1[Obergruppe ATC-Code]"),Tabelle3!$A47)</f>
        <v>1</v>
      </c>
      <c r="AC47">
        <f ca="1">COUNTIFS(INDIRECT("Table1[Beginn]"),"&lt;="&amp;AC$1,INDIRECT("Table1[Ende]"),"&gt;="&amp;AC$1,INDIRECT("Table1[Obergruppe ATC-Code]"),Tabelle3!$A47)</f>
        <v>1</v>
      </c>
      <c r="AD47">
        <f ca="1">COUNTIFS(INDIRECT("Table1[Beginn]"),"&lt;="&amp;AD$1,INDIRECT("Table1[Ende]"),"&gt;="&amp;AD$1,INDIRECT("Table1[Obergruppe ATC-Code]"),Tabelle3!$A47)</f>
        <v>1</v>
      </c>
      <c r="AE47">
        <f ca="1">COUNTIFS(INDIRECT("Table1[Beginn]"),"&lt;="&amp;AE$1,INDIRECT("Table1[Ende]"),"&gt;="&amp;AE$1,INDIRECT("Table1[Obergruppe ATC-Code]"),Tabelle3!$A47)</f>
        <v>1</v>
      </c>
      <c r="AF47">
        <f ca="1">COUNTIFS(INDIRECT("Table1[Beginn]"),"&lt;="&amp;AF$1,INDIRECT("Table1[Ende]"),"&gt;="&amp;AF$1,INDIRECT("Table1[Obergruppe ATC-Code]"),Tabelle3!$A47)</f>
        <v>2</v>
      </c>
      <c r="AG47">
        <f ca="1">COUNTIFS(INDIRECT("Table1[Beginn]"),"&lt;="&amp;AG$1,INDIRECT("Table1[Ende]"),"&gt;="&amp;AG$1,INDIRECT("Table1[Obergruppe ATC-Code]"),Tabelle3!$A47)</f>
        <v>2</v>
      </c>
      <c r="AH47">
        <f ca="1">COUNTIFS(INDIRECT("Table1[Beginn]"),"&lt;="&amp;AH$1,INDIRECT("Table1[Ende]"),"&gt;="&amp;AH$1,INDIRECT("Table1[Obergruppe ATC-Code]"),Tabelle3!$A47)</f>
        <v>2</v>
      </c>
      <c r="AI47">
        <f ca="1">COUNTIFS(INDIRECT("Table1[Beginn]"),"&lt;="&amp;AI$1,INDIRECT("Table1[Ende]"),"&gt;="&amp;AI$1,INDIRECT("Table1[Obergruppe ATC-Code]"),Tabelle3!$A47)</f>
        <v>2</v>
      </c>
      <c r="AJ47">
        <f ca="1">COUNTIFS(INDIRECT("Table1[Beginn]"),"&lt;="&amp;AJ$1,INDIRECT("Table1[Ende]"),"&gt;="&amp;AJ$1,INDIRECT("Table1[Obergruppe ATC-Code]"),Tabelle3!$A47)</f>
        <v>4</v>
      </c>
      <c r="AK47">
        <f ca="1">COUNTIFS(INDIRECT("Table1[Beginn]"),"&lt;="&amp;AK$1,INDIRECT("Table1[Ende]"),"&gt;="&amp;AK$1,INDIRECT("Table1[Obergruppe ATC-Code]"),Tabelle3!$A47)</f>
        <v>4</v>
      </c>
      <c r="AL47">
        <f ca="1">COUNTIFS(INDIRECT("Table1[Beginn]"),"&lt;="&amp;AL$1,INDIRECT("Table1[Ende]"),"&gt;="&amp;AL$1,INDIRECT("Table1[Obergruppe ATC-Code]"),Tabelle3!$A47)</f>
        <v>4</v>
      </c>
      <c r="AM47">
        <f ca="1">COUNTIFS(INDIRECT("Table1[Beginn]"),"&lt;="&amp;AM$1,INDIRECT("Table1[Ende]"),"&gt;="&amp;AM$1,INDIRECT("Table1[Obergruppe ATC-Code]"),Tabelle3!$A47)</f>
        <v>4</v>
      </c>
      <c r="AN47">
        <f ca="1">COUNTIFS(INDIRECT("Table1[Beginn]"),"&lt;="&amp;AN$1,INDIRECT("Table1[Ende]"),"&gt;="&amp;AN$1,INDIRECT("Table1[Obergruppe ATC-Code]"),Tabelle3!$A47)</f>
        <v>3</v>
      </c>
      <c r="AO47">
        <f ca="1">COUNTIFS(INDIRECT("Table1[Beginn]"),"&lt;="&amp;AO$1,INDIRECT("Table1[Ende]"),"&gt;="&amp;AO$1,INDIRECT("Table1[Obergruppe ATC-Code]"),Tabelle3!$A47)</f>
        <v>4</v>
      </c>
      <c r="AP47">
        <f ca="1">COUNTIFS(INDIRECT("Table1[Beginn]"),"&lt;="&amp;AP$1,INDIRECT("Table1[Ende]"),"&gt;="&amp;AP$1,INDIRECT("Table1[Obergruppe ATC-Code]"),Tabelle3!$A47)</f>
        <v>3</v>
      </c>
      <c r="AQ47">
        <f ca="1">COUNTIFS(INDIRECT("Table1[Beginn]"),"&lt;="&amp;AQ$1,INDIRECT("Table1[Ende]"),"&gt;="&amp;AQ$1,INDIRECT("Table1[Obergruppe ATC-Code]"),Tabelle3!$A47)</f>
        <v>3</v>
      </c>
      <c r="AR47">
        <f ca="1">COUNTIFS(INDIRECT("Table1[Beginn]"),"&lt;="&amp;AR$1,INDIRECT("Table1[Ende]"),"&gt;="&amp;AR$1,INDIRECT("Table1[Obergruppe ATC-Code]"),Tabelle3!$A47)</f>
        <v>3</v>
      </c>
      <c r="AS47">
        <f ca="1">COUNTIFS(INDIRECT("Table1[Beginn]"),"&lt;="&amp;AS$1,INDIRECT("Table1[Ende]"),"&gt;="&amp;AS$1,INDIRECT("Table1[Obergruppe ATC-Code]"),Tabelle3!$A47)</f>
        <v>1</v>
      </c>
      <c r="AT47">
        <f ca="1">COUNTIFS(INDIRECT("Table1[Beginn]"),"&lt;="&amp;AT$1,INDIRECT("Table1[Ende]"),"&gt;="&amp;AT$1,INDIRECT("Table1[Obergruppe ATC-Code]"),Tabelle3!$A47)</f>
        <v>1</v>
      </c>
      <c r="AU47">
        <f ca="1">COUNTIFS(INDIRECT("Table1[Beginn]"),"&lt;="&amp;AU$1,INDIRECT("Table1[Ende]"),"&gt;="&amp;AU$1,INDIRECT("Table1[Obergruppe ATC-Code]"),Tabelle3!$A47)</f>
        <v>1</v>
      </c>
      <c r="AV47">
        <f ca="1">COUNTIFS(INDIRECT("Table1[Beginn]"),"&lt;="&amp;AV$1,INDIRECT("Table1[Ende]"),"&gt;="&amp;AV$1,INDIRECT("Table1[Obergruppe ATC-Code]"),Tabelle3!$A47)</f>
        <v>0</v>
      </c>
      <c r="AW47">
        <f ca="1">COUNTIFS(INDIRECT("Table1[Beginn]"),"&lt;="&amp;AW$1,INDIRECT("Table1[Ende]"),"&gt;="&amp;AW$1,INDIRECT("Table1[Obergruppe ATC-Code]"),Tabelle3!$A47)</f>
        <v>0</v>
      </c>
      <c r="AX47">
        <f ca="1">COUNTIFS(INDIRECT("Table1[Beginn]"),"&lt;="&amp;AX$1,INDIRECT("Table1[Ende]"),"&gt;="&amp;AX$1,INDIRECT("Table1[Obergruppe ATC-Code]"),Tabelle3!$A47)</f>
        <v>0</v>
      </c>
      <c r="AY47">
        <f ca="1">COUNTIFS(INDIRECT("Table1[Beginn]"),"&lt;="&amp;AY$1,INDIRECT("Table1[Ende]"),"&gt;="&amp;AY$1,INDIRECT("Table1[Obergruppe ATC-Code]"),Tabelle3!$A47)</f>
        <v>0</v>
      </c>
      <c r="AZ47">
        <f ca="1">COUNTIFS(INDIRECT("Table1[Beginn]"),"&lt;="&amp;AZ$1,INDIRECT("Table1[Ende]"),"&gt;="&amp;AZ$1,INDIRECT("Table1[Obergruppe ATC-Code]"),Tabelle3!$A47)</f>
        <v>0</v>
      </c>
      <c r="BA47">
        <f ca="1">COUNTIFS(INDIRECT("Table1[Beginn]"),"&lt;="&amp;BA$1,INDIRECT("Table1[Ende]"),"&gt;="&amp;BA$1,INDIRECT("Table1[Obergruppe ATC-Code]"),Tabelle3!$A47)</f>
        <v>1</v>
      </c>
      <c r="BB47">
        <f ca="1">COUNTIFS(INDIRECT("Table1[Beginn]"),"&lt;="&amp;BB$1,INDIRECT("Table1[Ende]"),"&gt;="&amp;BB$1,INDIRECT("Table1[Obergruppe ATC-Code]"),Tabelle3!$A47)</f>
        <v>3</v>
      </c>
      <c r="BC47">
        <f ca="1">COUNTIFS(INDIRECT("Table1[Beginn]"),"&lt;="&amp;BC$1,INDIRECT("Table1[Ende]"),"&gt;="&amp;BC$1,INDIRECT("Table1[Obergruppe ATC-Code]"),Tabelle3!$A47)</f>
        <v>3</v>
      </c>
      <c r="BD47">
        <f ca="1">COUNTIFS(INDIRECT("Table1[Beginn]"),"&lt;="&amp;BD$1,INDIRECT("Table1[Ende]"),"&gt;="&amp;BD$1,INDIRECT("Table1[Obergruppe ATC-Code]"),Tabelle3!$A47)</f>
        <v>3</v>
      </c>
      <c r="BE47">
        <f ca="1">COUNTIFS(INDIRECT("Table1[Beginn]"),"&lt;="&amp;BE$1,INDIRECT("Table1[Ende]"),"&gt;="&amp;BE$1,INDIRECT("Table1[Obergruppe ATC-Code]"),Tabelle3!$A47)</f>
        <v>2</v>
      </c>
      <c r="BF47">
        <f ca="1">COUNTIFS(INDIRECT("Table1[Beginn]"),"&lt;="&amp;BF$1,INDIRECT("Table1[Ende]"),"&gt;="&amp;BF$1,INDIRECT("Table1[Obergruppe ATC-Code]"),Tabelle3!$A47)</f>
        <v>2</v>
      </c>
      <c r="BG47">
        <f ca="1">COUNTIFS(INDIRECT("Table1[Beginn]"),"&lt;="&amp;BG$1,INDIRECT("Table1[Ende]"),"&gt;="&amp;BG$1,INDIRECT("Table1[Obergruppe ATC-Code]"),Tabelle3!$A47)</f>
        <v>2</v>
      </c>
      <c r="BH47">
        <f ca="1">COUNTIFS(INDIRECT("Table1[Beginn]"),"&lt;="&amp;BH$1,INDIRECT("Table1[Ende]"),"&gt;="&amp;BH$1,INDIRECT("Table1[Obergruppe ATC-Code]"),Tabelle3!$A47)</f>
        <v>1</v>
      </c>
      <c r="BI47">
        <f ca="1">COUNTIFS(INDIRECT("Table1[Beginn]"),"&lt;="&amp;BI$1,INDIRECT("Table1[Ende]"),"&gt;="&amp;BI$1,INDIRECT("Table1[Obergruppe ATC-Code]"),Tabelle3!$A47)</f>
        <v>3</v>
      </c>
      <c r="BJ47">
        <f ca="1">COUNTIFS(INDIRECT("Table1[Beginn]"),"&lt;="&amp;BJ$1,INDIRECT("Table1[Ende]"),"&gt;="&amp;BJ$1,INDIRECT("Table1[Obergruppe ATC-Code]"),Tabelle3!$A47)</f>
        <v>4</v>
      </c>
      <c r="BK47">
        <f ca="1">COUNTIFS(INDIRECT("Table1[Beginn]"),"&lt;="&amp;BK$1,INDIRECT("Table1[Ende]"),"&gt;="&amp;BK$1,INDIRECT("Table1[Obergruppe ATC-Code]"),Tabelle3!$A47)</f>
        <v>4</v>
      </c>
      <c r="BL47">
        <f ca="1">COUNTIFS(INDIRECT("Table1[Beginn]"),"&lt;="&amp;BL$1,INDIRECT("Table1[Ende]"),"&gt;="&amp;BL$1,INDIRECT("Table1[Obergruppe ATC-Code]"),Tabelle3!$A47)</f>
        <v>3</v>
      </c>
      <c r="BM47">
        <f ca="1">COUNTIFS(INDIRECT("Table1[Beginn]"),"&lt;="&amp;BM$1,INDIRECT("Table1[Ende]"),"&gt;="&amp;BM$1,INDIRECT("Table1[Obergruppe ATC-Code]"),Tabelle3!$A47)</f>
        <v>3</v>
      </c>
      <c r="BN47">
        <f ca="1">COUNTIFS(INDIRECT("Table1[Beginn]"),"&lt;="&amp;BN$1,INDIRECT("Table1[Ende]"),"&gt;="&amp;BN$1,INDIRECT("Table1[Obergruppe ATC-Code]"),Tabelle3!$A47)</f>
        <v>2</v>
      </c>
      <c r="BO47">
        <f ca="1">COUNTIFS(INDIRECT("Table1[Beginn]"),"&lt;="&amp;BO$1,INDIRECT("Table1[Ende]"),"&gt;="&amp;BO$1,INDIRECT("Table1[Obergruppe ATC-Code]"),Tabelle3!$A47)</f>
        <v>0</v>
      </c>
      <c r="BP47">
        <f ca="1">COUNTIFS(INDIRECT("Table1[Beginn]"),"&lt;="&amp;BP$1,INDIRECT("Table1[Ende]"),"&gt;="&amp;BP$1,INDIRECT("Table1[Obergruppe ATC-Code]"),Tabelle3!$A47)</f>
        <v>0</v>
      </c>
      <c r="BQ47">
        <f ca="1">COUNTIFS(INDIRECT("Table1[Beginn]"),"&lt;="&amp;BQ$1,INDIRECT("Table1[Ende]"),"&gt;="&amp;BQ$1,INDIRECT("Table1[Obergruppe ATC-Code]"),Tabelle3!$A47)</f>
        <v>0</v>
      </c>
      <c r="BR47">
        <f ca="1">COUNTIFS(INDIRECT("Table1[Beginn]"),"&lt;="&amp;BR$1,INDIRECT("Table1[Ende]"),"&gt;="&amp;BR$1,INDIRECT("Table1[Obergruppe ATC-Code]"),Tabelle3!$A47)</f>
        <v>1</v>
      </c>
      <c r="BS47">
        <f ca="1">COUNTIFS(INDIRECT("Table1[Beginn]"),"&lt;="&amp;BS$1,INDIRECT("Table1[Ende]"),"&gt;="&amp;BS$1,INDIRECT("Table1[Obergruppe ATC-Code]"),Tabelle3!$A47)</f>
        <v>0</v>
      </c>
      <c r="BT47">
        <f ca="1">COUNTIFS(INDIRECT("Table1[Beginn]"),"&lt;="&amp;BT$1,INDIRECT("Table1[Ende]"),"&gt;="&amp;BT$1,INDIRECT("Table1[Obergruppe ATC-Code]"),Tabelle3!$A47)</f>
        <v>0</v>
      </c>
      <c r="BU47">
        <f ca="1">COUNTIFS(INDIRECT("Table1[Beginn]"),"&lt;="&amp;BU$1,INDIRECT("Table1[Ende]"),"&gt;="&amp;BU$1,INDIRECT("Table1[Obergruppe ATC-Code]"),Tabelle3!$A47)</f>
        <v>0</v>
      </c>
      <c r="BV47">
        <f ca="1">COUNTIFS(INDIRECT("Table1[Beginn]"),"&lt;="&amp;BV$1,INDIRECT("Table1[Ende]"),"&gt;="&amp;BV$1,INDIRECT("Table1[Obergruppe ATC-Code]"),Tabelle3!$A47)</f>
        <v>0</v>
      </c>
      <c r="BW47">
        <f ca="1">COUNTIFS(INDIRECT("Table1[Beginn]"),"&lt;="&amp;BW$1,INDIRECT("Table1[Ende]"),"&gt;="&amp;BW$1,INDIRECT("Table1[Obergruppe ATC-Code]"),Tabelle3!$A47)</f>
        <v>1</v>
      </c>
      <c r="BX47">
        <f ca="1">COUNTIFS(INDIRECT("Table1[Beginn]"),"&lt;="&amp;BX$1,INDIRECT("Table1[Ende]"),"&gt;="&amp;BX$1,INDIRECT("Table1[Obergruppe ATC-Code]"),Tabelle3!$A47)</f>
        <v>3</v>
      </c>
      <c r="BY47">
        <f ca="1">COUNTIFS(INDIRECT("Table1[Beginn]"),"&lt;="&amp;BY$1,INDIRECT("Table1[Ende]"),"&gt;="&amp;BY$1,INDIRECT("Table1[Obergruppe ATC-Code]"),Tabelle3!$A47)</f>
        <v>3</v>
      </c>
      <c r="BZ47">
        <f ca="1">COUNTIFS(INDIRECT("Table1[Beginn]"),"&lt;="&amp;BZ$1,INDIRECT("Table1[Ende]"),"&gt;="&amp;BZ$1,INDIRECT("Table1[Obergruppe ATC-Code]"),Tabelle3!$A47)</f>
        <v>4</v>
      </c>
      <c r="CA47">
        <f ca="1">COUNTIFS(INDIRECT("Table1[Beginn]"),"&lt;="&amp;CA$1,INDIRECT("Table1[Ende]"),"&gt;="&amp;CA$1,INDIRECT("Table1[Obergruppe ATC-Code]"),Tabelle3!$A47)</f>
        <v>5</v>
      </c>
      <c r="CB47">
        <f ca="1">COUNTIFS(INDIRECT("Table1[Beginn]"),"&lt;="&amp;CB$1,INDIRECT("Table1[Ende]"),"&gt;="&amp;CB$1,INDIRECT("Table1[Obergruppe ATC-Code]"),Tabelle3!$A47)</f>
        <v>6</v>
      </c>
      <c r="CC47">
        <f ca="1">COUNTIFS(INDIRECT("Table1[Beginn]"),"&lt;="&amp;CC$1,INDIRECT("Table1[Ende]"),"&gt;="&amp;CC$1,INDIRECT("Table1[Obergruppe ATC-Code]"),Tabelle3!$A47)</f>
        <v>8</v>
      </c>
      <c r="CD47">
        <f ca="1">COUNTIFS(INDIRECT("Table1[Beginn]"),"&lt;="&amp;CD$1,INDIRECT("Table1[Ende]"),"&gt;="&amp;CD$1,INDIRECT("Table1[Obergruppe ATC-Code]"),Tabelle3!$A47)</f>
        <v>12</v>
      </c>
      <c r="CE47">
        <f ca="1">COUNTIFS(INDIRECT("Table1[Beginn]"),"&lt;="&amp;CE$1,INDIRECT("Table1[Ende]"),"&gt;="&amp;CE$1,INDIRECT("Table1[Obergruppe ATC-Code]"),Tabelle3!$A47)</f>
        <v>14</v>
      </c>
      <c r="CF47">
        <f ca="1">COUNTIFS(INDIRECT("Table1[Beginn]"),"&lt;="&amp;CF$1,INDIRECT("Table1[Ende]"),"&gt;="&amp;CF$1,INDIRECT("Table1[Obergruppe ATC-Code]"),Tabelle3!$A47)</f>
        <v>14</v>
      </c>
      <c r="CG47">
        <f ca="1">COUNTIFS(INDIRECT("Table1[Beginn]"),"&lt;="&amp;CG$1,INDIRECT("Table1[Ende]"),"&gt;="&amp;CG$1,INDIRECT("Table1[Obergruppe ATC-Code]"),Tabelle3!$A47)</f>
        <v>13</v>
      </c>
      <c r="CH47">
        <f ca="1">COUNTIFS(INDIRECT("Table1[Beginn]"),"&lt;="&amp;CH$1,INDIRECT("Table1[Ende]"),"&gt;="&amp;CH$1,INDIRECT("Table1[Obergruppe ATC-Code]"),Tabelle3!$A47)</f>
        <v>9</v>
      </c>
      <c r="CI47">
        <f ca="1">COUNTIFS(INDIRECT("Table1[Beginn]"),"&lt;="&amp;CI$1,INDIRECT("Table1[Ende]"),"&gt;="&amp;CI$1,INDIRECT("Table1[Obergruppe ATC-Code]"),Tabelle3!$A47)</f>
        <v>7</v>
      </c>
      <c r="CJ47">
        <f ca="1">COUNTIFS(INDIRECT("Table1[Beginn]"),"&lt;="&amp;CJ$1,INDIRECT("Table1[Ende]"),"&gt;="&amp;CJ$1,INDIRECT("Table1[Obergruppe ATC-Code]"),Tabelle3!$A47)</f>
        <v>5</v>
      </c>
      <c r="CK47">
        <f ca="1">COUNTIFS(INDIRECT("Table1[Beginn]"),"&lt;="&amp;CK$1,INDIRECT("Table1[Ende]"),"&gt;="&amp;CK$1,INDIRECT("Table1[Obergruppe ATC-Code]"),Tabelle3!$A47)</f>
        <v>0</v>
      </c>
      <c r="CL47">
        <f ca="1">COUNTIFS(INDIRECT("Table1[Beginn]"),"&lt;="&amp;CL$1,INDIRECT("Table1[Ende]"),"&gt;="&amp;CL$1,INDIRECT("Table1[Obergruppe ATC-Code]"),Tabelle3!$A47)</f>
        <v>0</v>
      </c>
      <c r="CM47">
        <f ca="1">COUNTIFS(INDIRECT("Table1[Beginn]"),"&lt;="&amp;CM$1,INDIRECT("Table1[Ende]"),"&gt;="&amp;CM$1,INDIRECT("Table1[Obergruppe ATC-Code]"),Tabelle3!$A47)</f>
        <v>0</v>
      </c>
      <c r="CN47">
        <f ca="1">COUNTIFS(INDIRECT("Table1[Beginn]"),"&lt;="&amp;CN$1,INDIRECT("Table1[Ende]"),"&gt;="&amp;CN$1,INDIRECT("Table1[Obergruppe ATC-Code]"),Tabelle3!$A47)</f>
        <v>0</v>
      </c>
      <c r="CO47">
        <f ca="1">COUNTIFS(INDIRECT("Table1[Beginn]"),"&lt;="&amp;CO$1,INDIRECT("Table1[Ende]"),"&gt;="&amp;CO$1,INDIRECT("Table1[Obergruppe ATC-Code]"),Tabelle3!$A47)</f>
        <v>0</v>
      </c>
      <c r="CP47">
        <f ca="1">COUNTIFS(INDIRECT("Table1[Beginn]"),"&lt;="&amp;CP$1,INDIRECT("Table1[Ende]"),"&gt;="&amp;CP$1,INDIRECT("Table1[Obergruppe ATC-Code]"),Tabelle3!$A47)</f>
        <v>0</v>
      </c>
      <c r="CQ47">
        <f ca="1">COUNTIFS(INDIRECT("Table1[Beginn]"),"&lt;="&amp;CQ$1,INDIRECT("Table1[Ende]"),"&gt;="&amp;CQ$1,INDIRECT("Table1[Obergruppe ATC-Code]"),Tabelle3!$A47)</f>
        <v>0</v>
      </c>
      <c r="CR47">
        <f ca="1">COUNTIFS(INDIRECT("Table1[Beginn]"),"&lt;="&amp;CR$1,INDIRECT("Table1[Ende]"),"&gt;="&amp;CR$1,INDIRECT("Table1[Obergruppe ATC-Code]"),Tabelle3!$A47)</f>
        <v>0</v>
      </c>
      <c r="CS47">
        <f ca="1">COUNTIFS(INDIRECT("Table1[Beginn]"),"&lt;="&amp;CS$1,INDIRECT("Table1[Ende]"),"&gt;="&amp;CS$1,INDIRECT("Table1[Obergruppe ATC-Code]"),Tabelle3!$A47)</f>
        <v>0</v>
      </c>
      <c r="CT47">
        <f ca="1">COUNTIFS(INDIRECT("Table1[Beginn]"),"&lt;="&amp;CT$1,INDIRECT("Table1[Ende]"),"&gt;="&amp;CT$1,INDIRECT("Table1[Obergruppe ATC-Code]"),Tabelle3!$A47)</f>
        <v>0</v>
      </c>
      <c r="CU47" s="56"/>
      <c r="CV47" s="56"/>
      <c r="CW47" s="56"/>
      <c r="CX47" s="56"/>
      <c r="CY47" s="56"/>
      <c r="CZ47" s="56"/>
      <c r="DA47" s="56"/>
      <c r="DB47" s="56"/>
      <c r="DC47" s="56"/>
      <c r="DD47" s="56"/>
      <c r="DE47" s="56"/>
      <c r="DF47" s="56"/>
      <c r="DG47" s="56"/>
      <c r="DH47" s="56"/>
    </row>
    <row r="48" spans="1:112" ht="18" customHeight="1">
      <c r="A48" s="7" t="s">
        <v>6865</v>
      </c>
      <c r="B48" s="8" t="s">
        <v>6866</v>
      </c>
      <c r="C48">
        <f ca="1">COUNTIFS(INDIRECT("Table1[Beginn]"),"&lt;="&amp;C$1,INDIRECT("Table1[Ende]"),"&gt;="&amp;C$1,INDIRECT("Table1[Obergruppe ATC-Code]"),Tabelle3!$A48)</f>
        <v>0</v>
      </c>
      <c r="D48">
        <f ca="1">COUNTIFS(INDIRECT("Table1[Beginn]"),"&lt;="&amp;D$1,INDIRECT("Table1[Ende]"),"&gt;="&amp;D$1,INDIRECT("Table1[Obergruppe ATC-Code]"),Tabelle3!$A48)</f>
        <v>0</v>
      </c>
      <c r="E48">
        <f ca="1">COUNTIFS(INDIRECT("Table1[Beginn]"),"&lt;="&amp;E$1,INDIRECT("Table1[Ende]"),"&gt;="&amp;E$1,INDIRECT("Table1[Obergruppe ATC-Code]"),Tabelle3!$A48)</f>
        <v>0</v>
      </c>
      <c r="F48">
        <f ca="1">COUNTIFS(INDIRECT("Table1[Beginn]"),"&lt;="&amp;F$1,INDIRECT("Table1[Ende]"),"&gt;="&amp;F$1,INDIRECT("Table1[Obergruppe ATC-Code]"),Tabelle3!$A48)</f>
        <v>0</v>
      </c>
      <c r="G48">
        <f ca="1">COUNTIFS(INDIRECT("Table1[Beginn]"),"&lt;="&amp;G$1,INDIRECT("Table1[Ende]"),"&gt;="&amp;G$1,INDIRECT("Table1[Obergruppe ATC-Code]"),Tabelle3!$A48)</f>
        <v>0</v>
      </c>
      <c r="H48">
        <f ca="1">COUNTIFS(INDIRECT("Table1[Beginn]"),"&lt;="&amp;H$1,INDIRECT("Table1[Ende]"),"&gt;="&amp;H$1,INDIRECT("Table1[Obergruppe ATC-Code]"),Tabelle3!$A48)</f>
        <v>0</v>
      </c>
      <c r="I48">
        <f ca="1">COUNTIFS(INDIRECT("Table1[Beginn]"),"&lt;="&amp;I$1,INDIRECT("Table1[Ende]"),"&gt;="&amp;I$1,INDIRECT("Table1[Obergruppe ATC-Code]"),Tabelle3!$A48)</f>
        <v>0</v>
      </c>
      <c r="J48">
        <f ca="1">COUNTIFS(INDIRECT("Table1[Beginn]"),"&lt;="&amp;J$1,INDIRECT("Table1[Ende]"),"&gt;="&amp;J$1,INDIRECT("Table1[Obergruppe ATC-Code]"),Tabelle3!$A48)</f>
        <v>0</v>
      </c>
      <c r="K48">
        <f ca="1">COUNTIFS(INDIRECT("Table1[Beginn]"),"&lt;="&amp;K$1,INDIRECT("Table1[Ende]"),"&gt;="&amp;K$1,INDIRECT("Table1[Obergruppe ATC-Code]"),Tabelle3!$A48)</f>
        <v>1</v>
      </c>
      <c r="L48">
        <f ca="1">COUNTIFS(INDIRECT("Table1[Beginn]"),"&lt;="&amp;L$1,INDIRECT("Table1[Ende]"),"&gt;="&amp;L$1,INDIRECT("Table1[Obergruppe ATC-Code]"),Tabelle3!$A48)</f>
        <v>1</v>
      </c>
      <c r="M48">
        <f ca="1">COUNTIFS(INDIRECT("Table1[Beginn]"),"&lt;="&amp;M$1,INDIRECT("Table1[Ende]"),"&gt;="&amp;M$1,INDIRECT("Table1[Obergruppe ATC-Code]"),Tabelle3!$A48)</f>
        <v>2</v>
      </c>
      <c r="N48">
        <f ca="1">COUNTIFS(INDIRECT("Table1[Beginn]"),"&lt;="&amp;N$1,INDIRECT("Table1[Ende]"),"&gt;="&amp;N$1,INDIRECT("Table1[Obergruppe ATC-Code]"),Tabelle3!$A48)</f>
        <v>2</v>
      </c>
      <c r="O48">
        <f ca="1">COUNTIFS(INDIRECT("Table1[Beginn]"),"&lt;="&amp;O$1,INDIRECT("Table1[Ende]"),"&gt;="&amp;O$1,INDIRECT("Table1[Obergruppe ATC-Code]"),Tabelle3!$A48)</f>
        <v>2</v>
      </c>
      <c r="P48">
        <f ca="1">COUNTIFS(INDIRECT("Table1[Beginn]"),"&lt;="&amp;P$1,INDIRECT("Table1[Ende]"),"&gt;="&amp;P$1,INDIRECT("Table1[Obergruppe ATC-Code]"),Tabelle3!$A48)</f>
        <v>1</v>
      </c>
      <c r="Q48">
        <f ca="1">COUNTIFS(INDIRECT("Table1[Beginn]"),"&lt;="&amp;Q$1,INDIRECT("Table1[Ende]"),"&gt;="&amp;Q$1,INDIRECT("Table1[Obergruppe ATC-Code]"),Tabelle3!$A48)</f>
        <v>0</v>
      </c>
      <c r="R48">
        <f ca="1">COUNTIFS(INDIRECT("Table1[Beginn]"),"&lt;="&amp;R$1,INDIRECT("Table1[Ende]"),"&gt;="&amp;R$1,INDIRECT("Table1[Obergruppe ATC-Code]"),Tabelle3!$A48)</f>
        <v>0</v>
      </c>
      <c r="S48">
        <f ca="1">COUNTIFS(INDIRECT("Table1[Beginn]"),"&lt;="&amp;S$1,INDIRECT("Table1[Ende]"),"&gt;="&amp;S$1,INDIRECT("Table1[Obergruppe ATC-Code]"),Tabelle3!$A48)</f>
        <v>0</v>
      </c>
      <c r="T48">
        <f ca="1">COUNTIFS(INDIRECT("Table1[Beginn]"),"&lt;="&amp;T$1,INDIRECT("Table1[Ende]"),"&gt;="&amp;T$1,INDIRECT("Table1[Obergruppe ATC-Code]"),Tabelle3!$A48)</f>
        <v>0</v>
      </c>
      <c r="U48">
        <f ca="1">COUNTIFS(INDIRECT("Table1[Beginn]"),"&lt;="&amp;U$1,INDIRECT("Table1[Ende]"),"&gt;="&amp;U$1,INDIRECT("Table1[Obergruppe ATC-Code]"),Tabelle3!$A48)</f>
        <v>0</v>
      </c>
      <c r="V48">
        <f ca="1">COUNTIFS(INDIRECT("Table1[Beginn]"),"&lt;="&amp;V$1,INDIRECT("Table1[Ende]"),"&gt;="&amp;V$1,INDIRECT("Table1[Obergruppe ATC-Code]"),Tabelle3!$A48)</f>
        <v>0</v>
      </c>
      <c r="W48">
        <f ca="1">COUNTIFS(INDIRECT("Table1[Beginn]"),"&lt;="&amp;W$1,INDIRECT("Table1[Ende]"),"&gt;="&amp;W$1,INDIRECT("Table1[Obergruppe ATC-Code]"),Tabelle3!$A48)</f>
        <v>0</v>
      </c>
      <c r="X48">
        <f ca="1">COUNTIFS(INDIRECT("Table1[Beginn]"),"&lt;="&amp;X$1,INDIRECT("Table1[Ende]"),"&gt;="&amp;X$1,INDIRECT("Table1[Obergruppe ATC-Code]"),Tabelle3!$A48)</f>
        <v>0</v>
      </c>
      <c r="Y48">
        <f ca="1">COUNTIFS(INDIRECT("Table1[Beginn]"),"&lt;="&amp;Y$1,INDIRECT("Table1[Ende]"),"&gt;="&amp;Y$1,INDIRECT("Table1[Obergruppe ATC-Code]"),Tabelle3!$A48)</f>
        <v>0</v>
      </c>
      <c r="Z48">
        <f ca="1">COUNTIFS(INDIRECT("Table1[Beginn]"),"&lt;="&amp;Z$1,INDIRECT("Table1[Ende]"),"&gt;="&amp;Z$1,INDIRECT("Table1[Obergruppe ATC-Code]"),Tabelle3!$A48)</f>
        <v>0</v>
      </c>
      <c r="AA48">
        <f ca="1">COUNTIFS(INDIRECT("Table1[Beginn]"),"&lt;="&amp;AA$1,INDIRECT("Table1[Ende]"),"&gt;="&amp;AA$1,INDIRECT("Table1[Obergruppe ATC-Code]"),Tabelle3!$A48)</f>
        <v>1</v>
      </c>
      <c r="AB48">
        <f ca="1">COUNTIFS(INDIRECT("Table1[Beginn]"),"&lt;="&amp;AB$1,INDIRECT("Table1[Ende]"),"&gt;="&amp;AB$1,INDIRECT("Table1[Obergruppe ATC-Code]"),Tabelle3!$A48)</f>
        <v>5</v>
      </c>
      <c r="AC48">
        <f ca="1">COUNTIFS(INDIRECT("Table1[Beginn]"),"&lt;="&amp;AC$1,INDIRECT("Table1[Ende]"),"&gt;="&amp;AC$1,INDIRECT("Table1[Obergruppe ATC-Code]"),Tabelle3!$A48)</f>
        <v>5</v>
      </c>
      <c r="AD48">
        <f ca="1">COUNTIFS(INDIRECT("Table1[Beginn]"),"&lt;="&amp;AD$1,INDIRECT("Table1[Ende]"),"&gt;="&amp;AD$1,INDIRECT("Table1[Obergruppe ATC-Code]"),Tabelle3!$A48)</f>
        <v>5</v>
      </c>
      <c r="AE48">
        <f ca="1">COUNTIFS(INDIRECT("Table1[Beginn]"),"&lt;="&amp;AE$1,INDIRECT("Table1[Ende]"),"&gt;="&amp;AE$1,INDIRECT("Table1[Obergruppe ATC-Code]"),Tabelle3!$A48)</f>
        <v>3</v>
      </c>
      <c r="AF48">
        <f ca="1">COUNTIFS(INDIRECT("Table1[Beginn]"),"&lt;="&amp;AF$1,INDIRECT("Table1[Ende]"),"&gt;="&amp;AF$1,INDIRECT("Table1[Obergruppe ATC-Code]"),Tabelle3!$A48)</f>
        <v>0</v>
      </c>
      <c r="AG48">
        <f ca="1">COUNTIFS(INDIRECT("Table1[Beginn]"),"&lt;="&amp;AG$1,INDIRECT("Table1[Ende]"),"&gt;="&amp;AG$1,INDIRECT("Table1[Obergruppe ATC-Code]"),Tabelle3!$A48)</f>
        <v>2</v>
      </c>
      <c r="AH48">
        <f ca="1">COUNTIFS(INDIRECT("Table1[Beginn]"),"&lt;="&amp;AH$1,INDIRECT("Table1[Ende]"),"&gt;="&amp;AH$1,INDIRECT("Table1[Obergruppe ATC-Code]"),Tabelle3!$A48)</f>
        <v>2</v>
      </c>
      <c r="AI48">
        <f ca="1">COUNTIFS(INDIRECT("Table1[Beginn]"),"&lt;="&amp;AI$1,INDIRECT("Table1[Ende]"),"&gt;="&amp;AI$1,INDIRECT("Table1[Obergruppe ATC-Code]"),Tabelle3!$A48)</f>
        <v>2</v>
      </c>
      <c r="AJ48">
        <f ca="1">COUNTIFS(INDIRECT("Table1[Beginn]"),"&lt;="&amp;AJ$1,INDIRECT("Table1[Ende]"),"&gt;="&amp;AJ$1,INDIRECT("Table1[Obergruppe ATC-Code]"),Tabelle3!$A48)</f>
        <v>1</v>
      </c>
      <c r="AK48">
        <f ca="1">COUNTIFS(INDIRECT("Table1[Beginn]"),"&lt;="&amp;AK$1,INDIRECT("Table1[Ende]"),"&gt;="&amp;AK$1,INDIRECT("Table1[Obergruppe ATC-Code]"),Tabelle3!$A48)</f>
        <v>1</v>
      </c>
      <c r="AL48">
        <f ca="1">COUNTIFS(INDIRECT("Table1[Beginn]"),"&lt;="&amp;AL$1,INDIRECT("Table1[Ende]"),"&gt;="&amp;AL$1,INDIRECT("Table1[Obergruppe ATC-Code]"),Tabelle3!$A48)</f>
        <v>1</v>
      </c>
      <c r="AM48">
        <f ca="1">COUNTIFS(INDIRECT("Table1[Beginn]"),"&lt;="&amp;AM$1,INDIRECT("Table1[Ende]"),"&gt;="&amp;AM$1,INDIRECT("Table1[Obergruppe ATC-Code]"),Tabelle3!$A48)</f>
        <v>0</v>
      </c>
      <c r="AN48">
        <f ca="1">COUNTIFS(INDIRECT("Table1[Beginn]"),"&lt;="&amp;AN$1,INDIRECT("Table1[Ende]"),"&gt;="&amp;AN$1,INDIRECT("Table1[Obergruppe ATC-Code]"),Tabelle3!$A48)</f>
        <v>0</v>
      </c>
      <c r="AO48">
        <f ca="1">COUNTIFS(INDIRECT("Table1[Beginn]"),"&lt;="&amp;AO$1,INDIRECT("Table1[Ende]"),"&gt;="&amp;AO$1,INDIRECT("Table1[Obergruppe ATC-Code]"),Tabelle3!$A48)</f>
        <v>0</v>
      </c>
      <c r="AP48">
        <f ca="1">COUNTIFS(INDIRECT("Table1[Beginn]"),"&lt;="&amp;AP$1,INDIRECT("Table1[Ende]"),"&gt;="&amp;AP$1,INDIRECT("Table1[Obergruppe ATC-Code]"),Tabelle3!$A48)</f>
        <v>0</v>
      </c>
      <c r="AQ48">
        <f ca="1">COUNTIFS(INDIRECT("Table1[Beginn]"),"&lt;="&amp;AQ$1,INDIRECT("Table1[Ende]"),"&gt;="&amp;AQ$1,INDIRECT("Table1[Obergruppe ATC-Code]"),Tabelle3!$A48)</f>
        <v>0</v>
      </c>
      <c r="AR48">
        <f ca="1">COUNTIFS(INDIRECT("Table1[Beginn]"),"&lt;="&amp;AR$1,INDIRECT("Table1[Ende]"),"&gt;="&amp;AR$1,INDIRECT("Table1[Obergruppe ATC-Code]"),Tabelle3!$A48)</f>
        <v>0</v>
      </c>
      <c r="AS48">
        <f ca="1">COUNTIFS(INDIRECT("Table1[Beginn]"),"&lt;="&amp;AS$1,INDIRECT("Table1[Ende]"),"&gt;="&amp;AS$1,INDIRECT("Table1[Obergruppe ATC-Code]"),Tabelle3!$A48)</f>
        <v>2</v>
      </c>
      <c r="AT48">
        <f ca="1">COUNTIFS(INDIRECT("Table1[Beginn]"),"&lt;="&amp;AT$1,INDIRECT("Table1[Ende]"),"&gt;="&amp;AT$1,INDIRECT("Table1[Obergruppe ATC-Code]"),Tabelle3!$A48)</f>
        <v>2</v>
      </c>
      <c r="AU48">
        <f ca="1">COUNTIFS(INDIRECT("Table1[Beginn]"),"&lt;="&amp;AU$1,INDIRECT("Table1[Ende]"),"&gt;="&amp;AU$1,INDIRECT("Table1[Obergruppe ATC-Code]"),Tabelle3!$A48)</f>
        <v>2</v>
      </c>
      <c r="AV48">
        <f ca="1">COUNTIFS(INDIRECT("Table1[Beginn]"),"&lt;="&amp;AV$1,INDIRECT("Table1[Ende]"),"&gt;="&amp;AV$1,INDIRECT("Table1[Obergruppe ATC-Code]"),Tabelle3!$A48)</f>
        <v>2</v>
      </c>
      <c r="AW48">
        <f ca="1">COUNTIFS(INDIRECT("Table1[Beginn]"),"&lt;="&amp;AW$1,INDIRECT("Table1[Ende]"),"&gt;="&amp;AW$1,INDIRECT("Table1[Obergruppe ATC-Code]"),Tabelle3!$A48)</f>
        <v>3</v>
      </c>
      <c r="AX48">
        <f ca="1">COUNTIFS(INDIRECT("Table1[Beginn]"),"&lt;="&amp;AX$1,INDIRECT("Table1[Ende]"),"&gt;="&amp;AX$1,INDIRECT("Table1[Obergruppe ATC-Code]"),Tabelle3!$A48)</f>
        <v>3</v>
      </c>
      <c r="AY48">
        <f ca="1">COUNTIFS(INDIRECT("Table1[Beginn]"),"&lt;="&amp;AY$1,INDIRECT("Table1[Ende]"),"&gt;="&amp;AY$1,INDIRECT("Table1[Obergruppe ATC-Code]"),Tabelle3!$A48)</f>
        <v>4</v>
      </c>
      <c r="AZ48">
        <f ca="1">COUNTIFS(INDIRECT("Table1[Beginn]"),"&lt;="&amp;AZ$1,INDIRECT("Table1[Ende]"),"&gt;="&amp;AZ$1,INDIRECT("Table1[Obergruppe ATC-Code]"),Tabelle3!$A48)</f>
        <v>4</v>
      </c>
      <c r="BA48">
        <f ca="1">COUNTIFS(INDIRECT("Table1[Beginn]"),"&lt;="&amp;BA$1,INDIRECT("Table1[Ende]"),"&gt;="&amp;BA$1,INDIRECT("Table1[Obergruppe ATC-Code]"),Tabelle3!$A48)</f>
        <v>5</v>
      </c>
      <c r="BB48">
        <f ca="1">COUNTIFS(INDIRECT("Table1[Beginn]"),"&lt;="&amp;BB$1,INDIRECT("Table1[Ende]"),"&gt;="&amp;BB$1,INDIRECT("Table1[Obergruppe ATC-Code]"),Tabelle3!$A48)</f>
        <v>5</v>
      </c>
      <c r="BC48">
        <f ca="1">COUNTIFS(INDIRECT("Table1[Beginn]"),"&lt;="&amp;BC$1,INDIRECT("Table1[Ende]"),"&gt;="&amp;BC$1,INDIRECT("Table1[Obergruppe ATC-Code]"),Tabelle3!$A48)</f>
        <v>5</v>
      </c>
      <c r="BD48">
        <f ca="1">COUNTIFS(INDIRECT("Table1[Beginn]"),"&lt;="&amp;BD$1,INDIRECT("Table1[Ende]"),"&gt;="&amp;BD$1,INDIRECT("Table1[Obergruppe ATC-Code]"),Tabelle3!$A48)</f>
        <v>4</v>
      </c>
      <c r="BE48">
        <f ca="1">COUNTIFS(INDIRECT("Table1[Beginn]"),"&lt;="&amp;BE$1,INDIRECT("Table1[Ende]"),"&gt;="&amp;BE$1,INDIRECT("Table1[Obergruppe ATC-Code]"),Tabelle3!$A48)</f>
        <v>4</v>
      </c>
      <c r="BF48">
        <f ca="1">COUNTIFS(INDIRECT("Table1[Beginn]"),"&lt;="&amp;BF$1,INDIRECT("Table1[Ende]"),"&gt;="&amp;BF$1,INDIRECT("Table1[Obergruppe ATC-Code]"),Tabelle3!$A48)</f>
        <v>4</v>
      </c>
      <c r="BG48">
        <f ca="1">COUNTIFS(INDIRECT("Table1[Beginn]"),"&lt;="&amp;BG$1,INDIRECT("Table1[Ende]"),"&gt;="&amp;BG$1,INDIRECT("Table1[Obergruppe ATC-Code]"),Tabelle3!$A48)</f>
        <v>3</v>
      </c>
      <c r="BH48">
        <f ca="1">COUNTIFS(INDIRECT("Table1[Beginn]"),"&lt;="&amp;BH$1,INDIRECT("Table1[Ende]"),"&gt;="&amp;BH$1,INDIRECT("Table1[Obergruppe ATC-Code]"),Tabelle3!$A48)</f>
        <v>4</v>
      </c>
      <c r="BI48">
        <f ca="1">COUNTIFS(INDIRECT("Table1[Beginn]"),"&lt;="&amp;BI$1,INDIRECT("Table1[Ende]"),"&gt;="&amp;BI$1,INDIRECT("Table1[Obergruppe ATC-Code]"),Tabelle3!$A48)</f>
        <v>4</v>
      </c>
      <c r="BJ48">
        <f ca="1">COUNTIFS(INDIRECT("Table1[Beginn]"),"&lt;="&amp;BJ$1,INDIRECT("Table1[Ende]"),"&gt;="&amp;BJ$1,INDIRECT("Table1[Obergruppe ATC-Code]"),Tabelle3!$A48)</f>
        <v>4</v>
      </c>
      <c r="BK48">
        <f ca="1">COUNTIFS(INDIRECT("Table1[Beginn]"),"&lt;="&amp;BK$1,INDIRECT("Table1[Ende]"),"&gt;="&amp;BK$1,INDIRECT("Table1[Obergruppe ATC-Code]"),Tabelle3!$A48)</f>
        <v>4</v>
      </c>
      <c r="BL48">
        <f ca="1">COUNTIFS(INDIRECT("Table1[Beginn]"),"&lt;="&amp;BL$1,INDIRECT("Table1[Ende]"),"&gt;="&amp;BL$1,INDIRECT("Table1[Obergruppe ATC-Code]"),Tabelle3!$A48)</f>
        <v>4</v>
      </c>
      <c r="BM48">
        <f ca="1">COUNTIFS(INDIRECT("Table1[Beginn]"),"&lt;="&amp;BM$1,INDIRECT("Table1[Ende]"),"&gt;="&amp;BM$1,INDIRECT("Table1[Obergruppe ATC-Code]"),Tabelle3!$A48)</f>
        <v>4</v>
      </c>
      <c r="BN48">
        <f ca="1">COUNTIFS(INDIRECT("Table1[Beginn]"),"&lt;="&amp;BN$1,INDIRECT("Table1[Ende]"),"&gt;="&amp;BN$1,INDIRECT("Table1[Obergruppe ATC-Code]"),Tabelle3!$A48)</f>
        <v>3</v>
      </c>
      <c r="BO48">
        <f ca="1">COUNTIFS(INDIRECT("Table1[Beginn]"),"&lt;="&amp;BO$1,INDIRECT("Table1[Ende]"),"&gt;="&amp;BO$1,INDIRECT("Table1[Obergruppe ATC-Code]"),Tabelle3!$A48)</f>
        <v>3</v>
      </c>
      <c r="BP48">
        <f ca="1">COUNTIFS(INDIRECT("Table1[Beginn]"),"&lt;="&amp;BP$1,INDIRECT("Table1[Ende]"),"&gt;="&amp;BP$1,INDIRECT("Table1[Obergruppe ATC-Code]"),Tabelle3!$A48)</f>
        <v>3</v>
      </c>
      <c r="BQ48">
        <f ca="1">COUNTIFS(INDIRECT("Table1[Beginn]"),"&lt;="&amp;BQ$1,INDIRECT("Table1[Ende]"),"&gt;="&amp;BQ$1,INDIRECT("Table1[Obergruppe ATC-Code]"),Tabelle3!$A48)</f>
        <v>2</v>
      </c>
      <c r="BR48">
        <f ca="1">COUNTIFS(INDIRECT("Table1[Beginn]"),"&lt;="&amp;BR$1,INDIRECT("Table1[Ende]"),"&gt;="&amp;BR$1,INDIRECT("Table1[Obergruppe ATC-Code]"),Tabelle3!$A48)</f>
        <v>2</v>
      </c>
      <c r="BS48">
        <f ca="1">COUNTIFS(INDIRECT("Table1[Beginn]"),"&lt;="&amp;BS$1,INDIRECT("Table1[Ende]"),"&gt;="&amp;BS$1,INDIRECT("Table1[Obergruppe ATC-Code]"),Tabelle3!$A48)</f>
        <v>2</v>
      </c>
      <c r="BT48">
        <f ca="1">COUNTIFS(INDIRECT("Table1[Beginn]"),"&lt;="&amp;BT$1,INDIRECT("Table1[Ende]"),"&gt;="&amp;BT$1,INDIRECT("Table1[Obergruppe ATC-Code]"),Tabelle3!$A48)</f>
        <v>2</v>
      </c>
      <c r="BU48">
        <f ca="1">COUNTIFS(INDIRECT("Table1[Beginn]"),"&lt;="&amp;BU$1,INDIRECT("Table1[Ende]"),"&gt;="&amp;BU$1,INDIRECT("Table1[Obergruppe ATC-Code]"),Tabelle3!$A48)</f>
        <v>2</v>
      </c>
      <c r="BV48">
        <f ca="1">COUNTIFS(INDIRECT("Table1[Beginn]"),"&lt;="&amp;BV$1,INDIRECT("Table1[Ende]"),"&gt;="&amp;BV$1,INDIRECT("Table1[Obergruppe ATC-Code]"),Tabelle3!$A48)</f>
        <v>2</v>
      </c>
      <c r="BW48">
        <f ca="1">COUNTIFS(INDIRECT("Table1[Beginn]"),"&lt;="&amp;BW$1,INDIRECT("Table1[Ende]"),"&gt;="&amp;BW$1,INDIRECT("Table1[Obergruppe ATC-Code]"),Tabelle3!$A48)</f>
        <v>4</v>
      </c>
      <c r="BX48">
        <f ca="1">COUNTIFS(INDIRECT("Table1[Beginn]"),"&lt;="&amp;BX$1,INDIRECT("Table1[Ende]"),"&gt;="&amp;BX$1,INDIRECT("Table1[Obergruppe ATC-Code]"),Tabelle3!$A48)</f>
        <v>5</v>
      </c>
      <c r="BY48">
        <f ca="1">COUNTIFS(INDIRECT("Table1[Beginn]"),"&lt;="&amp;BY$1,INDIRECT("Table1[Ende]"),"&gt;="&amp;BY$1,INDIRECT("Table1[Obergruppe ATC-Code]"),Tabelle3!$A48)</f>
        <v>8</v>
      </c>
      <c r="BZ48">
        <f ca="1">COUNTIFS(INDIRECT("Table1[Beginn]"),"&lt;="&amp;BZ$1,INDIRECT("Table1[Ende]"),"&gt;="&amp;BZ$1,INDIRECT("Table1[Obergruppe ATC-Code]"),Tabelle3!$A48)</f>
        <v>11</v>
      </c>
      <c r="CA48">
        <f ca="1">COUNTIFS(INDIRECT("Table1[Beginn]"),"&lt;="&amp;CA$1,INDIRECT("Table1[Ende]"),"&gt;="&amp;CA$1,INDIRECT("Table1[Obergruppe ATC-Code]"),Tabelle3!$A48)</f>
        <v>10</v>
      </c>
      <c r="CB48">
        <f ca="1">COUNTIFS(INDIRECT("Table1[Beginn]"),"&lt;="&amp;CB$1,INDIRECT("Table1[Ende]"),"&gt;="&amp;CB$1,INDIRECT("Table1[Obergruppe ATC-Code]"),Tabelle3!$A48)</f>
        <v>9</v>
      </c>
      <c r="CC48">
        <f ca="1">COUNTIFS(INDIRECT("Table1[Beginn]"),"&lt;="&amp;CC$1,INDIRECT("Table1[Ende]"),"&gt;="&amp;CC$1,INDIRECT("Table1[Obergruppe ATC-Code]"),Tabelle3!$A48)</f>
        <v>8</v>
      </c>
      <c r="CD48">
        <f ca="1">COUNTIFS(INDIRECT("Table1[Beginn]"),"&lt;="&amp;CD$1,INDIRECT("Table1[Ende]"),"&gt;="&amp;CD$1,INDIRECT("Table1[Obergruppe ATC-Code]"),Tabelle3!$A48)</f>
        <v>8</v>
      </c>
      <c r="CE48">
        <f ca="1">COUNTIFS(INDIRECT("Table1[Beginn]"),"&lt;="&amp;CE$1,INDIRECT("Table1[Ende]"),"&gt;="&amp;CE$1,INDIRECT("Table1[Obergruppe ATC-Code]"),Tabelle3!$A48)</f>
        <v>10</v>
      </c>
      <c r="CF48">
        <f ca="1">COUNTIFS(INDIRECT("Table1[Beginn]"),"&lt;="&amp;CF$1,INDIRECT("Table1[Ende]"),"&gt;="&amp;CF$1,INDIRECT("Table1[Obergruppe ATC-Code]"),Tabelle3!$A48)</f>
        <v>10</v>
      </c>
      <c r="CG48">
        <f ca="1">COUNTIFS(INDIRECT("Table1[Beginn]"),"&lt;="&amp;CG$1,INDIRECT("Table1[Ende]"),"&gt;="&amp;CG$1,INDIRECT("Table1[Obergruppe ATC-Code]"),Tabelle3!$A48)</f>
        <v>7</v>
      </c>
      <c r="CH48">
        <f ca="1">COUNTIFS(INDIRECT("Table1[Beginn]"),"&lt;="&amp;CH$1,INDIRECT("Table1[Ende]"),"&gt;="&amp;CH$1,INDIRECT("Table1[Obergruppe ATC-Code]"),Tabelle3!$A48)</f>
        <v>4</v>
      </c>
      <c r="CI48">
        <f ca="1">COUNTIFS(INDIRECT("Table1[Beginn]"),"&lt;="&amp;CI$1,INDIRECT("Table1[Ende]"),"&gt;="&amp;CI$1,INDIRECT("Table1[Obergruppe ATC-Code]"),Tabelle3!$A48)</f>
        <v>4</v>
      </c>
      <c r="CJ48">
        <f ca="1">COUNTIFS(INDIRECT("Table1[Beginn]"),"&lt;="&amp;CJ$1,INDIRECT("Table1[Ende]"),"&gt;="&amp;CJ$1,INDIRECT("Table1[Obergruppe ATC-Code]"),Tabelle3!$A48)</f>
        <v>3</v>
      </c>
      <c r="CK48">
        <f ca="1">COUNTIFS(INDIRECT("Table1[Beginn]"),"&lt;="&amp;CK$1,INDIRECT("Table1[Ende]"),"&gt;="&amp;CK$1,INDIRECT("Table1[Obergruppe ATC-Code]"),Tabelle3!$A48)</f>
        <v>3</v>
      </c>
      <c r="CL48">
        <f ca="1">COUNTIFS(INDIRECT("Table1[Beginn]"),"&lt;="&amp;CL$1,INDIRECT("Table1[Ende]"),"&gt;="&amp;CL$1,INDIRECT("Table1[Obergruppe ATC-Code]"),Tabelle3!$A48)</f>
        <v>3</v>
      </c>
      <c r="CM48">
        <f ca="1">COUNTIFS(INDIRECT("Table1[Beginn]"),"&lt;="&amp;CM$1,INDIRECT("Table1[Ende]"),"&gt;="&amp;CM$1,INDIRECT("Table1[Obergruppe ATC-Code]"),Tabelle3!$A48)</f>
        <v>0</v>
      </c>
      <c r="CN48">
        <f ca="1">COUNTIFS(INDIRECT("Table1[Beginn]"),"&lt;="&amp;CN$1,INDIRECT("Table1[Ende]"),"&gt;="&amp;CN$1,INDIRECT("Table1[Obergruppe ATC-Code]"),Tabelle3!$A48)</f>
        <v>0</v>
      </c>
      <c r="CO48">
        <f ca="1">COUNTIFS(INDIRECT("Table1[Beginn]"),"&lt;="&amp;CO$1,INDIRECT("Table1[Ende]"),"&gt;="&amp;CO$1,INDIRECT("Table1[Obergruppe ATC-Code]"),Tabelle3!$A48)</f>
        <v>0</v>
      </c>
      <c r="CP48">
        <f ca="1">COUNTIFS(INDIRECT("Table1[Beginn]"),"&lt;="&amp;CP$1,INDIRECT("Table1[Ende]"),"&gt;="&amp;CP$1,INDIRECT("Table1[Obergruppe ATC-Code]"),Tabelle3!$A48)</f>
        <v>0</v>
      </c>
      <c r="CQ48">
        <f ca="1">COUNTIFS(INDIRECT("Table1[Beginn]"),"&lt;="&amp;CQ$1,INDIRECT("Table1[Ende]"),"&gt;="&amp;CQ$1,INDIRECT("Table1[Obergruppe ATC-Code]"),Tabelle3!$A48)</f>
        <v>0</v>
      </c>
      <c r="CR48">
        <f ca="1">COUNTIFS(INDIRECT("Table1[Beginn]"),"&lt;="&amp;CR$1,INDIRECT("Table1[Ende]"),"&gt;="&amp;CR$1,INDIRECT("Table1[Obergruppe ATC-Code]"),Tabelle3!$A48)</f>
        <v>0</v>
      </c>
      <c r="CS48">
        <f ca="1">COUNTIFS(INDIRECT("Table1[Beginn]"),"&lt;="&amp;CS$1,INDIRECT("Table1[Ende]"),"&gt;="&amp;CS$1,INDIRECT("Table1[Obergruppe ATC-Code]"),Tabelle3!$A48)</f>
        <v>0</v>
      </c>
      <c r="CT48">
        <f ca="1">COUNTIFS(INDIRECT("Table1[Beginn]"),"&lt;="&amp;CT$1,INDIRECT("Table1[Ende]"),"&gt;="&amp;CT$1,INDIRECT("Table1[Obergruppe ATC-Code]"),Tabelle3!$A48)</f>
        <v>0</v>
      </c>
      <c r="CU48" s="56"/>
      <c r="CV48" s="56"/>
      <c r="CW48" s="56"/>
      <c r="CX48" s="56"/>
      <c r="CY48" s="56"/>
      <c r="CZ48" s="56"/>
      <c r="DA48" s="56"/>
      <c r="DB48" s="56"/>
      <c r="DC48" s="56"/>
      <c r="DD48" s="56"/>
      <c r="DE48" s="56"/>
      <c r="DF48" s="56"/>
      <c r="DG48" s="56"/>
      <c r="DH48" s="56"/>
    </row>
    <row r="49" spans="1:112" ht="18" customHeight="1">
      <c r="A49" s="9" t="s">
        <v>6867</v>
      </c>
      <c r="B49" s="10" t="s">
        <v>6868</v>
      </c>
      <c r="C49">
        <f ca="1">COUNTIFS(INDIRECT("Table1[Beginn]"),"&lt;="&amp;C$1,INDIRECT("Table1[Ende]"),"&gt;="&amp;C$1,INDIRECT("Table1[Obergruppe ATC-Code]"),Tabelle3!$A49)</f>
        <v>0</v>
      </c>
      <c r="D49">
        <f ca="1">COUNTIFS(INDIRECT("Table1[Beginn]"),"&lt;="&amp;D$1,INDIRECT("Table1[Ende]"),"&gt;="&amp;D$1,INDIRECT("Table1[Obergruppe ATC-Code]"),Tabelle3!$A49)</f>
        <v>0</v>
      </c>
      <c r="E49">
        <f ca="1">COUNTIFS(INDIRECT("Table1[Beginn]"),"&lt;="&amp;E$1,INDIRECT("Table1[Ende]"),"&gt;="&amp;E$1,INDIRECT("Table1[Obergruppe ATC-Code]"),Tabelle3!$A49)</f>
        <v>0</v>
      </c>
      <c r="F49">
        <f ca="1">COUNTIFS(INDIRECT("Table1[Beginn]"),"&lt;="&amp;F$1,INDIRECT("Table1[Ende]"),"&gt;="&amp;F$1,INDIRECT("Table1[Obergruppe ATC-Code]"),Tabelle3!$A49)</f>
        <v>0</v>
      </c>
      <c r="G49">
        <f ca="1">COUNTIFS(INDIRECT("Table1[Beginn]"),"&lt;="&amp;G$1,INDIRECT("Table1[Ende]"),"&gt;="&amp;G$1,INDIRECT("Table1[Obergruppe ATC-Code]"),Tabelle3!$A49)</f>
        <v>0</v>
      </c>
      <c r="H49">
        <f ca="1">COUNTIFS(INDIRECT("Table1[Beginn]"),"&lt;="&amp;H$1,INDIRECT("Table1[Ende]"),"&gt;="&amp;H$1,INDIRECT("Table1[Obergruppe ATC-Code]"),Tabelle3!$A49)</f>
        <v>0</v>
      </c>
      <c r="I49">
        <f ca="1">COUNTIFS(INDIRECT("Table1[Beginn]"),"&lt;="&amp;I$1,INDIRECT("Table1[Ende]"),"&gt;="&amp;I$1,INDIRECT("Table1[Obergruppe ATC-Code]"),Tabelle3!$A49)</f>
        <v>0</v>
      </c>
      <c r="J49">
        <f ca="1">COUNTIFS(INDIRECT("Table1[Beginn]"),"&lt;="&amp;J$1,INDIRECT("Table1[Ende]"),"&gt;="&amp;J$1,INDIRECT("Table1[Obergruppe ATC-Code]"),Tabelle3!$A49)</f>
        <v>0</v>
      </c>
      <c r="K49">
        <f ca="1">COUNTIFS(INDIRECT("Table1[Beginn]"),"&lt;="&amp;K$1,INDIRECT("Table1[Ende]"),"&gt;="&amp;K$1,INDIRECT("Table1[Obergruppe ATC-Code]"),Tabelle3!$A49)</f>
        <v>0</v>
      </c>
      <c r="L49">
        <f ca="1">COUNTIFS(INDIRECT("Table1[Beginn]"),"&lt;="&amp;L$1,INDIRECT("Table1[Ende]"),"&gt;="&amp;L$1,INDIRECT("Table1[Obergruppe ATC-Code]"),Tabelle3!$A49)</f>
        <v>0</v>
      </c>
      <c r="M49">
        <f ca="1">COUNTIFS(INDIRECT("Table1[Beginn]"),"&lt;="&amp;M$1,INDIRECT("Table1[Ende]"),"&gt;="&amp;M$1,INDIRECT("Table1[Obergruppe ATC-Code]"),Tabelle3!$A49)</f>
        <v>0</v>
      </c>
      <c r="N49">
        <f ca="1">COUNTIFS(INDIRECT("Table1[Beginn]"),"&lt;="&amp;N$1,INDIRECT("Table1[Ende]"),"&gt;="&amp;N$1,INDIRECT("Table1[Obergruppe ATC-Code]"),Tabelle3!$A49)</f>
        <v>0</v>
      </c>
      <c r="O49">
        <f ca="1">COUNTIFS(INDIRECT("Table1[Beginn]"),"&lt;="&amp;O$1,INDIRECT("Table1[Ende]"),"&gt;="&amp;O$1,INDIRECT("Table1[Obergruppe ATC-Code]"),Tabelle3!$A49)</f>
        <v>1</v>
      </c>
      <c r="P49">
        <f ca="1">COUNTIFS(INDIRECT("Table1[Beginn]"),"&lt;="&amp;P$1,INDIRECT("Table1[Ende]"),"&gt;="&amp;P$1,INDIRECT("Table1[Obergruppe ATC-Code]"),Tabelle3!$A49)</f>
        <v>1</v>
      </c>
      <c r="Q49">
        <f ca="1">COUNTIFS(INDIRECT("Table1[Beginn]"),"&lt;="&amp;Q$1,INDIRECT("Table1[Ende]"),"&gt;="&amp;Q$1,INDIRECT("Table1[Obergruppe ATC-Code]"),Tabelle3!$A49)</f>
        <v>1</v>
      </c>
      <c r="R49">
        <f ca="1">COUNTIFS(INDIRECT("Table1[Beginn]"),"&lt;="&amp;R$1,INDIRECT("Table1[Ende]"),"&gt;="&amp;R$1,INDIRECT("Table1[Obergruppe ATC-Code]"),Tabelle3!$A49)</f>
        <v>1</v>
      </c>
      <c r="S49">
        <f ca="1">COUNTIFS(INDIRECT("Table1[Beginn]"),"&lt;="&amp;S$1,INDIRECT("Table1[Ende]"),"&gt;="&amp;S$1,INDIRECT("Table1[Obergruppe ATC-Code]"),Tabelle3!$A49)</f>
        <v>4</v>
      </c>
      <c r="T49">
        <f ca="1">COUNTIFS(INDIRECT("Table1[Beginn]"),"&lt;="&amp;T$1,INDIRECT("Table1[Ende]"),"&gt;="&amp;T$1,INDIRECT("Table1[Obergruppe ATC-Code]"),Tabelle3!$A49)</f>
        <v>4</v>
      </c>
      <c r="U49">
        <f ca="1">COUNTIFS(INDIRECT("Table1[Beginn]"),"&lt;="&amp;U$1,INDIRECT("Table1[Ende]"),"&gt;="&amp;U$1,INDIRECT("Table1[Obergruppe ATC-Code]"),Tabelle3!$A49)</f>
        <v>5</v>
      </c>
      <c r="V49">
        <f ca="1">COUNTIFS(INDIRECT("Table1[Beginn]"),"&lt;="&amp;V$1,INDIRECT("Table1[Ende]"),"&gt;="&amp;V$1,INDIRECT("Table1[Obergruppe ATC-Code]"),Tabelle3!$A49)</f>
        <v>5</v>
      </c>
      <c r="W49">
        <f ca="1">COUNTIFS(INDIRECT("Table1[Beginn]"),"&lt;="&amp;W$1,INDIRECT("Table1[Ende]"),"&gt;="&amp;W$1,INDIRECT("Table1[Obergruppe ATC-Code]"),Tabelle3!$A49)</f>
        <v>5</v>
      </c>
      <c r="X49">
        <f ca="1">COUNTIFS(INDIRECT("Table1[Beginn]"),"&lt;="&amp;X$1,INDIRECT("Table1[Ende]"),"&gt;="&amp;X$1,INDIRECT("Table1[Obergruppe ATC-Code]"),Tabelle3!$A49)</f>
        <v>4</v>
      </c>
      <c r="Y49">
        <f ca="1">COUNTIFS(INDIRECT("Table1[Beginn]"),"&lt;="&amp;Y$1,INDIRECT("Table1[Ende]"),"&gt;="&amp;Y$1,INDIRECT("Table1[Obergruppe ATC-Code]"),Tabelle3!$A49)</f>
        <v>4</v>
      </c>
      <c r="Z49">
        <f ca="1">COUNTIFS(INDIRECT("Table1[Beginn]"),"&lt;="&amp;Z$1,INDIRECT("Table1[Ende]"),"&gt;="&amp;Z$1,INDIRECT("Table1[Obergruppe ATC-Code]"),Tabelle3!$A49)</f>
        <v>1</v>
      </c>
      <c r="AA49">
        <f ca="1">COUNTIFS(INDIRECT("Table1[Beginn]"),"&lt;="&amp;AA$1,INDIRECT("Table1[Ende]"),"&gt;="&amp;AA$1,INDIRECT("Table1[Obergruppe ATC-Code]"),Tabelle3!$A49)</f>
        <v>1</v>
      </c>
      <c r="AB49">
        <f ca="1">COUNTIFS(INDIRECT("Table1[Beginn]"),"&lt;="&amp;AB$1,INDIRECT("Table1[Ende]"),"&gt;="&amp;AB$1,INDIRECT("Table1[Obergruppe ATC-Code]"),Tabelle3!$A49)</f>
        <v>0</v>
      </c>
      <c r="AC49">
        <f ca="1">COUNTIFS(INDIRECT("Table1[Beginn]"),"&lt;="&amp;AC$1,INDIRECT("Table1[Ende]"),"&gt;="&amp;AC$1,INDIRECT("Table1[Obergruppe ATC-Code]"),Tabelle3!$A49)</f>
        <v>0</v>
      </c>
      <c r="AD49">
        <f ca="1">COUNTIFS(INDIRECT("Table1[Beginn]"),"&lt;="&amp;AD$1,INDIRECT("Table1[Ende]"),"&gt;="&amp;AD$1,INDIRECT("Table1[Obergruppe ATC-Code]"),Tabelle3!$A49)</f>
        <v>0</v>
      </c>
      <c r="AE49">
        <f ca="1">COUNTIFS(INDIRECT("Table1[Beginn]"),"&lt;="&amp;AE$1,INDIRECT("Table1[Ende]"),"&gt;="&amp;AE$1,INDIRECT("Table1[Obergruppe ATC-Code]"),Tabelle3!$A49)</f>
        <v>3</v>
      </c>
      <c r="AF49">
        <f ca="1">COUNTIFS(INDIRECT("Table1[Beginn]"),"&lt;="&amp;AF$1,INDIRECT("Table1[Ende]"),"&gt;="&amp;AF$1,INDIRECT("Table1[Obergruppe ATC-Code]"),Tabelle3!$A49)</f>
        <v>3</v>
      </c>
      <c r="AG49">
        <f ca="1">COUNTIFS(INDIRECT("Table1[Beginn]"),"&lt;="&amp;AG$1,INDIRECT("Table1[Ende]"),"&gt;="&amp;AG$1,INDIRECT("Table1[Obergruppe ATC-Code]"),Tabelle3!$A49)</f>
        <v>8</v>
      </c>
      <c r="AH49">
        <f ca="1">COUNTIFS(INDIRECT("Table1[Beginn]"),"&lt;="&amp;AH$1,INDIRECT("Table1[Ende]"),"&gt;="&amp;AH$1,INDIRECT("Table1[Obergruppe ATC-Code]"),Tabelle3!$A49)</f>
        <v>8</v>
      </c>
      <c r="AI49">
        <f ca="1">COUNTIFS(INDIRECT("Table1[Beginn]"),"&lt;="&amp;AI$1,INDIRECT("Table1[Ende]"),"&gt;="&amp;AI$1,INDIRECT("Table1[Obergruppe ATC-Code]"),Tabelle3!$A49)</f>
        <v>10</v>
      </c>
      <c r="AJ49">
        <f ca="1">COUNTIFS(INDIRECT("Table1[Beginn]"),"&lt;="&amp;AJ$1,INDIRECT("Table1[Ende]"),"&gt;="&amp;AJ$1,INDIRECT("Table1[Obergruppe ATC-Code]"),Tabelle3!$A49)</f>
        <v>10</v>
      </c>
      <c r="AK49">
        <f ca="1">COUNTIFS(INDIRECT("Table1[Beginn]"),"&lt;="&amp;AK$1,INDIRECT("Table1[Ende]"),"&gt;="&amp;AK$1,INDIRECT("Table1[Obergruppe ATC-Code]"),Tabelle3!$A49)</f>
        <v>10</v>
      </c>
      <c r="AL49">
        <f ca="1">COUNTIFS(INDIRECT("Table1[Beginn]"),"&lt;="&amp;AL$1,INDIRECT("Table1[Ende]"),"&gt;="&amp;AL$1,INDIRECT("Table1[Obergruppe ATC-Code]"),Tabelle3!$A49)</f>
        <v>10</v>
      </c>
      <c r="AM49">
        <f ca="1">COUNTIFS(INDIRECT("Table1[Beginn]"),"&lt;="&amp;AM$1,INDIRECT("Table1[Ende]"),"&gt;="&amp;AM$1,INDIRECT("Table1[Obergruppe ATC-Code]"),Tabelle3!$A49)</f>
        <v>8</v>
      </c>
      <c r="AN49">
        <f ca="1">COUNTIFS(INDIRECT("Table1[Beginn]"),"&lt;="&amp;AN$1,INDIRECT("Table1[Ende]"),"&gt;="&amp;AN$1,INDIRECT("Table1[Obergruppe ATC-Code]"),Tabelle3!$A49)</f>
        <v>8</v>
      </c>
      <c r="AO49">
        <f ca="1">COUNTIFS(INDIRECT("Table1[Beginn]"),"&lt;="&amp;AO$1,INDIRECT("Table1[Ende]"),"&gt;="&amp;AO$1,INDIRECT("Table1[Obergruppe ATC-Code]"),Tabelle3!$A49)</f>
        <v>8</v>
      </c>
      <c r="AP49">
        <f ca="1">COUNTIFS(INDIRECT("Table1[Beginn]"),"&lt;="&amp;AP$1,INDIRECT("Table1[Ende]"),"&gt;="&amp;AP$1,INDIRECT("Table1[Obergruppe ATC-Code]"),Tabelle3!$A49)</f>
        <v>8</v>
      </c>
      <c r="AQ49">
        <f ca="1">COUNTIFS(INDIRECT("Table1[Beginn]"),"&lt;="&amp;AQ$1,INDIRECT("Table1[Ende]"),"&gt;="&amp;AQ$1,INDIRECT("Table1[Obergruppe ATC-Code]"),Tabelle3!$A49)</f>
        <v>6</v>
      </c>
      <c r="AR49">
        <f ca="1">COUNTIFS(INDIRECT("Table1[Beginn]"),"&lt;="&amp;AR$1,INDIRECT("Table1[Ende]"),"&gt;="&amp;AR$1,INDIRECT("Table1[Obergruppe ATC-Code]"),Tabelle3!$A49)</f>
        <v>6</v>
      </c>
      <c r="AS49">
        <f ca="1">COUNTIFS(INDIRECT("Table1[Beginn]"),"&lt;="&amp;AS$1,INDIRECT("Table1[Ende]"),"&gt;="&amp;AS$1,INDIRECT("Table1[Obergruppe ATC-Code]"),Tabelle3!$A49)</f>
        <v>5</v>
      </c>
      <c r="AT49">
        <f ca="1">COUNTIFS(INDIRECT("Table1[Beginn]"),"&lt;="&amp;AT$1,INDIRECT("Table1[Ende]"),"&gt;="&amp;AT$1,INDIRECT("Table1[Obergruppe ATC-Code]"),Tabelle3!$A49)</f>
        <v>3</v>
      </c>
      <c r="AU49">
        <f ca="1">COUNTIFS(INDIRECT("Table1[Beginn]"),"&lt;="&amp;AU$1,INDIRECT("Table1[Ende]"),"&gt;="&amp;AU$1,INDIRECT("Table1[Obergruppe ATC-Code]"),Tabelle3!$A49)</f>
        <v>3</v>
      </c>
      <c r="AV49">
        <f ca="1">COUNTIFS(INDIRECT("Table1[Beginn]"),"&lt;="&amp;AV$1,INDIRECT("Table1[Ende]"),"&gt;="&amp;AV$1,INDIRECT("Table1[Obergruppe ATC-Code]"),Tabelle3!$A49)</f>
        <v>3</v>
      </c>
      <c r="AW49">
        <f ca="1">COUNTIFS(INDIRECT("Table1[Beginn]"),"&lt;="&amp;AW$1,INDIRECT("Table1[Ende]"),"&gt;="&amp;AW$1,INDIRECT("Table1[Obergruppe ATC-Code]"),Tabelle3!$A49)</f>
        <v>5</v>
      </c>
      <c r="AX49">
        <f ca="1">COUNTIFS(INDIRECT("Table1[Beginn]"),"&lt;="&amp;AX$1,INDIRECT("Table1[Ende]"),"&gt;="&amp;AX$1,INDIRECT("Table1[Obergruppe ATC-Code]"),Tabelle3!$A49)</f>
        <v>6</v>
      </c>
      <c r="AY49">
        <f ca="1">COUNTIFS(INDIRECT("Table1[Beginn]"),"&lt;="&amp;AY$1,INDIRECT("Table1[Ende]"),"&gt;="&amp;AY$1,INDIRECT("Table1[Obergruppe ATC-Code]"),Tabelle3!$A49)</f>
        <v>5</v>
      </c>
      <c r="AZ49">
        <f ca="1">COUNTIFS(INDIRECT("Table1[Beginn]"),"&lt;="&amp;AZ$1,INDIRECT("Table1[Ende]"),"&gt;="&amp;AZ$1,INDIRECT("Table1[Obergruppe ATC-Code]"),Tabelle3!$A49)</f>
        <v>4</v>
      </c>
      <c r="BA49">
        <f ca="1">COUNTIFS(INDIRECT("Table1[Beginn]"),"&lt;="&amp;BA$1,INDIRECT("Table1[Ende]"),"&gt;="&amp;BA$1,INDIRECT("Table1[Obergruppe ATC-Code]"),Tabelle3!$A49)</f>
        <v>4</v>
      </c>
      <c r="BB49">
        <f ca="1">COUNTIFS(INDIRECT("Table1[Beginn]"),"&lt;="&amp;BB$1,INDIRECT("Table1[Ende]"),"&gt;="&amp;BB$1,INDIRECT("Table1[Obergruppe ATC-Code]"),Tabelle3!$A49)</f>
        <v>4</v>
      </c>
      <c r="BC49">
        <f ca="1">COUNTIFS(INDIRECT("Table1[Beginn]"),"&lt;="&amp;BC$1,INDIRECT("Table1[Ende]"),"&gt;="&amp;BC$1,INDIRECT("Table1[Obergruppe ATC-Code]"),Tabelle3!$A49)</f>
        <v>5</v>
      </c>
      <c r="BD49">
        <f ca="1">COUNTIFS(INDIRECT("Table1[Beginn]"),"&lt;="&amp;BD$1,INDIRECT("Table1[Ende]"),"&gt;="&amp;BD$1,INDIRECT("Table1[Obergruppe ATC-Code]"),Tabelle3!$A49)</f>
        <v>5</v>
      </c>
      <c r="BE49">
        <f ca="1">COUNTIFS(INDIRECT("Table1[Beginn]"),"&lt;="&amp;BE$1,INDIRECT("Table1[Ende]"),"&gt;="&amp;BE$1,INDIRECT("Table1[Obergruppe ATC-Code]"),Tabelle3!$A49)</f>
        <v>4</v>
      </c>
      <c r="BF49">
        <f ca="1">COUNTIFS(INDIRECT("Table1[Beginn]"),"&lt;="&amp;BF$1,INDIRECT("Table1[Ende]"),"&gt;="&amp;BF$1,INDIRECT("Table1[Obergruppe ATC-Code]"),Tabelle3!$A49)</f>
        <v>4</v>
      </c>
      <c r="BG49">
        <f ca="1">COUNTIFS(INDIRECT("Table1[Beginn]"),"&lt;="&amp;BG$1,INDIRECT("Table1[Ende]"),"&gt;="&amp;BG$1,INDIRECT("Table1[Obergruppe ATC-Code]"),Tabelle3!$A49)</f>
        <v>5</v>
      </c>
      <c r="BH49">
        <f ca="1">COUNTIFS(INDIRECT("Table1[Beginn]"),"&lt;="&amp;BH$1,INDIRECT("Table1[Ende]"),"&gt;="&amp;BH$1,INDIRECT("Table1[Obergruppe ATC-Code]"),Tabelle3!$A49)</f>
        <v>4</v>
      </c>
      <c r="BI49">
        <f ca="1">COUNTIFS(INDIRECT("Table1[Beginn]"),"&lt;="&amp;BI$1,INDIRECT("Table1[Ende]"),"&gt;="&amp;BI$1,INDIRECT("Table1[Obergruppe ATC-Code]"),Tabelle3!$A49)</f>
        <v>4</v>
      </c>
      <c r="BJ49">
        <f ca="1">COUNTIFS(INDIRECT("Table1[Beginn]"),"&lt;="&amp;BJ$1,INDIRECT("Table1[Ende]"),"&gt;="&amp;BJ$1,INDIRECT("Table1[Obergruppe ATC-Code]"),Tabelle3!$A49)</f>
        <v>4</v>
      </c>
      <c r="BK49">
        <f ca="1">COUNTIFS(INDIRECT("Table1[Beginn]"),"&lt;="&amp;BK$1,INDIRECT("Table1[Ende]"),"&gt;="&amp;BK$1,INDIRECT("Table1[Obergruppe ATC-Code]"),Tabelle3!$A49)</f>
        <v>4</v>
      </c>
      <c r="BL49">
        <f ca="1">COUNTIFS(INDIRECT("Table1[Beginn]"),"&lt;="&amp;BL$1,INDIRECT("Table1[Ende]"),"&gt;="&amp;BL$1,INDIRECT("Table1[Obergruppe ATC-Code]"),Tabelle3!$A49)</f>
        <v>5</v>
      </c>
      <c r="BM49">
        <f ca="1">COUNTIFS(INDIRECT("Table1[Beginn]"),"&lt;="&amp;BM$1,INDIRECT("Table1[Ende]"),"&gt;="&amp;BM$1,INDIRECT("Table1[Obergruppe ATC-Code]"),Tabelle3!$A49)</f>
        <v>5</v>
      </c>
      <c r="BN49">
        <f ca="1">COUNTIFS(INDIRECT("Table1[Beginn]"),"&lt;="&amp;BN$1,INDIRECT("Table1[Ende]"),"&gt;="&amp;BN$1,INDIRECT("Table1[Obergruppe ATC-Code]"),Tabelle3!$A49)</f>
        <v>5</v>
      </c>
      <c r="BO49">
        <f ca="1">COUNTIFS(INDIRECT("Table1[Beginn]"),"&lt;="&amp;BO$1,INDIRECT("Table1[Ende]"),"&gt;="&amp;BO$1,INDIRECT("Table1[Obergruppe ATC-Code]"),Tabelle3!$A49)</f>
        <v>7</v>
      </c>
      <c r="BP49">
        <f ca="1">COUNTIFS(INDIRECT("Table1[Beginn]"),"&lt;="&amp;BP$1,INDIRECT("Table1[Ende]"),"&gt;="&amp;BP$1,INDIRECT("Table1[Obergruppe ATC-Code]"),Tabelle3!$A49)</f>
        <v>10</v>
      </c>
      <c r="BQ49">
        <f ca="1">COUNTIFS(INDIRECT("Table1[Beginn]"),"&lt;="&amp;BQ$1,INDIRECT("Table1[Ende]"),"&gt;="&amp;BQ$1,INDIRECT("Table1[Obergruppe ATC-Code]"),Tabelle3!$A49)</f>
        <v>15</v>
      </c>
      <c r="BR49">
        <f ca="1">COUNTIFS(INDIRECT("Table1[Beginn]"),"&lt;="&amp;BR$1,INDIRECT("Table1[Ende]"),"&gt;="&amp;BR$1,INDIRECT("Table1[Obergruppe ATC-Code]"),Tabelle3!$A49)</f>
        <v>17</v>
      </c>
      <c r="BS49">
        <f ca="1">COUNTIFS(INDIRECT("Table1[Beginn]"),"&lt;="&amp;BS$1,INDIRECT("Table1[Ende]"),"&gt;="&amp;BS$1,INDIRECT("Table1[Obergruppe ATC-Code]"),Tabelle3!$A49)</f>
        <v>11</v>
      </c>
      <c r="BT49">
        <f ca="1">COUNTIFS(INDIRECT("Table1[Beginn]"),"&lt;="&amp;BT$1,INDIRECT("Table1[Ende]"),"&gt;="&amp;BT$1,INDIRECT("Table1[Obergruppe ATC-Code]"),Tabelle3!$A49)</f>
        <v>11</v>
      </c>
      <c r="BU49">
        <f ca="1">COUNTIFS(INDIRECT("Table1[Beginn]"),"&lt;="&amp;BU$1,INDIRECT("Table1[Ende]"),"&gt;="&amp;BU$1,INDIRECT("Table1[Obergruppe ATC-Code]"),Tabelle3!$A49)</f>
        <v>10</v>
      </c>
      <c r="BV49">
        <f ca="1">COUNTIFS(INDIRECT("Table1[Beginn]"),"&lt;="&amp;BV$1,INDIRECT("Table1[Ende]"),"&gt;="&amp;BV$1,INDIRECT("Table1[Obergruppe ATC-Code]"),Tabelle3!$A49)</f>
        <v>18</v>
      </c>
      <c r="BW49">
        <f ca="1">COUNTIFS(INDIRECT("Table1[Beginn]"),"&lt;="&amp;BW$1,INDIRECT("Table1[Ende]"),"&gt;="&amp;BW$1,INDIRECT("Table1[Obergruppe ATC-Code]"),Tabelle3!$A49)</f>
        <v>20</v>
      </c>
      <c r="BX49">
        <f ca="1">COUNTIFS(INDIRECT("Table1[Beginn]"),"&lt;="&amp;BX$1,INDIRECT("Table1[Ende]"),"&gt;="&amp;BX$1,INDIRECT("Table1[Obergruppe ATC-Code]"),Tabelle3!$A49)</f>
        <v>17</v>
      </c>
      <c r="BY49">
        <f ca="1">COUNTIFS(INDIRECT("Table1[Beginn]"),"&lt;="&amp;BY$1,INDIRECT("Table1[Ende]"),"&gt;="&amp;BY$1,INDIRECT("Table1[Obergruppe ATC-Code]"),Tabelle3!$A49)</f>
        <v>13</v>
      </c>
      <c r="BZ49">
        <f ca="1">COUNTIFS(INDIRECT("Table1[Beginn]"),"&lt;="&amp;BZ$1,INDIRECT("Table1[Ende]"),"&gt;="&amp;BZ$1,INDIRECT("Table1[Obergruppe ATC-Code]"),Tabelle3!$A49)</f>
        <v>12</v>
      </c>
      <c r="CA49">
        <f ca="1">COUNTIFS(INDIRECT("Table1[Beginn]"),"&lt;="&amp;CA$1,INDIRECT("Table1[Ende]"),"&gt;="&amp;CA$1,INDIRECT("Table1[Obergruppe ATC-Code]"),Tabelle3!$A49)</f>
        <v>11</v>
      </c>
      <c r="CB49">
        <f ca="1">COUNTIFS(INDIRECT("Table1[Beginn]"),"&lt;="&amp;CB$1,INDIRECT("Table1[Ende]"),"&gt;="&amp;CB$1,INDIRECT("Table1[Obergruppe ATC-Code]"),Tabelle3!$A49)</f>
        <v>18</v>
      </c>
      <c r="CC49">
        <f ca="1">COUNTIFS(INDIRECT("Table1[Beginn]"),"&lt;="&amp;CC$1,INDIRECT("Table1[Ende]"),"&gt;="&amp;CC$1,INDIRECT("Table1[Obergruppe ATC-Code]"),Tabelle3!$A49)</f>
        <v>16</v>
      </c>
      <c r="CD49">
        <f ca="1">COUNTIFS(INDIRECT("Table1[Beginn]"),"&lt;="&amp;CD$1,INDIRECT("Table1[Ende]"),"&gt;="&amp;CD$1,INDIRECT("Table1[Obergruppe ATC-Code]"),Tabelle3!$A49)</f>
        <v>15</v>
      </c>
      <c r="CE49">
        <f ca="1">COUNTIFS(INDIRECT("Table1[Beginn]"),"&lt;="&amp;CE$1,INDIRECT("Table1[Ende]"),"&gt;="&amp;CE$1,INDIRECT("Table1[Obergruppe ATC-Code]"),Tabelle3!$A49)</f>
        <v>13</v>
      </c>
      <c r="CF49">
        <f ca="1">COUNTIFS(INDIRECT("Table1[Beginn]"),"&lt;="&amp;CF$1,INDIRECT("Table1[Ende]"),"&gt;="&amp;CF$1,INDIRECT("Table1[Obergruppe ATC-Code]"),Tabelle3!$A49)</f>
        <v>10</v>
      </c>
      <c r="CG49">
        <f ca="1">COUNTIFS(INDIRECT("Table1[Beginn]"),"&lt;="&amp;CG$1,INDIRECT("Table1[Ende]"),"&gt;="&amp;CG$1,INDIRECT("Table1[Obergruppe ATC-Code]"),Tabelle3!$A49)</f>
        <v>9</v>
      </c>
      <c r="CH49">
        <f ca="1">COUNTIFS(INDIRECT("Table1[Beginn]"),"&lt;="&amp;CH$1,INDIRECT("Table1[Ende]"),"&gt;="&amp;CH$1,INDIRECT("Table1[Obergruppe ATC-Code]"),Tabelle3!$A49)</f>
        <v>5</v>
      </c>
      <c r="CI49">
        <f ca="1">COUNTIFS(INDIRECT("Table1[Beginn]"),"&lt;="&amp;CI$1,INDIRECT("Table1[Ende]"),"&gt;="&amp;CI$1,INDIRECT("Table1[Obergruppe ATC-Code]"),Tabelle3!$A49)</f>
        <v>3</v>
      </c>
      <c r="CJ49">
        <f ca="1">COUNTIFS(INDIRECT("Table1[Beginn]"),"&lt;="&amp;CJ$1,INDIRECT("Table1[Ende]"),"&gt;="&amp;CJ$1,INDIRECT("Table1[Obergruppe ATC-Code]"),Tabelle3!$A49)</f>
        <v>3</v>
      </c>
      <c r="CK49">
        <f ca="1">COUNTIFS(INDIRECT("Table1[Beginn]"),"&lt;="&amp;CK$1,INDIRECT("Table1[Ende]"),"&gt;="&amp;CK$1,INDIRECT("Table1[Obergruppe ATC-Code]"),Tabelle3!$A49)</f>
        <v>3</v>
      </c>
      <c r="CL49">
        <f ca="1">COUNTIFS(INDIRECT("Table1[Beginn]"),"&lt;="&amp;CL$1,INDIRECT("Table1[Ende]"),"&gt;="&amp;CL$1,INDIRECT("Table1[Obergruppe ATC-Code]"),Tabelle3!$A49)</f>
        <v>3</v>
      </c>
      <c r="CM49">
        <f ca="1">COUNTIFS(INDIRECT("Table1[Beginn]"),"&lt;="&amp;CM$1,INDIRECT("Table1[Ende]"),"&gt;="&amp;CM$1,INDIRECT("Table1[Obergruppe ATC-Code]"),Tabelle3!$A49)</f>
        <v>3</v>
      </c>
      <c r="CN49">
        <f ca="1">COUNTIFS(INDIRECT("Table1[Beginn]"),"&lt;="&amp;CN$1,INDIRECT("Table1[Ende]"),"&gt;="&amp;CN$1,INDIRECT("Table1[Obergruppe ATC-Code]"),Tabelle3!$A49)</f>
        <v>3</v>
      </c>
      <c r="CO49">
        <f ca="1">COUNTIFS(INDIRECT("Table1[Beginn]"),"&lt;="&amp;CO$1,INDIRECT("Table1[Ende]"),"&gt;="&amp;CO$1,INDIRECT("Table1[Obergruppe ATC-Code]"),Tabelle3!$A49)</f>
        <v>1</v>
      </c>
      <c r="CP49">
        <f ca="1">COUNTIFS(INDIRECT("Table1[Beginn]"),"&lt;="&amp;CP$1,INDIRECT("Table1[Ende]"),"&gt;="&amp;CP$1,INDIRECT("Table1[Obergruppe ATC-Code]"),Tabelle3!$A49)</f>
        <v>1</v>
      </c>
      <c r="CQ49">
        <f ca="1">COUNTIFS(INDIRECT("Table1[Beginn]"),"&lt;="&amp;CQ$1,INDIRECT("Table1[Ende]"),"&gt;="&amp;CQ$1,INDIRECT("Table1[Obergruppe ATC-Code]"),Tabelle3!$A49)</f>
        <v>1</v>
      </c>
      <c r="CR49">
        <f ca="1">COUNTIFS(INDIRECT("Table1[Beginn]"),"&lt;="&amp;CR$1,INDIRECT("Table1[Ende]"),"&gt;="&amp;CR$1,INDIRECT("Table1[Obergruppe ATC-Code]"),Tabelle3!$A49)</f>
        <v>0</v>
      </c>
      <c r="CS49">
        <f ca="1">COUNTIFS(INDIRECT("Table1[Beginn]"),"&lt;="&amp;CS$1,INDIRECT("Table1[Ende]"),"&gt;="&amp;CS$1,INDIRECT("Table1[Obergruppe ATC-Code]"),Tabelle3!$A49)</f>
        <v>0</v>
      </c>
      <c r="CT49">
        <f ca="1">COUNTIFS(INDIRECT("Table1[Beginn]"),"&lt;="&amp;CT$1,INDIRECT("Table1[Ende]"),"&gt;="&amp;CT$1,INDIRECT("Table1[Obergruppe ATC-Code]"),Tabelle3!$A49)</f>
        <v>0</v>
      </c>
      <c r="CU49" s="56"/>
      <c r="CV49" s="56"/>
      <c r="CW49" s="56"/>
      <c r="CX49" s="56"/>
      <c r="CY49" s="56"/>
      <c r="CZ49" s="56"/>
      <c r="DA49" s="56"/>
      <c r="DB49" s="56"/>
      <c r="DC49" s="56"/>
      <c r="DD49" s="56"/>
      <c r="DE49" s="56"/>
      <c r="DF49" s="56"/>
      <c r="DG49" s="56"/>
      <c r="DH49" s="56"/>
    </row>
    <row r="50" spans="1:112" ht="18" customHeight="1">
      <c r="A50" s="7" t="s">
        <v>6869</v>
      </c>
      <c r="B50" s="8" t="s">
        <v>6870</v>
      </c>
      <c r="C50">
        <f ca="1">COUNTIFS(INDIRECT("Table1[Beginn]"),"&lt;="&amp;C$1,INDIRECT("Table1[Ende]"),"&gt;="&amp;C$1,INDIRECT("Table1[Obergruppe ATC-Code]"),Tabelle3!$A50)</f>
        <v>1</v>
      </c>
      <c r="D50">
        <f ca="1">COUNTIFS(INDIRECT("Table1[Beginn]"),"&lt;="&amp;D$1,INDIRECT("Table1[Ende]"),"&gt;="&amp;D$1,INDIRECT("Table1[Obergruppe ATC-Code]"),Tabelle3!$A50)</f>
        <v>1</v>
      </c>
      <c r="E50">
        <f ca="1">COUNTIFS(INDIRECT("Table1[Beginn]"),"&lt;="&amp;E$1,INDIRECT("Table1[Ende]"),"&gt;="&amp;E$1,INDIRECT("Table1[Obergruppe ATC-Code]"),Tabelle3!$A50)</f>
        <v>1</v>
      </c>
      <c r="F50">
        <f ca="1">COUNTIFS(INDIRECT("Table1[Beginn]"),"&lt;="&amp;F$1,INDIRECT("Table1[Ende]"),"&gt;="&amp;F$1,INDIRECT("Table1[Obergruppe ATC-Code]"),Tabelle3!$A50)</f>
        <v>1</v>
      </c>
      <c r="G50">
        <f ca="1">COUNTIFS(INDIRECT("Table1[Beginn]"),"&lt;="&amp;G$1,INDIRECT("Table1[Ende]"),"&gt;="&amp;G$1,INDIRECT("Table1[Obergruppe ATC-Code]"),Tabelle3!$A50)</f>
        <v>1</v>
      </c>
      <c r="H50">
        <f ca="1">COUNTIFS(INDIRECT("Table1[Beginn]"),"&lt;="&amp;H$1,INDIRECT("Table1[Ende]"),"&gt;="&amp;H$1,INDIRECT("Table1[Obergruppe ATC-Code]"),Tabelle3!$A50)</f>
        <v>1</v>
      </c>
      <c r="I50">
        <f ca="1">COUNTIFS(INDIRECT("Table1[Beginn]"),"&lt;="&amp;I$1,INDIRECT("Table1[Ende]"),"&gt;="&amp;I$1,INDIRECT("Table1[Obergruppe ATC-Code]"),Tabelle3!$A50)</f>
        <v>2</v>
      </c>
      <c r="J50">
        <f ca="1">COUNTIFS(INDIRECT("Table1[Beginn]"),"&lt;="&amp;J$1,INDIRECT("Table1[Ende]"),"&gt;="&amp;J$1,INDIRECT("Table1[Obergruppe ATC-Code]"),Tabelle3!$A50)</f>
        <v>2</v>
      </c>
      <c r="K50">
        <f ca="1">COUNTIFS(INDIRECT("Table1[Beginn]"),"&lt;="&amp;K$1,INDIRECT("Table1[Ende]"),"&gt;="&amp;K$1,INDIRECT("Table1[Obergruppe ATC-Code]"),Tabelle3!$A50)</f>
        <v>2</v>
      </c>
      <c r="L50">
        <f ca="1">COUNTIFS(INDIRECT("Table1[Beginn]"),"&lt;="&amp;L$1,INDIRECT("Table1[Ende]"),"&gt;="&amp;L$1,INDIRECT("Table1[Obergruppe ATC-Code]"),Tabelle3!$A50)</f>
        <v>2</v>
      </c>
      <c r="M50">
        <f ca="1">COUNTIFS(INDIRECT("Table1[Beginn]"),"&lt;="&amp;M$1,INDIRECT("Table1[Ende]"),"&gt;="&amp;M$1,INDIRECT("Table1[Obergruppe ATC-Code]"),Tabelle3!$A50)</f>
        <v>1</v>
      </c>
      <c r="N50">
        <f ca="1">COUNTIFS(INDIRECT("Table1[Beginn]"),"&lt;="&amp;N$1,INDIRECT("Table1[Ende]"),"&gt;="&amp;N$1,INDIRECT("Table1[Obergruppe ATC-Code]"),Tabelle3!$A50)</f>
        <v>1</v>
      </c>
      <c r="O50">
        <f ca="1">COUNTIFS(INDIRECT("Table1[Beginn]"),"&lt;="&amp;O$1,INDIRECT("Table1[Ende]"),"&gt;="&amp;O$1,INDIRECT("Table1[Obergruppe ATC-Code]"),Tabelle3!$A50)</f>
        <v>1</v>
      </c>
      <c r="P50">
        <f ca="1">COUNTIFS(INDIRECT("Table1[Beginn]"),"&lt;="&amp;P$1,INDIRECT("Table1[Ende]"),"&gt;="&amp;P$1,INDIRECT("Table1[Obergruppe ATC-Code]"),Tabelle3!$A50)</f>
        <v>1</v>
      </c>
      <c r="Q50">
        <f ca="1">COUNTIFS(INDIRECT("Table1[Beginn]"),"&lt;="&amp;Q$1,INDIRECT("Table1[Ende]"),"&gt;="&amp;Q$1,INDIRECT("Table1[Obergruppe ATC-Code]"),Tabelle3!$A50)</f>
        <v>1</v>
      </c>
      <c r="R50">
        <f ca="1">COUNTIFS(INDIRECT("Table1[Beginn]"),"&lt;="&amp;R$1,INDIRECT("Table1[Ende]"),"&gt;="&amp;R$1,INDIRECT("Table1[Obergruppe ATC-Code]"),Tabelle3!$A50)</f>
        <v>1</v>
      </c>
      <c r="S50">
        <f ca="1">COUNTIFS(INDIRECT("Table1[Beginn]"),"&lt;="&amp;S$1,INDIRECT("Table1[Ende]"),"&gt;="&amp;S$1,INDIRECT("Table1[Obergruppe ATC-Code]"),Tabelle3!$A50)</f>
        <v>1</v>
      </c>
      <c r="T50">
        <f ca="1">COUNTIFS(INDIRECT("Table1[Beginn]"),"&lt;="&amp;T$1,INDIRECT("Table1[Ende]"),"&gt;="&amp;T$1,INDIRECT("Table1[Obergruppe ATC-Code]"),Tabelle3!$A50)</f>
        <v>1</v>
      </c>
      <c r="U50">
        <f ca="1">COUNTIFS(INDIRECT("Table1[Beginn]"),"&lt;="&amp;U$1,INDIRECT("Table1[Ende]"),"&gt;="&amp;U$1,INDIRECT("Table1[Obergruppe ATC-Code]"),Tabelle3!$A50)</f>
        <v>1</v>
      </c>
      <c r="V50">
        <f ca="1">COUNTIFS(INDIRECT("Table1[Beginn]"),"&lt;="&amp;V$1,INDIRECT("Table1[Ende]"),"&gt;="&amp;V$1,INDIRECT("Table1[Obergruppe ATC-Code]"),Tabelle3!$A50)</f>
        <v>1</v>
      </c>
      <c r="W50">
        <f ca="1">COUNTIFS(INDIRECT("Table1[Beginn]"),"&lt;="&amp;W$1,INDIRECT("Table1[Ende]"),"&gt;="&amp;W$1,INDIRECT("Table1[Obergruppe ATC-Code]"),Tabelle3!$A50)</f>
        <v>1</v>
      </c>
      <c r="X50">
        <f ca="1">COUNTIFS(INDIRECT("Table1[Beginn]"),"&lt;="&amp;X$1,INDIRECT("Table1[Ende]"),"&gt;="&amp;X$1,INDIRECT("Table1[Obergruppe ATC-Code]"),Tabelle3!$A50)</f>
        <v>1</v>
      </c>
      <c r="Y50">
        <f ca="1">COUNTIFS(INDIRECT("Table1[Beginn]"),"&lt;="&amp;Y$1,INDIRECT("Table1[Ende]"),"&gt;="&amp;Y$1,INDIRECT("Table1[Obergruppe ATC-Code]"),Tabelle3!$A50)</f>
        <v>1</v>
      </c>
      <c r="Z50">
        <f ca="1">COUNTIFS(INDIRECT("Table1[Beginn]"),"&lt;="&amp;Z$1,INDIRECT("Table1[Ende]"),"&gt;="&amp;Z$1,INDIRECT("Table1[Obergruppe ATC-Code]"),Tabelle3!$A50)</f>
        <v>1</v>
      </c>
      <c r="AA50">
        <f ca="1">COUNTIFS(INDIRECT("Table1[Beginn]"),"&lt;="&amp;AA$1,INDIRECT("Table1[Ende]"),"&gt;="&amp;AA$1,INDIRECT("Table1[Obergruppe ATC-Code]"),Tabelle3!$A50)</f>
        <v>2</v>
      </c>
      <c r="AB50">
        <f ca="1">COUNTIFS(INDIRECT("Table1[Beginn]"),"&lt;="&amp;AB$1,INDIRECT("Table1[Ende]"),"&gt;="&amp;AB$1,INDIRECT("Table1[Obergruppe ATC-Code]"),Tabelle3!$A50)</f>
        <v>1</v>
      </c>
      <c r="AC50">
        <f ca="1">COUNTIFS(INDIRECT("Table1[Beginn]"),"&lt;="&amp;AC$1,INDIRECT("Table1[Ende]"),"&gt;="&amp;AC$1,INDIRECT("Table1[Obergruppe ATC-Code]"),Tabelle3!$A50)</f>
        <v>2</v>
      </c>
      <c r="AD50">
        <f ca="1">COUNTIFS(INDIRECT("Table1[Beginn]"),"&lt;="&amp;AD$1,INDIRECT("Table1[Ende]"),"&gt;="&amp;AD$1,INDIRECT("Table1[Obergruppe ATC-Code]"),Tabelle3!$A50)</f>
        <v>3</v>
      </c>
      <c r="AE50">
        <f ca="1">COUNTIFS(INDIRECT("Table1[Beginn]"),"&lt;="&amp;AE$1,INDIRECT("Table1[Ende]"),"&gt;="&amp;AE$1,INDIRECT("Table1[Obergruppe ATC-Code]"),Tabelle3!$A50)</f>
        <v>3</v>
      </c>
      <c r="AF50">
        <f ca="1">COUNTIFS(INDIRECT("Table1[Beginn]"),"&lt;="&amp;AF$1,INDIRECT("Table1[Ende]"),"&gt;="&amp;AF$1,INDIRECT("Table1[Obergruppe ATC-Code]"),Tabelle3!$A50)</f>
        <v>3</v>
      </c>
      <c r="AG50">
        <f ca="1">COUNTIFS(INDIRECT("Table1[Beginn]"),"&lt;="&amp;AG$1,INDIRECT("Table1[Ende]"),"&gt;="&amp;AG$1,INDIRECT("Table1[Obergruppe ATC-Code]"),Tabelle3!$A50)</f>
        <v>3</v>
      </c>
      <c r="AH50">
        <f ca="1">COUNTIFS(INDIRECT("Table1[Beginn]"),"&lt;="&amp;AH$1,INDIRECT("Table1[Ende]"),"&gt;="&amp;AH$1,INDIRECT("Table1[Obergruppe ATC-Code]"),Tabelle3!$A50)</f>
        <v>3</v>
      </c>
      <c r="AI50">
        <f ca="1">COUNTIFS(INDIRECT("Table1[Beginn]"),"&lt;="&amp;AI$1,INDIRECT("Table1[Ende]"),"&gt;="&amp;AI$1,INDIRECT("Table1[Obergruppe ATC-Code]"),Tabelle3!$A50)</f>
        <v>4</v>
      </c>
      <c r="AJ50">
        <f ca="1">COUNTIFS(INDIRECT("Table1[Beginn]"),"&lt;="&amp;AJ$1,INDIRECT("Table1[Ende]"),"&gt;="&amp;AJ$1,INDIRECT("Table1[Obergruppe ATC-Code]"),Tabelle3!$A50)</f>
        <v>6</v>
      </c>
      <c r="AK50">
        <f ca="1">COUNTIFS(INDIRECT("Table1[Beginn]"),"&lt;="&amp;AK$1,INDIRECT("Table1[Ende]"),"&gt;="&amp;AK$1,INDIRECT("Table1[Obergruppe ATC-Code]"),Tabelle3!$A50)</f>
        <v>6</v>
      </c>
      <c r="AL50">
        <f ca="1">COUNTIFS(INDIRECT("Table1[Beginn]"),"&lt;="&amp;AL$1,INDIRECT("Table1[Ende]"),"&gt;="&amp;AL$1,INDIRECT("Table1[Obergruppe ATC-Code]"),Tabelle3!$A50)</f>
        <v>16</v>
      </c>
      <c r="AM50">
        <f ca="1">COUNTIFS(INDIRECT("Table1[Beginn]"),"&lt;="&amp;AM$1,INDIRECT("Table1[Ende]"),"&gt;="&amp;AM$1,INDIRECT("Table1[Obergruppe ATC-Code]"),Tabelle3!$A50)</f>
        <v>15</v>
      </c>
      <c r="AN50">
        <f ca="1">COUNTIFS(INDIRECT("Table1[Beginn]"),"&lt;="&amp;AN$1,INDIRECT("Table1[Ende]"),"&gt;="&amp;AN$1,INDIRECT("Table1[Obergruppe ATC-Code]"),Tabelle3!$A50)</f>
        <v>12</v>
      </c>
      <c r="AO50">
        <f ca="1">COUNTIFS(INDIRECT("Table1[Beginn]"),"&lt;="&amp;AO$1,INDIRECT("Table1[Ende]"),"&gt;="&amp;AO$1,INDIRECT("Table1[Obergruppe ATC-Code]"),Tabelle3!$A50)</f>
        <v>18</v>
      </c>
      <c r="AP50">
        <f ca="1">COUNTIFS(INDIRECT("Table1[Beginn]"),"&lt;="&amp;AP$1,INDIRECT("Table1[Ende]"),"&gt;="&amp;AP$1,INDIRECT("Table1[Obergruppe ATC-Code]"),Tabelle3!$A50)</f>
        <v>17</v>
      </c>
      <c r="AQ50">
        <f ca="1">COUNTIFS(INDIRECT("Table1[Beginn]"),"&lt;="&amp;AQ$1,INDIRECT("Table1[Ende]"),"&gt;="&amp;AQ$1,INDIRECT("Table1[Obergruppe ATC-Code]"),Tabelle3!$A50)</f>
        <v>18</v>
      </c>
      <c r="AR50">
        <f ca="1">COUNTIFS(INDIRECT("Table1[Beginn]"),"&lt;="&amp;AR$1,INDIRECT("Table1[Ende]"),"&gt;="&amp;AR$1,INDIRECT("Table1[Obergruppe ATC-Code]"),Tabelle3!$A50)</f>
        <v>18</v>
      </c>
      <c r="AS50">
        <f ca="1">COUNTIFS(INDIRECT("Table1[Beginn]"),"&lt;="&amp;AS$1,INDIRECT("Table1[Ende]"),"&gt;="&amp;AS$1,INDIRECT("Table1[Obergruppe ATC-Code]"),Tabelle3!$A50)</f>
        <v>27</v>
      </c>
      <c r="AT50">
        <f ca="1">COUNTIFS(INDIRECT("Table1[Beginn]"),"&lt;="&amp;AT$1,INDIRECT("Table1[Ende]"),"&gt;="&amp;AT$1,INDIRECT("Table1[Obergruppe ATC-Code]"),Tabelle3!$A50)</f>
        <v>20</v>
      </c>
      <c r="AU50">
        <f ca="1">COUNTIFS(INDIRECT("Table1[Beginn]"),"&lt;="&amp;AU$1,INDIRECT("Table1[Ende]"),"&gt;="&amp;AU$1,INDIRECT("Table1[Obergruppe ATC-Code]"),Tabelle3!$A50)</f>
        <v>19</v>
      </c>
      <c r="AV50">
        <f ca="1">COUNTIFS(INDIRECT("Table1[Beginn]"),"&lt;="&amp;AV$1,INDIRECT("Table1[Ende]"),"&gt;="&amp;AV$1,INDIRECT("Table1[Obergruppe ATC-Code]"),Tabelle3!$A50)</f>
        <v>15</v>
      </c>
      <c r="AW50">
        <f ca="1">COUNTIFS(INDIRECT("Table1[Beginn]"),"&lt;="&amp;AW$1,INDIRECT("Table1[Ende]"),"&gt;="&amp;AW$1,INDIRECT("Table1[Obergruppe ATC-Code]"),Tabelle3!$A50)</f>
        <v>8</v>
      </c>
      <c r="AX50">
        <f ca="1">COUNTIFS(INDIRECT("Table1[Beginn]"),"&lt;="&amp;AX$1,INDIRECT("Table1[Ende]"),"&gt;="&amp;AX$1,INDIRECT("Table1[Obergruppe ATC-Code]"),Tabelle3!$A50)</f>
        <v>3</v>
      </c>
      <c r="AY50">
        <f ca="1">COUNTIFS(INDIRECT("Table1[Beginn]"),"&lt;="&amp;AY$1,INDIRECT("Table1[Ende]"),"&gt;="&amp;AY$1,INDIRECT("Table1[Obergruppe ATC-Code]"),Tabelle3!$A50)</f>
        <v>1</v>
      </c>
      <c r="AZ50">
        <f ca="1">COUNTIFS(INDIRECT("Table1[Beginn]"),"&lt;="&amp;AZ$1,INDIRECT("Table1[Ende]"),"&gt;="&amp;AZ$1,INDIRECT("Table1[Obergruppe ATC-Code]"),Tabelle3!$A50)</f>
        <v>0</v>
      </c>
      <c r="BA50">
        <f ca="1">COUNTIFS(INDIRECT("Table1[Beginn]"),"&lt;="&amp;BA$1,INDIRECT("Table1[Ende]"),"&gt;="&amp;BA$1,INDIRECT("Table1[Obergruppe ATC-Code]"),Tabelle3!$A50)</f>
        <v>0</v>
      </c>
      <c r="BB50">
        <f ca="1">COUNTIFS(INDIRECT("Table1[Beginn]"),"&lt;="&amp;BB$1,INDIRECT("Table1[Ende]"),"&gt;="&amp;BB$1,INDIRECT("Table1[Obergruppe ATC-Code]"),Tabelle3!$A50)</f>
        <v>0</v>
      </c>
      <c r="BC50">
        <f ca="1">COUNTIFS(INDIRECT("Table1[Beginn]"),"&lt;="&amp;BC$1,INDIRECT("Table1[Ende]"),"&gt;="&amp;BC$1,INDIRECT("Table1[Obergruppe ATC-Code]"),Tabelle3!$A50)</f>
        <v>0</v>
      </c>
      <c r="BD50">
        <f ca="1">COUNTIFS(INDIRECT("Table1[Beginn]"),"&lt;="&amp;BD$1,INDIRECT("Table1[Ende]"),"&gt;="&amp;BD$1,INDIRECT("Table1[Obergruppe ATC-Code]"),Tabelle3!$A50)</f>
        <v>0</v>
      </c>
      <c r="BE50">
        <f ca="1">COUNTIFS(INDIRECT("Table1[Beginn]"),"&lt;="&amp;BE$1,INDIRECT("Table1[Ende]"),"&gt;="&amp;BE$1,INDIRECT("Table1[Obergruppe ATC-Code]"),Tabelle3!$A50)</f>
        <v>0</v>
      </c>
      <c r="BF50">
        <f ca="1">COUNTIFS(INDIRECT("Table1[Beginn]"),"&lt;="&amp;BF$1,INDIRECT("Table1[Ende]"),"&gt;="&amp;BF$1,INDIRECT("Table1[Obergruppe ATC-Code]"),Tabelle3!$A50)</f>
        <v>0</v>
      </c>
      <c r="BG50">
        <f ca="1">COUNTIFS(INDIRECT("Table1[Beginn]"),"&lt;="&amp;BG$1,INDIRECT("Table1[Ende]"),"&gt;="&amp;BG$1,INDIRECT("Table1[Obergruppe ATC-Code]"),Tabelle3!$A50)</f>
        <v>0</v>
      </c>
      <c r="BH50">
        <f ca="1">COUNTIFS(INDIRECT("Table1[Beginn]"),"&lt;="&amp;BH$1,INDIRECT("Table1[Ende]"),"&gt;="&amp;BH$1,INDIRECT("Table1[Obergruppe ATC-Code]"),Tabelle3!$A50)</f>
        <v>0</v>
      </c>
      <c r="BI50">
        <f ca="1">COUNTIFS(INDIRECT("Table1[Beginn]"),"&lt;="&amp;BI$1,INDIRECT("Table1[Ende]"),"&gt;="&amp;BI$1,INDIRECT("Table1[Obergruppe ATC-Code]"),Tabelle3!$A50)</f>
        <v>0</v>
      </c>
      <c r="BJ50">
        <f ca="1">COUNTIFS(INDIRECT("Table1[Beginn]"),"&lt;="&amp;BJ$1,INDIRECT("Table1[Ende]"),"&gt;="&amp;BJ$1,INDIRECT("Table1[Obergruppe ATC-Code]"),Tabelle3!$A50)</f>
        <v>0</v>
      </c>
      <c r="BK50">
        <f ca="1">COUNTIFS(INDIRECT("Table1[Beginn]"),"&lt;="&amp;BK$1,INDIRECT("Table1[Ende]"),"&gt;="&amp;BK$1,INDIRECT("Table1[Obergruppe ATC-Code]"),Tabelle3!$A50)</f>
        <v>0</v>
      </c>
      <c r="BL50">
        <f ca="1">COUNTIFS(INDIRECT("Table1[Beginn]"),"&lt;="&amp;BL$1,INDIRECT("Table1[Ende]"),"&gt;="&amp;BL$1,INDIRECT("Table1[Obergruppe ATC-Code]"),Tabelle3!$A50)</f>
        <v>0</v>
      </c>
      <c r="BM50">
        <f ca="1">COUNTIFS(INDIRECT("Table1[Beginn]"),"&lt;="&amp;BM$1,INDIRECT("Table1[Ende]"),"&gt;="&amp;BM$1,INDIRECT("Table1[Obergruppe ATC-Code]"),Tabelle3!$A50)</f>
        <v>0</v>
      </c>
      <c r="BN50">
        <f ca="1">COUNTIFS(INDIRECT("Table1[Beginn]"),"&lt;="&amp;BN$1,INDIRECT("Table1[Ende]"),"&gt;="&amp;BN$1,INDIRECT("Table1[Obergruppe ATC-Code]"),Tabelle3!$A50)</f>
        <v>1</v>
      </c>
      <c r="BO50">
        <f ca="1">COUNTIFS(INDIRECT("Table1[Beginn]"),"&lt;="&amp;BO$1,INDIRECT("Table1[Ende]"),"&gt;="&amp;BO$1,INDIRECT("Table1[Obergruppe ATC-Code]"),Tabelle3!$A50)</f>
        <v>0</v>
      </c>
      <c r="BP50">
        <f ca="1">COUNTIFS(INDIRECT("Table1[Beginn]"),"&lt;="&amp;BP$1,INDIRECT("Table1[Ende]"),"&gt;="&amp;BP$1,INDIRECT("Table1[Obergruppe ATC-Code]"),Tabelle3!$A50)</f>
        <v>1</v>
      </c>
      <c r="BQ50">
        <f ca="1">COUNTIFS(INDIRECT("Table1[Beginn]"),"&lt;="&amp;BQ$1,INDIRECT("Table1[Ende]"),"&gt;="&amp;BQ$1,INDIRECT("Table1[Obergruppe ATC-Code]"),Tabelle3!$A50)</f>
        <v>1</v>
      </c>
      <c r="BR50">
        <f ca="1">COUNTIFS(INDIRECT("Table1[Beginn]"),"&lt;="&amp;BR$1,INDIRECT("Table1[Ende]"),"&gt;="&amp;BR$1,INDIRECT("Table1[Obergruppe ATC-Code]"),Tabelle3!$A50)</f>
        <v>2</v>
      </c>
      <c r="BS50">
        <f ca="1">COUNTIFS(INDIRECT("Table1[Beginn]"),"&lt;="&amp;BS$1,INDIRECT("Table1[Ende]"),"&gt;="&amp;BS$1,INDIRECT("Table1[Obergruppe ATC-Code]"),Tabelle3!$A50)</f>
        <v>2</v>
      </c>
      <c r="BT50">
        <f ca="1">COUNTIFS(INDIRECT("Table1[Beginn]"),"&lt;="&amp;BT$1,INDIRECT("Table1[Ende]"),"&gt;="&amp;BT$1,INDIRECT("Table1[Obergruppe ATC-Code]"),Tabelle3!$A50)</f>
        <v>2</v>
      </c>
      <c r="BU50">
        <f ca="1">COUNTIFS(INDIRECT("Table1[Beginn]"),"&lt;="&amp;BU$1,INDIRECT("Table1[Ende]"),"&gt;="&amp;BU$1,INDIRECT("Table1[Obergruppe ATC-Code]"),Tabelle3!$A50)</f>
        <v>2</v>
      </c>
      <c r="BV50">
        <f ca="1">COUNTIFS(INDIRECT("Table1[Beginn]"),"&lt;="&amp;BV$1,INDIRECT("Table1[Ende]"),"&gt;="&amp;BV$1,INDIRECT("Table1[Obergruppe ATC-Code]"),Tabelle3!$A50)</f>
        <v>2</v>
      </c>
      <c r="BW50">
        <f ca="1">COUNTIFS(INDIRECT("Table1[Beginn]"),"&lt;="&amp;BW$1,INDIRECT("Table1[Ende]"),"&gt;="&amp;BW$1,INDIRECT("Table1[Obergruppe ATC-Code]"),Tabelle3!$A50)</f>
        <v>2</v>
      </c>
      <c r="BX50">
        <f ca="1">COUNTIFS(INDIRECT("Table1[Beginn]"),"&lt;="&amp;BX$1,INDIRECT("Table1[Ende]"),"&gt;="&amp;BX$1,INDIRECT("Table1[Obergruppe ATC-Code]"),Tabelle3!$A50)</f>
        <v>2</v>
      </c>
      <c r="BY50">
        <f ca="1">COUNTIFS(INDIRECT("Table1[Beginn]"),"&lt;="&amp;BY$1,INDIRECT("Table1[Ende]"),"&gt;="&amp;BY$1,INDIRECT("Table1[Obergruppe ATC-Code]"),Tabelle3!$A50)</f>
        <v>1</v>
      </c>
      <c r="BZ50">
        <f ca="1">COUNTIFS(INDIRECT("Table1[Beginn]"),"&lt;="&amp;BZ$1,INDIRECT("Table1[Ende]"),"&gt;="&amp;BZ$1,INDIRECT("Table1[Obergruppe ATC-Code]"),Tabelle3!$A50)</f>
        <v>0</v>
      </c>
      <c r="CA50">
        <f ca="1">COUNTIFS(INDIRECT("Table1[Beginn]"),"&lt;="&amp;CA$1,INDIRECT("Table1[Ende]"),"&gt;="&amp;CA$1,INDIRECT("Table1[Obergruppe ATC-Code]"),Tabelle3!$A50)</f>
        <v>0</v>
      </c>
      <c r="CB50">
        <f ca="1">COUNTIFS(INDIRECT("Table1[Beginn]"),"&lt;="&amp;CB$1,INDIRECT("Table1[Ende]"),"&gt;="&amp;CB$1,INDIRECT("Table1[Obergruppe ATC-Code]"),Tabelle3!$A50)</f>
        <v>7</v>
      </c>
      <c r="CC50">
        <f ca="1">COUNTIFS(INDIRECT("Table1[Beginn]"),"&lt;="&amp;CC$1,INDIRECT("Table1[Ende]"),"&gt;="&amp;CC$1,INDIRECT("Table1[Obergruppe ATC-Code]"),Tabelle3!$A50)</f>
        <v>8</v>
      </c>
      <c r="CD50">
        <f ca="1">COUNTIFS(INDIRECT("Table1[Beginn]"),"&lt;="&amp;CD$1,INDIRECT("Table1[Ende]"),"&gt;="&amp;CD$1,INDIRECT("Table1[Obergruppe ATC-Code]"),Tabelle3!$A50)</f>
        <v>4</v>
      </c>
      <c r="CE50">
        <f ca="1">COUNTIFS(INDIRECT("Table1[Beginn]"),"&lt;="&amp;CE$1,INDIRECT("Table1[Ende]"),"&gt;="&amp;CE$1,INDIRECT("Table1[Obergruppe ATC-Code]"),Tabelle3!$A50)</f>
        <v>0</v>
      </c>
      <c r="CF50">
        <f ca="1">COUNTIFS(INDIRECT("Table1[Beginn]"),"&lt;="&amp;CF$1,INDIRECT("Table1[Ende]"),"&gt;="&amp;CF$1,INDIRECT("Table1[Obergruppe ATC-Code]"),Tabelle3!$A50)</f>
        <v>1</v>
      </c>
      <c r="CG50">
        <f ca="1">COUNTIFS(INDIRECT("Table1[Beginn]"),"&lt;="&amp;CG$1,INDIRECT("Table1[Ende]"),"&gt;="&amp;CG$1,INDIRECT("Table1[Obergruppe ATC-Code]"),Tabelle3!$A50)</f>
        <v>1</v>
      </c>
      <c r="CH50">
        <f ca="1">COUNTIFS(INDIRECT("Table1[Beginn]"),"&lt;="&amp;CH$1,INDIRECT("Table1[Ende]"),"&gt;="&amp;CH$1,INDIRECT("Table1[Obergruppe ATC-Code]"),Tabelle3!$A50)</f>
        <v>1</v>
      </c>
      <c r="CI50">
        <f ca="1">COUNTIFS(INDIRECT("Table1[Beginn]"),"&lt;="&amp;CI$1,INDIRECT("Table1[Ende]"),"&gt;="&amp;CI$1,INDIRECT("Table1[Obergruppe ATC-Code]"),Tabelle3!$A50)</f>
        <v>1</v>
      </c>
      <c r="CJ50">
        <f ca="1">COUNTIFS(INDIRECT("Table1[Beginn]"),"&lt;="&amp;CJ$1,INDIRECT("Table1[Ende]"),"&gt;="&amp;CJ$1,INDIRECT("Table1[Obergruppe ATC-Code]"),Tabelle3!$A50)</f>
        <v>1</v>
      </c>
      <c r="CK50">
        <f ca="1">COUNTIFS(INDIRECT("Table1[Beginn]"),"&lt;="&amp;CK$1,INDIRECT("Table1[Ende]"),"&gt;="&amp;CK$1,INDIRECT("Table1[Obergruppe ATC-Code]"),Tabelle3!$A50)</f>
        <v>1</v>
      </c>
      <c r="CL50">
        <f ca="1">COUNTIFS(INDIRECT("Table1[Beginn]"),"&lt;="&amp;CL$1,INDIRECT("Table1[Ende]"),"&gt;="&amp;CL$1,INDIRECT("Table1[Obergruppe ATC-Code]"),Tabelle3!$A50)</f>
        <v>1</v>
      </c>
      <c r="CM50">
        <f ca="1">COUNTIFS(INDIRECT("Table1[Beginn]"),"&lt;="&amp;CM$1,INDIRECT("Table1[Ende]"),"&gt;="&amp;CM$1,INDIRECT("Table1[Obergruppe ATC-Code]"),Tabelle3!$A50)</f>
        <v>1</v>
      </c>
      <c r="CN50">
        <f ca="1">COUNTIFS(INDIRECT("Table1[Beginn]"),"&lt;="&amp;CN$1,INDIRECT("Table1[Ende]"),"&gt;="&amp;CN$1,INDIRECT("Table1[Obergruppe ATC-Code]"),Tabelle3!$A50)</f>
        <v>1</v>
      </c>
      <c r="CO50">
        <f ca="1">COUNTIFS(INDIRECT("Table1[Beginn]"),"&lt;="&amp;CO$1,INDIRECT("Table1[Ende]"),"&gt;="&amp;CO$1,INDIRECT("Table1[Obergruppe ATC-Code]"),Tabelle3!$A50)</f>
        <v>1</v>
      </c>
      <c r="CP50">
        <f ca="1">COUNTIFS(INDIRECT("Table1[Beginn]"),"&lt;="&amp;CP$1,INDIRECT("Table1[Ende]"),"&gt;="&amp;CP$1,INDIRECT("Table1[Obergruppe ATC-Code]"),Tabelle3!$A50)</f>
        <v>1</v>
      </c>
      <c r="CQ50">
        <f ca="1">COUNTIFS(INDIRECT("Table1[Beginn]"),"&lt;="&amp;CQ$1,INDIRECT("Table1[Ende]"),"&gt;="&amp;CQ$1,INDIRECT("Table1[Obergruppe ATC-Code]"),Tabelle3!$A50)</f>
        <v>1</v>
      </c>
      <c r="CR50">
        <f ca="1">COUNTIFS(INDIRECT("Table1[Beginn]"),"&lt;="&amp;CR$1,INDIRECT("Table1[Ende]"),"&gt;="&amp;CR$1,INDIRECT("Table1[Obergruppe ATC-Code]"),Tabelle3!$A50)</f>
        <v>1</v>
      </c>
      <c r="CS50">
        <f ca="1">COUNTIFS(INDIRECT("Table1[Beginn]"),"&lt;="&amp;CS$1,INDIRECT("Table1[Ende]"),"&gt;="&amp;CS$1,INDIRECT("Table1[Obergruppe ATC-Code]"),Tabelle3!$A50)</f>
        <v>1</v>
      </c>
      <c r="CT50">
        <f ca="1">COUNTIFS(INDIRECT("Table1[Beginn]"),"&lt;="&amp;CT$1,INDIRECT("Table1[Ende]"),"&gt;="&amp;CT$1,INDIRECT("Table1[Obergruppe ATC-Code]"),Tabelle3!$A50)</f>
        <v>1</v>
      </c>
      <c r="CU50" s="56"/>
      <c r="CV50" s="56"/>
      <c r="CW50" s="56"/>
      <c r="CX50" s="56"/>
      <c r="CY50" s="56"/>
      <c r="CZ50" s="56"/>
      <c r="DA50" s="56"/>
      <c r="DB50" s="56"/>
      <c r="DC50" s="56"/>
      <c r="DD50" s="56"/>
      <c r="DE50" s="56"/>
      <c r="DF50" s="56"/>
      <c r="DG50" s="56"/>
      <c r="DH50" s="56"/>
    </row>
    <row r="51" spans="1:112" ht="18" customHeight="1">
      <c r="A51" s="9" t="s">
        <v>6871</v>
      </c>
      <c r="B51" s="10" t="s">
        <v>6872</v>
      </c>
      <c r="C51">
        <f ca="1">COUNTIFS(INDIRECT("Table1[Beginn]"),"&lt;="&amp;C$1,INDIRECT("Table1[Ende]"),"&gt;="&amp;C$1,INDIRECT("Table1[Obergruppe ATC-Code]"),Tabelle3!$A51)</f>
        <v>0</v>
      </c>
      <c r="D51">
        <f ca="1">COUNTIFS(INDIRECT("Table1[Beginn]"),"&lt;="&amp;D$1,INDIRECT("Table1[Ende]"),"&gt;="&amp;D$1,INDIRECT("Table1[Obergruppe ATC-Code]"),Tabelle3!$A51)</f>
        <v>0</v>
      </c>
      <c r="E51">
        <f ca="1">COUNTIFS(INDIRECT("Table1[Beginn]"),"&lt;="&amp;E$1,INDIRECT("Table1[Ende]"),"&gt;="&amp;E$1,INDIRECT("Table1[Obergruppe ATC-Code]"),Tabelle3!$A51)</f>
        <v>0</v>
      </c>
      <c r="F51">
        <f ca="1">COUNTIFS(INDIRECT("Table1[Beginn]"),"&lt;="&amp;F$1,INDIRECT("Table1[Ende]"),"&gt;="&amp;F$1,INDIRECT("Table1[Obergruppe ATC-Code]"),Tabelle3!$A51)</f>
        <v>0</v>
      </c>
      <c r="G51">
        <f ca="1">COUNTIFS(INDIRECT("Table1[Beginn]"),"&lt;="&amp;G$1,INDIRECT("Table1[Ende]"),"&gt;="&amp;G$1,INDIRECT("Table1[Obergruppe ATC-Code]"),Tabelle3!$A51)</f>
        <v>0</v>
      </c>
      <c r="H51">
        <f ca="1">COUNTIFS(INDIRECT("Table1[Beginn]"),"&lt;="&amp;H$1,INDIRECT("Table1[Ende]"),"&gt;="&amp;H$1,INDIRECT("Table1[Obergruppe ATC-Code]"),Tabelle3!$A51)</f>
        <v>0</v>
      </c>
      <c r="I51">
        <f ca="1">COUNTIFS(INDIRECT("Table1[Beginn]"),"&lt;="&amp;I$1,INDIRECT("Table1[Ende]"),"&gt;="&amp;I$1,INDIRECT("Table1[Obergruppe ATC-Code]"),Tabelle3!$A51)</f>
        <v>0</v>
      </c>
      <c r="J51">
        <f ca="1">COUNTIFS(INDIRECT("Table1[Beginn]"),"&lt;="&amp;J$1,INDIRECT("Table1[Ende]"),"&gt;="&amp;J$1,INDIRECT("Table1[Obergruppe ATC-Code]"),Tabelle3!$A51)</f>
        <v>0</v>
      </c>
      <c r="K51">
        <f ca="1">COUNTIFS(INDIRECT("Table1[Beginn]"),"&lt;="&amp;K$1,INDIRECT("Table1[Ende]"),"&gt;="&amp;K$1,INDIRECT("Table1[Obergruppe ATC-Code]"),Tabelle3!$A51)</f>
        <v>0</v>
      </c>
      <c r="L51">
        <f ca="1">COUNTIFS(INDIRECT("Table1[Beginn]"),"&lt;="&amp;L$1,INDIRECT("Table1[Ende]"),"&gt;="&amp;L$1,INDIRECT("Table1[Obergruppe ATC-Code]"),Tabelle3!$A51)</f>
        <v>0</v>
      </c>
      <c r="M51">
        <f ca="1">COUNTIFS(INDIRECT("Table1[Beginn]"),"&lt;="&amp;M$1,INDIRECT("Table1[Ende]"),"&gt;="&amp;M$1,INDIRECT("Table1[Obergruppe ATC-Code]"),Tabelle3!$A51)</f>
        <v>0</v>
      </c>
      <c r="N51">
        <f ca="1">COUNTIFS(INDIRECT("Table1[Beginn]"),"&lt;="&amp;N$1,INDIRECT("Table1[Ende]"),"&gt;="&amp;N$1,INDIRECT("Table1[Obergruppe ATC-Code]"),Tabelle3!$A51)</f>
        <v>0</v>
      </c>
      <c r="O51">
        <f ca="1">COUNTIFS(INDIRECT("Table1[Beginn]"),"&lt;="&amp;O$1,INDIRECT("Table1[Ende]"),"&gt;="&amp;O$1,INDIRECT("Table1[Obergruppe ATC-Code]"),Tabelle3!$A51)</f>
        <v>0</v>
      </c>
      <c r="P51">
        <f ca="1">COUNTIFS(INDIRECT("Table1[Beginn]"),"&lt;="&amp;P$1,INDIRECT("Table1[Ende]"),"&gt;="&amp;P$1,INDIRECT("Table1[Obergruppe ATC-Code]"),Tabelle3!$A51)</f>
        <v>0</v>
      </c>
      <c r="Q51">
        <f ca="1">COUNTIFS(INDIRECT("Table1[Beginn]"),"&lt;="&amp;Q$1,INDIRECT("Table1[Ende]"),"&gt;="&amp;Q$1,INDIRECT("Table1[Obergruppe ATC-Code]"),Tabelle3!$A51)</f>
        <v>0</v>
      </c>
      <c r="R51">
        <f ca="1">COUNTIFS(INDIRECT("Table1[Beginn]"),"&lt;="&amp;R$1,INDIRECT("Table1[Ende]"),"&gt;="&amp;R$1,INDIRECT("Table1[Obergruppe ATC-Code]"),Tabelle3!$A51)</f>
        <v>0</v>
      </c>
      <c r="S51">
        <f ca="1">COUNTIFS(INDIRECT("Table1[Beginn]"),"&lt;="&amp;S$1,INDIRECT("Table1[Ende]"),"&gt;="&amp;S$1,INDIRECT("Table1[Obergruppe ATC-Code]"),Tabelle3!$A51)</f>
        <v>0</v>
      </c>
      <c r="T51">
        <f ca="1">COUNTIFS(INDIRECT("Table1[Beginn]"),"&lt;="&amp;T$1,INDIRECT("Table1[Ende]"),"&gt;="&amp;T$1,INDIRECT("Table1[Obergruppe ATC-Code]"),Tabelle3!$A51)</f>
        <v>0</v>
      </c>
      <c r="U51">
        <f ca="1">COUNTIFS(INDIRECT("Table1[Beginn]"),"&lt;="&amp;U$1,INDIRECT("Table1[Ende]"),"&gt;="&amp;U$1,INDIRECT("Table1[Obergruppe ATC-Code]"),Tabelle3!$A51)</f>
        <v>0</v>
      </c>
      <c r="V51">
        <f ca="1">COUNTIFS(INDIRECT("Table1[Beginn]"),"&lt;="&amp;V$1,INDIRECT("Table1[Ende]"),"&gt;="&amp;V$1,INDIRECT("Table1[Obergruppe ATC-Code]"),Tabelle3!$A51)</f>
        <v>0</v>
      </c>
      <c r="W51">
        <f ca="1">COUNTIFS(INDIRECT("Table1[Beginn]"),"&lt;="&amp;W$1,INDIRECT("Table1[Ende]"),"&gt;="&amp;W$1,INDIRECT("Table1[Obergruppe ATC-Code]"),Tabelle3!$A51)</f>
        <v>0</v>
      </c>
      <c r="X51">
        <f ca="1">COUNTIFS(INDIRECT("Table1[Beginn]"),"&lt;="&amp;X$1,INDIRECT("Table1[Ende]"),"&gt;="&amp;X$1,INDIRECT("Table1[Obergruppe ATC-Code]"),Tabelle3!$A51)</f>
        <v>0</v>
      </c>
      <c r="Y51">
        <f ca="1">COUNTIFS(INDIRECT("Table1[Beginn]"),"&lt;="&amp;Y$1,INDIRECT("Table1[Ende]"),"&gt;="&amp;Y$1,INDIRECT("Table1[Obergruppe ATC-Code]"),Tabelle3!$A51)</f>
        <v>0</v>
      </c>
      <c r="Z51">
        <f ca="1">COUNTIFS(INDIRECT("Table1[Beginn]"),"&lt;="&amp;Z$1,INDIRECT("Table1[Ende]"),"&gt;="&amp;Z$1,INDIRECT("Table1[Obergruppe ATC-Code]"),Tabelle3!$A51)</f>
        <v>0</v>
      </c>
      <c r="AA51">
        <f ca="1">COUNTIFS(INDIRECT("Table1[Beginn]"),"&lt;="&amp;AA$1,INDIRECT("Table1[Ende]"),"&gt;="&amp;AA$1,INDIRECT("Table1[Obergruppe ATC-Code]"),Tabelle3!$A51)</f>
        <v>0</v>
      </c>
      <c r="AB51">
        <f ca="1">COUNTIFS(INDIRECT("Table1[Beginn]"),"&lt;="&amp;AB$1,INDIRECT("Table1[Ende]"),"&gt;="&amp;AB$1,INDIRECT("Table1[Obergruppe ATC-Code]"),Tabelle3!$A51)</f>
        <v>0</v>
      </c>
      <c r="AC51">
        <f ca="1">COUNTIFS(INDIRECT("Table1[Beginn]"),"&lt;="&amp;AC$1,INDIRECT("Table1[Ende]"),"&gt;="&amp;AC$1,INDIRECT("Table1[Obergruppe ATC-Code]"),Tabelle3!$A51)</f>
        <v>0</v>
      </c>
      <c r="AD51">
        <f ca="1">COUNTIFS(INDIRECT("Table1[Beginn]"),"&lt;="&amp;AD$1,INDIRECT("Table1[Ende]"),"&gt;="&amp;AD$1,INDIRECT("Table1[Obergruppe ATC-Code]"),Tabelle3!$A51)</f>
        <v>0</v>
      </c>
      <c r="AE51">
        <f ca="1">COUNTIFS(INDIRECT("Table1[Beginn]"),"&lt;="&amp;AE$1,INDIRECT("Table1[Ende]"),"&gt;="&amp;AE$1,INDIRECT("Table1[Obergruppe ATC-Code]"),Tabelle3!$A51)</f>
        <v>0</v>
      </c>
      <c r="AF51">
        <f ca="1">COUNTIFS(INDIRECT("Table1[Beginn]"),"&lt;="&amp;AF$1,INDIRECT("Table1[Ende]"),"&gt;="&amp;AF$1,INDIRECT("Table1[Obergruppe ATC-Code]"),Tabelle3!$A51)</f>
        <v>0</v>
      </c>
      <c r="AG51">
        <f ca="1">COUNTIFS(INDIRECT("Table1[Beginn]"),"&lt;="&amp;AG$1,INDIRECT("Table1[Ende]"),"&gt;="&amp;AG$1,INDIRECT("Table1[Obergruppe ATC-Code]"),Tabelle3!$A51)</f>
        <v>0</v>
      </c>
      <c r="AH51">
        <f ca="1">COUNTIFS(INDIRECT("Table1[Beginn]"),"&lt;="&amp;AH$1,INDIRECT("Table1[Ende]"),"&gt;="&amp;AH$1,INDIRECT("Table1[Obergruppe ATC-Code]"),Tabelle3!$A51)</f>
        <v>0</v>
      </c>
      <c r="AI51">
        <f ca="1">COUNTIFS(INDIRECT("Table1[Beginn]"),"&lt;="&amp;AI$1,INDIRECT("Table1[Ende]"),"&gt;="&amp;AI$1,INDIRECT("Table1[Obergruppe ATC-Code]"),Tabelle3!$A51)</f>
        <v>0</v>
      </c>
      <c r="AJ51">
        <f ca="1">COUNTIFS(INDIRECT("Table1[Beginn]"),"&lt;="&amp;AJ$1,INDIRECT("Table1[Ende]"),"&gt;="&amp;AJ$1,INDIRECT("Table1[Obergruppe ATC-Code]"),Tabelle3!$A51)</f>
        <v>0</v>
      </c>
      <c r="AK51">
        <f ca="1">COUNTIFS(INDIRECT("Table1[Beginn]"),"&lt;="&amp;AK$1,INDIRECT("Table1[Ende]"),"&gt;="&amp;AK$1,INDIRECT("Table1[Obergruppe ATC-Code]"),Tabelle3!$A51)</f>
        <v>0</v>
      </c>
      <c r="AL51">
        <f ca="1">COUNTIFS(INDIRECT("Table1[Beginn]"),"&lt;="&amp;AL$1,INDIRECT("Table1[Ende]"),"&gt;="&amp;AL$1,INDIRECT("Table1[Obergruppe ATC-Code]"),Tabelle3!$A51)</f>
        <v>0</v>
      </c>
      <c r="AM51">
        <f ca="1">COUNTIFS(INDIRECT("Table1[Beginn]"),"&lt;="&amp;AM$1,INDIRECT("Table1[Ende]"),"&gt;="&amp;AM$1,INDIRECT("Table1[Obergruppe ATC-Code]"),Tabelle3!$A51)</f>
        <v>0</v>
      </c>
      <c r="AN51">
        <f ca="1">COUNTIFS(INDIRECT("Table1[Beginn]"),"&lt;="&amp;AN$1,INDIRECT("Table1[Ende]"),"&gt;="&amp;AN$1,INDIRECT("Table1[Obergruppe ATC-Code]"),Tabelle3!$A51)</f>
        <v>0</v>
      </c>
      <c r="AO51">
        <f ca="1">COUNTIFS(INDIRECT("Table1[Beginn]"),"&lt;="&amp;AO$1,INDIRECT("Table1[Ende]"),"&gt;="&amp;AO$1,INDIRECT("Table1[Obergruppe ATC-Code]"),Tabelle3!$A51)</f>
        <v>0</v>
      </c>
      <c r="AP51">
        <f ca="1">COUNTIFS(INDIRECT("Table1[Beginn]"),"&lt;="&amp;AP$1,INDIRECT("Table1[Ende]"),"&gt;="&amp;AP$1,INDIRECT("Table1[Obergruppe ATC-Code]"),Tabelle3!$A51)</f>
        <v>0</v>
      </c>
      <c r="AQ51">
        <f ca="1">COUNTIFS(INDIRECT("Table1[Beginn]"),"&lt;="&amp;AQ$1,INDIRECT("Table1[Ende]"),"&gt;="&amp;AQ$1,INDIRECT("Table1[Obergruppe ATC-Code]"),Tabelle3!$A51)</f>
        <v>0</v>
      </c>
      <c r="AR51">
        <f ca="1">COUNTIFS(INDIRECT("Table1[Beginn]"),"&lt;="&amp;AR$1,INDIRECT("Table1[Ende]"),"&gt;="&amp;AR$1,INDIRECT("Table1[Obergruppe ATC-Code]"),Tabelle3!$A51)</f>
        <v>0</v>
      </c>
      <c r="AS51">
        <f ca="1">COUNTIFS(INDIRECT("Table1[Beginn]"),"&lt;="&amp;AS$1,INDIRECT("Table1[Ende]"),"&gt;="&amp;AS$1,INDIRECT("Table1[Obergruppe ATC-Code]"),Tabelle3!$A51)</f>
        <v>0</v>
      </c>
      <c r="AT51">
        <f ca="1">COUNTIFS(INDIRECT("Table1[Beginn]"),"&lt;="&amp;AT$1,INDIRECT("Table1[Ende]"),"&gt;="&amp;AT$1,INDIRECT("Table1[Obergruppe ATC-Code]"),Tabelle3!$A51)</f>
        <v>0</v>
      </c>
      <c r="AU51">
        <f ca="1">COUNTIFS(INDIRECT("Table1[Beginn]"),"&lt;="&amp;AU$1,INDIRECT("Table1[Ende]"),"&gt;="&amp;AU$1,INDIRECT("Table1[Obergruppe ATC-Code]"),Tabelle3!$A51)</f>
        <v>0</v>
      </c>
      <c r="AV51">
        <f ca="1">COUNTIFS(INDIRECT("Table1[Beginn]"),"&lt;="&amp;AV$1,INDIRECT("Table1[Ende]"),"&gt;="&amp;AV$1,INDIRECT("Table1[Obergruppe ATC-Code]"),Tabelle3!$A51)</f>
        <v>0</v>
      </c>
      <c r="AW51">
        <f ca="1">COUNTIFS(INDIRECT("Table1[Beginn]"),"&lt;="&amp;AW$1,INDIRECT("Table1[Ende]"),"&gt;="&amp;AW$1,INDIRECT("Table1[Obergruppe ATC-Code]"),Tabelle3!$A51)</f>
        <v>0</v>
      </c>
      <c r="AX51">
        <f ca="1">COUNTIFS(INDIRECT("Table1[Beginn]"),"&lt;="&amp;AX$1,INDIRECT("Table1[Ende]"),"&gt;="&amp;AX$1,INDIRECT("Table1[Obergruppe ATC-Code]"),Tabelle3!$A51)</f>
        <v>0</v>
      </c>
      <c r="AY51">
        <f ca="1">COUNTIFS(INDIRECT("Table1[Beginn]"),"&lt;="&amp;AY$1,INDIRECT("Table1[Ende]"),"&gt;="&amp;AY$1,INDIRECT("Table1[Obergruppe ATC-Code]"),Tabelle3!$A51)</f>
        <v>0</v>
      </c>
      <c r="AZ51">
        <f ca="1">COUNTIFS(INDIRECT("Table1[Beginn]"),"&lt;="&amp;AZ$1,INDIRECT("Table1[Ende]"),"&gt;="&amp;AZ$1,INDIRECT("Table1[Obergruppe ATC-Code]"),Tabelle3!$A51)</f>
        <v>0</v>
      </c>
      <c r="BA51">
        <f ca="1">COUNTIFS(INDIRECT("Table1[Beginn]"),"&lt;="&amp;BA$1,INDIRECT("Table1[Ende]"),"&gt;="&amp;BA$1,INDIRECT("Table1[Obergruppe ATC-Code]"),Tabelle3!$A51)</f>
        <v>0</v>
      </c>
      <c r="BB51">
        <f ca="1">COUNTIFS(INDIRECT("Table1[Beginn]"),"&lt;="&amp;BB$1,INDIRECT("Table1[Ende]"),"&gt;="&amp;BB$1,INDIRECT("Table1[Obergruppe ATC-Code]"),Tabelle3!$A51)</f>
        <v>0</v>
      </c>
      <c r="BC51">
        <f ca="1">COUNTIFS(INDIRECT("Table1[Beginn]"),"&lt;="&amp;BC$1,INDIRECT("Table1[Ende]"),"&gt;="&amp;BC$1,INDIRECT("Table1[Obergruppe ATC-Code]"),Tabelle3!$A51)</f>
        <v>0</v>
      </c>
      <c r="BD51">
        <f ca="1">COUNTIFS(INDIRECT("Table1[Beginn]"),"&lt;="&amp;BD$1,INDIRECT("Table1[Ende]"),"&gt;="&amp;BD$1,INDIRECT("Table1[Obergruppe ATC-Code]"),Tabelle3!$A51)</f>
        <v>0</v>
      </c>
      <c r="BE51">
        <f ca="1">COUNTIFS(INDIRECT("Table1[Beginn]"),"&lt;="&amp;BE$1,INDIRECT("Table1[Ende]"),"&gt;="&amp;BE$1,INDIRECT("Table1[Obergruppe ATC-Code]"),Tabelle3!$A51)</f>
        <v>0</v>
      </c>
      <c r="BF51">
        <f ca="1">COUNTIFS(INDIRECT("Table1[Beginn]"),"&lt;="&amp;BF$1,INDIRECT("Table1[Ende]"),"&gt;="&amp;BF$1,INDIRECT("Table1[Obergruppe ATC-Code]"),Tabelle3!$A51)</f>
        <v>0</v>
      </c>
      <c r="BG51">
        <f ca="1">COUNTIFS(INDIRECT("Table1[Beginn]"),"&lt;="&amp;BG$1,INDIRECT("Table1[Ende]"),"&gt;="&amp;BG$1,INDIRECT("Table1[Obergruppe ATC-Code]"),Tabelle3!$A51)</f>
        <v>0</v>
      </c>
      <c r="BH51">
        <f ca="1">COUNTIFS(INDIRECT("Table1[Beginn]"),"&lt;="&amp;BH$1,INDIRECT("Table1[Ende]"),"&gt;="&amp;BH$1,INDIRECT("Table1[Obergruppe ATC-Code]"),Tabelle3!$A51)</f>
        <v>0</v>
      </c>
      <c r="BI51">
        <f ca="1">COUNTIFS(INDIRECT("Table1[Beginn]"),"&lt;="&amp;BI$1,INDIRECT("Table1[Ende]"),"&gt;="&amp;BI$1,INDIRECT("Table1[Obergruppe ATC-Code]"),Tabelle3!$A51)</f>
        <v>0</v>
      </c>
      <c r="BJ51">
        <f ca="1">COUNTIFS(INDIRECT("Table1[Beginn]"),"&lt;="&amp;BJ$1,INDIRECT("Table1[Ende]"),"&gt;="&amp;BJ$1,INDIRECT("Table1[Obergruppe ATC-Code]"),Tabelle3!$A51)</f>
        <v>0</v>
      </c>
      <c r="BK51">
        <f ca="1">COUNTIFS(INDIRECT("Table1[Beginn]"),"&lt;="&amp;BK$1,INDIRECT("Table1[Ende]"),"&gt;="&amp;BK$1,INDIRECT("Table1[Obergruppe ATC-Code]"),Tabelle3!$A51)</f>
        <v>0</v>
      </c>
      <c r="BL51">
        <f ca="1">COUNTIFS(INDIRECT("Table1[Beginn]"),"&lt;="&amp;BL$1,INDIRECT("Table1[Ende]"),"&gt;="&amp;BL$1,INDIRECT("Table1[Obergruppe ATC-Code]"),Tabelle3!$A51)</f>
        <v>1</v>
      </c>
      <c r="BM51">
        <f ca="1">COUNTIFS(INDIRECT("Table1[Beginn]"),"&lt;="&amp;BM$1,INDIRECT("Table1[Ende]"),"&gt;="&amp;BM$1,INDIRECT("Table1[Obergruppe ATC-Code]"),Tabelle3!$A51)</f>
        <v>1</v>
      </c>
      <c r="BN51">
        <f ca="1">COUNTIFS(INDIRECT("Table1[Beginn]"),"&lt;="&amp;BN$1,INDIRECT("Table1[Ende]"),"&gt;="&amp;BN$1,INDIRECT("Table1[Obergruppe ATC-Code]"),Tabelle3!$A51)</f>
        <v>0</v>
      </c>
      <c r="BO51">
        <f ca="1">COUNTIFS(INDIRECT("Table1[Beginn]"),"&lt;="&amp;BO$1,INDIRECT("Table1[Ende]"),"&gt;="&amp;BO$1,INDIRECT("Table1[Obergruppe ATC-Code]"),Tabelle3!$A51)</f>
        <v>1</v>
      </c>
      <c r="BP51">
        <f ca="1">COUNTIFS(INDIRECT("Table1[Beginn]"),"&lt;="&amp;BP$1,INDIRECT("Table1[Ende]"),"&gt;="&amp;BP$1,INDIRECT("Table1[Obergruppe ATC-Code]"),Tabelle3!$A51)</f>
        <v>0</v>
      </c>
      <c r="BQ51">
        <f ca="1">COUNTIFS(INDIRECT("Table1[Beginn]"),"&lt;="&amp;BQ$1,INDIRECT("Table1[Ende]"),"&gt;="&amp;BQ$1,INDIRECT("Table1[Obergruppe ATC-Code]"),Tabelle3!$A51)</f>
        <v>2</v>
      </c>
      <c r="BR51">
        <f ca="1">COUNTIFS(INDIRECT("Table1[Beginn]"),"&lt;="&amp;BR$1,INDIRECT("Table1[Ende]"),"&gt;="&amp;BR$1,INDIRECT("Table1[Obergruppe ATC-Code]"),Tabelle3!$A51)</f>
        <v>2</v>
      </c>
      <c r="BS51">
        <f ca="1">COUNTIFS(INDIRECT("Table1[Beginn]"),"&lt;="&amp;BS$1,INDIRECT("Table1[Ende]"),"&gt;="&amp;BS$1,INDIRECT("Table1[Obergruppe ATC-Code]"),Tabelle3!$A51)</f>
        <v>0</v>
      </c>
      <c r="BT51">
        <f ca="1">COUNTIFS(INDIRECT("Table1[Beginn]"),"&lt;="&amp;BT$1,INDIRECT("Table1[Ende]"),"&gt;="&amp;BT$1,INDIRECT("Table1[Obergruppe ATC-Code]"),Tabelle3!$A51)</f>
        <v>1</v>
      </c>
      <c r="BU51">
        <f ca="1">COUNTIFS(INDIRECT("Table1[Beginn]"),"&lt;="&amp;BU$1,INDIRECT("Table1[Ende]"),"&gt;="&amp;BU$1,INDIRECT("Table1[Obergruppe ATC-Code]"),Tabelle3!$A51)</f>
        <v>1</v>
      </c>
      <c r="BV51">
        <f ca="1">COUNTIFS(INDIRECT("Table1[Beginn]"),"&lt;="&amp;BV$1,INDIRECT("Table1[Ende]"),"&gt;="&amp;BV$1,INDIRECT("Table1[Obergruppe ATC-Code]"),Tabelle3!$A51)</f>
        <v>1</v>
      </c>
      <c r="BW51">
        <f ca="1">COUNTIFS(INDIRECT("Table1[Beginn]"),"&lt;="&amp;BW$1,INDIRECT("Table1[Ende]"),"&gt;="&amp;BW$1,INDIRECT("Table1[Obergruppe ATC-Code]"),Tabelle3!$A51)</f>
        <v>1</v>
      </c>
      <c r="BX51">
        <f ca="1">COUNTIFS(INDIRECT("Table1[Beginn]"),"&lt;="&amp;BX$1,INDIRECT("Table1[Ende]"),"&gt;="&amp;BX$1,INDIRECT("Table1[Obergruppe ATC-Code]"),Tabelle3!$A51)</f>
        <v>1</v>
      </c>
      <c r="BY51">
        <f ca="1">COUNTIFS(INDIRECT("Table1[Beginn]"),"&lt;="&amp;BY$1,INDIRECT("Table1[Ende]"),"&gt;="&amp;BY$1,INDIRECT("Table1[Obergruppe ATC-Code]"),Tabelle3!$A51)</f>
        <v>1</v>
      </c>
      <c r="BZ51">
        <f ca="1">COUNTIFS(INDIRECT("Table1[Beginn]"),"&lt;="&amp;BZ$1,INDIRECT("Table1[Ende]"),"&gt;="&amp;BZ$1,INDIRECT("Table1[Obergruppe ATC-Code]"),Tabelle3!$A51)</f>
        <v>0</v>
      </c>
      <c r="CA51">
        <f ca="1">COUNTIFS(INDIRECT("Table1[Beginn]"),"&lt;="&amp;CA$1,INDIRECT("Table1[Ende]"),"&gt;="&amp;CA$1,INDIRECT("Table1[Obergruppe ATC-Code]"),Tabelle3!$A51)</f>
        <v>0</v>
      </c>
      <c r="CB51">
        <f ca="1">COUNTIFS(INDIRECT("Table1[Beginn]"),"&lt;="&amp;CB$1,INDIRECT("Table1[Ende]"),"&gt;="&amp;CB$1,INDIRECT("Table1[Obergruppe ATC-Code]"),Tabelle3!$A51)</f>
        <v>0</v>
      </c>
      <c r="CC51">
        <f ca="1">COUNTIFS(INDIRECT("Table1[Beginn]"),"&lt;="&amp;CC$1,INDIRECT("Table1[Ende]"),"&gt;="&amp;CC$1,INDIRECT("Table1[Obergruppe ATC-Code]"),Tabelle3!$A51)</f>
        <v>0</v>
      </c>
      <c r="CD51">
        <f ca="1">COUNTIFS(INDIRECT("Table1[Beginn]"),"&lt;="&amp;CD$1,INDIRECT("Table1[Ende]"),"&gt;="&amp;CD$1,INDIRECT("Table1[Obergruppe ATC-Code]"),Tabelle3!$A51)</f>
        <v>1</v>
      </c>
      <c r="CE51">
        <f ca="1">COUNTIFS(INDIRECT("Table1[Beginn]"),"&lt;="&amp;CE$1,INDIRECT("Table1[Ende]"),"&gt;="&amp;CE$1,INDIRECT("Table1[Obergruppe ATC-Code]"),Tabelle3!$A51)</f>
        <v>0</v>
      </c>
      <c r="CF51">
        <f ca="1">COUNTIFS(INDIRECT("Table1[Beginn]"),"&lt;="&amp;CF$1,INDIRECT("Table1[Ende]"),"&gt;="&amp;CF$1,INDIRECT("Table1[Obergruppe ATC-Code]"),Tabelle3!$A51)</f>
        <v>0</v>
      </c>
      <c r="CG51">
        <f ca="1">COUNTIFS(INDIRECT("Table1[Beginn]"),"&lt;="&amp;CG$1,INDIRECT("Table1[Ende]"),"&gt;="&amp;CG$1,INDIRECT("Table1[Obergruppe ATC-Code]"),Tabelle3!$A51)</f>
        <v>0</v>
      </c>
      <c r="CH51">
        <f ca="1">COUNTIFS(INDIRECT("Table1[Beginn]"),"&lt;="&amp;CH$1,INDIRECT("Table1[Ende]"),"&gt;="&amp;CH$1,INDIRECT("Table1[Obergruppe ATC-Code]"),Tabelle3!$A51)</f>
        <v>0</v>
      </c>
      <c r="CI51">
        <f ca="1">COUNTIFS(INDIRECT("Table1[Beginn]"),"&lt;="&amp;CI$1,INDIRECT("Table1[Ende]"),"&gt;="&amp;CI$1,INDIRECT("Table1[Obergruppe ATC-Code]"),Tabelle3!$A51)</f>
        <v>0</v>
      </c>
      <c r="CJ51">
        <f ca="1">COUNTIFS(INDIRECT("Table1[Beginn]"),"&lt;="&amp;CJ$1,INDIRECT("Table1[Ende]"),"&gt;="&amp;CJ$1,INDIRECT("Table1[Obergruppe ATC-Code]"),Tabelle3!$A51)</f>
        <v>0</v>
      </c>
      <c r="CK51">
        <f ca="1">COUNTIFS(INDIRECT("Table1[Beginn]"),"&lt;="&amp;CK$1,INDIRECT("Table1[Ende]"),"&gt;="&amp;CK$1,INDIRECT("Table1[Obergruppe ATC-Code]"),Tabelle3!$A51)</f>
        <v>0</v>
      </c>
      <c r="CL51">
        <f ca="1">COUNTIFS(INDIRECT("Table1[Beginn]"),"&lt;="&amp;CL$1,INDIRECT("Table1[Ende]"),"&gt;="&amp;CL$1,INDIRECT("Table1[Obergruppe ATC-Code]"),Tabelle3!$A51)</f>
        <v>0</v>
      </c>
      <c r="CM51">
        <f ca="1">COUNTIFS(INDIRECT("Table1[Beginn]"),"&lt;="&amp;CM$1,INDIRECT("Table1[Ende]"),"&gt;="&amp;CM$1,INDIRECT("Table1[Obergruppe ATC-Code]"),Tabelle3!$A51)</f>
        <v>0</v>
      </c>
      <c r="CN51">
        <f ca="1">COUNTIFS(INDIRECT("Table1[Beginn]"),"&lt;="&amp;CN$1,INDIRECT("Table1[Ende]"),"&gt;="&amp;CN$1,INDIRECT("Table1[Obergruppe ATC-Code]"),Tabelle3!$A51)</f>
        <v>0</v>
      </c>
      <c r="CO51">
        <f ca="1">COUNTIFS(INDIRECT("Table1[Beginn]"),"&lt;="&amp;CO$1,INDIRECT("Table1[Ende]"),"&gt;="&amp;CO$1,INDIRECT("Table1[Obergruppe ATC-Code]"),Tabelle3!$A51)</f>
        <v>0</v>
      </c>
      <c r="CP51">
        <f ca="1">COUNTIFS(INDIRECT("Table1[Beginn]"),"&lt;="&amp;CP$1,INDIRECT("Table1[Ende]"),"&gt;="&amp;CP$1,INDIRECT("Table1[Obergruppe ATC-Code]"),Tabelle3!$A51)</f>
        <v>0</v>
      </c>
      <c r="CQ51">
        <f ca="1">COUNTIFS(INDIRECT("Table1[Beginn]"),"&lt;="&amp;CQ$1,INDIRECT("Table1[Ende]"),"&gt;="&amp;CQ$1,INDIRECT("Table1[Obergruppe ATC-Code]"),Tabelle3!$A51)</f>
        <v>0</v>
      </c>
      <c r="CR51">
        <f ca="1">COUNTIFS(INDIRECT("Table1[Beginn]"),"&lt;="&amp;CR$1,INDIRECT("Table1[Ende]"),"&gt;="&amp;CR$1,INDIRECT("Table1[Obergruppe ATC-Code]"),Tabelle3!$A51)</f>
        <v>0</v>
      </c>
      <c r="CS51">
        <f ca="1">COUNTIFS(INDIRECT("Table1[Beginn]"),"&lt;="&amp;CS$1,INDIRECT("Table1[Ende]"),"&gt;="&amp;CS$1,INDIRECT("Table1[Obergruppe ATC-Code]"),Tabelle3!$A51)</f>
        <v>0</v>
      </c>
      <c r="CT51">
        <f ca="1">COUNTIFS(INDIRECT("Table1[Beginn]"),"&lt;="&amp;CT$1,INDIRECT("Table1[Ende]"),"&gt;="&amp;CT$1,INDIRECT("Table1[Obergruppe ATC-Code]"),Tabelle3!$A51)</f>
        <v>0</v>
      </c>
      <c r="CU51" s="56"/>
      <c r="CV51" s="56"/>
      <c r="CW51" s="56"/>
      <c r="CX51" s="56"/>
      <c r="CY51" s="56"/>
      <c r="CZ51" s="56"/>
      <c r="DA51" s="56"/>
      <c r="DB51" s="56"/>
      <c r="DC51" s="56"/>
      <c r="DD51" s="56"/>
      <c r="DE51" s="56"/>
      <c r="DF51" s="56"/>
      <c r="DG51" s="56"/>
      <c r="DH51" s="56"/>
    </row>
    <row r="52" spans="1:112" ht="18" customHeight="1">
      <c r="A52" s="7" t="s">
        <v>6873</v>
      </c>
      <c r="B52" s="8" t="s">
        <v>6874</v>
      </c>
      <c r="C52">
        <f ca="1">COUNTIFS(INDIRECT("Table1[Beginn]"),"&lt;="&amp;C$1,INDIRECT("Table1[Ende]"),"&gt;="&amp;C$1,INDIRECT("Table1[Obergruppe ATC-Code]"),Tabelle3!$A52)</f>
        <v>0</v>
      </c>
      <c r="D52">
        <f ca="1">COUNTIFS(INDIRECT("Table1[Beginn]"),"&lt;="&amp;D$1,INDIRECT("Table1[Ende]"),"&gt;="&amp;D$1,INDIRECT("Table1[Obergruppe ATC-Code]"),Tabelle3!$A52)</f>
        <v>0</v>
      </c>
      <c r="E52">
        <f ca="1">COUNTIFS(INDIRECT("Table1[Beginn]"),"&lt;="&amp;E$1,INDIRECT("Table1[Ende]"),"&gt;="&amp;E$1,INDIRECT("Table1[Obergruppe ATC-Code]"),Tabelle3!$A52)</f>
        <v>0</v>
      </c>
      <c r="F52">
        <f ca="1">COUNTIFS(INDIRECT("Table1[Beginn]"),"&lt;="&amp;F$1,INDIRECT("Table1[Ende]"),"&gt;="&amp;F$1,INDIRECT("Table1[Obergruppe ATC-Code]"),Tabelle3!$A52)</f>
        <v>0</v>
      </c>
      <c r="G52">
        <f ca="1">COUNTIFS(INDIRECT("Table1[Beginn]"),"&lt;="&amp;G$1,INDIRECT("Table1[Ende]"),"&gt;="&amp;G$1,INDIRECT("Table1[Obergruppe ATC-Code]"),Tabelle3!$A52)</f>
        <v>0</v>
      </c>
      <c r="H52">
        <f ca="1">COUNTIFS(INDIRECT("Table1[Beginn]"),"&lt;="&amp;H$1,INDIRECT("Table1[Ende]"),"&gt;="&amp;H$1,INDIRECT("Table1[Obergruppe ATC-Code]"),Tabelle3!$A52)</f>
        <v>0</v>
      </c>
      <c r="I52">
        <f ca="1">COUNTIFS(INDIRECT("Table1[Beginn]"),"&lt;="&amp;I$1,INDIRECT("Table1[Ende]"),"&gt;="&amp;I$1,INDIRECT("Table1[Obergruppe ATC-Code]"),Tabelle3!$A52)</f>
        <v>0</v>
      </c>
      <c r="J52">
        <f ca="1">COUNTIFS(INDIRECT("Table1[Beginn]"),"&lt;="&amp;J$1,INDIRECT("Table1[Ende]"),"&gt;="&amp;J$1,INDIRECT("Table1[Obergruppe ATC-Code]"),Tabelle3!$A52)</f>
        <v>0</v>
      </c>
      <c r="K52">
        <f ca="1">COUNTIFS(INDIRECT("Table1[Beginn]"),"&lt;="&amp;K$1,INDIRECT("Table1[Ende]"),"&gt;="&amp;K$1,INDIRECT("Table1[Obergruppe ATC-Code]"),Tabelle3!$A52)</f>
        <v>0</v>
      </c>
      <c r="L52">
        <f ca="1">COUNTIFS(INDIRECT("Table1[Beginn]"),"&lt;="&amp;L$1,INDIRECT("Table1[Ende]"),"&gt;="&amp;L$1,INDIRECT("Table1[Obergruppe ATC-Code]"),Tabelle3!$A52)</f>
        <v>0</v>
      </c>
      <c r="M52">
        <f ca="1">COUNTIFS(INDIRECT("Table1[Beginn]"),"&lt;="&amp;M$1,INDIRECT("Table1[Ende]"),"&gt;="&amp;M$1,INDIRECT("Table1[Obergruppe ATC-Code]"),Tabelle3!$A52)</f>
        <v>0</v>
      </c>
      <c r="N52">
        <f ca="1">COUNTIFS(INDIRECT("Table1[Beginn]"),"&lt;="&amp;N$1,INDIRECT("Table1[Ende]"),"&gt;="&amp;N$1,INDIRECT("Table1[Obergruppe ATC-Code]"),Tabelle3!$A52)</f>
        <v>0</v>
      </c>
      <c r="O52">
        <f ca="1">COUNTIFS(INDIRECT("Table1[Beginn]"),"&lt;="&amp;O$1,INDIRECT("Table1[Ende]"),"&gt;="&amp;O$1,INDIRECT("Table1[Obergruppe ATC-Code]"),Tabelle3!$A52)</f>
        <v>0</v>
      </c>
      <c r="P52">
        <f ca="1">COUNTIFS(INDIRECT("Table1[Beginn]"),"&lt;="&amp;P$1,INDIRECT("Table1[Ende]"),"&gt;="&amp;P$1,INDIRECT("Table1[Obergruppe ATC-Code]"),Tabelle3!$A52)</f>
        <v>0</v>
      </c>
      <c r="Q52">
        <f ca="1">COUNTIFS(INDIRECT("Table1[Beginn]"),"&lt;="&amp;Q$1,INDIRECT("Table1[Ende]"),"&gt;="&amp;Q$1,INDIRECT("Table1[Obergruppe ATC-Code]"),Tabelle3!$A52)</f>
        <v>0</v>
      </c>
      <c r="R52">
        <f ca="1">COUNTIFS(INDIRECT("Table1[Beginn]"),"&lt;="&amp;R$1,INDIRECT("Table1[Ende]"),"&gt;="&amp;R$1,INDIRECT("Table1[Obergruppe ATC-Code]"),Tabelle3!$A52)</f>
        <v>0</v>
      </c>
      <c r="S52">
        <f ca="1">COUNTIFS(INDIRECT("Table1[Beginn]"),"&lt;="&amp;S$1,INDIRECT("Table1[Ende]"),"&gt;="&amp;S$1,INDIRECT("Table1[Obergruppe ATC-Code]"),Tabelle3!$A52)</f>
        <v>0</v>
      </c>
      <c r="T52">
        <f ca="1">COUNTIFS(INDIRECT("Table1[Beginn]"),"&lt;="&amp;T$1,INDIRECT("Table1[Ende]"),"&gt;="&amp;T$1,INDIRECT("Table1[Obergruppe ATC-Code]"),Tabelle3!$A52)</f>
        <v>0</v>
      </c>
      <c r="U52">
        <f ca="1">COUNTIFS(INDIRECT("Table1[Beginn]"),"&lt;="&amp;U$1,INDIRECT("Table1[Ende]"),"&gt;="&amp;U$1,INDIRECT("Table1[Obergruppe ATC-Code]"),Tabelle3!$A52)</f>
        <v>0</v>
      </c>
      <c r="V52">
        <f ca="1">COUNTIFS(INDIRECT("Table1[Beginn]"),"&lt;="&amp;V$1,INDIRECT("Table1[Ende]"),"&gt;="&amp;V$1,INDIRECT("Table1[Obergruppe ATC-Code]"),Tabelle3!$A52)</f>
        <v>0</v>
      </c>
      <c r="W52">
        <f ca="1">COUNTIFS(INDIRECT("Table1[Beginn]"),"&lt;="&amp;W$1,INDIRECT("Table1[Ende]"),"&gt;="&amp;W$1,INDIRECT("Table1[Obergruppe ATC-Code]"),Tabelle3!$A52)</f>
        <v>0</v>
      </c>
      <c r="X52">
        <f ca="1">COUNTIFS(INDIRECT("Table1[Beginn]"),"&lt;="&amp;X$1,INDIRECT("Table1[Ende]"),"&gt;="&amp;X$1,INDIRECT("Table1[Obergruppe ATC-Code]"),Tabelle3!$A52)</f>
        <v>0</v>
      </c>
      <c r="Y52">
        <f ca="1">COUNTIFS(INDIRECT("Table1[Beginn]"),"&lt;="&amp;Y$1,INDIRECT("Table1[Ende]"),"&gt;="&amp;Y$1,INDIRECT("Table1[Obergruppe ATC-Code]"),Tabelle3!$A52)</f>
        <v>0</v>
      </c>
      <c r="Z52">
        <f ca="1">COUNTIFS(INDIRECT("Table1[Beginn]"),"&lt;="&amp;Z$1,INDIRECT("Table1[Ende]"),"&gt;="&amp;Z$1,INDIRECT("Table1[Obergruppe ATC-Code]"),Tabelle3!$A52)</f>
        <v>0</v>
      </c>
      <c r="AA52">
        <f ca="1">COUNTIFS(INDIRECT("Table1[Beginn]"),"&lt;="&amp;AA$1,INDIRECT("Table1[Ende]"),"&gt;="&amp;AA$1,INDIRECT("Table1[Obergruppe ATC-Code]"),Tabelle3!$A52)</f>
        <v>0</v>
      </c>
      <c r="AB52">
        <f ca="1">COUNTIFS(INDIRECT("Table1[Beginn]"),"&lt;="&amp;AB$1,INDIRECT("Table1[Ende]"),"&gt;="&amp;AB$1,INDIRECT("Table1[Obergruppe ATC-Code]"),Tabelle3!$A52)</f>
        <v>0</v>
      </c>
      <c r="AC52">
        <f ca="1">COUNTIFS(INDIRECT("Table1[Beginn]"),"&lt;="&amp;AC$1,INDIRECT("Table1[Ende]"),"&gt;="&amp;AC$1,INDIRECT("Table1[Obergruppe ATC-Code]"),Tabelle3!$A52)</f>
        <v>0</v>
      </c>
      <c r="AD52">
        <f ca="1">COUNTIFS(INDIRECT("Table1[Beginn]"),"&lt;="&amp;AD$1,INDIRECT("Table1[Ende]"),"&gt;="&amp;AD$1,INDIRECT("Table1[Obergruppe ATC-Code]"),Tabelle3!$A52)</f>
        <v>0</v>
      </c>
      <c r="AE52">
        <f ca="1">COUNTIFS(INDIRECT("Table1[Beginn]"),"&lt;="&amp;AE$1,INDIRECT("Table1[Ende]"),"&gt;="&amp;AE$1,INDIRECT("Table1[Obergruppe ATC-Code]"),Tabelle3!$A52)</f>
        <v>0</v>
      </c>
      <c r="AF52">
        <f ca="1">COUNTIFS(INDIRECT("Table1[Beginn]"),"&lt;="&amp;AF$1,INDIRECT("Table1[Ende]"),"&gt;="&amp;AF$1,INDIRECT("Table1[Obergruppe ATC-Code]"),Tabelle3!$A52)</f>
        <v>0</v>
      </c>
      <c r="AG52">
        <f ca="1">COUNTIFS(INDIRECT("Table1[Beginn]"),"&lt;="&amp;AG$1,INDIRECT("Table1[Ende]"),"&gt;="&amp;AG$1,INDIRECT("Table1[Obergruppe ATC-Code]"),Tabelle3!$A52)</f>
        <v>0</v>
      </c>
      <c r="AH52">
        <f ca="1">COUNTIFS(INDIRECT("Table1[Beginn]"),"&lt;="&amp;AH$1,INDIRECT("Table1[Ende]"),"&gt;="&amp;AH$1,INDIRECT("Table1[Obergruppe ATC-Code]"),Tabelle3!$A52)</f>
        <v>0</v>
      </c>
      <c r="AI52">
        <f ca="1">COUNTIFS(INDIRECT("Table1[Beginn]"),"&lt;="&amp;AI$1,INDIRECT("Table1[Ende]"),"&gt;="&amp;AI$1,INDIRECT("Table1[Obergruppe ATC-Code]"),Tabelle3!$A52)</f>
        <v>0</v>
      </c>
      <c r="AJ52">
        <f ca="1">COUNTIFS(INDIRECT("Table1[Beginn]"),"&lt;="&amp;AJ$1,INDIRECT("Table1[Ende]"),"&gt;="&amp;AJ$1,INDIRECT("Table1[Obergruppe ATC-Code]"),Tabelle3!$A52)</f>
        <v>0</v>
      </c>
      <c r="AK52">
        <f ca="1">COUNTIFS(INDIRECT("Table1[Beginn]"),"&lt;="&amp;AK$1,INDIRECT("Table1[Ende]"),"&gt;="&amp;AK$1,INDIRECT("Table1[Obergruppe ATC-Code]"),Tabelle3!$A52)</f>
        <v>0</v>
      </c>
      <c r="AL52">
        <f ca="1">COUNTIFS(INDIRECT("Table1[Beginn]"),"&lt;="&amp;AL$1,INDIRECT("Table1[Ende]"),"&gt;="&amp;AL$1,INDIRECT("Table1[Obergruppe ATC-Code]"),Tabelle3!$A52)</f>
        <v>0</v>
      </c>
      <c r="AM52">
        <f ca="1">COUNTIFS(INDIRECT("Table1[Beginn]"),"&lt;="&amp;AM$1,INDIRECT("Table1[Ende]"),"&gt;="&amp;AM$1,INDIRECT("Table1[Obergruppe ATC-Code]"),Tabelle3!$A52)</f>
        <v>0</v>
      </c>
      <c r="AN52">
        <f ca="1">COUNTIFS(INDIRECT("Table1[Beginn]"),"&lt;="&amp;AN$1,INDIRECT("Table1[Ende]"),"&gt;="&amp;AN$1,INDIRECT("Table1[Obergruppe ATC-Code]"),Tabelle3!$A52)</f>
        <v>0</v>
      </c>
      <c r="AO52">
        <f ca="1">COUNTIFS(INDIRECT("Table1[Beginn]"),"&lt;="&amp;AO$1,INDIRECT("Table1[Ende]"),"&gt;="&amp;AO$1,INDIRECT("Table1[Obergruppe ATC-Code]"),Tabelle3!$A52)</f>
        <v>0</v>
      </c>
      <c r="AP52">
        <f ca="1">COUNTIFS(INDIRECT("Table1[Beginn]"),"&lt;="&amp;AP$1,INDIRECT("Table1[Ende]"),"&gt;="&amp;AP$1,INDIRECT("Table1[Obergruppe ATC-Code]"),Tabelle3!$A52)</f>
        <v>0</v>
      </c>
      <c r="AQ52">
        <f ca="1">COUNTIFS(INDIRECT("Table1[Beginn]"),"&lt;="&amp;AQ$1,INDIRECT("Table1[Ende]"),"&gt;="&amp;AQ$1,INDIRECT("Table1[Obergruppe ATC-Code]"),Tabelle3!$A52)</f>
        <v>0</v>
      </c>
      <c r="AR52">
        <f ca="1">COUNTIFS(INDIRECT("Table1[Beginn]"),"&lt;="&amp;AR$1,INDIRECT("Table1[Ende]"),"&gt;="&amp;AR$1,INDIRECT("Table1[Obergruppe ATC-Code]"),Tabelle3!$A52)</f>
        <v>0</v>
      </c>
      <c r="AS52">
        <f ca="1">COUNTIFS(INDIRECT("Table1[Beginn]"),"&lt;="&amp;AS$1,INDIRECT("Table1[Ende]"),"&gt;="&amp;AS$1,INDIRECT("Table1[Obergruppe ATC-Code]"),Tabelle3!$A52)</f>
        <v>0</v>
      </c>
      <c r="AT52">
        <f ca="1">COUNTIFS(INDIRECT("Table1[Beginn]"),"&lt;="&amp;AT$1,INDIRECT("Table1[Ende]"),"&gt;="&amp;AT$1,INDIRECT("Table1[Obergruppe ATC-Code]"),Tabelle3!$A52)</f>
        <v>0</v>
      </c>
      <c r="AU52">
        <f ca="1">COUNTIFS(INDIRECT("Table1[Beginn]"),"&lt;="&amp;AU$1,INDIRECT("Table1[Ende]"),"&gt;="&amp;AU$1,INDIRECT("Table1[Obergruppe ATC-Code]"),Tabelle3!$A52)</f>
        <v>0</v>
      </c>
      <c r="AV52">
        <f ca="1">COUNTIFS(INDIRECT("Table1[Beginn]"),"&lt;="&amp;AV$1,INDIRECT("Table1[Ende]"),"&gt;="&amp;AV$1,INDIRECT("Table1[Obergruppe ATC-Code]"),Tabelle3!$A52)</f>
        <v>0</v>
      </c>
      <c r="AW52">
        <f ca="1">COUNTIFS(INDIRECT("Table1[Beginn]"),"&lt;="&amp;AW$1,INDIRECT("Table1[Ende]"),"&gt;="&amp;AW$1,INDIRECT("Table1[Obergruppe ATC-Code]"),Tabelle3!$A52)</f>
        <v>0</v>
      </c>
      <c r="AX52">
        <f ca="1">COUNTIFS(INDIRECT("Table1[Beginn]"),"&lt;="&amp;AX$1,INDIRECT("Table1[Ende]"),"&gt;="&amp;AX$1,INDIRECT("Table1[Obergruppe ATC-Code]"),Tabelle3!$A52)</f>
        <v>0</v>
      </c>
      <c r="AY52">
        <f ca="1">COUNTIFS(INDIRECT("Table1[Beginn]"),"&lt;="&amp;AY$1,INDIRECT("Table1[Ende]"),"&gt;="&amp;AY$1,INDIRECT("Table1[Obergruppe ATC-Code]"),Tabelle3!$A52)</f>
        <v>0</v>
      </c>
      <c r="AZ52">
        <f ca="1">COUNTIFS(INDIRECT("Table1[Beginn]"),"&lt;="&amp;AZ$1,INDIRECT("Table1[Ende]"),"&gt;="&amp;AZ$1,INDIRECT("Table1[Obergruppe ATC-Code]"),Tabelle3!$A52)</f>
        <v>0</v>
      </c>
      <c r="BA52">
        <f ca="1">COUNTIFS(INDIRECT("Table1[Beginn]"),"&lt;="&amp;BA$1,INDIRECT("Table1[Ende]"),"&gt;="&amp;BA$1,INDIRECT("Table1[Obergruppe ATC-Code]"),Tabelle3!$A52)</f>
        <v>0</v>
      </c>
      <c r="BB52">
        <f ca="1">COUNTIFS(INDIRECT("Table1[Beginn]"),"&lt;="&amp;BB$1,INDIRECT("Table1[Ende]"),"&gt;="&amp;BB$1,INDIRECT("Table1[Obergruppe ATC-Code]"),Tabelle3!$A52)</f>
        <v>0</v>
      </c>
      <c r="BC52">
        <f ca="1">COUNTIFS(INDIRECT("Table1[Beginn]"),"&lt;="&amp;BC$1,INDIRECT("Table1[Ende]"),"&gt;="&amp;BC$1,INDIRECT("Table1[Obergruppe ATC-Code]"),Tabelle3!$A52)</f>
        <v>0</v>
      </c>
      <c r="BD52">
        <f ca="1">COUNTIFS(INDIRECT("Table1[Beginn]"),"&lt;="&amp;BD$1,INDIRECT("Table1[Ende]"),"&gt;="&amp;BD$1,INDIRECT("Table1[Obergruppe ATC-Code]"),Tabelle3!$A52)</f>
        <v>0</v>
      </c>
      <c r="BE52">
        <f ca="1">COUNTIFS(INDIRECT("Table1[Beginn]"),"&lt;="&amp;BE$1,INDIRECT("Table1[Ende]"),"&gt;="&amp;BE$1,INDIRECT("Table1[Obergruppe ATC-Code]"),Tabelle3!$A52)</f>
        <v>0</v>
      </c>
      <c r="BF52">
        <f ca="1">COUNTIFS(INDIRECT("Table1[Beginn]"),"&lt;="&amp;BF$1,INDIRECT("Table1[Ende]"),"&gt;="&amp;BF$1,INDIRECT("Table1[Obergruppe ATC-Code]"),Tabelle3!$A52)</f>
        <v>0</v>
      </c>
      <c r="BG52">
        <f ca="1">COUNTIFS(INDIRECT("Table1[Beginn]"),"&lt;="&amp;BG$1,INDIRECT("Table1[Ende]"),"&gt;="&amp;BG$1,INDIRECT("Table1[Obergruppe ATC-Code]"),Tabelle3!$A52)</f>
        <v>0</v>
      </c>
      <c r="BH52">
        <f ca="1">COUNTIFS(INDIRECT("Table1[Beginn]"),"&lt;="&amp;BH$1,INDIRECT("Table1[Ende]"),"&gt;="&amp;BH$1,INDIRECT("Table1[Obergruppe ATC-Code]"),Tabelle3!$A52)</f>
        <v>0</v>
      </c>
      <c r="BI52">
        <f ca="1">COUNTIFS(INDIRECT("Table1[Beginn]"),"&lt;="&amp;BI$1,INDIRECT("Table1[Ende]"),"&gt;="&amp;BI$1,INDIRECT("Table1[Obergruppe ATC-Code]"),Tabelle3!$A52)</f>
        <v>0</v>
      </c>
      <c r="BJ52">
        <f ca="1">COUNTIFS(INDIRECT("Table1[Beginn]"),"&lt;="&amp;BJ$1,INDIRECT("Table1[Ende]"),"&gt;="&amp;BJ$1,INDIRECT("Table1[Obergruppe ATC-Code]"),Tabelle3!$A52)</f>
        <v>0</v>
      </c>
      <c r="BK52">
        <f ca="1">COUNTIFS(INDIRECT("Table1[Beginn]"),"&lt;="&amp;BK$1,INDIRECT("Table1[Ende]"),"&gt;="&amp;BK$1,INDIRECT("Table1[Obergruppe ATC-Code]"),Tabelle3!$A52)</f>
        <v>0</v>
      </c>
      <c r="BL52">
        <f ca="1">COUNTIFS(INDIRECT("Table1[Beginn]"),"&lt;="&amp;BL$1,INDIRECT("Table1[Ende]"),"&gt;="&amp;BL$1,INDIRECT("Table1[Obergruppe ATC-Code]"),Tabelle3!$A52)</f>
        <v>0</v>
      </c>
      <c r="BM52">
        <f ca="1">COUNTIFS(INDIRECT("Table1[Beginn]"),"&lt;="&amp;BM$1,INDIRECT("Table1[Ende]"),"&gt;="&amp;BM$1,INDIRECT("Table1[Obergruppe ATC-Code]"),Tabelle3!$A52)</f>
        <v>0</v>
      </c>
      <c r="BN52">
        <f ca="1">COUNTIFS(INDIRECT("Table1[Beginn]"),"&lt;="&amp;BN$1,INDIRECT("Table1[Ende]"),"&gt;="&amp;BN$1,INDIRECT("Table1[Obergruppe ATC-Code]"),Tabelle3!$A52)</f>
        <v>0</v>
      </c>
      <c r="BO52">
        <f ca="1">COUNTIFS(INDIRECT("Table1[Beginn]"),"&lt;="&amp;BO$1,INDIRECT("Table1[Ende]"),"&gt;="&amp;BO$1,INDIRECT("Table1[Obergruppe ATC-Code]"),Tabelle3!$A52)</f>
        <v>0</v>
      </c>
      <c r="BP52">
        <f ca="1">COUNTIFS(INDIRECT("Table1[Beginn]"),"&lt;="&amp;BP$1,INDIRECT("Table1[Ende]"),"&gt;="&amp;BP$1,INDIRECT("Table1[Obergruppe ATC-Code]"),Tabelle3!$A52)</f>
        <v>1</v>
      </c>
      <c r="BQ52">
        <f ca="1">COUNTIFS(INDIRECT("Table1[Beginn]"),"&lt;="&amp;BQ$1,INDIRECT("Table1[Ende]"),"&gt;="&amp;BQ$1,INDIRECT("Table1[Obergruppe ATC-Code]"),Tabelle3!$A52)</f>
        <v>1</v>
      </c>
      <c r="BR52">
        <f ca="1">COUNTIFS(INDIRECT("Table1[Beginn]"),"&lt;="&amp;BR$1,INDIRECT("Table1[Ende]"),"&gt;="&amp;BR$1,INDIRECT("Table1[Obergruppe ATC-Code]"),Tabelle3!$A52)</f>
        <v>1</v>
      </c>
      <c r="BS52">
        <f ca="1">COUNTIFS(INDIRECT("Table1[Beginn]"),"&lt;="&amp;BS$1,INDIRECT("Table1[Ende]"),"&gt;="&amp;BS$1,INDIRECT("Table1[Obergruppe ATC-Code]"),Tabelle3!$A52)</f>
        <v>1</v>
      </c>
      <c r="BT52">
        <f ca="1">COUNTIFS(INDIRECT("Table1[Beginn]"),"&lt;="&amp;BT$1,INDIRECT("Table1[Ende]"),"&gt;="&amp;BT$1,INDIRECT("Table1[Obergruppe ATC-Code]"),Tabelle3!$A52)</f>
        <v>1</v>
      </c>
      <c r="BU52">
        <f ca="1">COUNTIFS(INDIRECT("Table1[Beginn]"),"&lt;="&amp;BU$1,INDIRECT("Table1[Ende]"),"&gt;="&amp;BU$1,INDIRECT("Table1[Obergruppe ATC-Code]"),Tabelle3!$A52)</f>
        <v>1</v>
      </c>
      <c r="BV52">
        <f ca="1">COUNTIFS(INDIRECT("Table1[Beginn]"),"&lt;="&amp;BV$1,INDIRECT("Table1[Ende]"),"&gt;="&amp;BV$1,INDIRECT("Table1[Obergruppe ATC-Code]"),Tabelle3!$A52)</f>
        <v>3</v>
      </c>
      <c r="BW52">
        <f ca="1">COUNTIFS(INDIRECT("Table1[Beginn]"),"&lt;="&amp;BW$1,INDIRECT("Table1[Ende]"),"&gt;="&amp;BW$1,INDIRECT("Table1[Obergruppe ATC-Code]"),Tabelle3!$A52)</f>
        <v>3</v>
      </c>
      <c r="BX52">
        <f ca="1">COUNTIFS(INDIRECT("Table1[Beginn]"),"&lt;="&amp;BX$1,INDIRECT("Table1[Ende]"),"&gt;="&amp;BX$1,INDIRECT("Table1[Obergruppe ATC-Code]"),Tabelle3!$A52)</f>
        <v>3</v>
      </c>
      <c r="BY52">
        <f ca="1">COUNTIFS(INDIRECT("Table1[Beginn]"),"&lt;="&amp;BY$1,INDIRECT("Table1[Ende]"),"&gt;="&amp;BY$1,INDIRECT("Table1[Obergruppe ATC-Code]"),Tabelle3!$A52)</f>
        <v>3</v>
      </c>
      <c r="BZ52">
        <f ca="1">COUNTIFS(INDIRECT("Table1[Beginn]"),"&lt;="&amp;BZ$1,INDIRECT("Table1[Ende]"),"&gt;="&amp;BZ$1,INDIRECT("Table1[Obergruppe ATC-Code]"),Tabelle3!$A52)</f>
        <v>3</v>
      </c>
      <c r="CA52">
        <f ca="1">COUNTIFS(INDIRECT("Table1[Beginn]"),"&lt;="&amp;CA$1,INDIRECT("Table1[Ende]"),"&gt;="&amp;CA$1,INDIRECT("Table1[Obergruppe ATC-Code]"),Tabelle3!$A52)</f>
        <v>3</v>
      </c>
      <c r="CB52">
        <f ca="1">COUNTIFS(INDIRECT("Table1[Beginn]"),"&lt;="&amp;CB$1,INDIRECT("Table1[Ende]"),"&gt;="&amp;CB$1,INDIRECT("Table1[Obergruppe ATC-Code]"),Tabelle3!$A52)</f>
        <v>3</v>
      </c>
      <c r="CC52">
        <f ca="1">COUNTIFS(INDIRECT("Table1[Beginn]"),"&lt;="&amp;CC$1,INDIRECT("Table1[Ende]"),"&gt;="&amp;CC$1,INDIRECT("Table1[Obergruppe ATC-Code]"),Tabelle3!$A52)</f>
        <v>6</v>
      </c>
      <c r="CD52">
        <f ca="1">COUNTIFS(INDIRECT("Table1[Beginn]"),"&lt;="&amp;CD$1,INDIRECT("Table1[Ende]"),"&gt;="&amp;CD$1,INDIRECT("Table1[Obergruppe ATC-Code]"),Tabelle3!$A52)</f>
        <v>6</v>
      </c>
      <c r="CE52">
        <f ca="1">COUNTIFS(INDIRECT("Table1[Beginn]"),"&lt;="&amp;CE$1,INDIRECT("Table1[Ende]"),"&gt;="&amp;CE$1,INDIRECT("Table1[Obergruppe ATC-Code]"),Tabelle3!$A52)</f>
        <v>6</v>
      </c>
      <c r="CF52">
        <f ca="1">COUNTIFS(INDIRECT("Table1[Beginn]"),"&lt;="&amp;CF$1,INDIRECT("Table1[Ende]"),"&gt;="&amp;CF$1,INDIRECT("Table1[Obergruppe ATC-Code]"),Tabelle3!$A52)</f>
        <v>6</v>
      </c>
      <c r="CG52">
        <f ca="1">COUNTIFS(INDIRECT("Table1[Beginn]"),"&lt;="&amp;CG$1,INDIRECT("Table1[Ende]"),"&gt;="&amp;CG$1,INDIRECT("Table1[Obergruppe ATC-Code]"),Tabelle3!$A52)</f>
        <v>4</v>
      </c>
      <c r="CH52">
        <f ca="1">COUNTIFS(INDIRECT("Table1[Beginn]"),"&lt;="&amp;CH$1,INDIRECT("Table1[Ende]"),"&gt;="&amp;CH$1,INDIRECT("Table1[Obergruppe ATC-Code]"),Tabelle3!$A52)</f>
        <v>1</v>
      </c>
      <c r="CI52">
        <f ca="1">COUNTIFS(INDIRECT("Table1[Beginn]"),"&lt;="&amp;CI$1,INDIRECT("Table1[Ende]"),"&gt;="&amp;CI$1,INDIRECT("Table1[Obergruppe ATC-Code]"),Tabelle3!$A52)</f>
        <v>1</v>
      </c>
      <c r="CJ52">
        <f ca="1">COUNTIFS(INDIRECT("Table1[Beginn]"),"&lt;="&amp;CJ$1,INDIRECT("Table1[Ende]"),"&gt;="&amp;CJ$1,INDIRECT("Table1[Obergruppe ATC-Code]"),Tabelle3!$A52)</f>
        <v>1</v>
      </c>
      <c r="CK52">
        <f ca="1">COUNTIFS(INDIRECT("Table1[Beginn]"),"&lt;="&amp;CK$1,INDIRECT("Table1[Ende]"),"&gt;="&amp;CK$1,INDIRECT("Table1[Obergruppe ATC-Code]"),Tabelle3!$A52)</f>
        <v>1</v>
      </c>
      <c r="CL52">
        <f ca="1">COUNTIFS(INDIRECT("Table1[Beginn]"),"&lt;="&amp;CL$1,INDIRECT("Table1[Ende]"),"&gt;="&amp;CL$1,INDIRECT("Table1[Obergruppe ATC-Code]"),Tabelle3!$A52)</f>
        <v>1</v>
      </c>
      <c r="CM52">
        <f ca="1">COUNTIFS(INDIRECT("Table1[Beginn]"),"&lt;="&amp;CM$1,INDIRECT("Table1[Ende]"),"&gt;="&amp;CM$1,INDIRECT("Table1[Obergruppe ATC-Code]"),Tabelle3!$A52)</f>
        <v>1</v>
      </c>
      <c r="CN52">
        <f ca="1">COUNTIFS(INDIRECT("Table1[Beginn]"),"&lt;="&amp;CN$1,INDIRECT("Table1[Ende]"),"&gt;="&amp;CN$1,INDIRECT("Table1[Obergruppe ATC-Code]"),Tabelle3!$A52)</f>
        <v>1</v>
      </c>
      <c r="CO52">
        <f ca="1">COUNTIFS(INDIRECT("Table1[Beginn]"),"&lt;="&amp;CO$1,INDIRECT("Table1[Ende]"),"&gt;="&amp;CO$1,INDIRECT("Table1[Obergruppe ATC-Code]"),Tabelle3!$A52)</f>
        <v>1</v>
      </c>
      <c r="CP52">
        <f ca="1">COUNTIFS(INDIRECT("Table1[Beginn]"),"&lt;="&amp;CP$1,INDIRECT("Table1[Ende]"),"&gt;="&amp;CP$1,INDIRECT("Table1[Obergruppe ATC-Code]"),Tabelle3!$A52)</f>
        <v>1</v>
      </c>
      <c r="CQ52">
        <f ca="1">COUNTIFS(INDIRECT("Table1[Beginn]"),"&lt;="&amp;CQ$1,INDIRECT("Table1[Ende]"),"&gt;="&amp;CQ$1,INDIRECT("Table1[Obergruppe ATC-Code]"),Tabelle3!$A52)</f>
        <v>1</v>
      </c>
      <c r="CR52">
        <f ca="1">COUNTIFS(INDIRECT("Table1[Beginn]"),"&lt;="&amp;CR$1,INDIRECT("Table1[Ende]"),"&gt;="&amp;CR$1,INDIRECT("Table1[Obergruppe ATC-Code]"),Tabelle3!$A52)</f>
        <v>1</v>
      </c>
      <c r="CS52">
        <f ca="1">COUNTIFS(INDIRECT("Table1[Beginn]"),"&lt;="&amp;CS$1,INDIRECT("Table1[Ende]"),"&gt;="&amp;CS$1,INDIRECT("Table1[Obergruppe ATC-Code]"),Tabelle3!$A52)</f>
        <v>1</v>
      </c>
      <c r="CT52">
        <f ca="1">COUNTIFS(INDIRECT("Table1[Beginn]"),"&lt;="&amp;CT$1,INDIRECT("Table1[Ende]"),"&gt;="&amp;CT$1,INDIRECT("Table1[Obergruppe ATC-Code]"),Tabelle3!$A52)</f>
        <v>1</v>
      </c>
      <c r="CU52" s="56"/>
      <c r="CV52" s="56"/>
      <c r="CW52" s="56"/>
      <c r="CX52" s="56"/>
      <c r="CY52" s="56"/>
      <c r="CZ52" s="56"/>
      <c r="DA52" s="56"/>
      <c r="DB52" s="56"/>
      <c r="DC52" s="56"/>
      <c r="DD52" s="56"/>
      <c r="DE52" s="56"/>
      <c r="DF52" s="56"/>
      <c r="DG52" s="56"/>
      <c r="DH52" s="56"/>
    </row>
    <row r="53" spans="1:112" ht="18">
      <c r="A53" s="17" t="s">
        <v>6875</v>
      </c>
      <c r="B53" s="18" t="s">
        <v>6876</v>
      </c>
      <c r="C53">
        <f ca="1">COUNTIFS(INDIRECT("Table1[Beginn]"),"&lt;="&amp;C$1,INDIRECT("Table1[Ende]"),"&gt;="&amp;C$1,INDIRECT("Table1[Obergruppe ATC-Code]"),Tabelle3!$A53)</f>
        <v>5</v>
      </c>
      <c r="D53">
        <f ca="1">COUNTIFS(INDIRECT("Table1[Beginn]"),"&lt;="&amp;D$1,INDIRECT("Table1[Ende]"),"&gt;="&amp;D$1,INDIRECT("Table1[Obergruppe ATC-Code]"),Tabelle3!$A53)</f>
        <v>6</v>
      </c>
      <c r="E53">
        <f ca="1">COUNTIFS(INDIRECT("Table1[Beginn]"),"&lt;="&amp;E$1,INDIRECT("Table1[Ende]"),"&gt;="&amp;E$1,INDIRECT("Table1[Obergruppe ATC-Code]"),Tabelle3!$A53)</f>
        <v>6</v>
      </c>
      <c r="F53">
        <f ca="1">COUNTIFS(INDIRECT("Table1[Beginn]"),"&lt;="&amp;F$1,INDIRECT("Table1[Ende]"),"&gt;="&amp;F$1,INDIRECT("Table1[Obergruppe ATC-Code]"),Tabelle3!$A53)</f>
        <v>13</v>
      </c>
      <c r="G53">
        <f ca="1">COUNTIFS(INDIRECT("Table1[Beginn]"),"&lt;="&amp;G$1,INDIRECT("Table1[Ende]"),"&gt;="&amp;G$1,INDIRECT("Table1[Obergruppe ATC-Code]"),Tabelle3!$A53)</f>
        <v>13</v>
      </c>
      <c r="H53">
        <f ca="1">COUNTIFS(INDIRECT("Table1[Beginn]"),"&lt;="&amp;H$1,INDIRECT("Table1[Ende]"),"&gt;="&amp;H$1,INDIRECT("Table1[Obergruppe ATC-Code]"),Tabelle3!$A53)</f>
        <v>13</v>
      </c>
      <c r="I53">
        <f ca="1">COUNTIFS(INDIRECT("Table1[Beginn]"),"&lt;="&amp;I$1,INDIRECT("Table1[Ende]"),"&gt;="&amp;I$1,INDIRECT("Table1[Obergruppe ATC-Code]"),Tabelle3!$A53)</f>
        <v>14</v>
      </c>
      <c r="J53">
        <f ca="1">COUNTIFS(INDIRECT("Table1[Beginn]"),"&lt;="&amp;J$1,INDIRECT("Table1[Ende]"),"&gt;="&amp;J$1,INDIRECT("Table1[Obergruppe ATC-Code]"),Tabelle3!$A53)</f>
        <v>15</v>
      </c>
      <c r="K53">
        <f ca="1">COUNTIFS(INDIRECT("Table1[Beginn]"),"&lt;="&amp;K$1,INDIRECT("Table1[Ende]"),"&gt;="&amp;K$1,INDIRECT("Table1[Obergruppe ATC-Code]"),Tabelle3!$A53)</f>
        <v>16</v>
      </c>
      <c r="L53">
        <f ca="1">COUNTIFS(INDIRECT("Table1[Beginn]"),"&lt;="&amp;L$1,INDIRECT("Table1[Ende]"),"&gt;="&amp;L$1,INDIRECT("Table1[Obergruppe ATC-Code]"),Tabelle3!$A53)</f>
        <v>16</v>
      </c>
      <c r="M53">
        <f ca="1">COUNTIFS(INDIRECT("Table1[Beginn]"),"&lt;="&amp;M$1,INDIRECT("Table1[Ende]"),"&gt;="&amp;M$1,INDIRECT("Table1[Obergruppe ATC-Code]"),Tabelle3!$A53)</f>
        <v>17</v>
      </c>
      <c r="N53">
        <f ca="1">COUNTIFS(INDIRECT("Table1[Beginn]"),"&lt;="&amp;N$1,INDIRECT("Table1[Ende]"),"&gt;="&amp;N$1,INDIRECT("Table1[Obergruppe ATC-Code]"),Tabelle3!$A53)</f>
        <v>20</v>
      </c>
      <c r="O53">
        <f ca="1">COUNTIFS(INDIRECT("Table1[Beginn]"),"&lt;="&amp;O$1,INDIRECT("Table1[Ende]"),"&gt;="&amp;O$1,INDIRECT("Table1[Obergruppe ATC-Code]"),Tabelle3!$A53)</f>
        <v>22</v>
      </c>
      <c r="P53">
        <f ca="1">COUNTIFS(INDIRECT("Table1[Beginn]"),"&lt;="&amp;P$1,INDIRECT("Table1[Ende]"),"&gt;="&amp;P$1,INDIRECT("Table1[Obergruppe ATC-Code]"),Tabelle3!$A53)</f>
        <v>19</v>
      </c>
      <c r="Q53">
        <f ca="1">COUNTIFS(INDIRECT("Table1[Beginn]"),"&lt;="&amp;Q$1,INDIRECT("Table1[Ende]"),"&gt;="&amp;Q$1,INDIRECT("Table1[Obergruppe ATC-Code]"),Tabelle3!$A53)</f>
        <v>17</v>
      </c>
      <c r="R53">
        <f ca="1">COUNTIFS(INDIRECT("Table1[Beginn]"),"&lt;="&amp;R$1,INDIRECT("Table1[Ende]"),"&gt;="&amp;R$1,INDIRECT("Table1[Obergruppe ATC-Code]"),Tabelle3!$A53)</f>
        <v>17</v>
      </c>
      <c r="S53">
        <f ca="1">COUNTIFS(INDIRECT("Table1[Beginn]"),"&lt;="&amp;S$1,INDIRECT("Table1[Ende]"),"&gt;="&amp;S$1,INDIRECT("Table1[Obergruppe ATC-Code]"),Tabelle3!$A53)</f>
        <v>18</v>
      </c>
      <c r="T53">
        <f ca="1">COUNTIFS(INDIRECT("Table1[Beginn]"),"&lt;="&amp;T$1,INDIRECT("Table1[Ende]"),"&gt;="&amp;T$1,INDIRECT("Table1[Obergruppe ATC-Code]"),Tabelle3!$A53)</f>
        <v>18</v>
      </c>
      <c r="U53">
        <f ca="1">COUNTIFS(INDIRECT("Table1[Beginn]"),"&lt;="&amp;U$1,INDIRECT("Table1[Ende]"),"&gt;="&amp;U$1,INDIRECT("Table1[Obergruppe ATC-Code]"),Tabelle3!$A53)</f>
        <v>17</v>
      </c>
      <c r="V53">
        <f ca="1">COUNTIFS(INDIRECT("Table1[Beginn]"),"&lt;="&amp;V$1,INDIRECT("Table1[Ende]"),"&gt;="&amp;V$1,INDIRECT("Table1[Obergruppe ATC-Code]"),Tabelle3!$A53)</f>
        <v>13</v>
      </c>
      <c r="W53">
        <f ca="1">COUNTIFS(INDIRECT("Table1[Beginn]"),"&lt;="&amp;W$1,INDIRECT("Table1[Ende]"),"&gt;="&amp;W$1,INDIRECT("Table1[Obergruppe ATC-Code]"),Tabelle3!$A53)</f>
        <v>13</v>
      </c>
      <c r="X53">
        <f ca="1">COUNTIFS(INDIRECT("Table1[Beginn]"),"&lt;="&amp;X$1,INDIRECT("Table1[Ende]"),"&gt;="&amp;X$1,INDIRECT("Table1[Obergruppe ATC-Code]"),Tabelle3!$A53)</f>
        <v>16</v>
      </c>
      <c r="Y53">
        <f ca="1">COUNTIFS(INDIRECT("Table1[Beginn]"),"&lt;="&amp;Y$1,INDIRECT("Table1[Ende]"),"&gt;="&amp;Y$1,INDIRECT("Table1[Obergruppe ATC-Code]"),Tabelle3!$A53)</f>
        <v>17</v>
      </c>
      <c r="Z53">
        <f ca="1">COUNTIFS(INDIRECT("Table1[Beginn]"),"&lt;="&amp;Z$1,INDIRECT("Table1[Ende]"),"&gt;="&amp;Z$1,INDIRECT("Table1[Obergruppe ATC-Code]"),Tabelle3!$A53)</f>
        <v>19</v>
      </c>
      <c r="AA53">
        <f ca="1">COUNTIFS(INDIRECT("Table1[Beginn]"),"&lt;="&amp;AA$1,INDIRECT("Table1[Ende]"),"&gt;="&amp;AA$1,INDIRECT("Table1[Obergruppe ATC-Code]"),Tabelle3!$A53)</f>
        <v>18</v>
      </c>
      <c r="AB53">
        <f ca="1">COUNTIFS(INDIRECT("Table1[Beginn]"),"&lt;="&amp;AB$1,INDIRECT("Table1[Ende]"),"&gt;="&amp;AB$1,INDIRECT("Table1[Obergruppe ATC-Code]"),Tabelle3!$A53)</f>
        <v>16</v>
      </c>
      <c r="AC53">
        <f ca="1">COUNTIFS(INDIRECT("Table1[Beginn]"),"&lt;="&amp;AC$1,INDIRECT("Table1[Ende]"),"&gt;="&amp;AC$1,INDIRECT("Table1[Obergruppe ATC-Code]"),Tabelle3!$A53)</f>
        <v>17</v>
      </c>
      <c r="AD53">
        <f ca="1">COUNTIFS(INDIRECT("Table1[Beginn]"),"&lt;="&amp;AD$1,INDIRECT("Table1[Ende]"),"&gt;="&amp;AD$1,INDIRECT("Table1[Obergruppe ATC-Code]"),Tabelle3!$A53)</f>
        <v>20</v>
      </c>
      <c r="AE53">
        <f ca="1">COUNTIFS(INDIRECT("Table1[Beginn]"),"&lt;="&amp;AE$1,INDIRECT("Table1[Ende]"),"&gt;="&amp;AE$1,INDIRECT("Table1[Obergruppe ATC-Code]"),Tabelle3!$A53)</f>
        <v>20</v>
      </c>
      <c r="AF53">
        <f ca="1">COUNTIFS(INDIRECT("Table1[Beginn]"),"&lt;="&amp;AF$1,INDIRECT("Table1[Ende]"),"&gt;="&amp;AF$1,INDIRECT("Table1[Obergruppe ATC-Code]"),Tabelle3!$A53)</f>
        <v>23</v>
      </c>
      <c r="AG53">
        <f ca="1">COUNTIFS(INDIRECT("Table1[Beginn]"),"&lt;="&amp;AG$1,INDIRECT("Table1[Ende]"),"&gt;="&amp;AG$1,INDIRECT("Table1[Obergruppe ATC-Code]"),Tabelle3!$A53)</f>
        <v>19</v>
      </c>
      <c r="AH53">
        <f ca="1">COUNTIFS(INDIRECT("Table1[Beginn]"),"&lt;="&amp;AH$1,INDIRECT("Table1[Ende]"),"&gt;="&amp;AH$1,INDIRECT("Table1[Obergruppe ATC-Code]"),Tabelle3!$A53)</f>
        <v>19</v>
      </c>
      <c r="AI53">
        <f ca="1">COUNTIFS(INDIRECT("Table1[Beginn]"),"&lt;="&amp;AI$1,INDIRECT("Table1[Ende]"),"&gt;="&amp;AI$1,INDIRECT("Table1[Obergruppe ATC-Code]"),Tabelle3!$A53)</f>
        <v>18</v>
      </c>
      <c r="AJ53">
        <f ca="1">COUNTIFS(INDIRECT("Table1[Beginn]"),"&lt;="&amp;AJ$1,INDIRECT("Table1[Ende]"),"&gt;="&amp;AJ$1,INDIRECT("Table1[Obergruppe ATC-Code]"),Tabelle3!$A53)</f>
        <v>19</v>
      </c>
      <c r="AK53">
        <f ca="1">COUNTIFS(INDIRECT("Table1[Beginn]"),"&lt;="&amp;AK$1,INDIRECT("Table1[Ende]"),"&gt;="&amp;AK$1,INDIRECT("Table1[Obergruppe ATC-Code]"),Tabelle3!$A53)</f>
        <v>17</v>
      </c>
      <c r="AL53">
        <f ca="1">COUNTIFS(INDIRECT("Table1[Beginn]"),"&lt;="&amp;AL$1,INDIRECT("Table1[Ende]"),"&gt;="&amp;AL$1,INDIRECT("Table1[Obergruppe ATC-Code]"),Tabelle3!$A53)</f>
        <v>19</v>
      </c>
      <c r="AM53">
        <f ca="1">COUNTIFS(INDIRECT("Table1[Beginn]"),"&lt;="&amp;AM$1,INDIRECT("Table1[Ende]"),"&gt;="&amp;AM$1,INDIRECT("Table1[Obergruppe ATC-Code]"),Tabelle3!$A53)</f>
        <v>22</v>
      </c>
      <c r="AN53">
        <f ca="1">COUNTIFS(INDIRECT("Table1[Beginn]"),"&lt;="&amp;AN$1,INDIRECT("Table1[Ende]"),"&gt;="&amp;AN$1,INDIRECT("Table1[Obergruppe ATC-Code]"),Tabelle3!$A53)</f>
        <v>32</v>
      </c>
      <c r="AO53">
        <f ca="1">COUNTIFS(INDIRECT("Table1[Beginn]"),"&lt;="&amp;AO$1,INDIRECT("Table1[Ende]"),"&gt;="&amp;AO$1,INDIRECT("Table1[Obergruppe ATC-Code]"),Tabelle3!$A53)</f>
        <v>58</v>
      </c>
      <c r="AP53">
        <f ca="1">COUNTIFS(INDIRECT("Table1[Beginn]"),"&lt;="&amp;AP$1,INDIRECT("Table1[Ende]"),"&gt;="&amp;AP$1,INDIRECT("Table1[Obergruppe ATC-Code]"),Tabelle3!$A53)</f>
        <v>67</v>
      </c>
      <c r="AQ53">
        <f ca="1">COUNTIFS(INDIRECT("Table1[Beginn]"),"&lt;="&amp;AQ$1,INDIRECT("Table1[Ende]"),"&gt;="&amp;AQ$1,INDIRECT("Table1[Obergruppe ATC-Code]"),Tabelle3!$A53)</f>
        <v>62</v>
      </c>
      <c r="AR53">
        <f ca="1">COUNTIFS(INDIRECT("Table1[Beginn]"),"&lt;="&amp;AR$1,INDIRECT("Table1[Ende]"),"&gt;="&amp;AR$1,INDIRECT("Table1[Obergruppe ATC-Code]"),Tabelle3!$A53)</f>
        <v>53</v>
      </c>
      <c r="AS53">
        <f ca="1">COUNTIFS(INDIRECT("Table1[Beginn]"),"&lt;="&amp;AS$1,INDIRECT("Table1[Ende]"),"&gt;="&amp;AS$1,INDIRECT("Table1[Obergruppe ATC-Code]"),Tabelle3!$A53)</f>
        <v>36</v>
      </c>
      <c r="AT53">
        <f ca="1">COUNTIFS(INDIRECT("Table1[Beginn]"),"&lt;="&amp;AT$1,INDIRECT("Table1[Ende]"),"&gt;="&amp;AT$1,INDIRECT("Table1[Obergruppe ATC-Code]"),Tabelle3!$A53)</f>
        <v>35</v>
      </c>
      <c r="AU53">
        <f ca="1">COUNTIFS(INDIRECT("Table1[Beginn]"),"&lt;="&amp;AU$1,INDIRECT("Table1[Ende]"),"&gt;="&amp;AU$1,INDIRECT("Table1[Obergruppe ATC-Code]"),Tabelle3!$A53)</f>
        <v>32</v>
      </c>
      <c r="AV53">
        <f ca="1">COUNTIFS(INDIRECT("Table1[Beginn]"),"&lt;="&amp;AV$1,INDIRECT("Table1[Ende]"),"&gt;="&amp;AV$1,INDIRECT("Table1[Obergruppe ATC-Code]"),Tabelle3!$A53)</f>
        <v>26</v>
      </c>
      <c r="AW53">
        <f ca="1">COUNTIFS(INDIRECT("Table1[Beginn]"),"&lt;="&amp;AW$1,INDIRECT("Table1[Ende]"),"&gt;="&amp;AW$1,INDIRECT("Table1[Obergruppe ATC-Code]"),Tabelle3!$A53)</f>
        <v>22</v>
      </c>
      <c r="AX53">
        <f ca="1">COUNTIFS(INDIRECT("Table1[Beginn]"),"&lt;="&amp;AX$1,INDIRECT("Table1[Ende]"),"&gt;="&amp;AX$1,INDIRECT("Table1[Obergruppe ATC-Code]"),Tabelle3!$A53)</f>
        <v>22</v>
      </c>
      <c r="AY53">
        <f ca="1">COUNTIFS(INDIRECT("Table1[Beginn]"),"&lt;="&amp;AY$1,INDIRECT("Table1[Ende]"),"&gt;="&amp;AY$1,INDIRECT("Table1[Obergruppe ATC-Code]"),Tabelle3!$A53)</f>
        <v>23</v>
      </c>
      <c r="AZ53">
        <f ca="1">COUNTIFS(INDIRECT("Table1[Beginn]"),"&lt;="&amp;AZ$1,INDIRECT("Table1[Ende]"),"&gt;="&amp;AZ$1,INDIRECT("Table1[Obergruppe ATC-Code]"),Tabelle3!$A53)</f>
        <v>26</v>
      </c>
      <c r="BA53">
        <f ca="1">COUNTIFS(INDIRECT("Table1[Beginn]"),"&lt;="&amp;BA$1,INDIRECT("Table1[Ende]"),"&gt;="&amp;BA$1,INDIRECT("Table1[Obergruppe ATC-Code]"),Tabelle3!$A53)</f>
        <v>29</v>
      </c>
      <c r="BB53">
        <f ca="1">COUNTIFS(INDIRECT("Table1[Beginn]"),"&lt;="&amp;BB$1,INDIRECT("Table1[Ende]"),"&gt;="&amp;BB$1,INDIRECT("Table1[Obergruppe ATC-Code]"),Tabelle3!$A53)</f>
        <v>29</v>
      </c>
      <c r="BC53">
        <f ca="1">COUNTIFS(INDIRECT("Table1[Beginn]"),"&lt;="&amp;BC$1,INDIRECT("Table1[Ende]"),"&gt;="&amp;BC$1,INDIRECT("Table1[Obergruppe ATC-Code]"),Tabelle3!$A53)</f>
        <v>25</v>
      </c>
      <c r="BD53">
        <f ca="1">COUNTIFS(INDIRECT("Table1[Beginn]"),"&lt;="&amp;BD$1,INDIRECT("Table1[Ende]"),"&gt;="&amp;BD$1,INDIRECT("Table1[Obergruppe ATC-Code]"),Tabelle3!$A53)</f>
        <v>25</v>
      </c>
      <c r="BE53">
        <f ca="1">COUNTIFS(INDIRECT("Table1[Beginn]"),"&lt;="&amp;BE$1,INDIRECT("Table1[Ende]"),"&gt;="&amp;BE$1,INDIRECT("Table1[Obergruppe ATC-Code]"),Tabelle3!$A53)</f>
        <v>24</v>
      </c>
      <c r="BF53">
        <f ca="1">COUNTIFS(INDIRECT("Table1[Beginn]"),"&lt;="&amp;BF$1,INDIRECT("Table1[Ende]"),"&gt;="&amp;BF$1,INDIRECT("Table1[Obergruppe ATC-Code]"),Tabelle3!$A53)</f>
        <v>23</v>
      </c>
      <c r="BG53">
        <f ca="1">COUNTIFS(INDIRECT("Table1[Beginn]"),"&lt;="&amp;BG$1,INDIRECT("Table1[Ende]"),"&gt;="&amp;BG$1,INDIRECT("Table1[Obergruppe ATC-Code]"),Tabelle3!$A53)</f>
        <v>23</v>
      </c>
      <c r="BH53">
        <f ca="1">COUNTIFS(INDIRECT("Table1[Beginn]"),"&lt;="&amp;BH$1,INDIRECT("Table1[Ende]"),"&gt;="&amp;BH$1,INDIRECT("Table1[Obergruppe ATC-Code]"),Tabelle3!$A53)</f>
        <v>23</v>
      </c>
      <c r="BI53">
        <f ca="1">COUNTIFS(INDIRECT("Table1[Beginn]"),"&lt;="&amp;BI$1,INDIRECT("Table1[Ende]"),"&gt;="&amp;BI$1,INDIRECT("Table1[Obergruppe ATC-Code]"),Tabelle3!$A53)</f>
        <v>25</v>
      </c>
      <c r="BJ53">
        <f ca="1">COUNTIFS(INDIRECT("Table1[Beginn]"),"&lt;="&amp;BJ$1,INDIRECT("Table1[Ende]"),"&gt;="&amp;BJ$1,INDIRECT("Table1[Obergruppe ATC-Code]"),Tabelle3!$A53)</f>
        <v>23</v>
      </c>
      <c r="BK53">
        <f ca="1">COUNTIFS(INDIRECT("Table1[Beginn]"),"&lt;="&amp;BK$1,INDIRECT("Table1[Ende]"),"&gt;="&amp;BK$1,INDIRECT("Table1[Obergruppe ATC-Code]"),Tabelle3!$A53)</f>
        <v>24</v>
      </c>
      <c r="BL53">
        <f ca="1">COUNTIFS(INDIRECT("Table1[Beginn]"),"&lt;="&amp;BL$1,INDIRECT("Table1[Ende]"),"&gt;="&amp;BL$1,INDIRECT("Table1[Obergruppe ATC-Code]"),Tabelle3!$A53)</f>
        <v>24</v>
      </c>
      <c r="BM53">
        <f ca="1">COUNTIFS(INDIRECT("Table1[Beginn]"),"&lt;="&amp;BM$1,INDIRECT("Table1[Ende]"),"&gt;="&amp;BM$1,INDIRECT("Table1[Obergruppe ATC-Code]"),Tabelle3!$A53)</f>
        <v>18</v>
      </c>
      <c r="BN53">
        <f ca="1">COUNTIFS(INDIRECT("Table1[Beginn]"),"&lt;="&amp;BN$1,INDIRECT("Table1[Ende]"),"&gt;="&amp;BN$1,INDIRECT("Table1[Obergruppe ATC-Code]"),Tabelle3!$A53)</f>
        <v>16</v>
      </c>
      <c r="BO53">
        <f ca="1">COUNTIFS(INDIRECT("Table1[Beginn]"),"&lt;="&amp;BO$1,INDIRECT("Table1[Ende]"),"&gt;="&amp;BO$1,INDIRECT("Table1[Obergruppe ATC-Code]"),Tabelle3!$A53)</f>
        <v>23</v>
      </c>
      <c r="BP53">
        <f ca="1">COUNTIFS(INDIRECT("Table1[Beginn]"),"&lt;="&amp;BP$1,INDIRECT("Table1[Ende]"),"&gt;="&amp;BP$1,INDIRECT("Table1[Obergruppe ATC-Code]"),Tabelle3!$A53)</f>
        <v>29</v>
      </c>
      <c r="BQ53">
        <f ca="1">COUNTIFS(INDIRECT("Table1[Beginn]"),"&lt;="&amp;BQ$1,INDIRECT("Table1[Ende]"),"&gt;="&amp;BQ$1,INDIRECT("Table1[Obergruppe ATC-Code]"),Tabelle3!$A53)</f>
        <v>22</v>
      </c>
      <c r="BR53">
        <f ca="1">COUNTIFS(INDIRECT("Table1[Beginn]"),"&lt;="&amp;BR$1,INDIRECT("Table1[Ende]"),"&gt;="&amp;BR$1,INDIRECT("Table1[Obergruppe ATC-Code]"),Tabelle3!$A53)</f>
        <v>22</v>
      </c>
      <c r="BS53">
        <f ca="1">COUNTIFS(INDIRECT("Table1[Beginn]"),"&lt;="&amp;BS$1,INDIRECT("Table1[Ende]"),"&gt;="&amp;BS$1,INDIRECT("Table1[Obergruppe ATC-Code]"),Tabelle3!$A53)</f>
        <v>27</v>
      </c>
      <c r="BT53">
        <f ca="1">COUNTIFS(INDIRECT("Table1[Beginn]"),"&lt;="&amp;BT$1,INDIRECT("Table1[Ende]"),"&gt;="&amp;BT$1,INDIRECT("Table1[Obergruppe ATC-Code]"),Tabelle3!$A53)</f>
        <v>46</v>
      </c>
      <c r="BU53">
        <f ca="1">COUNTIFS(INDIRECT("Table1[Beginn]"),"&lt;="&amp;BU$1,INDIRECT("Table1[Ende]"),"&gt;="&amp;BU$1,INDIRECT("Table1[Obergruppe ATC-Code]"),Tabelle3!$A53)</f>
        <v>47</v>
      </c>
      <c r="BV53">
        <f ca="1">COUNTIFS(INDIRECT("Table1[Beginn]"),"&lt;="&amp;BV$1,INDIRECT("Table1[Ende]"),"&gt;="&amp;BV$1,INDIRECT("Table1[Obergruppe ATC-Code]"),Tabelle3!$A53)</f>
        <v>56</v>
      </c>
      <c r="BW53">
        <f ca="1">COUNTIFS(INDIRECT("Table1[Beginn]"),"&lt;="&amp;BW$1,INDIRECT("Table1[Ende]"),"&gt;="&amp;BW$1,INDIRECT("Table1[Obergruppe ATC-Code]"),Tabelle3!$A53)</f>
        <v>83</v>
      </c>
      <c r="BX53">
        <f ca="1">COUNTIFS(INDIRECT("Table1[Beginn]"),"&lt;="&amp;BX$1,INDIRECT("Table1[Ende]"),"&gt;="&amp;BX$1,INDIRECT("Table1[Obergruppe ATC-Code]"),Tabelle3!$A53)</f>
        <v>85</v>
      </c>
      <c r="BY53">
        <f ca="1">COUNTIFS(INDIRECT("Table1[Beginn]"),"&lt;="&amp;BY$1,INDIRECT("Table1[Ende]"),"&gt;="&amp;BY$1,INDIRECT("Table1[Obergruppe ATC-Code]"),Tabelle3!$A53)</f>
        <v>99</v>
      </c>
      <c r="BZ53">
        <f ca="1">COUNTIFS(INDIRECT("Table1[Beginn]"),"&lt;="&amp;BZ$1,INDIRECT("Table1[Ende]"),"&gt;="&amp;BZ$1,INDIRECT("Table1[Obergruppe ATC-Code]"),Tabelle3!$A53)</f>
        <v>112</v>
      </c>
      <c r="CA53">
        <f ca="1">COUNTIFS(INDIRECT("Table1[Beginn]"),"&lt;="&amp;CA$1,INDIRECT("Table1[Ende]"),"&gt;="&amp;CA$1,INDIRECT("Table1[Obergruppe ATC-Code]"),Tabelle3!$A53)</f>
        <v>112</v>
      </c>
      <c r="CB53">
        <f ca="1">COUNTIFS(INDIRECT("Table1[Beginn]"),"&lt;="&amp;CB$1,INDIRECT("Table1[Ende]"),"&gt;="&amp;CB$1,INDIRECT("Table1[Obergruppe ATC-Code]"),Tabelle3!$A53)</f>
        <v>123</v>
      </c>
      <c r="CC53">
        <f ca="1">COUNTIFS(INDIRECT("Table1[Beginn]"),"&lt;="&amp;CC$1,INDIRECT("Table1[Ende]"),"&gt;="&amp;CC$1,INDIRECT("Table1[Obergruppe ATC-Code]"),Tabelle3!$A53)</f>
        <v>119</v>
      </c>
      <c r="CD53">
        <f ca="1">COUNTIFS(INDIRECT("Table1[Beginn]"),"&lt;="&amp;CD$1,INDIRECT("Table1[Ende]"),"&gt;="&amp;CD$1,INDIRECT("Table1[Obergruppe ATC-Code]"),Tabelle3!$A53)</f>
        <v>107</v>
      </c>
      <c r="CE53">
        <f ca="1">COUNTIFS(INDIRECT("Table1[Beginn]"),"&lt;="&amp;CE$1,INDIRECT("Table1[Ende]"),"&gt;="&amp;CE$1,INDIRECT("Table1[Obergruppe ATC-Code]"),Tabelle3!$A53)</f>
        <v>102</v>
      </c>
      <c r="CF53">
        <f ca="1">COUNTIFS(INDIRECT("Table1[Beginn]"),"&lt;="&amp;CF$1,INDIRECT("Table1[Ende]"),"&gt;="&amp;CF$1,INDIRECT("Table1[Obergruppe ATC-Code]"),Tabelle3!$A53)</f>
        <v>102</v>
      </c>
      <c r="CG53">
        <f ca="1">COUNTIFS(INDIRECT("Table1[Beginn]"),"&lt;="&amp;CG$1,INDIRECT("Table1[Ende]"),"&gt;="&amp;CG$1,INDIRECT("Table1[Obergruppe ATC-Code]"),Tabelle3!$A53)</f>
        <v>78</v>
      </c>
      <c r="CH53">
        <f ca="1">COUNTIFS(INDIRECT("Table1[Beginn]"),"&lt;="&amp;CH$1,INDIRECT("Table1[Ende]"),"&gt;="&amp;CH$1,INDIRECT("Table1[Obergruppe ATC-Code]"),Tabelle3!$A53)</f>
        <v>53</v>
      </c>
      <c r="CI53">
        <f ca="1">COUNTIFS(INDIRECT("Table1[Beginn]"),"&lt;="&amp;CI$1,INDIRECT("Table1[Ende]"),"&gt;="&amp;CI$1,INDIRECT("Table1[Obergruppe ATC-Code]"),Tabelle3!$A53)</f>
        <v>30</v>
      </c>
      <c r="CJ53">
        <f ca="1">COUNTIFS(INDIRECT("Table1[Beginn]"),"&lt;="&amp;CJ$1,INDIRECT("Table1[Ende]"),"&gt;="&amp;CJ$1,INDIRECT("Table1[Obergruppe ATC-Code]"),Tabelle3!$A53)</f>
        <v>19</v>
      </c>
      <c r="CK53">
        <f ca="1">COUNTIFS(INDIRECT("Table1[Beginn]"),"&lt;="&amp;CK$1,INDIRECT("Table1[Ende]"),"&gt;="&amp;CK$1,INDIRECT("Table1[Obergruppe ATC-Code]"),Tabelle3!$A53)</f>
        <v>11</v>
      </c>
      <c r="CL53">
        <f ca="1">COUNTIFS(INDIRECT("Table1[Beginn]"),"&lt;="&amp;CL$1,INDIRECT("Table1[Ende]"),"&gt;="&amp;CL$1,INDIRECT("Table1[Obergruppe ATC-Code]"),Tabelle3!$A53)</f>
        <v>6</v>
      </c>
      <c r="CM53">
        <f ca="1">COUNTIFS(INDIRECT("Table1[Beginn]"),"&lt;="&amp;CM$1,INDIRECT("Table1[Ende]"),"&gt;="&amp;CM$1,INDIRECT("Table1[Obergruppe ATC-Code]"),Tabelle3!$A53)</f>
        <v>2</v>
      </c>
      <c r="CN53">
        <f ca="1">COUNTIFS(INDIRECT("Table1[Beginn]"),"&lt;="&amp;CN$1,INDIRECT("Table1[Ende]"),"&gt;="&amp;CN$1,INDIRECT("Table1[Obergruppe ATC-Code]"),Tabelle3!$A53)</f>
        <v>2</v>
      </c>
      <c r="CO53">
        <f ca="1">COUNTIFS(INDIRECT("Table1[Beginn]"),"&lt;="&amp;CO$1,INDIRECT("Table1[Ende]"),"&gt;="&amp;CO$1,INDIRECT("Table1[Obergruppe ATC-Code]"),Tabelle3!$A53)</f>
        <v>2</v>
      </c>
      <c r="CP53">
        <f ca="1">COUNTIFS(INDIRECT("Table1[Beginn]"),"&lt;="&amp;CP$1,INDIRECT("Table1[Ende]"),"&gt;="&amp;CP$1,INDIRECT("Table1[Obergruppe ATC-Code]"),Tabelle3!$A53)</f>
        <v>2</v>
      </c>
      <c r="CQ53">
        <f ca="1">COUNTIFS(INDIRECT("Table1[Beginn]"),"&lt;="&amp;CQ$1,INDIRECT("Table1[Ende]"),"&gt;="&amp;CQ$1,INDIRECT("Table1[Obergruppe ATC-Code]"),Tabelle3!$A53)</f>
        <v>2</v>
      </c>
      <c r="CR53">
        <f ca="1">COUNTIFS(INDIRECT("Table1[Beginn]"),"&lt;="&amp;CR$1,INDIRECT("Table1[Ende]"),"&gt;="&amp;CR$1,INDIRECT("Table1[Obergruppe ATC-Code]"),Tabelle3!$A53)</f>
        <v>2</v>
      </c>
      <c r="CS53">
        <f ca="1">COUNTIFS(INDIRECT("Table1[Beginn]"),"&lt;="&amp;CS$1,INDIRECT("Table1[Ende]"),"&gt;="&amp;CS$1,INDIRECT("Table1[Obergruppe ATC-Code]"),Tabelle3!$A53)</f>
        <v>2</v>
      </c>
      <c r="CT53">
        <f ca="1">COUNTIFS(INDIRECT("Table1[Beginn]"),"&lt;="&amp;CT$1,INDIRECT("Table1[Ende]"),"&gt;="&amp;CT$1,INDIRECT("Table1[Obergruppe ATC-Code]"),Tabelle3!$A53)</f>
        <v>2</v>
      </c>
      <c r="CU53" s="56"/>
      <c r="CV53" s="56"/>
      <c r="CW53" s="56"/>
      <c r="CX53" s="56"/>
      <c r="CY53" s="56"/>
      <c r="CZ53" s="56"/>
      <c r="DA53" s="56"/>
      <c r="DB53" s="56"/>
      <c r="DC53" s="56"/>
      <c r="DD53" s="56"/>
      <c r="DE53" s="56"/>
      <c r="DF53" s="56"/>
      <c r="DG53" s="56"/>
      <c r="DH53" s="56"/>
    </row>
    <row r="54" spans="1:112" ht="18">
      <c r="A54" s="7" t="s">
        <v>6877</v>
      </c>
      <c r="B54" s="8" t="s">
        <v>6878</v>
      </c>
      <c r="C54">
        <f ca="1">COUNTIFS(INDIRECT("Table1[Beginn]"),"&lt;="&amp;C$1,INDIRECT("Table1[Ende]"),"&gt;="&amp;C$1,INDIRECT("Table1[Obergruppe ATC-Code]"),Tabelle3!$A54)</f>
        <v>0</v>
      </c>
      <c r="D54">
        <f ca="1">COUNTIFS(INDIRECT("Table1[Beginn]"),"&lt;="&amp;D$1,INDIRECT("Table1[Ende]"),"&gt;="&amp;D$1,INDIRECT("Table1[Obergruppe ATC-Code]"),Tabelle3!$A54)</f>
        <v>0</v>
      </c>
      <c r="E54">
        <f ca="1">COUNTIFS(INDIRECT("Table1[Beginn]"),"&lt;="&amp;E$1,INDIRECT("Table1[Ende]"),"&gt;="&amp;E$1,INDIRECT("Table1[Obergruppe ATC-Code]"),Tabelle3!$A54)</f>
        <v>0</v>
      </c>
      <c r="F54">
        <f ca="1">COUNTIFS(INDIRECT("Table1[Beginn]"),"&lt;="&amp;F$1,INDIRECT("Table1[Ende]"),"&gt;="&amp;F$1,INDIRECT("Table1[Obergruppe ATC-Code]"),Tabelle3!$A54)</f>
        <v>0</v>
      </c>
      <c r="G54">
        <f ca="1">COUNTIFS(INDIRECT("Table1[Beginn]"),"&lt;="&amp;G$1,INDIRECT("Table1[Ende]"),"&gt;="&amp;G$1,INDIRECT("Table1[Obergruppe ATC-Code]"),Tabelle3!$A54)</f>
        <v>0</v>
      </c>
      <c r="H54">
        <f ca="1">COUNTIFS(INDIRECT("Table1[Beginn]"),"&lt;="&amp;H$1,INDIRECT("Table1[Ende]"),"&gt;="&amp;H$1,INDIRECT("Table1[Obergruppe ATC-Code]"),Tabelle3!$A54)</f>
        <v>0</v>
      </c>
      <c r="I54">
        <f ca="1">COUNTIFS(INDIRECT("Table1[Beginn]"),"&lt;="&amp;I$1,INDIRECT("Table1[Ende]"),"&gt;="&amp;I$1,INDIRECT("Table1[Obergruppe ATC-Code]"),Tabelle3!$A54)</f>
        <v>0</v>
      </c>
      <c r="J54">
        <f ca="1">COUNTIFS(INDIRECT("Table1[Beginn]"),"&lt;="&amp;J$1,INDIRECT("Table1[Ende]"),"&gt;="&amp;J$1,INDIRECT("Table1[Obergruppe ATC-Code]"),Tabelle3!$A54)</f>
        <v>2</v>
      </c>
      <c r="K54">
        <f ca="1">COUNTIFS(INDIRECT("Table1[Beginn]"),"&lt;="&amp;K$1,INDIRECT("Table1[Ende]"),"&gt;="&amp;K$1,INDIRECT("Table1[Obergruppe ATC-Code]"),Tabelle3!$A54)</f>
        <v>2</v>
      </c>
      <c r="L54">
        <f ca="1">COUNTIFS(INDIRECT("Table1[Beginn]"),"&lt;="&amp;L$1,INDIRECT("Table1[Ende]"),"&gt;="&amp;L$1,INDIRECT("Table1[Obergruppe ATC-Code]"),Tabelle3!$A54)</f>
        <v>0</v>
      </c>
      <c r="M54">
        <f ca="1">COUNTIFS(INDIRECT("Table1[Beginn]"),"&lt;="&amp;M$1,INDIRECT("Table1[Ende]"),"&gt;="&amp;M$1,INDIRECT("Table1[Obergruppe ATC-Code]"),Tabelle3!$A54)</f>
        <v>0</v>
      </c>
      <c r="N54">
        <f ca="1">COUNTIFS(INDIRECT("Table1[Beginn]"),"&lt;="&amp;N$1,INDIRECT("Table1[Ende]"),"&gt;="&amp;N$1,INDIRECT("Table1[Obergruppe ATC-Code]"),Tabelle3!$A54)</f>
        <v>1</v>
      </c>
      <c r="O54">
        <f ca="1">COUNTIFS(INDIRECT("Table1[Beginn]"),"&lt;="&amp;O$1,INDIRECT("Table1[Ende]"),"&gt;="&amp;O$1,INDIRECT("Table1[Obergruppe ATC-Code]"),Tabelle3!$A54)</f>
        <v>1</v>
      </c>
      <c r="P54">
        <f ca="1">COUNTIFS(INDIRECT("Table1[Beginn]"),"&lt;="&amp;P$1,INDIRECT("Table1[Ende]"),"&gt;="&amp;P$1,INDIRECT("Table1[Obergruppe ATC-Code]"),Tabelle3!$A54)</f>
        <v>1</v>
      </c>
      <c r="Q54">
        <f ca="1">COUNTIFS(INDIRECT("Table1[Beginn]"),"&lt;="&amp;Q$1,INDIRECT("Table1[Ende]"),"&gt;="&amp;Q$1,INDIRECT("Table1[Obergruppe ATC-Code]"),Tabelle3!$A54)</f>
        <v>1</v>
      </c>
      <c r="R54">
        <f ca="1">COUNTIFS(INDIRECT("Table1[Beginn]"),"&lt;="&amp;R$1,INDIRECT("Table1[Ende]"),"&gt;="&amp;R$1,INDIRECT("Table1[Obergruppe ATC-Code]"),Tabelle3!$A54)</f>
        <v>0</v>
      </c>
      <c r="S54">
        <f ca="1">COUNTIFS(INDIRECT("Table1[Beginn]"),"&lt;="&amp;S$1,INDIRECT("Table1[Ende]"),"&gt;="&amp;S$1,INDIRECT("Table1[Obergruppe ATC-Code]"),Tabelle3!$A54)</f>
        <v>0</v>
      </c>
      <c r="T54">
        <f ca="1">COUNTIFS(INDIRECT("Table1[Beginn]"),"&lt;="&amp;T$1,INDIRECT("Table1[Ende]"),"&gt;="&amp;T$1,INDIRECT("Table1[Obergruppe ATC-Code]"),Tabelle3!$A54)</f>
        <v>0</v>
      </c>
      <c r="U54">
        <f ca="1">COUNTIFS(INDIRECT("Table1[Beginn]"),"&lt;="&amp;U$1,INDIRECT("Table1[Ende]"),"&gt;="&amp;U$1,INDIRECT("Table1[Obergruppe ATC-Code]"),Tabelle3!$A54)</f>
        <v>0</v>
      </c>
      <c r="V54">
        <f ca="1">COUNTIFS(INDIRECT("Table1[Beginn]"),"&lt;="&amp;V$1,INDIRECT("Table1[Ende]"),"&gt;="&amp;V$1,INDIRECT("Table1[Obergruppe ATC-Code]"),Tabelle3!$A54)</f>
        <v>0</v>
      </c>
      <c r="W54">
        <f ca="1">COUNTIFS(INDIRECT("Table1[Beginn]"),"&lt;="&amp;W$1,INDIRECT("Table1[Ende]"),"&gt;="&amp;W$1,INDIRECT("Table1[Obergruppe ATC-Code]"),Tabelle3!$A54)</f>
        <v>0</v>
      </c>
      <c r="X54">
        <f ca="1">COUNTIFS(INDIRECT("Table1[Beginn]"),"&lt;="&amp;X$1,INDIRECT("Table1[Ende]"),"&gt;="&amp;X$1,INDIRECT("Table1[Obergruppe ATC-Code]"),Tabelle3!$A54)</f>
        <v>0</v>
      </c>
      <c r="Y54">
        <f ca="1">COUNTIFS(INDIRECT("Table1[Beginn]"),"&lt;="&amp;Y$1,INDIRECT("Table1[Ende]"),"&gt;="&amp;Y$1,INDIRECT("Table1[Obergruppe ATC-Code]"),Tabelle3!$A54)</f>
        <v>1</v>
      </c>
      <c r="Z54">
        <f ca="1">COUNTIFS(INDIRECT("Table1[Beginn]"),"&lt;="&amp;Z$1,INDIRECT("Table1[Ende]"),"&gt;="&amp;Z$1,INDIRECT("Table1[Obergruppe ATC-Code]"),Tabelle3!$A54)</f>
        <v>1</v>
      </c>
      <c r="AA54">
        <f ca="1">COUNTIFS(INDIRECT("Table1[Beginn]"),"&lt;="&amp;AA$1,INDIRECT("Table1[Ende]"),"&gt;="&amp;AA$1,INDIRECT("Table1[Obergruppe ATC-Code]"),Tabelle3!$A54)</f>
        <v>0</v>
      </c>
      <c r="AB54">
        <f ca="1">COUNTIFS(INDIRECT("Table1[Beginn]"),"&lt;="&amp;AB$1,INDIRECT("Table1[Ende]"),"&gt;="&amp;AB$1,INDIRECT("Table1[Obergruppe ATC-Code]"),Tabelle3!$A54)</f>
        <v>1</v>
      </c>
      <c r="AC54">
        <f ca="1">COUNTIFS(INDIRECT("Table1[Beginn]"),"&lt;="&amp;AC$1,INDIRECT("Table1[Ende]"),"&gt;="&amp;AC$1,INDIRECT("Table1[Obergruppe ATC-Code]"),Tabelle3!$A54)</f>
        <v>1</v>
      </c>
      <c r="AD54">
        <f ca="1">COUNTIFS(INDIRECT("Table1[Beginn]"),"&lt;="&amp;AD$1,INDIRECT("Table1[Ende]"),"&gt;="&amp;AD$1,INDIRECT("Table1[Obergruppe ATC-Code]"),Tabelle3!$A54)</f>
        <v>1</v>
      </c>
      <c r="AE54">
        <f ca="1">COUNTIFS(INDIRECT("Table1[Beginn]"),"&lt;="&amp;AE$1,INDIRECT("Table1[Ende]"),"&gt;="&amp;AE$1,INDIRECT("Table1[Obergruppe ATC-Code]"),Tabelle3!$A54)</f>
        <v>1</v>
      </c>
      <c r="AF54">
        <f ca="1">COUNTIFS(INDIRECT("Table1[Beginn]"),"&lt;="&amp;AF$1,INDIRECT("Table1[Ende]"),"&gt;="&amp;AF$1,INDIRECT("Table1[Obergruppe ATC-Code]"),Tabelle3!$A54)</f>
        <v>0</v>
      </c>
      <c r="AG54">
        <f ca="1">COUNTIFS(INDIRECT("Table1[Beginn]"),"&lt;="&amp;AG$1,INDIRECT("Table1[Ende]"),"&gt;="&amp;AG$1,INDIRECT("Table1[Obergruppe ATC-Code]"),Tabelle3!$A54)</f>
        <v>0</v>
      </c>
      <c r="AH54">
        <f ca="1">COUNTIFS(INDIRECT("Table1[Beginn]"),"&lt;="&amp;AH$1,INDIRECT("Table1[Ende]"),"&gt;="&amp;AH$1,INDIRECT("Table1[Obergruppe ATC-Code]"),Tabelle3!$A54)</f>
        <v>0</v>
      </c>
      <c r="AI54">
        <f ca="1">COUNTIFS(INDIRECT("Table1[Beginn]"),"&lt;="&amp;AI$1,INDIRECT("Table1[Ende]"),"&gt;="&amp;AI$1,INDIRECT("Table1[Obergruppe ATC-Code]"),Tabelle3!$A54)</f>
        <v>0</v>
      </c>
      <c r="AJ54">
        <f ca="1">COUNTIFS(INDIRECT("Table1[Beginn]"),"&lt;="&amp;AJ$1,INDIRECT("Table1[Ende]"),"&gt;="&amp;AJ$1,INDIRECT("Table1[Obergruppe ATC-Code]"),Tabelle3!$A54)</f>
        <v>1</v>
      </c>
      <c r="AK54">
        <f ca="1">COUNTIFS(INDIRECT("Table1[Beginn]"),"&lt;="&amp;AK$1,INDIRECT("Table1[Ende]"),"&gt;="&amp;AK$1,INDIRECT("Table1[Obergruppe ATC-Code]"),Tabelle3!$A54)</f>
        <v>1</v>
      </c>
      <c r="AL54">
        <f ca="1">COUNTIFS(INDIRECT("Table1[Beginn]"),"&lt;="&amp;AL$1,INDIRECT("Table1[Ende]"),"&gt;="&amp;AL$1,INDIRECT("Table1[Obergruppe ATC-Code]"),Tabelle3!$A54)</f>
        <v>2</v>
      </c>
      <c r="AM54">
        <f ca="1">COUNTIFS(INDIRECT("Table1[Beginn]"),"&lt;="&amp;AM$1,INDIRECT("Table1[Ende]"),"&gt;="&amp;AM$1,INDIRECT("Table1[Obergruppe ATC-Code]"),Tabelle3!$A54)</f>
        <v>1</v>
      </c>
      <c r="AN54">
        <f ca="1">COUNTIFS(INDIRECT("Table1[Beginn]"),"&lt;="&amp;AN$1,INDIRECT("Table1[Ende]"),"&gt;="&amp;AN$1,INDIRECT("Table1[Obergruppe ATC-Code]"),Tabelle3!$A54)</f>
        <v>1</v>
      </c>
      <c r="AO54">
        <f ca="1">COUNTIFS(INDIRECT("Table1[Beginn]"),"&lt;="&amp;AO$1,INDIRECT("Table1[Ende]"),"&gt;="&amp;AO$1,INDIRECT("Table1[Obergruppe ATC-Code]"),Tabelle3!$A54)</f>
        <v>2</v>
      </c>
      <c r="AP54">
        <f ca="1">COUNTIFS(INDIRECT("Table1[Beginn]"),"&lt;="&amp;AP$1,INDIRECT("Table1[Ende]"),"&gt;="&amp;AP$1,INDIRECT("Table1[Obergruppe ATC-Code]"),Tabelle3!$A54)</f>
        <v>4</v>
      </c>
      <c r="AQ54">
        <f ca="1">COUNTIFS(INDIRECT("Table1[Beginn]"),"&lt;="&amp;AQ$1,INDIRECT("Table1[Ende]"),"&gt;="&amp;AQ$1,INDIRECT("Table1[Obergruppe ATC-Code]"),Tabelle3!$A54)</f>
        <v>5</v>
      </c>
      <c r="AR54">
        <f ca="1">COUNTIFS(INDIRECT("Table1[Beginn]"),"&lt;="&amp;AR$1,INDIRECT("Table1[Ende]"),"&gt;="&amp;AR$1,INDIRECT("Table1[Obergruppe ATC-Code]"),Tabelle3!$A54)</f>
        <v>5</v>
      </c>
      <c r="AS54">
        <f ca="1">COUNTIFS(INDIRECT("Table1[Beginn]"),"&lt;="&amp;AS$1,INDIRECT("Table1[Ende]"),"&gt;="&amp;AS$1,INDIRECT("Table1[Obergruppe ATC-Code]"),Tabelle3!$A54)</f>
        <v>4</v>
      </c>
      <c r="AT54">
        <f ca="1">COUNTIFS(INDIRECT("Table1[Beginn]"),"&lt;="&amp;AT$1,INDIRECT("Table1[Ende]"),"&gt;="&amp;AT$1,INDIRECT("Table1[Obergruppe ATC-Code]"),Tabelle3!$A54)</f>
        <v>2</v>
      </c>
      <c r="AU54">
        <f ca="1">COUNTIFS(INDIRECT("Table1[Beginn]"),"&lt;="&amp;AU$1,INDIRECT("Table1[Ende]"),"&gt;="&amp;AU$1,INDIRECT("Table1[Obergruppe ATC-Code]"),Tabelle3!$A54)</f>
        <v>3</v>
      </c>
      <c r="AV54">
        <f ca="1">COUNTIFS(INDIRECT("Table1[Beginn]"),"&lt;="&amp;AV$1,INDIRECT("Table1[Ende]"),"&gt;="&amp;AV$1,INDIRECT("Table1[Obergruppe ATC-Code]"),Tabelle3!$A54)</f>
        <v>3</v>
      </c>
      <c r="AW54">
        <f ca="1">COUNTIFS(INDIRECT("Table1[Beginn]"),"&lt;="&amp;AW$1,INDIRECT("Table1[Ende]"),"&gt;="&amp;AW$1,INDIRECT("Table1[Obergruppe ATC-Code]"),Tabelle3!$A54)</f>
        <v>2</v>
      </c>
      <c r="AX54">
        <f ca="1">COUNTIFS(INDIRECT("Table1[Beginn]"),"&lt;="&amp;AX$1,INDIRECT("Table1[Ende]"),"&gt;="&amp;AX$1,INDIRECT("Table1[Obergruppe ATC-Code]"),Tabelle3!$A54)</f>
        <v>2</v>
      </c>
      <c r="AY54">
        <f ca="1">COUNTIFS(INDIRECT("Table1[Beginn]"),"&lt;="&amp;AY$1,INDIRECT("Table1[Ende]"),"&gt;="&amp;AY$1,INDIRECT("Table1[Obergruppe ATC-Code]"),Tabelle3!$A54)</f>
        <v>2</v>
      </c>
      <c r="AZ54">
        <f ca="1">COUNTIFS(INDIRECT("Table1[Beginn]"),"&lt;="&amp;AZ$1,INDIRECT("Table1[Ende]"),"&gt;="&amp;AZ$1,INDIRECT("Table1[Obergruppe ATC-Code]"),Tabelle3!$A54)</f>
        <v>2</v>
      </c>
      <c r="BA54">
        <f ca="1">COUNTIFS(INDIRECT("Table1[Beginn]"),"&lt;="&amp;BA$1,INDIRECT("Table1[Ende]"),"&gt;="&amp;BA$1,INDIRECT("Table1[Obergruppe ATC-Code]"),Tabelle3!$A54)</f>
        <v>3</v>
      </c>
      <c r="BB54">
        <f ca="1">COUNTIFS(INDIRECT("Table1[Beginn]"),"&lt;="&amp;BB$1,INDIRECT("Table1[Ende]"),"&gt;="&amp;BB$1,INDIRECT("Table1[Obergruppe ATC-Code]"),Tabelle3!$A54)</f>
        <v>3</v>
      </c>
      <c r="BC54">
        <f ca="1">COUNTIFS(INDIRECT("Table1[Beginn]"),"&lt;="&amp;BC$1,INDIRECT("Table1[Ende]"),"&gt;="&amp;BC$1,INDIRECT("Table1[Obergruppe ATC-Code]"),Tabelle3!$A54)</f>
        <v>4</v>
      </c>
      <c r="BD54">
        <f ca="1">COUNTIFS(INDIRECT("Table1[Beginn]"),"&lt;="&amp;BD$1,INDIRECT("Table1[Ende]"),"&gt;="&amp;BD$1,INDIRECT("Table1[Obergruppe ATC-Code]"),Tabelle3!$A54)</f>
        <v>4</v>
      </c>
      <c r="BE54">
        <f ca="1">COUNTIFS(INDIRECT("Table1[Beginn]"),"&lt;="&amp;BE$1,INDIRECT("Table1[Ende]"),"&gt;="&amp;BE$1,INDIRECT("Table1[Obergruppe ATC-Code]"),Tabelle3!$A54)</f>
        <v>2</v>
      </c>
      <c r="BF54">
        <f ca="1">COUNTIFS(INDIRECT("Table1[Beginn]"),"&lt;="&amp;BF$1,INDIRECT("Table1[Ende]"),"&gt;="&amp;BF$1,INDIRECT("Table1[Obergruppe ATC-Code]"),Tabelle3!$A54)</f>
        <v>2</v>
      </c>
      <c r="BG54">
        <f ca="1">COUNTIFS(INDIRECT("Table1[Beginn]"),"&lt;="&amp;BG$1,INDIRECT("Table1[Ende]"),"&gt;="&amp;BG$1,INDIRECT("Table1[Obergruppe ATC-Code]"),Tabelle3!$A54)</f>
        <v>2</v>
      </c>
      <c r="BH54">
        <f ca="1">COUNTIFS(INDIRECT("Table1[Beginn]"),"&lt;="&amp;BH$1,INDIRECT("Table1[Ende]"),"&gt;="&amp;BH$1,INDIRECT("Table1[Obergruppe ATC-Code]"),Tabelle3!$A54)</f>
        <v>2</v>
      </c>
      <c r="BI54">
        <f ca="1">COUNTIFS(INDIRECT("Table1[Beginn]"),"&lt;="&amp;BI$1,INDIRECT("Table1[Ende]"),"&gt;="&amp;BI$1,INDIRECT("Table1[Obergruppe ATC-Code]"),Tabelle3!$A54)</f>
        <v>1</v>
      </c>
      <c r="BJ54">
        <f ca="1">COUNTIFS(INDIRECT("Table1[Beginn]"),"&lt;="&amp;BJ$1,INDIRECT("Table1[Ende]"),"&gt;="&amp;BJ$1,INDIRECT("Table1[Obergruppe ATC-Code]"),Tabelle3!$A54)</f>
        <v>1</v>
      </c>
      <c r="BK54">
        <f ca="1">COUNTIFS(INDIRECT("Table1[Beginn]"),"&lt;="&amp;BK$1,INDIRECT("Table1[Ende]"),"&gt;="&amp;BK$1,INDIRECT("Table1[Obergruppe ATC-Code]"),Tabelle3!$A54)</f>
        <v>1</v>
      </c>
      <c r="BL54">
        <f ca="1">COUNTIFS(INDIRECT("Table1[Beginn]"),"&lt;="&amp;BL$1,INDIRECT("Table1[Ende]"),"&gt;="&amp;BL$1,INDIRECT("Table1[Obergruppe ATC-Code]"),Tabelle3!$A54)</f>
        <v>2</v>
      </c>
      <c r="BM54">
        <f ca="1">COUNTIFS(INDIRECT("Table1[Beginn]"),"&lt;="&amp;BM$1,INDIRECT("Table1[Ende]"),"&gt;="&amp;BM$1,INDIRECT("Table1[Obergruppe ATC-Code]"),Tabelle3!$A54)</f>
        <v>1</v>
      </c>
      <c r="BN54">
        <f ca="1">COUNTIFS(INDIRECT("Table1[Beginn]"),"&lt;="&amp;BN$1,INDIRECT("Table1[Ende]"),"&gt;="&amp;BN$1,INDIRECT("Table1[Obergruppe ATC-Code]"),Tabelle3!$A54)</f>
        <v>1</v>
      </c>
      <c r="BO54">
        <f ca="1">COUNTIFS(INDIRECT("Table1[Beginn]"),"&lt;="&amp;BO$1,INDIRECT("Table1[Ende]"),"&gt;="&amp;BO$1,INDIRECT("Table1[Obergruppe ATC-Code]"),Tabelle3!$A54)</f>
        <v>1</v>
      </c>
      <c r="BP54">
        <f ca="1">COUNTIFS(INDIRECT("Table1[Beginn]"),"&lt;="&amp;BP$1,INDIRECT("Table1[Ende]"),"&gt;="&amp;BP$1,INDIRECT("Table1[Obergruppe ATC-Code]"),Tabelle3!$A54)</f>
        <v>1</v>
      </c>
      <c r="BQ54">
        <f ca="1">COUNTIFS(INDIRECT("Table1[Beginn]"),"&lt;="&amp;BQ$1,INDIRECT("Table1[Ende]"),"&gt;="&amp;BQ$1,INDIRECT("Table1[Obergruppe ATC-Code]"),Tabelle3!$A54)</f>
        <v>0</v>
      </c>
      <c r="BR54">
        <f ca="1">COUNTIFS(INDIRECT("Table1[Beginn]"),"&lt;="&amp;BR$1,INDIRECT("Table1[Ende]"),"&gt;="&amp;BR$1,INDIRECT("Table1[Obergruppe ATC-Code]"),Tabelle3!$A54)</f>
        <v>0</v>
      </c>
      <c r="BS54">
        <f ca="1">COUNTIFS(INDIRECT("Table1[Beginn]"),"&lt;="&amp;BS$1,INDIRECT("Table1[Ende]"),"&gt;="&amp;BS$1,INDIRECT("Table1[Obergruppe ATC-Code]"),Tabelle3!$A54)</f>
        <v>1</v>
      </c>
      <c r="BT54">
        <f ca="1">COUNTIFS(INDIRECT("Table1[Beginn]"),"&lt;="&amp;BT$1,INDIRECT("Table1[Ende]"),"&gt;="&amp;BT$1,INDIRECT("Table1[Obergruppe ATC-Code]"),Tabelle3!$A54)</f>
        <v>1</v>
      </c>
      <c r="BU54">
        <f ca="1">COUNTIFS(INDIRECT("Table1[Beginn]"),"&lt;="&amp;BU$1,INDIRECT("Table1[Ende]"),"&gt;="&amp;BU$1,INDIRECT("Table1[Obergruppe ATC-Code]"),Tabelle3!$A54)</f>
        <v>1</v>
      </c>
      <c r="BV54">
        <f ca="1">COUNTIFS(INDIRECT("Table1[Beginn]"),"&lt;="&amp;BV$1,INDIRECT("Table1[Ende]"),"&gt;="&amp;BV$1,INDIRECT("Table1[Obergruppe ATC-Code]"),Tabelle3!$A54)</f>
        <v>1</v>
      </c>
      <c r="BW54">
        <f ca="1">COUNTIFS(INDIRECT("Table1[Beginn]"),"&lt;="&amp;BW$1,INDIRECT("Table1[Ende]"),"&gt;="&amp;BW$1,INDIRECT("Table1[Obergruppe ATC-Code]"),Tabelle3!$A54)</f>
        <v>1</v>
      </c>
      <c r="BX54">
        <f ca="1">COUNTIFS(INDIRECT("Table1[Beginn]"),"&lt;="&amp;BX$1,INDIRECT("Table1[Ende]"),"&gt;="&amp;BX$1,INDIRECT("Table1[Obergruppe ATC-Code]"),Tabelle3!$A54)</f>
        <v>2</v>
      </c>
      <c r="BY54">
        <f ca="1">COUNTIFS(INDIRECT("Table1[Beginn]"),"&lt;="&amp;BY$1,INDIRECT("Table1[Ende]"),"&gt;="&amp;BY$1,INDIRECT("Table1[Obergruppe ATC-Code]"),Tabelle3!$A54)</f>
        <v>2</v>
      </c>
      <c r="BZ54">
        <f ca="1">COUNTIFS(INDIRECT("Table1[Beginn]"),"&lt;="&amp;BZ$1,INDIRECT("Table1[Ende]"),"&gt;="&amp;BZ$1,INDIRECT("Table1[Obergruppe ATC-Code]"),Tabelle3!$A54)</f>
        <v>2</v>
      </c>
      <c r="CA54">
        <f ca="1">COUNTIFS(INDIRECT("Table1[Beginn]"),"&lt;="&amp;CA$1,INDIRECT("Table1[Ende]"),"&gt;="&amp;CA$1,INDIRECT("Table1[Obergruppe ATC-Code]"),Tabelle3!$A54)</f>
        <v>2</v>
      </c>
      <c r="CB54">
        <f ca="1">COUNTIFS(INDIRECT("Table1[Beginn]"),"&lt;="&amp;CB$1,INDIRECT("Table1[Ende]"),"&gt;="&amp;CB$1,INDIRECT("Table1[Obergruppe ATC-Code]"),Tabelle3!$A54)</f>
        <v>2</v>
      </c>
      <c r="CC54">
        <f ca="1">COUNTIFS(INDIRECT("Table1[Beginn]"),"&lt;="&amp;CC$1,INDIRECT("Table1[Ende]"),"&gt;="&amp;CC$1,INDIRECT("Table1[Obergruppe ATC-Code]"),Tabelle3!$A54)</f>
        <v>2</v>
      </c>
      <c r="CD54">
        <f ca="1">COUNTIFS(INDIRECT("Table1[Beginn]"),"&lt;="&amp;CD$1,INDIRECT("Table1[Ende]"),"&gt;="&amp;CD$1,INDIRECT("Table1[Obergruppe ATC-Code]"),Tabelle3!$A54)</f>
        <v>2</v>
      </c>
      <c r="CE54">
        <f ca="1">COUNTIFS(INDIRECT("Table1[Beginn]"),"&lt;="&amp;CE$1,INDIRECT("Table1[Ende]"),"&gt;="&amp;CE$1,INDIRECT("Table1[Obergruppe ATC-Code]"),Tabelle3!$A54)</f>
        <v>3</v>
      </c>
      <c r="CF54">
        <f ca="1">COUNTIFS(INDIRECT("Table1[Beginn]"),"&lt;="&amp;CF$1,INDIRECT("Table1[Ende]"),"&gt;="&amp;CF$1,INDIRECT("Table1[Obergruppe ATC-Code]"),Tabelle3!$A54)</f>
        <v>4</v>
      </c>
      <c r="CG54">
        <f ca="1">COUNTIFS(INDIRECT("Table1[Beginn]"),"&lt;="&amp;CG$1,INDIRECT("Table1[Ende]"),"&gt;="&amp;CG$1,INDIRECT("Table1[Obergruppe ATC-Code]"),Tabelle3!$A54)</f>
        <v>1</v>
      </c>
      <c r="CH54">
        <f ca="1">COUNTIFS(INDIRECT("Table1[Beginn]"),"&lt;="&amp;CH$1,INDIRECT("Table1[Ende]"),"&gt;="&amp;CH$1,INDIRECT("Table1[Obergruppe ATC-Code]"),Tabelle3!$A54)</f>
        <v>1</v>
      </c>
      <c r="CI54">
        <f ca="1">COUNTIFS(INDIRECT("Table1[Beginn]"),"&lt;="&amp;CI$1,INDIRECT("Table1[Ende]"),"&gt;="&amp;CI$1,INDIRECT("Table1[Obergruppe ATC-Code]"),Tabelle3!$A54)</f>
        <v>1</v>
      </c>
      <c r="CJ54">
        <f ca="1">COUNTIFS(INDIRECT("Table1[Beginn]"),"&lt;="&amp;CJ$1,INDIRECT("Table1[Ende]"),"&gt;="&amp;CJ$1,INDIRECT("Table1[Obergruppe ATC-Code]"),Tabelle3!$A54)</f>
        <v>1</v>
      </c>
      <c r="CK54">
        <f ca="1">COUNTIFS(INDIRECT("Table1[Beginn]"),"&lt;="&amp;CK$1,INDIRECT("Table1[Ende]"),"&gt;="&amp;CK$1,INDIRECT("Table1[Obergruppe ATC-Code]"),Tabelle3!$A54)</f>
        <v>1</v>
      </c>
      <c r="CL54">
        <f ca="1">COUNTIFS(INDIRECT("Table1[Beginn]"),"&lt;="&amp;CL$1,INDIRECT("Table1[Ende]"),"&gt;="&amp;CL$1,INDIRECT("Table1[Obergruppe ATC-Code]"),Tabelle3!$A54)</f>
        <v>1</v>
      </c>
      <c r="CM54">
        <f ca="1">COUNTIFS(INDIRECT("Table1[Beginn]"),"&lt;="&amp;CM$1,INDIRECT("Table1[Ende]"),"&gt;="&amp;CM$1,INDIRECT("Table1[Obergruppe ATC-Code]"),Tabelle3!$A54)</f>
        <v>1</v>
      </c>
      <c r="CN54">
        <f ca="1">COUNTIFS(INDIRECT("Table1[Beginn]"),"&lt;="&amp;CN$1,INDIRECT("Table1[Ende]"),"&gt;="&amp;CN$1,INDIRECT("Table1[Obergruppe ATC-Code]"),Tabelle3!$A54)</f>
        <v>1</v>
      </c>
      <c r="CO54">
        <f ca="1">COUNTIFS(INDIRECT("Table1[Beginn]"),"&lt;="&amp;CO$1,INDIRECT("Table1[Ende]"),"&gt;="&amp;CO$1,INDIRECT("Table1[Obergruppe ATC-Code]"),Tabelle3!$A54)</f>
        <v>1</v>
      </c>
      <c r="CP54">
        <f ca="1">COUNTIFS(INDIRECT("Table1[Beginn]"),"&lt;="&amp;CP$1,INDIRECT("Table1[Ende]"),"&gt;="&amp;CP$1,INDIRECT("Table1[Obergruppe ATC-Code]"),Tabelle3!$A54)</f>
        <v>1</v>
      </c>
      <c r="CQ54">
        <f ca="1">COUNTIFS(INDIRECT("Table1[Beginn]"),"&lt;="&amp;CQ$1,INDIRECT("Table1[Ende]"),"&gt;="&amp;CQ$1,INDIRECT("Table1[Obergruppe ATC-Code]"),Tabelle3!$A54)</f>
        <v>1</v>
      </c>
      <c r="CR54">
        <f ca="1">COUNTIFS(INDIRECT("Table1[Beginn]"),"&lt;="&amp;CR$1,INDIRECT("Table1[Ende]"),"&gt;="&amp;CR$1,INDIRECT("Table1[Obergruppe ATC-Code]"),Tabelle3!$A54)</f>
        <v>1</v>
      </c>
      <c r="CS54">
        <f ca="1">COUNTIFS(INDIRECT("Table1[Beginn]"),"&lt;="&amp;CS$1,INDIRECT("Table1[Ende]"),"&gt;="&amp;CS$1,INDIRECT("Table1[Obergruppe ATC-Code]"),Tabelle3!$A54)</f>
        <v>1</v>
      </c>
      <c r="CT54">
        <f ca="1">COUNTIFS(INDIRECT("Table1[Beginn]"),"&lt;="&amp;CT$1,INDIRECT("Table1[Ende]"),"&gt;="&amp;CT$1,INDIRECT("Table1[Obergruppe ATC-Code]"),Tabelle3!$A54)</f>
        <v>1</v>
      </c>
    </row>
    <row r="55" spans="1:112" ht="18">
      <c r="A55" s="9" t="s">
        <v>6879</v>
      </c>
      <c r="B55" s="10" t="s">
        <v>6880</v>
      </c>
      <c r="C55">
        <f ca="1">COUNTIFS(INDIRECT("Table1[Beginn]"),"&lt;="&amp;C$1,INDIRECT("Table1[Ende]"),"&gt;="&amp;C$1,INDIRECT("Table1[Obergruppe ATC-Code]"),Tabelle3!$A55)</f>
        <v>0</v>
      </c>
      <c r="D55">
        <f ca="1">COUNTIFS(INDIRECT("Table1[Beginn]"),"&lt;="&amp;D$1,INDIRECT("Table1[Ende]"),"&gt;="&amp;D$1,INDIRECT("Table1[Obergruppe ATC-Code]"),Tabelle3!$A55)</f>
        <v>0</v>
      </c>
      <c r="E55">
        <f ca="1">COUNTIFS(INDIRECT("Table1[Beginn]"),"&lt;="&amp;E$1,INDIRECT("Table1[Ende]"),"&gt;="&amp;E$1,INDIRECT("Table1[Obergruppe ATC-Code]"),Tabelle3!$A55)</f>
        <v>0</v>
      </c>
      <c r="F55">
        <f ca="1">COUNTIFS(INDIRECT("Table1[Beginn]"),"&lt;="&amp;F$1,INDIRECT("Table1[Ende]"),"&gt;="&amp;F$1,INDIRECT("Table1[Obergruppe ATC-Code]"),Tabelle3!$A55)</f>
        <v>0</v>
      </c>
      <c r="G55">
        <f ca="1">COUNTIFS(INDIRECT("Table1[Beginn]"),"&lt;="&amp;G$1,INDIRECT("Table1[Ende]"),"&gt;="&amp;G$1,INDIRECT("Table1[Obergruppe ATC-Code]"),Tabelle3!$A55)</f>
        <v>0</v>
      </c>
      <c r="H55">
        <f ca="1">COUNTIFS(INDIRECT("Table1[Beginn]"),"&lt;="&amp;H$1,INDIRECT("Table1[Ende]"),"&gt;="&amp;H$1,INDIRECT("Table1[Obergruppe ATC-Code]"),Tabelle3!$A55)</f>
        <v>0</v>
      </c>
      <c r="I55">
        <f ca="1">COUNTIFS(INDIRECT("Table1[Beginn]"),"&lt;="&amp;I$1,INDIRECT("Table1[Ende]"),"&gt;="&amp;I$1,INDIRECT("Table1[Obergruppe ATC-Code]"),Tabelle3!$A55)</f>
        <v>0</v>
      </c>
      <c r="J55">
        <f ca="1">COUNTIFS(INDIRECT("Table1[Beginn]"),"&lt;="&amp;J$1,INDIRECT("Table1[Ende]"),"&gt;="&amp;J$1,INDIRECT("Table1[Obergruppe ATC-Code]"),Tabelle3!$A55)</f>
        <v>0</v>
      </c>
      <c r="K55">
        <f ca="1">COUNTIFS(INDIRECT("Table1[Beginn]"),"&lt;="&amp;K$1,INDIRECT("Table1[Ende]"),"&gt;="&amp;K$1,INDIRECT("Table1[Obergruppe ATC-Code]"),Tabelle3!$A55)</f>
        <v>0</v>
      </c>
      <c r="L55">
        <f ca="1">COUNTIFS(INDIRECT("Table1[Beginn]"),"&lt;="&amp;L$1,INDIRECT("Table1[Ende]"),"&gt;="&amp;L$1,INDIRECT("Table1[Obergruppe ATC-Code]"),Tabelle3!$A55)</f>
        <v>0</v>
      </c>
      <c r="M55">
        <f ca="1">COUNTIFS(INDIRECT("Table1[Beginn]"),"&lt;="&amp;M$1,INDIRECT("Table1[Ende]"),"&gt;="&amp;M$1,INDIRECT("Table1[Obergruppe ATC-Code]"),Tabelle3!$A55)</f>
        <v>0</v>
      </c>
      <c r="N55">
        <f ca="1">COUNTIFS(INDIRECT("Table1[Beginn]"),"&lt;="&amp;N$1,INDIRECT("Table1[Ende]"),"&gt;="&amp;N$1,INDIRECT("Table1[Obergruppe ATC-Code]"),Tabelle3!$A55)</f>
        <v>0</v>
      </c>
      <c r="O55">
        <f ca="1">COUNTIFS(INDIRECT("Table1[Beginn]"),"&lt;="&amp;O$1,INDIRECT("Table1[Ende]"),"&gt;="&amp;O$1,INDIRECT("Table1[Obergruppe ATC-Code]"),Tabelle3!$A55)</f>
        <v>1</v>
      </c>
      <c r="P55">
        <f ca="1">COUNTIFS(INDIRECT("Table1[Beginn]"),"&lt;="&amp;P$1,INDIRECT("Table1[Ende]"),"&gt;="&amp;P$1,INDIRECT("Table1[Obergruppe ATC-Code]"),Tabelle3!$A55)</f>
        <v>1</v>
      </c>
      <c r="Q55">
        <f ca="1">COUNTIFS(INDIRECT("Table1[Beginn]"),"&lt;="&amp;Q$1,INDIRECT("Table1[Ende]"),"&gt;="&amp;Q$1,INDIRECT("Table1[Obergruppe ATC-Code]"),Tabelle3!$A55)</f>
        <v>1</v>
      </c>
      <c r="R55">
        <f ca="1">COUNTIFS(INDIRECT("Table1[Beginn]"),"&lt;="&amp;R$1,INDIRECT("Table1[Ende]"),"&gt;="&amp;R$1,INDIRECT("Table1[Obergruppe ATC-Code]"),Tabelle3!$A55)</f>
        <v>1</v>
      </c>
      <c r="S55">
        <f ca="1">COUNTIFS(INDIRECT("Table1[Beginn]"),"&lt;="&amp;S$1,INDIRECT("Table1[Ende]"),"&gt;="&amp;S$1,INDIRECT("Table1[Obergruppe ATC-Code]"),Tabelle3!$A55)</f>
        <v>1</v>
      </c>
      <c r="T55">
        <f ca="1">COUNTIFS(INDIRECT("Table1[Beginn]"),"&lt;="&amp;T$1,INDIRECT("Table1[Ende]"),"&gt;="&amp;T$1,INDIRECT("Table1[Obergruppe ATC-Code]"),Tabelle3!$A55)</f>
        <v>1</v>
      </c>
      <c r="U55">
        <f ca="1">COUNTIFS(INDIRECT("Table1[Beginn]"),"&lt;="&amp;U$1,INDIRECT("Table1[Ende]"),"&gt;="&amp;U$1,INDIRECT("Table1[Obergruppe ATC-Code]"),Tabelle3!$A55)</f>
        <v>1</v>
      </c>
      <c r="V55">
        <f ca="1">COUNTIFS(INDIRECT("Table1[Beginn]"),"&lt;="&amp;V$1,INDIRECT("Table1[Ende]"),"&gt;="&amp;V$1,INDIRECT("Table1[Obergruppe ATC-Code]"),Tabelle3!$A55)</f>
        <v>1</v>
      </c>
      <c r="W55">
        <f ca="1">COUNTIFS(INDIRECT("Table1[Beginn]"),"&lt;="&amp;W$1,INDIRECT("Table1[Ende]"),"&gt;="&amp;W$1,INDIRECT("Table1[Obergruppe ATC-Code]"),Tabelle3!$A55)</f>
        <v>1</v>
      </c>
      <c r="X55">
        <f ca="1">COUNTIFS(INDIRECT("Table1[Beginn]"),"&lt;="&amp;X$1,INDIRECT("Table1[Ende]"),"&gt;="&amp;X$1,INDIRECT("Table1[Obergruppe ATC-Code]"),Tabelle3!$A55)</f>
        <v>2</v>
      </c>
      <c r="Y55">
        <f ca="1">COUNTIFS(INDIRECT("Table1[Beginn]"),"&lt;="&amp;Y$1,INDIRECT("Table1[Ende]"),"&gt;="&amp;Y$1,INDIRECT("Table1[Obergruppe ATC-Code]"),Tabelle3!$A55)</f>
        <v>1</v>
      </c>
      <c r="Z55">
        <f ca="1">COUNTIFS(INDIRECT("Table1[Beginn]"),"&lt;="&amp;Z$1,INDIRECT("Table1[Ende]"),"&gt;="&amp;Z$1,INDIRECT("Table1[Obergruppe ATC-Code]"),Tabelle3!$A55)</f>
        <v>1</v>
      </c>
      <c r="AA55">
        <f ca="1">COUNTIFS(INDIRECT("Table1[Beginn]"),"&lt;="&amp;AA$1,INDIRECT("Table1[Ende]"),"&gt;="&amp;AA$1,INDIRECT("Table1[Obergruppe ATC-Code]"),Tabelle3!$A55)</f>
        <v>1</v>
      </c>
      <c r="AB55">
        <f ca="1">COUNTIFS(INDIRECT("Table1[Beginn]"),"&lt;="&amp;AB$1,INDIRECT("Table1[Ende]"),"&gt;="&amp;AB$1,INDIRECT("Table1[Obergruppe ATC-Code]"),Tabelle3!$A55)</f>
        <v>1</v>
      </c>
      <c r="AC55">
        <f ca="1">COUNTIFS(INDIRECT("Table1[Beginn]"),"&lt;="&amp;AC$1,INDIRECT("Table1[Ende]"),"&gt;="&amp;AC$1,INDIRECT("Table1[Obergruppe ATC-Code]"),Tabelle3!$A55)</f>
        <v>1</v>
      </c>
      <c r="AD55">
        <f ca="1">COUNTIFS(INDIRECT("Table1[Beginn]"),"&lt;="&amp;AD$1,INDIRECT("Table1[Ende]"),"&gt;="&amp;AD$1,INDIRECT("Table1[Obergruppe ATC-Code]"),Tabelle3!$A55)</f>
        <v>1</v>
      </c>
      <c r="AE55">
        <f ca="1">COUNTIFS(INDIRECT("Table1[Beginn]"),"&lt;="&amp;AE$1,INDIRECT("Table1[Ende]"),"&gt;="&amp;AE$1,INDIRECT("Table1[Obergruppe ATC-Code]"),Tabelle3!$A55)</f>
        <v>0</v>
      </c>
      <c r="AF55">
        <f ca="1">COUNTIFS(INDIRECT("Table1[Beginn]"),"&lt;="&amp;AF$1,INDIRECT("Table1[Ende]"),"&gt;="&amp;AF$1,INDIRECT("Table1[Obergruppe ATC-Code]"),Tabelle3!$A55)</f>
        <v>1</v>
      </c>
      <c r="AG55">
        <f ca="1">COUNTIFS(INDIRECT("Table1[Beginn]"),"&lt;="&amp;AG$1,INDIRECT("Table1[Ende]"),"&gt;="&amp;AG$1,INDIRECT("Table1[Obergruppe ATC-Code]"),Tabelle3!$A55)</f>
        <v>1</v>
      </c>
      <c r="AH55">
        <f ca="1">COUNTIFS(INDIRECT("Table1[Beginn]"),"&lt;="&amp;AH$1,INDIRECT("Table1[Ende]"),"&gt;="&amp;AH$1,INDIRECT("Table1[Obergruppe ATC-Code]"),Tabelle3!$A55)</f>
        <v>1</v>
      </c>
      <c r="AI55">
        <f ca="1">COUNTIFS(INDIRECT("Table1[Beginn]"),"&lt;="&amp;AI$1,INDIRECT("Table1[Ende]"),"&gt;="&amp;AI$1,INDIRECT("Table1[Obergruppe ATC-Code]"),Tabelle3!$A55)</f>
        <v>0</v>
      </c>
      <c r="AJ55">
        <f ca="1">COUNTIFS(INDIRECT("Table1[Beginn]"),"&lt;="&amp;AJ$1,INDIRECT("Table1[Ende]"),"&gt;="&amp;AJ$1,INDIRECT("Table1[Obergruppe ATC-Code]"),Tabelle3!$A55)</f>
        <v>2</v>
      </c>
      <c r="AK55">
        <f ca="1">COUNTIFS(INDIRECT("Table1[Beginn]"),"&lt;="&amp;AK$1,INDIRECT("Table1[Ende]"),"&gt;="&amp;AK$1,INDIRECT("Table1[Obergruppe ATC-Code]"),Tabelle3!$A55)</f>
        <v>2</v>
      </c>
      <c r="AL55">
        <f ca="1">COUNTIFS(INDIRECT("Table1[Beginn]"),"&lt;="&amp;AL$1,INDIRECT("Table1[Ende]"),"&gt;="&amp;AL$1,INDIRECT("Table1[Obergruppe ATC-Code]"),Tabelle3!$A55)</f>
        <v>1</v>
      </c>
      <c r="AM55">
        <f ca="1">COUNTIFS(INDIRECT("Table1[Beginn]"),"&lt;="&amp;AM$1,INDIRECT("Table1[Ende]"),"&gt;="&amp;AM$1,INDIRECT("Table1[Obergruppe ATC-Code]"),Tabelle3!$A55)</f>
        <v>0</v>
      </c>
      <c r="AN55">
        <f ca="1">COUNTIFS(INDIRECT("Table1[Beginn]"),"&lt;="&amp;AN$1,INDIRECT("Table1[Ende]"),"&gt;="&amp;AN$1,INDIRECT("Table1[Obergruppe ATC-Code]"),Tabelle3!$A55)</f>
        <v>0</v>
      </c>
      <c r="AO55">
        <f ca="1">COUNTIFS(INDIRECT("Table1[Beginn]"),"&lt;="&amp;AO$1,INDIRECT("Table1[Ende]"),"&gt;="&amp;AO$1,INDIRECT("Table1[Obergruppe ATC-Code]"),Tabelle3!$A55)</f>
        <v>0</v>
      </c>
      <c r="AP55">
        <f ca="1">COUNTIFS(INDIRECT("Table1[Beginn]"),"&lt;="&amp;AP$1,INDIRECT("Table1[Ende]"),"&gt;="&amp;AP$1,INDIRECT("Table1[Obergruppe ATC-Code]"),Tabelle3!$A55)</f>
        <v>1</v>
      </c>
      <c r="AQ55">
        <f ca="1">COUNTIFS(INDIRECT("Table1[Beginn]"),"&lt;="&amp;AQ$1,INDIRECT("Table1[Ende]"),"&gt;="&amp;AQ$1,INDIRECT("Table1[Obergruppe ATC-Code]"),Tabelle3!$A55)</f>
        <v>1</v>
      </c>
      <c r="AR55">
        <f ca="1">COUNTIFS(INDIRECT("Table1[Beginn]"),"&lt;="&amp;AR$1,INDIRECT("Table1[Ende]"),"&gt;="&amp;AR$1,INDIRECT("Table1[Obergruppe ATC-Code]"),Tabelle3!$A55)</f>
        <v>1</v>
      </c>
      <c r="AS55">
        <f ca="1">COUNTIFS(INDIRECT("Table1[Beginn]"),"&lt;="&amp;AS$1,INDIRECT("Table1[Ende]"),"&gt;="&amp;AS$1,INDIRECT("Table1[Obergruppe ATC-Code]"),Tabelle3!$A55)</f>
        <v>2</v>
      </c>
      <c r="AT55">
        <f ca="1">COUNTIFS(INDIRECT("Table1[Beginn]"),"&lt;="&amp;AT$1,INDIRECT("Table1[Ende]"),"&gt;="&amp;AT$1,INDIRECT("Table1[Obergruppe ATC-Code]"),Tabelle3!$A55)</f>
        <v>2</v>
      </c>
      <c r="AU55">
        <f ca="1">COUNTIFS(INDIRECT("Table1[Beginn]"),"&lt;="&amp;AU$1,INDIRECT("Table1[Ende]"),"&gt;="&amp;AU$1,INDIRECT("Table1[Obergruppe ATC-Code]"),Tabelle3!$A55)</f>
        <v>1</v>
      </c>
      <c r="AV55">
        <f ca="1">COUNTIFS(INDIRECT("Table1[Beginn]"),"&lt;="&amp;AV$1,INDIRECT("Table1[Ende]"),"&gt;="&amp;AV$1,INDIRECT("Table1[Obergruppe ATC-Code]"),Tabelle3!$A55)</f>
        <v>1</v>
      </c>
      <c r="AW55">
        <f ca="1">COUNTIFS(INDIRECT("Table1[Beginn]"),"&lt;="&amp;AW$1,INDIRECT("Table1[Ende]"),"&gt;="&amp;AW$1,INDIRECT("Table1[Obergruppe ATC-Code]"),Tabelle3!$A55)</f>
        <v>0</v>
      </c>
      <c r="AX55">
        <f ca="1">COUNTIFS(INDIRECT("Table1[Beginn]"),"&lt;="&amp;AX$1,INDIRECT("Table1[Ende]"),"&gt;="&amp;AX$1,INDIRECT("Table1[Obergruppe ATC-Code]"),Tabelle3!$A55)</f>
        <v>0</v>
      </c>
      <c r="AY55">
        <f ca="1">COUNTIFS(INDIRECT("Table1[Beginn]"),"&lt;="&amp;AY$1,INDIRECT("Table1[Ende]"),"&gt;="&amp;AY$1,INDIRECT("Table1[Obergruppe ATC-Code]"),Tabelle3!$A55)</f>
        <v>0</v>
      </c>
      <c r="AZ55">
        <f ca="1">COUNTIFS(INDIRECT("Table1[Beginn]"),"&lt;="&amp;AZ$1,INDIRECT("Table1[Ende]"),"&gt;="&amp;AZ$1,INDIRECT("Table1[Obergruppe ATC-Code]"),Tabelle3!$A55)</f>
        <v>0</v>
      </c>
      <c r="BA55">
        <f ca="1">COUNTIFS(INDIRECT("Table1[Beginn]"),"&lt;="&amp;BA$1,INDIRECT("Table1[Ende]"),"&gt;="&amp;BA$1,INDIRECT("Table1[Obergruppe ATC-Code]"),Tabelle3!$A55)</f>
        <v>0</v>
      </c>
      <c r="BB55">
        <f ca="1">COUNTIFS(INDIRECT("Table1[Beginn]"),"&lt;="&amp;BB$1,INDIRECT("Table1[Ende]"),"&gt;="&amp;BB$1,INDIRECT("Table1[Obergruppe ATC-Code]"),Tabelle3!$A55)</f>
        <v>0</v>
      </c>
      <c r="BC55">
        <f ca="1">COUNTIFS(INDIRECT("Table1[Beginn]"),"&lt;="&amp;BC$1,INDIRECT("Table1[Ende]"),"&gt;="&amp;BC$1,INDIRECT("Table1[Obergruppe ATC-Code]"),Tabelle3!$A55)</f>
        <v>0</v>
      </c>
      <c r="BD55">
        <f ca="1">COUNTIFS(INDIRECT("Table1[Beginn]"),"&lt;="&amp;BD$1,INDIRECT("Table1[Ende]"),"&gt;="&amp;BD$1,INDIRECT("Table1[Obergruppe ATC-Code]"),Tabelle3!$A55)</f>
        <v>0</v>
      </c>
      <c r="BE55">
        <f ca="1">COUNTIFS(INDIRECT("Table1[Beginn]"),"&lt;="&amp;BE$1,INDIRECT("Table1[Ende]"),"&gt;="&amp;BE$1,INDIRECT("Table1[Obergruppe ATC-Code]"),Tabelle3!$A55)</f>
        <v>0</v>
      </c>
      <c r="BF55">
        <f ca="1">COUNTIFS(INDIRECT("Table1[Beginn]"),"&lt;="&amp;BF$1,INDIRECT("Table1[Ende]"),"&gt;="&amp;BF$1,INDIRECT("Table1[Obergruppe ATC-Code]"),Tabelle3!$A55)</f>
        <v>0</v>
      </c>
      <c r="BG55">
        <f ca="1">COUNTIFS(INDIRECT("Table1[Beginn]"),"&lt;="&amp;BG$1,INDIRECT("Table1[Ende]"),"&gt;="&amp;BG$1,INDIRECT("Table1[Obergruppe ATC-Code]"),Tabelle3!$A55)</f>
        <v>0</v>
      </c>
      <c r="BH55">
        <f ca="1">COUNTIFS(INDIRECT("Table1[Beginn]"),"&lt;="&amp;BH$1,INDIRECT("Table1[Ende]"),"&gt;="&amp;BH$1,INDIRECT("Table1[Obergruppe ATC-Code]"),Tabelle3!$A55)</f>
        <v>0</v>
      </c>
      <c r="BI55">
        <f ca="1">COUNTIFS(INDIRECT("Table1[Beginn]"),"&lt;="&amp;BI$1,INDIRECT("Table1[Ende]"),"&gt;="&amp;BI$1,INDIRECT("Table1[Obergruppe ATC-Code]"),Tabelle3!$A55)</f>
        <v>0</v>
      </c>
      <c r="BJ55">
        <f ca="1">COUNTIFS(INDIRECT("Table1[Beginn]"),"&lt;="&amp;BJ$1,INDIRECT("Table1[Ende]"),"&gt;="&amp;BJ$1,INDIRECT("Table1[Obergruppe ATC-Code]"),Tabelle3!$A55)</f>
        <v>0</v>
      </c>
      <c r="BK55">
        <f ca="1">COUNTIFS(INDIRECT("Table1[Beginn]"),"&lt;="&amp;BK$1,INDIRECT("Table1[Ende]"),"&gt;="&amp;BK$1,INDIRECT("Table1[Obergruppe ATC-Code]"),Tabelle3!$A55)</f>
        <v>1</v>
      </c>
      <c r="BL55">
        <f ca="1">COUNTIFS(INDIRECT("Table1[Beginn]"),"&lt;="&amp;BL$1,INDIRECT("Table1[Ende]"),"&gt;="&amp;BL$1,INDIRECT("Table1[Obergruppe ATC-Code]"),Tabelle3!$A55)</f>
        <v>1</v>
      </c>
      <c r="BM55">
        <f ca="1">COUNTIFS(INDIRECT("Table1[Beginn]"),"&lt;="&amp;BM$1,INDIRECT("Table1[Ende]"),"&gt;="&amp;BM$1,INDIRECT("Table1[Obergruppe ATC-Code]"),Tabelle3!$A55)</f>
        <v>0</v>
      </c>
      <c r="BN55">
        <f ca="1">COUNTIFS(INDIRECT("Table1[Beginn]"),"&lt;="&amp;BN$1,INDIRECT("Table1[Ende]"),"&gt;="&amp;BN$1,INDIRECT("Table1[Obergruppe ATC-Code]"),Tabelle3!$A55)</f>
        <v>0</v>
      </c>
      <c r="BO55">
        <f ca="1">COUNTIFS(INDIRECT("Table1[Beginn]"),"&lt;="&amp;BO$1,INDIRECT("Table1[Ende]"),"&gt;="&amp;BO$1,INDIRECT("Table1[Obergruppe ATC-Code]"),Tabelle3!$A55)</f>
        <v>0</v>
      </c>
      <c r="BP55">
        <f ca="1">COUNTIFS(INDIRECT("Table1[Beginn]"),"&lt;="&amp;BP$1,INDIRECT("Table1[Ende]"),"&gt;="&amp;BP$1,INDIRECT("Table1[Obergruppe ATC-Code]"),Tabelle3!$A55)</f>
        <v>1</v>
      </c>
      <c r="BQ55">
        <f ca="1">COUNTIFS(INDIRECT("Table1[Beginn]"),"&lt;="&amp;BQ$1,INDIRECT("Table1[Ende]"),"&gt;="&amp;BQ$1,INDIRECT("Table1[Obergruppe ATC-Code]"),Tabelle3!$A55)</f>
        <v>0</v>
      </c>
      <c r="BR55">
        <f ca="1">COUNTIFS(INDIRECT("Table1[Beginn]"),"&lt;="&amp;BR$1,INDIRECT("Table1[Ende]"),"&gt;="&amp;BR$1,INDIRECT("Table1[Obergruppe ATC-Code]"),Tabelle3!$A55)</f>
        <v>0</v>
      </c>
      <c r="BS55">
        <f ca="1">COUNTIFS(INDIRECT("Table1[Beginn]"),"&lt;="&amp;BS$1,INDIRECT("Table1[Ende]"),"&gt;="&amp;BS$1,INDIRECT("Table1[Obergruppe ATC-Code]"),Tabelle3!$A55)</f>
        <v>0</v>
      </c>
      <c r="BT55">
        <f ca="1">COUNTIFS(INDIRECT("Table1[Beginn]"),"&lt;="&amp;BT$1,INDIRECT("Table1[Ende]"),"&gt;="&amp;BT$1,INDIRECT("Table1[Obergruppe ATC-Code]"),Tabelle3!$A55)</f>
        <v>0</v>
      </c>
      <c r="BU55">
        <f ca="1">COUNTIFS(INDIRECT("Table1[Beginn]"),"&lt;="&amp;BU$1,INDIRECT("Table1[Ende]"),"&gt;="&amp;BU$1,INDIRECT("Table1[Obergruppe ATC-Code]"),Tabelle3!$A55)</f>
        <v>0</v>
      </c>
      <c r="BV55">
        <f ca="1">COUNTIFS(INDIRECT("Table1[Beginn]"),"&lt;="&amp;BV$1,INDIRECT("Table1[Ende]"),"&gt;="&amp;BV$1,INDIRECT("Table1[Obergruppe ATC-Code]"),Tabelle3!$A55)</f>
        <v>0</v>
      </c>
      <c r="BW55">
        <f ca="1">COUNTIFS(INDIRECT("Table1[Beginn]"),"&lt;="&amp;BW$1,INDIRECT("Table1[Ende]"),"&gt;="&amp;BW$1,INDIRECT("Table1[Obergruppe ATC-Code]"),Tabelle3!$A55)</f>
        <v>0</v>
      </c>
      <c r="BX55">
        <f ca="1">COUNTIFS(INDIRECT("Table1[Beginn]"),"&lt;="&amp;BX$1,INDIRECT("Table1[Ende]"),"&gt;="&amp;BX$1,INDIRECT("Table1[Obergruppe ATC-Code]"),Tabelle3!$A55)</f>
        <v>0</v>
      </c>
      <c r="BY55">
        <f ca="1">COUNTIFS(INDIRECT("Table1[Beginn]"),"&lt;="&amp;BY$1,INDIRECT("Table1[Ende]"),"&gt;="&amp;BY$1,INDIRECT("Table1[Obergruppe ATC-Code]"),Tabelle3!$A55)</f>
        <v>0</v>
      </c>
      <c r="BZ55">
        <f ca="1">COUNTIFS(INDIRECT("Table1[Beginn]"),"&lt;="&amp;BZ$1,INDIRECT("Table1[Ende]"),"&gt;="&amp;BZ$1,INDIRECT("Table1[Obergruppe ATC-Code]"),Tabelle3!$A55)</f>
        <v>0</v>
      </c>
      <c r="CA55">
        <f ca="1">COUNTIFS(INDIRECT("Table1[Beginn]"),"&lt;="&amp;CA$1,INDIRECT("Table1[Ende]"),"&gt;="&amp;CA$1,INDIRECT("Table1[Obergruppe ATC-Code]"),Tabelle3!$A55)</f>
        <v>0</v>
      </c>
      <c r="CB55">
        <f ca="1">COUNTIFS(INDIRECT("Table1[Beginn]"),"&lt;="&amp;CB$1,INDIRECT("Table1[Ende]"),"&gt;="&amp;CB$1,INDIRECT("Table1[Obergruppe ATC-Code]"),Tabelle3!$A55)</f>
        <v>1</v>
      </c>
      <c r="CC55">
        <f ca="1">COUNTIFS(INDIRECT("Table1[Beginn]"),"&lt;="&amp;CC$1,INDIRECT("Table1[Ende]"),"&gt;="&amp;CC$1,INDIRECT("Table1[Obergruppe ATC-Code]"),Tabelle3!$A55)</f>
        <v>1</v>
      </c>
      <c r="CD55">
        <f ca="1">COUNTIFS(INDIRECT("Table1[Beginn]"),"&lt;="&amp;CD$1,INDIRECT("Table1[Ende]"),"&gt;="&amp;CD$1,INDIRECT("Table1[Obergruppe ATC-Code]"),Tabelle3!$A55)</f>
        <v>1</v>
      </c>
      <c r="CE55">
        <f ca="1">COUNTIFS(INDIRECT("Table1[Beginn]"),"&lt;="&amp;CE$1,INDIRECT("Table1[Ende]"),"&gt;="&amp;CE$1,INDIRECT("Table1[Obergruppe ATC-Code]"),Tabelle3!$A55)</f>
        <v>2</v>
      </c>
      <c r="CF55">
        <f ca="1">COUNTIFS(INDIRECT("Table1[Beginn]"),"&lt;="&amp;CF$1,INDIRECT("Table1[Ende]"),"&gt;="&amp;CF$1,INDIRECT("Table1[Obergruppe ATC-Code]"),Tabelle3!$A55)</f>
        <v>1</v>
      </c>
      <c r="CG55">
        <f ca="1">COUNTIFS(INDIRECT("Table1[Beginn]"),"&lt;="&amp;CG$1,INDIRECT("Table1[Ende]"),"&gt;="&amp;CG$1,INDIRECT("Table1[Obergruppe ATC-Code]"),Tabelle3!$A55)</f>
        <v>0</v>
      </c>
      <c r="CH55">
        <f ca="1">COUNTIFS(INDIRECT("Table1[Beginn]"),"&lt;="&amp;CH$1,INDIRECT("Table1[Ende]"),"&gt;="&amp;CH$1,INDIRECT("Table1[Obergruppe ATC-Code]"),Tabelle3!$A55)</f>
        <v>0</v>
      </c>
      <c r="CI55">
        <f ca="1">COUNTIFS(INDIRECT("Table1[Beginn]"),"&lt;="&amp;CI$1,INDIRECT("Table1[Ende]"),"&gt;="&amp;CI$1,INDIRECT("Table1[Obergruppe ATC-Code]"),Tabelle3!$A55)</f>
        <v>0</v>
      </c>
      <c r="CJ55">
        <f ca="1">COUNTIFS(INDIRECT("Table1[Beginn]"),"&lt;="&amp;CJ$1,INDIRECT("Table1[Ende]"),"&gt;="&amp;CJ$1,INDIRECT("Table1[Obergruppe ATC-Code]"),Tabelle3!$A55)</f>
        <v>0</v>
      </c>
      <c r="CK55">
        <f ca="1">COUNTIFS(INDIRECT("Table1[Beginn]"),"&lt;="&amp;CK$1,INDIRECT("Table1[Ende]"),"&gt;="&amp;CK$1,INDIRECT("Table1[Obergruppe ATC-Code]"),Tabelle3!$A55)</f>
        <v>0</v>
      </c>
      <c r="CL55">
        <f ca="1">COUNTIFS(INDIRECT("Table1[Beginn]"),"&lt;="&amp;CL$1,INDIRECT("Table1[Ende]"),"&gt;="&amp;CL$1,INDIRECT("Table1[Obergruppe ATC-Code]"),Tabelle3!$A55)</f>
        <v>0</v>
      </c>
      <c r="CM55">
        <f ca="1">COUNTIFS(INDIRECT("Table1[Beginn]"),"&lt;="&amp;CM$1,INDIRECT("Table1[Ende]"),"&gt;="&amp;CM$1,INDIRECT("Table1[Obergruppe ATC-Code]"),Tabelle3!$A55)</f>
        <v>0</v>
      </c>
      <c r="CN55">
        <f ca="1">COUNTIFS(INDIRECT("Table1[Beginn]"),"&lt;="&amp;CN$1,INDIRECT("Table1[Ende]"),"&gt;="&amp;CN$1,INDIRECT("Table1[Obergruppe ATC-Code]"),Tabelle3!$A55)</f>
        <v>0</v>
      </c>
      <c r="CO55">
        <f ca="1">COUNTIFS(INDIRECT("Table1[Beginn]"),"&lt;="&amp;CO$1,INDIRECT("Table1[Ende]"),"&gt;="&amp;CO$1,INDIRECT("Table1[Obergruppe ATC-Code]"),Tabelle3!$A55)</f>
        <v>0</v>
      </c>
      <c r="CP55">
        <f ca="1">COUNTIFS(INDIRECT("Table1[Beginn]"),"&lt;="&amp;CP$1,INDIRECT("Table1[Ende]"),"&gt;="&amp;CP$1,INDIRECT("Table1[Obergruppe ATC-Code]"),Tabelle3!$A55)</f>
        <v>0</v>
      </c>
      <c r="CQ55">
        <f ca="1">COUNTIFS(INDIRECT("Table1[Beginn]"),"&lt;="&amp;CQ$1,INDIRECT("Table1[Ende]"),"&gt;="&amp;CQ$1,INDIRECT("Table1[Obergruppe ATC-Code]"),Tabelle3!$A55)</f>
        <v>0</v>
      </c>
      <c r="CR55">
        <f ca="1">COUNTIFS(INDIRECT("Table1[Beginn]"),"&lt;="&amp;CR$1,INDIRECT("Table1[Ende]"),"&gt;="&amp;CR$1,INDIRECT("Table1[Obergruppe ATC-Code]"),Tabelle3!$A55)</f>
        <v>0</v>
      </c>
      <c r="CS55">
        <f ca="1">COUNTIFS(INDIRECT("Table1[Beginn]"),"&lt;="&amp;CS$1,INDIRECT("Table1[Ende]"),"&gt;="&amp;CS$1,INDIRECT("Table1[Obergruppe ATC-Code]"),Tabelle3!$A55)</f>
        <v>0</v>
      </c>
      <c r="CT55">
        <f ca="1">COUNTIFS(INDIRECT("Table1[Beginn]"),"&lt;="&amp;CT$1,INDIRECT("Table1[Ende]"),"&gt;="&amp;CT$1,INDIRECT("Table1[Obergruppe ATC-Code]"),Tabelle3!$A55)</f>
        <v>0</v>
      </c>
    </row>
    <row r="56" spans="1:112" ht="18">
      <c r="A56" s="7" t="s">
        <v>6881</v>
      </c>
      <c r="B56" s="8" t="s">
        <v>6882</v>
      </c>
      <c r="C56">
        <f ca="1">COUNTIFS(INDIRECT("Table1[Beginn]"),"&lt;="&amp;C$1,INDIRECT("Table1[Ende]"),"&gt;="&amp;C$1,INDIRECT("Table1[Obergruppe ATC-Code]"),Tabelle3!$A56)</f>
        <v>1</v>
      </c>
      <c r="D56">
        <f ca="1">COUNTIFS(INDIRECT("Table1[Beginn]"),"&lt;="&amp;D$1,INDIRECT("Table1[Ende]"),"&gt;="&amp;D$1,INDIRECT("Table1[Obergruppe ATC-Code]"),Tabelle3!$A56)</f>
        <v>1</v>
      </c>
      <c r="E56">
        <f ca="1">COUNTIFS(INDIRECT("Table1[Beginn]"),"&lt;="&amp;E$1,INDIRECT("Table1[Ende]"),"&gt;="&amp;E$1,INDIRECT("Table1[Obergruppe ATC-Code]"),Tabelle3!$A56)</f>
        <v>1</v>
      </c>
      <c r="F56">
        <f ca="1">COUNTIFS(INDIRECT("Table1[Beginn]"),"&lt;="&amp;F$1,INDIRECT("Table1[Ende]"),"&gt;="&amp;F$1,INDIRECT("Table1[Obergruppe ATC-Code]"),Tabelle3!$A56)</f>
        <v>1</v>
      </c>
      <c r="G56">
        <f ca="1">COUNTIFS(INDIRECT("Table1[Beginn]"),"&lt;="&amp;G$1,INDIRECT("Table1[Ende]"),"&gt;="&amp;G$1,INDIRECT("Table1[Obergruppe ATC-Code]"),Tabelle3!$A56)</f>
        <v>2</v>
      </c>
      <c r="H56">
        <f ca="1">COUNTIFS(INDIRECT("Table1[Beginn]"),"&lt;="&amp;H$1,INDIRECT("Table1[Ende]"),"&gt;="&amp;H$1,INDIRECT("Table1[Obergruppe ATC-Code]"),Tabelle3!$A56)</f>
        <v>1</v>
      </c>
      <c r="I56">
        <f ca="1">COUNTIFS(INDIRECT("Table1[Beginn]"),"&lt;="&amp;I$1,INDIRECT("Table1[Ende]"),"&gt;="&amp;I$1,INDIRECT("Table1[Obergruppe ATC-Code]"),Tabelle3!$A56)</f>
        <v>1</v>
      </c>
      <c r="J56">
        <f ca="1">COUNTIFS(INDIRECT("Table1[Beginn]"),"&lt;="&amp;J$1,INDIRECT("Table1[Ende]"),"&gt;="&amp;J$1,INDIRECT("Table1[Obergruppe ATC-Code]"),Tabelle3!$A56)</f>
        <v>1</v>
      </c>
      <c r="K56">
        <f ca="1">COUNTIFS(INDIRECT("Table1[Beginn]"),"&lt;="&amp;K$1,INDIRECT("Table1[Ende]"),"&gt;="&amp;K$1,INDIRECT("Table1[Obergruppe ATC-Code]"),Tabelle3!$A56)</f>
        <v>1</v>
      </c>
      <c r="L56">
        <f ca="1">COUNTIFS(INDIRECT("Table1[Beginn]"),"&lt;="&amp;L$1,INDIRECT("Table1[Ende]"),"&gt;="&amp;L$1,INDIRECT("Table1[Obergruppe ATC-Code]"),Tabelle3!$A56)</f>
        <v>0</v>
      </c>
      <c r="M56">
        <f ca="1">COUNTIFS(INDIRECT("Table1[Beginn]"),"&lt;="&amp;M$1,INDIRECT("Table1[Ende]"),"&gt;="&amp;M$1,INDIRECT("Table1[Obergruppe ATC-Code]"),Tabelle3!$A56)</f>
        <v>0</v>
      </c>
      <c r="N56">
        <f ca="1">COUNTIFS(INDIRECT("Table1[Beginn]"),"&lt;="&amp;N$1,INDIRECT("Table1[Ende]"),"&gt;="&amp;N$1,INDIRECT("Table1[Obergruppe ATC-Code]"),Tabelle3!$A56)</f>
        <v>0</v>
      </c>
      <c r="O56">
        <f ca="1">COUNTIFS(INDIRECT("Table1[Beginn]"),"&lt;="&amp;O$1,INDIRECT("Table1[Ende]"),"&gt;="&amp;O$1,INDIRECT("Table1[Obergruppe ATC-Code]"),Tabelle3!$A56)</f>
        <v>1</v>
      </c>
      <c r="P56">
        <f ca="1">COUNTIFS(INDIRECT("Table1[Beginn]"),"&lt;="&amp;P$1,INDIRECT("Table1[Ende]"),"&gt;="&amp;P$1,INDIRECT("Table1[Obergruppe ATC-Code]"),Tabelle3!$A56)</f>
        <v>1</v>
      </c>
      <c r="Q56">
        <f ca="1">COUNTIFS(INDIRECT("Table1[Beginn]"),"&lt;="&amp;Q$1,INDIRECT("Table1[Ende]"),"&gt;="&amp;Q$1,INDIRECT("Table1[Obergruppe ATC-Code]"),Tabelle3!$A56)</f>
        <v>2</v>
      </c>
      <c r="R56">
        <f ca="1">COUNTIFS(INDIRECT("Table1[Beginn]"),"&lt;="&amp;R$1,INDIRECT("Table1[Ende]"),"&gt;="&amp;R$1,INDIRECT("Table1[Obergruppe ATC-Code]"),Tabelle3!$A56)</f>
        <v>3</v>
      </c>
      <c r="S56">
        <f ca="1">COUNTIFS(INDIRECT("Table1[Beginn]"),"&lt;="&amp;S$1,INDIRECT("Table1[Ende]"),"&gt;="&amp;S$1,INDIRECT("Table1[Obergruppe ATC-Code]"),Tabelle3!$A56)</f>
        <v>2</v>
      </c>
      <c r="T56">
        <f ca="1">COUNTIFS(INDIRECT("Table1[Beginn]"),"&lt;="&amp;T$1,INDIRECT("Table1[Ende]"),"&gt;="&amp;T$1,INDIRECT("Table1[Obergruppe ATC-Code]"),Tabelle3!$A56)</f>
        <v>1</v>
      </c>
      <c r="U56">
        <f ca="1">COUNTIFS(INDIRECT("Table1[Beginn]"),"&lt;="&amp;U$1,INDIRECT("Table1[Ende]"),"&gt;="&amp;U$1,INDIRECT("Table1[Obergruppe ATC-Code]"),Tabelle3!$A56)</f>
        <v>3</v>
      </c>
      <c r="V56">
        <f ca="1">COUNTIFS(INDIRECT("Table1[Beginn]"),"&lt;="&amp;V$1,INDIRECT("Table1[Ende]"),"&gt;="&amp;V$1,INDIRECT("Table1[Obergruppe ATC-Code]"),Tabelle3!$A56)</f>
        <v>3</v>
      </c>
      <c r="W56">
        <f ca="1">COUNTIFS(INDIRECT("Table1[Beginn]"),"&lt;="&amp;W$1,INDIRECT("Table1[Ende]"),"&gt;="&amp;W$1,INDIRECT("Table1[Obergruppe ATC-Code]"),Tabelle3!$A56)</f>
        <v>3</v>
      </c>
      <c r="X56">
        <f ca="1">COUNTIFS(INDIRECT("Table1[Beginn]"),"&lt;="&amp;X$1,INDIRECT("Table1[Ende]"),"&gt;="&amp;X$1,INDIRECT("Table1[Obergruppe ATC-Code]"),Tabelle3!$A56)</f>
        <v>3</v>
      </c>
      <c r="Y56">
        <f ca="1">COUNTIFS(INDIRECT("Table1[Beginn]"),"&lt;="&amp;Y$1,INDIRECT("Table1[Ende]"),"&gt;="&amp;Y$1,INDIRECT("Table1[Obergruppe ATC-Code]"),Tabelle3!$A56)</f>
        <v>3</v>
      </c>
      <c r="Z56">
        <f ca="1">COUNTIFS(INDIRECT("Table1[Beginn]"),"&lt;="&amp;Z$1,INDIRECT("Table1[Ende]"),"&gt;="&amp;Z$1,INDIRECT("Table1[Obergruppe ATC-Code]"),Tabelle3!$A56)</f>
        <v>3</v>
      </c>
      <c r="AA56">
        <f ca="1">COUNTIFS(INDIRECT("Table1[Beginn]"),"&lt;="&amp;AA$1,INDIRECT("Table1[Ende]"),"&gt;="&amp;AA$1,INDIRECT("Table1[Obergruppe ATC-Code]"),Tabelle3!$A56)</f>
        <v>5</v>
      </c>
      <c r="AB56">
        <f ca="1">COUNTIFS(INDIRECT("Table1[Beginn]"),"&lt;="&amp;AB$1,INDIRECT("Table1[Ende]"),"&gt;="&amp;AB$1,INDIRECT("Table1[Obergruppe ATC-Code]"),Tabelle3!$A56)</f>
        <v>5</v>
      </c>
      <c r="AC56">
        <f ca="1">COUNTIFS(INDIRECT("Table1[Beginn]"),"&lt;="&amp;AC$1,INDIRECT("Table1[Ende]"),"&gt;="&amp;AC$1,INDIRECT("Table1[Obergruppe ATC-Code]"),Tabelle3!$A56)</f>
        <v>9</v>
      </c>
      <c r="AD56">
        <f ca="1">COUNTIFS(INDIRECT("Table1[Beginn]"),"&lt;="&amp;AD$1,INDIRECT("Table1[Ende]"),"&gt;="&amp;AD$1,INDIRECT("Table1[Obergruppe ATC-Code]"),Tabelle3!$A56)</f>
        <v>11</v>
      </c>
      <c r="AE56">
        <f ca="1">COUNTIFS(INDIRECT("Table1[Beginn]"),"&lt;="&amp;AE$1,INDIRECT("Table1[Ende]"),"&gt;="&amp;AE$1,INDIRECT("Table1[Obergruppe ATC-Code]"),Tabelle3!$A56)</f>
        <v>12</v>
      </c>
      <c r="AF56">
        <f ca="1">COUNTIFS(INDIRECT("Table1[Beginn]"),"&lt;="&amp;AF$1,INDIRECT("Table1[Ende]"),"&gt;="&amp;AF$1,INDIRECT("Table1[Obergruppe ATC-Code]"),Tabelle3!$A56)</f>
        <v>10</v>
      </c>
      <c r="AG56">
        <f ca="1">COUNTIFS(INDIRECT("Table1[Beginn]"),"&lt;="&amp;AG$1,INDIRECT("Table1[Ende]"),"&gt;="&amp;AG$1,INDIRECT("Table1[Obergruppe ATC-Code]"),Tabelle3!$A56)</f>
        <v>11</v>
      </c>
      <c r="AH56">
        <f ca="1">COUNTIFS(INDIRECT("Table1[Beginn]"),"&lt;="&amp;AH$1,INDIRECT("Table1[Ende]"),"&gt;="&amp;AH$1,INDIRECT("Table1[Obergruppe ATC-Code]"),Tabelle3!$A56)</f>
        <v>7</v>
      </c>
      <c r="AI56">
        <f ca="1">COUNTIFS(INDIRECT("Table1[Beginn]"),"&lt;="&amp;AI$1,INDIRECT("Table1[Ende]"),"&gt;="&amp;AI$1,INDIRECT("Table1[Obergruppe ATC-Code]"),Tabelle3!$A56)</f>
        <v>6</v>
      </c>
      <c r="AJ56">
        <f ca="1">COUNTIFS(INDIRECT("Table1[Beginn]"),"&lt;="&amp;AJ$1,INDIRECT("Table1[Ende]"),"&gt;="&amp;AJ$1,INDIRECT("Table1[Obergruppe ATC-Code]"),Tabelle3!$A56)</f>
        <v>6</v>
      </c>
      <c r="AK56">
        <f ca="1">COUNTIFS(INDIRECT("Table1[Beginn]"),"&lt;="&amp;AK$1,INDIRECT("Table1[Ende]"),"&gt;="&amp;AK$1,INDIRECT("Table1[Obergruppe ATC-Code]"),Tabelle3!$A56)</f>
        <v>7</v>
      </c>
      <c r="AL56">
        <f ca="1">COUNTIFS(INDIRECT("Table1[Beginn]"),"&lt;="&amp;AL$1,INDIRECT("Table1[Ende]"),"&gt;="&amp;AL$1,INDIRECT("Table1[Obergruppe ATC-Code]"),Tabelle3!$A56)</f>
        <v>5</v>
      </c>
      <c r="AM56">
        <f ca="1">COUNTIFS(INDIRECT("Table1[Beginn]"),"&lt;="&amp;AM$1,INDIRECT("Table1[Ende]"),"&gt;="&amp;AM$1,INDIRECT("Table1[Obergruppe ATC-Code]"),Tabelle3!$A56)</f>
        <v>7</v>
      </c>
      <c r="AN56">
        <f ca="1">COUNTIFS(INDIRECT("Table1[Beginn]"),"&lt;="&amp;AN$1,INDIRECT("Table1[Ende]"),"&gt;="&amp;AN$1,INDIRECT("Table1[Obergruppe ATC-Code]"),Tabelle3!$A56)</f>
        <v>6</v>
      </c>
      <c r="AO56">
        <f ca="1">COUNTIFS(INDIRECT("Table1[Beginn]"),"&lt;="&amp;AO$1,INDIRECT("Table1[Ende]"),"&gt;="&amp;AO$1,INDIRECT("Table1[Obergruppe ATC-Code]"),Tabelle3!$A56)</f>
        <v>15</v>
      </c>
      <c r="AP56">
        <f ca="1">COUNTIFS(INDIRECT("Table1[Beginn]"),"&lt;="&amp;AP$1,INDIRECT("Table1[Ende]"),"&gt;="&amp;AP$1,INDIRECT("Table1[Obergruppe ATC-Code]"),Tabelle3!$A56)</f>
        <v>18</v>
      </c>
      <c r="AQ56">
        <f ca="1">COUNTIFS(INDIRECT("Table1[Beginn]"),"&lt;="&amp;AQ$1,INDIRECT("Table1[Ende]"),"&gt;="&amp;AQ$1,INDIRECT("Table1[Obergruppe ATC-Code]"),Tabelle3!$A56)</f>
        <v>16</v>
      </c>
      <c r="AR56">
        <f ca="1">COUNTIFS(INDIRECT("Table1[Beginn]"),"&lt;="&amp;AR$1,INDIRECT("Table1[Ende]"),"&gt;="&amp;AR$1,INDIRECT("Table1[Obergruppe ATC-Code]"),Tabelle3!$A56)</f>
        <v>10</v>
      </c>
      <c r="AS56">
        <f ca="1">COUNTIFS(INDIRECT("Table1[Beginn]"),"&lt;="&amp;AS$1,INDIRECT("Table1[Ende]"),"&gt;="&amp;AS$1,INDIRECT("Table1[Obergruppe ATC-Code]"),Tabelle3!$A56)</f>
        <v>9</v>
      </c>
      <c r="AT56">
        <f ca="1">COUNTIFS(INDIRECT("Table1[Beginn]"),"&lt;="&amp;AT$1,INDIRECT("Table1[Ende]"),"&gt;="&amp;AT$1,INDIRECT("Table1[Obergruppe ATC-Code]"),Tabelle3!$A56)</f>
        <v>7</v>
      </c>
      <c r="AU56">
        <f ca="1">COUNTIFS(INDIRECT("Table1[Beginn]"),"&lt;="&amp;AU$1,INDIRECT("Table1[Ende]"),"&gt;="&amp;AU$1,INDIRECT("Table1[Obergruppe ATC-Code]"),Tabelle3!$A56)</f>
        <v>6</v>
      </c>
      <c r="AV56">
        <f ca="1">COUNTIFS(INDIRECT("Table1[Beginn]"),"&lt;="&amp;AV$1,INDIRECT("Table1[Ende]"),"&gt;="&amp;AV$1,INDIRECT("Table1[Obergruppe ATC-Code]"),Tabelle3!$A56)</f>
        <v>6</v>
      </c>
      <c r="AW56">
        <f ca="1">COUNTIFS(INDIRECT("Table1[Beginn]"),"&lt;="&amp;AW$1,INDIRECT("Table1[Ende]"),"&gt;="&amp;AW$1,INDIRECT("Table1[Obergruppe ATC-Code]"),Tabelle3!$A56)</f>
        <v>6</v>
      </c>
      <c r="AX56">
        <f ca="1">COUNTIFS(INDIRECT("Table1[Beginn]"),"&lt;="&amp;AX$1,INDIRECT("Table1[Ende]"),"&gt;="&amp;AX$1,INDIRECT("Table1[Obergruppe ATC-Code]"),Tabelle3!$A56)</f>
        <v>6</v>
      </c>
      <c r="AY56">
        <f ca="1">COUNTIFS(INDIRECT("Table1[Beginn]"),"&lt;="&amp;AY$1,INDIRECT("Table1[Ende]"),"&gt;="&amp;AY$1,INDIRECT("Table1[Obergruppe ATC-Code]"),Tabelle3!$A56)</f>
        <v>4</v>
      </c>
      <c r="AZ56">
        <f ca="1">COUNTIFS(INDIRECT("Table1[Beginn]"),"&lt;="&amp;AZ$1,INDIRECT("Table1[Ende]"),"&gt;="&amp;AZ$1,INDIRECT("Table1[Obergruppe ATC-Code]"),Tabelle3!$A56)</f>
        <v>4</v>
      </c>
      <c r="BA56">
        <f ca="1">COUNTIFS(INDIRECT("Table1[Beginn]"),"&lt;="&amp;BA$1,INDIRECT("Table1[Ende]"),"&gt;="&amp;BA$1,INDIRECT("Table1[Obergruppe ATC-Code]"),Tabelle3!$A56)</f>
        <v>3</v>
      </c>
      <c r="BB56">
        <f ca="1">COUNTIFS(INDIRECT("Table1[Beginn]"),"&lt;="&amp;BB$1,INDIRECT("Table1[Ende]"),"&gt;="&amp;BB$1,INDIRECT("Table1[Obergruppe ATC-Code]"),Tabelle3!$A56)</f>
        <v>3</v>
      </c>
      <c r="BC56">
        <f ca="1">COUNTIFS(INDIRECT("Table1[Beginn]"),"&lt;="&amp;BC$1,INDIRECT("Table1[Ende]"),"&gt;="&amp;BC$1,INDIRECT("Table1[Obergruppe ATC-Code]"),Tabelle3!$A56)</f>
        <v>2</v>
      </c>
      <c r="BD56">
        <f ca="1">COUNTIFS(INDIRECT("Table1[Beginn]"),"&lt;="&amp;BD$1,INDIRECT("Table1[Ende]"),"&gt;="&amp;BD$1,INDIRECT("Table1[Obergruppe ATC-Code]"),Tabelle3!$A56)</f>
        <v>2</v>
      </c>
      <c r="BE56">
        <f ca="1">COUNTIFS(INDIRECT("Table1[Beginn]"),"&lt;="&amp;BE$1,INDIRECT("Table1[Ende]"),"&gt;="&amp;BE$1,INDIRECT("Table1[Obergruppe ATC-Code]"),Tabelle3!$A56)</f>
        <v>1</v>
      </c>
      <c r="BF56">
        <f ca="1">COUNTIFS(INDIRECT("Table1[Beginn]"),"&lt;="&amp;BF$1,INDIRECT("Table1[Ende]"),"&gt;="&amp;BF$1,INDIRECT("Table1[Obergruppe ATC-Code]"),Tabelle3!$A56)</f>
        <v>1</v>
      </c>
      <c r="BG56">
        <f ca="1">COUNTIFS(INDIRECT("Table1[Beginn]"),"&lt;="&amp;BG$1,INDIRECT("Table1[Ende]"),"&gt;="&amp;BG$1,INDIRECT("Table1[Obergruppe ATC-Code]"),Tabelle3!$A56)</f>
        <v>1</v>
      </c>
      <c r="BH56">
        <f ca="1">COUNTIFS(INDIRECT("Table1[Beginn]"),"&lt;="&amp;BH$1,INDIRECT("Table1[Ende]"),"&gt;="&amp;BH$1,INDIRECT("Table1[Obergruppe ATC-Code]"),Tabelle3!$A56)</f>
        <v>0</v>
      </c>
      <c r="BI56">
        <f ca="1">COUNTIFS(INDIRECT("Table1[Beginn]"),"&lt;="&amp;BI$1,INDIRECT("Table1[Ende]"),"&gt;="&amp;BI$1,INDIRECT("Table1[Obergruppe ATC-Code]"),Tabelle3!$A56)</f>
        <v>0</v>
      </c>
      <c r="BJ56">
        <f ca="1">COUNTIFS(INDIRECT("Table1[Beginn]"),"&lt;="&amp;BJ$1,INDIRECT("Table1[Ende]"),"&gt;="&amp;BJ$1,INDIRECT("Table1[Obergruppe ATC-Code]"),Tabelle3!$A56)</f>
        <v>1</v>
      </c>
      <c r="BK56">
        <f ca="1">COUNTIFS(INDIRECT("Table1[Beginn]"),"&lt;="&amp;BK$1,INDIRECT("Table1[Ende]"),"&gt;="&amp;BK$1,INDIRECT("Table1[Obergruppe ATC-Code]"),Tabelle3!$A56)</f>
        <v>0</v>
      </c>
      <c r="BL56">
        <f ca="1">COUNTIFS(INDIRECT("Table1[Beginn]"),"&lt;="&amp;BL$1,INDIRECT("Table1[Ende]"),"&gt;="&amp;BL$1,INDIRECT("Table1[Obergruppe ATC-Code]"),Tabelle3!$A56)</f>
        <v>0</v>
      </c>
      <c r="BM56">
        <f ca="1">COUNTIFS(INDIRECT("Table1[Beginn]"),"&lt;="&amp;BM$1,INDIRECT("Table1[Ende]"),"&gt;="&amp;BM$1,INDIRECT("Table1[Obergruppe ATC-Code]"),Tabelle3!$A56)</f>
        <v>0</v>
      </c>
      <c r="BN56">
        <f ca="1">COUNTIFS(INDIRECT("Table1[Beginn]"),"&lt;="&amp;BN$1,INDIRECT("Table1[Ende]"),"&gt;="&amp;BN$1,INDIRECT("Table1[Obergruppe ATC-Code]"),Tabelle3!$A56)</f>
        <v>1</v>
      </c>
      <c r="BO56">
        <f ca="1">COUNTIFS(INDIRECT("Table1[Beginn]"),"&lt;="&amp;BO$1,INDIRECT("Table1[Ende]"),"&gt;="&amp;BO$1,INDIRECT("Table1[Obergruppe ATC-Code]"),Tabelle3!$A56)</f>
        <v>1</v>
      </c>
      <c r="BP56">
        <f ca="1">COUNTIFS(INDIRECT("Table1[Beginn]"),"&lt;="&amp;BP$1,INDIRECT("Table1[Ende]"),"&gt;="&amp;BP$1,INDIRECT("Table1[Obergruppe ATC-Code]"),Tabelle3!$A56)</f>
        <v>2</v>
      </c>
      <c r="BQ56">
        <f ca="1">COUNTIFS(INDIRECT("Table1[Beginn]"),"&lt;="&amp;BQ$1,INDIRECT("Table1[Ende]"),"&gt;="&amp;BQ$1,INDIRECT("Table1[Obergruppe ATC-Code]"),Tabelle3!$A56)</f>
        <v>0</v>
      </c>
      <c r="BR56">
        <f ca="1">COUNTIFS(INDIRECT("Table1[Beginn]"),"&lt;="&amp;BR$1,INDIRECT("Table1[Ende]"),"&gt;="&amp;BR$1,INDIRECT("Table1[Obergruppe ATC-Code]"),Tabelle3!$A56)</f>
        <v>1</v>
      </c>
      <c r="BS56">
        <f ca="1">COUNTIFS(INDIRECT("Table1[Beginn]"),"&lt;="&amp;BS$1,INDIRECT("Table1[Ende]"),"&gt;="&amp;BS$1,INDIRECT("Table1[Obergruppe ATC-Code]"),Tabelle3!$A56)</f>
        <v>0</v>
      </c>
      <c r="BT56">
        <f ca="1">COUNTIFS(INDIRECT("Table1[Beginn]"),"&lt;="&amp;BT$1,INDIRECT("Table1[Ende]"),"&gt;="&amp;BT$1,INDIRECT("Table1[Obergruppe ATC-Code]"),Tabelle3!$A56)</f>
        <v>0</v>
      </c>
      <c r="BU56">
        <f ca="1">COUNTIFS(INDIRECT("Table1[Beginn]"),"&lt;="&amp;BU$1,INDIRECT("Table1[Ende]"),"&gt;="&amp;BU$1,INDIRECT("Table1[Obergruppe ATC-Code]"),Tabelle3!$A56)</f>
        <v>0</v>
      </c>
      <c r="BV56">
        <f ca="1">COUNTIFS(INDIRECT("Table1[Beginn]"),"&lt;="&amp;BV$1,INDIRECT("Table1[Ende]"),"&gt;="&amp;BV$1,INDIRECT("Table1[Obergruppe ATC-Code]"),Tabelle3!$A56)</f>
        <v>0</v>
      </c>
      <c r="BW56">
        <f ca="1">COUNTIFS(INDIRECT("Table1[Beginn]"),"&lt;="&amp;BW$1,INDIRECT("Table1[Ende]"),"&gt;="&amp;BW$1,INDIRECT("Table1[Obergruppe ATC-Code]"),Tabelle3!$A56)</f>
        <v>0</v>
      </c>
      <c r="BX56">
        <f ca="1">COUNTIFS(INDIRECT("Table1[Beginn]"),"&lt;="&amp;BX$1,INDIRECT("Table1[Ende]"),"&gt;="&amp;BX$1,INDIRECT("Table1[Obergruppe ATC-Code]"),Tabelle3!$A56)</f>
        <v>1</v>
      </c>
      <c r="BY56">
        <f ca="1">COUNTIFS(INDIRECT("Table1[Beginn]"),"&lt;="&amp;BY$1,INDIRECT("Table1[Ende]"),"&gt;="&amp;BY$1,INDIRECT("Table1[Obergruppe ATC-Code]"),Tabelle3!$A56)</f>
        <v>1</v>
      </c>
      <c r="BZ56">
        <f ca="1">COUNTIFS(INDIRECT("Table1[Beginn]"),"&lt;="&amp;BZ$1,INDIRECT("Table1[Ende]"),"&gt;="&amp;BZ$1,INDIRECT("Table1[Obergruppe ATC-Code]"),Tabelle3!$A56)</f>
        <v>0</v>
      </c>
      <c r="CA56">
        <f ca="1">COUNTIFS(INDIRECT("Table1[Beginn]"),"&lt;="&amp;CA$1,INDIRECT("Table1[Ende]"),"&gt;="&amp;CA$1,INDIRECT("Table1[Obergruppe ATC-Code]"),Tabelle3!$A56)</f>
        <v>0</v>
      </c>
      <c r="CB56">
        <f ca="1">COUNTIFS(INDIRECT("Table1[Beginn]"),"&lt;="&amp;CB$1,INDIRECT("Table1[Ende]"),"&gt;="&amp;CB$1,INDIRECT("Table1[Obergruppe ATC-Code]"),Tabelle3!$A56)</f>
        <v>0</v>
      </c>
      <c r="CC56">
        <f ca="1">COUNTIFS(INDIRECT("Table1[Beginn]"),"&lt;="&amp;CC$1,INDIRECT("Table1[Ende]"),"&gt;="&amp;CC$1,INDIRECT("Table1[Obergruppe ATC-Code]"),Tabelle3!$A56)</f>
        <v>0</v>
      </c>
      <c r="CD56">
        <f ca="1">COUNTIFS(INDIRECT("Table1[Beginn]"),"&lt;="&amp;CD$1,INDIRECT("Table1[Ende]"),"&gt;="&amp;CD$1,INDIRECT("Table1[Obergruppe ATC-Code]"),Tabelle3!$A56)</f>
        <v>1</v>
      </c>
      <c r="CE56">
        <f ca="1">COUNTIFS(INDIRECT("Table1[Beginn]"),"&lt;="&amp;CE$1,INDIRECT("Table1[Ende]"),"&gt;="&amp;CE$1,INDIRECT("Table1[Obergruppe ATC-Code]"),Tabelle3!$A56)</f>
        <v>3</v>
      </c>
      <c r="CF56">
        <f ca="1">COUNTIFS(INDIRECT("Table1[Beginn]"),"&lt;="&amp;CF$1,INDIRECT("Table1[Ende]"),"&gt;="&amp;CF$1,INDIRECT("Table1[Obergruppe ATC-Code]"),Tabelle3!$A56)</f>
        <v>4</v>
      </c>
      <c r="CG56">
        <f ca="1">COUNTIFS(INDIRECT("Table1[Beginn]"),"&lt;="&amp;CG$1,INDIRECT("Table1[Ende]"),"&gt;="&amp;CG$1,INDIRECT("Table1[Obergruppe ATC-Code]"),Tabelle3!$A56)</f>
        <v>3</v>
      </c>
      <c r="CH56">
        <f ca="1">COUNTIFS(INDIRECT("Table1[Beginn]"),"&lt;="&amp;CH$1,INDIRECT("Table1[Ende]"),"&gt;="&amp;CH$1,INDIRECT("Table1[Obergruppe ATC-Code]"),Tabelle3!$A56)</f>
        <v>2</v>
      </c>
      <c r="CI56">
        <f ca="1">COUNTIFS(INDIRECT("Table1[Beginn]"),"&lt;="&amp;CI$1,INDIRECT("Table1[Ende]"),"&gt;="&amp;CI$1,INDIRECT("Table1[Obergruppe ATC-Code]"),Tabelle3!$A56)</f>
        <v>1</v>
      </c>
      <c r="CJ56">
        <f ca="1">COUNTIFS(INDIRECT("Table1[Beginn]"),"&lt;="&amp;CJ$1,INDIRECT("Table1[Ende]"),"&gt;="&amp;CJ$1,INDIRECT("Table1[Obergruppe ATC-Code]"),Tabelle3!$A56)</f>
        <v>0</v>
      </c>
      <c r="CK56">
        <f ca="1">COUNTIFS(INDIRECT("Table1[Beginn]"),"&lt;="&amp;CK$1,INDIRECT("Table1[Ende]"),"&gt;="&amp;CK$1,INDIRECT("Table1[Obergruppe ATC-Code]"),Tabelle3!$A56)</f>
        <v>0</v>
      </c>
      <c r="CL56">
        <f ca="1">COUNTIFS(INDIRECT("Table1[Beginn]"),"&lt;="&amp;CL$1,INDIRECT("Table1[Ende]"),"&gt;="&amp;CL$1,INDIRECT("Table1[Obergruppe ATC-Code]"),Tabelle3!$A56)</f>
        <v>0</v>
      </c>
      <c r="CM56">
        <f ca="1">COUNTIFS(INDIRECT("Table1[Beginn]"),"&lt;="&amp;CM$1,INDIRECT("Table1[Ende]"),"&gt;="&amp;CM$1,INDIRECT("Table1[Obergruppe ATC-Code]"),Tabelle3!$A56)</f>
        <v>0</v>
      </c>
      <c r="CN56">
        <f ca="1">COUNTIFS(INDIRECT("Table1[Beginn]"),"&lt;="&amp;CN$1,INDIRECT("Table1[Ende]"),"&gt;="&amp;CN$1,INDIRECT("Table1[Obergruppe ATC-Code]"),Tabelle3!$A56)</f>
        <v>0</v>
      </c>
      <c r="CO56">
        <f ca="1">COUNTIFS(INDIRECT("Table1[Beginn]"),"&lt;="&amp;CO$1,INDIRECT("Table1[Ende]"),"&gt;="&amp;CO$1,INDIRECT("Table1[Obergruppe ATC-Code]"),Tabelle3!$A56)</f>
        <v>0</v>
      </c>
      <c r="CP56">
        <f ca="1">COUNTIFS(INDIRECT("Table1[Beginn]"),"&lt;="&amp;CP$1,INDIRECT("Table1[Ende]"),"&gt;="&amp;CP$1,INDIRECT("Table1[Obergruppe ATC-Code]"),Tabelle3!$A56)</f>
        <v>0</v>
      </c>
      <c r="CQ56">
        <f ca="1">COUNTIFS(INDIRECT("Table1[Beginn]"),"&lt;="&amp;CQ$1,INDIRECT("Table1[Ende]"),"&gt;="&amp;CQ$1,INDIRECT("Table1[Obergruppe ATC-Code]"),Tabelle3!$A56)</f>
        <v>0</v>
      </c>
      <c r="CR56">
        <f ca="1">COUNTIFS(INDIRECT("Table1[Beginn]"),"&lt;="&amp;CR$1,INDIRECT("Table1[Ende]"),"&gt;="&amp;CR$1,INDIRECT("Table1[Obergruppe ATC-Code]"),Tabelle3!$A56)</f>
        <v>0</v>
      </c>
      <c r="CS56">
        <f ca="1">COUNTIFS(INDIRECT("Table1[Beginn]"),"&lt;="&amp;CS$1,INDIRECT("Table1[Ende]"),"&gt;="&amp;CS$1,INDIRECT("Table1[Obergruppe ATC-Code]"),Tabelle3!$A56)</f>
        <v>0</v>
      </c>
      <c r="CT56">
        <f ca="1">COUNTIFS(INDIRECT("Table1[Beginn]"),"&lt;="&amp;CT$1,INDIRECT("Table1[Ende]"),"&gt;="&amp;CT$1,INDIRECT("Table1[Obergruppe ATC-Code]"),Tabelle3!$A56)</f>
        <v>0</v>
      </c>
    </row>
    <row r="57" spans="1:112" ht="18">
      <c r="A57" s="9" t="s">
        <v>6883</v>
      </c>
      <c r="B57" s="10" t="s">
        <v>6884</v>
      </c>
      <c r="C57">
        <f ca="1">COUNTIFS(INDIRECT("Table1[Beginn]"),"&lt;="&amp;C$1,INDIRECT("Table1[Ende]"),"&gt;="&amp;C$1,INDIRECT("Table1[Obergruppe ATC-Code]"),Tabelle3!$A57)</f>
        <v>0</v>
      </c>
      <c r="D57">
        <f ca="1">COUNTIFS(INDIRECT("Table1[Beginn]"),"&lt;="&amp;D$1,INDIRECT("Table1[Ende]"),"&gt;="&amp;D$1,INDIRECT("Table1[Obergruppe ATC-Code]"),Tabelle3!$A57)</f>
        <v>0</v>
      </c>
      <c r="E57">
        <f ca="1">COUNTIFS(INDIRECT("Table1[Beginn]"),"&lt;="&amp;E$1,INDIRECT("Table1[Ende]"),"&gt;="&amp;E$1,INDIRECT("Table1[Obergruppe ATC-Code]"),Tabelle3!$A57)</f>
        <v>0</v>
      </c>
      <c r="F57">
        <f ca="1">COUNTIFS(INDIRECT("Table1[Beginn]"),"&lt;="&amp;F$1,INDIRECT("Table1[Ende]"),"&gt;="&amp;F$1,INDIRECT("Table1[Obergruppe ATC-Code]"),Tabelle3!$A57)</f>
        <v>0</v>
      </c>
      <c r="G57">
        <f ca="1">COUNTIFS(INDIRECT("Table1[Beginn]"),"&lt;="&amp;G$1,INDIRECT("Table1[Ende]"),"&gt;="&amp;G$1,INDIRECT("Table1[Obergruppe ATC-Code]"),Tabelle3!$A57)</f>
        <v>0</v>
      </c>
      <c r="H57">
        <f ca="1">COUNTIFS(INDIRECT("Table1[Beginn]"),"&lt;="&amp;H$1,INDIRECT("Table1[Ende]"),"&gt;="&amp;H$1,INDIRECT("Table1[Obergruppe ATC-Code]"),Tabelle3!$A57)</f>
        <v>0</v>
      </c>
      <c r="I57">
        <f ca="1">COUNTIFS(INDIRECT("Table1[Beginn]"),"&lt;="&amp;I$1,INDIRECT("Table1[Ende]"),"&gt;="&amp;I$1,INDIRECT("Table1[Obergruppe ATC-Code]"),Tabelle3!$A57)</f>
        <v>0</v>
      </c>
      <c r="J57">
        <f ca="1">COUNTIFS(INDIRECT("Table1[Beginn]"),"&lt;="&amp;J$1,INDIRECT("Table1[Ende]"),"&gt;="&amp;J$1,INDIRECT("Table1[Obergruppe ATC-Code]"),Tabelle3!$A57)</f>
        <v>0</v>
      </c>
      <c r="K57">
        <f ca="1">COUNTIFS(INDIRECT("Table1[Beginn]"),"&lt;="&amp;K$1,INDIRECT("Table1[Ende]"),"&gt;="&amp;K$1,INDIRECT("Table1[Obergruppe ATC-Code]"),Tabelle3!$A57)</f>
        <v>0</v>
      </c>
      <c r="L57">
        <f ca="1">COUNTIFS(INDIRECT("Table1[Beginn]"),"&lt;="&amp;L$1,INDIRECT("Table1[Ende]"),"&gt;="&amp;L$1,INDIRECT("Table1[Obergruppe ATC-Code]"),Tabelle3!$A57)</f>
        <v>0</v>
      </c>
      <c r="M57">
        <f ca="1">COUNTIFS(INDIRECT("Table1[Beginn]"),"&lt;="&amp;M$1,INDIRECT("Table1[Ende]"),"&gt;="&amp;M$1,INDIRECT("Table1[Obergruppe ATC-Code]"),Tabelle3!$A57)</f>
        <v>1</v>
      </c>
      <c r="N57">
        <f ca="1">COUNTIFS(INDIRECT("Table1[Beginn]"),"&lt;="&amp;N$1,INDIRECT("Table1[Ende]"),"&gt;="&amp;N$1,INDIRECT("Table1[Obergruppe ATC-Code]"),Tabelle3!$A57)</f>
        <v>1</v>
      </c>
      <c r="O57">
        <f ca="1">COUNTIFS(INDIRECT("Table1[Beginn]"),"&lt;="&amp;O$1,INDIRECT("Table1[Ende]"),"&gt;="&amp;O$1,INDIRECT("Table1[Obergruppe ATC-Code]"),Tabelle3!$A57)</f>
        <v>1</v>
      </c>
      <c r="P57">
        <f ca="1">COUNTIFS(INDIRECT("Table1[Beginn]"),"&lt;="&amp;P$1,INDIRECT("Table1[Ende]"),"&gt;="&amp;P$1,INDIRECT("Table1[Obergruppe ATC-Code]"),Tabelle3!$A57)</f>
        <v>1</v>
      </c>
      <c r="Q57">
        <f ca="1">COUNTIFS(INDIRECT("Table1[Beginn]"),"&lt;="&amp;Q$1,INDIRECT("Table1[Ende]"),"&gt;="&amp;Q$1,INDIRECT("Table1[Obergruppe ATC-Code]"),Tabelle3!$A57)</f>
        <v>0</v>
      </c>
      <c r="R57">
        <f ca="1">COUNTIFS(INDIRECT("Table1[Beginn]"),"&lt;="&amp;R$1,INDIRECT("Table1[Ende]"),"&gt;="&amp;R$1,INDIRECT("Table1[Obergruppe ATC-Code]"),Tabelle3!$A57)</f>
        <v>0</v>
      </c>
      <c r="S57">
        <f ca="1">COUNTIFS(INDIRECT("Table1[Beginn]"),"&lt;="&amp;S$1,INDIRECT("Table1[Ende]"),"&gt;="&amp;S$1,INDIRECT("Table1[Obergruppe ATC-Code]"),Tabelle3!$A57)</f>
        <v>0</v>
      </c>
      <c r="T57">
        <f ca="1">COUNTIFS(INDIRECT("Table1[Beginn]"),"&lt;="&amp;T$1,INDIRECT("Table1[Ende]"),"&gt;="&amp;T$1,INDIRECT("Table1[Obergruppe ATC-Code]"),Tabelle3!$A57)</f>
        <v>0</v>
      </c>
      <c r="U57">
        <f ca="1">COUNTIFS(INDIRECT("Table1[Beginn]"),"&lt;="&amp;U$1,INDIRECT("Table1[Ende]"),"&gt;="&amp;U$1,INDIRECT("Table1[Obergruppe ATC-Code]"),Tabelle3!$A57)</f>
        <v>0</v>
      </c>
      <c r="V57">
        <f ca="1">COUNTIFS(INDIRECT("Table1[Beginn]"),"&lt;="&amp;V$1,INDIRECT("Table1[Ende]"),"&gt;="&amp;V$1,INDIRECT("Table1[Obergruppe ATC-Code]"),Tabelle3!$A57)</f>
        <v>0</v>
      </c>
      <c r="W57">
        <f ca="1">COUNTIFS(INDIRECT("Table1[Beginn]"),"&lt;="&amp;W$1,INDIRECT("Table1[Ende]"),"&gt;="&amp;W$1,INDIRECT("Table1[Obergruppe ATC-Code]"),Tabelle3!$A57)</f>
        <v>0</v>
      </c>
      <c r="X57">
        <f ca="1">COUNTIFS(INDIRECT("Table1[Beginn]"),"&lt;="&amp;X$1,INDIRECT("Table1[Ende]"),"&gt;="&amp;X$1,INDIRECT("Table1[Obergruppe ATC-Code]"),Tabelle3!$A57)</f>
        <v>0</v>
      </c>
      <c r="Y57">
        <f ca="1">COUNTIFS(INDIRECT("Table1[Beginn]"),"&lt;="&amp;Y$1,INDIRECT("Table1[Ende]"),"&gt;="&amp;Y$1,INDIRECT("Table1[Obergruppe ATC-Code]"),Tabelle3!$A57)</f>
        <v>0</v>
      </c>
      <c r="Z57">
        <f ca="1">COUNTIFS(INDIRECT("Table1[Beginn]"),"&lt;="&amp;Z$1,INDIRECT("Table1[Ende]"),"&gt;="&amp;Z$1,INDIRECT("Table1[Obergruppe ATC-Code]"),Tabelle3!$A57)</f>
        <v>0</v>
      </c>
      <c r="AA57">
        <f ca="1">COUNTIFS(INDIRECT("Table1[Beginn]"),"&lt;="&amp;AA$1,INDIRECT("Table1[Ende]"),"&gt;="&amp;AA$1,INDIRECT("Table1[Obergruppe ATC-Code]"),Tabelle3!$A57)</f>
        <v>0</v>
      </c>
      <c r="AB57">
        <f ca="1">COUNTIFS(INDIRECT("Table1[Beginn]"),"&lt;="&amp;AB$1,INDIRECT("Table1[Ende]"),"&gt;="&amp;AB$1,INDIRECT("Table1[Obergruppe ATC-Code]"),Tabelle3!$A57)</f>
        <v>0</v>
      </c>
      <c r="AC57">
        <f ca="1">COUNTIFS(INDIRECT("Table1[Beginn]"),"&lt;="&amp;AC$1,INDIRECT("Table1[Ende]"),"&gt;="&amp;AC$1,INDIRECT("Table1[Obergruppe ATC-Code]"),Tabelle3!$A57)</f>
        <v>0</v>
      </c>
      <c r="AD57">
        <f ca="1">COUNTIFS(INDIRECT("Table1[Beginn]"),"&lt;="&amp;AD$1,INDIRECT("Table1[Ende]"),"&gt;="&amp;AD$1,INDIRECT("Table1[Obergruppe ATC-Code]"),Tabelle3!$A57)</f>
        <v>0</v>
      </c>
      <c r="AE57">
        <f ca="1">COUNTIFS(INDIRECT("Table1[Beginn]"),"&lt;="&amp;AE$1,INDIRECT("Table1[Ende]"),"&gt;="&amp;AE$1,INDIRECT("Table1[Obergruppe ATC-Code]"),Tabelle3!$A57)</f>
        <v>0</v>
      </c>
      <c r="AF57">
        <f ca="1">COUNTIFS(INDIRECT("Table1[Beginn]"),"&lt;="&amp;AF$1,INDIRECT("Table1[Ende]"),"&gt;="&amp;AF$1,INDIRECT("Table1[Obergruppe ATC-Code]"),Tabelle3!$A57)</f>
        <v>0</v>
      </c>
      <c r="AG57">
        <f ca="1">COUNTIFS(INDIRECT("Table1[Beginn]"),"&lt;="&amp;AG$1,INDIRECT("Table1[Ende]"),"&gt;="&amp;AG$1,INDIRECT("Table1[Obergruppe ATC-Code]"),Tabelle3!$A57)</f>
        <v>1</v>
      </c>
      <c r="AH57">
        <f ca="1">COUNTIFS(INDIRECT("Table1[Beginn]"),"&lt;="&amp;AH$1,INDIRECT("Table1[Ende]"),"&gt;="&amp;AH$1,INDIRECT("Table1[Obergruppe ATC-Code]"),Tabelle3!$A57)</f>
        <v>1</v>
      </c>
      <c r="AI57">
        <f ca="1">COUNTIFS(INDIRECT("Table1[Beginn]"),"&lt;="&amp;AI$1,INDIRECT("Table1[Ende]"),"&gt;="&amp;AI$1,INDIRECT("Table1[Obergruppe ATC-Code]"),Tabelle3!$A57)</f>
        <v>1</v>
      </c>
      <c r="AJ57">
        <f ca="1">COUNTIFS(INDIRECT("Table1[Beginn]"),"&lt;="&amp;AJ$1,INDIRECT("Table1[Ende]"),"&gt;="&amp;AJ$1,INDIRECT("Table1[Obergruppe ATC-Code]"),Tabelle3!$A57)</f>
        <v>7</v>
      </c>
      <c r="AK57">
        <f ca="1">COUNTIFS(INDIRECT("Table1[Beginn]"),"&lt;="&amp;AK$1,INDIRECT("Table1[Ende]"),"&gt;="&amp;AK$1,INDIRECT("Table1[Obergruppe ATC-Code]"),Tabelle3!$A57)</f>
        <v>6</v>
      </c>
      <c r="AL57">
        <f ca="1">COUNTIFS(INDIRECT("Table1[Beginn]"),"&lt;="&amp;AL$1,INDIRECT("Table1[Ende]"),"&gt;="&amp;AL$1,INDIRECT("Table1[Obergruppe ATC-Code]"),Tabelle3!$A57)</f>
        <v>6</v>
      </c>
      <c r="AM57">
        <f ca="1">COUNTIFS(INDIRECT("Table1[Beginn]"),"&lt;="&amp;AM$1,INDIRECT("Table1[Ende]"),"&gt;="&amp;AM$1,INDIRECT("Table1[Obergruppe ATC-Code]"),Tabelle3!$A57)</f>
        <v>6</v>
      </c>
      <c r="AN57">
        <f ca="1">COUNTIFS(INDIRECT("Table1[Beginn]"),"&lt;="&amp;AN$1,INDIRECT("Table1[Ende]"),"&gt;="&amp;AN$1,INDIRECT("Table1[Obergruppe ATC-Code]"),Tabelle3!$A57)</f>
        <v>6</v>
      </c>
      <c r="AO57">
        <f ca="1">COUNTIFS(INDIRECT("Table1[Beginn]"),"&lt;="&amp;AO$1,INDIRECT("Table1[Ende]"),"&gt;="&amp;AO$1,INDIRECT("Table1[Obergruppe ATC-Code]"),Tabelle3!$A57)</f>
        <v>6</v>
      </c>
      <c r="AP57">
        <f ca="1">COUNTIFS(INDIRECT("Table1[Beginn]"),"&lt;="&amp;AP$1,INDIRECT("Table1[Ende]"),"&gt;="&amp;AP$1,INDIRECT("Table1[Obergruppe ATC-Code]"),Tabelle3!$A57)</f>
        <v>6</v>
      </c>
      <c r="AQ57">
        <f ca="1">COUNTIFS(INDIRECT("Table1[Beginn]"),"&lt;="&amp;AQ$1,INDIRECT("Table1[Ende]"),"&gt;="&amp;AQ$1,INDIRECT("Table1[Obergruppe ATC-Code]"),Tabelle3!$A57)</f>
        <v>7</v>
      </c>
      <c r="AR57">
        <f ca="1">COUNTIFS(INDIRECT("Table1[Beginn]"),"&lt;="&amp;AR$1,INDIRECT("Table1[Ende]"),"&gt;="&amp;AR$1,INDIRECT("Table1[Obergruppe ATC-Code]"),Tabelle3!$A57)</f>
        <v>7</v>
      </c>
      <c r="AS57">
        <f ca="1">COUNTIFS(INDIRECT("Table1[Beginn]"),"&lt;="&amp;AS$1,INDIRECT("Table1[Ende]"),"&gt;="&amp;AS$1,INDIRECT("Table1[Obergruppe ATC-Code]"),Tabelle3!$A57)</f>
        <v>7</v>
      </c>
      <c r="AT57">
        <f ca="1">COUNTIFS(INDIRECT("Table1[Beginn]"),"&lt;="&amp;AT$1,INDIRECT("Table1[Ende]"),"&gt;="&amp;AT$1,INDIRECT("Table1[Obergruppe ATC-Code]"),Tabelle3!$A57)</f>
        <v>7</v>
      </c>
      <c r="AU57">
        <f ca="1">COUNTIFS(INDIRECT("Table1[Beginn]"),"&lt;="&amp;AU$1,INDIRECT("Table1[Ende]"),"&gt;="&amp;AU$1,INDIRECT("Table1[Obergruppe ATC-Code]"),Tabelle3!$A57)</f>
        <v>6</v>
      </c>
      <c r="AV57">
        <f ca="1">COUNTIFS(INDIRECT("Table1[Beginn]"),"&lt;="&amp;AV$1,INDIRECT("Table1[Ende]"),"&gt;="&amp;AV$1,INDIRECT("Table1[Obergruppe ATC-Code]"),Tabelle3!$A57)</f>
        <v>1</v>
      </c>
      <c r="AW57">
        <f ca="1">COUNTIFS(INDIRECT("Table1[Beginn]"),"&lt;="&amp;AW$1,INDIRECT("Table1[Ende]"),"&gt;="&amp;AW$1,INDIRECT("Table1[Obergruppe ATC-Code]"),Tabelle3!$A57)</f>
        <v>1</v>
      </c>
      <c r="AX57">
        <f ca="1">COUNTIFS(INDIRECT("Table1[Beginn]"),"&lt;="&amp;AX$1,INDIRECT("Table1[Ende]"),"&gt;="&amp;AX$1,INDIRECT("Table1[Obergruppe ATC-Code]"),Tabelle3!$A57)</f>
        <v>1</v>
      </c>
      <c r="AY57">
        <f ca="1">COUNTIFS(INDIRECT("Table1[Beginn]"),"&lt;="&amp;AY$1,INDIRECT("Table1[Ende]"),"&gt;="&amp;AY$1,INDIRECT("Table1[Obergruppe ATC-Code]"),Tabelle3!$A57)</f>
        <v>1</v>
      </c>
      <c r="AZ57">
        <f ca="1">COUNTIFS(INDIRECT("Table1[Beginn]"),"&lt;="&amp;AZ$1,INDIRECT("Table1[Ende]"),"&gt;="&amp;AZ$1,INDIRECT("Table1[Obergruppe ATC-Code]"),Tabelle3!$A57)</f>
        <v>4</v>
      </c>
      <c r="BA57">
        <f ca="1">COUNTIFS(INDIRECT("Table1[Beginn]"),"&lt;="&amp;BA$1,INDIRECT("Table1[Ende]"),"&gt;="&amp;BA$1,INDIRECT("Table1[Obergruppe ATC-Code]"),Tabelle3!$A57)</f>
        <v>3</v>
      </c>
      <c r="BB57">
        <f ca="1">COUNTIFS(INDIRECT("Table1[Beginn]"),"&lt;="&amp;BB$1,INDIRECT("Table1[Ende]"),"&gt;="&amp;BB$1,INDIRECT("Table1[Obergruppe ATC-Code]"),Tabelle3!$A57)</f>
        <v>4</v>
      </c>
      <c r="BC57">
        <f ca="1">COUNTIFS(INDIRECT("Table1[Beginn]"),"&lt;="&amp;BC$1,INDIRECT("Table1[Ende]"),"&gt;="&amp;BC$1,INDIRECT("Table1[Obergruppe ATC-Code]"),Tabelle3!$A57)</f>
        <v>4</v>
      </c>
      <c r="BD57">
        <f ca="1">COUNTIFS(INDIRECT("Table1[Beginn]"),"&lt;="&amp;BD$1,INDIRECT("Table1[Ende]"),"&gt;="&amp;BD$1,INDIRECT("Table1[Obergruppe ATC-Code]"),Tabelle3!$A57)</f>
        <v>4</v>
      </c>
      <c r="BE57">
        <f ca="1">COUNTIFS(INDIRECT("Table1[Beginn]"),"&lt;="&amp;BE$1,INDIRECT("Table1[Ende]"),"&gt;="&amp;BE$1,INDIRECT("Table1[Obergruppe ATC-Code]"),Tabelle3!$A57)</f>
        <v>4</v>
      </c>
      <c r="BF57">
        <f ca="1">COUNTIFS(INDIRECT("Table1[Beginn]"),"&lt;="&amp;BF$1,INDIRECT("Table1[Ende]"),"&gt;="&amp;BF$1,INDIRECT("Table1[Obergruppe ATC-Code]"),Tabelle3!$A57)</f>
        <v>4</v>
      </c>
      <c r="BG57">
        <f ca="1">COUNTIFS(INDIRECT("Table1[Beginn]"),"&lt;="&amp;BG$1,INDIRECT("Table1[Ende]"),"&gt;="&amp;BG$1,INDIRECT("Table1[Obergruppe ATC-Code]"),Tabelle3!$A57)</f>
        <v>4</v>
      </c>
      <c r="BH57">
        <f ca="1">COUNTIFS(INDIRECT("Table1[Beginn]"),"&lt;="&amp;BH$1,INDIRECT("Table1[Ende]"),"&gt;="&amp;BH$1,INDIRECT("Table1[Obergruppe ATC-Code]"),Tabelle3!$A57)</f>
        <v>5</v>
      </c>
      <c r="BI57">
        <f ca="1">COUNTIFS(INDIRECT("Table1[Beginn]"),"&lt;="&amp;BI$1,INDIRECT("Table1[Ende]"),"&gt;="&amp;BI$1,INDIRECT("Table1[Obergruppe ATC-Code]"),Tabelle3!$A57)</f>
        <v>5</v>
      </c>
      <c r="BJ57">
        <f ca="1">COUNTIFS(INDIRECT("Table1[Beginn]"),"&lt;="&amp;BJ$1,INDIRECT("Table1[Ende]"),"&gt;="&amp;BJ$1,INDIRECT("Table1[Obergruppe ATC-Code]"),Tabelle3!$A57)</f>
        <v>9</v>
      </c>
      <c r="BK57">
        <f ca="1">COUNTIFS(INDIRECT("Table1[Beginn]"),"&lt;="&amp;BK$1,INDIRECT("Table1[Ende]"),"&gt;="&amp;BK$1,INDIRECT("Table1[Obergruppe ATC-Code]"),Tabelle3!$A57)</f>
        <v>10</v>
      </c>
      <c r="BL57">
        <f ca="1">COUNTIFS(INDIRECT("Table1[Beginn]"),"&lt;="&amp;BL$1,INDIRECT("Table1[Ende]"),"&gt;="&amp;BL$1,INDIRECT("Table1[Obergruppe ATC-Code]"),Tabelle3!$A57)</f>
        <v>10</v>
      </c>
      <c r="BM57">
        <f ca="1">COUNTIFS(INDIRECT("Table1[Beginn]"),"&lt;="&amp;BM$1,INDIRECT("Table1[Ende]"),"&gt;="&amp;BM$1,INDIRECT("Table1[Obergruppe ATC-Code]"),Tabelle3!$A57)</f>
        <v>10</v>
      </c>
      <c r="BN57">
        <f ca="1">COUNTIFS(INDIRECT("Table1[Beginn]"),"&lt;="&amp;BN$1,INDIRECT("Table1[Ende]"),"&gt;="&amp;BN$1,INDIRECT("Table1[Obergruppe ATC-Code]"),Tabelle3!$A57)</f>
        <v>11</v>
      </c>
      <c r="BO57">
        <f ca="1">COUNTIFS(INDIRECT("Table1[Beginn]"),"&lt;="&amp;BO$1,INDIRECT("Table1[Ende]"),"&gt;="&amp;BO$1,INDIRECT("Table1[Obergruppe ATC-Code]"),Tabelle3!$A57)</f>
        <v>11</v>
      </c>
      <c r="BP57">
        <f ca="1">COUNTIFS(INDIRECT("Table1[Beginn]"),"&lt;="&amp;BP$1,INDIRECT("Table1[Ende]"),"&gt;="&amp;BP$1,INDIRECT("Table1[Obergruppe ATC-Code]"),Tabelle3!$A57)</f>
        <v>11</v>
      </c>
      <c r="BQ57">
        <f ca="1">COUNTIFS(INDIRECT("Table1[Beginn]"),"&lt;="&amp;BQ$1,INDIRECT("Table1[Ende]"),"&gt;="&amp;BQ$1,INDIRECT("Table1[Obergruppe ATC-Code]"),Tabelle3!$A57)</f>
        <v>11</v>
      </c>
      <c r="BR57">
        <f ca="1">COUNTIFS(INDIRECT("Table1[Beginn]"),"&lt;="&amp;BR$1,INDIRECT("Table1[Ende]"),"&gt;="&amp;BR$1,INDIRECT("Table1[Obergruppe ATC-Code]"),Tabelle3!$A57)</f>
        <v>12</v>
      </c>
      <c r="BS57">
        <f ca="1">COUNTIFS(INDIRECT("Table1[Beginn]"),"&lt;="&amp;BS$1,INDIRECT("Table1[Ende]"),"&gt;="&amp;BS$1,INDIRECT("Table1[Obergruppe ATC-Code]"),Tabelle3!$A57)</f>
        <v>14</v>
      </c>
      <c r="BT57">
        <f ca="1">COUNTIFS(INDIRECT("Table1[Beginn]"),"&lt;="&amp;BT$1,INDIRECT("Table1[Ende]"),"&gt;="&amp;BT$1,INDIRECT("Table1[Obergruppe ATC-Code]"),Tabelle3!$A57)</f>
        <v>14</v>
      </c>
      <c r="BU57">
        <f ca="1">COUNTIFS(INDIRECT("Table1[Beginn]"),"&lt;="&amp;BU$1,INDIRECT("Table1[Ende]"),"&gt;="&amp;BU$1,INDIRECT("Table1[Obergruppe ATC-Code]"),Tabelle3!$A57)</f>
        <v>14</v>
      </c>
      <c r="BV57">
        <f ca="1">COUNTIFS(INDIRECT("Table1[Beginn]"),"&lt;="&amp;BV$1,INDIRECT("Table1[Ende]"),"&gt;="&amp;BV$1,INDIRECT("Table1[Obergruppe ATC-Code]"),Tabelle3!$A57)</f>
        <v>14</v>
      </c>
      <c r="BW57">
        <f ca="1">COUNTIFS(INDIRECT("Table1[Beginn]"),"&lt;="&amp;BW$1,INDIRECT("Table1[Ende]"),"&gt;="&amp;BW$1,INDIRECT("Table1[Obergruppe ATC-Code]"),Tabelle3!$A57)</f>
        <v>13</v>
      </c>
      <c r="BX57">
        <f ca="1">COUNTIFS(INDIRECT("Table1[Beginn]"),"&lt;="&amp;BX$1,INDIRECT("Table1[Ende]"),"&gt;="&amp;BX$1,INDIRECT("Table1[Obergruppe ATC-Code]"),Tabelle3!$A57)</f>
        <v>12</v>
      </c>
      <c r="BY57">
        <f ca="1">COUNTIFS(INDIRECT("Table1[Beginn]"),"&lt;="&amp;BY$1,INDIRECT("Table1[Ende]"),"&gt;="&amp;BY$1,INDIRECT("Table1[Obergruppe ATC-Code]"),Tabelle3!$A57)</f>
        <v>12</v>
      </c>
      <c r="BZ57">
        <f ca="1">COUNTIFS(INDIRECT("Table1[Beginn]"),"&lt;="&amp;BZ$1,INDIRECT("Table1[Ende]"),"&gt;="&amp;BZ$1,INDIRECT("Table1[Obergruppe ATC-Code]"),Tabelle3!$A57)</f>
        <v>10</v>
      </c>
      <c r="CA57">
        <f ca="1">COUNTIFS(INDIRECT("Table1[Beginn]"),"&lt;="&amp;CA$1,INDIRECT("Table1[Ende]"),"&gt;="&amp;CA$1,INDIRECT("Table1[Obergruppe ATC-Code]"),Tabelle3!$A57)</f>
        <v>7</v>
      </c>
      <c r="CB57">
        <f ca="1">COUNTIFS(INDIRECT("Table1[Beginn]"),"&lt;="&amp;CB$1,INDIRECT("Table1[Ende]"),"&gt;="&amp;CB$1,INDIRECT("Table1[Obergruppe ATC-Code]"),Tabelle3!$A57)</f>
        <v>7</v>
      </c>
      <c r="CC57">
        <f ca="1">COUNTIFS(INDIRECT("Table1[Beginn]"),"&lt;="&amp;CC$1,INDIRECT("Table1[Ende]"),"&gt;="&amp;CC$1,INDIRECT("Table1[Obergruppe ATC-Code]"),Tabelle3!$A57)</f>
        <v>6</v>
      </c>
      <c r="CD57">
        <f ca="1">COUNTIFS(INDIRECT("Table1[Beginn]"),"&lt;="&amp;CD$1,INDIRECT("Table1[Ende]"),"&gt;="&amp;CD$1,INDIRECT("Table1[Obergruppe ATC-Code]"),Tabelle3!$A57)</f>
        <v>5</v>
      </c>
      <c r="CE57">
        <f ca="1">COUNTIFS(INDIRECT("Table1[Beginn]"),"&lt;="&amp;CE$1,INDIRECT("Table1[Ende]"),"&gt;="&amp;CE$1,INDIRECT("Table1[Obergruppe ATC-Code]"),Tabelle3!$A57)</f>
        <v>4</v>
      </c>
      <c r="CF57">
        <f ca="1">COUNTIFS(INDIRECT("Table1[Beginn]"),"&lt;="&amp;CF$1,INDIRECT("Table1[Ende]"),"&gt;="&amp;CF$1,INDIRECT("Table1[Obergruppe ATC-Code]"),Tabelle3!$A57)</f>
        <v>4</v>
      </c>
      <c r="CG57">
        <f ca="1">COUNTIFS(INDIRECT("Table1[Beginn]"),"&lt;="&amp;CG$1,INDIRECT("Table1[Ende]"),"&gt;="&amp;CG$1,INDIRECT("Table1[Obergruppe ATC-Code]"),Tabelle3!$A57)</f>
        <v>4</v>
      </c>
      <c r="CH57">
        <f ca="1">COUNTIFS(INDIRECT("Table1[Beginn]"),"&lt;="&amp;CH$1,INDIRECT("Table1[Ende]"),"&gt;="&amp;CH$1,INDIRECT("Table1[Obergruppe ATC-Code]"),Tabelle3!$A57)</f>
        <v>4</v>
      </c>
      <c r="CI57">
        <f ca="1">COUNTIFS(INDIRECT("Table1[Beginn]"),"&lt;="&amp;CI$1,INDIRECT("Table1[Ende]"),"&gt;="&amp;CI$1,INDIRECT("Table1[Obergruppe ATC-Code]"),Tabelle3!$A57)</f>
        <v>0</v>
      </c>
      <c r="CJ57">
        <f ca="1">COUNTIFS(INDIRECT("Table1[Beginn]"),"&lt;="&amp;CJ$1,INDIRECT("Table1[Ende]"),"&gt;="&amp;CJ$1,INDIRECT("Table1[Obergruppe ATC-Code]"),Tabelle3!$A57)</f>
        <v>0</v>
      </c>
      <c r="CK57">
        <f ca="1">COUNTIFS(INDIRECT("Table1[Beginn]"),"&lt;="&amp;CK$1,INDIRECT("Table1[Ende]"),"&gt;="&amp;CK$1,INDIRECT("Table1[Obergruppe ATC-Code]"),Tabelle3!$A57)</f>
        <v>0</v>
      </c>
      <c r="CL57">
        <f ca="1">COUNTIFS(INDIRECT("Table1[Beginn]"),"&lt;="&amp;CL$1,INDIRECT("Table1[Ende]"),"&gt;="&amp;CL$1,INDIRECT("Table1[Obergruppe ATC-Code]"),Tabelle3!$A57)</f>
        <v>0</v>
      </c>
      <c r="CM57">
        <f ca="1">COUNTIFS(INDIRECT("Table1[Beginn]"),"&lt;="&amp;CM$1,INDIRECT("Table1[Ende]"),"&gt;="&amp;CM$1,INDIRECT("Table1[Obergruppe ATC-Code]"),Tabelle3!$A57)</f>
        <v>0</v>
      </c>
      <c r="CN57">
        <f ca="1">COUNTIFS(INDIRECT("Table1[Beginn]"),"&lt;="&amp;CN$1,INDIRECT("Table1[Ende]"),"&gt;="&amp;CN$1,INDIRECT("Table1[Obergruppe ATC-Code]"),Tabelle3!$A57)</f>
        <v>0</v>
      </c>
      <c r="CO57">
        <f ca="1">COUNTIFS(INDIRECT("Table1[Beginn]"),"&lt;="&amp;CO$1,INDIRECT("Table1[Ende]"),"&gt;="&amp;CO$1,INDIRECT("Table1[Obergruppe ATC-Code]"),Tabelle3!$A57)</f>
        <v>0</v>
      </c>
      <c r="CP57">
        <f ca="1">COUNTIFS(INDIRECT("Table1[Beginn]"),"&lt;="&amp;CP$1,INDIRECT("Table1[Ende]"),"&gt;="&amp;CP$1,INDIRECT("Table1[Obergruppe ATC-Code]"),Tabelle3!$A57)</f>
        <v>0</v>
      </c>
      <c r="CQ57">
        <f ca="1">COUNTIFS(INDIRECT("Table1[Beginn]"),"&lt;="&amp;CQ$1,INDIRECT("Table1[Ende]"),"&gt;="&amp;CQ$1,INDIRECT("Table1[Obergruppe ATC-Code]"),Tabelle3!$A57)</f>
        <v>0</v>
      </c>
      <c r="CR57">
        <f ca="1">COUNTIFS(INDIRECT("Table1[Beginn]"),"&lt;="&amp;CR$1,INDIRECT("Table1[Ende]"),"&gt;="&amp;CR$1,INDIRECT("Table1[Obergruppe ATC-Code]"),Tabelle3!$A57)</f>
        <v>0</v>
      </c>
      <c r="CS57">
        <f ca="1">COUNTIFS(INDIRECT("Table1[Beginn]"),"&lt;="&amp;CS$1,INDIRECT("Table1[Ende]"),"&gt;="&amp;CS$1,INDIRECT("Table1[Obergruppe ATC-Code]"),Tabelle3!$A57)</f>
        <v>0</v>
      </c>
      <c r="CT57">
        <f ca="1">COUNTIFS(INDIRECT("Table1[Beginn]"),"&lt;="&amp;CT$1,INDIRECT("Table1[Ende]"),"&gt;="&amp;CT$1,INDIRECT("Table1[Obergruppe ATC-Code]"),Tabelle3!$A57)</f>
        <v>0</v>
      </c>
    </row>
    <row r="58" spans="1:112" ht="18">
      <c r="A58" s="7" t="s">
        <v>6885</v>
      </c>
      <c r="B58" s="8" t="s">
        <v>6886</v>
      </c>
      <c r="C58">
        <f ca="1">COUNTIFS(INDIRECT("Table1[Beginn]"),"&lt;="&amp;C$1,INDIRECT("Table1[Ende]"),"&gt;="&amp;C$1,INDIRECT("Table1[Obergruppe ATC-Code]"),Tabelle3!$A58)</f>
        <v>0</v>
      </c>
      <c r="D58">
        <f ca="1">COUNTIFS(INDIRECT("Table1[Beginn]"),"&lt;="&amp;D$1,INDIRECT("Table1[Ende]"),"&gt;="&amp;D$1,INDIRECT("Table1[Obergruppe ATC-Code]"),Tabelle3!$A58)</f>
        <v>0</v>
      </c>
      <c r="E58">
        <f ca="1">COUNTIFS(INDIRECT("Table1[Beginn]"),"&lt;="&amp;E$1,INDIRECT("Table1[Ende]"),"&gt;="&amp;E$1,INDIRECT("Table1[Obergruppe ATC-Code]"),Tabelle3!$A58)</f>
        <v>0</v>
      </c>
      <c r="F58">
        <f ca="1">COUNTIFS(INDIRECT("Table1[Beginn]"),"&lt;="&amp;F$1,INDIRECT("Table1[Ende]"),"&gt;="&amp;F$1,INDIRECT("Table1[Obergruppe ATC-Code]"),Tabelle3!$A58)</f>
        <v>0</v>
      </c>
      <c r="G58">
        <f ca="1">COUNTIFS(INDIRECT("Table1[Beginn]"),"&lt;="&amp;G$1,INDIRECT("Table1[Ende]"),"&gt;="&amp;G$1,INDIRECT("Table1[Obergruppe ATC-Code]"),Tabelle3!$A58)</f>
        <v>0</v>
      </c>
      <c r="H58">
        <f ca="1">COUNTIFS(INDIRECT("Table1[Beginn]"),"&lt;="&amp;H$1,INDIRECT("Table1[Ende]"),"&gt;="&amp;H$1,INDIRECT("Table1[Obergruppe ATC-Code]"),Tabelle3!$A58)</f>
        <v>0</v>
      </c>
      <c r="I58">
        <f ca="1">COUNTIFS(INDIRECT("Table1[Beginn]"),"&lt;="&amp;I$1,INDIRECT("Table1[Ende]"),"&gt;="&amp;I$1,INDIRECT("Table1[Obergruppe ATC-Code]"),Tabelle3!$A58)</f>
        <v>0</v>
      </c>
      <c r="J58">
        <f ca="1">COUNTIFS(INDIRECT("Table1[Beginn]"),"&lt;="&amp;J$1,INDIRECT("Table1[Ende]"),"&gt;="&amp;J$1,INDIRECT("Table1[Obergruppe ATC-Code]"),Tabelle3!$A58)</f>
        <v>0</v>
      </c>
      <c r="K58">
        <f ca="1">COUNTIFS(INDIRECT("Table1[Beginn]"),"&lt;="&amp;K$1,INDIRECT("Table1[Ende]"),"&gt;="&amp;K$1,INDIRECT("Table1[Obergruppe ATC-Code]"),Tabelle3!$A58)</f>
        <v>0</v>
      </c>
      <c r="L58">
        <f ca="1">COUNTIFS(INDIRECT("Table1[Beginn]"),"&lt;="&amp;L$1,INDIRECT("Table1[Ende]"),"&gt;="&amp;L$1,INDIRECT("Table1[Obergruppe ATC-Code]"),Tabelle3!$A58)</f>
        <v>0</v>
      </c>
      <c r="M58">
        <f ca="1">COUNTIFS(INDIRECT("Table1[Beginn]"),"&lt;="&amp;M$1,INDIRECT("Table1[Ende]"),"&gt;="&amp;M$1,INDIRECT("Table1[Obergruppe ATC-Code]"),Tabelle3!$A58)</f>
        <v>0</v>
      </c>
      <c r="N58">
        <f ca="1">COUNTIFS(INDIRECT("Table1[Beginn]"),"&lt;="&amp;N$1,INDIRECT("Table1[Ende]"),"&gt;="&amp;N$1,INDIRECT("Table1[Obergruppe ATC-Code]"),Tabelle3!$A58)</f>
        <v>0</v>
      </c>
      <c r="O58">
        <f ca="1">COUNTIFS(INDIRECT("Table1[Beginn]"),"&lt;="&amp;O$1,INDIRECT("Table1[Ende]"),"&gt;="&amp;O$1,INDIRECT("Table1[Obergruppe ATC-Code]"),Tabelle3!$A58)</f>
        <v>0</v>
      </c>
      <c r="P58">
        <f ca="1">COUNTIFS(INDIRECT("Table1[Beginn]"),"&lt;="&amp;P$1,INDIRECT("Table1[Ende]"),"&gt;="&amp;P$1,INDIRECT("Table1[Obergruppe ATC-Code]"),Tabelle3!$A58)</f>
        <v>0</v>
      </c>
      <c r="Q58">
        <f ca="1">COUNTIFS(INDIRECT("Table1[Beginn]"),"&lt;="&amp;Q$1,INDIRECT("Table1[Ende]"),"&gt;="&amp;Q$1,INDIRECT("Table1[Obergruppe ATC-Code]"),Tabelle3!$A58)</f>
        <v>0</v>
      </c>
      <c r="R58">
        <f ca="1">COUNTIFS(INDIRECT("Table1[Beginn]"),"&lt;="&amp;R$1,INDIRECT("Table1[Ende]"),"&gt;="&amp;R$1,INDIRECT("Table1[Obergruppe ATC-Code]"),Tabelle3!$A58)</f>
        <v>0</v>
      </c>
      <c r="S58">
        <f ca="1">COUNTIFS(INDIRECT("Table1[Beginn]"),"&lt;="&amp;S$1,INDIRECT("Table1[Ende]"),"&gt;="&amp;S$1,INDIRECT("Table1[Obergruppe ATC-Code]"),Tabelle3!$A58)</f>
        <v>0</v>
      </c>
      <c r="T58">
        <f ca="1">COUNTIFS(INDIRECT("Table1[Beginn]"),"&lt;="&amp;T$1,INDIRECT("Table1[Ende]"),"&gt;="&amp;T$1,INDIRECT("Table1[Obergruppe ATC-Code]"),Tabelle3!$A58)</f>
        <v>0</v>
      </c>
      <c r="U58">
        <f ca="1">COUNTIFS(INDIRECT("Table1[Beginn]"),"&lt;="&amp;U$1,INDIRECT("Table1[Ende]"),"&gt;="&amp;U$1,INDIRECT("Table1[Obergruppe ATC-Code]"),Tabelle3!$A58)</f>
        <v>0</v>
      </c>
      <c r="V58">
        <f ca="1">COUNTIFS(INDIRECT("Table1[Beginn]"),"&lt;="&amp;V$1,INDIRECT("Table1[Ende]"),"&gt;="&amp;V$1,INDIRECT("Table1[Obergruppe ATC-Code]"),Tabelle3!$A58)</f>
        <v>0</v>
      </c>
      <c r="W58">
        <f ca="1">COUNTIFS(INDIRECT("Table1[Beginn]"),"&lt;="&amp;W$1,INDIRECT("Table1[Ende]"),"&gt;="&amp;W$1,INDIRECT("Table1[Obergruppe ATC-Code]"),Tabelle3!$A58)</f>
        <v>0</v>
      </c>
      <c r="X58">
        <f ca="1">COUNTIFS(INDIRECT("Table1[Beginn]"),"&lt;="&amp;X$1,INDIRECT("Table1[Ende]"),"&gt;="&amp;X$1,INDIRECT("Table1[Obergruppe ATC-Code]"),Tabelle3!$A58)</f>
        <v>0</v>
      </c>
      <c r="Y58">
        <f ca="1">COUNTIFS(INDIRECT("Table1[Beginn]"),"&lt;="&amp;Y$1,INDIRECT("Table1[Ende]"),"&gt;="&amp;Y$1,INDIRECT("Table1[Obergruppe ATC-Code]"),Tabelle3!$A58)</f>
        <v>0</v>
      </c>
      <c r="Z58">
        <f ca="1">COUNTIFS(INDIRECT("Table1[Beginn]"),"&lt;="&amp;Z$1,INDIRECT("Table1[Ende]"),"&gt;="&amp;Z$1,INDIRECT("Table1[Obergruppe ATC-Code]"),Tabelle3!$A58)</f>
        <v>0</v>
      </c>
      <c r="AA58">
        <f ca="1">COUNTIFS(INDIRECT("Table1[Beginn]"),"&lt;="&amp;AA$1,INDIRECT("Table1[Ende]"),"&gt;="&amp;AA$1,INDIRECT("Table1[Obergruppe ATC-Code]"),Tabelle3!$A58)</f>
        <v>0</v>
      </c>
      <c r="AB58">
        <f ca="1">COUNTIFS(INDIRECT("Table1[Beginn]"),"&lt;="&amp;AB$1,INDIRECT("Table1[Ende]"),"&gt;="&amp;AB$1,INDIRECT("Table1[Obergruppe ATC-Code]"),Tabelle3!$A58)</f>
        <v>0</v>
      </c>
      <c r="AC58">
        <f ca="1">COUNTIFS(INDIRECT("Table1[Beginn]"),"&lt;="&amp;AC$1,INDIRECT("Table1[Ende]"),"&gt;="&amp;AC$1,INDIRECT("Table1[Obergruppe ATC-Code]"),Tabelle3!$A58)</f>
        <v>0</v>
      </c>
      <c r="AD58">
        <f ca="1">COUNTIFS(INDIRECT("Table1[Beginn]"),"&lt;="&amp;AD$1,INDIRECT("Table1[Ende]"),"&gt;="&amp;AD$1,INDIRECT("Table1[Obergruppe ATC-Code]"),Tabelle3!$A58)</f>
        <v>0</v>
      </c>
      <c r="AE58">
        <f ca="1">COUNTIFS(INDIRECT("Table1[Beginn]"),"&lt;="&amp;AE$1,INDIRECT("Table1[Ende]"),"&gt;="&amp;AE$1,INDIRECT("Table1[Obergruppe ATC-Code]"),Tabelle3!$A58)</f>
        <v>0</v>
      </c>
      <c r="AF58">
        <f ca="1">COUNTIFS(INDIRECT("Table1[Beginn]"),"&lt;="&amp;AF$1,INDIRECT("Table1[Ende]"),"&gt;="&amp;AF$1,INDIRECT("Table1[Obergruppe ATC-Code]"),Tabelle3!$A58)</f>
        <v>0</v>
      </c>
      <c r="AG58">
        <f ca="1">COUNTIFS(INDIRECT("Table1[Beginn]"),"&lt;="&amp;AG$1,INDIRECT("Table1[Ende]"),"&gt;="&amp;AG$1,INDIRECT("Table1[Obergruppe ATC-Code]"),Tabelle3!$A58)</f>
        <v>0</v>
      </c>
      <c r="AH58">
        <f ca="1">COUNTIFS(INDIRECT("Table1[Beginn]"),"&lt;="&amp;AH$1,INDIRECT("Table1[Ende]"),"&gt;="&amp;AH$1,INDIRECT("Table1[Obergruppe ATC-Code]"),Tabelle3!$A58)</f>
        <v>0</v>
      </c>
      <c r="AI58">
        <f ca="1">COUNTIFS(INDIRECT("Table1[Beginn]"),"&lt;="&amp;AI$1,INDIRECT("Table1[Ende]"),"&gt;="&amp;AI$1,INDIRECT("Table1[Obergruppe ATC-Code]"),Tabelle3!$A58)</f>
        <v>0</v>
      </c>
      <c r="AJ58">
        <f ca="1">COUNTIFS(INDIRECT("Table1[Beginn]"),"&lt;="&amp;AJ$1,INDIRECT("Table1[Ende]"),"&gt;="&amp;AJ$1,INDIRECT("Table1[Obergruppe ATC-Code]"),Tabelle3!$A58)</f>
        <v>0</v>
      </c>
      <c r="AK58">
        <f ca="1">COUNTIFS(INDIRECT("Table1[Beginn]"),"&lt;="&amp;AK$1,INDIRECT("Table1[Ende]"),"&gt;="&amp;AK$1,INDIRECT("Table1[Obergruppe ATC-Code]"),Tabelle3!$A58)</f>
        <v>0</v>
      </c>
      <c r="AL58">
        <f ca="1">COUNTIFS(INDIRECT("Table1[Beginn]"),"&lt;="&amp;AL$1,INDIRECT("Table1[Ende]"),"&gt;="&amp;AL$1,INDIRECT("Table1[Obergruppe ATC-Code]"),Tabelle3!$A58)</f>
        <v>0</v>
      </c>
      <c r="AM58">
        <f ca="1">COUNTIFS(INDIRECT("Table1[Beginn]"),"&lt;="&amp;AM$1,INDIRECT("Table1[Ende]"),"&gt;="&amp;AM$1,INDIRECT("Table1[Obergruppe ATC-Code]"),Tabelle3!$A58)</f>
        <v>0</v>
      </c>
      <c r="AN58">
        <f ca="1">COUNTIFS(INDIRECT("Table1[Beginn]"),"&lt;="&amp;AN$1,INDIRECT("Table1[Ende]"),"&gt;="&amp;AN$1,INDIRECT("Table1[Obergruppe ATC-Code]"),Tabelle3!$A58)</f>
        <v>0</v>
      </c>
      <c r="AO58">
        <f ca="1">COUNTIFS(INDIRECT("Table1[Beginn]"),"&lt;="&amp;AO$1,INDIRECT("Table1[Ende]"),"&gt;="&amp;AO$1,INDIRECT("Table1[Obergruppe ATC-Code]"),Tabelle3!$A58)</f>
        <v>0</v>
      </c>
      <c r="AP58">
        <f ca="1">COUNTIFS(INDIRECT("Table1[Beginn]"),"&lt;="&amp;AP$1,INDIRECT("Table1[Ende]"),"&gt;="&amp;AP$1,INDIRECT("Table1[Obergruppe ATC-Code]"),Tabelle3!$A58)</f>
        <v>0</v>
      </c>
      <c r="AQ58">
        <f ca="1">COUNTIFS(INDIRECT("Table1[Beginn]"),"&lt;="&amp;AQ$1,INDIRECT("Table1[Ende]"),"&gt;="&amp;AQ$1,INDIRECT("Table1[Obergruppe ATC-Code]"),Tabelle3!$A58)</f>
        <v>0</v>
      </c>
      <c r="AR58">
        <f ca="1">COUNTIFS(INDIRECT("Table1[Beginn]"),"&lt;="&amp;AR$1,INDIRECT("Table1[Ende]"),"&gt;="&amp;AR$1,INDIRECT("Table1[Obergruppe ATC-Code]"),Tabelle3!$A58)</f>
        <v>0</v>
      </c>
      <c r="AS58">
        <f ca="1">COUNTIFS(INDIRECT("Table1[Beginn]"),"&lt;="&amp;AS$1,INDIRECT("Table1[Ende]"),"&gt;="&amp;AS$1,INDIRECT("Table1[Obergruppe ATC-Code]"),Tabelle3!$A58)</f>
        <v>0</v>
      </c>
      <c r="AT58">
        <f ca="1">COUNTIFS(INDIRECT("Table1[Beginn]"),"&lt;="&amp;AT$1,INDIRECT("Table1[Ende]"),"&gt;="&amp;AT$1,INDIRECT("Table1[Obergruppe ATC-Code]"),Tabelle3!$A58)</f>
        <v>0</v>
      </c>
      <c r="AU58">
        <f ca="1">COUNTIFS(INDIRECT("Table1[Beginn]"),"&lt;="&amp;AU$1,INDIRECT("Table1[Ende]"),"&gt;="&amp;AU$1,INDIRECT("Table1[Obergruppe ATC-Code]"),Tabelle3!$A58)</f>
        <v>0</v>
      </c>
      <c r="AV58">
        <f ca="1">COUNTIFS(INDIRECT("Table1[Beginn]"),"&lt;="&amp;AV$1,INDIRECT("Table1[Ende]"),"&gt;="&amp;AV$1,INDIRECT("Table1[Obergruppe ATC-Code]"),Tabelle3!$A58)</f>
        <v>0</v>
      </c>
      <c r="AW58">
        <f ca="1">COUNTIFS(INDIRECT("Table1[Beginn]"),"&lt;="&amp;AW$1,INDIRECT("Table1[Ende]"),"&gt;="&amp;AW$1,INDIRECT("Table1[Obergruppe ATC-Code]"),Tabelle3!$A58)</f>
        <v>0</v>
      </c>
      <c r="AX58">
        <f ca="1">COUNTIFS(INDIRECT("Table1[Beginn]"),"&lt;="&amp;AX$1,INDIRECT("Table1[Ende]"),"&gt;="&amp;AX$1,INDIRECT("Table1[Obergruppe ATC-Code]"),Tabelle3!$A58)</f>
        <v>0</v>
      </c>
      <c r="AY58">
        <f ca="1">COUNTIFS(INDIRECT("Table1[Beginn]"),"&lt;="&amp;AY$1,INDIRECT("Table1[Ende]"),"&gt;="&amp;AY$1,INDIRECT("Table1[Obergruppe ATC-Code]"),Tabelle3!$A58)</f>
        <v>0</v>
      </c>
      <c r="AZ58">
        <f ca="1">COUNTIFS(INDIRECT("Table1[Beginn]"),"&lt;="&amp;AZ$1,INDIRECT("Table1[Ende]"),"&gt;="&amp;AZ$1,INDIRECT("Table1[Obergruppe ATC-Code]"),Tabelle3!$A58)</f>
        <v>0</v>
      </c>
      <c r="BA58">
        <f ca="1">COUNTIFS(INDIRECT("Table1[Beginn]"),"&lt;="&amp;BA$1,INDIRECT("Table1[Ende]"),"&gt;="&amp;BA$1,INDIRECT("Table1[Obergruppe ATC-Code]"),Tabelle3!$A58)</f>
        <v>0</v>
      </c>
      <c r="BB58">
        <f ca="1">COUNTIFS(INDIRECT("Table1[Beginn]"),"&lt;="&amp;BB$1,INDIRECT("Table1[Ende]"),"&gt;="&amp;BB$1,INDIRECT("Table1[Obergruppe ATC-Code]"),Tabelle3!$A58)</f>
        <v>0</v>
      </c>
      <c r="BC58">
        <f ca="1">COUNTIFS(INDIRECT("Table1[Beginn]"),"&lt;="&amp;BC$1,INDIRECT("Table1[Ende]"),"&gt;="&amp;BC$1,INDIRECT("Table1[Obergruppe ATC-Code]"),Tabelle3!$A58)</f>
        <v>0</v>
      </c>
      <c r="BD58">
        <f ca="1">COUNTIFS(INDIRECT("Table1[Beginn]"),"&lt;="&amp;BD$1,INDIRECT("Table1[Ende]"),"&gt;="&amp;BD$1,INDIRECT("Table1[Obergruppe ATC-Code]"),Tabelle3!$A58)</f>
        <v>0</v>
      </c>
      <c r="BE58">
        <f ca="1">COUNTIFS(INDIRECT("Table1[Beginn]"),"&lt;="&amp;BE$1,INDIRECT("Table1[Ende]"),"&gt;="&amp;BE$1,INDIRECT("Table1[Obergruppe ATC-Code]"),Tabelle3!$A58)</f>
        <v>0</v>
      </c>
      <c r="BF58">
        <f ca="1">COUNTIFS(INDIRECT("Table1[Beginn]"),"&lt;="&amp;BF$1,INDIRECT("Table1[Ende]"),"&gt;="&amp;BF$1,INDIRECT("Table1[Obergruppe ATC-Code]"),Tabelle3!$A58)</f>
        <v>0</v>
      </c>
      <c r="BG58">
        <f ca="1">COUNTIFS(INDIRECT("Table1[Beginn]"),"&lt;="&amp;BG$1,INDIRECT("Table1[Ende]"),"&gt;="&amp;BG$1,INDIRECT("Table1[Obergruppe ATC-Code]"),Tabelle3!$A58)</f>
        <v>0</v>
      </c>
      <c r="BH58">
        <f ca="1">COUNTIFS(INDIRECT("Table1[Beginn]"),"&lt;="&amp;BH$1,INDIRECT("Table1[Ende]"),"&gt;="&amp;BH$1,INDIRECT("Table1[Obergruppe ATC-Code]"),Tabelle3!$A58)</f>
        <v>0</v>
      </c>
      <c r="BI58">
        <f ca="1">COUNTIFS(INDIRECT("Table1[Beginn]"),"&lt;="&amp;BI$1,INDIRECT("Table1[Ende]"),"&gt;="&amp;BI$1,INDIRECT("Table1[Obergruppe ATC-Code]"),Tabelle3!$A58)</f>
        <v>0</v>
      </c>
      <c r="BJ58">
        <f ca="1">COUNTIFS(INDIRECT("Table1[Beginn]"),"&lt;="&amp;BJ$1,INDIRECT("Table1[Ende]"),"&gt;="&amp;BJ$1,INDIRECT("Table1[Obergruppe ATC-Code]"),Tabelle3!$A58)</f>
        <v>0</v>
      </c>
      <c r="BK58">
        <f ca="1">COUNTIFS(INDIRECT("Table1[Beginn]"),"&lt;="&amp;BK$1,INDIRECT("Table1[Ende]"),"&gt;="&amp;BK$1,INDIRECT("Table1[Obergruppe ATC-Code]"),Tabelle3!$A58)</f>
        <v>0</v>
      </c>
      <c r="BL58">
        <f ca="1">COUNTIFS(INDIRECT("Table1[Beginn]"),"&lt;="&amp;BL$1,INDIRECT("Table1[Ende]"),"&gt;="&amp;BL$1,INDIRECT("Table1[Obergruppe ATC-Code]"),Tabelle3!$A58)</f>
        <v>0</v>
      </c>
      <c r="BM58">
        <f ca="1">COUNTIFS(INDIRECT("Table1[Beginn]"),"&lt;="&amp;BM$1,INDIRECT("Table1[Ende]"),"&gt;="&amp;BM$1,INDIRECT("Table1[Obergruppe ATC-Code]"),Tabelle3!$A58)</f>
        <v>0</v>
      </c>
      <c r="BN58">
        <f ca="1">COUNTIFS(INDIRECT("Table1[Beginn]"),"&lt;="&amp;BN$1,INDIRECT("Table1[Ende]"),"&gt;="&amp;BN$1,INDIRECT("Table1[Obergruppe ATC-Code]"),Tabelle3!$A58)</f>
        <v>0</v>
      </c>
      <c r="BO58">
        <f ca="1">COUNTIFS(INDIRECT("Table1[Beginn]"),"&lt;="&amp;BO$1,INDIRECT("Table1[Ende]"),"&gt;="&amp;BO$1,INDIRECT("Table1[Obergruppe ATC-Code]"),Tabelle3!$A58)</f>
        <v>0</v>
      </c>
      <c r="BP58">
        <f ca="1">COUNTIFS(INDIRECT("Table1[Beginn]"),"&lt;="&amp;BP$1,INDIRECT("Table1[Ende]"),"&gt;="&amp;BP$1,INDIRECT("Table1[Obergruppe ATC-Code]"),Tabelle3!$A58)</f>
        <v>0</v>
      </c>
      <c r="BQ58">
        <f ca="1">COUNTIFS(INDIRECT("Table1[Beginn]"),"&lt;="&amp;BQ$1,INDIRECT("Table1[Ende]"),"&gt;="&amp;BQ$1,INDIRECT("Table1[Obergruppe ATC-Code]"),Tabelle3!$A58)</f>
        <v>0</v>
      </c>
      <c r="BR58">
        <f ca="1">COUNTIFS(INDIRECT("Table1[Beginn]"),"&lt;="&amp;BR$1,INDIRECT("Table1[Ende]"),"&gt;="&amp;BR$1,INDIRECT("Table1[Obergruppe ATC-Code]"),Tabelle3!$A58)</f>
        <v>0</v>
      </c>
      <c r="BS58">
        <f ca="1">COUNTIFS(INDIRECT("Table1[Beginn]"),"&lt;="&amp;BS$1,INDIRECT("Table1[Ende]"),"&gt;="&amp;BS$1,INDIRECT("Table1[Obergruppe ATC-Code]"),Tabelle3!$A58)</f>
        <v>0</v>
      </c>
      <c r="BT58">
        <f ca="1">COUNTIFS(INDIRECT("Table1[Beginn]"),"&lt;="&amp;BT$1,INDIRECT("Table1[Ende]"),"&gt;="&amp;BT$1,INDIRECT("Table1[Obergruppe ATC-Code]"),Tabelle3!$A58)</f>
        <v>0</v>
      </c>
      <c r="BU58">
        <f ca="1">COUNTIFS(INDIRECT("Table1[Beginn]"),"&lt;="&amp;BU$1,INDIRECT("Table1[Ende]"),"&gt;="&amp;BU$1,INDIRECT("Table1[Obergruppe ATC-Code]"),Tabelle3!$A58)</f>
        <v>0</v>
      </c>
      <c r="BV58">
        <f ca="1">COUNTIFS(INDIRECT("Table1[Beginn]"),"&lt;="&amp;BV$1,INDIRECT("Table1[Ende]"),"&gt;="&amp;BV$1,INDIRECT("Table1[Obergruppe ATC-Code]"),Tabelle3!$A58)</f>
        <v>0</v>
      </c>
      <c r="BW58">
        <f ca="1">COUNTIFS(INDIRECT("Table1[Beginn]"),"&lt;="&amp;BW$1,INDIRECT("Table1[Ende]"),"&gt;="&amp;BW$1,INDIRECT("Table1[Obergruppe ATC-Code]"),Tabelle3!$A58)</f>
        <v>0</v>
      </c>
      <c r="BX58">
        <f ca="1">COUNTIFS(INDIRECT("Table1[Beginn]"),"&lt;="&amp;BX$1,INDIRECT("Table1[Ende]"),"&gt;="&amp;BX$1,INDIRECT("Table1[Obergruppe ATC-Code]"),Tabelle3!$A58)</f>
        <v>0</v>
      </c>
      <c r="BY58">
        <f ca="1">COUNTIFS(INDIRECT("Table1[Beginn]"),"&lt;="&amp;BY$1,INDIRECT("Table1[Ende]"),"&gt;="&amp;BY$1,INDIRECT("Table1[Obergruppe ATC-Code]"),Tabelle3!$A58)</f>
        <v>0</v>
      </c>
      <c r="BZ58">
        <f ca="1">COUNTIFS(INDIRECT("Table1[Beginn]"),"&lt;="&amp;BZ$1,INDIRECT("Table1[Ende]"),"&gt;="&amp;BZ$1,INDIRECT("Table1[Obergruppe ATC-Code]"),Tabelle3!$A58)</f>
        <v>0</v>
      </c>
      <c r="CA58">
        <f ca="1">COUNTIFS(INDIRECT("Table1[Beginn]"),"&lt;="&amp;CA$1,INDIRECT("Table1[Ende]"),"&gt;="&amp;CA$1,INDIRECT("Table1[Obergruppe ATC-Code]"),Tabelle3!$A58)</f>
        <v>0</v>
      </c>
      <c r="CB58">
        <f ca="1">COUNTIFS(INDIRECT("Table1[Beginn]"),"&lt;="&amp;CB$1,INDIRECT("Table1[Ende]"),"&gt;="&amp;CB$1,INDIRECT("Table1[Obergruppe ATC-Code]"),Tabelle3!$A58)</f>
        <v>0</v>
      </c>
      <c r="CC58">
        <f ca="1">COUNTIFS(INDIRECT("Table1[Beginn]"),"&lt;="&amp;CC$1,INDIRECT("Table1[Ende]"),"&gt;="&amp;CC$1,INDIRECT("Table1[Obergruppe ATC-Code]"),Tabelle3!$A58)</f>
        <v>0</v>
      </c>
      <c r="CD58">
        <f ca="1">COUNTIFS(INDIRECT("Table1[Beginn]"),"&lt;="&amp;CD$1,INDIRECT("Table1[Ende]"),"&gt;="&amp;CD$1,INDIRECT("Table1[Obergruppe ATC-Code]"),Tabelle3!$A58)</f>
        <v>0</v>
      </c>
      <c r="CE58">
        <f ca="1">COUNTIFS(INDIRECT("Table1[Beginn]"),"&lt;="&amp;CE$1,INDIRECT("Table1[Ende]"),"&gt;="&amp;CE$1,INDIRECT("Table1[Obergruppe ATC-Code]"),Tabelle3!$A58)</f>
        <v>0</v>
      </c>
      <c r="CF58">
        <f ca="1">COUNTIFS(INDIRECT("Table1[Beginn]"),"&lt;="&amp;CF$1,INDIRECT("Table1[Ende]"),"&gt;="&amp;CF$1,INDIRECT("Table1[Obergruppe ATC-Code]"),Tabelle3!$A58)</f>
        <v>0</v>
      </c>
      <c r="CG58">
        <f ca="1">COUNTIFS(INDIRECT("Table1[Beginn]"),"&lt;="&amp;CG$1,INDIRECT("Table1[Ende]"),"&gt;="&amp;CG$1,INDIRECT("Table1[Obergruppe ATC-Code]"),Tabelle3!$A58)</f>
        <v>0</v>
      </c>
      <c r="CH58">
        <f ca="1">COUNTIFS(INDIRECT("Table1[Beginn]"),"&lt;="&amp;CH$1,INDIRECT("Table1[Ende]"),"&gt;="&amp;CH$1,INDIRECT("Table1[Obergruppe ATC-Code]"),Tabelle3!$A58)</f>
        <v>0</v>
      </c>
      <c r="CI58">
        <f ca="1">COUNTIFS(INDIRECT("Table1[Beginn]"),"&lt;="&amp;CI$1,INDIRECT("Table1[Ende]"),"&gt;="&amp;CI$1,INDIRECT("Table1[Obergruppe ATC-Code]"),Tabelle3!$A58)</f>
        <v>0</v>
      </c>
      <c r="CJ58">
        <f ca="1">COUNTIFS(INDIRECT("Table1[Beginn]"),"&lt;="&amp;CJ$1,INDIRECT("Table1[Ende]"),"&gt;="&amp;CJ$1,INDIRECT("Table1[Obergruppe ATC-Code]"),Tabelle3!$A58)</f>
        <v>0</v>
      </c>
      <c r="CK58">
        <f ca="1">COUNTIFS(INDIRECT("Table1[Beginn]"),"&lt;="&amp;CK$1,INDIRECT("Table1[Ende]"),"&gt;="&amp;CK$1,INDIRECT("Table1[Obergruppe ATC-Code]"),Tabelle3!$A58)</f>
        <v>0</v>
      </c>
      <c r="CL58">
        <f ca="1">COUNTIFS(INDIRECT("Table1[Beginn]"),"&lt;="&amp;CL$1,INDIRECT("Table1[Ende]"),"&gt;="&amp;CL$1,INDIRECT("Table1[Obergruppe ATC-Code]"),Tabelle3!$A58)</f>
        <v>0</v>
      </c>
      <c r="CM58">
        <f ca="1">COUNTIFS(INDIRECT("Table1[Beginn]"),"&lt;="&amp;CM$1,INDIRECT("Table1[Ende]"),"&gt;="&amp;CM$1,INDIRECT("Table1[Obergruppe ATC-Code]"),Tabelle3!$A58)</f>
        <v>0</v>
      </c>
      <c r="CN58">
        <f ca="1">COUNTIFS(INDIRECT("Table1[Beginn]"),"&lt;="&amp;CN$1,INDIRECT("Table1[Ende]"),"&gt;="&amp;CN$1,INDIRECT("Table1[Obergruppe ATC-Code]"),Tabelle3!$A58)</f>
        <v>0</v>
      </c>
      <c r="CO58">
        <f ca="1">COUNTIFS(INDIRECT("Table1[Beginn]"),"&lt;="&amp;CO$1,INDIRECT("Table1[Ende]"),"&gt;="&amp;CO$1,INDIRECT("Table1[Obergruppe ATC-Code]"),Tabelle3!$A58)</f>
        <v>0</v>
      </c>
      <c r="CP58">
        <f ca="1">COUNTIFS(INDIRECT("Table1[Beginn]"),"&lt;="&amp;CP$1,INDIRECT("Table1[Ende]"),"&gt;="&amp;CP$1,INDIRECT("Table1[Obergruppe ATC-Code]"),Tabelle3!$A58)</f>
        <v>0</v>
      </c>
      <c r="CQ58">
        <f ca="1">COUNTIFS(INDIRECT("Table1[Beginn]"),"&lt;="&amp;CQ$1,INDIRECT("Table1[Ende]"),"&gt;="&amp;CQ$1,INDIRECT("Table1[Obergruppe ATC-Code]"),Tabelle3!$A58)</f>
        <v>0</v>
      </c>
      <c r="CR58">
        <f ca="1">COUNTIFS(INDIRECT("Table1[Beginn]"),"&lt;="&amp;CR$1,INDIRECT("Table1[Ende]"),"&gt;="&amp;CR$1,INDIRECT("Table1[Obergruppe ATC-Code]"),Tabelle3!$A58)</f>
        <v>0</v>
      </c>
      <c r="CS58">
        <f ca="1">COUNTIFS(INDIRECT("Table1[Beginn]"),"&lt;="&amp;CS$1,INDIRECT("Table1[Ende]"),"&gt;="&amp;CS$1,INDIRECT("Table1[Obergruppe ATC-Code]"),Tabelle3!$A58)</f>
        <v>0</v>
      </c>
      <c r="CT58">
        <f ca="1">COUNTIFS(INDIRECT("Table1[Beginn]"),"&lt;="&amp;CT$1,INDIRECT("Table1[Ende]"),"&gt;="&amp;CT$1,INDIRECT("Table1[Obergruppe ATC-Code]"),Tabelle3!$A58)</f>
        <v>0</v>
      </c>
    </row>
    <row r="59" spans="1:112" ht="18">
      <c r="A59" s="9" t="s">
        <v>6887</v>
      </c>
      <c r="B59" s="10" t="s">
        <v>6888</v>
      </c>
      <c r="C59">
        <f ca="1">COUNTIFS(INDIRECT("Table1[Beginn]"),"&lt;="&amp;C$1,INDIRECT("Table1[Ende]"),"&gt;="&amp;C$1,INDIRECT("Table1[Obergruppe ATC-Code]"),Tabelle3!$A59)</f>
        <v>2</v>
      </c>
      <c r="D59">
        <f ca="1">COUNTIFS(INDIRECT("Table1[Beginn]"),"&lt;="&amp;D$1,INDIRECT("Table1[Ende]"),"&gt;="&amp;D$1,INDIRECT("Table1[Obergruppe ATC-Code]"),Tabelle3!$A59)</f>
        <v>2</v>
      </c>
      <c r="E59">
        <f ca="1">COUNTIFS(INDIRECT("Table1[Beginn]"),"&lt;="&amp;E$1,INDIRECT("Table1[Ende]"),"&gt;="&amp;E$1,INDIRECT("Table1[Obergruppe ATC-Code]"),Tabelle3!$A59)</f>
        <v>5</v>
      </c>
      <c r="F59">
        <f ca="1">COUNTIFS(INDIRECT("Table1[Beginn]"),"&lt;="&amp;F$1,INDIRECT("Table1[Ende]"),"&gt;="&amp;F$1,INDIRECT("Table1[Obergruppe ATC-Code]"),Tabelle3!$A59)</f>
        <v>3</v>
      </c>
      <c r="G59">
        <f ca="1">COUNTIFS(INDIRECT("Table1[Beginn]"),"&lt;="&amp;G$1,INDIRECT("Table1[Ende]"),"&gt;="&amp;G$1,INDIRECT("Table1[Obergruppe ATC-Code]"),Tabelle3!$A59)</f>
        <v>3</v>
      </c>
      <c r="H59">
        <f ca="1">COUNTIFS(INDIRECT("Table1[Beginn]"),"&lt;="&amp;H$1,INDIRECT("Table1[Ende]"),"&gt;="&amp;H$1,INDIRECT("Table1[Obergruppe ATC-Code]"),Tabelle3!$A59)</f>
        <v>3</v>
      </c>
      <c r="I59">
        <f ca="1">COUNTIFS(INDIRECT("Table1[Beginn]"),"&lt;="&amp;I$1,INDIRECT("Table1[Ende]"),"&gt;="&amp;I$1,INDIRECT("Table1[Obergruppe ATC-Code]"),Tabelle3!$A59)</f>
        <v>4</v>
      </c>
      <c r="J59">
        <f ca="1">COUNTIFS(INDIRECT("Table1[Beginn]"),"&lt;="&amp;J$1,INDIRECT("Table1[Ende]"),"&gt;="&amp;J$1,INDIRECT("Table1[Obergruppe ATC-Code]"),Tabelle3!$A59)</f>
        <v>3</v>
      </c>
      <c r="K59">
        <f ca="1">COUNTIFS(INDIRECT("Table1[Beginn]"),"&lt;="&amp;K$1,INDIRECT("Table1[Ende]"),"&gt;="&amp;K$1,INDIRECT("Table1[Obergruppe ATC-Code]"),Tabelle3!$A59)</f>
        <v>1</v>
      </c>
      <c r="L59">
        <f ca="1">COUNTIFS(INDIRECT("Table1[Beginn]"),"&lt;="&amp;L$1,INDIRECT("Table1[Ende]"),"&gt;="&amp;L$1,INDIRECT("Table1[Obergruppe ATC-Code]"),Tabelle3!$A59)</f>
        <v>1</v>
      </c>
      <c r="M59">
        <f ca="1">COUNTIFS(INDIRECT("Table1[Beginn]"),"&lt;="&amp;M$1,INDIRECT("Table1[Ende]"),"&gt;="&amp;M$1,INDIRECT("Table1[Obergruppe ATC-Code]"),Tabelle3!$A59)</f>
        <v>3</v>
      </c>
      <c r="N59">
        <f ca="1">COUNTIFS(INDIRECT("Table1[Beginn]"),"&lt;="&amp;N$1,INDIRECT("Table1[Ende]"),"&gt;="&amp;N$1,INDIRECT("Table1[Obergruppe ATC-Code]"),Tabelle3!$A59)</f>
        <v>2</v>
      </c>
      <c r="O59">
        <f ca="1">COUNTIFS(INDIRECT("Table1[Beginn]"),"&lt;="&amp;O$1,INDIRECT("Table1[Ende]"),"&gt;="&amp;O$1,INDIRECT("Table1[Obergruppe ATC-Code]"),Tabelle3!$A59)</f>
        <v>2</v>
      </c>
      <c r="P59">
        <f ca="1">COUNTIFS(INDIRECT("Table1[Beginn]"),"&lt;="&amp;P$1,INDIRECT("Table1[Ende]"),"&gt;="&amp;P$1,INDIRECT("Table1[Obergruppe ATC-Code]"),Tabelle3!$A59)</f>
        <v>3</v>
      </c>
      <c r="Q59">
        <f ca="1">COUNTIFS(INDIRECT("Table1[Beginn]"),"&lt;="&amp;Q$1,INDIRECT("Table1[Ende]"),"&gt;="&amp;Q$1,INDIRECT("Table1[Obergruppe ATC-Code]"),Tabelle3!$A59)</f>
        <v>2</v>
      </c>
      <c r="R59">
        <f ca="1">COUNTIFS(INDIRECT("Table1[Beginn]"),"&lt;="&amp;R$1,INDIRECT("Table1[Ende]"),"&gt;="&amp;R$1,INDIRECT("Table1[Obergruppe ATC-Code]"),Tabelle3!$A59)</f>
        <v>1</v>
      </c>
      <c r="S59">
        <f ca="1">COUNTIFS(INDIRECT("Table1[Beginn]"),"&lt;="&amp;S$1,INDIRECT("Table1[Ende]"),"&gt;="&amp;S$1,INDIRECT("Table1[Obergruppe ATC-Code]"),Tabelle3!$A59)</f>
        <v>1</v>
      </c>
      <c r="T59">
        <f ca="1">COUNTIFS(INDIRECT("Table1[Beginn]"),"&lt;="&amp;T$1,INDIRECT("Table1[Ende]"),"&gt;="&amp;T$1,INDIRECT("Table1[Obergruppe ATC-Code]"),Tabelle3!$A59)</f>
        <v>4</v>
      </c>
      <c r="U59">
        <f ca="1">COUNTIFS(INDIRECT("Table1[Beginn]"),"&lt;="&amp;U$1,INDIRECT("Table1[Ende]"),"&gt;="&amp;U$1,INDIRECT("Table1[Obergruppe ATC-Code]"),Tabelle3!$A59)</f>
        <v>5</v>
      </c>
      <c r="V59">
        <f ca="1">COUNTIFS(INDIRECT("Table1[Beginn]"),"&lt;="&amp;V$1,INDIRECT("Table1[Ende]"),"&gt;="&amp;V$1,INDIRECT("Table1[Obergruppe ATC-Code]"),Tabelle3!$A59)</f>
        <v>4</v>
      </c>
      <c r="W59">
        <f ca="1">COUNTIFS(INDIRECT("Table1[Beginn]"),"&lt;="&amp;W$1,INDIRECT("Table1[Ende]"),"&gt;="&amp;W$1,INDIRECT("Table1[Obergruppe ATC-Code]"),Tabelle3!$A59)</f>
        <v>5</v>
      </c>
      <c r="X59">
        <f ca="1">COUNTIFS(INDIRECT("Table1[Beginn]"),"&lt;="&amp;X$1,INDIRECT("Table1[Ende]"),"&gt;="&amp;X$1,INDIRECT("Table1[Obergruppe ATC-Code]"),Tabelle3!$A59)</f>
        <v>5</v>
      </c>
      <c r="Y59">
        <f ca="1">COUNTIFS(INDIRECT("Table1[Beginn]"),"&lt;="&amp;Y$1,INDIRECT("Table1[Ende]"),"&gt;="&amp;Y$1,INDIRECT("Table1[Obergruppe ATC-Code]"),Tabelle3!$A59)</f>
        <v>6</v>
      </c>
      <c r="Z59">
        <f ca="1">COUNTIFS(INDIRECT("Table1[Beginn]"),"&lt;="&amp;Z$1,INDIRECT("Table1[Ende]"),"&gt;="&amp;Z$1,INDIRECT("Table1[Obergruppe ATC-Code]"),Tabelle3!$A59)</f>
        <v>6</v>
      </c>
      <c r="AA59">
        <f ca="1">COUNTIFS(INDIRECT("Table1[Beginn]"),"&lt;="&amp;AA$1,INDIRECT("Table1[Ende]"),"&gt;="&amp;AA$1,INDIRECT("Table1[Obergruppe ATC-Code]"),Tabelle3!$A59)</f>
        <v>4</v>
      </c>
      <c r="AB59">
        <f ca="1">COUNTIFS(INDIRECT("Table1[Beginn]"),"&lt;="&amp;AB$1,INDIRECT("Table1[Ende]"),"&gt;="&amp;AB$1,INDIRECT("Table1[Obergruppe ATC-Code]"),Tabelle3!$A59)</f>
        <v>4</v>
      </c>
      <c r="AC59">
        <f ca="1">COUNTIFS(INDIRECT("Table1[Beginn]"),"&lt;="&amp;AC$1,INDIRECT("Table1[Ende]"),"&gt;="&amp;AC$1,INDIRECT("Table1[Obergruppe ATC-Code]"),Tabelle3!$A59)</f>
        <v>5</v>
      </c>
      <c r="AD59">
        <f ca="1">COUNTIFS(INDIRECT("Table1[Beginn]"),"&lt;="&amp;AD$1,INDIRECT("Table1[Ende]"),"&gt;="&amp;AD$1,INDIRECT("Table1[Obergruppe ATC-Code]"),Tabelle3!$A59)</f>
        <v>6</v>
      </c>
      <c r="AE59">
        <f ca="1">COUNTIFS(INDIRECT("Table1[Beginn]"),"&lt;="&amp;AE$1,INDIRECT("Table1[Ende]"),"&gt;="&amp;AE$1,INDIRECT("Table1[Obergruppe ATC-Code]"),Tabelle3!$A59)</f>
        <v>6</v>
      </c>
      <c r="AF59">
        <f ca="1">COUNTIFS(INDIRECT("Table1[Beginn]"),"&lt;="&amp;AF$1,INDIRECT("Table1[Ende]"),"&gt;="&amp;AF$1,INDIRECT("Table1[Obergruppe ATC-Code]"),Tabelle3!$A59)</f>
        <v>4</v>
      </c>
      <c r="AG59">
        <f ca="1">COUNTIFS(INDIRECT("Table1[Beginn]"),"&lt;="&amp;AG$1,INDIRECT("Table1[Ende]"),"&gt;="&amp;AG$1,INDIRECT("Table1[Obergruppe ATC-Code]"),Tabelle3!$A59)</f>
        <v>10</v>
      </c>
      <c r="AH59">
        <f ca="1">COUNTIFS(INDIRECT("Table1[Beginn]"),"&lt;="&amp;AH$1,INDIRECT("Table1[Ende]"),"&gt;="&amp;AH$1,INDIRECT("Table1[Obergruppe ATC-Code]"),Tabelle3!$A59)</f>
        <v>20</v>
      </c>
      <c r="AI59">
        <f ca="1">COUNTIFS(INDIRECT("Table1[Beginn]"),"&lt;="&amp;AI$1,INDIRECT("Table1[Ende]"),"&gt;="&amp;AI$1,INDIRECT("Table1[Obergruppe ATC-Code]"),Tabelle3!$A59)</f>
        <v>24</v>
      </c>
      <c r="AJ59">
        <f ca="1">COUNTIFS(INDIRECT("Table1[Beginn]"),"&lt;="&amp;AJ$1,INDIRECT("Table1[Ende]"),"&gt;="&amp;AJ$1,INDIRECT("Table1[Obergruppe ATC-Code]"),Tabelle3!$A59)</f>
        <v>26</v>
      </c>
      <c r="AK59">
        <f ca="1">COUNTIFS(INDIRECT("Table1[Beginn]"),"&lt;="&amp;AK$1,INDIRECT("Table1[Ende]"),"&gt;="&amp;AK$1,INDIRECT("Table1[Obergruppe ATC-Code]"),Tabelle3!$A59)</f>
        <v>25</v>
      </c>
      <c r="AL59">
        <f ca="1">COUNTIFS(INDIRECT("Table1[Beginn]"),"&lt;="&amp;AL$1,INDIRECT("Table1[Ende]"),"&gt;="&amp;AL$1,INDIRECT("Table1[Obergruppe ATC-Code]"),Tabelle3!$A59)</f>
        <v>24</v>
      </c>
      <c r="AM59">
        <f ca="1">COUNTIFS(INDIRECT("Table1[Beginn]"),"&lt;="&amp;AM$1,INDIRECT("Table1[Ende]"),"&gt;="&amp;AM$1,INDIRECT("Table1[Obergruppe ATC-Code]"),Tabelle3!$A59)</f>
        <v>32</v>
      </c>
      <c r="AN59">
        <f ca="1">COUNTIFS(INDIRECT("Table1[Beginn]"),"&lt;="&amp;AN$1,INDIRECT("Table1[Ende]"),"&gt;="&amp;AN$1,INDIRECT("Table1[Obergruppe ATC-Code]"),Tabelle3!$A59)</f>
        <v>28</v>
      </c>
      <c r="AO59">
        <f ca="1">COUNTIFS(INDIRECT("Table1[Beginn]"),"&lt;="&amp;AO$1,INDIRECT("Table1[Ende]"),"&gt;="&amp;AO$1,INDIRECT("Table1[Obergruppe ATC-Code]"),Tabelle3!$A59)</f>
        <v>35</v>
      </c>
      <c r="AP59">
        <f ca="1">COUNTIFS(INDIRECT("Table1[Beginn]"),"&lt;="&amp;AP$1,INDIRECT("Table1[Ende]"),"&gt;="&amp;AP$1,INDIRECT("Table1[Obergruppe ATC-Code]"),Tabelle3!$A59)</f>
        <v>35</v>
      </c>
      <c r="AQ59">
        <f ca="1">COUNTIFS(INDIRECT("Table1[Beginn]"),"&lt;="&amp;AQ$1,INDIRECT("Table1[Ende]"),"&gt;="&amp;AQ$1,INDIRECT("Table1[Obergruppe ATC-Code]"),Tabelle3!$A59)</f>
        <v>38</v>
      </c>
      <c r="AR59">
        <f ca="1">COUNTIFS(INDIRECT("Table1[Beginn]"),"&lt;="&amp;AR$1,INDIRECT("Table1[Ende]"),"&gt;="&amp;AR$1,INDIRECT("Table1[Obergruppe ATC-Code]"),Tabelle3!$A59)</f>
        <v>36</v>
      </c>
      <c r="AS59">
        <f ca="1">COUNTIFS(INDIRECT("Table1[Beginn]"),"&lt;="&amp;AS$1,INDIRECT("Table1[Ende]"),"&gt;="&amp;AS$1,INDIRECT("Table1[Obergruppe ATC-Code]"),Tabelle3!$A59)</f>
        <v>32</v>
      </c>
      <c r="AT59">
        <f ca="1">COUNTIFS(INDIRECT("Table1[Beginn]"),"&lt;="&amp;AT$1,INDIRECT("Table1[Ende]"),"&gt;="&amp;AT$1,INDIRECT("Table1[Obergruppe ATC-Code]"),Tabelle3!$A59)</f>
        <v>32</v>
      </c>
      <c r="AU59">
        <f ca="1">COUNTIFS(INDIRECT("Table1[Beginn]"),"&lt;="&amp;AU$1,INDIRECT("Table1[Ende]"),"&gt;="&amp;AU$1,INDIRECT("Table1[Obergruppe ATC-Code]"),Tabelle3!$A59)</f>
        <v>34</v>
      </c>
      <c r="AV59">
        <f ca="1">COUNTIFS(INDIRECT("Table1[Beginn]"),"&lt;="&amp;AV$1,INDIRECT("Table1[Ende]"),"&gt;="&amp;AV$1,INDIRECT("Table1[Obergruppe ATC-Code]"),Tabelle3!$A59)</f>
        <v>32</v>
      </c>
      <c r="AW59">
        <f ca="1">COUNTIFS(INDIRECT("Table1[Beginn]"),"&lt;="&amp;AW$1,INDIRECT("Table1[Ende]"),"&gt;="&amp;AW$1,INDIRECT("Table1[Obergruppe ATC-Code]"),Tabelle3!$A59)</f>
        <v>28</v>
      </c>
      <c r="AX59">
        <f ca="1">COUNTIFS(INDIRECT("Table1[Beginn]"),"&lt;="&amp;AX$1,INDIRECT("Table1[Ende]"),"&gt;="&amp;AX$1,INDIRECT("Table1[Obergruppe ATC-Code]"),Tabelle3!$A59)</f>
        <v>25</v>
      </c>
      <c r="AY59">
        <f ca="1">COUNTIFS(INDIRECT("Table1[Beginn]"),"&lt;="&amp;AY$1,INDIRECT("Table1[Ende]"),"&gt;="&amp;AY$1,INDIRECT("Table1[Obergruppe ATC-Code]"),Tabelle3!$A59)</f>
        <v>22</v>
      </c>
      <c r="AZ59">
        <f ca="1">COUNTIFS(INDIRECT("Table1[Beginn]"),"&lt;="&amp;AZ$1,INDIRECT("Table1[Ende]"),"&gt;="&amp;AZ$1,INDIRECT("Table1[Obergruppe ATC-Code]"),Tabelle3!$A59)</f>
        <v>22</v>
      </c>
      <c r="BA59">
        <f ca="1">COUNTIFS(INDIRECT("Table1[Beginn]"),"&lt;="&amp;BA$1,INDIRECT("Table1[Ende]"),"&gt;="&amp;BA$1,INDIRECT("Table1[Obergruppe ATC-Code]"),Tabelle3!$A59)</f>
        <v>27</v>
      </c>
      <c r="BB59">
        <f ca="1">COUNTIFS(INDIRECT("Table1[Beginn]"),"&lt;="&amp;BB$1,INDIRECT("Table1[Ende]"),"&gt;="&amp;BB$1,INDIRECT("Table1[Obergruppe ATC-Code]"),Tabelle3!$A59)</f>
        <v>28</v>
      </c>
      <c r="BC59">
        <f ca="1">COUNTIFS(INDIRECT("Table1[Beginn]"),"&lt;="&amp;BC$1,INDIRECT("Table1[Ende]"),"&gt;="&amp;BC$1,INDIRECT("Table1[Obergruppe ATC-Code]"),Tabelle3!$A59)</f>
        <v>25</v>
      </c>
      <c r="BD59">
        <f ca="1">COUNTIFS(INDIRECT("Table1[Beginn]"),"&lt;="&amp;BD$1,INDIRECT("Table1[Ende]"),"&gt;="&amp;BD$1,INDIRECT("Table1[Obergruppe ATC-Code]"),Tabelle3!$A59)</f>
        <v>23</v>
      </c>
      <c r="BE59">
        <f ca="1">COUNTIFS(INDIRECT("Table1[Beginn]"),"&lt;="&amp;BE$1,INDIRECT("Table1[Ende]"),"&gt;="&amp;BE$1,INDIRECT("Table1[Obergruppe ATC-Code]"),Tabelle3!$A59)</f>
        <v>24</v>
      </c>
      <c r="BF59">
        <f ca="1">COUNTIFS(INDIRECT("Table1[Beginn]"),"&lt;="&amp;BF$1,INDIRECT("Table1[Ende]"),"&gt;="&amp;BF$1,INDIRECT("Table1[Obergruppe ATC-Code]"),Tabelle3!$A59)</f>
        <v>23</v>
      </c>
      <c r="BG59">
        <f ca="1">COUNTIFS(INDIRECT("Table1[Beginn]"),"&lt;="&amp;BG$1,INDIRECT("Table1[Ende]"),"&gt;="&amp;BG$1,INDIRECT("Table1[Obergruppe ATC-Code]"),Tabelle3!$A59)</f>
        <v>26</v>
      </c>
      <c r="BH59">
        <f ca="1">COUNTIFS(INDIRECT("Table1[Beginn]"),"&lt;="&amp;BH$1,INDIRECT("Table1[Ende]"),"&gt;="&amp;BH$1,INDIRECT("Table1[Obergruppe ATC-Code]"),Tabelle3!$A59)</f>
        <v>24</v>
      </c>
      <c r="BI59">
        <f ca="1">COUNTIFS(INDIRECT("Table1[Beginn]"),"&lt;="&amp;BI$1,INDIRECT("Table1[Ende]"),"&gt;="&amp;BI$1,INDIRECT("Table1[Obergruppe ATC-Code]"),Tabelle3!$A59)</f>
        <v>26</v>
      </c>
      <c r="BJ59">
        <f ca="1">COUNTIFS(INDIRECT("Table1[Beginn]"),"&lt;="&amp;BJ$1,INDIRECT("Table1[Ende]"),"&gt;="&amp;BJ$1,INDIRECT("Table1[Obergruppe ATC-Code]"),Tabelle3!$A59)</f>
        <v>25</v>
      </c>
      <c r="BK59">
        <f ca="1">COUNTIFS(INDIRECT("Table1[Beginn]"),"&lt;="&amp;BK$1,INDIRECT("Table1[Ende]"),"&gt;="&amp;BK$1,INDIRECT("Table1[Obergruppe ATC-Code]"),Tabelle3!$A59)</f>
        <v>27</v>
      </c>
      <c r="BL59">
        <f ca="1">COUNTIFS(INDIRECT("Table1[Beginn]"),"&lt;="&amp;BL$1,INDIRECT("Table1[Ende]"),"&gt;="&amp;BL$1,INDIRECT("Table1[Obergruppe ATC-Code]"),Tabelle3!$A59)</f>
        <v>27</v>
      </c>
      <c r="BM59">
        <f ca="1">COUNTIFS(INDIRECT("Table1[Beginn]"),"&lt;="&amp;BM$1,INDIRECT("Table1[Ende]"),"&gt;="&amp;BM$1,INDIRECT("Table1[Obergruppe ATC-Code]"),Tabelle3!$A59)</f>
        <v>25</v>
      </c>
      <c r="BN59">
        <f ca="1">COUNTIFS(INDIRECT("Table1[Beginn]"),"&lt;="&amp;BN$1,INDIRECT("Table1[Ende]"),"&gt;="&amp;BN$1,INDIRECT("Table1[Obergruppe ATC-Code]"),Tabelle3!$A59)</f>
        <v>25</v>
      </c>
      <c r="BO59">
        <f ca="1">COUNTIFS(INDIRECT("Table1[Beginn]"),"&lt;="&amp;BO$1,INDIRECT("Table1[Ende]"),"&gt;="&amp;BO$1,INDIRECT("Table1[Obergruppe ATC-Code]"),Tabelle3!$A59)</f>
        <v>26</v>
      </c>
      <c r="BP59">
        <f ca="1">COUNTIFS(INDIRECT("Table1[Beginn]"),"&lt;="&amp;BP$1,INDIRECT("Table1[Ende]"),"&gt;="&amp;BP$1,INDIRECT("Table1[Obergruppe ATC-Code]"),Tabelle3!$A59)</f>
        <v>19</v>
      </c>
      <c r="BQ59">
        <f ca="1">COUNTIFS(INDIRECT("Table1[Beginn]"),"&lt;="&amp;BQ$1,INDIRECT("Table1[Ende]"),"&gt;="&amp;BQ$1,INDIRECT("Table1[Obergruppe ATC-Code]"),Tabelle3!$A59)</f>
        <v>20</v>
      </c>
      <c r="BR59">
        <f ca="1">COUNTIFS(INDIRECT("Table1[Beginn]"),"&lt;="&amp;BR$1,INDIRECT("Table1[Ende]"),"&gt;="&amp;BR$1,INDIRECT("Table1[Obergruppe ATC-Code]"),Tabelle3!$A59)</f>
        <v>21</v>
      </c>
      <c r="BS59">
        <f ca="1">COUNTIFS(INDIRECT("Table1[Beginn]"),"&lt;="&amp;BS$1,INDIRECT("Table1[Ende]"),"&gt;="&amp;BS$1,INDIRECT("Table1[Obergruppe ATC-Code]"),Tabelle3!$A59)</f>
        <v>20</v>
      </c>
      <c r="BT59">
        <f ca="1">COUNTIFS(INDIRECT("Table1[Beginn]"),"&lt;="&amp;BT$1,INDIRECT("Table1[Ende]"),"&gt;="&amp;BT$1,INDIRECT("Table1[Obergruppe ATC-Code]"),Tabelle3!$A59)</f>
        <v>19</v>
      </c>
      <c r="BU59">
        <f ca="1">COUNTIFS(INDIRECT("Table1[Beginn]"),"&lt;="&amp;BU$1,INDIRECT("Table1[Ende]"),"&gt;="&amp;BU$1,INDIRECT("Table1[Obergruppe ATC-Code]"),Tabelle3!$A59)</f>
        <v>20</v>
      </c>
      <c r="BV59">
        <f ca="1">COUNTIFS(INDIRECT("Table1[Beginn]"),"&lt;="&amp;BV$1,INDIRECT("Table1[Ende]"),"&gt;="&amp;BV$1,INDIRECT("Table1[Obergruppe ATC-Code]"),Tabelle3!$A59)</f>
        <v>22</v>
      </c>
      <c r="BW59">
        <f ca="1">COUNTIFS(INDIRECT("Table1[Beginn]"),"&lt;="&amp;BW$1,INDIRECT("Table1[Ende]"),"&gt;="&amp;BW$1,INDIRECT("Table1[Obergruppe ATC-Code]"),Tabelle3!$A59)</f>
        <v>18</v>
      </c>
      <c r="BX59">
        <f ca="1">COUNTIFS(INDIRECT("Table1[Beginn]"),"&lt;="&amp;BX$1,INDIRECT("Table1[Ende]"),"&gt;="&amp;BX$1,INDIRECT("Table1[Obergruppe ATC-Code]"),Tabelle3!$A59)</f>
        <v>18</v>
      </c>
      <c r="BY59">
        <f ca="1">COUNTIFS(INDIRECT("Table1[Beginn]"),"&lt;="&amp;BY$1,INDIRECT("Table1[Ende]"),"&gt;="&amp;BY$1,INDIRECT("Table1[Obergruppe ATC-Code]"),Tabelle3!$A59)</f>
        <v>15</v>
      </c>
      <c r="BZ59">
        <f ca="1">COUNTIFS(INDIRECT("Table1[Beginn]"),"&lt;="&amp;BZ$1,INDIRECT("Table1[Ende]"),"&gt;="&amp;BZ$1,INDIRECT("Table1[Obergruppe ATC-Code]"),Tabelle3!$A59)</f>
        <v>13</v>
      </c>
      <c r="CA59">
        <f ca="1">COUNTIFS(INDIRECT("Table1[Beginn]"),"&lt;="&amp;CA$1,INDIRECT("Table1[Ende]"),"&gt;="&amp;CA$1,INDIRECT("Table1[Obergruppe ATC-Code]"),Tabelle3!$A59)</f>
        <v>12</v>
      </c>
      <c r="CB59">
        <f ca="1">COUNTIFS(INDIRECT("Table1[Beginn]"),"&lt;="&amp;CB$1,INDIRECT("Table1[Ende]"),"&gt;="&amp;CB$1,INDIRECT("Table1[Obergruppe ATC-Code]"),Tabelle3!$A59)</f>
        <v>17</v>
      </c>
      <c r="CC59">
        <f ca="1">COUNTIFS(INDIRECT("Table1[Beginn]"),"&lt;="&amp;CC$1,INDIRECT("Table1[Ende]"),"&gt;="&amp;CC$1,INDIRECT("Table1[Obergruppe ATC-Code]"),Tabelle3!$A59)</f>
        <v>13</v>
      </c>
      <c r="CD59">
        <f ca="1">COUNTIFS(INDIRECT("Table1[Beginn]"),"&lt;="&amp;CD$1,INDIRECT("Table1[Ende]"),"&gt;="&amp;CD$1,INDIRECT("Table1[Obergruppe ATC-Code]"),Tabelle3!$A59)</f>
        <v>10</v>
      </c>
      <c r="CE59">
        <f ca="1">COUNTIFS(INDIRECT("Table1[Beginn]"),"&lt;="&amp;CE$1,INDIRECT("Table1[Ende]"),"&gt;="&amp;CE$1,INDIRECT("Table1[Obergruppe ATC-Code]"),Tabelle3!$A59)</f>
        <v>11</v>
      </c>
      <c r="CF59">
        <f ca="1">COUNTIFS(INDIRECT("Table1[Beginn]"),"&lt;="&amp;CF$1,INDIRECT("Table1[Ende]"),"&gt;="&amp;CF$1,INDIRECT("Table1[Obergruppe ATC-Code]"),Tabelle3!$A59)</f>
        <v>11</v>
      </c>
      <c r="CG59">
        <f ca="1">COUNTIFS(INDIRECT("Table1[Beginn]"),"&lt;="&amp;CG$1,INDIRECT("Table1[Ende]"),"&gt;="&amp;CG$1,INDIRECT("Table1[Obergruppe ATC-Code]"),Tabelle3!$A59)</f>
        <v>9</v>
      </c>
      <c r="CH59">
        <f ca="1">COUNTIFS(INDIRECT("Table1[Beginn]"),"&lt;="&amp;CH$1,INDIRECT("Table1[Ende]"),"&gt;="&amp;CH$1,INDIRECT("Table1[Obergruppe ATC-Code]"),Tabelle3!$A59)</f>
        <v>9</v>
      </c>
      <c r="CI59">
        <f ca="1">COUNTIFS(INDIRECT("Table1[Beginn]"),"&lt;="&amp;CI$1,INDIRECT("Table1[Ende]"),"&gt;="&amp;CI$1,INDIRECT("Table1[Obergruppe ATC-Code]"),Tabelle3!$A59)</f>
        <v>7</v>
      </c>
      <c r="CJ59">
        <f ca="1">COUNTIFS(INDIRECT("Table1[Beginn]"),"&lt;="&amp;CJ$1,INDIRECT("Table1[Ende]"),"&gt;="&amp;CJ$1,INDIRECT("Table1[Obergruppe ATC-Code]"),Tabelle3!$A59)</f>
        <v>5</v>
      </c>
      <c r="CK59">
        <f ca="1">COUNTIFS(INDIRECT("Table1[Beginn]"),"&lt;="&amp;CK$1,INDIRECT("Table1[Ende]"),"&gt;="&amp;CK$1,INDIRECT("Table1[Obergruppe ATC-Code]"),Tabelle3!$A59)</f>
        <v>5</v>
      </c>
      <c r="CL59">
        <f ca="1">COUNTIFS(INDIRECT("Table1[Beginn]"),"&lt;="&amp;CL$1,INDIRECT("Table1[Ende]"),"&gt;="&amp;CL$1,INDIRECT("Table1[Obergruppe ATC-Code]"),Tabelle3!$A59)</f>
        <v>3</v>
      </c>
      <c r="CM59">
        <f ca="1">COUNTIFS(INDIRECT("Table1[Beginn]"),"&lt;="&amp;CM$1,INDIRECT("Table1[Ende]"),"&gt;="&amp;CM$1,INDIRECT("Table1[Obergruppe ATC-Code]"),Tabelle3!$A59)</f>
        <v>1</v>
      </c>
      <c r="CN59">
        <f ca="1">COUNTIFS(INDIRECT("Table1[Beginn]"),"&lt;="&amp;CN$1,INDIRECT("Table1[Ende]"),"&gt;="&amp;CN$1,INDIRECT("Table1[Obergruppe ATC-Code]"),Tabelle3!$A59)</f>
        <v>1</v>
      </c>
      <c r="CO59">
        <f ca="1">COUNTIFS(INDIRECT("Table1[Beginn]"),"&lt;="&amp;CO$1,INDIRECT("Table1[Ende]"),"&gt;="&amp;CO$1,INDIRECT("Table1[Obergruppe ATC-Code]"),Tabelle3!$A59)</f>
        <v>1</v>
      </c>
      <c r="CP59">
        <f ca="1">COUNTIFS(INDIRECT("Table1[Beginn]"),"&lt;="&amp;CP$1,INDIRECT("Table1[Ende]"),"&gt;="&amp;CP$1,INDIRECT("Table1[Obergruppe ATC-Code]"),Tabelle3!$A59)</f>
        <v>1</v>
      </c>
      <c r="CQ59">
        <f ca="1">COUNTIFS(INDIRECT("Table1[Beginn]"),"&lt;="&amp;CQ$1,INDIRECT("Table1[Ende]"),"&gt;="&amp;CQ$1,INDIRECT("Table1[Obergruppe ATC-Code]"),Tabelle3!$A59)</f>
        <v>1</v>
      </c>
      <c r="CR59">
        <f ca="1">COUNTIFS(INDIRECT("Table1[Beginn]"),"&lt;="&amp;CR$1,INDIRECT("Table1[Ende]"),"&gt;="&amp;CR$1,INDIRECT("Table1[Obergruppe ATC-Code]"),Tabelle3!$A59)</f>
        <v>0</v>
      </c>
      <c r="CS59">
        <f ca="1">COUNTIFS(INDIRECT("Table1[Beginn]"),"&lt;="&amp;CS$1,INDIRECT("Table1[Ende]"),"&gt;="&amp;CS$1,INDIRECT("Table1[Obergruppe ATC-Code]"),Tabelle3!$A59)</f>
        <v>0</v>
      </c>
      <c r="CT59">
        <f ca="1">COUNTIFS(INDIRECT("Table1[Beginn]"),"&lt;="&amp;CT$1,INDIRECT("Table1[Ende]"),"&gt;="&amp;CT$1,INDIRECT("Table1[Obergruppe ATC-Code]"),Tabelle3!$A59)</f>
        <v>0</v>
      </c>
    </row>
    <row r="60" spans="1:112" ht="18">
      <c r="A60" s="7" t="s">
        <v>6889</v>
      </c>
      <c r="B60" s="8" t="s">
        <v>6890</v>
      </c>
      <c r="C60">
        <f ca="1">COUNTIFS(INDIRECT("Table1[Beginn]"),"&lt;="&amp;C$1,INDIRECT("Table1[Ende]"),"&gt;="&amp;C$1,INDIRECT("Table1[Obergruppe ATC-Code]"),Tabelle3!$A60)</f>
        <v>0</v>
      </c>
      <c r="D60">
        <f ca="1">COUNTIFS(INDIRECT("Table1[Beginn]"),"&lt;="&amp;D$1,INDIRECT("Table1[Ende]"),"&gt;="&amp;D$1,INDIRECT("Table1[Obergruppe ATC-Code]"),Tabelle3!$A60)</f>
        <v>0</v>
      </c>
      <c r="E60">
        <f ca="1">COUNTIFS(INDIRECT("Table1[Beginn]"),"&lt;="&amp;E$1,INDIRECT("Table1[Ende]"),"&gt;="&amp;E$1,INDIRECT("Table1[Obergruppe ATC-Code]"),Tabelle3!$A60)</f>
        <v>0</v>
      </c>
      <c r="F60">
        <f ca="1">COUNTIFS(INDIRECT("Table1[Beginn]"),"&lt;="&amp;F$1,INDIRECT("Table1[Ende]"),"&gt;="&amp;F$1,INDIRECT("Table1[Obergruppe ATC-Code]"),Tabelle3!$A60)</f>
        <v>0</v>
      </c>
      <c r="G60">
        <f ca="1">COUNTIFS(INDIRECT("Table1[Beginn]"),"&lt;="&amp;G$1,INDIRECT("Table1[Ende]"),"&gt;="&amp;G$1,INDIRECT("Table1[Obergruppe ATC-Code]"),Tabelle3!$A60)</f>
        <v>0</v>
      </c>
      <c r="H60">
        <f ca="1">COUNTIFS(INDIRECT("Table1[Beginn]"),"&lt;="&amp;H$1,INDIRECT("Table1[Ende]"),"&gt;="&amp;H$1,INDIRECT("Table1[Obergruppe ATC-Code]"),Tabelle3!$A60)</f>
        <v>0</v>
      </c>
      <c r="I60">
        <f ca="1">COUNTIFS(INDIRECT("Table1[Beginn]"),"&lt;="&amp;I$1,INDIRECT("Table1[Ende]"),"&gt;="&amp;I$1,INDIRECT("Table1[Obergruppe ATC-Code]"),Tabelle3!$A60)</f>
        <v>0</v>
      </c>
      <c r="J60">
        <f ca="1">COUNTIFS(INDIRECT("Table1[Beginn]"),"&lt;="&amp;J$1,INDIRECT("Table1[Ende]"),"&gt;="&amp;J$1,INDIRECT("Table1[Obergruppe ATC-Code]"),Tabelle3!$A60)</f>
        <v>0</v>
      </c>
      <c r="K60">
        <f ca="1">COUNTIFS(INDIRECT("Table1[Beginn]"),"&lt;="&amp;K$1,INDIRECT("Table1[Ende]"),"&gt;="&amp;K$1,INDIRECT("Table1[Obergruppe ATC-Code]"),Tabelle3!$A60)</f>
        <v>0</v>
      </c>
      <c r="L60">
        <f ca="1">COUNTIFS(INDIRECT("Table1[Beginn]"),"&lt;="&amp;L$1,INDIRECT("Table1[Ende]"),"&gt;="&amp;L$1,INDIRECT("Table1[Obergruppe ATC-Code]"),Tabelle3!$A60)</f>
        <v>0</v>
      </c>
      <c r="M60">
        <f ca="1">COUNTIFS(INDIRECT("Table1[Beginn]"),"&lt;="&amp;M$1,INDIRECT("Table1[Ende]"),"&gt;="&amp;M$1,INDIRECT("Table1[Obergruppe ATC-Code]"),Tabelle3!$A60)</f>
        <v>0</v>
      </c>
      <c r="N60">
        <f ca="1">COUNTIFS(INDIRECT("Table1[Beginn]"),"&lt;="&amp;N$1,INDIRECT("Table1[Ende]"),"&gt;="&amp;N$1,INDIRECT("Table1[Obergruppe ATC-Code]"),Tabelle3!$A60)</f>
        <v>0</v>
      </c>
      <c r="O60">
        <f ca="1">COUNTIFS(INDIRECT("Table1[Beginn]"),"&lt;="&amp;O$1,INDIRECT("Table1[Ende]"),"&gt;="&amp;O$1,INDIRECT("Table1[Obergruppe ATC-Code]"),Tabelle3!$A60)</f>
        <v>0</v>
      </c>
      <c r="P60">
        <f ca="1">COUNTIFS(INDIRECT("Table1[Beginn]"),"&lt;="&amp;P$1,INDIRECT("Table1[Ende]"),"&gt;="&amp;P$1,INDIRECT("Table1[Obergruppe ATC-Code]"),Tabelle3!$A60)</f>
        <v>0</v>
      </c>
      <c r="Q60">
        <f ca="1">COUNTIFS(INDIRECT("Table1[Beginn]"),"&lt;="&amp;Q$1,INDIRECT("Table1[Ende]"),"&gt;="&amp;Q$1,INDIRECT("Table1[Obergruppe ATC-Code]"),Tabelle3!$A60)</f>
        <v>0</v>
      </c>
      <c r="R60">
        <f ca="1">COUNTIFS(INDIRECT("Table1[Beginn]"),"&lt;="&amp;R$1,INDIRECT("Table1[Ende]"),"&gt;="&amp;R$1,INDIRECT("Table1[Obergruppe ATC-Code]"),Tabelle3!$A60)</f>
        <v>0</v>
      </c>
      <c r="S60">
        <f ca="1">COUNTIFS(INDIRECT("Table1[Beginn]"),"&lt;="&amp;S$1,INDIRECT("Table1[Ende]"),"&gt;="&amp;S$1,INDIRECT("Table1[Obergruppe ATC-Code]"),Tabelle3!$A60)</f>
        <v>0</v>
      </c>
      <c r="T60">
        <f ca="1">COUNTIFS(INDIRECT("Table1[Beginn]"),"&lt;="&amp;T$1,INDIRECT("Table1[Ende]"),"&gt;="&amp;T$1,INDIRECT("Table1[Obergruppe ATC-Code]"),Tabelle3!$A60)</f>
        <v>0</v>
      </c>
      <c r="U60">
        <f ca="1">COUNTIFS(INDIRECT("Table1[Beginn]"),"&lt;="&amp;U$1,INDIRECT("Table1[Ende]"),"&gt;="&amp;U$1,INDIRECT("Table1[Obergruppe ATC-Code]"),Tabelle3!$A60)</f>
        <v>0</v>
      </c>
      <c r="V60">
        <f ca="1">COUNTIFS(INDIRECT("Table1[Beginn]"),"&lt;="&amp;V$1,INDIRECT("Table1[Ende]"),"&gt;="&amp;V$1,INDIRECT("Table1[Obergruppe ATC-Code]"),Tabelle3!$A60)</f>
        <v>0</v>
      </c>
      <c r="W60">
        <f ca="1">COUNTIFS(INDIRECT("Table1[Beginn]"),"&lt;="&amp;W$1,INDIRECT("Table1[Ende]"),"&gt;="&amp;W$1,INDIRECT("Table1[Obergruppe ATC-Code]"),Tabelle3!$A60)</f>
        <v>1</v>
      </c>
      <c r="X60">
        <f ca="1">COUNTIFS(INDIRECT("Table1[Beginn]"),"&lt;="&amp;X$1,INDIRECT("Table1[Ende]"),"&gt;="&amp;X$1,INDIRECT("Table1[Obergruppe ATC-Code]"),Tabelle3!$A60)</f>
        <v>1</v>
      </c>
      <c r="Y60">
        <f ca="1">COUNTIFS(INDIRECT("Table1[Beginn]"),"&lt;="&amp;Y$1,INDIRECT("Table1[Ende]"),"&gt;="&amp;Y$1,INDIRECT("Table1[Obergruppe ATC-Code]"),Tabelle3!$A60)</f>
        <v>1</v>
      </c>
      <c r="Z60">
        <f ca="1">COUNTIFS(INDIRECT("Table1[Beginn]"),"&lt;="&amp;Z$1,INDIRECT("Table1[Ende]"),"&gt;="&amp;Z$1,INDIRECT("Table1[Obergruppe ATC-Code]"),Tabelle3!$A60)</f>
        <v>1</v>
      </c>
      <c r="AA60">
        <f ca="1">COUNTIFS(INDIRECT("Table1[Beginn]"),"&lt;="&amp;AA$1,INDIRECT("Table1[Ende]"),"&gt;="&amp;AA$1,INDIRECT("Table1[Obergruppe ATC-Code]"),Tabelle3!$A60)</f>
        <v>1</v>
      </c>
      <c r="AB60">
        <f ca="1">COUNTIFS(INDIRECT("Table1[Beginn]"),"&lt;="&amp;AB$1,INDIRECT("Table1[Ende]"),"&gt;="&amp;AB$1,INDIRECT("Table1[Obergruppe ATC-Code]"),Tabelle3!$A60)</f>
        <v>1</v>
      </c>
      <c r="AC60">
        <f ca="1">COUNTIFS(INDIRECT("Table1[Beginn]"),"&lt;="&amp;AC$1,INDIRECT("Table1[Ende]"),"&gt;="&amp;AC$1,INDIRECT("Table1[Obergruppe ATC-Code]"),Tabelle3!$A60)</f>
        <v>1</v>
      </c>
      <c r="AD60">
        <f ca="1">COUNTIFS(INDIRECT("Table1[Beginn]"),"&lt;="&amp;AD$1,INDIRECT("Table1[Ende]"),"&gt;="&amp;AD$1,INDIRECT("Table1[Obergruppe ATC-Code]"),Tabelle3!$A60)</f>
        <v>1</v>
      </c>
      <c r="AE60">
        <f ca="1">COUNTIFS(INDIRECT("Table1[Beginn]"),"&lt;="&amp;AE$1,INDIRECT("Table1[Ende]"),"&gt;="&amp;AE$1,INDIRECT("Table1[Obergruppe ATC-Code]"),Tabelle3!$A60)</f>
        <v>1</v>
      </c>
      <c r="AF60">
        <f ca="1">COUNTIFS(INDIRECT("Table1[Beginn]"),"&lt;="&amp;AF$1,INDIRECT("Table1[Ende]"),"&gt;="&amp;AF$1,INDIRECT("Table1[Obergruppe ATC-Code]"),Tabelle3!$A60)</f>
        <v>1</v>
      </c>
      <c r="AG60">
        <f ca="1">COUNTIFS(INDIRECT("Table1[Beginn]"),"&lt;="&amp;AG$1,INDIRECT("Table1[Ende]"),"&gt;="&amp;AG$1,INDIRECT("Table1[Obergruppe ATC-Code]"),Tabelle3!$A60)</f>
        <v>1</v>
      </c>
      <c r="AH60">
        <f ca="1">COUNTIFS(INDIRECT("Table1[Beginn]"),"&lt;="&amp;AH$1,INDIRECT("Table1[Ende]"),"&gt;="&amp;AH$1,INDIRECT("Table1[Obergruppe ATC-Code]"),Tabelle3!$A60)</f>
        <v>0</v>
      </c>
      <c r="AI60">
        <f ca="1">COUNTIFS(INDIRECT("Table1[Beginn]"),"&lt;="&amp;AI$1,INDIRECT("Table1[Ende]"),"&gt;="&amp;AI$1,INDIRECT("Table1[Obergruppe ATC-Code]"),Tabelle3!$A60)</f>
        <v>0</v>
      </c>
      <c r="AJ60">
        <f ca="1">COUNTIFS(INDIRECT("Table1[Beginn]"),"&lt;="&amp;AJ$1,INDIRECT("Table1[Ende]"),"&gt;="&amp;AJ$1,INDIRECT("Table1[Obergruppe ATC-Code]"),Tabelle3!$A60)</f>
        <v>0</v>
      </c>
      <c r="AK60">
        <f ca="1">COUNTIFS(INDIRECT("Table1[Beginn]"),"&lt;="&amp;AK$1,INDIRECT("Table1[Ende]"),"&gt;="&amp;AK$1,INDIRECT("Table1[Obergruppe ATC-Code]"),Tabelle3!$A60)</f>
        <v>0</v>
      </c>
      <c r="AL60">
        <f ca="1">COUNTIFS(INDIRECT("Table1[Beginn]"),"&lt;="&amp;AL$1,INDIRECT("Table1[Ende]"),"&gt;="&amp;AL$1,INDIRECT("Table1[Obergruppe ATC-Code]"),Tabelle3!$A60)</f>
        <v>0</v>
      </c>
      <c r="AM60">
        <f ca="1">COUNTIFS(INDIRECT("Table1[Beginn]"),"&lt;="&amp;AM$1,INDIRECT("Table1[Ende]"),"&gt;="&amp;AM$1,INDIRECT("Table1[Obergruppe ATC-Code]"),Tabelle3!$A60)</f>
        <v>2</v>
      </c>
      <c r="AN60">
        <f ca="1">COUNTIFS(INDIRECT("Table1[Beginn]"),"&lt;="&amp;AN$1,INDIRECT("Table1[Ende]"),"&gt;="&amp;AN$1,INDIRECT("Table1[Obergruppe ATC-Code]"),Tabelle3!$A60)</f>
        <v>2</v>
      </c>
      <c r="AO60">
        <f ca="1">COUNTIFS(INDIRECT("Table1[Beginn]"),"&lt;="&amp;AO$1,INDIRECT("Table1[Ende]"),"&gt;="&amp;AO$1,INDIRECT("Table1[Obergruppe ATC-Code]"),Tabelle3!$A60)</f>
        <v>4</v>
      </c>
      <c r="AP60">
        <f ca="1">COUNTIFS(INDIRECT("Table1[Beginn]"),"&lt;="&amp;AP$1,INDIRECT("Table1[Ende]"),"&gt;="&amp;AP$1,INDIRECT("Table1[Obergruppe ATC-Code]"),Tabelle3!$A60)</f>
        <v>4</v>
      </c>
      <c r="AQ60">
        <f ca="1">COUNTIFS(INDIRECT("Table1[Beginn]"),"&lt;="&amp;AQ$1,INDIRECT("Table1[Ende]"),"&gt;="&amp;AQ$1,INDIRECT("Table1[Obergruppe ATC-Code]"),Tabelle3!$A60)</f>
        <v>2</v>
      </c>
      <c r="AR60">
        <f ca="1">COUNTIFS(INDIRECT("Table1[Beginn]"),"&lt;="&amp;AR$1,INDIRECT("Table1[Ende]"),"&gt;="&amp;AR$1,INDIRECT("Table1[Obergruppe ATC-Code]"),Tabelle3!$A60)</f>
        <v>2</v>
      </c>
      <c r="AS60">
        <f ca="1">COUNTIFS(INDIRECT("Table1[Beginn]"),"&lt;="&amp;AS$1,INDIRECT("Table1[Ende]"),"&gt;="&amp;AS$1,INDIRECT("Table1[Obergruppe ATC-Code]"),Tabelle3!$A60)</f>
        <v>2</v>
      </c>
      <c r="AT60">
        <f ca="1">COUNTIFS(INDIRECT("Table1[Beginn]"),"&lt;="&amp;AT$1,INDIRECT("Table1[Ende]"),"&gt;="&amp;AT$1,INDIRECT("Table1[Obergruppe ATC-Code]"),Tabelle3!$A60)</f>
        <v>2</v>
      </c>
      <c r="AU60">
        <f ca="1">COUNTIFS(INDIRECT("Table1[Beginn]"),"&lt;="&amp;AU$1,INDIRECT("Table1[Ende]"),"&gt;="&amp;AU$1,INDIRECT("Table1[Obergruppe ATC-Code]"),Tabelle3!$A60)</f>
        <v>2</v>
      </c>
      <c r="AV60">
        <f ca="1">COUNTIFS(INDIRECT("Table1[Beginn]"),"&lt;="&amp;AV$1,INDIRECT("Table1[Ende]"),"&gt;="&amp;AV$1,INDIRECT("Table1[Obergruppe ATC-Code]"),Tabelle3!$A60)</f>
        <v>3</v>
      </c>
      <c r="AW60">
        <f ca="1">COUNTIFS(INDIRECT("Table1[Beginn]"),"&lt;="&amp;AW$1,INDIRECT("Table1[Ende]"),"&gt;="&amp;AW$1,INDIRECT("Table1[Obergruppe ATC-Code]"),Tabelle3!$A60)</f>
        <v>3</v>
      </c>
      <c r="AX60">
        <f ca="1">COUNTIFS(INDIRECT("Table1[Beginn]"),"&lt;="&amp;AX$1,INDIRECT("Table1[Ende]"),"&gt;="&amp;AX$1,INDIRECT("Table1[Obergruppe ATC-Code]"),Tabelle3!$A60)</f>
        <v>3</v>
      </c>
      <c r="AY60">
        <f ca="1">COUNTIFS(INDIRECT("Table1[Beginn]"),"&lt;="&amp;AY$1,INDIRECT("Table1[Ende]"),"&gt;="&amp;AY$1,INDIRECT("Table1[Obergruppe ATC-Code]"),Tabelle3!$A60)</f>
        <v>2</v>
      </c>
      <c r="AZ60">
        <f ca="1">COUNTIFS(INDIRECT("Table1[Beginn]"),"&lt;="&amp;AZ$1,INDIRECT("Table1[Ende]"),"&gt;="&amp;AZ$1,INDIRECT("Table1[Obergruppe ATC-Code]"),Tabelle3!$A60)</f>
        <v>2</v>
      </c>
      <c r="BA60">
        <f ca="1">COUNTIFS(INDIRECT("Table1[Beginn]"),"&lt;="&amp;BA$1,INDIRECT("Table1[Ende]"),"&gt;="&amp;BA$1,INDIRECT("Table1[Obergruppe ATC-Code]"),Tabelle3!$A60)</f>
        <v>1</v>
      </c>
      <c r="BB60">
        <f ca="1">COUNTIFS(INDIRECT("Table1[Beginn]"),"&lt;="&amp;BB$1,INDIRECT("Table1[Ende]"),"&gt;="&amp;BB$1,INDIRECT("Table1[Obergruppe ATC-Code]"),Tabelle3!$A60)</f>
        <v>1</v>
      </c>
      <c r="BC60">
        <f ca="1">COUNTIFS(INDIRECT("Table1[Beginn]"),"&lt;="&amp;BC$1,INDIRECT("Table1[Ende]"),"&gt;="&amp;BC$1,INDIRECT("Table1[Obergruppe ATC-Code]"),Tabelle3!$A60)</f>
        <v>1</v>
      </c>
      <c r="BD60">
        <f ca="1">COUNTIFS(INDIRECT("Table1[Beginn]"),"&lt;="&amp;BD$1,INDIRECT("Table1[Ende]"),"&gt;="&amp;BD$1,INDIRECT("Table1[Obergruppe ATC-Code]"),Tabelle3!$A60)</f>
        <v>1</v>
      </c>
      <c r="BE60">
        <f ca="1">COUNTIFS(INDIRECT("Table1[Beginn]"),"&lt;="&amp;BE$1,INDIRECT("Table1[Ende]"),"&gt;="&amp;BE$1,INDIRECT("Table1[Obergruppe ATC-Code]"),Tabelle3!$A60)</f>
        <v>1</v>
      </c>
      <c r="BF60">
        <f ca="1">COUNTIFS(INDIRECT("Table1[Beginn]"),"&lt;="&amp;BF$1,INDIRECT("Table1[Ende]"),"&gt;="&amp;BF$1,INDIRECT("Table1[Obergruppe ATC-Code]"),Tabelle3!$A60)</f>
        <v>3</v>
      </c>
      <c r="BG60">
        <f ca="1">COUNTIFS(INDIRECT("Table1[Beginn]"),"&lt;="&amp;BG$1,INDIRECT("Table1[Ende]"),"&gt;="&amp;BG$1,INDIRECT("Table1[Obergruppe ATC-Code]"),Tabelle3!$A60)</f>
        <v>5</v>
      </c>
      <c r="BH60">
        <f ca="1">COUNTIFS(INDIRECT("Table1[Beginn]"),"&lt;="&amp;BH$1,INDIRECT("Table1[Ende]"),"&gt;="&amp;BH$1,INDIRECT("Table1[Obergruppe ATC-Code]"),Tabelle3!$A60)</f>
        <v>5</v>
      </c>
      <c r="BI60">
        <f ca="1">COUNTIFS(INDIRECT("Table1[Beginn]"),"&lt;="&amp;BI$1,INDIRECT("Table1[Ende]"),"&gt;="&amp;BI$1,INDIRECT("Table1[Obergruppe ATC-Code]"),Tabelle3!$A60)</f>
        <v>7</v>
      </c>
      <c r="BJ60">
        <f ca="1">COUNTIFS(INDIRECT("Table1[Beginn]"),"&lt;="&amp;BJ$1,INDIRECT("Table1[Ende]"),"&gt;="&amp;BJ$1,INDIRECT("Table1[Obergruppe ATC-Code]"),Tabelle3!$A60)</f>
        <v>6</v>
      </c>
      <c r="BK60">
        <f ca="1">COUNTIFS(INDIRECT("Table1[Beginn]"),"&lt;="&amp;BK$1,INDIRECT("Table1[Ende]"),"&gt;="&amp;BK$1,INDIRECT("Table1[Obergruppe ATC-Code]"),Tabelle3!$A60)</f>
        <v>6</v>
      </c>
      <c r="BL60">
        <f ca="1">COUNTIFS(INDIRECT("Table1[Beginn]"),"&lt;="&amp;BL$1,INDIRECT("Table1[Ende]"),"&gt;="&amp;BL$1,INDIRECT("Table1[Obergruppe ATC-Code]"),Tabelle3!$A60)</f>
        <v>10</v>
      </c>
      <c r="BM60">
        <f ca="1">COUNTIFS(INDIRECT("Table1[Beginn]"),"&lt;="&amp;BM$1,INDIRECT("Table1[Ende]"),"&gt;="&amp;BM$1,INDIRECT("Table1[Obergruppe ATC-Code]"),Tabelle3!$A60)</f>
        <v>14</v>
      </c>
      <c r="BN60">
        <f ca="1">COUNTIFS(INDIRECT("Table1[Beginn]"),"&lt;="&amp;BN$1,INDIRECT("Table1[Ende]"),"&gt;="&amp;BN$1,INDIRECT("Table1[Obergruppe ATC-Code]"),Tabelle3!$A60)</f>
        <v>14</v>
      </c>
      <c r="BO60">
        <f ca="1">COUNTIFS(INDIRECT("Table1[Beginn]"),"&lt;="&amp;BO$1,INDIRECT("Table1[Ende]"),"&gt;="&amp;BO$1,INDIRECT("Table1[Obergruppe ATC-Code]"),Tabelle3!$A60)</f>
        <v>13</v>
      </c>
      <c r="BP60">
        <f ca="1">COUNTIFS(INDIRECT("Table1[Beginn]"),"&lt;="&amp;BP$1,INDIRECT("Table1[Ende]"),"&gt;="&amp;BP$1,INDIRECT("Table1[Obergruppe ATC-Code]"),Tabelle3!$A60)</f>
        <v>13</v>
      </c>
      <c r="BQ60">
        <f ca="1">COUNTIFS(INDIRECT("Table1[Beginn]"),"&lt;="&amp;BQ$1,INDIRECT("Table1[Ende]"),"&gt;="&amp;BQ$1,INDIRECT("Table1[Obergruppe ATC-Code]"),Tabelle3!$A60)</f>
        <v>12</v>
      </c>
      <c r="BR60">
        <f ca="1">COUNTIFS(INDIRECT("Table1[Beginn]"),"&lt;="&amp;BR$1,INDIRECT("Table1[Ende]"),"&gt;="&amp;BR$1,INDIRECT("Table1[Obergruppe ATC-Code]"),Tabelle3!$A60)</f>
        <v>13</v>
      </c>
      <c r="BS60">
        <f ca="1">COUNTIFS(INDIRECT("Table1[Beginn]"),"&lt;="&amp;BS$1,INDIRECT("Table1[Ende]"),"&gt;="&amp;BS$1,INDIRECT("Table1[Obergruppe ATC-Code]"),Tabelle3!$A60)</f>
        <v>12</v>
      </c>
      <c r="BT60">
        <f ca="1">COUNTIFS(INDIRECT("Table1[Beginn]"),"&lt;="&amp;BT$1,INDIRECT("Table1[Ende]"),"&gt;="&amp;BT$1,INDIRECT("Table1[Obergruppe ATC-Code]"),Tabelle3!$A60)</f>
        <v>9</v>
      </c>
      <c r="BU60">
        <f ca="1">COUNTIFS(INDIRECT("Table1[Beginn]"),"&lt;="&amp;BU$1,INDIRECT("Table1[Ende]"),"&gt;="&amp;BU$1,INDIRECT("Table1[Obergruppe ATC-Code]"),Tabelle3!$A60)</f>
        <v>8</v>
      </c>
      <c r="BV60">
        <f ca="1">COUNTIFS(INDIRECT("Table1[Beginn]"),"&lt;="&amp;BV$1,INDIRECT("Table1[Ende]"),"&gt;="&amp;BV$1,INDIRECT("Table1[Obergruppe ATC-Code]"),Tabelle3!$A60)</f>
        <v>8</v>
      </c>
      <c r="BW60">
        <f ca="1">COUNTIFS(INDIRECT("Table1[Beginn]"),"&lt;="&amp;BW$1,INDIRECT("Table1[Ende]"),"&gt;="&amp;BW$1,INDIRECT("Table1[Obergruppe ATC-Code]"),Tabelle3!$A60)</f>
        <v>6</v>
      </c>
      <c r="BX60">
        <f ca="1">COUNTIFS(INDIRECT("Table1[Beginn]"),"&lt;="&amp;BX$1,INDIRECT("Table1[Ende]"),"&gt;="&amp;BX$1,INDIRECT("Table1[Obergruppe ATC-Code]"),Tabelle3!$A60)</f>
        <v>6</v>
      </c>
      <c r="BY60">
        <f ca="1">COUNTIFS(INDIRECT("Table1[Beginn]"),"&lt;="&amp;BY$1,INDIRECT("Table1[Ende]"),"&gt;="&amp;BY$1,INDIRECT("Table1[Obergruppe ATC-Code]"),Tabelle3!$A60)</f>
        <v>7</v>
      </c>
      <c r="BZ60">
        <f ca="1">COUNTIFS(INDIRECT("Table1[Beginn]"),"&lt;="&amp;BZ$1,INDIRECT("Table1[Ende]"),"&gt;="&amp;BZ$1,INDIRECT("Table1[Obergruppe ATC-Code]"),Tabelle3!$A60)</f>
        <v>5</v>
      </c>
      <c r="CA60">
        <f ca="1">COUNTIFS(INDIRECT("Table1[Beginn]"),"&lt;="&amp;CA$1,INDIRECT("Table1[Ende]"),"&gt;="&amp;CA$1,INDIRECT("Table1[Obergruppe ATC-Code]"),Tabelle3!$A60)</f>
        <v>4</v>
      </c>
      <c r="CB60">
        <f ca="1">COUNTIFS(INDIRECT("Table1[Beginn]"),"&lt;="&amp;CB$1,INDIRECT("Table1[Ende]"),"&gt;="&amp;CB$1,INDIRECT("Table1[Obergruppe ATC-Code]"),Tabelle3!$A60)</f>
        <v>3</v>
      </c>
      <c r="CC60">
        <f ca="1">COUNTIFS(INDIRECT("Table1[Beginn]"),"&lt;="&amp;CC$1,INDIRECT("Table1[Ende]"),"&gt;="&amp;CC$1,INDIRECT("Table1[Obergruppe ATC-Code]"),Tabelle3!$A60)</f>
        <v>3</v>
      </c>
      <c r="CD60">
        <f ca="1">COUNTIFS(INDIRECT("Table1[Beginn]"),"&lt;="&amp;CD$1,INDIRECT("Table1[Ende]"),"&gt;="&amp;CD$1,INDIRECT("Table1[Obergruppe ATC-Code]"),Tabelle3!$A60)</f>
        <v>2</v>
      </c>
      <c r="CE60">
        <f ca="1">COUNTIFS(INDIRECT("Table1[Beginn]"),"&lt;="&amp;CE$1,INDIRECT("Table1[Ende]"),"&gt;="&amp;CE$1,INDIRECT("Table1[Obergruppe ATC-Code]"),Tabelle3!$A60)</f>
        <v>2</v>
      </c>
      <c r="CF60">
        <f ca="1">COUNTIFS(INDIRECT("Table1[Beginn]"),"&lt;="&amp;CF$1,INDIRECT("Table1[Ende]"),"&gt;="&amp;CF$1,INDIRECT("Table1[Obergruppe ATC-Code]"),Tabelle3!$A60)</f>
        <v>3</v>
      </c>
      <c r="CG60">
        <f ca="1">COUNTIFS(INDIRECT("Table1[Beginn]"),"&lt;="&amp;CG$1,INDIRECT("Table1[Ende]"),"&gt;="&amp;CG$1,INDIRECT("Table1[Obergruppe ATC-Code]"),Tabelle3!$A60)</f>
        <v>3</v>
      </c>
      <c r="CH60">
        <f ca="1">COUNTIFS(INDIRECT("Table1[Beginn]"),"&lt;="&amp;CH$1,INDIRECT("Table1[Ende]"),"&gt;="&amp;CH$1,INDIRECT("Table1[Obergruppe ATC-Code]"),Tabelle3!$A60)</f>
        <v>2</v>
      </c>
      <c r="CI60">
        <f ca="1">COUNTIFS(INDIRECT("Table1[Beginn]"),"&lt;="&amp;CI$1,INDIRECT("Table1[Ende]"),"&gt;="&amp;CI$1,INDIRECT("Table1[Obergruppe ATC-Code]"),Tabelle3!$A60)</f>
        <v>2</v>
      </c>
      <c r="CJ60">
        <f ca="1">COUNTIFS(INDIRECT("Table1[Beginn]"),"&lt;="&amp;CJ$1,INDIRECT("Table1[Ende]"),"&gt;="&amp;CJ$1,INDIRECT("Table1[Obergruppe ATC-Code]"),Tabelle3!$A60)</f>
        <v>2</v>
      </c>
      <c r="CK60">
        <f ca="1">COUNTIFS(INDIRECT("Table1[Beginn]"),"&lt;="&amp;CK$1,INDIRECT("Table1[Ende]"),"&gt;="&amp;CK$1,INDIRECT("Table1[Obergruppe ATC-Code]"),Tabelle3!$A60)</f>
        <v>2</v>
      </c>
      <c r="CL60">
        <f ca="1">COUNTIFS(INDIRECT("Table1[Beginn]"),"&lt;="&amp;CL$1,INDIRECT("Table1[Ende]"),"&gt;="&amp;CL$1,INDIRECT("Table1[Obergruppe ATC-Code]"),Tabelle3!$A60)</f>
        <v>2</v>
      </c>
      <c r="CM60">
        <f ca="1">COUNTIFS(INDIRECT("Table1[Beginn]"),"&lt;="&amp;CM$1,INDIRECT("Table1[Ende]"),"&gt;="&amp;CM$1,INDIRECT("Table1[Obergruppe ATC-Code]"),Tabelle3!$A60)</f>
        <v>2</v>
      </c>
      <c r="CN60">
        <f ca="1">COUNTIFS(INDIRECT("Table1[Beginn]"),"&lt;="&amp;CN$1,INDIRECT("Table1[Ende]"),"&gt;="&amp;CN$1,INDIRECT("Table1[Obergruppe ATC-Code]"),Tabelle3!$A60)</f>
        <v>2</v>
      </c>
      <c r="CO60">
        <f ca="1">COUNTIFS(INDIRECT("Table1[Beginn]"),"&lt;="&amp;CO$1,INDIRECT("Table1[Ende]"),"&gt;="&amp;CO$1,INDIRECT("Table1[Obergruppe ATC-Code]"),Tabelle3!$A60)</f>
        <v>2</v>
      </c>
      <c r="CP60">
        <f ca="1">COUNTIFS(INDIRECT("Table1[Beginn]"),"&lt;="&amp;CP$1,INDIRECT("Table1[Ende]"),"&gt;="&amp;CP$1,INDIRECT("Table1[Obergruppe ATC-Code]"),Tabelle3!$A60)</f>
        <v>2</v>
      </c>
      <c r="CQ60">
        <f ca="1">COUNTIFS(INDIRECT("Table1[Beginn]"),"&lt;="&amp;CQ$1,INDIRECT("Table1[Ende]"),"&gt;="&amp;CQ$1,INDIRECT("Table1[Obergruppe ATC-Code]"),Tabelle3!$A60)</f>
        <v>2</v>
      </c>
      <c r="CR60">
        <f ca="1">COUNTIFS(INDIRECT("Table1[Beginn]"),"&lt;="&amp;CR$1,INDIRECT("Table1[Ende]"),"&gt;="&amp;CR$1,INDIRECT("Table1[Obergruppe ATC-Code]"),Tabelle3!$A60)</f>
        <v>2</v>
      </c>
      <c r="CS60">
        <f ca="1">COUNTIFS(INDIRECT("Table1[Beginn]"),"&lt;="&amp;CS$1,INDIRECT("Table1[Ende]"),"&gt;="&amp;CS$1,INDIRECT("Table1[Obergruppe ATC-Code]"),Tabelle3!$A60)</f>
        <v>2</v>
      </c>
      <c r="CT60">
        <f ca="1">COUNTIFS(INDIRECT("Table1[Beginn]"),"&lt;="&amp;CT$1,INDIRECT("Table1[Ende]"),"&gt;="&amp;CT$1,INDIRECT("Table1[Obergruppe ATC-Code]"),Tabelle3!$A60)</f>
        <v>2</v>
      </c>
    </row>
    <row r="61" spans="1:112" ht="18">
      <c r="A61" s="9" t="s">
        <v>4277</v>
      </c>
      <c r="B61" s="10" t="s">
        <v>6891</v>
      </c>
      <c r="C61">
        <f ca="1">COUNTIFS(INDIRECT("Table1[Beginn]"),"&lt;="&amp;C$1,INDIRECT("Table1[Ende]"),"&gt;="&amp;C$1,INDIRECT("Table1[Obergruppe ATC-Code]"),Tabelle3!$A61)</f>
        <v>0</v>
      </c>
      <c r="D61">
        <f ca="1">COUNTIFS(INDIRECT("Table1[Beginn]"),"&lt;="&amp;D$1,INDIRECT("Table1[Ende]"),"&gt;="&amp;D$1,INDIRECT("Table1[Obergruppe ATC-Code]"),Tabelle3!$A61)</f>
        <v>0</v>
      </c>
      <c r="E61">
        <f ca="1">COUNTIFS(INDIRECT("Table1[Beginn]"),"&lt;="&amp;E$1,INDIRECT("Table1[Ende]"),"&gt;="&amp;E$1,INDIRECT("Table1[Obergruppe ATC-Code]"),Tabelle3!$A61)</f>
        <v>0</v>
      </c>
      <c r="F61">
        <f ca="1">COUNTIFS(INDIRECT("Table1[Beginn]"),"&lt;="&amp;F$1,INDIRECT("Table1[Ende]"),"&gt;="&amp;F$1,INDIRECT("Table1[Obergruppe ATC-Code]"),Tabelle3!$A61)</f>
        <v>0</v>
      </c>
      <c r="G61">
        <f ca="1">COUNTIFS(INDIRECT("Table1[Beginn]"),"&lt;="&amp;G$1,INDIRECT("Table1[Ende]"),"&gt;="&amp;G$1,INDIRECT("Table1[Obergruppe ATC-Code]"),Tabelle3!$A61)</f>
        <v>0</v>
      </c>
      <c r="H61">
        <f ca="1">COUNTIFS(INDIRECT("Table1[Beginn]"),"&lt;="&amp;H$1,INDIRECT("Table1[Ende]"),"&gt;="&amp;H$1,INDIRECT("Table1[Obergruppe ATC-Code]"),Tabelle3!$A61)</f>
        <v>0</v>
      </c>
      <c r="I61">
        <f ca="1">COUNTIFS(INDIRECT("Table1[Beginn]"),"&lt;="&amp;I$1,INDIRECT("Table1[Ende]"),"&gt;="&amp;I$1,INDIRECT("Table1[Obergruppe ATC-Code]"),Tabelle3!$A61)</f>
        <v>0</v>
      </c>
      <c r="J61">
        <f ca="1">COUNTIFS(INDIRECT("Table1[Beginn]"),"&lt;="&amp;J$1,INDIRECT("Table1[Ende]"),"&gt;="&amp;J$1,INDIRECT("Table1[Obergruppe ATC-Code]"),Tabelle3!$A61)</f>
        <v>1</v>
      </c>
      <c r="K61">
        <f ca="1">COUNTIFS(INDIRECT("Table1[Beginn]"),"&lt;="&amp;K$1,INDIRECT("Table1[Ende]"),"&gt;="&amp;K$1,INDIRECT("Table1[Obergruppe ATC-Code]"),Tabelle3!$A61)</f>
        <v>1</v>
      </c>
      <c r="L61">
        <f ca="1">COUNTIFS(INDIRECT("Table1[Beginn]"),"&lt;="&amp;L$1,INDIRECT("Table1[Ende]"),"&gt;="&amp;L$1,INDIRECT("Table1[Obergruppe ATC-Code]"),Tabelle3!$A61)</f>
        <v>1</v>
      </c>
      <c r="M61">
        <f ca="1">COUNTIFS(INDIRECT("Table1[Beginn]"),"&lt;="&amp;M$1,INDIRECT("Table1[Ende]"),"&gt;="&amp;M$1,INDIRECT("Table1[Obergruppe ATC-Code]"),Tabelle3!$A61)</f>
        <v>0</v>
      </c>
      <c r="N61">
        <f ca="1">COUNTIFS(INDIRECT("Table1[Beginn]"),"&lt;="&amp;N$1,INDIRECT("Table1[Ende]"),"&gt;="&amp;N$1,INDIRECT("Table1[Obergruppe ATC-Code]"),Tabelle3!$A61)</f>
        <v>0</v>
      </c>
      <c r="O61">
        <f ca="1">COUNTIFS(INDIRECT("Table1[Beginn]"),"&lt;="&amp;O$1,INDIRECT("Table1[Ende]"),"&gt;="&amp;O$1,INDIRECT("Table1[Obergruppe ATC-Code]"),Tabelle3!$A61)</f>
        <v>0</v>
      </c>
      <c r="P61">
        <f ca="1">COUNTIFS(INDIRECT("Table1[Beginn]"),"&lt;="&amp;P$1,INDIRECT("Table1[Ende]"),"&gt;="&amp;P$1,INDIRECT("Table1[Obergruppe ATC-Code]"),Tabelle3!$A61)</f>
        <v>0</v>
      </c>
      <c r="Q61">
        <f ca="1">COUNTIFS(INDIRECT("Table1[Beginn]"),"&lt;="&amp;Q$1,INDIRECT("Table1[Ende]"),"&gt;="&amp;Q$1,INDIRECT("Table1[Obergruppe ATC-Code]"),Tabelle3!$A61)</f>
        <v>0</v>
      </c>
      <c r="R61">
        <f ca="1">COUNTIFS(INDIRECT("Table1[Beginn]"),"&lt;="&amp;R$1,INDIRECT("Table1[Ende]"),"&gt;="&amp;R$1,INDIRECT("Table1[Obergruppe ATC-Code]"),Tabelle3!$A61)</f>
        <v>0</v>
      </c>
      <c r="S61">
        <f ca="1">COUNTIFS(INDIRECT("Table1[Beginn]"),"&lt;="&amp;S$1,INDIRECT("Table1[Ende]"),"&gt;="&amp;S$1,INDIRECT("Table1[Obergruppe ATC-Code]"),Tabelle3!$A61)</f>
        <v>0</v>
      </c>
      <c r="T61">
        <f ca="1">COUNTIFS(INDIRECT("Table1[Beginn]"),"&lt;="&amp;T$1,INDIRECT("Table1[Ende]"),"&gt;="&amp;T$1,INDIRECT("Table1[Obergruppe ATC-Code]"),Tabelle3!$A61)</f>
        <v>0</v>
      </c>
      <c r="U61">
        <f ca="1">COUNTIFS(INDIRECT("Table1[Beginn]"),"&lt;="&amp;U$1,INDIRECT("Table1[Ende]"),"&gt;="&amp;U$1,INDIRECT("Table1[Obergruppe ATC-Code]"),Tabelle3!$A61)</f>
        <v>0</v>
      </c>
      <c r="V61">
        <f ca="1">COUNTIFS(INDIRECT("Table1[Beginn]"),"&lt;="&amp;V$1,INDIRECT("Table1[Ende]"),"&gt;="&amp;V$1,INDIRECT("Table1[Obergruppe ATC-Code]"),Tabelle3!$A61)</f>
        <v>0</v>
      </c>
      <c r="W61">
        <f ca="1">COUNTIFS(INDIRECT("Table1[Beginn]"),"&lt;="&amp;W$1,INDIRECT("Table1[Ende]"),"&gt;="&amp;W$1,INDIRECT("Table1[Obergruppe ATC-Code]"),Tabelle3!$A61)</f>
        <v>0</v>
      </c>
      <c r="X61">
        <f ca="1">COUNTIFS(INDIRECT("Table1[Beginn]"),"&lt;="&amp;X$1,INDIRECT("Table1[Ende]"),"&gt;="&amp;X$1,INDIRECT("Table1[Obergruppe ATC-Code]"),Tabelle3!$A61)</f>
        <v>2</v>
      </c>
      <c r="Y61">
        <f ca="1">COUNTIFS(INDIRECT("Table1[Beginn]"),"&lt;="&amp;Y$1,INDIRECT("Table1[Ende]"),"&gt;="&amp;Y$1,INDIRECT("Table1[Obergruppe ATC-Code]"),Tabelle3!$A61)</f>
        <v>2</v>
      </c>
      <c r="Z61">
        <f ca="1">COUNTIFS(INDIRECT("Table1[Beginn]"),"&lt;="&amp;Z$1,INDIRECT("Table1[Ende]"),"&gt;="&amp;Z$1,INDIRECT("Table1[Obergruppe ATC-Code]"),Tabelle3!$A61)</f>
        <v>2</v>
      </c>
      <c r="AA61">
        <f ca="1">COUNTIFS(INDIRECT("Table1[Beginn]"),"&lt;="&amp;AA$1,INDIRECT("Table1[Ende]"),"&gt;="&amp;AA$1,INDIRECT("Table1[Obergruppe ATC-Code]"),Tabelle3!$A61)</f>
        <v>1</v>
      </c>
      <c r="AB61">
        <f ca="1">COUNTIFS(INDIRECT("Table1[Beginn]"),"&lt;="&amp;AB$1,INDIRECT("Table1[Ende]"),"&gt;="&amp;AB$1,INDIRECT("Table1[Obergruppe ATC-Code]"),Tabelle3!$A61)</f>
        <v>0</v>
      </c>
      <c r="AC61">
        <f ca="1">COUNTIFS(INDIRECT("Table1[Beginn]"),"&lt;="&amp;AC$1,INDIRECT("Table1[Ende]"),"&gt;="&amp;AC$1,INDIRECT("Table1[Obergruppe ATC-Code]"),Tabelle3!$A61)</f>
        <v>0</v>
      </c>
      <c r="AD61">
        <f ca="1">COUNTIFS(INDIRECT("Table1[Beginn]"),"&lt;="&amp;AD$1,INDIRECT("Table1[Ende]"),"&gt;="&amp;AD$1,INDIRECT("Table1[Obergruppe ATC-Code]"),Tabelle3!$A61)</f>
        <v>0</v>
      </c>
      <c r="AE61">
        <f ca="1">COUNTIFS(INDIRECT("Table1[Beginn]"),"&lt;="&amp;AE$1,INDIRECT("Table1[Ende]"),"&gt;="&amp;AE$1,INDIRECT("Table1[Obergruppe ATC-Code]"),Tabelle3!$A61)</f>
        <v>0</v>
      </c>
      <c r="AF61">
        <f ca="1">COUNTIFS(INDIRECT("Table1[Beginn]"),"&lt;="&amp;AF$1,INDIRECT("Table1[Ende]"),"&gt;="&amp;AF$1,INDIRECT("Table1[Obergruppe ATC-Code]"),Tabelle3!$A61)</f>
        <v>0</v>
      </c>
      <c r="AG61">
        <f ca="1">COUNTIFS(INDIRECT("Table1[Beginn]"),"&lt;="&amp;AG$1,INDIRECT("Table1[Ende]"),"&gt;="&amp;AG$1,INDIRECT("Table1[Obergruppe ATC-Code]"),Tabelle3!$A61)</f>
        <v>0</v>
      </c>
      <c r="AH61">
        <f ca="1">COUNTIFS(INDIRECT("Table1[Beginn]"),"&lt;="&amp;AH$1,INDIRECT("Table1[Ende]"),"&gt;="&amp;AH$1,INDIRECT("Table1[Obergruppe ATC-Code]"),Tabelle3!$A61)</f>
        <v>1</v>
      </c>
      <c r="AI61">
        <f ca="1">COUNTIFS(INDIRECT("Table1[Beginn]"),"&lt;="&amp;AI$1,INDIRECT("Table1[Ende]"),"&gt;="&amp;AI$1,INDIRECT("Table1[Obergruppe ATC-Code]"),Tabelle3!$A61)</f>
        <v>1</v>
      </c>
      <c r="AJ61">
        <f ca="1">COUNTIFS(INDIRECT("Table1[Beginn]"),"&lt;="&amp;AJ$1,INDIRECT("Table1[Ende]"),"&gt;="&amp;AJ$1,INDIRECT("Table1[Obergruppe ATC-Code]"),Tabelle3!$A61)</f>
        <v>1</v>
      </c>
      <c r="AK61">
        <f ca="1">COUNTIFS(INDIRECT("Table1[Beginn]"),"&lt;="&amp;AK$1,INDIRECT("Table1[Ende]"),"&gt;="&amp;AK$1,INDIRECT("Table1[Obergruppe ATC-Code]"),Tabelle3!$A61)</f>
        <v>2</v>
      </c>
      <c r="AL61">
        <f ca="1">COUNTIFS(INDIRECT("Table1[Beginn]"),"&lt;="&amp;AL$1,INDIRECT("Table1[Ende]"),"&gt;="&amp;AL$1,INDIRECT("Table1[Obergruppe ATC-Code]"),Tabelle3!$A61)</f>
        <v>3</v>
      </c>
      <c r="AM61">
        <f ca="1">COUNTIFS(INDIRECT("Table1[Beginn]"),"&lt;="&amp;AM$1,INDIRECT("Table1[Ende]"),"&gt;="&amp;AM$1,INDIRECT("Table1[Obergruppe ATC-Code]"),Tabelle3!$A61)</f>
        <v>3</v>
      </c>
      <c r="AN61">
        <f ca="1">COUNTIFS(INDIRECT("Table1[Beginn]"),"&lt;="&amp;AN$1,INDIRECT("Table1[Ende]"),"&gt;="&amp;AN$1,INDIRECT("Table1[Obergruppe ATC-Code]"),Tabelle3!$A61)</f>
        <v>3</v>
      </c>
      <c r="AO61">
        <f ca="1">COUNTIFS(INDIRECT("Table1[Beginn]"),"&lt;="&amp;AO$1,INDIRECT("Table1[Ende]"),"&gt;="&amp;AO$1,INDIRECT("Table1[Obergruppe ATC-Code]"),Tabelle3!$A61)</f>
        <v>3</v>
      </c>
      <c r="AP61">
        <f ca="1">COUNTIFS(INDIRECT("Table1[Beginn]"),"&lt;="&amp;AP$1,INDIRECT("Table1[Ende]"),"&gt;="&amp;AP$1,INDIRECT("Table1[Obergruppe ATC-Code]"),Tabelle3!$A61)</f>
        <v>4</v>
      </c>
      <c r="AQ61">
        <f ca="1">COUNTIFS(INDIRECT("Table1[Beginn]"),"&lt;="&amp;AQ$1,INDIRECT("Table1[Ende]"),"&gt;="&amp;AQ$1,INDIRECT("Table1[Obergruppe ATC-Code]"),Tabelle3!$A61)</f>
        <v>4</v>
      </c>
      <c r="AR61">
        <f ca="1">COUNTIFS(INDIRECT("Table1[Beginn]"),"&lt;="&amp;AR$1,INDIRECT("Table1[Ende]"),"&gt;="&amp;AR$1,INDIRECT("Table1[Obergruppe ATC-Code]"),Tabelle3!$A61)</f>
        <v>4</v>
      </c>
      <c r="AS61">
        <f ca="1">COUNTIFS(INDIRECT("Table1[Beginn]"),"&lt;="&amp;AS$1,INDIRECT("Table1[Ende]"),"&gt;="&amp;AS$1,INDIRECT("Table1[Obergruppe ATC-Code]"),Tabelle3!$A61)</f>
        <v>4</v>
      </c>
      <c r="AT61">
        <f ca="1">COUNTIFS(INDIRECT("Table1[Beginn]"),"&lt;="&amp;AT$1,INDIRECT("Table1[Ende]"),"&gt;="&amp;AT$1,INDIRECT("Table1[Obergruppe ATC-Code]"),Tabelle3!$A61)</f>
        <v>4</v>
      </c>
      <c r="AU61">
        <f ca="1">COUNTIFS(INDIRECT("Table1[Beginn]"),"&lt;="&amp;AU$1,INDIRECT("Table1[Ende]"),"&gt;="&amp;AU$1,INDIRECT("Table1[Obergruppe ATC-Code]"),Tabelle3!$A61)</f>
        <v>5</v>
      </c>
      <c r="AV61">
        <f ca="1">COUNTIFS(INDIRECT("Table1[Beginn]"),"&lt;="&amp;AV$1,INDIRECT("Table1[Ende]"),"&gt;="&amp;AV$1,INDIRECT("Table1[Obergruppe ATC-Code]"),Tabelle3!$A61)</f>
        <v>5</v>
      </c>
      <c r="AW61">
        <f ca="1">COUNTIFS(INDIRECT("Table1[Beginn]"),"&lt;="&amp;AW$1,INDIRECT("Table1[Ende]"),"&gt;="&amp;AW$1,INDIRECT("Table1[Obergruppe ATC-Code]"),Tabelle3!$A61)</f>
        <v>4</v>
      </c>
      <c r="AX61">
        <f ca="1">COUNTIFS(INDIRECT("Table1[Beginn]"),"&lt;="&amp;AX$1,INDIRECT("Table1[Ende]"),"&gt;="&amp;AX$1,INDIRECT("Table1[Obergruppe ATC-Code]"),Tabelle3!$A61)</f>
        <v>5</v>
      </c>
      <c r="AY61">
        <f ca="1">COUNTIFS(INDIRECT("Table1[Beginn]"),"&lt;="&amp;AY$1,INDIRECT("Table1[Ende]"),"&gt;="&amp;AY$1,INDIRECT("Table1[Obergruppe ATC-Code]"),Tabelle3!$A61)</f>
        <v>4</v>
      </c>
      <c r="AZ61">
        <f ca="1">COUNTIFS(INDIRECT("Table1[Beginn]"),"&lt;="&amp;AZ$1,INDIRECT("Table1[Ende]"),"&gt;="&amp;AZ$1,INDIRECT("Table1[Obergruppe ATC-Code]"),Tabelle3!$A61)</f>
        <v>4</v>
      </c>
      <c r="BA61">
        <f ca="1">COUNTIFS(INDIRECT("Table1[Beginn]"),"&lt;="&amp;BA$1,INDIRECT("Table1[Ende]"),"&gt;="&amp;BA$1,INDIRECT("Table1[Obergruppe ATC-Code]"),Tabelle3!$A61)</f>
        <v>5</v>
      </c>
      <c r="BB61">
        <f ca="1">COUNTIFS(INDIRECT("Table1[Beginn]"),"&lt;="&amp;BB$1,INDIRECT("Table1[Ende]"),"&gt;="&amp;BB$1,INDIRECT("Table1[Obergruppe ATC-Code]"),Tabelle3!$A61)</f>
        <v>5</v>
      </c>
      <c r="BC61">
        <f ca="1">COUNTIFS(INDIRECT("Table1[Beginn]"),"&lt;="&amp;BC$1,INDIRECT("Table1[Ende]"),"&gt;="&amp;BC$1,INDIRECT("Table1[Obergruppe ATC-Code]"),Tabelle3!$A61)</f>
        <v>5</v>
      </c>
      <c r="BD61">
        <f ca="1">COUNTIFS(INDIRECT("Table1[Beginn]"),"&lt;="&amp;BD$1,INDIRECT("Table1[Ende]"),"&gt;="&amp;BD$1,INDIRECT("Table1[Obergruppe ATC-Code]"),Tabelle3!$A61)</f>
        <v>5</v>
      </c>
      <c r="BE61">
        <f ca="1">COUNTIFS(INDIRECT("Table1[Beginn]"),"&lt;="&amp;BE$1,INDIRECT("Table1[Ende]"),"&gt;="&amp;BE$1,INDIRECT("Table1[Obergruppe ATC-Code]"),Tabelle3!$A61)</f>
        <v>4</v>
      </c>
      <c r="BF61">
        <f ca="1">COUNTIFS(INDIRECT("Table1[Beginn]"),"&lt;="&amp;BF$1,INDIRECT("Table1[Ende]"),"&gt;="&amp;BF$1,INDIRECT("Table1[Obergruppe ATC-Code]"),Tabelle3!$A61)</f>
        <v>4</v>
      </c>
      <c r="BG61">
        <f ca="1">COUNTIFS(INDIRECT("Table1[Beginn]"),"&lt;="&amp;BG$1,INDIRECT("Table1[Ende]"),"&gt;="&amp;BG$1,INDIRECT("Table1[Obergruppe ATC-Code]"),Tabelle3!$A61)</f>
        <v>4</v>
      </c>
      <c r="BH61">
        <f ca="1">COUNTIFS(INDIRECT("Table1[Beginn]"),"&lt;="&amp;BH$1,INDIRECT("Table1[Ende]"),"&gt;="&amp;BH$1,INDIRECT("Table1[Obergruppe ATC-Code]"),Tabelle3!$A61)</f>
        <v>4</v>
      </c>
      <c r="BI61">
        <f ca="1">COUNTIFS(INDIRECT("Table1[Beginn]"),"&lt;="&amp;BI$1,INDIRECT("Table1[Ende]"),"&gt;="&amp;BI$1,INDIRECT("Table1[Obergruppe ATC-Code]"),Tabelle3!$A61)</f>
        <v>4</v>
      </c>
      <c r="BJ61">
        <f ca="1">COUNTIFS(INDIRECT("Table1[Beginn]"),"&lt;="&amp;BJ$1,INDIRECT("Table1[Ende]"),"&gt;="&amp;BJ$1,INDIRECT("Table1[Obergruppe ATC-Code]"),Tabelle3!$A61)</f>
        <v>4</v>
      </c>
      <c r="BK61">
        <f ca="1">COUNTIFS(INDIRECT("Table1[Beginn]"),"&lt;="&amp;BK$1,INDIRECT("Table1[Ende]"),"&gt;="&amp;BK$1,INDIRECT("Table1[Obergruppe ATC-Code]"),Tabelle3!$A61)</f>
        <v>3</v>
      </c>
      <c r="BL61">
        <f ca="1">COUNTIFS(INDIRECT("Table1[Beginn]"),"&lt;="&amp;BL$1,INDIRECT("Table1[Ende]"),"&gt;="&amp;BL$1,INDIRECT("Table1[Obergruppe ATC-Code]"),Tabelle3!$A61)</f>
        <v>3</v>
      </c>
      <c r="BM61">
        <f ca="1">COUNTIFS(INDIRECT("Table1[Beginn]"),"&lt;="&amp;BM$1,INDIRECT("Table1[Ende]"),"&gt;="&amp;BM$1,INDIRECT("Table1[Obergruppe ATC-Code]"),Tabelle3!$A61)</f>
        <v>3</v>
      </c>
      <c r="BN61">
        <f ca="1">COUNTIFS(INDIRECT("Table1[Beginn]"),"&lt;="&amp;BN$1,INDIRECT("Table1[Ende]"),"&gt;="&amp;BN$1,INDIRECT("Table1[Obergruppe ATC-Code]"),Tabelle3!$A61)</f>
        <v>3</v>
      </c>
      <c r="BO61">
        <f ca="1">COUNTIFS(INDIRECT("Table1[Beginn]"),"&lt;="&amp;BO$1,INDIRECT("Table1[Ende]"),"&gt;="&amp;BO$1,INDIRECT("Table1[Obergruppe ATC-Code]"),Tabelle3!$A61)</f>
        <v>4</v>
      </c>
      <c r="BP61">
        <f ca="1">COUNTIFS(INDIRECT("Table1[Beginn]"),"&lt;="&amp;BP$1,INDIRECT("Table1[Ende]"),"&gt;="&amp;BP$1,INDIRECT("Table1[Obergruppe ATC-Code]"),Tabelle3!$A61)</f>
        <v>3</v>
      </c>
      <c r="BQ61">
        <f ca="1">COUNTIFS(INDIRECT("Table1[Beginn]"),"&lt;="&amp;BQ$1,INDIRECT("Table1[Ende]"),"&gt;="&amp;BQ$1,INDIRECT("Table1[Obergruppe ATC-Code]"),Tabelle3!$A61)</f>
        <v>2</v>
      </c>
      <c r="BR61">
        <f ca="1">COUNTIFS(INDIRECT("Table1[Beginn]"),"&lt;="&amp;BR$1,INDIRECT("Table1[Ende]"),"&gt;="&amp;BR$1,INDIRECT("Table1[Obergruppe ATC-Code]"),Tabelle3!$A61)</f>
        <v>2</v>
      </c>
      <c r="BS61">
        <f ca="1">COUNTIFS(INDIRECT("Table1[Beginn]"),"&lt;="&amp;BS$1,INDIRECT("Table1[Ende]"),"&gt;="&amp;BS$1,INDIRECT("Table1[Obergruppe ATC-Code]"),Tabelle3!$A61)</f>
        <v>2</v>
      </c>
      <c r="BT61">
        <f ca="1">COUNTIFS(INDIRECT("Table1[Beginn]"),"&lt;="&amp;BT$1,INDIRECT("Table1[Ende]"),"&gt;="&amp;BT$1,INDIRECT("Table1[Obergruppe ATC-Code]"),Tabelle3!$A61)</f>
        <v>2</v>
      </c>
      <c r="BU61">
        <f ca="1">COUNTIFS(INDIRECT("Table1[Beginn]"),"&lt;="&amp;BU$1,INDIRECT("Table1[Ende]"),"&gt;="&amp;BU$1,INDIRECT("Table1[Obergruppe ATC-Code]"),Tabelle3!$A61)</f>
        <v>1</v>
      </c>
      <c r="BV61">
        <f ca="1">COUNTIFS(INDIRECT("Table1[Beginn]"),"&lt;="&amp;BV$1,INDIRECT("Table1[Ende]"),"&gt;="&amp;BV$1,INDIRECT("Table1[Obergruppe ATC-Code]"),Tabelle3!$A61)</f>
        <v>1</v>
      </c>
      <c r="BW61">
        <f ca="1">COUNTIFS(INDIRECT("Table1[Beginn]"),"&lt;="&amp;BW$1,INDIRECT("Table1[Ende]"),"&gt;="&amp;BW$1,INDIRECT("Table1[Obergruppe ATC-Code]"),Tabelle3!$A61)</f>
        <v>1</v>
      </c>
      <c r="BX61">
        <f ca="1">COUNTIFS(INDIRECT("Table1[Beginn]"),"&lt;="&amp;BX$1,INDIRECT("Table1[Ende]"),"&gt;="&amp;BX$1,INDIRECT("Table1[Obergruppe ATC-Code]"),Tabelle3!$A61)</f>
        <v>1</v>
      </c>
      <c r="BY61">
        <f ca="1">COUNTIFS(INDIRECT("Table1[Beginn]"),"&lt;="&amp;BY$1,INDIRECT("Table1[Ende]"),"&gt;="&amp;BY$1,INDIRECT("Table1[Obergruppe ATC-Code]"),Tabelle3!$A61)</f>
        <v>1</v>
      </c>
      <c r="BZ61">
        <f ca="1">COUNTIFS(INDIRECT("Table1[Beginn]"),"&lt;="&amp;BZ$1,INDIRECT("Table1[Ende]"),"&gt;="&amp;BZ$1,INDIRECT("Table1[Obergruppe ATC-Code]"),Tabelle3!$A61)</f>
        <v>1</v>
      </c>
      <c r="CA61">
        <f ca="1">COUNTIFS(INDIRECT("Table1[Beginn]"),"&lt;="&amp;CA$1,INDIRECT("Table1[Ende]"),"&gt;="&amp;CA$1,INDIRECT("Table1[Obergruppe ATC-Code]"),Tabelle3!$A61)</f>
        <v>1</v>
      </c>
      <c r="CB61">
        <f ca="1">COUNTIFS(INDIRECT("Table1[Beginn]"),"&lt;="&amp;CB$1,INDIRECT("Table1[Ende]"),"&gt;="&amp;CB$1,INDIRECT("Table1[Obergruppe ATC-Code]"),Tabelle3!$A61)</f>
        <v>1</v>
      </c>
      <c r="CC61">
        <f ca="1">COUNTIFS(INDIRECT("Table1[Beginn]"),"&lt;="&amp;CC$1,INDIRECT("Table1[Ende]"),"&gt;="&amp;CC$1,INDIRECT("Table1[Obergruppe ATC-Code]"),Tabelle3!$A61)</f>
        <v>1</v>
      </c>
      <c r="CD61">
        <f ca="1">COUNTIFS(INDIRECT("Table1[Beginn]"),"&lt;="&amp;CD$1,INDIRECT("Table1[Ende]"),"&gt;="&amp;CD$1,INDIRECT("Table1[Obergruppe ATC-Code]"),Tabelle3!$A61)</f>
        <v>1</v>
      </c>
      <c r="CE61">
        <f ca="1">COUNTIFS(INDIRECT("Table1[Beginn]"),"&lt;="&amp;CE$1,INDIRECT("Table1[Ende]"),"&gt;="&amp;CE$1,INDIRECT("Table1[Obergruppe ATC-Code]"),Tabelle3!$A61)</f>
        <v>1</v>
      </c>
      <c r="CF61">
        <f ca="1">COUNTIFS(INDIRECT("Table1[Beginn]"),"&lt;="&amp;CF$1,INDIRECT("Table1[Ende]"),"&gt;="&amp;CF$1,INDIRECT("Table1[Obergruppe ATC-Code]"),Tabelle3!$A61)</f>
        <v>1</v>
      </c>
      <c r="CG61">
        <f ca="1">COUNTIFS(INDIRECT("Table1[Beginn]"),"&lt;="&amp;CG$1,INDIRECT("Table1[Ende]"),"&gt;="&amp;CG$1,INDIRECT("Table1[Obergruppe ATC-Code]"),Tabelle3!$A61)</f>
        <v>1</v>
      </c>
      <c r="CH61">
        <f ca="1">COUNTIFS(INDIRECT("Table1[Beginn]"),"&lt;="&amp;CH$1,INDIRECT("Table1[Ende]"),"&gt;="&amp;CH$1,INDIRECT("Table1[Obergruppe ATC-Code]"),Tabelle3!$A61)</f>
        <v>1</v>
      </c>
      <c r="CI61">
        <f ca="1">COUNTIFS(INDIRECT("Table1[Beginn]"),"&lt;="&amp;CI$1,INDIRECT("Table1[Ende]"),"&gt;="&amp;CI$1,INDIRECT("Table1[Obergruppe ATC-Code]"),Tabelle3!$A61)</f>
        <v>0</v>
      </c>
      <c r="CJ61">
        <f ca="1">COUNTIFS(INDIRECT("Table1[Beginn]"),"&lt;="&amp;CJ$1,INDIRECT("Table1[Ende]"),"&gt;="&amp;CJ$1,INDIRECT("Table1[Obergruppe ATC-Code]"),Tabelle3!$A61)</f>
        <v>0</v>
      </c>
      <c r="CK61">
        <f ca="1">COUNTIFS(INDIRECT("Table1[Beginn]"),"&lt;="&amp;CK$1,INDIRECT("Table1[Ende]"),"&gt;="&amp;CK$1,INDIRECT("Table1[Obergruppe ATC-Code]"),Tabelle3!$A61)</f>
        <v>0</v>
      </c>
      <c r="CL61">
        <f ca="1">COUNTIFS(INDIRECT("Table1[Beginn]"),"&lt;="&amp;CL$1,INDIRECT("Table1[Ende]"),"&gt;="&amp;CL$1,INDIRECT("Table1[Obergruppe ATC-Code]"),Tabelle3!$A61)</f>
        <v>0</v>
      </c>
      <c r="CM61">
        <f ca="1">COUNTIFS(INDIRECT("Table1[Beginn]"),"&lt;="&amp;CM$1,INDIRECT("Table1[Ende]"),"&gt;="&amp;CM$1,INDIRECT("Table1[Obergruppe ATC-Code]"),Tabelle3!$A61)</f>
        <v>0</v>
      </c>
      <c r="CN61">
        <f ca="1">COUNTIFS(INDIRECT("Table1[Beginn]"),"&lt;="&amp;CN$1,INDIRECT("Table1[Ende]"),"&gt;="&amp;CN$1,INDIRECT("Table1[Obergruppe ATC-Code]"),Tabelle3!$A61)</f>
        <v>0</v>
      </c>
      <c r="CO61">
        <f ca="1">COUNTIFS(INDIRECT("Table1[Beginn]"),"&lt;="&amp;CO$1,INDIRECT("Table1[Ende]"),"&gt;="&amp;CO$1,INDIRECT("Table1[Obergruppe ATC-Code]"),Tabelle3!$A61)</f>
        <v>0</v>
      </c>
      <c r="CP61">
        <f ca="1">COUNTIFS(INDIRECT("Table1[Beginn]"),"&lt;="&amp;CP$1,INDIRECT("Table1[Ende]"),"&gt;="&amp;CP$1,INDIRECT("Table1[Obergruppe ATC-Code]"),Tabelle3!$A61)</f>
        <v>0</v>
      </c>
      <c r="CQ61">
        <f ca="1">COUNTIFS(INDIRECT("Table1[Beginn]"),"&lt;="&amp;CQ$1,INDIRECT("Table1[Ende]"),"&gt;="&amp;CQ$1,INDIRECT("Table1[Obergruppe ATC-Code]"),Tabelle3!$A61)</f>
        <v>0</v>
      </c>
      <c r="CR61">
        <f ca="1">COUNTIFS(INDIRECT("Table1[Beginn]"),"&lt;="&amp;CR$1,INDIRECT("Table1[Ende]"),"&gt;="&amp;CR$1,INDIRECT("Table1[Obergruppe ATC-Code]"),Tabelle3!$A61)</f>
        <v>0</v>
      </c>
      <c r="CS61">
        <f ca="1">COUNTIFS(INDIRECT("Table1[Beginn]"),"&lt;="&amp;CS$1,INDIRECT("Table1[Ende]"),"&gt;="&amp;CS$1,INDIRECT("Table1[Obergruppe ATC-Code]"),Tabelle3!$A61)</f>
        <v>0</v>
      </c>
      <c r="CT61">
        <f ca="1">COUNTIFS(INDIRECT("Table1[Beginn]"),"&lt;="&amp;CT$1,INDIRECT("Table1[Ende]"),"&gt;="&amp;CT$1,INDIRECT("Table1[Obergruppe ATC-Code]"),Tabelle3!$A61)</f>
        <v>0</v>
      </c>
    </row>
    <row r="62" spans="1:112" ht="18">
      <c r="A62" s="7" t="s">
        <v>6892</v>
      </c>
      <c r="B62" s="8" t="s">
        <v>6893</v>
      </c>
      <c r="C62">
        <f ca="1">COUNTIFS(INDIRECT("Table1[Beginn]"),"&lt;="&amp;C$1,INDIRECT("Table1[Ende]"),"&gt;="&amp;C$1,INDIRECT("Table1[Obergruppe ATC-Code]"),Tabelle3!$A62)</f>
        <v>2</v>
      </c>
      <c r="D62">
        <f ca="1">COUNTIFS(INDIRECT("Table1[Beginn]"),"&lt;="&amp;D$1,INDIRECT("Table1[Ende]"),"&gt;="&amp;D$1,INDIRECT("Table1[Obergruppe ATC-Code]"),Tabelle3!$A62)</f>
        <v>2</v>
      </c>
      <c r="E62">
        <f ca="1">COUNTIFS(INDIRECT("Table1[Beginn]"),"&lt;="&amp;E$1,INDIRECT("Table1[Ende]"),"&gt;="&amp;E$1,INDIRECT("Table1[Obergruppe ATC-Code]"),Tabelle3!$A62)</f>
        <v>2</v>
      </c>
      <c r="F62">
        <f ca="1">COUNTIFS(INDIRECT("Table1[Beginn]"),"&lt;="&amp;F$1,INDIRECT("Table1[Ende]"),"&gt;="&amp;F$1,INDIRECT("Table1[Obergruppe ATC-Code]"),Tabelle3!$A62)</f>
        <v>3</v>
      </c>
      <c r="G62">
        <f ca="1">COUNTIFS(INDIRECT("Table1[Beginn]"),"&lt;="&amp;G$1,INDIRECT("Table1[Ende]"),"&gt;="&amp;G$1,INDIRECT("Table1[Obergruppe ATC-Code]"),Tabelle3!$A62)</f>
        <v>3</v>
      </c>
      <c r="H62">
        <f ca="1">COUNTIFS(INDIRECT("Table1[Beginn]"),"&lt;="&amp;H$1,INDIRECT("Table1[Ende]"),"&gt;="&amp;H$1,INDIRECT("Table1[Obergruppe ATC-Code]"),Tabelle3!$A62)</f>
        <v>2</v>
      </c>
      <c r="I62">
        <f ca="1">COUNTIFS(INDIRECT("Table1[Beginn]"),"&lt;="&amp;I$1,INDIRECT("Table1[Ende]"),"&gt;="&amp;I$1,INDIRECT("Table1[Obergruppe ATC-Code]"),Tabelle3!$A62)</f>
        <v>2</v>
      </c>
      <c r="J62">
        <f ca="1">COUNTIFS(INDIRECT("Table1[Beginn]"),"&lt;="&amp;J$1,INDIRECT("Table1[Ende]"),"&gt;="&amp;J$1,INDIRECT("Table1[Obergruppe ATC-Code]"),Tabelle3!$A62)</f>
        <v>2</v>
      </c>
      <c r="K62">
        <f ca="1">COUNTIFS(INDIRECT("Table1[Beginn]"),"&lt;="&amp;K$1,INDIRECT("Table1[Ende]"),"&gt;="&amp;K$1,INDIRECT("Table1[Obergruppe ATC-Code]"),Tabelle3!$A62)</f>
        <v>3</v>
      </c>
      <c r="L62">
        <f ca="1">COUNTIFS(INDIRECT("Table1[Beginn]"),"&lt;="&amp;L$1,INDIRECT("Table1[Ende]"),"&gt;="&amp;L$1,INDIRECT("Table1[Obergruppe ATC-Code]"),Tabelle3!$A62)</f>
        <v>3</v>
      </c>
      <c r="M62">
        <f ca="1">COUNTIFS(INDIRECT("Table1[Beginn]"),"&lt;="&amp;M$1,INDIRECT("Table1[Ende]"),"&gt;="&amp;M$1,INDIRECT("Table1[Obergruppe ATC-Code]"),Tabelle3!$A62)</f>
        <v>2</v>
      </c>
      <c r="N62">
        <f ca="1">COUNTIFS(INDIRECT("Table1[Beginn]"),"&lt;="&amp;N$1,INDIRECT("Table1[Ende]"),"&gt;="&amp;N$1,INDIRECT("Table1[Obergruppe ATC-Code]"),Tabelle3!$A62)</f>
        <v>2</v>
      </c>
      <c r="O62">
        <f ca="1">COUNTIFS(INDIRECT("Table1[Beginn]"),"&lt;="&amp;O$1,INDIRECT("Table1[Ende]"),"&gt;="&amp;O$1,INDIRECT("Table1[Obergruppe ATC-Code]"),Tabelle3!$A62)</f>
        <v>2</v>
      </c>
      <c r="P62">
        <f ca="1">COUNTIFS(INDIRECT("Table1[Beginn]"),"&lt;="&amp;P$1,INDIRECT("Table1[Ende]"),"&gt;="&amp;P$1,INDIRECT("Table1[Obergruppe ATC-Code]"),Tabelle3!$A62)</f>
        <v>2</v>
      </c>
      <c r="Q62">
        <f ca="1">COUNTIFS(INDIRECT("Table1[Beginn]"),"&lt;="&amp;Q$1,INDIRECT("Table1[Ende]"),"&gt;="&amp;Q$1,INDIRECT("Table1[Obergruppe ATC-Code]"),Tabelle3!$A62)</f>
        <v>2</v>
      </c>
      <c r="R62">
        <f ca="1">COUNTIFS(INDIRECT("Table1[Beginn]"),"&lt;="&amp;R$1,INDIRECT("Table1[Ende]"),"&gt;="&amp;R$1,INDIRECT("Table1[Obergruppe ATC-Code]"),Tabelle3!$A62)</f>
        <v>2</v>
      </c>
      <c r="S62">
        <f ca="1">COUNTIFS(INDIRECT("Table1[Beginn]"),"&lt;="&amp;S$1,INDIRECT("Table1[Ende]"),"&gt;="&amp;S$1,INDIRECT("Table1[Obergruppe ATC-Code]"),Tabelle3!$A62)</f>
        <v>2</v>
      </c>
      <c r="T62">
        <f ca="1">COUNTIFS(INDIRECT("Table1[Beginn]"),"&lt;="&amp;T$1,INDIRECT("Table1[Ende]"),"&gt;="&amp;T$1,INDIRECT("Table1[Obergruppe ATC-Code]"),Tabelle3!$A62)</f>
        <v>2</v>
      </c>
      <c r="U62">
        <f ca="1">COUNTIFS(INDIRECT("Table1[Beginn]"),"&lt;="&amp;U$1,INDIRECT("Table1[Ende]"),"&gt;="&amp;U$1,INDIRECT("Table1[Obergruppe ATC-Code]"),Tabelle3!$A62)</f>
        <v>2</v>
      </c>
      <c r="V62">
        <f ca="1">COUNTIFS(INDIRECT("Table1[Beginn]"),"&lt;="&amp;V$1,INDIRECT("Table1[Ende]"),"&gt;="&amp;V$1,INDIRECT("Table1[Obergruppe ATC-Code]"),Tabelle3!$A62)</f>
        <v>3</v>
      </c>
      <c r="W62">
        <f ca="1">COUNTIFS(INDIRECT("Table1[Beginn]"),"&lt;="&amp;W$1,INDIRECT("Table1[Ende]"),"&gt;="&amp;W$1,INDIRECT("Table1[Obergruppe ATC-Code]"),Tabelle3!$A62)</f>
        <v>3</v>
      </c>
      <c r="X62">
        <f ca="1">COUNTIFS(INDIRECT("Table1[Beginn]"),"&lt;="&amp;X$1,INDIRECT("Table1[Ende]"),"&gt;="&amp;X$1,INDIRECT("Table1[Obergruppe ATC-Code]"),Tabelle3!$A62)</f>
        <v>3</v>
      </c>
      <c r="Y62">
        <f ca="1">COUNTIFS(INDIRECT("Table1[Beginn]"),"&lt;="&amp;Y$1,INDIRECT("Table1[Ende]"),"&gt;="&amp;Y$1,INDIRECT("Table1[Obergruppe ATC-Code]"),Tabelle3!$A62)</f>
        <v>3</v>
      </c>
      <c r="Z62">
        <f ca="1">COUNTIFS(INDIRECT("Table1[Beginn]"),"&lt;="&amp;Z$1,INDIRECT("Table1[Ende]"),"&gt;="&amp;Z$1,INDIRECT("Table1[Obergruppe ATC-Code]"),Tabelle3!$A62)</f>
        <v>3</v>
      </c>
      <c r="AA62">
        <f ca="1">COUNTIFS(INDIRECT("Table1[Beginn]"),"&lt;="&amp;AA$1,INDIRECT("Table1[Ende]"),"&gt;="&amp;AA$1,INDIRECT("Table1[Obergruppe ATC-Code]"),Tabelle3!$A62)</f>
        <v>3</v>
      </c>
      <c r="AB62">
        <f ca="1">COUNTIFS(INDIRECT("Table1[Beginn]"),"&lt;="&amp;AB$1,INDIRECT("Table1[Ende]"),"&gt;="&amp;AB$1,INDIRECT("Table1[Obergruppe ATC-Code]"),Tabelle3!$A62)</f>
        <v>2</v>
      </c>
      <c r="AC62">
        <f ca="1">COUNTIFS(INDIRECT("Table1[Beginn]"),"&lt;="&amp;AC$1,INDIRECT("Table1[Ende]"),"&gt;="&amp;AC$1,INDIRECT("Table1[Obergruppe ATC-Code]"),Tabelle3!$A62)</f>
        <v>2</v>
      </c>
      <c r="AD62">
        <f ca="1">COUNTIFS(INDIRECT("Table1[Beginn]"),"&lt;="&amp;AD$1,INDIRECT("Table1[Ende]"),"&gt;="&amp;AD$1,INDIRECT("Table1[Obergruppe ATC-Code]"),Tabelle3!$A62)</f>
        <v>2</v>
      </c>
      <c r="AE62">
        <f ca="1">COUNTIFS(INDIRECT("Table1[Beginn]"),"&lt;="&amp;AE$1,INDIRECT("Table1[Ende]"),"&gt;="&amp;AE$1,INDIRECT("Table1[Obergruppe ATC-Code]"),Tabelle3!$A62)</f>
        <v>2</v>
      </c>
      <c r="AF62">
        <f ca="1">COUNTIFS(INDIRECT("Table1[Beginn]"),"&lt;="&amp;AF$1,INDIRECT("Table1[Ende]"),"&gt;="&amp;AF$1,INDIRECT("Table1[Obergruppe ATC-Code]"),Tabelle3!$A62)</f>
        <v>2</v>
      </c>
      <c r="AG62">
        <f ca="1">COUNTIFS(INDIRECT("Table1[Beginn]"),"&lt;="&amp;AG$1,INDIRECT("Table1[Ende]"),"&gt;="&amp;AG$1,INDIRECT("Table1[Obergruppe ATC-Code]"),Tabelle3!$A62)</f>
        <v>2</v>
      </c>
      <c r="AH62">
        <f ca="1">COUNTIFS(INDIRECT("Table1[Beginn]"),"&lt;="&amp;AH$1,INDIRECT("Table1[Ende]"),"&gt;="&amp;AH$1,INDIRECT("Table1[Obergruppe ATC-Code]"),Tabelle3!$A62)</f>
        <v>2</v>
      </c>
      <c r="AI62">
        <f ca="1">COUNTIFS(INDIRECT("Table1[Beginn]"),"&lt;="&amp;AI$1,INDIRECT("Table1[Ende]"),"&gt;="&amp;AI$1,INDIRECT("Table1[Obergruppe ATC-Code]"),Tabelle3!$A62)</f>
        <v>2</v>
      </c>
      <c r="AJ62">
        <f ca="1">COUNTIFS(INDIRECT("Table1[Beginn]"),"&lt;="&amp;AJ$1,INDIRECT("Table1[Ende]"),"&gt;="&amp;AJ$1,INDIRECT("Table1[Obergruppe ATC-Code]"),Tabelle3!$A62)</f>
        <v>2</v>
      </c>
      <c r="AK62">
        <f ca="1">COUNTIFS(INDIRECT("Table1[Beginn]"),"&lt;="&amp;AK$1,INDIRECT("Table1[Ende]"),"&gt;="&amp;AK$1,INDIRECT("Table1[Obergruppe ATC-Code]"),Tabelle3!$A62)</f>
        <v>2</v>
      </c>
      <c r="AL62">
        <f ca="1">COUNTIFS(INDIRECT("Table1[Beginn]"),"&lt;="&amp;AL$1,INDIRECT("Table1[Ende]"),"&gt;="&amp;AL$1,INDIRECT("Table1[Obergruppe ATC-Code]"),Tabelle3!$A62)</f>
        <v>2</v>
      </c>
      <c r="AM62">
        <f ca="1">COUNTIFS(INDIRECT("Table1[Beginn]"),"&lt;="&amp;AM$1,INDIRECT("Table1[Ende]"),"&gt;="&amp;AM$1,INDIRECT("Table1[Obergruppe ATC-Code]"),Tabelle3!$A62)</f>
        <v>2</v>
      </c>
      <c r="AN62">
        <f ca="1">COUNTIFS(INDIRECT("Table1[Beginn]"),"&lt;="&amp;AN$1,INDIRECT("Table1[Ende]"),"&gt;="&amp;AN$1,INDIRECT("Table1[Obergruppe ATC-Code]"),Tabelle3!$A62)</f>
        <v>2</v>
      </c>
      <c r="AO62">
        <f ca="1">COUNTIFS(INDIRECT("Table1[Beginn]"),"&lt;="&amp;AO$1,INDIRECT("Table1[Ende]"),"&gt;="&amp;AO$1,INDIRECT("Table1[Obergruppe ATC-Code]"),Tabelle3!$A62)</f>
        <v>2</v>
      </c>
      <c r="AP62">
        <f ca="1">COUNTIFS(INDIRECT("Table1[Beginn]"),"&lt;="&amp;AP$1,INDIRECT("Table1[Ende]"),"&gt;="&amp;AP$1,INDIRECT("Table1[Obergruppe ATC-Code]"),Tabelle3!$A62)</f>
        <v>2</v>
      </c>
      <c r="AQ62">
        <f ca="1">COUNTIFS(INDIRECT("Table1[Beginn]"),"&lt;="&amp;AQ$1,INDIRECT("Table1[Ende]"),"&gt;="&amp;AQ$1,INDIRECT("Table1[Obergruppe ATC-Code]"),Tabelle3!$A62)</f>
        <v>2</v>
      </c>
      <c r="AR62">
        <f ca="1">COUNTIFS(INDIRECT("Table1[Beginn]"),"&lt;="&amp;AR$1,INDIRECT("Table1[Ende]"),"&gt;="&amp;AR$1,INDIRECT("Table1[Obergruppe ATC-Code]"),Tabelle3!$A62)</f>
        <v>2</v>
      </c>
      <c r="AS62">
        <f ca="1">COUNTIFS(INDIRECT("Table1[Beginn]"),"&lt;="&amp;AS$1,INDIRECT("Table1[Ende]"),"&gt;="&amp;AS$1,INDIRECT("Table1[Obergruppe ATC-Code]"),Tabelle3!$A62)</f>
        <v>2</v>
      </c>
      <c r="AT62">
        <f ca="1">COUNTIFS(INDIRECT("Table1[Beginn]"),"&lt;="&amp;AT$1,INDIRECT("Table1[Ende]"),"&gt;="&amp;AT$1,INDIRECT("Table1[Obergruppe ATC-Code]"),Tabelle3!$A62)</f>
        <v>2</v>
      </c>
      <c r="AU62">
        <f ca="1">COUNTIFS(INDIRECT("Table1[Beginn]"),"&lt;="&amp;AU$1,INDIRECT("Table1[Ende]"),"&gt;="&amp;AU$1,INDIRECT("Table1[Obergruppe ATC-Code]"),Tabelle3!$A62)</f>
        <v>2</v>
      </c>
      <c r="AV62">
        <f ca="1">COUNTIFS(INDIRECT("Table1[Beginn]"),"&lt;="&amp;AV$1,INDIRECT("Table1[Ende]"),"&gt;="&amp;AV$1,INDIRECT("Table1[Obergruppe ATC-Code]"),Tabelle3!$A62)</f>
        <v>2</v>
      </c>
      <c r="AW62">
        <f ca="1">COUNTIFS(INDIRECT("Table1[Beginn]"),"&lt;="&amp;AW$1,INDIRECT("Table1[Ende]"),"&gt;="&amp;AW$1,INDIRECT("Table1[Obergruppe ATC-Code]"),Tabelle3!$A62)</f>
        <v>2</v>
      </c>
      <c r="AX62">
        <f ca="1">COUNTIFS(INDIRECT("Table1[Beginn]"),"&lt;="&amp;AX$1,INDIRECT("Table1[Ende]"),"&gt;="&amp;AX$1,INDIRECT("Table1[Obergruppe ATC-Code]"),Tabelle3!$A62)</f>
        <v>2</v>
      </c>
      <c r="AY62">
        <f ca="1">COUNTIFS(INDIRECT("Table1[Beginn]"),"&lt;="&amp;AY$1,INDIRECT("Table1[Ende]"),"&gt;="&amp;AY$1,INDIRECT("Table1[Obergruppe ATC-Code]"),Tabelle3!$A62)</f>
        <v>2</v>
      </c>
      <c r="AZ62">
        <f ca="1">COUNTIFS(INDIRECT("Table1[Beginn]"),"&lt;="&amp;AZ$1,INDIRECT("Table1[Ende]"),"&gt;="&amp;AZ$1,INDIRECT("Table1[Obergruppe ATC-Code]"),Tabelle3!$A62)</f>
        <v>2</v>
      </c>
      <c r="BA62">
        <f ca="1">COUNTIFS(INDIRECT("Table1[Beginn]"),"&lt;="&amp;BA$1,INDIRECT("Table1[Ende]"),"&gt;="&amp;BA$1,INDIRECT("Table1[Obergruppe ATC-Code]"),Tabelle3!$A62)</f>
        <v>2</v>
      </c>
      <c r="BB62">
        <f ca="1">COUNTIFS(INDIRECT("Table1[Beginn]"),"&lt;="&amp;BB$1,INDIRECT("Table1[Ende]"),"&gt;="&amp;BB$1,INDIRECT("Table1[Obergruppe ATC-Code]"),Tabelle3!$A62)</f>
        <v>2</v>
      </c>
      <c r="BC62">
        <f ca="1">COUNTIFS(INDIRECT("Table1[Beginn]"),"&lt;="&amp;BC$1,INDIRECT("Table1[Ende]"),"&gt;="&amp;BC$1,INDIRECT("Table1[Obergruppe ATC-Code]"),Tabelle3!$A62)</f>
        <v>2</v>
      </c>
      <c r="BD62">
        <f ca="1">COUNTIFS(INDIRECT("Table1[Beginn]"),"&lt;="&amp;BD$1,INDIRECT("Table1[Ende]"),"&gt;="&amp;BD$1,INDIRECT("Table1[Obergruppe ATC-Code]"),Tabelle3!$A62)</f>
        <v>2</v>
      </c>
      <c r="BE62">
        <f ca="1">COUNTIFS(INDIRECT("Table1[Beginn]"),"&lt;="&amp;BE$1,INDIRECT("Table1[Ende]"),"&gt;="&amp;BE$1,INDIRECT("Table1[Obergruppe ATC-Code]"),Tabelle3!$A62)</f>
        <v>2</v>
      </c>
      <c r="BF62">
        <f ca="1">COUNTIFS(INDIRECT("Table1[Beginn]"),"&lt;="&amp;BF$1,INDIRECT("Table1[Ende]"),"&gt;="&amp;BF$1,INDIRECT("Table1[Obergruppe ATC-Code]"),Tabelle3!$A62)</f>
        <v>2</v>
      </c>
      <c r="BG62">
        <f ca="1">COUNTIFS(INDIRECT("Table1[Beginn]"),"&lt;="&amp;BG$1,INDIRECT("Table1[Ende]"),"&gt;="&amp;BG$1,INDIRECT("Table1[Obergruppe ATC-Code]"),Tabelle3!$A62)</f>
        <v>2</v>
      </c>
      <c r="BH62">
        <f ca="1">COUNTIFS(INDIRECT("Table1[Beginn]"),"&lt;="&amp;BH$1,INDIRECT("Table1[Ende]"),"&gt;="&amp;BH$1,INDIRECT("Table1[Obergruppe ATC-Code]"),Tabelle3!$A62)</f>
        <v>3</v>
      </c>
      <c r="BI62">
        <f ca="1">COUNTIFS(INDIRECT("Table1[Beginn]"),"&lt;="&amp;BI$1,INDIRECT("Table1[Ende]"),"&gt;="&amp;BI$1,INDIRECT("Table1[Obergruppe ATC-Code]"),Tabelle3!$A62)</f>
        <v>6</v>
      </c>
      <c r="BJ62">
        <f ca="1">COUNTIFS(INDIRECT("Table1[Beginn]"),"&lt;="&amp;BJ$1,INDIRECT("Table1[Ende]"),"&gt;="&amp;BJ$1,INDIRECT("Table1[Obergruppe ATC-Code]"),Tabelle3!$A62)</f>
        <v>6</v>
      </c>
      <c r="BK62">
        <f ca="1">COUNTIFS(INDIRECT("Table1[Beginn]"),"&lt;="&amp;BK$1,INDIRECT("Table1[Ende]"),"&gt;="&amp;BK$1,INDIRECT("Table1[Obergruppe ATC-Code]"),Tabelle3!$A62)</f>
        <v>5</v>
      </c>
      <c r="BL62">
        <f ca="1">COUNTIFS(INDIRECT("Table1[Beginn]"),"&lt;="&amp;BL$1,INDIRECT("Table1[Ende]"),"&gt;="&amp;BL$1,INDIRECT("Table1[Obergruppe ATC-Code]"),Tabelle3!$A62)</f>
        <v>5</v>
      </c>
      <c r="BM62">
        <f ca="1">COUNTIFS(INDIRECT("Table1[Beginn]"),"&lt;="&amp;BM$1,INDIRECT("Table1[Ende]"),"&gt;="&amp;BM$1,INDIRECT("Table1[Obergruppe ATC-Code]"),Tabelle3!$A62)</f>
        <v>6</v>
      </c>
      <c r="BN62">
        <f ca="1">COUNTIFS(INDIRECT("Table1[Beginn]"),"&lt;="&amp;BN$1,INDIRECT("Table1[Ende]"),"&gt;="&amp;BN$1,INDIRECT("Table1[Obergruppe ATC-Code]"),Tabelle3!$A62)</f>
        <v>5</v>
      </c>
      <c r="BO62">
        <f ca="1">COUNTIFS(INDIRECT("Table1[Beginn]"),"&lt;="&amp;BO$1,INDIRECT("Table1[Ende]"),"&gt;="&amp;BO$1,INDIRECT("Table1[Obergruppe ATC-Code]"),Tabelle3!$A62)</f>
        <v>3</v>
      </c>
      <c r="BP62">
        <f ca="1">COUNTIFS(INDIRECT("Table1[Beginn]"),"&lt;="&amp;BP$1,INDIRECT("Table1[Ende]"),"&gt;="&amp;BP$1,INDIRECT("Table1[Obergruppe ATC-Code]"),Tabelle3!$A62)</f>
        <v>3</v>
      </c>
      <c r="BQ62">
        <f ca="1">COUNTIFS(INDIRECT("Table1[Beginn]"),"&lt;="&amp;BQ$1,INDIRECT("Table1[Ende]"),"&gt;="&amp;BQ$1,INDIRECT("Table1[Obergruppe ATC-Code]"),Tabelle3!$A62)</f>
        <v>3</v>
      </c>
      <c r="BR62">
        <f ca="1">COUNTIFS(INDIRECT("Table1[Beginn]"),"&lt;="&amp;BR$1,INDIRECT("Table1[Ende]"),"&gt;="&amp;BR$1,INDIRECT("Table1[Obergruppe ATC-Code]"),Tabelle3!$A62)</f>
        <v>3</v>
      </c>
      <c r="BS62">
        <f ca="1">COUNTIFS(INDIRECT("Table1[Beginn]"),"&lt;="&amp;BS$1,INDIRECT("Table1[Ende]"),"&gt;="&amp;BS$1,INDIRECT("Table1[Obergruppe ATC-Code]"),Tabelle3!$A62)</f>
        <v>3</v>
      </c>
      <c r="BT62">
        <f ca="1">COUNTIFS(INDIRECT("Table1[Beginn]"),"&lt;="&amp;BT$1,INDIRECT("Table1[Ende]"),"&gt;="&amp;BT$1,INDIRECT("Table1[Obergruppe ATC-Code]"),Tabelle3!$A62)</f>
        <v>4</v>
      </c>
      <c r="BU62">
        <f ca="1">COUNTIFS(INDIRECT("Table1[Beginn]"),"&lt;="&amp;BU$1,INDIRECT("Table1[Ende]"),"&gt;="&amp;BU$1,INDIRECT("Table1[Obergruppe ATC-Code]"),Tabelle3!$A62)</f>
        <v>4</v>
      </c>
      <c r="BV62">
        <f ca="1">COUNTIFS(INDIRECT("Table1[Beginn]"),"&lt;="&amp;BV$1,INDIRECT("Table1[Ende]"),"&gt;="&amp;BV$1,INDIRECT("Table1[Obergruppe ATC-Code]"),Tabelle3!$A62)</f>
        <v>4</v>
      </c>
      <c r="BW62">
        <f ca="1">COUNTIFS(INDIRECT("Table1[Beginn]"),"&lt;="&amp;BW$1,INDIRECT("Table1[Ende]"),"&gt;="&amp;BW$1,INDIRECT("Table1[Obergruppe ATC-Code]"),Tabelle3!$A62)</f>
        <v>7</v>
      </c>
      <c r="BX62">
        <f ca="1">COUNTIFS(INDIRECT("Table1[Beginn]"),"&lt;="&amp;BX$1,INDIRECT("Table1[Ende]"),"&gt;="&amp;BX$1,INDIRECT("Table1[Obergruppe ATC-Code]"),Tabelle3!$A62)</f>
        <v>9</v>
      </c>
      <c r="BY62">
        <f ca="1">COUNTIFS(INDIRECT("Table1[Beginn]"),"&lt;="&amp;BY$1,INDIRECT("Table1[Ende]"),"&gt;="&amp;BY$1,INDIRECT("Table1[Obergruppe ATC-Code]"),Tabelle3!$A62)</f>
        <v>7</v>
      </c>
      <c r="BZ62">
        <f ca="1">COUNTIFS(INDIRECT("Table1[Beginn]"),"&lt;="&amp;BZ$1,INDIRECT("Table1[Ende]"),"&gt;="&amp;BZ$1,INDIRECT("Table1[Obergruppe ATC-Code]"),Tabelle3!$A62)</f>
        <v>7</v>
      </c>
      <c r="CA62">
        <f ca="1">COUNTIFS(INDIRECT("Table1[Beginn]"),"&lt;="&amp;CA$1,INDIRECT("Table1[Ende]"),"&gt;="&amp;CA$1,INDIRECT("Table1[Obergruppe ATC-Code]"),Tabelle3!$A62)</f>
        <v>8</v>
      </c>
      <c r="CB62">
        <f ca="1">COUNTIFS(INDIRECT("Table1[Beginn]"),"&lt;="&amp;CB$1,INDIRECT("Table1[Ende]"),"&gt;="&amp;CB$1,INDIRECT("Table1[Obergruppe ATC-Code]"),Tabelle3!$A62)</f>
        <v>11</v>
      </c>
      <c r="CC62">
        <f ca="1">COUNTIFS(INDIRECT("Table1[Beginn]"),"&lt;="&amp;CC$1,INDIRECT("Table1[Ende]"),"&gt;="&amp;CC$1,INDIRECT("Table1[Obergruppe ATC-Code]"),Tabelle3!$A62)</f>
        <v>9</v>
      </c>
      <c r="CD62">
        <f ca="1">COUNTIFS(INDIRECT("Table1[Beginn]"),"&lt;="&amp;CD$1,INDIRECT("Table1[Ende]"),"&gt;="&amp;CD$1,INDIRECT("Table1[Obergruppe ATC-Code]"),Tabelle3!$A62)</f>
        <v>12</v>
      </c>
      <c r="CE62">
        <f ca="1">COUNTIFS(INDIRECT("Table1[Beginn]"),"&lt;="&amp;CE$1,INDIRECT("Table1[Ende]"),"&gt;="&amp;CE$1,INDIRECT("Table1[Obergruppe ATC-Code]"),Tabelle3!$A62)</f>
        <v>9</v>
      </c>
      <c r="CF62">
        <f ca="1">COUNTIFS(INDIRECT("Table1[Beginn]"),"&lt;="&amp;CF$1,INDIRECT("Table1[Ende]"),"&gt;="&amp;CF$1,INDIRECT("Table1[Obergruppe ATC-Code]"),Tabelle3!$A62)</f>
        <v>9</v>
      </c>
      <c r="CG62">
        <f ca="1">COUNTIFS(INDIRECT("Table1[Beginn]"),"&lt;="&amp;CG$1,INDIRECT("Table1[Ende]"),"&gt;="&amp;CG$1,INDIRECT("Table1[Obergruppe ATC-Code]"),Tabelle3!$A62)</f>
        <v>7</v>
      </c>
      <c r="CH62">
        <f ca="1">COUNTIFS(INDIRECT("Table1[Beginn]"),"&lt;="&amp;CH$1,INDIRECT("Table1[Ende]"),"&gt;="&amp;CH$1,INDIRECT("Table1[Obergruppe ATC-Code]"),Tabelle3!$A62)</f>
        <v>6</v>
      </c>
      <c r="CI62">
        <f ca="1">COUNTIFS(INDIRECT("Table1[Beginn]"),"&lt;="&amp;CI$1,INDIRECT("Table1[Ende]"),"&gt;="&amp;CI$1,INDIRECT("Table1[Obergruppe ATC-Code]"),Tabelle3!$A62)</f>
        <v>0</v>
      </c>
      <c r="CJ62">
        <f ca="1">COUNTIFS(INDIRECT("Table1[Beginn]"),"&lt;="&amp;CJ$1,INDIRECT("Table1[Ende]"),"&gt;="&amp;CJ$1,INDIRECT("Table1[Obergruppe ATC-Code]"),Tabelle3!$A62)</f>
        <v>0</v>
      </c>
      <c r="CK62">
        <f ca="1">COUNTIFS(INDIRECT("Table1[Beginn]"),"&lt;="&amp;CK$1,INDIRECT("Table1[Ende]"),"&gt;="&amp;CK$1,INDIRECT("Table1[Obergruppe ATC-Code]"),Tabelle3!$A62)</f>
        <v>0</v>
      </c>
      <c r="CL62">
        <f ca="1">COUNTIFS(INDIRECT("Table1[Beginn]"),"&lt;="&amp;CL$1,INDIRECT("Table1[Ende]"),"&gt;="&amp;CL$1,INDIRECT("Table1[Obergruppe ATC-Code]"),Tabelle3!$A62)</f>
        <v>0</v>
      </c>
      <c r="CM62">
        <f ca="1">COUNTIFS(INDIRECT("Table1[Beginn]"),"&lt;="&amp;CM$1,INDIRECT("Table1[Ende]"),"&gt;="&amp;CM$1,INDIRECT("Table1[Obergruppe ATC-Code]"),Tabelle3!$A62)</f>
        <v>0</v>
      </c>
      <c r="CN62">
        <f ca="1">COUNTIFS(INDIRECT("Table1[Beginn]"),"&lt;="&amp;CN$1,INDIRECT("Table1[Ende]"),"&gt;="&amp;CN$1,INDIRECT("Table1[Obergruppe ATC-Code]"),Tabelle3!$A62)</f>
        <v>0</v>
      </c>
      <c r="CO62">
        <f ca="1">COUNTIFS(INDIRECT("Table1[Beginn]"),"&lt;="&amp;CO$1,INDIRECT("Table1[Ende]"),"&gt;="&amp;CO$1,INDIRECT("Table1[Obergruppe ATC-Code]"),Tabelle3!$A62)</f>
        <v>0</v>
      </c>
      <c r="CP62">
        <f ca="1">COUNTIFS(INDIRECT("Table1[Beginn]"),"&lt;="&amp;CP$1,INDIRECT("Table1[Ende]"),"&gt;="&amp;CP$1,INDIRECT("Table1[Obergruppe ATC-Code]"),Tabelle3!$A62)</f>
        <v>0</v>
      </c>
      <c r="CQ62">
        <f ca="1">COUNTIFS(INDIRECT("Table1[Beginn]"),"&lt;="&amp;CQ$1,INDIRECT("Table1[Ende]"),"&gt;="&amp;CQ$1,INDIRECT("Table1[Obergruppe ATC-Code]"),Tabelle3!$A62)</f>
        <v>0</v>
      </c>
      <c r="CR62">
        <f ca="1">COUNTIFS(INDIRECT("Table1[Beginn]"),"&lt;="&amp;CR$1,INDIRECT("Table1[Ende]"),"&gt;="&amp;CR$1,INDIRECT("Table1[Obergruppe ATC-Code]"),Tabelle3!$A62)</f>
        <v>0</v>
      </c>
      <c r="CS62">
        <f ca="1">COUNTIFS(INDIRECT("Table1[Beginn]"),"&lt;="&amp;CS$1,INDIRECT("Table1[Ende]"),"&gt;="&amp;CS$1,INDIRECT("Table1[Obergruppe ATC-Code]"),Tabelle3!$A62)</f>
        <v>0</v>
      </c>
      <c r="CT62">
        <f ca="1">COUNTIFS(INDIRECT("Table1[Beginn]"),"&lt;="&amp;CT$1,INDIRECT("Table1[Ende]"),"&gt;="&amp;CT$1,INDIRECT("Table1[Obergruppe ATC-Code]"),Tabelle3!$A62)</f>
        <v>0</v>
      </c>
    </row>
    <row r="63" spans="1:112" ht="18">
      <c r="A63" s="9" t="s">
        <v>6894</v>
      </c>
      <c r="B63" s="10" t="s">
        <v>6895</v>
      </c>
      <c r="C63">
        <f ca="1">COUNTIFS(INDIRECT("Table1[Beginn]"),"&lt;="&amp;C$1,INDIRECT("Table1[Ende]"),"&gt;="&amp;C$1,INDIRECT("Table1[Obergruppe ATC-Code]"),Tabelle3!$A63)</f>
        <v>0</v>
      </c>
      <c r="D63">
        <f ca="1">COUNTIFS(INDIRECT("Table1[Beginn]"),"&lt;="&amp;D$1,INDIRECT("Table1[Ende]"),"&gt;="&amp;D$1,INDIRECT("Table1[Obergruppe ATC-Code]"),Tabelle3!$A63)</f>
        <v>0</v>
      </c>
      <c r="E63">
        <f ca="1">COUNTIFS(INDIRECT("Table1[Beginn]"),"&lt;="&amp;E$1,INDIRECT("Table1[Ende]"),"&gt;="&amp;E$1,INDIRECT("Table1[Obergruppe ATC-Code]"),Tabelle3!$A63)</f>
        <v>0</v>
      </c>
      <c r="F63">
        <f ca="1">COUNTIFS(INDIRECT("Table1[Beginn]"),"&lt;="&amp;F$1,INDIRECT("Table1[Ende]"),"&gt;="&amp;F$1,INDIRECT("Table1[Obergruppe ATC-Code]"),Tabelle3!$A63)</f>
        <v>0</v>
      </c>
      <c r="G63">
        <f ca="1">COUNTIFS(INDIRECT("Table1[Beginn]"),"&lt;="&amp;G$1,INDIRECT("Table1[Ende]"),"&gt;="&amp;G$1,INDIRECT("Table1[Obergruppe ATC-Code]"),Tabelle3!$A63)</f>
        <v>0</v>
      </c>
      <c r="H63">
        <f ca="1">COUNTIFS(INDIRECT("Table1[Beginn]"),"&lt;="&amp;H$1,INDIRECT("Table1[Ende]"),"&gt;="&amp;H$1,INDIRECT("Table1[Obergruppe ATC-Code]"),Tabelle3!$A63)</f>
        <v>0</v>
      </c>
      <c r="I63">
        <f ca="1">COUNTIFS(INDIRECT("Table1[Beginn]"),"&lt;="&amp;I$1,INDIRECT("Table1[Ende]"),"&gt;="&amp;I$1,INDIRECT("Table1[Obergruppe ATC-Code]"),Tabelle3!$A63)</f>
        <v>0</v>
      </c>
      <c r="J63">
        <f ca="1">COUNTIFS(INDIRECT("Table1[Beginn]"),"&lt;="&amp;J$1,INDIRECT("Table1[Ende]"),"&gt;="&amp;J$1,INDIRECT("Table1[Obergruppe ATC-Code]"),Tabelle3!$A63)</f>
        <v>0</v>
      </c>
      <c r="K63">
        <f ca="1">COUNTIFS(INDIRECT("Table1[Beginn]"),"&lt;="&amp;K$1,INDIRECT("Table1[Ende]"),"&gt;="&amp;K$1,INDIRECT("Table1[Obergruppe ATC-Code]"),Tabelle3!$A63)</f>
        <v>0</v>
      </c>
      <c r="L63">
        <f ca="1">COUNTIFS(INDIRECT("Table1[Beginn]"),"&lt;="&amp;L$1,INDIRECT("Table1[Ende]"),"&gt;="&amp;L$1,INDIRECT("Table1[Obergruppe ATC-Code]"),Tabelle3!$A63)</f>
        <v>0</v>
      </c>
      <c r="M63">
        <f ca="1">COUNTIFS(INDIRECT("Table1[Beginn]"),"&lt;="&amp;M$1,INDIRECT("Table1[Ende]"),"&gt;="&amp;M$1,INDIRECT("Table1[Obergruppe ATC-Code]"),Tabelle3!$A63)</f>
        <v>0</v>
      </c>
      <c r="N63">
        <f ca="1">COUNTIFS(INDIRECT("Table1[Beginn]"),"&lt;="&amp;N$1,INDIRECT("Table1[Ende]"),"&gt;="&amp;N$1,INDIRECT("Table1[Obergruppe ATC-Code]"),Tabelle3!$A63)</f>
        <v>0</v>
      </c>
      <c r="O63">
        <f ca="1">COUNTIFS(INDIRECT("Table1[Beginn]"),"&lt;="&amp;O$1,INDIRECT("Table1[Ende]"),"&gt;="&amp;O$1,INDIRECT("Table1[Obergruppe ATC-Code]"),Tabelle3!$A63)</f>
        <v>0</v>
      </c>
      <c r="P63">
        <f ca="1">COUNTIFS(INDIRECT("Table1[Beginn]"),"&lt;="&amp;P$1,INDIRECT("Table1[Ende]"),"&gt;="&amp;P$1,INDIRECT("Table1[Obergruppe ATC-Code]"),Tabelle3!$A63)</f>
        <v>0</v>
      </c>
      <c r="Q63">
        <f ca="1">COUNTIFS(INDIRECT("Table1[Beginn]"),"&lt;="&amp;Q$1,INDIRECT("Table1[Ende]"),"&gt;="&amp;Q$1,INDIRECT("Table1[Obergruppe ATC-Code]"),Tabelle3!$A63)</f>
        <v>0</v>
      </c>
      <c r="R63">
        <f ca="1">COUNTIFS(INDIRECT("Table1[Beginn]"),"&lt;="&amp;R$1,INDIRECT("Table1[Ende]"),"&gt;="&amp;R$1,INDIRECT("Table1[Obergruppe ATC-Code]"),Tabelle3!$A63)</f>
        <v>0</v>
      </c>
      <c r="S63">
        <f ca="1">COUNTIFS(INDIRECT("Table1[Beginn]"),"&lt;="&amp;S$1,INDIRECT("Table1[Ende]"),"&gt;="&amp;S$1,INDIRECT("Table1[Obergruppe ATC-Code]"),Tabelle3!$A63)</f>
        <v>0</v>
      </c>
      <c r="T63">
        <f ca="1">COUNTIFS(INDIRECT("Table1[Beginn]"),"&lt;="&amp;T$1,INDIRECT("Table1[Ende]"),"&gt;="&amp;T$1,INDIRECT("Table1[Obergruppe ATC-Code]"),Tabelle3!$A63)</f>
        <v>1</v>
      </c>
      <c r="U63">
        <f ca="1">COUNTIFS(INDIRECT("Table1[Beginn]"),"&lt;="&amp;U$1,INDIRECT("Table1[Ende]"),"&gt;="&amp;U$1,INDIRECT("Table1[Obergruppe ATC-Code]"),Tabelle3!$A63)</f>
        <v>1</v>
      </c>
      <c r="V63">
        <f ca="1">COUNTIFS(INDIRECT("Table1[Beginn]"),"&lt;="&amp;V$1,INDIRECT("Table1[Ende]"),"&gt;="&amp;V$1,INDIRECT("Table1[Obergruppe ATC-Code]"),Tabelle3!$A63)</f>
        <v>2</v>
      </c>
      <c r="W63">
        <f ca="1">COUNTIFS(INDIRECT("Table1[Beginn]"),"&lt;="&amp;W$1,INDIRECT("Table1[Ende]"),"&gt;="&amp;W$1,INDIRECT("Table1[Obergruppe ATC-Code]"),Tabelle3!$A63)</f>
        <v>2</v>
      </c>
      <c r="X63">
        <f ca="1">COUNTIFS(INDIRECT("Table1[Beginn]"),"&lt;="&amp;X$1,INDIRECT("Table1[Ende]"),"&gt;="&amp;X$1,INDIRECT("Table1[Obergruppe ATC-Code]"),Tabelle3!$A63)</f>
        <v>2</v>
      </c>
      <c r="Y63">
        <f ca="1">COUNTIFS(INDIRECT("Table1[Beginn]"),"&lt;="&amp;Y$1,INDIRECT("Table1[Ende]"),"&gt;="&amp;Y$1,INDIRECT("Table1[Obergruppe ATC-Code]"),Tabelle3!$A63)</f>
        <v>0</v>
      </c>
      <c r="Z63">
        <f ca="1">COUNTIFS(INDIRECT("Table1[Beginn]"),"&lt;="&amp;Z$1,INDIRECT("Table1[Ende]"),"&gt;="&amp;Z$1,INDIRECT("Table1[Obergruppe ATC-Code]"),Tabelle3!$A63)</f>
        <v>0</v>
      </c>
      <c r="AA63">
        <f ca="1">COUNTIFS(INDIRECT("Table1[Beginn]"),"&lt;="&amp;AA$1,INDIRECT("Table1[Ende]"),"&gt;="&amp;AA$1,INDIRECT("Table1[Obergruppe ATC-Code]"),Tabelle3!$A63)</f>
        <v>5</v>
      </c>
      <c r="AB63">
        <f ca="1">COUNTIFS(INDIRECT("Table1[Beginn]"),"&lt;="&amp;AB$1,INDIRECT("Table1[Ende]"),"&gt;="&amp;AB$1,INDIRECT("Table1[Obergruppe ATC-Code]"),Tabelle3!$A63)</f>
        <v>5</v>
      </c>
      <c r="AC63">
        <f ca="1">COUNTIFS(INDIRECT("Table1[Beginn]"),"&lt;="&amp;AC$1,INDIRECT("Table1[Ende]"),"&gt;="&amp;AC$1,INDIRECT("Table1[Obergruppe ATC-Code]"),Tabelle3!$A63)</f>
        <v>5</v>
      </c>
      <c r="AD63">
        <f ca="1">COUNTIFS(INDIRECT("Table1[Beginn]"),"&lt;="&amp;AD$1,INDIRECT("Table1[Ende]"),"&gt;="&amp;AD$1,INDIRECT("Table1[Obergruppe ATC-Code]"),Tabelle3!$A63)</f>
        <v>5</v>
      </c>
      <c r="AE63">
        <f ca="1">COUNTIFS(INDIRECT("Table1[Beginn]"),"&lt;="&amp;AE$1,INDIRECT("Table1[Ende]"),"&gt;="&amp;AE$1,INDIRECT("Table1[Obergruppe ATC-Code]"),Tabelle3!$A63)</f>
        <v>5</v>
      </c>
      <c r="AF63">
        <f ca="1">COUNTIFS(INDIRECT("Table1[Beginn]"),"&lt;="&amp;AF$1,INDIRECT("Table1[Ende]"),"&gt;="&amp;AF$1,INDIRECT("Table1[Obergruppe ATC-Code]"),Tabelle3!$A63)</f>
        <v>5</v>
      </c>
      <c r="AG63">
        <f ca="1">COUNTIFS(INDIRECT("Table1[Beginn]"),"&lt;="&amp;AG$1,INDIRECT("Table1[Ende]"),"&gt;="&amp;AG$1,INDIRECT("Table1[Obergruppe ATC-Code]"),Tabelle3!$A63)</f>
        <v>3</v>
      </c>
      <c r="AH63">
        <f ca="1">COUNTIFS(INDIRECT("Table1[Beginn]"),"&lt;="&amp;AH$1,INDIRECT("Table1[Ende]"),"&gt;="&amp;AH$1,INDIRECT("Table1[Obergruppe ATC-Code]"),Tabelle3!$A63)</f>
        <v>4</v>
      </c>
      <c r="AI63">
        <f ca="1">COUNTIFS(INDIRECT("Table1[Beginn]"),"&lt;="&amp;AI$1,INDIRECT("Table1[Ende]"),"&gt;="&amp;AI$1,INDIRECT("Table1[Obergruppe ATC-Code]"),Tabelle3!$A63)</f>
        <v>3</v>
      </c>
      <c r="AJ63">
        <f ca="1">COUNTIFS(INDIRECT("Table1[Beginn]"),"&lt;="&amp;AJ$1,INDIRECT("Table1[Ende]"),"&gt;="&amp;AJ$1,INDIRECT("Table1[Obergruppe ATC-Code]"),Tabelle3!$A63)</f>
        <v>5</v>
      </c>
      <c r="AK63">
        <f ca="1">COUNTIFS(INDIRECT("Table1[Beginn]"),"&lt;="&amp;AK$1,INDIRECT("Table1[Ende]"),"&gt;="&amp;AK$1,INDIRECT("Table1[Obergruppe ATC-Code]"),Tabelle3!$A63)</f>
        <v>6</v>
      </c>
      <c r="AL63">
        <f ca="1">COUNTIFS(INDIRECT("Table1[Beginn]"),"&lt;="&amp;AL$1,INDIRECT("Table1[Ende]"),"&gt;="&amp;AL$1,INDIRECT("Table1[Obergruppe ATC-Code]"),Tabelle3!$A63)</f>
        <v>6</v>
      </c>
      <c r="AM63">
        <f ca="1">COUNTIFS(INDIRECT("Table1[Beginn]"),"&lt;="&amp;AM$1,INDIRECT("Table1[Ende]"),"&gt;="&amp;AM$1,INDIRECT("Table1[Obergruppe ATC-Code]"),Tabelle3!$A63)</f>
        <v>5</v>
      </c>
      <c r="AN63">
        <f ca="1">COUNTIFS(INDIRECT("Table1[Beginn]"),"&lt;="&amp;AN$1,INDIRECT("Table1[Ende]"),"&gt;="&amp;AN$1,INDIRECT("Table1[Obergruppe ATC-Code]"),Tabelle3!$A63)</f>
        <v>5</v>
      </c>
      <c r="AO63">
        <f ca="1">COUNTIFS(INDIRECT("Table1[Beginn]"),"&lt;="&amp;AO$1,INDIRECT("Table1[Ende]"),"&gt;="&amp;AO$1,INDIRECT("Table1[Obergruppe ATC-Code]"),Tabelle3!$A63)</f>
        <v>6</v>
      </c>
      <c r="AP63">
        <f ca="1">COUNTIFS(INDIRECT("Table1[Beginn]"),"&lt;="&amp;AP$1,INDIRECT("Table1[Ende]"),"&gt;="&amp;AP$1,INDIRECT("Table1[Obergruppe ATC-Code]"),Tabelle3!$A63)</f>
        <v>8</v>
      </c>
      <c r="AQ63">
        <f ca="1">COUNTIFS(INDIRECT("Table1[Beginn]"),"&lt;="&amp;AQ$1,INDIRECT("Table1[Ende]"),"&gt;="&amp;AQ$1,INDIRECT("Table1[Obergruppe ATC-Code]"),Tabelle3!$A63)</f>
        <v>6</v>
      </c>
      <c r="AR63">
        <f ca="1">COUNTIFS(INDIRECT("Table1[Beginn]"),"&lt;="&amp;AR$1,INDIRECT("Table1[Ende]"),"&gt;="&amp;AR$1,INDIRECT("Table1[Obergruppe ATC-Code]"),Tabelle3!$A63)</f>
        <v>6</v>
      </c>
      <c r="AS63">
        <f ca="1">COUNTIFS(INDIRECT("Table1[Beginn]"),"&lt;="&amp;AS$1,INDIRECT("Table1[Ende]"),"&gt;="&amp;AS$1,INDIRECT("Table1[Obergruppe ATC-Code]"),Tabelle3!$A63)</f>
        <v>8</v>
      </c>
      <c r="AT63">
        <f ca="1">COUNTIFS(INDIRECT("Table1[Beginn]"),"&lt;="&amp;AT$1,INDIRECT("Table1[Ende]"),"&gt;="&amp;AT$1,INDIRECT("Table1[Obergruppe ATC-Code]"),Tabelle3!$A63)</f>
        <v>5</v>
      </c>
      <c r="AU63">
        <f ca="1">COUNTIFS(INDIRECT("Table1[Beginn]"),"&lt;="&amp;AU$1,INDIRECT("Table1[Ende]"),"&gt;="&amp;AU$1,INDIRECT("Table1[Obergruppe ATC-Code]"),Tabelle3!$A63)</f>
        <v>5</v>
      </c>
      <c r="AV63">
        <f ca="1">COUNTIFS(INDIRECT("Table1[Beginn]"),"&lt;="&amp;AV$1,INDIRECT("Table1[Ende]"),"&gt;="&amp;AV$1,INDIRECT("Table1[Obergruppe ATC-Code]"),Tabelle3!$A63)</f>
        <v>5</v>
      </c>
      <c r="AW63">
        <f ca="1">COUNTIFS(INDIRECT("Table1[Beginn]"),"&lt;="&amp;AW$1,INDIRECT("Table1[Ende]"),"&gt;="&amp;AW$1,INDIRECT("Table1[Obergruppe ATC-Code]"),Tabelle3!$A63)</f>
        <v>5</v>
      </c>
      <c r="AX63">
        <f ca="1">COUNTIFS(INDIRECT("Table1[Beginn]"),"&lt;="&amp;AX$1,INDIRECT("Table1[Ende]"),"&gt;="&amp;AX$1,INDIRECT("Table1[Obergruppe ATC-Code]"),Tabelle3!$A63)</f>
        <v>1</v>
      </c>
      <c r="AY63">
        <f ca="1">COUNTIFS(INDIRECT("Table1[Beginn]"),"&lt;="&amp;AY$1,INDIRECT("Table1[Ende]"),"&gt;="&amp;AY$1,INDIRECT("Table1[Obergruppe ATC-Code]"),Tabelle3!$A63)</f>
        <v>1</v>
      </c>
      <c r="AZ63">
        <f ca="1">COUNTIFS(INDIRECT("Table1[Beginn]"),"&lt;="&amp;AZ$1,INDIRECT("Table1[Ende]"),"&gt;="&amp;AZ$1,INDIRECT("Table1[Obergruppe ATC-Code]"),Tabelle3!$A63)</f>
        <v>1</v>
      </c>
      <c r="BA63">
        <f ca="1">COUNTIFS(INDIRECT("Table1[Beginn]"),"&lt;="&amp;BA$1,INDIRECT("Table1[Ende]"),"&gt;="&amp;BA$1,INDIRECT("Table1[Obergruppe ATC-Code]"),Tabelle3!$A63)</f>
        <v>1</v>
      </c>
      <c r="BB63">
        <f ca="1">COUNTIFS(INDIRECT("Table1[Beginn]"),"&lt;="&amp;BB$1,INDIRECT("Table1[Ende]"),"&gt;="&amp;BB$1,INDIRECT("Table1[Obergruppe ATC-Code]"),Tabelle3!$A63)</f>
        <v>1</v>
      </c>
      <c r="BC63">
        <f ca="1">COUNTIFS(INDIRECT("Table1[Beginn]"),"&lt;="&amp;BC$1,INDIRECT("Table1[Ende]"),"&gt;="&amp;BC$1,INDIRECT("Table1[Obergruppe ATC-Code]"),Tabelle3!$A63)</f>
        <v>1</v>
      </c>
      <c r="BD63">
        <f ca="1">COUNTIFS(INDIRECT("Table1[Beginn]"),"&lt;="&amp;BD$1,INDIRECT("Table1[Ende]"),"&gt;="&amp;BD$1,INDIRECT("Table1[Obergruppe ATC-Code]"),Tabelle3!$A63)</f>
        <v>1</v>
      </c>
      <c r="BE63">
        <f ca="1">COUNTIFS(INDIRECT("Table1[Beginn]"),"&lt;="&amp;BE$1,INDIRECT("Table1[Ende]"),"&gt;="&amp;BE$1,INDIRECT("Table1[Obergruppe ATC-Code]"),Tabelle3!$A63)</f>
        <v>1</v>
      </c>
      <c r="BF63">
        <f ca="1">COUNTIFS(INDIRECT("Table1[Beginn]"),"&lt;="&amp;BF$1,INDIRECT("Table1[Ende]"),"&gt;="&amp;BF$1,INDIRECT("Table1[Obergruppe ATC-Code]"),Tabelle3!$A63)</f>
        <v>1</v>
      </c>
      <c r="BG63">
        <f ca="1">COUNTIFS(INDIRECT("Table1[Beginn]"),"&lt;="&amp;BG$1,INDIRECT("Table1[Ende]"),"&gt;="&amp;BG$1,INDIRECT("Table1[Obergruppe ATC-Code]"),Tabelle3!$A63)</f>
        <v>1</v>
      </c>
      <c r="BH63">
        <f ca="1">COUNTIFS(INDIRECT("Table1[Beginn]"),"&lt;="&amp;BH$1,INDIRECT("Table1[Ende]"),"&gt;="&amp;BH$1,INDIRECT("Table1[Obergruppe ATC-Code]"),Tabelle3!$A63)</f>
        <v>1</v>
      </c>
      <c r="BI63">
        <f ca="1">COUNTIFS(INDIRECT("Table1[Beginn]"),"&lt;="&amp;BI$1,INDIRECT("Table1[Ende]"),"&gt;="&amp;BI$1,INDIRECT("Table1[Obergruppe ATC-Code]"),Tabelle3!$A63)</f>
        <v>2</v>
      </c>
      <c r="BJ63">
        <f ca="1">COUNTIFS(INDIRECT("Table1[Beginn]"),"&lt;="&amp;BJ$1,INDIRECT("Table1[Ende]"),"&gt;="&amp;BJ$1,INDIRECT("Table1[Obergruppe ATC-Code]"),Tabelle3!$A63)</f>
        <v>1</v>
      </c>
      <c r="BK63">
        <f ca="1">COUNTIFS(INDIRECT("Table1[Beginn]"),"&lt;="&amp;BK$1,INDIRECT("Table1[Ende]"),"&gt;="&amp;BK$1,INDIRECT("Table1[Obergruppe ATC-Code]"),Tabelle3!$A63)</f>
        <v>1</v>
      </c>
      <c r="BL63">
        <f ca="1">COUNTIFS(INDIRECT("Table1[Beginn]"),"&lt;="&amp;BL$1,INDIRECT("Table1[Ende]"),"&gt;="&amp;BL$1,INDIRECT("Table1[Obergruppe ATC-Code]"),Tabelle3!$A63)</f>
        <v>1</v>
      </c>
      <c r="BM63">
        <f ca="1">COUNTIFS(INDIRECT("Table1[Beginn]"),"&lt;="&amp;BM$1,INDIRECT("Table1[Ende]"),"&gt;="&amp;BM$1,INDIRECT("Table1[Obergruppe ATC-Code]"),Tabelle3!$A63)</f>
        <v>1</v>
      </c>
      <c r="BN63">
        <f ca="1">COUNTIFS(INDIRECT("Table1[Beginn]"),"&lt;="&amp;BN$1,INDIRECT("Table1[Ende]"),"&gt;="&amp;BN$1,INDIRECT("Table1[Obergruppe ATC-Code]"),Tabelle3!$A63)</f>
        <v>2</v>
      </c>
      <c r="BO63">
        <f ca="1">COUNTIFS(INDIRECT("Table1[Beginn]"),"&lt;="&amp;BO$1,INDIRECT("Table1[Ende]"),"&gt;="&amp;BO$1,INDIRECT("Table1[Obergruppe ATC-Code]"),Tabelle3!$A63)</f>
        <v>2</v>
      </c>
      <c r="BP63">
        <f ca="1">COUNTIFS(INDIRECT("Table1[Beginn]"),"&lt;="&amp;BP$1,INDIRECT("Table1[Ende]"),"&gt;="&amp;BP$1,INDIRECT("Table1[Obergruppe ATC-Code]"),Tabelle3!$A63)</f>
        <v>2</v>
      </c>
      <c r="BQ63">
        <f ca="1">COUNTIFS(INDIRECT("Table1[Beginn]"),"&lt;="&amp;BQ$1,INDIRECT("Table1[Ende]"),"&gt;="&amp;BQ$1,INDIRECT("Table1[Obergruppe ATC-Code]"),Tabelle3!$A63)</f>
        <v>2</v>
      </c>
      <c r="BR63">
        <f ca="1">COUNTIFS(INDIRECT("Table1[Beginn]"),"&lt;="&amp;BR$1,INDIRECT("Table1[Ende]"),"&gt;="&amp;BR$1,INDIRECT("Table1[Obergruppe ATC-Code]"),Tabelle3!$A63)</f>
        <v>4</v>
      </c>
      <c r="BS63">
        <f ca="1">COUNTIFS(INDIRECT("Table1[Beginn]"),"&lt;="&amp;BS$1,INDIRECT("Table1[Ende]"),"&gt;="&amp;BS$1,INDIRECT("Table1[Obergruppe ATC-Code]"),Tabelle3!$A63)</f>
        <v>4</v>
      </c>
      <c r="BT63">
        <f ca="1">COUNTIFS(INDIRECT("Table1[Beginn]"),"&lt;="&amp;BT$1,INDIRECT("Table1[Ende]"),"&gt;="&amp;BT$1,INDIRECT("Table1[Obergruppe ATC-Code]"),Tabelle3!$A63)</f>
        <v>4</v>
      </c>
      <c r="BU63">
        <f ca="1">COUNTIFS(INDIRECT("Table1[Beginn]"),"&lt;="&amp;BU$1,INDIRECT("Table1[Ende]"),"&gt;="&amp;BU$1,INDIRECT("Table1[Obergruppe ATC-Code]"),Tabelle3!$A63)</f>
        <v>4</v>
      </c>
      <c r="BV63">
        <f ca="1">COUNTIFS(INDIRECT("Table1[Beginn]"),"&lt;="&amp;BV$1,INDIRECT("Table1[Ende]"),"&gt;="&amp;BV$1,INDIRECT("Table1[Obergruppe ATC-Code]"),Tabelle3!$A63)</f>
        <v>3</v>
      </c>
      <c r="BW63">
        <f ca="1">COUNTIFS(INDIRECT("Table1[Beginn]"),"&lt;="&amp;BW$1,INDIRECT("Table1[Ende]"),"&gt;="&amp;BW$1,INDIRECT("Table1[Obergruppe ATC-Code]"),Tabelle3!$A63)</f>
        <v>1</v>
      </c>
      <c r="BX63">
        <f ca="1">COUNTIFS(INDIRECT("Table1[Beginn]"),"&lt;="&amp;BX$1,INDIRECT("Table1[Ende]"),"&gt;="&amp;BX$1,INDIRECT("Table1[Obergruppe ATC-Code]"),Tabelle3!$A63)</f>
        <v>6</v>
      </c>
      <c r="BY63">
        <f ca="1">COUNTIFS(INDIRECT("Table1[Beginn]"),"&lt;="&amp;BY$1,INDIRECT("Table1[Ende]"),"&gt;="&amp;BY$1,INDIRECT("Table1[Obergruppe ATC-Code]"),Tabelle3!$A63)</f>
        <v>6</v>
      </c>
      <c r="BZ63">
        <f ca="1">COUNTIFS(INDIRECT("Table1[Beginn]"),"&lt;="&amp;BZ$1,INDIRECT("Table1[Ende]"),"&gt;="&amp;BZ$1,INDIRECT("Table1[Obergruppe ATC-Code]"),Tabelle3!$A63)</f>
        <v>6</v>
      </c>
      <c r="CA63">
        <f ca="1">COUNTIFS(INDIRECT("Table1[Beginn]"),"&lt;="&amp;CA$1,INDIRECT("Table1[Ende]"),"&gt;="&amp;CA$1,INDIRECT("Table1[Obergruppe ATC-Code]"),Tabelle3!$A63)</f>
        <v>6</v>
      </c>
      <c r="CB63">
        <f ca="1">COUNTIFS(INDIRECT("Table1[Beginn]"),"&lt;="&amp;CB$1,INDIRECT("Table1[Ende]"),"&gt;="&amp;CB$1,INDIRECT("Table1[Obergruppe ATC-Code]"),Tabelle3!$A63)</f>
        <v>5</v>
      </c>
      <c r="CC63">
        <f ca="1">COUNTIFS(INDIRECT("Table1[Beginn]"),"&lt;="&amp;CC$1,INDIRECT("Table1[Ende]"),"&gt;="&amp;CC$1,INDIRECT("Table1[Obergruppe ATC-Code]"),Tabelle3!$A63)</f>
        <v>6</v>
      </c>
      <c r="CD63">
        <f ca="1">COUNTIFS(INDIRECT("Table1[Beginn]"),"&lt;="&amp;CD$1,INDIRECT("Table1[Ende]"),"&gt;="&amp;CD$1,INDIRECT("Table1[Obergruppe ATC-Code]"),Tabelle3!$A63)</f>
        <v>3</v>
      </c>
      <c r="CE63">
        <f ca="1">COUNTIFS(INDIRECT("Table1[Beginn]"),"&lt;="&amp;CE$1,INDIRECT("Table1[Ende]"),"&gt;="&amp;CE$1,INDIRECT("Table1[Obergruppe ATC-Code]"),Tabelle3!$A63)</f>
        <v>4</v>
      </c>
      <c r="CF63">
        <f ca="1">COUNTIFS(INDIRECT("Table1[Beginn]"),"&lt;="&amp;CF$1,INDIRECT("Table1[Ende]"),"&gt;="&amp;CF$1,INDIRECT("Table1[Obergruppe ATC-Code]"),Tabelle3!$A63)</f>
        <v>4</v>
      </c>
      <c r="CG63">
        <f ca="1">COUNTIFS(INDIRECT("Table1[Beginn]"),"&lt;="&amp;CG$1,INDIRECT("Table1[Ende]"),"&gt;="&amp;CG$1,INDIRECT("Table1[Obergruppe ATC-Code]"),Tabelle3!$A63)</f>
        <v>2</v>
      </c>
      <c r="CH63">
        <f ca="1">COUNTIFS(INDIRECT("Table1[Beginn]"),"&lt;="&amp;CH$1,INDIRECT("Table1[Ende]"),"&gt;="&amp;CH$1,INDIRECT("Table1[Obergruppe ATC-Code]"),Tabelle3!$A63)</f>
        <v>1</v>
      </c>
      <c r="CI63">
        <f ca="1">COUNTIFS(INDIRECT("Table1[Beginn]"),"&lt;="&amp;CI$1,INDIRECT("Table1[Ende]"),"&gt;="&amp;CI$1,INDIRECT("Table1[Obergruppe ATC-Code]"),Tabelle3!$A63)</f>
        <v>1</v>
      </c>
      <c r="CJ63">
        <f ca="1">COUNTIFS(INDIRECT("Table1[Beginn]"),"&lt;="&amp;CJ$1,INDIRECT("Table1[Ende]"),"&gt;="&amp;CJ$1,INDIRECT("Table1[Obergruppe ATC-Code]"),Tabelle3!$A63)</f>
        <v>1</v>
      </c>
      <c r="CK63">
        <f ca="1">COUNTIFS(INDIRECT("Table1[Beginn]"),"&lt;="&amp;CK$1,INDIRECT("Table1[Ende]"),"&gt;="&amp;CK$1,INDIRECT("Table1[Obergruppe ATC-Code]"),Tabelle3!$A63)</f>
        <v>1</v>
      </c>
      <c r="CL63">
        <f ca="1">COUNTIFS(INDIRECT("Table1[Beginn]"),"&lt;="&amp;CL$1,INDIRECT("Table1[Ende]"),"&gt;="&amp;CL$1,INDIRECT("Table1[Obergruppe ATC-Code]"),Tabelle3!$A63)</f>
        <v>1</v>
      </c>
      <c r="CM63">
        <f ca="1">COUNTIFS(INDIRECT("Table1[Beginn]"),"&lt;="&amp;CM$1,INDIRECT("Table1[Ende]"),"&gt;="&amp;CM$1,INDIRECT("Table1[Obergruppe ATC-Code]"),Tabelle3!$A63)</f>
        <v>0</v>
      </c>
      <c r="CN63">
        <f ca="1">COUNTIFS(INDIRECT("Table1[Beginn]"),"&lt;="&amp;CN$1,INDIRECT("Table1[Ende]"),"&gt;="&amp;CN$1,INDIRECT("Table1[Obergruppe ATC-Code]"),Tabelle3!$A63)</f>
        <v>0</v>
      </c>
      <c r="CO63">
        <f ca="1">COUNTIFS(INDIRECT("Table1[Beginn]"),"&lt;="&amp;CO$1,INDIRECT("Table1[Ende]"),"&gt;="&amp;CO$1,INDIRECT("Table1[Obergruppe ATC-Code]"),Tabelle3!$A63)</f>
        <v>0</v>
      </c>
      <c r="CP63">
        <f ca="1">COUNTIFS(INDIRECT("Table1[Beginn]"),"&lt;="&amp;CP$1,INDIRECT("Table1[Ende]"),"&gt;="&amp;CP$1,INDIRECT("Table1[Obergruppe ATC-Code]"),Tabelle3!$A63)</f>
        <v>0</v>
      </c>
      <c r="CQ63">
        <f ca="1">COUNTIFS(INDIRECT("Table1[Beginn]"),"&lt;="&amp;CQ$1,INDIRECT("Table1[Ende]"),"&gt;="&amp;CQ$1,INDIRECT("Table1[Obergruppe ATC-Code]"),Tabelle3!$A63)</f>
        <v>0</v>
      </c>
      <c r="CR63">
        <f ca="1">COUNTIFS(INDIRECT("Table1[Beginn]"),"&lt;="&amp;CR$1,INDIRECT("Table1[Ende]"),"&gt;="&amp;CR$1,INDIRECT("Table1[Obergruppe ATC-Code]"),Tabelle3!$A63)</f>
        <v>0</v>
      </c>
      <c r="CS63">
        <f ca="1">COUNTIFS(INDIRECT("Table1[Beginn]"),"&lt;="&amp;CS$1,INDIRECT("Table1[Ende]"),"&gt;="&amp;CS$1,INDIRECT("Table1[Obergruppe ATC-Code]"),Tabelle3!$A63)</f>
        <v>0</v>
      </c>
      <c r="CT63">
        <f ca="1">COUNTIFS(INDIRECT("Table1[Beginn]"),"&lt;="&amp;CT$1,INDIRECT("Table1[Ende]"),"&gt;="&amp;CT$1,INDIRECT("Table1[Obergruppe ATC-Code]"),Tabelle3!$A63)</f>
        <v>0</v>
      </c>
    </row>
    <row r="64" spans="1:112" ht="18">
      <c r="A64" s="7" t="s">
        <v>6896</v>
      </c>
      <c r="B64" s="8" t="s">
        <v>6897</v>
      </c>
      <c r="C64">
        <f ca="1">COUNTIFS(INDIRECT("Table1[Beginn]"),"&lt;="&amp;C$1,INDIRECT("Table1[Ende]"),"&gt;="&amp;C$1,INDIRECT("Table1[Obergruppe ATC-Code]"),Tabelle3!$A64)</f>
        <v>0</v>
      </c>
      <c r="D64">
        <f ca="1">COUNTIFS(INDIRECT("Table1[Beginn]"),"&lt;="&amp;D$1,INDIRECT("Table1[Ende]"),"&gt;="&amp;D$1,INDIRECT("Table1[Obergruppe ATC-Code]"),Tabelle3!$A64)</f>
        <v>0</v>
      </c>
      <c r="E64">
        <f ca="1">COUNTIFS(INDIRECT("Table1[Beginn]"),"&lt;="&amp;E$1,INDIRECT("Table1[Ende]"),"&gt;="&amp;E$1,INDIRECT("Table1[Obergruppe ATC-Code]"),Tabelle3!$A64)</f>
        <v>0</v>
      </c>
      <c r="F64">
        <f ca="1">COUNTIFS(INDIRECT("Table1[Beginn]"),"&lt;="&amp;F$1,INDIRECT("Table1[Ende]"),"&gt;="&amp;F$1,INDIRECT("Table1[Obergruppe ATC-Code]"),Tabelle3!$A64)</f>
        <v>0</v>
      </c>
      <c r="G64">
        <f ca="1">COUNTIFS(INDIRECT("Table1[Beginn]"),"&lt;="&amp;G$1,INDIRECT("Table1[Ende]"),"&gt;="&amp;G$1,INDIRECT("Table1[Obergruppe ATC-Code]"),Tabelle3!$A64)</f>
        <v>0</v>
      </c>
      <c r="H64">
        <f ca="1">COUNTIFS(INDIRECT("Table1[Beginn]"),"&lt;="&amp;H$1,INDIRECT("Table1[Ende]"),"&gt;="&amp;H$1,INDIRECT("Table1[Obergruppe ATC-Code]"),Tabelle3!$A64)</f>
        <v>0</v>
      </c>
      <c r="I64">
        <f ca="1">COUNTIFS(INDIRECT("Table1[Beginn]"),"&lt;="&amp;I$1,INDIRECT("Table1[Ende]"),"&gt;="&amp;I$1,INDIRECT("Table1[Obergruppe ATC-Code]"),Tabelle3!$A64)</f>
        <v>0</v>
      </c>
      <c r="J64">
        <f ca="1">COUNTIFS(INDIRECT("Table1[Beginn]"),"&lt;="&amp;J$1,INDIRECT("Table1[Ende]"),"&gt;="&amp;J$1,INDIRECT("Table1[Obergruppe ATC-Code]"),Tabelle3!$A64)</f>
        <v>0</v>
      </c>
      <c r="K64">
        <f ca="1">COUNTIFS(INDIRECT("Table1[Beginn]"),"&lt;="&amp;K$1,INDIRECT("Table1[Ende]"),"&gt;="&amp;K$1,INDIRECT("Table1[Obergruppe ATC-Code]"),Tabelle3!$A64)</f>
        <v>0</v>
      </c>
      <c r="L64">
        <f ca="1">COUNTIFS(INDIRECT("Table1[Beginn]"),"&lt;="&amp;L$1,INDIRECT("Table1[Ende]"),"&gt;="&amp;L$1,INDIRECT("Table1[Obergruppe ATC-Code]"),Tabelle3!$A64)</f>
        <v>0</v>
      </c>
      <c r="M64">
        <f ca="1">COUNTIFS(INDIRECT("Table1[Beginn]"),"&lt;="&amp;M$1,INDIRECT("Table1[Ende]"),"&gt;="&amp;M$1,INDIRECT("Table1[Obergruppe ATC-Code]"),Tabelle3!$A64)</f>
        <v>0</v>
      </c>
      <c r="N64">
        <f ca="1">COUNTIFS(INDIRECT("Table1[Beginn]"),"&lt;="&amp;N$1,INDIRECT("Table1[Ende]"),"&gt;="&amp;N$1,INDIRECT("Table1[Obergruppe ATC-Code]"),Tabelle3!$A64)</f>
        <v>0</v>
      </c>
      <c r="O64">
        <f ca="1">COUNTIFS(INDIRECT("Table1[Beginn]"),"&lt;="&amp;O$1,INDIRECT("Table1[Ende]"),"&gt;="&amp;O$1,INDIRECT("Table1[Obergruppe ATC-Code]"),Tabelle3!$A64)</f>
        <v>0</v>
      </c>
      <c r="P64">
        <f ca="1">COUNTIFS(INDIRECT("Table1[Beginn]"),"&lt;="&amp;P$1,INDIRECT("Table1[Ende]"),"&gt;="&amp;P$1,INDIRECT("Table1[Obergruppe ATC-Code]"),Tabelle3!$A64)</f>
        <v>0</v>
      </c>
      <c r="Q64">
        <f ca="1">COUNTIFS(INDIRECT("Table1[Beginn]"),"&lt;="&amp;Q$1,INDIRECT("Table1[Ende]"),"&gt;="&amp;Q$1,INDIRECT("Table1[Obergruppe ATC-Code]"),Tabelle3!$A64)</f>
        <v>0</v>
      </c>
      <c r="R64">
        <f ca="1">COUNTIFS(INDIRECT("Table1[Beginn]"),"&lt;="&amp;R$1,INDIRECT("Table1[Ende]"),"&gt;="&amp;R$1,INDIRECT("Table1[Obergruppe ATC-Code]"),Tabelle3!$A64)</f>
        <v>0</v>
      </c>
      <c r="S64">
        <f ca="1">COUNTIFS(INDIRECT("Table1[Beginn]"),"&lt;="&amp;S$1,INDIRECT("Table1[Ende]"),"&gt;="&amp;S$1,INDIRECT("Table1[Obergruppe ATC-Code]"),Tabelle3!$A64)</f>
        <v>0</v>
      </c>
      <c r="T64">
        <f ca="1">COUNTIFS(INDIRECT("Table1[Beginn]"),"&lt;="&amp;T$1,INDIRECT("Table1[Ende]"),"&gt;="&amp;T$1,INDIRECT("Table1[Obergruppe ATC-Code]"),Tabelle3!$A64)</f>
        <v>0</v>
      </c>
      <c r="U64">
        <f ca="1">COUNTIFS(INDIRECT("Table1[Beginn]"),"&lt;="&amp;U$1,INDIRECT("Table1[Ende]"),"&gt;="&amp;U$1,INDIRECT("Table1[Obergruppe ATC-Code]"),Tabelle3!$A64)</f>
        <v>0</v>
      </c>
      <c r="V64">
        <f ca="1">COUNTIFS(INDIRECT("Table1[Beginn]"),"&lt;="&amp;V$1,INDIRECT("Table1[Ende]"),"&gt;="&amp;V$1,INDIRECT("Table1[Obergruppe ATC-Code]"),Tabelle3!$A64)</f>
        <v>0</v>
      </c>
      <c r="W64">
        <f ca="1">COUNTIFS(INDIRECT("Table1[Beginn]"),"&lt;="&amp;W$1,INDIRECT("Table1[Ende]"),"&gt;="&amp;W$1,INDIRECT("Table1[Obergruppe ATC-Code]"),Tabelle3!$A64)</f>
        <v>0</v>
      </c>
      <c r="X64">
        <f ca="1">COUNTIFS(INDIRECT("Table1[Beginn]"),"&lt;="&amp;X$1,INDIRECT("Table1[Ende]"),"&gt;="&amp;X$1,INDIRECT("Table1[Obergruppe ATC-Code]"),Tabelle3!$A64)</f>
        <v>0</v>
      </c>
      <c r="Y64">
        <f ca="1">COUNTIFS(INDIRECT("Table1[Beginn]"),"&lt;="&amp;Y$1,INDIRECT("Table1[Ende]"),"&gt;="&amp;Y$1,INDIRECT("Table1[Obergruppe ATC-Code]"),Tabelle3!$A64)</f>
        <v>0</v>
      </c>
      <c r="Z64">
        <f ca="1">COUNTIFS(INDIRECT("Table1[Beginn]"),"&lt;="&amp;Z$1,INDIRECT("Table1[Ende]"),"&gt;="&amp;Z$1,INDIRECT("Table1[Obergruppe ATC-Code]"),Tabelle3!$A64)</f>
        <v>0</v>
      </c>
      <c r="AA64">
        <f ca="1">COUNTIFS(INDIRECT("Table1[Beginn]"),"&lt;="&amp;AA$1,INDIRECT("Table1[Ende]"),"&gt;="&amp;AA$1,INDIRECT("Table1[Obergruppe ATC-Code]"),Tabelle3!$A64)</f>
        <v>0</v>
      </c>
      <c r="AB64">
        <f ca="1">COUNTIFS(INDIRECT("Table1[Beginn]"),"&lt;="&amp;AB$1,INDIRECT("Table1[Ende]"),"&gt;="&amp;AB$1,INDIRECT("Table1[Obergruppe ATC-Code]"),Tabelle3!$A64)</f>
        <v>0</v>
      </c>
      <c r="AC64">
        <f ca="1">COUNTIFS(INDIRECT("Table1[Beginn]"),"&lt;="&amp;AC$1,INDIRECT("Table1[Ende]"),"&gt;="&amp;AC$1,INDIRECT("Table1[Obergruppe ATC-Code]"),Tabelle3!$A64)</f>
        <v>0</v>
      </c>
      <c r="AD64">
        <f ca="1">COUNTIFS(INDIRECT("Table1[Beginn]"),"&lt;="&amp;AD$1,INDIRECT("Table1[Ende]"),"&gt;="&amp;AD$1,INDIRECT("Table1[Obergruppe ATC-Code]"),Tabelle3!$A64)</f>
        <v>0</v>
      </c>
      <c r="AE64">
        <f ca="1">COUNTIFS(INDIRECT("Table1[Beginn]"),"&lt;="&amp;AE$1,INDIRECT("Table1[Ende]"),"&gt;="&amp;AE$1,INDIRECT("Table1[Obergruppe ATC-Code]"),Tabelle3!$A64)</f>
        <v>0</v>
      </c>
      <c r="AF64">
        <f ca="1">COUNTIFS(INDIRECT("Table1[Beginn]"),"&lt;="&amp;AF$1,INDIRECT("Table1[Ende]"),"&gt;="&amp;AF$1,INDIRECT("Table1[Obergruppe ATC-Code]"),Tabelle3!$A64)</f>
        <v>0</v>
      </c>
      <c r="AG64">
        <f ca="1">COUNTIFS(INDIRECT("Table1[Beginn]"),"&lt;="&amp;AG$1,INDIRECT("Table1[Ende]"),"&gt;="&amp;AG$1,INDIRECT("Table1[Obergruppe ATC-Code]"),Tabelle3!$A64)</f>
        <v>0</v>
      </c>
      <c r="AH64">
        <f ca="1">COUNTIFS(INDIRECT("Table1[Beginn]"),"&lt;="&amp;AH$1,INDIRECT("Table1[Ende]"),"&gt;="&amp;AH$1,INDIRECT("Table1[Obergruppe ATC-Code]"),Tabelle3!$A64)</f>
        <v>0</v>
      </c>
      <c r="AI64">
        <f ca="1">COUNTIFS(INDIRECT("Table1[Beginn]"),"&lt;="&amp;AI$1,INDIRECT("Table1[Ende]"),"&gt;="&amp;AI$1,INDIRECT("Table1[Obergruppe ATC-Code]"),Tabelle3!$A64)</f>
        <v>0</v>
      </c>
      <c r="AJ64">
        <f ca="1">COUNTIFS(INDIRECT("Table1[Beginn]"),"&lt;="&amp;AJ$1,INDIRECT("Table1[Ende]"),"&gt;="&amp;AJ$1,INDIRECT("Table1[Obergruppe ATC-Code]"),Tabelle3!$A64)</f>
        <v>0</v>
      </c>
      <c r="AK64">
        <f ca="1">COUNTIFS(INDIRECT("Table1[Beginn]"),"&lt;="&amp;AK$1,INDIRECT("Table1[Ende]"),"&gt;="&amp;AK$1,INDIRECT("Table1[Obergruppe ATC-Code]"),Tabelle3!$A64)</f>
        <v>0</v>
      </c>
      <c r="AL64">
        <f ca="1">COUNTIFS(INDIRECT("Table1[Beginn]"),"&lt;="&amp;AL$1,INDIRECT("Table1[Ende]"),"&gt;="&amp;AL$1,INDIRECT("Table1[Obergruppe ATC-Code]"),Tabelle3!$A64)</f>
        <v>0</v>
      </c>
      <c r="AM64">
        <f ca="1">COUNTIFS(INDIRECT("Table1[Beginn]"),"&lt;="&amp;AM$1,INDIRECT("Table1[Ende]"),"&gt;="&amp;AM$1,INDIRECT("Table1[Obergruppe ATC-Code]"),Tabelle3!$A64)</f>
        <v>0</v>
      </c>
      <c r="AN64">
        <f ca="1">COUNTIFS(INDIRECT("Table1[Beginn]"),"&lt;="&amp;AN$1,INDIRECT("Table1[Ende]"),"&gt;="&amp;AN$1,INDIRECT("Table1[Obergruppe ATC-Code]"),Tabelle3!$A64)</f>
        <v>0</v>
      </c>
      <c r="AO64">
        <f ca="1">COUNTIFS(INDIRECT("Table1[Beginn]"),"&lt;="&amp;AO$1,INDIRECT("Table1[Ende]"),"&gt;="&amp;AO$1,INDIRECT("Table1[Obergruppe ATC-Code]"),Tabelle3!$A64)</f>
        <v>0</v>
      </c>
      <c r="AP64">
        <f ca="1">COUNTIFS(INDIRECT("Table1[Beginn]"),"&lt;="&amp;AP$1,INDIRECT("Table1[Ende]"),"&gt;="&amp;AP$1,INDIRECT("Table1[Obergruppe ATC-Code]"),Tabelle3!$A64)</f>
        <v>0</v>
      </c>
      <c r="AQ64">
        <f ca="1">COUNTIFS(INDIRECT("Table1[Beginn]"),"&lt;="&amp;AQ$1,INDIRECT("Table1[Ende]"),"&gt;="&amp;AQ$1,INDIRECT("Table1[Obergruppe ATC-Code]"),Tabelle3!$A64)</f>
        <v>0</v>
      </c>
      <c r="AR64">
        <f ca="1">COUNTIFS(INDIRECT("Table1[Beginn]"),"&lt;="&amp;AR$1,INDIRECT("Table1[Ende]"),"&gt;="&amp;AR$1,INDIRECT("Table1[Obergruppe ATC-Code]"),Tabelle3!$A64)</f>
        <v>0</v>
      </c>
      <c r="AS64">
        <f ca="1">COUNTIFS(INDIRECT("Table1[Beginn]"),"&lt;="&amp;AS$1,INDIRECT("Table1[Ende]"),"&gt;="&amp;AS$1,INDIRECT("Table1[Obergruppe ATC-Code]"),Tabelle3!$A64)</f>
        <v>0</v>
      </c>
      <c r="AT64">
        <f ca="1">COUNTIFS(INDIRECT("Table1[Beginn]"),"&lt;="&amp;AT$1,INDIRECT("Table1[Ende]"),"&gt;="&amp;AT$1,INDIRECT("Table1[Obergruppe ATC-Code]"),Tabelle3!$A64)</f>
        <v>0</v>
      </c>
      <c r="AU64">
        <f ca="1">COUNTIFS(INDIRECT("Table1[Beginn]"),"&lt;="&amp;AU$1,INDIRECT("Table1[Ende]"),"&gt;="&amp;AU$1,INDIRECT("Table1[Obergruppe ATC-Code]"),Tabelle3!$A64)</f>
        <v>0</v>
      </c>
      <c r="AV64">
        <f ca="1">COUNTIFS(INDIRECT("Table1[Beginn]"),"&lt;="&amp;AV$1,INDIRECT("Table1[Ende]"),"&gt;="&amp;AV$1,INDIRECT("Table1[Obergruppe ATC-Code]"),Tabelle3!$A64)</f>
        <v>0</v>
      </c>
      <c r="AW64">
        <f ca="1">COUNTIFS(INDIRECT("Table1[Beginn]"),"&lt;="&amp;AW$1,INDIRECT("Table1[Ende]"),"&gt;="&amp;AW$1,INDIRECT("Table1[Obergruppe ATC-Code]"),Tabelle3!$A64)</f>
        <v>0</v>
      </c>
      <c r="AX64">
        <f ca="1">COUNTIFS(INDIRECT("Table1[Beginn]"),"&lt;="&amp;AX$1,INDIRECT("Table1[Ende]"),"&gt;="&amp;AX$1,INDIRECT("Table1[Obergruppe ATC-Code]"),Tabelle3!$A64)</f>
        <v>0</v>
      </c>
      <c r="AY64">
        <f ca="1">COUNTIFS(INDIRECT("Table1[Beginn]"),"&lt;="&amp;AY$1,INDIRECT("Table1[Ende]"),"&gt;="&amp;AY$1,INDIRECT("Table1[Obergruppe ATC-Code]"),Tabelle3!$A64)</f>
        <v>0</v>
      </c>
      <c r="AZ64">
        <f ca="1">COUNTIFS(INDIRECT("Table1[Beginn]"),"&lt;="&amp;AZ$1,INDIRECT("Table1[Ende]"),"&gt;="&amp;AZ$1,INDIRECT("Table1[Obergruppe ATC-Code]"),Tabelle3!$A64)</f>
        <v>0</v>
      </c>
      <c r="BA64">
        <f ca="1">COUNTIFS(INDIRECT("Table1[Beginn]"),"&lt;="&amp;BA$1,INDIRECT("Table1[Ende]"),"&gt;="&amp;BA$1,INDIRECT("Table1[Obergruppe ATC-Code]"),Tabelle3!$A64)</f>
        <v>0</v>
      </c>
      <c r="BB64">
        <f ca="1">COUNTIFS(INDIRECT("Table1[Beginn]"),"&lt;="&amp;BB$1,INDIRECT("Table1[Ende]"),"&gt;="&amp;BB$1,INDIRECT("Table1[Obergruppe ATC-Code]"),Tabelle3!$A64)</f>
        <v>0</v>
      </c>
      <c r="BC64">
        <f ca="1">COUNTIFS(INDIRECT("Table1[Beginn]"),"&lt;="&amp;BC$1,INDIRECT("Table1[Ende]"),"&gt;="&amp;BC$1,INDIRECT("Table1[Obergruppe ATC-Code]"),Tabelle3!$A64)</f>
        <v>0</v>
      </c>
      <c r="BD64">
        <f ca="1">COUNTIFS(INDIRECT("Table1[Beginn]"),"&lt;="&amp;BD$1,INDIRECT("Table1[Ende]"),"&gt;="&amp;BD$1,INDIRECT("Table1[Obergruppe ATC-Code]"),Tabelle3!$A64)</f>
        <v>0</v>
      </c>
      <c r="BE64">
        <f ca="1">COUNTIFS(INDIRECT("Table1[Beginn]"),"&lt;="&amp;BE$1,INDIRECT("Table1[Ende]"),"&gt;="&amp;BE$1,INDIRECT("Table1[Obergruppe ATC-Code]"),Tabelle3!$A64)</f>
        <v>0</v>
      </c>
      <c r="BF64">
        <f ca="1">COUNTIFS(INDIRECT("Table1[Beginn]"),"&lt;="&amp;BF$1,INDIRECT("Table1[Ende]"),"&gt;="&amp;BF$1,INDIRECT("Table1[Obergruppe ATC-Code]"),Tabelle3!$A64)</f>
        <v>0</v>
      </c>
      <c r="BG64">
        <f ca="1">COUNTIFS(INDIRECT("Table1[Beginn]"),"&lt;="&amp;BG$1,INDIRECT("Table1[Ende]"),"&gt;="&amp;BG$1,INDIRECT("Table1[Obergruppe ATC-Code]"),Tabelle3!$A64)</f>
        <v>0</v>
      </c>
      <c r="BH64">
        <f ca="1">COUNTIFS(INDIRECT("Table1[Beginn]"),"&lt;="&amp;BH$1,INDIRECT("Table1[Ende]"),"&gt;="&amp;BH$1,INDIRECT("Table1[Obergruppe ATC-Code]"),Tabelle3!$A64)</f>
        <v>0</v>
      </c>
      <c r="BI64">
        <f ca="1">COUNTIFS(INDIRECT("Table1[Beginn]"),"&lt;="&amp;BI$1,INDIRECT("Table1[Ende]"),"&gt;="&amp;BI$1,INDIRECT("Table1[Obergruppe ATC-Code]"),Tabelle3!$A64)</f>
        <v>0</v>
      </c>
      <c r="BJ64">
        <f ca="1">COUNTIFS(INDIRECT("Table1[Beginn]"),"&lt;="&amp;BJ$1,INDIRECT("Table1[Ende]"),"&gt;="&amp;BJ$1,INDIRECT("Table1[Obergruppe ATC-Code]"),Tabelle3!$A64)</f>
        <v>0</v>
      </c>
      <c r="BK64">
        <f ca="1">COUNTIFS(INDIRECT("Table1[Beginn]"),"&lt;="&amp;BK$1,INDIRECT("Table1[Ende]"),"&gt;="&amp;BK$1,INDIRECT("Table1[Obergruppe ATC-Code]"),Tabelle3!$A64)</f>
        <v>0</v>
      </c>
      <c r="BL64">
        <f ca="1">COUNTIFS(INDIRECT("Table1[Beginn]"),"&lt;="&amp;BL$1,INDIRECT("Table1[Ende]"),"&gt;="&amp;BL$1,INDIRECT("Table1[Obergruppe ATC-Code]"),Tabelle3!$A64)</f>
        <v>0</v>
      </c>
      <c r="BM64">
        <f ca="1">COUNTIFS(INDIRECT("Table1[Beginn]"),"&lt;="&amp;BM$1,INDIRECT("Table1[Ende]"),"&gt;="&amp;BM$1,INDIRECT("Table1[Obergruppe ATC-Code]"),Tabelle3!$A64)</f>
        <v>0</v>
      </c>
      <c r="BN64">
        <f ca="1">COUNTIFS(INDIRECT("Table1[Beginn]"),"&lt;="&amp;BN$1,INDIRECT("Table1[Ende]"),"&gt;="&amp;BN$1,INDIRECT("Table1[Obergruppe ATC-Code]"),Tabelle3!$A64)</f>
        <v>0</v>
      </c>
      <c r="BO64">
        <f ca="1">COUNTIFS(INDIRECT("Table1[Beginn]"),"&lt;="&amp;BO$1,INDIRECT("Table1[Ende]"),"&gt;="&amp;BO$1,INDIRECT("Table1[Obergruppe ATC-Code]"),Tabelle3!$A64)</f>
        <v>0</v>
      </c>
      <c r="BP64">
        <f ca="1">COUNTIFS(INDIRECT("Table1[Beginn]"),"&lt;="&amp;BP$1,INDIRECT("Table1[Ende]"),"&gt;="&amp;BP$1,INDIRECT("Table1[Obergruppe ATC-Code]"),Tabelle3!$A64)</f>
        <v>0</v>
      </c>
      <c r="BQ64">
        <f ca="1">COUNTIFS(INDIRECT("Table1[Beginn]"),"&lt;="&amp;BQ$1,INDIRECT("Table1[Ende]"),"&gt;="&amp;BQ$1,INDIRECT("Table1[Obergruppe ATC-Code]"),Tabelle3!$A64)</f>
        <v>0</v>
      </c>
      <c r="BR64">
        <f ca="1">COUNTIFS(INDIRECT("Table1[Beginn]"),"&lt;="&amp;BR$1,INDIRECT("Table1[Ende]"),"&gt;="&amp;BR$1,INDIRECT("Table1[Obergruppe ATC-Code]"),Tabelle3!$A64)</f>
        <v>0</v>
      </c>
      <c r="BS64">
        <f ca="1">COUNTIFS(INDIRECT("Table1[Beginn]"),"&lt;="&amp;BS$1,INDIRECT("Table1[Ende]"),"&gt;="&amp;BS$1,INDIRECT("Table1[Obergruppe ATC-Code]"),Tabelle3!$A64)</f>
        <v>0</v>
      </c>
      <c r="BT64">
        <f ca="1">COUNTIFS(INDIRECT("Table1[Beginn]"),"&lt;="&amp;BT$1,INDIRECT("Table1[Ende]"),"&gt;="&amp;BT$1,INDIRECT("Table1[Obergruppe ATC-Code]"),Tabelle3!$A64)</f>
        <v>0</v>
      </c>
      <c r="BU64">
        <f ca="1">COUNTIFS(INDIRECT("Table1[Beginn]"),"&lt;="&amp;BU$1,INDIRECT("Table1[Ende]"),"&gt;="&amp;BU$1,INDIRECT("Table1[Obergruppe ATC-Code]"),Tabelle3!$A64)</f>
        <v>0</v>
      </c>
      <c r="BV64">
        <f ca="1">COUNTIFS(INDIRECT("Table1[Beginn]"),"&lt;="&amp;BV$1,INDIRECT("Table1[Ende]"),"&gt;="&amp;BV$1,INDIRECT("Table1[Obergruppe ATC-Code]"),Tabelle3!$A64)</f>
        <v>0</v>
      </c>
      <c r="BW64">
        <f ca="1">COUNTIFS(INDIRECT("Table1[Beginn]"),"&lt;="&amp;BW$1,INDIRECT("Table1[Ende]"),"&gt;="&amp;BW$1,INDIRECT("Table1[Obergruppe ATC-Code]"),Tabelle3!$A64)</f>
        <v>0</v>
      </c>
      <c r="BX64">
        <f ca="1">COUNTIFS(INDIRECT("Table1[Beginn]"),"&lt;="&amp;BX$1,INDIRECT("Table1[Ende]"),"&gt;="&amp;BX$1,INDIRECT("Table1[Obergruppe ATC-Code]"),Tabelle3!$A64)</f>
        <v>0</v>
      </c>
      <c r="BY64">
        <f ca="1">COUNTIFS(INDIRECT("Table1[Beginn]"),"&lt;="&amp;BY$1,INDIRECT("Table1[Ende]"),"&gt;="&amp;BY$1,INDIRECT("Table1[Obergruppe ATC-Code]"),Tabelle3!$A64)</f>
        <v>0</v>
      </c>
      <c r="BZ64">
        <f ca="1">COUNTIFS(INDIRECT("Table1[Beginn]"),"&lt;="&amp;BZ$1,INDIRECT("Table1[Ende]"),"&gt;="&amp;BZ$1,INDIRECT("Table1[Obergruppe ATC-Code]"),Tabelle3!$A64)</f>
        <v>0</v>
      </c>
      <c r="CA64">
        <f ca="1">COUNTIFS(INDIRECT("Table1[Beginn]"),"&lt;="&amp;CA$1,INDIRECT("Table1[Ende]"),"&gt;="&amp;CA$1,INDIRECT("Table1[Obergruppe ATC-Code]"),Tabelle3!$A64)</f>
        <v>0</v>
      </c>
      <c r="CB64">
        <f ca="1">COUNTIFS(INDIRECT("Table1[Beginn]"),"&lt;="&amp;CB$1,INDIRECT("Table1[Ende]"),"&gt;="&amp;CB$1,INDIRECT("Table1[Obergruppe ATC-Code]"),Tabelle3!$A64)</f>
        <v>0</v>
      </c>
      <c r="CC64">
        <f ca="1">COUNTIFS(INDIRECT("Table1[Beginn]"),"&lt;="&amp;CC$1,INDIRECT("Table1[Ende]"),"&gt;="&amp;CC$1,INDIRECT("Table1[Obergruppe ATC-Code]"),Tabelle3!$A64)</f>
        <v>0</v>
      </c>
      <c r="CD64">
        <f ca="1">COUNTIFS(INDIRECT("Table1[Beginn]"),"&lt;="&amp;CD$1,INDIRECT("Table1[Ende]"),"&gt;="&amp;CD$1,INDIRECT("Table1[Obergruppe ATC-Code]"),Tabelle3!$A64)</f>
        <v>0</v>
      </c>
      <c r="CE64">
        <f ca="1">COUNTIFS(INDIRECT("Table1[Beginn]"),"&lt;="&amp;CE$1,INDIRECT("Table1[Ende]"),"&gt;="&amp;CE$1,INDIRECT("Table1[Obergruppe ATC-Code]"),Tabelle3!$A64)</f>
        <v>0</v>
      </c>
      <c r="CF64">
        <f ca="1">COUNTIFS(INDIRECT("Table1[Beginn]"),"&lt;="&amp;CF$1,INDIRECT("Table1[Ende]"),"&gt;="&amp;CF$1,INDIRECT("Table1[Obergruppe ATC-Code]"),Tabelle3!$A64)</f>
        <v>0</v>
      </c>
      <c r="CG64">
        <f ca="1">COUNTIFS(INDIRECT("Table1[Beginn]"),"&lt;="&amp;CG$1,INDIRECT("Table1[Ende]"),"&gt;="&amp;CG$1,INDIRECT("Table1[Obergruppe ATC-Code]"),Tabelle3!$A64)</f>
        <v>0</v>
      </c>
      <c r="CH64">
        <f ca="1">COUNTIFS(INDIRECT("Table1[Beginn]"),"&lt;="&amp;CH$1,INDIRECT("Table1[Ende]"),"&gt;="&amp;CH$1,INDIRECT("Table1[Obergruppe ATC-Code]"),Tabelle3!$A64)</f>
        <v>0</v>
      </c>
      <c r="CI64">
        <f ca="1">COUNTIFS(INDIRECT("Table1[Beginn]"),"&lt;="&amp;CI$1,INDIRECT("Table1[Ende]"),"&gt;="&amp;CI$1,INDIRECT("Table1[Obergruppe ATC-Code]"),Tabelle3!$A64)</f>
        <v>0</v>
      </c>
      <c r="CJ64">
        <f ca="1">COUNTIFS(INDIRECT("Table1[Beginn]"),"&lt;="&amp;CJ$1,INDIRECT("Table1[Ende]"),"&gt;="&amp;CJ$1,INDIRECT("Table1[Obergruppe ATC-Code]"),Tabelle3!$A64)</f>
        <v>0</v>
      </c>
      <c r="CK64">
        <f ca="1">COUNTIFS(INDIRECT("Table1[Beginn]"),"&lt;="&amp;CK$1,INDIRECT("Table1[Ende]"),"&gt;="&amp;CK$1,INDIRECT("Table1[Obergruppe ATC-Code]"),Tabelle3!$A64)</f>
        <v>0</v>
      </c>
      <c r="CL64">
        <f ca="1">COUNTIFS(INDIRECT("Table1[Beginn]"),"&lt;="&amp;CL$1,INDIRECT("Table1[Ende]"),"&gt;="&amp;CL$1,INDIRECT("Table1[Obergruppe ATC-Code]"),Tabelle3!$A64)</f>
        <v>0</v>
      </c>
      <c r="CM64">
        <f ca="1">COUNTIFS(INDIRECT("Table1[Beginn]"),"&lt;="&amp;CM$1,INDIRECT("Table1[Ende]"),"&gt;="&amp;CM$1,INDIRECT("Table1[Obergruppe ATC-Code]"),Tabelle3!$A64)</f>
        <v>0</v>
      </c>
      <c r="CN64">
        <f ca="1">COUNTIFS(INDIRECT("Table1[Beginn]"),"&lt;="&amp;CN$1,INDIRECT("Table1[Ende]"),"&gt;="&amp;CN$1,INDIRECT("Table1[Obergruppe ATC-Code]"),Tabelle3!$A64)</f>
        <v>0</v>
      </c>
      <c r="CO64">
        <f ca="1">COUNTIFS(INDIRECT("Table1[Beginn]"),"&lt;="&amp;CO$1,INDIRECT("Table1[Ende]"),"&gt;="&amp;CO$1,INDIRECT("Table1[Obergruppe ATC-Code]"),Tabelle3!$A64)</f>
        <v>0</v>
      </c>
      <c r="CP64">
        <f ca="1">COUNTIFS(INDIRECT("Table1[Beginn]"),"&lt;="&amp;CP$1,INDIRECT("Table1[Ende]"),"&gt;="&amp;CP$1,INDIRECT("Table1[Obergruppe ATC-Code]"),Tabelle3!$A64)</f>
        <v>0</v>
      </c>
      <c r="CQ64">
        <f ca="1">COUNTIFS(INDIRECT("Table1[Beginn]"),"&lt;="&amp;CQ$1,INDIRECT("Table1[Ende]"),"&gt;="&amp;CQ$1,INDIRECT("Table1[Obergruppe ATC-Code]"),Tabelle3!$A64)</f>
        <v>0</v>
      </c>
      <c r="CR64">
        <f ca="1">COUNTIFS(INDIRECT("Table1[Beginn]"),"&lt;="&amp;CR$1,INDIRECT("Table1[Ende]"),"&gt;="&amp;CR$1,INDIRECT("Table1[Obergruppe ATC-Code]"),Tabelle3!$A64)</f>
        <v>0</v>
      </c>
      <c r="CS64">
        <f ca="1">COUNTIFS(INDIRECT("Table1[Beginn]"),"&lt;="&amp;CS$1,INDIRECT("Table1[Ende]"),"&gt;="&amp;CS$1,INDIRECT("Table1[Obergruppe ATC-Code]"),Tabelle3!$A64)</f>
        <v>0</v>
      </c>
      <c r="CT64">
        <f ca="1">COUNTIFS(INDIRECT("Table1[Beginn]"),"&lt;="&amp;CT$1,INDIRECT("Table1[Ende]"),"&gt;="&amp;CT$1,INDIRECT("Table1[Obergruppe ATC-Code]"),Tabelle3!$A64)</f>
        <v>0</v>
      </c>
    </row>
    <row r="65" spans="1:98" ht="18">
      <c r="A65" s="9" t="s">
        <v>6898</v>
      </c>
      <c r="B65" s="10" t="s">
        <v>6899</v>
      </c>
      <c r="C65">
        <f ca="1">COUNTIFS(INDIRECT("Table1[Beginn]"),"&lt;="&amp;C$1,INDIRECT("Table1[Ende]"),"&gt;="&amp;C$1,INDIRECT("Table1[Obergruppe ATC-Code]"),Tabelle3!$A65)</f>
        <v>0</v>
      </c>
      <c r="D65">
        <f ca="1">COUNTIFS(INDIRECT("Table1[Beginn]"),"&lt;="&amp;D$1,INDIRECT("Table1[Ende]"),"&gt;="&amp;D$1,INDIRECT("Table1[Obergruppe ATC-Code]"),Tabelle3!$A65)</f>
        <v>0</v>
      </c>
      <c r="E65">
        <f ca="1">COUNTIFS(INDIRECT("Table1[Beginn]"),"&lt;="&amp;E$1,INDIRECT("Table1[Ende]"),"&gt;="&amp;E$1,INDIRECT("Table1[Obergruppe ATC-Code]"),Tabelle3!$A65)</f>
        <v>0</v>
      </c>
      <c r="F65">
        <f ca="1">COUNTIFS(INDIRECT("Table1[Beginn]"),"&lt;="&amp;F$1,INDIRECT("Table1[Ende]"),"&gt;="&amp;F$1,INDIRECT("Table1[Obergruppe ATC-Code]"),Tabelle3!$A65)</f>
        <v>0</v>
      </c>
      <c r="G65">
        <f ca="1">COUNTIFS(INDIRECT("Table1[Beginn]"),"&lt;="&amp;G$1,INDIRECT("Table1[Ende]"),"&gt;="&amp;G$1,INDIRECT("Table1[Obergruppe ATC-Code]"),Tabelle3!$A65)</f>
        <v>0</v>
      </c>
      <c r="H65">
        <f ca="1">COUNTIFS(INDIRECT("Table1[Beginn]"),"&lt;="&amp;H$1,INDIRECT("Table1[Ende]"),"&gt;="&amp;H$1,INDIRECT("Table1[Obergruppe ATC-Code]"),Tabelle3!$A65)</f>
        <v>0</v>
      </c>
      <c r="I65">
        <f ca="1">COUNTIFS(INDIRECT("Table1[Beginn]"),"&lt;="&amp;I$1,INDIRECT("Table1[Ende]"),"&gt;="&amp;I$1,INDIRECT("Table1[Obergruppe ATC-Code]"),Tabelle3!$A65)</f>
        <v>0</v>
      </c>
      <c r="J65">
        <f ca="1">COUNTIFS(INDIRECT("Table1[Beginn]"),"&lt;="&amp;J$1,INDIRECT("Table1[Ende]"),"&gt;="&amp;J$1,INDIRECT("Table1[Obergruppe ATC-Code]"),Tabelle3!$A65)</f>
        <v>0</v>
      </c>
      <c r="K65">
        <f ca="1">COUNTIFS(INDIRECT("Table1[Beginn]"),"&lt;="&amp;K$1,INDIRECT("Table1[Ende]"),"&gt;="&amp;K$1,INDIRECT("Table1[Obergruppe ATC-Code]"),Tabelle3!$A65)</f>
        <v>0</v>
      </c>
      <c r="L65">
        <f ca="1">COUNTIFS(INDIRECT("Table1[Beginn]"),"&lt;="&amp;L$1,INDIRECT("Table1[Ende]"),"&gt;="&amp;L$1,INDIRECT("Table1[Obergruppe ATC-Code]"),Tabelle3!$A65)</f>
        <v>0</v>
      </c>
      <c r="M65">
        <f ca="1">COUNTIFS(INDIRECT("Table1[Beginn]"),"&lt;="&amp;M$1,INDIRECT("Table1[Ende]"),"&gt;="&amp;M$1,INDIRECT("Table1[Obergruppe ATC-Code]"),Tabelle3!$A65)</f>
        <v>0</v>
      </c>
      <c r="N65">
        <f ca="1">COUNTIFS(INDIRECT("Table1[Beginn]"),"&lt;="&amp;N$1,INDIRECT("Table1[Ende]"),"&gt;="&amp;N$1,INDIRECT("Table1[Obergruppe ATC-Code]"),Tabelle3!$A65)</f>
        <v>0</v>
      </c>
      <c r="O65">
        <f ca="1">COUNTIFS(INDIRECT("Table1[Beginn]"),"&lt;="&amp;O$1,INDIRECT("Table1[Ende]"),"&gt;="&amp;O$1,INDIRECT("Table1[Obergruppe ATC-Code]"),Tabelle3!$A65)</f>
        <v>0</v>
      </c>
      <c r="P65">
        <f ca="1">COUNTIFS(INDIRECT("Table1[Beginn]"),"&lt;="&amp;P$1,INDIRECT("Table1[Ende]"),"&gt;="&amp;P$1,INDIRECT("Table1[Obergruppe ATC-Code]"),Tabelle3!$A65)</f>
        <v>0</v>
      </c>
      <c r="Q65">
        <f ca="1">COUNTIFS(INDIRECT("Table1[Beginn]"),"&lt;="&amp;Q$1,INDIRECT("Table1[Ende]"),"&gt;="&amp;Q$1,INDIRECT("Table1[Obergruppe ATC-Code]"),Tabelle3!$A65)</f>
        <v>0</v>
      </c>
      <c r="R65">
        <f ca="1">COUNTIFS(INDIRECT("Table1[Beginn]"),"&lt;="&amp;R$1,INDIRECT("Table1[Ende]"),"&gt;="&amp;R$1,INDIRECT("Table1[Obergruppe ATC-Code]"),Tabelle3!$A65)</f>
        <v>0</v>
      </c>
      <c r="S65">
        <f ca="1">COUNTIFS(INDIRECT("Table1[Beginn]"),"&lt;="&amp;S$1,INDIRECT("Table1[Ende]"),"&gt;="&amp;S$1,INDIRECT("Table1[Obergruppe ATC-Code]"),Tabelle3!$A65)</f>
        <v>0</v>
      </c>
      <c r="T65">
        <f ca="1">COUNTIFS(INDIRECT("Table1[Beginn]"),"&lt;="&amp;T$1,INDIRECT("Table1[Ende]"),"&gt;="&amp;T$1,INDIRECT("Table1[Obergruppe ATC-Code]"),Tabelle3!$A65)</f>
        <v>1</v>
      </c>
      <c r="U65">
        <f ca="1">COUNTIFS(INDIRECT("Table1[Beginn]"),"&lt;="&amp;U$1,INDIRECT("Table1[Ende]"),"&gt;="&amp;U$1,INDIRECT("Table1[Obergruppe ATC-Code]"),Tabelle3!$A65)</f>
        <v>1</v>
      </c>
      <c r="V65">
        <f ca="1">COUNTIFS(INDIRECT("Table1[Beginn]"),"&lt;="&amp;V$1,INDIRECT("Table1[Ende]"),"&gt;="&amp;V$1,INDIRECT("Table1[Obergruppe ATC-Code]"),Tabelle3!$A65)</f>
        <v>1</v>
      </c>
      <c r="W65">
        <f ca="1">COUNTIFS(INDIRECT("Table1[Beginn]"),"&lt;="&amp;W$1,INDIRECT("Table1[Ende]"),"&gt;="&amp;W$1,INDIRECT("Table1[Obergruppe ATC-Code]"),Tabelle3!$A65)</f>
        <v>1</v>
      </c>
      <c r="X65">
        <f ca="1">COUNTIFS(INDIRECT("Table1[Beginn]"),"&lt;="&amp;X$1,INDIRECT("Table1[Ende]"),"&gt;="&amp;X$1,INDIRECT("Table1[Obergruppe ATC-Code]"),Tabelle3!$A65)</f>
        <v>1</v>
      </c>
      <c r="Y65">
        <f ca="1">COUNTIFS(INDIRECT("Table1[Beginn]"),"&lt;="&amp;Y$1,INDIRECT("Table1[Ende]"),"&gt;="&amp;Y$1,INDIRECT("Table1[Obergruppe ATC-Code]"),Tabelle3!$A65)</f>
        <v>0</v>
      </c>
      <c r="Z65">
        <f ca="1">COUNTIFS(INDIRECT("Table1[Beginn]"),"&lt;="&amp;Z$1,INDIRECT("Table1[Ende]"),"&gt;="&amp;Z$1,INDIRECT("Table1[Obergruppe ATC-Code]"),Tabelle3!$A65)</f>
        <v>0</v>
      </c>
      <c r="AA65">
        <f ca="1">COUNTIFS(INDIRECT("Table1[Beginn]"),"&lt;="&amp;AA$1,INDIRECT("Table1[Ende]"),"&gt;="&amp;AA$1,INDIRECT("Table1[Obergruppe ATC-Code]"),Tabelle3!$A65)</f>
        <v>0</v>
      </c>
      <c r="AB65">
        <f ca="1">COUNTIFS(INDIRECT("Table1[Beginn]"),"&lt;="&amp;AB$1,INDIRECT("Table1[Ende]"),"&gt;="&amp;AB$1,INDIRECT("Table1[Obergruppe ATC-Code]"),Tabelle3!$A65)</f>
        <v>0</v>
      </c>
      <c r="AC65">
        <f ca="1">COUNTIFS(INDIRECT("Table1[Beginn]"),"&lt;="&amp;AC$1,INDIRECT("Table1[Ende]"),"&gt;="&amp;AC$1,INDIRECT("Table1[Obergruppe ATC-Code]"),Tabelle3!$A65)</f>
        <v>0</v>
      </c>
      <c r="AD65">
        <f ca="1">COUNTIFS(INDIRECT("Table1[Beginn]"),"&lt;="&amp;AD$1,INDIRECT("Table1[Ende]"),"&gt;="&amp;AD$1,INDIRECT("Table1[Obergruppe ATC-Code]"),Tabelle3!$A65)</f>
        <v>0</v>
      </c>
      <c r="AE65">
        <f ca="1">COUNTIFS(INDIRECT("Table1[Beginn]"),"&lt;="&amp;AE$1,INDIRECT("Table1[Ende]"),"&gt;="&amp;AE$1,INDIRECT("Table1[Obergruppe ATC-Code]"),Tabelle3!$A65)</f>
        <v>0</v>
      </c>
      <c r="AF65">
        <f ca="1">COUNTIFS(INDIRECT("Table1[Beginn]"),"&lt;="&amp;AF$1,INDIRECT("Table1[Ende]"),"&gt;="&amp;AF$1,INDIRECT("Table1[Obergruppe ATC-Code]"),Tabelle3!$A65)</f>
        <v>3</v>
      </c>
      <c r="AG65">
        <f ca="1">COUNTIFS(INDIRECT("Table1[Beginn]"),"&lt;="&amp;AG$1,INDIRECT("Table1[Ende]"),"&gt;="&amp;AG$1,INDIRECT("Table1[Obergruppe ATC-Code]"),Tabelle3!$A65)</f>
        <v>3</v>
      </c>
      <c r="AH65">
        <f ca="1">COUNTIFS(INDIRECT("Table1[Beginn]"),"&lt;="&amp;AH$1,INDIRECT("Table1[Ende]"),"&gt;="&amp;AH$1,INDIRECT("Table1[Obergruppe ATC-Code]"),Tabelle3!$A65)</f>
        <v>3</v>
      </c>
      <c r="AI65">
        <f ca="1">COUNTIFS(INDIRECT("Table1[Beginn]"),"&lt;="&amp;AI$1,INDIRECT("Table1[Ende]"),"&gt;="&amp;AI$1,INDIRECT("Table1[Obergruppe ATC-Code]"),Tabelle3!$A65)</f>
        <v>3</v>
      </c>
      <c r="AJ65">
        <f ca="1">COUNTIFS(INDIRECT("Table1[Beginn]"),"&lt;="&amp;AJ$1,INDIRECT("Table1[Ende]"),"&gt;="&amp;AJ$1,INDIRECT("Table1[Obergruppe ATC-Code]"),Tabelle3!$A65)</f>
        <v>3</v>
      </c>
      <c r="AK65">
        <f ca="1">COUNTIFS(INDIRECT("Table1[Beginn]"),"&lt;="&amp;AK$1,INDIRECT("Table1[Ende]"),"&gt;="&amp;AK$1,INDIRECT("Table1[Obergruppe ATC-Code]"),Tabelle3!$A65)</f>
        <v>3</v>
      </c>
      <c r="AL65">
        <f ca="1">COUNTIFS(INDIRECT("Table1[Beginn]"),"&lt;="&amp;AL$1,INDIRECT("Table1[Ende]"),"&gt;="&amp;AL$1,INDIRECT("Table1[Obergruppe ATC-Code]"),Tabelle3!$A65)</f>
        <v>3</v>
      </c>
      <c r="AM65">
        <f ca="1">COUNTIFS(INDIRECT("Table1[Beginn]"),"&lt;="&amp;AM$1,INDIRECT("Table1[Ende]"),"&gt;="&amp;AM$1,INDIRECT("Table1[Obergruppe ATC-Code]"),Tabelle3!$A65)</f>
        <v>3</v>
      </c>
      <c r="AN65">
        <f ca="1">COUNTIFS(INDIRECT("Table1[Beginn]"),"&lt;="&amp;AN$1,INDIRECT("Table1[Ende]"),"&gt;="&amp;AN$1,INDIRECT("Table1[Obergruppe ATC-Code]"),Tabelle3!$A65)</f>
        <v>0</v>
      </c>
      <c r="AO65">
        <f ca="1">COUNTIFS(INDIRECT("Table1[Beginn]"),"&lt;="&amp;AO$1,INDIRECT("Table1[Ende]"),"&gt;="&amp;AO$1,INDIRECT("Table1[Obergruppe ATC-Code]"),Tabelle3!$A65)</f>
        <v>0</v>
      </c>
      <c r="AP65">
        <f ca="1">COUNTIFS(INDIRECT("Table1[Beginn]"),"&lt;="&amp;AP$1,INDIRECT("Table1[Ende]"),"&gt;="&amp;AP$1,INDIRECT("Table1[Obergruppe ATC-Code]"),Tabelle3!$A65)</f>
        <v>0</v>
      </c>
      <c r="AQ65">
        <f ca="1">COUNTIFS(INDIRECT("Table1[Beginn]"),"&lt;="&amp;AQ$1,INDIRECT("Table1[Ende]"),"&gt;="&amp;AQ$1,INDIRECT("Table1[Obergruppe ATC-Code]"),Tabelle3!$A65)</f>
        <v>1</v>
      </c>
      <c r="AR65">
        <f ca="1">COUNTIFS(INDIRECT("Table1[Beginn]"),"&lt;="&amp;AR$1,INDIRECT("Table1[Ende]"),"&gt;="&amp;AR$1,INDIRECT("Table1[Obergruppe ATC-Code]"),Tabelle3!$A65)</f>
        <v>1</v>
      </c>
      <c r="AS65">
        <f ca="1">COUNTIFS(INDIRECT("Table1[Beginn]"),"&lt;="&amp;AS$1,INDIRECT("Table1[Ende]"),"&gt;="&amp;AS$1,INDIRECT("Table1[Obergruppe ATC-Code]"),Tabelle3!$A65)</f>
        <v>1</v>
      </c>
      <c r="AT65">
        <f ca="1">COUNTIFS(INDIRECT("Table1[Beginn]"),"&lt;="&amp;AT$1,INDIRECT("Table1[Ende]"),"&gt;="&amp;AT$1,INDIRECT("Table1[Obergruppe ATC-Code]"),Tabelle3!$A65)</f>
        <v>1</v>
      </c>
      <c r="AU65">
        <f ca="1">COUNTIFS(INDIRECT("Table1[Beginn]"),"&lt;="&amp;AU$1,INDIRECT("Table1[Ende]"),"&gt;="&amp;AU$1,INDIRECT("Table1[Obergruppe ATC-Code]"),Tabelle3!$A65)</f>
        <v>0</v>
      </c>
      <c r="AV65">
        <f ca="1">COUNTIFS(INDIRECT("Table1[Beginn]"),"&lt;="&amp;AV$1,INDIRECT("Table1[Ende]"),"&gt;="&amp;AV$1,INDIRECT("Table1[Obergruppe ATC-Code]"),Tabelle3!$A65)</f>
        <v>2</v>
      </c>
      <c r="AW65">
        <f ca="1">COUNTIFS(INDIRECT("Table1[Beginn]"),"&lt;="&amp;AW$1,INDIRECT("Table1[Ende]"),"&gt;="&amp;AW$1,INDIRECT("Table1[Obergruppe ATC-Code]"),Tabelle3!$A65)</f>
        <v>2</v>
      </c>
      <c r="AX65">
        <f ca="1">COUNTIFS(INDIRECT("Table1[Beginn]"),"&lt;="&amp;AX$1,INDIRECT("Table1[Ende]"),"&gt;="&amp;AX$1,INDIRECT("Table1[Obergruppe ATC-Code]"),Tabelle3!$A65)</f>
        <v>3</v>
      </c>
      <c r="AY65">
        <f ca="1">COUNTIFS(INDIRECT("Table1[Beginn]"),"&lt;="&amp;AY$1,INDIRECT("Table1[Ende]"),"&gt;="&amp;AY$1,INDIRECT("Table1[Obergruppe ATC-Code]"),Tabelle3!$A65)</f>
        <v>3</v>
      </c>
      <c r="AZ65">
        <f ca="1">COUNTIFS(INDIRECT("Table1[Beginn]"),"&lt;="&amp;AZ$1,INDIRECT("Table1[Ende]"),"&gt;="&amp;AZ$1,INDIRECT("Table1[Obergruppe ATC-Code]"),Tabelle3!$A65)</f>
        <v>3</v>
      </c>
      <c r="BA65">
        <f ca="1">COUNTIFS(INDIRECT("Table1[Beginn]"),"&lt;="&amp;BA$1,INDIRECT("Table1[Ende]"),"&gt;="&amp;BA$1,INDIRECT("Table1[Obergruppe ATC-Code]"),Tabelle3!$A65)</f>
        <v>3</v>
      </c>
      <c r="BB65">
        <f ca="1">COUNTIFS(INDIRECT("Table1[Beginn]"),"&lt;="&amp;BB$1,INDIRECT("Table1[Ende]"),"&gt;="&amp;BB$1,INDIRECT("Table1[Obergruppe ATC-Code]"),Tabelle3!$A65)</f>
        <v>3</v>
      </c>
      <c r="BC65">
        <f ca="1">COUNTIFS(INDIRECT("Table1[Beginn]"),"&lt;="&amp;BC$1,INDIRECT("Table1[Ende]"),"&gt;="&amp;BC$1,INDIRECT("Table1[Obergruppe ATC-Code]"),Tabelle3!$A65)</f>
        <v>3</v>
      </c>
      <c r="BD65">
        <f ca="1">COUNTIFS(INDIRECT("Table1[Beginn]"),"&lt;="&amp;BD$1,INDIRECT("Table1[Ende]"),"&gt;="&amp;BD$1,INDIRECT("Table1[Obergruppe ATC-Code]"),Tabelle3!$A65)</f>
        <v>3</v>
      </c>
      <c r="BE65">
        <f ca="1">COUNTIFS(INDIRECT("Table1[Beginn]"),"&lt;="&amp;BE$1,INDIRECT("Table1[Ende]"),"&gt;="&amp;BE$1,INDIRECT("Table1[Obergruppe ATC-Code]"),Tabelle3!$A65)</f>
        <v>2</v>
      </c>
      <c r="BF65">
        <f ca="1">COUNTIFS(INDIRECT("Table1[Beginn]"),"&lt;="&amp;BF$1,INDIRECT("Table1[Ende]"),"&gt;="&amp;BF$1,INDIRECT("Table1[Obergruppe ATC-Code]"),Tabelle3!$A65)</f>
        <v>0</v>
      </c>
      <c r="BG65">
        <f ca="1">COUNTIFS(INDIRECT("Table1[Beginn]"),"&lt;="&amp;BG$1,INDIRECT("Table1[Ende]"),"&gt;="&amp;BG$1,INDIRECT("Table1[Obergruppe ATC-Code]"),Tabelle3!$A65)</f>
        <v>0</v>
      </c>
      <c r="BH65">
        <f ca="1">COUNTIFS(INDIRECT("Table1[Beginn]"),"&lt;="&amp;BH$1,INDIRECT("Table1[Ende]"),"&gt;="&amp;BH$1,INDIRECT("Table1[Obergruppe ATC-Code]"),Tabelle3!$A65)</f>
        <v>0</v>
      </c>
      <c r="BI65">
        <f ca="1">COUNTIFS(INDIRECT("Table1[Beginn]"),"&lt;="&amp;BI$1,INDIRECT("Table1[Ende]"),"&gt;="&amp;BI$1,INDIRECT("Table1[Obergruppe ATC-Code]"),Tabelle3!$A65)</f>
        <v>2</v>
      </c>
      <c r="BJ65">
        <f ca="1">COUNTIFS(INDIRECT("Table1[Beginn]"),"&lt;="&amp;BJ$1,INDIRECT("Table1[Ende]"),"&gt;="&amp;BJ$1,INDIRECT("Table1[Obergruppe ATC-Code]"),Tabelle3!$A65)</f>
        <v>0</v>
      </c>
      <c r="BK65">
        <f ca="1">COUNTIFS(INDIRECT("Table1[Beginn]"),"&lt;="&amp;BK$1,INDIRECT("Table1[Ende]"),"&gt;="&amp;BK$1,INDIRECT("Table1[Obergruppe ATC-Code]"),Tabelle3!$A65)</f>
        <v>0</v>
      </c>
      <c r="BL65">
        <f ca="1">COUNTIFS(INDIRECT("Table1[Beginn]"),"&lt;="&amp;BL$1,INDIRECT("Table1[Ende]"),"&gt;="&amp;BL$1,INDIRECT("Table1[Obergruppe ATC-Code]"),Tabelle3!$A65)</f>
        <v>1</v>
      </c>
      <c r="BM65">
        <f ca="1">COUNTIFS(INDIRECT("Table1[Beginn]"),"&lt;="&amp;BM$1,INDIRECT("Table1[Ende]"),"&gt;="&amp;BM$1,INDIRECT("Table1[Obergruppe ATC-Code]"),Tabelle3!$A65)</f>
        <v>0</v>
      </c>
      <c r="BN65">
        <f ca="1">COUNTIFS(INDIRECT("Table1[Beginn]"),"&lt;="&amp;BN$1,INDIRECT("Table1[Ende]"),"&gt;="&amp;BN$1,INDIRECT("Table1[Obergruppe ATC-Code]"),Tabelle3!$A65)</f>
        <v>2</v>
      </c>
      <c r="BO65">
        <f ca="1">COUNTIFS(INDIRECT("Table1[Beginn]"),"&lt;="&amp;BO$1,INDIRECT("Table1[Ende]"),"&gt;="&amp;BO$1,INDIRECT("Table1[Obergruppe ATC-Code]"),Tabelle3!$A65)</f>
        <v>2</v>
      </c>
      <c r="BP65">
        <f ca="1">COUNTIFS(INDIRECT("Table1[Beginn]"),"&lt;="&amp;BP$1,INDIRECT("Table1[Ende]"),"&gt;="&amp;BP$1,INDIRECT("Table1[Obergruppe ATC-Code]"),Tabelle3!$A65)</f>
        <v>2</v>
      </c>
      <c r="BQ65">
        <f ca="1">COUNTIFS(INDIRECT("Table1[Beginn]"),"&lt;="&amp;BQ$1,INDIRECT("Table1[Ende]"),"&gt;="&amp;BQ$1,INDIRECT("Table1[Obergruppe ATC-Code]"),Tabelle3!$A65)</f>
        <v>2</v>
      </c>
      <c r="BR65">
        <f ca="1">COUNTIFS(INDIRECT("Table1[Beginn]"),"&lt;="&amp;BR$1,INDIRECT("Table1[Ende]"),"&gt;="&amp;BR$1,INDIRECT("Table1[Obergruppe ATC-Code]"),Tabelle3!$A65)</f>
        <v>4</v>
      </c>
      <c r="BS65">
        <f ca="1">COUNTIFS(INDIRECT("Table1[Beginn]"),"&lt;="&amp;BS$1,INDIRECT("Table1[Ende]"),"&gt;="&amp;BS$1,INDIRECT("Table1[Obergruppe ATC-Code]"),Tabelle3!$A65)</f>
        <v>3</v>
      </c>
      <c r="BT65">
        <f ca="1">COUNTIFS(INDIRECT("Table1[Beginn]"),"&lt;="&amp;BT$1,INDIRECT("Table1[Ende]"),"&gt;="&amp;BT$1,INDIRECT("Table1[Obergruppe ATC-Code]"),Tabelle3!$A65)</f>
        <v>1</v>
      </c>
      <c r="BU65">
        <f ca="1">COUNTIFS(INDIRECT("Table1[Beginn]"),"&lt;="&amp;BU$1,INDIRECT("Table1[Ende]"),"&gt;="&amp;BU$1,INDIRECT("Table1[Obergruppe ATC-Code]"),Tabelle3!$A65)</f>
        <v>0</v>
      </c>
      <c r="BV65">
        <f ca="1">COUNTIFS(INDIRECT("Table1[Beginn]"),"&lt;="&amp;BV$1,INDIRECT("Table1[Ende]"),"&gt;="&amp;BV$1,INDIRECT("Table1[Obergruppe ATC-Code]"),Tabelle3!$A65)</f>
        <v>2</v>
      </c>
      <c r="BW65">
        <f ca="1">COUNTIFS(INDIRECT("Table1[Beginn]"),"&lt;="&amp;BW$1,INDIRECT("Table1[Ende]"),"&gt;="&amp;BW$1,INDIRECT("Table1[Obergruppe ATC-Code]"),Tabelle3!$A65)</f>
        <v>2</v>
      </c>
      <c r="BX65">
        <f ca="1">COUNTIFS(INDIRECT("Table1[Beginn]"),"&lt;="&amp;BX$1,INDIRECT("Table1[Ende]"),"&gt;="&amp;BX$1,INDIRECT("Table1[Obergruppe ATC-Code]"),Tabelle3!$A65)</f>
        <v>2</v>
      </c>
      <c r="BY65">
        <f ca="1">COUNTIFS(INDIRECT("Table1[Beginn]"),"&lt;="&amp;BY$1,INDIRECT("Table1[Ende]"),"&gt;="&amp;BY$1,INDIRECT("Table1[Obergruppe ATC-Code]"),Tabelle3!$A65)</f>
        <v>2</v>
      </c>
      <c r="BZ65">
        <f ca="1">COUNTIFS(INDIRECT("Table1[Beginn]"),"&lt;="&amp;BZ$1,INDIRECT("Table1[Ende]"),"&gt;="&amp;BZ$1,INDIRECT("Table1[Obergruppe ATC-Code]"),Tabelle3!$A65)</f>
        <v>0</v>
      </c>
      <c r="CA65">
        <f ca="1">COUNTIFS(INDIRECT("Table1[Beginn]"),"&lt;="&amp;CA$1,INDIRECT("Table1[Ende]"),"&gt;="&amp;CA$1,INDIRECT("Table1[Obergruppe ATC-Code]"),Tabelle3!$A65)</f>
        <v>0</v>
      </c>
      <c r="CB65">
        <f ca="1">COUNTIFS(INDIRECT("Table1[Beginn]"),"&lt;="&amp;CB$1,INDIRECT("Table1[Ende]"),"&gt;="&amp;CB$1,INDIRECT("Table1[Obergruppe ATC-Code]"),Tabelle3!$A65)</f>
        <v>0</v>
      </c>
      <c r="CC65">
        <f ca="1">COUNTIFS(INDIRECT("Table1[Beginn]"),"&lt;="&amp;CC$1,INDIRECT("Table1[Ende]"),"&gt;="&amp;CC$1,INDIRECT("Table1[Obergruppe ATC-Code]"),Tabelle3!$A65)</f>
        <v>0</v>
      </c>
      <c r="CD65">
        <f ca="1">COUNTIFS(INDIRECT("Table1[Beginn]"),"&lt;="&amp;CD$1,INDIRECT("Table1[Ende]"),"&gt;="&amp;CD$1,INDIRECT("Table1[Obergruppe ATC-Code]"),Tabelle3!$A65)</f>
        <v>0</v>
      </c>
      <c r="CE65">
        <f ca="1">COUNTIFS(INDIRECT("Table1[Beginn]"),"&lt;="&amp;CE$1,INDIRECT("Table1[Ende]"),"&gt;="&amp;CE$1,INDIRECT("Table1[Obergruppe ATC-Code]"),Tabelle3!$A65)</f>
        <v>1</v>
      </c>
      <c r="CF65">
        <f ca="1">COUNTIFS(INDIRECT("Table1[Beginn]"),"&lt;="&amp;CF$1,INDIRECT("Table1[Ende]"),"&gt;="&amp;CF$1,INDIRECT("Table1[Obergruppe ATC-Code]"),Tabelle3!$A65)</f>
        <v>2</v>
      </c>
      <c r="CG65">
        <f ca="1">COUNTIFS(INDIRECT("Table1[Beginn]"),"&lt;="&amp;CG$1,INDIRECT("Table1[Ende]"),"&gt;="&amp;CG$1,INDIRECT("Table1[Obergruppe ATC-Code]"),Tabelle3!$A65)</f>
        <v>1</v>
      </c>
      <c r="CH65">
        <f ca="1">COUNTIFS(INDIRECT("Table1[Beginn]"),"&lt;="&amp;CH$1,INDIRECT("Table1[Ende]"),"&gt;="&amp;CH$1,INDIRECT("Table1[Obergruppe ATC-Code]"),Tabelle3!$A65)</f>
        <v>1</v>
      </c>
      <c r="CI65">
        <f ca="1">COUNTIFS(INDIRECT("Table1[Beginn]"),"&lt;="&amp;CI$1,INDIRECT("Table1[Ende]"),"&gt;="&amp;CI$1,INDIRECT("Table1[Obergruppe ATC-Code]"),Tabelle3!$A65)</f>
        <v>2</v>
      </c>
      <c r="CJ65">
        <f ca="1">COUNTIFS(INDIRECT("Table1[Beginn]"),"&lt;="&amp;CJ$1,INDIRECT("Table1[Ende]"),"&gt;="&amp;CJ$1,INDIRECT("Table1[Obergruppe ATC-Code]"),Tabelle3!$A65)</f>
        <v>2</v>
      </c>
      <c r="CK65">
        <f ca="1">COUNTIFS(INDIRECT("Table1[Beginn]"),"&lt;="&amp;CK$1,INDIRECT("Table1[Ende]"),"&gt;="&amp;CK$1,INDIRECT("Table1[Obergruppe ATC-Code]"),Tabelle3!$A65)</f>
        <v>2</v>
      </c>
      <c r="CL65">
        <f ca="1">COUNTIFS(INDIRECT("Table1[Beginn]"),"&lt;="&amp;CL$1,INDIRECT("Table1[Ende]"),"&gt;="&amp;CL$1,INDIRECT("Table1[Obergruppe ATC-Code]"),Tabelle3!$A65)</f>
        <v>2</v>
      </c>
      <c r="CM65">
        <f ca="1">COUNTIFS(INDIRECT("Table1[Beginn]"),"&lt;="&amp;CM$1,INDIRECT("Table1[Ende]"),"&gt;="&amp;CM$1,INDIRECT("Table1[Obergruppe ATC-Code]"),Tabelle3!$A65)</f>
        <v>2</v>
      </c>
      <c r="CN65">
        <f ca="1">COUNTIFS(INDIRECT("Table1[Beginn]"),"&lt;="&amp;CN$1,INDIRECT("Table1[Ende]"),"&gt;="&amp;CN$1,INDIRECT("Table1[Obergruppe ATC-Code]"),Tabelle3!$A65)</f>
        <v>2</v>
      </c>
      <c r="CO65">
        <f ca="1">COUNTIFS(INDIRECT("Table1[Beginn]"),"&lt;="&amp;CO$1,INDIRECT("Table1[Ende]"),"&gt;="&amp;CO$1,INDIRECT("Table1[Obergruppe ATC-Code]"),Tabelle3!$A65)</f>
        <v>2</v>
      </c>
      <c r="CP65">
        <f ca="1">COUNTIFS(INDIRECT("Table1[Beginn]"),"&lt;="&amp;CP$1,INDIRECT("Table1[Ende]"),"&gt;="&amp;CP$1,INDIRECT("Table1[Obergruppe ATC-Code]"),Tabelle3!$A65)</f>
        <v>2</v>
      </c>
      <c r="CQ65">
        <f ca="1">COUNTIFS(INDIRECT("Table1[Beginn]"),"&lt;="&amp;CQ$1,INDIRECT("Table1[Ende]"),"&gt;="&amp;CQ$1,INDIRECT("Table1[Obergruppe ATC-Code]"),Tabelle3!$A65)</f>
        <v>2</v>
      </c>
      <c r="CR65">
        <f ca="1">COUNTIFS(INDIRECT("Table1[Beginn]"),"&lt;="&amp;CR$1,INDIRECT("Table1[Ende]"),"&gt;="&amp;CR$1,INDIRECT("Table1[Obergruppe ATC-Code]"),Tabelle3!$A65)</f>
        <v>2</v>
      </c>
      <c r="CS65">
        <f ca="1">COUNTIFS(INDIRECT("Table1[Beginn]"),"&lt;="&amp;CS$1,INDIRECT("Table1[Ende]"),"&gt;="&amp;CS$1,INDIRECT("Table1[Obergruppe ATC-Code]"),Tabelle3!$A65)</f>
        <v>2</v>
      </c>
      <c r="CT65">
        <f ca="1">COUNTIFS(INDIRECT("Table1[Beginn]"),"&lt;="&amp;CT$1,INDIRECT("Table1[Ende]"),"&gt;="&amp;CT$1,INDIRECT("Table1[Obergruppe ATC-Code]"),Tabelle3!$A65)</f>
        <v>2</v>
      </c>
    </row>
    <row r="66" spans="1:98" ht="18">
      <c r="A66" s="7" t="s">
        <v>6900</v>
      </c>
      <c r="B66" s="8" t="s">
        <v>6901</v>
      </c>
      <c r="C66">
        <f ca="1">COUNTIFS(INDIRECT("Table1[Beginn]"),"&lt;="&amp;C$1,INDIRECT("Table1[Ende]"),"&gt;="&amp;C$1,INDIRECT("Table1[Obergruppe ATC-Code]"),Tabelle3!$A66)</f>
        <v>0</v>
      </c>
      <c r="D66">
        <f ca="1">COUNTIFS(INDIRECT("Table1[Beginn]"),"&lt;="&amp;D$1,INDIRECT("Table1[Ende]"),"&gt;="&amp;D$1,INDIRECT("Table1[Obergruppe ATC-Code]"),Tabelle3!$A66)</f>
        <v>0</v>
      </c>
      <c r="E66">
        <f ca="1">COUNTIFS(INDIRECT("Table1[Beginn]"),"&lt;="&amp;E$1,INDIRECT("Table1[Ende]"),"&gt;="&amp;E$1,INDIRECT("Table1[Obergruppe ATC-Code]"),Tabelle3!$A66)</f>
        <v>0</v>
      </c>
      <c r="F66">
        <f ca="1">COUNTIFS(INDIRECT("Table1[Beginn]"),"&lt;="&amp;F$1,INDIRECT("Table1[Ende]"),"&gt;="&amp;F$1,INDIRECT("Table1[Obergruppe ATC-Code]"),Tabelle3!$A66)</f>
        <v>0</v>
      </c>
      <c r="G66">
        <f ca="1">COUNTIFS(INDIRECT("Table1[Beginn]"),"&lt;="&amp;G$1,INDIRECT("Table1[Ende]"),"&gt;="&amp;G$1,INDIRECT("Table1[Obergruppe ATC-Code]"),Tabelle3!$A66)</f>
        <v>0</v>
      </c>
      <c r="H66">
        <f ca="1">COUNTIFS(INDIRECT("Table1[Beginn]"),"&lt;="&amp;H$1,INDIRECT("Table1[Ende]"),"&gt;="&amp;H$1,INDIRECT("Table1[Obergruppe ATC-Code]"),Tabelle3!$A66)</f>
        <v>0</v>
      </c>
      <c r="I66">
        <f ca="1">COUNTIFS(INDIRECT("Table1[Beginn]"),"&lt;="&amp;I$1,INDIRECT("Table1[Ende]"),"&gt;="&amp;I$1,INDIRECT("Table1[Obergruppe ATC-Code]"),Tabelle3!$A66)</f>
        <v>0</v>
      </c>
      <c r="J66">
        <f ca="1">COUNTIFS(INDIRECT("Table1[Beginn]"),"&lt;="&amp;J$1,INDIRECT("Table1[Ende]"),"&gt;="&amp;J$1,INDIRECT("Table1[Obergruppe ATC-Code]"),Tabelle3!$A66)</f>
        <v>0</v>
      </c>
      <c r="K66">
        <f ca="1">COUNTIFS(INDIRECT("Table1[Beginn]"),"&lt;="&amp;K$1,INDIRECT("Table1[Ende]"),"&gt;="&amp;K$1,INDIRECT("Table1[Obergruppe ATC-Code]"),Tabelle3!$A66)</f>
        <v>0</v>
      </c>
      <c r="L66">
        <f ca="1">COUNTIFS(INDIRECT("Table1[Beginn]"),"&lt;="&amp;L$1,INDIRECT("Table1[Ende]"),"&gt;="&amp;L$1,INDIRECT("Table1[Obergruppe ATC-Code]"),Tabelle3!$A66)</f>
        <v>0</v>
      </c>
      <c r="M66">
        <f ca="1">COUNTIFS(INDIRECT("Table1[Beginn]"),"&lt;="&amp;M$1,INDIRECT("Table1[Ende]"),"&gt;="&amp;M$1,INDIRECT("Table1[Obergruppe ATC-Code]"),Tabelle3!$A66)</f>
        <v>0</v>
      </c>
      <c r="N66">
        <f ca="1">COUNTIFS(INDIRECT("Table1[Beginn]"),"&lt;="&amp;N$1,INDIRECT("Table1[Ende]"),"&gt;="&amp;N$1,INDIRECT("Table1[Obergruppe ATC-Code]"),Tabelle3!$A66)</f>
        <v>0</v>
      </c>
      <c r="O66">
        <f ca="1">COUNTIFS(INDIRECT("Table1[Beginn]"),"&lt;="&amp;O$1,INDIRECT("Table1[Ende]"),"&gt;="&amp;O$1,INDIRECT("Table1[Obergruppe ATC-Code]"),Tabelle3!$A66)</f>
        <v>0</v>
      </c>
      <c r="P66">
        <f ca="1">COUNTIFS(INDIRECT("Table1[Beginn]"),"&lt;="&amp;P$1,INDIRECT("Table1[Ende]"),"&gt;="&amp;P$1,INDIRECT("Table1[Obergruppe ATC-Code]"),Tabelle3!$A66)</f>
        <v>0</v>
      </c>
      <c r="Q66">
        <f ca="1">COUNTIFS(INDIRECT("Table1[Beginn]"),"&lt;="&amp;Q$1,INDIRECT("Table1[Ende]"),"&gt;="&amp;Q$1,INDIRECT("Table1[Obergruppe ATC-Code]"),Tabelle3!$A66)</f>
        <v>0</v>
      </c>
      <c r="R66">
        <f ca="1">COUNTIFS(INDIRECT("Table1[Beginn]"),"&lt;="&amp;R$1,INDIRECT("Table1[Ende]"),"&gt;="&amp;R$1,INDIRECT("Table1[Obergruppe ATC-Code]"),Tabelle3!$A66)</f>
        <v>0</v>
      </c>
      <c r="S66">
        <f ca="1">COUNTIFS(INDIRECT("Table1[Beginn]"),"&lt;="&amp;S$1,INDIRECT("Table1[Ende]"),"&gt;="&amp;S$1,INDIRECT("Table1[Obergruppe ATC-Code]"),Tabelle3!$A66)</f>
        <v>0</v>
      </c>
      <c r="T66">
        <f ca="1">COUNTIFS(INDIRECT("Table1[Beginn]"),"&lt;="&amp;T$1,INDIRECT("Table1[Ende]"),"&gt;="&amp;T$1,INDIRECT("Table1[Obergruppe ATC-Code]"),Tabelle3!$A66)</f>
        <v>0</v>
      </c>
      <c r="U66">
        <f ca="1">COUNTIFS(INDIRECT("Table1[Beginn]"),"&lt;="&amp;U$1,INDIRECT("Table1[Ende]"),"&gt;="&amp;U$1,INDIRECT("Table1[Obergruppe ATC-Code]"),Tabelle3!$A66)</f>
        <v>0</v>
      </c>
      <c r="V66">
        <f ca="1">COUNTIFS(INDIRECT("Table1[Beginn]"),"&lt;="&amp;V$1,INDIRECT("Table1[Ende]"),"&gt;="&amp;V$1,INDIRECT("Table1[Obergruppe ATC-Code]"),Tabelle3!$A66)</f>
        <v>0</v>
      </c>
      <c r="W66">
        <f ca="1">COUNTIFS(INDIRECT("Table1[Beginn]"),"&lt;="&amp;W$1,INDIRECT("Table1[Ende]"),"&gt;="&amp;W$1,INDIRECT("Table1[Obergruppe ATC-Code]"),Tabelle3!$A66)</f>
        <v>0</v>
      </c>
      <c r="X66">
        <f ca="1">COUNTIFS(INDIRECT("Table1[Beginn]"),"&lt;="&amp;X$1,INDIRECT("Table1[Ende]"),"&gt;="&amp;X$1,INDIRECT("Table1[Obergruppe ATC-Code]"),Tabelle3!$A66)</f>
        <v>0</v>
      </c>
      <c r="Y66">
        <f ca="1">COUNTIFS(INDIRECT("Table1[Beginn]"),"&lt;="&amp;Y$1,INDIRECT("Table1[Ende]"),"&gt;="&amp;Y$1,INDIRECT("Table1[Obergruppe ATC-Code]"),Tabelle3!$A66)</f>
        <v>0</v>
      </c>
      <c r="Z66">
        <f ca="1">COUNTIFS(INDIRECT("Table1[Beginn]"),"&lt;="&amp;Z$1,INDIRECT("Table1[Ende]"),"&gt;="&amp;Z$1,INDIRECT("Table1[Obergruppe ATC-Code]"),Tabelle3!$A66)</f>
        <v>0</v>
      </c>
      <c r="AA66">
        <f ca="1">COUNTIFS(INDIRECT("Table1[Beginn]"),"&lt;="&amp;AA$1,INDIRECT("Table1[Ende]"),"&gt;="&amp;AA$1,INDIRECT("Table1[Obergruppe ATC-Code]"),Tabelle3!$A66)</f>
        <v>0</v>
      </c>
      <c r="AB66">
        <f ca="1">COUNTIFS(INDIRECT("Table1[Beginn]"),"&lt;="&amp;AB$1,INDIRECT("Table1[Ende]"),"&gt;="&amp;AB$1,INDIRECT("Table1[Obergruppe ATC-Code]"),Tabelle3!$A66)</f>
        <v>0</v>
      </c>
      <c r="AC66">
        <f ca="1">COUNTIFS(INDIRECT("Table1[Beginn]"),"&lt;="&amp;AC$1,INDIRECT("Table1[Ende]"),"&gt;="&amp;AC$1,INDIRECT("Table1[Obergruppe ATC-Code]"),Tabelle3!$A66)</f>
        <v>0</v>
      </c>
      <c r="AD66">
        <f ca="1">COUNTIFS(INDIRECT("Table1[Beginn]"),"&lt;="&amp;AD$1,INDIRECT("Table1[Ende]"),"&gt;="&amp;AD$1,INDIRECT("Table1[Obergruppe ATC-Code]"),Tabelle3!$A66)</f>
        <v>0</v>
      </c>
      <c r="AE66">
        <f ca="1">COUNTIFS(INDIRECT("Table1[Beginn]"),"&lt;="&amp;AE$1,INDIRECT("Table1[Ende]"),"&gt;="&amp;AE$1,INDIRECT("Table1[Obergruppe ATC-Code]"),Tabelle3!$A66)</f>
        <v>0</v>
      </c>
      <c r="AF66">
        <f ca="1">COUNTIFS(INDIRECT("Table1[Beginn]"),"&lt;="&amp;AF$1,INDIRECT("Table1[Ende]"),"&gt;="&amp;AF$1,INDIRECT("Table1[Obergruppe ATC-Code]"),Tabelle3!$A66)</f>
        <v>0</v>
      </c>
      <c r="AG66">
        <f ca="1">COUNTIFS(INDIRECT("Table1[Beginn]"),"&lt;="&amp;AG$1,INDIRECT("Table1[Ende]"),"&gt;="&amp;AG$1,INDIRECT("Table1[Obergruppe ATC-Code]"),Tabelle3!$A66)</f>
        <v>0</v>
      </c>
      <c r="AH66">
        <f ca="1">COUNTIFS(INDIRECT("Table1[Beginn]"),"&lt;="&amp;AH$1,INDIRECT("Table1[Ende]"),"&gt;="&amp;AH$1,INDIRECT("Table1[Obergruppe ATC-Code]"),Tabelle3!$A66)</f>
        <v>0</v>
      </c>
      <c r="AI66">
        <f ca="1">COUNTIFS(INDIRECT("Table1[Beginn]"),"&lt;="&amp;AI$1,INDIRECT("Table1[Ende]"),"&gt;="&amp;AI$1,INDIRECT("Table1[Obergruppe ATC-Code]"),Tabelle3!$A66)</f>
        <v>0</v>
      </c>
      <c r="AJ66">
        <f ca="1">COUNTIFS(INDIRECT("Table1[Beginn]"),"&lt;="&amp;AJ$1,INDIRECT("Table1[Ende]"),"&gt;="&amp;AJ$1,INDIRECT("Table1[Obergruppe ATC-Code]"),Tabelle3!$A66)</f>
        <v>0</v>
      </c>
      <c r="AK66">
        <f ca="1">COUNTIFS(INDIRECT("Table1[Beginn]"),"&lt;="&amp;AK$1,INDIRECT("Table1[Ende]"),"&gt;="&amp;AK$1,INDIRECT("Table1[Obergruppe ATC-Code]"),Tabelle3!$A66)</f>
        <v>0</v>
      </c>
      <c r="AL66">
        <f ca="1">COUNTIFS(INDIRECT("Table1[Beginn]"),"&lt;="&amp;AL$1,INDIRECT("Table1[Ende]"),"&gt;="&amp;AL$1,INDIRECT("Table1[Obergruppe ATC-Code]"),Tabelle3!$A66)</f>
        <v>0</v>
      </c>
      <c r="AM66">
        <f ca="1">COUNTIFS(INDIRECT("Table1[Beginn]"),"&lt;="&amp;AM$1,INDIRECT("Table1[Ende]"),"&gt;="&amp;AM$1,INDIRECT("Table1[Obergruppe ATC-Code]"),Tabelle3!$A66)</f>
        <v>1</v>
      </c>
      <c r="AN66">
        <f ca="1">COUNTIFS(INDIRECT("Table1[Beginn]"),"&lt;="&amp;AN$1,INDIRECT("Table1[Ende]"),"&gt;="&amp;AN$1,INDIRECT("Table1[Obergruppe ATC-Code]"),Tabelle3!$A66)</f>
        <v>1</v>
      </c>
      <c r="AO66">
        <f ca="1">COUNTIFS(INDIRECT("Table1[Beginn]"),"&lt;="&amp;AO$1,INDIRECT("Table1[Ende]"),"&gt;="&amp;AO$1,INDIRECT("Table1[Obergruppe ATC-Code]"),Tabelle3!$A66)</f>
        <v>1</v>
      </c>
      <c r="AP66">
        <f ca="1">COUNTIFS(INDIRECT("Table1[Beginn]"),"&lt;="&amp;AP$1,INDIRECT("Table1[Ende]"),"&gt;="&amp;AP$1,INDIRECT("Table1[Obergruppe ATC-Code]"),Tabelle3!$A66)</f>
        <v>1</v>
      </c>
      <c r="AQ66">
        <f ca="1">COUNTIFS(INDIRECT("Table1[Beginn]"),"&lt;="&amp;AQ$1,INDIRECT("Table1[Ende]"),"&gt;="&amp;AQ$1,INDIRECT("Table1[Obergruppe ATC-Code]"),Tabelle3!$A66)</f>
        <v>0</v>
      </c>
      <c r="AR66">
        <f ca="1">COUNTIFS(INDIRECT("Table1[Beginn]"),"&lt;="&amp;AR$1,INDIRECT("Table1[Ende]"),"&gt;="&amp;AR$1,INDIRECT("Table1[Obergruppe ATC-Code]"),Tabelle3!$A66)</f>
        <v>0</v>
      </c>
      <c r="AS66">
        <f ca="1">COUNTIFS(INDIRECT("Table1[Beginn]"),"&lt;="&amp;AS$1,INDIRECT("Table1[Ende]"),"&gt;="&amp;AS$1,INDIRECT("Table1[Obergruppe ATC-Code]"),Tabelle3!$A66)</f>
        <v>0</v>
      </c>
      <c r="AT66">
        <f ca="1">COUNTIFS(INDIRECT("Table1[Beginn]"),"&lt;="&amp;AT$1,INDIRECT("Table1[Ende]"),"&gt;="&amp;AT$1,INDIRECT("Table1[Obergruppe ATC-Code]"),Tabelle3!$A66)</f>
        <v>0</v>
      </c>
      <c r="AU66">
        <f ca="1">COUNTIFS(INDIRECT("Table1[Beginn]"),"&lt;="&amp;AU$1,INDIRECT("Table1[Ende]"),"&gt;="&amp;AU$1,INDIRECT("Table1[Obergruppe ATC-Code]"),Tabelle3!$A66)</f>
        <v>0</v>
      </c>
      <c r="AV66">
        <f ca="1">COUNTIFS(INDIRECT("Table1[Beginn]"),"&lt;="&amp;AV$1,INDIRECT("Table1[Ende]"),"&gt;="&amp;AV$1,INDIRECT("Table1[Obergruppe ATC-Code]"),Tabelle3!$A66)</f>
        <v>0</v>
      </c>
      <c r="AW66">
        <f ca="1">COUNTIFS(INDIRECT("Table1[Beginn]"),"&lt;="&amp;AW$1,INDIRECT("Table1[Ende]"),"&gt;="&amp;AW$1,INDIRECT("Table1[Obergruppe ATC-Code]"),Tabelle3!$A66)</f>
        <v>0</v>
      </c>
      <c r="AX66">
        <f ca="1">COUNTIFS(INDIRECT("Table1[Beginn]"),"&lt;="&amp;AX$1,INDIRECT("Table1[Ende]"),"&gt;="&amp;AX$1,INDIRECT("Table1[Obergruppe ATC-Code]"),Tabelle3!$A66)</f>
        <v>0</v>
      </c>
      <c r="AY66">
        <f ca="1">COUNTIFS(INDIRECT("Table1[Beginn]"),"&lt;="&amp;AY$1,INDIRECT("Table1[Ende]"),"&gt;="&amp;AY$1,INDIRECT("Table1[Obergruppe ATC-Code]"),Tabelle3!$A66)</f>
        <v>0</v>
      </c>
      <c r="AZ66">
        <f ca="1">COUNTIFS(INDIRECT("Table1[Beginn]"),"&lt;="&amp;AZ$1,INDIRECT("Table1[Ende]"),"&gt;="&amp;AZ$1,INDIRECT("Table1[Obergruppe ATC-Code]"),Tabelle3!$A66)</f>
        <v>0</v>
      </c>
      <c r="BA66">
        <f ca="1">COUNTIFS(INDIRECT("Table1[Beginn]"),"&lt;="&amp;BA$1,INDIRECT("Table1[Ende]"),"&gt;="&amp;BA$1,INDIRECT("Table1[Obergruppe ATC-Code]"),Tabelle3!$A66)</f>
        <v>0</v>
      </c>
      <c r="BB66">
        <f ca="1">COUNTIFS(INDIRECT("Table1[Beginn]"),"&lt;="&amp;BB$1,INDIRECT("Table1[Ende]"),"&gt;="&amp;BB$1,INDIRECT("Table1[Obergruppe ATC-Code]"),Tabelle3!$A66)</f>
        <v>0</v>
      </c>
      <c r="BC66">
        <f ca="1">COUNTIFS(INDIRECT("Table1[Beginn]"),"&lt;="&amp;BC$1,INDIRECT("Table1[Ende]"),"&gt;="&amp;BC$1,INDIRECT("Table1[Obergruppe ATC-Code]"),Tabelle3!$A66)</f>
        <v>0</v>
      </c>
      <c r="BD66">
        <f ca="1">COUNTIFS(INDIRECT("Table1[Beginn]"),"&lt;="&amp;BD$1,INDIRECT("Table1[Ende]"),"&gt;="&amp;BD$1,INDIRECT("Table1[Obergruppe ATC-Code]"),Tabelle3!$A66)</f>
        <v>0</v>
      </c>
      <c r="BE66">
        <f ca="1">COUNTIFS(INDIRECT("Table1[Beginn]"),"&lt;="&amp;BE$1,INDIRECT("Table1[Ende]"),"&gt;="&amp;BE$1,INDIRECT("Table1[Obergruppe ATC-Code]"),Tabelle3!$A66)</f>
        <v>0</v>
      </c>
      <c r="BF66">
        <f ca="1">COUNTIFS(INDIRECT("Table1[Beginn]"),"&lt;="&amp;BF$1,INDIRECT("Table1[Ende]"),"&gt;="&amp;BF$1,INDIRECT("Table1[Obergruppe ATC-Code]"),Tabelle3!$A66)</f>
        <v>0</v>
      </c>
      <c r="BG66">
        <f ca="1">COUNTIFS(INDIRECT("Table1[Beginn]"),"&lt;="&amp;BG$1,INDIRECT("Table1[Ende]"),"&gt;="&amp;BG$1,INDIRECT("Table1[Obergruppe ATC-Code]"),Tabelle3!$A66)</f>
        <v>0</v>
      </c>
      <c r="BH66">
        <f ca="1">COUNTIFS(INDIRECT("Table1[Beginn]"),"&lt;="&amp;BH$1,INDIRECT("Table1[Ende]"),"&gt;="&amp;BH$1,INDIRECT("Table1[Obergruppe ATC-Code]"),Tabelle3!$A66)</f>
        <v>0</v>
      </c>
      <c r="BI66">
        <f ca="1">COUNTIFS(INDIRECT("Table1[Beginn]"),"&lt;="&amp;BI$1,INDIRECT("Table1[Ende]"),"&gt;="&amp;BI$1,INDIRECT("Table1[Obergruppe ATC-Code]"),Tabelle3!$A66)</f>
        <v>0</v>
      </c>
      <c r="BJ66">
        <f ca="1">COUNTIFS(INDIRECT("Table1[Beginn]"),"&lt;="&amp;BJ$1,INDIRECT("Table1[Ende]"),"&gt;="&amp;BJ$1,INDIRECT("Table1[Obergruppe ATC-Code]"),Tabelle3!$A66)</f>
        <v>0</v>
      </c>
      <c r="BK66">
        <f ca="1">COUNTIFS(INDIRECT("Table1[Beginn]"),"&lt;="&amp;BK$1,INDIRECT("Table1[Ende]"),"&gt;="&amp;BK$1,INDIRECT("Table1[Obergruppe ATC-Code]"),Tabelle3!$A66)</f>
        <v>0</v>
      </c>
      <c r="BL66">
        <f ca="1">COUNTIFS(INDIRECT("Table1[Beginn]"),"&lt;="&amp;BL$1,INDIRECT("Table1[Ende]"),"&gt;="&amp;BL$1,INDIRECT("Table1[Obergruppe ATC-Code]"),Tabelle3!$A66)</f>
        <v>0</v>
      </c>
      <c r="BM66">
        <f ca="1">COUNTIFS(INDIRECT("Table1[Beginn]"),"&lt;="&amp;BM$1,INDIRECT("Table1[Ende]"),"&gt;="&amp;BM$1,INDIRECT("Table1[Obergruppe ATC-Code]"),Tabelle3!$A66)</f>
        <v>0</v>
      </c>
      <c r="BN66">
        <f ca="1">COUNTIFS(INDIRECT("Table1[Beginn]"),"&lt;="&amp;BN$1,INDIRECT("Table1[Ende]"),"&gt;="&amp;BN$1,INDIRECT("Table1[Obergruppe ATC-Code]"),Tabelle3!$A66)</f>
        <v>0</v>
      </c>
      <c r="BO66">
        <f ca="1">COUNTIFS(INDIRECT("Table1[Beginn]"),"&lt;="&amp;BO$1,INDIRECT("Table1[Ende]"),"&gt;="&amp;BO$1,INDIRECT("Table1[Obergruppe ATC-Code]"),Tabelle3!$A66)</f>
        <v>0</v>
      </c>
      <c r="BP66">
        <f ca="1">COUNTIFS(INDIRECT("Table1[Beginn]"),"&lt;="&amp;BP$1,INDIRECT("Table1[Ende]"),"&gt;="&amp;BP$1,INDIRECT("Table1[Obergruppe ATC-Code]"),Tabelle3!$A66)</f>
        <v>0</v>
      </c>
      <c r="BQ66">
        <f ca="1">COUNTIFS(INDIRECT("Table1[Beginn]"),"&lt;="&amp;BQ$1,INDIRECT("Table1[Ende]"),"&gt;="&amp;BQ$1,INDIRECT("Table1[Obergruppe ATC-Code]"),Tabelle3!$A66)</f>
        <v>0</v>
      </c>
      <c r="BR66">
        <f ca="1">COUNTIFS(INDIRECT("Table1[Beginn]"),"&lt;="&amp;BR$1,INDIRECT("Table1[Ende]"),"&gt;="&amp;BR$1,INDIRECT("Table1[Obergruppe ATC-Code]"),Tabelle3!$A66)</f>
        <v>0</v>
      </c>
      <c r="BS66">
        <f ca="1">COUNTIFS(INDIRECT("Table1[Beginn]"),"&lt;="&amp;BS$1,INDIRECT("Table1[Ende]"),"&gt;="&amp;BS$1,INDIRECT("Table1[Obergruppe ATC-Code]"),Tabelle3!$A66)</f>
        <v>0</v>
      </c>
      <c r="BT66">
        <f ca="1">COUNTIFS(INDIRECT("Table1[Beginn]"),"&lt;="&amp;BT$1,INDIRECT("Table1[Ende]"),"&gt;="&amp;BT$1,INDIRECT("Table1[Obergruppe ATC-Code]"),Tabelle3!$A66)</f>
        <v>0</v>
      </c>
      <c r="BU66">
        <f ca="1">COUNTIFS(INDIRECT("Table1[Beginn]"),"&lt;="&amp;BU$1,INDIRECT("Table1[Ende]"),"&gt;="&amp;BU$1,INDIRECT("Table1[Obergruppe ATC-Code]"),Tabelle3!$A66)</f>
        <v>0</v>
      </c>
      <c r="BV66">
        <f ca="1">COUNTIFS(INDIRECT("Table1[Beginn]"),"&lt;="&amp;BV$1,INDIRECT("Table1[Ende]"),"&gt;="&amp;BV$1,INDIRECT("Table1[Obergruppe ATC-Code]"),Tabelle3!$A66)</f>
        <v>1</v>
      </c>
      <c r="BW66">
        <f ca="1">COUNTIFS(INDIRECT("Table1[Beginn]"),"&lt;="&amp;BW$1,INDIRECT("Table1[Ende]"),"&gt;="&amp;BW$1,INDIRECT("Table1[Obergruppe ATC-Code]"),Tabelle3!$A66)</f>
        <v>1</v>
      </c>
      <c r="BX66">
        <f ca="1">COUNTIFS(INDIRECT("Table1[Beginn]"),"&lt;="&amp;BX$1,INDIRECT("Table1[Ende]"),"&gt;="&amp;BX$1,INDIRECT("Table1[Obergruppe ATC-Code]"),Tabelle3!$A66)</f>
        <v>1</v>
      </c>
      <c r="BY66">
        <f ca="1">COUNTIFS(INDIRECT("Table1[Beginn]"),"&lt;="&amp;BY$1,INDIRECT("Table1[Ende]"),"&gt;="&amp;BY$1,INDIRECT("Table1[Obergruppe ATC-Code]"),Tabelle3!$A66)</f>
        <v>1</v>
      </c>
      <c r="BZ66">
        <f ca="1">COUNTIFS(INDIRECT("Table1[Beginn]"),"&lt;="&amp;BZ$1,INDIRECT("Table1[Ende]"),"&gt;="&amp;BZ$1,INDIRECT("Table1[Obergruppe ATC-Code]"),Tabelle3!$A66)</f>
        <v>1</v>
      </c>
      <c r="CA66">
        <f ca="1">COUNTIFS(INDIRECT("Table1[Beginn]"),"&lt;="&amp;CA$1,INDIRECT("Table1[Ende]"),"&gt;="&amp;CA$1,INDIRECT("Table1[Obergruppe ATC-Code]"),Tabelle3!$A66)</f>
        <v>0</v>
      </c>
      <c r="CB66">
        <f ca="1">COUNTIFS(INDIRECT("Table1[Beginn]"),"&lt;="&amp;CB$1,INDIRECT("Table1[Ende]"),"&gt;="&amp;CB$1,INDIRECT("Table1[Obergruppe ATC-Code]"),Tabelle3!$A66)</f>
        <v>0</v>
      </c>
      <c r="CC66">
        <f ca="1">COUNTIFS(INDIRECT("Table1[Beginn]"),"&lt;="&amp;CC$1,INDIRECT("Table1[Ende]"),"&gt;="&amp;CC$1,INDIRECT("Table1[Obergruppe ATC-Code]"),Tabelle3!$A66)</f>
        <v>0</v>
      </c>
      <c r="CD66">
        <f ca="1">COUNTIFS(INDIRECT("Table1[Beginn]"),"&lt;="&amp;CD$1,INDIRECT("Table1[Ende]"),"&gt;="&amp;CD$1,INDIRECT("Table1[Obergruppe ATC-Code]"),Tabelle3!$A66)</f>
        <v>0</v>
      </c>
      <c r="CE66">
        <f ca="1">COUNTIFS(INDIRECT("Table1[Beginn]"),"&lt;="&amp;CE$1,INDIRECT("Table1[Ende]"),"&gt;="&amp;CE$1,INDIRECT("Table1[Obergruppe ATC-Code]"),Tabelle3!$A66)</f>
        <v>0</v>
      </c>
      <c r="CF66">
        <f ca="1">COUNTIFS(INDIRECT("Table1[Beginn]"),"&lt;="&amp;CF$1,INDIRECT("Table1[Ende]"),"&gt;="&amp;CF$1,INDIRECT("Table1[Obergruppe ATC-Code]"),Tabelle3!$A66)</f>
        <v>0</v>
      </c>
      <c r="CG66">
        <f ca="1">COUNTIFS(INDIRECT("Table1[Beginn]"),"&lt;="&amp;CG$1,INDIRECT("Table1[Ende]"),"&gt;="&amp;CG$1,INDIRECT("Table1[Obergruppe ATC-Code]"),Tabelle3!$A66)</f>
        <v>0</v>
      </c>
      <c r="CH66">
        <f ca="1">COUNTIFS(INDIRECT("Table1[Beginn]"),"&lt;="&amp;CH$1,INDIRECT("Table1[Ende]"),"&gt;="&amp;CH$1,INDIRECT("Table1[Obergruppe ATC-Code]"),Tabelle3!$A66)</f>
        <v>0</v>
      </c>
      <c r="CI66">
        <f ca="1">COUNTIFS(INDIRECT("Table1[Beginn]"),"&lt;="&amp;CI$1,INDIRECT("Table1[Ende]"),"&gt;="&amp;CI$1,INDIRECT("Table1[Obergruppe ATC-Code]"),Tabelle3!$A66)</f>
        <v>0</v>
      </c>
      <c r="CJ66">
        <f ca="1">COUNTIFS(INDIRECT("Table1[Beginn]"),"&lt;="&amp;CJ$1,INDIRECT("Table1[Ende]"),"&gt;="&amp;CJ$1,INDIRECT("Table1[Obergruppe ATC-Code]"),Tabelle3!$A66)</f>
        <v>0</v>
      </c>
      <c r="CK66">
        <f ca="1">COUNTIFS(INDIRECT("Table1[Beginn]"),"&lt;="&amp;CK$1,INDIRECT("Table1[Ende]"),"&gt;="&amp;CK$1,INDIRECT("Table1[Obergruppe ATC-Code]"),Tabelle3!$A66)</f>
        <v>0</v>
      </c>
      <c r="CL66">
        <f ca="1">COUNTIFS(INDIRECT("Table1[Beginn]"),"&lt;="&amp;CL$1,INDIRECT("Table1[Ende]"),"&gt;="&amp;CL$1,INDIRECT("Table1[Obergruppe ATC-Code]"),Tabelle3!$A66)</f>
        <v>0</v>
      </c>
      <c r="CM66">
        <f ca="1">COUNTIFS(INDIRECT("Table1[Beginn]"),"&lt;="&amp;CM$1,INDIRECT("Table1[Ende]"),"&gt;="&amp;CM$1,INDIRECT("Table1[Obergruppe ATC-Code]"),Tabelle3!$A66)</f>
        <v>0</v>
      </c>
      <c r="CN66">
        <f ca="1">COUNTIFS(INDIRECT("Table1[Beginn]"),"&lt;="&amp;CN$1,INDIRECT("Table1[Ende]"),"&gt;="&amp;CN$1,INDIRECT("Table1[Obergruppe ATC-Code]"),Tabelle3!$A66)</f>
        <v>0</v>
      </c>
      <c r="CO66">
        <f ca="1">COUNTIFS(INDIRECT("Table1[Beginn]"),"&lt;="&amp;CO$1,INDIRECT("Table1[Ende]"),"&gt;="&amp;CO$1,INDIRECT("Table1[Obergruppe ATC-Code]"),Tabelle3!$A66)</f>
        <v>0</v>
      </c>
      <c r="CP66">
        <f ca="1">COUNTIFS(INDIRECT("Table1[Beginn]"),"&lt;="&amp;CP$1,INDIRECT("Table1[Ende]"),"&gt;="&amp;CP$1,INDIRECT("Table1[Obergruppe ATC-Code]"),Tabelle3!$A66)</f>
        <v>0</v>
      </c>
      <c r="CQ66">
        <f ca="1">COUNTIFS(INDIRECT("Table1[Beginn]"),"&lt;="&amp;CQ$1,INDIRECT("Table1[Ende]"),"&gt;="&amp;CQ$1,INDIRECT("Table1[Obergruppe ATC-Code]"),Tabelle3!$A66)</f>
        <v>0</v>
      </c>
      <c r="CR66">
        <f ca="1">COUNTIFS(INDIRECT("Table1[Beginn]"),"&lt;="&amp;CR$1,INDIRECT("Table1[Ende]"),"&gt;="&amp;CR$1,INDIRECT("Table1[Obergruppe ATC-Code]"),Tabelle3!$A66)</f>
        <v>0</v>
      </c>
      <c r="CS66">
        <f ca="1">COUNTIFS(INDIRECT("Table1[Beginn]"),"&lt;="&amp;CS$1,INDIRECT("Table1[Ende]"),"&gt;="&amp;CS$1,INDIRECT("Table1[Obergruppe ATC-Code]"),Tabelle3!$A66)</f>
        <v>0</v>
      </c>
      <c r="CT66">
        <f ca="1">COUNTIFS(INDIRECT("Table1[Beginn]"),"&lt;="&amp;CT$1,INDIRECT("Table1[Ende]"),"&gt;="&amp;CT$1,INDIRECT("Table1[Obergruppe ATC-Code]"),Tabelle3!$A66)</f>
        <v>0</v>
      </c>
    </row>
    <row r="67" spans="1:98" ht="18">
      <c r="A67" s="9" t="s">
        <v>6902</v>
      </c>
      <c r="B67" s="10" t="s">
        <v>6903</v>
      </c>
      <c r="C67">
        <f ca="1">COUNTIFS(INDIRECT("Table1[Beginn]"),"&lt;="&amp;C$1,INDIRECT("Table1[Ende]"),"&gt;="&amp;C$1,INDIRECT("Table1[Obergruppe ATC-Code]"),Tabelle3!$A67)</f>
        <v>1</v>
      </c>
      <c r="D67">
        <f ca="1">COUNTIFS(INDIRECT("Table1[Beginn]"),"&lt;="&amp;D$1,INDIRECT("Table1[Ende]"),"&gt;="&amp;D$1,INDIRECT("Table1[Obergruppe ATC-Code]"),Tabelle3!$A67)</f>
        <v>1</v>
      </c>
      <c r="E67">
        <f ca="1">COUNTIFS(INDIRECT("Table1[Beginn]"),"&lt;="&amp;E$1,INDIRECT("Table1[Ende]"),"&gt;="&amp;E$1,INDIRECT("Table1[Obergruppe ATC-Code]"),Tabelle3!$A67)</f>
        <v>1</v>
      </c>
      <c r="F67">
        <f ca="1">COUNTIFS(INDIRECT("Table1[Beginn]"),"&lt;="&amp;F$1,INDIRECT("Table1[Ende]"),"&gt;="&amp;F$1,INDIRECT("Table1[Obergruppe ATC-Code]"),Tabelle3!$A67)</f>
        <v>1</v>
      </c>
      <c r="G67">
        <f ca="1">COUNTIFS(INDIRECT("Table1[Beginn]"),"&lt;="&amp;G$1,INDIRECT("Table1[Ende]"),"&gt;="&amp;G$1,INDIRECT("Table1[Obergruppe ATC-Code]"),Tabelle3!$A67)</f>
        <v>1</v>
      </c>
      <c r="H67">
        <f ca="1">COUNTIFS(INDIRECT("Table1[Beginn]"),"&lt;="&amp;H$1,INDIRECT("Table1[Ende]"),"&gt;="&amp;H$1,INDIRECT("Table1[Obergruppe ATC-Code]"),Tabelle3!$A67)</f>
        <v>1</v>
      </c>
      <c r="I67">
        <f ca="1">COUNTIFS(INDIRECT("Table1[Beginn]"),"&lt;="&amp;I$1,INDIRECT("Table1[Ende]"),"&gt;="&amp;I$1,INDIRECT("Table1[Obergruppe ATC-Code]"),Tabelle3!$A67)</f>
        <v>0</v>
      </c>
      <c r="J67">
        <f ca="1">COUNTIFS(INDIRECT("Table1[Beginn]"),"&lt;="&amp;J$1,INDIRECT("Table1[Ende]"),"&gt;="&amp;J$1,INDIRECT("Table1[Obergruppe ATC-Code]"),Tabelle3!$A67)</f>
        <v>0</v>
      </c>
      <c r="K67">
        <f ca="1">COUNTIFS(INDIRECT("Table1[Beginn]"),"&lt;="&amp;K$1,INDIRECT("Table1[Ende]"),"&gt;="&amp;K$1,INDIRECT("Table1[Obergruppe ATC-Code]"),Tabelle3!$A67)</f>
        <v>0</v>
      </c>
      <c r="L67">
        <f ca="1">COUNTIFS(INDIRECT("Table1[Beginn]"),"&lt;="&amp;L$1,INDIRECT("Table1[Ende]"),"&gt;="&amp;L$1,INDIRECT("Table1[Obergruppe ATC-Code]"),Tabelle3!$A67)</f>
        <v>0</v>
      </c>
      <c r="M67">
        <f ca="1">COUNTIFS(INDIRECT("Table1[Beginn]"),"&lt;="&amp;M$1,INDIRECT("Table1[Ende]"),"&gt;="&amp;M$1,INDIRECT("Table1[Obergruppe ATC-Code]"),Tabelle3!$A67)</f>
        <v>0</v>
      </c>
      <c r="N67">
        <f ca="1">COUNTIFS(INDIRECT("Table1[Beginn]"),"&lt;="&amp;N$1,INDIRECT("Table1[Ende]"),"&gt;="&amp;N$1,INDIRECT("Table1[Obergruppe ATC-Code]"),Tabelle3!$A67)</f>
        <v>0</v>
      </c>
      <c r="O67">
        <f ca="1">COUNTIFS(INDIRECT("Table1[Beginn]"),"&lt;="&amp;O$1,INDIRECT("Table1[Ende]"),"&gt;="&amp;O$1,INDIRECT("Table1[Obergruppe ATC-Code]"),Tabelle3!$A67)</f>
        <v>0</v>
      </c>
      <c r="P67">
        <f ca="1">COUNTIFS(INDIRECT("Table1[Beginn]"),"&lt;="&amp;P$1,INDIRECT("Table1[Ende]"),"&gt;="&amp;P$1,INDIRECT("Table1[Obergruppe ATC-Code]"),Tabelle3!$A67)</f>
        <v>0</v>
      </c>
      <c r="Q67">
        <f ca="1">COUNTIFS(INDIRECT("Table1[Beginn]"),"&lt;="&amp;Q$1,INDIRECT("Table1[Ende]"),"&gt;="&amp;Q$1,INDIRECT("Table1[Obergruppe ATC-Code]"),Tabelle3!$A67)</f>
        <v>0</v>
      </c>
      <c r="R67">
        <f ca="1">COUNTIFS(INDIRECT("Table1[Beginn]"),"&lt;="&amp;R$1,INDIRECT("Table1[Ende]"),"&gt;="&amp;R$1,INDIRECT("Table1[Obergruppe ATC-Code]"),Tabelle3!$A67)</f>
        <v>0</v>
      </c>
      <c r="S67">
        <f ca="1">COUNTIFS(INDIRECT("Table1[Beginn]"),"&lt;="&amp;S$1,INDIRECT("Table1[Ende]"),"&gt;="&amp;S$1,INDIRECT("Table1[Obergruppe ATC-Code]"),Tabelle3!$A67)</f>
        <v>1</v>
      </c>
      <c r="T67">
        <f ca="1">COUNTIFS(INDIRECT("Table1[Beginn]"),"&lt;="&amp;T$1,INDIRECT("Table1[Ende]"),"&gt;="&amp;T$1,INDIRECT("Table1[Obergruppe ATC-Code]"),Tabelle3!$A67)</f>
        <v>1</v>
      </c>
      <c r="U67">
        <f ca="1">COUNTIFS(INDIRECT("Table1[Beginn]"),"&lt;="&amp;U$1,INDIRECT("Table1[Ende]"),"&gt;="&amp;U$1,INDIRECT("Table1[Obergruppe ATC-Code]"),Tabelle3!$A67)</f>
        <v>1</v>
      </c>
      <c r="V67">
        <f ca="1">COUNTIFS(INDIRECT("Table1[Beginn]"),"&lt;="&amp;V$1,INDIRECT("Table1[Ende]"),"&gt;="&amp;V$1,INDIRECT("Table1[Obergruppe ATC-Code]"),Tabelle3!$A67)</f>
        <v>1</v>
      </c>
      <c r="W67">
        <f ca="1">COUNTIFS(INDIRECT("Table1[Beginn]"),"&lt;="&amp;W$1,INDIRECT("Table1[Ende]"),"&gt;="&amp;W$1,INDIRECT("Table1[Obergruppe ATC-Code]"),Tabelle3!$A67)</f>
        <v>1</v>
      </c>
      <c r="X67">
        <f ca="1">COUNTIFS(INDIRECT("Table1[Beginn]"),"&lt;="&amp;X$1,INDIRECT("Table1[Ende]"),"&gt;="&amp;X$1,INDIRECT("Table1[Obergruppe ATC-Code]"),Tabelle3!$A67)</f>
        <v>4</v>
      </c>
      <c r="Y67">
        <f ca="1">COUNTIFS(INDIRECT("Table1[Beginn]"),"&lt;="&amp;Y$1,INDIRECT("Table1[Ende]"),"&gt;="&amp;Y$1,INDIRECT("Table1[Obergruppe ATC-Code]"),Tabelle3!$A67)</f>
        <v>4</v>
      </c>
      <c r="Z67">
        <f ca="1">COUNTIFS(INDIRECT("Table1[Beginn]"),"&lt;="&amp;Z$1,INDIRECT("Table1[Ende]"),"&gt;="&amp;Z$1,INDIRECT("Table1[Obergruppe ATC-Code]"),Tabelle3!$A67)</f>
        <v>4</v>
      </c>
      <c r="AA67">
        <f ca="1">COUNTIFS(INDIRECT("Table1[Beginn]"),"&lt;="&amp;AA$1,INDIRECT("Table1[Ende]"),"&gt;="&amp;AA$1,INDIRECT("Table1[Obergruppe ATC-Code]"),Tabelle3!$A67)</f>
        <v>4</v>
      </c>
      <c r="AB67">
        <f ca="1">COUNTIFS(INDIRECT("Table1[Beginn]"),"&lt;="&amp;AB$1,INDIRECT("Table1[Ende]"),"&gt;="&amp;AB$1,INDIRECT("Table1[Obergruppe ATC-Code]"),Tabelle3!$A67)</f>
        <v>3</v>
      </c>
      <c r="AC67">
        <f ca="1">COUNTIFS(INDIRECT("Table1[Beginn]"),"&lt;="&amp;AC$1,INDIRECT("Table1[Ende]"),"&gt;="&amp;AC$1,INDIRECT("Table1[Obergruppe ATC-Code]"),Tabelle3!$A67)</f>
        <v>3</v>
      </c>
      <c r="AD67">
        <f ca="1">COUNTIFS(INDIRECT("Table1[Beginn]"),"&lt;="&amp;AD$1,INDIRECT("Table1[Ende]"),"&gt;="&amp;AD$1,INDIRECT("Table1[Obergruppe ATC-Code]"),Tabelle3!$A67)</f>
        <v>3</v>
      </c>
      <c r="AE67">
        <f ca="1">COUNTIFS(INDIRECT("Table1[Beginn]"),"&lt;="&amp;AE$1,INDIRECT("Table1[Ende]"),"&gt;="&amp;AE$1,INDIRECT("Table1[Obergruppe ATC-Code]"),Tabelle3!$A67)</f>
        <v>3</v>
      </c>
      <c r="AF67">
        <f ca="1">COUNTIFS(INDIRECT("Table1[Beginn]"),"&lt;="&amp;AF$1,INDIRECT("Table1[Ende]"),"&gt;="&amp;AF$1,INDIRECT("Table1[Obergruppe ATC-Code]"),Tabelle3!$A67)</f>
        <v>3</v>
      </c>
      <c r="AG67">
        <f ca="1">COUNTIFS(INDIRECT("Table1[Beginn]"),"&lt;="&amp;AG$1,INDIRECT("Table1[Ende]"),"&gt;="&amp;AG$1,INDIRECT("Table1[Obergruppe ATC-Code]"),Tabelle3!$A67)</f>
        <v>3</v>
      </c>
      <c r="AH67">
        <f ca="1">COUNTIFS(INDIRECT("Table1[Beginn]"),"&lt;="&amp;AH$1,INDIRECT("Table1[Ende]"),"&gt;="&amp;AH$1,INDIRECT("Table1[Obergruppe ATC-Code]"),Tabelle3!$A67)</f>
        <v>2</v>
      </c>
      <c r="AI67">
        <f ca="1">COUNTIFS(INDIRECT("Table1[Beginn]"),"&lt;="&amp;AI$1,INDIRECT("Table1[Ende]"),"&gt;="&amp;AI$1,INDIRECT("Table1[Obergruppe ATC-Code]"),Tabelle3!$A67)</f>
        <v>2</v>
      </c>
      <c r="AJ67">
        <f ca="1">COUNTIFS(INDIRECT("Table1[Beginn]"),"&lt;="&amp;AJ$1,INDIRECT("Table1[Ende]"),"&gt;="&amp;AJ$1,INDIRECT("Table1[Obergruppe ATC-Code]"),Tabelle3!$A67)</f>
        <v>2</v>
      </c>
      <c r="AK67">
        <f ca="1">COUNTIFS(INDIRECT("Table1[Beginn]"),"&lt;="&amp;AK$1,INDIRECT("Table1[Ende]"),"&gt;="&amp;AK$1,INDIRECT("Table1[Obergruppe ATC-Code]"),Tabelle3!$A67)</f>
        <v>2</v>
      </c>
      <c r="AL67">
        <f ca="1">COUNTIFS(INDIRECT("Table1[Beginn]"),"&lt;="&amp;AL$1,INDIRECT("Table1[Ende]"),"&gt;="&amp;AL$1,INDIRECT("Table1[Obergruppe ATC-Code]"),Tabelle3!$A67)</f>
        <v>1</v>
      </c>
      <c r="AM67">
        <f ca="1">COUNTIFS(INDIRECT("Table1[Beginn]"),"&lt;="&amp;AM$1,INDIRECT("Table1[Ende]"),"&gt;="&amp;AM$1,INDIRECT("Table1[Obergruppe ATC-Code]"),Tabelle3!$A67)</f>
        <v>1</v>
      </c>
      <c r="AN67">
        <f ca="1">COUNTIFS(INDIRECT("Table1[Beginn]"),"&lt;="&amp;AN$1,INDIRECT("Table1[Ende]"),"&gt;="&amp;AN$1,INDIRECT("Table1[Obergruppe ATC-Code]"),Tabelle3!$A67)</f>
        <v>1</v>
      </c>
      <c r="AO67">
        <f ca="1">COUNTIFS(INDIRECT("Table1[Beginn]"),"&lt;="&amp;AO$1,INDIRECT("Table1[Ende]"),"&gt;="&amp;AO$1,INDIRECT("Table1[Obergruppe ATC-Code]"),Tabelle3!$A67)</f>
        <v>1</v>
      </c>
      <c r="AP67">
        <f ca="1">COUNTIFS(INDIRECT("Table1[Beginn]"),"&lt;="&amp;AP$1,INDIRECT("Table1[Ende]"),"&gt;="&amp;AP$1,INDIRECT("Table1[Obergruppe ATC-Code]"),Tabelle3!$A67)</f>
        <v>1</v>
      </c>
      <c r="AQ67">
        <f ca="1">COUNTIFS(INDIRECT("Table1[Beginn]"),"&lt;="&amp;AQ$1,INDIRECT("Table1[Ende]"),"&gt;="&amp;AQ$1,INDIRECT("Table1[Obergruppe ATC-Code]"),Tabelle3!$A67)</f>
        <v>1</v>
      </c>
      <c r="AR67">
        <f ca="1">COUNTIFS(INDIRECT("Table1[Beginn]"),"&lt;="&amp;AR$1,INDIRECT("Table1[Ende]"),"&gt;="&amp;AR$1,INDIRECT("Table1[Obergruppe ATC-Code]"),Tabelle3!$A67)</f>
        <v>1</v>
      </c>
      <c r="AS67">
        <f ca="1">COUNTIFS(INDIRECT("Table1[Beginn]"),"&lt;="&amp;AS$1,INDIRECT("Table1[Ende]"),"&gt;="&amp;AS$1,INDIRECT("Table1[Obergruppe ATC-Code]"),Tabelle3!$A67)</f>
        <v>1</v>
      </c>
      <c r="AT67">
        <f ca="1">COUNTIFS(INDIRECT("Table1[Beginn]"),"&lt;="&amp;AT$1,INDIRECT("Table1[Ende]"),"&gt;="&amp;AT$1,INDIRECT("Table1[Obergruppe ATC-Code]"),Tabelle3!$A67)</f>
        <v>1</v>
      </c>
      <c r="AU67">
        <f ca="1">COUNTIFS(INDIRECT("Table1[Beginn]"),"&lt;="&amp;AU$1,INDIRECT("Table1[Ende]"),"&gt;="&amp;AU$1,INDIRECT("Table1[Obergruppe ATC-Code]"),Tabelle3!$A67)</f>
        <v>1</v>
      </c>
      <c r="AV67">
        <f ca="1">COUNTIFS(INDIRECT("Table1[Beginn]"),"&lt;="&amp;AV$1,INDIRECT("Table1[Ende]"),"&gt;="&amp;AV$1,INDIRECT("Table1[Obergruppe ATC-Code]"),Tabelle3!$A67)</f>
        <v>1</v>
      </c>
      <c r="AW67">
        <f ca="1">COUNTIFS(INDIRECT("Table1[Beginn]"),"&lt;="&amp;AW$1,INDIRECT("Table1[Ende]"),"&gt;="&amp;AW$1,INDIRECT("Table1[Obergruppe ATC-Code]"),Tabelle3!$A67)</f>
        <v>1</v>
      </c>
      <c r="AX67">
        <f ca="1">COUNTIFS(INDIRECT("Table1[Beginn]"),"&lt;="&amp;AX$1,INDIRECT("Table1[Ende]"),"&gt;="&amp;AX$1,INDIRECT("Table1[Obergruppe ATC-Code]"),Tabelle3!$A67)</f>
        <v>1</v>
      </c>
      <c r="AY67">
        <f ca="1">COUNTIFS(INDIRECT("Table1[Beginn]"),"&lt;="&amp;AY$1,INDIRECT("Table1[Ende]"),"&gt;="&amp;AY$1,INDIRECT("Table1[Obergruppe ATC-Code]"),Tabelle3!$A67)</f>
        <v>1</v>
      </c>
      <c r="AZ67">
        <f ca="1">COUNTIFS(INDIRECT("Table1[Beginn]"),"&lt;="&amp;AZ$1,INDIRECT("Table1[Ende]"),"&gt;="&amp;AZ$1,INDIRECT("Table1[Obergruppe ATC-Code]"),Tabelle3!$A67)</f>
        <v>1</v>
      </c>
      <c r="BA67">
        <f ca="1">COUNTIFS(INDIRECT("Table1[Beginn]"),"&lt;="&amp;BA$1,INDIRECT("Table1[Ende]"),"&gt;="&amp;BA$1,INDIRECT("Table1[Obergruppe ATC-Code]"),Tabelle3!$A67)</f>
        <v>1</v>
      </c>
      <c r="BB67">
        <f ca="1">COUNTIFS(INDIRECT("Table1[Beginn]"),"&lt;="&amp;BB$1,INDIRECT("Table1[Ende]"),"&gt;="&amp;BB$1,INDIRECT("Table1[Obergruppe ATC-Code]"),Tabelle3!$A67)</f>
        <v>1</v>
      </c>
      <c r="BC67">
        <f ca="1">COUNTIFS(INDIRECT("Table1[Beginn]"),"&lt;="&amp;BC$1,INDIRECT("Table1[Ende]"),"&gt;="&amp;BC$1,INDIRECT("Table1[Obergruppe ATC-Code]"),Tabelle3!$A67)</f>
        <v>1</v>
      </c>
      <c r="BD67">
        <f ca="1">COUNTIFS(INDIRECT("Table1[Beginn]"),"&lt;="&amp;BD$1,INDIRECT("Table1[Ende]"),"&gt;="&amp;BD$1,INDIRECT("Table1[Obergruppe ATC-Code]"),Tabelle3!$A67)</f>
        <v>1</v>
      </c>
      <c r="BE67">
        <f ca="1">COUNTIFS(INDIRECT("Table1[Beginn]"),"&lt;="&amp;BE$1,INDIRECT("Table1[Ende]"),"&gt;="&amp;BE$1,INDIRECT("Table1[Obergruppe ATC-Code]"),Tabelle3!$A67)</f>
        <v>1</v>
      </c>
      <c r="BF67">
        <f ca="1">COUNTIFS(INDIRECT("Table1[Beginn]"),"&lt;="&amp;BF$1,INDIRECT("Table1[Ende]"),"&gt;="&amp;BF$1,INDIRECT("Table1[Obergruppe ATC-Code]"),Tabelle3!$A67)</f>
        <v>1</v>
      </c>
      <c r="BG67">
        <f ca="1">COUNTIFS(INDIRECT("Table1[Beginn]"),"&lt;="&amp;BG$1,INDIRECT("Table1[Ende]"),"&gt;="&amp;BG$1,INDIRECT("Table1[Obergruppe ATC-Code]"),Tabelle3!$A67)</f>
        <v>1</v>
      </c>
      <c r="BH67">
        <f ca="1">COUNTIFS(INDIRECT("Table1[Beginn]"),"&lt;="&amp;BH$1,INDIRECT("Table1[Ende]"),"&gt;="&amp;BH$1,INDIRECT("Table1[Obergruppe ATC-Code]"),Tabelle3!$A67)</f>
        <v>1</v>
      </c>
      <c r="BI67">
        <f ca="1">COUNTIFS(INDIRECT("Table1[Beginn]"),"&lt;="&amp;BI$1,INDIRECT("Table1[Ende]"),"&gt;="&amp;BI$1,INDIRECT("Table1[Obergruppe ATC-Code]"),Tabelle3!$A67)</f>
        <v>1</v>
      </c>
      <c r="BJ67">
        <f ca="1">COUNTIFS(INDIRECT("Table1[Beginn]"),"&lt;="&amp;BJ$1,INDIRECT("Table1[Ende]"),"&gt;="&amp;BJ$1,INDIRECT("Table1[Obergruppe ATC-Code]"),Tabelle3!$A67)</f>
        <v>1</v>
      </c>
      <c r="BK67">
        <f ca="1">COUNTIFS(INDIRECT("Table1[Beginn]"),"&lt;="&amp;BK$1,INDIRECT("Table1[Ende]"),"&gt;="&amp;BK$1,INDIRECT("Table1[Obergruppe ATC-Code]"),Tabelle3!$A67)</f>
        <v>1</v>
      </c>
      <c r="BL67">
        <f ca="1">COUNTIFS(INDIRECT("Table1[Beginn]"),"&lt;="&amp;BL$1,INDIRECT("Table1[Ende]"),"&gt;="&amp;BL$1,INDIRECT("Table1[Obergruppe ATC-Code]"),Tabelle3!$A67)</f>
        <v>1</v>
      </c>
      <c r="BM67">
        <f ca="1">COUNTIFS(INDIRECT("Table1[Beginn]"),"&lt;="&amp;BM$1,INDIRECT("Table1[Ende]"),"&gt;="&amp;BM$1,INDIRECT("Table1[Obergruppe ATC-Code]"),Tabelle3!$A67)</f>
        <v>1</v>
      </c>
      <c r="BN67">
        <f ca="1">COUNTIFS(INDIRECT("Table1[Beginn]"),"&lt;="&amp;BN$1,INDIRECT("Table1[Ende]"),"&gt;="&amp;BN$1,INDIRECT("Table1[Obergruppe ATC-Code]"),Tabelle3!$A67)</f>
        <v>1</v>
      </c>
      <c r="BO67">
        <f ca="1">COUNTIFS(INDIRECT("Table1[Beginn]"),"&lt;="&amp;BO$1,INDIRECT("Table1[Ende]"),"&gt;="&amp;BO$1,INDIRECT("Table1[Obergruppe ATC-Code]"),Tabelle3!$A67)</f>
        <v>1</v>
      </c>
      <c r="BP67">
        <f ca="1">COUNTIFS(INDIRECT("Table1[Beginn]"),"&lt;="&amp;BP$1,INDIRECT("Table1[Ende]"),"&gt;="&amp;BP$1,INDIRECT("Table1[Obergruppe ATC-Code]"),Tabelle3!$A67)</f>
        <v>1</v>
      </c>
      <c r="BQ67">
        <f ca="1">COUNTIFS(INDIRECT("Table1[Beginn]"),"&lt;="&amp;BQ$1,INDIRECT("Table1[Ende]"),"&gt;="&amp;BQ$1,INDIRECT("Table1[Obergruppe ATC-Code]"),Tabelle3!$A67)</f>
        <v>1</v>
      </c>
      <c r="BR67">
        <f ca="1">COUNTIFS(INDIRECT("Table1[Beginn]"),"&lt;="&amp;BR$1,INDIRECT("Table1[Ende]"),"&gt;="&amp;BR$1,INDIRECT("Table1[Obergruppe ATC-Code]"),Tabelle3!$A67)</f>
        <v>1</v>
      </c>
      <c r="BS67">
        <f ca="1">COUNTIFS(INDIRECT("Table1[Beginn]"),"&lt;="&amp;BS$1,INDIRECT("Table1[Ende]"),"&gt;="&amp;BS$1,INDIRECT("Table1[Obergruppe ATC-Code]"),Tabelle3!$A67)</f>
        <v>1</v>
      </c>
      <c r="BT67">
        <f ca="1">COUNTIFS(INDIRECT("Table1[Beginn]"),"&lt;="&amp;BT$1,INDIRECT("Table1[Ende]"),"&gt;="&amp;BT$1,INDIRECT("Table1[Obergruppe ATC-Code]"),Tabelle3!$A67)</f>
        <v>1</v>
      </c>
      <c r="BU67">
        <f ca="1">COUNTIFS(INDIRECT("Table1[Beginn]"),"&lt;="&amp;BU$1,INDIRECT("Table1[Ende]"),"&gt;="&amp;BU$1,INDIRECT("Table1[Obergruppe ATC-Code]"),Tabelle3!$A67)</f>
        <v>1</v>
      </c>
      <c r="BV67">
        <f ca="1">COUNTIFS(INDIRECT("Table1[Beginn]"),"&lt;="&amp;BV$1,INDIRECT("Table1[Ende]"),"&gt;="&amp;BV$1,INDIRECT("Table1[Obergruppe ATC-Code]"),Tabelle3!$A67)</f>
        <v>0</v>
      </c>
      <c r="BW67">
        <f ca="1">COUNTIFS(INDIRECT("Table1[Beginn]"),"&lt;="&amp;BW$1,INDIRECT("Table1[Ende]"),"&gt;="&amp;BW$1,INDIRECT("Table1[Obergruppe ATC-Code]"),Tabelle3!$A67)</f>
        <v>2</v>
      </c>
      <c r="BX67">
        <f ca="1">COUNTIFS(INDIRECT("Table1[Beginn]"),"&lt;="&amp;BX$1,INDIRECT("Table1[Ende]"),"&gt;="&amp;BX$1,INDIRECT("Table1[Obergruppe ATC-Code]"),Tabelle3!$A67)</f>
        <v>3</v>
      </c>
      <c r="BY67">
        <f ca="1">COUNTIFS(INDIRECT("Table1[Beginn]"),"&lt;="&amp;BY$1,INDIRECT("Table1[Ende]"),"&gt;="&amp;BY$1,INDIRECT("Table1[Obergruppe ATC-Code]"),Tabelle3!$A67)</f>
        <v>4</v>
      </c>
      <c r="BZ67">
        <f ca="1">COUNTIFS(INDIRECT("Table1[Beginn]"),"&lt;="&amp;BZ$1,INDIRECT("Table1[Ende]"),"&gt;="&amp;BZ$1,INDIRECT("Table1[Obergruppe ATC-Code]"),Tabelle3!$A67)</f>
        <v>5</v>
      </c>
      <c r="CA67">
        <f ca="1">COUNTIFS(INDIRECT("Table1[Beginn]"),"&lt;="&amp;CA$1,INDIRECT("Table1[Ende]"),"&gt;="&amp;CA$1,INDIRECT("Table1[Obergruppe ATC-Code]"),Tabelle3!$A67)</f>
        <v>3</v>
      </c>
      <c r="CB67">
        <f ca="1">COUNTIFS(INDIRECT("Table1[Beginn]"),"&lt;="&amp;CB$1,INDIRECT("Table1[Ende]"),"&gt;="&amp;CB$1,INDIRECT("Table1[Obergruppe ATC-Code]"),Tabelle3!$A67)</f>
        <v>3</v>
      </c>
      <c r="CC67">
        <f ca="1">COUNTIFS(INDIRECT("Table1[Beginn]"),"&lt;="&amp;CC$1,INDIRECT("Table1[Ende]"),"&gt;="&amp;CC$1,INDIRECT("Table1[Obergruppe ATC-Code]"),Tabelle3!$A67)</f>
        <v>2</v>
      </c>
      <c r="CD67">
        <f ca="1">COUNTIFS(INDIRECT("Table1[Beginn]"),"&lt;="&amp;CD$1,INDIRECT("Table1[Ende]"),"&gt;="&amp;CD$1,INDIRECT("Table1[Obergruppe ATC-Code]"),Tabelle3!$A67)</f>
        <v>2</v>
      </c>
      <c r="CE67">
        <f ca="1">COUNTIFS(INDIRECT("Table1[Beginn]"),"&lt;="&amp;CE$1,INDIRECT("Table1[Ende]"),"&gt;="&amp;CE$1,INDIRECT("Table1[Obergruppe ATC-Code]"),Tabelle3!$A67)</f>
        <v>3</v>
      </c>
      <c r="CF67">
        <f ca="1">COUNTIFS(INDIRECT("Table1[Beginn]"),"&lt;="&amp;CF$1,INDIRECT("Table1[Ende]"),"&gt;="&amp;CF$1,INDIRECT("Table1[Obergruppe ATC-Code]"),Tabelle3!$A67)</f>
        <v>3</v>
      </c>
      <c r="CG67">
        <f ca="1">COUNTIFS(INDIRECT("Table1[Beginn]"),"&lt;="&amp;CG$1,INDIRECT("Table1[Ende]"),"&gt;="&amp;CG$1,INDIRECT("Table1[Obergruppe ATC-Code]"),Tabelle3!$A67)</f>
        <v>2</v>
      </c>
      <c r="CH67">
        <f ca="1">COUNTIFS(INDIRECT("Table1[Beginn]"),"&lt;="&amp;CH$1,INDIRECT("Table1[Ende]"),"&gt;="&amp;CH$1,INDIRECT("Table1[Obergruppe ATC-Code]"),Tabelle3!$A67)</f>
        <v>2</v>
      </c>
      <c r="CI67">
        <f ca="1">COUNTIFS(INDIRECT("Table1[Beginn]"),"&lt;="&amp;CI$1,INDIRECT("Table1[Ende]"),"&gt;="&amp;CI$1,INDIRECT("Table1[Obergruppe ATC-Code]"),Tabelle3!$A67)</f>
        <v>0</v>
      </c>
      <c r="CJ67">
        <f ca="1">COUNTIFS(INDIRECT("Table1[Beginn]"),"&lt;="&amp;CJ$1,INDIRECT("Table1[Ende]"),"&gt;="&amp;CJ$1,INDIRECT("Table1[Obergruppe ATC-Code]"),Tabelle3!$A67)</f>
        <v>0</v>
      </c>
      <c r="CK67">
        <f ca="1">COUNTIFS(INDIRECT("Table1[Beginn]"),"&lt;="&amp;CK$1,INDIRECT("Table1[Ende]"),"&gt;="&amp;CK$1,INDIRECT("Table1[Obergruppe ATC-Code]"),Tabelle3!$A67)</f>
        <v>0</v>
      </c>
      <c r="CL67">
        <f ca="1">COUNTIFS(INDIRECT("Table1[Beginn]"),"&lt;="&amp;CL$1,INDIRECT("Table1[Ende]"),"&gt;="&amp;CL$1,INDIRECT("Table1[Obergruppe ATC-Code]"),Tabelle3!$A67)</f>
        <v>0</v>
      </c>
      <c r="CM67">
        <f ca="1">COUNTIFS(INDIRECT("Table1[Beginn]"),"&lt;="&amp;CM$1,INDIRECT("Table1[Ende]"),"&gt;="&amp;CM$1,INDIRECT("Table1[Obergruppe ATC-Code]"),Tabelle3!$A67)</f>
        <v>0</v>
      </c>
      <c r="CN67">
        <f ca="1">COUNTIFS(INDIRECT("Table1[Beginn]"),"&lt;="&amp;CN$1,INDIRECT("Table1[Ende]"),"&gt;="&amp;CN$1,INDIRECT("Table1[Obergruppe ATC-Code]"),Tabelle3!$A67)</f>
        <v>0</v>
      </c>
      <c r="CO67">
        <f ca="1">COUNTIFS(INDIRECT("Table1[Beginn]"),"&lt;="&amp;CO$1,INDIRECT("Table1[Ende]"),"&gt;="&amp;CO$1,INDIRECT("Table1[Obergruppe ATC-Code]"),Tabelle3!$A67)</f>
        <v>0</v>
      </c>
      <c r="CP67">
        <f ca="1">COUNTIFS(INDIRECT("Table1[Beginn]"),"&lt;="&amp;CP$1,INDIRECT("Table1[Ende]"),"&gt;="&amp;CP$1,INDIRECT("Table1[Obergruppe ATC-Code]"),Tabelle3!$A67)</f>
        <v>0</v>
      </c>
      <c r="CQ67">
        <f ca="1">COUNTIFS(INDIRECT("Table1[Beginn]"),"&lt;="&amp;CQ$1,INDIRECT("Table1[Ende]"),"&gt;="&amp;CQ$1,INDIRECT("Table1[Obergruppe ATC-Code]"),Tabelle3!$A67)</f>
        <v>0</v>
      </c>
      <c r="CR67">
        <f ca="1">COUNTIFS(INDIRECT("Table1[Beginn]"),"&lt;="&amp;CR$1,INDIRECT("Table1[Ende]"),"&gt;="&amp;CR$1,INDIRECT("Table1[Obergruppe ATC-Code]"),Tabelle3!$A67)</f>
        <v>0</v>
      </c>
      <c r="CS67">
        <f ca="1">COUNTIFS(INDIRECT("Table1[Beginn]"),"&lt;="&amp;CS$1,INDIRECT("Table1[Ende]"),"&gt;="&amp;CS$1,INDIRECT("Table1[Obergruppe ATC-Code]"),Tabelle3!$A67)</f>
        <v>0</v>
      </c>
      <c r="CT67">
        <f ca="1">COUNTIFS(INDIRECT("Table1[Beginn]"),"&lt;="&amp;CT$1,INDIRECT("Table1[Ende]"),"&gt;="&amp;CT$1,INDIRECT("Table1[Obergruppe ATC-Code]"),Tabelle3!$A67)</f>
        <v>0</v>
      </c>
    </row>
    <row r="68" spans="1:98" ht="18">
      <c r="A68" s="7" t="s">
        <v>6904</v>
      </c>
      <c r="B68" s="8" t="s">
        <v>6905</v>
      </c>
      <c r="C68">
        <f ca="1">COUNTIFS(INDIRECT("Table1[Beginn]"),"&lt;="&amp;C$1,INDIRECT("Table1[Ende]"),"&gt;="&amp;C$1,INDIRECT("Table1[Obergruppe ATC-Code]"),Tabelle3!$A68)</f>
        <v>0</v>
      </c>
      <c r="D68">
        <f ca="1">COUNTIFS(INDIRECT("Table1[Beginn]"),"&lt;="&amp;D$1,INDIRECT("Table1[Ende]"),"&gt;="&amp;D$1,INDIRECT("Table1[Obergruppe ATC-Code]"),Tabelle3!$A68)</f>
        <v>0</v>
      </c>
      <c r="E68">
        <f ca="1">COUNTIFS(INDIRECT("Table1[Beginn]"),"&lt;="&amp;E$1,INDIRECT("Table1[Ende]"),"&gt;="&amp;E$1,INDIRECT("Table1[Obergruppe ATC-Code]"),Tabelle3!$A68)</f>
        <v>0</v>
      </c>
      <c r="F68">
        <f ca="1">COUNTIFS(INDIRECT("Table1[Beginn]"),"&lt;="&amp;F$1,INDIRECT("Table1[Ende]"),"&gt;="&amp;F$1,INDIRECT("Table1[Obergruppe ATC-Code]"),Tabelle3!$A68)</f>
        <v>0</v>
      </c>
      <c r="G68">
        <f ca="1">COUNTIFS(INDIRECT("Table1[Beginn]"),"&lt;="&amp;G$1,INDIRECT("Table1[Ende]"),"&gt;="&amp;G$1,INDIRECT("Table1[Obergruppe ATC-Code]"),Tabelle3!$A68)</f>
        <v>0</v>
      </c>
      <c r="H68">
        <f ca="1">COUNTIFS(INDIRECT("Table1[Beginn]"),"&lt;="&amp;H$1,INDIRECT("Table1[Ende]"),"&gt;="&amp;H$1,INDIRECT("Table1[Obergruppe ATC-Code]"),Tabelle3!$A68)</f>
        <v>0</v>
      </c>
      <c r="I68">
        <f ca="1">COUNTIFS(INDIRECT("Table1[Beginn]"),"&lt;="&amp;I$1,INDIRECT("Table1[Ende]"),"&gt;="&amp;I$1,INDIRECT("Table1[Obergruppe ATC-Code]"),Tabelle3!$A68)</f>
        <v>0</v>
      </c>
      <c r="J68">
        <f ca="1">COUNTIFS(INDIRECT("Table1[Beginn]"),"&lt;="&amp;J$1,INDIRECT("Table1[Ende]"),"&gt;="&amp;J$1,INDIRECT("Table1[Obergruppe ATC-Code]"),Tabelle3!$A68)</f>
        <v>0</v>
      </c>
      <c r="K68">
        <f ca="1">COUNTIFS(INDIRECT("Table1[Beginn]"),"&lt;="&amp;K$1,INDIRECT("Table1[Ende]"),"&gt;="&amp;K$1,INDIRECT("Table1[Obergruppe ATC-Code]"),Tabelle3!$A68)</f>
        <v>0</v>
      </c>
      <c r="L68">
        <f ca="1">COUNTIFS(INDIRECT("Table1[Beginn]"),"&lt;="&amp;L$1,INDIRECT("Table1[Ende]"),"&gt;="&amp;L$1,INDIRECT("Table1[Obergruppe ATC-Code]"),Tabelle3!$A68)</f>
        <v>0</v>
      </c>
      <c r="M68">
        <f ca="1">COUNTIFS(INDIRECT("Table1[Beginn]"),"&lt;="&amp;M$1,INDIRECT("Table1[Ende]"),"&gt;="&amp;M$1,INDIRECT("Table1[Obergruppe ATC-Code]"),Tabelle3!$A68)</f>
        <v>0</v>
      </c>
      <c r="N68">
        <f ca="1">COUNTIFS(INDIRECT("Table1[Beginn]"),"&lt;="&amp;N$1,INDIRECT("Table1[Ende]"),"&gt;="&amp;N$1,INDIRECT("Table1[Obergruppe ATC-Code]"),Tabelle3!$A68)</f>
        <v>0</v>
      </c>
      <c r="O68">
        <f ca="1">COUNTIFS(INDIRECT("Table1[Beginn]"),"&lt;="&amp;O$1,INDIRECT("Table1[Ende]"),"&gt;="&amp;O$1,INDIRECT("Table1[Obergruppe ATC-Code]"),Tabelle3!$A68)</f>
        <v>0</v>
      </c>
      <c r="P68">
        <f ca="1">COUNTIFS(INDIRECT("Table1[Beginn]"),"&lt;="&amp;P$1,INDIRECT("Table1[Ende]"),"&gt;="&amp;P$1,INDIRECT("Table1[Obergruppe ATC-Code]"),Tabelle3!$A68)</f>
        <v>0</v>
      </c>
      <c r="Q68">
        <f ca="1">COUNTIFS(INDIRECT("Table1[Beginn]"),"&lt;="&amp;Q$1,INDIRECT("Table1[Ende]"),"&gt;="&amp;Q$1,INDIRECT("Table1[Obergruppe ATC-Code]"),Tabelle3!$A68)</f>
        <v>0</v>
      </c>
      <c r="R68">
        <f ca="1">COUNTIFS(INDIRECT("Table1[Beginn]"),"&lt;="&amp;R$1,INDIRECT("Table1[Ende]"),"&gt;="&amp;R$1,INDIRECT("Table1[Obergruppe ATC-Code]"),Tabelle3!$A68)</f>
        <v>0</v>
      </c>
      <c r="S68">
        <f ca="1">COUNTIFS(INDIRECT("Table1[Beginn]"),"&lt;="&amp;S$1,INDIRECT("Table1[Ende]"),"&gt;="&amp;S$1,INDIRECT("Table1[Obergruppe ATC-Code]"),Tabelle3!$A68)</f>
        <v>0</v>
      </c>
      <c r="T68">
        <f ca="1">COUNTIFS(INDIRECT("Table1[Beginn]"),"&lt;="&amp;T$1,INDIRECT("Table1[Ende]"),"&gt;="&amp;T$1,INDIRECT("Table1[Obergruppe ATC-Code]"),Tabelle3!$A68)</f>
        <v>0</v>
      </c>
      <c r="U68">
        <f ca="1">COUNTIFS(INDIRECT("Table1[Beginn]"),"&lt;="&amp;U$1,INDIRECT("Table1[Ende]"),"&gt;="&amp;U$1,INDIRECT("Table1[Obergruppe ATC-Code]"),Tabelle3!$A68)</f>
        <v>0</v>
      </c>
      <c r="V68">
        <f ca="1">COUNTIFS(INDIRECT("Table1[Beginn]"),"&lt;="&amp;V$1,INDIRECT("Table1[Ende]"),"&gt;="&amp;V$1,INDIRECT("Table1[Obergruppe ATC-Code]"),Tabelle3!$A68)</f>
        <v>0</v>
      </c>
      <c r="W68">
        <f ca="1">COUNTIFS(INDIRECT("Table1[Beginn]"),"&lt;="&amp;W$1,INDIRECT("Table1[Ende]"),"&gt;="&amp;W$1,INDIRECT("Table1[Obergruppe ATC-Code]"),Tabelle3!$A68)</f>
        <v>0</v>
      </c>
      <c r="X68">
        <f ca="1">COUNTIFS(INDIRECT("Table1[Beginn]"),"&lt;="&amp;X$1,INDIRECT("Table1[Ende]"),"&gt;="&amp;X$1,INDIRECT("Table1[Obergruppe ATC-Code]"),Tabelle3!$A68)</f>
        <v>0</v>
      </c>
      <c r="Y68">
        <f ca="1">COUNTIFS(INDIRECT("Table1[Beginn]"),"&lt;="&amp;Y$1,INDIRECT("Table1[Ende]"),"&gt;="&amp;Y$1,INDIRECT("Table1[Obergruppe ATC-Code]"),Tabelle3!$A68)</f>
        <v>0</v>
      </c>
      <c r="Z68">
        <f ca="1">COUNTIFS(INDIRECT("Table1[Beginn]"),"&lt;="&amp;Z$1,INDIRECT("Table1[Ende]"),"&gt;="&amp;Z$1,INDIRECT("Table1[Obergruppe ATC-Code]"),Tabelle3!$A68)</f>
        <v>0</v>
      </c>
      <c r="AA68">
        <f ca="1">COUNTIFS(INDIRECT("Table1[Beginn]"),"&lt;="&amp;AA$1,INDIRECT("Table1[Ende]"),"&gt;="&amp;AA$1,INDIRECT("Table1[Obergruppe ATC-Code]"),Tabelle3!$A68)</f>
        <v>0</v>
      </c>
      <c r="AB68">
        <f ca="1">COUNTIFS(INDIRECT("Table1[Beginn]"),"&lt;="&amp;AB$1,INDIRECT("Table1[Ende]"),"&gt;="&amp;AB$1,INDIRECT("Table1[Obergruppe ATC-Code]"),Tabelle3!$A68)</f>
        <v>0</v>
      </c>
      <c r="AC68">
        <f ca="1">COUNTIFS(INDIRECT("Table1[Beginn]"),"&lt;="&amp;AC$1,INDIRECT("Table1[Ende]"),"&gt;="&amp;AC$1,INDIRECT("Table1[Obergruppe ATC-Code]"),Tabelle3!$A68)</f>
        <v>0</v>
      </c>
      <c r="AD68">
        <f ca="1">COUNTIFS(INDIRECT("Table1[Beginn]"),"&lt;="&amp;AD$1,INDIRECT("Table1[Ende]"),"&gt;="&amp;AD$1,INDIRECT("Table1[Obergruppe ATC-Code]"),Tabelle3!$A68)</f>
        <v>0</v>
      </c>
      <c r="AE68">
        <f ca="1">COUNTIFS(INDIRECT("Table1[Beginn]"),"&lt;="&amp;AE$1,INDIRECT("Table1[Ende]"),"&gt;="&amp;AE$1,INDIRECT("Table1[Obergruppe ATC-Code]"),Tabelle3!$A68)</f>
        <v>0</v>
      </c>
      <c r="AF68">
        <f ca="1">COUNTIFS(INDIRECT("Table1[Beginn]"),"&lt;="&amp;AF$1,INDIRECT("Table1[Ende]"),"&gt;="&amp;AF$1,INDIRECT("Table1[Obergruppe ATC-Code]"),Tabelle3!$A68)</f>
        <v>0</v>
      </c>
      <c r="AG68">
        <f ca="1">COUNTIFS(INDIRECT("Table1[Beginn]"),"&lt;="&amp;AG$1,INDIRECT("Table1[Ende]"),"&gt;="&amp;AG$1,INDIRECT("Table1[Obergruppe ATC-Code]"),Tabelle3!$A68)</f>
        <v>0</v>
      </c>
      <c r="AH68">
        <f ca="1">COUNTIFS(INDIRECT("Table1[Beginn]"),"&lt;="&amp;AH$1,INDIRECT("Table1[Ende]"),"&gt;="&amp;AH$1,INDIRECT("Table1[Obergruppe ATC-Code]"),Tabelle3!$A68)</f>
        <v>0</v>
      </c>
      <c r="AI68">
        <f ca="1">COUNTIFS(INDIRECT("Table1[Beginn]"),"&lt;="&amp;AI$1,INDIRECT("Table1[Ende]"),"&gt;="&amp;AI$1,INDIRECT("Table1[Obergruppe ATC-Code]"),Tabelle3!$A68)</f>
        <v>0</v>
      </c>
      <c r="AJ68">
        <f ca="1">COUNTIFS(INDIRECT("Table1[Beginn]"),"&lt;="&amp;AJ$1,INDIRECT("Table1[Ende]"),"&gt;="&amp;AJ$1,INDIRECT("Table1[Obergruppe ATC-Code]"),Tabelle3!$A68)</f>
        <v>0</v>
      </c>
      <c r="AK68">
        <f ca="1">COUNTIFS(INDIRECT("Table1[Beginn]"),"&lt;="&amp;AK$1,INDIRECT("Table1[Ende]"),"&gt;="&amp;AK$1,INDIRECT("Table1[Obergruppe ATC-Code]"),Tabelle3!$A68)</f>
        <v>0</v>
      </c>
      <c r="AL68">
        <f ca="1">COUNTIFS(INDIRECT("Table1[Beginn]"),"&lt;="&amp;AL$1,INDIRECT("Table1[Ende]"),"&gt;="&amp;AL$1,INDIRECT("Table1[Obergruppe ATC-Code]"),Tabelle3!$A68)</f>
        <v>0</v>
      </c>
      <c r="AM68">
        <f ca="1">COUNTIFS(INDIRECT("Table1[Beginn]"),"&lt;="&amp;AM$1,INDIRECT("Table1[Ende]"),"&gt;="&amp;AM$1,INDIRECT("Table1[Obergruppe ATC-Code]"),Tabelle3!$A68)</f>
        <v>0</v>
      </c>
      <c r="AN68">
        <f ca="1">COUNTIFS(INDIRECT("Table1[Beginn]"),"&lt;="&amp;AN$1,INDIRECT("Table1[Ende]"),"&gt;="&amp;AN$1,INDIRECT("Table1[Obergruppe ATC-Code]"),Tabelle3!$A68)</f>
        <v>0</v>
      </c>
      <c r="AO68">
        <f ca="1">COUNTIFS(INDIRECT("Table1[Beginn]"),"&lt;="&amp;AO$1,INDIRECT("Table1[Ende]"),"&gt;="&amp;AO$1,INDIRECT("Table1[Obergruppe ATC-Code]"),Tabelle3!$A68)</f>
        <v>0</v>
      </c>
      <c r="AP68">
        <f ca="1">COUNTIFS(INDIRECT("Table1[Beginn]"),"&lt;="&amp;AP$1,INDIRECT("Table1[Ende]"),"&gt;="&amp;AP$1,INDIRECT("Table1[Obergruppe ATC-Code]"),Tabelle3!$A68)</f>
        <v>0</v>
      </c>
      <c r="AQ68">
        <f ca="1">COUNTIFS(INDIRECT("Table1[Beginn]"),"&lt;="&amp;AQ$1,INDIRECT("Table1[Ende]"),"&gt;="&amp;AQ$1,INDIRECT("Table1[Obergruppe ATC-Code]"),Tabelle3!$A68)</f>
        <v>0</v>
      </c>
      <c r="AR68">
        <f ca="1">COUNTIFS(INDIRECT("Table1[Beginn]"),"&lt;="&amp;AR$1,INDIRECT("Table1[Ende]"),"&gt;="&amp;AR$1,INDIRECT("Table1[Obergruppe ATC-Code]"),Tabelle3!$A68)</f>
        <v>0</v>
      </c>
      <c r="AS68">
        <f ca="1">COUNTIFS(INDIRECT("Table1[Beginn]"),"&lt;="&amp;AS$1,INDIRECT("Table1[Ende]"),"&gt;="&amp;AS$1,INDIRECT("Table1[Obergruppe ATC-Code]"),Tabelle3!$A68)</f>
        <v>0</v>
      </c>
      <c r="AT68">
        <f ca="1">COUNTIFS(INDIRECT("Table1[Beginn]"),"&lt;="&amp;AT$1,INDIRECT("Table1[Ende]"),"&gt;="&amp;AT$1,INDIRECT("Table1[Obergruppe ATC-Code]"),Tabelle3!$A68)</f>
        <v>0</v>
      </c>
      <c r="AU68">
        <f ca="1">COUNTIFS(INDIRECT("Table1[Beginn]"),"&lt;="&amp;AU$1,INDIRECT("Table1[Ende]"),"&gt;="&amp;AU$1,INDIRECT("Table1[Obergruppe ATC-Code]"),Tabelle3!$A68)</f>
        <v>0</v>
      </c>
      <c r="AV68">
        <f ca="1">COUNTIFS(INDIRECT("Table1[Beginn]"),"&lt;="&amp;AV$1,INDIRECT("Table1[Ende]"),"&gt;="&amp;AV$1,INDIRECT("Table1[Obergruppe ATC-Code]"),Tabelle3!$A68)</f>
        <v>0</v>
      </c>
      <c r="AW68">
        <f ca="1">COUNTIFS(INDIRECT("Table1[Beginn]"),"&lt;="&amp;AW$1,INDIRECT("Table1[Ende]"),"&gt;="&amp;AW$1,INDIRECT("Table1[Obergruppe ATC-Code]"),Tabelle3!$A68)</f>
        <v>0</v>
      </c>
      <c r="AX68">
        <f ca="1">COUNTIFS(INDIRECT("Table1[Beginn]"),"&lt;="&amp;AX$1,INDIRECT("Table1[Ende]"),"&gt;="&amp;AX$1,INDIRECT("Table1[Obergruppe ATC-Code]"),Tabelle3!$A68)</f>
        <v>0</v>
      </c>
      <c r="AY68">
        <f ca="1">COUNTIFS(INDIRECT("Table1[Beginn]"),"&lt;="&amp;AY$1,INDIRECT("Table1[Ende]"),"&gt;="&amp;AY$1,INDIRECT("Table1[Obergruppe ATC-Code]"),Tabelle3!$A68)</f>
        <v>0</v>
      </c>
      <c r="AZ68">
        <f ca="1">COUNTIFS(INDIRECT("Table1[Beginn]"),"&lt;="&amp;AZ$1,INDIRECT("Table1[Ende]"),"&gt;="&amp;AZ$1,INDIRECT("Table1[Obergruppe ATC-Code]"),Tabelle3!$A68)</f>
        <v>0</v>
      </c>
      <c r="BA68">
        <f ca="1">COUNTIFS(INDIRECT("Table1[Beginn]"),"&lt;="&amp;BA$1,INDIRECT("Table1[Ende]"),"&gt;="&amp;BA$1,INDIRECT("Table1[Obergruppe ATC-Code]"),Tabelle3!$A68)</f>
        <v>0</v>
      </c>
      <c r="BB68">
        <f ca="1">COUNTIFS(INDIRECT("Table1[Beginn]"),"&lt;="&amp;BB$1,INDIRECT("Table1[Ende]"),"&gt;="&amp;BB$1,INDIRECT("Table1[Obergruppe ATC-Code]"),Tabelle3!$A68)</f>
        <v>0</v>
      </c>
      <c r="BC68">
        <f ca="1">COUNTIFS(INDIRECT("Table1[Beginn]"),"&lt;="&amp;BC$1,INDIRECT("Table1[Ende]"),"&gt;="&amp;BC$1,INDIRECT("Table1[Obergruppe ATC-Code]"),Tabelle3!$A68)</f>
        <v>0</v>
      </c>
      <c r="BD68">
        <f ca="1">COUNTIFS(INDIRECT("Table1[Beginn]"),"&lt;="&amp;BD$1,INDIRECT("Table1[Ende]"),"&gt;="&amp;BD$1,INDIRECT("Table1[Obergruppe ATC-Code]"),Tabelle3!$A68)</f>
        <v>0</v>
      </c>
      <c r="BE68">
        <f ca="1">COUNTIFS(INDIRECT("Table1[Beginn]"),"&lt;="&amp;BE$1,INDIRECT("Table1[Ende]"),"&gt;="&amp;BE$1,INDIRECT("Table1[Obergruppe ATC-Code]"),Tabelle3!$A68)</f>
        <v>0</v>
      </c>
      <c r="BF68">
        <f ca="1">COUNTIFS(INDIRECT("Table1[Beginn]"),"&lt;="&amp;BF$1,INDIRECT("Table1[Ende]"),"&gt;="&amp;BF$1,INDIRECT("Table1[Obergruppe ATC-Code]"),Tabelle3!$A68)</f>
        <v>0</v>
      </c>
      <c r="BG68">
        <f ca="1">COUNTIFS(INDIRECT("Table1[Beginn]"),"&lt;="&amp;BG$1,INDIRECT("Table1[Ende]"),"&gt;="&amp;BG$1,INDIRECT("Table1[Obergruppe ATC-Code]"),Tabelle3!$A68)</f>
        <v>0</v>
      </c>
      <c r="BH68">
        <f ca="1">COUNTIFS(INDIRECT("Table1[Beginn]"),"&lt;="&amp;BH$1,INDIRECT("Table1[Ende]"),"&gt;="&amp;BH$1,INDIRECT("Table1[Obergruppe ATC-Code]"),Tabelle3!$A68)</f>
        <v>0</v>
      </c>
      <c r="BI68">
        <f ca="1">COUNTIFS(INDIRECT("Table1[Beginn]"),"&lt;="&amp;BI$1,INDIRECT("Table1[Ende]"),"&gt;="&amp;BI$1,INDIRECT("Table1[Obergruppe ATC-Code]"),Tabelle3!$A68)</f>
        <v>0</v>
      </c>
      <c r="BJ68">
        <f ca="1">COUNTIFS(INDIRECT("Table1[Beginn]"),"&lt;="&amp;BJ$1,INDIRECT("Table1[Ende]"),"&gt;="&amp;BJ$1,INDIRECT("Table1[Obergruppe ATC-Code]"),Tabelle3!$A68)</f>
        <v>0</v>
      </c>
      <c r="BK68">
        <f ca="1">COUNTIFS(INDIRECT("Table1[Beginn]"),"&lt;="&amp;BK$1,INDIRECT("Table1[Ende]"),"&gt;="&amp;BK$1,INDIRECT("Table1[Obergruppe ATC-Code]"),Tabelle3!$A68)</f>
        <v>0</v>
      </c>
      <c r="BL68">
        <f ca="1">COUNTIFS(INDIRECT("Table1[Beginn]"),"&lt;="&amp;BL$1,INDIRECT("Table1[Ende]"),"&gt;="&amp;BL$1,INDIRECT("Table1[Obergruppe ATC-Code]"),Tabelle3!$A68)</f>
        <v>0</v>
      </c>
      <c r="BM68">
        <f ca="1">COUNTIFS(INDIRECT("Table1[Beginn]"),"&lt;="&amp;BM$1,INDIRECT("Table1[Ende]"),"&gt;="&amp;BM$1,INDIRECT("Table1[Obergruppe ATC-Code]"),Tabelle3!$A68)</f>
        <v>0</v>
      </c>
      <c r="BN68">
        <f ca="1">COUNTIFS(INDIRECT("Table1[Beginn]"),"&lt;="&amp;BN$1,INDIRECT("Table1[Ende]"),"&gt;="&amp;BN$1,INDIRECT("Table1[Obergruppe ATC-Code]"),Tabelle3!$A68)</f>
        <v>0</v>
      </c>
      <c r="BO68">
        <f ca="1">COUNTIFS(INDIRECT("Table1[Beginn]"),"&lt;="&amp;BO$1,INDIRECT("Table1[Ende]"),"&gt;="&amp;BO$1,INDIRECT("Table1[Obergruppe ATC-Code]"),Tabelle3!$A68)</f>
        <v>0</v>
      </c>
      <c r="BP68">
        <f ca="1">COUNTIFS(INDIRECT("Table1[Beginn]"),"&lt;="&amp;BP$1,INDIRECT("Table1[Ende]"),"&gt;="&amp;BP$1,INDIRECT("Table1[Obergruppe ATC-Code]"),Tabelle3!$A68)</f>
        <v>0</v>
      </c>
      <c r="BQ68">
        <f ca="1">COUNTIFS(INDIRECT("Table1[Beginn]"),"&lt;="&amp;BQ$1,INDIRECT("Table1[Ende]"),"&gt;="&amp;BQ$1,INDIRECT("Table1[Obergruppe ATC-Code]"),Tabelle3!$A68)</f>
        <v>0</v>
      </c>
      <c r="BR68">
        <f ca="1">COUNTIFS(INDIRECT("Table1[Beginn]"),"&lt;="&amp;BR$1,INDIRECT("Table1[Ende]"),"&gt;="&amp;BR$1,INDIRECT("Table1[Obergruppe ATC-Code]"),Tabelle3!$A68)</f>
        <v>0</v>
      </c>
      <c r="BS68">
        <f ca="1">COUNTIFS(INDIRECT("Table1[Beginn]"),"&lt;="&amp;BS$1,INDIRECT("Table1[Ende]"),"&gt;="&amp;BS$1,INDIRECT("Table1[Obergruppe ATC-Code]"),Tabelle3!$A68)</f>
        <v>0</v>
      </c>
      <c r="BT68">
        <f ca="1">COUNTIFS(INDIRECT("Table1[Beginn]"),"&lt;="&amp;BT$1,INDIRECT("Table1[Ende]"),"&gt;="&amp;BT$1,INDIRECT("Table1[Obergruppe ATC-Code]"),Tabelle3!$A68)</f>
        <v>0</v>
      </c>
      <c r="BU68">
        <f ca="1">COUNTIFS(INDIRECT("Table1[Beginn]"),"&lt;="&amp;BU$1,INDIRECT("Table1[Ende]"),"&gt;="&amp;BU$1,INDIRECT("Table1[Obergruppe ATC-Code]"),Tabelle3!$A68)</f>
        <v>0</v>
      </c>
      <c r="BV68">
        <f ca="1">COUNTIFS(INDIRECT("Table1[Beginn]"),"&lt;="&amp;BV$1,INDIRECT("Table1[Ende]"),"&gt;="&amp;BV$1,INDIRECT("Table1[Obergruppe ATC-Code]"),Tabelle3!$A68)</f>
        <v>0</v>
      </c>
      <c r="BW68">
        <f ca="1">COUNTIFS(INDIRECT("Table1[Beginn]"),"&lt;="&amp;BW$1,INDIRECT("Table1[Ende]"),"&gt;="&amp;BW$1,INDIRECT("Table1[Obergruppe ATC-Code]"),Tabelle3!$A68)</f>
        <v>0</v>
      </c>
      <c r="BX68">
        <f ca="1">COUNTIFS(INDIRECT("Table1[Beginn]"),"&lt;="&amp;BX$1,INDIRECT("Table1[Ende]"),"&gt;="&amp;BX$1,INDIRECT("Table1[Obergruppe ATC-Code]"),Tabelle3!$A68)</f>
        <v>0</v>
      </c>
      <c r="BY68">
        <f ca="1">COUNTIFS(INDIRECT("Table1[Beginn]"),"&lt;="&amp;BY$1,INDIRECT("Table1[Ende]"),"&gt;="&amp;BY$1,INDIRECT("Table1[Obergruppe ATC-Code]"),Tabelle3!$A68)</f>
        <v>0</v>
      </c>
      <c r="BZ68">
        <f ca="1">COUNTIFS(INDIRECT("Table1[Beginn]"),"&lt;="&amp;BZ$1,INDIRECT("Table1[Ende]"),"&gt;="&amp;BZ$1,INDIRECT("Table1[Obergruppe ATC-Code]"),Tabelle3!$A68)</f>
        <v>0</v>
      </c>
      <c r="CA68">
        <f ca="1">COUNTIFS(INDIRECT("Table1[Beginn]"),"&lt;="&amp;CA$1,INDIRECT("Table1[Ende]"),"&gt;="&amp;CA$1,INDIRECT("Table1[Obergruppe ATC-Code]"),Tabelle3!$A68)</f>
        <v>0</v>
      </c>
      <c r="CB68">
        <f ca="1">COUNTIFS(INDIRECT("Table1[Beginn]"),"&lt;="&amp;CB$1,INDIRECT("Table1[Ende]"),"&gt;="&amp;CB$1,INDIRECT("Table1[Obergruppe ATC-Code]"),Tabelle3!$A68)</f>
        <v>0</v>
      </c>
      <c r="CC68">
        <f ca="1">COUNTIFS(INDIRECT("Table1[Beginn]"),"&lt;="&amp;CC$1,INDIRECT("Table1[Ende]"),"&gt;="&amp;CC$1,INDIRECT("Table1[Obergruppe ATC-Code]"),Tabelle3!$A68)</f>
        <v>0</v>
      </c>
      <c r="CD68">
        <f ca="1">COUNTIFS(INDIRECT("Table1[Beginn]"),"&lt;="&amp;CD$1,INDIRECT("Table1[Ende]"),"&gt;="&amp;CD$1,INDIRECT("Table1[Obergruppe ATC-Code]"),Tabelle3!$A68)</f>
        <v>0</v>
      </c>
      <c r="CE68">
        <f ca="1">COUNTIFS(INDIRECT("Table1[Beginn]"),"&lt;="&amp;CE$1,INDIRECT("Table1[Ende]"),"&gt;="&amp;CE$1,INDIRECT("Table1[Obergruppe ATC-Code]"),Tabelle3!$A68)</f>
        <v>0</v>
      </c>
      <c r="CF68">
        <f ca="1">COUNTIFS(INDIRECT("Table1[Beginn]"),"&lt;="&amp;CF$1,INDIRECT("Table1[Ende]"),"&gt;="&amp;CF$1,INDIRECT("Table1[Obergruppe ATC-Code]"),Tabelle3!$A68)</f>
        <v>0</v>
      </c>
      <c r="CG68">
        <f ca="1">COUNTIFS(INDIRECT("Table1[Beginn]"),"&lt;="&amp;CG$1,INDIRECT("Table1[Ende]"),"&gt;="&amp;CG$1,INDIRECT("Table1[Obergruppe ATC-Code]"),Tabelle3!$A68)</f>
        <v>0</v>
      </c>
      <c r="CH68">
        <f ca="1">COUNTIFS(INDIRECT("Table1[Beginn]"),"&lt;="&amp;CH$1,INDIRECT("Table1[Ende]"),"&gt;="&amp;CH$1,INDIRECT("Table1[Obergruppe ATC-Code]"),Tabelle3!$A68)</f>
        <v>0</v>
      </c>
      <c r="CI68">
        <f ca="1">COUNTIFS(INDIRECT("Table1[Beginn]"),"&lt;="&amp;CI$1,INDIRECT("Table1[Ende]"),"&gt;="&amp;CI$1,INDIRECT("Table1[Obergruppe ATC-Code]"),Tabelle3!$A68)</f>
        <v>0</v>
      </c>
      <c r="CJ68">
        <f ca="1">COUNTIFS(INDIRECT("Table1[Beginn]"),"&lt;="&amp;CJ$1,INDIRECT("Table1[Ende]"),"&gt;="&amp;CJ$1,INDIRECT("Table1[Obergruppe ATC-Code]"),Tabelle3!$A68)</f>
        <v>0</v>
      </c>
      <c r="CK68">
        <f ca="1">COUNTIFS(INDIRECT("Table1[Beginn]"),"&lt;="&amp;CK$1,INDIRECT("Table1[Ende]"),"&gt;="&amp;CK$1,INDIRECT("Table1[Obergruppe ATC-Code]"),Tabelle3!$A68)</f>
        <v>0</v>
      </c>
      <c r="CL68">
        <f ca="1">COUNTIFS(INDIRECT("Table1[Beginn]"),"&lt;="&amp;CL$1,INDIRECT("Table1[Ende]"),"&gt;="&amp;CL$1,INDIRECT("Table1[Obergruppe ATC-Code]"),Tabelle3!$A68)</f>
        <v>0</v>
      </c>
      <c r="CM68">
        <f ca="1">COUNTIFS(INDIRECT("Table1[Beginn]"),"&lt;="&amp;CM$1,INDIRECT("Table1[Ende]"),"&gt;="&amp;CM$1,INDIRECT("Table1[Obergruppe ATC-Code]"),Tabelle3!$A68)</f>
        <v>0</v>
      </c>
      <c r="CN68">
        <f ca="1">COUNTIFS(INDIRECT("Table1[Beginn]"),"&lt;="&amp;CN$1,INDIRECT("Table1[Ende]"),"&gt;="&amp;CN$1,INDIRECT("Table1[Obergruppe ATC-Code]"),Tabelle3!$A68)</f>
        <v>0</v>
      </c>
      <c r="CO68">
        <f ca="1">COUNTIFS(INDIRECT("Table1[Beginn]"),"&lt;="&amp;CO$1,INDIRECT("Table1[Ende]"),"&gt;="&amp;CO$1,INDIRECT("Table1[Obergruppe ATC-Code]"),Tabelle3!$A68)</f>
        <v>0</v>
      </c>
      <c r="CP68">
        <f ca="1">COUNTIFS(INDIRECT("Table1[Beginn]"),"&lt;="&amp;CP$1,INDIRECT("Table1[Ende]"),"&gt;="&amp;CP$1,INDIRECT("Table1[Obergruppe ATC-Code]"),Tabelle3!$A68)</f>
        <v>0</v>
      </c>
      <c r="CQ68">
        <f ca="1">COUNTIFS(INDIRECT("Table1[Beginn]"),"&lt;="&amp;CQ$1,INDIRECT("Table1[Ende]"),"&gt;="&amp;CQ$1,INDIRECT("Table1[Obergruppe ATC-Code]"),Tabelle3!$A68)</f>
        <v>0</v>
      </c>
      <c r="CR68">
        <f ca="1">COUNTIFS(INDIRECT("Table1[Beginn]"),"&lt;="&amp;CR$1,INDIRECT("Table1[Ende]"),"&gt;="&amp;CR$1,INDIRECT("Table1[Obergruppe ATC-Code]"),Tabelle3!$A68)</f>
        <v>0</v>
      </c>
      <c r="CS68">
        <f ca="1">COUNTIFS(INDIRECT("Table1[Beginn]"),"&lt;="&amp;CS$1,INDIRECT("Table1[Ende]"),"&gt;="&amp;CS$1,INDIRECT("Table1[Obergruppe ATC-Code]"),Tabelle3!$A68)</f>
        <v>0</v>
      </c>
      <c r="CT68">
        <f ca="1">COUNTIFS(INDIRECT("Table1[Beginn]"),"&lt;="&amp;CT$1,INDIRECT("Table1[Ende]"),"&gt;="&amp;CT$1,INDIRECT("Table1[Obergruppe ATC-Code]"),Tabelle3!$A68)</f>
        <v>0</v>
      </c>
    </row>
    <row r="69" spans="1:98" ht="18">
      <c r="A69" s="9" t="s">
        <v>6906</v>
      </c>
      <c r="B69" s="10" t="s">
        <v>6907</v>
      </c>
      <c r="C69">
        <f ca="1">COUNTIFS(INDIRECT("Table1[Beginn]"),"&lt;="&amp;C$1,INDIRECT("Table1[Ende]"),"&gt;="&amp;C$1,INDIRECT("Table1[Obergruppe ATC-Code]"),Tabelle3!$A69)</f>
        <v>3</v>
      </c>
      <c r="D69">
        <f ca="1">COUNTIFS(INDIRECT("Table1[Beginn]"),"&lt;="&amp;D$1,INDIRECT("Table1[Ende]"),"&gt;="&amp;D$1,INDIRECT("Table1[Obergruppe ATC-Code]"),Tabelle3!$A69)</f>
        <v>3</v>
      </c>
      <c r="E69">
        <f ca="1">COUNTIFS(INDIRECT("Table1[Beginn]"),"&lt;="&amp;E$1,INDIRECT("Table1[Ende]"),"&gt;="&amp;E$1,INDIRECT("Table1[Obergruppe ATC-Code]"),Tabelle3!$A69)</f>
        <v>3</v>
      </c>
      <c r="F69">
        <f ca="1">COUNTIFS(INDIRECT("Table1[Beginn]"),"&lt;="&amp;F$1,INDIRECT("Table1[Ende]"),"&gt;="&amp;F$1,INDIRECT("Table1[Obergruppe ATC-Code]"),Tabelle3!$A69)</f>
        <v>3</v>
      </c>
      <c r="G69">
        <f ca="1">COUNTIFS(INDIRECT("Table1[Beginn]"),"&lt;="&amp;G$1,INDIRECT("Table1[Ende]"),"&gt;="&amp;G$1,INDIRECT("Table1[Obergruppe ATC-Code]"),Tabelle3!$A69)</f>
        <v>3</v>
      </c>
      <c r="H69">
        <f ca="1">COUNTIFS(INDIRECT("Table1[Beginn]"),"&lt;="&amp;H$1,INDIRECT("Table1[Ende]"),"&gt;="&amp;H$1,INDIRECT("Table1[Obergruppe ATC-Code]"),Tabelle3!$A69)</f>
        <v>3</v>
      </c>
      <c r="I69">
        <f ca="1">COUNTIFS(INDIRECT("Table1[Beginn]"),"&lt;="&amp;I$1,INDIRECT("Table1[Ende]"),"&gt;="&amp;I$1,INDIRECT("Table1[Obergruppe ATC-Code]"),Tabelle3!$A69)</f>
        <v>3</v>
      </c>
      <c r="J69">
        <f ca="1">COUNTIFS(INDIRECT("Table1[Beginn]"),"&lt;="&amp;J$1,INDIRECT("Table1[Ende]"),"&gt;="&amp;J$1,INDIRECT("Table1[Obergruppe ATC-Code]"),Tabelle3!$A69)</f>
        <v>3</v>
      </c>
      <c r="K69">
        <f ca="1">COUNTIFS(INDIRECT("Table1[Beginn]"),"&lt;="&amp;K$1,INDIRECT("Table1[Ende]"),"&gt;="&amp;K$1,INDIRECT("Table1[Obergruppe ATC-Code]"),Tabelle3!$A69)</f>
        <v>3</v>
      </c>
      <c r="L69">
        <f ca="1">COUNTIFS(INDIRECT("Table1[Beginn]"),"&lt;="&amp;L$1,INDIRECT("Table1[Ende]"),"&gt;="&amp;L$1,INDIRECT("Table1[Obergruppe ATC-Code]"),Tabelle3!$A69)</f>
        <v>3</v>
      </c>
      <c r="M69">
        <f ca="1">COUNTIFS(INDIRECT("Table1[Beginn]"),"&lt;="&amp;M$1,INDIRECT("Table1[Ende]"),"&gt;="&amp;M$1,INDIRECT("Table1[Obergruppe ATC-Code]"),Tabelle3!$A69)</f>
        <v>3</v>
      </c>
      <c r="N69">
        <f ca="1">COUNTIFS(INDIRECT("Table1[Beginn]"),"&lt;="&amp;N$1,INDIRECT("Table1[Ende]"),"&gt;="&amp;N$1,INDIRECT("Table1[Obergruppe ATC-Code]"),Tabelle3!$A69)</f>
        <v>3</v>
      </c>
      <c r="O69">
        <f ca="1">COUNTIFS(INDIRECT("Table1[Beginn]"),"&lt;="&amp;O$1,INDIRECT("Table1[Ende]"),"&gt;="&amp;O$1,INDIRECT("Table1[Obergruppe ATC-Code]"),Tabelle3!$A69)</f>
        <v>3</v>
      </c>
      <c r="P69">
        <f ca="1">COUNTIFS(INDIRECT("Table1[Beginn]"),"&lt;="&amp;P$1,INDIRECT("Table1[Ende]"),"&gt;="&amp;P$1,INDIRECT("Table1[Obergruppe ATC-Code]"),Tabelle3!$A69)</f>
        <v>0</v>
      </c>
      <c r="Q69">
        <f ca="1">COUNTIFS(INDIRECT("Table1[Beginn]"),"&lt;="&amp;Q$1,INDIRECT("Table1[Ende]"),"&gt;="&amp;Q$1,INDIRECT("Table1[Obergruppe ATC-Code]"),Tabelle3!$A69)</f>
        <v>0</v>
      </c>
      <c r="R69">
        <f ca="1">COUNTIFS(INDIRECT("Table1[Beginn]"),"&lt;="&amp;R$1,INDIRECT("Table1[Ende]"),"&gt;="&amp;R$1,INDIRECT("Table1[Obergruppe ATC-Code]"),Tabelle3!$A69)</f>
        <v>1</v>
      </c>
      <c r="S69">
        <f ca="1">COUNTIFS(INDIRECT("Table1[Beginn]"),"&lt;="&amp;S$1,INDIRECT("Table1[Ende]"),"&gt;="&amp;S$1,INDIRECT("Table1[Obergruppe ATC-Code]"),Tabelle3!$A69)</f>
        <v>1</v>
      </c>
      <c r="T69">
        <f ca="1">COUNTIFS(INDIRECT("Table1[Beginn]"),"&lt;="&amp;T$1,INDIRECT("Table1[Ende]"),"&gt;="&amp;T$1,INDIRECT("Table1[Obergruppe ATC-Code]"),Tabelle3!$A69)</f>
        <v>1</v>
      </c>
      <c r="U69">
        <f ca="1">COUNTIFS(INDIRECT("Table1[Beginn]"),"&lt;="&amp;U$1,INDIRECT("Table1[Ende]"),"&gt;="&amp;U$1,INDIRECT("Table1[Obergruppe ATC-Code]"),Tabelle3!$A69)</f>
        <v>0</v>
      </c>
      <c r="V69">
        <f ca="1">COUNTIFS(INDIRECT("Table1[Beginn]"),"&lt;="&amp;V$1,INDIRECT("Table1[Ende]"),"&gt;="&amp;V$1,INDIRECT("Table1[Obergruppe ATC-Code]"),Tabelle3!$A69)</f>
        <v>0</v>
      </c>
      <c r="W69">
        <f ca="1">COUNTIFS(INDIRECT("Table1[Beginn]"),"&lt;="&amp;W$1,INDIRECT("Table1[Ende]"),"&gt;="&amp;W$1,INDIRECT("Table1[Obergruppe ATC-Code]"),Tabelle3!$A69)</f>
        <v>0</v>
      </c>
      <c r="X69">
        <f ca="1">COUNTIFS(INDIRECT("Table1[Beginn]"),"&lt;="&amp;X$1,INDIRECT("Table1[Ende]"),"&gt;="&amp;X$1,INDIRECT("Table1[Obergruppe ATC-Code]"),Tabelle3!$A69)</f>
        <v>0</v>
      </c>
      <c r="Y69">
        <f ca="1">COUNTIFS(INDIRECT("Table1[Beginn]"),"&lt;="&amp;Y$1,INDIRECT("Table1[Ende]"),"&gt;="&amp;Y$1,INDIRECT("Table1[Obergruppe ATC-Code]"),Tabelle3!$A69)</f>
        <v>0</v>
      </c>
      <c r="Z69">
        <f ca="1">COUNTIFS(INDIRECT("Table1[Beginn]"),"&lt;="&amp;Z$1,INDIRECT("Table1[Ende]"),"&gt;="&amp;Z$1,INDIRECT("Table1[Obergruppe ATC-Code]"),Tabelle3!$A69)</f>
        <v>0</v>
      </c>
      <c r="AA69">
        <f ca="1">COUNTIFS(INDIRECT("Table1[Beginn]"),"&lt;="&amp;AA$1,INDIRECT("Table1[Ende]"),"&gt;="&amp;AA$1,INDIRECT("Table1[Obergruppe ATC-Code]"),Tabelle3!$A69)</f>
        <v>1</v>
      </c>
      <c r="AB69">
        <f ca="1">COUNTIFS(INDIRECT("Table1[Beginn]"),"&lt;="&amp;AB$1,INDIRECT("Table1[Ende]"),"&gt;="&amp;AB$1,INDIRECT("Table1[Obergruppe ATC-Code]"),Tabelle3!$A69)</f>
        <v>2</v>
      </c>
      <c r="AC69">
        <f ca="1">COUNTIFS(INDIRECT("Table1[Beginn]"),"&lt;="&amp;AC$1,INDIRECT("Table1[Ende]"),"&gt;="&amp;AC$1,INDIRECT("Table1[Obergruppe ATC-Code]"),Tabelle3!$A69)</f>
        <v>2</v>
      </c>
      <c r="AD69">
        <f ca="1">COUNTIFS(INDIRECT("Table1[Beginn]"),"&lt;="&amp;AD$1,INDIRECT("Table1[Ende]"),"&gt;="&amp;AD$1,INDIRECT("Table1[Obergruppe ATC-Code]"),Tabelle3!$A69)</f>
        <v>4</v>
      </c>
      <c r="AE69">
        <f ca="1">COUNTIFS(INDIRECT("Table1[Beginn]"),"&lt;="&amp;AE$1,INDIRECT("Table1[Ende]"),"&gt;="&amp;AE$1,INDIRECT("Table1[Obergruppe ATC-Code]"),Tabelle3!$A69)</f>
        <v>3</v>
      </c>
      <c r="AF69">
        <f ca="1">COUNTIFS(INDIRECT("Table1[Beginn]"),"&lt;="&amp;AF$1,INDIRECT("Table1[Ende]"),"&gt;="&amp;AF$1,INDIRECT("Table1[Obergruppe ATC-Code]"),Tabelle3!$A69)</f>
        <v>3</v>
      </c>
      <c r="AG69">
        <f ca="1">COUNTIFS(INDIRECT("Table1[Beginn]"),"&lt;="&amp;AG$1,INDIRECT("Table1[Ende]"),"&gt;="&amp;AG$1,INDIRECT("Table1[Obergruppe ATC-Code]"),Tabelle3!$A69)</f>
        <v>3</v>
      </c>
      <c r="AH69">
        <f ca="1">COUNTIFS(INDIRECT("Table1[Beginn]"),"&lt;="&amp;AH$1,INDIRECT("Table1[Ende]"),"&gt;="&amp;AH$1,INDIRECT("Table1[Obergruppe ATC-Code]"),Tabelle3!$A69)</f>
        <v>2</v>
      </c>
      <c r="AI69">
        <f ca="1">COUNTIFS(INDIRECT("Table1[Beginn]"),"&lt;="&amp;AI$1,INDIRECT("Table1[Ende]"),"&gt;="&amp;AI$1,INDIRECT("Table1[Obergruppe ATC-Code]"),Tabelle3!$A69)</f>
        <v>2</v>
      </c>
      <c r="AJ69">
        <f ca="1">COUNTIFS(INDIRECT("Table1[Beginn]"),"&lt;="&amp;AJ$1,INDIRECT("Table1[Ende]"),"&gt;="&amp;AJ$1,INDIRECT("Table1[Obergruppe ATC-Code]"),Tabelle3!$A69)</f>
        <v>3</v>
      </c>
      <c r="AK69">
        <f ca="1">COUNTIFS(INDIRECT("Table1[Beginn]"),"&lt;="&amp;AK$1,INDIRECT("Table1[Ende]"),"&gt;="&amp;AK$1,INDIRECT("Table1[Obergruppe ATC-Code]"),Tabelle3!$A69)</f>
        <v>3</v>
      </c>
      <c r="AL69">
        <f ca="1">COUNTIFS(INDIRECT("Table1[Beginn]"),"&lt;="&amp;AL$1,INDIRECT("Table1[Ende]"),"&gt;="&amp;AL$1,INDIRECT("Table1[Obergruppe ATC-Code]"),Tabelle3!$A69)</f>
        <v>3</v>
      </c>
      <c r="AM69">
        <f ca="1">COUNTIFS(INDIRECT("Table1[Beginn]"),"&lt;="&amp;AM$1,INDIRECT("Table1[Ende]"),"&gt;="&amp;AM$1,INDIRECT("Table1[Obergruppe ATC-Code]"),Tabelle3!$A69)</f>
        <v>3</v>
      </c>
      <c r="AN69">
        <f ca="1">COUNTIFS(INDIRECT("Table1[Beginn]"),"&lt;="&amp;AN$1,INDIRECT("Table1[Ende]"),"&gt;="&amp;AN$1,INDIRECT("Table1[Obergruppe ATC-Code]"),Tabelle3!$A69)</f>
        <v>3</v>
      </c>
      <c r="AO69">
        <f ca="1">COUNTIFS(INDIRECT("Table1[Beginn]"),"&lt;="&amp;AO$1,INDIRECT("Table1[Ende]"),"&gt;="&amp;AO$1,INDIRECT("Table1[Obergruppe ATC-Code]"),Tabelle3!$A69)</f>
        <v>3</v>
      </c>
      <c r="AP69">
        <f ca="1">COUNTIFS(INDIRECT("Table1[Beginn]"),"&lt;="&amp;AP$1,INDIRECT("Table1[Ende]"),"&gt;="&amp;AP$1,INDIRECT("Table1[Obergruppe ATC-Code]"),Tabelle3!$A69)</f>
        <v>13</v>
      </c>
      <c r="AQ69">
        <f ca="1">COUNTIFS(INDIRECT("Table1[Beginn]"),"&lt;="&amp;AQ$1,INDIRECT("Table1[Ende]"),"&gt;="&amp;AQ$1,INDIRECT("Table1[Obergruppe ATC-Code]"),Tabelle3!$A69)</f>
        <v>15</v>
      </c>
      <c r="AR69">
        <f ca="1">COUNTIFS(INDIRECT("Table1[Beginn]"),"&lt;="&amp;AR$1,INDIRECT("Table1[Ende]"),"&gt;="&amp;AR$1,INDIRECT("Table1[Obergruppe ATC-Code]"),Tabelle3!$A69)</f>
        <v>13</v>
      </c>
      <c r="AS69">
        <f ca="1">COUNTIFS(INDIRECT("Table1[Beginn]"),"&lt;="&amp;AS$1,INDIRECT("Table1[Ende]"),"&gt;="&amp;AS$1,INDIRECT("Table1[Obergruppe ATC-Code]"),Tabelle3!$A69)</f>
        <v>11</v>
      </c>
      <c r="AT69">
        <f ca="1">COUNTIFS(INDIRECT("Table1[Beginn]"),"&lt;="&amp;AT$1,INDIRECT("Table1[Ende]"),"&gt;="&amp;AT$1,INDIRECT("Table1[Obergruppe ATC-Code]"),Tabelle3!$A69)</f>
        <v>10</v>
      </c>
      <c r="AU69">
        <f ca="1">COUNTIFS(INDIRECT("Table1[Beginn]"),"&lt;="&amp;AU$1,INDIRECT("Table1[Ende]"),"&gt;="&amp;AU$1,INDIRECT("Table1[Obergruppe ATC-Code]"),Tabelle3!$A69)</f>
        <v>9</v>
      </c>
      <c r="AV69">
        <f ca="1">COUNTIFS(INDIRECT("Table1[Beginn]"),"&lt;="&amp;AV$1,INDIRECT("Table1[Ende]"),"&gt;="&amp;AV$1,INDIRECT("Table1[Obergruppe ATC-Code]"),Tabelle3!$A69)</f>
        <v>7</v>
      </c>
      <c r="AW69">
        <f ca="1">COUNTIFS(INDIRECT("Table1[Beginn]"),"&lt;="&amp;AW$1,INDIRECT("Table1[Ende]"),"&gt;="&amp;AW$1,INDIRECT("Table1[Obergruppe ATC-Code]"),Tabelle3!$A69)</f>
        <v>5</v>
      </c>
      <c r="AX69">
        <f ca="1">COUNTIFS(INDIRECT("Table1[Beginn]"),"&lt;="&amp;AX$1,INDIRECT("Table1[Ende]"),"&gt;="&amp;AX$1,INDIRECT("Table1[Obergruppe ATC-Code]"),Tabelle3!$A69)</f>
        <v>6</v>
      </c>
      <c r="AY69">
        <f ca="1">COUNTIFS(INDIRECT("Table1[Beginn]"),"&lt;="&amp;AY$1,INDIRECT("Table1[Ende]"),"&gt;="&amp;AY$1,INDIRECT("Table1[Obergruppe ATC-Code]"),Tabelle3!$A69)</f>
        <v>7</v>
      </c>
      <c r="AZ69">
        <f ca="1">COUNTIFS(INDIRECT("Table1[Beginn]"),"&lt;="&amp;AZ$1,INDIRECT("Table1[Ende]"),"&gt;="&amp;AZ$1,INDIRECT("Table1[Obergruppe ATC-Code]"),Tabelle3!$A69)</f>
        <v>7</v>
      </c>
      <c r="BA69">
        <f ca="1">COUNTIFS(INDIRECT("Table1[Beginn]"),"&lt;="&amp;BA$1,INDIRECT("Table1[Ende]"),"&gt;="&amp;BA$1,INDIRECT("Table1[Obergruppe ATC-Code]"),Tabelle3!$A69)</f>
        <v>7</v>
      </c>
      <c r="BB69">
        <f ca="1">COUNTIFS(INDIRECT("Table1[Beginn]"),"&lt;="&amp;BB$1,INDIRECT("Table1[Ende]"),"&gt;="&amp;BB$1,INDIRECT("Table1[Obergruppe ATC-Code]"),Tabelle3!$A69)</f>
        <v>7</v>
      </c>
      <c r="BC69">
        <f ca="1">COUNTIFS(INDIRECT("Table1[Beginn]"),"&lt;="&amp;BC$1,INDIRECT("Table1[Ende]"),"&gt;="&amp;BC$1,INDIRECT("Table1[Obergruppe ATC-Code]"),Tabelle3!$A69)</f>
        <v>8</v>
      </c>
      <c r="BD69">
        <f ca="1">COUNTIFS(INDIRECT("Table1[Beginn]"),"&lt;="&amp;BD$1,INDIRECT("Table1[Ende]"),"&gt;="&amp;BD$1,INDIRECT("Table1[Obergruppe ATC-Code]"),Tabelle3!$A69)</f>
        <v>8</v>
      </c>
      <c r="BE69">
        <f ca="1">COUNTIFS(INDIRECT("Table1[Beginn]"),"&lt;="&amp;BE$1,INDIRECT("Table1[Ende]"),"&gt;="&amp;BE$1,INDIRECT("Table1[Obergruppe ATC-Code]"),Tabelle3!$A69)</f>
        <v>7</v>
      </c>
      <c r="BF69">
        <f ca="1">COUNTIFS(INDIRECT("Table1[Beginn]"),"&lt;="&amp;BF$1,INDIRECT("Table1[Ende]"),"&gt;="&amp;BF$1,INDIRECT("Table1[Obergruppe ATC-Code]"),Tabelle3!$A69)</f>
        <v>7</v>
      </c>
      <c r="BG69">
        <f ca="1">COUNTIFS(INDIRECT("Table1[Beginn]"),"&lt;="&amp;BG$1,INDIRECT("Table1[Ende]"),"&gt;="&amp;BG$1,INDIRECT("Table1[Obergruppe ATC-Code]"),Tabelle3!$A69)</f>
        <v>6</v>
      </c>
      <c r="BH69">
        <f ca="1">COUNTIFS(INDIRECT("Table1[Beginn]"),"&lt;="&amp;BH$1,INDIRECT("Table1[Ende]"),"&gt;="&amp;BH$1,INDIRECT("Table1[Obergruppe ATC-Code]"),Tabelle3!$A69)</f>
        <v>5</v>
      </c>
      <c r="BI69">
        <f ca="1">COUNTIFS(INDIRECT("Table1[Beginn]"),"&lt;="&amp;BI$1,INDIRECT("Table1[Ende]"),"&gt;="&amp;BI$1,INDIRECT("Table1[Obergruppe ATC-Code]"),Tabelle3!$A69)</f>
        <v>4</v>
      </c>
      <c r="BJ69">
        <f ca="1">COUNTIFS(INDIRECT("Table1[Beginn]"),"&lt;="&amp;BJ$1,INDIRECT("Table1[Ende]"),"&gt;="&amp;BJ$1,INDIRECT("Table1[Obergruppe ATC-Code]"),Tabelle3!$A69)</f>
        <v>8</v>
      </c>
      <c r="BK69">
        <f ca="1">COUNTIFS(INDIRECT("Table1[Beginn]"),"&lt;="&amp;BK$1,INDIRECT("Table1[Ende]"),"&gt;="&amp;BK$1,INDIRECT("Table1[Obergruppe ATC-Code]"),Tabelle3!$A69)</f>
        <v>11</v>
      </c>
      <c r="BL69">
        <f ca="1">COUNTIFS(INDIRECT("Table1[Beginn]"),"&lt;="&amp;BL$1,INDIRECT("Table1[Ende]"),"&gt;="&amp;BL$1,INDIRECT("Table1[Obergruppe ATC-Code]"),Tabelle3!$A69)</f>
        <v>10</v>
      </c>
      <c r="BM69">
        <f ca="1">COUNTIFS(INDIRECT("Table1[Beginn]"),"&lt;="&amp;BM$1,INDIRECT("Table1[Ende]"),"&gt;="&amp;BM$1,INDIRECT("Table1[Obergruppe ATC-Code]"),Tabelle3!$A69)</f>
        <v>9</v>
      </c>
      <c r="BN69">
        <f ca="1">COUNTIFS(INDIRECT("Table1[Beginn]"),"&lt;="&amp;BN$1,INDIRECT("Table1[Ende]"),"&gt;="&amp;BN$1,INDIRECT("Table1[Obergruppe ATC-Code]"),Tabelle3!$A69)</f>
        <v>8</v>
      </c>
      <c r="BO69">
        <f ca="1">COUNTIFS(INDIRECT("Table1[Beginn]"),"&lt;="&amp;BO$1,INDIRECT("Table1[Ende]"),"&gt;="&amp;BO$1,INDIRECT("Table1[Obergruppe ATC-Code]"),Tabelle3!$A69)</f>
        <v>6</v>
      </c>
      <c r="BP69">
        <f ca="1">COUNTIFS(INDIRECT("Table1[Beginn]"),"&lt;="&amp;BP$1,INDIRECT("Table1[Ende]"),"&gt;="&amp;BP$1,INDIRECT("Table1[Obergruppe ATC-Code]"),Tabelle3!$A69)</f>
        <v>5</v>
      </c>
      <c r="BQ69">
        <f ca="1">COUNTIFS(INDIRECT("Table1[Beginn]"),"&lt;="&amp;BQ$1,INDIRECT("Table1[Ende]"),"&gt;="&amp;BQ$1,INDIRECT("Table1[Obergruppe ATC-Code]"),Tabelle3!$A69)</f>
        <v>5</v>
      </c>
      <c r="BR69">
        <f ca="1">COUNTIFS(INDIRECT("Table1[Beginn]"),"&lt;="&amp;BR$1,INDIRECT("Table1[Ende]"),"&gt;="&amp;BR$1,INDIRECT("Table1[Obergruppe ATC-Code]"),Tabelle3!$A69)</f>
        <v>8</v>
      </c>
      <c r="BS69">
        <f ca="1">COUNTIFS(INDIRECT("Table1[Beginn]"),"&lt;="&amp;BS$1,INDIRECT("Table1[Ende]"),"&gt;="&amp;BS$1,INDIRECT("Table1[Obergruppe ATC-Code]"),Tabelle3!$A69)</f>
        <v>12</v>
      </c>
      <c r="BT69">
        <f ca="1">COUNTIFS(INDIRECT("Table1[Beginn]"),"&lt;="&amp;BT$1,INDIRECT("Table1[Ende]"),"&gt;="&amp;BT$1,INDIRECT("Table1[Obergruppe ATC-Code]"),Tabelle3!$A69)</f>
        <v>10</v>
      </c>
      <c r="BU69">
        <f ca="1">COUNTIFS(INDIRECT("Table1[Beginn]"),"&lt;="&amp;BU$1,INDIRECT("Table1[Ende]"),"&gt;="&amp;BU$1,INDIRECT("Table1[Obergruppe ATC-Code]"),Tabelle3!$A69)</f>
        <v>13</v>
      </c>
      <c r="BV69">
        <f ca="1">COUNTIFS(INDIRECT("Table1[Beginn]"),"&lt;="&amp;BV$1,INDIRECT("Table1[Ende]"),"&gt;="&amp;BV$1,INDIRECT("Table1[Obergruppe ATC-Code]"),Tabelle3!$A69)</f>
        <v>9</v>
      </c>
      <c r="BW69">
        <f ca="1">COUNTIFS(INDIRECT("Table1[Beginn]"),"&lt;="&amp;BW$1,INDIRECT("Table1[Ende]"),"&gt;="&amp;BW$1,INDIRECT("Table1[Obergruppe ATC-Code]"),Tabelle3!$A69)</f>
        <v>11</v>
      </c>
      <c r="BX69">
        <f ca="1">COUNTIFS(INDIRECT("Table1[Beginn]"),"&lt;="&amp;BX$1,INDIRECT("Table1[Ende]"),"&gt;="&amp;BX$1,INDIRECT("Table1[Obergruppe ATC-Code]"),Tabelle3!$A69)</f>
        <v>16</v>
      </c>
      <c r="BY69">
        <f ca="1">COUNTIFS(INDIRECT("Table1[Beginn]"),"&lt;="&amp;BY$1,INDIRECT("Table1[Ende]"),"&gt;="&amp;BY$1,INDIRECT("Table1[Obergruppe ATC-Code]"),Tabelle3!$A69)</f>
        <v>15</v>
      </c>
      <c r="BZ69">
        <f ca="1">COUNTIFS(INDIRECT("Table1[Beginn]"),"&lt;="&amp;BZ$1,INDIRECT("Table1[Ende]"),"&gt;="&amp;BZ$1,INDIRECT("Table1[Obergruppe ATC-Code]"),Tabelle3!$A69)</f>
        <v>17</v>
      </c>
      <c r="CA69">
        <f ca="1">COUNTIFS(INDIRECT("Table1[Beginn]"),"&lt;="&amp;CA$1,INDIRECT("Table1[Ende]"),"&gt;="&amp;CA$1,INDIRECT("Table1[Obergruppe ATC-Code]"),Tabelle3!$A69)</f>
        <v>20</v>
      </c>
      <c r="CB69">
        <f ca="1">COUNTIFS(INDIRECT("Table1[Beginn]"),"&lt;="&amp;CB$1,INDIRECT("Table1[Ende]"),"&gt;="&amp;CB$1,INDIRECT("Table1[Obergruppe ATC-Code]"),Tabelle3!$A69)</f>
        <v>21</v>
      </c>
      <c r="CC69">
        <f ca="1">COUNTIFS(INDIRECT("Table1[Beginn]"),"&lt;="&amp;CC$1,INDIRECT("Table1[Ende]"),"&gt;="&amp;CC$1,INDIRECT("Table1[Obergruppe ATC-Code]"),Tabelle3!$A69)</f>
        <v>21</v>
      </c>
      <c r="CD69">
        <f ca="1">COUNTIFS(INDIRECT("Table1[Beginn]"),"&lt;="&amp;CD$1,INDIRECT("Table1[Ende]"),"&gt;="&amp;CD$1,INDIRECT("Table1[Obergruppe ATC-Code]"),Tabelle3!$A69)</f>
        <v>15</v>
      </c>
      <c r="CE69">
        <f ca="1">COUNTIFS(INDIRECT("Table1[Beginn]"),"&lt;="&amp;CE$1,INDIRECT("Table1[Ende]"),"&gt;="&amp;CE$1,INDIRECT("Table1[Obergruppe ATC-Code]"),Tabelle3!$A69)</f>
        <v>15</v>
      </c>
      <c r="CF69">
        <f ca="1">COUNTIFS(INDIRECT("Table1[Beginn]"),"&lt;="&amp;CF$1,INDIRECT("Table1[Ende]"),"&gt;="&amp;CF$1,INDIRECT("Table1[Obergruppe ATC-Code]"),Tabelle3!$A69)</f>
        <v>16</v>
      </c>
      <c r="CG69">
        <f ca="1">COUNTIFS(INDIRECT("Table1[Beginn]"),"&lt;="&amp;CG$1,INDIRECT("Table1[Ende]"),"&gt;="&amp;CG$1,INDIRECT("Table1[Obergruppe ATC-Code]"),Tabelle3!$A69)</f>
        <v>12</v>
      </c>
      <c r="CH69">
        <f ca="1">COUNTIFS(INDIRECT("Table1[Beginn]"),"&lt;="&amp;CH$1,INDIRECT("Table1[Ende]"),"&gt;="&amp;CH$1,INDIRECT("Table1[Obergruppe ATC-Code]"),Tabelle3!$A69)</f>
        <v>10</v>
      </c>
      <c r="CI69">
        <f ca="1">COUNTIFS(INDIRECT("Table1[Beginn]"),"&lt;="&amp;CI$1,INDIRECT("Table1[Ende]"),"&gt;="&amp;CI$1,INDIRECT("Table1[Obergruppe ATC-Code]"),Tabelle3!$A69)</f>
        <v>8</v>
      </c>
      <c r="CJ69">
        <f ca="1">COUNTIFS(INDIRECT("Table1[Beginn]"),"&lt;="&amp;CJ$1,INDIRECT("Table1[Ende]"),"&gt;="&amp;CJ$1,INDIRECT("Table1[Obergruppe ATC-Code]"),Tabelle3!$A69)</f>
        <v>8</v>
      </c>
      <c r="CK69">
        <f ca="1">COUNTIFS(INDIRECT("Table1[Beginn]"),"&lt;="&amp;CK$1,INDIRECT("Table1[Ende]"),"&gt;="&amp;CK$1,INDIRECT("Table1[Obergruppe ATC-Code]"),Tabelle3!$A69)</f>
        <v>8</v>
      </c>
      <c r="CL69">
        <f ca="1">COUNTIFS(INDIRECT("Table1[Beginn]"),"&lt;="&amp;CL$1,INDIRECT("Table1[Ende]"),"&gt;="&amp;CL$1,INDIRECT("Table1[Obergruppe ATC-Code]"),Tabelle3!$A69)</f>
        <v>8</v>
      </c>
      <c r="CM69">
        <f ca="1">COUNTIFS(INDIRECT("Table1[Beginn]"),"&lt;="&amp;CM$1,INDIRECT("Table1[Ende]"),"&gt;="&amp;CM$1,INDIRECT("Table1[Obergruppe ATC-Code]"),Tabelle3!$A69)</f>
        <v>8</v>
      </c>
      <c r="CN69">
        <f ca="1">COUNTIFS(INDIRECT("Table1[Beginn]"),"&lt;="&amp;CN$1,INDIRECT("Table1[Ende]"),"&gt;="&amp;CN$1,INDIRECT("Table1[Obergruppe ATC-Code]"),Tabelle3!$A69)</f>
        <v>0</v>
      </c>
      <c r="CO69">
        <f ca="1">COUNTIFS(INDIRECT("Table1[Beginn]"),"&lt;="&amp;CO$1,INDIRECT("Table1[Ende]"),"&gt;="&amp;CO$1,INDIRECT("Table1[Obergruppe ATC-Code]"),Tabelle3!$A69)</f>
        <v>0</v>
      </c>
      <c r="CP69">
        <f ca="1">COUNTIFS(INDIRECT("Table1[Beginn]"),"&lt;="&amp;CP$1,INDIRECT("Table1[Ende]"),"&gt;="&amp;CP$1,INDIRECT("Table1[Obergruppe ATC-Code]"),Tabelle3!$A69)</f>
        <v>0</v>
      </c>
      <c r="CQ69">
        <f ca="1">COUNTIFS(INDIRECT("Table1[Beginn]"),"&lt;="&amp;CQ$1,INDIRECT("Table1[Ende]"),"&gt;="&amp;CQ$1,INDIRECT("Table1[Obergruppe ATC-Code]"),Tabelle3!$A69)</f>
        <v>0</v>
      </c>
      <c r="CR69">
        <f ca="1">COUNTIFS(INDIRECT("Table1[Beginn]"),"&lt;="&amp;CR$1,INDIRECT("Table1[Ende]"),"&gt;="&amp;CR$1,INDIRECT("Table1[Obergruppe ATC-Code]"),Tabelle3!$A69)</f>
        <v>0</v>
      </c>
      <c r="CS69">
        <f ca="1">COUNTIFS(INDIRECT("Table1[Beginn]"),"&lt;="&amp;CS$1,INDIRECT("Table1[Ende]"),"&gt;="&amp;CS$1,INDIRECT("Table1[Obergruppe ATC-Code]"),Tabelle3!$A69)</f>
        <v>0</v>
      </c>
      <c r="CT69">
        <f ca="1">COUNTIFS(INDIRECT("Table1[Beginn]"),"&lt;="&amp;CT$1,INDIRECT("Table1[Ende]"),"&gt;="&amp;CT$1,INDIRECT("Table1[Obergruppe ATC-Code]"),Tabelle3!$A69)</f>
        <v>0</v>
      </c>
    </row>
    <row r="70" spans="1:98" ht="18">
      <c r="A70" s="7" t="s">
        <v>6908</v>
      </c>
      <c r="B70" s="8" t="s">
        <v>6909</v>
      </c>
      <c r="C70">
        <f ca="1">COUNTIFS(INDIRECT("Table1[Beginn]"),"&lt;="&amp;C$1,INDIRECT("Table1[Ende]"),"&gt;="&amp;C$1,INDIRECT("Table1[Obergruppe ATC-Code]"),Tabelle3!$A70)</f>
        <v>0</v>
      </c>
      <c r="D70">
        <f ca="1">COUNTIFS(INDIRECT("Table1[Beginn]"),"&lt;="&amp;D$1,INDIRECT("Table1[Ende]"),"&gt;="&amp;D$1,INDIRECT("Table1[Obergruppe ATC-Code]"),Tabelle3!$A70)</f>
        <v>0</v>
      </c>
      <c r="E70">
        <f ca="1">COUNTIFS(INDIRECT("Table1[Beginn]"),"&lt;="&amp;E$1,INDIRECT("Table1[Ende]"),"&gt;="&amp;E$1,INDIRECT("Table1[Obergruppe ATC-Code]"),Tabelle3!$A70)</f>
        <v>0</v>
      </c>
      <c r="F70">
        <f ca="1">COUNTIFS(INDIRECT("Table1[Beginn]"),"&lt;="&amp;F$1,INDIRECT("Table1[Ende]"),"&gt;="&amp;F$1,INDIRECT("Table1[Obergruppe ATC-Code]"),Tabelle3!$A70)</f>
        <v>0</v>
      </c>
      <c r="G70">
        <f ca="1">COUNTIFS(INDIRECT("Table1[Beginn]"),"&lt;="&amp;G$1,INDIRECT("Table1[Ende]"),"&gt;="&amp;G$1,INDIRECT("Table1[Obergruppe ATC-Code]"),Tabelle3!$A70)</f>
        <v>0</v>
      </c>
      <c r="H70">
        <f ca="1">COUNTIFS(INDIRECT("Table1[Beginn]"),"&lt;="&amp;H$1,INDIRECT("Table1[Ende]"),"&gt;="&amp;H$1,INDIRECT("Table1[Obergruppe ATC-Code]"),Tabelle3!$A70)</f>
        <v>0</v>
      </c>
      <c r="I70">
        <f ca="1">COUNTIFS(INDIRECT("Table1[Beginn]"),"&lt;="&amp;I$1,INDIRECT("Table1[Ende]"),"&gt;="&amp;I$1,INDIRECT("Table1[Obergruppe ATC-Code]"),Tabelle3!$A70)</f>
        <v>0</v>
      </c>
      <c r="J70">
        <f ca="1">COUNTIFS(INDIRECT("Table1[Beginn]"),"&lt;="&amp;J$1,INDIRECT("Table1[Ende]"),"&gt;="&amp;J$1,INDIRECT("Table1[Obergruppe ATC-Code]"),Tabelle3!$A70)</f>
        <v>0</v>
      </c>
      <c r="K70">
        <f ca="1">COUNTIFS(INDIRECT("Table1[Beginn]"),"&lt;="&amp;K$1,INDIRECT("Table1[Ende]"),"&gt;="&amp;K$1,INDIRECT("Table1[Obergruppe ATC-Code]"),Tabelle3!$A70)</f>
        <v>0</v>
      </c>
      <c r="L70">
        <f ca="1">COUNTIFS(INDIRECT("Table1[Beginn]"),"&lt;="&amp;L$1,INDIRECT("Table1[Ende]"),"&gt;="&amp;L$1,INDIRECT("Table1[Obergruppe ATC-Code]"),Tabelle3!$A70)</f>
        <v>0</v>
      </c>
      <c r="M70">
        <f ca="1">COUNTIFS(INDIRECT("Table1[Beginn]"),"&lt;="&amp;M$1,INDIRECT("Table1[Ende]"),"&gt;="&amp;M$1,INDIRECT("Table1[Obergruppe ATC-Code]"),Tabelle3!$A70)</f>
        <v>0</v>
      </c>
      <c r="N70">
        <f ca="1">COUNTIFS(INDIRECT("Table1[Beginn]"),"&lt;="&amp;N$1,INDIRECT("Table1[Ende]"),"&gt;="&amp;N$1,INDIRECT("Table1[Obergruppe ATC-Code]"),Tabelle3!$A70)</f>
        <v>0</v>
      </c>
      <c r="O70">
        <f ca="1">COUNTIFS(INDIRECT("Table1[Beginn]"),"&lt;="&amp;O$1,INDIRECT("Table1[Ende]"),"&gt;="&amp;O$1,INDIRECT("Table1[Obergruppe ATC-Code]"),Tabelle3!$A70)</f>
        <v>0</v>
      </c>
      <c r="P70">
        <f ca="1">COUNTIFS(INDIRECT("Table1[Beginn]"),"&lt;="&amp;P$1,INDIRECT("Table1[Ende]"),"&gt;="&amp;P$1,INDIRECT("Table1[Obergruppe ATC-Code]"),Tabelle3!$A70)</f>
        <v>0</v>
      </c>
      <c r="Q70">
        <f ca="1">COUNTIFS(INDIRECT("Table1[Beginn]"),"&lt;="&amp;Q$1,INDIRECT("Table1[Ende]"),"&gt;="&amp;Q$1,INDIRECT("Table1[Obergruppe ATC-Code]"),Tabelle3!$A70)</f>
        <v>2</v>
      </c>
      <c r="R70">
        <f ca="1">COUNTIFS(INDIRECT("Table1[Beginn]"),"&lt;="&amp;R$1,INDIRECT("Table1[Ende]"),"&gt;="&amp;R$1,INDIRECT("Table1[Obergruppe ATC-Code]"),Tabelle3!$A70)</f>
        <v>2</v>
      </c>
      <c r="S70">
        <f ca="1">COUNTIFS(INDIRECT("Table1[Beginn]"),"&lt;="&amp;S$1,INDIRECT("Table1[Ende]"),"&gt;="&amp;S$1,INDIRECT("Table1[Obergruppe ATC-Code]"),Tabelle3!$A70)</f>
        <v>2</v>
      </c>
      <c r="T70">
        <f ca="1">COUNTIFS(INDIRECT("Table1[Beginn]"),"&lt;="&amp;T$1,INDIRECT("Table1[Ende]"),"&gt;="&amp;T$1,INDIRECT("Table1[Obergruppe ATC-Code]"),Tabelle3!$A70)</f>
        <v>2</v>
      </c>
      <c r="U70">
        <f ca="1">COUNTIFS(INDIRECT("Table1[Beginn]"),"&lt;="&amp;U$1,INDIRECT("Table1[Ende]"),"&gt;="&amp;U$1,INDIRECT("Table1[Obergruppe ATC-Code]"),Tabelle3!$A70)</f>
        <v>2</v>
      </c>
      <c r="V70">
        <f ca="1">COUNTIFS(INDIRECT("Table1[Beginn]"),"&lt;="&amp;V$1,INDIRECT("Table1[Ende]"),"&gt;="&amp;V$1,INDIRECT("Table1[Obergruppe ATC-Code]"),Tabelle3!$A70)</f>
        <v>3</v>
      </c>
      <c r="W70">
        <f ca="1">COUNTIFS(INDIRECT("Table1[Beginn]"),"&lt;="&amp;W$1,INDIRECT("Table1[Ende]"),"&gt;="&amp;W$1,INDIRECT("Table1[Obergruppe ATC-Code]"),Tabelle3!$A70)</f>
        <v>3</v>
      </c>
      <c r="X70">
        <f ca="1">COUNTIFS(INDIRECT("Table1[Beginn]"),"&lt;="&amp;X$1,INDIRECT("Table1[Ende]"),"&gt;="&amp;X$1,INDIRECT("Table1[Obergruppe ATC-Code]"),Tabelle3!$A70)</f>
        <v>3</v>
      </c>
      <c r="Y70">
        <f ca="1">COUNTIFS(INDIRECT("Table1[Beginn]"),"&lt;="&amp;Y$1,INDIRECT("Table1[Ende]"),"&gt;="&amp;Y$1,INDIRECT("Table1[Obergruppe ATC-Code]"),Tabelle3!$A70)</f>
        <v>3</v>
      </c>
      <c r="Z70">
        <f ca="1">COUNTIFS(INDIRECT("Table1[Beginn]"),"&lt;="&amp;Z$1,INDIRECT("Table1[Ende]"),"&gt;="&amp;Z$1,INDIRECT("Table1[Obergruppe ATC-Code]"),Tabelle3!$A70)</f>
        <v>4</v>
      </c>
      <c r="AA70">
        <f ca="1">COUNTIFS(INDIRECT("Table1[Beginn]"),"&lt;="&amp;AA$1,INDIRECT("Table1[Ende]"),"&gt;="&amp;AA$1,INDIRECT("Table1[Obergruppe ATC-Code]"),Tabelle3!$A70)</f>
        <v>4</v>
      </c>
      <c r="AB70">
        <f ca="1">COUNTIFS(INDIRECT("Table1[Beginn]"),"&lt;="&amp;AB$1,INDIRECT("Table1[Ende]"),"&gt;="&amp;AB$1,INDIRECT("Table1[Obergruppe ATC-Code]"),Tabelle3!$A70)</f>
        <v>3</v>
      </c>
      <c r="AC70">
        <f ca="1">COUNTIFS(INDIRECT("Table1[Beginn]"),"&lt;="&amp;AC$1,INDIRECT("Table1[Ende]"),"&gt;="&amp;AC$1,INDIRECT("Table1[Obergruppe ATC-Code]"),Tabelle3!$A70)</f>
        <v>3</v>
      </c>
      <c r="AD70">
        <f ca="1">COUNTIFS(INDIRECT("Table1[Beginn]"),"&lt;="&amp;AD$1,INDIRECT("Table1[Ende]"),"&gt;="&amp;AD$1,INDIRECT("Table1[Obergruppe ATC-Code]"),Tabelle3!$A70)</f>
        <v>3</v>
      </c>
      <c r="AE70">
        <f ca="1">COUNTIFS(INDIRECT("Table1[Beginn]"),"&lt;="&amp;AE$1,INDIRECT("Table1[Ende]"),"&gt;="&amp;AE$1,INDIRECT("Table1[Obergruppe ATC-Code]"),Tabelle3!$A70)</f>
        <v>3</v>
      </c>
      <c r="AF70">
        <f ca="1">COUNTIFS(INDIRECT("Table1[Beginn]"),"&lt;="&amp;AF$1,INDIRECT("Table1[Ende]"),"&gt;="&amp;AF$1,INDIRECT("Table1[Obergruppe ATC-Code]"),Tabelle3!$A70)</f>
        <v>13</v>
      </c>
      <c r="AG70">
        <f ca="1">COUNTIFS(INDIRECT("Table1[Beginn]"),"&lt;="&amp;AG$1,INDIRECT("Table1[Ende]"),"&gt;="&amp;AG$1,INDIRECT("Table1[Obergruppe ATC-Code]"),Tabelle3!$A70)</f>
        <v>14</v>
      </c>
      <c r="AH70">
        <f ca="1">COUNTIFS(INDIRECT("Table1[Beginn]"),"&lt;="&amp;AH$1,INDIRECT("Table1[Ende]"),"&gt;="&amp;AH$1,INDIRECT("Table1[Obergruppe ATC-Code]"),Tabelle3!$A70)</f>
        <v>15</v>
      </c>
      <c r="AI70">
        <f ca="1">COUNTIFS(INDIRECT("Table1[Beginn]"),"&lt;="&amp;AI$1,INDIRECT("Table1[Ende]"),"&gt;="&amp;AI$1,INDIRECT("Table1[Obergruppe ATC-Code]"),Tabelle3!$A70)</f>
        <v>15</v>
      </c>
      <c r="AJ70">
        <f ca="1">COUNTIFS(INDIRECT("Table1[Beginn]"),"&lt;="&amp;AJ$1,INDIRECT("Table1[Ende]"),"&gt;="&amp;AJ$1,INDIRECT("Table1[Obergruppe ATC-Code]"),Tabelle3!$A70)</f>
        <v>20</v>
      </c>
      <c r="AK70">
        <f ca="1">COUNTIFS(INDIRECT("Table1[Beginn]"),"&lt;="&amp;AK$1,INDIRECT("Table1[Ende]"),"&gt;="&amp;AK$1,INDIRECT("Table1[Obergruppe ATC-Code]"),Tabelle3!$A70)</f>
        <v>19</v>
      </c>
      <c r="AL70">
        <f ca="1">COUNTIFS(INDIRECT("Table1[Beginn]"),"&lt;="&amp;AL$1,INDIRECT("Table1[Ende]"),"&gt;="&amp;AL$1,INDIRECT("Table1[Obergruppe ATC-Code]"),Tabelle3!$A70)</f>
        <v>18</v>
      </c>
      <c r="AM70">
        <f ca="1">COUNTIFS(INDIRECT("Table1[Beginn]"),"&lt;="&amp;AM$1,INDIRECT("Table1[Ende]"),"&gt;="&amp;AM$1,INDIRECT("Table1[Obergruppe ATC-Code]"),Tabelle3!$A70)</f>
        <v>7</v>
      </c>
      <c r="AN70">
        <f ca="1">COUNTIFS(INDIRECT("Table1[Beginn]"),"&lt;="&amp;AN$1,INDIRECT("Table1[Ende]"),"&gt;="&amp;AN$1,INDIRECT("Table1[Obergruppe ATC-Code]"),Tabelle3!$A70)</f>
        <v>6</v>
      </c>
      <c r="AO70">
        <f ca="1">COUNTIFS(INDIRECT("Table1[Beginn]"),"&lt;="&amp;AO$1,INDIRECT("Table1[Ende]"),"&gt;="&amp;AO$1,INDIRECT("Table1[Obergruppe ATC-Code]"),Tabelle3!$A70)</f>
        <v>23</v>
      </c>
      <c r="AP70">
        <f ca="1">COUNTIFS(INDIRECT("Table1[Beginn]"),"&lt;="&amp;AP$1,INDIRECT("Table1[Ende]"),"&gt;="&amp;AP$1,INDIRECT("Table1[Obergruppe ATC-Code]"),Tabelle3!$A70)</f>
        <v>29</v>
      </c>
      <c r="AQ70">
        <f ca="1">COUNTIFS(INDIRECT("Table1[Beginn]"),"&lt;="&amp;AQ$1,INDIRECT("Table1[Ende]"),"&gt;="&amp;AQ$1,INDIRECT("Table1[Obergruppe ATC-Code]"),Tabelle3!$A70)</f>
        <v>30</v>
      </c>
      <c r="AR70">
        <f ca="1">COUNTIFS(INDIRECT("Table1[Beginn]"),"&lt;="&amp;AR$1,INDIRECT("Table1[Ende]"),"&gt;="&amp;AR$1,INDIRECT("Table1[Obergruppe ATC-Code]"),Tabelle3!$A70)</f>
        <v>25</v>
      </c>
      <c r="AS70">
        <f ca="1">COUNTIFS(INDIRECT("Table1[Beginn]"),"&lt;="&amp;AS$1,INDIRECT("Table1[Ende]"),"&gt;="&amp;AS$1,INDIRECT("Table1[Obergruppe ATC-Code]"),Tabelle3!$A70)</f>
        <v>18</v>
      </c>
      <c r="AT70">
        <f ca="1">COUNTIFS(INDIRECT("Table1[Beginn]"),"&lt;="&amp;AT$1,INDIRECT("Table1[Ende]"),"&gt;="&amp;AT$1,INDIRECT("Table1[Obergruppe ATC-Code]"),Tabelle3!$A70)</f>
        <v>10</v>
      </c>
      <c r="AU70">
        <f ca="1">COUNTIFS(INDIRECT("Table1[Beginn]"),"&lt;="&amp;AU$1,INDIRECT("Table1[Ende]"),"&gt;="&amp;AU$1,INDIRECT("Table1[Obergruppe ATC-Code]"),Tabelle3!$A70)</f>
        <v>7</v>
      </c>
      <c r="AV70">
        <f ca="1">COUNTIFS(INDIRECT("Table1[Beginn]"),"&lt;="&amp;AV$1,INDIRECT("Table1[Ende]"),"&gt;="&amp;AV$1,INDIRECT("Table1[Obergruppe ATC-Code]"),Tabelle3!$A70)</f>
        <v>9</v>
      </c>
      <c r="AW70">
        <f ca="1">COUNTIFS(INDIRECT("Table1[Beginn]"),"&lt;="&amp;AW$1,INDIRECT("Table1[Ende]"),"&gt;="&amp;AW$1,INDIRECT("Table1[Obergruppe ATC-Code]"),Tabelle3!$A70)</f>
        <v>11</v>
      </c>
      <c r="AX70">
        <f ca="1">COUNTIFS(INDIRECT("Table1[Beginn]"),"&lt;="&amp;AX$1,INDIRECT("Table1[Ende]"),"&gt;="&amp;AX$1,INDIRECT("Table1[Obergruppe ATC-Code]"),Tabelle3!$A70)</f>
        <v>13</v>
      </c>
      <c r="AY70">
        <f ca="1">COUNTIFS(INDIRECT("Table1[Beginn]"),"&lt;="&amp;AY$1,INDIRECT("Table1[Ende]"),"&gt;="&amp;AY$1,INDIRECT("Table1[Obergruppe ATC-Code]"),Tabelle3!$A70)</f>
        <v>13</v>
      </c>
      <c r="AZ70">
        <f ca="1">COUNTIFS(INDIRECT("Table1[Beginn]"),"&lt;="&amp;AZ$1,INDIRECT("Table1[Ende]"),"&gt;="&amp;AZ$1,INDIRECT("Table1[Obergruppe ATC-Code]"),Tabelle3!$A70)</f>
        <v>14</v>
      </c>
      <c r="BA70">
        <f ca="1">COUNTIFS(INDIRECT("Table1[Beginn]"),"&lt;="&amp;BA$1,INDIRECT("Table1[Ende]"),"&gt;="&amp;BA$1,INDIRECT("Table1[Obergruppe ATC-Code]"),Tabelle3!$A70)</f>
        <v>11</v>
      </c>
      <c r="BB70">
        <f ca="1">COUNTIFS(INDIRECT("Table1[Beginn]"),"&lt;="&amp;BB$1,INDIRECT("Table1[Ende]"),"&gt;="&amp;BB$1,INDIRECT("Table1[Obergruppe ATC-Code]"),Tabelle3!$A70)</f>
        <v>9</v>
      </c>
      <c r="BC70">
        <f ca="1">COUNTIFS(INDIRECT("Table1[Beginn]"),"&lt;="&amp;BC$1,INDIRECT("Table1[Ende]"),"&gt;="&amp;BC$1,INDIRECT("Table1[Obergruppe ATC-Code]"),Tabelle3!$A70)</f>
        <v>10</v>
      </c>
      <c r="BD70">
        <f ca="1">COUNTIFS(INDIRECT("Table1[Beginn]"),"&lt;="&amp;BD$1,INDIRECT("Table1[Ende]"),"&gt;="&amp;BD$1,INDIRECT("Table1[Obergruppe ATC-Code]"),Tabelle3!$A70)</f>
        <v>10</v>
      </c>
      <c r="BE70">
        <f ca="1">COUNTIFS(INDIRECT("Table1[Beginn]"),"&lt;="&amp;BE$1,INDIRECT("Table1[Ende]"),"&gt;="&amp;BE$1,INDIRECT("Table1[Obergruppe ATC-Code]"),Tabelle3!$A70)</f>
        <v>10</v>
      </c>
      <c r="BF70">
        <f ca="1">COUNTIFS(INDIRECT("Table1[Beginn]"),"&lt;="&amp;BF$1,INDIRECT("Table1[Ende]"),"&gt;="&amp;BF$1,INDIRECT("Table1[Obergruppe ATC-Code]"),Tabelle3!$A70)</f>
        <v>10</v>
      </c>
      <c r="BG70">
        <f ca="1">COUNTIFS(INDIRECT("Table1[Beginn]"),"&lt;="&amp;BG$1,INDIRECT("Table1[Ende]"),"&gt;="&amp;BG$1,INDIRECT("Table1[Obergruppe ATC-Code]"),Tabelle3!$A70)</f>
        <v>7</v>
      </c>
      <c r="BH70">
        <f ca="1">COUNTIFS(INDIRECT("Table1[Beginn]"),"&lt;="&amp;BH$1,INDIRECT("Table1[Ende]"),"&gt;="&amp;BH$1,INDIRECT("Table1[Obergruppe ATC-Code]"),Tabelle3!$A70)</f>
        <v>11</v>
      </c>
      <c r="BI70">
        <f ca="1">COUNTIFS(INDIRECT("Table1[Beginn]"),"&lt;="&amp;BI$1,INDIRECT("Table1[Ende]"),"&gt;="&amp;BI$1,INDIRECT("Table1[Obergruppe ATC-Code]"),Tabelle3!$A70)</f>
        <v>14</v>
      </c>
      <c r="BJ70">
        <f ca="1">COUNTIFS(INDIRECT("Table1[Beginn]"),"&lt;="&amp;BJ$1,INDIRECT("Table1[Ende]"),"&gt;="&amp;BJ$1,INDIRECT("Table1[Obergruppe ATC-Code]"),Tabelle3!$A70)</f>
        <v>9</v>
      </c>
      <c r="BK70">
        <f ca="1">COUNTIFS(INDIRECT("Table1[Beginn]"),"&lt;="&amp;BK$1,INDIRECT("Table1[Ende]"),"&gt;="&amp;BK$1,INDIRECT("Table1[Obergruppe ATC-Code]"),Tabelle3!$A70)</f>
        <v>7</v>
      </c>
      <c r="BL70">
        <f ca="1">COUNTIFS(INDIRECT("Table1[Beginn]"),"&lt;="&amp;BL$1,INDIRECT("Table1[Ende]"),"&gt;="&amp;BL$1,INDIRECT("Table1[Obergruppe ATC-Code]"),Tabelle3!$A70)</f>
        <v>4</v>
      </c>
      <c r="BM70">
        <f ca="1">COUNTIFS(INDIRECT("Table1[Beginn]"),"&lt;="&amp;BM$1,INDIRECT("Table1[Ende]"),"&gt;="&amp;BM$1,INDIRECT("Table1[Obergruppe ATC-Code]"),Tabelle3!$A70)</f>
        <v>4</v>
      </c>
      <c r="BN70">
        <f ca="1">COUNTIFS(INDIRECT("Table1[Beginn]"),"&lt;="&amp;BN$1,INDIRECT("Table1[Ende]"),"&gt;="&amp;BN$1,INDIRECT("Table1[Obergruppe ATC-Code]"),Tabelle3!$A70)</f>
        <v>16</v>
      </c>
      <c r="BO70">
        <f ca="1">COUNTIFS(INDIRECT("Table1[Beginn]"),"&lt;="&amp;BO$1,INDIRECT("Table1[Ende]"),"&gt;="&amp;BO$1,INDIRECT("Table1[Obergruppe ATC-Code]"),Tabelle3!$A70)</f>
        <v>21</v>
      </c>
      <c r="BP70">
        <f ca="1">COUNTIFS(INDIRECT("Table1[Beginn]"),"&lt;="&amp;BP$1,INDIRECT("Table1[Ende]"),"&gt;="&amp;BP$1,INDIRECT("Table1[Obergruppe ATC-Code]"),Tabelle3!$A70)</f>
        <v>22</v>
      </c>
      <c r="BQ70">
        <f ca="1">COUNTIFS(INDIRECT("Table1[Beginn]"),"&lt;="&amp;BQ$1,INDIRECT("Table1[Ende]"),"&gt;="&amp;BQ$1,INDIRECT("Table1[Obergruppe ATC-Code]"),Tabelle3!$A70)</f>
        <v>25</v>
      </c>
      <c r="BR70">
        <f ca="1">COUNTIFS(INDIRECT("Table1[Beginn]"),"&lt;="&amp;BR$1,INDIRECT("Table1[Ende]"),"&gt;="&amp;BR$1,INDIRECT("Table1[Obergruppe ATC-Code]"),Tabelle3!$A70)</f>
        <v>29</v>
      </c>
      <c r="BS70">
        <f ca="1">COUNTIFS(INDIRECT("Table1[Beginn]"),"&lt;="&amp;BS$1,INDIRECT("Table1[Ende]"),"&gt;="&amp;BS$1,INDIRECT("Table1[Obergruppe ATC-Code]"),Tabelle3!$A70)</f>
        <v>37</v>
      </c>
      <c r="BT70">
        <f ca="1">COUNTIFS(INDIRECT("Table1[Beginn]"),"&lt;="&amp;BT$1,INDIRECT("Table1[Ende]"),"&gt;="&amp;BT$1,INDIRECT("Table1[Obergruppe ATC-Code]"),Tabelle3!$A70)</f>
        <v>36</v>
      </c>
      <c r="BU70">
        <f ca="1">COUNTIFS(INDIRECT("Table1[Beginn]"),"&lt;="&amp;BU$1,INDIRECT("Table1[Ende]"),"&gt;="&amp;BU$1,INDIRECT("Table1[Obergruppe ATC-Code]"),Tabelle3!$A70)</f>
        <v>34</v>
      </c>
      <c r="BV70">
        <f ca="1">COUNTIFS(INDIRECT("Table1[Beginn]"),"&lt;="&amp;BV$1,INDIRECT("Table1[Ende]"),"&gt;="&amp;BV$1,INDIRECT("Table1[Obergruppe ATC-Code]"),Tabelle3!$A70)</f>
        <v>30</v>
      </c>
      <c r="BW70">
        <f ca="1">COUNTIFS(INDIRECT("Table1[Beginn]"),"&lt;="&amp;BW$1,INDIRECT("Table1[Ende]"),"&gt;="&amp;BW$1,INDIRECT("Table1[Obergruppe ATC-Code]"),Tabelle3!$A70)</f>
        <v>35</v>
      </c>
      <c r="BX70">
        <f ca="1">COUNTIFS(INDIRECT("Table1[Beginn]"),"&lt;="&amp;BX$1,INDIRECT("Table1[Ende]"),"&gt;="&amp;BX$1,INDIRECT("Table1[Obergruppe ATC-Code]"),Tabelle3!$A70)</f>
        <v>36</v>
      </c>
      <c r="BY70">
        <f ca="1">COUNTIFS(INDIRECT("Table1[Beginn]"),"&lt;="&amp;BY$1,INDIRECT("Table1[Ende]"),"&gt;="&amp;BY$1,INDIRECT("Table1[Obergruppe ATC-Code]"),Tabelle3!$A70)</f>
        <v>49</v>
      </c>
      <c r="BZ70">
        <f ca="1">COUNTIFS(INDIRECT("Table1[Beginn]"),"&lt;="&amp;BZ$1,INDIRECT("Table1[Ende]"),"&gt;="&amp;BZ$1,INDIRECT("Table1[Obergruppe ATC-Code]"),Tabelle3!$A70)</f>
        <v>43</v>
      </c>
      <c r="CA70">
        <f ca="1">COUNTIFS(INDIRECT("Table1[Beginn]"),"&lt;="&amp;CA$1,INDIRECT("Table1[Ende]"),"&gt;="&amp;CA$1,INDIRECT("Table1[Obergruppe ATC-Code]"),Tabelle3!$A70)</f>
        <v>48</v>
      </c>
      <c r="CB70">
        <f ca="1">COUNTIFS(INDIRECT("Table1[Beginn]"),"&lt;="&amp;CB$1,INDIRECT("Table1[Ende]"),"&gt;="&amp;CB$1,INDIRECT("Table1[Obergruppe ATC-Code]"),Tabelle3!$A70)</f>
        <v>43</v>
      </c>
      <c r="CC70">
        <f ca="1">COUNTIFS(INDIRECT("Table1[Beginn]"),"&lt;="&amp;CC$1,INDIRECT("Table1[Ende]"),"&gt;="&amp;CC$1,INDIRECT("Table1[Obergruppe ATC-Code]"),Tabelle3!$A70)</f>
        <v>41</v>
      </c>
      <c r="CD70">
        <f ca="1">COUNTIFS(INDIRECT("Table1[Beginn]"),"&lt;="&amp;CD$1,INDIRECT("Table1[Ende]"),"&gt;="&amp;CD$1,INDIRECT("Table1[Obergruppe ATC-Code]"),Tabelle3!$A70)</f>
        <v>44</v>
      </c>
      <c r="CE70">
        <f ca="1">COUNTIFS(INDIRECT("Table1[Beginn]"),"&lt;="&amp;CE$1,INDIRECT("Table1[Ende]"),"&gt;="&amp;CE$1,INDIRECT("Table1[Obergruppe ATC-Code]"),Tabelle3!$A70)</f>
        <v>41</v>
      </c>
      <c r="CF70">
        <f ca="1">COUNTIFS(INDIRECT("Table1[Beginn]"),"&lt;="&amp;CF$1,INDIRECT("Table1[Ende]"),"&gt;="&amp;CF$1,INDIRECT("Table1[Obergruppe ATC-Code]"),Tabelle3!$A70)</f>
        <v>41</v>
      </c>
      <c r="CG70">
        <f ca="1">COUNTIFS(INDIRECT("Table1[Beginn]"),"&lt;="&amp;CG$1,INDIRECT("Table1[Ende]"),"&gt;="&amp;CG$1,INDIRECT("Table1[Obergruppe ATC-Code]"),Tabelle3!$A70)</f>
        <v>33</v>
      </c>
      <c r="CH70">
        <f ca="1">COUNTIFS(INDIRECT("Table1[Beginn]"),"&lt;="&amp;CH$1,INDIRECT("Table1[Ende]"),"&gt;="&amp;CH$1,INDIRECT("Table1[Obergruppe ATC-Code]"),Tabelle3!$A70)</f>
        <v>21</v>
      </c>
      <c r="CI70">
        <f ca="1">COUNTIFS(INDIRECT("Table1[Beginn]"),"&lt;="&amp;CI$1,INDIRECT("Table1[Ende]"),"&gt;="&amp;CI$1,INDIRECT("Table1[Obergruppe ATC-Code]"),Tabelle3!$A70)</f>
        <v>18</v>
      </c>
      <c r="CJ70">
        <f ca="1">COUNTIFS(INDIRECT("Table1[Beginn]"),"&lt;="&amp;CJ$1,INDIRECT("Table1[Ende]"),"&gt;="&amp;CJ$1,INDIRECT("Table1[Obergruppe ATC-Code]"),Tabelle3!$A70)</f>
        <v>13</v>
      </c>
      <c r="CK70">
        <f ca="1">COUNTIFS(INDIRECT("Table1[Beginn]"),"&lt;="&amp;CK$1,INDIRECT("Table1[Ende]"),"&gt;="&amp;CK$1,INDIRECT("Table1[Obergruppe ATC-Code]"),Tabelle3!$A70)</f>
        <v>6</v>
      </c>
      <c r="CL70">
        <f ca="1">COUNTIFS(INDIRECT("Table1[Beginn]"),"&lt;="&amp;CL$1,INDIRECT("Table1[Ende]"),"&gt;="&amp;CL$1,INDIRECT("Table1[Obergruppe ATC-Code]"),Tabelle3!$A70)</f>
        <v>2</v>
      </c>
      <c r="CM70">
        <f ca="1">COUNTIFS(INDIRECT("Table1[Beginn]"),"&lt;="&amp;CM$1,INDIRECT("Table1[Ende]"),"&gt;="&amp;CM$1,INDIRECT("Table1[Obergruppe ATC-Code]"),Tabelle3!$A70)</f>
        <v>2</v>
      </c>
      <c r="CN70">
        <f ca="1">COUNTIFS(INDIRECT("Table1[Beginn]"),"&lt;="&amp;CN$1,INDIRECT("Table1[Ende]"),"&gt;="&amp;CN$1,INDIRECT("Table1[Obergruppe ATC-Code]"),Tabelle3!$A70)</f>
        <v>2</v>
      </c>
      <c r="CO70">
        <f ca="1">COUNTIFS(INDIRECT("Table1[Beginn]"),"&lt;="&amp;CO$1,INDIRECT("Table1[Ende]"),"&gt;="&amp;CO$1,INDIRECT("Table1[Obergruppe ATC-Code]"),Tabelle3!$A70)</f>
        <v>2</v>
      </c>
      <c r="CP70">
        <f ca="1">COUNTIFS(INDIRECT("Table1[Beginn]"),"&lt;="&amp;CP$1,INDIRECT("Table1[Ende]"),"&gt;="&amp;CP$1,INDIRECT("Table1[Obergruppe ATC-Code]"),Tabelle3!$A70)</f>
        <v>2</v>
      </c>
      <c r="CQ70">
        <f ca="1">COUNTIFS(INDIRECT("Table1[Beginn]"),"&lt;="&amp;CQ$1,INDIRECT("Table1[Ende]"),"&gt;="&amp;CQ$1,INDIRECT("Table1[Obergruppe ATC-Code]"),Tabelle3!$A70)</f>
        <v>1</v>
      </c>
      <c r="CR70">
        <f ca="1">COUNTIFS(INDIRECT("Table1[Beginn]"),"&lt;="&amp;CR$1,INDIRECT("Table1[Ende]"),"&gt;="&amp;CR$1,INDIRECT("Table1[Obergruppe ATC-Code]"),Tabelle3!$A70)</f>
        <v>1</v>
      </c>
      <c r="CS70">
        <f ca="1">COUNTIFS(INDIRECT("Table1[Beginn]"),"&lt;="&amp;CS$1,INDIRECT("Table1[Ende]"),"&gt;="&amp;CS$1,INDIRECT("Table1[Obergruppe ATC-Code]"),Tabelle3!$A70)</f>
        <v>1</v>
      </c>
      <c r="CT70">
        <f ca="1">COUNTIFS(INDIRECT("Table1[Beginn]"),"&lt;="&amp;CT$1,INDIRECT("Table1[Ende]"),"&gt;="&amp;CT$1,INDIRECT("Table1[Obergruppe ATC-Code]"),Tabelle3!$A70)</f>
        <v>1</v>
      </c>
    </row>
    <row r="71" spans="1:98" ht="18">
      <c r="A71" s="9" t="s">
        <v>6910</v>
      </c>
      <c r="B71" s="10" t="s">
        <v>6911</v>
      </c>
      <c r="C71">
        <f ca="1">COUNTIFS(INDIRECT("Table1[Beginn]"),"&lt;="&amp;C$1,INDIRECT("Table1[Ende]"),"&gt;="&amp;C$1,INDIRECT("Table1[Obergruppe ATC-Code]"),Tabelle3!$A71)</f>
        <v>0</v>
      </c>
      <c r="D71">
        <f ca="1">COUNTIFS(INDIRECT("Table1[Beginn]"),"&lt;="&amp;D$1,INDIRECT("Table1[Ende]"),"&gt;="&amp;D$1,INDIRECT("Table1[Obergruppe ATC-Code]"),Tabelle3!$A71)</f>
        <v>0</v>
      </c>
      <c r="E71">
        <f ca="1">COUNTIFS(INDIRECT("Table1[Beginn]"),"&lt;="&amp;E$1,INDIRECT("Table1[Ende]"),"&gt;="&amp;E$1,INDIRECT("Table1[Obergruppe ATC-Code]"),Tabelle3!$A71)</f>
        <v>0</v>
      </c>
      <c r="F71">
        <f ca="1">COUNTIFS(INDIRECT("Table1[Beginn]"),"&lt;="&amp;F$1,INDIRECT("Table1[Ende]"),"&gt;="&amp;F$1,INDIRECT("Table1[Obergruppe ATC-Code]"),Tabelle3!$A71)</f>
        <v>0</v>
      </c>
      <c r="G71">
        <f ca="1">COUNTIFS(INDIRECT("Table1[Beginn]"),"&lt;="&amp;G$1,INDIRECT("Table1[Ende]"),"&gt;="&amp;G$1,INDIRECT("Table1[Obergruppe ATC-Code]"),Tabelle3!$A71)</f>
        <v>0</v>
      </c>
      <c r="H71">
        <f ca="1">COUNTIFS(INDIRECT("Table1[Beginn]"),"&lt;="&amp;H$1,INDIRECT("Table1[Ende]"),"&gt;="&amp;H$1,INDIRECT("Table1[Obergruppe ATC-Code]"),Tabelle3!$A71)</f>
        <v>0</v>
      </c>
      <c r="I71">
        <f ca="1">COUNTIFS(INDIRECT("Table1[Beginn]"),"&lt;="&amp;I$1,INDIRECT("Table1[Ende]"),"&gt;="&amp;I$1,INDIRECT("Table1[Obergruppe ATC-Code]"),Tabelle3!$A71)</f>
        <v>0</v>
      </c>
      <c r="J71">
        <f ca="1">COUNTIFS(INDIRECT("Table1[Beginn]"),"&lt;="&amp;J$1,INDIRECT("Table1[Ende]"),"&gt;="&amp;J$1,INDIRECT("Table1[Obergruppe ATC-Code]"),Tabelle3!$A71)</f>
        <v>1</v>
      </c>
      <c r="K71">
        <f ca="1">COUNTIFS(INDIRECT("Table1[Beginn]"),"&lt;="&amp;K$1,INDIRECT("Table1[Ende]"),"&gt;="&amp;K$1,INDIRECT("Table1[Obergruppe ATC-Code]"),Tabelle3!$A71)</f>
        <v>1</v>
      </c>
      <c r="L71">
        <f ca="1">COUNTIFS(INDIRECT("Table1[Beginn]"),"&lt;="&amp;L$1,INDIRECT("Table1[Ende]"),"&gt;="&amp;L$1,INDIRECT("Table1[Obergruppe ATC-Code]"),Tabelle3!$A71)</f>
        <v>2</v>
      </c>
      <c r="M71">
        <f ca="1">COUNTIFS(INDIRECT("Table1[Beginn]"),"&lt;="&amp;M$1,INDIRECT("Table1[Ende]"),"&gt;="&amp;M$1,INDIRECT("Table1[Obergruppe ATC-Code]"),Tabelle3!$A71)</f>
        <v>1</v>
      </c>
      <c r="N71">
        <f ca="1">COUNTIFS(INDIRECT("Table1[Beginn]"),"&lt;="&amp;N$1,INDIRECT("Table1[Ende]"),"&gt;="&amp;N$1,INDIRECT("Table1[Obergruppe ATC-Code]"),Tabelle3!$A71)</f>
        <v>1</v>
      </c>
      <c r="O71">
        <f ca="1">COUNTIFS(INDIRECT("Table1[Beginn]"),"&lt;="&amp;O$1,INDIRECT("Table1[Ende]"),"&gt;="&amp;O$1,INDIRECT("Table1[Obergruppe ATC-Code]"),Tabelle3!$A71)</f>
        <v>0</v>
      </c>
      <c r="P71">
        <f ca="1">COUNTIFS(INDIRECT("Table1[Beginn]"),"&lt;="&amp;P$1,INDIRECT("Table1[Ende]"),"&gt;="&amp;P$1,INDIRECT("Table1[Obergruppe ATC-Code]"),Tabelle3!$A71)</f>
        <v>0</v>
      </c>
      <c r="Q71">
        <f ca="1">COUNTIFS(INDIRECT("Table1[Beginn]"),"&lt;="&amp;Q$1,INDIRECT("Table1[Ende]"),"&gt;="&amp;Q$1,INDIRECT("Table1[Obergruppe ATC-Code]"),Tabelle3!$A71)</f>
        <v>0</v>
      </c>
      <c r="R71">
        <f ca="1">COUNTIFS(INDIRECT("Table1[Beginn]"),"&lt;="&amp;R$1,INDIRECT("Table1[Ende]"),"&gt;="&amp;R$1,INDIRECT("Table1[Obergruppe ATC-Code]"),Tabelle3!$A71)</f>
        <v>0</v>
      </c>
      <c r="S71">
        <f ca="1">COUNTIFS(INDIRECT("Table1[Beginn]"),"&lt;="&amp;S$1,INDIRECT("Table1[Ende]"),"&gt;="&amp;S$1,INDIRECT("Table1[Obergruppe ATC-Code]"),Tabelle3!$A71)</f>
        <v>0</v>
      </c>
      <c r="T71">
        <f ca="1">COUNTIFS(INDIRECT("Table1[Beginn]"),"&lt;="&amp;T$1,INDIRECT("Table1[Ende]"),"&gt;="&amp;T$1,INDIRECT("Table1[Obergruppe ATC-Code]"),Tabelle3!$A71)</f>
        <v>0</v>
      </c>
      <c r="U71">
        <f ca="1">COUNTIFS(INDIRECT("Table1[Beginn]"),"&lt;="&amp;U$1,INDIRECT("Table1[Ende]"),"&gt;="&amp;U$1,INDIRECT("Table1[Obergruppe ATC-Code]"),Tabelle3!$A71)</f>
        <v>0</v>
      </c>
      <c r="V71">
        <f ca="1">COUNTIFS(INDIRECT("Table1[Beginn]"),"&lt;="&amp;V$1,INDIRECT("Table1[Ende]"),"&gt;="&amp;V$1,INDIRECT("Table1[Obergruppe ATC-Code]"),Tabelle3!$A71)</f>
        <v>0</v>
      </c>
      <c r="W71">
        <f ca="1">COUNTIFS(INDIRECT("Table1[Beginn]"),"&lt;="&amp;W$1,INDIRECT("Table1[Ende]"),"&gt;="&amp;W$1,INDIRECT("Table1[Obergruppe ATC-Code]"),Tabelle3!$A71)</f>
        <v>0</v>
      </c>
      <c r="X71">
        <f ca="1">COUNTIFS(INDIRECT("Table1[Beginn]"),"&lt;="&amp;X$1,INDIRECT("Table1[Ende]"),"&gt;="&amp;X$1,INDIRECT("Table1[Obergruppe ATC-Code]"),Tabelle3!$A71)</f>
        <v>1</v>
      </c>
      <c r="Y71">
        <f ca="1">COUNTIFS(INDIRECT("Table1[Beginn]"),"&lt;="&amp;Y$1,INDIRECT("Table1[Ende]"),"&gt;="&amp;Y$1,INDIRECT("Table1[Obergruppe ATC-Code]"),Tabelle3!$A71)</f>
        <v>2</v>
      </c>
      <c r="Z71">
        <f ca="1">COUNTIFS(INDIRECT("Table1[Beginn]"),"&lt;="&amp;Z$1,INDIRECT("Table1[Ende]"),"&gt;="&amp;Z$1,INDIRECT("Table1[Obergruppe ATC-Code]"),Tabelle3!$A71)</f>
        <v>2</v>
      </c>
      <c r="AA71">
        <f ca="1">COUNTIFS(INDIRECT("Table1[Beginn]"),"&lt;="&amp;AA$1,INDIRECT("Table1[Ende]"),"&gt;="&amp;AA$1,INDIRECT("Table1[Obergruppe ATC-Code]"),Tabelle3!$A71)</f>
        <v>3</v>
      </c>
      <c r="AB71">
        <f ca="1">COUNTIFS(INDIRECT("Table1[Beginn]"),"&lt;="&amp;AB$1,INDIRECT("Table1[Ende]"),"&gt;="&amp;AB$1,INDIRECT("Table1[Obergruppe ATC-Code]"),Tabelle3!$A71)</f>
        <v>4</v>
      </c>
      <c r="AC71">
        <f ca="1">COUNTIFS(INDIRECT("Table1[Beginn]"),"&lt;="&amp;AC$1,INDIRECT("Table1[Ende]"),"&gt;="&amp;AC$1,INDIRECT("Table1[Obergruppe ATC-Code]"),Tabelle3!$A71)</f>
        <v>6</v>
      </c>
      <c r="AD71">
        <f ca="1">COUNTIFS(INDIRECT("Table1[Beginn]"),"&lt;="&amp;AD$1,INDIRECT("Table1[Ende]"),"&gt;="&amp;AD$1,INDIRECT("Table1[Obergruppe ATC-Code]"),Tabelle3!$A71)</f>
        <v>6</v>
      </c>
      <c r="AE71">
        <f ca="1">COUNTIFS(INDIRECT("Table1[Beginn]"),"&lt;="&amp;AE$1,INDIRECT("Table1[Ende]"),"&gt;="&amp;AE$1,INDIRECT("Table1[Obergruppe ATC-Code]"),Tabelle3!$A71)</f>
        <v>6</v>
      </c>
      <c r="AF71">
        <f ca="1">COUNTIFS(INDIRECT("Table1[Beginn]"),"&lt;="&amp;AF$1,INDIRECT("Table1[Ende]"),"&gt;="&amp;AF$1,INDIRECT("Table1[Obergruppe ATC-Code]"),Tabelle3!$A71)</f>
        <v>4</v>
      </c>
      <c r="AG71">
        <f ca="1">COUNTIFS(INDIRECT("Table1[Beginn]"),"&lt;="&amp;AG$1,INDIRECT("Table1[Ende]"),"&gt;="&amp;AG$1,INDIRECT("Table1[Obergruppe ATC-Code]"),Tabelle3!$A71)</f>
        <v>4</v>
      </c>
      <c r="AH71">
        <f ca="1">COUNTIFS(INDIRECT("Table1[Beginn]"),"&lt;="&amp;AH$1,INDIRECT("Table1[Ende]"),"&gt;="&amp;AH$1,INDIRECT("Table1[Obergruppe ATC-Code]"),Tabelle3!$A71)</f>
        <v>4</v>
      </c>
      <c r="AI71">
        <f ca="1">COUNTIFS(INDIRECT("Table1[Beginn]"),"&lt;="&amp;AI$1,INDIRECT("Table1[Ende]"),"&gt;="&amp;AI$1,INDIRECT("Table1[Obergruppe ATC-Code]"),Tabelle3!$A71)</f>
        <v>2</v>
      </c>
      <c r="AJ71">
        <f ca="1">COUNTIFS(INDIRECT("Table1[Beginn]"),"&lt;="&amp;AJ$1,INDIRECT("Table1[Ende]"),"&gt;="&amp;AJ$1,INDIRECT("Table1[Obergruppe ATC-Code]"),Tabelle3!$A71)</f>
        <v>12</v>
      </c>
      <c r="AK71">
        <f ca="1">COUNTIFS(INDIRECT("Table1[Beginn]"),"&lt;="&amp;AK$1,INDIRECT("Table1[Ende]"),"&gt;="&amp;AK$1,INDIRECT("Table1[Obergruppe ATC-Code]"),Tabelle3!$A71)</f>
        <v>13</v>
      </c>
      <c r="AL71">
        <f ca="1">COUNTIFS(INDIRECT("Table1[Beginn]"),"&lt;="&amp;AL$1,INDIRECT("Table1[Ende]"),"&gt;="&amp;AL$1,INDIRECT("Table1[Obergruppe ATC-Code]"),Tabelle3!$A71)</f>
        <v>15</v>
      </c>
      <c r="AM71">
        <f ca="1">COUNTIFS(INDIRECT("Table1[Beginn]"),"&lt;="&amp;AM$1,INDIRECT("Table1[Ende]"),"&gt;="&amp;AM$1,INDIRECT("Table1[Obergruppe ATC-Code]"),Tabelle3!$A71)</f>
        <v>25</v>
      </c>
      <c r="AN71">
        <f ca="1">COUNTIFS(INDIRECT("Table1[Beginn]"),"&lt;="&amp;AN$1,INDIRECT("Table1[Ende]"),"&gt;="&amp;AN$1,INDIRECT("Table1[Obergruppe ATC-Code]"),Tabelle3!$A71)</f>
        <v>24</v>
      </c>
      <c r="AO71">
        <f ca="1">COUNTIFS(INDIRECT("Table1[Beginn]"),"&lt;="&amp;AO$1,INDIRECT("Table1[Ende]"),"&gt;="&amp;AO$1,INDIRECT("Table1[Obergruppe ATC-Code]"),Tabelle3!$A71)</f>
        <v>25</v>
      </c>
      <c r="AP71">
        <f ca="1">COUNTIFS(INDIRECT("Table1[Beginn]"),"&lt;="&amp;AP$1,INDIRECT("Table1[Ende]"),"&gt;="&amp;AP$1,INDIRECT("Table1[Obergruppe ATC-Code]"),Tabelle3!$A71)</f>
        <v>26</v>
      </c>
      <c r="AQ71">
        <f ca="1">COUNTIFS(INDIRECT("Table1[Beginn]"),"&lt;="&amp;AQ$1,INDIRECT("Table1[Ende]"),"&gt;="&amp;AQ$1,INDIRECT("Table1[Obergruppe ATC-Code]"),Tabelle3!$A71)</f>
        <v>19</v>
      </c>
      <c r="AR71">
        <f ca="1">COUNTIFS(INDIRECT("Table1[Beginn]"),"&lt;="&amp;AR$1,INDIRECT("Table1[Ende]"),"&gt;="&amp;AR$1,INDIRECT("Table1[Obergruppe ATC-Code]"),Tabelle3!$A71)</f>
        <v>18</v>
      </c>
      <c r="AS71">
        <f ca="1">COUNTIFS(INDIRECT("Table1[Beginn]"),"&lt;="&amp;AS$1,INDIRECT("Table1[Ende]"),"&gt;="&amp;AS$1,INDIRECT("Table1[Obergruppe ATC-Code]"),Tabelle3!$A71)</f>
        <v>18</v>
      </c>
      <c r="AT71">
        <f ca="1">COUNTIFS(INDIRECT("Table1[Beginn]"),"&lt;="&amp;AT$1,INDIRECT("Table1[Ende]"),"&gt;="&amp;AT$1,INDIRECT("Table1[Obergruppe ATC-Code]"),Tabelle3!$A71)</f>
        <v>27</v>
      </c>
      <c r="AU71">
        <f ca="1">COUNTIFS(INDIRECT("Table1[Beginn]"),"&lt;="&amp;AU$1,INDIRECT("Table1[Ende]"),"&gt;="&amp;AU$1,INDIRECT("Table1[Obergruppe ATC-Code]"),Tabelle3!$A71)</f>
        <v>26</v>
      </c>
      <c r="AV71">
        <f ca="1">COUNTIFS(INDIRECT("Table1[Beginn]"),"&lt;="&amp;AV$1,INDIRECT("Table1[Ende]"),"&gt;="&amp;AV$1,INDIRECT("Table1[Obergruppe ATC-Code]"),Tabelle3!$A71)</f>
        <v>25</v>
      </c>
      <c r="AW71">
        <f ca="1">COUNTIFS(INDIRECT("Table1[Beginn]"),"&lt;="&amp;AW$1,INDIRECT("Table1[Ende]"),"&gt;="&amp;AW$1,INDIRECT("Table1[Obergruppe ATC-Code]"),Tabelle3!$A71)</f>
        <v>21</v>
      </c>
      <c r="AX71">
        <f ca="1">COUNTIFS(INDIRECT("Table1[Beginn]"),"&lt;="&amp;AX$1,INDIRECT("Table1[Ende]"),"&gt;="&amp;AX$1,INDIRECT("Table1[Obergruppe ATC-Code]"),Tabelle3!$A71)</f>
        <v>19</v>
      </c>
      <c r="AY71">
        <f ca="1">COUNTIFS(INDIRECT("Table1[Beginn]"),"&lt;="&amp;AY$1,INDIRECT("Table1[Ende]"),"&gt;="&amp;AY$1,INDIRECT("Table1[Obergruppe ATC-Code]"),Tabelle3!$A71)</f>
        <v>13</v>
      </c>
      <c r="AZ71">
        <f ca="1">COUNTIFS(INDIRECT("Table1[Beginn]"),"&lt;="&amp;AZ$1,INDIRECT("Table1[Ende]"),"&gt;="&amp;AZ$1,INDIRECT("Table1[Obergruppe ATC-Code]"),Tabelle3!$A71)</f>
        <v>14</v>
      </c>
      <c r="BA71">
        <f ca="1">COUNTIFS(INDIRECT("Table1[Beginn]"),"&lt;="&amp;BA$1,INDIRECT("Table1[Ende]"),"&gt;="&amp;BA$1,INDIRECT("Table1[Obergruppe ATC-Code]"),Tabelle3!$A71)</f>
        <v>15</v>
      </c>
      <c r="BB71">
        <f ca="1">COUNTIFS(INDIRECT("Table1[Beginn]"),"&lt;="&amp;BB$1,INDIRECT("Table1[Ende]"),"&gt;="&amp;BB$1,INDIRECT("Table1[Obergruppe ATC-Code]"),Tabelle3!$A71)</f>
        <v>11</v>
      </c>
      <c r="BC71">
        <f ca="1">COUNTIFS(INDIRECT("Table1[Beginn]"),"&lt;="&amp;BC$1,INDIRECT("Table1[Ende]"),"&gt;="&amp;BC$1,INDIRECT("Table1[Obergruppe ATC-Code]"),Tabelle3!$A71)</f>
        <v>11</v>
      </c>
      <c r="BD71">
        <f ca="1">COUNTIFS(INDIRECT("Table1[Beginn]"),"&lt;="&amp;BD$1,INDIRECT("Table1[Ende]"),"&gt;="&amp;BD$1,INDIRECT("Table1[Obergruppe ATC-Code]"),Tabelle3!$A71)</f>
        <v>12</v>
      </c>
      <c r="BE71">
        <f ca="1">COUNTIFS(INDIRECT("Table1[Beginn]"),"&lt;="&amp;BE$1,INDIRECT("Table1[Ende]"),"&gt;="&amp;BE$1,INDIRECT("Table1[Obergruppe ATC-Code]"),Tabelle3!$A71)</f>
        <v>8</v>
      </c>
      <c r="BF71">
        <f ca="1">COUNTIFS(INDIRECT("Table1[Beginn]"),"&lt;="&amp;BF$1,INDIRECT("Table1[Ende]"),"&gt;="&amp;BF$1,INDIRECT("Table1[Obergruppe ATC-Code]"),Tabelle3!$A71)</f>
        <v>7</v>
      </c>
      <c r="BG71">
        <f ca="1">COUNTIFS(INDIRECT("Table1[Beginn]"),"&lt;="&amp;BG$1,INDIRECT("Table1[Ende]"),"&gt;="&amp;BG$1,INDIRECT("Table1[Obergruppe ATC-Code]"),Tabelle3!$A71)</f>
        <v>6</v>
      </c>
      <c r="BH71">
        <f ca="1">COUNTIFS(INDIRECT("Table1[Beginn]"),"&lt;="&amp;BH$1,INDIRECT("Table1[Ende]"),"&gt;="&amp;BH$1,INDIRECT("Table1[Obergruppe ATC-Code]"),Tabelle3!$A71)</f>
        <v>6</v>
      </c>
      <c r="BI71">
        <f ca="1">COUNTIFS(INDIRECT("Table1[Beginn]"),"&lt;="&amp;BI$1,INDIRECT("Table1[Ende]"),"&gt;="&amp;BI$1,INDIRECT("Table1[Obergruppe ATC-Code]"),Tabelle3!$A71)</f>
        <v>9</v>
      </c>
      <c r="BJ71">
        <f ca="1">COUNTIFS(INDIRECT("Table1[Beginn]"),"&lt;="&amp;BJ$1,INDIRECT("Table1[Ende]"),"&gt;="&amp;BJ$1,INDIRECT("Table1[Obergruppe ATC-Code]"),Tabelle3!$A71)</f>
        <v>9</v>
      </c>
      <c r="BK71">
        <f ca="1">COUNTIFS(INDIRECT("Table1[Beginn]"),"&lt;="&amp;BK$1,INDIRECT("Table1[Ende]"),"&gt;="&amp;BK$1,INDIRECT("Table1[Obergruppe ATC-Code]"),Tabelle3!$A71)</f>
        <v>10</v>
      </c>
      <c r="BL71">
        <f ca="1">COUNTIFS(INDIRECT("Table1[Beginn]"),"&lt;="&amp;BL$1,INDIRECT("Table1[Ende]"),"&gt;="&amp;BL$1,INDIRECT("Table1[Obergruppe ATC-Code]"),Tabelle3!$A71)</f>
        <v>10</v>
      </c>
      <c r="BM71">
        <f ca="1">COUNTIFS(INDIRECT("Table1[Beginn]"),"&lt;="&amp;BM$1,INDIRECT("Table1[Ende]"),"&gt;="&amp;BM$1,INDIRECT("Table1[Obergruppe ATC-Code]"),Tabelle3!$A71)</f>
        <v>9</v>
      </c>
      <c r="BN71">
        <f ca="1">COUNTIFS(INDIRECT("Table1[Beginn]"),"&lt;="&amp;BN$1,INDIRECT("Table1[Ende]"),"&gt;="&amp;BN$1,INDIRECT("Table1[Obergruppe ATC-Code]"),Tabelle3!$A71)</f>
        <v>8</v>
      </c>
      <c r="BO71">
        <f ca="1">COUNTIFS(INDIRECT("Table1[Beginn]"),"&lt;="&amp;BO$1,INDIRECT("Table1[Ende]"),"&gt;="&amp;BO$1,INDIRECT("Table1[Obergruppe ATC-Code]"),Tabelle3!$A71)</f>
        <v>10</v>
      </c>
      <c r="BP71">
        <f ca="1">COUNTIFS(INDIRECT("Table1[Beginn]"),"&lt;="&amp;BP$1,INDIRECT("Table1[Ende]"),"&gt;="&amp;BP$1,INDIRECT("Table1[Obergruppe ATC-Code]"),Tabelle3!$A71)</f>
        <v>13</v>
      </c>
      <c r="BQ71">
        <f ca="1">COUNTIFS(INDIRECT("Table1[Beginn]"),"&lt;="&amp;BQ$1,INDIRECT("Table1[Ende]"),"&gt;="&amp;BQ$1,INDIRECT("Table1[Obergruppe ATC-Code]"),Tabelle3!$A71)</f>
        <v>14</v>
      </c>
      <c r="BR71">
        <f ca="1">COUNTIFS(INDIRECT("Table1[Beginn]"),"&lt;="&amp;BR$1,INDIRECT("Table1[Ende]"),"&gt;="&amp;BR$1,INDIRECT("Table1[Obergruppe ATC-Code]"),Tabelle3!$A71)</f>
        <v>13</v>
      </c>
      <c r="BS71">
        <f ca="1">COUNTIFS(INDIRECT("Table1[Beginn]"),"&lt;="&amp;BS$1,INDIRECT("Table1[Ende]"),"&gt;="&amp;BS$1,INDIRECT("Table1[Obergruppe ATC-Code]"),Tabelle3!$A71)</f>
        <v>8</v>
      </c>
      <c r="BT71">
        <f ca="1">COUNTIFS(INDIRECT("Table1[Beginn]"),"&lt;="&amp;BT$1,INDIRECT("Table1[Ende]"),"&gt;="&amp;BT$1,INDIRECT("Table1[Obergruppe ATC-Code]"),Tabelle3!$A71)</f>
        <v>7</v>
      </c>
      <c r="BU71">
        <f ca="1">COUNTIFS(INDIRECT("Table1[Beginn]"),"&lt;="&amp;BU$1,INDIRECT("Table1[Ende]"),"&gt;="&amp;BU$1,INDIRECT("Table1[Obergruppe ATC-Code]"),Tabelle3!$A71)</f>
        <v>5</v>
      </c>
      <c r="BV71">
        <f ca="1">COUNTIFS(INDIRECT("Table1[Beginn]"),"&lt;="&amp;BV$1,INDIRECT("Table1[Ende]"),"&gt;="&amp;BV$1,INDIRECT("Table1[Obergruppe ATC-Code]"),Tabelle3!$A71)</f>
        <v>8</v>
      </c>
      <c r="BW71">
        <f ca="1">COUNTIFS(INDIRECT("Table1[Beginn]"),"&lt;="&amp;BW$1,INDIRECT("Table1[Ende]"),"&gt;="&amp;BW$1,INDIRECT("Table1[Obergruppe ATC-Code]"),Tabelle3!$A71)</f>
        <v>18</v>
      </c>
      <c r="BX71">
        <f ca="1">COUNTIFS(INDIRECT("Table1[Beginn]"),"&lt;="&amp;BX$1,INDIRECT("Table1[Ende]"),"&gt;="&amp;BX$1,INDIRECT("Table1[Obergruppe ATC-Code]"),Tabelle3!$A71)</f>
        <v>26</v>
      </c>
      <c r="BY71">
        <f ca="1">COUNTIFS(INDIRECT("Table1[Beginn]"),"&lt;="&amp;BY$1,INDIRECT("Table1[Ende]"),"&gt;="&amp;BY$1,INDIRECT("Table1[Obergruppe ATC-Code]"),Tabelle3!$A71)</f>
        <v>21</v>
      </c>
      <c r="BZ71">
        <f ca="1">COUNTIFS(INDIRECT("Table1[Beginn]"),"&lt;="&amp;BZ$1,INDIRECT("Table1[Ende]"),"&gt;="&amp;BZ$1,INDIRECT("Table1[Obergruppe ATC-Code]"),Tabelle3!$A71)</f>
        <v>19</v>
      </c>
      <c r="CA71">
        <f ca="1">COUNTIFS(INDIRECT("Table1[Beginn]"),"&lt;="&amp;CA$1,INDIRECT("Table1[Ende]"),"&gt;="&amp;CA$1,INDIRECT("Table1[Obergruppe ATC-Code]"),Tabelle3!$A71)</f>
        <v>19</v>
      </c>
      <c r="CB71">
        <f ca="1">COUNTIFS(INDIRECT("Table1[Beginn]"),"&lt;="&amp;CB$1,INDIRECT("Table1[Ende]"),"&gt;="&amp;CB$1,INDIRECT("Table1[Obergruppe ATC-Code]"),Tabelle3!$A71)</f>
        <v>23</v>
      </c>
      <c r="CC71">
        <f ca="1">COUNTIFS(INDIRECT("Table1[Beginn]"),"&lt;="&amp;CC$1,INDIRECT("Table1[Ende]"),"&gt;="&amp;CC$1,INDIRECT("Table1[Obergruppe ATC-Code]"),Tabelle3!$A71)</f>
        <v>21</v>
      </c>
      <c r="CD71">
        <f ca="1">COUNTIFS(INDIRECT("Table1[Beginn]"),"&lt;="&amp;CD$1,INDIRECT("Table1[Ende]"),"&gt;="&amp;CD$1,INDIRECT("Table1[Obergruppe ATC-Code]"),Tabelle3!$A71)</f>
        <v>18</v>
      </c>
      <c r="CE71">
        <f ca="1">COUNTIFS(INDIRECT("Table1[Beginn]"),"&lt;="&amp;CE$1,INDIRECT("Table1[Ende]"),"&gt;="&amp;CE$1,INDIRECT("Table1[Obergruppe ATC-Code]"),Tabelle3!$A71)</f>
        <v>19</v>
      </c>
      <c r="CF71">
        <f ca="1">COUNTIFS(INDIRECT("Table1[Beginn]"),"&lt;="&amp;CF$1,INDIRECT("Table1[Ende]"),"&gt;="&amp;CF$1,INDIRECT("Table1[Obergruppe ATC-Code]"),Tabelle3!$A71)</f>
        <v>19</v>
      </c>
      <c r="CG71">
        <f ca="1">COUNTIFS(INDIRECT("Table1[Beginn]"),"&lt;="&amp;CG$1,INDIRECT("Table1[Ende]"),"&gt;="&amp;CG$1,INDIRECT("Table1[Obergruppe ATC-Code]"),Tabelle3!$A71)</f>
        <v>14</v>
      </c>
      <c r="CH71">
        <f ca="1">COUNTIFS(INDIRECT("Table1[Beginn]"),"&lt;="&amp;CH$1,INDIRECT("Table1[Ende]"),"&gt;="&amp;CH$1,INDIRECT("Table1[Obergruppe ATC-Code]"),Tabelle3!$A71)</f>
        <v>7</v>
      </c>
      <c r="CI71">
        <f ca="1">COUNTIFS(INDIRECT("Table1[Beginn]"),"&lt;="&amp;CI$1,INDIRECT("Table1[Ende]"),"&gt;="&amp;CI$1,INDIRECT("Table1[Obergruppe ATC-Code]"),Tabelle3!$A71)</f>
        <v>0</v>
      </c>
      <c r="CJ71">
        <f ca="1">COUNTIFS(INDIRECT("Table1[Beginn]"),"&lt;="&amp;CJ$1,INDIRECT("Table1[Ende]"),"&gt;="&amp;CJ$1,INDIRECT("Table1[Obergruppe ATC-Code]"),Tabelle3!$A71)</f>
        <v>0</v>
      </c>
      <c r="CK71">
        <f ca="1">COUNTIFS(INDIRECT("Table1[Beginn]"),"&lt;="&amp;CK$1,INDIRECT("Table1[Ende]"),"&gt;="&amp;CK$1,INDIRECT("Table1[Obergruppe ATC-Code]"),Tabelle3!$A71)</f>
        <v>0</v>
      </c>
      <c r="CL71">
        <f ca="1">COUNTIFS(INDIRECT("Table1[Beginn]"),"&lt;="&amp;CL$1,INDIRECT("Table1[Ende]"),"&gt;="&amp;CL$1,INDIRECT("Table1[Obergruppe ATC-Code]"),Tabelle3!$A71)</f>
        <v>0</v>
      </c>
      <c r="CM71">
        <f ca="1">COUNTIFS(INDIRECT("Table1[Beginn]"),"&lt;="&amp;CM$1,INDIRECT("Table1[Ende]"),"&gt;="&amp;CM$1,INDIRECT("Table1[Obergruppe ATC-Code]"),Tabelle3!$A71)</f>
        <v>0</v>
      </c>
      <c r="CN71">
        <f ca="1">COUNTIFS(INDIRECT("Table1[Beginn]"),"&lt;="&amp;CN$1,INDIRECT("Table1[Ende]"),"&gt;="&amp;CN$1,INDIRECT("Table1[Obergruppe ATC-Code]"),Tabelle3!$A71)</f>
        <v>0</v>
      </c>
      <c r="CO71">
        <f ca="1">COUNTIFS(INDIRECT("Table1[Beginn]"),"&lt;="&amp;CO$1,INDIRECT("Table1[Ende]"),"&gt;="&amp;CO$1,INDIRECT("Table1[Obergruppe ATC-Code]"),Tabelle3!$A71)</f>
        <v>0</v>
      </c>
      <c r="CP71">
        <f ca="1">COUNTIFS(INDIRECT("Table1[Beginn]"),"&lt;="&amp;CP$1,INDIRECT("Table1[Ende]"),"&gt;="&amp;CP$1,INDIRECT("Table1[Obergruppe ATC-Code]"),Tabelle3!$A71)</f>
        <v>0</v>
      </c>
      <c r="CQ71">
        <f ca="1">COUNTIFS(INDIRECT("Table1[Beginn]"),"&lt;="&amp;CQ$1,INDIRECT("Table1[Ende]"),"&gt;="&amp;CQ$1,INDIRECT("Table1[Obergruppe ATC-Code]"),Tabelle3!$A71)</f>
        <v>0</v>
      </c>
      <c r="CR71">
        <f ca="1">COUNTIFS(INDIRECT("Table1[Beginn]"),"&lt;="&amp;CR$1,INDIRECT("Table1[Ende]"),"&gt;="&amp;CR$1,INDIRECT("Table1[Obergruppe ATC-Code]"),Tabelle3!$A71)</f>
        <v>0</v>
      </c>
      <c r="CS71">
        <f ca="1">COUNTIFS(INDIRECT("Table1[Beginn]"),"&lt;="&amp;CS$1,INDIRECT("Table1[Ende]"),"&gt;="&amp;CS$1,INDIRECT("Table1[Obergruppe ATC-Code]"),Tabelle3!$A71)</f>
        <v>0</v>
      </c>
      <c r="CT71">
        <f ca="1">COUNTIFS(INDIRECT("Table1[Beginn]"),"&lt;="&amp;CT$1,INDIRECT("Table1[Ende]"),"&gt;="&amp;CT$1,INDIRECT("Table1[Obergruppe ATC-Code]"),Tabelle3!$A71)</f>
        <v>0</v>
      </c>
    </row>
    <row r="72" spans="1:98" ht="18">
      <c r="A72" s="7" t="s">
        <v>6912</v>
      </c>
      <c r="B72" s="8" t="s">
        <v>6913</v>
      </c>
      <c r="C72">
        <f ca="1">COUNTIFS(INDIRECT("Table1[Beginn]"),"&lt;="&amp;C$1,INDIRECT("Table1[Ende]"),"&gt;="&amp;C$1,INDIRECT("Table1[Obergruppe ATC-Code]"),Tabelle3!$A72)</f>
        <v>0</v>
      </c>
      <c r="D72">
        <f ca="1">COUNTIFS(INDIRECT("Table1[Beginn]"),"&lt;="&amp;D$1,INDIRECT("Table1[Ende]"),"&gt;="&amp;D$1,INDIRECT("Table1[Obergruppe ATC-Code]"),Tabelle3!$A72)</f>
        <v>0</v>
      </c>
      <c r="E72">
        <f ca="1">COUNTIFS(INDIRECT("Table1[Beginn]"),"&lt;="&amp;E$1,INDIRECT("Table1[Ende]"),"&gt;="&amp;E$1,INDIRECT("Table1[Obergruppe ATC-Code]"),Tabelle3!$A72)</f>
        <v>0</v>
      </c>
      <c r="F72">
        <f ca="1">COUNTIFS(INDIRECT("Table1[Beginn]"),"&lt;="&amp;F$1,INDIRECT("Table1[Ende]"),"&gt;="&amp;F$1,INDIRECT("Table1[Obergruppe ATC-Code]"),Tabelle3!$A72)</f>
        <v>0</v>
      </c>
      <c r="G72">
        <f ca="1">COUNTIFS(INDIRECT("Table1[Beginn]"),"&lt;="&amp;G$1,INDIRECT("Table1[Ende]"),"&gt;="&amp;G$1,INDIRECT("Table1[Obergruppe ATC-Code]"),Tabelle3!$A72)</f>
        <v>0</v>
      </c>
      <c r="H72">
        <f ca="1">COUNTIFS(INDIRECT("Table1[Beginn]"),"&lt;="&amp;H$1,INDIRECT("Table1[Ende]"),"&gt;="&amp;H$1,INDIRECT("Table1[Obergruppe ATC-Code]"),Tabelle3!$A72)</f>
        <v>0</v>
      </c>
      <c r="I72">
        <f ca="1">COUNTIFS(INDIRECT("Table1[Beginn]"),"&lt;="&amp;I$1,INDIRECT("Table1[Ende]"),"&gt;="&amp;I$1,INDIRECT("Table1[Obergruppe ATC-Code]"),Tabelle3!$A72)</f>
        <v>0</v>
      </c>
      <c r="J72">
        <f ca="1">COUNTIFS(INDIRECT("Table1[Beginn]"),"&lt;="&amp;J$1,INDIRECT("Table1[Ende]"),"&gt;="&amp;J$1,INDIRECT("Table1[Obergruppe ATC-Code]"),Tabelle3!$A72)</f>
        <v>0</v>
      </c>
      <c r="K72">
        <f ca="1">COUNTIFS(INDIRECT("Table1[Beginn]"),"&lt;="&amp;K$1,INDIRECT("Table1[Ende]"),"&gt;="&amp;K$1,INDIRECT("Table1[Obergruppe ATC-Code]"),Tabelle3!$A72)</f>
        <v>0</v>
      </c>
      <c r="L72">
        <f ca="1">COUNTIFS(INDIRECT("Table1[Beginn]"),"&lt;="&amp;L$1,INDIRECT("Table1[Ende]"),"&gt;="&amp;L$1,INDIRECT("Table1[Obergruppe ATC-Code]"),Tabelle3!$A72)</f>
        <v>0</v>
      </c>
      <c r="M72">
        <f ca="1">COUNTIFS(INDIRECT("Table1[Beginn]"),"&lt;="&amp;M$1,INDIRECT("Table1[Ende]"),"&gt;="&amp;M$1,INDIRECT("Table1[Obergruppe ATC-Code]"),Tabelle3!$A72)</f>
        <v>0</v>
      </c>
      <c r="N72">
        <f ca="1">COUNTIFS(INDIRECT("Table1[Beginn]"),"&lt;="&amp;N$1,INDIRECT("Table1[Ende]"),"&gt;="&amp;N$1,INDIRECT("Table1[Obergruppe ATC-Code]"),Tabelle3!$A72)</f>
        <v>0</v>
      </c>
      <c r="O72">
        <f ca="1">COUNTIFS(INDIRECT("Table1[Beginn]"),"&lt;="&amp;O$1,INDIRECT("Table1[Ende]"),"&gt;="&amp;O$1,INDIRECT("Table1[Obergruppe ATC-Code]"),Tabelle3!$A72)</f>
        <v>0</v>
      </c>
      <c r="P72">
        <f ca="1">COUNTIFS(INDIRECT("Table1[Beginn]"),"&lt;="&amp;P$1,INDIRECT("Table1[Ende]"),"&gt;="&amp;P$1,INDIRECT("Table1[Obergruppe ATC-Code]"),Tabelle3!$A72)</f>
        <v>0</v>
      </c>
      <c r="Q72">
        <f ca="1">COUNTIFS(INDIRECT("Table1[Beginn]"),"&lt;="&amp;Q$1,INDIRECT("Table1[Ende]"),"&gt;="&amp;Q$1,INDIRECT("Table1[Obergruppe ATC-Code]"),Tabelle3!$A72)</f>
        <v>0</v>
      </c>
      <c r="R72">
        <f ca="1">COUNTIFS(INDIRECT("Table1[Beginn]"),"&lt;="&amp;R$1,INDIRECT("Table1[Ende]"),"&gt;="&amp;R$1,INDIRECT("Table1[Obergruppe ATC-Code]"),Tabelle3!$A72)</f>
        <v>0</v>
      </c>
      <c r="S72">
        <f ca="1">COUNTIFS(INDIRECT("Table1[Beginn]"),"&lt;="&amp;S$1,INDIRECT("Table1[Ende]"),"&gt;="&amp;S$1,INDIRECT("Table1[Obergruppe ATC-Code]"),Tabelle3!$A72)</f>
        <v>0</v>
      </c>
      <c r="T72">
        <f ca="1">COUNTIFS(INDIRECT("Table1[Beginn]"),"&lt;="&amp;T$1,INDIRECT("Table1[Ende]"),"&gt;="&amp;T$1,INDIRECT("Table1[Obergruppe ATC-Code]"),Tabelle3!$A72)</f>
        <v>0</v>
      </c>
      <c r="U72">
        <f ca="1">COUNTIFS(INDIRECT("Table1[Beginn]"),"&lt;="&amp;U$1,INDIRECT("Table1[Ende]"),"&gt;="&amp;U$1,INDIRECT("Table1[Obergruppe ATC-Code]"),Tabelle3!$A72)</f>
        <v>0</v>
      </c>
      <c r="V72">
        <f ca="1">COUNTIFS(INDIRECT("Table1[Beginn]"),"&lt;="&amp;V$1,INDIRECT("Table1[Ende]"),"&gt;="&amp;V$1,INDIRECT("Table1[Obergruppe ATC-Code]"),Tabelle3!$A72)</f>
        <v>0</v>
      </c>
      <c r="W72">
        <f ca="1">COUNTIFS(INDIRECT("Table1[Beginn]"),"&lt;="&amp;W$1,INDIRECT("Table1[Ende]"),"&gt;="&amp;W$1,INDIRECT("Table1[Obergruppe ATC-Code]"),Tabelle3!$A72)</f>
        <v>0</v>
      </c>
      <c r="X72">
        <f ca="1">COUNTIFS(INDIRECT("Table1[Beginn]"),"&lt;="&amp;X$1,INDIRECT("Table1[Ende]"),"&gt;="&amp;X$1,INDIRECT("Table1[Obergruppe ATC-Code]"),Tabelle3!$A72)</f>
        <v>0</v>
      </c>
      <c r="Y72">
        <f ca="1">COUNTIFS(INDIRECT("Table1[Beginn]"),"&lt;="&amp;Y$1,INDIRECT("Table1[Ende]"),"&gt;="&amp;Y$1,INDIRECT("Table1[Obergruppe ATC-Code]"),Tabelle3!$A72)</f>
        <v>1</v>
      </c>
      <c r="Z72">
        <f ca="1">COUNTIFS(INDIRECT("Table1[Beginn]"),"&lt;="&amp;Z$1,INDIRECT("Table1[Ende]"),"&gt;="&amp;Z$1,INDIRECT("Table1[Obergruppe ATC-Code]"),Tabelle3!$A72)</f>
        <v>5</v>
      </c>
      <c r="AA72">
        <f ca="1">COUNTIFS(INDIRECT("Table1[Beginn]"),"&lt;="&amp;AA$1,INDIRECT("Table1[Ende]"),"&gt;="&amp;AA$1,INDIRECT("Table1[Obergruppe ATC-Code]"),Tabelle3!$A72)</f>
        <v>5</v>
      </c>
      <c r="AB72">
        <f ca="1">COUNTIFS(INDIRECT("Table1[Beginn]"),"&lt;="&amp;AB$1,INDIRECT("Table1[Ende]"),"&gt;="&amp;AB$1,INDIRECT("Table1[Obergruppe ATC-Code]"),Tabelle3!$A72)</f>
        <v>5</v>
      </c>
      <c r="AC72">
        <f ca="1">COUNTIFS(INDIRECT("Table1[Beginn]"),"&lt;="&amp;AC$1,INDIRECT("Table1[Ende]"),"&gt;="&amp;AC$1,INDIRECT("Table1[Obergruppe ATC-Code]"),Tabelle3!$A72)</f>
        <v>9</v>
      </c>
      <c r="AD72">
        <f ca="1">COUNTIFS(INDIRECT("Table1[Beginn]"),"&lt;="&amp;AD$1,INDIRECT("Table1[Ende]"),"&gt;="&amp;AD$1,INDIRECT("Table1[Obergruppe ATC-Code]"),Tabelle3!$A72)</f>
        <v>9</v>
      </c>
      <c r="AE72">
        <f ca="1">COUNTIFS(INDIRECT("Table1[Beginn]"),"&lt;="&amp;AE$1,INDIRECT("Table1[Ende]"),"&gt;="&amp;AE$1,INDIRECT("Table1[Obergruppe ATC-Code]"),Tabelle3!$A72)</f>
        <v>8</v>
      </c>
      <c r="AF72">
        <f ca="1">COUNTIFS(INDIRECT("Table1[Beginn]"),"&lt;="&amp;AF$1,INDIRECT("Table1[Ende]"),"&gt;="&amp;AF$1,INDIRECT("Table1[Obergruppe ATC-Code]"),Tabelle3!$A72)</f>
        <v>8</v>
      </c>
      <c r="AG72">
        <f ca="1">COUNTIFS(INDIRECT("Table1[Beginn]"),"&lt;="&amp;AG$1,INDIRECT("Table1[Ende]"),"&gt;="&amp;AG$1,INDIRECT("Table1[Obergruppe ATC-Code]"),Tabelle3!$A72)</f>
        <v>8</v>
      </c>
      <c r="AH72">
        <f ca="1">COUNTIFS(INDIRECT("Table1[Beginn]"),"&lt;="&amp;AH$1,INDIRECT("Table1[Ende]"),"&gt;="&amp;AH$1,INDIRECT("Table1[Obergruppe ATC-Code]"),Tabelle3!$A72)</f>
        <v>8</v>
      </c>
      <c r="AI72">
        <f ca="1">COUNTIFS(INDIRECT("Table1[Beginn]"),"&lt;="&amp;AI$1,INDIRECT("Table1[Ende]"),"&gt;="&amp;AI$1,INDIRECT("Table1[Obergruppe ATC-Code]"),Tabelle3!$A72)</f>
        <v>8</v>
      </c>
      <c r="AJ72">
        <f ca="1">COUNTIFS(INDIRECT("Table1[Beginn]"),"&lt;="&amp;AJ$1,INDIRECT("Table1[Ende]"),"&gt;="&amp;AJ$1,INDIRECT("Table1[Obergruppe ATC-Code]"),Tabelle3!$A72)</f>
        <v>9</v>
      </c>
      <c r="AK72">
        <f ca="1">COUNTIFS(INDIRECT("Table1[Beginn]"),"&lt;="&amp;AK$1,INDIRECT("Table1[Ende]"),"&gt;="&amp;AK$1,INDIRECT("Table1[Obergruppe ATC-Code]"),Tabelle3!$A72)</f>
        <v>9</v>
      </c>
      <c r="AL72">
        <f ca="1">COUNTIFS(INDIRECT("Table1[Beginn]"),"&lt;="&amp;AL$1,INDIRECT("Table1[Ende]"),"&gt;="&amp;AL$1,INDIRECT("Table1[Obergruppe ATC-Code]"),Tabelle3!$A72)</f>
        <v>12</v>
      </c>
      <c r="AM72">
        <f ca="1">COUNTIFS(INDIRECT("Table1[Beginn]"),"&lt;="&amp;AM$1,INDIRECT("Table1[Ende]"),"&gt;="&amp;AM$1,INDIRECT("Table1[Obergruppe ATC-Code]"),Tabelle3!$A72)</f>
        <v>14</v>
      </c>
      <c r="AN72">
        <f ca="1">COUNTIFS(INDIRECT("Table1[Beginn]"),"&lt;="&amp;AN$1,INDIRECT("Table1[Ende]"),"&gt;="&amp;AN$1,INDIRECT("Table1[Obergruppe ATC-Code]"),Tabelle3!$A72)</f>
        <v>17</v>
      </c>
      <c r="AO72">
        <f ca="1">COUNTIFS(INDIRECT("Table1[Beginn]"),"&lt;="&amp;AO$1,INDIRECT("Table1[Ende]"),"&gt;="&amp;AO$1,INDIRECT("Table1[Obergruppe ATC-Code]"),Tabelle3!$A72)</f>
        <v>14</v>
      </c>
      <c r="AP72">
        <f ca="1">COUNTIFS(INDIRECT("Table1[Beginn]"),"&lt;="&amp;AP$1,INDIRECT("Table1[Ende]"),"&gt;="&amp;AP$1,INDIRECT("Table1[Obergruppe ATC-Code]"),Tabelle3!$A72)</f>
        <v>11</v>
      </c>
      <c r="AQ72">
        <f ca="1">COUNTIFS(INDIRECT("Table1[Beginn]"),"&lt;="&amp;AQ$1,INDIRECT("Table1[Ende]"),"&gt;="&amp;AQ$1,INDIRECT("Table1[Obergruppe ATC-Code]"),Tabelle3!$A72)</f>
        <v>11</v>
      </c>
      <c r="AR72">
        <f ca="1">COUNTIFS(INDIRECT("Table1[Beginn]"),"&lt;="&amp;AR$1,INDIRECT("Table1[Ende]"),"&gt;="&amp;AR$1,INDIRECT("Table1[Obergruppe ATC-Code]"),Tabelle3!$A72)</f>
        <v>15</v>
      </c>
      <c r="AS72">
        <f ca="1">COUNTIFS(INDIRECT("Table1[Beginn]"),"&lt;="&amp;AS$1,INDIRECT("Table1[Ende]"),"&gt;="&amp;AS$1,INDIRECT("Table1[Obergruppe ATC-Code]"),Tabelle3!$A72)</f>
        <v>15</v>
      </c>
      <c r="AT72">
        <f ca="1">COUNTIFS(INDIRECT("Table1[Beginn]"),"&lt;="&amp;AT$1,INDIRECT("Table1[Ende]"),"&gt;="&amp;AT$1,INDIRECT("Table1[Obergruppe ATC-Code]"),Tabelle3!$A72)</f>
        <v>14</v>
      </c>
      <c r="AU72">
        <f ca="1">COUNTIFS(INDIRECT("Table1[Beginn]"),"&lt;="&amp;AU$1,INDIRECT("Table1[Ende]"),"&gt;="&amp;AU$1,INDIRECT("Table1[Obergruppe ATC-Code]"),Tabelle3!$A72)</f>
        <v>11</v>
      </c>
      <c r="AV72">
        <f ca="1">COUNTIFS(INDIRECT("Table1[Beginn]"),"&lt;="&amp;AV$1,INDIRECT("Table1[Ende]"),"&gt;="&amp;AV$1,INDIRECT("Table1[Obergruppe ATC-Code]"),Tabelle3!$A72)</f>
        <v>10</v>
      </c>
      <c r="AW72">
        <f ca="1">COUNTIFS(INDIRECT("Table1[Beginn]"),"&lt;="&amp;AW$1,INDIRECT("Table1[Ende]"),"&gt;="&amp;AW$1,INDIRECT("Table1[Obergruppe ATC-Code]"),Tabelle3!$A72)</f>
        <v>10</v>
      </c>
      <c r="AX72">
        <f ca="1">COUNTIFS(INDIRECT("Table1[Beginn]"),"&lt;="&amp;AX$1,INDIRECT("Table1[Ende]"),"&gt;="&amp;AX$1,INDIRECT("Table1[Obergruppe ATC-Code]"),Tabelle3!$A72)</f>
        <v>9</v>
      </c>
      <c r="AY72">
        <f ca="1">COUNTIFS(INDIRECT("Table1[Beginn]"),"&lt;="&amp;AY$1,INDIRECT("Table1[Ende]"),"&gt;="&amp;AY$1,INDIRECT("Table1[Obergruppe ATC-Code]"),Tabelle3!$A72)</f>
        <v>11</v>
      </c>
      <c r="AZ72">
        <f ca="1">COUNTIFS(INDIRECT("Table1[Beginn]"),"&lt;="&amp;AZ$1,INDIRECT("Table1[Ende]"),"&gt;="&amp;AZ$1,INDIRECT("Table1[Obergruppe ATC-Code]"),Tabelle3!$A72)</f>
        <v>9</v>
      </c>
      <c r="BA72">
        <f ca="1">COUNTIFS(INDIRECT("Table1[Beginn]"),"&lt;="&amp;BA$1,INDIRECT("Table1[Ende]"),"&gt;="&amp;BA$1,INDIRECT("Table1[Obergruppe ATC-Code]"),Tabelle3!$A72)</f>
        <v>10</v>
      </c>
      <c r="BB72">
        <f ca="1">COUNTIFS(INDIRECT("Table1[Beginn]"),"&lt;="&amp;BB$1,INDIRECT("Table1[Ende]"),"&gt;="&amp;BB$1,INDIRECT("Table1[Obergruppe ATC-Code]"),Tabelle3!$A72)</f>
        <v>9</v>
      </c>
      <c r="BC72">
        <f ca="1">COUNTIFS(INDIRECT("Table1[Beginn]"),"&lt;="&amp;BC$1,INDIRECT("Table1[Ende]"),"&gt;="&amp;BC$1,INDIRECT("Table1[Obergruppe ATC-Code]"),Tabelle3!$A72)</f>
        <v>7</v>
      </c>
      <c r="BD72">
        <f ca="1">COUNTIFS(INDIRECT("Table1[Beginn]"),"&lt;="&amp;BD$1,INDIRECT("Table1[Ende]"),"&gt;="&amp;BD$1,INDIRECT("Table1[Obergruppe ATC-Code]"),Tabelle3!$A72)</f>
        <v>5</v>
      </c>
      <c r="BE72">
        <f ca="1">COUNTIFS(INDIRECT("Table1[Beginn]"),"&lt;="&amp;BE$1,INDIRECT("Table1[Ende]"),"&gt;="&amp;BE$1,INDIRECT("Table1[Obergruppe ATC-Code]"),Tabelle3!$A72)</f>
        <v>2</v>
      </c>
      <c r="BF72">
        <f ca="1">COUNTIFS(INDIRECT("Table1[Beginn]"),"&lt;="&amp;BF$1,INDIRECT("Table1[Ende]"),"&gt;="&amp;BF$1,INDIRECT("Table1[Obergruppe ATC-Code]"),Tabelle3!$A72)</f>
        <v>4</v>
      </c>
      <c r="BG72">
        <f ca="1">COUNTIFS(INDIRECT("Table1[Beginn]"),"&lt;="&amp;BG$1,INDIRECT("Table1[Ende]"),"&gt;="&amp;BG$1,INDIRECT("Table1[Obergruppe ATC-Code]"),Tabelle3!$A72)</f>
        <v>2</v>
      </c>
      <c r="BH72">
        <f ca="1">COUNTIFS(INDIRECT("Table1[Beginn]"),"&lt;="&amp;BH$1,INDIRECT("Table1[Ende]"),"&gt;="&amp;BH$1,INDIRECT("Table1[Obergruppe ATC-Code]"),Tabelle3!$A72)</f>
        <v>8</v>
      </c>
      <c r="BI72">
        <f ca="1">COUNTIFS(INDIRECT("Table1[Beginn]"),"&lt;="&amp;BI$1,INDIRECT("Table1[Ende]"),"&gt;="&amp;BI$1,INDIRECT("Table1[Obergruppe ATC-Code]"),Tabelle3!$A72)</f>
        <v>7</v>
      </c>
      <c r="BJ72">
        <f ca="1">COUNTIFS(INDIRECT("Table1[Beginn]"),"&lt;="&amp;BJ$1,INDIRECT("Table1[Ende]"),"&gt;="&amp;BJ$1,INDIRECT("Table1[Obergruppe ATC-Code]"),Tabelle3!$A72)</f>
        <v>7</v>
      </c>
      <c r="BK72">
        <f ca="1">COUNTIFS(INDIRECT("Table1[Beginn]"),"&lt;="&amp;BK$1,INDIRECT("Table1[Ende]"),"&gt;="&amp;BK$1,INDIRECT("Table1[Obergruppe ATC-Code]"),Tabelle3!$A72)</f>
        <v>7</v>
      </c>
      <c r="BL72">
        <f ca="1">COUNTIFS(INDIRECT("Table1[Beginn]"),"&lt;="&amp;BL$1,INDIRECT("Table1[Ende]"),"&gt;="&amp;BL$1,INDIRECT("Table1[Obergruppe ATC-Code]"),Tabelle3!$A72)</f>
        <v>7</v>
      </c>
      <c r="BM72">
        <f ca="1">COUNTIFS(INDIRECT("Table1[Beginn]"),"&lt;="&amp;BM$1,INDIRECT("Table1[Ende]"),"&gt;="&amp;BM$1,INDIRECT("Table1[Obergruppe ATC-Code]"),Tabelle3!$A72)</f>
        <v>6</v>
      </c>
      <c r="BN72">
        <f ca="1">COUNTIFS(INDIRECT("Table1[Beginn]"),"&lt;="&amp;BN$1,INDIRECT("Table1[Ende]"),"&gt;="&amp;BN$1,INDIRECT("Table1[Obergruppe ATC-Code]"),Tabelle3!$A72)</f>
        <v>6</v>
      </c>
      <c r="BO72">
        <f ca="1">COUNTIFS(INDIRECT("Table1[Beginn]"),"&lt;="&amp;BO$1,INDIRECT("Table1[Ende]"),"&gt;="&amp;BO$1,INDIRECT("Table1[Obergruppe ATC-Code]"),Tabelle3!$A72)</f>
        <v>5</v>
      </c>
      <c r="BP72">
        <f ca="1">COUNTIFS(INDIRECT("Table1[Beginn]"),"&lt;="&amp;BP$1,INDIRECT("Table1[Ende]"),"&gt;="&amp;BP$1,INDIRECT("Table1[Obergruppe ATC-Code]"),Tabelle3!$A72)</f>
        <v>6</v>
      </c>
      <c r="BQ72">
        <f ca="1">COUNTIFS(INDIRECT("Table1[Beginn]"),"&lt;="&amp;BQ$1,INDIRECT("Table1[Ende]"),"&gt;="&amp;BQ$1,INDIRECT("Table1[Obergruppe ATC-Code]"),Tabelle3!$A72)</f>
        <v>6</v>
      </c>
      <c r="BR72">
        <f ca="1">COUNTIFS(INDIRECT("Table1[Beginn]"),"&lt;="&amp;BR$1,INDIRECT("Table1[Ende]"),"&gt;="&amp;BR$1,INDIRECT("Table1[Obergruppe ATC-Code]"),Tabelle3!$A72)</f>
        <v>5</v>
      </c>
      <c r="BS72">
        <f ca="1">COUNTIFS(INDIRECT("Table1[Beginn]"),"&lt;="&amp;BS$1,INDIRECT("Table1[Ende]"),"&gt;="&amp;BS$1,INDIRECT("Table1[Obergruppe ATC-Code]"),Tabelle3!$A72)</f>
        <v>6</v>
      </c>
      <c r="BT72">
        <f ca="1">COUNTIFS(INDIRECT("Table1[Beginn]"),"&lt;="&amp;BT$1,INDIRECT("Table1[Ende]"),"&gt;="&amp;BT$1,INDIRECT("Table1[Obergruppe ATC-Code]"),Tabelle3!$A72)</f>
        <v>6</v>
      </c>
      <c r="BU72">
        <f ca="1">COUNTIFS(INDIRECT("Table1[Beginn]"),"&lt;="&amp;BU$1,INDIRECT("Table1[Ende]"),"&gt;="&amp;BU$1,INDIRECT("Table1[Obergruppe ATC-Code]"),Tabelle3!$A72)</f>
        <v>3</v>
      </c>
      <c r="BV72">
        <f ca="1">COUNTIFS(INDIRECT("Table1[Beginn]"),"&lt;="&amp;BV$1,INDIRECT("Table1[Ende]"),"&gt;="&amp;BV$1,INDIRECT("Table1[Obergruppe ATC-Code]"),Tabelle3!$A72)</f>
        <v>3</v>
      </c>
      <c r="BW72">
        <f ca="1">COUNTIFS(INDIRECT("Table1[Beginn]"),"&lt;="&amp;BW$1,INDIRECT("Table1[Ende]"),"&gt;="&amp;BW$1,INDIRECT("Table1[Obergruppe ATC-Code]"),Tabelle3!$A72)</f>
        <v>3</v>
      </c>
      <c r="BX72">
        <f ca="1">COUNTIFS(INDIRECT("Table1[Beginn]"),"&lt;="&amp;BX$1,INDIRECT("Table1[Ende]"),"&gt;="&amp;BX$1,INDIRECT("Table1[Obergruppe ATC-Code]"),Tabelle3!$A72)</f>
        <v>4</v>
      </c>
      <c r="BY72">
        <f ca="1">COUNTIFS(INDIRECT("Table1[Beginn]"),"&lt;="&amp;BY$1,INDIRECT("Table1[Ende]"),"&gt;="&amp;BY$1,INDIRECT("Table1[Obergruppe ATC-Code]"),Tabelle3!$A72)</f>
        <v>4</v>
      </c>
      <c r="BZ72">
        <f ca="1">COUNTIFS(INDIRECT("Table1[Beginn]"),"&lt;="&amp;BZ$1,INDIRECT("Table1[Ende]"),"&gt;="&amp;BZ$1,INDIRECT("Table1[Obergruppe ATC-Code]"),Tabelle3!$A72)</f>
        <v>4</v>
      </c>
      <c r="CA72">
        <f ca="1">COUNTIFS(INDIRECT("Table1[Beginn]"),"&lt;="&amp;CA$1,INDIRECT("Table1[Ende]"),"&gt;="&amp;CA$1,INDIRECT("Table1[Obergruppe ATC-Code]"),Tabelle3!$A72)</f>
        <v>5</v>
      </c>
      <c r="CB72">
        <f ca="1">COUNTIFS(INDIRECT("Table1[Beginn]"),"&lt;="&amp;CB$1,INDIRECT("Table1[Ende]"),"&gt;="&amp;CB$1,INDIRECT("Table1[Obergruppe ATC-Code]"),Tabelle3!$A72)</f>
        <v>5</v>
      </c>
      <c r="CC72">
        <f ca="1">COUNTIFS(INDIRECT("Table1[Beginn]"),"&lt;="&amp;CC$1,INDIRECT("Table1[Ende]"),"&gt;="&amp;CC$1,INDIRECT("Table1[Obergruppe ATC-Code]"),Tabelle3!$A72)</f>
        <v>4</v>
      </c>
      <c r="CD72">
        <f ca="1">COUNTIFS(INDIRECT("Table1[Beginn]"),"&lt;="&amp;CD$1,INDIRECT("Table1[Ende]"),"&gt;="&amp;CD$1,INDIRECT("Table1[Obergruppe ATC-Code]"),Tabelle3!$A72)</f>
        <v>4</v>
      </c>
      <c r="CE72">
        <f ca="1">COUNTIFS(INDIRECT("Table1[Beginn]"),"&lt;="&amp;CE$1,INDIRECT("Table1[Ende]"),"&gt;="&amp;CE$1,INDIRECT("Table1[Obergruppe ATC-Code]"),Tabelle3!$A72)</f>
        <v>4</v>
      </c>
      <c r="CF72">
        <f ca="1">COUNTIFS(INDIRECT("Table1[Beginn]"),"&lt;="&amp;CF$1,INDIRECT("Table1[Ende]"),"&gt;="&amp;CF$1,INDIRECT("Table1[Obergruppe ATC-Code]"),Tabelle3!$A72)</f>
        <v>6</v>
      </c>
      <c r="CG72">
        <f ca="1">COUNTIFS(INDIRECT("Table1[Beginn]"),"&lt;="&amp;CG$1,INDIRECT("Table1[Ende]"),"&gt;="&amp;CG$1,INDIRECT("Table1[Obergruppe ATC-Code]"),Tabelle3!$A72)</f>
        <v>5</v>
      </c>
      <c r="CH72">
        <f ca="1">COUNTIFS(INDIRECT("Table1[Beginn]"),"&lt;="&amp;CH$1,INDIRECT("Table1[Ende]"),"&gt;="&amp;CH$1,INDIRECT("Table1[Obergruppe ATC-Code]"),Tabelle3!$A72)</f>
        <v>3</v>
      </c>
      <c r="CI72">
        <f ca="1">COUNTIFS(INDIRECT("Table1[Beginn]"),"&lt;="&amp;CI$1,INDIRECT("Table1[Ende]"),"&gt;="&amp;CI$1,INDIRECT("Table1[Obergruppe ATC-Code]"),Tabelle3!$A72)</f>
        <v>1</v>
      </c>
      <c r="CJ72">
        <f ca="1">COUNTIFS(INDIRECT("Table1[Beginn]"),"&lt;="&amp;CJ$1,INDIRECT("Table1[Ende]"),"&gt;="&amp;CJ$1,INDIRECT("Table1[Obergruppe ATC-Code]"),Tabelle3!$A72)</f>
        <v>1</v>
      </c>
      <c r="CK72">
        <f ca="1">COUNTIFS(INDIRECT("Table1[Beginn]"),"&lt;="&amp;CK$1,INDIRECT("Table1[Ende]"),"&gt;="&amp;CK$1,INDIRECT("Table1[Obergruppe ATC-Code]"),Tabelle3!$A72)</f>
        <v>0</v>
      </c>
      <c r="CL72">
        <f ca="1">COUNTIFS(INDIRECT("Table1[Beginn]"),"&lt;="&amp;CL$1,INDIRECT("Table1[Ende]"),"&gt;="&amp;CL$1,INDIRECT("Table1[Obergruppe ATC-Code]"),Tabelle3!$A72)</f>
        <v>0</v>
      </c>
      <c r="CM72">
        <f ca="1">COUNTIFS(INDIRECT("Table1[Beginn]"),"&lt;="&amp;CM$1,INDIRECT("Table1[Ende]"),"&gt;="&amp;CM$1,INDIRECT("Table1[Obergruppe ATC-Code]"),Tabelle3!$A72)</f>
        <v>0</v>
      </c>
      <c r="CN72">
        <f ca="1">COUNTIFS(INDIRECT("Table1[Beginn]"),"&lt;="&amp;CN$1,INDIRECT("Table1[Ende]"),"&gt;="&amp;CN$1,INDIRECT("Table1[Obergruppe ATC-Code]"),Tabelle3!$A72)</f>
        <v>0</v>
      </c>
      <c r="CO72">
        <f ca="1">COUNTIFS(INDIRECT("Table1[Beginn]"),"&lt;="&amp;CO$1,INDIRECT("Table1[Ende]"),"&gt;="&amp;CO$1,INDIRECT("Table1[Obergruppe ATC-Code]"),Tabelle3!$A72)</f>
        <v>0</v>
      </c>
      <c r="CP72">
        <f ca="1">COUNTIFS(INDIRECT("Table1[Beginn]"),"&lt;="&amp;CP$1,INDIRECT("Table1[Ende]"),"&gt;="&amp;CP$1,INDIRECT("Table1[Obergruppe ATC-Code]"),Tabelle3!$A72)</f>
        <v>0</v>
      </c>
      <c r="CQ72">
        <f ca="1">COUNTIFS(INDIRECT("Table1[Beginn]"),"&lt;="&amp;CQ$1,INDIRECT("Table1[Ende]"),"&gt;="&amp;CQ$1,INDIRECT("Table1[Obergruppe ATC-Code]"),Tabelle3!$A72)</f>
        <v>0</v>
      </c>
      <c r="CR72">
        <f ca="1">COUNTIFS(INDIRECT("Table1[Beginn]"),"&lt;="&amp;CR$1,INDIRECT("Table1[Ende]"),"&gt;="&amp;CR$1,INDIRECT("Table1[Obergruppe ATC-Code]"),Tabelle3!$A72)</f>
        <v>0</v>
      </c>
      <c r="CS72">
        <f ca="1">COUNTIFS(INDIRECT("Table1[Beginn]"),"&lt;="&amp;CS$1,INDIRECT("Table1[Ende]"),"&gt;="&amp;CS$1,INDIRECT("Table1[Obergruppe ATC-Code]"),Tabelle3!$A72)</f>
        <v>0</v>
      </c>
      <c r="CT72">
        <f ca="1">COUNTIFS(INDIRECT("Table1[Beginn]"),"&lt;="&amp;CT$1,INDIRECT("Table1[Ende]"),"&gt;="&amp;CT$1,INDIRECT("Table1[Obergruppe ATC-Code]"),Tabelle3!$A72)</f>
        <v>0</v>
      </c>
    </row>
    <row r="73" spans="1:98" ht="18">
      <c r="A73" s="9" t="s">
        <v>6914</v>
      </c>
      <c r="B73" s="10" t="s">
        <v>6915</v>
      </c>
      <c r="C73">
        <f ca="1">COUNTIFS(INDIRECT("Table1[Beginn]"),"&lt;="&amp;C$1,INDIRECT("Table1[Ende]"),"&gt;="&amp;C$1,INDIRECT("Table1[Obergruppe ATC-Code]"),Tabelle3!$A73)</f>
        <v>0</v>
      </c>
      <c r="D73">
        <f ca="1">COUNTIFS(INDIRECT("Table1[Beginn]"),"&lt;="&amp;D$1,INDIRECT("Table1[Ende]"),"&gt;="&amp;D$1,INDIRECT("Table1[Obergruppe ATC-Code]"),Tabelle3!$A73)</f>
        <v>0</v>
      </c>
      <c r="E73">
        <f ca="1">COUNTIFS(INDIRECT("Table1[Beginn]"),"&lt;="&amp;E$1,INDIRECT("Table1[Ende]"),"&gt;="&amp;E$1,INDIRECT("Table1[Obergruppe ATC-Code]"),Tabelle3!$A73)</f>
        <v>0</v>
      </c>
      <c r="F73">
        <f ca="1">COUNTIFS(INDIRECT("Table1[Beginn]"),"&lt;="&amp;F$1,INDIRECT("Table1[Ende]"),"&gt;="&amp;F$1,INDIRECT("Table1[Obergruppe ATC-Code]"),Tabelle3!$A73)</f>
        <v>0</v>
      </c>
      <c r="G73">
        <f ca="1">COUNTIFS(INDIRECT("Table1[Beginn]"),"&lt;="&amp;G$1,INDIRECT("Table1[Ende]"),"&gt;="&amp;G$1,INDIRECT("Table1[Obergruppe ATC-Code]"),Tabelle3!$A73)</f>
        <v>0</v>
      </c>
      <c r="H73">
        <f ca="1">COUNTIFS(INDIRECT("Table1[Beginn]"),"&lt;="&amp;H$1,INDIRECT("Table1[Ende]"),"&gt;="&amp;H$1,INDIRECT("Table1[Obergruppe ATC-Code]"),Tabelle3!$A73)</f>
        <v>0</v>
      </c>
      <c r="I73">
        <f ca="1">COUNTIFS(INDIRECT("Table1[Beginn]"),"&lt;="&amp;I$1,INDIRECT("Table1[Ende]"),"&gt;="&amp;I$1,INDIRECT("Table1[Obergruppe ATC-Code]"),Tabelle3!$A73)</f>
        <v>0</v>
      </c>
      <c r="J73">
        <f ca="1">COUNTIFS(INDIRECT("Table1[Beginn]"),"&lt;="&amp;J$1,INDIRECT("Table1[Ende]"),"&gt;="&amp;J$1,INDIRECT("Table1[Obergruppe ATC-Code]"),Tabelle3!$A73)</f>
        <v>0</v>
      </c>
      <c r="K73">
        <f ca="1">COUNTIFS(INDIRECT("Table1[Beginn]"),"&lt;="&amp;K$1,INDIRECT("Table1[Ende]"),"&gt;="&amp;K$1,INDIRECT("Table1[Obergruppe ATC-Code]"),Tabelle3!$A73)</f>
        <v>0</v>
      </c>
      <c r="L73">
        <f ca="1">COUNTIFS(INDIRECT("Table1[Beginn]"),"&lt;="&amp;L$1,INDIRECT("Table1[Ende]"),"&gt;="&amp;L$1,INDIRECT("Table1[Obergruppe ATC-Code]"),Tabelle3!$A73)</f>
        <v>0</v>
      </c>
      <c r="M73">
        <f ca="1">COUNTIFS(INDIRECT("Table1[Beginn]"),"&lt;="&amp;M$1,INDIRECT("Table1[Ende]"),"&gt;="&amp;M$1,INDIRECT("Table1[Obergruppe ATC-Code]"),Tabelle3!$A73)</f>
        <v>0</v>
      </c>
      <c r="N73">
        <f ca="1">COUNTIFS(INDIRECT("Table1[Beginn]"),"&lt;="&amp;N$1,INDIRECT("Table1[Ende]"),"&gt;="&amp;N$1,INDIRECT("Table1[Obergruppe ATC-Code]"),Tabelle3!$A73)</f>
        <v>0</v>
      </c>
      <c r="O73">
        <f ca="1">COUNTIFS(INDIRECT("Table1[Beginn]"),"&lt;="&amp;O$1,INDIRECT("Table1[Ende]"),"&gt;="&amp;O$1,INDIRECT("Table1[Obergruppe ATC-Code]"),Tabelle3!$A73)</f>
        <v>0</v>
      </c>
      <c r="P73">
        <f ca="1">COUNTIFS(INDIRECT("Table1[Beginn]"),"&lt;="&amp;P$1,INDIRECT("Table1[Ende]"),"&gt;="&amp;P$1,INDIRECT("Table1[Obergruppe ATC-Code]"),Tabelle3!$A73)</f>
        <v>1</v>
      </c>
      <c r="Q73">
        <f ca="1">COUNTIFS(INDIRECT("Table1[Beginn]"),"&lt;="&amp;Q$1,INDIRECT("Table1[Ende]"),"&gt;="&amp;Q$1,INDIRECT("Table1[Obergruppe ATC-Code]"),Tabelle3!$A73)</f>
        <v>1</v>
      </c>
      <c r="R73">
        <f ca="1">COUNTIFS(INDIRECT("Table1[Beginn]"),"&lt;="&amp;R$1,INDIRECT("Table1[Ende]"),"&gt;="&amp;R$1,INDIRECT("Table1[Obergruppe ATC-Code]"),Tabelle3!$A73)</f>
        <v>1</v>
      </c>
      <c r="S73">
        <f ca="1">COUNTIFS(INDIRECT("Table1[Beginn]"),"&lt;="&amp;S$1,INDIRECT("Table1[Ende]"),"&gt;="&amp;S$1,INDIRECT("Table1[Obergruppe ATC-Code]"),Tabelle3!$A73)</f>
        <v>1</v>
      </c>
      <c r="T73">
        <f ca="1">COUNTIFS(INDIRECT("Table1[Beginn]"),"&lt;="&amp;T$1,INDIRECT("Table1[Ende]"),"&gt;="&amp;T$1,INDIRECT("Table1[Obergruppe ATC-Code]"),Tabelle3!$A73)</f>
        <v>1</v>
      </c>
      <c r="U73">
        <f ca="1">COUNTIFS(INDIRECT("Table1[Beginn]"),"&lt;="&amp;U$1,INDIRECT("Table1[Ende]"),"&gt;="&amp;U$1,INDIRECT("Table1[Obergruppe ATC-Code]"),Tabelle3!$A73)</f>
        <v>1</v>
      </c>
      <c r="V73">
        <f ca="1">COUNTIFS(INDIRECT("Table1[Beginn]"),"&lt;="&amp;V$1,INDIRECT("Table1[Ende]"),"&gt;="&amp;V$1,INDIRECT("Table1[Obergruppe ATC-Code]"),Tabelle3!$A73)</f>
        <v>1</v>
      </c>
      <c r="W73">
        <f ca="1">COUNTIFS(INDIRECT("Table1[Beginn]"),"&lt;="&amp;W$1,INDIRECT("Table1[Ende]"),"&gt;="&amp;W$1,INDIRECT("Table1[Obergruppe ATC-Code]"),Tabelle3!$A73)</f>
        <v>1</v>
      </c>
      <c r="X73">
        <f ca="1">COUNTIFS(INDIRECT("Table1[Beginn]"),"&lt;="&amp;X$1,INDIRECT("Table1[Ende]"),"&gt;="&amp;X$1,INDIRECT("Table1[Obergruppe ATC-Code]"),Tabelle3!$A73)</f>
        <v>1</v>
      </c>
      <c r="Y73">
        <f ca="1">COUNTIFS(INDIRECT("Table1[Beginn]"),"&lt;="&amp;Y$1,INDIRECT("Table1[Ende]"),"&gt;="&amp;Y$1,INDIRECT("Table1[Obergruppe ATC-Code]"),Tabelle3!$A73)</f>
        <v>1</v>
      </c>
      <c r="Z73">
        <f ca="1">COUNTIFS(INDIRECT("Table1[Beginn]"),"&lt;="&amp;Z$1,INDIRECT("Table1[Ende]"),"&gt;="&amp;Z$1,INDIRECT("Table1[Obergruppe ATC-Code]"),Tabelle3!$A73)</f>
        <v>1</v>
      </c>
      <c r="AA73">
        <f ca="1">COUNTIFS(INDIRECT("Table1[Beginn]"),"&lt;="&amp;AA$1,INDIRECT("Table1[Ende]"),"&gt;="&amp;AA$1,INDIRECT("Table1[Obergruppe ATC-Code]"),Tabelle3!$A73)</f>
        <v>2</v>
      </c>
      <c r="AB73">
        <f ca="1">COUNTIFS(INDIRECT("Table1[Beginn]"),"&lt;="&amp;AB$1,INDIRECT("Table1[Ende]"),"&gt;="&amp;AB$1,INDIRECT("Table1[Obergruppe ATC-Code]"),Tabelle3!$A73)</f>
        <v>3</v>
      </c>
      <c r="AC73">
        <f ca="1">COUNTIFS(INDIRECT("Table1[Beginn]"),"&lt;="&amp;AC$1,INDIRECT("Table1[Ende]"),"&gt;="&amp;AC$1,INDIRECT("Table1[Obergruppe ATC-Code]"),Tabelle3!$A73)</f>
        <v>3</v>
      </c>
      <c r="AD73">
        <f ca="1">COUNTIFS(INDIRECT("Table1[Beginn]"),"&lt;="&amp;AD$1,INDIRECT("Table1[Ende]"),"&gt;="&amp;AD$1,INDIRECT("Table1[Obergruppe ATC-Code]"),Tabelle3!$A73)</f>
        <v>4</v>
      </c>
      <c r="AE73">
        <f ca="1">COUNTIFS(INDIRECT("Table1[Beginn]"),"&lt;="&amp;AE$1,INDIRECT("Table1[Ende]"),"&gt;="&amp;AE$1,INDIRECT("Table1[Obergruppe ATC-Code]"),Tabelle3!$A73)</f>
        <v>5</v>
      </c>
      <c r="AF73">
        <f ca="1">COUNTIFS(INDIRECT("Table1[Beginn]"),"&lt;="&amp;AF$1,INDIRECT("Table1[Ende]"),"&gt;="&amp;AF$1,INDIRECT("Table1[Obergruppe ATC-Code]"),Tabelle3!$A73)</f>
        <v>4</v>
      </c>
      <c r="AG73">
        <f ca="1">COUNTIFS(INDIRECT("Table1[Beginn]"),"&lt;="&amp;AG$1,INDIRECT("Table1[Ende]"),"&gt;="&amp;AG$1,INDIRECT("Table1[Obergruppe ATC-Code]"),Tabelle3!$A73)</f>
        <v>3</v>
      </c>
      <c r="AH73">
        <f ca="1">COUNTIFS(INDIRECT("Table1[Beginn]"),"&lt;="&amp;AH$1,INDIRECT("Table1[Ende]"),"&gt;="&amp;AH$1,INDIRECT("Table1[Obergruppe ATC-Code]"),Tabelle3!$A73)</f>
        <v>3</v>
      </c>
      <c r="AI73">
        <f ca="1">COUNTIFS(INDIRECT("Table1[Beginn]"),"&lt;="&amp;AI$1,INDIRECT("Table1[Ende]"),"&gt;="&amp;AI$1,INDIRECT("Table1[Obergruppe ATC-Code]"),Tabelle3!$A73)</f>
        <v>1</v>
      </c>
      <c r="AJ73">
        <f ca="1">COUNTIFS(INDIRECT("Table1[Beginn]"),"&lt;="&amp;AJ$1,INDIRECT("Table1[Ende]"),"&gt;="&amp;AJ$1,INDIRECT("Table1[Obergruppe ATC-Code]"),Tabelle3!$A73)</f>
        <v>2</v>
      </c>
      <c r="AK73">
        <f ca="1">COUNTIFS(INDIRECT("Table1[Beginn]"),"&lt;="&amp;AK$1,INDIRECT("Table1[Ende]"),"&gt;="&amp;AK$1,INDIRECT("Table1[Obergruppe ATC-Code]"),Tabelle3!$A73)</f>
        <v>2</v>
      </c>
      <c r="AL73">
        <f ca="1">COUNTIFS(INDIRECT("Table1[Beginn]"),"&lt;="&amp;AL$1,INDIRECT("Table1[Ende]"),"&gt;="&amp;AL$1,INDIRECT("Table1[Obergruppe ATC-Code]"),Tabelle3!$A73)</f>
        <v>2</v>
      </c>
      <c r="AM73">
        <f ca="1">COUNTIFS(INDIRECT("Table1[Beginn]"),"&lt;="&amp;AM$1,INDIRECT("Table1[Ende]"),"&gt;="&amp;AM$1,INDIRECT("Table1[Obergruppe ATC-Code]"),Tabelle3!$A73)</f>
        <v>2</v>
      </c>
      <c r="AN73">
        <f ca="1">COUNTIFS(INDIRECT("Table1[Beginn]"),"&lt;="&amp;AN$1,INDIRECT("Table1[Ende]"),"&gt;="&amp;AN$1,INDIRECT("Table1[Obergruppe ATC-Code]"),Tabelle3!$A73)</f>
        <v>3</v>
      </c>
      <c r="AO73">
        <f ca="1">COUNTIFS(INDIRECT("Table1[Beginn]"),"&lt;="&amp;AO$1,INDIRECT("Table1[Ende]"),"&gt;="&amp;AO$1,INDIRECT("Table1[Obergruppe ATC-Code]"),Tabelle3!$A73)</f>
        <v>13</v>
      </c>
      <c r="AP73">
        <f ca="1">COUNTIFS(INDIRECT("Table1[Beginn]"),"&lt;="&amp;AP$1,INDIRECT("Table1[Ende]"),"&gt;="&amp;AP$1,INDIRECT("Table1[Obergruppe ATC-Code]"),Tabelle3!$A73)</f>
        <v>22</v>
      </c>
      <c r="AQ73">
        <f ca="1">COUNTIFS(INDIRECT("Table1[Beginn]"),"&lt;="&amp;AQ$1,INDIRECT("Table1[Ende]"),"&gt;="&amp;AQ$1,INDIRECT("Table1[Obergruppe ATC-Code]"),Tabelle3!$A73)</f>
        <v>20</v>
      </c>
      <c r="AR73">
        <f ca="1">COUNTIFS(INDIRECT("Table1[Beginn]"),"&lt;="&amp;AR$1,INDIRECT("Table1[Ende]"),"&gt;="&amp;AR$1,INDIRECT("Table1[Obergruppe ATC-Code]"),Tabelle3!$A73)</f>
        <v>16</v>
      </c>
      <c r="AS73">
        <f ca="1">COUNTIFS(INDIRECT("Table1[Beginn]"),"&lt;="&amp;AS$1,INDIRECT("Table1[Ende]"),"&gt;="&amp;AS$1,INDIRECT("Table1[Obergruppe ATC-Code]"),Tabelle3!$A73)</f>
        <v>14</v>
      </c>
      <c r="AT73">
        <f ca="1">COUNTIFS(INDIRECT("Table1[Beginn]"),"&lt;="&amp;AT$1,INDIRECT("Table1[Ende]"),"&gt;="&amp;AT$1,INDIRECT("Table1[Obergruppe ATC-Code]"),Tabelle3!$A73)</f>
        <v>10</v>
      </c>
      <c r="AU73">
        <f ca="1">COUNTIFS(INDIRECT("Table1[Beginn]"),"&lt;="&amp;AU$1,INDIRECT("Table1[Ende]"),"&gt;="&amp;AU$1,INDIRECT("Table1[Obergruppe ATC-Code]"),Tabelle3!$A73)</f>
        <v>9</v>
      </c>
      <c r="AV73">
        <f ca="1">COUNTIFS(INDIRECT("Table1[Beginn]"),"&lt;="&amp;AV$1,INDIRECT("Table1[Ende]"),"&gt;="&amp;AV$1,INDIRECT("Table1[Obergruppe ATC-Code]"),Tabelle3!$A73)</f>
        <v>10</v>
      </c>
      <c r="AW73">
        <f ca="1">COUNTIFS(INDIRECT("Table1[Beginn]"),"&lt;="&amp;AW$1,INDIRECT("Table1[Ende]"),"&gt;="&amp;AW$1,INDIRECT("Table1[Obergruppe ATC-Code]"),Tabelle3!$A73)</f>
        <v>9</v>
      </c>
      <c r="AX73">
        <f ca="1">COUNTIFS(INDIRECT("Table1[Beginn]"),"&lt;="&amp;AX$1,INDIRECT("Table1[Ende]"),"&gt;="&amp;AX$1,INDIRECT("Table1[Obergruppe ATC-Code]"),Tabelle3!$A73)</f>
        <v>6</v>
      </c>
      <c r="AY73">
        <f ca="1">COUNTIFS(INDIRECT("Table1[Beginn]"),"&lt;="&amp;AY$1,INDIRECT("Table1[Ende]"),"&gt;="&amp;AY$1,INDIRECT("Table1[Obergruppe ATC-Code]"),Tabelle3!$A73)</f>
        <v>5</v>
      </c>
      <c r="AZ73">
        <f ca="1">COUNTIFS(INDIRECT("Table1[Beginn]"),"&lt;="&amp;AZ$1,INDIRECT("Table1[Ende]"),"&gt;="&amp;AZ$1,INDIRECT("Table1[Obergruppe ATC-Code]"),Tabelle3!$A73)</f>
        <v>7</v>
      </c>
      <c r="BA73">
        <f ca="1">COUNTIFS(INDIRECT("Table1[Beginn]"),"&lt;="&amp;BA$1,INDIRECT("Table1[Ende]"),"&gt;="&amp;BA$1,INDIRECT("Table1[Obergruppe ATC-Code]"),Tabelle3!$A73)</f>
        <v>9</v>
      </c>
      <c r="BB73">
        <f ca="1">COUNTIFS(INDIRECT("Table1[Beginn]"),"&lt;="&amp;BB$1,INDIRECT("Table1[Ende]"),"&gt;="&amp;BB$1,INDIRECT("Table1[Obergruppe ATC-Code]"),Tabelle3!$A73)</f>
        <v>10</v>
      </c>
      <c r="BC73">
        <f ca="1">COUNTIFS(INDIRECT("Table1[Beginn]"),"&lt;="&amp;BC$1,INDIRECT("Table1[Ende]"),"&gt;="&amp;BC$1,INDIRECT("Table1[Obergruppe ATC-Code]"),Tabelle3!$A73)</f>
        <v>10</v>
      </c>
      <c r="BD73">
        <f ca="1">COUNTIFS(INDIRECT("Table1[Beginn]"),"&lt;="&amp;BD$1,INDIRECT("Table1[Ende]"),"&gt;="&amp;BD$1,INDIRECT("Table1[Obergruppe ATC-Code]"),Tabelle3!$A73)</f>
        <v>9</v>
      </c>
      <c r="BE73">
        <f ca="1">COUNTIFS(INDIRECT("Table1[Beginn]"),"&lt;="&amp;BE$1,INDIRECT("Table1[Ende]"),"&gt;="&amp;BE$1,INDIRECT("Table1[Obergruppe ATC-Code]"),Tabelle3!$A73)</f>
        <v>11</v>
      </c>
      <c r="BF73">
        <f ca="1">COUNTIFS(INDIRECT("Table1[Beginn]"),"&lt;="&amp;BF$1,INDIRECT("Table1[Ende]"),"&gt;="&amp;BF$1,INDIRECT("Table1[Obergruppe ATC-Code]"),Tabelle3!$A73)</f>
        <v>16</v>
      </c>
      <c r="BG73">
        <f ca="1">COUNTIFS(INDIRECT("Table1[Beginn]"),"&lt;="&amp;BG$1,INDIRECT("Table1[Ende]"),"&gt;="&amp;BG$1,INDIRECT("Table1[Obergruppe ATC-Code]"),Tabelle3!$A73)</f>
        <v>12</v>
      </c>
      <c r="BH73">
        <f ca="1">COUNTIFS(INDIRECT("Table1[Beginn]"),"&lt;="&amp;BH$1,INDIRECT("Table1[Ende]"),"&gt;="&amp;BH$1,INDIRECT("Table1[Obergruppe ATC-Code]"),Tabelle3!$A73)</f>
        <v>12</v>
      </c>
      <c r="BI73">
        <f ca="1">COUNTIFS(INDIRECT("Table1[Beginn]"),"&lt;="&amp;BI$1,INDIRECT("Table1[Ende]"),"&gt;="&amp;BI$1,INDIRECT("Table1[Obergruppe ATC-Code]"),Tabelle3!$A73)</f>
        <v>14</v>
      </c>
      <c r="BJ73">
        <f ca="1">COUNTIFS(INDIRECT("Table1[Beginn]"),"&lt;="&amp;BJ$1,INDIRECT("Table1[Ende]"),"&gt;="&amp;BJ$1,INDIRECT("Table1[Obergruppe ATC-Code]"),Tabelle3!$A73)</f>
        <v>10</v>
      </c>
      <c r="BK73">
        <f ca="1">COUNTIFS(INDIRECT("Table1[Beginn]"),"&lt;="&amp;BK$1,INDIRECT("Table1[Ende]"),"&gt;="&amp;BK$1,INDIRECT("Table1[Obergruppe ATC-Code]"),Tabelle3!$A73)</f>
        <v>8</v>
      </c>
      <c r="BL73">
        <f ca="1">COUNTIFS(INDIRECT("Table1[Beginn]"),"&lt;="&amp;BL$1,INDIRECT("Table1[Ende]"),"&gt;="&amp;BL$1,INDIRECT("Table1[Obergruppe ATC-Code]"),Tabelle3!$A73)</f>
        <v>8</v>
      </c>
      <c r="BM73">
        <f ca="1">COUNTIFS(INDIRECT("Table1[Beginn]"),"&lt;="&amp;BM$1,INDIRECT("Table1[Ende]"),"&gt;="&amp;BM$1,INDIRECT("Table1[Obergruppe ATC-Code]"),Tabelle3!$A73)</f>
        <v>7</v>
      </c>
      <c r="BN73">
        <f ca="1">COUNTIFS(INDIRECT("Table1[Beginn]"),"&lt;="&amp;BN$1,INDIRECT("Table1[Ende]"),"&gt;="&amp;BN$1,INDIRECT("Table1[Obergruppe ATC-Code]"),Tabelle3!$A73)</f>
        <v>6</v>
      </c>
      <c r="BO73">
        <f ca="1">COUNTIFS(INDIRECT("Table1[Beginn]"),"&lt;="&amp;BO$1,INDIRECT("Table1[Ende]"),"&gt;="&amp;BO$1,INDIRECT("Table1[Obergruppe ATC-Code]"),Tabelle3!$A73)</f>
        <v>6</v>
      </c>
      <c r="BP73">
        <f ca="1">COUNTIFS(INDIRECT("Table1[Beginn]"),"&lt;="&amp;BP$1,INDIRECT("Table1[Ende]"),"&gt;="&amp;BP$1,INDIRECT("Table1[Obergruppe ATC-Code]"),Tabelle3!$A73)</f>
        <v>7</v>
      </c>
      <c r="BQ73">
        <f ca="1">COUNTIFS(INDIRECT("Table1[Beginn]"),"&lt;="&amp;BQ$1,INDIRECT("Table1[Ende]"),"&gt;="&amp;BQ$1,INDIRECT("Table1[Obergruppe ATC-Code]"),Tabelle3!$A73)</f>
        <v>7</v>
      </c>
      <c r="BR73">
        <f ca="1">COUNTIFS(INDIRECT("Table1[Beginn]"),"&lt;="&amp;BR$1,INDIRECT("Table1[Ende]"),"&gt;="&amp;BR$1,INDIRECT("Table1[Obergruppe ATC-Code]"),Tabelle3!$A73)</f>
        <v>9</v>
      </c>
      <c r="BS73">
        <f ca="1">COUNTIFS(INDIRECT("Table1[Beginn]"),"&lt;="&amp;BS$1,INDIRECT("Table1[Ende]"),"&gt;="&amp;BS$1,INDIRECT("Table1[Obergruppe ATC-Code]"),Tabelle3!$A73)</f>
        <v>9</v>
      </c>
      <c r="BT73">
        <f ca="1">COUNTIFS(INDIRECT("Table1[Beginn]"),"&lt;="&amp;BT$1,INDIRECT("Table1[Ende]"),"&gt;="&amp;BT$1,INDIRECT("Table1[Obergruppe ATC-Code]"),Tabelle3!$A73)</f>
        <v>9</v>
      </c>
      <c r="BU73">
        <f ca="1">COUNTIFS(INDIRECT("Table1[Beginn]"),"&lt;="&amp;BU$1,INDIRECT("Table1[Ende]"),"&gt;="&amp;BU$1,INDIRECT("Table1[Obergruppe ATC-Code]"),Tabelle3!$A73)</f>
        <v>10</v>
      </c>
      <c r="BV73">
        <f ca="1">COUNTIFS(INDIRECT("Table1[Beginn]"),"&lt;="&amp;BV$1,INDIRECT("Table1[Ende]"),"&gt;="&amp;BV$1,INDIRECT("Table1[Obergruppe ATC-Code]"),Tabelle3!$A73)</f>
        <v>10</v>
      </c>
      <c r="BW73">
        <f ca="1">COUNTIFS(INDIRECT("Table1[Beginn]"),"&lt;="&amp;BW$1,INDIRECT("Table1[Ende]"),"&gt;="&amp;BW$1,INDIRECT("Table1[Obergruppe ATC-Code]"),Tabelle3!$A73)</f>
        <v>12</v>
      </c>
      <c r="BX73">
        <f ca="1">COUNTIFS(INDIRECT("Table1[Beginn]"),"&lt;="&amp;BX$1,INDIRECT("Table1[Ende]"),"&gt;="&amp;BX$1,INDIRECT("Table1[Obergruppe ATC-Code]"),Tabelle3!$A73)</f>
        <v>20</v>
      </c>
      <c r="BY73">
        <f ca="1">COUNTIFS(INDIRECT("Table1[Beginn]"),"&lt;="&amp;BY$1,INDIRECT("Table1[Ende]"),"&gt;="&amp;BY$1,INDIRECT("Table1[Obergruppe ATC-Code]"),Tabelle3!$A73)</f>
        <v>21</v>
      </c>
      <c r="BZ73">
        <f ca="1">COUNTIFS(INDIRECT("Table1[Beginn]"),"&lt;="&amp;BZ$1,INDIRECT("Table1[Ende]"),"&gt;="&amp;BZ$1,INDIRECT("Table1[Obergruppe ATC-Code]"),Tabelle3!$A73)</f>
        <v>22</v>
      </c>
      <c r="CA73">
        <f ca="1">COUNTIFS(INDIRECT("Table1[Beginn]"),"&lt;="&amp;CA$1,INDIRECT("Table1[Ende]"),"&gt;="&amp;CA$1,INDIRECT("Table1[Obergruppe ATC-Code]"),Tabelle3!$A73)</f>
        <v>24</v>
      </c>
      <c r="CB73">
        <f ca="1">COUNTIFS(INDIRECT("Table1[Beginn]"),"&lt;="&amp;CB$1,INDIRECT("Table1[Ende]"),"&gt;="&amp;CB$1,INDIRECT("Table1[Obergruppe ATC-Code]"),Tabelle3!$A73)</f>
        <v>23</v>
      </c>
      <c r="CC73">
        <f ca="1">COUNTIFS(INDIRECT("Table1[Beginn]"),"&lt;="&amp;CC$1,INDIRECT("Table1[Ende]"),"&gt;="&amp;CC$1,INDIRECT("Table1[Obergruppe ATC-Code]"),Tabelle3!$A73)</f>
        <v>25</v>
      </c>
      <c r="CD73">
        <f ca="1">COUNTIFS(INDIRECT("Table1[Beginn]"),"&lt;="&amp;CD$1,INDIRECT("Table1[Ende]"),"&gt;="&amp;CD$1,INDIRECT("Table1[Obergruppe ATC-Code]"),Tabelle3!$A73)</f>
        <v>41</v>
      </c>
      <c r="CE73">
        <f ca="1">COUNTIFS(INDIRECT("Table1[Beginn]"),"&lt;="&amp;CE$1,INDIRECT("Table1[Ende]"),"&gt;="&amp;CE$1,INDIRECT("Table1[Obergruppe ATC-Code]"),Tabelle3!$A73)</f>
        <v>39</v>
      </c>
      <c r="CF73">
        <f ca="1">COUNTIFS(INDIRECT("Table1[Beginn]"),"&lt;="&amp;CF$1,INDIRECT("Table1[Ende]"),"&gt;="&amp;CF$1,INDIRECT("Table1[Obergruppe ATC-Code]"),Tabelle3!$A73)</f>
        <v>22</v>
      </c>
      <c r="CG73">
        <f ca="1">COUNTIFS(INDIRECT("Table1[Beginn]"),"&lt;="&amp;CG$1,INDIRECT("Table1[Ende]"),"&gt;="&amp;CG$1,INDIRECT("Table1[Obergruppe ATC-Code]"),Tabelle3!$A73)</f>
        <v>14</v>
      </c>
      <c r="CH73">
        <f ca="1">COUNTIFS(INDIRECT("Table1[Beginn]"),"&lt;="&amp;CH$1,INDIRECT("Table1[Ende]"),"&gt;="&amp;CH$1,INDIRECT("Table1[Obergruppe ATC-Code]"),Tabelle3!$A73)</f>
        <v>13</v>
      </c>
      <c r="CI73">
        <f ca="1">COUNTIFS(INDIRECT("Table1[Beginn]"),"&lt;="&amp;CI$1,INDIRECT("Table1[Ende]"),"&gt;="&amp;CI$1,INDIRECT("Table1[Obergruppe ATC-Code]"),Tabelle3!$A73)</f>
        <v>5</v>
      </c>
      <c r="CJ73">
        <f ca="1">COUNTIFS(INDIRECT("Table1[Beginn]"),"&lt;="&amp;CJ$1,INDIRECT("Table1[Ende]"),"&gt;="&amp;CJ$1,INDIRECT("Table1[Obergruppe ATC-Code]"),Tabelle3!$A73)</f>
        <v>3</v>
      </c>
      <c r="CK73">
        <f ca="1">COUNTIFS(INDIRECT("Table1[Beginn]"),"&lt;="&amp;CK$1,INDIRECT("Table1[Ende]"),"&gt;="&amp;CK$1,INDIRECT("Table1[Obergruppe ATC-Code]"),Tabelle3!$A73)</f>
        <v>2</v>
      </c>
      <c r="CL73">
        <f ca="1">COUNTIFS(INDIRECT("Table1[Beginn]"),"&lt;="&amp;CL$1,INDIRECT("Table1[Ende]"),"&gt;="&amp;CL$1,INDIRECT("Table1[Obergruppe ATC-Code]"),Tabelle3!$A73)</f>
        <v>2</v>
      </c>
      <c r="CM73">
        <f ca="1">COUNTIFS(INDIRECT("Table1[Beginn]"),"&lt;="&amp;CM$1,INDIRECT("Table1[Ende]"),"&gt;="&amp;CM$1,INDIRECT("Table1[Obergruppe ATC-Code]"),Tabelle3!$A73)</f>
        <v>2</v>
      </c>
      <c r="CN73">
        <f ca="1">COUNTIFS(INDIRECT("Table1[Beginn]"),"&lt;="&amp;CN$1,INDIRECT("Table1[Ende]"),"&gt;="&amp;CN$1,INDIRECT("Table1[Obergruppe ATC-Code]"),Tabelle3!$A73)</f>
        <v>1</v>
      </c>
      <c r="CO73">
        <f ca="1">COUNTIFS(INDIRECT("Table1[Beginn]"),"&lt;="&amp;CO$1,INDIRECT("Table1[Ende]"),"&gt;="&amp;CO$1,INDIRECT("Table1[Obergruppe ATC-Code]"),Tabelle3!$A73)</f>
        <v>0</v>
      </c>
      <c r="CP73">
        <f ca="1">COUNTIFS(INDIRECT("Table1[Beginn]"),"&lt;="&amp;CP$1,INDIRECT("Table1[Ende]"),"&gt;="&amp;CP$1,INDIRECT("Table1[Obergruppe ATC-Code]"),Tabelle3!$A73)</f>
        <v>0</v>
      </c>
      <c r="CQ73">
        <f ca="1">COUNTIFS(INDIRECT("Table1[Beginn]"),"&lt;="&amp;CQ$1,INDIRECT("Table1[Ende]"),"&gt;="&amp;CQ$1,INDIRECT("Table1[Obergruppe ATC-Code]"),Tabelle3!$A73)</f>
        <v>0</v>
      </c>
      <c r="CR73">
        <f ca="1">COUNTIFS(INDIRECT("Table1[Beginn]"),"&lt;="&amp;CR$1,INDIRECT("Table1[Ende]"),"&gt;="&amp;CR$1,INDIRECT("Table1[Obergruppe ATC-Code]"),Tabelle3!$A73)</f>
        <v>0</v>
      </c>
      <c r="CS73">
        <f ca="1">COUNTIFS(INDIRECT("Table1[Beginn]"),"&lt;="&amp;CS$1,INDIRECT("Table1[Ende]"),"&gt;="&amp;CS$1,INDIRECT("Table1[Obergruppe ATC-Code]"),Tabelle3!$A73)</f>
        <v>0</v>
      </c>
      <c r="CT73">
        <f ca="1">COUNTIFS(INDIRECT("Table1[Beginn]"),"&lt;="&amp;CT$1,INDIRECT("Table1[Ende]"),"&gt;="&amp;CT$1,INDIRECT("Table1[Obergruppe ATC-Code]"),Tabelle3!$A73)</f>
        <v>0</v>
      </c>
    </row>
    <row r="74" spans="1:98" ht="18">
      <c r="A74" s="7" t="s">
        <v>6916</v>
      </c>
      <c r="B74" s="8" t="s">
        <v>6917</v>
      </c>
      <c r="C74">
        <f ca="1">COUNTIFS(INDIRECT("Table1[Beginn]"),"&lt;="&amp;C$1,INDIRECT("Table1[Ende]"),"&gt;="&amp;C$1,INDIRECT("Table1[Obergruppe ATC-Code]"),Tabelle3!$A74)</f>
        <v>0</v>
      </c>
      <c r="D74">
        <f ca="1">COUNTIFS(INDIRECT("Table1[Beginn]"),"&lt;="&amp;D$1,INDIRECT("Table1[Ende]"),"&gt;="&amp;D$1,INDIRECT("Table1[Obergruppe ATC-Code]"),Tabelle3!$A74)</f>
        <v>0</v>
      </c>
      <c r="E74">
        <f ca="1">COUNTIFS(INDIRECT("Table1[Beginn]"),"&lt;="&amp;E$1,INDIRECT("Table1[Ende]"),"&gt;="&amp;E$1,INDIRECT("Table1[Obergruppe ATC-Code]"),Tabelle3!$A74)</f>
        <v>0</v>
      </c>
      <c r="F74">
        <f ca="1">COUNTIFS(INDIRECT("Table1[Beginn]"),"&lt;="&amp;F$1,INDIRECT("Table1[Ende]"),"&gt;="&amp;F$1,INDIRECT("Table1[Obergruppe ATC-Code]"),Tabelle3!$A74)</f>
        <v>0</v>
      </c>
      <c r="G74">
        <f ca="1">COUNTIFS(INDIRECT("Table1[Beginn]"),"&lt;="&amp;G$1,INDIRECT("Table1[Ende]"),"&gt;="&amp;G$1,INDIRECT("Table1[Obergruppe ATC-Code]"),Tabelle3!$A74)</f>
        <v>0</v>
      </c>
      <c r="H74">
        <f ca="1">COUNTIFS(INDIRECT("Table1[Beginn]"),"&lt;="&amp;H$1,INDIRECT("Table1[Ende]"),"&gt;="&amp;H$1,INDIRECT("Table1[Obergruppe ATC-Code]"),Tabelle3!$A74)</f>
        <v>0</v>
      </c>
      <c r="I74">
        <f ca="1">COUNTIFS(INDIRECT("Table1[Beginn]"),"&lt;="&amp;I$1,INDIRECT("Table1[Ende]"),"&gt;="&amp;I$1,INDIRECT("Table1[Obergruppe ATC-Code]"),Tabelle3!$A74)</f>
        <v>0</v>
      </c>
      <c r="J74">
        <f ca="1">COUNTIFS(INDIRECT("Table1[Beginn]"),"&lt;="&amp;J$1,INDIRECT("Table1[Ende]"),"&gt;="&amp;J$1,INDIRECT("Table1[Obergruppe ATC-Code]"),Tabelle3!$A74)</f>
        <v>0</v>
      </c>
      <c r="K74">
        <f ca="1">COUNTIFS(INDIRECT("Table1[Beginn]"),"&lt;="&amp;K$1,INDIRECT("Table1[Ende]"),"&gt;="&amp;K$1,INDIRECT("Table1[Obergruppe ATC-Code]"),Tabelle3!$A74)</f>
        <v>0</v>
      </c>
      <c r="L74">
        <f ca="1">COUNTIFS(INDIRECT("Table1[Beginn]"),"&lt;="&amp;L$1,INDIRECT("Table1[Ende]"),"&gt;="&amp;L$1,INDIRECT("Table1[Obergruppe ATC-Code]"),Tabelle3!$A74)</f>
        <v>0</v>
      </c>
      <c r="M74">
        <f ca="1">COUNTIFS(INDIRECT("Table1[Beginn]"),"&lt;="&amp;M$1,INDIRECT("Table1[Ende]"),"&gt;="&amp;M$1,INDIRECT("Table1[Obergruppe ATC-Code]"),Tabelle3!$A74)</f>
        <v>0</v>
      </c>
      <c r="N74">
        <f ca="1">COUNTIFS(INDIRECT("Table1[Beginn]"),"&lt;="&amp;N$1,INDIRECT("Table1[Ende]"),"&gt;="&amp;N$1,INDIRECT("Table1[Obergruppe ATC-Code]"),Tabelle3!$A74)</f>
        <v>0</v>
      </c>
      <c r="O74">
        <f ca="1">COUNTIFS(INDIRECT("Table1[Beginn]"),"&lt;="&amp;O$1,INDIRECT("Table1[Ende]"),"&gt;="&amp;O$1,INDIRECT("Table1[Obergruppe ATC-Code]"),Tabelle3!$A74)</f>
        <v>0</v>
      </c>
      <c r="P74">
        <f ca="1">COUNTIFS(INDIRECT("Table1[Beginn]"),"&lt;="&amp;P$1,INDIRECT("Table1[Ende]"),"&gt;="&amp;P$1,INDIRECT("Table1[Obergruppe ATC-Code]"),Tabelle3!$A74)</f>
        <v>0</v>
      </c>
      <c r="Q74">
        <f ca="1">COUNTIFS(INDIRECT("Table1[Beginn]"),"&lt;="&amp;Q$1,INDIRECT("Table1[Ende]"),"&gt;="&amp;Q$1,INDIRECT("Table1[Obergruppe ATC-Code]"),Tabelle3!$A74)</f>
        <v>0</v>
      </c>
      <c r="R74">
        <f ca="1">COUNTIFS(INDIRECT("Table1[Beginn]"),"&lt;="&amp;R$1,INDIRECT("Table1[Ende]"),"&gt;="&amp;R$1,INDIRECT("Table1[Obergruppe ATC-Code]"),Tabelle3!$A74)</f>
        <v>0</v>
      </c>
      <c r="S74">
        <f ca="1">COUNTIFS(INDIRECT("Table1[Beginn]"),"&lt;="&amp;S$1,INDIRECT("Table1[Ende]"),"&gt;="&amp;S$1,INDIRECT("Table1[Obergruppe ATC-Code]"),Tabelle3!$A74)</f>
        <v>0</v>
      </c>
      <c r="T74">
        <f ca="1">COUNTIFS(INDIRECT("Table1[Beginn]"),"&lt;="&amp;T$1,INDIRECT("Table1[Ende]"),"&gt;="&amp;T$1,INDIRECT("Table1[Obergruppe ATC-Code]"),Tabelle3!$A74)</f>
        <v>0</v>
      </c>
      <c r="U74">
        <f ca="1">COUNTIFS(INDIRECT("Table1[Beginn]"),"&lt;="&amp;U$1,INDIRECT("Table1[Ende]"),"&gt;="&amp;U$1,INDIRECT("Table1[Obergruppe ATC-Code]"),Tabelle3!$A74)</f>
        <v>0</v>
      </c>
      <c r="V74">
        <f ca="1">COUNTIFS(INDIRECT("Table1[Beginn]"),"&lt;="&amp;V$1,INDIRECT("Table1[Ende]"),"&gt;="&amp;V$1,INDIRECT("Table1[Obergruppe ATC-Code]"),Tabelle3!$A74)</f>
        <v>0</v>
      </c>
      <c r="W74">
        <f ca="1">COUNTIFS(INDIRECT("Table1[Beginn]"),"&lt;="&amp;W$1,INDIRECT("Table1[Ende]"),"&gt;="&amp;W$1,INDIRECT("Table1[Obergruppe ATC-Code]"),Tabelle3!$A74)</f>
        <v>0</v>
      </c>
      <c r="X74">
        <f ca="1">COUNTIFS(INDIRECT("Table1[Beginn]"),"&lt;="&amp;X$1,INDIRECT("Table1[Ende]"),"&gt;="&amp;X$1,INDIRECT("Table1[Obergruppe ATC-Code]"),Tabelle3!$A74)</f>
        <v>1</v>
      </c>
      <c r="Y74">
        <f ca="1">COUNTIFS(INDIRECT("Table1[Beginn]"),"&lt;="&amp;Y$1,INDIRECT("Table1[Ende]"),"&gt;="&amp;Y$1,INDIRECT("Table1[Obergruppe ATC-Code]"),Tabelle3!$A74)</f>
        <v>1</v>
      </c>
      <c r="Z74">
        <f ca="1">COUNTIFS(INDIRECT("Table1[Beginn]"),"&lt;="&amp;Z$1,INDIRECT("Table1[Ende]"),"&gt;="&amp;Z$1,INDIRECT("Table1[Obergruppe ATC-Code]"),Tabelle3!$A74)</f>
        <v>1</v>
      </c>
      <c r="AA74">
        <f ca="1">COUNTIFS(INDIRECT("Table1[Beginn]"),"&lt;="&amp;AA$1,INDIRECT("Table1[Ende]"),"&gt;="&amp;AA$1,INDIRECT("Table1[Obergruppe ATC-Code]"),Tabelle3!$A74)</f>
        <v>1</v>
      </c>
      <c r="AB74">
        <f ca="1">COUNTIFS(INDIRECT("Table1[Beginn]"),"&lt;="&amp;AB$1,INDIRECT("Table1[Ende]"),"&gt;="&amp;AB$1,INDIRECT("Table1[Obergruppe ATC-Code]"),Tabelle3!$A74)</f>
        <v>3</v>
      </c>
      <c r="AC74">
        <f ca="1">COUNTIFS(INDIRECT("Table1[Beginn]"),"&lt;="&amp;AC$1,INDIRECT("Table1[Ende]"),"&gt;="&amp;AC$1,INDIRECT("Table1[Obergruppe ATC-Code]"),Tabelle3!$A74)</f>
        <v>4</v>
      </c>
      <c r="AD74">
        <f ca="1">COUNTIFS(INDIRECT("Table1[Beginn]"),"&lt;="&amp;AD$1,INDIRECT("Table1[Ende]"),"&gt;="&amp;AD$1,INDIRECT("Table1[Obergruppe ATC-Code]"),Tabelle3!$A74)</f>
        <v>6</v>
      </c>
      <c r="AE74">
        <f ca="1">COUNTIFS(INDIRECT("Table1[Beginn]"),"&lt;="&amp;AE$1,INDIRECT("Table1[Ende]"),"&gt;="&amp;AE$1,INDIRECT("Table1[Obergruppe ATC-Code]"),Tabelle3!$A74)</f>
        <v>6</v>
      </c>
      <c r="AF74">
        <f ca="1">COUNTIFS(INDIRECT("Table1[Beginn]"),"&lt;="&amp;AF$1,INDIRECT("Table1[Ende]"),"&gt;="&amp;AF$1,INDIRECT("Table1[Obergruppe ATC-Code]"),Tabelle3!$A74)</f>
        <v>7</v>
      </c>
      <c r="AG74">
        <f ca="1">COUNTIFS(INDIRECT("Table1[Beginn]"),"&lt;="&amp;AG$1,INDIRECT("Table1[Ende]"),"&gt;="&amp;AG$1,INDIRECT("Table1[Obergruppe ATC-Code]"),Tabelle3!$A74)</f>
        <v>6</v>
      </c>
      <c r="AH74">
        <f ca="1">COUNTIFS(INDIRECT("Table1[Beginn]"),"&lt;="&amp;AH$1,INDIRECT("Table1[Ende]"),"&gt;="&amp;AH$1,INDIRECT("Table1[Obergruppe ATC-Code]"),Tabelle3!$A74)</f>
        <v>6</v>
      </c>
      <c r="AI74">
        <f ca="1">COUNTIFS(INDIRECT("Table1[Beginn]"),"&lt;="&amp;AI$1,INDIRECT("Table1[Ende]"),"&gt;="&amp;AI$1,INDIRECT("Table1[Obergruppe ATC-Code]"),Tabelle3!$A74)</f>
        <v>10</v>
      </c>
      <c r="AJ74">
        <f ca="1">COUNTIFS(INDIRECT("Table1[Beginn]"),"&lt;="&amp;AJ$1,INDIRECT("Table1[Ende]"),"&gt;="&amp;AJ$1,INDIRECT("Table1[Obergruppe ATC-Code]"),Tabelle3!$A74)</f>
        <v>20</v>
      </c>
      <c r="AK74">
        <f ca="1">COUNTIFS(INDIRECT("Table1[Beginn]"),"&lt;="&amp;AK$1,INDIRECT("Table1[Ende]"),"&gt;="&amp;AK$1,INDIRECT("Table1[Obergruppe ATC-Code]"),Tabelle3!$A74)</f>
        <v>19</v>
      </c>
      <c r="AL74">
        <f ca="1">COUNTIFS(INDIRECT("Table1[Beginn]"),"&lt;="&amp;AL$1,INDIRECT("Table1[Ende]"),"&gt;="&amp;AL$1,INDIRECT("Table1[Obergruppe ATC-Code]"),Tabelle3!$A74)</f>
        <v>23</v>
      </c>
      <c r="AM74">
        <f ca="1">COUNTIFS(INDIRECT("Table1[Beginn]"),"&lt;="&amp;AM$1,INDIRECT("Table1[Ende]"),"&gt;="&amp;AM$1,INDIRECT("Table1[Obergruppe ATC-Code]"),Tabelle3!$A74)</f>
        <v>25</v>
      </c>
      <c r="AN74">
        <f ca="1">COUNTIFS(INDIRECT("Table1[Beginn]"),"&lt;="&amp;AN$1,INDIRECT("Table1[Ende]"),"&gt;="&amp;AN$1,INDIRECT("Table1[Obergruppe ATC-Code]"),Tabelle3!$A74)</f>
        <v>28</v>
      </c>
      <c r="AO74">
        <f ca="1">COUNTIFS(INDIRECT("Table1[Beginn]"),"&lt;="&amp;AO$1,INDIRECT("Table1[Ende]"),"&gt;="&amp;AO$1,INDIRECT("Table1[Obergruppe ATC-Code]"),Tabelle3!$A74)</f>
        <v>30</v>
      </c>
      <c r="AP74">
        <f ca="1">COUNTIFS(INDIRECT("Table1[Beginn]"),"&lt;="&amp;AP$1,INDIRECT("Table1[Ende]"),"&gt;="&amp;AP$1,INDIRECT("Table1[Obergruppe ATC-Code]"),Tabelle3!$A74)</f>
        <v>28</v>
      </c>
      <c r="AQ74">
        <f ca="1">COUNTIFS(INDIRECT("Table1[Beginn]"),"&lt;="&amp;AQ$1,INDIRECT("Table1[Ende]"),"&gt;="&amp;AQ$1,INDIRECT("Table1[Obergruppe ATC-Code]"),Tabelle3!$A74)</f>
        <v>24</v>
      </c>
      <c r="AR74">
        <f ca="1">COUNTIFS(INDIRECT("Table1[Beginn]"),"&lt;="&amp;AR$1,INDIRECT("Table1[Ende]"),"&gt;="&amp;AR$1,INDIRECT("Table1[Obergruppe ATC-Code]"),Tabelle3!$A74)</f>
        <v>24</v>
      </c>
      <c r="AS74">
        <f ca="1">COUNTIFS(INDIRECT("Table1[Beginn]"),"&lt;="&amp;AS$1,INDIRECT("Table1[Ende]"),"&gt;="&amp;AS$1,INDIRECT("Table1[Obergruppe ATC-Code]"),Tabelle3!$A74)</f>
        <v>22</v>
      </c>
      <c r="AT74">
        <f ca="1">COUNTIFS(INDIRECT("Table1[Beginn]"),"&lt;="&amp;AT$1,INDIRECT("Table1[Ende]"),"&gt;="&amp;AT$1,INDIRECT("Table1[Obergruppe ATC-Code]"),Tabelle3!$A74)</f>
        <v>23</v>
      </c>
      <c r="AU74">
        <f ca="1">COUNTIFS(INDIRECT("Table1[Beginn]"),"&lt;="&amp;AU$1,INDIRECT("Table1[Ende]"),"&gt;="&amp;AU$1,INDIRECT("Table1[Obergruppe ATC-Code]"),Tabelle3!$A74)</f>
        <v>23</v>
      </c>
      <c r="AV74">
        <f ca="1">COUNTIFS(INDIRECT("Table1[Beginn]"),"&lt;="&amp;AV$1,INDIRECT("Table1[Ende]"),"&gt;="&amp;AV$1,INDIRECT("Table1[Obergruppe ATC-Code]"),Tabelle3!$A74)</f>
        <v>16</v>
      </c>
      <c r="AW74">
        <f ca="1">COUNTIFS(INDIRECT("Table1[Beginn]"),"&lt;="&amp;AW$1,INDIRECT("Table1[Ende]"),"&gt;="&amp;AW$1,INDIRECT("Table1[Obergruppe ATC-Code]"),Tabelle3!$A74)</f>
        <v>18</v>
      </c>
      <c r="AX74">
        <f ca="1">COUNTIFS(INDIRECT("Table1[Beginn]"),"&lt;="&amp;AX$1,INDIRECT("Table1[Ende]"),"&gt;="&amp;AX$1,INDIRECT("Table1[Obergruppe ATC-Code]"),Tabelle3!$A74)</f>
        <v>15</v>
      </c>
      <c r="AY74">
        <f ca="1">COUNTIFS(INDIRECT("Table1[Beginn]"),"&lt;="&amp;AY$1,INDIRECT("Table1[Ende]"),"&gt;="&amp;AY$1,INDIRECT("Table1[Obergruppe ATC-Code]"),Tabelle3!$A74)</f>
        <v>14</v>
      </c>
      <c r="AZ74">
        <f ca="1">COUNTIFS(INDIRECT("Table1[Beginn]"),"&lt;="&amp;AZ$1,INDIRECT("Table1[Ende]"),"&gt;="&amp;AZ$1,INDIRECT("Table1[Obergruppe ATC-Code]"),Tabelle3!$A74)</f>
        <v>12</v>
      </c>
      <c r="BA74">
        <f ca="1">COUNTIFS(INDIRECT("Table1[Beginn]"),"&lt;="&amp;BA$1,INDIRECT("Table1[Ende]"),"&gt;="&amp;BA$1,INDIRECT("Table1[Obergruppe ATC-Code]"),Tabelle3!$A74)</f>
        <v>10</v>
      </c>
      <c r="BB74">
        <f ca="1">COUNTIFS(INDIRECT("Table1[Beginn]"),"&lt;="&amp;BB$1,INDIRECT("Table1[Ende]"),"&gt;="&amp;BB$1,INDIRECT("Table1[Obergruppe ATC-Code]"),Tabelle3!$A74)</f>
        <v>5</v>
      </c>
      <c r="BC74">
        <f ca="1">COUNTIFS(INDIRECT("Table1[Beginn]"),"&lt;="&amp;BC$1,INDIRECT("Table1[Ende]"),"&gt;="&amp;BC$1,INDIRECT("Table1[Obergruppe ATC-Code]"),Tabelle3!$A74)</f>
        <v>5</v>
      </c>
      <c r="BD74">
        <f ca="1">COUNTIFS(INDIRECT("Table1[Beginn]"),"&lt;="&amp;BD$1,INDIRECT("Table1[Ende]"),"&gt;="&amp;BD$1,INDIRECT("Table1[Obergruppe ATC-Code]"),Tabelle3!$A74)</f>
        <v>4</v>
      </c>
      <c r="BE74">
        <f ca="1">COUNTIFS(INDIRECT("Table1[Beginn]"),"&lt;="&amp;BE$1,INDIRECT("Table1[Ende]"),"&gt;="&amp;BE$1,INDIRECT("Table1[Obergruppe ATC-Code]"),Tabelle3!$A74)</f>
        <v>5</v>
      </c>
      <c r="BF74">
        <f ca="1">COUNTIFS(INDIRECT("Table1[Beginn]"),"&lt;="&amp;BF$1,INDIRECT("Table1[Ende]"),"&gt;="&amp;BF$1,INDIRECT("Table1[Obergruppe ATC-Code]"),Tabelle3!$A74)</f>
        <v>5</v>
      </c>
      <c r="BG74">
        <f ca="1">COUNTIFS(INDIRECT("Table1[Beginn]"),"&lt;="&amp;BG$1,INDIRECT("Table1[Ende]"),"&gt;="&amp;BG$1,INDIRECT("Table1[Obergruppe ATC-Code]"),Tabelle3!$A74)</f>
        <v>3</v>
      </c>
      <c r="BH74">
        <f ca="1">COUNTIFS(INDIRECT("Table1[Beginn]"),"&lt;="&amp;BH$1,INDIRECT("Table1[Ende]"),"&gt;="&amp;BH$1,INDIRECT("Table1[Obergruppe ATC-Code]"),Tabelle3!$A74)</f>
        <v>6</v>
      </c>
      <c r="BI74">
        <f ca="1">COUNTIFS(INDIRECT("Table1[Beginn]"),"&lt;="&amp;BI$1,INDIRECT("Table1[Ende]"),"&gt;="&amp;BI$1,INDIRECT("Table1[Obergruppe ATC-Code]"),Tabelle3!$A74)</f>
        <v>5</v>
      </c>
      <c r="BJ74">
        <f ca="1">COUNTIFS(INDIRECT("Table1[Beginn]"),"&lt;="&amp;BJ$1,INDIRECT("Table1[Ende]"),"&gt;="&amp;BJ$1,INDIRECT("Table1[Obergruppe ATC-Code]"),Tabelle3!$A74)</f>
        <v>6</v>
      </c>
      <c r="BK74">
        <f ca="1">COUNTIFS(INDIRECT("Table1[Beginn]"),"&lt;="&amp;BK$1,INDIRECT("Table1[Ende]"),"&gt;="&amp;BK$1,INDIRECT("Table1[Obergruppe ATC-Code]"),Tabelle3!$A74)</f>
        <v>6</v>
      </c>
      <c r="BL74">
        <f ca="1">COUNTIFS(INDIRECT("Table1[Beginn]"),"&lt;="&amp;BL$1,INDIRECT("Table1[Ende]"),"&gt;="&amp;BL$1,INDIRECT("Table1[Obergruppe ATC-Code]"),Tabelle3!$A74)</f>
        <v>5</v>
      </c>
      <c r="BM74">
        <f ca="1">COUNTIFS(INDIRECT("Table1[Beginn]"),"&lt;="&amp;BM$1,INDIRECT("Table1[Ende]"),"&gt;="&amp;BM$1,INDIRECT("Table1[Obergruppe ATC-Code]"),Tabelle3!$A74)</f>
        <v>2</v>
      </c>
      <c r="BN74">
        <f ca="1">COUNTIFS(INDIRECT("Table1[Beginn]"),"&lt;="&amp;BN$1,INDIRECT("Table1[Ende]"),"&gt;="&amp;BN$1,INDIRECT("Table1[Obergruppe ATC-Code]"),Tabelle3!$A74)</f>
        <v>3</v>
      </c>
      <c r="BO74">
        <f ca="1">COUNTIFS(INDIRECT("Table1[Beginn]"),"&lt;="&amp;BO$1,INDIRECT("Table1[Ende]"),"&gt;="&amp;BO$1,INDIRECT("Table1[Obergruppe ATC-Code]"),Tabelle3!$A74)</f>
        <v>3</v>
      </c>
      <c r="BP74">
        <f ca="1">COUNTIFS(INDIRECT("Table1[Beginn]"),"&lt;="&amp;BP$1,INDIRECT("Table1[Ende]"),"&gt;="&amp;BP$1,INDIRECT("Table1[Obergruppe ATC-Code]"),Tabelle3!$A74)</f>
        <v>3</v>
      </c>
      <c r="BQ74">
        <f ca="1">COUNTIFS(INDIRECT("Table1[Beginn]"),"&lt;="&amp;BQ$1,INDIRECT("Table1[Ende]"),"&gt;="&amp;BQ$1,INDIRECT("Table1[Obergruppe ATC-Code]"),Tabelle3!$A74)</f>
        <v>3</v>
      </c>
      <c r="BR74">
        <f ca="1">COUNTIFS(INDIRECT("Table1[Beginn]"),"&lt;="&amp;BR$1,INDIRECT("Table1[Ende]"),"&gt;="&amp;BR$1,INDIRECT("Table1[Obergruppe ATC-Code]"),Tabelle3!$A74)</f>
        <v>3</v>
      </c>
      <c r="BS74">
        <f ca="1">COUNTIFS(INDIRECT("Table1[Beginn]"),"&lt;="&amp;BS$1,INDIRECT("Table1[Ende]"),"&gt;="&amp;BS$1,INDIRECT("Table1[Obergruppe ATC-Code]"),Tabelle3!$A74)</f>
        <v>3</v>
      </c>
      <c r="BT74">
        <f ca="1">COUNTIFS(INDIRECT("Table1[Beginn]"),"&lt;="&amp;BT$1,INDIRECT("Table1[Ende]"),"&gt;="&amp;BT$1,INDIRECT("Table1[Obergruppe ATC-Code]"),Tabelle3!$A74)</f>
        <v>3</v>
      </c>
      <c r="BU74">
        <f ca="1">COUNTIFS(INDIRECT("Table1[Beginn]"),"&lt;="&amp;BU$1,INDIRECT("Table1[Ende]"),"&gt;="&amp;BU$1,INDIRECT("Table1[Obergruppe ATC-Code]"),Tabelle3!$A74)</f>
        <v>3</v>
      </c>
      <c r="BV74">
        <f ca="1">COUNTIFS(INDIRECT("Table1[Beginn]"),"&lt;="&amp;BV$1,INDIRECT("Table1[Ende]"),"&gt;="&amp;BV$1,INDIRECT("Table1[Obergruppe ATC-Code]"),Tabelle3!$A74)</f>
        <v>3</v>
      </c>
      <c r="BW74">
        <f ca="1">COUNTIFS(INDIRECT("Table1[Beginn]"),"&lt;="&amp;BW$1,INDIRECT("Table1[Ende]"),"&gt;="&amp;BW$1,INDIRECT("Table1[Obergruppe ATC-Code]"),Tabelle3!$A74)</f>
        <v>3</v>
      </c>
      <c r="BX74">
        <f ca="1">COUNTIFS(INDIRECT("Table1[Beginn]"),"&lt;="&amp;BX$1,INDIRECT("Table1[Ende]"),"&gt;="&amp;BX$1,INDIRECT("Table1[Obergruppe ATC-Code]"),Tabelle3!$A74)</f>
        <v>3</v>
      </c>
      <c r="BY74">
        <f ca="1">COUNTIFS(INDIRECT("Table1[Beginn]"),"&lt;="&amp;BY$1,INDIRECT("Table1[Ende]"),"&gt;="&amp;BY$1,INDIRECT("Table1[Obergruppe ATC-Code]"),Tabelle3!$A74)</f>
        <v>5</v>
      </c>
      <c r="BZ74">
        <f ca="1">COUNTIFS(INDIRECT("Table1[Beginn]"),"&lt;="&amp;BZ$1,INDIRECT("Table1[Ende]"),"&gt;="&amp;BZ$1,INDIRECT("Table1[Obergruppe ATC-Code]"),Tabelle3!$A74)</f>
        <v>4</v>
      </c>
      <c r="CA74">
        <f ca="1">COUNTIFS(INDIRECT("Table1[Beginn]"),"&lt;="&amp;CA$1,INDIRECT("Table1[Ende]"),"&gt;="&amp;CA$1,INDIRECT("Table1[Obergruppe ATC-Code]"),Tabelle3!$A74)</f>
        <v>6</v>
      </c>
      <c r="CB74">
        <f ca="1">COUNTIFS(INDIRECT("Table1[Beginn]"),"&lt;="&amp;CB$1,INDIRECT("Table1[Ende]"),"&gt;="&amp;CB$1,INDIRECT("Table1[Obergruppe ATC-Code]"),Tabelle3!$A74)</f>
        <v>7</v>
      </c>
      <c r="CC74">
        <f ca="1">COUNTIFS(INDIRECT("Table1[Beginn]"),"&lt;="&amp;CC$1,INDIRECT("Table1[Ende]"),"&gt;="&amp;CC$1,INDIRECT("Table1[Obergruppe ATC-Code]"),Tabelle3!$A74)</f>
        <v>7</v>
      </c>
      <c r="CD74">
        <f ca="1">COUNTIFS(INDIRECT("Table1[Beginn]"),"&lt;="&amp;CD$1,INDIRECT("Table1[Ende]"),"&gt;="&amp;CD$1,INDIRECT("Table1[Obergruppe ATC-Code]"),Tabelle3!$A74)</f>
        <v>11</v>
      </c>
      <c r="CE74">
        <f ca="1">COUNTIFS(INDIRECT("Table1[Beginn]"),"&lt;="&amp;CE$1,INDIRECT("Table1[Ende]"),"&gt;="&amp;CE$1,INDIRECT("Table1[Obergruppe ATC-Code]"),Tabelle3!$A74)</f>
        <v>21</v>
      </c>
      <c r="CF74">
        <f ca="1">COUNTIFS(INDIRECT("Table1[Beginn]"),"&lt;="&amp;CF$1,INDIRECT("Table1[Ende]"),"&gt;="&amp;CF$1,INDIRECT("Table1[Obergruppe ATC-Code]"),Tabelle3!$A74)</f>
        <v>22</v>
      </c>
      <c r="CG74">
        <f ca="1">COUNTIFS(INDIRECT("Table1[Beginn]"),"&lt;="&amp;CG$1,INDIRECT("Table1[Ende]"),"&gt;="&amp;CG$1,INDIRECT("Table1[Obergruppe ATC-Code]"),Tabelle3!$A74)</f>
        <v>15</v>
      </c>
      <c r="CH74">
        <f ca="1">COUNTIFS(INDIRECT("Table1[Beginn]"),"&lt;="&amp;CH$1,INDIRECT("Table1[Ende]"),"&gt;="&amp;CH$1,INDIRECT("Table1[Obergruppe ATC-Code]"),Tabelle3!$A74)</f>
        <v>14</v>
      </c>
      <c r="CI74">
        <f ca="1">COUNTIFS(INDIRECT("Table1[Beginn]"),"&lt;="&amp;CI$1,INDIRECT("Table1[Ende]"),"&gt;="&amp;CI$1,INDIRECT("Table1[Obergruppe ATC-Code]"),Tabelle3!$A74)</f>
        <v>10</v>
      </c>
      <c r="CJ74">
        <f ca="1">COUNTIFS(INDIRECT("Table1[Beginn]"),"&lt;="&amp;CJ$1,INDIRECT("Table1[Ende]"),"&gt;="&amp;CJ$1,INDIRECT("Table1[Obergruppe ATC-Code]"),Tabelle3!$A74)</f>
        <v>9</v>
      </c>
      <c r="CK74">
        <f ca="1">COUNTIFS(INDIRECT("Table1[Beginn]"),"&lt;="&amp;CK$1,INDIRECT("Table1[Ende]"),"&gt;="&amp;CK$1,INDIRECT("Table1[Obergruppe ATC-Code]"),Tabelle3!$A74)</f>
        <v>8</v>
      </c>
      <c r="CL74">
        <f ca="1">COUNTIFS(INDIRECT("Table1[Beginn]"),"&lt;="&amp;CL$1,INDIRECT("Table1[Ende]"),"&gt;="&amp;CL$1,INDIRECT("Table1[Obergruppe ATC-Code]"),Tabelle3!$A74)</f>
        <v>1</v>
      </c>
      <c r="CM74">
        <f ca="1">COUNTIFS(INDIRECT("Table1[Beginn]"),"&lt;="&amp;CM$1,INDIRECT("Table1[Ende]"),"&gt;="&amp;CM$1,INDIRECT("Table1[Obergruppe ATC-Code]"),Tabelle3!$A74)</f>
        <v>1</v>
      </c>
      <c r="CN74">
        <f ca="1">COUNTIFS(INDIRECT("Table1[Beginn]"),"&lt;="&amp;CN$1,INDIRECT("Table1[Ende]"),"&gt;="&amp;CN$1,INDIRECT("Table1[Obergruppe ATC-Code]"),Tabelle3!$A74)</f>
        <v>1</v>
      </c>
      <c r="CO74">
        <f ca="1">COUNTIFS(INDIRECT("Table1[Beginn]"),"&lt;="&amp;CO$1,INDIRECT("Table1[Ende]"),"&gt;="&amp;CO$1,INDIRECT("Table1[Obergruppe ATC-Code]"),Tabelle3!$A74)</f>
        <v>1</v>
      </c>
      <c r="CP74">
        <f ca="1">COUNTIFS(INDIRECT("Table1[Beginn]"),"&lt;="&amp;CP$1,INDIRECT("Table1[Ende]"),"&gt;="&amp;CP$1,INDIRECT("Table1[Obergruppe ATC-Code]"),Tabelle3!$A74)</f>
        <v>1</v>
      </c>
      <c r="CQ74">
        <f ca="1">COUNTIFS(INDIRECT("Table1[Beginn]"),"&lt;="&amp;CQ$1,INDIRECT("Table1[Ende]"),"&gt;="&amp;CQ$1,INDIRECT("Table1[Obergruppe ATC-Code]"),Tabelle3!$A74)</f>
        <v>1</v>
      </c>
      <c r="CR74">
        <f ca="1">COUNTIFS(INDIRECT("Table1[Beginn]"),"&lt;="&amp;CR$1,INDIRECT("Table1[Ende]"),"&gt;="&amp;CR$1,INDIRECT("Table1[Obergruppe ATC-Code]"),Tabelle3!$A74)</f>
        <v>1</v>
      </c>
      <c r="CS74">
        <f ca="1">COUNTIFS(INDIRECT("Table1[Beginn]"),"&lt;="&amp;CS$1,INDIRECT("Table1[Ende]"),"&gt;="&amp;CS$1,INDIRECT("Table1[Obergruppe ATC-Code]"),Tabelle3!$A74)</f>
        <v>1</v>
      </c>
      <c r="CT74">
        <f ca="1">COUNTIFS(INDIRECT("Table1[Beginn]"),"&lt;="&amp;CT$1,INDIRECT("Table1[Ende]"),"&gt;="&amp;CT$1,INDIRECT("Table1[Obergruppe ATC-Code]"),Tabelle3!$A74)</f>
        <v>1</v>
      </c>
    </row>
    <row r="75" spans="1:98" ht="18">
      <c r="A75" s="9" t="s">
        <v>6918</v>
      </c>
      <c r="B75" s="10" t="s">
        <v>6919</v>
      </c>
      <c r="C75">
        <f ca="1">COUNTIFS(INDIRECT("Table1[Beginn]"),"&lt;="&amp;C$1,INDIRECT("Table1[Ende]"),"&gt;="&amp;C$1,INDIRECT("Table1[Obergruppe ATC-Code]"),Tabelle3!$A75)</f>
        <v>0</v>
      </c>
      <c r="D75">
        <f ca="1">COUNTIFS(INDIRECT("Table1[Beginn]"),"&lt;="&amp;D$1,INDIRECT("Table1[Ende]"),"&gt;="&amp;D$1,INDIRECT("Table1[Obergruppe ATC-Code]"),Tabelle3!$A75)</f>
        <v>0</v>
      </c>
      <c r="E75">
        <f ca="1">COUNTIFS(INDIRECT("Table1[Beginn]"),"&lt;="&amp;E$1,INDIRECT("Table1[Ende]"),"&gt;="&amp;E$1,INDIRECT("Table1[Obergruppe ATC-Code]"),Tabelle3!$A75)</f>
        <v>0</v>
      </c>
      <c r="F75">
        <f ca="1">COUNTIFS(INDIRECT("Table1[Beginn]"),"&lt;="&amp;F$1,INDIRECT("Table1[Ende]"),"&gt;="&amp;F$1,INDIRECT("Table1[Obergruppe ATC-Code]"),Tabelle3!$A75)</f>
        <v>0</v>
      </c>
      <c r="G75">
        <f ca="1">COUNTIFS(INDIRECT("Table1[Beginn]"),"&lt;="&amp;G$1,INDIRECT("Table1[Ende]"),"&gt;="&amp;G$1,INDIRECT("Table1[Obergruppe ATC-Code]"),Tabelle3!$A75)</f>
        <v>0</v>
      </c>
      <c r="H75">
        <f ca="1">COUNTIFS(INDIRECT("Table1[Beginn]"),"&lt;="&amp;H$1,INDIRECT("Table1[Ende]"),"&gt;="&amp;H$1,INDIRECT("Table1[Obergruppe ATC-Code]"),Tabelle3!$A75)</f>
        <v>0</v>
      </c>
      <c r="I75">
        <f ca="1">COUNTIFS(INDIRECT("Table1[Beginn]"),"&lt;="&amp;I$1,INDIRECT("Table1[Ende]"),"&gt;="&amp;I$1,INDIRECT("Table1[Obergruppe ATC-Code]"),Tabelle3!$A75)</f>
        <v>0</v>
      </c>
      <c r="J75">
        <f ca="1">COUNTIFS(INDIRECT("Table1[Beginn]"),"&lt;="&amp;J$1,INDIRECT("Table1[Ende]"),"&gt;="&amp;J$1,INDIRECT("Table1[Obergruppe ATC-Code]"),Tabelle3!$A75)</f>
        <v>0</v>
      </c>
      <c r="K75">
        <f ca="1">COUNTIFS(INDIRECT("Table1[Beginn]"),"&lt;="&amp;K$1,INDIRECT("Table1[Ende]"),"&gt;="&amp;K$1,INDIRECT("Table1[Obergruppe ATC-Code]"),Tabelle3!$A75)</f>
        <v>0</v>
      </c>
      <c r="L75">
        <f ca="1">COUNTIFS(INDIRECT("Table1[Beginn]"),"&lt;="&amp;L$1,INDIRECT("Table1[Ende]"),"&gt;="&amp;L$1,INDIRECT("Table1[Obergruppe ATC-Code]"),Tabelle3!$A75)</f>
        <v>0</v>
      </c>
      <c r="M75">
        <f ca="1">COUNTIFS(INDIRECT("Table1[Beginn]"),"&lt;="&amp;M$1,INDIRECT("Table1[Ende]"),"&gt;="&amp;M$1,INDIRECT("Table1[Obergruppe ATC-Code]"),Tabelle3!$A75)</f>
        <v>0</v>
      </c>
      <c r="N75">
        <f ca="1">COUNTIFS(INDIRECT("Table1[Beginn]"),"&lt;="&amp;N$1,INDIRECT("Table1[Ende]"),"&gt;="&amp;N$1,INDIRECT("Table1[Obergruppe ATC-Code]"),Tabelle3!$A75)</f>
        <v>0</v>
      </c>
      <c r="O75">
        <f ca="1">COUNTIFS(INDIRECT("Table1[Beginn]"),"&lt;="&amp;O$1,INDIRECT("Table1[Ende]"),"&gt;="&amp;O$1,INDIRECT("Table1[Obergruppe ATC-Code]"),Tabelle3!$A75)</f>
        <v>1</v>
      </c>
      <c r="P75">
        <f ca="1">COUNTIFS(INDIRECT("Table1[Beginn]"),"&lt;="&amp;P$1,INDIRECT("Table1[Ende]"),"&gt;="&amp;P$1,INDIRECT("Table1[Obergruppe ATC-Code]"),Tabelle3!$A75)</f>
        <v>1</v>
      </c>
      <c r="Q75">
        <f ca="1">COUNTIFS(INDIRECT("Table1[Beginn]"),"&lt;="&amp;Q$1,INDIRECT("Table1[Ende]"),"&gt;="&amp;Q$1,INDIRECT("Table1[Obergruppe ATC-Code]"),Tabelle3!$A75)</f>
        <v>2</v>
      </c>
      <c r="R75">
        <f ca="1">COUNTIFS(INDIRECT("Table1[Beginn]"),"&lt;="&amp;R$1,INDIRECT("Table1[Ende]"),"&gt;="&amp;R$1,INDIRECT("Table1[Obergruppe ATC-Code]"),Tabelle3!$A75)</f>
        <v>2</v>
      </c>
      <c r="S75">
        <f ca="1">COUNTIFS(INDIRECT("Table1[Beginn]"),"&lt;="&amp;S$1,INDIRECT("Table1[Ende]"),"&gt;="&amp;S$1,INDIRECT("Table1[Obergruppe ATC-Code]"),Tabelle3!$A75)</f>
        <v>2</v>
      </c>
      <c r="T75">
        <f ca="1">COUNTIFS(INDIRECT("Table1[Beginn]"),"&lt;="&amp;T$1,INDIRECT("Table1[Ende]"),"&gt;="&amp;T$1,INDIRECT("Table1[Obergruppe ATC-Code]"),Tabelle3!$A75)</f>
        <v>1</v>
      </c>
      <c r="U75">
        <f ca="1">COUNTIFS(INDIRECT("Table1[Beginn]"),"&lt;="&amp;U$1,INDIRECT("Table1[Ende]"),"&gt;="&amp;U$1,INDIRECT("Table1[Obergruppe ATC-Code]"),Tabelle3!$A75)</f>
        <v>1</v>
      </c>
      <c r="V75">
        <f ca="1">COUNTIFS(INDIRECT("Table1[Beginn]"),"&lt;="&amp;V$1,INDIRECT("Table1[Ende]"),"&gt;="&amp;V$1,INDIRECT("Table1[Obergruppe ATC-Code]"),Tabelle3!$A75)</f>
        <v>1</v>
      </c>
      <c r="W75">
        <f ca="1">COUNTIFS(INDIRECT("Table1[Beginn]"),"&lt;="&amp;W$1,INDIRECT("Table1[Ende]"),"&gt;="&amp;W$1,INDIRECT("Table1[Obergruppe ATC-Code]"),Tabelle3!$A75)</f>
        <v>1</v>
      </c>
      <c r="X75">
        <f ca="1">COUNTIFS(INDIRECT("Table1[Beginn]"),"&lt;="&amp;X$1,INDIRECT("Table1[Ende]"),"&gt;="&amp;X$1,INDIRECT("Table1[Obergruppe ATC-Code]"),Tabelle3!$A75)</f>
        <v>0</v>
      </c>
      <c r="Y75">
        <f ca="1">COUNTIFS(INDIRECT("Table1[Beginn]"),"&lt;="&amp;Y$1,INDIRECT("Table1[Ende]"),"&gt;="&amp;Y$1,INDIRECT("Table1[Obergruppe ATC-Code]"),Tabelle3!$A75)</f>
        <v>0</v>
      </c>
      <c r="Z75">
        <f ca="1">COUNTIFS(INDIRECT("Table1[Beginn]"),"&lt;="&amp;Z$1,INDIRECT("Table1[Ende]"),"&gt;="&amp;Z$1,INDIRECT("Table1[Obergruppe ATC-Code]"),Tabelle3!$A75)</f>
        <v>0</v>
      </c>
      <c r="AA75">
        <f ca="1">COUNTIFS(INDIRECT("Table1[Beginn]"),"&lt;="&amp;AA$1,INDIRECT("Table1[Ende]"),"&gt;="&amp;AA$1,INDIRECT("Table1[Obergruppe ATC-Code]"),Tabelle3!$A75)</f>
        <v>0</v>
      </c>
      <c r="AB75">
        <f ca="1">COUNTIFS(INDIRECT("Table1[Beginn]"),"&lt;="&amp;AB$1,INDIRECT("Table1[Ende]"),"&gt;="&amp;AB$1,INDIRECT("Table1[Obergruppe ATC-Code]"),Tabelle3!$A75)</f>
        <v>0</v>
      </c>
      <c r="AC75">
        <f ca="1">COUNTIFS(INDIRECT("Table1[Beginn]"),"&lt;="&amp;AC$1,INDIRECT("Table1[Ende]"),"&gt;="&amp;AC$1,INDIRECT("Table1[Obergruppe ATC-Code]"),Tabelle3!$A75)</f>
        <v>0</v>
      </c>
      <c r="AD75">
        <f ca="1">COUNTIFS(INDIRECT("Table1[Beginn]"),"&lt;="&amp;AD$1,INDIRECT("Table1[Ende]"),"&gt;="&amp;AD$1,INDIRECT("Table1[Obergruppe ATC-Code]"),Tabelle3!$A75)</f>
        <v>0</v>
      </c>
      <c r="AE75">
        <f ca="1">COUNTIFS(INDIRECT("Table1[Beginn]"),"&lt;="&amp;AE$1,INDIRECT("Table1[Ende]"),"&gt;="&amp;AE$1,INDIRECT("Table1[Obergruppe ATC-Code]"),Tabelle3!$A75)</f>
        <v>0</v>
      </c>
      <c r="AF75">
        <f ca="1">COUNTIFS(INDIRECT("Table1[Beginn]"),"&lt;="&amp;AF$1,INDIRECT("Table1[Ende]"),"&gt;="&amp;AF$1,INDIRECT("Table1[Obergruppe ATC-Code]"),Tabelle3!$A75)</f>
        <v>0</v>
      </c>
      <c r="AG75">
        <f ca="1">COUNTIFS(INDIRECT("Table1[Beginn]"),"&lt;="&amp;AG$1,INDIRECT("Table1[Ende]"),"&gt;="&amp;AG$1,INDIRECT("Table1[Obergruppe ATC-Code]"),Tabelle3!$A75)</f>
        <v>0</v>
      </c>
      <c r="AH75">
        <f ca="1">COUNTIFS(INDIRECT("Table1[Beginn]"),"&lt;="&amp;AH$1,INDIRECT("Table1[Ende]"),"&gt;="&amp;AH$1,INDIRECT("Table1[Obergruppe ATC-Code]"),Tabelle3!$A75)</f>
        <v>1</v>
      </c>
      <c r="AI75">
        <f ca="1">COUNTIFS(INDIRECT("Table1[Beginn]"),"&lt;="&amp;AI$1,INDIRECT("Table1[Ende]"),"&gt;="&amp;AI$1,INDIRECT("Table1[Obergruppe ATC-Code]"),Tabelle3!$A75)</f>
        <v>1</v>
      </c>
      <c r="AJ75">
        <f ca="1">COUNTIFS(INDIRECT("Table1[Beginn]"),"&lt;="&amp;AJ$1,INDIRECT("Table1[Ende]"),"&gt;="&amp;AJ$1,INDIRECT("Table1[Obergruppe ATC-Code]"),Tabelle3!$A75)</f>
        <v>1</v>
      </c>
      <c r="AK75">
        <f ca="1">COUNTIFS(INDIRECT("Table1[Beginn]"),"&lt;="&amp;AK$1,INDIRECT("Table1[Ende]"),"&gt;="&amp;AK$1,INDIRECT("Table1[Obergruppe ATC-Code]"),Tabelle3!$A75)</f>
        <v>2</v>
      </c>
      <c r="AL75">
        <f ca="1">COUNTIFS(INDIRECT("Table1[Beginn]"),"&lt;="&amp;AL$1,INDIRECT("Table1[Ende]"),"&gt;="&amp;AL$1,INDIRECT("Table1[Obergruppe ATC-Code]"),Tabelle3!$A75)</f>
        <v>3</v>
      </c>
      <c r="AM75">
        <f ca="1">COUNTIFS(INDIRECT("Table1[Beginn]"),"&lt;="&amp;AM$1,INDIRECT("Table1[Ende]"),"&gt;="&amp;AM$1,INDIRECT("Table1[Obergruppe ATC-Code]"),Tabelle3!$A75)</f>
        <v>4</v>
      </c>
      <c r="AN75">
        <f ca="1">COUNTIFS(INDIRECT("Table1[Beginn]"),"&lt;="&amp;AN$1,INDIRECT("Table1[Ende]"),"&gt;="&amp;AN$1,INDIRECT("Table1[Obergruppe ATC-Code]"),Tabelle3!$A75)</f>
        <v>3</v>
      </c>
      <c r="AO75">
        <f ca="1">COUNTIFS(INDIRECT("Table1[Beginn]"),"&lt;="&amp;AO$1,INDIRECT("Table1[Ende]"),"&gt;="&amp;AO$1,INDIRECT("Table1[Obergruppe ATC-Code]"),Tabelle3!$A75)</f>
        <v>3</v>
      </c>
      <c r="AP75">
        <f ca="1">COUNTIFS(INDIRECT("Table1[Beginn]"),"&lt;="&amp;AP$1,INDIRECT("Table1[Ende]"),"&gt;="&amp;AP$1,INDIRECT("Table1[Obergruppe ATC-Code]"),Tabelle3!$A75)</f>
        <v>1</v>
      </c>
      <c r="AQ75">
        <f ca="1">COUNTIFS(INDIRECT("Table1[Beginn]"),"&lt;="&amp;AQ$1,INDIRECT("Table1[Ende]"),"&gt;="&amp;AQ$1,INDIRECT("Table1[Obergruppe ATC-Code]"),Tabelle3!$A75)</f>
        <v>1</v>
      </c>
      <c r="AR75">
        <f ca="1">COUNTIFS(INDIRECT("Table1[Beginn]"),"&lt;="&amp;AR$1,INDIRECT("Table1[Ende]"),"&gt;="&amp;AR$1,INDIRECT("Table1[Obergruppe ATC-Code]"),Tabelle3!$A75)</f>
        <v>1</v>
      </c>
      <c r="AS75">
        <f ca="1">COUNTIFS(INDIRECT("Table1[Beginn]"),"&lt;="&amp;AS$1,INDIRECT("Table1[Ende]"),"&gt;="&amp;AS$1,INDIRECT("Table1[Obergruppe ATC-Code]"),Tabelle3!$A75)</f>
        <v>1</v>
      </c>
      <c r="AT75">
        <f ca="1">COUNTIFS(INDIRECT("Table1[Beginn]"),"&lt;="&amp;AT$1,INDIRECT("Table1[Ende]"),"&gt;="&amp;AT$1,INDIRECT("Table1[Obergruppe ATC-Code]"),Tabelle3!$A75)</f>
        <v>1</v>
      </c>
      <c r="AU75">
        <f ca="1">COUNTIFS(INDIRECT("Table1[Beginn]"),"&lt;="&amp;AU$1,INDIRECT("Table1[Ende]"),"&gt;="&amp;AU$1,INDIRECT("Table1[Obergruppe ATC-Code]"),Tabelle3!$A75)</f>
        <v>1</v>
      </c>
      <c r="AV75">
        <f ca="1">COUNTIFS(INDIRECT("Table1[Beginn]"),"&lt;="&amp;AV$1,INDIRECT("Table1[Ende]"),"&gt;="&amp;AV$1,INDIRECT("Table1[Obergruppe ATC-Code]"),Tabelle3!$A75)</f>
        <v>1</v>
      </c>
      <c r="AW75">
        <f ca="1">COUNTIFS(INDIRECT("Table1[Beginn]"),"&lt;="&amp;AW$1,INDIRECT("Table1[Ende]"),"&gt;="&amp;AW$1,INDIRECT("Table1[Obergruppe ATC-Code]"),Tabelle3!$A75)</f>
        <v>1</v>
      </c>
      <c r="AX75">
        <f ca="1">COUNTIFS(INDIRECT("Table1[Beginn]"),"&lt;="&amp;AX$1,INDIRECT("Table1[Ende]"),"&gt;="&amp;AX$1,INDIRECT("Table1[Obergruppe ATC-Code]"),Tabelle3!$A75)</f>
        <v>3</v>
      </c>
      <c r="AY75">
        <f ca="1">COUNTIFS(INDIRECT("Table1[Beginn]"),"&lt;="&amp;AY$1,INDIRECT("Table1[Ende]"),"&gt;="&amp;AY$1,INDIRECT("Table1[Obergruppe ATC-Code]"),Tabelle3!$A75)</f>
        <v>3</v>
      </c>
      <c r="AZ75">
        <f ca="1">COUNTIFS(INDIRECT("Table1[Beginn]"),"&lt;="&amp;AZ$1,INDIRECT("Table1[Ende]"),"&gt;="&amp;AZ$1,INDIRECT("Table1[Obergruppe ATC-Code]"),Tabelle3!$A75)</f>
        <v>3</v>
      </c>
      <c r="BA75">
        <f ca="1">COUNTIFS(INDIRECT("Table1[Beginn]"),"&lt;="&amp;BA$1,INDIRECT("Table1[Ende]"),"&gt;="&amp;BA$1,INDIRECT("Table1[Obergruppe ATC-Code]"),Tabelle3!$A75)</f>
        <v>3</v>
      </c>
      <c r="BB75">
        <f ca="1">COUNTIFS(INDIRECT("Table1[Beginn]"),"&lt;="&amp;BB$1,INDIRECT("Table1[Ende]"),"&gt;="&amp;BB$1,INDIRECT("Table1[Obergruppe ATC-Code]"),Tabelle3!$A75)</f>
        <v>0</v>
      </c>
      <c r="BC75">
        <f ca="1">COUNTIFS(INDIRECT("Table1[Beginn]"),"&lt;="&amp;BC$1,INDIRECT("Table1[Ende]"),"&gt;="&amp;BC$1,INDIRECT("Table1[Obergruppe ATC-Code]"),Tabelle3!$A75)</f>
        <v>0</v>
      </c>
      <c r="BD75">
        <f ca="1">COUNTIFS(INDIRECT("Table1[Beginn]"),"&lt;="&amp;BD$1,INDIRECT("Table1[Ende]"),"&gt;="&amp;BD$1,INDIRECT("Table1[Obergruppe ATC-Code]"),Tabelle3!$A75)</f>
        <v>0</v>
      </c>
      <c r="BE75">
        <f ca="1">COUNTIFS(INDIRECT("Table1[Beginn]"),"&lt;="&amp;BE$1,INDIRECT("Table1[Ende]"),"&gt;="&amp;BE$1,INDIRECT("Table1[Obergruppe ATC-Code]"),Tabelle3!$A75)</f>
        <v>0</v>
      </c>
      <c r="BF75">
        <f ca="1">COUNTIFS(INDIRECT("Table1[Beginn]"),"&lt;="&amp;BF$1,INDIRECT("Table1[Ende]"),"&gt;="&amp;BF$1,INDIRECT("Table1[Obergruppe ATC-Code]"),Tabelle3!$A75)</f>
        <v>0</v>
      </c>
      <c r="BG75">
        <f ca="1">COUNTIFS(INDIRECT("Table1[Beginn]"),"&lt;="&amp;BG$1,INDIRECT("Table1[Ende]"),"&gt;="&amp;BG$1,INDIRECT("Table1[Obergruppe ATC-Code]"),Tabelle3!$A75)</f>
        <v>0</v>
      </c>
      <c r="BH75">
        <f ca="1">COUNTIFS(INDIRECT("Table1[Beginn]"),"&lt;="&amp;BH$1,INDIRECT("Table1[Ende]"),"&gt;="&amp;BH$1,INDIRECT("Table1[Obergruppe ATC-Code]"),Tabelle3!$A75)</f>
        <v>0</v>
      </c>
      <c r="BI75">
        <f ca="1">COUNTIFS(INDIRECT("Table1[Beginn]"),"&lt;="&amp;BI$1,INDIRECT("Table1[Ende]"),"&gt;="&amp;BI$1,INDIRECT("Table1[Obergruppe ATC-Code]"),Tabelle3!$A75)</f>
        <v>0</v>
      </c>
      <c r="BJ75">
        <f ca="1">COUNTIFS(INDIRECT("Table1[Beginn]"),"&lt;="&amp;BJ$1,INDIRECT("Table1[Ende]"),"&gt;="&amp;BJ$1,INDIRECT("Table1[Obergruppe ATC-Code]"),Tabelle3!$A75)</f>
        <v>0</v>
      </c>
      <c r="BK75">
        <f ca="1">COUNTIFS(INDIRECT("Table1[Beginn]"),"&lt;="&amp;BK$1,INDIRECT("Table1[Ende]"),"&gt;="&amp;BK$1,INDIRECT("Table1[Obergruppe ATC-Code]"),Tabelle3!$A75)</f>
        <v>0</v>
      </c>
      <c r="BL75">
        <f ca="1">COUNTIFS(INDIRECT("Table1[Beginn]"),"&lt;="&amp;BL$1,INDIRECT("Table1[Ende]"),"&gt;="&amp;BL$1,INDIRECT("Table1[Obergruppe ATC-Code]"),Tabelle3!$A75)</f>
        <v>3</v>
      </c>
      <c r="BM75">
        <f ca="1">COUNTIFS(INDIRECT("Table1[Beginn]"),"&lt;="&amp;BM$1,INDIRECT("Table1[Ende]"),"&gt;="&amp;BM$1,INDIRECT("Table1[Obergruppe ATC-Code]"),Tabelle3!$A75)</f>
        <v>4</v>
      </c>
      <c r="BN75">
        <f ca="1">COUNTIFS(INDIRECT("Table1[Beginn]"),"&lt;="&amp;BN$1,INDIRECT("Table1[Ende]"),"&gt;="&amp;BN$1,INDIRECT("Table1[Obergruppe ATC-Code]"),Tabelle3!$A75)</f>
        <v>3</v>
      </c>
      <c r="BO75">
        <f ca="1">COUNTIFS(INDIRECT("Table1[Beginn]"),"&lt;="&amp;BO$1,INDIRECT("Table1[Ende]"),"&gt;="&amp;BO$1,INDIRECT("Table1[Obergruppe ATC-Code]"),Tabelle3!$A75)</f>
        <v>4</v>
      </c>
      <c r="BP75">
        <f ca="1">COUNTIFS(INDIRECT("Table1[Beginn]"),"&lt;="&amp;BP$1,INDIRECT("Table1[Ende]"),"&gt;="&amp;BP$1,INDIRECT("Table1[Obergruppe ATC-Code]"),Tabelle3!$A75)</f>
        <v>3</v>
      </c>
      <c r="BQ75">
        <f ca="1">COUNTIFS(INDIRECT("Table1[Beginn]"),"&lt;="&amp;BQ$1,INDIRECT("Table1[Ende]"),"&gt;="&amp;BQ$1,INDIRECT("Table1[Obergruppe ATC-Code]"),Tabelle3!$A75)</f>
        <v>3</v>
      </c>
      <c r="BR75">
        <f ca="1">COUNTIFS(INDIRECT("Table1[Beginn]"),"&lt;="&amp;BR$1,INDIRECT("Table1[Ende]"),"&gt;="&amp;BR$1,INDIRECT("Table1[Obergruppe ATC-Code]"),Tabelle3!$A75)</f>
        <v>4</v>
      </c>
      <c r="BS75">
        <f ca="1">COUNTIFS(INDIRECT("Table1[Beginn]"),"&lt;="&amp;BS$1,INDIRECT("Table1[Ende]"),"&gt;="&amp;BS$1,INDIRECT("Table1[Obergruppe ATC-Code]"),Tabelle3!$A75)</f>
        <v>3</v>
      </c>
      <c r="BT75">
        <f ca="1">COUNTIFS(INDIRECT("Table1[Beginn]"),"&lt;="&amp;BT$1,INDIRECT("Table1[Ende]"),"&gt;="&amp;BT$1,INDIRECT("Table1[Obergruppe ATC-Code]"),Tabelle3!$A75)</f>
        <v>4</v>
      </c>
      <c r="BU75">
        <f ca="1">COUNTIFS(INDIRECT("Table1[Beginn]"),"&lt;="&amp;BU$1,INDIRECT("Table1[Ende]"),"&gt;="&amp;BU$1,INDIRECT("Table1[Obergruppe ATC-Code]"),Tabelle3!$A75)</f>
        <v>4</v>
      </c>
      <c r="BV75">
        <f ca="1">COUNTIFS(INDIRECT("Table1[Beginn]"),"&lt;="&amp;BV$1,INDIRECT("Table1[Ende]"),"&gt;="&amp;BV$1,INDIRECT("Table1[Obergruppe ATC-Code]"),Tabelle3!$A75)</f>
        <v>5</v>
      </c>
      <c r="BW75">
        <f ca="1">COUNTIFS(INDIRECT("Table1[Beginn]"),"&lt;="&amp;BW$1,INDIRECT("Table1[Ende]"),"&gt;="&amp;BW$1,INDIRECT("Table1[Obergruppe ATC-Code]"),Tabelle3!$A75)</f>
        <v>6</v>
      </c>
      <c r="BX75">
        <f ca="1">COUNTIFS(INDIRECT("Table1[Beginn]"),"&lt;="&amp;BX$1,INDIRECT("Table1[Ende]"),"&gt;="&amp;BX$1,INDIRECT("Table1[Obergruppe ATC-Code]"),Tabelle3!$A75)</f>
        <v>7</v>
      </c>
      <c r="BY75">
        <f ca="1">COUNTIFS(INDIRECT("Table1[Beginn]"),"&lt;="&amp;BY$1,INDIRECT("Table1[Ende]"),"&gt;="&amp;BY$1,INDIRECT("Table1[Obergruppe ATC-Code]"),Tabelle3!$A75)</f>
        <v>7</v>
      </c>
      <c r="BZ75">
        <f ca="1">COUNTIFS(INDIRECT("Table1[Beginn]"),"&lt;="&amp;BZ$1,INDIRECT("Table1[Ende]"),"&gt;="&amp;BZ$1,INDIRECT("Table1[Obergruppe ATC-Code]"),Tabelle3!$A75)</f>
        <v>7</v>
      </c>
      <c r="CA75">
        <f ca="1">COUNTIFS(INDIRECT("Table1[Beginn]"),"&lt;="&amp;CA$1,INDIRECT("Table1[Ende]"),"&gt;="&amp;CA$1,INDIRECT("Table1[Obergruppe ATC-Code]"),Tabelle3!$A75)</f>
        <v>8</v>
      </c>
      <c r="CB75">
        <f ca="1">COUNTIFS(INDIRECT("Table1[Beginn]"),"&lt;="&amp;CB$1,INDIRECT("Table1[Ende]"),"&gt;="&amp;CB$1,INDIRECT("Table1[Obergruppe ATC-Code]"),Tabelle3!$A75)</f>
        <v>9</v>
      </c>
      <c r="CC75">
        <f ca="1">COUNTIFS(INDIRECT("Table1[Beginn]"),"&lt;="&amp;CC$1,INDIRECT("Table1[Ende]"),"&gt;="&amp;CC$1,INDIRECT("Table1[Obergruppe ATC-Code]"),Tabelle3!$A75)</f>
        <v>8</v>
      </c>
      <c r="CD75">
        <f ca="1">COUNTIFS(INDIRECT("Table1[Beginn]"),"&lt;="&amp;CD$1,INDIRECT("Table1[Ende]"),"&gt;="&amp;CD$1,INDIRECT("Table1[Obergruppe ATC-Code]"),Tabelle3!$A75)</f>
        <v>9</v>
      </c>
      <c r="CE75">
        <f ca="1">COUNTIFS(INDIRECT("Table1[Beginn]"),"&lt;="&amp;CE$1,INDIRECT("Table1[Ende]"),"&gt;="&amp;CE$1,INDIRECT("Table1[Obergruppe ATC-Code]"),Tabelle3!$A75)</f>
        <v>7</v>
      </c>
      <c r="CF75">
        <f ca="1">COUNTIFS(INDIRECT("Table1[Beginn]"),"&lt;="&amp;CF$1,INDIRECT("Table1[Ende]"),"&gt;="&amp;CF$1,INDIRECT("Table1[Obergruppe ATC-Code]"),Tabelle3!$A75)</f>
        <v>6</v>
      </c>
      <c r="CG75">
        <f ca="1">COUNTIFS(INDIRECT("Table1[Beginn]"),"&lt;="&amp;CG$1,INDIRECT("Table1[Ende]"),"&gt;="&amp;CG$1,INDIRECT("Table1[Obergruppe ATC-Code]"),Tabelle3!$A75)</f>
        <v>6</v>
      </c>
      <c r="CH75">
        <f ca="1">COUNTIFS(INDIRECT("Table1[Beginn]"),"&lt;="&amp;CH$1,INDIRECT("Table1[Ende]"),"&gt;="&amp;CH$1,INDIRECT("Table1[Obergruppe ATC-Code]"),Tabelle3!$A75)</f>
        <v>5</v>
      </c>
      <c r="CI75">
        <f ca="1">COUNTIFS(INDIRECT("Table1[Beginn]"),"&lt;="&amp;CI$1,INDIRECT("Table1[Ende]"),"&gt;="&amp;CI$1,INDIRECT("Table1[Obergruppe ATC-Code]"),Tabelle3!$A75)</f>
        <v>1</v>
      </c>
      <c r="CJ75">
        <f ca="1">COUNTIFS(INDIRECT("Table1[Beginn]"),"&lt;="&amp;CJ$1,INDIRECT("Table1[Ende]"),"&gt;="&amp;CJ$1,INDIRECT("Table1[Obergruppe ATC-Code]"),Tabelle3!$A75)</f>
        <v>1</v>
      </c>
      <c r="CK75">
        <f ca="1">COUNTIFS(INDIRECT("Table1[Beginn]"),"&lt;="&amp;CK$1,INDIRECT("Table1[Ende]"),"&gt;="&amp;CK$1,INDIRECT("Table1[Obergruppe ATC-Code]"),Tabelle3!$A75)</f>
        <v>0</v>
      </c>
      <c r="CL75">
        <f ca="1">COUNTIFS(INDIRECT("Table1[Beginn]"),"&lt;="&amp;CL$1,INDIRECT("Table1[Ende]"),"&gt;="&amp;CL$1,INDIRECT("Table1[Obergruppe ATC-Code]"),Tabelle3!$A75)</f>
        <v>0</v>
      </c>
      <c r="CM75">
        <f ca="1">COUNTIFS(INDIRECT("Table1[Beginn]"),"&lt;="&amp;CM$1,INDIRECT("Table1[Ende]"),"&gt;="&amp;CM$1,INDIRECT("Table1[Obergruppe ATC-Code]"),Tabelle3!$A75)</f>
        <v>0</v>
      </c>
      <c r="CN75">
        <f ca="1">COUNTIFS(INDIRECT("Table1[Beginn]"),"&lt;="&amp;CN$1,INDIRECT("Table1[Ende]"),"&gt;="&amp;CN$1,INDIRECT("Table1[Obergruppe ATC-Code]"),Tabelle3!$A75)</f>
        <v>0</v>
      </c>
      <c r="CO75">
        <f ca="1">COUNTIFS(INDIRECT("Table1[Beginn]"),"&lt;="&amp;CO$1,INDIRECT("Table1[Ende]"),"&gt;="&amp;CO$1,INDIRECT("Table1[Obergruppe ATC-Code]"),Tabelle3!$A75)</f>
        <v>0</v>
      </c>
      <c r="CP75">
        <f ca="1">COUNTIFS(INDIRECT("Table1[Beginn]"),"&lt;="&amp;CP$1,INDIRECT("Table1[Ende]"),"&gt;="&amp;CP$1,INDIRECT("Table1[Obergruppe ATC-Code]"),Tabelle3!$A75)</f>
        <v>0</v>
      </c>
      <c r="CQ75">
        <f ca="1">COUNTIFS(INDIRECT("Table1[Beginn]"),"&lt;="&amp;CQ$1,INDIRECT("Table1[Ende]"),"&gt;="&amp;CQ$1,INDIRECT("Table1[Obergruppe ATC-Code]"),Tabelle3!$A75)</f>
        <v>0</v>
      </c>
      <c r="CR75">
        <f ca="1">COUNTIFS(INDIRECT("Table1[Beginn]"),"&lt;="&amp;CR$1,INDIRECT("Table1[Ende]"),"&gt;="&amp;CR$1,INDIRECT("Table1[Obergruppe ATC-Code]"),Tabelle3!$A75)</f>
        <v>0</v>
      </c>
      <c r="CS75">
        <f ca="1">COUNTIFS(INDIRECT("Table1[Beginn]"),"&lt;="&amp;CS$1,INDIRECT("Table1[Ende]"),"&gt;="&amp;CS$1,INDIRECT("Table1[Obergruppe ATC-Code]"),Tabelle3!$A75)</f>
        <v>0</v>
      </c>
      <c r="CT75">
        <f ca="1">COUNTIFS(INDIRECT("Table1[Beginn]"),"&lt;="&amp;CT$1,INDIRECT("Table1[Ende]"),"&gt;="&amp;CT$1,INDIRECT("Table1[Obergruppe ATC-Code]"),Tabelle3!$A75)</f>
        <v>0</v>
      </c>
    </row>
    <row r="76" spans="1:98" ht="18">
      <c r="A76" s="7" t="s">
        <v>6920</v>
      </c>
      <c r="B76" s="8" t="s">
        <v>6921</v>
      </c>
      <c r="C76">
        <f ca="1">COUNTIFS(INDIRECT("Table1[Beginn]"),"&lt;="&amp;C$1,INDIRECT("Table1[Ende]"),"&gt;="&amp;C$1,INDIRECT("Table1[Obergruppe ATC-Code]"),Tabelle3!$A76)</f>
        <v>0</v>
      </c>
      <c r="D76">
        <f ca="1">COUNTIFS(INDIRECT("Table1[Beginn]"),"&lt;="&amp;D$1,INDIRECT("Table1[Ende]"),"&gt;="&amp;D$1,INDIRECT("Table1[Obergruppe ATC-Code]"),Tabelle3!$A76)</f>
        <v>0</v>
      </c>
      <c r="E76">
        <f ca="1">COUNTIFS(INDIRECT("Table1[Beginn]"),"&lt;="&amp;E$1,INDIRECT("Table1[Ende]"),"&gt;="&amp;E$1,INDIRECT("Table1[Obergruppe ATC-Code]"),Tabelle3!$A76)</f>
        <v>0</v>
      </c>
      <c r="F76">
        <f ca="1">COUNTIFS(INDIRECT("Table1[Beginn]"),"&lt;="&amp;F$1,INDIRECT("Table1[Ende]"),"&gt;="&amp;F$1,INDIRECT("Table1[Obergruppe ATC-Code]"),Tabelle3!$A76)</f>
        <v>0</v>
      </c>
      <c r="G76">
        <f ca="1">COUNTIFS(INDIRECT("Table1[Beginn]"),"&lt;="&amp;G$1,INDIRECT("Table1[Ende]"),"&gt;="&amp;G$1,INDIRECT("Table1[Obergruppe ATC-Code]"),Tabelle3!$A76)</f>
        <v>0</v>
      </c>
      <c r="H76">
        <f ca="1">COUNTIFS(INDIRECT("Table1[Beginn]"),"&lt;="&amp;H$1,INDIRECT("Table1[Ende]"),"&gt;="&amp;H$1,INDIRECT("Table1[Obergruppe ATC-Code]"),Tabelle3!$A76)</f>
        <v>0</v>
      </c>
      <c r="I76">
        <f ca="1">COUNTIFS(INDIRECT("Table1[Beginn]"),"&lt;="&amp;I$1,INDIRECT("Table1[Ende]"),"&gt;="&amp;I$1,INDIRECT("Table1[Obergruppe ATC-Code]"),Tabelle3!$A76)</f>
        <v>0</v>
      </c>
      <c r="J76">
        <f ca="1">COUNTIFS(INDIRECT("Table1[Beginn]"),"&lt;="&amp;J$1,INDIRECT("Table1[Ende]"),"&gt;="&amp;J$1,INDIRECT("Table1[Obergruppe ATC-Code]"),Tabelle3!$A76)</f>
        <v>0</v>
      </c>
      <c r="K76">
        <f ca="1">COUNTIFS(INDIRECT("Table1[Beginn]"),"&lt;="&amp;K$1,INDIRECT("Table1[Ende]"),"&gt;="&amp;K$1,INDIRECT("Table1[Obergruppe ATC-Code]"),Tabelle3!$A76)</f>
        <v>0</v>
      </c>
      <c r="L76">
        <f ca="1">COUNTIFS(INDIRECT("Table1[Beginn]"),"&lt;="&amp;L$1,INDIRECT("Table1[Ende]"),"&gt;="&amp;L$1,INDIRECT("Table1[Obergruppe ATC-Code]"),Tabelle3!$A76)</f>
        <v>0</v>
      </c>
      <c r="M76">
        <f ca="1">COUNTIFS(INDIRECT("Table1[Beginn]"),"&lt;="&amp;M$1,INDIRECT("Table1[Ende]"),"&gt;="&amp;M$1,INDIRECT("Table1[Obergruppe ATC-Code]"),Tabelle3!$A76)</f>
        <v>0</v>
      </c>
      <c r="N76">
        <f ca="1">COUNTIFS(INDIRECT("Table1[Beginn]"),"&lt;="&amp;N$1,INDIRECT("Table1[Ende]"),"&gt;="&amp;N$1,INDIRECT("Table1[Obergruppe ATC-Code]"),Tabelle3!$A76)</f>
        <v>0</v>
      </c>
      <c r="O76">
        <f ca="1">COUNTIFS(INDIRECT("Table1[Beginn]"),"&lt;="&amp;O$1,INDIRECT("Table1[Ende]"),"&gt;="&amp;O$1,INDIRECT("Table1[Obergruppe ATC-Code]"),Tabelle3!$A76)</f>
        <v>0</v>
      </c>
      <c r="P76">
        <f ca="1">COUNTIFS(INDIRECT("Table1[Beginn]"),"&lt;="&amp;P$1,INDIRECT("Table1[Ende]"),"&gt;="&amp;P$1,INDIRECT("Table1[Obergruppe ATC-Code]"),Tabelle3!$A76)</f>
        <v>0</v>
      </c>
      <c r="Q76">
        <f ca="1">COUNTIFS(INDIRECT("Table1[Beginn]"),"&lt;="&amp;Q$1,INDIRECT("Table1[Ende]"),"&gt;="&amp;Q$1,INDIRECT("Table1[Obergruppe ATC-Code]"),Tabelle3!$A76)</f>
        <v>0</v>
      </c>
      <c r="R76">
        <f ca="1">COUNTIFS(INDIRECT("Table1[Beginn]"),"&lt;="&amp;R$1,INDIRECT("Table1[Ende]"),"&gt;="&amp;R$1,INDIRECT("Table1[Obergruppe ATC-Code]"),Tabelle3!$A76)</f>
        <v>0</v>
      </c>
      <c r="S76">
        <f ca="1">COUNTIFS(INDIRECT("Table1[Beginn]"),"&lt;="&amp;S$1,INDIRECT("Table1[Ende]"),"&gt;="&amp;S$1,INDIRECT("Table1[Obergruppe ATC-Code]"),Tabelle3!$A76)</f>
        <v>0</v>
      </c>
      <c r="T76">
        <f ca="1">COUNTIFS(INDIRECT("Table1[Beginn]"),"&lt;="&amp;T$1,INDIRECT("Table1[Ende]"),"&gt;="&amp;T$1,INDIRECT("Table1[Obergruppe ATC-Code]"),Tabelle3!$A76)</f>
        <v>0</v>
      </c>
      <c r="U76">
        <f ca="1">COUNTIFS(INDIRECT("Table1[Beginn]"),"&lt;="&amp;U$1,INDIRECT("Table1[Ende]"),"&gt;="&amp;U$1,INDIRECT("Table1[Obergruppe ATC-Code]"),Tabelle3!$A76)</f>
        <v>0</v>
      </c>
      <c r="V76">
        <f ca="1">COUNTIFS(INDIRECT("Table1[Beginn]"),"&lt;="&amp;V$1,INDIRECT("Table1[Ende]"),"&gt;="&amp;V$1,INDIRECT("Table1[Obergruppe ATC-Code]"),Tabelle3!$A76)</f>
        <v>0</v>
      </c>
      <c r="W76">
        <f ca="1">COUNTIFS(INDIRECT("Table1[Beginn]"),"&lt;="&amp;W$1,INDIRECT("Table1[Ende]"),"&gt;="&amp;W$1,INDIRECT("Table1[Obergruppe ATC-Code]"),Tabelle3!$A76)</f>
        <v>0</v>
      </c>
      <c r="X76">
        <f ca="1">COUNTIFS(INDIRECT("Table1[Beginn]"),"&lt;="&amp;X$1,INDIRECT("Table1[Ende]"),"&gt;="&amp;X$1,INDIRECT("Table1[Obergruppe ATC-Code]"),Tabelle3!$A76)</f>
        <v>0</v>
      </c>
      <c r="Y76">
        <f ca="1">COUNTIFS(INDIRECT("Table1[Beginn]"),"&lt;="&amp;Y$1,INDIRECT("Table1[Ende]"),"&gt;="&amp;Y$1,INDIRECT("Table1[Obergruppe ATC-Code]"),Tabelle3!$A76)</f>
        <v>0</v>
      </c>
      <c r="Z76">
        <f ca="1">COUNTIFS(INDIRECT("Table1[Beginn]"),"&lt;="&amp;Z$1,INDIRECT("Table1[Ende]"),"&gt;="&amp;Z$1,INDIRECT("Table1[Obergruppe ATC-Code]"),Tabelle3!$A76)</f>
        <v>0</v>
      </c>
      <c r="AA76">
        <f ca="1">COUNTIFS(INDIRECT("Table1[Beginn]"),"&lt;="&amp;AA$1,INDIRECT("Table1[Ende]"),"&gt;="&amp;AA$1,INDIRECT("Table1[Obergruppe ATC-Code]"),Tabelle3!$A76)</f>
        <v>0</v>
      </c>
      <c r="AB76">
        <f ca="1">COUNTIFS(INDIRECT("Table1[Beginn]"),"&lt;="&amp;AB$1,INDIRECT("Table1[Ende]"),"&gt;="&amp;AB$1,INDIRECT("Table1[Obergruppe ATC-Code]"),Tabelle3!$A76)</f>
        <v>0</v>
      </c>
      <c r="AC76">
        <f ca="1">COUNTIFS(INDIRECT("Table1[Beginn]"),"&lt;="&amp;AC$1,INDIRECT("Table1[Ende]"),"&gt;="&amp;AC$1,INDIRECT("Table1[Obergruppe ATC-Code]"),Tabelle3!$A76)</f>
        <v>0</v>
      </c>
      <c r="AD76">
        <f ca="1">COUNTIFS(INDIRECT("Table1[Beginn]"),"&lt;="&amp;AD$1,INDIRECT("Table1[Ende]"),"&gt;="&amp;AD$1,INDIRECT("Table1[Obergruppe ATC-Code]"),Tabelle3!$A76)</f>
        <v>0</v>
      </c>
      <c r="AE76">
        <f ca="1">COUNTIFS(INDIRECT("Table1[Beginn]"),"&lt;="&amp;AE$1,INDIRECT("Table1[Ende]"),"&gt;="&amp;AE$1,INDIRECT("Table1[Obergruppe ATC-Code]"),Tabelle3!$A76)</f>
        <v>0</v>
      </c>
      <c r="AF76">
        <f ca="1">COUNTIFS(INDIRECT("Table1[Beginn]"),"&lt;="&amp;AF$1,INDIRECT("Table1[Ende]"),"&gt;="&amp;AF$1,INDIRECT("Table1[Obergruppe ATC-Code]"),Tabelle3!$A76)</f>
        <v>0</v>
      </c>
      <c r="AG76">
        <f ca="1">COUNTIFS(INDIRECT("Table1[Beginn]"),"&lt;="&amp;AG$1,INDIRECT("Table1[Ende]"),"&gt;="&amp;AG$1,INDIRECT("Table1[Obergruppe ATC-Code]"),Tabelle3!$A76)</f>
        <v>0</v>
      </c>
      <c r="AH76">
        <f ca="1">COUNTIFS(INDIRECT("Table1[Beginn]"),"&lt;="&amp;AH$1,INDIRECT("Table1[Ende]"),"&gt;="&amp;AH$1,INDIRECT("Table1[Obergruppe ATC-Code]"),Tabelle3!$A76)</f>
        <v>0</v>
      </c>
      <c r="AI76">
        <f ca="1">COUNTIFS(INDIRECT("Table1[Beginn]"),"&lt;="&amp;AI$1,INDIRECT("Table1[Ende]"),"&gt;="&amp;AI$1,INDIRECT("Table1[Obergruppe ATC-Code]"),Tabelle3!$A76)</f>
        <v>0</v>
      </c>
      <c r="AJ76">
        <f ca="1">COUNTIFS(INDIRECT("Table1[Beginn]"),"&lt;="&amp;AJ$1,INDIRECT("Table1[Ende]"),"&gt;="&amp;AJ$1,INDIRECT("Table1[Obergruppe ATC-Code]"),Tabelle3!$A76)</f>
        <v>0</v>
      </c>
      <c r="AK76">
        <f ca="1">COUNTIFS(INDIRECT("Table1[Beginn]"),"&lt;="&amp;AK$1,INDIRECT("Table1[Ende]"),"&gt;="&amp;AK$1,INDIRECT("Table1[Obergruppe ATC-Code]"),Tabelle3!$A76)</f>
        <v>0</v>
      </c>
      <c r="AL76">
        <f ca="1">COUNTIFS(INDIRECT("Table1[Beginn]"),"&lt;="&amp;AL$1,INDIRECT("Table1[Ende]"),"&gt;="&amp;AL$1,INDIRECT("Table1[Obergruppe ATC-Code]"),Tabelle3!$A76)</f>
        <v>0</v>
      </c>
      <c r="AM76">
        <f ca="1">COUNTIFS(INDIRECT("Table1[Beginn]"),"&lt;="&amp;AM$1,INDIRECT("Table1[Ende]"),"&gt;="&amp;AM$1,INDIRECT("Table1[Obergruppe ATC-Code]"),Tabelle3!$A76)</f>
        <v>0</v>
      </c>
      <c r="AN76">
        <f ca="1">COUNTIFS(INDIRECT("Table1[Beginn]"),"&lt;="&amp;AN$1,INDIRECT("Table1[Ende]"),"&gt;="&amp;AN$1,INDIRECT("Table1[Obergruppe ATC-Code]"),Tabelle3!$A76)</f>
        <v>0</v>
      </c>
      <c r="AO76">
        <f ca="1">COUNTIFS(INDIRECT("Table1[Beginn]"),"&lt;="&amp;AO$1,INDIRECT("Table1[Ende]"),"&gt;="&amp;AO$1,INDIRECT("Table1[Obergruppe ATC-Code]"),Tabelle3!$A76)</f>
        <v>1</v>
      </c>
      <c r="AP76">
        <f ca="1">COUNTIFS(INDIRECT("Table1[Beginn]"),"&lt;="&amp;AP$1,INDIRECT("Table1[Ende]"),"&gt;="&amp;AP$1,INDIRECT("Table1[Obergruppe ATC-Code]"),Tabelle3!$A76)</f>
        <v>4</v>
      </c>
      <c r="AQ76">
        <f ca="1">COUNTIFS(INDIRECT("Table1[Beginn]"),"&lt;="&amp;AQ$1,INDIRECT("Table1[Ende]"),"&gt;="&amp;AQ$1,INDIRECT("Table1[Obergruppe ATC-Code]"),Tabelle3!$A76)</f>
        <v>3</v>
      </c>
      <c r="AR76">
        <f ca="1">COUNTIFS(INDIRECT("Table1[Beginn]"),"&lt;="&amp;AR$1,INDIRECT("Table1[Ende]"),"&gt;="&amp;AR$1,INDIRECT("Table1[Obergruppe ATC-Code]"),Tabelle3!$A76)</f>
        <v>3</v>
      </c>
      <c r="AS76">
        <f ca="1">COUNTIFS(INDIRECT("Table1[Beginn]"),"&lt;="&amp;AS$1,INDIRECT("Table1[Ende]"),"&gt;="&amp;AS$1,INDIRECT("Table1[Obergruppe ATC-Code]"),Tabelle3!$A76)</f>
        <v>3</v>
      </c>
      <c r="AT76">
        <f ca="1">COUNTIFS(INDIRECT("Table1[Beginn]"),"&lt;="&amp;AT$1,INDIRECT("Table1[Ende]"),"&gt;="&amp;AT$1,INDIRECT("Table1[Obergruppe ATC-Code]"),Tabelle3!$A76)</f>
        <v>3</v>
      </c>
      <c r="AU76">
        <f ca="1">COUNTIFS(INDIRECT("Table1[Beginn]"),"&lt;="&amp;AU$1,INDIRECT("Table1[Ende]"),"&gt;="&amp;AU$1,INDIRECT("Table1[Obergruppe ATC-Code]"),Tabelle3!$A76)</f>
        <v>1</v>
      </c>
      <c r="AV76">
        <f ca="1">COUNTIFS(INDIRECT("Table1[Beginn]"),"&lt;="&amp;AV$1,INDIRECT("Table1[Ende]"),"&gt;="&amp;AV$1,INDIRECT("Table1[Obergruppe ATC-Code]"),Tabelle3!$A76)</f>
        <v>1</v>
      </c>
      <c r="AW76">
        <f ca="1">COUNTIFS(INDIRECT("Table1[Beginn]"),"&lt;="&amp;AW$1,INDIRECT("Table1[Ende]"),"&gt;="&amp;AW$1,INDIRECT("Table1[Obergruppe ATC-Code]"),Tabelle3!$A76)</f>
        <v>1</v>
      </c>
      <c r="AX76">
        <f ca="1">COUNTIFS(INDIRECT("Table1[Beginn]"),"&lt;="&amp;AX$1,INDIRECT("Table1[Ende]"),"&gt;="&amp;AX$1,INDIRECT("Table1[Obergruppe ATC-Code]"),Tabelle3!$A76)</f>
        <v>1</v>
      </c>
      <c r="AY76">
        <f ca="1">COUNTIFS(INDIRECT("Table1[Beginn]"),"&lt;="&amp;AY$1,INDIRECT("Table1[Ende]"),"&gt;="&amp;AY$1,INDIRECT("Table1[Obergruppe ATC-Code]"),Tabelle3!$A76)</f>
        <v>1</v>
      </c>
      <c r="AZ76">
        <f ca="1">COUNTIFS(INDIRECT("Table1[Beginn]"),"&lt;="&amp;AZ$1,INDIRECT("Table1[Ende]"),"&gt;="&amp;AZ$1,INDIRECT("Table1[Obergruppe ATC-Code]"),Tabelle3!$A76)</f>
        <v>1</v>
      </c>
      <c r="BA76">
        <f ca="1">COUNTIFS(INDIRECT("Table1[Beginn]"),"&lt;="&amp;BA$1,INDIRECT("Table1[Ende]"),"&gt;="&amp;BA$1,INDIRECT("Table1[Obergruppe ATC-Code]"),Tabelle3!$A76)</f>
        <v>1</v>
      </c>
      <c r="BB76">
        <f ca="1">COUNTIFS(INDIRECT("Table1[Beginn]"),"&lt;="&amp;BB$1,INDIRECT("Table1[Ende]"),"&gt;="&amp;BB$1,INDIRECT("Table1[Obergruppe ATC-Code]"),Tabelle3!$A76)</f>
        <v>1</v>
      </c>
      <c r="BC76">
        <f ca="1">COUNTIFS(INDIRECT("Table1[Beginn]"),"&lt;="&amp;BC$1,INDIRECT("Table1[Ende]"),"&gt;="&amp;BC$1,INDIRECT("Table1[Obergruppe ATC-Code]"),Tabelle3!$A76)</f>
        <v>1</v>
      </c>
      <c r="BD76">
        <f ca="1">COUNTIFS(INDIRECT("Table1[Beginn]"),"&lt;="&amp;BD$1,INDIRECT("Table1[Ende]"),"&gt;="&amp;BD$1,INDIRECT("Table1[Obergruppe ATC-Code]"),Tabelle3!$A76)</f>
        <v>1</v>
      </c>
      <c r="BE76">
        <f ca="1">COUNTIFS(INDIRECT("Table1[Beginn]"),"&lt;="&amp;BE$1,INDIRECT("Table1[Ende]"),"&gt;="&amp;BE$1,INDIRECT("Table1[Obergruppe ATC-Code]"),Tabelle3!$A76)</f>
        <v>1</v>
      </c>
      <c r="BF76">
        <f ca="1">COUNTIFS(INDIRECT("Table1[Beginn]"),"&lt;="&amp;BF$1,INDIRECT("Table1[Ende]"),"&gt;="&amp;BF$1,INDIRECT("Table1[Obergruppe ATC-Code]"),Tabelle3!$A76)</f>
        <v>0</v>
      </c>
      <c r="BG76">
        <f ca="1">COUNTIFS(INDIRECT("Table1[Beginn]"),"&lt;="&amp;BG$1,INDIRECT("Table1[Ende]"),"&gt;="&amp;BG$1,INDIRECT("Table1[Obergruppe ATC-Code]"),Tabelle3!$A76)</f>
        <v>1</v>
      </c>
      <c r="BH76">
        <f ca="1">COUNTIFS(INDIRECT("Table1[Beginn]"),"&lt;="&amp;BH$1,INDIRECT("Table1[Ende]"),"&gt;="&amp;BH$1,INDIRECT("Table1[Obergruppe ATC-Code]"),Tabelle3!$A76)</f>
        <v>0</v>
      </c>
      <c r="BI76">
        <f ca="1">COUNTIFS(INDIRECT("Table1[Beginn]"),"&lt;="&amp;BI$1,INDIRECT("Table1[Ende]"),"&gt;="&amp;BI$1,INDIRECT("Table1[Obergruppe ATC-Code]"),Tabelle3!$A76)</f>
        <v>0</v>
      </c>
      <c r="BJ76">
        <f ca="1">COUNTIFS(INDIRECT("Table1[Beginn]"),"&lt;="&amp;BJ$1,INDIRECT("Table1[Ende]"),"&gt;="&amp;BJ$1,INDIRECT("Table1[Obergruppe ATC-Code]"),Tabelle3!$A76)</f>
        <v>0</v>
      </c>
      <c r="BK76">
        <f ca="1">COUNTIFS(INDIRECT("Table1[Beginn]"),"&lt;="&amp;BK$1,INDIRECT("Table1[Ende]"),"&gt;="&amp;BK$1,INDIRECT("Table1[Obergruppe ATC-Code]"),Tabelle3!$A76)</f>
        <v>0</v>
      </c>
      <c r="BL76">
        <f ca="1">COUNTIFS(INDIRECT("Table1[Beginn]"),"&lt;="&amp;BL$1,INDIRECT("Table1[Ende]"),"&gt;="&amp;BL$1,INDIRECT("Table1[Obergruppe ATC-Code]"),Tabelle3!$A76)</f>
        <v>0</v>
      </c>
      <c r="BM76">
        <f ca="1">COUNTIFS(INDIRECT("Table1[Beginn]"),"&lt;="&amp;BM$1,INDIRECT("Table1[Ende]"),"&gt;="&amp;BM$1,INDIRECT("Table1[Obergruppe ATC-Code]"),Tabelle3!$A76)</f>
        <v>0</v>
      </c>
      <c r="BN76">
        <f ca="1">COUNTIFS(INDIRECT("Table1[Beginn]"),"&lt;="&amp;BN$1,INDIRECT("Table1[Ende]"),"&gt;="&amp;BN$1,INDIRECT("Table1[Obergruppe ATC-Code]"),Tabelle3!$A76)</f>
        <v>0</v>
      </c>
      <c r="BO76">
        <f ca="1">COUNTIFS(INDIRECT("Table1[Beginn]"),"&lt;="&amp;BO$1,INDIRECT("Table1[Ende]"),"&gt;="&amp;BO$1,INDIRECT("Table1[Obergruppe ATC-Code]"),Tabelle3!$A76)</f>
        <v>1</v>
      </c>
      <c r="BP76">
        <f ca="1">COUNTIFS(INDIRECT("Table1[Beginn]"),"&lt;="&amp;BP$1,INDIRECT("Table1[Ende]"),"&gt;="&amp;BP$1,INDIRECT("Table1[Obergruppe ATC-Code]"),Tabelle3!$A76)</f>
        <v>0</v>
      </c>
      <c r="BQ76">
        <f ca="1">COUNTIFS(INDIRECT("Table1[Beginn]"),"&lt;="&amp;BQ$1,INDIRECT("Table1[Ende]"),"&gt;="&amp;BQ$1,INDIRECT("Table1[Obergruppe ATC-Code]"),Tabelle3!$A76)</f>
        <v>0</v>
      </c>
      <c r="BR76">
        <f ca="1">COUNTIFS(INDIRECT("Table1[Beginn]"),"&lt;="&amp;BR$1,INDIRECT("Table1[Ende]"),"&gt;="&amp;BR$1,INDIRECT("Table1[Obergruppe ATC-Code]"),Tabelle3!$A76)</f>
        <v>0</v>
      </c>
      <c r="BS76">
        <f ca="1">COUNTIFS(INDIRECT("Table1[Beginn]"),"&lt;="&amp;BS$1,INDIRECT("Table1[Ende]"),"&gt;="&amp;BS$1,INDIRECT("Table1[Obergruppe ATC-Code]"),Tabelle3!$A76)</f>
        <v>0</v>
      </c>
      <c r="BT76">
        <f ca="1">COUNTIFS(INDIRECT("Table1[Beginn]"),"&lt;="&amp;BT$1,INDIRECT("Table1[Ende]"),"&gt;="&amp;BT$1,INDIRECT("Table1[Obergruppe ATC-Code]"),Tabelle3!$A76)</f>
        <v>0</v>
      </c>
      <c r="BU76">
        <f ca="1">COUNTIFS(INDIRECT("Table1[Beginn]"),"&lt;="&amp;BU$1,INDIRECT("Table1[Ende]"),"&gt;="&amp;BU$1,INDIRECT("Table1[Obergruppe ATC-Code]"),Tabelle3!$A76)</f>
        <v>0</v>
      </c>
      <c r="BV76">
        <f ca="1">COUNTIFS(INDIRECT("Table1[Beginn]"),"&lt;="&amp;BV$1,INDIRECT("Table1[Ende]"),"&gt;="&amp;BV$1,INDIRECT("Table1[Obergruppe ATC-Code]"),Tabelle3!$A76)</f>
        <v>0</v>
      </c>
      <c r="BW76">
        <f ca="1">COUNTIFS(INDIRECT("Table1[Beginn]"),"&lt;="&amp;BW$1,INDIRECT("Table1[Ende]"),"&gt;="&amp;BW$1,INDIRECT("Table1[Obergruppe ATC-Code]"),Tabelle3!$A76)</f>
        <v>1</v>
      </c>
      <c r="BX76">
        <f ca="1">COUNTIFS(INDIRECT("Table1[Beginn]"),"&lt;="&amp;BX$1,INDIRECT("Table1[Ende]"),"&gt;="&amp;BX$1,INDIRECT("Table1[Obergruppe ATC-Code]"),Tabelle3!$A76)</f>
        <v>1</v>
      </c>
      <c r="BY76">
        <f ca="1">COUNTIFS(INDIRECT("Table1[Beginn]"),"&lt;="&amp;BY$1,INDIRECT("Table1[Ende]"),"&gt;="&amp;BY$1,INDIRECT("Table1[Obergruppe ATC-Code]"),Tabelle3!$A76)</f>
        <v>1</v>
      </c>
      <c r="BZ76">
        <f ca="1">COUNTIFS(INDIRECT("Table1[Beginn]"),"&lt;="&amp;BZ$1,INDIRECT("Table1[Ende]"),"&gt;="&amp;BZ$1,INDIRECT("Table1[Obergruppe ATC-Code]"),Tabelle3!$A76)</f>
        <v>1</v>
      </c>
      <c r="CA76">
        <f ca="1">COUNTIFS(INDIRECT("Table1[Beginn]"),"&lt;="&amp;CA$1,INDIRECT("Table1[Ende]"),"&gt;="&amp;CA$1,INDIRECT("Table1[Obergruppe ATC-Code]"),Tabelle3!$A76)</f>
        <v>1</v>
      </c>
      <c r="CB76">
        <f ca="1">COUNTIFS(INDIRECT("Table1[Beginn]"),"&lt;="&amp;CB$1,INDIRECT("Table1[Ende]"),"&gt;="&amp;CB$1,INDIRECT("Table1[Obergruppe ATC-Code]"),Tabelle3!$A76)</f>
        <v>1</v>
      </c>
      <c r="CC76">
        <f ca="1">COUNTIFS(INDIRECT("Table1[Beginn]"),"&lt;="&amp;CC$1,INDIRECT("Table1[Ende]"),"&gt;="&amp;CC$1,INDIRECT("Table1[Obergruppe ATC-Code]"),Tabelle3!$A76)</f>
        <v>1</v>
      </c>
      <c r="CD76">
        <f ca="1">COUNTIFS(INDIRECT("Table1[Beginn]"),"&lt;="&amp;CD$1,INDIRECT("Table1[Ende]"),"&gt;="&amp;CD$1,INDIRECT("Table1[Obergruppe ATC-Code]"),Tabelle3!$A76)</f>
        <v>1</v>
      </c>
      <c r="CE76">
        <f ca="1">COUNTIFS(INDIRECT("Table1[Beginn]"),"&lt;="&amp;CE$1,INDIRECT("Table1[Ende]"),"&gt;="&amp;CE$1,INDIRECT("Table1[Obergruppe ATC-Code]"),Tabelle3!$A76)</f>
        <v>1</v>
      </c>
      <c r="CF76">
        <f ca="1">COUNTIFS(INDIRECT("Table1[Beginn]"),"&lt;="&amp;CF$1,INDIRECT("Table1[Ende]"),"&gt;="&amp;CF$1,INDIRECT("Table1[Obergruppe ATC-Code]"),Tabelle3!$A76)</f>
        <v>1</v>
      </c>
      <c r="CG76">
        <f ca="1">COUNTIFS(INDIRECT("Table1[Beginn]"),"&lt;="&amp;CG$1,INDIRECT("Table1[Ende]"),"&gt;="&amp;CG$1,INDIRECT("Table1[Obergruppe ATC-Code]"),Tabelle3!$A76)</f>
        <v>1</v>
      </c>
      <c r="CH76">
        <f ca="1">COUNTIFS(INDIRECT("Table1[Beginn]"),"&lt;="&amp;CH$1,INDIRECT("Table1[Ende]"),"&gt;="&amp;CH$1,INDIRECT("Table1[Obergruppe ATC-Code]"),Tabelle3!$A76)</f>
        <v>1</v>
      </c>
      <c r="CI76">
        <f ca="1">COUNTIFS(INDIRECT("Table1[Beginn]"),"&lt;="&amp;CI$1,INDIRECT("Table1[Ende]"),"&gt;="&amp;CI$1,INDIRECT("Table1[Obergruppe ATC-Code]"),Tabelle3!$A76)</f>
        <v>0</v>
      </c>
      <c r="CJ76">
        <f ca="1">COUNTIFS(INDIRECT("Table1[Beginn]"),"&lt;="&amp;CJ$1,INDIRECT("Table1[Ende]"),"&gt;="&amp;CJ$1,INDIRECT("Table1[Obergruppe ATC-Code]"),Tabelle3!$A76)</f>
        <v>0</v>
      </c>
      <c r="CK76">
        <f ca="1">COUNTIFS(INDIRECT("Table1[Beginn]"),"&lt;="&amp;CK$1,INDIRECT("Table1[Ende]"),"&gt;="&amp;CK$1,INDIRECT("Table1[Obergruppe ATC-Code]"),Tabelle3!$A76)</f>
        <v>0</v>
      </c>
      <c r="CL76">
        <f ca="1">COUNTIFS(INDIRECT("Table1[Beginn]"),"&lt;="&amp;CL$1,INDIRECT("Table1[Ende]"),"&gt;="&amp;CL$1,INDIRECT("Table1[Obergruppe ATC-Code]"),Tabelle3!$A76)</f>
        <v>0</v>
      </c>
      <c r="CM76">
        <f ca="1">COUNTIFS(INDIRECT("Table1[Beginn]"),"&lt;="&amp;CM$1,INDIRECT("Table1[Ende]"),"&gt;="&amp;CM$1,INDIRECT("Table1[Obergruppe ATC-Code]"),Tabelle3!$A76)</f>
        <v>0</v>
      </c>
      <c r="CN76">
        <f ca="1">COUNTIFS(INDIRECT("Table1[Beginn]"),"&lt;="&amp;CN$1,INDIRECT("Table1[Ende]"),"&gt;="&amp;CN$1,INDIRECT("Table1[Obergruppe ATC-Code]"),Tabelle3!$A76)</f>
        <v>0</v>
      </c>
      <c r="CO76">
        <f ca="1">COUNTIFS(INDIRECT("Table1[Beginn]"),"&lt;="&amp;CO$1,INDIRECT("Table1[Ende]"),"&gt;="&amp;CO$1,INDIRECT("Table1[Obergruppe ATC-Code]"),Tabelle3!$A76)</f>
        <v>0</v>
      </c>
      <c r="CP76">
        <f ca="1">COUNTIFS(INDIRECT("Table1[Beginn]"),"&lt;="&amp;CP$1,INDIRECT("Table1[Ende]"),"&gt;="&amp;CP$1,INDIRECT("Table1[Obergruppe ATC-Code]"),Tabelle3!$A76)</f>
        <v>0</v>
      </c>
      <c r="CQ76">
        <f ca="1">COUNTIFS(INDIRECT("Table1[Beginn]"),"&lt;="&amp;CQ$1,INDIRECT("Table1[Ende]"),"&gt;="&amp;CQ$1,INDIRECT("Table1[Obergruppe ATC-Code]"),Tabelle3!$A76)</f>
        <v>0</v>
      </c>
      <c r="CR76">
        <f ca="1">COUNTIFS(INDIRECT("Table1[Beginn]"),"&lt;="&amp;CR$1,INDIRECT("Table1[Ende]"),"&gt;="&amp;CR$1,INDIRECT("Table1[Obergruppe ATC-Code]"),Tabelle3!$A76)</f>
        <v>0</v>
      </c>
      <c r="CS76">
        <f ca="1">COUNTIFS(INDIRECT("Table1[Beginn]"),"&lt;="&amp;CS$1,INDIRECT("Table1[Ende]"),"&gt;="&amp;CS$1,INDIRECT("Table1[Obergruppe ATC-Code]"),Tabelle3!$A76)</f>
        <v>0</v>
      </c>
      <c r="CT76">
        <f ca="1">COUNTIFS(INDIRECT("Table1[Beginn]"),"&lt;="&amp;CT$1,INDIRECT("Table1[Ende]"),"&gt;="&amp;CT$1,INDIRECT("Table1[Obergruppe ATC-Code]"),Tabelle3!$A76)</f>
        <v>0</v>
      </c>
    </row>
    <row r="77" spans="1:98" ht="18">
      <c r="A77" s="9" t="s">
        <v>6922</v>
      </c>
      <c r="B77" s="10" t="s">
        <v>6923</v>
      </c>
      <c r="C77">
        <f ca="1">COUNTIFS(INDIRECT("Table1[Beginn]"),"&lt;="&amp;C$1,INDIRECT("Table1[Ende]"),"&gt;="&amp;C$1,INDIRECT("Table1[Obergruppe ATC-Code]"),Tabelle3!$A77)</f>
        <v>0</v>
      </c>
      <c r="D77">
        <f ca="1">COUNTIFS(INDIRECT("Table1[Beginn]"),"&lt;="&amp;D$1,INDIRECT("Table1[Ende]"),"&gt;="&amp;D$1,INDIRECT("Table1[Obergruppe ATC-Code]"),Tabelle3!$A77)</f>
        <v>0</v>
      </c>
      <c r="E77">
        <f ca="1">COUNTIFS(INDIRECT("Table1[Beginn]"),"&lt;="&amp;E$1,INDIRECT("Table1[Ende]"),"&gt;="&amp;E$1,INDIRECT("Table1[Obergruppe ATC-Code]"),Tabelle3!$A77)</f>
        <v>0</v>
      </c>
      <c r="F77">
        <f ca="1">COUNTIFS(INDIRECT("Table1[Beginn]"),"&lt;="&amp;F$1,INDIRECT("Table1[Ende]"),"&gt;="&amp;F$1,INDIRECT("Table1[Obergruppe ATC-Code]"),Tabelle3!$A77)</f>
        <v>0</v>
      </c>
      <c r="G77">
        <f ca="1">COUNTIFS(INDIRECT("Table1[Beginn]"),"&lt;="&amp;G$1,INDIRECT("Table1[Ende]"),"&gt;="&amp;G$1,INDIRECT("Table1[Obergruppe ATC-Code]"),Tabelle3!$A77)</f>
        <v>0</v>
      </c>
      <c r="H77">
        <f ca="1">COUNTIFS(INDIRECT("Table1[Beginn]"),"&lt;="&amp;H$1,INDIRECT("Table1[Ende]"),"&gt;="&amp;H$1,INDIRECT("Table1[Obergruppe ATC-Code]"),Tabelle3!$A77)</f>
        <v>0</v>
      </c>
      <c r="I77">
        <f ca="1">COUNTIFS(INDIRECT("Table1[Beginn]"),"&lt;="&amp;I$1,INDIRECT("Table1[Ende]"),"&gt;="&amp;I$1,INDIRECT("Table1[Obergruppe ATC-Code]"),Tabelle3!$A77)</f>
        <v>0</v>
      </c>
      <c r="J77">
        <f ca="1">COUNTIFS(INDIRECT("Table1[Beginn]"),"&lt;="&amp;J$1,INDIRECT("Table1[Ende]"),"&gt;="&amp;J$1,INDIRECT("Table1[Obergruppe ATC-Code]"),Tabelle3!$A77)</f>
        <v>0</v>
      </c>
      <c r="K77">
        <f ca="1">COUNTIFS(INDIRECT("Table1[Beginn]"),"&lt;="&amp;K$1,INDIRECT("Table1[Ende]"),"&gt;="&amp;K$1,INDIRECT("Table1[Obergruppe ATC-Code]"),Tabelle3!$A77)</f>
        <v>0</v>
      </c>
      <c r="L77">
        <f ca="1">COUNTIFS(INDIRECT("Table1[Beginn]"),"&lt;="&amp;L$1,INDIRECT("Table1[Ende]"),"&gt;="&amp;L$1,INDIRECT("Table1[Obergruppe ATC-Code]"),Tabelle3!$A77)</f>
        <v>0</v>
      </c>
      <c r="M77">
        <f ca="1">COUNTIFS(INDIRECT("Table1[Beginn]"),"&lt;="&amp;M$1,INDIRECT("Table1[Ende]"),"&gt;="&amp;M$1,INDIRECT("Table1[Obergruppe ATC-Code]"),Tabelle3!$A77)</f>
        <v>0</v>
      </c>
      <c r="N77">
        <f ca="1">COUNTIFS(INDIRECT("Table1[Beginn]"),"&lt;="&amp;N$1,INDIRECT("Table1[Ende]"),"&gt;="&amp;N$1,INDIRECT("Table1[Obergruppe ATC-Code]"),Tabelle3!$A77)</f>
        <v>1</v>
      </c>
      <c r="O77">
        <f ca="1">COUNTIFS(INDIRECT("Table1[Beginn]"),"&lt;="&amp;O$1,INDIRECT("Table1[Ende]"),"&gt;="&amp;O$1,INDIRECT("Table1[Obergruppe ATC-Code]"),Tabelle3!$A77)</f>
        <v>2</v>
      </c>
      <c r="P77">
        <f ca="1">COUNTIFS(INDIRECT("Table1[Beginn]"),"&lt;="&amp;P$1,INDIRECT("Table1[Ende]"),"&gt;="&amp;P$1,INDIRECT("Table1[Obergruppe ATC-Code]"),Tabelle3!$A77)</f>
        <v>2</v>
      </c>
      <c r="Q77">
        <f ca="1">COUNTIFS(INDIRECT("Table1[Beginn]"),"&lt;="&amp;Q$1,INDIRECT("Table1[Ende]"),"&gt;="&amp;Q$1,INDIRECT("Table1[Obergruppe ATC-Code]"),Tabelle3!$A77)</f>
        <v>2</v>
      </c>
      <c r="R77">
        <f ca="1">COUNTIFS(INDIRECT("Table1[Beginn]"),"&lt;="&amp;R$1,INDIRECT("Table1[Ende]"),"&gt;="&amp;R$1,INDIRECT("Table1[Obergruppe ATC-Code]"),Tabelle3!$A77)</f>
        <v>2</v>
      </c>
      <c r="S77">
        <f ca="1">COUNTIFS(INDIRECT("Table1[Beginn]"),"&lt;="&amp;S$1,INDIRECT("Table1[Ende]"),"&gt;="&amp;S$1,INDIRECT("Table1[Obergruppe ATC-Code]"),Tabelle3!$A77)</f>
        <v>1</v>
      </c>
      <c r="T77">
        <f ca="1">COUNTIFS(INDIRECT("Table1[Beginn]"),"&lt;="&amp;T$1,INDIRECT("Table1[Ende]"),"&gt;="&amp;T$1,INDIRECT("Table1[Obergruppe ATC-Code]"),Tabelle3!$A77)</f>
        <v>1</v>
      </c>
      <c r="U77">
        <f ca="1">COUNTIFS(INDIRECT("Table1[Beginn]"),"&lt;="&amp;U$1,INDIRECT("Table1[Ende]"),"&gt;="&amp;U$1,INDIRECT("Table1[Obergruppe ATC-Code]"),Tabelle3!$A77)</f>
        <v>1</v>
      </c>
      <c r="V77">
        <f ca="1">COUNTIFS(INDIRECT("Table1[Beginn]"),"&lt;="&amp;V$1,INDIRECT("Table1[Ende]"),"&gt;="&amp;V$1,INDIRECT("Table1[Obergruppe ATC-Code]"),Tabelle3!$A77)</f>
        <v>1</v>
      </c>
      <c r="W77">
        <f ca="1">COUNTIFS(INDIRECT("Table1[Beginn]"),"&lt;="&amp;W$1,INDIRECT("Table1[Ende]"),"&gt;="&amp;W$1,INDIRECT("Table1[Obergruppe ATC-Code]"),Tabelle3!$A77)</f>
        <v>0</v>
      </c>
      <c r="X77">
        <f ca="1">COUNTIFS(INDIRECT("Table1[Beginn]"),"&lt;="&amp;X$1,INDIRECT("Table1[Ende]"),"&gt;="&amp;X$1,INDIRECT("Table1[Obergruppe ATC-Code]"),Tabelle3!$A77)</f>
        <v>0</v>
      </c>
      <c r="Y77">
        <f ca="1">COUNTIFS(INDIRECT("Table1[Beginn]"),"&lt;="&amp;Y$1,INDIRECT("Table1[Ende]"),"&gt;="&amp;Y$1,INDIRECT("Table1[Obergruppe ATC-Code]"),Tabelle3!$A77)</f>
        <v>0</v>
      </c>
      <c r="Z77">
        <f ca="1">COUNTIFS(INDIRECT("Table1[Beginn]"),"&lt;="&amp;Z$1,INDIRECT("Table1[Ende]"),"&gt;="&amp;Z$1,INDIRECT("Table1[Obergruppe ATC-Code]"),Tabelle3!$A77)</f>
        <v>0</v>
      </c>
      <c r="AA77">
        <f ca="1">COUNTIFS(INDIRECT("Table1[Beginn]"),"&lt;="&amp;AA$1,INDIRECT("Table1[Ende]"),"&gt;="&amp;AA$1,INDIRECT("Table1[Obergruppe ATC-Code]"),Tabelle3!$A77)</f>
        <v>0</v>
      </c>
      <c r="AB77">
        <f ca="1">COUNTIFS(INDIRECT("Table1[Beginn]"),"&lt;="&amp;AB$1,INDIRECT("Table1[Ende]"),"&gt;="&amp;AB$1,INDIRECT("Table1[Obergruppe ATC-Code]"),Tabelle3!$A77)</f>
        <v>0</v>
      </c>
      <c r="AC77">
        <f ca="1">COUNTIFS(INDIRECT("Table1[Beginn]"),"&lt;="&amp;AC$1,INDIRECT("Table1[Ende]"),"&gt;="&amp;AC$1,INDIRECT("Table1[Obergruppe ATC-Code]"),Tabelle3!$A77)</f>
        <v>0</v>
      </c>
      <c r="AD77">
        <f ca="1">COUNTIFS(INDIRECT("Table1[Beginn]"),"&lt;="&amp;AD$1,INDIRECT("Table1[Ende]"),"&gt;="&amp;AD$1,INDIRECT("Table1[Obergruppe ATC-Code]"),Tabelle3!$A77)</f>
        <v>1</v>
      </c>
      <c r="AE77">
        <f ca="1">COUNTIFS(INDIRECT("Table1[Beginn]"),"&lt;="&amp;AE$1,INDIRECT("Table1[Ende]"),"&gt;="&amp;AE$1,INDIRECT("Table1[Obergruppe ATC-Code]"),Tabelle3!$A77)</f>
        <v>1</v>
      </c>
      <c r="AF77">
        <f ca="1">COUNTIFS(INDIRECT("Table1[Beginn]"),"&lt;="&amp;AF$1,INDIRECT("Table1[Ende]"),"&gt;="&amp;AF$1,INDIRECT("Table1[Obergruppe ATC-Code]"),Tabelle3!$A77)</f>
        <v>2</v>
      </c>
      <c r="AG77">
        <f ca="1">COUNTIFS(INDIRECT("Table1[Beginn]"),"&lt;="&amp;AG$1,INDIRECT("Table1[Ende]"),"&gt;="&amp;AG$1,INDIRECT("Table1[Obergruppe ATC-Code]"),Tabelle3!$A77)</f>
        <v>1</v>
      </c>
      <c r="AH77">
        <f ca="1">COUNTIFS(INDIRECT("Table1[Beginn]"),"&lt;="&amp;AH$1,INDIRECT("Table1[Ende]"),"&gt;="&amp;AH$1,INDIRECT("Table1[Obergruppe ATC-Code]"),Tabelle3!$A77)</f>
        <v>1</v>
      </c>
      <c r="AI77">
        <f ca="1">COUNTIFS(INDIRECT("Table1[Beginn]"),"&lt;="&amp;AI$1,INDIRECT("Table1[Ende]"),"&gt;="&amp;AI$1,INDIRECT("Table1[Obergruppe ATC-Code]"),Tabelle3!$A77)</f>
        <v>0</v>
      </c>
      <c r="AJ77">
        <f ca="1">COUNTIFS(INDIRECT("Table1[Beginn]"),"&lt;="&amp;AJ$1,INDIRECT("Table1[Ende]"),"&gt;="&amp;AJ$1,INDIRECT("Table1[Obergruppe ATC-Code]"),Tabelle3!$A77)</f>
        <v>0</v>
      </c>
      <c r="AK77">
        <f ca="1">COUNTIFS(INDIRECT("Table1[Beginn]"),"&lt;="&amp;AK$1,INDIRECT("Table1[Ende]"),"&gt;="&amp;AK$1,INDIRECT("Table1[Obergruppe ATC-Code]"),Tabelle3!$A77)</f>
        <v>0</v>
      </c>
      <c r="AL77">
        <f ca="1">COUNTIFS(INDIRECT("Table1[Beginn]"),"&lt;="&amp;AL$1,INDIRECT("Table1[Ende]"),"&gt;="&amp;AL$1,INDIRECT("Table1[Obergruppe ATC-Code]"),Tabelle3!$A77)</f>
        <v>0</v>
      </c>
      <c r="AM77">
        <f ca="1">COUNTIFS(INDIRECT("Table1[Beginn]"),"&lt;="&amp;AM$1,INDIRECT("Table1[Ende]"),"&gt;="&amp;AM$1,INDIRECT("Table1[Obergruppe ATC-Code]"),Tabelle3!$A77)</f>
        <v>0</v>
      </c>
      <c r="AN77">
        <f ca="1">COUNTIFS(INDIRECT("Table1[Beginn]"),"&lt;="&amp;AN$1,INDIRECT("Table1[Ende]"),"&gt;="&amp;AN$1,INDIRECT("Table1[Obergruppe ATC-Code]"),Tabelle3!$A77)</f>
        <v>0</v>
      </c>
      <c r="AO77">
        <f ca="1">COUNTIFS(INDIRECT("Table1[Beginn]"),"&lt;="&amp;AO$1,INDIRECT("Table1[Ende]"),"&gt;="&amp;AO$1,INDIRECT("Table1[Obergruppe ATC-Code]"),Tabelle3!$A77)</f>
        <v>0</v>
      </c>
      <c r="AP77">
        <f ca="1">COUNTIFS(INDIRECT("Table1[Beginn]"),"&lt;="&amp;AP$1,INDIRECT("Table1[Ende]"),"&gt;="&amp;AP$1,INDIRECT("Table1[Obergruppe ATC-Code]"),Tabelle3!$A77)</f>
        <v>0</v>
      </c>
      <c r="AQ77">
        <f ca="1">COUNTIFS(INDIRECT("Table1[Beginn]"),"&lt;="&amp;AQ$1,INDIRECT("Table1[Ende]"),"&gt;="&amp;AQ$1,INDIRECT("Table1[Obergruppe ATC-Code]"),Tabelle3!$A77)</f>
        <v>0</v>
      </c>
      <c r="AR77">
        <f ca="1">COUNTIFS(INDIRECT("Table1[Beginn]"),"&lt;="&amp;AR$1,INDIRECT("Table1[Ende]"),"&gt;="&amp;AR$1,INDIRECT("Table1[Obergruppe ATC-Code]"),Tabelle3!$A77)</f>
        <v>0</v>
      </c>
      <c r="AS77">
        <f ca="1">COUNTIFS(INDIRECT("Table1[Beginn]"),"&lt;="&amp;AS$1,INDIRECT("Table1[Ende]"),"&gt;="&amp;AS$1,INDIRECT("Table1[Obergruppe ATC-Code]"),Tabelle3!$A77)</f>
        <v>0</v>
      </c>
      <c r="AT77">
        <f ca="1">COUNTIFS(INDIRECT("Table1[Beginn]"),"&lt;="&amp;AT$1,INDIRECT("Table1[Ende]"),"&gt;="&amp;AT$1,INDIRECT("Table1[Obergruppe ATC-Code]"),Tabelle3!$A77)</f>
        <v>0</v>
      </c>
      <c r="AU77">
        <f ca="1">COUNTIFS(INDIRECT("Table1[Beginn]"),"&lt;="&amp;AU$1,INDIRECT("Table1[Ende]"),"&gt;="&amp;AU$1,INDIRECT("Table1[Obergruppe ATC-Code]"),Tabelle3!$A77)</f>
        <v>0</v>
      </c>
      <c r="AV77">
        <f ca="1">COUNTIFS(INDIRECT("Table1[Beginn]"),"&lt;="&amp;AV$1,INDIRECT("Table1[Ende]"),"&gt;="&amp;AV$1,INDIRECT("Table1[Obergruppe ATC-Code]"),Tabelle3!$A77)</f>
        <v>0</v>
      </c>
      <c r="AW77">
        <f ca="1">COUNTIFS(INDIRECT("Table1[Beginn]"),"&lt;="&amp;AW$1,INDIRECT("Table1[Ende]"),"&gt;="&amp;AW$1,INDIRECT("Table1[Obergruppe ATC-Code]"),Tabelle3!$A77)</f>
        <v>0</v>
      </c>
      <c r="AX77">
        <f ca="1">COUNTIFS(INDIRECT("Table1[Beginn]"),"&lt;="&amp;AX$1,INDIRECT("Table1[Ende]"),"&gt;="&amp;AX$1,INDIRECT("Table1[Obergruppe ATC-Code]"),Tabelle3!$A77)</f>
        <v>0</v>
      </c>
      <c r="AY77">
        <f ca="1">COUNTIFS(INDIRECT("Table1[Beginn]"),"&lt;="&amp;AY$1,INDIRECT("Table1[Ende]"),"&gt;="&amp;AY$1,INDIRECT("Table1[Obergruppe ATC-Code]"),Tabelle3!$A77)</f>
        <v>0</v>
      </c>
      <c r="AZ77">
        <f ca="1">COUNTIFS(INDIRECT("Table1[Beginn]"),"&lt;="&amp;AZ$1,INDIRECT("Table1[Ende]"),"&gt;="&amp;AZ$1,INDIRECT("Table1[Obergruppe ATC-Code]"),Tabelle3!$A77)</f>
        <v>0</v>
      </c>
      <c r="BA77">
        <f ca="1">COUNTIFS(INDIRECT("Table1[Beginn]"),"&lt;="&amp;BA$1,INDIRECT("Table1[Ende]"),"&gt;="&amp;BA$1,INDIRECT("Table1[Obergruppe ATC-Code]"),Tabelle3!$A77)</f>
        <v>0</v>
      </c>
      <c r="BB77">
        <f ca="1">COUNTIFS(INDIRECT("Table1[Beginn]"),"&lt;="&amp;BB$1,INDIRECT("Table1[Ende]"),"&gt;="&amp;BB$1,INDIRECT("Table1[Obergruppe ATC-Code]"),Tabelle3!$A77)</f>
        <v>0</v>
      </c>
      <c r="BC77">
        <f ca="1">COUNTIFS(INDIRECT("Table1[Beginn]"),"&lt;="&amp;BC$1,INDIRECT("Table1[Ende]"),"&gt;="&amp;BC$1,INDIRECT("Table1[Obergruppe ATC-Code]"),Tabelle3!$A77)</f>
        <v>0</v>
      </c>
      <c r="BD77">
        <f ca="1">COUNTIFS(INDIRECT("Table1[Beginn]"),"&lt;="&amp;BD$1,INDIRECT("Table1[Ende]"),"&gt;="&amp;BD$1,INDIRECT("Table1[Obergruppe ATC-Code]"),Tabelle3!$A77)</f>
        <v>0</v>
      </c>
      <c r="BE77">
        <f ca="1">COUNTIFS(INDIRECT("Table1[Beginn]"),"&lt;="&amp;BE$1,INDIRECT("Table1[Ende]"),"&gt;="&amp;BE$1,INDIRECT("Table1[Obergruppe ATC-Code]"),Tabelle3!$A77)</f>
        <v>0</v>
      </c>
      <c r="BF77">
        <f ca="1">COUNTIFS(INDIRECT("Table1[Beginn]"),"&lt;="&amp;BF$1,INDIRECT("Table1[Ende]"),"&gt;="&amp;BF$1,INDIRECT("Table1[Obergruppe ATC-Code]"),Tabelle3!$A77)</f>
        <v>0</v>
      </c>
      <c r="BG77">
        <f ca="1">COUNTIFS(INDIRECT("Table1[Beginn]"),"&lt;="&amp;BG$1,INDIRECT("Table1[Ende]"),"&gt;="&amp;BG$1,INDIRECT("Table1[Obergruppe ATC-Code]"),Tabelle3!$A77)</f>
        <v>0</v>
      </c>
      <c r="BH77">
        <f ca="1">COUNTIFS(INDIRECT("Table1[Beginn]"),"&lt;="&amp;BH$1,INDIRECT("Table1[Ende]"),"&gt;="&amp;BH$1,INDIRECT("Table1[Obergruppe ATC-Code]"),Tabelle3!$A77)</f>
        <v>0</v>
      </c>
      <c r="BI77">
        <f ca="1">COUNTIFS(INDIRECT("Table1[Beginn]"),"&lt;="&amp;BI$1,INDIRECT("Table1[Ende]"),"&gt;="&amp;BI$1,INDIRECT("Table1[Obergruppe ATC-Code]"),Tabelle3!$A77)</f>
        <v>0</v>
      </c>
      <c r="BJ77">
        <f ca="1">COUNTIFS(INDIRECT("Table1[Beginn]"),"&lt;="&amp;BJ$1,INDIRECT("Table1[Ende]"),"&gt;="&amp;BJ$1,INDIRECT("Table1[Obergruppe ATC-Code]"),Tabelle3!$A77)</f>
        <v>0</v>
      </c>
      <c r="BK77">
        <f ca="1">COUNTIFS(INDIRECT("Table1[Beginn]"),"&lt;="&amp;BK$1,INDIRECT("Table1[Ende]"),"&gt;="&amp;BK$1,INDIRECT("Table1[Obergruppe ATC-Code]"),Tabelle3!$A77)</f>
        <v>0</v>
      </c>
      <c r="BL77">
        <f ca="1">COUNTIFS(INDIRECT("Table1[Beginn]"),"&lt;="&amp;BL$1,INDIRECT("Table1[Ende]"),"&gt;="&amp;BL$1,INDIRECT("Table1[Obergruppe ATC-Code]"),Tabelle3!$A77)</f>
        <v>0</v>
      </c>
      <c r="BM77">
        <f ca="1">COUNTIFS(INDIRECT("Table1[Beginn]"),"&lt;="&amp;BM$1,INDIRECT("Table1[Ende]"),"&gt;="&amp;BM$1,INDIRECT("Table1[Obergruppe ATC-Code]"),Tabelle3!$A77)</f>
        <v>0</v>
      </c>
      <c r="BN77">
        <f ca="1">COUNTIFS(INDIRECT("Table1[Beginn]"),"&lt;="&amp;BN$1,INDIRECT("Table1[Ende]"),"&gt;="&amp;BN$1,INDIRECT("Table1[Obergruppe ATC-Code]"),Tabelle3!$A77)</f>
        <v>0</v>
      </c>
      <c r="BO77">
        <f ca="1">COUNTIFS(INDIRECT("Table1[Beginn]"),"&lt;="&amp;BO$1,INDIRECT("Table1[Ende]"),"&gt;="&amp;BO$1,INDIRECT("Table1[Obergruppe ATC-Code]"),Tabelle3!$A77)</f>
        <v>0</v>
      </c>
      <c r="BP77">
        <f ca="1">COUNTIFS(INDIRECT("Table1[Beginn]"),"&lt;="&amp;BP$1,INDIRECT("Table1[Ende]"),"&gt;="&amp;BP$1,INDIRECT("Table1[Obergruppe ATC-Code]"),Tabelle3!$A77)</f>
        <v>0</v>
      </c>
      <c r="BQ77">
        <f ca="1">COUNTIFS(INDIRECT("Table1[Beginn]"),"&lt;="&amp;BQ$1,INDIRECT("Table1[Ende]"),"&gt;="&amp;BQ$1,INDIRECT("Table1[Obergruppe ATC-Code]"),Tabelle3!$A77)</f>
        <v>0</v>
      </c>
      <c r="BR77">
        <f ca="1">COUNTIFS(INDIRECT("Table1[Beginn]"),"&lt;="&amp;BR$1,INDIRECT("Table1[Ende]"),"&gt;="&amp;BR$1,INDIRECT("Table1[Obergruppe ATC-Code]"),Tabelle3!$A77)</f>
        <v>0</v>
      </c>
      <c r="BS77">
        <f ca="1">COUNTIFS(INDIRECT("Table1[Beginn]"),"&lt;="&amp;BS$1,INDIRECT("Table1[Ende]"),"&gt;="&amp;BS$1,INDIRECT("Table1[Obergruppe ATC-Code]"),Tabelle3!$A77)</f>
        <v>0</v>
      </c>
      <c r="BT77">
        <f ca="1">COUNTIFS(INDIRECT("Table1[Beginn]"),"&lt;="&amp;BT$1,INDIRECT("Table1[Ende]"),"&gt;="&amp;BT$1,INDIRECT("Table1[Obergruppe ATC-Code]"),Tabelle3!$A77)</f>
        <v>0</v>
      </c>
      <c r="BU77">
        <f ca="1">COUNTIFS(INDIRECT("Table1[Beginn]"),"&lt;="&amp;BU$1,INDIRECT("Table1[Ende]"),"&gt;="&amp;BU$1,INDIRECT("Table1[Obergruppe ATC-Code]"),Tabelle3!$A77)</f>
        <v>0</v>
      </c>
      <c r="BV77">
        <f ca="1">COUNTIFS(INDIRECT("Table1[Beginn]"),"&lt;="&amp;BV$1,INDIRECT("Table1[Ende]"),"&gt;="&amp;BV$1,INDIRECT("Table1[Obergruppe ATC-Code]"),Tabelle3!$A77)</f>
        <v>0</v>
      </c>
      <c r="BW77">
        <f ca="1">COUNTIFS(INDIRECT("Table1[Beginn]"),"&lt;="&amp;BW$1,INDIRECT("Table1[Ende]"),"&gt;="&amp;BW$1,INDIRECT("Table1[Obergruppe ATC-Code]"),Tabelle3!$A77)</f>
        <v>0</v>
      </c>
      <c r="BX77">
        <f ca="1">COUNTIFS(INDIRECT("Table1[Beginn]"),"&lt;="&amp;BX$1,INDIRECT("Table1[Ende]"),"&gt;="&amp;BX$1,INDIRECT("Table1[Obergruppe ATC-Code]"),Tabelle3!$A77)</f>
        <v>0</v>
      </c>
      <c r="BY77">
        <f ca="1">COUNTIFS(INDIRECT("Table1[Beginn]"),"&lt;="&amp;BY$1,INDIRECT("Table1[Ende]"),"&gt;="&amp;BY$1,INDIRECT("Table1[Obergruppe ATC-Code]"),Tabelle3!$A77)</f>
        <v>0</v>
      </c>
      <c r="BZ77">
        <f ca="1">COUNTIFS(INDIRECT("Table1[Beginn]"),"&lt;="&amp;BZ$1,INDIRECT("Table1[Ende]"),"&gt;="&amp;BZ$1,INDIRECT("Table1[Obergruppe ATC-Code]"),Tabelle3!$A77)</f>
        <v>0</v>
      </c>
      <c r="CA77">
        <f ca="1">COUNTIFS(INDIRECT("Table1[Beginn]"),"&lt;="&amp;CA$1,INDIRECT("Table1[Ende]"),"&gt;="&amp;CA$1,INDIRECT("Table1[Obergruppe ATC-Code]"),Tabelle3!$A77)</f>
        <v>0</v>
      </c>
      <c r="CB77">
        <f ca="1">COUNTIFS(INDIRECT("Table1[Beginn]"),"&lt;="&amp;CB$1,INDIRECT("Table1[Ende]"),"&gt;="&amp;CB$1,INDIRECT("Table1[Obergruppe ATC-Code]"),Tabelle3!$A77)</f>
        <v>0</v>
      </c>
      <c r="CC77">
        <f ca="1">COUNTIFS(INDIRECT("Table1[Beginn]"),"&lt;="&amp;CC$1,INDIRECT("Table1[Ende]"),"&gt;="&amp;CC$1,INDIRECT("Table1[Obergruppe ATC-Code]"),Tabelle3!$A77)</f>
        <v>1</v>
      </c>
      <c r="CD77">
        <f ca="1">COUNTIFS(INDIRECT("Table1[Beginn]"),"&lt;="&amp;CD$1,INDIRECT("Table1[Ende]"),"&gt;="&amp;CD$1,INDIRECT("Table1[Obergruppe ATC-Code]"),Tabelle3!$A77)</f>
        <v>1</v>
      </c>
      <c r="CE77">
        <f ca="1">COUNTIFS(INDIRECT("Table1[Beginn]"),"&lt;="&amp;CE$1,INDIRECT("Table1[Ende]"),"&gt;="&amp;CE$1,INDIRECT("Table1[Obergruppe ATC-Code]"),Tabelle3!$A77)</f>
        <v>1</v>
      </c>
      <c r="CF77">
        <f ca="1">COUNTIFS(INDIRECT("Table1[Beginn]"),"&lt;="&amp;CF$1,INDIRECT("Table1[Ende]"),"&gt;="&amp;CF$1,INDIRECT("Table1[Obergruppe ATC-Code]"),Tabelle3!$A77)</f>
        <v>1</v>
      </c>
      <c r="CG77">
        <f ca="1">COUNTIFS(INDIRECT("Table1[Beginn]"),"&lt;="&amp;CG$1,INDIRECT("Table1[Ende]"),"&gt;="&amp;CG$1,INDIRECT("Table1[Obergruppe ATC-Code]"),Tabelle3!$A77)</f>
        <v>1</v>
      </c>
      <c r="CH77">
        <f ca="1">COUNTIFS(INDIRECT("Table1[Beginn]"),"&lt;="&amp;CH$1,INDIRECT("Table1[Ende]"),"&gt;="&amp;CH$1,INDIRECT("Table1[Obergruppe ATC-Code]"),Tabelle3!$A77)</f>
        <v>1</v>
      </c>
      <c r="CI77">
        <f ca="1">COUNTIFS(INDIRECT("Table1[Beginn]"),"&lt;="&amp;CI$1,INDIRECT("Table1[Ende]"),"&gt;="&amp;CI$1,INDIRECT("Table1[Obergruppe ATC-Code]"),Tabelle3!$A77)</f>
        <v>1</v>
      </c>
      <c r="CJ77">
        <f ca="1">COUNTIFS(INDIRECT("Table1[Beginn]"),"&lt;="&amp;CJ$1,INDIRECT("Table1[Ende]"),"&gt;="&amp;CJ$1,INDIRECT("Table1[Obergruppe ATC-Code]"),Tabelle3!$A77)</f>
        <v>1</v>
      </c>
      <c r="CK77">
        <f ca="1">COUNTIFS(INDIRECT("Table1[Beginn]"),"&lt;="&amp;CK$1,INDIRECT("Table1[Ende]"),"&gt;="&amp;CK$1,INDIRECT("Table1[Obergruppe ATC-Code]"),Tabelle3!$A77)</f>
        <v>1</v>
      </c>
      <c r="CL77">
        <f ca="1">COUNTIFS(INDIRECT("Table1[Beginn]"),"&lt;="&amp;CL$1,INDIRECT("Table1[Ende]"),"&gt;="&amp;CL$1,INDIRECT("Table1[Obergruppe ATC-Code]"),Tabelle3!$A77)</f>
        <v>0</v>
      </c>
      <c r="CM77">
        <f ca="1">COUNTIFS(INDIRECT("Table1[Beginn]"),"&lt;="&amp;CM$1,INDIRECT("Table1[Ende]"),"&gt;="&amp;CM$1,INDIRECT("Table1[Obergruppe ATC-Code]"),Tabelle3!$A77)</f>
        <v>0</v>
      </c>
      <c r="CN77">
        <f ca="1">COUNTIFS(INDIRECT("Table1[Beginn]"),"&lt;="&amp;CN$1,INDIRECT("Table1[Ende]"),"&gt;="&amp;CN$1,INDIRECT("Table1[Obergruppe ATC-Code]"),Tabelle3!$A77)</f>
        <v>0</v>
      </c>
      <c r="CO77">
        <f ca="1">COUNTIFS(INDIRECT("Table1[Beginn]"),"&lt;="&amp;CO$1,INDIRECT("Table1[Ende]"),"&gt;="&amp;CO$1,INDIRECT("Table1[Obergruppe ATC-Code]"),Tabelle3!$A77)</f>
        <v>0</v>
      </c>
      <c r="CP77">
        <f ca="1">COUNTIFS(INDIRECT("Table1[Beginn]"),"&lt;="&amp;CP$1,INDIRECT("Table1[Ende]"),"&gt;="&amp;CP$1,INDIRECT("Table1[Obergruppe ATC-Code]"),Tabelle3!$A77)</f>
        <v>0</v>
      </c>
      <c r="CQ77">
        <f ca="1">COUNTIFS(INDIRECT("Table1[Beginn]"),"&lt;="&amp;CQ$1,INDIRECT("Table1[Ende]"),"&gt;="&amp;CQ$1,INDIRECT("Table1[Obergruppe ATC-Code]"),Tabelle3!$A77)</f>
        <v>0</v>
      </c>
      <c r="CR77">
        <f ca="1">COUNTIFS(INDIRECT("Table1[Beginn]"),"&lt;="&amp;CR$1,INDIRECT("Table1[Ende]"),"&gt;="&amp;CR$1,INDIRECT("Table1[Obergruppe ATC-Code]"),Tabelle3!$A77)</f>
        <v>0</v>
      </c>
      <c r="CS77">
        <f ca="1">COUNTIFS(INDIRECT("Table1[Beginn]"),"&lt;="&amp;CS$1,INDIRECT("Table1[Ende]"),"&gt;="&amp;CS$1,INDIRECT("Table1[Obergruppe ATC-Code]"),Tabelle3!$A77)</f>
        <v>0</v>
      </c>
      <c r="CT77">
        <f ca="1">COUNTIFS(INDIRECT("Table1[Beginn]"),"&lt;="&amp;CT$1,INDIRECT("Table1[Ende]"),"&gt;="&amp;CT$1,INDIRECT("Table1[Obergruppe ATC-Code]"),Tabelle3!$A77)</f>
        <v>0</v>
      </c>
    </row>
    <row r="78" spans="1:98" ht="18">
      <c r="A78" s="7" t="s">
        <v>6924</v>
      </c>
      <c r="B78" s="8" t="s">
        <v>6925</v>
      </c>
      <c r="C78">
        <f ca="1">COUNTIFS(INDIRECT("Table1[Beginn]"),"&lt;="&amp;C$1,INDIRECT("Table1[Ende]"),"&gt;="&amp;C$1,INDIRECT("Table1[Obergruppe ATC-Code]"),Tabelle3!$A78)</f>
        <v>0</v>
      </c>
      <c r="D78">
        <f ca="1">COUNTIFS(INDIRECT("Table1[Beginn]"),"&lt;="&amp;D$1,INDIRECT("Table1[Ende]"),"&gt;="&amp;D$1,INDIRECT("Table1[Obergruppe ATC-Code]"),Tabelle3!$A78)</f>
        <v>0</v>
      </c>
      <c r="E78">
        <f ca="1">COUNTIFS(INDIRECT("Table1[Beginn]"),"&lt;="&amp;E$1,INDIRECT("Table1[Ende]"),"&gt;="&amp;E$1,INDIRECT("Table1[Obergruppe ATC-Code]"),Tabelle3!$A78)</f>
        <v>0</v>
      </c>
      <c r="F78">
        <f ca="1">COUNTIFS(INDIRECT("Table1[Beginn]"),"&lt;="&amp;F$1,INDIRECT("Table1[Ende]"),"&gt;="&amp;F$1,INDIRECT("Table1[Obergruppe ATC-Code]"),Tabelle3!$A78)</f>
        <v>0</v>
      </c>
      <c r="G78">
        <f ca="1">COUNTIFS(INDIRECT("Table1[Beginn]"),"&lt;="&amp;G$1,INDIRECT("Table1[Ende]"),"&gt;="&amp;G$1,INDIRECT("Table1[Obergruppe ATC-Code]"),Tabelle3!$A78)</f>
        <v>0</v>
      </c>
      <c r="H78">
        <f ca="1">COUNTIFS(INDIRECT("Table1[Beginn]"),"&lt;="&amp;H$1,INDIRECT("Table1[Ende]"),"&gt;="&amp;H$1,INDIRECT("Table1[Obergruppe ATC-Code]"),Tabelle3!$A78)</f>
        <v>0</v>
      </c>
      <c r="I78">
        <f ca="1">COUNTIFS(INDIRECT("Table1[Beginn]"),"&lt;="&amp;I$1,INDIRECT("Table1[Ende]"),"&gt;="&amp;I$1,INDIRECT("Table1[Obergruppe ATC-Code]"),Tabelle3!$A78)</f>
        <v>0</v>
      </c>
      <c r="J78">
        <f ca="1">COUNTIFS(INDIRECT("Table1[Beginn]"),"&lt;="&amp;J$1,INDIRECT("Table1[Ende]"),"&gt;="&amp;J$1,INDIRECT("Table1[Obergruppe ATC-Code]"),Tabelle3!$A78)</f>
        <v>0</v>
      </c>
      <c r="K78">
        <f ca="1">COUNTIFS(INDIRECT("Table1[Beginn]"),"&lt;="&amp;K$1,INDIRECT("Table1[Ende]"),"&gt;="&amp;K$1,INDIRECT("Table1[Obergruppe ATC-Code]"),Tabelle3!$A78)</f>
        <v>0</v>
      </c>
      <c r="L78">
        <f ca="1">COUNTIFS(INDIRECT("Table1[Beginn]"),"&lt;="&amp;L$1,INDIRECT("Table1[Ende]"),"&gt;="&amp;L$1,INDIRECT("Table1[Obergruppe ATC-Code]"),Tabelle3!$A78)</f>
        <v>0</v>
      </c>
      <c r="M78">
        <f ca="1">COUNTIFS(INDIRECT("Table1[Beginn]"),"&lt;="&amp;M$1,INDIRECT("Table1[Ende]"),"&gt;="&amp;M$1,INDIRECT("Table1[Obergruppe ATC-Code]"),Tabelle3!$A78)</f>
        <v>0</v>
      </c>
      <c r="N78">
        <f ca="1">COUNTIFS(INDIRECT("Table1[Beginn]"),"&lt;="&amp;N$1,INDIRECT("Table1[Ende]"),"&gt;="&amp;N$1,INDIRECT("Table1[Obergruppe ATC-Code]"),Tabelle3!$A78)</f>
        <v>0</v>
      </c>
      <c r="O78">
        <f ca="1">COUNTIFS(INDIRECT("Table1[Beginn]"),"&lt;="&amp;O$1,INDIRECT("Table1[Ende]"),"&gt;="&amp;O$1,INDIRECT("Table1[Obergruppe ATC-Code]"),Tabelle3!$A78)</f>
        <v>0</v>
      </c>
      <c r="P78">
        <f ca="1">COUNTIFS(INDIRECT("Table1[Beginn]"),"&lt;="&amp;P$1,INDIRECT("Table1[Ende]"),"&gt;="&amp;P$1,INDIRECT("Table1[Obergruppe ATC-Code]"),Tabelle3!$A78)</f>
        <v>0</v>
      </c>
      <c r="Q78">
        <f ca="1">COUNTIFS(INDIRECT("Table1[Beginn]"),"&lt;="&amp;Q$1,INDIRECT("Table1[Ende]"),"&gt;="&amp;Q$1,INDIRECT("Table1[Obergruppe ATC-Code]"),Tabelle3!$A78)</f>
        <v>0</v>
      </c>
      <c r="R78">
        <f ca="1">COUNTIFS(INDIRECT("Table1[Beginn]"),"&lt;="&amp;R$1,INDIRECT("Table1[Ende]"),"&gt;="&amp;R$1,INDIRECT("Table1[Obergruppe ATC-Code]"),Tabelle3!$A78)</f>
        <v>0</v>
      </c>
      <c r="S78">
        <f ca="1">COUNTIFS(INDIRECT("Table1[Beginn]"),"&lt;="&amp;S$1,INDIRECT("Table1[Ende]"),"&gt;="&amp;S$1,INDIRECT("Table1[Obergruppe ATC-Code]"),Tabelle3!$A78)</f>
        <v>0</v>
      </c>
      <c r="T78">
        <f ca="1">COUNTIFS(INDIRECT("Table1[Beginn]"),"&lt;="&amp;T$1,INDIRECT("Table1[Ende]"),"&gt;="&amp;T$1,INDIRECT("Table1[Obergruppe ATC-Code]"),Tabelle3!$A78)</f>
        <v>0</v>
      </c>
      <c r="U78">
        <f ca="1">COUNTIFS(INDIRECT("Table1[Beginn]"),"&lt;="&amp;U$1,INDIRECT("Table1[Ende]"),"&gt;="&amp;U$1,INDIRECT("Table1[Obergruppe ATC-Code]"),Tabelle3!$A78)</f>
        <v>0</v>
      </c>
      <c r="V78">
        <f ca="1">COUNTIFS(INDIRECT("Table1[Beginn]"),"&lt;="&amp;V$1,INDIRECT("Table1[Ende]"),"&gt;="&amp;V$1,INDIRECT("Table1[Obergruppe ATC-Code]"),Tabelle3!$A78)</f>
        <v>0</v>
      </c>
      <c r="W78">
        <f ca="1">COUNTIFS(INDIRECT("Table1[Beginn]"),"&lt;="&amp;W$1,INDIRECT("Table1[Ende]"),"&gt;="&amp;W$1,INDIRECT("Table1[Obergruppe ATC-Code]"),Tabelle3!$A78)</f>
        <v>0</v>
      </c>
      <c r="X78">
        <f ca="1">COUNTIFS(INDIRECT("Table1[Beginn]"),"&lt;="&amp;X$1,INDIRECT("Table1[Ende]"),"&gt;="&amp;X$1,INDIRECT("Table1[Obergruppe ATC-Code]"),Tabelle3!$A78)</f>
        <v>0</v>
      </c>
      <c r="Y78">
        <f ca="1">COUNTIFS(INDIRECT("Table1[Beginn]"),"&lt;="&amp;Y$1,INDIRECT("Table1[Ende]"),"&gt;="&amp;Y$1,INDIRECT("Table1[Obergruppe ATC-Code]"),Tabelle3!$A78)</f>
        <v>0</v>
      </c>
      <c r="Z78">
        <f ca="1">COUNTIFS(INDIRECT("Table1[Beginn]"),"&lt;="&amp;Z$1,INDIRECT("Table1[Ende]"),"&gt;="&amp;Z$1,INDIRECT("Table1[Obergruppe ATC-Code]"),Tabelle3!$A78)</f>
        <v>0</v>
      </c>
      <c r="AA78">
        <f ca="1">COUNTIFS(INDIRECT("Table1[Beginn]"),"&lt;="&amp;AA$1,INDIRECT("Table1[Ende]"),"&gt;="&amp;AA$1,INDIRECT("Table1[Obergruppe ATC-Code]"),Tabelle3!$A78)</f>
        <v>0</v>
      </c>
      <c r="AB78">
        <f ca="1">COUNTIFS(INDIRECT("Table1[Beginn]"),"&lt;="&amp;AB$1,INDIRECT("Table1[Ende]"),"&gt;="&amp;AB$1,INDIRECT("Table1[Obergruppe ATC-Code]"),Tabelle3!$A78)</f>
        <v>0</v>
      </c>
      <c r="AC78">
        <f ca="1">COUNTIFS(INDIRECT("Table1[Beginn]"),"&lt;="&amp;AC$1,INDIRECT("Table1[Ende]"),"&gt;="&amp;AC$1,INDIRECT("Table1[Obergruppe ATC-Code]"),Tabelle3!$A78)</f>
        <v>0</v>
      </c>
      <c r="AD78">
        <f ca="1">COUNTIFS(INDIRECT("Table1[Beginn]"),"&lt;="&amp;AD$1,INDIRECT("Table1[Ende]"),"&gt;="&amp;AD$1,INDIRECT("Table1[Obergruppe ATC-Code]"),Tabelle3!$A78)</f>
        <v>0</v>
      </c>
      <c r="AE78">
        <f ca="1">COUNTIFS(INDIRECT("Table1[Beginn]"),"&lt;="&amp;AE$1,INDIRECT("Table1[Ende]"),"&gt;="&amp;AE$1,INDIRECT("Table1[Obergruppe ATC-Code]"),Tabelle3!$A78)</f>
        <v>0</v>
      </c>
      <c r="AF78">
        <f ca="1">COUNTIFS(INDIRECT("Table1[Beginn]"),"&lt;="&amp;AF$1,INDIRECT("Table1[Ende]"),"&gt;="&amp;AF$1,INDIRECT("Table1[Obergruppe ATC-Code]"),Tabelle3!$A78)</f>
        <v>0</v>
      </c>
      <c r="AG78">
        <f ca="1">COUNTIFS(INDIRECT("Table1[Beginn]"),"&lt;="&amp;AG$1,INDIRECT("Table1[Ende]"),"&gt;="&amp;AG$1,INDIRECT("Table1[Obergruppe ATC-Code]"),Tabelle3!$A78)</f>
        <v>0</v>
      </c>
      <c r="AH78">
        <f ca="1">COUNTIFS(INDIRECT("Table1[Beginn]"),"&lt;="&amp;AH$1,INDIRECT("Table1[Ende]"),"&gt;="&amp;AH$1,INDIRECT("Table1[Obergruppe ATC-Code]"),Tabelle3!$A78)</f>
        <v>0</v>
      </c>
      <c r="AI78">
        <f ca="1">COUNTIFS(INDIRECT("Table1[Beginn]"),"&lt;="&amp;AI$1,INDIRECT("Table1[Ende]"),"&gt;="&amp;AI$1,INDIRECT("Table1[Obergruppe ATC-Code]"),Tabelle3!$A78)</f>
        <v>0</v>
      </c>
      <c r="AJ78">
        <f ca="1">COUNTIFS(INDIRECT("Table1[Beginn]"),"&lt;="&amp;AJ$1,INDIRECT("Table1[Ende]"),"&gt;="&amp;AJ$1,INDIRECT("Table1[Obergruppe ATC-Code]"),Tabelle3!$A78)</f>
        <v>0</v>
      </c>
      <c r="AK78">
        <f ca="1">COUNTIFS(INDIRECT("Table1[Beginn]"),"&lt;="&amp;AK$1,INDIRECT("Table1[Ende]"),"&gt;="&amp;AK$1,INDIRECT("Table1[Obergruppe ATC-Code]"),Tabelle3!$A78)</f>
        <v>0</v>
      </c>
      <c r="AL78">
        <f ca="1">COUNTIFS(INDIRECT("Table1[Beginn]"),"&lt;="&amp;AL$1,INDIRECT("Table1[Ende]"),"&gt;="&amp;AL$1,INDIRECT("Table1[Obergruppe ATC-Code]"),Tabelle3!$A78)</f>
        <v>0</v>
      </c>
      <c r="AM78">
        <f ca="1">COUNTIFS(INDIRECT("Table1[Beginn]"),"&lt;="&amp;AM$1,INDIRECT("Table1[Ende]"),"&gt;="&amp;AM$1,INDIRECT("Table1[Obergruppe ATC-Code]"),Tabelle3!$A78)</f>
        <v>0</v>
      </c>
      <c r="AN78">
        <f ca="1">COUNTIFS(INDIRECT("Table1[Beginn]"),"&lt;="&amp;AN$1,INDIRECT("Table1[Ende]"),"&gt;="&amp;AN$1,INDIRECT("Table1[Obergruppe ATC-Code]"),Tabelle3!$A78)</f>
        <v>0</v>
      </c>
      <c r="AO78">
        <f ca="1">COUNTIFS(INDIRECT("Table1[Beginn]"),"&lt;="&amp;AO$1,INDIRECT("Table1[Ende]"),"&gt;="&amp;AO$1,INDIRECT("Table1[Obergruppe ATC-Code]"),Tabelle3!$A78)</f>
        <v>0</v>
      </c>
      <c r="AP78">
        <f ca="1">COUNTIFS(INDIRECT("Table1[Beginn]"),"&lt;="&amp;AP$1,INDIRECT("Table1[Ende]"),"&gt;="&amp;AP$1,INDIRECT("Table1[Obergruppe ATC-Code]"),Tabelle3!$A78)</f>
        <v>0</v>
      </c>
      <c r="AQ78">
        <f ca="1">COUNTIFS(INDIRECT("Table1[Beginn]"),"&lt;="&amp;AQ$1,INDIRECT("Table1[Ende]"),"&gt;="&amp;AQ$1,INDIRECT("Table1[Obergruppe ATC-Code]"),Tabelle3!$A78)</f>
        <v>0</v>
      </c>
      <c r="AR78">
        <f ca="1">COUNTIFS(INDIRECT("Table1[Beginn]"),"&lt;="&amp;AR$1,INDIRECT("Table1[Ende]"),"&gt;="&amp;AR$1,INDIRECT("Table1[Obergruppe ATC-Code]"),Tabelle3!$A78)</f>
        <v>0</v>
      </c>
      <c r="AS78">
        <f ca="1">COUNTIFS(INDIRECT("Table1[Beginn]"),"&lt;="&amp;AS$1,INDIRECT("Table1[Ende]"),"&gt;="&amp;AS$1,INDIRECT("Table1[Obergruppe ATC-Code]"),Tabelle3!$A78)</f>
        <v>0</v>
      </c>
      <c r="AT78">
        <f ca="1">COUNTIFS(INDIRECT("Table1[Beginn]"),"&lt;="&amp;AT$1,INDIRECT("Table1[Ende]"),"&gt;="&amp;AT$1,INDIRECT("Table1[Obergruppe ATC-Code]"),Tabelle3!$A78)</f>
        <v>0</v>
      </c>
      <c r="AU78">
        <f ca="1">COUNTIFS(INDIRECT("Table1[Beginn]"),"&lt;="&amp;AU$1,INDIRECT("Table1[Ende]"),"&gt;="&amp;AU$1,INDIRECT("Table1[Obergruppe ATC-Code]"),Tabelle3!$A78)</f>
        <v>0</v>
      </c>
      <c r="AV78">
        <f ca="1">COUNTIFS(INDIRECT("Table1[Beginn]"),"&lt;="&amp;AV$1,INDIRECT("Table1[Ende]"),"&gt;="&amp;AV$1,INDIRECT("Table1[Obergruppe ATC-Code]"),Tabelle3!$A78)</f>
        <v>0</v>
      </c>
      <c r="AW78">
        <f ca="1">COUNTIFS(INDIRECT("Table1[Beginn]"),"&lt;="&amp;AW$1,INDIRECT("Table1[Ende]"),"&gt;="&amp;AW$1,INDIRECT("Table1[Obergruppe ATC-Code]"),Tabelle3!$A78)</f>
        <v>0</v>
      </c>
      <c r="AX78">
        <f ca="1">COUNTIFS(INDIRECT("Table1[Beginn]"),"&lt;="&amp;AX$1,INDIRECT("Table1[Ende]"),"&gt;="&amp;AX$1,INDIRECT("Table1[Obergruppe ATC-Code]"),Tabelle3!$A78)</f>
        <v>0</v>
      </c>
      <c r="AY78">
        <f ca="1">COUNTIFS(INDIRECT("Table1[Beginn]"),"&lt;="&amp;AY$1,INDIRECT("Table1[Ende]"),"&gt;="&amp;AY$1,INDIRECT("Table1[Obergruppe ATC-Code]"),Tabelle3!$A78)</f>
        <v>0</v>
      </c>
      <c r="AZ78">
        <f ca="1">COUNTIFS(INDIRECT("Table1[Beginn]"),"&lt;="&amp;AZ$1,INDIRECT("Table1[Ende]"),"&gt;="&amp;AZ$1,INDIRECT("Table1[Obergruppe ATC-Code]"),Tabelle3!$A78)</f>
        <v>0</v>
      </c>
      <c r="BA78">
        <f ca="1">COUNTIFS(INDIRECT("Table1[Beginn]"),"&lt;="&amp;BA$1,INDIRECT("Table1[Ende]"),"&gt;="&amp;BA$1,INDIRECT("Table1[Obergruppe ATC-Code]"),Tabelle3!$A78)</f>
        <v>0</v>
      </c>
      <c r="BB78">
        <f ca="1">COUNTIFS(INDIRECT("Table1[Beginn]"),"&lt;="&amp;BB$1,INDIRECT("Table1[Ende]"),"&gt;="&amp;BB$1,INDIRECT("Table1[Obergruppe ATC-Code]"),Tabelle3!$A78)</f>
        <v>0</v>
      </c>
      <c r="BC78">
        <f ca="1">COUNTIFS(INDIRECT("Table1[Beginn]"),"&lt;="&amp;BC$1,INDIRECT("Table1[Ende]"),"&gt;="&amp;BC$1,INDIRECT("Table1[Obergruppe ATC-Code]"),Tabelle3!$A78)</f>
        <v>0</v>
      </c>
      <c r="BD78">
        <f ca="1">COUNTIFS(INDIRECT("Table1[Beginn]"),"&lt;="&amp;BD$1,INDIRECT("Table1[Ende]"),"&gt;="&amp;BD$1,INDIRECT("Table1[Obergruppe ATC-Code]"),Tabelle3!$A78)</f>
        <v>0</v>
      </c>
      <c r="BE78">
        <f ca="1">COUNTIFS(INDIRECT("Table1[Beginn]"),"&lt;="&amp;BE$1,INDIRECT("Table1[Ende]"),"&gt;="&amp;BE$1,INDIRECT("Table1[Obergruppe ATC-Code]"),Tabelle3!$A78)</f>
        <v>0</v>
      </c>
      <c r="BF78">
        <f ca="1">COUNTIFS(INDIRECT("Table1[Beginn]"),"&lt;="&amp;BF$1,INDIRECT("Table1[Ende]"),"&gt;="&amp;BF$1,INDIRECT("Table1[Obergruppe ATC-Code]"),Tabelle3!$A78)</f>
        <v>0</v>
      </c>
      <c r="BG78">
        <f ca="1">COUNTIFS(INDIRECT("Table1[Beginn]"),"&lt;="&amp;BG$1,INDIRECT("Table1[Ende]"),"&gt;="&amp;BG$1,INDIRECT("Table1[Obergruppe ATC-Code]"),Tabelle3!$A78)</f>
        <v>0</v>
      </c>
      <c r="BH78">
        <f ca="1">COUNTIFS(INDIRECT("Table1[Beginn]"),"&lt;="&amp;BH$1,INDIRECT("Table1[Ende]"),"&gt;="&amp;BH$1,INDIRECT("Table1[Obergruppe ATC-Code]"),Tabelle3!$A78)</f>
        <v>0</v>
      </c>
      <c r="BI78">
        <f ca="1">COUNTIFS(INDIRECT("Table1[Beginn]"),"&lt;="&amp;BI$1,INDIRECT("Table1[Ende]"),"&gt;="&amp;BI$1,INDIRECT("Table1[Obergruppe ATC-Code]"),Tabelle3!$A78)</f>
        <v>0</v>
      </c>
      <c r="BJ78">
        <f ca="1">COUNTIFS(INDIRECT("Table1[Beginn]"),"&lt;="&amp;BJ$1,INDIRECT("Table1[Ende]"),"&gt;="&amp;BJ$1,INDIRECT("Table1[Obergruppe ATC-Code]"),Tabelle3!$A78)</f>
        <v>0</v>
      </c>
      <c r="BK78">
        <f ca="1">COUNTIFS(INDIRECT("Table1[Beginn]"),"&lt;="&amp;BK$1,INDIRECT("Table1[Ende]"),"&gt;="&amp;BK$1,INDIRECT("Table1[Obergruppe ATC-Code]"),Tabelle3!$A78)</f>
        <v>0</v>
      </c>
      <c r="BL78">
        <f ca="1">COUNTIFS(INDIRECT("Table1[Beginn]"),"&lt;="&amp;BL$1,INDIRECT("Table1[Ende]"),"&gt;="&amp;BL$1,INDIRECT("Table1[Obergruppe ATC-Code]"),Tabelle3!$A78)</f>
        <v>0</v>
      </c>
      <c r="BM78">
        <f ca="1">COUNTIFS(INDIRECT("Table1[Beginn]"),"&lt;="&amp;BM$1,INDIRECT("Table1[Ende]"),"&gt;="&amp;BM$1,INDIRECT("Table1[Obergruppe ATC-Code]"),Tabelle3!$A78)</f>
        <v>0</v>
      </c>
      <c r="BN78">
        <f ca="1">COUNTIFS(INDIRECT("Table1[Beginn]"),"&lt;="&amp;BN$1,INDIRECT("Table1[Ende]"),"&gt;="&amp;BN$1,INDIRECT("Table1[Obergruppe ATC-Code]"),Tabelle3!$A78)</f>
        <v>0</v>
      </c>
      <c r="BO78">
        <f ca="1">COUNTIFS(INDIRECT("Table1[Beginn]"),"&lt;="&amp;BO$1,INDIRECT("Table1[Ende]"),"&gt;="&amp;BO$1,INDIRECT("Table1[Obergruppe ATC-Code]"),Tabelle3!$A78)</f>
        <v>0</v>
      </c>
      <c r="BP78">
        <f ca="1">COUNTIFS(INDIRECT("Table1[Beginn]"),"&lt;="&amp;BP$1,INDIRECT("Table1[Ende]"),"&gt;="&amp;BP$1,INDIRECT("Table1[Obergruppe ATC-Code]"),Tabelle3!$A78)</f>
        <v>0</v>
      </c>
      <c r="BQ78">
        <f ca="1">COUNTIFS(INDIRECT("Table1[Beginn]"),"&lt;="&amp;BQ$1,INDIRECT("Table1[Ende]"),"&gt;="&amp;BQ$1,INDIRECT("Table1[Obergruppe ATC-Code]"),Tabelle3!$A78)</f>
        <v>0</v>
      </c>
      <c r="BR78">
        <f ca="1">COUNTIFS(INDIRECT("Table1[Beginn]"),"&lt;="&amp;BR$1,INDIRECT("Table1[Ende]"),"&gt;="&amp;BR$1,INDIRECT("Table1[Obergruppe ATC-Code]"),Tabelle3!$A78)</f>
        <v>0</v>
      </c>
      <c r="BS78">
        <f ca="1">COUNTIFS(INDIRECT("Table1[Beginn]"),"&lt;="&amp;BS$1,INDIRECT("Table1[Ende]"),"&gt;="&amp;BS$1,INDIRECT("Table1[Obergruppe ATC-Code]"),Tabelle3!$A78)</f>
        <v>0</v>
      </c>
      <c r="BT78">
        <f ca="1">COUNTIFS(INDIRECT("Table1[Beginn]"),"&lt;="&amp;BT$1,INDIRECT("Table1[Ende]"),"&gt;="&amp;BT$1,INDIRECT("Table1[Obergruppe ATC-Code]"),Tabelle3!$A78)</f>
        <v>0</v>
      </c>
      <c r="BU78">
        <f ca="1">COUNTIFS(INDIRECT("Table1[Beginn]"),"&lt;="&amp;BU$1,INDIRECT("Table1[Ende]"),"&gt;="&amp;BU$1,INDIRECT("Table1[Obergruppe ATC-Code]"),Tabelle3!$A78)</f>
        <v>0</v>
      </c>
      <c r="BV78">
        <f ca="1">COUNTIFS(INDIRECT("Table1[Beginn]"),"&lt;="&amp;BV$1,INDIRECT("Table1[Ende]"),"&gt;="&amp;BV$1,INDIRECT("Table1[Obergruppe ATC-Code]"),Tabelle3!$A78)</f>
        <v>0</v>
      </c>
      <c r="BW78">
        <f ca="1">COUNTIFS(INDIRECT("Table1[Beginn]"),"&lt;="&amp;BW$1,INDIRECT("Table1[Ende]"),"&gt;="&amp;BW$1,INDIRECT("Table1[Obergruppe ATC-Code]"),Tabelle3!$A78)</f>
        <v>0</v>
      </c>
      <c r="BX78">
        <f ca="1">COUNTIFS(INDIRECT("Table1[Beginn]"),"&lt;="&amp;BX$1,INDIRECT("Table1[Ende]"),"&gt;="&amp;BX$1,INDIRECT("Table1[Obergruppe ATC-Code]"),Tabelle3!$A78)</f>
        <v>0</v>
      </c>
      <c r="BY78">
        <f ca="1">COUNTIFS(INDIRECT("Table1[Beginn]"),"&lt;="&amp;BY$1,INDIRECT("Table1[Ende]"),"&gt;="&amp;BY$1,INDIRECT("Table1[Obergruppe ATC-Code]"),Tabelle3!$A78)</f>
        <v>0</v>
      </c>
      <c r="BZ78">
        <f ca="1">COUNTIFS(INDIRECT("Table1[Beginn]"),"&lt;="&amp;BZ$1,INDIRECT("Table1[Ende]"),"&gt;="&amp;BZ$1,INDIRECT("Table1[Obergruppe ATC-Code]"),Tabelle3!$A78)</f>
        <v>0</v>
      </c>
      <c r="CA78">
        <f ca="1">COUNTIFS(INDIRECT("Table1[Beginn]"),"&lt;="&amp;CA$1,INDIRECT("Table1[Ende]"),"&gt;="&amp;CA$1,INDIRECT("Table1[Obergruppe ATC-Code]"),Tabelle3!$A78)</f>
        <v>0</v>
      </c>
      <c r="CB78">
        <f ca="1">COUNTIFS(INDIRECT("Table1[Beginn]"),"&lt;="&amp;CB$1,INDIRECT("Table1[Ende]"),"&gt;="&amp;CB$1,INDIRECT("Table1[Obergruppe ATC-Code]"),Tabelle3!$A78)</f>
        <v>0</v>
      </c>
      <c r="CC78">
        <f ca="1">COUNTIFS(INDIRECT("Table1[Beginn]"),"&lt;="&amp;CC$1,INDIRECT("Table1[Ende]"),"&gt;="&amp;CC$1,INDIRECT("Table1[Obergruppe ATC-Code]"),Tabelle3!$A78)</f>
        <v>0</v>
      </c>
      <c r="CD78">
        <f ca="1">COUNTIFS(INDIRECT("Table1[Beginn]"),"&lt;="&amp;CD$1,INDIRECT("Table1[Ende]"),"&gt;="&amp;CD$1,INDIRECT("Table1[Obergruppe ATC-Code]"),Tabelle3!$A78)</f>
        <v>0</v>
      </c>
      <c r="CE78">
        <f ca="1">COUNTIFS(INDIRECT("Table1[Beginn]"),"&lt;="&amp;CE$1,INDIRECT("Table1[Ende]"),"&gt;="&amp;CE$1,INDIRECT("Table1[Obergruppe ATC-Code]"),Tabelle3!$A78)</f>
        <v>0</v>
      </c>
      <c r="CF78">
        <f ca="1">COUNTIFS(INDIRECT("Table1[Beginn]"),"&lt;="&amp;CF$1,INDIRECT("Table1[Ende]"),"&gt;="&amp;CF$1,INDIRECT("Table1[Obergruppe ATC-Code]"),Tabelle3!$A78)</f>
        <v>0</v>
      </c>
      <c r="CG78">
        <f ca="1">COUNTIFS(INDIRECT("Table1[Beginn]"),"&lt;="&amp;CG$1,INDIRECT("Table1[Ende]"),"&gt;="&amp;CG$1,INDIRECT("Table1[Obergruppe ATC-Code]"),Tabelle3!$A78)</f>
        <v>0</v>
      </c>
      <c r="CH78">
        <f ca="1">COUNTIFS(INDIRECT("Table1[Beginn]"),"&lt;="&amp;CH$1,INDIRECT("Table1[Ende]"),"&gt;="&amp;CH$1,INDIRECT("Table1[Obergruppe ATC-Code]"),Tabelle3!$A78)</f>
        <v>0</v>
      </c>
      <c r="CI78">
        <f ca="1">COUNTIFS(INDIRECT("Table1[Beginn]"),"&lt;="&amp;CI$1,INDIRECT("Table1[Ende]"),"&gt;="&amp;CI$1,INDIRECT("Table1[Obergruppe ATC-Code]"),Tabelle3!$A78)</f>
        <v>0</v>
      </c>
      <c r="CJ78">
        <f ca="1">COUNTIFS(INDIRECT("Table1[Beginn]"),"&lt;="&amp;CJ$1,INDIRECT("Table1[Ende]"),"&gt;="&amp;CJ$1,INDIRECT("Table1[Obergruppe ATC-Code]"),Tabelle3!$A78)</f>
        <v>0</v>
      </c>
      <c r="CK78">
        <f ca="1">COUNTIFS(INDIRECT("Table1[Beginn]"),"&lt;="&amp;CK$1,INDIRECT("Table1[Ende]"),"&gt;="&amp;CK$1,INDIRECT("Table1[Obergruppe ATC-Code]"),Tabelle3!$A78)</f>
        <v>0</v>
      </c>
      <c r="CL78">
        <f ca="1">COUNTIFS(INDIRECT("Table1[Beginn]"),"&lt;="&amp;CL$1,INDIRECT("Table1[Ende]"),"&gt;="&amp;CL$1,INDIRECT("Table1[Obergruppe ATC-Code]"),Tabelle3!$A78)</f>
        <v>0</v>
      </c>
      <c r="CM78">
        <f ca="1">COUNTIFS(INDIRECT("Table1[Beginn]"),"&lt;="&amp;CM$1,INDIRECT("Table1[Ende]"),"&gt;="&amp;CM$1,INDIRECT("Table1[Obergruppe ATC-Code]"),Tabelle3!$A78)</f>
        <v>0</v>
      </c>
      <c r="CN78">
        <f ca="1">COUNTIFS(INDIRECT("Table1[Beginn]"),"&lt;="&amp;CN$1,INDIRECT("Table1[Ende]"),"&gt;="&amp;CN$1,INDIRECT("Table1[Obergruppe ATC-Code]"),Tabelle3!$A78)</f>
        <v>0</v>
      </c>
      <c r="CO78">
        <f ca="1">COUNTIFS(INDIRECT("Table1[Beginn]"),"&lt;="&amp;CO$1,INDIRECT("Table1[Ende]"),"&gt;="&amp;CO$1,INDIRECT("Table1[Obergruppe ATC-Code]"),Tabelle3!$A78)</f>
        <v>0</v>
      </c>
      <c r="CP78">
        <f ca="1">COUNTIFS(INDIRECT("Table1[Beginn]"),"&lt;="&amp;CP$1,INDIRECT("Table1[Ende]"),"&gt;="&amp;CP$1,INDIRECT("Table1[Obergruppe ATC-Code]"),Tabelle3!$A78)</f>
        <v>0</v>
      </c>
      <c r="CQ78">
        <f ca="1">COUNTIFS(INDIRECT("Table1[Beginn]"),"&lt;="&amp;CQ$1,INDIRECT("Table1[Ende]"),"&gt;="&amp;CQ$1,INDIRECT("Table1[Obergruppe ATC-Code]"),Tabelle3!$A78)</f>
        <v>0</v>
      </c>
      <c r="CR78">
        <f ca="1">COUNTIFS(INDIRECT("Table1[Beginn]"),"&lt;="&amp;CR$1,INDIRECT("Table1[Ende]"),"&gt;="&amp;CR$1,INDIRECT("Table1[Obergruppe ATC-Code]"),Tabelle3!$A78)</f>
        <v>0</v>
      </c>
      <c r="CS78">
        <f ca="1">COUNTIFS(INDIRECT("Table1[Beginn]"),"&lt;="&amp;CS$1,INDIRECT("Table1[Ende]"),"&gt;="&amp;CS$1,INDIRECT("Table1[Obergruppe ATC-Code]"),Tabelle3!$A78)</f>
        <v>0</v>
      </c>
      <c r="CT78">
        <f ca="1">COUNTIFS(INDIRECT("Table1[Beginn]"),"&lt;="&amp;CT$1,INDIRECT("Table1[Ende]"),"&gt;="&amp;CT$1,INDIRECT("Table1[Obergruppe ATC-Code]"),Tabelle3!$A78)</f>
        <v>0</v>
      </c>
    </row>
    <row r="79" spans="1:98" ht="18">
      <c r="A79" s="9" t="s">
        <v>6926</v>
      </c>
      <c r="B79" s="10" t="s">
        <v>6927</v>
      </c>
      <c r="C79">
        <f ca="1">COUNTIFS(INDIRECT("Table1[Beginn]"),"&lt;="&amp;C$1,INDIRECT("Table1[Ende]"),"&gt;="&amp;C$1,INDIRECT("Table1[Obergruppe ATC-Code]"),Tabelle3!$A79)</f>
        <v>0</v>
      </c>
      <c r="D79">
        <f ca="1">COUNTIFS(INDIRECT("Table1[Beginn]"),"&lt;="&amp;D$1,INDIRECT("Table1[Ende]"),"&gt;="&amp;D$1,INDIRECT("Table1[Obergruppe ATC-Code]"),Tabelle3!$A79)</f>
        <v>0</v>
      </c>
      <c r="E79">
        <f ca="1">COUNTIFS(INDIRECT("Table1[Beginn]"),"&lt;="&amp;E$1,INDIRECT("Table1[Ende]"),"&gt;="&amp;E$1,INDIRECT("Table1[Obergruppe ATC-Code]"),Tabelle3!$A79)</f>
        <v>0</v>
      </c>
      <c r="F79">
        <f ca="1">COUNTIFS(INDIRECT("Table1[Beginn]"),"&lt;="&amp;F$1,INDIRECT("Table1[Ende]"),"&gt;="&amp;F$1,INDIRECT("Table1[Obergruppe ATC-Code]"),Tabelle3!$A79)</f>
        <v>0</v>
      </c>
      <c r="G79">
        <f ca="1">COUNTIFS(INDIRECT("Table1[Beginn]"),"&lt;="&amp;G$1,INDIRECT("Table1[Ende]"),"&gt;="&amp;G$1,INDIRECT("Table1[Obergruppe ATC-Code]"),Tabelle3!$A79)</f>
        <v>0</v>
      </c>
      <c r="H79">
        <f ca="1">COUNTIFS(INDIRECT("Table1[Beginn]"),"&lt;="&amp;H$1,INDIRECT("Table1[Ende]"),"&gt;="&amp;H$1,INDIRECT("Table1[Obergruppe ATC-Code]"),Tabelle3!$A79)</f>
        <v>0</v>
      </c>
      <c r="I79">
        <f ca="1">COUNTIFS(INDIRECT("Table1[Beginn]"),"&lt;="&amp;I$1,INDIRECT("Table1[Ende]"),"&gt;="&amp;I$1,INDIRECT("Table1[Obergruppe ATC-Code]"),Tabelle3!$A79)</f>
        <v>0</v>
      </c>
      <c r="J79">
        <f ca="1">COUNTIFS(INDIRECT("Table1[Beginn]"),"&lt;="&amp;J$1,INDIRECT("Table1[Ende]"),"&gt;="&amp;J$1,INDIRECT("Table1[Obergruppe ATC-Code]"),Tabelle3!$A79)</f>
        <v>1</v>
      </c>
      <c r="K79">
        <f ca="1">COUNTIFS(INDIRECT("Table1[Beginn]"),"&lt;="&amp;K$1,INDIRECT("Table1[Ende]"),"&gt;="&amp;K$1,INDIRECT("Table1[Obergruppe ATC-Code]"),Tabelle3!$A79)</f>
        <v>1</v>
      </c>
      <c r="L79">
        <f ca="1">COUNTIFS(INDIRECT("Table1[Beginn]"),"&lt;="&amp;L$1,INDIRECT("Table1[Ende]"),"&gt;="&amp;L$1,INDIRECT("Table1[Obergruppe ATC-Code]"),Tabelle3!$A79)</f>
        <v>1</v>
      </c>
      <c r="M79">
        <f ca="1">COUNTIFS(INDIRECT("Table1[Beginn]"),"&lt;="&amp;M$1,INDIRECT("Table1[Ende]"),"&gt;="&amp;M$1,INDIRECT("Table1[Obergruppe ATC-Code]"),Tabelle3!$A79)</f>
        <v>1</v>
      </c>
      <c r="N79">
        <f ca="1">COUNTIFS(INDIRECT("Table1[Beginn]"),"&lt;="&amp;N$1,INDIRECT("Table1[Ende]"),"&gt;="&amp;N$1,INDIRECT("Table1[Obergruppe ATC-Code]"),Tabelle3!$A79)</f>
        <v>1</v>
      </c>
      <c r="O79">
        <f ca="1">COUNTIFS(INDIRECT("Table1[Beginn]"),"&lt;="&amp;O$1,INDIRECT("Table1[Ende]"),"&gt;="&amp;O$1,INDIRECT("Table1[Obergruppe ATC-Code]"),Tabelle3!$A79)</f>
        <v>1</v>
      </c>
      <c r="P79">
        <f ca="1">COUNTIFS(INDIRECT("Table1[Beginn]"),"&lt;="&amp;P$1,INDIRECT("Table1[Ende]"),"&gt;="&amp;P$1,INDIRECT("Table1[Obergruppe ATC-Code]"),Tabelle3!$A79)</f>
        <v>1</v>
      </c>
      <c r="Q79">
        <f ca="1">COUNTIFS(INDIRECT("Table1[Beginn]"),"&lt;="&amp;Q$1,INDIRECT("Table1[Ende]"),"&gt;="&amp;Q$1,INDIRECT("Table1[Obergruppe ATC-Code]"),Tabelle3!$A79)</f>
        <v>1</v>
      </c>
      <c r="R79">
        <f ca="1">COUNTIFS(INDIRECT("Table1[Beginn]"),"&lt;="&amp;R$1,INDIRECT("Table1[Ende]"),"&gt;="&amp;R$1,INDIRECT("Table1[Obergruppe ATC-Code]"),Tabelle3!$A79)</f>
        <v>1</v>
      </c>
      <c r="S79">
        <f ca="1">COUNTIFS(INDIRECT("Table1[Beginn]"),"&lt;="&amp;S$1,INDIRECT("Table1[Ende]"),"&gt;="&amp;S$1,INDIRECT("Table1[Obergruppe ATC-Code]"),Tabelle3!$A79)</f>
        <v>1</v>
      </c>
      <c r="T79">
        <f ca="1">COUNTIFS(INDIRECT("Table1[Beginn]"),"&lt;="&amp;T$1,INDIRECT("Table1[Ende]"),"&gt;="&amp;T$1,INDIRECT("Table1[Obergruppe ATC-Code]"),Tabelle3!$A79)</f>
        <v>1</v>
      </c>
      <c r="U79">
        <f ca="1">COUNTIFS(INDIRECT("Table1[Beginn]"),"&lt;="&amp;U$1,INDIRECT("Table1[Ende]"),"&gt;="&amp;U$1,INDIRECT("Table1[Obergruppe ATC-Code]"),Tabelle3!$A79)</f>
        <v>0</v>
      </c>
      <c r="V79">
        <f ca="1">COUNTIFS(INDIRECT("Table1[Beginn]"),"&lt;="&amp;V$1,INDIRECT("Table1[Ende]"),"&gt;="&amp;V$1,INDIRECT("Table1[Obergruppe ATC-Code]"),Tabelle3!$A79)</f>
        <v>0</v>
      </c>
      <c r="W79">
        <f ca="1">COUNTIFS(INDIRECT("Table1[Beginn]"),"&lt;="&amp;W$1,INDIRECT("Table1[Ende]"),"&gt;="&amp;W$1,INDIRECT("Table1[Obergruppe ATC-Code]"),Tabelle3!$A79)</f>
        <v>0</v>
      </c>
      <c r="X79">
        <f ca="1">COUNTIFS(INDIRECT("Table1[Beginn]"),"&lt;="&amp;X$1,INDIRECT("Table1[Ende]"),"&gt;="&amp;X$1,INDIRECT("Table1[Obergruppe ATC-Code]"),Tabelle3!$A79)</f>
        <v>0</v>
      </c>
      <c r="Y79">
        <f ca="1">COUNTIFS(INDIRECT("Table1[Beginn]"),"&lt;="&amp;Y$1,INDIRECT("Table1[Ende]"),"&gt;="&amp;Y$1,INDIRECT("Table1[Obergruppe ATC-Code]"),Tabelle3!$A79)</f>
        <v>0</v>
      </c>
      <c r="Z79">
        <f ca="1">COUNTIFS(INDIRECT("Table1[Beginn]"),"&lt;="&amp;Z$1,INDIRECT("Table1[Ende]"),"&gt;="&amp;Z$1,INDIRECT("Table1[Obergruppe ATC-Code]"),Tabelle3!$A79)</f>
        <v>0</v>
      </c>
      <c r="AA79">
        <f ca="1">COUNTIFS(INDIRECT("Table1[Beginn]"),"&lt;="&amp;AA$1,INDIRECT("Table1[Ende]"),"&gt;="&amp;AA$1,INDIRECT("Table1[Obergruppe ATC-Code]"),Tabelle3!$A79)</f>
        <v>0</v>
      </c>
      <c r="AB79">
        <f ca="1">COUNTIFS(INDIRECT("Table1[Beginn]"),"&lt;="&amp;AB$1,INDIRECT("Table1[Ende]"),"&gt;="&amp;AB$1,INDIRECT("Table1[Obergruppe ATC-Code]"),Tabelle3!$A79)</f>
        <v>0</v>
      </c>
      <c r="AC79">
        <f ca="1">COUNTIFS(INDIRECT("Table1[Beginn]"),"&lt;="&amp;AC$1,INDIRECT("Table1[Ende]"),"&gt;="&amp;AC$1,INDIRECT("Table1[Obergruppe ATC-Code]"),Tabelle3!$A79)</f>
        <v>0</v>
      </c>
      <c r="AD79">
        <f ca="1">COUNTIFS(INDIRECT("Table1[Beginn]"),"&lt;="&amp;AD$1,INDIRECT("Table1[Ende]"),"&gt;="&amp;AD$1,INDIRECT("Table1[Obergruppe ATC-Code]"),Tabelle3!$A79)</f>
        <v>0</v>
      </c>
      <c r="AE79">
        <f ca="1">COUNTIFS(INDIRECT("Table1[Beginn]"),"&lt;="&amp;AE$1,INDIRECT("Table1[Ende]"),"&gt;="&amp;AE$1,INDIRECT("Table1[Obergruppe ATC-Code]"),Tabelle3!$A79)</f>
        <v>0</v>
      </c>
      <c r="AF79">
        <f ca="1">COUNTIFS(INDIRECT("Table1[Beginn]"),"&lt;="&amp;AF$1,INDIRECT("Table1[Ende]"),"&gt;="&amp;AF$1,INDIRECT("Table1[Obergruppe ATC-Code]"),Tabelle3!$A79)</f>
        <v>0</v>
      </c>
      <c r="AG79">
        <f ca="1">COUNTIFS(INDIRECT("Table1[Beginn]"),"&lt;="&amp;AG$1,INDIRECT("Table1[Ende]"),"&gt;="&amp;AG$1,INDIRECT("Table1[Obergruppe ATC-Code]"),Tabelle3!$A79)</f>
        <v>0</v>
      </c>
      <c r="AH79">
        <f ca="1">COUNTIFS(INDIRECT("Table1[Beginn]"),"&lt;="&amp;AH$1,INDIRECT("Table1[Ende]"),"&gt;="&amp;AH$1,INDIRECT("Table1[Obergruppe ATC-Code]"),Tabelle3!$A79)</f>
        <v>0</v>
      </c>
      <c r="AI79">
        <f ca="1">COUNTIFS(INDIRECT("Table1[Beginn]"),"&lt;="&amp;AI$1,INDIRECT("Table1[Ende]"),"&gt;="&amp;AI$1,INDIRECT("Table1[Obergruppe ATC-Code]"),Tabelle3!$A79)</f>
        <v>0</v>
      </c>
      <c r="AJ79">
        <f ca="1">COUNTIFS(INDIRECT("Table1[Beginn]"),"&lt;="&amp;AJ$1,INDIRECT("Table1[Ende]"),"&gt;="&amp;AJ$1,INDIRECT("Table1[Obergruppe ATC-Code]"),Tabelle3!$A79)</f>
        <v>0</v>
      </c>
      <c r="AK79">
        <f ca="1">COUNTIFS(INDIRECT("Table1[Beginn]"),"&lt;="&amp;AK$1,INDIRECT("Table1[Ende]"),"&gt;="&amp;AK$1,INDIRECT("Table1[Obergruppe ATC-Code]"),Tabelle3!$A79)</f>
        <v>0</v>
      </c>
      <c r="AL79">
        <f ca="1">COUNTIFS(INDIRECT("Table1[Beginn]"),"&lt;="&amp;AL$1,INDIRECT("Table1[Ende]"),"&gt;="&amp;AL$1,INDIRECT("Table1[Obergruppe ATC-Code]"),Tabelle3!$A79)</f>
        <v>0</v>
      </c>
      <c r="AM79">
        <f ca="1">COUNTIFS(INDIRECT("Table1[Beginn]"),"&lt;="&amp;AM$1,INDIRECT("Table1[Ende]"),"&gt;="&amp;AM$1,INDIRECT("Table1[Obergruppe ATC-Code]"),Tabelle3!$A79)</f>
        <v>0</v>
      </c>
      <c r="AN79">
        <f ca="1">COUNTIFS(INDIRECT("Table1[Beginn]"),"&lt;="&amp;AN$1,INDIRECT("Table1[Ende]"),"&gt;="&amp;AN$1,INDIRECT("Table1[Obergruppe ATC-Code]"),Tabelle3!$A79)</f>
        <v>0</v>
      </c>
      <c r="AO79">
        <f ca="1">COUNTIFS(INDIRECT("Table1[Beginn]"),"&lt;="&amp;AO$1,INDIRECT("Table1[Ende]"),"&gt;="&amp;AO$1,INDIRECT("Table1[Obergruppe ATC-Code]"),Tabelle3!$A79)</f>
        <v>0</v>
      </c>
      <c r="AP79">
        <f ca="1">COUNTIFS(INDIRECT("Table1[Beginn]"),"&lt;="&amp;AP$1,INDIRECT("Table1[Ende]"),"&gt;="&amp;AP$1,INDIRECT("Table1[Obergruppe ATC-Code]"),Tabelle3!$A79)</f>
        <v>0</v>
      </c>
      <c r="AQ79">
        <f ca="1">COUNTIFS(INDIRECT("Table1[Beginn]"),"&lt;="&amp;AQ$1,INDIRECT("Table1[Ende]"),"&gt;="&amp;AQ$1,INDIRECT("Table1[Obergruppe ATC-Code]"),Tabelle3!$A79)</f>
        <v>0</v>
      </c>
      <c r="AR79">
        <f ca="1">COUNTIFS(INDIRECT("Table1[Beginn]"),"&lt;="&amp;AR$1,INDIRECT("Table1[Ende]"),"&gt;="&amp;AR$1,INDIRECT("Table1[Obergruppe ATC-Code]"),Tabelle3!$A79)</f>
        <v>0</v>
      </c>
      <c r="AS79">
        <f ca="1">COUNTIFS(INDIRECT("Table1[Beginn]"),"&lt;="&amp;AS$1,INDIRECT("Table1[Ende]"),"&gt;="&amp;AS$1,INDIRECT("Table1[Obergruppe ATC-Code]"),Tabelle3!$A79)</f>
        <v>0</v>
      </c>
      <c r="AT79">
        <f ca="1">COUNTIFS(INDIRECT("Table1[Beginn]"),"&lt;="&amp;AT$1,INDIRECT("Table1[Ende]"),"&gt;="&amp;AT$1,INDIRECT("Table1[Obergruppe ATC-Code]"),Tabelle3!$A79)</f>
        <v>0</v>
      </c>
      <c r="AU79">
        <f ca="1">COUNTIFS(INDIRECT("Table1[Beginn]"),"&lt;="&amp;AU$1,INDIRECT("Table1[Ende]"),"&gt;="&amp;AU$1,INDIRECT("Table1[Obergruppe ATC-Code]"),Tabelle3!$A79)</f>
        <v>0</v>
      </c>
      <c r="AV79">
        <f ca="1">COUNTIFS(INDIRECT("Table1[Beginn]"),"&lt;="&amp;AV$1,INDIRECT("Table1[Ende]"),"&gt;="&amp;AV$1,INDIRECT("Table1[Obergruppe ATC-Code]"),Tabelle3!$A79)</f>
        <v>0</v>
      </c>
      <c r="AW79">
        <f ca="1">COUNTIFS(INDIRECT("Table1[Beginn]"),"&lt;="&amp;AW$1,INDIRECT("Table1[Ende]"),"&gt;="&amp;AW$1,INDIRECT("Table1[Obergruppe ATC-Code]"),Tabelle3!$A79)</f>
        <v>0</v>
      </c>
      <c r="AX79">
        <f ca="1">COUNTIFS(INDIRECT("Table1[Beginn]"),"&lt;="&amp;AX$1,INDIRECT("Table1[Ende]"),"&gt;="&amp;AX$1,INDIRECT("Table1[Obergruppe ATC-Code]"),Tabelle3!$A79)</f>
        <v>0</v>
      </c>
      <c r="AY79">
        <f ca="1">COUNTIFS(INDIRECT("Table1[Beginn]"),"&lt;="&amp;AY$1,INDIRECT("Table1[Ende]"),"&gt;="&amp;AY$1,INDIRECT("Table1[Obergruppe ATC-Code]"),Tabelle3!$A79)</f>
        <v>0</v>
      </c>
      <c r="AZ79">
        <f ca="1">COUNTIFS(INDIRECT("Table1[Beginn]"),"&lt;="&amp;AZ$1,INDIRECT("Table1[Ende]"),"&gt;="&amp;AZ$1,INDIRECT("Table1[Obergruppe ATC-Code]"),Tabelle3!$A79)</f>
        <v>0</v>
      </c>
      <c r="BA79">
        <f ca="1">COUNTIFS(INDIRECT("Table1[Beginn]"),"&lt;="&amp;BA$1,INDIRECT("Table1[Ende]"),"&gt;="&amp;BA$1,INDIRECT("Table1[Obergruppe ATC-Code]"),Tabelle3!$A79)</f>
        <v>0</v>
      </c>
      <c r="BB79">
        <f ca="1">COUNTIFS(INDIRECT("Table1[Beginn]"),"&lt;="&amp;BB$1,INDIRECT("Table1[Ende]"),"&gt;="&amp;BB$1,INDIRECT("Table1[Obergruppe ATC-Code]"),Tabelle3!$A79)</f>
        <v>0</v>
      </c>
      <c r="BC79">
        <f ca="1">COUNTIFS(INDIRECT("Table1[Beginn]"),"&lt;="&amp;BC$1,INDIRECT("Table1[Ende]"),"&gt;="&amp;BC$1,INDIRECT("Table1[Obergruppe ATC-Code]"),Tabelle3!$A79)</f>
        <v>0</v>
      </c>
      <c r="BD79">
        <f ca="1">COUNTIFS(INDIRECT("Table1[Beginn]"),"&lt;="&amp;BD$1,INDIRECT("Table1[Ende]"),"&gt;="&amp;BD$1,INDIRECT("Table1[Obergruppe ATC-Code]"),Tabelle3!$A79)</f>
        <v>0</v>
      </c>
      <c r="BE79">
        <f ca="1">COUNTIFS(INDIRECT("Table1[Beginn]"),"&lt;="&amp;BE$1,INDIRECT("Table1[Ende]"),"&gt;="&amp;BE$1,INDIRECT("Table1[Obergruppe ATC-Code]"),Tabelle3!$A79)</f>
        <v>0</v>
      </c>
      <c r="BF79">
        <f ca="1">COUNTIFS(INDIRECT("Table1[Beginn]"),"&lt;="&amp;BF$1,INDIRECT("Table1[Ende]"),"&gt;="&amp;BF$1,INDIRECT("Table1[Obergruppe ATC-Code]"),Tabelle3!$A79)</f>
        <v>0</v>
      </c>
      <c r="BG79">
        <f ca="1">COUNTIFS(INDIRECT("Table1[Beginn]"),"&lt;="&amp;BG$1,INDIRECT("Table1[Ende]"),"&gt;="&amp;BG$1,INDIRECT("Table1[Obergruppe ATC-Code]"),Tabelle3!$A79)</f>
        <v>0</v>
      </c>
      <c r="BH79">
        <f ca="1">COUNTIFS(INDIRECT("Table1[Beginn]"),"&lt;="&amp;BH$1,INDIRECT("Table1[Ende]"),"&gt;="&amp;BH$1,INDIRECT("Table1[Obergruppe ATC-Code]"),Tabelle3!$A79)</f>
        <v>0</v>
      </c>
      <c r="BI79">
        <f ca="1">COUNTIFS(INDIRECT("Table1[Beginn]"),"&lt;="&amp;BI$1,INDIRECT("Table1[Ende]"),"&gt;="&amp;BI$1,INDIRECT("Table1[Obergruppe ATC-Code]"),Tabelle3!$A79)</f>
        <v>0</v>
      </c>
      <c r="BJ79">
        <f ca="1">COUNTIFS(INDIRECT("Table1[Beginn]"),"&lt;="&amp;BJ$1,INDIRECT("Table1[Ende]"),"&gt;="&amp;BJ$1,INDIRECT("Table1[Obergruppe ATC-Code]"),Tabelle3!$A79)</f>
        <v>0</v>
      </c>
      <c r="BK79">
        <f ca="1">COUNTIFS(INDIRECT("Table1[Beginn]"),"&lt;="&amp;BK$1,INDIRECT("Table1[Ende]"),"&gt;="&amp;BK$1,INDIRECT("Table1[Obergruppe ATC-Code]"),Tabelle3!$A79)</f>
        <v>0</v>
      </c>
      <c r="BL79">
        <f ca="1">COUNTIFS(INDIRECT("Table1[Beginn]"),"&lt;="&amp;BL$1,INDIRECT("Table1[Ende]"),"&gt;="&amp;BL$1,INDIRECT("Table1[Obergruppe ATC-Code]"),Tabelle3!$A79)</f>
        <v>0</v>
      </c>
      <c r="BM79">
        <f ca="1">COUNTIFS(INDIRECT("Table1[Beginn]"),"&lt;="&amp;BM$1,INDIRECT("Table1[Ende]"),"&gt;="&amp;BM$1,INDIRECT("Table1[Obergruppe ATC-Code]"),Tabelle3!$A79)</f>
        <v>0</v>
      </c>
      <c r="BN79">
        <f ca="1">COUNTIFS(INDIRECT("Table1[Beginn]"),"&lt;="&amp;BN$1,INDIRECT("Table1[Ende]"),"&gt;="&amp;BN$1,INDIRECT("Table1[Obergruppe ATC-Code]"),Tabelle3!$A79)</f>
        <v>0</v>
      </c>
      <c r="BO79">
        <f ca="1">COUNTIFS(INDIRECT("Table1[Beginn]"),"&lt;="&amp;BO$1,INDIRECT("Table1[Ende]"),"&gt;="&amp;BO$1,INDIRECT("Table1[Obergruppe ATC-Code]"),Tabelle3!$A79)</f>
        <v>0</v>
      </c>
      <c r="BP79">
        <f ca="1">COUNTIFS(INDIRECT("Table1[Beginn]"),"&lt;="&amp;BP$1,INDIRECT("Table1[Ende]"),"&gt;="&amp;BP$1,INDIRECT("Table1[Obergruppe ATC-Code]"),Tabelle3!$A79)</f>
        <v>0</v>
      </c>
      <c r="BQ79">
        <f ca="1">COUNTIFS(INDIRECT("Table1[Beginn]"),"&lt;="&amp;BQ$1,INDIRECT("Table1[Ende]"),"&gt;="&amp;BQ$1,INDIRECT("Table1[Obergruppe ATC-Code]"),Tabelle3!$A79)</f>
        <v>0</v>
      </c>
      <c r="BR79">
        <f ca="1">COUNTIFS(INDIRECT("Table1[Beginn]"),"&lt;="&amp;BR$1,INDIRECT("Table1[Ende]"),"&gt;="&amp;BR$1,INDIRECT("Table1[Obergruppe ATC-Code]"),Tabelle3!$A79)</f>
        <v>0</v>
      </c>
      <c r="BS79">
        <f ca="1">COUNTIFS(INDIRECT("Table1[Beginn]"),"&lt;="&amp;BS$1,INDIRECT("Table1[Ende]"),"&gt;="&amp;BS$1,INDIRECT("Table1[Obergruppe ATC-Code]"),Tabelle3!$A79)</f>
        <v>0</v>
      </c>
      <c r="BT79">
        <f ca="1">COUNTIFS(INDIRECT("Table1[Beginn]"),"&lt;="&amp;BT$1,INDIRECT("Table1[Ende]"),"&gt;="&amp;BT$1,INDIRECT("Table1[Obergruppe ATC-Code]"),Tabelle3!$A79)</f>
        <v>0</v>
      </c>
      <c r="BU79">
        <f ca="1">COUNTIFS(INDIRECT("Table1[Beginn]"),"&lt;="&amp;BU$1,INDIRECT("Table1[Ende]"),"&gt;="&amp;BU$1,INDIRECT("Table1[Obergruppe ATC-Code]"),Tabelle3!$A79)</f>
        <v>0</v>
      </c>
      <c r="BV79">
        <f ca="1">COUNTIFS(INDIRECT("Table1[Beginn]"),"&lt;="&amp;BV$1,INDIRECT("Table1[Ende]"),"&gt;="&amp;BV$1,INDIRECT("Table1[Obergruppe ATC-Code]"),Tabelle3!$A79)</f>
        <v>0</v>
      </c>
      <c r="BW79">
        <f ca="1">COUNTIFS(INDIRECT("Table1[Beginn]"),"&lt;="&amp;BW$1,INDIRECT("Table1[Ende]"),"&gt;="&amp;BW$1,INDIRECT("Table1[Obergruppe ATC-Code]"),Tabelle3!$A79)</f>
        <v>0</v>
      </c>
      <c r="BX79">
        <f ca="1">COUNTIFS(INDIRECT("Table1[Beginn]"),"&lt;="&amp;BX$1,INDIRECT("Table1[Ende]"),"&gt;="&amp;BX$1,INDIRECT("Table1[Obergruppe ATC-Code]"),Tabelle3!$A79)</f>
        <v>0</v>
      </c>
      <c r="BY79">
        <f ca="1">COUNTIFS(INDIRECT("Table1[Beginn]"),"&lt;="&amp;BY$1,INDIRECT("Table1[Ende]"),"&gt;="&amp;BY$1,INDIRECT("Table1[Obergruppe ATC-Code]"),Tabelle3!$A79)</f>
        <v>0</v>
      </c>
      <c r="BZ79">
        <f ca="1">COUNTIFS(INDIRECT("Table1[Beginn]"),"&lt;="&amp;BZ$1,INDIRECT("Table1[Ende]"),"&gt;="&amp;BZ$1,INDIRECT("Table1[Obergruppe ATC-Code]"),Tabelle3!$A79)</f>
        <v>6</v>
      </c>
      <c r="CA79">
        <f ca="1">COUNTIFS(INDIRECT("Table1[Beginn]"),"&lt;="&amp;CA$1,INDIRECT("Table1[Ende]"),"&gt;="&amp;CA$1,INDIRECT("Table1[Obergruppe ATC-Code]"),Tabelle3!$A79)</f>
        <v>5</v>
      </c>
      <c r="CB79">
        <f ca="1">COUNTIFS(INDIRECT("Table1[Beginn]"),"&lt;="&amp;CB$1,INDIRECT("Table1[Ende]"),"&gt;="&amp;CB$1,INDIRECT("Table1[Obergruppe ATC-Code]"),Tabelle3!$A79)</f>
        <v>5</v>
      </c>
      <c r="CC79">
        <f ca="1">COUNTIFS(INDIRECT("Table1[Beginn]"),"&lt;="&amp;CC$1,INDIRECT("Table1[Ende]"),"&gt;="&amp;CC$1,INDIRECT("Table1[Obergruppe ATC-Code]"),Tabelle3!$A79)</f>
        <v>7</v>
      </c>
      <c r="CD79">
        <f ca="1">COUNTIFS(INDIRECT("Table1[Beginn]"),"&lt;="&amp;CD$1,INDIRECT("Table1[Ende]"),"&gt;="&amp;CD$1,INDIRECT("Table1[Obergruppe ATC-Code]"),Tabelle3!$A79)</f>
        <v>7</v>
      </c>
      <c r="CE79">
        <f ca="1">COUNTIFS(INDIRECT("Table1[Beginn]"),"&lt;="&amp;CE$1,INDIRECT("Table1[Ende]"),"&gt;="&amp;CE$1,INDIRECT("Table1[Obergruppe ATC-Code]"),Tabelle3!$A79)</f>
        <v>4</v>
      </c>
      <c r="CF79">
        <f ca="1">COUNTIFS(INDIRECT("Table1[Beginn]"),"&lt;="&amp;CF$1,INDIRECT("Table1[Ende]"),"&gt;="&amp;CF$1,INDIRECT("Table1[Obergruppe ATC-Code]"),Tabelle3!$A79)</f>
        <v>4</v>
      </c>
      <c r="CG79">
        <f ca="1">COUNTIFS(INDIRECT("Table1[Beginn]"),"&lt;="&amp;CG$1,INDIRECT("Table1[Ende]"),"&gt;="&amp;CG$1,INDIRECT("Table1[Obergruppe ATC-Code]"),Tabelle3!$A79)</f>
        <v>2</v>
      </c>
      <c r="CH79">
        <f ca="1">COUNTIFS(INDIRECT("Table1[Beginn]"),"&lt;="&amp;CH$1,INDIRECT("Table1[Ende]"),"&gt;="&amp;CH$1,INDIRECT("Table1[Obergruppe ATC-Code]"),Tabelle3!$A79)</f>
        <v>2</v>
      </c>
      <c r="CI79">
        <f ca="1">COUNTIFS(INDIRECT("Table1[Beginn]"),"&lt;="&amp;CI$1,INDIRECT("Table1[Ende]"),"&gt;="&amp;CI$1,INDIRECT("Table1[Obergruppe ATC-Code]"),Tabelle3!$A79)</f>
        <v>0</v>
      </c>
      <c r="CJ79">
        <f ca="1">COUNTIFS(INDIRECT("Table1[Beginn]"),"&lt;="&amp;CJ$1,INDIRECT("Table1[Ende]"),"&gt;="&amp;CJ$1,INDIRECT("Table1[Obergruppe ATC-Code]"),Tabelle3!$A79)</f>
        <v>0</v>
      </c>
      <c r="CK79">
        <f ca="1">COUNTIFS(INDIRECT("Table1[Beginn]"),"&lt;="&amp;CK$1,INDIRECT("Table1[Ende]"),"&gt;="&amp;CK$1,INDIRECT("Table1[Obergruppe ATC-Code]"),Tabelle3!$A79)</f>
        <v>0</v>
      </c>
      <c r="CL79">
        <f ca="1">COUNTIFS(INDIRECT("Table1[Beginn]"),"&lt;="&amp;CL$1,INDIRECT("Table1[Ende]"),"&gt;="&amp;CL$1,INDIRECT("Table1[Obergruppe ATC-Code]"),Tabelle3!$A79)</f>
        <v>0</v>
      </c>
      <c r="CM79">
        <f ca="1">COUNTIFS(INDIRECT("Table1[Beginn]"),"&lt;="&amp;CM$1,INDIRECT("Table1[Ende]"),"&gt;="&amp;CM$1,INDIRECT("Table1[Obergruppe ATC-Code]"),Tabelle3!$A79)</f>
        <v>0</v>
      </c>
      <c r="CN79">
        <f ca="1">COUNTIFS(INDIRECT("Table1[Beginn]"),"&lt;="&amp;CN$1,INDIRECT("Table1[Ende]"),"&gt;="&amp;CN$1,INDIRECT("Table1[Obergruppe ATC-Code]"),Tabelle3!$A79)</f>
        <v>0</v>
      </c>
      <c r="CO79">
        <f ca="1">COUNTIFS(INDIRECT("Table1[Beginn]"),"&lt;="&amp;CO$1,INDIRECT("Table1[Ende]"),"&gt;="&amp;CO$1,INDIRECT("Table1[Obergruppe ATC-Code]"),Tabelle3!$A79)</f>
        <v>0</v>
      </c>
      <c r="CP79">
        <f ca="1">COUNTIFS(INDIRECT("Table1[Beginn]"),"&lt;="&amp;CP$1,INDIRECT("Table1[Ende]"),"&gt;="&amp;CP$1,INDIRECT("Table1[Obergruppe ATC-Code]"),Tabelle3!$A79)</f>
        <v>0</v>
      </c>
      <c r="CQ79">
        <f ca="1">COUNTIFS(INDIRECT("Table1[Beginn]"),"&lt;="&amp;CQ$1,INDIRECT("Table1[Ende]"),"&gt;="&amp;CQ$1,INDIRECT("Table1[Obergruppe ATC-Code]"),Tabelle3!$A79)</f>
        <v>0</v>
      </c>
      <c r="CR79">
        <f ca="1">COUNTIFS(INDIRECT("Table1[Beginn]"),"&lt;="&amp;CR$1,INDIRECT("Table1[Ende]"),"&gt;="&amp;CR$1,INDIRECT("Table1[Obergruppe ATC-Code]"),Tabelle3!$A79)</f>
        <v>0</v>
      </c>
      <c r="CS79">
        <f ca="1">COUNTIFS(INDIRECT("Table1[Beginn]"),"&lt;="&amp;CS$1,INDIRECT("Table1[Ende]"),"&gt;="&amp;CS$1,INDIRECT("Table1[Obergruppe ATC-Code]"),Tabelle3!$A79)</f>
        <v>0</v>
      </c>
      <c r="CT79">
        <f ca="1">COUNTIFS(INDIRECT("Table1[Beginn]"),"&lt;="&amp;CT$1,INDIRECT("Table1[Ende]"),"&gt;="&amp;CT$1,INDIRECT("Table1[Obergruppe ATC-Code]"),Tabelle3!$A79)</f>
        <v>0</v>
      </c>
    </row>
    <row r="80" spans="1:98" ht="18">
      <c r="A80" s="7" t="s">
        <v>6928</v>
      </c>
      <c r="B80" s="8" t="s">
        <v>6929</v>
      </c>
      <c r="C80">
        <f ca="1">COUNTIFS(INDIRECT("Table1[Beginn]"),"&lt;="&amp;C$1,INDIRECT("Table1[Ende]"),"&gt;="&amp;C$1,INDIRECT("Table1[Obergruppe ATC-Code]"),Tabelle3!$A80)</f>
        <v>0</v>
      </c>
      <c r="D80">
        <f ca="1">COUNTIFS(INDIRECT("Table1[Beginn]"),"&lt;="&amp;D$1,INDIRECT("Table1[Ende]"),"&gt;="&amp;D$1,INDIRECT("Table1[Obergruppe ATC-Code]"),Tabelle3!$A80)</f>
        <v>0</v>
      </c>
      <c r="E80">
        <f ca="1">COUNTIFS(INDIRECT("Table1[Beginn]"),"&lt;="&amp;E$1,INDIRECT("Table1[Ende]"),"&gt;="&amp;E$1,INDIRECT("Table1[Obergruppe ATC-Code]"),Tabelle3!$A80)</f>
        <v>0</v>
      </c>
      <c r="F80">
        <f ca="1">COUNTIFS(INDIRECT("Table1[Beginn]"),"&lt;="&amp;F$1,INDIRECT("Table1[Ende]"),"&gt;="&amp;F$1,INDIRECT("Table1[Obergruppe ATC-Code]"),Tabelle3!$A80)</f>
        <v>0</v>
      </c>
      <c r="G80">
        <f ca="1">COUNTIFS(INDIRECT("Table1[Beginn]"),"&lt;="&amp;G$1,INDIRECT("Table1[Ende]"),"&gt;="&amp;G$1,INDIRECT("Table1[Obergruppe ATC-Code]"),Tabelle3!$A80)</f>
        <v>0</v>
      </c>
      <c r="H80">
        <f ca="1">COUNTIFS(INDIRECT("Table1[Beginn]"),"&lt;="&amp;H$1,INDIRECT("Table1[Ende]"),"&gt;="&amp;H$1,INDIRECT("Table1[Obergruppe ATC-Code]"),Tabelle3!$A80)</f>
        <v>0</v>
      </c>
      <c r="I80">
        <f ca="1">COUNTIFS(INDIRECT("Table1[Beginn]"),"&lt;="&amp;I$1,INDIRECT("Table1[Ende]"),"&gt;="&amp;I$1,INDIRECT("Table1[Obergruppe ATC-Code]"),Tabelle3!$A80)</f>
        <v>0</v>
      </c>
      <c r="J80">
        <f ca="1">COUNTIFS(INDIRECT("Table1[Beginn]"),"&lt;="&amp;J$1,INDIRECT("Table1[Ende]"),"&gt;="&amp;J$1,INDIRECT("Table1[Obergruppe ATC-Code]"),Tabelle3!$A80)</f>
        <v>0</v>
      </c>
      <c r="K80">
        <f ca="1">COUNTIFS(INDIRECT("Table1[Beginn]"),"&lt;="&amp;K$1,INDIRECT("Table1[Ende]"),"&gt;="&amp;K$1,INDIRECT("Table1[Obergruppe ATC-Code]"),Tabelle3!$A80)</f>
        <v>0</v>
      </c>
      <c r="L80">
        <f ca="1">COUNTIFS(INDIRECT("Table1[Beginn]"),"&lt;="&amp;L$1,INDIRECT("Table1[Ende]"),"&gt;="&amp;L$1,INDIRECT("Table1[Obergruppe ATC-Code]"),Tabelle3!$A80)</f>
        <v>0</v>
      </c>
      <c r="M80">
        <f ca="1">COUNTIFS(INDIRECT("Table1[Beginn]"),"&lt;="&amp;M$1,INDIRECT("Table1[Ende]"),"&gt;="&amp;M$1,INDIRECT("Table1[Obergruppe ATC-Code]"),Tabelle3!$A80)</f>
        <v>0</v>
      </c>
      <c r="N80">
        <f ca="1">COUNTIFS(INDIRECT("Table1[Beginn]"),"&lt;="&amp;N$1,INDIRECT("Table1[Ende]"),"&gt;="&amp;N$1,INDIRECT("Table1[Obergruppe ATC-Code]"),Tabelle3!$A80)</f>
        <v>0</v>
      </c>
      <c r="O80">
        <f ca="1">COUNTIFS(INDIRECT("Table1[Beginn]"),"&lt;="&amp;O$1,INDIRECT("Table1[Ende]"),"&gt;="&amp;O$1,INDIRECT("Table1[Obergruppe ATC-Code]"),Tabelle3!$A80)</f>
        <v>0</v>
      </c>
      <c r="P80">
        <f ca="1">COUNTIFS(INDIRECT("Table1[Beginn]"),"&lt;="&amp;P$1,INDIRECT("Table1[Ende]"),"&gt;="&amp;P$1,INDIRECT("Table1[Obergruppe ATC-Code]"),Tabelle3!$A80)</f>
        <v>0</v>
      </c>
      <c r="Q80">
        <f ca="1">COUNTIFS(INDIRECT("Table1[Beginn]"),"&lt;="&amp;Q$1,INDIRECT("Table1[Ende]"),"&gt;="&amp;Q$1,INDIRECT("Table1[Obergruppe ATC-Code]"),Tabelle3!$A80)</f>
        <v>0</v>
      </c>
      <c r="R80">
        <f ca="1">COUNTIFS(INDIRECT("Table1[Beginn]"),"&lt;="&amp;R$1,INDIRECT("Table1[Ende]"),"&gt;="&amp;R$1,INDIRECT("Table1[Obergruppe ATC-Code]"),Tabelle3!$A80)</f>
        <v>0</v>
      </c>
      <c r="S80">
        <f ca="1">COUNTIFS(INDIRECT("Table1[Beginn]"),"&lt;="&amp;S$1,INDIRECT("Table1[Ende]"),"&gt;="&amp;S$1,INDIRECT("Table1[Obergruppe ATC-Code]"),Tabelle3!$A80)</f>
        <v>0</v>
      </c>
      <c r="T80">
        <f ca="1">COUNTIFS(INDIRECT("Table1[Beginn]"),"&lt;="&amp;T$1,INDIRECT("Table1[Ende]"),"&gt;="&amp;T$1,INDIRECT("Table1[Obergruppe ATC-Code]"),Tabelle3!$A80)</f>
        <v>0</v>
      </c>
      <c r="U80">
        <f ca="1">COUNTIFS(INDIRECT("Table1[Beginn]"),"&lt;="&amp;U$1,INDIRECT("Table1[Ende]"),"&gt;="&amp;U$1,INDIRECT("Table1[Obergruppe ATC-Code]"),Tabelle3!$A80)</f>
        <v>0</v>
      </c>
      <c r="V80">
        <f ca="1">COUNTIFS(INDIRECT("Table1[Beginn]"),"&lt;="&amp;V$1,INDIRECT("Table1[Ende]"),"&gt;="&amp;V$1,INDIRECT("Table1[Obergruppe ATC-Code]"),Tabelle3!$A80)</f>
        <v>0</v>
      </c>
      <c r="W80">
        <f ca="1">COUNTIFS(INDIRECT("Table1[Beginn]"),"&lt;="&amp;W$1,INDIRECT("Table1[Ende]"),"&gt;="&amp;W$1,INDIRECT("Table1[Obergruppe ATC-Code]"),Tabelle3!$A80)</f>
        <v>0</v>
      </c>
      <c r="X80">
        <f ca="1">COUNTIFS(INDIRECT("Table1[Beginn]"),"&lt;="&amp;X$1,INDIRECT("Table1[Ende]"),"&gt;="&amp;X$1,INDIRECT("Table1[Obergruppe ATC-Code]"),Tabelle3!$A80)</f>
        <v>0</v>
      </c>
      <c r="Y80">
        <f ca="1">COUNTIFS(INDIRECT("Table1[Beginn]"),"&lt;="&amp;Y$1,INDIRECT("Table1[Ende]"),"&gt;="&amp;Y$1,INDIRECT("Table1[Obergruppe ATC-Code]"),Tabelle3!$A80)</f>
        <v>0</v>
      </c>
      <c r="Z80">
        <f ca="1">COUNTIFS(INDIRECT("Table1[Beginn]"),"&lt;="&amp;Z$1,INDIRECT("Table1[Ende]"),"&gt;="&amp;Z$1,INDIRECT("Table1[Obergruppe ATC-Code]"),Tabelle3!$A80)</f>
        <v>0</v>
      </c>
      <c r="AA80">
        <f ca="1">COUNTIFS(INDIRECT("Table1[Beginn]"),"&lt;="&amp;AA$1,INDIRECT("Table1[Ende]"),"&gt;="&amp;AA$1,INDIRECT("Table1[Obergruppe ATC-Code]"),Tabelle3!$A80)</f>
        <v>0</v>
      </c>
      <c r="AB80">
        <f ca="1">COUNTIFS(INDIRECT("Table1[Beginn]"),"&lt;="&amp;AB$1,INDIRECT("Table1[Ende]"),"&gt;="&amp;AB$1,INDIRECT("Table1[Obergruppe ATC-Code]"),Tabelle3!$A80)</f>
        <v>0</v>
      </c>
      <c r="AC80">
        <f ca="1">COUNTIFS(INDIRECT("Table1[Beginn]"),"&lt;="&amp;AC$1,INDIRECT("Table1[Ende]"),"&gt;="&amp;AC$1,INDIRECT("Table1[Obergruppe ATC-Code]"),Tabelle3!$A80)</f>
        <v>0</v>
      </c>
      <c r="AD80">
        <f ca="1">COUNTIFS(INDIRECT("Table1[Beginn]"),"&lt;="&amp;AD$1,INDIRECT("Table1[Ende]"),"&gt;="&amp;AD$1,INDIRECT("Table1[Obergruppe ATC-Code]"),Tabelle3!$A80)</f>
        <v>0</v>
      </c>
      <c r="AE80">
        <f ca="1">COUNTIFS(INDIRECT("Table1[Beginn]"),"&lt;="&amp;AE$1,INDIRECT("Table1[Ende]"),"&gt;="&amp;AE$1,INDIRECT("Table1[Obergruppe ATC-Code]"),Tabelle3!$A80)</f>
        <v>0</v>
      </c>
      <c r="AF80">
        <f ca="1">COUNTIFS(INDIRECT("Table1[Beginn]"),"&lt;="&amp;AF$1,INDIRECT("Table1[Ende]"),"&gt;="&amp;AF$1,INDIRECT("Table1[Obergruppe ATC-Code]"),Tabelle3!$A80)</f>
        <v>0</v>
      </c>
      <c r="AG80">
        <f ca="1">COUNTIFS(INDIRECT("Table1[Beginn]"),"&lt;="&amp;AG$1,INDIRECT("Table1[Ende]"),"&gt;="&amp;AG$1,INDIRECT("Table1[Obergruppe ATC-Code]"),Tabelle3!$A80)</f>
        <v>0</v>
      </c>
      <c r="AH80">
        <f ca="1">COUNTIFS(INDIRECT("Table1[Beginn]"),"&lt;="&amp;AH$1,INDIRECT("Table1[Ende]"),"&gt;="&amp;AH$1,INDIRECT("Table1[Obergruppe ATC-Code]"),Tabelle3!$A80)</f>
        <v>0</v>
      </c>
      <c r="AI80">
        <f ca="1">COUNTIFS(INDIRECT("Table1[Beginn]"),"&lt;="&amp;AI$1,INDIRECT("Table1[Ende]"),"&gt;="&amp;AI$1,INDIRECT("Table1[Obergruppe ATC-Code]"),Tabelle3!$A80)</f>
        <v>0</v>
      </c>
      <c r="AJ80">
        <f ca="1">COUNTIFS(INDIRECT("Table1[Beginn]"),"&lt;="&amp;AJ$1,INDIRECT("Table1[Ende]"),"&gt;="&amp;AJ$1,INDIRECT("Table1[Obergruppe ATC-Code]"),Tabelle3!$A80)</f>
        <v>0</v>
      </c>
      <c r="AK80">
        <f ca="1">COUNTIFS(INDIRECT("Table1[Beginn]"),"&lt;="&amp;AK$1,INDIRECT("Table1[Ende]"),"&gt;="&amp;AK$1,INDIRECT("Table1[Obergruppe ATC-Code]"),Tabelle3!$A80)</f>
        <v>0</v>
      </c>
      <c r="AL80">
        <f ca="1">COUNTIFS(INDIRECT("Table1[Beginn]"),"&lt;="&amp;AL$1,INDIRECT("Table1[Ende]"),"&gt;="&amp;AL$1,INDIRECT("Table1[Obergruppe ATC-Code]"),Tabelle3!$A80)</f>
        <v>0</v>
      </c>
      <c r="AM80">
        <f ca="1">COUNTIFS(INDIRECT("Table1[Beginn]"),"&lt;="&amp;AM$1,INDIRECT("Table1[Ende]"),"&gt;="&amp;AM$1,INDIRECT("Table1[Obergruppe ATC-Code]"),Tabelle3!$A80)</f>
        <v>0</v>
      </c>
      <c r="AN80">
        <f ca="1">COUNTIFS(INDIRECT("Table1[Beginn]"),"&lt;="&amp;AN$1,INDIRECT("Table1[Ende]"),"&gt;="&amp;AN$1,INDIRECT("Table1[Obergruppe ATC-Code]"),Tabelle3!$A80)</f>
        <v>0</v>
      </c>
      <c r="AO80">
        <f ca="1">COUNTIFS(INDIRECT("Table1[Beginn]"),"&lt;="&amp;AO$1,INDIRECT("Table1[Ende]"),"&gt;="&amp;AO$1,INDIRECT("Table1[Obergruppe ATC-Code]"),Tabelle3!$A80)</f>
        <v>0</v>
      </c>
      <c r="AP80">
        <f ca="1">COUNTIFS(INDIRECT("Table1[Beginn]"),"&lt;="&amp;AP$1,INDIRECT("Table1[Ende]"),"&gt;="&amp;AP$1,INDIRECT("Table1[Obergruppe ATC-Code]"),Tabelle3!$A80)</f>
        <v>0</v>
      </c>
      <c r="AQ80">
        <f ca="1">COUNTIFS(INDIRECT("Table1[Beginn]"),"&lt;="&amp;AQ$1,INDIRECT("Table1[Ende]"),"&gt;="&amp;AQ$1,INDIRECT("Table1[Obergruppe ATC-Code]"),Tabelle3!$A80)</f>
        <v>0</v>
      </c>
      <c r="AR80">
        <f ca="1">COUNTIFS(INDIRECT("Table1[Beginn]"),"&lt;="&amp;AR$1,INDIRECT("Table1[Ende]"),"&gt;="&amp;AR$1,INDIRECT("Table1[Obergruppe ATC-Code]"),Tabelle3!$A80)</f>
        <v>0</v>
      </c>
      <c r="AS80">
        <f ca="1">COUNTIFS(INDIRECT("Table1[Beginn]"),"&lt;="&amp;AS$1,INDIRECT("Table1[Ende]"),"&gt;="&amp;AS$1,INDIRECT("Table1[Obergruppe ATC-Code]"),Tabelle3!$A80)</f>
        <v>0</v>
      </c>
      <c r="AT80">
        <f ca="1">COUNTIFS(INDIRECT("Table1[Beginn]"),"&lt;="&amp;AT$1,INDIRECT("Table1[Ende]"),"&gt;="&amp;AT$1,INDIRECT("Table1[Obergruppe ATC-Code]"),Tabelle3!$A80)</f>
        <v>0</v>
      </c>
      <c r="AU80">
        <f ca="1">COUNTIFS(INDIRECT("Table1[Beginn]"),"&lt;="&amp;AU$1,INDIRECT("Table1[Ende]"),"&gt;="&amp;AU$1,INDIRECT("Table1[Obergruppe ATC-Code]"),Tabelle3!$A80)</f>
        <v>0</v>
      </c>
      <c r="AV80">
        <f ca="1">COUNTIFS(INDIRECT("Table1[Beginn]"),"&lt;="&amp;AV$1,INDIRECT("Table1[Ende]"),"&gt;="&amp;AV$1,INDIRECT("Table1[Obergruppe ATC-Code]"),Tabelle3!$A80)</f>
        <v>0</v>
      </c>
      <c r="AW80">
        <f ca="1">COUNTIFS(INDIRECT("Table1[Beginn]"),"&lt;="&amp;AW$1,INDIRECT("Table1[Ende]"),"&gt;="&amp;AW$1,INDIRECT("Table1[Obergruppe ATC-Code]"),Tabelle3!$A80)</f>
        <v>0</v>
      </c>
      <c r="AX80">
        <f ca="1">COUNTIFS(INDIRECT("Table1[Beginn]"),"&lt;="&amp;AX$1,INDIRECT("Table1[Ende]"),"&gt;="&amp;AX$1,INDIRECT("Table1[Obergruppe ATC-Code]"),Tabelle3!$A80)</f>
        <v>0</v>
      </c>
      <c r="AY80">
        <f ca="1">COUNTIFS(INDIRECT("Table1[Beginn]"),"&lt;="&amp;AY$1,INDIRECT("Table1[Ende]"),"&gt;="&amp;AY$1,INDIRECT("Table1[Obergruppe ATC-Code]"),Tabelle3!$A80)</f>
        <v>0</v>
      </c>
      <c r="AZ80">
        <f ca="1">COUNTIFS(INDIRECT("Table1[Beginn]"),"&lt;="&amp;AZ$1,INDIRECT("Table1[Ende]"),"&gt;="&amp;AZ$1,INDIRECT("Table1[Obergruppe ATC-Code]"),Tabelle3!$A80)</f>
        <v>0</v>
      </c>
      <c r="BA80">
        <f ca="1">COUNTIFS(INDIRECT("Table1[Beginn]"),"&lt;="&amp;BA$1,INDIRECT("Table1[Ende]"),"&gt;="&amp;BA$1,INDIRECT("Table1[Obergruppe ATC-Code]"),Tabelle3!$A80)</f>
        <v>0</v>
      </c>
      <c r="BB80">
        <f ca="1">COUNTIFS(INDIRECT("Table1[Beginn]"),"&lt;="&amp;BB$1,INDIRECT("Table1[Ende]"),"&gt;="&amp;BB$1,INDIRECT("Table1[Obergruppe ATC-Code]"),Tabelle3!$A80)</f>
        <v>0</v>
      </c>
      <c r="BC80">
        <f ca="1">COUNTIFS(INDIRECT("Table1[Beginn]"),"&lt;="&amp;BC$1,INDIRECT("Table1[Ende]"),"&gt;="&amp;BC$1,INDIRECT("Table1[Obergruppe ATC-Code]"),Tabelle3!$A80)</f>
        <v>0</v>
      </c>
      <c r="BD80">
        <f ca="1">COUNTIFS(INDIRECT("Table1[Beginn]"),"&lt;="&amp;BD$1,INDIRECT("Table1[Ende]"),"&gt;="&amp;BD$1,INDIRECT("Table1[Obergruppe ATC-Code]"),Tabelle3!$A80)</f>
        <v>0</v>
      </c>
      <c r="BE80">
        <f ca="1">COUNTIFS(INDIRECT("Table1[Beginn]"),"&lt;="&amp;BE$1,INDIRECT("Table1[Ende]"),"&gt;="&amp;BE$1,INDIRECT("Table1[Obergruppe ATC-Code]"),Tabelle3!$A80)</f>
        <v>0</v>
      </c>
      <c r="BF80">
        <f ca="1">COUNTIFS(INDIRECT("Table1[Beginn]"),"&lt;="&amp;BF$1,INDIRECT("Table1[Ende]"),"&gt;="&amp;BF$1,INDIRECT("Table1[Obergruppe ATC-Code]"),Tabelle3!$A80)</f>
        <v>0</v>
      </c>
      <c r="BG80">
        <f ca="1">COUNTIFS(INDIRECT("Table1[Beginn]"),"&lt;="&amp;BG$1,INDIRECT("Table1[Ende]"),"&gt;="&amp;BG$1,INDIRECT("Table1[Obergruppe ATC-Code]"),Tabelle3!$A80)</f>
        <v>0</v>
      </c>
      <c r="BH80">
        <f ca="1">COUNTIFS(INDIRECT("Table1[Beginn]"),"&lt;="&amp;BH$1,INDIRECT("Table1[Ende]"),"&gt;="&amp;BH$1,INDIRECT("Table1[Obergruppe ATC-Code]"),Tabelle3!$A80)</f>
        <v>0</v>
      </c>
      <c r="BI80">
        <f ca="1">COUNTIFS(INDIRECT("Table1[Beginn]"),"&lt;="&amp;BI$1,INDIRECT("Table1[Ende]"),"&gt;="&amp;BI$1,INDIRECT("Table1[Obergruppe ATC-Code]"),Tabelle3!$A80)</f>
        <v>0</v>
      </c>
      <c r="BJ80">
        <f ca="1">COUNTIFS(INDIRECT("Table1[Beginn]"),"&lt;="&amp;BJ$1,INDIRECT("Table1[Ende]"),"&gt;="&amp;BJ$1,INDIRECT("Table1[Obergruppe ATC-Code]"),Tabelle3!$A80)</f>
        <v>0</v>
      </c>
      <c r="BK80">
        <f ca="1">COUNTIFS(INDIRECT("Table1[Beginn]"),"&lt;="&amp;BK$1,INDIRECT("Table1[Ende]"),"&gt;="&amp;BK$1,INDIRECT("Table1[Obergruppe ATC-Code]"),Tabelle3!$A80)</f>
        <v>0</v>
      </c>
      <c r="BL80">
        <f ca="1">COUNTIFS(INDIRECT("Table1[Beginn]"),"&lt;="&amp;BL$1,INDIRECT("Table1[Ende]"),"&gt;="&amp;BL$1,INDIRECT("Table1[Obergruppe ATC-Code]"),Tabelle3!$A80)</f>
        <v>0</v>
      </c>
      <c r="BM80">
        <f ca="1">COUNTIFS(INDIRECT("Table1[Beginn]"),"&lt;="&amp;BM$1,INDIRECT("Table1[Ende]"),"&gt;="&amp;BM$1,INDIRECT("Table1[Obergruppe ATC-Code]"),Tabelle3!$A80)</f>
        <v>0</v>
      </c>
      <c r="BN80">
        <f ca="1">COUNTIFS(INDIRECT("Table1[Beginn]"),"&lt;="&amp;BN$1,INDIRECT("Table1[Ende]"),"&gt;="&amp;BN$1,INDIRECT("Table1[Obergruppe ATC-Code]"),Tabelle3!$A80)</f>
        <v>0</v>
      </c>
      <c r="BO80">
        <f ca="1">COUNTIFS(INDIRECT("Table1[Beginn]"),"&lt;="&amp;BO$1,INDIRECT("Table1[Ende]"),"&gt;="&amp;BO$1,INDIRECT("Table1[Obergruppe ATC-Code]"),Tabelle3!$A80)</f>
        <v>0</v>
      </c>
      <c r="BP80">
        <f ca="1">COUNTIFS(INDIRECT("Table1[Beginn]"),"&lt;="&amp;BP$1,INDIRECT("Table1[Ende]"),"&gt;="&amp;BP$1,INDIRECT("Table1[Obergruppe ATC-Code]"),Tabelle3!$A80)</f>
        <v>0</v>
      </c>
      <c r="BQ80">
        <f ca="1">COUNTIFS(INDIRECT("Table1[Beginn]"),"&lt;="&amp;BQ$1,INDIRECT("Table1[Ende]"),"&gt;="&amp;BQ$1,INDIRECT("Table1[Obergruppe ATC-Code]"),Tabelle3!$A80)</f>
        <v>0</v>
      </c>
      <c r="BR80">
        <f ca="1">COUNTIFS(INDIRECT("Table1[Beginn]"),"&lt;="&amp;BR$1,INDIRECT("Table1[Ende]"),"&gt;="&amp;BR$1,INDIRECT("Table1[Obergruppe ATC-Code]"),Tabelle3!$A80)</f>
        <v>0</v>
      </c>
      <c r="BS80">
        <f ca="1">COUNTIFS(INDIRECT("Table1[Beginn]"),"&lt;="&amp;BS$1,INDIRECT("Table1[Ende]"),"&gt;="&amp;BS$1,INDIRECT("Table1[Obergruppe ATC-Code]"),Tabelle3!$A80)</f>
        <v>0</v>
      </c>
      <c r="BT80">
        <f ca="1">COUNTIFS(INDIRECT("Table1[Beginn]"),"&lt;="&amp;BT$1,INDIRECT("Table1[Ende]"),"&gt;="&amp;BT$1,INDIRECT("Table1[Obergruppe ATC-Code]"),Tabelle3!$A80)</f>
        <v>0</v>
      </c>
      <c r="BU80">
        <f ca="1">COUNTIFS(INDIRECT("Table1[Beginn]"),"&lt;="&amp;BU$1,INDIRECT("Table1[Ende]"),"&gt;="&amp;BU$1,INDIRECT("Table1[Obergruppe ATC-Code]"),Tabelle3!$A80)</f>
        <v>0</v>
      </c>
      <c r="BV80">
        <f ca="1">COUNTIFS(INDIRECT("Table1[Beginn]"),"&lt;="&amp;BV$1,INDIRECT("Table1[Ende]"),"&gt;="&amp;BV$1,INDIRECT("Table1[Obergruppe ATC-Code]"),Tabelle3!$A80)</f>
        <v>0</v>
      </c>
      <c r="BW80">
        <f ca="1">COUNTIFS(INDIRECT("Table1[Beginn]"),"&lt;="&amp;BW$1,INDIRECT("Table1[Ende]"),"&gt;="&amp;BW$1,INDIRECT("Table1[Obergruppe ATC-Code]"),Tabelle3!$A80)</f>
        <v>0</v>
      </c>
      <c r="BX80">
        <f ca="1">COUNTIFS(INDIRECT("Table1[Beginn]"),"&lt;="&amp;BX$1,INDIRECT("Table1[Ende]"),"&gt;="&amp;BX$1,INDIRECT("Table1[Obergruppe ATC-Code]"),Tabelle3!$A80)</f>
        <v>0</v>
      </c>
      <c r="BY80">
        <f ca="1">COUNTIFS(INDIRECT("Table1[Beginn]"),"&lt;="&amp;BY$1,INDIRECT("Table1[Ende]"),"&gt;="&amp;BY$1,INDIRECT("Table1[Obergruppe ATC-Code]"),Tabelle3!$A80)</f>
        <v>0</v>
      </c>
      <c r="BZ80">
        <f ca="1">COUNTIFS(INDIRECT("Table1[Beginn]"),"&lt;="&amp;BZ$1,INDIRECT("Table1[Ende]"),"&gt;="&amp;BZ$1,INDIRECT("Table1[Obergruppe ATC-Code]"),Tabelle3!$A80)</f>
        <v>0</v>
      </c>
      <c r="CA80">
        <f ca="1">COUNTIFS(INDIRECT("Table1[Beginn]"),"&lt;="&amp;CA$1,INDIRECT("Table1[Ende]"),"&gt;="&amp;CA$1,INDIRECT("Table1[Obergruppe ATC-Code]"),Tabelle3!$A80)</f>
        <v>0</v>
      </c>
      <c r="CB80">
        <f ca="1">COUNTIFS(INDIRECT("Table1[Beginn]"),"&lt;="&amp;CB$1,INDIRECT("Table1[Ende]"),"&gt;="&amp;CB$1,INDIRECT("Table1[Obergruppe ATC-Code]"),Tabelle3!$A80)</f>
        <v>0</v>
      </c>
      <c r="CC80">
        <f ca="1">COUNTIFS(INDIRECT("Table1[Beginn]"),"&lt;="&amp;CC$1,INDIRECT("Table1[Ende]"),"&gt;="&amp;CC$1,INDIRECT("Table1[Obergruppe ATC-Code]"),Tabelle3!$A80)</f>
        <v>0</v>
      </c>
      <c r="CD80">
        <f ca="1">COUNTIFS(INDIRECT("Table1[Beginn]"),"&lt;="&amp;CD$1,INDIRECT("Table1[Ende]"),"&gt;="&amp;CD$1,INDIRECT("Table1[Obergruppe ATC-Code]"),Tabelle3!$A80)</f>
        <v>0</v>
      </c>
      <c r="CE80">
        <f ca="1">COUNTIFS(INDIRECT("Table1[Beginn]"),"&lt;="&amp;CE$1,INDIRECT("Table1[Ende]"),"&gt;="&amp;CE$1,INDIRECT("Table1[Obergruppe ATC-Code]"),Tabelle3!$A80)</f>
        <v>0</v>
      </c>
      <c r="CF80">
        <f ca="1">COUNTIFS(INDIRECT("Table1[Beginn]"),"&lt;="&amp;CF$1,INDIRECT("Table1[Ende]"),"&gt;="&amp;CF$1,INDIRECT("Table1[Obergruppe ATC-Code]"),Tabelle3!$A80)</f>
        <v>0</v>
      </c>
      <c r="CG80">
        <f ca="1">COUNTIFS(INDIRECT("Table1[Beginn]"),"&lt;="&amp;CG$1,INDIRECT("Table1[Ende]"),"&gt;="&amp;CG$1,INDIRECT("Table1[Obergruppe ATC-Code]"),Tabelle3!$A80)</f>
        <v>0</v>
      </c>
      <c r="CH80">
        <f ca="1">COUNTIFS(INDIRECT("Table1[Beginn]"),"&lt;="&amp;CH$1,INDIRECT("Table1[Ende]"),"&gt;="&amp;CH$1,INDIRECT("Table1[Obergruppe ATC-Code]"),Tabelle3!$A80)</f>
        <v>0</v>
      </c>
      <c r="CI80">
        <f ca="1">COUNTIFS(INDIRECT("Table1[Beginn]"),"&lt;="&amp;CI$1,INDIRECT("Table1[Ende]"),"&gt;="&amp;CI$1,INDIRECT("Table1[Obergruppe ATC-Code]"),Tabelle3!$A80)</f>
        <v>0</v>
      </c>
      <c r="CJ80">
        <f ca="1">COUNTIFS(INDIRECT("Table1[Beginn]"),"&lt;="&amp;CJ$1,INDIRECT("Table1[Ende]"),"&gt;="&amp;CJ$1,INDIRECT("Table1[Obergruppe ATC-Code]"),Tabelle3!$A80)</f>
        <v>0</v>
      </c>
      <c r="CK80">
        <f ca="1">COUNTIFS(INDIRECT("Table1[Beginn]"),"&lt;="&amp;CK$1,INDIRECT("Table1[Ende]"),"&gt;="&amp;CK$1,INDIRECT("Table1[Obergruppe ATC-Code]"),Tabelle3!$A80)</f>
        <v>0</v>
      </c>
      <c r="CL80">
        <f ca="1">COUNTIFS(INDIRECT("Table1[Beginn]"),"&lt;="&amp;CL$1,INDIRECT("Table1[Ende]"),"&gt;="&amp;CL$1,INDIRECT("Table1[Obergruppe ATC-Code]"),Tabelle3!$A80)</f>
        <v>0</v>
      </c>
      <c r="CM80">
        <f ca="1">COUNTIFS(INDIRECT("Table1[Beginn]"),"&lt;="&amp;CM$1,INDIRECT("Table1[Ende]"),"&gt;="&amp;CM$1,INDIRECT("Table1[Obergruppe ATC-Code]"),Tabelle3!$A80)</f>
        <v>0</v>
      </c>
      <c r="CN80">
        <f ca="1">COUNTIFS(INDIRECT("Table1[Beginn]"),"&lt;="&amp;CN$1,INDIRECT("Table1[Ende]"),"&gt;="&amp;CN$1,INDIRECT("Table1[Obergruppe ATC-Code]"),Tabelle3!$A80)</f>
        <v>0</v>
      </c>
      <c r="CO80">
        <f ca="1">COUNTIFS(INDIRECT("Table1[Beginn]"),"&lt;="&amp;CO$1,INDIRECT("Table1[Ende]"),"&gt;="&amp;CO$1,INDIRECT("Table1[Obergruppe ATC-Code]"),Tabelle3!$A80)</f>
        <v>0</v>
      </c>
      <c r="CP80">
        <f ca="1">COUNTIFS(INDIRECT("Table1[Beginn]"),"&lt;="&amp;CP$1,INDIRECT("Table1[Ende]"),"&gt;="&amp;CP$1,INDIRECT("Table1[Obergruppe ATC-Code]"),Tabelle3!$A80)</f>
        <v>0</v>
      </c>
      <c r="CQ80">
        <f ca="1">COUNTIFS(INDIRECT("Table1[Beginn]"),"&lt;="&amp;CQ$1,INDIRECT("Table1[Ende]"),"&gt;="&amp;CQ$1,INDIRECT("Table1[Obergruppe ATC-Code]"),Tabelle3!$A80)</f>
        <v>0</v>
      </c>
      <c r="CR80">
        <f ca="1">COUNTIFS(INDIRECT("Table1[Beginn]"),"&lt;="&amp;CR$1,INDIRECT("Table1[Ende]"),"&gt;="&amp;CR$1,INDIRECT("Table1[Obergruppe ATC-Code]"),Tabelle3!$A80)</f>
        <v>0</v>
      </c>
      <c r="CS80">
        <f ca="1">COUNTIFS(INDIRECT("Table1[Beginn]"),"&lt;="&amp;CS$1,INDIRECT("Table1[Ende]"),"&gt;="&amp;CS$1,INDIRECT("Table1[Obergruppe ATC-Code]"),Tabelle3!$A80)</f>
        <v>0</v>
      </c>
      <c r="CT80">
        <f ca="1">COUNTIFS(INDIRECT("Table1[Beginn]"),"&lt;="&amp;CT$1,INDIRECT("Table1[Ende]"),"&gt;="&amp;CT$1,INDIRECT("Table1[Obergruppe ATC-Code]"),Tabelle3!$A80)</f>
        <v>0</v>
      </c>
    </row>
    <row r="81" spans="1:98" ht="18">
      <c r="A81" s="9" t="s">
        <v>6930</v>
      </c>
      <c r="B81" s="10" t="s">
        <v>6931</v>
      </c>
      <c r="C81">
        <f ca="1">COUNTIFS(INDIRECT("Table1[Beginn]"),"&lt;="&amp;C$1,INDIRECT("Table1[Ende]"),"&gt;="&amp;C$1,INDIRECT("Table1[Obergruppe ATC-Code]"),Tabelle3!$A81)</f>
        <v>0</v>
      </c>
      <c r="D81">
        <f ca="1">COUNTIFS(INDIRECT("Table1[Beginn]"),"&lt;="&amp;D$1,INDIRECT("Table1[Ende]"),"&gt;="&amp;D$1,INDIRECT("Table1[Obergruppe ATC-Code]"),Tabelle3!$A81)</f>
        <v>0</v>
      </c>
      <c r="E81">
        <f ca="1">COUNTIFS(INDIRECT("Table1[Beginn]"),"&lt;="&amp;E$1,INDIRECT("Table1[Ende]"),"&gt;="&amp;E$1,INDIRECT("Table1[Obergruppe ATC-Code]"),Tabelle3!$A81)</f>
        <v>0</v>
      </c>
      <c r="F81">
        <f ca="1">COUNTIFS(INDIRECT("Table1[Beginn]"),"&lt;="&amp;F$1,INDIRECT("Table1[Ende]"),"&gt;="&amp;F$1,INDIRECT("Table1[Obergruppe ATC-Code]"),Tabelle3!$A81)</f>
        <v>0</v>
      </c>
      <c r="G81">
        <f ca="1">COUNTIFS(INDIRECT("Table1[Beginn]"),"&lt;="&amp;G$1,INDIRECT("Table1[Ende]"),"&gt;="&amp;G$1,INDIRECT("Table1[Obergruppe ATC-Code]"),Tabelle3!$A81)</f>
        <v>0</v>
      </c>
      <c r="H81">
        <f ca="1">COUNTIFS(INDIRECT("Table1[Beginn]"),"&lt;="&amp;H$1,INDIRECT("Table1[Ende]"),"&gt;="&amp;H$1,INDIRECT("Table1[Obergruppe ATC-Code]"),Tabelle3!$A81)</f>
        <v>0</v>
      </c>
      <c r="I81">
        <f ca="1">COUNTIFS(INDIRECT("Table1[Beginn]"),"&lt;="&amp;I$1,INDIRECT("Table1[Ende]"),"&gt;="&amp;I$1,INDIRECT("Table1[Obergruppe ATC-Code]"),Tabelle3!$A81)</f>
        <v>0</v>
      </c>
      <c r="J81">
        <f ca="1">COUNTIFS(INDIRECT("Table1[Beginn]"),"&lt;="&amp;J$1,INDIRECT("Table1[Ende]"),"&gt;="&amp;J$1,INDIRECT("Table1[Obergruppe ATC-Code]"),Tabelle3!$A81)</f>
        <v>1</v>
      </c>
      <c r="K81">
        <f ca="1">COUNTIFS(INDIRECT("Table1[Beginn]"),"&lt;="&amp;K$1,INDIRECT("Table1[Ende]"),"&gt;="&amp;K$1,INDIRECT("Table1[Obergruppe ATC-Code]"),Tabelle3!$A81)</f>
        <v>1</v>
      </c>
      <c r="L81">
        <f ca="1">COUNTIFS(INDIRECT("Table1[Beginn]"),"&lt;="&amp;L$1,INDIRECT("Table1[Ende]"),"&gt;="&amp;L$1,INDIRECT("Table1[Obergruppe ATC-Code]"),Tabelle3!$A81)</f>
        <v>0</v>
      </c>
      <c r="M81">
        <f ca="1">COUNTIFS(INDIRECT("Table1[Beginn]"),"&lt;="&amp;M$1,INDIRECT("Table1[Ende]"),"&gt;="&amp;M$1,INDIRECT("Table1[Obergruppe ATC-Code]"),Tabelle3!$A81)</f>
        <v>1</v>
      </c>
      <c r="N81">
        <f ca="1">COUNTIFS(INDIRECT("Table1[Beginn]"),"&lt;="&amp;N$1,INDIRECT("Table1[Ende]"),"&gt;="&amp;N$1,INDIRECT("Table1[Obergruppe ATC-Code]"),Tabelle3!$A81)</f>
        <v>1</v>
      </c>
      <c r="O81">
        <f ca="1">COUNTIFS(INDIRECT("Table1[Beginn]"),"&lt;="&amp;O$1,INDIRECT("Table1[Ende]"),"&gt;="&amp;O$1,INDIRECT("Table1[Obergruppe ATC-Code]"),Tabelle3!$A81)</f>
        <v>1</v>
      </c>
      <c r="P81">
        <f ca="1">COUNTIFS(INDIRECT("Table1[Beginn]"),"&lt;="&amp;P$1,INDIRECT("Table1[Ende]"),"&gt;="&amp;P$1,INDIRECT("Table1[Obergruppe ATC-Code]"),Tabelle3!$A81)</f>
        <v>1</v>
      </c>
      <c r="Q81">
        <f ca="1">COUNTIFS(INDIRECT("Table1[Beginn]"),"&lt;="&amp;Q$1,INDIRECT("Table1[Ende]"),"&gt;="&amp;Q$1,INDIRECT("Table1[Obergruppe ATC-Code]"),Tabelle3!$A81)</f>
        <v>1</v>
      </c>
      <c r="R81">
        <f ca="1">COUNTIFS(INDIRECT("Table1[Beginn]"),"&lt;="&amp;R$1,INDIRECT("Table1[Ende]"),"&gt;="&amp;R$1,INDIRECT("Table1[Obergruppe ATC-Code]"),Tabelle3!$A81)</f>
        <v>1</v>
      </c>
      <c r="S81">
        <f ca="1">COUNTIFS(INDIRECT("Table1[Beginn]"),"&lt;="&amp;S$1,INDIRECT("Table1[Ende]"),"&gt;="&amp;S$1,INDIRECT("Table1[Obergruppe ATC-Code]"),Tabelle3!$A81)</f>
        <v>1</v>
      </c>
      <c r="T81">
        <f ca="1">COUNTIFS(INDIRECT("Table1[Beginn]"),"&lt;="&amp;T$1,INDIRECT("Table1[Ende]"),"&gt;="&amp;T$1,INDIRECT("Table1[Obergruppe ATC-Code]"),Tabelle3!$A81)</f>
        <v>3</v>
      </c>
      <c r="U81">
        <f ca="1">COUNTIFS(INDIRECT("Table1[Beginn]"),"&lt;="&amp;U$1,INDIRECT("Table1[Ende]"),"&gt;="&amp;U$1,INDIRECT("Table1[Obergruppe ATC-Code]"),Tabelle3!$A81)</f>
        <v>3</v>
      </c>
      <c r="V81">
        <f ca="1">COUNTIFS(INDIRECT("Table1[Beginn]"),"&lt;="&amp;V$1,INDIRECT("Table1[Ende]"),"&gt;="&amp;V$1,INDIRECT("Table1[Obergruppe ATC-Code]"),Tabelle3!$A81)</f>
        <v>1</v>
      </c>
      <c r="W81">
        <f ca="1">COUNTIFS(INDIRECT("Table1[Beginn]"),"&lt;="&amp;W$1,INDIRECT("Table1[Ende]"),"&gt;="&amp;W$1,INDIRECT("Table1[Obergruppe ATC-Code]"),Tabelle3!$A81)</f>
        <v>1</v>
      </c>
      <c r="X81">
        <f ca="1">COUNTIFS(INDIRECT("Table1[Beginn]"),"&lt;="&amp;X$1,INDIRECT("Table1[Ende]"),"&gt;="&amp;X$1,INDIRECT("Table1[Obergruppe ATC-Code]"),Tabelle3!$A81)</f>
        <v>1</v>
      </c>
      <c r="Y81">
        <f ca="1">COUNTIFS(INDIRECT("Table1[Beginn]"),"&lt;="&amp;Y$1,INDIRECT("Table1[Ende]"),"&gt;="&amp;Y$1,INDIRECT("Table1[Obergruppe ATC-Code]"),Tabelle3!$A81)</f>
        <v>1</v>
      </c>
      <c r="Z81">
        <f ca="1">COUNTIFS(INDIRECT("Table1[Beginn]"),"&lt;="&amp;Z$1,INDIRECT("Table1[Ende]"),"&gt;="&amp;Z$1,INDIRECT("Table1[Obergruppe ATC-Code]"),Tabelle3!$A81)</f>
        <v>1</v>
      </c>
      <c r="AA81">
        <f ca="1">COUNTIFS(INDIRECT("Table1[Beginn]"),"&lt;="&amp;AA$1,INDIRECT("Table1[Ende]"),"&gt;="&amp;AA$1,INDIRECT("Table1[Obergruppe ATC-Code]"),Tabelle3!$A81)</f>
        <v>1</v>
      </c>
      <c r="AB81">
        <f ca="1">COUNTIFS(INDIRECT("Table1[Beginn]"),"&lt;="&amp;AB$1,INDIRECT("Table1[Ende]"),"&gt;="&amp;AB$1,INDIRECT("Table1[Obergruppe ATC-Code]"),Tabelle3!$A81)</f>
        <v>2</v>
      </c>
      <c r="AC81">
        <f ca="1">COUNTIFS(INDIRECT("Table1[Beginn]"),"&lt;="&amp;AC$1,INDIRECT("Table1[Ende]"),"&gt;="&amp;AC$1,INDIRECT("Table1[Obergruppe ATC-Code]"),Tabelle3!$A81)</f>
        <v>2</v>
      </c>
      <c r="AD81">
        <f ca="1">COUNTIFS(INDIRECT("Table1[Beginn]"),"&lt;="&amp;AD$1,INDIRECT("Table1[Ende]"),"&gt;="&amp;AD$1,INDIRECT("Table1[Obergruppe ATC-Code]"),Tabelle3!$A81)</f>
        <v>2</v>
      </c>
      <c r="AE81">
        <f ca="1">COUNTIFS(INDIRECT("Table1[Beginn]"),"&lt;="&amp;AE$1,INDIRECT("Table1[Ende]"),"&gt;="&amp;AE$1,INDIRECT("Table1[Obergruppe ATC-Code]"),Tabelle3!$A81)</f>
        <v>2</v>
      </c>
      <c r="AF81">
        <f ca="1">COUNTIFS(INDIRECT("Table1[Beginn]"),"&lt;="&amp;AF$1,INDIRECT("Table1[Ende]"),"&gt;="&amp;AF$1,INDIRECT("Table1[Obergruppe ATC-Code]"),Tabelle3!$A81)</f>
        <v>2</v>
      </c>
      <c r="AG81">
        <f ca="1">COUNTIFS(INDIRECT("Table1[Beginn]"),"&lt;="&amp;AG$1,INDIRECT("Table1[Ende]"),"&gt;="&amp;AG$1,INDIRECT("Table1[Obergruppe ATC-Code]"),Tabelle3!$A81)</f>
        <v>2</v>
      </c>
      <c r="AH81">
        <f ca="1">COUNTIFS(INDIRECT("Table1[Beginn]"),"&lt;="&amp;AH$1,INDIRECT("Table1[Ende]"),"&gt;="&amp;AH$1,INDIRECT("Table1[Obergruppe ATC-Code]"),Tabelle3!$A81)</f>
        <v>2</v>
      </c>
      <c r="AI81">
        <f ca="1">COUNTIFS(INDIRECT("Table1[Beginn]"),"&lt;="&amp;AI$1,INDIRECT("Table1[Ende]"),"&gt;="&amp;AI$1,INDIRECT("Table1[Obergruppe ATC-Code]"),Tabelle3!$A81)</f>
        <v>2</v>
      </c>
      <c r="AJ81">
        <f ca="1">COUNTIFS(INDIRECT("Table1[Beginn]"),"&lt;="&amp;AJ$1,INDIRECT("Table1[Ende]"),"&gt;="&amp;AJ$1,INDIRECT("Table1[Obergruppe ATC-Code]"),Tabelle3!$A81)</f>
        <v>2</v>
      </c>
      <c r="AK81">
        <f ca="1">COUNTIFS(INDIRECT("Table1[Beginn]"),"&lt;="&amp;AK$1,INDIRECT("Table1[Ende]"),"&gt;="&amp;AK$1,INDIRECT("Table1[Obergruppe ATC-Code]"),Tabelle3!$A81)</f>
        <v>1</v>
      </c>
      <c r="AL81">
        <f ca="1">COUNTIFS(INDIRECT("Table1[Beginn]"),"&lt;="&amp;AL$1,INDIRECT("Table1[Ende]"),"&gt;="&amp;AL$1,INDIRECT("Table1[Obergruppe ATC-Code]"),Tabelle3!$A81)</f>
        <v>1</v>
      </c>
      <c r="AM81">
        <f ca="1">COUNTIFS(INDIRECT("Table1[Beginn]"),"&lt;="&amp;AM$1,INDIRECT("Table1[Ende]"),"&gt;="&amp;AM$1,INDIRECT("Table1[Obergruppe ATC-Code]"),Tabelle3!$A81)</f>
        <v>1</v>
      </c>
      <c r="AN81">
        <f ca="1">COUNTIFS(INDIRECT("Table1[Beginn]"),"&lt;="&amp;AN$1,INDIRECT("Table1[Ende]"),"&gt;="&amp;AN$1,INDIRECT("Table1[Obergruppe ATC-Code]"),Tabelle3!$A81)</f>
        <v>2</v>
      </c>
      <c r="AO81">
        <f ca="1">COUNTIFS(INDIRECT("Table1[Beginn]"),"&lt;="&amp;AO$1,INDIRECT("Table1[Ende]"),"&gt;="&amp;AO$1,INDIRECT("Table1[Obergruppe ATC-Code]"),Tabelle3!$A81)</f>
        <v>3</v>
      </c>
      <c r="AP81">
        <f ca="1">COUNTIFS(INDIRECT("Table1[Beginn]"),"&lt;="&amp;AP$1,INDIRECT("Table1[Ende]"),"&gt;="&amp;AP$1,INDIRECT("Table1[Obergruppe ATC-Code]"),Tabelle3!$A81)</f>
        <v>5</v>
      </c>
      <c r="AQ81">
        <f ca="1">COUNTIFS(INDIRECT("Table1[Beginn]"),"&lt;="&amp;AQ$1,INDIRECT("Table1[Ende]"),"&gt;="&amp;AQ$1,INDIRECT("Table1[Obergruppe ATC-Code]"),Tabelle3!$A81)</f>
        <v>4</v>
      </c>
      <c r="AR81">
        <f ca="1">COUNTIFS(INDIRECT("Table1[Beginn]"),"&lt;="&amp;AR$1,INDIRECT("Table1[Ende]"),"&gt;="&amp;AR$1,INDIRECT("Table1[Obergruppe ATC-Code]"),Tabelle3!$A81)</f>
        <v>4</v>
      </c>
      <c r="AS81">
        <f ca="1">COUNTIFS(INDIRECT("Table1[Beginn]"),"&lt;="&amp;AS$1,INDIRECT("Table1[Ende]"),"&gt;="&amp;AS$1,INDIRECT("Table1[Obergruppe ATC-Code]"),Tabelle3!$A81)</f>
        <v>2</v>
      </c>
      <c r="AT81">
        <f ca="1">COUNTIFS(INDIRECT("Table1[Beginn]"),"&lt;="&amp;AT$1,INDIRECT("Table1[Ende]"),"&gt;="&amp;AT$1,INDIRECT("Table1[Obergruppe ATC-Code]"),Tabelle3!$A81)</f>
        <v>2</v>
      </c>
      <c r="AU81">
        <f ca="1">COUNTIFS(INDIRECT("Table1[Beginn]"),"&lt;="&amp;AU$1,INDIRECT("Table1[Ende]"),"&gt;="&amp;AU$1,INDIRECT("Table1[Obergruppe ATC-Code]"),Tabelle3!$A81)</f>
        <v>3</v>
      </c>
      <c r="AV81">
        <f ca="1">COUNTIFS(INDIRECT("Table1[Beginn]"),"&lt;="&amp;AV$1,INDIRECT("Table1[Ende]"),"&gt;="&amp;AV$1,INDIRECT("Table1[Obergruppe ATC-Code]"),Tabelle3!$A81)</f>
        <v>3</v>
      </c>
      <c r="AW81">
        <f ca="1">COUNTIFS(INDIRECT("Table1[Beginn]"),"&lt;="&amp;AW$1,INDIRECT("Table1[Ende]"),"&gt;="&amp;AW$1,INDIRECT("Table1[Obergruppe ATC-Code]"),Tabelle3!$A81)</f>
        <v>3</v>
      </c>
      <c r="AX81">
        <f ca="1">COUNTIFS(INDIRECT("Table1[Beginn]"),"&lt;="&amp;AX$1,INDIRECT("Table1[Ende]"),"&gt;="&amp;AX$1,INDIRECT("Table1[Obergruppe ATC-Code]"),Tabelle3!$A81)</f>
        <v>3</v>
      </c>
      <c r="AY81">
        <f ca="1">COUNTIFS(INDIRECT("Table1[Beginn]"),"&lt;="&amp;AY$1,INDIRECT("Table1[Ende]"),"&gt;="&amp;AY$1,INDIRECT("Table1[Obergruppe ATC-Code]"),Tabelle3!$A81)</f>
        <v>3</v>
      </c>
      <c r="AZ81">
        <f ca="1">COUNTIFS(INDIRECT("Table1[Beginn]"),"&lt;="&amp;AZ$1,INDIRECT("Table1[Ende]"),"&gt;="&amp;AZ$1,INDIRECT("Table1[Obergruppe ATC-Code]"),Tabelle3!$A81)</f>
        <v>5</v>
      </c>
      <c r="BA81">
        <f ca="1">COUNTIFS(INDIRECT("Table1[Beginn]"),"&lt;="&amp;BA$1,INDIRECT("Table1[Ende]"),"&gt;="&amp;BA$1,INDIRECT("Table1[Obergruppe ATC-Code]"),Tabelle3!$A81)</f>
        <v>5</v>
      </c>
      <c r="BB81">
        <f ca="1">COUNTIFS(INDIRECT("Table1[Beginn]"),"&lt;="&amp;BB$1,INDIRECT("Table1[Ende]"),"&gt;="&amp;BB$1,INDIRECT("Table1[Obergruppe ATC-Code]"),Tabelle3!$A81)</f>
        <v>6</v>
      </c>
      <c r="BC81">
        <f ca="1">COUNTIFS(INDIRECT("Table1[Beginn]"),"&lt;="&amp;BC$1,INDIRECT("Table1[Ende]"),"&gt;="&amp;BC$1,INDIRECT("Table1[Obergruppe ATC-Code]"),Tabelle3!$A81)</f>
        <v>7</v>
      </c>
      <c r="BD81">
        <f ca="1">COUNTIFS(INDIRECT("Table1[Beginn]"),"&lt;="&amp;BD$1,INDIRECT("Table1[Ende]"),"&gt;="&amp;BD$1,INDIRECT("Table1[Obergruppe ATC-Code]"),Tabelle3!$A81)</f>
        <v>7</v>
      </c>
      <c r="BE81">
        <f ca="1">COUNTIFS(INDIRECT("Table1[Beginn]"),"&lt;="&amp;BE$1,INDIRECT("Table1[Ende]"),"&gt;="&amp;BE$1,INDIRECT("Table1[Obergruppe ATC-Code]"),Tabelle3!$A81)</f>
        <v>6</v>
      </c>
      <c r="BF81">
        <f ca="1">COUNTIFS(INDIRECT("Table1[Beginn]"),"&lt;="&amp;BF$1,INDIRECT("Table1[Ende]"),"&gt;="&amp;BF$1,INDIRECT("Table1[Obergruppe ATC-Code]"),Tabelle3!$A81)</f>
        <v>6</v>
      </c>
      <c r="BG81">
        <f ca="1">COUNTIFS(INDIRECT("Table1[Beginn]"),"&lt;="&amp;BG$1,INDIRECT("Table1[Ende]"),"&gt;="&amp;BG$1,INDIRECT("Table1[Obergruppe ATC-Code]"),Tabelle3!$A81)</f>
        <v>6</v>
      </c>
      <c r="BH81">
        <f ca="1">COUNTIFS(INDIRECT("Table1[Beginn]"),"&lt;="&amp;BH$1,INDIRECT("Table1[Ende]"),"&gt;="&amp;BH$1,INDIRECT("Table1[Obergruppe ATC-Code]"),Tabelle3!$A81)</f>
        <v>6</v>
      </c>
      <c r="BI81">
        <f ca="1">COUNTIFS(INDIRECT("Table1[Beginn]"),"&lt;="&amp;BI$1,INDIRECT("Table1[Ende]"),"&gt;="&amp;BI$1,INDIRECT("Table1[Obergruppe ATC-Code]"),Tabelle3!$A81)</f>
        <v>6</v>
      </c>
      <c r="BJ81">
        <f ca="1">COUNTIFS(INDIRECT("Table1[Beginn]"),"&lt;="&amp;BJ$1,INDIRECT("Table1[Ende]"),"&gt;="&amp;BJ$1,INDIRECT("Table1[Obergruppe ATC-Code]"),Tabelle3!$A81)</f>
        <v>6</v>
      </c>
      <c r="BK81">
        <f ca="1">COUNTIFS(INDIRECT("Table1[Beginn]"),"&lt;="&amp;BK$1,INDIRECT("Table1[Ende]"),"&gt;="&amp;BK$1,INDIRECT("Table1[Obergruppe ATC-Code]"),Tabelle3!$A81)</f>
        <v>5</v>
      </c>
      <c r="BL81">
        <f ca="1">COUNTIFS(INDIRECT("Table1[Beginn]"),"&lt;="&amp;BL$1,INDIRECT("Table1[Ende]"),"&gt;="&amp;BL$1,INDIRECT("Table1[Obergruppe ATC-Code]"),Tabelle3!$A81)</f>
        <v>4</v>
      </c>
      <c r="BM81">
        <f ca="1">COUNTIFS(INDIRECT("Table1[Beginn]"),"&lt;="&amp;BM$1,INDIRECT("Table1[Ende]"),"&gt;="&amp;BM$1,INDIRECT("Table1[Obergruppe ATC-Code]"),Tabelle3!$A81)</f>
        <v>4</v>
      </c>
      <c r="BN81">
        <f ca="1">COUNTIFS(INDIRECT("Table1[Beginn]"),"&lt;="&amp;BN$1,INDIRECT("Table1[Ende]"),"&gt;="&amp;BN$1,INDIRECT("Table1[Obergruppe ATC-Code]"),Tabelle3!$A81)</f>
        <v>5</v>
      </c>
      <c r="BO81">
        <f ca="1">COUNTIFS(INDIRECT("Table1[Beginn]"),"&lt;="&amp;BO$1,INDIRECT("Table1[Ende]"),"&gt;="&amp;BO$1,INDIRECT("Table1[Obergruppe ATC-Code]"),Tabelle3!$A81)</f>
        <v>7</v>
      </c>
      <c r="BP81">
        <f ca="1">COUNTIFS(INDIRECT("Table1[Beginn]"),"&lt;="&amp;BP$1,INDIRECT("Table1[Ende]"),"&gt;="&amp;BP$1,INDIRECT("Table1[Obergruppe ATC-Code]"),Tabelle3!$A81)</f>
        <v>6</v>
      </c>
      <c r="BQ81">
        <f ca="1">COUNTIFS(INDIRECT("Table1[Beginn]"),"&lt;="&amp;BQ$1,INDIRECT("Table1[Ende]"),"&gt;="&amp;BQ$1,INDIRECT("Table1[Obergruppe ATC-Code]"),Tabelle3!$A81)</f>
        <v>11</v>
      </c>
      <c r="BR81">
        <f ca="1">COUNTIFS(INDIRECT("Table1[Beginn]"),"&lt;="&amp;BR$1,INDIRECT("Table1[Ende]"),"&gt;="&amp;BR$1,INDIRECT("Table1[Obergruppe ATC-Code]"),Tabelle3!$A81)</f>
        <v>9</v>
      </c>
      <c r="BS81">
        <f ca="1">COUNTIFS(INDIRECT("Table1[Beginn]"),"&lt;="&amp;BS$1,INDIRECT("Table1[Ende]"),"&gt;="&amp;BS$1,INDIRECT("Table1[Obergruppe ATC-Code]"),Tabelle3!$A81)</f>
        <v>5</v>
      </c>
      <c r="BT81">
        <f ca="1">COUNTIFS(INDIRECT("Table1[Beginn]"),"&lt;="&amp;BT$1,INDIRECT("Table1[Ende]"),"&gt;="&amp;BT$1,INDIRECT("Table1[Obergruppe ATC-Code]"),Tabelle3!$A81)</f>
        <v>8</v>
      </c>
      <c r="BU81">
        <f ca="1">COUNTIFS(INDIRECT("Table1[Beginn]"),"&lt;="&amp;BU$1,INDIRECT("Table1[Ende]"),"&gt;="&amp;BU$1,INDIRECT("Table1[Obergruppe ATC-Code]"),Tabelle3!$A81)</f>
        <v>6</v>
      </c>
      <c r="BV81">
        <f ca="1">COUNTIFS(INDIRECT("Table1[Beginn]"),"&lt;="&amp;BV$1,INDIRECT("Table1[Ende]"),"&gt;="&amp;BV$1,INDIRECT("Table1[Obergruppe ATC-Code]"),Tabelle3!$A81)</f>
        <v>4</v>
      </c>
      <c r="BW81">
        <f ca="1">COUNTIFS(INDIRECT("Table1[Beginn]"),"&lt;="&amp;BW$1,INDIRECT("Table1[Ende]"),"&gt;="&amp;BW$1,INDIRECT("Table1[Obergruppe ATC-Code]"),Tabelle3!$A81)</f>
        <v>6</v>
      </c>
      <c r="BX81">
        <f ca="1">COUNTIFS(INDIRECT("Table1[Beginn]"),"&lt;="&amp;BX$1,INDIRECT("Table1[Ende]"),"&gt;="&amp;BX$1,INDIRECT("Table1[Obergruppe ATC-Code]"),Tabelle3!$A81)</f>
        <v>9</v>
      </c>
      <c r="BY81">
        <f ca="1">COUNTIFS(INDIRECT("Table1[Beginn]"),"&lt;="&amp;BY$1,INDIRECT("Table1[Ende]"),"&gt;="&amp;BY$1,INDIRECT("Table1[Obergruppe ATC-Code]"),Tabelle3!$A81)</f>
        <v>10</v>
      </c>
      <c r="BZ81">
        <f ca="1">COUNTIFS(INDIRECT("Table1[Beginn]"),"&lt;="&amp;BZ$1,INDIRECT("Table1[Ende]"),"&gt;="&amp;BZ$1,INDIRECT("Table1[Obergruppe ATC-Code]"),Tabelle3!$A81)</f>
        <v>10</v>
      </c>
      <c r="CA81">
        <f ca="1">COUNTIFS(INDIRECT("Table1[Beginn]"),"&lt;="&amp;CA$1,INDIRECT("Table1[Ende]"),"&gt;="&amp;CA$1,INDIRECT("Table1[Obergruppe ATC-Code]"),Tabelle3!$A81)</f>
        <v>11</v>
      </c>
      <c r="CB81">
        <f ca="1">COUNTIFS(INDIRECT("Table1[Beginn]"),"&lt;="&amp;CB$1,INDIRECT("Table1[Ende]"),"&gt;="&amp;CB$1,INDIRECT("Table1[Obergruppe ATC-Code]"),Tabelle3!$A81)</f>
        <v>11</v>
      </c>
      <c r="CC81">
        <f ca="1">COUNTIFS(INDIRECT("Table1[Beginn]"),"&lt;="&amp;CC$1,INDIRECT("Table1[Ende]"),"&gt;="&amp;CC$1,INDIRECT("Table1[Obergruppe ATC-Code]"),Tabelle3!$A81)</f>
        <v>14</v>
      </c>
      <c r="CD81">
        <f ca="1">COUNTIFS(INDIRECT("Table1[Beginn]"),"&lt;="&amp;CD$1,INDIRECT("Table1[Ende]"),"&gt;="&amp;CD$1,INDIRECT("Table1[Obergruppe ATC-Code]"),Tabelle3!$A81)</f>
        <v>14</v>
      </c>
      <c r="CE81">
        <f ca="1">COUNTIFS(INDIRECT("Table1[Beginn]"),"&lt;="&amp;CE$1,INDIRECT("Table1[Ende]"),"&gt;="&amp;CE$1,INDIRECT("Table1[Obergruppe ATC-Code]"),Tabelle3!$A81)</f>
        <v>16</v>
      </c>
      <c r="CF81">
        <f ca="1">COUNTIFS(INDIRECT("Table1[Beginn]"),"&lt;="&amp;CF$1,INDIRECT("Table1[Ende]"),"&gt;="&amp;CF$1,INDIRECT("Table1[Obergruppe ATC-Code]"),Tabelle3!$A81)</f>
        <v>14</v>
      </c>
      <c r="CG81">
        <f ca="1">COUNTIFS(INDIRECT("Table1[Beginn]"),"&lt;="&amp;CG$1,INDIRECT("Table1[Ende]"),"&gt;="&amp;CG$1,INDIRECT("Table1[Obergruppe ATC-Code]"),Tabelle3!$A81)</f>
        <v>11</v>
      </c>
      <c r="CH81">
        <f ca="1">COUNTIFS(INDIRECT("Table1[Beginn]"),"&lt;="&amp;CH$1,INDIRECT("Table1[Ende]"),"&gt;="&amp;CH$1,INDIRECT("Table1[Obergruppe ATC-Code]"),Tabelle3!$A81)</f>
        <v>8</v>
      </c>
      <c r="CI81">
        <f ca="1">COUNTIFS(INDIRECT("Table1[Beginn]"),"&lt;="&amp;CI$1,INDIRECT("Table1[Ende]"),"&gt;="&amp;CI$1,INDIRECT("Table1[Obergruppe ATC-Code]"),Tabelle3!$A81)</f>
        <v>1</v>
      </c>
      <c r="CJ81">
        <f ca="1">COUNTIFS(INDIRECT("Table1[Beginn]"),"&lt;="&amp;CJ$1,INDIRECT("Table1[Ende]"),"&gt;="&amp;CJ$1,INDIRECT("Table1[Obergruppe ATC-Code]"),Tabelle3!$A81)</f>
        <v>1</v>
      </c>
      <c r="CK81">
        <f ca="1">COUNTIFS(INDIRECT("Table1[Beginn]"),"&lt;="&amp;CK$1,INDIRECT("Table1[Ende]"),"&gt;="&amp;CK$1,INDIRECT("Table1[Obergruppe ATC-Code]"),Tabelle3!$A81)</f>
        <v>0</v>
      </c>
      <c r="CL81">
        <f ca="1">COUNTIFS(INDIRECT("Table1[Beginn]"),"&lt;="&amp;CL$1,INDIRECT("Table1[Ende]"),"&gt;="&amp;CL$1,INDIRECT("Table1[Obergruppe ATC-Code]"),Tabelle3!$A81)</f>
        <v>0</v>
      </c>
      <c r="CM81">
        <f ca="1">COUNTIFS(INDIRECT("Table1[Beginn]"),"&lt;="&amp;CM$1,INDIRECT("Table1[Ende]"),"&gt;="&amp;CM$1,INDIRECT("Table1[Obergruppe ATC-Code]"),Tabelle3!$A81)</f>
        <v>0</v>
      </c>
      <c r="CN81">
        <f ca="1">COUNTIFS(INDIRECT("Table1[Beginn]"),"&lt;="&amp;CN$1,INDIRECT("Table1[Ende]"),"&gt;="&amp;CN$1,INDIRECT("Table1[Obergruppe ATC-Code]"),Tabelle3!$A81)</f>
        <v>0</v>
      </c>
      <c r="CO81">
        <f ca="1">COUNTIFS(INDIRECT("Table1[Beginn]"),"&lt;="&amp;CO$1,INDIRECT("Table1[Ende]"),"&gt;="&amp;CO$1,INDIRECT("Table1[Obergruppe ATC-Code]"),Tabelle3!$A81)</f>
        <v>0</v>
      </c>
      <c r="CP81">
        <f ca="1">COUNTIFS(INDIRECT("Table1[Beginn]"),"&lt;="&amp;CP$1,INDIRECT("Table1[Ende]"),"&gt;="&amp;CP$1,INDIRECT("Table1[Obergruppe ATC-Code]"),Tabelle3!$A81)</f>
        <v>0</v>
      </c>
      <c r="CQ81">
        <f ca="1">COUNTIFS(INDIRECT("Table1[Beginn]"),"&lt;="&amp;CQ$1,INDIRECT("Table1[Ende]"),"&gt;="&amp;CQ$1,INDIRECT("Table1[Obergruppe ATC-Code]"),Tabelle3!$A81)</f>
        <v>0</v>
      </c>
      <c r="CR81">
        <f ca="1">COUNTIFS(INDIRECT("Table1[Beginn]"),"&lt;="&amp;CR$1,INDIRECT("Table1[Ende]"),"&gt;="&amp;CR$1,INDIRECT("Table1[Obergruppe ATC-Code]"),Tabelle3!$A81)</f>
        <v>0</v>
      </c>
      <c r="CS81">
        <f ca="1">COUNTIFS(INDIRECT("Table1[Beginn]"),"&lt;="&amp;CS$1,INDIRECT("Table1[Ende]"),"&gt;="&amp;CS$1,INDIRECT("Table1[Obergruppe ATC-Code]"),Tabelle3!$A81)</f>
        <v>0</v>
      </c>
      <c r="CT81">
        <f ca="1">COUNTIFS(INDIRECT("Table1[Beginn]"),"&lt;="&amp;CT$1,INDIRECT("Table1[Ende]"),"&gt;="&amp;CT$1,INDIRECT("Table1[Obergruppe ATC-Code]"),Tabelle3!$A81)</f>
        <v>0</v>
      </c>
    </row>
    <row r="82" spans="1:98" ht="18">
      <c r="A82" s="7" t="s">
        <v>6932</v>
      </c>
      <c r="B82" s="8" t="s">
        <v>6933</v>
      </c>
      <c r="C82">
        <f ca="1">COUNTIFS(INDIRECT("Table1[Beginn]"),"&lt;="&amp;C$1,INDIRECT("Table1[Ende]"),"&gt;="&amp;C$1,INDIRECT("Table1[Obergruppe ATC-Code]"),Tabelle3!$A82)</f>
        <v>0</v>
      </c>
      <c r="D82">
        <f ca="1">COUNTIFS(INDIRECT("Table1[Beginn]"),"&lt;="&amp;D$1,INDIRECT("Table1[Ende]"),"&gt;="&amp;D$1,INDIRECT("Table1[Obergruppe ATC-Code]"),Tabelle3!$A82)</f>
        <v>0</v>
      </c>
      <c r="E82">
        <f ca="1">COUNTIFS(INDIRECT("Table1[Beginn]"),"&lt;="&amp;E$1,INDIRECT("Table1[Ende]"),"&gt;="&amp;E$1,INDIRECT("Table1[Obergruppe ATC-Code]"),Tabelle3!$A82)</f>
        <v>0</v>
      </c>
      <c r="F82">
        <f ca="1">COUNTIFS(INDIRECT("Table1[Beginn]"),"&lt;="&amp;F$1,INDIRECT("Table1[Ende]"),"&gt;="&amp;F$1,INDIRECT("Table1[Obergruppe ATC-Code]"),Tabelle3!$A82)</f>
        <v>0</v>
      </c>
      <c r="G82">
        <f ca="1">COUNTIFS(INDIRECT("Table1[Beginn]"),"&lt;="&amp;G$1,INDIRECT("Table1[Ende]"),"&gt;="&amp;G$1,INDIRECT("Table1[Obergruppe ATC-Code]"),Tabelle3!$A82)</f>
        <v>0</v>
      </c>
      <c r="H82">
        <f ca="1">COUNTIFS(INDIRECT("Table1[Beginn]"),"&lt;="&amp;H$1,INDIRECT("Table1[Ende]"),"&gt;="&amp;H$1,INDIRECT("Table1[Obergruppe ATC-Code]"),Tabelle3!$A82)</f>
        <v>0</v>
      </c>
      <c r="I82">
        <f ca="1">COUNTIFS(INDIRECT("Table1[Beginn]"),"&lt;="&amp;I$1,INDIRECT("Table1[Ende]"),"&gt;="&amp;I$1,INDIRECT("Table1[Obergruppe ATC-Code]"),Tabelle3!$A82)</f>
        <v>0</v>
      </c>
      <c r="J82">
        <f ca="1">COUNTIFS(INDIRECT("Table1[Beginn]"),"&lt;="&amp;J$1,INDIRECT("Table1[Ende]"),"&gt;="&amp;J$1,INDIRECT("Table1[Obergruppe ATC-Code]"),Tabelle3!$A82)</f>
        <v>0</v>
      </c>
      <c r="K82">
        <f ca="1">COUNTIFS(INDIRECT("Table1[Beginn]"),"&lt;="&amp;K$1,INDIRECT("Table1[Ende]"),"&gt;="&amp;K$1,INDIRECT("Table1[Obergruppe ATC-Code]"),Tabelle3!$A82)</f>
        <v>0</v>
      </c>
      <c r="L82">
        <f ca="1">COUNTIFS(INDIRECT("Table1[Beginn]"),"&lt;="&amp;L$1,INDIRECT("Table1[Ende]"),"&gt;="&amp;L$1,INDIRECT("Table1[Obergruppe ATC-Code]"),Tabelle3!$A82)</f>
        <v>0</v>
      </c>
      <c r="M82">
        <f ca="1">COUNTIFS(INDIRECT("Table1[Beginn]"),"&lt;="&amp;M$1,INDIRECT("Table1[Ende]"),"&gt;="&amp;M$1,INDIRECT("Table1[Obergruppe ATC-Code]"),Tabelle3!$A82)</f>
        <v>0</v>
      </c>
      <c r="N82">
        <f ca="1">COUNTIFS(INDIRECT("Table1[Beginn]"),"&lt;="&amp;N$1,INDIRECT("Table1[Ende]"),"&gt;="&amp;N$1,INDIRECT("Table1[Obergruppe ATC-Code]"),Tabelle3!$A82)</f>
        <v>0</v>
      </c>
      <c r="O82">
        <f ca="1">COUNTIFS(INDIRECT("Table1[Beginn]"),"&lt;="&amp;O$1,INDIRECT("Table1[Ende]"),"&gt;="&amp;O$1,INDIRECT("Table1[Obergruppe ATC-Code]"),Tabelle3!$A82)</f>
        <v>0</v>
      </c>
      <c r="P82">
        <f ca="1">COUNTIFS(INDIRECT("Table1[Beginn]"),"&lt;="&amp;P$1,INDIRECT("Table1[Ende]"),"&gt;="&amp;P$1,INDIRECT("Table1[Obergruppe ATC-Code]"),Tabelle3!$A82)</f>
        <v>0</v>
      </c>
      <c r="Q82">
        <f ca="1">COUNTIFS(INDIRECT("Table1[Beginn]"),"&lt;="&amp;Q$1,INDIRECT("Table1[Ende]"),"&gt;="&amp;Q$1,INDIRECT("Table1[Obergruppe ATC-Code]"),Tabelle3!$A82)</f>
        <v>0</v>
      </c>
      <c r="R82">
        <f ca="1">COUNTIFS(INDIRECT("Table1[Beginn]"),"&lt;="&amp;R$1,INDIRECT("Table1[Ende]"),"&gt;="&amp;R$1,INDIRECT("Table1[Obergruppe ATC-Code]"),Tabelle3!$A82)</f>
        <v>0</v>
      </c>
      <c r="S82">
        <f ca="1">COUNTIFS(INDIRECT("Table1[Beginn]"),"&lt;="&amp;S$1,INDIRECT("Table1[Ende]"),"&gt;="&amp;S$1,INDIRECT("Table1[Obergruppe ATC-Code]"),Tabelle3!$A82)</f>
        <v>0</v>
      </c>
      <c r="T82">
        <f ca="1">COUNTIFS(INDIRECT("Table1[Beginn]"),"&lt;="&amp;T$1,INDIRECT("Table1[Ende]"),"&gt;="&amp;T$1,INDIRECT("Table1[Obergruppe ATC-Code]"),Tabelle3!$A82)</f>
        <v>0</v>
      </c>
      <c r="U82">
        <f ca="1">COUNTIFS(INDIRECT("Table1[Beginn]"),"&lt;="&amp;U$1,INDIRECT("Table1[Ende]"),"&gt;="&amp;U$1,INDIRECT("Table1[Obergruppe ATC-Code]"),Tabelle3!$A82)</f>
        <v>0</v>
      </c>
      <c r="V82">
        <f ca="1">COUNTIFS(INDIRECT("Table1[Beginn]"),"&lt;="&amp;V$1,INDIRECT("Table1[Ende]"),"&gt;="&amp;V$1,INDIRECT("Table1[Obergruppe ATC-Code]"),Tabelle3!$A82)</f>
        <v>0</v>
      </c>
      <c r="W82">
        <f ca="1">COUNTIFS(INDIRECT("Table1[Beginn]"),"&lt;="&amp;W$1,INDIRECT("Table1[Ende]"),"&gt;="&amp;W$1,INDIRECT("Table1[Obergruppe ATC-Code]"),Tabelle3!$A82)</f>
        <v>0</v>
      </c>
      <c r="X82">
        <f ca="1">COUNTIFS(INDIRECT("Table1[Beginn]"),"&lt;="&amp;X$1,INDIRECT("Table1[Ende]"),"&gt;="&amp;X$1,INDIRECT("Table1[Obergruppe ATC-Code]"),Tabelle3!$A82)</f>
        <v>0</v>
      </c>
      <c r="Y82">
        <f ca="1">COUNTIFS(INDIRECT("Table1[Beginn]"),"&lt;="&amp;Y$1,INDIRECT("Table1[Ende]"),"&gt;="&amp;Y$1,INDIRECT("Table1[Obergruppe ATC-Code]"),Tabelle3!$A82)</f>
        <v>0</v>
      </c>
      <c r="Z82">
        <f ca="1">COUNTIFS(INDIRECT("Table1[Beginn]"),"&lt;="&amp;Z$1,INDIRECT("Table1[Ende]"),"&gt;="&amp;Z$1,INDIRECT("Table1[Obergruppe ATC-Code]"),Tabelle3!$A82)</f>
        <v>0</v>
      </c>
      <c r="AA82">
        <f ca="1">COUNTIFS(INDIRECT("Table1[Beginn]"),"&lt;="&amp;AA$1,INDIRECT("Table1[Ende]"),"&gt;="&amp;AA$1,INDIRECT("Table1[Obergruppe ATC-Code]"),Tabelle3!$A82)</f>
        <v>0</v>
      </c>
      <c r="AB82">
        <f ca="1">COUNTIFS(INDIRECT("Table1[Beginn]"),"&lt;="&amp;AB$1,INDIRECT("Table1[Ende]"),"&gt;="&amp;AB$1,INDIRECT("Table1[Obergruppe ATC-Code]"),Tabelle3!$A82)</f>
        <v>0</v>
      </c>
      <c r="AC82">
        <f ca="1">COUNTIFS(INDIRECT("Table1[Beginn]"),"&lt;="&amp;AC$1,INDIRECT("Table1[Ende]"),"&gt;="&amp;AC$1,INDIRECT("Table1[Obergruppe ATC-Code]"),Tabelle3!$A82)</f>
        <v>0</v>
      </c>
      <c r="AD82">
        <f ca="1">COUNTIFS(INDIRECT("Table1[Beginn]"),"&lt;="&amp;AD$1,INDIRECT("Table1[Ende]"),"&gt;="&amp;AD$1,INDIRECT("Table1[Obergruppe ATC-Code]"),Tabelle3!$A82)</f>
        <v>0</v>
      </c>
      <c r="AE82">
        <f ca="1">COUNTIFS(INDIRECT("Table1[Beginn]"),"&lt;="&amp;AE$1,INDIRECT("Table1[Ende]"),"&gt;="&amp;AE$1,INDIRECT("Table1[Obergruppe ATC-Code]"),Tabelle3!$A82)</f>
        <v>0</v>
      </c>
      <c r="AF82">
        <f ca="1">COUNTIFS(INDIRECT("Table1[Beginn]"),"&lt;="&amp;AF$1,INDIRECT("Table1[Ende]"),"&gt;="&amp;AF$1,INDIRECT("Table1[Obergruppe ATC-Code]"),Tabelle3!$A82)</f>
        <v>0</v>
      </c>
      <c r="AG82">
        <f ca="1">COUNTIFS(INDIRECT("Table1[Beginn]"),"&lt;="&amp;AG$1,INDIRECT("Table1[Ende]"),"&gt;="&amp;AG$1,INDIRECT("Table1[Obergruppe ATC-Code]"),Tabelle3!$A82)</f>
        <v>0</v>
      </c>
      <c r="AH82">
        <f ca="1">COUNTIFS(INDIRECT("Table1[Beginn]"),"&lt;="&amp;AH$1,INDIRECT("Table1[Ende]"),"&gt;="&amp;AH$1,INDIRECT("Table1[Obergruppe ATC-Code]"),Tabelle3!$A82)</f>
        <v>0</v>
      </c>
      <c r="AI82">
        <f ca="1">COUNTIFS(INDIRECT("Table1[Beginn]"),"&lt;="&amp;AI$1,INDIRECT("Table1[Ende]"),"&gt;="&amp;AI$1,INDIRECT("Table1[Obergruppe ATC-Code]"),Tabelle3!$A82)</f>
        <v>0</v>
      </c>
      <c r="AJ82">
        <f ca="1">COUNTIFS(INDIRECT("Table1[Beginn]"),"&lt;="&amp;AJ$1,INDIRECT("Table1[Ende]"),"&gt;="&amp;AJ$1,INDIRECT("Table1[Obergruppe ATC-Code]"),Tabelle3!$A82)</f>
        <v>0</v>
      </c>
      <c r="AK82">
        <f ca="1">COUNTIFS(INDIRECT("Table1[Beginn]"),"&lt;="&amp;AK$1,INDIRECT("Table1[Ende]"),"&gt;="&amp;AK$1,INDIRECT("Table1[Obergruppe ATC-Code]"),Tabelle3!$A82)</f>
        <v>0</v>
      </c>
      <c r="AL82">
        <f ca="1">COUNTIFS(INDIRECT("Table1[Beginn]"),"&lt;="&amp;AL$1,INDIRECT("Table1[Ende]"),"&gt;="&amp;AL$1,INDIRECT("Table1[Obergruppe ATC-Code]"),Tabelle3!$A82)</f>
        <v>0</v>
      </c>
      <c r="AM82">
        <f ca="1">COUNTIFS(INDIRECT("Table1[Beginn]"),"&lt;="&amp;AM$1,INDIRECT("Table1[Ende]"),"&gt;="&amp;AM$1,INDIRECT("Table1[Obergruppe ATC-Code]"),Tabelle3!$A82)</f>
        <v>0</v>
      </c>
      <c r="AN82">
        <f ca="1">COUNTIFS(INDIRECT("Table1[Beginn]"),"&lt;="&amp;AN$1,INDIRECT("Table1[Ende]"),"&gt;="&amp;AN$1,INDIRECT("Table1[Obergruppe ATC-Code]"),Tabelle3!$A82)</f>
        <v>0</v>
      </c>
      <c r="AO82">
        <f ca="1">COUNTIFS(INDIRECT("Table1[Beginn]"),"&lt;="&amp;AO$1,INDIRECT("Table1[Ende]"),"&gt;="&amp;AO$1,INDIRECT("Table1[Obergruppe ATC-Code]"),Tabelle3!$A82)</f>
        <v>0</v>
      </c>
      <c r="AP82">
        <f ca="1">COUNTIFS(INDIRECT("Table1[Beginn]"),"&lt;="&amp;AP$1,INDIRECT("Table1[Ende]"),"&gt;="&amp;AP$1,INDIRECT("Table1[Obergruppe ATC-Code]"),Tabelle3!$A82)</f>
        <v>0</v>
      </c>
      <c r="AQ82">
        <f ca="1">COUNTIFS(INDIRECT("Table1[Beginn]"),"&lt;="&amp;AQ$1,INDIRECT("Table1[Ende]"),"&gt;="&amp;AQ$1,INDIRECT("Table1[Obergruppe ATC-Code]"),Tabelle3!$A82)</f>
        <v>0</v>
      </c>
      <c r="AR82">
        <f ca="1">COUNTIFS(INDIRECT("Table1[Beginn]"),"&lt;="&amp;AR$1,INDIRECT("Table1[Ende]"),"&gt;="&amp;AR$1,INDIRECT("Table1[Obergruppe ATC-Code]"),Tabelle3!$A82)</f>
        <v>0</v>
      </c>
      <c r="AS82">
        <f ca="1">COUNTIFS(INDIRECT("Table1[Beginn]"),"&lt;="&amp;AS$1,INDIRECT("Table1[Ende]"),"&gt;="&amp;AS$1,INDIRECT("Table1[Obergruppe ATC-Code]"),Tabelle3!$A82)</f>
        <v>0</v>
      </c>
      <c r="AT82">
        <f ca="1">COUNTIFS(INDIRECT("Table1[Beginn]"),"&lt;="&amp;AT$1,INDIRECT("Table1[Ende]"),"&gt;="&amp;AT$1,INDIRECT("Table1[Obergruppe ATC-Code]"),Tabelle3!$A82)</f>
        <v>0</v>
      </c>
      <c r="AU82">
        <f ca="1">COUNTIFS(INDIRECT("Table1[Beginn]"),"&lt;="&amp;AU$1,INDIRECT("Table1[Ende]"),"&gt;="&amp;AU$1,INDIRECT("Table1[Obergruppe ATC-Code]"),Tabelle3!$A82)</f>
        <v>0</v>
      </c>
      <c r="AV82">
        <f ca="1">COUNTIFS(INDIRECT("Table1[Beginn]"),"&lt;="&amp;AV$1,INDIRECT("Table1[Ende]"),"&gt;="&amp;AV$1,INDIRECT("Table1[Obergruppe ATC-Code]"),Tabelle3!$A82)</f>
        <v>0</v>
      </c>
      <c r="AW82">
        <f ca="1">COUNTIFS(INDIRECT("Table1[Beginn]"),"&lt;="&amp;AW$1,INDIRECT("Table1[Ende]"),"&gt;="&amp;AW$1,INDIRECT("Table1[Obergruppe ATC-Code]"),Tabelle3!$A82)</f>
        <v>0</v>
      </c>
      <c r="AX82">
        <f ca="1">COUNTIFS(INDIRECT("Table1[Beginn]"),"&lt;="&amp;AX$1,INDIRECT("Table1[Ende]"),"&gt;="&amp;AX$1,INDIRECT("Table1[Obergruppe ATC-Code]"),Tabelle3!$A82)</f>
        <v>0</v>
      </c>
      <c r="AY82">
        <f ca="1">COUNTIFS(INDIRECT("Table1[Beginn]"),"&lt;="&amp;AY$1,INDIRECT("Table1[Ende]"),"&gt;="&amp;AY$1,INDIRECT("Table1[Obergruppe ATC-Code]"),Tabelle3!$A82)</f>
        <v>0</v>
      </c>
      <c r="AZ82">
        <f ca="1">COUNTIFS(INDIRECT("Table1[Beginn]"),"&lt;="&amp;AZ$1,INDIRECT("Table1[Ende]"),"&gt;="&amp;AZ$1,INDIRECT("Table1[Obergruppe ATC-Code]"),Tabelle3!$A82)</f>
        <v>0</v>
      </c>
      <c r="BA82">
        <f ca="1">COUNTIFS(INDIRECT("Table1[Beginn]"),"&lt;="&amp;BA$1,INDIRECT("Table1[Ende]"),"&gt;="&amp;BA$1,INDIRECT("Table1[Obergruppe ATC-Code]"),Tabelle3!$A82)</f>
        <v>0</v>
      </c>
      <c r="BB82">
        <f ca="1">COUNTIFS(INDIRECT("Table1[Beginn]"),"&lt;="&amp;BB$1,INDIRECT("Table1[Ende]"),"&gt;="&amp;BB$1,INDIRECT("Table1[Obergruppe ATC-Code]"),Tabelle3!$A82)</f>
        <v>0</v>
      </c>
      <c r="BC82">
        <f ca="1">COUNTIFS(INDIRECT("Table1[Beginn]"),"&lt;="&amp;BC$1,INDIRECT("Table1[Ende]"),"&gt;="&amp;BC$1,INDIRECT("Table1[Obergruppe ATC-Code]"),Tabelle3!$A82)</f>
        <v>0</v>
      </c>
      <c r="BD82">
        <f ca="1">COUNTIFS(INDIRECT("Table1[Beginn]"),"&lt;="&amp;BD$1,INDIRECT("Table1[Ende]"),"&gt;="&amp;BD$1,INDIRECT("Table1[Obergruppe ATC-Code]"),Tabelle3!$A82)</f>
        <v>0</v>
      </c>
      <c r="BE82">
        <f ca="1">COUNTIFS(INDIRECT("Table1[Beginn]"),"&lt;="&amp;BE$1,INDIRECT("Table1[Ende]"),"&gt;="&amp;BE$1,INDIRECT("Table1[Obergruppe ATC-Code]"),Tabelle3!$A82)</f>
        <v>0</v>
      </c>
      <c r="BF82">
        <f ca="1">COUNTIFS(INDIRECT("Table1[Beginn]"),"&lt;="&amp;BF$1,INDIRECT("Table1[Ende]"),"&gt;="&amp;BF$1,INDIRECT("Table1[Obergruppe ATC-Code]"),Tabelle3!$A82)</f>
        <v>0</v>
      </c>
      <c r="BG82">
        <f ca="1">COUNTIFS(INDIRECT("Table1[Beginn]"),"&lt;="&amp;BG$1,INDIRECT("Table1[Ende]"),"&gt;="&amp;BG$1,INDIRECT("Table1[Obergruppe ATC-Code]"),Tabelle3!$A82)</f>
        <v>0</v>
      </c>
      <c r="BH82">
        <f ca="1">COUNTIFS(INDIRECT("Table1[Beginn]"),"&lt;="&amp;BH$1,INDIRECT("Table1[Ende]"),"&gt;="&amp;BH$1,INDIRECT("Table1[Obergruppe ATC-Code]"),Tabelle3!$A82)</f>
        <v>0</v>
      </c>
      <c r="BI82">
        <f ca="1">COUNTIFS(INDIRECT("Table1[Beginn]"),"&lt;="&amp;BI$1,INDIRECT("Table1[Ende]"),"&gt;="&amp;BI$1,INDIRECT("Table1[Obergruppe ATC-Code]"),Tabelle3!$A82)</f>
        <v>0</v>
      </c>
      <c r="BJ82">
        <f ca="1">COUNTIFS(INDIRECT("Table1[Beginn]"),"&lt;="&amp;BJ$1,INDIRECT("Table1[Ende]"),"&gt;="&amp;BJ$1,INDIRECT("Table1[Obergruppe ATC-Code]"),Tabelle3!$A82)</f>
        <v>0</v>
      </c>
      <c r="BK82">
        <f ca="1">COUNTIFS(INDIRECT("Table1[Beginn]"),"&lt;="&amp;BK$1,INDIRECT("Table1[Ende]"),"&gt;="&amp;BK$1,INDIRECT("Table1[Obergruppe ATC-Code]"),Tabelle3!$A82)</f>
        <v>0</v>
      </c>
      <c r="BL82">
        <f ca="1">COUNTIFS(INDIRECT("Table1[Beginn]"),"&lt;="&amp;BL$1,INDIRECT("Table1[Ende]"),"&gt;="&amp;BL$1,INDIRECT("Table1[Obergruppe ATC-Code]"),Tabelle3!$A82)</f>
        <v>0</v>
      </c>
      <c r="BM82">
        <f ca="1">COUNTIFS(INDIRECT("Table1[Beginn]"),"&lt;="&amp;BM$1,INDIRECT("Table1[Ende]"),"&gt;="&amp;BM$1,INDIRECT("Table1[Obergruppe ATC-Code]"),Tabelle3!$A82)</f>
        <v>0</v>
      </c>
      <c r="BN82">
        <f ca="1">COUNTIFS(INDIRECT("Table1[Beginn]"),"&lt;="&amp;BN$1,INDIRECT("Table1[Ende]"),"&gt;="&amp;BN$1,INDIRECT("Table1[Obergruppe ATC-Code]"),Tabelle3!$A82)</f>
        <v>0</v>
      </c>
      <c r="BO82">
        <f ca="1">COUNTIFS(INDIRECT("Table1[Beginn]"),"&lt;="&amp;BO$1,INDIRECT("Table1[Ende]"),"&gt;="&amp;BO$1,INDIRECT("Table1[Obergruppe ATC-Code]"),Tabelle3!$A82)</f>
        <v>0</v>
      </c>
      <c r="BP82">
        <f ca="1">COUNTIFS(INDIRECT("Table1[Beginn]"),"&lt;="&amp;BP$1,INDIRECT("Table1[Ende]"),"&gt;="&amp;BP$1,INDIRECT("Table1[Obergruppe ATC-Code]"),Tabelle3!$A82)</f>
        <v>0</v>
      </c>
      <c r="BQ82">
        <f ca="1">COUNTIFS(INDIRECT("Table1[Beginn]"),"&lt;="&amp;BQ$1,INDIRECT("Table1[Ende]"),"&gt;="&amp;BQ$1,INDIRECT("Table1[Obergruppe ATC-Code]"),Tabelle3!$A82)</f>
        <v>0</v>
      </c>
      <c r="BR82">
        <f ca="1">COUNTIFS(INDIRECT("Table1[Beginn]"),"&lt;="&amp;BR$1,INDIRECT("Table1[Ende]"),"&gt;="&amp;BR$1,INDIRECT("Table1[Obergruppe ATC-Code]"),Tabelle3!$A82)</f>
        <v>0</v>
      </c>
      <c r="BS82">
        <f ca="1">COUNTIFS(INDIRECT("Table1[Beginn]"),"&lt;="&amp;BS$1,INDIRECT("Table1[Ende]"),"&gt;="&amp;BS$1,INDIRECT("Table1[Obergruppe ATC-Code]"),Tabelle3!$A82)</f>
        <v>0</v>
      </c>
      <c r="BT82">
        <f ca="1">COUNTIFS(INDIRECT("Table1[Beginn]"),"&lt;="&amp;BT$1,INDIRECT("Table1[Ende]"),"&gt;="&amp;BT$1,INDIRECT("Table1[Obergruppe ATC-Code]"),Tabelle3!$A82)</f>
        <v>0</v>
      </c>
      <c r="BU82">
        <f ca="1">COUNTIFS(INDIRECT("Table1[Beginn]"),"&lt;="&amp;BU$1,INDIRECT("Table1[Ende]"),"&gt;="&amp;BU$1,INDIRECT("Table1[Obergruppe ATC-Code]"),Tabelle3!$A82)</f>
        <v>0</v>
      </c>
      <c r="BV82">
        <f ca="1">COUNTIFS(INDIRECT("Table1[Beginn]"),"&lt;="&amp;BV$1,INDIRECT("Table1[Ende]"),"&gt;="&amp;BV$1,INDIRECT("Table1[Obergruppe ATC-Code]"),Tabelle3!$A82)</f>
        <v>0</v>
      </c>
      <c r="BW82">
        <f ca="1">COUNTIFS(INDIRECT("Table1[Beginn]"),"&lt;="&amp;BW$1,INDIRECT("Table1[Ende]"),"&gt;="&amp;BW$1,INDIRECT("Table1[Obergruppe ATC-Code]"),Tabelle3!$A82)</f>
        <v>0</v>
      </c>
      <c r="BX82">
        <f ca="1">COUNTIFS(INDIRECT("Table1[Beginn]"),"&lt;="&amp;BX$1,INDIRECT("Table1[Ende]"),"&gt;="&amp;BX$1,INDIRECT("Table1[Obergruppe ATC-Code]"),Tabelle3!$A82)</f>
        <v>0</v>
      </c>
      <c r="BY82">
        <f ca="1">COUNTIFS(INDIRECT("Table1[Beginn]"),"&lt;="&amp;BY$1,INDIRECT("Table1[Ende]"),"&gt;="&amp;BY$1,INDIRECT("Table1[Obergruppe ATC-Code]"),Tabelle3!$A82)</f>
        <v>0</v>
      </c>
      <c r="BZ82">
        <f ca="1">COUNTIFS(INDIRECT("Table1[Beginn]"),"&lt;="&amp;BZ$1,INDIRECT("Table1[Ende]"),"&gt;="&amp;BZ$1,INDIRECT("Table1[Obergruppe ATC-Code]"),Tabelle3!$A82)</f>
        <v>0</v>
      </c>
      <c r="CA82">
        <f ca="1">COUNTIFS(INDIRECT("Table1[Beginn]"),"&lt;="&amp;CA$1,INDIRECT("Table1[Ende]"),"&gt;="&amp;CA$1,INDIRECT("Table1[Obergruppe ATC-Code]"),Tabelle3!$A82)</f>
        <v>0</v>
      </c>
      <c r="CB82">
        <f ca="1">COUNTIFS(INDIRECT("Table1[Beginn]"),"&lt;="&amp;CB$1,INDIRECT("Table1[Ende]"),"&gt;="&amp;CB$1,INDIRECT("Table1[Obergruppe ATC-Code]"),Tabelle3!$A82)</f>
        <v>0</v>
      </c>
      <c r="CC82">
        <f ca="1">COUNTIFS(INDIRECT("Table1[Beginn]"),"&lt;="&amp;CC$1,INDIRECT("Table1[Ende]"),"&gt;="&amp;CC$1,INDIRECT("Table1[Obergruppe ATC-Code]"),Tabelle3!$A82)</f>
        <v>0</v>
      </c>
      <c r="CD82">
        <f ca="1">COUNTIFS(INDIRECT("Table1[Beginn]"),"&lt;="&amp;CD$1,INDIRECT("Table1[Ende]"),"&gt;="&amp;CD$1,INDIRECT("Table1[Obergruppe ATC-Code]"),Tabelle3!$A82)</f>
        <v>0</v>
      </c>
      <c r="CE82">
        <f ca="1">COUNTIFS(INDIRECT("Table1[Beginn]"),"&lt;="&amp;CE$1,INDIRECT("Table1[Ende]"),"&gt;="&amp;CE$1,INDIRECT("Table1[Obergruppe ATC-Code]"),Tabelle3!$A82)</f>
        <v>0</v>
      </c>
      <c r="CF82">
        <f ca="1">COUNTIFS(INDIRECT("Table1[Beginn]"),"&lt;="&amp;CF$1,INDIRECT("Table1[Ende]"),"&gt;="&amp;CF$1,INDIRECT("Table1[Obergruppe ATC-Code]"),Tabelle3!$A82)</f>
        <v>0</v>
      </c>
      <c r="CG82">
        <f ca="1">COUNTIFS(INDIRECT("Table1[Beginn]"),"&lt;="&amp;CG$1,INDIRECT("Table1[Ende]"),"&gt;="&amp;CG$1,INDIRECT("Table1[Obergruppe ATC-Code]"),Tabelle3!$A82)</f>
        <v>0</v>
      </c>
      <c r="CH82">
        <f ca="1">COUNTIFS(INDIRECT("Table1[Beginn]"),"&lt;="&amp;CH$1,INDIRECT("Table1[Ende]"),"&gt;="&amp;CH$1,INDIRECT("Table1[Obergruppe ATC-Code]"),Tabelle3!$A82)</f>
        <v>0</v>
      </c>
      <c r="CI82">
        <f ca="1">COUNTIFS(INDIRECT("Table1[Beginn]"),"&lt;="&amp;CI$1,INDIRECT("Table1[Ende]"),"&gt;="&amp;CI$1,INDIRECT("Table1[Obergruppe ATC-Code]"),Tabelle3!$A82)</f>
        <v>0</v>
      </c>
      <c r="CJ82">
        <f ca="1">COUNTIFS(INDIRECT("Table1[Beginn]"),"&lt;="&amp;CJ$1,INDIRECT("Table1[Ende]"),"&gt;="&amp;CJ$1,INDIRECT("Table1[Obergruppe ATC-Code]"),Tabelle3!$A82)</f>
        <v>0</v>
      </c>
      <c r="CK82">
        <f ca="1">COUNTIFS(INDIRECT("Table1[Beginn]"),"&lt;="&amp;CK$1,INDIRECT("Table1[Ende]"),"&gt;="&amp;CK$1,INDIRECT("Table1[Obergruppe ATC-Code]"),Tabelle3!$A82)</f>
        <v>0</v>
      </c>
      <c r="CL82">
        <f ca="1">COUNTIFS(INDIRECT("Table1[Beginn]"),"&lt;="&amp;CL$1,INDIRECT("Table1[Ende]"),"&gt;="&amp;CL$1,INDIRECT("Table1[Obergruppe ATC-Code]"),Tabelle3!$A82)</f>
        <v>0</v>
      </c>
      <c r="CM82">
        <f ca="1">COUNTIFS(INDIRECT("Table1[Beginn]"),"&lt;="&amp;CM$1,INDIRECT("Table1[Ende]"),"&gt;="&amp;CM$1,INDIRECT("Table1[Obergruppe ATC-Code]"),Tabelle3!$A82)</f>
        <v>0</v>
      </c>
      <c r="CN82">
        <f ca="1">COUNTIFS(INDIRECT("Table1[Beginn]"),"&lt;="&amp;CN$1,INDIRECT("Table1[Ende]"),"&gt;="&amp;CN$1,INDIRECT("Table1[Obergruppe ATC-Code]"),Tabelle3!$A82)</f>
        <v>0</v>
      </c>
      <c r="CO82">
        <f ca="1">COUNTIFS(INDIRECT("Table1[Beginn]"),"&lt;="&amp;CO$1,INDIRECT("Table1[Ende]"),"&gt;="&amp;CO$1,INDIRECT("Table1[Obergruppe ATC-Code]"),Tabelle3!$A82)</f>
        <v>0</v>
      </c>
      <c r="CP82">
        <f ca="1">COUNTIFS(INDIRECT("Table1[Beginn]"),"&lt;="&amp;CP$1,INDIRECT("Table1[Ende]"),"&gt;="&amp;CP$1,INDIRECT("Table1[Obergruppe ATC-Code]"),Tabelle3!$A82)</f>
        <v>0</v>
      </c>
      <c r="CQ82">
        <f ca="1">COUNTIFS(INDIRECT("Table1[Beginn]"),"&lt;="&amp;CQ$1,INDIRECT("Table1[Ende]"),"&gt;="&amp;CQ$1,INDIRECT("Table1[Obergruppe ATC-Code]"),Tabelle3!$A82)</f>
        <v>0</v>
      </c>
      <c r="CR82">
        <f ca="1">COUNTIFS(INDIRECT("Table1[Beginn]"),"&lt;="&amp;CR$1,INDIRECT("Table1[Ende]"),"&gt;="&amp;CR$1,INDIRECT("Table1[Obergruppe ATC-Code]"),Tabelle3!$A82)</f>
        <v>0</v>
      </c>
      <c r="CS82">
        <f ca="1">COUNTIFS(INDIRECT("Table1[Beginn]"),"&lt;="&amp;CS$1,INDIRECT("Table1[Ende]"),"&gt;="&amp;CS$1,INDIRECT("Table1[Obergruppe ATC-Code]"),Tabelle3!$A82)</f>
        <v>0</v>
      </c>
      <c r="CT82">
        <f ca="1">COUNTIFS(INDIRECT("Table1[Beginn]"),"&lt;="&amp;CT$1,INDIRECT("Table1[Ende]"),"&gt;="&amp;CT$1,INDIRECT("Table1[Obergruppe ATC-Code]"),Tabelle3!$A82)</f>
        <v>0</v>
      </c>
    </row>
    <row r="83" spans="1:98" ht="18">
      <c r="A83" s="9" t="s">
        <v>6934</v>
      </c>
      <c r="B83" s="10" t="s">
        <v>6935</v>
      </c>
      <c r="C83">
        <f ca="1">COUNTIFS(INDIRECT("Table1[Beginn]"),"&lt;="&amp;C$1,INDIRECT("Table1[Ende]"),"&gt;="&amp;C$1,INDIRECT("Table1[Obergruppe ATC-Code]"),Tabelle3!$A83)</f>
        <v>0</v>
      </c>
      <c r="D83">
        <f ca="1">COUNTIFS(INDIRECT("Table1[Beginn]"),"&lt;="&amp;D$1,INDIRECT("Table1[Ende]"),"&gt;="&amp;D$1,INDIRECT("Table1[Obergruppe ATC-Code]"),Tabelle3!$A83)</f>
        <v>0</v>
      </c>
      <c r="E83">
        <f ca="1">COUNTIFS(INDIRECT("Table1[Beginn]"),"&lt;="&amp;E$1,INDIRECT("Table1[Ende]"),"&gt;="&amp;E$1,INDIRECT("Table1[Obergruppe ATC-Code]"),Tabelle3!$A83)</f>
        <v>0</v>
      </c>
      <c r="F83">
        <f ca="1">COUNTIFS(INDIRECT("Table1[Beginn]"),"&lt;="&amp;F$1,INDIRECT("Table1[Ende]"),"&gt;="&amp;F$1,INDIRECT("Table1[Obergruppe ATC-Code]"),Tabelle3!$A83)</f>
        <v>0</v>
      </c>
      <c r="G83">
        <f ca="1">COUNTIFS(INDIRECT("Table1[Beginn]"),"&lt;="&amp;G$1,INDIRECT("Table1[Ende]"),"&gt;="&amp;G$1,INDIRECT("Table1[Obergruppe ATC-Code]"),Tabelle3!$A83)</f>
        <v>0</v>
      </c>
      <c r="H83">
        <f ca="1">COUNTIFS(INDIRECT("Table1[Beginn]"),"&lt;="&amp;H$1,INDIRECT("Table1[Ende]"),"&gt;="&amp;H$1,INDIRECT("Table1[Obergruppe ATC-Code]"),Tabelle3!$A83)</f>
        <v>0</v>
      </c>
      <c r="I83">
        <f ca="1">COUNTIFS(INDIRECT("Table1[Beginn]"),"&lt;="&amp;I$1,INDIRECT("Table1[Ende]"),"&gt;="&amp;I$1,INDIRECT("Table1[Obergruppe ATC-Code]"),Tabelle3!$A83)</f>
        <v>0</v>
      </c>
      <c r="J83">
        <f ca="1">COUNTIFS(INDIRECT("Table1[Beginn]"),"&lt;="&amp;J$1,INDIRECT("Table1[Ende]"),"&gt;="&amp;J$1,INDIRECT("Table1[Obergruppe ATC-Code]"),Tabelle3!$A83)</f>
        <v>0</v>
      </c>
      <c r="K83">
        <f ca="1">COUNTIFS(INDIRECT("Table1[Beginn]"),"&lt;="&amp;K$1,INDIRECT("Table1[Ende]"),"&gt;="&amp;K$1,INDIRECT("Table1[Obergruppe ATC-Code]"),Tabelle3!$A83)</f>
        <v>0</v>
      </c>
      <c r="L83">
        <f ca="1">COUNTIFS(INDIRECT("Table1[Beginn]"),"&lt;="&amp;L$1,INDIRECT("Table1[Ende]"),"&gt;="&amp;L$1,INDIRECT("Table1[Obergruppe ATC-Code]"),Tabelle3!$A83)</f>
        <v>0</v>
      </c>
      <c r="M83">
        <f ca="1">COUNTIFS(INDIRECT("Table1[Beginn]"),"&lt;="&amp;M$1,INDIRECT("Table1[Ende]"),"&gt;="&amp;M$1,INDIRECT("Table1[Obergruppe ATC-Code]"),Tabelle3!$A83)</f>
        <v>0</v>
      </c>
      <c r="N83">
        <f ca="1">COUNTIFS(INDIRECT("Table1[Beginn]"),"&lt;="&amp;N$1,INDIRECT("Table1[Ende]"),"&gt;="&amp;N$1,INDIRECT("Table1[Obergruppe ATC-Code]"),Tabelle3!$A83)</f>
        <v>0</v>
      </c>
      <c r="O83">
        <f ca="1">COUNTIFS(INDIRECT("Table1[Beginn]"),"&lt;="&amp;O$1,INDIRECT("Table1[Ende]"),"&gt;="&amp;O$1,INDIRECT("Table1[Obergruppe ATC-Code]"),Tabelle3!$A83)</f>
        <v>0</v>
      </c>
      <c r="P83">
        <f ca="1">COUNTIFS(INDIRECT("Table1[Beginn]"),"&lt;="&amp;P$1,INDIRECT("Table1[Ende]"),"&gt;="&amp;P$1,INDIRECT("Table1[Obergruppe ATC-Code]"),Tabelle3!$A83)</f>
        <v>0</v>
      </c>
      <c r="Q83">
        <f ca="1">COUNTIFS(INDIRECT("Table1[Beginn]"),"&lt;="&amp;Q$1,INDIRECT("Table1[Ende]"),"&gt;="&amp;Q$1,INDIRECT("Table1[Obergruppe ATC-Code]"),Tabelle3!$A83)</f>
        <v>0</v>
      </c>
      <c r="R83">
        <f ca="1">COUNTIFS(INDIRECT("Table1[Beginn]"),"&lt;="&amp;R$1,INDIRECT("Table1[Ende]"),"&gt;="&amp;R$1,INDIRECT("Table1[Obergruppe ATC-Code]"),Tabelle3!$A83)</f>
        <v>0</v>
      </c>
      <c r="S83">
        <f ca="1">COUNTIFS(INDIRECT("Table1[Beginn]"),"&lt;="&amp;S$1,INDIRECT("Table1[Ende]"),"&gt;="&amp;S$1,INDIRECT("Table1[Obergruppe ATC-Code]"),Tabelle3!$A83)</f>
        <v>0</v>
      </c>
      <c r="T83">
        <f ca="1">COUNTIFS(INDIRECT("Table1[Beginn]"),"&lt;="&amp;T$1,INDIRECT("Table1[Ende]"),"&gt;="&amp;T$1,INDIRECT("Table1[Obergruppe ATC-Code]"),Tabelle3!$A83)</f>
        <v>0</v>
      </c>
      <c r="U83">
        <f ca="1">COUNTIFS(INDIRECT("Table1[Beginn]"),"&lt;="&amp;U$1,INDIRECT("Table1[Ende]"),"&gt;="&amp;U$1,INDIRECT("Table1[Obergruppe ATC-Code]"),Tabelle3!$A83)</f>
        <v>0</v>
      </c>
      <c r="V83">
        <f ca="1">COUNTIFS(INDIRECT("Table1[Beginn]"),"&lt;="&amp;V$1,INDIRECT("Table1[Ende]"),"&gt;="&amp;V$1,INDIRECT("Table1[Obergruppe ATC-Code]"),Tabelle3!$A83)</f>
        <v>0</v>
      </c>
      <c r="W83">
        <f ca="1">COUNTIFS(INDIRECT("Table1[Beginn]"),"&lt;="&amp;W$1,INDIRECT("Table1[Ende]"),"&gt;="&amp;W$1,INDIRECT("Table1[Obergruppe ATC-Code]"),Tabelle3!$A83)</f>
        <v>0</v>
      </c>
      <c r="X83">
        <f ca="1">COUNTIFS(INDIRECT("Table1[Beginn]"),"&lt;="&amp;X$1,INDIRECT("Table1[Ende]"),"&gt;="&amp;X$1,INDIRECT("Table1[Obergruppe ATC-Code]"),Tabelle3!$A83)</f>
        <v>0</v>
      </c>
      <c r="Y83">
        <f ca="1">COUNTIFS(INDIRECT("Table1[Beginn]"),"&lt;="&amp;Y$1,INDIRECT("Table1[Ende]"),"&gt;="&amp;Y$1,INDIRECT("Table1[Obergruppe ATC-Code]"),Tabelle3!$A83)</f>
        <v>0</v>
      </c>
      <c r="Z83">
        <f ca="1">COUNTIFS(INDIRECT("Table1[Beginn]"),"&lt;="&amp;Z$1,INDIRECT("Table1[Ende]"),"&gt;="&amp;Z$1,INDIRECT("Table1[Obergruppe ATC-Code]"),Tabelle3!$A83)</f>
        <v>0</v>
      </c>
      <c r="AA83">
        <f ca="1">COUNTIFS(INDIRECT("Table1[Beginn]"),"&lt;="&amp;AA$1,INDIRECT("Table1[Ende]"),"&gt;="&amp;AA$1,INDIRECT("Table1[Obergruppe ATC-Code]"),Tabelle3!$A83)</f>
        <v>0</v>
      </c>
      <c r="AB83">
        <f ca="1">COUNTIFS(INDIRECT("Table1[Beginn]"),"&lt;="&amp;AB$1,INDIRECT("Table1[Ende]"),"&gt;="&amp;AB$1,INDIRECT("Table1[Obergruppe ATC-Code]"),Tabelle3!$A83)</f>
        <v>0</v>
      </c>
      <c r="AC83">
        <f ca="1">COUNTIFS(INDIRECT("Table1[Beginn]"),"&lt;="&amp;AC$1,INDIRECT("Table1[Ende]"),"&gt;="&amp;AC$1,INDIRECT("Table1[Obergruppe ATC-Code]"),Tabelle3!$A83)</f>
        <v>0</v>
      </c>
      <c r="AD83">
        <f ca="1">COUNTIFS(INDIRECT("Table1[Beginn]"),"&lt;="&amp;AD$1,INDIRECT("Table1[Ende]"),"&gt;="&amp;AD$1,INDIRECT("Table1[Obergruppe ATC-Code]"),Tabelle3!$A83)</f>
        <v>0</v>
      </c>
      <c r="AE83">
        <f ca="1">COUNTIFS(INDIRECT("Table1[Beginn]"),"&lt;="&amp;AE$1,INDIRECT("Table1[Ende]"),"&gt;="&amp;AE$1,INDIRECT("Table1[Obergruppe ATC-Code]"),Tabelle3!$A83)</f>
        <v>0</v>
      </c>
      <c r="AF83">
        <f ca="1">COUNTIFS(INDIRECT("Table1[Beginn]"),"&lt;="&amp;AF$1,INDIRECT("Table1[Ende]"),"&gt;="&amp;AF$1,INDIRECT("Table1[Obergruppe ATC-Code]"),Tabelle3!$A83)</f>
        <v>0</v>
      </c>
      <c r="AG83">
        <f ca="1">COUNTIFS(INDIRECT("Table1[Beginn]"),"&lt;="&amp;AG$1,INDIRECT("Table1[Ende]"),"&gt;="&amp;AG$1,INDIRECT("Table1[Obergruppe ATC-Code]"),Tabelle3!$A83)</f>
        <v>0</v>
      </c>
      <c r="AH83">
        <f ca="1">COUNTIFS(INDIRECT("Table1[Beginn]"),"&lt;="&amp;AH$1,INDIRECT("Table1[Ende]"),"&gt;="&amp;AH$1,INDIRECT("Table1[Obergruppe ATC-Code]"),Tabelle3!$A83)</f>
        <v>0</v>
      </c>
      <c r="AI83">
        <f ca="1">COUNTIFS(INDIRECT("Table1[Beginn]"),"&lt;="&amp;AI$1,INDIRECT("Table1[Ende]"),"&gt;="&amp;AI$1,INDIRECT("Table1[Obergruppe ATC-Code]"),Tabelle3!$A83)</f>
        <v>0</v>
      </c>
      <c r="AJ83">
        <f ca="1">COUNTIFS(INDIRECT("Table1[Beginn]"),"&lt;="&amp;AJ$1,INDIRECT("Table1[Ende]"),"&gt;="&amp;AJ$1,INDIRECT("Table1[Obergruppe ATC-Code]"),Tabelle3!$A83)</f>
        <v>0</v>
      </c>
      <c r="AK83">
        <f ca="1">COUNTIFS(INDIRECT("Table1[Beginn]"),"&lt;="&amp;AK$1,INDIRECT("Table1[Ende]"),"&gt;="&amp;AK$1,INDIRECT("Table1[Obergruppe ATC-Code]"),Tabelle3!$A83)</f>
        <v>0</v>
      </c>
      <c r="AL83">
        <f ca="1">COUNTIFS(INDIRECT("Table1[Beginn]"),"&lt;="&amp;AL$1,INDIRECT("Table1[Ende]"),"&gt;="&amp;AL$1,INDIRECT("Table1[Obergruppe ATC-Code]"),Tabelle3!$A83)</f>
        <v>0</v>
      </c>
      <c r="AM83">
        <f ca="1">COUNTIFS(INDIRECT("Table1[Beginn]"),"&lt;="&amp;AM$1,INDIRECT("Table1[Ende]"),"&gt;="&amp;AM$1,INDIRECT("Table1[Obergruppe ATC-Code]"),Tabelle3!$A83)</f>
        <v>0</v>
      </c>
      <c r="AN83">
        <f ca="1">COUNTIFS(INDIRECT("Table1[Beginn]"),"&lt;="&amp;AN$1,INDIRECT("Table1[Ende]"),"&gt;="&amp;AN$1,INDIRECT("Table1[Obergruppe ATC-Code]"),Tabelle3!$A83)</f>
        <v>1</v>
      </c>
      <c r="AO83">
        <f ca="1">COUNTIFS(INDIRECT("Table1[Beginn]"),"&lt;="&amp;AO$1,INDIRECT("Table1[Ende]"),"&gt;="&amp;AO$1,INDIRECT("Table1[Obergruppe ATC-Code]"),Tabelle3!$A83)</f>
        <v>1</v>
      </c>
      <c r="AP83">
        <f ca="1">COUNTIFS(INDIRECT("Table1[Beginn]"),"&lt;="&amp;AP$1,INDIRECT("Table1[Ende]"),"&gt;="&amp;AP$1,INDIRECT("Table1[Obergruppe ATC-Code]"),Tabelle3!$A83)</f>
        <v>1</v>
      </c>
      <c r="AQ83">
        <f ca="1">COUNTIFS(INDIRECT("Table1[Beginn]"),"&lt;="&amp;AQ$1,INDIRECT("Table1[Ende]"),"&gt;="&amp;AQ$1,INDIRECT("Table1[Obergruppe ATC-Code]"),Tabelle3!$A83)</f>
        <v>1</v>
      </c>
      <c r="AR83">
        <f ca="1">COUNTIFS(INDIRECT("Table1[Beginn]"),"&lt;="&amp;AR$1,INDIRECT("Table1[Ende]"),"&gt;="&amp;AR$1,INDIRECT("Table1[Obergruppe ATC-Code]"),Tabelle3!$A83)</f>
        <v>0</v>
      </c>
      <c r="AS83">
        <f ca="1">COUNTIFS(INDIRECT("Table1[Beginn]"),"&lt;="&amp;AS$1,INDIRECT("Table1[Ende]"),"&gt;="&amp;AS$1,INDIRECT("Table1[Obergruppe ATC-Code]"),Tabelle3!$A83)</f>
        <v>0</v>
      </c>
      <c r="AT83">
        <f ca="1">COUNTIFS(INDIRECT("Table1[Beginn]"),"&lt;="&amp;AT$1,INDIRECT("Table1[Ende]"),"&gt;="&amp;AT$1,INDIRECT("Table1[Obergruppe ATC-Code]"),Tabelle3!$A83)</f>
        <v>0</v>
      </c>
      <c r="AU83">
        <f ca="1">COUNTIFS(INDIRECT("Table1[Beginn]"),"&lt;="&amp;AU$1,INDIRECT("Table1[Ende]"),"&gt;="&amp;AU$1,INDIRECT("Table1[Obergruppe ATC-Code]"),Tabelle3!$A83)</f>
        <v>0</v>
      </c>
      <c r="AV83">
        <f ca="1">COUNTIFS(INDIRECT("Table1[Beginn]"),"&lt;="&amp;AV$1,INDIRECT("Table1[Ende]"),"&gt;="&amp;AV$1,INDIRECT("Table1[Obergruppe ATC-Code]"),Tabelle3!$A83)</f>
        <v>0</v>
      </c>
      <c r="AW83">
        <f ca="1">COUNTIFS(INDIRECT("Table1[Beginn]"),"&lt;="&amp;AW$1,INDIRECT("Table1[Ende]"),"&gt;="&amp;AW$1,INDIRECT("Table1[Obergruppe ATC-Code]"),Tabelle3!$A83)</f>
        <v>1</v>
      </c>
      <c r="AX83">
        <f ca="1">COUNTIFS(INDIRECT("Table1[Beginn]"),"&lt;="&amp;AX$1,INDIRECT("Table1[Ende]"),"&gt;="&amp;AX$1,INDIRECT("Table1[Obergruppe ATC-Code]"),Tabelle3!$A83)</f>
        <v>1</v>
      </c>
      <c r="AY83">
        <f ca="1">COUNTIFS(INDIRECT("Table1[Beginn]"),"&lt;="&amp;AY$1,INDIRECT("Table1[Ende]"),"&gt;="&amp;AY$1,INDIRECT("Table1[Obergruppe ATC-Code]"),Tabelle3!$A83)</f>
        <v>1</v>
      </c>
      <c r="AZ83">
        <f ca="1">COUNTIFS(INDIRECT("Table1[Beginn]"),"&lt;="&amp;AZ$1,INDIRECT("Table1[Ende]"),"&gt;="&amp;AZ$1,INDIRECT("Table1[Obergruppe ATC-Code]"),Tabelle3!$A83)</f>
        <v>1</v>
      </c>
      <c r="BA83">
        <f ca="1">COUNTIFS(INDIRECT("Table1[Beginn]"),"&lt;="&amp;BA$1,INDIRECT("Table1[Ende]"),"&gt;="&amp;BA$1,INDIRECT("Table1[Obergruppe ATC-Code]"),Tabelle3!$A83)</f>
        <v>1</v>
      </c>
      <c r="BB83">
        <f ca="1">COUNTIFS(INDIRECT("Table1[Beginn]"),"&lt;="&amp;BB$1,INDIRECT("Table1[Ende]"),"&gt;="&amp;BB$1,INDIRECT("Table1[Obergruppe ATC-Code]"),Tabelle3!$A83)</f>
        <v>1</v>
      </c>
      <c r="BC83">
        <f ca="1">COUNTIFS(INDIRECT("Table1[Beginn]"),"&lt;="&amp;BC$1,INDIRECT("Table1[Ende]"),"&gt;="&amp;BC$1,INDIRECT("Table1[Obergruppe ATC-Code]"),Tabelle3!$A83)</f>
        <v>0</v>
      </c>
      <c r="BD83">
        <f ca="1">COUNTIFS(INDIRECT("Table1[Beginn]"),"&lt;="&amp;BD$1,INDIRECT("Table1[Ende]"),"&gt;="&amp;BD$1,INDIRECT("Table1[Obergruppe ATC-Code]"),Tabelle3!$A83)</f>
        <v>0</v>
      </c>
      <c r="BE83">
        <f ca="1">COUNTIFS(INDIRECT("Table1[Beginn]"),"&lt;="&amp;BE$1,INDIRECT("Table1[Ende]"),"&gt;="&amp;BE$1,INDIRECT("Table1[Obergruppe ATC-Code]"),Tabelle3!$A83)</f>
        <v>0</v>
      </c>
      <c r="BF83">
        <f ca="1">COUNTIFS(INDIRECT("Table1[Beginn]"),"&lt;="&amp;BF$1,INDIRECT("Table1[Ende]"),"&gt;="&amp;BF$1,INDIRECT("Table1[Obergruppe ATC-Code]"),Tabelle3!$A83)</f>
        <v>0</v>
      </c>
      <c r="BG83">
        <f ca="1">COUNTIFS(INDIRECT("Table1[Beginn]"),"&lt;="&amp;BG$1,INDIRECT("Table1[Ende]"),"&gt;="&amp;BG$1,INDIRECT("Table1[Obergruppe ATC-Code]"),Tabelle3!$A83)</f>
        <v>0</v>
      </c>
      <c r="BH83">
        <f ca="1">COUNTIFS(INDIRECT("Table1[Beginn]"),"&lt;="&amp;BH$1,INDIRECT("Table1[Ende]"),"&gt;="&amp;BH$1,INDIRECT("Table1[Obergruppe ATC-Code]"),Tabelle3!$A83)</f>
        <v>0</v>
      </c>
      <c r="BI83">
        <f ca="1">COUNTIFS(INDIRECT("Table1[Beginn]"),"&lt;="&amp;BI$1,INDIRECT("Table1[Ende]"),"&gt;="&amp;BI$1,INDIRECT("Table1[Obergruppe ATC-Code]"),Tabelle3!$A83)</f>
        <v>0</v>
      </c>
      <c r="BJ83">
        <f ca="1">COUNTIFS(INDIRECT("Table1[Beginn]"),"&lt;="&amp;BJ$1,INDIRECT("Table1[Ende]"),"&gt;="&amp;BJ$1,INDIRECT("Table1[Obergruppe ATC-Code]"),Tabelle3!$A83)</f>
        <v>0</v>
      </c>
      <c r="BK83">
        <f ca="1">COUNTIFS(INDIRECT("Table1[Beginn]"),"&lt;="&amp;BK$1,INDIRECT("Table1[Ende]"),"&gt;="&amp;BK$1,INDIRECT("Table1[Obergruppe ATC-Code]"),Tabelle3!$A83)</f>
        <v>0</v>
      </c>
      <c r="BL83">
        <f ca="1">COUNTIFS(INDIRECT("Table1[Beginn]"),"&lt;="&amp;BL$1,INDIRECT("Table1[Ende]"),"&gt;="&amp;BL$1,INDIRECT("Table1[Obergruppe ATC-Code]"),Tabelle3!$A83)</f>
        <v>0</v>
      </c>
      <c r="BM83">
        <f ca="1">COUNTIFS(INDIRECT("Table1[Beginn]"),"&lt;="&amp;BM$1,INDIRECT("Table1[Ende]"),"&gt;="&amp;BM$1,INDIRECT("Table1[Obergruppe ATC-Code]"),Tabelle3!$A83)</f>
        <v>0</v>
      </c>
      <c r="BN83">
        <f ca="1">COUNTIFS(INDIRECT("Table1[Beginn]"),"&lt;="&amp;BN$1,INDIRECT("Table1[Ende]"),"&gt;="&amp;BN$1,INDIRECT("Table1[Obergruppe ATC-Code]"),Tabelle3!$A83)</f>
        <v>0</v>
      </c>
      <c r="BO83">
        <f ca="1">COUNTIFS(INDIRECT("Table1[Beginn]"),"&lt;="&amp;BO$1,INDIRECT("Table1[Ende]"),"&gt;="&amp;BO$1,INDIRECT("Table1[Obergruppe ATC-Code]"),Tabelle3!$A83)</f>
        <v>0</v>
      </c>
      <c r="BP83">
        <f ca="1">COUNTIFS(INDIRECT("Table1[Beginn]"),"&lt;="&amp;BP$1,INDIRECT("Table1[Ende]"),"&gt;="&amp;BP$1,INDIRECT("Table1[Obergruppe ATC-Code]"),Tabelle3!$A83)</f>
        <v>0</v>
      </c>
      <c r="BQ83">
        <f ca="1">COUNTIFS(INDIRECT("Table1[Beginn]"),"&lt;="&amp;BQ$1,INDIRECT("Table1[Ende]"),"&gt;="&amp;BQ$1,INDIRECT("Table1[Obergruppe ATC-Code]"),Tabelle3!$A83)</f>
        <v>0</v>
      </c>
      <c r="BR83">
        <f ca="1">COUNTIFS(INDIRECT("Table1[Beginn]"),"&lt;="&amp;BR$1,INDIRECT("Table1[Ende]"),"&gt;="&amp;BR$1,INDIRECT("Table1[Obergruppe ATC-Code]"),Tabelle3!$A83)</f>
        <v>0</v>
      </c>
      <c r="BS83">
        <f ca="1">COUNTIFS(INDIRECT("Table1[Beginn]"),"&lt;="&amp;BS$1,INDIRECT("Table1[Ende]"),"&gt;="&amp;BS$1,INDIRECT("Table1[Obergruppe ATC-Code]"),Tabelle3!$A83)</f>
        <v>0</v>
      </c>
      <c r="BT83">
        <f ca="1">COUNTIFS(INDIRECT("Table1[Beginn]"),"&lt;="&amp;BT$1,INDIRECT("Table1[Ende]"),"&gt;="&amp;BT$1,INDIRECT("Table1[Obergruppe ATC-Code]"),Tabelle3!$A83)</f>
        <v>0</v>
      </c>
      <c r="BU83">
        <f ca="1">COUNTIFS(INDIRECT("Table1[Beginn]"),"&lt;="&amp;BU$1,INDIRECT("Table1[Ende]"),"&gt;="&amp;BU$1,INDIRECT("Table1[Obergruppe ATC-Code]"),Tabelle3!$A83)</f>
        <v>0</v>
      </c>
      <c r="BV83">
        <f ca="1">COUNTIFS(INDIRECT("Table1[Beginn]"),"&lt;="&amp;BV$1,INDIRECT("Table1[Ende]"),"&gt;="&amp;BV$1,INDIRECT("Table1[Obergruppe ATC-Code]"),Tabelle3!$A83)</f>
        <v>0</v>
      </c>
      <c r="BW83">
        <f ca="1">COUNTIFS(INDIRECT("Table1[Beginn]"),"&lt;="&amp;BW$1,INDIRECT("Table1[Ende]"),"&gt;="&amp;BW$1,INDIRECT("Table1[Obergruppe ATC-Code]"),Tabelle3!$A83)</f>
        <v>0</v>
      </c>
      <c r="BX83">
        <f ca="1">COUNTIFS(INDIRECT("Table1[Beginn]"),"&lt;="&amp;BX$1,INDIRECT("Table1[Ende]"),"&gt;="&amp;BX$1,INDIRECT("Table1[Obergruppe ATC-Code]"),Tabelle3!$A83)</f>
        <v>0</v>
      </c>
      <c r="BY83">
        <f ca="1">COUNTIFS(INDIRECT("Table1[Beginn]"),"&lt;="&amp;BY$1,INDIRECT("Table1[Ende]"),"&gt;="&amp;BY$1,INDIRECT("Table1[Obergruppe ATC-Code]"),Tabelle3!$A83)</f>
        <v>0</v>
      </c>
      <c r="BZ83">
        <f ca="1">COUNTIFS(INDIRECT("Table1[Beginn]"),"&lt;="&amp;BZ$1,INDIRECT("Table1[Ende]"),"&gt;="&amp;BZ$1,INDIRECT("Table1[Obergruppe ATC-Code]"),Tabelle3!$A83)</f>
        <v>0</v>
      </c>
      <c r="CA83">
        <f ca="1">COUNTIFS(INDIRECT("Table1[Beginn]"),"&lt;="&amp;CA$1,INDIRECT("Table1[Ende]"),"&gt;="&amp;CA$1,INDIRECT("Table1[Obergruppe ATC-Code]"),Tabelle3!$A83)</f>
        <v>1</v>
      </c>
      <c r="CB83">
        <f ca="1">COUNTIFS(INDIRECT("Table1[Beginn]"),"&lt;="&amp;CB$1,INDIRECT("Table1[Ende]"),"&gt;="&amp;CB$1,INDIRECT("Table1[Obergruppe ATC-Code]"),Tabelle3!$A83)</f>
        <v>1</v>
      </c>
      <c r="CC83">
        <f ca="1">COUNTIFS(INDIRECT("Table1[Beginn]"),"&lt;="&amp;CC$1,INDIRECT("Table1[Ende]"),"&gt;="&amp;CC$1,INDIRECT("Table1[Obergruppe ATC-Code]"),Tabelle3!$A83)</f>
        <v>1</v>
      </c>
      <c r="CD83">
        <f ca="1">COUNTIFS(INDIRECT("Table1[Beginn]"),"&lt;="&amp;CD$1,INDIRECT("Table1[Ende]"),"&gt;="&amp;CD$1,INDIRECT("Table1[Obergruppe ATC-Code]"),Tabelle3!$A83)</f>
        <v>1</v>
      </c>
      <c r="CE83">
        <f ca="1">COUNTIFS(INDIRECT("Table1[Beginn]"),"&lt;="&amp;CE$1,INDIRECT("Table1[Ende]"),"&gt;="&amp;CE$1,INDIRECT("Table1[Obergruppe ATC-Code]"),Tabelle3!$A83)</f>
        <v>1</v>
      </c>
      <c r="CF83">
        <f ca="1">COUNTIFS(INDIRECT("Table1[Beginn]"),"&lt;="&amp;CF$1,INDIRECT("Table1[Ende]"),"&gt;="&amp;CF$1,INDIRECT("Table1[Obergruppe ATC-Code]"),Tabelle3!$A83)</f>
        <v>1</v>
      </c>
      <c r="CG83">
        <f ca="1">COUNTIFS(INDIRECT("Table1[Beginn]"),"&lt;="&amp;CG$1,INDIRECT("Table1[Ende]"),"&gt;="&amp;CG$1,INDIRECT("Table1[Obergruppe ATC-Code]"),Tabelle3!$A83)</f>
        <v>0</v>
      </c>
      <c r="CH83">
        <f ca="1">COUNTIFS(INDIRECT("Table1[Beginn]"),"&lt;="&amp;CH$1,INDIRECT("Table1[Ende]"),"&gt;="&amp;CH$1,INDIRECT("Table1[Obergruppe ATC-Code]"),Tabelle3!$A83)</f>
        <v>0</v>
      </c>
      <c r="CI83">
        <f ca="1">COUNTIFS(INDIRECT("Table1[Beginn]"),"&lt;="&amp;CI$1,INDIRECT("Table1[Ende]"),"&gt;="&amp;CI$1,INDIRECT("Table1[Obergruppe ATC-Code]"),Tabelle3!$A83)</f>
        <v>0</v>
      </c>
      <c r="CJ83">
        <f ca="1">COUNTIFS(INDIRECT("Table1[Beginn]"),"&lt;="&amp;CJ$1,INDIRECT("Table1[Ende]"),"&gt;="&amp;CJ$1,INDIRECT("Table1[Obergruppe ATC-Code]"),Tabelle3!$A83)</f>
        <v>0</v>
      </c>
      <c r="CK83">
        <f ca="1">COUNTIFS(INDIRECT("Table1[Beginn]"),"&lt;="&amp;CK$1,INDIRECT("Table1[Ende]"),"&gt;="&amp;CK$1,INDIRECT("Table1[Obergruppe ATC-Code]"),Tabelle3!$A83)</f>
        <v>0</v>
      </c>
      <c r="CL83">
        <f ca="1">COUNTIFS(INDIRECT("Table1[Beginn]"),"&lt;="&amp;CL$1,INDIRECT("Table1[Ende]"),"&gt;="&amp;CL$1,INDIRECT("Table1[Obergruppe ATC-Code]"),Tabelle3!$A83)</f>
        <v>0</v>
      </c>
      <c r="CM83">
        <f ca="1">COUNTIFS(INDIRECT("Table1[Beginn]"),"&lt;="&amp;CM$1,INDIRECT("Table1[Ende]"),"&gt;="&amp;CM$1,INDIRECT("Table1[Obergruppe ATC-Code]"),Tabelle3!$A83)</f>
        <v>0</v>
      </c>
      <c r="CN83">
        <f ca="1">COUNTIFS(INDIRECT("Table1[Beginn]"),"&lt;="&amp;CN$1,INDIRECT("Table1[Ende]"),"&gt;="&amp;CN$1,INDIRECT("Table1[Obergruppe ATC-Code]"),Tabelle3!$A83)</f>
        <v>0</v>
      </c>
      <c r="CO83">
        <f ca="1">COUNTIFS(INDIRECT("Table1[Beginn]"),"&lt;="&amp;CO$1,INDIRECT("Table1[Ende]"),"&gt;="&amp;CO$1,INDIRECT("Table1[Obergruppe ATC-Code]"),Tabelle3!$A83)</f>
        <v>0</v>
      </c>
      <c r="CP83">
        <f ca="1">COUNTIFS(INDIRECT("Table1[Beginn]"),"&lt;="&amp;CP$1,INDIRECT("Table1[Ende]"),"&gt;="&amp;CP$1,INDIRECT("Table1[Obergruppe ATC-Code]"),Tabelle3!$A83)</f>
        <v>0</v>
      </c>
      <c r="CQ83">
        <f ca="1">COUNTIFS(INDIRECT("Table1[Beginn]"),"&lt;="&amp;CQ$1,INDIRECT("Table1[Ende]"),"&gt;="&amp;CQ$1,INDIRECT("Table1[Obergruppe ATC-Code]"),Tabelle3!$A83)</f>
        <v>0</v>
      </c>
      <c r="CR83">
        <f ca="1">COUNTIFS(INDIRECT("Table1[Beginn]"),"&lt;="&amp;CR$1,INDIRECT("Table1[Ende]"),"&gt;="&amp;CR$1,INDIRECT("Table1[Obergruppe ATC-Code]"),Tabelle3!$A83)</f>
        <v>0</v>
      </c>
      <c r="CS83">
        <f ca="1">COUNTIFS(INDIRECT("Table1[Beginn]"),"&lt;="&amp;CS$1,INDIRECT("Table1[Ende]"),"&gt;="&amp;CS$1,INDIRECT("Table1[Obergruppe ATC-Code]"),Tabelle3!$A83)</f>
        <v>0</v>
      </c>
      <c r="CT83">
        <f ca="1">COUNTIFS(INDIRECT("Table1[Beginn]"),"&lt;="&amp;CT$1,INDIRECT("Table1[Ende]"),"&gt;="&amp;CT$1,INDIRECT("Table1[Obergruppe ATC-Code]"),Tabelle3!$A83)</f>
        <v>0</v>
      </c>
    </row>
    <row r="84" spans="1:98" ht="18">
      <c r="A84" s="7" t="s">
        <v>6936</v>
      </c>
      <c r="B84" s="8" t="s">
        <v>6937</v>
      </c>
      <c r="C84">
        <f ca="1">COUNTIFS(INDIRECT("Table1[Beginn]"),"&lt;="&amp;C$1,INDIRECT("Table1[Ende]"),"&gt;="&amp;C$1,INDIRECT("Table1[Obergruppe ATC-Code]"),Tabelle3!$A84)</f>
        <v>0</v>
      </c>
      <c r="D84">
        <f ca="1">COUNTIFS(INDIRECT("Table1[Beginn]"),"&lt;="&amp;D$1,INDIRECT("Table1[Ende]"),"&gt;="&amp;D$1,INDIRECT("Table1[Obergruppe ATC-Code]"),Tabelle3!$A84)</f>
        <v>0</v>
      </c>
      <c r="E84">
        <f ca="1">COUNTIFS(INDIRECT("Table1[Beginn]"),"&lt;="&amp;E$1,INDIRECT("Table1[Ende]"),"&gt;="&amp;E$1,INDIRECT("Table1[Obergruppe ATC-Code]"),Tabelle3!$A84)</f>
        <v>0</v>
      </c>
      <c r="F84">
        <f ca="1">COUNTIFS(INDIRECT("Table1[Beginn]"),"&lt;="&amp;F$1,INDIRECT("Table1[Ende]"),"&gt;="&amp;F$1,INDIRECT("Table1[Obergruppe ATC-Code]"),Tabelle3!$A84)</f>
        <v>0</v>
      </c>
      <c r="G84">
        <f ca="1">COUNTIFS(INDIRECT("Table1[Beginn]"),"&lt;="&amp;G$1,INDIRECT("Table1[Ende]"),"&gt;="&amp;G$1,INDIRECT("Table1[Obergruppe ATC-Code]"),Tabelle3!$A84)</f>
        <v>0</v>
      </c>
      <c r="H84">
        <f ca="1">COUNTIFS(INDIRECT("Table1[Beginn]"),"&lt;="&amp;H$1,INDIRECT("Table1[Ende]"),"&gt;="&amp;H$1,INDIRECT("Table1[Obergruppe ATC-Code]"),Tabelle3!$A84)</f>
        <v>0</v>
      </c>
      <c r="I84">
        <f ca="1">COUNTIFS(INDIRECT("Table1[Beginn]"),"&lt;="&amp;I$1,INDIRECT("Table1[Ende]"),"&gt;="&amp;I$1,INDIRECT("Table1[Obergruppe ATC-Code]"),Tabelle3!$A84)</f>
        <v>0</v>
      </c>
      <c r="J84">
        <f ca="1">COUNTIFS(INDIRECT("Table1[Beginn]"),"&lt;="&amp;J$1,INDIRECT("Table1[Ende]"),"&gt;="&amp;J$1,INDIRECT("Table1[Obergruppe ATC-Code]"),Tabelle3!$A84)</f>
        <v>0</v>
      </c>
      <c r="K84">
        <f ca="1">COUNTIFS(INDIRECT("Table1[Beginn]"),"&lt;="&amp;K$1,INDIRECT("Table1[Ende]"),"&gt;="&amp;K$1,INDIRECT("Table1[Obergruppe ATC-Code]"),Tabelle3!$A84)</f>
        <v>0</v>
      </c>
      <c r="L84">
        <f ca="1">COUNTIFS(INDIRECT("Table1[Beginn]"),"&lt;="&amp;L$1,INDIRECT("Table1[Ende]"),"&gt;="&amp;L$1,INDIRECT("Table1[Obergruppe ATC-Code]"),Tabelle3!$A84)</f>
        <v>0</v>
      </c>
      <c r="M84">
        <f ca="1">COUNTIFS(INDIRECT("Table1[Beginn]"),"&lt;="&amp;M$1,INDIRECT("Table1[Ende]"),"&gt;="&amp;M$1,INDIRECT("Table1[Obergruppe ATC-Code]"),Tabelle3!$A84)</f>
        <v>0</v>
      </c>
      <c r="N84">
        <f ca="1">COUNTIFS(INDIRECT("Table1[Beginn]"),"&lt;="&amp;N$1,INDIRECT("Table1[Ende]"),"&gt;="&amp;N$1,INDIRECT("Table1[Obergruppe ATC-Code]"),Tabelle3!$A84)</f>
        <v>0</v>
      </c>
      <c r="O84">
        <f ca="1">COUNTIFS(INDIRECT("Table1[Beginn]"),"&lt;="&amp;O$1,INDIRECT("Table1[Ende]"),"&gt;="&amp;O$1,INDIRECT("Table1[Obergruppe ATC-Code]"),Tabelle3!$A84)</f>
        <v>0</v>
      </c>
      <c r="P84">
        <f ca="1">COUNTIFS(INDIRECT("Table1[Beginn]"),"&lt;="&amp;P$1,INDIRECT("Table1[Ende]"),"&gt;="&amp;P$1,INDIRECT("Table1[Obergruppe ATC-Code]"),Tabelle3!$A84)</f>
        <v>0</v>
      </c>
      <c r="Q84">
        <f ca="1">COUNTIFS(INDIRECT("Table1[Beginn]"),"&lt;="&amp;Q$1,INDIRECT("Table1[Ende]"),"&gt;="&amp;Q$1,INDIRECT("Table1[Obergruppe ATC-Code]"),Tabelle3!$A84)</f>
        <v>0</v>
      </c>
      <c r="R84">
        <f ca="1">COUNTIFS(INDIRECT("Table1[Beginn]"),"&lt;="&amp;R$1,INDIRECT("Table1[Ende]"),"&gt;="&amp;R$1,INDIRECT("Table1[Obergruppe ATC-Code]"),Tabelle3!$A84)</f>
        <v>0</v>
      </c>
      <c r="S84">
        <f ca="1">COUNTIFS(INDIRECT("Table1[Beginn]"),"&lt;="&amp;S$1,INDIRECT("Table1[Ende]"),"&gt;="&amp;S$1,INDIRECT("Table1[Obergruppe ATC-Code]"),Tabelle3!$A84)</f>
        <v>0</v>
      </c>
      <c r="T84">
        <f ca="1">COUNTIFS(INDIRECT("Table1[Beginn]"),"&lt;="&amp;T$1,INDIRECT("Table1[Ende]"),"&gt;="&amp;T$1,INDIRECT("Table1[Obergruppe ATC-Code]"),Tabelle3!$A84)</f>
        <v>0</v>
      </c>
      <c r="U84">
        <f ca="1">COUNTIFS(INDIRECT("Table1[Beginn]"),"&lt;="&amp;U$1,INDIRECT("Table1[Ende]"),"&gt;="&amp;U$1,INDIRECT("Table1[Obergruppe ATC-Code]"),Tabelle3!$A84)</f>
        <v>0</v>
      </c>
      <c r="V84">
        <f ca="1">COUNTIFS(INDIRECT("Table1[Beginn]"),"&lt;="&amp;V$1,INDIRECT("Table1[Ende]"),"&gt;="&amp;V$1,INDIRECT("Table1[Obergruppe ATC-Code]"),Tabelle3!$A84)</f>
        <v>0</v>
      </c>
      <c r="W84">
        <f ca="1">COUNTIFS(INDIRECT("Table1[Beginn]"),"&lt;="&amp;W$1,INDIRECT("Table1[Ende]"),"&gt;="&amp;W$1,INDIRECT("Table1[Obergruppe ATC-Code]"),Tabelle3!$A84)</f>
        <v>0</v>
      </c>
      <c r="X84">
        <f ca="1">COUNTIFS(INDIRECT("Table1[Beginn]"),"&lt;="&amp;X$1,INDIRECT("Table1[Ende]"),"&gt;="&amp;X$1,INDIRECT("Table1[Obergruppe ATC-Code]"),Tabelle3!$A84)</f>
        <v>0</v>
      </c>
      <c r="Y84">
        <f ca="1">COUNTIFS(INDIRECT("Table1[Beginn]"),"&lt;="&amp;Y$1,INDIRECT("Table1[Ende]"),"&gt;="&amp;Y$1,INDIRECT("Table1[Obergruppe ATC-Code]"),Tabelle3!$A84)</f>
        <v>0</v>
      </c>
      <c r="Z84">
        <f ca="1">COUNTIFS(INDIRECT("Table1[Beginn]"),"&lt;="&amp;Z$1,INDIRECT("Table1[Ende]"),"&gt;="&amp;Z$1,INDIRECT("Table1[Obergruppe ATC-Code]"),Tabelle3!$A84)</f>
        <v>0</v>
      </c>
      <c r="AA84">
        <f ca="1">COUNTIFS(INDIRECT("Table1[Beginn]"),"&lt;="&amp;AA$1,INDIRECT("Table1[Ende]"),"&gt;="&amp;AA$1,INDIRECT("Table1[Obergruppe ATC-Code]"),Tabelle3!$A84)</f>
        <v>0</v>
      </c>
      <c r="AB84">
        <f ca="1">COUNTIFS(INDIRECT("Table1[Beginn]"),"&lt;="&amp;AB$1,INDIRECT("Table1[Ende]"),"&gt;="&amp;AB$1,INDIRECT("Table1[Obergruppe ATC-Code]"),Tabelle3!$A84)</f>
        <v>0</v>
      </c>
      <c r="AC84">
        <f ca="1">COUNTIFS(INDIRECT("Table1[Beginn]"),"&lt;="&amp;AC$1,INDIRECT("Table1[Ende]"),"&gt;="&amp;AC$1,INDIRECT("Table1[Obergruppe ATC-Code]"),Tabelle3!$A84)</f>
        <v>0</v>
      </c>
      <c r="AD84">
        <f ca="1">COUNTIFS(INDIRECT("Table1[Beginn]"),"&lt;="&amp;AD$1,INDIRECT("Table1[Ende]"),"&gt;="&amp;AD$1,INDIRECT("Table1[Obergruppe ATC-Code]"),Tabelle3!$A84)</f>
        <v>0</v>
      </c>
      <c r="AE84">
        <f ca="1">COUNTIFS(INDIRECT("Table1[Beginn]"),"&lt;="&amp;AE$1,INDIRECT("Table1[Ende]"),"&gt;="&amp;AE$1,INDIRECT("Table1[Obergruppe ATC-Code]"),Tabelle3!$A84)</f>
        <v>0</v>
      </c>
      <c r="AF84">
        <f ca="1">COUNTIFS(INDIRECT("Table1[Beginn]"),"&lt;="&amp;AF$1,INDIRECT("Table1[Ende]"),"&gt;="&amp;AF$1,INDIRECT("Table1[Obergruppe ATC-Code]"),Tabelle3!$A84)</f>
        <v>0</v>
      </c>
      <c r="AG84">
        <f ca="1">COUNTIFS(INDIRECT("Table1[Beginn]"),"&lt;="&amp;AG$1,INDIRECT("Table1[Ende]"),"&gt;="&amp;AG$1,INDIRECT("Table1[Obergruppe ATC-Code]"),Tabelle3!$A84)</f>
        <v>0</v>
      </c>
      <c r="AH84">
        <f ca="1">COUNTIFS(INDIRECT("Table1[Beginn]"),"&lt;="&amp;AH$1,INDIRECT("Table1[Ende]"),"&gt;="&amp;AH$1,INDIRECT("Table1[Obergruppe ATC-Code]"),Tabelle3!$A84)</f>
        <v>0</v>
      </c>
      <c r="AI84">
        <f ca="1">COUNTIFS(INDIRECT("Table1[Beginn]"),"&lt;="&amp;AI$1,INDIRECT("Table1[Ende]"),"&gt;="&amp;AI$1,INDIRECT("Table1[Obergruppe ATC-Code]"),Tabelle3!$A84)</f>
        <v>0</v>
      </c>
      <c r="AJ84">
        <f ca="1">COUNTIFS(INDIRECT("Table1[Beginn]"),"&lt;="&amp;AJ$1,INDIRECT("Table1[Ende]"),"&gt;="&amp;AJ$1,INDIRECT("Table1[Obergruppe ATC-Code]"),Tabelle3!$A84)</f>
        <v>0</v>
      </c>
      <c r="AK84">
        <f ca="1">COUNTIFS(INDIRECT("Table1[Beginn]"),"&lt;="&amp;AK$1,INDIRECT("Table1[Ende]"),"&gt;="&amp;AK$1,INDIRECT("Table1[Obergruppe ATC-Code]"),Tabelle3!$A84)</f>
        <v>0</v>
      </c>
      <c r="AL84">
        <f ca="1">COUNTIFS(INDIRECT("Table1[Beginn]"),"&lt;="&amp;AL$1,INDIRECT("Table1[Ende]"),"&gt;="&amp;AL$1,INDIRECT("Table1[Obergruppe ATC-Code]"),Tabelle3!$A84)</f>
        <v>0</v>
      </c>
      <c r="AM84">
        <f ca="1">COUNTIFS(INDIRECT("Table1[Beginn]"),"&lt;="&amp;AM$1,INDIRECT("Table1[Ende]"),"&gt;="&amp;AM$1,INDIRECT("Table1[Obergruppe ATC-Code]"),Tabelle3!$A84)</f>
        <v>0</v>
      </c>
      <c r="AN84">
        <f ca="1">COUNTIFS(INDIRECT("Table1[Beginn]"),"&lt;="&amp;AN$1,INDIRECT("Table1[Ende]"),"&gt;="&amp;AN$1,INDIRECT("Table1[Obergruppe ATC-Code]"),Tabelle3!$A84)</f>
        <v>0</v>
      </c>
      <c r="AO84">
        <f ca="1">COUNTIFS(INDIRECT("Table1[Beginn]"),"&lt;="&amp;AO$1,INDIRECT("Table1[Ende]"),"&gt;="&amp;AO$1,INDIRECT("Table1[Obergruppe ATC-Code]"),Tabelle3!$A84)</f>
        <v>0</v>
      </c>
      <c r="AP84">
        <f ca="1">COUNTIFS(INDIRECT("Table1[Beginn]"),"&lt;="&amp;AP$1,INDIRECT("Table1[Ende]"),"&gt;="&amp;AP$1,INDIRECT("Table1[Obergruppe ATC-Code]"),Tabelle3!$A84)</f>
        <v>0</v>
      </c>
      <c r="AQ84">
        <f ca="1">COUNTIFS(INDIRECT("Table1[Beginn]"),"&lt;="&amp;AQ$1,INDIRECT("Table1[Ende]"),"&gt;="&amp;AQ$1,INDIRECT("Table1[Obergruppe ATC-Code]"),Tabelle3!$A84)</f>
        <v>0</v>
      </c>
      <c r="AR84">
        <f ca="1">COUNTIFS(INDIRECT("Table1[Beginn]"),"&lt;="&amp;AR$1,INDIRECT("Table1[Ende]"),"&gt;="&amp;AR$1,INDIRECT("Table1[Obergruppe ATC-Code]"),Tabelle3!$A84)</f>
        <v>0</v>
      </c>
      <c r="AS84">
        <f ca="1">COUNTIFS(INDIRECT("Table1[Beginn]"),"&lt;="&amp;AS$1,INDIRECT("Table1[Ende]"),"&gt;="&amp;AS$1,INDIRECT("Table1[Obergruppe ATC-Code]"),Tabelle3!$A84)</f>
        <v>0</v>
      </c>
      <c r="AT84">
        <f ca="1">COUNTIFS(INDIRECT("Table1[Beginn]"),"&lt;="&amp;AT$1,INDIRECT("Table1[Ende]"),"&gt;="&amp;AT$1,INDIRECT("Table1[Obergruppe ATC-Code]"),Tabelle3!$A84)</f>
        <v>0</v>
      </c>
      <c r="AU84">
        <f ca="1">COUNTIFS(INDIRECT("Table1[Beginn]"),"&lt;="&amp;AU$1,INDIRECT("Table1[Ende]"),"&gt;="&amp;AU$1,INDIRECT("Table1[Obergruppe ATC-Code]"),Tabelle3!$A84)</f>
        <v>0</v>
      </c>
      <c r="AV84">
        <f ca="1">COUNTIFS(INDIRECT("Table1[Beginn]"),"&lt;="&amp;AV$1,INDIRECT("Table1[Ende]"),"&gt;="&amp;AV$1,INDIRECT("Table1[Obergruppe ATC-Code]"),Tabelle3!$A84)</f>
        <v>0</v>
      </c>
      <c r="AW84">
        <f ca="1">COUNTIFS(INDIRECT("Table1[Beginn]"),"&lt;="&amp;AW$1,INDIRECT("Table1[Ende]"),"&gt;="&amp;AW$1,INDIRECT("Table1[Obergruppe ATC-Code]"),Tabelle3!$A84)</f>
        <v>0</v>
      </c>
      <c r="AX84">
        <f ca="1">COUNTIFS(INDIRECT("Table1[Beginn]"),"&lt;="&amp;AX$1,INDIRECT("Table1[Ende]"),"&gt;="&amp;AX$1,INDIRECT("Table1[Obergruppe ATC-Code]"),Tabelle3!$A84)</f>
        <v>0</v>
      </c>
      <c r="AY84">
        <f ca="1">COUNTIFS(INDIRECT("Table1[Beginn]"),"&lt;="&amp;AY$1,INDIRECT("Table1[Ende]"),"&gt;="&amp;AY$1,INDIRECT("Table1[Obergruppe ATC-Code]"),Tabelle3!$A84)</f>
        <v>0</v>
      </c>
      <c r="AZ84">
        <f ca="1">COUNTIFS(INDIRECT("Table1[Beginn]"),"&lt;="&amp;AZ$1,INDIRECT("Table1[Ende]"),"&gt;="&amp;AZ$1,INDIRECT("Table1[Obergruppe ATC-Code]"),Tabelle3!$A84)</f>
        <v>1</v>
      </c>
      <c r="BA84">
        <f ca="1">COUNTIFS(INDIRECT("Table1[Beginn]"),"&lt;="&amp;BA$1,INDIRECT("Table1[Ende]"),"&gt;="&amp;BA$1,INDIRECT("Table1[Obergruppe ATC-Code]"),Tabelle3!$A84)</f>
        <v>1</v>
      </c>
      <c r="BB84">
        <f ca="1">COUNTIFS(INDIRECT("Table1[Beginn]"),"&lt;="&amp;BB$1,INDIRECT("Table1[Ende]"),"&gt;="&amp;BB$1,INDIRECT("Table1[Obergruppe ATC-Code]"),Tabelle3!$A84)</f>
        <v>1</v>
      </c>
      <c r="BC84">
        <f ca="1">COUNTIFS(INDIRECT("Table1[Beginn]"),"&lt;="&amp;BC$1,INDIRECT("Table1[Ende]"),"&gt;="&amp;BC$1,INDIRECT("Table1[Obergruppe ATC-Code]"),Tabelle3!$A84)</f>
        <v>1</v>
      </c>
      <c r="BD84">
        <f ca="1">COUNTIFS(INDIRECT("Table1[Beginn]"),"&lt;="&amp;BD$1,INDIRECT("Table1[Ende]"),"&gt;="&amp;BD$1,INDIRECT("Table1[Obergruppe ATC-Code]"),Tabelle3!$A84)</f>
        <v>1</v>
      </c>
      <c r="BE84">
        <f ca="1">COUNTIFS(INDIRECT("Table1[Beginn]"),"&lt;="&amp;BE$1,INDIRECT("Table1[Ende]"),"&gt;="&amp;BE$1,INDIRECT("Table1[Obergruppe ATC-Code]"),Tabelle3!$A84)</f>
        <v>1</v>
      </c>
      <c r="BF84">
        <f ca="1">COUNTIFS(INDIRECT("Table1[Beginn]"),"&lt;="&amp;BF$1,INDIRECT("Table1[Ende]"),"&gt;="&amp;BF$1,INDIRECT("Table1[Obergruppe ATC-Code]"),Tabelle3!$A84)</f>
        <v>1</v>
      </c>
      <c r="BG84">
        <f ca="1">COUNTIFS(INDIRECT("Table1[Beginn]"),"&lt;="&amp;BG$1,INDIRECT("Table1[Ende]"),"&gt;="&amp;BG$1,INDIRECT("Table1[Obergruppe ATC-Code]"),Tabelle3!$A84)</f>
        <v>1</v>
      </c>
      <c r="BH84">
        <f ca="1">COUNTIFS(INDIRECT("Table1[Beginn]"),"&lt;="&amp;BH$1,INDIRECT("Table1[Ende]"),"&gt;="&amp;BH$1,INDIRECT("Table1[Obergruppe ATC-Code]"),Tabelle3!$A84)</f>
        <v>1</v>
      </c>
      <c r="BI84">
        <f ca="1">COUNTIFS(INDIRECT("Table1[Beginn]"),"&lt;="&amp;BI$1,INDIRECT("Table1[Ende]"),"&gt;="&amp;BI$1,INDIRECT("Table1[Obergruppe ATC-Code]"),Tabelle3!$A84)</f>
        <v>0</v>
      </c>
      <c r="BJ84">
        <f ca="1">COUNTIFS(INDIRECT("Table1[Beginn]"),"&lt;="&amp;BJ$1,INDIRECT("Table1[Ende]"),"&gt;="&amp;BJ$1,INDIRECT("Table1[Obergruppe ATC-Code]"),Tabelle3!$A84)</f>
        <v>0</v>
      </c>
      <c r="BK84">
        <f ca="1">COUNTIFS(INDIRECT("Table1[Beginn]"),"&lt;="&amp;BK$1,INDIRECT("Table1[Ende]"),"&gt;="&amp;BK$1,INDIRECT("Table1[Obergruppe ATC-Code]"),Tabelle3!$A84)</f>
        <v>0</v>
      </c>
      <c r="BL84">
        <f ca="1">COUNTIFS(INDIRECT("Table1[Beginn]"),"&lt;="&amp;BL$1,INDIRECT("Table1[Ende]"),"&gt;="&amp;BL$1,INDIRECT("Table1[Obergruppe ATC-Code]"),Tabelle3!$A84)</f>
        <v>0</v>
      </c>
      <c r="BM84">
        <f ca="1">COUNTIFS(INDIRECT("Table1[Beginn]"),"&lt;="&amp;BM$1,INDIRECT("Table1[Ende]"),"&gt;="&amp;BM$1,INDIRECT("Table1[Obergruppe ATC-Code]"),Tabelle3!$A84)</f>
        <v>0</v>
      </c>
      <c r="BN84">
        <f ca="1">COUNTIFS(INDIRECT("Table1[Beginn]"),"&lt;="&amp;BN$1,INDIRECT("Table1[Ende]"),"&gt;="&amp;BN$1,INDIRECT("Table1[Obergruppe ATC-Code]"),Tabelle3!$A84)</f>
        <v>0</v>
      </c>
      <c r="BO84">
        <f ca="1">COUNTIFS(INDIRECT("Table1[Beginn]"),"&lt;="&amp;BO$1,INDIRECT("Table1[Ende]"),"&gt;="&amp;BO$1,INDIRECT("Table1[Obergruppe ATC-Code]"),Tabelle3!$A84)</f>
        <v>0</v>
      </c>
      <c r="BP84">
        <f ca="1">COUNTIFS(INDIRECT("Table1[Beginn]"),"&lt;="&amp;BP$1,INDIRECT("Table1[Ende]"),"&gt;="&amp;BP$1,INDIRECT("Table1[Obergruppe ATC-Code]"),Tabelle3!$A84)</f>
        <v>0</v>
      </c>
      <c r="BQ84">
        <f ca="1">COUNTIFS(INDIRECT("Table1[Beginn]"),"&lt;="&amp;BQ$1,INDIRECT("Table1[Ende]"),"&gt;="&amp;BQ$1,INDIRECT("Table1[Obergruppe ATC-Code]"),Tabelle3!$A84)</f>
        <v>0</v>
      </c>
      <c r="BR84">
        <f ca="1">COUNTIFS(INDIRECT("Table1[Beginn]"),"&lt;="&amp;BR$1,INDIRECT("Table1[Ende]"),"&gt;="&amp;BR$1,INDIRECT("Table1[Obergruppe ATC-Code]"),Tabelle3!$A84)</f>
        <v>0</v>
      </c>
      <c r="BS84">
        <f ca="1">COUNTIFS(INDIRECT("Table1[Beginn]"),"&lt;="&amp;BS$1,INDIRECT("Table1[Ende]"),"&gt;="&amp;BS$1,INDIRECT("Table1[Obergruppe ATC-Code]"),Tabelle3!$A84)</f>
        <v>0</v>
      </c>
      <c r="BT84">
        <f ca="1">COUNTIFS(INDIRECT("Table1[Beginn]"),"&lt;="&amp;BT$1,INDIRECT("Table1[Ende]"),"&gt;="&amp;BT$1,INDIRECT("Table1[Obergruppe ATC-Code]"),Tabelle3!$A84)</f>
        <v>0</v>
      </c>
      <c r="BU84">
        <f ca="1">COUNTIFS(INDIRECT("Table1[Beginn]"),"&lt;="&amp;BU$1,INDIRECT("Table1[Ende]"),"&gt;="&amp;BU$1,INDIRECT("Table1[Obergruppe ATC-Code]"),Tabelle3!$A84)</f>
        <v>0</v>
      </c>
      <c r="BV84">
        <f ca="1">COUNTIFS(INDIRECT("Table1[Beginn]"),"&lt;="&amp;BV$1,INDIRECT("Table1[Ende]"),"&gt;="&amp;BV$1,INDIRECT("Table1[Obergruppe ATC-Code]"),Tabelle3!$A84)</f>
        <v>1</v>
      </c>
      <c r="BW84">
        <f ca="1">COUNTIFS(INDIRECT("Table1[Beginn]"),"&lt;="&amp;BW$1,INDIRECT("Table1[Ende]"),"&gt;="&amp;BW$1,INDIRECT("Table1[Obergruppe ATC-Code]"),Tabelle3!$A84)</f>
        <v>0</v>
      </c>
      <c r="BX84">
        <f ca="1">COUNTIFS(INDIRECT("Table1[Beginn]"),"&lt;="&amp;BX$1,INDIRECT("Table1[Ende]"),"&gt;="&amp;BX$1,INDIRECT("Table1[Obergruppe ATC-Code]"),Tabelle3!$A84)</f>
        <v>0</v>
      </c>
      <c r="BY84">
        <f ca="1">COUNTIFS(INDIRECT("Table1[Beginn]"),"&lt;="&amp;BY$1,INDIRECT("Table1[Ende]"),"&gt;="&amp;BY$1,INDIRECT("Table1[Obergruppe ATC-Code]"),Tabelle3!$A84)</f>
        <v>0</v>
      </c>
      <c r="BZ84">
        <f ca="1">COUNTIFS(INDIRECT("Table1[Beginn]"),"&lt;="&amp;BZ$1,INDIRECT("Table1[Ende]"),"&gt;="&amp;BZ$1,INDIRECT("Table1[Obergruppe ATC-Code]"),Tabelle3!$A84)</f>
        <v>2</v>
      </c>
      <c r="CA84">
        <f ca="1">COUNTIFS(INDIRECT("Table1[Beginn]"),"&lt;="&amp;CA$1,INDIRECT("Table1[Ende]"),"&gt;="&amp;CA$1,INDIRECT("Table1[Obergruppe ATC-Code]"),Tabelle3!$A84)</f>
        <v>2</v>
      </c>
      <c r="CB84">
        <f ca="1">COUNTIFS(INDIRECT("Table1[Beginn]"),"&lt;="&amp;CB$1,INDIRECT("Table1[Ende]"),"&gt;="&amp;CB$1,INDIRECT("Table1[Obergruppe ATC-Code]"),Tabelle3!$A84)</f>
        <v>2</v>
      </c>
      <c r="CC84">
        <f ca="1">COUNTIFS(INDIRECT("Table1[Beginn]"),"&lt;="&amp;CC$1,INDIRECT("Table1[Ende]"),"&gt;="&amp;CC$1,INDIRECT("Table1[Obergruppe ATC-Code]"),Tabelle3!$A84)</f>
        <v>2</v>
      </c>
      <c r="CD84">
        <f ca="1">COUNTIFS(INDIRECT("Table1[Beginn]"),"&lt;="&amp;CD$1,INDIRECT("Table1[Ende]"),"&gt;="&amp;CD$1,INDIRECT("Table1[Obergruppe ATC-Code]"),Tabelle3!$A84)</f>
        <v>2</v>
      </c>
      <c r="CE84">
        <f ca="1">COUNTIFS(INDIRECT("Table1[Beginn]"),"&lt;="&amp;CE$1,INDIRECT("Table1[Ende]"),"&gt;="&amp;CE$1,INDIRECT("Table1[Obergruppe ATC-Code]"),Tabelle3!$A84)</f>
        <v>1</v>
      </c>
      <c r="CF84">
        <f ca="1">COUNTIFS(INDIRECT("Table1[Beginn]"),"&lt;="&amp;CF$1,INDIRECT("Table1[Ende]"),"&gt;="&amp;CF$1,INDIRECT("Table1[Obergruppe ATC-Code]"),Tabelle3!$A84)</f>
        <v>1</v>
      </c>
      <c r="CG84">
        <f ca="1">COUNTIFS(INDIRECT("Table1[Beginn]"),"&lt;="&amp;CG$1,INDIRECT("Table1[Ende]"),"&gt;="&amp;CG$1,INDIRECT("Table1[Obergruppe ATC-Code]"),Tabelle3!$A84)</f>
        <v>0</v>
      </c>
      <c r="CH84">
        <f ca="1">COUNTIFS(INDIRECT("Table1[Beginn]"),"&lt;="&amp;CH$1,INDIRECT("Table1[Ende]"),"&gt;="&amp;CH$1,INDIRECT("Table1[Obergruppe ATC-Code]"),Tabelle3!$A84)</f>
        <v>0</v>
      </c>
      <c r="CI84">
        <f ca="1">COUNTIFS(INDIRECT("Table1[Beginn]"),"&lt;="&amp;CI$1,INDIRECT("Table1[Ende]"),"&gt;="&amp;CI$1,INDIRECT("Table1[Obergruppe ATC-Code]"),Tabelle3!$A84)</f>
        <v>0</v>
      </c>
      <c r="CJ84">
        <f ca="1">COUNTIFS(INDIRECT("Table1[Beginn]"),"&lt;="&amp;CJ$1,INDIRECT("Table1[Ende]"),"&gt;="&amp;CJ$1,INDIRECT("Table1[Obergruppe ATC-Code]"),Tabelle3!$A84)</f>
        <v>0</v>
      </c>
      <c r="CK84">
        <f ca="1">COUNTIFS(INDIRECT("Table1[Beginn]"),"&lt;="&amp;CK$1,INDIRECT("Table1[Ende]"),"&gt;="&amp;CK$1,INDIRECT("Table1[Obergruppe ATC-Code]"),Tabelle3!$A84)</f>
        <v>0</v>
      </c>
      <c r="CL84">
        <f ca="1">COUNTIFS(INDIRECT("Table1[Beginn]"),"&lt;="&amp;CL$1,INDIRECT("Table1[Ende]"),"&gt;="&amp;CL$1,INDIRECT("Table1[Obergruppe ATC-Code]"),Tabelle3!$A84)</f>
        <v>0</v>
      </c>
      <c r="CM84">
        <f ca="1">COUNTIFS(INDIRECT("Table1[Beginn]"),"&lt;="&amp;CM$1,INDIRECT("Table1[Ende]"),"&gt;="&amp;CM$1,INDIRECT("Table1[Obergruppe ATC-Code]"),Tabelle3!$A84)</f>
        <v>0</v>
      </c>
      <c r="CN84">
        <f ca="1">COUNTIFS(INDIRECT("Table1[Beginn]"),"&lt;="&amp;CN$1,INDIRECT("Table1[Ende]"),"&gt;="&amp;CN$1,INDIRECT("Table1[Obergruppe ATC-Code]"),Tabelle3!$A84)</f>
        <v>0</v>
      </c>
      <c r="CO84">
        <f ca="1">COUNTIFS(INDIRECT("Table1[Beginn]"),"&lt;="&amp;CO$1,INDIRECT("Table1[Ende]"),"&gt;="&amp;CO$1,INDIRECT("Table1[Obergruppe ATC-Code]"),Tabelle3!$A84)</f>
        <v>0</v>
      </c>
      <c r="CP84">
        <f ca="1">COUNTIFS(INDIRECT("Table1[Beginn]"),"&lt;="&amp;CP$1,INDIRECT("Table1[Ende]"),"&gt;="&amp;CP$1,INDIRECT("Table1[Obergruppe ATC-Code]"),Tabelle3!$A84)</f>
        <v>0</v>
      </c>
      <c r="CQ84">
        <f ca="1">COUNTIFS(INDIRECT("Table1[Beginn]"),"&lt;="&amp;CQ$1,INDIRECT("Table1[Ende]"),"&gt;="&amp;CQ$1,INDIRECT("Table1[Obergruppe ATC-Code]"),Tabelle3!$A84)</f>
        <v>0</v>
      </c>
      <c r="CR84">
        <f ca="1">COUNTIFS(INDIRECT("Table1[Beginn]"),"&lt;="&amp;CR$1,INDIRECT("Table1[Ende]"),"&gt;="&amp;CR$1,INDIRECT("Table1[Obergruppe ATC-Code]"),Tabelle3!$A84)</f>
        <v>0</v>
      </c>
      <c r="CS84">
        <f ca="1">COUNTIFS(INDIRECT("Table1[Beginn]"),"&lt;="&amp;CS$1,INDIRECT("Table1[Ende]"),"&gt;="&amp;CS$1,INDIRECT("Table1[Obergruppe ATC-Code]"),Tabelle3!$A84)</f>
        <v>0</v>
      </c>
      <c r="CT84">
        <f ca="1">COUNTIFS(INDIRECT("Table1[Beginn]"),"&lt;="&amp;CT$1,INDIRECT("Table1[Ende]"),"&gt;="&amp;CT$1,INDIRECT("Table1[Obergruppe ATC-Code]"),Tabelle3!$A84)</f>
        <v>0</v>
      </c>
    </row>
    <row r="85" spans="1:98" ht="18">
      <c r="A85" s="9" t="s">
        <v>6938</v>
      </c>
      <c r="B85" s="10" t="s">
        <v>6939</v>
      </c>
      <c r="C85">
        <f ca="1">COUNTIFS(INDIRECT("Table1[Beginn]"),"&lt;="&amp;C$1,INDIRECT("Table1[Ende]"),"&gt;="&amp;C$1,INDIRECT("Table1[Obergruppe ATC-Code]"),Tabelle3!$A85)</f>
        <v>0</v>
      </c>
      <c r="D85">
        <f ca="1">COUNTIFS(INDIRECT("Table1[Beginn]"),"&lt;="&amp;D$1,INDIRECT("Table1[Ende]"),"&gt;="&amp;D$1,INDIRECT("Table1[Obergruppe ATC-Code]"),Tabelle3!$A85)</f>
        <v>0</v>
      </c>
      <c r="E85">
        <f ca="1">COUNTIFS(INDIRECT("Table1[Beginn]"),"&lt;="&amp;E$1,INDIRECT("Table1[Ende]"),"&gt;="&amp;E$1,INDIRECT("Table1[Obergruppe ATC-Code]"),Tabelle3!$A85)</f>
        <v>0</v>
      </c>
      <c r="F85">
        <f ca="1">COUNTIFS(INDIRECT("Table1[Beginn]"),"&lt;="&amp;F$1,INDIRECT("Table1[Ende]"),"&gt;="&amp;F$1,INDIRECT("Table1[Obergruppe ATC-Code]"),Tabelle3!$A85)</f>
        <v>0</v>
      </c>
      <c r="G85">
        <f ca="1">COUNTIFS(INDIRECT("Table1[Beginn]"),"&lt;="&amp;G$1,INDIRECT("Table1[Ende]"),"&gt;="&amp;G$1,INDIRECT("Table1[Obergruppe ATC-Code]"),Tabelle3!$A85)</f>
        <v>0</v>
      </c>
      <c r="H85">
        <f ca="1">COUNTIFS(INDIRECT("Table1[Beginn]"),"&lt;="&amp;H$1,INDIRECT("Table1[Ende]"),"&gt;="&amp;H$1,INDIRECT("Table1[Obergruppe ATC-Code]"),Tabelle3!$A85)</f>
        <v>0</v>
      </c>
      <c r="I85">
        <f ca="1">COUNTIFS(INDIRECT("Table1[Beginn]"),"&lt;="&amp;I$1,INDIRECT("Table1[Ende]"),"&gt;="&amp;I$1,INDIRECT("Table1[Obergruppe ATC-Code]"),Tabelle3!$A85)</f>
        <v>0</v>
      </c>
      <c r="J85">
        <f ca="1">COUNTIFS(INDIRECT("Table1[Beginn]"),"&lt;="&amp;J$1,INDIRECT("Table1[Ende]"),"&gt;="&amp;J$1,INDIRECT("Table1[Obergruppe ATC-Code]"),Tabelle3!$A85)</f>
        <v>0</v>
      </c>
      <c r="K85">
        <f ca="1">COUNTIFS(INDIRECT("Table1[Beginn]"),"&lt;="&amp;K$1,INDIRECT("Table1[Ende]"),"&gt;="&amp;K$1,INDIRECT("Table1[Obergruppe ATC-Code]"),Tabelle3!$A85)</f>
        <v>0</v>
      </c>
      <c r="L85">
        <f ca="1">COUNTIFS(INDIRECT("Table1[Beginn]"),"&lt;="&amp;L$1,INDIRECT("Table1[Ende]"),"&gt;="&amp;L$1,INDIRECT("Table1[Obergruppe ATC-Code]"),Tabelle3!$A85)</f>
        <v>0</v>
      </c>
      <c r="M85">
        <f ca="1">COUNTIFS(INDIRECT("Table1[Beginn]"),"&lt;="&amp;M$1,INDIRECT("Table1[Ende]"),"&gt;="&amp;M$1,INDIRECT("Table1[Obergruppe ATC-Code]"),Tabelle3!$A85)</f>
        <v>0</v>
      </c>
      <c r="N85">
        <f ca="1">COUNTIFS(INDIRECT("Table1[Beginn]"),"&lt;="&amp;N$1,INDIRECT("Table1[Ende]"),"&gt;="&amp;N$1,INDIRECT("Table1[Obergruppe ATC-Code]"),Tabelle3!$A85)</f>
        <v>0</v>
      </c>
      <c r="O85">
        <f ca="1">COUNTIFS(INDIRECT("Table1[Beginn]"),"&lt;="&amp;O$1,INDIRECT("Table1[Ende]"),"&gt;="&amp;O$1,INDIRECT("Table1[Obergruppe ATC-Code]"),Tabelle3!$A85)</f>
        <v>0</v>
      </c>
      <c r="P85">
        <f ca="1">COUNTIFS(INDIRECT("Table1[Beginn]"),"&lt;="&amp;P$1,INDIRECT("Table1[Ende]"),"&gt;="&amp;P$1,INDIRECT("Table1[Obergruppe ATC-Code]"),Tabelle3!$A85)</f>
        <v>0</v>
      </c>
      <c r="Q85">
        <f ca="1">COUNTIFS(INDIRECT("Table1[Beginn]"),"&lt;="&amp;Q$1,INDIRECT("Table1[Ende]"),"&gt;="&amp;Q$1,INDIRECT("Table1[Obergruppe ATC-Code]"),Tabelle3!$A85)</f>
        <v>0</v>
      </c>
      <c r="R85">
        <f ca="1">COUNTIFS(INDIRECT("Table1[Beginn]"),"&lt;="&amp;R$1,INDIRECT("Table1[Ende]"),"&gt;="&amp;R$1,INDIRECT("Table1[Obergruppe ATC-Code]"),Tabelle3!$A85)</f>
        <v>0</v>
      </c>
      <c r="S85">
        <f ca="1">COUNTIFS(INDIRECT("Table1[Beginn]"),"&lt;="&amp;S$1,INDIRECT("Table1[Ende]"),"&gt;="&amp;S$1,INDIRECT("Table1[Obergruppe ATC-Code]"),Tabelle3!$A85)</f>
        <v>0</v>
      </c>
      <c r="T85">
        <f ca="1">COUNTIFS(INDIRECT("Table1[Beginn]"),"&lt;="&amp;T$1,INDIRECT("Table1[Ende]"),"&gt;="&amp;T$1,INDIRECT("Table1[Obergruppe ATC-Code]"),Tabelle3!$A85)</f>
        <v>0</v>
      </c>
      <c r="U85">
        <f ca="1">COUNTIFS(INDIRECT("Table1[Beginn]"),"&lt;="&amp;U$1,INDIRECT("Table1[Ende]"),"&gt;="&amp;U$1,INDIRECT("Table1[Obergruppe ATC-Code]"),Tabelle3!$A85)</f>
        <v>0</v>
      </c>
      <c r="V85">
        <f ca="1">COUNTIFS(INDIRECT("Table1[Beginn]"),"&lt;="&amp;V$1,INDIRECT("Table1[Ende]"),"&gt;="&amp;V$1,INDIRECT("Table1[Obergruppe ATC-Code]"),Tabelle3!$A85)</f>
        <v>0</v>
      </c>
      <c r="W85">
        <f ca="1">COUNTIFS(INDIRECT("Table1[Beginn]"),"&lt;="&amp;W$1,INDIRECT("Table1[Ende]"),"&gt;="&amp;W$1,INDIRECT("Table1[Obergruppe ATC-Code]"),Tabelle3!$A85)</f>
        <v>0</v>
      </c>
      <c r="X85">
        <f ca="1">COUNTIFS(INDIRECT("Table1[Beginn]"),"&lt;="&amp;X$1,INDIRECT("Table1[Ende]"),"&gt;="&amp;X$1,INDIRECT("Table1[Obergruppe ATC-Code]"),Tabelle3!$A85)</f>
        <v>0</v>
      </c>
      <c r="Y85">
        <f ca="1">COUNTIFS(INDIRECT("Table1[Beginn]"),"&lt;="&amp;Y$1,INDIRECT("Table1[Ende]"),"&gt;="&amp;Y$1,INDIRECT("Table1[Obergruppe ATC-Code]"),Tabelle3!$A85)</f>
        <v>0</v>
      </c>
      <c r="Z85">
        <f ca="1">COUNTIFS(INDIRECT("Table1[Beginn]"),"&lt;="&amp;Z$1,INDIRECT("Table1[Ende]"),"&gt;="&amp;Z$1,INDIRECT("Table1[Obergruppe ATC-Code]"),Tabelle3!$A85)</f>
        <v>0</v>
      </c>
      <c r="AA85">
        <f ca="1">COUNTIFS(INDIRECT("Table1[Beginn]"),"&lt;="&amp;AA$1,INDIRECT("Table1[Ende]"),"&gt;="&amp;AA$1,INDIRECT("Table1[Obergruppe ATC-Code]"),Tabelle3!$A85)</f>
        <v>0</v>
      </c>
      <c r="AB85">
        <f ca="1">COUNTIFS(INDIRECT("Table1[Beginn]"),"&lt;="&amp;AB$1,INDIRECT("Table1[Ende]"),"&gt;="&amp;AB$1,INDIRECT("Table1[Obergruppe ATC-Code]"),Tabelle3!$A85)</f>
        <v>0</v>
      </c>
      <c r="AC85">
        <f ca="1">COUNTIFS(INDIRECT("Table1[Beginn]"),"&lt;="&amp;AC$1,INDIRECT("Table1[Ende]"),"&gt;="&amp;AC$1,INDIRECT("Table1[Obergruppe ATC-Code]"),Tabelle3!$A85)</f>
        <v>0</v>
      </c>
      <c r="AD85">
        <f ca="1">COUNTIFS(INDIRECT("Table1[Beginn]"),"&lt;="&amp;AD$1,INDIRECT("Table1[Ende]"),"&gt;="&amp;AD$1,INDIRECT("Table1[Obergruppe ATC-Code]"),Tabelle3!$A85)</f>
        <v>0</v>
      </c>
      <c r="AE85">
        <f ca="1">COUNTIFS(INDIRECT("Table1[Beginn]"),"&lt;="&amp;AE$1,INDIRECT("Table1[Ende]"),"&gt;="&amp;AE$1,INDIRECT("Table1[Obergruppe ATC-Code]"),Tabelle3!$A85)</f>
        <v>0</v>
      </c>
      <c r="AF85">
        <f ca="1">COUNTIFS(INDIRECT("Table1[Beginn]"),"&lt;="&amp;AF$1,INDIRECT("Table1[Ende]"),"&gt;="&amp;AF$1,INDIRECT("Table1[Obergruppe ATC-Code]"),Tabelle3!$A85)</f>
        <v>0</v>
      </c>
      <c r="AG85">
        <f ca="1">COUNTIFS(INDIRECT("Table1[Beginn]"),"&lt;="&amp;AG$1,INDIRECT("Table1[Ende]"),"&gt;="&amp;AG$1,INDIRECT("Table1[Obergruppe ATC-Code]"),Tabelle3!$A85)</f>
        <v>0</v>
      </c>
      <c r="AH85">
        <f ca="1">COUNTIFS(INDIRECT("Table1[Beginn]"),"&lt;="&amp;AH$1,INDIRECT("Table1[Ende]"),"&gt;="&amp;AH$1,INDIRECT("Table1[Obergruppe ATC-Code]"),Tabelle3!$A85)</f>
        <v>0</v>
      </c>
      <c r="AI85">
        <f ca="1">COUNTIFS(INDIRECT("Table1[Beginn]"),"&lt;="&amp;AI$1,INDIRECT("Table1[Ende]"),"&gt;="&amp;AI$1,INDIRECT("Table1[Obergruppe ATC-Code]"),Tabelle3!$A85)</f>
        <v>0</v>
      </c>
      <c r="AJ85">
        <f ca="1">COUNTIFS(INDIRECT("Table1[Beginn]"),"&lt;="&amp;AJ$1,INDIRECT("Table1[Ende]"),"&gt;="&amp;AJ$1,INDIRECT("Table1[Obergruppe ATC-Code]"),Tabelle3!$A85)</f>
        <v>0</v>
      </c>
      <c r="AK85">
        <f ca="1">COUNTIFS(INDIRECT("Table1[Beginn]"),"&lt;="&amp;AK$1,INDIRECT("Table1[Ende]"),"&gt;="&amp;AK$1,INDIRECT("Table1[Obergruppe ATC-Code]"),Tabelle3!$A85)</f>
        <v>0</v>
      </c>
      <c r="AL85">
        <f ca="1">COUNTIFS(INDIRECT("Table1[Beginn]"),"&lt;="&amp;AL$1,INDIRECT("Table1[Ende]"),"&gt;="&amp;AL$1,INDIRECT("Table1[Obergruppe ATC-Code]"),Tabelle3!$A85)</f>
        <v>0</v>
      </c>
      <c r="AM85">
        <f ca="1">COUNTIFS(INDIRECT("Table1[Beginn]"),"&lt;="&amp;AM$1,INDIRECT("Table1[Ende]"),"&gt;="&amp;AM$1,INDIRECT("Table1[Obergruppe ATC-Code]"),Tabelle3!$A85)</f>
        <v>0</v>
      </c>
      <c r="AN85">
        <f ca="1">COUNTIFS(INDIRECT("Table1[Beginn]"),"&lt;="&amp;AN$1,INDIRECT("Table1[Ende]"),"&gt;="&amp;AN$1,INDIRECT("Table1[Obergruppe ATC-Code]"),Tabelle3!$A85)</f>
        <v>0</v>
      </c>
      <c r="AO85">
        <f ca="1">COUNTIFS(INDIRECT("Table1[Beginn]"),"&lt;="&amp;AO$1,INDIRECT("Table1[Ende]"),"&gt;="&amp;AO$1,INDIRECT("Table1[Obergruppe ATC-Code]"),Tabelle3!$A85)</f>
        <v>0</v>
      </c>
      <c r="AP85">
        <f ca="1">COUNTIFS(INDIRECT("Table1[Beginn]"),"&lt;="&amp;AP$1,INDIRECT("Table1[Ende]"),"&gt;="&amp;AP$1,INDIRECT("Table1[Obergruppe ATC-Code]"),Tabelle3!$A85)</f>
        <v>0</v>
      </c>
      <c r="AQ85">
        <f ca="1">COUNTIFS(INDIRECT("Table1[Beginn]"),"&lt;="&amp;AQ$1,INDIRECT("Table1[Ende]"),"&gt;="&amp;AQ$1,INDIRECT("Table1[Obergruppe ATC-Code]"),Tabelle3!$A85)</f>
        <v>0</v>
      </c>
      <c r="AR85">
        <f ca="1">COUNTIFS(INDIRECT("Table1[Beginn]"),"&lt;="&amp;AR$1,INDIRECT("Table1[Ende]"),"&gt;="&amp;AR$1,INDIRECT("Table1[Obergruppe ATC-Code]"),Tabelle3!$A85)</f>
        <v>0</v>
      </c>
      <c r="AS85">
        <f ca="1">COUNTIFS(INDIRECT("Table1[Beginn]"),"&lt;="&amp;AS$1,INDIRECT("Table1[Ende]"),"&gt;="&amp;AS$1,INDIRECT("Table1[Obergruppe ATC-Code]"),Tabelle3!$A85)</f>
        <v>0</v>
      </c>
      <c r="AT85">
        <f ca="1">COUNTIFS(INDIRECT("Table1[Beginn]"),"&lt;="&amp;AT$1,INDIRECT("Table1[Ende]"),"&gt;="&amp;AT$1,INDIRECT("Table1[Obergruppe ATC-Code]"),Tabelle3!$A85)</f>
        <v>0</v>
      </c>
      <c r="AU85">
        <f ca="1">COUNTIFS(INDIRECT("Table1[Beginn]"),"&lt;="&amp;AU$1,INDIRECT("Table1[Ende]"),"&gt;="&amp;AU$1,INDIRECT("Table1[Obergruppe ATC-Code]"),Tabelle3!$A85)</f>
        <v>0</v>
      </c>
      <c r="AV85">
        <f ca="1">COUNTIFS(INDIRECT("Table1[Beginn]"),"&lt;="&amp;AV$1,INDIRECT("Table1[Ende]"),"&gt;="&amp;AV$1,INDIRECT("Table1[Obergruppe ATC-Code]"),Tabelle3!$A85)</f>
        <v>0</v>
      </c>
      <c r="AW85">
        <f ca="1">COUNTIFS(INDIRECT("Table1[Beginn]"),"&lt;="&amp;AW$1,INDIRECT("Table1[Ende]"),"&gt;="&amp;AW$1,INDIRECT("Table1[Obergruppe ATC-Code]"),Tabelle3!$A85)</f>
        <v>0</v>
      </c>
      <c r="AX85">
        <f ca="1">COUNTIFS(INDIRECT("Table1[Beginn]"),"&lt;="&amp;AX$1,INDIRECT("Table1[Ende]"),"&gt;="&amp;AX$1,INDIRECT("Table1[Obergruppe ATC-Code]"),Tabelle3!$A85)</f>
        <v>0</v>
      </c>
      <c r="AY85">
        <f ca="1">COUNTIFS(INDIRECT("Table1[Beginn]"),"&lt;="&amp;AY$1,INDIRECT("Table1[Ende]"),"&gt;="&amp;AY$1,INDIRECT("Table1[Obergruppe ATC-Code]"),Tabelle3!$A85)</f>
        <v>0</v>
      </c>
      <c r="AZ85">
        <f ca="1">COUNTIFS(INDIRECT("Table1[Beginn]"),"&lt;="&amp;AZ$1,INDIRECT("Table1[Ende]"),"&gt;="&amp;AZ$1,INDIRECT("Table1[Obergruppe ATC-Code]"),Tabelle3!$A85)</f>
        <v>0</v>
      </c>
      <c r="BA85">
        <f ca="1">COUNTIFS(INDIRECT("Table1[Beginn]"),"&lt;="&amp;BA$1,INDIRECT("Table1[Ende]"),"&gt;="&amp;BA$1,INDIRECT("Table1[Obergruppe ATC-Code]"),Tabelle3!$A85)</f>
        <v>0</v>
      </c>
      <c r="BB85">
        <f ca="1">COUNTIFS(INDIRECT("Table1[Beginn]"),"&lt;="&amp;BB$1,INDIRECT("Table1[Ende]"),"&gt;="&amp;BB$1,INDIRECT("Table1[Obergruppe ATC-Code]"),Tabelle3!$A85)</f>
        <v>0</v>
      </c>
      <c r="BC85">
        <f ca="1">COUNTIFS(INDIRECT("Table1[Beginn]"),"&lt;="&amp;BC$1,INDIRECT("Table1[Ende]"),"&gt;="&amp;BC$1,INDIRECT("Table1[Obergruppe ATC-Code]"),Tabelle3!$A85)</f>
        <v>0</v>
      </c>
      <c r="BD85">
        <f ca="1">COUNTIFS(INDIRECT("Table1[Beginn]"),"&lt;="&amp;BD$1,INDIRECT("Table1[Ende]"),"&gt;="&amp;BD$1,INDIRECT("Table1[Obergruppe ATC-Code]"),Tabelle3!$A85)</f>
        <v>0</v>
      </c>
      <c r="BE85">
        <f ca="1">COUNTIFS(INDIRECT("Table1[Beginn]"),"&lt;="&amp;BE$1,INDIRECT("Table1[Ende]"),"&gt;="&amp;BE$1,INDIRECT("Table1[Obergruppe ATC-Code]"),Tabelle3!$A85)</f>
        <v>0</v>
      </c>
      <c r="BF85">
        <f ca="1">COUNTIFS(INDIRECT("Table1[Beginn]"),"&lt;="&amp;BF$1,INDIRECT("Table1[Ende]"),"&gt;="&amp;BF$1,INDIRECT("Table1[Obergruppe ATC-Code]"),Tabelle3!$A85)</f>
        <v>0</v>
      </c>
      <c r="BG85">
        <f ca="1">COUNTIFS(INDIRECT("Table1[Beginn]"),"&lt;="&amp;BG$1,INDIRECT("Table1[Ende]"),"&gt;="&amp;BG$1,INDIRECT("Table1[Obergruppe ATC-Code]"),Tabelle3!$A85)</f>
        <v>0</v>
      </c>
      <c r="BH85">
        <f ca="1">COUNTIFS(INDIRECT("Table1[Beginn]"),"&lt;="&amp;BH$1,INDIRECT("Table1[Ende]"),"&gt;="&amp;BH$1,INDIRECT("Table1[Obergruppe ATC-Code]"),Tabelle3!$A85)</f>
        <v>0</v>
      </c>
      <c r="BI85">
        <f ca="1">COUNTIFS(INDIRECT("Table1[Beginn]"),"&lt;="&amp;BI$1,INDIRECT("Table1[Ende]"),"&gt;="&amp;BI$1,INDIRECT("Table1[Obergruppe ATC-Code]"),Tabelle3!$A85)</f>
        <v>0</v>
      </c>
      <c r="BJ85">
        <f ca="1">COUNTIFS(INDIRECT("Table1[Beginn]"),"&lt;="&amp;BJ$1,INDIRECT("Table1[Ende]"),"&gt;="&amp;BJ$1,INDIRECT("Table1[Obergruppe ATC-Code]"),Tabelle3!$A85)</f>
        <v>0</v>
      </c>
      <c r="BK85">
        <f ca="1">COUNTIFS(INDIRECT("Table1[Beginn]"),"&lt;="&amp;BK$1,INDIRECT("Table1[Ende]"),"&gt;="&amp;BK$1,INDIRECT("Table1[Obergruppe ATC-Code]"),Tabelle3!$A85)</f>
        <v>0</v>
      </c>
      <c r="BL85">
        <f ca="1">COUNTIFS(INDIRECT("Table1[Beginn]"),"&lt;="&amp;BL$1,INDIRECT("Table1[Ende]"),"&gt;="&amp;BL$1,INDIRECT("Table1[Obergruppe ATC-Code]"),Tabelle3!$A85)</f>
        <v>0</v>
      </c>
      <c r="BM85">
        <f ca="1">COUNTIFS(INDIRECT("Table1[Beginn]"),"&lt;="&amp;BM$1,INDIRECT("Table1[Ende]"),"&gt;="&amp;BM$1,INDIRECT("Table1[Obergruppe ATC-Code]"),Tabelle3!$A85)</f>
        <v>0</v>
      </c>
      <c r="BN85">
        <f ca="1">COUNTIFS(INDIRECT("Table1[Beginn]"),"&lt;="&amp;BN$1,INDIRECT("Table1[Ende]"),"&gt;="&amp;BN$1,INDIRECT("Table1[Obergruppe ATC-Code]"),Tabelle3!$A85)</f>
        <v>0</v>
      </c>
      <c r="BO85">
        <f ca="1">COUNTIFS(INDIRECT("Table1[Beginn]"),"&lt;="&amp;BO$1,INDIRECT("Table1[Ende]"),"&gt;="&amp;BO$1,INDIRECT("Table1[Obergruppe ATC-Code]"),Tabelle3!$A85)</f>
        <v>0</v>
      </c>
      <c r="BP85">
        <f ca="1">COUNTIFS(INDIRECT("Table1[Beginn]"),"&lt;="&amp;BP$1,INDIRECT("Table1[Ende]"),"&gt;="&amp;BP$1,INDIRECT("Table1[Obergruppe ATC-Code]"),Tabelle3!$A85)</f>
        <v>0</v>
      </c>
      <c r="BQ85">
        <f ca="1">COUNTIFS(INDIRECT("Table1[Beginn]"),"&lt;="&amp;BQ$1,INDIRECT("Table1[Ende]"),"&gt;="&amp;BQ$1,INDIRECT("Table1[Obergruppe ATC-Code]"),Tabelle3!$A85)</f>
        <v>0</v>
      </c>
      <c r="BR85">
        <f ca="1">COUNTIFS(INDIRECT("Table1[Beginn]"),"&lt;="&amp;BR$1,INDIRECT("Table1[Ende]"),"&gt;="&amp;BR$1,INDIRECT("Table1[Obergruppe ATC-Code]"),Tabelle3!$A85)</f>
        <v>0</v>
      </c>
      <c r="BS85">
        <f ca="1">COUNTIFS(INDIRECT("Table1[Beginn]"),"&lt;="&amp;BS$1,INDIRECT("Table1[Ende]"),"&gt;="&amp;BS$1,INDIRECT("Table1[Obergruppe ATC-Code]"),Tabelle3!$A85)</f>
        <v>0</v>
      </c>
      <c r="BT85">
        <f ca="1">COUNTIFS(INDIRECT("Table1[Beginn]"),"&lt;="&amp;BT$1,INDIRECT("Table1[Ende]"),"&gt;="&amp;BT$1,INDIRECT("Table1[Obergruppe ATC-Code]"),Tabelle3!$A85)</f>
        <v>0</v>
      </c>
      <c r="BU85">
        <f ca="1">COUNTIFS(INDIRECT("Table1[Beginn]"),"&lt;="&amp;BU$1,INDIRECT("Table1[Ende]"),"&gt;="&amp;BU$1,INDIRECT("Table1[Obergruppe ATC-Code]"),Tabelle3!$A85)</f>
        <v>0</v>
      </c>
      <c r="BV85">
        <f ca="1">COUNTIFS(INDIRECT("Table1[Beginn]"),"&lt;="&amp;BV$1,INDIRECT("Table1[Ende]"),"&gt;="&amp;BV$1,INDIRECT("Table1[Obergruppe ATC-Code]"),Tabelle3!$A85)</f>
        <v>0</v>
      </c>
      <c r="BW85">
        <f ca="1">COUNTIFS(INDIRECT("Table1[Beginn]"),"&lt;="&amp;BW$1,INDIRECT("Table1[Ende]"),"&gt;="&amp;BW$1,INDIRECT("Table1[Obergruppe ATC-Code]"),Tabelle3!$A85)</f>
        <v>0</v>
      </c>
      <c r="BX85">
        <f ca="1">COUNTIFS(INDIRECT("Table1[Beginn]"),"&lt;="&amp;BX$1,INDIRECT("Table1[Ende]"),"&gt;="&amp;BX$1,INDIRECT("Table1[Obergruppe ATC-Code]"),Tabelle3!$A85)</f>
        <v>0</v>
      </c>
      <c r="BY85">
        <f ca="1">COUNTIFS(INDIRECT("Table1[Beginn]"),"&lt;="&amp;BY$1,INDIRECT("Table1[Ende]"),"&gt;="&amp;BY$1,INDIRECT("Table1[Obergruppe ATC-Code]"),Tabelle3!$A85)</f>
        <v>0</v>
      </c>
      <c r="BZ85">
        <f ca="1">COUNTIFS(INDIRECT("Table1[Beginn]"),"&lt;="&amp;BZ$1,INDIRECT("Table1[Ende]"),"&gt;="&amp;BZ$1,INDIRECT("Table1[Obergruppe ATC-Code]"),Tabelle3!$A85)</f>
        <v>0</v>
      </c>
      <c r="CA85">
        <f ca="1">COUNTIFS(INDIRECT("Table1[Beginn]"),"&lt;="&amp;CA$1,INDIRECT("Table1[Ende]"),"&gt;="&amp;CA$1,INDIRECT("Table1[Obergruppe ATC-Code]"),Tabelle3!$A85)</f>
        <v>0</v>
      </c>
      <c r="CB85">
        <f ca="1">COUNTIFS(INDIRECT("Table1[Beginn]"),"&lt;="&amp;CB$1,INDIRECT("Table1[Ende]"),"&gt;="&amp;CB$1,INDIRECT("Table1[Obergruppe ATC-Code]"),Tabelle3!$A85)</f>
        <v>0</v>
      </c>
      <c r="CC85">
        <f ca="1">COUNTIFS(INDIRECT("Table1[Beginn]"),"&lt;="&amp;CC$1,INDIRECT("Table1[Ende]"),"&gt;="&amp;CC$1,INDIRECT("Table1[Obergruppe ATC-Code]"),Tabelle3!$A85)</f>
        <v>0</v>
      </c>
      <c r="CD85">
        <f ca="1">COUNTIFS(INDIRECT("Table1[Beginn]"),"&lt;="&amp;CD$1,INDIRECT("Table1[Ende]"),"&gt;="&amp;CD$1,INDIRECT("Table1[Obergruppe ATC-Code]"),Tabelle3!$A85)</f>
        <v>0</v>
      </c>
      <c r="CE85">
        <f ca="1">COUNTIFS(INDIRECT("Table1[Beginn]"),"&lt;="&amp;CE$1,INDIRECT("Table1[Ende]"),"&gt;="&amp;CE$1,INDIRECT("Table1[Obergruppe ATC-Code]"),Tabelle3!$A85)</f>
        <v>0</v>
      </c>
      <c r="CF85">
        <f ca="1">COUNTIFS(INDIRECT("Table1[Beginn]"),"&lt;="&amp;CF$1,INDIRECT("Table1[Ende]"),"&gt;="&amp;CF$1,INDIRECT("Table1[Obergruppe ATC-Code]"),Tabelle3!$A85)</f>
        <v>0</v>
      </c>
      <c r="CG85">
        <f ca="1">COUNTIFS(INDIRECT("Table1[Beginn]"),"&lt;="&amp;CG$1,INDIRECT("Table1[Ende]"),"&gt;="&amp;CG$1,INDIRECT("Table1[Obergruppe ATC-Code]"),Tabelle3!$A85)</f>
        <v>0</v>
      </c>
      <c r="CH85">
        <f ca="1">COUNTIFS(INDIRECT("Table1[Beginn]"),"&lt;="&amp;CH$1,INDIRECT("Table1[Ende]"),"&gt;="&amp;CH$1,INDIRECT("Table1[Obergruppe ATC-Code]"),Tabelle3!$A85)</f>
        <v>0</v>
      </c>
      <c r="CI85">
        <f ca="1">COUNTIFS(INDIRECT("Table1[Beginn]"),"&lt;="&amp;CI$1,INDIRECT("Table1[Ende]"),"&gt;="&amp;CI$1,INDIRECT("Table1[Obergruppe ATC-Code]"),Tabelle3!$A85)</f>
        <v>0</v>
      </c>
      <c r="CJ85">
        <f ca="1">COUNTIFS(INDIRECT("Table1[Beginn]"),"&lt;="&amp;CJ$1,INDIRECT("Table1[Ende]"),"&gt;="&amp;CJ$1,INDIRECT("Table1[Obergruppe ATC-Code]"),Tabelle3!$A85)</f>
        <v>0</v>
      </c>
      <c r="CK85">
        <f ca="1">COUNTIFS(INDIRECT("Table1[Beginn]"),"&lt;="&amp;CK$1,INDIRECT("Table1[Ende]"),"&gt;="&amp;CK$1,INDIRECT("Table1[Obergruppe ATC-Code]"),Tabelle3!$A85)</f>
        <v>0</v>
      </c>
      <c r="CL85">
        <f ca="1">COUNTIFS(INDIRECT("Table1[Beginn]"),"&lt;="&amp;CL$1,INDIRECT("Table1[Ende]"),"&gt;="&amp;CL$1,INDIRECT("Table1[Obergruppe ATC-Code]"),Tabelle3!$A85)</f>
        <v>0</v>
      </c>
      <c r="CM85">
        <f ca="1">COUNTIFS(INDIRECT("Table1[Beginn]"),"&lt;="&amp;CM$1,INDIRECT("Table1[Ende]"),"&gt;="&amp;CM$1,INDIRECT("Table1[Obergruppe ATC-Code]"),Tabelle3!$A85)</f>
        <v>0</v>
      </c>
      <c r="CN85">
        <f ca="1">COUNTIFS(INDIRECT("Table1[Beginn]"),"&lt;="&amp;CN$1,INDIRECT("Table1[Ende]"),"&gt;="&amp;CN$1,INDIRECT("Table1[Obergruppe ATC-Code]"),Tabelle3!$A85)</f>
        <v>0</v>
      </c>
      <c r="CO85">
        <f ca="1">COUNTIFS(INDIRECT("Table1[Beginn]"),"&lt;="&amp;CO$1,INDIRECT("Table1[Ende]"),"&gt;="&amp;CO$1,INDIRECT("Table1[Obergruppe ATC-Code]"),Tabelle3!$A85)</f>
        <v>0</v>
      </c>
      <c r="CP85">
        <f ca="1">COUNTIFS(INDIRECT("Table1[Beginn]"),"&lt;="&amp;CP$1,INDIRECT("Table1[Ende]"),"&gt;="&amp;CP$1,INDIRECT("Table1[Obergruppe ATC-Code]"),Tabelle3!$A85)</f>
        <v>0</v>
      </c>
      <c r="CQ85">
        <f ca="1">COUNTIFS(INDIRECT("Table1[Beginn]"),"&lt;="&amp;CQ$1,INDIRECT("Table1[Ende]"),"&gt;="&amp;CQ$1,INDIRECT("Table1[Obergruppe ATC-Code]"),Tabelle3!$A85)</f>
        <v>0</v>
      </c>
      <c r="CR85">
        <f ca="1">COUNTIFS(INDIRECT("Table1[Beginn]"),"&lt;="&amp;CR$1,INDIRECT("Table1[Ende]"),"&gt;="&amp;CR$1,INDIRECT("Table1[Obergruppe ATC-Code]"),Tabelle3!$A85)</f>
        <v>0</v>
      </c>
      <c r="CS85">
        <f ca="1">COUNTIFS(INDIRECT("Table1[Beginn]"),"&lt;="&amp;CS$1,INDIRECT("Table1[Ende]"),"&gt;="&amp;CS$1,INDIRECT("Table1[Obergruppe ATC-Code]"),Tabelle3!$A85)</f>
        <v>0</v>
      </c>
      <c r="CT85">
        <f ca="1">COUNTIFS(INDIRECT("Table1[Beginn]"),"&lt;="&amp;CT$1,INDIRECT("Table1[Ende]"),"&gt;="&amp;CT$1,INDIRECT("Table1[Obergruppe ATC-Code]"),Tabelle3!$A85)</f>
        <v>0</v>
      </c>
    </row>
    <row r="86" spans="1:98" ht="18">
      <c r="A86" s="7" t="s">
        <v>6940</v>
      </c>
      <c r="B86" s="8" t="s">
        <v>6941</v>
      </c>
      <c r="C86">
        <f ca="1">COUNTIFS(INDIRECT("Table1[Beginn]"),"&lt;="&amp;C$1,INDIRECT("Table1[Ende]"),"&gt;="&amp;C$1,INDIRECT("Table1[Obergruppe ATC-Code]"),Tabelle3!$A86)</f>
        <v>0</v>
      </c>
      <c r="D86">
        <f ca="1">COUNTIFS(INDIRECT("Table1[Beginn]"),"&lt;="&amp;D$1,INDIRECT("Table1[Ende]"),"&gt;="&amp;D$1,INDIRECT("Table1[Obergruppe ATC-Code]"),Tabelle3!$A86)</f>
        <v>0</v>
      </c>
      <c r="E86">
        <f ca="1">COUNTIFS(INDIRECT("Table1[Beginn]"),"&lt;="&amp;E$1,INDIRECT("Table1[Ende]"),"&gt;="&amp;E$1,INDIRECT("Table1[Obergruppe ATC-Code]"),Tabelle3!$A86)</f>
        <v>0</v>
      </c>
      <c r="F86">
        <f ca="1">COUNTIFS(INDIRECT("Table1[Beginn]"),"&lt;="&amp;F$1,INDIRECT("Table1[Ende]"),"&gt;="&amp;F$1,INDIRECT("Table1[Obergruppe ATC-Code]"),Tabelle3!$A86)</f>
        <v>0</v>
      </c>
      <c r="G86">
        <f ca="1">COUNTIFS(INDIRECT("Table1[Beginn]"),"&lt;="&amp;G$1,INDIRECT("Table1[Ende]"),"&gt;="&amp;G$1,INDIRECT("Table1[Obergruppe ATC-Code]"),Tabelle3!$A86)</f>
        <v>0</v>
      </c>
      <c r="H86">
        <f ca="1">COUNTIFS(INDIRECT("Table1[Beginn]"),"&lt;="&amp;H$1,INDIRECT("Table1[Ende]"),"&gt;="&amp;H$1,INDIRECT("Table1[Obergruppe ATC-Code]"),Tabelle3!$A86)</f>
        <v>0</v>
      </c>
      <c r="I86">
        <f ca="1">COUNTIFS(INDIRECT("Table1[Beginn]"),"&lt;="&amp;I$1,INDIRECT("Table1[Ende]"),"&gt;="&amp;I$1,INDIRECT("Table1[Obergruppe ATC-Code]"),Tabelle3!$A86)</f>
        <v>0</v>
      </c>
      <c r="J86">
        <f ca="1">COUNTIFS(INDIRECT("Table1[Beginn]"),"&lt;="&amp;J$1,INDIRECT("Table1[Ende]"),"&gt;="&amp;J$1,INDIRECT("Table1[Obergruppe ATC-Code]"),Tabelle3!$A86)</f>
        <v>0</v>
      </c>
      <c r="K86">
        <f ca="1">COUNTIFS(INDIRECT("Table1[Beginn]"),"&lt;="&amp;K$1,INDIRECT("Table1[Ende]"),"&gt;="&amp;K$1,INDIRECT("Table1[Obergruppe ATC-Code]"),Tabelle3!$A86)</f>
        <v>0</v>
      </c>
      <c r="L86">
        <f ca="1">COUNTIFS(INDIRECT("Table1[Beginn]"),"&lt;="&amp;L$1,INDIRECT("Table1[Ende]"),"&gt;="&amp;L$1,INDIRECT("Table1[Obergruppe ATC-Code]"),Tabelle3!$A86)</f>
        <v>1</v>
      </c>
      <c r="M86">
        <f ca="1">COUNTIFS(INDIRECT("Table1[Beginn]"),"&lt;="&amp;M$1,INDIRECT("Table1[Ende]"),"&gt;="&amp;M$1,INDIRECT("Table1[Obergruppe ATC-Code]"),Tabelle3!$A86)</f>
        <v>1</v>
      </c>
      <c r="N86">
        <f ca="1">COUNTIFS(INDIRECT("Table1[Beginn]"),"&lt;="&amp;N$1,INDIRECT("Table1[Ende]"),"&gt;="&amp;N$1,INDIRECT("Table1[Obergruppe ATC-Code]"),Tabelle3!$A86)</f>
        <v>1</v>
      </c>
      <c r="O86">
        <f ca="1">COUNTIFS(INDIRECT("Table1[Beginn]"),"&lt;="&amp;O$1,INDIRECT("Table1[Ende]"),"&gt;="&amp;O$1,INDIRECT("Table1[Obergruppe ATC-Code]"),Tabelle3!$A86)</f>
        <v>1</v>
      </c>
      <c r="P86">
        <f ca="1">COUNTIFS(INDIRECT("Table1[Beginn]"),"&lt;="&amp;P$1,INDIRECT("Table1[Ende]"),"&gt;="&amp;P$1,INDIRECT("Table1[Obergruppe ATC-Code]"),Tabelle3!$A86)</f>
        <v>1</v>
      </c>
      <c r="Q86">
        <f ca="1">COUNTIFS(INDIRECT("Table1[Beginn]"),"&lt;="&amp;Q$1,INDIRECT("Table1[Ende]"),"&gt;="&amp;Q$1,INDIRECT("Table1[Obergruppe ATC-Code]"),Tabelle3!$A86)</f>
        <v>1</v>
      </c>
      <c r="R86">
        <f ca="1">COUNTIFS(INDIRECT("Table1[Beginn]"),"&lt;="&amp;R$1,INDIRECT("Table1[Ende]"),"&gt;="&amp;R$1,INDIRECT("Table1[Obergruppe ATC-Code]"),Tabelle3!$A86)</f>
        <v>1</v>
      </c>
      <c r="S86">
        <f ca="1">COUNTIFS(INDIRECT("Table1[Beginn]"),"&lt;="&amp;S$1,INDIRECT("Table1[Ende]"),"&gt;="&amp;S$1,INDIRECT("Table1[Obergruppe ATC-Code]"),Tabelle3!$A86)</f>
        <v>1</v>
      </c>
      <c r="T86">
        <f ca="1">COUNTIFS(INDIRECT("Table1[Beginn]"),"&lt;="&amp;T$1,INDIRECT("Table1[Ende]"),"&gt;="&amp;T$1,INDIRECT("Table1[Obergruppe ATC-Code]"),Tabelle3!$A86)</f>
        <v>1</v>
      </c>
      <c r="U86">
        <f ca="1">COUNTIFS(INDIRECT("Table1[Beginn]"),"&lt;="&amp;U$1,INDIRECT("Table1[Ende]"),"&gt;="&amp;U$1,INDIRECT("Table1[Obergruppe ATC-Code]"),Tabelle3!$A86)</f>
        <v>1</v>
      </c>
      <c r="V86">
        <f ca="1">COUNTIFS(INDIRECT("Table1[Beginn]"),"&lt;="&amp;V$1,INDIRECT("Table1[Ende]"),"&gt;="&amp;V$1,INDIRECT("Table1[Obergruppe ATC-Code]"),Tabelle3!$A86)</f>
        <v>1</v>
      </c>
      <c r="W86">
        <f ca="1">COUNTIFS(INDIRECT("Table1[Beginn]"),"&lt;="&amp;W$1,INDIRECT("Table1[Ende]"),"&gt;="&amp;W$1,INDIRECT("Table1[Obergruppe ATC-Code]"),Tabelle3!$A86)</f>
        <v>1</v>
      </c>
      <c r="X86">
        <f ca="1">COUNTIFS(INDIRECT("Table1[Beginn]"),"&lt;="&amp;X$1,INDIRECT("Table1[Ende]"),"&gt;="&amp;X$1,INDIRECT("Table1[Obergruppe ATC-Code]"),Tabelle3!$A86)</f>
        <v>1</v>
      </c>
      <c r="Y86">
        <f ca="1">COUNTIFS(INDIRECT("Table1[Beginn]"),"&lt;="&amp;Y$1,INDIRECT("Table1[Ende]"),"&gt;="&amp;Y$1,INDIRECT("Table1[Obergruppe ATC-Code]"),Tabelle3!$A86)</f>
        <v>2</v>
      </c>
      <c r="Z86">
        <f ca="1">COUNTIFS(INDIRECT("Table1[Beginn]"),"&lt;="&amp;Z$1,INDIRECT("Table1[Ende]"),"&gt;="&amp;Z$1,INDIRECT("Table1[Obergruppe ATC-Code]"),Tabelle3!$A86)</f>
        <v>2</v>
      </c>
      <c r="AA86">
        <f ca="1">COUNTIFS(INDIRECT("Table1[Beginn]"),"&lt;="&amp;AA$1,INDIRECT("Table1[Ende]"),"&gt;="&amp;AA$1,INDIRECT("Table1[Obergruppe ATC-Code]"),Tabelle3!$A86)</f>
        <v>1</v>
      </c>
      <c r="AB86">
        <f ca="1">COUNTIFS(INDIRECT("Table1[Beginn]"),"&lt;="&amp;AB$1,INDIRECT("Table1[Ende]"),"&gt;="&amp;AB$1,INDIRECT("Table1[Obergruppe ATC-Code]"),Tabelle3!$A86)</f>
        <v>2</v>
      </c>
      <c r="AC86">
        <f ca="1">COUNTIFS(INDIRECT("Table1[Beginn]"),"&lt;="&amp;AC$1,INDIRECT("Table1[Ende]"),"&gt;="&amp;AC$1,INDIRECT("Table1[Obergruppe ATC-Code]"),Tabelle3!$A86)</f>
        <v>2</v>
      </c>
      <c r="AD86">
        <f ca="1">COUNTIFS(INDIRECT("Table1[Beginn]"),"&lt;="&amp;AD$1,INDIRECT("Table1[Ende]"),"&gt;="&amp;AD$1,INDIRECT("Table1[Obergruppe ATC-Code]"),Tabelle3!$A86)</f>
        <v>2</v>
      </c>
      <c r="AE86">
        <f ca="1">COUNTIFS(INDIRECT("Table1[Beginn]"),"&lt;="&amp;AE$1,INDIRECT("Table1[Ende]"),"&gt;="&amp;AE$1,INDIRECT("Table1[Obergruppe ATC-Code]"),Tabelle3!$A86)</f>
        <v>1</v>
      </c>
      <c r="AF86">
        <f ca="1">COUNTIFS(INDIRECT("Table1[Beginn]"),"&lt;="&amp;AF$1,INDIRECT("Table1[Ende]"),"&gt;="&amp;AF$1,INDIRECT("Table1[Obergruppe ATC-Code]"),Tabelle3!$A86)</f>
        <v>2</v>
      </c>
      <c r="AG86">
        <f ca="1">COUNTIFS(INDIRECT("Table1[Beginn]"),"&lt;="&amp;AG$1,INDIRECT("Table1[Ende]"),"&gt;="&amp;AG$1,INDIRECT("Table1[Obergruppe ATC-Code]"),Tabelle3!$A86)</f>
        <v>2</v>
      </c>
      <c r="AH86">
        <f ca="1">COUNTIFS(INDIRECT("Table1[Beginn]"),"&lt;="&amp;AH$1,INDIRECT("Table1[Ende]"),"&gt;="&amp;AH$1,INDIRECT("Table1[Obergruppe ATC-Code]"),Tabelle3!$A86)</f>
        <v>2</v>
      </c>
      <c r="AI86">
        <f ca="1">COUNTIFS(INDIRECT("Table1[Beginn]"),"&lt;="&amp;AI$1,INDIRECT("Table1[Ende]"),"&gt;="&amp;AI$1,INDIRECT("Table1[Obergruppe ATC-Code]"),Tabelle3!$A86)</f>
        <v>2</v>
      </c>
      <c r="AJ86">
        <f ca="1">COUNTIFS(INDIRECT("Table1[Beginn]"),"&lt;="&amp;AJ$1,INDIRECT("Table1[Ende]"),"&gt;="&amp;AJ$1,INDIRECT("Table1[Obergruppe ATC-Code]"),Tabelle3!$A86)</f>
        <v>3</v>
      </c>
      <c r="AK86">
        <f ca="1">COUNTIFS(INDIRECT("Table1[Beginn]"),"&lt;="&amp;AK$1,INDIRECT("Table1[Ende]"),"&gt;="&amp;AK$1,INDIRECT("Table1[Obergruppe ATC-Code]"),Tabelle3!$A86)</f>
        <v>3</v>
      </c>
      <c r="AL86">
        <f ca="1">COUNTIFS(INDIRECT("Table1[Beginn]"),"&lt;="&amp;AL$1,INDIRECT("Table1[Ende]"),"&gt;="&amp;AL$1,INDIRECT("Table1[Obergruppe ATC-Code]"),Tabelle3!$A86)</f>
        <v>2</v>
      </c>
      <c r="AM86">
        <f ca="1">COUNTIFS(INDIRECT("Table1[Beginn]"),"&lt;="&amp;AM$1,INDIRECT("Table1[Ende]"),"&gt;="&amp;AM$1,INDIRECT("Table1[Obergruppe ATC-Code]"),Tabelle3!$A86)</f>
        <v>0</v>
      </c>
      <c r="AN86">
        <f ca="1">COUNTIFS(INDIRECT("Table1[Beginn]"),"&lt;="&amp;AN$1,INDIRECT("Table1[Ende]"),"&gt;="&amp;AN$1,INDIRECT("Table1[Obergruppe ATC-Code]"),Tabelle3!$A86)</f>
        <v>0</v>
      </c>
      <c r="AO86">
        <f ca="1">COUNTIFS(INDIRECT("Table1[Beginn]"),"&lt;="&amp;AO$1,INDIRECT("Table1[Ende]"),"&gt;="&amp;AO$1,INDIRECT("Table1[Obergruppe ATC-Code]"),Tabelle3!$A86)</f>
        <v>0</v>
      </c>
      <c r="AP86">
        <f ca="1">COUNTIFS(INDIRECT("Table1[Beginn]"),"&lt;="&amp;AP$1,INDIRECT("Table1[Ende]"),"&gt;="&amp;AP$1,INDIRECT("Table1[Obergruppe ATC-Code]"),Tabelle3!$A86)</f>
        <v>0</v>
      </c>
      <c r="AQ86">
        <f ca="1">COUNTIFS(INDIRECT("Table1[Beginn]"),"&lt;="&amp;AQ$1,INDIRECT("Table1[Ende]"),"&gt;="&amp;AQ$1,INDIRECT("Table1[Obergruppe ATC-Code]"),Tabelle3!$A86)</f>
        <v>0</v>
      </c>
      <c r="AR86">
        <f ca="1">COUNTIFS(INDIRECT("Table1[Beginn]"),"&lt;="&amp;AR$1,INDIRECT("Table1[Ende]"),"&gt;="&amp;AR$1,INDIRECT("Table1[Obergruppe ATC-Code]"),Tabelle3!$A86)</f>
        <v>0</v>
      </c>
      <c r="AS86">
        <f ca="1">COUNTIFS(INDIRECT("Table1[Beginn]"),"&lt;="&amp;AS$1,INDIRECT("Table1[Ende]"),"&gt;="&amp;AS$1,INDIRECT("Table1[Obergruppe ATC-Code]"),Tabelle3!$A86)</f>
        <v>1</v>
      </c>
      <c r="AT86">
        <f ca="1">COUNTIFS(INDIRECT("Table1[Beginn]"),"&lt;="&amp;AT$1,INDIRECT("Table1[Ende]"),"&gt;="&amp;AT$1,INDIRECT("Table1[Obergruppe ATC-Code]"),Tabelle3!$A86)</f>
        <v>2</v>
      </c>
      <c r="AU86">
        <f ca="1">COUNTIFS(INDIRECT("Table1[Beginn]"),"&lt;="&amp;AU$1,INDIRECT("Table1[Ende]"),"&gt;="&amp;AU$1,INDIRECT("Table1[Obergruppe ATC-Code]"),Tabelle3!$A86)</f>
        <v>2</v>
      </c>
      <c r="AV86">
        <f ca="1">COUNTIFS(INDIRECT("Table1[Beginn]"),"&lt;="&amp;AV$1,INDIRECT("Table1[Ende]"),"&gt;="&amp;AV$1,INDIRECT("Table1[Obergruppe ATC-Code]"),Tabelle3!$A86)</f>
        <v>2</v>
      </c>
      <c r="AW86">
        <f ca="1">COUNTIFS(INDIRECT("Table1[Beginn]"),"&lt;="&amp;AW$1,INDIRECT("Table1[Ende]"),"&gt;="&amp;AW$1,INDIRECT("Table1[Obergruppe ATC-Code]"),Tabelle3!$A86)</f>
        <v>2</v>
      </c>
      <c r="AX86">
        <f ca="1">COUNTIFS(INDIRECT("Table1[Beginn]"),"&lt;="&amp;AX$1,INDIRECT("Table1[Ende]"),"&gt;="&amp;AX$1,INDIRECT("Table1[Obergruppe ATC-Code]"),Tabelle3!$A86)</f>
        <v>2</v>
      </c>
      <c r="AY86">
        <f ca="1">COUNTIFS(INDIRECT("Table1[Beginn]"),"&lt;="&amp;AY$1,INDIRECT("Table1[Ende]"),"&gt;="&amp;AY$1,INDIRECT("Table1[Obergruppe ATC-Code]"),Tabelle3!$A86)</f>
        <v>3</v>
      </c>
      <c r="AZ86">
        <f ca="1">COUNTIFS(INDIRECT("Table1[Beginn]"),"&lt;="&amp;AZ$1,INDIRECT("Table1[Ende]"),"&gt;="&amp;AZ$1,INDIRECT("Table1[Obergruppe ATC-Code]"),Tabelle3!$A86)</f>
        <v>2</v>
      </c>
      <c r="BA86">
        <f ca="1">COUNTIFS(INDIRECT("Table1[Beginn]"),"&lt;="&amp;BA$1,INDIRECT("Table1[Ende]"),"&gt;="&amp;BA$1,INDIRECT("Table1[Obergruppe ATC-Code]"),Tabelle3!$A86)</f>
        <v>2</v>
      </c>
      <c r="BB86">
        <f ca="1">COUNTIFS(INDIRECT("Table1[Beginn]"),"&lt;="&amp;BB$1,INDIRECT("Table1[Ende]"),"&gt;="&amp;BB$1,INDIRECT("Table1[Obergruppe ATC-Code]"),Tabelle3!$A86)</f>
        <v>2</v>
      </c>
      <c r="BC86">
        <f ca="1">COUNTIFS(INDIRECT("Table1[Beginn]"),"&lt;="&amp;BC$1,INDIRECT("Table1[Ende]"),"&gt;="&amp;BC$1,INDIRECT("Table1[Obergruppe ATC-Code]"),Tabelle3!$A86)</f>
        <v>1</v>
      </c>
      <c r="BD86">
        <f ca="1">COUNTIFS(INDIRECT("Table1[Beginn]"),"&lt;="&amp;BD$1,INDIRECT("Table1[Ende]"),"&gt;="&amp;BD$1,INDIRECT("Table1[Obergruppe ATC-Code]"),Tabelle3!$A86)</f>
        <v>2</v>
      </c>
      <c r="BE86">
        <f ca="1">COUNTIFS(INDIRECT("Table1[Beginn]"),"&lt;="&amp;BE$1,INDIRECT("Table1[Ende]"),"&gt;="&amp;BE$1,INDIRECT("Table1[Obergruppe ATC-Code]"),Tabelle3!$A86)</f>
        <v>3</v>
      </c>
      <c r="BF86">
        <f ca="1">COUNTIFS(INDIRECT("Table1[Beginn]"),"&lt;="&amp;BF$1,INDIRECT("Table1[Ende]"),"&gt;="&amp;BF$1,INDIRECT("Table1[Obergruppe ATC-Code]"),Tabelle3!$A86)</f>
        <v>2</v>
      </c>
      <c r="BG86">
        <f ca="1">COUNTIFS(INDIRECT("Table1[Beginn]"),"&lt;="&amp;BG$1,INDIRECT("Table1[Ende]"),"&gt;="&amp;BG$1,INDIRECT("Table1[Obergruppe ATC-Code]"),Tabelle3!$A86)</f>
        <v>2</v>
      </c>
      <c r="BH86">
        <f ca="1">COUNTIFS(INDIRECT("Table1[Beginn]"),"&lt;="&amp;BH$1,INDIRECT("Table1[Ende]"),"&gt;="&amp;BH$1,INDIRECT("Table1[Obergruppe ATC-Code]"),Tabelle3!$A86)</f>
        <v>2</v>
      </c>
      <c r="BI86">
        <f ca="1">COUNTIFS(INDIRECT("Table1[Beginn]"),"&lt;="&amp;BI$1,INDIRECT("Table1[Ende]"),"&gt;="&amp;BI$1,INDIRECT("Table1[Obergruppe ATC-Code]"),Tabelle3!$A86)</f>
        <v>2</v>
      </c>
      <c r="BJ86">
        <f ca="1">COUNTIFS(INDIRECT("Table1[Beginn]"),"&lt;="&amp;BJ$1,INDIRECT("Table1[Ende]"),"&gt;="&amp;BJ$1,INDIRECT("Table1[Obergruppe ATC-Code]"),Tabelle3!$A86)</f>
        <v>2</v>
      </c>
      <c r="BK86">
        <f ca="1">COUNTIFS(INDIRECT("Table1[Beginn]"),"&lt;="&amp;BK$1,INDIRECT("Table1[Ende]"),"&gt;="&amp;BK$1,INDIRECT("Table1[Obergruppe ATC-Code]"),Tabelle3!$A86)</f>
        <v>2</v>
      </c>
      <c r="BL86">
        <f ca="1">COUNTIFS(INDIRECT("Table1[Beginn]"),"&lt;="&amp;BL$1,INDIRECT("Table1[Ende]"),"&gt;="&amp;BL$1,INDIRECT("Table1[Obergruppe ATC-Code]"),Tabelle3!$A86)</f>
        <v>2</v>
      </c>
      <c r="BM86">
        <f ca="1">COUNTIFS(INDIRECT("Table1[Beginn]"),"&lt;="&amp;BM$1,INDIRECT("Table1[Ende]"),"&gt;="&amp;BM$1,INDIRECT("Table1[Obergruppe ATC-Code]"),Tabelle3!$A86)</f>
        <v>3</v>
      </c>
      <c r="BN86">
        <f ca="1">COUNTIFS(INDIRECT("Table1[Beginn]"),"&lt;="&amp;BN$1,INDIRECT("Table1[Ende]"),"&gt;="&amp;BN$1,INDIRECT("Table1[Obergruppe ATC-Code]"),Tabelle3!$A86)</f>
        <v>5</v>
      </c>
      <c r="BO86">
        <f ca="1">COUNTIFS(INDIRECT("Table1[Beginn]"),"&lt;="&amp;BO$1,INDIRECT("Table1[Ende]"),"&gt;="&amp;BO$1,INDIRECT("Table1[Obergruppe ATC-Code]"),Tabelle3!$A86)</f>
        <v>8</v>
      </c>
      <c r="BP86">
        <f ca="1">COUNTIFS(INDIRECT("Table1[Beginn]"),"&lt;="&amp;BP$1,INDIRECT("Table1[Ende]"),"&gt;="&amp;BP$1,INDIRECT("Table1[Obergruppe ATC-Code]"),Tabelle3!$A86)</f>
        <v>4</v>
      </c>
      <c r="BQ86">
        <f ca="1">COUNTIFS(INDIRECT("Table1[Beginn]"),"&lt;="&amp;BQ$1,INDIRECT("Table1[Ende]"),"&gt;="&amp;BQ$1,INDIRECT("Table1[Obergruppe ATC-Code]"),Tabelle3!$A86)</f>
        <v>3</v>
      </c>
      <c r="BR86">
        <f ca="1">COUNTIFS(INDIRECT("Table1[Beginn]"),"&lt;="&amp;BR$1,INDIRECT("Table1[Ende]"),"&gt;="&amp;BR$1,INDIRECT("Table1[Obergruppe ATC-Code]"),Tabelle3!$A86)</f>
        <v>4</v>
      </c>
      <c r="BS86">
        <f ca="1">COUNTIFS(INDIRECT("Table1[Beginn]"),"&lt;="&amp;BS$1,INDIRECT("Table1[Ende]"),"&gt;="&amp;BS$1,INDIRECT("Table1[Obergruppe ATC-Code]"),Tabelle3!$A86)</f>
        <v>3</v>
      </c>
      <c r="BT86">
        <f ca="1">COUNTIFS(INDIRECT("Table1[Beginn]"),"&lt;="&amp;BT$1,INDIRECT("Table1[Ende]"),"&gt;="&amp;BT$1,INDIRECT("Table1[Obergruppe ATC-Code]"),Tabelle3!$A86)</f>
        <v>4</v>
      </c>
      <c r="BU86">
        <f ca="1">COUNTIFS(INDIRECT("Table1[Beginn]"),"&lt;="&amp;BU$1,INDIRECT("Table1[Ende]"),"&gt;="&amp;BU$1,INDIRECT("Table1[Obergruppe ATC-Code]"),Tabelle3!$A86)</f>
        <v>4</v>
      </c>
      <c r="BV86">
        <f ca="1">COUNTIFS(INDIRECT("Table1[Beginn]"),"&lt;="&amp;BV$1,INDIRECT("Table1[Ende]"),"&gt;="&amp;BV$1,INDIRECT("Table1[Obergruppe ATC-Code]"),Tabelle3!$A86)</f>
        <v>5</v>
      </c>
      <c r="BW86">
        <f ca="1">COUNTIFS(INDIRECT("Table1[Beginn]"),"&lt;="&amp;BW$1,INDIRECT("Table1[Ende]"),"&gt;="&amp;BW$1,INDIRECT("Table1[Obergruppe ATC-Code]"),Tabelle3!$A86)</f>
        <v>7</v>
      </c>
      <c r="BX86">
        <f ca="1">COUNTIFS(INDIRECT("Table1[Beginn]"),"&lt;="&amp;BX$1,INDIRECT("Table1[Ende]"),"&gt;="&amp;BX$1,INDIRECT("Table1[Obergruppe ATC-Code]"),Tabelle3!$A86)</f>
        <v>6</v>
      </c>
      <c r="BY86">
        <f ca="1">COUNTIFS(INDIRECT("Table1[Beginn]"),"&lt;="&amp;BY$1,INDIRECT("Table1[Ende]"),"&gt;="&amp;BY$1,INDIRECT("Table1[Obergruppe ATC-Code]"),Tabelle3!$A86)</f>
        <v>7</v>
      </c>
      <c r="BZ86">
        <f ca="1">COUNTIFS(INDIRECT("Table1[Beginn]"),"&lt;="&amp;BZ$1,INDIRECT("Table1[Ende]"),"&gt;="&amp;BZ$1,INDIRECT("Table1[Obergruppe ATC-Code]"),Tabelle3!$A86)</f>
        <v>5</v>
      </c>
      <c r="CA86">
        <f ca="1">COUNTIFS(INDIRECT("Table1[Beginn]"),"&lt;="&amp;CA$1,INDIRECT("Table1[Ende]"),"&gt;="&amp;CA$1,INDIRECT("Table1[Obergruppe ATC-Code]"),Tabelle3!$A86)</f>
        <v>6</v>
      </c>
      <c r="CB86">
        <f ca="1">COUNTIFS(INDIRECT("Table1[Beginn]"),"&lt;="&amp;CB$1,INDIRECT("Table1[Ende]"),"&gt;="&amp;CB$1,INDIRECT("Table1[Obergruppe ATC-Code]"),Tabelle3!$A86)</f>
        <v>7</v>
      </c>
      <c r="CC86">
        <f ca="1">COUNTIFS(INDIRECT("Table1[Beginn]"),"&lt;="&amp;CC$1,INDIRECT("Table1[Ende]"),"&gt;="&amp;CC$1,INDIRECT("Table1[Obergruppe ATC-Code]"),Tabelle3!$A86)</f>
        <v>9</v>
      </c>
      <c r="CD86">
        <f ca="1">COUNTIFS(INDIRECT("Table1[Beginn]"),"&lt;="&amp;CD$1,INDIRECT("Table1[Ende]"),"&gt;="&amp;CD$1,INDIRECT("Table1[Obergruppe ATC-Code]"),Tabelle3!$A86)</f>
        <v>8</v>
      </c>
      <c r="CE86">
        <f ca="1">COUNTIFS(INDIRECT("Table1[Beginn]"),"&lt;="&amp;CE$1,INDIRECT("Table1[Ende]"),"&gt;="&amp;CE$1,INDIRECT("Table1[Obergruppe ATC-Code]"),Tabelle3!$A86)</f>
        <v>10</v>
      </c>
      <c r="CF86">
        <f ca="1">COUNTIFS(INDIRECT("Table1[Beginn]"),"&lt;="&amp;CF$1,INDIRECT("Table1[Ende]"),"&gt;="&amp;CF$1,INDIRECT("Table1[Obergruppe ATC-Code]"),Tabelle3!$A86)</f>
        <v>10</v>
      </c>
      <c r="CG86">
        <f ca="1">COUNTIFS(INDIRECT("Table1[Beginn]"),"&lt;="&amp;CG$1,INDIRECT("Table1[Ende]"),"&gt;="&amp;CG$1,INDIRECT("Table1[Obergruppe ATC-Code]"),Tabelle3!$A86)</f>
        <v>8</v>
      </c>
      <c r="CH86">
        <f ca="1">COUNTIFS(INDIRECT("Table1[Beginn]"),"&lt;="&amp;CH$1,INDIRECT("Table1[Ende]"),"&gt;="&amp;CH$1,INDIRECT("Table1[Obergruppe ATC-Code]"),Tabelle3!$A86)</f>
        <v>8</v>
      </c>
      <c r="CI86">
        <f ca="1">COUNTIFS(INDIRECT("Table1[Beginn]"),"&lt;="&amp;CI$1,INDIRECT("Table1[Ende]"),"&gt;="&amp;CI$1,INDIRECT("Table1[Obergruppe ATC-Code]"),Tabelle3!$A86)</f>
        <v>3</v>
      </c>
      <c r="CJ86">
        <f ca="1">COUNTIFS(INDIRECT("Table1[Beginn]"),"&lt;="&amp;CJ$1,INDIRECT("Table1[Ende]"),"&gt;="&amp;CJ$1,INDIRECT("Table1[Obergruppe ATC-Code]"),Tabelle3!$A86)</f>
        <v>2</v>
      </c>
      <c r="CK86">
        <f ca="1">COUNTIFS(INDIRECT("Table1[Beginn]"),"&lt;="&amp;CK$1,INDIRECT("Table1[Ende]"),"&gt;="&amp;CK$1,INDIRECT("Table1[Obergruppe ATC-Code]"),Tabelle3!$A86)</f>
        <v>2</v>
      </c>
      <c r="CL86">
        <f ca="1">COUNTIFS(INDIRECT("Table1[Beginn]"),"&lt;="&amp;CL$1,INDIRECT("Table1[Ende]"),"&gt;="&amp;CL$1,INDIRECT("Table1[Obergruppe ATC-Code]"),Tabelle3!$A86)</f>
        <v>1</v>
      </c>
      <c r="CM86">
        <f ca="1">COUNTIFS(INDIRECT("Table1[Beginn]"),"&lt;="&amp;CM$1,INDIRECT("Table1[Ende]"),"&gt;="&amp;CM$1,INDIRECT("Table1[Obergruppe ATC-Code]"),Tabelle3!$A86)</f>
        <v>1</v>
      </c>
      <c r="CN86">
        <f ca="1">COUNTIFS(INDIRECT("Table1[Beginn]"),"&lt;="&amp;CN$1,INDIRECT("Table1[Ende]"),"&gt;="&amp;CN$1,INDIRECT("Table1[Obergruppe ATC-Code]"),Tabelle3!$A86)</f>
        <v>1</v>
      </c>
      <c r="CO86">
        <f ca="1">COUNTIFS(INDIRECT("Table1[Beginn]"),"&lt;="&amp;CO$1,INDIRECT("Table1[Ende]"),"&gt;="&amp;CO$1,INDIRECT("Table1[Obergruppe ATC-Code]"),Tabelle3!$A86)</f>
        <v>0</v>
      </c>
      <c r="CP86">
        <f ca="1">COUNTIFS(INDIRECT("Table1[Beginn]"),"&lt;="&amp;CP$1,INDIRECT("Table1[Ende]"),"&gt;="&amp;CP$1,INDIRECT("Table1[Obergruppe ATC-Code]"),Tabelle3!$A86)</f>
        <v>0</v>
      </c>
      <c r="CQ86">
        <f ca="1">COUNTIFS(INDIRECT("Table1[Beginn]"),"&lt;="&amp;CQ$1,INDIRECT("Table1[Ende]"),"&gt;="&amp;CQ$1,INDIRECT("Table1[Obergruppe ATC-Code]"),Tabelle3!$A86)</f>
        <v>0</v>
      </c>
      <c r="CR86">
        <f ca="1">COUNTIFS(INDIRECT("Table1[Beginn]"),"&lt;="&amp;CR$1,INDIRECT("Table1[Ende]"),"&gt;="&amp;CR$1,INDIRECT("Table1[Obergruppe ATC-Code]"),Tabelle3!$A86)</f>
        <v>0</v>
      </c>
      <c r="CS86">
        <f ca="1">COUNTIFS(INDIRECT("Table1[Beginn]"),"&lt;="&amp;CS$1,INDIRECT("Table1[Ende]"),"&gt;="&amp;CS$1,INDIRECT("Table1[Obergruppe ATC-Code]"),Tabelle3!$A86)</f>
        <v>0</v>
      </c>
      <c r="CT86">
        <f ca="1">COUNTIFS(INDIRECT("Table1[Beginn]"),"&lt;="&amp;CT$1,INDIRECT("Table1[Ende]"),"&gt;="&amp;CT$1,INDIRECT("Table1[Obergruppe ATC-Code]"),Tabelle3!$A86)</f>
        <v>0</v>
      </c>
    </row>
    <row r="87" spans="1:98" ht="18">
      <c r="A87" s="9" t="s">
        <v>6942</v>
      </c>
      <c r="B87" s="10" t="s">
        <v>6943</v>
      </c>
      <c r="C87">
        <f ca="1">COUNTIFS(INDIRECT("Table1[Beginn]"),"&lt;="&amp;C$1,INDIRECT("Table1[Ende]"),"&gt;="&amp;C$1,INDIRECT("Table1[Obergruppe ATC-Code]"),Tabelle3!$A87)</f>
        <v>0</v>
      </c>
      <c r="D87">
        <f ca="1">COUNTIFS(INDIRECT("Table1[Beginn]"),"&lt;="&amp;D$1,INDIRECT("Table1[Ende]"),"&gt;="&amp;D$1,INDIRECT("Table1[Obergruppe ATC-Code]"),Tabelle3!$A87)</f>
        <v>0</v>
      </c>
      <c r="E87">
        <f ca="1">COUNTIFS(INDIRECT("Table1[Beginn]"),"&lt;="&amp;E$1,INDIRECT("Table1[Ende]"),"&gt;="&amp;E$1,INDIRECT("Table1[Obergruppe ATC-Code]"),Tabelle3!$A87)</f>
        <v>0</v>
      </c>
      <c r="F87">
        <f ca="1">COUNTIFS(INDIRECT("Table1[Beginn]"),"&lt;="&amp;F$1,INDIRECT("Table1[Ende]"),"&gt;="&amp;F$1,INDIRECT("Table1[Obergruppe ATC-Code]"),Tabelle3!$A87)</f>
        <v>0</v>
      </c>
      <c r="G87">
        <f ca="1">COUNTIFS(INDIRECT("Table1[Beginn]"),"&lt;="&amp;G$1,INDIRECT("Table1[Ende]"),"&gt;="&amp;G$1,INDIRECT("Table1[Obergruppe ATC-Code]"),Tabelle3!$A87)</f>
        <v>0</v>
      </c>
      <c r="H87">
        <f ca="1">COUNTIFS(INDIRECT("Table1[Beginn]"),"&lt;="&amp;H$1,INDIRECT("Table1[Ende]"),"&gt;="&amp;H$1,INDIRECT("Table1[Obergruppe ATC-Code]"),Tabelle3!$A87)</f>
        <v>0</v>
      </c>
      <c r="I87">
        <f ca="1">COUNTIFS(INDIRECT("Table1[Beginn]"),"&lt;="&amp;I$1,INDIRECT("Table1[Ende]"),"&gt;="&amp;I$1,INDIRECT("Table1[Obergruppe ATC-Code]"),Tabelle3!$A87)</f>
        <v>0</v>
      </c>
      <c r="J87">
        <f ca="1">COUNTIFS(INDIRECT("Table1[Beginn]"),"&lt;="&amp;J$1,INDIRECT("Table1[Ende]"),"&gt;="&amp;J$1,INDIRECT("Table1[Obergruppe ATC-Code]"),Tabelle3!$A87)</f>
        <v>0</v>
      </c>
      <c r="K87">
        <f ca="1">COUNTIFS(INDIRECT("Table1[Beginn]"),"&lt;="&amp;K$1,INDIRECT("Table1[Ende]"),"&gt;="&amp;K$1,INDIRECT("Table1[Obergruppe ATC-Code]"),Tabelle3!$A87)</f>
        <v>0</v>
      </c>
      <c r="L87">
        <f ca="1">COUNTIFS(INDIRECT("Table1[Beginn]"),"&lt;="&amp;L$1,INDIRECT("Table1[Ende]"),"&gt;="&amp;L$1,INDIRECT("Table1[Obergruppe ATC-Code]"),Tabelle3!$A87)</f>
        <v>0</v>
      </c>
      <c r="M87">
        <f ca="1">COUNTIFS(INDIRECT("Table1[Beginn]"),"&lt;="&amp;M$1,INDIRECT("Table1[Ende]"),"&gt;="&amp;M$1,INDIRECT("Table1[Obergruppe ATC-Code]"),Tabelle3!$A87)</f>
        <v>0</v>
      </c>
      <c r="N87">
        <f ca="1">COUNTIFS(INDIRECT("Table1[Beginn]"),"&lt;="&amp;N$1,INDIRECT("Table1[Ende]"),"&gt;="&amp;N$1,INDIRECT("Table1[Obergruppe ATC-Code]"),Tabelle3!$A87)</f>
        <v>0</v>
      </c>
      <c r="O87">
        <f ca="1">COUNTIFS(INDIRECT("Table1[Beginn]"),"&lt;="&amp;O$1,INDIRECT("Table1[Ende]"),"&gt;="&amp;O$1,INDIRECT("Table1[Obergruppe ATC-Code]"),Tabelle3!$A87)</f>
        <v>0</v>
      </c>
      <c r="P87">
        <f ca="1">COUNTIFS(INDIRECT("Table1[Beginn]"),"&lt;="&amp;P$1,INDIRECT("Table1[Ende]"),"&gt;="&amp;P$1,INDIRECT("Table1[Obergruppe ATC-Code]"),Tabelle3!$A87)</f>
        <v>0</v>
      </c>
      <c r="Q87">
        <f ca="1">COUNTIFS(INDIRECT("Table1[Beginn]"),"&lt;="&amp;Q$1,INDIRECT("Table1[Ende]"),"&gt;="&amp;Q$1,INDIRECT("Table1[Obergruppe ATC-Code]"),Tabelle3!$A87)</f>
        <v>0</v>
      </c>
      <c r="R87">
        <f ca="1">COUNTIFS(INDIRECT("Table1[Beginn]"),"&lt;="&amp;R$1,INDIRECT("Table1[Ende]"),"&gt;="&amp;R$1,INDIRECT("Table1[Obergruppe ATC-Code]"),Tabelle3!$A87)</f>
        <v>0</v>
      </c>
      <c r="S87">
        <f ca="1">COUNTIFS(INDIRECT("Table1[Beginn]"),"&lt;="&amp;S$1,INDIRECT("Table1[Ende]"),"&gt;="&amp;S$1,INDIRECT("Table1[Obergruppe ATC-Code]"),Tabelle3!$A87)</f>
        <v>0</v>
      </c>
      <c r="T87">
        <f ca="1">COUNTIFS(INDIRECT("Table1[Beginn]"),"&lt;="&amp;T$1,INDIRECT("Table1[Ende]"),"&gt;="&amp;T$1,INDIRECT("Table1[Obergruppe ATC-Code]"),Tabelle3!$A87)</f>
        <v>0</v>
      </c>
      <c r="U87">
        <f ca="1">COUNTIFS(INDIRECT("Table1[Beginn]"),"&lt;="&amp;U$1,INDIRECT("Table1[Ende]"),"&gt;="&amp;U$1,INDIRECT("Table1[Obergruppe ATC-Code]"),Tabelle3!$A87)</f>
        <v>0</v>
      </c>
      <c r="V87">
        <f ca="1">COUNTIFS(INDIRECT("Table1[Beginn]"),"&lt;="&amp;V$1,INDIRECT("Table1[Ende]"),"&gt;="&amp;V$1,INDIRECT("Table1[Obergruppe ATC-Code]"),Tabelle3!$A87)</f>
        <v>0</v>
      </c>
      <c r="W87">
        <f ca="1">COUNTIFS(INDIRECT("Table1[Beginn]"),"&lt;="&amp;W$1,INDIRECT("Table1[Ende]"),"&gt;="&amp;W$1,INDIRECT("Table1[Obergruppe ATC-Code]"),Tabelle3!$A87)</f>
        <v>0</v>
      </c>
      <c r="X87">
        <f ca="1">COUNTIFS(INDIRECT("Table1[Beginn]"),"&lt;="&amp;X$1,INDIRECT("Table1[Ende]"),"&gt;="&amp;X$1,INDIRECT("Table1[Obergruppe ATC-Code]"),Tabelle3!$A87)</f>
        <v>0</v>
      </c>
      <c r="Y87">
        <f ca="1">COUNTIFS(INDIRECT("Table1[Beginn]"),"&lt;="&amp;Y$1,INDIRECT("Table1[Ende]"),"&gt;="&amp;Y$1,INDIRECT("Table1[Obergruppe ATC-Code]"),Tabelle3!$A87)</f>
        <v>0</v>
      </c>
      <c r="Z87">
        <f ca="1">COUNTIFS(INDIRECT("Table1[Beginn]"),"&lt;="&amp;Z$1,INDIRECT("Table1[Ende]"),"&gt;="&amp;Z$1,INDIRECT("Table1[Obergruppe ATC-Code]"),Tabelle3!$A87)</f>
        <v>0</v>
      </c>
      <c r="AA87">
        <f ca="1">COUNTIFS(INDIRECT("Table1[Beginn]"),"&lt;="&amp;AA$1,INDIRECT("Table1[Ende]"),"&gt;="&amp;AA$1,INDIRECT("Table1[Obergruppe ATC-Code]"),Tabelle3!$A87)</f>
        <v>0</v>
      </c>
      <c r="AB87">
        <f ca="1">COUNTIFS(INDIRECT("Table1[Beginn]"),"&lt;="&amp;AB$1,INDIRECT("Table1[Ende]"),"&gt;="&amp;AB$1,INDIRECT("Table1[Obergruppe ATC-Code]"),Tabelle3!$A87)</f>
        <v>0</v>
      </c>
      <c r="AC87">
        <f ca="1">COUNTIFS(INDIRECT("Table1[Beginn]"),"&lt;="&amp;AC$1,INDIRECT("Table1[Ende]"),"&gt;="&amp;AC$1,INDIRECT("Table1[Obergruppe ATC-Code]"),Tabelle3!$A87)</f>
        <v>0</v>
      </c>
      <c r="AD87">
        <f ca="1">COUNTIFS(INDIRECT("Table1[Beginn]"),"&lt;="&amp;AD$1,INDIRECT("Table1[Ende]"),"&gt;="&amp;AD$1,INDIRECT("Table1[Obergruppe ATC-Code]"),Tabelle3!$A87)</f>
        <v>0</v>
      </c>
      <c r="AE87">
        <f ca="1">COUNTIFS(INDIRECT("Table1[Beginn]"),"&lt;="&amp;AE$1,INDIRECT("Table1[Ende]"),"&gt;="&amp;AE$1,INDIRECT("Table1[Obergruppe ATC-Code]"),Tabelle3!$A87)</f>
        <v>0</v>
      </c>
      <c r="AF87">
        <f ca="1">COUNTIFS(INDIRECT("Table1[Beginn]"),"&lt;="&amp;AF$1,INDIRECT("Table1[Ende]"),"&gt;="&amp;AF$1,INDIRECT("Table1[Obergruppe ATC-Code]"),Tabelle3!$A87)</f>
        <v>0</v>
      </c>
      <c r="AG87">
        <f ca="1">COUNTIFS(INDIRECT("Table1[Beginn]"),"&lt;="&amp;AG$1,INDIRECT("Table1[Ende]"),"&gt;="&amp;AG$1,INDIRECT("Table1[Obergruppe ATC-Code]"),Tabelle3!$A87)</f>
        <v>0</v>
      </c>
      <c r="AH87">
        <f ca="1">COUNTIFS(INDIRECT("Table1[Beginn]"),"&lt;="&amp;AH$1,INDIRECT("Table1[Ende]"),"&gt;="&amp;AH$1,INDIRECT("Table1[Obergruppe ATC-Code]"),Tabelle3!$A87)</f>
        <v>0</v>
      </c>
      <c r="AI87">
        <f ca="1">COUNTIFS(INDIRECT("Table1[Beginn]"),"&lt;="&amp;AI$1,INDIRECT("Table1[Ende]"),"&gt;="&amp;AI$1,INDIRECT("Table1[Obergruppe ATC-Code]"),Tabelle3!$A87)</f>
        <v>0</v>
      </c>
      <c r="AJ87">
        <f ca="1">COUNTIFS(INDIRECT("Table1[Beginn]"),"&lt;="&amp;AJ$1,INDIRECT("Table1[Ende]"),"&gt;="&amp;AJ$1,INDIRECT("Table1[Obergruppe ATC-Code]"),Tabelle3!$A87)</f>
        <v>0</v>
      </c>
      <c r="AK87">
        <f ca="1">COUNTIFS(INDIRECT("Table1[Beginn]"),"&lt;="&amp;AK$1,INDIRECT("Table1[Ende]"),"&gt;="&amp;AK$1,INDIRECT("Table1[Obergruppe ATC-Code]"),Tabelle3!$A87)</f>
        <v>0</v>
      </c>
      <c r="AL87">
        <f ca="1">COUNTIFS(INDIRECT("Table1[Beginn]"),"&lt;="&amp;AL$1,INDIRECT("Table1[Ende]"),"&gt;="&amp;AL$1,INDIRECT("Table1[Obergruppe ATC-Code]"),Tabelle3!$A87)</f>
        <v>0</v>
      </c>
      <c r="AM87">
        <f ca="1">COUNTIFS(INDIRECT("Table1[Beginn]"),"&lt;="&amp;AM$1,INDIRECT("Table1[Ende]"),"&gt;="&amp;AM$1,INDIRECT("Table1[Obergruppe ATC-Code]"),Tabelle3!$A87)</f>
        <v>0</v>
      </c>
      <c r="AN87">
        <f ca="1">COUNTIFS(INDIRECT("Table1[Beginn]"),"&lt;="&amp;AN$1,INDIRECT("Table1[Ende]"),"&gt;="&amp;AN$1,INDIRECT("Table1[Obergruppe ATC-Code]"),Tabelle3!$A87)</f>
        <v>0</v>
      </c>
      <c r="AO87">
        <f ca="1">COUNTIFS(INDIRECT("Table1[Beginn]"),"&lt;="&amp;AO$1,INDIRECT("Table1[Ende]"),"&gt;="&amp;AO$1,INDIRECT("Table1[Obergruppe ATC-Code]"),Tabelle3!$A87)</f>
        <v>0</v>
      </c>
      <c r="AP87">
        <f ca="1">COUNTIFS(INDIRECT("Table1[Beginn]"),"&lt;="&amp;AP$1,INDIRECT("Table1[Ende]"),"&gt;="&amp;AP$1,INDIRECT("Table1[Obergruppe ATC-Code]"),Tabelle3!$A87)</f>
        <v>0</v>
      </c>
      <c r="AQ87">
        <f ca="1">COUNTIFS(INDIRECT("Table1[Beginn]"),"&lt;="&amp;AQ$1,INDIRECT("Table1[Ende]"),"&gt;="&amp;AQ$1,INDIRECT("Table1[Obergruppe ATC-Code]"),Tabelle3!$A87)</f>
        <v>0</v>
      </c>
      <c r="AR87">
        <f ca="1">COUNTIFS(INDIRECT("Table1[Beginn]"),"&lt;="&amp;AR$1,INDIRECT("Table1[Ende]"),"&gt;="&amp;AR$1,INDIRECT("Table1[Obergruppe ATC-Code]"),Tabelle3!$A87)</f>
        <v>0</v>
      </c>
      <c r="AS87">
        <f ca="1">COUNTIFS(INDIRECT("Table1[Beginn]"),"&lt;="&amp;AS$1,INDIRECT("Table1[Ende]"),"&gt;="&amp;AS$1,INDIRECT("Table1[Obergruppe ATC-Code]"),Tabelle3!$A87)</f>
        <v>0</v>
      </c>
      <c r="AT87">
        <f ca="1">COUNTIFS(INDIRECT("Table1[Beginn]"),"&lt;="&amp;AT$1,INDIRECT("Table1[Ende]"),"&gt;="&amp;AT$1,INDIRECT("Table1[Obergruppe ATC-Code]"),Tabelle3!$A87)</f>
        <v>0</v>
      </c>
      <c r="AU87">
        <f ca="1">COUNTIFS(INDIRECT("Table1[Beginn]"),"&lt;="&amp;AU$1,INDIRECT("Table1[Ende]"),"&gt;="&amp;AU$1,INDIRECT("Table1[Obergruppe ATC-Code]"),Tabelle3!$A87)</f>
        <v>0</v>
      </c>
      <c r="AV87">
        <f ca="1">COUNTIFS(INDIRECT("Table1[Beginn]"),"&lt;="&amp;AV$1,INDIRECT("Table1[Ende]"),"&gt;="&amp;AV$1,INDIRECT("Table1[Obergruppe ATC-Code]"),Tabelle3!$A87)</f>
        <v>0</v>
      </c>
      <c r="AW87">
        <f ca="1">COUNTIFS(INDIRECT("Table1[Beginn]"),"&lt;="&amp;AW$1,INDIRECT("Table1[Ende]"),"&gt;="&amp;AW$1,INDIRECT("Table1[Obergruppe ATC-Code]"),Tabelle3!$A87)</f>
        <v>0</v>
      </c>
      <c r="AX87">
        <f ca="1">COUNTIFS(INDIRECT("Table1[Beginn]"),"&lt;="&amp;AX$1,INDIRECT("Table1[Ende]"),"&gt;="&amp;AX$1,INDIRECT("Table1[Obergruppe ATC-Code]"),Tabelle3!$A87)</f>
        <v>0</v>
      </c>
      <c r="AY87">
        <f ca="1">COUNTIFS(INDIRECT("Table1[Beginn]"),"&lt;="&amp;AY$1,INDIRECT("Table1[Ende]"),"&gt;="&amp;AY$1,INDIRECT("Table1[Obergruppe ATC-Code]"),Tabelle3!$A87)</f>
        <v>0</v>
      </c>
      <c r="AZ87">
        <f ca="1">COUNTIFS(INDIRECT("Table1[Beginn]"),"&lt;="&amp;AZ$1,INDIRECT("Table1[Ende]"),"&gt;="&amp;AZ$1,INDIRECT("Table1[Obergruppe ATC-Code]"),Tabelle3!$A87)</f>
        <v>0</v>
      </c>
      <c r="BA87">
        <f ca="1">COUNTIFS(INDIRECT("Table1[Beginn]"),"&lt;="&amp;BA$1,INDIRECT("Table1[Ende]"),"&gt;="&amp;BA$1,INDIRECT("Table1[Obergruppe ATC-Code]"),Tabelle3!$A87)</f>
        <v>0</v>
      </c>
      <c r="BB87">
        <f ca="1">COUNTIFS(INDIRECT("Table1[Beginn]"),"&lt;="&amp;BB$1,INDIRECT("Table1[Ende]"),"&gt;="&amp;BB$1,INDIRECT("Table1[Obergruppe ATC-Code]"),Tabelle3!$A87)</f>
        <v>0</v>
      </c>
      <c r="BC87">
        <f ca="1">COUNTIFS(INDIRECT("Table1[Beginn]"),"&lt;="&amp;BC$1,INDIRECT("Table1[Ende]"),"&gt;="&amp;BC$1,INDIRECT("Table1[Obergruppe ATC-Code]"),Tabelle3!$A87)</f>
        <v>0</v>
      </c>
      <c r="BD87">
        <f ca="1">COUNTIFS(INDIRECT("Table1[Beginn]"),"&lt;="&amp;BD$1,INDIRECT("Table1[Ende]"),"&gt;="&amp;BD$1,INDIRECT("Table1[Obergruppe ATC-Code]"),Tabelle3!$A87)</f>
        <v>0</v>
      </c>
      <c r="BE87">
        <f ca="1">COUNTIFS(INDIRECT("Table1[Beginn]"),"&lt;="&amp;BE$1,INDIRECT("Table1[Ende]"),"&gt;="&amp;BE$1,INDIRECT("Table1[Obergruppe ATC-Code]"),Tabelle3!$A87)</f>
        <v>0</v>
      </c>
      <c r="BF87">
        <f ca="1">COUNTIFS(INDIRECT("Table1[Beginn]"),"&lt;="&amp;BF$1,INDIRECT("Table1[Ende]"),"&gt;="&amp;BF$1,INDIRECT("Table1[Obergruppe ATC-Code]"),Tabelle3!$A87)</f>
        <v>0</v>
      </c>
      <c r="BG87">
        <f ca="1">COUNTIFS(INDIRECT("Table1[Beginn]"),"&lt;="&amp;BG$1,INDIRECT("Table1[Ende]"),"&gt;="&amp;BG$1,INDIRECT("Table1[Obergruppe ATC-Code]"),Tabelle3!$A87)</f>
        <v>0</v>
      </c>
      <c r="BH87">
        <f ca="1">COUNTIFS(INDIRECT("Table1[Beginn]"),"&lt;="&amp;BH$1,INDIRECT("Table1[Ende]"),"&gt;="&amp;BH$1,INDIRECT("Table1[Obergruppe ATC-Code]"),Tabelle3!$A87)</f>
        <v>0</v>
      </c>
      <c r="BI87">
        <f ca="1">COUNTIFS(INDIRECT("Table1[Beginn]"),"&lt;="&amp;BI$1,INDIRECT("Table1[Ende]"),"&gt;="&amp;BI$1,INDIRECT("Table1[Obergruppe ATC-Code]"),Tabelle3!$A87)</f>
        <v>0</v>
      </c>
      <c r="BJ87">
        <f ca="1">COUNTIFS(INDIRECT("Table1[Beginn]"),"&lt;="&amp;BJ$1,INDIRECT("Table1[Ende]"),"&gt;="&amp;BJ$1,INDIRECT("Table1[Obergruppe ATC-Code]"),Tabelle3!$A87)</f>
        <v>0</v>
      </c>
      <c r="BK87">
        <f ca="1">COUNTIFS(INDIRECT("Table1[Beginn]"),"&lt;="&amp;BK$1,INDIRECT("Table1[Ende]"),"&gt;="&amp;BK$1,INDIRECT("Table1[Obergruppe ATC-Code]"),Tabelle3!$A87)</f>
        <v>0</v>
      </c>
      <c r="BL87">
        <f ca="1">COUNTIFS(INDIRECT("Table1[Beginn]"),"&lt;="&amp;BL$1,INDIRECT("Table1[Ende]"),"&gt;="&amp;BL$1,INDIRECT("Table1[Obergruppe ATC-Code]"),Tabelle3!$A87)</f>
        <v>0</v>
      </c>
      <c r="BM87">
        <f ca="1">COUNTIFS(INDIRECT("Table1[Beginn]"),"&lt;="&amp;BM$1,INDIRECT("Table1[Ende]"),"&gt;="&amp;BM$1,INDIRECT("Table1[Obergruppe ATC-Code]"),Tabelle3!$A87)</f>
        <v>0</v>
      </c>
      <c r="BN87">
        <f ca="1">COUNTIFS(INDIRECT("Table1[Beginn]"),"&lt;="&amp;BN$1,INDIRECT("Table1[Ende]"),"&gt;="&amp;BN$1,INDIRECT("Table1[Obergruppe ATC-Code]"),Tabelle3!$A87)</f>
        <v>0</v>
      </c>
      <c r="BO87">
        <f ca="1">COUNTIFS(INDIRECT("Table1[Beginn]"),"&lt;="&amp;BO$1,INDIRECT("Table1[Ende]"),"&gt;="&amp;BO$1,INDIRECT("Table1[Obergruppe ATC-Code]"),Tabelle3!$A87)</f>
        <v>0</v>
      </c>
      <c r="BP87">
        <f ca="1">COUNTIFS(INDIRECT("Table1[Beginn]"),"&lt;="&amp;BP$1,INDIRECT("Table1[Ende]"),"&gt;="&amp;BP$1,INDIRECT("Table1[Obergruppe ATC-Code]"),Tabelle3!$A87)</f>
        <v>0</v>
      </c>
      <c r="BQ87">
        <f ca="1">COUNTIFS(INDIRECT("Table1[Beginn]"),"&lt;="&amp;BQ$1,INDIRECT("Table1[Ende]"),"&gt;="&amp;BQ$1,INDIRECT("Table1[Obergruppe ATC-Code]"),Tabelle3!$A87)</f>
        <v>0</v>
      </c>
      <c r="BR87">
        <f ca="1">COUNTIFS(INDIRECT("Table1[Beginn]"),"&lt;="&amp;BR$1,INDIRECT("Table1[Ende]"),"&gt;="&amp;BR$1,INDIRECT("Table1[Obergruppe ATC-Code]"),Tabelle3!$A87)</f>
        <v>0</v>
      </c>
      <c r="BS87">
        <f ca="1">COUNTIFS(INDIRECT("Table1[Beginn]"),"&lt;="&amp;BS$1,INDIRECT("Table1[Ende]"),"&gt;="&amp;BS$1,INDIRECT("Table1[Obergruppe ATC-Code]"),Tabelle3!$A87)</f>
        <v>0</v>
      </c>
      <c r="BT87">
        <f ca="1">COUNTIFS(INDIRECT("Table1[Beginn]"),"&lt;="&amp;BT$1,INDIRECT("Table1[Ende]"),"&gt;="&amp;BT$1,INDIRECT("Table1[Obergruppe ATC-Code]"),Tabelle3!$A87)</f>
        <v>0</v>
      </c>
      <c r="BU87">
        <f ca="1">COUNTIFS(INDIRECT("Table1[Beginn]"),"&lt;="&amp;BU$1,INDIRECT("Table1[Ende]"),"&gt;="&amp;BU$1,INDIRECT("Table1[Obergruppe ATC-Code]"),Tabelle3!$A87)</f>
        <v>0</v>
      </c>
      <c r="BV87">
        <f ca="1">COUNTIFS(INDIRECT("Table1[Beginn]"),"&lt;="&amp;BV$1,INDIRECT("Table1[Ende]"),"&gt;="&amp;BV$1,INDIRECT("Table1[Obergruppe ATC-Code]"),Tabelle3!$A87)</f>
        <v>0</v>
      </c>
      <c r="BW87">
        <f ca="1">COUNTIFS(INDIRECT("Table1[Beginn]"),"&lt;="&amp;BW$1,INDIRECT("Table1[Ende]"),"&gt;="&amp;BW$1,INDIRECT("Table1[Obergruppe ATC-Code]"),Tabelle3!$A87)</f>
        <v>0</v>
      </c>
      <c r="BX87">
        <f ca="1">COUNTIFS(INDIRECT("Table1[Beginn]"),"&lt;="&amp;BX$1,INDIRECT("Table1[Ende]"),"&gt;="&amp;BX$1,INDIRECT("Table1[Obergruppe ATC-Code]"),Tabelle3!$A87)</f>
        <v>0</v>
      </c>
      <c r="BY87">
        <f ca="1">COUNTIFS(INDIRECT("Table1[Beginn]"),"&lt;="&amp;BY$1,INDIRECT("Table1[Ende]"),"&gt;="&amp;BY$1,INDIRECT("Table1[Obergruppe ATC-Code]"),Tabelle3!$A87)</f>
        <v>1</v>
      </c>
      <c r="BZ87">
        <f ca="1">COUNTIFS(INDIRECT("Table1[Beginn]"),"&lt;="&amp;BZ$1,INDIRECT("Table1[Ende]"),"&gt;="&amp;BZ$1,INDIRECT("Table1[Obergruppe ATC-Code]"),Tabelle3!$A87)</f>
        <v>1</v>
      </c>
      <c r="CA87">
        <f ca="1">COUNTIFS(INDIRECT("Table1[Beginn]"),"&lt;="&amp;CA$1,INDIRECT("Table1[Ende]"),"&gt;="&amp;CA$1,INDIRECT("Table1[Obergruppe ATC-Code]"),Tabelle3!$A87)</f>
        <v>0</v>
      </c>
      <c r="CB87">
        <f ca="1">COUNTIFS(INDIRECT("Table1[Beginn]"),"&lt;="&amp;CB$1,INDIRECT("Table1[Ende]"),"&gt;="&amp;CB$1,INDIRECT("Table1[Obergruppe ATC-Code]"),Tabelle3!$A87)</f>
        <v>0</v>
      </c>
      <c r="CC87">
        <f ca="1">COUNTIFS(INDIRECT("Table1[Beginn]"),"&lt;="&amp;CC$1,INDIRECT("Table1[Ende]"),"&gt;="&amp;CC$1,INDIRECT("Table1[Obergruppe ATC-Code]"),Tabelle3!$A87)</f>
        <v>1</v>
      </c>
      <c r="CD87">
        <f ca="1">COUNTIFS(INDIRECT("Table1[Beginn]"),"&lt;="&amp;CD$1,INDIRECT("Table1[Ende]"),"&gt;="&amp;CD$1,INDIRECT("Table1[Obergruppe ATC-Code]"),Tabelle3!$A87)</f>
        <v>0</v>
      </c>
      <c r="CE87">
        <f ca="1">COUNTIFS(INDIRECT("Table1[Beginn]"),"&lt;="&amp;CE$1,INDIRECT("Table1[Ende]"),"&gt;="&amp;CE$1,INDIRECT("Table1[Obergruppe ATC-Code]"),Tabelle3!$A87)</f>
        <v>0</v>
      </c>
      <c r="CF87">
        <f ca="1">COUNTIFS(INDIRECT("Table1[Beginn]"),"&lt;="&amp;CF$1,INDIRECT("Table1[Ende]"),"&gt;="&amp;CF$1,INDIRECT("Table1[Obergruppe ATC-Code]"),Tabelle3!$A87)</f>
        <v>0</v>
      </c>
      <c r="CG87">
        <f ca="1">COUNTIFS(INDIRECT("Table1[Beginn]"),"&lt;="&amp;CG$1,INDIRECT("Table1[Ende]"),"&gt;="&amp;CG$1,INDIRECT("Table1[Obergruppe ATC-Code]"),Tabelle3!$A87)</f>
        <v>0</v>
      </c>
      <c r="CH87">
        <f ca="1">COUNTIFS(INDIRECT("Table1[Beginn]"),"&lt;="&amp;CH$1,INDIRECT("Table1[Ende]"),"&gt;="&amp;CH$1,INDIRECT("Table1[Obergruppe ATC-Code]"),Tabelle3!$A87)</f>
        <v>0</v>
      </c>
      <c r="CI87">
        <f ca="1">COUNTIFS(INDIRECT("Table1[Beginn]"),"&lt;="&amp;CI$1,INDIRECT("Table1[Ende]"),"&gt;="&amp;CI$1,INDIRECT("Table1[Obergruppe ATC-Code]"),Tabelle3!$A87)</f>
        <v>0</v>
      </c>
      <c r="CJ87">
        <f ca="1">COUNTIFS(INDIRECT("Table1[Beginn]"),"&lt;="&amp;CJ$1,INDIRECT("Table1[Ende]"),"&gt;="&amp;CJ$1,INDIRECT("Table1[Obergruppe ATC-Code]"),Tabelle3!$A87)</f>
        <v>0</v>
      </c>
      <c r="CK87">
        <f ca="1">COUNTIFS(INDIRECT("Table1[Beginn]"),"&lt;="&amp;CK$1,INDIRECT("Table1[Ende]"),"&gt;="&amp;CK$1,INDIRECT("Table1[Obergruppe ATC-Code]"),Tabelle3!$A87)</f>
        <v>0</v>
      </c>
      <c r="CL87">
        <f ca="1">COUNTIFS(INDIRECT("Table1[Beginn]"),"&lt;="&amp;CL$1,INDIRECT("Table1[Ende]"),"&gt;="&amp;CL$1,INDIRECT("Table1[Obergruppe ATC-Code]"),Tabelle3!$A87)</f>
        <v>0</v>
      </c>
      <c r="CM87">
        <f ca="1">COUNTIFS(INDIRECT("Table1[Beginn]"),"&lt;="&amp;CM$1,INDIRECT("Table1[Ende]"),"&gt;="&amp;CM$1,INDIRECT("Table1[Obergruppe ATC-Code]"),Tabelle3!$A87)</f>
        <v>0</v>
      </c>
      <c r="CN87">
        <f ca="1">COUNTIFS(INDIRECT("Table1[Beginn]"),"&lt;="&amp;CN$1,INDIRECT("Table1[Ende]"),"&gt;="&amp;CN$1,INDIRECT("Table1[Obergruppe ATC-Code]"),Tabelle3!$A87)</f>
        <v>0</v>
      </c>
      <c r="CO87">
        <f ca="1">COUNTIFS(INDIRECT("Table1[Beginn]"),"&lt;="&amp;CO$1,INDIRECT("Table1[Ende]"),"&gt;="&amp;CO$1,INDIRECT("Table1[Obergruppe ATC-Code]"),Tabelle3!$A87)</f>
        <v>0</v>
      </c>
      <c r="CP87">
        <f ca="1">COUNTIFS(INDIRECT("Table1[Beginn]"),"&lt;="&amp;CP$1,INDIRECT("Table1[Ende]"),"&gt;="&amp;CP$1,INDIRECT("Table1[Obergruppe ATC-Code]"),Tabelle3!$A87)</f>
        <v>0</v>
      </c>
      <c r="CQ87">
        <f ca="1">COUNTIFS(INDIRECT("Table1[Beginn]"),"&lt;="&amp;CQ$1,INDIRECT("Table1[Ende]"),"&gt;="&amp;CQ$1,INDIRECT("Table1[Obergruppe ATC-Code]"),Tabelle3!$A87)</f>
        <v>0</v>
      </c>
      <c r="CR87">
        <f ca="1">COUNTIFS(INDIRECT("Table1[Beginn]"),"&lt;="&amp;CR$1,INDIRECT("Table1[Ende]"),"&gt;="&amp;CR$1,INDIRECT("Table1[Obergruppe ATC-Code]"),Tabelle3!$A87)</f>
        <v>0</v>
      </c>
      <c r="CS87">
        <f ca="1">COUNTIFS(INDIRECT("Table1[Beginn]"),"&lt;="&amp;CS$1,INDIRECT("Table1[Ende]"),"&gt;="&amp;CS$1,INDIRECT("Table1[Obergruppe ATC-Code]"),Tabelle3!$A87)</f>
        <v>0</v>
      </c>
      <c r="CT87">
        <f ca="1">COUNTIFS(INDIRECT("Table1[Beginn]"),"&lt;="&amp;CT$1,INDIRECT("Table1[Ende]"),"&gt;="&amp;CT$1,INDIRECT("Table1[Obergruppe ATC-Code]"),Tabelle3!$A87)</f>
        <v>0</v>
      </c>
    </row>
    <row r="88" spans="1:98" ht="18">
      <c r="A88" s="7" t="s">
        <v>6944</v>
      </c>
      <c r="B88" s="8" t="s">
        <v>6945</v>
      </c>
      <c r="C88">
        <f ca="1">COUNTIFS(INDIRECT("Table1[Beginn]"),"&lt;="&amp;C$1,INDIRECT("Table1[Ende]"),"&gt;="&amp;C$1,INDIRECT("Table1[Obergruppe ATC-Code]"),Tabelle3!$A88)</f>
        <v>0</v>
      </c>
      <c r="D88">
        <f ca="1">COUNTIFS(INDIRECT("Table1[Beginn]"),"&lt;="&amp;D$1,INDIRECT("Table1[Ende]"),"&gt;="&amp;D$1,INDIRECT("Table1[Obergruppe ATC-Code]"),Tabelle3!$A88)</f>
        <v>0</v>
      </c>
      <c r="E88">
        <f ca="1">COUNTIFS(INDIRECT("Table1[Beginn]"),"&lt;="&amp;E$1,INDIRECT("Table1[Ende]"),"&gt;="&amp;E$1,INDIRECT("Table1[Obergruppe ATC-Code]"),Tabelle3!$A88)</f>
        <v>0</v>
      </c>
      <c r="F88">
        <f ca="1">COUNTIFS(INDIRECT("Table1[Beginn]"),"&lt;="&amp;F$1,INDIRECT("Table1[Ende]"),"&gt;="&amp;F$1,INDIRECT("Table1[Obergruppe ATC-Code]"),Tabelle3!$A88)</f>
        <v>0</v>
      </c>
      <c r="G88">
        <f ca="1">COUNTIFS(INDIRECT("Table1[Beginn]"),"&lt;="&amp;G$1,INDIRECT("Table1[Ende]"),"&gt;="&amp;G$1,INDIRECT("Table1[Obergruppe ATC-Code]"),Tabelle3!$A88)</f>
        <v>0</v>
      </c>
      <c r="H88">
        <f ca="1">COUNTIFS(INDIRECT("Table1[Beginn]"),"&lt;="&amp;H$1,INDIRECT("Table1[Ende]"),"&gt;="&amp;H$1,INDIRECT("Table1[Obergruppe ATC-Code]"),Tabelle3!$A88)</f>
        <v>0</v>
      </c>
      <c r="I88">
        <f ca="1">COUNTIFS(INDIRECT("Table1[Beginn]"),"&lt;="&amp;I$1,INDIRECT("Table1[Ende]"),"&gt;="&amp;I$1,INDIRECT("Table1[Obergruppe ATC-Code]"),Tabelle3!$A88)</f>
        <v>0</v>
      </c>
      <c r="J88">
        <f ca="1">COUNTIFS(INDIRECT("Table1[Beginn]"),"&lt;="&amp;J$1,INDIRECT("Table1[Ende]"),"&gt;="&amp;J$1,INDIRECT("Table1[Obergruppe ATC-Code]"),Tabelle3!$A88)</f>
        <v>0</v>
      </c>
      <c r="K88">
        <f ca="1">COUNTIFS(INDIRECT("Table1[Beginn]"),"&lt;="&amp;K$1,INDIRECT("Table1[Ende]"),"&gt;="&amp;K$1,INDIRECT("Table1[Obergruppe ATC-Code]"),Tabelle3!$A88)</f>
        <v>0</v>
      </c>
      <c r="L88">
        <f ca="1">COUNTIFS(INDIRECT("Table1[Beginn]"),"&lt;="&amp;L$1,INDIRECT("Table1[Ende]"),"&gt;="&amp;L$1,INDIRECT("Table1[Obergruppe ATC-Code]"),Tabelle3!$A88)</f>
        <v>0</v>
      </c>
      <c r="M88">
        <f ca="1">COUNTIFS(INDIRECT("Table1[Beginn]"),"&lt;="&amp;M$1,INDIRECT("Table1[Ende]"),"&gt;="&amp;M$1,INDIRECT("Table1[Obergruppe ATC-Code]"),Tabelle3!$A88)</f>
        <v>0</v>
      </c>
      <c r="N88">
        <f ca="1">COUNTIFS(INDIRECT("Table1[Beginn]"),"&lt;="&amp;N$1,INDIRECT("Table1[Ende]"),"&gt;="&amp;N$1,INDIRECT("Table1[Obergruppe ATC-Code]"),Tabelle3!$A88)</f>
        <v>0</v>
      </c>
      <c r="O88">
        <f ca="1">COUNTIFS(INDIRECT("Table1[Beginn]"),"&lt;="&amp;O$1,INDIRECT("Table1[Ende]"),"&gt;="&amp;O$1,INDIRECT("Table1[Obergruppe ATC-Code]"),Tabelle3!$A88)</f>
        <v>0</v>
      </c>
      <c r="P88">
        <f ca="1">COUNTIFS(INDIRECT("Table1[Beginn]"),"&lt;="&amp;P$1,INDIRECT("Table1[Ende]"),"&gt;="&amp;P$1,INDIRECT("Table1[Obergruppe ATC-Code]"),Tabelle3!$A88)</f>
        <v>0</v>
      </c>
      <c r="Q88">
        <f ca="1">COUNTIFS(INDIRECT("Table1[Beginn]"),"&lt;="&amp;Q$1,INDIRECT("Table1[Ende]"),"&gt;="&amp;Q$1,INDIRECT("Table1[Obergruppe ATC-Code]"),Tabelle3!$A88)</f>
        <v>0</v>
      </c>
      <c r="R88">
        <f ca="1">COUNTIFS(INDIRECT("Table1[Beginn]"),"&lt;="&amp;R$1,INDIRECT("Table1[Ende]"),"&gt;="&amp;R$1,INDIRECT("Table1[Obergruppe ATC-Code]"),Tabelle3!$A88)</f>
        <v>0</v>
      </c>
      <c r="S88">
        <f ca="1">COUNTIFS(INDIRECT("Table1[Beginn]"),"&lt;="&amp;S$1,INDIRECT("Table1[Ende]"),"&gt;="&amp;S$1,INDIRECT("Table1[Obergruppe ATC-Code]"),Tabelle3!$A88)</f>
        <v>0</v>
      </c>
      <c r="T88">
        <f ca="1">COUNTIFS(INDIRECT("Table1[Beginn]"),"&lt;="&amp;T$1,INDIRECT("Table1[Ende]"),"&gt;="&amp;T$1,INDIRECT("Table1[Obergruppe ATC-Code]"),Tabelle3!$A88)</f>
        <v>0</v>
      </c>
      <c r="U88">
        <f ca="1">COUNTIFS(INDIRECT("Table1[Beginn]"),"&lt;="&amp;U$1,INDIRECT("Table1[Ende]"),"&gt;="&amp;U$1,INDIRECT("Table1[Obergruppe ATC-Code]"),Tabelle3!$A88)</f>
        <v>0</v>
      </c>
      <c r="V88">
        <f ca="1">COUNTIFS(INDIRECT("Table1[Beginn]"),"&lt;="&amp;V$1,INDIRECT("Table1[Ende]"),"&gt;="&amp;V$1,INDIRECT("Table1[Obergruppe ATC-Code]"),Tabelle3!$A88)</f>
        <v>0</v>
      </c>
      <c r="W88">
        <f ca="1">COUNTIFS(INDIRECT("Table1[Beginn]"),"&lt;="&amp;W$1,INDIRECT("Table1[Ende]"),"&gt;="&amp;W$1,INDIRECT("Table1[Obergruppe ATC-Code]"),Tabelle3!$A88)</f>
        <v>0</v>
      </c>
      <c r="X88">
        <f ca="1">COUNTIFS(INDIRECT("Table1[Beginn]"),"&lt;="&amp;X$1,INDIRECT("Table1[Ende]"),"&gt;="&amp;X$1,INDIRECT("Table1[Obergruppe ATC-Code]"),Tabelle3!$A88)</f>
        <v>0</v>
      </c>
      <c r="Y88">
        <f ca="1">COUNTIFS(INDIRECT("Table1[Beginn]"),"&lt;="&amp;Y$1,INDIRECT("Table1[Ende]"),"&gt;="&amp;Y$1,INDIRECT("Table1[Obergruppe ATC-Code]"),Tabelle3!$A88)</f>
        <v>0</v>
      </c>
      <c r="Z88">
        <f ca="1">COUNTIFS(INDIRECT("Table1[Beginn]"),"&lt;="&amp;Z$1,INDIRECT("Table1[Ende]"),"&gt;="&amp;Z$1,INDIRECT("Table1[Obergruppe ATC-Code]"),Tabelle3!$A88)</f>
        <v>0</v>
      </c>
      <c r="AA88">
        <f ca="1">COUNTIFS(INDIRECT("Table1[Beginn]"),"&lt;="&amp;AA$1,INDIRECT("Table1[Ende]"),"&gt;="&amp;AA$1,INDIRECT("Table1[Obergruppe ATC-Code]"),Tabelle3!$A88)</f>
        <v>0</v>
      </c>
      <c r="AB88">
        <f ca="1">COUNTIFS(INDIRECT("Table1[Beginn]"),"&lt;="&amp;AB$1,INDIRECT("Table1[Ende]"),"&gt;="&amp;AB$1,INDIRECT("Table1[Obergruppe ATC-Code]"),Tabelle3!$A88)</f>
        <v>0</v>
      </c>
      <c r="AC88">
        <f ca="1">COUNTIFS(INDIRECT("Table1[Beginn]"),"&lt;="&amp;AC$1,INDIRECT("Table1[Ende]"),"&gt;="&amp;AC$1,INDIRECT("Table1[Obergruppe ATC-Code]"),Tabelle3!$A88)</f>
        <v>0</v>
      </c>
      <c r="AD88">
        <f ca="1">COUNTIFS(INDIRECT("Table1[Beginn]"),"&lt;="&amp;AD$1,INDIRECT("Table1[Ende]"),"&gt;="&amp;AD$1,INDIRECT("Table1[Obergruppe ATC-Code]"),Tabelle3!$A88)</f>
        <v>0</v>
      </c>
      <c r="AE88">
        <f ca="1">COUNTIFS(INDIRECT("Table1[Beginn]"),"&lt;="&amp;AE$1,INDIRECT("Table1[Ende]"),"&gt;="&amp;AE$1,INDIRECT("Table1[Obergruppe ATC-Code]"),Tabelle3!$A88)</f>
        <v>0</v>
      </c>
      <c r="AF88">
        <f ca="1">COUNTIFS(INDIRECT("Table1[Beginn]"),"&lt;="&amp;AF$1,INDIRECT("Table1[Ende]"),"&gt;="&amp;AF$1,INDIRECT("Table1[Obergruppe ATC-Code]"),Tabelle3!$A88)</f>
        <v>0</v>
      </c>
      <c r="AG88">
        <f ca="1">COUNTIFS(INDIRECT("Table1[Beginn]"),"&lt;="&amp;AG$1,INDIRECT("Table1[Ende]"),"&gt;="&amp;AG$1,INDIRECT("Table1[Obergruppe ATC-Code]"),Tabelle3!$A88)</f>
        <v>0</v>
      </c>
      <c r="AH88">
        <f ca="1">COUNTIFS(INDIRECT("Table1[Beginn]"),"&lt;="&amp;AH$1,INDIRECT("Table1[Ende]"),"&gt;="&amp;AH$1,INDIRECT("Table1[Obergruppe ATC-Code]"),Tabelle3!$A88)</f>
        <v>0</v>
      </c>
      <c r="AI88">
        <f ca="1">COUNTIFS(INDIRECT("Table1[Beginn]"),"&lt;="&amp;AI$1,INDIRECT("Table1[Ende]"),"&gt;="&amp;AI$1,INDIRECT("Table1[Obergruppe ATC-Code]"),Tabelle3!$A88)</f>
        <v>0</v>
      </c>
      <c r="AJ88">
        <f ca="1">COUNTIFS(INDIRECT("Table1[Beginn]"),"&lt;="&amp;AJ$1,INDIRECT("Table1[Ende]"),"&gt;="&amp;AJ$1,INDIRECT("Table1[Obergruppe ATC-Code]"),Tabelle3!$A88)</f>
        <v>0</v>
      </c>
      <c r="AK88">
        <f ca="1">COUNTIFS(INDIRECT("Table1[Beginn]"),"&lt;="&amp;AK$1,INDIRECT("Table1[Ende]"),"&gt;="&amp;AK$1,INDIRECT("Table1[Obergruppe ATC-Code]"),Tabelle3!$A88)</f>
        <v>0</v>
      </c>
      <c r="AL88">
        <f ca="1">COUNTIFS(INDIRECT("Table1[Beginn]"),"&lt;="&amp;AL$1,INDIRECT("Table1[Ende]"),"&gt;="&amp;AL$1,INDIRECT("Table1[Obergruppe ATC-Code]"),Tabelle3!$A88)</f>
        <v>0</v>
      </c>
      <c r="AM88">
        <f ca="1">COUNTIFS(INDIRECT("Table1[Beginn]"),"&lt;="&amp;AM$1,INDIRECT("Table1[Ende]"),"&gt;="&amp;AM$1,INDIRECT("Table1[Obergruppe ATC-Code]"),Tabelle3!$A88)</f>
        <v>0</v>
      </c>
      <c r="AN88">
        <f ca="1">COUNTIFS(INDIRECT("Table1[Beginn]"),"&lt;="&amp;AN$1,INDIRECT("Table1[Ende]"),"&gt;="&amp;AN$1,INDIRECT("Table1[Obergruppe ATC-Code]"),Tabelle3!$A88)</f>
        <v>0</v>
      </c>
      <c r="AO88">
        <f ca="1">COUNTIFS(INDIRECT("Table1[Beginn]"),"&lt;="&amp;AO$1,INDIRECT("Table1[Ende]"),"&gt;="&amp;AO$1,INDIRECT("Table1[Obergruppe ATC-Code]"),Tabelle3!$A88)</f>
        <v>0</v>
      </c>
      <c r="AP88">
        <f ca="1">COUNTIFS(INDIRECT("Table1[Beginn]"),"&lt;="&amp;AP$1,INDIRECT("Table1[Ende]"),"&gt;="&amp;AP$1,INDIRECT("Table1[Obergruppe ATC-Code]"),Tabelle3!$A88)</f>
        <v>0</v>
      </c>
      <c r="AQ88">
        <f ca="1">COUNTIFS(INDIRECT("Table1[Beginn]"),"&lt;="&amp;AQ$1,INDIRECT("Table1[Ende]"),"&gt;="&amp;AQ$1,INDIRECT("Table1[Obergruppe ATC-Code]"),Tabelle3!$A88)</f>
        <v>0</v>
      </c>
      <c r="AR88">
        <f ca="1">COUNTIFS(INDIRECT("Table1[Beginn]"),"&lt;="&amp;AR$1,INDIRECT("Table1[Ende]"),"&gt;="&amp;AR$1,INDIRECT("Table1[Obergruppe ATC-Code]"),Tabelle3!$A88)</f>
        <v>0</v>
      </c>
      <c r="AS88">
        <f ca="1">COUNTIFS(INDIRECT("Table1[Beginn]"),"&lt;="&amp;AS$1,INDIRECT("Table1[Ende]"),"&gt;="&amp;AS$1,INDIRECT("Table1[Obergruppe ATC-Code]"),Tabelle3!$A88)</f>
        <v>0</v>
      </c>
      <c r="AT88">
        <f ca="1">COUNTIFS(INDIRECT("Table1[Beginn]"),"&lt;="&amp;AT$1,INDIRECT("Table1[Ende]"),"&gt;="&amp;AT$1,INDIRECT("Table1[Obergruppe ATC-Code]"),Tabelle3!$A88)</f>
        <v>0</v>
      </c>
      <c r="AU88">
        <f ca="1">COUNTIFS(INDIRECT("Table1[Beginn]"),"&lt;="&amp;AU$1,INDIRECT("Table1[Ende]"),"&gt;="&amp;AU$1,INDIRECT("Table1[Obergruppe ATC-Code]"),Tabelle3!$A88)</f>
        <v>0</v>
      </c>
      <c r="AV88">
        <f ca="1">COUNTIFS(INDIRECT("Table1[Beginn]"),"&lt;="&amp;AV$1,INDIRECT("Table1[Ende]"),"&gt;="&amp;AV$1,INDIRECT("Table1[Obergruppe ATC-Code]"),Tabelle3!$A88)</f>
        <v>0</v>
      </c>
      <c r="AW88">
        <f ca="1">COUNTIFS(INDIRECT("Table1[Beginn]"),"&lt;="&amp;AW$1,INDIRECT("Table1[Ende]"),"&gt;="&amp;AW$1,INDIRECT("Table1[Obergruppe ATC-Code]"),Tabelle3!$A88)</f>
        <v>0</v>
      </c>
      <c r="AX88">
        <f ca="1">COUNTIFS(INDIRECT("Table1[Beginn]"),"&lt;="&amp;AX$1,INDIRECT("Table1[Ende]"),"&gt;="&amp;AX$1,INDIRECT("Table1[Obergruppe ATC-Code]"),Tabelle3!$A88)</f>
        <v>0</v>
      </c>
      <c r="AY88">
        <f ca="1">COUNTIFS(INDIRECT("Table1[Beginn]"),"&lt;="&amp;AY$1,INDIRECT("Table1[Ende]"),"&gt;="&amp;AY$1,INDIRECT("Table1[Obergruppe ATC-Code]"),Tabelle3!$A88)</f>
        <v>0</v>
      </c>
      <c r="AZ88">
        <f ca="1">COUNTIFS(INDIRECT("Table1[Beginn]"),"&lt;="&amp;AZ$1,INDIRECT("Table1[Ende]"),"&gt;="&amp;AZ$1,INDIRECT("Table1[Obergruppe ATC-Code]"),Tabelle3!$A88)</f>
        <v>0</v>
      </c>
      <c r="BA88">
        <f ca="1">COUNTIFS(INDIRECT("Table1[Beginn]"),"&lt;="&amp;BA$1,INDIRECT("Table1[Ende]"),"&gt;="&amp;BA$1,INDIRECT("Table1[Obergruppe ATC-Code]"),Tabelle3!$A88)</f>
        <v>0</v>
      </c>
      <c r="BB88">
        <f ca="1">COUNTIFS(INDIRECT("Table1[Beginn]"),"&lt;="&amp;BB$1,INDIRECT("Table1[Ende]"),"&gt;="&amp;BB$1,INDIRECT("Table1[Obergruppe ATC-Code]"),Tabelle3!$A88)</f>
        <v>0</v>
      </c>
      <c r="BC88">
        <f ca="1">COUNTIFS(INDIRECT("Table1[Beginn]"),"&lt;="&amp;BC$1,INDIRECT("Table1[Ende]"),"&gt;="&amp;BC$1,INDIRECT("Table1[Obergruppe ATC-Code]"),Tabelle3!$A88)</f>
        <v>0</v>
      </c>
      <c r="BD88">
        <f ca="1">COUNTIFS(INDIRECT("Table1[Beginn]"),"&lt;="&amp;BD$1,INDIRECT("Table1[Ende]"),"&gt;="&amp;BD$1,INDIRECT("Table1[Obergruppe ATC-Code]"),Tabelle3!$A88)</f>
        <v>0</v>
      </c>
      <c r="BE88">
        <f ca="1">COUNTIFS(INDIRECT("Table1[Beginn]"),"&lt;="&amp;BE$1,INDIRECT("Table1[Ende]"),"&gt;="&amp;BE$1,INDIRECT("Table1[Obergruppe ATC-Code]"),Tabelle3!$A88)</f>
        <v>0</v>
      </c>
      <c r="BF88">
        <f ca="1">COUNTIFS(INDIRECT("Table1[Beginn]"),"&lt;="&amp;BF$1,INDIRECT("Table1[Ende]"),"&gt;="&amp;BF$1,INDIRECT("Table1[Obergruppe ATC-Code]"),Tabelle3!$A88)</f>
        <v>0</v>
      </c>
      <c r="BG88">
        <f ca="1">COUNTIFS(INDIRECT("Table1[Beginn]"),"&lt;="&amp;BG$1,INDIRECT("Table1[Ende]"),"&gt;="&amp;BG$1,INDIRECT("Table1[Obergruppe ATC-Code]"),Tabelle3!$A88)</f>
        <v>0</v>
      </c>
      <c r="BH88">
        <f ca="1">COUNTIFS(INDIRECT("Table1[Beginn]"),"&lt;="&amp;BH$1,INDIRECT("Table1[Ende]"),"&gt;="&amp;BH$1,INDIRECT("Table1[Obergruppe ATC-Code]"),Tabelle3!$A88)</f>
        <v>0</v>
      </c>
      <c r="BI88">
        <f ca="1">COUNTIFS(INDIRECT("Table1[Beginn]"),"&lt;="&amp;BI$1,INDIRECT("Table1[Ende]"),"&gt;="&amp;BI$1,INDIRECT("Table1[Obergruppe ATC-Code]"),Tabelle3!$A88)</f>
        <v>0</v>
      </c>
      <c r="BJ88">
        <f ca="1">COUNTIFS(INDIRECT("Table1[Beginn]"),"&lt;="&amp;BJ$1,INDIRECT("Table1[Ende]"),"&gt;="&amp;BJ$1,INDIRECT("Table1[Obergruppe ATC-Code]"),Tabelle3!$A88)</f>
        <v>0</v>
      </c>
      <c r="BK88">
        <f ca="1">COUNTIFS(INDIRECT("Table1[Beginn]"),"&lt;="&amp;BK$1,INDIRECT("Table1[Ende]"),"&gt;="&amp;BK$1,INDIRECT("Table1[Obergruppe ATC-Code]"),Tabelle3!$A88)</f>
        <v>0</v>
      </c>
      <c r="BL88">
        <f ca="1">COUNTIFS(INDIRECT("Table1[Beginn]"),"&lt;="&amp;BL$1,INDIRECT("Table1[Ende]"),"&gt;="&amp;BL$1,INDIRECT("Table1[Obergruppe ATC-Code]"),Tabelle3!$A88)</f>
        <v>0</v>
      </c>
      <c r="BM88">
        <f ca="1">COUNTIFS(INDIRECT("Table1[Beginn]"),"&lt;="&amp;BM$1,INDIRECT("Table1[Ende]"),"&gt;="&amp;BM$1,INDIRECT("Table1[Obergruppe ATC-Code]"),Tabelle3!$A88)</f>
        <v>0</v>
      </c>
      <c r="BN88">
        <f ca="1">COUNTIFS(INDIRECT("Table1[Beginn]"),"&lt;="&amp;BN$1,INDIRECT("Table1[Ende]"),"&gt;="&amp;BN$1,INDIRECT("Table1[Obergruppe ATC-Code]"),Tabelle3!$A88)</f>
        <v>0</v>
      </c>
      <c r="BO88">
        <f ca="1">COUNTIFS(INDIRECT("Table1[Beginn]"),"&lt;="&amp;BO$1,INDIRECT("Table1[Ende]"),"&gt;="&amp;BO$1,INDIRECT("Table1[Obergruppe ATC-Code]"),Tabelle3!$A88)</f>
        <v>0</v>
      </c>
      <c r="BP88">
        <f ca="1">COUNTIFS(INDIRECT("Table1[Beginn]"),"&lt;="&amp;BP$1,INDIRECT("Table1[Ende]"),"&gt;="&amp;BP$1,INDIRECT("Table1[Obergruppe ATC-Code]"),Tabelle3!$A88)</f>
        <v>0</v>
      </c>
      <c r="BQ88">
        <f ca="1">COUNTIFS(INDIRECT("Table1[Beginn]"),"&lt;="&amp;BQ$1,INDIRECT("Table1[Ende]"),"&gt;="&amp;BQ$1,INDIRECT("Table1[Obergruppe ATC-Code]"),Tabelle3!$A88)</f>
        <v>0</v>
      </c>
      <c r="BR88">
        <f ca="1">COUNTIFS(INDIRECT("Table1[Beginn]"),"&lt;="&amp;BR$1,INDIRECT("Table1[Ende]"),"&gt;="&amp;BR$1,INDIRECT("Table1[Obergruppe ATC-Code]"),Tabelle3!$A88)</f>
        <v>0</v>
      </c>
      <c r="BS88">
        <f ca="1">COUNTIFS(INDIRECT("Table1[Beginn]"),"&lt;="&amp;BS$1,INDIRECT("Table1[Ende]"),"&gt;="&amp;BS$1,INDIRECT("Table1[Obergruppe ATC-Code]"),Tabelle3!$A88)</f>
        <v>0</v>
      </c>
      <c r="BT88">
        <f ca="1">COUNTIFS(INDIRECT("Table1[Beginn]"),"&lt;="&amp;BT$1,INDIRECT("Table1[Ende]"),"&gt;="&amp;BT$1,INDIRECT("Table1[Obergruppe ATC-Code]"),Tabelle3!$A88)</f>
        <v>0</v>
      </c>
      <c r="BU88">
        <f ca="1">COUNTIFS(INDIRECT("Table1[Beginn]"),"&lt;="&amp;BU$1,INDIRECT("Table1[Ende]"),"&gt;="&amp;BU$1,INDIRECT("Table1[Obergruppe ATC-Code]"),Tabelle3!$A88)</f>
        <v>0</v>
      </c>
      <c r="BV88">
        <f ca="1">COUNTIFS(INDIRECT("Table1[Beginn]"),"&lt;="&amp;BV$1,INDIRECT("Table1[Ende]"),"&gt;="&amp;BV$1,INDIRECT("Table1[Obergruppe ATC-Code]"),Tabelle3!$A88)</f>
        <v>0</v>
      </c>
      <c r="BW88">
        <f ca="1">COUNTIFS(INDIRECT("Table1[Beginn]"),"&lt;="&amp;BW$1,INDIRECT("Table1[Ende]"),"&gt;="&amp;BW$1,INDIRECT("Table1[Obergruppe ATC-Code]"),Tabelle3!$A88)</f>
        <v>0</v>
      </c>
      <c r="BX88">
        <f ca="1">COUNTIFS(INDIRECT("Table1[Beginn]"),"&lt;="&amp;BX$1,INDIRECT("Table1[Ende]"),"&gt;="&amp;BX$1,INDIRECT("Table1[Obergruppe ATC-Code]"),Tabelle3!$A88)</f>
        <v>0</v>
      </c>
      <c r="BY88">
        <f ca="1">COUNTIFS(INDIRECT("Table1[Beginn]"),"&lt;="&amp;BY$1,INDIRECT("Table1[Ende]"),"&gt;="&amp;BY$1,INDIRECT("Table1[Obergruppe ATC-Code]"),Tabelle3!$A88)</f>
        <v>0</v>
      </c>
      <c r="BZ88">
        <f ca="1">COUNTIFS(INDIRECT("Table1[Beginn]"),"&lt;="&amp;BZ$1,INDIRECT("Table1[Ende]"),"&gt;="&amp;BZ$1,INDIRECT("Table1[Obergruppe ATC-Code]"),Tabelle3!$A88)</f>
        <v>0</v>
      </c>
      <c r="CA88">
        <f ca="1">COUNTIFS(INDIRECT("Table1[Beginn]"),"&lt;="&amp;CA$1,INDIRECT("Table1[Ende]"),"&gt;="&amp;CA$1,INDIRECT("Table1[Obergruppe ATC-Code]"),Tabelle3!$A88)</f>
        <v>0</v>
      </c>
      <c r="CB88">
        <f ca="1">COUNTIFS(INDIRECT("Table1[Beginn]"),"&lt;="&amp;CB$1,INDIRECT("Table1[Ende]"),"&gt;="&amp;CB$1,INDIRECT("Table1[Obergruppe ATC-Code]"),Tabelle3!$A88)</f>
        <v>0</v>
      </c>
      <c r="CC88">
        <f ca="1">COUNTIFS(INDIRECT("Table1[Beginn]"),"&lt;="&amp;CC$1,INDIRECT("Table1[Ende]"),"&gt;="&amp;CC$1,INDIRECT("Table1[Obergruppe ATC-Code]"),Tabelle3!$A88)</f>
        <v>0</v>
      </c>
      <c r="CD88">
        <f ca="1">COUNTIFS(INDIRECT("Table1[Beginn]"),"&lt;="&amp;CD$1,INDIRECT("Table1[Ende]"),"&gt;="&amp;CD$1,INDIRECT("Table1[Obergruppe ATC-Code]"),Tabelle3!$A88)</f>
        <v>0</v>
      </c>
      <c r="CE88">
        <f ca="1">COUNTIFS(INDIRECT("Table1[Beginn]"),"&lt;="&amp;CE$1,INDIRECT("Table1[Ende]"),"&gt;="&amp;CE$1,INDIRECT("Table1[Obergruppe ATC-Code]"),Tabelle3!$A88)</f>
        <v>0</v>
      </c>
      <c r="CF88">
        <f ca="1">COUNTIFS(INDIRECT("Table1[Beginn]"),"&lt;="&amp;CF$1,INDIRECT("Table1[Ende]"),"&gt;="&amp;CF$1,INDIRECT("Table1[Obergruppe ATC-Code]"),Tabelle3!$A88)</f>
        <v>0</v>
      </c>
      <c r="CG88">
        <f ca="1">COUNTIFS(INDIRECT("Table1[Beginn]"),"&lt;="&amp;CG$1,INDIRECT("Table1[Ende]"),"&gt;="&amp;CG$1,INDIRECT("Table1[Obergruppe ATC-Code]"),Tabelle3!$A88)</f>
        <v>0</v>
      </c>
      <c r="CH88">
        <f ca="1">COUNTIFS(INDIRECT("Table1[Beginn]"),"&lt;="&amp;CH$1,INDIRECT("Table1[Ende]"),"&gt;="&amp;CH$1,INDIRECT("Table1[Obergruppe ATC-Code]"),Tabelle3!$A88)</f>
        <v>0</v>
      </c>
      <c r="CI88">
        <f ca="1">COUNTIFS(INDIRECT("Table1[Beginn]"),"&lt;="&amp;CI$1,INDIRECT("Table1[Ende]"),"&gt;="&amp;CI$1,INDIRECT("Table1[Obergruppe ATC-Code]"),Tabelle3!$A88)</f>
        <v>0</v>
      </c>
      <c r="CJ88">
        <f ca="1">COUNTIFS(INDIRECT("Table1[Beginn]"),"&lt;="&amp;CJ$1,INDIRECT("Table1[Ende]"),"&gt;="&amp;CJ$1,INDIRECT("Table1[Obergruppe ATC-Code]"),Tabelle3!$A88)</f>
        <v>0</v>
      </c>
      <c r="CK88">
        <f ca="1">COUNTIFS(INDIRECT("Table1[Beginn]"),"&lt;="&amp;CK$1,INDIRECT("Table1[Ende]"),"&gt;="&amp;CK$1,INDIRECT("Table1[Obergruppe ATC-Code]"),Tabelle3!$A88)</f>
        <v>0</v>
      </c>
      <c r="CL88">
        <f ca="1">COUNTIFS(INDIRECT("Table1[Beginn]"),"&lt;="&amp;CL$1,INDIRECT("Table1[Ende]"),"&gt;="&amp;CL$1,INDIRECT("Table1[Obergruppe ATC-Code]"),Tabelle3!$A88)</f>
        <v>0</v>
      </c>
      <c r="CM88">
        <f ca="1">COUNTIFS(INDIRECT("Table1[Beginn]"),"&lt;="&amp;CM$1,INDIRECT("Table1[Ende]"),"&gt;="&amp;CM$1,INDIRECT("Table1[Obergruppe ATC-Code]"),Tabelle3!$A88)</f>
        <v>0</v>
      </c>
      <c r="CN88">
        <f ca="1">COUNTIFS(INDIRECT("Table1[Beginn]"),"&lt;="&amp;CN$1,INDIRECT("Table1[Ende]"),"&gt;="&amp;CN$1,INDIRECT("Table1[Obergruppe ATC-Code]"),Tabelle3!$A88)</f>
        <v>0</v>
      </c>
      <c r="CO88">
        <f ca="1">COUNTIFS(INDIRECT("Table1[Beginn]"),"&lt;="&amp;CO$1,INDIRECT("Table1[Ende]"),"&gt;="&amp;CO$1,INDIRECT("Table1[Obergruppe ATC-Code]"),Tabelle3!$A88)</f>
        <v>0</v>
      </c>
      <c r="CP88">
        <f ca="1">COUNTIFS(INDIRECT("Table1[Beginn]"),"&lt;="&amp;CP$1,INDIRECT("Table1[Ende]"),"&gt;="&amp;CP$1,INDIRECT("Table1[Obergruppe ATC-Code]"),Tabelle3!$A88)</f>
        <v>0</v>
      </c>
      <c r="CQ88">
        <f ca="1">COUNTIFS(INDIRECT("Table1[Beginn]"),"&lt;="&amp;CQ$1,INDIRECT("Table1[Ende]"),"&gt;="&amp;CQ$1,INDIRECT("Table1[Obergruppe ATC-Code]"),Tabelle3!$A88)</f>
        <v>0</v>
      </c>
      <c r="CR88">
        <f ca="1">COUNTIFS(INDIRECT("Table1[Beginn]"),"&lt;="&amp;CR$1,INDIRECT("Table1[Ende]"),"&gt;="&amp;CR$1,INDIRECT("Table1[Obergruppe ATC-Code]"),Tabelle3!$A88)</f>
        <v>0</v>
      </c>
      <c r="CS88">
        <f ca="1">COUNTIFS(INDIRECT("Table1[Beginn]"),"&lt;="&amp;CS$1,INDIRECT("Table1[Ende]"),"&gt;="&amp;CS$1,INDIRECT("Table1[Obergruppe ATC-Code]"),Tabelle3!$A88)</f>
        <v>0</v>
      </c>
      <c r="CT88">
        <f ca="1">COUNTIFS(INDIRECT("Table1[Beginn]"),"&lt;="&amp;CT$1,INDIRECT("Table1[Ende]"),"&gt;="&amp;CT$1,INDIRECT("Table1[Obergruppe ATC-Code]"),Tabelle3!$A88)</f>
        <v>0</v>
      </c>
    </row>
    <row r="89" spans="1:98" ht="18">
      <c r="A89" s="9" t="s">
        <v>6946</v>
      </c>
      <c r="B89" s="10" t="s">
        <v>6947</v>
      </c>
      <c r="C89">
        <f ca="1">COUNTIFS(INDIRECT("Table1[Beginn]"),"&lt;="&amp;C$1,INDIRECT("Table1[Ende]"),"&gt;="&amp;C$1,INDIRECT("Table1[Obergruppe ATC-Code]"),Tabelle3!$A89)</f>
        <v>0</v>
      </c>
      <c r="D89">
        <f ca="1">COUNTIFS(INDIRECT("Table1[Beginn]"),"&lt;="&amp;D$1,INDIRECT("Table1[Ende]"),"&gt;="&amp;D$1,INDIRECT("Table1[Obergruppe ATC-Code]"),Tabelle3!$A89)</f>
        <v>0</v>
      </c>
      <c r="E89">
        <f ca="1">COUNTIFS(INDIRECT("Table1[Beginn]"),"&lt;="&amp;E$1,INDIRECT("Table1[Ende]"),"&gt;="&amp;E$1,INDIRECT("Table1[Obergruppe ATC-Code]"),Tabelle3!$A89)</f>
        <v>0</v>
      </c>
      <c r="F89">
        <f ca="1">COUNTIFS(INDIRECT("Table1[Beginn]"),"&lt;="&amp;F$1,INDIRECT("Table1[Ende]"),"&gt;="&amp;F$1,INDIRECT("Table1[Obergruppe ATC-Code]"),Tabelle3!$A89)</f>
        <v>0</v>
      </c>
      <c r="G89">
        <f ca="1">COUNTIFS(INDIRECT("Table1[Beginn]"),"&lt;="&amp;G$1,INDIRECT("Table1[Ende]"),"&gt;="&amp;G$1,INDIRECT("Table1[Obergruppe ATC-Code]"),Tabelle3!$A89)</f>
        <v>0</v>
      </c>
      <c r="H89">
        <f ca="1">COUNTIFS(INDIRECT("Table1[Beginn]"),"&lt;="&amp;H$1,INDIRECT("Table1[Ende]"),"&gt;="&amp;H$1,INDIRECT("Table1[Obergruppe ATC-Code]"),Tabelle3!$A89)</f>
        <v>0</v>
      </c>
      <c r="I89">
        <f ca="1">COUNTIFS(INDIRECT("Table1[Beginn]"),"&lt;="&amp;I$1,INDIRECT("Table1[Ende]"),"&gt;="&amp;I$1,INDIRECT("Table1[Obergruppe ATC-Code]"),Tabelle3!$A89)</f>
        <v>0</v>
      </c>
      <c r="J89">
        <f ca="1">COUNTIFS(INDIRECT("Table1[Beginn]"),"&lt;="&amp;J$1,INDIRECT("Table1[Ende]"),"&gt;="&amp;J$1,INDIRECT("Table1[Obergruppe ATC-Code]"),Tabelle3!$A89)</f>
        <v>0</v>
      </c>
      <c r="K89">
        <f ca="1">COUNTIFS(INDIRECT("Table1[Beginn]"),"&lt;="&amp;K$1,INDIRECT("Table1[Ende]"),"&gt;="&amp;K$1,INDIRECT("Table1[Obergruppe ATC-Code]"),Tabelle3!$A89)</f>
        <v>0</v>
      </c>
      <c r="L89">
        <f ca="1">COUNTIFS(INDIRECT("Table1[Beginn]"),"&lt;="&amp;L$1,INDIRECT("Table1[Ende]"),"&gt;="&amp;L$1,INDIRECT("Table1[Obergruppe ATC-Code]"),Tabelle3!$A89)</f>
        <v>0</v>
      </c>
      <c r="M89">
        <f ca="1">COUNTIFS(INDIRECT("Table1[Beginn]"),"&lt;="&amp;M$1,INDIRECT("Table1[Ende]"),"&gt;="&amp;M$1,INDIRECT("Table1[Obergruppe ATC-Code]"),Tabelle3!$A89)</f>
        <v>0</v>
      </c>
      <c r="N89">
        <f ca="1">COUNTIFS(INDIRECT("Table1[Beginn]"),"&lt;="&amp;N$1,INDIRECT("Table1[Ende]"),"&gt;="&amp;N$1,INDIRECT("Table1[Obergruppe ATC-Code]"),Tabelle3!$A89)</f>
        <v>0</v>
      </c>
      <c r="O89">
        <f ca="1">COUNTIFS(INDIRECT("Table1[Beginn]"),"&lt;="&amp;O$1,INDIRECT("Table1[Ende]"),"&gt;="&amp;O$1,INDIRECT("Table1[Obergruppe ATC-Code]"),Tabelle3!$A89)</f>
        <v>0</v>
      </c>
      <c r="P89">
        <f ca="1">COUNTIFS(INDIRECT("Table1[Beginn]"),"&lt;="&amp;P$1,INDIRECT("Table1[Ende]"),"&gt;="&amp;P$1,INDIRECT("Table1[Obergruppe ATC-Code]"),Tabelle3!$A89)</f>
        <v>0</v>
      </c>
      <c r="Q89">
        <f ca="1">COUNTIFS(INDIRECT("Table1[Beginn]"),"&lt;="&amp;Q$1,INDIRECT("Table1[Ende]"),"&gt;="&amp;Q$1,INDIRECT("Table1[Obergruppe ATC-Code]"),Tabelle3!$A89)</f>
        <v>0</v>
      </c>
      <c r="R89">
        <f ca="1">COUNTIFS(INDIRECT("Table1[Beginn]"),"&lt;="&amp;R$1,INDIRECT("Table1[Ende]"),"&gt;="&amp;R$1,INDIRECT("Table1[Obergruppe ATC-Code]"),Tabelle3!$A89)</f>
        <v>0</v>
      </c>
      <c r="S89">
        <f ca="1">COUNTIFS(INDIRECT("Table1[Beginn]"),"&lt;="&amp;S$1,INDIRECT("Table1[Ende]"),"&gt;="&amp;S$1,INDIRECT("Table1[Obergruppe ATC-Code]"),Tabelle3!$A89)</f>
        <v>0</v>
      </c>
      <c r="T89">
        <f ca="1">COUNTIFS(INDIRECT("Table1[Beginn]"),"&lt;="&amp;T$1,INDIRECT("Table1[Ende]"),"&gt;="&amp;T$1,INDIRECT("Table1[Obergruppe ATC-Code]"),Tabelle3!$A89)</f>
        <v>0</v>
      </c>
      <c r="U89">
        <f ca="1">COUNTIFS(INDIRECT("Table1[Beginn]"),"&lt;="&amp;U$1,INDIRECT("Table1[Ende]"),"&gt;="&amp;U$1,INDIRECT("Table1[Obergruppe ATC-Code]"),Tabelle3!$A89)</f>
        <v>0</v>
      </c>
      <c r="V89">
        <f ca="1">COUNTIFS(INDIRECT("Table1[Beginn]"),"&lt;="&amp;V$1,INDIRECT("Table1[Ende]"),"&gt;="&amp;V$1,INDIRECT("Table1[Obergruppe ATC-Code]"),Tabelle3!$A89)</f>
        <v>0</v>
      </c>
      <c r="W89">
        <f ca="1">COUNTIFS(INDIRECT("Table1[Beginn]"),"&lt;="&amp;W$1,INDIRECT("Table1[Ende]"),"&gt;="&amp;W$1,INDIRECT("Table1[Obergruppe ATC-Code]"),Tabelle3!$A89)</f>
        <v>0</v>
      </c>
      <c r="X89">
        <f ca="1">COUNTIFS(INDIRECT("Table1[Beginn]"),"&lt;="&amp;X$1,INDIRECT("Table1[Ende]"),"&gt;="&amp;X$1,INDIRECT("Table1[Obergruppe ATC-Code]"),Tabelle3!$A89)</f>
        <v>0</v>
      </c>
      <c r="Y89">
        <f ca="1">COUNTIFS(INDIRECT("Table1[Beginn]"),"&lt;="&amp;Y$1,INDIRECT("Table1[Ende]"),"&gt;="&amp;Y$1,INDIRECT("Table1[Obergruppe ATC-Code]"),Tabelle3!$A89)</f>
        <v>0</v>
      </c>
      <c r="Z89">
        <f ca="1">COUNTIFS(INDIRECT("Table1[Beginn]"),"&lt;="&amp;Z$1,INDIRECT("Table1[Ende]"),"&gt;="&amp;Z$1,INDIRECT("Table1[Obergruppe ATC-Code]"),Tabelle3!$A89)</f>
        <v>0</v>
      </c>
      <c r="AA89">
        <f ca="1">COUNTIFS(INDIRECT("Table1[Beginn]"),"&lt;="&amp;AA$1,INDIRECT("Table1[Ende]"),"&gt;="&amp;AA$1,INDIRECT("Table1[Obergruppe ATC-Code]"),Tabelle3!$A89)</f>
        <v>0</v>
      </c>
      <c r="AB89">
        <f ca="1">COUNTIFS(INDIRECT("Table1[Beginn]"),"&lt;="&amp;AB$1,INDIRECT("Table1[Ende]"),"&gt;="&amp;AB$1,INDIRECT("Table1[Obergruppe ATC-Code]"),Tabelle3!$A89)</f>
        <v>0</v>
      </c>
      <c r="AC89">
        <f ca="1">COUNTIFS(INDIRECT("Table1[Beginn]"),"&lt;="&amp;AC$1,INDIRECT("Table1[Ende]"),"&gt;="&amp;AC$1,INDIRECT("Table1[Obergruppe ATC-Code]"),Tabelle3!$A89)</f>
        <v>0</v>
      </c>
      <c r="AD89">
        <f ca="1">COUNTIFS(INDIRECT("Table1[Beginn]"),"&lt;="&amp;AD$1,INDIRECT("Table1[Ende]"),"&gt;="&amp;AD$1,INDIRECT("Table1[Obergruppe ATC-Code]"),Tabelle3!$A89)</f>
        <v>0</v>
      </c>
      <c r="AE89">
        <f ca="1">COUNTIFS(INDIRECT("Table1[Beginn]"),"&lt;="&amp;AE$1,INDIRECT("Table1[Ende]"),"&gt;="&amp;AE$1,INDIRECT("Table1[Obergruppe ATC-Code]"),Tabelle3!$A89)</f>
        <v>0</v>
      </c>
      <c r="AF89">
        <f ca="1">COUNTIFS(INDIRECT("Table1[Beginn]"),"&lt;="&amp;AF$1,INDIRECT("Table1[Ende]"),"&gt;="&amp;AF$1,INDIRECT("Table1[Obergruppe ATC-Code]"),Tabelle3!$A89)</f>
        <v>0</v>
      </c>
      <c r="AG89">
        <f ca="1">COUNTIFS(INDIRECT("Table1[Beginn]"),"&lt;="&amp;AG$1,INDIRECT("Table1[Ende]"),"&gt;="&amp;AG$1,INDIRECT("Table1[Obergruppe ATC-Code]"),Tabelle3!$A89)</f>
        <v>0</v>
      </c>
      <c r="AH89">
        <f ca="1">COUNTIFS(INDIRECT("Table1[Beginn]"),"&lt;="&amp;AH$1,INDIRECT("Table1[Ende]"),"&gt;="&amp;AH$1,INDIRECT("Table1[Obergruppe ATC-Code]"),Tabelle3!$A89)</f>
        <v>0</v>
      </c>
      <c r="AI89">
        <f ca="1">COUNTIFS(INDIRECT("Table1[Beginn]"),"&lt;="&amp;AI$1,INDIRECT("Table1[Ende]"),"&gt;="&amp;AI$1,INDIRECT("Table1[Obergruppe ATC-Code]"),Tabelle3!$A89)</f>
        <v>0</v>
      </c>
      <c r="AJ89">
        <f ca="1">COUNTIFS(INDIRECT("Table1[Beginn]"),"&lt;="&amp;AJ$1,INDIRECT("Table1[Ende]"),"&gt;="&amp;AJ$1,INDIRECT("Table1[Obergruppe ATC-Code]"),Tabelle3!$A89)</f>
        <v>0</v>
      </c>
      <c r="AK89">
        <f ca="1">COUNTIFS(INDIRECT("Table1[Beginn]"),"&lt;="&amp;AK$1,INDIRECT("Table1[Ende]"),"&gt;="&amp;AK$1,INDIRECT("Table1[Obergruppe ATC-Code]"),Tabelle3!$A89)</f>
        <v>0</v>
      </c>
      <c r="AL89">
        <f ca="1">COUNTIFS(INDIRECT("Table1[Beginn]"),"&lt;="&amp;AL$1,INDIRECT("Table1[Ende]"),"&gt;="&amp;AL$1,INDIRECT("Table1[Obergruppe ATC-Code]"),Tabelle3!$A89)</f>
        <v>0</v>
      </c>
      <c r="AM89">
        <f ca="1">COUNTIFS(INDIRECT("Table1[Beginn]"),"&lt;="&amp;AM$1,INDIRECT("Table1[Ende]"),"&gt;="&amp;AM$1,INDIRECT("Table1[Obergruppe ATC-Code]"),Tabelle3!$A89)</f>
        <v>0</v>
      </c>
      <c r="AN89">
        <f ca="1">COUNTIFS(INDIRECT("Table1[Beginn]"),"&lt;="&amp;AN$1,INDIRECT("Table1[Ende]"),"&gt;="&amp;AN$1,INDIRECT("Table1[Obergruppe ATC-Code]"),Tabelle3!$A89)</f>
        <v>0</v>
      </c>
      <c r="AO89">
        <f ca="1">COUNTIFS(INDIRECT("Table1[Beginn]"),"&lt;="&amp;AO$1,INDIRECT("Table1[Ende]"),"&gt;="&amp;AO$1,INDIRECT("Table1[Obergruppe ATC-Code]"),Tabelle3!$A89)</f>
        <v>0</v>
      </c>
      <c r="AP89">
        <f ca="1">COUNTIFS(INDIRECT("Table1[Beginn]"),"&lt;="&amp;AP$1,INDIRECT("Table1[Ende]"),"&gt;="&amp;AP$1,INDIRECT("Table1[Obergruppe ATC-Code]"),Tabelle3!$A89)</f>
        <v>0</v>
      </c>
      <c r="AQ89">
        <f ca="1">COUNTIFS(INDIRECT("Table1[Beginn]"),"&lt;="&amp;AQ$1,INDIRECT("Table1[Ende]"),"&gt;="&amp;AQ$1,INDIRECT("Table1[Obergruppe ATC-Code]"),Tabelle3!$A89)</f>
        <v>0</v>
      </c>
      <c r="AR89">
        <f ca="1">COUNTIFS(INDIRECT("Table1[Beginn]"),"&lt;="&amp;AR$1,INDIRECT("Table1[Ende]"),"&gt;="&amp;AR$1,INDIRECT("Table1[Obergruppe ATC-Code]"),Tabelle3!$A89)</f>
        <v>0</v>
      </c>
      <c r="AS89">
        <f ca="1">COUNTIFS(INDIRECT("Table1[Beginn]"),"&lt;="&amp;AS$1,INDIRECT("Table1[Ende]"),"&gt;="&amp;AS$1,INDIRECT("Table1[Obergruppe ATC-Code]"),Tabelle3!$A89)</f>
        <v>0</v>
      </c>
      <c r="AT89">
        <f ca="1">COUNTIFS(INDIRECT("Table1[Beginn]"),"&lt;="&amp;AT$1,INDIRECT("Table1[Ende]"),"&gt;="&amp;AT$1,INDIRECT("Table1[Obergruppe ATC-Code]"),Tabelle3!$A89)</f>
        <v>0</v>
      </c>
      <c r="AU89">
        <f ca="1">COUNTIFS(INDIRECT("Table1[Beginn]"),"&lt;="&amp;AU$1,INDIRECT("Table1[Ende]"),"&gt;="&amp;AU$1,INDIRECT("Table1[Obergruppe ATC-Code]"),Tabelle3!$A89)</f>
        <v>0</v>
      </c>
      <c r="AV89">
        <f ca="1">COUNTIFS(INDIRECT("Table1[Beginn]"),"&lt;="&amp;AV$1,INDIRECT("Table1[Ende]"),"&gt;="&amp;AV$1,INDIRECT("Table1[Obergruppe ATC-Code]"),Tabelle3!$A89)</f>
        <v>0</v>
      </c>
      <c r="AW89">
        <f ca="1">COUNTIFS(INDIRECT("Table1[Beginn]"),"&lt;="&amp;AW$1,INDIRECT("Table1[Ende]"),"&gt;="&amp;AW$1,INDIRECT("Table1[Obergruppe ATC-Code]"),Tabelle3!$A89)</f>
        <v>0</v>
      </c>
      <c r="AX89">
        <f ca="1">COUNTIFS(INDIRECT("Table1[Beginn]"),"&lt;="&amp;AX$1,INDIRECT("Table1[Ende]"),"&gt;="&amp;AX$1,INDIRECT("Table1[Obergruppe ATC-Code]"),Tabelle3!$A89)</f>
        <v>0</v>
      </c>
      <c r="AY89">
        <f ca="1">COUNTIFS(INDIRECT("Table1[Beginn]"),"&lt;="&amp;AY$1,INDIRECT("Table1[Ende]"),"&gt;="&amp;AY$1,INDIRECT("Table1[Obergruppe ATC-Code]"),Tabelle3!$A89)</f>
        <v>0</v>
      </c>
      <c r="AZ89">
        <f ca="1">COUNTIFS(INDIRECT("Table1[Beginn]"),"&lt;="&amp;AZ$1,INDIRECT("Table1[Ende]"),"&gt;="&amp;AZ$1,INDIRECT("Table1[Obergruppe ATC-Code]"),Tabelle3!$A89)</f>
        <v>0</v>
      </c>
      <c r="BA89">
        <f ca="1">COUNTIFS(INDIRECT("Table1[Beginn]"),"&lt;="&amp;BA$1,INDIRECT("Table1[Ende]"),"&gt;="&amp;BA$1,INDIRECT("Table1[Obergruppe ATC-Code]"),Tabelle3!$A89)</f>
        <v>0</v>
      </c>
      <c r="BB89">
        <f ca="1">COUNTIFS(INDIRECT("Table1[Beginn]"),"&lt;="&amp;BB$1,INDIRECT("Table1[Ende]"),"&gt;="&amp;BB$1,INDIRECT("Table1[Obergruppe ATC-Code]"),Tabelle3!$A89)</f>
        <v>0</v>
      </c>
      <c r="BC89">
        <f ca="1">COUNTIFS(INDIRECT("Table1[Beginn]"),"&lt;="&amp;BC$1,INDIRECT("Table1[Ende]"),"&gt;="&amp;BC$1,INDIRECT("Table1[Obergruppe ATC-Code]"),Tabelle3!$A89)</f>
        <v>0</v>
      </c>
      <c r="BD89">
        <f ca="1">COUNTIFS(INDIRECT("Table1[Beginn]"),"&lt;="&amp;BD$1,INDIRECT("Table1[Ende]"),"&gt;="&amp;BD$1,INDIRECT("Table1[Obergruppe ATC-Code]"),Tabelle3!$A89)</f>
        <v>0</v>
      </c>
      <c r="BE89">
        <f ca="1">COUNTIFS(INDIRECT("Table1[Beginn]"),"&lt;="&amp;BE$1,INDIRECT("Table1[Ende]"),"&gt;="&amp;BE$1,INDIRECT("Table1[Obergruppe ATC-Code]"),Tabelle3!$A89)</f>
        <v>0</v>
      </c>
      <c r="BF89">
        <f ca="1">COUNTIFS(INDIRECT("Table1[Beginn]"),"&lt;="&amp;BF$1,INDIRECT("Table1[Ende]"),"&gt;="&amp;BF$1,INDIRECT("Table1[Obergruppe ATC-Code]"),Tabelle3!$A89)</f>
        <v>0</v>
      </c>
      <c r="BG89">
        <f ca="1">COUNTIFS(INDIRECT("Table1[Beginn]"),"&lt;="&amp;BG$1,INDIRECT("Table1[Ende]"),"&gt;="&amp;BG$1,INDIRECT("Table1[Obergruppe ATC-Code]"),Tabelle3!$A89)</f>
        <v>0</v>
      </c>
      <c r="BH89">
        <f ca="1">COUNTIFS(INDIRECT("Table1[Beginn]"),"&lt;="&amp;BH$1,INDIRECT("Table1[Ende]"),"&gt;="&amp;BH$1,INDIRECT("Table1[Obergruppe ATC-Code]"),Tabelle3!$A89)</f>
        <v>0</v>
      </c>
      <c r="BI89">
        <f ca="1">COUNTIFS(INDIRECT("Table1[Beginn]"),"&lt;="&amp;BI$1,INDIRECT("Table1[Ende]"),"&gt;="&amp;BI$1,INDIRECT("Table1[Obergruppe ATC-Code]"),Tabelle3!$A89)</f>
        <v>0</v>
      </c>
      <c r="BJ89">
        <f ca="1">COUNTIFS(INDIRECT("Table1[Beginn]"),"&lt;="&amp;BJ$1,INDIRECT("Table1[Ende]"),"&gt;="&amp;BJ$1,INDIRECT("Table1[Obergruppe ATC-Code]"),Tabelle3!$A89)</f>
        <v>0</v>
      </c>
      <c r="BK89">
        <f ca="1">COUNTIFS(INDIRECT("Table1[Beginn]"),"&lt;="&amp;BK$1,INDIRECT("Table1[Ende]"),"&gt;="&amp;BK$1,INDIRECT("Table1[Obergruppe ATC-Code]"),Tabelle3!$A89)</f>
        <v>0</v>
      </c>
      <c r="BL89">
        <f ca="1">COUNTIFS(INDIRECT("Table1[Beginn]"),"&lt;="&amp;BL$1,INDIRECT("Table1[Ende]"),"&gt;="&amp;BL$1,INDIRECT("Table1[Obergruppe ATC-Code]"),Tabelle3!$A89)</f>
        <v>0</v>
      </c>
      <c r="BM89">
        <f ca="1">COUNTIFS(INDIRECT("Table1[Beginn]"),"&lt;="&amp;BM$1,INDIRECT("Table1[Ende]"),"&gt;="&amp;BM$1,INDIRECT("Table1[Obergruppe ATC-Code]"),Tabelle3!$A89)</f>
        <v>0</v>
      </c>
      <c r="BN89">
        <f ca="1">COUNTIFS(INDIRECT("Table1[Beginn]"),"&lt;="&amp;BN$1,INDIRECT("Table1[Ende]"),"&gt;="&amp;BN$1,INDIRECT("Table1[Obergruppe ATC-Code]"),Tabelle3!$A89)</f>
        <v>0</v>
      </c>
      <c r="BO89">
        <f ca="1">COUNTIFS(INDIRECT("Table1[Beginn]"),"&lt;="&amp;BO$1,INDIRECT("Table1[Ende]"),"&gt;="&amp;BO$1,INDIRECT("Table1[Obergruppe ATC-Code]"),Tabelle3!$A89)</f>
        <v>0</v>
      </c>
      <c r="BP89">
        <f ca="1">COUNTIFS(INDIRECT("Table1[Beginn]"),"&lt;="&amp;BP$1,INDIRECT("Table1[Ende]"),"&gt;="&amp;BP$1,INDIRECT("Table1[Obergruppe ATC-Code]"),Tabelle3!$A89)</f>
        <v>0</v>
      </c>
      <c r="BQ89">
        <f ca="1">COUNTIFS(INDIRECT("Table1[Beginn]"),"&lt;="&amp;BQ$1,INDIRECT("Table1[Ende]"),"&gt;="&amp;BQ$1,INDIRECT("Table1[Obergruppe ATC-Code]"),Tabelle3!$A89)</f>
        <v>0</v>
      </c>
      <c r="BR89">
        <f ca="1">COUNTIFS(INDIRECT("Table1[Beginn]"),"&lt;="&amp;BR$1,INDIRECT("Table1[Ende]"),"&gt;="&amp;BR$1,INDIRECT("Table1[Obergruppe ATC-Code]"),Tabelle3!$A89)</f>
        <v>0</v>
      </c>
      <c r="BS89">
        <f ca="1">COUNTIFS(INDIRECT("Table1[Beginn]"),"&lt;="&amp;BS$1,INDIRECT("Table1[Ende]"),"&gt;="&amp;BS$1,INDIRECT("Table1[Obergruppe ATC-Code]"),Tabelle3!$A89)</f>
        <v>0</v>
      </c>
      <c r="BT89">
        <f ca="1">COUNTIFS(INDIRECT("Table1[Beginn]"),"&lt;="&amp;BT$1,INDIRECT("Table1[Ende]"),"&gt;="&amp;BT$1,INDIRECT("Table1[Obergruppe ATC-Code]"),Tabelle3!$A89)</f>
        <v>0</v>
      </c>
      <c r="BU89">
        <f ca="1">COUNTIFS(INDIRECT("Table1[Beginn]"),"&lt;="&amp;BU$1,INDIRECT("Table1[Ende]"),"&gt;="&amp;BU$1,INDIRECT("Table1[Obergruppe ATC-Code]"),Tabelle3!$A89)</f>
        <v>0</v>
      </c>
      <c r="BV89">
        <f ca="1">COUNTIFS(INDIRECT("Table1[Beginn]"),"&lt;="&amp;BV$1,INDIRECT("Table1[Ende]"),"&gt;="&amp;BV$1,INDIRECT("Table1[Obergruppe ATC-Code]"),Tabelle3!$A89)</f>
        <v>0</v>
      </c>
      <c r="BW89">
        <f ca="1">COUNTIFS(INDIRECT("Table1[Beginn]"),"&lt;="&amp;BW$1,INDIRECT("Table1[Ende]"),"&gt;="&amp;BW$1,INDIRECT("Table1[Obergruppe ATC-Code]"),Tabelle3!$A89)</f>
        <v>0</v>
      </c>
      <c r="BX89">
        <f ca="1">COUNTIFS(INDIRECT("Table1[Beginn]"),"&lt;="&amp;BX$1,INDIRECT("Table1[Ende]"),"&gt;="&amp;BX$1,INDIRECT("Table1[Obergruppe ATC-Code]"),Tabelle3!$A89)</f>
        <v>0</v>
      </c>
      <c r="BY89">
        <f ca="1">COUNTIFS(INDIRECT("Table1[Beginn]"),"&lt;="&amp;BY$1,INDIRECT("Table1[Ende]"),"&gt;="&amp;BY$1,INDIRECT("Table1[Obergruppe ATC-Code]"),Tabelle3!$A89)</f>
        <v>0</v>
      </c>
      <c r="BZ89">
        <f ca="1">COUNTIFS(INDIRECT("Table1[Beginn]"),"&lt;="&amp;BZ$1,INDIRECT("Table1[Ende]"),"&gt;="&amp;BZ$1,INDIRECT("Table1[Obergruppe ATC-Code]"),Tabelle3!$A89)</f>
        <v>0</v>
      </c>
      <c r="CA89">
        <f ca="1">COUNTIFS(INDIRECT("Table1[Beginn]"),"&lt;="&amp;CA$1,INDIRECT("Table1[Ende]"),"&gt;="&amp;CA$1,INDIRECT("Table1[Obergruppe ATC-Code]"),Tabelle3!$A89)</f>
        <v>0</v>
      </c>
      <c r="CB89">
        <f ca="1">COUNTIFS(INDIRECT("Table1[Beginn]"),"&lt;="&amp;CB$1,INDIRECT("Table1[Ende]"),"&gt;="&amp;CB$1,INDIRECT("Table1[Obergruppe ATC-Code]"),Tabelle3!$A89)</f>
        <v>0</v>
      </c>
      <c r="CC89">
        <f ca="1">COUNTIFS(INDIRECT("Table1[Beginn]"),"&lt;="&amp;CC$1,INDIRECT("Table1[Ende]"),"&gt;="&amp;CC$1,INDIRECT("Table1[Obergruppe ATC-Code]"),Tabelle3!$A89)</f>
        <v>0</v>
      </c>
      <c r="CD89">
        <f ca="1">COUNTIFS(INDIRECT("Table1[Beginn]"),"&lt;="&amp;CD$1,INDIRECT("Table1[Ende]"),"&gt;="&amp;CD$1,INDIRECT("Table1[Obergruppe ATC-Code]"),Tabelle3!$A89)</f>
        <v>0</v>
      </c>
      <c r="CE89">
        <f ca="1">COUNTIFS(INDIRECT("Table1[Beginn]"),"&lt;="&amp;CE$1,INDIRECT("Table1[Ende]"),"&gt;="&amp;CE$1,INDIRECT("Table1[Obergruppe ATC-Code]"),Tabelle3!$A89)</f>
        <v>0</v>
      </c>
      <c r="CF89">
        <f ca="1">COUNTIFS(INDIRECT("Table1[Beginn]"),"&lt;="&amp;CF$1,INDIRECT("Table1[Ende]"),"&gt;="&amp;CF$1,INDIRECT("Table1[Obergruppe ATC-Code]"),Tabelle3!$A89)</f>
        <v>0</v>
      </c>
      <c r="CG89">
        <f ca="1">COUNTIFS(INDIRECT("Table1[Beginn]"),"&lt;="&amp;CG$1,INDIRECT("Table1[Ende]"),"&gt;="&amp;CG$1,INDIRECT("Table1[Obergruppe ATC-Code]"),Tabelle3!$A89)</f>
        <v>0</v>
      </c>
      <c r="CH89">
        <f ca="1">COUNTIFS(INDIRECT("Table1[Beginn]"),"&lt;="&amp;CH$1,INDIRECT("Table1[Ende]"),"&gt;="&amp;CH$1,INDIRECT("Table1[Obergruppe ATC-Code]"),Tabelle3!$A89)</f>
        <v>0</v>
      </c>
      <c r="CI89">
        <f ca="1">COUNTIFS(INDIRECT("Table1[Beginn]"),"&lt;="&amp;CI$1,INDIRECT("Table1[Ende]"),"&gt;="&amp;CI$1,INDIRECT("Table1[Obergruppe ATC-Code]"),Tabelle3!$A89)</f>
        <v>0</v>
      </c>
      <c r="CJ89">
        <f ca="1">COUNTIFS(INDIRECT("Table1[Beginn]"),"&lt;="&amp;CJ$1,INDIRECT("Table1[Ende]"),"&gt;="&amp;CJ$1,INDIRECT("Table1[Obergruppe ATC-Code]"),Tabelle3!$A89)</f>
        <v>0</v>
      </c>
      <c r="CK89">
        <f ca="1">COUNTIFS(INDIRECT("Table1[Beginn]"),"&lt;="&amp;CK$1,INDIRECT("Table1[Ende]"),"&gt;="&amp;CK$1,INDIRECT("Table1[Obergruppe ATC-Code]"),Tabelle3!$A89)</f>
        <v>0</v>
      </c>
      <c r="CL89">
        <f ca="1">COUNTIFS(INDIRECT("Table1[Beginn]"),"&lt;="&amp;CL$1,INDIRECT("Table1[Ende]"),"&gt;="&amp;CL$1,INDIRECT("Table1[Obergruppe ATC-Code]"),Tabelle3!$A89)</f>
        <v>0</v>
      </c>
      <c r="CM89">
        <f ca="1">COUNTIFS(INDIRECT("Table1[Beginn]"),"&lt;="&amp;CM$1,INDIRECT("Table1[Ende]"),"&gt;="&amp;CM$1,INDIRECT("Table1[Obergruppe ATC-Code]"),Tabelle3!$A89)</f>
        <v>0</v>
      </c>
      <c r="CN89">
        <f ca="1">COUNTIFS(INDIRECT("Table1[Beginn]"),"&lt;="&amp;CN$1,INDIRECT("Table1[Ende]"),"&gt;="&amp;CN$1,INDIRECT("Table1[Obergruppe ATC-Code]"),Tabelle3!$A89)</f>
        <v>0</v>
      </c>
      <c r="CO89">
        <f ca="1">COUNTIFS(INDIRECT("Table1[Beginn]"),"&lt;="&amp;CO$1,INDIRECT("Table1[Ende]"),"&gt;="&amp;CO$1,INDIRECT("Table1[Obergruppe ATC-Code]"),Tabelle3!$A89)</f>
        <v>0</v>
      </c>
      <c r="CP89">
        <f ca="1">COUNTIFS(INDIRECT("Table1[Beginn]"),"&lt;="&amp;CP$1,INDIRECT("Table1[Ende]"),"&gt;="&amp;CP$1,INDIRECT("Table1[Obergruppe ATC-Code]"),Tabelle3!$A89)</f>
        <v>0</v>
      </c>
      <c r="CQ89">
        <f ca="1">COUNTIFS(INDIRECT("Table1[Beginn]"),"&lt;="&amp;CQ$1,INDIRECT("Table1[Ende]"),"&gt;="&amp;CQ$1,INDIRECT("Table1[Obergruppe ATC-Code]"),Tabelle3!$A89)</f>
        <v>0</v>
      </c>
      <c r="CR89">
        <f ca="1">COUNTIFS(INDIRECT("Table1[Beginn]"),"&lt;="&amp;CR$1,INDIRECT("Table1[Ende]"),"&gt;="&amp;CR$1,INDIRECT("Table1[Obergruppe ATC-Code]"),Tabelle3!$A89)</f>
        <v>0</v>
      </c>
      <c r="CS89">
        <f ca="1">COUNTIFS(INDIRECT("Table1[Beginn]"),"&lt;="&amp;CS$1,INDIRECT("Table1[Ende]"),"&gt;="&amp;CS$1,INDIRECT("Table1[Obergruppe ATC-Code]"),Tabelle3!$A89)</f>
        <v>0</v>
      </c>
      <c r="CT89">
        <f ca="1">COUNTIFS(INDIRECT("Table1[Beginn]"),"&lt;="&amp;CT$1,INDIRECT("Table1[Ende]"),"&gt;="&amp;CT$1,INDIRECT("Table1[Obergruppe ATC-Code]"),Tabelle3!$A89)</f>
        <v>0</v>
      </c>
    </row>
    <row r="90" spans="1:98" ht="18">
      <c r="A90" s="7" t="s">
        <v>6948</v>
      </c>
      <c r="B90" s="8" t="s">
        <v>6949</v>
      </c>
      <c r="C90">
        <f ca="1">COUNTIFS(INDIRECT("Table1[Beginn]"),"&lt;="&amp;C$1,INDIRECT("Table1[Ende]"),"&gt;="&amp;C$1,INDIRECT("Table1[Obergruppe ATC-Code]"),Tabelle3!$A90)</f>
        <v>2</v>
      </c>
      <c r="D90">
        <f ca="1">COUNTIFS(INDIRECT("Table1[Beginn]"),"&lt;="&amp;D$1,INDIRECT("Table1[Ende]"),"&gt;="&amp;D$1,INDIRECT("Table1[Obergruppe ATC-Code]"),Tabelle3!$A90)</f>
        <v>2</v>
      </c>
      <c r="E90">
        <f ca="1">COUNTIFS(INDIRECT("Table1[Beginn]"),"&lt;="&amp;E$1,INDIRECT("Table1[Ende]"),"&gt;="&amp;E$1,INDIRECT("Table1[Obergruppe ATC-Code]"),Tabelle3!$A90)</f>
        <v>2</v>
      </c>
      <c r="F90">
        <f ca="1">COUNTIFS(INDIRECT("Table1[Beginn]"),"&lt;="&amp;F$1,INDIRECT("Table1[Ende]"),"&gt;="&amp;F$1,INDIRECT("Table1[Obergruppe ATC-Code]"),Tabelle3!$A90)</f>
        <v>2</v>
      </c>
      <c r="G90">
        <f ca="1">COUNTIFS(INDIRECT("Table1[Beginn]"),"&lt;="&amp;G$1,INDIRECT("Table1[Ende]"),"&gt;="&amp;G$1,INDIRECT("Table1[Obergruppe ATC-Code]"),Tabelle3!$A90)</f>
        <v>2</v>
      </c>
      <c r="H90">
        <f ca="1">COUNTIFS(INDIRECT("Table1[Beginn]"),"&lt;="&amp;H$1,INDIRECT("Table1[Ende]"),"&gt;="&amp;H$1,INDIRECT("Table1[Obergruppe ATC-Code]"),Tabelle3!$A90)</f>
        <v>2</v>
      </c>
      <c r="I90">
        <f ca="1">COUNTIFS(INDIRECT("Table1[Beginn]"),"&lt;="&amp;I$1,INDIRECT("Table1[Ende]"),"&gt;="&amp;I$1,INDIRECT("Table1[Obergruppe ATC-Code]"),Tabelle3!$A90)</f>
        <v>2</v>
      </c>
      <c r="J90">
        <f ca="1">COUNTIFS(INDIRECT("Table1[Beginn]"),"&lt;="&amp;J$1,INDIRECT("Table1[Ende]"),"&gt;="&amp;J$1,INDIRECT("Table1[Obergruppe ATC-Code]"),Tabelle3!$A90)</f>
        <v>2</v>
      </c>
      <c r="K90">
        <f ca="1">COUNTIFS(INDIRECT("Table1[Beginn]"),"&lt;="&amp;K$1,INDIRECT("Table1[Ende]"),"&gt;="&amp;K$1,INDIRECT("Table1[Obergruppe ATC-Code]"),Tabelle3!$A90)</f>
        <v>2</v>
      </c>
      <c r="L90">
        <f ca="1">COUNTIFS(INDIRECT("Table1[Beginn]"),"&lt;="&amp;L$1,INDIRECT("Table1[Ende]"),"&gt;="&amp;L$1,INDIRECT("Table1[Obergruppe ATC-Code]"),Tabelle3!$A90)</f>
        <v>1</v>
      </c>
      <c r="M90">
        <f ca="1">COUNTIFS(INDIRECT("Table1[Beginn]"),"&lt;="&amp;M$1,INDIRECT("Table1[Ende]"),"&gt;="&amp;M$1,INDIRECT("Table1[Obergruppe ATC-Code]"),Tabelle3!$A90)</f>
        <v>1</v>
      </c>
      <c r="N90">
        <f ca="1">COUNTIFS(INDIRECT("Table1[Beginn]"),"&lt;="&amp;N$1,INDIRECT("Table1[Ende]"),"&gt;="&amp;N$1,INDIRECT("Table1[Obergruppe ATC-Code]"),Tabelle3!$A90)</f>
        <v>1</v>
      </c>
      <c r="O90">
        <f ca="1">COUNTIFS(INDIRECT("Table1[Beginn]"),"&lt;="&amp;O$1,INDIRECT("Table1[Ende]"),"&gt;="&amp;O$1,INDIRECT("Table1[Obergruppe ATC-Code]"),Tabelle3!$A90)</f>
        <v>2</v>
      </c>
      <c r="P90">
        <f ca="1">COUNTIFS(INDIRECT("Table1[Beginn]"),"&lt;="&amp;P$1,INDIRECT("Table1[Ende]"),"&gt;="&amp;P$1,INDIRECT("Table1[Obergruppe ATC-Code]"),Tabelle3!$A90)</f>
        <v>2</v>
      </c>
      <c r="Q90">
        <f ca="1">COUNTIFS(INDIRECT("Table1[Beginn]"),"&lt;="&amp;Q$1,INDIRECT("Table1[Ende]"),"&gt;="&amp;Q$1,INDIRECT("Table1[Obergruppe ATC-Code]"),Tabelle3!$A90)</f>
        <v>1</v>
      </c>
      <c r="R90">
        <f ca="1">COUNTIFS(INDIRECT("Table1[Beginn]"),"&lt;="&amp;R$1,INDIRECT("Table1[Ende]"),"&gt;="&amp;R$1,INDIRECT("Table1[Obergruppe ATC-Code]"),Tabelle3!$A90)</f>
        <v>0</v>
      </c>
      <c r="S90">
        <f ca="1">COUNTIFS(INDIRECT("Table1[Beginn]"),"&lt;="&amp;S$1,INDIRECT("Table1[Ende]"),"&gt;="&amp;S$1,INDIRECT("Table1[Obergruppe ATC-Code]"),Tabelle3!$A90)</f>
        <v>0</v>
      </c>
      <c r="T90">
        <f ca="1">COUNTIFS(INDIRECT("Table1[Beginn]"),"&lt;="&amp;T$1,INDIRECT("Table1[Ende]"),"&gt;="&amp;T$1,INDIRECT("Table1[Obergruppe ATC-Code]"),Tabelle3!$A90)</f>
        <v>0</v>
      </c>
      <c r="U90">
        <f ca="1">COUNTIFS(INDIRECT("Table1[Beginn]"),"&lt;="&amp;U$1,INDIRECT("Table1[Ende]"),"&gt;="&amp;U$1,INDIRECT("Table1[Obergruppe ATC-Code]"),Tabelle3!$A90)</f>
        <v>1</v>
      </c>
      <c r="V90">
        <f ca="1">COUNTIFS(INDIRECT("Table1[Beginn]"),"&lt;="&amp;V$1,INDIRECT("Table1[Ende]"),"&gt;="&amp;V$1,INDIRECT("Table1[Obergruppe ATC-Code]"),Tabelle3!$A90)</f>
        <v>1</v>
      </c>
      <c r="W90">
        <f ca="1">COUNTIFS(INDIRECT("Table1[Beginn]"),"&lt;="&amp;W$1,INDIRECT("Table1[Ende]"),"&gt;="&amp;W$1,INDIRECT("Table1[Obergruppe ATC-Code]"),Tabelle3!$A90)</f>
        <v>2</v>
      </c>
      <c r="X90">
        <f ca="1">COUNTIFS(INDIRECT("Table1[Beginn]"),"&lt;="&amp;X$1,INDIRECT("Table1[Ende]"),"&gt;="&amp;X$1,INDIRECT("Table1[Obergruppe ATC-Code]"),Tabelle3!$A90)</f>
        <v>2</v>
      </c>
      <c r="Y90">
        <f ca="1">COUNTIFS(INDIRECT("Table1[Beginn]"),"&lt;="&amp;Y$1,INDIRECT("Table1[Ende]"),"&gt;="&amp;Y$1,INDIRECT("Table1[Obergruppe ATC-Code]"),Tabelle3!$A90)</f>
        <v>3</v>
      </c>
      <c r="Z90">
        <f ca="1">COUNTIFS(INDIRECT("Table1[Beginn]"),"&lt;="&amp;Z$1,INDIRECT("Table1[Ende]"),"&gt;="&amp;Z$1,INDIRECT("Table1[Obergruppe ATC-Code]"),Tabelle3!$A90)</f>
        <v>3</v>
      </c>
      <c r="AA90">
        <f ca="1">COUNTIFS(INDIRECT("Table1[Beginn]"),"&lt;="&amp;AA$1,INDIRECT("Table1[Ende]"),"&gt;="&amp;AA$1,INDIRECT("Table1[Obergruppe ATC-Code]"),Tabelle3!$A90)</f>
        <v>2</v>
      </c>
      <c r="AB90">
        <f ca="1">COUNTIFS(INDIRECT("Table1[Beginn]"),"&lt;="&amp;AB$1,INDIRECT("Table1[Ende]"),"&gt;="&amp;AB$1,INDIRECT("Table1[Obergruppe ATC-Code]"),Tabelle3!$A90)</f>
        <v>2</v>
      </c>
      <c r="AC90">
        <f ca="1">COUNTIFS(INDIRECT("Table1[Beginn]"),"&lt;="&amp;AC$1,INDIRECT("Table1[Ende]"),"&gt;="&amp;AC$1,INDIRECT("Table1[Obergruppe ATC-Code]"),Tabelle3!$A90)</f>
        <v>0</v>
      </c>
      <c r="AD90">
        <f ca="1">COUNTIFS(INDIRECT("Table1[Beginn]"),"&lt;="&amp;AD$1,INDIRECT("Table1[Ende]"),"&gt;="&amp;AD$1,INDIRECT("Table1[Obergruppe ATC-Code]"),Tabelle3!$A90)</f>
        <v>0</v>
      </c>
      <c r="AE90">
        <f ca="1">COUNTIFS(INDIRECT("Table1[Beginn]"),"&lt;="&amp;AE$1,INDIRECT("Table1[Ende]"),"&gt;="&amp;AE$1,INDIRECT("Table1[Obergruppe ATC-Code]"),Tabelle3!$A90)</f>
        <v>0</v>
      </c>
      <c r="AF90">
        <f ca="1">COUNTIFS(INDIRECT("Table1[Beginn]"),"&lt;="&amp;AF$1,INDIRECT("Table1[Ende]"),"&gt;="&amp;AF$1,INDIRECT("Table1[Obergruppe ATC-Code]"),Tabelle3!$A90)</f>
        <v>0</v>
      </c>
      <c r="AG90">
        <f ca="1">COUNTIFS(INDIRECT("Table1[Beginn]"),"&lt;="&amp;AG$1,INDIRECT("Table1[Ende]"),"&gt;="&amp;AG$1,INDIRECT("Table1[Obergruppe ATC-Code]"),Tabelle3!$A90)</f>
        <v>0</v>
      </c>
      <c r="AH90">
        <f ca="1">COUNTIFS(INDIRECT("Table1[Beginn]"),"&lt;="&amp;AH$1,INDIRECT("Table1[Ende]"),"&gt;="&amp;AH$1,INDIRECT("Table1[Obergruppe ATC-Code]"),Tabelle3!$A90)</f>
        <v>0</v>
      </c>
      <c r="AI90">
        <f ca="1">COUNTIFS(INDIRECT("Table1[Beginn]"),"&lt;="&amp;AI$1,INDIRECT("Table1[Ende]"),"&gt;="&amp;AI$1,INDIRECT("Table1[Obergruppe ATC-Code]"),Tabelle3!$A90)</f>
        <v>0</v>
      </c>
      <c r="AJ90">
        <f ca="1">COUNTIFS(INDIRECT("Table1[Beginn]"),"&lt;="&amp;AJ$1,INDIRECT("Table1[Ende]"),"&gt;="&amp;AJ$1,INDIRECT("Table1[Obergruppe ATC-Code]"),Tabelle3!$A90)</f>
        <v>0</v>
      </c>
      <c r="AK90">
        <f ca="1">COUNTIFS(INDIRECT("Table1[Beginn]"),"&lt;="&amp;AK$1,INDIRECT("Table1[Ende]"),"&gt;="&amp;AK$1,INDIRECT("Table1[Obergruppe ATC-Code]"),Tabelle3!$A90)</f>
        <v>1</v>
      </c>
      <c r="AL90">
        <f ca="1">COUNTIFS(INDIRECT("Table1[Beginn]"),"&lt;="&amp;AL$1,INDIRECT("Table1[Ende]"),"&gt;="&amp;AL$1,INDIRECT("Table1[Obergruppe ATC-Code]"),Tabelle3!$A90)</f>
        <v>1</v>
      </c>
      <c r="AM90">
        <f ca="1">COUNTIFS(INDIRECT("Table1[Beginn]"),"&lt;="&amp;AM$1,INDIRECT("Table1[Ende]"),"&gt;="&amp;AM$1,INDIRECT("Table1[Obergruppe ATC-Code]"),Tabelle3!$A90)</f>
        <v>2</v>
      </c>
      <c r="AN90">
        <f ca="1">COUNTIFS(INDIRECT("Table1[Beginn]"),"&lt;="&amp;AN$1,INDIRECT("Table1[Ende]"),"&gt;="&amp;AN$1,INDIRECT("Table1[Obergruppe ATC-Code]"),Tabelle3!$A90)</f>
        <v>2</v>
      </c>
      <c r="AO90">
        <f ca="1">COUNTIFS(INDIRECT("Table1[Beginn]"),"&lt;="&amp;AO$1,INDIRECT("Table1[Ende]"),"&gt;="&amp;AO$1,INDIRECT("Table1[Obergruppe ATC-Code]"),Tabelle3!$A90)</f>
        <v>3</v>
      </c>
      <c r="AP90">
        <f ca="1">COUNTIFS(INDIRECT("Table1[Beginn]"),"&lt;="&amp;AP$1,INDIRECT("Table1[Ende]"),"&gt;="&amp;AP$1,INDIRECT("Table1[Obergruppe ATC-Code]"),Tabelle3!$A90)</f>
        <v>3</v>
      </c>
      <c r="AQ90">
        <f ca="1">COUNTIFS(INDIRECT("Table1[Beginn]"),"&lt;="&amp;AQ$1,INDIRECT("Table1[Ende]"),"&gt;="&amp;AQ$1,INDIRECT("Table1[Obergruppe ATC-Code]"),Tabelle3!$A90)</f>
        <v>3</v>
      </c>
      <c r="AR90">
        <f ca="1">COUNTIFS(INDIRECT("Table1[Beginn]"),"&lt;="&amp;AR$1,INDIRECT("Table1[Ende]"),"&gt;="&amp;AR$1,INDIRECT("Table1[Obergruppe ATC-Code]"),Tabelle3!$A90)</f>
        <v>4</v>
      </c>
      <c r="AS90">
        <f ca="1">COUNTIFS(INDIRECT("Table1[Beginn]"),"&lt;="&amp;AS$1,INDIRECT("Table1[Ende]"),"&gt;="&amp;AS$1,INDIRECT("Table1[Obergruppe ATC-Code]"),Tabelle3!$A90)</f>
        <v>4</v>
      </c>
      <c r="AT90">
        <f ca="1">COUNTIFS(INDIRECT("Table1[Beginn]"),"&lt;="&amp;AT$1,INDIRECT("Table1[Ende]"),"&gt;="&amp;AT$1,INDIRECT("Table1[Obergruppe ATC-Code]"),Tabelle3!$A90)</f>
        <v>4</v>
      </c>
      <c r="AU90">
        <f ca="1">COUNTIFS(INDIRECT("Table1[Beginn]"),"&lt;="&amp;AU$1,INDIRECT("Table1[Ende]"),"&gt;="&amp;AU$1,INDIRECT("Table1[Obergruppe ATC-Code]"),Tabelle3!$A90)</f>
        <v>3</v>
      </c>
      <c r="AV90">
        <f ca="1">COUNTIFS(INDIRECT("Table1[Beginn]"),"&lt;="&amp;AV$1,INDIRECT("Table1[Ende]"),"&gt;="&amp;AV$1,INDIRECT("Table1[Obergruppe ATC-Code]"),Tabelle3!$A90)</f>
        <v>3</v>
      </c>
      <c r="AW90">
        <f ca="1">COUNTIFS(INDIRECT("Table1[Beginn]"),"&lt;="&amp;AW$1,INDIRECT("Table1[Ende]"),"&gt;="&amp;AW$1,INDIRECT("Table1[Obergruppe ATC-Code]"),Tabelle3!$A90)</f>
        <v>4</v>
      </c>
      <c r="AX90">
        <f ca="1">COUNTIFS(INDIRECT("Table1[Beginn]"),"&lt;="&amp;AX$1,INDIRECT("Table1[Ende]"),"&gt;="&amp;AX$1,INDIRECT("Table1[Obergruppe ATC-Code]"),Tabelle3!$A90)</f>
        <v>4</v>
      </c>
      <c r="AY90">
        <f ca="1">COUNTIFS(INDIRECT("Table1[Beginn]"),"&lt;="&amp;AY$1,INDIRECT("Table1[Ende]"),"&gt;="&amp;AY$1,INDIRECT("Table1[Obergruppe ATC-Code]"),Tabelle3!$A90)</f>
        <v>3</v>
      </c>
      <c r="AZ90">
        <f ca="1">COUNTIFS(INDIRECT("Table1[Beginn]"),"&lt;="&amp;AZ$1,INDIRECT("Table1[Ende]"),"&gt;="&amp;AZ$1,INDIRECT("Table1[Obergruppe ATC-Code]"),Tabelle3!$A90)</f>
        <v>3</v>
      </c>
      <c r="BA90">
        <f ca="1">COUNTIFS(INDIRECT("Table1[Beginn]"),"&lt;="&amp;BA$1,INDIRECT("Table1[Ende]"),"&gt;="&amp;BA$1,INDIRECT("Table1[Obergruppe ATC-Code]"),Tabelle3!$A90)</f>
        <v>4</v>
      </c>
      <c r="BB90">
        <f ca="1">COUNTIFS(INDIRECT("Table1[Beginn]"),"&lt;="&amp;BB$1,INDIRECT("Table1[Ende]"),"&gt;="&amp;BB$1,INDIRECT("Table1[Obergruppe ATC-Code]"),Tabelle3!$A90)</f>
        <v>4</v>
      </c>
      <c r="BC90">
        <f ca="1">COUNTIFS(INDIRECT("Table1[Beginn]"),"&lt;="&amp;BC$1,INDIRECT("Table1[Ende]"),"&gt;="&amp;BC$1,INDIRECT("Table1[Obergruppe ATC-Code]"),Tabelle3!$A90)</f>
        <v>4</v>
      </c>
      <c r="BD90">
        <f ca="1">COUNTIFS(INDIRECT("Table1[Beginn]"),"&lt;="&amp;BD$1,INDIRECT("Table1[Ende]"),"&gt;="&amp;BD$1,INDIRECT("Table1[Obergruppe ATC-Code]"),Tabelle3!$A90)</f>
        <v>4</v>
      </c>
      <c r="BE90">
        <f ca="1">COUNTIFS(INDIRECT("Table1[Beginn]"),"&lt;="&amp;BE$1,INDIRECT("Table1[Ende]"),"&gt;="&amp;BE$1,INDIRECT("Table1[Obergruppe ATC-Code]"),Tabelle3!$A90)</f>
        <v>3</v>
      </c>
      <c r="BF90">
        <f ca="1">COUNTIFS(INDIRECT("Table1[Beginn]"),"&lt;="&amp;BF$1,INDIRECT("Table1[Ende]"),"&gt;="&amp;BF$1,INDIRECT("Table1[Obergruppe ATC-Code]"),Tabelle3!$A90)</f>
        <v>3</v>
      </c>
      <c r="BG90">
        <f ca="1">COUNTIFS(INDIRECT("Table1[Beginn]"),"&lt;="&amp;BG$1,INDIRECT("Table1[Ende]"),"&gt;="&amp;BG$1,INDIRECT("Table1[Obergruppe ATC-Code]"),Tabelle3!$A90)</f>
        <v>3</v>
      </c>
      <c r="BH90">
        <f ca="1">COUNTIFS(INDIRECT("Table1[Beginn]"),"&lt;="&amp;BH$1,INDIRECT("Table1[Ende]"),"&gt;="&amp;BH$1,INDIRECT("Table1[Obergruppe ATC-Code]"),Tabelle3!$A90)</f>
        <v>3</v>
      </c>
      <c r="BI90">
        <f ca="1">COUNTIFS(INDIRECT("Table1[Beginn]"),"&lt;="&amp;BI$1,INDIRECT("Table1[Ende]"),"&gt;="&amp;BI$1,INDIRECT("Table1[Obergruppe ATC-Code]"),Tabelle3!$A90)</f>
        <v>2</v>
      </c>
      <c r="BJ90">
        <f ca="1">COUNTIFS(INDIRECT("Table1[Beginn]"),"&lt;="&amp;BJ$1,INDIRECT("Table1[Ende]"),"&gt;="&amp;BJ$1,INDIRECT("Table1[Obergruppe ATC-Code]"),Tabelle3!$A90)</f>
        <v>4</v>
      </c>
      <c r="BK90">
        <f ca="1">COUNTIFS(INDIRECT("Table1[Beginn]"),"&lt;="&amp;BK$1,INDIRECT("Table1[Ende]"),"&gt;="&amp;BK$1,INDIRECT("Table1[Obergruppe ATC-Code]"),Tabelle3!$A90)</f>
        <v>4</v>
      </c>
      <c r="BL90">
        <f ca="1">COUNTIFS(INDIRECT("Table1[Beginn]"),"&lt;="&amp;BL$1,INDIRECT("Table1[Ende]"),"&gt;="&amp;BL$1,INDIRECT("Table1[Obergruppe ATC-Code]"),Tabelle3!$A90)</f>
        <v>4</v>
      </c>
      <c r="BM90">
        <f ca="1">COUNTIFS(INDIRECT("Table1[Beginn]"),"&lt;="&amp;BM$1,INDIRECT("Table1[Ende]"),"&gt;="&amp;BM$1,INDIRECT("Table1[Obergruppe ATC-Code]"),Tabelle3!$A90)</f>
        <v>5</v>
      </c>
      <c r="BN90">
        <f ca="1">COUNTIFS(INDIRECT("Table1[Beginn]"),"&lt;="&amp;BN$1,INDIRECT("Table1[Ende]"),"&gt;="&amp;BN$1,INDIRECT("Table1[Obergruppe ATC-Code]"),Tabelle3!$A90)</f>
        <v>5</v>
      </c>
      <c r="BO90">
        <f ca="1">COUNTIFS(INDIRECT("Table1[Beginn]"),"&lt;="&amp;BO$1,INDIRECT("Table1[Ende]"),"&gt;="&amp;BO$1,INDIRECT("Table1[Obergruppe ATC-Code]"),Tabelle3!$A90)</f>
        <v>5</v>
      </c>
      <c r="BP90">
        <f ca="1">COUNTIFS(INDIRECT("Table1[Beginn]"),"&lt;="&amp;BP$1,INDIRECT("Table1[Ende]"),"&gt;="&amp;BP$1,INDIRECT("Table1[Obergruppe ATC-Code]"),Tabelle3!$A90)</f>
        <v>9</v>
      </c>
      <c r="BQ90">
        <f ca="1">COUNTIFS(INDIRECT("Table1[Beginn]"),"&lt;="&amp;BQ$1,INDIRECT("Table1[Ende]"),"&gt;="&amp;BQ$1,INDIRECT("Table1[Obergruppe ATC-Code]"),Tabelle3!$A90)</f>
        <v>9</v>
      </c>
      <c r="BR90">
        <f ca="1">COUNTIFS(INDIRECT("Table1[Beginn]"),"&lt;="&amp;BR$1,INDIRECT("Table1[Ende]"),"&gt;="&amp;BR$1,INDIRECT("Table1[Obergruppe ATC-Code]"),Tabelle3!$A90)</f>
        <v>9</v>
      </c>
      <c r="BS90">
        <f ca="1">COUNTIFS(INDIRECT("Table1[Beginn]"),"&lt;="&amp;BS$1,INDIRECT("Table1[Ende]"),"&gt;="&amp;BS$1,INDIRECT("Table1[Obergruppe ATC-Code]"),Tabelle3!$A90)</f>
        <v>9</v>
      </c>
      <c r="BT90">
        <f ca="1">COUNTIFS(INDIRECT("Table1[Beginn]"),"&lt;="&amp;BT$1,INDIRECT("Table1[Ende]"),"&gt;="&amp;BT$1,INDIRECT("Table1[Obergruppe ATC-Code]"),Tabelle3!$A90)</f>
        <v>7</v>
      </c>
      <c r="BU90">
        <f ca="1">COUNTIFS(INDIRECT("Table1[Beginn]"),"&lt;="&amp;BU$1,INDIRECT("Table1[Ende]"),"&gt;="&amp;BU$1,INDIRECT("Table1[Obergruppe ATC-Code]"),Tabelle3!$A90)</f>
        <v>8</v>
      </c>
      <c r="BV90">
        <f ca="1">COUNTIFS(INDIRECT("Table1[Beginn]"),"&lt;="&amp;BV$1,INDIRECT("Table1[Ende]"),"&gt;="&amp;BV$1,INDIRECT("Table1[Obergruppe ATC-Code]"),Tabelle3!$A90)</f>
        <v>8</v>
      </c>
      <c r="BW90">
        <f ca="1">COUNTIFS(INDIRECT("Table1[Beginn]"),"&lt;="&amp;BW$1,INDIRECT("Table1[Ende]"),"&gt;="&amp;BW$1,INDIRECT("Table1[Obergruppe ATC-Code]"),Tabelle3!$A90)</f>
        <v>8</v>
      </c>
      <c r="BX90">
        <f ca="1">COUNTIFS(INDIRECT("Table1[Beginn]"),"&lt;="&amp;BX$1,INDIRECT("Table1[Ende]"),"&gt;="&amp;BX$1,INDIRECT("Table1[Obergruppe ATC-Code]"),Tabelle3!$A90)</f>
        <v>7</v>
      </c>
      <c r="BY90">
        <f ca="1">COUNTIFS(INDIRECT("Table1[Beginn]"),"&lt;="&amp;BY$1,INDIRECT("Table1[Ende]"),"&gt;="&amp;BY$1,INDIRECT("Table1[Obergruppe ATC-Code]"),Tabelle3!$A90)</f>
        <v>6</v>
      </c>
      <c r="BZ90">
        <f ca="1">COUNTIFS(INDIRECT("Table1[Beginn]"),"&lt;="&amp;BZ$1,INDIRECT("Table1[Ende]"),"&gt;="&amp;BZ$1,INDIRECT("Table1[Obergruppe ATC-Code]"),Tabelle3!$A90)</f>
        <v>8</v>
      </c>
      <c r="CA90">
        <f ca="1">COUNTIFS(INDIRECT("Table1[Beginn]"),"&lt;="&amp;CA$1,INDIRECT("Table1[Ende]"),"&gt;="&amp;CA$1,INDIRECT("Table1[Obergruppe ATC-Code]"),Tabelle3!$A90)</f>
        <v>9</v>
      </c>
      <c r="CB90">
        <f ca="1">COUNTIFS(INDIRECT("Table1[Beginn]"),"&lt;="&amp;CB$1,INDIRECT("Table1[Ende]"),"&gt;="&amp;CB$1,INDIRECT("Table1[Obergruppe ATC-Code]"),Tabelle3!$A90)</f>
        <v>9</v>
      </c>
      <c r="CC90">
        <f ca="1">COUNTIFS(INDIRECT("Table1[Beginn]"),"&lt;="&amp;CC$1,INDIRECT("Table1[Ende]"),"&gt;="&amp;CC$1,INDIRECT("Table1[Obergruppe ATC-Code]"),Tabelle3!$A90)</f>
        <v>8</v>
      </c>
      <c r="CD90">
        <f ca="1">COUNTIFS(INDIRECT("Table1[Beginn]"),"&lt;="&amp;CD$1,INDIRECT("Table1[Ende]"),"&gt;="&amp;CD$1,INDIRECT("Table1[Obergruppe ATC-Code]"),Tabelle3!$A90)</f>
        <v>7</v>
      </c>
      <c r="CE90">
        <f ca="1">COUNTIFS(INDIRECT("Table1[Beginn]"),"&lt;="&amp;CE$1,INDIRECT("Table1[Ende]"),"&gt;="&amp;CE$1,INDIRECT("Table1[Obergruppe ATC-Code]"),Tabelle3!$A90)</f>
        <v>6</v>
      </c>
      <c r="CF90">
        <f ca="1">COUNTIFS(INDIRECT("Table1[Beginn]"),"&lt;="&amp;CF$1,INDIRECT("Table1[Ende]"),"&gt;="&amp;CF$1,INDIRECT("Table1[Obergruppe ATC-Code]"),Tabelle3!$A90)</f>
        <v>6</v>
      </c>
      <c r="CG90">
        <f ca="1">COUNTIFS(INDIRECT("Table1[Beginn]"),"&lt;="&amp;CG$1,INDIRECT("Table1[Ende]"),"&gt;="&amp;CG$1,INDIRECT("Table1[Obergruppe ATC-Code]"),Tabelle3!$A90)</f>
        <v>4</v>
      </c>
      <c r="CH90">
        <f ca="1">COUNTIFS(INDIRECT("Table1[Beginn]"),"&lt;="&amp;CH$1,INDIRECT("Table1[Ende]"),"&gt;="&amp;CH$1,INDIRECT("Table1[Obergruppe ATC-Code]"),Tabelle3!$A90)</f>
        <v>3</v>
      </c>
      <c r="CI90">
        <f ca="1">COUNTIFS(INDIRECT("Table1[Beginn]"),"&lt;="&amp;CI$1,INDIRECT("Table1[Ende]"),"&gt;="&amp;CI$1,INDIRECT("Table1[Obergruppe ATC-Code]"),Tabelle3!$A90)</f>
        <v>2</v>
      </c>
      <c r="CJ90">
        <f ca="1">COUNTIFS(INDIRECT("Table1[Beginn]"),"&lt;="&amp;CJ$1,INDIRECT("Table1[Ende]"),"&gt;="&amp;CJ$1,INDIRECT("Table1[Obergruppe ATC-Code]"),Tabelle3!$A90)</f>
        <v>2</v>
      </c>
      <c r="CK90">
        <f ca="1">COUNTIFS(INDIRECT("Table1[Beginn]"),"&lt;="&amp;CK$1,INDIRECT("Table1[Ende]"),"&gt;="&amp;CK$1,INDIRECT("Table1[Obergruppe ATC-Code]"),Tabelle3!$A90)</f>
        <v>2</v>
      </c>
      <c r="CL90">
        <f ca="1">COUNTIFS(INDIRECT("Table1[Beginn]"),"&lt;="&amp;CL$1,INDIRECT("Table1[Ende]"),"&gt;="&amp;CL$1,INDIRECT("Table1[Obergruppe ATC-Code]"),Tabelle3!$A90)</f>
        <v>1</v>
      </c>
      <c r="CM90">
        <f ca="1">COUNTIFS(INDIRECT("Table1[Beginn]"),"&lt;="&amp;CM$1,INDIRECT("Table1[Ende]"),"&gt;="&amp;CM$1,INDIRECT("Table1[Obergruppe ATC-Code]"),Tabelle3!$A90)</f>
        <v>1</v>
      </c>
      <c r="CN90">
        <f ca="1">COUNTIFS(INDIRECT("Table1[Beginn]"),"&lt;="&amp;CN$1,INDIRECT("Table1[Ende]"),"&gt;="&amp;CN$1,INDIRECT("Table1[Obergruppe ATC-Code]"),Tabelle3!$A90)</f>
        <v>1</v>
      </c>
      <c r="CO90">
        <f ca="1">COUNTIFS(INDIRECT("Table1[Beginn]"),"&lt;="&amp;CO$1,INDIRECT("Table1[Ende]"),"&gt;="&amp;CO$1,INDIRECT("Table1[Obergruppe ATC-Code]"),Tabelle3!$A90)</f>
        <v>0</v>
      </c>
      <c r="CP90">
        <f ca="1">COUNTIFS(INDIRECT("Table1[Beginn]"),"&lt;="&amp;CP$1,INDIRECT("Table1[Ende]"),"&gt;="&amp;CP$1,INDIRECT("Table1[Obergruppe ATC-Code]"),Tabelle3!$A90)</f>
        <v>0</v>
      </c>
      <c r="CQ90">
        <f ca="1">COUNTIFS(INDIRECT("Table1[Beginn]"),"&lt;="&amp;CQ$1,INDIRECT("Table1[Ende]"),"&gt;="&amp;CQ$1,INDIRECT("Table1[Obergruppe ATC-Code]"),Tabelle3!$A90)</f>
        <v>0</v>
      </c>
      <c r="CR90">
        <f ca="1">COUNTIFS(INDIRECT("Table1[Beginn]"),"&lt;="&amp;CR$1,INDIRECT("Table1[Ende]"),"&gt;="&amp;CR$1,INDIRECT("Table1[Obergruppe ATC-Code]"),Tabelle3!$A90)</f>
        <v>0</v>
      </c>
      <c r="CS90">
        <f ca="1">COUNTIFS(INDIRECT("Table1[Beginn]"),"&lt;="&amp;CS$1,INDIRECT("Table1[Ende]"),"&gt;="&amp;CS$1,INDIRECT("Table1[Obergruppe ATC-Code]"),Tabelle3!$A90)</f>
        <v>0</v>
      </c>
      <c r="CT90">
        <f ca="1">COUNTIFS(INDIRECT("Table1[Beginn]"),"&lt;="&amp;CT$1,INDIRECT("Table1[Ende]"),"&gt;="&amp;CT$1,INDIRECT("Table1[Obergruppe ATC-Code]"),Tabelle3!$A90)</f>
        <v>0</v>
      </c>
    </row>
    <row r="91" spans="1:98" ht="18">
      <c r="A91" s="9" t="s">
        <v>6950</v>
      </c>
      <c r="B91" s="10" t="s">
        <v>6951</v>
      </c>
      <c r="C91">
        <f ca="1">COUNTIFS(INDIRECT("Table1[Beginn]"),"&lt;="&amp;C$1,INDIRECT("Table1[Ende]"),"&gt;="&amp;C$1,INDIRECT("Table1[Obergruppe ATC-Code]"),Tabelle3!$A91)</f>
        <v>1</v>
      </c>
      <c r="D91">
        <f ca="1">COUNTIFS(INDIRECT("Table1[Beginn]"),"&lt;="&amp;D$1,INDIRECT("Table1[Ende]"),"&gt;="&amp;D$1,INDIRECT("Table1[Obergruppe ATC-Code]"),Tabelle3!$A91)</f>
        <v>1</v>
      </c>
      <c r="E91">
        <f ca="1">COUNTIFS(INDIRECT("Table1[Beginn]"),"&lt;="&amp;E$1,INDIRECT("Table1[Ende]"),"&gt;="&amp;E$1,INDIRECT("Table1[Obergruppe ATC-Code]"),Tabelle3!$A91)</f>
        <v>1</v>
      </c>
      <c r="F91">
        <f ca="1">COUNTIFS(INDIRECT("Table1[Beginn]"),"&lt;="&amp;F$1,INDIRECT("Table1[Ende]"),"&gt;="&amp;F$1,INDIRECT("Table1[Obergruppe ATC-Code]"),Tabelle3!$A91)</f>
        <v>1</v>
      </c>
      <c r="G91">
        <f ca="1">COUNTIFS(INDIRECT("Table1[Beginn]"),"&lt;="&amp;G$1,INDIRECT("Table1[Ende]"),"&gt;="&amp;G$1,INDIRECT("Table1[Obergruppe ATC-Code]"),Tabelle3!$A91)</f>
        <v>1</v>
      </c>
      <c r="H91">
        <f ca="1">COUNTIFS(INDIRECT("Table1[Beginn]"),"&lt;="&amp;H$1,INDIRECT("Table1[Ende]"),"&gt;="&amp;H$1,INDIRECT("Table1[Obergruppe ATC-Code]"),Tabelle3!$A91)</f>
        <v>1</v>
      </c>
      <c r="I91">
        <f ca="1">COUNTIFS(INDIRECT("Table1[Beginn]"),"&lt;="&amp;I$1,INDIRECT("Table1[Ende]"),"&gt;="&amp;I$1,INDIRECT("Table1[Obergruppe ATC-Code]"),Tabelle3!$A91)</f>
        <v>1</v>
      </c>
      <c r="J91">
        <f ca="1">COUNTIFS(INDIRECT("Table1[Beginn]"),"&lt;="&amp;J$1,INDIRECT("Table1[Ende]"),"&gt;="&amp;J$1,INDIRECT("Table1[Obergruppe ATC-Code]"),Tabelle3!$A91)</f>
        <v>1</v>
      </c>
      <c r="K91">
        <f ca="1">COUNTIFS(INDIRECT("Table1[Beginn]"),"&lt;="&amp;K$1,INDIRECT("Table1[Ende]"),"&gt;="&amp;K$1,INDIRECT("Table1[Obergruppe ATC-Code]"),Tabelle3!$A91)</f>
        <v>2</v>
      </c>
      <c r="L91">
        <f ca="1">COUNTIFS(INDIRECT("Table1[Beginn]"),"&lt;="&amp;L$1,INDIRECT("Table1[Ende]"),"&gt;="&amp;L$1,INDIRECT("Table1[Obergruppe ATC-Code]"),Tabelle3!$A91)</f>
        <v>2</v>
      </c>
      <c r="M91">
        <f ca="1">COUNTIFS(INDIRECT("Table1[Beginn]"),"&lt;="&amp;M$1,INDIRECT("Table1[Ende]"),"&gt;="&amp;M$1,INDIRECT("Table1[Obergruppe ATC-Code]"),Tabelle3!$A91)</f>
        <v>1</v>
      </c>
      <c r="N91">
        <f ca="1">COUNTIFS(INDIRECT("Table1[Beginn]"),"&lt;="&amp;N$1,INDIRECT("Table1[Ende]"),"&gt;="&amp;N$1,INDIRECT("Table1[Obergruppe ATC-Code]"),Tabelle3!$A91)</f>
        <v>1</v>
      </c>
      <c r="O91">
        <f ca="1">COUNTIFS(INDIRECT("Table1[Beginn]"),"&lt;="&amp;O$1,INDIRECT("Table1[Ende]"),"&gt;="&amp;O$1,INDIRECT("Table1[Obergruppe ATC-Code]"),Tabelle3!$A91)</f>
        <v>1</v>
      </c>
      <c r="P91">
        <f ca="1">COUNTIFS(INDIRECT("Table1[Beginn]"),"&lt;="&amp;P$1,INDIRECT("Table1[Ende]"),"&gt;="&amp;P$1,INDIRECT("Table1[Obergruppe ATC-Code]"),Tabelle3!$A91)</f>
        <v>1</v>
      </c>
      <c r="Q91">
        <f ca="1">COUNTIFS(INDIRECT("Table1[Beginn]"),"&lt;="&amp;Q$1,INDIRECT("Table1[Ende]"),"&gt;="&amp;Q$1,INDIRECT("Table1[Obergruppe ATC-Code]"),Tabelle3!$A91)</f>
        <v>1</v>
      </c>
      <c r="R91">
        <f ca="1">COUNTIFS(INDIRECT("Table1[Beginn]"),"&lt;="&amp;R$1,INDIRECT("Table1[Ende]"),"&gt;="&amp;R$1,INDIRECT("Table1[Obergruppe ATC-Code]"),Tabelle3!$A91)</f>
        <v>1</v>
      </c>
      <c r="S91">
        <f ca="1">COUNTIFS(INDIRECT("Table1[Beginn]"),"&lt;="&amp;S$1,INDIRECT("Table1[Ende]"),"&gt;="&amp;S$1,INDIRECT("Table1[Obergruppe ATC-Code]"),Tabelle3!$A91)</f>
        <v>1</v>
      </c>
      <c r="T91">
        <f ca="1">COUNTIFS(INDIRECT("Table1[Beginn]"),"&lt;="&amp;T$1,INDIRECT("Table1[Ende]"),"&gt;="&amp;T$1,INDIRECT("Table1[Obergruppe ATC-Code]"),Tabelle3!$A91)</f>
        <v>2</v>
      </c>
      <c r="U91">
        <f ca="1">COUNTIFS(INDIRECT("Table1[Beginn]"),"&lt;="&amp;U$1,INDIRECT("Table1[Ende]"),"&gt;="&amp;U$1,INDIRECT("Table1[Obergruppe ATC-Code]"),Tabelle3!$A91)</f>
        <v>2</v>
      </c>
      <c r="V91">
        <f ca="1">COUNTIFS(INDIRECT("Table1[Beginn]"),"&lt;="&amp;V$1,INDIRECT("Table1[Ende]"),"&gt;="&amp;V$1,INDIRECT("Table1[Obergruppe ATC-Code]"),Tabelle3!$A91)</f>
        <v>3</v>
      </c>
      <c r="W91">
        <f ca="1">COUNTIFS(INDIRECT("Table1[Beginn]"),"&lt;="&amp;W$1,INDIRECT("Table1[Ende]"),"&gt;="&amp;W$1,INDIRECT("Table1[Obergruppe ATC-Code]"),Tabelle3!$A91)</f>
        <v>3</v>
      </c>
      <c r="X91">
        <f ca="1">COUNTIFS(INDIRECT("Table1[Beginn]"),"&lt;="&amp;X$1,INDIRECT("Table1[Ende]"),"&gt;="&amp;X$1,INDIRECT("Table1[Obergruppe ATC-Code]"),Tabelle3!$A91)</f>
        <v>2</v>
      </c>
      <c r="Y91">
        <f ca="1">COUNTIFS(INDIRECT("Table1[Beginn]"),"&lt;="&amp;Y$1,INDIRECT("Table1[Ende]"),"&gt;="&amp;Y$1,INDIRECT("Table1[Obergruppe ATC-Code]"),Tabelle3!$A91)</f>
        <v>2</v>
      </c>
      <c r="Z91">
        <f ca="1">COUNTIFS(INDIRECT("Table1[Beginn]"),"&lt;="&amp;Z$1,INDIRECT("Table1[Ende]"),"&gt;="&amp;Z$1,INDIRECT("Table1[Obergruppe ATC-Code]"),Tabelle3!$A91)</f>
        <v>2</v>
      </c>
      <c r="AA91">
        <f ca="1">COUNTIFS(INDIRECT("Table1[Beginn]"),"&lt;="&amp;AA$1,INDIRECT("Table1[Ende]"),"&gt;="&amp;AA$1,INDIRECT("Table1[Obergruppe ATC-Code]"),Tabelle3!$A91)</f>
        <v>2</v>
      </c>
      <c r="AB91">
        <f ca="1">COUNTIFS(INDIRECT("Table1[Beginn]"),"&lt;="&amp;AB$1,INDIRECT("Table1[Ende]"),"&gt;="&amp;AB$1,INDIRECT("Table1[Obergruppe ATC-Code]"),Tabelle3!$A91)</f>
        <v>3</v>
      </c>
      <c r="AC91">
        <f ca="1">COUNTIFS(INDIRECT("Table1[Beginn]"),"&lt;="&amp;AC$1,INDIRECT("Table1[Ende]"),"&gt;="&amp;AC$1,INDIRECT("Table1[Obergruppe ATC-Code]"),Tabelle3!$A91)</f>
        <v>3</v>
      </c>
      <c r="AD91">
        <f ca="1">COUNTIFS(INDIRECT("Table1[Beginn]"),"&lt;="&amp;AD$1,INDIRECT("Table1[Ende]"),"&gt;="&amp;AD$1,INDIRECT("Table1[Obergruppe ATC-Code]"),Tabelle3!$A91)</f>
        <v>3</v>
      </c>
      <c r="AE91">
        <f ca="1">COUNTIFS(INDIRECT("Table1[Beginn]"),"&lt;="&amp;AE$1,INDIRECT("Table1[Ende]"),"&gt;="&amp;AE$1,INDIRECT("Table1[Obergruppe ATC-Code]"),Tabelle3!$A91)</f>
        <v>3</v>
      </c>
      <c r="AF91">
        <f ca="1">COUNTIFS(INDIRECT("Table1[Beginn]"),"&lt;="&amp;AF$1,INDIRECT("Table1[Ende]"),"&gt;="&amp;AF$1,INDIRECT("Table1[Obergruppe ATC-Code]"),Tabelle3!$A91)</f>
        <v>3</v>
      </c>
      <c r="AG91">
        <f ca="1">COUNTIFS(INDIRECT("Table1[Beginn]"),"&lt;="&amp;AG$1,INDIRECT("Table1[Ende]"),"&gt;="&amp;AG$1,INDIRECT("Table1[Obergruppe ATC-Code]"),Tabelle3!$A91)</f>
        <v>4</v>
      </c>
      <c r="AH91">
        <f ca="1">COUNTIFS(INDIRECT("Table1[Beginn]"),"&lt;="&amp;AH$1,INDIRECT("Table1[Ende]"),"&gt;="&amp;AH$1,INDIRECT("Table1[Obergruppe ATC-Code]"),Tabelle3!$A91)</f>
        <v>4</v>
      </c>
      <c r="AI91">
        <f ca="1">COUNTIFS(INDIRECT("Table1[Beginn]"),"&lt;="&amp;AI$1,INDIRECT("Table1[Ende]"),"&gt;="&amp;AI$1,INDIRECT("Table1[Obergruppe ATC-Code]"),Tabelle3!$A91)</f>
        <v>4</v>
      </c>
      <c r="AJ91">
        <f ca="1">COUNTIFS(INDIRECT("Table1[Beginn]"),"&lt;="&amp;AJ$1,INDIRECT("Table1[Ende]"),"&gt;="&amp;AJ$1,INDIRECT("Table1[Obergruppe ATC-Code]"),Tabelle3!$A91)</f>
        <v>4</v>
      </c>
      <c r="AK91">
        <f ca="1">COUNTIFS(INDIRECT("Table1[Beginn]"),"&lt;="&amp;AK$1,INDIRECT("Table1[Ende]"),"&gt;="&amp;AK$1,INDIRECT("Table1[Obergruppe ATC-Code]"),Tabelle3!$A91)</f>
        <v>3</v>
      </c>
      <c r="AL91">
        <f ca="1">COUNTIFS(INDIRECT("Table1[Beginn]"),"&lt;="&amp;AL$1,INDIRECT("Table1[Ende]"),"&gt;="&amp;AL$1,INDIRECT("Table1[Obergruppe ATC-Code]"),Tabelle3!$A91)</f>
        <v>3</v>
      </c>
      <c r="AM91">
        <f ca="1">COUNTIFS(INDIRECT("Table1[Beginn]"),"&lt;="&amp;AM$1,INDIRECT("Table1[Ende]"),"&gt;="&amp;AM$1,INDIRECT("Table1[Obergruppe ATC-Code]"),Tabelle3!$A91)</f>
        <v>3</v>
      </c>
      <c r="AN91">
        <f ca="1">COUNTIFS(INDIRECT("Table1[Beginn]"),"&lt;="&amp;AN$1,INDIRECT("Table1[Ende]"),"&gt;="&amp;AN$1,INDIRECT("Table1[Obergruppe ATC-Code]"),Tabelle3!$A91)</f>
        <v>3</v>
      </c>
      <c r="AO91">
        <f ca="1">COUNTIFS(INDIRECT("Table1[Beginn]"),"&lt;="&amp;AO$1,INDIRECT("Table1[Ende]"),"&gt;="&amp;AO$1,INDIRECT("Table1[Obergruppe ATC-Code]"),Tabelle3!$A91)</f>
        <v>3</v>
      </c>
      <c r="AP91">
        <f ca="1">COUNTIFS(INDIRECT("Table1[Beginn]"),"&lt;="&amp;AP$1,INDIRECT("Table1[Ende]"),"&gt;="&amp;AP$1,INDIRECT("Table1[Obergruppe ATC-Code]"),Tabelle3!$A91)</f>
        <v>2</v>
      </c>
      <c r="AQ91">
        <f ca="1">COUNTIFS(INDIRECT("Table1[Beginn]"),"&lt;="&amp;AQ$1,INDIRECT("Table1[Ende]"),"&gt;="&amp;AQ$1,INDIRECT("Table1[Obergruppe ATC-Code]"),Tabelle3!$A91)</f>
        <v>2</v>
      </c>
      <c r="AR91">
        <f ca="1">COUNTIFS(INDIRECT("Table1[Beginn]"),"&lt;="&amp;AR$1,INDIRECT("Table1[Ende]"),"&gt;="&amp;AR$1,INDIRECT("Table1[Obergruppe ATC-Code]"),Tabelle3!$A91)</f>
        <v>2</v>
      </c>
      <c r="AS91">
        <f ca="1">COUNTIFS(INDIRECT("Table1[Beginn]"),"&lt;="&amp;AS$1,INDIRECT("Table1[Ende]"),"&gt;="&amp;AS$1,INDIRECT("Table1[Obergruppe ATC-Code]"),Tabelle3!$A91)</f>
        <v>2</v>
      </c>
      <c r="AT91">
        <f ca="1">COUNTIFS(INDIRECT("Table1[Beginn]"),"&lt;="&amp;AT$1,INDIRECT("Table1[Ende]"),"&gt;="&amp;AT$1,INDIRECT("Table1[Obergruppe ATC-Code]"),Tabelle3!$A91)</f>
        <v>2</v>
      </c>
      <c r="AU91">
        <f ca="1">COUNTIFS(INDIRECT("Table1[Beginn]"),"&lt;="&amp;AU$1,INDIRECT("Table1[Ende]"),"&gt;="&amp;AU$1,INDIRECT("Table1[Obergruppe ATC-Code]"),Tabelle3!$A91)</f>
        <v>2</v>
      </c>
      <c r="AV91">
        <f ca="1">COUNTIFS(INDIRECT("Table1[Beginn]"),"&lt;="&amp;AV$1,INDIRECT("Table1[Ende]"),"&gt;="&amp;AV$1,INDIRECT("Table1[Obergruppe ATC-Code]"),Tabelle3!$A91)</f>
        <v>2</v>
      </c>
      <c r="AW91">
        <f ca="1">COUNTIFS(INDIRECT("Table1[Beginn]"),"&lt;="&amp;AW$1,INDIRECT("Table1[Ende]"),"&gt;="&amp;AW$1,INDIRECT("Table1[Obergruppe ATC-Code]"),Tabelle3!$A91)</f>
        <v>2</v>
      </c>
      <c r="AX91">
        <f ca="1">COUNTIFS(INDIRECT("Table1[Beginn]"),"&lt;="&amp;AX$1,INDIRECT("Table1[Ende]"),"&gt;="&amp;AX$1,INDIRECT("Table1[Obergruppe ATC-Code]"),Tabelle3!$A91)</f>
        <v>2</v>
      </c>
      <c r="AY91">
        <f ca="1">COUNTIFS(INDIRECT("Table1[Beginn]"),"&lt;="&amp;AY$1,INDIRECT("Table1[Ende]"),"&gt;="&amp;AY$1,INDIRECT("Table1[Obergruppe ATC-Code]"),Tabelle3!$A91)</f>
        <v>1</v>
      </c>
      <c r="AZ91">
        <f ca="1">COUNTIFS(INDIRECT("Table1[Beginn]"),"&lt;="&amp;AZ$1,INDIRECT("Table1[Ende]"),"&gt;="&amp;AZ$1,INDIRECT("Table1[Obergruppe ATC-Code]"),Tabelle3!$A91)</f>
        <v>1</v>
      </c>
      <c r="BA91">
        <f ca="1">COUNTIFS(INDIRECT("Table1[Beginn]"),"&lt;="&amp;BA$1,INDIRECT("Table1[Ende]"),"&gt;="&amp;BA$1,INDIRECT("Table1[Obergruppe ATC-Code]"),Tabelle3!$A91)</f>
        <v>1</v>
      </c>
      <c r="BB91">
        <f ca="1">COUNTIFS(INDIRECT("Table1[Beginn]"),"&lt;="&amp;BB$1,INDIRECT("Table1[Ende]"),"&gt;="&amp;BB$1,INDIRECT("Table1[Obergruppe ATC-Code]"),Tabelle3!$A91)</f>
        <v>1</v>
      </c>
      <c r="BC91">
        <f ca="1">COUNTIFS(INDIRECT("Table1[Beginn]"),"&lt;="&amp;BC$1,INDIRECT("Table1[Ende]"),"&gt;="&amp;BC$1,INDIRECT("Table1[Obergruppe ATC-Code]"),Tabelle3!$A91)</f>
        <v>1</v>
      </c>
      <c r="BD91">
        <f ca="1">COUNTIFS(INDIRECT("Table1[Beginn]"),"&lt;="&amp;BD$1,INDIRECT("Table1[Ende]"),"&gt;="&amp;BD$1,INDIRECT("Table1[Obergruppe ATC-Code]"),Tabelle3!$A91)</f>
        <v>1</v>
      </c>
      <c r="BE91">
        <f ca="1">COUNTIFS(INDIRECT("Table1[Beginn]"),"&lt;="&amp;BE$1,INDIRECT("Table1[Ende]"),"&gt;="&amp;BE$1,INDIRECT("Table1[Obergruppe ATC-Code]"),Tabelle3!$A91)</f>
        <v>1</v>
      </c>
      <c r="BF91">
        <f ca="1">COUNTIFS(INDIRECT("Table1[Beginn]"),"&lt;="&amp;BF$1,INDIRECT("Table1[Ende]"),"&gt;="&amp;BF$1,INDIRECT("Table1[Obergruppe ATC-Code]"),Tabelle3!$A91)</f>
        <v>1</v>
      </c>
      <c r="BG91">
        <f ca="1">COUNTIFS(INDIRECT("Table1[Beginn]"),"&lt;="&amp;BG$1,INDIRECT("Table1[Ende]"),"&gt;="&amp;BG$1,INDIRECT("Table1[Obergruppe ATC-Code]"),Tabelle3!$A91)</f>
        <v>1</v>
      </c>
      <c r="BH91">
        <f ca="1">COUNTIFS(INDIRECT("Table1[Beginn]"),"&lt;="&amp;BH$1,INDIRECT("Table1[Ende]"),"&gt;="&amp;BH$1,INDIRECT("Table1[Obergruppe ATC-Code]"),Tabelle3!$A91)</f>
        <v>1</v>
      </c>
      <c r="BI91">
        <f ca="1">COUNTIFS(INDIRECT("Table1[Beginn]"),"&lt;="&amp;BI$1,INDIRECT("Table1[Ende]"),"&gt;="&amp;BI$1,INDIRECT("Table1[Obergruppe ATC-Code]"),Tabelle3!$A91)</f>
        <v>1</v>
      </c>
      <c r="BJ91">
        <f ca="1">COUNTIFS(INDIRECT("Table1[Beginn]"),"&lt;="&amp;BJ$1,INDIRECT("Table1[Ende]"),"&gt;="&amp;BJ$1,INDIRECT("Table1[Obergruppe ATC-Code]"),Tabelle3!$A91)</f>
        <v>1</v>
      </c>
      <c r="BK91">
        <f ca="1">COUNTIFS(INDIRECT("Table1[Beginn]"),"&lt;="&amp;BK$1,INDIRECT("Table1[Ende]"),"&gt;="&amp;BK$1,INDIRECT("Table1[Obergruppe ATC-Code]"),Tabelle3!$A91)</f>
        <v>1</v>
      </c>
      <c r="BL91">
        <f ca="1">COUNTIFS(INDIRECT("Table1[Beginn]"),"&lt;="&amp;BL$1,INDIRECT("Table1[Ende]"),"&gt;="&amp;BL$1,INDIRECT("Table1[Obergruppe ATC-Code]"),Tabelle3!$A91)</f>
        <v>1</v>
      </c>
      <c r="BM91">
        <f ca="1">COUNTIFS(INDIRECT("Table1[Beginn]"),"&lt;="&amp;BM$1,INDIRECT("Table1[Ende]"),"&gt;="&amp;BM$1,INDIRECT("Table1[Obergruppe ATC-Code]"),Tabelle3!$A91)</f>
        <v>1</v>
      </c>
      <c r="BN91">
        <f ca="1">COUNTIFS(INDIRECT("Table1[Beginn]"),"&lt;="&amp;BN$1,INDIRECT("Table1[Ende]"),"&gt;="&amp;BN$1,INDIRECT("Table1[Obergruppe ATC-Code]"),Tabelle3!$A91)</f>
        <v>1</v>
      </c>
      <c r="BO91">
        <f ca="1">COUNTIFS(INDIRECT("Table1[Beginn]"),"&lt;="&amp;BO$1,INDIRECT("Table1[Ende]"),"&gt;="&amp;BO$1,INDIRECT("Table1[Obergruppe ATC-Code]"),Tabelle3!$A91)</f>
        <v>1</v>
      </c>
      <c r="BP91">
        <f ca="1">COUNTIFS(INDIRECT("Table1[Beginn]"),"&lt;="&amp;BP$1,INDIRECT("Table1[Ende]"),"&gt;="&amp;BP$1,INDIRECT("Table1[Obergruppe ATC-Code]"),Tabelle3!$A91)</f>
        <v>1</v>
      </c>
      <c r="BQ91">
        <f ca="1">COUNTIFS(INDIRECT("Table1[Beginn]"),"&lt;="&amp;BQ$1,INDIRECT("Table1[Ende]"),"&gt;="&amp;BQ$1,INDIRECT("Table1[Obergruppe ATC-Code]"),Tabelle3!$A91)</f>
        <v>1</v>
      </c>
      <c r="BR91">
        <f ca="1">COUNTIFS(INDIRECT("Table1[Beginn]"),"&lt;="&amp;BR$1,INDIRECT("Table1[Ende]"),"&gt;="&amp;BR$1,INDIRECT("Table1[Obergruppe ATC-Code]"),Tabelle3!$A91)</f>
        <v>1</v>
      </c>
      <c r="BS91">
        <f ca="1">COUNTIFS(INDIRECT("Table1[Beginn]"),"&lt;="&amp;BS$1,INDIRECT("Table1[Ende]"),"&gt;="&amp;BS$1,INDIRECT("Table1[Obergruppe ATC-Code]"),Tabelle3!$A91)</f>
        <v>2</v>
      </c>
      <c r="BT91">
        <f ca="1">COUNTIFS(INDIRECT("Table1[Beginn]"),"&lt;="&amp;BT$1,INDIRECT("Table1[Ende]"),"&gt;="&amp;BT$1,INDIRECT("Table1[Obergruppe ATC-Code]"),Tabelle3!$A91)</f>
        <v>2</v>
      </c>
      <c r="BU91">
        <f ca="1">COUNTIFS(INDIRECT("Table1[Beginn]"),"&lt;="&amp;BU$1,INDIRECT("Table1[Ende]"),"&gt;="&amp;BU$1,INDIRECT("Table1[Obergruppe ATC-Code]"),Tabelle3!$A91)</f>
        <v>2</v>
      </c>
      <c r="BV91">
        <f ca="1">COUNTIFS(INDIRECT("Table1[Beginn]"),"&lt;="&amp;BV$1,INDIRECT("Table1[Ende]"),"&gt;="&amp;BV$1,INDIRECT("Table1[Obergruppe ATC-Code]"),Tabelle3!$A91)</f>
        <v>3</v>
      </c>
      <c r="BW91">
        <f ca="1">COUNTIFS(INDIRECT("Table1[Beginn]"),"&lt;="&amp;BW$1,INDIRECT("Table1[Ende]"),"&gt;="&amp;BW$1,INDIRECT("Table1[Obergruppe ATC-Code]"),Tabelle3!$A91)</f>
        <v>3</v>
      </c>
      <c r="BX91">
        <f ca="1">COUNTIFS(INDIRECT("Table1[Beginn]"),"&lt;="&amp;BX$1,INDIRECT("Table1[Ende]"),"&gt;="&amp;BX$1,INDIRECT("Table1[Obergruppe ATC-Code]"),Tabelle3!$A91)</f>
        <v>3</v>
      </c>
      <c r="BY91">
        <f ca="1">COUNTIFS(INDIRECT("Table1[Beginn]"),"&lt;="&amp;BY$1,INDIRECT("Table1[Ende]"),"&gt;="&amp;BY$1,INDIRECT("Table1[Obergruppe ATC-Code]"),Tabelle3!$A91)</f>
        <v>3</v>
      </c>
      <c r="BZ91">
        <f ca="1">COUNTIFS(INDIRECT("Table1[Beginn]"),"&lt;="&amp;BZ$1,INDIRECT("Table1[Ende]"),"&gt;="&amp;BZ$1,INDIRECT("Table1[Obergruppe ATC-Code]"),Tabelle3!$A91)</f>
        <v>3</v>
      </c>
      <c r="CA91">
        <f ca="1">COUNTIFS(INDIRECT("Table1[Beginn]"),"&lt;="&amp;CA$1,INDIRECT("Table1[Ende]"),"&gt;="&amp;CA$1,INDIRECT("Table1[Obergruppe ATC-Code]"),Tabelle3!$A91)</f>
        <v>3</v>
      </c>
      <c r="CB91">
        <f ca="1">COUNTIFS(INDIRECT("Table1[Beginn]"),"&lt;="&amp;CB$1,INDIRECT("Table1[Ende]"),"&gt;="&amp;CB$1,INDIRECT("Table1[Obergruppe ATC-Code]"),Tabelle3!$A91)</f>
        <v>3</v>
      </c>
      <c r="CC91">
        <f ca="1">COUNTIFS(INDIRECT("Table1[Beginn]"),"&lt;="&amp;CC$1,INDIRECT("Table1[Ende]"),"&gt;="&amp;CC$1,INDIRECT("Table1[Obergruppe ATC-Code]"),Tabelle3!$A91)</f>
        <v>3</v>
      </c>
      <c r="CD91">
        <f ca="1">COUNTIFS(INDIRECT("Table1[Beginn]"),"&lt;="&amp;CD$1,INDIRECT("Table1[Ende]"),"&gt;="&amp;CD$1,INDIRECT("Table1[Obergruppe ATC-Code]"),Tabelle3!$A91)</f>
        <v>3</v>
      </c>
      <c r="CE91">
        <f ca="1">COUNTIFS(INDIRECT("Table1[Beginn]"),"&lt;="&amp;CE$1,INDIRECT("Table1[Ende]"),"&gt;="&amp;CE$1,INDIRECT("Table1[Obergruppe ATC-Code]"),Tabelle3!$A91)</f>
        <v>3</v>
      </c>
      <c r="CF91">
        <f ca="1">COUNTIFS(INDIRECT("Table1[Beginn]"),"&lt;="&amp;CF$1,INDIRECT("Table1[Ende]"),"&gt;="&amp;CF$1,INDIRECT("Table1[Obergruppe ATC-Code]"),Tabelle3!$A91)</f>
        <v>3</v>
      </c>
      <c r="CG91">
        <f ca="1">COUNTIFS(INDIRECT("Table1[Beginn]"),"&lt;="&amp;CG$1,INDIRECT("Table1[Ende]"),"&gt;="&amp;CG$1,INDIRECT("Table1[Obergruppe ATC-Code]"),Tabelle3!$A91)</f>
        <v>3</v>
      </c>
      <c r="CH91">
        <f ca="1">COUNTIFS(INDIRECT("Table1[Beginn]"),"&lt;="&amp;CH$1,INDIRECT("Table1[Ende]"),"&gt;="&amp;CH$1,INDIRECT("Table1[Obergruppe ATC-Code]"),Tabelle3!$A91)</f>
        <v>3</v>
      </c>
      <c r="CI91">
        <f ca="1">COUNTIFS(INDIRECT("Table1[Beginn]"),"&lt;="&amp;CI$1,INDIRECT("Table1[Ende]"),"&gt;="&amp;CI$1,INDIRECT("Table1[Obergruppe ATC-Code]"),Tabelle3!$A91)</f>
        <v>1</v>
      </c>
      <c r="CJ91">
        <f ca="1">COUNTIFS(INDIRECT("Table1[Beginn]"),"&lt;="&amp;CJ$1,INDIRECT("Table1[Ende]"),"&gt;="&amp;CJ$1,INDIRECT("Table1[Obergruppe ATC-Code]"),Tabelle3!$A91)</f>
        <v>1</v>
      </c>
      <c r="CK91">
        <f ca="1">COUNTIFS(INDIRECT("Table1[Beginn]"),"&lt;="&amp;CK$1,INDIRECT("Table1[Ende]"),"&gt;="&amp;CK$1,INDIRECT("Table1[Obergruppe ATC-Code]"),Tabelle3!$A91)</f>
        <v>1</v>
      </c>
      <c r="CL91">
        <f ca="1">COUNTIFS(INDIRECT("Table1[Beginn]"),"&lt;="&amp;CL$1,INDIRECT("Table1[Ende]"),"&gt;="&amp;CL$1,INDIRECT("Table1[Obergruppe ATC-Code]"),Tabelle3!$A91)</f>
        <v>0</v>
      </c>
      <c r="CM91">
        <f ca="1">COUNTIFS(INDIRECT("Table1[Beginn]"),"&lt;="&amp;CM$1,INDIRECT("Table1[Ende]"),"&gt;="&amp;CM$1,INDIRECT("Table1[Obergruppe ATC-Code]"),Tabelle3!$A91)</f>
        <v>0</v>
      </c>
      <c r="CN91">
        <f ca="1">COUNTIFS(INDIRECT("Table1[Beginn]"),"&lt;="&amp;CN$1,INDIRECT("Table1[Ende]"),"&gt;="&amp;CN$1,INDIRECT("Table1[Obergruppe ATC-Code]"),Tabelle3!$A91)</f>
        <v>0</v>
      </c>
      <c r="CO91">
        <f ca="1">COUNTIFS(INDIRECT("Table1[Beginn]"),"&lt;="&amp;CO$1,INDIRECT("Table1[Ende]"),"&gt;="&amp;CO$1,INDIRECT("Table1[Obergruppe ATC-Code]"),Tabelle3!$A91)</f>
        <v>0</v>
      </c>
      <c r="CP91">
        <f ca="1">COUNTIFS(INDIRECT("Table1[Beginn]"),"&lt;="&amp;CP$1,INDIRECT("Table1[Ende]"),"&gt;="&amp;CP$1,INDIRECT("Table1[Obergruppe ATC-Code]"),Tabelle3!$A91)</f>
        <v>0</v>
      </c>
      <c r="CQ91">
        <f ca="1">COUNTIFS(INDIRECT("Table1[Beginn]"),"&lt;="&amp;CQ$1,INDIRECT("Table1[Ende]"),"&gt;="&amp;CQ$1,INDIRECT("Table1[Obergruppe ATC-Code]"),Tabelle3!$A91)</f>
        <v>0</v>
      </c>
      <c r="CR91">
        <f ca="1">COUNTIFS(INDIRECT("Table1[Beginn]"),"&lt;="&amp;CR$1,INDIRECT("Table1[Ende]"),"&gt;="&amp;CR$1,INDIRECT("Table1[Obergruppe ATC-Code]"),Tabelle3!$A91)</f>
        <v>0</v>
      </c>
      <c r="CS91">
        <f ca="1">COUNTIFS(INDIRECT("Table1[Beginn]"),"&lt;="&amp;CS$1,INDIRECT("Table1[Ende]"),"&gt;="&amp;CS$1,INDIRECT("Table1[Obergruppe ATC-Code]"),Tabelle3!$A91)</f>
        <v>0</v>
      </c>
      <c r="CT91">
        <f ca="1">COUNTIFS(INDIRECT("Table1[Beginn]"),"&lt;="&amp;CT$1,INDIRECT("Table1[Ende]"),"&gt;="&amp;CT$1,INDIRECT("Table1[Obergruppe ATC-Code]"),Tabelle3!$A91)</f>
        <v>0</v>
      </c>
    </row>
    <row r="92" spans="1:98" ht="18">
      <c r="A92" s="7" t="s">
        <v>6952</v>
      </c>
      <c r="B92" s="8" t="s">
        <v>6953</v>
      </c>
      <c r="C92">
        <f ca="1">COUNTIFS(INDIRECT("Table1[Beginn]"),"&lt;="&amp;C$1,INDIRECT("Table1[Ende]"),"&gt;="&amp;C$1,INDIRECT("Table1[Obergruppe ATC-Code]"),Tabelle3!$A92)</f>
        <v>0</v>
      </c>
      <c r="D92">
        <f ca="1">COUNTIFS(INDIRECT("Table1[Beginn]"),"&lt;="&amp;D$1,INDIRECT("Table1[Ende]"),"&gt;="&amp;D$1,INDIRECT("Table1[Obergruppe ATC-Code]"),Tabelle3!$A92)</f>
        <v>0</v>
      </c>
      <c r="E92">
        <f ca="1">COUNTIFS(INDIRECT("Table1[Beginn]"),"&lt;="&amp;E$1,INDIRECT("Table1[Ende]"),"&gt;="&amp;E$1,INDIRECT("Table1[Obergruppe ATC-Code]"),Tabelle3!$A92)</f>
        <v>0</v>
      </c>
      <c r="F92">
        <f ca="1">COUNTIFS(INDIRECT("Table1[Beginn]"),"&lt;="&amp;F$1,INDIRECT("Table1[Ende]"),"&gt;="&amp;F$1,INDIRECT("Table1[Obergruppe ATC-Code]"),Tabelle3!$A92)</f>
        <v>0</v>
      </c>
      <c r="G92">
        <f ca="1">COUNTIFS(INDIRECT("Table1[Beginn]"),"&lt;="&amp;G$1,INDIRECT("Table1[Ende]"),"&gt;="&amp;G$1,INDIRECT("Table1[Obergruppe ATC-Code]"),Tabelle3!$A92)</f>
        <v>0</v>
      </c>
      <c r="H92">
        <f ca="1">COUNTIFS(INDIRECT("Table1[Beginn]"),"&lt;="&amp;H$1,INDIRECT("Table1[Ende]"),"&gt;="&amp;H$1,INDIRECT("Table1[Obergruppe ATC-Code]"),Tabelle3!$A92)</f>
        <v>0</v>
      </c>
      <c r="I92">
        <f ca="1">COUNTIFS(INDIRECT("Table1[Beginn]"),"&lt;="&amp;I$1,INDIRECT("Table1[Ende]"),"&gt;="&amp;I$1,INDIRECT("Table1[Obergruppe ATC-Code]"),Tabelle3!$A92)</f>
        <v>0</v>
      </c>
      <c r="J92">
        <f ca="1">COUNTIFS(INDIRECT("Table1[Beginn]"),"&lt;="&amp;J$1,INDIRECT("Table1[Ende]"),"&gt;="&amp;J$1,INDIRECT("Table1[Obergruppe ATC-Code]"),Tabelle3!$A92)</f>
        <v>0</v>
      </c>
      <c r="K92">
        <f ca="1">COUNTIFS(INDIRECT("Table1[Beginn]"),"&lt;="&amp;K$1,INDIRECT("Table1[Ende]"),"&gt;="&amp;K$1,INDIRECT("Table1[Obergruppe ATC-Code]"),Tabelle3!$A92)</f>
        <v>0</v>
      </c>
      <c r="L92">
        <f ca="1">COUNTIFS(INDIRECT("Table1[Beginn]"),"&lt;="&amp;L$1,INDIRECT("Table1[Ende]"),"&gt;="&amp;L$1,INDIRECT("Table1[Obergruppe ATC-Code]"),Tabelle3!$A92)</f>
        <v>0</v>
      </c>
      <c r="M92">
        <f ca="1">COUNTIFS(INDIRECT("Table1[Beginn]"),"&lt;="&amp;M$1,INDIRECT("Table1[Ende]"),"&gt;="&amp;M$1,INDIRECT("Table1[Obergruppe ATC-Code]"),Tabelle3!$A92)</f>
        <v>0</v>
      </c>
      <c r="N92">
        <f ca="1">COUNTIFS(INDIRECT("Table1[Beginn]"),"&lt;="&amp;N$1,INDIRECT("Table1[Ende]"),"&gt;="&amp;N$1,INDIRECT("Table1[Obergruppe ATC-Code]"),Tabelle3!$A92)</f>
        <v>0</v>
      </c>
      <c r="O92">
        <f ca="1">COUNTIFS(INDIRECT("Table1[Beginn]"),"&lt;="&amp;O$1,INDIRECT("Table1[Ende]"),"&gt;="&amp;O$1,INDIRECT("Table1[Obergruppe ATC-Code]"),Tabelle3!$A92)</f>
        <v>0</v>
      </c>
      <c r="P92">
        <f ca="1">COUNTIFS(INDIRECT("Table1[Beginn]"),"&lt;="&amp;P$1,INDIRECT("Table1[Ende]"),"&gt;="&amp;P$1,INDIRECT("Table1[Obergruppe ATC-Code]"),Tabelle3!$A92)</f>
        <v>0</v>
      </c>
      <c r="Q92">
        <f ca="1">COUNTIFS(INDIRECT("Table1[Beginn]"),"&lt;="&amp;Q$1,INDIRECT("Table1[Ende]"),"&gt;="&amp;Q$1,INDIRECT("Table1[Obergruppe ATC-Code]"),Tabelle3!$A92)</f>
        <v>0</v>
      </c>
      <c r="R92">
        <f ca="1">COUNTIFS(INDIRECT("Table1[Beginn]"),"&lt;="&amp;R$1,INDIRECT("Table1[Ende]"),"&gt;="&amp;R$1,INDIRECT("Table1[Obergruppe ATC-Code]"),Tabelle3!$A92)</f>
        <v>0</v>
      </c>
      <c r="S92">
        <f ca="1">COUNTIFS(INDIRECT("Table1[Beginn]"),"&lt;="&amp;S$1,INDIRECT("Table1[Ende]"),"&gt;="&amp;S$1,INDIRECT("Table1[Obergruppe ATC-Code]"),Tabelle3!$A92)</f>
        <v>0</v>
      </c>
      <c r="T92">
        <f ca="1">COUNTIFS(INDIRECT("Table1[Beginn]"),"&lt;="&amp;T$1,INDIRECT("Table1[Ende]"),"&gt;="&amp;T$1,INDIRECT("Table1[Obergruppe ATC-Code]"),Tabelle3!$A92)</f>
        <v>0</v>
      </c>
      <c r="U92">
        <f ca="1">COUNTIFS(INDIRECT("Table1[Beginn]"),"&lt;="&amp;U$1,INDIRECT("Table1[Ende]"),"&gt;="&amp;U$1,INDIRECT("Table1[Obergruppe ATC-Code]"),Tabelle3!$A92)</f>
        <v>0</v>
      </c>
      <c r="V92">
        <f ca="1">COUNTIFS(INDIRECT("Table1[Beginn]"),"&lt;="&amp;V$1,INDIRECT("Table1[Ende]"),"&gt;="&amp;V$1,INDIRECT("Table1[Obergruppe ATC-Code]"),Tabelle3!$A92)</f>
        <v>0</v>
      </c>
      <c r="W92">
        <f ca="1">COUNTIFS(INDIRECT("Table1[Beginn]"),"&lt;="&amp;W$1,INDIRECT("Table1[Ende]"),"&gt;="&amp;W$1,INDIRECT("Table1[Obergruppe ATC-Code]"),Tabelle3!$A92)</f>
        <v>0</v>
      </c>
      <c r="X92">
        <f ca="1">COUNTIFS(INDIRECT("Table1[Beginn]"),"&lt;="&amp;X$1,INDIRECT("Table1[Ende]"),"&gt;="&amp;X$1,INDIRECT("Table1[Obergruppe ATC-Code]"),Tabelle3!$A92)</f>
        <v>0</v>
      </c>
      <c r="Y92">
        <f ca="1">COUNTIFS(INDIRECT("Table1[Beginn]"),"&lt;="&amp;Y$1,INDIRECT("Table1[Ende]"),"&gt;="&amp;Y$1,INDIRECT("Table1[Obergruppe ATC-Code]"),Tabelle3!$A92)</f>
        <v>0</v>
      </c>
      <c r="Z92">
        <f ca="1">COUNTIFS(INDIRECT("Table1[Beginn]"),"&lt;="&amp;Z$1,INDIRECT("Table1[Ende]"),"&gt;="&amp;Z$1,INDIRECT("Table1[Obergruppe ATC-Code]"),Tabelle3!$A92)</f>
        <v>0</v>
      </c>
      <c r="AA92">
        <f ca="1">COUNTIFS(INDIRECT("Table1[Beginn]"),"&lt;="&amp;AA$1,INDIRECT("Table1[Ende]"),"&gt;="&amp;AA$1,INDIRECT("Table1[Obergruppe ATC-Code]"),Tabelle3!$A92)</f>
        <v>0</v>
      </c>
      <c r="AB92">
        <f ca="1">COUNTIFS(INDIRECT("Table1[Beginn]"),"&lt;="&amp;AB$1,INDIRECT("Table1[Ende]"),"&gt;="&amp;AB$1,INDIRECT("Table1[Obergruppe ATC-Code]"),Tabelle3!$A92)</f>
        <v>0</v>
      </c>
      <c r="AC92">
        <f ca="1">COUNTIFS(INDIRECT("Table1[Beginn]"),"&lt;="&amp;AC$1,INDIRECT("Table1[Ende]"),"&gt;="&amp;AC$1,INDIRECT("Table1[Obergruppe ATC-Code]"),Tabelle3!$A92)</f>
        <v>0</v>
      </c>
      <c r="AD92">
        <f ca="1">COUNTIFS(INDIRECT("Table1[Beginn]"),"&lt;="&amp;AD$1,INDIRECT("Table1[Ende]"),"&gt;="&amp;AD$1,INDIRECT("Table1[Obergruppe ATC-Code]"),Tabelle3!$A92)</f>
        <v>0</v>
      </c>
      <c r="AE92">
        <f ca="1">COUNTIFS(INDIRECT("Table1[Beginn]"),"&lt;="&amp;AE$1,INDIRECT("Table1[Ende]"),"&gt;="&amp;AE$1,INDIRECT("Table1[Obergruppe ATC-Code]"),Tabelle3!$A92)</f>
        <v>0</v>
      </c>
      <c r="AF92">
        <f ca="1">COUNTIFS(INDIRECT("Table1[Beginn]"),"&lt;="&amp;AF$1,INDIRECT("Table1[Ende]"),"&gt;="&amp;AF$1,INDIRECT("Table1[Obergruppe ATC-Code]"),Tabelle3!$A92)</f>
        <v>0</v>
      </c>
      <c r="AG92">
        <f ca="1">COUNTIFS(INDIRECT("Table1[Beginn]"),"&lt;="&amp;AG$1,INDIRECT("Table1[Ende]"),"&gt;="&amp;AG$1,INDIRECT("Table1[Obergruppe ATC-Code]"),Tabelle3!$A92)</f>
        <v>0</v>
      </c>
      <c r="AH92">
        <f ca="1">COUNTIFS(INDIRECT("Table1[Beginn]"),"&lt;="&amp;AH$1,INDIRECT("Table1[Ende]"),"&gt;="&amp;AH$1,INDIRECT("Table1[Obergruppe ATC-Code]"),Tabelle3!$A92)</f>
        <v>0</v>
      </c>
      <c r="AI92">
        <f ca="1">COUNTIFS(INDIRECT("Table1[Beginn]"),"&lt;="&amp;AI$1,INDIRECT("Table1[Ende]"),"&gt;="&amp;AI$1,INDIRECT("Table1[Obergruppe ATC-Code]"),Tabelle3!$A92)</f>
        <v>0</v>
      </c>
      <c r="AJ92">
        <f ca="1">COUNTIFS(INDIRECT("Table1[Beginn]"),"&lt;="&amp;AJ$1,INDIRECT("Table1[Ende]"),"&gt;="&amp;AJ$1,INDIRECT("Table1[Obergruppe ATC-Code]"),Tabelle3!$A92)</f>
        <v>0</v>
      </c>
      <c r="AK92">
        <f ca="1">COUNTIFS(INDIRECT("Table1[Beginn]"),"&lt;="&amp;AK$1,INDIRECT("Table1[Ende]"),"&gt;="&amp;AK$1,INDIRECT("Table1[Obergruppe ATC-Code]"),Tabelle3!$A92)</f>
        <v>0</v>
      </c>
      <c r="AL92">
        <f ca="1">COUNTIFS(INDIRECT("Table1[Beginn]"),"&lt;="&amp;AL$1,INDIRECT("Table1[Ende]"),"&gt;="&amp;AL$1,INDIRECT("Table1[Obergruppe ATC-Code]"),Tabelle3!$A92)</f>
        <v>0</v>
      </c>
      <c r="AM92">
        <f ca="1">COUNTIFS(INDIRECT("Table1[Beginn]"),"&lt;="&amp;AM$1,INDIRECT("Table1[Ende]"),"&gt;="&amp;AM$1,INDIRECT("Table1[Obergruppe ATC-Code]"),Tabelle3!$A92)</f>
        <v>0</v>
      </c>
      <c r="AN92">
        <f ca="1">COUNTIFS(INDIRECT("Table1[Beginn]"),"&lt;="&amp;AN$1,INDIRECT("Table1[Ende]"),"&gt;="&amp;AN$1,INDIRECT("Table1[Obergruppe ATC-Code]"),Tabelle3!$A92)</f>
        <v>0</v>
      </c>
      <c r="AO92">
        <f ca="1">COUNTIFS(INDIRECT("Table1[Beginn]"),"&lt;="&amp;AO$1,INDIRECT("Table1[Ende]"),"&gt;="&amp;AO$1,INDIRECT("Table1[Obergruppe ATC-Code]"),Tabelle3!$A92)</f>
        <v>0</v>
      </c>
      <c r="AP92">
        <f ca="1">COUNTIFS(INDIRECT("Table1[Beginn]"),"&lt;="&amp;AP$1,INDIRECT("Table1[Ende]"),"&gt;="&amp;AP$1,INDIRECT("Table1[Obergruppe ATC-Code]"),Tabelle3!$A92)</f>
        <v>0</v>
      </c>
      <c r="AQ92">
        <f ca="1">COUNTIFS(INDIRECT("Table1[Beginn]"),"&lt;="&amp;AQ$1,INDIRECT("Table1[Ende]"),"&gt;="&amp;AQ$1,INDIRECT("Table1[Obergruppe ATC-Code]"),Tabelle3!$A92)</f>
        <v>0</v>
      </c>
      <c r="AR92">
        <f ca="1">COUNTIFS(INDIRECT("Table1[Beginn]"),"&lt;="&amp;AR$1,INDIRECT("Table1[Ende]"),"&gt;="&amp;AR$1,INDIRECT("Table1[Obergruppe ATC-Code]"),Tabelle3!$A92)</f>
        <v>0</v>
      </c>
      <c r="AS92">
        <f ca="1">COUNTIFS(INDIRECT("Table1[Beginn]"),"&lt;="&amp;AS$1,INDIRECT("Table1[Ende]"),"&gt;="&amp;AS$1,INDIRECT("Table1[Obergruppe ATC-Code]"),Tabelle3!$A92)</f>
        <v>0</v>
      </c>
      <c r="AT92">
        <f ca="1">COUNTIFS(INDIRECT("Table1[Beginn]"),"&lt;="&amp;AT$1,INDIRECT("Table1[Ende]"),"&gt;="&amp;AT$1,INDIRECT("Table1[Obergruppe ATC-Code]"),Tabelle3!$A92)</f>
        <v>0</v>
      </c>
      <c r="AU92">
        <f ca="1">COUNTIFS(INDIRECT("Table1[Beginn]"),"&lt;="&amp;AU$1,INDIRECT("Table1[Ende]"),"&gt;="&amp;AU$1,INDIRECT("Table1[Obergruppe ATC-Code]"),Tabelle3!$A92)</f>
        <v>0</v>
      </c>
      <c r="AV92">
        <f ca="1">COUNTIFS(INDIRECT("Table1[Beginn]"),"&lt;="&amp;AV$1,INDIRECT("Table1[Ende]"),"&gt;="&amp;AV$1,INDIRECT("Table1[Obergruppe ATC-Code]"),Tabelle3!$A92)</f>
        <v>0</v>
      </c>
      <c r="AW92">
        <f ca="1">COUNTIFS(INDIRECT("Table1[Beginn]"),"&lt;="&amp;AW$1,INDIRECT("Table1[Ende]"),"&gt;="&amp;AW$1,INDIRECT("Table1[Obergruppe ATC-Code]"),Tabelle3!$A92)</f>
        <v>0</v>
      </c>
      <c r="AX92">
        <f ca="1">COUNTIFS(INDIRECT("Table1[Beginn]"),"&lt;="&amp;AX$1,INDIRECT("Table1[Ende]"),"&gt;="&amp;AX$1,INDIRECT("Table1[Obergruppe ATC-Code]"),Tabelle3!$A92)</f>
        <v>0</v>
      </c>
      <c r="AY92">
        <f ca="1">COUNTIFS(INDIRECT("Table1[Beginn]"),"&lt;="&amp;AY$1,INDIRECT("Table1[Ende]"),"&gt;="&amp;AY$1,INDIRECT("Table1[Obergruppe ATC-Code]"),Tabelle3!$A92)</f>
        <v>0</v>
      </c>
      <c r="AZ92">
        <f ca="1">COUNTIFS(INDIRECT("Table1[Beginn]"),"&lt;="&amp;AZ$1,INDIRECT("Table1[Ende]"),"&gt;="&amp;AZ$1,INDIRECT("Table1[Obergruppe ATC-Code]"),Tabelle3!$A92)</f>
        <v>0</v>
      </c>
      <c r="BA92">
        <f ca="1">COUNTIFS(INDIRECT("Table1[Beginn]"),"&lt;="&amp;BA$1,INDIRECT("Table1[Ende]"),"&gt;="&amp;BA$1,INDIRECT("Table1[Obergruppe ATC-Code]"),Tabelle3!$A92)</f>
        <v>0</v>
      </c>
      <c r="BB92">
        <f ca="1">COUNTIFS(INDIRECT("Table1[Beginn]"),"&lt;="&amp;BB$1,INDIRECT("Table1[Ende]"),"&gt;="&amp;BB$1,INDIRECT("Table1[Obergruppe ATC-Code]"),Tabelle3!$A92)</f>
        <v>0</v>
      </c>
      <c r="BC92">
        <f ca="1">COUNTIFS(INDIRECT("Table1[Beginn]"),"&lt;="&amp;BC$1,INDIRECT("Table1[Ende]"),"&gt;="&amp;BC$1,INDIRECT("Table1[Obergruppe ATC-Code]"),Tabelle3!$A92)</f>
        <v>0</v>
      </c>
      <c r="BD92">
        <f ca="1">COUNTIFS(INDIRECT("Table1[Beginn]"),"&lt;="&amp;BD$1,INDIRECT("Table1[Ende]"),"&gt;="&amp;BD$1,INDIRECT("Table1[Obergruppe ATC-Code]"),Tabelle3!$A92)</f>
        <v>0</v>
      </c>
      <c r="BE92">
        <f ca="1">COUNTIFS(INDIRECT("Table1[Beginn]"),"&lt;="&amp;BE$1,INDIRECT("Table1[Ende]"),"&gt;="&amp;BE$1,INDIRECT("Table1[Obergruppe ATC-Code]"),Tabelle3!$A92)</f>
        <v>0</v>
      </c>
      <c r="BF92">
        <f ca="1">COUNTIFS(INDIRECT("Table1[Beginn]"),"&lt;="&amp;BF$1,INDIRECT("Table1[Ende]"),"&gt;="&amp;BF$1,INDIRECT("Table1[Obergruppe ATC-Code]"),Tabelle3!$A92)</f>
        <v>0</v>
      </c>
      <c r="BG92">
        <f ca="1">COUNTIFS(INDIRECT("Table1[Beginn]"),"&lt;="&amp;BG$1,INDIRECT("Table1[Ende]"),"&gt;="&amp;BG$1,INDIRECT("Table1[Obergruppe ATC-Code]"),Tabelle3!$A92)</f>
        <v>0</v>
      </c>
      <c r="BH92">
        <f ca="1">COUNTIFS(INDIRECT("Table1[Beginn]"),"&lt;="&amp;BH$1,INDIRECT("Table1[Ende]"),"&gt;="&amp;BH$1,INDIRECT("Table1[Obergruppe ATC-Code]"),Tabelle3!$A92)</f>
        <v>0</v>
      </c>
      <c r="BI92">
        <f ca="1">COUNTIFS(INDIRECT("Table1[Beginn]"),"&lt;="&amp;BI$1,INDIRECT("Table1[Ende]"),"&gt;="&amp;BI$1,INDIRECT("Table1[Obergruppe ATC-Code]"),Tabelle3!$A92)</f>
        <v>0</v>
      </c>
      <c r="BJ92">
        <f ca="1">COUNTIFS(INDIRECT("Table1[Beginn]"),"&lt;="&amp;BJ$1,INDIRECT("Table1[Ende]"),"&gt;="&amp;BJ$1,INDIRECT("Table1[Obergruppe ATC-Code]"),Tabelle3!$A92)</f>
        <v>0</v>
      </c>
      <c r="BK92">
        <f ca="1">COUNTIFS(INDIRECT("Table1[Beginn]"),"&lt;="&amp;BK$1,INDIRECT("Table1[Ende]"),"&gt;="&amp;BK$1,INDIRECT("Table1[Obergruppe ATC-Code]"),Tabelle3!$A92)</f>
        <v>0</v>
      </c>
      <c r="BL92">
        <f ca="1">COUNTIFS(INDIRECT("Table1[Beginn]"),"&lt;="&amp;BL$1,INDIRECT("Table1[Ende]"),"&gt;="&amp;BL$1,INDIRECT("Table1[Obergruppe ATC-Code]"),Tabelle3!$A92)</f>
        <v>0</v>
      </c>
      <c r="BM92">
        <f ca="1">COUNTIFS(INDIRECT("Table1[Beginn]"),"&lt;="&amp;BM$1,INDIRECT("Table1[Ende]"),"&gt;="&amp;BM$1,INDIRECT("Table1[Obergruppe ATC-Code]"),Tabelle3!$A92)</f>
        <v>0</v>
      </c>
      <c r="BN92">
        <f ca="1">COUNTIFS(INDIRECT("Table1[Beginn]"),"&lt;="&amp;BN$1,INDIRECT("Table1[Ende]"),"&gt;="&amp;BN$1,INDIRECT("Table1[Obergruppe ATC-Code]"),Tabelle3!$A92)</f>
        <v>0</v>
      </c>
      <c r="BO92">
        <f ca="1">COUNTIFS(INDIRECT("Table1[Beginn]"),"&lt;="&amp;BO$1,INDIRECT("Table1[Ende]"),"&gt;="&amp;BO$1,INDIRECT("Table1[Obergruppe ATC-Code]"),Tabelle3!$A92)</f>
        <v>0</v>
      </c>
      <c r="BP92">
        <f ca="1">COUNTIFS(INDIRECT("Table1[Beginn]"),"&lt;="&amp;BP$1,INDIRECT("Table1[Ende]"),"&gt;="&amp;BP$1,INDIRECT("Table1[Obergruppe ATC-Code]"),Tabelle3!$A92)</f>
        <v>0</v>
      </c>
      <c r="BQ92">
        <f ca="1">COUNTIFS(INDIRECT("Table1[Beginn]"),"&lt;="&amp;BQ$1,INDIRECT("Table1[Ende]"),"&gt;="&amp;BQ$1,INDIRECT("Table1[Obergruppe ATC-Code]"),Tabelle3!$A92)</f>
        <v>0</v>
      </c>
      <c r="BR92">
        <f ca="1">COUNTIFS(INDIRECT("Table1[Beginn]"),"&lt;="&amp;BR$1,INDIRECT("Table1[Ende]"),"&gt;="&amp;BR$1,INDIRECT("Table1[Obergruppe ATC-Code]"),Tabelle3!$A92)</f>
        <v>0</v>
      </c>
      <c r="BS92">
        <f ca="1">COUNTIFS(INDIRECT("Table1[Beginn]"),"&lt;="&amp;BS$1,INDIRECT("Table1[Ende]"),"&gt;="&amp;BS$1,INDIRECT("Table1[Obergruppe ATC-Code]"),Tabelle3!$A92)</f>
        <v>0</v>
      </c>
      <c r="BT92">
        <f ca="1">COUNTIFS(INDIRECT("Table1[Beginn]"),"&lt;="&amp;BT$1,INDIRECT("Table1[Ende]"),"&gt;="&amp;BT$1,INDIRECT("Table1[Obergruppe ATC-Code]"),Tabelle3!$A92)</f>
        <v>0</v>
      </c>
      <c r="BU92">
        <f ca="1">COUNTIFS(INDIRECT("Table1[Beginn]"),"&lt;="&amp;BU$1,INDIRECT("Table1[Ende]"),"&gt;="&amp;BU$1,INDIRECT("Table1[Obergruppe ATC-Code]"),Tabelle3!$A92)</f>
        <v>0</v>
      </c>
      <c r="BV92">
        <f ca="1">COUNTIFS(INDIRECT("Table1[Beginn]"),"&lt;="&amp;BV$1,INDIRECT("Table1[Ende]"),"&gt;="&amp;BV$1,INDIRECT("Table1[Obergruppe ATC-Code]"),Tabelle3!$A92)</f>
        <v>0</v>
      </c>
      <c r="BW92">
        <f ca="1">COUNTIFS(INDIRECT("Table1[Beginn]"),"&lt;="&amp;BW$1,INDIRECT("Table1[Ende]"),"&gt;="&amp;BW$1,INDIRECT("Table1[Obergruppe ATC-Code]"),Tabelle3!$A92)</f>
        <v>0</v>
      </c>
      <c r="BX92">
        <f ca="1">COUNTIFS(INDIRECT("Table1[Beginn]"),"&lt;="&amp;BX$1,INDIRECT("Table1[Ende]"),"&gt;="&amp;BX$1,INDIRECT("Table1[Obergruppe ATC-Code]"),Tabelle3!$A92)</f>
        <v>0</v>
      </c>
      <c r="BY92">
        <f ca="1">COUNTIFS(INDIRECT("Table1[Beginn]"),"&lt;="&amp;BY$1,INDIRECT("Table1[Ende]"),"&gt;="&amp;BY$1,INDIRECT("Table1[Obergruppe ATC-Code]"),Tabelle3!$A92)</f>
        <v>0</v>
      </c>
      <c r="BZ92">
        <f ca="1">COUNTIFS(INDIRECT("Table1[Beginn]"),"&lt;="&amp;BZ$1,INDIRECT("Table1[Ende]"),"&gt;="&amp;BZ$1,INDIRECT("Table1[Obergruppe ATC-Code]"),Tabelle3!$A92)</f>
        <v>0</v>
      </c>
      <c r="CA92">
        <f ca="1">COUNTIFS(INDIRECT("Table1[Beginn]"),"&lt;="&amp;CA$1,INDIRECT("Table1[Ende]"),"&gt;="&amp;CA$1,INDIRECT("Table1[Obergruppe ATC-Code]"),Tabelle3!$A92)</f>
        <v>0</v>
      </c>
      <c r="CB92">
        <f ca="1">COUNTIFS(INDIRECT("Table1[Beginn]"),"&lt;="&amp;CB$1,INDIRECT("Table1[Ende]"),"&gt;="&amp;CB$1,INDIRECT("Table1[Obergruppe ATC-Code]"),Tabelle3!$A92)</f>
        <v>0</v>
      </c>
      <c r="CC92">
        <f ca="1">COUNTIFS(INDIRECT("Table1[Beginn]"),"&lt;="&amp;CC$1,INDIRECT("Table1[Ende]"),"&gt;="&amp;CC$1,INDIRECT("Table1[Obergruppe ATC-Code]"),Tabelle3!$A92)</f>
        <v>0</v>
      </c>
      <c r="CD92">
        <f ca="1">COUNTIFS(INDIRECT("Table1[Beginn]"),"&lt;="&amp;CD$1,INDIRECT("Table1[Ende]"),"&gt;="&amp;CD$1,INDIRECT("Table1[Obergruppe ATC-Code]"),Tabelle3!$A92)</f>
        <v>0</v>
      </c>
      <c r="CE92">
        <f ca="1">COUNTIFS(INDIRECT("Table1[Beginn]"),"&lt;="&amp;CE$1,INDIRECT("Table1[Ende]"),"&gt;="&amp;CE$1,INDIRECT("Table1[Obergruppe ATC-Code]"),Tabelle3!$A92)</f>
        <v>0</v>
      </c>
      <c r="CF92">
        <f ca="1">COUNTIFS(INDIRECT("Table1[Beginn]"),"&lt;="&amp;CF$1,INDIRECT("Table1[Ende]"),"&gt;="&amp;CF$1,INDIRECT("Table1[Obergruppe ATC-Code]"),Tabelle3!$A92)</f>
        <v>0</v>
      </c>
      <c r="CG92">
        <f ca="1">COUNTIFS(INDIRECT("Table1[Beginn]"),"&lt;="&amp;CG$1,INDIRECT("Table1[Ende]"),"&gt;="&amp;CG$1,INDIRECT("Table1[Obergruppe ATC-Code]"),Tabelle3!$A92)</f>
        <v>0</v>
      </c>
      <c r="CH92">
        <f ca="1">COUNTIFS(INDIRECT("Table1[Beginn]"),"&lt;="&amp;CH$1,INDIRECT("Table1[Ende]"),"&gt;="&amp;CH$1,INDIRECT("Table1[Obergruppe ATC-Code]"),Tabelle3!$A92)</f>
        <v>0</v>
      </c>
      <c r="CI92">
        <f ca="1">COUNTIFS(INDIRECT("Table1[Beginn]"),"&lt;="&amp;CI$1,INDIRECT("Table1[Ende]"),"&gt;="&amp;CI$1,INDIRECT("Table1[Obergruppe ATC-Code]"),Tabelle3!$A92)</f>
        <v>0</v>
      </c>
      <c r="CJ92">
        <f ca="1">COUNTIFS(INDIRECT("Table1[Beginn]"),"&lt;="&amp;CJ$1,INDIRECT("Table1[Ende]"),"&gt;="&amp;CJ$1,INDIRECT("Table1[Obergruppe ATC-Code]"),Tabelle3!$A92)</f>
        <v>0</v>
      </c>
      <c r="CK92">
        <f ca="1">COUNTIFS(INDIRECT("Table1[Beginn]"),"&lt;="&amp;CK$1,INDIRECT("Table1[Ende]"),"&gt;="&amp;CK$1,INDIRECT("Table1[Obergruppe ATC-Code]"),Tabelle3!$A92)</f>
        <v>0</v>
      </c>
      <c r="CL92">
        <f ca="1">COUNTIFS(INDIRECT("Table1[Beginn]"),"&lt;="&amp;CL$1,INDIRECT("Table1[Ende]"),"&gt;="&amp;CL$1,INDIRECT("Table1[Obergruppe ATC-Code]"),Tabelle3!$A92)</f>
        <v>0</v>
      </c>
      <c r="CM92">
        <f ca="1">COUNTIFS(INDIRECT("Table1[Beginn]"),"&lt;="&amp;CM$1,INDIRECT("Table1[Ende]"),"&gt;="&amp;CM$1,INDIRECT("Table1[Obergruppe ATC-Code]"),Tabelle3!$A92)</f>
        <v>0</v>
      </c>
      <c r="CN92">
        <f ca="1">COUNTIFS(INDIRECT("Table1[Beginn]"),"&lt;="&amp;CN$1,INDIRECT("Table1[Ende]"),"&gt;="&amp;CN$1,INDIRECT("Table1[Obergruppe ATC-Code]"),Tabelle3!$A92)</f>
        <v>0</v>
      </c>
      <c r="CO92">
        <f ca="1">COUNTIFS(INDIRECT("Table1[Beginn]"),"&lt;="&amp;CO$1,INDIRECT("Table1[Ende]"),"&gt;="&amp;CO$1,INDIRECT("Table1[Obergruppe ATC-Code]"),Tabelle3!$A92)</f>
        <v>0</v>
      </c>
      <c r="CP92">
        <f ca="1">COUNTIFS(INDIRECT("Table1[Beginn]"),"&lt;="&amp;CP$1,INDIRECT("Table1[Ende]"),"&gt;="&amp;CP$1,INDIRECT("Table1[Obergruppe ATC-Code]"),Tabelle3!$A92)</f>
        <v>0</v>
      </c>
      <c r="CQ92">
        <f ca="1">COUNTIFS(INDIRECT("Table1[Beginn]"),"&lt;="&amp;CQ$1,INDIRECT("Table1[Ende]"),"&gt;="&amp;CQ$1,INDIRECT("Table1[Obergruppe ATC-Code]"),Tabelle3!$A92)</f>
        <v>0</v>
      </c>
      <c r="CR92">
        <f ca="1">COUNTIFS(INDIRECT("Table1[Beginn]"),"&lt;="&amp;CR$1,INDIRECT("Table1[Ende]"),"&gt;="&amp;CR$1,INDIRECT("Table1[Obergruppe ATC-Code]"),Tabelle3!$A92)</f>
        <v>0</v>
      </c>
      <c r="CS92">
        <f ca="1">COUNTIFS(INDIRECT("Table1[Beginn]"),"&lt;="&amp;CS$1,INDIRECT("Table1[Ende]"),"&gt;="&amp;CS$1,INDIRECT("Table1[Obergruppe ATC-Code]"),Tabelle3!$A92)</f>
        <v>0</v>
      </c>
      <c r="CT92">
        <f ca="1">COUNTIFS(INDIRECT("Table1[Beginn]"),"&lt;="&amp;CT$1,INDIRECT("Table1[Ende]"),"&gt;="&amp;CT$1,INDIRECT("Table1[Obergruppe ATC-Code]"),Tabelle3!$A92)</f>
        <v>0</v>
      </c>
    </row>
    <row r="93" spans="1:98" ht="18">
      <c r="A93" s="9" t="s">
        <v>6954</v>
      </c>
      <c r="B93" s="10" t="s">
        <v>6955</v>
      </c>
      <c r="C93">
        <f ca="1">COUNTIFS(INDIRECT("Table1[Beginn]"),"&lt;="&amp;C$1,INDIRECT("Table1[Ende]"),"&gt;="&amp;C$1,INDIRECT("Table1[Obergruppe ATC-Code]"),Tabelle3!$A93)</f>
        <v>0</v>
      </c>
      <c r="D93">
        <f ca="1">COUNTIFS(INDIRECT("Table1[Beginn]"),"&lt;="&amp;D$1,INDIRECT("Table1[Ende]"),"&gt;="&amp;D$1,INDIRECT("Table1[Obergruppe ATC-Code]"),Tabelle3!$A93)</f>
        <v>0</v>
      </c>
      <c r="E93">
        <f ca="1">COUNTIFS(INDIRECT("Table1[Beginn]"),"&lt;="&amp;E$1,INDIRECT("Table1[Ende]"),"&gt;="&amp;E$1,INDIRECT("Table1[Obergruppe ATC-Code]"),Tabelle3!$A93)</f>
        <v>0</v>
      </c>
      <c r="F93">
        <f ca="1">COUNTIFS(INDIRECT("Table1[Beginn]"),"&lt;="&amp;F$1,INDIRECT("Table1[Ende]"),"&gt;="&amp;F$1,INDIRECT("Table1[Obergruppe ATC-Code]"),Tabelle3!$A93)</f>
        <v>0</v>
      </c>
      <c r="G93">
        <f ca="1">COUNTIFS(INDIRECT("Table1[Beginn]"),"&lt;="&amp;G$1,INDIRECT("Table1[Ende]"),"&gt;="&amp;G$1,INDIRECT("Table1[Obergruppe ATC-Code]"),Tabelle3!$A93)</f>
        <v>0</v>
      </c>
      <c r="H93">
        <f ca="1">COUNTIFS(INDIRECT("Table1[Beginn]"),"&lt;="&amp;H$1,INDIRECT("Table1[Ende]"),"&gt;="&amp;H$1,INDIRECT("Table1[Obergruppe ATC-Code]"),Tabelle3!$A93)</f>
        <v>0</v>
      </c>
      <c r="I93">
        <f ca="1">COUNTIFS(INDIRECT("Table1[Beginn]"),"&lt;="&amp;I$1,INDIRECT("Table1[Ende]"),"&gt;="&amp;I$1,INDIRECT("Table1[Obergruppe ATC-Code]"),Tabelle3!$A93)</f>
        <v>0</v>
      </c>
      <c r="J93">
        <f ca="1">COUNTIFS(INDIRECT("Table1[Beginn]"),"&lt;="&amp;J$1,INDIRECT("Table1[Ende]"),"&gt;="&amp;J$1,INDIRECT("Table1[Obergruppe ATC-Code]"),Tabelle3!$A93)</f>
        <v>0</v>
      </c>
      <c r="K93">
        <f ca="1">COUNTIFS(INDIRECT("Table1[Beginn]"),"&lt;="&amp;K$1,INDIRECT("Table1[Ende]"),"&gt;="&amp;K$1,INDIRECT("Table1[Obergruppe ATC-Code]"),Tabelle3!$A93)</f>
        <v>0</v>
      </c>
      <c r="L93">
        <f ca="1">COUNTIFS(INDIRECT("Table1[Beginn]"),"&lt;="&amp;L$1,INDIRECT("Table1[Ende]"),"&gt;="&amp;L$1,INDIRECT("Table1[Obergruppe ATC-Code]"),Tabelle3!$A93)</f>
        <v>0</v>
      </c>
      <c r="M93">
        <f ca="1">COUNTIFS(INDIRECT("Table1[Beginn]"),"&lt;="&amp;M$1,INDIRECT("Table1[Ende]"),"&gt;="&amp;M$1,INDIRECT("Table1[Obergruppe ATC-Code]"),Tabelle3!$A93)</f>
        <v>0</v>
      </c>
      <c r="N93">
        <f ca="1">COUNTIFS(INDIRECT("Table1[Beginn]"),"&lt;="&amp;N$1,INDIRECT("Table1[Ende]"),"&gt;="&amp;N$1,INDIRECT("Table1[Obergruppe ATC-Code]"),Tabelle3!$A93)</f>
        <v>0</v>
      </c>
      <c r="O93">
        <f ca="1">COUNTIFS(INDIRECT("Table1[Beginn]"),"&lt;="&amp;O$1,INDIRECT("Table1[Ende]"),"&gt;="&amp;O$1,INDIRECT("Table1[Obergruppe ATC-Code]"),Tabelle3!$A93)</f>
        <v>0</v>
      </c>
      <c r="P93">
        <f ca="1">COUNTIFS(INDIRECT("Table1[Beginn]"),"&lt;="&amp;P$1,INDIRECT("Table1[Ende]"),"&gt;="&amp;P$1,INDIRECT("Table1[Obergruppe ATC-Code]"),Tabelle3!$A93)</f>
        <v>0</v>
      </c>
      <c r="Q93">
        <f ca="1">COUNTIFS(INDIRECT("Table1[Beginn]"),"&lt;="&amp;Q$1,INDIRECT("Table1[Ende]"),"&gt;="&amp;Q$1,INDIRECT("Table1[Obergruppe ATC-Code]"),Tabelle3!$A93)</f>
        <v>0</v>
      </c>
      <c r="R93">
        <f ca="1">COUNTIFS(INDIRECT("Table1[Beginn]"),"&lt;="&amp;R$1,INDIRECT("Table1[Ende]"),"&gt;="&amp;R$1,INDIRECT("Table1[Obergruppe ATC-Code]"),Tabelle3!$A93)</f>
        <v>0</v>
      </c>
      <c r="S93">
        <f ca="1">COUNTIFS(INDIRECT("Table1[Beginn]"),"&lt;="&amp;S$1,INDIRECT("Table1[Ende]"),"&gt;="&amp;S$1,INDIRECT("Table1[Obergruppe ATC-Code]"),Tabelle3!$A93)</f>
        <v>0</v>
      </c>
      <c r="T93">
        <f ca="1">COUNTIFS(INDIRECT("Table1[Beginn]"),"&lt;="&amp;T$1,INDIRECT("Table1[Ende]"),"&gt;="&amp;T$1,INDIRECT("Table1[Obergruppe ATC-Code]"),Tabelle3!$A93)</f>
        <v>0</v>
      </c>
      <c r="U93">
        <f ca="1">COUNTIFS(INDIRECT("Table1[Beginn]"),"&lt;="&amp;U$1,INDIRECT("Table1[Ende]"),"&gt;="&amp;U$1,INDIRECT("Table1[Obergruppe ATC-Code]"),Tabelle3!$A93)</f>
        <v>0</v>
      </c>
      <c r="V93">
        <f ca="1">COUNTIFS(INDIRECT("Table1[Beginn]"),"&lt;="&amp;V$1,INDIRECT("Table1[Ende]"),"&gt;="&amp;V$1,INDIRECT("Table1[Obergruppe ATC-Code]"),Tabelle3!$A93)</f>
        <v>0</v>
      </c>
      <c r="W93">
        <f ca="1">COUNTIFS(INDIRECT("Table1[Beginn]"),"&lt;="&amp;W$1,INDIRECT("Table1[Ende]"),"&gt;="&amp;W$1,INDIRECT("Table1[Obergruppe ATC-Code]"),Tabelle3!$A93)</f>
        <v>0</v>
      </c>
      <c r="X93">
        <f ca="1">COUNTIFS(INDIRECT("Table1[Beginn]"),"&lt;="&amp;X$1,INDIRECT("Table1[Ende]"),"&gt;="&amp;X$1,INDIRECT("Table1[Obergruppe ATC-Code]"),Tabelle3!$A93)</f>
        <v>0</v>
      </c>
      <c r="Y93">
        <f ca="1">COUNTIFS(INDIRECT("Table1[Beginn]"),"&lt;="&amp;Y$1,INDIRECT("Table1[Ende]"),"&gt;="&amp;Y$1,INDIRECT("Table1[Obergruppe ATC-Code]"),Tabelle3!$A93)</f>
        <v>0</v>
      </c>
      <c r="Z93">
        <f ca="1">COUNTIFS(INDIRECT("Table1[Beginn]"),"&lt;="&amp;Z$1,INDIRECT("Table1[Ende]"),"&gt;="&amp;Z$1,INDIRECT("Table1[Obergruppe ATC-Code]"),Tabelle3!$A93)</f>
        <v>0</v>
      </c>
      <c r="AA93">
        <f ca="1">COUNTIFS(INDIRECT("Table1[Beginn]"),"&lt;="&amp;AA$1,INDIRECT("Table1[Ende]"),"&gt;="&amp;AA$1,INDIRECT("Table1[Obergruppe ATC-Code]"),Tabelle3!$A93)</f>
        <v>0</v>
      </c>
      <c r="AB93">
        <f ca="1">COUNTIFS(INDIRECT("Table1[Beginn]"),"&lt;="&amp;AB$1,INDIRECT("Table1[Ende]"),"&gt;="&amp;AB$1,INDIRECT("Table1[Obergruppe ATC-Code]"),Tabelle3!$A93)</f>
        <v>0</v>
      </c>
      <c r="AC93">
        <f ca="1">COUNTIFS(INDIRECT("Table1[Beginn]"),"&lt;="&amp;AC$1,INDIRECT("Table1[Ende]"),"&gt;="&amp;AC$1,INDIRECT("Table1[Obergruppe ATC-Code]"),Tabelle3!$A93)</f>
        <v>0</v>
      </c>
      <c r="AD93">
        <f ca="1">COUNTIFS(INDIRECT("Table1[Beginn]"),"&lt;="&amp;AD$1,INDIRECT("Table1[Ende]"),"&gt;="&amp;AD$1,INDIRECT("Table1[Obergruppe ATC-Code]"),Tabelle3!$A93)</f>
        <v>0</v>
      </c>
      <c r="AE93">
        <f ca="1">COUNTIFS(INDIRECT("Table1[Beginn]"),"&lt;="&amp;AE$1,INDIRECT("Table1[Ende]"),"&gt;="&amp;AE$1,INDIRECT("Table1[Obergruppe ATC-Code]"),Tabelle3!$A93)</f>
        <v>0</v>
      </c>
      <c r="AF93">
        <f ca="1">COUNTIFS(INDIRECT("Table1[Beginn]"),"&lt;="&amp;AF$1,INDIRECT("Table1[Ende]"),"&gt;="&amp;AF$1,INDIRECT("Table1[Obergruppe ATC-Code]"),Tabelle3!$A93)</f>
        <v>0</v>
      </c>
      <c r="AG93">
        <f ca="1">COUNTIFS(INDIRECT("Table1[Beginn]"),"&lt;="&amp;AG$1,INDIRECT("Table1[Ende]"),"&gt;="&amp;AG$1,INDIRECT("Table1[Obergruppe ATC-Code]"),Tabelle3!$A93)</f>
        <v>0</v>
      </c>
      <c r="AH93">
        <f ca="1">COUNTIFS(INDIRECT("Table1[Beginn]"),"&lt;="&amp;AH$1,INDIRECT("Table1[Ende]"),"&gt;="&amp;AH$1,INDIRECT("Table1[Obergruppe ATC-Code]"),Tabelle3!$A93)</f>
        <v>0</v>
      </c>
      <c r="AI93">
        <f ca="1">COUNTIFS(INDIRECT("Table1[Beginn]"),"&lt;="&amp;AI$1,INDIRECT("Table1[Ende]"),"&gt;="&amp;AI$1,INDIRECT("Table1[Obergruppe ATC-Code]"),Tabelle3!$A93)</f>
        <v>0</v>
      </c>
      <c r="AJ93">
        <f ca="1">COUNTIFS(INDIRECT("Table1[Beginn]"),"&lt;="&amp;AJ$1,INDIRECT("Table1[Ende]"),"&gt;="&amp;AJ$1,INDIRECT("Table1[Obergruppe ATC-Code]"),Tabelle3!$A93)</f>
        <v>0</v>
      </c>
      <c r="AK93">
        <f ca="1">COUNTIFS(INDIRECT("Table1[Beginn]"),"&lt;="&amp;AK$1,INDIRECT("Table1[Ende]"),"&gt;="&amp;AK$1,INDIRECT("Table1[Obergruppe ATC-Code]"),Tabelle3!$A93)</f>
        <v>0</v>
      </c>
      <c r="AL93">
        <f ca="1">COUNTIFS(INDIRECT("Table1[Beginn]"),"&lt;="&amp;AL$1,INDIRECT("Table1[Ende]"),"&gt;="&amp;AL$1,INDIRECT("Table1[Obergruppe ATC-Code]"),Tabelle3!$A93)</f>
        <v>0</v>
      </c>
      <c r="AM93">
        <f ca="1">COUNTIFS(INDIRECT("Table1[Beginn]"),"&lt;="&amp;AM$1,INDIRECT("Table1[Ende]"),"&gt;="&amp;AM$1,INDIRECT("Table1[Obergruppe ATC-Code]"),Tabelle3!$A93)</f>
        <v>0</v>
      </c>
      <c r="AN93">
        <f ca="1">COUNTIFS(INDIRECT("Table1[Beginn]"),"&lt;="&amp;AN$1,INDIRECT("Table1[Ende]"),"&gt;="&amp;AN$1,INDIRECT("Table1[Obergruppe ATC-Code]"),Tabelle3!$A93)</f>
        <v>0</v>
      </c>
      <c r="AO93">
        <f ca="1">COUNTIFS(INDIRECT("Table1[Beginn]"),"&lt;="&amp;AO$1,INDIRECT("Table1[Ende]"),"&gt;="&amp;AO$1,INDIRECT("Table1[Obergruppe ATC-Code]"),Tabelle3!$A93)</f>
        <v>0</v>
      </c>
      <c r="AP93">
        <f ca="1">COUNTIFS(INDIRECT("Table1[Beginn]"),"&lt;="&amp;AP$1,INDIRECT("Table1[Ende]"),"&gt;="&amp;AP$1,INDIRECT("Table1[Obergruppe ATC-Code]"),Tabelle3!$A93)</f>
        <v>0</v>
      </c>
      <c r="AQ93">
        <f ca="1">COUNTIFS(INDIRECT("Table1[Beginn]"),"&lt;="&amp;AQ$1,INDIRECT("Table1[Ende]"),"&gt;="&amp;AQ$1,INDIRECT("Table1[Obergruppe ATC-Code]"),Tabelle3!$A93)</f>
        <v>0</v>
      </c>
      <c r="AR93">
        <f ca="1">COUNTIFS(INDIRECT("Table1[Beginn]"),"&lt;="&amp;AR$1,INDIRECT("Table1[Ende]"),"&gt;="&amp;AR$1,INDIRECT("Table1[Obergruppe ATC-Code]"),Tabelle3!$A93)</f>
        <v>0</v>
      </c>
      <c r="AS93">
        <f ca="1">COUNTIFS(INDIRECT("Table1[Beginn]"),"&lt;="&amp;AS$1,INDIRECT("Table1[Ende]"),"&gt;="&amp;AS$1,INDIRECT("Table1[Obergruppe ATC-Code]"),Tabelle3!$A93)</f>
        <v>0</v>
      </c>
      <c r="AT93">
        <f ca="1">COUNTIFS(INDIRECT("Table1[Beginn]"),"&lt;="&amp;AT$1,INDIRECT("Table1[Ende]"),"&gt;="&amp;AT$1,INDIRECT("Table1[Obergruppe ATC-Code]"),Tabelle3!$A93)</f>
        <v>0</v>
      </c>
      <c r="AU93">
        <f ca="1">COUNTIFS(INDIRECT("Table1[Beginn]"),"&lt;="&amp;AU$1,INDIRECT("Table1[Ende]"),"&gt;="&amp;AU$1,INDIRECT("Table1[Obergruppe ATC-Code]"),Tabelle3!$A93)</f>
        <v>0</v>
      </c>
      <c r="AV93">
        <f ca="1">COUNTIFS(INDIRECT("Table1[Beginn]"),"&lt;="&amp;AV$1,INDIRECT("Table1[Ende]"),"&gt;="&amp;AV$1,INDIRECT("Table1[Obergruppe ATC-Code]"),Tabelle3!$A93)</f>
        <v>0</v>
      </c>
      <c r="AW93">
        <f ca="1">COUNTIFS(INDIRECT("Table1[Beginn]"),"&lt;="&amp;AW$1,INDIRECT("Table1[Ende]"),"&gt;="&amp;AW$1,INDIRECT("Table1[Obergruppe ATC-Code]"),Tabelle3!$A93)</f>
        <v>0</v>
      </c>
      <c r="AX93">
        <f ca="1">COUNTIFS(INDIRECT("Table1[Beginn]"),"&lt;="&amp;AX$1,INDIRECT("Table1[Ende]"),"&gt;="&amp;AX$1,INDIRECT("Table1[Obergruppe ATC-Code]"),Tabelle3!$A93)</f>
        <v>0</v>
      </c>
      <c r="AY93">
        <f ca="1">COUNTIFS(INDIRECT("Table1[Beginn]"),"&lt;="&amp;AY$1,INDIRECT("Table1[Ende]"),"&gt;="&amp;AY$1,INDIRECT("Table1[Obergruppe ATC-Code]"),Tabelle3!$A93)</f>
        <v>0</v>
      </c>
      <c r="AZ93">
        <f ca="1">COUNTIFS(INDIRECT("Table1[Beginn]"),"&lt;="&amp;AZ$1,INDIRECT("Table1[Ende]"),"&gt;="&amp;AZ$1,INDIRECT("Table1[Obergruppe ATC-Code]"),Tabelle3!$A93)</f>
        <v>0</v>
      </c>
      <c r="BA93">
        <f ca="1">COUNTIFS(INDIRECT("Table1[Beginn]"),"&lt;="&amp;BA$1,INDIRECT("Table1[Ende]"),"&gt;="&amp;BA$1,INDIRECT("Table1[Obergruppe ATC-Code]"),Tabelle3!$A93)</f>
        <v>0</v>
      </c>
      <c r="BB93">
        <f ca="1">COUNTIFS(INDIRECT("Table1[Beginn]"),"&lt;="&amp;BB$1,INDIRECT("Table1[Ende]"),"&gt;="&amp;BB$1,INDIRECT("Table1[Obergruppe ATC-Code]"),Tabelle3!$A93)</f>
        <v>0</v>
      </c>
      <c r="BC93">
        <f ca="1">COUNTIFS(INDIRECT("Table1[Beginn]"),"&lt;="&amp;BC$1,INDIRECT("Table1[Ende]"),"&gt;="&amp;BC$1,INDIRECT("Table1[Obergruppe ATC-Code]"),Tabelle3!$A93)</f>
        <v>0</v>
      </c>
      <c r="BD93">
        <f ca="1">COUNTIFS(INDIRECT("Table1[Beginn]"),"&lt;="&amp;BD$1,INDIRECT("Table1[Ende]"),"&gt;="&amp;BD$1,INDIRECT("Table1[Obergruppe ATC-Code]"),Tabelle3!$A93)</f>
        <v>0</v>
      </c>
      <c r="BE93">
        <f ca="1">COUNTIFS(INDIRECT("Table1[Beginn]"),"&lt;="&amp;BE$1,INDIRECT("Table1[Ende]"),"&gt;="&amp;BE$1,INDIRECT("Table1[Obergruppe ATC-Code]"),Tabelle3!$A93)</f>
        <v>0</v>
      </c>
      <c r="BF93">
        <f ca="1">COUNTIFS(INDIRECT("Table1[Beginn]"),"&lt;="&amp;BF$1,INDIRECT("Table1[Ende]"),"&gt;="&amp;BF$1,INDIRECT("Table1[Obergruppe ATC-Code]"),Tabelle3!$A93)</f>
        <v>0</v>
      </c>
      <c r="BG93">
        <f ca="1">COUNTIFS(INDIRECT("Table1[Beginn]"),"&lt;="&amp;BG$1,INDIRECT("Table1[Ende]"),"&gt;="&amp;BG$1,INDIRECT("Table1[Obergruppe ATC-Code]"),Tabelle3!$A93)</f>
        <v>0</v>
      </c>
      <c r="BH93">
        <f ca="1">COUNTIFS(INDIRECT("Table1[Beginn]"),"&lt;="&amp;BH$1,INDIRECT("Table1[Ende]"),"&gt;="&amp;BH$1,INDIRECT("Table1[Obergruppe ATC-Code]"),Tabelle3!$A93)</f>
        <v>0</v>
      </c>
      <c r="BI93">
        <f ca="1">COUNTIFS(INDIRECT("Table1[Beginn]"),"&lt;="&amp;BI$1,INDIRECT("Table1[Ende]"),"&gt;="&amp;BI$1,INDIRECT("Table1[Obergruppe ATC-Code]"),Tabelle3!$A93)</f>
        <v>0</v>
      </c>
      <c r="BJ93">
        <f ca="1">COUNTIFS(INDIRECT("Table1[Beginn]"),"&lt;="&amp;BJ$1,INDIRECT("Table1[Ende]"),"&gt;="&amp;BJ$1,INDIRECT("Table1[Obergruppe ATC-Code]"),Tabelle3!$A93)</f>
        <v>0</v>
      </c>
      <c r="BK93">
        <f ca="1">COUNTIFS(INDIRECT("Table1[Beginn]"),"&lt;="&amp;BK$1,INDIRECT("Table1[Ende]"),"&gt;="&amp;BK$1,INDIRECT("Table1[Obergruppe ATC-Code]"),Tabelle3!$A93)</f>
        <v>0</v>
      </c>
      <c r="BL93">
        <f ca="1">COUNTIFS(INDIRECT("Table1[Beginn]"),"&lt;="&amp;BL$1,INDIRECT("Table1[Ende]"),"&gt;="&amp;BL$1,INDIRECT("Table1[Obergruppe ATC-Code]"),Tabelle3!$A93)</f>
        <v>0</v>
      </c>
      <c r="BM93">
        <f ca="1">COUNTIFS(INDIRECT("Table1[Beginn]"),"&lt;="&amp;BM$1,INDIRECT("Table1[Ende]"),"&gt;="&amp;BM$1,INDIRECT("Table1[Obergruppe ATC-Code]"),Tabelle3!$A93)</f>
        <v>0</v>
      </c>
      <c r="BN93">
        <f ca="1">COUNTIFS(INDIRECT("Table1[Beginn]"),"&lt;="&amp;BN$1,INDIRECT("Table1[Ende]"),"&gt;="&amp;BN$1,INDIRECT("Table1[Obergruppe ATC-Code]"),Tabelle3!$A93)</f>
        <v>0</v>
      </c>
      <c r="BO93">
        <f ca="1">COUNTIFS(INDIRECT("Table1[Beginn]"),"&lt;="&amp;BO$1,INDIRECT("Table1[Ende]"),"&gt;="&amp;BO$1,INDIRECT("Table1[Obergruppe ATC-Code]"),Tabelle3!$A93)</f>
        <v>0</v>
      </c>
      <c r="BP93">
        <f ca="1">COUNTIFS(INDIRECT("Table1[Beginn]"),"&lt;="&amp;BP$1,INDIRECT("Table1[Ende]"),"&gt;="&amp;BP$1,INDIRECT("Table1[Obergruppe ATC-Code]"),Tabelle3!$A93)</f>
        <v>0</v>
      </c>
      <c r="BQ93">
        <f ca="1">COUNTIFS(INDIRECT("Table1[Beginn]"),"&lt;="&amp;BQ$1,INDIRECT("Table1[Ende]"),"&gt;="&amp;BQ$1,INDIRECT("Table1[Obergruppe ATC-Code]"),Tabelle3!$A93)</f>
        <v>0</v>
      </c>
      <c r="BR93">
        <f ca="1">COUNTIFS(INDIRECT("Table1[Beginn]"),"&lt;="&amp;BR$1,INDIRECT("Table1[Ende]"),"&gt;="&amp;BR$1,INDIRECT("Table1[Obergruppe ATC-Code]"),Tabelle3!$A93)</f>
        <v>0</v>
      </c>
      <c r="BS93">
        <f ca="1">COUNTIFS(INDIRECT("Table1[Beginn]"),"&lt;="&amp;BS$1,INDIRECT("Table1[Ende]"),"&gt;="&amp;BS$1,INDIRECT("Table1[Obergruppe ATC-Code]"),Tabelle3!$A93)</f>
        <v>0</v>
      </c>
      <c r="BT93">
        <f ca="1">COUNTIFS(INDIRECT("Table1[Beginn]"),"&lt;="&amp;BT$1,INDIRECT("Table1[Ende]"),"&gt;="&amp;BT$1,INDIRECT("Table1[Obergruppe ATC-Code]"),Tabelle3!$A93)</f>
        <v>0</v>
      </c>
      <c r="BU93">
        <f ca="1">COUNTIFS(INDIRECT("Table1[Beginn]"),"&lt;="&amp;BU$1,INDIRECT("Table1[Ende]"),"&gt;="&amp;BU$1,INDIRECT("Table1[Obergruppe ATC-Code]"),Tabelle3!$A93)</f>
        <v>0</v>
      </c>
      <c r="BV93">
        <f ca="1">COUNTIFS(INDIRECT("Table1[Beginn]"),"&lt;="&amp;BV$1,INDIRECT("Table1[Ende]"),"&gt;="&amp;BV$1,INDIRECT("Table1[Obergruppe ATC-Code]"),Tabelle3!$A93)</f>
        <v>0</v>
      </c>
      <c r="BW93">
        <f ca="1">COUNTIFS(INDIRECT("Table1[Beginn]"),"&lt;="&amp;BW$1,INDIRECT("Table1[Ende]"),"&gt;="&amp;BW$1,INDIRECT("Table1[Obergruppe ATC-Code]"),Tabelle3!$A93)</f>
        <v>0</v>
      </c>
      <c r="BX93">
        <f ca="1">COUNTIFS(INDIRECT("Table1[Beginn]"),"&lt;="&amp;BX$1,INDIRECT("Table1[Ende]"),"&gt;="&amp;BX$1,INDIRECT("Table1[Obergruppe ATC-Code]"),Tabelle3!$A93)</f>
        <v>0</v>
      </c>
      <c r="BY93">
        <f ca="1">COUNTIFS(INDIRECT("Table1[Beginn]"),"&lt;="&amp;BY$1,INDIRECT("Table1[Ende]"),"&gt;="&amp;BY$1,INDIRECT("Table1[Obergruppe ATC-Code]"),Tabelle3!$A93)</f>
        <v>0</v>
      </c>
      <c r="BZ93">
        <f ca="1">COUNTIFS(INDIRECT("Table1[Beginn]"),"&lt;="&amp;BZ$1,INDIRECT("Table1[Ende]"),"&gt;="&amp;BZ$1,INDIRECT("Table1[Obergruppe ATC-Code]"),Tabelle3!$A93)</f>
        <v>0</v>
      </c>
      <c r="CA93">
        <f ca="1">COUNTIFS(INDIRECT("Table1[Beginn]"),"&lt;="&amp;CA$1,INDIRECT("Table1[Ende]"),"&gt;="&amp;CA$1,INDIRECT("Table1[Obergruppe ATC-Code]"),Tabelle3!$A93)</f>
        <v>0</v>
      </c>
      <c r="CB93">
        <f ca="1">COUNTIFS(INDIRECT("Table1[Beginn]"),"&lt;="&amp;CB$1,INDIRECT("Table1[Ende]"),"&gt;="&amp;CB$1,INDIRECT("Table1[Obergruppe ATC-Code]"),Tabelle3!$A93)</f>
        <v>0</v>
      </c>
      <c r="CC93">
        <f ca="1">COUNTIFS(INDIRECT("Table1[Beginn]"),"&lt;="&amp;CC$1,INDIRECT("Table1[Ende]"),"&gt;="&amp;CC$1,INDIRECT("Table1[Obergruppe ATC-Code]"),Tabelle3!$A93)</f>
        <v>0</v>
      </c>
      <c r="CD93">
        <f ca="1">COUNTIFS(INDIRECT("Table1[Beginn]"),"&lt;="&amp;CD$1,INDIRECT("Table1[Ende]"),"&gt;="&amp;CD$1,INDIRECT("Table1[Obergruppe ATC-Code]"),Tabelle3!$A93)</f>
        <v>0</v>
      </c>
      <c r="CE93">
        <f ca="1">COUNTIFS(INDIRECT("Table1[Beginn]"),"&lt;="&amp;CE$1,INDIRECT("Table1[Ende]"),"&gt;="&amp;CE$1,INDIRECT("Table1[Obergruppe ATC-Code]"),Tabelle3!$A93)</f>
        <v>0</v>
      </c>
      <c r="CF93">
        <f ca="1">COUNTIFS(INDIRECT("Table1[Beginn]"),"&lt;="&amp;CF$1,INDIRECT("Table1[Ende]"),"&gt;="&amp;CF$1,INDIRECT("Table1[Obergruppe ATC-Code]"),Tabelle3!$A93)</f>
        <v>0</v>
      </c>
      <c r="CG93">
        <f ca="1">COUNTIFS(INDIRECT("Table1[Beginn]"),"&lt;="&amp;CG$1,INDIRECT("Table1[Ende]"),"&gt;="&amp;CG$1,INDIRECT("Table1[Obergruppe ATC-Code]"),Tabelle3!$A93)</f>
        <v>0</v>
      </c>
      <c r="CH93">
        <f ca="1">COUNTIFS(INDIRECT("Table1[Beginn]"),"&lt;="&amp;CH$1,INDIRECT("Table1[Ende]"),"&gt;="&amp;CH$1,INDIRECT("Table1[Obergruppe ATC-Code]"),Tabelle3!$A93)</f>
        <v>0</v>
      </c>
      <c r="CI93">
        <f ca="1">COUNTIFS(INDIRECT("Table1[Beginn]"),"&lt;="&amp;CI$1,INDIRECT("Table1[Ende]"),"&gt;="&amp;CI$1,INDIRECT("Table1[Obergruppe ATC-Code]"),Tabelle3!$A93)</f>
        <v>0</v>
      </c>
      <c r="CJ93">
        <f ca="1">COUNTIFS(INDIRECT("Table1[Beginn]"),"&lt;="&amp;CJ$1,INDIRECT("Table1[Ende]"),"&gt;="&amp;CJ$1,INDIRECT("Table1[Obergruppe ATC-Code]"),Tabelle3!$A93)</f>
        <v>0</v>
      </c>
      <c r="CK93">
        <f ca="1">COUNTIFS(INDIRECT("Table1[Beginn]"),"&lt;="&amp;CK$1,INDIRECT("Table1[Ende]"),"&gt;="&amp;CK$1,INDIRECT("Table1[Obergruppe ATC-Code]"),Tabelle3!$A93)</f>
        <v>0</v>
      </c>
      <c r="CL93">
        <f ca="1">COUNTIFS(INDIRECT("Table1[Beginn]"),"&lt;="&amp;CL$1,INDIRECT("Table1[Ende]"),"&gt;="&amp;CL$1,INDIRECT("Table1[Obergruppe ATC-Code]"),Tabelle3!$A93)</f>
        <v>0</v>
      </c>
      <c r="CM93">
        <f ca="1">COUNTIFS(INDIRECT("Table1[Beginn]"),"&lt;="&amp;CM$1,INDIRECT("Table1[Ende]"),"&gt;="&amp;CM$1,INDIRECT("Table1[Obergruppe ATC-Code]"),Tabelle3!$A93)</f>
        <v>0</v>
      </c>
      <c r="CN93">
        <f ca="1">COUNTIFS(INDIRECT("Table1[Beginn]"),"&lt;="&amp;CN$1,INDIRECT("Table1[Ende]"),"&gt;="&amp;CN$1,INDIRECT("Table1[Obergruppe ATC-Code]"),Tabelle3!$A93)</f>
        <v>0</v>
      </c>
      <c r="CO93">
        <f ca="1">COUNTIFS(INDIRECT("Table1[Beginn]"),"&lt;="&amp;CO$1,INDIRECT("Table1[Ende]"),"&gt;="&amp;CO$1,INDIRECT("Table1[Obergruppe ATC-Code]"),Tabelle3!$A93)</f>
        <v>0</v>
      </c>
      <c r="CP93">
        <f ca="1">COUNTIFS(INDIRECT("Table1[Beginn]"),"&lt;="&amp;CP$1,INDIRECT("Table1[Ende]"),"&gt;="&amp;CP$1,INDIRECT("Table1[Obergruppe ATC-Code]"),Tabelle3!$A93)</f>
        <v>0</v>
      </c>
      <c r="CQ93">
        <f ca="1">COUNTIFS(INDIRECT("Table1[Beginn]"),"&lt;="&amp;CQ$1,INDIRECT("Table1[Ende]"),"&gt;="&amp;CQ$1,INDIRECT("Table1[Obergruppe ATC-Code]"),Tabelle3!$A93)</f>
        <v>0</v>
      </c>
      <c r="CR93">
        <f ca="1">COUNTIFS(INDIRECT("Table1[Beginn]"),"&lt;="&amp;CR$1,INDIRECT("Table1[Ende]"),"&gt;="&amp;CR$1,INDIRECT("Table1[Obergruppe ATC-Code]"),Tabelle3!$A93)</f>
        <v>0</v>
      </c>
      <c r="CS93">
        <f ca="1">COUNTIFS(INDIRECT("Table1[Beginn]"),"&lt;="&amp;CS$1,INDIRECT("Table1[Ende]"),"&gt;="&amp;CS$1,INDIRECT("Table1[Obergruppe ATC-Code]"),Tabelle3!$A93)</f>
        <v>0</v>
      </c>
      <c r="CT93">
        <f ca="1">COUNTIFS(INDIRECT("Table1[Beginn]"),"&lt;="&amp;CT$1,INDIRECT("Table1[Ende]"),"&gt;="&amp;CT$1,INDIRECT("Table1[Obergruppe ATC-Code]"),Tabelle3!$A93)</f>
        <v>0</v>
      </c>
    </row>
    <row r="94" spans="1:98" ht="18">
      <c r="A94" s="7" t="s">
        <v>6956</v>
      </c>
      <c r="B94" s="8" t="s">
        <v>6957</v>
      </c>
      <c r="C94">
        <f ca="1">COUNTIFS(INDIRECT("Table1[Beginn]"),"&lt;="&amp;C$1,INDIRECT("Table1[Ende]"),"&gt;="&amp;C$1,INDIRECT("Table1[Obergruppe ATC-Code]"),Tabelle3!$A94)</f>
        <v>0</v>
      </c>
      <c r="D94">
        <f ca="1">COUNTIFS(INDIRECT("Table1[Beginn]"),"&lt;="&amp;D$1,INDIRECT("Table1[Ende]"),"&gt;="&amp;D$1,INDIRECT("Table1[Obergruppe ATC-Code]"),Tabelle3!$A94)</f>
        <v>0</v>
      </c>
      <c r="E94">
        <f ca="1">COUNTIFS(INDIRECT("Table1[Beginn]"),"&lt;="&amp;E$1,INDIRECT("Table1[Ende]"),"&gt;="&amp;E$1,INDIRECT("Table1[Obergruppe ATC-Code]"),Tabelle3!$A94)</f>
        <v>0</v>
      </c>
      <c r="F94">
        <f ca="1">COUNTIFS(INDIRECT("Table1[Beginn]"),"&lt;="&amp;F$1,INDIRECT("Table1[Ende]"),"&gt;="&amp;F$1,INDIRECT("Table1[Obergruppe ATC-Code]"),Tabelle3!$A94)</f>
        <v>0</v>
      </c>
      <c r="G94">
        <f ca="1">COUNTIFS(INDIRECT("Table1[Beginn]"),"&lt;="&amp;G$1,INDIRECT("Table1[Ende]"),"&gt;="&amp;G$1,INDIRECT("Table1[Obergruppe ATC-Code]"),Tabelle3!$A94)</f>
        <v>0</v>
      </c>
      <c r="H94">
        <f ca="1">COUNTIFS(INDIRECT("Table1[Beginn]"),"&lt;="&amp;H$1,INDIRECT("Table1[Ende]"),"&gt;="&amp;H$1,INDIRECT("Table1[Obergruppe ATC-Code]"),Tabelle3!$A94)</f>
        <v>0</v>
      </c>
      <c r="I94">
        <f ca="1">COUNTIFS(INDIRECT("Table1[Beginn]"),"&lt;="&amp;I$1,INDIRECT("Table1[Ende]"),"&gt;="&amp;I$1,INDIRECT("Table1[Obergruppe ATC-Code]"),Tabelle3!$A94)</f>
        <v>0</v>
      </c>
      <c r="J94">
        <f ca="1">COUNTIFS(INDIRECT("Table1[Beginn]"),"&lt;="&amp;J$1,INDIRECT("Table1[Ende]"),"&gt;="&amp;J$1,INDIRECT("Table1[Obergruppe ATC-Code]"),Tabelle3!$A94)</f>
        <v>0</v>
      </c>
      <c r="K94">
        <f ca="1">COUNTIFS(INDIRECT("Table1[Beginn]"),"&lt;="&amp;K$1,INDIRECT("Table1[Ende]"),"&gt;="&amp;K$1,INDIRECT("Table1[Obergruppe ATC-Code]"),Tabelle3!$A94)</f>
        <v>0</v>
      </c>
      <c r="L94">
        <f ca="1">COUNTIFS(INDIRECT("Table1[Beginn]"),"&lt;="&amp;L$1,INDIRECT("Table1[Ende]"),"&gt;="&amp;L$1,INDIRECT("Table1[Obergruppe ATC-Code]"),Tabelle3!$A94)</f>
        <v>0</v>
      </c>
      <c r="M94">
        <f ca="1">COUNTIFS(INDIRECT("Table1[Beginn]"),"&lt;="&amp;M$1,INDIRECT("Table1[Ende]"),"&gt;="&amp;M$1,INDIRECT("Table1[Obergruppe ATC-Code]"),Tabelle3!$A94)</f>
        <v>0</v>
      </c>
      <c r="N94">
        <f ca="1">COUNTIFS(INDIRECT("Table1[Beginn]"),"&lt;="&amp;N$1,INDIRECT("Table1[Ende]"),"&gt;="&amp;N$1,INDIRECT("Table1[Obergruppe ATC-Code]"),Tabelle3!$A94)</f>
        <v>0</v>
      </c>
      <c r="O94">
        <f ca="1">COUNTIFS(INDIRECT("Table1[Beginn]"),"&lt;="&amp;O$1,INDIRECT("Table1[Ende]"),"&gt;="&amp;O$1,INDIRECT("Table1[Obergruppe ATC-Code]"),Tabelle3!$A94)</f>
        <v>0</v>
      </c>
      <c r="P94">
        <f ca="1">COUNTIFS(INDIRECT("Table1[Beginn]"),"&lt;="&amp;P$1,INDIRECT("Table1[Ende]"),"&gt;="&amp;P$1,INDIRECT("Table1[Obergruppe ATC-Code]"),Tabelle3!$A94)</f>
        <v>0</v>
      </c>
      <c r="Q94">
        <f ca="1">COUNTIFS(INDIRECT("Table1[Beginn]"),"&lt;="&amp;Q$1,INDIRECT("Table1[Ende]"),"&gt;="&amp;Q$1,INDIRECT("Table1[Obergruppe ATC-Code]"),Tabelle3!$A94)</f>
        <v>0</v>
      </c>
      <c r="R94">
        <f ca="1">COUNTIFS(INDIRECT("Table1[Beginn]"),"&lt;="&amp;R$1,INDIRECT("Table1[Ende]"),"&gt;="&amp;R$1,INDIRECT("Table1[Obergruppe ATC-Code]"),Tabelle3!$A94)</f>
        <v>0</v>
      </c>
      <c r="S94">
        <f ca="1">COUNTIFS(INDIRECT("Table1[Beginn]"),"&lt;="&amp;S$1,INDIRECT("Table1[Ende]"),"&gt;="&amp;S$1,INDIRECT("Table1[Obergruppe ATC-Code]"),Tabelle3!$A94)</f>
        <v>0</v>
      </c>
      <c r="T94">
        <f ca="1">COUNTIFS(INDIRECT("Table1[Beginn]"),"&lt;="&amp;T$1,INDIRECT("Table1[Ende]"),"&gt;="&amp;T$1,INDIRECT("Table1[Obergruppe ATC-Code]"),Tabelle3!$A94)</f>
        <v>0</v>
      </c>
      <c r="U94">
        <f ca="1">COUNTIFS(INDIRECT("Table1[Beginn]"),"&lt;="&amp;U$1,INDIRECT("Table1[Ende]"),"&gt;="&amp;U$1,INDIRECT("Table1[Obergruppe ATC-Code]"),Tabelle3!$A94)</f>
        <v>0</v>
      </c>
      <c r="V94">
        <f ca="1">COUNTIFS(INDIRECT("Table1[Beginn]"),"&lt;="&amp;V$1,INDIRECT("Table1[Ende]"),"&gt;="&amp;V$1,INDIRECT("Table1[Obergruppe ATC-Code]"),Tabelle3!$A94)</f>
        <v>0</v>
      </c>
      <c r="W94">
        <f ca="1">COUNTIFS(INDIRECT("Table1[Beginn]"),"&lt;="&amp;W$1,INDIRECT("Table1[Ende]"),"&gt;="&amp;W$1,INDIRECT("Table1[Obergruppe ATC-Code]"),Tabelle3!$A94)</f>
        <v>0</v>
      </c>
      <c r="X94">
        <f ca="1">COUNTIFS(INDIRECT("Table1[Beginn]"),"&lt;="&amp;X$1,INDIRECT("Table1[Ende]"),"&gt;="&amp;X$1,INDIRECT("Table1[Obergruppe ATC-Code]"),Tabelle3!$A94)</f>
        <v>0</v>
      </c>
      <c r="Y94">
        <f ca="1">COUNTIFS(INDIRECT("Table1[Beginn]"),"&lt;="&amp;Y$1,INDIRECT("Table1[Ende]"),"&gt;="&amp;Y$1,INDIRECT("Table1[Obergruppe ATC-Code]"),Tabelle3!$A94)</f>
        <v>0</v>
      </c>
      <c r="Z94">
        <f ca="1">COUNTIFS(INDIRECT("Table1[Beginn]"),"&lt;="&amp;Z$1,INDIRECT("Table1[Ende]"),"&gt;="&amp;Z$1,INDIRECT("Table1[Obergruppe ATC-Code]"),Tabelle3!$A94)</f>
        <v>1</v>
      </c>
      <c r="AA94">
        <f ca="1">COUNTIFS(INDIRECT("Table1[Beginn]"),"&lt;="&amp;AA$1,INDIRECT("Table1[Ende]"),"&gt;="&amp;AA$1,INDIRECT("Table1[Obergruppe ATC-Code]"),Tabelle3!$A94)</f>
        <v>1</v>
      </c>
      <c r="AB94">
        <f ca="1">COUNTIFS(INDIRECT("Table1[Beginn]"),"&lt;="&amp;AB$1,INDIRECT("Table1[Ende]"),"&gt;="&amp;AB$1,INDIRECT("Table1[Obergruppe ATC-Code]"),Tabelle3!$A94)</f>
        <v>1</v>
      </c>
      <c r="AC94">
        <f ca="1">COUNTIFS(INDIRECT("Table1[Beginn]"),"&lt;="&amp;AC$1,INDIRECT("Table1[Ende]"),"&gt;="&amp;AC$1,INDIRECT("Table1[Obergruppe ATC-Code]"),Tabelle3!$A94)</f>
        <v>0</v>
      </c>
      <c r="AD94">
        <f ca="1">COUNTIFS(INDIRECT("Table1[Beginn]"),"&lt;="&amp;AD$1,INDIRECT("Table1[Ende]"),"&gt;="&amp;AD$1,INDIRECT("Table1[Obergruppe ATC-Code]"),Tabelle3!$A94)</f>
        <v>0</v>
      </c>
      <c r="AE94">
        <f ca="1">COUNTIFS(INDIRECT("Table1[Beginn]"),"&lt;="&amp;AE$1,INDIRECT("Table1[Ende]"),"&gt;="&amp;AE$1,INDIRECT("Table1[Obergruppe ATC-Code]"),Tabelle3!$A94)</f>
        <v>0</v>
      </c>
      <c r="AF94">
        <f ca="1">COUNTIFS(INDIRECT("Table1[Beginn]"),"&lt;="&amp;AF$1,INDIRECT("Table1[Ende]"),"&gt;="&amp;AF$1,INDIRECT("Table1[Obergruppe ATC-Code]"),Tabelle3!$A94)</f>
        <v>0</v>
      </c>
      <c r="AG94">
        <f ca="1">COUNTIFS(INDIRECT("Table1[Beginn]"),"&lt;="&amp;AG$1,INDIRECT("Table1[Ende]"),"&gt;="&amp;AG$1,INDIRECT("Table1[Obergruppe ATC-Code]"),Tabelle3!$A94)</f>
        <v>0</v>
      </c>
      <c r="AH94">
        <f ca="1">COUNTIFS(INDIRECT("Table1[Beginn]"),"&lt;="&amp;AH$1,INDIRECT("Table1[Ende]"),"&gt;="&amp;AH$1,INDIRECT("Table1[Obergruppe ATC-Code]"),Tabelle3!$A94)</f>
        <v>0</v>
      </c>
      <c r="AI94">
        <f ca="1">COUNTIFS(INDIRECT("Table1[Beginn]"),"&lt;="&amp;AI$1,INDIRECT("Table1[Ende]"),"&gt;="&amp;AI$1,INDIRECT("Table1[Obergruppe ATC-Code]"),Tabelle3!$A94)</f>
        <v>0</v>
      </c>
      <c r="AJ94">
        <f ca="1">COUNTIFS(INDIRECT("Table1[Beginn]"),"&lt;="&amp;AJ$1,INDIRECT("Table1[Ende]"),"&gt;="&amp;AJ$1,INDIRECT("Table1[Obergruppe ATC-Code]"),Tabelle3!$A94)</f>
        <v>0</v>
      </c>
      <c r="AK94">
        <f ca="1">COUNTIFS(INDIRECT("Table1[Beginn]"),"&lt;="&amp;AK$1,INDIRECT("Table1[Ende]"),"&gt;="&amp;AK$1,INDIRECT("Table1[Obergruppe ATC-Code]"),Tabelle3!$A94)</f>
        <v>0</v>
      </c>
      <c r="AL94">
        <f ca="1">COUNTIFS(INDIRECT("Table1[Beginn]"),"&lt;="&amp;AL$1,INDIRECT("Table1[Ende]"),"&gt;="&amp;AL$1,INDIRECT("Table1[Obergruppe ATC-Code]"),Tabelle3!$A94)</f>
        <v>0</v>
      </c>
      <c r="AM94">
        <f ca="1">COUNTIFS(INDIRECT("Table1[Beginn]"),"&lt;="&amp;AM$1,INDIRECT("Table1[Ende]"),"&gt;="&amp;AM$1,INDIRECT("Table1[Obergruppe ATC-Code]"),Tabelle3!$A94)</f>
        <v>0</v>
      </c>
      <c r="AN94">
        <f ca="1">COUNTIFS(INDIRECT("Table1[Beginn]"),"&lt;="&amp;AN$1,INDIRECT("Table1[Ende]"),"&gt;="&amp;AN$1,INDIRECT("Table1[Obergruppe ATC-Code]"),Tabelle3!$A94)</f>
        <v>0</v>
      </c>
      <c r="AO94">
        <f ca="1">COUNTIFS(INDIRECT("Table1[Beginn]"),"&lt;="&amp;AO$1,INDIRECT("Table1[Ende]"),"&gt;="&amp;AO$1,INDIRECT("Table1[Obergruppe ATC-Code]"),Tabelle3!$A94)</f>
        <v>0</v>
      </c>
      <c r="AP94">
        <f ca="1">COUNTIFS(INDIRECT("Table1[Beginn]"),"&lt;="&amp;AP$1,INDIRECT("Table1[Ende]"),"&gt;="&amp;AP$1,INDIRECT("Table1[Obergruppe ATC-Code]"),Tabelle3!$A94)</f>
        <v>0</v>
      </c>
      <c r="AQ94">
        <f ca="1">COUNTIFS(INDIRECT("Table1[Beginn]"),"&lt;="&amp;AQ$1,INDIRECT("Table1[Ende]"),"&gt;="&amp;AQ$1,INDIRECT("Table1[Obergruppe ATC-Code]"),Tabelle3!$A94)</f>
        <v>0</v>
      </c>
      <c r="AR94">
        <f ca="1">COUNTIFS(INDIRECT("Table1[Beginn]"),"&lt;="&amp;AR$1,INDIRECT("Table1[Ende]"),"&gt;="&amp;AR$1,INDIRECT("Table1[Obergruppe ATC-Code]"),Tabelle3!$A94)</f>
        <v>0</v>
      </c>
      <c r="AS94">
        <f ca="1">COUNTIFS(INDIRECT("Table1[Beginn]"),"&lt;="&amp;AS$1,INDIRECT("Table1[Ende]"),"&gt;="&amp;AS$1,INDIRECT("Table1[Obergruppe ATC-Code]"),Tabelle3!$A94)</f>
        <v>0</v>
      </c>
      <c r="AT94">
        <f ca="1">COUNTIFS(INDIRECT("Table1[Beginn]"),"&lt;="&amp;AT$1,INDIRECT("Table1[Ende]"),"&gt;="&amp;AT$1,INDIRECT("Table1[Obergruppe ATC-Code]"),Tabelle3!$A94)</f>
        <v>0</v>
      </c>
      <c r="AU94">
        <f ca="1">COUNTIFS(INDIRECT("Table1[Beginn]"),"&lt;="&amp;AU$1,INDIRECT("Table1[Ende]"),"&gt;="&amp;AU$1,INDIRECT("Table1[Obergruppe ATC-Code]"),Tabelle3!$A94)</f>
        <v>0</v>
      </c>
      <c r="AV94">
        <f ca="1">COUNTIFS(INDIRECT("Table1[Beginn]"),"&lt;="&amp;AV$1,INDIRECT("Table1[Ende]"),"&gt;="&amp;AV$1,INDIRECT("Table1[Obergruppe ATC-Code]"),Tabelle3!$A94)</f>
        <v>0</v>
      </c>
      <c r="AW94">
        <f ca="1">COUNTIFS(INDIRECT("Table1[Beginn]"),"&lt;="&amp;AW$1,INDIRECT("Table1[Ende]"),"&gt;="&amp;AW$1,INDIRECT("Table1[Obergruppe ATC-Code]"),Tabelle3!$A94)</f>
        <v>0</v>
      </c>
      <c r="AX94">
        <f ca="1">COUNTIFS(INDIRECT("Table1[Beginn]"),"&lt;="&amp;AX$1,INDIRECT("Table1[Ende]"),"&gt;="&amp;AX$1,INDIRECT("Table1[Obergruppe ATC-Code]"),Tabelle3!$A94)</f>
        <v>0</v>
      </c>
      <c r="AY94">
        <f ca="1">COUNTIFS(INDIRECT("Table1[Beginn]"),"&lt;="&amp;AY$1,INDIRECT("Table1[Ende]"),"&gt;="&amp;AY$1,INDIRECT("Table1[Obergruppe ATC-Code]"),Tabelle3!$A94)</f>
        <v>0</v>
      </c>
      <c r="AZ94">
        <f ca="1">COUNTIFS(INDIRECT("Table1[Beginn]"),"&lt;="&amp;AZ$1,INDIRECT("Table1[Ende]"),"&gt;="&amp;AZ$1,INDIRECT("Table1[Obergruppe ATC-Code]"),Tabelle3!$A94)</f>
        <v>0</v>
      </c>
      <c r="BA94">
        <f ca="1">COUNTIFS(INDIRECT("Table1[Beginn]"),"&lt;="&amp;BA$1,INDIRECT("Table1[Ende]"),"&gt;="&amp;BA$1,INDIRECT("Table1[Obergruppe ATC-Code]"),Tabelle3!$A94)</f>
        <v>0</v>
      </c>
      <c r="BB94">
        <f ca="1">COUNTIFS(INDIRECT("Table1[Beginn]"),"&lt;="&amp;BB$1,INDIRECT("Table1[Ende]"),"&gt;="&amp;BB$1,INDIRECT("Table1[Obergruppe ATC-Code]"),Tabelle3!$A94)</f>
        <v>0</v>
      </c>
      <c r="BC94">
        <f ca="1">COUNTIFS(INDIRECT("Table1[Beginn]"),"&lt;="&amp;BC$1,INDIRECT("Table1[Ende]"),"&gt;="&amp;BC$1,INDIRECT("Table1[Obergruppe ATC-Code]"),Tabelle3!$A94)</f>
        <v>0</v>
      </c>
      <c r="BD94">
        <f ca="1">COUNTIFS(INDIRECT("Table1[Beginn]"),"&lt;="&amp;BD$1,INDIRECT("Table1[Ende]"),"&gt;="&amp;BD$1,INDIRECT("Table1[Obergruppe ATC-Code]"),Tabelle3!$A94)</f>
        <v>0</v>
      </c>
      <c r="BE94">
        <f ca="1">COUNTIFS(INDIRECT("Table1[Beginn]"),"&lt;="&amp;BE$1,INDIRECT("Table1[Ende]"),"&gt;="&amp;BE$1,INDIRECT("Table1[Obergruppe ATC-Code]"),Tabelle3!$A94)</f>
        <v>0</v>
      </c>
      <c r="BF94">
        <f ca="1">COUNTIFS(INDIRECT("Table1[Beginn]"),"&lt;="&amp;BF$1,INDIRECT("Table1[Ende]"),"&gt;="&amp;BF$1,INDIRECT("Table1[Obergruppe ATC-Code]"),Tabelle3!$A94)</f>
        <v>0</v>
      </c>
      <c r="BG94">
        <f ca="1">COUNTIFS(INDIRECT("Table1[Beginn]"),"&lt;="&amp;BG$1,INDIRECT("Table1[Ende]"),"&gt;="&amp;BG$1,INDIRECT("Table1[Obergruppe ATC-Code]"),Tabelle3!$A94)</f>
        <v>0</v>
      </c>
      <c r="BH94">
        <f ca="1">COUNTIFS(INDIRECT("Table1[Beginn]"),"&lt;="&amp;BH$1,INDIRECT("Table1[Ende]"),"&gt;="&amp;BH$1,INDIRECT("Table1[Obergruppe ATC-Code]"),Tabelle3!$A94)</f>
        <v>0</v>
      </c>
      <c r="BI94">
        <f ca="1">COUNTIFS(INDIRECT("Table1[Beginn]"),"&lt;="&amp;BI$1,INDIRECT("Table1[Ende]"),"&gt;="&amp;BI$1,INDIRECT("Table1[Obergruppe ATC-Code]"),Tabelle3!$A94)</f>
        <v>0</v>
      </c>
      <c r="BJ94">
        <f ca="1">COUNTIFS(INDIRECT("Table1[Beginn]"),"&lt;="&amp;BJ$1,INDIRECT("Table1[Ende]"),"&gt;="&amp;BJ$1,INDIRECT("Table1[Obergruppe ATC-Code]"),Tabelle3!$A94)</f>
        <v>0</v>
      </c>
      <c r="BK94">
        <f ca="1">COUNTIFS(INDIRECT("Table1[Beginn]"),"&lt;="&amp;BK$1,INDIRECT("Table1[Ende]"),"&gt;="&amp;BK$1,INDIRECT("Table1[Obergruppe ATC-Code]"),Tabelle3!$A94)</f>
        <v>0</v>
      </c>
      <c r="BL94">
        <f ca="1">COUNTIFS(INDIRECT("Table1[Beginn]"),"&lt;="&amp;BL$1,INDIRECT("Table1[Ende]"),"&gt;="&amp;BL$1,INDIRECT("Table1[Obergruppe ATC-Code]"),Tabelle3!$A94)</f>
        <v>0</v>
      </c>
      <c r="BM94">
        <f ca="1">COUNTIFS(INDIRECT("Table1[Beginn]"),"&lt;="&amp;BM$1,INDIRECT("Table1[Ende]"),"&gt;="&amp;BM$1,INDIRECT("Table1[Obergruppe ATC-Code]"),Tabelle3!$A94)</f>
        <v>0</v>
      </c>
      <c r="BN94">
        <f ca="1">COUNTIFS(INDIRECT("Table1[Beginn]"),"&lt;="&amp;BN$1,INDIRECT("Table1[Ende]"),"&gt;="&amp;BN$1,INDIRECT("Table1[Obergruppe ATC-Code]"),Tabelle3!$A94)</f>
        <v>0</v>
      </c>
      <c r="BO94">
        <f ca="1">COUNTIFS(INDIRECT("Table1[Beginn]"),"&lt;="&amp;BO$1,INDIRECT("Table1[Ende]"),"&gt;="&amp;BO$1,INDIRECT("Table1[Obergruppe ATC-Code]"),Tabelle3!$A94)</f>
        <v>0</v>
      </c>
      <c r="BP94">
        <f ca="1">COUNTIFS(INDIRECT("Table1[Beginn]"),"&lt;="&amp;BP$1,INDIRECT("Table1[Ende]"),"&gt;="&amp;BP$1,INDIRECT("Table1[Obergruppe ATC-Code]"),Tabelle3!$A94)</f>
        <v>0</v>
      </c>
      <c r="BQ94">
        <f ca="1">COUNTIFS(INDIRECT("Table1[Beginn]"),"&lt;="&amp;BQ$1,INDIRECT("Table1[Ende]"),"&gt;="&amp;BQ$1,INDIRECT("Table1[Obergruppe ATC-Code]"),Tabelle3!$A94)</f>
        <v>1</v>
      </c>
      <c r="BR94">
        <f ca="1">COUNTIFS(INDIRECT("Table1[Beginn]"),"&lt;="&amp;BR$1,INDIRECT("Table1[Ende]"),"&gt;="&amp;BR$1,INDIRECT("Table1[Obergruppe ATC-Code]"),Tabelle3!$A94)</f>
        <v>2</v>
      </c>
      <c r="BS94">
        <f ca="1">COUNTIFS(INDIRECT("Table1[Beginn]"),"&lt;="&amp;BS$1,INDIRECT("Table1[Ende]"),"&gt;="&amp;BS$1,INDIRECT("Table1[Obergruppe ATC-Code]"),Tabelle3!$A94)</f>
        <v>2</v>
      </c>
      <c r="BT94">
        <f ca="1">COUNTIFS(INDIRECT("Table1[Beginn]"),"&lt;="&amp;BT$1,INDIRECT("Table1[Ende]"),"&gt;="&amp;BT$1,INDIRECT("Table1[Obergruppe ATC-Code]"),Tabelle3!$A94)</f>
        <v>2</v>
      </c>
      <c r="BU94">
        <f ca="1">COUNTIFS(INDIRECT("Table1[Beginn]"),"&lt;="&amp;BU$1,INDIRECT("Table1[Ende]"),"&gt;="&amp;BU$1,INDIRECT("Table1[Obergruppe ATC-Code]"),Tabelle3!$A94)</f>
        <v>1</v>
      </c>
      <c r="BV94">
        <f ca="1">COUNTIFS(INDIRECT("Table1[Beginn]"),"&lt;="&amp;BV$1,INDIRECT("Table1[Ende]"),"&gt;="&amp;BV$1,INDIRECT("Table1[Obergruppe ATC-Code]"),Tabelle3!$A94)</f>
        <v>1</v>
      </c>
      <c r="BW94">
        <f ca="1">COUNTIFS(INDIRECT("Table1[Beginn]"),"&lt;="&amp;BW$1,INDIRECT("Table1[Ende]"),"&gt;="&amp;BW$1,INDIRECT("Table1[Obergruppe ATC-Code]"),Tabelle3!$A94)</f>
        <v>1</v>
      </c>
      <c r="BX94">
        <f ca="1">COUNTIFS(INDIRECT("Table1[Beginn]"),"&lt;="&amp;BX$1,INDIRECT("Table1[Ende]"),"&gt;="&amp;BX$1,INDIRECT("Table1[Obergruppe ATC-Code]"),Tabelle3!$A94)</f>
        <v>1</v>
      </c>
      <c r="BY94">
        <f ca="1">COUNTIFS(INDIRECT("Table1[Beginn]"),"&lt;="&amp;BY$1,INDIRECT("Table1[Ende]"),"&gt;="&amp;BY$1,INDIRECT("Table1[Obergruppe ATC-Code]"),Tabelle3!$A94)</f>
        <v>0</v>
      </c>
      <c r="BZ94">
        <f ca="1">COUNTIFS(INDIRECT("Table1[Beginn]"),"&lt;="&amp;BZ$1,INDIRECT("Table1[Ende]"),"&gt;="&amp;BZ$1,INDIRECT("Table1[Obergruppe ATC-Code]"),Tabelle3!$A94)</f>
        <v>0</v>
      </c>
      <c r="CA94">
        <f ca="1">COUNTIFS(INDIRECT("Table1[Beginn]"),"&lt;="&amp;CA$1,INDIRECT("Table1[Ende]"),"&gt;="&amp;CA$1,INDIRECT("Table1[Obergruppe ATC-Code]"),Tabelle3!$A94)</f>
        <v>0</v>
      </c>
      <c r="CB94">
        <f ca="1">COUNTIFS(INDIRECT("Table1[Beginn]"),"&lt;="&amp;CB$1,INDIRECT("Table1[Ende]"),"&gt;="&amp;CB$1,INDIRECT("Table1[Obergruppe ATC-Code]"),Tabelle3!$A94)</f>
        <v>0</v>
      </c>
      <c r="CC94">
        <f ca="1">COUNTIFS(INDIRECT("Table1[Beginn]"),"&lt;="&amp;CC$1,INDIRECT("Table1[Ende]"),"&gt;="&amp;CC$1,INDIRECT("Table1[Obergruppe ATC-Code]"),Tabelle3!$A94)</f>
        <v>0</v>
      </c>
      <c r="CD94">
        <f ca="1">COUNTIFS(INDIRECT("Table1[Beginn]"),"&lt;="&amp;CD$1,INDIRECT("Table1[Ende]"),"&gt;="&amp;CD$1,INDIRECT("Table1[Obergruppe ATC-Code]"),Tabelle3!$A94)</f>
        <v>1</v>
      </c>
      <c r="CE94">
        <f ca="1">COUNTIFS(INDIRECT("Table1[Beginn]"),"&lt;="&amp;CE$1,INDIRECT("Table1[Ende]"),"&gt;="&amp;CE$1,INDIRECT("Table1[Obergruppe ATC-Code]"),Tabelle3!$A94)</f>
        <v>1</v>
      </c>
      <c r="CF94">
        <f ca="1">COUNTIFS(INDIRECT("Table1[Beginn]"),"&lt;="&amp;CF$1,INDIRECT("Table1[Ende]"),"&gt;="&amp;CF$1,INDIRECT("Table1[Obergruppe ATC-Code]"),Tabelle3!$A94)</f>
        <v>1</v>
      </c>
      <c r="CG94">
        <f ca="1">COUNTIFS(INDIRECT("Table1[Beginn]"),"&lt;="&amp;CG$1,INDIRECT("Table1[Ende]"),"&gt;="&amp;CG$1,INDIRECT("Table1[Obergruppe ATC-Code]"),Tabelle3!$A94)</f>
        <v>0</v>
      </c>
      <c r="CH94">
        <f ca="1">COUNTIFS(INDIRECT("Table1[Beginn]"),"&lt;="&amp;CH$1,INDIRECT("Table1[Ende]"),"&gt;="&amp;CH$1,INDIRECT("Table1[Obergruppe ATC-Code]"),Tabelle3!$A94)</f>
        <v>0</v>
      </c>
      <c r="CI94">
        <f ca="1">COUNTIFS(INDIRECT("Table1[Beginn]"),"&lt;="&amp;CI$1,INDIRECT("Table1[Ende]"),"&gt;="&amp;CI$1,INDIRECT("Table1[Obergruppe ATC-Code]"),Tabelle3!$A94)</f>
        <v>0</v>
      </c>
      <c r="CJ94">
        <f ca="1">COUNTIFS(INDIRECT("Table1[Beginn]"),"&lt;="&amp;CJ$1,INDIRECT("Table1[Ende]"),"&gt;="&amp;CJ$1,INDIRECT("Table1[Obergruppe ATC-Code]"),Tabelle3!$A94)</f>
        <v>0</v>
      </c>
      <c r="CK94">
        <f ca="1">COUNTIFS(INDIRECT("Table1[Beginn]"),"&lt;="&amp;CK$1,INDIRECT("Table1[Ende]"),"&gt;="&amp;CK$1,INDIRECT("Table1[Obergruppe ATC-Code]"),Tabelle3!$A94)</f>
        <v>0</v>
      </c>
      <c r="CL94">
        <f ca="1">COUNTIFS(INDIRECT("Table1[Beginn]"),"&lt;="&amp;CL$1,INDIRECT("Table1[Ende]"),"&gt;="&amp;CL$1,INDIRECT("Table1[Obergruppe ATC-Code]"),Tabelle3!$A94)</f>
        <v>0</v>
      </c>
      <c r="CM94">
        <f ca="1">COUNTIFS(INDIRECT("Table1[Beginn]"),"&lt;="&amp;CM$1,INDIRECT("Table1[Ende]"),"&gt;="&amp;CM$1,INDIRECT("Table1[Obergruppe ATC-Code]"),Tabelle3!$A94)</f>
        <v>0</v>
      </c>
      <c r="CN94">
        <f ca="1">COUNTIFS(INDIRECT("Table1[Beginn]"),"&lt;="&amp;CN$1,INDIRECT("Table1[Ende]"),"&gt;="&amp;CN$1,INDIRECT("Table1[Obergruppe ATC-Code]"),Tabelle3!$A94)</f>
        <v>0</v>
      </c>
      <c r="CO94">
        <f ca="1">COUNTIFS(INDIRECT("Table1[Beginn]"),"&lt;="&amp;CO$1,INDIRECT("Table1[Ende]"),"&gt;="&amp;CO$1,INDIRECT("Table1[Obergruppe ATC-Code]"),Tabelle3!$A94)</f>
        <v>0</v>
      </c>
      <c r="CP94">
        <f ca="1">COUNTIFS(INDIRECT("Table1[Beginn]"),"&lt;="&amp;CP$1,INDIRECT("Table1[Ende]"),"&gt;="&amp;CP$1,INDIRECT("Table1[Obergruppe ATC-Code]"),Tabelle3!$A94)</f>
        <v>0</v>
      </c>
      <c r="CQ94">
        <f ca="1">COUNTIFS(INDIRECT("Table1[Beginn]"),"&lt;="&amp;CQ$1,INDIRECT("Table1[Ende]"),"&gt;="&amp;CQ$1,INDIRECT("Table1[Obergruppe ATC-Code]"),Tabelle3!$A94)</f>
        <v>0</v>
      </c>
      <c r="CR94">
        <f ca="1">COUNTIFS(INDIRECT("Table1[Beginn]"),"&lt;="&amp;CR$1,INDIRECT("Table1[Ende]"),"&gt;="&amp;CR$1,INDIRECT("Table1[Obergruppe ATC-Code]"),Tabelle3!$A94)</f>
        <v>0</v>
      </c>
      <c r="CS94">
        <f ca="1">COUNTIFS(INDIRECT("Table1[Beginn]"),"&lt;="&amp;CS$1,INDIRECT("Table1[Ende]"),"&gt;="&amp;CS$1,INDIRECT("Table1[Obergruppe ATC-Code]"),Tabelle3!$A94)</f>
        <v>0</v>
      </c>
      <c r="CT94">
        <f ca="1">COUNTIFS(INDIRECT("Table1[Beginn]"),"&lt;="&amp;CT$1,INDIRECT("Table1[Ende]"),"&gt;="&amp;CT$1,INDIRECT("Table1[Obergruppe ATC-Code]"),Tabelle3!$A94)</f>
        <v>0</v>
      </c>
    </row>
    <row r="95" spans="1:98" ht="18">
      <c r="A95" s="9" t="s">
        <v>6958</v>
      </c>
      <c r="B95" s="10" t="s">
        <v>6959</v>
      </c>
      <c r="C95">
        <f ca="1">COUNTIFS(INDIRECT("Table1[Beginn]"),"&lt;="&amp;C$1,INDIRECT("Table1[Ende]"),"&gt;="&amp;C$1,INDIRECT("Table1[Obergruppe ATC-Code]"),Tabelle3!$A95)</f>
        <v>0</v>
      </c>
      <c r="D95">
        <f ca="1">COUNTIFS(INDIRECT("Table1[Beginn]"),"&lt;="&amp;D$1,INDIRECT("Table1[Ende]"),"&gt;="&amp;D$1,INDIRECT("Table1[Obergruppe ATC-Code]"),Tabelle3!$A95)</f>
        <v>0</v>
      </c>
      <c r="E95">
        <f ca="1">COUNTIFS(INDIRECT("Table1[Beginn]"),"&lt;="&amp;E$1,INDIRECT("Table1[Ende]"),"&gt;="&amp;E$1,INDIRECT("Table1[Obergruppe ATC-Code]"),Tabelle3!$A95)</f>
        <v>0</v>
      </c>
      <c r="F95">
        <f ca="1">COUNTIFS(INDIRECT("Table1[Beginn]"),"&lt;="&amp;F$1,INDIRECT("Table1[Ende]"),"&gt;="&amp;F$1,INDIRECT("Table1[Obergruppe ATC-Code]"),Tabelle3!$A95)</f>
        <v>0</v>
      </c>
      <c r="G95">
        <f ca="1">COUNTIFS(INDIRECT("Table1[Beginn]"),"&lt;="&amp;G$1,INDIRECT("Table1[Ende]"),"&gt;="&amp;G$1,INDIRECT("Table1[Obergruppe ATC-Code]"),Tabelle3!$A95)</f>
        <v>0</v>
      </c>
      <c r="H95">
        <f ca="1">COUNTIFS(INDIRECT("Table1[Beginn]"),"&lt;="&amp;H$1,INDIRECT("Table1[Ende]"),"&gt;="&amp;H$1,INDIRECT("Table1[Obergruppe ATC-Code]"),Tabelle3!$A95)</f>
        <v>0</v>
      </c>
      <c r="I95">
        <f ca="1">COUNTIFS(INDIRECT("Table1[Beginn]"),"&lt;="&amp;I$1,INDIRECT("Table1[Ende]"),"&gt;="&amp;I$1,INDIRECT("Table1[Obergruppe ATC-Code]"),Tabelle3!$A95)</f>
        <v>0</v>
      </c>
      <c r="J95">
        <f ca="1">COUNTIFS(INDIRECT("Table1[Beginn]"),"&lt;="&amp;J$1,INDIRECT("Table1[Ende]"),"&gt;="&amp;J$1,INDIRECT("Table1[Obergruppe ATC-Code]"),Tabelle3!$A95)</f>
        <v>0</v>
      </c>
      <c r="K95">
        <f ca="1">COUNTIFS(INDIRECT("Table1[Beginn]"),"&lt;="&amp;K$1,INDIRECT("Table1[Ende]"),"&gt;="&amp;K$1,INDIRECT("Table1[Obergruppe ATC-Code]"),Tabelle3!$A95)</f>
        <v>0</v>
      </c>
      <c r="L95">
        <f ca="1">COUNTIFS(INDIRECT("Table1[Beginn]"),"&lt;="&amp;L$1,INDIRECT("Table1[Ende]"),"&gt;="&amp;L$1,INDIRECT("Table1[Obergruppe ATC-Code]"),Tabelle3!$A95)</f>
        <v>0</v>
      </c>
      <c r="M95">
        <f ca="1">COUNTIFS(INDIRECT("Table1[Beginn]"),"&lt;="&amp;M$1,INDIRECT("Table1[Ende]"),"&gt;="&amp;M$1,INDIRECT("Table1[Obergruppe ATC-Code]"),Tabelle3!$A95)</f>
        <v>0</v>
      </c>
      <c r="N95">
        <f ca="1">COUNTIFS(INDIRECT("Table1[Beginn]"),"&lt;="&amp;N$1,INDIRECT("Table1[Ende]"),"&gt;="&amp;N$1,INDIRECT("Table1[Obergruppe ATC-Code]"),Tabelle3!$A95)</f>
        <v>0</v>
      </c>
      <c r="O95">
        <f ca="1">COUNTIFS(INDIRECT("Table1[Beginn]"),"&lt;="&amp;O$1,INDIRECT("Table1[Ende]"),"&gt;="&amp;O$1,INDIRECT("Table1[Obergruppe ATC-Code]"),Tabelle3!$A95)</f>
        <v>0</v>
      </c>
      <c r="P95">
        <f ca="1">COUNTIFS(INDIRECT("Table1[Beginn]"),"&lt;="&amp;P$1,INDIRECT("Table1[Ende]"),"&gt;="&amp;P$1,INDIRECT("Table1[Obergruppe ATC-Code]"),Tabelle3!$A95)</f>
        <v>0</v>
      </c>
      <c r="Q95">
        <f ca="1">COUNTIFS(INDIRECT("Table1[Beginn]"),"&lt;="&amp;Q$1,INDIRECT("Table1[Ende]"),"&gt;="&amp;Q$1,INDIRECT("Table1[Obergruppe ATC-Code]"),Tabelle3!$A95)</f>
        <v>0</v>
      </c>
      <c r="R95">
        <f ca="1">COUNTIFS(INDIRECT("Table1[Beginn]"),"&lt;="&amp;R$1,INDIRECT("Table1[Ende]"),"&gt;="&amp;R$1,INDIRECT("Table1[Obergruppe ATC-Code]"),Tabelle3!$A95)</f>
        <v>0</v>
      </c>
      <c r="S95">
        <f ca="1">COUNTIFS(INDIRECT("Table1[Beginn]"),"&lt;="&amp;S$1,INDIRECT("Table1[Ende]"),"&gt;="&amp;S$1,INDIRECT("Table1[Obergruppe ATC-Code]"),Tabelle3!$A95)</f>
        <v>0</v>
      </c>
      <c r="T95">
        <f ca="1">COUNTIFS(INDIRECT("Table1[Beginn]"),"&lt;="&amp;T$1,INDIRECT("Table1[Ende]"),"&gt;="&amp;T$1,INDIRECT("Table1[Obergruppe ATC-Code]"),Tabelle3!$A95)</f>
        <v>0</v>
      </c>
      <c r="U95">
        <f ca="1">COUNTIFS(INDIRECT("Table1[Beginn]"),"&lt;="&amp;U$1,INDIRECT("Table1[Ende]"),"&gt;="&amp;U$1,INDIRECT("Table1[Obergruppe ATC-Code]"),Tabelle3!$A95)</f>
        <v>0</v>
      </c>
      <c r="V95">
        <f ca="1">COUNTIFS(INDIRECT("Table1[Beginn]"),"&lt;="&amp;V$1,INDIRECT("Table1[Ende]"),"&gt;="&amp;V$1,INDIRECT("Table1[Obergruppe ATC-Code]"),Tabelle3!$A95)</f>
        <v>0</v>
      </c>
      <c r="W95">
        <f ca="1">COUNTIFS(INDIRECT("Table1[Beginn]"),"&lt;="&amp;W$1,INDIRECT("Table1[Ende]"),"&gt;="&amp;W$1,INDIRECT("Table1[Obergruppe ATC-Code]"),Tabelle3!$A95)</f>
        <v>0</v>
      </c>
      <c r="X95">
        <f ca="1">COUNTIFS(INDIRECT("Table1[Beginn]"),"&lt;="&amp;X$1,INDIRECT("Table1[Ende]"),"&gt;="&amp;X$1,INDIRECT("Table1[Obergruppe ATC-Code]"),Tabelle3!$A95)</f>
        <v>0</v>
      </c>
      <c r="Y95">
        <f ca="1">COUNTIFS(INDIRECT("Table1[Beginn]"),"&lt;="&amp;Y$1,INDIRECT("Table1[Ende]"),"&gt;="&amp;Y$1,INDIRECT("Table1[Obergruppe ATC-Code]"),Tabelle3!$A95)</f>
        <v>0</v>
      </c>
      <c r="Z95">
        <f ca="1">COUNTIFS(INDIRECT("Table1[Beginn]"),"&lt;="&amp;Z$1,INDIRECT("Table1[Ende]"),"&gt;="&amp;Z$1,INDIRECT("Table1[Obergruppe ATC-Code]"),Tabelle3!$A95)</f>
        <v>0</v>
      </c>
      <c r="AA95">
        <f ca="1">COUNTIFS(INDIRECT("Table1[Beginn]"),"&lt;="&amp;AA$1,INDIRECT("Table1[Ende]"),"&gt;="&amp;AA$1,INDIRECT("Table1[Obergruppe ATC-Code]"),Tabelle3!$A95)</f>
        <v>0</v>
      </c>
      <c r="AB95">
        <f ca="1">COUNTIFS(INDIRECT("Table1[Beginn]"),"&lt;="&amp;AB$1,INDIRECT("Table1[Ende]"),"&gt;="&amp;AB$1,INDIRECT("Table1[Obergruppe ATC-Code]"),Tabelle3!$A95)</f>
        <v>0</v>
      </c>
      <c r="AC95">
        <f ca="1">COUNTIFS(INDIRECT("Table1[Beginn]"),"&lt;="&amp;AC$1,INDIRECT("Table1[Ende]"),"&gt;="&amp;AC$1,INDIRECT("Table1[Obergruppe ATC-Code]"),Tabelle3!$A95)</f>
        <v>0</v>
      </c>
      <c r="AD95">
        <f ca="1">COUNTIFS(INDIRECT("Table1[Beginn]"),"&lt;="&amp;AD$1,INDIRECT("Table1[Ende]"),"&gt;="&amp;AD$1,INDIRECT("Table1[Obergruppe ATC-Code]"),Tabelle3!$A95)</f>
        <v>0</v>
      </c>
      <c r="AE95">
        <f ca="1">COUNTIFS(INDIRECT("Table1[Beginn]"),"&lt;="&amp;AE$1,INDIRECT("Table1[Ende]"),"&gt;="&amp;AE$1,INDIRECT("Table1[Obergruppe ATC-Code]"),Tabelle3!$A95)</f>
        <v>0</v>
      </c>
      <c r="AF95">
        <f ca="1">COUNTIFS(INDIRECT("Table1[Beginn]"),"&lt;="&amp;AF$1,INDIRECT("Table1[Ende]"),"&gt;="&amp;AF$1,INDIRECT("Table1[Obergruppe ATC-Code]"),Tabelle3!$A95)</f>
        <v>0</v>
      </c>
      <c r="AG95">
        <f ca="1">COUNTIFS(INDIRECT("Table1[Beginn]"),"&lt;="&amp;AG$1,INDIRECT("Table1[Ende]"),"&gt;="&amp;AG$1,INDIRECT("Table1[Obergruppe ATC-Code]"),Tabelle3!$A95)</f>
        <v>0</v>
      </c>
      <c r="AH95">
        <f ca="1">COUNTIFS(INDIRECT("Table1[Beginn]"),"&lt;="&amp;AH$1,INDIRECT("Table1[Ende]"),"&gt;="&amp;AH$1,INDIRECT("Table1[Obergruppe ATC-Code]"),Tabelle3!$A95)</f>
        <v>0</v>
      </c>
      <c r="AI95">
        <f ca="1">COUNTIFS(INDIRECT("Table1[Beginn]"),"&lt;="&amp;AI$1,INDIRECT("Table1[Ende]"),"&gt;="&amp;AI$1,INDIRECT("Table1[Obergruppe ATC-Code]"),Tabelle3!$A95)</f>
        <v>0</v>
      </c>
      <c r="AJ95">
        <f ca="1">COUNTIFS(INDIRECT("Table1[Beginn]"),"&lt;="&amp;AJ$1,INDIRECT("Table1[Ende]"),"&gt;="&amp;AJ$1,INDIRECT("Table1[Obergruppe ATC-Code]"),Tabelle3!$A95)</f>
        <v>0</v>
      </c>
      <c r="AK95">
        <f ca="1">COUNTIFS(INDIRECT("Table1[Beginn]"),"&lt;="&amp;AK$1,INDIRECT("Table1[Ende]"),"&gt;="&amp;AK$1,INDIRECT("Table1[Obergruppe ATC-Code]"),Tabelle3!$A95)</f>
        <v>0</v>
      </c>
      <c r="AL95">
        <f ca="1">COUNTIFS(INDIRECT("Table1[Beginn]"),"&lt;="&amp;AL$1,INDIRECT("Table1[Ende]"),"&gt;="&amp;AL$1,INDIRECT("Table1[Obergruppe ATC-Code]"),Tabelle3!$A95)</f>
        <v>0</v>
      </c>
      <c r="AM95">
        <f ca="1">COUNTIFS(INDIRECT("Table1[Beginn]"),"&lt;="&amp;AM$1,INDIRECT("Table1[Ende]"),"&gt;="&amp;AM$1,INDIRECT("Table1[Obergruppe ATC-Code]"),Tabelle3!$A95)</f>
        <v>0</v>
      </c>
      <c r="AN95">
        <f ca="1">COUNTIFS(INDIRECT("Table1[Beginn]"),"&lt;="&amp;AN$1,INDIRECT("Table1[Ende]"),"&gt;="&amp;AN$1,INDIRECT("Table1[Obergruppe ATC-Code]"),Tabelle3!$A95)</f>
        <v>0</v>
      </c>
      <c r="AO95">
        <f ca="1">COUNTIFS(INDIRECT("Table1[Beginn]"),"&lt;="&amp;AO$1,INDIRECT("Table1[Ende]"),"&gt;="&amp;AO$1,INDIRECT("Table1[Obergruppe ATC-Code]"),Tabelle3!$A95)</f>
        <v>0</v>
      </c>
      <c r="AP95">
        <f ca="1">COUNTIFS(INDIRECT("Table1[Beginn]"),"&lt;="&amp;AP$1,INDIRECT("Table1[Ende]"),"&gt;="&amp;AP$1,INDIRECT("Table1[Obergruppe ATC-Code]"),Tabelle3!$A95)</f>
        <v>0</v>
      </c>
      <c r="AQ95">
        <f ca="1">COUNTIFS(INDIRECT("Table1[Beginn]"),"&lt;="&amp;AQ$1,INDIRECT("Table1[Ende]"),"&gt;="&amp;AQ$1,INDIRECT("Table1[Obergruppe ATC-Code]"),Tabelle3!$A95)</f>
        <v>0</v>
      </c>
      <c r="AR95">
        <f ca="1">COUNTIFS(INDIRECT("Table1[Beginn]"),"&lt;="&amp;AR$1,INDIRECT("Table1[Ende]"),"&gt;="&amp;AR$1,INDIRECT("Table1[Obergruppe ATC-Code]"),Tabelle3!$A95)</f>
        <v>0</v>
      </c>
      <c r="AS95">
        <f ca="1">COUNTIFS(INDIRECT("Table1[Beginn]"),"&lt;="&amp;AS$1,INDIRECT("Table1[Ende]"),"&gt;="&amp;AS$1,INDIRECT("Table1[Obergruppe ATC-Code]"),Tabelle3!$A95)</f>
        <v>0</v>
      </c>
      <c r="AT95">
        <f ca="1">COUNTIFS(INDIRECT("Table1[Beginn]"),"&lt;="&amp;AT$1,INDIRECT("Table1[Ende]"),"&gt;="&amp;AT$1,INDIRECT("Table1[Obergruppe ATC-Code]"),Tabelle3!$A95)</f>
        <v>0</v>
      </c>
      <c r="AU95">
        <f ca="1">COUNTIFS(INDIRECT("Table1[Beginn]"),"&lt;="&amp;AU$1,INDIRECT("Table1[Ende]"),"&gt;="&amp;AU$1,INDIRECT("Table1[Obergruppe ATC-Code]"),Tabelle3!$A95)</f>
        <v>0</v>
      </c>
      <c r="AV95">
        <f ca="1">COUNTIFS(INDIRECT("Table1[Beginn]"),"&lt;="&amp;AV$1,INDIRECT("Table1[Ende]"),"&gt;="&amp;AV$1,INDIRECT("Table1[Obergruppe ATC-Code]"),Tabelle3!$A95)</f>
        <v>0</v>
      </c>
      <c r="AW95">
        <f ca="1">COUNTIFS(INDIRECT("Table1[Beginn]"),"&lt;="&amp;AW$1,INDIRECT("Table1[Ende]"),"&gt;="&amp;AW$1,INDIRECT("Table1[Obergruppe ATC-Code]"),Tabelle3!$A95)</f>
        <v>0</v>
      </c>
      <c r="AX95">
        <f ca="1">COUNTIFS(INDIRECT("Table1[Beginn]"),"&lt;="&amp;AX$1,INDIRECT("Table1[Ende]"),"&gt;="&amp;AX$1,INDIRECT("Table1[Obergruppe ATC-Code]"),Tabelle3!$A95)</f>
        <v>0</v>
      </c>
      <c r="AY95">
        <f ca="1">COUNTIFS(INDIRECT("Table1[Beginn]"),"&lt;="&amp;AY$1,INDIRECT("Table1[Ende]"),"&gt;="&amp;AY$1,INDIRECT("Table1[Obergruppe ATC-Code]"),Tabelle3!$A95)</f>
        <v>0</v>
      </c>
      <c r="AZ95">
        <f ca="1">COUNTIFS(INDIRECT("Table1[Beginn]"),"&lt;="&amp;AZ$1,INDIRECT("Table1[Ende]"),"&gt;="&amp;AZ$1,INDIRECT("Table1[Obergruppe ATC-Code]"),Tabelle3!$A95)</f>
        <v>0</v>
      </c>
      <c r="BA95">
        <f ca="1">COUNTIFS(INDIRECT("Table1[Beginn]"),"&lt;="&amp;BA$1,INDIRECT("Table1[Ende]"),"&gt;="&amp;BA$1,INDIRECT("Table1[Obergruppe ATC-Code]"),Tabelle3!$A95)</f>
        <v>0</v>
      </c>
      <c r="BB95">
        <f ca="1">COUNTIFS(INDIRECT("Table1[Beginn]"),"&lt;="&amp;BB$1,INDIRECT("Table1[Ende]"),"&gt;="&amp;BB$1,INDIRECT("Table1[Obergruppe ATC-Code]"),Tabelle3!$A95)</f>
        <v>0</v>
      </c>
      <c r="BC95">
        <f ca="1">COUNTIFS(INDIRECT("Table1[Beginn]"),"&lt;="&amp;BC$1,INDIRECT("Table1[Ende]"),"&gt;="&amp;BC$1,INDIRECT("Table1[Obergruppe ATC-Code]"),Tabelle3!$A95)</f>
        <v>0</v>
      </c>
      <c r="BD95">
        <f ca="1">COUNTIFS(INDIRECT("Table1[Beginn]"),"&lt;="&amp;BD$1,INDIRECT("Table1[Ende]"),"&gt;="&amp;BD$1,INDIRECT("Table1[Obergruppe ATC-Code]"),Tabelle3!$A95)</f>
        <v>0</v>
      </c>
      <c r="BE95">
        <f ca="1">COUNTIFS(INDIRECT("Table1[Beginn]"),"&lt;="&amp;BE$1,INDIRECT("Table1[Ende]"),"&gt;="&amp;BE$1,INDIRECT("Table1[Obergruppe ATC-Code]"),Tabelle3!$A95)</f>
        <v>0</v>
      </c>
      <c r="BF95">
        <f ca="1">COUNTIFS(INDIRECT("Table1[Beginn]"),"&lt;="&amp;BF$1,INDIRECT("Table1[Ende]"),"&gt;="&amp;BF$1,INDIRECT("Table1[Obergruppe ATC-Code]"),Tabelle3!$A95)</f>
        <v>0</v>
      </c>
      <c r="BG95">
        <f ca="1">COUNTIFS(INDIRECT("Table1[Beginn]"),"&lt;="&amp;BG$1,INDIRECT("Table1[Ende]"),"&gt;="&amp;BG$1,INDIRECT("Table1[Obergruppe ATC-Code]"),Tabelle3!$A95)</f>
        <v>0</v>
      </c>
      <c r="BH95">
        <f ca="1">COUNTIFS(INDIRECT("Table1[Beginn]"),"&lt;="&amp;BH$1,INDIRECT("Table1[Ende]"),"&gt;="&amp;BH$1,INDIRECT("Table1[Obergruppe ATC-Code]"),Tabelle3!$A95)</f>
        <v>0</v>
      </c>
      <c r="BI95">
        <f ca="1">COUNTIFS(INDIRECT("Table1[Beginn]"),"&lt;="&amp;BI$1,INDIRECT("Table1[Ende]"),"&gt;="&amp;BI$1,INDIRECT("Table1[Obergruppe ATC-Code]"),Tabelle3!$A95)</f>
        <v>0</v>
      </c>
      <c r="BJ95">
        <f ca="1">COUNTIFS(INDIRECT("Table1[Beginn]"),"&lt;="&amp;BJ$1,INDIRECT("Table1[Ende]"),"&gt;="&amp;BJ$1,INDIRECT("Table1[Obergruppe ATC-Code]"),Tabelle3!$A95)</f>
        <v>0</v>
      </c>
      <c r="BK95">
        <f ca="1">COUNTIFS(INDIRECT("Table1[Beginn]"),"&lt;="&amp;BK$1,INDIRECT("Table1[Ende]"),"&gt;="&amp;BK$1,INDIRECT("Table1[Obergruppe ATC-Code]"),Tabelle3!$A95)</f>
        <v>0</v>
      </c>
      <c r="BL95">
        <f ca="1">COUNTIFS(INDIRECT("Table1[Beginn]"),"&lt;="&amp;BL$1,INDIRECT("Table1[Ende]"),"&gt;="&amp;BL$1,INDIRECT("Table1[Obergruppe ATC-Code]"),Tabelle3!$A95)</f>
        <v>0</v>
      </c>
      <c r="BM95">
        <f ca="1">COUNTIFS(INDIRECT("Table1[Beginn]"),"&lt;="&amp;BM$1,INDIRECT("Table1[Ende]"),"&gt;="&amp;BM$1,INDIRECT("Table1[Obergruppe ATC-Code]"),Tabelle3!$A95)</f>
        <v>0</v>
      </c>
      <c r="BN95">
        <f ca="1">COUNTIFS(INDIRECT("Table1[Beginn]"),"&lt;="&amp;BN$1,INDIRECT("Table1[Ende]"),"&gt;="&amp;BN$1,INDIRECT("Table1[Obergruppe ATC-Code]"),Tabelle3!$A95)</f>
        <v>0</v>
      </c>
      <c r="BO95">
        <f ca="1">COUNTIFS(INDIRECT("Table1[Beginn]"),"&lt;="&amp;BO$1,INDIRECT("Table1[Ende]"),"&gt;="&amp;BO$1,INDIRECT("Table1[Obergruppe ATC-Code]"),Tabelle3!$A95)</f>
        <v>0</v>
      </c>
      <c r="BP95">
        <f ca="1">COUNTIFS(INDIRECT("Table1[Beginn]"),"&lt;="&amp;BP$1,INDIRECT("Table1[Ende]"),"&gt;="&amp;BP$1,INDIRECT("Table1[Obergruppe ATC-Code]"),Tabelle3!$A95)</f>
        <v>0</v>
      </c>
      <c r="BQ95">
        <f ca="1">COUNTIFS(INDIRECT("Table1[Beginn]"),"&lt;="&amp;BQ$1,INDIRECT("Table1[Ende]"),"&gt;="&amp;BQ$1,INDIRECT("Table1[Obergruppe ATC-Code]"),Tabelle3!$A95)</f>
        <v>0</v>
      </c>
      <c r="BR95">
        <f ca="1">COUNTIFS(INDIRECT("Table1[Beginn]"),"&lt;="&amp;BR$1,INDIRECT("Table1[Ende]"),"&gt;="&amp;BR$1,INDIRECT("Table1[Obergruppe ATC-Code]"),Tabelle3!$A95)</f>
        <v>0</v>
      </c>
      <c r="BS95">
        <f ca="1">COUNTIFS(INDIRECT("Table1[Beginn]"),"&lt;="&amp;BS$1,INDIRECT("Table1[Ende]"),"&gt;="&amp;BS$1,INDIRECT("Table1[Obergruppe ATC-Code]"),Tabelle3!$A95)</f>
        <v>0</v>
      </c>
      <c r="BT95">
        <f ca="1">COUNTIFS(INDIRECT("Table1[Beginn]"),"&lt;="&amp;BT$1,INDIRECT("Table1[Ende]"),"&gt;="&amp;BT$1,INDIRECT("Table1[Obergruppe ATC-Code]"),Tabelle3!$A95)</f>
        <v>0</v>
      </c>
      <c r="BU95">
        <f ca="1">COUNTIFS(INDIRECT("Table1[Beginn]"),"&lt;="&amp;BU$1,INDIRECT("Table1[Ende]"),"&gt;="&amp;BU$1,INDIRECT("Table1[Obergruppe ATC-Code]"),Tabelle3!$A95)</f>
        <v>0</v>
      </c>
      <c r="BV95">
        <f ca="1">COUNTIFS(INDIRECT("Table1[Beginn]"),"&lt;="&amp;BV$1,INDIRECT("Table1[Ende]"),"&gt;="&amp;BV$1,INDIRECT("Table1[Obergruppe ATC-Code]"),Tabelle3!$A95)</f>
        <v>0</v>
      </c>
      <c r="BW95">
        <f ca="1">COUNTIFS(INDIRECT("Table1[Beginn]"),"&lt;="&amp;BW$1,INDIRECT("Table1[Ende]"),"&gt;="&amp;BW$1,INDIRECT("Table1[Obergruppe ATC-Code]"),Tabelle3!$A95)</f>
        <v>0</v>
      </c>
      <c r="BX95">
        <f ca="1">COUNTIFS(INDIRECT("Table1[Beginn]"),"&lt;="&amp;BX$1,INDIRECT("Table1[Ende]"),"&gt;="&amp;BX$1,INDIRECT("Table1[Obergruppe ATC-Code]"),Tabelle3!$A95)</f>
        <v>0</v>
      </c>
      <c r="BY95">
        <f ca="1">COUNTIFS(INDIRECT("Table1[Beginn]"),"&lt;="&amp;BY$1,INDIRECT("Table1[Ende]"),"&gt;="&amp;BY$1,INDIRECT("Table1[Obergruppe ATC-Code]"),Tabelle3!$A95)</f>
        <v>0</v>
      </c>
      <c r="BZ95">
        <f ca="1">COUNTIFS(INDIRECT("Table1[Beginn]"),"&lt;="&amp;BZ$1,INDIRECT("Table1[Ende]"),"&gt;="&amp;BZ$1,INDIRECT("Table1[Obergruppe ATC-Code]"),Tabelle3!$A95)</f>
        <v>0</v>
      </c>
      <c r="CA95">
        <f ca="1">COUNTIFS(INDIRECT("Table1[Beginn]"),"&lt;="&amp;CA$1,INDIRECT("Table1[Ende]"),"&gt;="&amp;CA$1,INDIRECT("Table1[Obergruppe ATC-Code]"),Tabelle3!$A95)</f>
        <v>0</v>
      </c>
      <c r="CB95">
        <f ca="1">COUNTIFS(INDIRECT("Table1[Beginn]"),"&lt;="&amp;CB$1,INDIRECT("Table1[Ende]"),"&gt;="&amp;CB$1,INDIRECT("Table1[Obergruppe ATC-Code]"),Tabelle3!$A95)</f>
        <v>0</v>
      </c>
      <c r="CC95">
        <f ca="1">COUNTIFS(INDIRECT("Table1[Beginn]"),"&lt;="&amp;CC$1,INDIRECT("Table1[Ende]"),"&gt;="&amp;CC$1,INDIRECT("Table1[Obergruppe ATC-Code]"),Tabelle3!$A95)</f>
        <v>0</v>
      </c>
      <c r="CD95">
        <f ca="1">COUNTIFS(INDIRECT("Table1[Beginn]"),"&lt;="&amp;CD$1,INDIRECT("Table1[Ende]"),"&gt;="&amp;CD$1,INDIRECT("Table1[Obergruppe ATC-Code]"),Tabelle3!$A95)</f>
        <v>0</v>
      </c>
      <c r="CE95">
        <f ca="1">COUNTIFS(INDIRECT("Table1[Beginn]"),"&lt;="&amp;CE$1,INDIRECT("Table1[Ende]"),"&gt;="&amp;CE$1,INDIRECT("Table1[Obergruppe ATC-Code]"),Tabelle3!$A95)</f>
        <v>0</v>
      </c>
      <c r="CF95">
        <f ca="1">COUNTIFS(INDIRECT("Table1[Beginn]"),"&lt;="&amp;CF$1,INDIRECT("Table1[Ende]"),"&gt;="&amp;CF$1,INDIRECT("Table1[Obergruppe ATC-Code]"),Tabelle3!$A95)</f>
        <v>0</v>
      </c>
      <c r="CG95">
        <f ca="1">COUNTIFS(INDIRECT("Table1[Beginn]"),"&lt;="&amp;CG$1,INDIRECT("Table1[Ende]"),"&gt;="&amp;CG$1,INDIRECT("Table1[Obergruppe ATC-Code]"),Tabelle3!$A95)</f>
        <v>0</v>
      </c>
      <c r="CH95">
        <f ca="1">COUNTIFS(INDIRECT("Table1[Beginn]"),"&lt;="&amp;CH$1,INDIRECT("Table1[Ende]"),"&gt;="&amp;CH$1,INDIRECT("Table1[Obergruppe ATC-Code]"),Tabelle3!$A95)</f>
        <v>0</v>
      </c>
      <c r="CI95">
        <f ca="1">COUNTIFS(INDIRECT("Table1[Beginn]"),"&lt;="&amp;CI$1,INDIRECT("Table1[Ende]"),"&gt;="&amp;CI$1,INDIRECT("Table1[Obergruppe ATC-Code]"),Tabelle3!$A95)</f>
        <v>0</v>
      </c>
      <c r="CJ95">
        <f ca="1">COUNTIFS(INDIRECT("Table1[Beginn]"),"&lt;="&amp;CJ$1,INDIRECT("Table1[Ende]"),"&gt;="&amp;CJ$1,INDIRECT("Table1[Obergruppe ATC-Code]"),Tabelle3!$A95)</f>
        <v>0</v>
      </c>
      <c r="CK95">
        <f ca="1">COUNTIFS(INDIRECT("Table1[Beginn]"),"&lt;="&amp;CK$1,INDIRECT("Table1[Ende]"),"&gt;="&amp;CK$1,INDIRECT("Table1[Obergruppe ATC-Code]"),Tabelle3!$A95)</f>
        <v>0</v>
      </c>
      <c r="CL95">
        <f ca="1">COUNTIFS(INDIRECT("Table1[Beginn]"),"&lt;="&amp;CL$1,INDIRECT("Table1[Ende]"),"&gt;="&amp;CL$1,INDIRECT("Table1[Obergruppe ATC-Code]"),Tabelle3!$A95)</f>
        <v>0</v>
      </c>
      <c r="CM95">
        <f ca="1">COUNTIFS(INDIRECT("Table1[Beginn]"),"&lt;="&amp;CM$1,INDIRECT("Table1[Ende]"),"&gt;="&amp;CM$1,INDIRECT("Table1[Obergruppe ATC-Code]"),Tabelle3!$A95)</f>
        <v>0</v>
      </c>
      <c r="CN95">
        <f ca="1">COUNTIFS(INDIRECT("Table1[Beginn]"),"&lt;="&amp;CN$1,INDIRECT("Table1[Ende]"),"&gt;="&amp;CN$1,INDIRECT("Table1[Obergruppe ATC-Code]"),Tabelle3!$A95)</f>
        <v>0</v>
      </c>
      <c r="CO95">
        <f ca="1">COUNTIFS(INDIRECT("Table1[Beginn]"),"&lt;="&amp;CO$1,INDIRECT("Table1[Ende]"),"&gt;="&amp;CO$1,INDIRECT("Table1[Obergruppe ATC-Code]"),Tabelle3!$A95)</f>
        <v>0</v>
      </c>
      <c r="CP95">
        <f ca="1">COUNTIFS(INDIRECT("Table1[Beginn]"),"&lt;="&amp;CP$1,INDIRECT("Table1[Ende]"),"&gt;="&amp;CP$1,INDIRECT("Table1[Obergruppe ATC-Code]"),Tabelle3!$A95)</f>
        <v>0</v>
      </c>
      <c r="CQ95">
        <f ca="1">COUNTIFS(INDIRECT("Table1[Beginn]"),"&lt;="&amp;CQ$1,INDIRECT("Table1[Ende]"),"&gt;="&amp;CQ$1,INDIRECT("Table1[Obergruppe ATC-Code]"),Tabelle3!$A95)</f>
        <v>0</v>
      </c>
      <c r="CR95">
        <f ca="1">COUNTIFS(INDIRECT("Table1[Beginn]"),"&lt;="&amp;CR$1,INDIRECT("Table1[Ende]"),"&gt;="&amp;CR$1,INDIRECT("Table1[Obergruppe ATC-Code]"),Tabelle3!$A95)</f>
        <v>0</v>
      </c>
      <c r="CS95">
        <f ca="1">COUNTIFS(INDIRECT("Table1[Beginn]"),"&lt;="&amp;CS$1,INDIRECT("Table1[Ende]"),"&gt;="&amp;CS$1,INDIRECT("Table1[Obergruppe ATC-Code]"),Tabelle3!$A95)</f>
        <v>0</v>
      </c>
      <c r="CT95">
        <f ca="1">COUNTIFS(INDIRECT("Table1[Beginn]"),"&lt;="&amp;CT$1,INDIRECT("Table1[Ende]"),"&gt;="&amp;CT$1,INDIRECT("Table1[Obergruppe ATC-Code]"),Tabelle3!$A95)</f>
        <v>0</v>
      </c>
    </row>
    <row r="96" spans="1:98" ht="18">
      <c r="A96" s="7" t="s">
        <v>6960</v>
      </c>
      <c r="B96" s="8" t="s">
        <v>6961</v>
      </c>
      <c r="C96">
        <f ca="1">COUNTIFS(INDIRECT("Table1[Beginn]"),"&lt;="&amp;C$1,INDIRECT("Table1[Ende]"),"&gt;="&amp;C$1,INDIRECT("Table1[Obergruppe ATC-Code]"),Tabelle3!$A96)</f>
        <v>0</v>
      </c>
      <c r="D96">
        <f ca="1">COUNTIFS(INDIRECT("Table1[Beginn]"),"&lt;="&amp;D$1,INDIRECT("Table1[Ende]"),"&gt;="&amp;D$1,INDIRECT("Table1[Obergruppe ATC-Code]"),Tabelle3!$A96)</f>
        <v>0</v>
      </c>
      <c r="E96">
        <f ca="1">COUNTIFS(INDIRECT("Table1[Beginn]"),"&lt;="&amp;E$1,INDIRECT("Table1[Ende]"),"&gt;="&amp;E$1,INDIRECT("Table1[Obergruppe ATC-Code]"),Tabelle3!$A96)</f>
        <v>0</v>
      </c>
      <c r="F96">
        <f ca="1">COUNTIFS(INDIRECT("Table1[Beginn]"),"&lt;="&amp;F$1,INDIRECT("Table1[Ende]"),"&gt;="&amp;F$1,INDIRECT("Table1[Obergruppe ATC-Code]"),Tabelle3!$A96)</f>
        <v>0</v>
      </c>
      <c r="G96">
        <f ca="1">COUNTIFS(INDIRECT("Table1[Beginn]"),"&lt;="&amp;G$1,INDIRECT("Table1[Ende]"),"&gt;="&amp;G$1,INDIRECT("Table1[Obergruppe ATC-Code]"),Tabelle3!$A96)</f>
        <v>0</v>
      </c>
      <c r="H96">
        <f ca="1">COUNTIFS(INDIRECT("Table1[Beginn]"),"&lt;="&amp;H$1,INDIRECT("Table1[Ende]"),"&gt;="&amp;H$1,INDIRECT("Table1[Obergruppe ATC-Code]"),Tabelle3!$A96)</f>
        <v>0</v>
      </c>
      <c r="I96">
        <f ca="1">COUNTIFS(INDIRECT("Table1[Beginn]"),"&lt;="&amp;I$1,INDIRECT("Table1[Ende]"),"&gt;="&amp;I$1,INDIRECT("Table1[Obergruppe ATC-Code]"),Tabelle3!$A96)</f>
        <v>0</v>
      </c>
      <c r="J96">
        <f ca="1">COUNTIFS(INDIRECT("Table1[Beginn]"),"&lt;="&amp;J$1,INDIRECT("Table1[Ende]"),"&gt;="&amp;J$1,INDIRECT("Table1[Obergruppe ATC-Code]"),Tabelle3!$A96)</f>
        <v>0</v>
      </c>
      <c r="K96">
        <f ca="1">COUNTIFS(INDIRECT("Table1[Beginn]"),"&lt;="&amp;K$1,INDIRECT("Table1[Ende]"),"&gt;="&amp;K$1,INDIRECT("Table1[Obergruppe ATC-Code]"),Tabelle3!$A96)</f>
        <v>0</v>
      </c>
      <c r="L96">
        <f ca="1">COUNTIFS(INDIRECT("Table1[Beginn]"),"&lt;="&amp;L$1,INDIRECT("Table1[Ende]"),"&gt;="&amp;L$1,INDIRECT("Table1[Obergruppe ATC-Code]"),Tabelle3!$A96)</f>
        <v>0</v>
      </c>
      <c r="M96">
        <f ca="1">COUNTIFS(INDIRECT("Table1[Beginn]"),"&lt;="&amp;M$1,INDIRECT("Table1[Ende]"),"&gt;="&amp;M$1,INDIRECT("Table1[Obergruppe ATC-Code]"),Tabelle3!$A96)</f>
        <v>0</v>
      </c>
      <c r="N96">
        <f ca="1">COUNTIFS(INDIRECT("Table1[Beginn]"),"&lt;="&amp;N$1,INDIRECT("Table1[Ende]"),"&gt;="&amp;N$1,INDIRECT("Table1[Obergruppe ATC-Code]"),Tabelle3!$A96)</f>
        <v>0</v>
      </c>
      <c r="O96">
        <f ca="1">COUNTIFS(INDIRECT("Table1[Beginn]"),"&lt;="&amp;O$1,INDIRECT("Table1[Ende]"),"&gt;="&amp;O$1,INDIRECT("Table1[Obergruppe ATC-Code]"),Tabelle3!$A96)</f>
        <v>0</v>
      </c>
      <c r="P96">
        <f ca="1">COUNTIFS(INDIRECT("Table1[Beginn]"),"&lt;="&amp;P$1,INDIRECT("Table1[Ende]"),"&gt;="&amp;P$1,INDIRECT("Table1[Obergruppe ATC-Code]"),Tabelle3!$A96)</f>
        <v>0</v>
      </c>
      <c r="Q96">
        <f ca="1">COUNTIFS(INDIRECT("Table1[Beginn]"),"&lt;="&amp;Q$1,INDIRECT("Table1[Ende]"),"&gt;="&amp;Q$1,INDIRECT("Table1[Obergruppe ATC-Code]"),Tabelle3!$A96)</f>
        <v>0</v>
      </c>
      <c r="R96">
        <f ca="1">COUNTIFS(INDIRECT("Table1[Beginn]"),"&lt;="&amp;R$1,INDIRECT("Table1[Ende]"),"&gt;="&amp;R$1,INDIRECT("Table1[Obergruppe ATC-Code]"),Tabelle3!$A96)</f>
        <v>0</v>
      </c>
      <c r="S96">
        <f ca="1">COUNTIFS(INDIRECT("Table1[Beginn]"),"&lt;="&amp;S$1,INDIRECT("Table1[Ende]"),"&gt;="&amp;S$1,INDIRECT("Table1[Obergruppe ATC-Code]"),Tabelle3!$A96)</f>
        <v>0</v>
      </c>
      <c r="T96">
        <f ca="1">COUNTIFS(INDIRECT("Table1[Beginn]"),"&lt;="&amp;T$1,INDIRECT("Table1[Ende]"),"&gt;="&amp;T$1,INDIRECT("Table1[Obergruppe ATC-Code]"),Tabelle3!$A96)</f>
        <v>0</v>
      </c>
      <c r="U96">
        <f ca="1">COUNTIFS(INDIRECT("Table1[Beginn]"),"&lt;="&amp;U$1,INDIRECT("Table1[Ende]"),"&gt;="&amp;U$1,INDIRECT("Table1[Obergruppe ATC-Code]"),Tabelle3!$A96)</f>
        <v>0</v>
      </c>
      <c r="V96">
        <f ca="1">COUNTIFS(INDIRECT("Table1[Beginn]"),"&lt;="&amp;V$1,INDIRECT("Table1[Ende]"),"&gt;="&amp;V$1,INDIRECT("Table1[Obergruppe ATC-Code]"),Tabelle3!$A96)</f>
        <v>0</v>
      </c>
      <c r="W96">
        <f ca="1">COUNTIFS(INDIRECT("Table1[Beginn]"),"&lt;="&amp;W$1,INDIRECT("Table1[Ende]"),"&gt;="&amp;W$1,INDIRECT("Table1[Obergruppe ATC-Code]"),Tabelle3!$A96)</f>
        <v>0</v>
      </c>
      <c r="X96">
        <f ca="1">COUNTIFS(INDIRECT("Table1[Beginn]"),"&lt;="&amp;X$1,INDIRECT("Table1[Ende]"),"&gt;="&amp;X$1,INDIRECT("Table1[Obergruppe ATC-Code]"),Tabelle3!$A96)</f>
        <v>0</v>
      </c>
      <c r="Y96">
        <f ca="1">COUNTIFS(INDIRECT("Table1[Beginn]"),"&lt;="&amp;Y$1,INDIRECT("Table1[Ende]"),"&gt;="&amp;Y$1,INDIRECT("Table1[Obergruppe ATC-Code]"),Tabelle3!$A96)</f>
        <v>0</v>
      </c>
      <c r="Z96">
        <f ca="1">COUNTIFS(INDIRECT("Table1[Beginn]"),"&lt;="&amp;Z$1,INDIRECT("Table1[Ende]"),"&gt;="&amp;Z$1,INDIRECT("Table1[Obergruppe ATC-Code]"),Tabelle3!$A96)</f>
        <v>0</v>
      </c>
      <c r="AA96">
        <f ca="1">COUNTIFS(INDIRECT("Table1[Beginn]"),"&lt;="&amp;AA$1,INDIRECT("Table1[Ende]"),"&gt;="&amp;AA$1,INDIRECT("Table1[Obergruppe ATC-Code]"),Tabelle3!$A96)</f>
        <v>0</v>
      </c>
      <c r="AB96">
        <f ca="1">COUNTIFS(INDIRECT("Table1[Beginn]"),"&lt;="&amp;AB$1,INDIRECT("Table1[Ende]"),"&gt;="&amp;AB$1,INDIRECT("Table1[Obergruppe ATC-Code]"),Tabelle3!$A96)</f>
        <v>0</v>
      </c>
      <c r="AC96">
        <f ca="1">COUNTIFS(INDIRECT("Table1[Beginn]"),"&lt;="&amp;AC$1,INDIRECT("Table1[Ende]"),"&gt;="&amp;AC$1,INDIRECT("Table1[Obergruppe ATC-Code]"),Tabelle3!$A96)</f>
        <v>0</v>
      </c>
      <c r="AD96">
        <f ca="1">COUNTIFS(INDIRECT("Table1[Beginn]"),"&lt;="&amp;AD$1,INDIRECT("Table1[Ende]"),"&gt;="&amp;AD$1,INDIRECT("Table1[Obergruppe ATC-Code]"),Tabelle3!$A96)</f>
        <v>0</v>
      </c>
      <c r="AE96">
        <f ca="1">COUNTIFS(INDIRECT("Table1[Beginn]"),"&lt;="&amp;AE$1,INDIRECT("Table1[Ende]"),"&gt;="&amp;AE$1,INDIRECT("Table1[Obergruppe ATC-Code]"),Tabelle3!$A96)</f>
        <v>0</v>
      </c>
      <c r="AF96">
        <f ca="1">COUNTIFS(INDIRECT("Table1[Beginn]"),"&lt;="&amp;AF$1,INDIRECT("Table1[Ende]"),"&gt;="&amp;AF$1,INDIRECT("Table1[Obergruppe ATC-Code]"),Tabelle3!$A96)</f>
        <v>0</v>
      </c>
      <c r="AG96">
        <f ca="1">COUNTIFS(INDIRECT("Table1[Beginn]"),"&lt;="&amp;AG$1,INDIRECT("Table1[Ende]"),"&gt;="&amp;AG$1,INDIRECT("Table1[Obergruppe ATC-Code]"),Tabelle3!$A96)</f>
        <v>0</v>
      </c>
      <c r="AH96">
        <f ca="1">COUNTIFS(INDIRECT("Table1[Beginn]"),"&lt;="&amp;AH$1,INDIRECT("Table1[Ende]"),"&gt;="&amp;AH$1,INDIRECT("Table1[Obergruppe ATC-Code]"),Tabelle3!$A96)</f>
        <v>0</v>
      </c>
      <c r="AI96">
        <f ca="1">COUNTIFS(INDIRECT("Table1[Beginn]"),"&lt;="&amp;AI$1,INDIRECT("Table1[Ende]"),"&gt;="&amp;AI$1,INDIRECT("Table1[Obergruppe ATC-Code]"),Tabelle3!$A96)</f>
        <v>0</v>
      </c>
      <c r="AJ96">
        <f ca="1">COUNTIFS(INDIRECT("Table1[Beginn]"),"&lt;="&amp;AJ$1,INDIRECT("Table1[Ende]"),"&gt;="&amp;AJ$1,INDIRECT("Table1[Obergruppe ATC-Code]"),Tabelle3!$A96)</f>
        <v>0</v>
      </c>
      <c r="AK96">
        <f ca="1">COUNTIFS(INDIRECT("Table1[Beginn]"),"&lt;="&amp;AK$1,INDIRECT("Table1[Ende]"),"&gt;="&amp;AK$1,INDIRECT("Table1[Obergruppe ATC-Code]"),Tabelle3!$A96)</f>
        <v>0</v>
      </c>
      <c r="AL96">
        <f ca="1">COUNTIFS(INDIRECT("Table1[Beginn]"),"&lt;="&amp;AL$1,INDIRECT("Table1[Ende]"),"&gt;="&amp;AL$1,INDIRECT("Table1[Obergruppe ATC-Code]"),Tabelle3!$A96)</f>
        <v>0</v>
      </c>
      <c r="AM96">
        <f ca="1">COUNTIFS(INDIRECT("Table1[Beginn]"),"&lt;="&amp;AM$1,INDIRECT("Table1[Ende]"),"&gt;="&amp;AM$1,INDIRECT("Table1[Obergruppe ATC-Code]"),Tabelle3!$A96)</f>
        <v>0</v>
      </c>
      <c r="AN96">
        <f ca="1">COUNTIFS(INDIRECT("Table1[Beginn]"),"&lt;="&amp;AN$1,INDIRECT("Table1[Ende]"),"&gt;="&amp;AN$1,INDIRECT("Table1[Obergruppe ATC-Code]"),Tabelle3!$A96)</f>
        <v>0</v>
      </c>
      <c r="AO96">
        <f ca="1">COUNTIFS(INDIRECT("Table1[Beginn]"),"&lt;="&amp;AO$1,INDIRECT("Table1[Ende]"),"&gt;="&amp;AO$1,INDIRECT("Table1[Obergruppe ATC-Code]"),Tabelle3!$A96)</f>
        <v>0</v>
      </c>
      <c r="AP96">
        <f ca="1">COUNTIFS(INDIRECT("Table1[Beginn]"),"&lt;="&amp;AP$1,INDIRECT("Table1[Ende]"),"&gt;="&amp;AP$1,INDIRECT("Table1[Obergruppe ATC-Code]"),Tabelle3!$A96)</f>
        <v>0</v>
      </c>
      <c r="AQ96">
        <f ca="1">COUNTIFS(INDIRECT("Table1[Beginn]"),"&lt;="&amp;AQ$1,INDIRECT("Table1[Ende]"),"&gt;="&amp;AQ$1,INDIRECT("Table1[Obergruppe ATC-Code]"),Tabelle3!$A96)</f>
        <v>0</v>
      </c>
      <c r="AR96">
        <f ca="1">COUNTIFS(INDIRECT("Table1[Beginn]"),"&lt;="&amp;AR$1,INDIRECT("Table1[Ende]"),"&gt;="&amp;AR$1,INDIRECT("Table1[Obergruppe ATC-Code]"),Tabelle3!$A96)</f>
        <v>0</v>
      </c>
      <c r="AS96">
        <f ca="1">COUNTIFS(INDIRECT("Table1[Beginn]"),"&lt;="&amp;AS$1,INDIRECT("Table1[Ende]"),"&gt;="&amp;AS$1,INDIRECT("Table1[Obergruppe ATC-Code]"),Tabelle3!$A96)</f>
        <v>0</v>
      </c>
      <c r="AT96">
        <f ca="1">COUNTIFS(INDIRECT("Table1[Beginn]"),"&lt;="&amp;AT$1,INDIRECT("Table1[Ende]"),"&gt;="&amp;AT$1,INDIRECT("Table1[Obergruppe ATC-Code]"),Tabelle3!$A96)</f>
        <v>0</v>
      </c>
      <c r="AU96">
        <f ca="1">COUNTIFS(INDIRECT("Table1[Beginn]"),"&lt;="&amp;AU$1,INDIRECT("Table1[Ende]"),"&gt;="&amp;AU$1,INDIRECT("Table1[Obergruppe ATC-Code]"),Tabelle3!$A96)</f>
        <v>0</v>
      </c>
      <c r="AV96">
        <f ca="1">COUNTIFS(INDIRECT("Table1[Beginn]"),"&lt;="&amp;AV$1,INDIRECT("Table1[Ende]"),"&gt;="&amp;AV$1,INDIRECT("Table1[Obergruppe ATC-Code]"),Tabelle3!$A96)</f>
        <v>0</v>
      </c>
      <c r="AW96">
        <f ca="1">COUNTIFS(INDIRECT("Table1[Beginn]"),"&lt;="&amp;AW$1,INDIRECT("Table1[Ende]"),"&gt;="&amp;AW$1,INDIRECT("Table1[Obergruppe ATC-Code]"),Tabelle3!$A96)</f>
        <v>0</v>
      </c>
      <c r="AX96">
        <f ca="1">COUNTIFS(INDIRECT("Table1[Beginn]"),"&lt;="&amp;AX$1,INDIRECT("Table1[Ende]"),"&gt;="&amp;AX$1,INDIRECT("Table1[Obergruppe ATC-Code]"),Tabelle3!$A96)</f>
        <v>0</v>
      </c>
      <c r="AY96">
        <f ca="1">COUNTIFS(INDIRECT("Table1[Beginn]"),"&lt;="&amp;AY$1,INDIRECT("Table1[Ende]"),"&gt;="&amp;AY$1,INDIRECT("Table1[Obergruppe ATC-Code]"),Tabelle3!$A96)</f>
        <v>0</v>
      </c>
      <c r="AZ96">
        <f ca="1">COUNTIFS(INDIRECT("Table1[Beginn]"),"&lt;="&amp;AZ$1,INDIRECT("Table1[Ende]"),"&gt;="&amp;AZ$1,INDIRECT("Table1[Obergruppe ATC-Code]"),Tabelle3!$A96)</f>
        <v>0</v>
      </c>
      <c r="BA96">
        <f ca="1">COUNTIFS(INDIRECT("Table1[Beginn]"),"&lt;="&amp;BA$1,INDIRECT("Table1[Ende]"),"&gt;="&amp;BA$1,INDIRECT("Table1[Obergruppe ATC-Code]"),Tabelle3!$A96)</f>
        <v>0</v>
      </c>
      <c r="BB96">
        <f ca="1">COUNTIFS(INDIRECT("Table1[Beginn]"),"&lt;="&amp;BB$1,INDIRECT("Table1[Ende]"),"&gt;="&amp;BB$1,INDIRECT("Table1[Obergruppe ATC-Code]"),Tabelle3!$A96)</f>
        <v>0</v>
      </c>
      <c r="BC96">
        <f ca="1">COUNTIFS(INDIRECT("Table1[Beginn]"),"&lt;="&amp;BC$1,INDIRECT("Table1[Ende]"),"&gt;="&amp;BC$1,INDIRECT("Table1[Obergruppe ATC-Code]"),Tabelle3!$A96)</f>
        <v>0</v>
      </c>
      <c r="BD96">
        <f ca="1">COUNTIFS(INDIRECT("Table1[Beginn]"),"&lt;="&amp;BD$1,INDIRECT("Table1[Ende]"),"&gt;="&amp;BD$1,INDIRECT("Table1[Obergruppe ATC-Code]"),Tabelle3!$A96)</f>
        <v>0</v>
      </c>
      <c r="BE96">
        <f ca="1">COUNTIFS(INDIRECT("Table1[Beginn]"),"&lt;="&amp;BE$1,INDIRECT("Table1[Ende]"),"&gt;="&amp;BE$1,INDIRECT("Table1[Obergruppe ATC-Code]"),Tabelle3!$A96)</f>
        <v>0</v>
      </c>
      <c r="BF96">
        <f ca="1">COUNTIFS(INDIRECT("Table1[Beginn]"),"&lt;="&amp;BF$1,INDIRECT("Table1[Ende]"),"&gt;="&amp;BF$1,INDIRECT("Table1[Obergruppe ATC-Code]"),Tabelle3!$A96)</f>
        <v>0</v>
      </c>
      <c r="BG96">
        <f ca="1">COUNTIFS(INDIRECT("Table1[Beginn]"),"&lt;="&amp;BG$1,INDIRECT("Table1[Ende]"),"&gt;="&amp;BG$1,INDIRECT("Table1[Obergruppe ATC-Code]"),Tabelle3!$A96)</f>
        <v>0</v>
      </c>
      <c r="BH96">
        <f ca="1">COUNTIFS(INDIRECT("Table1[Beginn]"),"&lt;="&amp;BH$1,INDIRECT("Table1[Ende]"),"&gt;="&amp;BH$1,INDIRECT("Table1[Obergruppe ATC-Code]"),Tabelle3!$A96)</f>
        <v>0</v>
      </c>
      <c r="BI96">
        <f ca="1">COUNTIFS(INDIRECT("Table1[Beginn]"),"&lt;="&amp;BI$1,INDIRECT("Table1[Ende]"),"&gt;="&amp;BI$1,INDIRECT("Table1[Obergruppe ATC-Code]"),Tabelle3!$A96)</f>
        <v>0</v>
      </c>
      <c r="BJ96">
        <f ca="1">COUNTIFS(INDIRECT("Table1[Beginn]"),"&lt;="&amp;BJ$1,INDIRECT("Table1[Ende]"),"&gt;="&amp;BJ$1,INDIRECT("Table1[Obergruppe ATC-Code]"),Tabelle3!$A96)</f>
        <v>0</v>
      </c>
      <c r="BK96">
        <f ca="1">COUNTIFS(INDIRECT("Table1[Beginn]"),"&lt;="&amp;BK$1,INDIRECT("Table1[Ende]"),"&gt;="&amp;BK$1,INDIRECT("Table1[Obergruppe ATC-Code]"),Tabelle3!$A96)</f>
        <v>0</v>
      </c>
      <c r="BL96">
        <f ca="1">COUNTIFS(INDIRECT("Table1[Beginn]"),"&lt;="&amp;BL$1,INDIRECT("Table1[Ende]"),"&gt;="&amp;BL$1,INDIRECT("Table1[Obergruppe ATC-Code]"),Tabelle3!$A96)</f>
        <v>3</v>
      </c>
      <c r="BM96">
        <f ca="1">COUNTIFS(INDIRECT("Table1[Beginn]"),"&lt;="&amp;BM$1,INDIRECT("Table1[Ende]"),"&gt;="&amp;BM$1,INDIRECT("Table1[Obergruppe ATC-Code]"),Tabelle3!$A96)</f>
        <v>0</v>
      </c>
      <c r="BN96">
        <f ca="1">COUNTIFS(INDIRECT("Table1[Beginn]"),"&lt;="&amp;BN$1,INDIRECT("Table1[Ende]"),"&gt;="&amp;BN$1,INDIRECT("Table1[Obergruppe ATC-Code]"),Tabelle3!$A96)</f>
        <v>0</v>
      </c>
      <c r="BO96">
        <f ca="1">COUNTIFS(INDIRECT("Table1[Beginn]"),"&lt;="&amp;BO$1,INDIRECT("Table1[Ende]"),"&gt;="&amp;BO$1,INDIRECT("Table1[Obergruppe ATC-Code]"),Tabelle3!$A96)</f>
        <v>0</v>
      </c>
      <c r="BP96">
        <f ca="1">COUNTIFS(INDIRECT("Table1[Beginn]"),"&lt;="&amp;BP$1,INDIRECT("Table1[Ende]"),"&gt;="&amp;BP$1,INDIRECT("Table1[Obergruppe ATC-Code]"),Tabelle3!$A96)</f>
        <v>0</v>
      </c>
      <c r="BQ96">
        <f ca="1">COUNTIFS(INDIRECT("Table1[Beginn]"),"&lt;="&amp;BQ$1,INDIRECT("Table1[Ende]"),"&gt;="&amp;BQ$1,INDIRECT("Table1[Obergruppe ATC-Code]"),Tabelle3!$A96)</f>
        <v>0</v>
      </c>
      <c r="BR96">
        <f ca="1">COUNTIFS(INDIRECT("Table1[Beginn]"),"&lt;="&amp;BR$1,INDIRECT("Table1[Ende]"),"&gt;="&amp;BR$1,INDIRECT("Table1[Obergruppe ATC-Code]"),Tabelle3!$A96)</f>
        <v>0</v>
      </c>
      <c r="BS96">
        <f ca="1">COUNTIFS(INDIRECT("Table1[Beginn]"),"&lt;="&amp;BS$1,INDIRECT("Table1[Ende]"),"&gt;="&amp;BS$1,INDIRECT("Table1[Obergruppe ATC-Code]"),Tabelle3!$A96)</f>
        <v>0</v>
      </c>
      <c r="BT96">
        <f ca="1">COUNTIFS(INDIRECT("Table1[Beginn]"),"&lt;="&amp;BT$1,INDIRECT("Table1[Ende]"),"&gt;="&amp;BT$1,INDIRECT("Table1[Obergruppe ATC-Code]"),Tabelle3!$A96)</f>
        <v>0</v>
      </c>
      <c r="BU96">
        <f ca="1">COUNTIFS(INDIRECT("Table1[Beginn]"),"&lt;="&amp;BU$1,INDIRECT("Table1[Ende]"),"&gt;="&amp;BU$1,INDIRECT("Table1[Obergruppe ATC-Code]"),Tabelle3!$A96)</f>
        <v>0</v>
      </c>
      <c r="BV96">
        <f ca="1">COUNTIFS(INDIRECT("Table1[Beginn]"),"&lt;="&amp;BV$1,INDIRECT("Table1[Ende]"),"&gt;="&amp;BV$1,INDIRECT("Table1[Obergruppe ATC-Code]"),Tabelle3!$A96)</f>
        <v>0</v>
      </c>
      <c r="BW96">
        <f ca="1">COUNTIFS(INDIRECT("Table1[Beginn]"),"&lt;="&amp;BW$1,INDIRECT("Table1[Ende]"),"&gt;="&amp;BW$1,INDIRECT("Table1[Obergruppe ATC-Code]"),Tabelle3!$A96)</f>
        <v>0</v>
      </c>
      <c r="BX96">
        <f ca="1">COUNTIFS(INDIRECT("Table1[Beginn]"),"&lt;="&amp;BX$1,INDIRECT("Table1[Ende]"),"&gt;="&amp;BX$1,INDIRECT("Table1[Obergruppe ATC-Code]"),Tabelle3!$A96)</f>
        <v>0</v>
      </c>
      <c r="BY96">
        <f ca="1">COUNTIFS(INDIRECT("Table1[Beginn]"),"&lt;="&amp;BY$1,INDIRECT("Table1[Ende]"),"&gt;="&amp;BY$1,INDIRECT("Table1[Obergruppe ATC-Code]"),Tabelle3!$A96)</f>
        <v>0</v>
      </c>
      <c r="BZ96">
        <f ca="1">COUNTIFS(INDIRECT("Table1[Beginn]"),"&lt;="&amp;BZ$1,INDIRECT("Table1[Ende]"),"&gt;="&amp;BZ$1,INDIRECT("Table1[Obergruppe ATC-Code]"),Tabelle3!$A96)</f>
        <v>0</v>
      </c>
      <c r="CA96">
        <f ca="1">COUNTIFS(INDIRECT("Table1[Beginn]"),"&lt;="&amp;CA$1,INDIRECT("Table1[Ende]"),"&gt;="&amp;CA$1,INDIRECT("Table1[Obergruppe ATC-Code]"),Tabelle3!$A96)</f>
        <v>0</v>
      </c>
      <c r="CB96">
        <f ca="1">COUNTIFS(INDIRECT("Table1[Beginn]"),"&lt;="&amp;CB$1,INDIRECT("Table1[Ende]"),"&gt;="&amp;CB$1,INDIRECT("Table1[Obergruppe ATC-Code]"),Tabelle3!$A96)</f>
        <v>0</v>
      </c>
      <c r="CC96">
        <f ca="1">COUNTIFS(INDIRECT("Table1[Beginn]"),"&lt;="&amp;CC$1,INDIRECT("Table1[Ende]"),"&gt;="&amp;CC$1,INDIRECT("Table1[Obergruppe ATC-Code]"),Tabelle3!$A96)</f>
        <v>0</v>
      </c>
      <c r="CD96">
        <f ca="1">COUNTIFS(INDIRECT("Table1[Beginn]"),"&lt;="&amp;CD$1,INDIRECT("Table1[Ende]"),"&gt;="&amp;CD$1,INDIRECT("Table1[Obergruppe ATC-Code]"),Tabelle3!$A96)</f>
        <v>0</v>
      </c>
      <c r="CE96">
        <f ca="1">COUNTIFS(INDIRECT("Table1[Beginn]"),"&lt;="&amp;CE$1,INDIRECT("Table1[Ende]"),"&gt;="&amp;CE$1,INDIRECT("Table1[Obergruppe ATC-Code]"),Tabelle3!$A96)</f>
        <v>0</v>
      </c>
      <c r="CF96">
        <f ca="1">COUNTIFS(INDIRECT("Table1[Beginn]"),"&lt;="&amp;CF$1,INDIRECT("Table1[Ende]"),"&gt;="&amp;CF$1,INDIRECT("Table1[Obergruppe ATC-Code]"),Tabelle3!$A96)</f>
        <v>0</v>
      </c>
      <c r="CG96">
        <f ca="1">COUNTIFS(INDIRECT("Table1[Beginn]"),"&lt;="&amp;CG$1,INDIRECT("Table1[Ende]"),"&gt;="&amp;CG$1,INDIRECT("Table1[Obergruppe ATC-Code]"),Tabelle3!$A96)</f>
        <v>0</v>
      </c>
      <c r="CH96">
        <f ca="1">COUNTIFS(INDIRECT("Table1[Beginn]"),"&lt;="&amp;CH$1,INDIRECT("Table1[Ende]"),"&gt;="&amp;CH$1,INDIRECT("Table1[Obergruppe ATC-Code]"),Tabelle3!$A96)</f>
        <v>0</v>
      </c>
      <c r="CI96">
        <f ca="1">COUNTIFS(INDIRECT("Table1[Beginn]"),"&lt;="&amp;CI$1,INDIRECT("Table1[Ende]"),"&gt;="&amp;CI$1,INDIRECT("Table1[Obergruppe ATC-Code]"),Tabelle3!$A96)</f>
        <v>0</v>
      </c>
      <c r="CJ96">
        <f ca="1">COUNTIFS(INDIRECT("Table1[Beginn]"),"&lt;="&amp;CJ$1,INDIRECT("Table1[Ende]"),"&gt;="&amp;CJ$1,INDIRECT("Table1[Obergruppe ATC-Code]"),Tabelle3!$A96)</f>
        <v>0</v>
      </c>
      <c r="CK96">
        <f ca="1">COUNTIFS(INDIRECT("Table1[Beginn]"),"&lt;="&amp;CK$1,INDIRECT("Table1[Ende]"),"&gt;="&amp;CK$1,INDIRECT("Table1[Obergruppe ATC-Code]"),Tabelle3!$A96)</f>
        <v>0</v>
      </c>
      <c r="CL96">
        <f ca="1">COUNTIFS(INDIRECT("Table1[Beginn]"),"&lt;="&amp;CL$1,INDIRECT("Table1[Ende]"),"&gt;="&amp;CL$1,INDIRECT("Table1[Obergruppe ATC-Code]"),Tabelle3!$A96)</f>
        <v>0</v>
      </c>
      <c r="CM96">
        <f ca="1">COUNTIFS(INDIRECT("Table1[Beginn]"),"&lt;="&amp;CM$1,INDIRECT("Table1[Ende]"),"&gt;="&amp;CM$1,INDIRECT("Table1[Obergruppe ATC-Code]"),Tabelle3!$A96)</f>
        <v>0</v>
      </c>
      <c r="CN96">
        <f ca="1">COUNTIFS(INDIRECT("Table1[Beginn]"),"&lt;="&amp;CN$1,INDIRECT("Table1[Ende]"),"&gt;="&amp;CN$1,INDIRECT("Table1[Obergruppe ATC-Code]"),Tabelle3!$A96)</f>
        <v>0</v>
      </c>
      <c r="CO96">
        <f ca="1">COUNTIFS(INDIRECT("Table1[Beginn]"),"&lt;="&amp;CO$1,INDIRECT("Table1[Ende]"),"&gt;="&amp;CO$1,INDIRECT("Table1[Obergruppe ATC-Code]"),Tabelle3!$A96)</f>
        <v>0</v>
      </c>
      <c r="CP96">
        <f ca="1">COUNTIFS(INDIRECT("Table1[Beginn]"),"&lt;="&amp;CP$1,INDIRECT("Table1[Ende]"),"&gt;="&amp;CP$1,INDIRECT("Table1[Obergruppe ATC-Code]"),Tabelle3!$A96)</f>
        <v>0</v>
      </c>
      <c r="CQ96">
        <f ca="1">COUNTIFS(INDIRECT("Table1[Beginn]"),"&lt;="&amp;CQ$1,INDIRECT("Table1[Ende]"),"&gt;="&amp;CQ$1,INDIRECT("Table1[Obergruppe ATC-Code]"),Tabelle3!$A96)</f>
        <v>0</v>
      </c>
      <c r="CR96">
        <f ca="1">COUNTIFS(INDIRECT("Table1[Beginn]"),"&lt;="&amp;CR$1,INDIRECT("Table1[Ende]"),"&gt;="&amp;CR$1,INDIRECT("Table1[Obergruppe ATC-Code]"),Tabelle3!$A96)</f>
        <v>0</v>
      </c>
      <c r="CS96">
        <f ca="1">COUNTIFS(INDIRECT("Table1[Beginn]"),"&lt;="&amp;CS$1,INDIRECT("Table1[Ende]"),"&gt;="&amp;CS$1,INDIRECT("Table1[Obergruppe ATC-Code]"),Tabelle3!$A96)</f>
        <v>0</v>
      </c>
      <c r="CT96">
        <f ca="1">COUNTIFS(INDIRECT("Table1[Beginn]"),"&lt;="&amp;CT$1,INDIRECT("Table1[Ende]"),"&gt;="&amp;CT$1,INDIRECT("Table1[Obergruppe ATC-Code]"),Tabelle3!$A96)</f>
        <v>0</v>
      </c>
    </row>
    <row r="97" spans="1:98" ht="18">
      <c r="A97" s="9" t="s">
        <v>6962</v>
      </c>
      <c r="B97" s="10" t="s">
        <v>6963</v>
      </c>
      <c r="C97">
        <f ca="1">COUNTIFS(INDIRECT("Table1[Beginn]"),"&lt;="&amp;C$1,INDIRECT("Table1[Ende]"),"&gt;="&amp;C$1,INDIRECT("Table1[Obergruppe ATC-Code]"),Tabelle3!$A97)</f>
        <v>0</v>
      </c>
      <c r="D97">
        <f ca="1">COUNTIFS(INDIRECT("Table1[Beginn]"),"&lt;="&amp;D$1,INDIRECT("Table1[Ende]"),"&gt;="&amp;D$1,INDIRECT("Table1[Obergruppe ATC-Code]"),Tabelle3!$A97)</f>
        <v>0</v>
      </c>
      <c r="E97">
        <f ca="1">COUNTIFS(INDIRECT("Table1[Beginn]"),"&lt;="&amp;E$1,INDIRECT("Table1[Ende]"),"&gt;="&amp;E$1,INDIRECT("Table1[Obergruppe ATC-Code]"),Tabelle3!$A97)</f>
        <v>0</v>
      </c>
      <c r="F97">
        <f ca="1">COUNTIFS(INDIRECT("Table1[Beginn]"),"&lt;="&amp;F$1,INDIRECT("Table1[Ende]"),"&gt;="&amp;F$1,INDIRECT("Table1[Obergruppe ATC-Code]"),Tabelle3!$A97)</f>
        <v>0</v>
      </c>
      <c r="G97">
        <f ca="1">COUNTIFS(INDIRECT("Table1[Beginn]"),"&lt;="&amp;G$1,INDIRECT("Table1[Ende]"),"&gt;="&amp;G$1,INDIRECT("Table1[Obergruppe ATC-Code]"),Tabelle3!$A97)</f>
        <v>0</v>
      </c>
      <c r="H97">
        <f ca="1">COUNTIFS(INDIRECT("Table1[Beginn]"),"&lt;="&amp;H$1,INDIRECT("Table1[Ende]"),"&gt;="&amp;H$1,INDIRECT("Table1[Obergruppe ATC-Code]"),Tabelle3!$A97)</f>
        <v>0</v>
      </c>
      <c r="I97">
        <f ca="1">COUNTIFS(INDIRECT("Table1[Beginn]"),"&lt;="&amp;I$1,INDIRECT("Table1[Ende]"),"&gt;="&amp;I$1,INDIRECT("Table1[Obergruppe ATC-Code]"),Tabelle3!$A97)</f>
        <v>0</v>
      </c>
      <c r="J97">
        <f ca="1">COUNTIFS(INDIRECT("Table1[Beginn]"),"&lt;="&amp;J$1,INDIRECT("Table1[Ende]"),"&gt;="&amp;J$1,INDIRECT("Table1[Obergruppe ATC-Code]"),Tabelle3!$A97)</f>
        <v>0</v>
      </c>
      <c r="K97">
        <f ca="1">COUNTIFS(INDIRECT("Table1[Beginn]"),"&lt;="&amp;K$1,INDIRECT("Table1[Ende]"),"&gt;="&amp;K$1,INDIRECT("Table1[Obergruppe ATC-Code]"),Tabelle3!$A97)</f>
        <v>0</v>
      </c>
      <c r="L97">
        <f ca="1">COUNTIFS(INDIRECT("Table1[Beginn]"),"&lt;="&amp;L$1,INDIRECT("Table1[Ende]"),"&gt;="&amp;L$1,INDIRECT("Table1[Obergruppe ATC-Code]"),Tabelle3!$A97)</f>
        <v>0</v>
      </c>
      <c r="M97">
        <f ca="1">COUNTIFS(INDIRECT("Table1[Beginn]"),"&lt;="&amp;M$1,INDIRECT("Table1[Ende]"),"&gt;="&amp;M$1,INDIRECT("Table1[Obergruppe ATC-Code]"),Tabelle3!$A97)</f>
        <v>0</v>
      </c>
      <c r="N97">
        <f ca="1">COUNTIFS(INDIRECT("Table1[Beginn]"),"&lt;="&amp;N$1,INDIRECT("Table1[Ende]"),"&gt;="&amp;N$1,INDIRECT("Table1[Obergruppe ATC-Code]"),Tabelle3!$A97)</f>
        <v>0</v>
      </c>
      <c r="O97">
        <f ca="1">COUNTIFS(INDIRECT("Table1[Beginn]"),"&lt;="&amp;O$1,INDIRECT("Table1[Ende]"),"&gt;="&amp;O$1,INDIRECT("Table1[Obergruppe ATC-Code]"),Tabelle3!$A97)</f>
        <v>0</v>
      </c>
      <c r="P97">
        <f ca="1">COUNTIFS(INDIRECT("Table1[Beginn]"),"&lt;="&amp;P$1,INDIRECT("Table1[Ende]"),"&gt;="&amp;P$1,INDIRECT("Table1[Obergruppe ATC-Code]"),Tabelle3!$A97)</f>
        <v>0</v>
      </c>
      <c r="Q97">
        <f ca="1">COUNTIFS(INDIRECT("Table1[Beginn]"),"&lt;="&amp;Q$1,INDIRECT("Table1[Ende]"),"&gt;="&amp;Q$1,INDIRECT("Table1[Obergruppe ATC-Code]"),Tabelle3!$A97)</f>
        <v>0</v>
      </c>
      <c r="R97">
        <f ca="1">COUNTIFS(INDIRECT("Table1[Beginn]"),"&lt;="&amp;R$1,INDIRECT("Table1[Ende]"),"&gt;="&amp;R$1,INDIRECT("Table1[Obergruppe ATC-Code]"),Tabelle3!$A97)</f>
        <v>0</v>
      </c>
      <c r="S97">
        <f ca="1">COUNTIFS(INDIRECT("Table1[Beginn]"),"&lt;="&amp;S$1,INDIRECT("Table1[Ende]"),"&gt;="&amp;S$1,INDIRECT("Table1[Obergruppe ATC-Code]"),Tabelle3!$A97)</f>
        <v>0</v>
      </c>
      <c r="T97">
        <f ca="1">COUNTIFS(INDIRECT("Table1[Beginn]"),"&lt;="&amp;T$1,INDIRECT("Table1[Ende]"),"&gt;="&amp;T$1,INDIRECT("Table1[Obergruppe ATC-Code]"),Tabelle3!$A97)</f>
        <v>0</v>
      </c>
      <c r="U97">
        <f ca="1">COUNTIFS(INDIRECT("Table1[Beginn]"),"&lt;="&amp;U$1,INDIRECT("Table1[Ende]"),"&gt;="&amp;U$1,INDIRECT("Table1[Obergruppe ATC-Code]"),Tabelle3!$A97)</f>
        <v>0</v>
      </c>
      <c r="V97">
        <f ca="1">COUNTIFS(INDIRECT("Table1[Beginn]"),"&lt;="&amp;V$1,INDIRECT("Table1[Ende]"),"&gt;="&amp;V$1,INDIRECT("Table1[Obergruppe ATC-Code]"),Tabelle3!$A97)</f>
        <v>0</v>
      </c>
      <c r="W97">
        <f ca="1">COUNTIFS(INDIRECT("Table1[Beginn]"),"&lt;="&amp;W$1,INDIRECT("Table1[Ende]"),"&gt;="&amp;W$1,INDIRECT("Table1[Obergruppe ATC-Code]"),Tabelle3!$A97)</f>
        <v>0</v>
      </c>
      <c r="X97">
        <f ca="1">COUNTIFS(INDIRECT("Table1[Beginn]"),"&lt;="&amp;X$1,INDIRECT("Table1[Ende]"),"&gt;="&amp;X$1,INDIRECT("Table1[Obergruppe ATC-Code]"),Tabelle3!$A97)</f>
        <v>0</v>
      </c>
      <c r="Y97">
        <f ca="1">COUNTIFS(INDIRECT("Table1[Beginn]"),"&lt;="&amp;Y$1,INDIRECT("Table1[Ende]"),"&gt;="&amp;Y$1,INDIRECT("Table1[Obergruppe ATC-Code]"),Tabelle3!$A97)</f>
        <v>0</v>
      </c>
      <c r="Z97">
        <f ca="1">COUNTIFS(INDIRECT("Table1[Beginn]"),"&lt;="&amp;Z$1,INDIRECT("Table1[Ende]"),"&gt;="&amp;Z$1,INDIRECT("Table1[Obergruppe ATC-Code]"),Tabelle3!$A97)</f>
        <v>0</v>
      </c>
      <c r="AA97">
        <f ca="1">COUNTIFS(INDIRECT("Table1[Beginn]"),"&lt;="&amp;AA$1,INDIRECT("Table1[Ende]"),"&gt;="&amp;AA$1,INDIRECT("Table1[Obergruppe ATC-Code]"),Tabelle3!$A97)</f>
        <v>0</v>
      </c>
      <c r="AB97">
        <f ca="1">COUNTIFS(INDIRECT("Table1[Beginn]"),"&lt;="&amp;AB$1,INDIRECT("Table1[Ende]"),"&gt;="&amp;AB$1,INDIRECT("Table1[Obergruppe ATC-Code]"),Tabelle3!$A97)</f>
        <v>0</v>
      </c>
      <c r="AC97">
        <f ca="1">COUNTIFS(INDIRECT("Table1[Beginn]"),"&lt;="&amp;AC$1,INDIRECT("Table1[Ende]"),"&gt;="&amp;AC$1,INDIRECT("Table1[Obergruppe ATC-Code]"),Tabelle3!$A97)</f>
        <v>0</v>
      </c>
      <c r="AD97">
        <f ca="1">COUNTIFS(INDIRECT("Table1[Beginn]"),"&lt;="&amp;AD$1,INDIRECT("Table1[Ende]"),"&gt;="&amp;AD$1,INDIRECT("Table1[Obergruppe ATC-Code]"),Tabelle3!$A97)</f>
        <v>0</v>
      </c>
      <c r="AE97">
        <f ca="1">COUNTIFS(INDIRECT("Table1[Beginn]"),"&lt;="&amp;AE$1,INDIRECT("Table1[Ende]"),"&gt;="&amp;AE$1,INDIRECT("Table1[Obergruppe ATC-Code]"),Tabelle3!$A97)</f>
        <v>0</v>
      </c>
      <c r="AF97">
        <f ca="1">COUNTIFS(INDIRECT("Table1[Beginn]"),"&lt;="&amp;AF$1,INDIRECT("Table1[Ende]"),"&gt;="&amp;AF$1,INDIRECT("Table1[Obergruppe ATC-Code]"),Tabelle3!$A97)</f>
        <v>0</v>
      </c>
      <c r="AG97">
        <f ca="1">COUNTIFS(INDIRECT("Table1[Beginn]"),"&lt;="&amp;AG$1,INDIRECT("Table1[Ende]"),"&gt;="&amp;AG$1,INDIRECT("Table1[Obergruppe ATC-Code]"),Tabelle3!$A97)</f>
        <v>0</v>
      </c>
      <c r="AH97">
        <f ca="1">COUNTIFS(INDIRECT("Table1[Beginn]"),"&lt;="&amp;AH$1,INDIRECT("Table1[Ende]"),"&gt;="&amp;AH$1,INDIRECT("Table1[Obergruppe ATC-Code]"),Tabelle3!$A97)</f>
        <v>0</v>
      </c>
      <c r="AI97">
        <f ca="1">COUNTIFS(INDIRECT("Table1[Beginn]"),"&lt;="&amp;AI$1,INDIRECT("Table1[Ende]"),"&gt;="&amp;AI$1,INDIRECT("Table1[Obergruppe ATC-Code]"),Tabelle3!$A97)</f>
        <v>0</v>
      </c>
      <c r="AJ97">
        <f ca="1">COUNTIFS(INDIRECT("Table1[Beginn]"),"&lt;="&amp;AJ$1,INDIRECT("Table1[Ende]"),"&gt;="&amp;AJ$1,INDIRECT("Table1[Obergruppe ATC-Code]"),Tabelle3!$A97)</f>
        <v>0</v>
      </c>
      <c r="AK97">
        <f ca="1">COUNTIFS(INDIRECT("Table1[Beginn]"),"&lt;="&amp;AK$1,INDIRECT("Table1[Ende]"),"&gt;="&amp;AK$1,INDIRECT("Table1[Obergruppe ATC-Code]"),Tabelle3!$A97)</f>
        <v>0</v>
      </c>
      <c r="AL97">
        <f ca="1">COUNTIFS(INDIRECT("Table1[Beginn]"),"&lt;="&amp;AL$1,INDIRECT("Table1[Ende]"),"&gt;="&amp;AL$1,INDIRECT("Table1[Obergruppe ATC-Code]"),Tabelle3!$A97)</f>
        <v>0</v>
      </c>
      <c r="AM97">
        <f ca="1">COUNTIFS(INDIRECT("Table1[Beginn]"),"&lt;="&amp;AM$1,INDIRECT("Table1[Ende]"),"&gt;="&amp;AM$1,INDIRECT("Table1[Obergruppe ATC-Code]"),Tabelle3!$A97)</f>
        <v>0</v>
      </c>
      <c r="AN97">
        <f ca="1">COUNTIFS(INDIRECT("Table1[Beginn]"),"&lt;="&amp;AN$1,INDIRECT("Table1[Ende]"),"&gt;="&amp;AN$1,INDIRECT("Table1[Obergruppe ATC-Code]"),Tabelle3!$A97)</f>
        <v>0</v>
      </c>
      <c r="AO97">
        <f ca="1">COUNTIFS(INDIRECT("Table1[Beginn]"),"&lt;="&amp;AO$1,INDIRECT("Table1[Ende]"),"&gt;="&amp;AO$1,INDIRECT("Table1[Obergruppe ATC-Code]"),Tabelle3!$A97)</f>
        <v>0</v>
      </c>
      <c r="AP97">
        <f ca="1">COUNTIFS(INDIRECT("Table1[Beginn]"),"&lt;="&amp;AP$1,INDIRECT("Table1[Ende]"),"&gt;="&amp;AP$1,INDIRECT("Table1[Obergruppe ATC-Code]"),Tabelle3!$A97)</f>
        <v>0</v>
      </c>
      <c r="AQ97">
        <f ca="1">COUNTIFS(INDIRECT("Table1[Beginn]"),"&lt;="&amp;AQ$1,INDIRECT("Table1[Ende]"),"&gt;="&amp;AQ$1,INDIRECT("Table1[Obergruppe ATC-Code]"),Tabelle3!$A97)</f>
        <v>0</v>
      </c>
      <c r="AR97">
        <f ca="1">COUNTIFS(INDIRECT("Table1[Beginn]"),"&lt;="&amp;AR$1,INDIRECT("Table1[Ende]"),"&gt;="&amp;AR$1,INDIRECT("Table1[Obergruppe ATC-Code]"),Tabelle3!$A97)</f>
        <v>0</v>
      </c>
      <c r="AS97">
        <f ca="1">COUNTIFS(INDIRECT("Table1[Beginn]"),"&lt;="&amp;AS$1,INDIRECT("Table1[Ende]"),"&gt;="&amp;AS$1,INDIRECT("Table1[Obergruppe ATC-Code]"),Tabelle3!$A97)</f>
        <v>0</v>
      </c>
      <c r="AT97">
        <f ca="1">COUNTIFS(INDIRECT("Table1[Beginn]"),"&lt;="&amp;AT$1,INDIRECT("Table1[Ende]"),"&gt;="&amp;AT$1,INDIRECT("Table1[Obergruppe ATC-Code]"),Tabelle3!$A97)</f>
        <v>0</v>
      </c>
      <c r="AU97">
        <f ca="1">COUNTIFS(INDIRECT("Table1[Beginn]"),"&lt;="&amp;AU$1,INDIRECT("Table1[Ende]"),"&gt;="&amp;AU$1,INDIRECT("Table1[Obergruppe ATC-Code]"),Tabelle3!$A97)</f>
        <v>0</v>
      </c>
      <c r="AV97">
        <f ca="1">COUNTIFS(INDIRECT("Table1[Beginn]"),"&lt;="&amp;AV$1,INDIRECT("Table1[Ende]"),"&gt;="&amp;AV$1,INDIRECT("Table1[Obergruppe ATC-Code]"),Tabelle3!$A97)</f>
        <v>0</v>
      </c>
      <c r="AW97">
        <f ca="1">COUNTIFS(INDIRECT("Table1[Beginn]"),"&lt;="&amp;AW$1,INDIRECT("Table1[Ende]"),"&gt;="&amp;AW$1,INDIRECT("Table1[Obergruppe ATC-Code]"),Tabelle3!$A97)</f>
        <v>0</v>
      </c>
      <c r="AX97">
        <f ca="1">COUNTIFS(INDIRECT("Table1[Beginn]"),"&lt;="&amp;AX$1,INDIRECT("Table1[Ende]"),"&gt;="&amp;AX$1,INDIRECT("Table1[Obergruppe ATC-Code]"),Tabelle3!$A97)</f>
        <v>0</v>
      </c>
      <c r="AY97">
        <f ca="1">COUNTIFS(INDIRECT("Table1[Beginn]"),"&lt;="&amp;AY$1,INDIRECT("Table1[Ende]"),"&gt;="&amp;AY$1,INDIRECT("Table1[Obergruppe ATC-Code]"),Tabelle3!$A97)</f>
        <v>0</v>
      </c>
      <c r="AZ97">
        <f ca="1">COUNTIFS(INDIRECT("Table1[Beginn]"),"&lt;="&amp;AZ$1,INDIRECT("Table1[Ende]"),"&gt;="&amp;AZ$1,INDIRECT("Table1[Obergruppe ATC-Code]"),Tabelle3!$A97)</f>
        <v>0</v>
      </c>
      <c r="BA97">
        <f ca="1">COUNTIFS(INDIRECT("Table1[Beginn]"),"&lt;="&amp;BA$1,INDIRECT("Table1[Ende]"),"&gt;="&amp;BA$1,INDIRECT("Table1[Obergruppe ATC-Code]"),Tabelle3!$A97)</f>
        <v>0</v>
      </c>
      <c r="BB97">
        <f ca="1">COUNTIFS(INDIRECT("Table1[Beginn]"),"&lt;="&amp;BB$1,INDIRECT("Table1[Ende]"),"&gt;="&amp;BB$1,INDIRECT("Table1[Obergruppe ATC-Code]"),Tabelle3!$A97)</f>
        <v>0</v>
      </c>
      <c r="BC97">
        <f ca="1">COUNTIFS(INDIRECT("Table1[Beginn]"),"&lt;="&amp;BC$1,INDIRECT("Table1[Ende]"),"&gt;="&amp;BC$1,INDIRECT("Table1[Obergruppe ATC-Code]"),Tabelle3!$A97)</f>
        <v>0</v>
      </c>
      <c r="BD97">
        <f ca="1">COUNTIFS(INDIRECT("Table1[Beginn]"),"&lt;="&amp;BD$1,INDIRECT("Table1[Ende]"),"&gt;="&amp;BD$1,INDIRECT("Table1[Obergruppe ATC-Code]"),Tabelle3!$A97)</f>
        <v>0</v>
      </c>
      <c r="BE97">
        <f ca="1">COUNTIFS(INDIRECT("Table1[Beginn]"),"&lt;="&amp;BE$1,INDIRECT("Table1[Ende]"),"&gt;="&amp;BE$1,INDIRECT("Table1[Obergruppe ATC-Code]"),Tabelle3!$A97)</f>
        <v>0</v>
      </c>
      <c r="BF97">
        <f ca="1">COUNTIFS(INDIRECT("Table1[Beginn]"),"&lt;="&amp;BF$1,INDIRECT("Table1[Ende]"),"&gt;="&amp;BF$1,INDIRECT("Table1[Obergruppe ATC-Code]"),Tabelle3!$A97)</f>
        <v>0</v>
      </c>
      <c r="BG97">
        <f ca="1">COUNTIFS(INDIRECT("Table1[Beginn]"),"&lt;="&amp;BG$1,INDIRECT("Table1[Ende]"),"&gt;="&amp;BG$1,INDIRECT("Table1[Obergruppe ATC-Code]"),Tabelle3!$A97)</f>
        <v>0</v>
      </c>
      <c r="BH97">
        <f ca="1">COUNTIFS(INDIRECT("Table1[Beginn]"),"&lt;="&amp;BH$1,INDIRECT("Table1[Ende]"),"&gt;="&amp;BH$1,INDIRECT("Table1[Obergruppe ATC-Code]"),Tabelle3!$A97)</f>
        <v>0</v>
      </c>
      <c r="BI97">
        <f ca="1">COUNTIFS(INDIRECT("Table1[Beginn]"),"&lt;="&amp;BI$1,INDIRECT("Table1[Ende]"),"&gt;="&amp;BI$1,INDIRECT("Table1[Obergruppe ATC-Code]"),Tabelle3!$A97)</f>
        <v>0</v>
      </c>
      <c r="BJ97">
        <f ca="1">COUNTIFS(INDIRECT("Table1[Beginn]"),"&lt;="&amp;BJ$1,INDIRECT("Table1[Ende]"),"&gt;="&amp;BJ$1,INDIRECT("Table1[Obergruppe ATC-Code]"),Tabelle3!$A97)</f>
        <v>0</v>
      </c>
      <c r="BK97">
        <f ca="1">COUNTIFS(INDIRECT("Table1[Beginn]"),"&lt;="&amp;BK$1,INDIRECT("Table1[Ende]"),"&gt;="&amp;BK$1,INDIRECT("Table1[Obergruppe ATC-Code]"),Tabelle3!$A97)</f>
        <v>0</v>
      </c>
      <c r="BL97">
        <f ca="1">COUNTIFS(INDIRECT("Table1[Beginn]"),"&lt;="&amp;BL$1,INDIRECT("Table1[Ende]"),"&gt;="&amp;BL$1,INDIRECT("Table1[Obergruppe ATC-Code]"),Tabelle3!$A97)</f>
        <v>0</v>
      </c>
      <c r="BM97">
        <f ca="1">COUNTIFS(INDIRECT("Table1[Beginn]"),"&lt;="&amp;BM$1,INDIRECT("Table1[Ende]"),"&gt;="&amp;BM$1,INDIRECT("Table1[Obergruppe ATC-Code]"),Tabelle3!$A97)</f>
        <v>0</v>
      </c>
      <c r="BN97">
        <f ca="1">COUNTIFS(INDIRECT("Table1[Beginn]"),"&lt;="&amp;BN$1,INDIRECT("Table1[Ende]"),"&gt;="&amp;BN$1,INDIRECT("Table1[Obergruppe ATC-Code]"),Tabelle3!$A97)</f>
        <v>0</v>
      </c>
      <c r="BO97">
        <f ca="1">COUNTIFS(INDIRECT("Table1[Beginn]"),"&lt;="&amp;BO$1,INDIRECT("Table1[Ende]"),"&gt;="&amp;BO$1,INDIRECT("Table1[Obergruppe ATC-Code]"),Tabelle3!$A97)</f>
        <v>0</v>
      </c>
      <c r="BP97">
        <f ca="1">COUNTIFS(INDIRECT("Table1[Beginn]"),"&lt;="&amp;BP$1,INDIRECT("Table1[Ende]"),"&gt;="&amp;BP$1,INDIRECT("Table1[Obergruppe ATC-Code]"),Tabelle3!$A97)</f>
        <v>0</v>
      </c>
      <c r="BQ97">
        <f ca="1">COUNTIFS(INDIRECT("Table1[Beginn]"),"&lt;="&amp;BQ$1,INDIRECT("Table1[Ende]"),"&gt;="&amp;BQ$1,INDIRECT("Table1[Obergruppe ATC-Code]"),Tabelle3!$A97)</f>
        <v>0</v>
      </c>
      <c r="BR97">
        <f ca="1">COUNTIFS(INDIRECT("Table1[Beginn]"),"&lt;="&amp;BR$1,INDIRECT("Table1[Ende]"),"&gt;="&amp;BR$1,INDIRECT("Table1[Obergruppe ATC-Code]"),Tabelle3!$A97)</f>
        <v>0</v>
      </c>
      <c r="BS97">
        <f ca="1">COUNTIFS(INDIRECT("Table1[Beginn]"),"&lt;="&amp;BS$1,INDIRECT("Table1[Ende]"),"&gt;="&amp;BS$1,INDIRECT("Table1[Obergruppe ATC-Code]"),Tabelle3!$A97)</f>
        <v>0</v>
      </c>
      <c r="BT97">
        <f ca="1">COUNTIFS(INDIRECT("Table1[Beginn]"),"&lt;="&amp;BT$1,INDIRECT("Table1[Ende]"),"&gt;="&amp;BT$1,INDIRECT("Table1[Obergruppe ATC-Code]"),Tabelle3!$A97)</f>
        <v>0</v>
      </c>
      <c r="BU97">
        <f ca="1">COUNTIFS(INDIRECT("Table1[Beginn]"),"&lt;="&amp;BU$1,INDIRECT("Table1[Ende]"),"&gt;="&amp;BU$1,INDIRECT("Table1[Obergruppe ATC-Code]"),Tabelle3!$A97)</f>
        <v>0</v>
      </c>
      <c r="BV97">
        <f ca="1">COUNTIFS(INDIRECT("Table1[Beginn]"),"&lt;="&amp;BV$1,INDIRECT("Table1[Ende]"),"&gt;="&amp;BV$1,INDIRECT("Table1[Obergruppe ATC-Code]"),Tabelle3!$A97)</f>
        <v>0</v>
      </c>
      <c r="BW97">
        <f ca="1">COUNTIFS(INDIRECT("Table1[Beginn]"),"&lt;="&amp;BW$1,INDIRECT("Table1[Ende]"),"&gt;="&amp;BW$1,INDIRECT("Table1[Obergruppe ATC-Code]"),Tabelle3!$A97)</f>
        <v>0</v>
      </c>
      <c r="BX97">
        <f ca="1">COUNTIFS(INDIRECT("Table1[Beginn]"),"&lt;="&amp;BX$1,INDIRECT("Table1[Ende]"),"&gt;="&amp;BX$1,INDIRECT("Table1[Obergruppe ATC-Code]"),Tabelle3!$A97)</f>
        <v>0</v>
      </c>
      <c r="BY97">
        <f ca="1">COUNTIFS(INDIRECT("Table1[Beginn]"),"&lt;="&amp;BY$1,INDIRECT("Table1[Ende]"),"&gt;="&amp;BY$1,INDIRECT("Table1[Obergruppe ATC-Code]"),Tabelle3!$A97)</f>
        <v>0</v>
      </c>
      <c r="BZ97">
        <f ca="1">COUNTIFS(INDIRECT("Table1[Beginn]"),"&lt;="&amp;BZ$1,INDIRECT("Table1[Ende]"),"&gt;="&amp;BZ$1,INDIRECT("Table1[Obergruppe ATC-Code]"),Tabelle3!$A97)</f>
        <v>0</v>
      </c>
      <c r="CA97">
        <f ca="1">COUNTIFS(INDIRECT("Table1[Beginn]"),"&lt;="&amp;CA$1,INDIRECT("Table1[Ende]"),"&gt;="&amp;CA$1,INDIRECT("Table1[Obergruppe ATC-Code]"),Tabelle3!$A97)</f>
        <v>0</v>
      </c>
      <c r="CB97">
        <f ca="1">COUNTIFS(INDIRECT("Table1[Beginn]"),"&lt;="&amp;CB$1,INDIRECT("Table1[Ende]"),"&gt;="&amp;CB$1,INDIRECT("Table1[Obergruppe ATC-Code]"),Tabelle3!$A97)</f>
        <v>0</v>
      </c>
      <c r="CC97">
        <f ca="1">COUNTIFS(INDIRECT("Table1[Beginn]"),"&lt;="&amp;CC$1,INDIRECT("Table1[Ende]"),"&gt;="&amp;CC$1,INDIRECT("Table1[Obergruppe ATC-Code]"),Tabelle3!$A97)</f>
        <v>0</v>
      </c>
      <c r="CD97">
        <f ca="1">COUNTIFS(INDIRECT("Table1[Beginn]"),"&lt;="&amp;CD$1,INDIRECT("Table1[Ende]"),"&gt;="&amp;CD$1,INDIRECT("Table1[Obergruppe ATC-Code]"),Tabelle3!$A97)</f>
        <v>0</v>
      </c>
      <c r="CE97">
        <f ca="1">COUNTIFS(INDIRECT("Table1[Beginn]"),"&lt;="&amp;CE$1,INDIRECT("Table1[Ende]"),"&gt;="&amp;CE$1,INDIRECT("Table1[Obergruppe ATC-Code]"),Tabelle3!$A97)</f>
        <v>0</v>
      </c>
      <c r="CF97">
        <f ca="1">COUNTIFS(INDIRECT("Table1[Beginn]"),"&lt;="&amp;CF$1,INDIRECT("Table1[Ende]"),"&gt;="&amp;CF$1,INDIRECT("Table1[Obergruppe ATC-Code]"),Tabelle3!$A97)</f>
        <v>0</v>
      </c>
      <c r="CG97">
        <f ca="1">COUNTIFS(INDIRECT("Table1[Beginn]"),"&lt;="&amp;CG$1,INDIRECT("Table1[Ende]"),"&gt;="&amp;CG$1,INDIRECT("Table1[Obergruppe ATC-Code]"),Tabelle3!$A97)</f>
        <v>0</v>
      </c>
      <c r="CH97">
        <f ca="1">COUNTIFS(INDIRECT("Table1[Beginn]"),"&lt;="&amp;CH$1,INDIRECT("Table1[Ende]"),"&gt;="&amp;CH$1,INDIRECT("Table1[Obergruppe ATC-Code]"),Tabelle3!$A97)</f>
        <v>0</v>
      </c>
      <c r="CI97">
        <f ca="1">COUNTIFS(INDIRECT("Table1[Beginn]"),"&lt;="&amp;CI$1,INDIRECT("Table1[Ende]"),"&gt;="&amp;CI$1,INDIRECT("Table1[Obergruppe ATC-Code]"),Tabelle3!$A97)</f>
        <v>0</v>
      </c>
      <c r="CJ97">
        <f ca="1">COUNTIFS(INDIRECT("Table1[Beginn]"),"&lt;="&amp;CJ$1,INDIRECT("Table1[Ende]"),"&gt;="&amp;CJ$1,INDIRECT("Table1[Obergruppe ATC-Code]"),Tabelle3!$A97)</f>
        <v>0</v>
      </c>
      <c r="CK97">
        <f ca="1">COUNTIFS(INDIRECT("Table1[Beginn]"),"&lt;="&amp;CK$1,INDIRECT("Table1[Ende]"),"&gt;="&amp;CK$1,INDIRECT("Table1[Obergruppe ATC-Code]"),Tabelle3!$A97)</f>
        <v>0</v>
      </c>
      <c r="CL97">
        <f ca="1">COUNTIFS(INDIRECT("Table1[Beginn]"),"&lt;="&amp;CL$1,INDIRECT("Table1[Ende]"),"&gt;="&amp;CL$1,INDIRECT("Table1[Obergruppe ATC-Code]"),Tabelle3!$A97)</f>
        <v>0</v>
      </c>
      <c r="CM97">
        <f ca="1">COUNTIFS(INDIRECT("Table1[Beginn]"),"&lt;="&amp;CM$1,INDIRECT("Table1[Ende]"),"&gt;="&amp;CM$1,INDIRECT("Table1[Obergruppe ATC-Code]"),Tabelle3!$A97)</f>
        <v>0</v>
      </c>
      <c r="CN97">
        <f ca="1">COUNTIFS(INDIRECT("Table1[Beginn]"),"&lt;="&amp;CN$1,INDIRECT("Table1[Ende]"),"&gt;="&amp;CN$1,INDIRECT("Table1[Obergruppe ATC-Code]"),Tabelle3!$A97)</f>
        <v>0</v>
      </c>
      <c r="CO97">
        <f ca="1">COUNTIFS(INDIRECT("Table1[Beginn]"),"&lt;="&amp;CO$1,INDIRECT("Table1[Ende]"),"&gt;="&amp;CO$1,INDIRECT("Table1[Obergruppe ATC-Code]"),Tabelle3!$A97)</f>
        <v>0</v>
      </c>
      <c r="CP97">
        <f ca="1">COUNTIFS(INDIRECT("Table1[Beginn]"),"&lt;="&amp;CP$1,INDIRECT("Table1[Ende]"),"&gt;="&amp;CP$1,INDIRECT("Table1[Obergruppe ATC-Code]"),Tabelle3!$A97)</f>
        <v>0</v>
      </c>
      <c r="CQ97">
        <f ca="1">COUNTIFS(INDIRECT("Table1[Beginn]"),"&lt;="&amp;CQ$1,INDIRECT("Table1[Ende]"),"&gt;="&amp;CQ$1,INDIRECT("Table1[Obergruppe ATC-Code]"),Tabelle3!$A97)</f>
        <v>0</v>
      </c>
      <c r="CR97">
        <f ca="1">COUNTIFS(INDIRECT("Table1[Beginn]"),"&lt;="&amp;CR$1,INDIRECT("Table1[Ende]"),"&gt;="&amp;CR$1,INDIRECT("Table1[Obergruppe ATC-Code]"),Tabelle3!$A97)</f>
        <v>0</v>
      </c>
      <c r="CS97">
        <f ca="1">COUNTIFS(INDIRECT("Table1[Beginn]"),"&lt;="&amp;CS$1,INDIRECT("Table1[Ende]"),"&gt;="&amp;CS$1,INDIRECT("Table1[Obergruppe ATC-Code]"),Tabelle3!$A97)</f>
        <v>0</v>
      </c>
      <c r="CT97">
        <f ca="1">COUNTIFS(INDIRECT("Table1[Beginn]"),"&lt;="&amp;CT$1,INDIRECT("Table1[Ende]"),"&gt;="&amp;CT$1,INDIRECT("Table1[Obergruppe ATC-Code]"),Tabelle3!$A97)</f>
        <v>0</v>
      </c>
    </row>
    <row r="98" spans="1:98" ht="18">
      <c r="A98" s="7" t="s">
        <v>6964</v>
      </c>
      <c r="B98" s="8" t="s">
        <v>6965</v>
      </c>
      <c r="C98">
        <f ca="1">COUNTIFS(INDIRECT("Table1[Beginn]"),"&lt;="&amp;C$1,INDIRECT("Table1[Ende]"),"&gt;="&amp;C$1,INDIRECT("Table1[Obergruppe ATC-Code]"),Tabelle3!$A98)</f>
        <v>0</v>
      </c>
      <c r="D98">
        <f ca="1">COUNTIFS(INDIRECT("Table1[Beginn]"),"&lt;="&amp;D$1,INDIRECT("Table1[Ende]"),"&gt;="&amp;D$1,INDIRECT("Table1[Obergruppe ATC-Code]"),Tabelle3!$A98)</f>
        <v>0</v>
      </c>
      <c r="E98">
        <f ca="1">COUNTIFS(INDIRECT("Table1[Beginn]"),"&lt;="&amp;E$1,INDIRECT("Table1[Ende]"),"&gt;="&amp;E$1,INDIRECT("Table1[Obergruppe ATC-Code]"),Tabelle3!$A98)</f>
        <v>0</v>
      </c>
      <c r="F98">
        <f ca="1">COUNTIFS(INDIRECT("Table1[Beginn]"),"&lt;="&amp;F$1,INDIRECT("Table1[Ende]"),"&gt;="&amp;F$1,INDIRECT("Table1[Obergruppe ATC-Code]"),Tabelle3!$A98)</f>
        <v>0</v>
      </c>
      <c r="G98">
        <f ca="1">COUNTIFS(INDIRECT("Table1[Beginn]"),"&lt;="&amp;G$1,INDIRECT("Table1[Ende]"),"&gt;="&amp;G$1,INDIRECT("Table1[Obergruppe ATC-Code]"),Tabelle3!$A98)</f>
        <v>0</v>
      </c>
      <c r="H98">
        <f ca="1">COUNTIFS(INDIRECT("Table1[Beginn]"),"&lt;="&amp;H$1,INDIRECT("Table1[Ende]"),"&gt;="&amp;H$1,INDIRECT("Table1[Obergruppe ATC-Code]"),Tabelle3!$A98)</f>
        <v>0</v>
      </c>
      <c r="I98">
        <f ca="1">COUNTIFS(INDIRECT("Table1[Beginn]"),"&lt;="&amp;I$1,INDIRECT("Table1[Ende]"),"&gt;="&amp;I$1,INDIRECT("Table1[Obergruppe ATC-Code]"),Tabelle3!$A98)</f>
        <v>0</v>
      </c>
      <c r="J98">
        <f ca="1">COUNTIFS(INDIRECT("Table1[Beginn]"),"&lt;="&amp;J$1,INDIRECT("Table1[Ende]"),"&gt;="&amp;J$1,INDIRECT("Table1[Obergruppe ATC-Code]"),Tabelle3!$A98)</f>
        <v>0</v>
      </c>
      <c r="K98">
        <f ca="1">COUNTIFS(INDIRECT("Table1[Beginn]"),"&lt;="&amp;K$1,INDIRECT("Table1[Ende]"),"&gt;="&amp;K$1,INDIRECT("Table1[Obergruppe ATC-Code]"),Tabelle3!$A98)</f>
        <v>0</v>
      </c>
      <c r="L98">
        <f ca="1">COUNTIFS(INDIRECT("Table1[Beginn]"),"&lt;="&amp;L$1,INDIRECT("Table1[Ende]"),"&gt;="&amp;L$1,INDIRECT("Table1[Obergruppe ATC-Code]"),Tabelle3!$A98)</f>
        <v>0</v>
      </c>
      <c r="M98">
        <f ca="1">COUNTIFS(INDIRECT("Table1[Beginn]"),"&lt;="&amp;M$1,INDIRECT("Table1[Ende]"),"&gt;="&amp;M$1,INDIRECT("Table1[Obergruppe ATC-Code]"),Tabelle3!$A98)</f>
        <v>0</v>
      </c>
      <c r="N98">
        <f ca="1">COUNTIFS(INDIRECT("Table1[Beginn]"),"&lt;="&amp;N$1,INDIRECT("Table1[Ende]"),"&gt;="&amp;N$1,INDIRECT("Table1[Obergruppe ATC-Code]"),Tabelle3!$A98)</f>
        <v>0</v>
      </c>
      <c r="O98">
        <f ca="1">COUNTIFS(INDIRECT("Table1[Beginn]"),"&lt;="&amp;O$1,INDIRECT("Table1[Ende]"),"&gt;="&amp;O$1,INDIRECT("Table1[Obergruppe ATC-Code]"),Tabelle3!$A98)</f>
        <v>0</v>
      </c>
      <c r="P98">
        <f ca="1">COUNTIFS(INDIRECT("Table1[Beginn]"),"&lt;="&amp;P$1,INDIRECT("Table1[Ende]"),"&gt;="&amp;P$1,INDIRECT("Table1[Obergruppe ATC-Code]"),Tabelle3!$A98)</f>
        <v>0</v>
      </c>
      <c r="Q98">
        <f ca="1">COUNTIFS(INDIRECT("Table1[Beginn]"),"&lt;="&amp;Q$1,INDIRECT("Table1[Ende]"),"&gt;="&amp;Q$1,INDIRECT("Table1[Obergruppe ATC-Code]"),Tabelle3!$A98)</f>
        <v>0</v>
      </c>
      <c r="R98">
        <f ca="1">COUNTIFS(INDIRECT("Table1[Beginn]"),"&lt;="&amp;R$1,INDIRECT("Table1[Ende]"),"&gt;="&amp;R$1,INDIRECT("Table1[Obergruppe ATC-Code]"),Tabelle3!$A98)</f>
        <v>0</v>
      </c>
      <c r="S98">
        <f ca="1">COUNTIFS(INDIRECT("Table1[Beginn]"),"&lt;="&amp;S$1,INDIRECT("Table1[Ende]"),"&gt;="&amp;S$1,INDIRECT("Table1[Obergruppe ATC-Code]"),Tabelle3!$A98)</f>
        <v>0</v>
      </c>
      <c r="T98">
        <f ca="1">COUNTIFS(INDIRECT("Table1[Beginn]"),"&lt;="&amp;T$1,INDIRECT("Table1[Ende]"),"&gt;="&amp;T$1,INDIRECT("Table1[Obergruppe ATC-Code]"),Tabelle3!$A98)</f>
        <v>0</v>
      </c>
      <c r="U98">
        <f ca="1">COUNTIFS(INDIRECT("Table1[Beginn]"),"&lt;="&amp;U$1,INDIRECT("Table1[Ende]"),"&gt;="&amp;U$1,INDIRECT("Table1[Obergruppe ATC-Code]"),Tabelle3!$A98)</f>
        <v>0</v>
      </c>
      <c r="V98">
        <f ca="1">COUNTIFS(INDIRECT("Table1[Beginn]"),"&lt;="&amp;V$1,INDIRECT("Table1[Ende]"),"&gt;="&amp;V$1,INDIRECT("Table1[Obergruppe ATC-Code]"),Tabelle3!$A98)</f>
        <v>0</v>
      </c>
      <c r="W98">
        <f ca="1">COUNTIFS(INDIRECT("Table1[Beginn]"),"&lt;="&amp;W$1,INDIRECT("Table1[Ende]"),"&gt;="&amp;W$1,INDIRECT("Table1[Obergruppe ATC-Code]"),Tabelle3!$A98)</f>
        <v>0</v>
      </c>
      <c r="X98">
        <f ca="1">COUNTIFS(INDIRECT("Table1[Beginn]"),"&lt;="&amp;X$1,INDIRECT("Table1[Ende]"),"&gt;="&amp;X$1,INDIRECT("Table1[Obergruppe ATC-Code]"),Tabelle3!$A98)</f>
        <v>0</v>
      </c>
      <c r="Y98">
        <f ca="1">COUNTIFS(INDIRECT("Table1[Beginn]"),"&lt;="&amp;Y$1,INDIRECT("Table1[Ende]"),"&gt;="&amp;Y$1,INDIRECT("Table1[Obergruppe ATC-Code]"),Tabelle3!$A98)</f>
        <v>0</v>
      </c>
      <c r="Z98">
        <f ca="1">COUNTIFS(INDIRECT("Table1[Beginn]"),"&lt;="&amp;Z$1,INDIRECT("Table1[Ende]"),"&gt;="&amp;Z$1,INDIRECT("Table1[Obergruppe ATC-Code]"),Tabelle3!$A98)</f>
        <v>0</v>
      </c>
      <c r="AA98">
        <f ca="1">COUNTIFS(INDIRECT("Table1[Beginn]"),"&lt;="&amp;AA$1,INDIRECT("Table1[Ende]"),"&gt;="&amp;AA$1,INDIRECT("Table1[Obergruppe ATC-Code]"),Tabelle3!$A98)</f>
        <v>0</v>
      </c>
      <c r="AB98">
        <f ca="1">COUNTIFS(INDIRECT("Table1[Beginn]"),"&lt;="&amp;AB$1,INDIRECT("Table1[Ende]"),"&gt;="&amp;AB$1,INDIRECT("Table1[Obergruppe ATC-Code]"),Tabelle3!$A98)</f>
        <v>0</v>
      </c>
      <c r="AC98">
        <f ca="1">COUNTIFS(INDIRECT("Table1[Beginn]"),"&lt;="&amp;AC$1,INDIRECT("Table1[Ende]"),"&gt;="&amp;AC$1,INDIRECT("Table1[Obergruppe ATC-Code]"),Tabelle3!$A98)</f>
        <v>0</v>
      </c>
      <c r="AD98">
        <f ca="1">COUNTIFS(INDIRECT("Table1[Beginn]"),"&lt;="&amp;AD$1,INDIRECT("Table1[Ende]"),"&gt;="&amp;AD$1,INDIRECT("Table1[Obergruppe ATC-Code]"),Tabelle3!$A98)</f>
        <v>0</v>
      </c>
      <c r="AE98">
        <f ca="1">COUNTIFS(INDIRECT("Table1[Beginn]"),"&lt;="&amp;AE$1,INDIRECT("Table1[Ende]"),"&gt;="&amp;AE$1,INDIRECT("Table1[Obergruppe ATC-Code]"),Tabelle3!$A98)</f>
        <v>0</v>
      </c>
      <c r="AF98">
        <f ca="1">COUNTIFS(INDIRECT("Table1[Beginn]"),"&lt;="&amp;AF$1,INDIRECT("Table1[Ende]"),"&gt;="&amp;AF$1,INDIRECT("Table1[Obergruppe ATC-Code]"),Tabelle3!$A98)</f>
        <v>0</v>
      </c>
      <c r="AG98">
        <f ca="1">COUNTIFS(INDIRECT("Table1[Beginn]"),"&lt;="&amp;AG$1,INDIRECT("Table1[Ende]"),"&gt;="&amp;AG$1,INDIRECT("Table1[Obergruppe ATC-Code]"),Tabelle3!$A98)</f>
        <v>0</v>
      </c>
      <c r="AH98">
        <f ca="1">COUNTIFS(INDIRECT("Table1[Beginn]"),"&lt;="&amp;AH$1,INDIRECT("Table1[Ende]"),"&gt;="&amp;AH$1,INDIRECT("Table1[Obergruppe ATC-Code]"),Tabelle3!$A98)</f>
        <v>0</v>
      </c>
      <c r="AI98">
        <f ca="1">COUNTIFS(INDIRECT("Table1[Beginn]"),"&lt;="&amp;AI$1,INDIRECT("Table1[Ende]"),"&gt;="&amp;AI$1,INDIRECT("Table1[Obergruppe ATC-Code]"),Tabelle3!$A98)</f>
        <v>0</v>
      </c>
      <c r="AJ98">
        <f ca="1">COUNTIFS(INDIRECT("Table1[Beginn]"),"&lt;="&amp;AJ$1,INDIRECT("Table1[Ende]"),"&gt;="&amp;AJ$1,INDIRECT("Table1[Obergruppe ATC-Code]"),Tabelle3!$A98)</f>
        <v>0</v>
      </c>
      <c r="AK98">
        <f ca="1">COUNTIFS(INDIRECT("Table1[Beginn]"),"&lt;="&amp;AK$1,INDIRECT("Table1[Ende]"),"&gt;="&amp;AK$1,INDIRECT("Table1[Obergruppe ATC-Code]"),Tabelle3!$A98)</f>
        <v>0</v>
      </c>
      <c r="AL98">
        <f ca="1">COUNTIFS(INDIRECT("Table1[Beginn]"),"&lt;="&amp;AL$1,INDIRECT("Table1[Ende]"),"&gt;="&amp;AL$1,INDIRECT("Table1[Obergruppe ATC-Code]"),Tabelle3!$A98)</f>
        <v>0</v>
      </c>
      <c r="AM98">
        <f ca="1">COUNTIFS(INDIRECT("Table1[Beginn]"),"&lt;="&amp;AM$1,INDIRECT("Table1[Ende]"),"&gt;="&amp;AM$1,INDIRECT("Table1[Obergruppe ATC-Code]"),Tabelle3!$A98)</f>
        <v>0</v>
      </c>
      <c r="AN98">
        <f ca="1">COUNTIFS(INDIRECT("Table1[Beginn]"),"&lt;="&amp;AN$1,INDIRECT("Table1[Ende]"),"&gt;="&amp;AN$1,INDIRECT("Table1[Obergruppe ATC-Code]"),Tabelle3!$A98)</f>
        <v>0</v>
      </c>
      <c r="AO98">
        <f ca="1">COUNTIFS(INDIRECT("Table1[Beginn]"),"&lt;="&amp;AO$1,INDIRECT("Table1[Ende]"),"&gt;="&amp;AO$1,INDIRECT("Table1[Obergruppe ATC-Code]"),Tabelle3!$A98)</f>
        <v>0</v>
      </c>
      <c r="AP98">
        <f ca="1">COUNTIFS(INDIRECT("Table1[Beginn]"),"&lt;="&amp;AP$1,INDIRECT("Table1[Ende]"),"&gt;="&amp;AP$1,INDIRECT("Table1[Obergruppe ATC-Code]"),Tabelle3!$A98)</f>
        <v>0</v>
      </c>
      <c r="AQ98">
        <f ca="1">COUNTIFS(INDIRECT("Table1[Beginn]"),"&lt;="&amp;AQ$1,INDIRECT("Table1[Ende]"),"&gt;="&amp;AQ$1,INDIRECT("Table1[Obergruppe ATC-Code]"),Tabelle3!$A98)</f>
        <v>0</v>
      </c>
      <c r="AR98">
        <f ca="1">COUNTIFS(INDIRECT("Table1[Beginn]"),"&lt;="&amp;AR$1,INDIRECT("Table1[Ende]"),"&gt;="&amp;AR$1,INDIRECT("Table1[Obergruppe ATC-Code]"),Tabelle3!$A98)</f>
        <v>0</v>
      </c>
      <c r="AS98">
        <f ca="1">COUNTIFS(INDIRECT("Table1[Beginn]"),"&lt;="&amp;AS$1,INDIRECT("Table1[Ende]"),"&gt;="&amp;AS$1,INDIRECT("Table1[Obergruppe ATC-Code]"),Tabelle3!$A98)</f>
        <v>0</v>
      </c>
      <c r="AT98">
        <f ca="1">COUNTIFS(INDIRECT("Table1[Beginn]"),"&lt;="&amp;AT$1,INDIRECT("Table1[Ende]"),"&gt;="&amp;AT$1,INDIRECT("Table1[Obergruppe ATC-Code]"),Tabelle3!$A98)</f>
        <v>0</v>
      </c>
      <c r="AU98">
        <f ca="1">COUNTIFS(INDIRECT("Table1[Beginn]"),"&lt;="&amp;AU$1,INDIRECT("Table1[Ende]"),"&gt;="&amp;AU$1,INDIRECT("Table1[Obergruppe ATC-Code]"),Tabelle3!$A98)</f>
        <v>0</v>
      </c>
      <c r="AV98">
        <f ca="1">COUNTIFS(INDIRECT("Table1[Beginn]"),"&lt;="&amp;AV$1,INDIRECT("Table1[Ende]"),"&gt;="&amp;AV$1,INDIRECT("Table1[Obergruppe ATC-Code]"),Tabelle3!$A98)</f>
        <v>0</v>
      </c>
      <c r="AW98">
        <f ca="1">COUNTIFS(INDIRECT("Table1[Beginn]"),"&lt;="&amp;AW$1,INDIRECT("Table1[Ende]"),"&gt;="&amp;AW$1,INDIRECT("Table1[Obergruppe ATC-Code]"),Tabelle3!$A98)</f>
        <v>0</v>
      </c>
      <c r="AX98">
        <f ca="1">COUNTIFS(INDIRECT("Table1[Beginn]"),"&lt;="&amp;AX$1,INDIRECT("Table1[Ende]"),"&gt;="&amp;AX$1,INDIRECT("Table1[Obergruppe ATC-Code]"),Tabelle3!$A98)</f>
        <v>0</v>
      </c>
      <c r="AY98">
        <f ca="1">COUNTIFS(INDIRECT("Table1[Beginn]"),"&lt;="&amp;AY$1,INDIRECT("Table1[Ende]"),"&gt;="&amp;AY$1,INDIRECT("Table1[Obergruppe ATC-Code]"),Tabelle3!$A98)</f>
        <v>0</v>
      </c>
      <c r="AZ98">
        <f ca="1">COUNTIFS(INDIRECT("Table1[Beginn]"),"&lt;="&amp;AZ$1,INDIRECT("Table1[Ende]"),"&gt;="&amp;AZ$1,INDIRECT("Table1[Obergruppe ATC-Code]"),Tabelle3!$A98)</f>
        <v>0</v>
      </c>
      <c r="BA98">
        <f ca="1">COUNTIFS(INDIRECT("Table1[Beginn]"),"&lt;="&amp;BA$1,INDIRECT("Table1[Ende]"),"&gt;="&amp;BA$1,INDIRECT("Table1[Obergruppe ATC-Code]"),Tabelle3!$A98)</f>
        <v>0</v>
      </c>
      <c r="BB98">
        <f ca="1">COUNTIFS(INDIRECT("Table1[Beginn]"),"&lt;="&amp;BB$1,INDIRECT("Table1[Ende]"),"&gt;="&amp;BB$1,INDIRECT("Table1[Obergruppe ATC-Code]"),Tabelle3!$A98)</f>
        <v>0</v>
      </c>
      <c r="BC98">
        <f ca="1">COUNTIFS(INDIRECT("Table1[Beginn]"),"&lt;="&amp;BC$1,INDIRECT("Table1[Ende]"),"&gt;="&amp;BC$1,INDIRECT("Table1[Obergruppe ATC-Code]"),Tabelle3!$A98)</f>
        <v>0</v>
      </c>
      <c r="BD98">
        <f ca="1">COUNTIFS(INDIRECT("Table1[Beginn]"),"&lt;="&amp;BD$1,INDIRECT("Table1[Ende]"),"&gt;="&amp;BD$1,INDIRECT("Table1[Obergruppe ATC-Code]"),Tabelle3!$A98)</f>
        <v>0</v>
      </c>
      <c r="BE98">
        <f ca="1">COUNTIFS(INDIRECT("Table1[Beginn]"),"&lt;="&amp;BE$1,INDIRECT("Table1[Ende]"),"&gt;="&amp;BE$1,INDIRECT("Table1[Obergruppe ATC-Code]"),Tabelle3!$A98)</f>
        <v>0</v>
      </c>
      <c r="BF98">
        <f ca="1">COUNTIFS(INDIRECT("Table1[Beginn]"),"&lt;="&amp;BF$1,INDIRECT("Table1[Ende]"),"&gt;="&amp;BF$1,INDIRECT("Table1[Obergruppe ATC-Code]"),Tabelle3!$A98)</f>
        <v>0</v>
      </c>
      <c r="BG98">
        <f ca="1">COUNTIFS(INDIRECT("Table1[Beginn]"),"&lt;="&amp;BG$1,INDIRECT("Table1[Ende]"),"&gt;="&amp;BG$1,INDIRECT("Table1[Obergruppe ATC-Code]"),Tabelle3!$A98)</f>
        <v>0</v>
      </c>
      <c r="BH98">
        <f ca="1">COUNTIFS(INDIRECT("Table1[Beginn]"),"&lt;="&amp;BH$1,INDIRECT("Table1[Ende]"),"&gt;="&amp;BH$1,INDIRECT("Table1[Obergruppe ATC-Code]"),Tabelle3!$A98)</f>
        <v>0</v>
      </c>
      <c r="BI98">
        <f ca="1">COUNTIFS(INDIRECT("Table1[Beginn]"),"&lt;="&amp;BI$1,INDIRECT("Table1[Ende]"),"&gt;="&amp;BI$1,INDIRECT("Table1[Obergruppe ATC-Code]"),Tabelle3!$A98)</f>
        <v>0</v>
      </c>
      <c r="BJ98">
        <f ca="1">COUNTIFS(INDIRECT("Table1[Beginn]"),"&lt;="&amp;BJ$1,INDIRECT("Table1[Ende]"),"&gt;="&amp;BJ$1,INDIRECT("Table1[Obergruppe ATC-Code]"),Tabelle3!$A98)</f>
        <v>0</v>
      </c>
      <c r="BK98">
        <f ca="1">COUNTIFS(INDIRECT("Table1[Beginn]"),"&lt;="&amp;BK$1,INDIRECT("Table1[Ende]"),"&gt;="&amp;BK$1,INDIRECT("Table1[Obergruppe ATC-Code]"),Tabelle3!$A98)</f>
        <v>0</v>
      </c>
      <c r="BL98">
        <f ca="1">COUNTIFS(INDIRECT("Table1[Beginn]"),"&lt;="&amp;BL$1,INDIRECT("Table1[Ende]"),"&gt;="&amp;BL$1,INDIRECT("Table1[Obergruppe ATC-Code]"),Tabelle3!$A98)</f>
        <v>0</v>
      </c>
      <c r="BM98">
        <f ca="1">COUNTIFS(INDIRECT("Table1[Beginn]"),"&lt;="&amp;BM$1,INDIRECT("Table1[Ende]"),"&gt;="&amp;BM$1,INDIRECT("Table1[Obergruppe ATC-Code]"),Tabelle3!$A98)</f>
        <v>0</v>
      </c>
      <c r="BN98">
        <f ca="1">COUNTIFS(INDIRECT("Table1[Beginn]"),"&lt;="&amp;BN$1,INDIRECT("Table1[Ende]"),"&gt;="&amp;BN$1,INDIRECT("Table1[Obergruppe ATC-Code]"),Tabelle3!$A98)</f>
        <v>0</v>
      </c>
      <c r="BO98">
        <f ca="1">COUNTIFS(INDIRECT("Table1[Beginn]"),"&lt;="&amp;BO$1,INDIRECT("Table1[Ende]"),"&gt;="&amp;BO$1,INDIRECT("Table1[Obergruppe ATC-Code]"),Tabelle3!$A98)</f>
        <v>0</v>
      </c>
      <c r="BP98">
        <f ca="1">COUNTIFS(INDIRECT("Table1[Beginn]"),"&lt;="&amp;BP$1,INDIRECT("Table1[Ende]"),"&gt;="&amp;BP$1,INDIRECT("Table1[Obergruppe ATC-Code]"),Tabelle3!$A98)</f>
        <v>0</v>
      </c>
      <c r="BQ98">
        <f ca="1">COUNTIFS(INDIRECT("Table1[Beginn]"),"&lt;="&amp;BQ$1,INDIRECT("Table1[Ende]"),"&gt;="&amp;BQ$1,INDIRECT("Table1[Obergruppe ATC-Code]"),Tabelle3!$A98)</f>
        <v>0</v>
      </c>
      <c r="BR98">
        <f ca="1">COUNTIFS(INDIRECT("Table1[Beginn]"),"&lt;="&amp;BR$1,INDIRECT("Table1[Ende]"),"&gt;="&amp;BR$1,INDIRECT("Table1[Obergruppe ATC-Code]"),Tabelle3!$A98)</f>
        <v>0</v>
      </c>
      <c r="BS98">
        <f ca="1">COUNTIFS(INDIRECT("Table1[Beginn]"),"&lt;="&amp;BS$1,INDIRECT("Table1[Ende]"),"&gt;="&amp;BS$1,INDIRECT("Table1[Obergruppe ATC-Code]"),Tabelle3!$A98)</f>
        <v>0</v>
      </c>
      <c r="BT98">
        <f ca="1">COUNTIFS(INDIRECT("Table1[Beginn]"),"&lt;="&amp;BT$1,INDIRECT("Table1[Ende]"),"&gt;="&amp;BT$1,INDIRECT("Table1[Obergruppe ATC-Code]"),Tabelle3!$A98)</f>
        <v>0</v>
      </c>
      <c r="BU98">
        <f ca="1">COUNTIFS(INDIRECT("Table1[Beginn]"),"&lt;="&amp;BU$1,INDIRECT("Table1[Ende]"),"&gt;="&amp;BU$1,INDIRECT("Table1[Obergruppe ATC-Code]"),Tabelle3!$A98)</f>
        <v>0</v>
      </c>
      <c r="BV98">
        <f ca="1">COUNTIFS(INDIRECT("Table1[Beginn]"),"&lt;="&amp;BV$1,INDIRECT("Table1[Ende]"),"&gt;="&amp;BV$1,INDIRECT("Table1[Obergruppe ATC-Code]"),Tabelle3!$A98)</f>
        <v>0</v>
      </c>
      <c r="BW98">
        <f ca="1">COUNTIFS(INDIRECT("Table1[Beginn]"),"&lt;="&amp;BW$1,INDIRECT("Table1[Ende]"),"&gt;="&amp;BW$1,INDIRECT("Table1[Obergruppe ATC-Code]"),Tabelle3!$A98)</f>
        <v>0</v>
      </c>
      <c r="BX98">
        <f ca="1">COUNTIFS(INDIRECT("Table1[Beginn]"),"&lt;="&amp;BX$1,INDIRECT("Table1[Ende]"),"&gt;="&amp;BX$1,INDIRECT("Table1[Obergruppe ATC-Code]"),Tabelle3!$A98)</f>
        <v>0</v>
      </c>
      <c r="BY98">
        <f ca="1">COUNTIFS(INDIRECT("Table1[Beginn]"),"&lt;="&amp;BY$1,INDIRECT("Table1[Ende]"),"&gt;="&amp;BY$1,INDIRECT("Table1[Obergruppe ATC-Code]"),Tabelle3!$A98)</f>
        <v>0</v>
      </c>
      <c r="BZ98">
        <f ca="1">COUNTIFS(INDIRECT("Table1[Beginn]"),"&lt;="&amp;BZ$1,INDIRECT("Table1[Ende]"),"&gt;="&amp;BZ$1,INDIRECT("Table1[Obergruppe ATC-Code]"),Tabelle3!$A98)</f>
        <v>0</v>
      </c>
      <c r="CA98">
        <f ca="1">COUNTIFS(INDIRECT("Table1[Beginn]"),"&lt;="&amp;CA$1,INDIRECT("Table1[Ende]"),"&gt;="&amp;CA$1,INDIRECT("Table1[Obergruppe ATC-Code]"),Tabelle3!$A98)</f>
        <v>0</v>
      </c>
      <c r="CB98">
        <f ca="1">COUNTIFS(INDIRECT("Table1[Beginn]"),"&lt;="&amp;CB$1,INDIRECT("Table1[Ende]"),"&gt;="&amp;CB$1,INDIRECT("Table1[Obergruppe ATC-Code]"),Tabelle3!$A98)</f>
        <v>0</v>
      </c>
      <c r="CC98">
        <f ca="1">COUNTIFS(INDIRECT("Table1[Beginn]"),"&lt;="&amp;CC$1,INDIRECT("Table1[Ende]"),"&gt;="&amp;CC$1,INDIRECT("Table1[Obergruppe ATC-Code]"),Tabelle3!$A98)</f>
        <v>0</v>
      </c>
      <c r="CD98">
        <f ca="1">COUNTIFS(INDIRECT("Table1[Beginn]"),"&lt;="&amp;CD$1,INDIRECT("Table1[Ende]"),"&gt;="&amp;CD$1,INDIRECT("Table1[Obergruppe ATC-Code]"),Tabelle3!$A98)</f>
        <v>0</v>
      </c>
      <c r="CE98">
        <f ca="1">COUNTIFS(INDIRECT("Table1[Beginn]"),"&lt;="&amp;CE$1,INDIRECT("Table1[Ende]"),"&gt;="&amp;CE$1,INDIRECT("Table1[Obergruppe ATC-Code]"),Tabelle3!$A98)</f>
        <v>0</v>
      </c>
      <c r="CF98">
        <f ca="1">COUNTIFS(INDIRECT("Table1[Beginn]"),"&lt;="&amp;CF$1,INDIRECT("Table1[Ende]"),"&gt;="&amp;CF$1,INDIRECT("Table1[Obergruppe ATC-Code]"),Tabelle3!$A98)</f>
        <v>0</v>
      </c>
      <c r="CG98">
        <f ca="1">COUNTIFS(INDIRECT("Table1[Beginn]"),"&lt;="&amp;CG$1,INDIRECT("Table1[Ende]"),"&gt;="&amp;CG$1,INDIRECT("Table1[Obergruppe ATC-Code]"),Tabelle3!$A98)</f>
        <v>0</v>
      </c>
      <c r="CH98">
        <f ca="1">COUNTIFS(INDIRECT("Table1[Beginn]"),"&lt;="&amp;CH$1,INDIRECT("Table1[Ende]"),"&gt;="&amp;CH$1,INDIRECT("Table1[Obergruppe ATC-Code]"),Tabelle3!$A98)</f>
        <v>0</v>
      </c>
      <c r="CI98">
        <f ca="1">COUNTIFS(INDIRECT("Table1[Beginn]"),"&lt;="&amp;CI$1,INDIRECT("Table1[Ende]"),"&gt;="&amp;CI$1,INDIRECT("Table1[Obergruppe ATC-Code]"),Tabelle3!$A98)</f>
        <v>0</v>
      </c>
      <c r="CJ98">
        <f ca="1">COUNTIFS(INDIRECT("Table1[Beginn]"),"&lt;="&amp;CJ$1,INDIRECT("Table1[Ende]"),"&gt;="&amp;CJ$1,INDIRECT("Table1[Obergruppe ATC-Code]"),Tabelle3!$A98)</f>
        <v>0</v>
      </c>
      <c r="CK98">
        <f ca="1">COUNTIFS(INDIRECT("Table1[Beginn]"),"&lt;="&amp;CK$1,INDIRECT("Table1[Ende]"),"&gt;="&amp;CK$1,INDIRECT("Table1[Obergruppe ATC-Code]"),Tabelle3!$A98)</f>
        <v>0</v>
      </c>
      <c r="CL98">
        <f ca="1">COUNTIFS(INDIRECT("Table1[Beginn]"),"&lt;="&amp;CL$1,INDIRECT("Table1[Ende]"),"&gt;="&amp;CL$1,INDIRECT("Table1[Obergruppe ATC-Code]"),Tabelle3!$A98)</f>
        <v>0</v>
      </c>
      <c r="CM98">
        <f ca="1">COUNTIFS(INDIRECT("Table1[Beginn]"),"&lt;="&amp;CM$1,INDIRECT("Table1[Ende]"),"&gt;="&amp;CM$1,INDIRECT("Table1[Obergruppe ATC-Code]"),Tabelle3!$A98)</f>
        <v>0</v>
      </c>
      <c r="CN98">
        <f ca="1">COUNTIFS(INDIRECT("Table1[Beginn]"),"&lt;="&amp;CN$1,INDIRECT("Table1[Ende]"),"&gt;="&amp;CN$1,INDIRECT("Table1[Obergruppe ATC-Code]"),Tabelle3!$A98)</f>
        <v>0</v>
      </c>
      <c r="CO98">
        <f ca="1">COUNTIFS(INDIRECT("Table1[Beginn]"),"&lt;="&amp;CO$1,INDIRECT("Table1[Ende]"),"&gt;="&amp;CO$1,INDIRECT("Table1[Obergruppe ATC-Code]"),Tabelle3!$A98)</f>
        <v>0</v>
      </c>
      <c r="CP98">
        <f ca="1">COUNTIFS(INDIRECT("Table1[Beginn]"),"&lt;="&amp;CP$1,INDIRECT("Table1[Ende]"),"&gt;="&amp;CP$1,INDIRECT("Table1[Obergruppe ATC-Code]"),Tabelle3!$A98)</f>
        <v>0</v>
      </c>
      <c r="CQ98">
        <f ca="1">COUNTIFS(INDIRECT("Table1[Beginn]"),"&lt;="&amp;CQ$1,INDIRECT("Table1[Ende]"),"&gt;="&amp;CQ$1,INDIRECT("Table1[Obergruppe ATC-Code]"),Tabelle3!$A98)</f>
        <v>0</v>
      </c>
      <c r="CR98">
        <f ca="1">COUNTIFS(INDIRECT("Table1[Beginn]"),"&lt;="&amp;CR$1,INDIRECT("Table1[Ende]"),"&gt;="&amp;CR$1,INDIRECT("Table1[Obergruppe ATC-Code]"),Tabelle3!$A98)</f>
        <v>0</v>
      </c>
      <c r="CS98">
        <f ca="1">COUNTIFS(INDIRECT("Table1[Beginn]"),"&lt;="&amp;CS$1,INDIRECT("Table1[Ende]"),"&gt;="&amp;CS$1,INDIRECT("Table1[Obergruppe ATC-Code]"),Tabelle3!$A98)</f>
        <v>0</v>
      </c>
      <c r="CT98">
        <f ca="1">COUNTIFS(INDIRECT("Table1[Beginn]"),"&lt;="&amp;CT$1,INDIRECT("Table1[Ende]"),"&gt;="&amp;CT$1,INDIRECT("Table1[Obergruppe ATC-Code]"),Tabelle3!$A98)</f>
        <v>0</v>
      </c>
    </row>
    <row r="99" spans="1:98" ht="18">
      <c r="A99" s="9" t="s">
        <v>6966</v>
      </c>
      <c r="B99" s="10" t="s">
        <v>6967</v>
      </c>
      <c r="C99">
        <f ca="1">COUNTIFS(INDIRECT("Table1[Beginn]"),"&lt;="&amp;C$1,INDIRECT("Table1[Ende]"),"&gt;="&amp;C$1,INDIRECT("Table1[Obergruppe ATC-Code]"),Tabelle3!$A99)</f>
        <v>0</v>
      </c>
      <c r="D99">
        <f ca="1">COUNTIFS(INDIRECT("Table1[Beginn]"),"&lt;="&amp;D$1,INDIRECT("Table1[Ende]"),"&gt;="&amp;D$1,INDIRECT("Table1[Obergruppe ATC-Code]"),Tabelle3!$A99)</f>
        <v>0</v>
      </c>
      <c r="E99">
        <f ca="1">COUNTIFS(INDIRECT("Table1[Beginn]"),"&lt;="&amp;E$1,INDIRECT("Table1[Ende]"),"&gt;="&amp;E$1,INDIRECT("Table1[Obergruppe ATC-Code]"),Tabelle3!$A99)</f>
        <v>0</v>
      </c>
      <c r="F99">
        <f ca="1">COUNTIFS(INDIRECT("Table1[Beginn]"),"&lt;="&amp;F$1,INDIRECT("Table1[Ende]"),"&gt;="&amp;F$1,INDIRECT("Table1[Obergruppe ATC-Code]"),Tabelle3!$A99)</f>
        <v>0</v>
      </c>
      <c r="G99">
        <f ca="1">COUNTIFS(INDIRECT("Table1[Beginn]"),"&lt;="&amp;G$1,INDIRECT("Table1[Ende]"),"&gt;="&amp;G$1,INDIRECT("Table1[Obergruppe ATC-Code]"),Tabelle3!$A99)</f>
        <v>0</v>
      </c>
      <c r="H99">
        <f ca="1">COUNTIFS(INDIRECT("Table1[Beginn]"),"&lt;="&amp;H$1,INDIRECT("Table1[Ende]"),"&gt;="&amp;H$1,INDIRECT("Table1[Obergruppe ATC-Code]"),Tabelle3!$A99)</f>
        <v>0</v>
      </c>
      <c r="I99">
        <f ca="1">COUNTIFS(INDIRECT("Table1[Beginn]"),"&lt;="&amp;I$1,INDIRECT("Table1[Ende]"),"&gt;="&amp;I$1,INDIRECT("Table1[Obergruppe ATC-Code]"),Tabelle3!$A99)</f>
        <v>0</v>
      </c>
      <c r="J99">
        <f ca="1">COUNTIFS(INDIRECT("Table1[Beginn]"),"&lt;="&amp;J$1,INDIRECT("Table1[Ende]"),"&gt;="&amp;J$1,INDIRECT("Table1[Obergruppe ATC-Code]"),Tabelle3!$A99)</f>
        <v>0</v>
      </c>
      <c r="K99">
        <f ca="1">COUNTIFS(INDIRECT("Table1[Beginn]"),"&lt;="&amp;K$1,INDIRECT("Table1[Ende]"),"&gt;="&amp;K$1,INDIRECT("Table1[Obergruppe ATC-Code]"),Tabelle3!$A99)</f>
        <v>0</v>
      </c>
      <c r="L99">
        <f ca="1">COUNTIFS(INDIRECT("Table1[Beginn]"),"&lt;="&amp;L$1,INDIRECT("Table1[Ende]"),"&gt;="&amp;L$1,INDIRECT("Table1[Obergruppe ATC-Code]"),Tabelle3!$A99)</f>
        <v>0</v>
      </c>
      <c r="M99">
        <f ca="1">COUNTIFS(INDIRECT("Table1[Beginn]"),"&lt;="&amp;M$1,INDIRECT("Table1[Ende]"),"&gt;="&amp;M$1,INDIRECT("Table1[Obergruppe ATC-Code]"),Tabelle3!$A99)</f>
        <v>0</v>
      </c>
      <c r="N99">
        <f ca="1">COUNTIFS(INDIRECT("Table1[Beginn]"),"&lt;="&amp;N$1,INDIRECT("Table1[Ende]"),"&gt;="&amp;N$1,INDIRECT("Table1[Obergruppe ATC-Code]"),Tabelle3!$A99)</f>
        <v>0</v>
      </c>
      <c r="O99">
        <f ca="1">COUNTIFS(INDIRECT("Table1[Beginn]"),"&lt;="&amp;O$1,INDIRECT("Table1[Ende]"),"&gt;="&amp;O$1,INDIRECT("Table1[Obergruppe ATC-Code]"),Tabelle3!$A99)</f>
        <v>0</v>
      </c>
      <c r="P99">
        <f ca="1">COUNTIFS(INDIRECT("Table1[Beginn]"),"&lt;="&amp;P$1,INDIRECT("Table1[Ende]"),"&gt;="&amp;P$1,INDIRECT("Table1[Obergruppe ATC-Code]"),Tabelle3!$A99)</f>
        <v>0</v>
      </c>
      <c r="Q99">
        <f ca="1">COUNTIFS(INDIRECT("Table1[Beginn]"),"&lt;="&amp;Q$1,INDIRECT("Table1[Ende]"),"&gt;="&amp;Q$1,INDIRECT("Table1[Obergruppe ATC-Code]"),Tabelle3!$A99)</f>
        <v>0</v>
      </c>
      <c r="R99">
        <f ca="1">COUNTIFS(INDIRECT("Table1[Beginn]"),"&lt;="&amp;R$1,INDIRECT("Table1[Ende]"),"&gt;="&amp;R$1,INDIRECT("Table1[Obergruppe ATC-Code]"),Tabelle3!$A99)</f>
        <v>0</v>
      </c>
      <c r="S99">
        <f ca="1">COUNTIFS(INDIRECT("Table1[Beginn]"),"&lt;="&amp;S$1,INDIRECT("Table1[Ende]"),"&gt;="&amp;S$1,INDIRECT("Table1[Obergruppe ATC-Code]"),Tabelle3!$A99)</f>
        <v>0</v>
      </c>
      <c r="T99">
        <f ca="1">COUNTIFS(INDIRECT("Table1[Beginn]"),"&lt;="&amp;T$1,INDIRECT("Table1[Ende]"),"&gt;="&amp;T$1,INDIRECT("Table1[Obergruppe ATC-Code]"),Tabelle3!$A99)</f>
        <v>0</v>
      </c>
      <c r="U99">
        <f ca="1">COUNTIFS(INDIRECT("Table1[Beginn]"),"&lt;="&amp;U$1,INDIRECT("Table1[Ende]"),"&gt;="&amp;U$1,INDIRECT("Table1[Obergruppe ATC-Code]"),Tabelle3!$A99)</f>
        <v>0</v>
      </c>
      <c r="V99">
        <f ca="1">COUNTIFS(INDIRECT("Table1[Beginn]"),"&lt;="&amp;V$1,INDIRECT("Table1[Ende]"),"&gt;="&amp;V$1,INDIRECT("Table1[Obergruppe ATC-Code]"),Tabelle3!$A99)</f>
        <v>0</v>
      </c>
      <c r="W99">
        <f ca="1">COUNTIFS(INDIRECT("Table1[Beginn]"),"&lt;="&amp;W$1,INDIRECT("Table1[Ende]"),"&gt;="&amp;W$1,INDIRECT("Table1[Obergruppe ATC-Code]"),Tabelle3!$A99)</f>
        <v>0</v>
      </c>
      <c r="X99">
        <f ca="1">COUNTIFS(INDIRECT("Table1[Beginn]"),"&lt;="&amp;X$1,INDIRECT("Table1[Ende]"),"&gt;="&amp;X$1,INDIRECT("Table1[Obergruppe ATC-Code]"),Tabelle3!$A99)</f>
        <v>0</v>
      </c>
      <c r="Y99">
        <f ca="1">COUNTIFS(INDIRECT("Table1[Beginn]"),"&lt;="&amp;Y$1,INDIRECT("Table1[Ende]"),"&gt;="&amp;Y$1,INDIRECT("Table1[Obergruppe ATC-Code]"),Tabelle3!$A99)</f>
        <v>0</v>
      </c>
      <c r="Z99">
        <f ca="1">COUNTIFS(INDIRECT("Table1[Beginn]"),"&lt;="&amp;Z$1,INDIRECT("Table1[Ende]"),"&gt;="&amp;Z$1,INDIRECT("Table1[Obergruppe ATC-Code]"),Tabelle3!$A99)</f>
        <v>0</v>
      </c>
      <c r="AA99">
        <f ca="1">COUNTIFS(INDIRECT("Table1[Beginn]"),"&lt;="&amp;AA$1,INDIRECT("Table1[Ende]"),"&gt;="&amp;AA$1,INDIRECT("Table1[Obergruppe ATC-Code]"),Tabelle3!$A99)</f>
        <v>0</v>
      </c>
      <c r="AB99">
        <f ca="1">COUNTIFS(INDIRECT("Table1[Beginn]"),"&lt;="&amp;AB$1,INDIRECT("Table1[Ende]"),"&gt;="&amp;AB$1,INDIRECT("Table1[Obergruppe ATC-Code]"),Tabelle3!$A99)</f>
        <v>0</v>
      </c>
      <c r="AC99">
        <f ca="1">COUNTIFS(INDIRECT("Table1[Beginn]"),"&lt;="&amp;AC$1,INDIRECT("Table1[Ende]"),"&gt;="&amp;AC$1,INDIRECT("Table1[Obergruppe ATC-Code]"),Tabelle3!$A99)</f>
        <v>0</v>
      </c>
      <c r="AD99">
        <f ca="1">COUNTIFS(INDIRECT("Table1[Beginn]"),"&lt;="&amp;AD$1,INDIRECT("Table1[Ende]"),"&gt;="&amp;AD$1,INDIRECT("Table1[Obergruppe ATC-Code]"),Tabelle3!$A99)</f>
        <v>0</v>
      </c>
      <c r="AE99">
        <f ca="1">COUNTIFS(INDIRECT("Table1[Beginn]"),"&lt;="&amp;AE$1,INDIRECT("Table1[Ende]"),"&gt;="&amp;AE$1,INDIRECT("Table1[Obergruppe ATC-Code]"),Tabelle3!$A99)</f>
        <v>0</v>
      </c>
      <c r="AF99">
        <f ca="1">COUNTIFS(INDIRECT("Table1[Beginn]"),"&lt;="&amp;AF$1,INDIRECT("Table1[Ende]"),"&gt;="&amp;AF$1,INDIRECT("Table1[Obergruppe ATC-Code]"),Tabelle3!$A99)</f>
        <v>0</v>
      </c>
      <c r="AG99">
        <f ca="1">COUNTIFS(INDIRECT("Table1[Beginn]"),"&lt;="&amp;AG$1,INDIRECT("Table1[Ende]"),"&gt;="&amp;AG$1,INDIRECT("Table1[Obergruppe ATC-Code]"),Tabelle3!$A99)</f>
        <v>0</v>
      </c>
      <c r="AH99">
        <f ca="1">COUNTIFS(INDIRECT("Table1[Beginn]"),"&lt;="&amp;AH$1,INDIRECT("Table1[Ende]"),"&gt;="&amp;AH$1,INDIRECT("Table1[Obergruppe ATC-Code]"),Tabelle3!$A99)</f>
        <v>0</v>
      </c>
      <c r="AI99">
        <f ca="1">COUNTIFS(INDIRECT("Table1[Beginn]"),"&lt;="&amp;AI$1,INDIRECT("Table1[Ende]"),"&gt;="&amp;AI$1,INDIRECT("Table1[Obergruppe ATC-Code]"),Tabelle3!$A99)</f>
        <v>0</v>
      </c>
      <c r="AJ99">
        <f ca="1">COUNTIFS(INDIRECT("Table1[Beginn]"),"&lt;="&amp;AJ$1,INDIRECT("Table1[Ende]"),"&gt;="&amp;AJ$1,INDIRECT("Table1[Obergruppe ATC-Code]"),Tabelle3!$A99)</f>
        <v>0</v>
      </c>
      <c r="AK99">
        <f ca="1">COUNTIFS(INDIRECT("Table1[Beginn]"),"&lt;="&amp;AK$1,INDIRECT("Table1[Ende]"),"&gt;="&amp;AK$1,INDIRECT("Table1[Obergruppe ATC-Code]"),Tabelle3!$A99)</f>
        <v>0</v>
      </c>
      <c r="AL99">
        <f ca="1">COUNTIFS(INDIRECT("Table1[Beginn]"),"&lt;="&amp;AL$1,INDIRECT("Table1[Ende]"),"&gt;="&amp;AL$1,INDIRECT("Table1[Obergruppe ATC-Code]"),Tabelle3!$A99)</f>
        <v>0</v>
      </c>
      <c r="AM99">
        <f ca="1">COUNTIFS(INDIRECT("Table1[Beginn]"),"&lt;="&amp;AM$1,INDIRECT("Table1[Ende]"),"&gt;="&amp;AM$1,INDIRECT("Table1[Obergruppe ATC-Code]"),Tabelle3!$A99)</f>
        <v>0</v>
      </c>
      <c r="AN99">
        <f ca="1">COUNTIFS(INDIRECT("Table1[Beginn]"),"&lt;="&amp;AN$1,INDIRECT("Table1[Ende]"),"&gt;="&amp;AN$1,INDIRECT("Table1[Obergruppe ATC-Code]"),Tabelle3!$A99)</f>
        <v>0</v>
      </c>
      <c r="AO99">
        <f ca="1">COUNTIFS(INDIRECT("Table1[Beginn]"),"&lt;="&amp;AO$1,INDIRECT("Table1[Ende]"),"&gt;="&amp;AO$1,INDIRECT("Table1[Obergruppe ATC-Code]"),Tabelle3!$A99)</f>
        <v>0</v>
      </c>
      <c r="AP99">
        <f ca="1">COUNTIFS(INDIRECT("Table1[Beginn]"),"&lt;="&amp;AP$1,INDIRECT("Table1[Ende]"),"&gt;="&amp;AP$1,INDIRECT("Table1[Obergruppe ATC-Code]"),Tabelle3!$A99)</f>
        <v>0</v>
      </c>
      <c r="AQ99">
        <f ca="1">COUNTIFS(INDIRECT("Table1[Beginn]"),"&lt;="&amp;AQ$1,INDIRECT("Table1[Ende]"),"&gt;="&amp;AQ$1,INDIRECT("Table1[Obergruppe ATC-Code]"),Tabelle3!$A99)</f>
        <v>0</v>
      </c>
      <c r="AR99">
        <f ca="1">COUNTIFS(INDIRECT("Table1[Beginn]"),"&lt;="&amp;AR$1,INDIRECT("Table1[Ende]"),"&gt;="&amp;AR$1,INDIRECT("Table1[Obergruppe ATC-Code]"),Tabelle3!$A99)</f>
        <v>0</v>
      </c>
      <c r="AS99">
        <f ca="1">COUNTIFS(INDIRECT("Table1[Beginn]"),"&lt;="&amp;AS$1,INDIRECT("Table1[Ende]"),"&gt;="&amp;AS$1,INDIRECT("Table1[Obergruppe ATC-Code]"),Tabelle3!$A99)</f>
        <v>0</v>
      </c>
      <c r="AT99">
        <f ca="1">COUNTIFS(INDIRECT("Table1[Beginn]"),"&lt;="&amp;AT$1,INDIRECT("Table1[Ende]"),"&gt;="&amp;AT$1,INDIRECT("Table1[Obergruppe ATC-Code]"),Tabelle3!$A99)</f>
        <v>0</v>
      </c>
      <c r="AU99">
        <f ca="1">COUNTIFS(INDIRECT("Table1[Beginn]"),"&lt;="&amp;AU$1,INDIRECT("Table1[Ende]"),"&gt;="&amp;AU$1,INDIRECT("Table1[Obergruppe ATC-Code]"),Tabelle3!$A99)</f>
        <v>0</v>
      </c>
      <c r="AV99">
        <f ca="1">COUNTIFS(INDIRECT("Table1[Beginn]"),"&lt;="&amp;AV$1,INDIRECT("Table1[Ende]"),"&gt;="&amp;AV$1,INDIRECT("Table1[Obergruppe ATC-Code]"),Tabelle3!$A99)</f>
        <v>0</v>
      </c>
      <c r="AW99">
        <f ca="1">COUNTIFS(INDIRECT("Table1[Beginn]"),"&lt;="&amp;AW$1,INDIRECT("Table1[Ende]"),"&gt;="&amp;AW$1,INDIRECT("Table1[Obergruppe ATC-Code]"),Tabelle3!$A99)</f>
        <v>0</v>
      </c>
      <c r="AX99">
        <f ca="1">COUNTIFS(INDIRECT("Table1[Beginn]"),"&lt;="&amp;AX$1,INDIRECT("Table1[Ende]"),"&gt;="&amp;AX$1,INDIRECT("Table1[Obergruppe ATC-Code]"),Tabelle3!$A99)</f>
        <v>0</v>
      </c>
      <c r="AY99">
        <f ca="1">COUNTIFS(INDIRECT("Table1[Beginn]"),"&lt;="&amp;AY$1,INDIRECT("Table1[Ende]"),"&gt;="&amp;AY$1,INDIRECT("Table1[Obergruppe ATC-Code]"),Tabelle3!$A99)</f>
        <v>0</v>
      </c>
      <c r="AZ99">
        <f ca="1">COUNTIFS(INDIRECT("Table1[Beginn]"),"&lt;="&amp;AZ$1,INDIRECT("Table1[Ende]"),"&gt;="&amp;AZ$1,INDIRECT("Table1[Obergruppe ATC-Code]"),Tabelle3!$A99)</f>
        <v>0</v>
      </c>
      <c r="BA99">
        <f ca="1">COUNTIFS(INDIRECT("Table1[Beginn]"),"&lt;="&amp;BA$1,INDIRECT("Table1[Ende]"),"&gt;="&amp;BA$1,INDIRECT("Table1[Obergruppe ATC-Code]"),Tabelle3!$A99)</f>
        <v>0</v>
      </c>
      <c r="BB99">
        <f ca="1">COUNTIFS(INDIRECT("Table1[Beginn]"),"&lt;="&amp;BB$1,INDIRECT("Table1[Ende]"),"&gt;="&amp;BB$1,INDIRECT("Table1[Obergruppe ATC-Code]"),Tabelle3!$A99)</f>
        <v>0</v>
      </c>
      <c r="BC99">
        <f ca="1">COUNTIFS(INDIRECT("Table1[Beginn]"),"&lt;="&amp;BC$1,INDIRECT("Table1[Ende]"),"&gt;="&amp;BC$1,INDIRECT("Table1[Obergruppe ATC-Code]"),Tabelle3!$A99)</f>
        <v>0</v>
      </c>
      <c r="BD99">
        <f ca="1">COUNTIFS(INDIRECT("Table1[Beginn]"),"&lt;="&amp;BD$1,INDIRECT("Table1[Ende]"),"&gt;="&amp;BD$1,INDIRECT("Table1[Obergruppe ATC-Code]"),Tabelle3!$A99)</f>
        <v>0</v>
      </c>
      <c r="BE99">
        <f ca="1">COUNTIFS(INDIRECT("Table1[Beginn]"),"&lt;="&amp;BE$1,INDIRECT("Table1[Ende]"),"&gt;="&amp;BE$1,INDIRECT("Table1[Obergruppe ATC-Code]"),Tabelle3!$A99)</f>
        <v>0</v>
      </c>
      <c r="BF99">
        <f ca="1">COUNTIFS(INDIRECT("Table1[Beginn]"),"&lt;="&amp;BF$1,INDIRECT("Table1[Ende]"),"&gt;="&amp;BF$1,INDIRECT("Table1[Obergruppe ATC-Code]"),Tabelle3!$A99)</f>
        <v>0</v>
      </c>
      <c r="BG99">
        <f ca="1">COUNTIFS(INDIRECT("Table1[Beginn]"),"&lt;="&amp;BG$1,INDIRECT("Table1[Ende]"),"&gt;="&amp;BG$1,INDIRECT("Table1[Obergruppe ATC-Code]"),Tabelle3!$A99)</f>
        <v>0</v>
      </c>
      <c r="BH99">
        <f ca="1">COUNTIFS(INDIRECT("Table1[Beginn]"),"&lt;="&amp;BH$1,INDIRECT("Table1[Ende]"),"&gt;="&amp;BH$1,INDIRECT("Table1[Obergruppe ATC-Code]"),Tabelle3!$A99)</f>
        <v>0</v>
      </c>
      <c r="BI99">
        <f ca="1">COUNTIFS(INDIRECT("Table1[Beginn]"),"&lt;="&amp;BI$1,INDIRECT("Table1[Ende]"),"&gt;="&amp;BI$1,INDIRECT("Table1[Obergruppe ATC-Code]"),Tabelle3!$A99)</f>
        <v>0</v>
      </c>
      <c r="BJ99">
        <f ca="1">COUNTIFS(INDIRECT("Table1[Beginn]"),"&lt;="&amp;BJ$1,INDIRECT("Table1[Ende]"),"&gt;="&amp;BJ$1,INDIRECT("Table1[Obergruppe ATC-Code]"),Tabelle3!$A99)</f>
        <v>0</v>
      </c>
      <c r="BK99">
        <f ca="1">COUNTIFS(INDIRECT("Table1[Beginn]"),"&lt;="&amp;BK$1,INDIRECT("Table1[Ende]"),"&gt;="&amp;BK$1,INDIRECT("Table1[Obergruppe ATC-Code]"),Tabelle3!$A99)</f>
        <v>0</v>
      </c>
      <c r="BL99">
        <f ca="1">COUNTIFS(INDIRECT("Table1[Beginn]"),"&lt;="&amp;BL$1,INDIRECT("Table1[Ende]"),"&gt;="&amp;BL$1,INDIRECT("Table1[Obergruppe ATC-Code]"),Tabelle3!$A99)</f>
        <v>0</v>
      </c>
      <c r="BM99">
        <f ca="1">COUNTIFS(INDIRECT("Table1[Beginn]"),"&lt;="&amp;BM$1,INDIRECT("Table1[Ende]"),"&gt;="&amp;BM$1,INDIRECT("Table1[Obergruppe ATC-Code]"),Tabelle3!$A99)</f>
        <v>0</v>
      </c>
      <c r="BN99">
        <f ca="1">COUNTIFS(INDIRECT("Table1[Beginn]"),"&lt;="&amp;BN$1,INDIRECT("Table1[Ende]"),"&gt;="&amp;BN$1,INDIRECT("Table1[Obergruppe ATC-Code]"),Tabelle3!$A99)</f>
        <v>0</v>
      </c>
      <c r="BO99">
        <f ca="1">COUNTIFS(INDIRECT("Table1[Beginn]"),"&lt;="&amp;BO$1,INDIRECT("Table1[Ende]"),"&gt;="&amp;BO$1,INDIRECT("Table1[Obergruppe ATC-Code]"),Tabelle3!$A99)</f>
        <v>0</v>
      </c>
      <c r="BP99">
        <f ca="1">COUNTIFS(INDIRECT("Table1[Beginn]"),"&lt;="&amp;BP$1,INDIRECT("Table1[Ende]"),"&gt;="&amp;BP$1,INDIRECT("Table1[Obergruppe ATC-Code]"),Tabelle3!$A99)</f>
        <v>0</v>
      </c>
      <c r="BQ99">
        <f ca="1">COUNTIFS(INDIRECT("Table1[Beginn]"),"&lt;="&amp;BQ$1,INDIRECT("Table1[Ende]"),"&gt;="&amp;BQ$1,INDIRECT("Table1[Obergruppe ATC-Code]"),Tabelle3!$A99)</f>
        <v>0</v>
      </c>
      <c r="BR99">
        <f ca="1">COUNTIFS(INDIRECT("Table1[Beginn]"),"&lt;="&amp;BR$1,INDIRECT("Table1[Ende]"),"&gt;="&amp;BR$1,INDIRECT("Table1[Obergruppe ATC-Code]"),Tabelle3!$A99)</f>
        <v>0</v>
      </c>
      <c r="BS99">
        <f ca="1">COUNTIFS(INDIRECT("Table1[Beginn]"),"&lt;="&amp;BS$1,INDIRECT("Table1[Ende]"),"&gt;="&amp;BS$1,INDIRECT("Table1[Obergruppe ATC-Code]"),Tabelle3!$A99)</f>
        <v>0</v>
      </c>
      <c r="BT99">
        <f ca="1">COUNTIFS(INDIRECT("Table1[Beginn]"),"&lt;="&amp;BT$1,INDIRECT("Table1[Ende]"),"&gt;="&amp;BT$1,INDIRECT("Table1[Obergruppe ATC-Code]"),Tabelle3!$A99)</f>
        <v>0</v>
      </c>
      <c r="BU99">
        <f ca="1">COUNTIFS(INDIRECT("Table1[Beginn]"),"&lt;="&amp;BU$1,INDIRECT("Table1[Ende]"),"&gt;="&amp;BU$1,INDIRECT("Table1[Obergruppe ATC-Code]"),Tabelle3!$A99)</f>
        <v>0</v>
      </c>
      <c r="BV99">
        <f ca="1">COUNTIFS(INDIRECT("Table1[Beginn]"),"&lt;="&amp;BV$1,INDIRECT("Table1[Ende]"),"&gt;="&amp;BV$1,INDIRECT("Table1[Obergruppe ATC-Code]"),Tabelle3!$A99)</f>
        <v>0</v>
      </c>
      <c r="BW99">
        <f ca="1">COUNTIFS(INDIRECT("Table1[Beginn]"),"&lt;="&amp;BW$1,INDIRECT("Table1[Ende]"),"&gt;="&amp;BW$1,INDIRECT("Table1[Obergruppe ATC-Code]"),Tabelle3!$A99)</f>
        <v>0</v>
      </c>
      <c r="BX99">
        <f ca="1">COUNTIFS(INDIRECT("Table1[Beginn]"),"&lt;="&amp;BX$1,INDIRECT("Table1[Ende]"),"&gt;="&amp;BX$1,INDIRECT("Table1[Obergruppe ATC-Code]"),Tabelle3!$A99)</f>
        <v>0</v>
      </c>
      <c r="BY99">
        <f ca="1">COUNTIFS(INDIRECT("Table1[Beginn]"),"&lt;="&amp;BY$1,INDIRECT("Table1[Ende]"),"&gt;="&amp;BY$1,INDIRECT("Table1[Obergruppe ATC-Code]"),Tabelle3!$A99)</f>
        <v>0</v>
      </c>
      <c r="BZ99">
        <f ca="1">COUNTIFS(INDIRECT("Table1[Beginn]"),"&lt;="&amp;BZ$1,INDIRECT("Table1[Ende]"),"&gt;="&amp;BZ$1,INDIRECT("Table1[Obergruppe ATC-Code]"),Tabelle3!$A99)</f>
        <v>0</v>
      </c>
      <c r="CA99">
        <f ca="1">COUNTIFS(INDIRECT("Table1[Beginn]"),"&lt;="&amp;CA$1,INDIRECT("Table1[Ende]"),"&gt;="&amp;CA$1,INDIRECT("Table1[Obergruppe ATC-Code]"),Tabelle3!$A99)</f>
        <v>0</v>
      </c>
      <c r="CB99">
        <f ca="1">COUNTIFS(INDIRECT("Table1[Beginn]"),"&lt;="&amp;CB$1,INDIRECT("Table1[Ende]"),"&gt;="&amp;CB$1,INDIRECT("Table1[Obergruppe ATC-Code]"),Tabelle3!$A99)</f>
        <v>0</v>
      </c>
      <c r="CC99">
        <f ca="1">COUNTIFS(INDIRECT("Table1[Beginn]"),"&lt;="&amp;CC$1,INDIRECT("Table1[Ende]"),"&gt;="&amp;CC$1,INDIRECT("Table1[Obergruppe ATC-Code]"),Tabelle3!$A99)</f>
        <v>0</v>
      </c>
      <c r="CD99">
        <f ca="1">COUNTIFS(INDIRECT("Table1[Beginn]"),"&lt;="&amp;CD$1,INDIRECT("Table1[Ende]"),"&gt;="&amp;CD$1,INDIRECT("Table1[Obergruppe ATC-Code]"),Tabelle3!$A99)</f>
        <v>0</v>
      </c>
      <c r="CE99">
        <f ca="1">COUNTIFS(INDIRECT("Table1[Beginn]"),"&lt;="&amp;CE$1,INDIRECT("Table1[Ende]"),"&gt;="&amp;CE$1,INDIRECT("Table1[Obergruppe ATC-Code]"),Tabelle3!$A99)</f>
        <v>0</v>
      </c>
      <c r="CF99">
        <f ca="1">COUNTIFS(INDIRECT("Table1[Beginn]"),"&lt;="&amp;CF$1,INDIRECT("Table1[Ende]"),"&gt;="&amp;CF$1,INDIRECT("Table1[Obergruppe ATC-Code]"),Tabelle3!$A99)</f>
        <v>0</v>
      </c>
      <c r="CG99">
        <f ca="1">COUNTIFS(INDIRECT("Table1[Beginn]"),"&lt;="&amp;CG$1,INDIRECT("Table1[Ende]"),"&gt;="&amp;CG$1,INDIRECT("Table1[Obergruppe ATC-Code]"),Tabelle3!$A99)</f>
        <v>0</v>
      </c>
      <c r="CH99">
        <f ca="1">COUNTIFS(INDIRECT("Table1[Beginn]"),"&lt;="&amp;CH$1,INDIRECT("Table1[Ende]"),"&gt;="&amp;CH$1,INDIRECT("Table1[Obergruppe ATC-Code]"),Tabelle3!$A99)</f>
        <v>0</v>
      </c>
      <c r="CI99">
        <f ca="1">COUNTIFS(INDIRECT("Table1[Beginn]"),"&lt;="&amp;CI$1,INDIRECT("Table1[Ende]"),"&gt;="&amp;CI$1,INDIRECT("Table1[Obergruppe ATC-Code]"),Tabelle3!$A99)</f>
        <v>0</v>
      </c>
      <c r="CJ99">
        <f ca="1">COUNTIFS(INDIRECT("Table1[Beginn]"),"&lt;="&amp;CJ$1,INDIRECT("Table1[Ende]"),"&gt;="&amp;CJ$1,INDIRECT("Table1[Obergruppe ATC-Code]"),Tabelle3!$A99)</f>
        <v>0</v>
      </c>
      <c r="CK99">
        <f ca="1">COUNTIFS(INDIRECT("Table1[Beginn]"),"&lt;="&amp;CK$1,INDIRECT("Table1[Ende]"),"&gt;="&amp;CK$1,INDIRECT("Table1[Obergruppe ATC-Code]"),Tabelle3!$A99)</f>
        <v>0</v>
      </c>
      <c r="CL99">
        <f ca="1">COUNTIFS(INDIRECT("Table1[Beginn]"),"&lt;="&amp;CL$1,INDIRECT("Table1[Ende]"),"&gt;="&amp;CL$1,INDIRECT("Table1[Obergruppe ATC-Code]"),Tabelle3!$A99)</f>
        <v>0</v>
      </c>
      <c r="CM99">
        <f ca="1">COUNTIFS(INDIRECT("Table1[Beginn]"),"&lt;="&amp;CM$1,INDIRECT("Table1[Ende]"),"&gt;="&amp;CM$1,INDIRECT("Table1[Obergruppe ATC-Code]"),Tabelle3!$A99)</f>
        <v>0</v>
      </c>
      <c r="CN99">
        <f ca="1">COUNTIFS(INDIRECT("Table1[Beginn]"),"&lt;="&amp;CN$1,INDIRECT("Table1[Ende]"),"&gt;="&amp;CN$1,INDIRECT("Table1[Obergruppe ATC-Code]"),Tabelle3!$A99)</f>
        <v>0</v>
      </c>
      <c r="CO99">
        <f ca="1">COUNTIFS(INDIRECT("Table1[Beginn]"),"&lt;="&amp;CO$1,INDIRECT("Table1[Ende]"),"&gt;="&amp;CO$1,INDIRECT("Table1[Obergruppe ATC-Code]"),Tabelle3!$A99)</f>
        <v>0</v>
      </c>
      <c r="CP99">
        <f ca="1">COUNTIFS(INDIRECT("Table1[Beginn]"),"&lt;="&amp;CP$1,INDIRECT("Table1[Ende]"),"&gt;="&amp;CP$1,INDIRECT("Table1[Obergruppe ATC-Code]"),Tabelle3!$A99)</f>
        <v>0</v>
      </c>
      <c r="CQ99">
        <f ca="1">COUNTIFS(INDIRECT("Table1[Beginn]"),"&lt;="&amp;CQ$1,INDIRECT("Table1[Ende]"),"&gt;="&amp;CQ$1,INDIRECT("Table1[Obergruppe ATC-Code]"),Tabelle3!$A99)</f>
        <v>0</v>
      </c>
      <c r="CR99">
        <f ca="1">COUNTIFS(INDIRECT("Table1[Beginn]"),"&lt;="&amp;CR$1,INDIRECT("Table1[Ende]"),"&gt;="&amp;CR$1,INDIRECT("Table1[Obergruppe ATC-Code]"),Tabelle3!$A99)</f>
        <v>0</v>
      </c>
      <c r="CS99">
        <f ca="1">COUNTIFS(INDIRECT("Table1[Beginn]"),"&lt;="&amp;CS$1,INDIRECT("Table1[Ende]"),"&gt;="&amp;CS$1,INDIRECT("Table1[Obergruppe ATC-Code]"),Tabelle3!$A99)</f>
        <v>0</v>
      </c>
      <c r="CT99">
        <f ca="1">COUNTIFS(INDIRECT("Table1[Beginn]"),"&lt;="&amp;CT$1,INDIRECT("Table1[Ende]"),"&gt;="&amp;CT$1,INDIRECT("Table1[Obergruppe ATC-Code]"),Tabelle3!$A99)</f>
        <v>0</v>
      </c>
    </row>
    <row r="100" spans="1:98" ht="18">
      <c r="A100" s="11" t="s">
        <v>6968</v>
      </c>
      <c r="B100" s="12" t="s">
        <v>6969</v>
      </c>
      <c r="C100">
        <f ca="1">COUNTIFS(INDIRECT("Table1[Beginn]"),"&lt;="&amp;C$1,INDIRECT("Table1[Ende]"),"&gt;="&amp;C$1,INDIRECT("Table1[Obergruppe ATC-Code]"),Tabelle3!$A100)</f>
        <v>0</v>
      </c>
      <c r="D100">
        <f ca="1">COUNTIFS(INDIRECT("Table1[Beginn]"),"&lt;="&amp;D$1,INDIRECT("Table1[Ende]"),"&gt;="&amp;D$1,INDIRECT("Table1[Obergruppe ATC-Code]"),Tabelle3!$A100)</f>
        <v>0</v>
      </c>
      <c r="E100">
        <f ca="1">COUNTIFS(INDIRECT("Table1[Beginn]"),"&lt;="&amp;E$1,INDIRECT("Table1[Ende]"),"&gt;="&amp;E$1,INDIRECT("Table1[Obergruppe ATC-Code]"),Tabelle3!$A100)</f>
        <v>0</v>
      </c>
      <c r="F100">
        <f ca="1">COUNTIFS(INDIRECT("Table1[Beginn]"),"&lt;="&amp;F$1,INDIRECT("Table1[Ende]"),"&gt;="&amp;F$1,INDIRECT("Table1[Obergruppe ATC-Code]"),Tabelle3!$A100)</f>
        <v>0</v>
      </c>
      <c r="G100">
        <f ca="1">COUNTIFS(INDIRECT("Table1[Beginn]"),"&lt;="&amp;G$1,INDIRECT("Table1[Ende]"),"&gt;="&amp;G$1,INDIRECT("Table1[Obergruppe ATC-Code]"),Tabelle3!$A100)</f>
        <v>0</v>
      </c>
      <c r="H100">
        <f ca="1">COUNTIFS(INDIRECT("Table1[Beginn]"),"&lt;="&amp;H$1,INDIRECT("Table1[Ende]"),"&gt;="&amp;H$1,INDIRECT("Table1[Obergruppe ATC-Code]"),Tabelle3!$A100)</f>
        <v>0</v>
      </c>
      <c r="I100">
        <f ca="1">COUNTIFS(INDIRECT("Table1[Beginn]"),"&lt;="&amp;I$1,INDIRECT("Table1[Ende]"),"&gt;="&amp;I$1,INDIRECT("Table1[Obergruppe ATC-Code]"),Tabelle3!$A100)</f>
        <v>0</v>
      </c>
      <c r="J100">
        <f ca="1">COUNTIFS(INDIRECT("Table1[Beginn]"),"&lt;="&amp;J$1,INDIRECT("Table1[Ende]"),"&gt;="&amp;J$1,INDIRECT("Table1[Obergruppe ATC-Code]"),Tabelle3!$A100)</f>
        <v>0</v>
      </c>
      <c r="K100">
        <f ca="1">COUNTIFS(INDIRECT("Table1[Beginn]"),"&lt;="&amp;K$1,INDIRECT("Table1[Ende]"),"&gt;="&amp;K$1,INDIRECT("Table1[Obergruppe ATC-Code]"),Tabelle3!$A100)</f>
        <v>0</v>
      </c>
      <c r="L100">
        <f ca="1">COUNTIFS(INDIRECT("Table1[Beginn]"),"&lt;="&amp;L$1,INDIRECT("Table1[Ende]"),"&gt;="&amp;L$1,INDIRECT("Table1[Obergruppe ATC-Code]"),Tabelle3!$A100)</f>
        <v>0</v>
      </c>
      <c r="M100">
        <f ca="1">COUNTIFS(INDIRECT("Table1[Beginn]"),"&lt;="&amp;M$1,INDIRECT("Table1[Ende]"),"&gt;="&amp;M$1,INDIRECT("Table1[Obergruppe ATC-Code]"),Tabelle3!$A100)</f>
        <v>0</v>
      </c>
      <c r="N100">
        <f ca="1">COUNTIFS(INDIRECT("Table1[Beginn]"),"&lt;="&amp;N$1,INDIRECT("Table1[Ende]"),"&gt;="&amp;N$1,INDIRECT("Table1[Obergruppe ATC-Code]"),Tabelle3!$A100)</f>
        <v>0</v>
      </c>
      <c r="O100">
        <f ca="1">COUNTIFS(INDIRECT("Table1[Beginn]"),"&lt;="&amp;O$1,INDIRECT("Table1[Ende]"),"&gt;="&amp;O$1,INDIRECT("Table1[Obergruppe ATC-Code]"),Tabelle3!$A100)</f>
        <v>0</v>
      </c>
      <c r="P100">
        <f ca="1">COUNTIFS(INDIRECT("Table1[Beginn]"),"&lt;="&amp;P$1,INDIRECT("Table1[Ende]"),"&gt;="&amp;P$1,INDIRECT("Table1[Obergruppe ATC-Code]"),Tabelle3!$A100)</f>
        <v>0</v>
      </c>
      <c r="Q100">
        <f ca="1">COUNTIFS(INDIRECT("Table1[Beginn]"),"&lt;="&amp;Q$1,INDIRECT("Table1[Ende]"),"&gt;="&amp;Q$1,INDIRECT("Table1[Obergruppe ATC-Code]"),Tabelle3!$A100)</f>
        <v>0</v>
      </c>
      <c r="R100">
        <f ca="1">COUNTIFS(INDIRECT("Table1[Beginn]"),"&lt;="&amp;R$1,INDIRECT("Table1[Ende]"),"&gt;="&amp;R$1,INDIRECT("Table1[Obergruppe ATC-Code]"),Tabelle3!$A100)</f>
        <v>0</v>
      </c>
      <c r="S100">
        <f ca="1">COUNTIFS(INDIRECT("Table1[Beginn]"),"&lt;="&amp;S$1,INDIRECT("Table1[Ende]"),"&gt;="&amp;S$1,INDIRECT("Table1[Obergruppe ATC-Code]"),Tabelle3!$A100)</f>
        <v>0</v>
      </c>
      <c r="T100">
        <f ca="1">COUNTIFS(INDIRECT("Table1[Beginn]"),"&lt;="&amp;T$1,INDIRECT("Table1[Ende]"),"&gt;="&amp;T$1,INDIRECT("Table1[Obergruppe ATC-Code]"),Tabelle3!$A100)</f>
        <v>0</v>
      </c>
      <c r="U100">
        <f ca="1">COUNTIFS(INDIRECT("Table1[Beginn]"),"&lt;="&amp;U$1,INDIRECT("Table1[Ende]"),"&gt;="&amp;U$1,INDIRECT("Table1[Obergruppe ATC-Code]"),Tabelle3!$A100)</f>
        <v>0</v>
      </c>
      <c r="V100">
        <f ca="1">COUNTIFS(INDIRECT("Table1[Beginn]"),"&lt;="&amp;V$1,INDIRECT("Table1[Ende]"),"&gt;="&amp;V$1,INDIRECT("Table1[Obergruppe ATC-Code]"),Tabelle3!$A100)</f>
        <v>0</v>
      </c>
      <c r="W100">
        <f ca="1">COUNTIFS(INDIRECT("Table1[Beginn]"),"&lt;="&amp;W$1,INDIRECT("Table1[Ende]"),"&gt;="&amp;W$1,INDIRECT("Table1[Obergruppe ATC-Code]"),Tabelle3!$A100)</f>
        <v>0</v>
      </c>
      <c r="X100">
        <f ca="1">COUNTIFS(INDIRECT("Table1[Beginn]"),"&lt;="&amp;X$1,INDIRECT("Table1[Ende]"),"&gt;="&amp;X$1,INDIRECT("Table1[Obergruppe ATC-Code]"),Tabelle3!$A100)</f>
        <v>0</v>
      </c>
      <c r="Y100">
        <f ca="1">COUNTIFS(INDIRECT("Table1[Beginn]"),"&lt;="&amp;Y$1,INDIRECT("Table1[Ende]"),"&gt;="&amp;Y$1,INDIRECT("Table1[Obergruppe ATC-Code]"),Tabelle3!$A100)</f>
        <v>0</v>
      </c>
      <c r="Z100">
        <f ca="1">COUNTIFS(INDIRECT("Table1[Beginn]"),"&lt;="&amp;Z$1,INDIRECT("Table1[Ende]"),"&gt;="&amp;Z$1,INDIRECT("Table1[Obergruppe ATC-Code]"),Tabelle3!$A100)</f>
        <v>0</v>
      </c>
      <c r="AA100">
        <f ca="1">COUNTIFS(INDIRECT("Table1[Beginn]"),"&lt;="&amp;AA$1,INDIRECT("Table1[Ende]"),"&gt;="&amp;AA$1,INDIRECT("Table1[Obergruppe ATC-Code]"),Tabelle3!$A100)</f>
        <v>0</v>
      </c>
      <c r="AB100">
        <f ca="1">COUNTIFS(INDIRECT("Table1[Beginn]"),"&lt;="&amp;AB$1,INDIRECT("Table1[Ende]"),"&gt;="&amp;AB$1,INDIRECT("Table1[Obergruppe ATC-Code]"),Tabelle3!$A100)</f>
        <v>0</v>
      </c>
      <c r="AC100">
        <f ca="1">COUNTIFS(INDIRECT("Table1[Beginn]"),"&lt;="&amp;AC$1,INDIRECT("Table1[Ende]"),"&gt;="&amp;AC$1,INDIRECT("Table1[Obergruppe ATC-Code]"),Tabelle3!$A100)</f>
        <v>0</v>
      </c>
      <c r="AD100">
        <f ca="1">COUNTIFS(INDIRECT("Table1[Beginn]"),"&lt;="&amp;AD$1,INDIRECT("Table1[Ende]"),"&gt;="&amp;AD$1,INDIRECT("Table1[Obergruppe ATC-Code]"),Tabelle3!$A100)</f>
        <v>0</v>
      </c>
      <c r="AE100">
        <f ca="1">COUNTIFS(INDIRECT("Table1[Beginn]"),"&lt;="&amp;AE$1,INDIRECT("Table1[Ende]"),"&gt;="&amp;AE$1,INDIRECT("Table1[Obergruppe ATC-Code]"),Tabelle3!$A100)</f>
        <v>0</v>
      </c>
      <c r="AF100">
        <f ca="1">COUNTIFS(INDIRECT("Table1[Beginn]"),"&lt;="&amp;AF$1,INDIRECT("Table1[Ende]"),"&gt;="&amp;AF$1,INDIRECT("Table1[Obergruppe ATC-Code]"),Tabelle3!$A100)</f>
        <v>0</v>
      </c>
      <c r="AG100">
        <f ca="1">COUNTIFS(INDIRECT("Table1[Beginn]"),"&lt;="&amp;AG$1,INDIRECT("Table1[Ende]"),"&gt;="&amp;AG$1,INDIRECT("Table1[Obergruppe ATC-Code]"),Tabelle3!$A100)</f>
        <v>0</v>
      </c>
      <c r="AH100">
        <f ca="1">COUNTIFS(INDIRECT("Table1[Beginn]"),"&lt;="&amp;AH$1,INDIRECT("Table1[Ende]"),"&gt;="&amp;AH$1,INDIRECT("Table1[Obergruppe ATC-Code]"),Tabelle3!$A100)</f>
        <v>0</v>
      </c>
      <c r="AI100">
        <f ca="1">COUNTIFS(INDIRECT("Table1[Beginn]"),"&lt;="&amp;AI$1,INDIRECT("Table1[Ende]"),"&gt;="&amp;AI$1,INDIRECT("Table1[Obergruppe ATC-Code]"),Tabelle3!$A100)</f>
        <v>0</v>
      </c>
      <c r="AJ100">
        <f ca="1">COUNTIFS(INDIRECT("Table1[Beginn]"),"&lt;="&amp;AJ$1,INDIRECT("Table1[Ende]"),"&gt;="&amp;AJ$1,INDIRECT("Table1[Obergruppe ATC-Code]"),Tabelle3!$A100)</f>
        <v>0</v>
      </c>
      <c r="AK100">
        <f ca="1">COUNTIFS(INDIRECT("Table1[Beginn]"),"&lt;="&amp;AK$1,INDIRECT("Table1[Ende]"),"&gt;="&amp;AK$1,INDIRECT("Table1[Obergruppe ATC-Code]"),Tabelle3!$A100)</f>
        <v>0</v>
      </c>
      <c r="AL100">
        <f ca="1">COUNTIFS(INDIRECT("Table1[Beginn]"),"&lt;="&amp;AL$1,INDIRECT("Table1[Ende]"),"&gt;="&amp;AL$1,INDIRECT("Table1[Obergruppe ATC-Code]"),Tabelle3!$A100)</f>
        <v>0</v>
      </c>
      <c r="AM100">
        <f ca="1">COUNTIFS(INDIRECT("Table1[Beginn]"),"&lt;="&amp;AM$1,INDIRECT("Table1[Ende]"),"&gt;="&amp;AM$1,INDIRECT("Table1[Obergruppe ATC-Code]"),Tabelle3!$A100)</f>
        <v>0</v>
      </c>
      <c r="AN100">
        <f ca="1">COUNTIFS(INDIRECT("Table1[Beginn]"),"&lt;="&amp;AN$1,INDIRECT("Table1[Ende]"),"&gt;="&amp;AN$1,INDIRECT("Table1[Obergruppe ATC-Code]"),Tabelle3!$A100)</f>
        <v>0</v>
      </c>
      <c r="AO100">
        <f ca="1">COUNTIFS(INDIRECT("Table1[Beginn]"),"&lt;="&amp;AO$1,INDIRECT("Table1[Ende]"),"&gt;="&amp;AO$1,INDIRECT("Table1[Obergruppe ATC-Code]"),Tabelle3!$A100)</f>
        <v>0</v>
      </c>
      <c r="AP100">
        <f ca="1">COUNTIFS(INDIRECT("Table1[Beginn]"),"&lt;="&amp;AP$1,INDIRECT("Table1[Ende]"),"&gt;="&amp;AP$1,INDIRECT("Table1[Obergruppe ATC-Code]"),Tabelle3!$A100)</f>
        <v>0</v>
      </c>
      <c r="AQ100">
        <f ca="1">COUNTIFS(INDIRECT("Table1[Beginn]"),"&lt;="&amp;AQ$1,INDIRECT("Table1[Ende]"),"&gt;="&amp;AQ$1,INDIRECT("Table1[Obergruppe ATC-Code]"),Tabelle3!$A100)</f>
        <v>0</v>
      </c>
      <c r="AR100">
        <f ca="1">COUNTIFS(INDIRECT("Table1[Beginn]"),"&lt;="&amp;AR$1,INDIRECT("Table1[Ende]"),"&gt;="&amp;AR$1,INDIRECT("Table1[Obergruppe ATC-Code]"),Tabelle3!$A100)</f>
        <v>0</v>
      </c>
      <c r="AS100">
        <f ca="1">COUNTIFS(INDIRECT("Table1[Beginn]"),"&lt;="&amp;AS$1,INDIRECT("Table1[Ende]"),"&gt;="&amp;AS$1,INDIRECT("Table1[Obergruppe ATC-Code]"),Tabelle3!$A100)</f>
        <v>0</v>
      </c>
      <c r="AT100">
        <f ca="1">COUNTIFS(INDIRECT("Table1[Beginn]"),"&lt;="&amp;AT$1,INDIRECT("Table1[Ende]"),"&gt;="&amp;AT$1,INDIRECT("Table1[Obergruppe ATC-Code]"),Tabelle3!$A100)</f>
        <v>0</v>
      </c>
      <c r="AU100">
        <f ca="1">COUNTIFS(INDIRECT("Table1[Beginn]"),"&lt;="&amp;AU$1,INDIRECT("Table1[Ende]"),"&gt;="&amp;AU$1,INDIRECT("Table1[Obergruppe ATC-Code]"),Tabelle3!$A100)</f>
        <v>0</v>
      </c>
      <c r="AV100">
        <f ca="1">COUNTIFS(INDIRECT("Table1[Beginn]"),"&lt;="&amp;AV$1,INDIRECT("Table1[Ende]"),"&gt;="&amp;AV$1,INDIRECT("Table1[Obergruppe ATC-Code]"),Tabelle3!$A100)</f>
        <v>0</v>
      </c>
      <c r="AW100">
        <f ca="1">COUNTIFS(INDIRECT("Table1[Beginn]"),"&lt;="&amp;AW$1,INDIRECT("Table1[Ende]"),"&gt;="&amp;AW$1,INDIRECT("Table1[Obergruppe ATC-Code]"),Tabelle3!$A100)</f>
        <v>0</v>
      </c>
      <c r="AX100">
        <f ca="1">COUNTIFS(INDIRECT("Table1[Beginn]"),"&lt;="&amp;AX$1,INDIRECT("Table1[Ende]"),"&gt;="&amp;AX$1,INDIRECT("Table1[Obergruppe ATC-Code]"),Tabelle3!$A100)</f>
        <v>0</v>
      </c>
      <c r="AY100">
        <f ca="1">COUNTIFS(INDIRECT("Table1[Beginn]"),"&lt;="&amp;AY$1,INDIRECT("Table1[Ende]"),"&gt;="&amp;AY$1,INDIRECT("Table1[Obergruppe ATC-Code]"),Tabelle3!$A100)</f>
        <v>0</v>
      </c>
      <c r="AZ100">
        <f ca="1">COUNTIFS(INDIRECT("Table1[Beginn]"),"&lt;="&amp;AZ$1,INDIRECT("Table1[Ende]"),"&gt;="&amp;AZ$1,INDIRECT("Table1[Obergruppe ATC-Code]"),Tabelle3!$A100)</f>
        <v>0</v>
      </c>
      <c r="BA100">
        <f ca="1">COUNTIFS(INDIRECT("Table1[Beginn]"),"&lt;="&amp;BA$1,INDIRECT("Table1[Ende]"),"&gt;="&amp;BA$1,INDIRECT("Table1[Obergruppe ATC-Code]"),Tabelle3!$A100)</f>
        <v>0</v>
      </c>
      <c r="BB100">
        <f ca="1">COUNTIFS(INDIRECT("Table1[Beginn]"),"&lt;="&amp;BB$1,INDIRECT("Table1[Ende]"),"&gt;="&amp;BB$1,INDIRECT("Table1[Obergruppe ATC-Code]"),Tabelle3!$A100)</f>
        <v>0</v>
      </c>
      <c r="BC100">
        <f ca="1">COUNTIFS(INDIRECT("Table1[Beginn]"),"&lt;="&amp;BC$1,INDIRECT("Table1[Ende]"),"&gt;="&amp;BC$1,INDIRECT("Table1[Obergruppe ATC-Code]"),Tabelle3!$A100)</f>
        <v>0</v>
      </c>
      <c r="BD100">
        <f ca="1">COUNTIFS(INDIRECT("Table1[Beginn]"),"&lt;="&amp;BD$1,INDIRECT("Table1[Ende]"),"&gt;="&amp;BD$1,INDIRECT("Table1[Obergruppe ATC-Code]"),Tabelle3!$A100)</f>
        <v>0</v>
      </c>
      <c r="BE100">
        <f ca="1">COUNTIFS(INDIRECT("Table1[Beginn]"),"&lt;="&amp;BE$1,INDIRECT("Table1[Ende]"),"&gt;="&amp;BE$1,INDIRECT("Table1[Obergruppe ATC-Code]"),Tabelle3!$A100)</f>
        <v>0</v>
      </c>
      <c r="BF100">
        <f ca="1">COUNTIFS(INDIRECT("Table1[Beginn]"),"&lt;="&amp;BF$1,INDIRECT("Table1[Ende]"),"&gt;="&amp;BF$1,INDIRECT("Table1[Obergruppe ATC-Code]"),Tabelle3!$A100)</f>
        <v>0</v>
      </c>
      <c r="BG100">
        <f ca="1">COUNTIFS(INDIRECT("Table1[Beginn]"),"&lt;="&amp;BG$1,INDIRECT("Table1[Ende]"),"&gt;="&amp;BG$1,INDIRECT("Table1[Obergruppe ATC-Code]"),Tabelle3!$A100)</f>
        <v>0</v>
      </c>
      <c r="BH100">
        <f ca="1">COUNTIFS(INDIRECT("Table1[Beginn]"),"&lt;="&amp;BH$1,INDIRECT("Table1[Ende]"),"&gt;="&amp;BH$1,INDIRECT("Table1[Obergruppe ATC-Code]"),Tabelle3!$A100)</f>
        <v>0</v>
      </c>
      <c r="BI100">
        <f ca="1">COUNTIFS(INDIRECT("Table1[Beginn]"),"&lt;="&amp;BI$1,INDIRECT("Table1[Ende]"),"&gt;="&amp;BI$1,INDIRECT("Table1[Obergruppe ATC-Code]"),Tabelle3!$A100)</f>
        <v>0</v>
      </c>
      <c r="BJ100">
        <f ca="1">COUNTIFS(INDIRECT("Table1[Beginn]"),"&lt;="&amp;BJ$1,INDIRECT("Table1[Ende]"),"&gt;="&amp;BJ$1,INDIRECT("Table1[Obergruppe ATC-Code]"),Tabelle3!$A100)</f>
        <v>0</v>
      </c>
      <c r="BK100">
        <f ca="1">COUNTIFS(INDIRECT("Table1[Beginn]"),"&lt;="&amp;BK$1,INDIRECT("Table1[Ende]"),"&gt;="&amp;BK$1,INDIRECT("Table1[Obergruppe ATC-Code]"),Tabelle3!$A100)</f>
        <v>0</v>
      </c>
      <c r="BL100">
        <f ca="1">COUNTIFS(INDIRECT("Table1[Beginn]"),"&lt;="&amp;BL$1,INDIRECT("Table1[Ende]"),"&gt;="&amp;BL$1,INDIRECT("Table1[Obergruppe ATC-Code]"),Tabelle3!$A100)</f>
        <v>0</v>
      </c>
      <c r="BM100">
        <f ca="1">COUNTIFS(INDIRECT("Table1[Beginn]"),"&lt;="&amp;BM$1,INDIRECT("Table1[Ende]"),"&gt;="&amp;BM$1,INDIRECT("Table1[Obergruppe ATC-Code]"),Tabelle3!$A100)</f>
        <v>0</v>
      </c>
      <c r="BN100">
        <f ca="1">COUNTIFS(INDIRECT("Table1[Beginn]"),"&lt;="&amp;BN$1,INDIRECT("Table1[Ende]"),"&gt;="&amp;BN$1,INDIRECT("Table1[Obergruppe ATC-Code]"),Tabelle3!$A100)</f>
        <v>0</v>
      </c>
      <c r="BO100">
        <f ca="1">COUNTIFS(INDIRECT("Table1[Beginn]"),"&lt;="&amp;BO$1,INDIRECT("Table1[Ende]"),"&gt;="&amp;BO$1,INDIRECT("Table1[Obergruppe ATC-Code]"),Tabelle3!$A100)</f>
        <v>0</v>
      </c>
      <c r="BP100">
        <f ca="1">COUNTIFS(INDIRECT("Table1[Beginn]"),"&lt;="&amp;BP$1,INDIRECT("Table1[Ende]"),"&gt;="&amp;BP$1,INDIRECT("Table1[Obergruppe ATC-Code]"),Tabelle3!$A100)</f>
        <v>0</v>
      </c>
      <c r="BQ100">
        <f ca="1">COUNTIFS(INDIRECT("Table1[Beginn]"),"&lt;="&amp;BQ$1,INDIRECT("Table1[Ende]"),"&gt;="&amp;BQ$1,INDIRECT("Table1[Obergruppe ATC-Code]"),Tabelle3!$A100)</f>
        <v>0</v>
      </c>
      <c r="BR100">
        <f ca="1">COUNTIFS(INDIRECT("Table1[Beginn]"),"&lt;="&amp;BR$1,INDIRECT("Table1[Ende]"),"&gt;="&amp;BR$1,INDIRECT("Table1[Obergruppe ATC-Code]"),Tabelle3!$A100)</f>
        <v>0</v>
      </c>
      <c r="BS100">
        <f ca="1">COUNTIFS(INDIRECT("Table1[Beginn]"),"&lt;="&amp;BS$1,INDIRECT("Table1[Ende]"),"&gt;="&amp;BS$1,INDIRECT("Table1[Obergruppe ATC-Code]"),Tabelle3!$A100)</f>
        <v>0</v>
      </c>
      <c r="BT100">
        <f ca="1">COUNTIFS(INDIRECT("Table1[Beginn]"),"&lt;="&amp;BT$1,INDIRECT("Table1[Ende]"),"&gt;="&amp;BT$1,INDIRECT("Table1[Obergruppe ATC-Code]"),Tabelle3!$A100)</f>
        <v>0</v>
      </c>
      <c r="BU100">
        <f ca="1">COUNTIFS(INDIRECT("Table1[Beginn]"),"&lt;="&amp;BU$1,INDIRECT("Table1[Ende]"),"&gt;="&amp;BU$1,INDIRECT("Table1[Obergruppe ATC-Code]"),Tabelle3!$A100)</f>
        <v>0</v>
      </c>
      <c r="BV100">
        <f ca="1">COUNTIFS(INDIRECT("Table1[Beginn]"),"&lt;="&amp;BV$1,INDIRECT("Table1[Ende]"),"&gt;="&amp;BV$1,INDIRECT("Table1[Obergruppe ATC-Code]"),Tabelle3!$A100)</f>
        <v>0</v>
      </c>
      <c r="BW100">
        <f ca="1">COUNTIFS(INDIRECT("Table1[Beginn]"),"&lt;="&amp;BW$1,INDIRECT("Table1[Ende]"),"&gt;="&amp;BW$1,INDIRECT("Table1[Obergruppe ATC-Code]"),Tabelle3!$A100)</f>
        <v>0</v>
      </c>
      <c r="BX100">
        <f ca="1">COUNTIFS(INDIRECT("Table1[Beginn]"),"&lt;="&amp;BX$1,INDIRECT("Table1[Ende]"),"&gt;="&amp;BX$1,INDIRECT("Table1[Obergruppe ATC-Code]"),Tabelle3!$A100)</f>
        <v>0</v>
      </c>
      <c r="BY100">
        <f ca="1">COUNTIFS(INDIRECT("Table1[Beginn]"),"&lt;="&amp;BY$1,INDIRECT("Table1[Ende]"),"&gt;="&amp;BY$1,INDIRECT("Table1[Obergruppe ATC-Code]"),Tabelle3!$A100)</f>
        <v>0</v>
      </c>
      <c r="BZ100">
        <f ca="1">COUNTIFS(INDIRECT("Table1[Beginn]"),"&lt;="&amp;BZ$1,INDIRECT("Table1[Ende]"),"&gt;="&amp;BZ$1,INDIRECT("Table1[Obergruppe ATC-Code]"),Tabelle3!$A100)</f>
        <v>0</v>
      </c>
      <c r="CA100">
        <f ca="1">COUNTIFS(INDIRECT("Table1[Beginn]"),"&lt;="&amp;CA$1,INDIRECT("Table1[Ende]"),"&gt;="&amp;CA$1,INDIRECT("Table1[Obergruppe ATC-Code]"),Tabelle3!$A100)</f>
        <v>0</v>
      </c>
      <c r="CB100">
        <f ca="1">COUNTIFS(INDIRECT("Table1[Beginn]"),"&lt;="&amp;CB$1,INDIRECT("Table1[Ende]"),"&gt;="&amp;CB$1,INDIRECT("Table1[Obergruppe ATC-Code]"),Tabelle3!$A100)</f>
        <v>0</v>
      </c>
      <c r="CC100">
        <f ca="1">COUNTIFS(INDIRECT("Table1[Beginn]"),"&lt;="&amp;CC$1,INDIRECT("Table1[Ende]"),"&gt;="&amp;CC$1,INDIRECT("Table1[Obergruppe ATC-Code]"),Tabelle3!$A100)</f>
        <v>0</v>
      </c>
      <c r="CD100">
        <f ca="1">COUNTIFS(INDIRECT("Table1[Beginn]"),"&lt;="&amp;CD$1,INDIRECT("Table1[Ende]"),"&gt;="&amp;CD$1,INDIRECT("Table1[Obergruppe ATC-Code]"),Tabelle3!$A100)</f>
        <v>0</v>
      </c>
      <c r="CE100">
        <f ca="1">COUNTIFS(INDIRECT("Table1[Beginn]"),"&lt;="&amp;CE$1,INDIRECT("Table1[Ende]"),"&gt;="&amp;CE$1,INDIRECT("Table1[Obergruppe ATC-Code]"),Tabelle3!$A100)</f>
        <v>0</v>
      </c>
      <c r="CF100">
        <f ca="1">COUNTIFS(INDIRECT("Table1[Beginn]"),"&lt;="&amp;CF$1,INDIRECT("Table1[Ende]"),"&gt;="&amp;CF$1,INDIRECT("Table1[Obergruppe ATC-Code]"),Tabelle3!$A100)</f>
        <v>0</v>
      </c>
      <c r="CG100">
        <f ca="1">COUNTIFS(INDIRECT("Table1[Beginn]"),"&lt;="&amp;CG$1,INDIRECT("Table1[Ende]"),"&gt;="&amp;CG$1,INDIRECT("Table1[Obergruppe ATC-Code]"),Tabelle3!$A100)</f>
        <v>0</v>
      </c>
      <c r="CH100">
        <f ca="1">COUNTIFS(INDIRECT("Table1[Beginn]"),"&lt;="&amp;CH$1,INDIRECT("Table1[Ende]"),"&gt;="&amp;CH$1,INDIRECT("Table1[Obergruppe ATC-Code]"),Tabelle3!$A100)</f>
        <v>0</v>
      </c>
      <c r="CI100">
        <f ca="1">COUNTIFS(INDIRECT("Table1[Beginn]"),"&lt;="&amp;CI$1,INDIRECT("Table1[Ende]"),"&gt;="&amp;CI$1,INDIRECT("Table1[Obergruppe ATC-Code]"),Tabelle3!$A100)</f>
        <v>0</v>
      </c>
      <c r="CJ100">
        <f ca="1">COUNTIFS(INDIRECT("Table1[Beginn]"),"&lt;="&amp;CJ$1,INDIRECT("Table1[Ende]"),"&gt;="&amp;CJ$1,INDIRECT("Table1[Obergruppe ATC-Code]"),Tabelle3!$A100)</f>
        <v>0</v>
      </c>
      <c r="CK100">
        <f ca="1">COUNTIFS(INDIRECT("Table1[Beginn]"),"&lt;="&amp;CK$1,INDIRECT("Table1[Ende]"),"&gt;="&amp;CK$1,INDIRECT("Table1[Obergruppe ATC-Code]"),Tabelle3!$A100)</f>
        <v>0</v>
      </c>
      <c r="CL100">
        <f ca="1">COUNTIFS(INDIRECT("Table1[Beginn]"),"&lt;="&amp;CL$1,INDIRECT("Table1[Ende]"),"&gt;="&amp;CL$1,INDIRECT("Table1[Obergruppe ATC-Code]"),Tabelle3!$A100)</f>
        <v>0</v>
      </c>
      <c r="CM100">
        <f ca="1">COUNTIFS(INDIRECT("Table1[Beginn]"),"&lt;="&amp;CM$1,INDIRECT("Table1[Ende]"),"&gt;="&amp;CM$1,INDIRECT("Table1[Obergruppe ATC-Code]"),Tabelle3!$A100)</f>
        <v>0</v>
      </c>
      <c r="CN100">
        <f ca="1">COUNTIFS(INDIRECT("Table1[Beginn]"),"&lt;="&amp;CN$1,INDIRECT("Table1[Ende]"),"&gt;="&amp;CN$1,INDIRECT("Table1[Obergruppe ATC-Code]"),Tabelle3!$A100)</f>
        <v>0</v>
      </c>
      <c r="CO100">
        <f ca="1">COUNTIFS(INDIRECT("Table1[Beginn]"),"&lt;="&amp;CO$1,INDIRECT("Table1[Ende]"),"&gt;="&amp;CO$1,INDIRECT("Table1[Obergruppe ATC-Code]"),Tabelle3!$A100)</f>
        <v>0</v>
      </c>
      <c r="CP100">
        <f ca="1">COUNTIFS(INDIRECT("Table1[Beginn]"),"&lt;="&amp;CP$1,INDIRECT("Table1[Ende]"),"&gt;="&amp;CP$1,INDIRECT("Table1[Obergruppe ATC-Code]"),Tabelle3!$A100)</f>
        <v>0</v>
      </c>
      <c r="CQ100">
        <f ca="1">COUNTIFS(INDIRECT("Table1[Beginn]"),"&lt;="&amp;CQ$1,INDIRECT("Table1[Ende]"),"&gt;="&amp;CQ$1,INDIRECT("Table1[Obergruppe ATC-Code]"),Tabelle3!$A100)</f>
        <v>0</v>
      </c>
      <c r="CR100">
        <f ca="1">COUNTIFS(INDIRECT("Table1[Beginn]"),"&lt;="&amp;CR$1,INDIRECT("Table1[Ende]"),"&gt;="&amp;CR$1,INDIRECT("Table1[Obergruppe ATC-Code]"),Tabelle3!$A100)</f>
        <v>0</v>
      </c>
      <c r="CS100">
        <f ca="1">COUNTIFS(INDIRECT("Table1[Beginn]"),"&lt;="&amp;CS$1,INDIRECT("Table1[Ende]"),"&gt;="&amp;CS$1,INDIRECT("Table1[Obergruppe ATC-Code]"),Tabelle3!$A100)</f>
        <v>0</v>
      </c>
      <c r="CT100">
        <f ca="1">COUNTIFS(INDIRECT("Table1[Beginn]"),"&lt;="&amp;CT$1,INDIRECT("Table1[Ende]"),"&gt;="&amp;CT$1,INDIRECT("Table1[Obergruppe ATC-Code]"),Tabelle3!$A100)</f>
        <v>0</v>
      </c>
    </row>
    <row r="101" spans="1:98" ht="18">
      <c r="A101" s="19" t="s">
        <v>6970</v>
      </c>
      <c r="B101" s="20" t="s">
        <v>6971</v>
      </c>
      <c r="C101" s="21">
        <f ca="1">SUM(Tabelle2[2017-01-01])</f>
        <v>20</v>
      </c>
      <c r="D101" s="21">
        <f ca="1">SUM(Tabelle2[2017-02-01])</f>
        <v>23</v>
      </c>
      <c r="E101" s="21">
        <f ca="1">SUM(Tabelle2[2017-03-01])</f>
        <v>26</v>
      </c>
      <c r="F101" s="21">
        <f ca="1">SUM(Tabelle2[2017-04-01])</f>
        <v>34</v>
      </c>
      <c r="G101" s="21">
        <f ca="1">SUM(Tabelle2[2017-05-01])</f>
        <v>38</v>
      </c>
      <c r="H101" s="21">
        <f ca="1">SUM(Tabelle2[2017-06-01])</f>
        <v>38</v>
      </c>
      <c r="I101" s="21">
        <f ca="1">SUM(Tabelle2[2017-07-01])</f>
        <v>46</v>
      </c>
      <c r="J101" s="21">
        <f ca="1">SUM(Tabelle2[2017-02-01])</f>
        <v>23</v>
      </c>
      <c r="K101" s="21">
        <f ca="1">SUM(Tabelle2[2017-03-01])</f>
        <v>26</v>
      </c>
      <c r="L101" s="21">
        <f ca="1">SUM(Tabelle2[2017-04-01])</f>
        <v>34</v>
      </c>
      <c r="M101" s="21">
        <f ca="1">SUM(Tabelle2[2017-05-01])</f>
        <v>38</v>
      </c>
      <c r="N101" s="21">
        <f ca="1">SUM(Tabelle2[2017-06-01])</f>
        <v>38</v>
      </c>
      <c r="O101" s="21">
        <f ca="1">SUM(Tabelle2[2017-07-01])</f>
        <v>46</v>
      </c>
      <c r="P101" s="21">
        <f ca="1">SUM(Tabelle2[2017-08-01])</f>
        <v>51</v>
      </c>
      <c r="Q101" s="21">
        <f ca="1">SUM(Tabelle2[2017-02-01])</f>
        <v>23</v>
      </c>
      <c r="R101" s="21">
        <f ca="1">SUM(Tabelle2[2017-03-01])</f>
        <v>26</v>
      </c>
      <c r="S101" s="21">
        <f ca="1">SUM(Tabelle2[2017-04-01])</f>
        <v>34</v>
      </c>
      <c r="T101" s="21">
        <f ca="1">SUM(Tabelle2[2017-05-01])</f>
        <v>38</v>
      </c>
      <c r="U101" s="21">
        <f ca="1">SUM(Tabelle2[2017-06-01])</f>
        <v>38</v>
      </c>
      <c r="V101" s="21">
        <f ca="1">SUM(Tabelle2[2017-07-01])</f>
        <v>46</v>
      </c>
      <c r="W101" s="21">
        <f ca="1">SUM(Tabelle2[2017-08-01])</f>
        <v>51</v>
      </c>
      <c r="X101" s="21">
        <f ca="1">SUM(Tabelle2[2017-03-01])</f>
        <v>26</v>
      </c>
      <c r="Y101" s="21">
        <f ca="1">SUM(Tabelle2[2017-04-01])</f>
        <v>34</v>
      </c>
      <c r="Z101" s="21">
        <f ca="1">SUM(Tabelle2[2017-05-01])</f>
        <v>38</v>
      </c>
      <c r="AA101" s="21">
        <f ca="1">SUM(Tabelle2[2017-06-01])</f>
        <v>38</v>
      </c>
      <c r="AB101" s="21">
        <f ca="1">SUM(Tabelle2[2017-07-01])</f>
        <v>46</v>
      </c>
      <c r="AC101" s="21">
        <f ca="1">SUM(Tabelle2[2017-08-01])</f>
        <v>51</v>
      </c>
      <c r="AD101" s="21">
        <f ca="1">SUM(Tabelle2[2017-09-01])</f>
        <v>49</v>
      </c>
      <c r="AE101" s="21">
        <f ca="1">SUM(Tabelle2[2017-03-01])</f>
        <v>26</v>
      </c>
      <c r="AF101" s="21">
        <f ca="1">SUM(Tabelle2[2017-04-01])</f>
        <v>34</v>
      </c>
      <c r="AG101" s="21">
        <f ca="1">SUM(Tabelle2[2017-05-01])</f>
        <v>38</v>
      </c>
      <c r="AH101" s="21">
        <f ca="1">SUM(Tabelle2[2017-06-01])</f>
        <v>38</v>
      </c>
      <c r="AI101" s="21">
        <f ca="1">SUM(Tabelle2[2017-07-01])</f>
        <v>46</v>
      </c>
      <c r="AJ101" s="21">
        <f ca="1">SUM(Tabelle2[2017-08-01])</f>
        <v>51</v>
      </c>
      <c r="AK101" s="21">
        <f ca="1">SUM(Tabelle2[2017-09-01])</f>
        <v>49</v>
      </c>
      <c r="AL101" s="21">
        <f ca="1">SUM(Tabelle2[2017-04-01])</f>
        <v>34</v>
      </c>
      <c r="AM101" s="21">
        <f ca="1">SUM(Tabelle2[2017-05-01])</f>
        <v>38</v>
      </c>
      <c r="AN101" s="21">
        <f ca="1">SUM(Tabelle2[2017-06-01])</f>
        <v>38</v>
      </c>
      <c r="AO101" s="21">
        <f ca="1">SUM(Tabelle2[2017-07-01])</f>
        <v>46</v>
      </c>
      <c r="AP101" s="21">
        <f ca="1">SUM(Tabelle2[2017-08-01])</f>
        <v>51</v>
      </c>
      <c r="AQ101" s="21">
        <f ca="1">SUM(Tabelle2[2017-09-01])</f>
        <v>49</v>
      </c>
      <c r="AR101" s="21">
        <f ca="1">SUM(Tabelle2[2017-10-01])</f>
        <v>45</v>
      </c>
      <c r="AS101" s="21">
        <f ca="1">SUM(Tabelle2[2017-04-01])</f>
        <v>34</v>
      </c>
      <c r="AT101" s="21">
        <f ca="1">SUM(Tabelle2[2017-05-01])</f>
        <v>38</v>
      </c>
      <c r="AU101" s="21">
        <f ca="1">SUM(Tabelle2[2017-06-01])</f>
        <v>38</v>
      </c>
      <c r="AV101" s="21">
        <f ca="1">SUM(Tabelle2[2017-07-01])</f>
        <v>46</v>
      </c>
      <c r="AW101" s="21">
        <f ca="1">SUM(Tabelle2[2017-08-01])</f>
        <v>51</v>
      </c>
      <c r="AX101" s="21">
        <f ca="1">SUM(Tabelle2[2017-09-01])</f>
        <v>49</v>
      </c>
      <c r="AY101" s="21">
        <f ca="1">SUM(Tabelle2[2017-10-01])</f>
        <v>45</v>
      </c>
      <c r="AZ101" s="21">
        <f ca="1">SUM(Tabelle2[2017-05-01])</f>
        <v>38</v>
      </c>
      <c r="BA101" s="21">
        <f ca="1">SUM(Tabelle2[2017-06-01])</f>
        <v>38</v>
      </c>
      <c r="BB101" s="21">
        <f ca="1">SUM(Tabelle2[2017-07-01])</f>
        <v>46</v>
      </c>
      <c r="BC101" s="21">
        <f ca="1">SUM(Tabelle2[2017-08-01])</f>
        <v>51</v>
      </c>
      <c r="BD101" s="21">
        <f ca="1">SUM(Tabelle2[2017-09-01])</f>
        <v>49</v>
      </c>
      <c r="BE101" s="21">
        <f ca="1">SUM(Tabelle2[2017-10-01])</f>
        <v>45</v>
      </c>
      <c r="BF101" s="21">
        <f ca="1">SUM(Tabelle2[2017-11-01])</f>
        <v>46</v>
      </c>
      <c r="BG101" s="21">
        <f ca="1">SUM(Tabelle2[2017-05-01])</f>
        <v>38</v>
      </c>
      <c r="BH101" s="21">
        <f ca="1">SUM(Tabelle2[2017-06-01])</f>
        <v>38</v>
      </c>
      <c r="BI101" s="21">
        <f ca="1">SUM(Tabelle2[2017-07-01])</f>
        <v>46</v>
      </c>
      <c r="BJ101" s="21">
        <f ca="1">SUM(Tabelle2[2017-08-01])</f>
        <v>51</v>
      </c>
      <c r="BK101" s="21">
        <f ca="1">SUM(Tabelle2[2017-09-01])</f>
        <v>49</v>
      </c>
      <c r="BL101" s="21">
        <f ca="1">SUM(Tabelle2[2017-10-01])</f>
        <v>45</v>
      </c>
      <c r="BM101" s="21">
        <f ca="1">SUM(Tabelle2[2017-11-01])</f>
        <v>46</v>
      </c>
      <c r="BN101" s="21">
        <f ca="1">SUM(Tabelle2[2017-06-01])</f>
        <v>38</v>
      </c>
      <c r="BO101" s="21">
        <f ca="1">SUM(Tabelle2[2017-07-01])</f>
        <v>46</v>
      </c>
      <c r="BP101" s="21">
        <f ca="1">SUM(Tabelle2[2017-08-01])</f>
        <v>51</v>
      </c>
      <c r="BQ101" s="21">
        <f ca="1">SUM(Tabelle2[2017-09-01])</f>
        <v>49</v>
      </c>
      <c r="BR101" s="21">
        <f ca="1">SUM(Tabelle2[2017-10-01])</f>
        <v>45</v>
      </c>
      <c r="BS101" s="21">
        <f ca="1">SUM(Tabelle2[2017-11-01])</f>
        <v>46</v>
      </c>
      <c r="BT101" s="21">
        <f ca="1">SUM(Tabelle2[2017-12-01])</f>
        <v>52</v>
      </c>
      <c r="BU101" s="21">
        <f ca="1">SUM(Tabelle2[2017-06-01])</f>
        <v>38</v>
      </c>
      <c r="BV101" s="21">
        <f ca="1">SUM(Tabelle2[2017-07-01])</f>
        <v>46</v>
      </c>
      <c r="BW101" s="21">
        <f ca="1">SUM(Tabelle2[2017-08-01])</f>
        <v>51</v>
      </c>
      <c r="BX101" s="21">
        <f ca="1">SUM(Tabelle2[2017-09-01])</f>
        <v>49</v>
      </c>
      <c r="BY101" s="21">
        <f ca="1">SUM(Tabelle2[2017-10-01])</f>
        <v>45</v>
      </c>
      <c r="BZ101" s="21">
        <f ca="1">SUM(Tabelle2[2017-11-01])</f>
        <v>46</v>
      </c>
      <c r="CA101" s="21">
        <f ca="1">SUM(Tabelle2[2017-12-01])</f>
        <v>52</v>
      </c>
      <c r="CB101" s="21">
        <f ca="1">SUM(Tabelle2[2017-07-01])</f>
        <v>46</v>
      </c>
      <c r="CC101" s="21">
        <f ca="1">SUM(Tabelle2[2017-08-01])</f>
        <v>51</v>
      </c>
      <c r="CD101" s="21">
        <f ca="1">SUM(Tabelle2[2017-09-01])</f>
        <v>49</v>
      </c>
      <c r="CE101" s="21">
        <f ca="1">SUM(Tabelle2[2017-10-01])</f>
        <v>45</v>
      </c>
      <c r="CF101" s="21">
        <f ca="1">SUM(Tabelle2[2017-11-01])</f>
        <v>46</v>
      </c>
      <c r="CG101" s="21">
        <f ca="1">SUM(Tabelle2[2017-12-01])</f>
        <v>52</v>
      </c>
      <c r="CH101" s="21">
        <f ca="1">SUM(Tabelle2[2018-01-01])</f>
        <v>61</v>
      </c>
      <c r="CI101" s="21">
        <f ca="1">SUM(Tabelle2[2017-07-01])</f>
        <v>46</v>
      </c>
      <c r="CJ101" s="21">
        <f ca="1">SUM(Tabelle2[2017-08-01])</f>
        <v>51</v>
      </c>
      <c r="CK101" s="21">
        <f ca="1">SUM(Tabelle2[2017-09-01])</f>
        <v>49</v>
      </c>
      <c r="CL101" s="21">
        <f ca="1">SUM(Tabelle2[2017-10-01])</f>
        <v>45</v>
      </c>
      <c r="CM101" s="21">
        <f ca="1">SUM(Tabelle2[2017-11-01])</f>
        <v>46</v>
      </c>
      <c r="CN101" s="21">
        <f ca="1">SUM(Tabelle2[2017-12-01])</f>
        <v>52</v>
      </c>
      <c r="CO101" s="21">
        <f ca="1">SUM(Tabelle2[2018-01-01])</f>
        <v>61</v>
      </c>
      <c r="CP101" s="21">
        <f ca="1">SUM(Tabelle2[2017-08-01])</f>
        <v>51</v>
      </c>
      <c r="CQ101" s="21">
        <f ca="1">SUM(Tabelle2[2017-09-01])</f>
        <v>49</v>
      </c>
      <c r="CR101" s="21">
        <f ca="1">SUM(Tabelle2[2017-10-01])</f>
        <v>45</v>
      </c>
      <c r="CS101" s="21">
        <f ca="1">SUM(Tabelle2[2017-11-01])</f>
        <v>46</v>
      </c>
      <c r="CT101" s="21">
        <f ca="1">SUM(Tabelle2[2017-12-01])</f>
        <v>52</v>
      </c>
    </row>
  </sheetData>
  <mergeCells count="2">
    <mergeCell ref="CU2:DH34"/>
    <mergeCell ref="CU36:DH53"/>
  </mergeCells>
  <phoneticPr fontId="1" type="noConversion"/>
  <conditionalFormatting sqref="C2:CT100">
    <cfRule type="cellIs" dxfId="1" priority="1" operator="greaterThan">
      <formula>30</formula>
    </cfRule>
  </conditionalFormatting>
  <pageMargins left="0.7" right="0.7" top="0.78740157499999996" bottom="0.78740157499999996"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B1153-5D67-4E14-A69C-4995FDC04175}">
  <dimension ref="A1"/>
  <sheetViews>
    <sheetView tabSelected="1" workbookViewId="0">
      <selection activeCell="L17" sqref="L17"/>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DF0B0-3F93-4FA8-AA5E-563BECFD141C}">
  <dimension ref="A1:CR101"/>
  <sheetViews>
    <sheetView zoomScale="17" zoomScaleNormal="10" workbookViewId="0">
      <selection activeCell="CF308" sqref="CF308"/>
    </sheetView>
  </sheetViews>
  <sheetFormatPr defaultColWidth="11.44140625" defaultRowHeight="14.4"/>
  <cols>
    <col min="3" max="132" width="12.33203125" customWidth="1"/>
  </cols>
  <sheetData>
    <row r="1" spans="1:96">
      <c r="A1" s="13" t="s">
        <v>6972</v>
      </c>
      <c r="B1" s="13" t="s">
        <v>6674</v>
      </c>
      <c r="C1" s="13" t="s">
        <v>6675</v>
      </c>
      <c r="D1" s="13" t="s">
        <v>6676</v>
      </c>
      <c r="E1" s="13" t="s">
        <v>6677</v>
      </c>
      <c r="F1" s="13" t="s">
        <v>6678</v>
      </c>
      <c r="G1" s="13" t="s">
        <v>6679</v>
      </c>
      <c r="H1" s="13" t="s">
        <v>6680</v>
      </c>
      <c r="I1" s="13" t="s">
        <v>6681</v>
      </c>
      <c r="J1" s="13" t="s">
        <v>6682</v>
      </c>
      <c r="K1" s="13" t="s">
        <v>6683</v>
      </c>
      <c r="L1" s="13" t="s">
        <v>6684</v>
      </c>
      <c r="M1" s="13" t="s">
        <v>6685</v>
      </c>
      <c r="N1" s="13" t="s">
        <v>6686</v>
      </c>
      <c r="O1" s="13" t="s">
        <v>6687</v>
      </c>
      <c r="P1" s="13" t="s">
        <v>6688</v>
      </c>
      <c r="Q1" s="13" t="s">
        <v>6689</v>
      </c>
      <c r="R1" s="13" t="s">
        <v>6690</v>
      </c>
      <c r="S1" s="13" t="s">
        <v>6691</v>
      </c>
      <c r="T1" s="13" t="s">
        <v>6692</v>
      </c>
      <c r="U1" s="13" t="s">
        <v>6693</v>
      </c>
      <c r="V1" s="13" t="s">
        <v>6694</v>
      </c>
      <c r="W1" s="13" t="s">
        <v>6695</v>
      </c>
      <c r="X1" s="13" t="s">
        <v>6696</v>
      </c>
      <c r="Y1" s="13" t="s">
        <v>6697</v>
      </c>
      <c r="Z1" s="13" t="s">
        <v>6698</v>
      </c>
      <c r="AA1" s="13" t="s">
        <v>6699</v>
      </c>
      <c r="AB1" s="13" t="s">
        <v>6700</v>
      </c>
      <c r="AC1" s="13" t="s">
        <v>6701</v>
      </c>
      <c r="AD1" s="13" t="s">
        <v>6702</v>
      </c>
      <c r="AE1" s="13" t="s">
        <v>6703</v>
      </c>
      <c r="AF1" s="13" t="s">
        <v>6704</v>
      </c>
      <c r="AG1" s="13" t="s">
        <v>6705</v>
      </c>
      <c r="AH1" s="13" t="s">
        <v>6706</v>
      </c>
      <c r="AI1" s="13" t="s">
        <v>6707</v>
      </c>
      <c r="AJ1" s="13" t="s">
        <v>6708</v>
      </c>
      <c r="AK1" s="13" t="s">
        <v>6709</v>
      </c>
      <c r="AL1" s="13" t="s">
        <v>6710</v>
      </c>
      <c r="AM1" s="13" t="s">
        <v>6713</v>
      </c>
      <c r="AN1" s="13" t="s">
        <v>6714</v>
      </c>
      <c r="AO1" s="13" t="s">
        <v>6715</v>
      </c>
      <c r="AP1" s="13" t="s">
        <v>6716</v>
      </c>
      <c r="AQ1" s="13" t="s">
        <v>6717</v>
      </c>
      <c r="AR1" s="13" t="s">
        <v>6718</v>
      </c>
      <c r="AS1" s="13" t="s">
        <v>6719</v>
      </c>
      <c r="AT1" s="13" t="s">
        <v>6720</v>
      </c>
      <c r="AU1" s="13" t="s">
        <v>6721</v>
      </c>
      <c r="AV1" s="13" t="s">
        <v>6722</v>
      </c>
      <c r="AW1" s="13" t="s">
        <v>6723</v>
      </c>
      <c r="AX1" s="13" t="s">
        <v>6724</v>
      </c>
      <c r="AY1" s="13" t="s">
        <v>6725</v>
      </c>
      <c r="AZ1" s="13" t="s">
        <v>6726</v>
      </c>
      <c r="BA1" s="13" t="s">
        <v>6727</v>
      </c>
      <c r="BB1" s="13" t="s">
        <v>6728</v>
      </c>
      <c r="BC1" s="13" t="s">
        <v>6729</v>
      </c>
      <c r="BD1" s="13" t="s">
        <v>6730</v>
      </c>
      <c r="BE1" s="13" t="s">
        <v>6731</v>
      </c>
      <c r="BF1" s="13" t="s">
        <v>6732</v>
      </c>
      <c r="BG1" s="13" t="s">
        <v>6733</v>
      </c>
      <c r="BH1" s="13" t="s">
        <v>6734</v>
      </c>
      <c r="BI1" s="13" t="s">
        <v>6735</v>
      </c>
      <c r="BJ1" s="13" t="s">
        <v>6736</v>
      </c>
      <c r="BK1" s="13" t="s">
        <v>6737</v>
      </c>
      <c r="BL1" s="13" t="s">
        <v>6738</v>
      </c>
      <c r="BM1" s="13" t="s">
        <v>6739</v>
      </c>
      <c r="BN1" s="13" t="s">
        <v>6740</v>
      </c>
      <c r="BO1" s="13" t="s">
        <v>6741</v>
      </c>
      <c r="BP1" s="13" t="s">
        <v>6742</v>
      </c>
      <c r="BQ1" s="13" t="s">
        <v>6743</v>
      </c>
      <c r="BR1" s="13" t="s">
        <v>6744</v>
      </c>
      <c r="BS1" s="13" t="s">
        <v>6745</v>
      </c>
      <c r="BT1" s="13" t="s">
        <v>6746</v>
      </c>
      <c r="BU1" s="13" t="s">
        <v>6747</v>
      </c>
      <c r="BV1" s="13" t="s">
        <v>6748</v>
      </c>
      <c r="BW1" s="13" t="s">
        <v>6749</v>
      </c>
      <c r="BX1" s="13" t="s">
        <v>6750</v>
      </c>
      <c r="BY1" s="13" t="s">
        <v>6751</v>
      </c>
      <c r="BZ1" s="13" t="s">
        <v>6752</v>
      </c>
      <c r="CA1" s="13" t="s">
        <v>6753</v>
      </c>
      <c r="CB1" s="13" t="s">
        <v>6754</v>
      </c>
      <c r="CC1" s="13" t="s">
        <v>6755</v>
      </c>
      <c r="CD1" s="13" t="s">
        <v>6756</v>
      </c>
      <c r="CE1" s="13" t="s">
        <v>6757</v>
      </c>
      <c r="CF1" s="13" t="s">
        <v>6758</v>
      </c>
      <c r="CG1" s="13" t="s">
        <v>6759</v>
      </c>
      <c r="CH1" s="13" t="s">
        <v>6760</v>
      </c>
      <c r="CI1" s="13" t="s">
        <v>6761</v>
      </c>
      <c r="CJ1" s="13" t="s">
        <v>6762</v>
      </c>
      <c r="CK1" s="13" t="s">
        <v>6763</v>
      </c>
      <c r="CL1" s="13" t="s">
        <v>6764</v>
      </c>
      <c r="CM1" s="13" t="s">
        <v>6765</v>
      </c>
      <c r="CN1" s="13" t="s">
        <v>6766</v>
      </c>
      <c r="CO1" s="13" t="s">
        <v>6767</v>
      </c>
      <c r="CP1" s="13" t="s">
        <v>6768</v>
      </c>
      <c r="CQ1" s="13" t="s">
        <v>6769</v>
      </c>
      <c r="CR1" s="13" t="s">
        <v>6770</v>
      </c>
    </row>
    <row r="2" spans="1:96" ht="18">
      <c r="A2" s="7" t="s">
        <v>6771</v>
      </c>
      <c r="B2" s="8" t="s">
        <v>6772</v>
      </c>
      <c r="C2">
        <f ca="1">COUNTIFS(INDIRECT("Table1[Beginn]"),"&lt;="&amp;C$1,INDIRECT("Table1[Ende]"),"&gt;="&amp;C$1,INDIRECT("Table1[Obergruppe ATC-Code]"),Tabelle3!$A2)</f>
        <v>0</v>
      </c>
      <c r="D2">
        <f ca="1">COUNTIFS(INDIRECT("Table1[Beginn]"),"&lt;="&amp;D$1,INDIRECT("Table1[Ende]"),"&gt;="&amp;D$1,INDIRECT("Table1[Obergruppe ATC-Code]"),Tabelle3!$A2)</f>
        <v>0</v>
      </c>
      <c r="E2">
        <f ca="1">COUNTIFS(INDIRECT("Table1[Beginn]"),"&lt;="&amp;E$1,INDIRECT("Table1[Ende]"),"&gt;="&amp;E$1,INDIRECT("Table1[Obergruppe ATC-Code]"),Tabelle3!$A2)</f>
        <v>0</v>
      </c>
      <c r="F2">
        <f ca="1">COUNTIFS(INDIRECT("Table1[Beginn]"),"&lt;="&amp;F$1,INDIRECT("Table1[Ende]"),"&gt;="&amp;F$1,INDIRECT("Table1[Obergruppe ATC-Code]"),Tabelle3!$A2)</f>
        <v>0</v>
      </c>
      <c r="G2">
        <f ca="1">COUNTIFS(INDIRECT("Table1[Beginn]"),"&lt;="&amp;G$1,INDIRECT("Table1[Ende]"),"&gt;="&amp;G$1,INDIRECT("Table1[Obergruppe ATC-Code]"),Tabelle3!$A2)</f>
        <v>0</v>
      </c>
      <c r="H2">
        <f ca="1">COUNTIFS(INDIRECT("Table1[Beginn]"),"&lt;="&amp;H$1,INDIRECT("Table1[Ende]"),"&gt;="&amp;H$1,INDIRECT("Table1[Obergruppe ATC-Code]"),Tabelle3!$A2)</f>
        <v>1</v>
      </c>
      <c r="I2">
        <f ca="1">COUNTIFS(INDIRECT("Table1[Beginn]"),"&lt;="&amp;I$1,INDIRECT("Table1[Ende]"),"&gt;="&amp;I$1,INDIRECT("Table1[Obergruppe ATC-Code]"),Tabelle3!$A2)</f>
        <v>1</v>
      </c>
      <c r="J2">
        <f ca="1">COUNTIFS(INDIRECT("Table1[Beginn]"),"&lt;="&amp;J$1,INDIRECT("Table1[Ende]"),"&gt;="&amp;J$1,INDIRECT("Table1[Obergruppe ATC-Code]"),Tabelle3!$A2)</f>
        <v>0</v>
      </c>
      <c r="K2">
        <f ca="1">COUNTIFS(INDIRECT("Table1[Beginn]"),"&lt;="&amp;K$1,INDIRECT("Table1[Ende]"),"&gt;="&amp;K$1,INDIRECT("Table1[Obergruppe ATC-Code]"),Tabelle3!$A2)</f>
        <v>0</v>
      </c>
      <c r="L2">
        <f ca="1">COUNTIFS(INDIRECT("Table1[Beginn]"),"&lt;="&amp;L$1,INDIRECT("Table1[Ende]"),"&gt;="&amp;L$1,INDIRECT("Table1[Obergruppe ATC-Code]"),Tabelle3!$A2)</f>
        <v>0</v>
      </c>
      <c r="M2">
        <f ca="1">COUNTIFS(INDIRECT("Table1[Beginn]"),"&lt;="&amp;M$1,INDIRECT("Table1[Ende]"),"&gt;="&amp;M$1,INDIRECT("Table1[Obergruppe ATC-Code]"),Tabelle3!$A2)</f>
        <v>0</v>
      </c>
      <c r="N2">
        <f ca="1">COUNTIFS(INDIRECT("Table1[Beginn]"),"&lt;="&amp;N$1,INDIRECT("Table1[Ende]"),"&gt;="&amp;N$1,INDIRECT("Table1[Obergruppe ATC-Code]"),Tabelle3!$A2)</f>
        <v>0</v>
      </c>
      <c r="O2">
        <f ca="1">COUNTIFS(INDIRECT("Table1[Beginn]"),"&lt;="&amp;O$1,INDIRECT("Table1[Ende]"),"&gt;="&amp;O$1,INDIRECT("Table1[Obergruppe ATC-Code]"),Tabelle3!$A2)</f>
        <v>0</v>
      </c>
      <c r="P2">
        <f ca="1">COUNTIFS(INDIRECT("Table1[Beginn]"),"&lt;="&amp;P$1,INDIRECT("Table1[Ende]"),"&gt;="&amp;P$1,INDIRECT("Table1[Obergruppe ATC-Code]"),Tabelle3!$A2)</f>
        <v>0</v>
      </c>
      <c r="Q2">
        <f ca="1">COUNTIFS(INDIRECT("Table1[Beginn]"),"&lt;="&amp;Q$1,INDIRECT("Table1[Ende]"),"&gt;="&amp;Q$1,INDIRECT("Table1[Obergruppe ATC-Code]"),Tabelle3!$A2)</f>
        <v>0</v>
      </c>
      <c r="R2">
        <f ca="1">COUNTIFS(INDIRECT("Table1[Beginn]"),"&lt;="&amp;R$1,INDIRECT("Table1[Ende]"),"&gt;="&amp;R$1,INDIRECT("Table1[Obergruppe ATC-Code]"),Tabelle3!$A2)</f>
        <v>0</v>
      </c>
      <c r="S2">
        <f ca="1">COUNTIFS(INDIRECT("Table1[Beginn]"),"&lt;="&amp;S$1,INDIRECT("Table1[Ende]"),"&gt;="&amp;S$1,INDIRECT("Table1[Obergruppe ATC-Code]"),Tabelle3!$A2)</f>
        <v>0</v>
      </c>
      <c r="T2">
        <f ca="1">COUNTIFS(INDIRECT("Table1[Beginn]"),"&lt;="&amp;T$1,INDIRECT("Table1[Ende]"),"&gt;="&amp;T$1,INDIRECT("Table1[Obergruppe ATC-Code]"),Tabelle3!$A2)</f>
        <v>0</v>
      </c>
      <c r="U2">
        <f ca="1">COUNTIFS(INDIRECT("Table1[Beginn]"),"&lt;="&amp;U$1,INDIRECT("Table1[Ende]"),"&gt;="&amp;U$1,INDIRECT("Table1[Obergruppe ATC-Code]"),Tabelle3!$A2)</f>
        <v>0</v>
      </c>
      <c r="V2">
        <f ca="1">COUNTIFS(INDIRECT("Table1[Beginn]"),"&lt;="&amp;V$1,INDIRECT("Table1[Ende]"),"&gt;="&amp;V$1,INDIRECT("Table1[Obergruppe ATC-Code]"),Tabelle3!$A2)</f>
        <v>0</v>
      </c>
      <c r="W2">
        <f ca="1">COUNTIFS(INDIRECT("Table1[Beginn]"),"&lt;="&amp;W$1,INDIRECT("Table1[Ende]"),"&gt;="&amp;W$1,INDIRECT("Table1[Obergruppe ATC-Code]"),Tabelle3!$A2)</f>
        <v>0</v>
      </c>
      <c r="X2">
        <f ca="1">COUNTIFS(INDIRECT("Table1[Beginn]"),"&lt;="&amp;X$1,INDIRECT("Table1[Ende]"),"&gt;="&amp;X$1,INDIRECT("Table1[Obergruppe ATC-Code]"),Tabelle3!$A2)</f>
        <v>0</v>
      </c>
      <c r="Y2">
        <f ca="1">COUNTIFS(INDIRECT("Table1[Beginn]"),"&lt;="&amp;Y$1,INDIRECT("Table1[Ende]"),"&gt;="&amp;Y$1,INDIRECT("Table1[Obergruppe ATC-Code]"),Tabelle3!$A2)</f>
        <v>0</v>
      </c>
      <c r="Z2">
        <f ca="1">COUNTIFS(INDIRECT("Table1[Beginn]"),"&lt;="&amp;Z$1,INDIRECT("Table1[Ende]"),"&gt;="&amp;Z$1,INDIRECT("Table1[Obergruppe ATC-Code]"),Tabelle3!$A2)</f>
        <v>0</v>
      </c>
      <c r="AA2">
        <f ca="1">COUNTIFS(INDIRECT("Table1[Beginn]"),"&lt;="&amp;AA$1,INDIRECT("Table1[Ende]"),"&gt;="&amp;AA$1,INDIRECT("Table1[Obergruppe ATC-Code]"),Tabelle3!$A2)</f>
        <v>0</v>
      </c>
      <c r="AB2">
        <f ca="1">COUNTIFS(INDIRECT("Table1[Beginn]"),"&lt;="&amp;AB$1,INDIRECT("Table1[Ende]"),"&gt;="&amp;AB$1,INDIRECT("Table1[Obergruppe ATC-Code]"),Tabelle3!$A2)</f>
        <v>0</v>
      </c>
      <c r="AC2">
        <f ca="1">COUNTIFS(INDIRECT("Table1[Beginn]"),"&lt;="&amp;AC$1,INDIRECT("Table1[Ende]"),"&gt;="&amp;AC$1,INDIRECT("Table1[Obergruppe ATC-Code]"),Tabelle3!$A2)</f>
        <v>0</v>
      </c>
      <c r="AD2">
        <f ca="1">COUNTIFS(INDIRECT("Table1[Beginn]"),"&lt;="&amp;AD$1,INDIRECT("Table1[Ende]"),"&gt;="&amp;AD$1,INDIRECT("Table1[Obergruppe ATC-Code]"),Tabelle3!$A2)</f>
        <v>0</v>
      </c>
      <c r="AE2">
        <f ca="1">COUNTIFS(INDIRECT("Table1[Beginn]"),"&lt;="&amp;AE$1,INDIRECT("Table1[Ende]"),"&gt;="&amp;AE$1,INDIRECT("Table1[Obergruppe ATC-Code]"),Tabelle3!$A2)</f>
        <v>0</v>
      </c>
      <c r="AF2">
        <f ca="1">COUNTIFS(INDIRECT("Table1[Beginn]"),"&lt;="&amp;AF$1,INDIRECT("Table1[Ende]"),"&gt;="&amp;AF$1,INDIRECT("Table1[Obergruppe ATC-Code]"),Tabelle3!$A2)</f>
        <v>0</v>
      </c>
      <c r="AG2">
        <f ca="1">COUNTIFS(INDIRECT("Table1[Beginn]"),"&lt;="&amp;AG$1,INDIRECT("Table1[Ende]"),"&gt;="&amp;AG$1,INDIRECT("Table1[Obergruppe ATC-Code]"),Tabelle3!$A2)</f>
        <v>0</v>
      </c>
      <c r="AH2">
        <f ca="1">COUNTIFS(INDIRECT("Table1[Beginn]"),"&lt;="&amp;AH$1,INDIRECT("Table1[Ende]"),"&gt;="&amp;AH$1,INDIRECT("Table1[Obergruppe ATC-Code]"),Tabelle3!$A2)</f>
        <v>0</v>
      </c>
      <c r="AI2">
        <f ca="1">COUNTIFS(INDIRECT("Table1[Beginn]"),"&lt;="&amp;AI$1,INDIRECT("Table1[Ende]"),"&gt;="&amp;AI$1,INDIRECT("Table1[Obergruppe ATC-Code]"),Tabelle3!$A2)</f>
        <v>0</v>
      </c>
      <c r="AJ2">
        <f ca="1">COUNTIFS(INDIRECT("Table1[Beginn]"),"&lt;="&amp;AJ$1,INDIRECT("Table1[Ende]"),"&gt;="&amp;AJ$1,INDIRECT("Table1[Obergruppe ATC-Code]"),Tabelle3!$A2)</f>
        <v>0</v>
      </c>
      <c r="AK2">
        <f ca="1">COUNTIFS(INDIRECT("Table1[Beginn]"),"&lt;="&amp;AK$1,INDIRECT("Table1[Ende]"),"&gt;="&amp;AK$1,INDIRECT("Table1[Obergruppe ATC-Code]"),Tabelle3!$A2)</f>
        <v>0</v>
      </c>
      <c r="AL2">
        <f ca="1">COUNTIFS(INDIRECT("Table1[Beginn]"),"&lt;="&amp;AL$1,INDIRECT("Table1[Ende]"),"&gt;="&amp;AL$1,INDIRECT("Table1[Obergruppe ATC-Code]"),Tabelle3!$A2)</f>
        <v>0</v>
      </c>
      <c r="AM2">
        <f ca="1">COUNTIFS(INDIRECT("Table1[Beginn]"),"&lt;="&amp;AM$1,INDIRECT("Table1[Ende]"),"&gt;="&amp;AM$1,INDIRECT("Table1[Obergruppe ATC-Code]"),Tabelle3!$A2)</f>
        <v>1</v>
      </c>
      <c r="AN2">
        <f ca="1">COUNTIFS(INDIRECT("Table1[Beginn]"),"&lt;="&amp;AN$1,INDIRECT("Table1[Ende]"),"&gt;="&amp;AN$1,INDIRECT("Table1[Obergruppe ATC-Code]"),Tabelle3!$A2)</f>
        <v>1</v>
      </c>
      <c r="AO2">
        <f ca="1">COUNTIFS(INDIRECT("Table1[Beginn]"),"&lt;="&amp;AO$1,INDIRECT("Table1[Ende]"),"&gt;="&amp;AO$1,INDIRECT("Table1[Obergruppe ATC-Code]"),Tabelle3!$A2)</f>
        <v>1</v>
      </c>
      <c r="AP2">
        <f ca="1">COUNTIFS(INDIRECT("Table1[Beginn]"),"&lt;="&amp;AP$1,INDIRECT("Table1[Ende]"),"&gt;="&amp;AP$1,INDIRECT("Table1[Obergruppe ATC-Code]"),Tabelle3!$A2)</f>
        <v>2</v>
      </c>
      <c r="AQ2">
        <f ca="1">COUNTIFS(INDIRECT("Table1[Beginn]"),"&lt;="&amp;AQ$1,INDIRECT("Table1[Ende]"),"&gt;="&amp;AQ$1,INDIRECT("Table1[Obergruppe ATC-Code]"),Tabelle3!$A2)</f>
        <v>2</v>
      </c>
      <c r="AR2">
        <f ca="1">COUNTIFS(INDIRECT("Table1[Beginn]"),"&lt;="&amp;AR$1,INDIRECT("Table1[Ende]"),"&gt;="&amp;AR$1,INDIRECT("Table1[Obergruppe ATC-Code]"),Tabelle3!$A2)</f>
        <v>2</v>
      </c>
      <c r="AS2">
        <f ca="1">COUNTIFS(INDIRECT("Table1[Beginn]"),"&lt;="&amp;AS$1,INDIRECT("Table1[Ende]"),"&gt;="&amp;AS$1,INDIRECT("Table1[Obergruppe ATC-Code]"),Tabelle3!$A2)</f>
        <v>1</v>
      </c>
      <c r="AT2">
        <f ca="1">COUNTIFS(INDIRECT("Table1[Beginn]"),"&lt;="&amp;AT$1,INDIRECT("Table1[Ende]"),"&gt;="&amp;AT$1,INDIRECT("Table1[Obergruppe ATC-Code]"),Tabelle3!$A2)</f>
        <v>0</v>
      </c>
      <c r="AU2">
        <f ca="1">COUNTIFS(INDIRECT("Table1[Beginn]"),"&lt;="&amp;AU$1,INDIRECT("Table1[Ende]"),"&gt;="&amp;AU$1,INDIRECT("Table1[Obergruppe ATC-Code]"),Tabelle3!$A2)</f>
        <v>0</v>
      </c>
      <c r="AV2">
        <f ca="1">COUNTIFS(INDIRECT("Table1[Beginn]"),"&lt;="&amp;AV$1,INDIRECT("Table1[Ende]"),"&gt;="&amp;AV$1,INDIRECT("Table1[Obergruppe ATC-Code]"),Tabelle3!$A2)</f>
        <v>0</v>
      </c>
      <c r="AW2">
        <f ca="1">COUNTIFS(INDIRECT("Table1[Beginn]"),"&lt;="&amp;AW$1,INDIRECT("Table1[Ende]"),"&gt;="&amp;AW$1,INDIRECT("Table1[Obergruppe ATC-Code]"),Tabelle3!$A2)</f>
        <v>0</v>
      </c>
      <c r="AX2">
        <f ca="1">COUNTIFS(INDIRECT("Table1[Beginn]"),"&lt;="&amp;AX$1,INDIRECT("Table1[Ende]"),"&gt;="&amp;AX$1,INDIRECT("Table1[Obergruppe ATC-Code]"),Tabelle3!$A2)</f>
        <v>1</v>
      </c>
      <c r="AY2">
        <f ca="1">COUNTIFS(INDIRECT("Table1[Beginn]"),"&lt;="&amp;AY$1,INDIRECT("Table1[Ende]"),"&gt;="&amp;AY$1,INDIRECT("Table1[Obergruppe ATC-Code]"),Tabelle3!$A2)</f>
        <v>1</v>
      </c>
      <c r="AZ2">
        <f ca="1">COUNTIFS(INDIRECT("Table1[Beginn]"),"&lt;="&amp;AZ$1,INDIRECT("Table1[Ende]"),"&gt;="&amp;AZ$1,INDIRECT("Table1[Obergruppe ATC-Code]"),Tabelle3!$A2)</f>
        <v>1</v>
      </c>
      <c r="BA2">
        <f ca="1">COUNTIFS(INDIRECT("Table1[Beginn]"),"&lt;="&amp;BA$1,INDIRECT("Table1[Ende]"),"&gt;="&amp;BA$1,INDIRECT("Table1[Obergruppe ATC-Code]"),Tabelle3!$A2)</f>
        <v>1</v>
      </c>
      <c r="BB2">
        <f ca="1">COUNTIFS(INDIRECT("Table1[Beginn]"),"&lt;="&amp;BB$1,INDIRECT("Table1[Ende]"),"&gt;="&amp;BB$1,INDIRECT("Table1[Obergruppe ATC-Code]"),Tabelle3!$A2)</f>
        <v>1</v>
      </c>
      <c r="BC2">
        <f ca="1">COUNTIFS(INDIRECT("Table1[Beginn]"),"&lt;="&amp;BC$1,INDIRECT("Table1[Ende]"),"&gt;="&amp;BC$1,INDIRECT("Table1[Obergruppe ATC-Code]"),Tabelle3!$A2)</f>
        <v>1</v>
      </c>
      <c r="BD2">
        <f ca="1">COUNTIFS(INDIRECT("Table1[Beginn]"),"&lt;="&amp;BD$1,INDIRECT("Table1[Ende]"),"&gt;="&amp;BD$1,INDIRECT("Table1[Obergruppe ATC-Code]"),Tabelle3!$A2)</f>
        <v>1</v>
      </c>
      <c r="BE2">
        <f ca="1">COUNTIFS(INDIRECT("Table1[Beginn]"),"&lt;="&amp;BE$1,INDIRECT("Table1[Ende]"),"&gt;="&amp;BE$1,INDIRECT("Table1[Obergruppe ATC-Code]"),Tabelle3!$A2)</f>
        <v>1</v>
      </c>
      <c r="BF2">
        <f ca="1">COUNTIFS(INDIRECT("Table1[Beginn]"),"&lt;="&amp;BF$1,INDIRECT("Table1[Ende]"),"&gt;="&amp;BF$1,INDIRECT("Table1[Obergruppe ATC-Code]"),Tabelle3!$A2)</f>
        <v>1</v>
      </c>
      <c r="BG2">
        <f ca="1">COUNTIFS(INDIRECT("Table1[Beginn]"),"&lt;="&amp;BG$1,INDIRECT("Table1[Ende]"),"&gt;="&amp;BG$1,INDIRECT("Table1[Obergruppe ATC-Code]"),Tabelle3!$A2)</f>
        <v>0</v>
      </c>
      <c r="BH2">
        <f ca="1">COUNTIFS(INDIRECT("Table1[Beginn]"),"&lt;="&amp;BH$1,INDIRECT("Table1[Ende]"),"&gt;="&amp;BH$1,INDIRECT("Table1[Obergruppe ATC-Code]"),Tabelle3!$A2)</f>
        <v>0</v>
      </c>
      <c r="BI2">
        <f ca="1">COUNTIFS(INDIRECT("Table1[Beginn]"),"&lt;="&amp;BI$1,INDIRECT("Table1[Ende]"),"&gt;="&amp;BI$1,INDIRECT("Table1[Obergruppe ATC-Code]"),Tabelle3!$A2)</f>
        <v>0</v>
      </c>
      <c r="BJ2">
        <f ca="1">COUNTIFS(INDIRECT("Table1[Beginn]"),"&lt;="&amp;BJ$1,INDIRECT("Table1[Ende]"),"&gt;="&amp;BJ$1,INDIRECT("Table1[Obergruppe ATC-Code]"),Tabelle3!$A2)</f>
        <v>0</v>
      </c>
      <c r="BK2">
        <f ca="1">COUNTIFS(INDIRECT("Table1[Beginn]"),"&lt;="&amp;BK$1,INDIRECT("Table1[Ende]"),"&gt;="&amp;BK$1,INDIRECT("Table1[Obergruppe ATC-Code]"),Tabelle3!$A2)</f>
        <v>0</v>
      </c>
      <c r="BL2">
        <f ca="1">COUNTIFS(INDIRECT("Table1[Beginn]"),"&lt;="&amp;BL$1,INDIRECT("Table1[Ende]"),"&gt;="&amp;BL$1,INDIRECT("Table1[Obergruppe ATC-Code]"),Tabelle3!$A2)</f>
        <v>0</v>
      </c>
      <c r="BM2">
        <f ca="1">COUNTIFS(INDIRECT("Table1[Beginn]"),"&lt;="&amp;BM$1,INDIRECT("Table1[Ende]"),"&gt;="&amp;BM$1,INDIRECT("Table1[Obergruppe ATC-Code]"),Tabelle3!$A2)</f>
        <v>0</v>
      </c>
      <c r="BN2">
        <f ca="1">COUNTIFS(INDIRECT("Table1[Beginn]"),"&lt;="&amp;BN$1,INDIRECT("Table1[Ende]"),"&gt;="&amp;BN$1,INDIRECT("Table1[Obergruppe ATC-Code]"),Tabelle3!$A2)</f>
        <v>0</v>
      </c>
      <c r="BO2">
        <f ca="1">COUNTIFS(INDIRECT("Table1[Beginn]"),"&lt;="&amp;BO$1,INDIRECT("Table1[Ende]"),"&gt;="&amp;BO$1,INDIRECT("Table1[Obergruppe ATC-Code]"),Tabelle3!$A2)</f>
        <v>0</v>
      </c>
      <c r="BP2">
        <f ca="1">COUNTIFS(INDIRECT("Table1[Beginn]"),"&lt;="&amp;BP$1,INDIRECT("Table1[Ende]"),"&gt;="&amp;BP$1,INDIRECT("Table1[Obergruppe ATC-Code]"),Tabelle3!$A2)</f>
        <v>0</v>
      </c>
      <c r="BQ2">
        <f ca="1">COUNTIFS(INDIRECT("Table1[Beginn]"),"&lt;="&amp;BQ$1,INDIRECT("Table1[Ende]"),"&gt;="&amp;BQ$1,INDIRECT("Table1[Obergruppe ATC-Code]"),Tabelle3!$A2)</f>
        <v>0</v>
      </c>
      <c r="BR2">
        <f ca="1">COUNTIFS(INDIRECT("Table1[Beginn]"),"&lt;="&amp;BR$1,INDIRECT("Table1[Ende]"),"&gt;="&amp;BR$1,INDIRECT("Table1[Obergruppe ATC-Code]"),Tabelle3!$A2)</f>
        <v>0</v>
      </c>
      <c r="BS2">
        <f ca="1">COUNTIFS(INDIRECT("Table1[Beginn]"),"&lt;="&amp;BS$1,INDIRECT("Table1[Ende]"),"&gt;="&amp;BS$1,INDIRECT("Table1[Obergruppe ATC-Code]"),Tabelle3!$A2)</f>
        <v>0</v>
      </c>
      <c r="BT2">
        <f ca="1">COUNTIFS(INDIRECT("Table1[Beginn]"),"&lt;="&amp;BT$1,INDIRECT("Table1[Ende]"),"&gt;="&amp;BT$1,INDIRECT("Table1[Obergruppe ATC-Code]"),Tabelle3!$A2)</f>
        <v>0</v>
      </c>
      <c r="BU2">
        <f ca="1">COUNTIFS(INDIRECT("Table1[Beginn]"),"&lt;="&amp;BU$1,INDIRECT("Table1[Ende]"),"&gt;="&amp;BU$1,INDIRECT("Table1[Obergruppe ATC-Code]"),Tabelle3!$A2)</f>
        <v>0</v>
      </c>
      <c r="BV2">
        <f ca="1">COUNTIFS(INDIRECT("Table1[Beginn]"),"&lt;="&amp;BV$1,INDIRECT("Table1[Ende]"),"&gt;="&amp;BV$1,INDIRECT("Table1[Obergruppe ATC-Code]"),Tabelle3!$A2)</f>
        <v>1</v>
      </c>
      <c r="BW2">
        <f ca="1">COUNTIFS(INDIRECT("Table1[Beginn]"),"&lt;="&amp;BW$1,INDIRECT("Table1[Ende]"),"&gt;="&amp;BW$1,INDIRECT("Table1[Obergruppe ATC-Code]"),Tabelle3!$A2)</f>
        <v>0</v>
      </c>
      <c r="BX2">
        <f ca="1">COUNTIFS(INDIRECT("Table1[Beginn]"),"&lt;="&amp;BX$1,INDIRECT("Table1[Ende]"),"&gt;="&amp;BX$1,INDIRECT("Table1[Obergruppe ATC-Code]"),Tabelle3!$A2)</f>
        <v>0</v>
      </c>
      <c r="BY2">
        <f ca="1">COUNTIFS(INDIRECT("Table1[Beginn]"),"&lt;="&amp;BY$1,INDIRECT("Table1[Ende]"),"&gt;="&amp;BY$1,INDIRECT("Table1[Obergruppe ATC-Code]"),Tabelle3!$A2)</f>
        <v>0</v>
      </c>
      <c r="BZ2">
        <f ca="1">COUNTIFS(INDIRECT("Table1[Beginn]"),"&lt;="&amp;BZ$1,INDIRECT("Table1[Ende]"),"&gt;="&amp;BZ$1,INDIRECT("Table1[Obergruppe ATC-Code]"),Tabelle3!$A2)</f>
        <v>0</v>
      </c>
      <c r="CA2">
        <f ca="1">COUNTIFS(INDIRECT("Table1[Beginn]"),"&lt;="&amp;CA$1,INDIRECT("Table1[Ende]"),"&gt;="&amp;CA$1,INDIRECT("Table1[Obergruppe ATC-Code]"),Tabelle3!$A2)</f>
        <v>0</v>
      </c>
      <c r="CB2">
        <f ca="1">COUNTIFS(INDIRECT("Table1[Beginn]"),"&lt;="&amp;CB$1,INDIRECT("Table1[Ende]"),"&gt;="&amp;CB$1,INDIRECT("Table1[Obergruppe ATC-Code]"),Tabelle3!$A2)</f>
        <v>0</v>
      </c>
      <c r="CC2">
        <f ca="1">COUNTIFS(INDIRECT("Table1[Beginn]"),"&lt;="&amp;CC$1,INDIRECT("Table1[Ende]"),"&gt;="&amp;CC$1,INDIRECT("Table1[Obergruppe ATC-Code]"),Tabelle3!$A2)</f>
        <v>1</v>
      </c>
      <c r="CD2">
        <f ca="1">COUNTIFS(INDIRECT("Table1[Beginn]"),"&lt;="&amp;CD$1,INDIRECT("Table1[Ende]"),"&gt;="&amp;CD$1,INDIRECT("Table1[Obergruppe ATC-Code]"),Tabelle3!$A2)</f>
        <v>0</v>
      </c>
      <c r="CE2">
        <f ca="1">COUNTIFS(INDIRECT("Table1[Beginn]"),"&lt;="&amp;CE$1,INDIRECT("Table1[Ende]"),"&gt;="&amp;CE$1,INDIRECT("Table1[Obergruppe ATC-Code]"),Tabelle3!$A2)</f>
        <v>0</v>
      </c>
      <c r="CF2">
        <f ca="1">COUNTIFS(INDIRECT("Table1[Beginn]"),"&lt;="&amp;CF$1,INDIRECT("Table1[Ende]"),"&gt;="&amp;CF$1,INDIRECT("Table1[Obergruppe ATC-Code]"),Tabelle3!$A2)</f>
        <v>0</v>
      </c>
      <c r="CG2">
        <f ca="1">COUNTIFS(INDIRECT("Table1[Beginn]"),"&lt;="&amp;CG$1,INDIRECT("Table1[Ende]"),"&gt;="&amp;CG$1,INDIRECT("Table1[Obergruppe ATC-Code]"),Tabelle3!$A2)</f>
        <v>0</v>
      </c>
      <c r="CH2">
        <f ca="1">COUNTIFS(INDIRECT("Table1[Beginn]"),"&lt;="&amp;CH$1,INDIRECT("Table1[Ende]"),"&gt;="&amp;CH$1,INDIRECT("Table1[Obergruppe ATC-Code]"),Tabelle3!$A2)</f>
        <v>0</v>
      </c>
      <c r="CI2">
        <f ca="1">COUNTIFS(INDIRECT("Table1[Beginn]"),"&lt;="&amp;CI$1,INDIRECT("Table1[Ende]"),"&gt;="&amp;CI$1,INDIRECT("Table1[Obergruppe ATC-Code]"),Tabelle3!$A2)</f>
        <v>0</v>
      </c>
      <c r="CJ2">
        <f ca="1">COUNTIFS(INDIRECT("Table1[Beginn]"),"&lt;="&amp;CJ$1,INDIRECT("Table1[Ende]"),"&gt;="&amp;CJ$1,INDIRECT("Table1[Obergruppe ATC-Code]"),Tabelle3!$A2)</f>
        <v>0</v>
      </c>
      <c r="CK2">
        <f ca="1">COUNTIFS(INDIRECT("Table1[Beginn]"),"&lt;="&amp;CK$1,INDIRECT("Table1[Ende]"),"&gt;="&amp;CK$1,INDIRECT("Table1[Obergruppe ATC-Code]"),Tabelle3!$A2)</f>
        <v>0</v>
      </c>
      <c r="CL2">
        <f ca="1">COUNTIFS(INDIRECT("Table1[Beginn]"),"&lt;="&amp;CL$1,INDIRECT("Table1[Ende]"),"&gt;="&amp;CL$1,INDIRECT("Table1[Obergruppe ATC-Code]"),Tabelle3!$A2)</f>
        <v>0</v>
      </c>
      <c r="CM2">
        <f ca="1">COUNTIFS(INDIRECT("Table1[Beginn]"),"&lt;="&amp;CM$1,INDIRECT("Table1[Ende]"),"&gt;="&amp;CM$1,INDIRECT("Table1[Obergruppe ATC-Code]"),Tabelle3!$A2)</f>
        <v>0</v>
      </c>
      <c r="CN2">
        <f ca="1">COUNTIFS(INDIRECT("Table1[Beginn]"),"&lt;="&amp;CN$1,INDIRECT("Table1[Ende]"),"&gt;="&amp;CN$1,INDIRECT("Table1[Obergruppe ATC-Code]"),Tabelle3!$A2)</f>
        <v>0</v>
      </c>
      <c r="CO2">
        <f ca="1">COUNTIFS(INDIRECT("Table1[Beginn]"),"&lt;="&amp;CO$1,INDIRECT("Table1[Ende]"),"&gt;="&amp;CO$1,INDIRECT("Table1[Obergruppe ATC-Code]"),Tabelle3!$A2)</f>
        <v>0</v>
      </c>
      <c r="CP2">
        <f ca="1">COUNTIFS(INDIRECT("Table1[Beginn]"),"&lt;="&amp;CP$1,INDIRECT("Table1[Ende]"),"&gt;="&amp;CP$1,INDIRECT("Table1[Obergruppe ATC-Code]"),Tabelle3!$A2)</f>
        <v>0</v>
      </c>
      <c r="CQ2">
        <f ca="1">COUNTIFS(INDIRECT("Table1[Beginn]"),"&lt;="&amp;CQ$1,INDIRECT("Table1[Ende]"),"&gt;="&amp;CQ$1,INDIRECT("Table1[Obergruppe ATC-Code]"),Tabelle3!$A2)</f>
        <v>0</v>
      </c>
      <c r="CR2">
        <f ca="1">COUNTIFS(INDIRECT("Table1[Beginn]"),"&lt;="&amp;CR$1,INDIRECT("Table1[Ende]"),"&gt;="&amp;CR$1,INDIRECT("Table1[Obergruppe ATC-Code]"),Tabelle3!$A2)</f>
        <v>0</v>
      </c>
    </row>
    <row r="3" spans="1:96" ht="18">
      <c r="A3" s="9" t="s">
        <v>6774</v>
      </c>
      <c r="B3" s="10" t="s">
        <v>6775</v>
      </c>
      <c r="C3">
        <f ca="1">COUNTIFS(INDIRECT("Table1[Beginn]"),"&lt;="&amp;C$1,INDIRECT("Table1[Ende]"),"&gt;="&amp;C$1,INDIRECT("Table1[Obergruppe ATC-Code]"),Tabelle3!$A3)</f>
        <v>0</v>
      </c>
      <c r="D3">
        <f ca="1">COUNTIFS(INDIRECT("Table1[Beginn]"),"&lt;="&amp;D$1,INDIRECT("Table1[Ende]"),"&gt;="&amp;D$1,INDIRECT("Table1[Obergruppe ATC-Code]"),Tabelle3!$A3)</f>
        <v>0</v>
      </c>
      <c r="E3">
        <f ca="1">COUNTIFS(INDIRECT("Table1[Beginn]"),"&lt;="&amp;E$1,INDIRECT("Table1[Ende]"),"&gt;="&amp;E$1,INDIRECT("Table1[Obergruppe ATC-Code]"),Tabelle3!$A3)</f>
        <v>0</v>
      </c>
      <c r="F3">
        <f ca="1">COUNTIFS(INDIRECT("Table1[Beginn]"),"&lt;="&amp;F$1,INDIRECT("Table1[Ende]"),"&gt;="&amp;F$1,INDIRECT("Table1[Obergruppe ATC-Code]"),Tabelle3!$A3)</f>
        <v>0</v>
      </c>
      <c r="G3">
        <f ca="1">COUNTIFS(INDIRECT("Table1[Beginn]"),"&lt;="&amp;G$1,INDIRECT("Table1[Ende]"),"&gt;="&amp;G$1,INDIRECT("Table1[Obergruppe ATC-Code]"),Tabelle3!$A3)</f>
        <v>0</v>
      </c>
      <c r="H3">
        <f ca="1">COUNTIFS(INDIRECT("Table1[Beginn]"),"&lt;="&amp;H$1,INDIRECT("Table1[Ende]"),"&gt;="&amp;H$1,INDIRECT("Table1[Obergruppe ATC-Code]"),Tabelle3!$A3)</f>
        <v>0</v>
      </c>
      <c r="I3">
        <f ca="1">COUNTIFS(INDIRECT("Table1[Beginn]"),"&lt;="&amp;I$1,INDIRECT("Table1[Ende]"),"&gt;="&amp;I$1,INDIRECT("Table1[Obergruppe ATC-Code]"),Tabelle3!$A3)</f>
        <v>0</v>
      </c>
      <c r="J3">
        <f ca="1">COUNTIFS(INDIRECT("Table1[Beginn]"),"&lt;="&amp;J$1,INDIRECT("Table1[Ende]"),"&gt;="&amp;J$1,INDIRECT("Table1[Obergruppe ATC-Code]"),Tabelle3!$A3)</f>
        <v>0</v>
      </c>
      <c r="K3">
        <f ca="1">COUNTIFS(INDIRECT("Table1[Beginn]"),"&lt;="&amp;K$1,INDIRECT("Table1[Ende]"),"&gt;="&amp;K$1,INDIRECT("Table1[Obergruppe ATC-Code]"),Tabelle3!$A3)</f>
        <v>0</v>
      </c>
      <c r="L3">
        <f ca="1">COUNTIFS(INDIRECT("Table1[Beginn]"),"&lt;="&amp;L$1,INDIRECT("Table1[Ende]"),"&gt;="&amp;L$1,INDIRECT("Table1[Obergruppe ATC-Code]"),Tabelle3!$A3)</f>
        <v>0</v>
      </c>
      <c r="M3">
        <f ca="1">COUNTIFS(INDIRECT("Table1[Beginn]"),"&lt;="&amp;M$1,INDIRECT("Table1[Ende]"),"&gt;="&amp;M$1,INDIRECT("Table1[Obergruppe ATC-Code]"),Tabelle3!$A3)</f>
        <v>0</v>
      </c>
      <c r="N3">
        <f ca="1">COUNTIFS(INDIRECT("Table1[Beginn]"),"&lt;="&amp;N$1,INDIRECT("Table1[Ende]"),"&gt;="&amp;N$1,INDIRECT("Table1[Obergruppe ATC-Code]"),Tabelle3!$A3)</f>
        <v>0</v>
      </c>
      <c r="O3">
        <f ca="1">COUNTIFS(INDIRECT("Table1[Beginn]"),"&lt;="&amp;O$1,INDIRECT("Table1[Ende]"),"&gt;="&amp;O$1,INDIRECT("Table1[Obergruppe ATC-Code]"),Tabelle3!$A3)</f>
        <v>0</v>
      </c>
      <c r="P3">
        <f ca="1">COUNTIFS(INDIRECT("Table1[Beginn]"),"&lt;="&amp;P$1,INDIRECT("Table1[Ende]"),"&gt;="&amp;P$1,INDIRECT("Table1[Obergruppe ATC-Code]"),Tabelle3!$A3)</f>
        <v>0</v>
      </c>
      <c r="Q3">
        <f ca="1">COUNTIFS(INDIRECT("Table1[Beginn]"),"&lt;="&amp;Q$1,INDIRECT("Table1[Ende]"),"&gt;="&amp;Q$1,INDIRECT("Table1[Obergruppe ATC-Code]"),Tabelle3!$A3)</f>
        <v>0</v>
      </c>
      <c r="R3">
        <f ca="1">COUNTIFS(INDIRECT("Table1[Beginn]"),"&lt;="&amp;R$1,INDIRECT("Table1[Ende]"),"&gt;="&amp;R$1,INDIRECT("Table1[Obergruppe ATC-Code]"),Tabelle3!$A3)</f>
        <v>0</v>
      </c>
      <c r="S3">
        <f ca="1">COUNTIFS(INDIRECT("Table1[Beginn]"),"&lt;="&amp;S$1,INDIRECT("Table1[Ende]"),"&gt;="&amp;S$1,INDIRECT("Table1[Obergruppe ATC-Code]"),Tabelle3!$A3)</f>
        <v>0</v>
      </c>
      <c r="T3">
        <f ca="1">COUNTIFS(INDIRECT("Table1[Beginn]"),"&lt;="&amp;T$1,INDIRECT("Table1[Ende]"),"&gt;="&amp;T$1,INDIRECT("Table1[Obergruppe ATC-Code]"),Tabelle3!$A3)</f>
        <v>0</v>
      </c>
      <c r="U3">
        <f ca="1">COUNTIFS(INDIRECT("Table1[Beginn]"),"&lt;="&amp;U$1,INDIRECT("Table1[Ende]"),"&gt;="&amp;U$1,INDIRECT("Table1[Obergruppe ATC-Code]"),Tabelle3!$A3)</f>
        <v>0</v>
      </c>
      <c r="V3">
        <f ca="1">COUNTIFS(INDIRECT("Table1[Beginn]"),"&lt;="&amp;V$1,INDIRECT("Table1[Ende]"),"&gt;="&amp;V$1,INDIRECT("Table1[Obergruppe ATC-Code]"),Tabelle3!$A3)</f>
        <v>0</v>
      </c>
      <c r="W3">
        <f ca="1">COUNTIFS(INDIRECT("Table1[Beginn]"),"&lt;="&amp;W$1,INDIRECT("Table1[Ende]"),"&gt;="&amp;W$1,INDIRECT("Table1[Obergruppe ATC-Code]"),Tabelle3!$A3)</f>
        <v>0</v>
      </c>
      <c r="X3">
        <f ca="1">COUNTIFS(INDIRECT("Table1[Beginn]"),"&lt;="&amp;X$1,INDIRECT("Table1[Ende]"),"&gt;="&amp;X$1,INDIRECT("Table1[Obergruppe ATC-Code]"),Tabelle3!$A3)</f>
        <v>0</v>
      </c>
      <c r="Y3">
        <f ca="1">COUNTIFS(INDIRECT("Table1[Beginn]"),"&lt;="&amp;Y$1,INDIRECT("Table1[Ende]"),"&gt;="&amp;Y$1,INDIRECT("Table1[Obergruppe ATC-Code]"),Tabelle3!$A3)</f>
        <v>0</v>
      </c>
      <c r="Z3">
        <f ca="1">COUNTIFS(INDIRECT("Table1[Beginn]"),"&lt;="&amp;Z$1,INDIRECT("Table1[Ende]"),"&gt;="&amp;Z$1,INDIRECT("Table1[Obergruppe ATC-Code]"),Tabelle3!$A3)</f>
        <v>0</v>
      </c>
      <c r="AA3">
        <f ca="1">COUNTIFS(INDIRECT("Table1[Beginn]"),"&lt;="&amp;AA$1,INDIRECT("Table1[Ende]"),"&gt;="&amp;AA$1,INDIRECT("Table1[Obergruppe ATC-Code]"),Tabelle3!$A3)</f>
        <v>0</v>
      </c>
      <c r="AB3">
        <f ca="1">COUNTIFS(INDIRECT("Table1[Beginn]"),"&lt;="&amp;AB$1,INDIRECT("Table1[Ende]"),"&gt;="&amp;AB$1,INDIRECT("Table1[Obergruppe ATC-Code]"),Tabelle3!$A3)</f>
        <v>0</v>
      </c>
      <c r="AC3">
        <f ca="1">COUNTIFS(INDIRECT("Table1[Beginn]"),"&lt;="&amp;AC$1,INDIRECT("Table1[Ende]"),"&gt;="&amp;AC$1,INDIRECT("Table1[Obergruppe ATC-Code]"),Tabelle3!$A3)</f>
        <v>0</v>
      </c>
      <c r="AD3">
        <f ca="1">COUNTIFS(INDIRECT("Table1[Beginn]"),"&lt;="&amp;AD$1,INDIRECT("Table1[Ende]"),"&gt;="&amp;AD$1,INDIRECT("Table1[Obergruppe ATC-Code]"),Tabelle3!$A3)</f>
        <v>0</v>
      </c>
      <c r="AE3">
        <f ca="1">COUNTIFS(INDIRECT("Table1[Beginn]"),"&lt;="&amp;AE$1,INDIRECT("Table1[Ende]"),"&gt;="&amp;AE$1,INDIRECT("Table1[Obergruppe ATC-Code]"),Tabelle3!$A3)</f>
        <v>0</v>
      </c>
      <c r="AF3">
        <f ca="1">COUNTIFS(INDIRECT("Table1[Beginn]"),"&lt;="&amp;AF$1,INDIRECT("Table1[Ende]"),"&gt;="&amp;AF$1,INDIRECT("Table1[Obergruppe ATC-Code]"),Tabelle3!$A3)</f>
        <v>0</v>
      </c>
      <c r="AG3">
        <f ca="1">COUNTIFS(INDIRECT("Table1[Beginn]"),"&lt;="&amp;AG$1,INDIRECT("Table1[Ende]"),"&gt;="&amp;AG$1,INDIRECT("Table1[Obergruppe ATC-Code]"),Tabelle3!$A3)</f>
        <v>0</v>
      </c>
      <c r="AH3">
        <f ca="1">COUNTIFS(INDIRECT("Table1[Beginn]"),"&lt;="&amp;AH$1,INDIRECT("Table1[Ende]"),"&gt;="&amp;AH$1,INDIRECT("Table1[Obergruppe ATC-Code]"),Tabelle3!$A3)</f>
        <v>0</v>
      </c>
      <c r="AI3">
        <f ca="1">COUNTIFS(INDIRECT("Table1[Beginn]"),"&lt;="&amp;AI$1,INDIRECT("Table1[Ende]"),"&gt;="&amp;AI$1,INDIRECT("Table1[Obergruppe ATC-Code]"),Tabelle3!$A3)</f>
        <v>7</v>
      </c>
      <c r="AJ3">
        <f ca="1">COUNTIFS(INDIRECT("Table1[Beginn]"),"&lt;="&amp;AJ$1,INDIRECT("Table1[Ende]"),"&gt;="&amp;AJ$1,INDIRECT("Table1[Obergruppe ATC-Code]"),Tabelle3!$A3)</f>
        <v>9</v>
      </c>
      <c r="AK3">
        <f ca="1">COUNTIFS(INDIRECT("Table1[Beginn]"),"&lt;="&amp;AK$1,INDIRECT("Table1[Ende]"),"&gt;="&amp;AK$1,INDIRECT("Table1[Obergruppe ATC-Code]"),Tabelle3!$A3)</f>
        <v>9</v>
      </c>
      <c r="AL3">
        <f ca="1">COUNTIFS(INDIRECT("Table1[Beginn]"),"&lt;="&amp;AL$1,INDIRECT("Table1[Ende]"),"&gt;="&amp;AL$1,INDIRECT("Table1[Obergruppe ATC-Code]"),Tabelle3!$A3)</f>
        <v>12</v>
      </c>
      <c r="AM3">
        <f ca="1">COUNTIFS(INDIRECT("Table1[Beginn]"),"&lt;="&amp;AM$1,INDIRECT("Table1[Ende]"),"&gt;="&amp;AM$1,INDIRECT("Table1[Obergruppe ATC-Code]"),Tabelle3!$A3)</f>
        <v>17</v>
      </c>
      <c r="AN3">
        <f ca="1">COUNTIFS(INDIRECT("Table1[Beginn]"),"&lt;="&amp;AN$1,INDIRECT("Table1[Ende]"),"&gt;="&amp;AN$1,INDIRECT("Table1[Obergruppe ATC-Code]"),Tabelle3!$A3)</f>
        <v>17</v>
      </c>
      <c r="AO3">
        <f ca="1">COUNTIFS(INDIRECT("Table1[Beginn]"),"&lt;="&amp;AO$1,INDIRECT("Table1[Ende]"),"&gt;="&amp;AO$1,INDIRECT("Table1[Obergruppe ATC-Code]"),Tabelle3!$A3)</f>
        <v>17</v>
      </c>
      <c r="AP3">
        <f ca="1">COUNTIFS(INDIRECT("Table1[Beginn]"),"&lt;="&amp;AP$1,INDIRECT("Table1[Ende]"),"&gt;="&amp;AP$1,INDIRECT("Table1[Obergruppe ATC-Code]"),Tabelle3!$A3)</f>
        <v>17</v>
      </c>
      <c r="AQ3">
        <f ca="1">COUNTIFS(INDIRECT("Table1[Beginn]"),"&lt;="&amp;AQ$1,INDIRECT("Table1[Ende]"),"&gt;="&amp;AQ$1,INDIRECT("Table1[Obergruppe ATC-Code]"),Tabelle3!$A3)</f>
        <v>16</v>
      </c>
      <c r="AR3">
        <f ca="1">COUNTIFS(INDIRECT("Table1[Beginn]"),"&lt;="&amp;AR$1,INDIRECT("Table1[Ende]"),"&gt;="&amp;AR$1,INDIRECT("Table1[Obergruppe ATC-Code]"),Tabelle3!$A3)</f>
        <v>16</v>
      </c>
      <c r="AS3">
        <f ca="1">COUNTIFS(INDIRECT("Table1[Beginn]"),"&lt;="&amp;AS$1,INDIRECT("Table1[Ende]"),"&gt;="&amp;AS$1,INDIRECT("Table1[Obergruppe ATC-Code]"),Tabelle3!$A3)</f>
        <v>16</v>
      </c>
      <c r="AT3">
        <f ca="1">COUNTIFS(INDIRECT("Table1[Beginn]"),"&lt;="&amp;AT$1,INDIRECT("Table1[Ende]"),"&gt;="&amp;AT$1,INDIRECT("Table1[Obergruppe ATC-Code]"),Tabelle3!$A3)</f>
        <v>16</v>
      </c>
      <c r="AU3">
        <f ca="1">COUNTIFS(INDIRECT("Table1[Beginn]"),"&lt;="&amp;AU$1,INDIRECT("Table1[Ende]"),"&gt;="&amp;AU$1,INDIRECT("Table1[Obergruppe ATC-Code]"),Tabelle3!$A3)</f>
        <v>16</v>
      </c>
      <c r="AV3">
        <f ca="1">COUNTIFS(INDIRECT("Table1[Beginn]"),"&lt;="&amp;AV$1,INDIRECT("Table1[Ende]"),"&gt;="&amp;AV$1,INDIRECT("Table1[Obergruppe ATC-Code]"),Tabelle3!$A3)</f>
        <v>14</v>
      </c>
      <c r="AW3">
        <f ca="1">COUNTIFS(INDIRECT("Table1[Beginn]"),"&lt;="&amp;AW$1,INDIRECT("Table1[Ende]"),"&gt;="&amp;AW$1,INDIRECT("Table1[Obergruppe ATC-Code]"),Tabelle3!$A3)</f>
        <v>13</v>
      </c>
      <c r="AX3">
        <f ca="1">COUNTIFS(INDIRECT("Table1[Beginn]"),"&lt;="&amp;AX$1,INDIRECT("Table1[Ende]"),"&gt;="&amp;AX$1,INDIRECT("Table1[Obergruppe ATC-Code]"),Tabelle3!$A3)</f>
        <v>13</v>
      </c>
      <c r="AY3">
        <f ca="1">COUNTIFS(INDIRECT("Table1[Beginn]"),"&lt;="&amp;AY$1,INDIRECT("Table1[Ende]"),"&gt;="&amp;AY$1,INDIRECT("Table1[Obergruppe ATC-Code]"),Tabelle3!$A3)</f>
        <v>13</v>
      </c>
      <c r="AZ3">
        <f ca="1">COUNTIFS(INDIRECT("Table1[Beginn]"),"&lt;="&amp;AZ$1,INDIRECT("Table1[Ende]"),"&gt;="&amp;AZ$1,INDIRECT("Table1[Obergruppe ATC-Code]"),Tabelle3!$A3)</f>
        <v>13</v>
      </c>
      <c r="BA3">
        <f ca="1">COUNTIFS(INDIRECT("Table1[Beginn]"),"&lt;="&amp;BA$1,INDIRECT("Table1[Ende]"),"&gt;="&amp;BA$1,INDIRECT("Table1[Obergruppe ATC-Code]"),Tabelle3!$A3)</f>
        <v>10</v>
      </c>
      <c r="BB3">
        <f ca="1">COUNTIFS(INDIRECT("Table1[Beginn]"),"&lt;="&amp;BB$1,INDIRECT("Table1[Ende]"),"&gt;="&amp;BB$1,INDIRECT("Table1[Obergruppe ATC-Code]"),Tabelle3!$A3)</f>
        <v>10</v>
      </c>
      <c r="BC3">
        <f ca="1">COUNTIFS(INDIRECT("Table1[Beginn]"),"&lt;="&amp;BC$1,INDIRECT("Table1[Ende]"),"&gt;="&amp;BC$1,INDIRECT("Table1[Obergruppe ATC-Code]"),Tabelle3!$A3)</f>
        <v>10</v>
      </c>
      <c r="BD3">
        <f ca="1">COUNTIFS(INDIRECT("Table1[Beginn]"),"&lt;="&amp;BD$1,INDIRECT("Table1[Ende]"),"&gt;="&amp;BD$1,INDIRECT("Table1[Obergruppe ATC-Code]"),Tabelle3!$A3)</f>
        <v>8</v>
      </c>
      <c r="BE3">
        <f ca="1">COUNTIFS(INDIRECT("Table1[Beginn]"),"&lt;="&amp;BE$1,INDIRECT("Table1[Ende]"),"&gt;="&amp;BE$1,INDIRECT("Table1[Obergruppe ATC-Code]"),Tabelle3!$A3)</f>
        <v>8</v>
      </c>
      <c r="BF3">
        <f ca="1">COUNTIFS(INDIRECT("Table1[Beginn]"),"&lt;="&amp;BF$1,INDIRECT("Table1[Ende]"),"&gt;="&amp;BF$1,INDIRECT("Table1[Obergruppe ATC-Code]"),Tabelle3!$A3)</f>
        <v>8</v>
      </c>
      <c r="BG3">
        <f ca="1">COUNTIFS(INDIRECT("Table1[Beginn]"),"&lt;="&amp;BG$1,INDIRECT("Table1[Ende]"),"&gt;="&amp;BG$1,INDIRECT("Table1[Obergruppe ATC-Code]"),Tabelle3!$A3)</f>
        <v>8</v>
      </c>
      <c r="BH3">
        <f ca="1">COUNTIFS(INDIRECT("Table1[Beginn]"),"&lt;="&amp;BH$1,INDIRECT("Table1[Ende]"),"&gt;="&amp;BH$1,INDIRECT("Table1[Obergruppe ATC-Code]"),Tabelle3!$A3)</f>
        <v>8</v>
      </c>
      <c r="BI3">
        <f ca="1">COUNTIFS(INDIRECT("Table1[Beginn]"),"&lt;="&amp;BI$1,INDIRECT("Table1[Ende]"),"&gt;="&amp;BI$1,INDIRECT("Table1[Obergruppe ATC-Code]"),Tabelle3!$A3)</f>
        <v>8</v>
      </c>
      <c r="BJ3">
        <f ca="1">COUNTIFS(INDIRECT("Table1[Beginn]"),"&lt;="&amp;BJ$1,INDIRECT("Table1[Ende]"),"&gt;="&amp;BJ$1,INDIRECT("Table1[Obergruppe ATC-Code]"),Tabelle3!$A3)</f>
        <v>8</v>
      </c>
      <c r="BK3">
        <f ca="1">COUNTIFS(INDIRECT("Table1[Beginn]"),"&lt;="&amp;BK$1,INDIRECT("Table1[Ende]"),"&gt;="&amp;BK$1,INDIRECT("Table1[Obergruppe ATC-Code]"),Tabelle3!$A3)</f>
        <v>8</v>
      </c>
      <c r="BL3">
        <f ca="1">COUNTIFS(INDIRECT("Table1[Beginn]"),"&lt;="&amp;BL$1,INDIRECT("Table1[Ende]"),"&gt;="&amp;BL$1,INDIRECT("Table1[Obergruppe ATC-Code]"),Tabelle3!$A3)</f>
        <v>8</v>
      </c>
      <c r="BM3">
        <f ca="1">COUNTIFS(INDIRECT("Table1[Beginn]"),"&lt;="&amp;BM$1,INDIRECT("Table1[Ende]"),"&gt;="&amp;BM$1,INDIRECT("Table1[Obergruppe ATC-Code]"),Tabelle3!$A3)</f>
        <v>8</v>
      </c>
      <c r="BN3">
        <f ca="1">COUNTIFS(INDIRECT("Table1[Beginn]"),"&lt;="&amp;BN$1,INDIRECT("Table1[Ende]"),"&gt;="&amp;BN$1,INDIRECT("Table1[Obergruppe ATC-Code]"),Tabelle3!$A3)</f>
        <v>10</v>
      </c>
      <c r="BO3">
        <f ca="1">COUNTIFS(INDIRECT("Table1[Beginn]"),"&lt;="&amp;BO$1,INDIRECT("Table1[Ende]"),"&gt;="&amp;BO$1,INDIRECT("Table1[Obergruppe ATC-Code]"),Tabelle3!$A3)</f>
        <v>9</v>
      </c>
      <c r="BP3">
        <f ca="1">COUNTIFS(INDIRECT("Table1[Beginn]"),"&lt;="&amp;BP$1,INDIRECT("Table1[Ende]"),"&gt;="&amp;BP$1,INDIRECT("Table1[Obergruppe ATC-Code]"),Tabelle3!$A3)</f>
        <v>10</v>
      </c>
      <c r="BQ3">
        <f ca="1">COUNTIFS(INDIRECT("Table1[Beginn]"),"&lt;="&amp;BQ$1,INDIRECT("Table1[Ende]"),"&gt;="&amp;BQ$1,INDIRECT("Table1[Obergruppe ATC-Code]"),Tabelle3!$A3)</f>
        <v>10</v>
      </c>
      <c r="BR3">
        <f ca="1">COUNTIFS(INDIRECT("Table1[Beginn]"),"&lt;="&amp;BR$1,INDIRECT("Table1[Ende]"),"&gt;="&amp;BR$1,INDIRECT("Table1[Obergruppe ATC-Code]"),Tabelle3!$A3)</f>
        <v>10</v>
      </c>
      <c r="BS3">
        <f ca="1">COUNTIFS(INDIRECT("Table1[Beginn]"),"&lt;="&amp;BS$1,INDIRECT("Table1[Ende]"),"&gt;="&amp;BS$1,INDIRECT("Table1[Obergruppe ATC-Code]"),Tabelle3!$A3)</f>
        <v>11</v>
      </c>
      <c r="BT3">
        <f ca="1">COUNTIFS(INDIRECT("Table1[Beginn]"),"&lt;="&amp;BT$1,INDIRECT("Table1[Ende]"),"&gt;="&amp;BT$1,INDIRECT("Table1[Obergruppe ATC-Code]"),Tabelle3!$A3)</f>
        <v>11</v>
      </c>
      <c r="BU3">
        <f ca="1">COUNTIFS(INDIRECT("Table1[Beginn]"),"&lt;="&amp;BU$1,INDIRECT("Table1[Ende]"),"&gt;="&amp;BU$1,INDIRECT("Table1[Obergruppe ATC-Code]"),Tabelle3!$A3)</f>
        <v>11</v>
      </c>
      <c r="BV3">
        <f ca="1">COUNTIFS(INDIRECT("Table1[Beginn]"),"&lt;="&amp;BV$1,INDIRECT("Table1[Ende]"),"&gt;="&amp;BV$1,INDIRECT("Table1[Obergruppe ATC-Code]"),Tabelle3!$A3)</f>
        <v>11</v>
      </c>
      <c r="BW3">
        <f ca="1">COUNTIFS(INDIRECT("Table1[Beginn]"),"&lt;="&amp;BW$1,INDIRECT("Table1[Ende]"),"&gt;="&amp;BW$1,INDIRECT("Table1[Obergruppe ATC-Code]"),Tabelle3!$A3)</f>
        <v>13</v>
      </c>
      <c r="BX3">
        <f ca="1">COUNTIFS(INDIRECT("Table1[Beginn]"),"&lt;="&amp;BX$1,INDIRECT("Table1[Ende]"),"&gt;="&amp;BX$1,INDIRECT("Table1[Obergruppe ATC-Code]"),Tabelle3!$A3)</f>
        <v>12</v>
      </c>
      <c r="BY3">
        <f ca="1">COUNTIFS(INDIRECT("Table1[Beginn]"),"&lt;="&amp;BY$1,INDIRECT("Table1[Ende]"),"&gt;="&amp;BY$1,INDIRECT("Table1[Obergruppe ATC-Code]"),Tabelle3!$A3)</f>
        <v>12</v>
      </c>
      <c r="BZ3">
        <f ca="1">COUNTIFS(INDIRECT("Table1[Beginn]"),"&lt;="&amp;BZ$1,INDIRECT("Table1[Ende]"),"&gt;="&amp;BZ$1,INDIRECT("Table1[Obergruppe ATC-Code]"),Tabelle3!$A3)</f>
        <v>10</v>
      </c>
      <c r="CA3">
        <f ca="1">COUNTIFS(INDIRECT("Table1[Beginn]"),"&lt;="&amp;CA$1,INDIRECT("Table1[Ende]"),"&gt;="&amp;CA$1,INDIRECT("Table1[Obergruppe ATC-Code]"),Tabelle3!$A3)</f>
        <v>7</v>
      </c>
      <c r="CB3">
        <f ca="1">COUNTIFS(INDIRECT("Table1[Beginn]"),"&lt;="&amp;CB$1,INDIRECT("Table1[Ende]"),"&gt;="&amp;CB$1,INDIRECT("Table1[Obergruppe ATC-Code]"),Tabelle3!$A3)</f>
        <v>9</v>
      </c>
      <c r="CC3">
        <f ca="1">COUNTIFS(INDIRECT("Table1[Beginn]"),"&lt;="&amp;CC$1,INDIRECT("Table1[Ende]"),"&gt;="&amp;CC$1,INDIRECT("Table1[Obergruppe ATC-Code]"),Tabelle3!$A3)</f>
        <v>9</v>
      </c>
      <c r="CD3">
        <f ca="1">COUNTIFS(INDIRECT("Table1[Beginn]"),"&lt;="&amp;CD$1,INDIRECT("Table1[Ende]"),"&gt;="&amp;CD$1,INDIRECT("Table1[Obergruppe ATC-Code]"),Tabelle3!$A3)</f>
        <v>10</v>
      </c>
      <c r="CE3">
        <f ca="1">COUNTIFS(INDIRECT("Table1[Beginn]"),"&lt;="&amp;CE$1,INDIRECT("Table1[Ende]"),"&gt;="&amp;CE$1,INDIRECT("Table1[Obergruppe ATC-Code]"),Tabelle3!$A3)</f>
        <v>7</v>
      </c>
      <c r="CF3">
        <f ca="1">COUNTIFS(INDIRECT("Table1[Beginn]"),"&lt;="&amp;CF$1,INDIRECT("Table1[Ende]"),"&gt;="&amp;CF$1,INDIRECT("Table1[Obergruppe ATC-Code]"),Tabelle3!$A3)</f>
        <v>7</v>
      </c>
      <c r="CG3">
        <f ca="1">COUNTIFS(INDIRECT("Table1[Beginn]"),"&lt;="&amp;CG$1,INDIRECT("Table1[Ende]"),"&gt;="&amp;CG$1,INDIRECT("Table1[Obergruppe ATC-Code]"),Tabelle3!$A3)</f>
        <v>5</v>
      </c>
      <c r="CH3">
        <f ca="1">COUNTIFS(INDIRECT("Table1[Beginn]"),"&lt;="&amp;CH$1,INDIRECT("Table1[Ende]"),"&gt;="&amp;CH$1,INDIRECT("Table1[Obergruppe ATC-Code]"),Tabelle3!$A3)</f>
        <v>5</v>
      </c>
      <c r="CI3">
        <f ca="1">COUNTIFS(INDIRECT("Table1[Beginn]"),"&lt;="&amp;CI$1,INDIRECT("Table1[Ende]"),"&gt;="&amp;CI$1,INDIRECT("Table1[Obergruppe ATC-Code]"),Tabelle3!$A3)</f>
        <v>5</v>
      </c>
      <c r="CJ3">
        <f ca="1">COUNTIFS(INDIRECT("Table1[Beginn]"),"&lt;="&amp;CJ$1,INDIRECT("Table1[Ende]"),"&gt;="&amp;CJ$1,INDIRECT("Table1[Obergruppe ATC-Code]"),Tabelle3!$A3)</f>
        <v>5</v>
      </c>
      <c r="CK3">
        <f ca="1">COUNTIFS(INDIRECT("Table1[Beginn]"),"&lt;="&amp;CK$1,INDIRECT("Table1[Ende]"),"&gt;="&amp;CK$1,INDIRECT("Table1[Obergruppe ATC-Code]"),Tabelle3!$A3)</f>
        <v>5</v>
      </c>
      <c r="CL3">
        <f ca="1">COUNTIFS(INDIRECT("Table1[Beginn]"),"&lt;="&amp;CL$1,INDIRECT("Table1[Ende]"),"&gt;="&amp;CL$1,INDIRECT("Table1[Obergruppe ATC-Code]"),Tabelle3!$A3)</f>
        <v>5</v>
      </c>
      <c r="CM3">
        <f ca="1">COUNTIFS(INDIRECT("Table1[Beginn]"),"&lt;="&amp;CM$1,INDIRECT("Table1[Ende]"),"&gt;="&amp;CM$1,INDIRECT("Table1[Obergruppe ATC-Code]"),Tabelle3!$A3)</f>
        <v>0</v>
      </c>
      <c r="CN3">
        <f ca="1">COUNTIFS(INDIRECT("Table1[Beginn]"),"&lt;="&amp;CN$1,INDIRECT("Table1[Ende]"),"&gt;="&amp;CN$1,INDIRECT("Table1[Obergruppe ATC-Code]"),Tabelle3!$A3)</f>
        <v>0</v>
      </c>
      <c r="CO3">
        <f ca="1">COUNTIFS(INDIRECT("Table1[Beginn]"),"&lt;="&amp;CO$1,INDIRECT("Table1[Ende]"),"&gt;="&amp;CO$1,INDIRECT("Table1[Obergruppe ATC-Code]"),Tabelle3!$A3)</f>
        <v>0</v>
      </c>
      <c r="CP3">
        <f ca="1">COUNTIFS(INDIRECT("Table1[Beginn]"),"&lt;="&amp;CP$1,INDIRECT("Table1[Ende]"),"&gt;="&amp;CP$1,INDIRECT("Table1[Obergruppe ATC-Code]"),Tabelle3!$A3)</f>
        <v>0</v>
      </c>
      <c r="CQ3">
        <f ca="1">COUNTIFS(INDIRECT("Table1[Beginn]"),"&lt;="&amp;CQ$1,INDIRECT("Table1[Ende]"),"&gt;="&amp;CQ$1,INDIRECT("Table1[Obergruppe ATC-Code]"),Tabelle3!$A3)</f>
        <v>0</v>
      </c>
      <c r="CR3">
        <f ca="1">COUNTIFS(INDIRECT("Table1[Beginn]"),"&lt;="&amp;CR$1,INDIRECT("Table1[Ende]"),"&gt;="&amp;CR$1,INDIRECT("Table1[Obergruppe ATC-Code]"),Tabelle3!$A3)</f>
        <v>0</v>
      </c>
    </row>
    <row r="4" spans="1:96" ht="18">
      <c r="A4" s="7" t="s">
        <v>6776</v>
      </c>
      <c r="B4" s="8" t="s">
        <v>6777</v>
      </c>
      <c r="C4">
        <f ca="1">COUNTIFS(INDIRECT("Table1[Beginn]"),"&lt;="&amp;C$1,INDIRECT("Table1[Ende]"),"&gt;="&amp;C$1,INDIRECT("Table1[Obergruppe ATC-Code]"),Tabelle3!$A4)</f>
        <v>0</v>
      </c>
      <c r="D4">
        <f ca="1">COUNTIFS(INDIRECT("Table1[Beginn]"),"&lt;="&amp;D$1,INDIRECT("Table1[Ende]"),"&gt;="&amp;D$1,INDIRECT("Table1[Obergruppe ATC-Code]"),Tabelle3!$A4)</f>
        <v>0</v>
      </c>
      <c r="E4">
        <f ca="1">COUNTIFS(INDIRECT("Table1[Beginn]"),"&lt;="&amp;E$1,INDIRECT("Table1[Ende]"),"&gt;="&amp;E$1,INDIRECT("Table1[Obergruppe ATC-Code]"),Tabelle3!$A4)</f>
        <v>0</v>
      </c>
      <c r="F4">
        <f ca="1">COUNTIFS(INDIRECT("Table1[Beginn]"),"&lt;="&amp;F$1,INDIRECT("Table1[Ende]"),"&gt;="&amp;F$1,INDIRECT("Table1[Obergruppe ATC-Code]"),Tabelle3!$A4)</f>
        <v>0</v>
      </c>
      <c r="G4">
        <f ca="1">COUNTIFS(INDIRECT("Table1[Beginn]"),"&lt;="&amp;G$1,INDIRECT("Table1[Ende]"),"&gt;="&amp;G$1,INDIRECT("Table1[Obergruppe ATC-Code]"),Tabelle3!$A4)</f>
        <v>0</v>
      </c>
      <c r="H4">
        <f ca="1">COUNTIFS(INDIRECT("Table1[Beginn]"),"&lt;="&amp;H$1,INDIRECT("Table1[Ende]"),"&gt;="&amp;H$1,INDIRECT("Table1[Obergruppe ATC-Code]"),Tabelle3!$A4)</f>
        <v>0</v>
      </c>
      <c r="I4">
        <f ca="1">COUNTIFS(INDIRECT("Table1[Beginn]"),"&lt;="&amp;I$1,INDIRECT("Table1[Ende]"),"&gt;="&amp;I$1,INDIRECT("Table1[Obergruppe ATC-Code]"),Tabelle3!$A4)</f>
        <v>0</v>
      </c>
      <c r="J4">
        <f ca="1">COUNTIFS(INDIRECT("Table1[Beginn]"),"&lt;="&amp;J$1,INDIRECT("Table1[Ende]"),"&gt;="&amp;J$1,INDIRECT("Table1[Obergruppe ATC-Code]"),Tabelle3!$A4)</f>
        <v>0</v>
      </c>
      <c r="K4">
        <f ca="1">COUNTIFS(INDIRECT("Table1[Beginn]"),"&lt;="&amp;K$1,INDIRECT("Table1[Ende]"),"&gt;="&amp;K$1,INDIRECT("Table1[Obergruppe ATC-Code]"),Tabelle3!$A4)</f>
        <v>0</v>
      </c>
      <c r="L4">
        <f ca="1">COUNTIFS(INDIRECT("Table1[Beginn]"),"&lt;="&amp;L$1,INDIRECT("Table1[Ende]"),"&gt;="&amp;L$1,INDIRECT("Table1[Obergruppe ATC-Code]"),Tabelle3!$A4)</f>
        <v>0</v>
      </c>
      <c r="M4">
        <f ca="1">COUNTIFS(INDIRECT("Table1[Beginn]"),"&lt;="&amp;M$1,INDIRECT("Table1[Ende]"),"&gt;="&amp;M$1,INDIRECT("Table1[Obergruppe ATC-Code]"),Tabelle3!$A4)</f>
        <v>0</v>
      </c>
      <c r="N4">
        <f ca="1">COUNTIFS(INDIRECT("Table1[Beginn]"),"&lt;="&amp;N$1,INDIRECT("Table1[Ende]"),"&gt;="&amp;N$1,INDIRECT("Table1[Obergruppe ATC-Code]"),Tabelle3!$A4)</f>
        <v>0</v>
      </c>
      <c r="O4">
        <f ca="1">COUNTIFS(INDIRECT("Table1[Beginn]"),"&lt;="&amp;O$1,INDIRECT("Table1[Ende]"),"&gt;="&amp;O$1,INDIRECT("Table1[Obergruppe ATC-Code]"),Tabelle3!$A4)</f>
        <v>0</v>
      </c>
      <c r="P4">
        <f ca="1">COUNTIFS(INDIRECT("Table1[Beginn]"),"&lt;="&amp;P$1,INDIRECT("Table1[Ende]"),"&gt;="&amp;P$1,INDIRECT("Table1[Obergruppe ATC-Code]"),Tabelle3!$A4)</f>
        <v>0</v>
      </c>
      <c r="Q4">
        <f ca="1">COUNTIFS(INDIRECT("Table1[Beginn]"),"&lt;="&amp;Q$1,INDIRECT("Table1[Ende]"),"&gt;="&amp;Q$1,INDIRECT("Table1[Obergruppe ATC-Code]"),Tabelle3!$A4)</f>
        <v>0</v>
      </c>
      <c r="R4">
        <f ca="1">COUNTIFS(INDIRECT("Table1[Beginn]"),"&lt;="&amp;R$1,INDIRECT("Table1[Ende]"),"&gt;="&amp;R$1,INDIRECT("Table1[Obergruppe ATC-Code]"),Tabelle3!$A4)</f>
        <v>0</v>
      </c>
      <c r="S4">
        <f ca="1">COUNTIFS(INDIRECT("Table1[Beginn]"),"&lt;="&amp;S$1,INDIRECT("Table1[Ende]"),"&gt;="&amp;S$1,INDIRECT("Table1[Obergruppe ATC-Code]"),Tabelle3!$A4)</f>
        <v>0</v>
      </c>
      <c r="T4">
        <f ca="1">COUNTIFS(INDIRECT("Table1[Beginn]"),"&lt;="&amp;T$1,INDIRECT("Table1[Ende]"),"&gt;="&amp;T$1,INDIRECT("Table1[Obergruppe ATC-Code]"),Tabelle3!$A4)</f>
        <v>0</v>
      </c>
      <c r="U4">
        <f ca="1">COUNTIFS(INDIRECT("Table1[Beginn]"),"&lt;="&amp;U$1,INDIRECT("Table1[Ende]"),"&gt;="&amp;U$1,INDIRECT("Table1[Obergruppe ATC-Code]"),Tabelle3!$A4)</f>
        <v>0</v>
      </c>
      <c r="V4">
        <f ca="1">COUNTIFS(INDIRECT("Table1[Beginn]"),"&lt;="&amp;V$1,INDIRECT("Table1[Ende]"),"&gt;="&amp;V$1,INDIRECT("Table1[Obergruppe ATC-Code]"),Tabelle3!$A4)</f>
        <v>0</v>
      </c>
      <c r="W4">
        <f ca="1">COUNTIFS(INDIRECT("Table1[Beginn]"),"&lt;="&amp;W$1,INDIRECT("Table1[Ende]"),"&gt;="&amp;W$1,INDIRECT("Table1[Obergruppe ATC-Code]"),Tabelle3!$A4)</f>
        <v>0</v>
      </c>
      <c r="X4">
        <f ca="1">COUNTIFS(INDIRECT("Table1[Beginn]"),"&lt;="&amp;X$1,INDIRECT("Table1[Ende]"),"&gt;="&amp;X$1,INDIRECT("Table1[Obergruppe ATC-Code]"),Tabelle3!$A4)</f>
        <v>0</v>
      </c>
      <c r="Y4">
        <f ca="1">COUNTIFS(INDIRECT("Table1[Beginn]"),"&lt;="&amp;Y$1,INDIRECT("Table1[Ende]"),"&gt;="&amp;Y$1,INDIRECT("Table1[Obergruppe ATC-Code]"),Tabelle3!$A4)</f>
        <v>0</v>
      </c>
      <c r="Z4">
        <f ca="1">COUNTIFS(INDIRECT("Table1[Beginn]"),"&lt;="&amp;Z$1,INDIRECT("Table1[Ende]"),"&gt;="&amp;Z$1,INDIRECT("Table1[Obergruppe ATC-Code]"),Tabelle3!$A4)</f>
        <v>0</v>
      </c>
      <c r="AA4">
        <f ca="1">COUNTIFS(INDIRECT("Table1[Beginn]"),"&lt;="&amp;AA$1,INDIRECT("Table1[Ende]"),"&gt;="&amp;AA$1,INDIRECT("Table1[Obergruppe ATC-Code]"),Tabelle3!$A4)</f>
        <v>0</v>
      </c>
      <c r="AB4">
        <f ca="1">COUNTIFS(INDIRECT("Table1[Beginn]"),"&lt;="&amp;AB$1,INDIRECT("Table1[Ende]"),"&gt;="&amp;AB$1,INDIRECT("Table1[Obergruppe ATC-Code]"),Tabelle3!$A4)</f>
        <v>0</v>
      </c>
      <c r="AC4">
        <f ca="1">COUNTIFS(INDIRECT("Table1[Beginn]"),"&lt;="&amp;AC$1,INDIRECT("Table1[Ende]"),"&gt;="&amp;AC$1,INDIRECT("Table1[Obergruppe ATC-Code]"),Tabelle3!$A4)</f>
        <v>0</v>
      </c>
      <c r="AD4">
        <f ca="1">COUNTIFS(INDIRECT("Table1[Beginn]"),"&lt;="&amp;AD$1,INDIRECT("Table1[Ende]"),"&gt;="&amp;AD$1,INDIRECT("Table1[Obergruppe ATC-Code]"),Tabelle3!$A4)</f>
        <v>0</v>
      </c>
      <c r="AE4">
        <f ca="1">COUNTIFS(INDIRECT("Table1[Beginn]"),"&lt;="&amp;AE$1,INDIRECT("Table1[Ende]"),"&gt;="&amp;AE$1,INDIRECT("Table1[Obergruppe ATC-Code]"),Tabelle3!$A4)</f>
        <v>0</v>
      </c>
      <c r="AF4">
        <f ca="1">COUNTIFS(INDIRECT("Table1[Beginn]"),"&lt;="&amp;AF$1,INDIRECT("Table1[Ende]"),"&gt;="&amp;AF$1,INDIRECT("Table1[Obergruppe ATC-Code]"),Tabelle3!$A4)</f>
        <v>0</v>
      </c>
      <c r="AG4">
        <f ca="1">COUNTIFS(INDIRECT("Table1[Beginn]"),"&lt;="&amp;AG$1,INDIRECT("Table1[Ende]"),"&gt;="&amp;AG$1,INDIRECT("Table1[Obergruppe ATC-Code]"),Tabelle3!$A4)</f>
        <v>0</v>
      </c>
      <c r="AH4">
        <f ca="1">COUNTIFS(INDIRECT("Table1[Beginn]"),"&lt;="&amp;AH$1,INDIRECT("Table1[Ende]"),"&gt;="&amp;AH$1,INDIRECT("Table1[Obergruppe ATC-Code]"),Tabelle3!$A4)</f>
        <v>0</v>
      </c>
      <c r="AI4">
        <f ca="1">COUNTIFS(INDIRECT("Table1[Beginn]"),"&lt;="&amp;AI$1,INDIRECT("Table1[Ende]"),"&gt;="&amp;AI$1,INDIRECT("Table1[Obergruppe ATC-Code]"),Tabelle3!$A4)</f>
        <v>0</v>
      </c>
      <c r="AJ4">
        <f ca="1">COUNTIFS(INDIRECT("Table1[Beginn]"),"&lt;="&amp;AJ$1,INDIRECT("Table1[Ende]"),"&gt;="&amp;AJ$1,INDIRECT("Table1[Obergruppe ATC-Code]"),Tabelle3!$A4)</f>
        <v>0</v>
      </c>
      <c r="AK4">
        <f ca="1">COUNTIFS(INDIRECT("Table1[Beginn]"),"&lt;="&amp;AK$1,INDIRECT("Table1[Ende]"),"&gt;="&amp;AK$1,INDIRECT("Table1[Obergruppe ATC-Code]"),Tabelle3!$A4)</f>
        <v>0</v>
      </c>
      <c r="AL4">
        <f ca="1">COUNTIFS(INDIRECT("Table1[Beginn]"),"&lt;="&amp;AL$1,INDIRECT("Table1[Ende]"),"&gt;="&amp;AL$1,INDIRECT("Table1[Obergruppe ATC-Code]"),Tabelle3!$A4)</f>
        <v>0</v>
      </c>
      <c r="AM4">
        <f ca="1">COUNTIFS(INDIRECT("Table1[Beginn]"),"&lt;="&amp;AM$1,INDIRECT("Table1[Ende]"),"&gt;="&amp;AM$1,INDIRECT("Table1[Obergruppe ATC-Code]"),Tabelle3!$A4)</f>
        <v>1</v>
      </c>
      <c r="AN4">
        <f ca="1">COUNTIFS(INDIRECT("Table1[Beginn]"),"&lt;="&amp;AN$1,INDIRECT("Table1[Ende]"),"&gt;="&amp;AN$1,INDIRECT("Table1[Obergruppe ATC-Code]"),Tabelle3!$A4)</f>
        <v>1</v>
      </c>
      <c r="AO4">
        <f ca="1">COUNTIFS(INDIRECT("Table1[Beginn]"),"&lt;="&amp;AO$1,INDIRECT("Table1[Ende]"),"&gt;="&amp;AO$1,INDIRECT("Table1[Obergruppe ATC-Code]"),Tabelle3!$A4)</f>
        <v>1</v>
      </c>
      <c r="AP4">
        <f ca="1">COUNTIFS(INDIRECT("Table1[Beginn]"),"&lt;="&amp;AP$1,INDIRECT("Table1[Ende]"),"&gt;="&amp;AP$1,INDIRECT("Table1[Obergruppe ATC-Code]"),Tabelle3!$A4)</f>
        <v>1</v>
      </c>
      <c r="AQ4">
        <f ca="1">COUNTIFS(INDIRECT("Table1[Beginn]"),"&lt;="&amp;AQ$1,INDIRECT("Table1[Ende]"),"&gt;="&amp;AQ$1,INDIRECT("Table1[Obergruppe ATC-Code]"),Tabelle3!$A4)</f>
        <v>1</v>
      </c>
      <c r="AR4">
        <f ca="1">COUNTIFS(INDIRECT("Table1[Beginn]"),"&lt;="&amp;AR$1,INDIRECT("Table1[Ende]"),"&gt;="&amp;AR$1,INDIRECT("Table1[Obergruppe ATC-Code]"),Tabelle3!$A4)</f>
        <v>1</v>
      </c>
      <c r="AS4">
        <f ca="1">COUNTIFS(INDIRECT("Table1[Beginn]"),"&lt;="&amp;AS$1,INDIRECT("Table1[Ende]"),"&gt;="&amp;AS$1,INDIRECT("Table1[Obergruppe ATC-Code]"),Tabelle3!$A4)</f>
        <v>1</v>
      </c>
      <c r="AT4">
        <f ca="1">COUNTIFS(INDIRECT("Table1[Beginn]"),"&lt;="&amp;AT$1,INDIRECT("Table1[Ende]"),"&gt;="&amp;AT$1,INDIRECT("Table1[Obergruppe ATC-Code]"),Tabelle3!$A4)</f>
        <v>1</v>
      </c>
      <c r="AU4">
        <f ca="1">COUNTIFS(INDIRECT("Table1[Beginn]"),"&lt;="&amp;AU$1,INDIRECT("Table1[Ende]"),"&gt;="&amp;AU$1,INDIRECT("Table1[Obergruppe ATC-Code]"),Tabelle3!$A4)</f>
        <v>1</v>
      </c>
      <c r="AV4">
        <f ca="1">COUNTIFS(INDIRECT("Table1[Beginn]"),"&lt;="&amp;AV$1,INDIRECT("Table1[Ende]"),"&gt;="&amp;AV$1,INDIRECT("Table1[Obergruppe ATC-Code]"),Tabelle3!$A4)</f>
        <v>1</v>
      </c>
      <c r="AW4">
        <f ca="1">COUNTIFS(INDIRECT("Table1[Beginn]"),"&lt;="&amp;AW$1,INDIRECT("Table1[Ende]"),"&gt;="&amp;AW$1,INDIRECT("Table1[Obergruppe ATC-Code]"),Tabelle3!$A4)</f>
        <v>1</v>
      </c>
      <c r="AX4">
        <f ca="1">COUNTIFS(INDIRECT("Table1[Beginn]"),"&lt;="&amp;AX$1,INDIRECT("Table1[Ende]"),"&gt;="&amp;AX$1,INDIRECT("Table1[Obergruppe ATC-Code]"),Tabelle3!$A4)</f>
        <v>1</v>
      </c>
      <c r="AY4">
        <f ca="1">COUNTIFS(INDIRECT("Table1[Beginn]"),"&lt;="&amp;AY$1,INDIRECT("Table1[Ende]"),"&gt;="&amp;AY$1,INDIRECT("Table1[Obergruppe ATC-Code]"),Tabelle3!$A4)</f>
        <v>2</v>
      </c>
      <c r="AZ4">
        <f ca="1">COUNTIFS(INDIRECT("Table1[Beginn]"),"&lt;="&amp;AZ$1,INDIRECT("Table1[Ende]"),"&gt;="&amp;AZ$1,INDIRECT("Table1[Obergruppe ATC-Code]"),Tabelle3!$A4)</f>
        <v>2</v>
      </c>
      <c r="BA4">
        <f ca="1">COUNTIFS(INDIRECT("Table1[Beginn]"),"&lt;="&amp;BA$1,INDIRECT("Table1[Ende]"),"&gt;="&amp;BA$1,INDIRECT("Table1[Obergruppe ATC-Code]"),Tabelle3!$A4)</f>
        <v>2</v>
      </c>
      <c r="BB4">
        <f ca="1">COUNTIFS(INDIRECT("Table1[Beginn]"),"&lt;="&amp;BB$1,INDIRECT("Table1[Ende]"),"&gt;="&amp;BB$1,INDIRECT("Table1[Obergruppe ATC-Code]"),Tabelle3!$A4)</f>
        <v>2</v>
      </c>
      <c r="BC4">
        <f ca="1">COUNTIFS(INDIRECT("Table1[Beginn]"),"&lt;="&amp;BC$1,INDIRECT("Table1[Ende]"),"&gt;="&amp;BC$1,INDIRECT("Table1[Obergruppe ATC-Code]"),Tabelle3!$A4)</f>
        <v>3</v>
      </c>
      <c r="BD4">
        <f ca="1">COUNTIFS(INDIRECT("Table1[Beginn]"),"&lt;="&amp;BD$1,INDIRECT("Table1[Ende]"),"&gt;="&amp;BD$1,INDIRECT("Table1[Obergruppe ATC-Code]"),Tabelle3!$A4)</f>
        <v>2</v>
      </c>
      <c r="BE4">
        <f ca="1">COUNTIFS(INDIRECT("Table1[Beginn]"),"&lt;="&amp;BE$1,INDIRECT("Table1[Ende]"),"&gt;="&amp;BE$1,INDIRECT("Table1[Obergruppe ATC-Code]"),Tabelle3!$A4)</f>
        <v>1</v>
      </c>
      <c r="BF4">
        <f ca="1">COUNTIFS(INDIRECT("Table1[Beginn]"),"&lt;="&amp;BF$1,INDIRECT("Table1[Ende]"),"&gt;="&amp;BF$1,INDIRECT("Table1[Obergruppe ATC-Code]"),Tabelle3!$A4)</f>
        <v>1</v>
      </c>
      <c r="BG4">
        <f ca="1">COUNTIFS(INDIRECT("Table1[Beginn]"),"&lt;="&amp;BG$1,INDIRECT("Table1[Ende]"),"&gt;="&amp;BG$1,INDIRECT("Table1[Obergruppe ATC-Code]"),Tabelle3!$A4)</f>
        <v>2</v>
      </c>
      <c r="BH4">
        <f ca="1">COUNTIFS(INDIRECT("Table1[Beginn]"),"&lt;="&amp;BH$1,INDIRECT("Table1[Ende]"),"&gt;="&amp;BH$1,INDIRECT("Table1[Obergruppe ATC-Code]"),Tabelle3!$A4)</f>
        <v>2</v>
      </c>
      <c r="BI4">
        <f ca="1">COUNTIFS(INDIRECT("Table1[Beginn]"),"&lt;="&amp;BI$1,INDIRECT("Table1[Ende]"),"&gt;="&amp;BI$1,INDIRECT("Table1[Obergruppe ATC-Code]"),Tabelle3!$A4)</f>
        <v>2</v>
      </c>
      <c r="BJ4">
        <f ca="1">COUNTIFS(INDIRECT("Table1[Beginn]"),"&lt;="&amp;BJ$1,INDIRECT("Table1[Ende]"),"&gt;="&amp;BJ$1,INDIRECT("Table1[Obergruppe ATC-Code]"),Tabelle3!$A4)</f>
        <v>2</v>
      </c>
      <c r="BK4">
        <f ca="1">COUNTIFS(INDIRECT("Table1[Beginn]"),"&lt;="&amp;BK$1,INDIRECT("Table1[Ende]"),"&gt;="&amp;BK$1,INDIRECT("Table1[Obergruppe ATC-Code]"),Tabelle3!$A4)</f>
        <v>2</v>
      </c>
      <c r="BL4">
        <f ca="1">COUNTIFS(INDIRECT("Table1[Beginn]"),"&lt;="&amp;BL$1,INDIRECT("Table1[Ende]"),"&gt;="&amp;BL$1,INDIRECT("Table1[Obergruppe ATC-Code]"),Tabelle3!$A4)</f>
        <v>2</v>
      </c>
      <c r="BM4">
        <f ca="1">COUNTIFS(INDIRECT("Table1[Beginn]"),"&lt;="&amp;BM$1,INDIRECT("Table1[Ende]"),"&gt;="&amp;BM$1,INDIRECT("Table1[Obergruppe ATC-Code]"),Tabelle3!$A4)</f>
        <v>2</v>
      </c>
      <c r="BN4">
        <f ca="1">COUNTIFS(INDIRECT("Table1[Beginn]"),"&lt;="&amp;BN$1,INDIRECT("Table1[Ende]"),"&gt;="&amp;BN$1,INDIRECT("Table1[Obergruppe ATC-Code]"),Tabelle3!$A4)</f>
        <v>2</v>
      </c>
      <c r="BO4">
        <f ca="1">COUNTIFS(INDIRECT("Table1[Beginn]"),"&lt;="&amp;BO$1,INDIRECT("Table1[Ende]"),"&gt;="&amp;BO$1,INDIRECT("Table1[Obergruppe ATC-Code]"),Tabelle3!$A4)</f>
        <v>1</v>
      </c>
      <c r="BP4">
        <f ca="1">COUNTIFS(INDIRECT("Table1[Beginn]"),"&lt;="&amp;BP$1,INDIRECT("Table1[Ende]"),"&gt;="&amp;BP$1,INDIRECT("Table1[Obergruppe ATC-Code]"),Tabelle3!$A4)</f>
        <v>0</v>
      </c>
      <c r="BQ4">
        <f ca="1">COUNTIFS(INDIRECT("Table1[Beginn]"),"&lt;="&amp;BQ$1,INDIRECT("Table1[Ende]"),"&gt;="&amp;BQ$1,INDIRECT("Table1[Obergruppe ATC-Code]"),Tabelle3!$A4)</f>
        <v>0</v>
      </c>
      <c r="BR4">
        <f ca="1">COUNTIFS(INDIRECT("Table1[Beginn]"),"&lt;="&amp;BR$1,INDIRECT("Table1[Ende]"),"&gt;="&amp;BR$1,INDIRECT("Table1[Obergruppe ATC-Code]"),Tabelle3!$A4)</f>
        <v>0</v>
      </c>
      <c r="BS4">
        <f ca="1">COUNTIFS(INDIRECT("Table1[Beginn]"),"&lt;="&amp;BS$1,INDIRECT("Table1[Ende]"),"&gt;="&amp;BS$1,INDIRECT("Table1[Obergruppe ATC-Code]"),Tabelle3!$A4)</f>
        <v>0</v>
      </c>
      <c r="BT4">
        <f ca="1">COUNTIFS(INDIRECT("Table1[Beginn]"),"&lt;="&amp;BT$1,INDIRECT("Table1[Ende]"),"&gt;="&amp;BT$1,INDIRECT("Table1[Obergruppe ATC-Code]"),Tabelle3!$A4)</f>
        <v>0</v>
      </c>
      <c r="BU4">
        <f ca="1">COUNTIFS(INDIRECT("Table1[Beginn]"),"&lt;="&amp;BU$1,INDIRECT("Table1[Ende]"),"&gt;="&amp;BU$1,INDIRECT("Table1[Obergruppe ATC-Code]"),Tabelle3!$A4)</f>
        <v>0</v>
      </c>
      <c r="BV4">
        <f ca="1">COUNTIFS(INDIRECT("Table1[Beginn]"),"&lt;="&amp;BV$1,INDIRECT("Table1[Ende]"),"&gt;="&amp;BV$1,INDIRECT("Table1[Obergruppe ATC-Code]"),Tabelle3!$A4)</f>
        <v>0</v>
      </c>
      <c r="BW4">
        <f ca="1">COUNTIFS(INDIRECT("Table1[Beginn]"),"&lt;="&amp;BW$1,INDIRECT("Table1[Ende]"),"&gt;="&amp;BW$1,INDIRECT("Table1[Obergruppe ATC-Code]"),Tabelle3!$A4)</f>
        <v>0</v>
      </c>
      <c r="BX4">
        <f ca="1">COUNTIFS(INDIRECT("Table1[Beginn]"),"&lt;="&amp;BX$1,INDIRECT("Table1[Ende]"),"&gt;="&amp;BX$1,INDIRECT("Table1[Obergruppe ATC-Code]"),Tabelle3!$A4)</f>
        <v>2</v>
      </c>
      <c r="BY4">
        <f ca="1">COUNTIFS(INDIRECT("Table1[Beginn]"),"&lt;="&amp;BY$1,INDIRECT("Table1[Ende]"),"&gt;="&amp;BY$1,INDIRECT("Table1[Obergruppe ATC-Code]"),Tabelle3!$A4)</f>
        <v>2</v>
      </c>
      <c r="BZ4">
        <f ca="1">COUNTIFS(INDIRECT("Table1[Beginn]"),"&lt;="&amp;BZ$1,INDIRECT("Table1[Ende]"),"&gt;="&amp;BZ$1,INDIRECT("Table1[Obergruppe ATC-Code]"),Tabelle3!$A4)</f>
        <v>2</v>
      </c>
      <c r="CA4">
        <f ca="1">COUNTIFS(INDIRECT("Table1[Beginn]"),"&lt;="&amp;CA$1,INDIRECT("Table1[Ende]"),"&gt;="&amp;CA$1,INDIRECT("Table1[Obergruppe ATC-Code]"),Tabelle3!$A4)</f>
        <v>2</v>
      </c>
      <c r="CB4">
        <f ca="1">COUNTIFS(INDIRECT("Table1[Beginn]"),"&lt;="&amp;CB$1,INDIRECT("Table1[Ende]"),"&gt;="&amp;CB$1,INDIRECT("Table1[Obergruppe ATC-Code]"),Tabelle3!$A4)</f>
        <v>3</v>
      </c>
      <c r="CC4">
        <f ca="1">COUNTIFS(INDIRECT("Table1[Beginn]"),"&lt;="&amp;CC$1,INDIRECT("Table1[Ende]"),"&gt;="&amp;CC$1,INDIRECT("Table1[Obergruppe ATC-Code]"),Tabelle3!$A4)</f>
        <v>2</v>
      </c>
      <c r="CD4">
        <f ca="1">COUNTIFS(INDIRECT("Table1[Beginn]"),"&lt;="&amp;CD$1,INDIRECT("Table1[Ende]"),"&gt;="&amp;CD$1,INDIRECT("Table1[Obergruppe ATC-Code]"),Tabelle3!$A4)</f>
        <v>2</v>
      </c>
      <c r="CE4">
        <f ca="1">COUNTIFS(INDIRECT("Table1[Beginn]"),"&lt;="&amp;CE$1,INDIRECT("Table1[Ende]"),"&gt;="&amp;CE$1,INDIRECT("Table1[Obergruppe ATC-Code]"),Tabelle3!$A4)</f>
        <v>1</v>
      </c>
      <c r="CF4">
        <f ca="1">COUNTIFS(INDIRECT("Table1[Beginn]"),"&lt;="&amp;CF$1,INDIRECT("Table1[Ende]"),"&gt;="&amp;CF$1,INDIRECT("Table1[Obergruppe ATC-Code]"),Tabelle3!$A4)</f>
        <v>1</v>
      </c>
      <c r="CG4">
        <f ca="1">COUNTIFS(INDIRECT("Table1[Beginn]"),"&lt;="&amp;CG$1,INDIRECT("Table1[Ende]"),"&gt;="&amp;CG$1,INDIRECT("Table1[Obergruppe ATC-Code]"),Tabelle3!$A4)</f>
        <v>0</v>
      </c>
      <c r="CH4">
        <f ca="1">COUNTIFS(INDIRECT("Table1[Beginn]"),"&lt;="&amp;CH$1,INDIRECT("Table1[Ende]"),"&gt;="&amp;CH$1,INDIRECT("Table1[Obergruppe ATC-Code]"),Tabelle3!$A4)</f>
        <v>0</v>
      </c>
      <c r="CI4">
        <f ca="1">COUNTIFS(INDIRECT("Table1[Beginn]"),"&lt;="&amp;CI$1,INDIRECT("Table1[Ende]"),"&gt;="&amp;CI$1,INDIRECT("Table1[Obergruppe ATC-Code]"),Tabelle3!$A4)</f>
        <v>0</v>
      </c>
      <c r="CJ4">
        <f ca="1">COUNTIFS(INDIRECT("Table1[Beginn]"),"&lt;="&amp;CJ$1,INDIRECT("Table1[Ende]"),"&gt;="&amp;CJ$1,INDIRECT("Table1[Obergruppe ATC-Code]"),Tabelle3!$A4)</f>
        <v>0</v>
      </c>
      <c r="CK4">
        <f ca="1">COUNTIFS(INDIRECT("Table1[Beginn]"),"&lt;="&amp;CK$1,INDIRECT("Table1[Ende]"),"&gt;="&amp;CK$1,INDIRECT("Table1[Obergruppe ATC-Code]"),Tabelle3!$A4)</f>
        <v>0</v>
      </c>
      <c r="CL4">
        <f ca="1">COUNTIFS(INDIRECT("Table1[Beginn]"),"&lt;="&amp;CL$1,INDIRECT("Table1[Ende]"),"&gt;="&amp;CL$1,INDIRECT("Table1[Obergruppe ATC-Code]"),Tabelle3!$A4)</f>
        <v>0</v>
      </c>
      <c r="CM4">
        <f ca="1">COUNTIFS(INDIRECT("Table1[Beginn]"),"&lt;="&amp;CM$1,INDIRECT("Table1[Ende]"),"&gt;="&amp;CM$1,INDIRECT("Table1[Obergruppe ATC-Code]"),Tabelle3!$A4)</f>
        <v>0</v>
      </c>
      <c r="CN4">
        <f ca="1">COUNTIFS(INDIRECT("Table1[Beginn]"),"&lt;="&amp;CN$1,INDIRECT("Table1[Ende]"),"&gt;="&amp;CN$1,INDIRECT("Table1[Obergruppe ATC-Code]"),Tabelle3!$A4)</f>
        <v>0</v>
      </c>
      <c r="CO4">
        <f ca="1">COUNTIFS(INDIRECT("Table1[Beginn]"),"&lt;="&amp;CO$1,INDIRECT("Table1[Ende]"),"&gt;="&amp;CO$1,INDIRECT("Table1[Obergruppe ATC-Code]"),Tabelle3!$A4)</f>
        <v>0</v>
      </c>
      <c r="CP4">
        <f ca="1">COUNTIFS(INDIRECT("Table1[Beginn]"),"&lt;="&amp;CP$1,INDIRECT("Table1[Ende]"),"&gt;="&amp;CP$1,INDIRECT("Table1[Obergruppe ATC-Code]"),Tabelle3!$A4)</f>
        <v>0</v>
      </c>
      <c r="CQ4">
        <f ca="1">COUNTIFS(INDIRECT("Table1[Beginn]"),"&lt;="&amp;CQ$1,INDIRECT("Table1[Ende]"),"&gt;="&amp;CQ$1,INDIRECT("Table1[Obergruppe ATC-Code]"),Tabelle3!$A4)</f>
        <v>0</v>
      </c>
      <c r="CR4">
        <f ca="1">COUNTIFS(INDIRECT("Table1[Beginn]"),"&lt;="&amp;CR$1,INDIRECT("Table1[Ende]"),"&gt;="&amp;CR$1,INDIRECT("Table1[Obergruppe ATC-Code]"),Tabelle3!$A4)</f>
        <v>0</v>
      </c>
    </row>
    <row r="5" spans="1:96" ht="18">
      <c r="A5" s="9" t="s">
        <v>6778</v>
      </c>
      <c r="B5" s="10" t="s">
        <v>6779</v>
      </c>
      <c r="C5">
        <f ca="1">COUNTIFS(INDIRECT("Table1[Beginn]"),"&lt;="&amp;C$1,INDIRECT("Table1[Ende]"),"&gt;="&amp;C$1,INDIRECT("Table1[Obergruppe ATC-Code]"),Tabelle3!$A5)</f>
        <v>0</v>
      </c>
      <c r="D5">
        <f ca="1">COUNTIFS(INDIRECT("Table1[Beginn]"),"&lt;="&amp;D$1,INDIRECT("Table1[Ende]"),"&gt;="&amp;D$1,INDIRECT("Table1[Obergruppe ATC-Code]"),Tabelle3!$A5)</f>
        <v>0</v>
      </c>
      <c r="E5">
        <f ca="1">COUNTIFS(INDIRECT("Table1[Beginn]"),"&lt;="&amp;E$1,INDIRECT("Table1[Ende]"),"&gt;="&amp;E$1,INDIRECT("Table1[Obergruppe ATC-Code]"),Tabelle3!$A5)</f>
        <v>0</v>
      </c>
      <c r="F5">
        <f ca="1">COUNTIFS(INDIRECT("Table1[Beginn]"),"&lt;="&amp;F$1,INDIRECT("Table1[Ende]"),"&gt;="&amp;F$1,INDIRECT("Table1[Obergruppe ATC-Code]"),Tabelle3!$A5)</f>
        <v>0</v>
      </c>
      <c r="G5">
        <f ca="1">COUNTIFS(INDIRECT("Table1[Beginn]"),"&lt;="&amp;G$1,INDIRECT("Table1[Ende]"),"&gt;="&amp;G$1,INDIRECT("Table1[Obergruppe ATC-Code]"),Tabelle3!$A5)</f>
        <v>0</v>
      </c>
      <c r="H5">
        <f ca="1">COUNTIFS(INDIRECT("Table1[Beginn]"),"&lt;="&amp;H$1,INDIRECT("Table1[Ende]"),"&gt;="&amp;H$1,INDIRECT("Table1[Obergruppe ATC-Code]"),Tabelle3!$A5)</f>
        <v>0</v>
      </c>
      <c r="I5">
        <f ca="1">COUNTIFS(INDIRECT("Table1[Beginn]"),"&lt;="&amp;I$1,INDIRECT("Table1[Ende]"),"&gt;="&amp;I$1,INDIRECT("Table1[Obergruppe ATC-Code]"),Tabelle3!$A5)</f>
        <v>1</v>
      </c>
      <c r="J5">
        <f ca="1">COUNTIFS(INDIRECT("Table1[Beginn]"),"&lt;="&amp;J$1,INDIRECT("Table1[Ende]"),"&gt;="&amp;J$1,INDIRECT("Table1[Obergruppe ATC-Code]"),Tabelle3!$A5)</f>
        <v>1</v>
      </c>
      <c r="K5">
        <f ca="1">COUNTIFS(INDIRECT("Table1[Beginn]"),"&lt;="&amp;K$1,INDIRECT("Table1[Ende]"),"&gt;="&amp;K$1,INDIRECT("Table1[Obergruppe ATC-Code]"),Tabelle3!$A5)</f>
        <v>1</v>
      </c>
      <c r="L5">
        <f ca="1">COUNTIFS(INDIRECT("Table1[Beginn]"),"&lt;="&amp;L$1,INDIRECT("Table1[Ende]"),"&gt;="&amp;L$1,INDIRECT("Table1[Obergruppe ATC-Code]"),Tabelle3!$A5)</f>
        <v>2</v>
      </c>
      <c r="M5">
        <f ca="1">COUNTIFS(INDIRECT("Table1[Beginn]"),"&lt;="&amp;M$1,INDIRECT("Table1[Ende]"),"&gt;="&amp;M$1,INDIRECT("Table1[Obergruppe ATC-Code]"),Tabelle3!$A5)</f>
        <v>2</v>
      </c>
      <c r="N5">
        <f ca="1">COUNTIFS(INDIRECT("Table1[Beginn]"),"&lt;="&amp;N$1,INDIRECT("Table1[Ende]"),"&gt;="&amp;N$1,INDIRECT("Table1[Obergruppe ATC-Code]"),Tabelle3!$A5)</f>
        <v>2</v>
      </c>
      <c r="O5">
        <f ca="1">COUNTIFS(INDIRECT("Table1[Beginn]"),"&lt;="&amp;O$1,INDIRECT("Table1[Ende]"),"&gt;="&amp;O$1,INDIRECT("Table1[Obergruppe ATC-Code]"),Tabelle3!$A5)</f>
        <v>2</v>
      </c>
      <c r="P5">
        <f ca="1">COUNTIFS(INDIRECT("Table1[Beginn]"),"&lt;="&amp;P$1,INDIRECT("Table1[Ende]"),"&gt;="&amp;P$1,INDIRECT("Table1[Obergruppe ATC-Code]"),Tabelle3!$A5)</f>
        <v>2</v>
      </c>
      <c r="Q5">
        <f ca="1">COUNTIFS(INDIRECT("Table1[Beginn]"),"&lt;="&amp;Q$1,INDIRECT("Table1[Ende]"),"&gt;="&amp;Q$1,INDIRECT("Table1[Obergruppe ATC-Code]"),Tabelle3!$A5)</f>
        <v>2</v>
      </c>
      <c r="R5">
        <f ca="1">COUNTIFS(INDIRECT("Table1[Beginn]"),"&lt;="&amp;R$1,INDIRECT("Table1[Ende]"),"&gt;="&amp;R$1,INDIRECT("Table1[Obergruppe ATC-Code]"),Tabelle3!$A5)</f>
        <v>2</v>
      </c>
      <c r="S5">
        <f ca="1">COUNTIFS(INDIRECT("Table1[Beginn]"),"&lt;="&amp;S$1,INDIRECT("Table1[Ende]"),"&gt;="&amp;S$1,INDIRECT("Table1[Obergruppe ATC-Code]"),Tabelle3!$A5)</f>
        <v>1</v>
      </c>
      <c r="T5">
        <f ca="1">COUNTIFS(INDIRECT("Table1[Beginn]"),"&lt;="&amp;T$1,INDIRECT("Table1[Ende]"),"&gt;="&amp;T$1,INDIRECT("Table1[Obergruppe ATC-Code]"),Tabelle3!$A5)</f>
        <v>1</v>
      </c>
      <c r="U5">
        <f ca="1">COUNTIFS(INDIRECT("Table1[Beginn]"),"&lt;="&amp;U$1,INDIRECT("Table1[Ende]"),"&gt;="&amp;U$1,INDIRECT("Table1[Obergruppe ATC-Code]"),Tabelle3!$A5)</f>
        <v>1</v>
      </c>
      <c r="V5">
        <f ca="1">COUNTIFS(INDIRECT("Table1[Beginn]"),"&lt;="&amp;V$1,INDIRECT("Table1[Ende]"),"&gt;="&amp;V$1,INDIRECT("Table1[Obergruppe ATC-Code]"),Tabelle3!$A5)</f>
        <v>1</v>
      </c>
      <c r="W5">
        <f ca="1">COUNTIFS(INDIRECT("Table1[Beginn]"),"&lt;="&amp;W$1,INDIRECT("Table1[Ende]"),"&gt;="&amp;W$1,INDIRECT("Table1[Obergruppe ATC-Code]"),Tabelle3!$A5)</f>
        <v>1</v>
      </c>
      <c r="X5">
        <f ca="1">COUNTIFS(INDIRECT("Table1[Beginn]"),"&lt;="&amp;X$1,INDIRECT("Table1[Ende]"),"&gt;="&amp;X$1,INDIRECT("Table1[Obergruppe ATC-Code]"),Tabelle3!$A5)</f>
        <v>1</v>
      </c>
      <c r="Y5">
        <f ca="1">COUNTIFS(INDIRECT("Table1[Beginn]"),"&lt;="&amp;Y$1,INDIRECT("Table1[Ende]"),"&gt;="&amp;Y$1,INDIRECT("Table1[Obergruppe ATC-Code]"),Tabelle3!$A5)</f>
        <v>1</v>
      </c>
      <c r="Z5">
        <f ca="1">COUNTIFS(INDIRECT("Table1[Beginn]"),"&lt;="&amp;Z$1,INDIRECT("Table1[Ende]"),"&gt;="&amp;Z$1,INDIRECT("Table1[Obergruppe ATC-Code]"),Tabelle3!$A5)</f>
        <v>2</v>
      </c>
      <c r="AA5">
        <f ca="1">COUNTIFS(INDIRECT("Table1[Beginn]"),"&lt;="&amp;AA$1,INDIRECT("Table1[Ende]"),"&gt;="&amp;AA$1,INDIRECT("Table1[Obergruppe ATC-Code]"),Tabelle3!$A5)</f>
        <v>3</v>
      </c>
      <c r="AB5">
        <f ca="1">COUNTIFS(INDIRECT("Table1[Beginn]"),"&lt;="&amp;AB$1,INDIRECT("Table1[Ende]"),"&gt;="&amp;AB$1,INDIRECT("Table1[Obergruppe ATC-Code]"),Tabelle3!$A5)</f>
        <v>2</v>
      </c>
      <c r="AC5">
        <f ca="1">COUNTIFS(INDIRECT("Table1[Beginn]"),"&lt;="&amp;AC$1,INDIRECT("Table1[Ende]"),"&gt;="&amp;AC$1,INDIRECT("Table1[Obergruppe ATC-Code]"),Tabelle3!$A5)</f>
        <v>1</v>
      </c>
      <c r="AD5">
        <f ca="1">COUNTIFS(INDIRECT("Table1[Beginn]"),"&lt;="&amp;AD$1,INDIRECT("Table1[Ende]"),"&gt;="&amp;AD$1,INDIRECT("Table1[Obergruppe ATC-Code]"),Tabelle3!$A5)</f>
        <v>3</v>
      </c>
      <c r="AE5">
        <f ca="1">COUNTIFS(INDIRECT("Table1[Beginn]"),"&lt;="&amp;AE$1,INDIRECT("Table1[Ende]"),"&gt;="&amp;AE$1,INDIRECT("Table1[Obergruppe ATC-Code]"),Tabelle3!$A5)</f>
        <v>3</v>
      </c>
      <c r="AF5">
        <f ca="1">COUNTIFS(INDIRECT("Table1[Beginn]"),"&lt;="&amp;AF$1,INDIRECT("Table1[Ende]"),"&gt;="&amp;AF$1,INDIRECT("Table1[Obergruppe ATC-Code]"),Tabelle3!$A5)</f>
        <v>3</v>
      </c>
      <c r="AG5">
        <f ca="1">COUNTIFS(INDIRECT("Table1[Beginn]"),"&lt;="&amp;AG$1,INDIRECT("Table1[Ende]"),"&gt;="&amp;AG$1,INDIRECT("Table1[Obergruppe ATC-Code]"),Tabelle3!$A5)</f>
        <v>3</v>
      </c>
      <c r="AH5">
        <f ca="1">COUNTIFS(INDIRECT("Table1[Beginn]"),"&lt;="&amp;AH$1,INDIRECT("Table1[Ende]"),"&gt;="&amp;AH$1,INDIRECT("Table1[Obergruppe ATC-Code]"),Tabelle3!$A5)</f>
        <v>2</v>
      </c>
      <c r="AI5">
        <f ca="1">COUNTIFS(INDIRECT("Table1[Beginn]"),"&lt;="&amp;AI$1,INDIRECT("Table1[Ende]"),"&gt;="&amp;AI$1,INDIRECT("Table1[Obergruppe ATC-Code]"),Tabelle3!$A5)</f>
        <v>2</v>
      </c>
      <c r="AJ5">
        <f ca="1">COUNTIFS(INDIRECT("Table1[Beginn]"),"&lt;="&amp;AJ$1,INDIRECT("Table1[Ende]"),"&gt;="&amp;AJ$1,INDIRECT("Table1[Obergruppe ATC-Code]"),Tabelle3!$A5)</f>
        <v>2</v>
      </c>
      <c r="AK5">
        <f ca="1">COUNTIFS(INDIRECT("Table1[Beginn]"),"&lt;="&amp;AK$1,INDIRECT("Table1[Ende]"),"&gt;="&amp;AK$1,INDIRECT("Table1[Obergruppe ATC-Code]"),Tabelle3!$A5)</f>
        <v>2</v>
      </c>
      <c r="AL5">
        <f ca="1">COUNTIFS(INDIRECT("Table1[Beginn]"),"&lt;="&amp;AL$1,INDIRECT("Table1[Ende]"),"&gt;="&amp;AL$1,INDIRECT("Table1[Obergruppe ATC-Code]"),Tabelle3!$A5)</f>
        <v>2</v>
      </c>
      <c r="AM5">
        <f ca="1">COUNTIFS(INDIRECT("Table1[Beginn]"),"&lt;="&amp;AM$1,INDIRECT("Table1[Ende]"),"&gt;="&amp;AM$1,INDIRECT("Table1[Obergruppe ATC-Code]"),Tabelle3!$A5)</f>
        <v>3</v>
      </c>
      <c r="AN5">
        <f ca="1">COUNTIFS(INDIRECT("Table1[Beginn]"),"&lt;="&amp;AN$1,INDIRECT("Table1[Ende]"),"&gt;="&amp;AN$1,INDIRECT("Table1[Obergruppe ATC-Code]"),Tabelle3!$A5)</f>
        <v>2</v>
      </c>
      <c r="AO5">
        <f ca="1">COUNTIFS(INDIRECT("Table1[Beginn]"),"&lt;="&amp;AO$1,INDIRECT("Table1[Ende]"),"&gt;="&amp;AO$1,INDIRECT("Table1[Obergruppe ATC-Code]"),Tabelle3!$A5)</f>
        <v>2</v>
      </c>
      <c r="AP5">
        <f ca="1">COUNTIFS(INDIRECT("Table1[Beginn]"),"&lt;="&amp;AP$1,INDIRECT("Table1[Ende]"),"&gt;="&amp;AP$1,INDIRECT("Table1[Obergruppe ATC-Code]"),Tabelle3!$A5)</f>
        <v>2</v>
      </c>
      <c r="AQ5">
        <f ca="1">COUNTIFS(INDIRECT("Table1[Beginn]"),"&lt;="&amp;AQ$1,INDIRECT("Table1[Ende]"),"&gt;="&amp;AQ$1,INDIRECT("Table1[Obergruppe ATC-Code]"),Tabelle3!$A5)</f>
        <v>2</v>
      </c>
      <c r="AR5">
        <f ca="1">COUNTIFS(INDIRECT("Table1[Beginn]"),"&lt;="&amp;AR$1,INDIRECT("Table1[Ende]"),"&gt;="&amp;AR$1,INDIRECT("Table1[Obergruppe ATC-Code]"),Tabelle3!$A5)</f>
        <v>2</v>
      </c>
      <c r="AS5">
        <f ca="1">COUNTIFS(INDIRECT("Table1[Beginn]"),"&lt;="&amp;AS$1,INDIRECT("Table1[Ende]"),"&gt;="&amp;AS$1,INDIRECT("Table1[Obergruppe ATC-Code]"),Tabelle3!$A5)</f>
        <v>2</v>
      </c>
      <c r="AT5">
        <f ca="1">COUNTIFS(INDIRECT("Table1[Beginn]"),"&lt;="&amp;AT$1,INDIRECT("Table1[Ende]"),"&gt;="&amp;AT$1,INDIRECT("Table1[Obergruppe ATC-Code]"),Tabelle3!$A5)</f>
        <v>3</v>
      </c>
      <c r="AU5">
        <f ca="1">COUNTIFS(INDIRECT("Table1[Beginn]"),"&lt;="&amp;AU$1,INDIRECT("Table1[Ende]"),"&gt;="&amp;AU$1,INDIRECT("Table1[Obergruppe ATC-Code]"),Tabelle3!$A5)</f>
        <v>2</v>
      </c>
      <c r="AV5">
        <f ca="1">COUNTIFS(INDIRECT("Table1[Beginn]"),"&lt;="&amp;AV$1,INDIRECT("Table1[Ende]"),"&gt;="&amp;AV$1,INDIRECT("Table1[Obergruppe ATC-Code]"),Tabelle3!$A5)</f>
        <v>2</v>
      </c>
      <c r="AW5">
        <f ca="1">COUNTIFS(INDIRECT("Table1[Beginn]"),"&lt;="&amp;AW$1,INDIRECT("Table1[Ende]"),"&gt;="&amp;AW$1,INDIRECT("Table1[Obergruppe ATC-Code]"),Tabelle3!$A5)</f>
        <v>2</v>
      </c>
      <c r="AX5">
        <f ca="1">COUNTIFS(INDIRECT("Table1[Beginn]"),"&lt;="&amp;AX$1,INDIRECT("Table1[Ende]"),"&gt;="&amp;AX$1,INDIRECT("Table1[Obergruppe ATC-Code]"),Tabelle3!$A5)</f>
        <v>1</v>
      </c>
      <c r="AY5">
        <f ca="1">COUNTIFS(INDIRECT("Table1[Beginn]"),"&lt;="&amp;AY$1,INDIRECT("Table1[Ende]"),"&gt;="&amp;AY$1,INDIRECT("Table1[Obergruppe ATC-Code]"),Tabelle3!$A5)</f>
        <v>1</v>
      </c>
      <c r="AZ5">
        <f ca="1">COUNTIFS(INDIRECT("Table1[Beginn]"),"&lt;="&amp;AZ$1,INDIRECT("Table1[Ende]"),"&gt;="&amp;AZ$1,INDIRECT("Table1[Obergruppe ATC-Code]"),Tabelle3!$A5)</f>
        <v>0</v>
      </c>
      <c r="BA5">
        <f ca="1">COUNTIFS(INDIRECT("Table1[Beginn]"),"&lt;="&amp;BA$1,INDIRECT("Table1[Ende]"),"&gt;="&amp;BA$1,INDIRECT("Table1[Obergruppe ATC-Code]"),Tabelle3!$A5)</f>
        <v>0</v>
      </c>
      <c r="BB5">
        <f ca="1">COUNTIFS(INDIRECT("Table1[Beginn]"),"&lt;="&amp;BB$1,INDIRECT("Table1[Ende]"),"&gt;="&amp;BB$1,INDIRECT("Table1[Obergruppe ATC-Code]"),Tabelle3!$A5)</f>
        <v>0</v>
      </c>
      <c r="BC5">
        <f ca="1">COUNTIFS(INDIRECT("Table1[Beginn]"),"&lt;="&amp;BC$1,INDIRECT("Table1[Ende]"),"&gt;="&amp;BC$1,INDIRECT("Table1[Obergruppe ATC-Code]"),Tabelle3!$A5)</f>
        <v>0</v>
      </c>
      <c r="BD5">
        <f ca="1">COUNTIFS(INDIRECT("Table1[Beginn]"),"&lt;="&amp;BD$1,INDIRECT("Table1[Ende]"),"&gt;="&amp;BD$1,INDIRECT("Table1[Obergruppe ATC-Code]"),Tabelle3!$A5)</f>
        <v>0</v>
      </c>
      <c r="BE5">
        <f ca="1">COUNTIFS(INDIRECT("Table1[Beginn]"),"&lt;="&amp;BE$1,INDIRECT("Table1[Ende]"),"&gt;="&amp;BE$1,INDIRECT("Table1[Obergruppe ATC-Code]"),Tabelle3!$A5)</f>
        <v>0</v>
      </c>
      <c r="BF5">
        <f ca="1">COUNTIFS(INDIRECT("Table1[Beginn]"),"&lt;="&amp;BF$1,INDIRECT("Table1[Ende]"),"&gt;="&amp;BF$1,INDIRECT("Table1[Obergruppe ATC-Code]"),Tabelle3!$A5)</f>
        <v>0</v>
      </c>
      <c r="BG5">
        <f ca="1">COUNTIFS(INDIRECT("Table1[Beginn]"),"&lt;="&amp;BG$1,INDIRECT("Table1[Ende]"),"&gt;="&amp;BG$1,INDIRECT("Table1[Obergruppe ATC-Code]"),Tabelle3!$A5)</f>
        <v>0</v>
      </c>
      <c r="BH5">
        <f ca="1">COUNTIFS(INDIRECT("Table1[Beginn]"),"&lt;="&amp;BH$1,INDIRECT("Table1[Ende]"),"&gt;="&amp;BH$1,INDIRECT("Table1[Obergruppe ATC-Code]"),Tabelle3!$A5)</f>
        <v>0</v>
      </c>
      <c r="BI5">
        <f ca="1">COUNTIFS(INDIRECT("Table1[Beginn]"),"&lt;="&amp;BI$1,INDIRECT("Table1[Ende]"),"&gt;="&amp;BI$1,INDIRECT("Table1[Obergruppe ATC-Code]"),Tabelle3!$A5)</f>
        <v>0</v>
      </c>
      <c r="BJ5">
        <f ca="1">COUNTIFS(INDIRECT("Table1[Beginn]"),"&lt;="&amp;BJ$1,INDIRECT("Table1[Ende]"),"&gt;="&amp;BJ$1,INDIRECT("Table1[Obergruppe ATC-Code]"),Tabelle3!$A5)</f>
        <v>0</v>
      </c>
      <c r="BK5">
        <f ca="1">COUNTIFS(INDIRECT("Table1[Beginn]"),"&lt;="&amp;BK$1,INDIRECT("Table1[Ende]"),"&gt;="&amp;BK$1,INDIRECT("Table1[Obergruppe ATC-Code]"),Tabelle3!$A5)</f>
        <v>1</v>
      </c>
      <c r="BL5">
        <f ca="1">COUNTIFS(INDIRECT("Table1[Beginn]"),"&lt;="&amp;BL$1,INDIRECT("Table1[Ende]"),"&gt;="&amp;BL$1,INDIRECT("Table1[Obergruppe ATC-Code]"),Tabelle3!$A5)</f>
        <v>1</v>
      </c>
      <c r="BM5">
        <f ca="1">COUNTIFS(INDIRECT("Table1[Beginn]"),"&lt;="&amp;BM$1,INDIRECT("Table1[Ende]"),"&gt;="&amp;BM$1,INDIRECT("Table1[Obergruppe ATC-Code]"),Tabelle3!$A5)</f>
        <v>1</v>
      </c>
      <c r="BN5">
        <f ca="1">COUNTIFS(INDIRECT("Table1[Beginn]"),"&lt;="&amp;BN$1,INDIRECT("Table1[Ende]"),"&gt;="&amp;BN$1,INDIRECT("Table1[Obergruppe ATC-Code]"),Tabelle3!$A5)</f>
        <v>1</v>
      </c>
      <c r="BO5">
        <f ca="1">COUNTIFS(INDIRECT("Table1[Beginn]"),"&lt;="&amp;BO$1,INDIRECT("Table1[Ende]"),"&gt;="&amp;BO$1,INDIRECT("Table1[Obergruppe ATC-Code]"),Tabelle3!$A5)</f>
        <v>0</v>
      </c>
      <c r="BP5">
        <f ca="1">COUNTIFS(INDIRECT("Table1[Beginn]"),"&lt;="&amp;BP$1,INDIRECT("Table1[Ende]"),"&gt;="&amp;BP$1,INDIRECT("Table1[Obergruppe ATC-Code]"),Tabelle3!$A5)</f>
        <v>0</v>
      </c>
      <c r="BQ5">
        <f ca="1">COUNTIFS(INDIRECT("Table1[Beginn]"),"&lt;="&amp;BQ$1,INDIRECT("Table1[Ende]"),"&gt;="&amp;BQ$1,INDIRECT("Table1[Obergruppe ATC-Code]"),Tabelle3!$A5)</f>
        <v>2</v>
      </c>
      <c r="BR5">
        <f ca="1">COUNTIFS(INDIRECT("Table1[Beginn]"),"&lt;="&amp;BR$1,INDIRECT("Table1[Ende]"),"&gt;="&amp;BR$1,INDIRECT("Table1[Obergruppe ATC-Code]"),Tabelle3!$A5)</f>
        <v>2</v>
      </c>
      <c r="BS5">
        <f ca="1">COUNTIFS(INDIRECT("Table1[Beginn]"),"&lt;="&amp;BS$1,INDIRECT("Table1[Ende]"),"&gt;="&amp;BS$1,INDIRECT("Table1[Obergruppe ATC-Code]"),Tabelle3!$A5)</f>
        <v>2</v>
      </c>
      <c r="BT5">
        <f ca="1">COUNTIFS(INDIRECT("Table1[Beginn]"),"&lt;="&amp;BT$1,INDIRECT("Table1[Ende]"),"&gt;="&amp;BT$1,INDIRECT("Table1[Obergruppe ATC-Code]"),Tabelle3!$A5)</f>
        <v>3</v>
      </c>
      <c r="BU5">
        <f ca="1">COUNTIFS(INDIRECT("Table1[Beginn]"),"&lt;="&amp;BU$1,INDIRECT("Table1[Ende]"),"&gt;="&amp;BU$1,INDIRECT("Table1[Obergruppe ATC-Code]"),Tabelle3!$A5)</f>
        <v>3</v>
      </c>
      <c r="BV5">
        <f ca="1">COUNTIFS(INDIRECT("Table1[Beginn]"),"&lt;="&amp;BV$1,INDIRECT("Table1[Ende]"),"&gt;="&amp;BV$1,INDIRECT("Table1[Obergruppe ATC-Code]"),Tabelle3!$A5)</f>
        <v>3</v>
      </c>
      <c r="BW5">
        <f ca="1">COUNTIFS(INDIRECT("Table1[Beginn]"),"&lt;="&amp;BW$1,INDIRECT("Table1[Ende]"),"&gt;="&amp;BW$1,INDIRECT("Table1[Obergruppe ATC-Code]"),Tabelle3!$A5)</f>
        <v>3</v>
      </c>
      <c r="BX5">
        <f ca="1">COUNTIFS(INDIRECT("Table1[Beginn]"),"&lt;="&amp;BX$1,INDIRECT("Table1[Ende]"),"&gt;="&amp;BX$1,INDIRECT("Table1[Obergruppe ATC-Code]"),Tabelle3!$A5)</f>
        <v>3</v>
      </c>
      <c r="BY5">
        <f ca="1">COUNTIFS(INDIRECT("Table1[Beginn]"),"&lt;="&amp;BY$1,INDIRECT("Table1[Ende]"),"&gt;="&amp;BY$1,INDIRECT("Table1[Obergruppe ATC-Code]"),Tabelle3!$A5)</f>
        <v>4</v>
      </c>
      <c r="BZ5">
        <f ca="1">COUNTIFS(INDIRECT("Table1[Beginn]"),"&lt;="&amp;BZ$1,INDIRECT("Table1[Ende]"),"&gt;="&amp;BZ$1,INDIRECT("Table1[Obergruppe ATC-Code]"),Tabelle3!$A5)</f>
        <v>4</v>
      </c>
      <c r="CA5">
        <f ca="1">COUNTIFS(INDIRECT("Table1[Beginn]"),"&lt;="&amp;CA$1,INDIRECT("Table1[Ende]"),"&gt;="&amp;CA$1,INDIRECT("Table1[Obergruppe ATC-Code]"),Tabelle3!$A5)</f>
        <v>4</v>
      </c>
      <c r="CB5">
        <f ca="1">COUNTIFS(INDIRECT("Table1[Beginn]"),"&lt;="&amp;CB$1,INDIRECT("Table1[Ende]"),"&gt;="&amp;CB$1,INDIRECT("Table1[Obergruppe ATC-Code]"),Tabelle3!$A5)</f>
        <v>4</v>
      </c>
      <c r="CC5">
        <f ca="1">COUNTIFS(INDIRECT("Table1[Beginn]"),"&lt;="&amp;CC$1,INDIRECT("Table1[Ende]"),"&gt;="&amp;CC$1,INDIRECT("Table1[Obergruppe ATC-Code]"),Tabelle3!$A5)</f>
        <v>3</v>
      </c>
      <c r="CD5">
        <f ca="1">COUNTIFS(INDIRECT("Table1[Beginn]"),"&lt;="&amp;CD$1,INDIRECT("Table1[Ende]"),"&gt;="&amp;CD$1,INDIRECT("Table1[Obergruppe ATC-Code]"),Tabelle3!$A5)</f>
        <v>2</v>
      </c>
      <c r="CE5">
        <f ca="1">COUNTIFS(INDIRECT("Table1[Beginn]"),"&lt;="&amp;CE$1,INDIRECT("Table1[Ende]"),"&gt;="&amp;CE$1,INDIRECT("Table1[Obergruppe ATC-Code]"),Tabelle3!$A5)</f>
        <v>2</v>
      </c>
      <c r="CF5">
        <f ca="1">COUNTIFS(INDIRECT("Table1[Beginn]"),"&lt;="&amp;CF$1,INDIRECT("Table1[Ende]"),"&gt;="&amp;CF$1,INDIRECT("Table1[Obergruppe ATC-Code]"),Tabelle3!$A5)</f>
        <v>2</v>
      </c>
      <c r="CG5">
        <f ca="1">COUNTIFS(INDIRECT("Table1[Beginn]"),"&lt;="&amp;CG$1,INDIRECT("Table1[Ende]"),"&gt;="&amp;CG$1,INDIRECT("Table1[Obergruppe ATC-Code]"),Tabelle3!$A5)</f>
        <v>1</v>
      </c>
      <c r="CH5">
        <f ca="1">COUNTIFS(INDIRECT("Table1[Beginn]"),"&lt;="&amp;CH$1,INDIRECT("Table1[Ende]"),"&gt;="&amp;CH$1,INDIRECT("Table1[Obergruppe ATC-Code]"),Tabelle3!$A5)</f>
        <v>1</v>
      </c>
      <c r="CI5">
        <f ca="1">COUNTIFS(INDIRECT("Table1[Beginn]"),"&lt;="&amp;CI$1,INDIRECT("Table1[Ende]"),"&gt;="&amp;CI$1,INDIRECT("Table1[Obergruppe ATC-Code]"),Tabelle3!$A5)</f>
        <v>1</v>
      </c>
      <c r="CJ5">
        <f ca="1">COUNTIFS(INDIRECT("Table1[Beginn]"),"&lt;="&amp;CJ$1,INDIRECT("Table1[Ende]"),"&gt;="&amp;CJ$1,INDIRECT("Table1[Obergruppe ATC-Code]"),Tabelle3!$A5)</f>
        <v>1</v>
      </c>
      <c r="CK5">
        <f ca="1">COUNTIFS(INDIRECT("Table1[Beginn]"),"&lt;="&amp;CK$1,INDIRECT("Table1[Ende]"),"&gt;="&amp;CK$1,INDIRECT("Table1[Obergruppe ATC-Code]"),Tabelle3!$A5)</f>
        <v>1</v>
      </c>
      <c r="CL5">
        <f ca="1">COUNTIFS(INDIRECT("Table1[Beginn]"),"&lt;="&amp;CL$1,INDIRECT("Table1[Ende]"),"&gt;="&amp;CL$1,INDIRECT("Table1[Obergruppe ATC-Code]"),Tabelle3!$A5)</f>
        <v>1</v>
      </c>
      <c r="CM5">
        <f ca="1">COUNTIFS(INDIRECT("Table1[Beginn]"),"&lt;="&amp;CM$1,INDIRECT("Table1[Ende]"),"&gt;="&amp;CM$1,INDIRECT("Table1[Obergruppe ATC-Code]"),Tabelle3!$A5)</f>
        <v>0</v>
      </c>
      <c r="CN5">
        <f ca="1">COUNTIFS(INDIRECT("Table1[Beginn]"),"&lt;="&amp;CN$1,INDIRECT("Table1[Ende]"),"&gt;="&amp;CN$1,INDIRECT("Table1[Obergruppe ATC-Code]"),Tabelle3!$A5)</f>
        <v>0</v>
      </c>
      <c r="CO5">
        <f ca="1">COUNTIFS(INDIRECT("Table1[Beginn]"),"&lt;="&amp;CO$1,INDIRECT("Table1[Ende]"),"&gt;="&amp;CO$1,INDIRECT("Table1[Obergruppe ATC-Code]"),Tabelle3!$A5)</f>
        <v>0</v>
      </c>
      <c r="CP5">
        <f ca="1">COUNTIFS(INDIRECT("Table1[Beginn]"),"&lt;="&amp;CP$1,INDIRECT("Table1[Ende]"),"&gt;="&amp;CP$1,INDIRECT("Table1[Obergruppe ATC-Code]"),Tabelle3!$A5)</f>
        <v>0</v>
      </c>
      <c r="CQ5">
        <f ca="1">COUNTIFS(INDIRECT("Table1[Beginn]"),"&lt;="&amp;CQ$1,INDIRECT("Table1[Ende]"),"&gt;="&amp;CQ$1,INDIRECT("Table1[Obergruppe ATC-Code]"),Tabelle3!$A5)</f>
        <v>0</v>
      </c>
      <c r="CR5">
        <f ca="1">COUNTIFS(INDIRECT("Table1[Beginn]"),"&lt;="&amp;CR$1,INDIRECT("Table1[Ende]"),"&gt;="&amp;CR$1,INDIRECT("Table1[Obergruppe ATC-Code]"),Tabelle3!$A5)</f>
        <v>0</v>
      </c>
    </row>
    <row r="6" spans="1:96" ht="18">
      <c r="A6" s="7" t="s">
        <v>6780</v>
      </c>
      <c r="B6" s="8" t="s">
        <v>6781</v>
      </c>
      <c r="C6">
        <f ca="1">COUNTIFS(INDIRECT("Table1[Beginn]"),"&lt;="&amp;C$1,INDIRECT("Table1[Ende]"),"&gt;="&amp;C$1,INDIRECT("Table1[Obergruppe ATC-Code]"),Tabelle3!$A6)</f>
        <v>0</v>
      </c>
      <c r="D6">
        <f ca="1">COUNTIFS(INDIRECT("Table1[Beginn]"),"&lt;="&amp;D$1,INDIRECT("Table1[Ende]"),"&gt;="&amp;D$1,INDIRECT("Table1[Obergruppe ATC-Code]"),Tabelle3!$A6)</f>
        <v>0</v>
      </c>
      <c r="E6">
        <f ca="1">COUNTIFS(INDIRECT("Table1[Beginn]"),"&lt;="&amp;E$1,INDIRECT("Table1[Ende]"),"&gt;="&amp;E$1,INDIRECT("Table1[Obergruppe ATC-Code]"),Tabelle3!$A6)</f>
        <v>0</v>
      </c>
      <c r="F6">
        <f ca="1">COUNTIFS(INDIRECT("Table1[Beginn]"),"&lt;="&amp;F$1,INDIRECT("Table1[Ende]"),"&gt;="&amp;F$1,INDIRECT("Table1[Obergruppe ATC-Code]"),Tabelle3!$A6)</f>
        <v>0</v>
      </c>
      <c r="G6">
        <f ca="1">COUNTIFS(INDIRECT("Table1[Beginn]"),"&lt;="&amp;G$1,INDIRECT("Table1[Ende]"),"&gt;="&amp;G$1,INDIRECT("Table1[Obergruppe ATC-Code]"),Tabelle3!$A6)</f>
        <v>0</v>
      </c>
      <c r="H6">
        <f ca="1">COUNTIFS(INDIRECT("Table1[Beginn]"),"&lt;="&amp;H$1,INDIRECT("Table1[Ende]"),"&gt;="&amp;H$1,INDIRECT("Table1[Obergruppe ATC-Code]"),Tabelle3!$A6)</f>
        <v>0</v>
      </c>
      <c r="I6">
        <f ca="1">COUNTIFS(INDIRECT("Table1[Beginn]"),"&lt;="&amp;I$1,INDIRECT("Table1[Ende]"),"&gt;="&amp;I$1,INDIRECT("Table1[Obergruppe ATC-Code]"),Tabelle3!$A6)</f>
        <v>0</v>
      </c>
      <c r="J6">
        <f ca="1">COUNTIFS(INDIRECT("Table1[Beginn]"),"&lt;="&amp;J$1,INDIRECT("Table1[Ende]"),"&gt;="&amp;J$1,INDIRECT("Table1[Obergruppe ATC-Code]"),Tabelle3!$A6)</f>
        <v>0</v>
      </c>
      <c r="K6">
        <f ca="1">COUNTIFS(INDIRECT("Table1[Beginn]"),"&lt;="&amp;K$1,INDIRECT("Table1[Ende]"),"&gt;="&amp;K$1,INDIRECT("Table1[Obergruppe ATC-Code]"),Tabelle3!$A6)</f>
        <v>0</v>
      </c>
      <c r="L6">
        <f ca="1">COUNTIFS(INDIRECT("Table1[Beginn]"),"&lt;="&amp;L$1,INDIRECT("Table1[Ende]"),"&gt;="&amp;L$1,INDIRECT("Table1[Obergruppe ATC-Code]"),Tabelle3!$A6)</f>
        <v>0</v>
      </c>
      <c r="M6">
        <f ca="1">COUNTIFS(INDIRECT("Table1[Beginn]"),"&lt;="&amp;M$1,INDIRECT("Table1[Ende]"),"&gt;="&amp;M$1,INDIRECT("Table1[Obergruppe ATC-Code]"),Tabelle3!$A6)</f>
        <v>0</v>
      </c>
      <c r="N6">
        <f ca="1">COUNTIFS(INDIRECT("Table1[Beginn]"),"&lt;="&amp;N$1,INDIRECT("Table1[Ende]"),"&gt;="&amp;N$1,INDIRECT("Table1[Obergruppe ATC-Code]"),Tabelle3!$A6)</f>
        <v>0</v>
      </c>
      <c r="O6">
        <f ca="1">COUNTIFS(INDIRECT("Table1[Beginn]"),"&lt;="&amp;O$1,INDIRECT("Table1[Ende]"),"&gt;="&amp;O$1,INDIRECT("Table1[Obergruppe ATC-Code]"),Tabelle3!$A6)</f>
        <v>0</v>
      </c>
      <c r="P6">
        <f ca="1">COUNTIFS(INDIRECT("Table1[Beginn]"),"&lt;="&amp;P$1,INDIRECT("Table1[Ende]"),"&gt;="&amp;P$1,INDIRECT("Table1[Obergruppe ATC-Code]"),Tabelle3!$A6)</f>
        <v>0</v>
      </c>
      <c r="Q6">
        <f ca="1">COUNTIFS(INDIRECT("Table1[Beginn]"),"&lt;="&amp;Q$1,INDIRECT("Table1[Ende]"),"&gt;="&amp;Q$1,INDIRECT("Table1[Obergruppe ATC-Code]"),Tabelle3!$A6)</f>
        <v>0</v>
      </c>
      <c r="R6">
        <f ca="1">COUNTIFS(INDIRECT("Table1[Beginn]"),"&lt;="&amp;R$1,INDIRECT("Table1[Ende]"),"&gt;="&amp;R$1,INDIRECT("Table1[Obergruppe ATC-Code]"),Tabelle3!$A6)</f>
        <v>0</v>
      </c>
      <c r="S6">
        <f ca="1">COUNTIFS(INDIRECT("Table1[Beginn]"),"&lt;="&amp;S$1,INDIRECT("Table1[Ende]"),"&gt;="&amp;S$1,INDIRECT("Table1[Obergruppe ATC-Code]"),Tabelle3!$A6)</f>
        <v>0</v>
      </c>
      <c r="T6">
        <f ca="1">COUNTIFS(INDIRECT("Table1[Beginn]"),"&lt;="&amp;T$1,INDIRECT("Table1[Ende]"),"&gt;="&amp;T$1,INDIRECT("Table1[Obergruppe ATC-Code]"),Tabelle3!$A6)</f>
        <v>0</v>
      </c>
      <c r="U6">
        <f ca="1">COUNTIFS(INDIRECT("Table1[Beginn]"),"&lt;="&amp;U$1,INDIRECT("Table1[Ende]"),"&gt;="&amp;U$1,INDIRECT("Table1[Obergruppe ATC-Code]"),Tabelle3!$A6)</f>
        <v>0</v>
      </c>
      <c r="V6">
        <f ca="1">COUNTIFS(INDIRECT("Table1[Beginn]"),"&lt;="&amp;V$1,INDIRECT("Table1[Ende]"),"&gt;="&amp;V$1,INDIRECT("Table1[Obergruppe ATC-Code]"),Tabelle3!$A6)</f>
        <v>0</v>
      </c>
      <c r="W6">
        <f ca="1">COUNTIFS(INDIRECT("Table1[Beginn]"),"&lt;="&amp;W$1,INDIRECT("Table1[Ende]"),"&gt;="&amp;W$1,INDIRECT("Table1[Obergruppe ATC-Code]"),Tabelle3!$A6)</f>
        <v>0</v>
      </c>
      <c r="X6">
        <f ca="1">COUNTIFS(INDIRECT("Table1[Beginn]"),"&lt;="&amp;X$1,INDIRECT("Table1[Ende]"),"&gt;="&amp;X$1,INDIRECT("Table1[Obergruppe ATC-Code]"),Tabelle3!$A6)</f>
        <v>0</v>
      </c>
      <c r="Y6">
        <f ca="1">COUNTIFS(INDIRECT("Table1[Beginn]"),"&lt;="&amp;Y$1,INDIRECT("Table1[Ende]"),"&gt;="&amp;Y$1,INDIRECT("Table1[Obergruppe ATC-Code]"),Tabelle3!$A6)</f>
        <v>0</v>
      </c>
      <c r="Z6">
        <f ca="1">COUNTIFS(INDIRECT("Table1[Beginn]"),"&lt;="&amp;Z$1,INDIRECT("Table1[Ende]"),"&gt;="&amp;Z$1,INDIRECT("Table1[Obergruppe ATC-Code]"),Tabelle3!$A6)</f>
        <v>0</v>
      </c>
      <c r="AA6">
        <f ca="1">COUNTIFS(INDIRECT("Table1[Beginn]"),"&lt;="&amp;AA$1,INDIRECT("Table1[Ende]"),"&gt;="&amp;AA$1,INDIRECT("Table1[Obergruppe ATC-Code]"),Tabelle3!$A6)</f>
        <v>0</v>
      </c>
      <c r="AB6">
        <f ca="1">COUNTIFS(INDIRECT("Table1[Beginn]"),"&lt;="&amp;AB$1,INDIRECT("Table1[Ende]"),"&gt;="&amp;AB$1,INDIRECT("Table1[Obergruppe ATC-Code]"),Tabelle3!$A6)</f>
        <v>0</v>
      </c>
      <c r="AC6">
        <f ca="1">COUNTIFS(INDIRECT("Table1[Beginn]"),"&lt;="&amp;AC$1,INDIRECT("Table1[Ende]"),"&gt;="&amp;AC$1,INDIRECT("Table1[Obergruppe ATC-Code]"),Tabelle3!$A6)</f>
        <v>0</v>
      </c>
      <c r="AD6">
        <f ca="1">COUNTIFS(INDIRECT("Table1[Beginn]"),"&lt;="&amp;AD$1,INDIRECT("Table1[Ende]"),"&gt;="&amp;AD$1,INDIRECT("Table1[Obergruppe ATC-Code]"),Tabelle3!$A6)</f>
        <v>0</v>
      </c>
      <c r="AE6">
        <f ca="1">COUNTIFS(INDIRECT("Table1[Beginn]"),"&lt;="&amp;AE$1,INDIRECT("Table1[Ende]"),"&gt;="&amp;AE$1,INDIRECT("Table1[Obergruppe ATC-Code]"),Tabelle3!$A6)</f>
        <v>0</v>
      </c>
      <c r="AF6">
        <f ca="1">COUNTIFS(INDIRECT("Table1[Beginn]"),"&lt;="&amp;AF$1,INDIRECT("Table1[Ende]"),"&gt;="&amp;AF$1,INDIRECT("Table1[Obergruppe ATC-Code]"),Tabelle3!$A6)</f>
        <v>1</v>
      </c>
      <c r="AG6">
        <f ca="1">COUNTIFS(INDIRECT("Table1[Beginn]"),"&lt;="&amp;AG$1,INDIRECT("Table1[Ende]"),"&gt;="&amp;AG$1,INDIRECT("Table1[Obergruppe ATC-Code]"),Tabelle3!$A6)</f>
        <v>1</v>
      </c>
      <c r="AH6">
        <f ca="1">COUNTIFS(INDIRECT("Table1[Beginn]"),"&lt;="&amp;AH$1,INDIRECT("Table1[Ende]"),"&gt;="&amp;AH$1,INDIRECT("Table1[Obergruppe ATC-Code]"),Tabelle3!$A6)</f>
        <v>1</v>
      </c>
      <c r="AI6">
        <f ca="1">COUNTIFS(INDIRECT("Table1[Beginn]"),"&lt;="&amp;AI$1,INDIRECT("Table1[Ende]"),"&gt;="&amp;AI$1,INDIRECT("Table1[Obergruppe ATC-Code]"),Tabelle3!$A6)</f>
        <v>1</v>
      </c>
      <c r="AJ6">
        <f ca="1">COUNTIFS(INDIRECT("Table1[Beginn]"),"&lt;="&amp;AJ$1,INDIRECT("Table1[Ende]"),"&gt;="&amp;AJ$1,INDIRECT("Table1[Obergruppe ATC-Code]"),Tabelle3!$A6)</f>
        <v>1</v>
      </c>
      <c r="AK6">
        <f ca="1">COUNTIFS(INDIRECT("Table1[Beginn]"),"&lt;="&amp;AK$1,INDIRECT("Table1[Ende]"),"&gt;="&amp;AK$1,INDIRECT("Table1[Obergruppe ATC-Code]"),Tabelle3!$A6)</f>
        <v>1</v>
      </c>
      <c r="AL6">
        <f ca="1">COUNTIFS(INDIRECT("Table1[Beginn]"),"&lt;="&amp;AL$1,INDIRECT("Table1[Ende]"),"&gt;="&amp;AL$1,INDIRECT("Table1[Obergruppe ATC-Code]"),Tabelle3!$A6)</f>
        <v>1</v>
      </c>
      <c r="AM6">
        <f ca="1">COUNTIFS(INDIRECT("Table1[Beginn]"),"&lt;="&amp;AM$1,INDIRECT("Table1[Ende]"),"&gt;="&amp;AM$1,INDIRECT("Table1[Obergruppe ATC-Code]"),Tabelle3!$A6)</f>
        <v>0</v>
      </c>
      <c r="AN6">
        <f ca="1">COUNTIFS(INDIRECT("Table1[Beginn]"),"&lt;="&amp;AN$1,INDIRECT("Table1[Ende]"),"&gt;="&amp;AN$1,INDIRECT("Table1[Obergruppe ATC-Code]"),Tabelle3!$A6)</f>
        <v>0</v>
      </c>
      <c r="AO6">
        <f ca="1">COUNTIFS(INDIRECT("Table1[Beginn]"),"&lt;="&amp;AO$1,INDIRECT("Table1[Ende]"),"&gt;="&amp;AO$1,INDIRECT("Table1[Obergruppe ATC-Code]"),Tabelle3!$A6)</f>
        <v>0</v>
      </c>
      <c r="AP6">
        <f ca="1">COUNTIFS(INDIRECT("Table1[Beginn]"),"&lt;="&amp;AP$1,INDIRECT("Table1[Ende]"),"&gt;="&amp;AP$1,INDIRECT("Table1[Obergruppe ATC-Code]"),Tabelle3!$A6)</f>
        <v>0</v>
      </c>
      <c r="AQ6">
        <f ca="1">COUNTIFS(INDIRECT("Table1[Beginn]"),"&lt;="&amp;AQ$1,INDIRECT("Table1[Ende]"),"&gt;="&amp;AQ$1,INDIRECT("Table1[Obergruppe ATC-Code]"),Tabelle3!$A6)</f>
        <v>0</v>
      </c>
      <c r="AR6">
        <f ca="1">COUNTIFS(INDIRECT("Table1[Beginn]"),"&lt;="&amp;AR$1,INDIRECT("Table1[Ende]"),"&gt;="&amp;AR$1,INDIRECT("Table1[Obergruppe ATC-Code]"),Tabelle3!$A6)</f>
        <v>0</v>
      </c>
      <c r="AS6">
        <f ca="1">COUNTIFS(INDIRECT("Table1[Beginn]"),"&lt;="&amp;AS$1,INDIRECT("Table1[Ende]"),"&gt;="&amp;AS$1,INDIRECT("Table1[Obergruppe ATC-Code]"),Tabelle3!$A6)</f>
        <v>0</v>
      </c>
      <c r="AT6">
        <f ca="1">COUNTIFS(INDIRECT("Table1[Beginn]"),"&lt;="&amp;AT$1,INDIRECT("Table1[Ende]"),"&gt;="&amp;AT$1,INDIRECT("Table1[Obergruppe ATC-Code]"),Tabelle3!$A6)</f>
        <v>0</v>
      </c>
      <c r="AU6">
        <f ca="1">COUNTIFS(INDIRECT("Table1[Beginn]"),"&lt;="&amp;AU$1,INDIRECT("Table1[Ende]"),"&gt;="&amp;AU$1,INDIRECT("Table1[Obergruppe ATC-Code]"),Tabelle3!$A6)</f>
        <v>0</v>
      </c>
      <c r="AV6">
        <f ca="1">COUNTIFS(INDIRECT("Table1[Beginn]"),"&lt;="&amp;AV$1,INDIRECT("Table1[Ende]"),"&gt;="&amp;AV$1,INDIRECT("Table1[Obergruppe ATC-Code]"),Tabelle3!$A6)</f>
        <v>0</v>
      </c>
      <c r="AW6">
        <f ca="1">COUNTIFS(INDIRECT("Table1[Beginn]"),"&lt;="&amp;AW$1,INDIRECT("Table1[Ende]"),"&gt;="&amp;AW$1,INDIRECT("Table1[Obergruppe ATC-Code]"),Tabelle3!$A6)</f>
        <v>1</v>
      </c>
      <c r="AX6">
        <f ca="1">COUNTIFS(INDIRECT("Table1[Beginn]"),"&lt;="&amp;AX$1,INDIRECT("Table1[Ende]"),"&gt;="&amp;AX$1,INDIRECT("Table1[Obergruppe ATC-Code]"),Tabelle3!$A6)</f>
        <v>3</v>
      </c>
      <c r="AY6">
        <f ca="1">COUNTIFS(INDIRECT("Table1[Beginn]"),"&lt;="&amp;AY$1,INDIRECT("Table1[Ende]"),"&gt;="&amp;AY$1,INDIRECT("Table1[Obergruppe ATC-Code]"),Tabelle3!$A6)</f>
        <v>3</v>
      </c>
      <c r="AZ6">
        <f ca="1">COUNTIFS(INDIRECT("Table1[Beginn]"),"&lt;="&amp;AZ$1,INDIRECT("Table1[Ende]"),"&gt;="&amp;AZ$1,INDIRECT("Table1[Obergruppe ATC-Code]"),Tabelle3!$A6)</f>
        <v>1</v>
      </c>
      <c r="BA6">
        <f ca="1">COUNTIFS(INDIRECT("Table1[Beginn]"),"&lt;="&amp;BA$1,INDIRECT("Table1[Ende]"),"&gt;="&amp;BA$1,INDIRECT("Table1[Obergruppe ATC-Code]"),Tabelle3!$A6)</f>
        <v>1</v>
      </c>
      <c r="BB6">
        <f ca="1">COUNTIFS(INDIRECT("Table1[Beginn]"),"&lt;="&amp;BB$1,INDIRECT("Table1[Ende]"),"&gt;="&amp;BB$1,INDIRECT("Table1[Obergruppe ATC-Code]"),Tabelle3!$A6)</f>
        <v>0</v>
      </c>
      <c r="BC6">
        <f ca="1">COUNTIFS(INDIRECT("Table1[Beginn]"),"&lt;="&amp;BC$1,INDIRECT("Table1[Ende]"),"&gt;="&amp;BC$1,INDIRECT("Table1[Obergruppe ATC-Code]"),Tabelle3!$A6)</f>
        <v>0</v>
      </c>
      <c r="BD6">
        <f ca="1">COUNTIFS(INDIRECT("Table1[Beginn]"),"&lt;="&amp;BD$1,INDIRECT("Table1[Ende]"),"&gt;="&amp;BD$1,INDIRECT("Table1[Obergruppe ATC-Code]"),Tabelle3!$A6)</f>
        <v>0</v>
      </c>
      <c r="BE6">
        <f ca="1">COUNTIFS(INDIRECT("Table1[Beginn]"),"&lt;="&amp;BE$1,INDIRECT("Table1[Ende]"),"&gt;="&amp;BE$1,INDIRECT("Table1[Obergruppe ATC-Code]"),Tabelle3!$A6)</f>
        <v>0</v>
      </c>
      <c r="BF6">
        <f ca="1">COUNTIFS(INDIRECT("Table1[Beginn]"),"&lt;="&amp;BF$1,INDIRECT("Table1[Ende]"),"&gt;="&amp;BF$1,INDIRECT("Table1[Obergruppe ATC-Code]"),Tabelle3!$A6)</f>
        <v>0</v>
      </c>
      <c r="BG6">
        <f ca="1">COUNTIFS(INDIRECT("Table1[Beginn]"),"&lt;="&amp;BG$1,INDIRECT("Table1[Ende]"),"&gt;="&amp;BG$1,INDIRECT("Table1[Obergruppe ATC-Code]"),Tabelle3!$A6)</f>
        <v>0</v>
      </c>
      <c r="BH6">
        <f ca="1">COUNTIFS(INDIRECT("Table1[Beginn]"),"&lt;="&amp;BH$1,INDIRECT("Table1[Ende]"),"&gt;="&amp;BH$1,INDIRECT("Table1[Obergruppe ATC-Code]"),Tabelle3!$A6)</f>
        <v>0</v>
      </c>
      <c r="BI6">
        <f ca="1">COUNTIFS(INDIRECT("Table1[Beginn]"),"&lt;="&amp;BI$1,INDIRECT("Table1[Ende]"),"&gt;="&amp;BI$1,INDIRECT("Table1[Obergruppe ATC-Code]"),Tabelle3!$A6)</f>
        <v>0</v>
      </c>
      <c r="BJ6">
        <f ca="1">COUNTIFS(INDIRECT("Table1[Beginn]"),"&lt;="&amp;BJ$1,INDIRECT("Table1[Ende]"),"&gt;="&amp;BJ$1,INDIRECT("Table1[Obergruppe ATC-Code]"),Tabelle3!$A6)</f>
        <v>0</v>
      </c>
      <c r="BK6">
        <f ca="1">COUNTIFS(INDIRECT("Table1[Beginn]"),"&lt;="&amp;BK$1,INDIRECT("Table1[Ende]"),"&gt;="&amp;BK$1,INDIRECT("Table1[Obergruppe ATC-Code]"),Tabelle3!$A6)</f>
        <v>0</v>
      </c>
      <c r="BL6">
        <f ca="1">COUNTIFS(INDIRECT("Table1[Beginn]"),"&lt;="&amp;BL$1,INDIRECT("Table1[Ende]"),"&gt;="&amp;BL$1,INDIRECT("Table1[Obergruppe ATC-Code]"),Tabelle3!$A6)</f>
        <v>0</v>
      </c>
      <c r="BM6">
        <f ca="1">COUNTIFS(INDIRECT("Table1[Beginn]"),"&lt;="&amp;BM$1,INDIRECT("Table1[Ende]"),"&gt;="&amp;BM$1,INDIRECT("Table1[Obergruppe ATC-Code]"),Tabelle3!$A6)</f>
        <v>0</v>
      </c>
      <c r="BN6">
        <f ca="1">COUNTIFS(INDIRECT("Table1[Beginn]"),"&lt;="&amp;BN$1,INDIRECT("Table1[Ende]"),"&gt;="&amp;BN$1,INDIRECT("Table1[Obergruppe ATC-Code]"),Tabelle3!$A6)</f>
        <v>1</v>
      </c>
      <c r="BO6">
        <f ca="1">COUNTIFS(INDIRECT("Table1[Beginn]"),"&lt;="&amp;BO$1,INDIRECT("Table1[Ende]"),"&gt;="&amp;BO$1,INDIRECT("Table1[Obergruppe ATC-Code]"),Tabelle3!$A6)</f>
        <v>1</v>
      </c>
      <c r="BP6">
        <f ca="1">COUNTIFS(INDIRECT("Table1[Beginn]"),"&lt;="&amp;BP$1,INDIRECT("Table1[Ende]"),"&gt;="&amp;BP$1,INDIRECT("Table1[Obergruppe ATC-Code]"),Tabelle3!$A6)</f>
        <v>1</v>
      </c>
      <c r="BQ6">
        <f ca="1">COUNTIFS(INDIRECT("Table1[Beginn]"),"&lt;="&amp;BQ$1,INDIRECT("Table1[Ende]"),"&gt;="&amp;BQ$1,INDIRECT("Table1[Obergruppe ATC-Code]"),Tabelle3!$A6)</f>
        <v>2</v>
      </c>
      <c r="BR6">
        <f ca="1">COUNTIFS(INDIRECT("Table1[Beginn]"),"&lt;="&amp;BR$1,INDIRECT("Table1[Ende]"),"&gt;="&amp;BR$1,INDIRECT("Table1[Obergruppe ATC-Code]"),Tabelle3!$A6)</f>
        <v>1</v>
      </c>
      <c r="BS6">
        <f ca="1">COUNTIFS(INDIRECT("Table1[Beginn]"),"&lt;="&amp;BS$1,INDIRECT("Table1[Ende]"),"&gt;="&amp;BS$1,INDIRECT("Table1[Obergruppe ATC-Code]"),Tabelle3!$A6)</f>
        <v>1</v>
      </c>
      <c r="BT6">
        <f ca="1">COUNTIFS(INDIRECT("Table1[Beginn]"),"&lt;="&amp;BT$1,INDIRECT("Table1[Ende]"),"&gt;="&amp;BT$1,INDIRECT("Table1[Obergruppe ATC-Code]"),Tabelle3!$A6)</f>
        <v>1</v>
      </c>
      <c r="BU6">
        <f ca="1">COUNTIFS(INDIRECT("Table1[Beginn]"),"&lt;="&amp;BU$1,INDIRECT("Table1[Ende]"),"&gt;="&amp;BU$1,INDIRECT("Table1[Obergruppe ATC-Code]"),Tabelle3!$A6)</f>
        <v>3</v>
      </c>
      <c r="BV6">
        <f ca="1">COUNTIFS(INDIRECT("Table1[Beginn]"),"&lt;="&amp;BV$1,INDIRECT("Table1[Ende]"),"&gt;="&amp;BV$1,INDIRECT("Table1[Obergruppe ATC-Code]"),Tabelle3!$A6)</f>
        <v>3</v>
      </c>
      <c r="BW6">
        <f ca="1">COUNTIFS(INDIRECT("Table1[Beginn]"),"&lt;="&amp;BW$1,INDIRECT("Table1[Ende]"),"&gt;="&amp;BW$1,INDIRECT("Table1[Obergruppe ATC-Code]"),Tabelle3!$A6)</f>
        <v>3</v>
      </c>
      <c r="BX6">
        <f ca="1">COUNTIFS(INDIRECT("Table1[Beginn]"),"&lt;="&amp;BX$1,INDIRECT("Table1[Ende]"),"&gt;="&amp;BX$1,INDIRECT("Table1[Obergruppe ATC-Code]"),Tabelle3!$A6)</f>
        <v>2</v>
      </c>
      <c r="BY6">
        <f ca="1">COUNTIFS(INDIRECT("Table1[Beginn]"),"&lt;="&amp;BY$1,INDIRECT("Table1[Ende]"),"&gt;="&amp;BY$1,INDIRECT("Table1[Obergruppe ATC-Code]"),Tabelle3!$A6)</f>
        <v>2</v>
      </c>
      <c r="BZ6">
        <f ca="1">COUNTIFS(INDIRECT("Table1[Beginn]"),"&lt;="&amp;BZ$1,INDIRECT("Table1[Ende]"),"&gt;="&amp;BZ$1,INDIRECT("Table1[Obergruppe ATC-Code]"),Tabelle3!$A6)</f>
        <v>1</v>
      </c>
      <c r="CA6">
        <f ca="1">COUNTIFS(INDIRECT("Table1[Beginn]"),"&lt;="&amp;CA$1,INDIRECT("Table1[Ende]"),"&gt;="&amp;CA$1,INDIRECT("Table1[Obergruppe ATC-Code]"),Tabelle3!$A6)</f>
        <v>1</v>
      </c>
      <c r="CB6">
        <f ca="1">COUNTIFS(INDIRECT("Table1[Beginn]"),"&lt;="&amp;CB$1,INDIRECT("Table1[Ende]"),"&gt;="&amp;CB$1,INDIRECT("Table1[Obergruppe ATC-Code]"),Tabelle3!$A6)</f>
        <v>0</v>
      </c>
      <c r="CC6">
        <f ca="1">COUNTIFS(INDIRECT("Table1[Beginn]"),"&lt;="&amp;CC$1,INDIRECT("Table1[Ende]"),"&gt;="&amp;CC$1,INDIRECT("Table1[Obergruppe ATC-Code]"),Tabelle3!$A6)</f>
        <v>0</v>
      </c>
      <c r="CD6">
        <f ca="1">COUNTIFS(INDIRECT("Table1[Beginn]"),"&lt;="&amp;CD$1,INDIRECT("Table1[Ende]"),"&gt;="&amp;CD$1,INDIRECT("Table1[Obergruppe ATC-Code]"),Tabelle3!$A6)</f>
        <v>0</v>
      </c>
      <c r="CE6">
        <f ca="1">COUNTIFS(INDIRECT("Table1[Beginn]"),"&lt;="&amp;CE$1,INDIRECT("Table1[Ende]"),"&gt;="&amp;CE$1,INDIRECT("Table1[Obergruppe ATC-Code]"),Tabelle3!$A6)</f>
        <v>0</v>
      </c>
      <c r="CF6">
        <f ca="1">COUNTIFS(INDIRECT("Table1[Beginn]"),"&lt;="&amp;CF$1,INDIRECT("Table1[Ende]"),"&gt;="&amp;CF$1,INDIRECT("Table1[Obergruppe ATC-Code]"),Tabelle3!$A6)</f>
        <v>0</v>
      </c>
      <c r="CG6">
        <f ca="1">COUNTIFS(INDIRECT("Table1[Beginn]"),"&lt;="&amp;CG$1,INDIRECT("Table1[Ende]"),"&gt;="&amp;CG$1,INDIRECT("Table1[Obergruppe ATC-Code]"),Tabelle3!$A6)</f>
        <v>0</v>
      </c>
      <c r="CH6">
        <f ca="1">COUNTIFS(INDIRECT("Table1[Beginn]"),"&lt;="&amp;CH$1,INDIRECT("Table1[Ende]"),"&gt;="&amp;CH$1,INDIRECT("Table1[Obergruppe ATC-Code]"),Tabelle3!$A6)</f>
        <v>0</v>
      </c>
      <c r="CI6">
        <f ca="1">COUNTIFS(INDIRECT("Table1[Beginn]"),"&lt;="&amp;CI$1,INDIRECT("Table1[Ende]"),"&gt;="&amp;CI$1,INDIRECT("Table1[Obergruppe ATC-Code]"),Tabelle3!$A6)</f>
        <v>0</v>
      </c>
      <c r="CJ6">
        <f ca="1">COUNTIFS(INDIRECT("Table1[Beginn]"),"&lt;="&amp;CJ$1,INDIRECT("Table1[Ende]"),"&gt;="&amp;CJ$1,INDIRECT("Table1[Obergruppe ATC-Code]"),Tabelle3!$A6)</f>
        <v>0</v>
      </c>
      <c r="CK6">
        <f ca="1">COUNTIFS(INDIRECT("Table1[Beginn]"),"&lt;="&amp;CK$1,INDIRECT("Table1[Ende]"),"&gt;="&amp;CK$1,INDIRECT("Table1[Obergruppe ATC-Code]"),Tabelle3!$A6)</f>
        <v>0</v>
      </c>
      <c r="CL6">
        <f ca="1">COUNTIFS(INDIRECT("Table1[Beginn]"),"&lt;="&amp;CL$1,INDIRECT("Table1[Ende]"),"&gt;="&amp;CL$1,INDIRECT("Table1[Obergruppe ATC-Code]"),Tabelle3!$A6)</f>
        <v>0</v>
      </c>
      <c r="CM6">
        <f ca="1">COUNTIFS(INDIRECT("Table1[Beginn]"),"&lt;="&amp;CM$1,INDIRECT("Table1[Ende]"),"&gt;="&amp;CM$1,INDIRECT("Table1[Obergruppe ATC-Code]"),Tabelle3!$A6)</f>
        <v>0</v>
      </c>
      <c r="CN6">
        <f ca="1">COUNTIFS(INDIRECT("Table1[Beginn]"),"&lt;="&amp;CN$1,INDIRECT("Table1[Ende]"),"&gt;="&amp;CN$1,INDIRECT("Table1[Obergruppe ATC-Code]"),Tabelle3!$A6)</f>
        <v>0</v>
      </c>
      <c r="CO6">
        <f ca="1">COUNTIFS(INDIRECT("Table1[Beginn]"),"&lt;="&amp;CO$1,INDIRECT("Table1[Ende]"),"&gt;="&amp;CO$1,INDIRECT("Table1[Obergruppe ATC-Code]"),Tabelle3!$A6)</f>
        <v>0</v>
      </c>
      <c r="CP6">
        <f ca="1">COUNTIFS(INDIRECT("Table1[Beginn]"),"&lt;="&amp;CP$1,INDIRECT("Table1[Ende]"),"&gt;="&amp;CP$1,INDIRECT("Table1[Obergruppe ATC-Code]"),Tabelle3!$A6)</f>
        <v>0</v>
      </c>
      <c r="CQ6">
        <f ca="1">COUNTIFS(INDIRECT("Table1[Beginn]"),"&lt;="&amp;CQ$1,INDIRECT("Table1[Ende]"),"&gt;="&amp;CQ$1,INDIRECT("Table1[Obergruppe ATC-Code]"),Tabelle3!$A6)</f>
        <v>0</v>
      </c>
      <c r="CR6">
        <f ca="1">COUNTIFS(INDIRECT("Table1[Beginn]"),"&lt;="&amp;CR$1,INDIRECT("Table1[Ende]"),"&gt;="&amp;CR$1,INDIRECT("Table1[Obergruppe ATC-Code]"),Tabelle3!$A6)</f>
        <v>0</v>
      </c>
    </row>
    <row r="7" spans="1:96" ht="18">
      <c r="A7" s="9" t="s">
        <v>6782</v>
      </c>
      <c r="B7" s="10" t="s">
        <v>6783</v>
      </c>
      <c r="C7">
        <f ca="1">COUNTIFS(INDIRECT("Table1[Beginn]"),"&lt;="&amp;C$1,INDIRECT("Table1[Ende]"),"&gt;="&amp;C$1,INDIRECT("Table1[Obergruppe ATC-Code]"),Tabelle3!$A7)</f>
        <v>0</v>
      </c>
      <c r="D7">
        <f ca="1">COUNTIFS(INDIRECT("Table1[Beginn]"),"&lt;="&amp;D$1,INDIRECT("Table1[Ende]"),"&gt;="&amp;D$1,INDIRECT("Table1[Obergruppe ATC-Code]"),Tabelle3!$A7)</f>
        <v>0</v>
      </c>
      <c r="E7">
        <f ca="1">COUNTIFS(INDIRECT("Table1[Beginn]"),"&lt;="&amp;E$1,INDIRECT("Table1[Ende]"),"&gt;="&amp;E$1,INDIRECT("Table1[Obergruppe ATC-Code]"),Tabelle3!$A7)</f>
        <v>0</v>
      </c>
      <c r="F7">
        <f ca="1">COUNTIFS(INDIRECT("Table1[Beginn]"),"&lt;="&amp;F$1,INDIRECT("Table1[Ende]"),"&gt;="&amp;F$1,INDIRECT("Table1[Obergruppe ATC-Code]"),Tabelle3!$A7)</f>
        <v>0</v>
      </c>
      <c r="G7">
        <f ca="1">COUNTIFS(INDIRECT("Table1[Beginn]"),"&lt;="&amp;G$1,INDIRECT("Table1[Ende]"),"&gt;="&amp;G$1,INDIRECT("Table1[Obergruppe ATC-Code]"),Tabelle3!$A7)</f>
        <v>0</v>
      </c>
      <c r="H7">
        <f ca="1">COUNTIFS(INDIRECT("Table1[Beginn]"),"&lt;="&amp;H$1,INDIRECT("Table1[Ende]"),"&gt;="&amp;H$1,INDIRECT("Table1[Obergruppe ATC-Code]"),Tabelle3!$A7)</f>
        <v>0</v>
      </c>
      <c r="I7">
        <f ca="1">COUNTIFS(INDIRECT("Table1[Beginn]"),"&lt;="&amp;I$1,INDIRECT("Table1[Ende]"),"&gt;="&amp;I$1,INDIRECT("Table1[Obergruppe ATC-Code]"),Tabelle3!$A7)</f>
        <v>0</v>
      </c>
      <c r="J7">
        <f ca="1">COUNTIFS(INDIRECT("Table1[Beginn]"),"&lt;="&amp;J$1,INDIRECT("Table1[Ende]"),"&gt;="&amp;J$1,INDIRECT("Table1[Obergruppe ATC-Code]"),Tabelle3!$A7)</f>
        <v>0</v>
      </c>
      <c r="K7">
        <f ca="1">COUNTIFS(INDIRECT("Table1[Beginn]"),"&lt;="&amp;K$1,INDIRECT("Table1[Ende]"),"&gt;="&amp;K$1,INDIRECT("Table1[Obergruppe ATC-Code]"),Tabelle3!$A7)</f>
        <v>0</v>
      </c>
      <c r="L7">
        <f ca="1">COUNTIFS(INDIRECT("Table1[Beginn]"),"&lt;="&amp;L$1,INDIRECT("Table1[Ende]"),"&gt;="&amp;L$1,INDIRECT("Table1[Obergruppe ATC-Code]"),Tabelle3!$A7)</f>
        <v>0</v>
      </c>
      <c r="M7">
        <f ca="1">COUNTIFS(INDIRECT("Table1[Beginn]"),"&lt;="&amp;M$1,INDIRECT("Table1[Ende]"),"&gt;="&amp;M$1,INDIRECT("Table1[Obergruppe ATC-Code]"),Tabelle3!$A7)</f>
        <v>0</v>
      </c>
      <c r="N7">
        <f ca="1">COUNTIFS(INDIRECT("Table1[Beginn]"),"&lt;="&amp;N$1,INDIRECT("Table1[Ende]"),"&gt;="&amp;N$1,INDIRECT("Table1[Obergruppe ATC-Code]"),Tabelle3!$A7)</f>
        <v>0</v>
      </c>
      <c r="O7">
        <f ca="1">COUNTIFS(INDIRECT("Table1[Beginn]"),"&lt;="&amp;O$1,INDIRECT("Table1[Ende]"),"&gt;="&amp;O$1,INDIRECT("Table1[Obergruppe ATC-Code]"),Tabelle3!$A7)</f>
        <v>0</v>
      </c>
      <c r="P7">
        <f ca="1">COUNTIFS(INDIRECT("Table1[Beginn]"),"&lt;="&amp;P$1,INDIRECT("Table1[Ende]"),"&gt;="&amp;P$1,INDIRECT("Table1[Obergruppe ATC-Code]"),Tabelle3!$A7)</f>
        <v>0</v>
      </c>
      <c r="Q7">
        <f ca="1">COUNTIFS(INDIRECT("Table1[Beginn]"),"&lt;="&amp;Q$1,INDIRECT("Table1[Ende]"),"&gt;="&amp;Q$1,INDIRECT("Table1[Obergruppe ATC-Code]"),Tabelle3!$A7)</f>
        <v>0</v>
      </c>
      <c r="R7">
        <f ca="1">COUNTIFS(INDIRECT("Table1[Beginn]"),"&lt;="&amp;R$1,INDIRECT("Table1[Ende]"),"&gt;="&amp;R$1,INDIRECT("Table1[Obergruppe ATC-Code]"),Tabelle3!$A7)</f>
        <v>0</v>
      </c>
      <c r="S7">
        <f ca="1">COUNTIFS(INDIRECT("Table1[Beginn]"),"&lt;="&amp;S$1,INDIRECT("Table1[Ende]"),"&gt;="&amp;S$1,INDIRECT("Table1[Obergruppe ATC-Code]"),Tabelle3!$A7)</f>
        <v>0</v>
      </c>
      <c r="T7">
        <f ca="1">COUNTIFS(INDIRECT("Table1[Beginn]"),"&lt;="&amp;T$1,INDIRECT("Table1[Ende]"),"&gt;="&amp;T$1,INDIRECT("Table1[Obergruppe ATC-Code]"),Tabelle3!$A7)</f>
        <v>0</v>
      </c>
      <c r="U7">
        <f ca="1">COUNTIFS(INDIRECT("Table1[Beginn]"),"&lt;="&amp;U$1,INDIRECT("Table1[Ende]"),"&gt;="&amp;U$1,INDIRECT("Table1[Obergruppe ATC-Code]"),Tabelle3!$A7)</f>
        <v>2</v>
      </c>
      <c r="V7">
        <f ca="1">COUNTIFS(INDIRECT("Table1[Beginn]"),"&lt;="&amp;V$1,INDIRECT("Table1[Ende]"),"&gt;="&amp;V$1,INDIRECT("Table1[Obergruppe ATC-Code]"),Tabelle3!$A7)</f>
        <v>2</v>
      </c>
      <c r="W7">
        <f ca="1">COUNTIFS(INDIRECT("Table1[Beginn]"),"&lt;="&amp;W$1,INDIRECT("Table1[Ende]"),"&gt;="&amp;W$1,INDIRECT("Table1[Obergruppe ATC-Code]"),Tabelle3!$A7)</f>
        <v>2</v>
      </c>
      <c r="X7">
        <f ca="1">COUNTIFS(INDIRECT("Table1[Beginn]"),"&lt;="&amp;X$1,INDIRECT("Table1[Ende]"),"&gt;="&amp;X$1,INDIRECT("Table1[Obergruppe ATC-Code]"),Tabelle3!$A7)</f>
        <v>0</v>
      </c>
      <c r="Y7">
        <f ca="1">COUNTIFS(INDIRECT("Table1[Beginn]"),"&lt;="&amp;Y$1,INDIRECT("Table1[Ende]"),"&gt;="&amp;Y$1,INDIRECT("Table1[Obergruppe ATC-Code]"),Tabelle3!$A7)</f>
        <v>0</v>
      </c>
      <c r="Z7">
        <f ca="1">COUNTIFS(INDIRECT("Table1[Beginn]"),"&lt;="&amp;Z$1,INDIRECT("Table1[Ende]"),"&gt;="&amp;Z$1,INDIRECT("Table1[Obergruppe ATC-Code]"),Tabelle3!$A7)</f>
        <v>0</v>
      </c>
      <c r="AA7">
        <f ca="1">COUNTIFS(INDIRECT("Table1[Beginn]"),"&lt;="&amp;AA$1,INDIRECT("Table1[Ende]"),"&gt;="&amp;AA$1,INDIRECT("Table1[Obergruppe ATC-Code]"),Tabelle3!$A7)</f>
        <v>0</v>
      </c>
      <c r="AB7">
        <f ca="1">COUNTIFS(INDIRECT("Table1[Beginn]"),"&lt;="&amp;AB$1,INDIRECT("Table1[Ende]"),"&gt;="&amp;AB$1,INDIRECT("Table1[Obergruppe ATC-Code]"),Tabelle3!$A7)</f>
        <v>1</v>
      </c>
      <c r="AC7">
        <f ca="1">COUNTIFS(INDIRECT("Table1[Beginn]"),"&lt;="&amp;AC$1,INDIRECT("Table1[Ende]"),"&gt;="&amp;AC$1,INDIRECT("Table1[Obergruppe ATC-Code]"),Tabelle3!$A7)</f>
        <v>1</v>
      </c>
      <c r="AD7">
        <f ca="1">COUNTIFS(INDIRECT("Table1[Beginn]"),"&lt;="&amp;AD$1,INDIRECT("Table1[Ende]"),"&gt;="&amp;AD$1,INDIRECT("Table1[Obergruppe ATC-Code]"),Tabelle3!$A7)</f>
        <v>0</v>
      </c>
      <c r="AE7">
        <f ca="1">COUNTIFS(INDIRECT("Table1[Beginn]"),"&lt;="&amp;AE$1,INDIRECT("Table1[Ende]"),"&gt;="&amp;AE$1,INDIRECT("Table1[Obergruppe ATC-Code]"),Tabelle3!$A7)</f>
        <v>0</v>
      </c>
      <c r="AF7">
        <f ca="1">COUNTIFS(INDIRECT("Table1[Beginn]"),"&lt;="&amp;AF$1,INDIRECT("Table1[Ende]"),"&gt;="&amp;AF$1,INDIRECT("Table1[Obergruppe ATC-Code]"),Tabelle3!$A7)</f>
        <v>1</v>
      </c>
      <c r="AG7">
        <f ca="1">COUNTIFS(INDIRECT("Table1[Beginn]"),"&lt;="&amp;AG$1,INDIRECT("Table1[Ende]"),"&gt;="&amp;AG$1,INDIRECT("Table1[Obergruppe ATC-Code]"),Tabelle3!$A7)</f>
        <v>1</v>
      </c>
      <c r="AH7">
        <f ca="1">COUNTIFS(INDIRECT("Table1[Beginn]"),"&lt;="&amp;AH$1,INDIRECT("Table1[Ende]"),"&gt;="&amp;AH$1,INDIRECT("Table1[Obergruppe ATC-Code]"),Tabelle3!$A7)</f>
        <v>1</v>
      </c>
      <c r="AI7">
        <f ca="1">COUNTIFS(INDIRECT("Table1[Beginn]"),"&lt;="&amp;AI$1,INDIRECT("Table1[Ende]"),"&gt;="&amp;AI$1,INDIRECT("Table1[Obergruppe ATC-Code]"),Tabelle3!$A7)</f>
        <v>0</v>
      </c>
      <c r="AJ7">
        <f ca="1">COUNTIFS(INDIRECT("Table1[Beginn]"),"&lt;="&amp;AJ$1,INDIRECT("Table1[Ende]"),"&gt;="&amp;AJ$1,INDIRECT("Table1[Obergruppe ATC-Code]"),Tabelle3!$A7)</f>
        <v>0</v>
      </c>
      <c r="AK7">
        <f ca="1">COUNTIFS(INDIRECT("Table1[Beginn]"),"&lt;="&amp;AK$1,INDIRECT("Table1[Ende]"),"&gt;="&amp;AK$1,INDIRECT("Table1[Obergruppe ATC-Code]"),Tabelle3!$A7)</f>
        <v>0</v>
      </c>
      <c r="AL7">
        <f ca="1">COUNTIFS(INDIRECT("Table1[Beginn]"),"&lt;="&amp;AL$1,INDIRECT("Table1[Ende]"),"&gt;="&amp;AL$1,INDIRECT("Table1[Obergruppe ATC-Code]"),Tabelle3!$A7)</f>
        <v>0</v>
      </c>
      <c r="AM7">
        <f ca="1">COUNTIFS(INDIRECT("Table1[Beginn]"),"&lt;="&amp;AM$1,INDIRECT("Table1[Ende]"),"&gt;="&amp;AM$1,INDIRECT("Table1[Obergruppe ATC-Code]"),Tabelle3!$A7)</f>
        <v>1</v>
      </c>
      <c r="AN7">
        <f ca="1">COUNTIFS(INDIRECT("Table1[Beginn]"),"&lt;="&amp;AN$1,INDIRECT("Table1[Ende]"),"&gt;="&amp;AN$1,INDIRECT("Table1[Obergruppe ATC-Code]"),Tabelle3!$A7)</f>
        <v>0</v>
      </c>
      <c r="AO7">
        <f ca="1">COUNTIFS(INDIRECT("Table1[Beginn]"),"&lt;="&amp;AO$1,INDIRECT("Table1[Ende]"),"&gt;="&amp;AO$1,INDIRECT("Table1[Obergruppe ATC-Code]"),Tabelle3!$A7)</f>
        <v>0</v>
      </c>
      <c r="AP7">
        <f ca="1">COUNTIFS(INDIRECT("Table1[Beginn]"),"&lt;="&amp;AP$1,INDIRECT("Table1[Ende]"),"&gt;="&amp;AP$1,INDIRECT("Table1[Obergruppe ATC-Code]"),Tabelle3!$A7)</f>
        <v>0</v>
      </c>
      <c r="AQ7">
        <f ca="1">COUNTIFS(INDIRECT("Table1[Beginn]"),"&lt;="&amp;AQ$1,INDIRECT("Table1[Ende]"),"&gt;="&amp;AQ$1,INDIRECT("Table1[Obergruppe ATC-Code]"),Tabelle3!$A7)</f>
        <v>0</v>
      </c>
      <c r="AR7">
        <f ca="1">COUNTIFS(INDIRECT("Table1[Beginn]"),"&lt;="&amp;AR$1,INDIRECT("Table1[Ende]"),"&gt;="&amp;AR$1,INDIRECT("Table1[Obergruppe ATC-Code]"),Tabelle3!$A7)</f>
        <v>0</v>
      </c>
      <c r="AS7">
        <f ca="1">COUNTIFS(INDIRECT("Table1[Beginn]"),"&lt;="&amp;AS$1,INDIRECT("Table1[Ende]"),"&gt;="&amp;AS$1,INDIRECT("Table1[Obergruppe ATC-Code]"),Tabelle3!$A7)</f>
        <v>0</v>
      </c>
      <c r="AT7">
        <f ca="1">COUNTIFS(INDIRECT("Table1[Beginn]"),"&lt;="&amp;AT$1,INDIRECT("Table1[Ende]"),"&gt;="&amp;AT$1,INDIRECT("Table1[Obergruppe ATC-Code]"),Tabelle3!$A7)</f>
        <v>0</v>
      </c>
      <c r="AU7">
        <f ca="1">COUNTIFS(INDIRECT("Table1[Beginn]"),"&lt;="&amp;AU$1,INDIRECT("Table1[Ende]"),"&gt;="&amp;AU$1,INDIRECT("Table1[Obergruppe ATC-Code]"),Tabelle3!$A7)</f>
        <v>0</v>
      </c>
      <c r="AV7">
        <f ca="1">COUNTIFS(INDIRECT("Table1[Beginn]"),"&lt;="&amp;AV$1,INDIRECT("Table1[Ende]"),"&gt;="&amp;AV$1,INDIRECT("Table1[Obergruppe ATC-Code]"),Tabelle3!$A7)</f>
        <v>0</v>
      </c>
      <c r="AW7">
        <f ca="1">COUNTIFS(INDIRECT("Table1[Beginn]"),"&lt;="&amp;AW$1,INDIRECT("Table1[Ende]"),"&gt;="&amp;AW$1,INDIRECT("Table1[Obergruppe ATC-Code]"),Tabelle3!$A7)</f>
        <v>0</v>
      </c>
      <c r="AX7">
        <f ca="1">COUNTIFS(INDIRECT("Table1[Beginn]"),"&lt;="&amp;AX$1,INDIRECT("Table1[Ende]"),"&gt;="&amp;AX$1,INDIRECT("Table1[Obergruppe ATC-Code]"),Tabelle3!$A7)</f>
        <v>0</v>
      </c>
      <c r="AY7">
        <f ca="1">COUNTIFS(INDIRECT("Table1[Beginn]"),"&lt;="&amp;AY$1,INDIRECT("Table1[Ende]"),"&gt;="&amp;AY$1,INDIRECT("Table1[Obergruppe ATC-Code]"),Tabelle3!$A7)</f>
        <v>0</v>
      </c>
      <c r="AZ7">
        <f ca="1">COUNTIFS(INDIRECT("Table1[Beginn]"),"&lt;="&amp;AZ$1,INDIRECT("Table1[Ende]"),"&gt;="&amp;AZ$1,INDIRECT("Table1[Obergruppe ATC-Code]"),Tabelle3!$A7)</f>
        <v>0</v>
      </c>
      <c r="BA7">
        <f ca="1">COUNTIFS(INDIRECT("Table1[Beginn]"),"&lt;="&amp;BA$1,INDIRECT("Table1[Ende]"),"&gt;="&amp;BA$1,INDIRECT("Table1[Obergruppe ATC-Code]"),Tabelle3!$A7)</f>
        <v>0</v>
      </c>
      <c r="BB7">
        <f ca="1">COUNTIFS(INDIRECT("Table1[Beginn]"),"&lt;="&amp;BB$1,INDIRECT("Table1[Ende]"),"&gt;="&amp;BB$1,INDIRECT("Table1[Obergruppe ATC-Code]"),Tabelle3!$A7)</f>
        <v>0</v>
      </c>
      <c r="BC7">
        <f ca="1">COUNTIFS(INDIRECT("Table1[Beginn]"),"&lt;="&amp;BC$1,INDIRECT("Table1[Ende]"),"&gt;="&amp;BC$1,INDIRECT("Table1[Obergruppe ATC-Code]"),Tabelle3!$A7)</f>
        <v>0</v>
      </c>
      <c r="BD7">
        <f ca="1">COUNTIFS(INDIRECT("Table1[Beginn]"),"&lt;="&amp;BD$1,INDIRECT("Table1[Ende]"),"&gt;="&amp;BD$1,INDIRECT("Table1[Obergruppe ATC-Code]"),Tabelle3!$A7)</f>
        <v>0</v>
      </c>
      <c r="BE7">
        <f ca="1">COUNTIFS(INDIRECT("Table1[Beginn]"),"&lt;="&amp;BE$1,INDIRECT("Table1[Ende]"),"&gt;="&amp;BE$1,INDIRECT("Table1[Obergruppe ATC-Code]"),Tabelle3!$A7)</f>
        <v>0</v>
      </c>
      <c r="BF7">
        <f ca="1">COUNTIFS(INDIRECT("Table1[Beginn]"),"&lt;="&amp;BF$1,INDIRECT("Table1[Ende]"),"&gt;="&amp;BF$1,INDIRECT("Table1[Obergruppe ATC-Code]"),Tabelle3!$A7)</f>
        <v>0</v>
      </c>
      <c r="BG7">
        <f ca="1">COUNTIFS(INDIRECT("Table1[Beginn]"),"&lt;="&amp;BG$1,INDIRECT("Table1[Ende]"),"&gt;="&amp;BG$1,INDIRECT("Table1[Obergruppe ATC-Code]"),Tabelle3!$A7)</f>
        <v>0</v>
      </c>
      <c r="BH7">
        <f ca="1">COUNTIFS(INDIRECT("Table1[Beginn]"),"&lt;="&amp;BH$1,INDIRECT("Table1[Ende]"),"&gt;="&amp;BH$1,INDIRECT("Table1[Obergruppe ATC-Code]"),Tabelle3!$A7)</f>
        <v>0</v>
      </c>
      <c r="BI7">
        <f ca="1">COUNTIFS(INDIRECT("Table1[Beginn]"),"&lt;="&amp;BI$1,INDIRECT("Table1[Ende]"),"&gt;="&amp;BI$1,INDIRECT("Table1[Obergruppe ATC-Code]"),Tabelle3!$A7)</f>
        <v>0</v>
      </c>
      <c r="BJ7">
        <f ca="1">COUNTIFS(INDIRECT("Table1[Beginn]"),"&lt;="&amp;BJ$1,INDIRECT("Table1[Ende]"),"&gt;="&amp;BJ$1,INDIRECT("Table1[Obergruppe ATC-Code]"),Tabelle3!$A7)</f>
        <v>0</v>
      </c>
      <c r="BK7">
        <f ca="1">COUNTIFS(INDIRECT("Table1[Beginn]"),"&lt;="&amp;BK$1,INDIRECT("Table1[Ende]"),"&gt;="&amp;BK$1,INDIRECT("Table1[Obergruppe ATC-Code]"),Tabelle3!$A7)</f>
        <v>0</v>
      </c>
      <c r="BL7">
        <f ca="1">COUNTIFS(INDIRECT("Table1[Beginn]"),"&lt;="&amp;BL$1,INDIRECT("Table1[Ende]"),"&gt;="&amp;BL$1,INDIRECT("Table1[Obergruppe ATC-Code]"),Tabelle3!$A7)</f>
        <v>0</v>
      </c>
      <c r="BM7">
        <f ca="1">COUNTIFS(INDIRECT("Table1[Beginn]"),"&lt;="&amp;BM$1,INDIRECT("Table1[Ende]"),"&gt;="&amp;BM$1,INDIRECT("Table1[Obergruppe ATC-Code]"),Tabelle3!$A7)</f>
        <v>0</v>
      </c>
      <c r="BN7">
        <f ca="1">COUNTIFS(INDIRECT("Table1[Beginn]"),"&lt;="&amp;BN$1,INDIRECT("Table1[Ende]"),"&gt;="&amp;BN$1,INDIRECT("Table1[Obergruppe ATC-Code]"),Tabelle3!$A7)</f>
        <v>0</v>
      </c>
      <c r="BO7">
        <f ca="1">COUNTIFS(INDIRECT("Table1[Beginn]"),"&lt;="&amp;BO$1,INDIRECT("Table1[Ende]"),"&gt;="&amp;BO$1,INDIRECT("Table1[Obergruppe ATC-Code]"),Tabelle3!$A7)</f>
        <v>0</v>
      </c>
      <c r="BP7">
        <f ca="1">COUNTIFS(INDIRECT("Table1[Beginn]"),"&lt;="&amp;BP$1,INDIRECT("Table1[Ende]"),"&gt;="&amp;BP$1,INDIRECT("Table1[Obergruppe ATC-Code]"),Tabelle3!$A7)</f>
        <v>0</v>
      </c>
      <c r="BQ7">
        <f ca="1">COUNTIFS(INDIRECT("Table1[Beginn]"),"&lt;="&amp;BQ$1,INDIRECT("Table1[Ende]"),"&gt;="&amp;BQ$1,INDIRECT("Table1[Obergruppe ATC-Code]"),Tabelle3!$A7)</f>
        <v>0</v>
      </c>
      <c r="BR7">
        <f ca="1">COUNTIFS(INDIRECT("Table1[Beginn]"),"&lt;="&amp;BR$1,INDIRECT("Table1[Ende]"),"&gt;="&amp;BR$1,INDIRECT("Table1[Obergruppe ATC-Code]"),Tabelle3!$A7)</f>
        <v>0</v>
      </c>
      <c r="BS7">
        <f ca="1">COUNTIFS(INDIRECT("Table1[Beginn]"),"&lt;="&amp;BS$1,INDIRECT("Table1[Ende]"),"&gt;="&amp;BS$1,INDIRECT("Table1[Obergruppe ATC-Code]"),Tabelle3!$A7)</f>
        <v>0</v>
      </c>
      <c r="BT7">
        <f ca="1">COUNTIFS(INDIRECT("Table1[Beginn]"),"&lt;="&amp;BT$1,INDIRECT("Table1[Ende]"),"&gt;="&amp;BT$1,INDIRECT("Table1[Obergruppe ATC-Code]"),Tabelle3!$A7)</f>
        <v>1</v>
      </c>
      <c r="BU7">
        <f ca="1">COUNTIFS(INDIRECT("Table1[Beginn]"),"&lt;="&amp;BU$1,INDIRECT("Table1[Ende]"),"&gt;="&amp;BU$1,INDIRECT("Table1[Obergruppe ATC-Code]"),Tabelle3!$A7)</f>
        <v>0</v>
      </c>
      <c r="BV7">
        <f ca="1">COUNTIFS(INDIRECT("Table1[Beginn]"),"&lt;="&amp;BV$1,INDIRECT("Table1[Ende]"),"&gt;="&amp;BV$1,INDIRECT("Table1[Obergruppe ATC-Code]"),Tabelle3!$A7)</f>
        <v>0</v>
      </c>
      <c r="BW7">
        <f ca="1">COUNTIFS(INDIRECT("Table1[Beginn]"),"&lt;="&amp;BW$1,INDIRECT("Table1[Ende]"),"&gt;="&amp;BW$1,INDIRECT("Table1[Obergruppe ATC-Code]"),Tabelle3!$A7)</f>
        <v>0</v>
      </c>
      <c r="BX7">
        <f ca="1">COUNTIFS(INDIRECT("Table1[Beginn]"),"&lt;="&amp;BX$1,INDIRECT("Table1[Ende]"),"&gt;="&amp;BX$1,INDIRECT("Table1[Obergruppe ATC-Code]"),Tabelle3!$A7)</f>
        <v>0</v>
      </c>
      <c r="BY7">
        <f ca="1">COUNTIFS(INDIRECT("Table1[Beginn]"),"&lt;="&amp;BY$1,INDIRECT("Table1[Ende]"),"&gt;="&amp;BY$1,INDIRECT("Table1[Obergruppe ATC-Code]"),Tabelle3!$A7)</f>
        <v>0</v>
      </c>
      <c r="BZ7">
        <f ca="1">COUNTIFS(INDIRECT("Table1[Beginn]"),"&lt;="&amp;BZ$1,INDIRECT("Table1[Ende]"),"&gt;="&amp;BZ$1,INDIRECT("Table1[Obergruppe ATC-Code]"),Tabelle3!$A7)</f>
        <v>0</v>
      </c>
      <c r="CA7">
        <f ca="1">COUNTIFS(INDIRECT("Table1[Beginn]"),"&lt;="&amp;CA$1,INDIRECT("Table1[Ende]"),"&gt;="&amp;CA$1,INDIRECT("Table1[Obergruppe ATC-Code]"),Tabelle3!$A7)</f>
        <v>0</v>
      </c>
      <c r="CB7">
        <f ca="1">COUNTIFS(INDIRECT("Table1[Beginn]"),"&lt;="&amp;CB$1,INDIRECT("Table1[Ende]"),"&gt;="&amp;CB$1,INDIRECT("Table1[Obergruppe ATC-Code]"),Tabelle3!$A7)</f>
        <v>0</v>
      </c>
      <c r="CC7">
        <f ca="1">COUNTIFS(INDIRECT("Table1[Beginn]"),"&lt;="&amp;CC$1,INDIRECT("Table1[Ende]"),"&gt;="&amp;CC$1,INDIRECT("Table1[Obergruppe ATC-Code]"),Tabelle3!$A7)</f>
        <v>0</v>
      </c>
      <c r="CD7">
        <f ca="1">COUNTIFS(INDIRECT("Table1[Beginn]"),"&lt;="&amp;CD$1,INDIRECT("Table1[Ende]"),"&gt;="&amp;CD$1,INDIRECT("Table1[Obergruppe ATC-Code]"),Tabelle3!$A7)</f>
        <v>0</v>
      </c>
      <c r="CE7">
        <f ca="1">COUNTIFS(INDIRECT("Table1[Beginn]"),"&lt;="&amp;CE$1,INDIRECT("Table1[Ende]"),"&gt;="&amp;CE$1,INDIRECT("Table1[Obergruppe ATC-Code]"),Tabelle3!$A7)</f>
        <v>0</v>
      </c>
      <c r="CF7">
        <f ca="1">COUNTIFS(INDIRECT("Table1[Beginn]"),"&lt;="&amp;CF$1,INDIRECT("Table1[Ende]"),"&gt;="&amp;CF$1,INDIRECT("Table1[Obergruppe ATC-Code]"),Tabelle3!$A7)</f>
        <v>0</v>
      </c>
      <c r="CG7">
        <f ca="1">COUNTIFS(INDIRECT("Table1[Beginn]"),"&lt;="&amp;CG$1,INDIRECT("Table1[Ende]"),"&gt;="&amp;CG$1,INDIRECT("Table1[Obergruppe ATC-Code]"),Tabelle3!$A7)</f>
        <v>0</v>
      </c>
      <c r="CH7">
        <f ca="1">COUNTIFS(INDIRECT("Table1[Beginn]"),"&lt;="&amp;CH$1,INDIRECT("Table1[Ende]"),"&gt;="&amp;CH$1,INDIRECT("Table1[Obergruppe ATC-Code]"),Tabelle3!$A7)</f>
        <v>0</v>
      </c>
      <c r="CI7">
        <f ca="1">COUNTIFS(INDIRECT("Table1[Beginn]"),"&lt;="&amp;CI$1,INDIRECT("Table1[Ende]"),"&gt;="&amp;CI$1,INDIRECT("Table1[Obergruppe ATC-Code]"),Tabelle3!$A7)</f>
        <v>0</v>
      </c>
      <c r="CJ7">
        <f ca="1">COUNTIFS(INDIRECT("Table1[Beginn]"),"&lt;="&amp;CJ$1,INDIRECT("Table1[Ende]"),"&gt;="&amp;CJ$1,INDIRECT("Table1[Obergruppe ATC-Code]"),Tabelle3!$A7)</f>
        <v>0</v>
      </c>
      <c r="CK7">
        <f ca="1">COUNTIFS(INDIRECT("Table1[Beginn]"),"&lt;="&amp;CK$1,INDIRECT("Table1[Ende]"),"&gt;="&amp;CK$1,INDIRECT("Table1[Obergruppe ATC-Code]"),Tabelle3!$A7)</f>
        <v>0</v>
      </c>
      <c r="CL7">
        <f ca="1">COUNTIFS(INDIRECT("Table1[Beginn]"),"&lt;="&amp;CL$1,INDIRECT("Table1[Ende]"),"&gt;="&amp;CL$1,INDIRECT("Table1[Obergruppe ATC-Code]"),Tabelle3!$A7)</f>
        <v>0</v>
      </c>
      <c r="CM7">
        <f ca="1">COUNTIFS(INDIRECT("Table1[Beginn]"),"&lt;="&amp;CM$1,INDIRECT("Table1[Ende]"),"&gt;="&amp;CM$1,INDIRECT("Table1[Obergruppe ATC-Code]"),Tabelle3!$A7)</f>
        <v>0</v>
      </c>
      <c r="CN7">
        <f ca="1">COUNTIFS(INDIRECT("Table1[Beginn]"),"&lt;="&amp;CN$1,INDIRECT("Table1[Ende]"),"&gt;="&amp;CN$1,INDIRECT("Table1[Obergruppe ATC-Code]"),Tabelle3!$A7)</f>
        <v>0</v>
      </c>
      <c r="CO7">
        <f ca="1">COUNTIFS(INDIRECT("Table1[Beginn]"),"&lt;="&amp;CO$1,INDIRECT("Table1[Ende]"),"&gt;="&amp;CO$1,INDIRECT("Table1[Obergruppe ATC-Code]"),Tabelle3!$A7)</f>
        <v>0</v>
      </c>
      <c r="CP7">
        <f ca="1">COUNTIFS(INDIRECT("Table1[Beginn]"),"&lt;="&amp;CP$1,INDIRECT("Table1[Ende]"),"&gt;="&amp;CP$1,INDIRECT("Table1[Obergruppe ATC-Code]"),Tabelle3!$A7)</f>
        <v>0</v>
      </c>
      <c r="CQ7">
        <f ca="1">COUNTIFS(INDIRECT("Table1[Beginn]"),"&lt;="&amp;CQ$1,INDIRECT("Table1[Ende]"),"&gt;="&amp;CQ$1,INDIRECT("Table1[Obergruppe ATC-Code]"),Tabelle3!$A7)</f>
        <v>0</v>
      </c>
      <c r="CR7">
        <f ca="1">COUNTIFS(INDIRECT("Table1[Beginn]"),"&lt;="&amp;CR$1,INDIRECT("Table1[Ende]"),"&gt;="&amp;CR$1,INDIRECT("Table1[Obergruppe ATC-Code]"),Tabelle3!$A7)</f>
        <v>0</v>
      </c>
    </row>
    <row r="8" spans="1:96" ht="18">
      <c r="A8" s="7" t="s">
        <v>6784</v>
      </c>
      <c r="B8" s="8" t="s">
        <v>6785</v>
      </c>
      <c r="C8">
        <f ca="1">COUNTIFS(INDIRECT("Table1[Beginn]"),"&lt;="&amp;C$1,INDIRECT("Table1[Ende]"),"&gt;="&amp;C$1,INDIRECT("Table1[Obergruppe ATC-Code]"),Tabelle3!$A8)</f>
        <v>0</v>
      </c>
      <c r="D8">
        <f ca="1">COUNTIFS(INDIRECT("Table1[Beginn]"),"&lt;="&amp;D$1,INDIRECT("Table1[Ende]"),"&gt;="&amp;D$1,INDIRECT("Table1[Obergruppe ATC-Code]"),Tabelle3!$A8)</f>
        <v>0</v>
      </c>
      <c r="E8">
        <f ca="1">COUNTIFS(INDIRECT("Table1[Beginn]"),"&lt;="&amp;E$1,INDIRECT("Table1[Ende]"),"&gt;="&amp;E$1,INDIRECT("Table1[Obergruppe ATC-Code]"),Tabelle3!$A8)</f>
        <v>0</v>
      </c>
      <c r="F8">
        <f ca="1">COUNTIFS(INDIRECT("Table1[Beginn]"),"&lt;="&amp;F$1,INDIRECT("Table1[Ende]"),"&gt;="&amp;F$1,INDIRECT("Table1[Obergruppe ATC-Code]"),Tabelle3!$A8)</f>
        <v>0</v>
      </c>
      <c r="G8">
        <f ca="1">COUNTIFS(INDIRECT("Table1[Beginn]"),"&lt;="&amp;G$1,INDIRECT("Table1[Ende]"),"&gt;="&amp;G$1,INDIRECT("Table1[Obergruppe ATC-Code]"),Tabelle3!$A8)</f>
        <v>0</v>
      </c>
      <c r="H8">
        <f ca="1">COUNTIFS(INDIRECT("Table1[Beginn]"),"&lt;="&amp;H$1,INDIRECT("Table1[Ende]"),"&gt;="&amp;H$1,INDIRECT("Table1[Obergruppe ATC-Code]"),Tabelle3!$A8)</f>
        <v>0</v>
      </c>
      <c r="I8">
        <f ca="1">COUNTIFS(INDIRECT("Table1[Beginn]"),"&lt;="&amp;I$1,INDIRECT("Table1[Ende]"),"&gt;="&amp;I$1,INDIRECT("Table1[Obergruppe ATC-Code]"),Tabelle3!$A8)</f>
        <v>0</v>
      </c>
      <c r="J8">
        <f ca="1">COUNTIFS(INDIRECT("Table1[Beginn]"),"&lt;="&amp;J$1,INDIRECT("Table1[Ende]"),"&gt;="&amp;J$1,INDIRECT("Table1[Obergruppe ATC-Code]"),Tabelle3!$A8)</f>
        <v>0</v>
      </c>
      <c r="K8">
        <f ca="1">COUNTIFS(INDIRECT("Table1[Beginn]"),"&lt;="&amp;K$1,INDIRECT("Table1[Ende]"),"&gt;="&amp;K$1,INDIRECT("Table1[Obergruppe ATC-Code]"),Tabelle3!$A8)</f>
        <v>0</v>
      </c>
      <c r="L8">
        <f ca="1">COUNTIFS(INDIRECT("Table1[Beginn]"),"&lt;="&amp;L$1,INDIRECT("Table1[Ende]"),"&gt;="&amp;L$1,INDIRECT("Table1[Obergruppe ATC-Code]"),Tabelle3!$A8)</f>
        <v>0</v>
      </c>
      <c r="M8">
        <f ca="1">COUNTIFS(INDIRECT("Table1[Beginn]"),"&lt;="&amp;M$1,INDIRECT("Table1[Ende]"),"&gt;="&amp;M$1,INDIRECT("Table1[Obergruppe ATC-Code]"),Tabelle3!$A8)</f>
        <v>1</v>
      </c>
      <c r="N8">
        <f ca="1">COUNTIFS(INDIRECT("Table1[Beginn]"),"&lt;="&amp;N$1,INDIRECT("Table1[Ende]"),"&gt;="&amp;N$1,INDIRECT("Table1[Obergruppe ATC-Code]"),Tabelle3!$A8)</f>
        <v>1</v>
      </c>
      <c r="O8">
        <f ca="1">COUNTIFS(INDIRECT("Table1[Beginn]"),"&lt;="&amp;O$1,INDIRECT("Table1[Ende]"),"&gt;="&amp;O$1,INDIRECT("Table1[Obergruppe ATC-Code]"),Tabelle3!$A8)</f>
        <v>2</v>
      </c>
      <c r="P8">
        <f ca="1">COUNTIFS(INDIRECT("Table1[Beginn]"),"&lt;="&amp;P$1,INDIRECT("Table1[Ende]"),"&gt;="&amp;P$1,INDIRECT("Table1[Obergruppe ATC-Code]"),Tabelle3!$A8)</f>
        <v>2</v>
      </c>
      <c r="Q8">
        <f ca="1">COUNTIFS(INDIRECT("Table1[Beginn]"),"&lt;="&amp;Q$1,INDIRECT("Table1[Ende]"),"&gt;="&amp;Q$1,INDIRECT("Table1[Obergruppe ATC-Code]"),Tabelle3!$A8)</f>
        <v>2</v>
      </c>
      <c r="R8">
        <f ca="1">COUNTIFS(INDIRECT("Table1[Beginn]"),"&lt;="&amp;R$1,INDIRECT("Table1[Ende]"),"&gt;="&amp;R$1,INDIRECT("Table1[Obergruppe ATC-Code]"),Tabelle3!$A8)</f>
        <v>2</v>
      </c>
      <c r="S8">
        <f ca="1">COUNTIFS(INDIRECT("Table1[Beginn]"),"&lt;="&amp;S$1,INDIRECT("Table1[Ende]"),"&gt;="&amp;S$1,INDIRECT("Table1[Obergruppe ATC-Code]"),Tabelle3!$A8)</f>
        <v>2</v>
      </c>
      <c r="T8">
        <f ca="1">COUNTIFS(INDIRECT("Table1[Beginn]"),"&lt;="&amp;T$1,INDIRECT("Table1[Ende]"),"&gt;="&amp;T$1,INDIRECT("Table1[Obergruppe ATC-Code]"),Tabelle3!$A8)</f>
        <v>2</v>
      </c>
      <c r="U8">
        <f ca="1">COUNTIFS(INDIRECT("Table1[Beginn]"),"&lt;="&amp;U$1,INDIRECT("Table1[Ende]"),"&gt;="&amp;U$1,INDIRECT("Table1[Obergruppe ATC-Code]"),Tabelle3!$A8)</f>
        <v>2</v>
      </c>
      <c r="V8">
        <f ca="1">COUNTIFS(INDIRECT("Table1[Beginn]"),"&lt;="&amp;V$1,INDIRECT("Table1[Ende]"),"&gt;="&amp;V$1,INDIRECT("Table1[Obergruppe ATC-Code]"),Tabelle3!$A8)</f>
        <v>2</v>
      </c>
      <c r="W8">
        <f ca="1">COUNTIFS(INDIRECT("Table1[Beginn]"),"&lt;="&amp;W$1,INDIRECT("Table1[Ende]"),"&gt;="&amp;W$1,INDIRECT("Table1[Obergruppe ATC-Code]"),Tabelle3!$A8)</f>
        <v>1</v>
      </c>
      <c r="X8">
        <f ca="1">COUNTIFS(INDIRECT("Table1[Beginn]"),"&lt;="&amp;X$1,INDIRECT("Table1[Ende]"),"&gt;="&amp;X$1,INDIRECT("Table1[Obergruppe ATC-Code]"),Tabelle3!$A8)</f>
        <v>1</v>
      </c>
      <c r="Y8">
        <f ca="1">COUNTIFS(INDIRECT("Table1[Beginn]"),"&lt;="&amp;Y$1,INDIRECT("Table1[Ende]"),"&gt;="&amp;Y$1,INDIRECT("Table1[Obergruppe ATC-Code]"),Tabelle3!$A8)</f>
        <v>1</v>
      </c>
      <c r="Z8">
        <f ca="1">COUNTIFS(INDIRECT("Table1[Beginn]"),"&lt;="&amp;Z$1,INDIRECT("Table1[Ende]"),"&gt;="&amp;Z$1,INDIRECT("Table1[Obergruppe ATC-Code]"),Tabelle3!$A8)</f>
        <v>1</v>
      </c>
      <c r="AA8">
        <f ca="1">COUNTIFS(INDIRECT("Table1[Beginn]"),"&lt;="&amp;AA$1,INDIRECT("Table1[Ende]"),"&gt;="&amp;AA$1,INDIRECT("Table1[Obergruppe ATC-Code]"),Tabelle3!$A8)</f>
        <v>1</v>
      </c>
      <c r="AB8">
        <f ca="1">COUNTIFS(INDIRECT("Table1[Beginn]"),"&lt;="&amp;AB$1,INDIRECT("Table1[Ende]"),"&gt;="&amp;AB$1,INDIRECT("Table1[Obergruppe ATC-Code]"),Tabelle3!$A8)</f>
        <v>0</v>
      </c>
      <c r="AC8">
        <f ca="1">COUNTIFS(INDIRECT("Table1[Beginn]"),"&lt;="&amp;AC$1,INDIRECT("Table1[Ende]"),"&gt;="&amp;AC$1,INDIRECT("Table1[Obergruppe ATC-Code]"),Tabelle3!$A8)</f>
        <v>1</v>
      </c>
      <c r="AD8">
        <f ca="1">COUNTIFS(INDIRECT("Table1[Beginn]"),"&lt;="&amp;AD$1,INDIRECT("Table1[Ende]"),"&gt;="&amp;AD$1,INDIRECT("Table1[Obergruppe ATC-Code]"),Tabelle3!$A8)</f>
        <v>1</v>
      </c>
      <c r="AE8">
        <f ca="1">COUNTIFS(INDIRECT("Table1[Beginn]"),"&lt;="&amp;AE$1,INDIRECT("Table1[Ende]"),"&gt;="&amp;AE$1,INDIRECT("Table1[Obergruppe ATC-Code]"),Tabelle3!$A8)</f>
        <v>2</v>
      </c>
      <c r="AF8">
        <f ca="1">COUNTIFS(INDIRECT("Table1[Beginn]"),"&lt;="&amp;AF$1,INDIRECT("Table1[Ende]"),"&gt;="&amp;AF$1,INDIRECT("Table1[Obergruppe ATC-Code]"),Tabelle3!$A8)</f>
        <v>2</v>
      </c>
      <c r="AG8">
        <f ca="1">COUNTIFS(INDIRECT("Table1[Beginn]"),"&lt;="&amp;AG$1,INDIRECT("Table1[Ende]"),"&gt;="&amp;AG$1,INDIRECT("Table1[Obergruppe ATC-Code]"),Tabelle3!$A8)</f>
        <v>2</v>
      </c>
      <c r="AH8">
        <f ca="1">COUNTIFS(INDIRECT("Table1[Beginn]"),"&lt;="&amp;AH$1,INDIRECT("Table1[Ende]"),"&gt;="&amp;AH$1,INDIRECT("Table1[Obergruppe ATC-Code]"),Tabelle3!$A8)</f>
        <v>2</v>
      </c>
      <c r="AI8">
        <f ca="1">COUNTIFS(INDIRECT("Table1[Beginn]"),"&lt;="&amp;AI$1,INDIRECT("Table1[Ende]"),"&gt;="&amp;AI$1,INDIRECT("Table1[Obergruppe ATC-Code]"),Tabelle3!$A8)</f>
        <v>3</v>
      </c>
      <c r="AJ8">
        <f ca="1">COUNTIFS(INDIRECT("Table1[Beginn]"),"&lt;="&amp;AJ$1,INDIRECT("Table1[Ende]"),"&gt;="&amp;AJ$1,INDIRECT("Table1[Obergruppe ATC-Code]"),Tabelle3!$A8)</f>
        <v>3</v>
      </c>
      <c r="AK8">
        <f ca="1">COUNTIFS(INDIRECT("Table1[Beginn]"),"&lt;="&amp;AK$1,INDIRECT("Table1[Ende]"),"&gt;="&amp;AK$1,INDIRECT("Table1[Obergruppe ATC-Code]"),Tabelle3!$A8)</f>
        <v>2</v>
      </c>
      <c r="AL8">
        <f ca="1">COUNTIFS(INDIRECT("Table1[Beginn]"),"&lt;="&amp;AL$1,INDIRECT("Table1[Ende]"),"&gt;="&amp;AL$1,INDIRECT("Table1[Obergruppe ATC-Code]"),Tabelle3!$A8)</f>
        <v>2</v>
      </c>
      <c r="AM8">
        <f ca="1">COUNTIFS(INDIRECT("Table1[Beginn]"),"&lt;="&amp;AM$1,INDIRECT("Table1[Ende]"),"&gt;="&amp;AM$1,INDIRECT("Table1[Obergruppe ATC-Code]"),Tabelle3!$A8)</f>
        <v>3</v>
      </c>
      <c r="AN8">
        <f ca="1">COUNTIFS(INDIRECT("Table1[Beginn]"),"&lt;="&amp;AN$1,INDIRECT("Table1[Ende]"),"&gt;="&amp;AN$1,INDIRECT("Table1[Obergruppe ATC-Code]"),Tabelle3!$A8)</f>
        <v>3</v>
      </c>
      <c r="AO8">
        <f ca="1">COUNTIFS(INDIRECT("Table1[Beginn]"),"&lt;="&amp;AO$1,INDIRECT("Table1[Ende]"),"&gt;="&amp;AO$1,INDIRECT("Table1[Obergruppe ATC-Code]"),Tabelle3!$A8)</f>
        <v>3</v>
      </c>
      <c r="AP8">
        <f ca="1">COUNTIFS(INDIRECT("Table1[Beginn]"),"&lt;="&amp;AP$1,INDIRECT("Table1[Ende]"),"&gt;="&amp;AP$1,INDIRECT("Table1[Obergruppe ATC-Code]"),Tabelle3!$A8)</f>
        <v>3</v>
      </c>
      <c r="AQ8">
        <f ca="1">COUNTIFS(INDIRECT("Table1[Beginn]"),"&lt;="&amp;AQ$1,INDIRECT("Table1[Ende]"),"&gt;="&amp;AQ$1,INDIRECT("Table1[Obergruppe ATC-Code]"),Tabelle3!$A8)</f>
        <v>1</v>
      </c>
      <c r="AR8">
        <f ca="1">COUNTIFS(INDIRECT("Table1[Beginn]"),"&lt;="&amp;AR$1,INDIRECT("Table1[Ende]"),"&gt;="&amp;AR$1,INDIRECT("Table1[Obergruppe ATC-Code]"),Tabelle3!$A8)</f>
        <v>1</v>
      </c>
      <c r="AS8">
        <f ca="1">COUNTIFS(INDIRECT("Table1[Beginn]"),"&lt;="&amp;AS$1,INDIRECT("Table1[Ende]"),"&gt;="&amp;AS$1,INDIRECT("Table1[Obergruppe ATC-Code]"),Tabelle3!$A8)</f>
        <v>1</v>
      </c>
      <c r="AT8">
        <f ca="1">COUNTIFS(INDIRECT("Table1[Beginn]"),"&lt;="&amp;AT$1,INDIRECT("Table1[Ende]"),"&gt;="&amp;AT$1,INDIRECT("Table1[Obergruppe ATC-Code]"),Tabelle3!$A8)</f>
        <v>2</v>
      </c>
      <c r="AU8">
        <f ca="1">COUNTIFS(INDIRECT("Table1[Beginn]"),"&lt;="&amp;AU$1,INDIRECT("Table1[Ende]"),"&gt;="&amp;AU$1,INDIRECT("Table1[Obergruppe ATC-Code]"),Tabelle3!$A8)</f>
        <v>1</v>
      </c>
      <c r="AV8">
        <f ca="1">COUNTIFS(INDIRECT("Table1[Beginn]"),"&lt;="&amp;AV$1,INDIRECT("Table1[Ende]"),"&gt;="&amp;AV$1,INDIRECT("Table1[Obergruppe ATC-Code]"),Tabelle3!$A8)</f>
        <v>1</v>
      </c>
      <c r="AW8">
        <f ca="1">COUNTIFS(INDIRECT("Table1[Beginn]"),"&lt;="&amp;AW$1,INDIRECT("Table1[Ende]"),"&gt;="&amp;AW$1,INDIRECT("Table1[Obergruppe ATC-Code]"),Tabelle3!$A8)</f>
        <v>1</v>
      </c>
      <c r="AX8">
        <f ca="1">COUNTIFS(INDIRECT("Table1[Beginn]"),"&lt;="&amp;AX$1,INDIRECT("Table1[Ende]"),"&gt;="&amp;AX$1,INDIRECT("Table1[Obergruppe ATC-Code]"),Tabelle3!$A8)</f>
        <v>1</v>
      </c>
      <c r="AY8">
        <f ca="1">COUNTIFS(INDIRECT("Table1[Beginn]"),"&lt;="&amp;AY$1,INDIRECT("Table1[Ende]"),"&gt;="&amp;AY$1,INDIRECT("Table1[Obergruppe ATC-Code]"),Tabelle3!$A8)</f>
        <v>0</v>
      </c>
      <c r="AZ8">
        <f ca="1">COUNTIFS(INDIRECT("Table1[Beginn]"),"&lt;="&amp;AZ$1,INDIRECT("Table1[Ende]"),"&gt;="&amp;AZ$1,INDIRECT("Table1[Obergruppe ATC-Code]"),Tabelle3!$A8)</f>
        <v>0</v>
      </c>
      <c r="BA8">
        <f ca="1">COUNTIFS(INDIRECT("Table1[Beginn]"),"&lt;="&amp;BA$1,INDIRECT("Table1[Ende]"),"&gt;="&amp;BA$1,INDIRECT("Table1[Obergruppe ATC-Code]"),Tabelle3!$A8)</f>
        <v>0</v>
      </c>
      <c r="BB8">
        <f ca="1">COUNTIFS(INDIRECT("Table1[Beginn]"),"&lt;="&amp;BB$1,INDIRECT("Table1[Ende]"),"&gt;="&amp;BB$1,INDIRECT("Table1[Obergruppe ATC-Code]"),Tabelle3!$A8)</f>
        <v>0</v>
      </c>
      <c r="BC8">
        <f ca="1">COUNTIFS(INDIRECT("Table1[Beginn]"),"&lt;="&amp;BC$1,INDIRECT("Table1[Ende]"),"&gt;="&amp;BC$1,INDIRECT("Table1[Obergruppe ATC-Code]"),Tabelle3!$A8)</f>
        <v>0</v>
      </c>
      <c r="BD8">
        <f ca="1">COUNTIFS(INDIRECT("Table1[Beginn]"),"&lt;="&amp;BD$1,INDIRECT("Table1[Ende]"),"&gt;="&amp;BD$1,INDIRECT("Table1[Obergruppe ATC-Code]"),Tabelle3!$A8)</f>
        <v>0</v>
      </c>
      <c r="BE8">
        <f ca="1">COUNTIFS(INDIRECT("Table1[Beginn]"),"&lt;="&amp;BE$1,INDIRECT("Table1[Ende]"),"&gt;="&amp;BE$1,INDIRECT("Table1[Obergruppe ATC-Code]"),Tabelle3!$A8)</f>
        <v>0</v>
      </c>
      <c r="BF8">
        <f ca="1">COUNTIFS(INDIRECT("Table1[Beginn]"),"&lt;="&amp;BF$1,INDIRECT("Table1[Ende]"),"&gt;="&amp;BF$1,INDIRECT("Table1[Obergruppe ATC-Code]"),Tabelle3!$A8)</f>
        <v>0</v>
      </c>
      <c r="BG8">
        <f ca="1">COUNTIFS(INDIRECT("Table1[Beginn]"),"&lt;="&amp;BG$1,INDIRECT("Table1[Ende]"),"&gt;="&amp;BG$1,INDIRECT("Table1[Obergruppe ATC-Code]"),Tabelle3!$A8)</f>
        <v>0</v>
      </c>
      <c r="BH8">
        <f ca="1">COUNTIFS(INDIRECT("Table1[Beginn]"),"&lt;="&amp;BH$1,INDIRECT("Table1[Ende]"),"&gt;="&amp;BH$1,INDIRECT("Table1[Obergruppe ATC-Code]"),Tabelle3!$A8)</f>
        <v>0</v>
      </c>
      <c r="BI8">
        <f ca="1">COUNTIFS(INDIRECT("Table1[Beginn]"),"&lt;="&amp;BI$1,INDIRECT("Table1[Ende]"),"&gt;="&amp;BI$1,INDIRECT("Table1[Obergruppe ATC-Code]"),Tabelle3!$A8)</f>
        <v>0</v>
      </c>
      <c r="BJ8">
        <f ca="1">COUNTIFS(INDIRECT("Table1[Beginn]"),"&lt;="&amp;BJ$1,INDIRECT("Table1[Ende]"),"&gt;="&amp;BJ$1,INDIRECT("Table1[Obergruppe ATC-Code]"),Tabelle3!$A8)</f>
        <v>0</v>
      </c>
      <c r="BK8">
        <f ca="1">COUNTIFS(INDIRECT("Table1[Beginn]"),"&lt;="&amp;BK$1,INDIRECT("Table1[Ende]"),"&gt;="&amp;BK$1,INDIRECT("Table1[Obergruppe ATC-Code]"),Tabelle3!$A8)</f>
        <v>0</v>
      </c>
      <c r="BL8">
        <f ca="1">COUNTIFS(INDIRECT("Table1[Beginn]"),"&lt;="&amp;BL$1,INDIRECT("Table1[Ende]"),"&gt;="&amp;BL$1,INDIRECT("Table1[Obergruppe ATC-Code]"),Tabelle3!$A8)</f>
        <v>0</v>
      </c>
      <c r="BM8">
        <f ca="1">COUNTIFS(INDIRECT("Table1[Beginn]"),"&lt;="&amp;BM$1,INDIRECT("Table1[Ende]"),"&gt;="&amp;BM$1,INDIRECT("Table1[Obergruppe ATC-Code]"),Tabelle3!$A8)</f>
        <v>1</v>
      </c>
      <c r="BN8">
        <f ca="1">COUNTIFS(INDIRECT("Table1[Beginn]"),"&lt;="&amp;BN$1,INDIRECT("Table1[Ende]"),"&gt;="&amp;BN$1,INDIRECT("Table1[Obergruppe ATC-Code]"),Tabelle3!$A8)</f>
        <v>0</v>
      </c>
      <c r="BO8">
        <f ca="1">COUNTIFS(INDIRECT("Table1[Beginn]"),"&lt;="&amp;BO$1,INDIRECT("Table1[Ende]"),"&gt;="&amp;BO$1,INDIRECT("Table1[Obergruppe ATC-Code]"),Tabelle3!$A8)</f>
        <v>0</v>
      </c>
      <c r="BP8">
        <f ca="1">COUNTIFS(INDIRECT("Table1[Beginn]"),"&lt;="&amp;BP$1,INDIRECT("Table1[Ende]"),"&gt;="&amp;BP$1,INDIRECT("Table1[Obergruppe ATC-Code]"),Tabelle3!$A8)</f>
        <v>0</v>
      </c>
      <c r="BQ8">
        <f ca="1">COUNTIFS(INDIRECT("Table1[Beginn]"),"&lt;="&amp;BQ$1,INDIRECT("Table1[Ende]"),"&gt;="&amp;BQ$1,INDIRECT("Table1[Obergruppe ATC-Code]"),Tabelle3!$A8)</f>
        <v>0</v>
      </c>
      <c r="BR8">
        <f ca="1">COUNTIFS(INDIRECT("Table1[Beginn]"),"&lt;="&amp;BR$1,INDIRECT("Table1[Ende]"),"&gt;="&amp;BR$1,INDIRECT("Table1[Obergruppe ATC-Code]"),Tabelle3!$A8)</f>
        <v>0</v>
      </c>
      <c r="BS8">
        <f ca="1">COUNTIFS(INDIRECT("Table1[Beginn]"),"&lt;="&amp;BS$1,INDIRECT("Table1[Ende]"),"&gt;="&amp;BS$1,INDIRECT("Table1[Obergruppe ATC-Code]"),Tabelle3!$A8)</f>
        <v>1</v>
      </c>
      <c r="BT8">
        <f ca="1">COUNTIFS(INDIRECT("Table1[Beginn]"),"&lt;="&amp;BT$1,INDIRECT("Table1[Ende]"),"&gt;="&amp;BT$1,INDIRECT("Table1[Obergruppe ATC-Code]"),Tabelle3!$A8)</f>
        <v>0</v>
      </c>
      <c r="BU8">
        <f ca="1">COUNTIFS(INDIRECT("Table1[Beginn]"),"&lt;="&amp;BU$1,INDIRECT("Table1[Ende]"),"&gt;="&amp;BU$1,INDIRECT("Table1[Obergruppe ATC-Code]"),Tabelle3!$A8)</f>
        <v>2</v>
      </c>
      <c r="BV8">
        <f ca="1">COUNTIFS(INDIRECT("Table1[Beginn]"),"&lt;="&amp;BV$1,INDIRECT("Table1[Ende]"),"&gt;="&amp;BV$1,INDIRECT("Table1[Obergruppe ATC-Code]"),Tabelle3!$A8)</f>
        <v>2</v>
      </c>
      <c r="BW8">
        <f ca="1">COUNTIFS(INDIRECT("Table1[Beginn]"),"&lt;="&amp;BW$1,INDIRECT("Table1[Ende]"),"&gt;="&amp;BW$1,INDIRECT("Table1[Obergruppe ATC-Code]"),Tabelle3!$A8)</f>
        <v>1</v>
      </c>
      <c r="BX8">
        <f ca="1">COUNTIFS(INDIRECT("Table1[Beginn]"),"&lt;="&amp;BX$1,INDIRECT("Table1[Ende]"),"&gt;="&amp;BX$1,INDIRECT("Table1[Obergruppe ATC-Code]"),Tabelle3!$A8)</f>
        <v>1</v>
      </c>
      <c r="BY8">
        <f ca="1">COUNTIFS(INDIRECT("Table1[Beginn]"),"&lt;="&amp;BY$1,INDIRECT("Table1[Ende]"),"&gt;="&amp;BY$1,INDIRECT("Table1[Obergruppe ATC-Code]"),Tabelle3!$A8)</f>
        <v>1</v>
      </c>
      <c r="BZ8">
        <f ca="1">COUNTIFS(INDIRECT("Table1[Beginn]"),"&lt;="&amp;BZ$1,INDIRECT("Table1[Ende]"),"&gt;="&amp;BZ$1,INDIRECT("Table1[Obergruppe ATC-Code]"),Tabelle3!$A8)</f>
        <v>0</v>
      </c>
      <c r="CA8">
        <f ca="1">COUNTIFS(INDIRECT("Table1[Beginn]"),"&lt;="&amp;CA$1,INDIRECT("Table1[Ende]"),"&gt;="&amp;CA$1,INDIRECT("Table1[Obergruppe ATC-Code]"),Tabelle3!$A8)</f>
        <v>0</v>
      </c>
      <c r="CB8">
        <f ca="1">COUNTIFS(INDIRECT("Table1[Beginn]"),"&lt;="&amp;CB$1,INDIRECT("Table1[Ende]"),"&gt;="&amp;CB$1,INDIRECT("Table1[Obergruppe ATC-Code]"),Tabelle3!$A8)</f>
        <v>0</v>
      </c>
      <c r="CC8">
        <f ca="1">COUNTIFS(INDIRECT("Table1[Beginn]"),"&lt;="&amp;CC$1,INDIRECT("Table1[Ende]"),"&gt;="&amp;CC$1,INDIRECT("Table1[Obergruppe ATC-Code]"),Tabelle3!$A8)</f>
        <v>2</v>
      </c>
      <c r="CD8">
        <f ca="1">COUNTIFS(INDIRECT("Table1[Beginn]"),"&lt;="&amp;CD$1,INDIRECT("Table1[Ende]"),"&gt;="&amp;CD$1,INDIRECT("Table1[Obergruppe ATC-Code]"),Tabelle3!$A8)</f>
        <v>2</v>
      </c>
      <c r="CE8">
        <f ca="1">COUNTIFS(INDIRECT("Table1[Beginn]"),"&lt;="&amp;CE$1,INDIRECT("Table1[Ende]"),"&gt;="&amp;CE$1,INDIRECT("Table1[Obergruppe ATC-Code]"),Tabelle3!$A8)</f>
        <v>2</v>
      </c>
      <c r="CF8">
        <f ca="1">COUNTIFS(INDIRECT("Table1[Beginn]"),"&lt;="&amp;CF$1,INDIRECT("Table1[Ende]"),"&gt;="&amp;CF$1,INDIRECT("Table1[Obergruppe ATC-Code]"),Tabelle3!$A8)</f>
        <v>1</v>
      </c>
      <c r="CG8">
        <f ca="1">COUNTIFS(INDIRECT("Table1[Beginn]"),"&lt;="&amp;CG$1,INDIRECT("Table1[Ende]"),"&gt;="&amp;CG$1,INDIRECT("Table1[Obergruppe ATC-Code]"),Tabelle3!$A8)</f>
        <v>1</v>
      </c>
      <c r="CH8">
        <f ca="1">COUNTIFS(INDIRECT("Table1[Beginn]"),"&lt;="&amp;CH$1,INDIRECT("Table1[Ende]"),"&gt;="&amp;CH$1,INDIRECT("Table1[Obergruppe ATC-Code]"),Tabelle3!$A8)</f>
        <v>1</v>
      </c>
      <c r="CI8">
        <f ca="1">COUNTIFS(INDIRECT("Table1[Beginn]"),"&lt;="&amp;CI$1,INDIRECT("Table1[Ende]"),"&gt;="&amp;CI$1,INDIRECT("Table1[Obergruppe ATC-Code]"),Tabelle3!$A8)</f>
        <v>1</v>
      </c>
      <c r="CJ8">
        <f ca="1">COUNTIFS(INDIRECT("Table1[Beginn]"),"&lt;="&amp;CJ$1,INDIRECT("Table1[Ende]"),"&gt;="&amp;CJ$1,INDIRECT("Table1[Obergruppe ATC-Code]"),Tabelle3!$A8)</f>
        <v>1</v>
      </c>
      <c r="CK8">
        <f ca="1">COUNTIFS(INDIRECT("Table1[Beginn]"),"&lt;="&amp;CK$1,INDIRECT("Table1[Ende]"),"&gt;="&amp;CK$1,INDIRECT("Table1[Obergruppe ATC-Code]"),Tabelle3!$A8)</f>
        <v>1</v>
      </c>
      <c r="CL8">
        <f ca="1">COUNTIFS(INDIRECT("Table1[Beginn]"),"&lt;="&amp;CL$1,INDIRECT("Table1[Ende]"),"&gt;="&amp;CL$1,INDIRECT("Table1[Obergruppe ATC-Code]"),Tabelle3!$A8)</f>
        <v>1</v>
      </c>
      <c r="CM8">
        <f ca="1">COUNTIFS(INDIRECT("Table1[Beginn]"),"&lt;="&amp;CM$1,INDIRECT("Table1[Ende]"),"&gt;="&amp;CM$1,INDIRECT("Table1[Obergruppe ATC-Code]"),Tabelle3!$A8)</f>
        <v>1</v>
      </c>
      <c r="CN8">
        <f ca="1">COUNTIFS(INDIRECT("Table1[Beginn]"),"&lt;="&amp;CN$1,INDIRECT("Table1[Ende]"),"&gt;="&amp;CN$1,INDIRECT("Table1[Obergruppe ATC-Code]"),Tabelle3!$A8)</f>
        <v>1</v>
      </c>
      <c r="CO8">
        <f ca="1">COUNTIFS(INDIRECT("Table1[Beginn]"),"&lt;="&amp;CO$1,INDIRECT("Table1[Ende]"),"&gt;="&amp;CO$1,INDIRECT("Table1[Obergruppe ATC-Code]"),Tabelle3!$A8)</f>
        <v>1</v>
      </c>
      <c r="CP8">
        <f ca="1">COUNTIFS(INDIRECT("Table1[Beginn]"),"&lt;="&amp;CP$1,INDIRECT("Table1[Ende]"),"&gt;="&amp;CP$1,INDIRECT("Table1[Obergruppe ATC-Code]"),Tabelle3!$A8)</f>
        <v>1</v>
      </c>
      <c r="CQ8">
        <f ca="1">COUNTIFS(INDIRECT("Table1[Beginn]"),"&lt;="&amp;CQ$1,INDIRECT("Table1[Ende]"),"&gt;="&amp;CQ$1,INDIRECT("Table1[Obergruppe ATC-Code]"),Tabelle3!$A8)</f>
        <v>1</v>
      </c>
      <c r="CR8">
        <f ca="1">COUNTIFS(INDIRECT("Table1[Beginn]"),"&lt;="&amp;CR$1,INDIRECT("Table1[Ende]"),"&gt;="&amp;CR$1,INDIRECT("Table1[Obergruppe ATC-Code]"),Tabelle3!$A8)</f>
        <v>1</v>
      </c>
    </row>
    <row r="9" spans="1:96" ht="18">
      <c r="A9" s="9" t="s">
        <v>6786</v>
      </c>
      <c r="B9" s="10" t="s">
        <v>6787</v>
      </c>
      <c r="C9">
        <f ca="1">COUNTIFS(INDIRECT("Table1[Beginn]"),"&lt;="&amp;C$1,INDIRECT("Table1[Ende]"),"&gt;="&amp;C$1,INDIRECT("Table1[Obergruppe ATC-Code]"),Tabelle3!$A9)</f>
        <v>0</v>
      </c>
      <c r="D9">
        <f ca="1">COUNTIFS(INDIRECT("Table1[Beginn]"),"&lt;="&amp;D$1,INDIRECT("Table1[Ende]"),"&gt;="&amp;D$1,INDIRECT("Table1[Obergruppe ATC-Code]"),Tabelle3!$A9)</f>
        <v>0</v>
      </c>
      <c r="E9">
        <f ca="1">COUNTIFS(INDIRECT("Table1[Beginn]"),"&lt;="&amp;E$1,INDIRECT("Table1[Ende]"),"&gt;="&amp;E$1,INDIRECT("Table1[Obergruppe ATC-Code]"),Tabelle3!$A9)</f>
        <v>0</v>
      </c>
      <c r="F9">
        <f ca="1">COUNTIFS(INDIRECT("Table1[Beginn]"),"&lt;="&amp;F$1,INDIRECT("Table1[Ende]"),"&gt;="&amp;F$1,INDIRECT("Table1[Obergruppe ATC-Code]"),Tabelle3!$A9)</f>
        <v>0</v>
      </c>
      <c r="G9">
        <f ca="1">COUNTIFS(INDIRECT("Table1[Beginn]"),"&lt;="&amp;G$1,INDIRECT("Table1[Ende]"),"&gt;="&amp;G$1,INDIRECT("Table1[Obergruppe ATC-Code]"),Tabelle3!$A9)</f>
        <v>0</v>
      </c>
      <c r="H9">
        <f ca="1">COUNTIFS(INDIRECT("Table1[Beginn]"),"&lt;="&amp;H$1,INDIRECT("Table1[Ende]"),"&gt;="&amp;H$1,INDIRECT("Table1[Obergruppe ATC-Code]"),Tabelle3!$A9)</f>
        <v>0</v>
      </c>
      <c r="I9">
        <f ca="1">COUNTIFS(INDIRECT("Table1[Beginn]"),"&lt;="&amp;I$1,INDIRECT("Table1[Ende]"),"&gt;="&amp;I$1,INDIRECT("Table1[Obergruppe ATC-Code]"),Tabelle3!$A9)</f>
        <v>0</v>
      </c>
      <c r="J9">
        <f ca="1">COUNTIFS(INDIRECT("Table1[Beginn]"),"&lt;="&amp;J$1,INDIRECT("Table1[Ende]"),"&gt;="&amp;J$1,INDIRECT("Table1[Obergruppe ATC-Code]"),Tabelle3!$A9)</f>
        <v>0</v>
      </c>
      <c r="K9">
        <f ca="1">COUNTIFS(INDIRECT("Table1[Beginn]"),"&lt;="&amp;K$1,INDIRECT("Table1[Ende]"),"&gt;="&amp;K$1,INDIRECT("Table1[Obergruppe ATC-Code]"),Tabelle3!$A9)</f>
        <v>0</v>
      </c>
      <c r="L9">
        <f ca="1">COUNTIFS(INDIRECT("Table1[Beginn]"),"&lt;="&amp;L$1,INDIRECT("Table1[Ende]"),"&gt;="&amp;L$1,INDIRECT("Table1[Obergruppe ATC-Code]"),Tabelle3!$A9)</f>
        <v>0</v>
      </c>
      <c r="M9">
        <f ca="1">COUNTIFS(INDIRECT("Table1[Beginn]"),"&lt;="&amp;M$1,INDIRECT("Table1[Ende]"),"&gt;="&amp;M$1,INDIRECT("Table1[Obergruppe ATC-Code]"),Tabelle3!$A9)</f>
        <v>0</v>
      </c>
      <c r="N9">
        <f ca="1">COUNTIFS(INDIRECT("Table1[Beginn]"),"&lt;="&amp;N$1,INDIRECT("Table1[Ende]"),"&gt;="&amp;N$1,INDIRECT("Table1[Obergruppe ATC-Code]"),Tabelle3!$A9)</f>
        <v>0</v>
      </c>
      <c r="O9">
        <f ca="1">COUNTIFS(INDIRECT("Table1[Beginn]"),"&lt;="&amp;O$1,INDIRECT("Table1[Ende]"),"&gt;="&amp;O$1,INDIRECT("Table1[Obergruppe ATC-Code]"),Tabelle3!$A9)</f>
        <v>0</v>
      </c>
      <c r="P9">
        <f ca="1">COUNTIFS(INDIRECT("Table1[Beginn]"),"&lt;="&amp;P$1,INDIRECT("Table1[Ende]"),"&gt;="&amp;P$1,INDIRECT("Table1[Obergruppe ATC-Code]"),Tabelle3!$A9)</f>
        <v>0</v>
      </c>
      <c r="Q9">
        <f ca="1">COUNTIFS(INDIRECT("Table1[Beginn]"),"&lt;="&amp;Q$1,INDIRECT("Table1[Ende]"),"&gt;="&amp;Q$1,INDIRECT("Table1[Obergruppe ATC-Code]"),Tabelle3!$A9)</f>
        <v>0</v>
      </c>
      <c r="R9">
        <f ca="1">COUNTIFS(INDIRECT("Table1[Beginn]"),"&lt;="&amp;R$1,INDIRECT("Table1[Ende]"),"&gt;="&amp;R$1,INDIRECT("Table1[Obergruppe ATC-Code]"),Tabelle3!$A9)</f>
        <v>0</v>
      </c>
      <c r="S9">
        <f ca="1">COUNTIFS(INDIRECT("Table1[Beginn]"),"&lt;="&amp;S$1,INDIRECT("Table1[Ende]"),"&gt;="&amp;S$1,INDIRECT("Table1[Obergruppe ATC-Code]"),Tabelle3!$A9)</f>
        <v>0</v>
      </c>
      <c r="T9">
        <f ca="1">COUNTIFS(INDIRECT("Table1[Beginn]"),"&lt;="&amp;T$1,INDIRECT("Table1[Ende]"),"&gt;="&amp;T$1,INDIRECT("Table1[Obergruppe ATC-Code]"),Tabelle3!$A9)</f>
        <v>0</v>
      </c>
      <c r="U9">
        <f ca="1">COUNTIFS(INDIRECT("Table1[Beginn]"),"&lt;="&amp;U$1,INDIRECT("Table1[Ende]"),"&gt;="&amp;U$1,INDIRECT("Table1[Obergruppe ATC-Code]"),Tabelle3!$A9)</f>
        <v>0</v>
      </c>
      <c r="V9">
        <f ca="1">COUNTIFS(INDIRECT("Table1[Beginn]"),"&lt;="&amp;V$1,INDIRECT("Table1[Ende]"),"&gt;="&amp;V$1,INDIRECT("Table1[Obergruppe ATC-Code]"),Tabelle3!$A9)</f>
        <v>0</v>
      </c>
      <c r="W9">
        <f ca="1">COUNTIFS(INDIRECT("Table1[Beginn]"),"&lt;="&amp;W$1,INDIRECT("Table1[Ende]"),"&gt;="&amp;W$1,INDIRECT("Table1[Obergruppe ATC-Code]"),Tabelle3!$A9)</f>
        <v>0</v>
      </c>
      <c r="X9">
        <f ca="1">COUNTIFS(INDIRECT("Table1[Beginn]"),"&lt;="&amp;X$1,INDIRECT("Table1[Ende]"),"&gt;="&amp;X$1,INDIRECT("Table1[Obergruppe ATC-Code]"),Tabelle3!$A9)</f>
        <v>0</v>
      </c>
      <c r="Y9">
        <f ca="1">COUNTIFS(INDIRECT("Table1[Beginn]"),"&lt;="&amp;Y$1,INDIRECT("Table1[Ende]"),"&gt;="&amp;Y$1,INDIRECT("Table1[Obergruppe ATC-Code]"),Tabelle3!$A9)</f>
        <v>0</v>
      </c>
      <c r="Z9">
        <f ca="1">COUNTIFS(INDIRECT("Table1[Beginn]"),"&lt;="&amp;Z$1,INDIRECT("Table1[Ende]"),"&gt;="&amp;Z$1,INDIRECT("Table1[Obergruppe ATC-Code]"),Tabelle3!$A9)</f>
        <v>0</v>
      </c>
      <c r="AA9">
        <f ca="1">COUNTIFS(INDIRECT("Table1[Beginn]"),"&lt;="&amp;AA$1,INDIRECT("Table1[Ende]"),"&gt;="&amp;AA$1,INDIRECT("Table1[Obergruppe ATC-Code]"),Tabelle3!$A9)</f>
        <v>0</v>
      </c>
      <c r="AB9">
        <f ca="1">COUNTIFS(INDIRECT("Table1[Beginn]"),"&lt;="&amp;AB$1,INDIRECT("Table1[Ende]"),"&gt;="&amp;AB$1,INDIRECT("Table1[Obergruppe ATC-Code]"),Tabelle3!$A9)</f>
        <v>0</v>
      </c>
      <c r="AC9">
        <f ca="1">COUNTIFS(INDIRECT("Table1[Beginn]"),"&lt;="&amp;AC$1,INDIRECT("Table1[Ende]"),"&gt;="&amp;AC$1,INDIRECT("Table1[Obergruppe ATC-Code]"),Tabelle3!$A9)</f>
        <v>0</v>
      </c>
      <c r="AD9">
        <f ca="1">COUNTIFS(INDIRECT("Table1[Beginn]"),"&lt;="&amp;AD$1,INDIRECT("Table1[Ende]"),"&gt;="&amp;AD$1,INDIRECT("Table1[Obergruppe ATC-Code]"),Tabelle3!$A9)</f>
        <v>0</v>
      </c>
      <c r="AE9">
        <f ca="1">COUNTIFS(INDIRECT("Table1[Beginn]"),"&lt;="&amp;AE$1,INDIRECT("Table1[Ende]"),"&gt;="&amp;AE$1,INDIRECT("Table1[Obergruppe ATC-Code]"),Tabelle3!$A9)</f>
        <v>0</v>
      </c>
      <c r="AF9">
        <f ca="1">COUNTIFS(INDIRECT("Table1[Beginn]"),"&lt;="&amp;AF$1,INDIRECT("Table1[Ende]"),"&gt;="&amp;AF$1,INDIRECT("Table1[Obergruppe ATC-Code]"),Tabelle3!$A9)</f>
        <v>0</v>
      </c>
      <c r="AG9">
        <f ca="1">COUNTIFS(INDIRECT("Table1[Beginn]"),"&lt;="&amp;AG$1,INDIRECT("Table1[Ende]"),"&gt;="&amp;AG$1,INDIRECT("Table1[Obergruppe ATC-Code]"),Tabelle3!$A9)</f>
        <v>0</v>
      </c>
      <c r="AH9">
        <f ca="1">COUNTIFS(INDIRECT("Table1[Beginn]"),"&lt;="&amp;AH$1,INDIRECT("Table1[Ende]"),"&gt;="&amp;AH$1,INDIRECT("Table1[Obergruppe ATC-Code]"),Tabelle3!$A9)</f>
        <v>0</v>
      </c>
      <c r="AI9">
        <f ca="1">COUNTIFS(INDIRECT("Table1[Beginn]"),"&lt;="&amp;AI$1,INDIRECT("Table1[Ende]"),"&gt;="&amp;AI$1,INDIRECT("Table1[Obergruppe ATC-Code]"),Tabelle3!$A9)</f>
        <v>0</v>
      </c>
      <c r="AJ9">
        <f ca="1">COUNTIFS(INDIRECT("Table1[Beginn]"),"&lt;="&amp;AJ$1,INDIRECT("Table1[Ende]"),"&gt;="&amp;AJ$1,INDIRECT("Table1[Obergruppe ATC-Code]"),Tabelle3!$A9)</f>
        <v>0</v>
      </c>
      <c r="AK9">
        <f ca="1">COUNTIFS(INDIRECT("Table1[Beginn]"),"&lt;="&amp;AK$1,INDIRECT("Table1[Ende]"),"&gt;="&amp;AK$1,INDIRECT("Table1[Obergruppe ATC-Code]"),Tabelle3!$A9)</f>
        <v>0</v>
      </c>
      <c r="AL9">
        <f ca="1">COUNTIFS(INDIRECT("Table1[Beginn]"),"&lt;="&amp;AL$1,INDIRECT("Table1[Ende]"),"&gt;="&amp;AL$1,INDIRECT("Table1[Obergruppe ATC-Code]"),Tabelle3!$A9)</f>
        <v>0</v>
      </c>
      <c r="AM9">
        <f ca="1">COUNTIFS(INDIRECT("Table1[Beginn]"),"&lt;="&amp;AM$1,INDIRECT("Table1[Ende]"),"&gt;="&amp;AM$1,INDIRECT("Table1[Obergruppe ATC-Code]"),Tabelle3!$A9)</f>
        <v>0</v>
      </c>
      <c r="AN9">
        <f ca="1">COUNTIFS(INDIRECT("Table1[Beginn]"),"&lt;="&amp;AN$1,INDIRECT("Table1[Ende]"),"&gt;="&amp;AN$1,INDIRECT("Table1[Obergruppe ATC-Code]"),Tabelle3!$A9)</f>
        <v>0</v>
      </c>
      <c r="AO9">
        <f ca="1">COUNTIFS(INDIRECT("Table1[Beginn]"),"&lt;="&amp;AO$1,INDIRECT("Table1[Ende]"),"&gt;="&amp;AO$1,INDIRECT("Table1[Obergruppe ATC-Code]"),Tabelle3!$A9)</f>
        <v>0</v>
      </c>
      <c r="AP9">
        <f ca="1">COUNTIFS(INDIRECT("Table1[Beginn]"),"&lt;="&amp;AP$1,INDIRECT("Table1[Ende]"),"&gt;="&amp;AP$1,INDIRECT("Table1[Obergruppe ATC-Code]"),Tabelle3!$A9)</f>
        <v>0</v>
      </c>
      <c r="AQ9">
        <f ca="1">COUNTIFS(INDIRECT("Table1[Beginn]"),"&lt;="&amp;AQ$1,INDIRECT("Table1[Ende]"),"&gt;="&amp;AQ$1,INDIRECT("Table1[Obergruppe ATC-Code]"),Tabelle3!$A9)</f>
        <v>0</v>
      </c>
      <c r="AR9">
        <f ca="1">COUNTIFS(INDIRECT("Table1[Beginn]"),"&lt;="&amp;AR$1,INDIRECT("Table1[Ende]"),"&gt;="&amp;AR$1,INDIRECT("Table1[Obergruppe ATC-Code]"),Tabelle3!$A9)</f>
        <v>0</v>
      </c>
      <c r="AS9">
        <f ca="1">COUNTIFS(INDIRECT("Table1[Beginn]"),"&lt;="&amp;AS$1,INDIRECT("Table1[Ende]"),"&gt;="&amp;AS$1,INDIRECT("Table1[Obergruppe ATC-Code]"),Tabelle3!$A9)</f>
        <v>0</v>
      </c>
      <c r="AT9">
        <f ca="1">COUNTIFS(INDIRECT("Table1[Beginn]"),"&lt;="&amp;AT$1,INDIRECT("Table1[Ende]"),"&gt;="&amp;AT$1,INDIRECT("Table1[Obergruppe ATC-Code]"),Tabelle3!$A9)</f>
        <v>0</v>
      </c>
      <c r="AU9">
        <f ca="1">COUNTIFS(INDIRECT("Table1[Beginn]"),"&lt;="&amp;AU$1,INDIRECT("Table1[Ende]"),"&gt;="&amp;AU$1,INDIRECT("Table1[Obergruppe ATC-Code]"),Tabelle3!$A9)</f>
        <v>0</v>
      </c>
      <c r="AV9">
        <f ca="1">COUNTIFS(INDIRECT("Table1[Beginn]"),"&lt;="&amp;AV$1,INDIRECT("Table1[Ende]"),"&gt;="&amp;AV$1,INDIRECT("Table1[Obergruppe ATC-Code]"),Tabelle3!$A9)</f>
        <v>0</v>
      </c>
      <c r="AW9">
        <f ca="1">COUNTIFS(INDIRECT("Table1[Beginn]"),"&lt;="&amp;AW$1,INDIRECT("Table1[Ende]"),"&gt;="&amp;AW$1,INDIRECT("Table1[Obergruppe ATC-Code]"),Tabelle3!$A9)</f>
        <v>0</v>
      </c>
      <c r="AX9">
        <f ca="1">COUNTIFS(INDIRECT("Table1[Beginn]"),"&lt;="&amp;AX$1,INDIRECT("Table1[Ende]"),"&gt;="&amp;AX$1,INDIRECT("Table1[Obergruppe ATC-Code]"),Tabelle3!$A9)</f>
        <v>0</v>
      </c>
      <c r="AY9">
        <f ca="1">COUNTIFS(INDIRECT("Table1[Beginn]"),"&lt;="&amp;AY$1,INDIRECT("Table1[Ende]"),"&gt;="&amp;AY$1,INDIRECT("Table1[Obergruppe ATC-Code]"),Tabelle3!$A9)</f>
        <v>0</v>
      </c>
      <c r="AZ9">
        <f ca="1">COUNTIFS(INDIRECT("Table1[Beginn]"),"&lt;="&amp;AZ$1,INDIRECT("Table1[Ende]"),"&gt;="&amp;AZ$1,INDIRECT("Table1[Obergruppe ATC-Code]"),Tabelle3!$A9)</f>
        <v>0</v>
      </c>
      <c r="BA9">
        <f ca="1">COUNTIFS(INDIRECT("Table1[Beginn]"),"&lt;="&amp;BA$1,INDIRECT("Table1[Ende]"),"&gt;="&amp;BA$1,INDIRECT("Table1[Obergruppe ATC-Code]"),Tabelle3!$A9)</f>
        <v>0</v>
      </c>
      <c r="BB9">
        <f ca="1">COUNTIFS(INDIRECT("Table1[Beginn]"),"&lt;="&amp;BB$1,INDIRECT("Table1[Ende]"),"&gt;="&amp;BB$1,INDIRECT("Table1[Obergruppe ATC-Code]"),Tabelle3!$A9)</f>
        <v>0</v>
      </c>
      <c r="BC9">
        <f ca="1">COUNTIFS(INDIRECT("Table1[Beginn]"),"&lt;="&amp;BC$1,INDIRECT("Table1[Ende]"),"&gt;="&amp;BC$1,INDIRECT("Table1[Obergruppe ATC-Code]"),Tabelle3!$A9)</f>
        <v>0</v>
      </c>
      <c r="BD9">
        <f ca="1">COUNTIFS(INDIRECT("Table1[Beginn]"),"&lt;="&amp;BD$1,INDIRECT("Table1[Ende]"),"&gt;="&amp;BD$1,INDIRECT("Table1[Obergruppe ATC-Code]"),Tabelle3!$A9)</f>
        <v>0</v>
      </c>
      <c r="BE9">
        <f ca="1">COUNTIFS(INDIRECT("Table1[Beginn]"),"&lt;="&amp;BE$1,INDIRECT("Table1[Ende]"),"&gt;="&amp;BE$1,INDIRECT("Table1[Obergruppe ATC-Code]"),Tabelle3!$A9)</f>
        <v>0</v>
      </c>
      <c r="BF9">
        <f ca="1">COUNTIFS(INDIRECT("Table1[Beginn]"),"&lt;="&amp;BF$1,INDIRECT("Table1[Ende]"),"&gt;="&amp;BF$1,INDIRECT("Table1[Obergruppe ATC-Code]"),Tabelle3!$A9)</f>
        <v>0</v>
      </c>
      <c r="BG9">
        <f ca="1">COUNTIFS(INDIRECT("Table1[Beginn]"),"&lt;="&amp;BG$1,INDIRECT("Table1[Ende]"),"&gt;="&amp;BG$1,INDIRECT("Table1[Obergruppe ATC-Code]"),Tabelle3!$A9)</f>
        <v>0</v>
      </c>
      <c r="BH9">
        <f ca="1">COUNTIFS(INDIRECT("Table1[Beginn]"),"&lt;="&amp;BH$1,INDIRECT("Table1[Ende]"),"&gt;="&amp;BH$1,INDIRECT("Table1[Obergruppe ATC-Code]"),Tabelle3!$A9)</f>
        <v>0</v>
      </c>
      <c r="BI9">
        <f ca="1">COUNTIFS(INDIRECT("Table1[Beginn]"),"&lt;="&amp;BI$1,INDIRECT("Table1[Ende]"),"&gt;="&amp;BI$1,INDIRECT("Table1[Obergruppe ATC-Code]"),Tabelle3!$A9)</f>
        <v>0</v>
      </c>
      <c r="BJ9">
        <f ca="1">COUNTIFS(INDIRECT("Table1[Beginn]"),"&lt;="&amp;BJ$1,INDIRECT("Table1[Ende]"),"&gt;="&amp;BJ$1,INDIRECT("Table1[Obergruppe ATC-Code]"),Tabelle3!$A9)</f>
        <v>0</v>
      </c>
      <c r="BK9">
        <f ca="1">COUNTIFS(INDIRECT("Table1[Beginn]"),"&lt;="&amp;BK$1,INDIRECT("Table1[Ende]"),"&gt;="&amp;BK$1,INDIRECT("Table1[Obergruppe ATC-Code]"),Tabelle3!$A9)</f>
        <v>0</v>
      </c>
      <c r="BL9">
        <f ca="1">COUNTIFS(INDIRECT("Table1[Beginn]"),"&lt;="&amp;BL$1,INDIRECT("Table1[Ende]"),"&gt;="&amp;BL$1,INDIRECT("Table1[Obergruppe ATC-Code]"),Tabelle3!$A9)</f>
        <v>0</v>
      </c>
      <c r="BM9">
        <f ca="1">COUNTIFS(INDIRECT("Table1[Beginn]"),"&lt;="&amp;BM$1,INDIRECT("Table1[Ende]"),"&gt;="&amp;BM$1,INDIRECT("Table1[Obergruppe ATC-Code]"),Tabelle3!$A9)</f>
        <v>0</v>
      </c>
      <c r="BN9">
        <f ca="1">COUNTIFS(INDIRECT("Table1[Beginn]"),"&lt;="&amp;BN$1,INDIRECT("Table1[Ende]"),"&gt;="&amp;BN$1,INDIRECT("Table1[Obergruppe ATC-Code]"),Tabelle3!$A9)</f>
        <v>0</v>
      </c>
      <c r="BO9">
        <f ca="1">COUNTIFS(INDIRECT("Table1[Beginn]"),"&lt;="&amp;BO$1,INDIRECT("Table1[Ende]"),"&gt;="&amp;BO$1,INDIRECT("Table1[Obergruppe ATC-Code]"),Tabelle3!$A9)</f>
        <v>0</v>
      </c>
      <c r="BP9">
        <f ca="1">COUNTIFS(INDIRECT("Table1[Beginn]"),"&lt;="&amp;BP$1,INDIRECT("Table1[Ende]"),"&gt;="&amp;BP$1,INDIRECT("Table1[Obergruppe ATC-Code]"),Tabelle3!$A9)</f>
        <v>0</v>
      </c>
      <c r="BQ9">
        <f ca="1">COUNTIFS(INDIRECT("Table1[Beginn]"),"&lt;="&amp;BQ$1,INDIRECT("Table1[Ende]"),"&gt;="&amp;BQ$1,INDIRECT("Table1[Obergruppe ATC-Code]"),Tabelle3!$A9)</f>
        <v>0</v>
      </c>
      <c r="BR9">
        <f ca="1">COUNTIFS(INDIRECT("Table1[Beginn]"),"&lt;="&amp;BR$1,INDIRECT("Table1[Ende]"),"&gt;="&amp;BR$1,INDIRECT("Table1[Obergruppe ATC-Code]"),Tabelle3!$A9)</f>
        <v>0</v>
      </c>
      <c r="BS9">
        <f ca="1">COUNTIFS(INDIRECT("Table1[Beginn]"),"&lt;="&amp;BS$1,INDIRECT("Table1[Ende]"),"&gt;="&amp;BS$1,INDIRECT("Table1[Obergruppe ATC-Code]"),Tabelle3!$A9)</f>
        <v>0</v>
      </c>
      <c r="BT9">
        <f ca="1">COUNTIFS(INDIRECT("Table1[Beginn]"),"&lt;="&amp;BT$1,INDIRECT("Table1[Ende]"),"&gt;="&amp;BT$1,INDIRECT("Table1[Obergruppe ATC-Code]"),Tabelle3!$A9)</f>
        <v>0</v>
      </c>
      <c r="BU9">
        <f ca="1">COUNTIFS(INDIRECT("Table1[Beginn]"),"&lt;="&amp;BU$1,INDIRECT("Table1[Ende]"),"&gt;="&amp;BU$1,INDIRECT("Table1[Obergruppe ATC-Code]"),Tabelle3!$A9)</f>
        <v>0</v>
      </c>
      <c r="BV9">
        <f ca="1">COUNTIFS(INDIRECT("Table1[Beginn]"),"&lt;="&amp;BV$1,INDIRECT("Table1[Ende]"),"&gt;="&amp;BV$1,INDIRECT("Table1[Obergruppe ATC-Code]"),Tabelle3!$A9)</f>
        <v>0</v>
      </c>
      <c r="BW9">
        <f ca="1">COUNTIFS(INDIRECT("Table1[Beginn]"),"&lt;="&amp;BW$1,INDIRECT("Table1[Ende]"),"&gt;="&amp;BW$1,INDIRECT("Table1[Obergruppe ATC-Code]"),Tabelle3!$A9)</f>
        <v>0</v>
      </c>
      <c r="BX9">
        <f ca="1">COUNTIFS(INDIRECT("Table1[Beginn]"),"&lt;="&amp;BX$1,INDIRECT("Table1[Ende]"),"&gt;="&amp;BX$1,INDIRECT("Table1[Obergruppe ATC-Code]"),Tabelle3!$A9)</f>
        <v>0</v>
      </c>
      <c r="BY9">
        <f ca="1">COUNTIFS(INDIRECT("Table1[Beginn]"),"&lt;="&amp;BY$1,INDIRECT("Table1[Ende]"),"&gt;="&amp;BY$1,INDIRECT("Table1[Obergruppe ATC-Code]"),Tabelle3!$A9)</f>
        <v>0</v>
      </c>
      <c r="BZ9">
        <f ca="1">COUNTIFS(INDIRECT("Table1[Beginn]"),"&lt;="&amp;BZ$1,INDIRECT("Table1[Ende]"),"&gt;="&amp;BZ$1,INDIRECT("Table1[Obergruppe ATC-Code]"),Tabelle3!$A9)</f>
        <v>0</v>
      </c>
      <c r="CA9">
        <f ca="1">COUNTIFS(INDIRECT("Table1[Beginn]"),"&lt;="&amp;CA$1,INDIRECT("Table1[Ende]"),"&gt;="&amp;CA$1,INDIRECT("Table1[Obergruppe ATC-Code]"),Tabelle3!$A9)</f>
        <v>0</v>
      </c>
      <c r="CB9">
        <f ca="1">COUNTIFS(INDIRECT("Table1[Beginn]"),"&lt;="&amp;CB$1,INDIRECT("Table1[Ende]"),"&gt;="&amp;CB$1,INDIRECT("Table1[Obergruppe ATC-Code]"),Tabelle3!$A9)</f>
        <v>0</v>
      </c>
      <c r="CC9">
        <f ca="1">COUNTIFS(INDIRECT("Table1[Beginn]"),"&lt;="&amp;CC$1,INDIRECT("Table1[Ende]"),"&gt;="&amp;CC$1,INDIRECT("Table1[Obergruppe ATC-Code]"),Tabelle3!$A9)</f>
        <v>0</v>
      </c>
      <c r="CD9">
        <f ca="1">COUNTIFS(INDIRECT("Table1[Beginn]"),"&lt;="&amp;CD$1,INDIRECT("Table1[Ende]"),"&gt;="&amp;CD$1,INDIRECT("Table1[Obergruppe ATC-Code]"),Tabelle3!$A9)</f>
        <v>0</v>
      </c>
      <c r="CE9">
        <f ca="1">COUNTIFS(INDIRECT("Table1[Beginn]"),"&lt;="&amp;CE$1,INDIRECT("Table1[Ende]"),"&gt;="&amp;CE$1,INDIRECT("Table1[Obergruppe ATC-Code]"),Tabelle3!$A9)</f>
        <v>0</v>
      </c>
      <c r="CF9">
        <f ca="1">COUNTIFS(INDIRECT("Table1[Beginn]"),"&lt;="&amp;CF$1,INDIRECT("Table1[Ende]"),"&gt;="&amp;CF$1,INDIRECT("Table1[Obergruppe ATC-Code]"),Tabelle3!$A9)</f>
        <v>0</v>
      </c>
      <c r="CG9">
        <f ca="1">COUNTIFS(INDIRECT("Table1[Beginn]"),"&lt;="&amp;CG$1,INDIRECT("Table1[Ende]"),"&gt;="&amp;CG$1,INDIRECT("Table1[Obergruppe ATC-Code]"),Tabelle3!$A9)</f>
        <v>0</v>
      </c>
      <c r="CH9">
        <f ca="1">COUNTIFS(INDIRECT("Table1[Beginn]"),"&lt;="&amp;CH$1,INDIRECT("Table1[Ende]"),"&gt;="&amp;CH$1,INDIRECT("Table1[Obergruppe ATC-Code]"),Tabelle3!$A9)</f>
        <v>0</v>
      </c>
      <c r="CI9">
        <f ca="1">COUNTIFS(INDIRECT("Table1[Beginn]"),"&lt;="&amp;CI$1,INDIRECT("Table1[Ende]"),"&gt;="&amp;CI$1,INDIRECT("Table1[Obergruppe ATC-Code]"),Tabelle3!$A9)</f>
        <v>0</v>
      </c>
      <c r="CJ9">
        <f ca="1">COUNTIFS(INDIRECT("Table1[Beginn]"),"&lt;="&amp;CJ$1,INDIRECT("Table1[Ende]"),"&gt;="&amp;CJ$1,INDIRECT("Table1[Obergruppe ATC-Code]"),Tabelle3!$A9)</f>
        <v>0</v>
      </c>
      <c r="CK9">
        <f ca="1">COUNTIFS(INDIRECT("Table1[Beginn]"),"&lt;="&amp;CK$1,INDIRECT("Table1[Ende]"),"&gt;="&amp;CK$1,INDIRECT("Table1[Obergruppe ATC-Code]"),Tabelle3!$A9)</f>
        <v>0</v>
      </c>
      <c r="CL9">
        <f ca="1">COUNTIFS(INDIRECT("Table1[Beginn]"),"&lt;="&amp;CL$1,INDIRECT("Table1[Ende]"),"&gt;="&amp;CL$1,INDIRECT("Table1[Obergruppe ATC-Code]"),Tabelle3!$A9)</f>
        <v>0</v>
      </c>
      <c r="CM9">
        <f ca="1">COUNTIFS(INDIRECT("Table1[Beginn]"),"&lt;="&amp;CM$1,INDIRECT("Table1[Ende]"),"&gt;="&amp;CM$1,INDIRECT("Table1[Obergruppe ATC-Code]"),Tabelle3!$A9)</f>
        <v>0</v>
      </c>
      <c r="CN9">
        <f ca="1">COUNTIFS(INDIRECT("Table1[Beginn]"),"&lt;="&amp;CN$1,INDIRECT("Table1[Ende]"),"&gt;="&amp;CN$1,INDIRECT("Table1[Obergruppe ATC-Code]"),Tabelle3!$A9)</f>
        <v>0</v>
      </c>
      <c r="CO9">
        <f ca="1">COUNTIFS(INDIRECT("Table1[Beginn]"),"&lt;="&amp;CO$1,INDIRECT("Table1[Ende]"),"&gt;="&amp;CO$1,INDIRECT("Table1[Obergruppe ATC-Code]"),Tabelle3!$A9)</f>
        <v>0</v>
      </c>
      <c r="CP9">
        <f ca="1">COUNTIFS(INDIRECT("Table1[Beginn]"),"&lt;="&amp;CP$1,INDIRECT("Table1[Ende]"),"&gt;="&amp;CP$1,INDIRECT("Table1[Obergruppe ATC-Code]"),Tabelle3!$A9)</f>
        <v>0</v>
      </c>
      <c r="CQ9">
        <f ca="1">COUNTIFS(INDIRECT("Table1[Beginn]"),"&lt;="&amp;CQ$1,INDIRECT("Table1[Ende]"),"&gt;="&amp;CQ$1,INDIRECT("Table1[Obergruppe ATC-Code]"),Tabelle3!$A9)</f>
        <v>0</v>
      </c>
      <c r="CR9">
        <f ca="1">COUNTIFS(INDIRECT("Table1[Beginn]"),"&lt;="&amp;CR$1,INDIRECT("Table1[Ende]"),"&gt;="&amp;CR$1,INDIRECT("Table1[Obergruppe ATC-Code]"),Tabelle3!$A9)</f>
        <v>0</v>
      </c>
    </row>
    <row r="10" spans="1:96" ht="18">
      <c r="A10" s="7" t="s">
        <v>6788</v>
      </c>
      <c r="B10" s="8" t="s">
        <v>6789</v>
      </c>
      <c r="C10">
        <f ca="1">COUNTIFS(INDIRECT("Table1[Beginn]"),"&lt;="&amp;C$1,INDIRECT("Table1[Ende]"),"&gt;="&amp;C$1,INDIRECT("Table1[Obergruppe ATC-Code]"),Tabelle3!$A10)</f>
        <v>1</v>
      </c>
      <c r="D10">
        <f ca="1">COUNTIFS(INDIRECT("Table1[Beginn]"),"&lt;="&amp;D$1,INDIRECT("Table1[Ende]"),"&gt;="&amp;D$1,INDIRECT("Table1[Obergruppe ATC-Code]"),Tabelle3!$A10)</f>
        <v>1</v>
      </c>
      <c r="E10">
        <f ca="1">COUNTIFS(INDIRECT("Table1[Beginn]"),"&lt;="&amp;E$1,INDIRECT("Table1[Ende]"),"&gt;="&amp;E$1,INDIRECT("Table1[Obergruppe ATC-Code]"),Tabelle3!$A10)</f>
        <v>1</v>
      </c>
      <c r="F10">
        <f ca="1">COUNTIFS(INDIRECT("Table1[Beginn]"),"&lt;="&amp;F$1,INDIRECT("Table1[Ende]"),"&gt;="&amp;F$1,INDIRECT("Table1[Obergruppe ATC-Code]"),Tabelle3!$A10)</f>
        <v>1</v>
      </c>
      <c r="G10">
        <f ca="1">COUNTIFS(INDIRECT("Table1[Beginn]"),"&lt;="&amp;G$1,INDIRECT("Table1[Ende]"),"&gt;="&amp;G$1,INDIRECT("Table1[Obergruppe ATC-Code]"),Tabelle3!$A10)</f>
        <v>1</v>
      </c>
      <c r="H10">
        <f ca="1">COUNTIFS(INDIRECT("Table1[Beginn]"),"&lt;="&amp;H$1,INDIRECT("Table1[Ende]"),"&gt;="&amp;H$1,INDIRECT("Table1[Obergruppe ATC-Code]"),Tabelle3!$A10)</f>
        <v>1</v>
      </c>
      <c r="I10">
        <f ca="1">COUNTIFS(INDIRECT("Table1[Beginn]"),"&lt;="&amp;I$1,INDIRECT("Table1[Ende]"),"&gt;="&amp;I$1,INDIRECT("Table1[Obergruppe ATC-Code]"),Tabelle3!$A10)</f>
        <v>1</v>
      </c>
      <c r="J10">
        <f ca="1">COUNTIFS(INDIRECT("Table1[Beginn]"),"&lt;="&amp;J$1,INDIRECT("Table1[Ende]"),"&gt;="&amp;J$1,INDIRECT("Table1[Obergruppe ATC-Code]"),Tabelle3!$A10)</f>
        <v>1</v>
      </c>
      <c r="K10">
        <f ca="1">COUNTIFS(INDIRECT("Table1[Beginn]"),"&lt;="&amp;K$1,INDIRECT("Table1[Ende]"),"&gt;="&amp;K$1,INDIRECT("Table1[Obergruppe ATC-Code]"),Tabelle3!$A10)</f>
        <v>1</v>
      </c>
      <c r="L10">
        <f ca="1">COUNTIFS(INDIRECT("Table1[Beginn]"),"&lt;="&amp;L$1,INDIRECT("Table1[Ende]"),"&gt;="&amp;L$1,INDIRECT("Table1[Obergruppe ATC-Code]"),Tabelle3!$A10)</f>
        <v>1</v>
      </c>
      <c r="M10">
        <f ca="1">COUNTIFS(INDIRECT("Table1[Beginn]"),"&lt;="&amp;M$1,INDIRECT("Table1[Ende]"),"&gt;="&amp;M$1,INDIRECT("Table1[Obergruppe ATC-Code]"),Tabelle3!$A10)</f>
        <v>1</v>
      </c>
      <c r="N10">
        <f ca="1">COUNTIFS(INDIRECT("Table1[Beginn]"),"&lt;="&amp;N$1,INDIRECT("Table1[Ende]"),"&gt;="&amp;N$1,INDIRECT("Table1[Obergruppe ATC-Code]"),Tabelle3!$A10)</f>
        <v>1</v>
      </c>
      <c r="O10">
        <f ca="1">COUNTIFS(INDIRECT("Table1[Beginn]"),"&lt;="&amp;O$1,INDIRECT("Table1[Ende]"),"&gt;="&amp;O$1,INDIRECT("Table1[Obergruppe ATC-Code]"),Tabelle3!$A10)</f>
        <v>1</v>
      </c>
      <c r="P10">
        <f ca="1">COUNTIFS(INDIRECT("Table1[Beginn]"),"&lt;="&amp;P$1,INDIRECT("Table1[Ende]"),"&gt;="&amp;P$1,INDIRECT("Table1[Obergruppe ATC-Code]"),Tabelle3!$A10)</f>
        <v>1</v>
      </c>
      <c r="Q10">
        <f ca="1">COUNTIFS(INDIRECT("Table1[Beginn]"),"&lt;="&amp;Q$1,INDIRECT("Table1[Ende]"),"&gt;="&amp;Q$1,INDIRECT("Table1[Obergruppe ATC-Code]"),Tabelle3!$A10)</f>
        <v>1</v>
      </c>
      <c r="R10">
        <f ca="1">COUNTIFS(INDIRECT("Table1[Beginn]"),"&lt;="&amp;R$1,INDIRECT("Table1[Ende]"),"&gt;="&amp;R$1,INDIRECT("Table1[Obergruppe ATC-Code]"),Tabelle3!$A10)</f>
        <v>2</v>
      </c>
      <c r="S10">
        <f ca="1">COUNTIFS(INDIRECT("Table1[Beginn]"),"&lt;="&amp;S$1,INDIRECT("Table1[Ende]"),"&gt;="&amp;S$1,INDIRECT("Table1[Obergruppe ATC-Code]"),Tabelle3!$A10)</f>
        <v>2</v>
      </c>
      <c r="T10">
        <f ca="1">COUNTIFS(INDIRECT("Table1[Beginn]"),"&lt;="&amp;T$1,INDIRECT("Table1[Ende]"),"&gt;="&amp;T$1,INDIRECT("Table1[Obergruppe ATC-Code]"),Tabelle3!$A10)</f>
        <v>2</v>
      </c>
      <c r="U10">
        <f ca="1">COUNTIFS(INDIRECT("Table1[Beginn]"),"&lt;="&amp;U$1,INDIRECT("Table1[Ende]"),"&gt;="&amp;U$1,INDIRECT("Table1[Obergruppe ATC-Code]"),Tabelle3!$A10)</f>
        <v>2</v>
      </c>
      <c r="V10">
        <f ca="1">COUNTIFS(INDIRECT("Table1[Beginn]"),"&lt;="&amp;V$1,INDIRECT("Table1[Ende]"),"&gt;="&amp;V$1,INDIRECT("Table1[Obergruppe ATC-Code]"),Tabelle3!$A10)</f>
        <v>2</v>
      </c>
      <c r="W10">
        <f ca="1">COUNTIFS(INDIRECT("Table1[Beginn]"),"&lt;="&amp;W$1,INDIRECT("Table1[Ende]"),"&gt;="&amp;W$1,INDIRECT("Table1[Obergruppe ATC-Code]"),Tabelle3!$A10)</f>
        <v>2</v>
      </c>
      <c r="X10">
        <f ca="1">COUNTIFS(INDIRECT("Table1[Beginn]"),"&lt;="&amp;X$1,INDIRECT("Table1[Ende]"),"&gt;="&amp;X$1,INDIRECT("Table1[Obergruppe ATC-Code]"),Tabelle3!$A10)</f>
        <v>1</v>
      </c>
      <c r="Y10">
        <f ca="1">COUNTIFS(INDIRECT("Table1[Beginn]"),"&lt;="&amp;Y$1,INDIRECT("Table1[Ende]"),"&gt;="&amp;Y$1,INDIRECT("Table1[Obergruppe ATC-Code]"),Tabelle3!$A10)</f>
        <v>1</v>
      </c>
      <c r="Z10">
        <f ca="1">COUNTIFS(INDIRECT("Table1[Beginn]"),"&lt;="&amp;Z$1,INDIRECT("Table1[Ende]"),"&gt;="&amp;Z$1,INDIRECT("Table1[Obergruppe ATC-Code]"),Tabelle3!$A10)</f>
        <v>2</v>
      </c>
      <c r="AA10">
        <f ca="1">COUNTIFS(INDIRECT("Table1[Beginn]"),"&lt;="&amp;AA$1,INDIRECT("Table1[Ende]"),"&gt;="&amp;AA$1,INDIRECT("Table1[Obergruppe ATC-Code]"),Tabelle3!$A10)</f>
        <v>2</v>
      </c>
      <c r="AB10">
        <f ca="1">COUNTIFS(INDIRECT("Table1[Beginn]"),"&lt;="&amp;AB$1,INDIRECT("Table1[Ende]"),"&gt;="&amp;AB$1,INDIRECT("Table1[Obergruppe ATC-Code]"),Tabelle3!$A10)</f>
        <v>2</v>
      </c>
      <c r="AC10">
        <f ca="1">COUNTIFS(INDIRECT("Table1[Beginn]"),"&lt;="&amp;AC$1,INDIRECT("Table1[Ende]"),"&gt;="&amp;AC$1,INDIRECT("Table1[Obergruppe ATC-Code]"),Tabelle3!$A10)</f>
        <v>2</v>
      </c>
      <c r="AD10">
        <f ca="1">COUNTIFS(INDIRECT("Table1[Beginn]"),"&lt;="&amp;AD$1,INDIRECT("Table1[Ende]"),"&gt;="&amp;AD$1,INDIRECT("Table1[Obergruppe ATC-Code]"),Tabelle3!$A10)</f>
        <v>2</v>
      </c>
      <c r="AE10">
        <f ca="1">COUNTIFS(INDIRECT("Table1[Beginn]"),"&lt;="&amp;AE$1,INDIRECT("Table1[Ende]"),"&gt;="&amp;AE$1,INDIRECT("Table1[Obergruppe ATC-Code]"),Tabelle3!$A10)</f>
        <v>2</v>
      </c>
      <c r="AF10">
        <f ca="1">COUNTIFS(INDIRECT("Table1[Beginn]"),"&lt;="&amp;AF$1,INDIRECT("Table1[Ende]"),"&gt;="&amp;AF$1,INDIRECT("Table1[Obergruppe ATC-Code]"),Tabelle3!$A10)</f>
        <v>2</v>
      </c>
      <c r="AG10">
        <f ca="1">COUNTIFS(INDIRECT("Table1[Beginn]"),"&lt;="&amp;AG$1,INDIRECT("Table1[Ende]"),"&gt;="&amp;AG$1,INDIRECT("Table1[Obergruppe ATC-Code]"),Tabelle3!$A10)</f>
        <v>1</v>
      </c>
      <c r="AH10">
        <f ca="1">COUNTIFS(INDIRECT("Table1[Beginn]"),"&lt;="&amp;AH$1,INDIRECT("Table1[Ende]"),"&gt;="&amp;AH$1,INDIRECT("Table1[Obergruppe ATC-Code]"),Tabelle3!$A10)</f>
        <v>1</v>
      </c>
      <c r="AI10">
        <f ca="1">COUNTIFS(INDIRECT("Table1[Beginn]"),"&lt;="&amp;AI$1,INDIRECT("Table1[Ende]"),"&gt;="&amp;AI$1,INDIRECT("Table1[Obergruppe ATC-Code]"),Tabelle3!$A10)</f>
        <v>1</v>
      </c>
      <c r="AJ10">
        <f ca="1">COUNTIFS(INDIRECT("Table1[Beginn]"),"&lt;="&amp;AJ$1,INDIRECT("Table1[Ende]"),"&gt;="&amp;AJ$1,INDIRECT("Table1[Obergruppe ATC-Code]"),Tabelle3!$A10)</f>
        <v>1</v>
      </c>
      <c r="AK10">
        <f ca="1">COUNTIFS(INDIRECT("Table1[Beginn]"),"&lt;="&amp;AK$1,INDIRECT("Table1[Ende]"),"&gt;="&amp;AK$1,INDIRECT("Table1[Obergruppe ATC-Code]"),Tabelle3!$A10)</f>
        <v>1</v>
      </c>
      <c r="AL10">
        <f ca="1">COUNTIFS(INDIRECT("Table1[Beginn]"),"&lt;="&amp;AL$1,INDIRECT("Table1[Ende]"),"&gt;="&amp;AL$1,INDIRECT("Table1[Obergruppe ATC-Code]"),Tabelle3!$A10)</f>
        <v>1</v>
      </c>
      <c r="AM10">
        <f ca="1">COUNTIFS(INDIRECT("Table1[Beginn]"),"&lt;="&amp;AM$1,INDIRECT("Table1[Ende]"),"&gt;="&amp;AM$1,INDIRECT("Table1[Obergruppe ATC-Code]"),Tabelle3!$A10)</f>
        <v>1</v>
      </c>
      <c r="AN10">
        <f ca="1">COUNTIFS(INDIRECT("Table1[Beginn]"),"&lt;="&amp;AN$1,INDIRECT("Table1[Ende]"),"&gt;="&amp;AN$1,INDIRECT("Table1[Obergruppe ATC-Code]"),Tabelle3!$A10)</f>
        <v>1</v>
      </c>
      <c r="AO10">
        <f ca="1">COUNTIFS(INDIRECT("Table1[Beginn]"),"&lt;="&amp;AO$1,INDIRECT("Table1[Ende]"),"&gt;="&amp;AO$1,INDIRECT("Table1[Obergruppe ATC-Code]"),Tabelle3!$A10)</f>
        <v>1</v>
      </c>
      <c r="AP10">
        <f ca="1">COUNTIFS(INDIRECT("Table1[Beginn]"),"&lt;="&amp;AP$1,INDIRECT("Table1[Ende]"),"&gt;="&amp;AP$1,INDIRECT("Table1[Obergruppe ATC-Code]"),Tabelle3!$A10)</f>
        <v>1</v>
      </c>
      <c r="AQ10">
        <f ca="1">COUNTIFS(INDIRECT("Table1[Beginn]"),"&lt;="&amp;AQ$1,INDIRECT("Table1[Ende]"),"&gt;="&amp;AQ$1,INDIRECT("Table1[Obergruppe ATC-Code]"),Tabelle3!$A10)</f>
        <v>1</v>
      </c>
      <c r="AR10">
        <f ca="1">COUNTIFS(INDIRECT("Table1[Beginn]"),"&lt;="&amp;AR$1,INDIRECT("Table1[Ende]"),"&gt;="&amp;AR$1,INDIRECT("Table1[Obergruppe ATC-Code]"),Tabelle3!$A10)</f>
        <v>1</v>
      </c>
      <c r="AS10">
        <f ca="1">COUNTIFS(INDIRECT("Table1[Beginn]"),"&lt;="&amp;AS$1,INDIRECT("Table1[Ende]"),"&gt;="&amp;AS$1,INDIRECT("Table1[Obergruppe ATC-Code]"),Tabelle3!$A10)</f>
        <v>1</v>
      </c>
      <c r="AT10">
        <f ca="1">COUNTIFS(INDIRECT("Table1[Beginn]"),"&lt;="&amp;AT$1,INDIRECT("Table1[Ende]"),"&gt;="&amp;AT$1,INDIRECT("Table1[Obergruppe ATC-Code]"),Tabelle3!$A10)</f>
        <v>1</v>
      </c>
      <c r="AU10">
        <f ca="1">COUNTIFS(INDIRECT("Table1[Beginn]"),"&lt;="&amp;AU$1,INDIRECT("Table1[Ende]"),"&gt;="&amp;AU$1,INDIRECT("Table1[Obergruppe ATC-Code]"),Tabelle3!$A10)</f>
        <v>1</v>
      </c>
      <c r="AV10">
        <f ca="1">COUNTIFS(INDIRECT("Table1[Beginn]"),"&lt;="&amp;AV$1,INDIRECT("Table1[Ende]"),"&gt;="&amp;AV$1,INDIRECT("Table1[Obergruppe ATC-Code]"),Tabelle3!$A10)</f>
        <v>1</v>
      </c>
      <c r="AW10">
        <f ca="1">COUNTIFS(INDIRECT("Table1[Beginn]"),"&lt;="&amp;AW$1,INDIRECT("Table1[Ende]"),"&gt;="&amp;AW$1,INDIRECT("Table1[Obergruppe ATC-Code]"),Tabelle3!$A10)</f>
        <v>1</v>
      </c>
      <c r="AX10">
        <f ca="1">COUNTIFS(INDIRECT("Table1[Beginn]"),"&lt;="&amp;AX$1,INDIRECT("Table1[Ende]"),"&gt;="&amp;AX$1,INDIRECT("Table1[Obergruppe ATC-Code]"),Tabelle3!$A10)</f>
        <v>1</v>
      </c>
      <c r="AY10">
        <f ca="1">COUNTIFS(INDIRECT("Table1[Beginn]"),"&lt;="&amp;AY$1,INDIRECT("Table1[Ende]"),"&gt;="&amp;AY$1,INDIRECT("Table1[Obergruppe ATC-Code]"),Tabelle3!$A10)</f>
        <v>1</v>
      </c>
      <c r="AZ10">
        <f ca="1">COUNTIFS(INDIRECT("Table1[Beginn]"),"&lt;="&amp;AZ$1,INDIRECT("Table1[Ende]"),"&gt;="&amp;AZ$1,INDIRECT("Table1[Obergruppe ATC-Code]"),Tabelle3!$A10)</f>
        <v>1</v>
      </c>
      <c r="BA10">
        <f ca="1">COUNTIFS(INDIRECT("Table1[Beginn]"),"&lt;="&amp;BA$1,INDIRECT("Table1[Ende]"),"&gt;="&amp;BA$1,INDIRECT("Table1[Obergruppe ATC-Code]"),Tabelle3!$A10)</f>
        <v>1</v>
      </c>
      <c r="BB10">
        <f ca="1">COUNTIFS(INDIRECT("Table1[Beginn]"),"&lt;="&amp;BB$1,INDIRECT("Table1[Ende]"),"&gt;="&amp;BB$1,INDIRECT("Table1[Obergruppe ATC-Code]"),Tabelle3!$A10)</f>
        <v>1</v>
      </c>
      <c r="BC10">
        <f ca="1">COUNTIFS(INDIRECT("Table1[Beginn]"),"&lt;="&amp;BC$1,INDIRECT("Table1[Ende]"),"&gt;="&amp;BC$1,INDIRECT("Table1[Obergruppe ATC-Code]"),Tabelle3!$A10)</f>
        <v>1</v>
      </c>
      <c r="BD10">
        <f ca="1">COUNTIFS(INDIRECT("Table1[Beginn]"),"&lt;="&amp;BD$1,INDIRECT("Table1[Ende]"),"&gt;="&amp;BD$1,INDIRECT("Table1[Obergruppe ATC-Code]"),Tabelle3!$A10)</f>
        <v>1</v>
      </c>
      <c r="BE10">
        <f ca="1">COUNTIFS(INDIRECT("Table1[Beginn]"),"&lt;="&amp;BE$1,INDIRECT("Table1[Ende]"),"&gt;="&amp;BE$1,INDIRECT("Table1[Obergruppe ATC-Code]"),Tabelle3!$A10)</f>
        <v>1</v>
      </c>
      <c r="BF10">
        <f ca="1">COUNTIFS(INDIRECT("Table1[Beginn]"),"&lt;="&amp;BF$1,INDIRECT("Table1[Ende]"),"&gt;="&amp;BF$1,INDIRECT("Table1[Obergruppe ATC-Code]"),Tabelle3!$A10)</f>
        <v>1</v>
      </c>
      <c r="BG10">
        <f ca="1">COUNTIFS(INDIRECT("Table1[Beginn]"),"&lt;="&amp;BG$1,INDIRECT("Table1[Ende]"),"&gt;="&amp;BG$1,INDIRECT("Table1[Obergruppe ATC-Code]"),Tabelle3!$A10)</f>
        <v>1</v>
      </c>
      <c r="BH10">
        <f ca="1">COUNTIFS(INDIRECT("Table1[Beginn]"),"&lt;="&amp;BH$1,INDIRECT("Table1[Ende]"),"&gt;="&amp;BH$1,INDIRECT("Table1[Obergruppe ATC-Code]"),Tabelle3!$A10)</f>
        <v>1</v>
      </c>
      <c r="BI10">
        <f ca="1">COUNTIFS(INDIRECT("Table1[Beginn]"),"&lt;="&amp;BI$1,INDIRECT("Table1[Ende]"),"&gt;="&amp;BI$1,INDIRECT("Table1[Obergruppe ATC-Code]"),Tabelle3!$A10)</f>
        <v>1</v>
      </c>
      <c r="BJ10">
        <f ca="1">COUNTIFS(INDIRECT("Table1[Beginn]"),"&lt;="&amp;BJ$1,INDIRECT("Table1[Ende]"),"&gt;="&amp;BJ$1,INDIRECT("Table1[Obergruppe ATC-Code]"),Tabelle3!$A10)</f>
        <v>1</v>
      </c>
      <c r="BK10">
        <f ca="1">COUNTIFS(INDIRECT("Table1[Beginn]"),"&lt;="&amp;BK$1,INDIRECT("Table1[Ende]"),"&gt;="&amp;BK$1,INDIRECT("Table1[Obergruppe ATC-Code]"),Tabelle3!$A10)</f>
        <v>1</v>
      </c>
      <c r="BL10">
        <f ca="1">COUNTIFS(INDIRECT("Table1[Beginn]"),"&lt;="&amp;BL$1,INDIRECT("Table1[Ende]"),"&gt;="&amp;BL$1,INDIRECT("Table1[Obergruppe ATC-Code]"),Tabelle3!$A10)</f>
        <v>1</v>
      </c>
      <c r="BM10">
        <f ca="1">COUNTIFS(INDIRECT("Table1[Beginn]"),"&lt;="&amp;BM$1,INDIRECT("Table1[Ende]"),"&gt;="&amp;BM$1,INDIRECT("Table1[Obergruppe ATC-Code]"),Tabelle3!$A10)</f>
        <v>1</v>
      </c>
      <c r="BN10">
        <f ca="1">COUNTIFS(INDIRECT("Table1[Beginn]"),"&lt;="&amp;BN$1,INDIRECT("Table1[Ende]"),"&gt;="&amp;BN$1,INDIRECT("Table1[Obergruppe ATC-Code]"),Tabelle3!$A10)</f>
        <v>1</v>
      </c>
      <c r="BO10">
        <f ca="1">COUNTIFS(INDIRECT("Table1[Beginn]"),"&lt;="&amp;BO$1,INDIRECT("Table1[Ende]"),"&gt;="&amp;BO$1,INDIRECT("Table1[Obergruppe ATC-Code]"),Tabelle3!$A10)</f>
        <v>1</v>
      </c>
      <c r="BP10">
        <f ca="1">COUNTIFS(INDIRECT("Table1[Beginn]"),"&lt;="&amp;BP$1,INDIRECT("Table1[Ende]"),"&gt;="&amp;BP$1,INDIRECT("Table1[Obergruppe ATC-Code]"),Tabelle3!$A10)</f>
        <v>1</v>
      </c>
      <c r="BQ10">
        <f ca="1">COUNTIFS(INDIRECT("Table1[Beginn]"),"&lt;="&amp;BQ$1,INDIRECT("Table1[Ende]"),"&gt;="&amp;BQ$1,INDIRECT("Table1[Obergruppe ATC-Code]"),Tabelle3!$A10)</f>
        <v>1</v>
      </c>
      <c r="BR10">
        <f ca="1">COUNTIFS(INDIRECT("Table1[Beginn]"),"&lt;="&amp;BR$1,INDIRECT("Table1[Ende]"),"&gt;="&amp;BR$1,INDIRECT("Table1[Obergruppe ATC-Code]"),Tabelle3!$A10)</f>
        <v>1</v>
      </c>
      <c r="BS10">
        <f ca="1">COUNTIFS(INDIRECT("Table1[Beginn]"),"&lt;="&amp;BS$1,INDIRECT("Table1[Ende]"),"&gt;="&amp;BS$1,INDIRECT("Table1[Obergruppe ATC-Code]"),Tabelle3!$A10)</f>
        <v>1</v>
      </c>
      <c r="BT10">
        <f ca="1">COUNTIFS(INDIRECT("Table1[Beginn]"),"&lt;="&amp;BT$1,INDIRECT("Table1[Ende]"),"&gt;="&amp;BT$1,INDIRECT("Table1[Obergruppe ATC-Code]"),Tabelle3!$A10)</f>
        <v>1</v>
      </c>
      <c r="BU10">
        <f ca="1">COUNTIFS(INDIRECT("Table1[Beginn]"),"&lt;="&amp;BU$1,INDIRECT("Table1[Ende]"),"&gt;="&amp;BU$1,INDIRECT("Table1[Obergruppe ATC-Code]"),Tabelle3!$A10)</f>
        <v>1</v>
      </c>
      <c r="BV10">
        <f ca="1">COUNTIFS(INDIRECT("Table1[Beginn]"),"&lt;="&amp;BV$1,INDIRECT("Table1[Ende]"),"&gt;="&amp;BV$1,INDIRECT("Table1[Obergruppe ATC-Code]"),Tabelle3!$A10)</f>
        <v>1</v>
      </c>
      <c r="BW10">
        <f ca="1">COUNTIFS(INDIRECT("Table1[Beginn]"),"&lt;="&amp;BW$1,INDIRECT("Table1[Ende]"),"&gt;="&amp;BW$1,INDIRECT("Table1[Obergruppe ATC-Code]"),Tabelle3!$A10)</f>
        <v>1</v>
      </c>
      <c r="BX10">
        <f ca="1">COUNTIFS(INDIRECT("Table1[Beginn]"),"&lt;="&amp;BX$1,INDIRECT("Table1[Ende]"),"&gt;="&amp;BX$1,INDIRECT("Table1[Obergruppe ATC-Code]"),Tabelle3!$A10)</f>
        <v>1</v>
      </c>
      <c r="BY10">
        <f ca="1">COUNTIFS(INDIRECT("Table1[Beginn]"),"&lt;="&amp;BY$1,INDIRECT("Table1[Ende]"),"&gt;="&amp;BY$1,INDIRECT("Table1[Obergruppe ATC-Code]"),Tabelle3!$A10)</f>
        <v>1</v>
      </c>
      <c r="BZ10">
        <f ca="1">COUNTIFS(INDIRECT("Table1[Beginn]"),"&lt;="&amp;BZ$1,INDIRECT("Table1[Ende]"),"&gt;="&amp;BZ$1,INDIRECT("Table1[Obergruppe ATC-Code]"),Tabelle3!$A10)</f>
        <v>1</v>
      </c>
      <c r="CA10">
        <f ca="1">COUNTIFS(INDIRECT("Table1[Beginn]"),"&lt;="&amp;CA$1,INDIRECT("Table1[Ende]"),"&gt;="&amp;CA$1,INDIRECT("Table1[Obergruppe ATC-Code]"),Tabelle3!$A10)</f>
        <v>1</v>
      </c>
      <c r="CB10">
        <f ca="1">COUNTIFS(INDIRECT("Table1[Beginn]"),"&lt;="&amp;CB$1,INDIRECT("Table1[Ende]"),"&gt;="&amp;CB$1,INDIRECT("Table1[Obergruppe ATC-Code]"),Tabelle3!$A10)</f>
        <v>0</v>
      </c>
      <c r="CC10">
        <f ca="1">COUNTIFS(INDIRECT("Table1[Beginn]"),"&lt;="&amp;CC$1,INDIRECT("Table1[Ende]"),"&gt;="&amp;CC$1,INDIRECT("Table1[Obergruppe ATC-Code]"),Tabelle3!$A10)</f>
        <v>0</v>
      </c>
      <c r="CD10">
        <f ca="1">COUNTIFS(INDIRECT("Table1[Beginn]"),"&lt;="&amp;CD$1,INDIRECT("Table1[Ende]"),"&gt;="&amp;CD$1,INDIRECT("Table1[Obergruppe ATC-Code]"),Tabelle3!$A10)</f>
        <v>0</v>
      </c>
      <c r="CE10">
        <f ca="1">COUNTIFS(INDIRECT("Table1[Beginn]"),"&lt;="&amp;CE$1,INDIRECT("Table1[Ende]"),"&gt;="&amp;CE$1,INDIRECT("Table1[Obergruppe ATC-Code]"),Tabelle3!$A10)</f>
        <v>0</v>
      </c>
      <c r="CF10">
        <f ca="1">COUNTIFS(INDIRECT("Table1[Beginn]"),"&lt;="&amp;CF$1,INDIRECT("Table1[Ende]"),"&gt;="&amp;CF$1,INDIRECT("Table1[Obergruppe ATC-Code]"),Tabelle3!$A10)</f>
        <v>0</v>
      </c>
      <c r="CG10">
        <f ca="1">COUNTIFS(INDIRECT("Table1[Beginn]"),"&lt;="&amp;CG$1,INDIRECT("Table1[Ende]"),"&gt;="&amp;CG$1,INDIRECT("Table1[Obergruppe ATC-Code]"),Tabelle3!$A10)</f>
        <v>0</v>
      </c>
      <c r="CH10">
        <f ca="1">COUNTIFS(INDIRECT("Table1[Beginn]"),"&lt;="&amp;CH$1,INDIRECT("Table1[Ende]"),"&gt;="&amp;CH$1,INDIRECT("Table1[Obergruppe ATC-Code]"),Tabelle3!$A10)</f>
        <v>0</v>
      </c>
      <c r="CI10">
        <f ca="1">COUNTIFS(INDIRECT("Table1[Beginn]"),"&lt;="&amp;CI$1,INDIRECT("Table1[Ende]"),"&gt;="&amp;CI$1,INDIRECT("Table1[Obergruppe ATC-Code]"),Tabelle3!$A10)</f>
        <v>0</v>
      </c>
      <c r="CJ10">
        <f ca="1">COUNTIFS(INDIRECT("Table1[Beginn]"),"&lt;="&amp;CJ$1,INDIRECT("Table1[Ende]"),"&gt;="&amp;CJ$1,INDIRECT("Table1[Obergruppe ATC-Code]"),Tabelle3!$A10)</f>
        <v>0</v>
      </c>
      <c r="CK10">
        <f ca="1">COUNTIFS(INDIRECT("Table1[Beginn]"),"&lt;="&amp;CK$1,INDIRECT("Table1[Ende]"),"&gt;="&amp;CK$1,INDIRECT("Table1[Obergruppe ATC-Code]"),Tabelle3!$A10)</f>
        <v>0</v>
      </c>
      <c r="CL10">
        <f ca="1">COUNTIFS(INDIRECT("Table1[Beginn]"),"&lt;="&amp;CL$1,INDIRECT("Table1[Ende]"),"&gt;="&amp;CL$1,INDIRECT("Table1[Obergruppe ATC-Code]"),Tabelle3!$A10)</f>
        <v>0</v>
      </c>
      <c r="CM10">
        <f ca="1">COUNTIFS(INDIRECT("Table1[Beginn]"),"&lt;="&amp;CM$1,INDIRECT("Table1[Ende]"),"&gt;="&amp;CM$1,INDIRECT("Table1[Obergruppe ATC-Code]"),Tabelle3!$A10)</f>
        <v>0</v>
      </c>
      <c r="CN10">
        <f ca="1">COUNTIFS(INDIRECT("Table1[Beginn]"),"&lt;="&amp;CN$1,INDIRECT("Table1[Ende]"),"&gt;="&amp;CN$1,INDIRECT("Table1[Obergruppe ATC-Code]"),Tabelle3!$A10)</f>
        <v>0</v>
      </c>
      <c r="CO10">
        <f ca="1">COUNTIFS(INDIRECT("Table1[Beginn]"),"&lt;="&amp;CO$1,INDIRECT("Table1[Ende]"),"&gt;="&amp;CO$1,INDIRECT("Table1[Obergruppe ATC-Code]"),Tabelle3!$A10)</f>
        <v>0</v>
      </c>
      <c r="CP10">
        <f ca="1">COUNTIFS(INDIRECT("Table1[Beginn]"),"&lt;="&amp;CP$1,INDIRECT("Table1[Ende]"),"&gt;="&amp;CP$1,INDIRECT("Table1[Obergruppe ATC-Code]"),Tabelle3!$A10)</f>
        <v>0</v>
      </c>
      <c r="CQ10">
        <f ca="1">COUNTIFS(INDIRECT("Table1[Beginn]"),"&lt;="&amp;CQ$1,INDIRECT("Table1[Ende]"),"&gt;="&amp;CQ$1,INDIRECT("Table1[Obergruppe ATC-Code]"),Tabelle3!$A10)</f>
        <v>0</v>
      </c>
      <c r="CR10">
        <f ca="1">COUNTIFS(INDIRECT("Table1[Beginn]"),"&lt;="&amp;CR$1,INDIRECT("Table1[Ende]"),"&gt;="&amp;CR$1,INDIRECT("Table1[Obergruppe ATC-Code]"),Tabelle3!$A10)</f>
        <v>0</v>
      </c>
    </row>
    <row r="11" spans="1:96" ht="18">
      <c r="A11" s="9" t="s">
        <v>6790</v>
      </c>
      <c r="B11" s="10" t="s">
        <v>6791</v>
      </c>
      <c r="C11">
        <f ca="1">COUNTIFS(INDIRECT("Table1[Beginn]"),"&lt;="&amp;C$1,INDIRECT("Table1[Ende]"),"&gt;="&amp;C$1,INDIRECT("Table1[Obergruppe ATC-Code]"),Tabelle3!$A11)</f>
        <v>0</v>
      </c>
      <c r="D11">
        <f ca="1">COUNTIFS(INDIRECT("Table1[Beginn]"),"&lt;="&amp;D$1,INDIRECT("Table1[Ende]"),"&gt;="&amp;D$1,INDIRECT("Table1[Obergruppe ATC-Code]"),Tabelle3!$A11)</f>
        <v>0</v>
      </c>
      <c r="E11">
        <f ca="1">COUNTIFS(INDIRECT("Table1[Beginn]"),"&lt;="&amp;E$1,INDIRECT("Table1[Ende]"),"&gt;="&amp;E$1,INDIRECT("Table1[Obergruppe ATC-Code]"),Tabelle3!$A11)</f>
        <v>0</v>
      </c>
      <c r="F11">
        <f ca="1">COUNTIFS(INDIRECT("Table1[Beginn]"),"&lt;="&amp;F$1,INDIRECT("Table1[Ende]"),"&gt;="&amp;F$1,INDIRECT("Table1[Obergruppe ATC-Code]"),Tabelle3!$A11)</f>
        <v>0</v>
      </c>
      <c r="G11">
        <f ca="1">COUNTIFS(INDIRECT("Table1[Beginn]"),"&lt;="&amp;G$1,INDIRECT("Table1[Ende]"),"&gt;="&amp;G$1,INDIRECT("Table1[Obergruppe ATC-Code]"),Tabelle3!$A11)</f>
        <v>0</v>
      </c>
      <c r="H11">
        <f ca="1">COUNTIFS(INDIRECT("Table1[Beginn]"),"&lt;="&amp;H$1,INDIRECT("Table1[Ende]"),"&gt;="&amp;H$1,INDIRECT("Table1[Obergruppe ATC-Code]"),Tabelle3!$A11)</f>
        <v>0</v>
      </c>
      <c r="I11">
        <f ca="1">COUNTIFS(INDIRECT("Table1[Beginn]"),"&lt;="&amp;I$1,INDIRECT("Table1[Ende]"),"&gt;="&amp;I$1,INDIRECT("Table1[Obergruppe ATC-Code]"),Tabelle3!$A11)</f>
        <v>0</v>
      </c>
      <c r="J11">
        <f ca="1">COUNTIFS(INDIRECT("Table1[Beginn]"),"&lt;="&amp;J$1,INDIRECT("Table1[Ende]"),"&gt;="&amp;J$1,INDIRECT("Table1[Obergruppe ATC-Code]"),Tabelle3!$A11)</f>
        <v>0</v>
      </c>
      <c r="K11">
        <f ca="1">COUNTIFS(INDIRECT("Table1[Beginn]"),"&lt;="&amp;K$1,INDIRECT("Table1[Ende]"),"&gt;="&amp;K$1,INDIRECT("Table1[Obergruppe ATC-Code]"),Tabelle3!$A11)</f>
        <v>0</v>
      </c>
      <c r="L11">
        <f ca="1">COUNTIFS(INDIRECT("Table1[Beginn]"),"&lt;="&amp;L$1,INDIRECT("Table1[Ende]"),"&gt;="&amp;L$1,INDIRECT("Table1[Obergruppe ATC-Code]"),Tabelle3!$A11)</f>
        <v>0</v>
      </c>
      <c r="M11">
        <f ca="1">COUNTIFS(INDIRECT("Table1[Beginn]"),"&lt;="&amp;M$1,INDIRECT("Table1[Ende]"),"&gt;="&amp;M$1,INDIRECT("Table1[Obergruppe ATC-Code]"),Tabelle3!$A11)</f>
        <v>0</v>
      </c>
      <c r="N11">
        <f ca="1">COUNTIFS(INDIRECT("Table1[Beginn]"),"&lt;="&amp;N$1,INDIRECT("Table1[Ende]"),"&gt;="&amp;N$1,INDIRECT("Table1[Obergruppe ATC-Code]"),Tabelle3!$A11)</f>
        <v>0</v>
      </c>
      <c r="O11">
        <f ca="1">COUNTIFS(INDIRECT("Table1[Beginn]"),"&lt;="&amp;O$1,INDIRECT("Table1[Ende]"),"&gt;="&amp;O$1,INDIRECT("Table1[Obergruppe ATC-Code]"),Tabelle3!$A11)</f>
        <v>0</v>
      </c>
      <c r="P11">
        <f ca="1">COUNTIFS(INDIRECT("Table1[Beginn]"),"&lt;="&amp;P$1,INDIRECT("Table1[Ende]"),"&gt;="&amp;P$1,INDIRECT("Table1[Obergruppe ATC-Code]"),Tabelle3!$A11)</f>
        <v>0</v>
      </c>
      <c r="Q11">
        <f ca="1">COUNTIFS(INDIRECT("Table1[Beginn]"),"&lt;="&amp;Q$1,INDIRECT("Table1[Ende]"),"&gt;="&amp;Q$1,INDIRECT("Table1[Obergruppe ATC-Code]"),Tabelle3!$A11)</f>
        <v>0</v>
      </c>
      <c r="R11">
        <f ca="1">COUNTIFS(INDIRECT("Table1[Beginn]"),"&lt;="&amp;R$1,INDIRECT("Table1[Ende]"),"&gt;="&amp;R$1,INDIRECT("Table1[Obergruppe ATC-Code]"),Tabelle3!$A11)</f>
        <v>0</v>
      </c>
      <c r="S11">
        <f ca="1">COUNTIFS(INDIRECT("Table1[Beginn]"),"&lt;="&amp;S$1,INDIRECT("Table1[Ende]"),"&gt;="&amp;S$1,INDIRECT("Table1[Obergruppe ATC-Code]"),Tabelle3!$A11)</f>
        <v>0</v>
      </c>
      <c r="T11">
        <f ca="1">COUNTIFS(INDIRECT("Table1[Beginn]"),"&lt;="&amp;T$1,INDIRECT("Table1[Ende]"),"&gt;="&amp;T$1,INDIRECT("Table1[Obergruppe ATC-Code]"),Tabelle3!$A11)</f>
        <v>0</v>
      </c>
      <c r="U11">
        <f ca="1">COUNTIFS(INDIRECT("Table1[Beginn]"),"&lt;="&amp;U$1,INDIRECT("Table1[Ende]"),"&gt;="&amp;U$1,INDIRECT("Table1[Obergruppe ATC-Code]"),Tabelle3!$A11)</f>
        <v>0</v>
      </c>
      <c r="V11">
        <f ca="1">COUNTIFS(INDIRECT("Table1[Beginn]"),"&lt;="&amp;V$1,INDIRECT("Table1[Ende]"),"&gt;="&amp;V$1,INDIRECT("Table1[Obergruppe ATC-Code]"),Tabelle3!$A11)</f>
        <v>0</v>
      </c>
      <c r="W11">
        <f ca="1">COUNTIFS(INDIRECT("Table1[Beginn]"),"&lt;="&amp;W$1,INDIRECT("Table1[Ende]"),"&gt;="&amp;W$1,INDIRECT("Table1[Obergruppe ATC-Code]"),Tabelle3!$A11)</f>
        <v>0</v>
      </c>
      <c r="X11">
        <f ca="1">COUNTIFS(INDIRECT("Table1[Beginn]"),"&lt;="&amp;X$1,INDIRECT("Table1[Ende]"),"&gt;="&amp;X$1,INDIRECT("Table1[Obergruppe ATC-Code]"),Tabelle3!$A11)</f>
        <v>0</v>
      </c>
      <c r="Y11">
        <f ca="1">COUNTIFS(INDIRECT("Table1[Beginn]"),"&lt;="&amp;Y$1,INDIRECT("Table1[Ende]"),"&gt;="&amp;Y$1,INDIRECT("Table1[Obergruppe ATC-Code]"),Tabelle3!$A11)</f>
        <v>1</v>
      </c>
      <c r="Z11">
        <f ca="1">COUNTIFS(INDIRECT("Table1[Beginn]"),"&lt;="&amp;Z$1,INDIRECT("Table1[Ende]"),"&gt;="&amp;Z$1,INDIRECT("Table1[Obergruppe ATC-Code]"),Tabelle3!$A11)</f>
        <v>1</v>
      </c>
      <c r="AA11">
        <f ca="1">COUNTIFS(INDIRECT("Table1[Beginn]"),"&lt;="&amp;AA$1,INDIRECT("Table1[Ende]"),"&gt;="&amp;AA$1,INDIRECT("Table1[Obergruppe ATC-Code]"),Tabelle3!$A11)</f>
        <v>0</v>
      </c>
      <c r="AB11">
        <f ca="1">COUNTIFS(INDIRECT("Table1[Beginn]"),"&lt;="&amp;AB$1,INDIRECT("Table1[Ende]"),"&gt;="&amp;AB$1,INDIRECT("Table1[Obergruppe ATC-Code]"),Tabelle3!$A11)</f>
        <v>1</v>
      </c>
      <c r="AC11">
        <f ca="1">COUNTIFS(INDIRECT("Table1[Beginn]"),"&lt;="&amp;AC$1,INDIRECT("Table1[Ende]"),"&gt;="&amp;AC$1,INDIRECT("Table1[Obergruppe ATC-Code]"),Tabelle3!$A11)</f>
        <v>1</v>
      </c>
      <c r="AD11">
        <f ca="1">COUNTIFS(INDIRECT("Table1[Beginn]"),"&lt;="&amp;AD$1,INDIRECT("Table1[Ende]"),"&gt;="&amp;AD$1,INDIRECT("Table1[Obergruppe ATC-Code]"),Tabelle3!$A11)</f>
        <v>1</v>
      </c>
      <c r="AE11">
        <f ca="1">COUNTIFS(INDIRECT("Table1[Beginn]"),"&lt;="&amp;AE$1,INDIRECT("Table1[Ende]"),"&gt;="&amp;AE$1,INDIRECT("Table1[Obergruppe ATC-Code]"),Tabelle3!$A11)</f>
        <v>1</v>
      </c>
      <c r="AF11">
        <f ca="1">COUNTIFS(INDIRECT("Table1[Beginn]"),"&lt;="&amp;AF$1,INDIRECT("Table1[Ende]"),"&gt;="&amp;AF$1,INDIRECT("Table1[Obergruppe ATC-Code]"),Tabelle3!$A11)</f>
        <v>1</v>
      </c>
      <c r="AG11">
        <f ca="1">COUNTIFS(INDIRECT("Table1[Beginn]"),"&lt;="&amp;AG$1,INDIRECT("Table1[Ende]"),"&gt;="&amp;AG$1,INDIRECT("Table1[Obergruppe ATC-Code]"),Tabelle3!$A11)</f>
        <v>1</v>
      </c>
      <c r="AH11">
        <f ca="1">COUNTIFS(INDIRECT("Table1[Beginn]"),"&lt;="&amp;AH$1,INDIRECT("Table1[Ende]"),"&gt;="&amp;AH$1,INDIRECT("Table1[Obergruppe ATC-Code]"),Tabelle3!$A11)</f>
        <v>1</v>
      </c>
      <c r="AI11">
        <f ca="1">COUNTIFS(INDIRECT("Table1[Beginn]"),"&lt;="&amp;AI$1,INDIRECT("Table1[Ende]"),"&gt;="&amp;AI$1,INDIRECT("Table1[Obergruppe ATC-Code]"),Tabelle3!$A11)</f>
        <v>3</v>
      </c>
      <c r="AJ11">
        <f ca="1">COUNTIFS(INDIRECT("Table1[Beginn]"),"&lt;="&amp;AJ$1,INDIRECT("Table1[Ende]"),"&gt;="&amp;AJ$1,INDIRECT("Table1[Obergruppe ATC-Code]"),Tabelle3!$A11)</f>
        <v>2</v>
      </c>
      <c r="AK11">
        <f ca="1">COUNTIFS(INDIRECT("Table1[Beginn]"),"&lt;="&amp;AK$1,INDIRECT("Table1[Ende]"),"&gt;="&amp;AK$1,INDIRECT("Table1[Obergruppe ATC-Code]"),Tabelle3!$A11)</f>
        <v>3</v>
      </c>
      <c r="AL11">
        <f ca="1">COUNTIFS(INDIRECT("Table1[Beginn]"),"&lt;="&amp;AL$1,INDIRECT("Table1[Ende]"),"&gt;="&amp;AL$1,INDIRECT("Table1[Obergruppe ATC-Code]"),Tabelle3!$A11)</f>
        <v>3</v>
      </c>
      <c r="AM11">
        <f ca="1">COUNTIFS(INDIRECT("Table1[Beginn]"),"&lt;="&amp;AM$1,INDIRECT("Table1[Ende]"),"&gt;="&amp;AM$1,INDIRECT("Table1[Obergruppe ATC-Code]"),Tabelle3!$A11)</f>
        <v>2</v>
      </c>
      <c r="AN11">
        <f ca="1">COUNTIFS(INDIRECT("Table1[Beginn]"),"&lt;="&amp;AN$1,INDIRECT("Table1[Ende]"),"&gt;="&amp;AN$1,INDIRECT("Table1[Obergruppe ATC-Code]"),Tabelle3!$A11)</f>
        <v>3</v>
      </c>
      <c r="AO11">
        <f ca="1">COUNTIFS(INDIRECT("Table1[Beginn]"),"&lt;="&amp;AO$1,INDIRECT("Table1[Ende]"),"&gt;="&amp;AO$1,INDIRECT("Table1[Obergruppe ATC-Code]"),Tabelle3!$A11)</f>
        <v>3</v>
      </c>
      <c r="AP11">
        <f ca="1">COUNTIFS(INDIRECT("Table1[Beginn]"),"&lt;="&amp;AP$1,INDIRECT("Table1[Ende]"),"&gt;="&amp;AP$1,INDIRECT("Table1[Obergruppe ATC-Code]"),Tabelle3!$A11)</f>
        <v>2</v>
      </c>
      <c r="AQ11">
        <f ca="1">COUNTIFS(INDIRECT("Table1[Beginn]"),"&lt;="&amp;AQ$1,INDIRECT("Table1[Ende]"),"&gt;="&amp;AQ$1,INDIRECT("Table1[Obergruppe ATC-Code]"),Tabelle3!$A11)</f>
        <v>2</v>
      </c>
      <c r="AR11">
        <f ca="1">COUNTIFS(INDIRECT("Table1[Beginn]"),"&lt;="&amp;AR$1,INDIRECT("Table1[Ende]"),"&gt;="&amp;AR$1,INDIRECT("Table1[Obergruppe ATC-Code]"),Tabelle3!$A11)</f>
        <v>2</v>
      </c>
      <c r="AS11">
        <f ca="1">COUNTIFS(INDIRECT("Table1[Beginn]"),"&lt;="&amp;AS$1,INDIRECT("Table1[Ende]"),"&gt;="&amp;AS$1,INDIRECT("Table1[Obergruppe ATC-Code]"),Tabelle3!$A11)</f>
        <v>2</v>
      </c>
      <c r="AT11">
        <f ca="1">COUNTIFS(INDIRECT("Table1[Beginn]"),"&lt;="&amp;AT$1,INDIRECT("Table1[Ende]"),"&gt;="&amp;AT$1,INDIRECT("Table1[Obergruppe ATC-Code]"),Tabelle3!$A11)</f>
        <v>2</v>
      </c>
      <c r="AU11">
        <f ca="1">COUNTIFS(INDIRECT("Table1[Beginn]"),"&lt;="&amp;AU$1,INDIRECT("Table1[Ende]"),"&gt;="&amp;AU$1,INDIRECT("Table1[Obergruppe ATC-Code]"),Tabelle3!$A11)</f>
        <v>0</v>
      </c>
      <c r="AV11">
        <f ca="1">COUNTIFS(INDIRECT("Table1[Beginn]"),"&lt;="&amp;AV$1,INDIRECT("Table1[Ende]"),"&gt;="&amp;AV$1,INDIRECT("Table1[Obergruppe ATC-Code]"),Tabelle3!$A11)</f>
        <v>0</v>
      </c>
      <c r="AW11">
        <f ca="1">COUNTIFS(INDIRECT("Table1[Beginn]"),"&lt;="&amp;AW$1,INDIRECT("Table1[Ende]"),"&gt;="&amp;AW$1,INDIRECT("Table1[Obergruppe ATC-Code]"),Tabelle3!$A11)</f>
        <v>0</v>
      </c>
      <c r="AX11">
        <f ca="1">COUNTIFS(INDIRECT("Table1[Beginn]"),"&lt;="&amp;AX$1,INDIRECT("Table1[Ende]"),"&gt;="&amp;AX$1,INDIRECT("Table1[Obergruppe ATC-Code]"),Tabelle3!$A11)</f>
        <v>1</v>
      </c>
      <c r="AY11">
        <f ca="1">COUNTIFS(INDIRECT("Table1[Beginn]"),"&lt;="&amp;AY$1,INDIRECT("Table1[Ende]"),"&gt;="&amp;AY$1,INDIRECT("Table1[Obergruppe ATC-Code]"),Tabelle3!$A11)</f>
        <v>2</v>
      </c>
      <c r="AZ11">
        <f ca="1">COUNTIFS(INDIRECT("Table1[Beginn]"),"&lt;="&amp;AZ$1,INDIRECT("Table1[Ende]"),"&gt;="&amp;AZ$1,INDIRECT("Table1[Obergruppe ATC-Code]"),Tabelle3!$A11)</f>
        <v>4</v>
      </c>
      <c r="BA11">
        <f ca="1">COUNTIFS(INDIRECT("Table1[Beginn]"),"&lt;="&amp;BA$1,INDIRECT("Table1[Ende]"),"&gt;="&amp;BA$1,INDIRECT("Table1[Obergruppe ATC-Code]"),Tabelle3!$A11)</f>
        <v>2</v>
      </c>
      <c r="BB11">
        <f ca="1">COUNTIFS(INDIRECT("Table1[Beginn]"),"&lt;="&amp;BB$1,INDIRECT("Table1[Ende]"),"&gt;="&amp;BB$1,INDIRECT("Table1[Obergruppe ATC-Code]"),Tabelle3!$A11)</f>
        <v>0</v>
      </c>
      <c r="BC11">
        <f ca="1">COUNTIFS(INDIRECT("Table1[Beginn]"),"&lt;="&amp;BC$1,INDIRECT("Table1[Ende]"),"&gt;="&amp;BC$1,INDIRECT("Table1[Obergruppe ATC-Code]"),Tabelle3!$A11)</f>
        <v>0</v>
      </c>
      <c r="BD11">
        <f ca="1">COUNTIFS(INDIRECT("Table1[Beginn]"),"&lt;="&amp;BD$1,INDIRECT("Table1[Ende]"),"&gt;="&amp;BD$1,INDIRECT("Table1[Obergruppe ATC-Code]"),Tabelle3!$A11)</f>
        <v>0</v>
      </c>
      <c r="BE11">
        <f ca="1">COUNTIFS(INDIRECT("Table1[Beginn]"),"&lt;="&amp;BE$1,INDIRECT("Table1[Ende]"),"&gt;="&amp;BE$1,INDIRECT("Table1[Obergruppe ATC-Code]"),Tabelle3!$A11)</f>
        <v>0</v>
      </c>
      <c r="BF11">
        <f ca="1">COUNTIFS(INDIRECT("Table1[Beginn]"),"&lt;="&amp;BF$1,INDIRECT("Table1[Ende]"),"&gt;="&amp;BF$1,INDIRECT("Table1[Obergruppe ATC-Code]"),Tabelle3!$A11)</f>
        <v>0</v>
      </c>
      <c r="BG11">
        <f ca="1">COUNTIFS(INDIRECT("Table1[Beginn]"),"&lt;="&amp;BG$1,INDIRECT("Table1[Ende]"),"&gt;="&amp;BG$1,INDIRECT("Table1[Obergruppe ATC-Code]"),Tabelle3!$A11)</f>
        <v>0</v>
      </c>
      <c r="BH11">
        <f ca="1">COUNTIFS(INDIRECT("Table1[Beginn]"),"&lt;="&amp;BH$1,INDIRECT("Table1[Ende]"),"&gt;="&amp;BH$1,INDIRECT("Table1[Obergruppe ATC-Code]"),Tabelle3!$A11)</f>
        <v>0</v>
      </c>
      <c r="BI11">
        <f ca="1">COUNTIFS(INDIRECT("Table1[Beginn]"),"&lt;="&amp;BI$1,INDIRECT("Table1[Ende]"),"&gt;="&amp;BI$1,INDIRECT("Table1[Obergruppe ATC-Code]"),Tabelle3!$A11)</f>
        <v>1</v>
      </c>
      <c r="BJ11">
        <f ca="1">COUNTIFS(INDIRECT("Table1[Beginn]"),"&lt;="&amp;BJ$1,INDIRECT("Table1[Ende]"),"&gt;="&amp;BJ$1,INDIRECT("Table1[Obergruppe ATC-Code]"),Tabelle3!$A11)</f>
        <v>2</v>
      </c>
      <c r="BK11">
        <f ca="1">COUNTIFS(INDIRECT("Table1[Beginn]"),"&lt;="&amp;BK$1,INDIRECT("Table1[Ende]"),"&gt;="&amp;BK$1,INDIRECT("Table1[Obergruppe ATC-Code]"),Tabelle3!$A11)</f>
        <v>4</v>
      </c>
      <c r="BL11">
        <f ca="1">COUNTIFS(INDIRECT("Table1[Beginn]"),"&lt;="&amp;BL$1,INDIRECT("Table1[Ende]"),"&gt;="&amp;BL$1,INDIRECT("Table1[Obergruppe ATC-Code]"),Tabelle3!$A11)</f>
        <v>4</v>
      </c>
      <c r="BM11">
        <f ca="1">COUNTIFS(INDIRECT("Table1[Beginn]"),"&lt;="&amp;BM$1,INDIRECT("Table1[Ende]"),"&gt;="&amp;BM$1,INDIRECT("Table1[Obergruppe ATC-Code]"),Tabelle3!$A11)</f>
        <v>1</v>
      </c>
      <c r="BN11">
        <f ca="1">COUNTIFS(INDIRECT("Table1[Beginn]"),"&lt;="&amp;BN$1,INDIRECT("Table1[Ende]"),"&gt;="&amp;BN$1,INDIRECT("Table1[Obergruppe ATC-Code]"),Tabelle3!$A11)</f>
        <v>3</v>
      </c>
      <c r="BO11">
        <f ca="1">COUNTIFS(INDIRECT("Table1[Beginn]"),"&lt;="&amp;BO$1,INDIRECT("Table1[Ende]"),"&gt;="&amp;BO$1,INDIRECT("Table1[Obergruppe ATC-Code]"),Tabelle3!$A11)</f>
        <v>1</v>
      </c>
      <c r="BP11">
        <f ca="1">COUNTIFS(INDIRECT("Table1[Beginn]"),"&lt;="&amp;BP$1,INDIRECT("Table1[Ende]"),"&gt;="&amp;BP$1,INDIRECT("Table1[Obergruppe ATC-Code]"),Tabelle3!$A11)</f>
        <v>2</v>
      </c>
      <c r="BQ11">
        <f ca="1">COUNTIFS(INDIRECT("Table1[Beginn]"),"&lt;="&amp;BQ$1,INDIRECT("Table1[Ende]"),"&gt;="&amp;BQ$1,INDIRECT("Table1[Obergruppe ATC-Code]"),Tabelle3!$A11)</f>
        <v>1</v>
      </c>
      <c r="BR11">
        <f ca="1">COUNTIFS(INDIRECT("Table1[Beginn]"),"&lt;="&amp;BR$1,INDIRECT("Table1[Ende]"),"&gt;="&amp;BR$1,INDIRECT("Table1[Obergruppe ATC-Code]"),Tabelle3!$A11)</f>
        <v>4</v>
      </c>
      <c r="BS11">
        <f ca="1">COUNTIFS(INDIRECT("Table1[Beginn]"),"&lt;="&amp;BS$1,INDIRECT("Table1[Ende]"),"&gt;="&amp;BS$1,INDIRECT("Table1[Obergruppe ATC-Code]"),Tabelle3!$A11)</f>
        <v>5</v>
      </c>
      <c r="BT11">
        <f ca="1">COUNTIFS(INDIRECT("Table1[Beginn]"),"&lt;="&amp;BT$1,INDIRECT("Table1[Ende]"),"&gt;="&amp;BT$1,INDIRECT("Table1[Obergruppe ATC-Code]"),Tabelle3!$A11)</f>
        <v>3</v>
      </c>
      <c r="BU11">
        <f ca="1">COUNTIFS(INDIRECT("Table1[Beginn]"),"&lt;="&amp;BU$1,INDIRECT("Table1[Ende]"),"&gt;="&amp;BU$1,INDIRECT("Table1[Obergruppe ATC-Code]"),Tabelle3!$A11)</f>
        <v>8</v>
      </c>
      <c r="BV11">
        <f ca="1">COUNTIFS(INDIRECT("Table1[Beginn]"),"&lt;="&amp;BV$1,INDIRECT("Table1[Ende]"),"&gt;="&amp;BV$1,INDIRECT("Table1[Obergruppe ATC-Code]"),Tabelle3!$A11)</f>
        <v>15</v>
      </c>
      <c r="BW11">
        <f ca="1">COUNTIFS(INDIRECT("Table1[Beginn]"),"&lt;="&amp;BW$1,INDIRECT("Table1[Ende]"),"&gt;="&amp;BW$1,INDIRECT("Table1[Obergruppe ATC-Code]"),Tabelle3!$A11)</f>
        <v>12</v>
      </c>
      <c r="BX11">
        <f ca="1">COUNTIFS(INDIRECT("Table1[Beginn]"),"&lt;="&amp;BX$1,INDIRECT("Table1[Ende]"),"&gt;="&amp;BX$1,INDIRECT("Table1[Obergruppe ATC-Code]"),Tabelle3!$A11)</f>
        <v>11</v>
      </c>
      <c r="BY11">
        <f ca="1">COUNTIFS(INDIRECT("Table1[Beginn]"),"&lt;="&amp;BY$1,INDIRECT("Table1[Ende]"),"&gt;="&amp;BY$1,INDIRECT("Table1[Obergruppe ATC-Code]"),Tabelle3!$A11)</f>
        <v>13</v>
      </c>
      <c r="BZ11">
        <f ca="1">COUNTIFS(INDIRECT("Table1[Beginn]"),"&lt;="&amp;BZ$1,INDIRECT("Table1[Ende]"),"&gt;="&amp;BZ$1,INDIRECT("Table1[Obergruppe ATC-Code]"),Tabelle3!$A11)</f>
        <v>5</v>
      </c>
      <c r="CA11">
        <f ca="1">COUNTIFS(INDIRECT("Table1[Beginn]"),"&lt;="&amp;CA$1,INDIRECT("Table1[Ende]"),"&gt;="&amp;CA$1,INDIRECT("Table1[Obergruppe ATC-Code]"),Tabelle3!$A11)</f>
        <v>1</v>
      </c>
      <c r="CB11">
        <f ca="1">COUNTIFS(INDIRECT("Table1[Beginn]"),"&lt;="&amp;CB$1,INDIRECT("Table1[Ende]"),"&gt;="&amp;CB$1,INDIRECT("Table1[Obergruppe ATC-Code]"),Tabelle3!$A11)</f>
        <v>10</v>
      </c>
      <c r="CC11">
        <f ca="1">COUNTIFS(INDIRECT("Table1[Beginn]"),"&lt;="&amp;CC$1,INDIRECT("Table1[Ende]"),"&gt;="&amp;CC$1,INDIRECT("Table1[Obergruppe ATC-Code]"),Tabelle3!$A11)</f>
        <v>12</v>
      </c>
      <c r="CD11">
        <f ca="1">COUNTIFS(INDIRECT("Table1[Beginn]"),"&lt;="&amp;CD$1,INDIRECT("Table1[Ende]"),"&gt;="&amp;CD$1,INDIRECT("Table1[Obergruppe ATC-Code]"),Tabelle3!$A11)</f>
        <v>14</v>
      </c>
      <c r="CE11">
        <f ca="1">COUNTIFS(INDIRECT("Table1[Beginn]"),"&lt;="&amp;CE$1,INDIRECT("Table1[Ende]"),"&gt;="&amp;CE$1,INDIRECT("Table1[Obergruppe ATC-Code]"),Tabelle3!$A11)</f>
        <v>11</v>
      </c>
      <c r="CF11">
        <f ca="1">COUNTIFS(INDIRECT("Table1[Beginn]"),"&lt;="&amp;CF$1,INDIRECT("Table1[Ende]"),"&gt;="&amp;CF$1,INDIRECT("Table1[Obergruppe ATC-Code]"),Tabelle3!$A11)</f>
        <v>11</v>
      </c>
      <c r="CG11">
        <f ca="1">COUNTIFS(INDIRECT("Table1[Beginn]"),"&lt;="&amp;CG$1,INDIRECT("Table1[Ende]"),"&gt;="&amp;CG$1,INDIRECT("Table1[Obergruppe ATC-Code]"),Tabelle3!$A11)</f>
        <v>3</v>
      </c>
      <c r="CH11">
        <f ca="1">COUNTIFS(INDIRECT("Table1[Beginn]"),"&lt;="&amp;CH$1,INDIRECT("Table1[Ende]"),"&gt;="&amp;CH$1,INDIRECT("Table1[Obergruppe ATC-Code]"),Tabelle3!$A11)</f>
        <v>2</v>
      </c>
      <c r="CI11">
        <f ca="1">COUNTIFS(INDIRECT("Table1[Beginn]"),"&lt;="&amp;CI$1,INDIRECT("Table1[Ende]"),"&gt;="&amp;CI$1,INDIRECT("Table1[Obergruppe ATC-Code]"),Tabelle3!$A11)</f>
        <v>2</v>
      </c>
      <c r="CJ11">
        <f ca="1">COUNTIFS(INDIRECT("Table1[Beginn]"),"&lt;="&amp;CJ$1,INDIRECT("Table1[Ende]"),"&gt;="&amp;CJ$1,INDIRECT("Table1[Obergruppe ATC-Code]"),Tabelle3!$A11)</f>
        <v>1</v>
      </c>
      <c r="CK11">
        <f ca="1">COUNTIFS(INDIRECT("Table1[Beginn]"),"&lt;="&amp;CK$1,INDIRECT("Table1[Ende]"),"&gt;="&amp;CK$1,INDIRECT("Table1[Obergruppe ATC-Code]"),Tabelle3!$A11)</f>
        <v>1</v>
      </c>
      <c r="CL11">
        <f ca="1">COUNTIFS(INDIRECT("Table1[Beginn]"),"&lt;="&amp;CL$1,INDIRECT("Table1[Ende]"),"&gt;="&amp;CL$1,INDIRECT("Table1[Obergruppe ATC-Code]"),Tabelle3!$A11)</f>
        <v>1</v>
      </c>
      <c r="CM11">
        <f ca="1">COUNTIFS(INDIRECT("Table1[Beginn]"),"&lt;="&amp;CM$1,INDIRECT("Table1[Ende]"),"&gt;="&amp;CM$1,INDIRECT("Table1[Obergruppe ATC-Code]"),Tabelle3!$A11)</f>
        <v>1</v>
      </c>
      <c r="CN11">
        <f ca="1">COUNTIFS(INDIRECT("Table1[Beginn]"),"&lt;="&amp;CN$1,INDIRECT("Table1[Ende]"),"&gt;="&amp;CN$1,INDIRECT("Table1[Obergruppe ATC-Code]"),Tabelle3!$A11)</f>
        <v>1</v>
      </c>
      <c r="CO11">
        <f ca="1">COUNTIFS(INDIRECT("Table1[Beginn]"),"&lt;="&amp;CO$1,INDIRECT("Table1[Ende]"),"&gt;="&amp;CO$1,INDIRECT("Table1[Obergruppe ATC-Code]"),Tabelle3!$A11)</f>
        <v>1</v>
      </c>
      <c r="CP11">
        <f ca="1">COUNTIFS(INDIRECT("Table1[Beginn]"),"&lt;="&amp;CP$1,INDIRECT("Table1[Ende]"),"&gt;="&amp;CP$1,INDIRECT("Table1[Obergruppe ATC-Code]"),Tabelle3!$A11)</f>
        <v>1</v>
      </c>
      <c r="CQ11">
        <f ca="1">COUNTIFS(INDIRECT("Table1[Beginn]"),"&lt;="&amp;CQ$1,INDIRECT("Table1[Ende]"),"&gt;="&amp;CQ$1,INDIRECT("Table1[Obergruppe ATC-Code]"),Tabelle3!$A11)</f>
        <v>1</v>
      </c>
      <c r="CR11">
        <f ca="1">COUNTIFS(INDIRECT("Table1[Beginn]"),"&lt;="&amp;CR$1,INDIRECT("Table1[Ende]"),"&gt;="&amp;CR$1,INDIRECT("Table1[Obergruppe ATC-Code]"),Tabelle3!$A11)</f>
        <v>1</v>
      </c>
    </row>
    <row r="12" spans="1:96" ht="18">
      <c r="A12" s="7" t="s">
        <v>6792</v>
      </c>
      <c r="B12" s="8" t="s">
        <v>6793</v>
      </c>
      <c r="C12">
        <f ca="1">COUNTIFS(INDIRECT("Table1[Beginn]"),"&lt;="&amp;C$1,INDIRECT("Table1[Ende]"),"&gt;="&amp;C$1,INDIRECT("Table1[Obergruppe ATC-Code]"),Tabelle3!$A12)</f>
        <v>0</v>
      </c>
      <c r="D12">
        <f ca="1">COUNTIFS(INDIRECT("Table1[Beginn]"),"&lt;="&amp;D$1,INDIRECT("Table1[Ende]"),"&gt;="&amp;D$1,INDIRECT("Table1[Obergruppe ATC-Code]"),Tabelle3!$A12)</f>
        <v>0</v>
      </c>
      <c r="E12">
        <f ca="1">COUNTIFS(INDIRECT("Table1[Beginn]"),"&lt;="&amp;E$1,INDIRECT("Table1[Ende]"),"&gt;="&amp;E$1,INDIRECT("Table1[Obergruppe ATC-Code]"),Tabelle3!$A12)</f>
        <v>0</v>
      </c>
      <c r="F12">
        <f ca="1">COUNTIFS(INDIRECT("Table1[Beginn]"),"&lt;="&amp;F$1,INDIRECT("Table1[Ende]"),"&gt;="&amp;F$1,INDIRECT("Table1[Obergruppe ATC-Code]"),Tabelle3!$A12)</f>
        <v>0</v>
      </c>
      <c r="G12">
        <f ca="1">COUNTIFS(INDIRECT("Table1[Beginn]"),"&lt;="&amp;G$1,INDIRECT("Table1[Ende]"),"&gt;="&amp;G$1,INDIRECT("Table1[Obergruppe ATC-Code]"),Tabelle3!$A12)</f>
        <v>0</v>
      </c>
      <c r="H12">
        <f ca="1">COUNTIFS(INDIRECT("Table1[Beginn]"),"&lt;="&amp;H$1,INDIRECT("Table1[Ende]"),"&gt;="&amp;H$1,INDIRECT("Table1[Obergruppe ATC-Code]"),Tabelle3!$A12)</f>
        <v>0</v>
      </c>
      <c r="I12">
        <f ca="1">COUNTIFS(INDIRECT("Table1[Beginn]"),"&lt;="&amp;I$1,INDIRECT("Table1[Ende]"),"&gt;="&amp;I$1,INDIRECT("Table1[Obergruppe ATC-Code]"),Tabelle3!$A12)</f>
        <v>0</v>
      </c>
      <c r="J12">
        <f ca="1">COUNTIFS(INDIRECT("Table1[Beginn]"),"&lt;="&amp;J$1,INDIRECT("Table1[Ende]"),"&gt;="&amp;J$1,INDIRECT("Table1[Obergruppe ATC-Code]"),Tabelle3!$A12)</f>
        <v>0</v>
      </c>
      <c r="K12">
        <f ca="1">COUNTIFS(INDIRECT("Table1[Beginn]"),"&lt;="&amp;K$1,INDIRECT("Table1[Ende]"),"&gt;="&amp;K$1,INDIRECT("Table1[Obergruppe ATC-Code]"),Tabelle3!$A12)</f>
        <v>0</v>
      </c>
      <c r="L12">
        <f ca="1">COUNTIFS(INDIRECT("Table1[Beginn]"),"&lt;="&amp;L$1,INDIRECT("Table1[Ende]"),"&gt;="&amp;L$1,INDIRECT("Table1[Obergruppe ATC-Code]"),Tabelle3!$A12)</f>
        <v>0</v>
      </c>
      <c r="M12">
        <f ca="1">COUNTIFS(INDIRECT("Table1[Beginn]"),"&lt;="&amp;M$1,INDIRECT("Table1[Ende]"),"&gt;="&amp;M$1,INDIRECT("Table1[Obergruppe ATC-Code]"),Tabelle3!$A12)</f>
        <v>0</v>
      </c>
      <c r="N12">
        <f ca="1">COUNTIFS(INDIRECT("Table1[Beginn]"),"&lt;="&amp;N$1,INDIRECT("Table1[Ende]"),"&gt;="&amp;N$1,INDIRECT("Table1[Obergruppe ATC-Code]"),Tabelle3!$A12)</f>
        <v>0</v>
      </c>
      <c r="O12">
        <f ca="1">COUNTIFS(INDIRECT("Table1[Beginn]"),"&lt;="&amp;O$1,INDIRECT("Table1[Ende]"),"&gt;="&amp;O$1,INDIRECT("Table1[Obergruppe ATC-Code]"),Tabelle3!$A12)</f>
        <v>0</v>
      </c>
      <c r="P12">
        <f ca="1">COUNTIFS(INDIRECT("Table1[Beginn]"),"&lt;="&amp;P$1,INDIRECT("Table1[Ende]"),"&gt;="&amp;P$1,INDIRECT("Table1[Obergruppe ATC-Code]"),Tabelle3!$A12)</f>
        <v>0</v>
      </c>
      <c r="Q12">
        <f ca="1">COUNTIFS(INDIRECT("Table1[Beginn]"),"&lt;="&amp;Q$1,INDIRECT("Table1[Ende]"),"&gt;="&amp;Q$1,INDIRECT("Table1[Obergruppe ATC-Code]"),Tabelle3!$A12)</f>
        <v>0</v>
      </c>
      <c r="R12">
        <f ca="1">COUNTIFS(INDIRECT("Table1[Beginn]"),"&lt;="&amp;R$1,INDIRECT("Table1[Ende]"),"&gt;="&amp;R$1,INDIRECT("Table1[Obergruppe ATC-Code]"),Tabelle3!$A12)</f>
        <v>0</v>
      </c>
      <c r="S12">
        <f ca="1">COUNTIFS(INDIRECT("Table1[Beginn]"),"&lt;="&amp;S$1,INDIRECT("Table1[Ende]"),"&gt;="&amp;S$1,INDIRECT("Table1[Obergruppe ATC-Code]"),Tabelle3!$A12)</f>
        <v>0</v>
      </c>
      <c r="T12">
        <f ca="1">COUNTIFS(INDIRECT("Table1[Beginn]"),"&lt;="&amp;T$1,INDIRECT("Table1[Ende]"),"&gt;="&amp;T$1,INDIRECT("Table1[Obergruppe ATC-Code]"),Tabelle3!$A12)</f>
        <v>0</v>
      </c>
      <c r="U12">
        <f ca="1">COUNTIFS(INDIRECT("Table1[Beginn]"),"&lt;="&amp;U$1,INDIRECT("Table1[Ende]"),"&gt;="&amp;U$1,INDIRECT("Table1[Obergruppe ATC-Code]"),Tabelle3!$A12)</f>
        <v>0</v>
      </c>
      <c r="V12">
        <f ca="1">COUNTIFS(INDIRECT("Table1[Beginn]"),"&lt;="&amp;V$1,INDIRECT("Table1[Ende]"),"&gt;="&amp;V$1,INDIRECT("Table1[Obergruppe ATC-Code]"),Tabelle3!$A12)</f>
        <v>0</v>
      </c>
      <c r="W12">
        <f ca="1">COUNTIFS(INDIRECT("Table1[Beginn]"),"&lt;="&amp;W$1,INDIRECT("Table1[Ende]"),"&gt;="&amp;W$1,INDIRECT("Table1[Obergruppe ATC-Code]"),Tabelle3!$A12)</f>
        <v>0</v>
      </c>
      <c r="X12">
        <f ca="1">COUNTIFS(INDIRECT("Table1[Beginn]"),"&lt;="&amp;X$1,INDIRECT("Table1[Ende]"),"&gt;="&amp;X$1,INDIRECT("Table1[Obergruppe ATC-Code]"),Tabelle3!$A12)</f>
        <v>0</v>
      </c>
      <c r="Y12">
        <f ca="1">COUNTIFS(INDIRECT("Table1[Beginn]"),"&lt;="&amp;Y$1,INDIRECT("Table1[Ende]"),"&gt;="&amp;Y$1,INDIRECT("Table1[Obergruppe ATC-Code]"),Tabelle3!$A12)</f>
        <v>0</v>
      </c>
      <c r="Z12">
        <f ca="1">COUNTIFS(INDIRECT("Table1[Beginn]"),"&lt;="&amp;Z$1,INDIRECT("Table1[Ende]"),"&gt;="&amp;Z$1,INDIRECT("Table1[Obergruppe ATC-Code]"),Tabelle3!$A12)</f>
        <v>0</v>
      </c>
      <c r="AA12">
        <f ca="1">COUNTIFS(INDIRECT("Table1[Beginn]"),"&lt;="&amp;AA$1,INDIRECT("Table1[Ende]"),"&gt;="&amp;AA$1,INDIRECT("Table1[Obergruppe ATC-Code]"),Tabelle3!$A12)</f>
        <v>0</v>
      </c>
      <c r="AB12">
        <f ca="1">COUNTIFS(INDIRECT("Table1[Beginn]"),"&lt;="&amp;AB$1,INDIRECT("Table1[Ende]"),"&gt;="&amp;AB$1,INDIRECT("Table1[Obergruppe ATC-Code]"),Tabelle3!$A12)</f>
        <v>0</v>
      </c>
      <c r="AC12">
        <f ca="1">COUNTIFS(INDIRECT("Table1[Beginn]"),"&lt;="&amp;AC$1,INDIRECT("Table1[Ende]"),"&gt;="&amp;AC$1,INDIRECT("Table1[Obergruppe ATC-Code]"),Tabelle3!$A12)</f>
        <v>0</v>
      </c>
      <c r="AD12">
        <f ca="1">COUNTIFS(INDIRECT("Table1[Beginn]"),"&lt;="&amp;AD$1,INDIRECT("Table1[Ende]"),"&gt;="&amp;AD$1,INDIRECT("Table1[Obergruppe ATC-Code]"),Tabelle3!$A12)</f>
        <v>0</v>
      </c>
      <c r="AE12">
        <f ca="1">COUNTIFS(INDIRECT("Table1[Beginn]"),"&lt;="&amp;AE$1,INDIRECT("Table1[Ende]"),"&gt;="&amp;AE$1,INDIRECT("Table1[Obergruppe ATC-Code]"),Tabelle3!$A12)</f>
        <v>0</v>
      </c>
      <c r="AF12">
        <f ca="1">COUNTIFS(INDIRECT("Table1[Beginn]"),"&lt;="&amp;AF$1,INDIRECT("Table1[Ende]"),"&gt;="&amp;AF$1,INDIRECT("Table1[Obergruppe ATC-Code]"),Tabelle3!$A12)</f>
        <v>0</v>
      </c>
      <c r="AG12">
        <f ca="1">COUNTIFS(INDIRECT("Table1[Beginn]"),"&lt;="&amp;AG$1,INDIRECT("Table1[Ende]"),"&gt;="&amp;AG$1,INDIRECT("Table1[Obergruppe ATC-Code]"),Tabelle3!$A12)</f>
        <v>0</v>
      </c>
      <c r="AH12">
        <f ca="1">COUNTIFS(INDIRECT("Table1[Beginn]"),"&lt;="&amp;AH$1,INDIRECT("Table1[Ende]"),"&gt;="&amp;AH$1,INDIRECT("Table1[Obergruppe ATC-Code]"),Tabelle3!$A12)</f>
        <v>0</v>
      </c>
      <c r="AI12">
        <f ca="1">COUNTIFS(INDIRECT("Table1[Beginn]"),"&lt;="&amp;AI$1,INDIRECT("Table1[Ende]"),"&gt;="&amp;AI$1,INDIRECT("Table1[Obergruppe ATC-Code]"),Tabelle3!$A12)</f>
        <v>0</v>
      </c>
      <c r="AJ12">
        <f ca="1">COUNTIFS(INDIRECT("Table1[Beginn]"),"&lt;="&amp;AJ$1,INDIRECT("Table1[Ende]"),"&gt;="&amp;AJ$1,INDIRECT("Table1[Obergruppe ATC-Code]"),Tabelle3!$A12)</f>
        <v>0</v>
      </c>
      <c r="AK12">
        <f ca="1">COUNTIFS(INDIRECT("Table1[Beginn]"),"&lt;="&amp;AK$1,INDIRECT("Table1[Ende]"),"&gt;="&amp;AK$1,INDIRECT("Table1[Obergruppe ATC-Code]"),Tabelle3!$A12)</f>
        <v>0</v>
      </c>
      <c r="AL12">
        <f ca="1">COUNTIFS(INDIRECT("Table1[Beginn]"),"&lt;="&amp;AL$1,INDIRECT("Table1[Ende]"),"&gt;="&amp;AL$1,INDIRECT("Table1[Obergruppe ATC-Code]"),Tabelle3!$A12)</f>
        <v>0</v>
      </c>
      <c r="AM12">
        <f ca="1">COUNTIFS(INDIRECT("Table1[Beginn]"),"&lt;="&amp;AM$1,INDIRECT("Table1[Ende]"),"&gt;="&amp;AM$1,INDIRECT("Table1[Obergruppe ATC-Code]"),Tabelle3!$A12)</f>
        <v>1</v>
      </c>
      <c r="AN12">
        <f ca="1">COUNTIFS(INDIRECT("Table1[Beginn]"),"&lt;="&amp;AN$1,INDIRECT("Table1[Ende]"),"&gt;="&amp;AN$1,INDIRECT("Table1[Obergruppe ATC-Code]"),Tabelle3!$A12)</f>
        <v>1</v>
      </c>
      <c r="AO12">
        <f ca="1">COUNTIFS(INDIRECT("Table1[Beginn]"),"&lt;="&amp;AO$1,INDIRECT("Table1[Ende]"),"&gt;="&amp;AO$1,INDIRECT("Table1[Obergruppe ATC-Code]"),Tabelle3!$A12)</f>
        <v>1</v>
      </c>
      <c r="AP12">
        <f ca="1">COUNTIFS(INDIRECT("Table1[Beginn]"),"&lt;="&amp;AP$1,INDIRECT("Table1[Ende]"),"&gt;="&amp;AP$1,INDIRECT("Table1[Obergruppe ATC-Code]"),Tabelle3!$A12)</f>
        <v>1</v>
      </c>
      <c r="AQ12">
        <f ca="1">COUNTIFS(INDIRECT("Table1[Beginn]"),"&lt;="&amp;AQ$1,INDIRECT("Table1[Ende]"),"&gt;="&amp;AQ$1,INDIRECT("Table1[Obergruppe ATC-Code]"),Tabelle3!$A12)</f>
        <v>1</v>
      </c>
      <c r="AR12">
        <f ca="1">COUNTIFS(INDIRECT("Table1[Beginn]"),"&lt;="&amp;AR$1,INDIRECT("Table1[Ende]"),"&gt;="&amp;AR$1,INDIRECT("Table1[Obergruppe ATC-Code]"),Tabelle3!$A12)</f>
        <v>1</v>
      </c>
      <c r="AS12">
        <f ca="1">COUNTIFS(INDIRECT("Table1[Beginn]"),"&lt;="&amp;AS$1,INDIRECT("Table1[Ende]"),"&gt;="&amp;AS$1,INDIRECT("Table1[Obergruppe ATC-Code]"),Tabelle3!$A12)</f>
        <v>1</v>
      </c>
      <c r="AT12">
        <f ca="1">COUNTIFS(INDIRECT("Table1[Beginn]"),"&lt;="&amp;AT$1,INDIRECT("Table1[Ende]"),"&gt;="&amp;AT$1,INDIRECT("Table1[Obergruppe ATC-Code]"),Tabelle3!$A12)</f>
        <v>1</v>
      </c>
      <c r="AU12">
        <f ca="1">COUNTIFS(INDIRECT("Table1[Beginn]"),"&lt;="&amp;AU$1,INDIRECT("Table1[Ende]"),"&gt;="&amp;AU$1,INDIRECT("Table1[Obergruppe ATC-Code]"),Tabelle3!$A12)</f>
        <v>1</v>
      </c>
      <c r="AV12">
        <f ca="1">COUNTIFS(INDIRECT("Table1[Beginn]"),"&lt;="&amp;AV$1,INDIRECT("Table1[Ende]"),"&gt;="&amp;AV$1,INDIRECT("Table1[Obergruppe ATC-Code]"),Tabelle3!$A12)</f>
        <v>1</v>
      </c>
      <c r="AW12">
        <f ca="1">COUNTIFS(INDIRECT("Table1[Beginn]"),"&lt;="&amp;AW$1,INDIRECT("Table1[Ende]"),"&gt;="&amp;AW$1,INDIRECT("Table1[Obergruppe ATC-Code]"),Tabelle3!$A12)</f>
        <v>1</v>
      </c>
      <c r="AX12">
        <f ca="1">COUNTIFS(INDIRECT("Table1[Beginn]"),"&lt;="&amp;AX$1,INDIRECT("Table1[Ende]"),"&gt;="&amp;AX$1,INDIRECT("Table1[Obergruppe ATC-Code]"),Tabelle3!$A12)</f>
        <v>1</v>
      </c>
      <c r="AY12">
        <f ca="1">COUNTIFS(INDIRECT("Table1[Beginn]"),"&lt;="&amp;AY$1,INDIRECT("Table1[Ende]"),"&gt;="&amp;AY$1,INDIRECT("Table1[Obergruppe ATC-Code]"),Tabelle3!$A12)</f>
        <v>2</v>
      </c>
      <c r="AZ12">
        <f ca="1">COUNTIFS(INDIRECT("Table1[Beginn]"),"&lt;="&amp;AZ$1,INDIRECT("Table1[Ende]"),"&gt;="&amp;AZ$1,INDIRECT("Table1[Obergruppe ATC-Code]"),Tabelle3!$A12)</f>
        <v>3</v>
      </c>
      <c r="BA12">
        <f ca="1">COUNTIFS(INDIRECT("Table1[Beginn]"),"&lt;="&amp;BA$1,INDIRECT("Table1[Ende]"),"&gt;="&amp;BA$1,INDIRECT("Table1[Obergruppe ATC-Code]"),Tabelle3!$A12)</f>
        <v>3</v>
      </c>
      <c r="BB12">
        <f ca="1">COUNTIFS(INDIRECT("Table1[Beginn]"),"&lt;="&amp;BB$1,INDIRECT("Table1[Ende]"),"&gt;="&amp;BB$1,INDIRECT("Table1[Obergruppe ATC-Code]"),Tabelle3!$A12)</f>
        <v>3</v>
      </c>
      <c r="BC12">
        <f ca="1">COUNTIFS(INDIRECT("Table1[Beginn]"),"&lt;="&amp;BC$1,INDIRECT("Table1[Ende]"),"&gt;="&amp;BC$1,INDIRECT("Table1[Obergruppe ATC-Code]"),Tabelle3!$A12)</f>
        <v>3</v>
      </c>
      <c r="BD12">
        <f ca="1">COUNTIFS(INDIRECT("Table1[Beginn]"),"&lt;="&amp;BD$1,INDIRECT("Table1[Ende]"),"&gt;="&amp;BD$1,INDIRECT("Table1[Obergruppe ATC-Code]"),Tabelle3!$A12)</f>
        <v>3</v>
      </c>
      <c r="BE12">
        <f ca="1">COUNTIFS(INDIRECT("Table1[Beginn]"),"&lt;="&amp;BE$1,INDIRECT("Table1[Ende]"),"&gt;="&amp;BE$1,INDIRECT("Table1[Obergruppe ATC-Code]"),Tabelle3!$A12)</f>
        <v>3</v>
      </c>
      <c r="BF12">
        <f ca="1">COUNTIFS(INDIRECT("Table1[Beginn]"),"&lt;="&amp;BF$1,INDIRECT("Table1[Ende]"),"&gt;="&amp;BF$1,INDIRECT("Table1[Obergruppe ATC-Code]"),Tabelle3!$A12)</f>
        <v>4</v>
      </c>
      <c r="BG12">
        <f ca="1">COUNTIFS(INDIRECT("Table1[Beginn]"),"&lt;="&amp;BG$1,INDIRECT("Table1[Ende]"),"&gt;="&amp;BG$1,INDIRECT("Table1[Obergruppe ATC-Code]"),Tabelle3!$A12)</f>
        <v>3</v>
      </c>
      <c r="BH12">
        <f ca="1">COUNTIFS(INDIRECT("Table1[Beginn]"),"&lt;="&amp;BH$1,INDIRECT("Table1[Ende]"),"&gt;="&amp;BH$1,INDIRECT("Table1[Obergruppe ATC-Code]"),Tabelle3!$A12)</f>
        <v>3</v>
      </c>
      <c r="BI12">
        <f ca="1">COUNTIFS(INDIRECT("Table1[Beginn]"),"&lt;="&amp;BI$1,INDIRECT("Table1[Ende]"),"&gt;="&amp;BI$1,INDIRECT("Table1[Obergruppe ATC-Code]"),Tabelle3!$A12)</f>
        <v>3</v>
      </c>
      <c r="BJ12">
        <f ca="1">COUNTIFS(INDIRECT("Table1[Beginn]"),"&lt;="&amp;BJ$1,INDIRECT("Table1[Ende]"),"&gt;="&amp;BJ$1,INDIRECT("Table1[Obergruppe ATC-Code]"),Tabelle3!$A12)</f>
        <v>3</v>
      </c>
      <c r="BK12">
        <f ca="1">COUNTIFS(INDIRECT("Table1[Beginn]"),"&lt;="&amp;BK$1,INDIRECT("Table1[Ende]"),"&gt;="&amp;BK$1,INDIRECT("Table1[Obergruppe ATC-Code]"),Tabelle3!$A12)</f>
        <v>3</v>
      </c>
      <c r="BL12">
        <f ca="1">COUNTIFS(INDIRECT("Table1[Beginn]"),"&lt;="&amp;BL$1,INDIRECT("Table1[Ende]"),"&gt;="&amp;BL$1,INDIRECT("Table1[Obergruppe ATC-Code]"),Tabelle3!$A12)</f>
        <v>4</v>
      </c>
      <c r="BM12">
        <f ca="1">COUNTIFS(INDIRECT("Table1[Beginn]"),"&lt;="&amp;BM$1,INDIRECT("Table1[Ende]"),"&gt;="&amp;BM$1,INDIRECT("Table1[Obergruppe ATC-Code]"),Tabelle3!$A12)</f>
        <v>5</v>
      </c>
      <c r="BN12">
        <f ca="1">COUNTIFS(INDIRECT("Table1[Beginn]"),"&lt;="&amp;BN$1,INDIRECT("Table1[Ende]"),"&gt;="&amp;BN$1,INDIRECT("Table1[Obergruppe ATC-Code]"),Tabelle3!$A12)</f>
        <v>4</v>
      </c>
      <c r="BO12">
        <f ca="1">COUNTIFS(INDIRECT("Table1[Beginn]"),"&lt;="&amp;BO$1,INDIRECT("Table1[Ende]"),"&gt;="&amp;BO$1,INDIRECT("Table1[Obergruppe ATC-Code]"),Tabelle3!$A12)</f>
        <v>3</v>
      </c>
      <c r="BP12">
        <f ca="1">COUNTIFS(INDIRECT("Table1[Beginn]"),"&lt;="&amp;BP$1,INDIRECT("Table1[Ende]"),"&gt;="&amp;BP$1,INDIRECT("Table1[Obergruppe ATC-Code]"),Tabelle3!$A12)</f>
        <v>3</v>
      </c>
      <c r="BQ12">
        <f ca="1">COUNTIFS(INDIRECT("Table1[Beginn]"),"&lt;="&amp;BQ$1,INDIRECT("Table1[Ende]"),"&gt;="&amp;BQ$1,INDIRECT("Table1[Obergruppe ATC-Code]"),Tabelle3!$A12)</f>
        <v>3</v>
      </c>
      <c r="BR12">
        <f ca="1">COUNTIFS(INDIRECT("Table1[Beginn]"),"&lt;="&amp;BR$1,INDIRECT("Table1[Ende]"),"&gt;="&amp;BR$1,INDIRECT("Table1[Obergruppe ATC-Code]"),Tabelle3!$A12)</f>
        <v>5</v>
      </c>
      <c r="BS12">
        <f ca="1">COUNTIFS(INDIRECT("Table1[Beginn]"),"&lt;="&amp;BS$1,INDIRECT("Table1[Ende]"),"&gt;="&amp;BS$1,INDIRECT("Table1[Obergruppe ATC-Code]"),Tabelle3!$A12)</f>
        <v>4</v>
      </c>
      <c r="BT12">
        <f ca="1">COUNTIFS(INDIRECT("Table1[Beginn]"),"&lt;="&amp;BT$1,INDIRECT("Table1[Ende]"),"&gt;="&amp;BT$1,INDIRECT("Table1[Obergruppe ATC-Code]"),Tabelle3!$A12)</f>
        <v>3</v>
      </c>
      <c r="BU12">
        <f ca="1">COUNTIFS(INDIRECT("Table1[Beginn]"),"&lt;="&amp;BU$1,INDIRECT("Table1[Ende]"),"&gt;="&amp;BU$1,INDIRECT("Table1[Obergruppe ATC-Code]"),Tabelle3!$A12)</f>
        <v>3</v>
      </c>
      <c r="BV12">
        <f ca="1">COUNTIFS(INDIRECT("Table1[Beginn]"),"&lt;="&amp;BV$1,INDIRECT("Table1[Ende]"),"&gt;="&amp;BV$1,INDIRECT("Table1[Obergruppe ATC-Code]"),Tabelle3!$A12)</f>
        <v>2</v>
      </c>
      <c r="BW12">
        <f ca="1">COUNTIFS(INDIRECT("Table1[Beginn]"),"&lt;="&amp;BW$1,INDIRECT("Table1[Ende]"),"&gt;="&amp;BW$1,INDIRECT("Table1[Obergruppe ATC-Code]"),Tabelle3!$A12)</f>
        <v>2</v>
      </c>
      <c r="BX12">
        <f ca="1">COUNTIFS(INDIRECT("Table1[Beginn]"),"&lt;="&amp;BX$1,INDIRECT("Table1[Ende]"),"&gt;="&amp;BX$1,INDIRECT("Table1[Obergruppe ATC-Code]"),Tabelle3!$A12)</f>
        <v>2</v>
      </c>
      <c r="BY12">
        <f ca="1">COUNTIFS(INDIRECT("Table1[Beginn]"),"&lt;="&amp;BY$1,INDIRECT("Table1[Ende]"),"&gt;="&amp;BY$1,INDIRECT("Table1[Obergruppe ATC-Code]"),Tabelle3!$A12)</f>
        <v>2</v>
      </c>
      <c r="BZ12">
        <f ca="1">COUNTIFS(INDIRECT("Table1[Beginn]"),"&lt;="&amp;BZ$1,INDIRECT("Table1[Ende]"),"&gt;="&amp;BZ$1,INDIRECT("Table1[Obergruppe ATC-Code]"),Tabelle3!$A12)</f>
        <v>3</v>
      </c>
      <c r="CA12">
        <f ca="1">COUNTIFS(INDIRECT("Table1[Beginn]"),"&lt;="&amp;CA$1,INDIRECT("Table1[Ende]"),"&gt;="&amp;CA$1,INDIRECT("Table1[Obergruppe ATC-Code]"),Tabelle3!$A12)</f>
        <v>3</v>
      </c>
      <c r="CB12">
        <f ca="1">COUNTIFS(INDIRECT("Table1[Beginn]"),"&lt;="&amp;CB$1,INDIRECT("Table1[Ende]"),"&gt;="&amp;CB$1,INDIRECT("Table1[Obergruppe ATC-Code]"),Tabelle3!$A12)</f>
        <v>6</v>
      </c>
      <c r="CC12">
        <f ca="1">COUNTIFS(INDIRECT("Table1[Beginn]"),"&lt;="&amp;CC$1,INDIRECT("Table1[Ende]"),"&gt;="&amp;CC$1,INDIRECT("Table1[Obergruppe ATC-Code]"),Tabelle3!$A12)</f>
        <v>5</v>
      </c>
      <c r="CD12">
        <f ca="1">COUNTIFS(INDIRECT("Table1[Beginn]"),"&lt;="&amp;CD$1,INDIRECT("Table1[Ende]"),"&gt;="&amp;CD$1,INDIRECT("Table1[Obergruppe ATC-Code]"),Tabelle3!$A12)</f>
        <v>4</v>
      </c>
      <c r="CE12">
        <f ca="1">COUNTIFS(INDIRECT("Table1[Beginn]"),"&lt;="&amp;CE$1,INDIRECT("Table1[Ende]"),"&gt;="&amp;CE$1,INDIRECT("Table1[Obergruppe ATC-Code]"),Tabelle3!$A12)</f>
        <v>2</v>
      </c>
      <c r="CF12">
        <f ca="1">COUNTIFS(INDIRECT("Table1[Beginn]"),"&lt;="&amp;CF$1,INDIRECT("Table1[Ende]"),"&gt;="&amp;CF$1,INDIRECT("Table1[Obergruppe ATC-Code]"),Tabelle3!$A12)</f>
        <v>1</v>
      </c>
      <c r="CG12">
        <f ca="1">COUNTIFS(INDIRECT("Table1[Beginn]"),"&lt;="&amp;CG$1,INDIRECT("Table1[Ende]"),"&gt;="&amp;CG$1,INDIRECT("Table1[Obergruppe ATC-Code]"),Tabelle3!$A12)</f>
        <v>0</v>
      </c>
      <c r="CH12">
        <f ca="1">COUNTIFS(INDIRECT("Table1[Beginn]"),"&lt;="&amp;CH$1,INDIRECT("Table1[Ende]"),"&gt;="&amp;CH$1,INDIRECT("Table1[Obergruppe ATC-Code]"),Tabelle3!$A12)</f>
        <v>0</v>
      </c>
      <c r="CI12">
        <f ca="1">COUNTIFS(INDIRECT("Table1[Beginn]"),"&lt;="&amp;CI$1,INDIRECT("Table1[Ende]"),"&gt;="&amp;CI$1,INDIRECT("Table1[Obergruppe ATC-Code]"),Tabelle3!$A12)</f>
        <v>0</v>
      </c>
      <c r="CJ12">
        <f ca="1">COUNTIFS(INDIRECT("Table1[Beginn]"),"&lt;="&amp;CJ$1,INDIRECT("Table1[Ende]"),"&gt;="&amp;CJ$1,INDIRECT("Table1[Obergruppe ATC-Code]"),Tabelle3!$A12)</f>
        <v>0</v>
      </c>
      <c r="CK12">
        <f ca="1">COUNTIFS(INDIRECT("Table1[Beginn]"),"&lt;="&amp;CK$1,INDIRECT("Table1[Ende]"),"&gt;="&amp;CK$1,INDIRECT("Table1[Obergruppe ATC-Code]"),Tabelle3!$A12)</f>
        <v>0</v>
      </c>
      <c r="CL12">
        <f ca="1">COUNTIFS(INDIRECT("Table1[Beginn]"),"&lt;="&amp;CL$1,INDIRECT("Table1[Ende]"),"&gt;="&amp;CL$1,INDIRECT("Table1[Obergruppe ATC-Code]"),Tabelle3!$A12)</f>
        <v>0</v>
      </c>
      <c r="CM12">
        <f ca="1">COUNTIFS(INDIRECT("Table1[Beginn]"),"&lt;="&amp;CM$1,INDIRECT("Table1[Ende]"),"&gt;="&amp;CM$1,INDIRECT("Table1[Obergruppe ATC-Code]"),Tabelle3!$A12)</f>
        <v>0</v>
      </c>
      <c r="CN12">
        <f ca="1">COUNTIFS(INDIRECT("Table1[Beginn]"),"&lt;="&amp;CN$1,INDIRECT("Table1[Ende]"),"&gt;="&amp;CN$1,INDIRECT("Table1[Obergruppe ATC-Code]"),Tabelle3!$A12)</f>
        <v>0</v>
      </c>
      <c r="CO12">
        <f ca="1">COUNTIFS(INDIRECT("Table1[Beginn]"),"&lt;="&amp;CO$1,INDIRECT("Table1[Ende]"),"&gt;="&amp;CO$1,INDIRECT("Table1[Obergruppe ATC-Code]"),Tabelle3!$A12)</f>
        <v>0</v>
      </c>
      <c r="CP12">
        <f ca="1">COUNTIFS(INDIRECT("Table1[Beginn]"),"&lt;="&amp;CP$1,INDIRECT("Table1[Ende]"),"&gt;="&amp;CP$1,INDIRECT("Table1[Obergruppe ATC-Code]"),Tabelle3!$A12)</f>
        <v>0</v>
      </c>
      <c r="CQ12">
        <f ca="1">COUNTIFS(INDIRECT("Table1[Beginn]"),"&lt;="&amp;CQ$1,INDIRECT("Table1[Ende]"),"&gt;="&amp;CQ$1,INDIRECT("Table1[Obergruppe ATC-Code]"),Tabelle3!$A12)</f>
        <v>0</v>
      </c>
      <c r="CR12">
        <f ca="1">COUNTIFS(INDIRECT("Table1[Beginn]"),"&lt;="&amp;CR$1,INDIRECT("Table1[Ende]"),"&gt;="&amp;CR$1,INDIRECT("Table1[Obergruppe ATC-Code]"),Tabelle3!$A12)</f>
        <v>0</v>
      </c>
    </row>
    <row r="13" spans="1:96" ht="18">
      <c r="A13" s="9" t="s">
        <v>6794</v>
      </c>
      <c r="B13" s="10" t="s">
        <v>6795</v>
      </c>
      <c r="C13">
        <f ca="1">COUNTIFS(INDIRECT("Table1[Beginn]"),"&lt;="&amp;C$1,INDIRECT("Table1[Ende]"),"&gt;="&amp;C$1,INDIRECT("Table1[Obergruppe ATC-Code]"),Tabelle3!$A13)</f>
        <v>0</v>
      </c>
      <c r="D13">
        <f ca="1">COUNTIFS(INDIRECT("Table1[Beginn]"),"&lt;="&amp;D$1,INDIRECT("Table1[Ende]"),"&gt;="&amp;D$1,INDIRECT("Table1[Obergruppe ATC-Code]"),Tabelle3!$A13)</f>
        <v>0</v>
      </c>
      <c r="E13">
        <f ca="1">COUNTIFS(INDIRECT("Table1[Beginn]"),"&lt;="&amp;E$1,INDIRECT("Table1[Ende]"),"&gt;="&amp;E$1,INDIRECT("Table1[Obergruppe ATC-Code]"),Tabelle3!$A13)</f>
        <v>0</v>
      </c>
      <c r="F13">
        <f ca="1">COUNTIFS(INDIRECT("Table1[Beginn]"),"&lt;="&amp;F$1,INDIRECT("Table1[Ende]"),"&gt;="&amp;F$1,INDIRECT("Table1[Obergruppe ATC-Code]"),Tabelle3!$A13)</f>
        <v>0</v>
      </c>
      <c r="G13">
        <f ca="1">COUNTIFS(INDIRECT("Table1[Beginn]"),"&lt;="&amp;G$1,INDIRECT("Table1[Ende]"),"&gt;="&amp;G$1,INDIRECT("Table1[Obergruppe ATC-Code]"),Tabelle3!$A13)</f>
        <v>0</v>
      </c>
      <c r="H13">
        <f ca="1">COUNTIFS(INDIRECT("Table1[Beginn]"),"&lt;="&amp;H$1,INDIRECT("Table1[Ende]"),"&gt;="&amp;H$1,INDIRECT("Table1[Obergruppe ATC-Code]"),Tabelle3!$A13)</f>
        <v>0</v>
      </c>
      <c r="I13">
        <f ca="1">COUNTIFS(INDIRECT("Table1[Beginn]"),"&lt;="&amp;I$1,INDIRECT("Table1[Ende]"),"&gt;="&amp;I$1,INDIRECT("Table1[Obergruppe ATC-Code]"),Tabelle3!$A13)</f>
        <v>0</v>
      </c>
      <c r="J13">
        <f ca="1">COUNTIFS(INDIRECT("Table1[Beginn]"),"&lt;="&amp;J$1,INDIRECT("Table1[Ende]"),"&gt;="&amp;J$1,INDIRECT("Table1[Obergruppe ATC-Code]"),Tabelle3!$A13)</f>
        <v>0</v>
      </c>
      <c r="K13">
        <f ca="1">COUNTIFS(INDIRECT("Table1[Beginn]"),"&lt;="&amp;K$1,INDIRECT("Table1[Ende]"),"&gt;="&amp;K$1,INDIRECT("Table1[Obergruppe ATC-Code]"),Tabelle3!$A13)</f>
        <v>0</v>
      </c>
      <c r="L13">
        <f ca="1">COUNTIFS(INDIRECT("Table1[Beginn]"),"&lt;="&amp;L$1,INDIRECT("Table1[Ende]"),"&gt;="&amp;L$1,INDIRECT("Table1[Obergruppe ATC-Code]"),Tabelle3!$A13)</f>
        <v>0</v>
      </c>
      <c r="M13">
        <f ca="1">COUNTIFS(INDIRECT("Table1[Beginn]"),"&lt;="&amp;M$1,INDIRECT("Table1[Ende]"),"&gt;="&amp;M$1,INDIRECT("Table1[Obergruppe ATC-Code]"),Tabelle3!$A13)</f>
        <v>0</v>
      </c>
      <c r="N13">
        <f ca="1">COUNTIFS(INDIRECT("Table1[Beginn]"),"&lt;="&amp;N$1,INDIRECT("Table1[Ende]"),"&gt;="&amp;N$1,INDIRECT("Table1[Obergruppe ATC-Code]"),Tabelle3!$A13)</f>
        <v>0</v>
      </c>
      <c r="O13">
        <f ca="1">COUNTIFS(INDIRECT("Table1[Beginn]"),"&lt;="&amp;O$1,INDIRECT("Table1[Ende]"),"&gt;="&amp;O$1,INDIRECT("Table1[Obergruppe ATC-Code]"),Tabelle3!$A13)</f>
        <v>0</v>
      </c>
      <c r="P13">
        <f ca="1">COUNTIFS(INDIRECT("Table1[Beginn]"),"&lt;="&amp;P$1,INDIRECT("Table1[Ende]"),"&gt;="&amp;P$1,INDIRECT("Table1[Obergruppe ATC-Code]"),Tabelle3!$A13)</f>
        <v>0</v>
      </c>
      <c r="Q13">
        <f ca="1">COUNTIFS(INDIRECT("Table1[Beginn]"),"&lt;="&amp;Q$1,INDIRECT("Table1[Ende]"),"&gt;="&amp;Q$1,INDIRECT("Table1[Obergruppe ATC-Code]"),Tabelle3!$A13)</f>
        <v>0</v>
      </c>
      <c r="R13">
        <f ca="1">COUNTIFS(INDIRECT("Table1[Beginn]"),"&lt;="&amp;R$1,INDIRECT("Table1[Ende]"),"&gt;="&amp;R$1,INDIRECT("Table1[Obergruppe ATC-Code]"),Tabelle3!$A13)</f>
        <v>0</v>
      </c>
      <c r="S13">
        <f ca="1">COUNTIFS(INDIRECT("Table1[Beginn]"),"&lt;="&amp;S$1,INDIRECT("Table1[Ende]"),"&gt;="&amp;S$1,INDIRECT("Table1[Obergruppe ATC-Code]"),Tabelle3!$A13)</f>
        <v>0</v>
      </c>
      <c r="T13">
        <f ca="1">COUNTIFS(INDIRECT("Table1[Beginn]"),"&lt;="&amp;T$1,INDIRECT("Table1[Ende]"),"&gt;="&amp;T$1,INDIRECT("Table1[Obergruppe ATC-Code]"),Tabelle3!$A13)</f>
        <v>0</v>
      </c>
      <c r="U13">
        <f ca="1">COUNTIFS(INDIRECT("Table1[Beginn]"),"&lt;="&amp;U$1,INDIRECT("Table1[Ende]"),"&gt;="&amp;U$1,INDIRECT("Table1[Obergruppe ATC-Code]"),Tabelle3!$A13)</f>
        <v>0</v>
      </c>
      <c r="V13">
        <f ca="1">COUNTIFS(INDIRECT("Table1[Beginn]"),"&lt;="&amp;V$1,INDIRECT("Table1[Ende]"),"&gt;="&amp;V$1,INDIRECT("Table1[Obergruppe ATC-Code]"),Tabelle3!$A13)</f>
        <v>0</v>
      </c>
      <c r="W13">
        <f ca="1">COUNTIFS(INDIRECT("Table1[Beginn]"),"&lt;="&amp;W$1,INDIRECT("Table1[Ende]"),"&gt;="&amp;W$1,INDIRECT("Table1[Obergruppe ATC-Code]"),Tabelle3!$A13)</f>
        <v>0</v>
      </c>
      <c r="X13">
        <f ca="1">COUNTIFS(INDIRECT("Table1[Beginn]"),"&lt;="&amp;X$1,INDIRECT("Table1[Ende]"),"&gt;="&amp;X$1,INDIRECT("Table1[Obergruppe ATC-Code]"),Tabelle3!$A13)</f>
        <v>0</v>
      </c>
      <c r="Y13">
        <f ca="1">COUNTIFS(INDIRECT("Table1[Beginn]"),"&lt;="&amp;Y$1,INDIRECT("Table1[Ende]"),"&gt;="&amp;Y$1,INDIRECT("Table1[Obergruppe ATC-Code]"),Tabelle3!$A13)</f>
        <v>0</v>
      </c>
      <c r="Z13">
        <f ca="1">COUNTIFS(INDIRECT("Table1[Beginn]"),"&lt;="&amp;Z$1,INDIRECT("Table1[Ende]"),"&gt;="&amp;Z$1,INDIRECT("Table1[Obergruppe ATC-Code]"),Tabelle3!$A13)</f>
        <v>0</v>
      </c>
      <c r="AA13">
        <f ca="1">COUNTIFS(INDIRECT("Table1[Beginn]"),"&lt;="&amp;AA$1,INDIRECT("Table1[Ende]"),"&gt;="&amp;AA$1,INDIRECT("Table1[Obergruppe ATC-Code]"),Tabelle3!$A13)</f>
        <v>0</v>
      </c>
      <c r="AB13">
        <f ca="1">COUNTIFS(INDIRECT("Table1[Beginn]"),"&lt;="&amp;AB$1,INDIRECT("Table1[Ende]"),"&gt;="&amp;AB$1,INDIRECT("Table1[Obergruppe ATC-Code]"),Tabelle3!$A13)</f>
        <v>0</v>
      </c>
      <c r="AC13">
        <f ca="1">COUNTIFS(INDIRECT("Table1[Beginn]"),"&lt;="&amp;AC$1,INDIRECT("Table1[Ende]"),"&gt;="&amp;AC$1,INDIRECT("Table1[Obergruppe ATC-Code]"),Tabelle3!$A13)</f>
        <v>0</v>
      </c>
      <c r="AD13">
        <f ca="1">COUNTIFS(INDIRECT("Table1[Beginn]"),"&lt;="&amp;AD$1,INDIRECT("Table1[Ende]"),"&gt;="&amp;AD$1,INDIRECT("Table1[Obergruppe ATC-Code]"),Tabelle3!$A13)</f>
        <v>0</v>
      </c>
      <c r="AE13">
        <f ca="1">COUNTIFS(INDIRECT("Table1[Beginn]"),"&lt;="&amp;AE$1,INDIRECT("Table1[Ende]"),"&gt;="&amp;AE$1,INDIRECT("Table1[Obergruppe ATC-Code]"),Tabelle3!$A13)</f>
        <v>0</v>
      </c>
      <c r="AF13">
        <f ca="1">COUNTIFS(INDIRECT("Table1[Beginn]"),"&lt;="&amp;AF$1,INDIRECT("Table1[Ende]"),"&gt;="&amp;AF$1,INDIRECT("Table1[Obergruppe ATC-Code]"),Tabelle3!$A13)</f>
        <v>0</v>
      </c>
      <c r="AG13">
        <f ca="1">COUNTIFS(INDIRECT("Table1[Beginn]"),"&lt;="&amp;AG$1,INDIRECT("Table1[Ende]"),"&gt;="&amp;AG$1,INDIRECT("Table1[Obergruppe ATC-Code]"),Tabelle3!$A13)</f>
        <v>0</v>
      </c>
      <c r="AH13">
        <f ca="1">COUNTIFS(INDIRECT("Table1[Beginn]"),"&lt;="&amp;AH$1,INDIRECT("Table1[Ende]"),"&gt;="&amp;AH$1,INDIRECT("Table1[Obergruppe ATC-Code]"),Tabelle3!$A13)</f>
        <v>0</v>
      </c>
      <c r="AI13">
        <f ca="1">COUNTIFS(INDIRECT("Table1[Beginn]"),"&lt;="&amp;AI$1,INDIRECT("Table1[Ende]"),"&gt;="&amp;AI$1,INDIRECT("Table1[Obergruppe ATC-Code]"),Tabelle3!$A13)</f>
        <v>0</v>
      </c>
      <c r="AJ13">
        <f ca="1">COUNTIFS(INDIRECT("Table1[Beginn]"),"&lt;="&amp;AJ$1,INDIRECT("Table1[Ende]"),"&gt;="&amp;AJ$1,INDIRECT("Table1[Obergruppe ATC-Code]"),Tabelle3!$A13)</f>
        <v>0</v>
      </c>
      <c r="AK13">
        <f ca="1">COUNTIFS(INDIRECT("Table1[Beginn]"),"&lt;="&amp;AK$1,INDIRECT("Table1[Ende]"),"&gt;="&amp;AK$1,INDIRECT("Table1[Obergruppe ATC-Code]"),Tabelle3!$A13)</f>
        <v>0</v>
      </c>
      <c r="AL13">
        <f ca="1">COUNTIFS(INDIRECT("Table1[Beginn]"),"&lt;="&amp;AL$1,INDIRECT("Table1[Ende]"),"&gt;="&amp;AL$1,INDIRECT("Table1[Obergruppe ATC-Code]"),Tabelle3!$A13)</f>
        <v>0</v>
      </c>
      <c r="AM13">
        <f ca="1">COUNTIFS(INDIRECT("Table1[Beginn]"),"&lt;="&amp;AM$1,INDIRECT("Table1[Ende]"),"&gt;="&amp;AM$1,INDIRECT("Table1[Obergruppe ATC-Code]"),Tabelle3!$A13)</f>
        <v>0</v>
      </c>
      <c r="AN13">
        <f ca="1">COUNTIFS(INDIRECT("Table1[Beginn]"),"&lt;="&amp;AN$1,INDIRECT("Table1[Ende]"),"&gt;="&amp;AN$1,INDIRECT("Table1[Obergruppe ATC-Code]"),Tabelle3!$A13)</f>
        <v>0</v>
      </c>
      <c r="AO13">
        <f ca="1">COUNTIFS(INDIRECT("Table1[Beginn]"),"&lt;="&amp;AO$1,INDIRECT("Table1[Ende]"),"&gt;="&amp;AO$1,INDIRECT("Table1[Obergruppe ATC-Code]"),Tabelle3!$A13)</f>
        <v>0</v>
      </c>
      <c r="AP13">
        <f ca="1">COUNTIFS(INDIRECT("Table1[Beginn]"),"&lt;="&amp;AP$1,INDIRECT("Table1[Ende]"),"&gt;="&amp;AP$1,INDIRECT("Table1[Obergruppe ATC-Code]"),Tabelle3!$A13)</f>
        <v>0</v>
      </c>
      <c r="AQ13">
        <f ca="1">COUNTIFS(INDIRECT("Table1[Beginn]"),"&lt;="&amp;AQ$1,INDIRECT("Table1[Ende]"),"&gt;="&amp;AQ$1,INDIRECT("Table1[Obergruppe ATC-Code]"),Tabelle3!$A13)</f>
        <v>0</v>
      </c>
      <c r="AR13">
        <f ca="1">COUNTIFS(INDIRECT("Table1[Beginn]"),"&lt;="&amp;AR$1,INDIRECT("Table1[Ende]"),"&gt;="&amp;AR$1,INDIRECT("Table1[Obergruppe ATC-Code]"),Tabelle3!$A13)</f>
        <v>0</v>
      </c>
      <c r="AS13">
        <f ca="1">COUNTIFS(INDIRECT("Table1[Beginn]"),"&lt;="&amp;AS$1,INDIRECT("Table1[Ende]"),"&gt;="&amp;AS$1,INDIRECT("Table1[Obergruppe ATC-Code]"),Tabelle3!$A13)</f>
        <v>0</v>
      </c>
      <c r="AT13">
        <f ca="1">COUNTIFS(INDIRECT("Table1[Beginn]"),"&lt;="&amp;AT$1,INDIRECT("Table1[Ende]"),"&gt;="&amp;AT$1,INDIRECT("Table1[Obergruppe ATC-Code]"),Tabelle3!$A13)</f>
        <v>0</v>
      </c>
      <c r="AU13">
        <f ca="1">COUNTIFS(INDIRECT("Table1[Beginn]"),"&lt;="&amp;AU$1,INDIRECT("Table1[Ende]"),"&gt;="&amp;AU$1,INDIRECT("Table1[Obergruppe ATC-Code]"),Tabelle3!$A13)</f>
        <v>0</v>
      </c>
      <c r="AV13">
        <f ca="1">COUNTIFS(INDIRECT("Table1[Beginn]"),"&lt;="&amp;AV$1,INDIRECT("Table1[Ende]"),"&gt;="&amp;AV$1,INDIRECT("Table1[Obergruppe ATC-Code]"),Tabelle3!$A13)</f>
        <v>0</v>
      </c>
      <c r="AW13">
        <f ca="1">COUNTIFS(INDIRECT("Table1[Beginn]"),"&lt;="&amp;AW$1,INDIRECT("Table1[Ende]"),"&gt;="&amp;AW$1,INDIRECT("Table1[Obergruppe ATC-Code]"),Tabelle3!$A13)</f>
        <v>0</v>
      </c>
      <c r="AX13">
        <f ca="1">COUNTIFS(INDIRECT("Table1[Beginn]"),"&lt;="&amp;AX$1,INDIRECT("Table1[Ende]"),"&gt;="&amp;AX$1,INDIRECT("Table1[Obergruppe ATC-Code]"),Tabelle3!$A13)</f>
        <v>0</v>
      </c>
      <c r="AY13">
        <f ca="1">COUNTIFS(INDIRECT("Table1[Beginn]"),"&lt;="&amp;AY$1,INDIRECT("Table1[Ende]"),"&gt;="&amp;AY$1,INDIRECT("Table1[Obergruppe ATC-Code]"),Tabelle3!$A13)</f>
        <v>0</v>
      </c>
      <c r="AZ13">
        <f ca="1">COUNTIFS(INDIRECT("Table1[Beginn]"),"&lt;="&amp;AZ$1,INDIRECT("Table1[Ende]"),"&gt;="&amp;AZ$1,INDIRECT("Table1[Obergruppe ATC-Code]"),Tabelle3!$A13)</f>
        <v>0</v>
      </c>
      <c r="BA13">
        <f ca="1">COUNTIFS(INDIRECT("Table1[Beginn]"),"&lt;="&amp;BA$1,INDIRECT("Table1[Ende]"),"&gt;="&amp;BA$1,INDIRECT("Table1[Obergruppe ATC-Code]"),Tabelle3!$A13)</f>
        <v>0</v>
      </c>
      <c r="BB13">
        <f ca="1">COUNTIFS(INDIRECT("Table1[Beginn]"),"&lt;="&amp;BB$1,INDIRECT("Table1[Ende]"),"&gt;="&amp;BB$1,INDIRECT("Table1[Obergruppe ATC-Code]"),Tabelle3!$A13)</f>
        <v>0</v>
      </c>
      <c r="BC13">
        <f ca="1">COUNTIFS(INDIRECT("Table1[Beginn]"),"&lt;="&amp;BC$1,INDIRECT("Table1[Ende]"),"&gt;="&amp;BC$1,INDIRECT("Table1[Obergruppe ATC-Code]"),Tabelle3!$A13)</f>
        <v>0</v>
      </c>
      <c r="BD13">
        <f ca="1">COUNTIFS(INDIRECT("Table1[Beginn]"),"&lt;="&amp;BD$1,INDIRECT("Table1[Ende]"),"&gt;="&amp;BD$1,INDIRECT("Table1[Obergruppe ATC-Code]"),Tabelle3!$A13)</f>
        <v>0</v>
      </c>
      <c r="BE13">
        <f ca="1">COUNTIFS(INDIRECT("Table1[Beginn]"),"&lt;="&amp;BE$1,INDIRECT("Table1[Ende]"),"&gt;="&amp;BE$1,INDIRECT("Table1[Obergruppe ATC-Code]"),Tabelle3!$A13)</f>
        <v>0</v>
      </c>
      <c r="BF13">
        <f ca="1">COUNTIFS(INDIRECT("Table1[Beginn]"),"&lt;="&amp;BF$1,INDIRECT("Table1[Ende]"),"&gt;="&amp;BF$1,INDIRECT("Table1[Obergruppe ATC-Code]"),Tabelle3!$A13)</f>
        <v>0</v>
      </c>
      <c r="BG13">
        <f ca="1">COUNTIFS(INDIRECT("Table1[Beginn]"),"&lt;="&amp;BG$1,INDIRECT("Table1[Ende]"),"&gt;="&amp;BG$1,INDIRECT("Table1[Obergruppe ATC-Code]"),Tabelle3!$A13)</f>
        <v>0</v>
      </c>
      <c r="BH13">
        <f ca="1">COUNTIFS(INDIRECT("Table1[Beginn]"),"&lt;="&amp;BH$1,INDIRECT("Table1[Ende]"),"&gt;="&amp;BH$1,INDIRECT("Table1[Obergruppe ATC-Code]"),Tabelle3!$A13)</f>
        <v>0</v>
      </c>
      <c r="BI13">
        <f ca="1">COUNTIFS(INDIRECT("Table1[Beginn]"),"&lt;="&amp;BI$1,INDIRECT("Table1[Ende]"),"&gt;="&amp;BI$1,INDIRECT("Table1[Obergruppe ATC-Code]"),Tabelle3!$A13)</f>
        <v>0</v>
      </c>
      <c r="BJ13">
        <f ca="1">COUNTIFS(INDIRECT("Table1[Beginn]"),"&lt;="&amp;BJ$1,INDIRECT("Table1[Ende]"),"&gt;="&amp;BJ$1,INDIRECT("Table1[Obergruppe ATC-Code]"),Tabelle3!$A13)</f>
        <v>0</v>
      </c>
      <c r="BK13">
        <f ca="1">COUNTIFS(INDIRECT("Table1[Beginn]"),"&lt;="&amp;BK$1,INDIRECT("Table1[Ende]"),"&gt;="&amp;BK$1,INDIRECT("Table1[Obergruppe ATC-Code]"),Tabelle3!$A13)</f>
        <v>0</v>
      </c>
      <c r="BL13">
        <f ca="1">COUNTIFS(INDIRECT("Table1[Beginn]"),"&lt;="&amp;BL$1,INDIRECT("Table1[Ende]"),"&gt;="&amp;BL$1,INDIRECT("Table1[Obergruppe ATC-Code]"),Tabelle3!$A13)</f>
        <v>0</v>
      </c>
      <c r="BM13">
        <f ca="1">COUNTIFS(INDIRECT("Table1[Beginn]"),"&lt;="&amp;BM$1,INDIRECT("Table1[Ende]"),"&gt;="&amp;BM$1,INDIRECT("Table1[Obergruppe ATC-Code]"),Tabelle3!$A13)</f>
        <v>0</v>
      </c>
      <c r="BN13">
        <f ca="1">COUNTIFS(INDIRECT("Table1[Beginn]"),"&lt;="&amp;BN$1,INDIRECT("Table1[Ende]"),"&gt;="&amp;BN$1,INDIRECT("Table1[Obergruppe ATC-Code]"),Tabelle3!$A13)</f>
        <v>0</v>
      </c>
      <c r="BO13">
        <f ca="1">COUNTIFS(INDIRECT("Table1[Beginn]"),"&lt;="&amp;BO$1,INDIRECT("Table1[Ende]"),"&gt;="&amp;BO$1,INDIRECT("Table1[Obergruppe ATC-Code]"),Tabelle3!$A13)</f>
        <v>1</v>
      </c>
      <c r="BP13">
        <f ca="1">COUNTIFS(INDIRECT("Table1[Beginn]"),"&lt;="&amp;BP$1,INDIRECT("Table1[Ende]"),"&gt;="&amp;BP$1,INDIRECT("Table1[Obergruppe ATC-Code]"),Tabelle3!$A13)</f>
        <v>1</v>
      </c>
      <c r="BQ13">
        <f ca="1">COUNTIFS(INDIRECT("Table1[Beginn]"),"&lt;="&amp;BQ$1,INDIRECT("Table1[Ende]"),"&gt;="&amp;BQ$1,INDIRECT("Table1[Obergruppe ATC-Code]"),Tabelle3!$A13)</f>
        <v>2</v>
      </c>
      <c r="BR13">
        <f ca="1">COUNTIFS(INDIRECT("Table1[Beginn]"),"&lt;="&amp;BR$1,INDIRECT("Table1[Ende]"),"&gt;="&amp;BR$1,INDIRECT("Table1[Obergruppe ATC-Code]"),Tabelle3!$A13)</f>
        <v>2</v>
      </c>
      <c r="BS13">
        <f ca="1">COUNTIFS(INDIRECT("Table1[Beginn]"),"&lt;="&amp;BS$1,INDIRECT("Table1[Ende]"),"&gt;="&amp;BS$1,INDIRECT("Table1[Obergruppe ATC-Code]"),Tabelle3!$A13)</f>
        <v>2</v>
      </c>
      <c r="BT13">
        <f ca="1">COUNTIFS(INDIRECT("Table1[Beginn]"),"&lt;="&amp;BT$1,INDIRECT("Table1[Ende]"),"&gt;="&amp;BT$1,INDIRECT("Table1[Obergruppe ATC-Code]"),Tabelle3!$A13)</f>
        <v>2</v>
      </c>
      <c r="BU13">
        <f ca="1">COUNTIFS(INDIRECT("Table1[Beginn]"),"&lt;="&amp;BU$1,INDIRECT("Table1[Ende]"),"&gt;="&amp;BU$1,INDIRECT("Table1[Obergruppe ATC-Code]"),Tabelle3!$A13)</f>
        <v>2</v>
      </c>
      <c r="BV13">
        <f ca="1">COUNTIFS(INDIRECT("Table1[Beginn]"),"&lt;="&amp;BV$1,INDIRECT("Table1[Ende]"),"&gt;="&amp;BV$1,INDIRECT("Table1[Obergruppe ATC-Code]"),Tabelle3!$A13)</f>
        <v>2</v>
      </c>
      <c r="BW13">
        <f ca="1">COUNTIFS(INDIRECT("Table1[Beginn]"),"&lt;="&amp;BW$1,INDIRECT("Table1[Ende]"),"&gt;="&amp;BW$1,INDIRECT("Table1[Obergruppe ATC-Code]"),Tabelle3!$A13)</f>
        <v>2</v>
      </c>
      <c r="BX13">
        <f ca="1">COUNTIFS(INDIRECT("Table1[Beginn]"),"&lt;="&amp;BX$1,INDIRECT("Table1[Ende]"),"&gt;="&amp;BX$1,INDIRECT("Table1[Obergruppe ATC-Code]"),Tabelle3!$A13)</f>
        <v>2</v>
      </c>
      <c r="BY13">
        <f ca="1">COUNTIFS(INDIRECT("Table1[Beginn]"),"&lt;="&amp;BY$1,INDIRECT("Table1[Ende]"),"&gt;="&amp;BY$1,INDIRECT("Table1[Obergruppe ATC-Code]"),Tabelle3!$A13)</f>
        <v>2</v>
      </c>
      <c r="BZ13">
        <f ca="1">COUNTIFS(INDIRECT("Table1[Beginn]"),"&lt;="&amp;BZ$1,INDIRECT("Table1[Ende]"),"&gt;="&amp;BZ$1,INDIRECT("Table1[Obergruppe ATC-Code]"),Tabelle3!$A13)</f>
        <v>2</v>
      </c>
      <c r="CA13">
        <f ca="1">COUNTIFS(INDIRECT("Table1[Beginn]"),"&lt;="&amp;CA$1,INDIRECT("Table1[Ende]"),"&gt;="&amp;CA$1,INDIRECT("Table1[Obergruppe ATC-Code]"),Tabelle3!$A13)</f>
        <v>2</v>
      </c>
      <c r="CB13">
        <f ca="1">COUNTIFS(INDIRECT("Table1[Beginn]"),"&lt;="&amp;CB$1,INDIRECT("Table1[Ende]"),"&gt;="&amp;CB$1,INDIRECT("Table1[Obergruppe ATC-Code]"),Tabelle3!$A13)</f>
        <v>2</v>
      </c>
      <c r="CC13">
        <f ca="1">COUNTIFS(INDIRECT("Table1[Beginn]"),"&lt;="&amp;CC$1,INDIRECT("Table1[Ende]"),"&gt;="&amp;CC$1,INDIRECT("Table1[Obergruppe ATC-Code]"),Tabelle3!$A13)</f>
        <v>2</v>
      </c>
      <c r="CD13">
        <f ca="1">COUNTIFS(INDIRECT("Table1[Beginn]"),"&lt;="&amp;CD$1,INDIRECT("Table1[Ende]"),"&gt;="&amp;CD$1,INDIRECT("Table1[Obergruppe ATC-Code]"),Tabelle3!$A13)</f>
        <v>2</v>
      </c>
      <c r="CE13">
        <f ca="1">COUNTIFS(INDIRECT("Table1[Beginn]"),"&lt;="&amp;CE$1,INDIRECT("Table1[Ende]"),"&gt;="&amp;CE$1,INDIRECT("Table1[Obergruppe ATC-Code]"),Tabelle3!$A13)</f>
        <v>2</v>
      </c>
      <c r="CF13">
        <f ca="1">COUNTIFS(INDIRECT("Table1[Beginn]"),"&lt;="&amp;CF$1,INDIRECT("Table1[Ende]"),"&gt;="&amp;CF$1,INDIRECT("Table1[Obergruppe ATC-Code]"),Tabelle3!$A13)</f>
        <v>2</v>
      </c>
      <c r="CG13">
        <f ca="1">COUNTIFS(INDIRECT("Table1[Beginn]"),"&lt;="&amp;CG$1,INDIRECT("Table1[Ende]"),"&gt;="&amp;CG$1,INDIRECT("Table1[Obergruppe ATC-Code]"),Tabelle3!$A13)</f>
        <v>0</v>
      </c>
      <c r="CH13">
        <f ca="1">COUNTIFS(INDIRECT("Table1[Beginn]"),"&lt;="&amp;CH$1,INDIRECT("Table1[Ende]"),"&gt;="&amp;CH$1,INDIRECT("Table1[Obergruppe ATC-Code]"),Tabelle3!$A13)</f>
        <v>0</v>
      </c>
      <c r="CI13">
        <f ca="1">COUNTIFS(INDIRECT("Table1[Beginn]"),"&lt;="&amp;CI$1,INDIRECT("Table1[Ende]"),"&gt;="&amp;CI$1,INDIRECT("Table1[Obergruppe ATC-Code]"),Tabelle3!$A13)</f>
        <v>0</v>
      </c>
      <c r="CJ13">
        <f ca="1">COUNTIFS(INDIRECT("Table1[Beginn]"),"&lt;="&amp;CJ$1,INDIRECT("Table1[Ende]"),"&gt;="&amp;CJ$1,INDIRECT("Table1[Obergruppe ATC-Code]"),Tabelle3!$A13)</f>
        <v>0</v>
      </c>
      <c r="CK13">
        <f ca="1">COUNTIFS(INDIRECT("Table1[Beginn]"),"&lt;="&amp;CK$1,INDIRECT("Table1[Ende]"),"&gt;="&amp;CK$1,INDIRECT("Table1[Obergruppe ATC-Code]"),Tabelle3!$A13)</f>
        <v>0</v>
      </c>
      <c r="CL13">
        <f ca="1">COUNTIFS(INDIRECT("Table1[Beginn]"),"&lt;="&amp;CL$1,INDIRECT("Table1[Ende]"),"&gt;="&amp;CL$1,INDIRECT("Table1[Obergruppe ATC-Code]"),Tabelle3!$A13)</f>
        <v>0</v>
      </c>
      <c r="CM13">
        <f ca="1">COUNTIFS(INDIRECT("Table1[Beginn]"),"&lt;="&amp;CM$1,INDIRECT("Table1[Ende]"),"&gt;="&amp;CM$1,INDIRECT("Table1[Obergruppe ATC-Code]"),Tabelle3!$A13)</f>
        <v>0</v>
      </c>
      <c r="CN13">
        <f ca="1">COUNTIFS(INDIRECT("Table1[Beginn]"),"&lt;="&amp;CN$1,INDIRECT("Table1[Ende]"),"&gt;="&amp;CN$1,INDIRECT("Table1[Obergruppe ATC-Code]"),Tabelle3!$A13)</f>
        <v>0</v>
      </c>
      <c r="CO13">
        <f ca="1">COUNTIFS(INDIRECT("Table1[Beginn]"),"&lt;="&amp;CO$1,INDIRECT("Table1[Ende]"),"&gt;="&amp;CO$1,INDIRECT("Table1[Obergruppe ATC-Code]"),Tabelle3!$A13)</f>
        <v>0</v>
      </c>
      <c r="CP13">
        <f ca="1">COUNTIFS(INDIRECT("Table1[Beginn]"),"&lt;="&amp;CP$1,INDIRECT("Table1[Ende]"),"&gt;="&amp;CP$1,INDIRECT("Table1[Obergruppe ATC-Code]"),Tabelle3!$A13)</f>
        <v>0</v>
      </c>
      <c r="CQ13">
        <f ca="1">COUNTIFS(INDIRECT("Table1[Beginn]"),"&lt;="&amp;CQ$1,INDIRECT("Table1[Ende]"),"&gt;="&amp;CQ$1,INDIRECT("Table1[Obergruppe ATC-Code]"),Tabelle3!$A13)</f>
        <v>0</v>
      </c>
      <c r="CR13">
        <f ca="1">COUNTIFS(INDIRECT("Table1[Beginn]"),"&lt;="&amp;CR$1,INDIRECT("Table1[Ende]"),"&gt;="&amp;CR$1,INDIRECT("Table1[Obergruppe ATC-Code]"),Tabelle3!$A13)</f>
        <v>0</v>
      </c>
    </row>
    <row r="14" spans="1:96" ht="18">
      <c r="A14" s="7" t="s">
        <v>6796</v>
      </c>
      <c r="B14" s="8" t="s">
        <v>6797</v>
      </c>
      <c r="C14">
        <f ca="1">COUNTIFS(INDIRECT("Table1[Beginn]"),"&lt;="&amp;C$1,INDIRECT("Table1[Ende]"),"&gt;="&amp;C$1,INDIRECT("Table1[Obergruppe ATC-Code]"),Tabelle3!$A14)</f>
        <v>0</v>
      </c>
      <c r="D14">
        <f ca="1">COUNTIFS(INDIRECT("Table1[Beginn]"),"&lt;="&amp;D$1,INDIRECT("Table1[Ende]"),"&gt;="&amp;D$1,INDIRECT("Table1[Obergruppe ATC-Code]"),Tabelle3!$A14)</f>
        <v>0</v>
      </c>
      <c r="E14">
        <f ca="1">COUNTIFS(INDIRECT("Table1[Beginn]"),"&lt;="&amp;E$1,INDIRECT("Table1[Ende]"),"&gt;="&amp;E$1,INDIRECT("Table1[Obergruppe ATC-Code]"),Tabelle3!$A14)</f>
        <v>0</v>
      </c>
      <c r="F14">
        <f ca="1">COUNTIFS(INDIRECT("Table1[Beginn]"),"&lt;="&amp;F$1,INDIRECT("Table1[Ende]"),"&gt;="&amp;F$1,INDIRECT("Table1[Obergruppe ATC-Code]"),Tabelle3!$A14)</f>
        <v>0</v>
      </c>
      <c r="G14">
        <f ca="1">COUNTIFS(INDIRECT("Table1[Beginn]"),"&lt;="&amp;G$1,INDIRECT("Table1[Ende]"),"&gt;="&amp;G$1,INDIRECT("Table1[Obergruppe ATC-Code]"),Tabelle3!$A14)</f>
        <v>0</v>
      </c>
      <c r="H14">
        <f ca="1">COUNTIFS(INDIRECT("Table1[Beginn]"),"&lt;="&amp;H$1,INDIRECT("Table1[Ende]"),"&gt;="&amp;H$1,INDIRECT("Table1[Obergruppe ATC-Code]"),Tabelle3!$A14)</f>
        <v>0</v>
      </c>
      <c r="I14">
        <f ca="1">COUNTIFS(INDIRECT("Table1[Beginn]"),"&lt;="&amp;I$1,INDIRECT("Table1[Ende]"),"&gt;="&amp;I$1,INDIRECT("Table1[Obergruppe ATC-Code]"),Tabelle3!$A14)</f>
        <v>0</v>
      </c>
      <c r="J14">
        <f ca="1">COUNTIFS(INDIRECT("Table1[Beginn]"),"&lt;="&amp;J$1,INDIRECT("Table1[Ende]"),"&gt;="&amp;J$1,INDIRECT("Table1[Obergruppe ATC-Code]"),Tabelle3!$A14)</f>
        <v>0</v>
      </c>
      <c r="K14">
        <f ca="1">COUNTIFS(INDIRECT("Table1[Beginn]"),"&lt;="&amp;K$1,INDIRECT("Table1[Ende]"),"&gt;="&amp;K$1,INDIRECT("Table1[Obergruppe ATC-Code]"),Tabelle3!$A14)</f>
        <v>0</v>
      </c>
      <c r="L14">
        <f ca="1">COUNTIFS(INDIRECT("Table1[Beginn]"),"&lt;="&amp;L$1,INDIRECT("Table1[Ende]"),"&gt;="&amp;L$1,INDIRECT("Table1[Obergruppe ATC-Code]"),Tabelle3!$A14)</f>
        <v>0</v>
      </c>
      <c r="M14">
        <f ca="1">COUNTIFS(INDIRECT("Table1[Beginn]"),"&lt;="&amp;M$1,INDIRECT("Table1[Ende]"),"&gt;="&amp;M$1,INDIRECT("Table1[Obergruppe ATC-Code]"),Tabelle3!$A14)</f>
        <v>0</v>
      </c>
      <c r="N14">
        <f ca="1">COUNTIFS(INDIRECT("Table1[Beginn]"),"&lt;="&amp;N$1,INDIRECT("Table1[Ende]"),"&gt;="&amp;N$1,INDIRECT("Table1[Obergruppe ATC-Code]"),Tabelle3!$A14)</f>
        <v>0</v>
      </c>
      <c r="O14">
        <f ca="1">COUNTIFS(INDIRECT("Table1[Beginn]"),"&lt;="&amp;O$1,INDIRECT("Table1[Ende]"),"&gt;="&amp;O$1,INDIRECT("Table1[Obergruppe ATC-Code]"),Tabelle3!$A14)</f>
        <v>0</v>
      </c>
      <c r="P14">
        <f ca="1">COUNTIFS(INDIRECT("Table1[Beginn]"),"&lt;="&amp;P$1,INDIRECT("Table1[Ende]"),"&gt;="&amp;P$1,INDIRECT("Table1[Obergruppe ATC-Code]"),Tabelle3!$A14)</f>
        <v>0</v>
      </c>
      <c r="Q14">
        <f ca="1">COUNTIFS(INDIRECT("Table1[Beginn]"),"&lt;="&amp;Q$1,INDIRECT("Table1[Ende]"),"&gt;="&amp;Q$1,INDIRECT("Table1[Obergruppe ATC-Code]"),Tabelle3!$A14)</f>
        <v>0</v>
      </c>
      <c r="R14">
        <f ca="1">COUNTIFS(INDIRECT("Table1[Beginn]"),"&lt;="&amp;R$1,INDIRECT("Table1[Ende]"),"&gt;="&amp;R$1,INDIRECT("Table1[Obergruppe ATC-Code]"),Tabelle3!$A14)</f>
        <v>0</v>
      </c>
      <c r="S14">
        <f ca="1">COUNTIFS(INDIRECT("Table1[Beginn]"),"&lt;="&amp;S$1,INDIRECT("Table1[Ende]"),"&gt;="&amp;S$1,INDIRECT("Table1[Obergruppe ATC-Code]"),Tabelle3!$A14)</f>
        <v>0</v>
      </c>
      <c r="T14">
        <f ca="1">COUNTIFS(INDIRECT("Table1[Beginn]"),"&lt;="&amp;T$1,INDIRECT("Table1[Ende]"),"&gt;="&amp;T$1,INDIRECT("Table1[Obergruppe ATC-Code]"),Tabelle3!$A14)</f>
        <v>0</v>
      </c>
      <c r="U14">
        <f ca="1">COUNTIFS(INDIRECT("Table1[Beginn]"),"&lt;="&amp;U$1,INDIRECT("Table1[Ende]"),"&gt;="&amp;U$1,INDIRECT("Table1[Obergruppe ATC-Code]"),Tabelle3!$A14)</f>
        <v>0</v>
      </c>
      <c r="V14">
        <f ca="1">COUNTIFS(INDIRECT("Table1[Beginn]"),"&lt;="&amp;V$1,INDIRECT("Table1[Ende]"),"&gt;="&amp;V$1,INDIRECT("Table1[Obergruppe ATC-Code]"),Tabelle3!$A14)</f>
        <v>0</v>
      </c>
      <c r="W14">
        <f ca="1">COUNTIFS(INDIRECT("Table1[Beginn]"),"&lt;="&amp;W$1,INDIRECT("Table1[Ende]"),"&gt;="&amp;W$1,INDIRECT("Table1[Obergruppe ATC-Code]"),Tabelle3!$A14)</f>
        <v>0</v>
      </c>
      <c r="X14">
        <f ca="1">COUNTIFS(INDIRECT("Table1[Beginn]"),"&lt;="&amp;X$1,INDIRECT("Table1[Ende]"),"&gt;="&amp;X$1,INDIRECT("Table1[Obergruppe ATC-Code]"),Tabelle3!$A14)</f>
        <v>0</v>
      </c>
      <c r="Y14">
        <f ca="1">COUNTIFS(INDIRECT("Table1[Beginn]"),"&lt;="&amp;Y$1,INDIRECT("Table1[Ende]"),"&gt;="&amp;Y$1,INDIRECT("Table1[Obergruppe ATC-Code]"),Tabelle3!$A14)</f>
        <v>0</v>
      </c>
      <c r="Z14">
        <f ca="1">COUNTIFS(INDIRECT("Table1[Beginn]"),"&lt;="&amp;Z$1,INDIRECT("Table1[Ende]"),"&gt;="&amp;Z$1,INDIRECT("Table1[Obergruppe ATC-Code]"),Tabelle3!$A14)</f>
        <v>0</v>
      </c>
      <c r="AA14">
        <f ca="1">COUNTIFS(INDIRECT("Table1[Beginn]"),"&lt;="&amp;AA$1,INDIRECT("Table1[Ende]"),"&gt;="&amp;AA$1,INDIRECT("Table1[Obergruppe ATC-Code]"),Tabelle3!$A14)</f>
        <v>0</v>
      </c>
      <c r="AB14">
        <f ca="1">COUNTIFS(INDIRECT("Table1[Beginn]"),"&lt;="&amp;AB$1,INDIRECT("Table1[Ende]"),"&gt;="&amp;AB$1,INDIRECT("Table1[Obergruppe ATC-Code]"),Tabelle3!$A14)</f>
        <v>0</v>
      </c>
      <c r="AC14">
        <f ca="1">COUNTIFS(INDIRECT("Table1[Beginn]"),"&lt;="&amp;AC$1,INDIRECT("Table1[Ende]"),"&gt;="&amp;AC$1,INDIRECT("Table1[Obergruppe ATC-Code]"),Tabelle3!$A14)</f>
        <v>0</v>
      </c>
      <c r="AD14">
        <f ca="1">COUNTIFS(INDIRECT("Table1[Beginn]"),"&lt;="&amp;AD$1,INDIRECT("Table1[Ende]"),"&gt;="&amp;AD$1,INDIRECT("Table1[Obergruppe ATC-Code]"),Tabelle3!$A14)</f>
        <v>0</v>
      </c>
      <c r="AE14">
        <f ca="1">COUNTIFS(INDIRECT("Table1[Beginn]"),"&lt;="&amp;AE$1,INDIRECT("Table1[Ende]"),"&gt;="&amp;AE$1,INDIRECT("Table1[Obergruppe ATC-Code]"),Tabelle3!$A14)</f>
        <v>0</v>
      </c>
      <c r="AF14">
        <f ca="1">COUNTIFS(INDIRECT("Table1[Beginn]"),"&lt;="&amp;AF$1,INDIRECT("Table1[Ende]"),"&gt;="&amp;AF$1,INDIRECT("Table1[Obergruppe ATC-Code]"),Tabelle3!$A14)</f>
        <v>0</v>
      </c>
      <c r="AG14">
        <f ca="1">COUNTIFS(INDIRECT("Table1[Beginn]"),"&lt;="&amp;AG$1,INDIRECT("Table1[Ende]"),"&gt;="&amp;AG$1,INDIRECT("Table1[Obergruppe ATC-Code]"),Tabelle3!$A14)</f>
        <v>0</v>
      </c>
      <c r="AH14">
        <f ca="1">COUNTIFS(INDIRECT("Table1[Beginn]"),"&lt;="&amp;AH$1,INDIRECT("Table1[Ende]"),"&gt;="&amp;AH$1,INDIRECT("Table1[Obergruppe ATC-Code]"),Tabelle3!$A14)</f>
        <v>0</v>
      </c>
      <c r="AI14">
        <f ca="1">COUNTIFS(INDIRECT("Table1[Beginn]"),"&lt;="&amp;AI$1,INDIRECT("Table1[Ende]"),"&gt;="&amp;AI$1,INDIRECT("Table1[Obergruppe ATC-Code]"),Tabelle3!$A14)</f>
        <v>0</v>
      </c>
      <c r="AJ14">
        <f ca="1">COUNTIFS(INDIRECT("Table1[Beginn]"),"&lt;="&amp;AJ$1,INDIRECT("Table1[Ende]"),"&gt;="&amp;AJ$1,INDIRECT("Table1[Obergruppe ATC-Code]"),Tabelle3!$A14)</f>
        <v>0</v>
      </c>
      <c r="AK14">
        <f ca="1">COUNTIFS(INDIRECT("Table1[Beginn]"),"&lt;="&amp;AK$1,INDIRECT("Table1[Ende]"),"&gt;="&amp;AK$1,INDIRECT("Table1[Obergruppe ATC-Code]"),Tabelle3!$A14)</f>
        <v>0</v>
      </c>
      <c r="AL14">
        <f ca="1">COUNTIFS(INDIRECT("Table1[Beginn]"),"&lt;="&amp;AL$1,INDIRECT("Table1[Ende]"),"&gt;="&amp;AL$1,INDIRECT("Table1[Obergruppe ATC-Code]"),Tabelle3!$A14)</f>
        <v>0</v>
      </c>
      <c r="AM14">
        <f ca="1">COUNTIFS(INDIRECT("Table1[Beginn]"),"&lt;="&amp;AM$1,INDIRECT("Table1[Ende]"),"&gt;="&amp;AM$1,INDIRECT("Table1[Obergruppe ATC-Code]"),Tabelle3!$A14)</f>
        <v>0</v>
      </c>
      <c r="AN14">
        <f ca="1">COUNTIFS(INDIRECT("Table1[Beginn]"),"&lt;="&amp;AN$1,INDIRECT("Table1[Ende]"),"&gt;="&amp;AN$1,INDIRECT("Table1[Obergruppe ATC-Code]"),Tabelle3!$A14)</f>
        <v>0</v>
      </c>
      <c r="AO14">
        <f ca="1">COUNTIFS(INDIRECT("Table1[Beginn]"),"&lt;="&amp;AO$1,INDIRECT("Table1[Ende]"),"&gt;="&amp;AO$1,INDIRECT("Table1[Obergruppe ATC-Code]"),Tabelle3!$A14)</f>
        <v>0</v>
      </c>
      <c r="AP14">
        <f ca="1">COUNTIFS(INDIRECT("Table1[Beginn]"),"&lt;="&amp;AP$1,INDIRECT("Table1[Ende]"),"&gt;="&amp;AP$1,INDIRECT("Table1[Obergruppe ATC-Code]"),Tabelle3!$A14)</f>
        <v>0</v>
      </c>
      <c r="AQ14">
        <f ca="1">COUNTIFS(INDIRECT("Table1[Beginn]"),"&lt;="&amp;AQ$1,INDIRECT("Table1[Ende]"),"&gt;="&amp;AQ$1,INDIRECT("Table1[Obergruppe ATC-Code]"),Tabelle3!$A14)</f>
        <v>0</v>
      </c>
      <c r="AR14">
        <f ca="1">COUNTIFS(INDIRECT("Table1[Beginn]"),"&lt;="&amp;AR$1,INDIRECT("Table1[Ende]"),"&gt;="&amp;AR$1,INDIRECT("Table1[Obergruppe ATC-Code]"),Tabelle3!$A14)</f>
        <v>0</v>
      </c>
      <c r="AS14">
        <f ca="1">COUNTIFS(INDIRECT("Table1[Beginn]"),"&lt;="&amp;AS$1,INDIRECT("Table1[Ende]"),"&gt;="&amp;AS$1,INDIRECT("Table1[Obergruppe ATC-Code]"),Tabelle3!$A14)</f>
        <v>0</v>
      </c>
      <c r="AT14">
        <f ca="1">COUNTIFS(INDIRECT("Table1[Beginn]"),"&lt;="&amp;AT$1,INDIRECT("Table1[Ende]"),"&gt;="&amp;AT$1,INDIRECT("Table1[Obergruppe ATC-Code]"),Tabelle3!$A14)</f>
        <v>0</v>
      </c>
      <c r="AU14">
        <f ca="1">COUNTIFS(INDIRECT("Table1[Beginn]"),"&lt;="&amp;AU$1,INDIRECT("Table1[Ende]"),"&gt;="&amp;AU$1,INDIRECT("Table1[Obergruppe ATC-Code]"),Tabelle3!$A14)</f>
        <v>0</v>
      </c>
      <c r="AV14">
        <f ca="1">COUNTIFS(INDIRECT("Table1[Beginn]"),"&lt;="&amp;AV$1,INDIRECT("Table1[Ende]"),"&gt;="&amp;AV$1,INDIRECT("Table1[Obergruppe ATC-Code]"),Tabelle3!$A14)</f>
        <v>0</v>
      </c>
      <c r="AW14">
        <f ca="1">COUNTIFS(INDIRECT("Table1[Beginn]"),"&lt;="&amp;AW$1,INDIRECT("Table1[Ende]"),"&gt;="&amp;AW$1,INDIRECT("Table1[Obergruppe ATC-Code]"),Tabelle3!$A14)</f>
        <v>0</v>
      </c>
      <c r="AX14">
        <f ca="1">COUNTIFS(INDIRECT("Table1[Beginn]"),"&lt;="&amp;AX$1,INDIRECT("Table1[Ende]"),"&gt;="&amp;AX$1,INDIRECT("Table1[Obergruppe ATC-Code]"),Tabelle3!$A14)</f>
        <v>0</v>
      </c>
      <c r="AY14">
        <f ca="1">COUNTIFS(INDIRECT("Table1[Beginn]"),"&lt;="&amp;AY$1,INDIRECT("Table1[Ende]"),"&gt;="&amp;AY$1,INDIRECT("Table1[Obergruppe ATC-Code]"),Tabelle3!$A14)</f>
        <v>0</v>
      </c>
      <c r="AZ14">
        <f ca="1">COUNTIFS(INDIRECT("Table1[Beginn]"),"&lt;="&amp;AZ$1,INDIRECT("Table1[Ende]"),"&gt;="&amp;AZ$1,INDIRECT("Table1[Obergruppe ATC-Code]"),Tabelle3!$A14)</f>
        <v>0</v>
      </c>
      <c r="BA14">
        <f ca="1">COUNTIFS(INDIRECT("Table1[Beginn]"),"&lt;="&amp;BA$1,INDIRECT("Table1[Ende]"),"&gt;="&amp;BA$1,INDIRECT("Table1[Obergruppe ATC-Code]"),Tabelle3!$A14)</f>
        <v>0</v>
      </c>
      <c r="BB14">
        <f ca="1">COUNTIFS(INDIRECT("Table1[Beginn]"),"&lt;="&amp;BB$1,INDIRECT("Table1[Ende]"),"&gt;="&amp;BB$1,INDIRECT("Table1[Obergruppe ATC-Code]"),Tabelle3!$A14)</f>
        <v>0</v>
      </c>
      <c r="BC14">
        <f ca="1">COUNTIFS(INDIRECT("Table1[Beginn]"),"&lt;="&amp;BC$1,INDIRECT("Table1[Ende]"),"&gt;="&amp;BC$1,INDIRECT("Table1[Obergruppe ATC-Code]"),Tabelle3!$A14)</f>
        <v>0</v>
      </c>
      <c r="BD14">
        <f ca="1">COUNTIFS(INDIRECT("Table1[Beginn]"),"&lt;="&amp;BD$1,INDIRECT("Table1[Ende]"),"&gt;="&amp;BD$1,INDIRECT("Table1[Obergruppe ATC-Code]"),Tabelle3!$A14)</f>
        <v>0</v>
      </c>
      <c r="BE14">
        <f ca="1">COUNTIFS(INDIRECT("Table1[Beginn]"),"&lt;="&amp;BE$1,INDIRECT("Table1[Ende]"),"&gt;="&amp;BE$1,INDIRECT("Table1[Obergruppe ATC-Code]"),Tabelle3!$A14)</f>
        <v>0</v>
      </c>
      <c r="BF14">
        <f ca="1">COUNTIFS(INDIRECT("Table1[Beginn]"),"&lt;="&amp;BF$1,INDIRECT("Table1[Ende]"),"&gt;="&amp;BF$1,INDIRECT("Table1[Obergruppe ATC-Code]"),Tabelle3!$A14)</f>
        <v>0</v>
      </c>
      <c r="BG14">
        <f ca="1">COUNTIFS(INDIRECT("Table1[Beginn]"),"&lt;="&amp;BG$1,INDIRECT("Table1[Ende]"),"&gt;="&amp;BG$1,INDIRECT("Table1[Obergruppe ATC-Code]"),Tabelle3!$A14)</f>
        <v>0</v>
      </c>
      <c r="BH14">
        <f ca="1">COUNTIFS(INDIRECT("Table1[Beginn]"),"&lt;="&amp;BH$1,INDIRECT("Table1[Ende]"),"&gt;="&amp;BH$1,INDIRECT("Table1[Obergruppe ATC-Code]"),Tabelle3!$A14)</f>
        <v>0</v>
      </c>
      <c r="BI14">
        <f ca="1">COUNTIFS(INDIRECT("Table1[Beginn]"),"&lt;="&amp;BI$1,INDIRECT("Table1[Ende]"),"&gt;="&amp;BI$1,INDIRECT("Table1[Obergruppe ATC-Code]"),Tabelle3!$A14)</f>
        <v>0</v>
      </c>
      <c r="BJ14">
        <f ca="1">COUNTIFS(INDIRECT("Table1[Beginn]"),"&lt;="&amp;BJ$1,INDIRECT("Table1[Ende]"),"&gt;="&amp;BJ$1,INDIRECT("Table1[Obergruppe ATC-Code]"),Tabelle3!$A14)</f>
        <v>0</v>
      </c>
      <c r="BK14">
        <f ca="1">COUNTIFS(INDIRECT("Table1[Beginn]"),"&lt;="&amp;BK$1,INDIRECT("Table1[Ende]"),"&gt;="&amp;BK$1,INDIRECT("Table1[Obergruppe ATC-Code]"),Tabelle3!$A14)</f>
        <v>0</v>
      </c>
      <c r="BL14">
        <f ca="1">COUNTIFS(INDIRECT("Table1[Beginn]"),"&lt;="&amp;BL$1,INDIRECT("Table1[Ende]"),"&gt;="&amp;BL$1,INDIRECT("Table1[Obergruppe ATC-Code]"),Tabelle3!$A14)</f>
        <v>0</v>
      </c>
      <c r="BM14">
        <f ca="1">COUNTIFS(INDIRECT("Table1[Beginn]"),"&lt;="&amp;BM$1,INDIRECT("Table1[Ende]"),"&gt;="&amp;BM$1,INDIRECT("Table1[Obergruppe ATC-Code]"),Tabelle3!$A14)</f>
        <v>0</v>
      </c>
      <c r="BN14">
        <f ca="1">COUNTIFS(INDIRECT("Table1[Beginn]"),"&lt;="&amp;BN$1,INDIRECT("Table1[Ende]"),"&gt;="&amp;BN$1,INDIRECT("Table1[Obergruppe ATC-Code]"),Tabelle3!$A14)</f>
        <v>0</v>
      </c>
      <c r="BO14">
        <f ca="1">COUNTIFS(INDIRECT("Table1[Beginn]"),"&lt;="&amp;BO$1,INDIRECT("Table1[Ende]"),"&gt;="&amp;BO$1,INDIRECT("Table1[Obergruppe ATC-Code]"),Tabelle3!$A14)</f>
        <v>0</v>
      </c>
      <c r="BP14">
        <f ca="1">COUNTIFS(INDIRECT("Table1[Beginn]"),"&lt;="&amp;BP$1,INDIRECT("Table1[Ende]"),"&gt;="&amp;BP$1,INDIRECT("Table1[Obergruppe ATC-Code]"),Tabelle3!$A14)</f>
        <v>0</v>
      </c>
      <c r="BQ14">
        <f ca="1">COUNTIFS(INDIRECT("Table1[Beginn]"),"&lt;="&amp;BQ$1,INDIRECT("Table1[Ende]"),"&gt;="&amp;BQ$1,INDIRECT("Table1[Obergruppe ATC-Code]"),Tabelle3!$A14)</f>
        <v>0</v>
      </c>
      <c r="BR14">
        <f ca="1">COUNTIFS(INDIRECT("Table1[Beginn]"),"&lt;="&amp;BR$1,INDIRECT("Table1[Ende]"),"&gt;="&amp;BR$1,INDIRECT("Table1[Obergruppe ATC-Code]"),Tabelle3!$A14)</f>
        <v>0</v>
      </c>
      <c r="BS14">
        <f ca="1">COUNTIFS(INDIRECT("Table1[Beginn]"),"&lt;="&amp;BS$1,INDIRECT("Table1[Ende]"),"&gt;="&amp;BS$1,INDIRECT("Table1[Obergruppe ATC-Code]"),Tabelle3!$A14)</f>
        <v>0</v>
      </c>
      <c r="BT14">
        <f ca="1">COUNTIFS(INDIRECT("Table1[Beginn]"),"&lt;="&amp;BT$1,INDIRECT("Table1[Ende]"),"&gt;="&amp;BT$1,INDIRECT("Table1[Obergruppe ATC-Code]"),Tabelle3!$A14)</f>
        <v>0</v>
      </c>
      <c r="BU14">
        <f ca="1">COUNTIFS(INDIRECT("Table1[Beginn]"),"&lt;="&amp;BU$1,INDIRECT("Table1[Ende]"),"&gt;="&amp;BU$1,INDIRECT("Table1[Obergruppe ATC-Code]"),Tabelle3!$A14)</f>
        <v>0</v>
      </c>
      <c r="BV14">
        <f ca="1">COUNTIFS(INDIRECT("Table1[Beginn]"),"&lt;="&amp;BV$1,INDIRECT("Table1[Ende]"),"&gt;="&amp;BV$1,INDIRECT("Table1[Obergruppe ATC-Code]"),Tabelle3!$A14)</f>
        <v>0</v>
      </c>
      <c r="BW14">
        <f ca="1">COUNTIFS(INDIRECT("Table1[Beginn]"),"&lt;="&amp;BW$1,INDIRECT("Table1[Ende]"),"&gt;="&amp;BW$1,INDIRECT("Table1[Obergruppe ATC-Code]"),Tabelle3!$A14)</f>
        <v>0</v>
      </c>
      <c r="BX14">
        <f ca="1">COUNTIFS(INDIRECT("Table1[Beginn]"),"&lt;="&amp;BX$1,INDIRECT("Table1[Ende]"),"&gt;="&amp;BX$1,INDIRECT("Table1[Obergruppe ATC-Code]"),Tabelle3!$A14)</f>
        <v>0</v>
      </c>
      <c r="BY14">
        <f ca="1">COUNTIFS(INDIRECT("Table1[Beginn]"),"&lt;="&amp;BY$1,INDIRECT("Table1[Ende]"),"&gt;="&amp;BY$1,INDIRECT("Table1[Obergruppe ATC-Code]"),Tabelle3!$A14)</f>
        <v>0</v>
      </c>
      <c r="BZ14">
        <f ca="1">COUNTIFS(INDIRECT("Table1[Beginn]"),"&lt;="&amp;BZ$1,INDIRECT("Table1[Ende]"),"&gt;="&amp;BZ$1,INDIRECT("Table1[Obergruppe ATC-Code]"),Tabelle3!$A14)</f>
        <v>0</v>
      </c>
      <c r="CA14">
        <f ca="1">COUNTIFS(INDIRECT("Table1[Beginn]"),"&lt;="&amp;CA$1,INDIRECT("Table1[Ende]"),"&gt;="&amp;CA$1,INDIRECT("Table1[Obergruppe ATC-Code]"),Tabelle3!$A14)</f>
        <v>0</v>
      </c>
      <c r="CB14">
        <f ca="1">COUNTIFS(INDIRECT("Table1[Beginn]"),"&lt;="&amp;CB$1,INDIRECT("Table1[Ende]"),"&gt;="&amp;CB$1,INDIRECT("Table1[Obergruppe ATC-Code]"),Tabelle3!$A14)</f>
        <v>0</v>
      </c>
      <c r="CC14">
        <f ca="1">COUNTIFS(INDIRECT("Table1[Beginn]"),"&lt;="&amp;CC$1,INDIRECT("Table1[Ende]"),"&gt;="&amp;CC$1,INDIRECT("Table1[Obergruppe ATC-Code]"),Tabelle3!$A14)</f>
        <v>0</v>
      </c>
      <c r="CD14">
        <f ca="1">COUNTIFS(INDIRECT("Table1[Beginn]"),"&lt;="&amp;CD$1,INDIRECT("Table1[Ende]"),"&gt;="&amp;CD$1,INDIRECT("Table1[Obergruppe ATC-Code]"),Tabelle3!$A14)</f>
        <v>0</v>
      </c>
      <c r="CE14">
        <f ca="1">COUNTIFS(INDIRECT("Table1[Beginn]"),"&lt;="&amp;CE$1,INDIRECT("Table1[Ende]"),"&gt;="&amp;CE$1,INDIRECT("Table1[Obergruppe ATC-Code]"),Tabelle3!$A14)</f>
        <v>0</v>
      </c>
      <c r="CF14">
        <f ca="1">COUNTIFS(INDIRECT("Table1[Beginn]"),"&lt;="&amp;CF$1,INDIRECT("Table1[Ende]"),"&gt;="&amp;CF$1,INDIRECT("Table1[Obergruppe ATC-Code]"),Tabelle3!$A14)</f>
        <v>0</v>
      </c>
      <c r="CG14">
        <f ca="1">COUNTIFS(INDIRECT("Table1[Beginn]"),"&lt;="&amp;CG$1,INDIRECT("Table1[Ende]"),"&gt;="&amp;CG$1,INDIRECT("Table1[Obergruppe ATC-Code]"),Tabelle3!$A14)</f>
        <v>0</v>
      </c>
      <c r="CH14">
        <f ca="1">COUNTIFS(INDIRECT("Table1[Beginn]"),"&lt;="&amp;CH$1,INDIRECT("Table1[Ende]"),"&gt;="&amp;CH$1,INDIRECT("Table1[Obergruppe ATC-Code]"),Tabelle3!$A14)</f>
        <v>0</v>
      </c>
      <c r="CI14">
        <f ca="1">COUNTIFS(INDIRECT("Table1[Beginn]"),"&lt;="&amp;CI$1,INDIRECT("Table1[Ende]"),"&gt;="&amp;CI$1,INDIRECT("Table1[Obergruppe ATC-Code]"),Tabelle3!$A14)</f>
        <v>0</v>
      </c>
      <c r="CJ14">
        <f ca="1">COUNTIFS(INDIRECT("Table1[Beginn]"),"&lt;="&amp;CJ$1,INDIRECT("Table1[Ende]"),"&gt;="&amp;CJ$1,INDIRECT("Table1[Obergruppe ATC-Code]"),Tabelle3!$A14)</f>
        <v>0</v>
      </c>
      <c r="CK14">
        <f ca="1">COUNTIFS(INDIRECT("Table1[Beginn]"),"&lt;="&amp;CK$1,INDIRECT("Table1[Ende]"),"&gt;="&amp;CK$1,INDIRECT("Table1[Obergruppe ATC-Code]"),Tabelle3!$A14)</f>
        <v>0</v>
      </c>
      <c r="CL14">
        <f ca="1">COUNTIFS(INDIRECT("Table1[Beginn]"),"&lt;="&amp;CL$1,INDIRECT("Table1[Ende]"),"&gt;="&amp;CL$1,INDIRECT("Table1[Obergruppe ATC-Code]"),Tabelle3!$A14)</f>
        <v>0</v>
      </c>
      <c r="CM14">
        <f ca="1">COUNTIFS(INDIRECT("Table1[Beginn]"),"&lt;="&amp;CM$1,INDIRECT("Table1[Ende]"),"&gt;="&amp;CM$1,INDIRECT("Table1[Obergruppe ATC-Code]"),Tabelle3!$A14)</f>
        <v>0</v>
      </c>
      <c r="CN14">
        <f ca="1">COUNTIFS(INDIRECT("Table1[Beginn]"),"&lt;="&amp;CN$1,INDIRECT("Table1[Ende]"),"&gt;="&amp;CN$1,INDIRECT("Table1[Obergruppe ATC-Code]"),Tabelle3!$A14)</f>
        <v>0</v>
      </c>
      <c r="CO14">
        <f ca="1">COUNTIFS(INDIRECT("Table1[Beginn]"),"&lt;="&amp;CO$1,INDIRECT("Table1[Ende]"),"&gt;="&amp;CO$1,INDIRECT("Table1[Obergruppe ATC-Code]"),Tabelle3!$A14)</f>
        <v>0</v>
      </c>
      <c r="CP14">
        <f ca="1">COUNTIFS(INDIRECT("Table1[Beginn]"),"&lt;="&amp;CP$1,INDIRECT("Table1[Ende]"),"&gt;="&amp;CP$1,INDIRECT("Table1[Obergruppe ATC-Code]"),Tabelle3!$A14)</f>
        <v>0</v>
      </c>
      <c r="CQ14">
        <f ca="1">COUNTIFS(INDIRECT("Table1[Beginn]"),"&lt;="&amp;CQ$1,INDIRECT("Table1[Ende]"),"&gt;="&amp;CQ$1,INDIRECT("Table1[Obergruppe ATC-Code]"),Tabelle3!$A14)</f>
        <v>0</v>
      </c>
      <c r="CR14">
        <f ca="1">COUNTIFS(INDIRECT("Table1[Beginn]"),"&lt;="&amp;CR$1,INDIRECT("Table1[Ende]"),"&gt;="&amp;CR$1,INDIRECT("Table1[Obergruppe ATC-Code]"),Tabelle3!$A14)</f>
        <v>0</v>
      </c>
    </row>
    <row r="15" spans="1:96" ht="18">
      <c r="A15" s="9" t="s">
        <v>6798</v>
      </c>
      <c r="B15" s="10" t="s">
        <v>6799</v>
      </c>
      <c r="C15">
        <f ca="1">COUNTIFS(INDIRECT("Table1[Beginn]"),"&lt;="&amp;C$1,INDIRECT("Table1[Ende]"),"&gt;="&amp;C$1,INDIRECT("Table1[Obergruppe ATC-Code]"),Tabelle3!$A15)</f>
        <v>0</v>
      </c>
      <c r="D15">
        <f ca="1">COUNTIFS(INDIRECT("Table1[Beginn]"),"&lt;="&amp;D$1,INDIRECT("Table1[Ende]"),"&gt;="&amp;D$1,INDIRECT("Table1[Obergruppe ATC-Code]"),Tabelle3!$A15)</f>
        <v>0</v>
      </c>
      <c r="E15">
        <f ca="1">COUNTIFS(INDIRECT("Table1[Beginn]"),"&lt;="&amp;E$1,INDIRECT("Table1[Ende]"),"&gt;="&amp;E$1,INDIRECT("Table1[Obergruppe ATC-Code]"),Tabelle3!$A15)</f>
        <v>0</v>
      </c>
      <c r="F15">
        <f ca="1">COUNTIFS(INDIRECT("Table1[Beginn]"),"&lt;="&amp;F$1,INDIRECT("Table1[Ende]"),"&gt;="&amp;F$1,INDIRECT("Table1[Obergruppe ATC-Code]"),Tabelle3!$A15)</f>
        <v>0</v>
      </c>
      <c r="G15">
        <f ca="1">COUNTIFS(INDIRECT("Table1[Beginn]"),"&lt;="&amp;G$1,INDIRECT("Table1[Ende]"),"&gt;="&amp;G$1,INDIRECT("Table1[Obergruppe ATC-Code]"),Tabelle3!$A15)</f>
        <v>0</v>
      </c>
      <c r="H15">
        <f ca="1">COUNTIFS(INDIRECT("Table1[Beginn]"),"&lt;="&amp;H$1,INDIRECT("Table1[Ende]"),"&gt;="&amp;H$1,INDIRECT("Table1[Obergruppe ATC-Code]"),Tabelle3!$A15)</f>
        <v>0</v>
      </c>
      <c r="I15">
        <f ca="1">COUNTIFS(INDIRECT("Table1[Beginn]"),"&lt;="&amp;I$1,INDIRECT("Table1[Ende]"),"&gt;="&amp;I$1,INDIRECT("Table1[Obergruppe ATC-Code]"),Tabelle3!$A15)</f>
        <v>0</v>
      </c>
      <c r="J15">
        <f ca="1">COUNTIFS(INDIRECT("Table1[Beginn]"),"&lt;="&amp;J$1,INDIRECT("Table1[Ende]"),"&gt;="&amp;J$1,INDIRECT("Table1[Obergruppe ATC-Code]"),Tabelle3!$A15)</f>
        <v>0</v>
      </c>
      <c r="K15">
        <f ca="1">COUNTIFS(INDIRECT("Table1[Beginn]"),"&lt;="&amp;K$1,INDIRECT("Table1[Ende]"),"&gt;="&amp;K$1,INDIRECT("Table1[Obergruppe ATC-Code]"),Tabelle3!$A15)</f>
        <v>0</v>
      </c>
      <c r="L15">
        <f ca="1">COUNTIFS(INDIRECT("Table1[Beginn]"),"&lt;="&amp;L$1,INDIRECT("Table1[Ende]"),"&gt;="&amp;L$1,INDIRECT("Table1[Obergruppe ATC-Code]"),Tabelle3!$A15)</f>
        <v>0</v>
      </c>
      <c r="M15">
        <f ca="1">COUNTIFS(INDIRECT("Table1[Beginn]"),"&lt;="&amp;M$1,INDIRECT("Table1[Ende]"),"&gt;="&amp;M$1,INDIRECT("Table1[Obergruppe ATC-Code]"),Tabelle3!$A15)</f>
        <v>0</v>
      </c>
      <c r="N15">
        <f ca="1">COUNTIFS(INDIRECT("Table1[Beginn]"),"&lt;="&amp;N$1,INDIRECT("Table1[Ende]"),"&gt;="&amp;N$1,INDIRECT("Table1[Obergruppe ATC-Code]"),Tabelle3!$A15)</f>
        <v>0</v>
      </c>
      <c r="O15">
        <f ca="1">COUNTIFS(INDIRECT("Table1[Beginn]"),"&lt;="&amp;O$1,INDIRECT("Table1[Ende]"),"&gt;="&amp;O$1,INDIRECT("Table1[Obergruppe ATC-Code]"),Tabelle3!$A15)</f>
        <v>0</v>
      </c>
      <c r="P15">
        <f ca="1">COUNTIFS(INDIRECT("Table1[Beginn]"),"&lt;="&amp;P$1,INDIRECT("Table1[Ende]"),"&gt;="&amp;P$1,INDIRECT("Table1[Obergruppe ATC-Code]"),Tabelle3!$A15)</f>
        <v>0</v>
      </c>
      <c r="Q15">
        <f ca="1">COUNTIFS(INDIRECT("Table1[Beginn]"),"&lt;="&amp;Q$1,INDIRECT("Table1[Ende]"),"&gt;="&amp;Q$1,INDIRECT("Table1[Obergruppe ATC-Code]"),Tabelle3!$A15)</f>
        <v>0</v>
      </c>
      <c r="R15">
        <f ca="1">COUNTIFS(INDIRECT("Table1[Beginn]"),"&lt;="&amp;R$1,INDIRECT("Table1[Ende]"),"&gt;="&amp;R$1,INDIRECT("Table1[Obergruppe ATC-Code]"),Tabelle3!$A15)</f>
        <v>0</v>
      </c>
      <c r="S15">
        <f ca="1">COUNTIFS(INDIRECT("Table1[Beginn]"),"&lt;="&amp;S$1,INDIRECT("Table1[Ende]"),"&gt;="&amp;S$1,INDIRECT("Table1[Obergruppe ATC-Code]"),Tabelle3!$A15)</f>
        <v>0</v>
      </c>
      <c r="T15">
        <f ca="1">COUNTIFS(INDIRECT("Table1[Beginn]"),"&lt;="&amp;T$1,INDIRECT("Table1[Ende]"),"&gt;="&amp;T$1,INDIRECT("Table1[Obergruppe ATC-Code]"),Tabelle3!$A15)</f>
        <v>0</v>
      </c>
      <c r="U15">
        <f ca="1">COUNTIFS(INDIRECT("Table1[Beginn]"),"&lt;="&amp;U$1,INDIRECT("Table1[Ende]"),"&gt;="&amp;U$1,INDIRECT("Table1[Obergruppe ATC-Code]"),Tabelle3!$A15)</f>
        <v>0</v>
      </c>
      <c r="V15">
        <f ca="1">COUNTIFS(INDIRECT("Table1[Beginn]"),"&lt;="&amp;V$1,INDIRECT("Table1[Ende]"),"&gt;="&amp;V$1,INDIRECT("Table1[Obergruppe ATC-Code]"),Tabelle3!$A15)</f>
        <v>0</v>
      </c>
      <c r="W15">
        <f ca="1">COUNTIFS(INDIRECT("Table1[Beginn]"),"&lt;="&amp;W$1,INDIRECT("Table1[Ende]"),"&gt;="&amp;W$1,INDIRECT("Table1[Obergruppe ATC-Code]"),Tabelle3!$A15)</f>
        <v>0</v>
      </c>
      <c r="X15">
        <f ca="1">COUNTIFS(INDIRECT("Table1[Beginn]"),"&lt;="&amp;X$1,INDIRECT("Table1[Ende]"),"&gt;="&amp;X$1,INDIRECT("Table1[Obergruppe ATC-Code]"),Tabelle3!$A15)</f>
        <v>0</v>
      </c>
      <c r="Y15">
        <f ca="1">COUNTIFS(INDIRECT("Table1[Beginn]"),"&lt;="&amp;Y$1,INDIRECT("Table1[Ende]"),"&gt;="&amp;Y$1,INDIRECT("Table1[Obergruppe ATC-Code]"),Tabelle3!$A15)</f>
        <v>0</v>
      </c>
      <c r="Z15">
        <f ca="1">COUNTIFS(INDIRECT("Table1[Beginn]"),"&lt;="&amp;Z$1,INDIRECT("Table1[Ende]"),"&gt;="&amp;Z$1,INDIRECT("Table1[Obergruppe ATC-Code]"),Tabelle3!$A15)</f>
        <v>0</v>
      </c>
      <c r="AA15">
        <f ca="1">COUNTIFS(INDIRECT("Table1[Beginn]"),"&lt;="&amp;AA$1,INDIRECT("Table1[Ende]"),"&gt;="&amp;AA$1,INDIRECT("Table1[Obergruppe ATC-Code]"),Tabelle3!$A15)</f>
        <v>0</v>
      </c>
      <c r="AB15">
        <f ca="1">COUNTIFS(INDIRECT("Table1[Beginn]"),"&lt;="&amp;AB$1,INDIRECT("Table1[Ende]"),"&gt;="&amp;AB$1,INDIRECT("Table1[Obergruppe ATC-Code]"),Tabelle3!$A15)</f>
        <v>0</v>
      </c>
      <c r="AC15">
        <f ca="1">COUNTIFS(INDIRECT("Table1[Beginn]"),"&lt;="&amp;AC$1,INDIRECT("Table1[Ende]"),"&gt;="&amp;AC$1,INDIRECT("Table1[Obergruppe ATC-Code]"),Tabelle3!$A15)</f>
        <v>0</v>
      </c>
      <c r="AD15">
        <f ca="1">COUNTIFS(INDIRECT("Table1[Beginn]"),"&lt;="&amp;AD$1,INDIRECT("Table1[Ende]"),"&gt;="&amp;AD$1,INDIRECT("Table1[Obergruppe ATC-Code]"),Tabelle3!$A15)</f>
        <v>0</v>
      </c>
      <c r="AE15">
        <f ca="1">COUNTIFS(INDIRECT("Table1[Beginn]"),"&lt;="&amp;AE$1,INDIRECT("Table1[Ende]"),"&gt;="&amp;AE$1,INDIRECT("Table1[Obergruppe ATC-Code]"),Tabelle3!$A15)</f>
        <v>0</v>
      </c>
      <c r="AF15">
        <f ca="1">COUNTIFS(INDIRECT("Table1[Beginn]"),"&lt;="&amp;AF$1,INDIRECT("Table1[Ende]"),"&gt;="&amp;AF$1,INDIRECT("Table1[Obergruppe ATC-Code]"),Tabelle3!$A15)</f>
        <v>0</v>
      </c>
      <c r="AG15">
        <f ca="1">COUNTIFS(INDIRECT("Table1[Beginn]"),"&lt;="&amp;AG$1,INDIRECT("Table1[Ende]"),"&gt;="&amp;AG$1,INDIRECT("Table1[Obergruppe ATC-Code]"),Tabelle3!$A15)</f>
        <v>0</v>
      </c>
      <c r="AH15">
        <f ca="1">COUNTIFS(INDIRECT("Table1[Beginn]"),"&lt;="&amp;AH$1,INDIRECT("Table1[Ende]"),"&gt;="&amp;AH$1,INDIRECT("Table1[Obergruppe ATC-Code]"),Tabelle3!$A15)</f>
        <v>0</v>
      </c>
      <c r="AI15">
        <f ca="1">COUNTIFS(INDIRECT("Table1[Beginn]"),"&lt;="&amp;AI$1,INDIRECT("Table1[Ende]"),"&gt;="&amp;AI$1,INDIRECT("Table1[Obergruppe ATC-Code]"),Tabelle3!$A15)</f>
        <v>0</v>
      </c>
      <c r="AJ15">
        <f ca="1">COUNTIFS(INDIRECT("Table1[Beginn]"),"&lt;="&amp;AJ$1,INDIRECT("Table1[Ende]"),"&gt;="&amp;AJ$1,INDIRECT("Table1[Obergruppe ATC-Code]"),Tabelle3!$A15)</f>
        <v>0</v>
      </c>
      <c r="AK15">
        <f ca="1">COUNTIFS(INDIRECT("Table1[Beginn]"),"&lt;="&amp;AK$1,INDIRECT("Table1[Ende]"),"&gt;="&amp;AK$1,INDIRECT("Table1[Obergruppe ATC-Code]"),Tabelle3!$A15)</f>
        <v>0</v>
      </c>
      <c r="AL15">
        <f ca="1">COUNTIFS(INDIRECT("Table1[Beginn]"),"&lt;="&amp;AL$1,INDIRECT("Table1[Ende]"),"&gt;="&amp;AL$1,INDIRECT("Table1[Obergruppe ATC-Code]"),Tabelle3!$A15)</f>
        <v>0</v>
      </c>
      <c r="AM15">
        <f ca="1">COUNTIFS(INDIRECT("Table1[Beginn]"),"&lt;="&amp;AM$1,INDIRECT("Table1[Ende]"),"&gt;="&amp;AM$1,INDIRECT("Table1[Obergruppe ATC-Code]"),Tabelle3!$A15)</f>
        <v>0</v>
      </c>
      <c r="AN15">
        <f ca="1">COUNTIFS(INDIRECT("Table1[Beginn]"),"&lt;="&amp;AN$1,INDIRECT("Table1[Ende]"),"&gt;="&amp;AN$1,INDIRECT("Table1[Obergruppe ATC-Code]"),Tabelle3!$A15)</f>
        <v>0</v>
      </c>
      <c r="AO15">
        <f ca="1">COUNTIFS(INDIRECT("Table1[Beginn]"),"&lt;="&amp;AO$1,INDIRECT("Table1[Ende]"),"&gt;="&amp;AO$1,INDIRECT("Table1[Obergruppe ATC-Code]"),Tabelle3!$A15)</f>
        <v>0</v>
      </c>
      <c r="AP15">
        <f ca="1">COUNTIFS(INDIRECT("Table1[Beginn]"),"&lt;="&amp;AP$1,INDIRECT("Table1[Ende]"),"&gt;="&amp;AP$1,INDIRECT("Table1[Obergruppe ATC-Code]"),Tabelle3!$A15)</f>
        <v>0</v>
      </c>
      <c r="AQ15">
        <f ca="1">COUNTIFS(INDIRECT("Table1[Beginn]"),"&lt;="&amp;AQ$1,INDIRECT("Table1[Ende]"),"&gt;="&amp;AQ$1,INDIRECT("Table1[Obergruppe ATC-Code]"),Tabelle3!$A15)</f>
        <v>0</v>
      </c>
      <c r="AR15">
        <f ca="1">COUNTIFS(INDIRECT("Table1[Beginn]"),"&lt;="&amp;AR$1,INDIRECT("Table1[Ende]"),"&gt;="&amp;AR$1,INDIRECT("Table1[Obergruppe ATC-Code]"),Tabelle3!$A15)</f>
        <v>0</v>
      </c>
      <c r="AS15">
        <f ca="1">COUNTIFS(INDIRECT("Table1[Beginn]"),"&lt;="&amp;AS$1,INDIRECT("Table1[Ende]"),"&gt;="&amp;AS$1,INDIRECT("Table1[Obergruppe ATC-Code]"),Tabelle3!$A15)</f>
        <v>0</v>
      </c>
      <c r="AT15">
        <f ca="1">COUNTIFS(INDIRECT("Table1[Beginn]"),"&lt;="&amp;AT$1,INDIRECT("Table1[Ende]"),"&gt;="&amp;AT$1,INDIRECT("Table1[Obergruppe ATC-Code]"),Tabelle3!$A15)</f>
        <v>0</v>
      </c>
      <c r="AU15">
        <f ca="1">COUNTIFS(INDIRECT("Table1[Beginn]"),"&lt;="&amp;AU$1,INDIRECT("Table1[Ende]"),"&gt;="&amp;AU$1,INDIRECT("Table1[Obergruppe ATC-Code]"),Tabelle3!$A15)</f>
        <v>0</v>
      </c>
      <c r="AV15">
        <f ca="1">COUNTIFS(INDIRECT("Table1[Beginn]"),"&lt;="&amp;AV$1,INDIRECT("Table1[Ende]"),"&gt;="&amp;AV$1,INDIRECT("Table1[Obergruppe ATC-Code]"),Tabelle3!$A15)</f>
        <v>0</v>
      </c>
      <c r="AW15">
        <f ca="1">COUNTIFS(INDIRECT("Table1[Beginn]"),"&lt;="&amp;AW$1,INDIRECT("Table1[Ende]"),"&gt;="&amp;AW$1,INDIRECT("Table1[Obergruppe ATC-Code]"),Tabelle3!$A15)</f>
        <v>0</v>
      </c>
      <c r="AX15">
        <f ca="1">COUNTIFS(INDIRECT("Table1[Beginn]"),"&lt;="&amp;AX$1,INDIRECT("Table1[Ende]"),"&gt;="&amp;AX$1,INDIRECT("Table1[Obergruppe ATC-Code]"),Tabelle3!$A15)</f>
        <v>0</v>
      </c>
      <c r="AY15">
        <f ca="1">COUNTIFS(INDIRECT("Table1[Beginn]"),"&lt;="&amp;AY$1,INDIRECT("Table1[Ende]"),"&gt;="&amp;AY$1,INDIRECT("Table1[Obergruppe ATC-Code]"),Tabelle3!$A15)</f>
        <v>0</v>
      </c>
      <c r="AZ15">
        <f ca="1">COUNTIFS(INDIRECT("Table1[Beginn]"),"&lt;="&amp;AZ$1,INDIRECT("Table1[Ende]"),"&gt;="&amp;AZ$1,INDIRECT("Table1[Obergruppe ATC-Code]"),Tabelle3!$A15)</f>
        <v>0</v>
      </c>
      <c r="BA15">
        <f ca="1">COUNTIFS(INDIRECT("Table1[Beginn]"),"&lt;="&amp;BA$1,INDIRECT("Table1[Ende]"),"&gt;="&amp;BA$1,INDIRECT("Table1[Obergruppe ATC-Code]"),Tabelle3!$A15)</f>
        <v>0</v>
      </c>
      <c r="BB15">
        <f ca="1">COUNTIFS(INDIRECT("Table1[Beginn]"),"&lt;="&amp;BB$1,INDIRECT("Table1[Ende]"),"&gt;="&amp;BB$1,INDIRECT("Table1[Obergruppe ATC-Code]"),Tabelle3!$A15)</f>
        <v>0</v>
      </c>
      <c r="BC15">
        <f ca="1">COUNTIFS(INDIRECT("Table1[Beginn]"),"&lt;="&amp;BC$1,INDIRECT("Table1[Ende]"),"&gt;="&amp;BC$1,INDIRECT("Table1[Obergruppe ATC-Code]"),Tabelle3!$A15)</f>
        <v>0</v>
      </c>
      <c r="BD15">
        <f ca="1">COUNTIFS(INDIRECT("Table1[Beginn]"),"&lt;="&amp;BD$1,INDIRECT("Table1[Ende]"),"&gt;="&amp;BD$1,INDIRECT("Table1[Obergruppe ATC-Code]"),Tabelle3!$A15)</f>
        <v>0</v>
      </c>
      <c r="BE15">
        <f ca="1">COUNTIFS(INDIRECT("Table1[Beginn]"),"&lt;="&amp;BE$1,INDIRECT("Table1[Ende]"),"&gt;="&amp;BE$1,INDIRECT("Table1[Obergruppe ATC-Code]"),Tabelle3!$A15)</f>
        <v>0</v>
      </c>
      <c r="BF15">
        <f ca="1">COUNTIFS(INDIRECT("Table1[Beginn]"),"&lt;="&amp;BF$1,INDIRECT("Table1[Ende]"),"&gt;="&amp;BF$1,INDIRECT("Table1[Obergruppe ATC-Code]"),Tabelle3!$A15)</f>
        <v>0</v>
      </c>
      <c r="BG15">
        <f ca="1">COUNTIFS(INDIRECT("Table1[Beginn]"),"&lt;="&amp;BG$1,INDIRECT("Table1[Ende]"),"&gt;="&amp;BG$1,INDIRECT("Table1[Obergruppe ATC-Code]"),Tabelle3!$A15)</f>
        <v>0</v>
      </c>
      <c r="BH15">
        <f ca="1">COUNTIFS(INDIRECT("Table1[Beginn]"),"&lt;="&amp;BH$1,INDIRECT("Table1[Ende]"),"&gt;="&amp;BH$1,INDIRECT("Table1[Obergruppe ATC-Code]"),Tabelle3!$A15)</f>
        <v>0</v>
      </c>
      <c r="BI15">
        <f ca="1">COUNTIFS(INDIRECT("Table1[Beginn]"),"&lt;="&amp;BI$1,INDIRECT("Table1[Ende]"),"&gt;="&amp;BI$1,INDIRECT("Table1[Obergruppe ATC-Code]"),Tabelle3!$A15)</f>
        <v>0</v>
      </c>
      <c r="BJ15">
        <f ca="1">COUNTIFS(INDIRECT("Table1[Beginn]"),"&lt;="&amp;BJ$1,INDIRECT("Table1[Ende]"),"&gt;="&amp;BJ$1,INDIRECT("Table1[Obergruppe ATC-Code]"),Tabelle3!$A15)</f>
        <v>0</v>
      </c>
      <c r="BK15">
        <f ca="1">COUNTIFS(INDIRECT("Table1[Beginn]"),"&lt;="&amp;BK$1,INDIRECT("Table1[Ende]"),"&gt;="&amp;BK$1,INDIRECT("Table1[Obergruppe ATC-Code]"),Tabelle3!$A15)</f>
        <v>0</v>
      </c>
      <c r="BL15">
        <f ca="1">COUNTIFS(INDIRECT("Table1[Beginn]"),"&lt;="&amp;BL$1,INDIRECT("Table1[Ende]"),"&gt;="&amp;BL$1,INDIRECT("Table1[Obergruppe ATC-Code]"),Tabelle3!$A15)</f>
        <v>0</v>
      </c>
      <c r="BM15">
        <f ca="1">COUNTIFS(INDIRECT("Table1[Beginn]"),"&lt;="&amp;BM$1,INDIRECT("Table1[Ende]"),"&gt;="&amp;BM$1,INDIRECT("Table1[Obergruppe ATC-Code]"),Tabelle3!$A15)</f>
        <v>0</v>
      </c>
      <c r="BN15">
        <f ca="1">COUNTIFS(INDIRECT("Table1[Beginn]"),"&lt;="&amp;BN$1,INDIRECT("Table1[Ende]"),"&gt;="&amp;BN$1,INDIRECT("Table1[Obergruppe ATC-Code]"),Tabelle3!$A15)</f>
        <v>0</v>
      </c>
      <c r="BO15">
        <f ca="1">COUNTIFS(INDIRECT("Table1[Beginn]"),"&lt;="&amp;BO$1,INDIRECT("Table1[Ende]"),"&gt;="&amp;BO$1,INDIRECT("Table1[Obergruppe ATC-Code]"),Tabelle3!$A15)</f>
        <v>0</v>
      </c>
      <c r="BP15">
        <f ca="1">COUNTIFS(INDIRECT("Table1[Beginn]"),"&lt;="&amp;BP$1,INDIRECT("Table1[Ende]"),"&gt;="&amp;BP$1,INDIRECT("Table1[Obergruppe ATC-Code]"),Tabelle3!$A15)</f>
        <v>0</v>
      </c>
      <c r="BQ15">
        <f ca="1">COUNTIFS(INDIRECT("Table1[Beginn]"),"&lt;="&amp;BQ$1,INDIRECT("Table1[Ende]"),"&gt;="&amp;BQ$1,INDIRECT("Table1[Obergruppe ATC-Code]"),Tabelle3!$A15)</f>
        <v>0</v>
      </c>
      <c r="BR15">
        <f ca="1">COUNTIFS(INDIRECT("Table1[Beginn]"),"&lt;="&amp;BR$1,INDIRECT("Table1[Ende]"),"&gt;="&amp;BR$1,INDIRECT("Table1[Obergruppe ATC-Code]"),Tabelle3!$A15)</f>
        <v>0</v>
      </c>
      <c r="BS15">
        <f ca="1">COUNTIFS(INDIRECT("Table1[Beginn]"),"&lt;="&amp;BS$1,INDIRECT("Table1[Ende]"),"&gt;="&amp;BS$1,INDIRECT("Table1[Obergruppe ATC-Code]"),Tabelle3!$A15)</f>
        <v>0</v>
      </c>
      <c r="BT15">
        <f ca="1">COUNTIFS(INDIRECT("Table1[Beginn]"),"&lt;="&amp;BT$1,INDIRECT("Table1[Ende]"),"&gt;="&amp;BT$1,INDIRECT("Table1[Obergruppe ATC-Code]"),Tabelle3!$A15)</f>
        <v>0</v>
      </c>
      <c r="BU15">
        <f ca="1">COUNTIFS(INDIRECT("Table1[Beginn]"),"&lt;="&amp;BU$1,INDIRECT("Table1[Ende]"),"&gt;="&amp;BU$1,INDIRECT("Table1[Obergruppe ATC-Code]"),Tabelle3!$A15)</f>
        <v>0</v>
      </c>
      <c r="BV15">
        <f ca="1">COUNTIFS(INDIRECT("Table1[Beginn]"),"&lt;="&amp;BV$1,INDIRECT("Table1[Ende]"),"&gt;="&amp;BV$1,INDIRECT("Table1[Obergruppe ATC-Code]"),Tabelle3!$A15)</f>
        <v>0</v>
      </c>
      <c r="BW15">
        <f ca="1">COUNTIFS(INDIRECT("Table1[Beginn]"),"&lt;="&amp;BW$1,INDIRECT("Table1[Ende]"),"&gt;="&amp;BW$1,INDIRECT("Table1[Obergruppe ATC-Code]"),Tabelle3!$A15)</f>
        <v>0</v>
      </c>
      <c r="BX15">
        <f ca="1">COUNTIFS(INDIRECT("Table1[Beginn]"),"&lt;="&amp;BX$1,INDIRECT("Table1[Ende]"),"&gt;="&amp;BX$1,INDIRECT("Table1[Obergruppe ATC-Code]"),Tabelle3!$A15)</f>
        <v>0</v>
      </c>
      <c r="BY15">
        <f ca="1">COUNTIFS(INDIRECT("Table1[Beginn]"),"&lt;="&amp;BY$1,INDIRECT("Table1[Ende]"),"&gt;="&amp;BY$1,INDIRECT("Table1[Obergruppe ATC-Code]"),Tabelle3!$A15)</f>
        <v>0</v>
      </c>
      <c r="BZ15">
        <f ca="1">COUNTIFS(INDIRECT("Table1[Beginn]"),"&lt;="&amp;BZ$1,INDIRECT("Table1[Ende]"),"&gt;="&amp;BZ$1,INDIRECT("Table1[Obergruppe ATC-Code]"),Tabelle3!$A15)</f>
        <v>0</v>
      </c>
      <c r="CA15">
        <f ca="1">COUNTIFS(INDIRECT("Table1[Beginn]"),"&lt;="&amp;CA$1,INDIRECT("Table1[Ende]"),"&gt;="&amp;CA$1,INDIRECT("Table1[Obergruppe ATC-Code]"),Tabelle3!$A15)</f>
        <v>0</v>
      </c>
      <c r="CB15">
        <f ca="1">COUNTIFS(INDIRECT("Table1[Beginn]"),"&lt;="&amp;CB$1,INDIRECT("Table1[Ende]"),"&gt;="&amp;CB$1,INDIRECT("Table1[Obergruppe ATC-Code]"),Tabelle3!$A15)</f>
        <v>0</v>
      </c>
      <c r="CC15">
        <f ca="1">COUNTIFS(INDIRECT("Table1[Beginn]"),"&lt;="&amp;CC$1,INDIRECT("Table1[Ende]"),"&gt;="&amp;CC$1,INDIRECT("Table1[Obergruppe ATC-Code]"),Tabelle3!$A15)</f>
        <v>0</v>
      </c>
      <c r="CD15">
        <f ca="1">COUNTIFS(INDIRECT("Table1[Beginn]"),"&lt;="&amp;CD$1,INDIRECT("Table1[Ende]"),"&gt;="&amp;CD$1,INDIRECT("Table1[Obergruppe ATC-Code]"),Tabelle3!$A15)</f>
        <v>0</v>
      </c>
      <c r="CE15">
        <f ca="1">COUNTIFS(INDIRECT("Table1[Beginn]"),"&lt;="&amp;CE$1,INDIRECT("Table1[Ende]"),"&gt;="&amp;CE$1,INDIRECT("Table1[Obergruppe ATC-Code]"),Tabelle3!$A15)</f>
        <v>0</v>
      </c>
      <c r="CF15">
        <f ca="1">COUNTIFS(INDIRECT("Table1[Beginn]"),"&lt;="&amp;CF$1,INDIRECT("Table1[Ende]"),"&gt;="&amp;CF$1,INDIRECT("Table1[Obergruppe ATC-Code]"),Tabelle3!$A15)</f>
        <v>0</v>
      </c>
      <c r="CG15">
        <f ca="1">COUNTIFS(INDIRECT("Table1[Beginn]"),"&lt;="&amp;CG$1,INDIRECT("Table1[Ende]"),"&gt;="&amp;CG$1,INDIRECT("Table1[Obergruppe ATC-Code]"),Tabelle3!$A15)</f>
        <v>0</v>
      </c>
      <c r="CH15">
        <f ca="1">COUNTIFS(INDIRECT("Table1[Beginn]"),"&lt;="&amp;CH$1,INDIRECT("Table1[Ende]"),"&gt;="&amp;CH$1,INDIRECT("Table1[Obergruppe ATC-Code]"),Tabelle3!$A15)</f>
        <v>0</v>
      </c>
      <c r="CI15">
        <f ca="1">COUNTIFS(INDIRECT("Table1[Beginn]"),"&lt;="&amp;CI$1,INDIRECT("Table1[Ende]"),"&gt;="&amp;CI$1,INDIRECT("Table1[Obergruppe ATC-Code]"),Tabelle3!$A15)</f>
        <v>0</v>
      </c>
      <c r="CJ15">
        <f ca="1">COUNTIFS(INDIRECT("Table1[Beginn]"),"&lt;="&amp;CJ$1,INDIRECT("Table1[Ende]"),"&gt;="&amp;CJ$1,INDIRECT("Table1[Obergruppe ATC-Code]"),Tabelle3!$A15)</f>
        <v>0</v>
      </c>
      <c r="CK15">
        <f ca="1">COUNTIFS(INDIRECT("Table1[Beginn]"),"&lt;="&amp;CK$1,INDIRECT("Table1[Ende]"),"&gt;="&amp;CK$1,INDIRECT("Table1[Obergruppe ATC-Code]"),Tabelle3!$A15)</f>
        <v>0</v>
      </c>
      <c r="CL15">
        <f ca="1">COUNTIFS(INDIRECT("Table1[Beginn]"),"&lt;="&amp;CL$1,INDIRECT("Table1[Ende]"),"&gt;="&amp;CL$1,INDIRECT("Table1[Obergruppe ATC-Code]"),Tabelle3!$A15)</f>
        <v>0</v>
      </c>
      <c r="CM15">
        <f ca="1">COUNTIFS(INDIRECT("Table1[Beginn]"),"&lt;="&amp;CM$1,INDIRECT("Table1[Ende]"),"&gt;="&amp;CM$1,INDIRECT("Table1[Obergruppe ATC-Code]"),Tabelle3!$A15)</f>
        <v>0</v>
      </c>
      <c r="CN15">
        <f ca="1">COUNTIFS(INDIRECT("Table1[Beginn]"),"&lt;="&amp;CN$1,INDIRECT("Table1[Ende]"),"&gt;="&amp;CN$1,INDIRECT("Table1[Obergruppe ATC-Code]"),Tabelle3!$A15)</f>
        <v>0</v>
      </c>
      <c r="CO15">
        <f ca="1">COUNTIFS(INDIRECT("Table1[Beginn]"),"&lt;="&amp;CO$1,INDIRECT("Table1[Ende]"),"&gt;="&amp;CO$1,INDIRECT("Table1[Obergruppe ATC-Code]"),Tabelle3!$A15)</f>
        <v>0</v>
      </c>
      <c r="CP15">
        <f ca="1">COUNTIFS(INDIRECT("Table1[Beginn]"),"&lt;="&amp;CP$1,INDIRECT("Table1[Ende]"),"&gt;="&amp;CP$1,INDIRECT("Table1[Obergruppe ATC-Code]"),Tabelle3!$A15)</f>
        <v>0</v>
      </c>
      <c r="CQ15">
        <f ca="1">COUNTIFS(INDIRECT("Table1[Beginn]"),"&lt;="&amp;CQ$1,INDIRECT("Table1[Ende]"),"&gt;="&amp;CQ$1,INDIRECT("Table1[Obergruppe ATC-Code]"),Tabelle3!$A15)</f>
        <v>0</v>
      </c>
      <c r="CR15">
        <f ca="1">COUNTIFS(INDIRECT("Table1[Beginn]"),"&lt;="&amp;CR$1,INDIRECT("Table1[Ende]"),"&gt;="&amp;CR$1,INDIRECT("Table1[Obergruppe ATC-Code]"),Tabelle3!$A15)</f>
        <v>0</v>
      </c>
    </row>
    <row r="16" spans="1:96" ht="18">
      <c r="A16" s="7" t="s">
        <v>6800</v>
      </c>
      <c r="B16" s="8" t="s">
        <v>6801</v>
      </c>
      <c r="C16">
        <f ca="1">COUNTIFS(INDIRECT("Table1[Beginn]"),"&lt;="&amp;C$1,INDIRECT("Table1[Ende]"),"&gt;="&amp;C$1,INDIRECT("Table1[Obergruppe ATC-Code]"),Tabelle3!$A16)</f>
        <v>0</v>
      </c>
      <c r="D16">
        <f ca="1">COUNTIFS(INDIRECT("Table1[Beginn]"),"&lt;="&amp;D$1,INDIRECT("Table1[Ende]"),"&gt;="&amp;D$1,INDIRECT("Table1[Obergruppe ATC-Code]"),Tabelle3!$A16)</f>
        <v>0</v>
      </c>
      <c r="E16">
        <f ca="1">COUNTIFS(INDIRECT("Table1[Beginn]"),"&lt;="&amp;E$1,INDIRECT("Table1[Ende]"),"&gt;="&amp;E$1,INDIRECT("Table1[Obergruppe ATC-Code]"),Tabelle3!$A16)</f>
        <v>0</v>
      </c>
      <c r="F16">
        <f ca="1">COUNTIFS(INDIRECT("Table1[Beginn]"),"&lt;="&amp;F$1,INDIRECT("Table1[Ende]"),"&gt;="&amp;F$1,INDIRECT("Table1[Obergruppe ATC-Code]"),Tabelle3!$A16)</f>
        <v>0</v>
      </c>
      <c r="G16">
        <f ca="1">COUNTIFS(INDIRECT("Table1[Beginn]"),"&lt;="&amp;G$1,INDIRECT("Table1[Ende]"),"&gt;="&amp;G$1,INDIRECT("Table1[Obergruppe ATC-Code]"),Tabelle3!$A16)</f>
        <v>0</v>
      </c>
      <c r="H16">
        <f ca="1">COUNTIFS(INDIRECT("Table1[Beginn]"),"&lt;="&amp;H$1,INDIRECT("Table1[Ende]"),"&gt;="&amp;H$1,INDIRECT("Table1[Obergruppe ATC-Code]"),Tabelle3!$A16)</f>
        <v>0</v>
      </c>
      <c r="I16">
        <f ca="1">COUNTIFS(INDIRECT("Table1[Beginn]"),"&lt;="&amp;I$1,INDIRECT("Table1[Ende]"),"&gt;="&amp;I$1,INDIRECT("Table1[Obergruppe ATC-Code]"),Tabelle3!$A16)</f>
        <v>0</v>
      </c>
      <c r="J16">
        <f ca="1">COUNTIFS(INDIRECT("Table1[Beginn]"),"&lt;="&amp;J$1,INDIRECT("Table1[Ende]"),"&gt;="&amp;J$1,INDIRECT("Table1[Obergruppe ATC-Code]"),Tabelle3!$A16)</f>
        <v>0</v>
      </c>
      <c r="K16">
        <f ca="1">COUNTIFS(INDIRECT("Table1[Beginn]"),"&lt;="&amp;K$1,INDIRECT("Table1[Ende]"),"&gt;="&amp;K$1,INDIRECT("Table1[Obergruppe ATC-Code]"),Tabelle3!$A16)</f>
        <v>0</v>
      </c>
      <c r="L16">
        <f ca="1">COUNTIFS(INDIRECT("Table1[Beginn]"),"&lt;="&amp;L$1,INDIRECT("Table1[Ende]"),"&gt;="&amp;L$1,INDIRECT("Table1[Obergruppe ATC-Code]"),Tabelle3!$A16)</f>
        <v>0</v>
      </c>
      <c r="M16">
        <f ca="1">COUNTIFS(INDIRECT("Table1[Beginn]"),"&lt;="&amp;M$1,INDIRECT("Table1[Ende]"),"&gt;="&amp;M$1,INDIRECT("Table1[Obergruppe ATC-Code]"),Tabelle3!$A16)</f>
        <v>0</v>
      </c>
      <c r="N16">
        <f ca="1">COUNTIFS(INDIRECT("Table1[Beginn]"),"&lt;="&amp;N$1,INDIRECT("Table1[Ende]"),"&gt;="&amp;N$1,INDIRECT("Table1[Obergruppe ATC-Code]"),Tabelle3!$A16)</f>
        <v>0</v>
      </c>
      <c r="O16">
        <f ca="1">COUNTIFS(INDIRECT("Table1[Beginn]"),"&lt;="&amp;O$1,INDIRECT("Table1[Ende]"),"&gt;="&amp;O$1,INDIRECT("Table1[Obergruppe ATC-Code]"),Tabelle3!$A16)</f>
        <v>0</v>
      </c>
      <c r="P16">
        <f ca="1">COUNTIFS(INDIRECT("Table1[Beginn]"),"&lt;="&amp;P$1,INDIRECT("Table1[Ende]"),"&gt;="&amp;P$1,INDIRECT("Table1[Obergruppe ATC-Code]"),Tabelle3!$A16)</f>
        <v>0</v>
      </c>
      <c r="Q16">
        <f ca="1">COUNTIFS(INDIRECT("Table1[Beginn]"),"&lt;="&amp;Q$1,INDIRECT("Table1[Ende]"),"&gt;="&amp;Q$1,INDIRECT("Table1[Obergruppe ATC-Code]"),Tabelle3!$A16)</f>
        <v>0</v>
      </c>
      <c r="R16">
        <f ca="1">COUNTIFS(INDIRECT("Table1[Beginn]"),"&lt;="&amp;R$1,INDIRECT("Table1[Ende]"),"&gt;="&amp;R$1,INDIRECT("Table1[Obergruppe ATC-Code]"),Tabelle3!$A16)</f>
        <v>0</v>
      </c>
      <c r="S16">
        <f ca="1">COUNTIFS(INDIRECT("Table1[Beginn]"),"&lt;="&amp;S$1,INDIRECT("Table1[Ende]"),"&gt;="&amp;S$1,INDIRECT("Table1[Obergruppe ATC-Code]"),Tabelle3!$A16)</f>
        <v>0</v>
      </c>
      <c r="T16">
        <f ca="1">COUNTIFS(INDIRECT("Table1[Beginn]"),"&lt;="&amp;T$1,INDIRECT("Table1[Ende]"),"&gt;="&amp;T$1,INDIRECT("Table1[Obergruppe ATC-Code]"),Tabelle3!$A16)</f>
        <v>0</v>
      </c>
      <c r="U16">
        <f ca="1">COUNTIFS(INDIRECT("Table1[Beginn]"),"&lt;="&amp;U$1,INDIRECT("Table1[Ende]"),"&gt;="&amp;U$1,INDIRECT("Table1[Obergruppe ATC-Code]"),Tabelle3!$A16)</f>
        <v>0</v>
      </c>
      <c r="V16">
        <f ca="1">COUNTIFS(INDIRECT("Table1[Beginn]"),"&lt;="&amp;V$1,INDIRECT("Table1[Ende]"),"&gt;="&amp;V$1,INDIRECT("Table1[Obergruppe ATC-Code]"),Tabelle3!$A16)</f>
        <v>0</v>
      </c>
      <c r="W16">
        <f ca="1">COUNTIFS(INDIRECT("Table1[Beginn]"),"&lt;="&amp;W$1,INDIRECT("Table1[Ende]"),"&gt;="&amp;W$1,INDIRECT("Table1[Obergruppe ATC-Code]"),Tabelle3!$A16)</f>
        <v>0</v>
      </c>
      <c r="X16">
        <f ca="1">COUNTIFS(INDIRECT("Table1[Beginn]"),"&lt;="&amp;X$1,INDIRECT("Table1[Ende]"),"&gt;="&amp;X$1,INDIRECT("Table1[Obergruppe ATC-Code]"),Tabelle3!$A16)</f>
        <v>0</v>
      </c>
      <c r="Y16">
        <f ca="1">COUNTIFS(INDIRECT("Table1[Beginn]"),"&lt;="&amp;Y$1,INDIRECT("Table1[Ende]"),"&gt;="&amp;Y$1,INDIRECT("Table1[Obergruppe ATC-Code]"),Tabelle3!$A16)</f>
        <v>0</v>
      </c>
      <c r="Z16">
        <f ca="1">COUNTIFS(INDIRECT("Table1[Beginn]"),"&lt;="&amp;Z$1,INDIRECT("Table1[Ende]"),"&gt;="&amp;Z$1,INDIRECT("Table1[Obergruppe ATC-Code]"),Tabelle3!$A16)</f>
        <v>0</v>
      </c>
      <c r="AA16">
        <f ca="1">COUNTIFS(INDIRECT("Table1[Beginn]"),"&lt;="&amp;AA$1,INDIRECT("Table1[Ende]"),"&gt;="&amp;AA$1,INDIRECT("Table1[Obergruppe ATC-Code]"),Tabelle3!$A16)</f>
        <v>0</v>
      </c>
      <c r="AB16">
        <f ca="1">COUNTIFS(INDIRECT("Table1[Beginn]"),"&lt;="&amp;AB$1,INDIRECT("Table1[Ende]"),"&gt;="&amp;AB$1,INDIRECT("Table1[Obergruppe ATC-Code]"),Tabelle3!$A16)</f>
        <v>0</v>
      </c>
      <c r="AC16">
        <f ca="1">COUNTIFS(INDIRECT("Table1[Beginn]"),"&lt;="&amp;AC$1,INDIRECT("Table1[Ende]"),"&gt;="&amp;AC$1,INDIRECT("Table1[Obergruppe ATC-Code]"),Tabelle3!$A16)</f>
        <v>0</v>
      </c>
      <c r="AD16">
        <f ca="1">COUNTIFS(INDIRECT("Table1[Beginn]"),"&lt;="&amp;AD$1,INDIRECT("Table1[Ende]"),"&gt;="&amp;AD$1,INDIRECT("Table1[Obergruppe ATC-Code]"),Tabelle3!$A16)</f>
        <v>0</v>
      </c>
      <c r="AE16">
        <f ca="1">COUNTIFS(INDIRECT("Table1[Beginn]"),"&lt;="&amp;AE$1,INDIRECT("Table1[Ende]"),"&gt;="&amp;AE$1,INDIRECT("Table1[Obergruppe ATC-Code]"),Tabelle3!$A16)</f>
        <v>0</v>
      </c>
      <c r="AF16">
        <f ca="1">COUNTIFS(INDIRECT("Table1[Beginn]"),"&lt;="&amp;AF$1,INDIRECT("Table1[Ende]"),"&gt;="&amp;AF$1,INDIRECT("Table1[Obergruppe ATC-Code]"),Tabelle3!$A16)</f>
        <v>0</v>
      </c>
      <c r="AG16">
        <f ca="1">COUNTIFS(INDIRECT("Table1[Beginn]"),"&lt;="&amp;AG$1,INDIRECT("Table1[Ende]"),"&gt;="&amp;AG$1,INDIRECT("Table1[Obergruppe ATC-Code]"),Tabelle3!$A16)</f>
        <v>0</v>
      </c>
      <c r="AH16">
        <f ca="1">COUNTIFS(INDIRECT("Table1[Beginn]"),"&lt;="&amp;AH$1,INDIRECT("Table1[Ende]"),"&gt;="&amp;AH$1,INDIRECT("Table1[Obergruppe ATC-Code]"),Tabelle3!$A16)</f>
        <v>0</v>
      </c>
      <c r="AI16">
        <f ca="1">COUNTIFS(INDIRECT("Table1[Beginn]"),"&lt;="&amp;AI$1,INDIRECT("Table1[Ende]"),"&gt;="&amp;AI$1,INDIRECT("Table1[Obergruppe ATC-Code]"),Tabelle3!$A16)</f>
        <v>0</v>
      </c>
      <c r="AJ16">
        <f ca="1">COUNTIFS(INDIRECT("Table1[Beginn]"),"&lt;="&amp;AJ$1,INDIRECT("Table1[Ende]"),"&gt;="&amp;AJ$1,INDIRECT("Table1[Obergruppe ATC-Code]"),Tabelle3!$A16)</f>
        <v>0</v>
      </c>
      <c r="AK16">
        <f ca="1">COUNTIFS(INDIRECT("Table1[Beginn]"),"&lt;="&amp;AK$1,INDIRECT("Table1[Ende]"),"&gt;="&amp;AK$1,INDIRECT("Table1[Obergruppe ATC-Code]"),Tabelle3!$A16)</f>
        <v>0</v>
      </c>
      <c r="AL16">
        <f ca="1">COUNTIFS(INDIRECT("Table1[Beginn]"),"&lt;="&amp;AL$1,INDIRECT("Table1[Ende]"),"&gt;="&amp;AL$1,INDIRECT("Table1[Obergruppe ATC-Code]"),Tabelle3!$A16)</f>
        <v>0</v>
      </c>
      <c r="AM16">
        <f ca="1">COUNTIFS(INDIRECT("Table1[Beginn]"),"&lt;="&amp;AM$1,INDIRECT("Table1[Ende]"),"&gt;="&amp;AM$1,INDIRECT("Table1[Obergruppe ATC-Code]"),Tabelle3!$A16)</f>
        <v>0</v>
      </c>
      <c r="AN16">
        <f ca="1">COUNTIFS(INDIRECT("Table1[Beginn]"),"&lt;="&amp;AN$1,INDIRECT("Table1[Ende]"),"&gt;="&amp;AN$1,INDIRECT("Table1[Obergruppe ATC-Code]"),Tabelle3!$A16)</f>
        <v>0</v>
      </c>
      <c r="AO16">
        <f ca="1">COUNTIFS(INDIRECT("Table1[Beginn]"),"&lt;="&amp;AO$1,INDIRECT("Table1[Ende]"),"&gt;="&amp;AO$1,INDIRECT("Table1[Obergruppe ATC-Code]"),Tabelle3!$A16)</f>
        <v>0</v>
      </c>
      <c r="AP16">
        <f ca="1">COUNTIFS(INDIRECT("Table1[Beginn]"),"&lt;="&amp;AP$1,INDIRECT("Table1[Ende]"),"&gt;="&amp;AP$1,INDIRECT("Table1[Obergruppe ATC-Code]"),Tabelle3!$A16)</f>
        <v>0</v>
      </c>
      <c r="AQ16">
        <f ca="1">COUNTIFS(INDIRECT("Table1[Beginn]"),"&lt;="&amp;AQ$1,INDIRECT("Table1[Ende]"),"&gt;="&amp;AQ$1,INDIRECT("Table1[Obergruppe ATC-Code]"),Tabelle3!$A16)</f>
        <v>0</v>
      </c>
      <c r="AR16">
        <f ca="1">COUNTIFS(INDIRECT("Table1[Beginn]"),"&lt;="&amp;AR$1,INDIRECT("Table1[Ende]"),"&gt;="&amp;AR$1,INDIRECT("Table1[Obergruppe ATC-Code]"),Tabelle3!$A16)</f>
        <v>0</v>
      </c>
      <c r="AS16">
        <f ca="1">COUNTIFS(INDIRECT("Table1[Beginn]"),"&lt;="&amp;AS$1,INDIRECT("Table1[Ende]"),"&gt;="&amp;AS$1,INDIRECT("Table1[Obergruppe ATC-Code]"),Tabelle3!$A16)</f>
        <v>0</v>
      </c>
      <c r="AT16">
        <f ca="1">COUNTIFS(INDIRECT("Table1[Beginn]"),"&lt;="&amp;AT$1,INDIRECT("Table1[Ende]"),"&gt;="&amp;AT$1,INDIRECT("Table1[Obergruppe ATC-Code]"),Tabelle3!$A16)</f>
        <v>0</v>
      </c>
      <c r="AU16">
        <f ca="1">COUNTIFS(INDIRECT("Table1[Beginn]"),"&lt;="&amp;AU$1,INDIRECT("Table1[Ende]"),"&gt;="&amp;AU$1,INDIRECT("Table1[Obergruppe ATC-Code]"),Tabelle3!$A16)</f>
        <v>0</v>
      </c>
      <c r="AV16">
        <f ca="1">COUNTIFS(INDIRECT("Table1[Beginn]"),"&lt;="&amp;AV$1,INDIRECT("Table1[Ende]"),"&gt;="&amp;AV$1,INDIRECT("Table1[Obergruppe ATC-Code]"),Tabelle3!$A16)</f>
        <v>0</v>
      </c>
      <c r="AW16">
        <f ca="1">COUNTIFS(INDIRECT("Table1[Beginn]"),"&lt;="&amp;AW$1,INDIRECT("Table1[Ende]"),"&gt;="&amp;AW$1,INDIRECT("Table1[Obergruppe ATC-Code]"),Tabelle3!$A16)</f>
        <v>0</v>
      </c>
      <c r="AX16">
        <f ca="1">COUNTIFS(INDIRECT("Table1[Beginn]"),"&lt;="&amp;AX$1,INDIRECT("Table1[Ende]"),"&gt;="&amp;AX$1,INDIRECT("Table1[Obergruppe ATC-Code]"),Tabelle3!$A16)</f>
        <v>0</v>
      </c>
      <c r="AY16">
        <f ca="1">COUNTIFS(INDIRECT("Table1[Beginn]"),"&lt;="&amp;AY$1,INDIRECT("Table1[Ende]"),"&gt;="&amp;AY$1,INDIRECT("Table1[Obergruppe ATC-Code]"),Tabelle3!$A16)</f>
        <v>0</v>
      </c>
      <c r="AZ16">
        <f ca="1">COUNTIFS(INDIRECT("Table1[Beginn]"),"&lt;="&amp;AZ$1,INDIRECT("Table1[Ende]"),"&gt;="&amp;AZ$1,INDIRECT("Table1[Obergruppe ATC-Code]"),Tabelle3!$A16)</f>
        <v>0</v>
      </c>
      <c r="BA16">
        <f ca="1">COUNTIFS(INDIRECT("Table1[Beginn]"),"&lt;="&amp;BA$1,INDIRECT("Table1[Ende]"),"&gt;="&amp;BA$1,INDIRECT("Table1[Obergruppe ATC-Code]"),Tabelle3!$A16)</f>
        <v>0</v>
      </c>
      <c r="BB16">
        <f ca="1">COUNTIFS(INDIRECT("Table1[Beginn]"),"&lt;="&amp;BB$1,INDIRECT("Table1[Ende]"),"&gt;="&amp;BB$1,INDIRECT("Table1[Obergruppe ATC-Code]"),Tabelle3!$A16)</f>
        <v>0</v>
      </c>
      <c r="BC16">
        <f ca="1">COUNTIFS(INDIRECT("Table1[Beginn]"),"&lt;="&amp;BC$1,INDIRECT("Table1[Ende]"),"&gt;="&amp;BC$1,INDIRECT("Table1[Obergruppe ATC-Code]"),Tabelle3!$A16)</f>
        <v>0</v>
      </c>
      <c r="BD16">
        <f ca="1">COUNTIFS(INDIRECT("Table1[Beginn]"),"&lt;="&amp;BD$1,INDIRECT("Table1[Ende]"),"&gt;="&amp;BD$1,INDIRECT("Table1[Obergruppe ATC-Code]"),Tabelle3!$A16)</f>
        <v>0</v>
      </c>
      <c r="BE16">
        <f ca="1">COUNTIFS(INDIRECT("Table1[Beginn]"),"&lt;="&amp;BE$1,INDIRECT("Table1[Ende]"),"&gt;="&amp;BE$1,INDIRECT("Table1[Obergruppe ATC-Code]"),Tabelle3!$A16)</f>
        <v>0</v>
      </c>
      <c r="BF16">
        <f ca="1">COUNTIFS(INDIRECT("Table1[Beginn]"),"&lt;="&amp;BF$1,INDIRECT("Table1[Ende]"),"&gt;="&amp;BF$1,INDIRECT("Table1[Obergruppe ATC-Code]"),Tabelle3!$A16)</f>
        <v>0</v>
      </c>
      <c r="BG16">
        <f ca="1">COUNTIFS(INDIRECT("Table1[Beginn]"),"&lt;="&amp;BG$1,INDIRECT("Table1[Ende]"),"&gt;="&amp;BG$1,INDIRECT("Table1[Obergruppe ATC-Code]"),Tabelle3!$A16)</f>
        <v>0</v>
      </c>
      <c r="BH16">
        <f ca="1">COUNTIFS(INDIRECT("Table1[Beginn]"),"&lt;="&amp;BH$1,INDIRECT("Table1[Ende]"),"&gt;="&amp;BH$1,INDIRECT("Table1[Obergruppe ATC-Code]"),Tabelle3!$A16)</f>
        <v>0</v>
      </c>
      <c r="BI16">
        <f ca="1">COUNTIFS(INDIRECT("Table1[Beginn]"),"&lt;="&amp;BI$1,INDIRECT("Table1[Ende]"),"&gt;="&amp;BI$1,INDIRECT("Table1[Obergruppe ATC-Code]"),Tabelle3!$A16)</f>
        <v>0</v>
      </c>
      <c r="BJ16">
        <f ca="1">COUNTIFS(INDIRECT("Table1[Beginn]"),"&lt;="&amp;BJ$1,INDIRECT("Table1[Ende]"),"&gt;="&amp;BJ$1,INDIRECT("Table1[Obergruppe ATC-Code]"),Tabelle3!$A16)</f>
        <v>0</v>
      </c>
      <c r="BK16">
        <f ca="1">COUNTIFS(INDIRECT("Table1[Beginn]"),"&lt;="&amp;BK$1,INDIRECT("Table1[Ende]"),"&gt;="&amp;BK$1,INDIRECT("Table1[Obergruppe ATC-Code]"),Tabelle3!$A16)</f>
        <v>0</v>
      </c>
      <c r="BL16">
        <f ca="1">COUNTIFS(INDIRECT("Table1[Beginn]"),"&lt;="&amp;BL$1,INDIRECT("Table1[Ende]"),"&gt;="&amp;BL$1,INDIRECT("Table1[Obergruppe ATC-Code]"),Tabelle3!$A16)</f>
        <v>0</v>
      </c>
      <c r="BM16">
        <f ca="1">COUNTIFS(INDIRECT("Table1[Beginn]"),"&lt;="&amp;BM$1,INDIRECT("Table1[Ende]"),"&gt;="&amp;BM$1,INDIRECT("Table1[Obergruppe ATC-Code]"),Tabelle3!$A16)</f>
        <v>0</v>
      </c>
      <c r="BN16">
        <f ca="1">COUNTIFS(INDIRECT("Table1[Beginn]"),"&lt;="&amp;BN$1,INDIRECT("Table1[Ende]"),"&gt;="&amp;BN$1,INDIRECT("Table1[Obergruppe ATC-Code]"),Tabelle3!$A16)</f>
        <v>0</v>
      </c>
      <c r="BO16">
        <f ca="1">COUNTIFS(INDIRECT("Table1[Beginn]"),"&lt;="&amp;BO$1,INDIRECT("Table1[Ende]"),"&gt;="&amp;BO$1,INDIRECT("Table1[Obergruppe ATC-Code]"),Tabelle3!$A16)</f>
        <v>0</v>
      </c>
      <c r="BP16">
        <f ca="1">COUNTIFS(INDIRECT("Table1[Beginn]"),"&lt;="&amp;BP$1,INDIRECT("Table1[Ende]"),"&gt;="&amp;BP$1,INDIRECT("Table1[Obergruppe ATC-Code]"),Tabelle3!$A16)</f>
        <v>0</v>
      </c>
      <c r="BQ16">
        <f ca="1">COUNTIFS(INDIRECT("Table1[Beginn]"),"&lt;="&amp;BQ$1,INDIRECT("Table1[Ende]"),"&gt;="&amp;BQ$1,INDIRECT("Table1[Obergruppe ATC-Code]"),Tabelle3!$A16)</f>
        <v>0</v>
      </c>
      <c r="BR16">
        <f ca="1">COUNTIFS(INDIRECT("Table1[Beginn]"),"&lt;="&amp;BR$1,INDIRECT("Table1[Ende]"),"&gt;="&amp;BR$1,INDIRECT("Table1[Obergruppe ATC-Code]"),Tabelle3!$A16)</f>
        <v>0</v>
      </c>
      <c r="BS16">
        <f ca="1">COUNTIFS(INDIRECT("Table1[Beginn]"),"&lt;="&amp;BS$1,INDIRECT("Table1[Ende]"),"&gt;="&amp;BS$1,INDIRECT("Table1[Obergruppe ATC-Code]"),Tabelle3!$A16)</f>
        <v>0</v>
      </c>
      <c r="BT16">
        <f ca="1">COUNTIFS(INDIRECT("Table1[Beginn]"),"&lt;="&amp;BT$1,INDIRECT("Table1[Ende]"),"&gt;="&amp;BT$1,INDIRECT("Table1[Obergruppe ATC-Code]"),Tabelle3!$A16)</f>
        <v>0</v>
      </c>
      <c r="BU16">
        <f ca="1">COUNTIFS(INDIRECT("Table1[Beginn]"),"&lt;="&amp;BU$1,INDIRECT("Table1[Ende]"),"&gt;="&amp;BU$1,INDIRECT("Table1[Obergruppe ATC-Code]"),Tabelle3!$A16)</f>
        <v>0</v>
      </c>
      <c r="BV16">
        <f ca="1">COUNTIFS(INDIRECT("Table1[Beginn]"),"&lt;="&amp;BV$1,INDIRECT("Table1[Ende]"),"&gt;="&amp;BV$1,INDIRECT("Table1[Obergruppe ATC-Code]"),Tabelle3!$A16)</f>
        <v>0</v>
      </c>
      <c r="BW16">
        <f ca="1">COUNTIFS(INDIRECT("Table1[Beginn]"),"&lt;="&amp;BW$1,INDIRECT("Table1[Ende]"),"&gt;="&amp;BW$1,INDIRECT("Table1[Obergruppe ATC-Code]"),Tabelle3!$A16)</f>
        <v>0</v>
      </c>
      <c r="BX16">
        <f ca="1">COUNTIFS(INDIRECT("Table1[Beginn]"),"&lt;="&amp;BX$1,INDIRECT("Table1[Ende]"),"&gt;="&amp;BX$1,INDIRECT("Table1[Obergruppe ATC-Code]"),Tabelle3!$A16)</f>
        <v>0</v>
      </c>
      <c r="BY16">
        <f ca="1">COUNTIFS(INDIRECT("Table1[Beginn]"),"&lt;="&amp;BY$1,INDIRECT("Table1[Ende]"),"&gt;="&amp;BY$1,INDIRECT("Table1[Obergruppe ATC-Code]"),Tabelle3!$A16)</f>
        <v>0</v>
      </c>
      <c r="BZ16">
        <f ca="1">COUNTIFS(INDIRECT("Table1[Beginn]"),"&lt;="&amp;BZ$1,INDIRECT("Table1[Ende]"),"&gt;="&amp;BZ$1,INDIRECT("Table1[Obergruppe ATC-Code]"),Tabelle3!$A16)</f>
        <v>0</v>
      </c>
      <c r="CA16">
        <f ca="1">COUNTIFS(INDIRECT("Table1[Beginn]"),"&lt;="&amp;CA$1,INDIRECT("Table1[Ende]"),"&gt;="&amp;CA$1,INDIRECT("Table1[Obergruppe ATC-Code]"),Tabelle3!$A16)</f>
        <v>0</v>
      </c>
      <c r="CB16">
        <f ca="1">COUNTIFS(INDIRECT("Table1[Beginn]"),"&lt;="&amp;CB$1,INDIRECT("Table1[Ende]"),"&gt;="&amp;CB$1,INDIRECT("Table1[Obergruppe ATC-Code]"),Tabelle3!$A16)</f>
        <v>0</v>
      </c>
      <c r="CC16">
        <f ca="1">COUNTIFS(INDIRECT("Table1[Beginn]"),"&lt;="&amp;CC$1,INDIRECT("Table1[Ende]"),"&gt;="&amp;CC$1,INDIRECT("Table1[Obergruppe ATC-Code]"),Tabelle3!$A16)</f>
        <v>0</v>
      </c>
      <c r="CD16">
        <f ca="1">COUNTIFS(INDIRECT("Table1[Beginn]"),"&lt;="&amp;CD$1,INDIRECT("Table1[Ende]"),"&gt;="&amp;CD$1,INDIRECT("Table1[Obergruppe ATC-Code]"),Tabelle3!$A16)</f>
        <v>0</v>
      </c>
      <c r="CE16">
        <f ca="1">COUNTIFS(INDIRECT("Table1[Beginn]"),"&lt;="&amp;CE$1,INDIRECT("Table1[Ende]"),"&gt;="&amp;CE$1,INDIRECT("Table1[Obergruppe ATC-Code]"),Tabelle3!$A16)</f>
        <v>0</v>
      </c>
      <c r="CF16">
        <f ca="1">COUNTIFS(INDIRECT("Table1[Beginn]"),"&lt;="&amp;CF$1,INDIRECT("Table1[Ende]"),"&gt;="&amp;CF$1,INDIRECT("Table1[Obergruppe ATC-Code]"),Tabelle3!$A16)</f>
        <v>0</v>
      </c>
      <c r="CG16">
        <f ca="1">COUNTIFS(INDIRECT("Table1[Beginn]"),"&lt;="&amp;CG$1,INDIRECT("Table1[Ende]"),"&gt;="&amp;CG$1,INDIRECT("Table1[Obergruppe ATC-Code]"),Tabelle3!$A16)</f>
        <v>0</v>
      </c>
      <c r="CH16">
        <f ca="1">COUNTIFS(INDIRECT("Table1[Beginn]"),"&lt;="&amp;CH$1,INDIRECT("Table1[Ende]"),"&gt;="&amp;CH$1,INDIRECT("Table1[Obergruppe ATC-Code]"),Tabelle3!$A16)</f>
        <v>0</v>
      </c>
      <c r="CI16">
        <f ca="1">COUNTIFS(INDIRECT("Table1[Beginn]"),"&lt;="&amp;CI$1,INDIRECT("Table1[Ende]"),"&gt;="&amp;CI$1,INDIRECT("Table1[Obergruppe ATC-Code]"),Tabelle3!$A16)</f>
        <v>0</v>
      </c>
      <c r="CJ16">
        <f ca="1">COUNTIFS(INDIRECT("Table1[Beginn]"),"&lt;="&amp;CJ$1,INDIRECT("Table1[Ende]"),"&gt;="&amp;CJ$1,INDIRECT("Table1[Obergruppe ATC-Code]"),Tabelle3!$A16)</f>
        <v>0</v>
      </c>
      <c r="CK16">
        <f ca="1">COUNTIFS(INDIRECT("Table1[Beginn]"),"&lt;="&amp;CK$1,INDIRECT("Table1[Ende]"),"&gt;="&amp;CK$1,INDIRECT("Table1[Obergruppe ATC-Code]"),Tabelle3!$A16)</f>
        <v>0</v>
      </c>
      <c r="CL16">
        <f ca="1">COUNTIFS(INDIRECT("Table1[Beginn]"),"&lt;="&amp;CL$1,INDIRECT("Table1[Ende]"),"&gt;="&amp;CL$1,INDIRECT("Table1[Obergruppe ATC-Code]"),Tabelle3!$A16)</f>
        <v>0</v>
      </c>
      <c r="CM16">
        <f ca="1">COUNTIFS(INDIRECT("Table1[Beginn]"),"&lt;="&amp;CM$1,INDIRECT("Table1[Ende]"),"&gt;="&amp;CM$1,INDIRECT("Table1[Obergruppe ATC-Code]"),Tabelle3!$A16)</f>
        <v>0</v>
      </c>
      <c r="CN16">
        <f ca="1">COUNTIFS(INDIRECT("Table1[Beginn]"),"&lt;="&amp;CN$1,INDIRECT("Table1[Ende]"),"&gt;="&amp;CN$1,INDIRECT("Table1[Obergruppe ATC-Code]"),Tabelle3!$A16)</f>
        <v>0</v>
      </c>
      <c r="CO16">
        <f ca="1">COUNTIFS(INDIRECT("Table1[Beginn]"),"&lt;="&amp;CO$1,INDIRECT("Table1[Ende]"),"&gt;="&amp;CO$1,INDIRECT("Table1[Obergruppe ATC-Code]"),Tabelle3!$A16)</f>
        <v>0</v>
      </c>
      <c r="CP16">
        <f ca="1">COUNTIFS(INDIRECT("Table1[Beginn]"),"&lt;="&amp;CP$1,INDIRECT("Table1[Ende]"),"&gt;="&amp;CP$1,INDIRECT("Table1[Obergruppe ATC-Code]"),Tabelle3!$A16)</f>
        <v>0</v>
      </c>
      <c r="CQ16">
        <f ca="1">COUNTIFS(INDIRECT("Table1[Beginn]"),"&lt;="&amp;CQ$1,INDIRECT("Table1[Ende]"),"&gt;="&amp;CQ$1,INDIRECT("Table1[Obergruppe ATC-Code]"),Tabelle3!$A16)</f>
        <v>0</v>
      </c>
      <c r="CR16">
        <f ca="1">COUNTIFS(INDIRECT("Table1[Beginn]"),"&lt;="&amp;CR$1,INDIRECT("Table1[Ende]"),"&gt;="&amp;CR$1,INDIRECT("Table1[Obergruppe ATC-Code]"),Tabelle3!$A16)</f>
        <v>0</v>
      </c>
    </row>
    <row r="17" spans="1:96" ht="18">
      <c r="A17" s="9" t="s">
        <v>6802</v>
      </c>
      <c r="B17" s="10" t="s">
        <v>6803</v>
      </c>
      <c r="C17">
        <f ca="1">COUNTIFS(INDIRECT("Table1[Beginn]"),"&lt;="&amp;C$1,INDIRECT("Table1[Ende]"),"&gt;="&amp;C$1,INDIRECT("Table1[Obergruppe ATC-Code]"),Tabelle3!$A17)</f>
        <v>0</v>
      </c>
      <c r="D17">
        <f ca="1">COUNTIFS(INDIRECT("Table1[Beginn]"),"&lt;="&amp;D$1,INDIRECT("Table1[Ende]"),"&gt;="&amp;D$1,INDIRECT("Table1[Obergruppe ATC-Code]"),Tabelle3!$A17)</f>
        <v>0</v>
      </c>
      <c r="E17">
        <f ca="1">COUNTIFS(INDIRECT("Table1[Beginn]"),"&lt;="&amp;E$1,INDIRECT("Table1[Ende]"),"&gt;="&amp;E$1,INDIRECT("Table1[Obergruppe ATC-Code]"),Tabelle3!$A17)</f>
        <v>0</v>
      </c>
      <c r="F17">
        <f ca="1">COUNTIFS(INDIRECT("Table1[Beginn]"),"&lt;="&amp;F$1,INDIRECT("Table1[Ende]"),"&gt;="&amp;F$1,INDIRECT("Table1[Obergruppe ATC-Code]"),Tabelle3!$A17)</f>
        <v>0</v>
      </c>
      <c r="G17">
        <f ca="1">COUNTIFS(INDIRECT("Table1[Beginn]"),"&lt;="&amp;G$1,INDIRECT("Table1[Ende]"),"&gt;="&amp;G$1,INDIRECT("Table1[Obergruppe ATC-Code]"),Tabelle3!$A17)</f>
        <v>0</v>
      </c>
      <c r="H17">
        <f ca="1">COUNTIFS(INDIRECT("Table1[Beginn]"),"&lt;="&amp;H$1,INDIRECT("Table1[Ende]"),"&gt;="&amp;H$1,INDIRECT("Table1[Obergruppe ATC-Code]"),Tabelle3!$A17)</f>
        <v>0</v>
      </c>
      <c r="I17">
        <f ca="1">COUNTIFS(INDIRECT("Table1[Beginn]"),"&lt;="&amp;I$1,INDIRECT("Table1[Ende]"),"&gt;="&amp;I$1,INDIRECT("Table1[Obergruppe ATC-Code]"),Tabelle3!$A17)</f>
        <v>0</v>
      </c>
      <c r="J17">
        <f ca="1">COUNTIFS(INDIRECT("Table1[Beginn]"),"&lt;="&amp;J$1,INDIRECT("Table1[Ende]"),"&gt;="&amp;J$1,INDIRECT("Table1[Obergruppe ATC-Code]"),Tabelle3!$A17)</f>
        <v>0</v>
      </c>
      <c r="K17">
        <f ca="1">COUNTIFS(INDIRECT("Table1[Beginn]"),"&lt;="&amp;K$1,INDIRECT("Table1[Ende]"),"&gt;="&amp;K$1,INDIRECT("Table1[Obergruppe ATC-Code]"),Tabelle3!$A17)</f>
        <v>0</v>
      </c>
      <c r="L17">
        <f ca="1">COUNTIFS(INDIRECT("Table1[Beginn]"),"&lt;="&amp;L$1,INDIRECT("Table1[Ende]"),"&gt;="&amp;L$1,INDIRECT("Table1[Obergruppe ATC-Code]"),Tabelle3!$A17)</f>
        <v>0</v>
      </c>
      <c r="M17">
        <f ca="1">COUNTIFS(INDIRECT("Table1[Beginn]"),"&lt;="&amp;M$1,INDIRECT("Table1[Ende]"),"&gt;="&amp;M$1,INDIRECT("Table1[Obergruppe ATC-Code]"),Tabelle3!$A17)</f>
        <v>0</v>
      </c>
      <c r="N17">
        <f ca="1">COUNTIFS(INDIRECT("Table1[Beginn]"),"&lt;="&amp;N$1,INDIRECT("Table1[Ende]"),"&gt;="&amp;N$1,INDIRECT("Table1[Obergruppe ATC-Code]"),Tabelle3!$A17)</f>
        <v>0</v>
      </c>
      <c r="O17">
        <f ca="1">COUNTIFS(INDIRECT("Table1[Beginn]"),"&lt;="&amp;O$1,INDIRECT("Table1[Ende]"),"&gt;="&amp;O$1,INDIRECT("Table1[Obergruppe ATC-Code]"),Tabelle3!$A17)</f>
        <v>0</v>
      </c>
      <c r="P17">
        <f ca="1">COUNTIFS(INDIRECT("Table1[Beginn]"),"&lt;="&amp;P$1,INDIRECT("Table1[Ende]"),"&gt;="&amp;P$1,INDIRECT("Table1[Obergruppe ATC-Code]"),Tabelle3!$A17)</f>
        <v>0</v>
      </c>
      <c r="Q17">
        <f ca="1">COUNTIFS(INDIRECT("Table1[Beginn]"),"&lt;="&amp;Q$1,INDIRECT("Table1[Ende]"),"&gt;="&amp;Q$1,INDIRECT("Table1[Obergruppe ATC-Code]"),Tabelle3!$A17)</f>
        <v>0</v>
      </c>
      <c r="R17">
        <f ca="1">COUNTIFS(INDIRECT("Table1[Beginn]"),"&lt;="&amp;R$1,INDIRECT("Table1[Ende]"),"&gt;="&amp;R$1,INDIRECT("Table1[Obergruppe ATC-Code]"),Tabelle3!$A17)</f>
        <v>0</v>
      </c>
      <c r="S17">
        <f ca="1">COUNTIFS(INDIRECT("Table1[Beginn]"),"&lt;="&amp;S$1,INDIRECT("Table1[Ende]"),"&gt;="&amp;S$1,INDIRECT("Table1[Obergruppe ATC-Code]"),Tabelle3!$A17)</f>
        <v>0</v>
      </c>
      <c r="T17">
        <f ca="1">COUNTIFS(INDIRECT("Table1[Beginn]"),"&lt;="&amp;T$1,INDIRECT("Table1[Ende]"),"&gt;="&amp;T$1,INDIRECT("Table1[Obergruppe ATC-Code]"),Tabelle3!$A17)</f>
        <v>0</v>
      </c>
      <c r="U17">
        <f ca="1">COUNTIFS(INDIRECT("Table1[Beginn]"),"&lt;="&amp;U$1,INDIRECT("Table1[Ende]"),"&gt;="&amp;U$1,INDIRECT("Table1[Obergruppe ATC-Code]"),Tabelle3!$A17)</f>
        <v>0</v>
      </c>
      <c r="V17">
        <f ca="1">COUNTIFS(INDIRECT("Table1[Beginn]"),"&lt;="&amp;V$1,INDIRECT("Table1[Ende]"),"&gt;="&amp;V$1,INDIRECT("Table1[Obergruppe ATC-Code]"),Tabelle3!$A17)</f>
        <v>0</v>
      </c>
      <c r="W17">
        <f ca="1">COUNTIFS(INDIRECT("Table1[Beginn]"),"&lt;="&amp;W$1,INDIRECT("Table1[Ende]"),"&gt;="&amp;W$1,INDIRECT("Table1[Obergruppe ATC-Code]"),Tabelle3!$A17)</f>
        <v>0</v>
      </c>
      <c r="X17">
        <f ca="1">COUNTIFS(INDIRECT("Table1[Beginn]"),"&lt;="&amp;X$1,INDIRECT("Table1[Ende]"),"&gt;="&amp;X$1,INDIRECT("Table1[Obergruppe ATC-Code]"),Tabelle3!$A17)</f>
        <v>0</v>
      </c>
      <c r="Y17">
        <f ca="1">COUNTIFS(INDIRECT("Table1[Beginn]"),"&lt;="&amp;Y$1,INDIRECT("Table1[Ende]"),"&gt;="&amp;Y$1,INDIRECT("Table1[Obergruppe ATC-Code]"),Tabelle3!$A17)</f>
        <v>0</v>
      </c>
      <c r="Z17">
        <f ca="1">COUNTIFS(INDIRECT("Table1[Beginn]"),"&lt;="&amp;Z$1,INDIRECT("Table1[Ende]"),"&gt;="&amp;Z$1,INDIRECT("Table1[Obergruppe ATC-Code]"),Tabelle3!$A17)</f>
        <v>0</v>
      </c>
      <c r="AA17">
        <f ca="1">COUNTIFS(INDIRECT("Table1[Beginn]"),"&lt;="&amp;AA$1,INDIRECT("Table1[Ende]"),"&gt;="&amp;AA$1,INDIRECT("Table1[Obergruppe ATC-Code]"),Tabelle3!$A17)</f>
        <v>0</v>
      </c>
      <c r="AB17">
        <f ca="1">COUNTIFS(INDIRECT("Table1[Beginn]"),"&lt;="&amp;AB$1,INDIRECT("Table1[Ende]"),"&gt;="&amp;AB$1,INDIRECT("Table1[Obergruppe ATC-Code]"),Tabelle3!$A17)</f>
        <v>0</v>
      </c>
      <c r="AC17">
        <f ca="1">COUNTIFS(INDIRECT("Table1[Beginn]"),"&lt;="&amp;AC$1,INDIRECT("Table1[Ende]"),"&gt;="&amp;AC$1,INDIRECT("Table1[Obergruppe ATC-Code]"),Tabelle3!$A17)</f>
        <v>0</v>
      </c>
      <c r="AD17">
        <f ca="1">COUNTIFS(INDIRECT("Table1[Beginn]"),"&lt;="&amp;AD$1,INDIRECT("Table1[Ende]"),"&gt;="&amp;AD$1,INDIRECT("Table1[Obergruppe ATC-Code]"),Tabelle3!$A17)</f>
        <v>0</v>
      </c>
      <c r="AE17">
        <f ca="1">COUNTIFS(INDIRECT("Table1[Beginn]"),"&lt;="&amp;AE$1,INDIRECT("Table1[Ende]"),"&gt;="&amp;AE$1,INDIRECT("Table1[Obergruppe ATC-Code]"),Tabelle3!$A17)</f>
        <v>1</v>
      </c>
      <c r="AF17">
        <f ca="1">COUNTIFS(INDIRECT("Table1[Beginn]"),"&lt;="&amp;AF$1,INDIRECT("Table1[Ende]"),"&gt;="&amp;AF$1,INDIRECT("Table1[Obergruppe ATC-Code]"),Tabelle3!$A17)</f>
        <v>1</v>
      </c>
      <c r="AG17">
        <f ca="1">COUNTIFS(INDIRECT("Table1[Beginn]"),"&lt;="&amp;AG$1,INDIRECT("Table1[Ende]"),"&gt;="&amp;AG$1,INDIRECT("Table1[Obergruppe ATC-Code]"),Tabelle3!$A17)</f>
        <v>3</v>
      </c>
      <c r="AH17">
        <f ca="1">COUNTIFS(INDIRECT("Table1[Beginn]"),"&lt;="&amp;AH$1,INDIRECT("Table1[Ende]"),"&gt;="&amp;AH$1,INDIRECT("Table1[Obergruppe ATC-Code]"),Tabelle3!$A17)</f>
        <v>3</v>
      </c>
      <c r="AI17">
        <f ca="1">COUNTIFS(INDIRECT("Table1[Beginn]"),"&lt;="&amp;AI$1,INDIRECT("Table1[Ende]"),"&gt;="&amp;AI$1,INDIRECT("Table1[Obergruppe ATC-Code]"),Tabelle3!$A17)</f>
        <v>3</v>
      </c>
      <c r="AJ17">
        <f ca="1">COUNTIFS(INDIRECT("Table1[Beginn]"),"&lt;="&amp;AJ$1,INDIRECT("Table1[Ende]"),"&gt;="&amp;AJ$1,INDIRECT("Table1[Obergruppe ATC-Code]"),Tabelle3!$A17)</f>
        <v>0</v>
      </c>
      <c r="AK17">
        <f ca="1">COUNTIFS(INDIRECT("Table1[Beginn]"),"&lt;="&amp;AK$1,INDIRECT("Table1[Ende]"),"&gt;="&amp;AK$1,INDIRECT("Table1[Obergruppe ATC-Code]"),Tabelle3!$A17)</f>
        <v>1</v>
      </c>
      <c r="AL17">
        <f ca="1">COUNTIFS(INDIRECT("Table1[Beginn]"),"&lt;="&amp;AL$1,INDIRECT("Table1[Ende]"),"&gt;="&amp;AL$1,INDIRECT("Table1[Obergruppe ATC-Code]"),Tabelle3!$A17)</f>
        <v>1</v>
      </c>
      <c r="AM17">
        <f ca="1">COUNTIFS(INDIRECT("Table1[Beginn]"),"&lt;="&amp;AM$1,INDIRECT("Table1[Ende]"),"&gt;="&amp;AM$1,INDIRECT("Table1[Obergruppe ATC-Code]"),Tabelle3!$A17)</f>
        <v>0</v>
      </c>
      <c r="AN17">
        <f ca="1">COUNTIFS(INDIRECT("Table1[Beginn]"),"&lt;="&amp;AN$1,INDIRECT("Table1[Ende]"),"&gt;="&amp;AN$1,INDIRECT("Table1[Obergruppe ATC-Code]"),Tabelle3!$A17)</f>
        <v>1</v>
      </c>
      <c r="AO17">
        <f ca="1">COUNTIFS(INDIRECT("Table1[Beginn]"),"&lt;="&amp;AO$1,INDIRECT("Table1[Ende]"),"&gt;="&amp;AO$1,INDIRECT("Table1[Obergruppe ATC-Code]"),Tabelle3!$A17)</f>
        <v>1</v>
      </c>
      <c r="AP17">
        <f ca="1">COUNTIFS(INDIRECT("Table1[Beginn]"),"&lt;="&amp;AP$1,INDIRECT("Table1[Ende]"),"&gt;="&amp;AP$1,INDIRECT("Table1[Obergruppe ATC-Code]"),Tabelle3!$A17)</f>
        <v>0</v>
      </c>
      <c r="AQ17">
        <f ca="1">COUNTIFS(INDIRECT("Table1[Beginn]"),"&lt;="&amp;AQ$1,INDIRECT("Table1[Ende]"),"&gt;="&amp;AQ$1,INDIRECT("Table1[Obergruppe ATC-Code]"),Tabelle3!$A17)</f>
        <v>0</v>
      </c>
      <c r="AR17">
        <f ca="1">COUNTIFS(INDIRECT("Table1[Beginn]"),"&lt;="&amp;AR$1,INDIRECT("Table1[Ende]"),"&gt;="&amp;AR$1,INDIRECT("Table1[Obergruppe ATC-Code]"),Tabelle3!$A17)</f>
        <v>0</v>
      </c>
      <c r="AS17">
        <f ca="1">COUNTIFS(INDIRECT("Table1[Beginn]"),"&lt;="&amp;AS$1,INDIRECT("Table1[Ende]"),"&gt;="&amp;AS$1,INDIRECT("Table1[Obergruppe ATC-Code]"),Tabelle3!$A17)</f>
        <v>1</v>
      </c>
      <c r="AT17">
        <f ca="1">COUNTIFS(INDIRECT("Table1[Beginn]"),"&lt;="&amp;AT$1,INDIRECT("Table1[Ende]"),"&gt;="&amp;AT$1,INDIRECT("Table1[Obergruppe ATC-Code]"),Tabelle3!$A17)</f>
        <v>1</v>
      </c>
      <c r="AU17">
        <f ca="1">COUNTIFS(INDIRECT("Table1[Beginn]"),"&lt;="&amp;AU$1,INDIRECT("Table1[Ende]"),"&gt;="&amp;AU$1,INDIRECT("Table1[Obergruppe ATC-Code]"),Tabelle3!$A17)</f>
        <v>0</v>
      </c>
      <c r="AV17">
        <f ca="1">COUNTIFS(INDIRECT("Table1[Beginn]"),"&lt;="&amp;AV$1,INDIRECT("Table1[Ende]"),"&gt;="&amp;AV$1,INDIRECT("Table1[Obergruppe ATC-Code]"),Tabelle3!$A17)</f>
        <v>0</v>
      </c>
      <c r="AW17">
        <f ca="1">COUNTIFS(INDIRECT("Table1[Beginn]"),"&lt;="&amp;AW$1,INDIRECT("Table1[Ende]"),"&gt;="&amp;AW$1,INDIRECT("Table1[Obergruppe ATC-Code]"),Tabelle3!$A17)</f>
        <v>0</v>
      </c>
      <c r="AX17">
        <f ca="1">COUNTIFS(INDIRECT("Table1[Beginn]"),"&lt;="&amp;AX$1,INDIRECT("Table1[Ende]"),"&gt;="&amp;AX$1,INDIRECT("Table1[Obergruppe ATC-Code]"),Tabelle3!$A17)</f>
        <v>0</v>
      </c>
      <c r="AY17">
        <f ca="1">COUNTIFS(INDIRECT("Table1[Beginn]"),"&lt;="&amp;AY$1,INDIRECT("Table1[Ende]"),"&gt;="&amp;AY$1,INDIRECT("Table1[Obergruppe ATC-Code]"),Tabelle3!$A17)</f>
        <v>0</v>
      </c>
      <c r="AZ17">
        <f ca="1">COUNTIFS(INDIRECT("Table1[Beginn]"),"&lt;="&amp;AZ$1,INDIRECT("Table1[Ende]"),"&gt;="&amp;AZ$1,INDIRECT("Table1[Obergruppe ATC-Code]"),Tabelle3!$A17)</f>
        <v>2</v>
      </c>
      <c r="BA17">
        <f ca="1">COUNTIFS(INDIRECT("Table1[Beginn]"),"&lt;="&amp;BA$1,INDIRECT("Table1[Ende]"),"&gt;="&amp;BA$1,INDIRECT("Table1[Obergruppe ATC-Code]"),Tabelle3!$A17)</f>
        <v>3</v>
      </c>
      <c r="BB17">
        <f ca="1">COUNTIFS(INDIRECT("Table1[Beginn]"),"&lt;="&amp;BB$1,INDIRECT("Table1[Ende]"),"&gt;="&amp;BB$1,INDIRECT("Table1[Obergruppe ATC-Code]"),Tabelle3!$A17)</f>
        <v>3</v>
      </c>
      <c r="BC17">
        <f ca="1">COUNTIFS(INDIRECT("Table1[Beginn]"),"&lt;="&amp;BC$1,INDIRECT("Table1[Ende]"),"&gt;="&amp;BC$1,INDIRECT("Table1[Obergruppe ATC-Code]"),Tabelle3!$A17)</f>
        <v>3</v>
      </c>
      <c r="BD17">
        <f ca="1">COUNTIFS(INDIRECT("Table1[Beginn]"),"&lt;="&amp;BD$1,INDIRECT("Table1[Ende]"),"&gt;="&amp;BD$1,INDIRECT("Table1[Obergruppe ATC-Code]"),Tabelle3!$A17)</f>
        <v>2</v>
      </c>
      <c r="BE17">
        <f ca="1">COUNTIFS(INDIRECT("Table1[Beginn]"),"&lt;="&amp;BE$1,INDIRECT("Table1[Ende]"),"&gt;="&amp;BE$1,INDIRECT("Table1[Obergruppe ATC-Code]"),Tabelle3!$A17)</f>
        <v>2</v>
      </c>
      <c r="BF17">
        <f ca="1">COUNTIFS(INDIRECT("Table1[Beginn]"),"&lt;="&amp;BF$1,INDIRECT("Table1[Ende]"),"&gt;="&amp;BF$1,INDIRECT("Table1[Obergruppe ATC-Code]"),Tabelle3!$A17)</f>
        <v>2</v>
      </c>
      <c r="BG17">
        <f ca="1">COUNTIFS(INDIRECT("Table1[Beginn]"),"&lt;="&amp;BG$1,INDIRECT("Table1[Ende]"),"&gt;="&amp;BG$1,INDIRECT("Table1[Obergruppe ATC-Code]"),Tabelle3!$A17)</f>
        <v>2</v>
      </c>
      <c r="BH17">
        <f ca="1">COUNTIFS(INDIRECT("Table1[Beginn]"),"&lt;="&amp;BH$1,INDIRECT("Table1[Ende]"),"&gt;="&amp;BH$1,INDIRECT("Table1[Obergruppe ATC-Code]"),Tabelle3!$A17)</f>
        <v>2</v>
      </c>
      <c r="BI17">
        <f ca="1">COUNTIFS(INDIRECT("Table1[Beginn]"),"&lt;="&amp;BI$1,INDIRECT("Table1[Ende]"),"&gt;="&amp;BI$1,INDIRECT("Table1[Obergruppe ATC-Code]"),Tabelle3!$A17)</f>
        <v>2</v>
      </c>
      <c r="BJ17">
        <f ca="1">COUNTIFS(INDIRECT("Table1[Beginn]"),"&lt;="&amp;BJ$1,INDIRECT("Table1[Ende]"),"&gt;="&amp;BJ$1,INDIRECT("Table1[Obergruppe ATC-Code]"),Tabelle3!$A17)</f>
        <v>2</v>
      </c>
      <c r="BK17">
        <f ca="1">COUNTIFS(INDIRECT("Table1[Beginn]"),"&lt;="&amp;BK$1,INDIRECT("Table1[Ende]"),"&gt;="&amp;BK$1,INDIRECT("Table1[Obergruppe ATC-Code]"),Tabelle3!$A17)</f>
        <v>2</v>
      </c>
      <c r="BL17">
        <f ca="1">COUNTIFS(INDIRECT("Table1[Beginn]"),"&lt;="&amp;BL$1,INDIRECT("Table1[Ende]"),"&gt;="&amp;BL$1,INDIRECT("Table1[Obergruppe ATC-Code]"),Tabelle3!$A17)</f>
        <v>2</v>
      </c>
      <c r="BM17">
        <f ca="1">COUNTIFS(INDIRECT("Table1[Beginn]"),"&lt;="&amp;BM$1,INDIRECT("Table1[Ende]"),"&gt;="&amp;BM$1,INDIRECT("Table1[Obergruppe ATC-Code]"),Tabelle3!$A17)</f>
        <v>2</v>
      </c>
      <c r="BN17">
        <f ca="1">COUNTIFS(INDIRECT("Table1[Beginn]"),"&lt;="&amp;BN$1,INDIRECT("Table1[Ende]"),"&gt;="&amp;BN$1,INDIRECT("Table1[Obergruppe ATC-Code]"),Tabelle3!$A17)</f>
        <v>2</v>
      </c>
      <c r="BO17">
        <f ca="1">COUNTIFS(INDIRECT("Table1[Beginn]"),"&lt;="&amp;BO$1,INDIRECT("Table1[Ende]"),"&gt;="&amp;BO$1,INDIRECT("Table1[Obergruppe ATC-Code]"),Tabelle3!$A17)</f>
        <v>2</v>
      </c>
      <c r="BP17">
        <f ca="1">COUNTIFS(INDIRECT("Table1[Beginn]"),"&lt;="&amp;BP$1,INDIRECT("Table1[Ende]"),"&gt;="&amp;BP$1,INDIRECT("Table1[Obergruppe ATC-Code]"),Tabelle3!$A17)</f>
        <v>2</v>
      </c>
      <c r="BQ17">
        <f ca="1">COUNTIFS(INDIRECT("Table1[Beginn]"),"&lt;="&amp;BQ$1,INDIRECT("Table1[Ende]"),"&gt;="&amp;BQ$1,INDIRECT("Table1[Obergruppe ATC-Code]"),Tabelle3!$A17)</f>
        <v>2</v>
      </c>
      <c r="BR17">
        <f ca="1">COUNTIFS(INDIRECT("Table1[Beginn]"),"&lt;="&amp;BR$1,INDIRECT("Table1[Ende]"),"&gt;="&amp;BR$1,INDIRECT("Table1[Obergruppe ATC-Code]"),Tabelle3!$A17)</f>
        <v>2</v>
      </c>
      <c r="BS17">
        <f ca="1">COUNTIFS(INDIRECT("Table1[Beginn]"),"&lt;="&amp;BS$1,INDIRECT("Table1[Ende]"),"&gt;="&amp;BS$1,INDIRECT("Table1[Obergruppe ATC-Code]"),Tabelle3!$A17)</f>
        <v>2</v>
      </c>
      <c r="BT17">
        <f ca="1">COUNTIFS(INDIRECT("Table1[Beginn]"),"&lt;="&amp;BT$1,INDIRECT("Table1[Ende]"),"&gt;="&amp;BT$1,INDIRECT("Table1[Obergruppe ATC-Code]"),Tabelle3!$A17)</f>
        <v>2</v>
      </c>
      <c r="BU17">
        <f ca="1">COUNTIFS(INDIRECT("Table1[Beginn]"),"&lt;="&amp;BU$1,INDIRECT("Table1[Ende]"),"&gt;="&amp;BU$1,INDIRECT("Table1[Obergruppe ATC-Code]"),Tabelle3!$A17)</f>
        <v>2</v>
      </c>
      <c r="BV17">
        <f ca="1">COUNTIFS(INDIRECT("Table1[Beginn]"),"&lt;="&amp;BV$1,INDIRECT("Table1[Ende]"),"&gt;="&amp;BV$1,INDIRECT("Table1[Obergruppe ATC-Code]"),Tabelle3!$A17)</f>
        <v>2</v>
      </c>
      <c r="BW17">
        <f ca="1">COUNTIFS(INDIRECT("Table1[Beginn]"),"&lt;="&amp;BW$1,INDIRECT("Table1[Ende]"),"&gt;="&amp;BW$1,INDIRECT("Table1[Obergruppe ATC-Code]"),Tabelle3!$A17)</f>
        <v>2</v>
      </c>
      <c r="BX17">
        <f ca="1">COUNTIFS(INDIRECT("Table1[Beginn]"),"&lt;="&amp;BX$1,INDIRECT("Table1[Ende]"),"&gt;="&amp;BX$1,INDIRECT("Table1[Obergruppe ATC-Code]"),Tabelle3!$A17)</f>
        <v>2</v>
      </c>
      <c r="BY17">
        <f ca="1">COUNTIFS(INDIRECT("Table1[Beginn]"),"&lt;="&amp;BY$1,INDIRECT("Table1[Ende]"),"&gt;="&amp;BY$1,INDIRECT("Table1[Obergruppe ATC-Code]"),Tabelle3!$A17)</f>
        <v>2</v>
      </c>
      <c r="BZ17">
        <f ca="1">COUNTIFS(INDIRECT("Table1[Beginn]"),"&lt;="&amp;BZ$1,INDIRECT("Table1[Ende]"),"&gt;="&amp;BZ$1,INDIRECT("Table1[Obergruppe ATC-Code]"),Tabelle3!$A17)</f>
        <v>2</v>
      </c>
      <c r="CA17">
        <f ca="1">COUNTIFS(INDIRECT("Table1[Beginn]"),"&lt;="&amp;CA$1,INDIRECT("Table1[Ende]"),"&gt;="&amp;CA$1,INDIRECT("Table1[Obergruppe ATC-Code]"),Tabelle3!$A17)</f>
        <v>2</v>
      </c>
      <c r="CB17">
        <f ca="1">COUNTIFS(INDIRECT("Table1[Beginn]"),"&lt;="&amp;CB$1,INDIRECT("Table1[Ende]"),"&gt;="&amp;CB$1,INDIRECT("Table1[Obergruppe ATC-Code]"),Tabelle3!$A17)</f>
        <v>2</v>
      </c>
      <c r="CC17">
        <f ca="1">COUNTIFS(INDIRECT("Table1[Beginn]"),"&lt;="&amp;CC$1,INDIRECT("Table1[Ende]"),"&gt;="&amp;CC$1,INDIRECT("Table1[Obergruppe ATC-Code]"),Tabelle3!$A17)</f>
        <v>2</v>
      </c>
      <c r="CD17">
        <f ca="1">COUNTIFS(INDIRECT("Table1[Beginn]"),"&lt;="&amp;CD$1,INDIRECT("Table1[Ende]"),"&gt;="&amp;CD$1,INDIRECT("Table1[Obergruppe ATC-Code]"),Tabelle3!$A17)</f>
        <v>2</v>
      </c>
      <c r="CE17">
        <f ca="1">COUNTIFS(INDIRECT("Table1[Beginn]"),"&lt;="&amp;CE$1,INDIRECT("Table1[Ende]"),"&gt;="&amp;CE$1,INDIRECT("Table1[Obergruppe ATC-Code]"),Tabelle3!$A17)</f>
        <v>2</v>
      </c>
      <c r="CF17">
        <f ca="1">COUNTIFS(INDIRECT("Table1[Beginn]"),"&lt;="&amp;CF$1,INDIRECT("Table1[Ende]"),"&gt;="&amp;CF$1,INDIRECT("Table1[Obergruppe ATC-Code]"),Tabelle3!$A17)</f>
        <v>2</v>
      </c>
      <c r="CG17">
        <f ca="1">COUNTIFS(INDIRECT("Table1[Beginn]"),"&lt;="&amp;CG$1,INDIRECT("Table1[Ende]"),"&gt;="&amp;CG$1,INDIRECT("Table1[Obergruppe ATC-Code]"),Tabelle3!$A17)</f>
        <v>2</v>
      </c>
      <c r="CH17">
        <f ca="1">COUNTIFS(INDIRECT("Table1[Beginn]"),"&lt;="&amp;CH$1,INDIRECT("Table1[Ende]"),"&gt;="&amp;CH$1,INDIRECT("Table1[Obergruppe ATC-Code]"),Tabelle3!$A17)</f>
        <v>2</v>
      </c>
      <c r="CI17">
        <f ca="1">COUNTIFS(INDIRECT("Table1[Beginn]"),"&lt;="&amp;CI$1,INDIRECT("Table1[Ende]"),"&gt;="&amp;CI$1,INDIRECT("Table1[Obergruppe ATC-Code]"),Tabelle3!$A17)</f>
        <v>2</v>
      </c>
      <c r="CJ17">
        <f ca="1">COUNTIFS(INDIRECT("Table1[Beginn]"),"&lt;="&amp;CJ$1,INDIRECT("Table1[Ende]"),"&gt;="&amp;CJ$1,INDIRECT("Table1[Obergruppe ATC-Code]"),Tabelle3!$A17)</f>
        <v>2</v>
      </c>
      <c r="CK17">
        <f ca="1">COUNTIFS(INDIRECT("Table1[Beginn]"),"&lt;="&amp;CK$1,INDIRECT("Table1[Ende]"),"&gt;="&amp;CK$1,INDIRECT("Table1[Obergruppe ATC-Code]"),Tabelle3!$A17)</f>
        <v>2</v>
      </c>
      <c r="CL17">
        <f ca="1">COUNTIFS(INDIRECT("Table1[Beginn]"),"&lt;="&amp;CL$1,INDIRECT("Table1[Ende]"),"&gt;="&amp;CL$1,INDIRECT("Table1[Obergruppe ATC-Code]"),Tabelle3!$A17)</f>
        <v>2</v>
      </c>
      <c r="CM17">
        <f ca="1">COUNTIFS(INDIRECT("Table1[Beginn]"),"&lt;="&amp;CM$1,INDIRECT("Table1[Ende]"),"&gt;="&amp;CM$1,INDIRECT("Table1[Obergruppe ATC-Code]"),Tabelle3!$A17)</f>
        <v>2</v>
      </c>
      <c r="CN17">
        <f ca="1">COUNTIFS(INDIRECT("Table1[Beginn]"),"&lt;="&amp;CN$1,INDIRECT("Table1[Ende]"),"&gt;="&amp;CN$1,INDIRECT("Table1[Obergruppe ATC-Code]"),Tabelle3!$A17)</f>
        <v>2</v>
      </c>
      <c r="CO17">
        <f ca="1">COUNTIFS(INDIRECT("Table1[Beginn]"),"&lt;="&amp;CO$1,INDIRECT("Table1[Ende]"),"&gt;="&amp;CO$1,INDIRECT("Table1[Obergruppe ATC-Code]"),Tabelle3!$A17)</f>
        <v>2</v>
      </c>
      <c r="CP17">
        <f ca="1">COUNTIFS(INDIRECT("Table1[Beginn]"),"&lt;="&amp;CP$1,INDIRECT("Table1[Ende]"),"&gt;="&amp;CP$1,INDIRECT("Table1[Obergruppe ATC-Code]"),Tabelle3!$A17)</f>
        <v>2</v>
      </c>
      <c r="CQ17">
        <f ca="1">COUNTIFS(INDIRECT("Table1[Beginn]"),"&lt;="&amp;CQ$1,INDIRECT("Table1[Ende]"),"&gt;="&amp;CQ$1,INDIRECT("Table1[Obergruppe ATC-Code]"),Tabelle3!$A17)</f>
        <v>2</v>
      </c>
      <c r="CR17">
        <f ca="1">COUNTIFS(INDIRECT("Table1[Beginn]"),"&lt;="&amp;CR$1,INDIRECT("Table1[Ende]"),"&gt;="&amp;CR$1,INDIRECT("Table1[Obergruppe ATC-Code]"),Tabelle3!$A17)</f>
        <v>2</v>
      </c>
    </row>
    <row r="18" spans="1:96" ht="18">
      <c r="A18" s="7" t="s">
        <v>6804</v>
      </c>
      <c r="B18" s="8" t="s">
        <v>6805</v>
      </c>
      <c r="C18">
        <f ca="1">COUNTIFS(INDIRECT("Table1[Beginn]"),"&lt;="&amp;C$1,INDIRECT("Table1[Ende]"),"&gt;="&amp;C$1,INDIRECT("Table1[Obergruppe ATC-Code]"),Tabelle3!$A18)</f>
        <v>0</v>
      </c>
      <c r="D18">
        <f ca="1">COUNTIFS(INDIRECT("Table1[Beginn]"),"&lt;="&amp;D$1,INDIRECT("Table1[Ende]"),"&gt;="&amp;D$1,INDIRECT("Table1[Obergruppe ATC-Code]"),Tabelle3!$A18)</f>
        <v>0</v>
      </c>
      <c r="E18">
        <f ca="1">COUNTIFS(INDIRECT("Table1[Beginn]"),"&lt;="&amp;E$1,INDIRECT("Table1[Ende]"),"&gt;="&amp;E$1,INDIRECT("Table1[Obergruppe ATC-Code]"),Tabelle3!$A18)</f>
        <v>0</v>
      </c>
      <c r="F18">
        <f ca="1">COUNTIFS(INDIRECT("Table1[Beginn]"),"&lt;="&amp;F$1,INDIRECT("Table1[Ende]"),"&gt;="&amp;F$1,INDIRECT("Table1[Obergruppe ATC-Code]"),Tabelle3!$A18)</f>
        <v>0</v>
      </c>
      <c r="G18">
        <f ca="1">COUNTIFS(INDIRECT("Table1[Beginn]"),"&lt;="&amp;G$1,INDIRECT("Table1[Ende]"),"&gt;="&amp;G$1,INDIRECT("Table1[Obergruppe ATC-Code]"),Tabelle3!$A18)</f>
        <v>0</v>
      </c>
      <c r="H18">
        <f ca="1">COUNTIFS(INDIRECT("Table1[Beginn]"),"&lt;="&amp;H$1,INDIRECT("Table1[Ende]"),"&gt;="&amp;H$1,INDIRECT("Table1[Obergruppe ATC-Code]"),Tabelle3!$A18)</f>
        <v>0</v>
      </c>
      <c r="I18">
        <f ca="1">COUNTIFS(INDIRECT("Table1[Beginn]"),"&lt;="&amp;I$1,INDIRECT("Table1[Ende]"),"&gt;="&amp;I$1,INDIRECT("Table1[Obergruppe ATC-Code]"),Tabelle3!$A18)</f>
        <v>1</v>
      </c>
      <c r="J18">
        <f ca="1">COUNTIFS(INDIRECT("Table1[Beginn]"),"&lt;="&amp;J$1,INDIRECT("Table1[Ende]"),"&gt;="&amp;J$1,INDIRECT("Table1[Obergruppe ATC-Code]"),Tabelle3!$A18)</f>
        <v>1</v>
      </c>
      <c r="K18">
        <f ca="1">COUNTIFS(INDIRECT("Table1[Beginn]"),"&lt;="&amp;K$1,INDIRECT("Table1[Ende]"),"&gt;="&amp;K$1,INDIRECT("Table1[Obergruppe ATC-Code]"),Tabelle3!$A18)</f>
        <v>2</v>
      </c>
      <c r="L18">
        <f ca="1">COUNTIFS(INDIRECT("Table1[Beginn]"),"&lt;="&amp;L$1,INDIRECT("Table1[Ende]"),"&gt;="&amp;L$1,INDIRECT("Table1[Obergruppe ATC-Code]"),Tabelle3!$A18)</f>
        <v>2</v>
      </c>
      <c r="M18">
        <f ca="1">COUNTIFS(INDIRECT("Table1[Beginn]"),"&lt;="&amp;M$1,INDIRECT("Table1[Ende]"),"&gt;="&amp;M$1,INDIRECT("Table1[Obergruppe ATC-Code]"),Tabelle3!$A18)</f>
        <v>2</v>
      </c>
      <c r="N18">
        <f ca="1">COUNTIFS(INDIRECT("Table1[Beginn]"),"&lt;="&amp;N$1,INDIRECT("Table1[Ende]"),"&gt;="&amp;N$1,INDIRECT("Table1[Obergruppe ATC-Code]"),Tabelle3!$A18)</f>
        <v>4</v>
      </c>
      <c r="O18">
        <f ca="1">COUNTIFS(INDIRECT("Table1[Beginn]"),"&lt;="&amp;O$1,INDIRECT("Table1[Ende]"),"&gt;="&amp;O$1,INDIRECT("Table1[Obergruppe ATC-Code]"),Tabelle3!$A18)</f>
        <v>4</v>
      </c>
      <c r="P18">
        <f ca="1">COUNTIFS(INDIRECT("Table1[Beginn]"),"&lt;="&amp;P$1,INDIRECT("Table1[Ende]"),"&gt;="&amp;P$1,INDIRECT("Table1[Obergruppe ATC-Code]"),Tabelle3!$A18)</f>
        <v>5</v>
      </c>
      <c r="Q18">
        <f ca="1">COUNTIFS(INDIRECT("Table1[Beginn]"),"&lt;="&amp;Q$1,INDIRECT("Table1[Ende]"),"&gt;="&amp;Q$1,INDIRECT("Table1[Obergruppe ATC-Code]"),Tabelle3!$A18)</f>
        <v>3</v>
      </c>
      <c r="R18">
        <f ca="1">COUNTIFS(INDIRECT("Table1[Beginn]"),"&lt;="&amp;R$1,INDIRECT("Table1[Ende]"),"&gt;="&amp;R$1,INDIRECT("Table1[Obergruppe ATC-Code]"),Tabelle3!$A18)</f>
        <v>3</v>
      </c>
      <c r="S18">
        <f ca="1">COUNTIFS(INDIRECT("Table1[Beginn]"),"&lt;="&amp;S$1,INDIRECT("Table1[Ende]"),"&gt;="&amp;S$1,INDIRECT("Table1[Obergruppe ATC-Code]"),Tabelle3!$A18)</f>
        <v>2</v>
      </c>
      <c r="T18">
        <f ca="1">COUNTIFS(INDIRECT("Table1[Beginn]"),"&lt;="&amp;T$1,INDIRECT("Table1[Ende]"),"&gt;="&amp;T$1,INDIRECT("Table1[Obergruppe ATC-Code]"),Tabelle3!$A18)</f>
        <v>1</v>
      </c>
      <c r="U18">
        <f ca="1">COUNTIFS(INDIRECT("Table1[Beginn]"),"&lt;="&amp;U$1,INDIRECT("Table1[Ende]"),"&gt;="&amp;U$1,INDIRECT("Table1[Obergruppe ATC-Code]"),Tabelle3!$A18)</f>
        <v>1</v>
      </c>
      <c r="V18">
        <f ca="1">COUNTIFS(INDIRECT("Table1[Beginn]"),"&lt;="&amp;V$1,INDIRECT("Table1[Ende]"),"&gt;="&amp;V$1,INDIRECT("Table1[Obergruppe ATC-Code]"),Tabelle3!$A18)</f>
        <v>1</v>
      </c>
      <c r="W18">
        <f ca="1">COUNTIFS(INDIRECT("Table1[Beginn]"),"&lt;="&amp;W$1,INDIRECT("Table1[Ende]"),"&gt;="&amp;W$1,INDIRECT("Table1[Obergruppe ATC-Code]"),Tabelle3!$A18)</f>
        <v>5</v>
      </c>
      <c r="X18">
        <f ca="1">COUNTIFS(INDIRECT("Table1[Beginn]"),"&lt;="&amp;X$1,INDIRECT("Table1[Ende]"),"&gt;="&amp;X$1,INDIRECT("Table1[Obergruppe ATC-Code]"),Tabelle3!$A18)</f>
        <v>5</v>
      </c>
      <c r="Y18">
        <f ca="1">COUNTIFS(INDIRECT("Table1[Beginn]"),"&lt;="&amp;Y$1,INDIRECT("Table1[Ende]"),"&gt;="&amp;Y$1,INDIRECT("Table1[Obergruppe ATC-Code]"),Tabelle3!$A18)</f>
        <v>6</v>
      </c>
      <c r="Z18">
        <f ca="1">COUNTIFS(INDIRECT("Table1[Beginn]"),"&lt;="&amp;Z$1,INDIRECT("Table1[Ende]"),"&gt;="&amp;Z$1,INDIRECT("Table1[Obergruppe ATC-Code]"),Tabelle3!$A18)</f>
        <v>6</v>
      </c>
      <c r="AA18">
        <f ca="1">COUNTIFS(INDIRECT("Table1[Beginn]"),"&lt;="&amp;AA$1,INDIRECT("Table1[Ende]"),"&gt;="&amp;AA$1,INDIRECT("Table1[Obergruppe ATC-Code]"),Tabelle3!$A18)</f>
        <v>6</v>
      </c>
      <c r="AB18">
        <f ca="1">COUNTIFS(INDIRECT("Table1[Beginn]"),"&lt;="&amp;AB$1,INDIRECT("Table1[Ende]"),"&gt;="&amp;AB$1,INDIRECT("Table1[Obergruppe ATC-Code]"),Tabelle3!$A18)</f>
        <v>6</v>
      </c>
      <c r="AC18">
        <f ca="1">COUNTIFS(INDIRECT("Table1[Beginn]"),"&lt;="&amp;AC$1,INDIRECT("Table1[Ende]"),"&gt;="&amp;AC$1,INDIRECT("Table1[Obergruppe ATC-Code]"),Tabelle3!$A18)</f>
        <v>7</v>
      </c>
      <c r="AD18">
        <f ca="1">COUNTIFS(INDIRECT("Table1[Beginn]"),"&lt;="&amp;AD$1,INDIRECT("Table1[Ende]"),"&gt;="&amp;AD$1,INDIRECT("Table1[Obergruppe ATC-Code]"),Tabelle3!$A18)</f>
        <v>6</v>
      </c>
      <c r="AE18">
        <f ca="1">COUNTIFS(INDIRECT("Table1[Beginn]"),"&lt;="&amp;AE$1,INDIRECT("Table1[Ende]"),"&gt;="&amp;AE$1,INDIRECT("Table1[Obergruppe ATC-Code]"),Tabelle3!$A18)</f>
        <v>5</v>
      </c>
      <c r="AF18">
        <f ca="1">COUNTIFS(INDIRECT("Table1[Beginn]"),"&lt;="&amp;AF$1,INDIRECT("Table1[Ende]"),"&gt;="&amp;AF$1,INDIRECT("Table1[Obergruppe ATC-Code]"),Tabelle3!$A18)</f>
        <v>5</v>
      </c>
      <c r="AG18">
        <f ca="1">COUNTIFS(INDIRECT("Table1[Beginn]"),"&lt;="&amp;AG$1,INDIRECT("Table1[Ende]"),"&gt;="&amp;AG$1,INDIRECT("Table1[Obergruppe ATC-Code]"),Tabelle3!$A18)</f>
        <v>6</v>
      </c>
      <c r="AH18">
        <f ca="1">COUNTIFS(INDIRECT("Table1[Beginn]"),"&lt;="&amp;AH$1,INDIRECT("Table1[Ende]"),"&gt;="&amp;AH$1,INDIRECT("Table1[Obergruppe ATC-Code]"),Tabelle3!$A18)</f>
        <v>6</v>
      </c>
      <c r="AI18">
        <f ca="1">COUNTIFS(INDIRECT("Table1[Beginn]"),"&lt;="&amp;AI$1,INDIRECT("Table1[Ende]"),"&gt;="&amp;AI$1,INDIRECT("Table1[Obergruppe ATC-Code]"),Tabelle3!$A18)</f>
        <v>6</v>
      </c>
      <c r="AJ18">
        <f ca="1">COUNTIFS(INDIRECT("Table1[Beginn]"),"&lt;="&amp;AJ$1,INDIRECT("Table1[Ende]"),"&gt;="&amp;AJ$1,INDIRECT("Table1[Obergruppe ATC-Code]"),Tabelle3!$A18)</f>
        <v>5</v>
      </c>
      <c r="AK18">
        <f ca="1">COUNTIFS(INDIRECT("Table1[Beginn]"),"&lt;="&amp;AK$1,INDIRECT("Table1[Ende]"),"&gt;="&amp;AK$1,INDIRECT("Table1[Obergruppe ATC-Code]"),Tabelle3!$A18)</f>
        <v>5</v>
      </c>
      <c r="AL18">
        <f ca="1">COUNTIFS(INDIRECT("Table1[Beginn]"),"&lt;="&amp;AL$1,INDIRECT("Table1[Ende]"),"&gt;="&amp;AL$1,INDIRECT("Table1[Obergruppe ATC-Code]"),Tabelle3!$A18)</f>
        <v>5</v>
      </c>
      <c r="AM18">
        <f ca="1">COUNTIFS(INDIRECT("Table1[Beginn]"),"&lt;="&amp;AM$1,INDIRECT("Table1[Ende]"),"&gt;="&amp;AM$1,INDIRECT("Table1[Obergruppe ATC-Code]"),Tabelle3!$A18)</f>
        <v>7</v>
      </c>
      <c r="AN18">
        <f ca="1">COUNTIFS(INDIRECT("Table1[Beginn]"),"&lt;="&amp;AN$1,INDIRECT("Table1[Ende]"),"&gt;="&amp;AN$1,INDIRECT("Table1[Obergruppe ATC-Code]"),Tabelle3!$A18)</f>
        <v>7</v>
      </c>
      <c r="AO18">
        <f ca="1">COUNTIFS(INDIRECT("Table1[Beginn]"),"&lt;="&amp;AO$1,INDIRECT("Table1[Ende]"),"&gt;="&amp;AO$1,INDIRECT("Table1[Obergruppe ATC-Code]"),Tabelle3!$A18)</f>
        <v>7</v>
      </c>
      <c r="AP18">
        <f ca="1">COUNTIFS(INDIRECT("Table1[Beginn]"),"&lt;="&amp;AP$1,INDIRECT("Table1[Ende]"),"&gt;="&amp;AP$1,INDIRECT("Table1[Obergruppe ATC-Code]"),Tabelle3!$A18)</f>
        <v>7</v>
      </c>
      <c r="AQ18">
        <f ca="1">COUNTIFS(INDIRECT("Table1[Beginn]"),"&lt;="&amp;AQ$1,INDIRECT("Table1[Ende]"),"&gt;="&amp;AQ$1,INDIRECT("Table1[Obergruppe ATC-Code]"),Tabelle3!$A18)</f>
        <v>7</v>
      </c>
      <c r="AR18">
        <f ca="1">COUNTIFS(INDIRECT("Table1[Beginn]"),"&lt;="&amp;AR$1,INDIRECT("Table1[Ende]"),"&gt;="&amp;AR$1,INDIRECT("Table1[Obergruppe ATC-Code]"),Tabelle3!$A18)</f>
        <v>5</v>
      </c>
      <c r="AS18">
        <f ca="1">COUNTIFS(INDIRECT("Table1[Beginn]"),"&lt;="&amp;AS$1,INDIRECT("Table1[Ende]"),"&gt;="&amp;AS$1,INDIRECT("Table1[Obergruppe ATC-Code]"),Tabelle3!$A18)</f>
        <v>5</v>
      </c>
      <c r="AT18">
        <f ca="1">COUNTIFS(INDIRECT("Table1[Beginn]"),"&lt;="&amp;AT$1,INDIRECT("Table1[Ende]"),"&gt;="&amp;AT$1,INDIRECT("Table1[Obergruppe ATC-Code]"),Tabelle3!$A18)</f>
        <v>5</v>
      </c>
      <c r="AU18">
        <f ca="1">COUNTIFS(INDIRECT("Table1[Beginn]"),"&lt;="&amp;AU$1,INDIRECT("Table1[Ende]"),"&gt;="&amp;AU$1,INDIRECT("Table1[Obergruppe ATC-Code]"),Tabelle3!$A18)</f>
        <v>5</v>
      </c>
      <c r="AV18">
        <f ca="1">COUNTIFS(INDIRECT("Table1[Beginn]"),"&lt;="&amp;AV$1,INDIRECT("Table1[Ende]"),"&gt;="&amp;AV$1,INDIRECT("Table1[Obergruppe ATC-Code]"),Tabelle3!$A18)</f>
        <v>5</v>
      </c>
      <c r="AW18">
        <f ca="1">COUNTIFS(INDIRECT("Table1[Beginn]"),"&lt;="&amp;AW$1,INDIRECT("Table1[Ende]"),"&gt;="&amp;AW$1,INDIRECT("Table1[Obergruppe ATC-Code]"),Tabelle3!$A18)</f>
        <v>5</v>
      </c>
      <c r="AX18">
        <f ca="1">COUNTIFS(INDIRECT("Table1[Beginn]"),"&lt;="&amp;AX$1,INDIRECT("Table1[Ende]"),"&gt;="&amp;AX$1,INDIRECT("Table1[Obergruppe ATC-Code]"),Tabelle3!$A18)</f>
        <v>6</v>
      </c>
      <c r="AY18">
        <f ca="1">COUNTIFS(INDIRECT("Table1[Beginn]"),"&lt;="&amp;AY$1,INDIRECT("Table1[Ende]"),"&gt;="&amp;AY$1,INDIRECT("Table1[Obergruppe ATC-Code]"),Tabelle3!$A18)</f>
        <v>6</v>
      </c>
      <c r="AZ18">
        <f ca="1">COUNTIFS(INDIRECT("Table1[Beginn]"),"&lt;="&amp;AZ$1,INDIRECT("Table1[Ende]"),"&gt;="&amp;AZ$1,INDIRECT("Table1[Obergruppe ATC-Code]"),Tabelle3!$A18)</f>
        <v>6</v>
      </c>
      <c r="BA18">
        <f ca="1">COUNTIFS(INDIRECT("Table1[Beginn]"),"&lt;="&amp;BA$1,INDIRECT("Table1[Ende]"),"&gt;="&amp;BA$1,INDIRECT("Table1[Obergruppe ATC-Code]"),Tabelle3!$A18)</f>
        <v>6</v>
      </c>
      <c r="BB18">
        <f ca="1">COUNTIFS(INDIRECT("Table1[Beginn]"),"&lt;="&amp;BB$1,INDIRECT("Table1[Ende]"),"&gt;="&amp;BB$1,INDIRECT("Table1[Obergruppe ATC-Code]"),Tabelle3!$A18)</f>
        <v>6</v>
      </c>
      <c r="BC18">
        <f ca="1">COUNTIFS(INDIRECT("Table1[Beginn]"),"&lt;="&amp;BC$1,INDIRECT("Table1[Ende]"),"&gt;="&amp;BC$1,INDIRECT("Table1[Obergruppe ATC-Code]"),Tabelle3!$A18)</f>
        <v>7</v>
      </c>
      <c r="BD18">
        <f ca="1">COUNTIFS(INDIRECT("Table1[Beginn]"),"&lt;="&amp;BD$1,INDIRECT("Table1[Ende]"),"&gt;="&amp;BD$1,INDIRECT("Table1[Obergruppe ATC-Code]"),Tabelle3!$A18)</f>
        <v>6</v>
      </c>
      <c r="BE18">
        <f ca="1">COUNTIFS(INDIRECT("Table1[Beginn]"),"&lt;="&amp;BE$1,INDIRECT("Table1[Ende]"),"&gt;="&amp;BE$1,INDIRECT("Table1[Obergruppe ATC-Code]"),Tabelle3!$A18)</f>
        <v>8</v>
      </c>
      <c r="BF18">
        <f ca="1">COUNTIFS(INDIRECT("Table1[Beginn]"),"&lt;="&amp;BF$1,INDIRECT("Table1[Ende]"),"&gt;="&amp;BF$1,INDIRECT("Table1[Obergruppe ATC-Code]"),Tabelle3!$A18)</f>
        <v>7</v>
      </c>
      <c r="BG18">
        <f ca="1">COUNTIFS(INDIRECT("Table1[Beginn]"),"&lt;="&amp;BG$1,INDIRECT("Table1[Ende]"),"&gt;="&amp;BG$1,INDIRECT("Table1[Obergruppe ATC-Code]"),Tabelle3!$A18)</f>
        <v>8</v>
      </c>
      <c r="BH18">
        <f ca="1">COUNTIFS(INDIRECT("Table1[Beginn]"),"&lt;="&amp;BH$1,INDIRECT("Table1[Ende]"),"&gt;="&amp;BH$1,INDIRECT("Table1[Obergruppe ATC-Code]"),Tabelle3!$A18)</f>
        <v>7</v>
      </c>
      <c r="BI18">
        <f ca="1">COUNTIFS(INDIRECT("Table1[Beginn]"),"&lt;="&amp;BI$1,INDIRECT("Table1[Ende]"),"&gt;="&amp;BI$1,INDIRECT("Table1[Obergruppe ATC-Code]"),Tabelle3!$A18)</f>
        <v>7</v>
      </c>
      <c r="BJ18">
        <f ca="1">COUNTIFS(INDIRECT("Table1[Beginn]"),"&lt;="&amp;BJ$1,INDIRECT("Table1[Ende]"),"&gt;="&amp;BJ$1,INDIRECT("Table1[Obergruppe ATC-Code]"),Tabelle3!$A18)</f>
        <v>7</v>
      </c>
      <c r="BK18">
        <f ca="1">COUNTIFS(INDIRECT("Table1[Beginn]"),"&lt;="&amp;BK$1,INDIRECT("Table1[Ende]"),"&gt;="&amp;BK$1,INDIRECT("Table1[Obergruppe ATC-Code]"),Tabelle3!$A18)</f>
        <v>3</v>
      </c>
      <c r="BL18">
        <f ca="1">COUNTIFS(INDIRECT("Table1[Beginn]"),"&lt;="&amp;BL$1,INDIRECT("Table1[Ende]"),"&gt;="&amp;BL$1,INDIRECT("Table1[Obergruppe ATC-Code]"),Tabelle3!$A18)</f>
        <v>3</v>
      </c>
      <c r="BM18">
        <f ca="1">COUNTIFS(INDIRECT("Table1[Beginn]"),"&lt;="&amp;BM$1,INDIRECT("Table1[Ende]"),"&gt;="&amp;BM$1,INDIRECT("Table1[Obergruppe ATC-Code]"),Tabelle3!$A18)</f>
        <v>5</v>
      </c>
      <c r="BN18">
        <f ca="1">COUNTIFS(INDIRECT("Table1[Beginn]"),"&lt;="&amp;BN$1,INDIRECT("Table1[Ende]"),"&gt;="&amp;BN$1,INDIRECT("Table1[Obergruppe ATC-Code]"),Tabelle3!$A18)</f>
        <v>5</v>
      </c>
      <c r="BO18">
        <f ca="1">COUNTIFS(INDIRECT("Table1[Beginn]"),"&lt;="&amp;BO$1,INDIRECT("Table1[Ende]"),"&gt;="&amp;BO$1,INDIRECT("Table1[Obergruppe ATC-Code]"),Tabelle3!$A18)</f>
        <v>6</v>
      </c>
      <c r="BP18">
        <f ca="1">COUNTIFS(INDIRECT("Table1[Beginn]"),"&lt;="&amp;BP$1,INDIRECT("Table1[Ende]"),"&gt;="&amp;BP$1,INDIRECT("Table1[Obergruppe ATC-Code]"),Tabelle3!$A18)</f>
        <v>6</v>
      </c>
      <c r="BQ18">
        <f ca="1">COUNTIFS(INDIRECT("Table1[Beginn]"),"&lt;="&amp;BQ$1,INDIRECT("Table1[Ende]"),"&gt;="&amp;BQ$1,INDIRECT("Table1[Obergruppe ATC-Code]"),Tabelle3!$A18)</f>
        <v>8</v>
      </c>
      <c r="BR18">
        <f ca="1">COUNTIFS(INDIRECT("Table1[Beginn]"),"&lt;="&amp;BR$1,INDIRECT("Table1[Ende]"),"&gt;="&amp;BR$1,INDIRECT("Table1[Obergruppe ATC-Code]"),Tabelle3!$A18)</f>
        <v>8</v>
      </c>
      <c r="BS18">
        <f ca="1">COUNTIFS(INDIRECT("Table1[Beginn]"),"&lt;="&amp;BS$1,INDIRECT("Table1[Ende]"),"&gt;="&amp;BS$1,INDIRECT("Table1[Obergruppe ATC-Code]"),Tabelle3!$A18)</f>
        <v>7</v>
      </c>
      <c r="BT18">
        <f ca="1">COUNTIFS(INDIRECT("Table1[Beginn]"),"&lt;="&amp;BT$1,INDIRECT("Table1[Ende]"),"&gt;="&amp;BT$1,INDIRECT("Table1[Obergruppe ATC-Code]"),Tabelle3!$A18)</f>
        <v>8</v>
      </c>
      <c r="BU18">
        <f ca="1">COUNTIFS(INDIRECT("Table1[Beginn]"),"&lt;="&amp;BU$1,INDIRECT("Table1[Ende]"),"&gt;="&amp;BU$1,INDIRECT("Table1[Obergruppe ATC-Code]"),Tabelle3!$A18)</f>
        <v>8</v>
      </c>
      <c r="BV18">
        <f ca="1">COUNTIFS(INDIRECT("Table1[Beginn]"),"&lt;="&amp;BV$1,INDIRECT("Table1[Ende]"),"&gt;="&amp;BV$1,INDIRECT("Table1[Obergruppe ATC-Code]"),Tabelle3!$A18)</f>
        <v>9</v>
      </c>
      <c r="BW18">
        <f ca="1">COUNTIFS(INDIRECT("Table1[Beginn]"),"&lt;="&amp;BW$1,INDIRECT("Table1[Ende]"),"&gt;="&amp;BW$1,INDIRECT("Table1[Obergruppe ATC-Code]"),Tabelle3!$A18)</f>
        <v>10</v>
      </c>
      <c r="BX18">
        <f ca="1">COUNTIFS(INDIRECT("Table1[Beginn]"),"&lt;="&amp;BX$1,INDIRECT("Table1[Ende]"),"&gt;="&amp;BX$1,INDIRECT("Table1[Obergruppe ATC-Code]"),Tabelle3!$A18)</f>
        <v>8</v>
      </c>
      <c r="BY18">
        <f ca="1">COUNTIFS(INDIRECT("Table1[Beginn]"),"&lt;="&amp;BY$1,INDIRECT("Table1[Ende]"),"&gt;="&amp;BY$1,INDIRECT("Table1[Obergruppe ATC-Code]"),Tabelle3!$A18)</f>
        <v>9</v>
      </c>
      <c r="BZ18">
        <f ca="1">COUNTIFS(INDIRECT("Table1[Beginn]"),"&lt;="&amp;BZ$1,INDIRECT("Table1[Ende]"),"&gt;="&amp;BZ$1,INDIRECT("Table1[Obergruppe ATC-Code]"),Tabelle3!$A18)</f>
        <v>8</v>
      </c>
      <c r="CA18">
        <f ca="1">COUNTIFS(INDIRECT("Table1[Beginn]"),"&lt;="&amp;CA$1,INDIRECT("Table1[Ende]"),"&gt;="&amp;CA$1,INDIRECT("Table1[Obergruppe ATC-Code]"),Tabelle3!$A18)</f>
        <v>5</v>
      </c>
      <c r="CB18">
        <f ca="1">COUNTIFS(INDIRECT("Table1[Beginn]"),"&lt;="&amp;CB$1,INDIRECT("Table1[Ende]"),"&gt;="&amp;CB$1,INDIRECT("Table1[Obergruppe ATC-Code]"),Tabelle3!$A18)</f>
        <v>5</v>
      </c>
      <c r="CC18">
        <f ca="1">COUNTIFS(INDIRECT("Table1[Beginn]"),"&lt;="&amp;CC$1,INDIRECT("Table1[Ende]"),"&gt;="&amp;CC$1,INDIRECT("Table1[Obergruppe ATC-Code]"),Tabelle3!$A18)</f>
        <v>7</v>
      </c>
      <c r="CD18">
        <f ca="1">COUNTIFS(INDIRECT("Table1[Beginn]"),"&lt;="&amp;CD$1,INDIRECT("Table1[Ende]"),"&gt;="&amp;CD$1,INDIRECT("Table1[Obergruppe ATC-Code]"),Tabelle3!$A18)</f>
        <v>8</v>
      </c>
      <c r="CE18">
        <f ca="1">COUNTIFS(INDIRECT("Table1[Beginn]"),"&lt;="&amp;CE$1,INDIRECT("Table1[Ende]"),"&gt;="&amp;CE$1,INDIRECT("Table1[Obergruppe ATC-Code]"),Tabelle3!$A18)</f>
        <v>5</v>
      </c>
      <c r="CF18">
        <f ca="1">COUNTIFS(INDIRECT("Table1[Beginn]"),"&lt;="&amp;CF$1,INDIRECT("Table1[Ende]"),"&gt;="&amp;CF$1,INDIRECT("Table1[Obergruppe ATC-Code]"),Tabelle3!$A18)</f>
        <v>5</v>
      </c>
      <c r="CG18">
        <f ca="1">COUNTIFS(INDIRECT("Table1[Beginn]"),"&lt;="&amp;CG$1,INDIRECT("Table1[Ende]"),"&gt;="&amp;CG$1,INDIRECT("Table1[Obergruppe ATC-Code]"),Tabelle3!$A18)</f>
        <v>3</v>
      </c>
      <c r="CH18">
        <f ca="1">COUNTIFS(INDIRECT("Table1[Beginn]"),"&lt;="&amp;CH$1,INDIRECT("Table1[Ende]"),"&gt;="&amp;CH$1,INDIRECT("Table1[Obergruppe ATC-Code]"),Tabelle3!$A18)</f>
        <v>3</v>
      </c>
      <c r="CI18">
        <f ca="1">COUNTIFS(INDIRECT("Table1[Beginn]"),"&lt;="&amp;CI$1,INDIRECT("Table1[Ende]"),"&gt;="&amp;CI$1,INDIRECT("Table1[Obergruppe ATC-Code]"),Tabelle3!$A18)</f>
        <v>3</v>
      </c>
      <c r="CJ18">
        <f ca="1">COUNTIFS(INDIRECT("Table1[Beginn]"),"&lt;="&amp;CJ$1,INDIRECT("Table1[Ende]"),"&gt;="&amp;CJ$1,INDIRECT("Table1[Obergruppe ATC-Code]"),Tabelle3!$A18)</f>
        <v>3</v>
      </c>
      <c r="CK18">
        <f ca="1">COUNTIFS(INDIRECT("Table1[Beginn]"),"&lt;="&amp;CK$1,INDIRECT("Table1[Ende]"),"&gt;="&amp;CK$1,INDIRECT("Table1[Obergruppe ATC-Code]"),Tabelle3!$A18)</f>
        <v>3</v>
      </c>
      <c r="CL18">
        <f ca="1">COUNTIFS(INDIRECT("Table1[Beginn]"),"&lt;="&amp;CL$1,INDIRECT("Table1[Ende]"),"&gt;="&amp;CL$1,INDIRECT("Table1[Obergruppe ATC-Code]"),Tabelle3!$A18)</f>
        <v>3</v>
      </c>
      <c r="CM18">
        <f ca="1">COUNTIFS(INDIRECT("Table1[Beginn]"),"&lt;="&amp;CM$1,INDIRECT("Table1[Ende]"),"&gt;="&amp;CM$1,INDIRECT("Table1[Obergruppe ATC-Code]"),Tabelle3!$A18)</f>
        <v>3</v>
      </c>
      <c r="CN18">
        <f ca="1">COUNTIFS(INDIRECT("Table1[Beginn]"),"&lt;="&amp;CN$1,INDIRECT("Table1[Ende]"),"&gt;="&amp;CN$1,INDIRECT("Table1[Obergruppe ATC-Code]"),Tabelle3!$A18)</f>
        <v>3</v>
      </c>
      <c r="CO18">
        <f ca="1">COUNTIFS(INDIRECT("Table1[Beginn]"),"&lt;="&amp;CO$1,INDIRECT("Table1[Ende]"),"&gt;="&amp;CO$1,INDIRECT("Table1[Obergruppe ATC-Code]"),Tabelle3!$A18)</f>
        <v>3</v>
      </c>
      <c r="CP18">
        <f ca="1">COUNTIFS(INDIRECT("Table1[Beginn]"),"&lt;="&amp;CP$1,INDIRECT("Table1[Ende]"),"&gt;="&amp;CP$1,INDIRECT("Table1[Obergruppe ATC-Code]"),Tabelle3!$A18)</f>
        <v>3</v>
      </c>
      <c r="CQ18">
        <f ca="1">COUNTIFS(INDIRECT("Table1[Beginn]"),"&lt;="&amp;CQ$1,INDIRECT("Table1[Ende]"),"&gt;="&amp;CQ$1,INDIRECT("Table1[Obergruppe ATC-Code]"),Tabelle3!$A18)</f>
        <v>3</v>
      </c>
      <c r="CR18">
        <f ca="1">COUNTIFS(INDIRECT("Table1[Beginn]"),"&lt;="&amp;CR$1,INDIRECT("Table1[Ende]"),"&gt;="&amp;CR$1,INDIRECT("Table1[Obergruppe ATC-Code]"),Tabelle3!$A18)</f>
        <v>3</v>
      </c>
    </row>
    <row r="19" spans="1:96" ht="18">
      <c r="A19" s="9" t="s">
        <v>6806</v>
      </c>
      <c r="B19" s="10" t="s">
        <v>6807</v>
      </c>
      <c r="C19">
        <f ca="1">COUNTIFS(INDIRECT("Table1[Beginn]"),"&lt;="&amp;C$1,INDIRECT("Table1[Ende]"),"&gt;="&amp;C$1,INDIRECT("Table1[Obergruppe ATC-Code]"),Tabelle3!$A19)</f>
        <v>0</v>
      </c>
      <c r="D19">
        <f ca="1">COUNTIFS(INDIRECT("Table1[Beginn]"),"&lt;="&amp;D$1,INDIRECT("Table1[Ende]"),"&gt;="&amp;D$1,INDIRECT("Table1[Obergruppe ATC-Code]"),Tabelle3!$A19)</f>
        <v>0</v>
      </c>
      <c r="E19">
        <f ca="1">COUNTIFS(INDIRECT("Table1[Beginn]"),"&lt;="&amp;E$1,INDIRECT("Table1[Ende]"),"&gt;="&amp;E$1,INDIRECT("Table1[Obergruppe ATC-Code]"),Tabelle3!$A19)</f>
        <v>0</v>
      </c>
      <c r="F19">
        <f ca="1">COUNTIFS(INDIRECT("Table1[Beginn]"),"&lt;="&amp;F$1,INDIRECT("Table1[Ende]"),"&gt;="&amp;F$1,INDIRECT("Table1[Obergruppe ATC-Code]"),Tabelle3!$A19)</f>
        <v>0</v>
      </c>
      <c r="G19">
        <f ca="1">COUNTIFS(INDIRECT("Table1[Beginn]"),"&lt;="&amp;G$1,INDIRECT("Table1[Ende]"),"&gt;="&amp;G$1,INDIRECT("Table1[Obergruppe ATC-Code]"),Tabelle3!$A19)</f>
        <v>0</v>
      </c>
      <c r="H19">
        <f ca="1">COUNTIFS(INDIRECT("Table1[Beginn]"),"&lt;="&amp;H$1,INDIRECT("Table1[Ende]"),"&gt;="&amp;H$1,INDIRECT("Table1[Obergruppe ATC-Code]"),Tabelle3!$A19)</f>
        <v>0</v>
      </c>
      <c r="I19">
        <f ca="1">COUNTIFS(INDIRECT("Table1[Beginn]"),"&lt;="&amp;I$1,INDIRECT("Table1[Ende]"),"&gt;="&amp;I$1,INDIRECT("Table1[Obergruppe ATC-Code]"),Tabelle3!$A19)</f>
        <v>0</v>
      </c>
      <c r="J19">
        <f ca="1">COUNTIFS(INDIRECT("Table1[Beginn]"),"&lt;="&amp;J$1,INDIRECT("Table1[Ende]"),"&gt;="&amp;J$1,INDIRECT("Table1[Obergruppe ATC-Code]"),Tabelle3!$A19)</f>
        <v>0</v>
      </c>
      <c r="K19">
        <f ca="1">COUNTIFS(INDIRECT("Table1[Beginn]"),"&lt;="&amp;K$1,INDIRECT("Table1[Ende]"),"&gt;="&amp;K$1,INDIRECT("Table1[Obergruppe ATC-Code]"),Tabelle3!$A19)</f>
        <v>0</v>
      </c>
      <c r="L19">
        <f ca="1">COUNTIFS(INDIRECT("Table1[Beginn]"),"&lt;="&amp;L$1,INDIRECT("Table1[Ende]"),"&gt;="&amp;L$1,INDIRECT("Table1[Obergruppe ATC-Code]"),Tabelle3!$A19)</f>
        <v>0</v>
      </c>
      <c r="M19">
        <f ca="1">COUNTIFS(INDIRECT("Table1[Beginn]"),"&lt;="&amp;M$1,INDIRECT("Table1[Ende]"),"&gt;="&amp;M$1,INDIRECT("Table1[Obergruppe ATC-Code]"),Tabelle3!$A19)</f>
        <v>0</v>
      </c>
      <c r="N19">
        <f ca="1">COUNTIFS(INDIRECT("Table1[Beginn]"),"&lt;="&amp;N$1,INDIRECT("Table1[Ende]"),"&gt;="&amp;N$1,INDIRECT("Table1[Obergruppe ATC-Code]"),Tabelle3!$A19)</f>
        <v>0</v>
      </c>
      <c r="O19">
        <f ca="1">COUNTIFS(INDIRECT("Table1[Beginn]"),"&lt;="&amp;O$1,INDIRECT("Table1[Ende]"),"&gt;="&amp;O$1,INDIRECT("Table1[Obergruppe ATC-Code]"),Tabelle3!$A19)</f>
        <v>0</v>
      </c>
      <c r="P19">
        <f ca="1">COUNTIFS(INDIRECT("Table1[Beginn]"),"&lt;="&amp;P$1,INDIRECT("Table1[Ende]"),"&gt;="&amp;P$1,INDIRECT("Table1[Obergruppe ATC-Code]"),Tabelle3!$A19)</f>
        <v>1</v>
      </c>
      <c r="Q19">
        <f ca="1">COUNTIFS(INDIRECT("Table1[Beginn]"),"&lt;="&amp;Q$1,INDIRECT("Table1[Ende]"),"&gt;="&amp;Q$1,INDIRECT("Table1[Obergruppe ATC-Code]"),Tabelle3!$A19)</f>
        <v>1</v>
      </c>
      <c r="R19">
        <f ca="1">COUNTIFS(INDIRECT("Table1[Beginn]"),"&lt;="&amp;R$1,INDIRECT("Table1[Ende]"),"&gt;="&amp;R$1,INDIRECT("Table1[Obergruppe ATC-Code]"),Tabelle3!$A19)</f>
        <v>1</v>
      </c>
      <c r="S19">
        <f ca="1">COUNTIFS(INDIRECT("Table1[Beginn]"),"&lt;="&amp;S$1,INDIRECT("Table1[Ende]"),"&gt;="&amp;S$1,INDIRECT("Table1[Obergruppe ATC-Code]"),Tabelle3!$A19)</f>
        <v>1</v>
      </c>
      <c r="T19">
        <f ca="1">COUNTIFS(INDIRECT("Table1[Beginn]"),"&lt;="&amp;T$1,INDIRECT("Table1[Ende]"),"&gt;="&amp;T$1,INDIRECT("Table1[Obergruppe ATC-Code]"),Tabelle3!$A19)</f>
        <v>0</v>
      </c>
      <c r="U19">
        <f ca="1">COUNTIFS(INDIRECT("Table1[Beginn]"),"&lt;="&amp;U$1,INDIRECT("Table1[Ende]"),"&gt;="&amp;U$1,INDIRECT("Table1[Obergruppe ATC-Code]"),Tabelle3!$A19)</f>
        <v>0</v>
      </c>
      <c r="V19">
        <f ca="1">COUNTIFS(INDIRECT("Table1[Beginn]"),"&lt;="&amp;V$1,INDIRECT("Table1[Ende]"),"&gt;="&amp;V$1,INDIRECT("Table1[Obergruppe ATC-Code]"),Tabelle3!$A19)</f>
        <v>0</v>
      </c>
      <c r="W19">
        <f ca="1">COUNTIFS(INDIRECT("Table1[Beginn]"),"&lt;="&amp;W$1,INDIRECT("Table1[Ende]"),"&gt;="&amp;W$1,INDIRECT("Table1[Obergruppe ATC-Code]"),Tabelle3!$A19)</f>
        <v>0</v>
      </c>
      <c r="X19">
        <f ca="1">COUNTIFS(INDIRECT("Table1[Beginn]"),"&lt;="&amp;X$1,INDIRECT("Table1[Ende]"),"&gt;="&amp;X$1,INDIRECT("Table1[Obergruppe ATC-Code]"),Tabelle3!$A19)</f>
        <v>0</v>
      </c>
      <c r="Y19">
        <f ca="1">COUNTIFS(INDIRECT("Table1[Beginn]"),"&lt;="&amp;Y$1,INDIRECT("Table1[Ende]"),"&gt;="&amp;Y$1,INDIRECT("Table1[Obergruppe ATC-Code]"),Tabelle3!$A19)</f>
        <v>1</v>
      </c>
      <c r="Z19">
        <f ca="1">COUNTIFS(INDIRECT("Table1[Beginn]"),"&lt;="&amp;Z$1,INDIRECT("Table1[Ende]"),"&gt;="&amp;Z$1,INDIRECT("Table1[Obergruppe ATC-Code]"),Tabelle3!$A19)</f>
        <v>1</v>
      </c>
      <c r="AA19">
        <f ca="1">COUNTIFS(INDIRECT("Table1[Beginn]"),"&lt;="&amp;AA$1,INDIRECT("Table1[Ende]"),"&gt;="&amp;AA$1,INDIRECT("Table1[Obergruppe ATC-Code]"),Tabelle3!$A19)</f>
        <v>1</v>
      </c>
      <c r="AB19">
        <f ca="1">COUNTIFS(INDIRECT("Table1[Beginn]"),"&lt;="&amp;AB$1,INDIRECT("Table1[Ende]"),"&gt;="&amp;AB$1,INDIRECT("Table1[Obergruppe ATC-Code]"),Tabelle3!$A19)</f>
        <v>1</v>
      </c>
      <c r="AC19">
        <f ca="1">COUNTIFS(INDIRECT("Table1[Beginn]"),"&lt;="&amp;AC$1,INDIRECT("Table1[Ende]"),"&gt;="&amp;AC$1,INDIRECT("Table1[Obergruppe ATC-Code]"),Tabelle3!$A19)</f>
        <v>1</v>
      </c>
      <c r="AD19">
        <f ca="1">COUNTIFS(INDIRECT("Table1[Beginn]"),"&lt;="&amp;AD$1,INDIRECT("Table1[Ende]"),"&gt;="&amp;AD$1,INDIRECT("Table1[Obergruppe ATC-Code]"),Tabelle3!$A19)</f>
        <v>1</v>
      </c>
      <c r="AE19">
        <f ca="1">COUNTIFS(INDIRECT("Table1[Beginn]"),"&lt;="&amp;AE$1,INDIRECT("Table1[Ende]"),"&gt;="&amp;AE$1,INDIRECT("Table1[Obergruppe ATC-Code]"),Tabelle3!$A19)</f>
        <v>2</v>
      </c>
      <c r="AF19">
        <f ca="1">COUNTIFS(INDIRECT("Table1[Beginn]"),"&lt;="&amp;AF$1,INDIRECT("Table1[Ende]"),"&gt;="&amp;AF$1,INDIRECT("Table1[Obergruppe ATC-Code]"),Tabelle3!$A19)</f>
        <v>2</v>
      </c>
      <c r="AG19">
        <f ca="1">COUNTIFS(INDIRECT("Table1[Beginn]"),"&lt;="&amp;AG$1,INDIRECT("Table1[Ende]"),"&gt;="&amp;AG$1,INDIRECT("Table1[Obergruppe ATC-Code]"),Tabelle3!$A19)</f>
        <v>2</v>
      </c>
      <c r="AH19">
        <f ca="1">COUNTIFS(INDIRECT("Table1[Beginn]"),"&lt;="&amp;AH$1,INDIRECT("Table1[Ende]"),"&gt;="&amp;AH$1,INDIRECT("Table1[Obergruppe ATC-Code]"),Tabelle3!$A19)</f>
        <v>1</v>
      </c>
      <c r="AI19">
        <f ca="1">COUNTIFS(INDIRECT("Table1[Beginn]"),"&lt;="&amp;AI$1,INDIRECT("Table1[Ende]"),"&gt;="&amp;AI$1,INDIRECT("Table1[Obergruppe ATC-Code]"),Tabelle3!$A19)</f>
        <v>1</v>
      </c>
      <c r="AJ19">
        <f ca="1">COUNTIFS(INDIRECT("Table1[Beginn]"),"&lt;="&amp;AJ$1,INDIRECT("Table1[Ende]"),"&gt;="&amp;AJ$1,INDIRECT("Table1[Obergruppe ATC-Code]"),Tabelle3!$A19)</f>
        <v>1</v>
      </c>
      <c r="AK19">
        <f ca="1">COUNTIFS(INDIRECT("Table1[Beginn]"),"&lt;="&amp;AK$1,INDIRECT("Table1[Ende]"),"&gt;="&amp;AK$1,INDIRECT("Table1[Obergruppe ATC-Code]"),Tabelle3!$A19)</f>
        <v>2</v>
      </c>
      <c r="AL19">
        <f ca="1">COUNTIFS(INDIRECT("Table1[Beginn]"),"&lt;="&amp;AL$1,INDIRECT("Table1[Ende]"),"&gt;="&amp;AL$1,INDIRECT("Table1[Obergruppe ATC-Code]"),Tabelle3!$A19)</f>
        <v>2</v>
      </c>
      <c r="AM19">
        <f ca="1">COUNTIFS(INDIRECT("Table1[Beginn]"),"&lt;="&amp;AM$1,INDIRECT("Table1[Ende]"),"&gt;="&amp;AM$1,INDIRECT("Table1[Obergruppe ATC-Code]"),Tabelle3!$A19)</f>
        <v>2</v>
      </c>
      <c r="AN19">
        <f ca="1">COUNTIFS(INDIRECT("Table1[Beginn]"),"&lt;="&amp;AN$1,INDIRECT("Table1[Ende]"),"&gt;="&amp;AN$1,INDIRECT("Table1[Obergruppe ATC-Code]"),Tabelle3!$A19)</f>
        <v>1</v>
      </c>
      <c r="AO19">
        <f ca="1">COUNTIFS(INDIRECT("Table1[Beginn]"),"&lt;="&amp;AO$1,INDIRECT("Table1[Ende]"),"&gt;="&amp;AO$1,INDIRECT("Table1[Obergruppe ATC-Code]"),Tabelle3!$A19)</f>
        <v>1</v>
      </c>
      <c r="AP19">
        <f ca="1">COUNTIFS(INDIRECT("Table1[Beginn]"),"&lt;="&amp;AP$1,INDIRECT("Table1[Ende]"),"&gt;="&amp;AP$1,INDIRECT("Table1[Obergruppe ATC-Code]"),Tabelle3!$A19)</f>
        <v>1</v>
      </c>
      <c r="AQ19">
        <f ca="1">COUNTIFS(INDIRECT("Table1[Beginn]"),"&lt;="&amp;AQ$1,INDIRECT("Table1[Ende]"),"&gt;="&amp;AQ$1,INDIRECT("Table1[Obergruppe ATC-Code]"),Tabelle3!$A19)</f>
        <v>1</v>
      </c>
      <c r="AR19">
        <f ca="1">COUNTIFS(INDIRECT("Table1[Beginn]"),"&lt;="&amp;AR$1,INDIRECT("Table1[Ende]"),"&gt;="&amp;AR$1,INDIRECT("Table1[Obergruppe ATC-Code]"),Tabelle3!$A19)</f>
        <v>1</v>
      </c>
      <c r="AS19">
        <f ca="1">COUNTIFS(INDIRECT("Table1[Beginn]"),"&lt;="&amp;AS$1,INDIRECT("Table1[Ende]"),"&gt;="&amp;AS$1,INDIRECT("Table1[Obergruppe ATC-Code]"),Tabelle3!$A19)</f>
        <v>1</v>
      </c>
      <c r="AT19">
        <f ca="1">COUNTIFS(INDIRECT("Table1[Beginn]"),"&lt;="&amp;AT$1,INDIRECT("Table1[Ende]"),"&gt;="&amp;AT$1,INDIRECT("Table1[Obergruppe ATC-Code]"),Tabelle3!$A19)</f>
        <v>1</v>
      </c>
      <c r="AU19">
        <f ca="1">COUNTIFS(INDIRECT("Table1[Beginn]"),"&lt;="&amp;AU$1,INDIRECT("Table1[Ende]"),"&gt;="&amp;AU$1,INDIRECT("Table1[Obergruppe ATC-Code]"),Tabelle3!$A19)</f>
        <v>1</v>
      </c>
      <c r="AV19">
        <f ca="1">COUNTIFS(INDIRECT("Table1[Beginn]"),"&lt;="&amp;AV$1,INDIRECT("Table1[Ende]"),"&gt;="&amp;AV$1,INDIRECT("Table1[Obergruppe ATC-Code]"),Tabelle3!$A19)</f>
        <v>1</v>
      </c>
      <c r="AW19">
        <f ca="1">COUNTIFS(INDIRECT("Table1[Beginn]"),"&lt;="&amp;AW$1,INDIRECT("Table1[Ende]"),"&gt;="&amp;AW$1,INDIRECT("Table1[Obergruppe ATC-Code]"),Tabelle3!$A19)</f>
        <v>1</v>
      </c>
      <c r="AX19">
        <f ca="1">COUNTIFS(INDIRECT("Table1[Beginn]"),"&lt;="&amp;AX$1,INDIRECT("Table1[Ende]"),"&gt;="&amp;AX$1,INDIRECT("Table1[Obergruppe ATC-Code]"),Tabelle3!$A19)</f>
        <v>1</v>
      </c>
      <c r="AY19">
        <f ca="1">COUNTIFS(INDIRECT("Table1[Beginn]"),"&lt;="&amp;AY$1,INDIRECT("Table1[Ende]"),"&gt;="&amp;AY$1,INDIRECT("Table1[Obergruppe ATC-Code]"),Tabelle3!$A19)</f>
        <v>1</v>
      </c>
      <c r="AZ19">
        <f ca="1">COUNTIFS(INDIRECT("Table1[Beginn]"),"&lt;="&amp;AZ$1,INDIRECT("Table1[Ende]"),"&gt;="&amp;AZ$1,INDIRECT("Table1[Obergruppe ATC-Code]"),Tabelle3!$A19)</f>
        <v>1</v>
      </c>
      <c r="BA19">
        <f ca="1">COUNTIFS(INDIRECT("Table1[Beginn]"),"&lt;="&amp;BA$1,INDIRECT("Table1[Ende]"),"&gt;="&amp;BA$1,INDIRECT("Table1[Obergruppe ATC-Code]"),Tabelle3!$A19)</f>
        <v>1</v>
      </c>
      <c r="BB19">
        <f ca="1">COUNTIFS(INDIRECT("Table1[Beginn]"),"&lt;="&amp;BB$1,INDIRECT("Table1[Ende]"),"&gt;="&amp;BB$1,INDIRECT("Table1[Obergruppe ATC-Code]"),Tabelle3!$A19)</f>
        <v>1</v>
      </c>
      <c r="BC19">
        <f ca="1">COUNTIFS(INDIRECT("Table1[Beginn]"),"&lt;="&amp;BC$1,INDIRECT("Table1[Ende]"),"&gt;="&amp;BC$1,INDIRECT("Table1[Obergruppe ATC-Code]"),Tabelle3!$A19)</f>
        <v>1</v>
      </c>
      <c r="BD19">
        <f ca="1">COUNTIFS(INDIRECT("Table1[Beginn]"),"&lt;="&amp;BD$1,INDIRECT("Table1[Ende]"),"&gt;="&amp;BD$1,INDIRECT("Table1[Obergruppe ATC-Code]"),Tabelle3!$A19)</f>
        <v>1</v>
      </c>
      <c r="BE19">
        <f ca="1">COUNTIFS(INDIRECT("Table1[Beginn]"),"&lt;="&amp;BE$1,INDIRECT("Table1[Ende]"),"&gt;="&amp;BE$1,INDIRECT("Table1[Obergruppe ATC-Code]"),Tabelle3!$A19)</f>
        <v>1</v>
      </c>
      <c r="BF19">
        <f ca="1">COUNTIFS(INDIRECT("Table1[Beginn]"),"&lt;="&amp;BF$1,INDIRECT("Table1[Ende]"),"&gt;="&amp;BF$1,INDIRECT("Table1[Obergruppe ATC-Code]"),Tabelle3!$A19)</f>
        <v>1</v>
      </c>
      <c r="BG19">
        <f ca="1">COUNTIFS(INDIRECT("Table1[Beginn]"),"&lt;="&amp;BG$1,INDIRECT("Table1[Ende]"),"&gt;="&amp;BG$1,INDIRECT("Table1[Obergruppe ATC-Code]"),Tabelle3!$A19)</f>
        <v>1</v>
      </c>
      <c r="BH19">
        <f ca="1">COUNTIFS(INDIRECT("Table1[Beginn]"),"&lt;="&amp;BH$1,INDIRECT("Table1[Ende]"),"&gt;="&amp;BH$1,INDIRECT("Table1[Obergruppe ATC-Code]"),Tabelle3!$A19)</f>
        <v>1</v>
      </c>
      <c r="BI19">
        <f ca="1">COUNTIFS(INDIRECT("Table1[Beginn]"),"&lt;="&amp;BI$1,INDIRECT("Table1[Ende]"),"&gt;="&amp;BI$1,INDIRECT("Table1[Obergruppe ATC-Code]"),Tabelle3!$A19)</f>
        <v>1</v>
      </c>
      <c r="BJ19">
        <f ca="1">COUNTIFS(INDIRECT("Table1[Beginn]"),"&lt;="&amp;BJ$1,INDIRECT("Table1[Ende]"),"&gt;="&amp;BJ$1,INDIRECT("Table1[Obergruppe ATC-Code]"),Tabelle3!$A19)</f>
        <v>1</v>
      </c>
      <c r="BK19">
        <f ca="1">COUNTIFS(INDIRECT("Table1[Beginn]"),"&lt;="&amp;BK$1,INDIRECT("Table1[Ende]"),"&gt;="&amp;BK$1,INDIRECT("Table1[Obergruppe ATC-Code]"),Tabelle3!$A19)</f>
        <v>1</v>
      </c>
      <c r="BL19">
        <f ca="1">COUNTIFS(INDIRECT("Table1[Beginn]"),"&lt;="&amp;BL$1,INDIRECT("Table1[Ende]"),"&gt;="&amp;BL$1,INDIRECT("Table1[Obergruppe ATC-Code]"),Tabelle3!$A19)</f>
        <v>1</v>
      </c>
      <c r="BM19">
        <f ca="1">COUNTIFS(INDIRECT("Table1[Beginn]"),"&lt;="&amp;BM$1,INDIRECT("Table1[Ende]"),"&gt;="&amp;BM$1,INDIRECT("Table1[Obergruppe ATC-Code]"),Tabelle3!$A19)</f>
        <v>1</v>
      </c>
      <c r="BN19">
        <f ca="1">COUNTIFS(INDIRECT("Table1[Beginn]"),"&lt;="&amp;BN$1,INDIRECT("Table1[Ende]"),"&gt;="&amp;BN$1,INDIRECT("Table1[Obergruppe ATC-Code]"),Tabelle3!$A19)</f>
        <v>1</v>
      </c>
      <c r="BO19">
        <f ca="1">COUNTIFS(INDIRECT("Table1[Beginn]"),"&lt;="&amp;BO$1,INDIRECT("Table1[Ende]"),"&gt;="&amp;BO$1,INDIRECT("Table1[Obergruppe ATC-Code]"),Tabelle3!$A19)</f>
        <v>1</v>
      </c>
      <c r="BP19">
        <f ca="1">COUNTIFS(INDIRECT("Table1[Beginn]"),"&lt;="&amp;BP$1,INDIRECT("Table1[Ende]"),"&gt;="&amp;BP$1,INDIRECT("Table1[Obergruppe ATC-Code]"),Tabelle3!$A19)</f>
        <v>1</v>
      </c>
      <c r="BQ19">
        <f ca="1">COUNTIFS(INDIRECT("Table1[Beginn]"),"&lt;="&amp;BQ$1,INDIRECT("Table1[Ende]"),"&gt;="&amp;BQ$1,INDIRECT("Table1[Obergruppe ATC-Code]"),Tabelle3!$A19)</f>
        <v>1</v>
      </c>
      <c r="BR19">
        <f ca="1">COUNTIFS(INDIRECT("Table1[Beginn]"),"&lt;="&amp;BR$1,INDIRECT("Table1[Ende]"),"&gt;="&amp;BR$1,INDIRECT("Table1[Obergruppe ATC-Code]"),Tabelle3!$A19)</f>
        <v>1</v>
      </c>
      <c r="BS19">
        <f ca="1">COUNTIFS(INDIRECT("Table1[Beginn]"),"&lt;="&amp;BS$1,INDIRECT("Table1[Ende]"),"&gt;="&amp;BS$1,INDIRECT("Table1[Obergruppe ATC-Code]"),Tabelle3!$A19)</f>
        <v>1</v>
      </c>
      <c r="BT19">
        <f ca="1">COUNTIFS(INDIRECT("Table1[Beginn]"),"&lt;="&amp;BT$1,INDIRECT("Table1[Ende]"),"&gt;="&amp;BT$1,INDIRECT("Table1[Obergruppe ATC-Code]"),Tabelle3!$A19)</f>
        <v>2</v>
      </c>
      <c r="BU19">
        <f ca="1">COUNTIFS(INDIRECT("Table1[Beginn]"),"&lt;="&amp;BU$1,INDIRECT("Table1[Ende]"),"&gt;="&amp;BU$1,INDIRECT("Table1[Obergruppe ATC-Code]"),Tabelle3!$A19)</f>
        <v>2</v>
      </c>
      <c r="BV19">
        <f ca="1">COUNTIFS(INDIRECT("Table1[Beginn]"),"&lt;="&amp;BV$1,INDIRECT("Table1[Ende]"),"&gt;="&amp;BV$1,INDIRECT("Table1[Obergruppe ATC-Code]"),Tabelle3!$A19)</f>
        <v>1</v>
      </c>
      <c r="BW19">
        <f ca="1">COUNTIFS(INDIRECT("Table1[Beginn]"),"&lt;="&amp;BW$1,INDIRECT("Table1[Ende]"),"&gt;="&amp;BW$1,INDIRECT("Table1[Obergruppe ATC-Code]"),Tabelle3!$A19)</f>
        <v>1</v>
      </c>
      <c r="BX19">
        <f ca="1">COUNTIFS(INDIRECT("Table1[Beginn]"),"&lt;="&amp;BX$1,INDIRECT("Table1[Ende]"),"&gt;="&amp;BX$1,INDIRECT("Table1[Obergruppe ATC-Code]"),Tabelle3!$A19)</f>
        <v>1</v>
      </c>
      <c r="BY19">
        <f ca="1">COUNTIFS(INDIRECT("Table1[Beginn]"),"&lt;="&amp;BY$1,INDIRECT("Table1[Ende]"),"&gt;="&amp;BY$1,INDIRECT("Table1[Obergruppe ATC-Code]"),Tabelle3!$A19)</f>
        <v>1</v>
      </c>
      <c r="BZ19">
        <f ca="1">COUNTIFS(INDIRECT("Table1[Beginn]"),"&lt;="&amp;BZ$1,INDIRECT("Table1[Ende]"),"&gt;="&amp;BZ$1,INDIRECT("Table1[Obergruppe ATC-Code]"),Tabelle3!$A19)</f>
        <v>1</v>
      </c>
      <c r="CA19">
        <f ca="1">COUNTIFS(INDIRECT("Table1[Beginn]"),"&lt;="&amp;CA$1,INDIRECT("Table1[Ende]"),"&gt;="&amp;CA$1,INDIRECT("Table1[Obergruppe ATC-Code]"),Tabelle3!$A19)</f>
        <v>1</v>
      </c>
      <c r="CB19">
        <f ca="1">COUNTIFS(INDIRECT("Table1[Beginn]"),"&lt;="&amp;CB$1,INDIRECT("Table1[Ende]"),"&gt;="&amp;CB$1,INDIRECT("Table1[Obergruppe ATC-Code]"),Tabelle3!$A19)</f>
        <v>1</v>
      </c>
      <c r="CC19">
        <f ca="1">COUNTIFS(INDIRECT("Table1[Beginn]"),"&lt;="&amp;CC$1,INDIRECT("Table1[Ende]"),"&gt;="&amp;CC$1,INDIRECT("Table1[Obergruppe ATC-Code]"),Tabelle3!$A19)</f>
        <v>2</v>
      </c>
      <c r="CD19">
        <f ca="1">COUNTIFS(INDIRECT("Table1[Beginn]"),"&lt;="&amp;CD$1,INDIRECT("Table1[Ende]"),"&gt;="&amp;CD$1,INDIRECT("Table1[Obergruppe ATC-Code]"),Tabelle3!$A19)</f>
        <v>2</v>
      </c>
      <c r="CE19">
        <f ca="1">COUNTIFS(INDIRECT("Table1[Beginn]"),"&lt;="&amp;CE$1,INDIRECT("Table1[Ende]"),"&gt;="&amp;CE$1,INDIRECT("Table1[Obergruppe ATC-Code]"),Tabelle3!$A19)</f>
        <v>2</v>
      </c>
      <c r="CF19">
        <f ca="1">COUNTIFS(INDIRECT("Table1[Beginn]"),"&lt;="&amp;CF$1,INDIRECT("Table1[Ende]"),"&gt;="&amp;CF$1,INDIRECT("Table1[Obergruppe ATC-Code]"),Tabelle3!$A19)</f>
        <v>1</v>
      </c>
      <c r="CG19">
        <f ca="1">COUNTIFS(INDIRECT("Table1[Beginn]"),"&lt;="&amp;CG$1,INDIRECT("Table1[Ende]"),"&gt;="&amp;CG$1,INDIRECT("Table1[Obergruppe ATC-Code]"),Tabelle3!$A19)</f>
        <v>0</v>
      </c>
      <c r="CH19">
        <f ca="1">COUNTIFS(INDIRECT("Table1[Beginn]"),"&lt;="&amp;CH$1,INDIRECT("Table1[Ende]"),"&gt;="&amp;CH$1,INDIRECT("Table1[Obergruppe ATC-Code]"),Tabelle3!$A19)</f>
        <v>0</v>
      </c>
      <c r="CI19">
        <f ca="1">COUNTIFS(INDIRECT("Table1[Beginn]"),"&lt;="&amp;CI$1,INDIRECT("Table1[Ende]"),"&gt;="&amp;CI$1,INDIRECT("Table1[Obergruppe ATC-Code]"),Tabelle3!$A19)</f>
        <v>0</v>
      </c>
      <c r="CJ19">
        <f ca="1">COUNTIFS(INDIRECT("Table1[Beginn]"),"&lt;="&amp;CJ$1,INDIRECT("Table1[Ende]"),"&gt;="&amp;CJ$1,INDIRECT("Table1[Obergruppe ATC-Code]"),Tabelle3!$A19)</f>
        <v>0</v>
      </c>
      <c r="CK19">
        <f ca="1">COUNTIFS(INDIRECT("Table1[Beginn]"),"&lt;="&amp;CK$1,INDIRECT("Table1[Ende]"),"&gt;="&amp;CK$1,INDIRECT("Table1[Obergruppe ATC-Code]"),Tabelle3!$A19)</f>
        <v>0</v>
      </c>
      <c r="CL19">
        <f ca="1">COUNTIFS(INDIRECT("Table1[Beginn]"),"&lt;="&amp;CL$1,INDIRECT("Table1[Ende]"),"&gt;="&amp;CL$1,INDIRECT("Table1[Obergruppe ATC-Code]"),Tabelle3!$A19)</f>
        <v>0</v>
      </c>
      <c r="CM19">
        <f ca="1">COUNTIFS(INDIRECT("Table1[Beginn]"),"&lt;="&amp;CM$1,INDIRECT("Table1[Ende]"),"&gt;="&amp;CM$1,INDIRECT("Table1[Obergruppe ATC-Code]"),Tabelle3!$A19)</f>
        <v>0</v>
      </c>
      <c r="CN19">
        <f ca="1">COUNTIFS(INDIRECT("Table1[Beginn]"),"&lt;="&amp;CN$1,INDIRECT("Table1[Ende]"),"&gt;="&amp;CN$1,INDIRECT("Table1[Obergruppe ATC-Code]"),Tabelle3!$A19)</f>
        <v>0</v>
      </c>
      <c r="CO19">
        <f ca="1">COUNTIFS(INDIRECT("Table1[Beginn]"),"&lt;="&amp;CO$1,INDIRECT("Table1[Ende]"),"&gt;="&amp;CO$1,INDIRECT("Table1[Obergruppe ATC-Code]"),Tabelle3!$A19)</f>
        <v>0</v>
      </c>
      <c r="CP19">
        <f ca="1">COUNTIFS(INDIRECT("Table1[Beginn]"),"&lt;="&amp;CP$1,INDIRECT("Table1[Ende]"),"&gt;="&amp;CP$1,INDIRECT("Table1[Obergruppe ATC-Code]"),Tabelle3!$A19)</f>
        <v>0</v>
      </c>
      <c r="CQ19">
        <f ca="1">COUNTIFS(INDIRECT("Table1[Beginn]"),"&lt;="&amp;CQ$1,INDIRECT("Table1[Ende]"),"&gt;="&amp;CQ$1,INDIRECT("Table1[Obergruppe ATC-Code]"),Tabelle3!$A19)</f>
        <v>0</v>
      </c>
      <c r="CR19">
        <f ca="1">COUNTIFS(INDIRECT("Table1[Beginn]"),"&lt;="&amp;CR$1,INDIRECT("Table1[Ende]"),"&gt;="&amp;CR$1,INDIRECT("Table1[Obergruppe ATC-Code]"),Tabelle3!$A19)</f>
        <v>0</v>
      </c>
    </row>
    <row r="20" spans="1:96" ht="18">
      <c r="A20" s="7" t="s">
        <v>6808</v>
      </c>
      <c r="B20" s="8" t="s">
        <v>6809</v>
      </c>
      <c r="C20">
        <f ca="1">COUNTIFS(INDIRECT("Table1[Beginn]"),"&lt;="&amp;C$1,INDIRECT("Table1[Ende]"),"&gt;="&amp;C$1,INDIRECT("Table1[Obergruppe ATC-Code]"),Tabelle3!$A20)</f>
        <v>0</v>
      </c>
      <c r="D20">
        <f ca="1">COUNTIFS(INDIRECT("Table1[Beginn]"),"&lt;="&amp;D$1,INDIRECT("Table1[Ende]"),"&gt;="&amp;D$1,INDIRECT("Table1[Obergruppe ATC-Code]"),Tabelle3!$A20)</f>
        <v>0</v>
      </c>
      <c r="E20">
        <f ca="1">COUNTIFS(INDIRECT("Table1[Beginn]"),"&lt;="&amp;E$1,INDIRECT("Table1[Ende]"),"&gt;="&amp;E$1,INDIRECT("Table1[Obergruppe ATC-Code]"),Tabelle3!$A20)</f>
        <v>0</v>
      </c>
      <c r="F20">
        <f ca="1">COUNTIFS(INDIRECT("Table1[Beginn]"),"&lt;="&amp;F$1,INDIRECT("Table1[Ende]"),"&gt;="&amp;F$1,INDIRECT("Table1[Obergruppe ATC-Code]"),Tabelle3!$A20)</f>
        <v>0</v>
      </c>
      <c r="G20">
        <f ca="1">COUNTIFS(INDIRECT("Table1[Beginn]"),"&lt;="&amp;G$1,INDIRECT("Table1[Ende]"),"&gt;="&amp;G$1,INDIRECT("Table1[Obergruppe ATC-Code]"),Tabelle3!$A20)</f>
        <v>0</v>
      </c>
      <c r="H20">
        <f ca="1">COUNTIFS(INDIRECT("Table1[Beginn]"),"&lt;="&amp;H$1,INDIRECT("Table1[Ende]"),"&gt;="&amp;H$1,INDIRECT("Table1[Obergruppe ATC-Code]"),Tabelle3!$A20)</f>
        <v>0</v>
      </c>
      <c r="I20">
        <f ca="1">COUNTIFS(INDIRECT("Table1[Beginn]"),"&lt;="&amp;I$1,INDIRECT("Table1[Ende]"),"&gt;="&amp;I$1,INDIRECT("Table1[Obergruppe ATC-Code]"),Tabelle3!$A20)</f>
        <v>1</v>
      </c>
      <c r="J20">
        <f ca="1">COUNTIFS(INDIRECT("Table1[Beginn]"),"&lt;="&amp;J$1,INDIRECT("Table1[Ende]"),"&gt;="&amp;J$1,INDIRECT("Table1[Obergruppe ATC-Code]"),Tabelle3!$A20)</f>
        <v>1</v>
      </c>
      <c r="K20">
        <f ca="1">COUNTIFS(INDIRECT("Table1[Beginn]"),"&lt;="&amp;K$1,INDIRECT("Table1[Ende]"),"&gt;="&amp;K$1,INDIRECT("Table1[Obergruppe ATC-Code]"),Tabelle3!$A20)</f>
        <v>1</v>
      </c>
      <c r="L20">
        <f ca="1">COUNTIFS(INDIRECT("Table1[Beginn]"),"&lt;="&amp;L$1,INDIRECT("Table1[Ende]"),"&gt;="&amp;L$1,INDIRECT("Table1[Obergruppe ATC-Code]"),Tabelle3!$A20)</f>
        <v>1</v>
      </c>
      <c r="M20">
        <f ca="1">COUNTIFS(INDIRECT("Table1[Beginn]"),"&lt;="&amp;M$1,INDIRECT("Table1[Ende]"),"&gt;="&amp;M$1,INDIRECT("Table1[Obergruppe ATC-Code]"),Tabelle3!$A20)</f>
        <v>1</v>
      </c>
      <c r="N20">
        <f ca="1">COUNTIFS(INDIRECT("Table1[Beginn]"),"&lt;="&amp;N$1,INDIRECT("Table1[Ende]"),"&gt;="&amp;N$1,INDIRECT("Table1[Obergruppe ATC-Code]"),Tabelle3!$A20)</f>
        <v>1</v>
      </c>
      <c r="O20">
        <f ca="1">COUNTIFS(INDIRECT("Table1[Beginn]"),"&lt;="&amp;O$1,INDIRECT("Table1[Ende]"),"&gt;="&amp;O$1,INDIRECT("Table1[Obergruppe ATC-Code]"),Tabelle3!$A20)</f>
        <v>1</v>
      </c>
      <c r="P20">
        <f ca="1">COUNTIFS(INDIRECT("Table1[Beginn]"),"&lt;="&amp;P$1,INDIRECT("Table1[Ende]"),"&gt;="&amp;P$1,INDIRECT("Table1[Obergruppe ATC-Code]"),Tabelle3!$A20)</f>
        <v>1</v>
      </c>
      <c r="Q20">
        <f ca="1">COUNTIFS(INDIRECT("Table1[Beginn]"),"&lt;="&amp;Q$1,INDIRECT("Table1[Ende]"),"&gt;="&amp;Q$1,INDIRECT("Table1[Obergruppe ATC-Code]"),Tabelle3!$A20)</f>
        <v>1</v>
      </c>
      <c r="R20">
        <f ca="1">COUNTIFS(INDIRECT("Table1[Beginn]"),"&lt;="&amp;R$1,INDIRECT("Table1[Ende]"),"&gt;="&amp;R$1,INDIRECT("Table1[Obergruppe ATC-Code]"),Tabelle3!$A20)</f>
        <v>1</v>
      </c>
      <c r="S20">
        <f ca="1">COUNTIFS(INDIRECT("Table1[Beginn]"),"&lt;="&amp;S$1,INDIRECT("Table1[Ende]"),"&gt;="&amp;S$1,INDIRECT("Table1[Obergruppe ATC-Code]"),Tabelle3!$A20)</f>
        <v>1</v>
      </c>
      <c r="T20">
        <f ca="1">COUNTIFS(INDIRECT("Table1[Beginn]"),"&lt;="&amp;T$1,INDIRECT("Table1[Ende]"),"&gt;="&amp;T$1,INDIRECT("Table1[Obergruppe ATC-Code]"),Tabelle3!$A20)</f>
        <v>1</v>
      </c>
      <c r="U20">
        <f ca="1">COUNTIFS(INDIRECT("Table1[Beginn]"),"&lt;="&amp;U$1,INDIRECT("Table1[Ende]"),"&gt;="&amp;U$1,INDIRECT("Table1[Obergruppe ATC-Code]"),Tabelle3!$A20)</f>
        <v>1</v>
      </c>
      <c r="V20">
        <f ca="1">COUNTIFS(INDIRECT("Table1[Beginn]"),"&lt;="&amp;V$1,INDIRECT("Table1[Ende]"),"&gt;="&amp;V$1,INDIRECT("Table1[Obergruppe ATC-Code]"),Tabelle3!$A20)</f>
        <v>0</v>
      </c>
      <c r="W20">
        <f ca="1">COUNTIFS(INDIRECT("Table1[Beginn]"),"&lt;="&amp;W$1,INDIRECT("Table1[Ende]"),"&gt;="&amp;W$1,INDIRECT("Table1[Obergruppe ATC-Code]"),Tabelle3!$A20)</f>
        <v>0</v>
      </c>
      <c r="X20">
        <f ca="1">COUNTIFS(INDIRECT("Table1[Beginn]"),"&lt;="&amp;X$1,INDIRECT("Table1[Ende]"),"&gt;="&amp;X$1,INDIRECT("Table1[Obergruppe ATC-Code]"),Tabelle3!$A20)</f>
        <v>0</v>
      </c>
      <c r="Y20">
        <f ca="1">COUNTIFS(INDIRECT("Table1[Beginn]"),"&lt;="&amp;Y$1,INDIRECT("Table1[Ende]"),"&gt;="&amp;Y$1,INDIRECT("Table1[Obergruppe ATC-Code]"),Tabelle3!$A20)</f>
        <v>0</v>
      </c>
      <c r="Z20">
        <f ca="1">COUNTIFS(INDIRECT("Table1[Beginn]"),"&lt;="&amp;Z$1,INDIRECT("Table1[Ende]"),"&gt;="&amp;Z$1,INDIRECT("Table1[Obergruppe ATC-Code]"),Tabelle3!$A20)</f>
        <v>0</v>
      </c>
      <c r="AA20">
        <f ca="1">COUNTIFS(INDIRECT("Table1[Beginn]"),"&lt;="&amp;AA$1,INDIRECT("Table1[Ende]"),"&gt;="&amp;AA$1,INDIRECT("Table1[Obergruppe ATC-Code]"),Tabelle3!$A20)</f>
        <v>0</v>
      </c>
      <c r="AB20">
        <f ca="1">COUNTIFS(INDIRECT("Table1[Beginn]"),"&lt;="&amp;AB$1,INDIRECT("Table1[Ende]"),"&gt;="&amp;AB$1,INDIRECT("Table1[Obergruppe ATC-Code]"),Tabelle3!$A20)</f>
        <v>0</v>
      </c>
      <c r="AC20">
        <f ca="1">COUNTIFS(INDIRECT("Table1[Beginn]"),"&lt;="&amp;AC$1,INDIRECT("Table1[Ende]"),"&gt;="&amp;AC$1,INDIRECT("Table1[Obergruppe ATC-Code]"),Tabelle3!$A20)</f>
        <v>0</v>
      </c>
      <c r="AD20">
        <f ca="1">COUNTIFS(INDIRECT("Table1[Beginn]"),"&lt;="&amp;AD$1,INDIRECT("Table1[Ende]"),"&gt;="&amp;AD$1,INDIRECT("Table1[Obergruppe ATC-Code]"),Tabelle3!$A20)</f>
        <v>0</v>
      </c>
      <c r="AE20">
        <f ca="1">COUNTIFS(INDIRECT("Table1[Beginn]"),"&lt;="&amp;AE$1,INDIRECT("Table1[Ende]"),"&gt;="&amp;AE$1,INDIRECT("Table1[Obergruppe ATC-Code]"),Tabelle3!$A20)</f>
        <v>0</v>
      </c>
      <c r="AF20">
        <f ca="1">COUNTIFS(INDIRECT("Table1[Beginn]"),"&lt;="&amp;AF$1,INDIRECT("Table1[Ende]"),"&gt;="&amp;AF$1,INDIRECT("Table1[Obergruppe ATC-Code]"),Tabelle3!$A20)</f>
        <v>0</v>
      </c>
      <c r="AG20">
        <f ca="1">COUNTIFS(INDIRECT("Table1[Beginn]"),"&lt;="&amp;AG$1,INDIRECT("Table1[Ende]"),"&gt;="&amp;AG$1,INDIRECT("Table1[Obergruppe ATC-Code]"),Tabelle3!$A20)</f>
        <v>0</v>
      </c>
      <c r="AH20">
        <f ca="1">COUNTIFS(INDIRECT("Table1[Beginn]"),"&lt;="&amp;AH$1,INDIRECT("Table1[Ende]"),"&gt;="&amp;AH$1,INDIRECT("Table1[Obergruppe ATC-Code]"),Tabelle3!$A20)</f>
        <v>0</v>
      </c>
      <c r="AI20">
        <f ca="1">COUNTIFS(INDIRECT("Table1[Beginn]"),"&lt;="&amp;AI$1,INDIRECT("Table1[Ende]"),"&gt;="&amp;AI$1,INDIRECT("Table1[Obergruppe ATC-Code]"),Tabelle3!$A20)</f>
        <v>0</v>
      </c>
      <c r="AJ20">
        <f ca="1">COUNTIFS(INDIRECT("Table1[Beginn]"),"&lt;="&amp;AJ$1,INDIRECT("Table1[Ende]"),"&gt;="&amp;AJ$1,INDIRECT("Table1[Obergruppe ATC-Code]"),Tabelle3!$A20)</f>
        <v>0</v>
      </c>
      <c r="AK20">
        <f ca="1">COUNTIFS(INDIRECT("Table1[Beginn]"),"&lt;="&amp;AK$1,INDIRECT("Table1[Ende]"),"&gt;="&amp;AK$1,INDIRECT("Table1[Obergruppe ATC-Code]"),Tabelle3!$A20)</f>
        <v>0</v>
      </c>
      <c r="AL20">
        <f ca="1">COUNTIFS(INDIRECT("Table1[Beginn]"),"&lt;="&amp;AL$1,INDIRECT("Table1[Ende]"),"&gt;="&amp;AL$1,INDIRECT("Table1[Obergruppe ATC-Code]"),Tabelle3!$A20)</f>
        <v>0</v>
      </c>
      <c r="AM20">
        <f ca="1">COUNTIFS(INDIRECT("Table1[Beginn]"),"&lt;="&amp;AM$1,INDIRECT("Table1[Ende]"),"&gt;="&amp;AM$1,INDIRECT("Table1[Obergruppe ATC-Code]"),Tabelle3!$A20)</f>
        <v>0</v>
      </c>
      <c r="AN20">
        <f ca="1">COUNTIFS(INDIRECT("Table1[Beginn]"),"&lt;="&amp;AN$1,INDIRECT("Table1[Ende]"),"&gt;="&amp;AN$1,INDIRECT("Table1[Obergruppe ATC-Code]"),Tabelle3!$A20)</f>
        <v>0</v>
      </c>
      <c r="AO20">
        <f ca="1">COUNTIFS(INDIRECT("Table1[Beginn]"),"&lt;="&amp;AO$1,INDIRECT("Table1[Ende]"),"&gt;="&amp;AO$1,INDIRECT("Table1[Obergruppe ATC-Code]"),Tabelle3!$A20)</f>
        <v>0</v>
      </c>
      <c r="AP20">
        <f ca="1">COUNTIFS(INDIRECT("Table1[Beginn]"),"&lt;="&amp;AP$1,INDIRECT("Table1[Ende]"),"&gt;="&amp;AP$1,INDIRECT("Table1[Obergruppe ATC-Code]"),Tabelle3!$A20)</f>
        <v>0</v>
      </c>
      <c r="AQ20">
        <f ca="1">COUNTIFS(INDIRECT("Table1[Beginn]"),"&lt;="&amp;AQ$1,INDIRECT("Table1[Ende]"),"&gt;="&amp;AQ$1,INDIRECT("Table1[Obergruppe ATC-Code]"),Tabelle3!$A20)</f>
        <v>0</v>
      </c>
      <c r="AR20">
        <f ca="1">COUNTIFS(INDIRECT("Table1[Beginn]"),"&lt;="&amp;AR$1,INDIRECT("Table1[Ende]"),"&gt;="&amp;AR$1,INDIRECT("Table1[Obergruppe ATC-Code]"),Tabelle3!$A20)</f>
        <v>0</v>
      </c>
      <c r="AS20">
        <f ca="1">COUNTIFS(INDIRECT("Table1[Beginn]"),"&lt;="&amp;AS$1,INDIRECT("Table1[Ende]"),"&gt;="&amp;AS$1,INDIRECT("Table1[Obergruppe ATC-Code]"),Tabelle3!$A20)</f>
        <v>0</v>
      </c>
      <c r="AT20">
        <f ca="1">COUNTIFS(INDIRECT("Table1[Beginn]"),"&lt;="&amp;AT$1,INDIRECT("Table1[Ende]"),"&gt;="&amp;AT$1,INDIRECT("Table1[Obergruppe ATC-Code]"),Tabelle3!$A20)</f>
        <v>0</v>
      </c>
      <c r="AU20">
        <f ca="1">COUNTIFS(INDIRECT("Table1[Beginn]"),"&lt;="&amp;AU$1,INDIRECT("Table1[Ende]"),"&gt;="&amp;AU$1,INDIRECT("Table1[Obergruppe ATC-Code]"),Tabelle3!$A20)</f>
        <v>0</v>
      </c>
      <c r="AV20">
        <f ca="1">COUNTIFS(INDIRECT("Table1[Beginn]"),"&lt;="&amp;AV$1,INDIRECT("Table1[Ende]"),"&gt;="&amp;AV$1,INDIRECT("Table1[Obergruppe ATC-Code]"),Tabelle3!$A20)</f>
        <v>0</v>
      </c>
      <c r="AW20">
        <f ca="1">COUNTIFS(INDIRECT("Table1[Beginn]"),"&lt;="&amp;AW$1,INDIRECT("Table1[Ende]"),"&gt;="&amp;AW$1,INDIRECT("Table1[Obergruppe ATC-Code]"),Tabelle3!$A20)</f>
        <v>0</v>
      </c>
      <c r="AX20">
        <f ca="1">COUNTIFS(INDIRECT("Table1[Beginn]"),"&lt;="&amp;AX$1,INDIRECT("Table1[Ende]"),"&gt;="&amp;AX$1,INDIRECT("Table1[Obergruppe ATC-Code]"),Tabelle3!$A20)</f>
        <v>0</v>
      </c>
      <c r="AY20">
        <f ca="1">COUNTIFS(INDIRECT("Table1[Beginn]"),"&lt;="&amp;AY$1,INDIRECT("Table1[Ende]"),"&gt;="&amp;AY$1,INDIRECT("Table1[Obergruppe ATC-Code]"),Tabelle3!$A20)</f>
        <v>0</v>
      </c>
      <c r="AZ20">
        <f ca="1">COUNTIFS(INDIRECT("Table1[Beginn]"),"&lt;="&amp;AZ$1,INDIRECT("Table1[Ende]"),"&gt;="&amp;AZ$1,INDIRECT("Table1[Obergruppe ATC-Code]"),Tabelle3!$A20)</f>
        <v>0</v>
      </c>
      <c r="BA20">
        <f ca="1">COUNTIFS(INDIRECT("Table1[Beginn]"),"&lt;="&amp;BA$1,INDIRECT("Table1[Ende]"),"&gt;="&amp;BA$1,INDIRECT("Table1[Obergruppe ATC-Code]"),Tabelle3!$A20)</f>
        <v>0</v>
      </c>
      <c r="BB20">
        <f ca="1">COUNTIFS(INDIRECT("Table1[Beginn]"),"&lt;="&amp;BB$1,INDIRECT("Table1[Ende]"),"&gt;="&amp;BB$1,INDIRECT("Table1[Obergruppe ATC-Code]"),Tabelle3!$A20)</f>
        <v>0</v>
      </c>
      <c r="BC20">
        <f ca="1">COUNTIFS(INDIRECT("Table1[Beginn]"),"&lt;="&amp;BC$1,INDIRECT("Table1[Ende]"),"&gt;="&amp;BC$1,INDIRECT("Table1[Obergruppe ATC-Code]"),Tabelle3!$A20)</f>
        <v>0</v>
      </c>
      <c r="BD20">
        <f ca="1">COUNTIFS(INDIRECT("Table1[Beginn]"),"&lt;="&amp;BD$1,INDIRECT("Table1[Ende]"),"&gt;="&amp;BD$1,INDIRECT("Table1[Obergruppe ATC-Code]"),Tabelle3!$A20)</f>
        <v>0</v>
      </c>
      <c r="BE20">
        <f ca="1">COUNTIFS(INDIRECT("Table1[Beginn]"),"&lt;="&amp;BE$1,INDIRECT("Table1[Ende]"),"&gt;="&amp;BE$1,INDIRECT("Table1[Obergruppe ATC-Code]"),Tabelle3!$A20)</f>
        <v>0</v>
      </c>
      <c r="BF20">
        <f ca="1">COUNTIFS(INDIRECT("Table1[Beginn]"),"&lt;="&amp;BF$1,INDIRECT("Table1[Ende]"),"&gt;="&amp;BF$1,INDIRECT("Table1[Obergruppe ATC-Code]"),Tabelle3!$A20)</f>
        <v>0</v>
      </c>
      <c r="BG20">
        <f ca="1">COUNTIFS(INDIRECT("Table1[Beginn]"),"&lt;="&amp;BG$1,INDIRECT("Table1[Ende]"),"&gt;="&amp;BG$1,INDIRECT("Table1[Obergruppe ATC-Code]"),Tabelle3!$A20)</f>
        <v>0</v>
      </c>
      <c r="BH20">
        <f ca="1">COUNTIFS(INDIRECT("Table1[Beginn]"),"&lt;="&amp;BH$1,INDIRECT("Table1[Ende]"),"&gt;="&amp;BH$1,INDIRECT("Table1[Obergruppe ATC-Code]"),Tabelle3!$A20)</f>
        <v>0</v>
      </c>
      <c r="BI20">
        <f ca="1">COUNTIFS(INDIRECT("Table1[Beginn]"),"&lt;="&amp;BI$1,INDIRECT("Table1[Ende]"),"&gt;="&amp;BI$1,INDIRECT("Table1[Obergruppe ATC-Code]"),Tabelle3!$A20)</f>
        <v>0</v>
      </c>
      <c r="BJ20">
        <f ca="1">COUNTIFS(INDIRECT("Table1[Beginn]"),"&lt;="&amp;BJ$1,INDIRECT("Table1[Ende]"),"&gt;="&amp;BJ$1,INDIRECT("Table1[Obergruppe ATC-Code]"),Tabelle3!$A20)</f>
        <v>0</v>
      </c>
      <c r="BK20">
        <f ca="1">COUNTIFS(INDIRECT("Table1[Beginn]"),"&lt;="&amp;BK$1,INDIRECT("Table1[Ende]"),"&gt;="&amp;BK$1,INDIRECT("Table1[Obergruppe ATC-Code]"),Tabelle3!$A20)</f>
        <v>0</v>
      </c>
      <c r="BL20">
        <f ca="1">COUNTIFS(INDIRECT("Table1[Beginn]"),"&lt;="&amp;BL$1,INDIRECT("Table1[Ende]"),"&gt;="&amp;BL$1,INDIRECT("Table1[Obergruppe ATC-Code]"),Tabelle3!$A20)</f>
        <v>1</v>
      </c>
      <c r="BM20">
        <f ca="1">COUNTIFS(INDIRECT("Table1[Beginn]"),"&lt;="&amp;BM$1,INDIRECT("Table1[Ende]"),"&gt;="&amp;BM$1,INDIRECT("Table1[Obergruppe ATC-Code]"),Tabelle3!$A20)</f>
        <v>2</v>
      </c>
      <c r="BN20">
        <f ca="1">COUNTIFS(INDIRECT("Table1[Beginn]"),"&lt;="&amp;BN$1,INDIRECT("Table1[Ende]"),"&gt;="&amp;BN$1,INDIRECT("Table1[Obergruppe ATC-Code]"),Tabelle3!$A20)</f>
        <v>0</v>
      </c>
      <c r="BO20">
        <f ca="1">COUNTIFS(INDIRECT("Table1[Beginn]"),"&lt;="&amp;BO$1,INDIRECT("Table1[Ende]"),"&gt;="&amp;BO$1,INDIRECT("Table1[Obergruppe ATC-Code]"),Tabelle3!$A20)</f>
        <v>1</v>
      </c>
      <c r="BP20">
        <f ca="1">COUNTIFS(INDIRECT("Table1[Beginn]"),"&lt;="&amp;BP$1,INDIRECT("Table1[Ende]"),"&gt;="&amp;BP$1,INDIRECT("Table1[Obergruppe ATC-Code]"),Tabelle3!$A20)</f>
        <v>1</v>
      </c>
      <c r="BQ20">
        <f ca="1">COUNTIFS(INDIRECT("Table1[Beginn]"),"&lt;="&amp;BQ$1,INDIRECT("Table1[Ende]"),"&gt;="&amp;BQ$1,INDIRECT("Table1[Obergruppe ATC-Code]"),Tabelle3!$A20)</f>
        <v>0</v>
      </c>
      <c r="BR20">
        <f ca="1">COUNTIFS(INDIRECT("Table1[Beginn]"),"&lt;="&amp;BR$1,INDIRECT("Table1[Ende]"),"&gt;="&amp;BR$1,INDIRECT("Table1[Obergruppe ATC-Code]"),Tabelle3!$A20)</f>
        <v>1</v>
      </c>
      <c r="BS20">
        <f ca="1">COUNTIFS(INDIRECT("Table1[Beginn]"),"&lt;="&amp;BS$1,INDIRECT("Table1[Ende]"),"&gt;="&amp;BS$1,INDIRECT("Table1[Obergruppe ATC-Code]"),Tabelle3!$A20)</f>
        <v>1</v>
      </c>
      <c r="BT20">
        <f ca="1">COUNTIFS(INDIRECT("Table1[Beginn]"),"&lt;="&amp;BT$1,INDIRECT("Table1[Ende]"),"&gt;="&amp;BT$1,INDIRECT("Table1[Obergruppe ATC-Code]"),Tabelle3!$A20)</f>
        <v>1</v>
      </c>
      <c r="BU20">
        <f ca="1">COUNTIFS(INDIRECT("Table1[Beginn]"),"&lt;="&amp;BU$1,INDIRECT("Table1[Ende]"),"&gt;="&amp;BU$1,INDIRECT("Table1[Obergruppe ATC-Code]"),Tabelle3!$A20)</f>
        <v>0</v>
      </c>
      <c r="BV20">
        <f ca="1">COUNTIFS(INDIRECT("Table1[Beginn]"),"&lt;="&amp;BV$1,INDIRECT("Table1[Ende]"),"&gt;="&amp;BV$1,INDIRECT("Table1[Obergruppe ATC-Code]"),Tabelle3!$A20)</f>
        <v>2</v>
      </c>
      <c r="BW20">
        <f ca="1">COUNTIFS(INDIRECT("Table1[Beginn]"),"&lt;="&amp;BW$1,INDIRECT("Table1[Ende]"),"&gt;="&amp;BW$1,INDIRECT("Table1[Obergruppe ATC-Code]"),Tabelle3!$A20)</f>
        <v>1</v>
      </c>
      <c r="BX20">
        <f ca="1">COUNTIFS(INDIRECT("Table1[Beginn]"),"&lt;="&amp;BX$1,INDIRECT("Table1[Ende]"),"&gt;="&amp;BX$1,INDIRECT("Table1[Obergruppe ATC-Code]"),Tabelle3!$A20)</f>
        <v>1</v>
      </c>
      <c r="BY20">
        <f ca="1">COUNTIFS(INDIRECT("Table1[Beginn]"),"&lt;="&amp;BY$1,INDIRECT("Table1[Ende]"),"&gt;="&amp;BY$1,INDIRECT("Table1[Obergruppe ATC-Code]"),Tabelle3!$A20)</f>
        <v>0</v>
      </c>
      <c r="BZ20">
        <f ca="1">COUNTIFS(INDIRECT("Table1[Beginn]"),"&lt;="&amp;BZ$1,INDIRECT("Table1[Ende]"),"&gt;="&amp;BZ$1,INDIRECT("Table1[Obergruppe ATC-Code]"),Tabelle3!$A20)</f>
        <v>0</v>
      </c>
      <c r="CA20">
        <f ca="1">COUNTIFS(INDIRECT("Table1[Beginn]"),"&lt;="&amp;CA$1,INDIRECT("Table1[Ende]"),"&gt;="&amp;CA$1,INDIRECT("Table1[Obergruppe ATC-Code]"),Tabelle3!$A20)</f>
        <v>0</v>
      </c>
      <c r="CB20">
        <f ca="1">COUNTIFS(INDIRECT("Table1[Beginn]"),"&lt;="&amp;CB$1,INDIRECT("Table1[Ende]"),"&gt;="&amp;CB$1,INDIRECT("Table1[Obergruppe ATC-Code]"),Tabelle3!$A20)</f>
        <v>0</v>
      </c>
      <c r="CC20">
        <f ca="1">COUNTIFS(INDIRECT("Table1[Beginn]"),"&lt;="&amp;CC$1,INDIRECT("Table1[Ende]"),"&gt;="&amp;CC$1,INDIRECT("Table1[Obergruppe ATC-Code]"),Tabelle3!$A20)</f>
        <v>2</v>
      </c>
      <c r="CD20">
        <f ca="1">COUNTIFS(INDIRECT("Table1[Beginn]"),"&lt;="&amp;CD$1,INDIRECT("Table1[Ende]"),"&gt;="&amp;CD$1,INDIRECT("Table1[Obergruppe ATC-Code]"),Tabelle3!$A20)</f>
        <v>1</v>
      </c>
      <c r="CE20">
        <f ca="1">COUNTIFS(INDIRECT("Table1[Beginn]"),"&lt;="&amp;CE$1,INDIRECT("Table1[Ende]"),"&gt;="&amp;CE$1,INDIRECT("Table1[Obergruppe ATC-Code]"),Tabelle3!$A20)</f>
        <v>1</v>
      </c>
      <c r="CF20">
        <f ca="1">COUNTIFS(INDIRECT("Table1[Beginn]"),"&lt;="&amp;CF$1,INDIRECT("Table1[Ende]"),"&gt;="&amp;CF$1,INDIRECT("Table1[Obergruppe ATC-Code]"),Tabelle3!$A20)</f>
        <v>1</v>
      </c>
      <c r="CG20">
        <f ca="1">COUNTIFS(INDIRECT("Table1[Beginn]"),"&lt;="&amp;CG$1,INDIRECT("Table1[Ende]"),"&gt;="&amp;CG$1,INDIRECT("Table1[Obergruppe ATC-Code]"),Tabelle3!$A20)</f>
        <v>1</v>
      </c>
      <c r="CH20">
        <f ca="1">COUNTIFS(INDIRECT("Table1[Beginn]"),"&lt;="&amp;CH$1,INDIRECT("Table1[Ende]"),"&gt;="&amp;CH$1,INDIRECT("Table1[Obergruppe ATC-Code]"),Tabelle3!$A20)</f>
        <v>1</v>
      </c>
      <c r="CI20">
        <f ca="1">COUNTIFS(INDIRECT("Table1[Beginn]"),"&lt;="&amp;CI$1,INDIRECT("Table1[Ende]"),"&gt;="&amp;CI$1,INDIRECT("Table1[Obergruppe ATC-Code]"),Tabelle3!$A20)</f>
        <v>1</v>
      </c>
      <c r="CJ20">
        <f ca="1">COUNTIFS(INDIRECT("Table1[Beginn]"),"&lt;="&amp;CJ$1,INDIRECT("Table1[Ende]"),"&gt;="&amp;CJ$1,INDIRECT("Table1[Obergruppe ATC-Code]"),Tabelle3!$A20)</f>
        <v>1</v>
      </c>
      <c r="CK20">
        <f ca="1">COUNTIFS(INDIRECT("Table1[Beginn]"),"&lt;="&amp;CK$1,INDIRECT("Table1[Ende]"),"&gt;="&amp;CK$1,INDIRECT("Table1[Obergruppe ATC-Code]"),Tabelle3!$A20)</f>
        <v>1</v>
      </c>
      <c r="CL20">
        <f ca="1">COUNTIFS(INDIRECT("Table1[Beginn]"),"&lt;="&amp;CL$1,INDIRECT("Table1[Ende]"),"&gt;="&amp;CL$1,INDIRECT("Table1[Obergruppe ATC-Code]"),Tabelle3!$A20)</f>
        <v>1</v>
      </c>
      <c r="CM20">
        <f ca="1">COUNTIFS(INDIRECT("Table1[Beginn]"),"&lt;="&amp;CM$1,INDIRECT("Table1[Ende]"),"&gt;="&amp;CM$1,INDIRECT("Table1[Obergruppe ATC-Code]"),Tabelle3!$A20)</f>
        <v>1</v>
      </c>
      <c r="CN20">
        <f ca="1">COUNTIFS(INDIRECT("Table1[Beginn]"),"&lt;="&amp;CN$1,INDIRECT("Table1[Ende]"),"&gt;="&amp;CN$1,INDIRECT("Table1[Obergruppe ATC-Code]"),Tabelle3!$A20)</f>
        <v>1</v>
      </c>
      <c r="CO20">
        <f ca="1">COUNTIFS(INDIRECT("Table1[Beginn]"),"&lt;="&amp;CO$1,INDIRECT("Table1[Ende]"),"&gt;="&amp;CO$1,INDIRECT("Table1[Obergruppe ATC-Code]"),Tabelle3!$A20)</f>
        <v>1</v>
      </c>
      <c r="CP20">
        <f ca="1">COUNTIFS(INDIRECT("Table1[Beginn]"),"&lt;="&amp;CP$1,INDIRECT("Table1[Ende]"),"&gt;="&amp;CP$1,INDIRECT("Table1[Obergruppe ATC-Code]"),Tabelle3!$A20)</f>
        <v>1</v>
      </c>
      <c r="CQ20">
        <f ca="1">COUNTIFS(INDIRECT("Table1[Beginn]"),"&lt;="&amp;CQ$1,INDIRECT("Table1[Ende]"),"&gt;="&amp;CQ$1,INDIRECT("Table1[Obergruppe ATC-Code]"),Tabelle3!$A20)</f>
        <v>1</v>
      </c>
      <c r="CR20">
        <f ca="1">COUNTIFS(INDIRECT("Table1[Beginn]"),"&lt;="&amp;CR$1,INDIRECT("Table1[Ende]"),"&gt;="&amp;CR$1,INDIRECT("Table1[Obergruppe ATC-Code]"),Tabelle3!$A20)</f>
        <v>1</v>
      </c>
    </row>
    <row r="21" spans="1:96" ht="18">
      <c r="A21" s="9" t="s">
        <v>6810</v>
      </c>
      <c r="B21" s="10" t="s">
        <v>6811</v>
      </c>
      <c r="C21">
        <f ca="1">COUNTIFS(INDIRECT("Table1[Beginn]"),"&lt;="&amp;C$1,INDIRECT("Table1[Ende]"),"&gt;="&amp;C$1,INDIRECT("Table1[Obergruppe ATC-Code]"),Tabelle3!$A21)</f>
        <v>0</v>
      </c>
      <c r="D21">
        <f ca="1">COUNTIFS(INDIRECT("Table1[Beginn]"),"&lt;="&amp;D$1,INDIRECT("Table1[Ende]"),"&gt;="&amp;D$1,INDIRECT("Table1[Obergruppe ATC-Code]"),Tabelle3!$A21)</f>
        <v>0</v>
      </c>
      <c r="E21">
        <f ca="1">COUNTIFS(INDIRECT("Table1[Beginn]"),"&lt;="&amp;E$1,INDIRECT("Table1[Ende]"),"&gt;="&amp;E$1,INDIRECT("Table1[Obergruppe ATC-Code]"),Tabelle3!$A21)</f>
        <v>0</v>
      </c>
      <c r="F21">
        <f ca="1">COUNTIFS(INDIRECT("Table1[Beginn]"),"&lt;="&amp;F$1,INDIRECT("Table1[Ende]"),"&gt;="&amp;F$1,INDIRECT("Table1[Obergruppe ATC-Code]"),Tabelle3!$A21)</f>
        <v>0</v>
      </c>
      <c r="G21">
        <f ca="1">COUNTIFS(INDIRECT("Table1[Beginn]"),"&lt;="&amp;G$1,INDIRECT("Table1[Ende]"),"&gt;="&amp;G$1,INDIRECT("Table1[Obergruppe ATC-Code]"),Tabelle3!$A21)</f>
        <v>1</v>
      </c>
      <c r="H21">
        <f ca="1">COUNTIFS(INDIRECT("Table1[Beginn]"),"&lt;="&amp;H$1,INDIRECT("Table1[Ende]"),"&gt;="&amp;H$1,INDIRECT("Table1[Obergruppe ATC-Code]"),Tabelle3!$A21)</f>
        <v>2</v>
      </c>
      <c r="I21">
        <f ca="1">COUNTIFS(INDIRECT("Table1[Beginn]"),"&lt;="&amp;I$1,INDIRECT("Table1[Ende]"),"&gt;="&amp;I$1,INDIRECT("Table1[Obergruppe ATC-Code]"),Tabelle3!$A21)</f>
        <v>4</v>
      </c>
      <c r="J21">
        <f ca="1">COUNTIFS(INDIRECT("Table1[Beginn]"),"&lt;="&amp;J$1,INDIRECT("Table1[Ende]"),"&gt;="&amp;J$1,INDIRECT("Table1[Obergruppe ATC-Code]"),Tabelle3!$A21)</f>
        <v>3</v>
      </c>
      <c r="K21">
        <f ca="1">COUNTIFS(INDIRECT("Table1[Beginn]"),"&lt;="&amp;K$1,INDIRECT("Table1[Ende]"),"&gt;="&amp;K$1,INDIRECT("Table1[Obergruppe ATC-Code]"),Tabelle3!$A21)</f>
        <v>0</v>
      </c>
      <c r="L21">
        <f ca="1">COUNTIFS(INDIRECT("Table1[Beginn]"),"&lt;="&amp;L$1,INDIRECT("Table1[Ende]"),"&gt;="&amp;L$1,INDIRECT("Table1[Obergruppe ATC-Code]"),Tabelle3!$A21)</f>
        <v>0</v>
      </c>
      <c r="M21">
        <f ca="1">COUNTIFS(INDIRECT("Table1[Beginn]"),"&lt;="&amp;M$1,INDIRECT("Table1[Ende]"),"&gt;="&amp;M$1,INDIRECT("Table1[Obergruppe ATC-Code]"),Tabelle3!$A21)</f>
        <v>0</v>
      </c>
      <c r="N21">
        <f ca="1">COUNTIFS(INDIRECT("Table1[Beginn]"),"&lt;="&amp;N$1,INDIRECT("Table1[Ende]"),"&gt;="&amp;N$1,INDIRECT("Table1[Obergruppe ATC-Code]"),Tabelle3!$A21)</f>
        <v>0</v>
      </c>
      <c r="O21">
        <f ca="1">COUNTIFS(INDIRECT("Table1[Beginn]"),"&lt;="&amp;O$1,INDIRECT("Table1[Ende]"),"&gt;="&amp;O$1,INDIRECT("Table1[Obergruppe ATC-Code]"),Tabelle3!$A21)</f>
        <v>0</v>
      </c>
      <c r="P21">
        <f ca="1">COUNTIFS(INDIRECT("Table1[Beginn]"),"&lt;="&amp;P$1,INDIRECT("Table1[Ende]"),"&gt;="&amp;P$1,INDIRECT("Table1[Obergruppe ATC-Code]"),Tabelle3!$A21)</f>
        <v>1</v>
      </c>
      <c r="Q21">
        <f ca="1">COUNTIFS(INDIRECT("Table1[Beginn]"),"&lt;="&amp;Q$1,INDIRECT("Table1[Ende]"),"&gt;="&amp;Q$1,INDIRECT("Table1[Obergruppe ATC-Code]"),Tabelle3!$A21)</f>
        <v>2</v>
      </c>
      <c r="R21">
        <f ca="1">COUNTIFS(INDIRECT("Table1[Beginn]"),"&lt;="&amp;R$1,INDIRECT("Table1[Ende]"),"&gt;="&amp;R$1,INDIRECT("Table1[Obergruppe ATC-Code]"),Tabelle3!$A21)</f>
        <v>1</v>
      </c>
      <c r="S21">
        <f ca="1">COUNTIFS(INDIRECT("Table1[Beginn]"),"&lt;="&amp;S$1,INDIRECT("Table1[Ende]"),"&gt;="&amp;S$1,INDIRECT("Table1[Obergruppe ATC-Code]"),Tabelle3!$A21)</f>
        <v>0</v>
      </c>
      <c r="T21">
        <f ca="1">COUNTIFS(INDIRECT("Table1[Beginn]"),"&lt;="&amp;T$1,INDIRECT("Table1[Ende]"),"&gt;="&amp;T$1,INDIRECT("Table1[Obergruppe ATC-Code]"),Tabelle3!$A21)</f>
        <v>0</v>
      </c>
      <c r="U21">
        <f ca="1">COUNTIFS(INDIRECT("Table1[Beginn]"),"&lt;="&amp;U$1,INDIRECT("Table1[Ende]"),"&gt;="&amp;U$1,INDIRECT("Table1[Obergruppe ATC-Code]"),Tabelle3!$A21)</f>
        <v>0</v>
      </c>
      <c r="V21">
        <f ca="1">COUNTIFS(INDIRECT("Table1[Beginn]"),"&lt;="&amp;V$1,INDIRECT("Table1[Ende]"),"&gt;="&amp;V$1,INDIRECT("Table1[Obergruppe ATC-Code]"),Tabelle3!$A21)</f>
        <v>0</v>
      </c>
      <c r="W21">
        <f ca="1">COUNTIFS(INDIRECT("Table1[Beginn]"),"&lt;="&amp;W$1,INDIRECT("Table1[Ende]"),"&gt;="&amp;W$1,INDIRECT("Table1[Obergruppe ATC-Code]"),Tabelle3!$A21)</f>
        <v>0</v>
      </c>
      <c r="X21">
        <f ca="1">COUNTIFS(INDIRECT("Table1[Beginn]"),"&lt;="&amp;X$1,INDIRECT("Table1[Ende]"),"&gt;="&amp;X$1,INDIRECT("Table1[Obergruppe ATC-Code]"),Tabelle3!$A21)</f>
        <v>1</v>
      </c>
      <c r="Y21">
        <f ca="1">COUNTIFS(INDIRECT("Table1[Beginn]"),"&lt;="&amp;Y$1,INDIRECT("Table1[Ende]"),"&gt;="&amp;Y$1,INDIRECT("Table1[Obergruppe ATC-Code]"),Tabelle3!$A21)</f>
        <v>1</v>
      </c>
      <c r="Z21">
        <f ca="1">COUNTIFS(INDIRECT("Table1[Beginn]"),"&lt;="&amp;Z$1,INDIRECT("Table1[Ende]"),"&gt;="&amp;Z$1,INDIRECT("Table1[Obergruppe ATC-Code]"),Tabelle3!$A21)</f>
        <v>0</v>
      </c>
      <c r="AA21">
        <f ca="1">COUNTIFS(INDIRECT("Table1[Beginn]"),"&lt;="&amp;AA$1,INDIRECT("Table1[Ende]"),"&gt;="&amp;AA$1,INDIRECT("Table1[Obergruppe ATC-Code]"),Tabelle3!$A21)</f>
        <v>0</v>
      </c>
      <c r="AB21">
        <f ca="1">COUNTIFS(INDIRECT("Table1[Beginn]"),"&lt;="&amp;AB$1,INDIRECT("Table1[Ende]"),"&gt;="&amp;AB$1,INDIRECT("Table1[Obergruppe ATC-Code]"),Tabelle3!$A21)</f>
        <v>0</v>
      </c>
      <c r="AC21">
        <f ca="1">COUNTIFS(INDIRECT("Table1[Beginn]"),"&lt;="&amp;AC$1,INDIRECT("Table1[Ende]"),"&gt;="&amp;AC$1,INDIRECT("Table1[Obergruppe ATC-Code]"),Tabelle3!$A21)</f>
        <v>0</v>
      </c>
      <c r="AD21">
        <f ca="1">COUNTIFS(INDIRECT("Table1[Beginn]"),"&lt;="&amp;AD$1,INDIRECT("Table1[Ende]"),"&gt;="&amp;AD$1,INDIRECT("Table1[Obergruppe ATC-Code]"),Tabelle3!$A21)</f>
        <v>0</v>
      </c>
      <c r="AE21">
        <f ca="1">COUNTIFS(INDIRECT("Table1[Beginn]"),"&lt;="&amp;AE$1,INDIRECT("Table1[Ende]"),"&gt;="&amp;AE$1,INDIRECT("Table1[Obergruppe ATC-Code]"),Tabelle3!$A21)</f>
        <v>0</v>
      </c>
      <c r="AF21">
        <f ca="1">COUNTIFS(INDIRECT("Table1[Beginn]"),"&lt;="&amp;AF$1,INDIRECT("Table1[Ende]"),"&gt;="&amp;AF$1,INDIRECT("Table1[Obergruppe ATC-Code]"),Tabelle3!$A21)</f>
        <v>1</v>
      </c>
      <c r="AG21">
        <f ca="1">COUNTIFS(INDIRECT("Table1[Beginn]"),"&lt;="&amp;AG$1,INDIRECT("Table1[Ende]"),"&gt;="&amp;AG$1,INDIRECT("Table1[Obergruppe ATC-Code]"),Tabelle3!$A21)</f>
        <v>1</v>
      </c>
      <c r="AH21">
        <f ca="1">COUNTIFS(INDIRECT("Table1[Beginn]"),"&lt;="&amp;AH$1,INDIRECT("Table1[Ende]"),"&gt;="&amp;AH$1,INDIRECT("Table1[Obergruppe ATC-Code]"),Tabelle3!$A21)</f>
        <v>1</v>
      </c>
      <c r="AI21">
        <f ca="1">COUNTIFS(INDIRECT("Table1[Beginn]"),"&lt;="&amp;AI$1,INDIRECT("Table1[Ende]"),"&gt;="&amp;AI$1,INDIRECT("Table1[Obergruppe ATC-Code]"),Tabelle3!$A21)</f>
        <v>1</v>
      </c>
      <c r="AJ21">
        <f ca="1">COUNTIFS(INDIRECT("Table1[Beginn]"),"&lt;="&amp;AJ$1,INDIRECT("Table1[Ende]"),"&gt;="&amp;AJ$1,INDIRECT("Table1[Obergruppe ATC-Code]"),Tabelle3!$A21)</f>
        <v>1</v>
      </c>
      <c r="AK21">
        <f ca="1">COUNTIFS(INDIRECT("Table1[Beginn]"),"&lt;="&amp;AK$1,INDIRECT("Table1[Ende]"),"&gt;="&amp;AK$1,INDIRECT("Table1[Obergruppe ATC-Code]"),Tabelle3!$A21)</f>
        <v>1</v>
      </c>
      <c r="AL21">
        <f ca="1">COUNTIFS(INDIRECT("Table1[Beginn]"),"&lt;="&amp;AL$1,INDIRECT("Table1[Ende]"),"&gt;="&amp;AL$1,INDIRECT("Table1[Obergruppe ATC-Code]"),Tabelle3!$A21)</f>
        <v>1</v>
      </c>
      <c r="AM21">
        <f ca="1">COUNTIFS(INDIRECT("Table1[Beginn]"),"&lt;="&amp;AM$1,INDIRECT("Table1[Ende]"),"&gt;="&amp;AM$1,INDIRECT("Table1[Obergruppe ATC-Code]"),Tabelle3!$A21)</f>
        <v>1</v>
      </c>
      <c r="AN21">
        <f ca="1">COUNTIFS(INDIRECT("Table1[Beginn]"),"&lt;="&amp;AN$1,INDIRECT("Table1[Ende]"),"&gt;="&amp;AN$1,INDIRECT("Table1[Obergruppe ATC-Code]"),Tabelle3!$A21)</f>
        <v>0</v>
      </c>
      <c r="AO21">
        <f ca="1">COUNTIFS(INDIRECT("Table1[Beginn]"),"&lt;="&amp;AO$1,INDIRECT("Table1[Ende]"),"&gt;="&amp;AO$1,INDIRECT("Table1[Obergruppe ATC-Code]"),Tabelle3!$A21)</f>
        <v>0</v>
      </c>
      <c r="AP21">
        <f ca="1">COUNTIFS(INDIRECT("Table1[Beginn]"),"&lt;="&amp;AP$1,INDIRECT("Table1[Ende]"),"&gt;="&amp;AP$1,INDIRECT("Table1[Obergruppe ATC-Code]"),Tabelle3!$A21)</f>
        <v>0</v>
      </c>
      <c r="AQ21">
        <f ca="1">COUNTIFS(INDIRECT("Table1[Beginn]"),"&lt;="&amp;AQ$1,INDIRECT("Table1[Ende]"),"&gt;="&amp;AQ$1,INDIRECT("Table1[Obergruppe ATC-Code]"),Tabelle3!$A21)</f>
        <v>0</v>
      </c>
      <c r="AR21">
        <f ca="1">COUNTIFS(INDIRECT("Table1[Beginn]"),"&lt;="&amp;AR$1,INDIRECT("Table1[Ende]"),"&gt;="&amp;AR$1,INDIRECT("Table1[Obergruppe ATC-Code]"),Tabelle3!$A21)</f>
        <v>0</v>
      </c>
      <c r="AS21">
        <f ca="1">COUNTIFS(INDIRECT("Table1[Beginn]"),"&lt;="&amp;AS$1,INDIRECT("Table1[Ende]"),"&gt;="&amp;AS$1,INDIRECT("Table1[Obergruppe ATC-Code]"),Tabelle3!$A21)</f>
        <v>0</v>
      </c>
      <c r="AT21">
        <f ca="1">COUNTIFS(INDIRECT("Table1[Beginn]"),"&lt;="&amp;AT$1,INDIRECT("Table1[Ende]"),"&gt;="&amp;AT$1,INDIRECT("Table1[Obergruppe ATC-Code]"),Tabelle3!$A21)</f>
        <v>1</v>
      </c>
      <c r="AU21">
        <f ca="1">COUNTIFS(INDIRECT("Table1[Beginn]"),"&lt;="&amp;AU$1,INDIRECT("Table1[Ende]"),"&gt;="&amp;AU$1,INDIRECT("Table1[Obergruppe ATC-Code]"),Tabelle3!$A21)</f>
        <v>1</v>
      </c>
      <c r="AV21">
        <f ca="1">COUNTIFS(INDIRECT("Table1[Beginn]"),"&lt;="&amp;AV$1,INDIRECT("Table1[Ende]"),"&gt;="&amp;AV$1,INDIRECT("Table1[Obergruppe ATC-Code]"),Tabelle3!$A21)</f>
        <v>3</v>
      </c>
      <c r="AW21">
        <f ca="1">COUNTIFS(INDIRECT("Table1[Beginn]"),"&lt;="&amp;AW$1,INDIRECT("Table1[Ende]"),"&gt;="&amp;AW$1,INDIRECT("Table1[Obergruppe ATC-Code]"),Tabelle3!$A21)</f>
        <v>2</v>
      </c>
      <c r="AX21">
        <f ca="1">COUNTIFS(INDIRECT("Table1[Beginn]"),"&lt;="&amp;AX$1,INDIRECT("Table1[Ende]"),"&gt;="&amp;AX$1,INDIRECT("Table1[Obergruppe ATC-Code]"),Tabelle3!$A21)</f>
        <v>1</v>
      </c>
      <c r="AY21">
        <f ca="1">COUNTIFS(INDIRECT("Table1[Beginn]"),"&lt;="&amp;AY$1,INDIRECT("Table1[Ende]"),"&gt;="&amp;AY$1,INDIRECT("Table1[Obergruppe ATC-Code]"),Tabelle3!$A21)</f>
        <v>0</v>
      </c>
      <c r="AZ21">
        <f ca="1">COUNTIFS(INDIRECT("Table1[Beginn]"),"&lt;="&amp;AZ$1,INDIRECT("Table1[Ende]"),"&gt;="&amp;AZ$1,INDIRECT("Table1[Obergruppe ATC-Code]"),Tabelle3!$A21)</f>
        <v>0</v>
      </c>
      <c r="BA21">
        <f ca="1">COUNTIFS(INDIRECT("Table1[Beginn]"),"&lt;="&amp;BA$1,INDIRECT("Table1[Ende]"),"&gt;="&amp;BA$1,INDIRECT("Table1[Obergruppe ATC-Code]"),Tabelle3!$A21)</f>
        <v>1</v>
      </c>
      <c r="BB21">
        <f ca="1">COUNTIFS(INDIRECT("Table1[Beginn]"),"&lt;="&amp;BB$1,INDIRECT("Table1[Ende]"),"&gt;="&amp;BB$1,INDIRECT("Table1[Obergruppe ATC-Code]"),Tabelle3!$A21)</f>
        <v>1</v>
      </c>
      <c r="BC21">
        <f ca="1">COUNTIFS(INDIRECT("Table1[Beginn]"),"&lt;="&amp;BC$1,INDIRECT("Table1[Ende]"),"&gt;="&amp;BC$1,INDIRECT("Table1[Obergruppe ATC-Code]"),Tabelle3!$A21)</f>
        <v>2</v>
      </c>
      <c r="BD21">
        <f ca="1">COUNTIFS(INDIRECT("Table1[Beginn]"),"&lt;="&amp;BD$1,INDIRECT("Table1[Ende]"),"&gt;="&amp;BD$1,INDIRECT("Table1[Obergruppe ATC-Code]"),Tabelle3!$A21)</f>
        <v>2</v>
      </c>
      <c r="BE21">
        <f ca="1">COUNTIFS(INDIRECT("Table1[Beginn]"),"&lt;="&amp;BE$1,INDIRECT("Table1[Ende]"),"&gt;="&amp;BE$1,INDIRECT("Table1[Obergruppe ATC-Code]"),Tabelle3!$A21)</f>
        <v>3</v>
      </c>
      <c r="BF21">
        <f ca="1">COUNTIFS(INDIRECT("Table1[Beginn]"),"&lt;="&amp;BF$1,INDIRECT("Table1[Ende]"),"&gt;="&amp;BF$1,INDIRECT("Table1[Obergruppe ATC-Code]"),Tabelle3!$A21)</f>
        <v>3</v>
      </c>
      <c r="BG21">
        <f ca="1">COUNTIFS(INDIRECT("Table1[Beginn]"),"&lt;="&amp;BG$1,INDIRECT("Table1[Ende]"),"&gt;="&amp;BG$1,INDIRECT("Table1[Obergruppe ATC-Code]"),Tabelle3!$A21)</f>
        <v>1</v>
      </c>
      <c r="BH21">
        <f ca="1">COUNTIFS(INDIRECT("Table1[Beginn]"),"&lt;="&amp;BH$1,INDIRECT("Table1[Ende]"),"&gt;="&amp;BH$1,INDIRECT("Table1[Obergruppe ATC-Code]"),Tabelle3!$A21)</f>
        <v>1</v>
      </c>
      <c r="BI21">
        <f ca="1">COUNTIFS(INDIRECT("Table1[Beginn]"),"&lt;="&amp;BI$1,INDIRECT("Table1[Ende]"),"&gt;="&amp;BI$1,INDIRECT("Table1[Obergruppe ATC-Code]"),Tabelle3!$A21)</f>
        <v>2</v>
      </c>
      <c r="BJ21">
        <f ca="1">COUNTIFS(INDIRECT("Table1[Beginn]"),"&lt;="&amp;BJ$1,INDIRECT("Table1[Ende]"),"&gt;="&amp;BJ$1,INDIRECT("Table1[Obergruppe ATC-Code]"),Tabelle3!$A21)</f>
        <v>3</v>
      </c>
      <c r="BK21">
        <f ca="1">COUNTIFS(INDIRECT("Table1[Beginn]"),"&lt;="&amp;BK$1,INDIRECT("Table1[Ende]"),"&gt;="&amp;BK$1,INDIRECT("Table1[Obergruppe ATC-Code]"),Tabelle3!$A21)</f>
        <v>2</v>
      </c>
      <c r="BL21">
        <f ca="1">COUNTIFS(INDIRECT("Table1[Beginn]"),"&lt;="&amp;BL$1,INDIRECT("Table1[Ende]"),"&gt;="&amp;BL$1,INDIRECT("Table1[Obergruppe ATC-Code]"),Tabelle3!$A21)</f>
        <v>5</v>
      </c>
      <c r="BM21">
        <f ca="1">COUNTIFS(INDIRECT("Table1[Beginn]"),"&lt;="&amp;BM$1,INDIRECT("Table1[Ende]"),"&gt;="&amp;BM$1,INDIRECT("Table1[Obergruppe ATC-Code]"),Tabelle3!$A21)</f>
        <v>3</v>
      </c>
      <c r="BN21">
        <f ca="1">COUNTIFS(INDIRECT("Table1[Beginn]"),"&lt;="&amp;BN$1,INDIRECT("Table1[Ende]"),"&gt;="&amp;BN$1,INDIRECT("Table1[Obergruppe ATC-Code]"),Tabelle3!$A21)</f>
        <v>4</v>
      </c>
      <c r="BO21">
        <f ca="1">COUNTIFS(INDIRECT("Table1[Beginn]"),"&lt;="&amp;BO$1,INDIRECT("Table1[Ende]"),"&gt;="&amp;BO$1,INDIRECT("Table1[Obergruppe ATC-Code]"),Tabelle3!$A21)</f>
        <v>2</v>
      </c>
      <c r="BP21">
        <f ca="1">COUNTIFS(INDIRECT("Table1[Beginn]"),"&lt;="&amp;BP$1,INDIRECT("Table1[Ende]"),"&gt;="&amp;BP$1,INDIRECT("Table1[Obergruppe ATC-Code]"),Tabelle3!$A21)</f>
        <v>2</v>
      </c>
      <c r="BQ21">
        <f ca="1">COUNTIFS(INDIRECT("Table1[Beginn]"),"&lt;="&amp;BQ$1,INDIRECT("Table1[Ende]"),"&gt;="&amp;BQ$1,INDIRECT("Table1[Obergruppe ATC-Code]"),Tabelle3!$A21)</f>
        <v>5</v>
      </c>
      <c r="BR21">
        <f ca="1">COUNTIFS(INDIRECT("Table1[Beginn]"),"&lt;="&amp;BR$1,INDIRECT("Table1[Ende]"),"&gt;="&amp;BR$1,INDIRECT("Table1[Obergruppe ATC-Code]"),Tabelle3!$A21)</f>
        <v>3</v>
      </c>
      <c r="BS21">
        <f ca="1">COUNTIFS(INDIRECT("Table1[Beginn]"),"&lt;="&amp;BS$1,INDIRECT("Table1[Ende]"),"&gt;="&amp;BS$1,INDIRECT("Table1[Obergruppe ATC-Code]"),Tabelle3!$A21)</f>
        <v>2</v>
      </c>
      <c r="BT21">
        <f ca="1">COUNTIFS(INDIRECT("Table1[Beginn]"),"&lt;="&amp;BT$1,INDIRECT("Table1[Ende]"),"&gt;="&amp;BT$1,INDIRECT("Table1[Obergruppe ATC-Code]"),Tabelle3!$A21)</f>
        <v>1</v>
      </c>
      <c r="BU21">
        <f ca="1">COUNTIFS(INDIRECT("Table1[Beginn]"),"&lt;="&amp;BU$1,INDIRECT("Table1[Ende]"),"&gt;="&amp;BU$1,INDIRECT("Table1[Obergruppe ATC-Code]"),Tabelle3!$A21)</f>
        <v>1</v>
      </c>
      <c r="BV21">
        <f ca="1">COUNTIFS(INDIRECT("Table1[Beginn]"),"&lt;="&amp;BV$1,INDIRECT("Table1[Ende]"),"&gt;="&amp;BV$1,INDIRECT("Table1[Obergruppe ATC-Code]"),Tabelle3!$A21)</f>
        <v>1</v>
      </c>
      <c r="BW21">
        <f ca="1">COUNTIFS(INDIRECT("Table1[Beginn]"),"&lt;="&amp;BW$1,INDIRECT("Table1[Ende]"),"&gt;="&amp;BW$1,INDIRECT("Table1[Obergruppe ATC-Code]"),Tabelle3!$A21)</f>
        <v>1</v>
      </c>
      <c r="BX21">
        <f ca="1">COUNTIFS(INDIRECT("Table1[Beginn]"),"&lt;="&amp;BX$1,INDIRECT("Table1[Ende]"),"&gt;="&amp;BX$1,INDIRECT("Table1[Obergruppe ATC-Code]"),Tabelle3!$A21)</f>
        <v>0</v>
      </c>
      <c r="BY21">
        <f ca="1">COUNTIFS(INDIRECT("Table1[Beginn]"),"&lt;="&amp;BY$1,INDIRECT("Table1[Ende]"),"&gt;="&amp;BY$1,INDIRECT("Table1[Obergruppe ATC-Code]"),Tabelle3!$A21)</f>
        <v>0</v>
      </c>
      <c r="BZ21">
        <f ca="1">COUNTIFS(INDIRECT("Table1[Beginn]"),"&lt;="&amp;BZ$1,INDIRECT("Table1[Ende]"),"&gt;="&amp;BZ$1,INDIRECT("Table1[Obergruppe ATC-Code]"),Tabelle3!$A21)</f>
        <v>0</v>
      </c>
      <c r="CA21">
        <f ca="1">COUNTIFS(INDIRECT("Table1[Beginn]"),"&lt;="&amp;CA$1,INDIRECT("Table1[Ende]"),"&gt;="&amp;CA$1,INDIRECT("Table1[Obergruppe ATC-Code]"),Tabelle3!$A21)</f>
        <v>0</v>
      </c>
      <c r="CB21">
        <f ca="1">COUNTIFS(INDIRECT("Table1[Beginn]"),"&lt;="&amp;CB$1,INDIRECT("Table1[Ende]"),"&gt;="&amp;CB$1,INDIRECT("Table1[Obergruppe ATC-Code]"),Tabelle3!$A21)</f>
        <v>0</v>
      </c>
      <c r="CC21">
        <f ca="1">COUNTIFS(INDIRECT("Table1[Beginn]"),"&lt;="&amp;CC$1,INDIRECT("Table1[Ende]"),"&gt;="&amp;CC$1,INDIRECT("Table1[Obergruppe ATC-Code]"),Tabelle3!$A21)</f>
        <v>2</v>
      </c>
      <c r="CD21">
        <f ca="1">COUNTIFS(INDIRECT("Table1[Beginn]"),"&lt;="&amp;CD$1,INDIRECT("Table1[Ende]"),"&gt;="&amp;CD$1,INDIRECT("Table1[Obergruppe ATC-Code]"),Tabelle3!$A21)</f>
        <v>2</v>
      </c>
      <c r="CE21">
        <f ca="1">COUNTIFS(INDIRECT("Table1[Beginn]"),"&lt;="&amp;CE$1,INDIRECT("Table1[Ende]"),"&gt;="&amp;CE$1,INDIRECT("Table1[Obergruppe ATC-Code]"),Tabelle3!$A21)</f>
        <v>1</v>
      </c>
      <c r="CF21">
        <f ca="1">COUNTIFS(INDIRECT("Table1[Beginn]"),"&lt;="&amp;CF$1,INDIRECT("Table1[Ende]"),"&gt;="&amp;CF$1,INDIRECT("Table1[Obergruppe ATC-Code]"),Tabelle3!$A21)</f>
        <v>0</v>
      </c>
      <c r="CG21">
        <f ca="1">COUNTIFS(INDIRECT("Table1[Beginn]"),"&lt;="&amp;CG$1,INDIRECT("Table1[Ende]"),"&gt;="&amp;CG$1,INDIRECT("Table1[Obergruppe ATC-Code]"),Tabelle3!$A21)</f>
        <v>0</v>
      </c>
      <c r="CH21">
        <f ca="1">COUNTIFS(INDIRECT("Table1[Beginn]"),"&lt;="&amp;CH$1,INDIRECT("Table1[Ende]"),"&gt;="&amp;CH$1,INDIRECT("Table1[Obergruppe ATC-Code]"),Tabelle3!$A21)</f>
        <v>0</v>
      </c>
      <c r="CI21">
        <f ca="1">COUNTIFS(INDIRECT("Table1[Beginn]"),"&lt;="&amp;CI$1,INDIRECT("Table1[Ende]"),"&gt;="&amp;CI$1,INDIRECT("Table1[Obergruppe ATC-Code]"),Tabelle3!$A21)</f>
        <v>0</v>
      </c>
      <c r="CJ21">
        <f ca="1">COUNTIFS(INDIRECT("Table1[Beginn]"),"&lt;="&amp;CJ$1,INDIRECT("Table1[Ende]"),"&gt;="&amp;CJ$1,INDIRECT("Table1[Obergruppe ATC-Code]"),Tabelle3!$A21)</f>
        <v>0</v>
      </c>
      <c r="CK21">
        <f ca="1">COUNTIFS(INDIRECT("Table1[Beginn]"),"&lt;="&amp;CK$1,INDIRECT("Table1[Ende]"),"&gt;="&amp;CK$1,INDIRECT("Table1[Obergruppe ATC-Code]"),Tabelle3!$A21)</f>
        <v>0</v>
      </c>
      <c r="CL21">
        <f ca="1">COUNTIFS(INDIRECT("Table1[Beginn]"),"&lt;="&amp;CL$1,INDIRECT("Table1[Ende]"),"&gt;="&amp;CL$1,INDIRECT("Table1[Obergruppe ATC-Code]"),Tabelle3!$A21)</f>
        <v>0</v>
      </c>
      <c r="CM21">
        <f ca="1">COUNTIFS(INDIRECT("Table1[Beginn]"),"&lt;="&amp;CM$1,INDIRECT("Table1[Ende]"),"&gt;="&amp;CM$1,INDIRECT("Table1[Obergruppe ATC-Code]"),Tabelle3!$A21)</f>
        <v>0</v>
      </c>
      <c r="CN21">
        <f ca="1">COUNTIFS(INDIRECT("Table1[Beginn]"),"&lt;="&amp;CN$1,INDIRECT("Table1[Ende]"),"&gt;="&amp;CN$1,INDIRECT("Table1[Obergruppe ATC-Code]"),Tabelle3!$A21)</f>
        <v>0</v>
      </c>
      <c r="CO21">
        <f ca="1">COUNTIFS(INDIRECT("Table1[Beginn]"),"&lt;="&amp;CO$1,INDIRECT("Table1[Ende]"),"&gt;="&amp;CO$1,INDIRECT("Table1[Obergruppe ATC-Code]"),Tabelle3!$A21)</f>
        <v>0</v>
      </c>
      <c r="CP21">
        <f ca="1">COUNTIFS(INDIRECT("Table1[Beginn]"),"&lt;="&amp;CP$1,INDIRECT("Table1[Ende]"),"&gt;="&amp;CP$1,INDIRECT("Table1[Obergruppe ATC-Code]"),Tabelle3!$A21)</f>
        <v>0</v>
      </c>
      <c r="CQ21">
        <f ca="1">COUNTIFS(INDIRECT("Table1[Beginn]"),"&lt;="&amp;CQ$1,INDIRECT("Table1[Ende]"),"&gt;="&amp;CQ$1,INDIRECT("Table1[Obergruppe ATC-Code]"),Tabelle3!$A21)</f>
        <v>0</v>
      </c>
      <c r="CR21">
        <f ca="1">COUNTIFS(INDIRECT("Table1[Beginn]"),"&lt;="&amp;CR$1,INDIRECT("Table1[Ende]"),"&gt;="&amp;CR$1,INDIRECT("Table1[Obergruppe ATC-Code]"),Tabelle3!$A21)</f>
        <v>0</v>
      </c>
    </row>
    <row r="22" spans="1:96" ht="18">
      <c r="A22" s="7" t="s">
        <v>6812</v>
      </c>
      <c r="B22" s="8" t="s">
        <v>6813</v>
      </c>
      <c r="C22">
        <f ca="1">COUNTIFS(INDIRECT("Table1[Beginn]"),"&lt;="&amp;C$1,INDIRECT("Table1[Ende]"),"&gt;="&amp;C$1,INDIRECT("Table1[Obergruppe ATC-Code]"),Tabelle3!$A22)</f>
        <v>0</v>
      </c>
      <c r="D22">
        <f ca="1">COUNTIFS(INDIRECT("Table1[Beginn]"),"&lt;="&amp;D$1,INDIRECT("Table1[Ende]"),"&gt;="&amp;D$1,INDIRECT("Table1[Obergruppe ATC-Code]"),Tabelle3!$A22)</f>
        <v>0</v>
      </c>
      <c r="E22">
        <f ca="1">COUNTIFS(INDIRECT("Table1[Beginn]"),"&lt;="&amp;E$1,INDIRECT("Table1[Ende]"),"&gt;="&amp;E$1,INDIRECT("Table1[Obergruppe ATC-Code]"),Tabelle3!$A22)</f>
        <v>0</v>
      </c>
      <c r="F22">
        <f ca="1">COUNTIFS(INDIRECT("Table1[Beginn]"),"&lt;="&amp;F$1,INDIRECT("Table1[Ende]"),"&gt;="&amp;F$1,INDIRECT("Table1[Obergruppe ATC-Code]"),Tabelle3!$A22)</f>
        <v>0</v>
      </c>
      <c r="G22">
        <f ca="1">COUNTIFS(INDIRECT("Table1[Beginn]"),"&lt;="&amp;G$1,INDIRECT("Table1[Ende]"),"&gt;="&amp;G$1,INDIRECT("Table1[Obergruppe ATC-Code]"),Tabelle3!$A22)</f>
        <v>0</v>
      </c>
      <c r="H22">
        <f ca="1">COUNTIFS(INDIRECT("Table1[Beginn]"),"&lt;="&amp;H$1,INDIRECT("Table1[Ende]"),"&gt;="&amp;H$1,INDIRECT("Table1[Obergruppe ATC-Code]"),Tabelle3!$A22)</f>
        <v>0</v>
      </c>
      <c r="I22">
        <f ca="1">COUNTIFS(INDIRECT("Table1[Beginn]"),"&lt;="&amp;I$1,INDIRECT("Table1[Ende]"),"&gt;="&amp;I$1,INDIRECT("Table1[Obergruppe ATC-Code]"),Tabelle3!$A22)</f>
        <v>0</v>
      </c>
      <c r="J22">
        <f ca="1">COUNTIFS(INDIRECT("Table1[Beginn]"),"&lt;="&amp;J$1,INDIRECT("Table1[Ende]"),"&gt;="&amp;J$1,INDIRECT("Table1[Obergruppe ATC-Code]"),Tabelle3!$A22)</f>
        <v>0</v>
      </c>
      <c r="K22">
        <f ca="1">COUNTIFS(INDIRECT("Table1[Beginn]"),"&lt;="&amp;K$1,INDIRECT("Table1[Ende]"),"&gt;="&amp;K$1,INDIRECT("Table1[Obergruppe ATC-Code]"),Tabelle3!$A22)</f>
        <v>0</v>
      </c>
      <c r="L22">
        <f ca="1">COUNTIFS(INDIRECT("Table1[Beginn]"),"&lt;="&amp;L$1,INDIRECT("Table1[Ende]"),"&gt;="&amp;L$1,INDIRECT("Table1[Obergruppe ATC-Code]"),Tabelle3!$A22)</f>
        <v>0</v>
      </c>
      <c r="M22">
        <f ca="1">COUNTIFS(INDIRECT("Table1[Beginn]"),"&lt;="&amp;M$1,INDIRECT("Table1[Ende]"),"&gt;="&amp;M$1,INDIRECT("Table1[Obergruppe ATC-Code]"),Tabelle3!$A22)</f>
        <v>0</v>
      </c>
      <c r="N22">
        <f ca="1">COUNTIFS(INDIRECT("Table1[Beginn]"),"&lt;="&amp;N$1,INDIRECT("Table1[Ende]"),"&gt;="&amp;N$1,INDIRECT("Table1[Obergruppe ATC-Code]"),Tabelle3!$A22)</f>
        <v>0</v>
      </c>
      <c r="O22">
        <f ca="1">COUNTIFS(INDIRECT("Table1[Beginn]"),"&lt;="&amp;O$1,INDIRECT("Table1[Ende]"),"&gt;="&amp;O$1,INDIRECT("Table1[Obergruppe ATC-Code]"),Tabelle3!$A22)</f>
        <v>0</v>
      </c>
      <c r="P22">
        <f ca="1">COUNTIFS(INDIRECT("Table1[Beginn]"),"&lt;="&amp;P$1,INDIRECT("Table1[Ende]"),"&gt;="&amp;P$1,INDIRECT("Table1[Obergruppe ATC-Code]"),Tabelle3!$A22)</f>
        <v>2</v>
      </c>
      <c r="Q22">
        <f ca="1">COUNTIFS(INDIRECT("Table1[Beginn]"),"&lt;="&amp;Q$1,INDIRECT("Table1[Ende]"),"&gt;="&amp;Q$1,INDIRECT("Table1[Obergruppe ATC-Code]"),Tabelle3!$A22)</f>
        <v>2</v>
      </c>
      <c r="R22">
        <f ca="1">COUNTIFS(INDIRECT("Table1[Beginn]"),"&lt;="&amp;R$1,INDIRECT("Table1[Ende]"),"&gt;="&amp;R$1,INDIRECT("Table1[Obergruppe ATC-Code]"),Tabelle3!$A22)</f>
        <v>2</v>
      </c>
      <c r="S22">
        <f ca="1">COUNTIFS(INDIRECT("Table1[Beginn]"),"&lt;="&amp;S$1,INDIRECT("Table1[Ende]"),"&gt;="&amp;S$1,INDIRECT("Table1[Obergruppe ATC-Code]"),Tabelle3!$A22)</f>
        <v>0</v>
      </c>
      <c r="T22">
        <f ca="1">COUNTIFS(INDIRECT("Table1[Beginn]"),"&lt;="&amp;T$1,INDIRECT("Table1[Ende]"),"&gt;="&amp;T$1,INDIRECT("Table1[Obergruppe ATC-Code]"),Tabelle3!$A22)</f>
        <v>0</v>
      </c>
      <c r="U22">
        <f ca="1">COUNTIFS(INDIRECT("Table1[Beginn]"),"&lt;="&amp;U$1,INDIRECT("Table1[Ende]"),"&gt;="&amp;U$1,INDIRECT("Table1[Obergruppe ATC-Code]"),Tabelle3!$A22)</f>
        <v>0</v>
      </c>
      <c r="V22">
        <f ca="1">COUNTIFS(INDIRECT("Table1[Beginn]"),"&lt;="&amp;V$1,INDIRECT("Table1[Ende]"),"&gt;="&amp;V$1,INDIRECT("Table1[Obergruppe ATC-Code]"),Tabelle3!$A22)</f>
        <v>0</v>
      </c>
      <c r="W22">
        <f ca="1">COUNTIFS(INDIRECT("Table1[Beginn]"),"&lt;="&amp;W$1,INDIRECT("Table1[Ende]"),"&gt;="&amp;W$1,INDIRECT("Table1[Obergruppe ATC-Code]"),Tabelle3!$A22)</f>
        <v>0</v>
      </c>
      <c r="X22">
        <f ca="1">COUNTIFS(INDIRECT("Table1[Beginn]"),"&lt;="&amp;X$1,INDIRECT("Table1[Ende]"),"&gt;="&amp;X$1,INDIRECT("Table1[Obergruppe ATC-Code]"),Tabelle3!$A22)</f>
        <v>0</v>
      </c>
      <c r="Y22">
        <f ca="1">COUNTIFS(INDIRECT("Table1[Beginn]"),"&lt;="&amp;Y$1,INDIRECT("Table1[Ende]"),"&gt;="&amp;Y$1,INDIRECT("Table1[Obergruppe ATC-Code]"),Tabelle3!$A22)</f>
        <v>0</v>
      </c>
      <c r="Z22">
        <f ca="1">COUNTIFS(INDIRECT("Table1[Beginn]"),"&lt;="&amp;Z$1,INDIRECT("Table1[Ende]"),"&gt;="&amp;Z$1,INDIRECT("Table1[Obergruppe ATC-Code]"),Tabelle3!$A22)</f>
        <v>0</v>
      </c>
      <c r="AA22">
        <f ca="1">COUNTIFS(INDIRECT("Table1[Beginn]"),"&lt;="&amp;AA$1,INDIRECT("Table1[Ende]"),"&gt;="&amp;AA$1,INDIRECT("Table1[Obergruppe ATC-Code]"),Tabelle3!$A22)</f>
        <v>0</v>
      </c>
      <c r="AB22">
        <f ca="1">COUNTIFS(INDIRECT("Table1[Beginn]"),"&lt;="&amp;AB$1,INDIRECT("Table1[Ende]"),"&gt;="&amp;AB$1,INDIRECT("Table1[Obergruppe ATC-Code]"),Tabelle3!$A22)</f>
        <v>0</v>
      </c>
      <c r="AC22">
        <f ca="1">COUNTIFS(INDIRECT("Table1[Beginn]"),"&lt;="&amp;AC$1,INDIRECT("Table1[Ende]"),"&gt;="&amp;AC$1,INDIRECT("Table1[Obergruppe ATC-Code]"),Tabelle3!$A22)</f>
        <v>0</v>
      </c>
      <c r="AD22">
        <f ca="1">COUNTIFS(INDIRECT("Table1[Beginn]"),"&lt;="&amp;AD$1,INDIRECT("Table1[Ende]"),"&gt;="&amp;AD$1,INDIRECT("Table1[Obergruppe ATC-Code]"),Tabelle3!$A22)</f>
        <v>0</v>
      </c>
      <c r="AE22">
        <f ca="1">COUNTIFS(INDIRECT("Table1[Beginn]"),"&lt;="&amp;AE$1,INDIRECT("Table1[Ende]"),"&gt;="&amp;AE$1,INDIRECT("Table1[Obergruppe ATC-Code]"),Tabelle3!$A22)</f>
        <v>0</v>
      </c>
      <c r="AF22">
        <f ca="1">COUNTIFS(INDIRECT("Table1[Beginn]"),"&lt;="&amp;AF$1,INDIRECT("Table1[Ende]"),"&gt;="&amp;AF$1,INDIRECT("Table1[Obergruppe ATC-Code]"),Tabelle3!$A22)</f>
        <v>0</v>
      </c>
      <c r="AG22">
        <f ca="1">COUNTIFS(INDIRECT("Table1[Beginn]"),"&lt;="&amp;AG$1,INDIRECT("Table1[Ende]"),"&gt;="&amp;AG$1,INDIRECT("Table1[Obergruppe ATC-Code]"),Tabelle3!$A22)</f>
        <v>0</v>
      </c>
      <c r="AH22">
        <f ca="1">COUNTIFS(INDIRECT("Table1[Beginn]"),"&lt;="&amp;AH$1,INDIRECT("Table1[Ende]"),"&gt;="&amp;AH$1,INDIRECT("Table1[Obergruppe ATC-Code]"),Tabelle3!$A22)</f>
        <v>0</v>
      </c>
      <c r="AI22">
        <f ca="1">COUNTIFS(INDIRECT("Table1[Beginn]"),"&lt;="&amp;AI$1,INDIRECT("Table1[Ende]"),"&gt;="&amp;AI$1,INDIRECT("Table1[Obergruppe ATC-Code]"),Tabelle3!$A22)</f>
        <v>0</v>
      </c>
      <c r="AJ22">
        <f ca="1">COUNTIFS(INDIRECT("Table1[Beginn]"),"&lt;="&amp;AJ$1,INDIRECT("Table1[Ende]"),"&gt;="&amp;AJ$1,INDIRECT("Table1[Obergruppe ATC-Code]"),Tabelle3!$A22)</f>
        <v>0</v>
      </c>
      <c r="AK22">
        <f ca="1">COUNTIFS(INDIRECT("Table1[Beginn]"),"&lt;="&amp;AK$1,INDIRECT("Table1[Ende]"),"&gt;="&amp;AK$1,INDIRECT("Table1[Obergruppe ATC-Code]"),Tabelle3!$A22)</f>
        <v>0</v>
      </c>
      <c r="AL22">
        <f ca="1">COUNTIFS(INDIRECT("Table1[Beginn]"),"&lt;="&amp;AL$1,INDIRECT("Table1[Ende]"),"&gt;="&amp;AL$1,INDIRECT("Table1[Obergruppe ATC-Code]"),Tabelle3!$A22)</f>
        <v>0</v>
      </c>
      <c r="AM22">
        <f ca="1">COUNTIFS(INDIRECT("Table1[Beginn]"),"&lt;="&amp;AM$1,INDIRECT("Table1[Ende]"),"&gt;="&amp;AM$1,INDIRECT("Table1[Obergruppe ATC-Code]"),Tabelle3!$A22)</f>
        <v>0</v>
      </c>
      <c r="AN22">
        <f ca="1">COUNTIFS(INDIRECT("Table1[Beginn]"),"&lt;="&amp;AN$1,INDIRECT("Table1[Ende]"),"&gt;="&amp;AN$1,INDIRECT("Table1[Obergruppe ATC-Code]"),Tabelle3!$A22)</f>
        <v>0</v>
      </c>
      <c r="AO22">
        <f ca="1">COUNTIFS(INDIRECT("Table1[Beginn]"),"&lt;="&amp;AO$1,INDIRECT("Table1[Ende]"),"&gt;="&amp;AO$1,INDIRECT("Table1[Obergruppe ATC-Code]"),Tabelle3!$A22)</f>
        <v>0</v>
      </c>
      <c r="AP22">
        <f ca="1">COUNTIFS(INDIRECT("Table1[Beginn]"),"&lt;="&amp;AP$1,INDIRECT("Table1[Ende]"),"&gt;="&amp;AP$1,INDIRECT("Table1[Obergruppe ATC-Code]"),Tabelle3!$A22)</f>
        <v>0</v>
      </c>
      <c r="AQ22">
        <f ca="1">COUNTIFS(INDIRECT("Table1[Beginn]"),"&lt;="&amp;AQ$1,INDIRECT("Table1[Ende]"),"&gt;="&amp;AQ$1,INDIRECT("Table1[Obergruppe ATC-Code]"),Tabelle3!$A22)</f>
        <v>0</v>
      </c>
      <c r="AR22">
        <f ca="1">COUNTIFS(INDIRECT("Table1[Beginn]"),"&lt;="&amp;AR$1,INDIRECT("Table1[Ende]"),"&gt;="&amp;AR$1,INDIRECT("Table1[Obergruppe ATC-Code]"),Tabelle3!$A22)</f>
        <v>0</v>
      </c>
      <c r="AS22">
        <f ca="1">COUNTIFS(INDIRECT("Table1[Beginn]"),"&lt;="&amp;AS$1,INDIRECT("Table1[Ende]"),"&gt;="&amp;AS$1,INDIRECT("Table1[Obergruppe ATC-Code]"),Tabelle3!$A22)</f>
        <v>0</v>
      </c>
      <c r="AT22">
        <f ca="1">COUNTIFS(INDIRECT("Table1[Beginn]"),"&lt;="&amp;AT$1,INDIRECT("Table1[Ende]"),"&gt;="&amp;AT$1,INDIRECT("Table1[Obergruppe ATC-Code]"),Tabelle3!$A22)</f>
        <v>0</v>
      </c>
      <c r="AU22">
        <f ca="1">COUNTIFS(INDIRECT("Table1[Beginn]"),"&lt;="&amp;AU$1,INDIRECT("Table1[Ende]"),"&gt;="&amp;AU$1,INDIRECT("Table1[Obergruppe ATC-Code]"),Tabelle3!$A22)</f>
        <v>0</v>
      </c>
      <c r="AV22">
        <f ca="1">COUNTIFS(INDIRECT("Table1[Beginn]"),"&lt;="&amp;AV$1,INDIRECT("Table1[Ende]"),"&gt;="&amp;AV$1,INDIRECT("Table1[Obergruppe ATC-Code]"),Tabelle3!$A22)</f>
        <v>0</v>
      </c>
      <c r="AW22">
        <f ca="1">COUNTIFS(INDIRECT("Table1[Beginn]"),"&lt;="&amp;AW$1,INDIRECT("Table1[Ende]"),"&gt;="&amp;AW$1,INDIRECT("Table1[Obergruppe ATC-Code]"),Tabelle3!$A22)</f>
        <v>0</v>
      </c>
      <c r="AX22">
        <f ca="1">COUNTIFS(INDIRECT("Table1[Beginn]"),"&lt;="&amp;AX$1,INDIRECT("Table1[Ende]"),"&gt;="&amp;AX$1,INDIRECT("Table1[Obergruppe ATC-Code]"),Tabelle3!$A22)</f>
        <v>0</v>
      </c>
      <c r="AY22">
        <f ca="1">COUNTIFS(INDIRECT("Table1[Beginn]"),"&lt;="&amp;AY$1,INDIRECT("Table1[Ende]"),"&gt;="&amp;AY$1,INDIRECT("Table1[Obergruppe ATC-Code]"),Tabelle3!$A22)</f>
        <v>0</v>
      </c>
      <c r="AZ22">
        <f ca="1">COUNTIFS(INDIRECT("Table1[Beginn]"),"&lt;="&amp;AZ$1,INDIRECT("Table1[Ende]"),"&gt;="&amp;AZ$1,INDIRECT("Table1[Obergruppe ATC-Code]"),Tabelle3!$A22)</f>
        <v>0</v>
      </c>
      <c r="BA22">
        <f ca="1">COUNTIFS(INDIRECT("Table1[Beginn]"),"&lt;="&amp;BA$1,INDIRECT("Table1[Ende]"),"&gt;="&amp;BA$1,INDIRECT("Table1[Obergruppe ATC-Code]"),Tabelle3!$A22)</f>
        <v>0</v>
      </c>
      <c r="BB22">
        <f ca="1">COUNTIFS(INDIRECT("Table1[Beginn]"),"&lt;="&amp;BB$1,INDIRECT("Table1[Ende]"),"&gt;="&amp;BB$1,INDIRECT("Table1[Obergruppe ATC-Code]"),Tabelle3!$A22)</f>
        <v>0</v>
      </c>
      <c r="BC22">
        <f ca="1">COUNTIFS(INDIRECT("Table1[Beginn]"),"&lt;="&amp;BC$1,INDIRECT("Table1[Ende]"),"&gt;="&amp;BC$1,INDIRECT("Table1[Obergruppe ATC-Code]"),Tabelle3!$A22)</f>
        <v>0</v>
      </c>
      <c r="BD22">
        <f ca="1">COUNTIFS(INDIRECT("Table1[Beginn]"),"&lt;="&amp;BD$1,INDIRECT("Table1[Ende]"),"&gt;="&amp;BD$1,INDIRECT("Table1[Obergruppe ATC-Code]"),Tabelle3!$A22)</f>
        <v>0</v>
      </c>
      <c r="BE22">
        <f ca="1">COUNTIFS(INDIRECT("Table1[Beginn]"),"&lt;="&amp;BE$1,INDIRECT("Table1[Ende]"),"&gt;="&amp;BE$1,INDIRECT("Table1[Obergruppe ATC-Code]"),Tabelle3!$A22)</f>
        <v>0</v>
      </c>
      <c r="BF22">
        <f ca="1">COUNTIFS(INDIRECT("Table1[Beginn]"),"&lt;="&amp;BF$1,INDIRECT("Table1[Ende]"),"&gt;="&amp;BF$1,INDIRECT("Table1[Obergruppe ATC-Code]"),Tabelle3!$A22)</f>
        <v>0</v>
      </c>
      <c r="BG22">
        <f ca="1">COUNTIFS(INDIRECT("Table1[Beginn]"),"&lt;="&amp;BG$1,INDIRECT("Table1[Ende]"),"&gt;="&amp;BG$1,INDIRECT("Table1[Obergruppe ATC-Code]"),Tabelle3!$A22)</f>
        <v>0</v>
      </c>
      <c r="BH22">
        <f ca="1">COUNTIFS(INDIRECT("Table1[Beginn]"),"&lt;="&amp;BH$1,INDIRECT("Table1[Ende]"),"&gt;="&amp;BH$1,INDIRECT("Table1[Obergruppe ATC-Code]"),Tabelle3!$A22)</f>
        <v>0</v>
      </c>
      <c r="BI22">
        <f ca="1">COUNTIFS(INDIRECT("Table1[Beginn]"),"&lt;="&amp;BI$1,INDIRECT("Table1[Ende]"),"&gt;="&amp;BI$1,INDIRECT("Table1[Obergruppe ATC-Code]"),Tabelle3!$A22)</f>
        <v>0</v>
      </c>
      <c r="BJ22">
        <f ca="1">COUNTIFS(INDIRECT("Table1[Beginn]"),"&lt;="&amp;BJ$1,INDIRECT("Table1[Ende]"),"&gt;="&amp;BJ$1,INDIRECT("Table1[Obergruppe ATC-Code]"),Tabelle3!$A22)</f>
        <v>0</v>
      </c>
      <c r="BK22">
        <f ca="1">COUNTIFS(INDIRECT("Table1[Beginn]"),"&lt;="&amp;BK$1,INDIRECT("Table1[Ende]"),"&gt;="&amp;BK$1,INDIRECT("Table1[Obergruppe ATC-Code]"),Tabelle3!$A22)</f>
        <v>0</v>
      </c>
      <c r="BL22">
        <f ca="1">COUNTIFS(INDIRECT("Table1[Beginn]"),"&lt;="&amp;BL$1,INDIRECT("Table1[Ende]"),"&gt;="&amp;BL$1,INDIRECT("Table1[Obergruppe ATC-Code]"),Tabelle3!$A22)</f>
        <v>0</v>
      </c>
      <c r="BM22">
        <f ca="1">COUNTIFS(INDIRECT("Table1[Beginn]"),"&lt;="&amp;BM$1,INDIRECT("Table1[Ende]"),"&gt;="&amp;BM$1,INDIRECT("Table1[Obergruppe ATC-Code]"),Tabelle3!$A22)</f>
        <v>0</v>
      </c>
      <c r="BN22">
        <f ca="1">COUNTIFS(INDIRECT("Table1[Beginn]"),"&lt;="&amp;BN$1,INDIRECT("Table1[Ende]"),"&gt;="&amp;BN$1,INDIRECT("Table1[Obergruppe ATC-Code]"),Tabelle3!$A22)</f>
        <v>0</v>
      </c>
      <c r="BO22">
        <f ca="1">COUNTIFS(INDIRECT("Table1[Beginn]"),"&lt;="&amp;BO$1,INDIRECT("Table1[Ende]"),"&gt;="&amp;BO$1,INDIRECT("Table1[Obergruppe ATC-Code]"),Tabelle3!$A22)</f>
        <v>0</v>
      </c>
      <c r="BP22">
        <f ca="1">COUNTIFS(INDIRECT("Table1[Beginn]"),"&lt;="&amp;BP$1,INDIRECT("Table1[Ende]"),"&gt;="&amp;BP$1,INDIRECT("Table1[Obergruppe ATC-Code]"),Tabelle3!$A22)</f>
        <v>1</v>
      </c>
      <c r="BQ22">
        <f ca="1">COUNTIFS(INDIRECT("Table1[Beginn]"),"&lt;="&amp;BQ$1,INDIRECT("Table1[Ende]"),"&gt;="&amp;BQ$1,INDIRECT("Table1[Obergruppe ATC-Code]"),Tabelle3!$A22)</f>
        <v>1</v>
      </c>
      <c r="BR22">
        <f ca="1">COUNTIFS(INDIRECT("Table1[Beginn]"),"&lt;="&amp;BR$1,INDIRECT("Table1[Ende]"),"&gt;="&amp;BR$1,INDIRECT("Table1[Obergruppe ATC-Code]"),Tabelle3!$A22)</f>
        <v>1</v>
      </c>
      <c r="BS22">
        <f ca="1">COUNTIFS(INDIRECT("Table1[Beginn]"),"&lt;="&amp;BS$1,INDIRECT("Table1[Ende]"),"&gt;="&amp;BS$1,INDIRECT("Table1[Obergruppe ATC-Code]"),Tabelle3!$A22)</f>
        <v>1</v>
      </c>
      <c r="BT22">
        <f ca="1">COUNTIFS(INDIRECT("Table1[Beginn]"),"&lt;="&amp;BT$1,INDIRECT("Table1[Ende]"),"&gt;="&amp;BT$1,INDIRECT("Table1[Obergruppe ATC-Code]"),Tabelle3!$A22)</f>
        <v>0</v>
      </c>
      <c r="BU22">
        <f ca="1">COUNTIFS(INDIRECT("Table1[Beginn]"),"&lt;="&amp;BU$1,INDIRECT("Table1[Ende]"),"&gt;="&amp;BU$1,INDIRECT("Table1[Obergruppe ATC-Code]"),Tabelle3!$A22)</f>
        <v>0</v>
      </c>
      <c r="BV22">
        <f ca="1">COUNTIFS(INDIRECT("Table1[Beginn]"),"&lt;="&amp;BV$1,INDIRECT("Table1[Ende]"),"&gt;="&amp;BV$1,INDIRECT("Table1[Obergruppe ATC-Code]"),Tabelle3!$A22)</f>
        <v>0</v>
      </c>
      <c r="BW22">
        <f ca="1">COUNTIFS(INDIRECT("Table1[Beginn]"),"&lt;="&amp;BW$1,INDIRECT("Table1[Ende]"),"&gt;="&amp;BW$1,INDIRECT("Table1[Obergruppe ATC-Code]"),Tabelle3!$A22)</f>
        <v>1</v>
      </c>
      <c r="BX22">
        <f ca="1">COUNTIFS(INDIRECT("Table1[Beginn]"),"&lt;="&amp;BX$1,INDIRECT("Table1[Ende]"),"&gt;="&amp;BX$1,INDIRECT("Table1[Obergruppe ATC-Code]"),Tabelle3!$A22)</f>
        <v>1</v>
      </c>
      <c r="BY22">
        <f ca="1">COUNTIFS(INDIRECT("Table1[Beginn]"),"&lt;="&amp;BY$1,INDIRECT("Table1[Ende]"),"&gt;="&amp;BY$1,INDIRECT("Table1[Obergruppe ATC-Code]"),Tabelle3!$A22)</f>
        <v>1</v>
      </c>
      <c r="BZ22">
        <f ca="1">COUNTIFS(INDIRECT("Table1[Beginn]"),"&lt;="&amp;BZ$1,INDIRECT("Table1[Ende]"),"&gt;="&amp;BZ$1,INDIRECT("Table1[Obergruppe ATC-Code]"),Tabelle3!$A22)</f>
        <v>1</v>
      </c>
      <c r="CA22">
        <f ca="1">COUNTIFS(INDIRECT("Table1[Beginn]"),"&lt;="&amp;CA$1,INDIRECT("Table1[Ende]"),"&gt;="&amp;CA$1,INDIRECT("Table1[Obergruppe ATC-Code]"),Tabelle3!$A22)</f>
        <v>1</v>
      </c>
      <c r="CB22">
        <f ca="1">COUNTIFS(INDIRECT("Table1[Beginn]"),"&lt;="&amp;CB$1,INDIRECT("Table1[Ende]"),"&gt;="&amp;CB$1,INDIRECT("Table1[Obergruppe ATC-Code]"),Tabelle3!$A22)</f>
        <v>1</v>
      </c>
      <c r="CC22">
        <f ca="1">COUNTIFS(INDIRECT("Table1[Beginn]"),"&lt;="&amp;CC$1,INDIRECT("Table1[Ende]"),"&gt;="&amp;CC$1,INDIRECT("Table1[Obergruppe ATC-Code]"),Tabelle3!$A22)</f>
        <v>2</v>
      </c>
      <c r="CD22">
        <f ca="1">COUNTIFS(INDIRECT("Table1[Beginn]"),"&lt;="&amp;CD$1,INDIRECT("Table1[Ende]"),"&gt;="&amp;CD$1,INDIRECT("Table1[Obergruppe ATC-Code]"),Tabelle3!$A22)</f>
        <v>2</v>
      </c>
      <c r="CE22">
        <f ca="1">COUNTIFS(INDIRECT("Table1[Beginn]"),"&lt;="&amp;CE$1,INDIRECT("Table1[Ende]"),"&gt;="&amp;CE$1,INDIRECT("Table1[Obergruppe ATC-Code]"),Tabelle3!$A22)</f>
        <v>1</v>
      </c>
      <c r="CF22">
        <f ca="1">COUNTIFS(INDIRECT("Table1[Beginn]"),"&lt;="&amp;CF$1,INDIRECT("Table1[Ende]"),"&gt;="&amp;CF$1,INDIRECT("Table1[Obergruppe ATC-Code]"),Tabelle3!$A22)</f>
        <v>0</v>
      </c>
      <c r="CG22">
        <f ca="1">COUNTIFS(INDIRECT("Table1[Beginn]"),"&lt;="&amp;CG$1,INDIRECT("Table1[Ende]"),"&gt;="&amp;CG$1,INDIRECT("Table1[Obergruppe ATC-Code]"),Tabelle3!$A22)</f>
        <v>0</v>
      </c>
      <c r="CH22">
        <f ca="1">COUNTIFS(INDIRECT("Table1[Beginn]"),"&lt;="&amp;CH$1,INDIRECT("Table1[Ende]"),"&gt;="&amp;CH$1,INDIRECT("Table1[Obergruppe ATC-Code]"),Tabelle3!$A22)</f>
        <v>0</v>
      </c>
      <c r="CI22">
        <f ca="1">COUNTIFS(INDIRECT("Table1[Beginn]"),"&lt;="&amp;CI$1,INDIRECT("Table1[Ende]"),"&gt;="&amp;CI$1,INDIRECT("Table1[Obergruppe ATC-Code]"),Tabelle3!$A22)</f>
        <v>0</v>
      </c>
      <c r="CJ22">
        <f ca="1">COUNTIFS(INDIRECT("Table1[Beginn]"),"&lt;="&amp;CJ$1,INDIRECT("Table1[Ende]"),"&gt;="&amp;CJ$1,INDIRECT("Table1[Obergruppe ATC-Code]"),Tabelle3!$A22)</f>
        <v>0</v>
      </c>
      <c r="CK22">
        <f ca="1">COUNTIFS(INDIRECT("Table1[Beginn]"),"&lt;="&amp;CK$1,INDIRECT("Table1[Ende]"),"&gt;="&amp;CK$1,INDIRECT("Table1[Obergruppe ATC-Code]"),Tabelle3!$A22)</f>
        <v>0</v>
      </c>
      <c r="CL22">
        <f ca="1">COUNTIFS(INDIRECT("Table1[Beginn]"),"&lt;="&amp;CL$1,INDIRECT("Table1[Ende]"),"&gt;="&amp;CL$1,INDIRECT("Table1[Obergruppe ATC-Code]"),Tabelle3!$A22)</f>
        <v>0</v>
      </c>
      <c r="CM22">
        <f ca="1">COUNTIFS(INDIRECT("Table1[Beginn]"),"&lt;="&amp;CM$1,INDIRECT("Table1[Ende]"),"&gt;="&amp;CM$1,INDIRECT("Table1[Obergruppe ATC-Code]"),Tabelle3!$A22)</f>
        <v>0</v>
      </c>
      <c r="CN22">
        <f ca="1">COUNTIFS(INDIRECT("Table1[Beginn]"),"&lt;="&amp;CN$1,INDIRECT("Table1[Ende]"),"&gt;="&amp;CN$1,INDIRECT("Table1[Obergruppe ATC-Code]"),Tabelle3!$A22)</f>
        <v>0</v>
      </c>
      <c r="CO22">
        <f ca="1">COUNTIFS(INDIRECT("Table1[Beginn]"),"&lt;="&amp;CO$1,INDIRECT("Table1[Ende]"),"&gt;="&amp;CO$1,INDIRECT("Table1[Obergruppe ATC-Code]"),Tabelle3!$A22)</f>
        <v>0</v>
      </c>
      <c r="CP22">
        <f ca="1">COUNTIFS(INDIRECT("Table1[Beginn]"),"&lt;="&amp;CP$1,INDIRECT("Table1[Ende]"),"&gt;="&amp;CP$1,INDIRECT("Table1[Obergruppe ATC-Code]"),Tabelle3!$A22)</f>
        <v>0</v>
      </c>
      <c r="CQ22">
        <f ca="1">COUNTIFS(INDIRECT("Table1[Beginn]"),"&lt;="&amp;CQ$1,INDIRECT("Table1[Ende]"),"&gt;="&amp;CQ$1,INDIRECT("Table1[Obergruppe ATC-Code]"),Tabelle3!$A22)</f>
        <v>0</v>
      </c>
      <c r="CR22">
        <f ca="1">COUNTIFS(INDIRECT("Table1[Beginn]"),"&lt;="&amp;CR$1,INDIRECT("Table1[Ende]"),"&gt;="&amp;CR$1,INDIRECT("Table1[Obergruppe ATC-Code]"),Tabelle3!$A22)</f>
        <v>0</v>
      </c>
    </row>
    <row r="23" spans="1:96" ht="18">
      <c r="A23" s="9" t="s">
        <v>6814</v>
      </c>
      <c r="B23" s="10" t="s">
        <v>6815</v>
      </c>
      <c r="C23">
        <f ca="1">COUNTIFS(INDIRECT("Table1[Beginn]"),"&lt;="&amp;C$1,INDIRECT("Table1[Ende]"),"&gt;="&amp;C$1,INDIRECT("Table1[Obergruppe ATC-Code]"),Tabelle3!$A23)</f>
        <v>0</v>
      </c>
      <c r="D23">
        <f ca="1">COUNTIFS(INDIRECT("Table1[Beginn]"),"&lt;="&amp;D$1,INDIRECT("Table1[Ende]"),"&gt;="&amp;D$1,INDIRECT("Table1[Obergruppe ATC-Code]"),Tabelle3!$A23)</f>
        <v>0</v>
      </c>
      <c r="E23">
        <f ca="1">COUNTIFS(INDIRECT("Table1[Beginn]"),"&lt;="&amp;E$1,INDIRECT("Table1[Ende]"),"&gt;="&amp;E$1,INDIRECT("Table1[Obergruppe ATC-Code]"),Tabelle3!$A23)</f>
        <v>0</v>
      </c>
      <c r="F23">
        <f ca="1">COUNTIFS(INDIRECT("Table1[Beginn]"),"&lt;="&amp;F$1,INDIRECT("Table1[Ende]"),"&gt;="&amp;F$1,INDIRECT("Table1[Obergruppe ATC-Code]"),Tabelle3!$A23)</f>
        <v>0</v>
      </c>
      <c r="G23">
        <f ca="1">COUNTIFS(INDIRECT("Table1[Beginn]"),"&lt;="&amp;G$1,INDIRECT("Table1[Ende]"),"&gt;="&amp;G$1,INDIRECT("Table1[Obergruppe ATC-Code]"),Tabelle3!$A23)</f>
        <v>0</v>
      </c>
      <c r="H23">
        <f ca="1">COUNTIFS(INDIRECT("Table1[Beginn]"),"&lt;="&amp;H$1,INDIRECT("Table1[Ende]"),"&gt;="&amp;H$1,INDIRECT("Table1[Obergruppe ATC-Code]"),Tabelle3!$A23)</f>
        <v>0</v>
      </c>
      <c r="I23">
        <f ca="1">COUNTIFS(INDIRECT("Table1[Beginn]"),"&lt;="&amp;I$1,INDIRECT("Table1[Ende]"),"&gt;="&amp;I$1,INDIRECT("Table1[Obergruppe ATC-Code]"),Tabelle3!$A23)</f>
        <v>0</v>
      </c>
      <c r="J23">
        <f ca="1">COUNTIFS(INDIRECT("Table1[Beginn]"),"&lt;="&amp;J$1,INDIRECT("Table1[Ende]"),"&gt;="&amp;J$1,INDIRECT("Table1[Obergruppe ATC-Code]"),Tabelle3!$A23)</f>
        <v>0</v>
      </c>
      <c r="K23">
        <f ca="1">COUNTIFS(INDIRECT("Table1[Beginn]"),"&lt;="&amp;K$1,INDIRECT("Table1[Ende]"),"&gt;="&amp;K$1,INDIRECT("Table1[Obergruppe ATC-Code]"),Tabelle3!$A23)</f>
        <v>0</v>
      </c>
      <c r="L23">
        <f ca="1">COUNTIFS(INDIRECT("Table1[Beginn]"),"&lt;="&amp;L$1,INDIRECT("Table1[Ende]"),"&gt;="&amp;L$1,INDIRECT("Table1[Obergruppe ATC-Code]"),Tabelle3!$A23)</f>
        <v>0</v>
      </c>
      <c r="M23">
        <f ca="1">COUNTIFS(INDIRECT("Table1[Beginn]"),"&lt;="&amp;M$1,INDIRECT("Table1[Ende]"),"&gt;="&amp;M$1,INDIRECT("Table1[Obergruppe ATC-Code]"),Tabelle3!$A23)</f>
        <v>0</v>
      </c>
      <c r="N23">
        <f ca="1">COUNTIFS(INDIRECT("Table1[Beginn]"),"&lt;="&amp;N$1,INDIRECT("Table1[Ende]"),"&gt;="&amp;N$1,INDIRECT("Table1[Obergruppe ATC-Code]"),Tabelle3!$A23)</f>
        <v>0</v>
      </c>
      <c r="O23">
        <f ca="1">COUNTIFS(INDIRECT("Table1[Beginn]"),"&lt;="&amp;O$1,INDIRECT("Table1[Ende]"),"&gt;="&amp;O$1,INDIRECT("Table1[Obergruppe ATC-Code]"),Tabelle3!$A23)</f>
        <v>0</v>
      </c>
      <c r="P23">
        <f ca="1">COUNTIFS(INDIRECT("Table1[Beginn]"),"&lt;="&amp;P$1,INDIRECT("Table1[Ende]"),"&gt;="&amp;P$1,INDIRECT("Table1[Obergruppe ATC-Code]"),Tabelle3!$A23)</f>
        <v>1</v>
      </c>
      <c r="Q23">
        <f ca="1">COUNTIFS(INDIRECT("Table1[Beginn]"),"&lt;="&amp;Q$1,INDIRECT("Table1[Ende]"),"&gt;="&amp;Q$1,INDIRECT("Table1[Obergruppe ATC-Code]"),Tabelle3!$A23)</f>
        <v>3</v>
      </c>
      <c r="R23">
        <f ca="1">COUNTIFS(INDIRECT("Table1[Beginn]"),"&lt;="&amp;R$1,INDIRECT("Table1[Ende]"),"&gt;="&amp;R$1,INDIRECT("Table1[Obergruppe ATC-Code]"),Tabelle3!$A23)</f>
        <v>3</v>
      </c>
      <c r="S23">
        <f ca="1">COUNTIFS(INDIRECT("Table1[Beginn]"),"&lt;="&amp;S$1,INDIRECT("Table1[Ende]"),"&gt;="&amp;S$1,INDIRECT("Table1[Obergruppe ATC-Code]"),Tabelle3!$A23)</f>
        <v>2</v>
      </c>
      <c r="T23">
        <f ca="1">COUNTIFS(INDIRECT("Table1[Beginn]"),"&lt;="&amp;T$1,INDIRECT("Table1[Ende]"),"&gt;="&amp;T$1,INDIRECT("Table1[Obergruppe ATC-Code]"),Tabelle3!$A23)</f>
        <v>2</v>
      </c>
      <c r="U23">
        <f ca="1">COUNTIFS(INDIRECT("Table1[Beginn]"),"&lt;="&amp;U$1,INDIRECT("Table1[Ende]"),"&gt;="&amp;U$1,INDIRECT("Table1[Obergruppe ATC-Code]"),Tabelle3!$A23)</f>
        <v>4</v>
      </c>
      <c r="V23">
        <f ca="1">COUNTIFS(INDIRECT("Table1[Beginn]"),"&lt;="&amp;V$1,INDIRECT("Table1[Ende]"),"&gt;="&amp;V$1,INDIRECT("Table1[Obergruppe ATC-Code]"),Tabelle3!$A23)</f>
        <v>2</v>
      </c>
      <c r="W23">
        <f ca="1">COUNTIFS(INDIRECT("Table1[Beginn]"),"&lt;="&amp;W$1,INDIRECT("Table1[Ende]"),"&gt;="&amp;W$1,INDIRECT("Table1[Obergruppe ATC-Code]"),Tabelle3!$A23)</f>
        <v>3</v>
      </c>
      <c r="X23">
        <f ca="1">COUNTIFS(INDIRECT("Table1[Beginn]"),"&lt;="&amp;X$1,INDIRECT("Table1[Ende]"),"&gt;="&amp;X$1,INDIRECT("Table1[Obergruppe ATC-Code]"),Tabelle3!$A23)</f>
        <v>2</v>
      </c>
      <c r="Y23">
        <f ca="1">COUNTIFS(INDIRECT("Table1[Beginn]"),"&lt;="&amp;Y$1,INDIRECT("Table1[Ende]"),"&gt;="&amp;Y$1,INDIRECT("Table1[Obergruppe ATC-Code]"),Tabelle3!$A23)</f>
        <v>2</v>
      </c>
      <c r="Z23">
        <f ca="1">COUNTIFS(INDIRECT("Table1[Beginn]"),"&lt;="&amp;Z$1,INDIRECT("Table1[Ende]"),"&gt;="&amp;Z$1,INDIRECT("Table1[Obergruppe ATC-Code]"),Tabelle3!$A23)</f>
        <v>2</v>
      </c>
      <c r="AA23">
        <f ca="1">COUNTIFS(INDIRECT("Table1[Beginn]"),"&lt;="&amp;AA$1,INDIRECT("Table1[Ende]"),"&gt;="&amp;AA$1,INDIRECT("Table1[Obergruppe ATC-Code]"),Tabelle3!$A23)</f>
        <v>1</v>
      </c>
      <c r="AB23">
        <f ca="1">COUNTIFS(INDIRECT("Table1[Beginn]"),"&lt;="&amp;AB$1,INDIRECT("Table1[Ende]"),"&gt;="&amp;AB$1,INDIRECT("Table1[Obergruppe ATC-Code]"),Tabelle3!$A23)</f>
        <v>1</v>
      </c>
      <c r="AC23">
        <f ca="1">COUNTIFS(INDIRECT("Table1[Beginn]"),"&lt;="&amp;AC$1,INDIRECT("Table1[Ende]"),"&gt;="&amp;AC$1,INDIRECT("Table1[Obergruppe ATC-Code]"),Tabelle3!$A23)</f>
        <v>1</v>
      </c>
      <c r="AD23">
        <f ca="1">COUNTIFS(INDIRECT("Table1[Beginn]"),"&lt;="&amp;AD$1,INDIRECT("Table1[Ende]"),"&gt;="&amp;AD$1,INDIRECT("Table1[Obergruppe ATC-Code]"),Tabelle3!$A23)</f>
        <v>1</v>
      </c>
      <c r="AE23">
        <f ca="1">COUNTIFS(INDIRECT("Table1[Beginn]"),"&lt;="&amp;AE$1,INDIRECT("Table1[Ende]"),"&gt;="&amp;AE$1,INDIRECT("Table1[Obergruppe ATC-Code]"),Tabelle3!$A23)</f>
        <v>3</v>
      </c>
      <c r="AF23">
        <f ca="1">COUNTIFS(INDIRECT("Table1[Beginn]"),"&lt;="&amp;AF$1,INDIRECT("Table1[Ende]"),"&gt;="&amp;AF$1,INDIRECT("Table1[Obergruppe ATC-Code]"),Tabelle3!$A23)</f>
        <v>2</v>
      </c>
      <c r="AG23">
        <f ca="1">COUNTIFS(INDIRECT("Table1[Beginn]"),"&lt;="&amp;AG$1,INDIRECT("Table1[Ende]"),"&gt;="&amp;AG$1,INDIRECT("Table1[Obergruppe ATC-Code]"),Tabelle3!$A23)</f>
        <v>2</v>
      </c>
      <c r="AH23">
        <f ca="1">COUNTIFS(INDIRECT("Table1[Beginn]"),"&lt;="&amp;AH$1,INDIRECT("Table1[Ende]"),"&gt;="&amp;AH$1,INDIRECT("Table1[Obergruppe ATC-Code]"),Tabelle3!$A23)</f>
        <v>2</v>
      </c>
      <c r="AI23">
        <f ca="1">COUNTIFS(INDIRECT("Table1[Beginn]"),"&lt;="&amp;AI$1,INDIRECT("Table1[Ende]"),"&gt;="&amp;AI$1,INDIRECT("Table1[Obergruppe ATC-Code]"),Tabelle3!$A23)</f>
        <v>2</v>
      </c>
      <c r="AJ23">
        <f ca="1">COUNTIFS(INDIRECT("Table1[Beginn]"),"&lt;="&amp;AJ$1,INDIRECT("Table1[Ende]"),"&gt;="&amp;AJ$1,INDIRECT("Table1[Obergruppe ATC-Code]"),Tabelle3!$A23)</f>
        <v>2</v>
      </c>
      <c r="AK23">
        <f ca="1">COUNTIFS(INDIRECT("Table1[Beginn]"),"&lt;="&amp;AK$1,INDIRECT("Table1[Ende]"),"&gt;="&amp;AK$1,INDIRECT("Table1[Obergruppe ATC-Code]"),Tabelle3!$A23)</f>
        <v>2</v>
      </c>
      <c r="AL23">
        <f ca="1">COUNTIFS(INDIRECT("Table1[Beginn]"),"&lt;="&amp;AL$1,INDIRECT("Table1[Ende]"),"&gt;="&amp;AL$1,INDIRECT("Table1[Obergruppe ATC-Code]"),Tabelle3!$A23)</f>
        <v>2</v>
      </c>
      <c r="AM23">
        <f ca="1">COUNTIFS(INDIRECT("Table1[Beginn]"),"&lt;="&amp;AM$1,INDIRECT("Table1[Ende]"),"&gt;="&amp;AM$1,INDIRECT("Table1[Obergruppe ATC-Code]"),Tabelle3!$A23)</f>
        <v>3</v>
      </c>
      <c r="AN23">
        <f ca="1">COUNTIFS(INDIRECT("Table1[Beginn]"),"&lt;="&amp;AN$1,INDIRECT("Table1[Ende]"),"&gt;="&amp;AN$1,INDIRECT("Table1[Obergruppe ATC-Code]"),Tabelle3!$A23)</f>
        <v>4</v>
      </c>
      <c r="AO23">
        <f ca="1">COUNTIFS(INDIRECT("Table1[Beginn]"),"&lt;="&amp;AO$1,INDIRECT("Table1[Ende]"),"&gt;="&amp;AO$1,INDIRECT("Table1[Obergruppe ATC-Code]"),Tabelle3!$A23)</f>
        <v>3</v>
      </c>
      <c r="AP23">
        <f ca="1">COUNTIFS(INDIRECT("Table1[Beginn]"),"&lt;="&amp;AP$1,INDIRECT("Table1[Ende]"),"&gt;="&amp;AP$1,INDIRECT("Table1[Obergruppe ATC-Code]"),Tabelle3!$A23)</f>
        <v>1</v>
      </c>
      <c r="AQ23">
        <f ca="1">COUNTIFS(INDIRECT("Table1[Beginn]"),"&lt;="&amp;AQ$1,INDIRECT("Table1[Ende]"),"&gt;="&amp;AQ$1,INDIRECT("Table1[Obergruppe ATC-Code]"),Tabelle3!$A23)</f>
        <v>1</v>
      </c>
      <c r="AR23">
        <f ca="1">COUNTIFS(INDIRECT("Table1[Beginn]"),"&lt;="&amp;AR$1,INDIRECT("Table1[Ende]"),"&gt;="&amp;AR$1,INDIRECT("Table1[Obergruppe ATC-Code]"),Tabelle3!$A23)</f>
        <v>3</v>
      </c>
      <c r="AS23">
        <f ca="1">COUNTIFS(INDIRECT("Table1[Beginn]"),"&lt;="&amp;AS$1,INDIRECT("Table1[Ende]"),"&gt;="&amp;AS$1,INDIRECT("Table1[Obergruppe ATC-Code]"),Tabelle3!$A23)</f>
        <v>3</v>
      </c>
      <c r="AT23">
        <f ca="1">COUNTIFS(INDIRECT("Table1[Beginn]"),"&lt;="&amp;AT$1,INDIRECT("Table1[Ende]"),"&gt;="&amp;AT$1,INDIRECT("Table1[Obergruppe ATC-Code]"),Tabelle3!$A23)</f>
        <v>1</v>
      </c>
      <c r="AU23">
        <f ca="1">COUNTIFS(INDIRECT("Table1[Beginn]"),"&lt;="&amp;AU$1,INDIRECT("Table1[Ende]"),"&gt;="&amp;AU$1,INDIRECT("Table1[Obergruppe ATC-Code]"),Tabelle3!$A23)</f>
        <v>1</v>
      </c>
      <c r="AV23">
        <f ca="1">COUNTIFS(INDIRECT("Table1[Beginn]"),"&lt;="&amp;AV$1,INDIRECT("Table1[Ende]"),"&gt;="&amp;AV$1,INDIRECT("Table1[Obergruppe ATC-Code]"),Tabelle3!$A23)</f>
        <v>1</v>
      </c>
      <c r="AW23">
        <f ca="1">COUNTIFS(INDIRECT("Table1[Beginn]"),"&lt;="&amp;AW$1,INDIRECT("Table1[Ende]"),"&gt;="&amp;AW$1,INDIRECT("Table1[Obergruppe ATC-Code]"),Tabelle3!$A23)</f>
        <v>2</v>
      </c>
      <c r="AX23">
        <f ca="1">COUNTIFS(INDIRECT("Table1[Beginn]"),"&lt;="&amp;AX$1,INDIRECT("Table1[Ende]"),"&gt;="&amp;AX$1,INDIRECT("Table1[Obergruppe ATC-Code]"),Tabelle3!$A23)</f>
        <v>3</v>
      </c>
      <c r="AY23">
        <f ca="1">COUNTIFS(INDIRECT("Table1[Beginn]"),"&lt;="&amp;AY$1,INDIRECT("Table1[Ende]"),"&gt;="&amp;AY$1,INDIRECT("Table1[Obergruppe ATC-Code]"),Tabelle3!$A23)</f>
        <v>3</v>
      </c>
      <c r="AZ23">
        <f ca="1">COUNTIFS(INDIRECT("Table1[Beginn]"),"&lt;="&amp;AZ$1,INDIRECT("Table1[Ende]"),"&gt;="&amp;AZ$1,INDIRECT("Table1[Obergruppe ATC-Code]"),Tabelle3!$A23)</f>
        <v>2</v>
      </c>
      <c r="BA23">
        <f ca="1">COUNTIFS(INDIRECT("Table1[Beginn]"),"&lt;="&amp;BA$1,INDIRECT("Table1[Ende]"),"&gt;="&amp;BA$1,INDIRECT("Table1[Obergruppe ATC-Code]"),Tabelle3!$A23)</f>
        <v>1</v>
      </c>
      <c r="BB23">
        <f ca="1">COUNTIFS(INDIRECT("Table1[Beginn]"),"&lt;="&amp;BB$1,INDIRECT("Table1[Ende]"),"&gt;="&amp;BB$1,INDIRECT("Table1[Obergruppe ATC-Code]"),Tabelle3!$A23)</f>
        <v>1</v>
      </c>
      <c r="BC23">
        <f ca="1">COUNTIFS(INDIRECT("Table1[Beginn]"),"&lt;="&amp;BC$1,INDIRECT("Table1[Ende]"),"&gt;="&amp;BC$1,INDIRECT("Table1[Obergruppe ATC-Code]"),Tabelle3!$A23)</f>
        <v>0</v>
      </c>
      <c r="BD23">
        <f ca="1">COUNTIFS(INDIRECT("Table1[Beginn]"),"&lt;="&amp;BD$1,INDIRECT("Table1[Ende]"),"&gt;="&amp;BD$1,INDIRECT("Table1[Obergruppe ATC-Code]"),Tabelle3!$A23)</f>
        <v>0</v>
      </c>
      <c r="BE23">
        <f ca="1">COUNTIFS(INDIRECT("Table1[Beginn]"),"&lt;="&amp;BE$1,INDIRECT("Table1[Ende]"),"&gt;="&amp;BE$1,INDIRECT("Table1[Obergruppe ATC-Code]"),Tabelle3!$A23)</f>
        <v>0</v>
      </c>
      <c r="BF23">
        <f ca="1">COUNTIFS(INDIRECT("Table1[Beginn]"),"&lt;="&amp;BF$1,INDIRECT("Table1[Ende]"),"&gt;="&amp;BF$1,INDIRECT("Table1[Obergruppe ATC-Code]"),Tabelle3!$A23)</f>
        <v>0</v>
      </c>
      <c r="BG23">
        <f ca="1">COUNTIFS(INDIRECT("Table1[Beginn]"),"&lt;="&amp;BG$1,INDIRECT("Table1[Ende]"),"&gt;="&amp;BG$1,INDIRECT("Table1[Obergruppe ATC-Code]"),Tabelle3!$A23)</f>
        <v>0</v>
      </c>
      <c r="BH23">
        <f ca="1">COUNTIFS(INDIRECT("Table1[Beginn]"),"&lt;="&amp;BH$1,INDIRECT("Table1[Ende]"),"&gt;="&amp;BH$1,INDIRECT("Table1[Obergruppe ATC-Code]"),Tabelle3!$A23)</f>
        <v>1</v>
      </c>
      <c r="BI23">
        <f ca="1">COUNTIFS(INDIRECT("Table1[Beginn]"),"&lt;="&amp;BI$1,INDIRECT("Table1[Ende]"),"&gt;="&amp;BI$1,INDIRECT("Table1[Obergruppe ATC-Code]"),Tabelle3!$A23)</f>
        <v>0</v>
      </c>
      <c r="BJ23">
        <f ca="1">COUNTIFS(INDIRECT("Table1[Beginn]"),"&lt;="&amp;BJ$1,INDIRECT("Table1[Ende]"),"&gt;="&amp;BJ$1,INDIRECT("Table1[Obergruppe ATC-Code]"),Tabelle3!$A23)</f>
        <v>0</v>
      </c>
      <c r="BK23">
        <f ca="1">COUNTIFS(INDIRECT("Table1[Beginn]"),"&lt;="&amp;BK$1,INDIRECT("Table1[Ende]"),"&gt;="&amp;BK$1,INDIRECT("Table1[Obergruppe ATC-Code]"),Tabelle3!$A23)</f>
        <v>0</v>
      </c>
      <c r="BL23">
        <f ca="1">COUNTIFS(INDIRECT("Table1[Beginn]"),"&lt;="&amp;BL$1,INDIRECT("Table1[Ende]"),"&gt;="&amp;BL$1,INDIRECT("Table1[Obergruppe ATC-Code]"),Tabelle3!$A23)</f>
        <v>1</v>
      </c>
      <c r="BM23">
        <f ca="1">COUNTIFS(INDIRECT("Table1[Beginn]"),"&lt;="&amp;BM$1,INDIRECT("Table1[Ende]"),"&gt;="&amp;BM$1,INDIRECT("Table1[Obergruppe ATC-Code]"),Tabelle3!$A23)</f>
        <v>1</v>
      </c>
      <c r="BN23">
        <f ca="1">COUNTIFS(INDIRECT("Table1[Beginn]"),"&lt;="&amp;BN$1,INDIRECT("Table1[Ende]"),"&gt;="&amp;BN$1,INDIRECT("Table1[Obergruppe ATC-Code]"),Tabelle3!$A23)</f>
        <v>2</v>
      </c>
      <c r="BO23">
        <f ca="1">COUNTIFS(INDIRECT("Table1[Beginn]"),"&lt;="&amp;BO$1,INDIRECT("Table1[Ende]"),"&gt;="&amp;BO$1,INDIRECT("Table1[Obergruppe ATC-Code]"),Tabelle3!$A23)</f>
        <v>1</v>
      </c>
      <c r="BP23">
        <f ca="1">COUNTIFS(INDIRECT("Table1[Beginn]"),"&lt;="&amp;BP$1,INDIRECT("Table1[Ende]"),"&gt;="&amp;BP$1,INDIRECT("Table1[Obergruppe ATC-Code]"),Tabelle3!$A23)</f>
        <v>4</v>
      </c>
      <c r="BQ23">
        <f ca="1">COUNTIFS(INDIRECT("Table1[Beginn]"),"&lt;="&amp;BQ$1,INDIRECT("Table1[Ende]"),"&gt;="&amp;BQ$1,INDIRECT("Table1[Obergruppe ATC-Code]"),Tabelle3!$A23)</f>
        <v>3</v>
      </c>
      <c r="BR23">
        <f ca="1">COUNTIFS(INDIRECT("Table1[Beginn]"),"&lt;="&amp;BR$1,INDIRECT("Table1[Ende]"),"&gt;="&amp;BR$1,INDIRECT("Table1[Obergruppe ATC-Code]"),Tabelle3!$A23)</f>
        <v>4</v>
      </c>
      <c r="BS23">
        <f ca="1">COUNTIFS(INDIRECT("Table1[Beginn]"),"&lt;="&amp;BS$1,INDIRECT("Table1[Ende]"),"&gt;="&amp;BS$1,INDIRECT("Table1[Obergruppe ATC-Code]"),Tabelle3!$A23)</f>
        <v>5</v>
      </c>
      <c r="BT23">
        <f ca="1">COUNTIFS(INDIRECT("Table1[Beginn]"),"&lt;="&amp;BT$1,INDIRECT("Table1[Ende]"),"&gt;="&amp;BT$1,INDIRECT("Table1[Obergruppe ATC-Code]"),Tabelle3!$A23)</f>
        <v>3</v>
      </c>
      <c r="BU23">
        <f ca="1">COUNTIFS(INDIRECT("Table1[Beginn]"),"&lt;="&amp;BU$1,INDIRECT("Table1[Ende]"),"&gt;="&amp;BU$1,INDIRECT("Table1[Obergruppe ATC-Code]"),Tabelle3!$A23)</f>
        <v>7</v>
      </c>
      <c r="BV23">
        <f ca="1">COUNTIFS(INDIRECT("Table1[Beginn]"),"&lt;="&amp;BV$1,INDIRECT("Table1[Ende]"),"&gt;="&amp;BV$1,INDIRECT("Table1[Obergruppe ATC-Code]"),Tabelle3!$A23)</f>
        <v>8</v>
      </c>
      <c r="BW23">
        <f ca="1">COUNTIFS(INDIRECT("Table1[Beginn]"),"&lt;="&amp;BW$1,INDIRECT("Table1[Ende]"),"&gt;="&amp;BW$1,INDIRECT("Table1[Obergruppe ATC-Code]"),Tabelle3!$A23)</f>
        <v>9</v>
      </c>
      <c r="BX23">
        <f ca="1">COUNTIFS(INDIRECT("Table1[Beginn]"),"&lt;="&amp;BX$1,INDIRECT("Table1[Ende]"),"&gt;="&amp;BX$1,INDIRECT("Table1[Obergruppe ATC-Code]"),Tabelle3!$A23)</f>
        <v>9</v>
      </c>
      <c r="BY23">
        <f ca="1">COUNTIFS(INDIRECT("Table1[Beginn]"),"&lt;="&amp;BY$1,INDIRECT("Table1[Ende]"),"&gt;="&amp;BY$1,INDIRECT("Table1[Obergruppe ATC-Code]"),Tabelle3!$A23)</f>
        <v>9</v>
      </c>
      <c r="BZ23">
        <f ca="1">COUNTIFS(INDIRECT("Table1[Beginn]"),"&lt;="&amp;BZ$1,INDIRECT("Table1[Ende]"),"&gt;="&amp;BZ$1,INDIRECT("Table1[Obergruppe ATC-Code]"),Tabelle3!$A23)</f>
        <v>10</v>
      </c>
      <c r="CA23">
        <f ca="1">COUNTIFS(INDIRECT("Table1[Beginn]"),"&lt;="&amp;CA$1,INDIRECT("Table1[Ende]"),"&gt;="&amp;CA$1,INDIRECT("Table1[Obergruppe ATC-Code]"),Tabelle3!$A23)</f>
        <v>11</v>
      </c>
      <c r="CB23">
        <f ca="1">COUNTIFS(INDIRECT("Table1[Beginn]"),"&lt;="&amp;CB$1,INDIRECT("Table1[Ende]"),"&gt;="&amp;CB$1,INDIRECT("Table1[Obergruppe ATC-Code]"),Tabelle3!$A23)</f>
        <v>9</v>
      </c>
      <c r="CC23">
        <f ca="1">COUNTIFS(INDIRECT("Table1[Beginn]"),"&lt;="&amp;CC$1,INDIRECT("Table1[Ende]"),"&gt;="&amp;CC$1,INDIRECT("Table1[Obergruppe ATC-Code]"),Tabelle3!$A23)</f>
        <v>8</v>
      </c>
      <c r="CD23">
        <f ca="1">COUNTIFS(INDIRECT("Table1[Beginn]"),"&lt;="&amp;CD$1,INDIRECT("Table1[Ende]"),"&gt;="&amp;CD$1,INDIRECT("Table1[Obergruppe ATC-Code]"),Tabelle3!$A23)</f>
        <v>8</v>
      </c>
      <c r="CE23">
        <f ca="1">COUNTIFS(INDIRECT("Table1[Beginn]"),"&lt;="&amp;CE$1,INDIRECT("Table1[Ende]"),"&gt;="&amp;CE$1,INDIRECT("Table1[Obergruppe ATC-Code]"),Tabelle3!$A23)</f>
        <v>9</v>
      </c>
      <c r="CF23">
        <f ca="1">COUNTIFS(INDIRECT("Table1[Beginn]"),"&lt;="&amp;CF$1,INDIRECT("Table1[Ende]"),"&gt;="&amp;CF$1,INDIRECT("Table1[Obergruppe ATC-Code]"),Tabelle3!$A23)</f>
        <v>7</v>
      </c>
      <c r="CG23">
        <f ca="1">COUNTIFS(INDIRECT("Table1[Beginn]"),"&lt;="&amp;CG$1,INDIRECT("Table1[Ende]"),"&gt;="&amp;CG$1,INDIRECT("Table1[Obergruppe ATC-Code]"),Tabelle3!$A23)</f>
        <v>2</v>
      </c>
      <c r="CH23">
        <f ca="1">COUNTIFS(INDIRECT("Table1[Beginn]"),"&lt;="&amp;CH$1,INDIRECT("Table1[Ende]"),"&gt;="&amp;CH$1,INDIRECT("Table1[Obergruppe ATC-Code]"),Tabelle3!$A23)</f>
        <v>1</v>
      </c>
      <c r="CI23">
        <f ca="1">COUNTIFS(INDIRECT("Table1[Beginn]"),"&lt;="&amp;CI$1,INDIRECT("Table1[Ende]"),"&gt;="&amp;CI$1,INDIRECT("Table1[Obergruppe ATC-Code]"),Tabelle3!$A23)</f>
        <v>0</v>
      </c>
      <c r="CJ23">
        <f ca="1">COUNTIFS(INDIRECT("Table1[Beginn]"),"&lt;="&amp;CJ$1,INDIRECT("Table1[Ende]"),"&gt;="&amp;CJ$1,INDIRECT("Table1[Obergruppe ATC-Code]"),Tabelle3!$A23)</f>
        <v>0</v>
      </c>
      <c r="CK23">
        <f ca="1">COUNTIFS(INDIRECT("Table1[Beginn]"),"&lt;="&amp;CK$1,INDIRECT("Table1[Ende]"),"&gt;="&amp;CK$1,INDIRECT("Table1[Obergruppe ATC-Code]"),Tabelle3!$A23)</f>
        <v>0</v>
      </c>
      <c r="CL23">
        <f ca="1">COUNTIFS(INDIRECT("Table1[Beginn]"),"&lt;="&amp;CL$1,INDIRECT("Table1[Ende]"),"&gt;="&amp;CL$1,INDIRECT("Table1[Obergruppe ATC-Code]"),Tabelle3!$A23)</f>
        <v>0</v>
      </c>
      <c r="CM23">
        <f ca="1">COUNTIFS(INDIRECT("Table1[Beginn]"),"&lt;="&amp;CM$1,INDIRECT("Table1[Ende]"),"&gt;="&amp;CM$1,INDIRECT("Table1[Obergruppe ATC-Code]"),Tabelle3!$A23)</f>
        <v>0</v>
      </c>
      <c r="CN23">
        <f ca="1">COUNTIFS(INDIRECT("Table1[Beginn]"),"&lt;="&amp;CN$1,INDIRECT("Table1[Ende]"),"&gt;="&amp;CN$1,INDIRECT("Table1[Obergruppe ATC-Code]"),Tabelle3!$A23)</f>
        <v>0</v>
      </c>
      <c r="CO23">
        <f ca="1">COUNTIFS(INDIRECT("Table1[Beginn]"),"&lt;="&amp;CO$1,INDIRECT("Table1[Ende]"),"&gt;="&amp;CO$1,INDIRECT("Table1[Obergruppe ATC-Code]"),Tabelle3!$A23)</f>
        <v>0</v>
      </c>
      <c r="CP23">
        <f ca="1">COUNTIFS(INDIRECT("Table1[Beginn]"),"&lt;="&amp;CP$1,INDIRECT("Table1[Ende]"),"&gt;="&amp;CP$1,INDIRECT("Table1[Obergruppe ATC-Code]"),Tabelle3!$A23)</f>
        <v>0</v>
      </c>
      <c r="CQ23">
        <f ca="1">COUNTIFS(INDIRECT("Table1[Beginn]"),"&lt;="&amp;CQ$1,INDIRECT("Table1[Ende]"),"&gt;="&amp;CQ$1,INDIRECT("Table1[Obergruppe ATC-Code]"),Tabelle3!$A23)</f>
        <v>0</v>
      </c>
      <c r="CR23">
        <f ca="1">COUNTIFS(INDIRECT("Table1[Beginn]"),"&lt;="&amp;CR$1,INDIRECT("Table1[Ende]"),"&gt;="&amp;CR$1,INDIRECT("Table1[Obergruppe ATC-Code]"),Tabelle3!$A23)</f>
        <v>0</v>
      </c>
    </row>
    <row r="24" spans="1:96" ht="18">
      <c r="A24" s="7" t="s">
        <v>6816</v>
      </c>
      <c r="B24" s="8" t="s">
        <v>6817</v>
      </c>
      <c r="C24">
        <f ca="1">COUNTIFS(INDIRECT("Table1[Beginn]"),"&lt;="&amp;C$1,INDIRECT("Table1[Ende]"),"&gt;="&amp;C$1,INDIRECT("Table1[Obergruppe ATC-Code]"),Tabelle3!$A24)</f>
        <v>0</v>
      </c>
      <c r="D24">
        <f ca="1">COUNTIFS(INDIRECT("Table1[Beginn]"),"&lt;="&amp;D$1,INDIRECT("Table1[Ende]"),"&gt;="&amp;D$1,INDIRECT("Table1[Obergruppe ATC-Code]"),Tabelle3!$A24)</f>
        <v>0</v>
      </c>
      <c r="E24">
        <f ca="1">COUNTIFS(INDIRECT("Table1[Beginn]"),"&lt;="&amp;E$1,INDIRECT("Table1[Ende]"),"&gt;="&amp;E$1,INDIRECT("Table1[Obergruppe ATC-Code]"),Tabelle3!$A24)</f>
        <v>0</v>
      </c>
      <c r="F24">
        <f ca="1">COUNTIFS(INDIRECT("Table1[Beginn]"),"&lt;="&amp;F$1,INDIRECT("Table1[Ende]"),"&gt;="&amp;F$1,INDIRECT("Table1[Obergruppe ATC-Code]"),Tabelle3!$A24)</f>
        <v>0</v>
      </c>
      <c r="G24">
        <f ca="1">COUNTIFS(INDIRECT("Table1[Beginn]"),"&lt;="&amp;G$1,INDIRECT("Table1[Ende]"),"&gt;="&amp;G$1,INDIRECT("Table1[Obergruppe ATC-Code]"),Tabelle3!$A24)</f>
        <v>0</v>
      </c>
      <c r="H24">
        <f ca="1">COUNTIFS(INDIRECT("Table1[Beginn]"),"&lt;="&amp;H$1,INDIRECT("Table1[Ende]"),"&gt;="&amp;H$1,INDIRECT("Table1[Obergruppe ATC-Code]"),Tabelle3!$A24)</f>
        <v>1</v>
      </c>
      <c r="I24">
        <f ca="1">COUNTIFS(INDIRECT("Table1[Beginn]"),"&lt;="&amp;I$1,INDIRECT("Table1[Ende]"),"&gt;="&amp;I$1,INDIRECT("Table1[Obergruppe ATC-Code]"),Tabelle3!$A24)</f>
        <v>1</v>
      </c>
      <c r="J24">
        <f ca="1">COUNTIFS(INDIRECT("Table1[Beginn]"),"&lt;="&amp;J$1,INDIRECT("Table1[Ende]"),"&gt;="&amp;J$1,INDIRECT("Table1[Obergruppe ATC-Code]"),Tabelle3!$A24)</f>
        <v>1</v>
      </c>
      <c r="K24">
        <f ca="1">COUNTIFS(INDIRECT("Table1[Beginn]"),"&lt;="&amp;K$1,INDIRECT("Table1[Ende]"),"&gt;="&amp;K$1,INDIRECT("Table1[Obergruppe ATC-Code]"),Tabelle3!$A24)</f>
        <v>0</v>
      </c>
      <c r="L24">
        <f ca="1">COUNTIFS(INDIRECT("Table1[Beginn]"),"&lt;="&amp;L$1,INDIRECT("Table1[Ende]"),"&gt;="&amp;L$1,INDIRECT("Table1[Obergruppe ATC-Code]"),Tabelle3!$A24)</f>
        <v>0</v>
      </c>
      <c r="M24">
        <f ca="1">COUNTIFS(INDIRECT("Table1[Beginn]"),"&lt;="&amp;M$1,INDIRECT("Table1[Ende]"),"&gt;="&amp;M$1,INDIRECT("Table1[Obergruppe ATC-Code]"),Tabelle3!$A24)</f>
        <v>0</v>
      </c>
      <c r="N24">
        <f ca="1">COUNTIFS(INDIRECT("Table1[Beginn]"),"&lt;="&amp;N$1,INDIRECT("Table1[Ende]"),"&gt;="&amp;N$1,INDIRECT("Table1[Obergruppe ATC-Code]"),Tabelle3!$A24)</f>
        <v>0</v>
      </c>
      <c r="O24">
        <f ca="1">COUNTIFS(INDIRECT("Table1[Beginn]"),"&lt;="&amp;O$1,INDIRECT("Table1[Ende]"),"&gt;="&amp;O$1,INDIRECT("Table1[Obergruppe ATC-Code]"),Tabelle3!$A24)</f>
        <v>1</v>
      </c>
      <c r="P24">
        <f ca="1">COUNTIFS(INDIRECT("Table1[Beginn]"),"&lt;="&amp;P$1,INDIRECT("Table1[Ende]"),"&gt;="&amp;P$1,INDIRECT("Table1[Obergruppe ATC-Code]"),Tabelle3!$A24)</f>
        <v>1</v>
      </c>
      <c r="Q24">
        <f ca="1">COUNTIFS(INDIRECT("Table1[Beginn]"),"&lt;="&amp;Q$1,INDIRECT("Table1[Ende]"),"&gt;="&amp;Q$1,INDIRECT("Table1[Obergruppe ATC-Code]"),Tabelle3!$A24)</f>
        <v>1</v>
      </c>
      <c r="R24">
        <f ca="1">COUNTIFS(INDIRECT("Table1[Beginn]"),"&lt;="&amp;R$1,INDIRECT("Table1[Ende]"),"&gt;="&amp;R$1,INDIRECT("Table1[Obergruppe ATC-Code]"),Tabelle3!$A24)</f>
        <v>2</v>
      </c>
      <c r="S24">
        <f ca="1">COUNTIFS(INDIRECT("Table1[Beginn]"),"&lt;="&amp;S$1,INDIRECT("Table1[Ende]"),"&gt;="&amp;S$1,INDIRECT("Table1[Obergruppe ATC-Code]"),Tabelle3!$A24)</f>
        <v>3</v>
      </c>
      <c r="T24">
        <f ca="1">COUNTIFS(INDIRECT("Table1[Beginn]"),"&lt;="&amp;T$1,INDIRECT("Table1[Ende]"),"&gt;="&amp;T$1,INDIRECT("Table1[Obergruppe ATC-Code]"),Tabelle3!$A24)</f>
        <v>2</v>
      </c>
      <c r="U24">
        <f ca="1">COUNTIFS(INDIRECT("Table1[Beginn]"),"&lt;="&amp;U$1,INDIRECT("Table1[Ende]"),"&gt;="&amp;U$1,INDIRECT("Table1[Obergruppe ATC-Code]"),Tabelle3!$A24)</f>
        <v>2</v>
      </c>
      <c r="V24">
        <f ca="1">COUNTIFS(INDIRECT("Table1[Beginn]"),"&lt;="&amp;V$1,INDIRECT("Table1[Ende]"),"&gt;="&amp;V$1,INDIRECT("Table1[Obergruppe ATC-Code]"),Tabelle3!$A24)</f>
        <v>1</v>
      </c>
      <c r="W24">
        <f ca="1">COUNTIFS(INDIRECT("Table1[Beginn]"),"&lt;="&amp;W$1,INDIRECT("Table1[Ende]"),"&gt;="&amp;W$1,INDIRECT("Table1[Obergruppe ATC-Code]"),Tabelle3!$A24)</f>
        <v>1</v>
      </c>
      <c r="X24">
        <f ca="1">COUNTIFS(INDIRECT("Table1[Beginn]"),"&lt;="&amp;X$1,INDIRECT("Table1[Ende]"),"&gt;="&amp;X$1,INDIRECT("Table1[Obergruppe ATC-Code]"),Tabelle3!$A24)</f>
        <v>0</v>
      </c>
      <c r="Y24">
        <f ca="1">COUNTIFS(INDIRECT("Table1[Beginn]"),"&lt;="&amp;Y$1,INDIRECT("Table1[Ende]"),"&gt;="&amp;Y$1,INDIRECT("Table1[Obergruppe ATC-Code]"),Tabelle3!$A24)</f>
        <v>0</v>
      </c>
      <c r="Z24">
        <f ca="1">COUNTIFS(INDIRECT("Table1[Beginn]"),"&lt;="&amp;Z$1,INDIRECT("Table1[Ende]"),"&gt;="&amp;Z$1,INDIRECT("Table1[Obergruppe ATC-Code]"),Tabelle3!$A24)</f>
        <v>0</v>
      </c>
      <c r="AA24">
        <f ca="1">COUNTIFS(INDIRECT("Table1[Beginn]"),"&lt;="&amp;AA$1,INDIRECT("Table1[Ende]"),"&gt;="&amp;AA$1,INDIRECT("Table1[Obergruppe ATC-Code]"),Tabelle3!$A24)</f>
        <v>0</v>
      </c>
      <c r="AB24">
        <f ca="1">COUNTIFS(INDIRECT("Table1[Beginn]"),"&lt;="&amp;AB$1,INDIRECT("Table1[Ende]"),"&gt;="&amp;AB$1,INDIRECT("Table1[Obergruppe ATC-Code]"),Tabelle3!$A24)</f>
        <v>1</v>
      </c>
      <c r="AC24">
        <f ca="1">COUNTIFS(INDIRECT("Table1[Beginn]"),"&lt;="&amp;AC$1,INDIRECT("Table1[Ende]"),"&gt;="&amp;AC$1,INDIRECT("Table1[Obergruppe ATC-Code]"),Tabelle3!$A24)</f>
        <v>1</v>
      </c>
      <c r="AD24">
        <f ca="1">COUNTIFS(INDIRECT("Table1[Beginn]"),"&lt;="&amp;AD$1,INDIRECT("Table1[Ende]"),"&gt;="&amp;AD$1,INDIRECT("Table1[Obergruppe ATC-Code]"),Tabelle3!$A24)</f>
        <v>0</v>
      </c>
      <c r="AE24">
        <f ca="1">COUNTIFS(INDIRECT("Table1[Beginn]"),"&lt;="&amp;AE$1,INDIRECT("Table1[Ende]"),"&gt;="&amp;AE$1,INDIRECT("Table1[Obergruppe ATC-Code]"),Tabelle3!$A24)</f>
        <v>0</v>
      </c>
      <c r="AF24">
        <f ca="1">COUNTIFS(INDIRECT("Table1[Beginn]"),"&lt;="&amp;AF$1,INDIRECT("Table1[Ende]"),"&gt;="&amp;AF$1,INDIRECT("Table1[Obergruppe ATC-Code]"),Tabelle3!$A24)</f>
        <v>0</v>
      </c>
      <c r="AG24">
        <f ca="1">COUNTIFS(INDIRECT("Table1[Beginn]"),"&lt;="&amp;AG$1,INDIRECT("Table1[Ende]"),"&gt;="&amp;AG$1,INDIRECT("Table1[Obergruppe ATC-Code]"),Tabelle3!$A24)</f>
        <v>1</v>
      </c>
      <c r="AH24">
        <f ca="1">COUNTIFS(INDIRECT("Table1[Beginn]"),"&lt;="&amp;AH$1,INDIRECT("Table1[Ende]"),"&gt;="&amp;AH$1,INDIRECT("Table1[Obergruppe ATC-Code]"),Tabelle3!$A24)</f>
        <v>1</v>
      </c>
      <c r="AI24">
        <f ca="1">COUNTIFS(INDIRECT("Table1[Beginn]"),"&lt;="&amp;AI$1,INDIRECT("Table1[Ende]"),"&gt;="&amp;AI$1,INDIRECT("Table1[Obergruppe ATC-Code]"),Tabelle3!$A24)</f>
        <v>1</v>
      </c>
      <c r="AJ24">
        <f ca="1">COUNTIFS(INDIRECT("Table1[Beginn]"),"&lt;="&amp;AJ$1,INDIRECT("Table1[Ende]"),"&gt;="&amp;AJ$1,INDIRECT("Table1[Obergruppe ATC-Code]"),Tabelle3!$A24)</f>
        <v>1</v>
      </c>
      <c r="AK24">
        <f ca="1">COUNTIFS(INDIRECT("Table1[Beginn]"),"&lt;="&amp;AK$1,INDIRECT("Table1[Ende]"),"&gt;="&amp;AK$1,INDIRECT("Table1[Obergruppe ATC-Code]"),Tabelle3!$A24)</f>
        <v>3</v>
      </c>
      <c r="AL24">
        <f ca="1">COUNTIFS(INDIRECT("Table1[Beginn]"),"&lt;="&amp;AL$1,INDIRECT("Table1[Ende]"),"&gt;="&amp;AL$1,INDIRECT("Table1[Obergruppe ATC-Code]"),Tabelle3!$A24)</f>
        <v>3</v>
      </c>
      <c r="AM24">
        <f ca="1">COUNTIFS(INDIRECT("Table1[Beginn]"),"&lt;="&amp;AM$1,INDIRECT("Table1[Ende]"),"&gt;="&amp;AM$1,INDIRECT("Table1[Obergruppe ATC-Code]"),Tabelle3!$A24)</f>
        <v>2</v>
      </c>
      <c r="AN24">
        <f ca="1">COUNTIFS(INDIRECT("Table1[Beginn]"),"&lt;="&amp;AN$1,INDIRECT("Table1[Ende]"),"&gt;="&amp;AN$1,INDIRECT("Table1[Obergruppe ATC-Code]"),Tabelle3!$A24)</f>
        <v>3</v>
      </c>
      <c r="AO24">
        <f ca="1">COUNTIFS(INDIRECT("Table1[Beginn]"),"&lt;="&amp;AO$1,INDIRECT("Table1[Ende]"),"&gt;="&amp;AO$1,INDIRECT("Table1[Obergruppe ATC-Code]"),Tabelle3!$A24)</f>
        <v>3</v>
      </c>
      <c r="AP24">
        <f ca="1">COUNTIFS(INDIRECT("Table1[Beginn]"),"&lt;="&amp;AP$1,INDIRECT("Table1[Ende]"),"&gt;="&amp;AP$1,INDIRECT("Table1[Obergruppe ATC-Code]"),Tabelle3!$A24)</f>
        <v>2</v>
      </c>
      <c r="AQ24">
        <f ca="1">COUNTIFS(INDIRECT("Table1[Beginn]"),"&lt;="&amp;AQ$1,INDIRECT("Table1[Ende]"),"&gt;="&amp;AQ$1,INDIRECT("Table1[Obergruppe ATC-Code]"),Tabelle3!$A24)</f>
        <v>2</v>
      </c>
      <c r="AR24">
        <f ca="1">COUNTIFS(INDIRECT("Table1[Beginn]"),"&lt;="&amp;AR$1,INDIRECT("Table1[Ende]"),"&gt;="&amp;AR$1,INDIRECT("Table1[Obergruppe ATC-Code]"),Tabelle3!$A24)</f>
        <v>2</v>
      </c>
      <c r="AS24">
        <f ca="1">COUNTIFS(INDIRECT("Table1[Beginn]"),"&lt;="&amp;AS$1,INDIRECT("Table1[Ende]"),"&gt;="&amp;AS$1,INDIRECT("Table1[Obergruppe ATC-Code]"),Tabelle3!$A24)</f>
        <v>2</v>
      </c>
      <c r="AT24">
        <f ca="1">COUNTIFS(INDIRECT("Table1[Beginn]"),"&lt;="&amp;AT$1,INDIRECT("Table1[Ende]"),"&gt;="&amp;AT$1,INDIRECT("Table1[Obergruppe ATC-Code]"),Tabelle3!$A24)</f>
        <v>1</v>
      </c>
      <c r="AU24">
        <f ca="1">COUNTIFS(INDIRECT("Table1[Beginn]"),"&lt;="&amp;AU$1,INDIRECT("Table1[Ende]"),"&gt;="&amp;AU$1,INDIRECT("Table1[Obergruppe ATC-Code]"),Tabelle3!$A24)</f>
        <v>1</v>
      </c>
      <c r="AV24">
        <f ca="1">COUNTIFS(INDIRECT("Table1[Beginn]"),"&lt;="&amp;AV$1,INDIRECT("Table1[Ende]"),"&gt;="&amp;AV$1,INDIRECT("Table1[Obergruppe ATC-Code]"),Tabelle3!$A24)</f>
        <v>1</v>
      </c>
      <c r="AW24">
        <f ca="1">COUNTIFS(INDIRECT("Table1[Beginn]"),"&lt;="&amp;AW$1,INDIRECT("Table1[Ende]"),"&gt;="&amp;AW$1,INDIRECT("Table1[Obergruppe ATC-Code]"),Tabelle3!$A24)</f>
        <v>0</v>
      </c>
      <c r="AX24">
        <f ca="1">COUNTIFS(INDIRECT("Table1[Beginn]"),"&lt;="&amp;AX$1,INDIRECT("Table1[Ende]"),"&gt;="&amp;AX$1,INDIRECT("Table1[Obergruppe ATC-Code]"),Tabelle3!$A24)</f>
        <v>2</v>
      </c>
      <c r="AY24">
        <f ca="1">COUNTIFS(INDIRECT("Table1[Beginn]"),"&lt;="&amp;AY$1,INDIRECT("Table1[Ende]"),"&gt;="&amp;AY$1,INDIRECT("Table1[Obergruppe ATC-Code]"),Tabelle3!$A24)</f>
        <v>2</v>
      </c>
      <c r="AZ24">
        <f ca="1">COUNTIFS(INDIRECT("Table1[Beginn]"),"&lt;="&amp;AZ$1,INDIRECT("Table1[Ende]"),"&gt;="&amp;AZ$1,INDIRECT("Table1[Obergruppe ATC-Code]"),Tabelle3!$A24)</f>
        <v>2</v>
      </c>
      <c r="BA24">
        <f ca="1">COUNTIFS(INDIRECT("Table1[Beginn]"),"&lt;="&amp;BA$1,INDIRECT("Table1[Ende]"),"&gt;="&amp;BA$1,INDIRECT("Table1[Obergruppe ATC-Code]"),Tabelle3!$A24)</f>
        <v>1</v>
      </c>
      <c r="BB24">
        <f ca="1">COUNTIFS(INDIRECT("Table1[Beginn]"),"&lt;="&amp;BB$1,INDIRECT("Table1[Ende]"),"&gt;="&amp;BB$1,INDIRECT("Table1[Obergruppe ATC-Code]"),Tabelle3!$A24)</f>
        <v>1</v>
      </c>
      <c r="BC24">
        <f ca="1">COUNTIFS(INDIRECT("Table1[Beginn]"),"&lt;="&amp;BC$1,INDIRECT("Table1[Ende]"),"&gt;="&amp;BC$1,INDIRECT("Table1[Obergruppe ATC-Code]"),Tabelle3!$A24)</f>
        <v>2</v>
      </c>
      <c r="BD24">
        <f ca="1">COUNTIFS(INDIRECT("Table1[Beginn]"),"&lt;="&amp;BD$1,INDIRECT("Table1[Ende]"),"&gt;="&amp;BD$1,INDIRECT("Table1[Obergruppe ATC-Code]"),Tabelle3!$A24)</f>
        <v>3</v>
      </c>
      <c r="BE24">
        <f ca="1">COUNTIFS(INDIRECT("Table1[Beginn]"),"&lt;="&amp;BE$1,INDIRECT("Table1[Ende]"),"&gt;="&amp;BE$1,INDIRECT("Table1[Obergruppe ATC-Code]"),Tabelle3!$A24)</f>
        <v>4</v>
      </c>
      <c r="BF24">
        <f ca="1">COUNTIFS(INDIRECT("Table1[Beginn]"),"&lt;="&amp;BF$1,INDIRECT("Table1[Ende]"),"&gt;="&amp;BF$1,INDIRECT("Table1[Obergruppe ATC-Code]"),Tabelle3!$A24)</f>
        <v>8</v>
      </c>
      <c r="BG24">
        <f ca="1">COUNTIFS(INDIRECT("Table1[Beginn]"),"&lt;="&amp;BG$1,INDIRECT("Table1[Ende]"),"&gt;="&amp;BG$1,INDIRECT("Table1[Obergruppe ATC-Code]"),Tabelle3!$A24)</f>
        <v>8</v>
      </c>
      <c r="BH24">
        <f ca="1">COUNTIFS(INDIRECT("Table1[Beginn]"),"&lt;="&amp;BH$1,INDIRECT("Table1[Ende]"),"&gt;="&amp;BH$1,INDIRECT("Table1[Obergruppe ATC-Code]"),Tabelle3!$A24)</f>
        <v>9</v>
      </c>
      <c r="BI24">
        <f ca="1">COUNTIFS(INDIRECT("Table1[Beginn]"),"&lt;="&amp;BI$1,INDIRECT("Table1[Ende]"),"&gt;="&amp;BI$1,INDIRECT("Table1[Obergruppe ATC-Code]"),Tabelle3!$A24)</f>
        <v>9</v>
      </c>
      <c r="BJ24">
        <f ca="1">COUNTIFS(INDIRECT("Table1[Beginn]"),"&lt;="&amp;BJ$1,INDIRECT("Table1[Ende]"),"&gt;="&amp;BJ$1,INDIRECT("Table1[Obergruppe ATC-Code]"),Tabelle3!$A24)</f>
        <v>11</v>
      </c>
      <c r="BK24">
        <f ca="1">COUNTIFS(INDIRECT("Table1[Beginn]"),"&lt;="&amp;BK$1,INDIRECT("Table1[Ende]"),"&gt;="&amp;BK$1,INDIRECT("Table1[Obergruppe ATC-Code]"),Tabelle3!$A24)</f>
        <v>11</v>
      </c>
      <c r="BL24">
        <f ca="1">COUNTIFS(INDIRECT("Table1[Beginn]"),"&lt;="&amp;BL$1,INDIRECT("Table1[Ende]"),"&gt;="&amp;BL$1,INDIRECT("Table1[Obergruppe ATC-Code]"),Tabelle3!$A24)</f>
        <v>8</v>
      </c>
      <c r="BM24">
        <f ca="1">COUNTIFS(INDIRECT("Table1[Beginn]"),"&lt;="&amp;BM$1,INDIRECT("Table1[Ende]"),"&gt;="&amp;BM$1,INDIRECT("Table1[Obergruppe ATC-Code]"),Tabelle3!$A24)</f>
        <v>8</v>
      </c>
      <c r="BN24">
        <f ca="1">COUNTIFS(INDIRECT("Table1[Beginn]"),"&lt;="&amp;BN$1,INDIRECT("Table1[Ende]"),"&gt;="&amp;BN$1,INDIRECT("Table1[Obergruppe ATC-Code]"),Tabelle3!$A24)</f>
        <v>6</v>
      </c>
      <c r="BO24">
        <f ca="1">COUNTIFS(INDIRECT("Table1[Beginn]"),"&lt;="&amp;BO$1,INDIRECT("Table1[Ende]"),"&gt;="&amp;BO$1,INDIRECT("Table1[Obergruppe ATC-Code]"),Tabelle3!$A24)</f>
        <v>6</v>
      </c>
      <c r="BP24">
        <f ca="1">COUNTIFS(INDIRECT("Table1[Beginn]"),"&lt;="&amp;BP$1,INDIRECT("Table1[Ende]"),"&gt;="&amp;BP$1,INDIRECT("Table1[Obergruppe ATC-Code]"),Tabelle3!$A24)</f>
        <v>3</v>
      </c>
      <c r="BQ24">
        <f ca="1">COUNTIFS(INDIRECT("Table1[Beginn]"),"&lt;="&amp;BQ$1,INDIRECT("Table1[Ende]"),"&gt;="&amp;BQ$1,INDIRECT("Table1[Obergruppe ATC-Code]"),Tabelle3!$A24)</f>
        <v>2</v>
      </c>
      <c r="BR24">
        <f ca="1">COUNTIFS(INDIRECT("Table1[Beginn]"),"&lt;="&amp;BR$1,INDIRECT("Table1[Ende]"),"&gt;="&amp;BR$1,INDIRECT("Table1[Obergruppe ATC-Code]"),Tabelle3!$A24)</f>
        <v>2</v>
      </c>
      <c r="BS24">
        <f ca="1">COUNTIFS(INDIRECT("Table1[Beginn]"),"&lt;="&amp;BS$1,INDIRECT("Table1[Ende]"),"&gt;="&amp;BS$1,INDIRECT("Table1[Obergruppe ATC-Code]"),Tabelle3!$A24)</f>
        <v>2</v>
      </c>
      <c r="BT24">
        <f ca="1">COUNTIFS(INDIRECT("Table1[Beginn]"),"&lt;="&amp;BT$1,INDIRECT("Table1[Ende]"),"&gt;="&amp;BT$1,INDIRECT("Table1[Obergruppe ATC-Code]"),Tabelle3!$A24)</f>
        <v>4</v>
      </c>
      <c r="BU24">
        <f ca="1">COUNTIFS(INDIRECT("Table1[Beginn]"),"&lt;="&amp;BU$1,INDIRECT("Table1[Ende]"),"&gt;="&amp;BU$1,INDIRECT("Table1[Obergruppe ATC-Code]"),Tabelle3!$A24)</f>
        <v>7</v>
      </c>
      <c r="BV24">
        <f ca="1">COUNTIFS(INDIRECT("Table1[Beginn]"),"&lt;="&amp;BV$1,INDIRECT("Table1[Ende]"),"&gt;="&amp;BV$1,INDIRECT("Table1[Obergruppe ATC-Code]"),Tabelle3!$A24)</f>
        <v>7</v>
      </c>
      <c r="BW24">
        <f ca="1">COUNTIFS(INDIRECT("Table1[Beginn]"),"&lt;="&amp;BW$1,INDIRECT("Table1[Ende]"),"&gt;="&amp;BW$1,INDIRECT("Table1[Obergruppe ATC-Code]"),Tabelle3!$A24)</f>
        <v>7</v>
      </c>
      <c r="BX24">
        <f ca="1">COUNTIFS(INDIRECT("Table1[Beginn]"),"&lt;="&amp;BX$1,INDIRECT("Table1[Ende]"),"&gt;="&amp;BX$1,INDIRECT("Table1[Obergruppe ATC-Code]"),Tabelle3!$A24)</f>
        <v>7</v>
      </c>
      <c r="BY24">
        <f ca="1">COUNTIFS(INDIRECT("Table1[Beginn]"),"&lt;="&amp;BY$1,INDIRECT("Table1[Ende]"),"&gt;="&amp;BY$1,INDIRECT("Table1[Obergruppe ATC-Code]"),Tabelle3!$A24)</f>
        <v>7</v>
      </c>
      <c r="BZ24">
        <f ca="1">COUNTIFS(INDIRECT("Table1[Beginn]"),"&lt;="&amp;BZ$1,INDIRECT("Table1[Ende]"),"&gt;="&amp;BZ$1,INDIRECT("Table1[Obergruppe ATC-Code]"),Tabelle3!$A24)</f>
        <v>7</v>
      </c>
      <c r="CA24">
        <f ca="1">COUNTIFS(INDIRECT("Table1[Beginn]"),"&lt;="&amp;CA$1,INDIRECT("Table1[Ende]"),"&gt;="&amp;CA$1,INDIRECT("Table1[Obergruppe ATC-Code]"),Tabelle3!$A24)</f>
        <v>8</v>
      </c>
      <c r="CB24">
        <f ca="1">COUNTIFS(INDIRECT("Table1[Beginn]"),"&lt;="&amp;CB$1,INDIRECT("Table1[Ende]"),"&gt;="&amp;CB$1,INDIRECT("Table1[Obergruppe ATC-Code]"),Tabelle3!$A24)</f>
        <v>6</v>
      </c>
      <c r="CC24">
        <f ca="1">COUNTIFS(INDIRECT("Table1[Beginn]"),"&lt;="&amp;CC$1,INDIRECT("Table1[Ende]"),"&gt;="&amp;CC$1,INDIRECT("Table1[Obergruppe ATC-Code]"),Tabelle3!$A24)</f>
        <v>5</v>
      </c>
      <c r="CD24">
        <f ca="1">COUNTIFS(INDIRECT("Table1[Beginn]"),"&lt;="&amp;CD$1,INDIRECT("Table1[Ende]"),"&gt;="&amp;CD$1,INDIRECT("Table1[Obergruppe ATC-Code]"),Tabelle3!$A24)</f>
        <v>6</v>
      </c>
      <c r="CE24">
        <f ca="1">COUNTIFS(INDIRECT("Table1[Beginn]"),"&lt;="&amp;CE$1,INDIRECT("Table1[Ende]"),"&gt;="&amp;CE$1,INDIRECT("Table1[Obergruppe ATC-Code]"),Tabelle3!$A24)</f>
        <v>5</v>
      </c>
      <c r="CF24">
        <f ca="1">COUNTIFS(INDIRECT("Table1[Beginn]"),"&lt;="&amp;CF$1,INDIRECT("Table1[Ende]"),"&gt;="&amp;CF$1,INDIRECT("Table1[Obergruppe ATC-Code]"),Tabelle3!$A24)</f>
        <v>4</v>
      </c>
      <c r="CG24">
        <f ca="1">COUNTIFS(INDIRECT("Table1[Beginn]"),"&lt;="&amp;CG$1,INDIRECT("Table1[Ende]"),"&gt;="&amp;CG$1,INDIRECT("Table1[Obergruppe ATC-Code]"),Tabelle3!$A24)</f>
        <v>0</v>
      </c>
      <c r="CH24">
        <f ca="1">COUNTIFS(INDIRECT("Table1[Beginn]"),"&lt;="&amp;CH$1,INDIRECT("Table1[Ende]"),"&gt;="&amp;CH$1,INDIRECT("Table1[Obergruppe ATC-Code]"),Tabelle3!$A24)</f>
        <v>0</v>
      </c>
      <c r="CI24">
        <f ca="1">COUNTIFS(INDIRECT("Table1[Beginn]"),"&lt;="&amp;CI$1,INDIRECT("Table1[Ende]"),"&gt;="&amp;CI$1,INDIRECT("Table1[Obergruppe ATC-Code]"),Tabelle3!$A24)</f>
        <v>0</v>
      </c>
      <c r="CJ24">
        <f ca="1">COUNTIFS(INDIRECT("Table1[Beginn]"),"&lt;="&amp;CJ$1,INDIRECT("Table1[Ende]"),"&gt;="&amp;CJ$1,INDIRECT("Table1[Obergruppe ATC-Code]"),Tabelle3!$A24)</f>
        <v>0</v>
      </c>
      <c r="CK24">
        <f ca="1">COUNTIFS(INDIRECT("Table1[Beginn]"),"&lt;="&amp;CK$1,INDIRECT("Table1[Ende]"),"&gt;="&amp;CK$1,INDIRECT("Table1[Obergruppe ATC-Code]"),Tabelle3!$A24)</f>
        <v>0</v>
      </c>
      <c r="CL24">
        <f ca="1">COUNTIFS(INDIRECT("Table1[Beginn]"),"&lt;="&amp;CL$1,INDIRECT("Table1[Ende]"),"&gt;="&amp;CL$1,INDIRECT("Table1[Obergruppe ATC-Code]"),Tabelle3!$A24)</f>
        <v>0</v>
      </c>
      <c r="CM24">
        <f ca="1">COUNTIFS(INDIRECT("Table1[Beginn]"),"&lt;="&amp;CM$1,INDIRECT("Table1[Ende]"),"&gt;="&amp;CM$1,INDIRECT("Table1[Obergruppe ATC-Code]"),Tabelle3!$A24)</f>
        <v>0</v>
      </c>
      <c r="CN24">
        <f ca="1">COUNTIFS(INDIRECT("Table1[Beginn]"),"&lt;="&amp;CN$1,INDIRECT("Table1[Ende]"),"&gt;="&amp;CN$1,INDIRECT("Table1[Obergruppe ATC-Code]"),Tabelle3!$A24)</f>
        <v>0</v>
      </c>
      <c r="CO24">
        <f ca="1">COUNTIFS(INDIRECT("Table1[Beginn]"),"&lt;="&amp;CO$1,INDIRECT("Table1[Ende]"),"&gt;="&amp;CO$1,INDIRECT("Table1[Obergruppe ATC-Code]"),Tabelle3!$A24)</f>
        <v>0</v>
      </c>
      <c r="CP24">
        <f ca="1">COUNTIFS(INDIRECT("Table1[Beginn]"),"&lt;="&amp;CP$1,INDIRECT("Table1[Ende]"),"&gt;="&amp;CP$1,INDIRECT("Table1[Obergruppe ATC-Code]"),Tabelle3!$A24)</f>
        <v>0</v>
      </c>
      <c r="CQ24">
        <f ca="1">COUNTIFS(INDIRECT("Table1[Beginn]"),"&lt;="&amp;CQ$1,INDIRECT("Table1[Ende]"),"&gt;="&amp;CQ$1,INDIRECT("Table1[Obergruppe ATC-Code]"),Tabelle3!$A24)</f>
        <v>0</v>
      </c>
      <c r="CR24">
        <f ca="1">COUNTIFS(INDIRECT("Table1[Beginn]"),"&lt;="&amp;CR$1,INDIRECT("Table1[Ende]"),"&gt;="&amp;CR$1,INDIRECT("Table1[Obergruppe ATC-Code]"),Tabelle3!$A24)</f>
        <v>0</v>
      </c>
    </row>
    <row r="25" spans="1:96" ht="18">
      <c r="A25" s="9" t="s">
        <v>6818</v>
      </c>
      <c r="B25" s="10" t="s">
        <v>6819</v>
      </c>
      <c r="C25">
        <f ca="1">COUNTIFS(INDIRECT("Table1[Beginn]"),"&lt;="&amp;C$1,INDIRECT("Table1[Ende]"),"&gt;="&amp;C$1,INDIRECT("Table1[Obergruppe ATC-Code]"),Tabelle3!$A25)</f>
        <v>0</v>
      </c>
      <c r="D25">
        <f ca="1">COUNTIFS(INDIRECT("Table1[Beginn]"),"&lt;="&amp;D$1,INDIRECT("Table1[Ende]"),"&gt;="&amp;D$1,INDIRECT("Table1[Obergruppe ATC-Code]"),Tabelle3!$A25)</f>
        <v>0</v>
      </c>
      <c r="E25">
        <f ca="1">COUNTIFS(INDIRECT("Table1[Beginn]"),"&lt;="&amp;E$1,INDIRECT("Table1[Ende]"),"&gt;="&amp;E$1,INDIRECT("Table1[Obergruppe ATC-Code]"),Tabelle3!$A25)</f>
        <v>0</v>
      </c>
      <c r="F25">
        <f ca="1">COUNTIFS(INDIRECT("Table1[Beginn]"),"&lt;="&amp;F$1,INDIRECT("Table1[Ende]"),"&gt;="&amp;F$1,INDIRECT("Table1[Obergruppe ATC-Code]"),Tabelle3!$A25)</f>
        <v>0</v>
      </c>
      <c r="G25">
        <f ca="1">COUNTIFS(INDIRECT("Table1[Beginn]"),"&lt;="&amp;G$1,INDIRECT("Table1[Ende]"),"&gt;="&amp;G$1,INDIRECT("Table1[Obergruppe ATC-Code]"),Tabelle3!$A25)</f>
        <v>1</v>
      </c>
      <c r="H25">
        <f ca="1">COUNTIFS(INDIRECT("Table1[Beginn]"),"&lt;="&amp;H$1,INDIRECT("Table1[Ende]"),"&gt;="&amp;H$1,INDIRECT("Table1[Obergruppe ATC-Code]"),Tabelle3!$A25)</f>
        <v>0</v>
      </c>
      <c r="I25">
        <f ca="1">COUNTIFS(INDIRECT("Table1[Beginn]"),"&lt;="&amp;I$1,INDIRECT("Table1[Ende]"),"&gt;="&amp;I$1,INDIRECT("Table1[Obergruppe ATC-Code]"),Tabelle3!$A25)</f>
        <v>1</v>
      </c>
      <c r="J25">
        <f ca="1">COUNTIFS(INDIRECT("Table1[Beginn]"),"&lt;="&amp;J$1,INDIRECT("Table1[Ende]"),"&gt;="&amp;J$1,INDIRECT("Table1[Obergruppe ATC-Code]"),Tabelle3!$A25)</f>
        <v>1</v>
      </c>
      <c r="K25">
        <f ca="1">COUNTIFS(INDIRECT("Table1[Beginn]"),"&lt;="&amp;K$1,INDIRECT("Table1[Ende]"),"&gt;="&amp;K$1,INDIRECT("Table1[Obergruppe ATC-Code]"),Tabelle3!$A25)</f>
        <v>1</v>
      </c>
      <c r="L25">
        <f ca="1">COUNTIFS(INDIRECT("Table1[Beginn]"),"&lt;="&amp;L$1,INDIRECT("Table1[Ende]"),"&gt;="&amp;L$1,INDIRECT("Table1[Obergruppe ATC-Code]"),Tabelle3!$A25)</f>
        <v>1</v>
      </c>
      <c r="M25">
        <f ca="1">COUNTIFS(INDIRECT("Table1[Beginn]"),"&lt;="&amp;M$1,INDIRECT("Table1[Ende]"),"&gt;="&amp;M$1,INDIRECT("Table1[Obergruppe ATC-Code]"),Tabelle3!$A25)</f>
        <v>0</v>
      </c>
      <c r="N25">
        <f ca="1">COUNTIFS(INDIRECT("Table1[Beginn]"),"&lt;="&amp;N$1,INDIRECT("Table1[Ende]"),"&gt;="&amp;N$1,INDIRECT("Table1[Obergruppe ATC-Code]"),Tabelle3!$A25)</f>
        <v>0</v>
      </c>
      <c r="O25">
        <f ca="1">COUNTIFS(INDIRECT("Table1[Beginn]"),"&lt;="&amp;O$1,INDIRECT("Table1[Ende]"),"&gt;="&amp;O$1,INDIRECT("Table1[Obergruppe ATC-Code]"),Tabelle3!$A25)</f>
        <v>0</v>
      </c>
      <c r="P25">
        <f ca="1">COUNTIFS(INDIRECT("Table1[Beginn]"),"&lt;="&amp;P$1,INDIRECT("Table1[Ende]"),"&gt;="&amp;P$1,INDIRECT("Table1[Obergruppe ATC-Code]"),Tabelle3!$A25)</f>
        <v>0</v>
      </c>
      <c r="Q25">
        <f ca="1">COUNTIFS(INDIRECT("Table1[Beginn]"),"&lt;="&amp;Q$1,INDIRECT("Table1[Ende]"),"&gt;="&amp;Q$1,INDIRECT("Table1[Obergruppe ATC-Code]"),Tabelle3!$A25)</f>
        <v>0</v>
      </c>
      <c r="R25">
        <f ca="1">COUNTIFS(INDIRECT("Table1[Beginn]"),"&lt;="&amp;R$1,INDIRECT("Table1[Ende]"),"&gt;="&amp;R$1,INDIRECT("Table1[Obergruppe ATC-Code]"),Tabelle3!$A25)</f>
        <v>0</v>
      </c>
      <c r="S25">
        <f ca="1">COUNTIFS(INDIRECT("Table1[Beginn]"),"&lt;="&amp;S$1,INDIRECT("Table1[Ende]"),"&gt;="&amp;S$1,INDIRECT("Table1[Obergruppe ATC-Code]"),Tabelle3!$A25)</f>
        <v>0</v>
      </c>
      <c r="T25">
        <f ca="1">COUNTIFS(INDIRECT("Table1[Beginn]"),"&lt;="&amp;T$1,INDIRECT("Table1[Ende]"),"&gt;="&amp;T$1,INDIRECT("Table1[Obergruppe ATC-Code]"),Tabelle3!$A25)</f>
        <v>0</v>
      </c>
      <c r="U25">
        <f ca="1">COUNTIFS(INDIRECT("Table1[Beginn]"),"&lt;="&amp;U$1,INDIRECT("Table1[Ende]"),"&gt;="&amp;U$1,INDIRECT("Table1[Obergruppe ATC-Code]"),Tabelle3!$A25)</f>
        <v>0</v>
      </c>
      <c r="V25">
        <f ca="1">COUNTIFS(INDIRECT("Table1[Beginn]"),"&lt;="&amp;V$1,INDIRECT("Table1[Ende]"),"&gt;="&amp;V$1,INDIRECT("Table1[Obergruppe ATC-Code]"),Tabelle3!$A25)</f>
        <v>0</v>
      </c>
      <c r="W25">
        <f ca="1">COUNTIFS(INDIRECT("Table1[Beginn]"),"&lt;="&amp;W$1,INDIRECT("Table1[Ende]"),"&gt;="&amp;W$1,INDIRECT("Table1[Obergruppe ATC-Code]"),Tabelle3!$A25)</f>
        <v>0</v>
      </c>
      <c r="X25">
        <f ca="1">COUNTIFS(INDIRECT("Table1[Beginn]"),"&lt;="&amp;X$1,INDIRECT("Table1[Ende]"),"&gt;="&amp;X$1,INDIRECT("Table1[Obergruppe ATC-Code]"),Tabelle3!$A25)</f>
        <v>0</v>
      </c>
      <c r="Y25">
        <f ca="1">COUNTIFS(INDIRECT("Table1[Beginn]"),"&lt;="&amp;Y$1,INDIRECT("Table1[Ende]"),"&gt;="&amp;Y$1,INDIRECT("Table1[Obergruppe ATC-Code]"),Tabelle3!$A25)</f>
        <v>0</v>
      </c>
      <c r="Z25">
        <f ca="1">COUNTIFS(INDIRECT("Table1[Beginn]"),"&lt;="&amp;Z$1,INDIRECT("Table1[Ende]"),"&gt;="&amp;Z$1,INDIRECT("Table1[Obergruppe ATC-Code]"),Tabelle3!$A25)</f>
        <v>0</v>
      </c>
      <c r="AA25">
        <f ca="1">COUNTIFS(INDIRECT("Table1[Beginn]"),"&lt;="&amp;AA$1,INDIRECT("Table1[Ende]"),"&gt;="&amp;AA$1,INDIRECT("Table1[Obergruppe ATC-Code]"),Tabelle3!$A25)</f>
        <v>0</v>
      </c>
      <c r="AB25">
        <f ca="1">COUNTIFS(INDIRECT("Table1[Beginn]"),"&lt;="&amp;AB$1,INDIRECT("Table1[Ende]"),"&gt;="&amp;AB$1,INDIRECT("Table1[Obergruppe ATC-Code]"),Tabelle3!$A25)</f>
        <v>2</v>
      </c>
      <c r="AC25">
        <f ca="1">COUNTIFS(INDIRECT("Table1[Beginn]"),"&lt;="&amp;AC$1,INDIRECT("Table1[Ende]"),"&gt;="&amp;AC$1,INDIRECT("Table1[Obergruppe ATC-Code]"),Tabelle3!$A25)</f>
        <v>1</v>
      </c>
      <c r="AD25">
        <f ca="1">COUNTIFS(INDIRECT("Table1[Beginn]"),"&lt;="&amp;AD$1,INDIRECT("Table1[Ende]"),"&gt;="&amp;AD$1,INDIRECT("Table1[Obergruppe ATC-Code]"),Tabelle3!$A25)</f>
        <v>3</v>
      </c>
      <c r="AE25">
        <f ca="1">COUNTIFS(INDIRECT("Table1[Beginn]"),"&lt;="&amp;AE$1,INDIRECT("Table1[Ende]"),"&gt;="&amp;AE$1,INDIRECT("Table1[Obergruppe ATC-Code]"),Tabelle3!$A25)</f>
        <v>3</v>
      </c>
      <c r="AF25">
        <f ca="1">COUNTIFS(INDIRECT("Table1[Beginn]"),"&lt;="&amp;AF$1,INDIRECT("Table1[Ende]"),"&gt;="&amp;AF$1,INDIRECT("Table1[Obergruppe ATC-Code]"),Tabelle3!$A25)</f>
        <v>3</v>
      </c>
      <c r="AG25">
        <f ca="1">COUNTIFS(INDIRECT("Table1[Beginn]"),"&lt;="&amp;AG$1,INDIRECT("Table1[Ende]"),"&gt;="&amp;AG$1,INDIRECT("Table1[Obergruppe ATC-Code]"),Tabelle3!$A25)</f>
        <v>1</v>
      </c>
      <c r="AH25">
        <f ca="1">COUNTIFS(INDIRECT("Table1[Beginn]"),"&lt;="&amp;AH$1,INDIRECT("Table1[Ende]"),"&gt;="&amp;AH$1,INDIRECT("Table1[Obergruppe ATC-Code]"),Tabelle3!$A25)</f>
        <v>1</v>
      </c>
      <c r="AI25">
        <f ca="1">COUNTIFS(INDIRECT("Table1[Beginn]"),"&lt;="&amp;AI$1,INDIRECT("Table1[Ende]"),"&gt;="&amp;AI$1,INDIRECT("Table1[Obergruppe ATC-Code]"),Tabelle3!$A25)</f>
        <v>1</v>
      </c>
      <c r="AJ25">
        <f ca="1">COUNTIFS(INDIRECT("Table1[Beginn]"),"&lt;="&amp;AJ$1,INDIRECT("Table1[Ende]"),"&gt;="&amp;AJ$1,INDIRECT("Table1[Obergruppe ATC-Code]"),Tabelle3!$A25)</f>
        <v>1</v>
      </c>
      <c r="AK25">
        <f ca="1">COUNTIFS(INDIRECT("Table1[Beginn]"),"&lt;="&amp;AK$1,INDIRECT("Table1[Ende]"),"&gt;="&amp;AK$1,INDIRECT("Table1[Obergruppe ATC-Code]"),Tabelle3!$A25)</f>
        <v>1</v>
      </c>
      <c r="AL25">
        <f ca="1">COUNTIFS(INDIRECT("Table1[Beginn]"),"&lt;="&amp;AL$1,INDIRECT("Table1[Ende]"),"&gt;="&amp;AL$1,INDIRECT("Table1[Obergruppe ATC-Code]"),Tabelle3!$A25)</f>
        <v>1</v>
      </c>
      <c r="AM25">
        <f ca="1">COUNTIFS(INDIRECT("Table1[Beginn]"),"&lt;="&amp;AM$1,INDIRECT("Table1[Ende]"),"&gt;="&amp;AM$1,INDIRECT("Table1[Obergruppe ATC-Code]"),Tabelle3!$A25)</f>
        <v>3</v>
      </c>
      <c r="AN25">
        <f ca="1">COUNTIFS(INDIRECT("Table1[Beginn]"),"&lt;="&amp;AN$1,INDIRECT("Table1[Ende]"),"&gt;="&amp;AN$1,INDIRECT("Table1[Obergruppe ATC-Code]"),Tabelle3!$A25)</f>
        <v>3</v>
      </c>
      <c r="AO25">
        <f ca="1">COUNTIFS(INDIRECT("Table1[Beginn]"),"&lt;="&amp;AO$1,INDIRECT("Table1[Ende]"),"&gt;="&amp;AO$1,INDIRECT("Table1[Obergruppe ATC-Code]"),Tabelle3!$A25)</f>
        <v>2</v>
      </c>
      <c r="AP25">
        <f ca="1">COUNTIFS(INDIRECT("Table1[Beginn]"),"&lt;="&amp;AP$1,INDIRECT("Table1[Ende]"),"&gt;="&amp;AP$1,INDIRECT("Table1[Obergruppe ATC-Code]"),Tabelle3!$A25)</f>
        <v>1</v>
      </c>
      <c r="AQ25">
        <f ca="1">COUNTIFS(INDIRECT("Table1[Beginn]"),"&lt;="&amp;AQ$1,INDIRECT("Table1[Ende]"),"&gt;="&amp;AQ$1,INDIRECT("Table1[Obergruppe ATC-Code]"),Tabelle3!$A25)</f>
        <v>1</v>
      </c>
      <c r="AR25">
        <f ca="1">COUNTIFS(INDIRECT("Table1[Beginn]"),"&lt;="&amp;AR$1,INDIRECT("Table1[Ende]"),"&gt;="&amp;AR$1,INDIRECT("Table1[Obergruppe ATC-Code]"),Tabelle3!$A25)</f>
        <v>1</v>
      </c>
      <c r="AS25">
        <f ca="1">COUNTIFS(INDIRECT("Table1[Beginn]"),"&lt;="&amp;AS$1,INDIRECT("Table1[Ende]"),"&gt;="&amp;AS$1,INDIRECT("Table1[Obergruppe ATC-Code]"),Tabelle3!$A25)</f>
        <v>1</v>
      </c>
      <c r="AT25">
        <f ca="1">COUNTIFS(INDIRECT("Table1[Beginn]"),"&lt;="&amp;AT$1,INDIRECT("Table1[Ende]"),"&gt;="&amp;AT$1,INDIRECT("Table1[Obergruppe ATC-Code]"),Tabelle3!$A25)</f>
        <v>1</v>
      </c>
      <c r="AU25">
        <f ca="1">COUNTIFS(INDIRECT("Table1[Beginn]"),"&lt;="&amp;AU$1,INDIRECT("Table1[Ende]"),"&gt;="&amp;AU$1,INDIRECT("Table1[Obergruppe ATC-Code]"),Tabelle3!$A25)</f>
        <v>1</v>
      </c>
      <c r="AV25">
        <f ca="1">COUNTIFS(INDIRECT("Table1[Beginn]"),"&lt;="&amp;AV$1,INDIRECT("Table1[Ende]"),"&gt;="&amp;AV$1,INDIRECT("Table1[Obergruppe ATC-Code]"),Tabelle3!$A25)</f>
        <v>1</v>
      </c>
      <c r="AW25">
        <f ca="1">COUNTIFS(INDIRECT("Table1[Beginn]"),"&lt;="&amp;AW$1,INDIRECT("Table1[Ende]"),"&gt;="&amp;AW$1,INDIRECT("Table1[Obergruppe ATC-Code]"),Tabelle3!$A25)</f>
        <v>1</v>
      </c>
      <c r="AX25">
        <f ca="1">COUNTIFS(INDIRECT("Table1[Beginn]"),"&lt;="&amp;AX$1,INDIRECT("Table1[Ende]"),"&gt;="&amp;AX$1,INDIRECT("Table1[Obergruppe ATC-Code]"),Tabelle3!$A25)</f>
        <v>0</v>
      </c>
      <c r="AY25">
        <f ca="1">COUNTIFS(INDIRECT("Table1[Beginn]"),"&lt;="&amp;AY$1,INDIRECT("Table1[Ende]"),"&gt;="&amp;AY$1,INDIRECT("Table1[Obergruppe ATC-Code]"),Tabelle3!$A25)</f>
        <v>1</v>
      </c>
      <c r="AZ25">
        <f ca="1">COUNTIFS(INDIRECT("Table1[Beginn]"),"&lt;="&amp;AZ$1,INDIRECT("Table1[Ende]"),"&gt;="&amp;AZ$1,INDIRECT("Table1[Obergruppe ATC-Code]"),Tabelle3!$A25)</f>
        <v>1</v>
      </c>
      <c r="BA25">
        <f ca="1">COUNTIFS(INDIRECT("Table1[Beginn]"),"&lt;="&amp;BA$1,INDIRECT("Table1[Ende]"),"&gt;="&amp;BA$1,INDIRECT("Table1[Obergruppe ATC-Code]"),Tabelle3!$A25)</f>
        <v>1</v>
      </c>
      <c r="BB25">
        <f ca="1">COUNTIFS(INDIRECT("Table1[Beginn]"),"&lt;="&amp;BB$1,INDIRECT("Table1[Ende]"),"&gt;="&amp;BB$1,INDIRECT("Table1[Obergruppe ATC-Code]"),Tabelle3!$A25)</f>
        <v>1</v>
      </c>
      <c r="BC25">
        <f ca="1">COUNTIFS(INDIRECT("Table1[Beginn]"),"&lt;="&amp;BC$1,INDIRECT("Table1[Ende]"),"&gt;="&amp;BC$1,INDIRECT("Table1[Obergruppe ATC-Code]"),Tabelle3!$A25)</f>
        <v>1</v>
      </c>
      <c r="BD25">
        <f ca="1">COUNTIFS(INDIRECT("Table1[Beginn]"),"&lt;="&amp;BD$1,INDIRECT("Table1[Ende]"),"&gt;="&amp;BD$1,INDIRECT("Table1[Obergruppe ATC-Code]"),Tabelle3!$A25)</f>
        <v>1</v>
      </c>
      <c r="BE25">
        <f ca="1">COUNTIFS(INDIRECT("Table1[Beginn]"),"&lt;="&amp;BE$1,INDIRECT("Table1[Ende]"),"&gt;="&amp;BE$1,INDIRECT("Table1[Obergruppe ATC-Code]"),Tabelle3!$A25)</f>
        <v>1</v>
      </c>
      <c r="BF25">
        <f ca="1">COUNTIFS(INDIRECT("Table1[Beginn]"),"&lt;="&amp;BF$1,INDIRECT("Table1[Ende]"),"&gt;="&amp;BF$1,INDIRECT("Table1[Obergruppe ATC-Code]"),Tabelle3!$A25)</f>
        <v>1</v>
      </c>
      <c r="BG25">
        <f ca="1">COUNTIFS(INDIRECT("Table1[Beginn]"),"&lt;="&amp;BG$1,INDIRECT("Table1[Ende]"),"&gt;="&amp;BG$1,INDIRECT("Table1[Obergruppe ATC-Code]"),Tabelle3!$A25)</f>
        <v>1</v>
      </c>
      <c r="BH25">
        <f ca="1">COUNTIFS(INDIRECT("Table1[Beginn]"),"&lt;="&amp;BH$1,INDIRECT("Table1[Ende]"),"&gt;="&amp;BH$1,INDIRECT("Table1[Obergruppe ATC-Code]"),Tabelle3!$A25)</f>
        <v>1</v>
      </c>
      <c r="BI25">
        <f ca="1">COUNTIFS(INDIRECT("Table1[Beginn]"),"&lt;="&amp;BI$1,INDIRECT("Table1[Ende]"),"&gt;="&amp;BI$1,INDIRECT("Table1[Obergruppe ATC-Code]"),Tabelle3!$A25)</f>
        <v>1</v>
      </c>
      <c r="BJ25">
        <f ca="1">COUNTIFS(INDIRECT("Table1[Beginn]"),"&lt;="&amp;BJ$1,INDIRECT("Table1[Ende]"),"&gt;="&amp;BJ$1,INDIRECT("Table1[Obergruppe ATC-Code]"),Tabelle3!$A25)</f>
        <v>1</v>
      </c>
      <c r="BK25">
        <f ca="1">COUNTIFS(INDIRECT("Table1[Beginn]"),"&lt;="&amp;BK$1,INDIRECT("Table1[Ende]"),"&gt;="&amp;BK$1,INDIRECT("Table1[Obergruppe ATC-Code]"),Tabelle3!$A25)</f>
        <v>1</v>
      </c>
      <c r="BL25">
        <f ca="1">COUNTIFS(INDIRECT("Table1[Beginn]"),"&lt;="&amp;BL$1,INDIRECT("Table1[Ende]"),"&gt;="&amp;BL$1,INDIRECT("Table1[Obergruppe ATC-Code]"),Tabelle3!$A25)</f>
        <v>1</v>
      </c>
      <c r="BM25">
        <f ca="1">COUNTIFS(INDIRECT("Table1[Beginn]"),"&lt;="&amp;BM$1,INDIRECT("Table1[Ende]"),"&gt;="&amp;BM$1,INDIRECT("Table1[Obergruppe ATC-Code]"),Tabelle3!$A25)</f>
        <v>1</v>
      </c>
      <c r="BN25">
        <f ca="1">COUNTIFS(INDIRECT("Table1[Beginn]"),"&lt;="&amp;BN$1,INDIRECT("Table1[Ende]"),"&gt;="&amp;BN$1,INDIRECT("Table1[Obergruppe ATC-Code]"),Tabelle3!$A25)</f>
        <v>1</v>
      </c>
      <c r="BO25">
        <f ca="1">COUNTIFS(INDIRECT("Table1[Beginn]"),"&lt;="&amp;BO$1,INDIRECT("Table1[Ende]"),"&gt;="&amp;BO$1,INDIRECT("Table1[Obergruppe ATC-Code]"),Tabelle3!$A25)</f>
        <v>1</v>
      </c>
      <c r="BP25">
        <f ca="1">COUNTIFS(INDIRECT("Table1[Beginn]"),"&lt;="&amp;BP$1,INDIRECT("Table1[Ende]"),"&gt;="&amp;BP$1,INDIRECT("Table1[Obergruppe ATC-Code]"),Tabelle3!$A25)</f>
        <v>1</v>
      </c>
      <c r="BQ25">
        <f ca="1">COUNTIFS(INDIRECT("Table1[Beginn]"),"&lt;="&amp;BQ$1,INDIRECT("Table1[Ende]"),"&gt;="&amp;BQ$1,INDIRECT("Table1[Obergruppe ATC-Code]"),Tabelle3!$A25)</f>
        <v>2</v>
      </c>
      <c r="BR25">
        <f ca="1">COUNTIFS(INDIRECT("Table1[Beginn]"),"&lt;="&amp;BR$1,INDIRECT("Table1[Ende]"),"&gt;="&amp;BR$1,INDIRECT("Table1[Obergruppe ATC-Code]"),Tabelle3!$A25)</f>
        <v>2</v>
      </c>
      <c r="BS25">
        <f ca="1">COUNTIFS(INDIRECT("Table1[Beginn]"),"&lt;="&amp;BS$1,INDIRECT("Table1[Ende]"),"&gt;="&amp;BS$1,INDIRECT("Table1[Obergruppe ATC-Code]"),Tabelle3!$A25)</f>
        <v>1</v>
      </c>
      <c r="BT25">
        <f ca="1">COUNTIFS(INDIRECT("Table1[Beginn]"),"&lt;="&amp;BT$1,INDIRECT("Table1[Ende]"),"&gt;="&amp;BT$1,INDIRECT("Table1[Obergruppe ATC-Code]"),Tabelle3!$A25)</f>
        <v>2</v>
      </c>
      <c r="BU25">
        <f ca="1">COUNTIFS(INDIRECT("Table1[Beginn]"),"&lt;="&amp;BU$1,INDIRECT("Table1[Ende]"),"&gt;="&amp;BU$1,INDIRECT("Table1[Obergruppe ATC-Code]"),Tabelle3!$A25)</f>
        <v>2</v>
      </c>
      <c r="BV25">
        <f ca="1">COUNTIFS(INDIRECT("Table1[Beginn]"),"&lt;="&amp;BV$1,INDIRECT("Table1[Ende]"),"&gt;="&amp;BV$1,INDIRECT("Table1[Obergruppe ATC-Code]"),Tabelle3!$A25)</f>
        <v>2</v>
      </c>
      <c r="BW25">
        <f ca="1">COUNTIFS(INDIRECT("Table1[Beginn]"),"&lt;="&amp;BW$1,INDIRECT("Table1[Ende]"),"&gt;="&amp;BW$1,INDIRECT("Table1[Obergruppe ATC-Code]"),Tabelle3!$A25)</f>
        <v>10</v>
      </c>
      <c r="BX25">
        <f ca="1">COUNTIFS(INDIRECT("Table1[Beginn]"),"&lt;="&amp;BX$1,INDIRECT("Table1[Ende]"),"&gt;="&amp;BX$1,INDIRECT("Table1[Obergruppe ATC-Code]"),Tabelle3!$A25)</f>
        <v>10</v>
      </c>
      <c r="BY25">
        <f ca="1">COUNTIFS(INDIRECT("Table1[Beginn]"),"&lt;="&amp;BY$1,INDIRECT("Table1[Ende]"),"&gt;="&amp;BY$1,INDIRECT("Table1[Obergruppe ATC-Code]"),Tabelle3!$A25)</f>
        <v>12</v>
      </c>
      <c r="BZ25">
        <f ca="1">COUNTIFS(INDIRECT("Table1[Beginn]"),"&lt;="&amp;BZ$1,INDIRECT("Table1[Ende]"),"&gt;="&amp;BZ$1,INDIRECT("Table1[Obergruppe ATC-Code]"),Tabelle3!$A25)</f>
        <v>9</v>
      </c>
      <c r="CA25">
        <f ca="1">COUNTIFS(INDIRECT("Table1[Beginn]"),"&lt;="&amp;CA$1,INDIRECT("Table1[Ende]"),"&gt;="&amp;CA$1,INDIRECT("Table1[Obergruppe ATC-Code]"),Tabelle3!$A25)</f>
        <v>9</v>
      </c>
      <c r="CB25">
        <f ca="1">COUNTIFS(INDIRECT("Table1[Beginn]"),"&lt;="&amp;CB$1,INDIRECT("Table1[Ende]"),"&gt;="&amp;CB$1,INDIRECT("Table1[Obergruppe ATC-Code]"),Tabelle3!$A25)</f>
        <v>7</v>
      </c>
      <c r="CC25">
        <f ca="1">COUNTIFS(INDIRECT("Table1[Beginn]"),"&lt;="&amp;CC$1,INDIRECT("Table1[Ende]"),"&gt;="&amp;CC$1,INDIRECT("Table1[Obergruppe ATC-Code]"),Tabelle3!$A25)</f>
        <v>2</v>
      </c>
      <c r="CD25">
        <f ca="1">COUNTIFS(INDIRECT("Table1[Beginn]"),"&lt;="&amp;CD$1,INDIRECT("Table1[Ende]"),"&gt;="&amp;CD$1,INDIRECT("Table1[Obergruppe ATC-Code]"),Tabelle3!$A25)</f>
        <v>2</v>
      </c>
      <c r="CE25">
        <f ca="1">COUNTIFS(INDIRECT("Table1[Beginn]"),"&lt;="&amp;CE$1,INDIRECT("Table1[Ende]"),"&gt;="&amp;CE$1,INDIRECT("Table1[Obergruppe ATC-Code]"),Tabelle3!$A25)</f>
        <v>1</v>
      </c>
      <c r="CF25">
        <f ca="1">COUNTIFS(INDIRECT("Table1[Beginn]"),"&lt;="&amp;CF$1,INDIRECT("Table1[Ende]"),"&gt;="&amp;CF$1,INDIRECT("Table1[Obergruppe ATC-Code]"),Tabelle3!$A25)</f>
        <v>1</v>
      </c>
      <c r="CG25">
        <f ca="1">COUNTIFS(INDIRECT("Table1[Beginn]"),"&lt;="&amp;CG$1,INDIRECT("Table1[Ende]"),"&gt;="&amp;CG$1,INDIRECT("Table1[Obergruppe ATC-Code]"),Tabelle3!$A25)</f>
        <v>0</v>
      </c>
      <c r="CH25">
        <f ca="1">COUNTIFS(INDIRECT("Table1[Beginn]"),"&lt;="&amp;CH$1,INDIRECT("Table1[Ende]"),"&gt;="&amp;CH$1,INDIRECT("Table1[Obergruppe ATC-Code]"),Tabelle3!$A25)</f>
        <v>0</v>
      </c>
      <c r="CI25">
        <f ca="1">COUNTIFS(INDIRECT("Table1[Beginn]"),"&lt;="&amp;CI$1,INDIRECT("Table1[Ende]"),"&gt;="&amp;CI$1,INDIRECT("Table1[Obergruppe ATC-Code]"),Tabelle3!$A25)</f>
        <v>0</v>
      </c>
      <c r="CJ25">
        <f ca="1">COUNTIFS(INDIRECT("Table1[Beginn]"),"&lt;="&amp;CJ$1,INDIRECT("Table1[Ende]"),"&gt;="&amp;CJ$1,INDIRECT("Table1[Obergruppe ATC-Code]"),Tabelle3!$A25)</f>
        <v>0</v>
      </c>
      <c r="CK25">
        <f ca="1">COUNTIFS(INDIRECT("Table1[Beginn]"),"&lt;="&amp;CK$1,INDIRECT("Table1[Ende]"),"&gt;="&amp;CK$1,INDIRECT("Table1[Obergruppe ATC-Code]"),Tabelle3!$A25)</f>
        <v>0</v>
      </c>
      <c r="CL25">
        <f ca="1">COUNTIFS(INDIRECT("Table1[Beginn]"),"&lt;="&amp;CL$1,INDIRECT("Table1[Ende]"),"&gt;="&amp;CL$1,INDIRECT("Table1[Obergruppe ATC-Code]"),Tabelle3!$A25)</f>
        <v>0</v>
      </c>
      <c r="CM25">
        <f ca="1">COUNTIFS(INDIRECT("Table1[Beginn]"),"&lt;="&amp;CM$1,INDIRECT("Table1[Ende]"),"&gt;="&amp;CM$1,INDIRECT("Table1[Obergruppe ATC-Code]"),Tabelle3!$A25)</f>
        <v>0</v>
      </c>
      <c r="CN25">
        <f ca="1">COUNTIFS(INDIRECT("Table1[Beginn]"),"&lt;="&amp;CN$1,INDIRECT("Table1[Ende]"),"&gt;="&amp;CN$1,INDIRECT("Table1[Obergruppe ATC-Code]"),Tabelle3!$A25)</f>
        <v>0</v>
      </c>
      <c r="CO25">
        <f ca="1">COUNTIFS(INDIRECT("Table1[Beginn]"),"&lt;="&amp;CO$1,INDIRECT("Table1[Ende]"),"&gt;="&amp;CO$1,INDIRECT("Table1[Obergruppe ATC-Code]"),Tabelle3!$A25)</f>
        <v>0</v>
      </c>
      <c r="CP25">
        <f ca="1">COUNTIFS(INDIRECT("Table1[Beginn]"),"&lt;="&amp;CP$1,INDIRECT("Table1[Ende]"),"&gt;="&amp;CP$1,INDIRECT("Table1[Obergruppe ATC-Code]"),Tabelle3!$A25)</f>
        <v>0</v>
      </c>
      <c r="CQ25">
        <f ca="1">COUNTIFS(INDIRECT("Table1[Beginn]"),"&lt;="&amp;CQ$1,INDIRECT("Table1[Ende]"),"&gt;="&amp;CQ$1,INDIRECT("Table1[Obergruppe ATC-Code]"),Tabelle3!$A25)</f>
        <v>0</v>
      </c>
      <c r="CR25">
        <f ca="1">COUNTIFS(INDIRECT("Table1[Beginn]"),"&lt;="&amp;CR$1,INDIRECT("Table1[Ende]"),"&gt;="&amp;CR$1,INDIRECT("Table1[Obergruppe ATC-Code]"),Tabelle3!$A25)</f>
        <v>0</v>
      </c>
    </row>
    <row r="26" spans="1:96" ht="18">
      <c r="A26" s="7" t="s">
        <v>6820</v>
      </c>
      <c r="B26" s="8" t="s">
        <v>6821</v>
      </c>
      <c r="C26">
        <f ca="1">COUNTIFS(INDIRECT("Table1[Beginn]"),"&lt;="&amp;C$1,INDIRECT("Table1[Ende]"),"&gt;="&amp;C$1,INDIRECT("Table1[Obergruppe ATC-Code]"),Tabelle3!$A26)</f>
        <v>0</v>
      </c>
      <c r="D26">
        <f ca="1">COUNTIFS(INDIRECT("Table1[Beginn]"),"&lt;="&amp;D$1,INDIRECT("Table1[Ende]"),"&gt;="&amp;D$1,INDIRECT("Table1[Obergruppe ATC-Code]"),Tabelle3!$A26)</f>
        <v>0</v>
      </c>
      <c r="E26">
        <f ca="1">COUNTIFS(INDIRECT("Table1[Beginn]"),"&lt;="&amp;E$1,INDIRECT("Table1[Ende]"),"&gt;="&amp;E$1,INDIRECT("Table1[Obergruppe ATC-Code]"),Tabelle3!$A26)</f>
        <v>0</v>
      </c>
      <c r="F26">
        <f ca="1">COUNTIFS(INDIRECT("Table1[Beginn]"),"&lt;="&amp;F$1,INDIRECT("Table1[Ende]"),"&gt;="&amp;F$1,INDIRECT("Table1[Obergruppe ATC-Code]"),Tabelle3!$A26)</f>
        <v>0</v>
      </c>
      <c r="G26">
        <f ca="1">COUNTIFS(INDIRECT("Table1[Beginn]"),"&lt;="&amp;G$1,INDIRECT("Table1[Ende]"),"&gt;="&amp;G$1,INDIRECT("Table1[Obergruppe ATC-Code]"),Tabelle3!$A26)</f>
        <v>0</v>
      </c>
      <c r="H26">
        <f ca="1">COUNTIFS(INDIRECT("Table1[Beginn]"),"&lt;="&amp;H$1,INDIRECT("Table1[Ende]"),"&gt;="&amp;H$1,INDIRECT("Table1[Obergruppe ATC-Code]"),Tabelle3!$A26)</f>
        <v>0</v>
      </c>
      <c r="I26">
        <f ca="1">COUNTIFS(INDIRECT("Table1[Beginn]"),"&lt;="&amp;I$1,INDIRECT("Table1[Ende]"),"&gt;="&amp;I$1,INDIRECT("Table1[Obergruppe ATC-Code]"),Tabelle3!$A26)</f>
        <v>0</v>
      </c>
      <c r="J26">
        <f ca="1">COUNTIFS(INDIRECT("Table1[Beginn]"),"&lt;="&amp;J$1,INDIRECT("Table1[Ende]"),"&gt;="&amp;J$1,INDIRECT("Table1[Obergruppe ATC-Code]"),Tabelle3!$A26)</f>
        <v>0</v>
      </c>
      <c r="K26">
        <f ca="1">COUNTIFS(INDIRECT("Table1[Beginn]"),"&lt;="&amp;K$1,INDIRECT("Table1[Ende]"),"&gt;="&amp;K$1,INDIRECT("Table1[Obergruppe ATC-Code]"),Tabelle3!$A26)</f>
        <v>0</v>
      </c>
      <c r="L26">
        <f ca="1">COUNTIFS(INDIRECT("Table1[Beginn]"),"&lt;="&amp;L$1,INDIRECT("Table1[Ende]"),"&gt;="&amp;L$1,INDIRECT("Table1[Obergruppe ATC-Code]"),Tabelle3!$A26)</f>
        <v>0</v>
      </c>
      <c r="M26">
        <f ca="1">COUNTIFS(INDIRECT("Table1[Beginn]"),"&lt;="&amp;M$1,INDIRECT("Table1[Ende]"),"&gt;="&amp;M$1,INDIRECT("Table1[Obergruppe ATC-Code]"),Tabelle3!$A26)</f>
        <v>0</v>
      </c>
      <c r="N26">
        <f ca="1">COUNTIFS(INDIRECT("Table1[Beginn]"),"&lt;="&amp;N$1,INDIRECT("Table1[Ende]"),"&gt;="&amp;N$1,INDIRECT("Table1[Obergruppe ATC-Code]"),Tabelle3!$A26)</f>
        <v>0</v>
      </c>
      <c r="O26">
        <f ca="1">COUNTIFS(INDIRECT("Table1[Beginn]"),"&lt;="&amp;O$1,INDIRECT("Table1[Ende]"),"&gt;="&amp;O$1,INDIRECT("Table1[Obergruppe ATC-Code]"),Tabelle3!$A26)</f>
        <v>0</v>
      </c>
      <c r="P26">
        <f ca="1">COUNTIFS(INDIRECT("Table1[Beginn]"),"&lt;="&amp;P$1,INDIRECT("Table1[Ende]"),"&gt;="&amp;P$1,INDIRECT("Table1[Obergruppe ATC-Code]"),Tabelle3!$A26)</f>
        <v>0</v>
      </c>
      <c r="Q26">
        <f ca="1">COUNTIFS(INDIRECT("Table1[Beginn]"),"&lt;="&amp;Q$1,INDIRECT("Table1[Ende]"),"&gt;="&amp;Q$1,INDIRECT("Table1[Obergruppe ATC-Code]"),Tabelle3!$A26)</f>
        <v>0</v>
      </c>
      <c r="R26">
        <f ca="1">COUNTIFS(INDIRECT("Table1[Beginn]"),"&lt;="&amp;R$1,INDIRECT("Table1[Ende]"),"&gt;="&amp;R$1,INDIRECT("Table1[Obergruppe ATC-Code]"),Tabelle3!$A26)</f>
        <v>0</v>
      </c>
      <c r="S26">
        <f ca="1">COUNTIFS(INDIRECT("Table1[Beginn]"),"&lt;="&amp;S$1,INDIRECT("Table1[Ende]"),"&gt;="&amp;S$1,INDIRECT("Table1[Obergruppe ATC-Code]"),Tabelle3!$A26)</f>
        <v>0</v>
      </c>
      <c r="T26">
        <f ca="1">COUNTIFS(INDIRECT("Table1[Beginn]"),"&lt;="&amp;T$1,INDIRECT("Table1[Ende]"),"&gt;="&amp;T$1,INDIRECT("Table1[Obergruppe ATC-Code]"),Tabelle3!$A26)</f>
        <v>0</v>
      </c>
      <c r="U26">
        <f ca="1">COUNTIFS(INDIRECT("Table1[Beginn]"),"&lt;="&amp;U$1,INDIRECT("Table1[Ende]"),"&gt;="&amp;U$1,INDIRECT("Table1[Obergruppe ATC-Code]"),Tabelle3!$A26)</f>
        <v>0</v>
      </c>
      <c r="V26">
        <f ca="1">COUNTIFS(INDIRECT("Table1[Beginn]"),"&lt;="&amp;V$1,INDIRECT("Table1[Ende]"),"&gt;="&amp;V$1,INDIRECT("Table1[Obergruppe ATC-Code]"),Tabelle3!$A26)</f>
        <v>0</v>
      </c>
      <c r="W26">
        <f ca="1">COUNTIFS(INDIRECT("Table1[Beginn]"),"&lt;="&amp;W$1,INDIRECT("Table1[Ende]"),"&gt;="&amp;W$1,INDIRECT("Table1[Obergruppe ATC-Code]"),Tabelle3!$A26)</f>
        <v>0</v>
      </c>
      <c r="X26">
        <f ca="1">COUNTIFS(INDIRECT("Table1[Beginn]"),"&lt;="&amp;X$1,INDIRECT("Table1[Ende]"),"&gt;="&amp;X$1,INDIRECT("Table1[Obergruppe ATC-Code]"),Tabelle3!$A26)</f>
        <v>0</v>
      </c>
      <c r="Y26">
        <f ca="1">COUNTIFS(INDIRECT("Table1[Beginn]"),"&lt;="&amp;Y$1,INDIRECT("Table1[Ende]"),"&gt;="&amp;Y$1,INDIRECT("Table1[Obergruppe ATC-Code]"),Tabelle3!$A26)</f>
        <v>0</v>
      </c>
      <c r="Z26">
        <f ca="1">COUNTIFS(INDIRECT("Table1[Beginn]"),"&lt;="&amp;Z$1,INDIRECT("Table1[Ende]"),"&gt;="&amp;Z$1,INDIRECT("Table1[Obergruppe ATC-Code]"),Tabelle3!$A26)</f>
        <v>0</v>
      </c>
      <c r="AA26">
        <f ca="1">COUNTIFS(INDIRECT("Table1[Beginn]"),"&lt;="&amp;AA$1,INDIRECT("Table1[Ende]"),"&gt;="&amp;AA$1,INDIRECT("Table1[Obergruppe ATC-Code]"),Tabelle3!$A26)</f>
        <v>0</v>
      </c>
      <c r="AB26">
        <f ca="1">COUNTIFS(INDIRECT("Table1[Beginn]"),"&lt;="&amp;AB$1,INDIRECT("Table1[Ende]"),"&gt;="&amp;AB$1,INDIRECT("Table1[Obergruppe ATC-Code]"),Tabelle3!$A26)</f>
        <v>0</v>
      </c>
      <c r="AC26">
        <f ca="1">COUNTIFS(INDIRECT("Table1[Beginn]"),"&lt;="&amp;AC$1,INDIRECT("Table1[Ende]"),"&gt;="&amp;AC$1,INDIRECT("Table1[Obergruppe ATC-Code]"),Tabelle3!$A26)</f>
        <v>0</v>
      </c>
      <c r="AD26">
        <f ca="1">COUNTIFS(INDIRECT("Table1[Beginn]"),"&lt;="&amp;AD$1,INDIRECT("Table1[Ende]"),"&gt;="&amp;AD$1,INDIRECT("Table1[Obergruppe ATC-Code]"),Tabelle3!$A26)</f>
        <v>0</v>
      </c>
      <c r="AE26">
        <f ca="1">COUNTIFS(INDIRECT("Table1[Beginn]"),"&lt;="&amp;AE$1,INDIRECT("Table1[Ende]"),"&gt;="&amp;AE$1,INDIRECT("Table1[Obergruppe ATC-Code]"),Tabelle3!$A26)</f>
        <v>0</v>
      </c>
      <c r="AF26">
        <f ca="1">COUNTIFS(INDIRECT("Table1[Beginn]"),"&lt;="&amp;AF$1,INDIRECT("Table1[Ende]"),"&gt;="&amp;AF$1,INDIRECT("Table1[Obergruppe ATC-Code]"),Tabelle3!$A26)</f>
        <v>0</v>
      </c>
      <c r="AG26">
        <f ca="1">COUNTIFS(INDIRECT("Table1[Beginn]"),"&lt;="&amp;AG$1,INDIRECT("Table1[Ende]"),"&gt;="&amp;AG$1,INDIRECT("Table1[Obergruppe ATC-Code]"),Tabelle3!$A26)</f>
        <v>0</v>
      </c>
      <c r="AH26">
        <f ca="1">COUNTIFS(INDIRECT("Table1[Beginn]"),"&lt;="&amp;AH$1,INDIRECT("Table1[Ende]"),"&gt;="&amp;AH$1,INDIRECT("Table1[Obergruppe ATC-Code]"),Tabelle3!$A26)</f>
        <v>0</v>
      </c>
      <c r="AI26">
        <f ca="1">COUNTIFS(INDIRECT("Table1[Beginn]"),"&lt;="&amp;AI$1,INDIRECT("Table1[Ende]"),"&gt;="&amp;AI$1,INDIRECT("Table1[Obergruppe ATC-Code]"),Tabelle3!$A26)</f>
        <v>0</v>
      </c>
      <c r="AJ26">
        <f ca="1">COUNTIFS(INDIRECT("Table1[Beginn]"),"&lt;="&amp;AJ$1,INDIRECT("Table1[Ende]"),"&gt;="&amp;AJ$1,INDIRECT("Table1[Obergruppe ATC-Code]"),Tabelle3!$A26)</f>
        <v>0</v>
      </c>
      <c r="AK26">
        <f ca="1">COUNTIFS(INDIRECT("Table1[Beginn]"),"&lt;="&amp;AK$1,INDIRECT("Table1[Ende]"),"&gt;="&amp;AK$1,INDIRECT("Table1[Obergruppe ATC-Code]"),Tabelle3!$A26)</f>
        <v>0</v>
      </c>
      <c r="AL26">
        <f ca="1">COUNTIFS(INDIRECT("Table1[Beginn]"),"&lt;="&amp;AL$1,INDIRECT("Table1[Ende]"),"&gt;="&amp;AL$1,INDIRECT("Table1[Obergruppe ATC-Code]"),Tabelle3!$A26)</f>
        <v>0</v>
      </c>
      <c r="AM26">
        <f ca="1">COUNTIFS(INDIRECT("Table1[Beginn]"),"&lt;="&amp;AM$1,INDIRECT("Table1[Ende]"),"&gt;="&amp;AM$1,INDIRECT("Table1[Obergruppe ATC-Code]"),Tabelle3!$A26)</f>
        <v>0</v>
      </c>
      <c r="AN26">
        <f ca="1">COUNTIFS(INDIRECT("Table1[Beginn]"),"&lt;="&amp;AN$1,INDIRECT("Table1[Ende]"),"&gt;="&amp;AN$1,INDIRECT("Table1[Obergruppe ATC-Code]"),Tabelle3!$A26)</f>
        <v>0</v>
      </c>
      <c r="AO26">
        <f ca="1">COUNTIFS(INDIRECT("Table1[Beginn]"),"&lt;="&amp;AO$1,INDIRECT("Table1[Ende]"),"&gt;="&amp;AO$1,INDIRECT("Table1[Obergruppe ATC-Code]"),Tabelle3!$A26)</f>
        <v>0</v>
      </c>
      <c r="AP26">
        <f ca="1">COUNTIFS(INDIRECT("Table1[Beginn]"),"&lt;="&amp;AP$1,INDIRECT("Table1[Ende]"),"&gt;="&amp;AP$1,INDIRECT("Table1[Obergruppe ATC-Code]"),Tabelle3!$A26)</f>
        <v>0</v>
      </c>
      <c r="AQ26">
        <f ca="1">COUNTIFS(INDIRECT("Table1[Beginn]"),"&lt;="&amp;AQ$1,INDIRECT("Table1[Ende]"),"&gt;="&amp;AQ$1,INDIRECT("Table1[Obergruppe ATC-Code]"),Tabelle3!$A26)</f>
        <v>0</v>
      </c>
      <c r="AR26">
        <f ca="1">COUNTIFS(INDIRECT("Table1[Beginn]"),"&lt;="&amp;AR$1,INDIRECT("Table1[Ende]"),"&gt;="&amp;AR$1,INDIRECT("Table1[Obergruppe ATC-Code]"),Tabelle3!$A26)</f>
        <v>0</v>
      </c>
      <c r="AS26">
        <f ca="1">COUNTIFS(INDIRECT("Table1[Beginn]"),"&lt;="&amp;AS$1,INDIRECT("Table1[Ende]"),"&gt;="&amp;AS$1,INDIRECT("Table1[Obergruppe ATC-Code]"),Tabelle3!$A26)</f>
        <v>0</v>
      </c>
      <c r="AT26">
        <f ca="1">COUNTIFS(INDIRECT("Table1[Beginn]"),"&lt;="&amp;AT$1,INDIRECT("Table1[Ende]"),"&gt;="&amp;AT$1,INDIRECT("Table1[Obergruppe ATC-Code]"),Tabelle3!$A26)</f>
        <v>0</v>
      </c>
      <c r="AU26">
        <f ca="1">COUNTIFS(INDIRECT("Table1[Beginn]"),"&lt;="&amp;AU$1,INDIRECT("Table1[Ende]"),"&gt;="&amp;AU$1,INDIRECT("Table1[Obergruppe ATC-Code]"),Tabelle3!$A26)</f>
        <v>0</v>
      </c>
      <c r="AV26">
        <f ca="1">COUNTIFS(INDIRECT("Table1[Beginn]"),"&lt;="&amp;AV$1,INDIRECT("Table1[Ende]"),"&gt;="&amp;AV$1,INDIRECT("Table1[Obergruppe ATC-Code]"),Tabelle3!$A26)</f>
        <v>0</v>
      </c>
      <c r="AW26">
        <f ca="1">COUNTIFS(INDIRECT("Table1[Beginn]"),"&lt;="&amp;AW$1,INDIRECT("Table1[Ende]"),"&gt;="&amp;AW$1,INDIRECT("Table1[Obergruppe ATC-Code]"),Tabelle3!$A26)</f>
        <v>0</v>
      </c>
      <c r="AX26">
        <f ca="1">COUNTIFS(INDIRECT("Table1[Beginn]"),"&lt;="&amp;AX$1,INDIRECT("Table1[Ende]"),"&gt;="&amp;AX$1,INDIRECT("Table1[Obergruppe ATC-Code]"),Tabelle3!$A26)</f>
        <v>0</v>
      </c>
      <c r="AY26">
        <f ca="1">COUNTIFS(INDIRECT("Table1[Beginn]"),"&lt;="&amp;AY$1,INDIRECT("Table1[Ende]"),"&gt;="&amp;AY$1,INDIRECT("Table1[Obergruppe ATC-Code]"),Tabelle3!$A26)</f>
        <v>0</v>
      </c>
      <c r="AZ26">
        <f ca="1">COUNTIFS(INDIRECT("Table1[Beginn]"),"&lt;="&amp;AZ$1,INDIRECT("Table1[Ende]"),"&gt;="&amp;AZ$1,INDIRECT("Table1[Obergruppe ATC-Code]"),Tabelle3!$A26)</f>
        <v>0</v>
      </c>
      <c r="BA26">
        <f ca="1">COUNTIFS(INDIRECT("Table1[Beginn]"),"&lt;="&amp;BA$1,INDIRECT("Table1[Ende]"),"&gt;="&amp;BA$1,INDIRECT("Table1[Obergruppe ATC-Code]"),Tabelle3!$A26)</f>
        <v>0</v>
      </c>
      <c r="BB26">
        <f ca="1">COUNTIFS(INDIRECT("Table1[Beginn]"),"&lt;="&amp;BB$1,INDIRECT("Table1[Ende]"),"&gt;="&amp;BB$1,INDIRECT("Table1[Obergruppe ATC-Code]"),Tabelle3!$A26)</f>
        <v>0</v>
      </c>
      <c r="BC26">
        <f ca="1">COUNTIFS(INDIRECT("Table1[Beginn]"),"&lt;="&amp;BC$1,INDIRECT("Table1[Ende]"),"&gt;="&amp;BC$1,INDIRECT("Table1[Obergruppe ATC-Code]"),Tabelle3!$A26)</f>
        <v>0</v>
      </c>
      <c r="BD26">
        <f ca="1">COUNTIFS(INDIRECT("Table1[Beginn]"),"&lt;="&amp;BD$1,INDIRECT("Table1[Ende]"),"&gt;="&amp;BD$1,INDIRECT("Table1[Obergruppe ATC-Code]"),Tabelle3!$A26)</f>
        <v>0</v>
      </c>
      <c r="BE26">
        <f ca="1">COUNTIFS(INDIRECT("Table1[Beginn]"),"&lt;="&amp;BE$1,INDIRECT("Table1[Ende]"),"&gt;="&amp;BE$1,INDIRECT("Table1[Obergruppe ATC-Code]"),Tabelle3!$A26)</f>
        <v>0</v>
      </c>
      <c r="BF26">
        <f ca="1">COUNTIFS(INDIRECT("Table1[Beginn]"),"&lt;="&amp;BF$1,INDIRECT("Table1[Ende]"),"&gt;="&amp;BF$1,INDIRECT("Table1[Obergruppe ATC-Code]"),Tabelle3!$A26)</f>
        <v>0</v>
      </c>
      <c r="BG26">
        <f ca="1">COUNTIFS(INDIRECT("Table1[Beginn]"),"&lt;="&amp;BG$1,INDIRECT("Table1[Ende]"),"&gt;="&amp;BG$1,INDIRECT("Table1[Obergruppe ATC-Code]"),Tabelle3!$A26)</f>
        <v>0</v>
      </c>
      <c r="BH26">
        <f ca="1">COUNTIFS(INDIRECT("Table1[Beginn]"),"&lt;="&amp;BH$1,INDIRECT("Table1[Ende]"),"&gt;="&amp;BH$1,INDIRECT("Table1[Obergruppe ATC-Code]"),Tabelle3!$A26)</f>
        <v>0</v>
      </c>
      <c r="BI26">
        <f ca="1">COUNTIFS(INDIRECT("Table1[Beginn]"),"&lt;="&amp;BI$1,INDIRECT("Table1[Ende]"),"&gt;="&amp;BI$1,INDIRECT("Table1[Obergruppe ATC-Code]"),Tabelle3!$A26)</f>
        <v>0</v>
      </c>
      <c r="BJ26">
        <f ca="1">COUNTIFS(INDIRECT("Table1[Beginn]"),"&lt;="&amp;BJ$1,INDIRECT("Table1[Ende]"),"&gt;="&amp;BJ$1,INDIRECT("Table1[Obergruppe ATC-Code]"),Tabelle3!$A26)</f>
        <v>0</v>
      </c>
      <c r="BK26">
        <f ca="1">COUNTIFS(INDIRECT("Table1[Beginn]"),"&lt;="&amp;BK$1,INDIRECT("Table1[Ende]"),"&gt;="&amp;BK$1,INDIRECT("Table1[Obergruppe ATC-Code]"),Tabelle3!$A26)</f>
        <v>0</v>
      </c>
      <c r="BL26">
        <f ca="1">COUNTIFS(INDIRECT("Table1[Beginn]"),"&lt;="&amp;BL$1,INDIRECT("Table1[Ende]"),"&gt;="&amp;BL$1,INDIRECT("Table1[Obergruppe ATC-Code]"),Tabelle3!$A26)</f>
        <v>0</v>
      </c>
      <c r="BM26">
        <f ca="1">COUNTIFS(INDIRECT("Table1[Beginn]"),"&lt;="&amp;BM$1,INDIRECT("Table1[Ende]"),"&gt;="&amp;BM$1,INDIRECT("Table1[Obergruppe ATC-Code]"),Tabelle3!$A26)</f>
        <v>0</v>
      </c>
      <c r="BN26">
        <f ca="1">COUNTIFS(INDIRECT("Table1[Beginn]"),"&lt;="&amp;BN$1,INDIRECT("Table1[Ende]"),"&gt;="&amp;BN$1,INDIRECT("Table1[Obergruppe ATC-Code]"),Tabelle3!$A26)</f>
        <v>0</v>
      </c>
      <c r="BO26">
        <f ca="1">COUNTIFS(INDIRECT("Table1[Beginn]"),"&lt;="&amp;BO$1,INDIRECT("Table1[Ende]"),"&gt;="&amp;BO$1,INDIRECT("Table1[Obergruppe ATC-Code]"),Tabelle3!$A26)</f>
        <v>0</v>
      </c>
      <c r="BP26">
        <f ca="1">COUNTIFS(INDIRECT("Table1[Beginn]"),"&lt;="&amp;BP$1,INDIRECT("Table1[Ende]"),"&gt;="&amp;BP$1,INDIRECT("Table1[Obergruppe ATC-Code]"),Tabelle3!$A26)</f>
        <v>0</v>
      </c>
      <c r="BQ26">
        <f ca="1">COUNTIFS(INDIRECT("Table1[Beginn]"),"&lt;="&amp;BQ$1,INDIRECT("Table1[Ende]"),"&gt;="&amp;BQ$1,INDIRECT("Table1[Obergruppe ATC-Code]"),Tabelle3!$A26)</f>
        <v>0</v>
      </c>
      <c r="BR26">
        <f ca="1">COUNTIFS(INDIRECT("Table1[Beginn]"),"&lt;="&amp;BR$1,INDIRECT("Table1[Ende]"),"&gt;="&amp;BR$1,INDIRECT("Table1[Obergruppe ATC-Code]"),Tabelle3!$A26)</f>
        <v>0</v>
      </c>
      <c r="BS26">
        <f ca="1">COUNTIFS(INDIRECT("Table1[Beginn]"),"&lt;="&amp;BS$1,INDIRECT("Table1[Ende]"),"&gt;="&amp;BS$1,INDIRECT("Table1[Obergruppe ATC-Code]"),Tabelle3!$A26)</f>
        <v>0</v>
      </c>
      <c r="BT26">
        <f ca="1">COUNTIFS(INDIRECT("Table1[Beginn]"),"&lt;="&amp;BT$1,INDIRECT("Table1[Ende]"),"&gt;="&amp;BT$1,INDIRECT("Table1[Obergruppe ATC-Code]"),Tabelle3!$A26)</f>
        <v>0</v>
      </c>
      <c r="BU26">
        <f ca="1">COUNTIFS(INDIRECT("Table1[Beginn]"),"&lt;="&amp;BU$1,INDIRECT("Table1[Ende]"),"&gt;="&amp;BU$1,INDIRECT("Table1[Obergruppe ATC-Code]"),Tabelle3!$A26)</f>
        <v>0</v>
      </c>
      <c r="BV26">
        <f ca="1">COUNTIFS(INDIRECT("Table1[Beginn]"),"&lt;="&amp;BV$1,INDIRECT("Table1[Ende]"),"&gt;="&amp;BV$1,INDIRECT("Table1[Obergruppe ATC-Code]"),Tabelle3!$A26)</f>
        <v>0</v>
      </c>
      <c r="BW26">
        <f ca="1">COUNTIFS(INDIRECT("Table1[Beginn]"),"&lt;="&amp;BW$1,INDIRECT("Table1[Ende]"),"&gt;="&amp;BW$1,INDIRECT("Table1[Obergruppe ATC-Code]"),Tabelle3!$A26)</f>
        <v>0</v>
      </c>
      <c r="BX26">
        <f ca="1">COUNTIFS(INDIRECT("Table1[Beginn]"),"&lt;="&amp;BX$1,INDIRECT("Table1[Ende]"),"&gt;="&amp;BX$1,INDIRECT("Table1[Obergruppe ATC-Code]"),Tabelle3!$A26)</f>
        <v>0</v>
      </c>
      <c r="BY26">
        <f ca="1">COUNTIFS(INDIRECT("Table1[Beginn]"),"&lt;="&amp;BY$1,INDIRECT("Table1[Ende]"),"&gt;="&amp;BY$1,INDIRECT("Table1[Obergruppe ATC-Code]"),Tabelle3!$A26)</f>
        <v>0</v>
      </c>
      <c r="BZ26">
        <f ca="1">COUNTIFS(INDIRECT("Table1[Beginn]"),"&lt;="&amp;BZ$1,INDIRECT("Table1[Ende]"),"&gt;="&amp;BZ$1,INDIRECT("Table1[Obergruppe ATC-Code]"),Tabelle3!$A26)</f>
        <v>0</v>
      </c>
      <c r="CA26">
        <f ca="1">COUNTIFS(INDIRECT("Table1[Beginn]"),"&lt;="&amp;CA$1,INDIRECT("Table1[Ende]"),"&gt;="&amp;CA$1,INDIRECT("Table1[Obergruppe ATC-Code]"),Tabelle3!$A26)</f>
        <v>0</v>
      </c>
      <c r="CB26">
        <f ca="1">COUNTIFS(INDIRECT("Table1[Beginn]"),"&lt;="&amp;CB$1,INDIRECT("Table1[Ende]"),"&gt;="&amp;CB$1,INDIRECT("Table1[Obergruppe ATC-Code]"),Tabelle3!$A26)</f>
        <v>0</v>
      </c>
      <c r="CC26">
        <f ca="1">COUNTIFS(INDIRECT("Table1[Beginn]"),"&lt;="&amp;CC$1,INDIRECT("Table1[Ende]"),"&gt;="&amp;CC$1,INDIRECT("Table1[Obergruppe ATC-Code]"),Tabelle3!$A26)</f>
        <v>0</v>
      </c>
      <c r="CD26">
        <f ca="1">COUNTIFS(INDIRECT("Table1[Beginn]"),"&lt;="&amp;CD$1,INDIRECT("Table1[Ende]"),"&gt;="&amp;CD$1,INDIRECT("Table1[Obergruppe ATC-Code]"),Tabelle3!$A26)</f>
        <v>0</v>
      </c>
      <c r="CE26">
        <f ca="1">COUNTIFS(INDIRECT("Table1[Beginn]"),"&lt;="&amp;CE$1,INDIRECT("Table1[Ende]"),"&gt;="&amp;CE$1,INDIRECT("Table1[Obergruppe ATC-Code]"),Tabelle3!$A26)</f>
        <v>0</v>
      </c>
      <c r="CF26">
        <f ca="1">COUNTIFS(INDIRECT("Table1[Beginn]"),"&lt;="&amp;CF$1,INDIRECT("Table1[Ende]"),"&gt;="&amp;CF$1,INDIRECT("Table1[Obergruppe ATC-Code]"),Tabelle3!$A26)</f>
        <v>0</v>
      </c>
      <c r="CG26">
        <f ca="1">COUNTIFS(INDIRECT("Table1[Beginn]"),"&lt;="&amp;CG$1,INDIRECT("Table1[Ende]"),"&gt;="&amp;CG$1,INDIRECT("Table1[Obergruppe ATC-Code]"),Tabelle3!$A26)</f>
        <v>0</v>
      </c>
      <c r="CH26">
        <f ca="1">COUNTIFS(INDIRECT("Table1[Beginn]"),"&lt;="&amp;CH$1,INDIRECT("Table1[Ende]"),"&gt;="&amp;CH$1,INDIRECT("Table1[Obergruppe ATC-Code]"),Tabelle3!$A26)</f>
        <v>0</v>
      </c>
      <c r="CI26">
        <f ca="1">COUNTIFS(INDIRECT("Table1[Beginn]"),"&lt;="&amp;CI$1,INDIRECT("Table1[Ende]"),"&gt;="&amp;CI$1,INDIRECT("Table1[Obergruppe ATC-Code]"),Tabelle3!$A26)</f>
        <v>0</v>
      </c>
      <c r="CJ26">
        <f ca="1">COUNTIFS(INDIRECT("Table1[Beginn]"),"&lt;="&amp;CJ$1,INDIRECT("Table1[Ende]"),"&gt;="&amp;CJ$1,INDIRECT("Table1[Obergruppe ATC-Code]"),Tabelle3!$A26)</f>
        <v>0</v>
      </c>
      <c r="CK26">
        <f ca="1">COUNTIFS(INDIRECT("Table1[Beginn]"),"&lt;="&amp;CK$1,INDIRECT("Table1[Ende]"),"&gt;="&amp;CK$1,INDIRECT("Table1[Obergruppe ATC-Code]"),Tabelle3!$A26)</f>
        <v>0</v>
      </c>
      <c r="CL26">
        <f ca="1">COUNTIFS(INDIRECT("Table1[Beginn]"),"&lt;="&amp;CL$1,INDIRECT("Table1[Ende]"),"&gt;="&amp;CL$1,INDIRECT("Table1[Obergruppe ATC-Code]"),Tabelle3!$A26)</f>
        <v>0</v>
      </c>
      <c r="CM26">
        <f ca="1">COUNTIFS(INDIRECT("Table1[Beginn]"),"&lt;="&amp;CM$1,INDIRECT("Table1[Ende]"),"&gt;="&amp;CM$1,INDIRECT("Table1[Obergruppe ATC-Code]"),Tabelle3!$A26)</f>
        <v>0</v>
      </c>
      <c r="CN26">
        <f ca="1">COUNTIFS(INDIRECT("Table1[Beginn]"),"&lt;="&amp;CN$1,INDIRECT("Table1[Ende]"),"&gt;="&amp;CN$1,INDIRECT("Table1[Obergruppe ATC-Code]"),Tabelle3!$A26)</f>
        <v>0</v>
      </c>
      <c r="CO26">
        <f ca="1">COUNTIFS(INDIRECT("Table1[Beginn]"),"&lt;="&amp;CO$1,INDIRECT("Table1[Ende]"),"&gt;="&amp;CO$1,INDIRECT("Table1[Obergruppe ATC-Code]"),Tabelle3!$A26)</f>
        <v>0</v>
      </c>
      <c r="CP26">
        <f ca="1">COUNTIFS(INDIRECT("Table1[Beginn]"),"&lt;="&amp;CP$1,INDIRECT("Table1[Ende]"),"&gt;="&amp;CP$1,INDIRECT("Table1[Obergruppe ATC-Code]"),Tabelle3!$A26)</f>
        <v>0</v>
      </c>
      <c r="CQ26">
        <f ca="1">COUNTIFS(INDIRECT("Table1[Beginn]"),"&lt;="&amp;CQ$1,INDIRECT("Table1[Ende]"),"&gt;="&amp;CQ$1,INDIRECT("Table1[Obergruppe ATC-Code]"),Tabelle3!$A26)</f>
        <v>0</v>
      </c>
      <c r="CR26">
        <f ca="1">COUNTIFS(INDIRECT("Table1[Beginn]"),"&lt;="&amp;CR$1,INDIRECT("Table1[Ende]"),"&gt;="&amp;CR$1,INDIRECT("Table1[Obergruppe ATC-Code]"),Tabelle3!$A26)</f>
        <v>0</v>
      </c>
    </row>
    <row r="27" spans="1:96" ht="18">
      <c r="A27" s="9" t="s">
        <v>6822</v>
      </c>
      <c r="B27" s="10" t="s">
        <v>6823</v>
      </c>
      <c r="C27">
        <f ca="1">COUNTIFS(INDIRECT("Table1[Beginn]"),"&lt;="&amp;C$1,INDIRECT("Table1[Ende]"),"&gt;="&amp;C$1,INDIRECT("Table1[Obergruppe ATC-Code]"),Tabelle3!$A27)</f>
        <v>0</v>
      </c>
      <c r="D27">
        <f ca="1">COUNTIFS(INDIRECT("Table1[Beginn]"),"&lt;="&amp;D$1,INDIRECT("Table1[Ende]"),"&gt;="&amp;D$1,INDIRECT("Table1[Obergruppe ATC-Code]"),Tabelle3!$A27)</f>
        <v>0</v>
      </c>
      <c r="E27">
        <f ca="1">COUNTIFS(INDIRECT("Table1[Beginn]"),"&lt;="&amp;E$1,INDIRECT("Table1[Ende]"),"&gt;="&amp;E$1,INDIRECT("Table1[Obergruppe ATC-Code]"),Tabelle3!$A27)</f>
        <v>0</v>
      </c>
      <c r="F27">
        <f ca="1">COUNTIFS(INDIRECT("Table1[Beginn]"),"&lt;="&amp;F$1,INDIRECT("Table1[Ende]"),"&gt;="&amp;F$1,INDIRECT("Table1[Obergruppe ATC-Code]"),Tabelle3!$A27)</f>
        <v>0</v>
      </c>
      <c r="G27">
        <f ca="1">COUNTIFS(INDIRECT("Table1[Beginn]"),"&lt;="&amp;G$1,INDIRECT("Table1[Ende]"),"&gt;="&amp;G$1,INDIRECT("Table1[Obergruppe ATC-Code]"),Tabelle3!$A27)</f>
        <v>0</v>
      </c>
      <c r="H27">
        <f ca="1">COUNTIFS(INDIRECT("Table1[Beginn]"),"&lt;="&amp;H$1,INDIRECT("Table1[Ende]"),"&gt;="&amp;H$1,INDIRECT("Table1[Obergruppe ATC-Code]"),Tabelle3!$A27)</f>
        <v>0</v>
      </c>
      <c r="I27">
        <f ca="1">COUNTIFS(INDIRECT("Table1[Beginn]"),"&lt;="&amp;I$1,INDIRECT("Table1[Ende]"),"&gt;="&amp;I$1,INDIRECT("Table1[Obergruppe ATC-Code]"),Tabelle3!$A27)</f>
        <v>0</v>
      </c>
      <c r="J27">
        <f ca="1">COUNTIFS(INDIRECT("Table1[Beginn]"),"&lt;="&amp;J$1,INDIRECT("Table1[Ende]"),"&gt;="&amp;J$1,INDIRECT("Table1[Obergruppe ATC-Code]"),Tabelle3!$A27)</f>
        <v>0</v>
      </c>
      <c r="K27">
        <f ca="1">COUNTIFS(INDIRECT("Table1[Beginn]"),"&lt;="&amp;K$1,INDIRECT("Table1[Ende]"),"&gt;="&amp;K$1,INDIRECT("Table1[Obergruppe ATC-Code]"),Tabelle3!$A27)</f>
        <v>0</v>
      </c>
      <c r="L27">
        <f ca="1">COUNTIFS(INDIRECT("Table1[Beginn]"),"&lt;="&amp;L$1,INDIRECT("Table1[Ende]"),"&gt;="&amp;L$1,INDIRECT("Table1[Obergruppe ATC-Code]"),Tabelle3!$A27)</f>
        <v>0</v>
      </c>
      <c r="M27">
        <f ca="1">COUNTIFS(INDIRECT("Table1[Beginn]"),"&lt;="&amp;M$1,INDIRECT("Table1[Ende]"),"&gt;="&amp;M$1,INDIRECT("Table1[Obergruppe ATC-Code]"),Tabelle3!$A27)</f>
        <v>0</v>
      </c>
      <c r="N27">
        <f ca="1">COUNTIFS(INDIRECT("Table1[Beginn]"),"&lt;="&amp;N$1,INDIRECT("Table1[Ende]"),"&gt;="&amp;N$1,INDIRECT("Table1[Obergruppe ATC-Code]"),Tabelle3!$A27)</f>
        <v>0</v>
      </c>
      <c r="O27">
        <f ca="1">COUNTIFS(INDIRECT("Table1[Beginn]"),"&lt;="&amp;O$1,INDIRECT("Table1[Ende]"),"&gt;="&amp;O$1,INDIRECT("Table1[Obergruppe ATC-Code]"),Tabelle3!$A27)</f>
        <v>0</v>
      </c>
      <c r="P27">
        <f ca="1">COUNTIFS(INDIRECT("Table1[Beginn]"),"&lt;="&amp;P$1,INDIRECT("Table1[Ende]"),"&gt;="&amp;P$1,INDIRECT("Table1[Obergruppe ATC-Code]"),Tabelle3!$A27)</f>
        <v>0</v>
      </c>
      <c r="Q27">
        <f ca="1">COUNTIFS(INDIRECT("Table1[Beginn]"),"&lt;="&amp;Q$1,INDIRECT("Table1[Ende]"),"&gt;="&amp;Q$1,INDIRECT("Table1[Obergruppe ATC-Code]"),Tabelle3!$A27)</f>
        <v>0</v>
      </c>
      <c r="R27">
        <f ca="1">COUNTIFS(INDIRECT("Table1[Beginn]"),"&lt;="&amp;R$1,INDIRECT("Table1[Ende]"),"&gt;="&amp;R$1,INDIRECT("Table1[Obergruppe ATC-Code]"),Tabelle3!$A27)</f>
        <v>0</v>
      </c>
      <c r="S27">
        <f ca="1">COUNTIFS(INDIRECT("Table1[Beginn]"),"&lt;="&amp;S$1,INDIRECT("Table1[Ende]"),"&gt;="&amp;S$1,INDIRECT("Table1[Obergruppe ATC-Code]"),Tabelle3!$A27)</f>
        <v>0</v>
      </c>
      <c r="T27">
        <f ca="1">COUNTIFS(INDIRECT("Table1[Beginn]"),"&lt;="&amp;T$1,INDIRECT("Table1[Ende]"),"&gt;="&amp;T$1,INDIRECT("Table1[Obergruppe ATC-Code]"),Tabelle3!$A27)</f>
        <v>0</v>
      </c>
      <c r="U27">
        <f ca="1">COUNTIFS(INDIRECT("Table1[Beginn]"),"&lt;="&amp;U$1,INDIRECT("Table1[Ende]"),"&gt;="&amp;U$1,INDIRECT("Table1[Obergruppe ATC-Code]"),Tabelle3!$A27)</f>
        <v>0</v>
      </c>
      <c r="V27">
        <f ca="1">COUNTIFS(INDIRECT("Table1[Beginn]"),"&lt;="&amp;V$1,INDIRECT("Table1[Ende]"),"&gt;="&amp;V$1,INDIRECT("Table1[Obergruppe ATC-Code]"),Tabelle3!$A27)</f>
        <v>0</v>
      </c>
      <c r="W27">
        <f ca="1">COUNTIFS(INDIRECT("Table1[Beginn]"),"&lt;="&amp;W$1,INDIRECT("Table1[Ende]"),"&gt;="&amp;W$1,INDIRECT("Table1[Obergruppe ATC-Code]"),Tabelle3!$A27)</f>
        <v>0</v>
      </c>
      <c r="X27">
        <f ca="1">COUNTIFS(INDIRECT("Table1[Beginn]"),"&lt;="&amp;X$1,INDIRECT("Table1[Ende]"),"&gt;="&amp;X$1,INDIRECT("Table1[Obergruppe ATC-Code]"),Tabelle3!$A27)</f>
        <v>0</v>
      </c>
      <c r="Y27">
        <f ca="1">COUNTIFS(INDIRECT("Table1[Beginn]"),"&lt;="&amp;Y$1,INDIRECT("Table1[Ende]"),"&gt;="&amp;Y$1,INDIRECT("Table1[Obergruppe ATC-Code]"),Tabelle3!$A27)</f>
        <v>0</v>
      </c>
      <c r="Z27">
        <f ca="1">COUNTIFS(INDIRECT("Table1[Beginn]"),"&lt;="&amp;Z$1,INDIRECT("Table1[Ende]"),"&gt;="&amp;Z$1,INDIRECT("Table1[Obergruppe ATC-Code]"),Tabelle3!$A27)</f>
        <v>0</v>
      </c>
      <c r="AA27">
        <f ca="1">COUNTIFS(INDIRECT("Table1[Beginn]"),"&lt;="&amp;AA$1,INDIRECT("Table1[Ende]"),"&gt;="&amp;AA$1,INDIRECT("Table1[Obergruppe ATC-Code]"),Tabelle3!$A27)</f>
        <v>0</v>
      </c>
      <c r="AB27">
        <f ca="1">COUNTIFS(INDIRECT("Table1[Beginn]"),"&lt;="&amp;AB$1,INDIRECT("Table1[Ende]"),"&gt;="&amp;AB$1,INDIRECT("Table1[Obergruppe ATC-Code]"),Tabelle3!$A27)</f>
        <v>0</v>
      </c>
      <c r="AC27">
        <f ca="1">COUNTIFS(INDIRECT("Table1[Beginn]"),"&lt;="&amp;AC$1,INDIRECT("Table1[Ende]"),"&gt;="&amp;AC$1,INDIRECT("Table1[Obergruppe ATC-Code]"),Tabelle3!$A27)</f>
        <v>0</v>
      </c>
      <c r="AD27">
        <f ca="1">COUNTIFS(INDIRECT("Table1[Beginn]"),"&lt;="&amp;AD$1,INDIRECT("Table1[Ende]"),"&gt;="&amp;AD$1,INDIRECT("Table1[Obergruppe ATC-Code]"),Tabelle3!$A27)</f>
        <v>0</v>
      </c>
      <c r="AE27">
        <f ca="1">COUNTIFS(INDIRECT("Table1[Beginn]"),"&lt;="&amp;AE$1,INDIRECT("Table1[Ende]"),"&gt;="&amp;AE$1,INDIRECT("Table1[Obergruppe ATC-Code]"),Tabelle3!$A27)</f>
        <v>0</v>
      </c>
      <c r="AF27">
        <f ca="1">COUNTIFS(INDIRECT("Table1[Beginn]"),"&lt;="&amp;AF$1,INDIRECT("Table1[Ende]"),"&gt;="&amp;AF$1,INDIRECT("Table1[Obergruppe ATC-Code]"),Tabelle3!$A27)</f>
        <v>0</v>
      </c>
      <c r="AG27">
        <f ca="1">COUNTIFS(INDIRECT("Table1[Beginn]"),"&lt;="&amp;AG$1,INDIRECT("Table1[Ende]"),"&gt;="&amp;AG$1,INDIRECT("Table1[Obergruppe ATC-Code]"),Tabelle3!$A27)</f>
        <v>0</v>
      </c>
      <c r="AH27">
        <f ca="1">COUNTIFS(INDIRECT("Table1[Beginn]"),"&lt;="&amp;AH$1,INDIRECT("Table1[Ende]"),"&gt;="&amp;AH$1,INDIRECT("Table1[Obergruppe ATC-Code]"),Tabelle3!$A27)</f>
        <v>0</v>
      </c>
      <c r="AI27">
        <f ca="1">COUNTIFS(INDIRECT("Table1[Beginn]"),"&lt;="&amp;AI$1,INDIRECT("Table1[Ende]"),"&gt;="&amp;AI$1,INDIRECT("Table1[Obergruppe ATC-Code]"),Tabelle3!$A27)</f>
        <v>0</v>
      </c>
      <c r="AJ27">
        <f ca="1">COUNTIFS(INDIRECT("Table1[Beginn]"),"&lt;="&amp;AJ$1,INDIRECT("Table1[Ende]"),"&gt;="&amp;AJ$1,INDIRECT("Table1[Obergruppe ATC-Code]"),Tabelle3!$A27)</f>
        <v>0</v>
      </c>
      <c r="AK27">
        <f ca="1">COUNTIFS(INDIRECT("Table1[Beginn]"),"&lt;="&amp;AK$1,INDIRECT("Table1[Ende]"),"&gt;="&amp;AK$1,INDIRECT("Table1[Obergruppe ATC-Code]"),Tabelle3!$A27)</f>
        <v>0</v>
      </c>
      <c r="AL27">
        <f ca="1">COUNTIFS(INDIRECT("Table1[Beginn]"),"&lt;="&amp;AL$1,INDIRECT("Table1[Ende]"),"&gt;="&amp;AL$1,INDIRECT("Table1[Obergruppe ATC-Code]"),Tabelle3!$A27)</f>
        <v>0</v>
      </c>
      <c r="AM27">
        <f ca="1">COUNTIFS(INDIRECT("Table1[Beginn]"),"&lt;="&amp;AM$1,INDIRECT("Table1[Ende]"),"&gt;="&amp;AM$1,INDIRECT("Table1[Obergruppe ATC-Code]"),Tabelle3!$A27)</f>
        <v>0</v>
      </c>
      <c r="AN27">
        <f ca="1">COUNTIFS(INDIRECT("Table1[Beginn]"),"&lt;="&amp;AN$1,INDIRECT("Table1[Ende]"),"&gt;="&amp;AN$1,INDIRECT("Table1[Obergruppe ATC-Code]"),Tabelle3!$A27)</f>
        <v>0</v>
      </c>
      <c r="AO27">
        <f ca="1">COUNTIFS(INDIRECT("Table1[Beginn]"),"&lt;="&amp;AO$1,INDIRECT("Table1[Ende]"),"&gt;="&amp;AO$1,INDIRECT("Table1[Obergruppe ATC-Code]"),Tabelle3!$A27)</f>
        <v>0</v>
      </c>
      <c r="AP27">
        <f ca="1">COUNTIFS(INDIRECT("Table1[Beginn]"),"&lt;="&amp;AP$1,INDIRECT("Table1[Ende]"),"&gt;="&amp;AP$1,INDIRECT("Table1[Obergruppe ATC-Code]"),Tabelle3!$A27)</f>
        <v>0</v>
      </c>
      <c r="AQ27">
        <f ca="1">COUNTIFS(INDIRECT("Table1[Beginn]"),"&lt;="&amp;AQ$1,INDIRECT("Table1[Ende]"),"&gt;="&amp;AQ$1,INDIRECT("Table1[Obergruppe ATC-Code]"),Tabelle3!$A27)</f>
        <v>0</v>
      </c>
      <c r="AR27">
        <f ca="1">COUNTIFS(INDIRECT("Table1[Beginn]"),"&lt;="&amp;AR$1,INDIRECT("Table1[Ende]"),"&gt;="&amp;AR$1,INDIRECT("Table1[Obergruppe ATC-Code]"),Tabelle3!$A27)</f>
        <v>0</v>
      </c>
      <c r="AS27">
        <f ca="1">COUNTIFS(INDIRECT("Table1[Beginn]"),"&lt;="&amp;AS$1,INDIRECT("Table1[Ende]"),"&gt;="&amp;AS$1,INDIRECT("Table1[Obergruppe ATC-Code]"),Tabelle3!$A27)</f>
        <v>0</v>
      </c>
      <c r="AT27">
        <f ca="1">COUNTIFS(INDIRECT("Table1[Beginn]"),"&lt;="&amp;AT$1,INDIRECT("Table1[Ende]"),"&gt;="&amp;AT$1,INDIRECT("Table1[Obergruppe ATC-Code]"),Tabelle3!$A27)</f>
        <v>1</v>
      </c>
      <c r="AU27">
        <f ca="1">COUNTIFS(INDIRECT("Table1[Beginn]"),"&lt;="&amp;AU$1,INDIRECT("Table1[Ende]"),"&gt;="&amp;AU$1,INDIRECT("Table1[Obergruppe ATC-Code]"),Tabelle3!$A27)</f>
        <v>1</v>
      </c>
      <c r="AV27">
        <f ca="1">COUNTIFS(INDIRECT("Table1[Beginn]"),"&lt;="&amp;AV$1,INDIRECT("Table1[Ende]"),"&gt;="&amp;AV$1,INDIRECT("Table1[Obergruppe ATC-Code]"),Tabelle3!$A27)</f>
        <v>1</v>
      </c>
      <c r="AW27">
        <f ca="1">COUNTIFS(INDIRECT("Table1[Beginn]"),"&lt;="&amp;AW$1,INDIRECT("Table1[Ende]"),"&gt;="&amp;AW$1,INDIRECT("Table1[Obergruppe ATC-Code]"),Tabelle3!$A27)</f>
        <v>0</v>
      </c>
      <c r="AX27">
        <f ca="1">COUNTIFS(INDIRECT("Table1[Beginn]"),"&lt;="&amp;AX$1,INDIRECT("Table1[Ende]"),"&gt;="&amp;AX$1,INDIRECT("Table1[Obergruppe ATC-Code]"),Tabelle3!$A27)</f>
        <v>0</v>
      </c>
      <c r="AY27">
        <f ca="1">COUNTIFS(INDIRECT("Table1[Beginn]"),"&lt;="&amp;AY$1,INDIRECT("Table1[Ende]"),"&gt;="&amp;AY$1,INDIRECT("Table1[Obergruppe ATC-Code]"),Tabelle3!$A27)</f>
        <v>0</v>
      </c>
      <c r="AZ27">
        <f ca="1">COUNTIFS(INDIRECT("Table1[Beginn]"),"&lt;="&amp;AZ$1,INDIRECT("Table1[Ende]"),"&gt;="&amp;AZ$1,INDIRECT("Table1[Obergruppe ATC-Code]"),Tabelle3!$A27)</f>
        <v>0</v>
      </c>
      <c r="BA27">
        <f ca="1">COUNTIFS(INDIRECT("Table1[Beginn]"),"&lt;="&amp;BA$1,INDIRECT("Table1[Ende]"),"&gt;="&amp;BA$1,INDIRECT("Table1[Obergruppe ATC-Code]"),Tabelle3!$A27)</f>
        <v>0</v>
      </c>
      <c r="BB27">
        <f ca="1">COUNTIFS(INDIRECT("Table1[Beginn]"),"&lt;="&amp;BB$1,INDIRECT("Table1[Ende]"),"&gt;="&amp;BB$1,INDIRECT("Table1[Obergruppe ATC-Code]"),Tabelle3!$A27)</f>
        <v>0</v>
      </c>
      <c r="BC27">
        <f ca="1">COUNTIFS(INDIRECT("Table1[Beginn]"),"&lt;="&amp;BC$1,INDIRECT("Table1[Ende]"),"&gt;="&amp;BC$1,INDIRECT("Table1[Obergruppe ATC-Code]"),Tabelle3!$A27)</f>
        <v>0</v>
      </c>
      <c r="BD27">
        <f ca="1">COUNTIFS(INDIRECT("Table1[Beginn]"),"&lt;="&amp;BD$1,INDIRECT("Table1[Ende]"),"&gt;="&amp;BD$1,INDIRECT("Table1[Obergruppe ATC-Code]"),Tabelle3!$A27)</f>
        <v>0</v>
      </c>
      <c r="BE27">
        <f ca="1">COUNTIFS(INDIRECT("Table1[Beginn]"),"&lt;="&amp;BE$1,INDIRECT("Table1[Ende]"),"&gt;="&amp;BE$1,INDIRECT("Table1[Obergruppe ATC-Code]"),Tabelle3!$A27)</f>
        <v>0</v>
      </c>
      <c r="BF27">
        <f ca="1">COUNTIFS(INDIRECT("Table1[Beginn]"),"&lt;="&amp;BF$1,INDIRECT("Table1[Ende]"),"&gt;="&amp;BF$1,INDIRECT("Table1[Obergruppe ATC-Code]"),Tabelle3!$A27)</f>
        <v>0</v>
      </c>
      <c r="BG27">
        <f ca="1">COUNTIFS(INDIRECT("Table1[Beginn]"),"&lt;="&amp;BG$1,INDIRECT("Table1[Ende]"),"&gt;="&amp;BG$1,INDIRECT("Table1[Obergruppe ATC-Code]"),Tabelle3!$A27)</f>
        <v>0</v>
      </c>
      <c r="BH27">
        <f ca="1">COUNTIFS(INDIRECT("Table1[Beginn]"),"&lt;="&amp;BH$1,INDIRECT("Table1[Ende]"),"&gt;="&amp;BH$1,INDIRECT("Table1[Obergruppe ATC-Code]"),Tabelle3!$A27)</f>
        <v>0</v>
      </c>
      <c r="BI27">
        <f ca="1">COUNTIFS(INDIRECT("Table1[Beginn]"),"&lt;="&amp;BI$1,INDIRECT("Table1[Ende]"),"&gt;="&amp;BI$1,INDIRECT("Table1[Obergruppe ATC-Code]"),Tabelle3!$A27)</f>
        <v>0</v>
      </c>
      <c r="BJ27">
        <f ca="1">COUNTIFS(INDIRECT("Table1[Beginn]"),"&lt;="&amp;BJ$1,INDIRECT("Table1[Ende]"),"&gt;="&amp;BJ$1,INDIRECT("Table1[Obergruppe ATC-Code]"),Tabelle3!$A27)</f>
        <v>0</v>
      </c>
      <c r="BK27">
        <f ca="1">COUNTIFS(INDIRECT("Table1[Beginn]"),"&lt;="&amp;BK$1,INDIRECT("Table1[Ende]"),"&gt;="&amp;BK$1,INDIRECT("Table1[Obergruppe ATC-Code]"),Tabelle3!$A27)</f>
        <v>0</v>
      </c>
      <c r="BL27">
        <f ca="1">COUNTIFS(INDIRECT("Table1[Beginn]"),"&lt;="&amp;BL$1,INDIRECT("Table1[Ende]"),"&gt;="&amp;BL$1,INDIRECT("Table1[Obergruppe ATC-Code]"),Tabelle3!$A27)</f>
        <v>0</v>
      </c>
      <c r="BM27">
        <f ca="1">COUNTIFS(INDIRECT("Table1[Beginn]"),"&lt;="&amp;BM$1,INDIRECT("Table1[Ende]"),"&gt;="&amp;BM$1,INDIRECT("Table1[Obergruppe ATC-Code]"),Tabelle3!$A27)</f>
        <v>0</v>
      </c>
      <c r="BN27">
        <f ca="1">COUNTIFS(INDIRECT("Table1[Beginn]"),"&lt;="&amp;BN$1,INDIRECT("Table1[Ende]"),"&gt;="&amp;BN$1,INDIRECT("Table1[Obergruppe ATC-Code]"),Tabelle3!$A27)</f>
        <v>0</v>
      </c>
      <c r="BO27">
        <f ca="1">COUNTIFS(INDIRECT("Table1[Beginn]"),"&lt;="&amp;BO$1,INDIRECT("Table1[Ende]"),"&gt;="&amp;BO$1,INDIRECT("Table1[Obergruppe ATC-Code]"),Tabelle3!$A27)</f>
        <v>0</v>
      </c>
      <c r="BP27">
        <f ca="1">COUNTIFS(INDIRECT("Table1[Beginn]"),"&lt;="&amp;BP$1,INDIRECT("Table1[Ende]"),"&gt;="&amp;BP$1,INDIRECT("Table1[Obergruppe ATC-Code]"),Tabelle3!$A27)</f>
        <v>0</v>
      </c>
      <c r="BQ27">
        <f ca="1">COUNTIFS(INDIRECT("Table1[Beginn]"),"&lt;="&amp;BQ$1,INDIRECT("Table1[Ende]"),"&gt;="&amp;BQ$1,INDIRECT("Table1[Obergruppe ATC-Code]"),Tabelle3!$A27)</f>
        <v>1</v>
      </c>
      <c r="BR27">
        <f ca="1">COUNTIFS(INDIRECT("Table1[Beginn]"),"&lt;="&amp;BR$1,INDIRECT("Table1[Ende]"),"&gt;="&amp;BR$1,INDIRECT("Table1[Obergruppe ATC-Code]"),Tabelle3!$A27)</f>
        <v>0</v>
      </c>
      <c r="BS27">
        <f ca="1">COUNTIFS(INDIRECT("Table1[Beginn]"),"&lt;="&amp;BS$1,INDIRECT("Table1[Ende]"),"&gt;="&amp;BS$1,INDIRECT("Table1[Obergruppe ATC-Code]"),Tabelle3!$A27)</f>
        <v>0</v>
      </c>
      <c r="BT27">
        <f ca="1">COUNTIFS(INDIRECT("Table1[Beginn]"),"&lt;="&amp;BT$1,INDIRECT("Table1[Ende]"),"&gt;="&amp;BT$1,INDIRECT("Table1[Obergruppe ATC-Code]"),Tabelle3!$A27)</f>
        <v>0</v>
      </c>
      <c r="BU27">
        <f ca="1">COUNTIFS(INDIRECT("Table1[Beginn]"),"&lt;="&amp;BU$1,INDIRECT("Table1[Ende]"),"&gt;="&amp;BU$1,INDIRECT("Table1[Obergruppe ATC-Code]"),Tabelle3!$A27)</f>
        <v>0</v>
      </c>
      <c r="BV27">
        <f ca="1">COUNTIFS(INDIRECT("Table1[Beginn]"),"&lt;="&amp;BV$1,INDIRECT("Table1[Ende]"),"&gt;="&amp;BV$1,INDIRECT("Table1[Obergruppe ATC-Code]"),Tabelle3!$A27)</f>
        <v>0</v>
      </c>
      <c r="BW27">
        <f ca="1">COUNTIFS(INDIRECT("Table1[Beginn]"),"&lt;="&amp;BW$1,INDIRECT("Table1[Ende]"),"&gt;="&amp;BW$1,INDIRECT("Table1[Obergruppe ATC-Code]"),Tabelle3!$A27)</f>
        <v>0</v>
      </c>
      <c r="BX27">
        <f ca="1">COUNTIFS(INDIRECT("Table1[Beginn]"),"&lt;="&amp;BX$1,INDIRECT("Table1[Ende]"),"&gt;="&amp;BX$1,INDIRECT("Table1[Obergruppe ATC-Code]"),Tabelle3!$A27)</f>
        <v>0</v>
      </c>
      <c r="BY27">
        <f ca="1">COUNTIFS(INDIRECT("Table1[Beginn]"),"&lt;="&amp;BY$1,INDIRECT("Table1[Ende]"),"&gt;="&amp;BY$1,INDIRECT("Table1[Obergruppe ATC-Code]"),Tabelle3!$A27)</f>
        <v>0</v>
      </c>
      <c r="BZ27">
        <f ca="1">COUNTIFS(INDIRECT("Table1[Beginn]"),"&lt;="&amp;BZ$1,INDIRECT("Table1[Ende]"),"&gt;="&amp;BZ$1,INDIRECT("Table1[Obergruppe ATC-Code]"),Tabelle3!$A27)</f>
        <v>0</v>
      </c>
      <c r="CA27">
        <f ca="1">COUNTIFS(INDIRECT("Table1[Beginn]"),"&lt;="&amp;CA$1,INDIRECT("Table1[Ende]"),"&gt;="&amp;CA$1,INDIRECT("Table1[Obergruppe ATC-Code]"),Tabelle3!$A27)</f>
        <v>0</v>
      </c>
      <c r="CB27">
        <f ca="1">COUNTIFS(INDIRECT("Table1[Beginn]"),"&lt;="&amp;CB$1,INDIRECT("Table1[Ende]"),"&gt;="&amp;CB$1,INDIRECT("Table1[Obergruppe ATC-Code]"),Tabelle3!$A27)</f>
        <v>1</v>
      </c>
      <c r="CC27">
        <f ca="1">COUNTIFS(INDIRECT("Table1[Beginn]"),"&lt;="&amp;CC$1,INDIRECT("Table1[Ende]"),"&gt;="&amp;CC$1,INDIRECT("Table1[Obergruppe ATC-Code]"),Tabelle3!$A27)</f>
        <v>1</v>
      </c>
      <c r="CD27">
        <f ca="1">COUNTIFS(INDIRECT("Table1[Beginn]"),"&lt;="&amp;CD$1,INDIRECT("Table1[Ende]"),"&gt;="&amp;CD$1,INDIRECT("Table1[Obergruppe ATC-Code]"),Tabelle3!$A27)</f>
        <v>0</v>
      </c>
      <c r="CE27">
        <f ca="1">COUNTIFS(INDIRECT("Table1[Beginn]"),"&lt;="&amp;CE$1,INDIRECT("Table1[Ende]"),"&gt;="&amp;CE$1,INDIRECT("Table1[Obergruppe ATC-Code]"),Tabelle3!$A27)</f>
        <v>0</v>
      </c>
      <c r="CF27">
        <f ca="1">COUNTIFS(INDIRECT("Table1[Beginn]"),"&lt;="&amp;CF$1,INDIRECT("Table1[Ende]"),"&gt;="&amp;CF$1,INDIRECT("Table1[Obergruppe ATC-Code]"),Tabelle3!$A27)</f>
        <v>0</v>
      </c>
      <c r="CG27">
        <f ca="1">COUNTIFS(INDIRECT("Table1[Beginn]"),"&lt;="&amp;CG$1,INDIRECT("Table1[Ende]"),"&gt;="&amp;CG$1,INDIRECT("Table1[Obergruppe ATC-Code]"),Tabelle3!$A27)</f>
        <v>0</v>
      </c>
      <c r="CH27">
        <f ca="1">COUNTIFS(INDIRECT("Table1[Beginn]"),"&lt;="&amp;CH$1,INDIRECT("Table1[Ende]"),"&gt;="&amp;CH$1,INDIRECT("Table1[Obergruppe ATC-Code]"),Tabelle3!$A27)</f>
        <v>0</v>
      </c>
      <c r="CI27">
        <f ca="1">COUNTIFS(INDIRECT("Table1[Beginn]"),"&lt;="&amp;CI$1,INDIRECT("Table1[Ende]"),"&gt;="&amp;CI$1,INDIRECT("Table1[Obergruppe ATC-Code]"),Tabelle3!$A27)</f>
        <v>0</v>
      </c>
      <c r="CJ27">
        <f ca="1">COUNTIFS(INDIRECT("Table1[Beginn]"),"&lt;="&amp;CJ$1,INDIRECT("Table1[Ende]"),"&gt;="&amp;CJ$1,INDIRECT("Table1[Obergruppe ATC-Code]"),Tabelle3!$A27)</f>
        <v>0</v>
      </c>
      <c r="CK27">
        <f ca="1">COUNTIFS(INDIRECT("Table1[Beginn]"),"&lt;="&amp;CK$1,INDIRECT("Table1[Ende]"),"&gt;="&amp;CK$1,INDIRECT("Table1[Obergruppe ATC-Code]"),Tabelle3!$A27)</f>
        <v>0</v>
      </c>
      <c r="CL27">
        <f ca="1">COUNTIFS(INDIRECT("Table1[Beginn]"),"&lt;="&amp;CL$1,INDIRECT("Table1[Ende]"),"&gt;="&amp;CL$1,INDIRECT("Table1[Obergruppe ATC-Code]"),Tabelle3!$A27)</f>
        <v>0</v>
      </c>
      <c r="CM27">
        <f ca="1">COUNTIFS(INDIRECT("Table1[Beginn]"),"&lt;="&amp;CM$1,INDIRECT("Table1[Ende]"),"&gt;="&amp;CM$1,INDIRECT("Table1[Obergruppe ATC-Code]"),Tabelle3!$A27)</f>
        <v>0</v>
      </c>
      <c r="CN27">
        <f ca="1">COUNTIFS(INDIRECT("Table1[Beginn]"),"&lt;="&amp;CN$1,INDIRECT("Table1[Ende]"),"&gt;="&amp;CN$1,INDIRECT("Table1[Obergruppe ATC-Code]"),Tabelle3!$A27)</f>
        <v>0</v>
      </c>
      <c r="CO27">
        <f ca="1">COUNTIFS(INDIRECT("Table1[Beginn]"),"&lt;="&amp;CO$1,INDIRECT("Table1[Ende]"),"&gt;="&amp;CO$1,INDIRECT("Table1[Obergruppe ATC-Code]"),Tabelle3!$A27)</f>
        <v>0</v>
      </c>
      <c r="CP27">
        <f ca="1">COUNTIFS(INDIRECT("Table1[Beginn]"),"&lt;="&amp;CP$1,INDIRECT("Table1[Ende]"),"&gt;="&amp;CP$1,INDIRECT("Table1[Obergruppe ATC-Code]"),Tabelle3!$A27)</f>
        <v>0</v>
      </c>
      <c r="CQ27">
        <f ca="1">COUNTIFS(INDIRECT("Table1[Beginn]"),"&lt;="&amp;CQ$1,INDIRECT("Table1[Ende]"),"&gt;="&amp;CQ$1,INDIRECT("Table1[Obergruppe ATC-Code]"),Tabelle3!$A27)</f>
        <v>0</v>
      </c>
      <c r="CR27">
        <f ca="1">COUNTIFS(INDIRECT("Table1[Beginn]"),"&lt;="&amp;CR$1,INDIRECT("Table1[Ende]"),"&gt;="&amp;CR$1,INDIRECT("Table1[Obergruppe ATC-Code]"),Tabelle3!$A27)</f>
        <v>0</v>
      </c>
    </row>
    <row r="28" spans="1:96" ht="18">
      <c r="A28" s="7" t="s">
        <v>6824</v>
      </c>
      <c r="B28" s="8" t="s">
        <v>6825</v>
      </c>
      <c r="C28">
        <f ca="1">COUNTIFS(INDIRECT("Table1[Beginn]"),"&lt;="&amp;C$1,INDIRECT("Table1[Ende]"),"&gt;="&amp;C$1,INDIRECT("Table1[Obergruppe ATC-Code]"),Tabelle3!$A28)</f>
        <v>0</v>
      </c>
      <c r="D28">
        <f ca="1">COUNTIFS(INDIRECT("Table1[Beginn]"),"&lt;="&amp;D$1,INDIRECT("Table1[Ende]"),"&gt;="&amp;D$1,INDIRECT("Table1[Obergruppe ATC-Code]"),Tabelle3!$A28)</f>
        <v>0</v>
      </c>
      <c r="E28">
        <f ca="1">COUNTIFS(INDIRECT("Table1[Beginn]"),"&lt;="&amp;E$1,INDIRECT("Table1[Ende]"),"&gt;="&amp;E$1,INDIRECT("Table1[Obergruppe ATC-Code]"),Tabelle3!$A28)</f>
        <v>0</v>
      </c>
      <c r="F28">
        <f ca="1">COUNTIFS(INDIRECT("Table1[Beginn]"),"&lt;="&amp;F$1,INDIRECT("Table1[Ende]"),"&gt;="&amp;F$1,INDIRECT("Table1[Obergruppe ATC-Code]"),Tabelle3!$A28)</f>
        <v>0</v>
      </c>
      <c r="G28">
        <f ca="1">COUNTIFS(INDIRECT("Table1[Beginn]"),"&lt;="&amp;G$1,INDIRECT("Table1[Ende]"),"&gt;="&amp;G$1,INDIRECT("Table1[Obergruppe ATC-Code]"),Tabelle3!$A28)</f>
        <v>0</v>
      </c>
      <c r="H28">
        <f ca="1">COUNTIFS(INDIRECT("Table1[Beginn]"),"&lt;="&amp;H$1,INDIRECT("Table1[Ende]"),"&gt;="&amp;H$1,INDIRECT("Table1[Obergruppe ATC-Code]"),Tabelle3!$A28)</f>
        <v>0</v>
      </c>
      <c r="I28">
        <f ca="1">COUNTIFS(INDIRECT("Table1[Beginn]"),"&lt;="&amp;I$1,INDIRECT("Table1[Ende]"),"&gt;="&amp;I$1,INDIRECT("Table1[Obergruppe ATC-Code]"),Tabelle3!$A28)</f>
        <v>0</v>
      </c>
      <c r="J28">
        <f ca="1">COUNTIFS(INDIRECT("Table1[Beginn]"),"&lt;="&amp;J$1,INDIRECT("Table1[Ende]"),"&gt;="&amp;J$1,INDIRECT("Table1[Obergruppe ATC-Code]"),Tabelle3!$A28)</f>
        <v>0</v>
      </c>
      <c r="K28">
        <f ca="1">COUNTIFS(INDIRECT("Table1[Beginn]"),"&lt;="&amp;K$1,INDIRECT("Table1[Ende]"),"&gt;="&amp;K$1,INDIRECT("Table1[Obergruppe ATC-Code]"),Tabelle3!$A28)</f>
        <v>0</v>
      </c>
      <c r="L28">
        <f ca="1">COUNTIFS(INDIRECT("Table1[Beginn]"),"&lt;="&amp;L$1,INDIRECT("Table1[Ende]"),"&gt;="&amp;L$1,INDIRECT("Table1[Obergruppe ATC-Code]"),Tabelle3!$A28)</f>
        <v>0</v>
      </c>
      <c r="M28">
        <f ca="1">COUNTIFS(INDIRECT("Table1[Beginn]"),"&lt;="&amp;M$1,INDIRECT("Table1[Ende]"),"&gt;="&amp;M$1,INDIRECT("Table1[Obergruppe ATC-Code]"),Tabelle3!$A28)</f>
        <v>0</v>
      </c>
      <c r="N28">
        <f ca="1">COUNTIFS(INDIRECT("Table1[Beginn]"),"&lt;="&amp;N$1,INDIRECT("Table1[Ende]"),"&gt;="&amp;N$1,INDIRECT("Table1[Obergruppe ATC-Code]"),Tabelle3!$A28)</f>
        <v>0</v>
      </c>
      <c r="O28">
        <f ca="1">COUNTIFS(INDIRECT("Table1[Beginn]"),"&lt;="&amp;O$1,INDIRECT("Table1[Ende]"),"&gt;="&amp;O$1,INDIRECT("Table1[Obergruppe ATC-Code]"),Tabelle3!$A28)</f>
        <v>0</v>
      </c>
      <c r="P28">
        <f ca="1">COUNTIFS(INDIRECT("Table1[Beginn]"),"&lt;="&amp;P$1,INDIRECT("Table1[Ende]"),"&gt;="&amp;P$1,INDIRECT("Table1[Obergruppe ATC-Code]"),Tabelle3!$A28)</f>
        <v>0</v>
      </c>
      <c r="Q28">
        <f ca="1">COUNTIFS(INDIRECT("Table1[Beginn]"),"&lt;="&amp;Q$1,INDIRECT("Table1[Ende]"),"&gt;="&amp;Q$1,INDIRECT("Table1[Obergruppe ATC-Code]"),Tabelle3!$A28)</f>
        <v>0</v>
      </c>
      <c r="R28">
        <f ca="1">COUNTIFS(INDIRECT("Table1[Beginn]"),"&lt;="&amp;R$1,INDIRECT("Table1[Ende]"),"&gt;="&amp;R$1,INDIRECT("Table1[Obergruppe ATC-Code]"),Tabelle3!$A28)</f>
        <v>0</v>
      </c>
      <c r="S28">
        <f ca="1">COUNTIFS(INDIRECT("Table1[Beginn]"),"&lt;="&amp;S$1,INDIRECT("Table1[Ende]"),"&gt;="&amp;S$1,INDIRECT("Table1[Obergruppe ATC-Code]"),Tabelle3!$A28)</f>
        <v>0</v>
      </c>
      <c r="T28">
        <f ca="1">COUNTIFS(INDIRECT("Table1[Beginn]"),"&lt;="&amp;T$1,INDIRECT("Table1[Ende]"),"&gt;="&amp;T$1,INDIRECT("Table1[Obergruppe ATC-Code]"),Tabelle3!$A28)</f>
        <v>0</v>
      </c>
      <c r="U28">
        <f ca="1">COUNTIFS(INDIRECT("Table1[Beginn]"),"&lt;="&amp;U$1,INDIRECT("Table1[Ende]"),"&gt;="&amp;U$1,INDIRECT("Table1[Obergruppe ATC-Code]"),Tabelle3!$A28)</f>
        <v>0</v>
      </c>
      <c r="V28">
        <f ca="1">COUNTIFS(INDIRECT("Table1[Beginn]"),"&lt;="&amp;V$1,INDIRECT("Table1[Ende]"),"&gt;="&amp;V$1,INDIRECT("Table1[Obergruppe ATC-Code]"),Tabelle3!$A28)</f>
        <v>0</v>
      </c>
      <c r="W28">
        <f ca="1">COUNTIFS(INDIRECT("Table1[Beginn]"),"&lt;="&amp;W$1,INDIRECT("Table1[Ende]"),"&gt;="&amp;W$1,INDIRECT("Table1[Obergruppe ATC-Code]"),Tabelle3!$A28)</f>
        <v>0</v>
      </c>
      <c r="X28">
        <f ca="1">COUNTIFS(INDIRECT("Table1[Beginn]"),"&lt;="&amp;X$1,INDIRECT("Table1[Ende]"),"&gt;="&amp;X$1,INDIRECT("Table1[Obergruppe ATC-Code]"),Tabelle3!$A28)</f>
        <v>0</v>
      </c>
      <c r="Y28">
        <f ca="1">COUNTIFS(INDIRECT("Table1[Beginn]"),"&lt;="&amp;Y$1,INDIRECT("Table1[Ende]"),"&gt;="&amp;Y$1,INDIRECT("Table1[Obergruppe ATC-Code]"),Tabelle3!$A28)</f>
        <v>0</v>
      </c>
      <c r="Z28">
        <f ca="1">COUNTIFS(INDIRECT("Table1[Beginn]"),"&lt;="&amp;Z$1,INDIRECT("Table1[Ende]"),"&gt;="&amp;Z$1,INDIRECT("Table1[Obergruppe ATC-Code]"),Tabelle3!$A28)</f>
        <v>0</v>
      </c>
      <c r="AA28">
        <f ca="1">COUNTIFS(INDIRECT("Table1[Beginn]"),"&lt;="&amp;AA$1,INDIRECT("Table1[Ende]"),"&gt;="&amp;AA$1,INDIRECT("Table1[Obergruppe ATC-Code]"),Tabelle3!$A28)</f>
        <v>0</v>
      </c>
      <c r="AB28">
        <f ca="1">COUNTIFS(INDIRECT("Table1[Beginn]"),"&lt;="&amp;AB$1,INDIRECT("Table1[Ende]"),"&gt;="&amp;AB$1,INDIRECT("Table1[Obergruppe ATC-Code]"),Tabelle3!$A28)</f>
        <v>0</v>
      </c>
      <c r="AC28">
        <f ca="1">COUNTIFS(INDIRECT("Table1[Beginn]"),"&lt;="&amp;AC$1,INDIRECT("Table1[Ende]"),"&gt;="&amp;AC$1,INDIRECT("Table1[Obergruppe ATC-Code]"),Tabelle3!$A28)</f>
        <v>0</v>
      </c>
      <c r="AD28">
        <f ca="1">COUNTIFS(INDIRECT("Table1[Beginn]"),"&lt;="&amp;AD$1,INDIRECT("Table1[Ende]"),"&gt;="&amp;AD$1,INDIRECT("Table1[Obergruppe ATC-Code]"),Tabelle3!$A28)</f>
        <v>0</v>
      </c>
      <c r="AE28">
        <f ca="1">COUNTIFS(INDIRECT("Table1[Beginn]"),"&lt;="&amp;AE$1,INDIRECT("Table1[Ende]"),"&gt;="&amp;AE$1,INDIRECT("Table1[Obergruppe ATC-Code]"),Tabelle3!$A28)</f>
        <v>0</v>
      </c>
      <c r="AF28">
        <f ca="1">COUNTIFS(INDIRECT("Table1[Beginn]"),"&lt;="&amp;AF$1,INDIRECT("Table1[Ende]"),"&gt;="&amp;AF$1,INDIRECT("Table1[Obergruppe ATC-Code]"),Tabelle3!$A28)</f>
        <v>0</v>
      </c>
      <c r="AG28">
        <f ca="1">COUNTIFS(INDIRECT("Table1[Beginn]"),"&lt;="&amp;AG$1,INDIRECT("Table1[Ende]"),"&gt;="&amp;AG$1,INDIRECT("Table1[Obergruppe ATC-Code]"),Tabelle3!$A28)</f>
        <v>0</v>
      </c>
      <c r="AH28">
        <f ca="1">COUNTIFS(INDIRECT("Table1[Beginn]"),"&lt;="&amp;AH$1,INDIRECT("Table1[Ende]"),"&gt;="&amp;AH$1,INDIRECT("Table1[Obergruppe ATC-Code]"),Tabelle3!$A28)</f>
        <v>0</v>
      </c>
      <c r="AI28">
        <f ca="1">COUNTIFS(INDIRECT("Table1[Beginn]"),"&lt;="&amp;AI$1,INDIRECT("Table1[Ende]"),"&gt;="&amp;AI$1,INDIRECT("Table1[Obergruppe ATC-Code]"),Tabelle3!$A28)</f>
        <v>0</v>
      </c>
      <c r="AJ28">
        <f ca="1">COUNTIFS(INDIRECT("Table1[Beginn]"),"&lt;="&amp;AJ$1,INDIRECT("Table1[Ende]"),"&gt;="&amp;AJ$1,INDIRECT("Table1[Obergruppe ATC-Code]"),Tabelle3!$A28)</f>
        <v>0</v>
      </c>
      <c r="AK28">
        <f ca="1">COUNTIFS(INDIRECT("Table1[Beginn]"),"&lt;="&amp;AK$1,INDIRECT("Table1[Ende]"),"&gt;="&amp;AK$1,INDIRECT("Table1[Obergruppe ATC-Code]"),Tabelle3!$A28)</f>
        <v>0</v>
      </c>
      <c r="AL28">
        <f ca="1">COUNTIFS(INDIRECT("Table1[Beginn]"),"&lt;="&amp;AL$1,INDIRECT("Table1[Ende]"),"&gt;="&amp;AL$1,INDIRECT("Table1[Obergruppe ATC-Code]"),Tabelle3!$A28)</f>
        <v>0</v>
      </c>
      <c r="AM28">
        <f ca="1">COUNTIFS(INDIRECT("Table1[Beginn]"),"&lt;="&amp;AM$1,INDIRECT("Table1[Ende]"),"&gt;="&amp;AM$1,INDIRECT("Table1[Obergruppe ATC-Code]"),Tabelle3!$A28)</f>
        <v>0</v>
      </c>
      <c r="AN28">
        <f ca="1">COUNTIFS(INDIRECT("Table1[Beginn]"),"&lt;="&amp;AN$1,INDIRECT("Table1[Ende]"),"&gt;="&amp;AN$1,INDIRECT("Table1[Obergruppe ATC-Code]"),Tabelle3!$A28)</f>
        <v>0</v>
      </c>
      <c r="AO28">
        <f ca="1">COUNTIFS(INDIRECT("Table1[Beginn]"),"&lt;="&amp;AO$1,INDIRECT("Table1[Ende]"),"&gt;="&amp;AO$1,INDIRECT("Table1[Obergruppe ATC-Code]"),Tabelle3!$A28)</f>
        <v>0</v>
      </c>
      <c r="AP28">
        <f ca="1">COUNTIFS(INDIRECT("Table1[Beginn]"),"&lt;="&amp;AP$1,INDIRECT("Table1[Ende]"),"&gt;="&amp;AP$1,INDIRECT("Table1[Obergruppe ATC-Code]"),Tabelle3!$A28)</f>
        <v>0</v>
      </c>
      <c r="AQ28">
        <f ca="1">COUNTIFS(INDIRECT("Table1[Beginn]"),"&lt;="&amp;AQ$1,INDIRECT("Table1[Ende]"),"&gt;="&amp;AQ$1,INDIRECT("Table1[Obergruppe ATC-Code]"),Tabelle3!$A28)</f>
        <v>0</v>
      </c>
      <c r="AR28">
        <f ca="1">COUNTIFS(INDIRECT("Table1[Beginn]"),"&lt;="&amp;AR$1,INDIRECT("Table1[Ende]"),"&gt;="&amp;AR$1,INDIRECT("Table1[Obergruppe ATC-Code]"),Tabelle3!$A28)</f>
        <v>0</v>
      </c>
      <c r="AS28">
        <f ca="1">COUNTIFS(INDIRECT("Table1[Beginn]"),"&lt;="&amp;AS$1,INDIRECT("Table1[Ende]"),"&gt;="&amp;AS$1,INDIRECT("Table1[Obergruppe ATC-Code]"),Tabelle3!$A28)</f>
        <v>0</v>
      </c>
      <c r="AT28">
        <f ca="1">COUNTIFS(INDIRECT("Table1[Beginn]"),"&lt;="&amp;AT$1,INDIRECT("Table1[Ende]"),"&gt;="&amp;AT$1,INDIRECT("Table1[Obergruppe ATC-Code]"),Tabelle3!$A28)</f>
        <v>0</v>
      </c>
      <c r="AU28">
        <f ca="1">COUNTIFS(INDIRECT("Table1[Beginn]"),"&lt;="&amp;AU$1,INDIRECT("Table1[Ende]"),"&gt;="&amp;AU$1,INDIRECT("Table1[Obergruppe ATC-Code]"),Tabelle3!$A28)</f>
        <v>0</v>
      </c>
      <c r="AV28">
        <f ca="1">COUNTIFS(INDIRECT("Table1[Beginn]"),"&lt;="&amp;AV$1,INDIRECT("Table1[Ende]"),"&gt;="&amp;AV$1,INDIRECT("Table1[Obergruppe ATC-Code]"),Tabelle3!$A28)</f>
        <v>0</v>
      </c>
      <c r="AW28">
        <f ca="1">COUNTIFS(INDIRECT("Table1[Beginn]"),"&lt;="&amp;AW$1,INDIRECT("Table1[Ende]"),"&gt;="&amp;AW$1,INDIRECT("Table1[Obergruppe ATC-Code]"),Tabelle3!$A28)</f>
        <v>0</v>
      </c>
      <c r="AX28">
        <f ca="1">COUNTIFS(INDIRECT("Table1[Beginn]"),"&lt;="&amp;AX$1,INDIRECT("Table1[Ende]"),"&gt;="&amp;AX$1,INDIRECT("Table1[Obergruppe ATC-Code]"),Tabelle3!$A28)</f>
        <v>0</v>
      </c>
      <c r="AY28">
        <f ca="1">COUNTIFS(INDIRECT("Table1[Beginn]"),"&lt;="&amp;AY$1,INDIRECT("Table1[Ende]"),"&gt;="&amp;AY$1,INDIRECT("Table1[Obergruppe ATC-Code]"),Tabelle3!$A28)</f>
        <v>0</v>
      </c>
      <c r="AZ28">
        <f ca="1">COUNTIFS(INDIRECT("Table1[Beginn]"),"&lt;="&amp;AZ$1,INDIRECT("Table1[Ende]"),"&gt;="&amp;AZ$1,INDIRECT("Table1[Obergruppe ATC-Code]"),Tabelle3!$A28)</f>
        <v>0</v>
      </c>
      <c r="BA28">
        <f ca="1">COUNTIFS(INDIRECT("Table1[Beginn]"),"&lt;="&amp;BA$1,INDIRECT("Table1[Ende]"),"&gt;="&amp;BA$1,INDIRECT("Table1[Obergruppe ATC-Code]"),Tabelle3!$A28)</f>
        <v>0</v>
      </c>
      <c r="BB28">
        <f ca="1">COUNTIFS(INDIRECT("Table1[Beginn]"),"&lt;="&amp;BB$1,INDIRECT("Table1[Ende]"),"&gt;="&amp;BB$1,INDIRECT("Table1[Obergruppe ATC-Code]"),Tabelle3!$A28)</f>
        <v>0</v>
      </c>
      <c r="BC28">
        <f ca="1">COUNTIFS(INDIRECT("Table1[Beginn]"),"&lt;="&amp;BC$1,INDIRECT("Table1[Ende]"),"&gt;="&amp;BC$1,INDIRECT("Table1[Obergruppe ATC-Code]"),Tabelle3!$A28)</f>
        <v>0</v>
      </c>
      <c r="BD28">
        <f ca="1">COUNTIFS(INDIRECT("Table1[Beginn]"),"&lt;="&amp;BD$1,INDIRECT("Table1[Ende]"),"&gt;="&amp;BD$1,INDIRECT("Table1[Obergruppe ATC-Code]"),Tabelle3!$A28)</f>
        <v>0</v>
      </c>
      <c r="BE28">
        <f ca="1">COUNTIFS(INDIRECT("Table1[Beginn]"),"&lt;="&amp;BE$1,INDIRECT("Table1[Ende]"),"&gt;="&amp;BE$1,INDIRECT("Table1[Obergruppe ATC-Code]"),Tabelle3!$A28)</f>
        <v>0</v>
      </c>
      <c r="BF28">
        <f ca="1">COUNTIFS(INDIRECT("Table1[Beginn]"),"&lt;="&amp;BF$1,INDIRECT("Table1[Ende]"),"&gt;="&amp;BF$1,INDIRECT("Table1[Obergruppe ATC-Code]"),Tabelle3!$A28)</f>
        <v>0</v>
      </c>
      <c r="BG28">
        <f ca="1">COUNTIFS(INDIRECT("Table1[Beginn]"),"&lt;="&amp;BG$1,INDIRECT("Table1[Ende]"),"&gt;="&amp;BG$1,INDIRECT("Table1[Obergruppe ATC-Code]"),Tabelle3!$A28)</f>
        <v>0</v>
      </c>
      <c r="BH28">
        <f ca="1">COUNTIFS(INDIRECT("Table1[Beginn]"),"&lt;="&amp;BH$1,INDIRECT("Table1[Ende]"),"&gt;="&amp;BH$1,INDIRECT("Table1[Obergruppe ATC-Code]"),Tabelle3!$A28)</f>
        <v>0</v>
      </c>
      <c r="BI28">
        <f ca="1">COUNTIFS(INDIRECT("Table1[Beginn]"),"&lt;="&amp;BI$1,INDIRECT("Table1[Ende]"),"&gt;="&amp;BI$1,INDIRECT("Table1[Obergruppe ATC-Code]"),Tabelle3!$A28)</f>
        <v>0</v>
      </c>
      <c r="BJ28">
        <f ca="1">COUNTIFS(INDIRECT("Table1[Beginn]"),"&lt;="&amp;BJ$1,INDIRECT("Table1[Ende]"),"&gt;="&amp;BJ$1,INDIRECT("Table1[Obergruppe ATC-Code]"),Tabelle3!$A28)</f>
        <v>0</v>
      </c>
      <c r="BK28">
        <f ca="1">COUNTIFS(INDIRECT("Table1[Beginn]"),"&lt;="&amp;BK$1,INDIRECT("Table1[Ende]"),"&gt;="&amp;BK$1,INDIRECT("Table1[Obergruppe ATC-Code]"),Tabelle3!$A28)</f>
        <v>0</v>
      </c>
      <c r="BL28">
        <f ca="1">COUNTIFS(INDIRECT("Table1[Beginn]"),"&lt;="&amp;BL$1,INDIRECT("Table1[Ende]"),"&gt;="&amp;BL$1,INDIRECT("Table1[Obergruppe ATC-Code]"),Tabelle3!$A28)</f>
        <v>0</v>
      </c>
      <c r="BM28">
        <f ca="1">COUNTIFS(INDIRECT("Table1[Beginn]"),"&lt;="&amp;BM$1,INDIRECT("Table1[Ende]"),"&gt;="&amp;BM$1,INDIRECT("Table1[Obergruppe ATC-Code]"),Tabelle3!$A28)</f>
        <v>0</v>
      </c>
      <c r="BN28">
        <f ca="1">COUNTIFS(INDIRECT("Table1[Beginn]"),"&lt;="&amp;BN$1,INDIRECT("Table1[Ende]"),"&gt;="&amp;BN$1,INDIRECT("Table1[Obergruppe ATC-Code]"),Tabelle3!$A28)</f>
        <v>0</v>
      </c>
      <c r="BO28">
        <f ca="1">COUNTIFS(INDIRECT("Table1[Beginn]"),"&lt;="&amp;BO$1,INDIRECT("Table1[Ende]"),"&gt;="&amp;BO$1,INDIRECT("Table1[Obergruppe ATC-Code]"),Tabelle3!$A28)</f>
        <v>0</v>
      </c>
      <c r="BP28">
        <f ca="1">COUNTIFS(INDIRECT("Table1[Beginn]"),"&lt;="&amp;BP$1,INDIRECT("Table1[Ende]"),"&gt;="&amp;BP$1,INDIRECT("Table1[Obergruppe ATC-Code]"),Tabelle3!$A28)</f>
        <v>0</v>
      </c>
      <c r="BQ28">
        <f ca="1">COUNTIFS(INDIRECT("Table1[Beginn]"),"&lt;="&amp;BQ$1,INDIRECT("Table1[Ende]"),"&gt;="&amp;BQ$1,INDIRECT("Table1[Obergruppe ATC-Code]"),Tabelle3!$A28)</f>
        <v>0</v>
      </c>
      <c r="BR28">
        <f ca="1">COUNTIFS(INDIRECT("Table1[Beginn]"),"&lt;="&amp;BR$1,INDIRECT("Table1[Ende]"),"&gt;="&amp;BR$1,INDIRECT("Table1[Obergruppe ATC-Code]"),Tabelle3!$A28)</f>
        <v>0</v>
      </c>
      <c r="BS28">
        <f ca="1">COUNTIFS(INDIRECT("Table1[Beginn]"),"&lt;="&amp;BS$1,INDIRECT("Table1[Ende]"),"&gt;="&amp;BS$1,INDIRECT("Table1[Obergruppe ATC-Code]"),Tabelle3!$A28)</f>
        <v>0</v>
      </c>
      <c r="BT28">
        <f ca="1">COUNTIFS(INDIRECT("Table1[Beginn]"),"&lt;="&amp;BT$1,INDIRECT("Table1[Ende]"),"&gt;="&amp;BT$1,INDIRECT("Table1[Obergruppe ATC-Code]"),Tabelle3!$A28)</f>
        <v>0</v>
      </c>
      <c r="BU28">
        <f ca="1">COUNTIFS(INDIRECT("Table1[Beginn]"),"&lt;="&amp;BU$1,INDIRECT("Table1[Ende]"),"&gt;="&amp;BU$1,INDIRECT("Table1[Obergruppe ATC-Code]"),Tabelle3!$A28)</f>
        <v>0</v>
      </c>
      <c r="BV28">
        <f ca="1">COUNTIFS(INDIRECT("Table1[Beginn]"),"&lt;="&amp;BV$1,INDIRECT("Table1[Ende]"),"&gt;="&amp;BV$1,INDIRECT("Table1[Obergruppe ATC-Code]"),Tabelle3!$A28)</f>
        <v>0</v>
      </c>
      <c r="BW28">
        <f ca="1">COUNTIFS(INDIRECT("Table1[Beginn]"),"&lt;="&amp;BW$1,INDIRECT("Table1[Ende]"),"&gt;="&amp;BW$1,INDIRECT("Table1[Obergruppe ATC-Code]"),Tabelle3!$A28)</f>
        <v>0</v>
      </c>
      <c r="BX28">
        <f ca="1">COUNTIFS(INDIRECT("Table1[Beginn]"),"&lt;="&amp;BX$1,INDIRECT("Table1[Ende]"),"&gt;="&amp;BX$1,INDIRECT("Table1[Obergruppe ATC-Code]"),Tabelle3!$A28)</f>
        <v>0</v>
      </c>
      <c r="BY28">
        <f ca="1">COUNTIFS(INDIRECT("Table1[Beginn]"),"&lt;="&amp;BY$1,INDIRECT("Table1[Ende]"),"&gt;="&amp;BY$1,INDIRECT("Table1[Obergruppe ATC-Code]"),Tabelle3!$A28)</f>
        <v>0</v>
      </c>
      <c r="BZ28">
        <f ca="1">COUNTIFS(INDIRECT("Table1[Beginn]"),"&lt;="&amp;BZ$1,INDIRECT("Table1[Ende]"),"&gt;="&amp;BZ$1,INDIRECT("Table1[Obergruppe ATC-Code]"),Tabelle3!$A28)</f>
        <v>0</v>
      </c>
      <c r="CA28">
        <f ca="1">COUNTIFS(INDIRECT("Table1[Beginn]"),"&lt;="&amp;CA$1,INDIRECT("Table1[Ende]"),"&gt;="&amp;CA$1,INDIRECT("Table1[Obergruppe ATC-Code]"),Tabelle3!$A28)</f>
        <v>0</v>
      </c>
      <c r="CB28">
        <f ca="1">COUNTIFS(INDIRECT("Table1[Beginn]"),"&lt;="&amp;CB$1,INDIRECT("Table1[Ende]"),"&gt;="&amp;CB$1,INDIRECT("Table1[Obergruppe ATC-Code]"),Tabelle3!$A28)</f>
        <v>0</v>
      </c>
      <c r="CC28">
        <f ca="1">COUNTIFS(INDIRECT("Table1[Beginn]"),"&lt;="&amp;CC$1,INDIRECT("Table1[Ende]"),"&gt;="&amp;CC$1,INDIRECT("Table1[Obergruppe ATC-Code]"),Tabelle3!$A28)</f>
        <v>0</v>
      </c>
      <c r="CD28">
        <f ca="1">COUNTIFS(INDIRECT("Table1[Beginn]"),"&lt;="&amp;CD$1,INDIRECT("Table1[Ende]"),"&gt;="&amp;CD$1,INDIRECT("Table1[Obergruppe ATC-Code]"),Tabelle3!$A28)</f>
        <v>0</v>
      </c>
      <c r="CE28">
        <f ca="1">COUNTIFS(INDIRECT("Table1[Beginn]"),"&lt;="&amp;CE$1,INDIRECT("Table1[Ende]"),"&gt;="&amp;CE$1,INDIRECT("Table1[Obergruppe ATC-Code]"),Tabelle3!$A28)</f>
        <v>0</v>
      </c>
      <c r="CF28">
        <f ca="1">COUNTIFS(INDIRECT("Table1[Beginn]"),"&lt;="&amp;CF$1,INDIRECT("Table1[Ende]"),"&gt;="&amp;CF$1,INDIRECT("Table1[Obergruppe ATC-Code]"),Tabelle3!$A28)</f>
        <v>0</v>
      </c>
      <c r="CG28">
        <f ca="1">COUNTIFS(INDIRECT("Table1[Beginn]"),"&lt;="&amp;CG$1,INDIRECT("Table1[Ende]"),"&gt;="&amp;CG$1,INDIRECT("Table1[Obergruppe ATC-Code]"),Tabelle3!$A28)</f>
        <v>0</v>
      </c>
      <c r="CH28">
        <f ca="1">COUNTIFS(INDIRECT("Table1[Beginn]"),"&lt;="&amp;CH$1,INDIRECT("Table1[Ende]"),"&gt;="&amp;CH$1,INDIRECT("Table1[Obergruppe ATC-Code]"),Tabelle3!$A28)</f>
        <v>0</v>
      </c>
      <c r="CI28">
        <f ca="1">COUNTIFS(INDIRECT("Table1[Beginn]"),"&lt;="&amp;CI$1,INDIRECT("Table1[Ende]"),"&gt;="&amp;CI$1,INDIRECT("Table1[Obergruppe ATC-Code]"),Tabelle3!$A28)</f>
        <v>0</v>
      </c>
      <c r="CJ28">
        <f ca="1">COUNTIFS(INDIRECT("Table1[Beginn]"),"&lt;="&amp;CJ$1,INDIRECT("Table1[Ende]"),"&gt;="&amp;CJ$1,INDIRECT("Table1[Obergruppe ATC-Code]"),Tabelle3!$A28)</f>
        <v>0</v>
      </c>
      <c r="CK28">
        <f ca="1">COUNTIFS(INDIRECT("Table1[Beginn]"),"&lt;="&amp;CK$1,INDIRECT("Table1[Ende]"),"&gt;="&amp;CK$1,INDIRECT("Table1[Obergruppe ATC-Code]"),Tabelle3!$A28)</f>
        <v>0</v>
      </c>
      <c r="CL28">
        <f ca="1">COUNTIFS(INDIRECT("Table1[Beginn]"),"&lt;="&amp;CL$1,INDIRECT("Table1[Ende]"),"&gt;="&amp;CL$1,INDIRECT("Table1[Obergruppe ATC-Code]"),Tabelle3!$A28)</f>
        <v>0</v>
      </c>
      <c r="CM28">
        <f ca="1">COUNTIFS(INDIRECT("Table1[Beginn]"),"&lt;="&amp;CM$1,INDIRECT("Table1[Ende]"),"&gt;="&amp;CM$1,INDIRECT("Table1[Obergruppe ATC-Code]"),Tabelle3!$A28)</f>
        <v>0</v>
      </c>
      <c r="CN28">
        <f ca="1">COUNTIFS(INDIRECT("Table1[Beginn]"),"&lt;="&amp;CN$1,INDIRECT("Table1[Ende]"),"&gt;="&amp;CN$1,INDIRECT("Table1[Obergruppe ATC-Code]"),Tabelle3!$A28)</f>
        <v>0</v>
      </c>
      <c r="CO28">
        <f ca="1">COUNTIFS(INDIRECT("Table1[Beginn]"),"&lt;="&amp;CO$1,INDIRECT("Table1[Ende]"),"&gt;="&amp;CO$1,INDIRECT("Table1[Obergruppe ATC-Code]"),Tabelle3!$A28)</f>
        <v>0</v>
      </c>
      <c r="CP28">
        <f ca="1">COUNTIFS(INDIRECT("Table1[Beginn]"),"&lt;="&amp;CP$1,INDIRECT("Table1[Ende]"),"&gt;="&amp;CP$1,INDIRECT("Table1[Obergruppe ATC-Code]"),Tabelle3!$A28)</f>
        <v>0</v>
      </c>
      <c r="CQ28">
        <f ca="1">COUNTIFS(INDIRECT("Table1[Beginn]"),"&lt;="&amp;CQ$1,INDIRECT("Table1[Ende]"),"&gt;="&amp;CQ$1,INDIRECT("Table1[Obergruppe ATC-Code]"),Tabelle3!$A28)</f>
        <v>0</v>
      </c>
      <c r="CR28">
        <f ca="1">COUNTIFS(INDIRECT("Table1[Beginn]"),"&lt;="&amp;CR$1,INDIRECT("Table1[Ende]"),"&gt;="&amp;CR$1,INDIRECT("Table1[Obergruppe ATC-Code]"),Tabelle3!$A28)</f>
        <v>0</v>
      </c>
    </row>
    <row r="29" spans="1:96" ht="18">
      <c r="A29" s="9" t="s">
        <v>6826</v>
      </c>
      <c r="B29" s="10" t="s">
        <v>6827</v>
      </c>
      <c r="C29">
        <f ca="1">COUNTIFS(INDIRECT("Table1[Beginn]"),"&lt;="&amp;C$1,INDIRECT("Table1[Ende]"),"&gt;="&amp;C$1,INDIRECT("Table1[Obergruppe ATC-Code]"),Tabelle3!$A29)</f>
        <v>1</v>
      </c>
      <c r="D29">
        <f ca="1">COUNTIFS(INDIRECT("Table1[Beginn]"),"&lt;="&amp;D$1,INDIRECT("Table1[Ende]"),"&gt;="&amp;D$1,INDIRECT("Table1[Obergruppe ATC-Code]"),Tabelle3!$A29)</f>
        <v>1</v>
      </c>
      <c r="E29">
        <f ca="1">COUNTIFS(INDIRECT("Table1[Beginn]"),"&lt;="&amp;E$1,INDIRECT("Table1[Ende]"),"&gt;="&amp;E$1,INDIRECT("Table1[Obergruppe ATC-Code]"),Tabelle3!$A29)</f>
        <v>1</v>
      </c>
      <c r="F29">
        <f ca="1">COUNTIFS(INDIRECT("Table1[Beginn]"),"&lt;="&amp;F$1,INDIRECT("Table1[Ende]"),"&gt;="&amp;F$1,INDIRECT("Table1[Obergruppe ATC-Code]"),Tabelle3!$A29)</f>
        <v>1</v>
      </c>
      <c r="G29">
        <f ca="1">COUNTIFS(INDIRECT("Table1[Beginn]"),"&lt;="&amp;G$1,INDIRECT("Table1[Ende]"),"&gt;="&amp;G$1,INDIRECT("Table1[Obergruppe ATC-Code]"),Tabelle3!$A29)</f>
        <v>1</v>
      </c>
      <c r="H29">
        <f ca="1">COUNTIFS(INDIRECT("Table1[Beginn]"),"&lt;="&amp;H$1,INDIRECT("Table1[Ende]"),"&gt;="&amp;H$1,INDIRECT("Table1[Obergruppe ATC-Code]"),Tabelle3!$A29)</f>
        <v>1</v>
      </c>
      <c r="I29">
        <f ca="1">COUNTIFS(INDIRECT("Table1[Beginn]"),"&lt;="&amp;I$1,INDIRECT("Table1[Ende]"),"&gt;="&amp;I$1,INDIRECT("Table1[Obergruppe ATC-Code]"),Tabelle3!$A29)</f>
        <v>1</v>
      </c>
      <c r="J29">
        <f ca="1">COUNTIFS(INDIRECT("Table1[Beginn]"),"&lt;="&amp;J$1,INDIRECT("Table1[Ende]"),"&gt;="&amp;J$1,INDIRECT("Table1[Obergruppe ATC-Code]"),Tabelle3!$A29)</f>
        <v>1</v>
      </c>
      <c r="K29">
        <f ca="1">COUNTIFS(INDIRECT("Table1[Beginn]"),"&lt;="&amp;K$1,INDIRECT("Table1[Ende]"),"&gt;="&amp;K$1,INDIRECT("Table1[Obergruppe ATC-Code]"),Tabelle3!$A29)</f>
        <v>1</v>
      </c>
      <c r="L29">
        <f ca="1">COUNTIFS(INDIRECT("Table1[Beginn]"),"&lt;="&amp;L$1,INDIRECT("Table1[Ende]"),"&gt;="&amp;L$1,INDIRECT("Table1[Obergruppe ATC-Code]"),Tabelle3!$A29)</f>
        <v>1</v>
      </c>
      <c r="M29">
        <f ca="1">COUNTIFS(INDIRECT("Table1[Beginn]"),"&lt;="&amp;M$1,INDIRECT("Table1[Ende]"),"&gt;="&amp;M$1,INDIRECT("Table1[Obergruppe ATC-Code]"),Tabelle3!$A29)</f>
        <v>1</v>
      </c>
      <c r="N29">
        <f ca="1">COUNTIFS(INDIRECT("Table1[Beginn]"),"&lt;="&amp;N$1,INDIRECT("Table1[Ende]"),"&gt;="&amp;N$1,INDIRECT("Table1[Obergruppe ATC-Code]"),Tabelle3!$A29)</f>
        <v>1</v>
      </c>
      <c r="O29">
        <f ca="1">COUNTIFS(INDIRECT("Table1[Beginn]"),"&lt;="&amp;O$1,INDIRECT("Table1[Ende]"),"&gt;="&amp;O$1,INDIRECT("Table1[Obergruppe ATC-Code]"),Tabelle3!$A29)</f>
        <v>1</v>
      </c>
      <c r="P29">
        <f ca="1">COUNTIFS(INDIRECT("Table1[Beginn]"),"&lt;="&amp;P$1,INDIRECT("Table1[Ende]"),"&gt;="&amp;P$1,INDIRECT("Table1[Obergruppe ATC-Code]"),Tabelle3!$A29)</f>
        <v>0</v>
      </c>
      <c r="Q29">
        <f ca="1">COUNTIFS(INDIRECT("Table1[Beginn]"),"&lt;="&amp;Q$1,INDIRECT("Table1[Ende]"),"&gt;="&amp;Q$1,INDIRECT("Table1[Obergruppe ATC-Code]"),Tabelle3!$A29)</f>
        <v>0</v>
      </c>
      <c r="R29">
        <f ca="1">COUNTIFS(INDIRECT("Table1[Beginn]"),"&lt;="&amp;R$1,INDIRECT("Table1[Ende]"),"&gt;="&amp;R$1,INDIRECT("Table1[Obergruppe ATC-Code]"),Tabelle3!$A29)</f>
        <v>0</v>
      </c>
      <c r="S29">
        <f ca="1">COUNTIFS(INDIRECT("Table1[Beginn]"),"&lt;="&amp;S$1,INDIRECT("Table1[Ende]"),"&gt;="&amp;S$1,INDIRECT("Table1[Obergruppe ATC-Code]"),Tabelle3!$A29)</f>
        <v>0</v>
      </c>
      <c r="T29">
        <f ca="1">COUNTIFS(INDIRECT("Table1[Beginn]"),"&lt;="&amp;T$1,INDIRECT("Table1[Ende]"),"&gt;="&amp;T$1,INDIRECT("Table1[Obergruppe ATC-Code]"),Tabelle3!$A29)</f>
        <v>0</v>
      </c>
      <c r="U29">
        <f ca="1">COUNTIFS(INDIRECT("Table1[Beginn]"),"&lt;="&amp;U$1,INDIRECT("Table1[Ende]"),"&gt;="&amp;U$1,INDIRECT("Table1[Obergruppe ATC-Code]"),Tabelle3!$A29)</f>
        <v>0</v>
      </c>
      <c r="V29">
        <f ca="1">COUNTIFS(INDIRECT("Table1[Beginn]"),"&lt;="&amp;V$1,INDIRECT("Table1[Ende]"),"&gt;="&amp;V$1,INDIRECT("Table1[Obergruppe ATC-Code]"),Tabelle3!$A29)</f>
        <v>0</v>
      </c>
      <c r="W29">
        <f ca="1">COUNTIFS(INDIRECT("Table1[Beginn]"),"&lt;="&amp;W$1,INDIRECT("Table1[Ende]"),"&gt;="&amp;W$1,INDIRECT("Table1[Obergruppe ATC-Code]"),Tabelle3!$A29)</f>
        <v>0</v>
      </c>
      <c r="X29">
        <f ca="1">COUNTIFS(INDIRECT("Table1[Beginn]"),"&lt;="&amp;X$1,INDIRECT("Table1[Ende]"),"&gt;="&amp;X$1,INDIRECT("Table1[Obergruppe ATC-Code]"),Tabelle3!$A29)</f>
        <v>0</v>
      </c>
      <c r="Y29">
        <f ca="1">COUNTIFS(INDIRECT("Table1[Beginn]"),"&lt;="&amp;Y$1,INDIRECT("Table1[Ende]"),"&gt;="&amp;Y$1,INDIRECT("Table1[Obergruppe ATC-Code]"),Tabelle3!$A29)</f>
        <v>1</v>
      </c>
      <c r="Z29">
        <f ca="1">COUNTIFS(INDIRECT("Table1[Beginn]"),"&lt;="&amp;Z$1,INDIRECT("Table1[Ende]"),"&gt;="&amp;Z$1,INDIRECT("Table1[Obergruppe ATC-Code]"),Tabelle3!$A29)</f>
        <v>1</v>
      </c>
      <c r="AA29">
        <f ca="1">COUNTIFS(INDIRECT("Table1[Beginn]"),"&lt;="&amp;AA$1,INDIRECT("Table1[Ende]"),"&gt;="&amp;AA$1,INDIRECT("Table1[Obergruppe ATC-Code]"),Tabelle3!$A29)</f>
        <v>1</v>
      </c>
      <c r="AB29">
        <f ca="1">COUNTIFS(INDIRECT("Table1[Beginn]"),"&lt;="&amp;AB$1,INDIRECT("Table1[Ende]"),"&gt;="&amp;AB$1,INDIRECT("Table1[Obergruppe ATC-Code]"),Tabelle3!$A29)</f>
        <v>1</v>
      </c>
      <c r="AC29">
        <f ca="1">COUNTIFS(INDIRECT("Table1[Beginn]"),"&lt;="&amp;AC$1,INDIRECT("Table1[Ende]"),"&gt;="&amp;AC$1,INDIRECT("Table1[Obergruppe ATC-Code]"),Tabelle3!$A29)</f>
        <v>1</v>
      </c>
      <c r="AD29">
        <f ca="1">COUNTIFS(INDIRECT("Table1[Beginn]"),"&lt;="&amp;AD$1,INDIRECT("Table1[Ende]"),"&gt;="&amp;AD$1,INDIRECT("Table1[Obergruppe ATC-Code]"),Tabelle3!$A29)</f>
        <v>1</v>
      </c>
      <c r="AE29">
        <f ca="1">COUNTIFS(INDIRECT("Table1[Beginn]"),"&lt;="&amp;AE$1,INDIRECT("Table1[Ende]"),"&gt;="&amp;AE$1,INDIRECT("Table1[Obergruppe ATC-Code]"),Tabelle3!$A29)</f>
        <v>1</v>
      </c>
      <c r="AF29">
        <f ca="1">COUNTIFS(INDIRECT("Table1[Beginn]"),"&lt;="&amp;AF$1,INDIRECT("Table1[Ende]"),"&gt;="&amp;AF$1,INDIRECT("Table1[Obergruppe ATC-Code]"),Tabelle3!$A29)</f>
        <v>1</v>
      </c>
      <c r="AG29">
        <f ca="1">COUNTIFS(INDIRECT("Table1[Beginn]"),"&lt;="&amp;AG$1,INDIRECT("Table1[Ende]"),"&gt;="&amp;AG$1,INDIRECT("Table1[Obergruppe ATC-Code]"),Tabelle3!$A29)</f>
        <v>1</v>
      </c>
      <c r="AH29">
        <f ca="1">COUNTIFS(INDIRECT("Table1[Beginn]"),"&lt;="&amp;AH$1,INDIRECT("Table1[Ende]"),"&gt;="&amp;AH$1,INDIRECT("Table1[Obergruppe ATC-Code]"),Tabelle3!$A29)</f>
        <v>1</v>
      </c>
      <c r="AI29">
        <f ca="1">COUNTIFS(INDIRECT("Table1[Beginn]"),"&lt;="&amp;AI$1,INDIRECT("Table1[Ende]"),"&gt;="&amp;AI$1,INDIRECT("Table1[Obergruppe ATC-Code]"),Tabelle3!$A29)</f>
        <v>1</v>
      </c>
      <c r="AJ29">
        <f ca="1">COUNTIFS(INDIRECT("Table1[Beginn]"),"&lt;="&amp;AJ$1,INDIRECT("Table1[Ende]"),"&gt;="&amp;AJ$1,INDIRECT("Table1[Obergruppe ATC-Code]"),Tabelle3!$A29)</f>
        <v>1</v>
      </c>
      <c r="AK29">
        <f ca="1">COUNTIFS(INDIRECT("Table1[Beginn]"),"&lt;="&amp;AK$1,INDIRECT("Table1[Ende]"),"&gt;="&amp;AK$1,INDIRECT("Table1[Obergruppe ATC-Code]"),Tabelle3!$A29)</f>
        <v>1</v>
      </c>
      <c r="AL29">
        <f ca="1">COUNTIFS(INDIRECT("Table1[Beginn]"),"&lt;="&amp;AL$1,INDIRECT("Table1[Ende]"),"&gt;="&amp;AL$1,INDIRECT("Table1[Obergruppe ATC-Code]"),Tabelle3!$A29)</f>
        <v>1</v>
      </c>
      <c r="AM29">
        <f ca="1">COUNTIFS(INDIRECT("Table1[Beginn]"),"&lt;="&amp;AM$1,INDIRECT("Table1[Ende]"),"&gt;="&amp;AM$1,INDIRECT("Table1[Obergruppe ATC-Code]"),Tabelle3!$A29)</f>
        <v>4</v>
      </c>
      <c r="AN29">
        <f ca="1">COUNTIFS(INDIRECT("Table1[Beginn]"),"&lt;="&amp;AN$1,INDIRECT("Table1[Ende]"),"&gt;="&amp;AN$1,INDIRECT("Table1[Obergruppe ATC-Code]"),Tabelle3!$A29)</f>
        <v>4</v>
      </c>
      <c r="AO29">
        <f ca="1">COUNTIFS(INDIRECT("Table1[Beginn]"),"&lt;="&amp;AO$1,INDIRECT("Table1[Ende]"),"&gt;="&amp;AO$1,INDIRECT("Table1[Obergruppe ATC-Code]"),Tabelle3!$A29)</f>
        <v>5</v>
      </c>
      <c r="AP29">
        <f ca="1">COUNTIFS(INDIRECT("Table1[Beginn]"),"&lt;="&amp;AP$1,INDIRECT("Table1[Ende]"),"&gt;="&amp;AP$1,INDIRECT("Table1[Obergruppe ATC-Code]"),Tabelle3!$A29)</f>
        <v>6</v>
      </c>
      <c r="AQ29">
        <f ca="1">COUNTIFS(INDIRECT("Table1[Beginn]"),"&lt;="&amp;AQ$1,INDIRECT("Table1[Ende]"),"&gt;="&amp;AQ$1,INDIRECT("Table1[Obergruppe ATC-Code]"),Tabelle3!$A29)</f>
        <v>6</v>
      </c>
      <c r="AR29">
        <f ca="1">COUNTIFS(INDIRECT("Table1[Beginn]"),"&lt;="&amp;AR$1,INDIRECT("Table1[Ende]"),"&gt;="&amp;AR$1,INDIRECT("Table1[Obergruppe ATC-Code]"),Tabelle3!$A29)</f>
        <v>5</v>
      </c>
      <c r="AS29">
        <f ca="1">COUNTIFS(INDIRECT("Table1[Beginn]"),"&lt;="&amp;AS$1,INDIRECT("Table1[Ende]"),"&gt;="&amp;AS$1,INDIRECT("Table1[Obergruppe ATC-Code]"),Tabelle3!$A29)</f>
        <v>6</v>
      </c>
      <c r="AT29">
        <f ca="1">COUNTIFS(INDIRECT("Table1[Beginn]"),"&lt;="&amp;AT$1,INDIRECT("Table1[Ende]"),"&gt;="&amp;AT$1,INDIRECT("Table1[Obergruppe ATC-Code]"),Tabelle3!$A29)</f>
        <v>7</v>
      </c>
      <c r="AU29">
        <f ca="1">COUNTIFS(INDIRECT("Table1[Beginn]"),"&lt;="&amp;AU$1,INDIRECT("Table1[Ende]"),"&gt;="&amp;AU$1,INDIRECT("Table1[Obergruppe ATC-Code]"),Tabelle3!$A29)</f>
        <v>12</v>
      </c>
      <c r="AV29">
        <f ca="1">COUNTIFS(INDIRECT("Table1[Beginn]"),"&lt;="&amp;AV$1,INDIRECT("Table1[Ende]"),"&gt;="&amp;AV$1,INDIRECT("Table1[Obergruppe ATC-Code]"),Tabelle3!$A29)</f>
        <v>11</v>
      </c>
      <c r="AW29">
        <f ca="1">COUNTIFS(INDIRECT("Table1[Beginn]"),"&lt;="&amp;AW$1,INDIRECT("Table1[Ende]"),"&gt;="&amp;AW$1,INDIRECT("Table1[Obergruppe ATC-Code]"),Tabelle3!$A29)</f>
        <v>11</v>
      </c>
      <c r="AX29">
        <f ca="1">COUNTIFS(INDIRECT("Table1[Beginn]"),"&lt;="&amp;AX$1,INDIRECT("Table1[Ende]"),"&gt;="&amp;AX$1,INDIRECT("Table1[Obergruppe ATC-Code]"),Tabelle3!$A29)</f>
        <v>11</v>
      </c>
      <c r="AY29">
        <f ca="1">COUNTIFS(INDIRECT("Table1[Beginn]"),"&lt;="&amp;AY$1,INDIRECT("Table1[Ende]"),"&gt;="&amp;AY$1,INDIRECT("Table1[Obergruppe ATC-Code]"),Tabelle3!$A29)</f>
        <v>9</v>
      </c>
      <c r="AZ29">
        <f ca="1">COUNTIFS(INDIRECT("Table1[Beginn]"),"&lt;="&amp;AZ$1,INDIRECT("Table1[Ende]"),"&gt;="&amp;AZ$1,INDIRECT("Table1[Obergruppe ATC-Code]"),Tabelle3!$A29)</f>
        <v>6</v>
      </c>
      <c r="BA29">
        <f ca="1">COUNTIFS(INDIRECT("Table1[Beginn]"),"&lt;="&amp;BA$1,INDIRECT("Table1[Ende]"),"&gt;="&amp;BA$1,INDIRECT("Table1[Obergruppe ATC-Code]"),Tabelle3!$A29)</f>
        <v>6</v>
      </c>
      <c r="BB29">
        <f ca="1">COUNTIFS(INDIRECT("Table1[Beginn]"),"&lt;="&amp;BB$1,INDIRECT("Table1[Ende]"),"&gt;="&amp;BB$1,INDIRECT("Table1[Obergruppe ATC-Code]"),Tabelle3!$A29)</f>
        <v>5</v>
      </c>
      <c r="BC29">
        <f ca="1">COUNTIFS(INDIRECT("Table1[Beginn]"),"&lt;="&amp;BC$1,INDIRECT("Table1[Ende]"),"&gt;="&amp;BC$1,INDIRECT("Table1[Obergruppe ATC-Code]"),Tabelle3!$A29)</f>
        <v>3</v>
      </c>
      <c r="BD29">
        <f ca="1">COUNTIFS(INDIRECT("Table1[Beginn]"),"&lt;="&amp;BD$1,INDIRECT("Table1[Ende]"),"&gt;="&amp;BD$1,INDIRECT("Table1[Obergruppe ATC-Code]"),Tabelle3!$A29)</f>
        <v>3</v>
      </c>
      <c r="BE29">
        <f ca="1">COUNTIFS(INDIRECT("Table1[Beginn]"),"&lt;="&amp;BE$1,INDIRECT("Table1[Ende]"),"&gt;="&amp;BE$1,INDIRECT("Table1[Obergruppe ATC-Code]"),Tabelle3!$A29)</f>
        <v>2</v>
      </c>
      <c r="BF29">
        <f ca="1">COUNTIFS(INDIRECT("Table1[Beginn]"),"&lt;="&amp;BF$1,INDIRECT("Table1[Ende]"),"&gt;="&amp;BF$1,INDIRECT("Table1[Obergruppe ATC-Code]"),Tabelle3!$A29)</f>
        <v>2</v>
      </c>
      <c r="BG29">
        <f ca="1">COUNTIFS(INDIRECT("Table1[Beginn]"),"&lt;="&amp;BG$1,INDIRECT("Table1[Ende]"),"&gt;="&amp;BG$1,INDIRECT("Table1[Obergruppe ATC-Code]"),Tabelle3!$A29)</f>
        <v>1</v>
      </c>
      <c r="BH29">
        <f ca="1">COUNTIFS(INDIRECT("Table1[Beginn]"),"&lt;="&amp;BH$1,INDIRECT("Table1[Ende]"),"&gt;="&amp;BH$1,INDIRECT("Table1[Obergruppe ATC-Code]"),Tabelle3!$A29)</f>
        <v>3</v>
      </c>
      <c r="BI29">
        <f ca="1">COUNTIFS(INDIRECT("Table1[Beginn]"),"&lt;="&amp;BI$1,INDIRECT("Table1[Ende]"),"&gt;="&amp;BI$1,INDIRECT("Table1[Obergruppe ATC-Code]"),Tabelle3!$A29)</f>
        <v>6</v>
      </c>
      <c r="BJ29">
        <f ca="1">COUNTIFS(INDIRECT("Table1[Beginn]"),"&lt;="&amp;BJ$1,INDIRECT("Table1[Ende]"),"&gt;="&amp;BJ$1,INDIRECT("Table1[Obergruppe ATC-Code]"),Tabelle3!$A29)</f>
        <v>7</v>
      </c>
      <c r="BK29">
        <f ca="1">COUNTIFS(INDIRECT("Table1[Beginn]"),"&lt;="&amp;BK$1,INDIRECT("Table1[Ende]"),"&gt;="&amp;BK$1,INDIRECT("Table1[Obergruppe ATC-Code]"),Tabelle3!$A29)</f>
        <v>7</v>
      </c>
      <c r="BL29">
        <f ca="1">COUNTIFS(INDIRECT("Table1[Beginn]"),"&lt;="&amp;BL$1,INDIRECT("Table1[Ende]"),"&gt;="&amp;BL$1,INDIRECT("Table1[Obergruppe ATC-Code]"),Tabelle3!$A29)</f>
        <v>6</v>
      </c>
      <c r="BM29">
        <f ca="1">COUNTIFS(INDIRECT("Table1[Beginn]"),"&lt;="&amp;BM$1,INDIRECT("Table1[Ende]"),"&gt;="&amp;BM$1,INDIRECT("Table1[Obergruppe ATC-Code]"),Tabelle3!$A29)</f>
        <v>6</v>
      </c>
      <c r="BN29">
        <f ca="1">COUNTIFS(INDIRECT("Table1[Beginn]"),"&lt;="&amp;BN$1,INDIRECT("Table1[Ende]"),"&gt;="&amp;BN$1,INDIRECT("Table1[Obergruppe ATC-Code]"),Tabelle3!$A29)</f>
        <v>4</v>
      </c>
      <c r="BO29">
        <f ca="1">COUNTIFS(INDIRECT("Table1[Beginn]"),"&lt;="&amp;BO$1,INDIRECT("Table1[Ende]"),"&gt;="&amp;BO$1,INDIRECT("Table1[Obergruppe ATC-Code]"),Tabelle3!$A29)</f>
        <v>3</v>
      </c>
      <c r="BP29">
        <f ca="1">COUNTIFS(INDIRECT("Table1[Beginn]"),"&lt;="&amp;BP$1,INDIRECT("Table1[Ende]"),"&gt;="&amp;BP$1,INDIRECT("Table1[Obergruppe ATC-Code]"),Tabelle3!$A29)</f>
        <v>2</v>
      </c>
      <c r="BQ29">
        <f ca="1">COUNTIFS(INDIRECT("Table1[Beginn]"),"&lt;="&amp;BQ$1,INDIRECT("Table1[Ende]"),"&gt;="&amp;BQ$1,INDIRECT("Table1[Obergruppe ATC-Code]"),Tabelle3!$A29)</f>
        <v>0</v>
      </c>
      <c r="BR29">
        <f ca="1">COUNTIFS(INDIRECT("Table1[Beginn]"),"&lt;="&amp;BR$1,INDIRECT("Table1[Ende]"),"&gt;="&amp;BR$1,INDIRECT("Table1[Obergruppe ATC-Code]"),Tabelle3!$A29)</f>
        <v>0</v>
      </c>
      <c r="BS29">
        <f ca="1">COUNTIFS(INDIRECT("Table1[Beginn]"),"&lt;="&amp;BS$1,INDIRECT("Table1[Ende]"),"&gt;="&amp;BS$1,INDIRECT("Table1[Obergruppe ATC-Code]"),Tabelle3!$A29)</f>
        <v>0</v>
      </c>
      <c r="BT29">
        <f ca="1">COUNTIFS(INDIRECT("Table1[Beginn]"),"&lt;="&amp;BT$1,INDIRECT("Table1[Ende]"),"&gt;="&amp;BT$1,INDIRECT("Table1[Obergruppe ATC-Code]"),Tabelle3!$A29)</f>
        <v>0</v>
      </c>
      <c r="BU29">
        <f ca="1">COUNTIFS(INDIRECT("Table1[Beginn]"),"&lt;="&amp;BU$1,INDIRECT("Table1[Ende]"),"&gt;="&amp;BU$1,INDIRECT("Table1[Obergruppe ATC-Code]"),Tabelle3!$A29)</f>
        <v>18</v>
      </c>
      <c r="BV29">
        <f ca="1">COUNTIFS(INDIRECT("Table1[Beginn]"),"&lt;="&amp;BV$1,INDIRECT("Table1[Ende]"),"&gt;="&amp;BV$1,INDIRECT("Table1[Obergruppe ATC-Code]"),Tabelle3!$A29)</f>
        <v>16</v>
      </c>
      <c r="BW29">
        <f ca="1">COUNTIFS(INDIRECT("Table1[Beginn]"),"&lt;="&amp;BW$1,INDIRECT("Table1[Ende]"),"&gt;="&amp;BW$1,INDIRECT("Table1[Obergruppe ATC-Code]"),Tabelle3!$A29)</f>
        <v>10</v>
      </c>
      <c r="BX29">
        <f ca="1">COUNTIFS(INDIRECT("Table1[Beginn]"),"&lt;="&amp;BX$1,INDIRECT("Table1[Ende]"),"&gt;="&amp;BX$1,INDIRECT("Table1[Obergruppe ATC-Code]"),Tabelle3!$A29)</f>
        <v>9</v>
      </c>
      <c r="BY29">
        <f ca="1">COUNTIFS(INDIRECT("Table1[Beginn]"),"&lt;="&amp;BY$1,INDIRECT("Table1[Ende]"),"&gt;="&amp;BY$1,INDIRECT("Table1[Obergruppe ATC-Code]"),Tabelle3!$A29)</f>
        <v>9</v>
      </c>
      <c r="BZ29">
        <f ca="1">COUNTIFS(INDIRECT("Table1[Beginn]"),"&lt;="&amp;BZ$1,INDIRECT("Table1[Ende]"),"&gt;="&amp;BZ$1,INDIRECT("Table1[Obergruppe ATC-Code]"),Tabelle3!$A29)</f>
        <v>6</v>
      </c>
      <c r="CA29">
        <f ca="1">COUNTIFS(INDIRECT("Table1[Beginn]"),"&lt;="&amp;CA$1,INDIRECT("Table1[Ende]"),"&gt;="&amp;CA$1,INDIRECT("Table1[Obergruppe ATC-Code]"),Tabelle3!$A29)</f>
        <v>2</v>
      </c>
      <c r="CB29">
        <f ca="1">COUNTIFS(INDIRECT("Table1[Beginn]"),"&lt;="&amp;CB$1,INDIRECT("Table1[Ende]"),"&gt;="&amp;CB$1,INDIRECT("Table1[Obergruppe ATC-Code]"),Tabelle3!$A29)</f>
        <v>3</v>
      </c>
      <c r="CC29">
        <f ca="1">COUNTIFS(INDIRECT("Table1[Beginn]"),"&lt;="&amp;CC$1,INDIRECT("Table1[Ende]"),"&gt;="&amp;CC$1,INDIRECT("Table1[Obergruppe ATC-Code]"),Tabelle3!$A29)</f>
        <v>2</v>
      </c>
      <c r="CD29">
        <f ca="1">COUNTIFS(INDIRECT("Table1[Beginn]"),"&lt;="&amp;CD$1,INDIRECT("Table1[Ende]"),"&gt;="&amp;CD$1,INDIRECT("Table1[Obergruppe ATC-Code]"),Tabelle3!$A29)</f>
        <v>3</v>
      </c>
      <c r="CE29">
        <f ca="1">COUNTIFS(INDIRECT("Table1[Beginn]"),"&lt;="&amp;CE$1,INDIRECT("Table1[Ende]"),"&gt;="&amp;CE$1,INDIRECT("Table1[Obergruppe ATC-Code]"),Tabelle3!$A29)</f>
        <v>2</v>
      </c>
      <c r="CF29">
        <f ca="1">COUNTIFS(INDIRECT("Table1[Beginn]"),"&lt;="&amp;CF$1,INDIRECT("Table1[Ende]"),"&gt;="&amp;CF$1,INDIRECT("Table1[Obergruppe ATC-Code]"),Tabelle3!$A29)</f>
        <v>0</v>
      </c>
      <c r="CG29">
        <f ca="1">COUNTIFS(INDIRECT("Table1[Beginn]"),"&lt;="&amp;CG$1,INDIRECT("Table1[Ende]"),"&gt;="&amp;CG$1,INDIRECT("Table1[Obergruppe ATC-Code]"),Tabelle3!$A29)</f>
        <v>0</v>
      </c>
      <c r="CH29">
        <f ca="1">COUNTIFS(INDIRECT("Table1[Beginn]"),"&lt;="&amp;CH$1,INDIRECT("Table1[Ende]"),"&gt;="&amp;CH$1,INDIRECT("Table1[Obergruppe ATC-Code]"),Tabelle3!$A29)</f>
        <v>0</v>
      </c>
      <c r="CI29">
        <f ca="1">COUNTIFS(INDIRECT("Table1[Beginn]"),"&lt;="&amp;CI$1,INDIRECT("Table1[Ende]"),"&gt;="&amp;CI$1,INDIRECT("Table1[Obergruppe ATC-Code]"),Tabelle3!$A29)</f>
        <v>0</v>
      </c>
      <c r="CJ29">
        <f ca="1">COUNTIFS(INDIRECT("Table1[Beginn]"),"&lt;="&amp;CJ$1,INDIRECT("Table1[Ende]"),"&gt;="&amp;CJ$1,INDIRECT("Table1[Obergruppe ATC-Code]"),Tabelle3!$A29)</f>
        <v>0</v>
      </c>
      <c r="CK29">
        <f ca="1">COUNTIFS(INDIRECT("Table1[Beginn]"),"&lt;="&amp;CK$1,INDIRECT("Table1[Ende]"),"&gt;="&amp;CK$1,INDIRECT("Table1[Obergruppe ATC-Code]"),Tabelle3!$A29)</f>
        <v>0</v>
      </c>
      <c r="CL29">
        <f ca="1">COUNTIFS(INDIRECT("Table1[Beginn]"),"&lt;="&amp;CL$1,INDIRECT("Table1[Ende]"),"&gt;="&amp;CL$1,INDIRECT("Table1[Obergruppe ATC-Code]"),Tabelle3!$A29)</f>
        <v>0</v>
      </c>
      <c r="CM29">
        <f ca="1">COUNTIFS(INDIRECT("Table1[Beginn]"),"&lt;="&amp;CM$1,INDIRECT("Table1[Ende]"),"&gt;="&amp;CM$1,INDIRECT("Table1[Obergruppe ATC-Code]"),Tabelle3!$A29)</f>
        <v>0</v>
      </c>
      <c r="CN29">
        <f ca="1">COUNTIFS(INDIRECT("Table1[Beginn]"),"&lt;="&amp;CN$1,INDIRECT("Table1[Ende]"),"&gt;="&amp;CN$1,INDIRECT("Table1[Obergruppe ATC-Code]"),Tabelle3!$A29)</f>
        <v>0</v>
      </c>
      <c r="CO29">
        <f ca="1">COUNTIFS(INDIRECT("Table1[Beginn]"),"&lt;="&amp;CO$1,INDIRECT("Table1[Ende]"),"&gt;="&amp;CO$1,INDIRECT("Table1[Obergruppe ATC-Code]"),Tabelle3!$A29)</f>
        <v>0</v>
      </c>
      <c r="CP29">
        <f ca="1">COUNTIFS(INDIRECT("Table1[Beginn]"),"&lt;="&amp;CP$1,INDIRECT("Table1[Ende]"),"&gt;="&amp;CP$1,INDIRECT("Table1[Obergruppe ATC-Code]"),Tabelle3!$A29)</f>
        <v>0</v>
      </c>
      <c r="CQ29">
        <f ca="1">COUNTIFS(INDIRECT("Table1[Beginn]"),"&lt;="&amp;CQ$1,INDIRECT("Table1[Ende]"),"&gt;="&amp;CQ$1,INDIRECT("Table1[Obergruppe ATC-Code]"),Tabelle3!$A29)</f>
        <v>0</v>
      </c>
      <c r="CR29">
        <f ca="1">COUNTIFS(INDIRECT("Table1[Beginn]"),"&lt;="&amp;CR$1,INDIRECT("Table1[Ende]"),"&gt;="&amp;CR$1,INDIRECT("Table1[Obergruppe ATC-Code]"),Tabelle3!$A29)</f>
        <v>0</v>
      </c>
    </row>
    <row r="30" spans="1:96" ht="18">
      <c r="A30" s="7" t="s">
        <v>6828</v>
      </c>
      <c r="B30" s="8" t="s">
        <v>6829</v>
      </c>
      <c r="C30">
        <f ca="1">COUNTIFS(INDIRECT("Table1[Beginn]"),"&lt;="&amp;C$1,INDIRECT("Table1[Ende]"),"&gt;="&amp;C$1,INDIRECT("Table1[Obergruppe ATC-Code]"),Tabelle3!$A30)</f>
        <v>0</v>
      </c>
      <c r="D30">
        <f ca="1">COUNTIFS(INDIRECT("Table1[Beginn]"),"&lt;="&amp;D$1,INDIRECT("Table1[Ende]"),"&gt;="&amp;D$1,INDIRECT("Table1[Obergruppe ATC-Code]"),Tabelle3!$A30)</f>
        <v>2</v>
      </c>
      <c r="E30">
        <f ca="1">COUNTIFS(INDIRECT("Table1[Beginn]"),"&lt;="&amp;E$1,INDIRECT("Table1[Ende]"),"&gt;="&amp;E$1,INDIRECT("Table1[Obergruppe ATC-Code]"),Tabelle3!$A30)</f>
        <v>2</v>
      </c>
      <c r="F30">
        <f ca="1">COUNTIFS(INDIRECT("Table1[Beginn]"),"&lt;="&amp;F$1,INDIRECT("Table1[Ende]"),"&gt;="&amp;F$1,INDIRECT("Table1[Obergruppe ATC-Code]"),Tabelle3!$A30)</f>
        <v>2</v>
      </c>
      <c r="G30">
        <f ca="1">COUNTIFS(INDIRECT("Table1[Beginn]"),"&lt;="&amp;G$1,INDIRECT("Table1[Ende]"),"&gt;="&amp;G$1,INDIRECT("Table1[Obergruppe ATC-Code]"),Tabelle3!$A30)</f>
        <v>2</v>
      </c>
      <c r="H30">
        <f ca="1">COUNTIFS(INDIRECT("Table1[Beginn]"),"&lt;="&amp;H$1,INDIRECT("Table1[Ende]"),"&gt;="&amp;H$1,INDIRECT("Table1[Obergruppe ATC-Code]"),Tabelle3!$A30)</f>
        <v>2</v>
      </c>
      <c r="I30">
        <f ca="1">COUNTIFS(INDIRECT("Table1[Beginn]"),"&lt;="&amp;I$1,INDIRECT("Table1[Ende]"),"&gt;="&amp;I$1,INDIRECT("Table1[Obergruppe ATC-Code]"),Tabelle3!$A30)</f>
        <v>2</v>
      </c>
      <c r="J30">
        <f ca="1">COUNTIFS(INDIRECT("Table1[Beginn]"),"&lt;="&amp;J$1,INDIRECT("Table1[Ende]"),"&gt;="&amp;J$1,INDIRECT("Table1[Obergruppe ATC-Code]"),Tabelle3!$A30)</f>
        <v>2</v>
      </c>
      <c r="K30">
        <f ca="1">COUNTIFS(INDIRECT("Table1[Beginn]"),"&lt;="&amp;K$1,INDIRECT("Table1[Ende]"),"&gt;="&amp;K$1,INDIRECT("Table1[Obergruppe ATC-Code]"),Tabelle3!$A30)</f>
        <v>2</v>
      </c>
      <c r="L30">
        <f ca="1">COUNTIFS(INDIRECT("Table1[Beginn]"),"&lt;="&amp;L$1,INDIRECT("Table1[Ende]"),"&gt;="&amp;L$1,INDIRECT("Table1[Obergruppe ATC-Code]"),Tabelle3!$A30)</f>
        <v>0</v>
      </c>
      <c r="M30">
        <f ca="1">COUNTIFS(INDIRECT("Table1[Beginn]"),"&lt;="&amp;M$1,INDIRECT("Table1[Ende]"),"&gt;="&amp;M$1,INDIRECT("Table1[Obergruppe ATC-Code]"),Tabelle3!$A30)</f>
        <v>0</v>
      </c>
      <c r="N30">
        <f ca="1">COUNTIFS(INDIRECT("Table1[Beginn]"),"&lt;="&amp;N$1,INDIRECT("Table1[Ende]"),"&gt;="&amp;N$1,INDIRECT("Table1[Obergruppe ATC-Code]"),Tabelle3!$A30)</f>
        <v>0</v>
      </c>
      <c r="O30">
        <f ca="1">COUNTIFS(INDIRECT("Table1[Beginn]"),"&lt;="&amp;O$1,INDIRECT("Table1[Ende]"),"&gt;="&amp;O$1,INDIRECT("Table1[Obergruppe ATC-Code]"),Tabelle3!$A30)</f>
        <v>0</v>
      </c>
      <c r="P30">
        <f ca="1">COUNTIFS(INDIRECT("Table1[Beginn]"),"&lt;="&amp;P$1,INDIRECT("Table1[Ende]"),"&gt;="&amp;P$1,INDIRECT("Table1[Obergruppe ATC-Code]"),Tabelle3!$A30)</f>
        <v>0</v>
      </c>
      <c r="Q30">
        <f ca="1">COUNTIFS(INDIRECT("Table1[Beginn]"),"&lt;="&amp;Q$1,INDIRECT("Table1[Ende]"),"&gt;="&amp;Q$1,INDIRECT("Table1[Obergruppe ATC-Code]"),Tabelle3!$A30)</f>
        <v>1</v>
      </c>
      <c r="R30">
        <f ca="1">COUNTIFS(INDIRECT("Table1[Beginn]"),"&lt;="&amp;R$1,INDIRECT("Table1[Ende]"),"&gt;="&amp;R$1,INDIRECT("Table1[Obergruppe ATC-Code]"),Tabelle3!$A30)</f>
        <v>1</v>
      </c>
      <c r="S30">
        <f ca="1">COUNTIFS(INDIRECT("Table1[Beginn]"),"&lt;="&amp;S$1,INDIRECT("Table1[Ende]"),"&gt;="&amp;S$1,INDIRECT("Table1[Obergruppe ATC-Code]"),Tabelle3!$A30)</f>
        <v>1</v>
      </c>
      <c r="T30">
        <f ca="1">COUNTIFS(INDIRECT("Table1[Beginn]"),"&lt;="&amp;T$1,INDIRECT("Table1[Ende]"),"&gt;="&amp;T$1,INDIRECT("Table1[Obergruppe ATC-Code]"),Tabelle3!$A30)</f>
        <v>2</v>
      </c>
      <c r="U30">
        <f ca="1">COUNTIFS(INDIRECT("Table1[Beginn]"),"&lt;="&amp;U$1,INDIRECT("Table1[Ende]"),"&gt;="&amp;U$1,INDIRECT("Table1[Obergruppe ATC-Code]"),Tabelle3!$A30)</f>
        <v>2</v>
      </c>
      <c r="V30">
        <f ca="1">COUNTIFS(INDIRECT("Table1[Beginn]"),"&lt;="&amp;V$1,INDIRECT("Table1[Ende]"),"&gt;="&amp;V$1,INDIRECT("Table1[Obergruppe ATC-Code]"),Tabelle3!$A30)</f>
        <v>2</v>
      </c>
      <c r="W30">
        <f ca="1">COUNTIFS(INDIRECT("Table1[Beginn]"),"&lt;="&amp;W$1,INDIRECT("Table1[Ende]"),"&gt;="&amp;W$1,INDIRECT("Table1[Obergruppe ATC-Code]"),Tabelle3!$A30)</f>
        <v>2</v>
      </c>
      <c r="X30">
        <f ca="1">COUNTIFS(INDIRECT("Table1[Beginn]"),"&lt;="&amp;X$1,INDIRECT("Table1[Ende]"),"&gt;="&amp;X$1,INDIRECT("Table1[Obergruppe ATC-Code]"),Tabelle3!$A30)</f>
        <v>2</v>
      </c>
      <c r="Y30">
        <f ca="1">COUNTIFS(INDIRECT("Table1[Beginn]"),"&lt;="&amp;Y$1,INDIRECT("Table1[Ende]"),"&gt;="&amp;Y$1,INDIRECT("Table1[Obergruppe ATC-Code]"),Tabelle3!$A30)</f>
        <v>2</v>
      </c>
      <c r="Z30">
        <f ca="1">COUNTIFS(INDIRECT("Table1[Beginn]"),"&lt;="&amp;Z$1,INDIRECT("Table1[Ende]"),"&gt;="&amp;Z$1,INDIRECT("Table1[Obergruppe ATC-Code]"),Tabelle3!$A30)</f>
        <v>2</v>
      </c>
      <c r="AA30">
        <f ca="1">COUNTIFS(INDIRECT("Table1[Beginn]"),"&lt;="&amp;AA$1,INDIRECT("Table1[Ende]"),"&gt;="&amp;AA$1,INDIRECT("Table1[Obergruppe ATC-Code]"),Tabelle3!$A30)</f>
        <v>2</v>
      </c>
      <c r="AB30">
        <f ca="1">COUNTIFS(INDIRECT("Table1[Beginn]"),"&lt;="&amp;AB$1,INDIRECT("Table1[Ende]"),"&gt;="&amp;AB$1,INDIRECT("Table1[Obergruppe ATC-Code]"),Tabelle3!$A30)</f>
        <v>2</v>
      </c>
      <c r="AC30">
        <f ca="1">COUNTIFS(INDIRECT("Table1[Beginn]"),"&lt;="&amp;AC$1,INDIRECT("Table1[Ende]"),"&gt;="&amp;AC$1,INDIRECT("Table1[Obergruppe ATC-Code]"),Tabelle3!$A30)</f>
        <v>3</v>
      </c>
      <c r="AD30">
        <f ca="1">COUNTIFS(INDIRECT("Table1[Beginn]"),"&lt;="&amp;AD$1,INDIRECT("Table1[Ende]"),"&gt;="&amp;AD$1,INDIRECT("Table1[Obergruppe ATC-Code]"),Tabelle3!$A30)</f>
        <v>4</v>
      </c>
      <c r="AE30">
        <f ca="1">COUNTIFS(INDIRECT("Table1[Beginn]"),"&lt;="&amp;AE$1,INDIRECT("Table1[Ende]"),"&gt;="&amp;AE$1,INDIRECT("Table1[Obergruppe ATC-Code]"),Tabelle3!$A30)</f>
        <v>4</v>
      </c>
      <c r="AF30">
        <f ca="1">COUNTIFS(INDIRECT("Table1[Beginn]"),"&lt;="&amp;AF$1,INDIRECT("Table1[Ende]"),"&gt;="&amp;AF$1,INDIRECT("Table1[Obergruppe ATC-Code]"),Tabelle3!$A30)</f>
        <v>4</v>
      </c>
      <c r="AG30">
        <f ca="1">COUNTIFS(INDIRECT("Table1[Beginn]"),"&lt;="&amp;AG$1,INDIRECT("Table1[Ende]"),"&gt;="&amp;AG$1,INDIRECT("Table1[Obergruppe ATC-Code]"),Tabelle3!$A30)</f>
        <v>4</v>
      </c>
      <c r="AH30">
        <f ca="1">COUNTIFS(INDIRECT("Table1[Beginn]"),"&lt;="&amp;AH$1,INDIRECT("Table1[Ende]"),"&gt;="&amp;AH$1,INDIRECT("Table1[Obergruppe ATC-Code]"),Tabelle3!$A30)</f>
        <v>2</v>
      </c>
      <c r="AI30">
        <f ca="1">COUNTIFS(INDIRECT("Table1[Beginn]"),"&lt;="&amp;AI$1,INDIRECT("Table1[Ende]"),"&gt;="&amp;AI$1,INDIRECT("Table1[Obergruppe ATC-Code]"),Tabelle3!$A30)</f>
        <v>2</v>
      </c>
      <c r="AJ30">
        <f ca="1">COUNTIFS(INDIRECT("Table1[Beginn]"),"&lt;="&amp;AJ$1,INDIRECT("Table1[Ende]"),"&gt;="&amp;AJ$1,INDIRECT("Table1[Obergruppe ATC-Code]"),Tabelle3!$A30)</f>
        <v>2</v>
      </c>
      <c r="AK30">
        <f ca="1">COUNTIFS(INDIRECT("Table1[Beginn]"),"&lt;="&amp;AK$1,INDIRECT("Table1[Ende]"),"&gt;="&amp;AK$1,INDIRECT("Table1[Obergruppe ATC-Code]"),Tabelle3!$A30)</f>
        <v>2</v>
      </c>
      <c r="AL30">
        <f ca="1">COUNTIFS(INDIRECT("Table1[Beginn]"),"&lt;="&amp;AL$1,INDIRECT("Table1[Ende]"),"&gt;="&amp;AL$1,INDIRECT("Table1[Obergruppe ATC-Code]"),Tabelle3!$A30)</f>
        <v>3</v>
      </c>
      <c r="AM30">
        <f ca="1">COUNTIFS(INDIRECT("Table1[Beginn]"),"&lt;="&amp;AM$1,INDIRECT("Table1[Ende]"),"&gt;="&amp;AM$1,INDIRECT("Table1[Obergruppe ATC-Code]"),Tabelle3!$A30)</f>
        <v>5</v>
      </c>
      <c r="AN30">
        <f ca="1">COUNTIFS(INDIRECT("Table1[Beginn]"),"&lt;="&amp;AN$1,INDIRECT("Table1[Ende]"),"&gt;="&amp;AN$1,INDIRECT("Table1[Obergruppe ATC-Code]"),Tabelle3!$A30)</f>
        <v>4</v>
      </c>
      <c r="AO30">
        <f ca="1">COUNTIFS(INDIRECT("Table1[Beginn]"),"&lt;="&amp;AO$1,INDIRECT("Table1[Ende]"),"&gt;="&amp;AO$1,INDIRECT("Table1[Obergruppe ATC-Code]"),Tabelle3!$A30)</f>
        <v>5</v>
      </c>
      <c r="AP30">
        <f ca="1">COUNTIFS(INDIRECT("Table1[Beginn]"),"&lt;="&amp;AP$1,INDIRECT("Table1[Ende]"),"&gt;="&amp;AP$1,INDIRECT("Table1[Obergruppe ATC-Code]"),Tabelle3!$A30)</f>
        <v>4</v>
      </c>
      <c r="AQ30">
        <f ca="1">COUNTIFS(INDIRECT("Table1[Beginn]"),"&lt;="&amp;AQ$1,INDIRECT("Table1[Ende]"),"&gt;="&amp;AQ$1,INDIRECT("Table1[Obergruppe ATC-Code]"),Tabelle3!$A30)</f>
        <v>4</v>
      </c>
      <c r="AR30">
        <f ca="1">COUNTIFS(INDIRECT("Table1[Beginn]"),"&lt;="&amp;AR$1,INDIRECT("Table1[Ende]"),"&gt;="&amp;AR$1,INDIRECT("Table1[Obergruppe ATC-Code]"),Tabelle3!$A30)</f>
        <v>4</v>
      </c>
      <c r="AS30">
        <f ca="1">COUNTIFS(INDIRECT("Table1[Beginn]"),"&lt;="&amp;AS$1,INDIRECT("Table1[Ende]"),"&gt;="&amp;AS$1,INDIRECT("Table1[Obergruppe ATC-Code]"),Tabelle3!$A30)</f>
        <v>4</v>
      </c>
      <c r="AT30">
        <f ca="1">COUNTIFS(INDIRECT("Table1[Beginn]"),"&lt;="&amp;AT$1,INDIRECT("Table1[Ende]"),"&gt;="&amp;AT$1,INDIRECT("Table1[Obergruppe ATC-Code]"),Tabelle3!$A30)</f>
        <v>5</v>
      </c>
      <c r="AU30">
        <f ca="1">COUNTIFS(INDIRECT("Table1[Beginn]"),"&lt;="&amp;AU$1,INDIRECT("Table1[Ende]"),"&gt;="&amp;AU$1,INDIRECT("Table1[Obergruppe ATC-Code]"),Tabelle3!$A30)</f>
        <v>5</v>
      </c>
      <c r="AV30">
        <f ca="1">COUNTIFS(INDIRECT("Table1[Beginn]"),"&lt;="&amp;AV$1,INDIRECT("Table1[Ende]"),"&gt;="&amp;AV$1,INDIRECT("Table1[Obergruppe ATC-Code]"),Tabelle3!$A30)</f>
        <v>6</v>
      </c>
      <c r="AW30">
        <f ca="1">COUNTIFS(INDIRECT("Table1[Beginn]"),"&lt;="&amp;AW$1,INDIRECT("Table1[Ende]"),"&gt;="&amp;AW$1,INDIRECT("Table1[Obergruppe ATC-Code]"),Tabelle3!$A30)</f>
        <v>5</v>
      </c>
      <c r="AX30">
        <f ca="1">COUNTIFS(INDIRECT("Table1[Beginn]"),"&lt;="&amp;AX$1,INDIRECT("Table1[Ende]"),"&gt;="&amp;AX$1,INDIRECT("Table1[Obergruppe ATC-Code]"),Tabelle3!$A30)</f>
        <v>5</v>
      </c>
      <c r="AY30">
        <f ca="1">COUNTIFS(INDIRECT("Table1[Beginn]"),"&lt;="&amp;AY$1,INDIRECT("Table1[Ende]"),"&gt;="&amp;AY$1,INDIRECT("Table1[Obergruppe ATC-Code]"),Tabelle3!$A30)</f>
        <v>6</v>
      </c>
      <c r="AZ30">
        <f ca="1">COUNTIFS(INDIRECT("Table1[Beginn]"),"&lt;="&amp;AZ$1,INDIRECT("Table1[Ende]"),"&gt;="&amp;AZ$1,INDIRECT("Table1[Obergruppe ATC-Code]"),Tabelle3!$A30)</f>
        <v>4</v>
      </c>
      <c r="BA30">
        <f ca="1">COUNTIFS(INDIRECT("Table1[Beginn]"),"&lt;="&amp;BA$1,INDIRECT("Table1[Ende]"),"&gt;="&amp;BA$1,INDIRECT("Table1[Obergruppe ATC-Code]"),Tabelle3!$A30)</f>
        <v>4</v>
      </c>
      <c r="BB30">
        <f ca="1">COUNTIFS(INDIRECT("Table1[Beginn]"),"&lt;="&amp;BB$1,INDIRECT("Table1[Ende]"),"&gt;="&amp;BB$1,INDIRECT("Table1[Obergruppe ATC-Code]"),Tabelle3!$A30)</f>
        <v>3</v>
      </c>
      <c r="BC30">
        <f ca="1">COUNTIFS(INDIRECT("Table1[Beginn]"),"&lt;="&amp;BC$1,INDIRECT("Table1[Ende]"),"&gt;="&amp;BC$1,INDIRECT("Table1[Obergruppe ATC-Code]"),Tabelle3!$A30)</f>
        <v>2</v>
      </c>
      <c r="BD30">
        <f ca="1">COUNTIFS(INDIRECT("Table1[Beginn]"),"&lt;="&amp;BD$1,INDIRECT("Table1[Ende]"),"&gt;="&amp;BD$1,INDIRECT("Table1[Obergruppe ATC-Code]"),Tabelle3!$A30)</f>
        <v>2</v>
      </c>
      <c r="BE30">
        <f ca="1">COUNTIFS(INDIRECT("Table1[Beginn]"),"&lt;="&amp;BE$1,INDIRECT("Table1[Ende]"),"&gt;="&amp;BE$1,INDIRECT("Table1[Obergruppe ATC-Code]"),Tabelle3!$A30)</f>
        <v>2</v>
      </c>
      <c r="BF30">
        <f ca="1">COUNTIFS(INDIRECT("Table1[Beginn]"),"&lt;="&amp;BF$1,INDIRECT("Table1[Ende]"),"&gt;="&amp;BF$1,INDIRECT("Table1[Obergruppe ATC-Code]"),Tabelle3!$A30)</f>
        <v>2</v>
      </c>
      <c r="BG30">
        <f ca="1">COUNTIFS(INDIRECT("Table1[Beginn]"),"&lt;="&amp;BG$1,INDIRECT("Table1[Ende]"),"&gt;="&amp;BG$1,INDIRECT("Table1[Obergruppe ATC-Code]"),Tabelle3!$A30)</f>
        <v>2</v>
      </c>
      <c r="BH30">
        <f ca="1">COUNTIFS(INDIRECT("Table1[Beginn]"),"&lt;="&amp;BH$1,INDIRECT("Table1[Ende]"),"&gt;="&amp;BH$1,INDIRECT("Table1[Obergruppe ATC-Code]"),Tabelle3!$A30)</f>
        <v>2</v>
      </c>
      <c r="BI30">
        <f ca="1">COUNTIFS(INDIRECT("Table1[Beginn]"),"&lt;="&amp;BI$1,INDIRECT("Table1[Ende]"),"&gt;="&amp;BI$1,INDIRECT("Table1[Obergruppe ATC-Code]"),Tabelle3!$A30)</f>
        <v>0</v>
      </c>
      <c r="BJ30">
        <f ca="1">COUNTIFS(INDIRECT("Table1[Beginn]"),"&lt;="&amp;BJ$1,INDIRECT("Table1[Ende]"),"&gt;="&amp;BJ$1,INDIRECT("Table1[Obergruppe ATC-Code]"),Tabelle3!$A30)</f>
        <v>0</v>
      </c>
      <c r="BK30">
        <f ca="1">COUNTIFS(INDIRECT("Table1[Beginn]"),"&lt;="&amp;BK$1,INDIRECT("Table1[Ende]"),"&gt;="&amp;BK$1,INDIRECT("Table1[Obergruppe ATC-Code]"),Tabelle3!$A30)</f>
        <v>0</v>
      </c>
      <c r="BL30">
        <f ca="1">COUNTIFS(INDIRECT("Table1[Beginn]"),"&lt;="&amp;BL$1,INDIRECT("Table1[Ende]"),"&gt;="&amp;BL$1,INDIRECT("Table1[Obergruppe ATC-Code]"),Tabelle3!$A30)</f>
        <v>0</v>
      </c>
      <c r="BM30">
        <f ca="1">COUNTIFS(INDIRECT("Table1[Beginn]"),"&lt;="&amp;BM$1,INDIRECT("Table1[Ende]"),"&gt;="&amp;BM$1,INDIRECT("Table1[Obergruppe ATC-Code]"),Tabelle3!$A30)</f>
        <v>1</v>
      </c>
      <c r="BN30">
        <f ca="1">COUNTIFS(INDIRECT("Table1[Beginn]"),"&lt;="&amp;BN$1,INDIRECT("Table1[Ende]"),"&gt;="&amp;BN$1,INDIRECT("Table1[Obergruppe ATC-Code]"),Tabelle3!$A30)</f>
        <v>1</v>
      </c>
      <c r="BO30">
        <f ca="1">COUNTIFS(INDIRECT("Table1[Beginn]"),"&lt;="&amp;BO$1,INDIRECT("Table1[Ende]"),"&gt;="&amp;BO$1,INDIRECT("Table1[Obergruppe ATC-Code]"),Tabelle3!$A30)</f>
        <v>2</v>
      </c>
      <c r="BP30">
        <f ca="1">COUNTIFS(INDIRECT("Table1[Beginn]"),"&lt;="&amp;BP$1,INDIRECT("Table1[Ende]"),"&gt;="&amp;BP$1,INDIRECT("Table1[Obergruppe ATC-Code]"),Tabelle3!$A30)</f>
        <v>2</v>
      </c>
      <c r="BQ30">
        <f ca="1">COUNTIFS(INDIRECT("Table1[Beginn]"),"&lt;="&amp;BQ$1,INDIRECT("Table1[Ende]"),"&gt;="&amp;BQ$1,INDIRECT("Table1[Obergruppe ATC-Code]"),Tabelle3!$A30)</f>
        <v>5</v>
      </c>
      <c r="BR30">
        <f ca="1">COUNTIFS(INDIRECT("Table1[Beginn]"),"&lt;="&amp;BR$1,INDIRECT("Table1[Ende]"),"&gt;="&amp;BR$1,INDIRECT("Table1[Obergruppe ATC-Code]"),Tabelle3!$A30)</f>
        <v>6</v>
      </c>
      <c r="BS30">
        <f ca="1">COUNTIFS(INDIRECT("Table1[Beginn]"),"&lt;="&amp;BS$1,INDIRECT("Table1[Ende]"),"&gt;="&amp;BS$1,INDIRECT("Table1[Obergruppe ATC-Code]"),Tabelle3!$A30)</f>
        <v>4</v>
      </c>
      <c r="BT30">
        <f ca="1">COUNTIFS(INDIRECT("Table1[Beginn]"),"&lt;="&amp;BT$1,INDIRECT("Table1[Ende]"),"&gt;="&amp;BT$1,INDIRECT("Table1[Obergruppe ATC-Code]"),Tabelle3!$A30)</f>
        <v>6</v>
      </c>
      <c r="BU30">
        <f ca="1">COUNTIFS(INDIRECT("Table1[Beginn]"),"&lt;="&amp;BU$1,INDIRECT("Table1[Ende]"),"&gt;="&amp;BU$1,INDIRECT("Table1[Obergruppe ATC-Code]"),Tabelle3!$A30)</f>
        <v>8</v>
      </c>
      <c r="BV30">
        <f ca="1">COUNTIFS(INDIRECT("Table1[Beginn]"),"&lt;="&amp;BV$1,INDIRECT("Table1[Ende]"),"&gt;="&amp;BV$1,INDIRECT("Table1[Obergruppe ATC-Code]"),Tabelle3!$A30)</f>
        <v>6</v>
      </c>
      <c r="BW30">
        <f ca="1">COUNTIFS(INDIRECT("Table1[Beginn]"),"&lt;="&amp;BW$1,INDIRECT("Table1[Ende]"),"&gt;="&amp;BW$1,INDIRECT("Table1[Obergruppe ATC-Code]"),Tabelle3!$A30)</f>
        <v>5</v>
      </c>
      <c r="BX30">
        <f ca="1">COUNTIFS(INDIRECT("Table1[Beginn]"),"&lt;="&amp;BX$1,INDIRECT("Table1[Ende]"),"&gt;="&amp;BX$1,INDIRECT("Table1[Obergruppe ATC-Code]"),Tabelle3!$A30)</f>
        <v>4</v>
      </c>
      <c r="BY30">
        <f ca="1">COUNTIFS(INDIRECT("Table1[Beginn]"),"&lt;="&amp;BY$1,INDIRECT("Table1[Ende]"),"&gt;="&amp;BY$1,INDIRECT("Table1[Obergruppe ATC-Code]"),Tabelle3!$A30)</f>
        <v>3</v>
      </c>
      <c r="BZ30">
        <f ca="1">COUNTIFS(INDIRECT("Table1[Beginn]"),"&lt;="&amp;BZ$1,INDIRECT("Table1[Ende]"),"&gt;="&amp;BZ$1,INDIRECT("Table1[Obergruppe ATC-Code]"),Tabelle3!$A30)</f>
        <v>4</v>
      </c>
      <c r="CA30">
        <f ca="1">COUNTIFS(INDIRECT("Table1[Beginn]"),"&lt;="&amp;CA$1,INDIRECT("Table1[Ende]"),"&gt;="&amp;CA$1,INDIRECT("Table1[Obergruppe ATC-Code]"),Tabelle3!$A30)</f>
        <v>6</v>
      </c>
      <c r="CB30">
        <f ca="1">COUNTIFS(INDIRECT("Table1[Beginn]"),"&lt;="&amp;CB$1,INDIRECT("Table1[Ende]"),"&gt;="&amp;CB$1,INDIRECT("Table1[Obergruppe ATC-Code]"),Tabelle3!$A30)</f>
        <v>7</v>
      </c>
      <c r="CC30">
        <f ca="1">COUNTIFS(INDIRECT("Table1[Beginn]"),"&lt;="&amp;CC$1,INDIRECT("Table1[Ende]"),"&gt;="&amp;CC$1,INDIRECT("Table1[Obergruppe ATC-Code]"),Tabelle3!$A30)</f>
        <v>5</v>
      </c>
      <c r="CD30">
        <f ca="1">COUNTIFS(INDIRECT("Table1[Beginn]"),"&lt;="&amp;CD$1,INDIRECT("Table1[Ende]"),"&gt;="&amp;CD$1,INDIRECT("Table1[Obergruppe ATC-Code]"),Tabelle3!$A30)</f>
        <v>5</v>
      </c>
      <c r="CE30">
        <f ca="1">COUNTIFS(INDIRECT("Table1[Beginn]"),"&lt;="&amp;CE$1,INDIRECT("Table1[Ende]"),"&gt;="&amp;CE$1,INDIRECT("Table1[Obergruppe ATC-Code]"),Tabelle3!$A30)</f>
        <v>7</v>
      </c>
      <c r="CF30">
        <f ca="1">COUNTIFS(INDIRECT("Table1[Beginn]"),"&lt;="&amp;CF$1,INDIRECT("Table1[Ende]"),"&gt;="&amp;CF$1,INDIRECT("Table1[Obergruppe ATC-Code]"),Tabelle3!$A30)</f>
        <v>7</v>
      </c>
      <c r="CG30">
        <f ca="1">COUNTIFS(INDIRECT("Table1[Beginn]"),"&lt;="&amp;CG$1,INDIRECT("Table1[Ende]"),"&gt;="&amp;CG$1,INDIRECT("Table1[Obergruppe ATC-Code]"),Tabelle3!$A30)</f>
        <v>2</v>
      </c>
      <c r="CH30">
        <f ca="1">COUNTIFS(INDIRECT("Table1[Beginn]"),"&lt;="&amp;CH$1,INDIRECT("Table1[Ende]"),"&gt;="&amp;CH$1,INDIRECT("Table1[Obergruppe ATC-Code]"),Tabelle3!$A30)</f>
        <v>0</v>
      </c>
      <c r="CI30">
        <f ca="1">COUNTIFS(INDIRECT("Table1[Beginn]"),"&lt;="&amp;CI$1,INDIRECT("Table1[Ende]"),"&gt;="&amp;CI$1,INDIRECT("Table1[Obergruppe ATC-Code]"),Tabelle3!$A30)</f>
        <v>0</v>
      </c>
      <c r="CJ30">
        <f ca="1">COUNTIFS(INDIRECT("Table1[Beginn]"),"&lt;="&amp;CJ$1,INDIRECT("Table1[Ende]"),"&gt;="&amp;CJ$1,INDIRECT("Table1[Obergruppe ATC-Code]"),Tabelle3!$A30)</f>
        <v>0</v>
      </c>
      <c r="CK30">
        <f ca="1">COUNTIFS(INDIRECT("Table1[Beginn]"),"&lt;="&amp;CK$1,INDIRECT("Table1[Ende]"),"&gt;="&amp;CK$1,INDIRECT("Table1[Obergruppe ATC-Code]"),Tabelle3!$A30)</f>
        <v>0</v>
      </c>
      <c r="CL30">
        <f ca="1">COUNTIFS(INDIRECT("Table1[Beginn]"),"&lt;="&amp;CL$1,INDIRECT("Table1[Ende]"),"&gt;="&amp;CL$1,INDIRECT("Table1[Obergruppe ATC-Code]"),Tabelle3!$A30)</f>
        <v>0</v>
      </c>
      <c r="CM30">
        <f ca="1">COUNTIFS(INDIRECT("Table1[Beginn]"),"&lt;="&amp;CM$1,INDIRECT("Table1[Ende]"),"&gt;="&amp;CM$1,INDIRECT("Table1[Obergruppe ATC-Code]"),Tabelle3!$A30)</f>
        <v>0</v>
      </c>
      <c r="CN30">
        <f ca="1">COUNTIFS(INDIRECT("Table1[Beginn]"),"&lt;="&amp;CN$1,INDIRECT("Table1[Ende]"),"&gt;="&amp;CN$1,INDIRECT("Table1[Obergruppe ATC-Code]"),Tabelle3!$A30)</f>
        <v>0</v>
      </c>
      <c r="CO30">
        <f ca="1">COUNTIFS(INDIRECT("Table1[Beginn]"),"&lt;="&amp;CO$1,INDIRECT("Table1[Ende]"),"&gt;="&amp;CO$1,INDIRECT("Table1[Obergruppe ATC-Code]"),Tabelle3!$A30)</f>
        <v>0</v>
      </c>
      <c r="CP30">
        <f ca="1">COUNTIFS(INDIRECT("Table1[Beginn]"),"&lt;="&amp;CP$1,INDIRECT("Table1[Ende]"),"&gt;="&amp;CP$1,INDIRECT("Table1[Obergruppe ATC-Code]"),Tabelle3!$A30)</f>
        <v>0</v>
      </c>
      <c r="CQ30">
        <f ca="1">COUNTIFS(INDIRECT("Table1[Beginn]"),"&lt;="&amp;CQ$1,INDIRECT("Table1[Ende]"),"&gt;="&amp;CQ$1,INDIRECT("Table1[Obergruppe ATC-Code]"),Tabelle3!$A30)</f>
        <v>0</v>
      </c>
      <c r="CR30">
        <f ca="1">COUNTIFS(INDIRECT("Table1[Beginn]"),"&lt;="&amp;CR$1,INDIRECT("Table1[Ende]"),"&gt;="&amp;CR$1,INDIRECT("Table1[Obergruppe ATC-Code]"),Tabelle3!$A30)</f>
        <v>0</v>
      </c>
    </row>
    <row r="31" spans="1:96" s="30" customFormat="1" ht="18">
      <c r="A31" s="28" t="s">
        <v>6830</v>
      </c>
      <c r="B31" s="29" t="s">
        <v>6831</v>
      </c>
      <c r="C31" s="30">
        <f ca="1">COUNTIFS(INDIRECT("Table1[Beginn]"),"&lt;="&amp;C$1,INDIRECT("Table1[Ende]"),"&gt;="&amp;C$1,INDIRECT("Table1[Obergruppe ATC-Code]"),Tabelle3!$A31)</f>
        <v>0</v>
      </c>
      <c r="D31" s="30">
        <f ca="1">COUNTIFS(INDIRECT("Table1[Beginn]"),"&lt;="&amp;D$1,INDIRECT("Table1[Ende]"),"&gt;="&amp;D$1,INDIRECT("Table1[Obergruppe ATC-Code]"),Tabelle3!$A31)</f>
        <v>0</v>
      </c>
      <c r="E31" s="30">
        <f ca="1">COUNTIFS(INDIRECT("Table1[Beginn]"),"&lt;="&amp;E$1,INDIRECT("Table1[Ende]"),"&gt;="&amp;E$1,INDIRECT("Table1[Obergruppe ATC-Code]"),Tabelle3!$A31)</f>
        <v>0</v>
      </c>
      <c r="F31" s="30">
        <f ca="1">COUNTIFS(INDIRECT("Table1[Beginn]"),"&lt;="&amp;F$1,INDIRECT("Table1[Ende]"),"&gt;="&amp;F$1,INDIRECT("Table1[Obergruppe ATC-Code]"),Tabelle3!$A31)</f>
        <v>0</v>
      </c>
      <c r="G31" s="30">
        <f ca="1">COUNTIFS(INDIRECT("Table1[Beginn]"),"&lt;="&amp;G$1,INDIRECT("Table1[Ende]"),"&gt;="&amp;G$1,INDIRECT("Table1[Obergruppe ATC-Code]"),Tabelle3!$A31)</f>
        <v>0</v>
      </c>
      <c r="H31" s="30">
        <f ca="1">COUNTIFS(INDIRECT("Table1[Beginn]"),"&lt;="&amp;H$1,INDIRECT("Table1[Ende]"),"&gt;="&amp;H$1,INDIRECT("Table1[Obergruppe ATC-Code]"),Tabelle3!$A31)</f>
        <v>0</v>
      </c>
      <c r="I31" s="30">
        <f ca="1">COUNTIFS(INDIRECT("Table1[Beginn]"),"&lt;="&amp;I$1,INDIRECT("Table1[Ende]"),"&gt;="&amp;I$1,INDIRECT("Table1[Obergruppe ATC-Code]"),Tabelle3!$A31)</f>
        <v>0</v>
      </c>
      <c r="J31" s="30">
        <f ca="1">COUNTIFS(INDIRECT("Table1[Beginn]"),"&lt;="&amp;J$1,INDIRECT("Table1[Ende]"),"&gt;="&amp;J$1,INDIRECT("Table1[Obergruppe ATC-Code]"),Tabelle3!$A31)</f>
        <v>0</v>
      </c>
      <c r="K31" s="30">
        <f ca="1">COUNTIFS(INDIRECT("Table1[Beginn]"),"&lt;="&amp;K$1,INDIRECT("Table1[Ende]"),"&gt;="&amp;K$1,INDIRECT("Table1[Obergruppe ATC-Code]"),Tabelle3!$A31)</f>
        <v>0</v>
      </c>
      <c r="L31" s="30">
        <f ca="1">COUNTIFS(INDIRECT("Table1[Beginn]"),"&lt;="&amp;L$1,INDIRECT("Table1[Ende]"),"&gt;="&amp;L$1,INDIRECT("Table1[Obergruppe ATC-Code]"),Tabelle3!$A31)</f>
        <v>0</v>
      </c>
      <c r="M31" s="30">
        <f ca="1">COUNTIFS(INDIRECT("Table1[Beginn]"),"&lt;="&amp;M$1,INDIRECT("Table1[Ende]"),"&gt;="&amp;M$1,INDIRECT("Table1[Obergruppe ATC-Code]"),Tabelle3!$A31)</f>
        <v>0</v>
      </c>
      <c r="N31" s="30">
        <f ca="1">COUNTIFS(INDIRECT("Table1[Beginn]"),"&lt;="&amp;N$1,INDIRECT("Table1[Ende]"),"&gt;="&amp;N$1,INDIRECT("Table1[Obergruppe ATC-Code]"),Tabelle3!$A31)</f>
        <v>0</v>
      </c>
      <c r="O31" s="30">
        <f ca="1">COUNTIFS(INDIRECT("Table1[Beginn]"),"&lt;="&amp;O$1,INDIRECT("Table1[Ende]"),"&gt;="&amp;O$1,INDIRECT("Table1[Obergruppe ATC-Code]"),Tabelle3!$A31)</f>
        <v>0</v>
      </c>
      <c r="P31" s="30">
        <f ca="1">COUNTIFS(INDIRECT("Table1[Beginn]"),"&lt;="&amp;P$1,INDIRECT("Table1[Ende]"),"&gt;="&amp;P$1,INDIRECT("Table1[Obergruppe ATC-Code]"),Tabelle3!$A31)</f>
        <v>0</v>
      </c>
      <c r="Q31" s="30">
        <f ca="1">COUNTIFS(INDIRECT("Table1[Beginn]"),"&lt;="&amp;Q$1,INDIRECT("Table1[Ende]"),"&gt;="&amp;Q$1,INDIRECT("Table1[Obergruppe ATC-Code]"),Tabelle3!$A31)</f>
        <v>0</v>
      </c>
      <c r="R31" s="30">
        <f ca="1">COUNTIFS(INDIRECT("Table1[Beginn]"),"&lt;="&amp;R$1,INDIRECT("Table1[Ende]"),"&gt;="&amp;R$1,INDIRECT("Table1[Obergruppe ATC-Code]"),Tabelle3!$A31)</f>
        <v>0</v>
      </c>
      <c r="S31" s="30">
        <f ca="1">COUNTIFS(INDIRECT("Table1[Beginn]"),"&lt;="&amp;S$1,INDIRECT("Table1[Ende]"),"&gt;="&amp;S$1,INDIRECT("Table1[Obergruppe ATC-Code]"),Tabelle3!$A31)</f>
        <v>0</v>
      </c>
      <c r="T31" s="30">
        <f ca="1">COUNTIFS(INDIRECT("Table1[Beginn]"),"&lt;="&amp;T$1,INDIRECT("Table1[Ende]"),"&gt;="&amp;T$1,INDIRECT("Table1[Obergruppe ATC-Code]"),Tabelle3!$A31)</f>
        <v>0</v>
      </c>
      <c r="U31" s="30">
        <f ca="1">COUNTIFS(INDIRECT("Table1[Beginn]"),"&lt;="&amp;U$1,INDIRECT("Table1[Ende]"),"&gt;="&amp;U$1,INDIRECT("Table1[Obergruppe ATC-Code]"),Tabelle3!$A31)</f>
        <v>95</v>
      </c>
      <c r="V31" s="30">
        <f ca="1">COUNTIFS(INDIRECT("Table1[Beginn]"),"&lt;="&amp;V$1,INDIRECT("Table1[Ende]"),"&gt;="&amp;V$1,INDIRECT("Table1[Obergruppe ATC-Code]"),Tabelle3!$A31)</f>
        <v>95</v>
      </c>
      <c r="W31" s="30">
        <f ca="1">COUNTIFS(INDIRECT("Table1[Beginn]"),"&lt;="&amp;W$1,INDIRECT("Table1[Ende]"),"&gt;="&amp;W$1,INDIRECT("Table1[Obergruppe ATC-Code]"),Tabelle3!$A31)</f>
        <v>95</v>
      </c>
      <c r="X31" s="30">
        <f ca="1">COUNTIFS(INDIRECT("Table1[Beginn]"),"&lt;="&amp;X$1,INDIRECT("Table1[Ende]"),"&gt;="&amp;X$1,INDIRECT("Table1[Obergruppe ATC-Code]"),Tabelle3!$A31)</f>
        <v>101</v>
      </c>
      <c r="Y31" s="30">
        <f ca="1">COUNTIFS(INDIRECT("Table1[Beginn]"),"&lt;="&amp;Y$1,INDIRECT("Table1[Ende]"),"&gt;="&amp;Y$1,INDIRECT("Table1[Obergruppe ATC-Code]"),Tabelle3!$A31)</f>
        <v>108</v>
      </c>
      <c r="Z31" s="30">
        <f ca="1">COUNTIFS(INDIRECT("Table1[Beginn]"),"&lt;="&amp;Z$1,INDIRECT("Table1[Ende]"),"&gt;="&amp;Z$1,INDIRECT("Table1[Obergruppe ATC-Code]"),Tabelle3!$A31)</f>
        <v>110</v>
      </c>
      <c r="AA31" s="30">
        <f ca="1">COUNTIFS(INDIRECT("Table1[Beginn]"),"&lt;="&amp;AA$1,INDIRECT("Table1[Ende]"),"&gt;="&amp;AA$1,INDIRECT("Table1[Obergruppe ATC-Code]"),Tabelle3!$A31)</f>
        <v>101</v>
      </c>
      <c r="AB31" s="30">
        <f ca="1">COUNTIFS(INDIRECT("Table1[Beginn]"),"&lt;="&amp;AB$1,INDIRECT("Table1[Ende]"),"&gt;="&amp;AB$1,INDIRECT("Table1[Obergruppe ATC-Code]"),Tabelle3!$A31)</f>
        <v>99</v>
      </c>
      <c r="AC31" s="30">
        <f ca="1">COUNTIFS(INDIRECT("Table1[Beginn]"),"&lt;="&amp;AC$1,INDIRECT("Table1[Ende]"),"&gt;="&amp;AC$1,INDIRECT("Table1[Obergruppe ATC-Code]"),Tabelle3!$A31)</f>
        <v>97</v>
      </c>
      <c r="AD31" s="30">
        <f ca="1">COUNTIFS(INDIRECT("Table1[Beginn]"),"&lt;="&amp;AD$1,INDIRECT("Table1[Ende]"),"&gt;="&amp;AD$1,INDIRECT("Table1[Obergruppe ATC-Code]"),Tabelle3!$A31)</f>
        <v>94</v>
      </c>
      <c r="AE31" s="30">
        <f ca="1">COUNTIFS(INDIRECT("Table1[Beginn]"),"&lt;="&amp;AE$1,INDIRECT("Table1[Ende]"),"&gt;="&amp;AE$1,INDIRECT("Table1[Obergruppe ATC-Code]"),Tabelle3!$A31)</f>
        <v>94</v>
      </c>
      <c r="AF31" s="30">
        <f ca="1">COUNTIFS(INDIRECT("Table1[Beginn]"),"&lt;="&amp;AF$1,INDIRECT("Table1[Ende]"),"&gt;="&amp;AF$1,INDIRECT("Table1[Obergruppe ATC-Code]"),Tabelle3!$A31)</f>
        <v>95</v>
      </c>
      <c r="AG31" s="30">
        <f ca="1">COUNTIFS(INDIRECT("Table1[Beginn]"),"&lt;="&amp;AG$1,INDIRECT("Table1[Ende]"),"&gt;="&amp;AG$1,INDIRECT("Table1[Obergruppe ATC-Code]"),Tabelle3!$A31)</f>
        <v>87</v>
      </c>
      <c r="AH31" s="30">
        <f ca="1">COUNTIFS(INDIRECT("Table1[Beginn]"),"&lt;="&amp;AH$1,INDIRECT("Table1[Ende]"),"&gt;="&amp;AH$1,INDIRECT("Table1[Obergruppe ATC-Code]"),Tabelle3!$A31)</f>
        <v>87</v>
      </c>
      <c r="AI31" s="30">
        <f ca="1">COUNTIFS(INDIRECT("Table1[Beginn]"),"&lt;="&amp;AI$1,INDIRECT("Table1[Ende]"),"&gt;="&amp;AI$1,INDIRECT("Table1[Obergruppe ATC-Code]"),Tabelle3!$A31)</f>
        <v>85</v>
      </c>
      <c r="AJ31" s="30">
        <f ca="1">COUNTIFS(INDIRECT("Table1[Beginn]"),"&lt;="&amp;AJ$1,INDIRECT("Table1[Ende]"),"&gt;="&amp;AJ$1,INDIRECT("Table1[Obergruppe ATC-Code]"),Tabelle3!$A31)</f>
        <v>85</v>
      </c>
      <c r="AK31" s="30">
        <f ca="1">COUNTIFS(INDIRECT("Table1[Beginn]"),"&lt;="&amp;AK$1,INDIRECT("Table1[Ende]"),"&gt;="&amp;AK$1,INDIRECT("Table1[Obergruppe ATC-Code]"),Tabelle3!$A31)</f>
        <v>85</v>
      </c>
      <c r="AL31" s="30">
        <f ca="1">COUNTIFS(INDIRECT("Table1[Beginn]"),"&lt;="&amp;AL$1,INDIRECT("Table1[Ende]"),"&gt;="&amp;AL$1,INDIRECT("Table1[Obergruppe ATC-Code]"),Tabelle3!$A31)</f>
        <v>86</v>
      </c>
      <c r="AM31" s="30">
        <f ca="1">COUNTIFS(INDIRECT("Table1[Beginn]"),"&lt;="&amp;AM$1,INDIRECT("Table1[Ende]"),"&gt;="&amp;AM$1,INDIRECT("Table1[Obergruppe ATC-Code]"),Tabelle3!$A31)</f>
        <v>59</v>
      </c>
      <c r="AN31" s="30">
        <f ca="1">COUNTIFS(INDIRECT("Table1[Beginn]"),"&lt;="&amp;AN$1,INDIRECT("Table1[Ende]"),"&gt;="&amp;AN$1,INDIRECT("Table1[Obergruppe ATC-Code]"),Tabelle3!$A31)</f>
        <v>61</v>
      </c>
      <c r="AO31" s="30">
        <f ca="1">COUNTIFS(INDIRECT("Table1[Beginn]"),"&lt;="&amp;AO$1,INDIRECT("Table1[Ende]"),"&gt;="&amp;AO$1,INDIRECT("Table1[Obergruppe ATC-Code]"),Tabelle3!$A31)</f>
        <v>64</v>
      </c>
      <c r="AP31" s="30">
        <f ca="1">COUNTIFS(INDIRECT("Table1[Beginn]"),"&lt;="&amp;AP$1,INDIRECT("Table1[Ende]"),"&gt;="&amp;AP$1,INDIRECT("Table1[Obergruppe ATC-Code]"),Tabelle3!$A31)</f>
        <v>62</v>
      </c>
      <c r="AQ31" s="30">
        <f ca="1">COUNTIFS(INDIRECT("Table1[Beginn]"),"&lt;="&amp;AQ$1,INDIRECT("Table1[Ende]"),"&gt;="&amp;AQ$1,INDIRECT("Table1[Obergruppe ATC-Code]"),Tabelle3!$A31)</f>
        <v>52</v>
      </c>
      <c r="AR31" s="30">
        <f ca="1">COUNTIFS(INDIRECT("Table1[Beginn]"),"&lt;="&amp;AR$1,INDIRECT("Table1[Ende]"),"&gt;="&amp;AR$1,INDIRECT("Table1[Obergruppe ATC-Code]"),Tabelle3!$A31)</f>
        <v>52</v>
      </c>
      <c r="AS31" s="30">
        <f ca="1">COUNTIFS(INDIRECT("Table1[Beginn]"),"&lt;="&amp;AS$1,INDIRECT("Table1[Ende]"),"&gt;="&amp;AS$1,INDIRECT("Table1[Obergruppe ATC-Code]"),Tabelle3!$A31)</f>
        <v>48</v>
      </c>
      <c r="AT31" s="30">
        <f ca="1">COUNTIFS(INDIRECT("Table1[Beginn]"),"&lt;="&amp;AT$1,INDIRECT("Table1[Ende]"),"&gt;="&amp;AT$1,INDIRECT("Table1[Obergruppe ATC-Code]"),Tabelle3!$A31)</f>
        <v>47</v>
      </c>
      <c r="AU31" s="30">
        <f ca="1">COUNTIFS(INDIRECT("Table1[Beginn]"),"&lt;="&amp;AU$1,INDIRECT("Table1[Ende]"),"&gt;="&amp;AU$1,INDIRECT("Table1[Obergruppe ATC-Code]"),Tabelle3!$A31)</f>
        <v>46</v>
      </c>
      <c r="AV31" s="30">
        <f ca="1">COUNTIFS(INDIRECT("Table1[Beginn]"),"&lt;="&amp;AV$1,INDIRECT("Table1[Ende]"),"&gt;="&amp;AV$1,INDIRECT("Table1[Obergruppe ATC-Code]"),Tabelle3!$A31)</f>
        <v>39</v>
      </c>
      <c r="AW31" s="30">
        <f ca="1">COUNTIFS(INDIRECT("Table1[Beginn]"),"&lt;="&amp;AW$1,INDIRECT("Table1[Ende]"),"&gt;="&amp;AW$1,INDIRECT("Table1[Obergruppe ATC-Code]"),Tabelle3!$A31)</f>
        <v>17</v>
      </c>
      <c r="AX31" s="30">
        <f ca="1">COUNTIFS(INDIRECT("Table1[Beginn]"),"&lt;="&amp;AX$1,INDIRECT("Table1[Ende]"),"&gt;="&amp;AX$1,INDIRECT("Table1[Obergruppe ATC-Code]"),Tabelle3!$A31)</f>
        <v>14</v>
      </c>
      <c r="AY31" s="30">
        <f ca="1">COUNTIFS(INDIRECT("Table1[Beginn]"),"&lt;="&amp;AY$1,INDIRECT("Table1[Ende]"),"&gt;="&amp;AY$1,INDIRECT("Table1[Obergruppe ATC-Code]"),Tabelle3!$A31)</f>
        <v>14</v>
      </c>
      <c r="AZ31" s="30">
        <f ca="1">COUNTIFS(INDIRECT("Table1[Beginn]"),"&lt;="&amp;AZ$1,INDIRECT("Table1[Ende]"),"&gt;="&amp;AZ$1,INDIRECT("Table1[Obergruppe ATC-Code]"),Tabelle3!$A31)</f>
        <v>4</v>
      </c>
      <c r="BA31" s="30">
        <f ca="1">COUNTIFS(INDIRECT("Table1[Beginn]"),"&lt;="&amp;BA$1,INDIRECT("Table1[Ende]"),"&gt;="&amp;BA$1,INDIRECT("Table1[Obergruppe ATC-Code]"),Tabelle3!$A31)</f>
        <v>4</v>
      </c>
      <c r="BB31" s="30">
        <f ca="1">COUNTIFS(INDIRECT("Table1[Beginn]"),"&lt;="&amp;BB$1,INDIRECT("Table1[Ende]"),"&gt;="&amp;BB$1,INDIRECT("Table1[Obergruppe ATC-Code]"),Tabelle3!$A31)</f>
        <v>4</v>
      </c>
      <c r="BC31" s="30">
        <f ca="1">COUNTIFS(INDIRECT("Table1[Beginn]"),"&lt;="&amp;BC$1,INDIRECT("Table1[Ende]"),"&gt;="&amp;BC$1,INDIRECT("Table1[Obergruppe ATC-Code]"),Tabelle3!$A31)</f>
        <v>4</v>
      </c>
      <c r="BD31" s="30">
        <f ca="1">COUNTIFS(INDIRECT("Table1[Beginn]"),"&lt;="&amp;BD$1,INDIRECT("Table1[Ende]"),"&gt;="&amp;BD$1,INDIRECT("Table1[Obergruppe ATC-Code]"),Tabelle3!$A31)</f>
        <v>8</v>
      </c>
      <c r="BE31" s="30">
        <f ca="1">COUNTIFS(INDIRECT("Table1[Beginn]"),"&lt;="&amp;BE$1,INDIRECT("Table1[Ende]"),"&gt;="&amp;BE$1,INDIRECT("Table1[Obergruppe ATC-Code]"),Tabelle3!$A31)</f>
        <v>8</v>
      </c>
      <c r="BF31" s="30">
        <f ca="1">COUNTIFS(INDIRECT("Table1[Beginn]"),"&lt;="&amp;BF$1,INDIRECT("Table1[Ende]"),"&gt;="&amp;BF$1,INDIRECT("Table1[Obergruppe ATC-Code]"),Tabelle3!$A31)</f>
        <v>6</v>
      </c>
      <c r="BG31" s="30">
        <f ca="1">COUNTIFS(INDIRECT("Table1[Beginn]"),"&lt;="&amp;BG$1,INDIRECT("Table1[Ende]"),"&gt;="&amp;BG$1,INDIRECT("Table1[Obergruppe ATC-Code]"),Tabelle3!$A31)</f>
        <v>7</v>
      </c>
      <c r="BH31" s="30">
        <f ca="1">COUNTIFS(INDIRECT("Table1[Beginn]"),"&lt;="&amp;BH$1,INDIRECT("Table1[Ende]"),"&gt;="&amp;BH$1,INDIRECT("Table1[Obergruppe ATC-Code]"),Tabelle3!$A31)</f>
        <v>9</v>
      </c>
      <c r="BI31" s="30">
        <f ca="1">COUNTIFS(INDIRECT("Table1[Beginn]"),"&lt;="&amp;BI$1,INDIRECT("Table1[Ende]"),"&gt;="&amp;BI$1,INDIRECT("Table1[Obergruppe ATC-Code]"),Tabelle3!$A31)</f>
        <v>12</v>
      </c>
      <c r="BJ31" s="30">
        <f ca="1">COUNTIFS(INDIRECT("Table1[Beginn]"),"&lt;="&amp;BJ$1,INDIRECT("Table1[Ende]"),"&gt;="&amp;BJ$1,INDIRECT("Table1[Obergruppe ATC-Code]"),Tabelle3!$A31)</f>
        <v>12</v>
      </c>
      <c r="BK31" s="30">
        <f ca="1">COUNTIFS(INDIRECT("Table1[Beginn]"),"&lt;="&amp;BK$1,INDIRECT("Table1[Ende]"),"&gt;="&amp;BK$1,INDIRECT("Table1[Obergruppe ATC-Code]"),Tabelle3!$A31)</f>
        <v>11</v>
      </c>
      <c r="BL31" s="30">
        <f ca="1">COUNTIFS(INDIRECT("Table1[Beginn]"),"&lt;="&amp;BL$1,INDIRECT("Table1[Ende]"),"&gt;="&amp;BL$1,INDIRECT("Table1[Obergruppe ATC-Code]"),Tabelle3!$A31)</f>
        <v>11</v>
      </c>
      <c r="BM31" s="30">
        <f ca="1">COUNTIFS(INDIRECT("Table1[Beginn]"),"&lt;="&amp;BM$1,INDIRECT("Table1[Ende]"),"&gt;="&amp;BM$1,INDIRECT("Table1[Obergruppe ATC-Code]"),Tabelle3!$A31)</f>
        <v>13</v>
      </c>
      <c r="BN31" s="30">
        <f ca="1">COUNTIFS(INDIRECT("Table1[Beginn]"),"&lt;="&amp;BN$1,INDIRECT("Table1[Ende]"),"&gt;="&amp;BN$1,INDIRECT("Table1[Obergruppe ATC-Code]"),Tabelle3!$A31)</f>
        <v>12</v>
      </c>
      <c r="BO31" s="30">
        <f ca="1">COUNTIFS(INDIRECT("Table1[Beginn]"),"&lt;="&amp;BO$1,INDIRECT("Table1[Ende]"),"&gt;="&amp;BO$1,INDIRECT("Table1[Obergruppe ATC-Code]"),Tabelle3!$A31)</f>
        <v>12</v>
      </c>
      <c r="BP31" s="30">
        <f ca="1">COUNTIFS(INDIRECT("Table1[Beginn]"),"&lt;="&amp;BP$1,INDIRECT("Table1[Ende]"),"&gt;="&amp;BP$1,INDIRECT("Table1[Obergruppe ATC-Code]"),Tabelle3!$A31)</f>
        <v>12</v>
      </c>
      <c r="BQ31" s="30">
        <f ca="1">COUNTIFS(INDIRECT("Table1[Beginn]"),"&lt;="&amp;BQ$1,INDIRECT("Table1[Ende]"),"&gt;="&amp;BQ$1,INDIRECT("Table1[Obergruppe ATC-Code]"),Tabelle3!$A31)</f>
        <v>14</v>
      </c>
      <c r="BR31" s="30">
        <f ca="1">COUNTIFS(INDIRECT("Table1[Beginn]"),"&lt;="&amp;BR$1,INDIRECT("Table1[Ende]"),"&gt;="&amp;BR$1,INDIRECT("Table1[Obergruppe ATC-Code]"),Tabelle3!$A31)</f>
        <v>13</v>
      </c>
      <c r="BS31" s="30">
        <f ca="1">COUNTIFS(INDIRECT("Table1[Beginn]"),"&lt;="&amp;BS$1,INDIRECT("Table1[Ende]"),"&gt;="&amp;BS$1,INDIRECT("Table1[Obergruppe ATC-Code]"),Tabelle3!$A31)</f>
        <v>13</v>
      </c>
      <c r="BT31" s="30">
        <f ca="1">COUNTIFS(INDIRECT("Table1[Beginn]"),"&lt;="&amp;BT$1,INDIRECT("Table1[Ende]"),"&gt;="&amp;BT$1,INDIRECT("Table1[Obergruppe ATC-Code]"),Tabelle3!$A31)</f>
        <v>13</v>
      </c>
      <c r="BU31" s="30">
        <f ca="1">COUNTIFS(INDIRECT("Table1[Beginn]"),"&lt;="&amp;BU$1,INDIRECT("Table1[Ende]"),"&gt;="&amp;BU$1,INDIRECT("Table1[Obergruppe ATC-Code]"),Tabelle3!$A31)</f>
        <v>12</v>
      </c>
      <c r="BV31" s="30">
        <f ca="1">COUNTIFS(INDIRECT("Table1[Beginn]"),"&lt;="&amp;BV$1,INDIRECT("Table1[Ende]"),"&gt;="&amp;BV$1,INDIRECT("Table1[Obergruppe ATC-Code]"),Tabelle3!$A31)</f>
        <v>12</v>
      </c>
      <c r="BW31" s="30">
        <f ca="1">COUNTIFS(INDIRECT("Table1[Beginn]"),"&lt;="&amp;BW$1,INDIRECT("Table1[Ende]"),"&gt;="&amp;BW$1,INDIRECT("Table1[Obergruppe ATC-Code]"),Tabelle3!$A31)</f>
        <v>13</v>
      </c>
      <c r="BX31" s="30">
        <f ca="1">COUNTIFS(INDIRECT("Table1[Beginn]"),"&lt;="&amp;BX$1,INDIRECT("Table1[Ende]"),"&gt;="&amp;BX$1,INDIRECT("Table1[Obergruppe ATC-Code]"),Tabelle3!$A31)</f>
        <v>14</v>
      </c>
      <c r="BY31" s="30">
        <f ca="1">COUNTIFS(INDIRECT("Table1[Beginn]"),"&lt;="&amp;BY$1,INDIRECT("Table1[Ende]"),"&gt;="&amp;BY$1,INDIRECT("Table1[Obergruppe ATC-Code]"),Tabelle3!$A31)</f>
        <v>14</v>
      </c>
      <c r="BZ31" s="30">
        <f ca="1">COUNTIFS(INDIRECT("Table1[Beginn]"),"&lt;="&amp;BZ$1,INDIRECT("Table1[Ende]"),"&gt;="&amp;BZ$1,INDIRECT("Table1[Obergruppe ATC-Code]"),Tabelle3!$A31)</f>
        <v>14</v>
      </c>
      <c r="CA31" s="30">
        <f ca="1">COUNTIFS(INDIRECT("Table1[Beginn]"),"&lt;="&amp;CA$1,INDIRECT("Table1[Ende]"),"&gt;="&amp;CA$1,INDIRECT("Table1[Obergruppe ATC-Code]"),Tabelle3!$A31)</f>
        <v>14</v>
      </c>
      <c r="CB31" s="30">
        <f ca="1">COUNTIFS(INDIRECT("Table1[Beginn]"),"&lt;="&amp;CB$1,INDIRECT("Table1[Ende]"),"&gt;="&amp;CB$1,INDIRECT("Table1[Obergruppe ATC-Code]"),Tabelle3!$A31)</f>
        <v>14</v>
      </c>
      <c r="CC31" s="30">
        <f ca="1">COUNTIFS(INDIRECT("Table1[Beginn]"),"&lt;="&amp;CC$1,INDIRECT("Table1[Ende]"),"&gt;="&amp;CC$1,INDIRECT("Table1[Obergruppe ATC-Code]"),Tabelle3!$A31)</f>
        <v>15</v>
      </c>
      <c r="CD31" s="30">
        <f ca="1">COUNTIFS(INDIRECT("Table1[Beginn]"),"&lt;="&amp;CD$1,INDIRECT("Table1[Ende]"),"&gt;="&amp;CD$1,INDIRECT("Table1[Obergruppe ATC-Code]"),Tabelle3!$A31)</f>
        <v>19</v>
      </c>
      <c r="CE31" s="30">
        <f ca="1">COUNTIFS(INDIRECT("Table1[Beginn]"),"&lt;="&amp;CE$1,INDIRECT("Table1[Ende]"),"&gt;="&amp;CE$1,INDIRECT("Table1[Obergruppe ATC-Code]"),Tabelle3!$A31)</f>
        <v>18</v>
      </c>
      <c r="CF31" s="30">
        <f ca="1">COUNTIFS(INDIRECT("Table1[Beginn]"),"&lt;="&amp;CF$1,INDIRECT("Table1[Ende]"),"&gt;="&amp;CF$1,INDIRECT("Table1[Obergruppe ATC-Code]"),Tabelle3!$A31)</f>
        <v>12</v>
      </c>
      <c r="CG31" s="30">
        <f ca="1">COUNTIFS(INDIRECT("Table1[Beginn]"),"&lt;="&amp;CG$1,INDIRECT("Table1[Ende]"),"&gt;="&amp;CG$1,INDIRECT("Table1[Obergruppe ATC-Code]"),Tabelle3!$A31)</f>
        <v>7</v>
      </c>
      <c r="CH31" s="30">
        <f ca="1">COUNTIFS(INDIRECT("Table1[Beginn]"),"&lt;="&amp;CH$1,INDIRECT("Table1[Ende]"),"&gt;="&amp;CH$1,INDIRECT("Table1[Obergruppe ATC-Code]"),Tabelle3!$A31)</f>
        <v>1</v>
      </c>
      <c r="CI31" s="30">
        <f ca="1">COUNTIFS(INDIRECT("Table1[Beginn]"),"&lt;="&amp;CI$1,INDIRECT("Table1[Ende]"),"&gt;="&amp;CI$1,INDIRECT("Table1[Obergruppe ATC-Code]"),Tabelle3!$A31)</f>
        <v>0</v>
      </c>
      <c r="CJ31" s="30">
        <f ca="1">COUNTIFS(INDIRECT("Table1[Beginn]"),"&lt;="&amp;CJ$1,INDIRECT("Table1[Ende]"),"&gt;="&amp;CJ$1,INDIRECT("Table1[Obergruppe ATC-Code]"),Tabelle3!$A31)</f>
        <v>0</v>
      </c>
      <c r="CK31" s="30">
        <f ca="1">COUNTIFS(INDIRECT("Table1[Beginn]"),"&lt;="&amp;CK$1,INDIRECT("Table1[Ende]"),"&gt;="&amp;CK$1,INDIRECT("Table1[Obergruppe ATC-Code]"),Tabelle3!$A31)</f>
        <v>0</v>
      </c>
      <c r="CL31" s="30">
        <f ca="1">COUNTIFS(INDIRECT("Table1[Beginn]"),"&lt;="&amp;CL$1,INDIRECT("Table1[Ende]"),"&gt;="&amp;CL$1,INDIRECT("Table1[Obergruppe ATC-Code]"),Tabelle3!$A31)</f>
        <v>0</v>
      </c>
      <c r="CM31" s="30">
        <f ca="1">COUNTIFS(INDIRECT("Table1[Beginn]"),"&lt;="&amp;CM$1,INDIRECT("Table1[Ende]"),"&gt;="&amp;CM$1,INDIRECT("Table1[Obergruppe ATC-Code]"),Tabelle3!$A31)</f>
        <v>0</v>
      </c>
      <c r="CN31" s="30">
        <f ca="1">COUNTIFS(INDIRECT("Table1[Beginn]"),"&lt;="&amp;CN$1,INDIRECT("Table1[Ende]"),"&gt;="&amp;CN$1,INDIRECT("Table1[Obergruppe ATC-Code]"),Tabelle3!$A31)</f>
        <v>0</v>
      </c>
      <c r="CO31" s="30">
        <f ca="1">COUNTIFS(INDIRECT("Table1[Beginn]"),"&lt;="&amp;CO$1,INDIRECT("Table1[Ende]"),"&gt;="&amp;CO$1,INDIRECT("Table1[Obergruppe ATC-Code]"),Tabelle3!$A31)</f>
        <v>0</v>
      </c>
      <c r="CP31" s="30">
        <f ca="1">COUNTIFS(INDIRECT("Table1[Beginn]"),"&lt;="&amp;CP$1,INDIRECT("Table1[Ende]"),"&gt;="&amp;CP$1,INDIRECT("Table1[Obergruppe ATC-Code]"),Tabelle3!$A31)</f>
        <v>0</v>
      </c>
      <c r="CQ31" s="30">
        <f ca="1">COUNTIFS(INDIRECT("Table1[Beginn]"),"&lt;="&amp;CQ$1,INDIRECT("Table1[Ende]"),"&gt;="&amp;CQ$1,INDIRECT("Table1[Obergruppe ATC-Code]"),Tabelle3!$A31)</f>
        <v>0</v>
      </c>
      <c r="CR31" s="30">
        <f ca="1">COUNTIFS(INDIRECT("Table1[Beginn]"),"&lt;="&amp;CR$1,INDIRECT("Table1[Ende]"),"&gt;="&amp;CR$1,INDIRECT("Table1[Obergruppe ATC-Code]"),Tabelle3!$A31)</f>
        <v>0</v>
      </c>
    </row>
    <row r="32" spans="1:96" ht="18">
      <c r="A32" s="7" t="s">
        <v>6832</v>
      </c>
      <c r="B32" s="8" t="s">
        <v>6833</v>
      </c>
      <c r="C32">
        <f ca="1">COUNTIFS(INDIRECT("Table1[Beginn]"),"&lt;="&amp;C$1,INDIRECT("Table1[Ende]"),"&gt;="&amp;C$1,INDIRECT("Table1[Obergruppe ATC-Code]"),Tabelle3!$A32)</f>
        <v>0</v>
      </c>
      <c r="D32">
        <f ca="1">COUNTIFS(INDIRECT("Table1[Beginn]"),"&lt;="&amp;D$1,INDIRECT("Table1[Ende]"),"&gt;="&amp;D$1,INDIRECT("Table1[Obergruppe ATC-Code]"),Tabelle3!$A32)</f>
        <v>0</v>
      </c>
      <c r="E32">
        <f ca="1">COUNTIFS(INDIRECT("Table1[Beginn]"),"&lt;="&amp;E$1,INDIRECT("Table1[Ende]"),"&gt;="&amp;E$1,INDIRECT("Table1[Obergruppe ATC-Code]"),Tabelle3!$A32)</f>
        <v>0</v>
      </c>
      <c r="F32">
        <f ca="1">COUNTIFS(INDIRECT("Table1[Beginn]"),"&lt;="&amp;F$1,INDIRECT("Table1[Ende]"),"&gt;="&amp;F$1,INDIRECT("Table1[Obergruppe ATC-Code]"),Tabelle3!$A32)</f>
        <v>0</v>
      </c>
      <c r="G32">
        <f ca="1">COUNTIFS(INDIRECT("Table1[Beginn]"),"&lt;="&amp;G$1,INDIRECT("Table1[Ende]"),"&gt;="&amp;G$1,INDIRECT("Table1[Obergruppe ATC-Code]"),Tabelle3!$A32)</f>
        <v>0</v>
      </c>
      <c r="H32">
        <f ca="1">COUNTIFS(INDIRECT("Table1[Beginn]"),"&lt;="&amp;H$1,INDIRECT("Table1[Ende]"),"&gt;="&amp;H$1,INDIRECT("Table1[Obergruppe ATC-Code]"),Tabelle3!$A32)</f>
        <v>0</v>
      </c>
      <c r="I32">
        <f ca="1">COUNTIFS(INDIRECT("Table1[Beginn]"),"&lt;="&amp;I$1,INDIRECT("Table1[Ende]"),"&gt;="&amp;I$1,INDIRECT("Table1[Obergruppe ATC-Code]"),Tabelle3!$A32)</f>
        <v>0</v>
      </c>
      <c r="J32">
        <f ca="1">COUNTIFS(INDIRECT("Table1[Beginn]"),"&lt;="&amp;J$1,INDIRECT("Table1[Ende]"),"&gt;="&amp;J$1,INDIRECT("Table1[Obergruppe ATC-Code]"),Tabelle3!$A32)</f>
        <v>0</v>
      </c>
      <c r="K32">
        <f ca="1">COUNTIFS(INDIRECT("Table1[Beginn]"),"&lt;="&amp;K$1,INDIRECT("Table1[Ende]"),"&gt;="&amp;K$1,INDIRECT("Table1[Obergruppe ATC-Code]"),Tabelle3!$A32)</f>
        <v>0</v>
      </c>
      <c r="L32">
        <f ca="1">COUNTIFS(INDIRECT("Table1[Beginn]"),"&lt;="&amp;L$1,INDIRECT("Table1[Ende]"),"&gt;="&amp;L$1,INDIRECT("Table1[Obergruppe ATC-Code]"),Tabelle3!$A32)</f>
        <v>0</v>
      </c>
      <c r="M32">
        <f ca="1">COUNTIFS(INDIRECT("Table1[Beginn]"),"&lt;="&amp;M$1,INDIRECT("Table1[Ende]"),"&gt;="&amp;M$1,INDIRECT("Table1[Obergruppe ATC-Code]"),Tabelle3!$A32)</f>
        <v>0</v>
      </c>
      <c r="N32">
        <f ca="1">COUNTIFS(INDIRECT("Table1[Beginn]"),"&lt;="&amp;N$1,INDIRECT("Table1[Ende]"),"&gt;="&amp;N$1,INDIRECT("Table1[Obergruppe ATC-Code]"),Tabelle3!$A32)</f>
        <v>0</v>
      </c>
      <c r="O32">
        <f ca="1">COUNTIFS(INDIRECT("Table1[Beginn]"),"&lt;="&amp;O$1,INDIRECT("Table1[Ende]"),"&gt;="&amp;O$1,INDIRECT("Table1[Obergruppe ATC-Code]"),Tabelle3!$A32)</f>
        <v>0</v>
      </c>
      <c r="P32">
        <f ca="1">COUNTIFS(INDIRECT("Table1[Beginn]"),"&lt;="&amp;P$1,INDIRECT("Table1[Ende]"),"&gt;="&amp;P$1,INDIRECT("Table1[Obergruppe ATC-Code]"),Tabelle3!$A32)</f>
        <v>3</v>
      </c>
      <c r="Q32">
        <f ca="1">COUNTIFS(INDIRECT("Table1[Beginn]"),"&lt;="&amp;Q$1,INDIRECT("Table1[Ende]"),"&gt;="&amp;Q$1,INDIRECT("Table1[Obergruppe ATC-Code]"),Tabelle3!$A32)</f>
        <v>3</v>
      </c>
      <c r="R32">
        <f ca="1">COUNTIFS(INDIRECT("Table1[Beginn]"),"&lt;="&amp;R$1,INDIRECT("Table1[Ende]"),"&gt;="&amp;R$1,INDIRECT("Table1[Obergruppe ATC-Code]"),Tabelle3!$A32)</f>
        <v>3</v>
      </c>
      <c r="S32">
        <f ca="1">COUNTIFS(INDIRECT("Table1[Beginn]"),"&lt;="&amp;S$1,INDIRECT("Table1[Ende]"),"&gt;="&amp;S$1,INDIRECT("Table1[Obergruppe ATC-Code]"),Tabelle3!$A32)</f>
        <v>3</v>
      </c>
      <c r="T32">
        <f ca="1">COUNTIFS(INDIRECT("Table1[Beginn]"),"&lt;="&amp;T$1,INDIRECT("Table1[Ende]"),"&gt;="&amp;T$1,INDIRECT("Table1[Obergruppe ATC-Code]"),Tabelle3!$A32)</f>
        <v>3</v>
      </c>
      <c r="U32">
        <f ca="1">COUNTIFS(INDIRECT("Table1[Beginn]"),"&lt;="&amp;U$1,INDIRECT("Table1[Ende]"),"&gt;="&amp;U$1,INDIRECT("Table1[Obergruppe ATC-Code]"),Tabelle3!$A32)</f>
        <v>3</v>
      </c>
      <c r="V32">
        <f ca="1">COUNTIFS(INDIRECT("Table1[Beginn]"),"&lt;="&amp;V$1,INDIRECT("Table1[Ende]"),"&gt;="&amp;V$1,INDIRECT("Table1[Obergruppe ATC-Code]"),Tabelle3!$A32)</f>
        <v>3</v>
      </c>
      <c r="W32">
        <f ca="1">COUNTIFS(INDIRECT("Table1[Beginn]"),"&lt;="&amp;W$1,INDIRECT("Table1[Ende]"),"&gt;="&amp;W$1,INDIRECT("Table1[Obergruppe ATC-Code]"),Tabelle3!$A32)</f>
        <v>3</v>
      </c>
      <c r="X32">
        <f ca="1">COUNTIFS(INDIRECT("Table1[Beginn]"),"&lt;="&amp;X$1,INDIRECT("Table1[Ende]"),"&gt;="&amp;X$1,INDIRECT("Table1[Obergruppe ATC-Code]"),Tabelle3!$A32)</f>
        <v>6</v>
      </c>
      <c r="Y32">
        <f ca="1">COUNTIFS(INDIRECT("Table1[Beginn]"),"&lt;="&amp;Y$1,INDIRECT("Table1[Ende]"),"&gt;="&amp;Y$1,INDIRECT("Table1[Obergruppe ATC-Code]"),Tabelle3!$A32)</f>
        <v>7</v>
      </c>
      <c r="Z32">
        <f ca="1">COUNTIFS(INDIRECT("Table1[Beginn]"),"&lt;="&amp;Z$1,INDIRECT("Table1[Ende]"),"&gt;="&amp;Z$1,INDIRECT("Table1[Obergruppe ATC-Code]"),Tabelle3!$A32)</f>
        <v>4</v>
      </c>
      <c r="AA32">
        <f ca="1">COUNTIFS(INDIRECT("Table1[Beginn]"),"&lt;="&amp;AA$1,INDIRECT("Table1[Ende]"),"&gt;="&amp;AA$1,INDIRECT("Table1[Obergruppe ATC-Code]"),Tabelle3!$A32)</f>
        <v>6</v>
      </c>
      <c r="AB32">
        <f ca="1">COUNTIFS(INDIRECT("Table1[Beginn]"),"&lt;="&amp;AB$1,INDIRECT("Table1[Ende]"),"&gt;="&amp;AB$1,INDIRECT("Table1[Obergruppe ATC-Code]"),Tabelle3!$A32)</f>
        <v>6</v>
      </c>
      <c r="AC32">
        <f ca="1">COUNTIFS(INDIRECT("Table1[Beginn]"),"&lt;="&amp;AC$1,INDIRECT("Table1[Ende]"),"&gt;="&amp;AC$1,INDIRECT("Table1[Obergruppe ATC-Code]"),Tabelle3!$A32)</f>
        <v>6</v>
      </c>
      <c r="AD32">
        <f ca="1">COUNTIFS(INDIRECT("Table1[Beginn]"),"&lt;="&amp;AD$1,INDIRECT("Table1[Ende]"),"&gt;="&amp;AD$1,INDIRECT("Table1[Obergruppe ATC-Code]"),Tabelle3!$A32)</f>
        <v>6</v>
      </c>
      <c r="AE32">
        <f ca="1">COUNTIFS(INDIRECT("Table1[Beginn]"),"&lt;="&amp;AE$1,INDIRECT("Table1[Ende]"),"&gt;="&amp;AE$1,INDIRECT("Table1[Obergruppe ATC-Code]"),Tabelle3!$A32)</f>
        <v>5</v>
      </c>
      <c r="AF32">
        <f ca="1">COUNTIFS(INDIRECT("Table1[Beginn]"),"&lt;="&amp;AF$1,INDIRECT("Table1[Ende]"),"&gt;="&amp;AF$1,INDIRECT("Table1[Obergruppe ATC-Code]"),Tabelle3!$A32)</f>
        <v>5</v>
      </c>
      <c r="AG32">
        <f ca="1">COUNTIFS(INDIRECT("Table1[Beginn]"),"&lt;="&amp;AG$1,INDIRECT("Table1[Ende]"),"&gt;="&amp;AG$1,INDIRECT("Table1[Obergruppe ATC-Code]"),Tabelle3!$A32)</f>
        <v>4</v>
      </c>
      <c r="AH32">
        <f ca="1">COUNTIFS(INDIRECT("Table1[Beginn]"),"&lt;="&amp;AH$1,INDIRECT("Table1[Ende]"),"&gt;="&amp;AH$1,INDIRECT("Table1[Obergruppe ATC-Code]"),Tabelle3!$A32)</f>
        <v>3</v>
      </c>
      <c r="AI32">
        <f ca="1">COUNTIFS(INDIRECT("Table1[Beginn]"),"&lt;="&amp;AI$1,INDIRECT("Table1[Ende]"),"&gt;="&amp;AI$1,INDIRECT("Table1[Obergruppe ATC-Code]"),Tabelle3!$A32)</f>
        <v>3</v>
      </c>
      <c r="AJ32">
        <f ca="1">COUNTIFS(INDIRECT("Table1[Beginn]"),"&lt;="&amp;AJ$1,INDIRECT("Table1[Ende]"),"&gt;="&amp;AJ$1,INDIRECT("Table1[Obergruppe ATC-Code]"),Tabelle3!$A32)</f>
        <v>2</v>
      </c>
      <c r="AK32">
        <f ca="1">COUNTIFS(INDIRECT("Table1[Beginn]"),"&lt;="&amp;AK$1,INDIRECT("Table1[Ende]"),"&gt;="&amp;AK$1,INDIRECT("Table1[Obergruppe ATC-Code]"),Tabelle3!$A32)</f>
        <v>2</v>
      </c>
      <c r="AL32">
        <f ca="1">COUNTIFS(INDIRECT("Table1[Beginn]"),"&lt;="&amp;AL$1,INDIRECT("Table1[Ende]"),"&gt;="&amp;AL$1,INDIRECT("Table1[Obergruppe ATC-Code]"),Tabelle3!$A32)</f>
        <v>2</v>
      </c>
      <c r="AM32">
        <f ca="1">COUNTIFS(INDIRECT("Table1[Beginn]"),"&lt;="&amp;AM$1,INDIRECT("Table1[Ende]"),"&gt;="&amp;AM$1,INDIRECT("Table1[Obergruppe ATC-Code]"),Tabelle3!$A32)</f>
        <v>4</v>
      </c>
      <c r="AN32">
        <f ca="1">COUNTIFS(INDIRECT("Table1[Beginn]"),"&lt;="&amp;AN$1,INDIRECT("Table1[Ende]"),"&gt;="&amp;AN$1,INDIRECT("Table1[Obergruppe ATC-Code]"),Tabelle3!$A32)</f>
        <v>4</v>
      </c>
      <c r="AO32">
        <f ca="1">COUNTIFS(INDIRECT("Table1[Beginn]"),"&lt;="&amp;AO$1,INDIRECT("Table1[Ende]"),"&gt;="&amp;AO$1,INDIRECT("Table1[Obergruppe ATC-Code]"),Tabelle3!$A32)</f>
        <v>4</v>
      </c>
      <c r="AP32">
        <f ca="1">COUNTIFS(INDIRECT("Table1[Beginn]"),"&lt;="&amp;AP$1,INDIRECT("Table1[Ende]"),"&gt;="&amp;AP$1,INDIRECT("Table1[Obergruppe ATC-Code]"),Tabelle3!$A32)</f>
        <v>5</v>
      </c>
      <c r="AQ32">
        <f ca="1">COUNTIFS(INDIRECT("Table1[Beginn]"),"&lt;="&amp;AQ$1,INDIRECT("Table1[Ende]"),"&gt;="&amp;AQ$1,INDIRECT("Table1[Obergruppe ATC-Code]"),Tabelle3!$A32)</f>
        <v>4</v>
      </c>
      <c r="AR32">
        <f ca="1">COUNTIFS(INDIRECT("Table1[Beginn]"),"&lt;="&amp;AR$1,INDIRECT("Table1[Ende]"),"&gt;="&amp;AR$1,INDIRECT("Table1[Obergruppe ATC-Code]"),Tabelle3!$A32)</f>
        <v>4</v>
      </c>
      <c r="AS32">
        <f ca="1">COUNTIFS(INDIRECT("Table1[Beginn]"),"&lt;="&amp;AS$1,INDIRECT("Table1[Ende]"),"&gt;="&amp;AS$1,INDIRECT("Table1[Obergruppe ATC-Code]"),Tabelle3!$A32)</f>
        <v>4</v>
      </c>
      <c r="AT32">
        <f ca="1">COUNTIFS(INDIRECT("Table1[Beginn]"),"&lt;="&amp;AT$1,INDIRECT("Table1[Ende]"),"&gt;="&amp;AT$1,INDIRECT("Table1[Obergruppe ATC-Code]"),Tabelle3!$A32)</f>
        <v>5</v>
      </c>
      <c r="AU32">
        <f ca="1">COUNTIFS(INDIRECT("Table1[Beginn]"),"&lt;="&amp;AU$1,INDIRECT("Table1[Ende]"),"&gt;="&amp;AU$1,INDIRECT("Table1[Obergruppe ATC-Code]"),Tabelle3!$A32)</f>
        <v>4</v>
      </c>
      <c r="AV32">
        <f ca="1">COUNTIFS(INDIRECT("Table1[Beginn]"),"&lt;="&amp;AV$1,INDIRECT("Table1[Ende]"),"&gt;="&amp;AV$1,INDIRECT("Table1[Obergruppe ATC-Code]"),Tabelle3!$A32)</f>
        <v>2</v>
      </c>
      <c r="AW32">
        <f ca="1">COUNTIFS(INDIRECT("Table1[Beginn]"),"&lt;="&amp;AW$1,INDIRECT("Table1[Ende]"),"&gt;="&amp;AW$1,INDIRECT("Table1[Obergruppe ATC-Code]"),Tabelle3!$A32)</f>
        <v>2</v>
      </c>
      <c r="AX32">
        <f ca="1">COUNTIFS(INDIRECT("Table1[Beginn]"),"&lt;="&amp;AX$1,INDIRECT("Table1[Ende]"),"&gt;="&amp;AX$1,INDIRECT("Table1[Obergruppe ATC-Code]"),Tabelle3!$A32)</f>
        <v>2</v>
      </c>
      <c r="AY32">
        <f ca="1">COUNTIFS(INDIRECT("Table1[Beginn]"),"&lt;="&amp;AY$1,INDIRECT("Table1[Ende]"),"&gt;="&amp;AY$1,INDIRECT("Table1[Obergruppe ATC-Code]"),Tabelle3!$A32)</f>
        <v>2</v>
      </c>
      <c r="AZ32">
        <f ca="1">COUNTIFS(INDIRECT("Table1[Beginn]"),"&lt;="&amp;AZ$1,INDIRECT("Table1[Ende]"),"&gt;="&amp;AZ$1,INDIRECT("Table1[Obergruppe ATC-Code]"),Tabelle3!$A32)</f>
        <v>1</v>
      </c>
      <c r="BA32">
        <f ca="1">COUNTIFS(INDIRECT("Table1[Beginn]"),"&lt;="&amp;BA$1,INDIRECT("Table1[Ende]"),"&gt;="&amp;BA$1,INDIRECT("Table1[Obergruppe ATC-Code]"),Tabelle3!$A32)</f>
        <v>1</v>
      </c>
      <c r="BB32">
        <f ca="1">COUNTIFS(INDIRECT("Table1[Beginn]"),"&lt;="&amp;BB$1,INDIRECT("Table1[Ende]"),"&gt;="&amp;BB$1,INDIRECT("Table1[Obergruppe ATC-Code]"),Tabelle3!$A32)</f>
        <v>1</v>
      </c>
      <c r="BC32">
        <f ca="1">COUNTIFS(INDIRECT("Table1[Beginn]"),"&lt;="&amp;BC$1,INDIRECT("Table1[Ende]"),"&gt;="&amp;BC$1,INDIRECT("Table1[Obergruppe ATC-Code]"),Tabelle3!$A32)</f>
        <v>1</v>
      </c>
      <c r="BD32">
        <f ca="1">COUNTIFS(INDIRECT("Table1[Beginn]"),"&lt;="&amp;BD$1,INDIRECT("Table1[Ende]"),"&gt;="&amp;BD$1,INDIRECT("Table1[Obergruppe ATC-Code]"),Tabelle3!$A32)</f>
        <v>1</v>
      </c>
      <c r="BE32">
        <f ca="1">COUNTIFS(INDIRECT("Table1[Beginn]"),"&lt;="&amp;BE$1,INDIRECT("Table1[Ende]"),"&gt;="&amp;BE$1,INDIRECT("Table1[Obergruppe ATC-Code]"),Tabelle3!$A32)</f>
        <v>1</v>
      </c>
      <c r="BF32">
        <f ca="1">COUNTIFS(INDIRECT("Table1[Beginn]"),"&lt;="&amp;BF$1,INDIRECT("Table1[Ende]"),"&gt;="&amp;BF$1,INDIRECT("Table1[Obergruppe ATC-Code]"),Tabelle3!$A32)</f>
        <v>3</v>
      </c>
      <c r="BG32">
        <f ca="1">COUNTIFS(INDIRECT("Table1[Beginn]"),"&lt;="&amp;BG$1,INDIRECT("Table1[Ende]"),"&gt;="&amp;BG$1,INDIRECT("Table1[Obergruppe ATC-Code]"),Tabelle3!$A32)</f>
        <v>2</v>
      </c>
      <c r="BH32">
        <f ca="1">COUNTIFS(INDIRECT("Table1[Beginn]"),"&lt;="&amp;BH$1,INDIRECT("Table1[Ende]"),"&gt;="&amp;BH$1,INDIRECT("Table1[Obergruppe ATC-Code]"),Tabelle3!$A32)</f>
        <v>2</v>
      </c>
      <c r="BI32">
        <f ca="1">COUNTIFS(INDIRECT("Table1[Beginn]"),"&lt;="&amp;BI$1,INDIRECT("Table1[Ende]"),"&gt;="&amp;BI$1,INDIRECT("Table1[Obergruppe ATC-Code]"),Tabelle3!$A32)</f>
        <v>2</v>
      </c>
      <c r="BJ32">
        <f ca="1">COUNTIFS(INDIRECT("Table1[Beginn]"),"&lt;="&amp;BJ$1,INDIRECT("Table1[Ende]"),"&gt;="&amp;BJ$1,INDIRECT("Table1[Obergruppe ATC-Code]"),Tabelle3!$A32)</f>
        <v>2</v>
      </c>
      <c r="BK32">
        <f ca="1">COUNTIFS(INDIRECT("Table1[Beginn]"),"&lt;="&amp;BK$1,INDIRECT("Table1[Ende]"),"&gt;="&amp;BK$1,INDIRECT("Table1[Obergruppe ATC-Code]"),Tabelle3!$A32)</f>
        <v>1</v>
      </c>
      <c r="BL32">
        <f ca="1">COUNTIFS(INDIRECT("Table1[Beginn]"),"&lt;="&amp;BL$1,INDIRECT("Table1[Ende]"),"&gt;="&amp;BL$1,INDIRECT("Table1[Obergruppe ATC-Code]"),Tabelle3!$A32)</f>
        <v>1</v>
      </c>
      <c r="BM32">
        <f ca="1">COUNTIFS(INDIRECT("Table1[Beginn]"),"&lt;="&amp;BM$1,INDIRECT("Table1[Ende]"),"&gt;="&amp;BM$1,INDIRECT("Table1[Obergruppe ATC-Code]"),Tabelle3!$A32)</f>
        <v>1</v>
      </c>
      <c r="BN32">
        <f ca="1">COUNTIFS(INDIRECT("Table1[Beginn]"),"&lt;="&amp;BN$1,INDIRECT("Table1[Ende]"),"&gt;="&amp;BN$1,INDIRECT("Table1[Obergruppe ATC-Code]"),Tabelle3!$A32)</f>
        <v>1</v>
      </c>
      <c r="BO32">
        <f ca="1">COUNTIFS(INDIRECT("Table1[Beginn]"),"&lt;="&amp;BO$1,INDIRECT("Table1[Ende]"),"&gt;="&amp;BO$1,INDIRECT("Table1[Obergruppe ATC-Code]"),Tabelle3!$A32)</f>
        <v>1</v>
      </c>
      <c r="BP32">
        <f ca="1">COUNTIFS(INDIRECT("Table1[Beginn]"),"&lt;="&amp;BP$1,INDIRECT("Table1[Ende]"),"&gt;="&amp;BP$1,INDIRECT("Table1[Obergruppe ATC-Code]"),Tabelle3!$A32)</f>
        <v>1</v>
      </c>
      <c r="BQ32">
        <f ca="1">COUNTIFS(INDIRECT("Table1[Beginn]"),"&lt;="&amp;BQ$1,INDIRECT("Table1[Ende]"),"&gt;="&amp;BQ$1,INDIRECT("Table1[Obergruppe ATC-Code]"),Tabelle3!$A32)</f>
        <v>2</v>
      </c>
      <c r="BR32">
        <f ca="1">COUNTIFS(INDIRECT("Table1[Beginn]"),"&lt;="&amp;BR$1,INDIRECT("Table1[Ende]"),"&gt;="&amp;BR$1,INDIRECT("Table1[Obergruppe ATC-Code]"),Tabelle3!$A32)</f>
        <v>1</v>
      </c>
      <c r="BS32">
        <f ca="1">COUNTIFS(INDIRECT("Table1[Beginn]"),"&lt;="&amp;BS$1,INDIRECT("Table1[Ende]"),"&gt;="&amp;BS$1,INDIRECT("Table1[Obergruppe ATC-Code]"),Tabelle3!$A32)</f>
        <v>1</v>
      </c>
      <c r="BT32">
        <f ca="1">COUNTIFS(INDIRECT("Table1[Beginn]"),"&lt;="&amp;BT$1,INDIRECT("Table1[Ende]"),"&gt;="&amp;BT$1,INDIRECT("Table1[Obergruppe ATC-Code]"),Tabelle3!$A32)</f>
        <v>1</v>
      </c>
      <c r="BU32">
        <f ca="1">COUNTIFS(INDIRECT("Table1[Beginn]"),"&lt;="&amp;BU$1,INDIRECT("Table1[Ende]"),"&gt;="&amp;BU$1,INDIRECT("Table1[Obergruppe ATC-Code]"),Tabelle3!$A32)</f>
        <v>1</v>
      </c>
      <c r="BV32">
        <f ca="1">COUNTIFS(INDIRECT("Table1[Beginn]"),"&lt;="&amp;BV$1,INDIRECT("Table1[Ende]"),"&gt;="&amp;BV$1,INDIRECT("Table1[Obergruppe ATC-Code]"),Tabelle3!$A32)</f>
        <v>3</v>
      </c>
      <c r="BW32">
        <f ca="1">COUNTIFS(INDIRECT("Table1[Beginn]"),"&lt;="&amp;BW$1,INDIRECT("Table1[Ende]"),"&gt;="&amp;BW$1,INDIRECT("Table1[Obergruppe ATC-Code]"),Tabelle3!$A32)</f>
        <v>4</v>
      </c>
      <c r="BX32">
        <f ca="1">COUNTIFS(INDIRECT("Table1[Beginn]"),"&lt;="&amp;BX$1,INDIRECT("Table1[Ende]"),"&gt;="&amp;BX$1,INDIRECT("Table1[Obergruppe ATC-Code]"),Tabelle3!$A32)</f>
        <v>13</v>
      </c>
      <c r="BY32">
        <f ca="1">COUNTIFS(INDIRECT("Table1[Beginn]"),"&lt;="&amp;BY$1,INDIRECT("Table1[Ende]"),"&gt;="&amp;BY$1,INDIRECT("Table1[Obergruppe ATC-Code]"),Tabelle3!$A32)</f>
        <v>15</v>
      </c>
      <c r="BZ32">
        <f ca="1">COUNTIFS(INDIRECT("Table1[Beginn]"),"&lt;="&amp;BZ$1,INDIRECT("Table1[Ende]"),"&gt;="&amp;BZ$1,INDIRECT("Table1[Obergruppe ATC-Code]"),Tabelle3!$A32)</f>
        <v>20</v>
      </c>
      <c r="CA32">
        <f ca="1">COUNTIFS(INDIRECT("Table1[Beginn]"),"&lt;="&amp;CA$1,INDIRECT("Table1[Ende]"),"&gt;="&amp;CA$1,INDIRECT("Table1[Obergruppe ATC-Code]"),Tabelle3!$A32)</f>
        <v>25</v>
      </c>
      <c r="CB32">
        <f ca="1">COUNTIFS(INDIRECT("Table1[Beginn]"),"&lt;="&amp;CB$1,INDIRECT("Table1[Ende]"),"&gt;="&amp;CB$1,INDIRECT("Table1[Obergruppe ATC-Code]"),Tabelle3!$A32)</f>
        <v>22</v>
      </c>
      <c r="CC32">
        <f ca="1">COUNTIFS(INDIRECT("Table1[Beginn]"),"&lt;="&amp;CC$1,INDIRECT("Table1[Ende]"),"&gt;="&amp;CC$1,INDIRECT("Table1[Obergruppe ATC-Code]"),Tabelle3!$A32)</f>
        <v>20</v>
      </c>
      <c r="CD32">
        <f ca="1">COUNTIFS(INDIRECT("Table1[Beginn]"),"&lt;="&amp;CD$1,INDIRECT("Table1[Ende]"),"&gt;="&amp;CD$1,INDIRECT("Table1[Obergruppe ATC-Code]"),Tabelle3!$A32)</f>
        <v>13</v>
      </c>
      <c r="CE32">
        <f ca="1">COUNTIFS(INDIRECT("Table1[Beginn]"),"&lt;="&amp;CE$1,INDIRECT("Table1[Ende]"),"&gt;="&amp;CE$1,INDIRECT("Table1[Obergruppe ATC-Code]"),Tabelle3!$A32)</f>
        <v>11</v>
      </c>
      <c r="CF32">
        <f ca="1">COUNTIFS(INDIRECT("Table1[Beginn]"),"&lt;="&amp;CF$1,INDIRECT("Table1[Ende]"),"&gt;="&amp;CF$1,INDIRECT("Table1[Obergruppe ATC-Code]"),Tabelle3!$A32)</f>
        <v>9</v>
      </c>
      <c r="CG32">
        <f ca="1">COUNTIFS(INDIRECT("Table1[Beginn]"),"&lt;="&amp;CG$1,INDIRECT("Table1[Ende]"),"&gt;="&amp;CG$1,INDIRECT("Table1[Obergruppe ATC-Code]"),Tabelle3!$A32)</f>
        <v>3</v>
      </c>
      <c r="CH32">
        <f ca="1">COUNTIFS(INDIRECT("Table1[Beginn]"),"&lt;="&amp;CH$1,INDIRECT("Table1[Ende]"),"&gt;="&amp;CH$1,INDIRECT("Table1[Obergruppe ATC-Code]"),Tabelle3!$A32)</f>
        <v>2</v>
      </c>
      <c r="CI32">
        <f ca="1">COUNTIFS(INDIRECT("Table1[Beginn]"),"&lt;="&amp;CI$1,INDIRECT("Table1[Ende]"),"&gt;="&amp;CI$1,INDIRECT("Table1[Obergruppe ATC-Code]"),Tabelle3!$A32)</f>
        <v>0</v>
      </c>
      <c r="CJ32">
        <f ca="1">COUNTIFS(INDIRECT("Table1[Beginn]"),"&lt;="&amp;CJ$1,INDIRECT("Table1[Ende]"),"&gt;="&amp;CJ$1,INDIRECT("Table1[Obergruppe ATC-Code]"),Tabelle3!$A32)</f>
        <v>0</v>
      </c>
      <c r="CK32">
        <f ca="1">COUNTIFS(INDIRECT("Table1[Beginn]"),"&lt;="&amp;CK$1,INDIRECT("Table1[Ende]"),"&gt;="&amp;CK$1,INDIRECT("Table1[Obergruppe ATC-Code]"),Tabelle3!$A32)</f>
        <v>0</v>
      </c>
      <c r="CL32">
        <f ca="1">COUNTIFS(INDIRECT("Table1[Beginn]"),"&lt;="&amp;CL$1,INDIRECT("Table1[Ende]"),"&gt;="&amp;CL$1,INDIRECT("Table1[Obergruppe ATC-Code]"),Tabelle3!$A32)</f>
        <v>0</v>
      </c>
      <c r="CM32">
        <f ca="1">COUNTIFS(INDIRECT("Table1[Beginn]"),"&lt;="&amp;CM$1,INDIRECT("Table1[Ende]"),"&gt;="&amp;CM$1,INDIRECT("Table1[Obergruppe ATC-Code]"),Tabelle3!$A32)</f>
        <v>0</v>
      </c>
      <c r="CN32">
        <f ca="1">COUNTIFS(INDIRECT("Table1[Beginn]"),"&lt;="&amp;CN$1,INDIRECT("Table1[Ende]"),"&gt;="&amp;CN$1,INDIRECT("Table1[Obergruppe ATC-Code]"),Tabelle3!$A32)</f>
        <v>0</v>
      </c>
      <c r="CO32">
        <f ca="1">COUNTIFS(INDIRECT("Table1[Beginn]"),"&lt;="&amp;CO$1,INDIRECT("Table1[Ende]"),"&gt;="&amp;CO$1,INDIRECT("Table1[Obergruppe ATC-Code]"),Tabelle3!$A32)</f>
        <v>0</v>
      </c>
      <c r="CP32">
        <f ca="1">COUNTIFS(INDIRECT("Table1[Beginn]"),"&lt;="&amp;CP$1,INDIRECT("Table1[Ende]"),"&gt;="&amp;CP$1,INDIRECT("Table1[Obergruppe ATC-Code]"),Tabelle3!$A32)</f>
        <v>0</v>
      </c>
      <c r="CQ32">
        <f ca="1">COUNTIFS(INDIRECT("Table1[Beginn]"),"&lt;="&amp;CQ$1,INDIRECT("Table1[Ende]"),"&gt;="&amp;CQ$1,INDIRECT("Table1[Obergruppe ATC-Code]"),Tabelle3!$A32)</f>
        <v>0</v>
      </c>
      <c r="CR32">
        <f ca="1">COUNTIFS(INDIRECT("Table1[Beginn]"),"&lt;="&amp;CR$1,INDIRECT("Table1[Ende]"),"&gt;="&amp;CR$1,INDIRECT("Table1[Obergruppe ATC-Code]"),Tabelle3!$A32)</f>
        <v>0</v>
      </c>
    </row>
    <row r="33" spans="1:96" ht="18">
      <c r="A33" s="9" t="s">
        <v>6834</v>
      </c>
      <c r="B33" s="10" t="s">
        <v>6835</v>
      </c>
      <c r="C33">
        <f ca="1">COUNTIFS(INDIRECT("Table1[Beginn]"),"&lt;="&amp;C$1,INDIRECT("Table1[Ende]"),"&gt;="&amp;C$1,INDIRECT("Table1[Obergruppe ATC-Code]"),Tabelle3!$A33)</f>
        <v>0</v>
      </c>
      <c r="D33">
        <f ca="1">COUNTIFS(INDIRECT("Table1[Beginn]"),"&lt;="&amp;D$1,INDIRECT("Table1[Ende]"),"&gt;="&amp;D$1,INDIRECT("Table1[Obergruppe ATC-Code]"),Tabelle3!$A33)</f>
        <v>0</v>
      </c>
      <c r="E33">
        <f ca="1">COUNTIFS(INDIRECT("Table1[Beginn]"),"&lt;="&amp;E$1,INDIRECT("Table1[Ende]"),"&gt;="&amp;E$1,INDIRECT("Table1[Obergruppe ATC-Code]"),Tabelle3!$A33)</f>
        <v>0</v>
      </c>
      <c r="F33">
        <f ca="1">COUNTIFS(INDIRECT("Table1[Beginn]"),"&lt;="&amp;F$1,INDIRECT("Table1[Ende]"),"&gt;="&amp;F$1,INDIRECT("Table1[Obergruppe ATC-Code]"),Tabelle3!$A33)</f>
        <v>0</v>
      </c>
      <c r="G33">
        <f ca="1">COUNTIFS(INDIRECT("Table1[Beginn]"),"&lt;="&amp;G$1,INDIRECT("Table1[Ende]"),"&gt;="&amp;G$1,INDIRECT("Table1[Obergruppe ATC-Code]"),Tabelle3!$A33)</f>
        <v>0</v>
      </c>
      <c r="H33">
        <f ca="1">COUNTIFS(INDIRECT("Table1[Beginn]"),"&lt;="&amp;H$1,INDIRECT("Table1[Ende]"),"&gt;="&amp;H$1,INDIRECT("Table1[Obergruppe ATC-Code]"),Tabelle3!$A33)</f>
        <v>0</v>
      </c>
      <c r="I33">
        <f ca="1">COUNTIFS(INDIRECT("Table1[Beginn]"),"&lt;="&amp;I$1,INDIRECT("Table1[Ende]"),"&gt;="&amp;I$1,INDIRECT("Table1[Obergruppe ATC-Code]"),Tabelle3!$A33)</f>
        <v>0</v>
      </c>
      <c r="J33">
        <f ca="1">COUNTIFS(INDIRECT("Table1[Beginn]"),"&lt;="&amp;J$1,INDIRECT("Table1[Ende]"),"&gt;="&amp;J$1,INDIRECT("Table1[Obergruppe ATC-Code]"),Tabelle3!$A33)</f>
        <v>0</v>
      </c>
      <c r="K33">
        <f ca="1">COUNTIFS(INDIRECT("Table1[Beginn]"),"&lt;="&amp;K$1,INDIRECT("Table1[Ende]"),"&gt;="&amp;K$1,INDIRECT("Table1[Obergruppe ATC-Code]"),Tabelle3!$A33)</f>
        <v>0</v>
      </c>
      <c r="L33">
        <f ca="1">COUNTIFS(INDIRECT("Table1[Beginn]"),"&lt;="&amp;L$1,INDIRECT("Table1[Ende]"),"&gt;="&amp;L$1,INDIRECT("Table1[Obergruppe ATC-Code]"),Tabelle3!$A33)</f>
        <v>0</v>
      </c>
      <c r="M33">
        <f ca="1">COUNTIFS(INDIRECT("Table1[Beginn]"),"&lt;="&amp;M$1,INDIRECT("Table1[Ende]"),"&gt;="&amp;M$1,INDIRECT("Table1[Obergruppe ATC-Code]"),Tabelle3!$A33)</f>
        <v>0</v>
      </c>
      <c r="N33">
        <f ca="1">COUNTIFS(INDIRECT("Table1[Beginn]"),"&lt;="&amp;N$1,INDIRECT("Table1[Ende]"),"&gt;="&amp;N$1,INDIRECT("Table1[Obergruppe ATC-Code]"),Tabelle3!$A33)</f>
        <v>0</v>
      </c>
      <c r="O33">
        <f ca="1">COUNTIFS(INDIRECT("Table1[Beginn]"),"&lt;="&amp;O$1,INDIRECT("Table1[Ende]"),"&gt;="&amp;O$1,INDIRECT("Table1[Obergruppe ATC-Code]"),Tabelle3!$A33)</f>
        <v>0</v>
      </c>
      <c r="P33">
        <f ca="1">COUNTIFS(INDIRECT("Table1[Beginn]"),"&lt;="&amp;P$1,INDIRECT("Table1[Ende]"),"&gt;="&amp;P$1,INDIRECT("Table1[Obergruppe ATC-Code]"),Tabelle3!$A33)</f>
        <v>0</v>
      </c>
      <c r="Q33">
        <f ca="1">COUNTIFS(INDIRECT("Table1[Beginn]"),"&lt;="&amp;Q$1,INDIRECT("Table1[Ende]"),"&gt;="&amp;Q$1,INDIRECT("Table1[Obergruppe ATC-Code]"),Tabelle3!$A33)</f>
        <v>0</v>
      </c>
      <c r="R33">
        <f ca="1">COUNTIFS(INDIRECT("Table1[Beginn]"),"&lt;="&amp;R$1,INDIRECT("Table1[Ende]"),"&gt;="&amp;R$1,INDIRECT("Table1[Obergruppe ATC-Code]"),Tabelle3!$A33)</f>
        <v>0</v>
      </c>
      <c r="S33">
        <f ca="1">COUNTIFS(INDIRECT("Table1[Beginn]"),"&lt;="&amp;S$1,INDIRECT("Table1[Ende]"),"&gt;="&amp;S$1,INDIRECT("Table1[Obergruppe ATC-Code]"),Tabelle3!$A33)</f>
        <v>0</v>
      </c>
      <c r="T33">
        <f ca="1">COUNTIFS(INDIRECT("Table1[Beginn]"),"&lt;="&amp;T$1,INDIRECT("Table1[Ende]"),"&gt;="&amp;T$1,INDIRECT("Table1[Obergruppe ATC-Code]"),Tabelle3!$A33)</f>
        <v>0</v>
      </c>
      <c r="U33">
        <f ca="1">COUNTIFS(INDIRECT("Table1[Beginn]"),"&lt;="&amp;U$1,INDIRECT("Table1[Ende]"),"&gt;="&amp;U$1,INDIRECT("Table1[Obergruppe ATC-Code]"),Tabelle3!$A33)</f>
        <v>0</v>
      </c>
      <c r="V33">
        <f ca="1">COUNTIFS(INDIRECT("Table1[Beginn]"),"&lt;="&amp;V$1,INDIRECT("Table1[Ende]"),"&gt;="&amp;V$1,INDIRECT("Table1[Obergruppe ATC-Code]"),Tabelle3!$A33)</f>
        <v>0</v>
      </c>
      <c r="W33">
        <f ca="1">COUNTIFS(INDIRECT("Table1[Beginn]"),"&lt;="&amp;W$1,INDIRECT("Table1[Ende]"),"&gt;="&amp;W$1,INDIRECT("Table1[Obergruppe ATC-Code]"),Tabelle3!$A33)</f>
        <v>0</v>
      </c>
      <c r="X33">
        <f ca="1">COUNTIFS(INDIRECT("Table1[Beginn]"),"&lt;="&amp;X$1,INDIRECT("Table1[Ende]"),"&gt;="&amp;X$1,INDIRECT("Table1[Obergruppe ATC-Code]"),Tabelle3!$A33)</f>
        <v>0</v>
      </c>
      <c r="Y33">
        <f ca="1">COUNTIFS(INDIRECT("Table1[Beginn]"),"&lt;="&amp;Y$1,INDIRECT("Table1[Ende]"),"&gt;="&amp;Y$1,INDIRECT("Table1[Obergruppe ATC-Code]"),Tabelle3!$A33)</f>
        <v>0</v>
      </c>
      <c r="Z33">
        <f ca="1">COUNTIFS(INDIRECT("Table1[Beginn]"),"&lt;="&amp;Z$1,INDIRECT("Table1[Ende]"),"&gt;="&amp;Z$1,INDIRECT("Table1[Obergruppe ATC-Code]"),Tabelle3!$A33)</f>
        <v>0</v>
      </c>
      <c r="AA33">
        <f ca="1">COUNTIFS(INDIRECT("Table1[Beginn]"),"&lt;="&amp;AA$1,INDIRECT("Table1[Ende]"),"&gt;="&amp;AA$1,INDIRECT("Table1[Obergruppe ATC-Code]"),Tabelle3!$A33)</f>
        <v>0</v>
      </c>
      <c r="AB33">
        <f ca="1">COUNTIFS(INDIRECT("Table1[Beginn]"),"&lt;="&amp;AB$1,INDIRECT("Table1[Ende]"),"&gt;="&amp;AB$1,INDIRECT("Table1[Obergruppe ATC-Code]"),Tabelle3!$A33)</f>
        <v>0</v>
      </c>
      <c r="AC33">
        <f ca="1">COUNTIFS(INDIRECT("Table1[Beginn]"),"&lt;="&amp;AC$1,INDIRECT("Table1[Ende]"),"&gt;="&amp;AC$1,INDIRECT("Table1[Obergruppe ATC-Code]"),Tabelle3!$A33)</f>
        <v>0</v>
      </c>
      <c r="AD33">
        <f ca="1">COUNTIFS(INDIRECT("Table1[Beginn]"),"&lt;="&amp;AD$1,INDIRECT("Table1[Ende]"),"&gt;="&amp;AD$1,INDIRECT("Table1[Obergruppe ATC-Code]"),Tabelle3!$A33)</f>
        <v>0</v>
      </c>
      <c r="AE33">
        <f ca="1">COUNTIFS(INDIRECT("Table1[Beginn]"),"&lt;="&amp;AE$1,INDIRECT("Table1[Ende]"),"&gt;="&amp;AE$1,INDIRECT("Table1[Obergruppe ATC-Code]"),Tabelle3!$A33)</f>
        <v>0</v>
      </c>
      <c r="AF33">
        <f ca="1">COUNTIFS(INDIRECT("Table1[Beginn]"),"&lt;="&amp;AF$1,INDIRECT("Table1[Ende]"),"&gt;="&amp;AF$1,INDIRECT("Table1[Obergruppe ATC-Code]"),Tabelle3!$A33)</f>
        <v>0</v>
      </c>
      <c r="AG33">
        <f ca="1">COUNTIFS(INDIRECT("Table1[Beginn]"),"&lt;="&amp;AG$1,INDIRECT("Table1[Ende]"),"&gt;="&amp;AG$1,INDIRECT("Table1[Obergruppe ATC-Code]"),Tabelle3!$A33)</f>
        <v>0</v>
      </c>
      <c r="AH33">
        <f ca="1">COUNTIFS(INDIRECT("Table1[Beginn]"),"&lt;="&amp;AH$1,INDIRECT("Table1[Ende]"),"&gt;="&amp;AH$1,INDIRECT("Table1[Obergruppe ATC-Code]"),Tabelle3!$A33)</f>
        <v>0</v>
      </c>
      <c r="AI33">
        <f ca="1">COUNTIFS(INDIRECT("Table1[Beginn]"),"&lt;="&amp;AI$1,INDIRECT("Table1[Ende]"),"&gt;="&amp;AI$1,INDIRECT("Table1[Obergruppe ATC-Code]"),Tabelle3!$A33)</f>
        <v>0</v>
      </c>
      <c r="AJ33">
        <f ca="1">COUNTIFS(INDIRECT("Table1[Beginn]"),"&lt;="&amp;AJ$1,INDIRECT("Table1[Ende]"),"&gt;="&amp;AJ$1,INDIRECT("Table1[Obergruppe ATC-Code]"),Tabelle3!$A33)</f>
        <v>0</v>
      </c>
      <c r="AK33">
        <f ca="1">COUNTIFS(INDIRECT("Table1[Beginn]"),"&lt;="&amp;AK$1,INDIRECT("Table1[Ende]"),"&gt;="&amp;AK$1,INDIRECT("Table1[Obergruppe ATC-Code]"),Tabelle3!$A33)</f>
        <v>0</v>
      </c>
      <c r="AL33">
        <f ca="1">COUNTIFS(INDIRECT("Table1[Beginn]"),"&lt;="&amp;AL$1,INDIRECT("Table1[Ende]"),"&gt;="&amp;AL$1,INDIRECT("Table1[Obergruppe ATC-Code]"),Tabelle3!$A33)</f>
        <v>0</v>
      </c>
      <c r="AM33">
        <f ca="1">COUNTIFS(INDIRECT("Table1[Beginn]"),"&lt;="&amp;AM$1,INDIRECT("Table1[Ende]"),"&gt;="&amp;AM$1,INDIRECT("Table1[Obergruppe ATC-Code]"),Tabelle3!$A33)</f>
        <v>0</v>
      </c>
      <c r="AN33">
        <f ca="1">COUNTIFS(INDIRECT("Table1[Beginn]"),"&lt;="&amp;AN$1,INDIRECT("Table1[Ende]"),"&gt;="&amp;AN$1,INDIRECT("Table1[Obergruppe ATC-Code]"),Tabelle3!$A33)</f>
        <v>0</v>
      </c>
      <c r="AO33">
        <f ca="1">COUNTIFS(INDIRECT("Table1[Beginn]"),"&lt;="&amp;AO$1,INDIRECT("Table1[Ende]"),"&gt;="&amp;AO$1,INDIRECT("Table1[Obergruppe ATC-Code]"),Tabelle3!$A33)</f>
        <v>0</v>
      </c>
      <c r="AP33">
        <f ca="1">COUNTIFS(INDIRECT("Table1[Beginn]"),"&lt;="&amp;AP$1,INDIRECT("Table1[Ende]"),"&gt;="&amp;AP$1,INDIRECT("Table1[Obergruppe ATC-Code]"),Tabelle3!$A33)</f>
        <v>0</v>
      </c>
      <c r="AQ33">
        <f ca="1">COUNTIFS(INDIRECT("Table1[Beginn]"),"&lt;="&amp;AQ$1,INDIRECT("Table1[Ende]"),"&gt;="&amp;AQ$1,INDIRECT("Table1[Obergruppe ATC-Code]"),Tabelle3!$A33)</f>
        <v>0</v>
      </c>
      <c r="AR33">
        <f ca="1">COUNTIFS(INDIRECT("Table1[Beginn]"),"&lt;="&amp;AR$1,INDIRECT("Table1[Ende]"),"&gt;="&amp;AR$1,INDIRECT("Table1[Obergruppe ATC-Code]"),Tabelle3!$A33)</f>
        <v>0</v>
      </c>
      <c r="AS33">
        <f ca="1">COUNTIFS(INDIRECT("Table1[Beginn]"),"&lt;="&amp;AS$1,INDIRECT("Table1[Ende]"),"&gt;="&amp;AS$1,INDIRECT("Table1[Obergruppe ATC-Code]"),Tabelle3!$A33)</f>
        <v>0</v>
      </c>
      <c r="AT33">
        <f ca="1">COUNTIFS(INDIRECT("Table1[Beginn]"),"&lt;="&amp;AT$1,INDIRECT("Table1[Ende]"),"&gt;="&amp;AT$1,INDIRECT("Table1[Obergruppe ATC-Code]"),Tabelle3!$A33)</f>
        <v>0</v>
      </c>
      <c r="AU33">
        <f ca="1">COUNTIFS(INDIRECT("Table1[Beginn]"),"&lt;="&amp;AU$1,INDIRECT("Table1[Ende]"),"&gt;="&amp;AU$1,INDIRECT("Table1[Obergruppe ATC-Code]"),Tabelle3!$A33)</f>
        <v>0</v>
      </c>
      <c r="AV33">
        <f ca="1">COUNTIFS(INDIRECT("Table1[Beginn]"),"&lt;="&amp;AV$1,INDIRECT("Table1[Ende]"),"&gt;="&amp;AV$1,INDIRECT("Table1[Obergruppe ATC-Code]"),Tabelle3!$A33)</f>
        <v>0</v>
      </c>
      <c r="AW33">
        <f ca="1">COUNTIFS(INDIRECT("Table1[Beginn]"),"&lt;="&amp;AW$1,INDIRECT("Table1[Ende]"),"&gt;="&amp;AW$1,INDIRECT("Table1[Obergruppe ATC-Code]"),Tabelle3!$A33)</f>
        <v>0</v>
      </c>
      <c r="AX33">
        <f ca="1">COUNTIFS(INDIRECT("Table1[Beginn]"),"&lt;="&amp;AX$1,INDIRECT("Table1[Ende]"),"&gt;="&amp;AX$1,INDIRECT("Table1[Obergruppe ATC-Code]"),Tabelle3!$A33)</f>
        <v>0</v>
      </c>
      <c r="AY33">
        <f ca="1">COUNTIFS(INDIRECT("Table1[Beginn]"),"&lt;="&amp;AY$1,INDIRECT("Table1[Ende]"),"&gt;="&amp;AY$1,INDIRECT("Table1[Obergruppe ATC-Code]"),Tabelle3!$A33)</f>
        <v>0</v>
      </c>
      <c r="AZ33">
        <f ca="1">COUNTIFS(INDIRECT("Table1[Beginn]"),"&lt;="&amp;AZ$1,INDIRECT("Table1[Ende]"),"&gt;="&amp;AZ$1,INDIRECT("Table1[Obergruppe ATC-Code]"),Tabelle3!$A33)</f>
        <v>0</v>
      </c>
      <c r="BA33">
        <f ca="1">COUNTIFS(INDIRECT("Table1[Beginn]"),"&lt;="&amp;BA$1,INDIRECT("Table1[Ende]"),"&gt;="&amp;BA$1,INDIRECT("Table1[Obergruppe ATC-Code]"),Tabelle3!$A33)</f>
        <v>0</v>
      </c>
      <c r="BB33">
        <f ca="1">COUNTIFS(INDIRECT("Table1[Beginn]"),"&lt;="&amp;BB$1,INDIRECT("Table1[Ende]"),"&gt;="&amp;BB$1,INDIRECT("Table1[Obergruppe ATC-Code]"),Tabelle3!$A33)</f>
        <v>0</v>
      </c>
      <c r="BC33">
        <f ca="1">COUNTIFS(INDIRECT("Table1[Beginn]"),"&lt;="&amp;BC$1,INDIRECT("Table1[Ende]"),"&gt;="&amp;BC$1,INDIRECT("Table1[Obergruppe ATC-Code]"),Tabelle3!$A33)</f>
        <v>0</v>
      </c>
      <c r="BD33">
        <f ca="1">COUNTIFS(INDIRECT("Table1[Beginn]"),"&lt;="&amp;BD$1,INDIRECT("Table1[Ende]"),"&gt;="&amp;BD$1,INDIRECT("Table1[Obergruppe ATC-Code]"),Tabelle3!$A33)</f>
        <v>0</v>
      </c>
      <c r="BE33">
        <f ca="1">COUNTIFS(INDIRECT("Table1[Beginn]"),"&lt;="&amp;BE$1,INDIRECT("Table1[Ende]"),"&gt;="&amp;BE$1,INDIRECT("Table1[Obergruppe ATC-Code]"),Tabelle3!$A33)</f>
        <v>0</v>
      </c>
      <c r="BF33">
        <f ca="1">COUNTIFS(INDIRECT("Table1[Beginn]"),"&lt;="&amp;BF$1,INDIRECT("Table1[Ende]"),"&gt;="&amp;BF$1,INDIRECT("Table1[Obergruppe ATC-Code]"),Tabelle3!$A33)</f>
        <v>0</v>
      </c>
      <c r="BG33">
        <f ca="1">COUNTIFS(INDIRECT("Table1[Beginn]"),"&lt;="&amp;BG$1,INDIRECT("Table1[Ende]"),"&gt;="&amp;BG$1,INDIRECT("Table1[Obergruppe ATC-Code]"),Tabelle3!$A33)</f>
        <v>0</v>
      </c>
      <c r="BH33">
        <f ca="1">COUNTIFS(INDIRECT("Table1[Beginn]"),"&lt;="&amp;BH$1,INDIRECT("Table1[Ende]"),"&gt;="&amp;BH$1,INDIRECT("Table1[Obergruppe ATC-Code]"),Tabelle3!$A33)</f>
        <v>0</v>
      </c>
      <c r="BI33">
        <f ca="1">COUNTIFS(INDIRECT("Table1[Beginn]"),"&lt;="&amp;BI$1,INDIRECT("Table1[Ende]"),"&gt;="&amp;BI$1,INDIRECT("Table1[Obergruppe ATC-Code]"),Tabelle3!$A33)</f>
        <v>1</v>
      </c>
      <c r="BJ33">
        <f ca="1">COUNTIFS(INDIRECT("Table1[Beginn]"),"&lt;="&amp;BJ$1,INDIRECT("Table1[Ende]"),"&gt;="&amp;BJ$1,INDIRECT("Table1[Obergruppe ATC-Code]"),Tabelle3!$A33)</f>
        <v>0</v>
      </c>
      <c r="BK33">
        <f ca="1">COUNTIFS(INDIRECT("Table1[Beginn]"),"&lt;="&amp;BK$1,INDIRECT("Table1[Ende]"),"&gt;="&amp;BK$1,INDIRECT("Table1[Obergruppe ATC-Code]"),Tabelle3!$A33)</f>
        <v>0</v>
      </c>
      <c r="BL33">
        <f ca="1">COUNTIFS(INDIRECT("Table1[Beginn]"),"&lt;="&amp;BL$1,INDIRECT("Table1[Ende]"),"&gt;="&amp;BL$1,INDIRECT("Table1[Obergruppe ATC-Code]"),Tabelle3!$A33)</f>
        <v>1</v>
      </c>
      <c r="BM33">
        <f ca="1">COUNTIFS(INDIRECT("Table1[Beginn]"),"&lt;="&amp;BM$1,INDIRECT("Table1[Ende]"),"&gt;="&amp;BM$1,INDIRECT("Table1[Obergruppe ATC-Code]"),Tabelle3!$A33)</f>
        <v>0</v>
      </c>
      <c r="BN33">
        <f ca="1">COUNTIFS(INDIRECT("Table1[Beginn]"),"&lt;="&amp;BN$1,INDIRECT("Table1[Ende]"),"&gt;="&amp;BN$1,INDIRECT("Table1[Obergruppe ATC-Code]"),Tabelle3!$A33)</f>
        <v>0</v>
      </c>
      <c r="BO33">
        <f ca="1">COUNTIFS(INDIRECT("Table1[Beginn]"),"&lt;="&amp;BO$1,INDIRECT("Table1[Ende]"),"&gt;="&amp;BO$1,INDIRECT("Table1[Obergruppe ATC-Code]"),Tabelle3!$A33)</f>
        <v>0</v>
      </c>
      <c r="BP33">
        <f ca="1">COUNTIFS(INDIRECT("Table1[Beginn]"),"&lt;="&amp;BP$1,INDIRECT("Table1[Ende]"),"&gt;="&amp;BP$1,INDIRECT("Table1[Obergruppe ATC-Code]"),Tabelle3!$A33)</f>
        <v>0</v>
      </c>
      <c r="BQ33">
        <f ca="1">COUNTIFS(INDIRECT("Table1[Beginn]"),"&lt;="&amp;BQ$1,INDIRECT("Table1[Ende]"),"&gt;="&amp;BQ$1,INDIRECT("Table1[Obergruppe ATC-Code]"),Tabelle3!$A33)</f>
        <v>0</v>
      </c>
      <c r="BR33">
        <f ca="1">COUNTIFS(INDIRECT("Table1[Beginn]"),"&lt;="&amp;BR$1,INDIRECT("Table1[Ende]"),"&gt;="&amp;BR$1,INDIRECT("Table1[Obergruppe ATC-Code]"),Tabelle3!$A33)</f>
        <v>0</v>
      </c>
      <c r="BS33">
        <f ca="1">COUNTIFS(INDIRECT("Table1[Beginn]"),"&lt;="&amp;BS$1,INDIRECT("Table1[Ende]"),"&gt;="&amp;BS$1,INDIRECT("Table1[Obergruppe ATC-Code]"),Tabelle3!$A33)</f>
        <v>0</v>
      </c>
      <c r="BT33">
        <f ca="1">COUNTIFS(INDIRECT("Table1[Beginn]"),"&lt;="&amp;BT$1,INDIRECT("Table1[Ende]"),"&gt;="&amp;BT$1,INDIRECT("Table1[Obergruppe ATC-Code]"),Tabelle3!$A33)</f>
        <v>0</v>
      </c>
      <c r="BU33">
        <f ca="1">COUNTIFS(INDIRECT("Table1[Beginn]"),"&lt;="&amp;BU$1,INDIRECT("Table1[Ende]"),"&gt;="&amp;BU$1,INDIRECT("Table1[Obergruppe ATC-Code]"),Tabelle3!$A33)</f>
        <v>0</v>
      </c>
      <c r="BV33">
        <f ca="1">COUNTIFS(INDIRECT("Table1[Beginn]"),"&lt;="&amp;BV$1,INDIRECT("Table1[Ende]"),"&gt;="&amp;BV$1,INDIRECT("Table1[Obergruppe ATC-Code]"),Tabelle3!$A33)</f>
        <v>1</v>
      </c>
      <c r="BW33">
        <f ca="1">COUNTIFS(INDIRECT("Table1[Beginn]"),"&lt;="&amp;BW$1,INDIRECT("Table1[Ende]"),"&gt;="&amp;BW$1,INDIRECT("Table1[Obergruppe ATC-Code]"),Tabelle3!$A33)</f>
        <v>1</v>
      </c>
      <c r="BX33">
        <f ca="1">COUNTIFS(INDIRECT("Table1[Beginn]"),"&lt;="&amp;BX$1,INDIRECT("Table1[Ende]"),"&gt;="&amp;BX$1,INDIRECT("Table1[Obergruppe ATC-Code]"),Tabelle3!$A33)</f>
        <v>0</v>
      </c>
      <c r="BY33">
        <f ca="1">COUNTIFS(INDIRECT("Table1[Beginn]"),"&lt;="&amp;BY$1,INDIRECT("Table1[Ende]"),"&gt;="&amp;BY$1,INDIRECT("Table1[Obergruppe ATC-Code]"),Tabelle3!$A33)</f>
        <v>0</v>
      </c>
      <c r="BZ33">
        <f ca="1">COUNTIFS(INDIRECT("Table1[Beginn]"),"&lt;="&amp;BZ$1,INDIRECT("Table1[Ende]"),"&gt;="&amp;BZ$1,INDIRECT("Table1[Obergruppe ATC-Code]"),Tabelle3!$A33)</f>
        <v>0</v>
      </c>
      <c r="CA33">
        <f ca="1">COUNTIFS(INDIRECT("Table1[Beginn]"),"&lt;="&amp;CA$1,INDIRECT("Table1[Ende]"),"&gt;="&amp;CA$1,INDIRECT("Table1[Obergruppe ATC-Code]"),Tabelle3!$A33)</f>
        <v>0</v>
      </c>
      <c r="CB33">
        <f ca="1">COUNTIFS(INDIRECT("Table1[Beginn]"),"&lt;="&amp;CB$1,INDIRECT("Table1[Ende]"),"&gt;="&amp;CB$1,INDIRECT("Table1[Obergruppe ATC-Code]"),Tabelle3!$A33)</f>
        <v>0</v>
      </c>
      <c r="CC33">
        <f ca="1">COUNTIFS(INDIRECT("Table1[Beginn]"),"&lt;="&amp;CC$1,INDIRECT("Table1[Ende]"),"&gt;="&amp;CC$1,INDIRECT("Table1[Obergruppe ATC-Code]"),Tabelle3!$A33)</f>
        <v>0</v>
      </c>
      <c r="CD33">
        <f ca="1">COUNTIFS(INDIRECT("Table1[Beginn]"),"&lt;="&amp;CD$1,INDIRECT("Table1[Ende]"),"&gt;="&amp;CD$1,INDIRECT("Table1[Obergruppe ATC-Code]"),Tabelle3!$A33)</f>
        <v>0</v>
      </c>
      <c r="CE33">
        <f ca="1">COUNTIFS(INDIRECT("Table1[Beginn]"),"&lt;="&amp;CE$1,INDIRECT("Table1[Ende]"),"&gt;="&amp;CE$1,INDIRECT("Table1[Obergruppe ATC-Code]"),Tabelle3!$A33)</f>
        <v>0</v>
      </c>
      <c r="CF33">
        <f ca="1">COUNTIFS(INDIRECT("Table1[Beginn]"),"&lt;="&amp;CF$1,INDIRECT("Table1[Ende]"),"&gt;="&amp;CF$1,INDIRECT("Table1[Obergruppe ATC-Code]"),Tabelle3!$A33)</f>
        <v>0</v>
      </c>
      <c r="CG33">
        <f ca="1">COUNTIFS(INDIRECT("Table1[Beginn]"),"&lt;="&amp;CG$1,INDIRECT("Table1[Ende]"),"&gt;="&amp;CG$1,INDIRECT("Table1[Obergruppe ATC-Code]"),Tabelle3!$A33)</f>
        <v>0</v>
      </c>
      <c r="CH33">
        <f ca="1">COUNTIFS(INDIRECT("Table1[Beginn]"),"&lt;="&amp;CH$1,INDIRECT("Table1[Ende]"),"&gt;="&amp;CH$1,INDIRECT("Table1[Obergruppe ATC-Code]"),Tabelle3!$A33)</f>
        <v>0</v>
      </c>
      <c r="CI33">
        <f ca="1">COUNTIFS(INDIRECT("Table1[Beginn]"),"&lt;="&amp;CI$1,INDIRECT("Table1[Ende]"),"&gt;="&amp;CI$1,INDIRECT("Table1[Obergruppe ATC-Code]"),Tabelle3!$A33)</f>
        <v>0</v>
      </c>
      <c r="CJ33">
        <f ca="1">COUNTIFS(INDIRECT("Table1[Beginn]"),"&lt;="&amp;CJ$1,INDIRECT("Table1[Ende]"),"&gt;="&amp;CJ$1,INDIRECT("Table1[Obergruppe ATC-Code]"),Tabelle3!$A33)</f>
        <v>0</v>
      </c>
      <c r="CK33">
        <f ca="1">COUNTIFS(INDIRECT("Table1[Beginn]"),"&lt;="&amp;CK$1,INDIRECT("Table1[Ende]"),"&gt;="&amp;CK$1,INDIRECT("Table1[Obergruppe ATC-Code]"),Tabelle3!$A33)</f>
        <v>0</v>
      </c>
      <c r="CL33">
        <f ca="1">COUNTIFS(INDIRECT("Table1[Beginn]"),"&lt;="&amp;CL$1,INDIRECT("Table1[Ende]"),"&gt;="&amp;CL$1,INDIRECT("Table1[Obergruppe ATC-Code]"),Tabelle3!$A33)</f>
        <v>0</v>
      </c>
      <c r="CM33">
        <f ca="1">COUNTIFS(INDIRECT("Table1[Beginn]"),"&lt;="&amp;CM$1,INDIRECT("Table1[Ende]"),"&gt;="&amp;CM$1,INDIRECT("Table1[Obergruppe ATC-Code]"),Tabelle3!$A33)</f>
        <v>0</v>
      </c>
      <c r="CN33">
        <f ca="1">COUNTIFS(INDIRECT("Table1[Beginn]"),"&lt;="&amp;CN$1,INDIRECT("Table1[Ende]"),"&gt;="&amp;CN$1,INDIRECT("Table1[Obergruppe ATC-Code]"),Tabelle3!$A33)</f>
        <v>0</v>
      </c>
      <c r="CO33">
        <f ca="1">COUNTIFS(INDIRECT("Table1[Beginn]"),"&lt;="&amp;CO$1,INDIRECT("Table1[Ende]"),"&gt;="&amp;CO$1,INDIRECT("Table1[Obergruppe ATC-Code]"),Tabelle3!$A33)</f>
        <v>0</v>
      </c>
      <c r="CP33">
        <f ca="1">COUNTIFS(INDIRECT("Table1[Beginn]"),"&lt;="&amp;CP$1,INDIRECT("Table1[Ende]"),"&gt;="&amp;CP$1,INDIRECT("Table1[Obergruppe ATC-Code]"),Tabelle3!$A33)</f>
        <v>0</v>
      </c>
      <c r="CQ33">
        <f ca="1">COUNTIFS(INDIRECT("Table1[Beginn]"),"&lt;="&amp;CQ$1,INDIRECT("Table1[Ende]"),"&gt;="&amp;CQ$1,INDIRECT("Table1[Obergruppe ATC-Code]"),Tabelle3!$A33)</f>
        <v>0</v>
      </c>
      <c r="CR33">
        <f ca="1">COUNTIFS(INDIRECT("Table1[Beginn]"),"&lt;="&amp;CR$1,INDIRECT("Table1[Ende]"),"&gt;="&amp;CR$1,INDIRECT("Table1[Obergruppe ATC-Code]"),Tabelle3!$A33)</f>
        <v>0</v>
      </c>
    </row>
    <row r="34" spans="1:96" ht="18">
      <c r="A34" s="7" t="s">
        <v>6836</v>
      </c>
      <c r="B34" s="8" t="s">
        <v>6837</v>
      </c>
      <c r="C34">
        <f ca="1">COUNTIFS(INDIRECT("Table1[Beginn]"),"&lt;="&amp;C$1,INDIRECT("Table1[Ende]"),"&gt;="&amp;C$1,INDIRECT("Table1[Obergruppe ATC-Code]"),Tabelle3!$A34)</f>
        <v>0</v>
      </c>
      <c r="D34">
        <f ca="1">COUNTIFS(INDIRECT("Table1[Beginn]"),"&lt;="&amp;D$1,INDIRECT("Table1[Ende]"),"&gt;="&amp;D$1,INDIRECT("Table1[Obergruppe ATC-Code]"),Tabelle3!$A34)</f>
        <v>0</v>
      </c>
      <c r="E34">
        <f ca="1">COUNTIFS(INDIRECT("Table1[Beginn]"),"&lt;="&amp;E$1,INDIRECT("Table1[Ende]"),"&gt;="&amp;E$1,INDIRECT("Table1[Obergruppe ATC-Code]"),Tabelle3!$A34)</f>
        <v>0</v>
      </c>
      <c r="F34">
        <f ca="1">COUNTIFS(INDIRECT("Table1[Beginn]"),"&lt;="&amp;F$1,INDIRECT("Table1[Ende]"),"&gt;="&amp;F$1,INDIRECT("Table1[Obergruppe ATC-Code]"),Tabelle3!$A34)</f>
        <v>0</v>
      </c>
      <c r="G34">
        <f ca="1">COUNTIFS(INDIRECT("Table1[Beginn]"),"&lt;="&amp;G$1,INDIRECT("Table1[Ende]"),"&gt;="&amp;G$1,INDIRECT("Table1[Obergruppe ATC-Code]"),Tabelle3!$A34)</f>
        <v>0</v>
      </c>
      <c r="H34">
        <f ca="1">COUNTIFS(INDIRECT("Table1[Beginn]"),"&lt;="&amp;H$1,INDIRECT("Table1[Ende]"),"&gt;="&amp;H$1,INDIRECT("Table1[Obergruppe ATC-Code]"),Tabelle3!$A34)</f>
        <v>0</v>
      </c>
      <c r="I34">
        <f ca="1">COUNTIFS(INDIRECT("Table1[Beginn]"),"&lt;="&amp;I$1,INDIRECT("Table1[Ende]"),"&gt;="&amp;I$1,INDIRECT("Table1[Obergruppe ATC-Code]"),Tabelle3!$A34)</f>
        <v>0</v>
      </c>
      <c r="J34">
        <f ca="1">COUNTIFS(INDIRECT("Table1[Beginn]"),"&lt;="&amp;J$1,INDIRECT("Table1[Ende]"),"&gt;="&amp;J$1,INDIRECT("Table1[Obergruppe ATC-Code]"),Tabelle3!$A34)</f>
        <v>0</v>
      </c>
      <c r="K34">
        <f ca="1">COUNTIFS(INDIRECT("Table1[Beginn]"),"&lt;="&amp;K$1,INDIRECT("Table1[Ende]"),"&gt;="&amp;K$1,INDIRECT("Table1[Obergruppe ATC-Code]"),Tabelle3!$A34)</f>
        <v>0</v>
      </c>
      <c r="L34">
        <f ca="1">COUNTIFS(INDIRECT("Table1[Beginn]"),"&lt;="&amp;L$1,INDIRECT("Table1[Ende]"),"&gt;="&amp;L$1,INDIRECT("Table1[Obergruppe ATC-Code]"),Tabelle3!$A34)</f>
        <v>0</v>
      </c>
      <c r="M34">
        <f ca="1">COUNTIFS(INDIRECT("Table1[Beginn]"),"&lt;="&amp;M$1,INDIRECT("Table1[Ende]"),"&gt;="&amp;M$1,INDIRECT("Table1[Obergruppe ATC-Code]"),Tabelle3!$A34)</f>
        <v>0</v>
      </c>
      <c r="N34">
        <f ca="1">COUNTIFS(INDIRECT("Table1[Beginn]"),"&lt;="&amp;N$1,INDIRECT("Table1[Ende]"),"&gt;="&amp;N$1,INDIRECT("Table1[Obergruppe ATC-Code]"),Tabelle3!$A34)</f>
        <v>0</v>
      </c>
      <c r="O34">
        <f ca="1">COUNTIFS(INDIRECT("Table1[Beginn]"),"&lt;="&amp;O$1,INDIRECT("Table1[Ende]"),"&gt;="&amp;O$1,INDIRECT("Table1[Obergruppe ATC-Code]"),Tabelle3!$A34)</f>
        <v>0</v>
      </c>
      <c r="P34">
        <f ca="1">COUNTIFS(INDIRECT("Table1[Beginn]"),"&lt;="&amp;P$1,INDIRECT("Table1[Ende]"),"&gt;="&amp;P$1,INDIRECT("Table1[Obergruppe ATC-Code]"),Tabelle3!$A34)</f>
        <v>0</v>
      </c>
      <c r="Q34">
        <f ca="1">COUNTIFS(INDIRECT("Table1[Beginn]"),"&lt;="&amp;Q$1,INDIRECT("Table1[Ende]"),"&gt;="&amp;Q$1,INDIRECT("Table1[Obergruppe ATC-Code]"),Tabelle3!$A34)</f>
        <v>0</v>
      </c>
      <c r="R34">
        <f ca="1">COUNTIFS(INDIRECT("Table1[Beginn]"),"&lt;="&amp;R$1,INDIRECT("Table1[Ende]"),"&gt;="&amp;R$1,INDIRECT("Table1[Obergruppe ATC-Code]"),Tabelle3!$A34)</f>
        <v>0</v>
      </c>
      <c r="S34">
        <f ca="1">COUNTIFS(INDIRECT("Table1[Beginn]"),"&lt;="&amp;S$1,INDIRECT("Table1[Ende]"),"&gt;="&amp;S$1,INDIRECT("Table1[Obergruppe ATC-Code]"),Tabelle3!$A34)</f>
        <v>0</v>
      </c>
      <c r="T34">
        <f ca="1">COUNTIFS(INDIRECT("Table1[Beginn]"),"&lt;="&amp;T$1,INDIRECT("Table1[Ende]"),"&gt;="&amp;T$1,INDIRECT("Table1[Obergruppe ATC-Code]"),Tabelle3!$A34)</f>
        <v>0</v>
      </c>
      <c r="U34">
        <f ca="1">COUNTIFS(INDIRECT("Table1[Beginn]"),"&lt;="&amp;U$1,INDIRECT("Table1[Ende]"),"&gt;="&amp;U$1,INDIRECT("Table1[Obergruppe ATC-Code]"),Tabelle3!$A34)</f>
        <v>0</v>
      </c>
      <c r="V34">
        <f ca="1">COUNTIFS(INDIRECT("Table1[Beginn]"),"&lt;="&amp;V$1,INDIRECT("Table1[Ende]"),"&gt;="&amp;V$1,INDIRECT("Table1[Obergruppe ATC-Code]"),Tabelle3!$A34)</f>
        <v>0</v>
      </c>
      <c r="W34">
        <f ca="1">COUNTIFS(INDIRECT("Table1[Beginn]"),"&lt;="&amp;W$1,INDIRECT("Table1[Ende]"),"&gt;="&amp;W$1,INDIRECT("Table1[Obergruppe ATC-Code]"),Tabelle3!$A34)</f>
        <v>0</v>
      </c>
      <c r="X34">
        <f ca="1">COUNTIFS(INDIRECT("Table1[Beginn]"),"&lt;="&amp;X$1,INDIRECT("Table1[Ende]"),"&gt;="&amp;X$1,INDIRECT("Table1[Obergruppe ATC-Code]"),Tabelle3!$A34)</f>
        <v>0</v>
      </c>
      <c r="Y34">
        <f ca="1">COUNTIFS(INDIRECT("Table1[Beginn]"),"&lt;="&amp;Y$1,INDIRECT("Table1[Ende]"),"&gt;="&amp;Y$1,INDIRECT("Table1[Obergruppe ATC-Code]"),Tabelle3!$A34)</f>
        <v>0</v>
      </c>
      <c r="Z34">
        <f ca="1">COUNTIFS(INDIRECT("Table1[Beginn]"),"&lt;="&amp;Z$1,INDIRECT("Table1[Ende]"),"&gt;="&amp;Z$1,INDIRECT("Table1[Obergruppe ATC-Code]"),Tabelle3!$A34)</f>
        <v>0</v>
      </c>
      <c r="AA34">
        <f ca="1">COUNTIFS(INDIRECT("Table1[Beginn]"),"&lt;="&amp;AA$1,INDIRECT("Table1[Ende]"),"&gt;="&amp;AA$1,INDIRECT("Table1[Obergruppe ATC-Code]"),Tabelle3!$A34)</f>
        <v>0</v>
      </c>
      <c r="AB34">
        <f ca="1">COUNTIFS(INDIRECT("Table1[Beginn]"),"&lt;="&amp;AB$1,INDIRECT("Table1[Ende]"),"&gt;="&amp;AB$1,INDIRECT("Table1[Obergruppe ATC-Code]"),Tabelle3!$A34)</f>
        <v>0</v>
      </c>
      <c r="AC34">
        <f ca="1">COUNTIFS(INDIRECT("Table1[Beginn]"),"&lt;="&amp;AC$1,INDIRECT("Table1[Ende]"),"&gt;="&amp;AC$1,INDIRECT("Table1[Obergruppe ATC-Code]"),Tabelle3!$A34)</f>
        <v>0</v>
      </c>
      <c r="AD34">
        <f ca="1">COUNTIFS(INDIRECT("Table1[Beginn]"),"&lt;="&amp;AD$1,INDIRECT("Table1[Ende]"),"&gt;="&amp;AD$1,INDIRECT("Table1[Obergruppe ATC-Code]"),Tabelle3!$A34)</f>
        <v>0</v>
      </c>
      <c r="AE34">
        <f ca="1">COUNTIFS(INDIRECT("Table1[Beginn]"),"&lt;="&amp;AE$1,INDIRECT("Table1[Ende]"),"&gt;="&amp;AE$1,INDIRECT("Table1[Obergruppe ATC-Code]"),Tabelle3!$A34)</f>
        <v>0</v>
      </c>
      <c r="AF34">
        <f ca="1">COUNTIFS(INDIRECT("Table1[Beginn]"),"&lt;="&amp;AF$1,INDIRECT("Table1[Ende]"),"&gt;="&amp;AF$1,INDIRECT("Table1[Obergruppe ATC-Code]"),Tabelle3!$A34)</f>
        <v>0</v>
      </c>
      <c r="AG34">
        <f ca="1">COUNTIFS(INDIRECT("Table1[Beginn]"),"&lt;="&amp;AG$1,INDIRECT("Table1[Ende]"),"&gt;="&amp;AG$1,INDIRECT("Table1[Obergruppe ATC-Code]"),Tabelle3!$A34)</f>
        <v>0</v>
      </c>
      <c r="AH34">
        <f ca="1">COUNTIFS(INDIRECT("Table1[Beginn]"),"&lt;="&amp;AH$1,INDIRECT("Table1[Ende]"),"&gt;="&amp;AH$1,INDIRECT("Table1[Obergruppe ATC-Code]"),Tabelle3!$A34)</f>
        <v>0</v>
      </c>
      <c r="AI34">
        <f ca="1">COUNTIFS(INDIRECT("Table1[Beginn]"),"&lt;="&amp;AI$1,INDIRECT("Table1[Ende]"),"&gt;="&amp;AI$1,INDIRECT("Table1[Obergruppe ATC-Code]"),Tabelle3!$A34)</f>
        <v>0</v>
      </c>
      <c r="AJ34">
        <f ca="1">COUNTIFS(INDIRECT("Table1[Beginn]"),"&lt;="&amp;AJ$1,INDIRECT("Table1[Ende]"),"&gt;="&amp;AJ$1,INDIRECT("Table1[Obergruppe ATC-Code]"),Tabelle3!$A34)</f>
        <v>0</v>
      </c>
      <c r="AK34">
        <f ca="1">COUNTIFS(INDIRECT("Table1[Beginn]"),"&lt;="&amp;AK$1,INDIRECT("Table1[Ende]"),"&gt;="&amp;AK$1,INDIRECT("Table1[Obergruppe ATC-Code]"),Tabelle3!$A34)</f>
        <v>0</v>
      </c>
      <c r="AL34">
        <f ca="1">COUNTIFS(INDIRECT("Table1[Beginn]"),"&lt;="&amp;AL$1,INDIRECT("Table1[Ende]"),"&gt;="&amp;AL$1,INDIRECT("Table1[Obergruppe ATC-Code]"),Tabelle3!$A34)</f>
        <v>0</v>
      </c>
      <c r="AM34">
        <f ca="1">COUNTIFS(INDIRECT("Table1[Beginn]"),"&lt;="&amp;AM$1,INDIRECT("Table1[Ende]"),"&gt;="&amp;AM$1,INDIRECT("Table1[Obergruppe ATC-Code]"),Tabelle3!$A34)</f>
        <v>0</v>
      </c>
      <c r="AN34">
        <f ca="1">COUNTIFS(INDIRECT("Table1[Beginn]"),"&lt;="&amp;AN$1,INDIRECT("Table1[Ende]"),"&gt;="&amp;AN$1,INDIRECT("Table1[Obergruppe ATC-Code]"),Tabelle3!$A34)</f>
        <v>0</v>
      </c>
      <c r="AO34">
        <f ca="1">COUNTIFS(INDIRECT("Table1[Beginn]"),"&lt;="&amp;AO$1,INDIRECT("Table1[Ende]"),"&gt;="&amp;AO$1,INDIRECT("Table1[Obergruppe ATC-Code]"),Tabelle3!$A34)</f>
        <v>0</v>
      </c>
      <c r="AP34">
        <f ca="1">COUNTIFS(INDIRECT("Table1[Beginn]"),"&lt;="&amp;AP$1,INDIRECT("Table1[Ende]"),"&gt;="&amp;AP$1,INDIRECT("Table1[Obergruppe ATC-Code]"),Tabelle3!$A34)</f>
        <v>0</v>
      </c>
      <c r="AQ34">
        <f ca="1">COUNTIFS(INDIRECT("Table1[Beginn]"),"&lt;="&amp;AQ$1,INDIRECT("Table1[Ende]"),"&gt;="&amp;AQ$1,INDIRECT("Table1[Obergruppe ATC-Code]"),Tabelle3!$A34)</f>
        <v>0</v>
      </c>
      <c r="AR34">
        <f ca="1">COUNTIFS(INDIRECT("Table1[Beginn]"),"&lt;="&amp;AR$1,INDIRECT("Table1[Ende]"),"&gt;="&amp;AR$1,INDIRECT("Table1[Obergruppe ATC-Code]"),Tabelle3!$A34)</f>
        <v>0</v>
      </c>
      <c r="AS34">
        <f ca="1">COUNTIFS(INDIRECT("Table1[Beginn]"),"&lt;="&amp;AS$1,INDIRECT("Table1[Ende]"),"&gt;="&amp;AS$1,INDIRECT("Table1[Obergruppe ATC-Code]"),Tabelle3!$A34)</f>
        <v>0</v>
      </c>
      <c r="AT34">
        <f ca="1">COUNTIFS(INDIRECT("Table1[Beginn]"),"&lt;="&amp;AT$1,INDIRECT("Table1[Ende]"),"&gt;="&amp;AT$1,INDIRECT("Table1[Obergruppe ATC-Code]"),Tabelle3!$A34)</f>
        <v>0</v>
      </c>
      <c r="AU34">
        <f ca="1">COUNTIFS(INDIRECT("Table1[Beginn]"),"&lt;="&amp;AU$1,INDIRECT("Table1[Ende]"),"&gt;="&amp;AU$1,INDIRECT("Table1[Obergruppe ATC-Code]"),Tabelle3!$A34)</f>
        <v>0</v>
      </c>
      <c r="AV34">
        <f ca="1">COUNTIFS(INDIRECT("Table1[Beginn]"),"&lt;="&amp;AV$1,INDIRECT("Table1[Ende]"),"&gt;="&amp;AV$1,INDIRECT("Table1[Obergruppe ATC-Code]"),Tabelle3!$A34)</f>
        <v>0</v>
      </c>
      <c r="AW34">
        <f ca="1">COUNTIFS(INDIRECT("Table1[Beginn]"),"&lt;="&amp;AW$1,INDIRECT("Table1[Ende]"),"&gt;="&amp;AW$1,INDIRECT("Table1[Obergruppe ATC-Code]"),Tabelle3!$A34)</f>
        <v>0</v>
      </c>
      <c r="AX34">
        <f ca="1">COUNTIFS(INDIRECT("Table1[Beginn]"),"&lt;="&amp;AX$1,INDIRECT("Table1[Ende]"),"&gt;="&amp;AX$1,INDIRECT("Table1[Obergruppe ATC-Code]"),Tabelle3!$A34)</f>
        <v>0</v>
      </c>
      <c r="AY34">
        <f ca="1">COUNTIFS(INDIRECT("Table1[Beginn]"),"&lt;="&amp;AY$1,INDIRECT("Table1[Ende]"),"&gt;="&amp;AY$1,INDIRECT("Table1[Obergruppe ATC-Code]"),Tabelle3!$A34)</f>
        <v>0</v>
      </c>
      <c r="AZ34">
        <f ca="1">COUNTIFS(INDIRECT("Table1[Beginn]"),"&lt;="&amp;AZ$1,INDIRECT("Table1[Ende]"),"&gt;="&amp;AZ$1,INDIRECT("Table1[Obergruppe ATC-Code]"),Tabelle3!$A34)</f>
        <v>0</v>
      </c>
      <c r="BA34">
        <f ca="1">COUNTIFS(INDIRECT("Table1[Beginn]"),"&lt;="&amp;BA$1,INDIRECT("Table1[Ende]"),"&gt;="&amp;BA$1,INDIRECT("Table1[Obergruppe ATC-Code]"),Tabelle3!$A34)</f>
        <v>0</v>
      </c>
      <c r="BB34">
        <f ca="1">COUNTIFS(INDIRECT("Table1[Beginn]"),"&lt;="&amp;BB$1,INDIRECT("Table1[Ende]"),"&gt;="&amp;BB$1,INDIRECT("Table1[Obergruppe ATC-Code]"),Tabelle3!$A34)</f>
        <v>0</v>
      </c>
      <c r="BC34">
        <f ca="1">COUNTIFS(INDIRECT("Table1[Beginn]"),"&lt;="&amp;BC$1,INDIRECT("Table1[Ende]"),"&gt;="&amp;BC$1,INDIRECT("Table1[Obergruppe ATC-Code]"),Tabelle3!$A34)</f>
        <v>0</v>
      </c>
      <c r="BD34">
        <f ca="1">COUNTIFS(INDIRECT("Table1[Beginn]"),"&lt;="&amp;BD$1,INDIRECT("Table1[Ende]"),"&gt;="&amp;BD$1,INDIRECT("Table1[Obergruppe ATC-Code]"),Tabelle3!$A34)</f>
        <v>0</v>
      </c>
      <c r="BE34">
        <f ca="1">COUNTIFS(INDIRECT("Table1[Beginn]"),"&lt;="&amp;BE$1,INDIRECT("Table1[Ende]"),"&gt;="&amp;BE$1,INDIRECT("Table1[Obergruppe ATC-Code]"),Tabelle3!$A34)</f>
        <v>0</v>
      </c>
      <c r="BF34">
        <f ca="1">COUNTIFS(INDIRECT("Table1[Beginn]"),"&lt;="&amp;BF$1,INDIRECT("Table1[Ende]"),"&gt;="&amp;BF$1,INDIRECT("Table1[Obergruppe ATC-Code]"),Tabelle3!$A34)</f>
        <v>0</v>
      </c>
      <c r="BG34">
        <f ca="1">COUNTIFS(INDIRECT("Table1[Beginn]"),"&lt;="&amp;BG$1,INDIRECT("Table1[Ende]"),"&gt;="&amp;BG$1,INDIRECT("Table1[Obergruppe ATC-Code]"),Tabelle3!$A34)</f>
        <v>0</v>
      </c>
      <c r="BH34">
        <f ca="1">COUNTIFS(INDIRECT("Table1[Beginn]"),"&lt;="&amp;BH$1,INDIRECT("Table1[Ende]"),"&gt;="&amp;BH$1,INDIRECT("Table1[Obergruppe ATC-Code]"),Tabelle3!$A34)</f>
        <v>0</v>
      </c>
      <c r="BI34">
        <f ca="1">COUNTIFS(INDIRECT("Table1[Beginn]"),"&lt;="&amp;BI$1,INDIRECT("Table1[Ende]"),"&gt;="&amp;BI$1,INDIRECT("Table1[Obergruppe ATC-Code]"),Tabelle3!$A34)</f>
        <v>0</v>
      </c>
      <c r="BJ34">
        <f ca="1">COUNTIFS(INDIRECT("Table1[Beginn]"),"&lt;="&amp;BJ$1,INDIRECT("Table1[Ende]"),"&gt;="&amp;BJ$1,INDIRECT("Table1[Obergruppe ATC-Code]"),Tabelle3!$A34)</f>
        <v>0</v>
      </c>
      <c r="BK34">
        <f ca="1">COUNTIFS(INDIRECT("Table1[Beginn]"),"&lt;="&amp;BK$1,INDIRECT("Table1[Ende]"),"&gt;="&amp;BK$1,INDIRECT("Table1[Obergruppe ATC-Code]"),Tabelle3!$A34)</f>
        <v>0</v>
      </c>
      <c r="BL34">
        <f ca="1">COUNTIFS(INDIRECT("Table1[Beginn]"),"&lt;="&amp;BL$1,INDIRECT("Table1[Ende]"),"&gt;="&amp;BL$1,INDIRECT("Table1[Obergruppe ATC-Code]"),Tabelle3!$A34)</f>
        <v>0</v>
      </c>
      <c r="BM34">
        <f ca="1">COUNTIFS(INDIRECT("Table1[Beginn]"),"&lt;="&amp;BM$1,INDIRECT("Table1[Ende]"),"&gt;="&amp;BM$1,INDIRECT("Table1[Obergruppe ATC-Code]"),Tabelle3!$A34)</f>
        <v>0</v>
      </c>
      <c r="BN34">
        <f ca="1">COUNTIFS(INDIRECT("Table1[Beginn]"),"&lt;="&amp;BN$1,INDIRECT("Table1[Ende]"),"&gt;="&amp;BN$1,INDIRECT("Table1[Obergruppe ATC-Code]"),Tabelle3!$A34)</f>
        <v>0</v>
      </c>
      <c r="BO34">
        <f ca="1">COUNTIFS(INDIRECT("Table1[Beginn]"),"&lt;="&amp;BO$1,INDIRECT("Table1[Ende]"),"&gt;="&amp;BO$1,INDIRECT("Table1[Obergruppe ATC-Code]"),Tabelle3!$A34)</f>
        <v>0</v>
      </c>
      <c r="BP34">
        <f ca="1">COUNTIFS(INDIRECT("Table1[Beginn]"),"&lt;="&amp;BP$1,INDIRECT("Table1[Ende]"),"&gt;="&amp;BP$1,INDIRECT("Table1[Obergruppe ATC-Code]"),Tabelle3!$A34)</f>
        <v>0</v>
      </c>
      <c r="BQ34">
        <f ca="1">COUNTIFS(INDIRECT("Table1[Beginn]"),"&lt;="&amp;BQ$1,INDIRECT("Table1[Ende]"),"&gt;="&amp;BQ$1,INDIRECT("Table1[Obergruppe ATC-Code]"),Tabelle3!$A34)</f>
        <v>0</v>
      </c>
      <c r="BR34">
        <f ca="1">COUNTIFS(INDIRECT("Table1[Beginn]"),"&lt;="&amp;BR$1,INDIRECT("Table1[Ende]"),"&gt;="&amp;BR$1,INDIRECT("Table1[Obergruppe ATC-Code]"),Tabelle3!$A34)</f>
        <v>0</v>
      </c>
      <c r="BS34">
        <f ca="1">COUNTIFS(INDIRECT("Table1[Beginn]"),"&lt;="&amp;BS$1,INDIRECT("Table1[Ende]"),"&gt;="&amp;BS$1,INDIRECT("Table1[Obergruppe ATC-Code]"),Tabelle3!$A34)</f>
        <v>0</v>
      </c>
      <c r="BT34">
        <f ca="1">COUNTIFS(INDIRECT("Table1[Beginn]"),"&lt;="&amp;BT$1,INDIRECT("Table1[Ende]"),"&gt;="&amp;BT$1,INDIRECT("Table1[Obergruppe ATC-Code]"),Tabelle3!$A34)</f>
        <v>0</v>
      </c>
      <c r="BU34">
        <f ca="1">COUNTIFS(INDIRECT("Table1[Beginn]"),"&lt;="&amp;BU$1,INDIRECT("Table1[Ende]"),"&gt;="&amp;BU$1,INDIRECT("Table1[Obergruppe ATC-Code]"),Tabelle3!$A34)</f>
        <v>0</v>
      </c>
      <c r="BV34">
        <f ca="1">COUNTIFS(INDIRECT("Table1[Beginn]"),"&lt;="&amp;BV$1,INDIRECT("Table1[Ende]"),"&gt;="&amp;BV$1,INDIRECT("Table1[Obergruppe ATC-Code]"),Tabelle3!$A34)</f>
        <v>0</v>
      </c>
      <c r="BW34">
        <f ca="1">COUNTIFS(INDIRECT("Table1[Beginn]"),"&lt;="&amp;BW$1,INDIRECT("Table1[Ende]"),"&gt;="&amp;BW$1,INDIRECT("Table1[Obergruppe ATC-Code]"),Tabelle3!$A34)</f>
        <v>0</v>
      </c>
      <c r="BX34">
        <f ca="1">COUNTIFS(INDIRECT("Table1[Beginn]"),"&lt;="&amp;BX$1,INDIRECT("Table1[Ende]"),"&gt;="&amp;BX$1,INDIRECT("Table1[Obergruppe ATC-Code]"),Tabelle3!$A34)</f>
        <v>0</v>
      </c>
      <c r="BY34">
        <f ca="1">COUNTIFS(INDIRECT("Table1[Beginn]"),"&lt;="&amp;BY$1,INDIRECT("Table1[Ende]"),"&gt;="&amp;BY$1,INDIRECT("Table1[Obergruppe ATC-Code]"),Tabelle3!$A34)</f>
        <v>0</v>
      </c>
      <c r="BZ34">
        <f ca="1">COUNTIFS(INDIRECT("Table1[Beginn]"),"&lt;="&amp;BZ$1,INDIRECT("Table1[Ende]"),"&gt;="&amp;BZ$1,INDIRECT("Table1[Obergruppe ATC-Code]"),Tabelle3!$A34)</f>
        <v>0</v>
      </c>
      <c r="CA34">
        <f ca="1">COUNTIFS(INDIRECT("Table1[Beginn]"),"&lt;="&amp;CA$1,INDIRECT("Table1[Ende]"),"&gt;="&amp;CA$1,INDIRECT("Table1[Obergruppe ATC-Code]"),Tabelle3!$A34)</f>
        <v>0</v>
      </c>
      <c r="CB34">
        <f ca="1">COUNTIFS(INDIRECT("Table1[Beginn]"),"&lt;="&amp;CB$1,INDIRECT("Table1[Ende]"),"&gt;="&amp;CB$1,INDIRECT("Table1[Obergruppe ATC-Code]"),Tabelle3!$A34)</f>
        <v>0</v>
      </c>
      <c r="CC34">
        <f ca="1">COUNTIFS(INDIRECT("Table1[Beginn]"),"&lt;="&amp;CC$1,INDIRECT("Table1[Ende]"),"&gt;="&amp;CC$1,INDIRECT("Table1[Obergruppe ATC-Code]"),Tabelle3!$A34)</f>
        <v>0</v>
      </c>
      <c r="CD34">
        <f ca="1">COUNTIFS(INDIRECT("Table1[Beginn]"),"&lt;="&amp;CD$1,INDIRECT("Table1[Ende]"),"&gt;="&amp;CD$1,INDIRECT("Table1[Obergruppe ATC-Code]"),Tabelle3!$A34)</f>
        <v>0</v>
      </c>
      <c r="CE34">
        <f ca="1">COUNTIFS(INDIRECT("Table1[Beginn]"),"&lt;="&amp;CE$1,INDIRECT("Table1[Ende]"),"&gt;="&amp;CE$1,INDIRECT("Table1[Obergruppe ATC-Code]"),Tabelle3!$A34)</f>
        <v>0</v>
      </c>
      <c r="CF34">
        <f ca="1">COUNTIFS(INDIRECT("Table1[Beginn]"),"&lt;="&amp;CF$1,INDIRECT("Table1[Ende]"),"&gt;="&amp;CF$1,INDIRECT("Table1[Obergruppe ATC-Code]"),Tabelle3!$A34)</f>
        <v>0</v>
      </c>
      <c r="CG34">
        <f ca="1">COUNTIFS(INDIRECT("Table1[Beginn]"),"&lt;="&amp;CG$1,INDIRECT("Table1[Ende]"),"&gt;="&amp;CG$1,INDIRECT("Table1[Obergruppe ATC-Code]"),Tabelle3!$A34)</f>
        <v>0</v>
      </c>
      <c r="CH34">
        <f ca="1">COUNTIFS(INDIRECT("Table1[Beginn]"),"&lt;="&amp;CH$1,INDIRECT("Table1[Ende]"),"&gt;="&amp;CH$1,INDIRECT("Table1[Obergruppe ATC-Code]"),Tabelle3!$A34)</f>
        <v>0</v>
      </c>
      <c r="CI34">
        <f ca="1">COUNTIFS(INDIRECT("Table1[Beginn]"),"&lt;="&amp;CI$1,INDIRECT("Table1[Ende]"),"&gt;="&amp;CI$1,INDIRECT("Table1[Obergruppe ATC-Code]"),Tabelle3!$A34)</f>
        <v>0</v>
      </c>
      <c r="CJ34">
        <f ca="1">COUNTIFS(INDIRECT("Table1[Beginn]"),"&lt;="&amp;CJ$1,INDIRECT("Table1[Ende]"),"&gt;="&amp;CJ$1,INDIRECT("Table1[Obergruppe ATC-Code]"),Tabelle3!$A34)</f>
        <v>0</v>
      </c>
      <c r="CK34">
        <f ca="1">COUNTIFS(INDIRECT("Table1[Beginn]"),"&lt;="&amp;CK$1,INDIRECT("Table1[Ende]"),"&gt;="&amp;CK$1,INDIRECT("Table1[Obergruppe ATC-Code]"),Tabelle3!$A34)</f>
        <v>0</v>
      </c>
      <c r="CL34">
        <f ca="1">COUNTIFS(INDIRECT("Table1[Beginn]"),"&lt;="&amp;CL$1,INDIRECT("Table1[Ende]"),"&gt;="&amp;CL$1,INDIRECT("Table1[Obergruppe ATC-Code]"),Tabelle3!$A34)</f>
        <v>0</v>
      </c>
      <c r="CM34">
        <f ca="1">COUNTIFS(INDIRECT("Table1[Beginn]"),"&lt;="&amp;CM$1,INDIRECT("Table1[Ende]"),"&gt;="&amp;CM$1,INDIRECT("Table1[Obergruppe ATC-Code]"),Tabelle3!$A34)</f>
        <v>0</v>
      </c>
      <c r="CN34">
        <f ca="1">COUNTIFS(INDIRECT("Table1[Beginn]"),"&lt;="&amp;CN$1,INDIRECT("Table1[Ende]"),"&gt;="&amp;CN$1,INDIRECT("Table1[Obergruppe ATC-Code]"),Tabelle3!$A34)</f>
        <v>0</v>
      </c>
      <c r="CO34">
        <f ca="1">COUNTIFS(INDIRECT("Table1[Beginn]"),"&lt;="&amp;CO$1,INDIRECT("Table1[Ende]"),"&gt;="&amp;CO$1,INDIRECT("Table1[Obergruppe ATC-Code]"),Tabelle3!$A34)</f>
        <v>0</v>
      </c>
      <c r="CP34">
        <f ca="1">COUNTIFS(INDIRECT("Table1[Beginn]"),"&lt;="&amp;CP$1,INDIRECT("Table1[Ende]"),"&gt;="&amp;CP$1,INDIRECT("Table1[Obergruppe ATC-Code]"),Tabelle3!$A34)</f>
        <v>0</v>
      </c>
      <c r="CQ34">
        <f ca="1">COUNTIFS(INDIRECT("Table1[Beginn]"),"&lt;="&amp;CQ$1,INDIRECT("Table1[Ende]"),"&gt;="&amp;CQ$1,INDIRECT("Table1[Obergruppe ATC-Code]"),Tabelle3!$A34)</f>
        <v>0</v>
      </c>
      <c r="CR34">
        <f ca="1">COUNTIFS(INDIRECT("Table1[Beginn]"),"&lt;="&amp;CR$1,INDIRECT("Table1[Ende]"),"&gt;="&amp;CR$1,INDIRECT("Table1[Obergruppe ATC-Code]"),Tabelle3!$A34)</f>
        <v>0</v>
      </c>
    </row>
    <row r="35" spans="1:96" ht="18">
      <c r="A35" s="9" t="s">
        <v>6838</v>
      </c>
      <c r="B35" s="10" t="s">
        <v>6839</v>
      </c>
      <c r="C35">
        <f ca="1">COUNTIFS(INDIRECT("Table1[Beginn]"),"&lt;="&amp;C$1,INDIRECT("Table1[Ende]"),"&gt;="&amp;C$1,INDIRECT("Table1[Obergruppe ATC-Code]"),Tabelle3!$A35)</f>
        <v>0</v>
      </c>
      <c r="D35">
        <f ca="1">COUNTIFS(INDIRECT("Table1[Beginn]"),"&lt;="&amp;D$1,INDIRECT("Table1[Ende]"),"&gt;="&amp;D$1,INDIRECT("Table1[Obergruppe ATC-Code]"),Tabelle3!$A35)</f>
        <v>0</v>
      </c>
      <c r="E35">
        <f ca="1">COUNTIFS(INDIRECT("Table1[Beginn]"),"&lt;="&amp;E$1,INDIRECT("Table1[Ende]"),"&gt;="&amp;E$1,INDIRECT("Table1[Obergruppe ATC-Code]"),Tabelle3!$A35)</f>
        <v>0</v>
      </c>
      <c r="F35">
        <f ca="1">COUNTIFS(INDIRECT("Table1[Beginn]"),"&lt;="&amp;F$1,INDIRECT("Table1[Ende]"),"&gt;="&amp;F$1,INDIRECT("Table1[Obergruppe ATC-Code]"),Tabelle3!$A35)</f>
        <v>0</v>
      </c>
      <c r="G35">
        <f ca="1">COUNTIFS(INDIRECT("Table1[Beginn]"),"&lt;="&amp;G$1,INDIRECT("Table1[Ende]"),"&gt;="&amp;G$1,INDIRECT("Table1[Obergruppe ATC-Code]"),Tabelle3!$A35)</f>
        <v>0</v>
      </c>
      <c r="H35">
        <f ca="1">COUNTIFS(INDIRECT("Table1[Beginn]"),"&lt;="&amp;H$1,INDIRECT("Table1[Ende]"),"&gt;="&amp;H$1,INDIRECT("Table1[Obergruppe ATC-Code]"),Tabelle3!$A35)</f>
        <v>0</v>
      </c>
      <c r="I35">
        <f ca="1">COUNTIFS(INDIRECT("Table1[Beginn]"),"&lt;="&amp;I$1,INDIRECT("Table1[Ende]"),"&gt;="&amp;I$1,INDIRECT("Table1[Obergruppe ATC-Code]"),Tabelle3!$A35)</f>
        <v>0</v>
      </c>
      <c r="J35">
        <f ca="1">COUNTIFS(INDIRECT("Table1[Beginn]"),"&lt;="&amp;J$1,INDIRECT("Table1[Ende]"),"&gt;="&amp;J$1,INDIRECT("Table1[Obergruppe ATC-Code]"),Tabelle3!$A35)</f>
        <v>0</v>
      </c>
      <c r="K35">
        <f ca="1">COUNTIFS(INDIRECT("Table1[Beginn]"),"&lt;="&amp;K$1,INDIRECT("Table1[Ende]"),"&gt;="&amp;K$1,INDIRECT("Table1[Obergruppe ATC-Code]"),Tabelle3!$A35)</f>
        <v>0</v>
      </c>
      <c r="L35">
        <f ca="1">COUNTIFS(INDIRECT("Table1[Beginn]"),"&lt;="&amp;L$1,INDIRECT("Table1[Ende]"),"&gt;="&amp;L$1,INDIRECT("Table1[Obergruppe ATC-Code]"),Tabelle3!$A35)</f>
        <v>0</v>
      </c>
      <c r="M35">
        <f ca="1">COUNTIFS(INDIRECT("Table1[Beginn]"),"&lt;="&amp;M$1,INDIRECT("Table1[Ende]"),"&gt;="&amp;M$1,INDIRECT("Table1[Obergruppe ATC-Code]"),Tabelle3!$A35)</f>
        <v>0</v>
      </c>
      <c r="N35">
        <f ca="1">COUNTIFS(INDIRECT("Table1[Beginn]"),"&lt;="&amp;N$1,INDIRECT("Table1[Ende]"),"&gt;="&amp;N$1,INDIRECT("Table1[Obergruppe ATC-Code]"),Tabelle3!$A35)</f>
        <v>0</v>
      </c>
      <c r="O35">
        <f ca="1">COUNTIFS(INDIRECT("Table1[Beginn]"),"&lt;="&amp;O$1,INDIRECT("Table1[Ende]"),"&gt;="&amp;O$1,INDIRECT("Table1[Obergruppe ATC-Code]"),Tabelle3!$A35)</f>
        <v>0</v>
      </c>
      <c r="P35">
        <f ca="1">COUNTIFS(INDIRECT("Table1[Beginn]"),"&lt;="&amp;P$1,INDIRECT("Table1[Ende]"),"&gt;="&amp;P$1,INDIRECT("Table1[Obergruppe ATC-Code]"),Tabelle3!$A35)</f>
        <v>0</v>
      </c>
      <c r="Q35">
        <f ca="1">COUNTIFS(INDIRECT("Table1[Beginn]"),"&lt;="&amp;Q$1,INDIRECT("Table1[Ende]"),"&gt;="&amp;Q$1,INDIRECT("Table1[Obergruppe ATC-Code]"),Tabelle3!$A35)</f>
        <v>0</v>
      </c>
      <c r="R35">
        <f ca="1">COUNTIFS(INDIRECT("Table1[Beginn]"),"&lt;="&amp;R$1,INDIRECT("Table1[Ende]"),"&gt;="&amp;R$1,INDIRECT("Table1[Obergruppe ATC-Code]"),Tabelle3!$A35)</f>
        <v>0</v>
      </c>
      <c r="S35">
        <f ca="1">COUNTIFS(INDIRECT("Table1[Beginn]"),"&lt;="&amp;S$1,INDIRECT("Table1[Ende]"),"&gt;="&amp;S$1,INDIRECT("Table1[Obergruppe ATC-Code]"),Tabelle3!$A35)</f>
        <v>0</v>
      </c>
      <c r="T35">
        <f ca="1">COUNTIFS(INDIRECT("Table1[Beginn]"),"&lt;="&amp;T$1,INDIRECT("Table1[Ende]"),"&gt;="&amp;T$1,INDIRECT("Table1[Obergruppe ATC-Code]"),Tabelle3!$A35)</f>
        <v>0</v>
      </c>
      <c r="U35">
        <f ca="1">COUNTIFS(INDIRECT("Table1[Beginn]"),"&lt;="&amp;U$1,INDIRECT("Table1[Ende]"),"&gt;="&amp;U$1,INDIRECT("Table1[Obergruppe ATC-Code]"),Tabelle3!$A35)</f>
        <v>0</v>
      </c>
      <c r="V35">
        <f ca="1">COUNTIFS(INDIRECT("Table1[Beginn]"),"&lt;="&amp;V$1,INDIRECT("Table1[Ende]"),"&gt;="&amp;V$1,INDIRECT("Table1[Obergruppe ATC-Code]"),Tabelle3!$A35)</f>
        <v>0</v>
      </c>
      <c r="W35">
        <f ca="1">COUNTIFS(INDIRECT("Table1[Beginn]"),"&lt;="&amp;W$1,INDIRECT("Table1[Ende]"),"&gt;="&amp;W$1,INDIRECT("Table1[Obergruppe ATC-Code]"),Tabelle3!$A35)</f>
        <v>0</v>
      </c>
      <c r="X35">
        <f ca="1">COUNTIFS(INDIRECT("Table1[Beginn]"),"&lt;="&amp;X$1,INDIRECT("Table1[Ende]"),"&gt;="&amp;X$1,INDIRECT("Table1[Obergruppe ATC-Code]"),Tabelle3!$A35)</f>
        <v>0</v>
      </c>
      <c r="Y35">
        <f ca="1">COUNTIFS(INDIRECT("Table1[Beginn]"),"&lt;="&amp;Y$1,INDIRECT("Table1[Ende]"),"&gt;="&amp;Y$1,INDIRECT("Table1[Obergruppe ATC-Code]"),Tabelle3!$A35)</f>
        <v>0</v>
      </c>
      <c r="Z35">
        <f ca="1">COUNTIFS(INDIRECT("Table1[Beginn]"),"&lt;="&amp;Z$1,INDIRECT("Table1[Ende]"),"&gt;="&amp;Z$1,INDIRECT("Table1[Obergruppe ATC-Code]"),Tabelle3!$A35)</f>
        <v>0</v>
      </c>
      <c r="AA35">
        <f ca="1">COUNTIFS(INDIRECT("Table1[Beginn]"),"&lt;="&amp;AA$1,INDIRECT("Table1[Ende]"),"&gt;="&amp;AA$1,INDIRECT("Table1[Obergruppe ATC-Code]"),Tabelle3!$A35)</f>
        <v>0</v>
      </c>
      <c r="AB35">
        <f ca="1">COUNTIFS(INDIRECT("Table1[Beginn]"),"&lt;="&amp;AB$1,INDIRECT("Table1[Ende]"),"&gt;="&amp;AB$1,INDIRECT("Table1[Obergruppe ATC-Code]"),Tabelle3!$A35)</f>
        <v>0</v>
      </c>
      <c r="AC35">
        <f ca="1">COUNTIFS(INDIRECT("Table1[Beginn]"),"&lt;="&amp;AC$1,INDIRECT("Table1[Ende]"),"&gt;="&amp;AC$1,INDIRECT("Table1[Obergruppe ATC-Code]"),Tabelle3!$A35)</f>
        <v>0</v>
      </c>
      <c r="AD35">
        <f ca="1">COUNTIFS(INDIRECT("Table1[Beginn]"),"&lt;="&amp;AD$1,INDIRECT("Table1[Ende]"),"&gt;="&amp;AD$1,INDIRECT("Table1[Obergruppe ATC-Code]"),Tabelle3!$A35)</f>
        <v>0</v>
      </c>
      <c r="AE35">
        <f ca="1">COUNTIFS(INDIRECT("Table1[Beginn]"),"&lt;="&amp;AE$1,INDIRECT("Table1[Ende]"),"&gt;="&amp;AE$1,INDIRECT("Table1[Obergruppe ATC-Code]"),Tabelle3!$A35)</f>
        <v>0</v>
      </c>
      <c r="AF35">
        <f ca="1">COUNTIFS(INDIRECT("Table1[Beginn]"),"&lt;="&amp;AF$1,INDIRECT("Table1[Ende]"),"&gt;="&amp;AF$1,INDIRECT("Table1[Obergruppe ATC-Code]"),Tabelle3!$A35)</f>
        <v>0</v>
      </c>
      <c r="AG35">
        <f ca="1">COUNTIFS(INDIRECT("Table1[Beginn]"),"&lt;="&amp;AG$1,INDIRECT("Table1[Ende]"),"&gt;="&amp;AG$1,INDIRECT("Table1[Obergruppe ATC-Code]"),Tabelle3!$A35)</f>
        <v>0</v>
      </c>
      <c r="AH35">
        <f ca="1">COUNTIFS(INDIRECT("Table1[Beginn]"),"&lt;="&amp;AH$1,INDIRECT("Table1[Ende]"),"&gt;="&amp;AH$1,INDIRECT("Table1[Obergruppe ATC-Code]"),Tabelle3!$A35)</f>
        <v>0</v>
      </c>
      <c r="AI35">
        <f ca="1">COUNTIFS(INDIRECT("Table1[Beginn]"),"&lt;="&amp;AI$1,INDIRECT("Table1[Ende]"),"&gt;="&amp;AI$1,INDIRECT("Table1[Obergruppe ATC-Code]"),Tabelle3!$A35)</f>
        <v>0</v>
      </c>
      <c r="AJ35">
        <f ca="1">COUNTIFS(INDIRECT("Table1[Beginn]"),"&lt;="&amp;AJ$1,INDIRECT("Table1[Ende]"),"&gt;="&amp;AJ$1,INDIRECT("Table1[Obergruppe ATC-Code]"),Tabelle3!$A35)</f>
        <v>0</v>
      </c>
      <c r="AK35">
        <f ca="1">COUNTIFS(INDIRECT("Table1[Beginn]"),"&lt;="&amp;AK$1,INDIRECT("Table1[Ende]"),"&gt;="&amp;AK$1,INDIRECT("Table1[Obergruppe ATC-Code]"),Tabelle3!$A35)</f>
        <v>0</v>
      </c>
      <c r="AL35">
        <f ca="1">COUNTIFS(INDIRECT("Table1[Beginn]"),"&lt;="&amp;AL$1,INDIRECT("Table1[Ende]"),"&gt;="&amp;AL$1,INDIRECT("Table1[Obergruppe ATC-Code]"),Tabelle3!$A35)</f>
        <v>0</v>
      </c>
      <c r="AM35">
        <f ca="1">COUNTIFS(INDIRECT("Table1[Beginn]"),"&lt;="&amp;AM$1,INDIRECT("Table1[Ende]"),"&gt;="&amp;AM$1,INDIRECT("Table1[Obergruppe ATC-Code]"),Tabelle3!$A35)</f>
        <v>0</v>
      </c>
      <c r="AN35">
        <f ca="1">COUNTIFS(INDIRECT("Table1[Beginn]"),"&lt;="&amp;AN$1,INDIRECT("Table1[Ende]"),"&gt;="&amp;AN$1,INDIRECT("Table1[Obergruppe ATC-Code]"),Tabelle3!$A35)</f>
        <v>0</v>
      </c>
      <c r="AO35">
        <f ca="1">COUNTIFS(INDIRECT("Table1[Beginn]"),"&lt;="&amp;AO$1,INDIRECT("Table1[Ende]"),"&gt;="&amp;AO$1,INDIRECT("Table1[Obergruppe ATC-Code]"),Tabelle3!$A35)</f>
        <v>0</v>
      </c>
      <c r="AP35">
        <f ca="1">COUNTIFS(INDIRECT("Table1[Beginn]"),"&lt;="&amp;AP$1,INDIRECT("Table1[Ende]"),"&gt;="&amp;AP$1,INDIRECT("Table1[Obergruppe ATC-Code]"),Tabelle3!$A35)</f>
        <v>0</v>
      </c>
      <c r="AQ35">
        <f ca="1">COUNTIFS(INDIRECT("Table1[Beginn]"),"&lt;="&amp;AQ$1,INDIRECT("Table1[Ende]"),"&gt;="&amp;AQ$1,INDIRECT("Table1[Obergruppe ATC-Code]"),Tabelle3!$A35)</f>
        <v>0</v>
      </c>
      <c r="AR35">
        <f ca="1">COUNTIFS(INDIRECT("Table1[Beginn]"),"&lt;="&amp;AR$1,INDIRECT("Table1[Ende]"),"&gt;="&amp;AR$1,INDIRECT("Table1[Obergruppe ATC-Code]"),Tabelle3!$A35)</f>
        <v>0</v>
      </c>
      <c r="AS35">
        <f ca="1">COUNTIFS(INDIRECT("Table1[Beginn]"),"&lt;="&amp;AS$1,INDIRECT("Table1[Ende]"),"&gt;="&amp;AS$1,INDIRECT("Table1[Obergruppe ATC-Code]"),Tabelle3!$A35)</f>
        <v>0</v>
      </c>
      <c r="AT35">
        <f ca="1">COUNTIFS(INDIRECT("Table1[Beginn]"),"&lt;="&amp;AT$1,INDIRECT("Table1[Ende]"),"&gt;="&amp;AT$1,INDIRECT("Table1[Obergruppe ATC-Code]"),Tabelle3!$A35)</f>
        <v>0</v>
      </c>
      <c r="AU35">
        <f ca="1">COUNTIFS(INDIRECT("Table1[Beginn]"),"&lt;="&amp;AU$1,INDIRECT("Table1[Ende]"),"&gt;="&amp;AU$1,INDIRECT("Table1[Obergruppe ATC-Code]"),Tabelle3!$A35)</f>
        <v>0</v>
      </c>
      <c r="AV35">
        <f ca="1">COUNTIFS(INDIRECT("Table1[Beginn]"),"&lt;="&amp;AV$1,INDIRECT("Table1[Ende]"),"&gt;="&amp;AV$1,INDIRECT("Table1[Obergruppe ATC-Code]"),Tabelle3!$A35)</f>
        <v>0</v>
      </c>
      <c r="AW35">
        <f ca="1">COUNTIFS(INDIRECT("Table1[Beginn]"),"&lt;="&amp;AW$1,INDIRECT("Table1[Ende]"),"&gt;="&amp;AW$1,INDIRECT("Table1[Obergruppe ATC-Code]"),Tabelle3!$A35)</f>
        <v>0</v>
      </c>
      <c r="AX35">
        <f ca="1">COUNTIFS(INDIRECT("Table1[Beginn]"),"&lt;="&amp;AX$1,INDIRECT("Table1[Ende]"),"&gt;="&amp;AX$1,INDIRECT("Table1[Obergruppe ATC-Code]"),Tabelle3!$A35)</f>
        <v>0</v>
      </c>
      <c r="AY35">
        <f ca="1">COUNTIFS(INDIRECT("Table1[Beginn]"),"&lt;="&amp;AY$1,INDIRECT("Table1[Ende]"),"&gt;="&amp;AY$1,INDIRECT("Table1[Obergruppe ATC-Code]"),Tabelle3!$A35)</f>
        <v>0</v>
      </c>
      <c r="AZ35">
        <f ca="1">COUNTIFS(INDIRECT("Table1[Beginn]"),"&lt;="&amp;AZ$1,INDIRECT("Table1[Ende]"),"&gt;="&amp;AZ$1,INDIRECT("Table1[Obergruppe ATC-Code]"),Tabelle3!$A35)</f>
        <v>0</v>
      </c>
      <c r="BA35">
        <f ca="1">COUNTIFS(INDIRECT("Table1[Beginn]"),"&lt;="&amp;BA$1,INDIRECT("Table1[Ende]"),"&gt;="&amp;BA$1,INDIRECT("Table1[Obergruppe ATC-Code]"),Tabelle3!$A35)</f>
        <v>0</v>
      </c>
      <c r="BB35">
        <f ca="1">COUNTIFS(INDIRECT("Table1[Beginn]"),"&lt;="&amp;BB$1,INDIRECT("Table1[Ende]"),"&gt;="&amp;BB$1,INDIRECT("Table1[Obergruppe ATC-Code]"),Tabelle3!$A35)</f>
        <v>0</v>
      </c>
      <c r="BC35">
        <f ca="1">COUNTIFS(INDIRECT("Table1[Beginn]"),"&lt;="&amp;BC$1,INDIRECT("Table1[Ende]"),"&gt;="&amp;BC$1,INDIRECT("Table1[Obergruppe ATC-Code]"),Tabelle3!$A35)</f>
        <v>0</v>
      </c>
      <c r="BD35">
        <f ca="1">COUNTIFS(INDIRECT("Table1[Beginn]"),"&lt;="&amp;BD$1,INDIRECT("Table1[Ende]"),"&gt;="&amp;BD$1,INDIRECT("Table1[Obergruppe ATC-Code]"),Tabelle3!$A35)</f>
        <v>0</v>
      </c>
      <c r="BE35">
        <f ca="1">COUNTIFS(INDIRECT("Table1[Beginn]"),"&lt;="&amp;BE$1,INDIRECT("Table1[Ende]"),"&gt;="&amp;BE$1,INDIRECT("Table1[Obergruppe ATC-Code]"),Tabelle3!$A35)</f>
        <v>0</v>
      </c>
      <c r="BF35">
        <f ca="1">COUNTIFS(INDIRECT("Table1[Beginn]"),"&lt;="&amp;BF$1,INDIRECT("Table1[Ende]"),"&gt;="&amp;BF$1,INDIRECT("Table1[Obergruppe ATC-Code]"),Tabelle3!$A35)</f>
        <v>0</v>
      </c>
      <c r="BG35">
        <f ca="1">COUNTIFS(INDIRECT("Table1[Beginn]"),"&lt;="&amp;BG$1,INDIRECT("Table1[Ende]"),"&gt;="&amp;BG$1,INDIRECT("Table1[Obergruppe ATC-Code]"),Tabelle3!$A35)</f>
        <v>0</v>
      </c>
      <c r="BH35">
        <f ca="1">COUNTIFS(INDIRECT("Table1[Beginn]"),"&lt;="&amp;BH$1,INDIRECT("Table1[Ende]"),"&gt;="&amp;BH$1,INDIRECT("Table1[Obergruppe ATC-Code]"),Tabelle3!$A35)</f>
        <v>0</v>
      </c>
      <c r="BI35">
        <f ca="1">COUNTIFS(INDIRECT("Table1[Beginn]"),"&lt;="&amp;BI$1,INDIRECT("Table1[Ende]"),"&gt;="&amp;BI$1,INDIRECT("Table1[Obergruppe ATC-Code]"),Tabelle3!$A35)</f>
        <v>0</v>
      </c>
      <c r="BJ35">
        <f ca="1">COUNTIFS(INDIRECT("Table1[Beginn]"),"&lt;="&amp;BJ$1,INDIRECT("Table1[Ende]"),"&gt;="&amp;BJ$1,INDIRECT("Table1[Obergruppe ATC-Code]"),Tabelle3!$A35)</f>
        <v>0</v>
      </c>
      <c r="BK35">
        <f ca="1">COUNTIFS(INDIRECT("Table1[Beginn]"),"&lt;="&amp;BK$1,INDIRECT("Table1[Ende]"),"&gt;="&amp;BK$1,INDIRECT("Table1[Obergruppe ATC-Code]"),Tabelle3!$A35)</f>
        <v>0</v>
      </c>
      <c r="BL35">
        <f ca="1">COUNTIFS(INDIRECT("Table1[Beginn]"),"&lt;="&amp;BL$1,INDIRECT("Table1[Ende]"),"&gt;="&amp;BL$1,INDIRECT("Table1[Obergruppe ATC-Code]"),Tabelle3!$A35)</f>
        <v>0</v>
      </c>
      <c r="BM35">
        <f ca="1">COUNTIFS(INDIRECT("Table1[Beginn]"),"&lt;="&amp;BM$1,INDIRECT("Table1[Ende]"),"&gt;="&amp;BM$1,INDIRECT("Table1[Obergruppe ATC-Code]"),Tabelle3!$A35)</f>
        <v>0</v>
      </c>
      <c r="BN35">
        <f ca="1">COUNTIFS(INDIRECT("Table1[Beginn]"),"&lt;="&amp;BN$1,INDIRECT("Table1[Ende]"),"&gt;="&amp;BN$1,INDIRECT("Table1[Obergruppe ATC-Code]"),Tabelle3!$A35)</f>
        <v>0</v>
      </c>
      <c r="BO35">
        <f ca="1">COUNTIFS(INDIRECT("Table1[Beginn]"),"&lt;="&amp;BO$1,INDIRECT("Table1[Ende]"),"&gt;="&amp;BO$1,INDIRECT("Table1[Obergruppe ATC-Code]"),Tabelle3!$A35)</f>
        <v>0</v>
      </c>
      <c r="BP35">
        <f ca="1">COUNTIFS(INDIRECT("Table1[Beginn]"),"&lt;="&amp;BP$1,INDIRECT("Table1[Ende]"),"&gt;="&amp;BP$1,INDIRECT("Table1[Obergruppe ATC-Code]"),Tabelle3!$A35)</f>
        <v>0</v>
      </c>
      <c r="BQ35">
        <f ca="1">COUNTIFS(INDIRECT("Table1[Beginn]"),"&lt;="&amp;BQ$1,INDIRECT("Table1[Ende]"),"&gt;="&amp;BQ$1,INDIRECT("Table1[Obergruppe ATC-Code]"),Tabelle3!$A35)</f>
        <v>0</v>
      </c>
      <c r="BR35">
        <f ca="1">COUNTIFS(INDIRECT("Table1[Beginn]"),"&lt;="&amp;BR$1,INDIRECT("Table1[Ende]"),"&gt;="&amp;BR$1,INDIRECT("Table1[Obergruppe ATC-Code]"),Tabelle3!$A35)</f>
        <v>0</v>
      </c>
      <c r="BS35">
        <f ca="1">COUNTIFS(INDIRECT("Table1[Beginn]"),"&lt;="&amp;BS$1,INDIRECT("Table1[Ende]"),"&gt;="&amp;BS$1,INDIRECT("Table1[Obergruppe ATC-Code]"),Tabelle3!$A35)</f>
        <v>0</v>
      </c>
      <c r="BT35">
        <f ca="1">COUNTIFS(INDIRECT("Table1[Beginn]"),"&lt;="&amp;BT$1,INDIRECT("Table1[Ende]"),"&gt;="&amp;BT$1,INDIRECT("Table1[Obergruppe ATC-Code]"),Tabelle3!$A35)</f>
        <v>0</v>
      </c>
      <c r="BU35">
        <f ca="1">COUNTIFS(INDIRECT("Table1[Beginn]"),"&lt;="&amp;BU$1,INDIRECT("Table1[Ende]"),"&gt;="&amp;BU$1,INDIRECT("Table1[Obergruppe ATC-Code]"),Tabelle3!$A35)</f>
        <v>0</v>
      </c>
      <c r="BV35">
        <f ca="1">COUNTIFS(INDIRECT("Table1[Beginn]"),"&lt;="&amp;BV$1,INDIRECT("Table1[Ende]"),"&gt;="&amp;BV$1,INDIRECT("Table1[Obergruppe ATC-Code]"),Tabelle3!$A35)</f>
        <v>0</v>
      </c>
      <c r="BW35">
        <f ca="1">COUNTIFS(INDIRECT("Table1[Beginn]"),"&lt;="&amp;BW$1,INDIRECT("Table1[Ende]"),"&gt;="&amp;BW$1,INDIRECT("Table1[Obergruppe ATC-Code]"),Tabelle3!$A35)</f>
        <v>0</v>
      </c>
      <c r="BX35">
        <f ca="1">COUNTIFS(INDIRECT("Table1[Beginn]"),"&lt;="&amp;BX$1,INDIRECT("Table1[Ende]"),"&gt;="&amp;BX$1,INDIRECT("Table1[Obergruppe ATC-Code]"),Tabelle3!$A35)</f>
        <v>0</v>
      </c>
      <c r="BY35">
        <f ca="1">COUNTIFS(INDIRECT("Table1[Beginn]"),"&lt;="&amp;BY$1,INDIRECT("Table1[Ende]"),"&gt;="&amp;BY$1,INDIRECT("Table1[Obergruppe ATC-Code]"),Tabelle3!$A35)</f>
        <v>0</v>
      </c>
      <c r="BZ35">
        <f ca="1">COUNTIFS(INDIRECT("Table1[Beginn]"),"&lt;="&amp;BZ$1,INDIRECT("Table1[Ende]"),"&gt;="&amp;BZ$1,INDIRECT("Table1[Obergruppe ATC-Code]"),Tabelle3!$A35)</f>
        <v>0</v>
      </c>
      <c r="CA35">
        <f ca="1">COUNTIFS(INDIRECT("Table1[Beginn]"),"&lt;="&amp;CA$1,INDIRECT("Table1[Ende]"),"&gt;="&amp;CA$1,INDIRECT("Table1[Obergruppe ATC-Code]"),Tabelle3!$A35)</f>
        <v>0</v>
      </c>
      <c r="CB35">
        <f ca="1">COUNTIFS(INDIRECT("Table1[Beginn]"),"&lt;="&amp;CB$1,INDIRECT("Table1[Ende]"),"&gt;="&amp;CB$1,INDIRECT("Table1[Obergruppe ATC-Code]"),Tabelle3!$A35)</f>
        <v>0</v>
      </c>
      <c r="CC35">
        <f ca="1">COUNTIFS(INDIRECT("Table1[Beginn]"),"&lt;="&amp;CC$1,INDIRECT("Table1[Ende]"),"&gt;="&amp;CC$1,INDIRECT("Table1[Obergruppe ATC-Code]"),Tabelle3!$A35)</f>
        <v>0</v>
      </c>
      <c r="CD35">
        <f ca="1">COUNTIFS(INDIRECT("Table1[Beginn]"),"&lt;="&amp;CD$1,INDIRECT("Table1[Ende]"),"&gt;="&amp;CD$1,INDIRECT("Table1[Obergruppe ATC-Code]"),Tabelle3!$A35)</f>
        <v>0</v>
      </c>
      <c r="CE35">
        <f ca="1">COUNTIFS(INDIRECT("Table1[Beginn]"),"&lt;="&amp;CE$1,INDIRECT("Table1[Ende]"),"&gt;="&amp;CE$1,INDIRECT("Table1[Obergruppe ATC-Code]"),Tabelle3!$A35)</f>
        <v>0</v>
      </c>
      <c r="CF35">
        <f ca="1">COUNTIFS(INDIRECT("Table1[Beginn]"),"&lt;="&amp;CF$1,INDIRECT("Table1[Ende]"),"&gt;="&amp;CF$1,INDIRECT("Table1[Obergruppe ATC-Code]"),Tabelle3!$A35)</f>
        <v>0</v>
      </c>
      <c r="CG35">
        <f ca="1">COUNTIFS(INDIRECT("Table1[Beginn]"),"&lt;="&amp;CG$1,INDIRECT("Table1[Ende]"),"&gt;="&amp;CG$1,INDIRECT("Table1[Obergruppe ATC-Code]"),Tabelle3!$A35)</f>
        <v>0</v>
      </c>
      <c r="CH35">
        <f ca="1">COUNTIFS(INDIRECT("Table1[Beginn]"),"&lt;="&amp;CH$1,INDIRECT("Table1[Ende]"),"&gt;="&amp;CH$1,INDIRECT("Table1[Obergruppe ATC-Code]"),Tabelle3!$A35)</f>
        <v>0</v>
      </c>
      <c r="CI35">
        <f ca="1">COUNTIFS(INDIRECT("Table1[Beginn]"),"&lt;="&amp;CI$1,INDIRECT("Table1[Ende]"),"&gt;="&amp;CI$1,INDIRECT("Table1[Obergruppe ATC-Code]"),Tabelle3!$A35)</f>
        <v>0</v>
      </c>
      <c r="CJ35">
        <f ca="1">COUNTIFS(INDIRECT("Table1[Beginn]"),"&lt;="&amp;CJ$1,INDIRECT("Table1[Ende]"),"&gt;="&amp;CJ$1,INDIRECT("Table1[Obergruppe ATC-Code]"),Tabelle3!$A35)</f>
        <v>0</v>
      </c>
      <c r="CK35">
        <f ca="1">COUNTIFS(INDIRECT("Table1[Beginn]"),"&lt;="&amp;CK$1,INDIRECT("Table1[Ende]"),"&gt;="&amp;CK$1,INDIRECT("Table1[Obergruppe ATC-Code]"),Tabelle3!$A35)</f>
        <v>0</v>
      </c>
      <c r="CL35">
        <f ca="1">COUNTIFS(INDIRECT("Table1[Beginn]"),"&lt;="&amp;CL$1,INDIRECT("Table1[Ende]"),"&gt;="&amp;CL$1,INDIRECT("Table1[Obergruppe ATC-Code]"),Tabelle3!$A35)</f>
        <v>0</v>
      </c>
      <c r="CM35">
        <f ca="1">COUNTIFS(INDIRECT("Table1[Beginn]"),"&lt;="&amp;CM$1,INDIRECT("Table1[Ende]"),"&gt;="&amp;CM$1,INDIRECT("Table1[Obergruppe ATC-Code]"),Tabelle3!$A35)</f>
        <v>0</v>
      </c>
      <c r="CN35">
        <f ca="1">COUNTIFS(INDIRECT("Table1[Beginn]"),"&lt;="&amp;CN$1,INDIRECT("Table1[Ende]"),"&gt;="&amp;CN$1,INDIRECT("Table1[Obergruppe ATC-Code]"),Tabelle3!$A35)</f>
        <v>0</v>
      </c>
      <c r="CO35">
        <f ca="1">COUNTIFS(INDIRECT("Table1[Beginn]"),"&lt;="&amp;CO$1,INDIRECT("Table1[Ende]"),"&gt;="&amp;CO$1,INDIRECT("Table1[Obergruppe ATC-Code]"),Tabelle3!$A35)</f>
        <v>0</v>
      </c>
      <c r="CP35">
        <f ca="1">COUNTIFS(INDIRECT("Table1[Beginn]"),"&lt;="&amp;CP$1,INDIRECT("Table1[Ende]"),"&gt;="&amp;CP$1,INDIRECT("Table1[Obergruppe ATC-Code]"),Tabelle3!$A35)</f>
        <v>0</v>
      </c>
      <c r="CQ35">
        <f ca="1">COUNTIFS(INDIRECT("Table1[Beginn]"),"&lt;="&amp;CQ$1,INDIRECT("Table1[Ende]"),"&gt;="&amp;CQ$1,INDIRECT("Table1[Obergruppe ATC-Code]"),Tabelle3!$A35)</f>
        <v>0</v>
      </c>
      <c r="CR35">
        <f ca="1">COUNTIFS(INDIRECT("Table1[Beginn]"),"&lt;="&amp;CR$1,INDIRECT("Table1[Ende]"),"&gt;="&amp;CR$1,INDIRECT("Table1[Obergruppe ATC-Code]"),Tabelle3!$A35)</f>
        <v>0</v>
      </c>
    </row>
    <row r="36" spans="1:96" ht="18">
      <c r="A36" s="7" t="s">
        <v>6840</v>
      </c>
      <c r="B36" s="8" t="s">
        <v>6841</v>
      </c>
      <c r="C36">
        <f ca="1">COUNTIFS(INDIRECT("Table1[Beginn]"),"&lt;="&amp;C$1,INDIRECT("Table1[Ende]"),"&gt;="&amp;C$1,INDIRECT("Table1[Obergruppe ATC-Code]"),Tabelle3!$A36)</f>
        <v>0</v>
      </c>
      <c r="D36">
        <f ca="1">COUNTIFS(INDIRECT("Table1[Beginn]"),"&lt;="&amp;D$1,INDIRECT("Table1[Ende]"),"&gt;="&amp;D$1,INDIRECT("Table1[Obergruppe ATC-Code]"),Tabelle3!$A36)</f>
        <v>0</v>
      </c>
      <c r="E36">
        <f ca="1">COUNTIFS(INDIRECT("Table1[Beginn]"),"&lt;="&amp;E$1,INDIRECT("Table1[Ende]"),"&gt;="&amp;E$1,INDIRECT("Table1[Obergruppe ATC-Code]"),Tabelle3!$A36)</f>
        <v>0</v>
      </c>
      <c r="F36">
        <f ca="1">COUNTIFS(INDIRECT("Table1[Beginn]"),"&lt;="&amp;F$1,INDIRECT("Table1[Ende]"),"&gt;="&amp;F$1,INDIRECT("Table1[Obergruppe ATC-Code]"),Tabelle3!$A36)</f>
        <v>0</v>
      </c>
      <c r="G36">
        <f ca="1">COUNTIFS(INDIRECT("Table1[Beginn]"),"&lt;="&amp;G$1,INDIRECT("Table1[Ende]"),"&gt;="&amp;G$1,INDIRECT("Table1[Obergruppe ATC-Code]"),Tabelle3!$A36)</f>
        <v>0</v>
      </c>
      <c r="H36">
        <f ca="1">COUNTIFS(INDIRECT("Table1[Beginn]"),"&lt;="&amp;H$1,INDIRECT("Table1[Ende]"),"&gt;="&amp;H$1,INDIRECT("Table1[Obergruppe ATC-Code]"),Tabelle3!$A36)</f>
        <v>0</v>
      </c>
      <c r="I36">
        <f ca="1">COUNTIFS(INDIRECT("Table1[Beginn]"),"&lt;="&amp;I$1,INDIRECT("Table1[Ende]"),"&gt;="&amp;I$1,INDIRECT("Table1[Obergruppe ATC-Code]"),Tabelle3!$A36)</f>
        <v>0</v>
      </c>
      <c r="J36">
        <f ca="1">COUNTIFS(INDIRECT("Table1[Beginn]"),"&lt;="&amp;J$1,INDIRECT("Table1[Ende]"),"&gt;="&amp;J$1,INDIRECT("Table1[Obergruppe ATC-Code]"),Tabelle3!$A36)</f>
        <v>0</v>
      </c>
      <c r="K36">
        <f ca="1">COUNTIFS(INDIRECT("Table1[Beginn]"),"&lt;="&amp;K$1,INDIRECT("Table1[Ende]"),"&gt;="&amp;K$1,INDIRECT("Table1[Obergruppe ATC-Code]"),Tabelle3!$A36)</f>
        <v>0</v>
      </c>
      <c r="L36">
        <f ca="1">COUNTIFS(INDIRECT("Table1[Beginn]"),"&lt;="&amp;L$1,INDIRECT("Table1[Ende]"),"&gt;="&amp;L$1,INDIRECT("Table1[Obergruppe ATC-Code]"),Tabelle3!$A36)</f>
        <v>0</v>
      </c>
      <c r="M36">
        <f ca="1">COUNTIFS(INDIRECT("Table1[Beginn]"),"&lt;="&amp;M$1,INDIRECT("Table1[Ende]"),"&gt;="&amp;M$1,INDIRECT("Table1[Obergruppe ATC-Code]"),Tabelle3!$A36)</f>
        <v>0</v>
      </c>
      <c r="N36">
        <f ca="1">COUNTIFS(INDIRECT("Table1[Beginn]"),"&lt;="&amp;N$1,INDIRECT("Table1[Ende]"),"&gt;="&amp;N$1,INDIRECT("Table1[Obergruppe ATC-Code]"),Tabelle3!$A36)</f>
        <v>0</v>
      </c>
      <c r="O36">
        <f ca="1">COUNTIFS(INDIRECT("Table1[Beginn]"),"&lt;="&amp;O$1,INDIRECT("Table1[Ende]"),"&gt;="&amp;O$1,INDIRECT("Table1[Obergruppe ATC-Code]"),Tabelle3!$A36)</f>
        <v>0</v>
      </c>
      <c r="P36">
        <f ca="1">COUNTIFS(INDIRECT("Table1[Beginn]"),"&lt;="&amp;P$1,INDIRECT("Table1[Ende]"),"&gt;="&amp;P$1,INDIRECT("Table1[Obergruppe ATC-Code]"),Tabelle3!$A36)</f>
        <v>0</v>
      </c>
      <c r="Q36">
        <f ca="1">COUNTIFS(INDIRECT("Table1[Beginn]"),"&lt;="&amp;Q$1,INDIRECT("Table1[Ende]"),"&gt;="&amp;Q$1,INDIRECT("Table1[Obergruppe ATC-Code]"),Tabelle3!$A36)</f>
        <v>0</v>
      </c>
      <c r="R36">
        <f ca="1">COUNTIFS(INDIRECT("Table1[Beginn]"),"&lt;="&amp;R$1,INDIRECT("Table1[Ende]"),"&gt;="&amp;R$1,INDIRECT("Table1[Obergruppe ATC-Code]"),Tabelle3!$A36)</f>
        <v>0</v>
      </c>
      <c r="S36">
        <f ca="1">COUNTIFS(INDIRECT("Table1[Beginn]"),"&lt;="&amp;S$1,INDIRECT("Table1[Ende]"),"&gt;="&amp;S$1,INDIRECT("Table1[Obergruppe ATC-Code]"),Tabelle3!$A36)</f>
        <v>0</v>
      </c>
      <c r="T36">
        <f ca="1">COUNTIFS(INDIRECT("Table1[Beginn]"),"&lt;="&amp;T$1,INDIRECT("Table1[Ende]"),"&gt;="&amp;T$1,INDIRECT("Table1[Obergruppe ATC-Code]"),Tabelle3!$A36)</f>
        <v>0</v>
      </c>
      <c r="U36">
        <f ca="1">COUNTIFS(INDIRECT("Table1[Beginn]"),"&lt;="&amp;U$1,INDIRECT("Table1[Ende]"),"&gt;="&amp;U$1,INDIRECT("Table1[Obergruppe ATC-Code]"),Tabelle3!$A36)</f>
        <v>0</v>
      </c>
      <c r="V36">
        <f ca="1">COUNTIFS(INDIRECT("Table1[Beginn]"),"&lt;="&amp;V$1,INDIRECT("Table1[Ende]"),"&gt;="&amp;V$1,INDIRECT("Table1[Obergruppe ATC-Code]"),Tabelle3!$A36)</f>
        <v>0</v>
      </c>
      <c r="W36">
        <f ca="1">COUNTIFS(INDIRECT("Table1[Beginn]"),"&lt;="&amp;W$1,INDIRECT("Table1[Ende]"),"&gt;="&amp;W$1,INDIRECT("Table1[Obergruppe ATC-Code]"),Tabelle3!$A36)</f>
        <v>0</v>
      </c>
      <c r="X36">
        <f ca="1">COUNTIFS(INDIRECT("Table1[Beginn]"),"&lt;="&amp;X$1,INDIRECT("Table1[Ende]"),"&gt;="&amp;X$1,INDIRECT("Table1[Obergruppe ATC-Code]"),Tabelle3!$A36)</f>
        <v>0</v>
      </c>
      <c r="Y36">
        <f ca="1">COUNTIFS(INDIRECT("Table1[Beginn]"),"&lt;="&amp;Y$1,INDIRECT("Table1[Ende]"),"&gt;="&amp;Y$1,INDIRECT("Table1[Obergruppe ATC-Code]"),Tabelle3!$A36)</f>
        <v>0</v>
      </c>
      <c r="Z36">
        <f ca="1">COUNTIFS(INDIRECT("Table1[Beginn]"),"&lt;="&amp;Z$1,INDIRECT("Table1[Ende]"),"&gt;="&amp;Z$1,INDIRECT("Table1[Obergruppe ATC-Code]"),Tabelle3!$A36)</f>
        <v>0</v>
      </c>
      <c r="AA36">
        <f ca="1">COUNTIFS(INDIRECT("Table1[Beginn]"),"&lt;="&amp;AA$1,INDIRECT("Table1[Ende]"),"&gt;="&amp;AA$1,INDIRECT("Table1[Obergruppe ATC-Code]"),Tabelle3!$A36)</f>
        <v>0</v>
      </c>
      <c r="AB36">
        <f ca="1">COUNTIFS(INDIRECT("Table1[Beginn]"),"&lt;="&amp;AB$1,INDIRECT("Table1[Ende]"),"&gt;="&amp;AB$1,INDIRECT("Table1[Obergruppe ATC-Code]"),Tabelle3!$A36)</f>
        <v>0</v>
      </c>
      <c r="AC36">
        <f ca="1">COUNTIFS(INDIRECT("Table1[Beginn]"),"&lt;="&amp;AC$1,INDIRECT("Table1[Ende]"),"&gt;="&amp;AC$1,INDIRECT("Table1[Obergruppe ATC-Code]"),Tabelle3!$A36)</f>
        <v>0</v>
      </c>
      <c r="AD36">
        <f ca="1">COUNTIFS(INDIRECT("Table1[Beginn]"),"&lt;="&amp;AD$1,INDIRECT("Table1[Ende]"),"&gt;="&amp;AD$1,INDIRECT("Table1[Obergruppe ATC-Code]"),Tabelle3!$A36)</f>
        <v>0</v>
      </c>
      <c r="AE36">
        <f ca="1">COUNTIFS(INDIRECT("Table1[Beginn]"),"&lt;="&amp;AE$1,INDIRECT("Table1[Ende]"),"&gt;="&amp;AE$1,INDIRECT("Table1[Obergruppe ATC-Code]"),Tabelle3!$A36)</f>
        <v>0</v>
      </c>
      <c r="AF36">
        <f ca="1">COUNTIFS(INDIRECT("Table1[Beginn]"),"&lt;="&amp;AF$1,INDIRECT("Table1[Ende]"),"&gt;="&amp;AF$1,INDIRECT("Table1[Obergruppe ATC-Code]"),Tabelle3!$A36)</f>
        <v>0</v>
      </c>
      <c r="AG36">
        <f ca="1">COUNTIFS(INDIRECT("Table1[Beginn]"),"&lt;="&amp;AG$1,INDIRECT("Table1[Ende]"),"&gt;="&amp;AG$1,INDIRECT("Table1[Obergruppe ATC-Code]"),Tabelle3!$A36)</f>
        <v>0</v>
      </c>
      <c r="AH36">
        <f ca="1">COUNTIFS(INDIRECT("Table1[Beginn]"),"&lt;="&amp;AH$1,INDIRECT("Table1[Ende]"),"&gt;="&amp;AH$1,INDIRECT("Table1[Obergruppe ATC-Code]"),Tabelle3!$A36)</f>
        <v>0</v>
      </c>
      <c r="AI36">
        <f ca="1">COUNTIFS(INDIRECT("Table1[Beginn]"),"&lt;="&amp;AI$1,INDIRECT("Table1[Ende]"),"&gt;="&amp;AI$1,INDIRECT("Table1[Obergruppe ATC-Code]"),Tabelle3!$A36)</f>
        <v>0</v>
      </c>
      <c r="AJ36">
        <f ca="1">COUNTIFS(INDIRECT("Table1[Beginn]"),"&lt;="&amp;AJ$1,INDIRECT("Table1[Ende]"),"&gt;="&amp;AJ$1,INDIRECT("Table1[Obergruppe ATC-Code]"),Tabelle3!$A36)</f>
        <v>0</v>
      </c>
      <c r="AK36">
        <f ca="1">COUNTIFS(INDIRECT("Table1[Beginn]"),"&lt;="&amp;AK$1,INDIRECT("Table1[Ende]"),"&gt;="&amp;AK$1,INDIRECT("Table1[Obergruppe ATC-Code]"),Tabelle3!$A36)</f>
        <v>0</v>
      </c>
      <c r="AL36">
        <f ca="1">COUNTIFS(INDIRECT("Table1[Beginn]"),"&lt;="&amp;AL$1,INDIRECT("Table1[Ende]"),"&gt;="&amp;AL$1,INDIRECT("Table1[Obergruppe ATC-Code]"),Tabelle3!$A36)</f>
        <v>0</v>
      </c>
      <c r="AM36">
        <f ca="1">COUNTIFS(INDIRECT("Table1[Beginn]"),"&lt;="&amp;AM$1,INDIRECT("Table1[Ende]"),"&gt;="&amp;AM$1,INDIRECT("Table1[Obergruppe ATC-Code]"),Tabelle3!$A36)</f>
        <v>0</v>
      </c>
      <c r="AN36">
        <f ca="1">COUNTIFS(INDIRECT("Table1[Beginn]"),"&lt;="&amp;AN$1,INDIRECT("Table1[Ende]"),"&gt;="&amp;AN$1,INDIRECT("Table1[Obergruppe ATC-Code]"),Tabelle3!$A36)</f>
        <v>0</v>
      </c>
      <c r="AO36">
        <f ca="1">COUNTIFS(INDIRECT("Table1[Beginn]"),"&lt;="&amp;AO$1,INDIRECT("Table1[Ende]"),"&gt;="&amp;AO$1,INDIRECT("Table1[Obergruppe ATC-Code]"),Tabelle3!$A36)</f>
        <v>0</v>
      </c>
      <c r="AP36">
        <f ca="1">COUNTIFS(INDIRECT("Table1[Beginn]"),"&lt;="&amp;AP$1,INDIRECT("Table1[Ende]"),"&gt;="&amp;AP$1,INDIRECT("Table1[Obergruppe ATC-Code]"),Tabelle3!$A36)</f>
        <v>0</v>
      </c>
      <c r="AQ36">
        <f ca="1">COUNTIFS(INDIRECT("Table1[Beginn]"),"&lt;="&amp;AQ$1,INDIRECT("Table1[Ende]"),"&gt;="&amp;AQ$1,INDIRECT("Table1[Obergruppe ATC-Code]"),Tabelle3!$A36)</f>
        <v>0</v>
      </c>
      <c r="AR36">
        <f ca="1">COUNTIFS(INDIRECT("Table1[Beginn]"),"&lt;="&amp;AR$1,INDIRECT("Table1[Ende]"),"&gt;="&amp;AR$1,INDIRECT("Table1[Obergruppe ATC-Code]"),Tabelle3!$A36)</f>
        <v>0</v>
      </c>
      <c r="AS36">
        <f ca="1">COUNTIFS(INDIRECT("Table1[Beginn]"),"&lt;="&amp;AS$1,INDIRECT("Table1[Ende]"),"&gt;="&amp;AS$1,INDIRECT("Table1[Obergruppe ATC-Code]"),Tabelle3!$A36)</f>
        <v>0</v>
      </c>
      <c r="AT36">
        <f ca="1">COUNTIFS(INDIRECT("Table1[Beginn]"),"&lt;="&amp;AT$1,INDIRECT("Table1[Ende]"),"&gt;="&amp;AT$1,INDIRECT("Table1[Obergruppe ATC-Code]"),Tabelle3!$A36)</f>
        <v>0</v>
      </c>
      <c r="AU36">
        <f ca="1">COUNTIFS(INDIRECT("Table1[Beginn]"),"&lt;="&amp;AU$1,INDIRECT("Table1[Ende]"),"&gt;="&amp;AU$1,INDIRECT("Table1[Obergruppe ATC-Code]"),Tabelle3!$A36)</f>
        <v>0</v>
      </c>
      <c r="AV36">
        <f ca="1">COUNTIFS(INDIRECT("Table1[Beginn]"),"&lt;="&amp;AV$1,INDIRECT("Table1[Ende]"),"&gt;="&amp;AV$1,INDIRECT("Table1[Obergruppe ATC-Code]"),Tabelle3!$A36)</f>
        <v>0</v>
      </c>
      <c r="AW36">
        <f ca="1">COUNTIFS(INDIRECT("Table1[Beginn]"),"&lt;="&amp;AW$1,INDIRECT("Table1[Ende]"),"&gt;="&amp;AW$1,INDIRECT("Table1[Obergruppe ATC-Code]"),Tabelle3!$A36)</f>
        <v>0</v>
      </c>
      <c r="AX36">
        <f ca="1">COUNTIFS(INDIRECT("Table1[Beginn]"),"&lt;="&amp;AX$1,INDIRECT("Table1[Ende]"),"&gt;="&amp;AX$1,INDIRECT("Table1[Obergruppe ATC-Code]"),Tabelle3!$A36)</f>
        <v>0</v>
      </c>
      <c r="AY36">
        <f ca="1">COUNTIFS(INDIRECT("Table1[Beginn]"),"&lt;="&amp;AY$1,INDIRECT("Table1[Ende]"),"&gt;="&amp;AY$1,INDIRECT("Table1[Obergruppe ATC-Code]"),Tabelle3!$A36)</f>
        <v>0</v>
      </c>
      <c r="AZ36">
        <f ca="1">COUNTIFS(INDIRECT("Table1[Beginn]"),"&lt;="&amp;AZ$1,INDIRECT("Table1[Ende]"),"&gt;="&amp;AZ$1,INDIRECT("Table1[Obergruppe ATC-Code]"),Tabelle3!$A36)</f>
        <v>0</v>
      </c>
      <c r="BA36">
        <f ca="1">COUNTIFS(INDIRECT("Table1[Beginn]"),"&lt;="&amp;BA$1,INDIRECT("Table1[Ende]"),"&gt;="&amp;BA$1,INDIRECT("Table1[Obergruppe ATC-Code]"),Tabelle3!$A36)</f>
        <v>0</v>
      </c>
      <c r="BB36">
        <f ca="1">COUNTIFS(INDIRECT("Table1[Beginn]"),"&lt;="&amp;BB$1,INDIRECT("Table1[Ende]"),"&gt;="&amp;BB$1,INDIRECT("Table1[Obergruppe ATC-Code]"),Tabelle3!$A36)</f>
        <v>0</v>
      </c>
      <c r="BC36">
        <f ca="1">COUNTIFS(INDIRECT("Table1[Beginn]"),"&lt;="&amp;BC$1,INDIRECT("Table1[Ende]"),"&gt;="&amp;BC$1,INDIRECT("Table1[Obergruppe ATC-Code]"),Tabelle3!$A36)</f>
        <v>0</v>
      </c>
      <c r="BD36">
        <f ca="1">COUNTIFS(INDIRECT("Table1[Beginn]"),"&lt;="&amp;BD$1,INDIRECT("Table1[Ende]"),"&gt;="&amp;BD$1,INDIRECT("Table1[Obergruppe ATC-Code]"),Tabelle3!$A36)</f>
        <v>0</v>
      </c>
      <c r="BE36">
        <f ca="1">COUNTIFS(INDIRECT("Table1[Beginn]"),"&lt;="&amp;BE$1,INDIRECT("Table1[Ende]"),"&gt;="&amp;BE$1,INDIRECT("Table1[Obergruppe ATC-Code]"),Tabelle3!$A36)</f>
        <v>0</v>
      </c>
      <c r="BF36">
        <f ca="1">COUNTIFS(INDIRECT("Table1[Beginn]"),"&lt;="&amp;BF$1,INDIRECT("Table1[Ende]"),"&gt;="&amp;BF$1,INDIRECT("Table1[Obergruppe ATC-Code]"),Tabelle3!$A36)</f>
        <v>0</v>
      </c>
      <c r="BG36">
        <f ca="1">COUNTIFS(INDIRECT("Table1[Beginn]"),"&lt;="&amp;BG$1,INDIRECT("Table1[Ende]"),"&gt;="&amp;BG$1,INDIRECT("Table1[Obergruppe ATC-Code]"),Tabelle3!$A36)</f>
        <v>0</v>
      </c>
      <c r="BH36">
        <f ca="1">COUNTIFS(INDIRECT("Table1[Beginn]"),"&lt;="&amp;BH$1,INDIRECT("Table1[Ende]"),"&gt;="&amp;BH$1,INDIRECT("Table1[Obergruppe ATC-Code]"),Tabelle3!$A36)</f>
        <v>0</v>
      </c>
      <c r="BI36">
        <f ca="1">COUNTIFS(INDIRECT("Table1[Beginn]"),"&lt;="&amp;BI$1,INDIRECT("Table1[Ende]"),"&gt;="&amp;BI$1,INDIRECT("Table1[Obergruppe ATC-Code]"),Tabelle3!$A36)</f>
        <v>0</v>
      </c>
      <c r="BJ36">
        <f ca="1">COUNTIFS(INDIRECT("Table1[Beginn]"),"&lt;="&amp;BJ$1,INDIRECT("Table1[Ende]"),"&gt;="&amp;BJ$1,INDIRECT("Table1[Obergruppe ATC-Code]"),Tabelle3!$A36)</f>
        <v>0</v>
      </c>
      <c r="BK36">
        <f ca="1">COUNTIFS(INDIRECT("Table1[Beginn]"),"&lt;="&amp;BK$1,INDIRECT("Table1[Ende]"),"&gt;="&amp;BK$1,INDIRECT("Table1[Obergruppe ATC-Code]"),Tabelle3!$A36)</f>
        <v>0</v>
      </c>
      <c r="BL36">
        <f ca="1">COUNTIFS(INDIRECT("Table1[Beginn]"),"&lt;="&amp;BL$1,INDIRECT("Table1[Ende]"),"&gt;="&amp;BL$1,INDIRECT("Table1[Obergruppe ATC-Code]"),Tabelle3!$A36)</f>
        <v>0</v>
      </c>
      <c r="BM36">
        <f ca="1">COUNTIFS(INDIRECT("Table1[Beginn]"),"&lt;="&amp;BM$1,INDIRECT("Table1[Ende]"),"&gt;="&amp;BM$1,INDIRECT("Table1[Obergruppe ATC-Code]"),Tabelle3!$A36)</f>
        <v>0</v>
      </c>
      <c r="BN36">
        <f ca="1">COUNTIFS(INDIRECT("Table1[Beginn]"),"&lt;="&amp;BN$1,INDIRECT("Table1[Ende]"),"&gt;="&amp;BN$1,INDIRECT("Table1[Obergruppe ATC-Code]"),Tabelle3!$A36)</f>
        <v>0</v>
      </c>
      <c r="BO36">
        <f ca="1">COUNTIFS(INDIRECT("Table1[Beginn]"),"&lt;="&amp;BO$1,INDIRECT("Table1[Ende]"),"&gt;="&amp;BO$1,INDIRECT("Table1[Obergruppe ATC-Code]"),Tabelle3!$A36)</f>
        <v>0</v>
      </c>
      <c r="BP36">
        <f ca="1">COUNTIFS(INDIRECT("Table1[Beginn]"),"&lt;="&amp;BP$1,INDIRECT("Table1[Ende]"),"&gt;="&amp;BP$1,INDIRECT("Table1[Obergruppe ATC-Code]"),Tabelle3!$A36)</f>
        <v>0</v>
      </c>
      <c r="BQ36">
        <f ca="1">COUNTIFS(INDIRECT("Table1[Beginn]"),"&lt;="&amp;BQ$1,INDIRECT("Table1[Ende]"),"&gt;="&amp;BQ$1,INDIRECT("Table1[Obergruppe ATC-Code]"),Tabelle3!$A36)</f>
        <v>0</v>
      </c>
      <c r="BR36">
        <f ca="1">COUNTIFS(INDIRECT("Table1[Beginn]"),"&lt;="&amp;BR$1,INDIRECT("Table1[Ende]"),"&gt;="&amp;BR$1,INDIRECT("Table1[Obergruppe ATC-Code]"),Tabelle3!$A36)</f>
        <v>0</v>
      </c>
      <c r="BS36">
        <f ca="1">COUNTIFS(INDIRECT("Table1[Beginn]"),"&lt;="&amp;BS$1,INDIRECT("Table1[Ende]"),"&gt;="&amp;BS$1,INDIRECT("Table1[Obergruppe ATC-Code]"),Tabelle3!$A36)</f>
        <v>0</v>
      </c>
      <c r="BT36">
        <f ca="1">COUNTIFS(INDIRECT("Table1[Beginn]"),"&lt;="&amp;BT$1,INDIRECT("Table1[Ende]"),"&gt;="&amp;BT$1,INDIRECT("Table1[Obergruppe ATC-Code]"),Tabelle3!$A36)</f>
        <v>0</v>
      </c>
      <c r="BU36">
        <f ca="1">COUNTIFS(INDIRECT("Table1[Beginn]"),"&lt;="&amp;BU$1,INDIRECT("Table1[Ende]"),"&gt;="&amp;BU$1,INDIRECT("Table1[Obergruppe ATC-Code]"),Tabelle3!$A36)</f>
        <v>0</v>
      </c>
      <c r="BV36">
        <f ca="1">COUNTIFS(INDIRECT("Table1[Beginn]"),"&lt;="&amp;BV$1,INDIRECT("Table1[Ende]"),"&gt;="&amp;BV$1,INDIRECT("Table1[Obergruppe ATC-Code]"),Tabelle3!$A36)</f>
        <v>0</v>
      </c>
      <c r="BW36">
        <f ca="1">COUNTIFS(INDIRECT("Table1[Beginn]"),"&lt;="&amp;BW$1,INDIRECT("Table1[Ende]"),"&gt;="&amp;BW$1,INDIRECT("Table1[Obergruppe ATC-Code]"),Tabelle3!$A36)</f>
        <v>0</v>
      </c>
      <c r="BX36">
        <f ca="1">COUNTIFS(INDIRECT("Table1[Beginn]"),"&lt;="&amp;BX$1,INDIRECT("Table1[Ende]"),"&gt;="&amp;BX$1,INDIRECT("Table1[Obergruppe ATC-Code]"),Tabelle3!$A36)</f>
        <v>0</v>
      </c>
      <c r="BY36">
        <f ca="1">COUNTIFS(INDIRECT("Table1[Beginn]"),"&lt;="&amp;BY$1,INDIRECT("Table1[Ende]"),"&gt;="&amp;BY$1,INDIRECT("Table1[Obergruppe ATC-Code]"),Tabelle3!$A36)</f>
        <v>0</v>
      </c>
      <c r="BZ36">
        <f ca="1">COUNTIFS(INDIRECT("Table1[Beginn]"),"&lt;="&amp;BZ$1,INDIRECT("Table1[Ende]"),"&gt;="&amp;BZ$1,INDIRECT("Table1[Obergruppe ATC-Code]"),Tabelle3!$A36)</f>
        <v>0</v>
      </c>
      <c r="CA36">
        <f ca="1">COUNTIFS(INDIRECT("Table1[Beginn]"),"&lt;="&amp;CA$1,INDIRECT("Table1[Ende]"),"&gt;="&amp;CA$1,INDIRECT("Table1[Obergruppe ATC-Code]"),Tabelle3!$A36)</f>
        <v>0</v>
      </c>
      <c r="CB36">
        <f ca="1">COUNTIFS(INDIRECT("Table1[Beginn]"),"&lt;="&amp;CB$1,INDIRECT("Table1[Ende]"),"&gt;="&amp;CB$1,INDIRECT("Table1[Obergruppe ATC-Code]"),Tabelle3!$A36)</f>
        <v>0</v>
      </c>
      <c r="CC36">
        <f ca="1">COUNTIFS(INDIRECT("Table1[Beginn]"),"&lt;="&amp;CC$1,INDIRECT("Table1[Ende]"),"&gt;="&amp;CC$1,INDIRECT("Table1[Obergruppe ATC-Code]"),Tabelle3!$A36)</f>
        <v>0</v>
      </c>
      <c r="CD36">
        <f ca="1">COUNTIFS(INDIRECT("Table1[Beginn]"),"&lt;="&amp;CD$1,INDIRECT("Table1[Ende]"),"&gt;="&amp;CD$1,INDIRECT("Table1[Obergruppe ATC-Code]"),Tabelle3!$A36)</f>
        <v>0</v>
      </c>
      <c r="CE36">
        <f ca="1">COUNTIFS(INDIRECT("Table1[Beginn]"),"&lt;="&amp;CE$1,INDIRECT("Table1[Ende]"),"&gt;="&amp;CE$1,INDIRECT("Table1[Obergruppe ATC-Code]"),Tabelle3!$A36)</f>
        <v>0</v>
      </c>
      <c r="CF36">
        <f ca="1">COUNTIFS(INDIRECT("Table1[Beginn]"),"&lt;="&amp;CF$1,INDIRECT("Table1[Ende]"),"&gt;="&amp;CF$1,INDIRECT("Table1[Obergruppe ATC-Code]"),Tabelle3!$A36)</f>
        <v>0</v>
      </c>
      <c r="CG36">
        <f ca="1">COUNTIFS(INDIRECT("Table1[Beginn]"),"&lt;="&amp;CG$1,INDIRECT("Table1[Ende]"),"&gt;="&amp;CG$1,INDIRECT("Table1[Obergruppe ATC-Code]"),Tabelle3!$A36)</f>
        <v>0</v>
      </c>
      <c r="CH36">
        <f ca="1">COUNTIFS(INDIRECT("Table1[Beginn]"),"&lt;="&amp;CH$1,INDIRECT("Table1[Ende]"),"&gt;="&amp;CH$1,INDIRECT("Table1[Obergruppe ATC-Code]"),Tabelle3!$A36)</f>
        <v>0</v>
      </c>
      <c r="CI36">
        <f ca="1">COUNTIFS(INDIRECT("Table1[Beginn]"),"&lt;="&amp;CI$1,INDIRECT("Table1[Ende]"),"&gt;="&amp;CI$1,INDIRECT("Table1[Obergruppe ATC-Code]"),Tabelle3!$A36)</f>
        <v>0</v>
      </c>
      <c r="CJ36">
        <f ca="1">COUNTIFS(INDIRECT("Table1[Beginn]"),"&lt;="&amp;CJ$1,INDIRECT("Table1[Ende]"),"&gt;="&amp;CJ$1,INDIRECT("Table1[Obergruppe ATC-Code]"),Tabelle3!$A36)</f>
        <v>0</v>
      </c>
      <c r="CK36">
        <f ca="1">COUNTIFS(INDIRECT("Table1[Beginn]"),"&lt;="&amp;CK$1,INDIRECT("Table1[Ende]"),"&gt;="&amp;CK$1,INDIRECT("Table1[Obergruppe ATC-Code]"),Tabelle3!$A36)</f>
        <v>0</v>
      </c>
      <c r="CL36">
        <f ca="1">COUNTIFS(INDIRECT("Table1[Beginn]"),"&lt;="&amp;CL$1,INDIRECT("Table1[Ende]"),"&gt;="&amp;CL$1,INDIRECT("Table1[Obergruppe ATC-Code]"),Tabelle3!$A36)</f>
        <v>0</v>
      </c>
      <c r="CM36">
        <f ca="1">COUNTIFS(INDIRECT("Table1[Beginn]"),"&lt;="&amp;CM$1,INDIRECT("Table1[Ende]"),"&gt;="&amp;CM$1,INDIRECT("Table1[Obergruppe ATC-Code]"),Tabelle3!$A36)</f>
        <v>0</v>
      </c>
      <c r="CN36">
        <f ca="1">COUNTIFS(INDIRECT("Table1[Beginn]"),"&lt;="&amp;CN$1,INDIRECT("Table1[Ende]"),"&gt;="&amp;CN$1,INDIRECT("Table1[Obergruppe ATC-Code]"),Tabelle3!$A36)</f>
        <v>0</v>
      </c>
      <c r="CO36">
        <f ca="1">COUNTIFS(INDIRECT("Table1[Beginn]"),"&lt;="&amp;CO$1,INDIRECT("Table1[Ende]"),"&gt;="&amp;CO$1,INDIRECT("Table1[Obergruppe ATC-Code]"),Tabelle3!$A36)</f>
        <v>0</v>
      </c>
      <c r="CP36">
        <f ca="1">COUNTIFS(INDIRECT("Table1[Beginn]"),"&lt;="&amp;CP$1,INDIRECT("Table1[Ende]"),"&gt;="&amp;CP$1,INDIRECT("Table1[Obergruppe ATC-Code]"),Tabelle3!$A36)</f>
        <v>0</v>
      </c>
      <c r="CQ36">
        <f ca="1">COUNTIFS(INDIRECT("Table1[Beginn]"),"&lt;="&amp;CQ$1,INDIRECT("Table1[Ende]"),"&gt;="&amp;CQ$1,INDIRECT("Table1[Obergruppe ATC-Code]"),Tabelle3!$A36)</f>
        <v>0</v>
      </c>
      <c r="CR36">
        <f ca="1">COUNTIFS(INDIRECT("Table1[Beginn]"),"&lt;="&amp;CR$1,INDIRECT("Table1[Ende]"),"&gt;="&amp;CR$1,INDIRECT("Table1[Obergruppe ATC-Code]"),Tabelle3!$A36)</f>
        <v>0</v>
      </c>
    </row>
    <row r="37" spans="1:96" ht="18">
      <c r="A37" s="9" t="s">
        <v>6843</v>
      </c>
      <c r="B37" s="10" t="s">
        <v>6844</v>
      </c>
      <c r="C37">
        <f ca="1">COUNTIFS(INDIRECT("Table1[Beginn]"),"&lt;="&amp;C$1,INDIRECT("Table1[Ende]"),"&gt;="&amp;C$1,INDIRECT("Table1[Obergruppe ATC-Code]"),Tabelle3!$A37)</f>
        <v>0</v>
      </c>
      <c r="D37">
        <f ca="1">COUNTIFS(INDIRECT("Table1[Beginn]"),"&lt;="&amp;D$1,INDIRECT("Table1[Ende]"),"&gt;="&amp;D$1,INDIRECT("Table1[Obergruppe ATC-Code]"),Tabelle3!$A37)</f>
        <v>0</v>
      </c>
      <c r="E37">
        <f ca="1">COUNTIFS(INDIRECT("Table1[Beginn]"),"&lt;="&amp;E$1,INDIRECT("Table1[Ende]"),"&gt;="&amp;E$1,INDIRECT("Table1[Obergruppe ATC-Code]"),Tabelle3!$A37)</f>
        <v>0</v>
      </c>
      <c r="F37">
        <f ca="1">COUNTIFS(INDIRECT("Table1[Beginn]"),"&lt;="&amp;F$1,INDIRECT("Table1[Ende]"),"&gt;="&amp;F$1,INDIRECT("Table1[Obergruppe ATC-Code]"),Tabelle3!$A37)</f>
        <v>0</v>
      </c>
      <c r="G37">
        <f ca="1">COUNTIFS(INDIRECT("Table1[Beginn]"),"&lt;="&amp;G$1,INDIRECT("Table1[Ende]"),"&gt;="&amp;G$1,INDIRECT("Table1[Obergruppe ATC-Code]"),Tabelle3!$A37)</f>
        <v>0</v>
      </c>
      <c r="H37">
        <f ca="1">COUNTIFS(INDIRECT("Table1[Beginn]"),"&lt;="&amp;H$1,INDIRECT("Table1[Ende]"),"&gt;="&amp;H$1,INDIRECT("Table1[Obergruppe ATC-Code]"),Tabelle3!$A37)</f>
        <v>0</v>
      </c>
      <c r="I37">
        <f ca="1">COUNTIFS(INDIRECT("Table1[Beginn]"),"&lt;="&amp;I$1,INDIRECT("Table1[Ende]"),"&gt;="&amp;I$1,INDIRECT("Table1[Obergruppe ATC-Code]"),Tabelle3!$A37)</f>
        <v>0</v>
      </c>
      <c r="J37">
        <f ca="1">COUNTIFS(INDIRECT("Table1[Beginn]"),"&lt;="&amp;J$1,INDIRECT("Table1[Ende]"),"&gt;="&amp;J$1,INDIRECT("Table1[Obergruppe ATC-Code]"),Tabelle3!$A37)</f>
        <v>0</v>
      </c>
      <c r="K37">
        <f ca="1">COUNTIFS(INDIRECT("Table1[Beginn]"),"&lt;="&amp;K$1,INDIRECT("Table1[Ende]"),"&gt;="&amp;K$1,INDIRECT("Table1[Obergruppe ATC-Code]"),Tabelle3!$A37)</f>
        <v>0</v>
      </c>
      <c r="L37">
        <f ca="1">COUNTIFS(INDIRECT("Table1[Beginn]"),"&lt;="&amp;L$1,INDIRECT("Table1[Ende]"),"&gt;="&amp;L$1,INDIRECT("Table1[Obergruppe ATC-Code]"),Tabelle3!$A37)</f>
        <v>0</v>
      </c>
      <c r="M37">
        <f ca="1">COUNTIFS(INDIRECT("Table1[Beginn]"),"&lt;="&amp;M$1,INDIRECT("Table1[Ende]"),"&gt;="&amp;M$1,INDIRECT("Table1[Obergruppe ATC-Code]"),Tabelle3!$A37)</f>
        <v>0</v>
      </c>
      <c r="N37">
        <f ca="1">COUNTIFS(INDIRECT("Table1[Beginn]"),"&lt;="&amp;N$1,INDIRECT("Table1[Ende]"),"&gt;="&amp;N$1,INDIRECT("Table1[Obergruppe ATC-Code]"),Tabelle3!$A37)</f>
        <v>0</v>
      </c>
      <c r="O37">
        <f ca="1">COUNTIFS(INDIRECT("Table1[Beginn]"),"&lt;="&amp;O$1,INDIRECT("Table1[Ende]"),"&gt;="&amp;O$1,INDIRECT("Table1[Obergruppe ATC-Code]"),Tabelle3!$A37)</f>
        <v>0</v>
      </c>
      <c r="P37">
        <f ca="1">COUNTIFS(INDIRECT("Table1[Beginn]"),"&lt;="&amp;P$1,INDIRECT("Table1[Ende]"),"&gt;="&amp;P$1,INDIRECT("Table1[Obergruppe ATC-Code]"),Tabelle3!$A37)</f>
        <v>0</v>
      </c>
      <c r="Q37">
        <f ca="1">COUNTIFS(INDIRECT("Table1[Beginn]"),"&lt;="&amp;Q$1,INDIRECT("Table1[Ende]"),"&gt;="&amp;Q$1,INDIRECT("Table1[Obergruppe ATC-Code]"),Tabelle3!$A37)</f>
        <v>0</v>
      </c>
      <c r="R37">
        <f ca="1">COUNTIFS(INDIRECT("Table1[Beginn]"),"&lt;="&amp;R$1,INDIRECT("Table1[Ende]"),"&gt;="&amp;R$1,INDIRECT("Table1[Obergruppe ATC-Code]"),Tabelle3!$A37)</f>
        <v>0</v>
      </c>
      <c r="S37">
        <f ca="1">COUNTIFS(INDIRECT("Table1[Beginn]"),"&lt;="&amp;S$1,INDIRECT("Table1[Ende]"),"&gt;="&amp;S$1,INDIRECT("Table1[Obergruppe ATC-Code]"),Tabelle3!$A37)</f>
        <v>0</v>
      </c>
      <c r="T37">
        <f ca="1">COUNTIFS(INDIRECT("Table1[Beginn]"),"&lt;="&amp;T$1,INDIRECT("Table1[Ende]"),"&gt;="&amp;T$1,INDIRECT("Table1[Obergruppe ATC-Code]"),Tabelle3!$A37)</f>
        <v>0</v>
      </c>
      <c r="U37">
        <f ca="1">COUNTIFS(INDIRECT("Table1[Beginn]"),"&lt;="&amp;U$1,INDIRECT("Table1[Ende]"),"&gt;="&amp;U$1,INDIRECT("Table1[Obergruppe ATC-Code]"),Tabelle3!$A37)</f>
        <v>0</v>
      </c>
      <c r="V37">
        <f ca="1">COUNTIFS(INDIRECT("Table1[Beginn]"),"&lt;="&amp;V$1,INDIRECT("Table1[Ende]"),"&gt;="&amp;V$1,INDIRECT("Table1[Obergruppe ATC-Code]"),Tabelle3!$A37)</f>
        <v>0</v>
      </c>
      <c r="W37">
        <f ca="1">COUNTIFS(INDIRECT("Table1[Beginn]"),"&lt;="&amp;W$1,INDIRECT("Table1[Ende]"),"&gt;="&amp;W$1,INDIRECT("Table1[Obergruppe ATC-Code]"),Tabelle3!$A37)</f>
        <v>0</v>
      </c>
      <c r="X37">
        <f ca="1">COUNTIFS(INDIRECT("Table1[Beginn]"),"&lt;="&amp;X$1,INDIRECT("Table1[Ende]"),"&gt;="&amp;X$1,INDIRECT("Table1[Obergruppe ATC-Code]"),Tabelle3!$A37)</f>
        <v>0</v>
      </c>
      <c r="Y37">
        <f ca="1">COUNTIFS(INDIRECT("Table1[Beginn]"),"&lt;="&amp;Y$1,INDIRECT("Table1[Ende]"),"&gt;="&amp;Y$1,INDIRECT("Table1[Obergruppe ATC-Code]"),Tabelle3!$A37)</f>
        <v>0</v>
      </c>
      <c r="Z37">
        <f ca="1">COUNTIFS(INDIRECT("Table1[Beginn]"),"&lt;="&amp;Z$1,INDIRECT("Table1[Ende]"),"&gt;="&amp;Z$1,INDIRECT("Table1[Obergruppe ATC-Code]"),Tabelle3!$A37)</f>
        <v>0</v>
      </c>
      <c r="AA37">
        <f ca="1">COUNTIFS(INDIRECT("Table1[Beginn]"),"&lt;="&amp;AA$1,INDIRECT("Table1[Ende]"),"&gt;="&amp;AA$1,INDIRECT("Table1[Obergruppe ATC-Code]"),Tabelle3!$A37)</f>
        <v>0</v>
      </c>
      <c r="AB37">
        <f ca="1">COUNTIFS(INDIRECT("Table1[Beginn]"),"&lt;="&amp;AB$1,INDIRECT("Table1[Ende]"),"&gt;="&amp;AB$1,INDIRECT("Table1[Obergruppe ATC-Code]"),Tabelle3!$A37)</f>
        <v>0</v>
      </c>
      <c r="AC37">
        <f ca="1">COUNTIFS(INDIRECT("Table1[Beginn]"),"&lt;="&amp;AC$1,INDIRECT("Table1[Ende]"),"&gt;="&amp;AC$1,INDIRECT("Table1[Obergruppe ATC-Code]"),Tabelle3!$A37)</f>
        <v>1</v>
      </c>
      <c r="AD37">
        <f ca="1">COUNTIFS(INDIRECT("Table1[Beginn]"),"&lt;="&amp;AD$1,INDIRECT("Table1[Ende]"),"&gt;="&amp;AD$1,INDIRECT("Table1[Obergruppe ATC-Code]"),Tabelle3!$A37)</f>
        <v>1</v>
      </c>
      <c r="AE37">
        <f ca="1">COUNTIFS(INDIRECT("Table1[Beginn]"),"&lt;="&amp;AE$1,INDIRECT("Table1[Ende]"),"&gt;="&amp;AE$1,INDIRECT("Table1[Obergruppe ATC-Code]"),Tabelle3!$A37)</f>
        <v>1</v>
      </c>
      <c r="AF37">
        <f ca="1">COUNTIFS(INDIRECT("Table1[Beginn]"),"&lt;="&amp;AF$1,INDIRECT("Table1[Ende]"),"&gt;="&amp;AF$1,INDIRECT("Table1[Obergruppe ATC-Code]"),Tabelle3!$A37)</f>
        <v>1</v>
      </c>
      <c r="AG37">
        <f ca="1">COUNTIFS(INDIRECT("Table1[Beginn]"),"&lt;="&amp;AG$1,INDIRECT("Table1[Ende]"),"&gt;="&amp;AG$1,INDIRECT("Table1[Obergruppe ATC-Code]"),Tabelle3!$A37)</f>
        <v>1</v>
      </c>
      <c r="AH37">
        <f ca="1">COUNTIFS(INDIRECT("Table1[Beginn]"),"&lt;="&amp;AH$1,INDIRECT("Table1[Ende]"),"&gt;="&amp;AH$1,INDIRECT("Table1[Obergruppe ATC-Code]"),Tabelle3!$A37)</f>
        <v>0</v>
      </c>
      <c r="AI37">
        <f ca="1">COUNTIFS(INDIRECT("Table1[Beginn]"),"&lt;="&amp;AI$1,INDIRECT("Table1[Ende]"),"&gt;="&amp;AI$1,INDIRECT("Table1[Obergruppe ATC-Code]"),Tabelle3!$A37)</f>
        <v>0</v>
      </c>
      <c r="AJ37">
        <f ca="1">COUNTIFS(INDIRECT("Table1[Beginn]"),"&lt;="&amp;AJ$1,INDIRECT("Table1[Ende]"),"&gt;="&amp;AJ$1,INDIRECT("Table1[Obergruppe ATC-Code]"),Tabelle3!$A37)</f>
        <v>0</v>
      </c>
      <c r="AK37">
        <f ca="1">COUNTIFS(INDIRECT("Table1[Beginn]"),"&lt;="&amp;AK$1,INDIRECT("Table1[Ende]"),"&gt;="&amp;AK$1,INDIRECT("Table1[Obergruppe ATC-Code]"),Tabelle3!$A37)</f>
        <v>0</v>
      </c>
      <c r="AL37">
        <f ca="1">COUNTIFS(INDIRECT("Table1[Beginn]"),"&lt;="&amp;AL$1,INDIRECT("Table1[Ende]"),"&gt;="&amp;AL$1,INDIRECT("Table1[Obergruppe ATC-Code]"),Tabelle3!$A37)</f>
        <v>0</v>
      </c>
      <c r="AM37">
        <f ca="1">COUNTIFS(INDIRECT("Table1[Beginn]"),"&lt;="&amp;AM$1,INDIRECT("Table1[Ende]"),"&gt;="&amp;AM$1,INDIRECT("Table1[Obergruppe ATC-Code]"),Tabelle3!$A37)</f>
        <v>0</v>
      </c>
      <c r="AN37">
        <f ca="1">COUNTIFS(INDIRECT("Table1[Beginn]"),"&lt;="&amp;AN$1,INDIRECT("Table1[Ende]"),"&gt;="&amp;AN$1,INDIRECT("Table1[Obergruppe ATC-Code]"),Tabelle3!$A37)</f>
        <v>0</v>
      </c>
      <c r="AO37">
        <f ca="1">COUNTIFS(INDIRECT("Table1[Beginn]"),"&lt;="&amp;AO$1,INDIRECT("Table1[Ende]"),"&gt;="&amp;AO$1,INDIRECT("Table1[Obergruppe ATC-Code]"),Tabelle3!$A37)</f>
        <v>0</v>
      </c>
      <c r="AP37">
        <f ca="1">COUNTIFS(INDIRECT("Table1[Beginn]"),"&lt;="&amp;AP$1,INDIRECT("Table1[Ende]"),"&gt;="&amp;AP$1,INDIRECT("Table1[Obergruppe ATC-Code]"),Tabelle3!$A37)</f>
        <v>0</v>
      </c>
      <c r="AQ37">
        <f ca="1">COUNTIFS(INDIRECT("Table1[Beginn]"),"&lt;="&amp;AQ$1,INDIRECT("Table1[Ende]"),"&gt;="&amp;AQ$1,INDIRECT("Table1[Obergruppe ATC-Code]"),Tabelle3!$A37)</f>
        <v>0</v>
      </c>
      <c r="AR37">
        <f ca="1">COUNTIFS(INDIRECT("Table1[Beginn]"),"&lt;="&amp;AR$1,INDIRECT("Table1[Ende]"),"&gt;="&amp;AR$1,INDIRECT("Table1[Obergruppe ATC-Code]"),Tabelle3!$A37)</f>
        <v>0</v>
      </c>
      <c r="AS37">
        <f ca="1">COUNTIFS(INDIRECT("Table1[Beginn]"),"&lt;="&amp;AS$1,INDIRECT("Table1[Ende]"),"&gt;="&amp;AS$1,INDIRECT("Table1[Obergruppe ATC-Code]"),Tabelle3!$A37)</f>
        <v>0</v>
      </c>
      <c r="AT37">
        <f ca="1">COUNTIFS(INDIRECT("Table1[Beginn]"),"&lt;="&amp;AT$1,INDIRECT("Table1[Ende]"),"&gt;="&amp;AT$1,INDIRECT("Table1[Obergruppe ATC-Code]"),Tabelle3!$A37)</f>
        <v>0</v>
      </c>
      <c r="AU37">
        <f ca="1">COUNTIFS(INDIRECT("Table1[Beginn]"),"&lt;="&amp;AU$1,INDIRECT("Table1[Ende]"),"&gt;="&amp;AU$1,INDIRECT("Table1[Obergruppe ATC-Code]"),Tabelle3!$A37)</f>
        <v>0</v>
      </c>
      <c r="AV37">
        <f ca="1">COUNTIFS(INDIRECT("Table1[Beginn]"),"&lt;="&amp;AV$1,INDIRECT("Table1[Ende]"),"&gt;="&amp;AV$1,INDIRECT("Table1[Obergruppe ATC-Code]"),Tabelle3!$A37)</f>
        <v>0</v>
      </c>
      <c r="AW37">
        <f ca="1">COUNTIFS(INDIRECT("Table1[Beginn]"),"&lt;="&amp;AW$1,INDIRECT("Table1[Ende]"),"&gt;="&amp;AW$1,INDIRECT("Table1[Obergruppe ATC-Code]"),Tabelle3!$A37)</f>
        <v>0</v>
      </c>
      <c r="AX37">
        <f ca="1">COUNTIFS(INDIRECT("Table1[Beginn]"),"&lt;="&amp;AX$1,INDIRECT("Table1[Ende]"),"&gt;="&amp;AX$1,INDIRECT("Table1[Obergruppe ATC-Code]"),Tabelle3!$A37)</f>
        <v>0</v>
      </c>
      <c r="AY37">
        <f ca="1">COUNTIFS(INDIRECT("Table1[Beginn]"),"&lt;="&amp;AY$1,INDIRECT("Table1[Ende]"),"&gt;="&amp;AY$1,INDIRECT("Table1[Obergruppe ATC-Code]"),Tabelle3!$A37)</f>
        <v>0</v>
      </c>
      <c r="AZ37">
        <f ca="1">COUNTIFS(INDIRECT("Table1[Beginn]"),"&lt;="&amp;AZ$1,INDIRECT("Table1[Ende]"),"&gt;="&amp;AZ$1,INDIRECT("Table1[Obergruppe ATC-Code]"),Tabelle3!$A37)</f>
        <v>0</v>
      </c>
      <c r="BA37">
        <f ca="1">COUNTIFS(INDIRECT("Table1[Beginn]"),"&lt;="&amp;BA$1,INDIRECT("Table1[Ende]"),"&gt;="&amp;BA$1,INDIRECT("Table1[Obergruppe ATC-Code]"),Tabelle3!$A37)</f>
        <v>1</v>
      </c>
      <c r="BB37">
        <f ca="1">COUNTIFS(INDIRECT("Table1[Beginn]"),"&lt;="&amp;BB$1,INDIRECT("Table1[Ende]"),"&gt;="&amp;BB$1,INDIRECT("Table1[Obergruppe ATC-Code]"),Tabelle3!$A37)</f>
        <v>1</v>
      </c>
      <c r="BC37">
        <f ca="1">COUNTIFS(INDIRECT("Table1[Beginn]"),"&lt;="&amp;BC$1,INDIRECT("Table1[Ende]"),"&gt;="&amp;BC$1,INDIRECT("Table1[Obergruppe ATC-Code]"),Tabelle3!$A37)</f>
        <v>1</v>
      </c>
      <c r="BD37">
        <f ca="1">COUNTIFS(INDIRECT("Table1[Beginn]"),"&lt;="&amp;BD$1,INDIRECT("Table1[Ende]"),"&gt;="&amp;BD$1,INDIRECT("Table1[Obergruppe ATC-Code]"),Tabelle3!$A37)</f>
        <v>1</v>
      </c>
      <c r="BE37">
        <f ca="1">COUNTIFS(INDIRECT("Table1[Beginn]"),"&lt;="&amp;BE$1,INDIRECT("Table1[Ende]"),"&gt;="&amp;BE$1,INDIRECT("Table1[Obergruppe ATC-Code]"),Tabelle3!$A37)</f>
        <v>1</v>
      </c>
      <c r="BF37">
        <f ca="1">COUNTIFS(INDIRECT("Table1[Beginn]"),"&lt;="&amp;BF$1,INDIRECT("Table1[Ende]"),"&gt;="&amp;BF$1,INDIRECT("Table1[Obergruppe ATC-Code]"),Tabelle3!$A37)</f>
        <v>1</v>
      </c>
      <c r="BG37">
        <f ca="1">COUNTIFS(INDIRECT("Table1[Beginn]"),"&lt;="&amp;BG$1,INDIRECT("Table1[Ende]"),"&gt;="&amp;BG$1,INDIRECT("Table1[Obergruppe ATC-Code]"),Tabelle3!$A37)</f>
        <v>1</v>
      </c>
      <c r="BH37">
        <f ca="1">COUNTIFS(INDIRECT("Table1[Beginn]"),"&lt;="&amp;BH$1,INDIRECT("Table1[Ende]"),"&gt;="&amp;BH$1,INDIRECT("Table1[Obergruppe ATC-Code]"),Tabelle3!$A37)</f>
        <v>0</v>
      </c>
      <c r="BI37">
        <f ca="1">COUNTIFS(INDIRECT("Table1[Beginn]"),"&lt;="&amp;BI$1,INDIRECT("Table1[Ende]"),"&gt;="&amp;BI$1,INDIRECT("Table1[Obergruppe ATC-Code]"),Tabelle3!$A37)</f>
        <v>0</v>
      </c>
      <c r="BJ37">
        <f ca="1">COUNTIFS(INDIRECT("Table1[Beginn]"),"&lt;="&amp;BJ$1,INDIRECT("Table1[Ende]"),"&gt;="&amp;BJ$1,INDIRECT("Table1[Obergruppe ATC-Code]"),Tabelle3!$A37)</f>
        <v>0</v>
      </c>
      <c r="BK37">
        <f ca="1">COUNTIFS(INDIRECT("Table1[Beginn]"),"&lt;="&amp;BK$1,INDIRECT("Table1[Ende]"),"&gt;="&amp;BK$1,INDIRECT("Table1[Obergruppe ATC-Code]"),Tabelle3!$A37)</f>
        <v>1</v>
      </c>
      <c r="BL37">
        <f ca="1">COUNTIFS(INDIRECT("Table1[Beginn]"),"&lt;="&amp;BL$1,INDIRECT("Table1[Ende]"),"&gt;="&amp;BL$1,INDIRECT("Table1[Obergruppe ATC-Code]"),Tabelle3!$A37)</f>
        <v>1</v>
      </c>
      <c r="BM37">
        <f ca="1">COUNTIFS(INDIRECT("Table1[Beginn]"),"&lt;="&amp;BM$1,INDIRECT("Table1[Ende]"),"&gt;="&amp;BM$1,INDIRECT("Table1[Obergruppe ATC-Code]"),Tabelle3!$A37)</f>
        <v>0</v>
      </c>
      <c r="BN37">
        <f ca="1">COUNTIFS(INDIRECT("Table1[Beginn]"),"&lt;="&amp;BN$1,INDIRECT("Table1[Ende]"),"&gt;="&amp;BN$1,INDIRECT("Table1[Obergruppe ATC-Code]"),Tabelle3!$A37)</f>
        <v>0</v>
      </c>
      <c r="BO37">
        <f ca="1">COUNTIFS(INDIRECT("Table1[Beginn]"),"&lt;="&amp;BO$1,INDIRECT("Table1[Ende]"),"&gt;="&amp;BO$1,INDIRECT("Table1[Obergruppe ATC-Code]"),Tabelle3!$A37)</f>
        <v>0</v>
      </c>
      <c r="BP37">
        <f ca="1">COUNTIFS(INDIRECT("Table1[Beginn]"),"&lt;="&amp;BP$1,INDIRECT("Table1[Ende]"),"&gt;="&amp;BP$1,INDIRECT("Table1[Obergruppe ATC-Code]"),Tabelle3!$A37)</f>
        <v>0</v>
      </c>
      <c r="BQ37">
        <f ca="1">COUNTIFS(INDIRECT("Table1[Beginn]"),"&lt;="&amp;BQ$1,INDIRECT("Table1[Ende]"),"&gt;="&amp;BQ$1,INDIRECT("Table1[Obergruppe ATC-Code]"),Tabelle3!$A37)</f>
        <v>0</v>
      </c>
      <c r="BR37">
        <f ca="1">COUNTIFS(INDIRECT("Table1[Beginn]"),"&lt;="&amp;BR$1,INDIRECT("Table1[Ende]"),"&gt;="&amp;BR$1,INDIRECT("Table1[Obergruppe ATC-Code]"),Tabelle3!$A37)</f>
        <v>1</v>
      </c>
      <c r="BS37">
        <f ca="1">COUNTIFS(INDIRECT("Table1[Beginn]"),"&lt;="&amp;BS$1,INDIRECT("Table1[Ende]"),"&gt;="&amp;BS$1,INDIRECT("Table1[Obergruppe ATC-Code]"),Tabelle3!$A37)</f>
        <v>1</v>
      </c>
      <c r="BT37">
        <f ca="1">COUNTIFS(INDIRECT("Table1[Beginn]"),"&lt;="&amp;BT$1,INDIRECT("Table1[Ende]"),"&gt;="&amp;BT$1,INDIRECT("Table1[Obergruppe ATC-Code]"),Tabelle3!$A37)</f>
        <v>1</v>
      </c>
      <c r="BU37">
        <f ca="1">COUNTIFS(INDIRECT("Table1[Beginn]"),"&lt;="&amp;BU$1,INDIRECT("Table1[Ende]"),"&gt;="&amp;BU$1,INDIRECT("Table1[Obergruppe ATC-Code]"),Tabelle3!$A37)</f>
        <v>0</v>
      </c>
      <c r="BV37">
        <f ca="1">COUNTIFS(INDIRECT("Table1[Beginn]"),"&lt;="&amp;BV$1,INDIRECT("Table1[Ende]"),"&gt;="&amp;BV$1,INDIRECT("Table1[Obergruppe ATC-Code]"),Tabelle3!$A37)</f>
        <v>0</v>
      </c>
      <c r="BW37">
        <f ca="1">COUNTIFS(INDIRECT("Table1[Beginn]"),"&lt;="&amp;BW$1,INDIRECT("Table1[Ende]"),"&gt;="&amp;BW$1,INDIRECT("Table1[Obergruppe ATC-Code]"),Tabelle3!$A37)</f>
        <v>0</v>
      </c>
      <c r="BX37">
        <f ca="1">COUNTIFS(INDIRECT("Table1[Beginn]"),"&lt;="&amp;BX$1,INDIRECT("Table1[Ende]"),"&gt;="&amp;BX$1,INDIRECT("Table1[Obergruppe ATC-Code]"),Tabelle3!$A37)</f>
        <v>0</v>
      </c>
      <c r="BY37">
        <f ca="1">COUNTIFS(INDIRECT("Table1[Beginn]"),"&lt;="&amp;BY$1,INDIRECT("Table1[Ende]"),"&gt;="&amp;BY$1,INDIRECT("Table1[Obergruppe ATC-Code]"),Tabelle3!$A37)</f>
        <v>0</v>
      </c>
      <c r="BZ37">
        <f ca="1">COUNTIFS(INDIRECT("Table1[Beginn]"),"&lt;="&amp;BZ$1,INDIRECT("Table1[Ende]"),"&gt;="&amp;BZ$1,INDIRECT("Table1[Obergruppe ATC-Code]"),Tabelle3!$A37)</f>
        <v>0</v>
      </c>
      <c r="CA37">
        <f ca="1">COUNTIFS(INDIRECT("Table1[Beginn]"),"&lt;="&amp;CA$1,INDIRECT("Table1[Ende]"),"&gt;="&amp;CA$1,INDIRECT("Table1[Obergruppe ATC-Code]"),Tabelle3!$A37)</f>
        <v>0</v>
      </c>
      <c r="CB37">
        <f ca="1">COUNTIFS(INDIRECT("Table1[Beginn]"),"&lt;="&amp;CB$1,INDIRECT("Table1[Ende]"),"&gt;="&amp;CB$1,INDIRECT("Table1[Obergruppe ATC-Code]"),Tabelle3!$A37)</f>
        <v>0</v>
      </c>
      <c r="CC37">
        <f ca="1">COUNTIFS(INDIRECT("Table1[Beginn]"),"&lt;="&amp;CC$1,INDIRECT("Table1[Ende]"),"&gt;="&amp;CC$1,INDIRECT("Table1[Obergruppe ATC-Code]"),Tabelle3!$A37)</f>
        <v>0</v>
      </c>
      <c r="CD37">
        <f ca="1">COUNTIFS(INDIRECT("Table1[Beginn]"),"&lt;="&amp;CD$1,INDIRECT("Table1[Ende]"),"&gt;="&amp;CD$1,INDIRECT("Table1[Obergruppe ATC-Code]"),Tabelle3!$A37)</f>
        <v>0</v>
      </c>
      <c r="CE37">
        <f ca="1">COUNTIFS(INDIRECT("Table1[Beginn]"),"&lt;="&amp;CE$1,INDIRECT("Table1[Ende]"),"&gt;="&amp;CE$1,INDIRECT("Table1[Obergruppe ATC-Code]"),Tabelle3!$A37)</f>
        <v>0</v>
      </c>
      <c r="CF37">
        <f ca="1">COUNTIFS(INDIRECT("Table1[Beginn]"),"&lt;="&amp;CF$1,INDIRECT("Table1[Ende]"),"&gt;="&amp;CF$1,INDIRECT("Table1[Obergruppe ATC-Code]"),Tabelle3!$A37)</f>
        <v>0</v>
      </c>
      <c r="CG37">
        <f ca="1">COUNTIFS(INDIRECT("Table1[Beginn]"),"&lt;="&amp;CG$1,INDIRECT("Table1[Ende]"),"&gt;="&amp;CG$1,INDIRECT("Table1[Obergruppe ATC-Code]"),Tabelle3!$A37)</f>
        <v>0</v>
      </c>
      <c r="CH37">
        <f ca="1">COUNTIFS(INDIRECT("Table1[Beginn]"),"&lt;="&amp;CH$1,INDIRECT("Table1[Ende]"),"&gt;="&amp;CH$1,INDIRECT("Table1[Obergruppe ATC-Code]"),Tabelle3!$A37)</f>
        <v>0</v>
      </c>
      <c r="CI37">
        <f ca="1">COUNTIFS(INDIRECT("Table1[Beginn]"),"&lt;="&amp;CI$1,INDIRECT("Table1[Ende]"),"&gt;="&amp;CI$1,INDIRECT("Table1[Obergruppe ATC-Code]"),Tabelle3!$A37)</f>
        <v>0</v>
      </c>
      <c r="CJ37">
        <f ca="1">COUNTIFS(INDIRECT("Table1[Beginn]"),"&lt;="&amp;CJ$1,INDIRECT("Table1[Ende]"),"&gt;="&amp;CJ$1,INDIRECT("Table1[Obergruppe ATC-Code]"),Tabelle3!$A37)</f>
        <v>0</v>
      </c>
      <c r="CK37">
        <f ca="1">COUNTIFS(INDIRECT("Table1[Beginn]"),"&lt;="&amp;CK$1,INDIRECT("Table1[Ende]"),"&gt;="&amp;CK$1,INDIRECT("Table1[Obergruppe ATC-Code]"),Tabelle3!$A37)</f>
        <v>0</v>
      </c>
      <c r="CL37">
        <f ca="1">COUNTIFS(INDIRECT("Table1[Beginn]"),"&lt;="&amp;CL$1,INDIRECT("Table1[Ende]"),"&gt;="&amp;CL$1,INDIRECT("Table1[Obergruppe ATC-Code]"),Tabelle3!$A37)</f>
        <v>0</v>
      </c>
      <c r="CM37">
        <f ca="1">COUNTIFS(INDIRECT("Table1[Beginn]"),"&lt;="&amp;CM$1,INDIRECT("Table1[Ende]"),"&gt;="&amp;CM$1,INDIRECT("Table1[Obergruppe ATC-Code]"),Tabelle3!$A37)</f>
        <v>0</v>
      </c>
      <c r="CN37">
        <f ca="1">COUNTIFS(INDIRECT("Table1[Beginn]"),"&lt;="&amp;CN$1,INDIRECT("Table1[Ende]"),"&gt;="&amp;CN$1,INDIRECT("Table1[Obergruppe ATC-Code]"),Tabelle3!$A37)</f>
        <v>0</v>
      </c>
      <c r="CO37">
        <f ca="1">COUNTIFS(INDIRECT("Table1[Beginn]"),"&lt;="&amp;CO$1,INDIRECT("Table1[Ende]"),"&gt;="&amp;CO$1,INDIRECT("Table1[Obergruppe ATC-Code]"),Tabelle3!$A37)</f>
        <v>0</v>
      </c>
      <c r="CP37">
        <f ca="1">COUNTIFS(INDIRECT("Table1[Beginn]"),"&lt;="&amp;CP$1,INDIRECT("Table1[Ende]"),"&gt;="&amp;CP$1,INDIRECT("Table1[Obergruppe ATC-Code]"),Tabelle3!$A37)</f>
        <v>0</v>
      </c>
      <c r="CQ37">
        <f ca="1">COUNTIFS(INDIRECT("Table1[Beginn]"),"&lt;="&amp;CQ$1,INDIRECT("Table1[Ende]"),"&gt;="&amp;CQ$1,INDIRECT("Table1[Obergruppe ATC-Code]"),Tabelle3!$A37)</f>
        <v>0</v>
      </c>
      <c r="CR37">
        <f ca="1">COUNTIFS(INDIRECT("Table1[Beginn]"),"&lt;="&amp;CR$1,INDIRECT("Table1[Ende]"),"&gt;="&amp;CR$1,INDIRECT("Table1[Obergruppe ATC-Code]"),Tabelle3!$A37)</f>
        <v>0</v>
      </c>
    </row>
    <row r="38" spans="1:96" ht="18">
      <c r="A38" s="7" t="s">
        <v>6845</v>
      </c>
      <c r="B38" s="8" t="s">
        <v>6846</v>
      </c>
      <c r="C38">
        <f ca="1">COUNTIFS(INDIRECT("Table1[Beginn]"),"&lt;="&amp;C$1,INDIRECT("Table1[Ende]"),"&gt;="&amp;C$1,INDIRECT("Table1[Obergruppe ATC-Code]"),Tabelle3!$A38)</f>
        <v>0</v>
      </c>
      <c r="D38">
        <f ca="1">COUNTIFS(INDIRECT("Table1[Beginn]"),"&lt;="&amp;D$1,INDIRECT("Table1[Ende]"),"&gt;="&amp;D$1,INDIRECT("Table1[Obergruppe ATC-Code]"),Tabelle3!$A38)</f>
        <v>0</v>
      </c>
      <c r="E38">
        <f ca="1">COUNTIFS(INDIRECT("Table1[Beginn]"),"&lt;="&amp;E$1,INDIRECT("Table1[Ende]"),"&gt;="&amp;E$1,INDIRECT("Table1[Obergruppe ATC-Code]"),Tabelle3!$A38)</f>
        <v>0</v>
      </c>
      <c r="F38">
        <f ca="1">COUNTIFS(INDIRECT("Table1[Beginn]"),"&lt;="&amp;F$1,INDIRECT("Table1[Ende]"),"&gt;="&amp;F$1,INDIRECT("Table1[Obergruppe ATC-Code]"),Tabelle3!$A38)</f>
        <v>0</v>
      </c>
      <c r="G38">
        <f ca="1">COUNTIFS(INDIRECT("Table1[Beginn]"),"&lt;="&amp;G$1,INDIRECT("Table1[Ende]"),"&gt;="&amp;G$1,INDIRECT("Table1[Obergruppe ATC-Code]"),Tabelle3!$A38)</f>
        <v>0</v>
      </c>
      <c r="H38">
        <f ca="1">COUNTIFS(INDIRECT("Table1[Beginn]"),"&lt;="&amp;H$1,INDIRECT("Table1[Ende]"),"&gt;="&amp;H$1,INDIRECT("Table1[Obergruppe ATC-Code]"),Tabelle3!$A38)</f>
        <v>0</v>
      </c>
      <c r="I38">
        <f ca="1">COUNTIFS(INDIRECT("Table1[Beginn]"),"&lt;="&amp;I$1,INDIRECT("Table1[Ende]"),"&gt;="&amp;I$1,INDIRECT("Table1[Obergruppe ATC-Code]"),Tabelle3!$A38)</f>
        <v>0</v>
      </c>
      <c r="J38">
        <f ca="1">COUNTIFS(INDIRECT("Table1[Beginn]"),"&lt;="&amp;J$1,INDIRECT("Table1[Ende]"),"&gt;="&amp;J$1,INDIRECT("Table1[Obergruppe ATC-Code]"),Tabelle3!$A38)</f>
        <v>0</v>
      </c>
      <c r="K38">
        <f ca="1">COUNTIFS(INDIRECT("Table1[Beginn]"),"&lt;="&amp;K$1,INDIRECT("Table1[Ende]"),"&gt;="&amp;K$1,INDIRECT("Table1[Obergruppe ATC-Code]"),Tabelle3!$A38)</f>
        <v>0</v>
      </c>
      <c r="L38">
        <f ca="1">COUNTIFS(INDIRECT("Table1[Beginn]"),"&lt;="&amp;L$1,INDIRECT("Table1[Ende]"),"&gt;="&amp;L$1,INDIRECT("Table1[Obergruppe ATC-Code]"),Tabelle3!$A38)</f>
        <v>0</v>
      </c>
      <c r="M38">
        <f ca="1">COUNTIFS(INDIRECT("Table1[Beginn]"),"&lt;="&amp;M$1,INDIRECT("Table1[Ende]"),"&gt;="&amp;M$1,INDIRECT("Table1[Obergruppe ATC-Code]"),Tabelle3!$A38)</f>
        <v>0</v>
      </c>
      <c r="N38">
        <f ca="1">COUNTIFS(INDIRECT("Table1[Beginn]"),"&lt;="&amp;N$1,INDIRECT("Table1[Ende]"),"&gt;="&amp;N$1,INDIRECT("Table1[Obergruppe ATC-Code]"),Tabelle3!$A38)</f>
        <v>0</v>
      </c>
      <c r="O38">
        <f ca="1">COUNTIFS(INDIRECT("Table1[Beginn]"),"&lt;="&amp;O$1,INDIRECT("Table1[Ende]"),"&gt;="&amp;O$1,INDIRECT("Table1[Obergruppe ATC-Code]"),Tabelle3!$A38)</f>
        <v>0</v>
      </c>
      <c r="P38">
        <f ca="1">COUNTIFS(INDIRECT("Table1[Beginn]"),"&lt;="&amp;P$1,INDIRECT("Table1[Ende]"),"&gt;="&amp;P$1,INDIRECT("Table1[Obergruppe ATC-Code]"),Tabelle3!$A38)</f>
        <v>0</v>
      </c>
      <c r="Q38">
        <f ca="1">COUNTIFS(INDIRECT("Table1[Beginn]"),"&lt;="&amp;Q$1,INDIRECT("Table1[Ende]"),"&gt;="&amp;Q$1,INDIRECT("Table1[Obergruppe ATC-Code]"),Tabelle3!$A38)</f>
        <v>0</v>
      </c>
      <c r="R38">
        <f ca="1">COUNTIFS(INDIRECT("Table1[Beginn]"),"&lt;="&amp;R$1,INDIRECT("Table1[Ende]"),"&gt;="&amp;R$1,INDIRECT("Table1[Obergruppe ATC-Code]"),Tabelle3!$A38)</f>
        <v>0</v>
      </c>
      <c r="S38">
        <f ca="1">COUNTIFS(INDIRECT("Table1[Beginn]"),"&lt;="&amp;S$1,INDIRECT("Table1[Ende]"),"&gt;="&amp;S$1,INDIRECT("Table1[Obergruppe ATC-Code]"),Tabelle3!$A38)</f>
        <v>0</v>
      </c>
      <c r="T38">
        <f ca="1">COUNTIFS(INDIRECT("Table1[Beginn]"),"&lt;="&amp;T$1,INDIRECT("Table1[Ende]"),"&gt;="&amp;T$1,INDIRECT("Table1[Obergruppe ATC-Code]"),Tabelle3!$A38)</f>
        <v>0</v>
      </c>
      <c r="U38">
        <f ca="1">COUNTIFS(INDIRECT("Table1[Beginn]"),"&lt;="&amp;U$1,INDIRECT("Table1[Ende]"),"&gt;="&amp;U$1,INDIRECT("Table1[Obergruppe ATC-Code]"),Tabelle3!$A38)</f>
        <v>0</v>
      </c>
      <c r="V38">
        <f ca="1">COUNTIFS(INDIRECT("Table1[Beginn]"),"&lt;="&amp;V$1,INDIRECT("Table1[Ende]"),"&gt;="&amp;V$1,INDIRECT("Table1[Obergruppe ATC-Code]"),Tabelle3!$A38)</f>
        <v>0</v>
      </c>
      <c r="W38">
        <f ca="1">COUNTIFS(INDIRECT("Table1[Beginn]"),"&lt;="&amp;W$1,INDIRECT("Table1[Ende]"),"&gt;="&amp;W$1,INDIRECT("Table1[Obergruppe ATC-Code]"),Tabelle3!$A38)</f>
        <v>0</v>
      </c>
      <c r="X38">
        <f ca="1">COUNTIFS(INDIRECT("Table1[Beginn]"),"&lt;="&amp;X$1,INDIRECT("Table1[Ende]"),"&gt;="&amp;X$1,INDIRECT("Table1[Obergruppe ATC-Code]"),Tabelle3!$A38)</f>
        <v>0</v>
      </c>
      <c r="Y38">
        <f ca="1">COUNTIFS(INDIRECT("Table1[Beginn]"),"&lt;="&amp;Y$1,INDIRECT("Table1[Ende]"),"&gt;="&amp;Y$1,INDIRECT("Table1[Obergruppe ATC-Code]"),Tabelle3!$A38)</f>
        <v>0</v>
      </c>
      <c r="Z38">
        <f ca="1">COUNTIFS(INDIRECT("Table1[Beginn]"),"&lt;="&amp;Z$1,INDIRECT("Table1[Ende]"),"&gt;="&amp;Z$1,INDIRECT("Table1[Obergruppe ATC-Code]"),Tabelle3!$A38)</f>
        <v>0</v>
      </c>
      <c r="AA38">
        <f ca="1">COUNTIFS(INDIRECT("Table1[Beginn]"),"&lt;="&amp;AA$1,INDIRECT("Table1[Ende]"),"&gt;="&amp;AA$1,INDIRECT("Table1[Obergruppe ATC-Code]"),Tabelle3!$A38)</f>
        <v>0</v>
      </c>
      <c r="AB38">
        <f ca="1">COUNTIFS(INDIRECT("Table1[Beginn]"),"&lt;="&amp;AB$1,INDIRECT("Table1[Ende]"),"&gt;="&amp;AB$1,INDIRECT("Table1[Obergruppe ATC-Code]"),Tabelle3!$A38)</f>
        <v>0</v>
      </c>
      <c r="AC38">
        <f ca="1">COUNTIFS(INDIRECT("Table1[Beginn]"),"&lt;="&amp;AC$1,INDIRECT("Table1[Ende]"),"&gt;="&amp;AC$1,INDIRECT("Table1[Obergruppe ATC-Code]"),Tabelle3!$A38)</f>
        <v>0</v>
      </c>
      <c r="AD38">
        <f ca="1">COUNTIFS(INDIRECT("Table1[Beginn]"),"&lt;="&amp;AD$1,INDIRECT("Table1[Ende]"),"&gt;="&amp;AD$1,INDIRECT("Table1[Obergruppe ATC-Code]"),Tabelle3!$A38)</f>
        <v>0</v>
      </c>
      <c r="AE38">
        <f ca="1">COUNTIFS(INDIRECT("Table1[Beginn]"),"&lt;="&amp;AE$1,INDIRECT("Table1[Ende]"),"&gt;="&amp;AE$1,INDIRECT("Table1[Obergruppe ATC-Code]"),Tabelle3!$A38)</f>
        <v>0</v>
      </c>
      <c r="AF38">
        <f ca="1">COUNTIFS(INDIRECT("Table1[Beginn]"),"&lt;="&amp;AF$1,INDIRECT("Table1[Ende]"),"&gt;="&amp;AF$1,INDIRECT("Table1[Obergruppe ATC-Code]"),Tabelle3!$A38)</f>
        <v>0</v>
      </c>
      <c r="AG38">
        <f ca="1">COUNTIFS(INDIRECT("Table1[Beginn]"),"&lt;="&amp;AG$1,INDIRECT("Table1[Ende]"),"&gt;="&amp;AG$1,INDIRECT("Table1[Obergruppe ATC-Code]"),Tabelle3!$A38)</f>
        <v>0</v>
      </c>
      <c r="AH38">
        <f ca="1">COUNTIFS(INDIRECT("Table1[Beginn]"),"&lt;="&amp;AH$1,INDIRECT("Table1[Ende]"),"&gt;="&amp;AH$1,INDIRECT("Table1[Obergruppe ATC-Code]"),Tabelle3!$A38)</f>
        <v>0</v>
      </c>
      <c r="AI38">
        <f ca="1">COUNTIFS(INDIRECT("Table1[Beginn]"),"&lt;="&amp;AI$1,INDIRECT("Table1[Ende]"),"&gt;="&amp;AI$1,INDIRECT("Table1[Obergruppe ATC-Code]"),Tabelle3!$A38)</f>
        <v>0</v>
      </c>
      <c r="AJ38">
        <f ca="1">COUNTIFS(INDIRECT("Table1[Beginn]"),"&lt;="&amp;AJ$1,INDIRECT("Table1[Ende]"),"&gt;="&amp;AJ$1,INDIRECT("Table1[Obergruppe ATC-Code]"),Tabelle3!$A38)</f>
        <v>0</v>
      </c>
      <c r="AK38">
        <f ca="1">COUNTIFS(INDIRECT("Table1[Beginn]"),"&lt;="&amp;AK$1,INDIRECT("Table1[Ende]"),"&gt;="&amp;AK$1,INDIRECT("Table1[Obergruppe ATC-Code]"),Tabelle3!$A38)</f>
        <v>0</v>
      </c>
      <c r="AL38">
        <f ca="1">COUNTIFS(INDIRECT("Table1[Beginn]"),"&lt;="&amp;AL$1,INDIRECT("Table1[Ende]"),"&gt;="&amp;AL$1,INDIRECT("Table1[Obergruppe ATC-Code]"),Tabelle3!$A38)</f>
        <v>0</v>
      </c>
      <c r="AM38">
        <f ca="1">COUNTIFS(INDIRECT("Table1[Beginn]"),"&lt;="&amp;AM$1,INDIRECT("Table1[Ende]"),"&gt;="&amp;AM$1,INDIRECT("Table1[Obergruppe ATC-Code]"),Tabelle3!$A38)</f>
        <v>1</v>
      </c>
      <c r="AN38">
        <f ca="1">COUNTIFS(INDIRECT("Table1[Beginn]"),"&lt;="&amp;AN$1,INDIRECT("Table1[Ende]"),"&gt;="&amp;AN$1,INDIRECT("Table1[Obergruppe ATC-Code]"),Tabelle3!$A38)</f>
        <v>2</v>
      </c>
      <c r="AO38">
        <f ca="1">COUNTIFS(INDIRECT("Table1[Beginn]"),"&lt;="&amp;AO$1,INDIRECT("Table1[Ende]"),"&gt;="&amp;AO$1,INDIRECT("Table1[Obergruppe ATC-Code]"),Tabelle3!$A38)</f>
        <v>3</v>
      </c>
      <c r="AP38">
        <f ca="1">COUNTIFS(INDIRECT("Table1[Beginn]"),"&lt;="&amp;AP$1,INDIRECT("Table1[Ende]"),"&gt;="&amp;AP$1,INDIRECT("Table1[Obergruppe ATC-Code]"),Tabelle3!$A38)</f>
        <v>3</v>
      </c>
      <c r="AQ38">
        <f ca="1">COUNTIFS(INDIRECT("Table1[Beginn]"),"&lt;="&amp;AQ$1,INDIRECT("Table1[Ende]"),"&gt;="&amp;AQ$1,INDIRECT("Table1[Obergruppe ATC-Code]"),Tabelle3!$A38)</f>
        <v>0</v>
      </c>
      <c r="AR38">
        <f ca="1">COUNTIFS(INDIRECT("Table1[Beginn]"),"&lt;="&amp;AR$1,INDIRECT("Table1[Ende]"),"&gt;="&amp;AR$1,INDIRECT("Table1[Obergruppe ATC-Code]"),Tabelle3!$A38)</f>
        <v>0</v>
      </c>
      <c r="AS38">
        <f ca="1">COUNTIFS(INDIRECT("Table1[Beginn]"),"&lt;="&amp;AS$1,INDIRECT("Table1[Ende]"),"&gt;="&amp;AS$1,INDIRECT("Table1[Obergruppe ATC-Code]"),Tabelle3!$A38)</f>
        <v>1</v>
      </c>
      <c r="AT38">
        <f ca="1">COUNTIFS(INDIRECT("Table1[Beginn]"),"&lt;="&amp;AT$1,INDIRECT("Table1[Ende]"),"&gt;="&amp;AT$1,INDIRECT("Table1[Obergruppe ATC-Code]"),Tabelle3!$A38)</f>
        <v>1</v>
      </c>
      <c r="AU38">
        <f ca="1">COUNTIFS(INDIRECT("Table1[Beginn]"),"&lt;="&amp;AU$1,INDIRECT("Table1[Ende]"),"&gt;="&amp;AU$1,INDIRECT("Table1[Obergruppe ATC-Code]"),Tabelle3!$A38)</f>
        <v>1</v>
      </c>
      <c r="AV38">
        <f ca="1">COUNTIFS(INDIRECT("Table1[Beginn]"),"&lt;="&amp;AV$1,INDIRECT("Table1[Ende]"),"&gt;="&amp;AV$1,INDIRECT("Table1[Obergruppe ATC-Code]"),Tabelle3!$A38)</f>
        <v>1</v>
      </c>
      <c r="AW38">
        <f ca="1">COUNTIFS(INDIRECT("Table1[Beginn]"),"&lt;="&amp;AW$1,INDIRECT("Table1[Ende]"),"&gt;="&amp;AW$1,INDIRECT("Table1[Obergruppe ATC-Code]"),Tabelle3!$A38)</f>
        <v>1</v>
      </c>
      <c r="AX38">
        <f ca="1">COUNTIFS(INDIRECT("Table1[Beginn]"),"&lt;="&amp;AX$1,INDIRECT("Table1[Ende]"),"&gt;="&amp;AX$1,INDIRECT("Table1[Obergruppe ATC-Code]"),Tabelle3!$A38)</f>
        <v>0</v>
      </c>
      <c r="AY38">
        <f ca="1">COUNTIFS(INDIRECT("Table1[Beginn]"),"&lt;="&amp;AY$1,INDIRECT("Table1[Ende]"),"&gt;="&amp;AY$1,INDIRECT("Table1[Obergruppe ATC-Code]"),Tabelle3!$A38)</f>
        <v>0</v>
      </c>
      <c r="AZ38">
        <f ca="1">COUNTIFS(INDIRECT("Table1[Beginn]"),"&lt;="&amp;AZ$1,INDIRECT("Table1[Ende]"),"&gt;="&amp;AZ$1,INDIRECT("Table1[Obergruppe ATC-Code]"),Tabelle3!$A38)</f>
        <v>0</v>
      </c>
      <c r="BA38">
        <f ca="1">COUNTIFS(INDIRECT("Table1[Beginn]"),"&lt;="&amp;BA$1,INDIRECT("Table1[Ende]"),"&gt;="&amp;BA$1,INDIRECT("Table1[Obergruppe ATC-Code]"),Tabelle3!$A38)</f>
        <v>0</v>
      </c>
      <c r="BB38">
        <f ca="1">COUNTIFS(INDIRECT("Table1[Beginn]"),"&lt;="&amp;BB$1,INDIRECT("Table1[Ende]"),"&gt;="&amp;BB$1,INDIRECT("Table1[Obergruppe ATC-Code]"),Tabelle3!$A38)</f>
        <v>1</v>
      </c>
      <c r="BC38">
        <f ca="1">COUNTIFS(INDIRECT("Table1[Beginn]"),"&lt;="&amp;BC$1,INDIRECT("Table1[Ende]"),"&gt;="&amp;BC$1,INDIRECT("Table1[Obergruppe ATC-Code]"),Tabelle3!$A38)</f>
        <v>1</v>
      </c>
      <c r="BD38">
        <f ca="1">COUNTIFS(INDIRECT("Table1[Beginn]"),"&lt;="&amp;BD$1,INDIRECT("Table1[Ende]"),"&gt;="&amp;BD$1,INDIRECT("Table1[Obergruppe ATC-Code]"),Tabelle3!$A38)</f>
        <v>0</v>
      </c>
      <c r="BE38">
        <f ca="1">COUNTIFS(INDIRECT("Table1[Beginn]"),"&lt;="&amp;BE$1,INDIRECT("Table1[Ende]"),"&gt;="&amp;BE$1,INDIRECT("Table1[Obergruppe ATC-Code]"),Tabelle3!$A38)</f>
        <v>0</v>
      </c>
      <c r="BF38">
        <f ca="1">COUNTIFS(INDIRECT("Table1[Beginn]"),"&lt;="&amp;BF$1,INDIRECT("Table1[Ende]"),"&gt;="&amp;BF$1,INDIRECT("Table1[Obergruppe ATC-Code]"),Tabelle3!$A38)</f>
        <v>0</v>
      </c>
      <c r="BG38">
        <f ca="1">COUNTIFS(INDIRECT("Table1[Beginn]"),"&lt;="&amp;BG$1,INDIRECT("Table1[Ende]"),"&gt;="&amp;BG$1,INDIRECT("Table1[Obergruppe ATC-Code]"),Tabelle3!$A38)</f>
        <v>1</v>
      </c>
      <c r="BH38">
        <f ca="1">COUNTIFS(INDIRECT("Table1[Beginn]"),"&lt;="&amp;BH$1,INDIRECT("Table1[Ende]"),"&gt;="&amp;BH$1,INDIRECT("Table1[Obergruppe ATC-Code]"),Tabelle3!$A38)</f>
        <v>0</v>
      </c>
      <c r="BI38">
        <f ca="1">COUNTIFS(INDIRECT("Table1[Beginn]"),"&lt;="&amp;BI$1,INDIRECT("Table1[Ende]"),"&gt;="&amp;BI$1,INDIRECT("Table1[Obergruppe ATC-Code]"),Tabelle3!$A38)</f>
        <v>0</v>
      </c>
      <c r="BJ38">
        <f ca="1">COUNTIFS(INDIRECT("Table1[Beginn]"),"&lt;="&amp;BJ$1,INDIRECT("Table1[Ende]"),"&gt;="&amp;BJ$1,INDIRECT("Table1[Obergruppe ATC-Code]"),Tabelle3!$A38)</f>
        <v>0</v>
      </c>
      <c r="BK38">
        <f ca="1">COUNTIFS(INDIRECT("Table1[Beginn]"),"&lt;="&amp;BK$1,INDIRECT("Table1[Ende]"),"&gt;="&amp;BK$1,INDIRECT("Table1[Obergruppe ATC-Code]"),Tabelle3!$A38)</f>
        <v>0</v>
      </c>
      <c r="BL38">
        <f ca="1">COUNTIFS(INDIRECT("Table1[Beginn]"),"&lt;="&amp;BL$1,INDIRECT("Table1[Ende]"),"&gt;="&amp;BL$1,INDIRECT("Table1[Obergruppe ATC-Code]"),Tabelle3!$A38)</f>
        <v>0</v>
      </c>
      <c r="BM38">
        <f ca="1">COUNTIFS(INDIRECT("Table1[Beginn]"),"&lt;="&amp;BM$1,INDIRECT("Table1[Ende]"),"&gt;="&amp;BM$1,INDIRECT("Table1[Obergruppe ATC-Code]"),Tabelle3!$A38)</f>
        <v>0</v>
      </c>
      <c r="BN38">
        <f ca="1">COUNTIFS(INDIRECT("Table1[Beginn]"),"&lt;="&amp;BN$1,INDIRECT("Table1[Ende]"),"&gt;="&amp;BN$1,INDIRECT("Table1[Obergruppe ATC-Code]"),Tabelle3!$A38)</f>
        <v>1</v>
      </c>
      <c r="BO38">
        <f ca="1">COUNTIFS(INDIRECT("Table1[Beginn]"),"&lt;="&amp;BO$1,INDIRECT("Table1[Ende]"),"&gt;="&amp;BO$1,INDIRECT("Table1[Obergruppe ATC-Code]"),Tabelle3!$A38)</f>
        <v>1</v>
      </c>
      <c r="BP38">
        <f ca="1">COUNTIFS(INDIRECT("Table1[Beginn]"),"&lt;="&amp;BP$1,INDIRECT("Table1[Ende]"),"&gt;="&amp;BP$1,INDIRECT("Table1[Obergruppe ATC-Code]"),Tabelle3!$A38)</f>
        <v>1</v>
      </c>
      <c r="BQ38">
        <f ca="1">COUNTIFS(INDIRECT("Table1[Beginn]"),"&lt;="&amp;BQ$1,INDIRECT("Table1[Ende]"),"&gt;="&amp;BQ$1,INDIRECT("Table1[Obergruppe ATC-Code]"),Tabelle3!$A38)</f>
        <v>0</v>
      </c>
      <c r="BR38">
        <f ca="1">COUNTIFS(INDIRECT("Table1[Beginn]"),"&lt;="&amp;BR$1,INDIRECT("Table1[Ende]"),"&gt;="&amp;BR$1,INDIRECT("Table1[Obergruppe ATC-Code]"),Tabelle3!$A38)</f>
        <v>0</v>
      </c>
      <c r="BS38">
        <f ca="1">COUNTIFS(INDIRECT("Table1[Beginn]"),"&lt;="&amp;BS$1,INDIRECT("Table1[Ende]"),"&gt;="&amp;BS$1,INDIRECT("Table1[Obergruppe ATC-Code]"),Tabelle3!$A38)</f>
        <v>0</v>
      </c>
      <c r="BT38">
        <f ca="1">COUNTIFS(INDIRECT("Table1[Beginn]"),"&lt;="&amp;BT$1,INDIRECT("Table1[Ende]"),"&gt;="&amp;BT$1,INDIRECT("Table1[Obergruppe ATC-Code]"),Tabelle3!$A38)</f>
        <v>0</v>
      </c>
      <c r="BU38">
        <f ca="1">COUNTIFS(INDIRECT("Table1[Beginn]"),"&lt;="&amp;BU$1,INDIRECT("Table1[Ende]"),"&gt;="&amp;BU$1,INDIRECT("Table1[Obergruppe ATC-Code]"),Tabelle3!$A38)</f>
        <v>0</v>
      </c>
      <c r="BV38">
        <f ca="1">COUNTIFS(INDIRECT("Table1[Beginn]"),"&lt;="&amp;BV$1,INDIRECT("Table1[Ende]"),"&gt;="&amp;BV$1,INDIRECT("Table1[Obergruppe ATC-Code]"),Tabelle3!$A38)</f>
        <v>0</v>
      </c>
      <c r="BW38">
        <f ca="1">COUNTIFS(INDIRECT("Table1[Beginn]"),"&lt;="&amp;BW$1,INDIRECT("Table1[Ende]"),"&gt;="&amp;BW$1,INDIRECT("Table1[Obergruppe ATC-Code]"),Tabelle3!$A38)</f>
        <v>1</v>
      </c>
      <c r="BX38">
        <f ca="1">COUNTIFS(INDIRECT("Table1[Beginn]"),"&lt;="&amp;BX$1,INDIRECT("Table1[Ende]"),"&gt;="&amp;BX$1,INDIRECT("Table1[Obergruppe ATC-Code]"),Tabelle3!$A38)</f>
        <v>1</v>
      </c>
      <c r="BY38">
        <f ca="1">COUNTIFS(INDIRECT("Table1[Beginn]"),"&lt;="&amp;BY$1,INDIRECT("Table1[Ende]"),"&gt;="&amp;BY$1,INDIRECT("Table1[Obergruppe ATC-Code]"),Tabelle3!$A38)</f>
        <v>2</v>
      </c>
      <c r="BZ38">
        <f ca="1">COUNTIFS(INDIRECT("Table1[Beginn]"),"&lt;="&amp;BZ$1,INDIRECT("Table1[Ende]"),"&gt;="&amp;BZ$1,INDIRECT("Table1[Obergruppe ATC-Code]"),Tabelle3!$A38)</f>
        <v>2</v>
      </c>
      <c r="CA38">
        <f ca="1">COUNTIFS(INDIRECT("Table1[Beginn]"),"&lt;="&amp;CA$1,INDIRECT("Table1[Ende]"),"&gt;="&amp;CA$1,INDIRECT("Table1[Obergruppe ATC-Code]"),Tabelle3!$A38)</f>
        <v>3</v>
      </c>
      <c r="CB38">
        <f ca="1">COUNTIFS(INDIRECT("Table1[Beginn]"),"&lt;="&amp;CB$1,INDIRECT("Table1[Ende]"),"&gt;="&amp;CB$1,INDIRECT("Table1[Obergruppe ATC-Code]"),Tabelle3!$A38)</f>
        <v>2</v>
      </c>
      <c r="CC38">
        <f ca="1">COUNTIFS(INDIRECT("Table1[Beginn]"),"&lt;="&amp;CC$1,INDIRECT("Table1[Ende]"),"&gt;="&amp;CC$1,INDIRECT("Table1[Obergruppe ATC-Code]"),Tabelle3!$A38)</f>
        <v>0</v>
      </c>
      <c r="CD38">
        <f ca="1">COUNTIFS(INDIRECT("Table1[Beginn]"),"&lt;="&amp;CD$1,INDIRECT("Table1[Ende]"),"&gt;="&amp;CD$1,INDIRECT("Table1[Obergruppe ATC-Code]"),Tabelle3!$A38)</f>
        <v>1</v>
      </c>
      <c r="CE38">
        <f ca="1">COUNTIFS(INDIRECT("Table1[Beginn]"),"&lt;="&amp;CE$1,INDIRECT("Table1[Ende]"),"&gt;="&amp;CE$1,INDIRECT("Table1[Obergruppe ATC-Code]"),Tabelle3!$A38)</f>
        <v>1</v>
      </c>
      <c r="CF38">
        <f ca="1">COUNTIFS(INDIRECT("Table1[Beginn]"),"&lt;="&amp;CF$1,INDIRECT("Table1[Ende]"),"&gt;="&amp;CF$1,INDIRECT("Table1[Obergruppe ATC-Code]"),Tabelle3!$A38)</f>
        <v>1</v>
      </c>
      <c r="CG38">
        <f ca="1">COUNTIFS(INDIRECT("Table1[Beginn]"),"&lt;="&amp;CG$1,INDIRECT("Table1[Ende]"),"&gt;="&amp;CG$1,INDIRECT("Table1[Obergruppe ATC-Code]"),Tabelle3!$A38)</f>
        <v>1</v>
      </c>
      <c r="CH38">
        <f ca="1">COUNTIFS(INDIRECT("Table1[Beginn]"),"&lt;="&amp;CH$1,INDIRECT("Table1[Ende]"),"&gt;="&amp;CH$1,INDIRECT("Table1[Obergruppe ATC-Code]"),Tabelle3!$A38)</f>
        <v>1</v>
      </c>
      <c r="CI38">
        <f ca="1">COUNTIFS(INDIRECT("Table1[Beginn]"),"&lt;="&amp;CI$1,INDIRECT("Table1[Ende]"),"&gt;="&amp;CI$1,INDIRECT("Table1[Obergruppe ATC-Code]"),Tabelle3!$A38)</f>
        <v>0</v>
      </c>
      <c r="CJ38">
        <f ca="1">COUNTIFS(INDIRECT("Table1[Beginn]"),"&lt;="&amp;CJ$1,INDIRECT("Table1[Ende]"),"&gt;="&amp;CJ$1,INDIRECT("Table1[Obergruppe ATC-Code]"),Tabelle3!$A38)</f>
        <v>0</v>
      </c>
      <c r="CK38">
        <f ca="1">COUNTIFS(INDIRECT("Table1[Beginn]"),"&lt;="&amp;CK$1,INDIRECT("Table1[Ende]"),"&gt;="&amp;CK$1,INDIRECT("Table1[Obergruppe ATC-Code]"),Tabelle3!$A38)</f>
        <v>0</v>
      </c>
      <c r="CL38">
        <f ca="1">COUNTIFS(INDIRECT("Table1[Beginn]"),"&lt;="&amp;CL$1,INDIRECT("Table1[Ende]"),"&gt;="&amp;CL$1,INDIRECT("Table1[Obergruppe ATC-Code]"),Tabelle3!$A38)</f>
        <v>0</v>
      </c>
      <c r="CM38">
        <f ca="1">COUNTIFS(INDIRECT("Table1[Beginn]"),"&lt;="&amp;CM$1,INDIRECT("Table1[Ende]"),"&gt;="&amp;CM$1,INDIRECT("Table1[Obergruppe ATC-Code]"),Tabelle3!$A38)</f>
        <v>0</v>
      </c>
      <c r="CN38">
        <f ca="1">COUNTIFS(INDIRECT("Table1[Beginn]"),"&lt;="&amp;CN$1,INDIRECT("Table1[Ende]"),"&gt;="&amp;CN$1,INDIRECT("Table1[Obergruppe ATC-Code]"),Tabelle3!$A38)</f>
        <v>0</v>
      </c>
      <c r="CO38">
        <f ca="1">COUNTIFS(INDIRECT("Table1[Beginn]"),"&lt;="&amp;CO$1,INDIRECT("Table1[Ende]"),"&gt;="&amp;CO$1,INDIRECT("Table1[Obergruppe ATC-Code]"),Tabelle3!$A38)</f>
        <v>0</v>
      </c>
      <c r="CP38">
        <f ca="1">COUNTIFS(INDIRECT("Table1[Beginn]"),"&lt;="&amp;CP$1,INDIRECT("Table1[Ende]"),"&gt;="&amp;CP$1,INDIRECT("Table1[Obergruppe ATC-Code]"),Tabelle3!$A38)</f>
        <v>0</v>
      </c>
      <c r="CQ38">
        <f ca="1">COUNTIFS(INDIRECT("Table1[Beginn]"),"&lt;="&amp;CQ$1,INDIRECT("Table1[Ende]"),"&gt;="&amp;CQ$1,INDIRECT("Table1[Obergruppe ATC-Code]"),Tabelle3!$A38)</f>
        <v>0</v>
      </c>
      <c r="CR38">
        <f ca="1">COUNTIFS(INDIRECT("Table1[Beginn]"),"&lt;="&amp;CR$1,INDIRECT("Table1[Ende]"),"&gt;="&amp;CR$1,INDIRECT("Table1[Obergruppe ATC-Code]"),Tabelle3!$A38)</f>
        <v>0</v>
      </c>
    </row>
    <row r="39" spans="1:96" ht="18">
      <c r="A39" s="9" t="s">
        <v>6847</v>
      </c>
      <c r="B39" s="10" t="s">
        <v>6848</v>
      </c>
      <c r="C39">
        <f ca="1">COUNTIFS(INDIRECT("Table1[Beginn]"),"&lt;="&amp;C$1,INDIRECT("Table1[Ende]"),"&gt;="&amp;C$1,INDIRECT("Table1[Obergruppe ATC-Code]"),Tabelle3!$A39)</f>
        <v>0</v>
      </c>
      <c r="D39">
        <f ca="1">COUNTIFS(INDIRECT("Table1[Beginn]"),"&lt;="&amp;D$1,INDIRECT("Table1[Ende]"),"&gt;="&amp;D$1,INDIRECT("Table1[Obergruppe ATC-Code]"),Tabelle3!$A39)</f>
        <v>0</v>
      </c>
      <c r="E39">
        <f ca="1">COUNTIFS(INDIRECT("Table1[Beginn]"),"&lt;="&amp;E$1,INDIRECT("Table1[Ende]"),"&gt;="&amp;E$1,INDIRECT("Table1[Obergruppe ATC-Code]"),Tabelle3!$A39)</f>
        <v>0</v>
      </c>
      <c r="F39">
        <f ca="1">COUNTIFS(INDIRECT("Table1[Beginn]"),"&lt;="&amp;F$1,INDIRECT("Table1[Ende]"),"&gt;="&amp;F$1,INDIRECT("Table1[Obergruppe ATC-Code]"),Tabelle3!$A39)</f>
        <v>2</v>
      </c>
      <c r="G39">
        <f ca="1">COUNTIFS(INDIRECT("Table1[Beginn]"),"&lt;="&amp;G$1,INDIRECT("Table1[Ende]"),"&gt;="&amp;G$1,INDIRECT("Table1[Obergruppe ATC-Code]"),Tabelle3!$A39)</f>
        <v>2</v>
      </c>
      <c r="H39">
        <f ca="1">COUNTIFS(INDIRECT("Table1[Beginn]"),"&lt;="&amp;H$1,INDIRECT("Table1[Ende]"),"&gt;="&amp;H$1,INDIRECT("Table1[Obergruppe ATC-Code]"),Tabelle3!$A39)</f>
        <v>2</v>
      </c>
      <c r="I39">
        <f ca="1">COUNTIFS(INDIRECT("Table1[Beginn]"),"&lt;="&amp;I$1,INDIRECT("Table1[Ende]"),"&gt;="&amp;I$1,INDIRECT("Table1[Obergruppe ATC-Code]"),Tabelle3!$A39)</f>
        <v>2</v>
      </c>
      <c r="J39">
        <f ca="1">COUNTIFS(INDIRECT("Table1[Beginn]"),"&lt;="&amp;J$1,INDIRECT("Table1[Ende]"),"&gt;="&amp;J$1,INDIRECT("Table1[Obergruppe ATC-Code]"),Tabelle3!$A39)</f>
        <v>2</v>
      </c>
      <c r="K39">
        <f ca="1">COUNTIFS(INDIRECT("Table1[Beginn]"),"&lt;="&amp;K$1,INDIRECT("Table1[Ende]"),"&gt;="&amp;K$1,INDIRECT("Table1[Obergruppe ATC-Code]"),Tabelle3!$A39)</f>
        <v>2</v>
      </c>
      <c r="L39">
        <f ca="1">COUNTIFS(INDIRECT("Table1[Beginn]"),"&lt;="&amp;L$1,INDIRECT("Table1[Ende]"),"&gt;="&amp;L$1,INDIRECT("Table1[Obergruppe ATC-Code]"),Tabelle3!$A39)</f>
        <v>2</v>
      </c>
      <c r="M39">
        <f ca="1">COUNTIFS(INDIRECT("Table1[Beginn]"),"&lt;="&amp;M$1,INDIRECT("Table1[Ende]"),"&gt;="&amp;M$1,INDIRECT("Table1[Obergruppe ATC-Code]"),Tabelle3!$A39)</f>
        <v>2</v>
      </c>
      <c r="N39">
        <f ca="1">COUNTIFS(INDIRECT("Table1[Beginn]"),"&lt;="&amp;N$1,INDIRECT("Table1[Ende]"),"&gt;="&amp;N$1,INDIRECT("Table1[Obergruppe ATC-Code]"),Tabelle3!$A39)</f>
        <v>2</v>
      </c>
      <c r="O39">
        <f ca="1">COUNTIFS(INDIRECT("Table1[Beginn]"),"&lt;="&amp;O$1,INDIRECT("Table1[Ende]"),"&gt;="&amp;O$1,INDIRECT("Table1[Obergruppe ATC-Code]"),Tabelle3!$A39)</f>
        <v>2</v>
      </c>
      <c r="P39">
        <f ca="1">COUNTIFS(INDIRECT("Table1[Beginn]"),"&lt;="&amp;P$1,INDIRECT("Table1[Ende]"),"&gt;="&amp;P$1,INDIRECT("Table1[Obergruppe ATC-Code]"),Tabelle3!$A39)</f>
        <v>2</v>
      </c>
      <c r="Q39">
        <f ca="1">COUNTIFS(INDIRECT("Table1[Beginn]"),"&lt;="&amp;Q$1,INDIRECT("Table1[Ende]"),"&gt;="&amp;Q$1,INDIRECT("Table1[Obergruppe ATC-Code]"),Tabelle3!$A39)</f>
        <v>2</v>
      </c>
      <c r="R39">
        <f ca="1">COUNTIFS(INDIRECT("Table1[Beginn]"),"&lt;="&amp;R$1,INDIRECT("Table1[Ende]"),"&gt;="&amp;R$1,INDIRECT("Table1[Obergruppe ATC-Code]"),Tabelle3!$A39)</f>
        <v>2</v>
      </c>
      <c r="S39">
        <f ca="1">COUNTIFS(INDIRECT("Table1[Beginn]"),"&lt;="&amp;S$1,INDIRECT("Table1[Ende]"),"&gt;="&amp;S$1,INDIRECT("Table1[Obergruppe ATC-Code]"),Tabelle3!$A39)</f>
        <v>2</v>
      </c>
      <c r="T39">
        <f ca="1">COUNTIFS(INDIRECT("Table1[Beginn]"),"&lt;="&amp;T$1,INDIRECT("Table1[Ende]"),"&gt;="&amp;T$1,INDIRECT("Table1[Obergruppe ATC-Code]"),Tabelle3!$A39)</f>
        <v>2</v>
      </c>
      <c r="U39">
        <f ca="1">COUNTIFS(INDIRECT("Table1[Beginn]"),"&lt;="&amp;U$1,INDIRECT("Table1[Ende]"),"&gt;="&amp;U$1,INDIRECT("Table1[Obergruppe ATC-Code]"),Tabelle3!$A39)</f>
        <v>2</v>
      </c>
      <c r="V39">
        <f ca="1">COUNTIFS(INDIRECT("Table1[Beginn]"),"&lt;="&amp;V$1,INDIRECT("Table1[Ende]"),"&gt;="&amp;V$1,INDIRECT("Table1[Obergruppe ATC-Code]"),Tabelle3!$A39)</f>
        <v>2</v>
      </c>
      <c r="W39">
        <f ca="1">COUNTIFS(INDIRECT("Table1[Beginn]"),"&lt;="&amp;W$1,INDIRECT("Table1[Ende]"),"&gt;="&amp;W$1,INDIRECT("Table1[Obergruppe ATC-Code]"),Tabelle3!$A39)</f>
        <v>2</v>
      </c>
      <c r="X39">
        <f ca="1">COUNTIFS(INDIRECT("Table1[Beginn]"),"&lt;="&amp;X$1,INDIRECT("Table1[Ende]"),"&gt;="&amp;X$1,INDIRECT("Table1[Obergruppe ATC-Code]"),Tabelle3!$A39)</f>
        <v>2</v>
      </c>
      <c r="Y39">
        <f ca="1">COUNTIFS(INDIRECT("Table1[Beginn]"),"&lt;="&amp;Y$1,INDIRECT("Table1[Ende]"),"&gt;="&amp;Y$1,INDIRECT("Table1[Obergruppe ATC-Code]"),Tabelle3!$A39)</f>
        <v>2</v>
      </c>
      <c r="Z39">
        <f ca="1">COUNTIFS(INDIRECT("Table1[Beginn]"),"&lt;="&amp;Z$1,INDIRECT("Table1[Ende]"),"&gt;="&amp;Z$1,INDIRECT("Table1[Obergruppe ATC-Code]"),Tabelle3!$A39)</f>
        <v>2</v>
      </c>
      <c r="AA39">
        <f ca="1">COUNTIFS(INDIRECT("Table1[Beginn]"),"&lt;="&amp;AA$1,INDIRECT("Table1[Ende]"),"&gt;="&amp;AA$1,INDIRECT("Table1[Obergruppe ATC-Code]"),Tabelle3!$A39)</f>
        <v>2</v>
      </c>
      <c r="AB39">
        <f ca="1">COUNTIFS(INDIRECT("Table1[Beginn]"),"&lt;="&amp;AB$1,INDIRECT("Table1[Ende]"),"&gt;="&amp;AB$1,INDIRECT("Table1[Obergruppe ATC-Code]"),Tabelle3!$A39)</f>
        <v>2</v>
      </c>
      <c r="AC39">
        <f ca="1">COUNTIFS(INDIRECT("Table1[Beginn]"),"&lt;="&amp;AC$1,INDIRECT("Table1[Ende]"),"&gt;="&amp;AC$1,INDIRECT("Table1[Obergruppe ATC-Code]"),Tabelle3!$A39)</f>
        <v>2</v>
      </c>
      <c r="AD39">
        <f ca="1">COUNTIFS(INDIRECT("Table1[Beginn]"),"&lt;="&amp;AD$1,INDIRECT("Table1[Ende]"),"&gt;="&amp;AD$1,INDIRECT("Table1[Obergruppe ATC-Code]"),Tabelle3!$A39)</f>
        <v>2</v>
      </c>
      <c r="AE39">
        <f ca="1">COUNTIFS(INDIRECT("Table1[Beginn]"),"&lt;="&amp;AE$1,INDIRECT("Table1[Ende]"),"&gt;="&amp;AE$1,INDIRECT("Table1[Obergruppe ATC-Code]"),Tabelle3!$A39)</f>
        <v>2</v>
      </c>
      <c r="AF39">
        <f ca="1">COUNTIFS(INDIRECT("Table1[Beginn]"),"&lt;="&amp;AF$1,INDIRECT("Table1[Ende]"),"&gt;="&amp;AF$1,INDIRECT("Table1[Obergruppe ATC-Code]"),Tabelle3!$A39)</f>
        <v>2</v>
      </c>
      <c r="AG39">
        <f ca="1">COUNTIFS(INDIRECT("Table1[Beginn]"),"&lt;="&amp;AG$1,INDIRECT("Table1[Ende]"),"&gt;="&amp;AG$1,INDIRECT("Table1[Obergruppe ATC-Code]"),Tabelle3!$A39)</f>
        <v>2</v>
      </c>
      <c r="AH39">
        <f ca="1">COUNTIFS(INDIRECT("Table1[Beginn]"),"&lt;="&amp;AH$1,INDIRECT("Table1[Ende]"),"&gt;="&amp;AH$1,INDIRECT("Table1[Obergruppe ATC-Code]"),Tabelle3!$A39)</f>
        <v>2</v>
      </c>
      <c r="AI39">
        <f ca="1">COUNTIFS(INDIRECT("Table1[Beginn]"),"&lt;="&amp;AI$1,INDIRECT("Table1[Ende]"),"&gt;="&amp;AI$1,INDIRECT("Table1[Obergruppe ATC-Code]"),Tabelle3!$A39)</f>
        <v>2</v>
      </c>
      <c r="AJ39">
        <f ca="1">COUNTIFS(INDIRECT("Table1[Beginn]"),"&lt;="&amp;AJ$1,INDIRECT("Table1[Ende]"),"&gt;="&amp;AJ$1,INDIRECT("Table1[Obergruppe ATC-Code]"),Tabelle3!$A39)</f>
        <v>2</v>
      </c>
      <c r="AK39">
        <f ca="1">COUNTIFS(INDIRECT("Table1[Beginn]"),"&lt;="&amp;AK$1,INDIRECT("Table1[Ende]"),"&gt;="&amp;AK$1,INDIRECT("Table1[Obergruppe ATC-Code]"),Tabelle3!$A39)</f>
        <v>3</v>
      </c>
      <c r="AL39">
        <f ca="1">COUNTIFS(INDIRECT("Table1[Beginn]"),"&lt;="&amp;AL$1,INDIRECT("Table1[Ende]"),"&gt;="&amp;AL$1,INDIRECT("Table1[Obergruppe ATC-Code]"),Tabelle3!$A39)</f>
        <v>3</v>
      </c>
      <c r="AM39">
        <f ca="1">COUNTIFS(INDIRECT("Table1[Beginn]"),"&lt;="&amp;AM$1,INDIRECT("Table1[Ende]"),"&gt;="&amp;AM$1,INDIRECT("Table1[Obergruppe ATC-Code]"),Tabelle3!$A39)</f>
        <v>3</v>
      </c>
      <c r="AN39">
        <f ca="1">COUNTIFS(INDIRECT("Table1[Beginn]"),"&lt;="&amp;AN$1,INDIRECT("Table1[Ende]"),"&gt;="&amp;AN$1,INDIRECT("Table1[Obergruppe ATC-Code]"),Tabelle3!$A39)</f>
        <v>3</v>
      </c>
      <c r="AO39">
        <f ca="1">COUNTIFS(INDIRECT("Table1[Beginn]"),"&lt;="&amp;AO$1,INDIRECT("Table1[Ende]"),"&gt;="&amp;AO$1,INDIRECT("Table1[Obergruppe ATC-Code]"),Tabelle3!$A39)</f>
        <v>3</v>
      </c>
      <c r="AP39">
        <f ca="1">COUNTIFS(INDIRECT("Table1[Beginn]"),"&lt;="&amp;AP$1,INDIRECT("Table1[Ende]"),"&gt;="&amp;AP$1,INDIRECT("Table1[Obergruppe ATC-Code]"),Tabelle3!$A39)</f>
        <v>3</v>
      </c>
      <c r="AQ39">
        <f ca="1">COUNTIFS(INDIRECT("Table1[Beginn]"),"&lt;="&amp;AQ$1,INDIRECT("Table1[Ende]"),"&gt;="&amp;AQ$1,INDIRECT("Table1[Obergruppe ATC-Code]"),Tabelle3!$A39)</f>
        <v>3</v>
      </c>
      <c r="AR39">
        <f ca="1">COUNTIFS(INDIRECT("Table1[Beginn]"),"&lt;="&amp;AR$1,INDIRECT("Table1[Ende]"),"&gt;="&amp;AR$1,INDIRECT("Table1[Obergruppe ATC-Code]"),Tabelle3!$A39)</f>
        <v>4</v>
      </c>
      <c r="AS39">
        <f ca="1">COUNTIFS(INDIRECT("Table1[Beginn]"),"&lt;="&amp;AS$1,INDIRECT("Table1[Ende]"),"&gt;="&amp;AS$1,INDIRECT("Table1[Obergruppe ATC-Code]"),Tabelle3!$A39)</f>
        <v>3</v>
      </c>
      <c r="AT39">
        <f ca="1">COUNTIFS(INDIRECT("Table1[Beginn]"),"&lt;="&amp;AT$1,INDIRECT("Table1[Ende]"),"&gt;="&amp;AT$1,INDIRECT("Table1[Obergruppe ATC-Code]"),Tabelle3!$A39)</f>
        <v>3</v>
      </c>
      <c r="AU39">
        <f ca="1">COUNTIFS(INDIRECT("Table1[Beginn]"),"&lt;="&amp;AU$1,INDIRECT("Table1[Ende]"),"&gt;="&amp;AU$1,INDIRECT("Table1[Obergruppe ATC-Code]"),Tabelle3!$A39)</f>
        <v>3</v>
      </c>
      <c r="AV39">
        <f ca="1">COUNTIFS(INDIRECT("Table1[Beginn]"),"&lt;="&amp;AV$1,INDIRECT("Table1[Ende]"),"&gt;="&amp;AV$1,INDIRECT("Table1[Obergruppe ATC-Code]"),Tabelle3!$A39)</f>
        <v>3</v>
      </c>
      <c r="AW39">
        <f ca="1">COUNTIFS(INDIRECT("Table1[Beginn]"),"&lt;="&amp;AW$1,INDIRECT("Table1[Ende]"),"&gt;="&amp;AW$1,INDIRECT("Table1[Obergruppe ATC-Code]"),Tabelle3!$A39)</f>
        <v>3</v>
      </c>
      <c r="AX39">
        <f ca="1">COUNTIFS(INDIRECT("Table1[Beginn]"),"&lt;="&amp;AX$1,INDIRECT("Table1[Ende]"),"&gt;="&amp;AX$1,INDIRECT("Table1[Obergruppe ATC-Code]"),Tabelle3!$A39)</f>
        <v>4</v>
      </c>
      <c r="AY39">
        <f ca="1">COUNTIFS(INDIRECT("Table1[Beginn]"),"&lt;="&amp;AY$1,INDIRECT("Table1[Ende]"),"&gt;="&amp;AY$1,INDIRECT("Table1[Obergruppe ATC-Code]"),Tabelle3!$A39)</f>
        <v>3</v>
      </c>
      <c r="AZ39">
        <f ca="1">COUNTIFS(INDIRECT("Table1[Beginn]"),"&lt;="&amp;AZ$1,INDIRECT("Table1[Ende]"),"&gt;="&amp;AZ$1,INDIRECT("Table1[Obergruppe ATC-Code]"),Tabelle3!$A39)</f>
        <v>3</v>
      </c>
      <c r="BA39">
        <f ca="1">COUNTIFS(INDIRECT("Table1[Beginn]"),"&lt;="&amp;BA$1,INDIRECT("Table1[Ende]"),"&gt;="&amp;BA$1,INDIRECT("Table1[Obergruppe ATC-Code]"),Tabelle3!$A39)</f>
        <v>2</v>
      </c>
      <c r="BB39">
        <f ca="1">COUNTIFS(INDIRECT("Table1[Beginn]"),"&lt;="&amp;BB$1,INDIRECT("Table1[Ende]"),"&gt;="&amp;BB$1,INDIRECT("Table1[Obergruppe ATC-Code]"),Tabelle3!$A39)</f>
        <v>2</v>
      </c>
      <c r="BC39">
        <f ca="1">COUNTIFS(INDIRECT("Table1[Beginn]"),"&lt;="&amp;BC$1,INDIRECT("Table1[Ende]"),"&gt;="&amp;BC$1,INDIRECT("Table1[Obergruppe ATC-Code]"),Tabelle3!$A39)</f>
        <v>2</v>
      </c>
      <c r="BD39">
        <f ca="1">COUNTIFS(INDIRECT("Table1[Beginn]"),"&lt;="&amp;BD$1,INDIRECT("Table1[Ende]"),"&gt;="&amp;BD$1,INDIRECT("Table1[Obergruppe ATC-Code]"),Tabelle3!$A39)</f>
        <v>3</v>
      </c>
      <c r="BE39">
        <f ca="1">COUNTIFS(INDIRECT("Table1[Beginn]"),"&lt;="&amp;BE$1,INDIRECT("Table1[Ende]"),"&gt;="&amp;BE$1,INDIRECT("Table1[Obergruppe ATC-Code]"),Tabelle3!$A39)</f>
        <v>4</v>
      </c>
      <c r="BF39">
        <f ca="1">COUNTIFS(INDIRECT("Table1[Beginn]"),"&lt;="&amp;BF$1,INDIRECT("Table1[Ende]"),"&gt;="&amp;BF$1,INDIRECT("Table1[Obergruppe ATC-Code]"),Tabelle3!$A39)</f>
        <v>5</v>
      </c>
      <c r="BG39">
        <f ca="1">COUNTIFS(INDIRECT("Table1[Beginn]"),"&lt;="&amp;BG$1,INDIRECT("Table1[Ende]"),"&gt;="&amp;BG$1,INDIRECT("Table1[Obergruppe ATC-Code]"),Tabelle3!$A39)</f>
        <v>3</v>
      </c>
      <c r="BH39">
        <f ca="1">COUNTIFS(INDIRECT("Table1[Beginn]"),"&lt;="&amp;BH$1,INDIRECT("Table1[Ende]"),"&gt;="&amp;BH$1,INDIRECT("Table1[Obergruppe ATC-Code]"),Tabelle3!$A39)</f>
        <v>1</v>
      </c>
      <c r="BI39">
        <f ca="1">COUNTIFS(INDIRECT("Table1[Beginn]"),"&lt;="&amp;BI$1,INDIRECT("Table1[Ende]"),"&gt;="&amp;BI$1,INDIRECT("Table1[Obergruppe ATC-Code]"),Tabelle3!$A39)</f>
        <v>1</v>
      </c>
      <c r="BJ39">
        <f ca="1">COUNTIFS(INDIRECT("Table1[Beginn]"),"&lt;="&amp;BJ$1,INDIRECT("Table1[Ende]"),"&gt;="&amp;BJ$1,INDIRECT("Table1[Obergruppe ATC-Code]"),Tabelle3!$A39)</f>
        <v>1</v>
      </c>
      <c r="BK39">
        <f ca="1">COUNTIFS(INDIRECT("Table1[Beginn]"),"&lt;="&amp;BK$1,INDIRECT("Table1[Ende]"),"&gt;="&amp;BK$1,INDIRECT("Table1[Obergruppe ATC-Code]"),Tabelle3!$A39)</f>
        <v>2</v>
      </c>
      <c r="BL39">
        <f ca="1">COUNTIFS(INDIRECT("Table1[Beginn]"),"&lt;="&amp;BL$1,INDIRECT("Table1[Ende]"),"&gt;="&amp;BL$1,INDIRECT("Table1[Obergruppe ATC-Code]"),Tabelle3!$A39)</f>
        <v>2</v>
      </c>
      <c r="BM39">
        <f ca="1">COUNTIFS(INDIRECT("Table1[Beginn]"),"&lt;="&amp;BM$1,INDIRECT("Table1[Ende]"),"&gt;="&amp;BM$1,INDIRECT("Table1[Obergruppe ATC-Code]"),Tabelle3!$A39)</f>
        <v>1</v>
      </c>
      <c r="BN39">
        <f ca="1">COUNTIFS(INDIRECT("Table1[Beginn]"),"&lt;="&amp;BN$1,INDIRECT("Table1[Ende]"),"&gt;="&amp;BN$1,INDIRECT("Table1[Obergruppe ATC-Code]"),Tabelle3!$A39)</f>
        <v>2</v>
      </c>
      <c r="BO39">
        <f ca="1">COUNTIFS(INDIRECT("Table1[Beginn]"),"&lt;="&amp;BO$1,INDIRECT("Table1[Ende]"),"&gt;="&amp;BO$1,INDIRECT("Table1[Obergruppe ATC-Code]"),Tabelle3!$A39)</f>
        <v>2</v>
      </c>
      <c r="BP39">
        <f ca="1">COUNTIFS(INDIRECT("Table1[Beginn]"),"&lt;="&amp;BP$1,INDIRECT("Table1[Ende]"),"&gt;="&amp;BP$1,INDIRECT("Table1[Obergruppe ATC-Code]"),Tabelle3!$A39)</f>
        <v>3</v>
      </c>
      <c r="BQ39">
        <f ca="1">COUNTIFS(INDIRECT("Table1[Beginn]"),"&lt;="&amp;BQ$1,INDIRECT("Table1[Ende]"),"&gt;="&amp;BQ$1,INDIRECT("Table1[Obergruppe ATC-Code]"),Tabelle3!$A39)</f>
        <v>3</v>
      </c>
      <c r="BR39">
        <f ca="1">COUNTIFS(INDIRECT("Table1[Beginn]"),"&lt;="&amp;BR$1,INDIRECT("Table1[Ende]"),"&gt;="&amp;BR$1,INDIRECT("Table1[Obergruppe ATC-Code]"),Tabelle3!$A39)</f>
        <v>1</v>
      </c>
      <c r="BS39">
        <f ca="1">COUNTIFS(INDIRECT("Table1[Beginn]"),"&lt;="&amp;BS$1,INDIRECT("Table1[Ende]"),"&gt;="&amp;BS$1,INDIRECT("Table1[Obergruppe ATC-Code]"),Tabelle3!$A39)</f>
        <v>2</v>
      </c>
      <c r="BT39">
        <f ca="1">COUNTIFS(INDIRECT("Table1[Beginn]"),"&lt;="&amp;BT$1,INDIRECT("Table1[Ende]"),"&gt;="&amp;BT$1,INDIRECT("Table1[Obergruppe ATC-Code]"),Tabelle3!$A39)</f>
        <v>4</v>
      </c>
      <c r="BU39">
        <f ca="1">COUNTIFS(INDIRECT("Table1[Beginn]"),"&lt;="&amp;BU$1,INDIRECT("Table1[Ende]"),"&gt;="&amp;BU$1,INDIRECT("Table1[Obergruppe ATC-Code]"),Tabelle3!$A39)</f>
        <v>3</v>
      </c>
      <c r="BV39">
        <f ca="1">COUNTIFS(INDIRECT("Table1[Beginn]"),"&lt;="&amp;BV$1,INDIRECT("Table1[Ende]"),"&gt;="&amp;BV$1,INDIRECT("Table1[Obergruppe ATC-Code]"),Tabelle3!$A39)</f>
        <v>4</v>
      </c>
      <c r="BW39">
        <f ca="1">COUNTIFS(INDIRECT("Table1[Beginn]"),"&lt;="&amp;BW$1,INDIRECT("Table1[Ende]"),"&gt;="&amp;BW$1,INDIRECT("Table1[Obergruppe ATC-Code]"),Tabelle3!$A39)</f>
        <v>1</v>
      </c>
      <c r="BX39">
        <f ca="1">COUNTIFS(INDIRECT("Table1[Beginn]"),"&lt;="&amp;BX$1,INDIRECT("Table1[Ende]"),"&gt;="&amp;BX$1,INDIRECT("Table1[Obergruppe ATC-Code]"),Tabelle3!$A39)</f>
        <v>1</v>
      </c>
      <c r="BY39">
        <f ca="1">COUNTIFS(INDIRECT("Table1[Beginn]"),"&lt;="&amp;BY$1,INDIRECT("Table1[Ende]"),"&gt;="&amp;BY$1,INDIRECT("Table1[Obergruppe ATC-Code]"),Tabelle3!$A39)</f>
        <v>1</v>
      </c>
      <c r="BZ39">
        <f ca="1">COUNTIFS(INDIRECT("Table1[Beginn]"),"&lt;="&amp;BZ$1,INDIRECT("Table1[Ende]"),"&gt;="&amp;BZ$1,INDIRECT("Table1[Obergruppe ATC-Code]"),Tabelle3!$A39)</f>
        <v>0</v>
      </c>
      <c r="CA39">
        <f ca="1">COUNTIFS(INDIRECT("Table1[Beginn]"),"&lt;="&amp;CA$1,INDIRECT("Table1[Ende]"),"&gt;="&amp;CA$1,INDIRECT("Table1[Obergruppe ATC-Code]"),Tabelle3!$A39)</f>
        <v>3</v>
      </c>
      <c r="CB39">
        <f ca="1">COUNTIFS(INDIRECT("Table1[Beginn]"),"&lt;="&amp;CB$1,INDIRECT("Table1[Ende]"),"&gt;="&amp;CB$1,INDIRECT("Table1[Obergruppe ATC-Code]"),Tabelle3!$A39)</f>
        <v>2</v>
      </c>
      <c r="CC39">
        <f ca="1">COUNTIFS(INDIRECT("Table1[Beginn]"),"&lt;="&amp;CC$1,INDIRECT("Table1[Ende]"),"&gt;="&amp;CC$1,INDIRECT("Table1[Obergruppe ATC-Code]"),Tabelle3!$A39)</f>
        <v>2</v>
      </c>
      <c r="CD39">
        <f ca="1">COUNTIFS(INDIRECT("Table1[Beginn]"),"&lt;="&amp;CD$1,INDIRECT("Table1[Ende]"),"&gt;="&amp;CD$1,INDIRECT("Table1[Obergruppe ATC-Code]"),Tabelle3!$A39)</f>
        <v>1</v>
      </c>
      <c r="CE39">
        <f ca="1">COUNTIFS(INDIRECT("Table1[Beginn]"),"&lt;="&amp;CE$1,INDIRECT("Table1[Ende]"),"&gt;="&amp;CE$1,INDIRECT("Table1[Obergruppe ATC-Code]"),Tabelle3!$A39)</f>
        <v>0</v>
      </c>
      <c r="CF39">
        <f ca="1">COUNTIFS(INDIRECT("Table1[Beginn]"),"&lt;="&amp;CF$1,INDIRECT("Table1[Ende]"),"&gt;="&amp;CF$1,INDIRECT("Table1[Obergruppe ATC-Code]"),Tabelle3!$A39)</f>
        <v>0</v>
      </c>
      <c r="CG39">
        <f ca="1">COUNTIFS(INDIRECT("Table1[Beginn]"),"&lt;="&amp;CG$1,INDIRECT("Table1[Ende]"),"&gt;="&amp;CG$1,INDIRECT("Table1[Obergruppe ATC-Code]"),Tabelle3!$A39)</f>
        <v>0</v>
      </c>
      <c r="CH39">
        <f ca="1">COUNTIFS(INDIRECT("Table1[Beginn]"),"&lt;="&amp;CH$1,INDIRECT("Table1[Ende]"),"&gt;="&amp;CH$1,INDIRECT("Table1[Obergruppe ATC-Code]"),Tabelle3!$A39)</f>
        <v>0</v>
      </c>
      <c r="CI39">
        <f ca="1">COUNTIFS(INDIRECT("Table1[Beginn]"),"&lt;="&amp;CI$1,INDIRECT("Table1[Ende]"),"&gt;="&amp;CI$1,INDIRECT("Table1[Obergruppe ATC-Code]"),Tabelle3!$A39)</f>
        <v>0</v>
      </c>
      <c r="CJ39">
        <f ca="1">COUNTIFS(INDIRECT("Table1[Beginn]"),"&lt;="&amp;CJ$1,INDIRECT("Table1[Ende]"),"&gt;="&amp;CJ$1,INDIRECT("Table1[Obergruppe ATC-Code]"),Tabelle3!$A39)</f>
        <v>0</v>
      </c>
      <c r="CK39">
        <f ca="1">COUNTIFS(INDIRECT("Table1[Beginn]"),"&lt;="&amp;CK$1,INDIRECT("Table1[Ende]"),"&gt;="&amp;CK$1,INDIRECT("Table1[Obergruppe ATC-Code]"),Tabelle3!$A39)</f>
        <v>0</v>
      </c>
      <c r="CL39">
        <f ca="1">COUNTIFS(INDIRECT("Table1[Beginn]"),"&lt;="&amp;CL$1,INDIRECT("Table1[Ende]"),"&gt;="&amp;CL$1,INDIRECT("Table1[Obergruppe ATC-Code]"),Tabelle3!$A39)</f>
        <v>0</v>
      </c>
      <c r="CM39">
        <f ca="1">COUNTIFS(INDIRECT("Table1[Beginn]"),"&lt;="&amp;CM$1,INDIRECT("Table1[Ende]"),"&gt;="&amp;CM$1,INDIRECT("Table1[Obergruppe ATC-Code]"),Tabelle3!$A39)</f>
        <v>0</v>
      </c>
      <c r="CN39">
        <f ca="1">COUNTIFS(INDIRECT("Table1[Beginn]"),"&lt;="&amp;CN$1,INDIRECT("Table1[Ende]"),"&gt;="&amp;CN$1,INDIRECT("Table1[Obergruppe ATC-Code]"),Tabelle3!$A39)</f>
        <v>0</v>
      </c>
      <c r="CO39">
        <f ca="1">COUNTIFS(INDIRECT("Table1[Beginn]"),"&lt;="&amp;CO$1,INDIRECT("Table1[Ende]"),"&gt;="&amp;CO$1,INDIRECT("Table1[Obergruppe ATC-Code]"),Tabelle3!$A39)</f>
        <v>0</v>
      </c>
      <c r="CP39">
        <f ca="1">COUNTIFS(INDIRECT("Table1[Beginn]"),"&lt;="&amp;CP$1,INDIRECT("Table1[Ende]"),"&gt;="&amp;CP$1,INDIRECT("Table1[Obergruppe ATC-Code]"),Tabelle3!$A39)</f>
        <v>0</v>
      </c>
      <c r="CQ39">
        <f ca="1">COUNTIFS(INDIRECT("Table1[Beginn]"),"&lt;="&amp;CQ$1,INDIRECT("Table1[Ende]"),"&gt;="&amp;CQ$1,INDIRECT("Table1[Obergruppe ATC-Code]"),Tabelle3!$A39)</f>
        <v>0</v>
      </c>
      <c r="CR39">
        <f ca="1">COUNTIFS(INDIRECT("Table1[Beginn]"),"&lt;="&amp;CR$1,INDIRECT("Table1[Ende]"),"&gt;="&amp;CR$1,INDIRECT("Table1[Obergruppe ATC-Code]"),Tabelle3!$A39)</f>
        <v>0</v>
      </c>
    </row>
    <row r="40" spans="1:96" ht="18">
      <c r="A40" s="7" t="s">
        <v>6849</v>
      </c>
      <c r="B40" s="8" t="s">
        <v>6850</v>
      </c>
      <c r="C40">
        <f ca="1">COUNTIFS(INDIRECT("Table1[Beginn]"),"&lt;="&amp;C$1,INDIRECT("Table1[Ende]"),"&gt;="&amp;C$1,INDIRECT("Table1[Obergruppe ATC-Code]"),Tabelle3!$A40)</f>
        <v>0</v>
      </c>
      <c r="D40">
        <f ca="1">COUNTIFS(INDIRECT("Table1[Beginn]"),"&lt;="&amp;D$1,INDIRECT("Table1[Ende]"),"&gt;="&amp;D$1,INDIRECT("Table1[Obergruppe ATC-Code]"),Tabelle3!$A40)</f>
        <v>0</v>
      </c>
      <c r="E40">
        <f ca="1">COUNTIFS(INDIRECT("Table1[Beginn]"),"&lt;="&amp;E$1,INDIRECT("Table1[Ende]"),"&gt;="&amp;E$1,INDIRECT("Table1[Obergruppe ATC-Code]"),Tabelle3!$A40)</f>
        <v>0</v>
      </c>
      <c r="F40">
        <f ca="1">COUNTIFS(INDIRECT("Table1[Beginn]"),"&lt;="&amp;F$1,INDIRECT("Table1[Ende]"),"&gt;="&amp;F$1,INDIRECT("Table1[Obergruppe ATC-Code]"),Tabelle3!$A40)</f>
        <v>0</v>
      </c>
      <c r="G40">
        <f ca="1">COUNTIFS(INDIRECT("Table1[Beginn]"),"&lt;="&amp;G$1,INDIRECT("Table1[Ende]"),"&gt;="&amp;G$1,INDIRECT("Table1[Obergruppe ATC-Code]"),Tabelle3!$A40)</f>
        <v>0</v>
      </c>
      <c r="H40">
        <f ca="1">COUNTIFS(INDIRECT("Table1[Beginn]"),"&lt;="&amp;H$1,INDIRECT("Table1[Ende]"),"&gt;="&amp;H$1,INDIRECT("Table1[Obergruppe ATC-Code]"),Tabelle3!$A40)</f>
        <v>0</v>
      </c>
      <c r="I40">
        <f ca="1">COUNTIFS(INDIRECT("Table1[Beginn]"),"&lt;="&amp;I$1,INDIRECT("Table1[Ende]"),"&gt;="&amp;I$1,INDIRECT("Table1[Obergruppe ATC-Code]"),Tabelle3!$A40)</f>
        <v>0</v>
      </c>
      <c r="J40">
        <f ca="1">COUNTIFS(INDIRECT("Table1[Beginn]"),"&lt;="&amp;J$1,INDIRECT("Table1[Ende]"),"&gt;="&amp;J$1,INDIRECT("Table1[Obergruppe ATC-Code]"),Tabelle3!$A40)</f>
        <v>0</v>
      </c>
      <c r="K40">
        <f ca="1">COUNTIFS(INDIRECT("Table1[Beginn]"),"&lt;="&amp;K$1,INDIRECT("Table1[Ende]"),"&gt;="&amp;K$1,INDIRECT("Table1[Obergruppe ATC-Code]"),Tabelle3!$A40)</f>
        <v>0</v>
      </c>
      <c r="L40">
        <f ca="1">COUNTIFS(INDIRECT("Table1[Beginn]"),"&lt;="&amp;L$1,INDIRECT("Table1[Ende]"),"&gt;="&amp;L$1,INDIRECT("Table1[Obergruppe ATC-Code]"),Tabelle3!$A40)</f>
        <v>0</v>
      </c>
      <c r="M40">
        <f ca="1">COUNTIFS(INDIRECT("Table1[Beginn]"),"&lt;="&amp;M$1,INDIRECT("Table1[Ende]"),"&gt;="&amp;M$1,INDIRECT("Table1[Obergruppe ATC-Code]"),Tabelle3!$A40)</f>
        <v>0</v>
      </c>
      <c r="N40">
        <f ca="1">COUNTIFS(INDIRECT("Table1[Beginn]"),"&lt;="&amp;N$1,INDIRECT("Table1[Ende]"),"&gt;="&amp;N$1,INDIRECT("Table1[Obergruppe ATC-Code]"),Tabelle3!$A40)</f>
        <v>0</v>
      </c>
      <c r="O40">
        <f ca="1">COUNTIFS(INDIRECT("Table1[Beginn]"),"&lt;="&amp;O$1,INDIRECT("Table1[Ende]"),"&gt;="&amp;O$1,INDIRECT("Table1[Obergruppe ATC-Code]"),Tabelle3!$A40)</f>
        <v>0</v>
      </c>
      <c r="P40">
        <f ca="1">COUNTIFS(INDIRECT("Table1[Beginn]"),"&lt;="&amp;P$1,INDIRECT("Table1[Ende]"),"&gt;="&amp;P$1,INDIRECT("Table1[Obergruppe ATC-Code]"),Tabelle3!$A40)</f>
        <v>0</v>
      </c>
      <c r="Q40">
        <f ca="1">COUNTIFS(INDIRECT("Table1[Beginn]"),"&lt;="&amp;Q$1,INDIRECT("Table1[Ende]"),"&gt;="&amp;Q$1,INDIRECT("Table1[Obergruppe ATC-Code]"),Tabelle3!$A40)</f>
        <v>0</v>
      </c>
      <c r="R40">
        <f ca="1">COUNTIFS(INDIRECT("Table1[Beginn]"),"&lt;="&amp;R$1,INDIRECT("Table1[Ende]"),"&gt;="&amp;R$1,INDIRECT("Table1[Obergruppe ATC-Code]"),Tabelle3!$A40)</f>
        <v>0</v>
      </c>
      <c r="S40">
        <f ca="1">COUNTIFS(INDIRECT("Table1[Beginn]"),"&lt;="&amp;S$1,INDIRECT("Table1[Ende]"),"&gt;="&amp;S$1,INDIRECT("Table1[Obergruppe ATC-Code]"),Tabelle3!$A40)</f>
        <v>0</v>
      </c>
      <c r="T40">
        <f ca="1">COUNTIFS(INDIRECT("Table1[Beginn]"),"&lt;="&amp;T$1,INDIRECT("Table1[Ende]"),"&gt;="&amp;T$1,INDIRECT("Table1[Obergruppe ATC-Code]"),Tabelle3!$A40)</f>
        <v>0</v>
      </c>
      <c r="U40">
        <f ca="1">COUNTIFS(INDIRECT("Table1[Beginn]"),"&lt;="&amp;U$1,INDIRECT("Table1[Ende]"),"&gt;="&amp;U$1,INDIRECT("Table1[Obergruppe ATC-Code]"),Tabelle3!$A40)</f>
        <v>0</v>
      </c>
      <c r="V40">
        <f ca="1">COUNTIFS(INDIRECT("Table1[Beginn]"),"&lt;="&amp;V$1,INDIRECT("Table1[Ende]"),"&gt;="&amp;V$1,INDIRECT("Table1[Obergruppe ATC-Code]"),Tabelle3!$A40)</f>
        <v>0</v>
      </c>
      <c r="W40">
        <f ca="1">COUNTIFS(INDIRECT("Table1[Beginn]"),"&lt;="&amp;W$1,INDIRECT("Table1[Ende]"),"&gt;="&amp;W$1,INDIRECT("Table1[Obergruppe ATC-Code]"),Tabelle3!$A40)</f>
        <v>0</v>
      </c>
      <c r="X40">
        <f ca="1">COUNTIFS(INDIRECT("Table1[Beginn]"),"&lt;="&amp;X$1,INDIRECT("Table1[Ende]"),"&gt;="&amp;X$1,INDIRECT("Table1[Obergruppe ATC-Code]"),Tabelle3!$A40)</f>
        <v>0</v>
      </c>
      <c r="Y40">
        <f ca="1">COUNTIFS(INDIRECT("Table1[Beginn]"),"&lt;="&amp;Y$1,INDIRECT("Table1[Ende]"),"&gt;="&amp;Y$1,INDIRECT("Table1[Obergruppe ATC-Code]"),Tabelle3!$A40)</f>
        <v>0</v>
      </c>
      <c r="Z40">
        <f ca="1">COUNTIFS(INDIRECT("Table1[Beginn]"),"&lt;="&amp;Z$1,INDIRECT("Table1[Ende]"),"&gt;="&amp;Z$1,INDIRECT("Table1[Obergruppe ATC-Code]"),Tabelle3!$A40)</f>
        <v>0</v>
      </c>
      <c r="AA40">
        <f ca="1">COUNTIFS(INDIRECT("Table1[Beginn]"),"&lt;="&amp;AA$1,INDIRECT("Table1[Ende]"),"&gt;="&amp;AA$1,INDIRECT("Table1[Obergruppe ATC-Code]"),Tabelle3!$A40)</f>
        <v>0</v>
      </c>
      <c r="AB40">
        <f ca="1">COUNTIFS(INDIRECT("Table1[Beginn]"),"&lt;="&amp;AB$1,INDIRECT("Table1[Ende]"),"&gt;="&amp;AB$1,INDIRECT("Table1[Obergruppe ATC-Code]"),Tabelle3!$A40)</f>
        <v>0</v>
      </c>
      <c r="AC40">
        <f ca="1">COUNTIFS(INDIRECT("Table1[Beginn]"),"&lt;="&amp;AC$1,INDIRECT("Table1[Ende]"),"&gt;="&amp;AC$1,INDIRECT("Table1[Obergruppe ATC-Code]"),Tabelle3!$A40)</f>
        <v>0</v>
      </c>
      <c r="AD40">
        <f ca="1">COUNTIFS(INDIRECT("Table1[Beginn]"),"&lt;="&amp;AD$1,INDIRECT("Table1[Ende]"),"&gt;="&amp;AD$1,INDIRECT("Table1[Obergruppe ATC-Code]"),Tabelle3!$A40)</f>
        <v>0</v>
      </c>
      <c r="AE40">
        <f ca="1">COUNTIFS(INDIRECT("Table1[Beginn]"),"&lt;="&amp;AE$1,INDIRECT("Table1[Ende]"),"&gt;="&amp;AE$1,INDIRECT("Table1[Obergruppe ATC-Code]"),Tabelle3!$A40)</f>
        <v>0</v>
      </c>
      <c r="AF40">
        <f ca="1">COUNTIFS(INDIRECT("Table1[Beginn]"),"&lt;="&amp;AF$1,INDIRECT("Table1[Ende]"),"&gt;="&amp;AF$1,INDIRECT("Table1[Obergruppe ATC-Code]"),Tabelle3!$A40)</f>
        <v>0</v>
      </c>
      <c r="AG40">
        <f ca="1">COUNTIFS(INDIRECT("Table1[Beginn]"),"&lt;="&amp;AG$1,INDIRECT("Table1[Ende]"),"&gt;="&amp;AG$1,INDIRECT("Table1[Obergruppe ATC-Code]"),Tabelle3!$A40)</f>
        <v>0</v>
      </c>
      <c r="AH40">
        <f ca="1">COUNTIFS(INDIRECT("Table1[Beginn]"),"&lt;="&amp;AH$1,INDIRECT("Table1[Ende]"),"&gt;="&amp;AH$1,INDIRECT("Table1[Obergruppe ATC-Code]"),Tabelle3!$A40)</f>
        <v>0</v>
      </c>
      <c r="AI40">
        <f ca="1">COUNTIFS(INDIRECT("Table1[Beginn]"),"&lt;="&amp;AI$1,INDIRECT("Table1[Ende]"),"&gt;="&amp;AI$1,INDIRECT("Table1[Obergruppe ATC-Code]"),Tabelle3!$A40)</f>
        <v>0</v>
      </c>
      <c r="AJ40">
        <f ca="1">COUNTIFS(INDIRECT("Table1[Beginn]"),"&lt;="&amp;AJ$1,INDIRECT("Table1[Ende]"),"&gt;="&amp;AJ$1,INDIRECT("Table1[Obergruppe ATC-Code]"),Tabelle3!$A40)</f>
        <v>0</v>
      </c>
      <c r="AK40">
        <f ca="1">COUNTIFS(INDIRECT("Table1[Beginn]"),"&lt;="&amp;AK$1,INDIRECT("Table1[Ende]"),"&gt;="&amp;AK$1,INDIRECT("Table1[Obergruppe ATC-Code]"),Tabelle3!$A40)</f>
        <v>0</v>
      </c>
      <c r="AL40">
        <f ca="1">COUNTIFS(INDIRECT("Table1[Beginn]"),"&lt;="&amp;AL$1,INDIRECT("Table1[Ende]"),"&gt;="&amp;AL$1,INDIRECT("Table1[Obergruppe ATC-Code]"),Tabelle3!$A40)</f>
        <v>0</v>
      </c>
      <c r="AM40">
        <f ca="1">COUNTIFS(INDIRECT("Table1[Beginn]"),"&lt;="&amp;AM$1,INDIRECT("Table1[Ende]"),"&gt;="&amp;AM$1,INDIRECT("Table1[Obergruppe ATC-Code]"),Tabelle3!$A40)</f>
        <v>0</v>
      </c>
      <c r="AN40">
        <f ca="1">COUNTIFS(INDIRECT("Table1[Beginn]"),"&lt;="&amp;AN$1,INDIRECT("Table1[Ende]"),"&gt;="&amp;AN$1,INDIRECT("Table1[Obergruppe ATC-Code]"),Tabelle3!$A40)</f>
        <v>0</v>
      </c>
      <c r="AO40">
        <f ca="1">COUNTIFS(INDIRECT("Table1[Beginn]"),"&lt;="&amp;AO$1,INDIRECT("Table1[Ende]"),"&gt;="&amp;AO$1,INDIRECT("Table1[Obergruppe ATC-Code]"),Tabelle3!$A40)</f>
        <v>0</v>
      </c>
      <c r="AP40">
        <f ca="1">COUNTIFS(INDIRECT("Table1[Beginn]"),"&lt;="&amp;AP$1,INDIRECT("Table1[Ende]"),"&gt;="&amp;AP$1,INDIRECT("Table1[Obergruppe ATC-Code]"),Tabelle3!$A40)</f>
        <v>0</v>
      </c>
      <c r="AQ40">
        <f ca="1">COUNTIFS(INDIRECT("Table1[Beginn]"),"&lt;="&amp;AQ$1,INDIRECT("Table1[Ende]"),"&gt;="&amp;AQ$1,INDIRECT("Table1[Obergruppe ATC-Code]"),Tabelle3!$A40)</f>
        <v>0</v>
      </c>
      <c r="AR40">
        <f ca="1">COUNTIFS(INDIRECT("Table1[Beginn]"),"&lt;="&amp;AR$1,INDIRECT("Table1[Ende]"),"&gt;="&amp;AR$1,INDIRECT("Table1[Obergruppe ATC-Code]"),Tabelle3!$A40)</f>
        <v>0</v>
      </c>
      <c r="AS40">
        <f ca="1">COUNTIFS(INDIRECT("Table1[Beginn]"),"&lt;="&amp;AS$1,INDIRECT("Table1[Ende]"),"&gt;="&amp;AS$1,INDIRECT("Table1[Obergruppe ATC-Code]"),Tabelle3!$A40)</f>
        <v>0</v>
      </c>
      <c r="AT40">
        <f ca="1">COUNTIFS(INDIRECT("Table1[Beginn]"),"&lt;="&amp;AT$1,INDIRECT("Table1[Ende]"),"&gt;="&amp;AT$1,INDIRECT("Table1[Obergruppe ATC-Code]"),Tabelle3!$A40)</f>
        <v>0</v>
      </c>
      <c r="AU40">
        <f ca="1">COUNTIFS(INDIRECT("Table1[Beginn]"),"&lt;="&amp;AU$1,INDIRECT("Table1[Ende]"),"&gt;="&amp;AU$1,INDIRECT("Table1[Obergruppe ATC-Code]"),Tabelle3!$A40)</f>
        <v>0</v>
      </c>
      <c r="AV40">
        <f ca="1">COUNTIFS(INDIRECT("Table1[Beginn]"),"&lt;="&amp;AV$1,INDIRECT("Table1[Ende]"),"&gt;="&amp;AV$1,INDIRECT("Table1[Obergruppe ATC-Code]"),Tabelle3!$A40)</f>
        <v>0</v>
      </c>
      <c r="AW40">
        <f ca="1">COUNTIFS(INDIRECT("Table1[Beginn]"),"&lt;="&amp;AW$1,INDIRECT("Table1[Ende]"),"&gt;="&amp;AW$1,INDIRECT("Table1[Obergruppe ATC-Code]"),Tabelle3!$A40)</f>
        <v>0</v>
      </c>
      <c r="AX40">
        <f ca="1">COUNTIFS(INDIRECT("Table1[Beginn]"),"&lt;="&amp;AX$1,INDIRECT("Table1[Ende]"),"&gt;="&amp;AX$1,INDIRECT("Table1[Obergruppe ATC-Code]"),Tabelle3!$A40)</f>
        <v>0</v>
      </c>
      <c r="AY40">
        <f ca="1">COUNTIFS(INDIRECT("Table1[Beginn]"),"&lt;="&amp;AY$1,INDIRECT("Table1[Ende]"),"&gt;="&amp;AY$1,INDIRECT("Table1[Obergruppe ATC-Code]"),Tabelle3!$A40)</f>
        <v>0</v>
      </c>
      <c r="AZ40">
        <f ca="1">COUNTIFS(INDIRECT("Table1[Beginn]"),"&lt;="&amp;AZ$1,INDIRECT("Table1[Ende]"),"&gt;="&amp;AZ$1,INDIRECT("Table1[Obergruppe ATC-Code]"),Tabelle3!$A40)</f>
        <v>0</v>
      </c>
      <c r="BA40">
        <f ca="1">COUNTIFS(INDIRECT("Table1[Beginn]"),"&lt;="&amp;BA$1,INDIRECT("Table1[Ende]"),"&gt;="&amp;BA$1,INDIRECT("Table1[Obergruppe ATC-Code]"),Tabelle3!$A40)</f>
        <v>1</v>
      </c>
      <c r="BB40">
        <f ca="1">COUNTIFS(INDIRECT("Table1[Beginn]"),"&lt;="&amp;BB$1,INDIRECT("Table1[Ende]"),"&gt;="&amp;BB$1,INDIRECT("Table1[Obergruppe ATC-Code]"),Tabelle3!$A40)</f>
        <v>1</v>
      </c>
      <c r="BC40">
        <f ca="1">COUNTIFS(INDIRECT("Table1[Beginn]"),"&lt;="&amp;BC$1,INDIRECT("Table1[Ende]"),"&gt;="&amp;BC$1,INDIRECT("Table1[Obergruppe ATC-Code]"),Tabelle3!$A40)</f>
        <v>1</v>
      </c>
      <c r="BD40">
        <f ca="1">COUNTIFS(INDIRECT("Table1[Beginn]"),"&lt;="&amp;BD$1,INDIRECT("Table1[Ende]"),"&gt;="&amp;BD$1,INDIRECT("Table1[Obergruppe ATC-Code]"),Tabelle3!$A40)</f>
        <v>2</v>
      </c>
      <c r="BE40">
        <f ca="1">COUNTIFS(INDIRECT("Table1[Beginn]"),"&lt;="&amp;BE$1,INDIRECT("Table1[Ende]"),"&gt;="&amp;BE$1,INDIRECT("Table1[Obergruppe ATC-Code]"),Tabelle3!$A40)</f>
        <v>2</v>
      </c>
      <c r="BF40">
        <f ca="1">COUNTIFS(INDIRECT("Table1[Beginn]"),"&lt;="&amp;BF$1,INDIRECT("Table1[Ende]"),"&gt;="&amp;BF$1,INDIRECT("Table1[Obergruppe ATC-Code]"),Tabelle3!$A40)</f>
        <v>0</v>
      </c>
      <c r="BG40">
        <f ca="1">COUNTIFS(INDIRECT("Table1[Beginn]"),"&lt;="&amp;BG$1,INDIRECT("Table1[Ende]"),"&gt;="&amp;BG$1,INDIRECT("Table1[Obergruppe ATC-Code]"),Tabelle3!$A40)</f>
        <v>0</v>
      </c>
      <c r="BH40">
        <f ca="1">COUNTIFS(INDIRECT("Table1[Beginn]"),"&lt;="&amp;BH$1,INDIRECT("Table1[Ende]"),"&gt;="&amp;BH$1,INDIRECT("Table1[Obergruppe ATC-Code]"),Tabelle3!$A40)</f>
        <v>0</v>
      </c>
      <c r="BI40">
        <f ca="1">COUNTIFS(INDIRECT("Table1[Beginn]"),"&lt;="&amp;BI$1,INDIRECT("Table1[Ende]"),"&gt;="&amp;BI$1,INDIRECT("Table1[Obergruppe ATC-Code]"),Tabelle3!$A40)</f>
        <v>0</v>
      </c>
      <c r="BJ40">
        <f ca="1">COUNTIFS(INDIRECT("Table1[Beginn]"),"&lt;="&amp;BJ$1,INDIRECT("Table1[Ende]"),"&gt;="&amp;BJ$1,INDIRECT("Table1[Obergruppe ATC-Code]"),Tabelle3!$A40)</f>
        <v>0</v>
      </c>
      <c r="BK40">
        <f ca="1">COUNTIFS(INDIRECT("Table1[Beginn]"),"&lt;="&amp;BK$1,INDIRECT("Table1[Ende]"),"&gt;="&amp;BK$1,INDIRECT("Table1[Obergruppe ATC-Code]"),Tabelle3!$A40)</f>
        <v>0</v>
      </c>
      <c r="BL40">
        <f ca="1">COUNTIFS(INDIRECT("Table1[Beginn]"),"&lt;="&amp;BL$1,INDIRECT("Table1[Ende]"),"&gt;="&amp;BL$1,INDIRECT("Table1[Obergruppe ATC-Code]"),Tabelle3!$A40)</f>
        <v>0</v>
      </c>
      <c r="BM40">
        <f ca="1">COUNTIFS(INDIRECT("Table1[Beginn]"),"&lt;="&amp;BM$1,INDIRECT("Table1[Ende]"),"&gt;="&amp;BM$1,INDIRECT("Table1[Obergruppe ATC-Code]"),Tabelle3!$A40)</f>
        <v>0</v>
      </c>
      <c r="BN40">
        <f ca="1">COUNTIFS(INDIRECT("Table1[Beginn]"),"&lt;="&amp;BN$1,INDIRECT("Table1[Ende]"),"&gt;="&amp;BN$1,INDIRECT("Table1[Obergruppe ATC-Code]"),Tabelle3!$A40)</f>
        <v>0</v>
      </c>
      <c r="BO40">
        <f ca="1">COUNTIFS(INDIRECT("Table1[Beginn]"),"&lt;="&amp;BO$1,INDIRECT("Table1[Ende]"),"&gt;="&amp;BO$1,INDIRECT("Table1[Obergruppe ATC-Code]"),Tabelle3!$A40)</f>
        <v>0</v>
      </c>
      <c r="BP40">
        <f ca="1">COUNTIFS(INDIRECT("Table1[Beginn]"),"&lt;="&amp;BP$1,INDIRECT("Table1[Ende]"),"&gt;="&amp;BP$1,INDIRECT("Table1[Obergruppe ATC-Code]"),Tabelle3!$A40)</f>
        <v>0</v>
      </c>
      <c r="BQ40">
        <f ca="1">COUNTIFS(INDIRECT("Table1[Beginn]"),"&lt;="&amp;BQ$1,INDIRECT("Table1[Ende]"),"&gt;="&amp;BQ$1,INDIRECT("Table1[Obergruppe ATC-Code]"),Tabelle3!$A40)</f>
        <v>0</v>
      </c>
      <c r="BR40">
        <f ca="1">COUNTIFS(INDIRECT("Table1[Beginn]"),"&lt;="&amp;BR$1,INDIRECT("Table1[Ende]"),"&gt;="&amp;BR$1,INDIRECT("Table1[Obergruppe ATC-Code]"),Tabelle3!$A40)</f>
        <v>0</v>
      </c>
      <c r="BS40">
        <f ca="1">COUNTIFS(INDIRECT("Table1[Beginn]"),"&lt;="&amp;BS$1,INDIRECT("Table1[Ende]"),"&gt;="&amp;BS$1,INDIRECT("Table1[Obergruppe ATC-Code]"),Tabelle3!$A40)</f>
        <v>0</v>
      </c>
      <c r="BT40">
        <f ca="1">COUNTIFS(INDIRECT("Table1[Beginn]"),"&lt;="&amp;BT$1,INDIRECT("Table1[Ende]"),"&gt;="&amp;BT$1,INDIRECT("Table1[Obergruppe ATC-Code]"),Tabelle3!$A40)</f>
        <v>0</v>
      </c>
      <c r="BU40">
        <f ca="1">COUNTIFS(INDIRECT("Table1[Beginn]"),"&lt;="&amp;BU$1,INDIRECT("Table1[Ende]"),"&gt;="&amp;BU$1,INDIRECT("Table1[Obergruppe ATC-Code]"),Tabelle3!$A40)</f>
        <v>0</v>
      </c>
      <c r="BV40">
        <f ca="1">COUNTIFS(INDIRECT("Table1[Beginn]"),"&lt;="&amp;BV$1,INDIRECT("Table1[Ende]"),"&gt;="&amp;BV$1,INDIRECT("Table1[Obergruppe ATC-Code]"),Tabelle3!$A40)</f>
        <v>0</v>
      </c>
      <c r="BW40">
        <f ca="1">COUNTIFS(INDIRECT("Table1[Beginn]"),"&lt;="&amp;BW$1,INDIRECT("Table1[Ende]"),"&gt;="&amp;BW$1,INDIRECT("Table1[Obergruppe ATC-Code]"),Tabelle3!$A40)</f>
        <v>0</v>
      </c>
      <c r="BX40">
        <f ca="1">COUNTIFS(INDIRECT("Table1[Beginn]"),"&lt;="&amp;BX$1,INDIRECT("Table1[Ende]"),"&gt;="&amp;BX$1,INDIRECT("Table1[Obergruppe ATC-Code]"),Tabelle3!$A40)</f>
        <v>0</v>
      </c>
      <c r="BY40">
        <f ca="1">COUNTIFS(INDIRECT("Table1[Beginn]"),"&lt;="&amp;BY$1,INDIRECT("Table1[Ende]"),"&gt;="&amp;BY$1,INDIRECT("Table1[Obergruppe ATC-Code]"),Tabelle3!$A40)</f>
        <v>0</v>
      </c>
      <c r="BZ40">
        <f ca="1">COUNTIFS(INDIRECT("Table1[Beginn]"),"&lt;="&amp;BZ$1,INDIRECT("Table1[Ende]"),"&gt;="&amp;BZ$1,INDIRECT("Table1[Obergruppe ATC-Code]"),Tabelle3!$A40)</f>
        <v>0</v>
      </c>
      <c r="CA40">
        <f ca="1">COUNTIFS(INDIRECT("Table1[Beginn]"),"&lt;="&amp;CA$1,INDIRECT("Table1[Ende]"),"&gt;="&amp;CA$1,INDIRECT("Table1[Obergruppe ATC-Code]"),Tabelle3!$A40)</f>
        <v>0</v>
      </c>
      <c r="CB40">
        <f ca="1">COUNTIFS(INDIRECT("Table1[Beginn]"),"&lt;="&amp;CB$1,INDIRECT("Table1[Ende]"),"&gt;="&amp;CB$1,INDIRECT("Table1[Obergruppe ATC-Code]"),Tabelle3!$A40)</f>
        <v>0</v>
      </c>
      <c r="CC40">
        <f ca="1">COUNTIFS(INDIRECT("Table1[Beginn]"),"&lt;="&amp;CC$1,INDIRECT("Table1[Ende]"),"&gt;="&amp;CC$1,INDIRECT("Table1[Obergruppe ATC-Code]"),Tabelle3!$A40)</f>
        <v>0</v>
      </c>
      <c r="CD40">
        <f ca="1">COUNTIFS(INDIRECT("Table1[Beginn]"),"&lt;="&amp;CD$1,INDIRECT("Table1[Ende]"),"&gt;="&amp;CD$1,INDIRECT("Table1[Obergruppe ATC-Code]"),Tabelle3!$A40)</f>
        <v>0</v>
      </c>
      <c r="CE40">
        <f ca="1">COUNTIFS(INDIRECT("Table1[Beginn]"),"&lt;="&amp;CE$1,INDIRECT("Table1[Ende]"),"&gt;="&amp;CE$1,INDIRECT("Table1[Obergruppe ATC-Code]"),Tabelle3!$A40)</f>
        <v>0</v>
      </c>
      <c r="CF40">
        <f ca="1">COUNTIFS(INDIRECT("Table1[Beginn]"),"&lt;="&amp;CF$1,INDIRECT("Table1[Ende]"),"&gt;="&amp;CF$1,INDIRECT("Table1[Obergruppe ATC-Code]"),Tabelle3!$A40)</f>
        <v>0</v>
      </c>
      <c r="CG40">
        <f ca="1">COUNTIFS(INDIRECT("Table1[Beginn]"),"&lt;="&amp;CG$1,INDIRECT("Table1[Ende]"),"&gt;="&amp;CG$1,INDIRECT("Table1[Obergruppe ATC-Code]"),Tabelle3!$A40)</f>
        <v>0</v>
      </c>
      <c r="CH40">
        <f ca="1">COUNTIFS(INDIRECT("Table1[Beginn]"),"&lt;="&amp;CH$1,INDIRECT("Table1[Ende]"),"&gt;="&amp;CH$1,INDIRECT("Table1[Obergruppe ATC-Code]"),Tabelle3!$A40)</f>
        <v>0</v>
      </c>
      <c r="CI40">
        <f ca="1">COUNTIFS(INDIRECT("Table1[Beginn]"),"&lt;="&amp;CI$1,INDIRECT("Table1[Ende]"),"&gt;="&amp;CI$1,INDIRECT("Table1[Obergruppe ATC-Code]"),Tabelle3!$A40)</f>
        <v>0</v>
      </c>
      <c r="CJ40">
        <f ca="1">COUNTIFS(INDIRECT("Table1[Beginn]"),"&lt;="&amp;CJ$1,INDIRECT("Table1[Ende]"),"&gt;="&amp;CJ$1,INDIRECT("Table1[Obergruppe ATC-Code]"),Tabelle3!$A40)</f>
        <v>0</v>
      </c>
      <c r="CK40">
        <f ca="1">COUNTIFS(INDIRECT("Table1[Beginn]"),"&lt;="&amp;CK$1,INDIRECT("Table1[Ende]"),"&gt;="&amp;CK$1,INDIRECT("Table1[Obergruppe ATC-Code]"),Tabelle3!$A40)</f>
        <v>0</v>
      </c>
      <c r="CL40">
        <f ca="1">COUNTIFS(INDIRECT("Table1[Beginn]"),"&lt;="&amp;CL$1,INDIRECT("Table1[Ende]"),"&gt;="&amp;CL$1,INDIRECT("Table1[Obergruppe ATC-Code]"),Tabelle3!$A40)</f>
        <v>0</v>
      </c>
      <c r="CM40">
        <f ca="1">COUNTIFS(INDIRECT("Table1[Beginn]"),"&lt;="&amp;CM$1,INDIRECT("Table1[Ende]"),"&gt;="&amp;CM$1,INDIRECT("Table1[Obergruppe ATC-Code]"),Tabelle3!$A40)</f>
        <v>0</v>
      </c>
      <c r="CN40">
        <f ca="1">COUNTIFS(INDIRECT("Table1[Beginn]"),"&lt;="&amp;CN$1,INDIRECT("Table1[Ende]"),"&gt;="&amp;CN$1,INDIRECT("Table1[Obergruppe ATC-Code]"),Tabelle3!$A40)</f>
        <v>0</v>
      </c>
      <c r="CO40">
        <f ca="1">COUNTIFS(INDIRECT("Table1[Beginn]"),"&lt;="&amp;CO$1,INDIRECT("Table1[Ende]"),"&gt;="&amp;CO$1,INDIRECT("Table1[Obergruppe ATC-Code]"),Tabelle3!$A40)</f>
        <v>0</v>
      </c>
      <c r="CP40">
        <f ca="1">COUNTIFS(INDIRECT("Table1[Beginn]"),"&lt;="&amp;CP$1,INDIRECT("Table1[Ende]"),"&gt;="&amp;CP$1,INDIRECT("Table1[Obergruppe ATC-Code]"),Tabelle3!$A40)</f>
        <v>0</v>
      </c>
      <c r="CQ40">
        <f ca="1">COUNTIFS(INDIRECT("Table1[Beginn]"),"&lt;="&amp;CQ$1,INDIRECT("Table1[Ende]"),"&gt;="&amp;CQ$1,INDIRECT("Table1[Obergruppe ATC-Code]"),Tabelle3!$A40)</f>
        <v>0</v>
      </c>
      <c r="CR40">
        <f ca="1">COUNTIFS(INDIRECT("Table1[Beginn]"),"&lt;="&amp;CR$1,INDIRECT("Table1[Ende]"),"&gt;="&amp;CR$1,INDIRECT("Table1[Obergruppe ATC-Code]"),Tabelle3!$A40)</f>
        <v>0</v>
      </c>
    </row>
    <row r="41" spans="1:96" ht="18">
      <c r="A41" s="9" t="s">
        <v>6851</v>
      </c>
      <c r="B41" s="10" t="s">
        <v>6852</v>
      </c>
      <c r="C41">
        <f ca="1">COUNTIFS(INDIRECT("Table1[Beginn]"),"&lt;="&amp;C$1,INDIRECT("Table1[Ende]"),"&gt;="&amp;C$1,INDIRECT("Table1[Obergruppe ATC-Code]"),Tabelle3!$A41)</f>
        <v>0</v>
      </c>
      <c r="D41">
        <f ca="1">COUNTIFS(INDIRECT("Table1[Beginn]"),"&lt;="&amp;D$1,INDIRECT("Table1[Ende]"),"&gt;="&amp;D$1,INDIRECT("Table1[Obergruppe ATC-Code]"),Tabelle3!$A41)</f>
        <v>0</v>
      </c>
      <c r="E41">
        <f ca="1">COUNTIFS(INDIRECT("Table1[Beginn]"),"&lt;="&amp;E$1,INDIRECT("Table1[Ende]"),"&gt;="&amp;E$1,INDIRECT("Table1[Obergruppe ATC-Code]"),Tabelle3!$A41)</f>
        <v>0</v>
      </c>
      <c r="F41">
        <f ca="1">COUNTIFS(INDIRECT("Table1[Beginn]"),"&lt;="&amp;F$1,INDIRECT("Table1[Ende]"),"&gt;="&amp;F$1,INDIRECT("Table1[Obergruppe ATC-Code]"),Tabelle3!$A41)</f>
        <v>0</v>
      </c>
      <c r="G41">
        <f ca="1">COUNTIFS(INDIRECT("Table1[Beginn]"),"&lt;="&amp;G$1,INDIRECT("Table1[Ende]"),"&gt;="&amp;G$1,INDIRECT("Table1[Obergruppe ATC-Code]"),Tabelle3!$A41)</f>
        <v>0</v>
      </c>
      <c r="H41">
        <f ca="1">COUNTIFS(INDIRECT("Table1[Beginn]"),"&lt;="&amp;H$1,INDIRECT("Table1[Ende]"),"&gt;="&amp;H$1,INDIRECT("Table1[Obergruppe ATC-Code]"),Tabelle3!$A41)</f>
        <v>0</v>
      </c>
      <c r="I41">
        <f ca="1">COUNTIFS(INDIRECT("Table1[Beginn]"),"&lt;="&amp;I$1,INDIRECT("Table1[Ende]"),"&gt;="&amp;I$1,INDIRECT("Table1[Obergruppe ATC-Code]"),Tabelle3!$A41)</f>
        <v>0</v>
      </c>
      <c r="J41">
        <f ca="1">COUNTIFS(INDIRECT("Table1[Beginn]"),"&lt;="&amp;J$1,INDIRECT("Table1[Ende]"),"&gt;="&amp;J$1,INDIRECT("Table1[Obergruppe ATC-Code]"),Tabelle3!$A41)</f>
        <v>0</v>
      </c>
      <c r="K41">
        <f ca="1">COUNTIFS(INDIRECT("Table1[Beginn]"),"&lt;="&amp;K$1,INDIRECT("Table1[Ende]"),"&gt;="&amp;K$1,INDIRECT("Table1[Obergruppe ATC-Code]"),Tabelle3!$A41)</f>
        <v>0</v>
      </c>
      <c r="L41">
        <f ca="1">COUNTIFS(INDIRECT("Table1[Beginn]"),"&lt;="&amp;L$1,INDIRECT("Table1[Ende]"),"&gt;="&amp;L$1,INDIRECT("Table1[Obergruppe ATC-Code]"),Tabelle3!$A41)</f>
        <v>0</v>
      </c>
      <c r="M41">
        <f ca="1">COUNTIFS(INDIRECT("Table1[Beginn]"),"&lt;="&amp;M$1,INDIRECT("Table1[Ende]"),"&gt;="&amp;M$1,INDIRECT("Table1[Obergruppe ATC-Code]"),Tabelle3!$A41)</f>
        <v>0</v>
      </c>
      <c r="N41">
        <f ca="1">COUNTIFS(INDIRECT("Table1[Beginn]"),"&lt;="&amp;N$1,INDIRECT("Table1[Ende]"),"&gt;="&amp;N$1,INDIRECT("Table1[Obergruppe ATC-Code]"),Tabelle3!$A41)</f>
        <v>0</v>
      </c>
      <c r="O41">
        <f ca="1">COUNTIFS(INDIRECT("Table1[Beginn]"),"&lt;="&amp;O$1,INDIRECT("Table1[Ende]"),"&gt;="&amp;O$1,INDIRECT("Table1[Obergruppe ATC-Code]"),Tabelle3!$A41)</f>
        <v>0</v>
      </c>
      <c r="P41">
        <f ca="1">COUNTIFS(INDIRECT("Table1[Beginn]"),"&lt;="&amp;P$1,INDIRECT("Table1[Ende]"),"&gt;="&amp;P$1,INDIRECT("Table1[Obergruppe ATC-Code]"),Tabelle3!$A41)</f>
        <v>0</v>
      </c>
      <c r="Q41">
        <f ca="1">COUNTIFS(INDIRECT("Table1[Beginn]"),"&lt;="&amp;Q$1,INDIRECT("Table1[Ende]"),"&gt;="&amp;Q$1,INDIRECT("Table1[Obergruppe ATC-Code]"),Tabelle3!$A41)</f>
        <v>0</v>
      </c>
      <c r="R41">
        <f ca="1">COUNTIFS(INDIRECT("Table1[Beginn]"),"&lt;="&amp;R$1,INDIRECT("Table1[Ende]"),"&gt;="&amp;R$1,INDIRECT("Table1[Obergruppe ATC-Code]"),Tabelle3!$A41)</f>
        <v>0</v>
      </c>
      <c r="S41">
        <f ca="1">COUNTIFS(INDIRECT("Table1[Beginn]"),"&lt;="&amp;S$1,INDIRECT("Table1[Ende]"),"&gt;="&amp;S$1,INDIRECT("Table1[Obergruppe ATC-Code]"),Tabelle3!$A41)</f>
        <v>0</v>
      </c>
      <c r="T41">
        <f ca="1">COUNTIFS(INDIRECT("Table1[Beginn]"),"&lt;="&amp;T$1,INDIRECT("Table1[Ende]"),"&gt;="&amp;T$1,INDIRECT("Table1[Obergruppe ATC-Code]"),Tabelle3!$A41)</f>
        <v>0</v>
      </c>
      <c r="U41">
        <f ca="1">COUNTIFS(INDIRECT("Table1[Beginn]"),"&lt;="&amp;U$1,INDIRECT("Table1[Ende]"),"&gt;="&amp;U$1,INDIRECT("Table1[Obergruppe ATC-Code]"),Tabelle3!$A41)</f>
        <v>0</v>
      </c>
      <c r="V41">
        <f ca="1">COUNTIFS(INDIRECT("Table1[Beginn]"),"&lt;="&amp;V$1,INDIRECT("Table1[Ende]"),"&gt;="&amp;V$1,INDIRECT("Table1[Obergruppe ATC-Code]"),Tabelle3!$A41)</f>
        <v>0</v>
      </c>
      <c r="W41">
        <f ca="1">COUNTIFS(INDIRECT("Table1[Beginn]"),"&lt;="&amp;W$1,INDIRECT("Table1[Ende]"),"&gt;="&amp;W$1,INDIRECT("Table1[Obergruppe ATC-Code]"),Tabelle3!$A41)</f>
        <v>0</v>
      </c>
      <c r="X41">
        <f ca="1">COUNTIFS(INDIRECT("Table1[Beginn]"),"&lt;="&amp;X$1,INDIRECT("Table1[Ende]"),"&gt;="&amp;X$1,INDIRECT("Table1[Obergruppe ATC-Code]"),Tabelle3!$A41)</f>
        <v>0</v>
      </c>
      <c r="Y41">
        <f ca="1">COUNTIFS(INDIRECT("Table1[Beginn]"),"&lt;="&amp;Y$1,INDIRECT("Table1[Ende]"),"&gt;="&amp;Y$1,INDIRECT("Table1[Obergruppe ATC-Code]"),Tabelle3!$A41)</f>
        <v>0</v>
      </c>
      <c r="Z41">
        <f ca="1">COUNTIFS(INDIRECT("Table1[Beginn]"),"&lt;="&amp;Z$1,INDIRECT("Table1[Ende]"),"&gt;="&amp;Z$1,INDIRECT("Table1[Obergruppe ATC-Code]"),Tabelle3!$A41)</f>
        <v>0</v>
      </c>
      <c r="AA41">
        <f ca="1">COUNTIFS(INDIRECT("Table1[Beginn]"),"&lt;="&amp;AA$1,INDIRECT("Table1[Ende]"),"&gt;="&amp;AA$1,INDIRECT("Table1[Obergruppe ATC-Code]"),Tabelle3!$A41)</f>
        <v>0</v>
      </c>
      <c r="AB41">
        <f ca="1">COUNTIFS(INDIRECT("Table1[Beginn]"),"&lt;="&amp;AB$1,INDIRECT("Table1[Ende]"),"&gt;="&amp;AB$1,INDIRECT("Table1[Obergruppe ATC-Code]"),Tabelle3!$A41)</f>
        <v>0</v>
      </c>
      <c r="AC41">
        <f ca="1">COUNTIFS(INDIRECT("Table1[Beginn]"),"&lt;="&amp;AC$1,INDIRECT("Table1[Ende]"),"&gt;="&amp;AC$1,INDIRECT("Table1[Obergruppe ATC-Code]"),Tabelle3!$A41)</f>
        <v>0</v>
      </c>
      <c r="AD41">
        <f ca="1">COUNTIFS(INDIRECT("Table1[Beginn]"),"&lt;="&amp;AD$1,INDIRECT("Table1[Ende]"),"&gt;="&amp;AD$1,INDIRECT("Table1[Obergruppe ATC-Code]"),Tabelle3!$A41)</f>
        <v>0</v>
      </c>
      <c r="AE41">
        <f ca="1">COUNTIFS(INDIRECT("Table1[Beginn]"),"&lt;="&amp;AE$1,INDIRECT("Table1[Ende]"),"&gt;="&amp;AE$1,INDIRECT("Table1[Obergruppe ATC-Code]"),Tabelle3!$A41)</f>
        <v>0</v>
      </c>
      <c r="AF41">
        <f ca="1">COUNTIFS(INDIRECT("Table1[Beginn]"),"&lt;="&amp;AF$1,INDIRECT("Table1[Ende]"),"&gt;="&amp;AF$1,INDIRECT("Table1[Obergruppe ATC-Code]"),Tabelle3!$A41)</f>
        <v>0</v>
      </c>
      <c r="AG41">
        <f ca="1">COUNTIFS(INDIRECT("Table1[Beginn]"),"&lt;="&amp;AG$1,INDIRECT("Table1[Ende]"),"&gt;="&amp;AG$1,INDIRECT("Table1[Obergruppe ATC-Code]"),Tabelle3!$A41)</f>
        <v>0</v>
      </c>
      <c r="AH41">
        <f ca="1">COUNTIFS(INDIRECT("Table1[Beginn]"),"&lt;="&amp;AH$1,INDIRECT("Table1[Ende]"),"&gt;="&amp;AH$1,INDIRECT("Table1[Obergruppe ATC-Code]"),Tabelle3!$A41)</f>
        <v>0</v>
      </c>
      <c r="AI41">
        <f ca="1">COUNTIFS(INDIRECT("Table1[Beginn]"),"&lt;="&amp;AI$1,INDIRECT("Table1[Ende]"),"&gt;="&amp;AI$1,INDIRECT("Table1[Obergruppe ATC-Code]"),Tabelle3!$A41)</f>
        <v>0</v>
      </c>
      <c r="AJ41">
        <f ca="1">COUNTIFS(INDIRECT("Table1[Beginn]"),"&lt;="&amp;AJ$1,INDIRECT("Table1[Ende]"),"&gt;="&amp;AJ$1,INDIRECT("Table1[Obergruppe ATC-Code]"),Tabelle3!$A41)</f>
        <v>0</v>
      </c>
      <c r="AK41">
        <f ca="1">COUNTIFS(INDIRECT("Table1[Beginn]"),"&lt;="&amp;AK$1,INDIRECT("Table1[Ende]"),"&gt;="&amp;AK$1,INDIRECT("Table1[Obergruppe ATC-Code]"),Tabelle3!$A41)</f>
        <v>0</v>
      </c>
      <c r="AL41">
        <f ca="1">COUNTIFS(INDIRECT("Table1[Beginn]"),"&lt;="&amp;AL$1,INDIRECT("Table1[Ende]"),"&gt;="&amp;AL$1,INDIRECT("Table1[Obergruppe ATC-Code]"),Tabelle3!$A41)</f>
        <v>0</v>
      </c>
      <c r="AM41">
        <f ca="1">COUNTIFS(INDIRECT("Table1[Beginn]"),"&lt;="&amp;AM$1,INDIRECT("Table1[Ende]"),"&gt;="&amp;AM$1,INDIRECT("Table1[Obergruppe ATC-Code]"),Tabelle3!$A41)</f>
        <v>0</v>
      </c>
      <c r="AN41">
        <f ca="1">COUNTIFS(INDIRECT("Table1[Beginn]"),"&lt;="&amp;AN$1,INDIRECT("Table1[Ende]"),"&gt;="&amp;AN$1,INDIRECT("Table1[Obergruppe ATC-Code]"),Tabelle3!$A41)</f>
        <v>0</v>
      </c>
      <c r="AO41">
        <f ca="1">COUNTIFS(INDIRECT("Table1[Beginn]"),"&lt;="&amp;AO$1,INDIRECT("Table1[Ende]"),"&gt;="&amp;AO$1,INDIRECT("Table1[Obergruppe ATC-Code]"),Tabelle3!$A41)</f>
        <v>0</v>
      </c>
      <c r="AP41">
        <f ca="1">COUNTIFS(INDIRECT("Table1[Beginn]"),"&lt;="&amp;AP$1,INDIRECT("Table1[Ende]"),"&gt;="&amp;AP$1,INDIRECT("Table1[Obergruppe ATC-Code]"),Tabelle3!$A41)</f>
        <v>0</v>
      </c>
      <c r="AQ41">
        <f ca="1">COUNTIFS(INDIRECT("Table1[Beginn]"),"&lt;="&amp;AQ$1,INDIRECT("Table1[Ende]"),"&gt;="&amp;AQ$1,INDIRECT("Table1[Obergruppe ATC-Code]"),Tabelle3!$A41)</f>
        <v>0</v>
      </c>
      <c r="AR41">
        <f ca="1">COUNTIFS(INDIRECT("Table1[Beginn]"),"&lt;="&amp;AR$1,INDIRECT("Table1[Ende]"),"&gt;="&amp;AR$1,INDIRECT("Table1[Obergruppe ATC-Code]"),Tabelle3!$A41)</f>
        <v>0</v>
      </c>
      <c r="AS41">
        <f ca="1">COUNTIFS(INDIRECT("Table1[Beginn]"),"&lt;="&amp;AS$1,INDIRECT("Table1[Ende]"),"&gt;="&amp;AS$1,INDIRECT("Table1[Obergruppe ATC-Code]"),Tabelle3!$A41)</f>
        <v>0</v>
      </c>
      <c r="AT41">
        <f ca="1">COUNTIFS(INDIRECT("Table1[Beginn]"),"&lt;="&amp;AT$1,INDIRECT("Table1[Ende]"),"&gt;="&amp;AT$1,INDIRECT("Table1[Obergruppe ATC-Code]"),Tabelle3!$A41)</f>
        <v>0</v>
      </c>
      <c r="AU41">
        <f ca="1">COUNTIFS(INDIRECT("Table1[Beginn]"),"&lt;="&amp;AU$1,INDIRECT("Table1[Ende]"),"&gt;="&amp;AU$1,INDIRECT("Table1[Obergruppe ATC-Code]"),Tabelle3!$A41)</f>
        <v>0</v>
      </c>
      <c r="AV41">
        <f ca="1">COUNTIFS(INDIRECT("Table1[Beginn]"),"&lt;="&amp;AV$1,INDIRECT("Table1[Ende]"),"&gt;="&amp;AV$1,INDIRECT("Table1[Obergruppe ATC-Code]"),Tabelle3!$A41)</f>
        <v>0</v>
      </c>
      <c r="AW41">
        <f ca="1">COUNTIFS(INDIRECT("Table1[Beginn]"),"&lt;="&amp;AW$1,INDIRECT("Table1[Ende]"),"&gt;="&amp;AW$1,INDIRECT("Table1[Obergruppe ATC-Code]"),Tabelle3!$A41)</f>
        <v>0</v>
      </c>
      <c r="AX41">
        <f ca="1">COUNTIFS(INDIRECT("Table1[Beginn]"),"&lt;="&amp;AX$1,INDIRECT("Table1[Ende]"),"&gt;="&amp;AX$1,INDIRECT("Table1[Obergruppe ATC-Code]"),Tabelle3!$A41)</f>
        <v>0</v>
      </c>
      <c r="AY41">
        <f ca="1">COUNTIFS(INDIRECT("Table1[Beginn]"),"&lt;="&amp;AY$1,INDIRECT("Table1[Ende]"),"&gt;="&amp;AY$1,INDIRECT("Table1[Obergruppe ATC-Code]"),Tabelle3!$A41)</f>
        <v>0</v>
      </c>
      <c r="AZ41">
        <f ca="1">COUNTIFS(INDIRECT("Table1[Beginn]"),"&lt;="&amp;AZ$1,INDIRECT("Table1[Ende]"),"&gt;="&amp;AZ$1,INDIRECT("Table1[Obergruppe ATC-Code]"),Tabelle3!$A41)</f>
        <v>0</v>
      </c>
      <c r="BA41">
        <f ca="1">COUNTIFS(INDIRECT("Table1[Beginn]"),"&lt;="&amp;BA$1,INDIRECT("Table1[Ende]"),"&gt;="&amp;BA$1,INDIRECT("Table1[Obergruppe ATC-Code]"),Tabelle3!$A41)</f>
        <v>0</v>
      </c>
      <c r="BB41">
        <f ca="1">COUNTIFS(INDIRECT("Table1[Beginn]"),"&lt;="&amp;BB$1,INDIRECT("Table1[Ende]"),"&gt;="&amp;BB$1,INDIRECT("Table1[Obergruppe ATC-Code]"),Tabelle3!$A41)</f>
        <v>0</v>
      </c>
      <c r="BC41">
        <f ca="1">COUNTIFS(INDIRECT("Table1[Beginn]"),"&lt;="&amp;BC$1,INDIRECT("Table1[Ende]"),"&gt;="&amp;BC$1,INDIRECT("Table1[Obergruppe ATC-Code]"),Tabelle3!$A41)</f>
        <v>0</v>
      </c>
      <c r="BD41">
        <f ca="1">COUNTIFS(INDIRECT("Table1[Beginn]"),"&lt;="&amp;BD$1,INDIRECT("Table1[Ende]"),"&gt;="&amp;BD$1,INDIRECT("Table1[Obergruppe ATC-Code]"),Tabelle3!$A41)</f>
        <v>0</v>
      </c>
      <c r="BE41">
        <f ca="1">COUNTIFS(INDIRECT("Table1[Beginn]"),"&lt;="&amp;BE$1,INDIRECT("Table1[Ende]"),"&gt;="&amp;BE$1,INDIRECT("Table1[Obergruppe ATC-Code]"),Tabelle3!$A41)</f>
        <v>0</v>
      </c>
      <c r="BF41">
        <f ca="1">COUNTIFS(INDIRECT("Table1[Beginn]"),"&lt;="&amp;BF$1,INDIRECT("Table1[Ende]"),"&gt;="&amp;BF$1,INDIRECT("Table1[Obergruppe ATC-Code]"),Tabelle3!$A41)</f>
        <v>0</v>
      </c>
      <c r="BG41">
        <f ca="1">COUNTIFS(INDIRECT("Table1[Beginn]"),"&lt;="&amp;BG$1,INDIRECT("Table1[Ende]"),"&gt;="&amp;BG$1,INDIRECT("Table1[Obergruppe ATC-Code]"),Tabelle3!$A41)</f>
        <v>0</v>
      </c>
      <c r="BH41">
        <f ca="1">COUNTIFS(INDIRECT("Table1[Beginn]"),"&lt;="&amp;BH$1,INDIRECT("Table1[Ende]"),"&gt;="&amp;BH$1,INDIRECT("Table1[Obergruppe ATC-Code]"),Tabelle3!$A41)</f>
        <v>0</v>
      </c>
      <c r="BI41">
        <f ca="1">COUNTIFS(INDIRECT("Table1[Beginn]"),"&lt;="&amp;BI$1,INDIRECT("Table1[Ende]"),"&gt;="&amp;BI$1,INDIRECT("Table1[Obergruppe ATC-Code]"),Tabelle3!$A41)</f>
        <v>0</v>
      </c>
      <c r="BJ41">
        <f ca="1">COUNTIFS(INDIRECT("Table1[Beginn]"),"&lt;="&amp;BJ$1,INDIRECT("Table1[Ende]"),"&gt;="&amp;BJ$1,INDIRECT("Table1[Obergruppe ATC-Code]"),Tabelle3!$A41)</f>
        <v>0</v>
      </c>
      <c r="BK41">
        <f ca="1">COUNTIFS(INDIRECT("Table1[Beginn]"),"&lt;="&amp;BK$1,INDIRECT("Table1[Ende]"),"&gt;="&amp;BK$1,INDIRECT("Table1[Obergruppe ATC-Code]"),Tabelle3!$A41)</f>
        <v>0</v>
      </c>
      <c r="BL41">
        <f ca="1">COUNTIFS(INDIRECT("Table1[Beginn]"),"&lt;="&amp;BL$1,INDIRECT("Table1[Ende]"),"&gt;="&amp;BL$1,INDIRECT("Table1[Obergruppe ATC-Code]"),Tabelle3!$A41)</f>
        <v>0</v>
      </c>
      <c r="BM41">
        <f ca="1">COUNTIFS(INDIRECT("Table1[Beginn]"),"&lt;="&amp;BM$1,INDIRECT("Table1[Ende]"),"&gt;="&amp;BM$1,INDIRECT("Table1[Obergruppe ATC-Code]"),Tabelle3!$A41)</f>
        <v>0</v>
      </c>
      <c r="BN41">
        <f ca="1">COUNTIFS(INDIRECT("Table1[Beginn]"),"&lt;="&amp;BN$1,INDIRECT("Table1[Ende]"),"&gt;="&amp;BN$1,INDIRECT("Table1[Obergruppe ATC-Code]"),Tabelle3!$A41)</f>
        <v>0</v>
      </c>
      <c r="BO41">
        <f ca="1">COUNTIFS(INDIRECT("Table1[Beginn]"),"&lt;="&amp;BO$1,INDIRECT("Table1[Ende]"),"&gt;="&amp;BO$1,INDIRECT("Table1[Obergruppe ATC-Code]"),Tabelle3!$A41)</f>
        <v>0</v>
      </c>
      <c r="BP41">
        <f ca="1">COUNTIFS(INDIRECT("Table1[Beginn]"),"&lt;="&amp;BP$1,INDIRECT("Table1[Ende]"),"&gt;="&amp;BP$1,INDIRECT("Table1[Obergruppe ATC-Code]"),Tabelle3!$A41)</f>
        <v>0</v>
      </c>
      <c r="BQ41">
        <f ca="1">COUNTIFS(INDIRECT("Table1[Beginn]"),"&lt;="&amp;BQ$1,INDIRECT("Table1[Ende]"),"&gt;="&amp;BQ$1,INDIRECT("Table1[Obergruppe ATC-Code]"),Tabelle3!$A41)</f>
        <v>0</v>
      </c>
      <c r="BR41">
        <f ca="1">COUNTIFS(INDIRECT("Table1[Beginn]"),"&lt;="&amp;BR$1,INDIRECT("Table1[Ende]"),"&gt;="&amp;BR$1,INDIRECT("Table1[Obergruppe ATC-Code]"),Tabelle3!$A41)</f>
        <v>0</v>
      </c>
      <c r="BS41">
        <f ca="1">COUNTIFS(INDIRECT("Table1[Beginn]"),"&lt;="&amp;BS$1,INDIRECT("Table1[Ende]"),"&gt;="&amp;BS$1,INDIRECT("Table1[Obergruppe ATC-Code]"),Tabelle3!$A41)</f>
        <v>0</v>
      </c>
      <c r="BT41">
        <f ca="1">COUNTIFS(INDIRECT("Table1[Beginn]"),"&lt;="&amp;BT$1,INDIRECT("Table1[Ende]"),"&gt;="&amp;BT$1,INDIRECT("Table1[Obergruppe ATC-Code]"),Tabelle3!$A41)</f>
        <v>0</v>
      </c>
      <c r="BU41">
        <f ca="1">COUNTIFS(INDIRECT("Table1[Beginn]"),"&lt;="&amp;BU$1,INDIRECT("Table1[Ende]"),"&gt;="&amp;BU$1,INDIRECT("Table1[Obergruppe ATC-Code]"),Tabelle3!$A41)</f>
        <v>0</v>
      </c>
      <c r="BV41">
        <f ca="1">COUNTIFS(INDIRECT("Table1[Beginn]"),"&lt;="&amp;BV$1,INDIRECT("Table1[Ende]"),"&gt;="&amp;BV$1,INDIRECT("Table1[Obergruppe ATC-Code]"),Tabelle3!$A41)</f>
        <v>0</v>
      </c>
      <c r="BW41">
        <f ca="1">COUNTIFS(INDIRECT("Table1[Beginn]"),"&lt;="&amp;BW$1,INDIRECT("Table1[Ende]"),"&gt;="&amp;BW$1,INDIRECT("Table1[Obergruppe ATC-Code]"),Tabelle3!$A41)</f>
        <v>0</v>
      </c>
      <c r="BX41">
        <f ca="1">COUNTIFS(INDIRECT("Table1[Beginn]"),"&lt;="&amp;BX$1,INDIRECT("Table1[Ende]"),"&gt;="&amp;BX$1,INDIRECT("Table1[Obergruppe ATC-Code]"),Tabelle3!$A41)</f>
        <v>0</v>
      </c>
      <c r="BY41">
        <f ca="1">COUNTIFS(INDIRECT("Table1[Beginn]"),"&lt;="&amp;BY$1,INDIRECT("Table1[Ende]"),"&gt;="&amp;BY$1,INDIRECT("Table1[Obergruppe ATC-Code]"),Tabelle3!$A41)</f>
        <v>0</v>
      </c>
      <c r="BZ41">
        <f ca="1">COUNTIFS(INDIRECT("Table1[Beginn]"),"&lt;="&amp;BZ$1,INDIRECT("Table1[Ende]"),"&gt;="&amp;BZ$1,INDIRECT("Table1[Obergruppe ATC-Code]"),Tabelle3!$A41)</f>
        <v>0</v>
      </c>
      <c r="CA41">
        <f ca="1">COUNTIFS(INDIRECT("Table1[Beginn]"),"&lt;="&amp;CA$1,INDIRECT("Table1[Ende]"),"&gt;="&amp;CA$1,INDIRECT("Table1[Obergruppe ATC-Code]"),Tabelle3!$A41)</f>
        <v>0</v>
      </c>
      <c r="CB41">
        <f ca="1">COUNTIFS(INDIRECT("Table1[Beginn]"),"&lt;="&amp;CB$1,INDIRECT("Table1[Ende]"),"&gt;="&amp;CB$1,INDIRECT("Table1[Obergruppe ATC-Code]"),Tabelle3!$A41)</f>
        <v>0</v>
      </c>
      <c r="CC41">
        <f ca="1">COUNTIFS(INDIRECT("Table1[Beginn]"),"&lt;="&amp;CC$1,INDIRECT("Table1[Ende]"),"&gt;="&amp;CC$1,INDIRECT("Table1[Obergruppe ATC-Code]"),Tabelle3!$A41)</f>
        <v>0</v>
      </c>
      <c r="CD41">
        <f ca="1">COUNTIFS(INDIRECT("Table1[Beginn]"),"&lt;="&amp;CD$1,INDIRECT("Table1[Ende]"),"&gt;="&amp;CD$1,INDIRECT("Table1[Obergruppe ATC-Code]"),Tabelle3!$A41)</f>
        <v>0</v>
      </c>
      <c r="CE41">
        <f ca="1">COUNTIFS(INDIRECT("Table1[Beginn]"),"&lt;="&amp;CE$1,INDIRECT("Table1[Ende]"),"&gt;="&amp;CE$1,INDIRECT("Table1[Obergruppe ATC-Code]"),Tabelle3!$A41)</f>
        <v>0</v>
      </c>
      <c r="CF41">
        <f ca="1">COUNTIFS(INDIRECT("Table1[Beginn]"),"&lt;="&amp;CF$1,INDIRECT("Table1[Ende]"),"&gt;="&amp;CF$1,INDIRECT("Table1[Obergruppe ATC-Code]"),Tabelle3!$A41)</f>
        <v>0</v>
      </c>
      <c r="CG41">
        <f ca="1">COUNTIFS(INDIRECT("Table1[Beginn]"),"&lt;="&amp;CG$1,INDIRECT("Table1[Ende]"),"&gt;="&amp;CG$1,INDIRECT("Table1[Obergruppe ATC-Code]"),Tabelle3!$A41)</f>
        <v>0</v>
      </c>
      <c r="CH41">
        <f ca="1">COUNTIFS(INDIRECT("Table1[Beginn]"),"&lt;="&amp;CH$1,INDIRECT("Table1[Ende]"),"&gt;="&amp;CH$1,INDIRECT("Table1[Obergruppe ATC-Code]"),Tabelle3!$A41)</f>
        <v>0</v>
      </c>
      <c r="CI41">
        <f ca="1">COUNTIFS(INDIRECT("Table1[Beginn]"),"&lt;="&amp;CI$1,INDIRECT("Table1[Ende]"),"&gt;="&amp;CI$1,INDIRECT("Table1[Obergruppe ATC-Code]"),Tabelle3!$A41)</f>
        <v>0</v>
      </c>
      <c r="CJ41">
        <f ca="1">COUNTIFS(INDIRECT("Table1[Beginn]"),"&lt;="&amp;CJ$1,INDIRECT("Table1[Ende]"),"&gt;="&amp;CJ$1,INDIRECT("Table1[Obergruppe ATC-Code]"),Tabelle3!$A41)</f>
        <v>0</v>
      </c>
      <c r="CK41">
        <f ca="1">COUNTIFS(INDIRECT("Table1[Beginn]"),"&lt;="&amp;CK$1,INDIRECT("Table1[Ende]"),"&gt;="&amp;CK$1,INDIRECT("Table1[Obergruppe ATC-Code]"),Tabelle3!$A41)</f>
        <v>0</v>
      </c>
      <c r="CL41">
        <f ca="1">COUNTIFS(INDIRECT("Table1[Beginn]"),"&lt;="&amp;CL$1,INDIRECT("Table1[Ende]"),"&gt;="&amp;CL$1,INDIRECT("Table1[Obergruppe ATC-Code]"),Tabelle3!$A41)</f>
        <v>0</v>
      </c>
      <c r="CM41">
        <f ca="1">COUNTIFS(INDIRECT("Table1[Beginn]"),"&lt;="&amp;CM$1,INDIRECT("Table1[Ende]"),"&gt;="&amp;CM$1,INDIRECT("Table1[Obergruppe ATC-Code]"),Tabelle3!$A41)</f>
        <v>0</v>
      </c>
      <c r="CN41">
        <f ca="1">COUNTIFS(INDIRECT("Table1[Beginn]"),"&lt;="&amp;CN$1,INDIRECT("Table1[Ende]"),"&gt;="&amp;CN$1,INDIRECT("Table1[Obergruppe ATC-Code]"),Tabelle3!$A41)</f>
        <v>0</v>
      </c>
      <c r="CO41">
        <f ca="1">COUNTIFS(INDIRECT("Table1[Beginn]"),"&lt;="&amp;CO$1,INDIRECT("Table1[Ende]"),"&gt;="&amp;CO$1,INDIRECT("Table1[Obergruppe ATC-Code]"),Tabelle3!$A41)</f>
        <v>0</v>
      </c>
      <c r="CP41">
        <f ca="1">COUNTIFS(INDIRECT("Table1[Beginn]"),"&lt;="&amp;CP$1,INDIRECT("Table1[Ende]"),"&gt;="&amp;CP$1,INDIRECT("Table1[Obergruppe ATC-Code]"),Tabelle3!$A41)</f>
        <v>0</v>
      </c>
      <c r="CQ41">
        <f ca="1">COUNTIFS(INDIRECT("Table1[Beginn]"),"&lt;="&amp;CQ$1,INDIRECT("Table1[Ende]"),"&gt;="&amp;CQ$1,INDIRECT("Table1[Obergruppe ATC-Code]"),Tabelle3!$A41)</f>
        <v>0</v>
      </c>
      <c r="CR41">
        <f ca="1">COUNTIFS(INDIRECT("Table1[Beginn]"),"&lt;="&amp;CR$1,INDIRECT("Table1[Ende]"),"&gt;="&amp;CR$1,INDIRECT("Table1[Obergruppe ATC-Code]"),Tabelle3!$A41)</f>
        <v>0</v>
      </c>
    </row>
    <row r="42" spans="1:96" ht="18">
      <c r="A42" s="7" t="s">
        <v>6853</v>
      </c>
      <c r="B42" s="8" t="s">
        <v>6854</v>
      </c>
      <c r="C42">
        <f ca="1">COUNTIFS(INDIRECT("Table1[Beginn]"),"&lt;="&amp;C$1,INDIRECT("Table1[Ende]"),"&gt;="&amp;C$1,INDIRECT("Table1[Obergruppe ATC-Code]"),Tabelle3!$A42)</f>
        <v>0</v>
      </c>
      <c r="D42">
        <f ca="1">COUNTIFS(INDIRECT("Table1[Beginn]"),"&lt;="&amp;D$1,INDIRECT("Table1[Ende]"),"&gt;="&amp;D$1,INDIRECT("Table1[Obergruppe ATC-Code]"),Tabelle3!$A42)</f>
        <v>0</v>
      </c>
      <c r="E42">
        <f ca="1">COUNTIFS(INDIRECT("Table1[Beginn]"),"&lt;="&amp;E$1,INDIRECT("Table1[Ende]"),"&gt;="&amp;E$1,INDIRECT("Table1[Obergruppe ATC-Code]"),Tabelle3!$A42)</f>
        <v>0</v>
      </c>
      <c r="F42">
        <f ca="1">COUNTIFS(INDIRECT("Table1[Beginn]"),"&lt;="&amp;F$1,INDIRECT("Table1[Ende]"),"&gt;="&amp;F$1,INDIRECT("Table1[Obergruppe ATC-Code]"),Tabelle3!$A42)</f>
        <v>0</v>
      </c>
      <c r="G42">
        <f ca="1">COUNTIFS(INDIRECT("Table1[Beginn]"),"&lt;="&amp;G$1,INDIRECT("Table1[Ende]"),"&gt;="&amp;G$1,INDIRECT("Table1[Obergruppe ATC-Code]"),Tabelle3!$A42)</f>
        <v>0</v>
      </c>
      <c r="H42">
        <f ca="1">COUNTIFS(INDIRECT("Table1[Beginn]"),"&lt;="&amp;H$1,INDIRECT("Table1[Ende]"),"&gt;="&amp;H$1,INDIRECT("Table1[Obergruppe ATC-Code]"),Tabelle3!$A42)</f>
        <v>0</v>
      </c>
      <c r="I42">
        <f ca="1">COUNTIFS(INDIRECT("Table1[Beginn]"),"&lt;="&amp;I$1,INDIRECT("Table1[Ende]"),"&gt;="&amp;I$1,INDIRECT("Table1[Obergruppe ATC-Code]"),Tabelle3!$A42)</f>
        <v>0</v>
      </c>
      <c r="J42">
        <f ca="1">COUNTIFS(INDIRECT("Table1[Beginn]"),"&lt;="&amp;J$1,INDIRECT("Table1[Ende]"),"&gt;="&amp;J$1,INDIRECT("Table1[Obergruppe ATC-Code]"),Tabelle3!$A42)</f>
        <v>0</v>
      </c>
      <c r="K42">
        <f ca="1">COUNTIFS(INDIRECT("Table1[Beginn]"),"&lt;="&amp;K$1,INDIRECT("Table1[Ende]"),"&gt;="&amp;K$1,INDIRECT("Table1[Obergruppe ATC-Code]"),Tabelle3!$A42)</f>
        <v>0</v>
      </c>
      <c r="L42">
        <f ca="1">COUNTIFS(INDIRECT("Table1[Beginn]"),"&lt;="&amp;L$1,INDIRECT("Table1[Ende]"),"&gt;="&amp;L$1,INDIRECT("Table1[Obergruppe ATC-Code]"),Tabelle3!$A42)</f>
        <v>0</v>
      </c>
      <c r="M42">
        <f ca="1">COUNTIFS(INDIRECT("Table1[Beginn]"),"&lt;="&amp;M$1,INDIRECT("Table1[Ende]"),"&gt;="&amp;M$1,INDIRECT("Table1[Obergruppe ATC-Code]"),Tabelle3!$A42)</f>
        <v>0</v>
      </c>
      <c r="N42">
        <f ca="1">COUNTIFS(INDIRECT("Table1[Beginn]"),"&lt;="&amp;N$1,INDIRECT("Table1[Ende]"),"&gt;="&amp;N$1,INDIRECT("Table1[Obergruppe ATC-Code]"),Tabelle3!$A42)</f>
        <v>0</v>
      </c>
      <c r="O42">
        <f ca="1">COUNTIFS(INDIRECT("Table1[Beginn]"),"&lt;="&amp;O$1,INDIRECT("Table1[Ende]"),"&gt;="&amp;O$1,INDIRECT("Table1[Obergruppe ATC-Code]"),Tabelle3!$A42)</f>
        <v>0</v>
      </c>
      <c r="P42">
        <f ca="1">COUNTIFS(INDIRECT("Table1[Beginn]"),"&lt;="&amp;P$1,INDIRECT("Table1[Ende]"),"&gt;="&amp;P$1,INDIRECT("Table1[Obergruppe ATC-Code]"),Tabelle3!$A42)</f>
        <v>0</v>
      </c>
      <c r="Q42">
        <f ca="1">COUNTIFS(INDIRECT("Table1[Beginn]"),"&lt;="&amp;Q$1,INDIRECT("Table1[Ende]"),"&gt;="&amp;Q$1,INDIRECT("Table1[Obergruppe ATC-Code]"),Tabelle3!$A42)</f>
        <v>0</v>
      </c>
      <c r="R42">
        <f ca="1">COUNTIFS(INDIRECT("Table1[Beginn]"),"&lt;="&amp;R$1,INDIRECT("Table1[Ende]"),"&gt;="&amp;R$1,INDIRECT("Table1[Obergruppe ATC-Code]"),Tabelle3!$A42)</f>
        <v>0</v>
      </c>
      <c r="S42">
        <f ca="1">COUNTIFS(INDIRECT("Table1[Beginn]"),"&lt;="&amp;S$1,INDIRECT("Table1[Ende]"),"&gt;="&amp;S$1,INDIRECT("Table1[Obergruppe ATC-Code]"),Tabelle3!$A42)</f>
        <v>0</v>
      </c>
      <c r="T42">
        <f ca="1">COUNTIFS(INDIRECT("Table1[Beginn]"),"&lt;="&amp;T$1,INDIRECT("Table1[Ende]"),"&gt;="&amp;T$1,INDIRECT("Table1[Obergruppe ATC-Code]"),Tabelle3!$A42)</f>
        <v>0</v>
      </c>
      <c r="U42">
        <f ca="1">COUNTIFS(INDIRECT("Table1[Beginn]"),"&lt;="&amp;U$1,INDIRECT("Table1[Ende]"),"&gt;="&amp;U$1,INDIRECT("Table1[Obergruppe ATC-Code]"),Tabelle3!$A42)</f>
        <v>0</v>
      </c>
      <c r="V42">
        <f ca="1">COUNTIFS(INDIRECT("Table1[Beginn]"),"&lt;="&amp;V$1,INDIRECT("Table1[Ende]"),"&gt;="&amp;V$1,INDIRECT("Table1[Obergruppe ATC-Code]"),Tabelle3!$A42)</f>
        <v>0</v>
      </c>
      <c r="W42">
        <f ca="1">COUNTIFS(INDIRECT("Table1[Beginn]"),"&lt;="&amp;W$1,INDIRECT("Table1[Ende]"),"&gt;="&amp;W$1,INDIRECT("Table1[Obergruppe ATC-Code]"),Tabelle3!$A42)</f>
        <v>0</v>
      </c>
      <c r="X42">
        <f ca="1">COUNTIFS(INDIRECT("Table1[Beginn]"),"&lt;="&amp;X$1,INDIRECT("Table1[Ende]"),"&gt;="&amp;X$1,INDIRECT("Table1[Obergruppe ATC-Code]"),Tabelle3!$A42)</f>
        <v>0</v>
      </c>
      <c r="Y42">
        <f ca="1">COUNTIFS(INDIRECT("Table1[Beginn]"),"&lt;="&amp;Y$1,INDIRECT("Table1[Ende]"),"&gt;="&amp;Y$1,INDIRECT("Table1[Obergruppe ATC-Code]"),Tabelle3!$A42)</f>
        <v>0</v>
      </c>
      <c r="Z42">
        <f ca="1">COUNTIFS(INDIRECT("Table1[Beginn]"),"&lt;="&amp;Z$1,INDIRECT("Table1[Ende]"),"&gt;="&amp;Z$1,INDIRECT("Table1[Obergruppe ATC-Code]"),Tabelle3!$A42)</f>
        <v>0</v>
      </c>
      <c r="AA42">
        <f ca="1">COUNTIFS(INDIRECT("Table1[Beginn]"),"&lt;="&amp;AA$1,INDIRECT("Table1[Ende]"),"&gt;="&amp;AA$1,INDIRECT("Table1[Obergruppe ATC-Code]"),Tabelle3!$A42)</f>
        <v>0</v>
      </c>
      <c r="AB42">
        <f ca="1">COUNTIFS(INDIRECT("Table1[Beginn]"),"&lt;="&amp;AB$1,INDIRECT("Table1[Ende]"),"&gt;="&amp;AB$1,INDIRECT("Table1[Obergruppe ATC-Code]"),Tabelle3!$A42)</f>
        <v>0</v>
      </c>
      <c r="AC42">
        <f ca="1">COUNTIFS(INDIRECT("Table1[Beginn]"),"&lt;="&amp;AC$1,INDIRECT("Table1[Ende]"),"&gt;="&amp;AC$1,INDIRECT("Table1[Obergruppe ATC-Code]"),Tabelle3!$A42)</f>
        <v>1</v>
      </c>
      <c r="AD42">
        <f ca="1">COUNTIFS(INDIRECT("Table1[Beginn]"),"&lt;="&amp;AD$1,INDIRECT("Table1[Ende]"),"&gt;="&amp;AD$1,INDIRECT("Table1[Obergruppe ATC-Code]"),Tabelle3!$A42)</f>
        <v>1</v>
      </c>
      <c r="AE42">
        <f ca="1">COUNTIFS(INDIRECT("Table1[Beginn]"),"&lt;="&amp;AE$1,INDIRECT("Table1[Ende]"),"&gt;="&amp;AE$1,INDIRECT("Table1[Obergruppe ATC-Code]"),Tabelle3!$A42)</f>
        <v>1</v>
      </c>
      <c r="AF42">
        <f ca="1">COUNTIFS(INDIRECT("Table1[Beginn]"),"&lt;="&amp;AF$1,INDIRECT("Table1[Ende]"),"&gt;="&amp;AF$1,INDIRECT("Table1[Obergruppe ATC-Code]"),Tabelle3!$A42)</f>
        <v>1</v>
      </c>
      <c r="AG42">
        <f ca="1">COUNTIFS(INDIRECT("Table1[Beginn]"),"&lt;="&amp;AG$1,INDIRECT("Table1[Ende]"),"&gt;="&amp;AG$1,INDIRECT("Table1[Obergruppe ATC-Code]"),Tabelle3!$A42)</f>
        <v>1</v>
      </c>
      <c r="AH42">
        <f ca="1">COUNTIFS(INDIRECT("Table1[Beginn]"),"&lt;="&amp;AH$1,INDIRECT("Table1[Ende]"),"&gt;="&amp;AH$1,INDIRECT("Table1[Obergruppe ATC-Code]"),Tabelle3!$A42)</f>
        <v>1</v>
      </c>
      <c r="AI42">
        <f ca="1">COUNTIFS(INDIRECT("Table1[Beginn]"),"&lt;="&amp;AI$1,INDIRECT("Table1[Ende]"),"&gt;="&amp;AI$1,INDIRECT("Table1[Obergruppe ATC-Code]"),Tabelle3!$A42)</f>
        <v>1</v>
      </c>
      <c r="AJ42">
        <f ca="1">COUNTIFS(INDIRECT("Table1[Beginn]"),"&lt;="&amp;AJ$1,INDIRECT("Table1[Ende]"),"&gt;="&amp;AJ$1,INDIRECT("Table1[Obergruppe ATC-Code]"),Tabelle3!$A42)</f>
        <v>1</v>
      </c>
      <c r="AK42">
        <f ca="1">COUNTIFS(INDIRECT("Table1[Beginn]"),"&lt;="&amp;AK$1,INDIRECT("Table1[Ende]"),"&gt;="&amp;AK$1,INDIRECT("Table1[Obergruppe ATC-Code]"),Tabelle3!$A42)</f>
        <v>1</v>
      </c>
      <c r="AL42">
        <f ca="1">COUNTIFS(INDIRECT("Table1[Beginn]"),"&lt;="&amp;AL$1,INDIRECT("Table1[Ende]"),"&gt;="&amp;AL$1,INDIRECT("Table1[Obergruppe ATC-Code]"),Tabelle3!$A42)</f>
        <v>1</v>
      </c>
      <c r="AM42">
        <f ca="1">COUNTIFS(INDIRECT("Table1[Beginn]"),"&lt;="&amp;AM$1,INDIRECT("Table1[Ende]"),"&gt;="&amp;AM$1,INDIRECT("Table1[Obergruppe ATC-Code]"),Tabelle3!$A42)</f>
        <v>0</v>
      </c>
      <c r="AN42">
        <f ca="1">COUNTIFS(INDIRECT("Table1[Beginn]"),"&lt;="&amp;AN$1,INDIRECT("Table1[Ende]"),"&gt;="&amp;AN$1,INDIRECT("Table1[Obergruppe ATC-Code]"),Tabelle3!$A42)</f>
        <v>0</v>
      </c>
      <c r="AO42">
        <f ca="1">COUNTIFS(INDIRECT("Table1[Beginn]"),"&lt;="&amp;AO$1,INDIRECT("Table1[Ende]"),"&gt;="&amp;AO$1,INDIRECT("Table1[Obergruppe ATC-Code]"),Tabelle3!$A42)</f>
        <v>2</v>
      </c>
      <c r="AP42">
        <f ca="1">COUNTIFS(INDIRECT("Table1[Beginn]"),"&lt;="&amp;AP$1,INDIRECT("Table1[Ende]"),"&gt;="&amp;AP$1,INDIRECT("Table1[Obergruppe ATC-Code]"),Tabelle3!$A42)</f>
        <v>2</v>
      </c>
      <c r="AQ42">
        <f ca="1">COUNTIFS(INDIRECT("Table1[Beginn]"),"&lt;="&amp;AQ$1,INDIRECT("Table1[Ende]"),"&gt;="&amp;AQ$1,INDIRECT("Table1[Obergruppe ATC-Code]"),Tabelle3!$A42)</f>
        <v>3</v>
      </c>
      <c r="AR42">
        <f ca="1">COUNTIFS(INDIRECT("Table1[Beginn]"),"&lt;="&amp;AR$1,INDIRECT("Table1[Ende]"),"&gt;="&amp;AR$1,INDIRECT("Table1[Obergruppe ATC-Code]"),Tabelle3!$A42)</f>
        <v>3</v>
      </c>
      <c r="AS42">
        <f ca="1">COUNTIFS(INDIRECT("Table1[Beginn]"),"&lt;="&amp;AS$1,INDIRECT("Table1[Ende]"),"&gt;="&amp;AS$1,INDIRECT("Table1[Obergruppe ATC-Code]"),Tabelle3!$A42)</f>
        <v>3</v>
      </c>
      <c r="AT42">
        <f ca="1">COUNTIFS(INDIRECT("Table1[Beginn]"),"&lt;="&amp;AT$1,INDIRECT("Table1[Ende]"),"&gt;="&amp;AT$1,INDIRECT("Table1[Obergruppe ATC-Code]"),Tabelle3!$A42)</f>
        <v>3</v>
      </c>
      <c r="AU42">
        <f ca="1">COUNTIFS(INDIRECT("Table1[Beginn]"),"&lt;="&amp;AU$1,INDIRECT("Table1[Ende]"),"&gt;="&amp;AU$1,INDIRECT("Table1[Obergruppe ATC-Code]"),Tabelle3!$A42)</f>
        <v>4</v>
      </c>
      <c r="AV42">
        <f ca="1">COUNTIFS(INDIRECT("Table1[Beginn]"),"&lt;="&amp;AV$1,INDIRECT("Table1[Ende]"),"&gt;="&amp;AV$1,INDIRECT("Table1[Obergruppe ATC-Code]"),Tabelle3!$A42)</f>
        <v>4</v>
      </c>
      <c r="AW42">
        <f ca="1">COUNTIFS(INDIRECT("Table1[Beginn]"),"&lt;="&amp;AW$1,INDIRECT("Table1[Ende]"),"&gt;="&amp;AW$1,INDIRECT("Table1[Obergruppe ATC-Code]"),Tabelle3!$A42)</f>
        <v>4</v>
      </c>
      <c r="AX42">
        <f ca="1">COUNTIFS(INDIRECT("Table1[Beginn]"),"&lt;="&amp;AX$1,INDIRECT("Table1[Ende]"),"&gt;="&amp;AX$1,INDIRECT("Table1[Obergruppe ATC-Code]"),Tabelle3!$A42)</f>
        <v>3</v>
      </c>
      <c r="AY42">
        <f ca="1">COUNTIFS(INDIRECT("Table1[Beginn]"),"&lt;="&amp;AY$1,INDIRECT("Table1[Ende]"),"&gt;="&amp;AY$1,INDIRECT("Table1[Obergruppe ATC-Code]"),Tabelle3!$A42)</f>
        <v>3</v>
      </c>
      <c r="AZ42">
        <f ca="1">COUNTIFS(INDIRECT("Table1[Beginn]"),"&lt;="&amp;AZ$1,INDIRECT("Table1[Ende]"),"&gt;="&amp;AZ$1,INDIRECT("Table1[Obergruppe ATC-Code]"),Tabelle3!$A42)</f>
        <v>3</v>
      </c>
      <c r="BA42">
        <f ca="1">COUNTIFS(INDIRECT("Table1[Beginn]"),"&lt;="&amp;BA$1,INDIRECT("Table1[Ende]"),"&gt;="&amp;BA$1,INDIRECT("Table1[Obergruppe ATC-Code]"),Tabelle3!$A42)</f>
        <v>2</v>
      </c>
      <c r="BB42">
        <f ca="1">COUNTIFS(INDIRECT("Table1[Beginn]"),"&lt;="&amp;BB$1,INDIRECT("Table1[Ende]"),"&gt;="&amp;BB$1,INDIRECT("Table1[Obergruppe ATC-Code]"),Tabelle3!$A42)</f>
        <v>2</v>
      </c>
      <c r="BC42">
        <f ca="1">COUNTIFS(INDIRECT("Table1[Beginn]"),"&lt;="&amp;BC$1,INDIRECT("Table1[Ende]"),"&gt;="&amp;BC$1,INDIRECT("Table1[Obergruppe ATC-Code]"),Tabelle3!$A42)</f>
        <v>3</v>
      </c>
      <c r="BD42">
        <f ca="1">COUNTIFS(INDIRECT("Table1[Beginn]"),"&lt;="&amp;BD$1,INDIRECT("Table1[Ende]"),"&gt;="&amp;BD$1,INDIRECT("Table1[Obergruppe ATC-Code]"),Tabelle3!$A42)</f>
        <v>5</v>
      </c>
      <c r="BE42">
        <f ca="1">COUNTIFS(INDIRECT("Table1[Beginn]"),"&lt;="&amp;BE$1,INDIRECT("Table1[Ende]"),"&gt;="&amp;BE$1,INDIRECT("Table1[Obergruppe ATC-Code]"),Tabelle3!$A42)</f>
        <v>3</v>
      </c>
      <c r="BF42">
        <f ca="1">COUNTIFS(INDIRECT("Table1[Beginn]"),"&lt;="&amp;BF$1,INDIRECT("Table1[Ende]"),"&gt;="&amp;BF$1,INDIRECT("Table1[Obergruppe ATC-Code]"),Tabelle3!$A42)</f>
        <v>4</v>
      </c>
      <c r="BG42">
        <f ca="1">COUNTIFS(INDIRECT("Table1[Beginn]"),"&lt;="&amp;BG$1,INDIRECT("Table1[Ende]"),"&gt;="&amp;BG$1,INDIRECT("Table1[Obergruppe ATC-Code]"),Tabelle3!$A42)</f>
        <v>1</v>
      </c>
      <c r="BH42">
        <f ca="1">COUNTIFS(INDIRECT("Table1[Beginn]"),"&lt;="&amp;BH$1,INDIRECT("Table1[Ende]"),"&gt;="&amp;BH$1,INDIRECT("Table1[Obergruppe ATC-Code]"),Tabelle3!$A42)</f>
        <v>1</v>
      </c>
      <c r="BI42">
        <f ca="1">COUNTIFS(INDIRECT("Table1[Beginn]"),"&lt;="&amp;BI$1,INDIRECT("Table1[Ende]"),"&gt;="&amp;BI$1,INDIRECT("Table1[Obergruppe ATC-Code]"),Tabelle3!$A42)</f>
        <v>1</v>
      </c>
      <c r="BJ42">
        <f ca="1">COUNTIFS(INDIRECT("Table1[Beginn]"),"&lt;="&amp;BJ$1,INDIRECT("Table1[Ende]"),"&gt;="&amp;BJ$1,INDIRECT("Table1[Obergruppe ATC-Code]"),Tabelle3!$A42)</f>
        <v>1</v>
      </c>
      <c r="BK42">
        <f ca="1">COUNTIFS(INDIRECT("Table1[Beginn]"),"&lt;="&amp;BK$1,INDIRECT("Table1[Ende]"),"&gt;="&amp;BK$1,INDIRECT("Table1[Obergruppe ATC-Code]"),Tabelle3!$A42)</f>
        <v>2</v>
      </c>
      <c r="BL42">
        <f ca="1">COUNTIFS(INDIRECT("Table1[Beginn]"),"&lt;="&amp;BL$1,INDIRECT("Table1[Ende]"),"&gt;="&amp;BL$1,INDIRECT("Table1[Obergruppe ATC-Code]"),Tabelle3!$A42)</f>
        <v>2</v>
      </c>
      <c r="BM42">
        <f ca="1">COUNTIFS(INDIRECT("Table1[Beginn]"),"&lt;="&amp;BM$1,INDIRECT("Table1[Ende]"),"&gt;="&amp;BM$1,INDIRECT("Table1[Obergruppe ATC-Code]"),Tabelle3!$A42)</f>
        <v>1</v>
      </c>
      <c r="BN42">
        <f ca="1">COUNTIFS(INDIRECT("Table1[Beginn]"),"&lt;="&amp;BN$1,INDIRECT("Table1[Ende]"),"&gt;="&amp;BN$1,INDIRECT("Table1[Obergruppe ATC-Code]"),Tabelle3!$A42)</f>
        <v>1</v>
      </c>
      <c r="BO42">
        <f ca="1">COUNTIFS(INDIRECT("Table1[Beginn]"),"&lt;="&amp;BO$1,INDIRECT("Table1[Ende]"),"&gt;="&amp;BO$1,INDIRECT("Table1[Obergruppe ATC-Code]"),Tabelle3!$A42)</f>
        <v>1</v>
      </c>
      <c r="BP42">
        <f ca="1">COUNTIFS(INDIRECT("Table1[Beginn]"),"&lt;="&amp;BP$1,INDIRECT("Table1[Ende]"),"&gt;="&amp;BP$1,INDIRECT("Table1[Obergruppe ATC-Code]"),Tabelle3!$A42)</f>
        <v>0</v>
      </c>
      <c r="BQ42">
        <f ca="1">COUNTIFS(INDIRECT("Table1[Beginn]"),"&lt;="&amp;BQ$1,INDIRECT("Table1[Ende]"),"&gt;="&amp;BQ$1,INDIRECT("Table1[Obergruppe ATC-Code]"),Tabelle3!$A42)</f>
        <v>0</v>
      </c>
      <c r="BR42">
        <f ca="1">COUNTIFS(INDIRECT("Table1[Beginn]"),"&lt;="&amp;BR$1,INDIRECT("Table1[Ende]"),"&gt;="&amp;BR$1,INDIRECT("Table1[Obergruppe ATC-Code]"),Tabelle3!$A42)</f>
        <v>0</v>
      </c>
      <c r="BS42">
        <f ca="1">COUNTIFS(INDIRECT("Table1[Beginn]"),"&lt;="&amp;BS$1,INDIRECT("Table1[Ende]"),"&gt;="&amp;BS$1,INDIRECT("Table1[Obergruppe ATC-Code]"),Tabelle3!$A42)</f>
        <v>0</v>
      </c>
      <c r="BT42">
        <f ca="1">COUNTIFS(INDIRECT("Table1[Beginn]"),"&lt;="&amp;BT$1,INDIRECT("Table1[Ende]"),"&gt;="&amp;BT$1,INDIRECT("Table1[Obergruppe ATC-Code]"),Tabelle3!$A42)</f>
        <v>0</v>
      </c>
      <c r="BU42">
        <f ca="1">COUNTIFS(INDIRECT("Table1[Beginn]"),"&lt;="&amp;BU$1,INDIRECT("Table1[Ende]"),"&gt;="&amp;BU$1,INDIRECT("Table1[Obergruppe ATC-Code]"),Tabelle3!$A42)</f>
        <v>0</v>
      </c>
      <c r="BV42">
        <f ca="1">COUNTIFS(INDIRECT("Table1[Beginn]"),"&lt;="&amp;BV$1,INDIRECT("Table1[Ende]"),"&gt;="&amp;BV$1,INDIRECT("Table1[Obergruppe ATC-Code]"),Tabelle3!$A42)</f>
        <v>1</v>
      </c>
      <c r="BW42">
        <f ca="1">COUNTIFS(INDIRECT("Table1[Beginn]"),"&lt;="&amp;BW$1,INDIRECT("Table1[Ende]"),"&gt;="&amp;BW$1,INDIRECT("Table1[Obergruppe ATC-Code]"),Tabelle3!$A42)</f>
        <v>0</v>
      </c>
      <c r="BX42">
        <f ca="1">COUNTIFS(INDIRECT("Table1[Beginn]"),"&lt;="&amp;BX$1,INDIRECT("Table1[Ende]"),"&gt;="&amp;BX$1,INDIRECT("Table1[Obergruppe ATC-Code]"),Tabelle3!$A42)</f>
        <v>0</v>
      </c>
      <c r="BY42">
        <f ca="1">COUNTIFS(INDIRECT("Table1[Beginn]"),"&lt;="&amp;BY$1,INDIRECT("Table1[Ende]"),"&gt;="&amp;BY$1,INDIRECT("Table1[Obergruppe ATC-Code]"),Tabelle3!$A42)</f>
        <v>0</v>
      </c>
      <c r="BZ42">
        <f ca="1">COUNTIFS(INDIRECT("Table1[Beginn]"),"&lt;="&amp;BZ$1,INDIRECT("Table1[Ende]"),"&gt;="&amp;BZ$1,INDIRECT("Table1[Obergruppe ATC-Code]"),Tabelle3!$A42)</f>
        <v>0</v>
      </c>
      <c r="CA42">
        <f ca="1">COUNTIFS(INDIRECT("Table1[Beginn]"),"&lt;="&amp;CA$1,INDIRECT("Table1[Ende]"),"&gt;="&amp;CA$1,INDIRECT("Table1[Obergruppe ATC-Code]"),Tabelle3!$A42)</f>
        <v>0</v>
      </c>
      <c r="CB42">
        <f ca="1">COUNTIFS(INDIRECT("Table1[Beginn]"),"&lt;="&amp;CB$1,INDIRECT("Table1[Ende]"),"&gt;="&amp;CB$1,INDIRECT("Table1[Obergruppe ATC-Code]"),Tabelle3!$A42)</f>
        <v>1</v>
      </c>
      <c r="CC42">
        <f ca="1">COUNTIFS(INDIRECT("Table1[Beginn]"),"&lt;="&amp;CC$1,INDIRECT("Table1[Ende]"),"&gt;="&amp;CC$1,INDIRECT("Table1[Obergruppe ATC-Code]"),Tabelle3!$A42)</f>
        <v>3</v>
      </c>
      <c r="CD42">
        <f ca="1">COUNTIFS(INDIRECT("Table1[Beginn]"),"&lt;="&amp;CD$1,INDIRECT("Table1[Ende]"),"&gt;="&amp;CD$1,INDIRECT("Table1[Obergruppe ATC-Code]"),Tabelle3!$A42)</f>
        <v>1</v>
      </c>
      <c r="CE42">
        <f ca="1">COUNTIFS(INDIRECT("Table1[Beginn]"),"&lt;="&amp;CE$1,INDIRECT("Table1[Ende]"),"&gt;="&amp;CE$1,INDIRECT("Table1[Obergruppe ATC-Code]"),Tabelle3!$A42)</f>
        <v>2</v>
      </c>
      <c r="CF42">
        <f ca="1">COUNTIFS(INDIRECT("Table1[Beginn]"),"&lt;="&amp;CF$1,INDIRECT("Table1[Ende]"),"&gt;="&amp;CF$1,INDIRECT("Table1[Obergruppe ATC-Code]"),Tabelle3!$A42)</f>
        <v>0</v>
      </c>
      <c r="CG42">
        <f ca="1">COUNTIFS(INDIRECT("Table1[Beginn]"),"&lt;="&amp;CG$1,INDIRECT("Table1[Ende]"),"&gt;="&amp;CG$1,INDIRECT("Table1[Obergruppe ATC-Code]"),Tabelle3!$A42)</f>
        <v>0</v>
      </c>
      <c r="CH42">
        <f ca="1">COUNTIFS(INDIRECT("Table1[Beginn]"),"&lt;="&amp;CH$1,INDIRECT("Table1[Ende]"),"&gt;="&amp;CH$1,INDIRECT("Table1[Obergruppe ATC-Code]"),Tabelle3!$A42)</f>
        <v>0</v>
      </c>
      <c r="CI42">
        <f ca="1">COUNTIFS(INDIRECT("Table1[Beginn]"),"&lt;="&amp;CI$1,INDIRECT("Table1[Ende]"),"&gt;="&amp;CI$1,INDIRECT("Table1[Obergruppe ATC-Code]"),Tabelle3!$A42)</f>
        <v>0</v>
      </c>
      <c r="CJ42">
        <f ca="1">COUNTIFS(INDIRECT("Table1[Beginn]"),"&lt;="&amp;CJ$1,INDIRECT("Table1[Ende]"),"&gt;="&amp;CJ$1,INDIRECT("Table1[Obergruppe ATC-Code]"),Tabelle3!$A42)</f>
        <v>0</v>
      </c>
      <c r="CK42">
        <f ca="1">COUNTIFS(INDIRECT("Table1[Beginn]"),"&lt;="&amp;CK$1,INDIRECT("Table1[Ende]"),"&gt;="&amp;CK$1,INDIRECT("Table1[Obergruppe ATC-Code]"),Tabelle3!$A42)</f>
        <v>0</v>
      </c>
      <c r="CL42">
        <f ca="1">COUNTIFS(INDIRECT("Table1[Beginn]"),"&lt;="&amp;CL$1,INDIRECT("Table1[Ende]"),"&gt;="&amp;CL$1,INDIRECT("Table1[Obergruppe ATC-Code]"),Tabelle3!$A42)</f>
        <v>0</v>
      </c>
      <c r="CM42">
        <f ca="1">COUNTIFS(INDIRECT("Table1[Beginn]"),"&lt;="&amp;CM$1,INDIRECT("Table1[Ende]"),"&gt;="&amp;CM$1,INDIRECT("Table1[Obergruppe ATC-Code]"),Tabelle3!$A42)</f>
        <v>0</v>
      </c>
      <c r="CN42">
        <f ca="1">COUNTIFS(INDIRECT("Table1[Beginn]"),"&lt;="&amp;CN$1,INDIRECT("Table1[Ende]"),"&gt;="&amp;CN$1,INDIRECT("Table1[Obergruppe ATC-Code]"),Tabelle3!$A42)</f>
        <v>0</v>
      </c>
      <c r="CO42">
        <f ca="1">COUNTIFS(INDIRECT("Table1[Beginn]"),"&lt;="&amp;CO$1,INDIRECT("Table1[Ende]"),"&gt;="&amp;CO$1,INDIRECT("Table1[Obergruppe ATC-Code]"),Tabelle3!$A42)</f>
        <v>0</v>
      </c>
      <c r="CP42">
        <f ca="1">COUNTIFS(INDIRECT("Table1[Beginn]"),"&lt;="&amp;CP$1,INDIRECT("Table1[Ende]"),"&gt;="&amp;CP$1,INDIRECT("Table1[Obergruppe ATC-Code]"),Tabelle3!$A42)</f>
        <v>0</v>
      </c>
      <c r="CQ42">
        <f ca="1">COUNTIFS(INDIRECT("Table1[Beginn]"),"&lt;="&amp;CQ$1,INDIRECT("Table1[Ende]"),"&gt;="&amp;CQ$1,INDIRECT("Table1[Obergruppe ATC-Code]"),Tabelle3!$A42)</f>
        <v>0</v>
      </c>
      <c r="CR42">
        <f ca="1">COUNTIFS(INDIRECT("Table1[Beginn]"),"&lt;="&amp;CR$1,INDIRECT("Table1[Ende]"),"&gt;="&amp;CR$1,INDIRECT("Table1[Obergruppe ATC-Code]"),Tabelle3!$A42)</f>
        <v>0</v>
      </c>
    </row>
    <row r="43" spans="1:96" ht="18">
      <c r="A43" s="9" t="s">
        <v>6855</v>
      </c>
      <c r="B43" s="10" t="s">
        <v>6856</v>
      </c>
      <c r="C43">
        <f ca="1">COUNTIFS(INDIRECT("Table1[Beginn]"),"&lt;="&amp;C$1,INDIRECT("Table1[Ende]"),"&gt;="&amp;C$1,INDIRECT("Table1[Obergruppe ATC-Code]"),Tabelle3!$A43)</f>
        <v>0</v>
      </c>
      <c r="D43">
        <f ca="1">COUNTIFS(INDIRECT("Table1[Beginn]"),"&lt;="&amp;D$1,INDIRECT("Table1[Ende]"),"&gt;="&amp;D$1,INDIRECT("Table1[Obergruppe ATC-Code]"),Tabelle3!$A43)</f>
        <v>0</v>
      </c>
      <c r="E43">
        <f ca="1">COUNTIFS(INDIRECT("Table1[Beginn]"),"&lt;="&amp;E$1,INDIRECT("Table1[Ende]"),"&gt;="&amp;E$1,INDIRECT("Table1[Obergruppe ATC-Code]"),Tabelle3!$A43)</f>
        <v>0</v>
      </c>
      <c r="F43">
        <f ca="1">COUNTIFS(INDIRECT("Table1[Beginn]"),"&lt;="&amp;F$1,INDIRECT("Table1[Ende]"),"&gt;="&amp;F$1,INDIRECT("Table1[Obergruppe ATC-Code]"),Tabelle3!$A43)</f>
        <v>0</v>
      </c>
      <c r="G43">
        <f ca="1">COUNTIFS(INDIRECT("Table1[Beginn]"),"&lt;="&amp;G$1,INDIRECT("Table1[Ende]"),"&gt;="&amp;G$1,INDIRECT("Table1[Obergruppe ATC-Code]"),Tabelle3!$A43)</f>
        <v>0</v>
      </c>
      <c r="H43">
        <f ca="1">COUNTIFS(INDIRECT("Table1[Beginn]"),"&lt;="&amp;H$1,INDIRECT("Table1[Ende]"),"&gt;="&amp;H$1,INDIRECT("Table1[Obergruppe ATC-Code]"),Tabelle3!$A43)</f>
        <v>0</v>
      </c>
      <c r="I43">
        <f ca="1">COUNTIFS(INDIRECT("Table1[Beginn]"),"&lt;="&amp;I$1,INDIRECT("Table1[Ende]"),"&gt;="&amp;I$1,INDIRECT("Table1[Obergruppe ATC-Code]"),Tabelle3!$A43)</f>
        <v>0</v>
      </c>
      <c r="J43">
        <f ca="1">COUNTIFS(INDIRECT("Table1[Beginn]"),"&lt;="&amp;J$1,INDIRECT("Table1[Ende]"),"&gt;="&amp;J$1,INDIRECT("Table1[Obergruppe ATC-Code]"),Tabelle3!$A43)</f>
        <v>0</v>
      </c>
      <c r="K43">
        <f ca="1">COUNTIFS(INDIRECT("Table1[Beginn]"),"&lt;="&amp;K$1,INDIRECT("Table1[Ende]"),"&gt;="&amp;K$1,INDIRECT("Table1[Obergruppe ATC-Code]"),Tabelle3!$A43)</f>
        <v>0</v>
      </c>
      <c r="L43">
        <f ca="1">COUNTIFS(INDIRECT("Table1[Beginn]"),"&lt;="&amp;L$1,INDIRECT("Table1[Ende]"),"&gt;="&amp;L$1,INDIRECT("Table1[Obergruppe ATC-Code]"),Tabelle3!$A43)</f>
        <v>0</v>
      </c>
      <c r="M43">
        <f ca="1">COUNTIFS(INDIRECT("Table1[Beginn]"),"&lt;="&amp;M$1,INDIRECT("Table1[Ende]"),"&gt;="&amp;M$1,INDIRECT("Table1[Obergruppe ATC-Code]"),Tabelle3!$A43)</f>
        <v>0</v>
      </c>
      <c r="N43">
        <f ca="1">COUNTIFS(INDIRECT("Table1[Beginn]"),"&lt;="&amp;N$1,INDIRECT("Table1[Ende]"),"&gt;="&amp;N$1,INDIRECT("Table1[Obergruppe ATC-Code]"),Tabelle3!$A43)</f>
        <v>0</v>
      </c>
      <c r="O43">
        <f ca="1">COUNTIFS(INDIRECT("Table1[Beginn]"),"&lt;="&amp;O$1,INDIRECT("Table1[Ende]"),"&gt;="&amp;O$1,INDIRECT("Table1[Obergruppe ATC-Code]"),Tabelle3!$A43)</f>
        <v>0</v>
      </c>
      <c r="P43">
        <f ca="1">COUNTIFS(INDIRECT("Table1[Beginn]"),"&lt;="&amp;P$1,INDIRECT("Table1[Ende]"),"&gt;="&amp;P$1,INDIRECT("Table1[Obergruppe ATC-Code]"),Tabelle3!$A43)</f>
        <v>0</v>
      </c>
      <c r="Q43">
        <f ca="1">COUNTIFS(INDIRECT("Table1[Beginn]"),"&lt;="&amp;Q$1,INDIRECT("Table1[Ende]"),"&gt;="&amp;Q$1,INDIRECT("Table1[Obergruppe ATC-Code]"),Tabelle3!$A43)</f>
        <v>0</v>
      </c>
      <c r="R43">
        <f ca="1">COUNTIFS(INDIRECT("Table1[Beginn]"),"&lt;="&amp;R$1,INDIRECT("Table1[Ende]"),"&gt;="&amp;R$1,INDIRECT("Table1[Obergruppe ATC-Code]"),Tabelle3!$A43)</f>
        <v>0</v>
      </c>
      <c r="S43">
        <f ca="1">COUNTIFS(INDIRECT("Table1[Beginn]"),"&lt;="&amp;S$1,INDIRECT("Table1[Ende]"),"&gt;="&amp;S$1,INDIRECT("Table1[Obergruppe ATC-Code]"),Tabelle3!$A43)</f>
        <v>0</v>
      </c>
      <c r="T43">
        <f ca="1">COUNTIFS(INDIRECT("Table1[Beginn]"),"&lt;="&amp;T$1,INDIRECT("Table1[Ende]"),"&gt;="&amp;T$1,INDIRECT("Table1[Obergruppe ATC-Code]"),Tabelle3!$A43)</f>
        <v>0</v>
      </c>
      <c r="U43">
        <f ca="1">COUNTIFS(INDIRECT("Table1[Beginn]"),"&lt;="&amp;U$1,INDIRECT("Table1[Ende]"),"&gt;="&amp;U$1,INDIRECT("Table1[Obergruppe ATC-Code]"),Tabelle3!$A43)</f>
        <v>0</v>
      </c>
      <c r="V43">
        <f ca="1">COUNTIFS(INDIRECT("Table1[Beginn]"),"&lt;="&amp;V$1,INDIRECT("Table1[Ende]"),"&gt;="&amp;V$1,INDIRECT("Table1[Obergruppe ATC-Code]"),Tabelle3!$A43)</f>
        <v>0</v>
      </c>
      <c r="W43">
        <f ca="1">COUNTIFS(INDIRECT("Table1[Beginn]"),"&lt;="&amp;W$1,INDIRECT("Table1[Ende]"),"&gt;="&amp;W$1,INDIRECT("Table1[Obergruppe ATC-Code]"),Tabelle3!$A43)</f>
        <v>0</v>
      </c>
      <c r="X43">
        <f ca="1">COUNTIFS(INDIRECT("Table1[Beginn]"),"&lt;="&amp;X$1,INDIRECT("Table1[Ende]"),"&gt;="&amp;X$1,INDIRECT("Table1[Obergruppe ATC-Code]"),Tabelle3!$A43)</f>
        <v>0</v>
      </c>
      <c r="Y43">
        <f ca="1">COUNTIFS(INDIRECT("Table1[Beginn]"),"&lt;="&amp;Y$1,INDIRECT("Table1[Ende]"),"&gt;="&amp;Y$1,INDIRECT("Table1[Obergruppe ATC-Code]"),Tabelle3!$A43)</f>
        <v>0</v>
      </c>
      <c r="Z43">
        <f ca="1">COUNTIFS(INDIRECT("Table1[Beginn]"),"&lt;="&amp;Z$1,INDIRECT("Table1[Ende]"),"&gt;="&amp;Z$1,INDIRECT("Table1[Obergruppe ATC-Code]"),Tabelle3!$A43)</f>
        <v>0</v>
      </c>
      <c r="AA43">
        <f ca="1">COUNTIFS(INDIRECT("Table1[Beginn]"),"&lt;="&amp;AA$1,INDIRECT("Table1[Ende]"),"&gt;="&amp;AA$1,INDIRECT("Table1[Obergruppe ATC-Code]"),Tabelle3!$A43)</f>
        <v>0</v>
      </c>
      <c r="AB43">
        <f ca="1">COUNTIFS(INDIRECT("Table1[Beginn]"),"&lt;="&amp;AB$1,INDIRECT("Table1[Ende]"),"&gt;="&amp;AB$1,INDIRECT("Table1[Obergruppe ATC-Code]"),Tabelle3!$A43)</f>
        <v>0</v>
      </c>
      <c r="AC43">
        <f ca="1">COUNTIFS(INDIRECT("Table1[Beginn]"),"&lt;="&amp;AC$1,INDIRECT("Table1[Ende]"),"&gt;="&amp;AC$1,INDIRECT("Table1[Obergruppe ATC-Code]"),Tabelle3!$A43)</f>
        <v>0</v>
      </c>
      <c r="AD43">
        <f ca="1">COUNTIFS(INDIRECT("Table1[Beginn]"),"&lt;="&amp;AD$1,INDIRECT("Table1[Ende]"),"&gt;="&amp;AD$1,INDIRECT("Table1[Obergruppe ATC-Code]"),Tabelle3!$A43)</f>
        <v>0</v>
      </c>
      <c r="AE43">
        <f ca="1">COUNTIFS(INDIRECT("Table1[Beginn]"),"&lt;="&amp;AE$1,INDIRECT("Table1[Ende]"),"&gt;="&amp;AE$1,INDIRECT("Table1[Obergruppe ATC-Code]"),Tabelle3!$A43)</f>
        <v>0</v>
      </c>
      <c r="AF43">
        <f ca="1">COUNTIFS(INDIRECT("Table1[Beginn]"),"&lt;="&amp;AF$1,INDIRECT("Table1[Ende]"),"&gt;="&amp;AF$1,INDIRECT("Table1[Obergruppe ATC-Code]"),Tabelle3!$A43)</f>
        <v>0</v>
      </c>
      <c r="AG43">
        <f ca="1">COUNTIFS(INDIRECT("Table1[Beginn]"),"&lt;="&amp;AG$1,INDIRECT("Table1[Ende]"),"&gt;="&amp;AG$1,INDIRECT("Table1[Obergruppe ATC-Code]"),Tabelle3!$A43)</f>
        <v>0</v>
      </c>
      <c r="AH43">
        <f ca="1">COUNTIFS(INDIRECT("Table1[Beginn]"),"&lt;="&amp;AH$1,INDIRECT("Table1[Ende]"),"&gt;="&amp;AH$1,INDIRECT("Table1[Obergruppe ATC-Code]"),Tabelle3!$A43)</f>
        <v>0</v>
      </c>
      <c r="AI43">
        <f ca="1">COUNTIFS(INDIRECT("Table1[Beginn]"),"&lt;="&amp;AI$1,INDIRECT("Table1[Ende]"),"&gt;="&amp;AI$1,INDIRECT("Table1[Obergruppe ATC-Code]"),Tabelle3!$A43)</f>
        <v>0</v>
      </c>
      <c r="AJ43">
        <f ca="1">COUNTIFS(INDIRECT("Table1[Beginn]"),"&lt;="&amp;AJ$1,INDIRECT("Table1[Ende]"),"&gt;="&amp;AJ$1,INDIRECT("Table1[Obergruppe ATC-Code]"),Tabelle3!$A43)</f>
        <v>0</v>
      </c>
      <c r="AK43">
        <f ca="1">COUNTIFS(INDIRECT("Table1[Beginn]"),"&lt;="&amp;AK$1,INDIRECT("Table1[Ende]"),"&gt;="&amp;AK$1,INDIRECT("Table1[Obergruppe ATC-Code]"),Tabelle3!$A43)</f>
        <v>0</v>
      </c>
      <c r="AL43">
        <f ca="1">COUNTIFS(INDIRECT("Table1[Beginn]"),"&lt;="&amp;AL$1,INDIRECT("Table1[Ende]"),"&gt;="&amp;AL$1,INDIRECT("Table1[Obergruppe ATC-Code]"),Tabelle3!$A43)</f>
        <v>0</v>
      </c>
      <c r="AM43">
        <f ca="1">COUNTIFS(INDIRECT("Table1[Beginn]"),"&lt;="&amp;AM$1,INDIRECT("Table1[Ende]"),"&gt;="&amp;AM$1,INDIRECT("Table1[Obergruppe ATC-Code]"),Tabelle3!$A43)</f>
        <v>0</v>
      </c>
      <c r="AN43">
        <f ca="1">COUNTIFS(INDIRECT("Table1[Beginn]"),"&lt;="&amp;AN$1,INDIRECT("Table1[Ende]"),"&gt;="&amp;AN$1,INDIRECT("Table1[Obergruppe ATC-Code]"),Tabelle3!$A43)</f>
        <v>0</v>
      </c>
      <c r="AO43">
        <f ca="1">COUNTIFS(INDIRECT("Table1[Beginn]"),"&lt;="&amp;AO$1,INDIRECT("Table1[Ende]"),"&gt;="&amp;AO$1,INDIRECT("Table1[Obergruppe ATC-Code]"),Tabelle3!$A43)</f>
        <v>0</v>
      </c>
      <c r="AP43">
        <f ca="1">COUNTIFS(INDIRECT("Table1[Beginn]"),"&lt;="&amp;AP$1,INDIRECT("Table1[Ende]"),"&gt;="&amp;AP$1,INDIRECT("Table1[Obergruppe ATC-Code]"),Tabelle3!$A43)</f>
        <v>0</v>
      </c>
      <c r="AQ43">
        <f ca="1">COUNTIFS(INDIRECT("Table1[Beginn]"),"&lt;="&amp;AQ$1,INDIRECT("Table1[Ende]"),"&gt;="&amp;AQ$1,INDIRECT("Table1[Obergruppe ATC-Code]"),Tabelle3!$A43)</f>
        <v>0</v>
      </c>
      <c r="AR43">
        <f ca="1">COUNTIFS(INDIRECT("Table1[Beginn]"),"&lt;="&amp;AR$1,INDIRECT("Table1[Ende]"),"&gt;="&amp;AR$1,INDIRECT("Table1[Obergruppe ATC-Code]"),Tabelle3!$A43)</f>
        <v>0</v>
      </c>
      <c r="AS43">
        <f ca="1">COUNTIFS(INDIRECT("Table1[Beginn]"),"&lt;="&amp;AS$1,INDIRECT("Table1[Ende]"),"&gt;="&amp;AS$1,INDIRECT("Table1[Obergruppe ATC-Code]"),Tabelle3!$A43)</f>
        <v>1</v>
      </c>
      <c r="AT43">
        <f ca="1">COUNTIFS(INDIRECT("Table1[Beginn]"),"&lt;="&amp;AT$1,INDIRECT("Table1[Ende]"),"&gt;="&amp;AT$1,INDIRECT("Table1[Obergruppe ATC-Code]"),Tabelle3!$A43)</f>
        <v>1</v>
      </c>
      <c r="AU43">
        <f ca="1">COUNTIFS(INDIRECT("Table1[Beginn]"),"&lt;="&amp;AU$1,INDIRECT("Table1[Ende]"),"&gt;="&amp;AU$1,INDIRECT("Table1[Obergruppe ATC-Code]"),Tabelle3!$A43)</f>
        <v>0</v>
      </c>
      <c r="AV43">
        <f ca="1">COUNTIFS(INDIRECT("Table1[Beginn]"),"&lt;="&amp;AV$1,INDIRECT("Table1[Ende]"),"&gt;="&amp;AV$1,INDIRECT("Table1[Obergruppe ATC-Code]"),Tabelle3!$A43)</f>
        <v>0</v>
      </c>
      <c r="AW43">
        <f ca="1">COUNTIFS(INDIRECT("Table1[Beginn]"),"&lt;="&amp;AW$1,INDIRECT("Table1[Ende]"),"&gt;="&amp;AW$1,INDIRECT("Table1[Obergruppe ATC-Code]"),Tabelle3!$A43)</f>
        <v>0</v>
      </c>
      <c r="AX43">
        <f ca="1">COUNTIFS(INDIRECT("Table1[Beginn]"),"&lt;="&amp;AX$1,INDIRECT("Table1[Ende]"),"&gt;="&amp;AX$1,INDIRECT("Table1[Obergruppe ATC-Code]"),Tabelle3!$A43)</f>
        <v>0</v>
      </c>
      <c r="AY43">
        <f ca="1">COUNTIFS(INDIRECT("Table1[Beginn]"),"&lt;="&amp;AY$1,INDIRECT("Table1[Ende]"),"&gt;="&amp;AY$1,INDIRECT("Table1[Obergruppe ATC-Code]"),Tabelle3!$A43)</f>
        <v>0</v>
      </c>
      <c r="AZ43">
        <f ca="1">COUNTIFS(INDIRECT("Table1[Beginn]"),"&lt;="&amp;AZ$1,INDIRECT("Table1[Ende]"),"&gt;="&amp;AZ$1,INDIRECT("Table1[Obergruppe ATC-Code]"),Tabelle3!$A43)</f>
        <v>0</v>
      </c>
      <c r="BA43">
        <f ca="1">COUNTIFS(INDIRECT("Table1[Beginn]"),"&lt;="&amp;BA$1,INDIRECT("Table1[Ende]"),"&gt;="&amp;BA$1,INDIRECT("Table1[Obergruppe ATC-Code]"),Tabelle3!$A43)</f>
        <v>0</v>
      </c>
      <c r="BB43">
        <f ca="1">COUNTIFS(INDIRECT("Table1[Beginn]"),"&lt;="&amp;BB$1,INDIRECT("Table1[Ende]"),"&gt;="&amp;BB$1,INDIRECT("Table1[Obergruppe ATC-Code]"),Tabelle3!$A43)</f>
        <v>0</v>
      </c>
      <c r="BC43">
        <f ca="1">COUNTIFS(INDIRECT("Table1[Beginn]"),"&lt;="&amp;BC$1,INDIRECT("Table1[Ende]"),"&gt;="&amp;BC$1,INDIRECT("Table1[Obergruppe ATC-Code]"),Tabelle3!$A43)</f>
        <v>0</v>
      </c>
      <c r="BD43">
        <f ca="1">COUNTIFS(INDIRECT("Table1[Beginn]"),"&lt;="&amp;BD$1,INDIRECT("Table1[Ende]"),"&gt;="&amp;BD$1,INDIRECT("Table1[Obergruppe ATC-Code]"),Tabelle3!$A43)</f>
        <v>0</v>
      </c>
      <c r="BE43">
        <f ca="1">COUNTIFS(INDIRECT("Table1[Beginn]"),"&lt;="&amp;BE$1,INDIRECT("Table1[Ende]"),"&gt;="&amp;BE$1,INDIRECT("Table1[Obergruppe ATC-Code]"),Tabelle3!$A43)</f>
        <v>0</v>
      </c>
      <c r="BF43">
        <f ca="1">COUNTIFS(INDIRECT("Table1[Beginn]"),"&lt;="&amp;BF$1,INDIRECT("Table1[Ende]"),"&gt;="&amp;BF$1,INDIRECT("Table1[Obergruppe ATC-Code]"),Tabelle3!$A43)</f>
        <v>0</v>
      </c>
      <c r="BG43">
        <f ca="1">COUNTIFS(INDIRECT("Table1[Beginn]"),"&lt;="&amp;BG$1,INDIRECT("Table1[Ende]"),"&gt;="&amp;BG$1,INDIRECT("Table1[Obergruppe ATC-Code]"),Tabelle3!$A43)</f>
        <v>0</v>
      </c>
      <c r="BH43">
        <f ca="1">COUNTIFS(INDIRECT("Table1[Beginn]"),"&lt;="&amp;BH$1,INDIRECT("Table1[Ende]"),"&gt;="&amp;BH$1,INDIRECT("Table1[Obergruppe ATC-Code]"),Tabelle3!$A43)</f>
        <v>0</v>
      </c>
      <c r="BI43">
        <f ca="1">COUNTIFS(INDIRECT("Table1[Beginn]"),"&lt;="&amp;BI$1,INDIRECT("Table1[Ende]"),"&gt;="&amp;BI$1,INDIRECT("Table1[Obergruppe ATC-Code]"),Tabelle3!$A43)</f>
        <v>0</v>
      </c>
      <c r="BJ43">
        <f ca="1">COUNTIFS(INDIRECT("Table1[Beginn]"),"&lt;="&amp;BJ$1,INDIRECT("Table1[Ende]"),"&gt;="&amp;BJ$1,INDIRECT("Table1[Obergruppe ATC-Code]"),Tabelle3!$A43)</f>
        <v>0</v>
      </c>
      <c r="BK43">
        <f ca="1">COUNTIFS(INDIRECT("Table1[Beginn]"),"&lt;="&amp;BK$1,INDIRECT("Table1[Ende]"),"&gt;="&amp;BK$1,INDIRECT("Table1[Obergruppe ATC-Code]"),Tabelle3!$A43)</f>
        <v>0</v>
      </c>
      <c r="BL43">
        <f ca="1">COUNTIFS(INDIRECT("Table1[Beginn]"),"&lt;="&amp;BL$1,INDIRECT("Table1[Ende]"),"&gt;="&amp;BL$1,INDIRECT("Table1[Obergruppe ATC-Code]"),Tabelle3!$A43)</f>
        <v>0</v>
      </c>
      <c r="BM43">
        <f ca="1">COUNTIFS(INDIRECT("Table1[Beginn]"),"&lt;="&amp;BM$1,INDIRECT("Table1[Ende]"),"&gt;="&amp;BM$1,INDIRECT("Table1[Obergruppe ATC-Code]"),Tabelle3!$A43)</f>
        <v>0</v>
      </c>
      <c r="BN43">
        <f ca="1">COUNTIFS(INDIRECT("Table1[Beginn]"),"&lt;="&amp;BN$1,INDIRECT("Table1[Ende]"),"&gt;="&amp;BN$1,INDIRECT("Table1[Obergruppe ATC-Code]"),Tabelle3!$A43)</f>
        <v>0</v>
      </c>
      <c r="BO43">
        <f ca="1">COUNTIFS(INDIRECT("Table1[Beginn]"),"&lt;="&amp;BO$1,INDIRECT("Table1[Ende]"),"&gt;="&amp;BO$1,INDIRECT("Table1[Obergruppe ATC-Code]"),Tabelle3!$A43)</f>
        <v>0</v>
      </c>
      <c r="BP43">
        <f ca="1">COUNTIFS(INDIRECT("Table1[Beginn]"),"&lt;="&amp;BP$1,INDIRECT("Table1[Ende]"),"&gt;="&amp;BP$1,INDIRECT("Table1[Obergruppe ATC-Code]"),Tabelle3!$A43)</f>
        <v>0</v>
      </c>
      <c r="BQ43">
        <f ca="1">COUNTIFS(INDIRECT("Table1[Beginn]"),"&lt;="&amp;BQ$1,INDIRECT("Table1[Ende]"),"&gt;="&amp;BQ$1,INDIRECT("Table1[Obergruppe ATC-Code]"),Tabelle3!$A43)</f>
        <v>0</v>
      </c>
      <c r="BR43">
        <f ca="1">COUNTIFS(INDIRECT("Table1[Beginn]"),"&lt;="&amp;BR$1,INDIRECT("Table1[Ende]"),"&gt;="&amp;BR$1,INDIRECT("Table1[Obergruppe ATC-Code]"),Tabelle3!$A43)</f>
        <v>0</v>
      </c>
      <c r="BS43">
        <f ca="1">COUNTIFS(INDIRECT("Table1[Beginn]"),"&lt;="&amp;BS$1,INDIRECT("Table1[Ende]"),"&gt;="&amp;BS$1,INDIRECT("Table1[Obergruppe ATC-Code]"),Tabelle3!$A43)</f>
        <v>0</v>
      </c>
      <c r="BT43">
        <f ca="1">COUNTIFS(INDIRECT("Table1[Beginn]"),"&lt;="&amp;BT$1,INDIRECT("Table1[Ende]"),"&gt;="&amp;BT$1,INDIRECT("Table1[Obergruppe ATC-Code]"),Tabelle3!$A43)</f>
        <v>0</v>
      </c>
      <c r="BU43">
        <f ca="1">COUNTIFS(INDIRECT("Table1[Beginn]"),"&lt;="&amp;BU$1,INDIRECT("Table1[Ende]"),"&gt;="&amp;BU$1,INDIRECT("Table1[Obergruppe ATC-Code]"),Tabelle3!$A43)</f>
        <v>0</v>
      </c>
      <c r="BV43">
        <f ca="1">COUNTIFS(INDIRECT("Table1[Beginn]"),"&lt;="&amp;BV$1,INDIRECT("Table1[Ende]"),"&gt;="&amp;BV$1,INDIRECT("Table1[Obergruppe ATC-Code]"),Tabelle3!$A43)</f>
        <v>0</v>
      </c>
      <c r="BW43">
        <f ca="1">COUNTIFS(INDIRECT("Table1[Beginn]"),"&lt;="&amp;BW$1,INDIRECT("Table1[Ende]"),"&gt;="&amp;BW$1,INDIRECT("Table1[Obergruppe ATC-Code]"),Tabelle3!$A43)</f>
        <v>0</v>
      </c>
      <c r="BX43">
        <f ca="1">COUNTIFS(INDIRECT("Table1[Beginn]"),"&lt;="&amp;BX$1,INDIRECT("Table1[Ende]"),"&gt;="&amp;BX$1,INDIRECT("Table1[Obergruppe ATC-Code]"),Tabelle3!$A43)</f>
        <v>0</v>
      </c>
      <c r="BY43">
        <f ca="1">COUNTIFS(INDIRECT("Table1[Beginn]"),"&lt;="&amp;BY$1,INDIRECT("Table1[Ende]"),"&gt;="&amp;BY$1,INDIRECT("Table1[Obergruppe ATC-Code]"),Tabelle3!$A43)</f>
        <v>0</v>
      </c>
      <c r="BZ43">
        <f ca="1">COUNTIFS(INDIRECT("Table1[Beginn]"),"&lt;="&amp;BZ$1,INDIRECT("Table1[Ende]"),"&gt;="&amp;BZ$1,INDIRECT("Table1[Obergruppe ATC-Code]"),Tabelle3!$A43)</f>
        <v>1</v>
      </c>
      <c r="CA43">
        <f ca="1">COUNTIFS(INDIRECT("Table1[Beginn]"),"&lt;="&amp;CA$1,INDIRECT("Table1[Ende]"),"&gt;="&amp;CA$1,INDIRECT("Table1[Obergruppe ATC-Code]"),Tabelle3!$A43)</f>
        <v>2</v>
      </c>
      <c r="CB43">
        <f ca="1">COUNTIFS(INDIRECT("Table1[Beginn]"),"&lt;="&amp;CB$1,INDIRECT("Table1[Ende]"),"&gt;="&amp;CB$1,INDIRECT("Table1[Obergruppe ATC-Code]"),Tabelle3!$A43)</f>
        <v>2</v>
      </c>
      <c r="CC43">
        <f ca="1">COUNTIFS(INDIRECT("Table1[Beginn]"),"&lt;="&amp;CC$1,INDIRECT("Table1[Ende]"),"&gt;="&amp;CC$1,INDIRECT("Table1[Obergruppe ATC-Code]"),Tabelle3!$A43)</f>
        <v>2</v>
      </c>
      <c r="CD43">
        <f ca="1">COUNTIFS(INDIRECT("Table1[Beginn]"),"&lt;="&amp;CD$1,INDIRECT("Table1[Ende]"),"&gt;="&amp;CD$1,INDIRECT("Table1[Obergruppe ATC-Code]"),Tabelle3!$A43)</f>
        <v>2</v>
      </c>
      <c r="CE43">
        <f ca="1">COUNTIFS(INDIRECT("Table1[Beginn]"),"&lt;="&amp;CE$1,INDIRECT("Table1[Ende]"),"&gt;="&amp;CE$1,INDIRECT("Table1[Obergruppe ATC-Code]"),Tabelle3!$A43)</f>
        <v>2</v>
      </c>
      <c r="CF43">
        <f ca="1">COUNTIFS(INDIRECT("Table1[Beginn]"),"&lt;="&amp;CF$1,INDIRECT("Table1[Ende]"),"&gt;="&amp;CF$1,INDIRECT("Table1[Obergruppe ATC-Code]"),Tabelle3!$A43)</f>
        <v>2</v>
      </c>
      <c r="CG43">
        <f ca="1">COUNTIFS(INDIRECT("Table1[Beginn]"),"&lt;="&amp;CG$1,INDIRECT("Table1[Ende]"),"&gt;="&amp;CG$1,INDIRECT("Table1[Obergruppe ATC-Code]"),Tabelle3!$A43)</f>
        <v>2</v>
      </c>
      <c r="CH43">
        <f ca="1">COUNTIFS(INDIRECT("Table1[Beginn]"),"&lt;="&amp;CH$1,INDIRECT("Table1[Ende]"),"&gt;="&amp;CH$1,INDIRECT("Table1[Obergruppe ATC-Code]"),Tabelle3!$A43)</f>
        <v>2</v>
      </c>
      <c r="CI43">
        <f ca="1">COUNTIFS(INDIRECT("Table1[Beginn]"),"&lt;="&amp;CI$1,INDIRECT("Table1[Ende]"),"&gt;="&amp;CI$1,INDIRECT("Table1[Obergruppe ATC-Code]"),Tabelle3!$A43)</f>
        <v>1</v>
      </c>
      <c r="CJ43">
        <f ca="1">COUNTIFS(INDIRECT("Table1[Beginn]"),"&lt;="&amp;CJ$1,INDIRECT("Table1[Ende]"),"&gt;="&amp;CJ$1,INDIRECT("Table1[Obergruppe ATC-Code]"),Tabelle3!$A43)</f>
        <v>1</v>
      </c>
      <c r="CK43">
        <f ca="1">COUNTIFS(INDIRECT("Table1[Beginn]"),"&lt;="&amp;CK$1,INDIRECT("Table1[Ende]"),"&gt;="&amp;CK$1,INDIRECT("Table1[Obergruppe ATC-Code]"),Tabelle3!$A43)</f>
        <v>1</v>
      </c>
      <c r="CL43">
        <f ca="1">COUNTIFS(INDIRECT("Table1[Beginn]"),"&lt;="&amp;CL$1,INDIRECT("Table1[Ende]"),"&gt;="&amp;CL$1,INDIRECT("Table1[Obergruppe ATC-Code]"),Tabelle3!$A43)</f>
        <v>1</v>
      </c>
      <c r="CM43">
        <f ca="1">COUNTIFS(INDIRECT("Table1[Beginn]"),"&lt;="&amp;CM$1,INDIRECT("Table1[Ende]"),"&gt;="&amp;CM$1,INDIRECT("Table1[Obergruppe ATC-Code]"),Tabelle3!$A43)</f>
        <v>0</v>
      </c>
      <c r="CN43">
        <f ca="1">COUNTIFS(INDIRECT("Table1[Beginn]"),"&lt;="&amp;CN$1,INDIRECT("Table1[Ende]"),"&gt;="&amp;CN$1,INDIRECT("Table1[Obergruppe ATC-Code]"),Tabelle3!$A43)</f>
        <v>0</v>
      </c>
      <c r="CO43">
        <f ca="1">COUNTIFS(INDIRECT("Table1[Beginn]"),"&lt;="&amp;CO$1,INDIRECT("Table1[Ende]"),"&gt;="&amp;CO$1,INDIRECT("Table1[Obergruppe ATC-Code]"),Tabelle3!$A43)</f>
        <v>0</v>
      </c>
      <c r="CP43">
        <f ca="1">COUNTIFS(INDIRECT("Table1[Beginn]"),"&lt;="&amp;CP$1,INDIRECT("Table1[Ende]"),"&gt;="&amp;CP$1,INDIRECT("Table1[Obergruppe ATC-Code]"),Tabelle3!$A43)</f>
        <v>0</v>
      </c>
      <c r="CQ43">
        <f ca="1">COUNTIFS(INDIRECT("Table1[Beginn]"),"&lt;="&amp;CQ$1,INDIRECT("Table1[Ende]"),"&gt;="&amp;CQ$1,INDIRECT("Table1[Obergruppe ATC-Code]"),Tabelle3!$A43)</f>
        <v>0</v>
      </c>
      <c r="CR43">
        <f ca="1">COUNTIFS(INDIRECT("Table1[Beginn]"),"&lt;="&amp;CR$1,INDIRECT("Table1[Ende]"),"&gt;="&amp;CR$1,INDIRECT("Table1[Obergruppe ATC-Code]"),Tabelle3!$A43)</f>
        <v>0</v>
      </c>
    </row>
    <row r="44" spans="1:96" ht="18">
      <c r="A44" s="7" t="s">
        <v>6857</v>
      </c>
      <c r="B44" s="8" t="s">
        <v>6858</v>
      </c>
      <c r="C44">
        <f ca="1">COUNTIFS(INDIRECT("Table1[Beginn]"),"&lt;="&amp;C$1,INDIRECT("Table1[Ende]"),"&gt;="&amp;C$1,INDIRECT("Table1[Obergruppe ATC-Code]"),Tabelle3!$A44)</f>
        <v>0</v>
      </c>
      <c r="D44">
        <f ca="1">COUNTIFS(INDIRECT("Table1[Beginn]"),"&lt;="&amp;D$1,INDIRECT("Table1[Ende]"),"&gt;="&amp;D$1,INDIRECT("Table1[Obergruppe ATC-Code]"),Tabelle3!$A44)</f>
        <v>0</v>
      </c>
      <c r="E44">
        <f ca="1">COUNTIFS(INDIRECT("Table1[Beginn]"),"&lt;="&amp;E$1,INDIRECT("Table1[Ende]"),"&gt;="&amp;E$1,INDIRECT("Table1[Obergruppe ATC-Code]"),Tabelle3!$A44)</f>
        <v>0</v>
      </c>
      <c r="F44">
        <f ca="1">COUNTIFS(INDIRECT("Table1[Beginn]"),"&lt;="&amp;F$1,INDIRECT("Table1[Ende]"),"&gt;="&amp;F$1,INDIRECT("Table1[Obergruppe ATC-Code]"),Tabelle3!$A44)</f>
        <v>0</v>
      </c>
      <c r="G44">
        <f ca="1">COUNTIFS(INDIRECT("Table1[Beginn]"),"&lt;="&amp;G$1,INDIRECT("Table1[Ende]"),"&gt;="&amp;G$1,INDIRECT("Table1[Obergruppe ATC-Code]"),Tabelle3!$A44)</f>
        <v>0</v>
      </c>
      <c r="H44">
        <f ca="1">COUNTIFS(INDIRECT("Table1[Beginn]"),"&lt;="&amp;H$1,INDIRECT("Table1[Ende]"),"&gt;="&amp;H$1,INDIRECT("Table1[Obergruppe ATC-Code]"),Tabelle3!$A44)</f>
        <v>0</v>
      </c>
      <c r="I44">
        <f ca="1">COUNTIFS(INDIRECT("Table1[Beginn]"),"&lt;="&amp;I$1,INDIRECT("Table1[Ende]"),"&gt;="&amp;I$1,INDIRECT("Table1[Obergruppe ATC-Code]"),Tabelle3!$A44)</f>
        <v>0</v>
      </c>
      <c r="J44">
        <f ca="1">COUNTIFS(INDIRECT("Table1[Beginn]"),"&lt;="&amp;J$1,INDIRECT("Table1[Ende]"),"&gt;="&amp;J$1,INDIRECT("Table1[Obergruppe ATC-Code]"),Tabelle3!$A44)</f>
        <v>0</v>
      </c>
      <c r="K44">
        <f ca="1">COUNTIFS(INDIRECT("Table1[Beginn]"),"&lt;="&amp;K$1,INDIRECT("Table1[Ende]"),"&gt;="&amp;K$1,INDIRECT("Table1[Obergruppe ATC-Code]"),Tabelle3!$A44)</f>
        <v>0</v>
      </c>
      <c r="L44">
        <f ca="1">COUNTIFS(INDIRECT("Table1[Beginn]"),"&lt;="&amp;L$1,INDIRECT("Table1[Ende]"),"&gt;="&amp;L$1,INDIRECT("Table1[Obergruppe ATC-Code]"),Tabelle3!$A44)</f>
        <v>0</v>
      </c>
      <c r="M44">
        <f ca="1">COUNTIFS(INDIRECT("Table1[Beginn]"),"&lt;="&amp;M$1,INDIRECT("Table1[Ende]"),"&gt;="&amp;M$1,INDIRECT("Table1[Obergruppe ATC-Code]"),Tabelle3!$A44)</f>
        <v>0</v>
      </c>
      <c r="N44">
        <f ca="1">COUNTIFS(INDIRECT("Table1[Beginn]"),"&lt;="&amp;N$1,INDIRECT("Table1[Ende]"),"&gt;="&amp;N$1,INDIRECT("Table1[Obergruppe ATC-Code]"),Tabelle3!$A44)</f>
        <v>0</v>
      </c>
      <c r="O44">
        <f ca="1">COUNTIFS(INDIRECT("Table1[Beginn]"),"&lt;="&amp;O$1,INDIRECT("Table1[Ende]"),"&gt;="&amp;O$1,INDIRECT("Table1[Obergruppe ATC-Code]"),Tabelle3!$A44)</f>
        <v>0</v>
      </c>
      <c r="P44">
        <f ca="1">COUNTIFS(INDIRECT("Table1[Beginn]"),"&lt;="&amp;P$1,INDIRECT("Table1[Ende]"),"&gt;="&amp;P$1,INDIRECT("Table1[Obergruppe ATC-Code]"),Tabelle3!$A44)</f>
        <v>0</v>
      </c>
      <c r="Q44">
        <f ca="1">COUNTIFS(INDIRECT("Table1[Beginn]"),"&lt;="&amp;Q$1,INDIRECT("Table1[Ende]"),"&gt;="&amp;Q$1,INDIRECT("Table1[Obergruppe ATC-Code]"),Tabelle3!$A44)</f>
        <v>0</v>
      </c>
      <c r="R44">
        <f ca="1">COUNTIFS(INDIRECT("Table1[Beginn]"),"&lt;="&amp;R$1,INDIRECT("Table1[Ende]"),"&gt;="&amp;R$1,INDIRECT("Table1[Obergruppe ATC-Code]"),Tabelle3!$A44)</f>
        <v>0</v>
      </c>
      <c r="S44">
        <f ca="1">COUNTIFS(INDIRECT("Table1[Beginn]"),"&lt;="&amp;S$1,INDIRECT("Table1[Ende]"),"&gt;="&amp;S$1,INDIRECT("Table1[Obergruppe ATC-Code]"),Tabelle3!$A44)</f>
        <v>0</v>
      </c>
      <c r="T44">
        <f ca="1">COUNTIFS(INDIRECT("Table1[Beginn]"),"&lt;="&amp;T$1,INDIRECT("Table1[Ende]"),"&gt;="&amp;T$1,INDIRECT("Table1[Obergruppe ATC-Code]"),Tabelle3!$A44)</f>
        <v>0</v>
      </c>
      <c r="U44">
        <f ca="1">COUNTIFS(INDIRECT("Table1[Beginn]"),"&lt;="&amp;U$1,INDIRECT("Table1[Ende]"),"&gt;="&amp;U$1,INDIRECT("Table1[Obergruppe ATC-Code]"),Tabelle3!$A44)</f>
        <v>0</v>
      </c>
      <c r="V44">
        <f ca="1">COUNTIFS(INDIRECT("Table1[Beginn]"),"&lt;="&amp;V$1,INDIRECT("Table1[Ende]"),"&gt;="&amp;V$1,INDIRECT("Table1[Obergruppe ATC-Code]"),Tabelle3!$A44)</f>
        <v>0</v>
      </c>
      <c r="W44">
        <f ca="1">COUNTIFS(INDIRECT("Table1[Beginn]"),"&lt;="&amp;W$1,INDIRECT("Table1[Ende]"),"&gt;="&amp;W$1,INDIRECT("Table1[Obergruppe ATC-Code]"),Tabelle3!$A44)</f>
        <v>0</v>
      </c>
      <c r="X44">
        <f ca="1">COUNTIFS(INDIRECT("Table1[Beginn]"),"&lt;="&amp;X$1,INDIRECT("Table1[Ende]"),"&gt;="&amp;X$1,INDIRECT("Table1[Obergruppe ATC-Code]"),Tabelle3!$A44)</f>
        <v>0</v>
      </c>
      <c r="Y44">
        <f ca="1">COUNTIFS(INDIRECT("Table1[Beginn]"),"&lt;="&amp;Y$1,INDIRECT("Table1[Ende]"),"&gt;="&amp;Y$1,INDIRECT("Table1[Obergruppe ATC-Code]"),Tabelle3!$A44)</f>
        <v>0</v>
      </c>
      <c r="Z44">
        <f ca="1">COUNTIFS(INDIRECT("Table1[Beginn]"),"&lt;="&amp;Z$1,INDIRECT("Table1[Ende]"),"&gt;="&amp;Z$1,INDIRECT("Table1[Obergruppe ATC-Code]"),Tabelle3!$A44)</f>
        <v>0</v>
      </c>
      <c r="AA44">
        <f ca="1">COUNTIFS(INDIRECT("Table1[Beginn]"),"&lt;="&amp;AA$1,INDIRECT("Table1[Ende]"),"&gt;="&amp;AA$1,INDIRECT("Table1[Obergruppe ATC-Code]"),Tabelle3!$A44)</f>
        <v>0</v>
      </c>
      <c r="AB44">
        <f ca="1">COUNTIFS(INDIRECT("Table1[Beginn]"),"&lt;="&amp;AB$1,INDIRECT("Table1[Ende]"),"&gt;="&amp;AB$1,INDIRECT("Table1[Obergruppe ATC-Code]"),Tabelle3!$A44)</f>
        <v>0</v>
      </c>
      <c r="AC44">
        <f ca="1">COUNTIFS(INDIRECT("Table1[Beginn]"),"&lt;="&amp;AC$1,INDIRECT("Table1[Ende]"),"&gt;="&amp;AC$1,INDIRECT("Table1[Obergruppe ATC-Code]"),Tabelle3!$A44)</f>
        <v>0</v>
      </c>
      <c r="AD44">
        <f ca="1">COUNTIFS(INDIRECT("Table1[Beginn]"),"&lt;="&amp;AD$1,INDIRECT("Table1[Ende]"),"&gt;="&amp;AD$1,INDIRECT("Table1[Obergruppe ATC-Code]"),Tabelle3!$A44)</f>
        <v>0</v>
      </c>
      <c r="AE44">
        <f ca="1">COUNTIFS(INDIRECT("Table1[Beginn]"),"&lt;="&amp;AE$1,INDIRECT("Table1[Ende]"),"&gt;="&amp;AE$1,INDIRECT("Table1[Obergruppe ATC-Code]"),Tabelle3!$A44)</f>
        <v>0</v>
      </c>
      <c r="AF44">
        <f ca="1">COUNTIFS(INDIRECT("Table1[Beginn]"),"&lt;="&amp;AF$1,INDIRECT("Table1[Ende]"),"&gt;="&amp;AF$1,INDIRECT("Table1[Obergruppe ATC-Code]"),Tabelle3!$A44)</f>
        <v>0</v>
      </c>
      <c r="AG44">
        <f ca="1">COUNTIFS(INDIRECT("Table1[Beginn]"),"&lt;="&amp;AG$1,INDIRECT("Table1[Ende]"),"&gt;="&amp;AG$1,INDIRECT("Table1[Obergruppe ATC-Code]"),Tabelle3!$A44)</f>
        <v>0</v>
      </c>
      <c r="AH44">
        <f ca="1">COUNTIFS(INDIRECT("Table1[Beginn]"),"&lt;="&amp;AH$1,INDIRECT("Table1[Ende]"),"&gt;="&amp;AH$1,INDIRECT("Table1[Obergruppe ATC-Code]"),Tabelle3!$A44)</f>
        <v>0</v>
      </c>
      <c r="AI44">
        <f ca="1">COUNTIFS(INDIRECT("Table1[Beginn]"),"&lt;="&amp;AI$1,INDIRECT("Table1[Ende]"),"&gt;="&amp;AI$1,INDIRECT("Table1[Obergruppe ATC-Code]"),Tabelle3!$A44)</f>
        <v>0</v>
      </c>
      <c r="AJ44">
        <f ca="1">COUNTIFS(INDIRECT("Table1[Beginn]"),"&lt;="&amp;AJ$1,INDIRECT("Table1[Ende]"),"&gt;="&amp;AJ$1,INDIRECT("Table1[Obergruppe ATC-Code]"),Tabelle3!$A44)</f>
        <v>0</v>
      </c>
      <c r="AK44">
        <f ca="1">COUNTIFS(INDIRECT("Table1[Beginn]"),"&lt;="&amp;AK$1,INDIRECT("Table1[Ende]"),"&gt;="&amp;AK$1,INDIRECT("Table1[Obergruppe ATC-Code]"),Tabelle3!$A44)</f>
        <v>0</v>
      </c>
      <c r="AL44">
        <f ca="1">COUNTIFS(INDIRECT("Table1[Beginn]"),"&lt;="&amp;AL$1,INDIRECT("Table1[Ende]"),"&gt;="&amp;AL$1,INDIRECT("Table1[Obergruppe ATC-Code]"),Tabelle3!$A44)</f>
        <v>0</v>
      </c>
      <c r="AM44">
        <f ca="1">COUNTIFS(INDIRECT("Table1[Beginn]"),"&lt;="&amp;AM$1,INDIRECT("Table1[Ende]"),"&gt;="&amp;AM$1,INDIRECT("Table1[Obergruppe ATC-Code]"),Tabelle3!$A44)</f>
        <v>0</v>
      </c>
      <c r="AN44">
        <f ca="1">COUNTIFS(INDIRECT("Table1[Beginn]"),"&lt;="&amp;AN$1,INDIRECT("Table1[Ende]"),"&gt;="&amp;AN$1,INDIRECT("Table1[Obergruppe ATC-Code]"),Tabelle3!$A44)</f>
        <v>0</v>
      </c>
      <c r="AO44">
        <f ca="1">COUNTIFS(INDIRECT("Table1[Beginn]"),"&lt;="&amp;AO$1,INDIRECT("Table1[Ende]"),"&gt;="&amp;AO$1,INDIRECT("Table1[Obergruppe ATC-Code]"),Tabelle3!$A44)</f>
        <v>0</v>
      </c>
      <c r="AP44">
        <f ca="1">COUNTIFS(INDIRECT("Table1[Beginn]"),"&lt;="&amp;AP$1,INDIRECT("Table1[Ende]"),"&gt;="&amp;AP$1,INDIRECT("Table1[Obergruppe ATC-Code]"),Tabelle3!$A44)</f>
        <v>0</v>
      </c>
      <c r="AQ44">
        <f ca="1">COUNTIFS(INDIRECT("Table1[Beginn]"),"&lt;="&amp;AQ$1,INDIRECT("Table1[Ende]"),"&gt;="&amp;AQ$1,INDIRECT("Table1[Obergruppe ATC-Code]"),Tabelle3!$A44)</f>
        <v>0</v>
      </c>
      <c r="AR44">
        <f ca="1">COUNTIFS(INDIRECT("Table1[Beginn]"),"&lt;="&amp;AR$1,INDIRECT("Table1[Ende]"),"&gt;="&amp;AR$1,INDIRECT("Table1[Obergruppe ATC-Code]"),Tabelle3!$A44)</f>
        <v>0</v>
      </c>
      <c r="AS44">
        <f ca="1">COUNTIFS(INDIRECT("Table1[Beginn]"),"&lt;="&amp;AS$1,INDIRECT("Table1[Ende]"),"&gt;="&amp;AS$1,INDIRECT("Table1[Obergruppe ATC-Code]"),Tabelle3!$A44)</f>
        <v>0</v>
      </c>
      <c r="AT44">
        <f ca="1">COUNTIFS(INDIRECT("Table1[Beginn]"),"&lt;="&amp;AT$1,INDIRECT("Table1[Ende]"),"&gt;="&amp;AT$1,INDIRECT("Table1[Obergruppe ATC-Code]"),Tabelle3!$A44)</f>
        <v>0</v>
      </c>
      <c r="AU44">
        <f ca="1">COUNTIFS(INDIRECT("Table1[Beginn]"),"&lt;="&amp;AU$1,INDIRECT("Table1[Ende]"),"&gt;="&amp;AU$1,INDIRECT("Table1[Obergruppe ATC-Code]"),Tabelle3!$A44)</f>
        <v>0</v>
      </c>
      <c r="AV44">
        <f ca="1">COUNTIFS(INDIRECT("Table1[Beginn]"),"&lt;="&amp;AV$1,INDIRECT("Table1[Ende]"),"&gt;="&amp;AV$1,INDIRECT("Table1[Obergruppe ATC-Code]"),Tabelle3!$A44)</f>
        <v>0</v>
      </c>
      <c r="AW44">
        <f ca="1">COUNTIFS(INDIRECT("Table1[Beginn]"),"&lt;="&amp;AW$1,INDIRECT("Table1[Ende]"),"&gt;="&amp;AW$1,INDIRECT("Table1[Obergruppe ATC-Code]"),Tabelle3!$A44)</f>
        <v>0</v>
      </c>
      <c r="AX44">
        <f ca="1">COUNTIFS(INDIRECT("Table1[Beginn]"),"&lt;="&amp;AX$1,INDIRECT("Table1[Ende]"),"&gt;="&amp;AX$1,INDIRECT("Table1[Obergruppe ATC-Code]"),Tabelle3!$A44)</f>
        <v>0</v>
      </c>
      <c r="AY44">
        <f ca="1">COUNTIFS(INDIRECT("Table1[Beginn]"),"&lt;="&amp;AY$1,INDIRECT("Table1[Ende]"),"&gt;="&amp;AY$1,INDIRECT("Table1[Obergruppe ATC-Code]"),Tabelle3!$A44)</f>
        <v>0</v>
      </c>
      <c r="AZ44">
        <f ca="1">COUNTIFS(INDIRECT("Table1[Beginn]"),"&lt;="&amp;AZ$1,INDIRECT("Table1[Ende]"),"&gt;="&amp;AZ$1,INDIRECT("Table1[Obergruppe ATC-Code]"),Tabelle3!$A44)</f>
        <v>0</v>
      </c>
      <c r="BA44">
        <f ca="1">COUNTIFS(INDIRECT("Table1[Beginn]"),"&lt;="&amp;BA$1,INDIRECT("Table1[Ende]"),"&gt;="&amp;BA$1,INDIRECT("Table1[Obergruppe ATC-Code]"),Tabelle3!$A44)</f>
        <v>0</v>
      </c>
      <c r="BB44">
        <f ca="1">COUNTIFS(INDIRECT("Table1[Beginn]"),"&lt;="&amp;BB$1,INDIRECT("Table1[Ende]"),"&gt;="&amp;BB$1,INDIRECT("Table1[Obergruppe ATC-Code]"),Tabelle3!$A44)</f>
        <v>0</v>
      </c>
      <c r="BC44">
        <f ca="1">COUNTIFS(INDIRECT("Table1[Beginn]"),"&lt;="&amp;BC$1,INDIRECT("Table1[Ende]"),"&gt;="&amp;BC$1,INDIRECT("Table1[Obergruppe ATC-Code]"),Tabelle3!$A44)</f>
        <v>0</v>
      </c>
      <c r="BD44">
        <f ca="1">COUNTIFS(INDIRECT("Table1[Beginn]"),"&lt;="&amp;BD$1,INDIRECT("Table1[Ende]"),"&gt;="&amp;BD$1,INDIRECT("Table1[Obergruppe ATC-Code]"),Tabelle3!$A44)</f>
        <v>0</v>
      </c>
      <c r="BE44">
        <f ca="1">COUNTIFS(INDIRECT("Table1[Beginn]"),"&lt;="&amp;BE$1,INDIRECT("Table1[Ende]"),"&gt;="&amp;BE$1,INDIRECT("Table1[Obergruppe ATC-Code]"),Tabelle3!$A44)</f>
        <v>0</v>
      </c>
      <c r="BF44">
        <f ca="1">COUNTIFS(INDIRECT("Table1[Beginn]"),"&lt;="&amp;BF$1,INDIRECT("Table1[Ende]"),"&gt;="&amp;BF$1,INDIRECT("Table1[Obergruppe ATC-Code]"),Tabelle3!$A44)</f>
        <v>0</v>
      </c>
      <c r="BG44">
        <f ca="1">COUNTIFS(INDIRECT("Table1[Beginn]"),"&lt;="&amp;BG$1,INDIRECT("Table1[Ende]"),"&gt;="&amp;BG$1,INDIRECT("Table1[Obergruppe ATC-Code]"),Tabelle3!$A44)</f>
        <v>0</v>
      </c>
      <c r="BH44">
        <f ca="1">COUNTIFS(INDIRECT("Table1[Beginn]"),"&lt;="&amp;BH$1,INDIRECT("Table1[Ende]"),"&gt;="&amp;BH$1,INDIRECT("Table1[Obergruppe ATC-Code]"),Tabelle3!$A44)</f>
        <v>0</v>
      </c>
      <c r="BI44">
        <f ca="1">COUNTIFS(INDIRECT("Table1[Beginn]"),"&lt;="&amp;BI$1,INDIRECT("Table1[Ende]"),"&gt;="&amp;BI$1,INDIRECT("Table1[Obergruppe ATC-Code]"),Tabelle3!$A44)</f>
        <v>0</v>
      </c>
      <c r="BJ44">
        <f ca="1">COUNTIFS(INDIRECT("Table1[Beginn]"),"&lt;="&amp;BJ$1,INDIRECT("Table1[Ende]"),"&gt;="&amp;BJ$1,INDIRECT("Table1[Obergruppe ATC-Code]"),Tabelle3!$A44)</f>
        <v>0</v>
      </c>
      <c r="BK44">
        <f ca="1">COUNTIFS(INDIRECT("Table1[Beginn]"),"&lt;="&amp;BK$1,INDIRECT("Table1[Ende]"),"&gt;="&amp;BK$1,INDIRECT("Table1[Obergruppe ATC-Code]"),Tabelle3!$A44)</f>
        <v>0</v>
      </c>
      <c r="BL44">
        <f ca="1">COUNTIFS(INDIRECT("Table1[Beginn]"),"&lt;="&amp;BL$1,INDIRECT("Table1[Ende]"),"&gt;="&amp;BL$1,INDIRECT("Table1[Obergruppe ATC-Code]"),Tabelle3!$A44)</f>
        <v>0</v>
      </c>
      <c r="BM44">
        <f ca="1">COUNTIFS(INDIRECT("Table1[Beginn]"),"&lt;="&amp;BM$1,INDIRECT("Table1[Ende]"),"&gt;="&amp;BM$1,INDIRECT("Table1[Obergruppe ATC-Code]"),Tabelle3!$A44)</f>
        <v>0</v>
      </c>
      <c r="BN44">
        <f ca="1">COUNTIFS(INDIRECT("Table1[Beginn]"),"&lt;="&amp;BN$1,INDIRECT("Table1[Ende]"),"&gt;="&amp;BN$1,INDIRECT("Table1[Obergruppe ATC-Code]"),Tabelle3!$A44)</f>
        <v>0</v>
      </c>
      <c r="BO44">
        <f ca="1">COUNTIFS(INDIRECT("Table1[Beginn]"),"&lt;="&amp;BO$1,INDIRECT("Table1[Ende]"),"&gt;="&amp;BO$1,INDIRECT("Table1[Obergruppe ATC-Code]"),Tabelle3!$A44)</f>
        <v>0</v>
      </c>
      <c r="BP44">
        <f ca="1">COUNTIFS(INDIRECT("Table1[Beginn]"),"&lt;="&amp;BP$1,INDIRECT("Table1[Ende]"),"&gt;="&amp;BP$1,INDIRECT("Table1[Obergruppe ATC-Code]"),Tabelle3!$A44)</f>
        <v>0</v>
      </c>
      <c r="BQ44">
        <f ca="1">COUNTIFS(INDIRECT("Table1[Beginn]"),"&lt;="&amp;BQ$1,INDIRECT("Table1[Ende]"),"&gt;="&amp;BQ$1,INDIRECT("Table1[Obergruppe ATC-Code]"),Tabelle3!$A44)</f>
        <v>0</v>
      </c>
      <c r="BR44">
        <f ca="1">COUNTIFS(INDIRECT("Table1[Beginn]"),"&lt;="&amp;BR$1,INDIRECT("Table1[Ende]"),"&gt;="&amp;BR$1,INDIRECT("Table1[Obergruppe ATC-Code]"),Tabelle3!$A44)</f>
        <v>0</v>
      </c>
      <c r="BS44">
        <f ca="1">COUNTIFS(INDIRECT("Table1[Beginn]"),"&lt;="&amp;BS$1,INDIRECT("Table1[Ende]"),"&gt;="&amp;BS$1,INDIRECT("Table1[Obergruppe ATC-Code]"),Tabelle3!$A44)</f>
        <v>0</v>
      </c>
      <c r="BT44">
        <f ca="1">COUNTIFS(INDIRECT("Table1[Beginn]"),"&lt;="&amp;BT$1,INDIRECT("Table1[Ende]"),"&gt;="&amp;BT$1,INDIRECT("Table1[Obergruppe ATC-Code]"),Tabelle3!$A44)</f>
        <v>1</v>
      </c>
      <c r="BU44">
        <f ca="1">COUNTIFS(INDIRECT("Table1[Beginn]"),"&lt;="&amp;BU$1,INDIRECT("Table1[Ende]"),"&gt;="&amp;BU$1,INDIRECT("Table1[Obergruppe ATC-Code]"),Tabelle3!$A44)</f>
        <v>1</v>
      </c>
      <c r="BV44">
        <f ca="1">COUNTIFS(INDIRECT("Table1[Beginn]"),"&lt;="&amp;BV$1,INDIRECT("Table1[Ende]"),"&gt;="&amp;BV$1,INDIRECT("Table1[Obergruppe ATC-Code]"),Tabelle3!$A44)</f>
        <v>1</v>
      </c>
      <c r="BW44">
        <f ca="1">COUNTIFS(INDIRECT("Table1[Beginn]"),"&lt;="&amp;BW$1,INDIRECT("Table1[Ende]"),"&gt;="&amp;BW$1,INDIRECT("Table1[Obergruppe ATC-Code]"),Tabelle3!$A44)</f>
        <v>1</v>
      </c>
      <c r="BX44">
        <f ca="1">COUNTIFS(INDIRECT("Table1[Beginn]"),"&lt;="&amp;BX$1,INDIRECT("Table1[Ende]"),"&gt;="&amp;BX$1,INDIRECT("Table1[Obergruppe ATC-Code]"),Tabelle3!$A44)</f>
        <v>1</v>
      </c>
      <c r="BY44">
        <f ca="1">COUNTIFS(INDIRECT("Table1[Beginn]"),"&lt;="&amp;BY$1,INDIRECT("Table1[Ende]"),"&gt;="&amp;BY$1,INDIRECT("Table1[Obergruppe ATC-Code]"),Tabelle3!$A44)</f>
        <v>2</v>
      </c>
      <c r="BZ44">
        <f ca="1">COUNTIFS(INDIRECT("Table1[Beginn]"),"&lt;="&amp;BZ$1,INDIRECT("Table1[Ende]"),"&gt;="&amp;BZ$1,INDIRECT("Table1[Obergruppe ATC-Code]"),Tabelle3!$A44)</f>
        <v>2</v>
      </c>
      <c r="CA44">
        <f ca="1">COUNTIFS(INDIRECT("Table1[Beginn]"),"&lt;="&amp;CA$1,INDIRECT("Table1[Ende]"),"&gt;="&amp;CA$1,INDIRECT("Table1[Obergruppe ATC-Code]"),Tabelle3!$A44)</f>
        <v>2</v>
      </c>
      <c r="CB44">
        <f ca="1">COUNTIFS(INDIRECT("Table1[Beginn]"),"&lt;="&amp;CB$1,INDIRECT("Table1[Ende]"),"&gt;="&amp;CB$1,INDIRECT("Table1[Obergruppe ATC-Code]"),Tabelle3!$A44)</f>
        <v>1</v>
      </c>
      <c r="CC44">
        <f ca="1">COUNTIFS(INDIRECT("Table1[Beginn]"),"&lt;="&amp;CC$1,INDIRECT("Table1[Ende]"),"&gt;="&amp;CC$1,INDIRECT("Table1[Obergruppe ATC-Code]"),Tabelle3!$A44)</f>
        <v>2</v>
      </c>
      <c r="CD44">
        <f ca="1">COUNTIFS(INDIRECT("Table1[Beginn]"),"&lt;="&amp;CD$1,INDIRECT("Table1[Ende]"),"&gt;="&amp;CD$1,INDIRECT("Table1[Obergruppe ATC-Code]"),Tabelle3!$A44)</f>
        <v>2</v>
      </c>
      <c r="CE44">
        <f ca="1">COUNTIFS(INDIRECT("Table1[Beginn]"),"&lt;="&amp;CE$1,INDIRECT("Table1[Ende]"),"&gt;="&amp;CE$1,INDIRECT("Table1[Obergruppe ATC-Code]"),Tabelle3!$A44)</f>
        <v>1</v>
      </c>
      <c r="CF44">
        <f ca="1">COUNTIFS(INDIRECT("Table1[Beginn]"),"&lt;="&amp;CF$1,INDIRECT("Table1[Ende]"),"&gt;="&amp;CF$1,INDIRECT("Table1[Obergruppe ATC-Code]"),Tabelle3!$A44)</f>
        <v>1</v>
      </c>
      <c r="CG44">
        <f ca="1">COUNTIFS(INDIRECT("Table1[Beginn]"),"&lt;="&amp;CG$1,INDIRECT("Table1[Ende]"),"&gt;="&amp;CG$1,INDIRECT("Table1[Obergruppe ATC-Code]"),Tabelle3!$A44)</f>
        <v>1</v>
      </c>
      <c r="CH44">
        <f ca="1">COUNTIFS(INDIRECT("Table1[Beginn]"),"&lt;="&amp;CH$1,INDIRECT("Table1[Ende]"),"&gt;="&amp;CH$1,INDIRECT("Table1[Obergruppe ATC-Code]"),Tabelle3!$A44)</f>
        <v>0</v>
      </c>
      <c r="CI44">
        <f ca="1">COUNTIFS(INDIRECT("Table1[Beginn]"),"&lt;="&amp;CI$1,INDIRECT("Table1[Ende]"),"&gt;="&amp;CI$1,INDIRECT("Table1[Obergruppe ATC-Code]"),Tabelle3!$A44)</f>
        <v>0</v>
      </c>
      <c r="CJ44">
        <f ca="1">COUNTIFS(INDIRECT("Table1[Beginn]"),"&lt;="&amp;CJ$1,INDIRECT("Table1[Ende]"),"&gt;="&amp;CJ$1,INDIRECT("Table1[Obergruppe ATC-Code]"),Tabelle3!$A44)</f>
        <v>0</v>
      </c>
      <c r="CK44">
        <f ca="1">COUNTIFS(INDIRECT("Table1[Beginn]"),"&lt;="&amp;CK$1,INDIRECT("Table1[Ende]"),"&gt;="&amp;CK$1,INDIRECT("Table1[Obergruppe ATC-Code]"),Tabelle3!$A44)</f>
        <v>0</v>
      </c>
      <c r="CL44">
        <f ca="1">COUNTIFS(INDIRECT("Table1[Beginn]"),"&lt;="&amp;CL$1,INDIRECT("Table1[Ende]"),"&gt;="&amp;CL$1,INDIRECT("Table1[Obergruppe ATC-Code]"),Tabelle3!$A44)</f>
        <v>0</v>
      </c>
      <c r="CM44">
        <f ca="1">COUNTIFS(INDIRECT("Table1[Beginn]"),"&lt;="&amp;CM$1,INDIRECT("Table1[Ende]"),"&gt;="&amp;CM$1,INDIRECT("Table1[Obergruppe ATC-Code]"),Tabelle3!$A44)</f>
        <v>0</v>
      </c>
      <c r="CN44">
        <f ca="1">COUNTIFS(INDIRECT("Table1[Beginn]"),"&lt;="&amp;CN$1,INDIRECT("Table1[Ende]"),"&gt;="&amp;CN$1,INDIRECT("Table1[Obergruppe ATC-Code]"),Tabelle3!$A44)</f>
        <v>0</v>
      </c>
      <c r="CO44">
        <f ca="1">COUNTIFS(INDIRECT("Table1[Beginn]"),"&lt;="&amp;CO$1,INDIRECT("Table1[Ende]"),"&gt;="&amp;CO$1,INDIRECT("Table1[Obergruppe ATC-Code]"),Tabelle3!$A44)</f>
        <v>0</v>
      </c>
      <c r="CP44">
        <f ca="1">COUNTIFS(INDIRECT("Table1[Beginn]"),"&lt;="&amp;CP$1,INDIRECT("Table1[Ende]"),"&gt;="&amp;CP$1,INDIRECT("Table1[Obergruppe ATC-Code]"),Tabelle3!$A44)</f>
        <v>0</v>
      </c>
      <c r="CQ44">
        <f ca="1">COUNTIFS(INDIRECT("Table1[Beginn]"),"&lt;="&amp;CQ$1,INDIRECT("Table1[Ende]"),"&gt;="&amp;CQ$1,INDIRECT("Table1[Obergruppe ATC-Code]"),Tabelle3!$A44)</f>
        <v>0</v>
      </c>
      <c r="CR44">
        <f ca="1">COUNTIFS(INDIRECT("Table1[Beginn]"),"&lt;="&amp;CR$1,INDIRECT("Table1[Ende]"),"&gt;="&amp;CR$1,INDIRECT("Table1[Obergruppe ATC-Code]"),Tabelle3!$A44)</f>
        <v>0</v>
      </c>
    </row>
    <row r="45" spans="1:96" ht="18">
      <c r="A45" s="9" t="s">
        <v>6859</v>
      </c>
      <c r="B45" s="10" t="s">
        <v>6860</v>
      </c>
      <c r="C45">
        <f ca="1">COUNTIFS(INDIRECT("Table1[Beginn]"),"&lt;="&amp;C$1,INDIRECT("Table1[Ende]"),"&gt;="&amp;C$1,INDIRECT("Table1[Obergruppe ATC-Code]"),Tabelle3!$A45)</f>
        <v>0</v>
      </c>
      <c r="D45">
        <f ca="1">COUNTIFS(INDIRECT("Table1[Beginn]"),"&lt;="&amp;D$1,INDIRECT("Table1[Ende]"),"&gt;="&amp;D$1,INDIRECT("Table1[Obergruppe ATC-Code]"),Tabelle3!$A45)</f>
        <v>0</v>
      </c>
      <c r="E45">
        <f ca="1">COUNTIFS(INDIRECT("Table1[Beginn]"),"&lt;="&amp;E$1,INDIRECT("Table1[Ende]"),"&gt;="&amp;E$1,INDIRECT("Table1[Obergruppe ATC-Code]"),Tabelle3!$A45)</f>
        <v>0</v>
      </c>
      <c r="F45">
        <f ca="1">COUNTIFS(INDIRECT("Table1[Beginn]"),"&lt;="&amp;F$1,INDIRECT("Table1[Ende]"),"&gt;="&amp;F$1,INDIRECT("Table1[Obergruppe ATC-Code]"),Tabelle3!$A45)</f>
        <v>0</v>
      </c>
      <c r="G45">
        <f ca="1">COUNTIFS(INDIRECT("Table1[Beginn]"),"&lt;="&amp;G$1,INDIRECT("Table1[Ende]"),"&gt;="&amp;G$1,INDIRECT("Table1[Obergruppe ATC-Code]"),Tabelle3!$A45)</f>
        <v>0</v>
      </c>
      <c r="H45">
        <f ca="1">COUNTIFS(INDIRECT("Table1[Beginn]"),"&lt;="&amp;H$1,INDIRECT("Table1[Ende]"),"&gt;="&amp;H$1,INDIRECT("Table1[Obergruppe ATC-Code]"),Tabelle3!$A45)</f>
        <v>0</v>
      </c>
      <c r="I45">
        <f ca="1">COUNTIFS(INDIRECT("Table1[Beginn]"),"&lt;="&amp;I$1,INDIRECT("Table1[Ende]"),"&gt;="&amp;I$1,INDIRECT("Table1[Obergruppe ATC-Code]"),Tabelle3!$A45)</f>
        <v>0</v>
      </c>
      <c r="J45">
        <f ca="1">COUNTIFS(INDIRECT("Table1[Beginn]"),"&lt;="&amp;J$1,INDIRECT("Table1[Ende]"),"&gt;="&amp;J$1,INDIRECT("Table1[Obergruppe ATC-Code]"),Tabelle3!$A45)</f>
        <v>0</v>
      </c>
      <c r="K45">
        <f ca="1">COUNTIFS(INDIRECT("Table1[Beginn]"),"&lt;="&amp;K$1,INDIRECT("Table1[Ende]"),"&gt;="&amp;K$1,INDIRECT("Table1[Obergruppe ATC-Code]"),Tabelle3!$A45)</f>
        <v>0</v>
      </c>
      <c r="L45">
        <f ca="1">COUNTIFS(INDIRECT("Table1[Beginn]"),"&lt;="&amp;L$1,INDIRECT("Table1[Ende]"),"&gt;="&amp;L$1,INDIRECT("Table1[Obergruppe ATC-Code]"),Tabelle3!$A45)</f>
        <v>0</v>
      </c>
      <c r="M45">
        <f ca="1">COUNTIFS(INDIRECT("Table1[Beginn]"),"&lt;="&amp;M$1,INDIRECT("Table1[Ende]"),"&gt;="&amp;M$1,INDIRECT("Table1[Obergruppe ATC-Code]"),Tabelle3!$A45)</f>
        <v>0</v>
      </c>
      <c r="N45">
        <f ca="1">COUNTIFS(INDIRECT("Table1[Beginn]"),"&lt;="&amp;N$1,INDIRECT("Table1[Ende]"),"&gt;="&amp;N$1,INDIRECT("Table1[Obergruppe ATC-Code]"),Tabelle3!$A45)</f>
        <v>0</v>
      </c>
      <c r="O45">
        <f ca="1">COUNTIFS(INDIRECT("Table1[Beginn]"),"&lt;="&amp;O$1,INDIRECT("Table1[Ende]"),"&gt;="&amp;O$1,INDIRECT("Table1[Obergruppe ATC-Code]"),Tabelle3!$A45)</f>
        <v>0</v>
      </c>
      <c r="P45">
        <f ca="1">COUNTIFS(INDIRECT("Table1[Beginn]"),"&lt;="&amp;P$1,INDIRECT("Table1[Ende]"),"&gt;="&amp;P$1,INDIRECT("Table1[Obergruppe ATC-Code]"),Tabelle3!$A45)</f>
        <v>0</v>
      </c>
      <c r="Q45">
        <f ca="1">COUNTIFS(INDIRECT("Table1[Beginn]"),"&lt;="&amp;Q$1,INDIRECT("Table1[Ende]"),"&gt;="&amp;Q$1,INDIRECT("Table1[Obergruppe ATC-Code]"),Tabelle3!$A45)</f>
        <v>0</v>
      </c>
      <c r="R45">
        <f ca="1">COUNTIFS(INDIRECT("Table1[Beginn]"),"&lt;="&amp;R$1,INDIRECT("Table1[Ende]"),"&gt;="&amp;R$1,INDIRECT("Table1[Obergruppe ATC-Code]"),Tabelle3!$A45)</f>
        <v>0</v>
      </c>
      <c r="S45">
        <f ca="1">COUNTIFS(INDIRECT("Table1[Beginn]"),"&lt;="&amp;S$1,INDIRECT("Table1[Ende]"),"&gt;="&amp;S$1,INDIRECT("Table1[Obergruppe ATC-Code]"),Tabelle3!$A45)</f>
        <v>0</v>
      </c>
      <c r="T45">
        <f ca="1">COUNTIFS(INDIRECT("Table1[Beginn]"),"&lt;="&amp;T$1,INDIRECT("Table1[Ende]"),"&gt;="&amp;T$1,INDIRECT("Table1[Obergruppe ATC-Code]"),Tabelle3!$A45)</f>
        <v>0</v>
      </c>
      <c r="U45">
        <f ca="1">COUNTIFS(INDIRECT("Table1[Beginn]"),"&lt;="&amp;U$1,INDIRECT("Table1[Ende]"),"&gt;="&amp;U$1,INDIRECT("Table1[Obergruppe ATC-Code]"),Tabelle3!$A45)</f>
        <v>0</v>
      </c>
      <c r="V45">
        <f ca="1">COUNTIFS(INDIRECT("Table1[Beginn]"),"&lt;="&amp;V$1,INDIRECT("Table1[Ende]"),"&gt;="&amp;V$1,INDIRECT("Table1[Obergruppe ATC-Code]"),Tabelle3!$A45)</f>
        <v>0</v>
      </c>
      <c r="W45">
        <f ca="1">COUNTIFS(INDIRECT("Table1[Beginn]"),"&lt;="&amp;W$1,INDIRECT("Table1[Ende]"),"&gt;="&amp;W$1,INDIRECT("Table1[Obergruppe ATC-Code]"),Tabelle3!$A45)</f>
        <v>0</v>
      </c>
      <c r="X45">
        <f ca="1">COUNTIFS(INDIRECT("Table1[Beginn]"),"&lt;="&amp;X$1,INDIRECT("Table1[Ende]"),"&gt;="&amp;X$1,INDIRECT("Table1[Obergruppe ATC-Code]"),Tabelle3!$A45)</f>
        <v>0</v>
      </c>
      <c r="Y45">
        <f ca="1">COUNTIFS(INDIRECT("Table1[Beginn]"),"&lt;="&amp;Y$1,INDIRECT("Table1[Ende]"),"&gt;="&amp;Y$1,INDIRECT("Table1[Obergruppe ATC-Code]"),Tabelle3!$A45)</f>
        <v>0</v>
      </c>
      <c r="Z45">
        <f ca="1">COUNTIFS(INDIRECT("Table1[Beginn]"),"&lt;="&amp;Z$1,INDIRECT("Table1[Ende]"),"&gt;="&amp;Z$1,INDIRECT("Table1[Obergruppe ATC-Code]"),Tabelle3!$A45)</f>
        <v>0</v>
      </c>
      <c r="AA45">
        <f ca="1">COUNTIFS(INDIRECT("Table1[Beginn]"),"&lt;="&amp;AA$1,INDIRECT("Table1[Ende]"),"&gt;="&amp;AA$1,INDIRECT("Table1[Obergruppe ATC-Code]"),Tabelle3!$A45)</f>
        <v>0</v>
      </c>
      <c r="AB45">
        <f ca="1">COUNTIFS(INDIRECT("Table1[Beginn]"),"&lt;="&amp;AB$1,INDIRECT("Table1[Ende]"),"&gt;="&amp;AB$1,INDIRECT("Table1[Obergruppe ATC-Code]"),Tabelle3!$A45)</f>
        <v>0</v>
      </c>
      <c r="AC45">
        <f ca="1">COUNTIFS(INDIRECT("Table1[Beginn]"),"&lt;="&amp;AC$1,INDIRECT("Table1[Ende]"),"&gt;="&amp;AC$1,INDIRECT("Table1[Obergruppe ATC-Code]"),Tabelle3!$A45)</f>
        <v>0</v>
      </c>
      <c r="AD45">
        <f ca="1">COUNTIFS(INDIRECT("Table1[Beginn]"),"&lt;="&amp;AD$1,INDIRECT("Table1[Ende]"),"&gt;="&amp;AD$1,INDIRECT("Table1[Obergruppe ATC-Code]"),Tabelle3!$A45)</f>
        <v>0</v>
      </c>
      <c r="AE45">
        <f ca="1">COUNTIFS(INDIRECT("Table1[Beginn]"),"&lt;="&amp;AE$1,INDIRECT("Table1[Ende]"),"&gt;="&amp;AE$1,INDIRECT("Table1[Obergruppe ATC-Code]"),Tabelle3!$A45)</f>
        <v>0</v>
      </c>
      <c r="AF45">
        <f ca="1">COUNTIFS(INDIRECT("Table1[Beginn]"),"&lt;="&amp;AF$1,INDIRECT("Table1[Ende]"),"&gt;="&amp;AF$1,INDIRECT("Table1[Obergruppe ATC-Code]"),Tabelle3!$A45)</f>
        <v>1</v>
      </c>
      <c r="AG45">
        <f ca="1">COUNTIFS(INDIRECT("Table1[Beginn]"),"&lt;="&amp;AG$1,INDIRECT("Table1[Ende]"),"&gt;="&amp;AG$1,INDIRECT("Table1[Obergruppe ATC-Code]"),Tabelle3!$A45)</f>
        <v>2</v>
      </c>
      <c r="AH45">
        <f ca="1">COUNTIFS(INDIRECT("Table1[Beginn]"),"&lt;="&amp;AH$1,INDIRECT("Table1[Ende]"),"&gt;="&amp;AH$1,INDIRECT("Table1[Obergruppe ATC-Code]"),Tabelle3!$A45)</f>
        <v>2</v>
      </c>
      <c r="AI45">
        <f ca="1">COUNTIFS(INDIRECT("Table1[Beginn]"),"&lt;="&amp;AI$1,INDIRECT("Table1[Ende]"),"&gt;="&amp;AI$1,INDIRECT("Table1[Obergruppe ATC-Code]"),Tabelle3!$A45)</f>
        <v>2</v>
      </c>
      <c r="AJ45">
        <f ca="1">COUNTIFS(INDIRECT("Table1[Beginn]"),"&lt;="&amp;AJ$1,INDIRECT("Table1[Ende]"),"&gt;="&amp;AJ$1,INDIRECT("Table1[Obergruppe ATC-Code]"),Tabelle3!$A45)</f>
        <v>0</v>
      </c>
      <c r="AK45">
        <f ca="1">COUNTIFS(INDIRECT("Table1[Beginn]"),"&lt;="&amp;AK$1,INDIRECT("Table1[Ende]"),"&gt;="&amp;AK$1,INDIRECT("Table1[Obergruppe ATC-Code]"),Tabelle3!$A45)</f>
        <v>1</v>
      </c>
      <c r="AL45">
        <f ca="1">COUNTIFS(INDIRECT("Table1[Beginn]"),"&lt;="&amp;AL$1,INDIRECT("Table1[Ende]"),"&gt;="&amp;AL$1,INDIRECT("Table1[Obergruppe ATC-Code]"),Tabelle3!$A45)</f>
        <v>1</v>
      </c>
      <c r="AM45">
        <f ca="1">COUNTIFS(INDIRECT("Table1[Beginn]"),"&lt;="&amp;AM$1,INDIRECT("Table1[Ende]"),"&gt;="&amp;AM$1,INDIRECT("Table1[Obergruppe ATC-Code]"),Tabelle3!$A45)</f>
        <v>5</v>
      </c>
      <c r="AN45">
        <f ca="1">COUNTIFS(INDIRECT("Table1[Beginn]"),"&lt;="&amp;AN$1,INDIRECT("Table1[Ende]"),"&gt;="&amp;AN$1,INDIRECT("Table1[Obergruppe ATC-Code]"),Tabelle3!$A45)</f>
        <v>5</v>
      </c>
      <c r="AO45">
        <f ca="1">COUNTIFS(INDIRECT("Table1[Beginn]"),"&lt;="&amp;AO$1,INDIRECT("Table1[Ende]"),"&gt;="&amp;AO$1,INDIRECT("Table1[Obergruppe ATC-Code]"),Tabelle3!$A45)</f>
        <v>4</v>
      </c>
      <c r="AP45">
        <f ca="1">COUNTIFS(INDIRECT("Table1[Beginn]"),"&lt;="&amp;AP$1,INDIRECT("Table1[Ende]"),"&gt;="&amp;AP$1,INDIRECT("Table1[Obergruppe ATC-Code]"),Tabelle3!$A45)</f>
        <v>4</v>
      </c>
      <c r="AQ45">
        <f ca="1">COUNTIFS(INDIRECT("Table1[Beginn]"),"&lt;="&amp;AQ$1,INDIRECT("Table1[Ende]"),"&gt;="&amp;AQ$1,INDIRECT("Table1[Obergruppe ATC-Code]"),Tabelle3!$A45)</f>
        <v>5</v>
      </c>
      <c r="AR45">
        <f ca="1">COUNTIFS(INDIRECT("Table1[Beginn]"),"&lt;="&amp;AR$1,INDIRECT("Table1[Ende]"),"&gt;="&amp;AR$1,INDIRECT("Table1[Obergruppe ATC-Code]"),Tabelle3!$A45)</f>
        <v>5</v>
      </c>
      <c r="AS45">
        <f ca="1">COUNTIFS(INDIRECT("Table1[Beginn]"),"&lt;="&amp;AS$1,INDIRECT("Table1[Ende]"),"&gt;="&amp;AS$1,INDIRECT("Table1[Obergruppe ATC-Code]"),Tabelle3!$A45)</f>
        <v>5</v>
      </c>
      <c r="AT45">
        <f ca="1">COUNTIFS(INDIRECT("Table1[Beginn]"),"&lt;="&amp;AT$1,INDIRECT("Table1[Ende]"),"&gt;="&amp;AT$1,INDIRECT("Table1[Obergruppe ATC-Code]"),Tabelle3!$A45)</f>
        <v>7</v>
      </c>
      <c r="AU45">
        <f ca="1">COUNTIFS(INDIRECT("Table1[Beginn]"),"&lt;="&amp;AU$1,INDIRECT("Table1[Ende]"),"&gt;="&amp;AU$1,INDIRECT("Table1[Obergruppe ATC-Code]"),Tabelle3!$A45)</f>
        <v>7</v>
      </c>
      <c r="AV45">
        <f ca="1">COUNTIFS(INDIRECT("Table1[Beginn]"),"&lt;="&amp;AV$1,INDIRECT("Table1[Ende]"),"&gt;="&amp;AV$1,INDIRECT("Table1[Obergruppe ATC-Code]"),Tabelle3!$A45)</f>
        <v>7</v>
      </c>
      <c r="AW45">
        <f ca="1">COUNTIFS(INDIRECT("Table1[Beginn]"),"&lt;="&amp;AW$1,INDIRECT("Table1[Ende]"),"&gt;="&amp;AW$1,INDIRECT("Table1[Obergruppe ATC-Code]"),Tabelle3!$A45)</f>
        <v>5</v>
      </c>
      <c r="AX45">
        <f ca="1">COUNTIFS(INDIRECT("Table1[Beginn]"),"&lt;="&amp;AX$1,INDIRECT("Table1[Ende]"),"&gt;="&amp;AX$1,INDIRECT("Table1[Obergruppe ATC-Code]"),Tabelle3!$A45)</f>
        <v>5</v>
      </c>
      <c r="AY45">
        <f ca="1">COUNTIFS(INDIRECT("Table1[Beginn]"),"&lt;="&amp;AY$1,INDIRECT("Table1[Ende]"),"&gt;="&amp;AY$1,INDIRECT("Table1[Obergruppe ATC-Code]"),Tabelle3!$A45)</f>
        <v>3</v>
      </c>
      <c r="AZ45">
        <f ca="1">COUNTIFS(INDIRECT("Table1[Beginn]"),"&lt;="&amp;AZ$1,INDIRECT("Table1[Ende]"),"&gt;="&amp;AZ$1,INDIRECT("Table1[Obergruppe ATC-Code]"),Tabelle3!$A45)</f>
        <v>3</v>
      </c>
      <c r="BA45">
        <f ca="1">COUNTIFS(INDIRECT("Table1[Beginn]"),"&lt;="&amp;BA$1,INDIRECT("Table1[Ende]"),"&gt;="&amp;BA$1,INDIRECT("Table1[Obergruppe ATC-Code]"),Tabelle3!$A45)</f>
        <v>3</v>
      </c>
      <c r="BB45">
        <f ca="1">COUNTIFS(INDIRECT("Table1[Beginn]"),"&lt;="&amp;BB$1,INDIRECT("Table1[Ende]"),"&gt;="&amp;BB$1,INDIRECT("Table1[Obergruppe ATC-Code]"),Tabelle3!$A45)</f>
        <v>3</v>
      </c>
      <c r="BC45">
        <f ca="1">COUNTIFS(INDIRECT("Table1[Beginn]"),"&lt;="&amp;BC$1,INDIRECT("Table1[Ende]"),"&gt;="&amp;BC$1,INDIRECT("Table1[Obergruppe ATC-Code]"),Tabelle3!$A45)</f>
        <v>0</v>
      </c>
      <c r="BD45">
        <f ca="1">COUNTIFS(INDIRECT("Table1[Beginn]"),"&lt;="&amp;BD$1,INDIRECT("Table1[Ende]"),"&gt;="&amp;BD$1,INDIRECT("Table1[Obergruppe ATC-Code]"),Tabelle3!$A45)</f>
        <v>0</v>
      </c>
      <c r="BE45">
        <f ca="1">COUNTIFS(INDIRECT("Table1[Beginn]"),"&lt;="&amp;BE$1,INDIRECT("Table1[Ende]"),"&gt;="&amp;BE$1,INDIRECT("Table1[Obergruppe ATC-Code]"),Tabelle3!$A45)</f>
        <v>0</v>
      </c>
      <c r="BF45">
        <f ca="1">COUNTIFS(INDIRECT("Table1[Beginn]"),"&lt;="&amp;BF$1,INDIRECT("Table1[Ende]"),"&gt;="&amp;BF$1,INDIRECT("Table1[Obergruppe ATC-Code]"),Tabelle3!$A45)</f>
        <v>0</v>
      </c>
      <c r="BG45">
        <f ca="1">COUNTIFS(INDIRECT("Table1[Beginn]"),"&lt;="&amp;BG$1,INDIRECT("Table1[Ende]"),"&gt;="&amp;BG$1,INDIRECT("Table1[Obergruppe ATC-Code]"),Tabelle3!$A45)</f>
        <v>0</v>
      </c>
      <c r="BH45">
        <f ca="1">COUNTIFS(INDIRECT("Table1[Beginn]"),"&lt;="&amp;BH$1,INDIRECT("Table1[Ende]"),"&gt;="&amp;BH$1,INDIRECT("Table1[Obergruppe ATC-Code]"),Tabelle3!$A45)</f>
        <v>0</v>
      </c>
      <c r="BI45">
        <f ca="1">COUNTIFS(INDIRECT("Table1[Beginn]"),"&lt;="&amp;BI$1,INDIRECT("Table1[Ende]"),"&gt;="&amp;BI$1,INDIRECT("Table1[Obergruppe ATC-Code]"),Tabelle3!$A45)</f>
        <v>0</v>
      </c>
      <c r="BJ45">
        <f ca="1">COUNTIFS(INDIRECT("Table1[Beginn]"),"&lt;="&amp;BJ$1,INDIRECT("Table1[Ende]"),"&gt;="&amp;BJ$1,INDIRECT("Table1[Obergruppe ATC-Code]"),Tabelle3!$A45)</f>
        <v>0</v>
      </c>
      <c r="BK45">
        <f ca="1">COUNTIFS(INDIRECT("Table1[Beginn]"),"&lt;="&amp;BK$1,INDIRECT("Table1[Ende]"),"&gt;="&amp;BK$1,INDIRECT("Table1[Obergruppe ATC-Code]"),Tabelle3!$A45)</f>
        <v>0</v>
      </c>
      <c r="BL45">
        <f ca="1">COUNTIFS(INDIRECT("Table1[Beginn]"),"&lt;="&amp;BL$1,INDIRECT("Table1[Ende]"),"&gt;="&amp;BL$1,INDIRECT("Table1[Obergruppe ATC-Code]"),Tabelle3!$A45)</f>
        <v>0</v>
      </c>
      <c r="BM45">
        <f ca="1">COUNTIFS(INDIRECT("Table1[Beginn]"),"&lt;="&amp;BM$1,INDIRECT("Table1[Ende]"),"&gt;="&amp;BM$1,INDIRECT("Table1[Obergruppe ATC-Code]"),Tabelle3!$A45)</f>
        <v>0</v>
      </c>
      <c r="BN45">
        <f ca="1">COUNTIFS(INDIRECT("Table1[Beginn]"),"&lt;="&amp;BN$1,INDIRECT("Table1[Ende]"),"&gt;="&amp;BN$1,INDIRECT("Table1[Obergruppe ATC-Code]"),Tabelle3!$A45)</f>
        <v>0</v>
      </c>
      <c r="BO45">
        <f ca="1">COUNTIFS(INDIRECT("Table1[Beginn]"),"&lt;="&amp;BO$1,INDIRECT("Table1[Ende]"),"&gt;="&amp;BO$1,INDIRECT("Table1[Obergruppe ATC-Code]"),Tabelle3!$A45)</f>
        <v>0</v>
      </c>
      <c r="BP45">
        <f ca="1">COUNTIFS(INDIRECT("Table1[Beginn]"),"&lt;="&amp;BP$1,INDIRECT("Table1[Ende]"),"&gt;="&amp;BP$1,INDIRECT("Table1[Obergruppe ATC-Code]"),Tabelle3!$A45)</f>
        <v>0</v>
      </c>
      <c r="BQ45">
        <f ca="1">COUNTIFS(INDIRECT("Table1[Beginn]"),"&lt;="&amp;BQ$1,INDIRECT("Table1[Ende]"),"&gt;="&amp;BQ$1,INDIRECT("Table1[Obergruppe ATC-Code]"),Tabelle3!$A45)</f>
        <v>0</v>
      </c>
      <c r="BR45">
        <f ca="1">COUNTIFS(INDIRECT("Table1[Beginn]"),"&lt;="&amp;BR$1,INDIRECT("Table1[Ende]"),"&gt;="&amp;BR$1,INDIRECT("Table1[Obergruppe ATC-Code]"),Tabelle3!$A45)</f>
        <v>0</v>
      </c>
      <c r="BS45">
        <f ca="1">COUNTIFS(INDIRECT("Table1[Beginn]"),"&lt;="&amp;BS$1,INDIRECT("Table1[Ende]"),"&gt;="&amp;BS$1,INDIRECT("Table1[Obergruppe ATC-Code]"),Tabelle3!$A45)</f>
        <v>1</v>
      </c>
      <c r="BT45">
        <f ca="1">COUNTIFS(INDIRECT("Table1[Beginn]"),"&lt;="&amp;BT$1,INDIRECT("Table1[Ende]"),"&gt;="&amp;BT$1,INDIRECT("Table1[Obergruppe ATC-Code]"),Tabelle3!$A45)</f>
        <v>1</v>
      </c>
      <c r="BU45">
        <f ca="1">COUNTIFS(INDIRECT("Table1[Beginn]"),"&lt;="&amp;BU$1,INDIRECT("Table1[Ende]"),"&gt;="&amp;BU$1,INDIRECT("Table1[Obergruppe ATC-Code]"),Tabelle3!$A45)</f>
        <v>1</v>
      </c>
      <c r="BV45">
        <f ca="1">COUNTIFS(INDIRECT("Table1[Beginn]"),"&lt;="&amp;BV$1,INDIRECT("Table1[Ende]"),"&gt;="&amp;BV$1,INDIRECT("Table1[Obergruppe ATC-Code]"),Tabelle3!$A45)</f>
        <v>2</v>
      </c>
      <c r="BW45">
        <f ca="1">COUNTIFS(INDIRECT("Table1[Beginn]"),"&lt;="&amp;BW$1,INDIRECT("Table1[Ende]"),"&gt;="&amp;BW$1,INDIRECT("Table1[Obergruppe ATC-Code]"),Tabelle3!$A45)</f>
        <v>2</v>
      </c>
      <c r="BX45">
        <f ca="1">COUNTIFS(INDIRECT("Table1[Beginn]"),"&lt;="&amp;BX$1,INDIRECT("Table1[Ende]"),"&gt;="&amp;BX$1,INDIRECT("Table1[Obergruppe ATC-Code]"),Tabelle3!$A45)</f>
        <v>0</v>
      </c>
      <c r="BY45">
        <f ca="1">COUNTIFS(INDIRECT("Table1[Beginn]"),"&lt;="&amp;BY$1,INDIRECT("Table1[Ende]"),"&gt;="&amp;BY$1,INDIRECT("Table1[Obergruppe ATC-Code]"),Tabelle3!$A45)</f>
        <v>0</v>
      </c>
      <c r="BZ45">
        <f ca="1">COUNTIFS(INDIRECT("Table1[Beginn]"),"&lt;="&amp;BZ$1,INDIRECT("Table1[Ende]"),"&gt;="&amp;BZ$1,INDIRECT("Table1[Obergruppe ATC-Code]"),Tabelle3!$A45)</f>
        <v>0</v>
      </c>
      <c r="CA45">
        <f ca="1">COUNTIFS(INDIRECT("Table1[Beginn]"),"&lt;="&amp;CA$1,INDIRECT("Table1[Ende]"),"&gt;="&amp;CA$1,INDIRECT("Table1[Obergruppe ATC-Code]"),Tabelle3!$A45)</f>
        <v>0</v>
      </c>
      <c r="CB45">
        <f ca="1">COUNTIFS(INDIRECT("Table1[Beginn]"),"&lt;="&amp;CB$1,INDIRECT("Table1[Ende]"),"&gt;="&amp;CB$1,INDIRECT("Table1[Obergruppe ATC-Code]"),Tabelle3!$A45)</f>
        <v>2</v>
      </c>
      <c r="CC45">
        <f ca="1">COUNTIFS(INDIRECT("Table1[Beginn]"),"&lt;="&amp;CC$1,INDIRECT("Table1[Ende]"),"&gt;="&amp;CC$1,INDIRECT("Table1[Obergruppe ATC-Code]"),Tabelle3!$A45)</f>
        <v>1</v>
      </c>
      <c r="CD45">
        <f ca="1">COUNTIFS(INDIRECT("Table1[Beginn]"),"&lt;="&amp;CD$1,INDIRECT("Table1[Ende]"),"&gt;="&amp;CD$1,INDIRECT("Table1[Obergruppe ATC-Code]"),Tabelle3!$A45)</f>
        <v>1</v>
      </c>
      <c r="CE45">
        <f ca="1">COUNTIFS(INDIRECT("Table1[Beginn]"),"&lt;="&amp;CE$1,INDIRECT("Table1[Ende]"),"&gt;="&amp;CE$1,INDIRECT("Table1[Obergruppe ATC-Code]"),Tabelle3!$A45)</f>
        <v>1</v>
      </c>
      <c r="CF45">
        <f ca="1">COUNTIFS(INDIRECT("Table1[Beginn]"),"&lt;="&amp;CF$1,INDIRECT("Table1[Ende]"),"&gt;="&amp;CF$1,INDIRECT("Table1[Obergruppe ATC-Code]"),Tabelle3!$A45)</f>
        <v>0</v>
      </c>
      <c r="CG45">
        <f ca="1">COUNTIFS(INDIRECT("Table1[Beginn]"),"&lt;="&amp;CG$1,INDIRECT("Table1[Ende]"),"&gt;="&amp;CG$1,INDIRECT("Table1[Obergruppe ATC-Code]"),Tabelle3!$A45)</f>
        <v>0</v>
      </c>
      <c r="CH45">
        <f ca="1">COUNTIFS(INDIRECT("Table1[Beginn]"),"&lt;="&amp;CH$1,INDIRECT("Table1[Ende]"),"&gt;="&amp;CH$1,INDIRECT("Table1[Obergruppe ATC-Code]"),Tabelle3!$A45)</f>
        <v>0</v>
      </c>
      <c r="CI45">
        <f ca="1">COUNTIFS(INDIRECT("Table1[Beginn]"),"&lt;="&amp;CI$1,INDIRECT("Table1[Ende]"),"&gt;="&amp;CI$1,INDIRECT("Table1[Obergruppe ATC-Code]"),Tabelle3!$A45)</f>
        <v>0</v>
      </c>
      <c r="CJ45">
        <f ca="1">COUNTIFS(INDIRECT("Table1[Beginn]"),"&lt;="&amp;CJ$1,INDIRECT("Table1[Ende]"),"&gt;="&amp;CJ$1,INDIRECT("Table1[Obergruppe ATC-Code]"),Tabelle3!$A45)</f>
        <v>0</v>
      </c>
      <c r="CK45">
        <f ca="1">COUNTIFS(INDIRECT("Table1[Beginn]"),"&lt;="&amp;CK$1,INDIRECT("Table1[Ende]"),"&gt;="&amp;CK$1,INDIRECT("Table1[Obergruppe ATC-Code]"),Tabelle3!$A45)</f>
        <v>0</v>
      </c>
      <c r="CL45">
        <f ca="1">COUNTIFS(INDIRECT("Table1[Beginn]"),"&lt;="&amp;CL$1,INDIRECT("Table1[Ende]"),"&gt;="&amp;CL$1,INDIRECT("Table1[Obergruppe ATC-Code]"),Tabelle3!$A45)</f>
        <v>0</v>
      </c>
      <c r="CM45">
        <f ca="1">COUNTIFS(INDIRECT("Table1[Beginn]"),"&lt;="&amp;CM$1,INDIRECT("Table1[Ende]"),"&gt;="&amp;CM$1,INDIRECT("Table1[Obergruppe ATC-Code]"),Tabelle3!$A45)</f>
        <v>0</v>
      </c>
      <c r="CN45">
        <f ca="1">COUNTIFS(INDIRECT("Table1[Beginn]"),"&lt;="&amp;CN$1,INDIRECT("Table1[Ende]"),"&gt;="&amp;CN$1,INDIRECT("Table1[Obergruppe ATC-Code]"),Tabelle3!$A45)</f>
        <v>0</v>
      </c>
      <c r="CO45">
        <f ca="1">COUNTIFS(INDIRECT("Table1[Beginn]"),"&lt;="&amp;CO$1,INDIRECT("Table1[Ende]"),"&gt;="&amp;CO$1,INDIRECT("Table1[Obergruppe ATC-Code]"),Tabelle3!$A45)</f>
        <v>0</v>
      </c>
      <c r="CP45">
        <f ca="1">COUNTIFS(INDIRECT("Table1[Beginn]"),"&lt;="&amp;CP$1,INDIRECT("Table1[Ende]"),"&gt;="&amp;CP$1,INDIRECT("Table1[Obergruppe ATC-Code]"),Tabelle3!$A45)</f>
        <v>0</v>
      </c>
      <c r="CQ45">
        <f ca="1">COUNTIFS(INDIRECT("Table1[Beginn]"),"&lt;="&amp;CQ$1,INDIRECT("Table1[Ende]"),"&gt;="&amp;CQ$1,INDIRECT("Table1[Obergruppe ATC-Code]"),Tabelle3!$A45)</f>
        <v>0</v>
      </c>
      <c r="CR45">
        <f ca="1">COUNTIFS(INDIRECT("Table1[Beginn]"),"&lt;="&amp;CR$1,INDIRECT("Table1[Ende]"),"&gt;="&amp;CR$1,INDIRECT("Table1[Obergruppe ATC-Code]"),Tabelle3!$A45)</f>
        <v>0</v>
      </c>
    </row>
    <row r="46" spans="1:96" ht="18">
      <c r="A46" s="7" t="s">
        <v>6861</v>
      </c>
      <c r="B46" s="8" t="s">
        <v>6862</v>
      </c>
      <c r="C46">
        <f ca="1">COUNTIFS(INDIRECT("Table1[Beginn]"),"&lt;="&amp;C$1,INDIRECT("Table1[Ende]"),"&gt;="&amp;C$1,INDIRECT("Table1[Obergruppe ATC-Code]"),Tabelle3!$A46)</f>
        <v>0</v>
      </c>
      <c r="D46">
        <f ca="1">COUNTIFS(INDIRECT("Table1[Beginn]"),"&lt;="&amp;D$1,INDIRECT("Table1[Ende]"),"&gt;="&amp;D$1,INDIRECT("Table1[Obergruppe ATC-Code]"),Tabelle3!$A46)</f>
        <v>0</v>
      </c>
      <c r="E46">
        <f ca="1">COUNTIFS(INDIRECT("Table1[Beginn]"),"&lt;="&amp;E$1,INDIRECT("Table1[Ende]"),"&gt;="&amp;E$1,INDIRECT("Table1[Obergruppe ATC-Code]"),Tabelle3!$A46)</f>
        <v>0</v>
      </c>
      <c r="F46">
        <f ca="1">COUNTIFS(INDIRECT("Table1[Beginn]"),"&lt;="&amp;F$1,INDIRECT("Table1[Ende]"),"&gt;="&amp;F$1,INDIRECT("Table1[Obergruppe ATC-Code]"),Tabelle3!$A46)</f>
        <v>0</v>
      </c>
      <c r="G46">
        <f ca="1">COUNTIFS(INDIRECT("Table1[Beginn]"),"&lt;="&amp;G$1,INDIRECT("Table1[Ende]"),"&gt;="&amp;G$1,INDIRECT("Table1[Obergruppe ATC-Code]"),Tabelle3!$A46)</f>
        <v>0</v>
      </c>
      <c r="H46">
        <f ca="1">COUNTIFS(INDIRECT("Table1[Beginn]"),"&lt;="&amp;H$1,INDIRECT("Table1[Ende]"),"&gt;="&amp;H$1,INDIRECT("Table1[Obergruppe ATC-Code]"),Tabelle3!$A46)</f>
        <v>0</v>
      </c>
      <c r="I46">
        <f ca="1">COUNTIFS(INDIRECT("Table1[Beginn]"),"&lt;="&amp;I$1,INDIRECT("Table1[Ende]"),"&gt;="&amp;I$1,INDIRECT("Table1[Obergruppe ATC-Code]"),Tabelle3!$A46)</f>
        <v>0</v>
      </c>
      <c r="J46">
        <f ca="1">COUNTIFS(INDIRECT("Table1[Beginn]"),"&lt;="&amp;J$1,INDIRECT("Table1[Ende]"),"&gt;="&amp;J$1,INDIRECT("Table1[Obergruppe ATC-Code]"),Tabelle3!$A46)</f>
        <v>1</v>
      </c>
      <c r="K46">
        <f ca="1">COUNTIFS(INDIRECT("Table1[Beginn]"),"&lt;="&amp;K$1,INDIRECT("Table1[Ende]"),"&gt;="&amp;K$1,INDIRECT("Table1[Obergruppe ATC-Code]"),Tabelle3!$A46)</f>
        <v>0</v>
      </c>
      <c r="L46">
        <f ca="1">COUNTIFS(INDIRECT("Table1[Beginn]"),"&lt;="&amp;L$1,INDIRECT("Table1[Ende]"),"&gt;="&amp;L$1,INDIRECT("Table1[Obergruppe ATC-Code]"),Tabelle3!$A46)</f>
        <v>0</v>
      </c>
      <c r="M46">
        <f ca="1">COUNTIFS(INDIRECT("Table1[Beginn]"),"&lt;="&amp;M$1,INDIRECT("Table1[Ende]"),"&gt;="&amp;M$1,INDIRECT("Table1[Obergruppe ATC-Code]"),Tabelle3!$A46)</f>
        <v>0</v>
      </c>
      <c r="N46">
        <f ca="1">COUNTIFS(INDIRECT("Table1[Beginn]"),"&lt;="&amp;N$1,INDIRECT("Table1[Ende]"),"&gt;="&amp;N$1,INDIRECT("Table1[Obergruppe ATC-Code]"),Tabelle3!$A46)</f>
        <v>0</v>
      </c>
      <c r="O46">
        <f ca="1">COUNTIFS(INDIRECT("Table1[Beginn]"),"&lt;="&amp;O$1,INDIRECT("Table1[Ende]"),"&gt;="&amp;O$1,INDIRECT("Table1[Obergruppe ATC-Code]"),Tabelle3!$A46)</f>
        <v>0</v>
      </c>
      <c r="P46">
        <f ca="1">COUNTIFS(INDIRECT("Table1[Beginn]"),"&lt;="&amp;P$1,INDIRECT("Table1[Ende]"),"&gt;="&amp;P$1,INDIRECT("Table1[Obergruppe ATC-Code]"),Tabelle3!$A46)</f>
        <v>0</v>
      </c>
      <c r="Q46">
        <f ca="1">COUNTIFS(INDIRECT("Table1[Beginn]"),"&lt;="&amp;Q$1,INDIRECT("Table1[Ende]"),"&gt;="&amp;Q$1,INDIRECT("Table1[Obergruppe ATC-Code]"),Tabelle3!$A46)</f>
        <v>0</v>
      </c>
      <c r="R46">
        <f ca="1">COUNTIFS(INDIRECT("Table1[Beginn]"),"&lt;="&amp;R$1,INDIRECT("Table1[Ende]"),"&gt;="&amp;R$1,INDIRECT("Table1[Obergruppe ATC-Code]"),Tabelle3!$A46)</f>
        <v>0</v>
      </c>
      <c r="S46">
        <f ca="1">COUNTIFS(INDIRECT("Table1[Beginn]"),"&lt;="&amp;S$1,INDIRECT("Table1[Ende]"),"&gt;="&amp;S$1,INDIRECT("Table1[Obergruppe ATC-Code]"),Tabelle3!$A46)</f>
        <v>0</v>
      </c>
      <c r="T46">
        <f ca="1">COUNTIFS(INDIRECT("Table1[Beginn]"),"&lt;="&amp;T$1,INDIRECT("Table1[Ende]"),"&gt;="&amp;T$1,INDIRECT("Table1[Obergruppe ATC-Code]"),Tabelle3!$A46)</f>
        <v>0</v>
      </c>
      <c r="U46">
        <f ca="1">COUNTIFS(INDIRECT("Table1[Beginn]"),"&lt;="&amp;U$1,INDIRECT("Table1[Ende]"),"&gt;="&amp;U$1,INDIRECT("Table1[Obergruppe ATC-Code]"),Tabelle3!$A46)</f>
        <v>0</v>
      </c>
      <c r="V46">
        <f ca="1">COUNTIFS(INDIRECT("Table1[Beginn]"),"&lt;="&amp;V$1,INDIRECT("Table1[Ende]"),"&gt;="&amp;V$1,INDIRECT("Table1[Obergruppe ATC-Code]"),Tabelle3!$A46)</f>
        <v>0</v>
      </c>
      <c r="W46">
        <f ca="1">COUNTIFS(INDIRECT("Table1[Beginn]"),"&lt;="&amp;W$1,INDIRECT("Table1[Ende]"),"&gt;="&amp;W$1,INDIRECT("Table1[Obergruppe ATC-Code]"),Tabelle3!$A46)</f>
        <v>0</v>
      </c>
      <c r="X46">
        <f ca="1">COUNTIFS(INDIRECT("Table1[Beginn]"),"&lt;="&amp;X$1,INDIRECT("Table1[Ende]"),"&gt;="&amp;X$1,INDIRECT("Table1[Obergruppe ATC-Code]"),Tabelle3!$A46)</f>
        <v>0</v>
      </c>
      <c r="Y46">
        <f ca="1">COUNTIFS(INDIRECT("Table1[Beginn]"),"&lt;="&amp;Y$1,INDIRECT("Table1[Ende]"),"&gt;="&amp;Y$1,INDIRECT("Table1[Obergruppe ATC-Code]"),Tabelle3!$A46)</f>
        <v>1</v>
      </c>
      <c r="Z46">
        <f ca="1">COUNTIFS(INDIRECT("Table1[Beginn]"),"&lt;="&amp;Z$1,INDIRECT("Table1[Ende]"),"&gt;="&amp;Z$1,INDIRECT("Table1[Obergruppe ATC-Code]"),Tabelle3!$A46)</f>
        <v>2</v>
      </c>
      <c r="AA46">
        <f ca="1">COUNTIFS(INDIRECT("Table1[Beginn]"),"&lt;="&amp;AA$1,INDIRECT("Table1[Ende]"),"&gt;="&amp;AA$1,INDIRECT("Table1[Obergruppe ATC-Code]"),Tabelle3!$A46)</f>
        <v>1</v>
      </c>
      <c r="AB46">
        <f ca="1">COUNTIFS(INDIRECT("Table1[Beginn]"),"&lt;="&amp;AB$1,INDIRECT("Table1[Ende]"),"&gt;="&amp;AB$1,INDIRECT("Table1[Obergruppe ATC-Code]"),Tabelle3!$A46)</f>
        <v>1</v>
      </c>
      <c r="AC46">
        <f ca="1">COUNTIFS(INDIRECT("Table1[Beginn]"),"&lt;="&amp;AC$1,INDIRECT("Table1[Ende]"),"&gt;="&amp;AC$1,INDIRECT("Table1[Obergruppe ATC-Code]"),Tabelle3!$A46)</f>
        <v>1</v>
      </c>
      <c r="AD46">
        <f ca="1">COUNTIFS(INDIRECT("Table1[Beginn]"),"&lt;="&amp;AD$1,INDIRECT("Table1[Ende]"),"&gt;="&amp;AD$1,INDIRECT("Table1[Obergruppe ATC-Code]"),Tabelle3!$A46)</f>
        <v>1</v>
      </c>
      <c r="AE46">
        <f ca="1">COUNTIFS(INDIRECT("Table1[Beginn]"),"&lt;="&amp;AE$1,INDIRECT("Table1[Ende]"),"&gt;="&amp;AE$1,INDIRECT("Table1[Obergruppe ATC-Code]"),Tabelle3!$A46)</f>
        <v>1</v>
      </c>
      <c r="AF46">
        <f ca="1">COUNTIFS(INDIRECT("Table1[Beginn]"),"&lt;="&amp;AF$1,INDIRECT("Table1[Ende]"),"&gt;="&amp;AF$1,INDIRECT("Table1[Obergruppe ATC-Code]"),Tabelle3!$A46)</f>
        <v>0</v>
      </c>
      <c r="AG46">
        <f ca="1">COUNTIFS(INDIRECT("Table1[Beginn]"),"&lt;="&amp;AG$1,INDIRECT("Table1[Ende]"),"&gt;="&amp;AG$1,INDIRECT("Table1[Obergruppe ATC-Code]"),Tabelle3!$A46)</f>
        <v>0</v>
      </c>
      <c r="AH46">
        <f ca="1">COUNTIFS(INDIRECT("Table1[Beginn]"),"&lt;="&amp;AH$1,INDIRECT("Table1[Ende]"),"&gt;="&amp;AH$1,INDIRECT("Table1[Obergruppe ATC-Code]"),Tabelle3!$A46)</f>
        <v>0</v>
      </c>
      <c r="AI46">
        <f ca="1">COUNTIFS(INDIRECT("Table1[Beginn]"),"&lt;="&amp;AI$1,INDIRECT("Table1[Ende]"),"&gt;="&amp;AI$1,INDIRECT("Table1[Obergruppe ATC-Code]"),Tabelle3!$A46)</f>
        <v>0</v>
      </c>
      <c r="AJ46">
        <f ca="1">COUNTIFS(INDIRECT("Table1[Beginn]"),"&lt;="&amp;AJ$1,INDIRECT("Table1[Ende]"),"&gt;="&amp;AJ$1,INDIRECT("Table1[Obergruppe ATC-Code]"),Tabelle3!$A46)</f>
        <v>1</v>
      </c>
      <c r="AK46">
        <f ca="1">COUNTIFS(INDIRECT("Table1[Beginn]"),"&lt;="&amp;AK$1,INDIRECT("Table1[Ende]"),"&gt;="&amp;AK$1,INDIRECT("Table1[Obergruppe ATC-Code]"),Tabelle3!$A46)</f>
        <v>1</v>
      </c>
      <c r="AL46">
        <f ca="1">COUNTIFS(INDIRECT("Table1[Beginn]"),"&lt;="&amp;AL$1,INDIRECT("Table1[Ende]"),"&gt;="&amp;AL$1,INDIRECT("Table1[Obergruppe ATC-Code]"),Tabelle3!$A46)</f>
        <v>0</v>
      </c>
      <c r="AM46">
        <f ca="1">COUNTIFS(INDIRECT("Table1[Beginn]"),"&lt;="&amp;AM$1,INDIRECT("Table1[Ende]"),"&gt;="&amp;AM$1,INDIRECT("Table1[Obergruppe ATC-Code]"),Tabelle3!$A46)</f>
        <v>2</v>
      </c>
      <c r="AN46">
        <f ca="1">COUNTIFS(INDIRECT("Table1[Beginn]"),"&lt;="&amp;AN$1,INDIRECT("Table1[Ende]"),"&gt;="&amp;AN$1,INDIRECT("Table1[Obergruppe ATC-Code]"),Tabelle3!$A46)</f>
        <v>1</v>
      </c>
      <c r="AO46">
        <f ca="1">COUNTIFS(INDIRECT("Table1[Beginn]"),"&lt;="&amp;AO$1,INDIRECT("Table1[Ende]"),"&gt;="&amp;AO$1,INDIRECT("Table1[Obergruppe ATC-Code]"),Tabelle3!$A46)</f>
        <v>1</v>
      </c>
      <c r="AP46">
        <f ca="1">COUNTIFS(INDIRECT("Table1[Beginn]"),"&lt;="&amp;AP$1,INDIRECT("Table1[Ende]"),"&gt;="&amp;AP$1,INDIRECT("Table1[Obergruppe ATC-Code]"),Tabelle3!$A46)</f>
        <v>1</v>
      </c>
      <c r="AQ46">
        <f ca="1">COUNTIFS(INDIRECT("Table1[Beginn]"),"&lt;="&amp;AQ$1,INDIRECT("Table1[Ende]"),"&gt;="&amp;AQ$1,INDIRECT("Table1[Obergruppe ATC-Code]"),Tabelle3!$A46)</f>
        <v>2</v>
      </c>
      <c r="AR46">
        <f ca="1">COUNTIFS(INDIRECT("Table1[Beginn]"),"&lt;="&amp;AR$1,INDIRECT("Table1[Ende]"),"&gt;="&amp;AR$1,INDIRECT("Table1[Obergruppe ATC-Code]"),Tabelle3!$A46)</f>
        <v>2</v>
      </c>
      <c r="AS46">
        <f ca="1">COUNTIFS(INDIRECT("Table1[Beginn]"),"&lt;="&amp;AS$1,INDIRECT("Table1[Ende]"),"&gt;="&amp;AS$1,INDIRECT("Table1[Obergruppe ATC-Code]"),Tabelle3!$A46)</f>
        <v>4</v>
      </c>
      <c r="AT46">
        <f ca="1">COUNTIFS(INDIRECT("Table1[Beginn]"),"&lt;="&amp;AT$1,INDIRECT("Table1[Ende]"),"&gt;="&amp;AT$1,INDIRECT("Table1[Obergruppe ATC-Code]"),Tabelle3!$A46)</f>
        <v>6</v>
      </c>
      <c r="AU46">
        <f ca="1">COUNTIFS(INDIRECT("Table1[Beginn]"),"&lt;="&amp;AU$1,INDIRECT("Table1[Ende]"),"&gt;="&amp;AU$1,INDIRECT("Table1[Obergruppe ATC-Code]"),Tabelle3!$A46)</f>
        <v>6</v>
      </c>
      <c r="AV46">
        <f ca="1">COUNTIFS(INDIRECT("Table1[Beginn]"),"&lt;="&amp;AV$1,INDIRECT("Table1[Ende]"),"&gt;="&amp;AV$1,INDIRECT("Table1[Obergruppe ATC-Code]"),Tabelle3!$A46)</f>
        <v>5</v>
      </c>
      <c r="AW46">
        <f ca="1">COUNTIFS(INDIRECT("Table1[Beginn]"),"&lt;="&amp;AW$1,INDIRECT("Table1[Ende]"),"&gt;="&amp;AW$1,INDIRECT("Table1[Obergruppe ATC-Code]"),Tabelle3!$A46)</f>
        <v>5</v>
      </c>
      <c r="AX46">
        <f ca="1">COUNTIFS(INDIRECT("Table1[Beginn]"),"&lt;="&amp;AX$1,INDIRECT("Table1[Ende]"),"&gt;="&amp;AX$1,INDIRECT("Table1[Obergruppe ATC-Code]"),Tabelle3!$A46)</f>
        <v>5</v>
      </c>
      <c r="AY46">
        <f ca="1">COUNTIFS(INDIRECT("Table1[Beginn]"),"&lt;="&amp;AY$1,INDIRECT("Table1[Ende]"),"&gt;="&amp;AY$1,INDIRECT("Table1[Obergruppe ATC-Code]"),Tabelle3!$A46)</f>
        <v>4</v>
      </c>
      <c r="AZ46">
        <f ca="1">COUNTIFS(INDIRECT("Table1[Beginn]"),"&lt;="&amp;AZ$1,INDIRECT("Table1[Ende]"),"&gt;="&amp;AZ$1,INDIRECT("Table1[Obergruppe ATC-Code]"),Tabelle3!$A46)</f>
        <v>4</v>
      </c>
      <c r="BA46">
        <f ca="1">COUNTIFS(INDIRECT("Table1[Beginn]"),"&lt;="&amp;BA$1,INDIRECT("Table1[Ende]"),"&gt;="&amp;BA$1,INDIRECT("Table1[Obergruppe ATC-Code]"),Tabelle3!$A46)</f>
        <v>6</v>
      </c>
      <c r="BB46">
        <f ca="1">COUNTIFS(INDIRECT("Table1[Beginn]"),"&lt;="&amp;BB$1,INDIRECT("Table1[Ende]"),"&gt;="&amp;BB$1,INDIRECT("Table1[Obergruppe ATC-Code]"),Tabelle3!$A46)</f>
        <v>8</v>
      </c>
      <c r="BC46">
        <f ca="1">COUNTIFS(INDIRECT("Table1[Beginn]"),"&lt;="&amp;BC$1,INDIRECT("Table1[Ende]"),"&gt;="&amp;BC$1,INDIRECT("Table1[Obergruppe ATC-Code]"),Tabelle3!$A46)</f>
        <v>8</v>
      </c>
      <c r="BD46">
        <f ca="1">COUNTIFS(INDIRECT("Table1[Beginn]"),"&lt;="&amp;BD$1,INDIRECT("Table1[Ende]"),"&gt;="&amp;BD$1,INDIRECT("Table1[Obergruppe ATC-Code]"),Tabelle3!$A46)</f>
        <v>6</v>
      </c>
      <c r="BE46">
        <f ca="1">COUNTIFS(INDIRECT("Table1[Beginn]"),"&lt;="&amp;BE$1,INDIRECT("Table1[Ende]"),"&gt;="&amp;BE$1,INDIRECT("Table1[Obergruppe ATC-Code]"),Tabelle3!$A46)</f>
        <v>6</v>
      </c>
      <c r="BF46">
        <f ca="1">COUNTIFS(INDIRECT("Table1[Beginn]"),"&lt;="&amp;BF$1,INDIRECT("Table1[Ende]"),"&gt;="&amp;BF$1,INDIRECT("Table1[Obergruppe ATC-Code]"),Tabelle3!$A46)</f>
        <v>9</v>
      </c>
      <c r="BG46">
        <f ca="1">COUNTIFS(INDIRECT("Table1[Beginn]"),"&lt;="&amp;BG$1,INDIRECT("Table1[Ende]"),"&gt;="&amp;BG$1,INDIRECT("Table1[Obergruppe ATC-Code]"),Tabelle3!$A46)</f>
        <v>5</v>
      </c>
      <c r="BH46">
        <f ca="1">COUNTIFS(INDIRECT("Table1[Beginn]"),"&lt;="&amp;BH$1,INDIRECT("Table1[Ende]"),"&gt;="&amp;BH$1,INDIRECT("Table1[Obergruppe ATC-Code]"),Tabelle3!$A46)</f>
        <v>6</v>
      </c>
      <c r="BI46">
        <f ca="1">COUNTIFS(INDIRECT("Table1[Beginn]"),"&lt;="&amp;BI$1,INDIRECT("Table1[Ende]"),"&gt;="&amp;BI$1,INDIRECT("Table1[Obergruppe ATC-Code]"),Tabelle3!$A46)</f>
        <v>6</v>
      </c>
      <c r="BJ46">
        <f ca="1">COUNTIFS(INDIRECT("Table1[Beginn]"),"&lt;="&amp;BJ$1,INDIRECT("Table1[Ende]"),"&gt;="&amp;BJ$1,INDIRECT("Table1[Obergruppe ATC-Code]"),Tabelle3!$A46)</f>
        <v>4</v>
      </c>
      <c r="BK46">
        <f ca="1">COUNTIFS(INDIRECT("Table1[Beginn]"),"&lt;="&amp;BK$1,INDIRECT("Table1[Ende]"),"&gt;="&amp;BK$1,INDIRECT("Table1[Obergruppe ATC-Code]"),Tabelle3!$A46)</f>
        <v>2</v>
      </c>
      <c r="BL46">
        <f ca="1">COUNTIFS(INDIRECT("Table1[Beginn]"),"&lt;="&amp;BL$1,INDIRECT("Table1[Ende]"),"&gt;="&amp;BL$1,INDIRECT("Table1[Obergruppe ATC-Code]"),Tabelle3!$A46)</f>
        <v>3</v>
      </c>
      <c r="BM46">
        <f ca="1">COUNTIFS(INDIRECT("Table1[Beginn]"),"&lt;="&amp;BM$1,INDIRECT("Table1[Ende]"),"&gt;="&amp;BM$1,INDIRECT("Table1[Obergruppe ATC-Code]"),Tabelle3!$A46)</f>
        <v>3</v>
      </c>
      <c r="BN46">
        <f ca="1">COUNTIFS(INDIRECT("Table1[Beginn]"),"&lt;="&amp;BN$1,INDIRECT("Table1[Ende]"),"&gt;="&amp;BN$1,INDIRECT("Table1[Obergruppe ATC-Code]"),Tabelle3!$A46)</f>
        <v>3</v>
      </c>
      <c r="BO46">
        <f ca="1">COUNTIFS(INDIRECT("Table1[Beginn]"),"&lt;="&amp;BO$1,INDIRECT("Table1[Ende]"),"&gt;="&amp;BO$1,INDIRECT("Table1[Obergruppe ATC-Code]"),Tabelle3!$A46)</f>
        <v>4</v>
      </c>
      <c r="BP46">
        <f ca="1">COUNTIFS(INDIRECT("Table1[Beginn]"),"&lt;="&amp;BP$1,INDIRECT("Table1[Ende]"),"&gt;="&amp;BP$1,INDIRECT("Table1[Obergruppe ATC-Code]"),Tabelle3!$A46)</f>
        <v>5</v>
      </c>
      <c r="BQ46">
        <f ca="1">COUNTIFS(INDIRECT("Table1[Beginn]"),"&lt;="&amp;BQ$1,INDIRECT("Table1[Ende]"),"&gt;="&amp;BQ$1,INDIRECT("Table1[Obergruppe ATC-Code]"),Tabelle3!$A46)</f>
        <v>5</v>
      </c>
      <c r="BR46">
        <f ca="1">COUNTIFS(INDIRECT("Table1[Beginn]"),"&lt;="&amp;BR$1,INDIRECT("Table1[Ende]"),"&gt;="&amp;BR$1,INDIRECT("Table1[Obergruppe ATC-Code]"),Tabelle3!$A46)</f>
        <v>4</v>
      </c>
      <c r="BS46">
        <f ca="1">COUNTIFS(INDIRECT("Table1[Beginn]"),"&lt;="&amp;BS$1,INDIRECT("Table1[Ende]"),"&gt;="&amp;BS$1,INDIRECT("Table1[Obergruppe ATC-Code]"),Tabelle3!$A46)</f>
        <v>3</v>
      </c>
      <c r="BT46">
        <f ca="1">COUNTIFS(INDIRECT("Table1[Beginn]"),"&lt;="&amp;BT$1,INDIRECT("Table1[Ende]"),"&gt;="&amp;BT$1,INDIRECT("Table1[Obergruppe ATC-Code]"),Tabelle3!$A46)</f>
        <v>3</v>
      </c>
      <c r="BU46">
        <f ca="1">COUNTIFS(INDIRECT("Table1[Beginn]"),"&lt;="&amp;BU$1,INDIRECT("Table1[Ende]"),"&gt;="&amp;BU$1,INDIRECT("Table1[Obergruppe ATC-Code]"),Tabelle3!$A46)</f>
        <v>3</v>
      </c>
      <c r="BV46">
        <f ca="1">COUNTIFS(INDIRECT("Table1[Beginn]"),"&lt;="&amp;BV$1,INDIRECT("Table1[Ende]"),"&gt;="&amp;BV$1,INDIRECT("Table1[Obergruppe ATC-Code]"),Tabelle3!$A46)</f>
        <v>3</v>
      </c>
      <c r="BW46">
        <f ca="1">COUNTIFS(INDIRECT("Table1[Beginn]"),"&lt;="&amp;BW$1,INDIRECT("Table1[Ende]"),"&gt;="&amp;BW$1,INDIRECT("Table1[Obergruppe ATC-Code]"),Tabelle3!$A46)</f>
        <v>2</v>
      </c>
      <c r="BX46">
        <f ca="1">COUNTIFS(INDIRECT("Table1[Beginn]"),"&lt;="&amp;BX$1,INDIRECT("Table1[Ende]"),"&gt;="&amp;BX$1,INDIRECT("Table1[Obergruppe ATC-Code]"),Tabelle3!$A46)</f>
        <v>4</v>
      </c>
      <c r="BY46">
        <f ca="1">COUNTIFS(INDIRECT("Table1[Beginn]"),"&lt;="&amp;BY$1,INDIRECT("Table1[Ende]"),"&gt;="&amp;BY$1,INDIRECT("Table1[Obergruppe ATC-Code]"),Tabelle3!$A46)</f>
        <v>5</v>
      </c>
      <c r="BZ46">
        <f ca="1">COUNTIFS(INDIRECT("Table1[Beginn]"),"&lt;="&amp;BZ$1,INDIRECT("Table1[Ende]"),"&gt;="&amp;BZ$1,INDIRECT("Table1[Obergruppe ATC-Code]"),Tabelle3!$A46)</f>
        <v>6</v>
      </c>
      <c r="CA46">
        <f ca="1">COUNTIFS(INDIRECT("Table1[Beginn]"),"&lt;="&amp;CA$1,INDIRECT("Table1[Ende]"),"&gt;="&amp;CA$1,INDIRECT("Table1[Obergruppe ATC-Code]"),Tabelle3!$A46)</f>
        <v>6</v>
      </c>
      <c r="CB46">
        <f ca="1">COUNTIFS(INDIRECT("Table1[Beginn]"),"&lt;="&amp;CB$1,INDIRECT("Table1[Ende]"),"&gt;="&amp;CB$1,INDIRECT("Table1[Obergruppe ATC-Code]"),Tabelle3!$A46)</f>
        <v>5</v>
      </c>
      <c r="CC46">
        <f ca="1">COUNTIFS(INDIRECT("Table1[Beginn]"),"&lt;="&amp;CC$1,INDIRECT("Table1[Ende]"),"&gt;="&amp;CC$1,INDIRECT("Table1[Obergruppe ATC-Code]"),Tabelle3!$A46)</f>
        <v>3</v>
      </c>
      <c r="CD46">
        <f ca="1">COUNTIFS(INDIRECT("Table1[Beginn]"),"&lt;="&amp;CD$1,INDIRECT("Table1[Ende]"),"&gt;="&amp;CD$1,INDIRECT("Table1[Obergruppe ATC-Code]"),Tabelle3!$A46)</f>
        <v>4</v>
      </c>
      <c r="CE46">
        <f ca="1">COUNTIFS(INDIRECT("Table1[Beginn]"),"&lt;="&amp;CE$1,INDIRECT("Table1[Ende]"),"&gt;="&amp;CE$1,INDIRECT("Table1[Obergruppe ATC-Code]"),Tabelle3!$A46)</f>
        <v>2</v>
      </c>
      <c r="CF46">
        <f ca="1">COUNTIFS(INDIRECT("Table1[Beginn]"),"&lt;="&amp;CF$1,INDIRECT("Table1[Ende]"),"&gt;="&amp;CF$1,INDIRECT("Table1[Obergruppe ATC-Code]"),Tabelle3!$A46)</f>
        <v>1</v>
      </c>
      <c r="CG46">
        <f ca="1">COUNTIFS(INDIRECT("Table1[Beginn]"),"&lt;="&amp;CG$1,INDIRECT("Table1[Ende]"),"&gt;="&amp;CG$1,INDIRECT("Table1[Obergruppe ATC-Code]"),Tabelle3!$A46)</f>
        <v>0</v>
      </c>
      <c r="CH46">
        <f ca="1">COUNTIFS(INDIRECT("Table1[Beginn]"),"&lt;="&amp;CH$1,INDIRECT("Table1[Ende]"),"&gt;="&amp;CH$1,INDIRECT("Table1[Obergruppe ATC-Code]"),Tabelle3!$A46)</f>
        <v>0</v>
      </c>
      <c r="CI46">
        <f ca="1">COUNTIFS(INDIRECT("Table1[Beginn]"),"&lt;="&amp;CI$1,INDIRECT("Table1[Ende]"),"&gt;="&amp;CI$1,INDIRECT("Table1[Obergruppe ATC-Code]"),Tabelle3!$A46)</f>
        <v>0</v>
      </c>
      <c r="CJ46">
        <f ca="1">COUNTIFS(INDIRECT("Table1[Beginn]"),"&lt;="&amp;CJ$1,INDIRECT("Table1[Ende]"),"&gt;="&amp;CJ$1,INDIRECT("Table1[Obergruppe ATC-Code]"),Tabelle3!$A46)</f>
        <v>0</v>
      </c>
      <c r="CK46">
        <f ca="1">COUNTIFS(INDIRECT("Table1[Beginn]"),"&lt;="&amp;CK$1,INDIRECT("Table1[Ende]"),"&gt;="&amp;CK$1,INDIRECT("Table1[Obergruppe ATC-Code]"),Tabelle3!$A46)</f>
        <v>0</v>
      </c>
      <c r="CL46">
        <f ca="1">COUNTIFS(INDIRECT("Table1[Beginn]"),"&lt;="&amp;CL$1,INDIRECT("Table1[Ende]"),"&gt;="&amp;CL$1,INDIRECT("Table1[Obergruppe ATC-Code]"),Tabelle3!$A46)</f>
        <v>0</v>
      </c>
      <c r="CM46">
        <f ca="1">COUNTIFS(INDIRECT("Table1[Beginn]"),"&lt;="&amp;CM$1,INDIRECT("Table1[Ende]"),"&gt;="&amp;CM$1,INDIRECT("Table1[Obergruppe ATC-Code]"),Tabelle3!$A46)</f>
        <v>0</v>
      </c>
      <c r="CN46">
        <f ca="1">COUNTIFS(INDIRECT("Table1[Beginn]"),"&lt;="&amp;CN$1,INDIRECT("Table1[Ende]"),"&gt;="&amp;CN$1,INDIRECT("Table1[Obergruppe ATC-Code]"),Tabelle3!$A46)</f>
        <v>0</v>
      </c>
      <c r="CO46">
        <f ca="1">COUNTIFS(INDIRECT("Table1[Beginn]"),"&lt;="&amp;CO$1,INDIRECT("Table1[Ende]"),"&gt;="&amp;CO$1,INDIRECT("Table1[Obergruppe ATC-Code]"),Tabelle3!$A46)</f>
        <v>0</v>
      </c>
      <c r="CP46">
        <f ca="1">COUNTIFS(INDIRECT("Table1[Beginn]"),"&lt;="&amp;CP$1,INDIRECT("Table1[Ende]"),"&gt;="&amp;CP$1,INDIRECT("Table1[Obergruppe ATC-Code]"),Tabelle3!$A46)</f>
        <v>0</v>
      </c>
      <c r="CQ46">
        <f ca="1">COUNTIFS(INDIRECT("Table1[Beginn]"),"&lt;="&amp;CQ$1,INDIRECT("Table1[Ende]"),"&gt;="&amp;CQ$1,INDIRECT("Table1[Obergruppe ATC-Code]"),Tabelle3!$A46)</f>
        <v>0</v>
      </c>
      <c r="CR46">
        <f ca="1">COUNTIFS(INDIRECT("Table1[Beginn]"),"&lt;="&amp;CR$1,INDIRECT("Table1[Ende]"),"&gt;="&amp;CR$1,INDIRECT("Table1[Obergruppe ATC-Code]"),Tabelle3!$A46)</f>
        <v>0</v>
      </c>
    </row>
    <row r="47" spans="1:96" ht="18">
      <c r="A47" s="9" t="s">
        <v>6863</v>
      </c>
      <c r="B47" s="10" t="s">
        <v>6864</v>
      </c>
      <c r="C47">
        <f ca="1">COUNTIFS(INDIRECT("Table1[Beginn]"),"&lt;="&amp;C$1,INDIRECT("Table1[Ende]"),"&gt;="&amp;C$1,INDIRECT("Table1[Obergruppe ATC-Code]"),Tabelle3!$A47)</f>
        <v>0</v>
      </c>
      <c r="D47">
        <f ca="1">COUNTIFS(INDIRECT("Table1[Beginn]"),"&lt;="&amp;D$1,INDIRECT("Table1[Ende]"),"&gt;="&amp;D$1,INDIRECT("Table1[Obergruppe ATC-Code]"),Tabelle3!$A47)</f>
        <v>0</v>
      </c>
      <c r="E47">
        <f ca="1">COUNTIFS(INDIRECT("Table1[Beginn]"),"&lt;="&amp;E$1,INDIRECT("Table1[Ende]"),"&gt;="&amp;E$1,INDIRECT("Table1[Obergruppe ATC-Code]"),Tabelle3!$A47)</f>
        <v>0</v>
      </c>
      <c r="F47">
        <f ca="1">COUNTIFS(INDIRECT("Table1[Beginn]"),"&lt;="&amp;F$1,INDIRECT("Table1[Ende]"),"&gt;="&amp;F$1,INDIRECT("Table1[Obergruppe ATC-Code]"),Tabelle3!$A47)</f>
        <v>0</v>
      </c>
      <c r="G47">
        <f ca="1">COUNTIFS(INDIRECT("Table1[Beginn]"),"&lt;="&amp;G$1,INDIRECT("Table1[Ende]"),"&gt;="&amp;G$1,INDIRECT("Table1[Obergruppe ATC-Code]"),Tabelle3!$A47)</f>
        <v>1</v>
      </c>
      <c r="H47">
        <f ca="1">COUNTIFS(INDIRECT("Table1[Beginn]"),"&lt;="&amp;H$1,INDIRECT("Table1[Ende]"),"&gt;="&amp;H$1,INDIRECT("Table1[Obergruppe ATC-Code]"),Tabelle3!$A47)</f>
        <v>1</v>
      </c>
      <c r="I47">
        <f ca="1">COUNTIFS(INDIRECT("Table1[Beginn]"),"&lt;="&amp;I$1,INDIRECT("Table1[Ende]"),"&gt;="&amp;I$1,INDIRECT("Table1[Obergruppe ATC-Code]"),Tabelle3!$A47)</f>
        <v>1</v>
      </c>
      <c r="J47">
        <f ca="1">COUNTIFS(INDIRECT("Table1[Beginn]"),"&lt;="&amp;J$1,INDIRECT("Table1[Ende]"),"&gt;="&amp;J$1,INDIRECT("Table1[Obergruppe ATC-Code]"),Tabelle3!$A47)</f>
        <v>1</v>
      </c>
      <c r="K47">
        <f ca="1">COUNTIFS(INDIRECT("Table1[Beginn]"),"&lt;="&amp;K$1,INDIRECT("Table1[Ende]"),"&gt;="&amp;K$1,INDIRECT("Table1[Obergruppe ATC-Code]"),Tabelle3!$A47)</f>
        <v>1</v>
      </c>
      <c r="L47">
        <f ca="1">COUNTIFS(INDIRECT("Table1[Beginn]"),"&lt;="&amp;L$1,INDIRECT("Table1[Ende]"),"&gt;="&amp;L$1,INDIRECT("Table1[Obergruppe ATC-Code]"),Tabelle3!$A47)</f>
        <v>1</v>
      </c>
      <c r="M47">
        <f ca="1">COUNTIFS(INDIRECT("Table1[Beginn]"),"&lt;="&amp;M$1,INDIRECT("Table1[Ende]"),"&gt;="&amp;M$1,INDIRECT("Table1[Obergruppe ATC-Code]"),Tabelle3!$A47)</f>
        <v>1</v>
      </c>
      <c r="N47">
        <f ca="1">COUNTIFS(INDIRECT("Table1[Beginn]"),"&lt;="&amp;N$1,INDIRECT("Table1[Ende]"),"&gt;="&amp;N$1,INDIRECT("Table1[Obergruppe ATC-Code]"),Tabelle3!$A47)</f>
        <v>1</v>
      </c>
      <c r="O47">
        <f ca="1">COUNTIFS(INDIRECT("Table1[Beginn]"),"&lt;="&amp;O$1,INDIRECT("Table1[Ende]"),"&gt;="&amp;O$1,INDIRECT("Table1[Obergruppe ATC-Code]"),Tabelle3!$A47)</f>
        <v>1</v>
      </c>
      <c r="P47">
        <f ca="1">COUNTIFS(INDIRECT("Table1[Beginn]"),"&lt;="&amp;P$1,INDIRECT("Table1[Ende]"),"&gt;="&amp;P$1,INDIRECT("Table1[Obergruppe ATC-Code]"),Tabelle3!$A47)</f>
        <v>1</v>
      </c>
      <c r="Q47">
        <f ca="1">COUNTIFS(INDIRECT("Table1[Beginn]"),"&lt;="&amp;Q$1,INDIRECT("Table1[Ende]"),"&gt;="&amp;Q$1,INDIRECT("Table1[Obergruppe ATC-Code]"),Tabelle3!$A47)</f>
        <v>1</v>
      </c>
      <c r="R47">
        <f ca="1">COUNTIFS(INDIRECT("Table1[Beginn]"),"&lt;="&amp;R$1,INDIRECT("Table1[Ende]"),"&gt;="&amp;R$1,INDIRECT("Table1[Obergruppe ATC-Code]"),Tabelle3!$A47)</f>
        <v>1</v>
      </c>
      <c r="S47">
        <f ca="1">COUNTIFS(INDIRECT("Table1[Beginn]"),"&lt;="&amp;S$1,INDIRECT("Table1[Ende]"),"&gt;="&amp;S$1,INDIRECT("Table1[Obergruppe ATC-Code]"),Tabelle3!$A47)</f>
        <v>1</v>
      </c>
      <c r="T47">
        <f ca="1">COUNTIFS(INDIRECT("Table1[Beginn]"),"&lt;="&amp;T$1,INDIRECT("Table1[Ende]"),"&gt;="&amp;T$1,INDIRECT("Table1[Obergruppe ATC-Code]"),Tabelle3!$A47)</f>
        <v>1</v>
      </c>
      <c r="U47">
        <f ca="1">COUNTIFS(INDIRECT("Table1[Beginn]"),"&lt;="&amp;U$1,INDIRECT("Table1[Ende]"),"&gt;="&amp;U$1,INDIRECT("Table1[Obergruppe ATC-Code]"),Tabelle3!$A47)</f>
        <v>1</v>
      </c>
      <c r="V47">
        <f ca="1">COUNTIFS(INDIRECT("Table1[Beginn]"),"&lt;="&amp;V$1,INDIRECT("Table1[Ende]"),"&gt;="&amp;V$1,INDIRECT("Table1[Obergruppe ATC-Code]"),Tabelle3!$A47)</f>
        <v>2</v>
      </c>
      <c r="W47">
        <f ca="1">COUNTIFS(INDIRECT("Table1[Beginn]"),"&lt;="&amp;W$1,INDIRECT("Table1[Ende]"),"&gt;="&amp;W$1,INDIRECT("Table1[Obergruppe ATC-Code]"),Tabelle3!$A47)</f>
        <v>2</v>
      </c>
      <c r="X47">
        <f ca="1">COUNTIFS(INDIRECT("Table1[Beginn]"),"&lt;="&amp;X$1,INDIRECT("Table1[Ende]"),"&gt;="&amp;X$1,INDIRECT("Table1[Obergruppe ATC-Code]"),Tabelle3!$A47)</f>
        <v>1</v>
      </c>
      <c r="Y47">
        <f ca="1">COUNTIFS(INDIRECT("Table1[Beginn]"),"&lt;="&amp;Y$1,INDIRECT("Table1[Ende]"),"&gt;="&amp;Y$1,INDIRECT("Table1[Obergruppe ATC-Code]"),Tabelle3!$A47)</f>
        <v>1</v>
      </c>
      <c r="Z47">
        <f ca="1">COUNTIFS(INDIRECT("Table1[Beginn]"),"&lt;="&amp;Z$1,INDIRECT("Table1[Ende]"),"&gt;="&amp;Z$1,INDIRECT("Table1[Obergruppe ATC-Code]"),Tabelle3!$A47)</f>
        <v>1</v>
      </c>
      <c r="AA47">
        <f ca="1">COUNTIFS(INDIRECT("Table1[Beginn]"),"&lt;="&amp;AA$1,INDIRECT("Table1[Ende]"),"&gt;="&amp;AA$1,INDIRECT("Table1[Obergruppe ATC-Code]"),Tabelle3!$A47)</f>
        <v>1</v>
      </c>
      <c r="AB47">
        <f ca="1">COUNTIFS(INDIRECT("Table1[Beginn]"),"&lt;="&amp;AB$1,INDIRECT("Table1[Ende]"),"&gt;="&amp;AB$1,INDIRECT("Table1[Obergruppe ATC-Code]"),Tabelle3!$A47)</f>
        <v>1</v>
      </c>
      <c r="AC47">
        <f ca="1">COUNTIFS(INDIRECT("Table1[Beginn]"),"&lt;="&amp;AC$1,INDIRECT("Table1[Ende]"),"&gt;="&amp;AC$1,INDIRECT("Table1[Obergruppe ATC-Code]"),Tabelle3!$A47)</f>
        <v>1</v>
      </c>
      <c r="AD47">
        <f ca="1">COUNTIFS(INDIRECT("Table1[Beginn]"),"&lt;="&amp;AD$1,INDIRECT("Table1[Ende]"),"&gt;="&amp;AD$1,INDIRECT("Table1[Obergruppe ATC-Code]"),Tabelle3!$A47)</f>
        <v>1</v>
      </c>
      <c r="AE47">
        <f ca="1">COUNTIFS(INDIRECT("Table1[Beginn]"),"&lt;="&amp;AE$1,INDIRECT("Table1[Ende]"),"&gt;="&amp;AE$1,INDIRECT("Table1[Obergruppe ATC-Code]"),Tabelle3!$A47)</f>
        <v>1</v>
      </c>
      <c r="AF47">
        <f ca="1">COUNTIFS(INDIRECT("Table1[Beginn]"),"&lt;="&amp;AF$1,INDIRECT("Table1[Ende]"),"&gt;="&amp;AF$1,INDIRECT("Table1[Obergruppe ATC-Code]"),Tabelle3!$A47)</f>
        <v>2</v>
      </c>
      <c r="AG47">
        <f ca="1">COUNTIFS(INDIRECT("Table1[Beginn]"),"&lt;="&amp;AG$1,INDIRECT("Table1[Ende]"),"&gt;="&amp;AG$1,INDIRECT("Table1[Obergruppe ATC-Code]"),Tabelle3!$A47)</f>
        <v>2</v>
      </c>
      <c r="AH47">
        <f ca="1">COUNTIFS(INDIRECT("Table1[Beginn]"),"&lt;="&amp;AH$1,INDIRECT("Table1[Ende]"),"&gt;="&amp;AH$1,INDIRECT("Table1[Obergruppe ATC-Code]"),Tabelle3!$A47)</f>
        <v>2</v>
      </c>
      <c r="AI47">
        <f ca="1">COUNTIFS(INDIRECT("Table1[Beginn]"),"&lt;="&amp;AI$1,INDIRECT("Table1[Ende]"),"&gt;="&amp;AI$1,INDIRECT("Table1[Obergruppe ATC-Code]"),Tabelle3!$A47)</f>
        <v>2</v>
      </c>
      <c r="AJ47">
        <f ca="1">COUNTIFS(INDIRECT("Table1[Beginn]"),"&lt;="&amp;AJ$1,INDIRECT("Table1[Ende]"),"&gt;="&amp;AJ$1,INDIRECT("Table1[Obergruppe ATC-Code]"),Tabelle3!$A47)</f>
        <v>4</v>
      </c>
      <c r="AK47">
        <f ca="1">COUNTIFS(INDIRECT("Table1[Beginn]"),"&lt;="&amp;AK$1,INDIRECT("Table1[Ende]"),"&gt;="&amp;AK$1,INDIRECT("Table1[Obergruppe ATC-Code]"),Tabelle3!$A47)</f>
        <v>4</v>
      </c>
      <c r="AL47">
        <f ca="1">COUNTIFS(INDIRECT("Table1[Beginn]"),"&lt;="&amp;AL$1,INDIRECT("Table1[Ende]"),"&gt;="&amp;AL$1,INDIRECT("Table1[Obergruppe ATC-Code]"),Tabelle3!$A47)</f>
        <v>4</v>
      </c>
      <c r="AM47">
        <f ca="1">COUNTIFS(INDIRECT("Table1[Beginn]"),"&lt;="&amp;AM$1,INDIRECT("Table1[Ende]"),"&gt;="&amp;AM$1,INDIRECT("Table1[Obergruppe ATC-Code]"),Tabelle3!$A47)</f>
        <v>4</v>
      </c>
      <c r="AN47">
        <f ca="1">COUNTIFS(INDIRECT("Table1[Beginn]"),"&lt;="&amp;AN$1,INDIRECT("Table1[Ende]"),"&gt;="&amp;AN$1,INDIRECT("Table1[Obergruppe ATC-Code]"),Tabelle3!$A47)</f>
        <v>3</v>
      </c>
      <c r="AO47">
        <f ca="1">COUNTIFS(INDIRECT("Table1[Beginn]"),"&lt;="&amp;AO$1,INDIRECT("Table1[Ende]"),"&gt;="&amp;AO$1,INDIRECT("Table1[Obergruppe ATC-Code]"),Tabelle3!$A47)</f>
        <v>3</v>
      </c>
      <c r="AP47">
        <f ca="1">COUNTIFS(INDIRECT("Table1[Beginn]"),"&lt;="&amp;AP$1,INDIRECT("Table1[Ende]"),"&gt;="&amp;AP$1,INDIRECT("Table1[Obergruppe ATC-Code]"),Tabelle3!$A47)</f>
        <v>3</v>
      </c>
      <c r="AQ47">
        <f ca="1">COUNTIFS(INDIRECT("Table1[Beginn]"),"&lt;="&amp;AQ$1,INDIRECT("Table1[Ende]"),"&gt;="&amp;AQ$1,INDIRECT("Table1[Obergruppe ATC-Code]"),Tabelle3!$A47)</f>
        <v>1</v>
      </c>
      <c r="AR47">
        <f ca="1">COUNTIFS(INDIRECT("Table1[Beginn]"),"&lt;="&amp;AR$1,INDIRECT("Table1[Ende]"),"&gt;="&amp;AR$1,INDIRECT("Table1[Obergruppe ATC-Code]"),Tabelle3!$A47)</f>
        <v>1</v>
      </c>
      <c r="AS47">
        <f ca="1">COUNTIFS(INDIRECT("Table1[Beginn]"),"&lt;="&amp;AS$1,INDIRECT("Table1[Ende]"),"&gt;="&amp;AS$1,INDIRECT("Table1[Obergruppe ATC-Code]"),Tabelle3!$A47)</f>
        <v>1</v>
      </c>
      <c r="AT47">
        <f ca="1">COUNTIFS(INDIRECT("Table1[Beginn]"),"&lt;="&amp;AT$1,INDIRECT("Table1[Ende]"),"&gt;="&amp;AT$1,INDIRECT("Table1[Obergruppe ATC-Code]"),Tabelle3!$A47)</f>
        <v>0</v>
      </c>
      <c r="AU47">
        <f ca="1">COUNTIFS(INDIRECT("Table1[Beginn]"),"&lt;="&amp;AU$1,INDIRECT("Table1[Ende]"),"&gt;="&amp;AU$1,INDIRECT("Table1[Obergruppe ATC-Code]"),Tabelle3!$A47)</f>
        <v>0</v>
      </c>
      <c r="AV47">
        <f ca="1">COUNTIFS(INDIRECT("Table1[Beginn]"),"&lt;="&amp;AV$1,INDIRECT("Table1[Ende]"),"&gt;="&amp;AV$1,INDIRECT("Table1[Obergruppe ATC-Code]"),Tabelle3!$A47)</f>
        <v>0</v>
      </c>
      <c r="AW47">
        <f ca="1">COUNTIFS(INDIRECT("Table1[Beginn]"),"&lt;="&amp;AW$1,INDIRECT("Table1[Ende]"),"&gt;="&amp;AW$1,INDIRECT("Table1[Obergruppe ATC-Code]"),Tabelle3!$A47)</f>
        <v>0</v>
      </c>
      <c r="AX47">
        <f ca="1">COUNTIFS(INDIRECT("Table1[Beginn]"),"&lt;="&amp;AX$1,INDIRECT("Table1[Ende]"),"&gt;="&amp;AX$1,INDIRECT("Table1[Obergruppe ATC-Code]"),Tabelle3!$A47)</f>
        <v>0</v>
      </c>
      <c r="AY47">
        <f ca="1">COUNTIFS(INDIRECT("Table1[Beginn]"),"&lt;="&amp;AY$1,INDIRECT("Table1[Ende]"),"&gt;="&amp;AY$1,INDIRECT("Table1[Obergruppe ATC-Code]"),Tabelle3!$A47)</f>
        <v>1</v>
      </c>
      <c r="AZ47">
        <f ca="1">COUNTIFS(INDIRECT("Table1[Beginn]"),"&lt;="&amp;AZ$1,INDIRECT("Table1[Ende]"),"&gt;="&amp;AZ$1,INDIRECT("Table1[Obergruppe ATC-Code]"),Tabelle3!$A47)</f>
        <v>3</v>
      </c>
      <c r="BA47">
        <f ca="1">COUNTIFS(INDIRECT("Table1[Beginn]"),"&lt;="&amp;BA$1,INDIRECT("Table1[Ende]"),"&gt;="&amp;BA$1,INDIRECT("Table1[Obergruppe ATC-Code]"),Tabelle3!$A47)</f>
        <v>3</v>
      </c>
      <c r="BB47">
        <f ca="1">COUNTIFS(INDIRECT("Table1[Beginn]"),"&lt;="&amp;BB$1,INDIRECT("Table1[Ende]"),"&gt;="&amp;BB$1,INDIRECT("Table1[Obergruppe ATC-Code]"),Tabelle3!$A47)</f>
        <v>3</v>
      </c>
      <c r="BC47">
        <f ca="1">COUNTIFS(INDIRECT("Table1[Beginn]"),"&lt;="&amp;BC$1,INDIRECT("Table1[Ende]"),"&gt;="&amp;BC$1,INDIRECT("Table1[Obergruppe ATC-Code]"),Tabelle3!$A47)</f>
        <v>2</v>
      </c>
      <c r="BD47">
        <f ca="1">COUNTIFS(INDIRECT("Table1[Beginn]"),"&lt;="&amp;BD$1,INDIRECT("Table1[Ende]"),"&gt;="&amp;BD$1,INDIRECT("Table1[Obergruppe ATC-Code]"),Tabelle3!$A47)</f>
        <v>2</v>
      </c>
      <c r="BE47">
        <f ca="1">COUNTIFS(INDIRECT("Table1[Beginn]"),"&lt;="&amp;BE$1,INDIRECT("Table1[Ende]"),"&gt;="&amp;BE$1,INDIRECT("Table1[Obergruppe ATC-Code]"),Tabelle3!$A47)</f>
        <v>2</v>
      </c>
      <c r="BF47">
        <f ca="1">COUNTIFS(INDIRECT("Table1[Beginn]"),"&lt;="&amp;BF$1,INDIRECT("Table1[Ende]"),"&gt;="&amp;BF$1,INDIRECT("Table1[Obergruppe ATC-Code]"),Tabelle3!$A47)</f>
        <v>1</v>
      </c>
      <c r="BG47">
        <f ca="1">COUNTIFS(INDIRECT("Table1[Beginn]"),"&lt;="&amp;BG$1,INDIRECT("Table1[Ende]"),"&gt;="&amp;BG$1,INDIRECT("Table1[Obergruppe ATC-Code]"),Tabelle3!$A47)</f>
        <v>3</v>
      </c>
      <c r="BH47">
        <f ca="1">COUNTIFS(INDIRECT("Table1[Beginn]"),"&lt;="&amp;BH$1,INDIRECT("Table1[Ende]"),"&gt;="&amp;BH$1,INDIRECT("Table1[Obergruppe ATC-Code]"),Tabelle3!$A47)</f>
        <v>4</v>
      </c>
      <c r="BI47">
        <f ca="1">COUNTIFS(INDIRECT("Table1[Beginn]"),"&lt;="&amp;BI$1,INDIRECT("Table1[Ende]"),"&gt;="&amp;BI$1,INDIRECT("Table1[Obergruppe ATC-Code]"),Tabelle3!$A47)</f>
        <v>4</v>
      </c>
      <c r="BJ47">
        <f ca="1">COUNTIFS(INDIRECT("Table1[Beginn]"),"&lt;="&amp;BJ$1,INDIRECT("Table1[Ende]"),"&gt;="&amp;BJ$1,INDIRECT("Table1[Obergruppe ATC-Code]"),Tabelle3!$A47)</f>
        <v>3</v>
      </c>
      <c r="BK47">
        <f ca="1">COUNTIFS(INDIRECT("Table1[Beginn]"),"&lt;="&amp;BK$1,INDIRECT("Table1[Ende]"),"&gt;="&amp;BK$1,INDIRECT("Table1[Obergruppe ATC-Code]"),Tabelle3!$A47)</f>
        <v>3</v>
      </c>
      <c r="BL47">
        <f ca="1">COUNTIFS(INDIRECT("Table1[Beginn]"),"&lt;="&amp;BL$1,INDIRECT("Table1[Ende]"),"&gt;="&amp;BL$1,INDIRECT("Table1[Obergruppe ATC-Code]"),Tabelle3!$A47)</f>
        <v>2</v>
      </c>
      <c r="BM47">
        <f ca="1">COUNTIFS(INDIRECT("Table1[Beginn]"),"&lt;="&amp;BM$1,INDIRECT("Table1[Ende]"),"&gt;="&amp;BM$1,INDIRECT("Table1[Obergruppe ATC-Code]"),Tabelle3!$A47)</f>
        <v>0</v>
      </c>
      <c r="BN47">
        <f ca="1">COUNTIFS(INDIRECT("Table1[Beginn]"),"&lt;="&amp;BN$1,INDIRECT("Table1[Ende]"),"&gt;="&amp;BN$1,INDIRECT("Table1[Obergruppe ATC-Code]"),Tabelle3!$A47)</f>
        <v>0</v>
      </c>
      <c r="BO47">
        <f ca="1">COUNTIFS(INDIRECT("Table1[Beginn]"),"&lt;="&amp;BO$1,INDIRECT("Table1[Ende]"),"&gt;="&amp;BO$1,INDIRECT("Table1[Obergruppe ATC-Code]"),Tabelle3!$A47)</f>
        <v>0</v>
      </c>
      <c r="BP47">
        <f ca="1">COUNTIFS(INDIRECT("Table1[Beginn]"),"&lt;="&amp;BP$1,INDIRECT("Table1[Ende]"),"&gt;="&amp;BP$1,INDIRECT("Table1[Obergruppe ATC-Code]"),Tabelle3!$A47)</f>
        <v>1</v>
      </c>
      <c r="BQ47">
        <f ca="1">COUNTIFS(INDIRECT("Table1[Beginn]"),"&lt;="&amp;BQ$1,INDIRECT("Table1[Ende]"),"&gt;="&amp;BQ$1,INDIRECT("Table1[Obergruppe ATC-Code]"),Tabelle3!$A47)</f>
        <v>0</v>
      </c>
      <c r="BR47">
        <f ca="1">COUNTIFS(INDIRECT("Table1[Beginn]"),"&lt;="&amp;BR$1,INDIRECT("Table1[Ende]"),"&gt;="&amp;BR$1,INDIRECT("Table1[Obergruppe ATC-Code]"),Tabelle3!$A47)</f>
        <v>0</v>
      </c>
      <c r="BS47">
        <f ca="1">COUNTIFS(INDIRECT("Table1[Beginn]"),"&lt;="&amp;BS$1,INDIRECT("Table1[Ende]"),"&gt;="&amp;BS$1,INDIRECT("Table1[Obergruppe ATC-Code]"),Tabelle3!$A47)</f>
        <v>0</v>
      </c>
      <c r="BT47">
        <f ca="1">COUNTIFS(INDIRECT("Table1[Beginn]"),"&lt;="&amp;BT$1,INDIRECT("Table1[Ende]"),"&gt;="&amp;BT$1,INDIRECT("Table1[Obergruppe ATC-Code]"),Tabelle3!$A47)</f>
        <v>0</v>
      </c>
      <c r="BU47">
        <f ca="1">COUNTIFS(INDIRECT("Table1[Beginn]"),"&lt;="&amp;BU$1,INDIRECT("Table1[Ende]"),"&gt;="&amp;BU$1,INDIRECT("Table1[Obergruppe ATC-Code]"),Tabelle3!$A47)</f>
        <v>1</v>
      </c>
      <c r="BV47">
        <f ca="1">COUNTIFS(INDIRECT("Table1[Beginn]"),"&lt;="&amp;BV$1,INDIRECT("Table1[Ende]"),"&gt;="&amp;BV$1,INDIRECT("Table1[Obergruppe ATC-Code]"),Tabelle3!$A47)</f>
        <v>3</v>
      </c>
      <c r="BW47">
        <f ca="1">COUNTIFS(INDIRECT("Table1[Beginn]"),"&lt;="&amp;BW$1,INDIRECT("Table1[Ende]"),"&gt;="&amp;BW$1,INDIRECT("Table1[Obergruppe ATC-Code]"),Tabelle3!$A47)</f>
        <v>3</v>
      </c>
      <c r="BX47">
        <f ca="1">COUNTIFS(INDIRECT("Table1[Beginn]"),"&lt;="&amp;BX$1,INDIRECT("Table1[Ende]"),"&gt;="&amp;BX$1,INDIRECT("Table1[Obergruppe ATC-Code]"),Tabelle3!$A47)</f>
        <v>4</v>
      </c>
      <c r="BY47">
        <f ca="1">COUNTIFS(INDIRECT("Table1[Beginn]"),"&lt;="&amp;BY$1,INDIRECT("Table1[Ende]"),"&gt;="&amp;BY$1,INDIRECT("Table1[Obergruppe ATC-Code]"),Tabelle3!$A47)</f>
        <v>5</v>
      </c>
      <c r="BZ47">
        <f ca="1">COUNTIFS(INDIRECT("Table1[Beginn]"),"&lt;="&amp;BZ$1,INDIRECT("Table1[Ende]"),"&gt;="&amp;BZ$1,INDIRECT("Table1[Obergruppe ATC-Code]"),Tabelle3!$A47)</f>
        <v>6</v>
      </c>
      <c r="CA47">
        <f ca="1">COUNTIFS(INDIRECT("Table1[Beginn]"),"&lt;="&amp;CA$1,INDIRECT("Table1[Ende]"),"&gt;="&amp;CA$1,INDIRECT("Table1[Obergruppe ATC-Code]"),Tabelle3!$A47)</f>
        <v>8</v>
      </c>
      <c r="CB47">
        <f ca="1">COUNTIFS(INDIRECT("Table1[Beginn]"),"&lt;="&amp;CB$1,INDIRECT("Table1[Ende]"),"&gt;="&amp;CB$1,INDIRECT("Table1[Obergruppe ATC-Code]"),Tabelle3!$A47)</f>
        <v>12</v>
      </c>
      <c r="CC47">
        <f ca="1">COUNTIFS(INDIRECT("Table1[Beginn]"),"&lt;="&amp;CC$1,INDIRECT("Table1[Ende]"),"&gt;="&amp;CC$1,INDIRECT("Table1[Obergruppe ATC-Code]"),Tabelle3!$A47)</f>
        <v>14</v>
      </c>
      <c r="CD47">
        <f ca="1">COUNTIFS(INDIRECT("Table1[Beginn]"),"&lt;="&amp;CD$1,INDIRECT("Table1[Ende]"),"&gt;="&amp;CD$1,INDIRECT("Table1[Obergruppe ATC-Code]"),Tabelle3!$A47)</f>
        <v>14</v>
      </c>
      <c r="CE47">
        <f ca="1">COUNTIFS(INDIRECT("Table1[Beginn]"),"&lt;="&amp;CE$1,INDIRECT("Table1[Ende]"),"&gt;="&amp;CE$1,INDIRECT("Table1[Obergruppe ATC-Code]"),Tabelle3!$A47)</f>
        <v>13</v>
      </c>
      <c r="CF47">
        <f ca="1">COUNTIFS(INDIRECT("Table1[Beginn]"),"&lt;="&amp;CF$1,INDIRECT("Table1[Ende]"),"&gt;="&amp;CF$1,INDIRECT("Table1[Obergruppe ATC-Code]"),Tabelle3!$A47)</f>
        <v>9</v>
      </c>
      <c r="CG47">
        <f ca="1">COUNTIFS(INDIRECT("Table1[Beginn]"),"&lt;="&amp;CG$1,INDIRECT("Table1[Ende]"),"&gt;="&amp;CG$1,INDIRECT("Table1[Obergruppe ATC-Code]"),Tabelle3!$A47)</f>
        <v>7</v>
      </c>
      <c r="CH47">
        <f ca="1">COUNTIFS(INDIRECT("Table1[Beginn]"),"&lt;="&amp;CH$1,INDIRECT("Table1[Ende]"),"&gt;="&amp;CH$1,INDIRECT("Table1[Obergruppe ATC-Code]"),Tabelle3!$A47)</f>
        <v>5</v>
      </c>
      <c r="CI47">
        <f ca="1">COUNTIFS(INDIRECT("Table1[Beginn]"),"&lt;="&amp;CI$1,INDIRECT("Table1[Ende]"),"&gt;="&amp;CI$1,INDIRECT("Table1[Obergruppe ATC-Code]"),Tabelle3!$A47)</f>
        <v>0</v>
      </c>
      <c r="CJ47">
        <f ca="1">COUNTIFS(INDIRECT("Table1[Beginn]"),"&lt;="&amp;CJ$1,INDIRECT("Table1[Ende]"),"&gt;="&amp;CJ$1,INDIRECT("Table1[Obergruppe ATC-Code]"),Tabelle3!$A47)</f>
        <v>0</v>
      </c>
      <c r="CK47">
        <f ca="1">COUNTIFS(INDIRECT("Table1[Beginn]"),"&lt;="&amp;CK$1,INDIRECT("Table1[Ende]"),"&gt;="&amp;CK$1,INDIRECT("Table1[Obergruppe ATC-Code]"),Tabelle3!$A47)</f>
        <v>0</v>
      </c>
      <c r="CL47">
        <f ca="1">COUNTIFS(INDIRECT("Table1[Beginn]"),"&lt;="&amp;CL$1,INDIRECT("Table1[Ende]"),"&gt;="&amp;CL$1,INDIRECT("Table1[Obergruppe ATC-Code]"),Tabelle3!$A47)</f>
        <v>0</v>
      </c>
      <c r="CM47">
        <f ca="1">COUNTIFS(INDIRECT("Table1[Beginn]"),"&lt;="&amp;CM$1,INDIRECT("Table1[Ende]"),"&gt;="&amp;CM$1,INDIRECT("Table1[Obergruppe ATC-Code]"),Tabelle3!$A47)</f>
        <v>0</v>
      </c>
      <c r="CN47">
        <f ca="1">COUNTIFS(INDIRECT("Table1[Beginn]"),"&lt;="&amp;CN$1,INDIRECT("Table1[Ende]"),"&gt;="&amp;CN$1,INDIRECT("Table1[Obergruppe ATC-Code]"),Tabelle3!$A47)</f>
        <v>0</v>
      </c>
      <c r="CO47">
        <f ca="1">COUNTIFS(INDIRECT("Table1[Beginn]"),"&lt;="&amp;CO$1,INDIRECT("Table1[Ende]"),"&gt;="&amp;CO$1,INDIRECT("Table1[Obergruppe ATC-Code]"),Tabelle3!$A47)</f>
        <v>0</v>
      </c>
      <c r="CP47">
        <f ca="1">COUNTIFS(INDIRECT("Table1[Beginn]"),"&lt;="&amp;CP$1,INDIRECT("Table1[Ende]"),"&gt;="&amp;CP$1,INDIRECT("Table1[Obergruppe ATC-Code]"),Tabelle3!$A47)</f>
        <v>0</v>
      </c>
      <c r="CQ47">
        <f ca="1">COUNTIFS(INDIRECT("Table1[Beginn]"),"&lt;="&amp;CQ$1,INDIRECT("Table1[Ende]"),"&gt;="&amp;CQ$1,INDIRECT("Table1[Obergruppe ATC-Code]"),Tabelle3!$A47)</f>
        <v>0</v>
      </c>
      <c r="CR47">
        <f ca="1">COUNTIFS(INDIRECT("Table1[Beginn]"),"&lt;="&amp;CR$1,INDIRECT("Table1[Ende]"),"&gt;="&amp;CR$1,INDIRECT("Table1[Obergruppe ATC-Code]"),Tabelle3!$A47)</f>
        <v>0</v>
      </c>
    </row>
    <row r="48" spans="1:96" ht="18">
      <c r="A48" s="7" t="s">
        <v>6865</v>
      </c>
      <c r="B48" s="8" t="s">
        <v>6866</v>
      </c>
      <c r="C48">
        <f ca="1">COUNTIFS(INDIRECT("Table1[Beginn]"),"&lt;="&amp;C$1,INDIRECT("Table1[Ende]"),"&gt;="&amp;C$1,INDIRECT("Table1[Obergruppe ATC-Code]"),Tabelle3!$A48)</f>
        <v>0</v>
      </c>
      <c r="D48">
        <f ca="1">COUNTIFS(INDIRECT("Table1[Beginn]"),"&lt;="&amp;D$1,INDIRECT("Table1[Ende]"),"&gt;="&amp;D$1,INDIRECT("Table1[Obergruppe ATC-Code]"),Tabelle3!$A48)</f>
        <v>0</v>
      </c>
      <c r="E48">
        <f ca="1">COUNTIFS(INDIRECT("Table1[Beginn]"),"&lt;="&amp;E$1,INDIRECT("Table1[Ende]"),"&gt;="&amp;E$1,INDIRECT("Table1[Obergruppe ATC-Code]"),Tabelle3!$A48)</f>
        <v>0</v>
      </c>
      <c r="F48">
        <f ca="1">COUNTIFS(INDIRECT("Table1[Beginn]"),"&lt;="&amp;F$1,INDIRECT("Table1[Ende]"),"&gt;="&amp;F$1,INDIRECT("Table1[Obergruppe ATC-Code]"),Tabelle3!$A48)</f>
        <v>0</v>
      </c>
      <c r="G48">
        <f ca="1">COUNTIFS(INDIRECT("Table1[Beginn]"),"&lt;="&amp;G$1,INDIRECT("Table1[Ende]"),"&gt;="&amp;G$1,INDIRECT("Table1[Obergruppe ATC-Code]"),Tabelle3!$A48)</f>
        <v>0</v>
      </c>
      <c r="H48">
        <f ca="1">COUNTIFS(INDIRECT("Table1[Beginn]"),"&lt;="&amp;H$1,INDIRECT("Table1[Ende]"),"&gt;="&amp;H$1,INDIRECT("Table1[Obergruppe ATC-Code]"),Tabelle3!$A48)</f>
        <v>0</v>
      </c>
      <c r="I48">
        <f ca="1">COUNTIFS(INDIRECT("Table1[Beginn]"),"&lt;="&amp;I$1,INDIRECT("Table1[Ende]"),"&gt;="&amp;I$1,INDIRECT("Table1[Obergruppe ATC-Code]"),Tabelle3!$A48)</f>
        <v>0</v>
      </c>
      <c r="J48">
        <f ca="1">COUNTIFS(INDIRECT("Table1[Beginn]"),"&lt;="&amp;J$1,INDIRECT("Table1[Ende]"),"&gt;="&amp;J$1,INDIRECT("Table1[Obergruppe ATC-Code]"),Tabelle3!$A48)</f>
        <v>0</v>
      </c>
      <c r="K48">
        <f ca="1">COUNTIFS(INDIRECT("Table1[Beginn]"),"&lt;="&amp;K$1,INDIRECT("Table1[Ende]"),"&gt;="&amp;K$1,INDIRECT("Table1[Obergruppe ATC-Code]"),Tabelle3!$A48)</f>
        <v>1</v>
      </c>
      <c r="L48">
        <f ca="1">COUNTIFS(INDIRECT("Table1[Beginn]"),"&lt;="&amp;L$1,INDIRECT("Table1[Ende]"),"&gt;="&amp;L$1,INDIRECT("Table1[Obergruppe ATC-Code]"),Tabelle3!$A48)</f>
        <v>1</v>
      </c>
      <c r="M48">
        <f ca="1">COUNTIFS(INDIRECT("Table1[Beginn]"),"&lt;="&amp;M$1,INDIRECT("Table1[Ende]"),"&gt;="&amp;M$1,INDIRECT("Table1[Obergruppe ATC-Code]"),Tabelle3!$A48)</f>
        <v>2</v>
      </c>
      <c r="N48">
        <f ca="1">COUNTIFS(INDIRECT("Table1[Beginn]"),"&lt;="&amp;N$1,INDIRECT("Table1[Ende]"),"&gt;="&amp;N$1,INDIRECT("Table1[Obergruppe ATC-Code]"),Tabelle3!$A48)</f>
        <v>2</v>
      </c>
      <c r="O48">
        <f ca="1">COUNTIFS(INDIRECT("Table1[Beginn]"),"&lt;="&amp;O$1,INDIRECT("Table1[Ende]"),"&gt;="&amp;O$1,INDIRECT("Table1[Obergruppe ATC-Code]"),Tabelle3!$A48)</f>
        <v>2</v>
      </c>
      <c r="P48">
        <f ca="1">COUNTIFS(INDIRECT("Table1[Beginn]"),"&lt;="&amp;P$1,INDIRECT("Table1[Ende]"),"&gt;="&amp;P$1,INDIRECT("Table1[Obergruppe ATC-Code]"),Tabelle3!$A48)</f>
        <v>1</v>
      </c>
      <c r="Q48">
        <f ca="1">COUNTIFS(INDIRECT("Table1[Beginn]"),"&lt;="&amp;Q$1,INDIRECT("Table1[Ende]"),"&gt;="&amp;Q$1,INDIRECT("Table1[Obergruppe ATC-Code]"),Tabelle3!$A48)</f>
        <v>0</v>
      </c>
      <c r="R48">
        <f ca="1">COUNTIFS(INDIRECT("Table1[Beginn]"),"&lt;="&amp;R$1,INDIRECT("Table1[Ende]"),"&gt;="&amp;R$1,INDIRECT("Table1[Obergruppe ATC-Code]"),Tabelle3!$A48)</f>
        <v>0</v>
      </c>
      <c r="S48">
        <f ca="1">COUNTIFS(INDIRECT("Table1[Beginn]"),"&lt;="&amp;S$1,INDIRECT("Table1[Ende]"),"&gt;="&amp;S$1,INDIRECT("Table1[Obergruppe ATC-Code]"),Tabelle3!$A48)</f>
        <v>0</v>
      </c>
      <c r="T48">
        <f ca="1">COUNTIFS(INDIRECT("Table1[Beginn]"),"&lt;="&amp;T$1,INDIRECT("Table1[Ende]"),"&gt;="&amp;T$1,INDIRECT("Table1[Obergruppe ATC-Code]"),Tabelle3!$A48)</f>
        <v>0</v>
      </c>
      <c r="U48">
        <f ca="1">COUNTIFS(INDIRECT("Table1[Beginn]"),"&lt;="&amp;U$1,INDIRECT("Table1[Ende]"),"&gt;="&amp;U$1,INDIRECT("Table1[Obergruppe ATC-Code]"),Tabelle3!$A48)</f>
        <v>0</v>
      </c>
      <c r="V48">
        <f ca="1">COUNTIFS(INDIRECT("Table1[Beginn]"),"&lt;="&amp;V$1,INDIRECT("Table1[Ende]"),"&gt;="&amp;V$1,INDIRECT("Table1[Obergruppe ATC-Code]"),Tabelle3!$A48)</f>
        <v>0</v>
      </c>
      <c r="W48">
        <f ca="1">COUNTIFS(INDIRECT("Table1[Beginn]"),"&lt;="&amp;W$1,INDIRECT("Table1[Ende]"),"&gt;="&amp;W$1,INDIRECT("Table1[Obergruppe ATC-Code]"),Tabelle3!$A48)</f>
        <v>0</v>
      </c>
      <c r="X48">
        <f ca="1">COUNTIFS(INDIRECT("Table1[Beginn]"),"&lt;="&amp;X$1,INDIRECT("Table1[Ende]"),"&gt;="&amp;X$1,INDIRECT("Table1[Obergruppe ATC-Code]"),Tabelle3!$A48)</f>
        <v>0</v>
      </c>
      <c r="Y48">
        <f ca="1">COUNTIFS(INDIRECT("Table1[Beginn]"),"&lt;="&amp;Y$1,INDIRECT("Table1[Ende]"),"&gt;="&amp;Y$1,INDIRECT("Table1[Obergruppe ATC-Code]"),Tabelle3!$A48)</f>
        <v>0</v>
      </c>
      <c r="Z48">
        <f ca="1">COUNTIFS(INDIRECT("Table1[Beginn]"),"&lt;="&amp;Z$1,INDIRECT("Table1[Ende]"),"&gt;="&amp;Z$1,INDIRECT("Table1[Obergruppe ATC-Code]"),Tabelle3!$A48)</f>
        <v>0</v>
      </c>
      <c r="AA48">
        <f ca="1">COUNTIFS(INDIRECT("Table1[Beginn]"),"&lt;="&amp;AA$1,INDIRECT("Table1[Ende]"),"&gt;="&amp;AA$1,INDIRECT("Table1[Obergruppe ATC-Code]"),Tabelle3!$A48)</f>
        <v>1</v>
      </c>
      <c r="AB48">
        <f ca="1">COUNTIFS(INDIRECT("Table1[Beginn]"),"&lt;="&amp;AB$1,INDIRECT("Table1[Ende]"),"&gt;="&amp;AB$1,INDIRECT("Table1[Obergruppe ATC-Code]"),Tabelle3!$A48)</f>
        <v>5</v>
      </c>
      <c r="AC48">
        <f ca="1">COUNTIFS(INDIRECT("Table1[Beginn]"),"&lt;="&amp;AC$1,INDIRECT("Table1[Ende]"),"&gt;="&amp;AC$1,INDIRECT("Table1[Obergruppe ATC-Code]"),Tabelle3!$A48)</f>
        <v>5</v>
      </c>
      <c r="AD48">
        <f ca="1">COUNTIFS(INDIRECT("Table1[Beginn]"),"&lt;="&amp;AD$1,INDIRECT("Table1[Ende]"),"&gt;="&amp;AD$1,INDIRECT("Table1[Obergruppe ATC-Code]"),Tabelle3!$A48)</f>
        <v>5</v>
      </c>
      <c r="AE48">
        <f ca="1">COUNTIFS(INDIRECT("Table1[Beginn]"),"&lt;="&amp;AE$1,INDIRECT("Table1[Ende]"),"&gt;="&amp;AE$1,INDIRECT("Table1[Obergruppe ATC-Code]"),Tabelle3!$A48)</f>
        <v>3</v>
      </c>
      <c r="AF48">
        <f ca="1">COUNTIFS(INDIRECT("Table1[Beginn]"),"&lt;="&amp;AF$1,INDIRECT("Table1[Ende]"),"&gt;="&amp;AF$1,INDIRECT("Table1[Obergruppe ATC-Code]"),Tabelle3!$A48)</f>
        <v>0</v>
      </c>
      <c r="AG48">
        <f ca="1">COUNTIFS(INDIRECT("Table1[Beginn]"),"&lt;="&amp;AG$1,INDIRECT("Table1[Ende]"),"&gt;="&amp;AG$1,INDIRECT("Table1[Obergruppe ATC-Code]"),Tabelle3!$A48)</f>
        <v>2</v>
      </c>
      <c r="AH48">
        <f ca="1">COUNTIFS(INDIRECT("Table1[Beginn]"),"&lt;="&amp;AH$1,INDIRECT("Table1[Ende]"),"&gt;="&amp;AH$1,INDIRECT("Table1[Obergruppe ATC-Code]"),Tabelle3!$A48)</f>
        <v>2</v>
      </c>
      <c r="AI48">
        <f ca="1">COUNTIFS(INDIRECT("Table1[Beginn]"),"&lt;="&amp;AI$1,INDIRECT("Table1[Ende]"),"&gt;="&amp;AI$1,INDIRECT("Table1[Obergruppe ATC-Code]"),Tabelle3!$A48)</f>
        <v>2</v>
      </c>
      <c r="AJ48">
        <f ca="1">COUNTIFS(INDIRECT("Table1[Beginn]"),"&lt;="&amp;AJ$1,INDIRECT("Table1[Ende]"),"&gt;="&amp;AJ$1,INDIRECT("Table1[Obergruppe ATC-Code]"),Tabelle3!$A48)</f>
        <v>1</v>
      </c>
      <c r="AK48">
        <f ca="1">COUNTIFS(INDIRECT("Table1[Beginn]"),"&lt;="&amp;AK$1,INDIRECT("Table1[Ende]"),"&gt;="&amp;AK$1,INDIRECT("Table1[Obergruppe ATC-Code]"),Tabelle3!$A48)</f>
        <v>1</v>
      </c>
      <c r="AL48">
        <f ca="1">COUNTIFS(INDIRECT("Table1[Beginn]"),"&lt;="&amp;AL$1,INDIRECT("Table1[Ende]"),"&gt;="&amp;AL$1,INDIRECT("Table1[Obergruppe ATC-Code]"),Tabelle3!$A48)</f>
        <v>1</v>
      </c>
      <c r="AM48">
        <f ca="1">COUNTIFS(INDIRECT("Table1[Beginn]"),"&lt;="&amp;AM$1,INDIRECT("Table1[Ende]"),"&gt;="&amp;AM$1,INDIRECT("Table1[Obergruppe ATC-Code]"),Tabelle3!$A48)</f>
        <v>0</v>
      </c>
      <c r="AN48">
        <f ca="1">COUNTIFS(INDIRECT("Table1[Beginn]"),"&lt;="&amp;AN$1,INDIRECT("Table1[Ende]"),"&gt;="&amp;AN$1,INDIRECT("Table1[Obergruppe ATC-Code]"),Tabelle3!$A48)</f>
        <v>0</v>
      </c>
      <c r="AO48">
        <f ca="1">COUNTIFS(INDIRECT("Table1[Beginn]"),"&lt;="&amp;AO$1,INDIRECT("Table1[Ende]"),"&gt;="&amp;AO$1,INDIRECT("Table1[Obergruppe ATC-Code]"),Tabelle3!$A48)</f>
        <v>0</v>
      </c>
      <c r="AP48">
        <f ca="1">COUNTIFS(INDIRECT("Table1[Beginn]"),"&lt;="&amp;AP$1,INDIRECT("Table1[Ende]"),"&gt;="&amp;AP$1,INDIRECT("Table1[Obergruppe ATC-Code]"),Tabelle3!$A48)</f>
        <v>0</v>
      </c>
      <c r="AQ48">
        <f ca="1">COUNTIFS(INDIRECT("Table1[Beginn]"),"&lt;="&amp;AQ$1,INDIRECT("Table1[Ende]"),"&gt;="&amp;AQ$1,INDIRECT("Table1[Obergruppe ATC-Code]"),Tabelle3!$A48)</f>
        <v>2</v>
      </c>
      <c r="AR48">
        <f ca="1">COUNTIFS(INDIRECT("Table1[Beginn]"),"&lt;="&amp;AR$1,INDIRECT("Table1[Ende]"),"&gt;="&amp;AR$1,INDIRECT("Table1[Obergruppe ATC-Code]"),Tabelle3!$A48)</f>
        <v>2</v>
      </c>
      <c r="AS48">
        <f ca="1">COUNTIFS(INDIRECT("Table1[Beginn]"),"&lt;="&amp;AS$1,INDIRECT("Table1[Ende]"),"&gt;="&amp;AS$1,INDIRECT("Table1[Obergruppe ATC-Code]"),Tabelle3!$A48)</f>
        <v>2</v>
      </c>
      <c r="AT48">
        <f ca="1">COUNTIFS(INDIRECT("Table1[Beginn]"),"&lt;="&amp;AT$1,INDIRECT("Table1[Ende]"),"&gt;="&amp;AT$1,INDIRECT("Table1[Obergruppe ATC-Code]"),Tabelle3!$A48)</f>
        <v>2</v>
      </c>
      <c r="AU48">
        <f ca="1">COUNTIFS(INDIRECT("Table1[Beginn]"),"&lt;="&amp;AU$1,INDIRECT("Table1[Ende]"),"&gt;="&amp;AU$1,INDIRECT("Table1[Obergruppe ATC-Code]"),Tabelle3!$A48)</f>
        <v>3</v>
      </c>
      <c r="AV48">
        <f ca="1">COUNTIFS(INDIRECT("Table1[Beginn]"),"&lt;="&amp;AV$1,INDIRECT("Table1[Ende]"),"&gt;="&amp;AV$1,INDIRECT("Table1[Obergruppe ATC-Code]"),Tabelle3!$A48)</f>
        <v>3</v>
      </c>
      <c r="AW48">
        <f ca="1">COUNTIFS(INDIRECT("Table1[Beginn]"),"&lt;="&amp;AW$1,INDIRECT("Table1[Ende]"),"&gt;="&amp;AW$1,INDIRECT("Table1[Obergruppe ATC-Code]"),Tabelle3!$A48)</f>
        <v>4</v>
      </c>
      <c r="AX48">
        <f ca="1">COUNTIFS(INDIRECT("Table1[Beginn]"),"&lt;="&amp;AX$1,INDIRECT("Table1[Ende]"),"&gt;="&amp;AX$1,INDIRECT("Table1[Obergruppe ATC-Code]"),Tabelle3!$A48)</f>
        <v>4</v>
      </c>
      <c r="AY48">
        <f ca="1">COUNTIFS(INDIRECT("Table1[Beginn]"),"&lt;="&amp;AY$1,INDIRECT("Table1[Ende]"),"&gt;="&amp;AY$1,INDIRECT("Table1[Obergruppe ATC-Code]"),Tabelle3!$A48)</f>
        <v>5</v>
      </c>
      <c r="AZ48">
        <f ca="1">COUNTIFS(INDIRECT("Table1[Beginn]"),"&lt;="&amp;AZ$1,INDIRECT("Table1[Ende]"),"&gt;="&amp;AZ$1,INDIRECT("Table1[Obergruppe ATC-Code]"),Tabelle3!$A48)</f>
        <v>5</v>
      </c>
      <c r="BA48">
        <f ca="1">COUNTIFS(INDIRECT("Table1[Beginn]"),"&lt;="&amp;BA$1,INDIRECT("Table1[Ende]"),"&gt;="&amp;BA$1,INDIRECT("Table1[Obergruppe ATC-Code]"),Tabelle3!$A48)</f>
        <v>5</v>
      </c>
      <c r="BB48">
        <f ca="1">COUNTIFS(INDIRECT("Table1[Beginn]"),"&lt;="&amp;BB$1,INDIRECT("Table1[Ende]"),"&gt;="&amp;BB$1,INDIRECT("Table1[Obergruppe ATC-Code]"),Tabelle3!$A48)</f>
        <v>4</v>
      </c>
      <c r="BC48">
        <f ca="1">COUNTIFS(INDIRECT("Table1[Beginn]"),"&lt;="&amp;BC$1,INDIRECT("Table1[Ende]"),"&gt;="&amp;BC$1,INDIRECT("Table1[Obergruppe ATC-Code]"),Tabelle3!$A48)</f>
        <v>4</v>
      </c>
      <c r="BD48">
        <f ca="1">COUNTIFS(INDIRECT("Table1[Beginn]"),"&lt;="&amp;BD$1,INDIRECT("Table1[Ende]"),"&gt;="&amp;BD$1,INDIRECT("Table1[Obergruppe ATC-Code]"),Tabelle3!$A48)</f>
        <v>4</v>
      </c>
      <c r="BE48">
        <f ca="1">COUNTIFS(INDIRECT("Table1[Beginn]"),"&lt;="&amp;BE$1,INDIRECT("Table1[Ende]"),"&gt;="&amp;BE$1,INDIRECT("Table1[Obergruppe ATC-Code]"),Tabelle3!$A48)</f>
        <v>3</v>
      </c>
      <c r="BF48">
        <f ca="1">COUNTIFS(INDIRECT("Table1[Beginn]"),"&lt;="&amp;BF$1,INDIRECT("Table1[Ende]"),"&gt;="&amp;BF$1,INDIRECT("Table1[Obergruppe ATC-Code]"),Tabelle3!$A48)</f>
        <v>4</v>
      </c>
      <c r="BG48">
        <f ca="1">COUNTIFS(INDIRECT("Table1[Beginn]"),"&lt;="&amp;BG$1,INDIRECT("Table1[Ende]"),"&gt;="&amp;BG$1,INDIRECT("Table1[Obergruppe ATC-Code]"),Tabelle3!$A48)</f>
        <v>4</v>
      </c>
      <c r="BH48">
        <f ca="1">COUNTIFS(INDIRECT("Table1[Beginn]"),"&lt;="&amp;BH$1,INDIRECT("Table1[Ende]"),"&gt;="&amp;BH$1,INDIRECT("Table1[Obergruppe ATC-Code]"),Tabelle3!$A48)</f>
        <v>4</v>
      </c>
      <c r="BI48">
        <f ca="1">COUNTIFS(INDIRECT("Table1[Beginn]"),"&lt;="&amp;BI$1,INDIRECT("Table1[Ende]"),"&gt;="&amp;BI$1,INDIRECT("Table1[Obergruppe ATC-Code]"),Tabelle3!$A48)</f>
        <v>4</v>
      </c>
      <c r="BJ48">
        <f ca="1">COUNTIFS(INDIRECT("Table1[Beginn]"),"&lt;="&amp;BJ$1,INDIRECT("Table1[Ende]"),"&gt;="&amp;BJ$1,INDIRECT("Table1[Obergruppe ATC-Code]"),Tabelle3!$A48)</f>
        <v>4</v>
      </c>
      <c r="BK48">
        <f ca="1">COUNTIFS(INDIRECT("Table1[Beginn]"),"&lt;="&amp;BK$1,INDIRECT("Table1[Ende]"),"&gt;="&amp;BK$1,INDIRECT("Table1[Obergruppe ATC-Code]"),Tabelle3!$A48)</f>
        <v>4</v>
      </c>
      <c r="BL48">
        <f ca="1">COUNTIFS(INDIRECT("Table1[Beginn]"),"&lt;="&amp;BL$1,INDIRECT("Table1[Ende]"),"&gt;="&amp;BL$1,INDIRECT("Table1[Obergruppe ATC-Code]"),Tabelle3!$A48)</f>
        <v>3</v>
      </c>
      <c r="BM48">
        <f ca="1">COUNTIFS(INDIRECT("Table1[Beginn]"),"&lt;="&amp;BM$1,INDIRECT("Table1[Ende]"),"&gt;="&amp;BM$1,INDIRECT("Table1[Obergruppe ATC-Code]"),Tabelle3!$A48)</f>
        <v>3</v>
      </c>
      <c r="BN48">
        <f ca="1">COUNTIFS(INDIRECT("Table1[Beginn]"),"&lt;="&amp;BN$1,INDIRECT("Table1[Ende]"),"&gt;="&amp;BN$1,INDIRECT("Table1[Obergruppe ATC-Code]"),Tabelle3!$A48)</f>
        <v>3</v>
      </c>
      <c r="BO48">
        <f ca="1">COUNTIFS(INDIRECT("Table1[Beginn]"),"&lt;="&amp;BO$1,INDIRECT("Table1[Ende]"),"&gt;="&amp;BO$1,INDIRECT("Table1[Obergruppe ATC-Code]"),Tabelle3!$A48)</f>
        <v>2</v>
      </c>
      <c r="BP48">
        <f ca="1">COUNTIFS(INDIRECT("Table1[Beginn]"),"&lt;="&amp;BP$1,INDIRECT("Table1[Ende]"),"&gt;="&amp;BP$1,INDIRECT("Table1[Obergruppe ATC-Code]"),Tabelle3!$A48)</f>
        <v>2</v>
      </c>
      <c r="BQ48">
        <f ca="1">COUNTIFS(INDIRECT("Table1[Beginn]"),"&lt;="&amp;BQ$1,INDIRECT("Table1[Ende]"),"&gt;="&amp;BQ$1,INDIRECT("Table1[Obergruppe ATC-Code]"),Tabelle3!$A48)</f>
        <v>2</v>
      </c>
      <c r="BR48">
        <f ca="1">COUNTIFS(INDIRECT("Table1[Beginn]"),"&lt;="&amp;BR$1,INDIRECT("Table1[Ende]"),"&gt;="&amp;BR$1,INDIRECT("Table1[Obergruppe ATC-Code]"),Tabelle3!$A48)</f>
        <v>2</v>
      </c>
      <c r="BS48">
        <f ca="1">COUNTIFS(INDIRECT("Table1[Beginn]"),"&lt;="&amp;BS$1,INDIRECT("Table1[Ende]"),"&gt;="&amp;BS$1,INDIRECT("Table1[Obergruppe ATC-Code]"),Tabelle3!$A48)</f>
        <v>2</v>
      </c>
      <c r="BT48">
        <f ca="1">COUNTIFS(INDIRECT("Table1[Beginn]"),"&lt;="&amp;BT$1,INDIRECT("Table1[Ende]"),"&gt;="&amp;BT$1,INDIRECT("Table1[Obergruppe ATC-Code]"),Tabelle3!$A48)</f>
        <v>2</v>
      </c>
      <c r="BU48">
        <f ca="1">COUNTIFS(INDIRECT("Table1[Beginn]"),"&lt;="&amp;BU$1,INDIRECT("Table1[Ende]"),"&gt;="&amp;BU$1,INDIRECT("Table1[Obergruppe ATC-Code]"),Tabelle3!$A48)</f>
        <v>4</v>
      </c>
      <c r="BV48">
        <f ca="1">COUNTIFS(INDIRECT("Table1[Beginn]"),"&lt;="&amp;BV$1,INDIRECT("Table1[Ende]"),"&gt;="&amp;BV$1,INDIRECT("Table1[Obergruppe ATC-Code]"),Tabelle3!$A48)</f>
        <v>5</v>
      </c>
      <c r="BW48">
        <f ca="1">COUNTIFS(INDIRECT("Table1[Beginn]"),"&lt;="&amp;BW$1,INDIRECT("Table1[Ende]"),"&gt;="&amp;BW$1,INDIRECT("Table1[Obergruppe ATC-Code]"),Tabelle3!$A48)</f>
        <v>8</v>
      </c>
      <c r="BX48">
        <f ca="1">COUNTIFS(INDIRECT("Table1[Beginn]"),"&lt;="&amp;BX$1,INDIRECT("Table1[Ende]"),"&gt;="&amp;BX$1,INDIRECT("Table1[Obergruppe ATC-Code]"),Tabelle3!$A48)</f>
        <v>11</v>
      </c>
      <c r="BY48">
        <f ca="1">COUNTIFS(INDIRECT("Table1[Beginn]"),"&lt;="&amp;BY$1,INDIRECT("Table1[Ende]"),"&gt;="&amp;BY$1,INDIRECT("Table1[Obergruppe ATC-Code]"),Tabelle3!$A48)</f>
        <v>10</v>
      </c>
      <c r="BZ48">
        <f ca="1">COUNTIFS(INDIRECT("Table1[Beginn]"),"&lt;="&amp;BZ$1,INDIRECT("Table1[Ende]"),"&gt;="&amp;BZ$1,INDIRECT("Table1[Obergruppe ATC-Code]"),Tabelle3!$A48)</f>
        <v>9</v>
      </c>
      <c r="CA48">
        <f ca="1">COUNTIFS(INDIRECT("Table1[Beginn]"),"&lt;="&amp;CA$1,INDIRECT("Table1[Ende]"),"&gt;="&amp;CA$1,INDIRECT("Table1[Obergruppe ATC-Code]"),Tabelle3!$A48)</f>
        <v>8</v>
      </c>
      <c r="CB48">
        <f ca="1">COUNTIFS(INDIRECT("Table1[Beginn]"),"&lt;="&amp;CB$1,INDIRECT("Table1[Ende]"),"&gt;="&amp;CB$1,INDIRECT("Table1[Obergruppe ATC-Code]"),Tabelle3!$A48)</f>
        <v>8</v>
      </c>
      <c r="CC48">
        <f ca="1">COUNTIFS(INDIRECT("Table1[Beginn]"),"&lt;="&amp;CC$1,INDIRECT("Table1[Ende]"),"&gt;="&amp;CC$1,INDIRECT("Table1[Obergruppe ATC-Code]"),Tabelle3!$A48)</f>
        <v>10</v>
      </c>
      <c r="CD48">
        <f ca="1">COUNTIFS(INDIRECT("Table1[Beginn]"),"&lt;="&amp;CD$1,INDIRECT("Table1[Ende]"),"&gt;="&amp;CD$1,INDIRECT("Table1[Obergruppe ATC-Code]"),Tabelle3!$A48)</f>
        <v>10</v>
      </c>
      <c r="CE48">
        <f ca="1">COUNTIFS(INDIRECT("Table1[Beginn]"),"&lt;="&amp;CE$1,INDIRECT("Table1[Ende]"),"&gt;="&amp;CE$1,INDIRECT("Table1[Obergruppe ATC-Code]"),Tabelle3!$A48)</f>
        <v>7</v>
      </c>
      <c r="CF48">
        <f ca="1">COUNTIFS(INDIRECT("Table1[Beginn]"),"&lt;="&amp;CF$1,INDIRECT("Table1[Ende]"),"&gt;="&amp;CF$1,INDIRECT("Table1[Obergruppe ATC-Code]"),Tabelle3!$A48)</f>
        <v>4</v>
      </c>
      <c r="CG48">
        <f ca="1">COUNTIFS(INDIRECT("Table1[Beginn]"),"&lt;="&amp;CG$1,INDIRECT("Table1[Ende]"),"&gt;="&amp;CG$1,INDIRECT("Table1[Obergruppe ATC-Code]"),Tabelle3!$A48)</f>
        <v>4</v>
      </c>
      <c r="CH48">
        <f ca="1">COUNTIFS(INDIRECT("Table1[Beginn]"),"&lt;="&amp;CH$1,INDIRECT("Table1[Ende]"),"&gt;="&amp;CH$1,INDIRECT("Table1[Obergruppe ATC-Code]"),Tabelle3!$A48)</f>
        <v>3</v>
      </c>
      <c r="CI48">
        <f ca="1">COUNTIFS(INDIRECT("Table1[Beginn]"),"&lt;="&amp;CI$1,INDIRECT("Table1[Ende]"),"&gt;="&amp;CI$1,INDIRECT("Table1[Obergruppe ATC-Code]"),Tabelle3!$A48)</f>
        <v>3</v>
      </c>
      <c r="CJ48">
        <f ca="1">COUNTIFS(INDIRECT("Table1[Beginn]"),"&lt;="&amp;CJ$1,INDIRECT("Table1[Ende]"),"&gt;="&amp;CJ$1,INDIRECT("Table1[Obergruppe ATC-Code]"),Tabelle3!$A48)</f>
        <v>3</v>
      </c>
      <c r="CK48">
        <f ca="1">COUNTIFS(INDIRECT("Table1[Beginn]"),"&lt;="&amp;CK$1,INDIRECT("Table1[Ende]"),"&gt;="&amp;CK$1,INDIRECT("Table1[Obergruppe ATC-Code]"),Tabelle3!$A48)</f>
        <v>0</v>
      </c>
      <c r="CL48">
        <f ca="1">COUNTIFS(INDIRECT("Table1[Beginn]"),"&lt;="&amp;CL$1,INDIRECT("Table1[Ende]"),"&gt;="&amp;CL$1,INDIRECT("Table1[Obergruppe ATC-Code]"),Tabelle3!$A48)</f>
        <v>0</v>
      </c>
      <c r="CM48">
        <f ca="1">COUNTIFS(INDIRECT("Table1[Beginn]"),"&lt;="&amp;CM$1,INDIRECT("Table1[Ende]"),"&gt;="&amp;CM$1,INDIRECT("Table1[Obergruppe ATC-Code]"),Tabelle3!$A48)</f>
        <v>0</v>
      </c>
      <c r="CN48">
        <f ca="1">COUNTIFS(INDIRECT("Table1[Beginn]"),"&lt;="&amp;CN$1,INDIRECT("Table1[Ende]"),"&gt;="&amp;CN$1,INDIRECT("Table1[Obergruppe ATC-Code]"),Tabelle3!$A48)</f>
        <v>0</v>
      </c>
      <c r="CO48">
        <f ca="1">COUNTIFS(INDIRECT("Table1[Beginn]"),"&lt;="&amp;CO$1,INDIRECT("Table1[Ende]"),"&gt;="&amp;CO$1,INDIRECT("Table1[Obergruppe ATC-Code]"),Tabelle3!$A48)</f>
        <v>0</v>
      </c>
      <c r="CP48">
        <f ca="1">COUNTIFS(INDIRECT("Table1[Beginn]"),"&lt;="&amp;CP$1,INDIRECT("Table1[Ende]"),"&gt;="&amp;CP$1,INDIRECT("Table1[Obergruppe ATC-Code]"),Tabelle3!$A48)</f>
        <v>0</v>
      </c>
      <c r="CQ48">
        <f ca="1">COUNTIFS(INDIRECT("Table1[Beginn]"),"&lt;="&amp;CQ$1,INDIRECT("Table1[Ende]"),"&gt;="&amp;CQ$1,INDIRECT("Table1[Obergruppe ATC-Code]"),Tabelle3!$A48)</f>
        <v>0</v>
      </c>
      <c r="CR48">
        <f ca="1">COUNTIFS(INDIRECT("Table1[Beginn]"),"&lt;="&amp;CR$1,INDIRECT("Table1[Ende]"),"&gt;="&amp;CR$1,INDIRECT("Table1[Obergruppe ATC-Code]"),Tabelle3!$A48)</f>
        <v>0</v>
      </c>
    </row>
    <row r="49" spans="1:96" ht="18">
      <c r="A49" s="9" t="s">
        <v>6867</v>
      </c>
      <c r="B49" s="10" t="s">
        <v>6868</v>
      </c>
      <c r="C49">
        <f ca="1">COUNTIFS(INDIRECT("Table1[Beginn]"),"&lt;="&amp;C$1,INDIRECT("Table1[Ende]"),"&gt;="&amp;C$1,INDIRECT("Table1[Obergruppe ATC-Code]"),Tabelle3!$A49)</f>
        <v>0</v>
      </c>
      <c r="D49">
        <f ca="1">COUNTIFS(INDIRECT("Table1[Beginn]"),"&lt;="&amp;D$1,INDIRECT("Table1[Ende]"),"&gt;="&amp;D$1,INDIRECT("Table1[Obergruppe ATC-Code]"),Tabelle3!$A49)</f>
        <v>0</v>
      </c>
      <c r="E49">
        <f ca="1">COUNTIFS(INDIRECT("Table1[Beginn]"),"&lt;="&amp;E$1,INDIRECT("Table1[Ende]"),"&gt;="&amp;E$1,INDIRECT("Table1[Obergruppe ATC-Code]"),Tabelle3!$A49)</f>
        <v>0</v>
      </c>
      <c r="F49">
        <f ca="1">COUNTIFS(INDIRECT("Table1[Beginn]"),"&lt;="&amp;F$1,INDIRECT("Table1[Ende]"),"&gt;="&amp;F$1,INDIRECT("Table1[Obergruppe ATC-Code]"),Tabelle3!$A49)</f>
        <v>0</v>
      </c>
      <c r="G49">
        <f ca="1">COUNTIFS(INDIRECT("Table1[Beginn]"),"&lt;="&amp;G$1,INDIRECT("Table1[Ende]"),"&gt;="&amp;G$1,INDIRECT("Table1[Obergruppe ATC-Code]"),Tabelle3!$A49)</f>
        <v>0</v>
      </c>
      <c r="H49">
        <f ca="1">COUNTIFS(INDIRECT("Table1[Beginn]"),"&lt;="&amp;H$1,INDIRECT("Table1[Ende]"),"&gt;="&amp;H$1,INDIRECT("Table1[Obergruppe ATC-Code]"),Tabelle3!$A49)</f>
        <v>0</v>
      </c>
      <c r="I49">
        <f ca="1">COUNTIFS(INDIRECT("Table1[Beginn]"),"&lt;="&amp;I$1,INDIRECT("Table1[Ende]"),"&gt;="&amp;I$1,INDIRECT("Table1[Obergruppe ATC-Code]"),Tabelle3!$A49)</f>
        <v>0</v>
      </c>
      <c r="J49">
        <f ca="1">COUNTIFS(INDIRECT("Table1[Beginn]"),"&lt;="&amp;J$1,INDIRECT("Table1[Ende]"),"&gt;="&amp;J$1,INDIRECT("Table1[Obergruppe ATC-Code]"),Tabelle3!$A49)</f>
        <v>0</v>
      </c>
      <c r="K49">
        <f ca="1">COUNTIFS(INDIRECT("Table1[Beginn]"),"&lt;="&amp;K$1,INDIRECT("Table1[Ende]"),"&gt;="&amp;K$1,INDIRECT("Table1[Obergruppe ATC-Code]"),Tabelle3!$A49)</f>
        <v>0</v>
      </c>
      <c r="L49">
        <f ca="1">COUNTIFS(INDIRECT("Table1[Beginn]"),"&lt;="&amp;L$1,INDIRECT("Table1[Ende]"),"&gt;="&amp;L$1,INDIRECT("Table1[Obergruppe ATC-Code]"),Tabelle3!$A49)</f>
        <v>0</v>
      </c>
      <c r="M49">
        <f ca="1">COUNTIFS(INDIRECT("Table1[Beginn]"),"&lt;="&amp;M$1,INDIRECT("Table1[Ende]"),"&gt;="&amp;M$1,INDIRECT("Table1[Obergruppe ATC-Code]"),Tabelle3!$A49)</f>
        <v>0</v>
      </c>
      <c r="N49">
        <f ca="1">COUNTIFS(INDIRECT("Table1[Beginn]"),"&lt;="&amp;N$1,INDIRECT("Table1[Ende]"),"&gt;="&amp;N$1,INDIRECT("Table1[Obergruppe ATC-Code]"),Tabelle3!$A49)</f>
        <v>0</v>
      </c>
      <c r="O49">
        <f ca="1">COUNTIFS(INDIRECT("Table1[Beginn]"),"&lt;="&amp;O$1,INDIRECT("Table1[Ende]"),"&gt;="&amp;O$1,INDIRECT("Table1[Obergruppe ATC-Code]"),Tabelle3!$A49)</f>
        <v>1</v>
      </c>
      <c r="P49">
        <f ca="1">COUNTIFS(INDIRECT("Table1[Beginn]"),"&lt;="&amp;P$1,INDIRECT("Table1[Ende]"),"&gt;="&amp;P$1,INDIRECT("Table1[Obergruppe ATC-Code]"),Tabelle3!$A49)</f>
        <v>1</v>
      </c>
      <c r="Q49">
        <f ca="1">COUNTIFS(INDIRECT("Table1[Beginn]"),"&lt;="&amp;Q$1,INDIRECT("Table1[Ende]"),"&gt;="&amp;Q$1,INDIRECT("Table1[Obergruppe ATC-Code]"),Tabelle3!$A49)</f>
        <v>1</v>
      </c>
      <c r="R49">
        <f ca="1">COUNTIFS(INDIRECT("Table1[Beginn]"),"&lt;="&amp;R$1,INDIRECT("Table1[Ende]"),"&gt;="&amp;R$1,INDIRECT("Table1[Obergruppe ATC-Code]"),Tabelle3!$A49)</f>
        <v>1</v>
      </c>
      <c r="S49">
        <f ca="1">COUNTIFS(INDIRECT("Table1[Beginn]"),"&lt;="&amp;S$1,INDIRECT("Table1[Ende]"),"&gt;="&amp;S$1,INDIRECT("Table1[Obergruppe ATC-Code]"),Tabelle3!$A49)</f>
        <v>4</v>
      </c>
      <c r="T49">
        <f ca="1">COUNTIFS(INDIRECT("Table1[Beginn]"),"&lt;="&amp;T$1,INDIRECT("Table1[Ende]"),"&gt;="&amp;T$1,INDIRECT("Table1[Obergruppe ATC-Code]"),Tabelle3!$A49)</f>
        <v>4</v>
      </c>
      <c r="U49">
        <f ca="1">COUNTIFS(INDIRECT("Table1[Beginn]"),"&lt;="&amp;U$1,INDIRECT("Table1[Ende]"),"&gt;="&amp;U$1,INDIRECT("Table1[Obergruppe ATC-Code]"),Tabelle3!$A49)</f>
        <v>5</v>
      </c>
      <c r="V49">
        <f ca="1">COUNTIFS(INDIRECT("Table1[Beginn]"),"&lt;="&amp;V$1,INDIRECT("Table1[Ende]"),"&gt;="&amp;V$1,INDIRECT("Table1[Obergruppe ATC-Code]"),Tabelle3!$A49)</f>
        <v>5</v>
      </c>
      <c r="W49">
        <f ca="1">COUNTIFS(INDIRECT("Table1[Beginn]"),"&lt;="&amp;W$1,INDIRECT("Table1[Ende]"),"&gt;="&amp;W$1,INDIRECT("Table1[Obergruppe ATC-Code]"),Tabelle3!$A49)</f>
        <v>5</v>
      </c>
      <c r="X49">
        <f ca="1">COUNTIFS(INDIRECT("Table1[Beginn]"),"&lt;="&amp;X$1,INDIRECT("Table1[Ende]"),"&gt;="&amp;X$1,INDIRECT("Table1[Obergruppe ATC-Code]"),Tabelle3!$A49)</f>
        <v>4</v>
      </c>
      <c r="Y49">
        <f ca="1">COUNTIFS(INDIRECT("Table1[Beginn]"),"&lt;="&amp;Y$1,INDIRECT("Table1[Ende]"),"&gt;="&amp;Y$1,INDIRECT("Table1[Obergruppe ATC-Code]"),Tabelle3!$A49)</f>
        <v>4</v>
      </c>
      <c r="Z49">
        <f ca="1">COUNTIFS(INDIRECT("Table1[Beginn]"),"&lt;="&amp;Z$1,INDIRECT("Table1[Ende]"),"&gt;="&amp;Z$1,INDIRECT("Table1[Obergruppe ATC-Code]"),Tabelle3!$A49)</f>
        <v>1</v>
      </c>
      <c r="AA49">
        <f ca="1">COUNTIFS(INDIRECT("Table1[Beginn]"),"&lt;="&amp;AA$1,INDIRECT("Table1[Ende]"),"&gt;="&amp;AA$1,INDIRECT("Table1[Obergruppe ATC-Code]"),Tabelle3!$A49)</f>
        <v>1</v>
      </c>
      <c r="AB49">
        <f ca="1">COUNTIFS(INDIRECT("Table1[Beginn]"),"&lt;="&amp;AB$1,INDIRECT("Table1[Ende]"),"&gt;="&amp;AB$1,INDIRECT("Table1[Obergruppe ATC-Code]"),Tabelle3!$A49)</f>
        <v>0</v>
      </c>
      <c r="AC49">
        <f ca="1">COUNTIFS(INDIRECT("Table1[Beginn]"),"&lt;="&amp;AC$1,INDIRECT("Table1[Ende]"),"&gt;="&amp;AC$1,INDIRECT("Table1[Obergruppe ATC-Code]"),Tabelle3!$A49)</f>
        <v>0</v>
      </c>
      <c r="AD49">
        <f ca="1">COUNTIFS(INDIRECT("Table1[Beginn]"),"&lt;="&amp;AD$1,INDIRECT("Table1[Ende]"),"&gt;="&amp;AD$1,INDIRECT("Table1[Obergruppe ATC-Code]"),Tabelle3!$A49)</f>
        <v>0</v>
      </c>
      <c r="AE49">
        <f ca="1">COUNTIFS(INDIRECT("Table1[Beginn]"),"&lt;="&amp;AE$1,INDIRECT("Table1[Ende]"),"&gt;="&amp;AE$1,INDIRECT("Table1[Obergruppe ATC-Code]"),Tabelle3!$A49)</f>
        <v>3</v>
      </c>
      <c r="AF49">
        <f ca="1">COUNTIFS(INDIRECT("Table1[Beginn]"),"&lt;="&amp;AF$1,INDIRECT("Table1[Ende]"),"&gt;="&amp;AF$1,INDIRECT("Table1[Obergruppe ATC-Code]"),Tabelle3!$A49)</f>
        <v>3</v>
      </c>
      <c r="AG49">
        <f ca="1">COUNTIFS(INDIRECT("Table1[Beginn]"),"&lt;="&amp;AG$1,INDIRECT("Table1[Ende]"),"&gt;="&amp;AG$1,INDIRECT("Table1[Obergruppe ATC-Code]"),Tabelle3!$A49)</f>
        <v>8</v>
      </c>
      <c r="AH49">
        <f ca="1">COUNTIFS(INDIRECT("Table1[Beginn]"),"&lt;="&amp;AH$1,INDIRECT("Table1[Ende]"),"&gt;="&amp;AH$1,INDIRECT("Table1[Obergruppe ATC-Code]"),Tabelle3!$A49)</f>
        <v>8</v>
      </c>
      <c r="AI49">
        <f ca="1">COUNTIFS(INDIRECT("Table1[Beginn]"),"&lt;="&amp;AI$1,INDIRECT("Table1[Ende]"),"&gt;="&amp;AI$1,INDIRECT("Table1[Obergruppe ATC-Code]"),Tabelle3!$A49)</f>
        <v>10</v>
      </c>
      <c r="AJ49">
        <f ca="1">COUNTIFS(INDIRECT("Table1[Beginn]"),"&lt;="&amp;AJ$1,INDIRECT("Table1[Ende]"),"&gt;="&amp;AJ$1,INDIRECT("Table1[Obergruppe ATC-Code]"),Tabelle3!$A49)</f>
        <v>10</v>
      </c>
      <c r="AK49">
        <f ca="1">COUNTIFS(INDIRECT("Table1[Beginn]"),"&lt;="&amp;AK$1,INDIRECT("Table1[Ende]"),"&gt;="&amp;AK$1,INDIRECT("Table1[Obergruppe ATC-Code]"),Tabelle3!$A49)</f>
        <v>10</v>
      </c>
      <c r="AL49">
        <f ca="1">COUNTIFS(INDIRECT("Table1[Beginn]"),"&lt;="&amp;AL$1,INDIRECT("Table1[Ende]"),"&gt;="&amp;AL$1,INDIRECT("Table1[Obergruppe ATC-Code]"),Tabelle3!$A49)</f>
        <v>10</v>
      </c>
      <c r="AM49">
        <f ca="1">COUNTIFS(INDIRECT("Table1[Beginn]"),"&lt;="&amp;AM$1,INDIRECT("Table1[Ende]"),"&gt;="&amp;AM$1,INDIRECT("Table1[Obergruppe ATC-Code]"),Tabelle3!$A49)</f>
        <v>8</v>
      </c>
      <c r="AN49">
        <f ca="1">COUNTIFS(INDIRECT("Table1[Beginn]"),"&lt;="&amp;AN$1,INDIRECT("Table1[Ende]"),"&gt;="&amp;AN$1,INDIRECT("Table1[Obergruppe ATC-Code]"),Tabelle3!$A49)</f>
        <v>8</v>
      </c>
      <c r="AO49">
        <f ca="1">COUNTIFS(INDIRECT("Table1[Beginn]"),"&lt;="&amp;AO$1,INDIRECT("Table1[Ende]"),"&gt;="&amp;AO$1,INDIRECT("Table1[Obergruppe ATC-Code]"),Tabelle3!$A49)</f>
        <v>6</v>
      </c>
      <c r="AP49">
        <f ca="1">COUNTIFS(INDIRECT("Table1[Beginn]"),"&lt;="&amp;AP$1,INDIRECT("Table1[Ende]"),"&gt;="&amp;AP$1,INDIRECT("Table1[Obergruppe ATC-Code]"),Tabelle3!$A49)</f>
        <v>6</v>
      </c>
      <c r="AQ49">
        <f ca="1">COUNTIFS(INDIRECT("Table1[Beginn]"),"&lt;="&amp;AQ$1,INDIRECT("Table1[Ende]"),"&gt;="&amp;AQ$1,INDIRECT("Table1[Obergruppe ATC-Code]"),Tabelle3!$A49)</f>
        <v>5</v>
      </c>
      <c r="AR49">
        <f ca="1">COUNTIFS(INDIRECT("Table1[Beginn]"),"&lt;="&amp;AR$1,INDIRECT("Table1[Ende]"),"&gt;="&amp;AR$1,INDIRECT("Table1[Obergruppe ATC-Code]"),Tabelle3!$A49)</f>
        <v>3</v>
      </c>
      <c r="AS49">
        <f ca="1">COUNTIFS(INDIRECT("Table1[Beginn]"),"&lt;="&amp;AS$1,INDIRECT("Table1[Ende]"),"&gt;="&amp;AS$1,INDIRECT("Table1[Obergruppe ATC-Code]"),Tabelle3!$A49)</f>
        <v>3</v>
      </c>
      <c r="AT49">
        <f ca="1">COUNTIFS(INDIRECT("Table1[Beginn]"),"&lt;="&amp;AT$1,INDIRECT("Table1[Ende]"),"&gt;="&amp;AT$1,INDIRECT("Table1[Obergruppe ATC-Code]"),Tabelle3!$A49)</f>
        <v>3</v>
      </c>
      <c r="AU49">
        <f ca="1">COUNTIFS(INDIRECT("Table1[Beginn]"),"&lt;="&amp;AU$1,INDIRECT("Table1[Ende]"),"&gt;="&amp;AU$1,INDIRECT("Table1[Obergruppe ATC-Code]"),Tabelle3!$A49)</f>
        <v>5</v>
      </c>
      <c r="AV49">
        <f ca="1">COUNTIFS(INDIRECT("Table1[Beginn]"),"&lt;="&amp;AV$1,INDIRECT("Table1[Ende]"),"&gt;="&amp;AV$1,INDIRECT("Table1[Obergruppe ATC-Code]"),Tabelle3!$A49)</f>
        <v>6</v>
      </c>
      <c r="AW49">
        <f ca="1">COUNTIFS(INDIRECT("Table1[Beginn]"),"&lt;="&amp;AW$1,INDIRECT("Table1[Ende]"),"&gt;="&amp;AW$1,INDIRECT("Table1[Obergruppe ATC-Code]"),Tabelle3!$A49)</f>
        <v>5</v>
      </c>
      <c r="AX49">
        <f ca="1">COUNTIFS(INDIRECT("Table1[Beginn]"),"&lt;="&amp;AX$1,INDIRECT("Table1[Ende]"),"&gt;="&amp;AX$1,INDIRECT("Table1[Obergruppe ATC-Code]"),Tabelle3!$A49)</f>
        <v>4</v>
      </c>
      <c r="AY49">
        <f ca="1">COUNTIFS(INDIRECT("Table1[Beginn]"),"&lt;="&amp;AY$1,INDIRECT("Table1[Ende]"),"&gt;="&amp;AY$1,INDIRECT("Table1[Obergruppe ATC-Code]"),Tabelle3!$A49)</f>
        <v>4</v>
      </c>
      <c r="AZ49">
        <f ca="1">COUNTIFS(INDIRECT("Table1[Beginn]"),"&lt;="&amp;AZ$1,INDIRECT("Table1[Ende]"),"&gt;="&amp;AZ$1,INDIRECT("Table1[Obergruppe ATC-Code]"),Tabelle3!$A49)</f>
        <v>4</v>
      </c>
      <c r="BA49">
        <f ca="1">COUNTIFS(INDIRECT("Table1[Beginn]"),"&lt;="&amp;BA$1,INDIRECT("Table1[Ende]"),"&gt;="&amp;BA$1,INDIRECT("Table1[Obergruppe ATC-Code]"),Tabelle3!$A49)</f>
        <v>5</v>
      </c>
      <c r="BB49">
        <f ca="1">COUNTIFS(INDIRECT("Table1[Beginn]"),"&lt;="&amp;BB$1,INDIRECT("Table1[Ende]"),"&gt;="&amp;BB$1,INDIRECT("Table1[Obergruppe ATC-Code]"),Tabelle3!$A49)</f>
        <v>5</v>
      </c>
      <c r="BC49">
        <f ca="1">COUNTIFS(INDIRECT("Table1[Beginn]"),"&lt;="&amp;BC$1,INDIRECT("Table1[Ende]"),"&gt;="&amp;BC$1,INDIRECT("Table1[Obergruppe ATC-Code]"),Tabelle3!$A49)</f>
        <v>4</v>
      </c>
      <c r="BD49">
        <f ca="1">COUNTIFS(INDIRECT("Table1[Beginn]"),"&lt;="&amp;BD$1,INDIRECT("Table1[Ende]"),"&gt;="&amp;BD$1,INDIRECT("Table1[Obergruppe ATC-Code]"),Tabelle3!$A49)</f>
        <v>4</v>
      </c>
      <c r="BE49">
        <f ca="1">COUNTIFS(INDIRECT("Table1[Beginn]"),"&lt;="&amp;BE$1,INDIRECT("Table1[Ende]"),"&gt;="&amp;BE$1,INDIRECT("Table1[Obergruppe ATC-Code]"),Tabelle3!$A49)</f>
        <v>5</v>
      </c>
      <c r="BF49">
        <f ca="1">COUNTIFS(INDIRECT("Table1[Beginn]"),"&lt;="&amp;BF$1,INDIRECT("Table1[Ende]"),"&gt;="&amp;BF$1,INDIRECT("Table1[Obergruppe ATC-Code]"),Tabelle3!$A49)</f>
        <v>4</v>
      </c>
      <c r="BG49">
        <f ca="1">COUNTIFS(INDIRECT("Table1[Beginn]"),"&lt;="&amp;BG$1,INDIRECT("Table1[Ende]"),"&gt;="&amp;BG$1,INDIRECT("Table1[Obergruppe ATC-Code]"),Tabelle3!$A49)</f>
        <v>4</v>
      </c>
      <c r="BH49">
        <f ca="1">COUNTIFS(INDIRECT("Table1[Beginn]"),"&lt;="&amp;BH$1,INDIRECT("Table1[Ende]"),"&gt;="&amp;BH$1,INDIRECT("Table1[Obergruppe ATC-Code]"),Tabelle3!$A49)</f>
        <v>4</v>
      </c>
      <c r="BI49">
        <f ca="1">COUNTIFS(INDIRECT("Table1[Beginn]"),"&lt;="&amp;BI$1,INDIRECT("Table1[Ende]"),"&gt;="&amp;BI$1,INDIRECT("Table1[Obergruppe ATC-Code]"),Tabelle3!$A49)</f>
        <v>4</v>
      </c>
      <c r="BJ49">
        <f ca="1">COUNTIFS(INDIRECT("Table1[Beginn]"),"&lt;="&amp;BJ$1,INDIRECT("Table1[Ende]"),"&gt;="&amp;BJ$1,INDIRECT("Table1[Obergruppe ATC-Code]"),Tabelle3!$A49)</f>
        <v>5</v>
      </c>
      <c r="BK49">
        <f ca="1">COUNTIFS(INDIRECT("Table1[Beginn]"),"&lt;="&amp;BK$1,INDIRECT("Table1[Ende]"),"&gt;="&amp;BK$1,INDIRECT("Table1[Obergruppe ATC-Code]"),Tabelle3!$A49)</f>
        <v>5</v>
      </c>
      <c r="BL49">
        <f ca="1">COUNTIFS(INDIRECT("Table1[Beginn]"),"&lt;="&amp;BL$1,INDIRECT("Table1[Ende]"),"&gt;="&amp;BL$1,INDIRECT("Table1[Obergruppe ATC-Code]"),Tabelle3!$A49)</f>
        <v>5</v>
      </c>
      <c r="BM49">
        <f ca="1">COUNTIFS(INDIRECT("Table1[Beginn]"),"&lt;="&amp;BM$1,INDIRECT("Table1[Ende]"),"&gt;="&amp;BM$1,INDIRECT("Table1[Obergruppe ATC-Code]"),Tabelle3!$A49)</f>
        <v>7</v>
      </c>
      <c r="BN49">
        <f ca="1">COUNTIFS(INDIRECT("Table1[Beginn]"),"&lt;="&amp;BN$1,INDIRECT("Table1[Ende]"),"&gt;="&amp;BN$1,INDIRECT("Table1[Obergruppe ATC-Code]"),Tabelle3!$A49)</f>
        <v>10</v>
      </c>
      <c r="BO49">
        <f ca="1">COUNTIFS(INDIRECT("Table1[Beginn]"),"&lt;="&amp;BO$1,INDIRECT("Table1[Ende]"),"&gt;="&amp;BO$1,INDIRECT("Table1[Obergruppe ATC-Code]"),Tabelle3!$A49)</f>
        <v>15</v>
      </c>
      <c r="BP49">
        <f ca="1">COUNTIFS(INDIRECT("Table1[Beginn]"),"&lt;="&amp;BP$1,INDIRECT("Table1[Ende]"),"&gt;="&amp;BP$1,INDIRECT("Table1[Obergruppe ATC-Code]"),Tabelle3!$A49)</f>
        <v>17</v>
      </c>
      <c r="BQ49">
        <f ca="1">COUNTIFS(INDIRECT("Table1[Beginn]"),"&lt;="&amp;BQ$1,INDIRECT("Table1[Ende]"),"&gt;="&amp;BQ$1,INDIRECT("Table1[Obergruppe ATC-Code]"),Tabelle3!$A49)</f>
        <v>11</v>
      </c>
      <c r="BR49">
        <f ca="1">COUNTIFS(INDIRECT("Table1[Beginn]"),"&lt;="&amp;BR$1,INDIRECT("Table1[Ende]"),"&gt;="&amp;BR$1,INDIRECT("Table1[Obergruppe ATC-Code]"),Tabelle3!$A49)</f>
        <v>11</v>
      </c>
      <c r="BS49">
        <f ca="1">COUNTIFS(INDIRECT("Table1[Beginn]"),"&lt;="&amp;BS$1,INDIRECT("Table1[Ende]"),"&gt;="&amp;BS$1,INDIRECT("Table1[Obergruppe ATC-Code]"),Tabelle3!$A49)</f>
        <v>10</v>
      </c>
      <c r="BT49">
        <f ca="1">COUNTIFS(INDIRECT("Table1[Beginn]"),"&lt;="&amp;BT$1,INDIRECT("Table1[Ende]"),"&gt;="&amp;BT$1,INDIRECT("Table1[Obergruppe ATC-Code]"),Tabelle3!$A49)</f>
        <v>18</v>
      </c>
      <c r="BU49">
        <f ca="1">COUNTIFS(INDIRECT("Table1[Beginn]"),"&lt;="&amp;BU$1,INDIRECT("Table1[Ende]"),"&gt;="&amp;BU$1,INDIRECT("Table1[Obergruppe ATC-Code]"),Tabelle3!$A49)</f>
        <v>20</v>
      </c>
      <c r="BV49">
        <f ca="1">COUNTIFS(INDIRECT("Table1[Beginn]"),"&lt;="&amp;BV$1,INDIRECT("Table1[Ende]"),"&gt;="&amp;BV$1,INDIRECT("Table1[Obergruppe ATC-Code]"),Tabelle3!$A49)</f>
        <v>17</v>
      </c>
      <c r="BW49">
        <f ca="1">COUNTIFS(INDIRECT("Table1[Beginn]"),"&lt;="&amp;BW$1,INDIRECT("Table1[Ende]"),"&gt;="&amp;BW$1,INDIRECT("Table1[Obergruppe ATC-Code]"),Tabelle3!$A49)</f>
        <v>13</v>
      </c>
      <c r="BX49">
        <f ca="1">COUNTIFS(INDIRECT("Table1[Beginn]"),"&lt;="&amp;BX$1,INDIRECT("Table1[Ende]"),"&gt;="&amp;BX$1,INDIRECT("Table1[Obergruppe ATC-Code]"),Tabelle3!$A49)</f>
        <v>12</v>
      </c>
      <c r="BY49">
        <f ca="1">COUNTIFS(INDIRECT("Table1[Beginn]"),"&lt;="&amp;BY$1,INDIRECT("Table1[Ende]"),"&gt;="&amp;BY$1,INDIRECT("Table1[Obergruppe ATC-Code]"),Tabelle3!$A49)</f>
        <v>11</v>
      </c>
      <c r="BZ49">
        <f ca="1">COUNTIFS(INDIRECT("Table1[Beginn]"),"&lt;="&amp;BZ$1,INDIRECT("Table1[Ende]"),"&gt;="&amp;BZ$1,INDIRECT("Table1[Obergruppe ATC-Code]"),Tabelle3!$A49)</f>
        <v>18</v>
      </c>
      <c r="CA49">
        <f ca="1">COUNTIFS(INDIRECT("Table1[Beginn]"),"&lt;="&amp;CA$1,INDIRECT("Table1[Ende]"),"&gt;="&amp;CA$1,INDIRECT("Table1[Obergruppe ATC-Code]"),Tabelle3!$A49)</f>
        <v>16</v>
      </c>
      <c r="CB49">
        <f ca="1">COUNTIFS(INDIRECT("Table1[Beginn]"),"&lt;="&amp;CB$1,INDIRECT("Table1[Ende]"),"&gt;="&amp;CB$1,INDIRECT("Table1[Obergruppe ATC-Code]"),Tabelle3!$A49)</f>
        <v>15</v>
      </c>
      <c r="CC49">
        <f ca="1">COUNTIFS(INDIRECT("Table1[Beginn]"),"&lt;="&amp;CC$1,INDIRECT("Table1[Ende]"),"&gt;="&amp;CC$1,INDIRECT("Table1[Obergruppe ATC-Code]"),Tabelle3!$A49)</f>
        <v>13</v>
      </c>
      <c r="CD49">
        <f ca="1">COUNTIFS(INDIRECT("Table1[Beginn]"),"&lt;="&amp;CD$1,INDIRECT("Table1[Ende]"),"&gt;="&amp;CD$1,INDIRECT("Table1[Obergruppe ATC-Code]"),Tabelle3!$A49)</f>
        <v>10</v>
      </c>
      <c r="CE49">
        <f ca="1">COUNTIFS(INDIRECT("Table1[Beginn]"),"&lt;="&amp;CE$1,INDIRECT("Table1[Ende]"),"&gt;="&amp;CE$1,INDIRECT("Table1[Obergruppe ATC-Code]"),Tabelle3!$A49)</f>
        <v>9</v>
      </c>
      <c r="CF49">
        <f ca="1">COUNTIFS(INDIRECT("Table1[Beginn]"),"&lt;="&amp;CF$1,INDIRECT("Table1[Ende]"),"&gt;="&amp;CF$1,INDIRECT("Table1[Obergruppe ATC-Code]"),Tabelle3!$A49)</f>
        <v>5</v>
      </c>
      <c r="CG49">
        <f ca="1">COUNTIFS(INDIRECT("Table1[Beginn]"),"&lt;="&amp;CG$1,INDIRECT("Table1[Ende]"),"&gt;="&amp;CG$1,INDIRECT("Table1[Obergruppe ATC-Code]"),Tabelle3!$A49)</f>
        <v>3</v>
      </c>
      <c r="CH49">
        <f ca="1">COUNTIFS(INDIRECT("Table1[Beginn]"),"&lt;="&amp;CH$1,INDIRECT("Table1[Ende]"),"&gt;="&amp;CH$1,INDIRECT("Table1[Obergruppe ATC-Code]"),Tabelle3!$A49)</f>
        <v>3</v>
      </c>
      <c r="CI49">
        <f ca="1">COUNTIFS(INDIRECT("Table1[Beginn]"),"&lt;="&amp;CI$1,INDIRECT("Table1[Ende]"),"&gt;="&amp;CI$1,INDIRECT("Table1[Obergruppe ATC-Code]"),Tabelle3!$A49)</f>
        <v>3</v>
      </c>
      <c r="CJ49">
        <f ca="1">COUNTIFS(INDIRECT("Table1[Beginn]"),"&lt;="&amp;CJ$1,INDIRECT("Table1[Ende]"),"&gt;="&amp;CJ$1,INDIRECT("Table1[Obergruppe ATC-Code]"),Tabelle3!$A49)</f>
        <v>3</v>
      </c>
      <c r="CK49">
        <f ca="1">COUNTIFS(INDIRECT("Table1[Beginn]"),"&lt;="&amp;CK$1,INDIRECT("Table1[Ende]"),"&gt;="&amp;CK$1,INDIRECT("Table1[Obergruppe ATC-Code]"),Tabelle3!$A49)</f>
        <v>3</v>
      </c>
      <c r="CL49">
        <f ca="1">COUNTIFS(INDIRECT("Table1[Beginn]"),"&lt;="&amp;CL$1,INDIRECT("Table1[Ende]"),"&gt;="&amp;CL$1,INDIRECT("Table1[Obergruppe ATC-Code]"),Tabelle3!$A49)</f>
        <v>3</v>
      </c>
      <c r="CM49">
        <f ca="1">COUNTIFS(INDIRECT("Table1[Beginn]"),"&lt;="&amp;CM$1,INDIRECT("Table1[Ende]"),"&gt;="&amp;CM$1,INDIRECT("Table1[Obergruppe ATC-Code]"),Tabelle3!$A49)</f>
        <v>1</v>
      </c>
      <c r="CN49">
        <f ca="1">COUNTIFS(INDIRECT("Table1[Beginn]"),"&lt;="&amp;CN$1,INDIRECT("Table1[Ende]"),"&gt;="&amp;CN$1,INDIRECT("Table1[Obergruppe ATC-Code]"),Tabelle3!$A49)</f>
        <v>1</v>
      </c>
      <c r="CO49">
        <f ca="1">COUNTIFS(INDIRECT("Table1[Beginn]"),"&lt;="&amp;CO$1,INDIRECT("Table1[Ende]"),"&gt;="&amp;CO$1,INDIRECT("Table1[Obergruppe ATC-Code]"),Tabelle3!$A49)</f>
        <v>1</v>
      </c>
      <c r="CP49">
        <f ca="1">COUNTIFS(INDIRECT("Table1[Beginn]"),"&lt;="&amp;CP$1,INDIRECT("Table1[Ende]"),"&gt;="&amp;CP$1,INDIRECT("Table1[Obergruppe ATC-Code]"),Tabelle3!$A49)</f>
        <v>0</v>
      </c>
      <c r="CQ49">
        <f ca="1">COUNTIFS(INDIRECT("Table1[Beginn]"),"&lt;="&amp;CQ$1,INDIRECT("Table1[Ende]"),"&gt;="&amp;CQ$1,INDIRECT("Table1[Obergruppe ATC-Code]"),Tabelle3!$A49)</f>
        <v>0</v>
      </c>
      <c r="CR49">
        <f ca="1">COUNTIFS(INDIRECT("Table1[Beginn]"),"&lt;="&amp;CR$1,INDIRECT("Table1[Ende]"),"&gt;="&amp;CR$1,INDIRECT("Table1[Obergruppe ATC-Code]"),Tabelle3!$A49)</f>
        <v>0</v>
      </c>
    </row>
    <row r="50" spans="1:96" ht="18">
      <c r="A50" s="7" t="s">
        <v>6869</v>
      </c>
      <c r="B50" s="8" t="s">
        <v>6870</v>
      </c>
      <c r="C50">
        <f ca="1">COUNTIFS(INDIRECT("Table1[Beginn]"),"&lt;="&amp;C$1,INDIRECT("Table1[Ende]"),"&gt;="&amp;C$1,INDIRECT("Table1[Obergruppe ATC-Code]"),Tabelle3!$A50)</f>
        <v>1</v>
      </c>
      <c r="D50">
        <f ca="1">COUNTIFS(INDIRECT("Table1[Beginn]"),"&lt;="&amp;D$1,INDIRECT("Table1[Ende]"),"&gt;="&amp;D$1,INDIRECT("Table1[Obergruppe ATC-Code]"),Tabelle3!$A50)</f>
        <v>1</v>
      </c>
      <c r="E50">
        <f ca="1">COUNTIFS(INDIRECT("Table1[Beginn]"),"&lt;="&amp;E$1,INDIRECT("Table1[Ende]"),"&gt;="&amp;E$1,INDIRECT("Table1[Obergruppe ATC-Code]"),Tabelle3!$A50)</f>
        <v>1</v>
      </c>
      <c r="F50">
        <f ca="1">COUNTIFS(INDIRECT("Table1[Beginn]"),"&lt;="&amp;F$1,INDIRECT("Table1[Ende]"),"&gt;="&amp;F$1,INDIRECT("Table1[Obergruppe ATC-Code]"),Tabelle3!$A50)</f>
        <v>1</v>
      </c>
      <c r="G50">
        <f ca="1">COUNTIFS(INDIRECT("Table1[Beginn]"),"&lt;="&amp;G$1,INDIRECT("Table1[Ende]"),"&gt;="&amp;G$1,INDIRECT("Table1[Obergruppe ATC-Code]"),Tabelle3!$A50)</f>
        <v>1</v>
      </c>
      <c r="H50">
        <f ca="1">COUNTIFS(INDIRECT("Table1[Beginn]"),"&lt;="&amp;H$1,INDIRECT("Table1[Ende]"),"&gt;="&amp;H$1,INDIRECT("Table1[Obergruppe ATC-Code]"),Tabelle3!$A50)</f>
        <v>1</v>
      </c>
      <c r="I50">
        <f ca="1">COUNTIFS(INDIRECT("Table1[Beginn]"),"&lt;="&amp;I$1,INDIRECT("Table1[Ende]"),"&gt;="&amp;I$1,INDIRECT("Table1[Obergruppe ATC-Code]"),Tabelle3!$A50)</f>
        <v>2</v>
      </c>
      <c r="J50">
        <f ca="1">COUNTIFS(INDIRECT("Table1[Beginn]"),"&lt;="&amp;J$1,INDIRECT("Table1[Ende]"),"&gt;="&amp;J$1,INDIRECT("Table1[Obergruppe ATC-Code]"),Tabelle3!$A50)</f>
        <v>2</v>
      </c>
      <c r="K50">
        <f ca="1">COUNTIFS(INDIRECT("Table1[Beginn]"),"&lt;="&amp;K$1,INDIRECT("Table1[Ende]"),"&gt;="&amp;K$1,INDIRECT("Table1[Obergruppe ATC-Code]"),Tabelle3!$A50)</f>
        <v>2</v>
      </c>
      <c r="L50">
        <f ca="1">COUNTIFS(INDIRECT("Table1[Beginn]"),"&lt;="&amp;L$1,INDIRECT("Table1[Ende]"),"&gt;="&amp;L$1,INDIRECT("Table1[Obergruppe ATC-Code]"),Tabelle3!$A50)</f>
        <v>2</v>
      </c>
      <c r="M50">
        <f ca="1">COUNTIFS(INDIRECT("Table1[Beginn]"),"&lt;="&amp;M$1,INDIRECT("Table1[Ende]"),"&gt;="&amp;M$1,INDIRECT("Table1[Obergruppe ATC-Code]"),Tabelle3!$A50)</f>
        <v>1</v>
      </c>
      <c r="N50">
        <f ca="1">COUNTIFS(INDIRECT("Table1[Beginn]"),"&lt;="&amp;N$1,INDIRECT("Table1[Ende]"),"&gt;="&amp;N$1,INDIRECT("Table1[Obergruppe ATC-Code]"),Tabelle3!$A50)</f>
        <v>1</v>
      </c>
      <c r="O50">
        <f ca="1">COUNTIFS(INDIRECT("Table1[Beginn]"),"&lt;="&amp;O$1,INDIRECT("Table1[Ende]"),"&gt;="&amp;O$1,INDIRECT("Table1[Obergruppe ATC-Code]"),Tabelle3!$A50)</f>
        <v>1</v>
      </c>
      <c r="P50">
        <f ca="1">COUNTIFS(INDIRECT("Table1[Beginn]"),"&lt;="&amp;P$1,INDIRECT("Table1[Ende]"),"&gt;="&amp;P$1,INDIRECT("Table1[Obergruppe ATC-Code]"),Tabelle3!$A50)</f>
        <v>1</v>
      </c>
      <c r="Q50">
        <f ca="1">COUNTIFS(INDIRECT("Table1[Beginn]"),"&lt;="&amp;Q$1,INDIRECT("Table1[Ende]"),"&gt;="&amp;Q$1,INDIRECT("Table1[Obergruppe ATC-Code]"),Tabelle3!$A50)</f>
        <v>1</v>
      </c>
      <c r="R50">
        <f ca="1">COUNTIFS(INDIRECT("Table1[Beginn]"),"&lt;="&amp;R$1,INDIRECT("Table1[Ende]"),"&gt;="&amp;R$1,INDIRECT("Table1[Obergruppe ATC-Code]"),Tabelle3!$A50)</f>
        <v>1</v>
      </c>
      <c r="S50">
        <f ca="1">COUNTIFS(INDIRECT("Table1[Beginn]"),"&lt;="&amp;S$1,INDIRECT("Table1[Ende]"),"&gt;="&amp;S$1,INDIRECT("Table1[Obergruppe ATC-Code]"),Tabelle3!$A50)</f>
        <v>1</v>
      </c>
      <c r="T50">
        <f ca="1">COUNTIFS(INDIRECT("Table1[Beginn]"),"&lt;="&amp;T$1,INDIRECT("Table1[Ende]"),"&gt;="&amp;T$1,INDIRECT("Table1[Obergruppe ATC-Code]"),Tabelle3!$A50)</f>
        <v>1</v>
      </c>
      <c r="U50">
        <f ca="1">COUNTIFS(INDIRECT("Table1[Beginn]"),"&lt;="&amp;U$1,INDIRECT("Table1[Ende]"),"&gt;="&amp;U$1,INDIRECT("Table1[Obergruppe ATC-Code]"),Tabelle3!$A50)</f>
        <v>1</v>
      </c>
      <c r="V50">
        <f ca="1">COUNTIFS(INDIRECT("Table1[Beginn]"),"&lt;="&amp;V$1,INDIRECT("Table1[Ende]"),"&gt;="&amp;V$1,INDIRECT("Table1[Obergruppe ATC-Code]"),Tabelle3!$A50)</f>
        <v>1</v>
      </c>
      <c r="W50">
        <f ca="1">COUNTIFS(INDIRECT("Table1[Beginn]"),"&lt;="&amp;W$1,INDIRECT("Table1[Ende]"),"&gt;="&amp;W$1,INDIRECT("Table1[Obergruppe ATC-Code]"),Tabelle3!$A50)</f>
        <v>1</v>
      </c>
      <c r="X50">
        <f ca="1">COUNTIFS(INDIRECT("Table1[Beginn]"),"&lt;="&amp;X$1,INDIRECT("Table1[Ende]"),"&gt;="&amp;X$1,INDIRECT("Table1[Obergruppe ATC-Code]"),Tabelle3!$A50)</f>
        <v>1</v>
      </c>
      <c r="Y50">
        <f ca="1">COUNTIFS(INDIRECT("Table1[Beginn]"),"&lt;="&amp;Y$1,INDIRECT("Table1[Ende]"),"&gt;="&amp;Y$1,INDIRECT("Table1[Obergruppe ATC-Code]"),Tabelle3!$A50)</f>
        <v>1</v>
      </c>
      <c r="Z50">
        <f ca="1">COUNTIFS(INDIRECT("Table1[Beginn]"),"&lt;="&amp;Z$1,INDIRECT("Table1[Ende]"),"&gt;="&amp;Z$1,INDIRECT("Table1[Obergruppe ATC-Code]"),Tabelle3!$A50)</f>
        <v>1</v>
      </c>
      <c r="AA50">
        <f ca="1">COUNTIFS(INDIRECT("Table1[Beginn]"),"&lt;="&amp;AA$1,INDIRECT("Table1[Ende]"),"&gt;="&amp;AA$1,INDIRECT("Table1[Obergruppe ATC-Code]"),Tabelle3!$A50)</f>
        <v>2</v>
      </c>
      <c r="AB50">
        <f ca="1">COUNTIFS(INDIRECT("Table1[Beginn]"),"&lt;="&amp;AB$1,INDIRECT("Table1[Ende]"),"&gt;="&amp;AB$1,INDIRECT("Table1[Obergruppe ATC-Code]"),Tabelle3!$A50)</f>
        <v>1</v>
      </c>
      <c r="AC50">
        <f ca="1">COUNTIFS(INDIRECT("Table1[Beginn]"),"&lt;="&amp;AC$1,INDIRECT("Table1[Ende]"),"&gt;="&amp;AC$1,INDIRECT("Table1[Obergruppe ATC-Code]"),Tabelle3!$A50)</f>
        <v>2</v>
      </c>
      <c r="AD50">
        <f ca="1">COUNTIFS(INDIRECT("Table1[Beginn]"),"&lt;="&amp;AD$1,INDIRECT("Table1[Ende]"),"&gt;="&amp;AD$1,INDIRECT("Table1[Obergruppe ATC-Code]"),Tabelle3!$A50)</f>
        <v>3</v>
      </c>
      <c r="AE50">
        <f ca="1">COUNTIFS(INDIRECT("Table1[Beginn]"),"&lt;="&amp;AE$1,INDIRECT("Table1[Ende]"),"&gt;="&amp;AE$1,INDIRECT("Table1[Obergruppe ATC-Code]"),Tabelle3!$A50)</f>
        <v>3</v>
      </c>
      <c r="AF50">
        <f ca="1">COUNTIFS(INDIRECT("Table1[Beginn]"),"&lt;="&amp;AF$1,INDIRECT("Table1[Ende]"),"&gt;="&amp;AF$1,INDIRECT("Table1[Obergruppe ATC-Code]"),Tabelle3!$A50)</f>
        <v>3</v>
      </c>
      <c r="AG50">
        <f ca="1">COUNTIFS(INDIRECT("Table1[Beginn]"),"&lt;="&amp;AG$1,INDIRECT("Table1[Ende]"),"&gt;="&amp;AG$1,INDIRECT("Table1[Obergruppe ATC-Code]"),Tabelle3!$A50)</f>
        <v>3</v>
      </c>
      <c r="AH50">
        <f ca="1">COUNTIFS(INDIRECT("Table1[Beginn]"),"&lt;="&amp;AH$1,INDIRECT("Table1[Ende]"),"&gt;="&amp;AH$1,INDIRECT("Table1[Obergruppe ATC-Code]"),Tabelle3!$A50)</f>
        <v>3</v>
      </c>
      <c r="AI50">
        <f ca="1">COUNTIFS(INDIRECT("Table1[Beginn]"),"&lt;="&amp;AI$1,INDIRECT("Table1[Ende]"),"&gt;="&amp;AI$1,INDIRECT("Table1[Obergruppe ATC-Code]"),Tabelle3!$A50)</f>
        <v>4</v>
      </c>
      <c r="AJ50">
        <f ca="1">COUNTIFS(INDIRECT("Table1[Beginn]"),"&lt;="&amp;AJ$1,INDIRECT("Table1[Ende]"),"&gt;="&amp;AJ$1,INDIRECT("Table1[Obergruppe ATC-Code]"),Tabelle3!$A50)</f>
        <v>6</v>
      </c>
      <c r="AK50">
        <f ca="1">COUNTIFS(INDIRECT("Table1[Beginn]"),"&lt;="&amp;AK$1,INDIRECT("Table1[Ende]"),"&gt;="&amp;AK$1,INDIRECT("Table1[Obergruppe ATC-Code]"),Tabelle3!$A50)</f>
        <v>6</v>
      </c>
      <c r="AL50">
        <f ca="1">COUNTIFS(INDIRECT("Table1[Beginn]"),"&lt;="&amp;AL$1,INDIRECT("Table1[Ende]"),"&gt;="&amp;AL$1,INDIRECT("Table1[Obergruppe ATC-Code]"),Tabelle3!$A50)</f>
        <v>16</v>
      </c>
      <c r="AM50">
        <f ca="1">COUNTIFS(INDIRECT("Table1[Beginn]"),"&lt;="&amp;AM$1,INDIRECT("Table1[Ende]"),"&gt;="&amp;AM$1,INDIRECT("Table1[Obergruppe ATC-Code]"),Tabelle3!$A50)</f>
        <v>18</v>
      </c>
      <c r="AN50">
        <f ca="1">COUNTIFS(INDIRECT("Table1[Beginn]"),"&lt;="&amp;AN$1,INDIRECT("Table1[Ende]"),"&gt;="&amp;AN$1,INDIRECT("Table1[Obergruppe ATC-Code]"),Tabelle3!$A50)</f>
        <v>17</v>
      </c>
      <c r="AO50">
        <f ca="1">COUNTIFS(INDIRECT("Table1[Beginn]"),"&lt;="&amp;AO$1,INDIRECT("Table1[Ende]"),"&gt;="&amp;AO$1,INDIRECT("Table1[Obergruppe ATC-Code]"),Tabelle3!$A50)</f>
        <v>18</v>
      </c>
      <c r="AP50">
        <f ca="1">COUNTIFS(INDIRECT("Table1[Beginn]"),"&lt;="&amp;AP$1,INDIRECT("Table1[Ende]"),"&gt;="&amp;AP$1,INDIRECT("Table1[Obergruppe ATC-Code]"),Tabelle3!$A50)</f>
        <v>18</v>
      </c>
      <c r="AQ50">
        <f ca="1">COUNTIFS(INDIRECT("Table1[Beginn]"),"&lt;="&amp;AQ$1,INDIRECT("Table1[Ende]"),"&gt;="&amp;AQ$1,INDIRECT("Table1[Obergruppe ATC-Code]"),Tabelle3!$A50)</f>
        <v>27</v>
      </c>
      <c r="AR50">
        <f ca="1">COUNTIFS(INDIRECT("Table1[Beginn]"),"&lt;="&amp;AR$1,INDIRECT("Table1[Ende]"),"&gt;="&amp;AR$1,INDIRECT("Table1[Obergruppe ATC-Code]"),Tabelle3!$A50)</f>
        <v>20</v>
      </c>
      <c r="AS50">
        <f ca="1">COUNTIFS(INDIRECT("Table1[Beginn]"),"&lt;="&amp;AS$1,INDIRECT("Table1[Ende]"),"&gt;="&amp;AS$1,INDIRECT("Table1[Obergruppe ATC-Code]"),Tabelle3!$A50)</f>
        <v>19</v>
      </c>
      <c r="AT50">
        <f ca="1">COUNTIFS(INDIRECT("Table1[Beginn]"),"&lt;="&amp;AT$1,INDIRECT("Table1[Ende]"),"&gt;="&amp;AT$1,INDIRECT("Table1[Obergruppe ATC-Code]"),Tabelle3!$A50)</f>
        <v>15</v>
      </c>
      <c r="AU50">
        <f ca="1">COUNTIFS(INDIRECT("Table1[Beginn]"),"&lt;="&amp;AU$1,INDIRECT("Table1[Ende]"),"&gt;="&amp;AU$1,INDIRECT("Table1[Obergruppe ATC-Code]"),Tabelle3!$A50)</f>
        <v>8</v>
      </c>
      <c r="AV50">
        <f ca="1">COUNTIFS(INDIRECT("Table1[Beginn]"),"&lt;="&amp;AV$1,INDIRECT("Table1[Ende]"),"&gt;="&amp;AV$1,INDIRECT("Table1[Obergruppe ATC-Code]"),Tabelle3!$A50)</f>
        <v>3</v>
      </c>
      <c r="AW50">
        <f ca="1">COUNTIFS(INDIRECT("Table1[Beginn]"),"&lt;="&amp;AW$1,INDIRECT("Table1[Ende]"),"&gt;="&amp;AW$1,INDIRECT("Table1[Obergruppe ATC-Code]"),Tabelle3!$A50)</f>
        <v>1</v>
      </c>
      <c r="AX50">
        <f ca="1">COUNTIFS(INDIRECT("Table1[Beginn]"),"&lt;="&amp;AX$1,INDIRECT("Table1[Ende]"),"&gt;="&amp;AX$1,INDIRECT("Table1[Obergruppe ATC-Code]"),Tabelle3!$A50)</f>
        <v>0</v>
      </c>
      <c r="AY50">
        <f ca="1">COUNTIFS(INDIRECT("Table1[Beginn]"),"&lt;="&amp;AY$1,INDIRECT("Table1[Ende]"),"&gt;="&amp;AY$1,INDIRECT("Table1[Obergruppe ATC-Code]"),Tabelle3!$A50)</f>
        <v>0</v>
      </c>
      <c r="AZ50">
        <f ca="1">COUNTIFS(INDIRECT("Table1[Beginn]"),"&lt;="&amp;AZ$1,INDIRECT("Table1[Ende]"),"&gt;="&amp;AZ$1,INDIRECT("Table1[Obergruppe ATC-Code]"),Tabelle3!$A50)</f>
        <v>0</v>
      </c>
      <c r="BA50">
        <f ca="1">COUNTIFS(INDIRECT("Table1[Beginn]"),"&lt;="&amp;BA$1,INDIRECT("Table1[Ende]"),"&gt;="&amp;BA$1,INDIRECT("Table1[Obergruppe ATC-Code]"),Tabelle3!$A50)</f>
        <v>0</v>
      </c>
      <c r="BB50">
        <f ca="1">COUNTIFS(INDIRECT("Table1[Beginn]"),"&lt;="&amp;BB$1,INDIRECT("Table1[Ende]"),"&gt;="&amp;BB$1,INDIRECT("Table1[Obergruppe ATC-Code]"),Tabelle3!$A50)</f>
        <v>0</v>
      </c>
      <c r="BC50">
        <f ca="1">COUNTIFS(INDIRECT("Table1[Beginn]"),"&lt;="&amp;BC$1,INDIRECT("Table1[Ende]"),"&gt;="&amp;BC$1,INDIRECT("Table1[Obergruppe ATC-Code]"),Tabelle3!$A50)</f>
        <v>0</v>
      </c>
      <c r="BD50">
        <f ca="1">COUNTIFS(INDIRECT("Table1[Beginn]"),"&lt;="&amp;BD$1,INDIRECT("Table1[Ende]"),"&gt;="&amp;BD$1,INDIRECT("Table1[Obergruppe ATC-Code]"),Tabelle3!$A50)</f>
        <v>0</v>
      </c>
      <c r="BE50">
        <f ca="1">COUNTIFS(INDIRECT("Table1[Beginn]"),"&lt;="&amp;BE$1,INDIRECT("Table1[Ende]"),"&gt;="&amp;BE$1,INDIRECT("Table1[Obergruppe ATC-Code]"),Tabelle3!$A50)</f>
        <v>0</v>
      </c>
      <c r="BF50">
        <f ca="1">COUNTIFS(INDIRECT("Table1[Beginn]"),"&lt;="&amp;BF$1,INDIRECT("Table1[Ende]"),"&gt;="&amp;BF$1,INDIRECT("Table1[Obergruppe ATC-Code]"),Tabelle3!$A50)</f>
        <v>0</v>
      </c>
      <c r="BG50">
        <f ca="1">COUNTIFS(INDIRECT("Table1[Beginn]"),"&lt;="&amp;BG$1,INDIRECT("Table1[Ende]"),"&gt;="&amp;BG$1,INDIRECT("Table1[Obergruppe ATC-Code]"),Tabelle3!$A50)</f>
        <v>0</v>
      </c>
      <c r="BH50">
        <f ca="1">COUNTIFS(INDIRECT("Table1[Beginn]"),"&lt;="&amp;BH$1,INDIRECT("Table1[Ende]"),"&gt;="&amp;BH$1,INDIRECT("Table1[Obergruppe ATC-Code]"),Tabelle3!$A50)</f>
        <v>0</v>
      </c>
      <c r="BI50">
        <f ca="1">COUNTIFS(INDIRECT("Table1[Beginn]"),"&lt;="&amp;BI$1,INDIRECT("Table1[Ende]"),"&gt;="&amp;BI$1,INDIRECT("Table1[Obergruppe ATC-Code]"),Tabelle3!$A50)</f>
        <v>0</v>
      </c>
      <c r="BJ50">
        <f ca="1">COUNTIFS(INDIRECT("Table1[Beginn]"),"&lt;="&amp;BJ$1,INDIRECT("Table1[Ende]"),"&gt;="&amp;BJ$1,INDIRECT("Table1[Obergruppe ATC-Code]"),Tabelle3!$A50)</f>
        <v>0</v>
      </c>
      <c r="BK50">
        <f ca="1">COUNTIFS(INDIRECT("Table1[Beginn]"),"&lt;="&amp;BK$1,INDIRECT("Table1[Ende]"),"&gt;="&amp;BK$1,INDIRECT("Table1[Obergruppe ATC-Code]"),Tabelle3!$A50)</f>
        <v>0</v>
      </c>
      <c r="BL50">
        <f ca="1">COUNTIFS(INDIRECT("Table1[Beginn]"),"&lt;="&amp;BL$1,INDIRECT("Table1[Ende]"),"&gt;="&amp;BL$1,INDIRECT("Table1[Obergruppe ATC-Code]"),Tabelle3!$A50)</f>
        <v>1</v>
      </c>
      <c r="BM50">
        <f ca="1">COUNTIFS(INDIRECT("Table1[Beginn]"),"&lt;="&amp;BM$1,INDIRECT("Table1[Ende]"),"&gt;="&amp;BM$1,INDIRECT("Table1[Obergruppe ATC-Code]"),Tabelle3!$A50)</f>
        <v>0</v>
      </c>
      <c r="BN50">
        <f ca="1">COUNTIFS(INDIRECT("Table1[Beginn]"),"&lt;="&amp;BN$1,INDIRECT("Table1[Ende]"),"&gt;="&amp;BN$1,INDIRECT("Table1[Obergruppe ATC-Code]"),Tabelle3!$A50)</f>
        <v>1</v>
      </c>
      <c r="BO50">
        <f ca="1">COUNTIFS(INDIRECT("Table1[Beginn]"),"&lt;="&amp;BO$1,INDIRECT("Table1[Ende]"),"&gt;="&amp;BO$1,INDIRECT("Table1[Obergruppe ATC-Code]"),Tabelle3!$A50)</f>
        <v>1</v>
      </c>
      <c r="BP50">
        <f ca="1">COUNTIFS(INDIRECT("Table1[Beginn]"),"&lt;="&amp;BP$1,INDIRECT("Table1[Ende]"),"&gt;="&amp;BP$1,INDIRECT("Table1[Obergruppe ATC-Code]"),Tabelle3!$A50)</f>
        <v>2</v>
      </c>
      <c r="BQ50">
        <f ca="1">COUNTIFS(INDIRECT("Table1[Beginn]"),"&lt;="&amp;BQ$1,INDIRECT("Table1[Ende]"),"&gt;="&amp;BQ$1,INDIRECT("Table1[Obergruppe ATC-Code]"),Tabelle3!$A50)</f>
        <v>2</v>
      </c>
      <c r="BR50">
        <f ca="1">COUNTIFS(INDIRECT("Table1[Beginn]"),"&lt;="&amp;BR$1,INDIRECT("Table1[Ende]"),"&gt;="&amp;BR$1,INDIRECT("Table1[Obergruppe ATC-Code]"),Tabelle3!$A50)</f>
        <v>2</v>
      </c>
      <c r="BS50">
        <f ca="1">COUNTIFS(INDIRECT("Table1[Beginn]"),"&lt;="&amp;BS$1,INDIRECT("Table1[Ende]"),"&gt;="&amp;BS$1,INDIRECT("Table1[Obergruppe ATC-Code]"),Tabelle3!$A50)</f>
        <v>2</v>
      </c>
      <c r="BT50">
        <f ca="1">COUNTIFS(INDIRECT("Table1[Beginn]"),"&lt;="&amp;BT$1,INDIRECT("Table1[Ende]"),"&gt;="&amp;BT$1,INDIRECT("Table1[Obergruppe ATC-Code]"),Tabelle3!$A50)</f>
        <v>2</v>
      </c>
      <c r="BU50">
        <f ca="1">COUNTIFS(INDIRECT("Table1[Beginn]"),"&lt;="&amp;BU$1,INDIRECT("Table1[Ende]"),"&gt;="&amp;BU$1,INDIRECT("Table1[Obergruppe ATC-Code]"),Tabelle3!$A50)</f>
        <v>2</v>
      </c>
      <c r="BV50">
        <f ca="1">COUNTIFS(INDIRECT("Table1[Beginn]"),"&lt;="&amp;BV$1,INDIRECT("Table1[Ende]"),"&gt;="&amp;BV$1,INDIRECT("Table1[Obergruppe ATC-Code]"),Tabelle3!$A50)</f>
        <v>2</v>
      </c>
      <c r="BW50">
        <f ca="1">COUNTIFS(INDIRECT("Table1[Beginn]"),"&lt;="&amp;BW$1,INDIRECT("Table1[Ende]"),"&gt;="&amp;BW$1,INDIRECT("Table1[Obergruppe ATC-Code]"),Tabelle3!$A50)</f>
        <v>1</v>
      </c>
      <c r="BX50">
        <f ca="1">COUNTIFS(INDIRECT("Table1[Beginn]"),"&lt;="&amp;BX$1,INDIRECT("Table1[Ende]"),"&gt;="&amp;BX$1,INDIRECT("Table1[Obergruppe ATC-Code]"),Tabelle3!$A50)</f>
        <v>0</v>
      </c>
      <c r="BY50">
        <f ca="1">COUNTIFS(INDIRECT("Table1[Beginn]"),"&lt;="&amp;BY$1,INDIRECT("Table1[Ende]"),"&gt;="&amp;BY$1,INDIRECT("Table1[Obergruppe ATC-Code]"),Tabelle3!$A50)</f>
        <v>0</v>
      </c>
      <c r="BZ50">
        <f ca="1">COUNTIFS(INDIRECT("Table1[Beginn]"),"&lt;="&amp;BZ$1,INDIRECT("Table1[Ende]"),"&gt;="&amp;BZ$1,INDIRECT("Table1[Obergruppe ATC-Code]"),Tabelle3!$A50)</f>
        <v>7</v>
      </c>
      <c r="CA50">
        <f ca="1">COUNTIFS(INDIRECT("Table1[Beginn]"),"&lt;="&amp;CA$1,INDIRECT("Table1[Ende]"),"&gt;="&amp;CA$1,INDIRECT("Table1[Obergruppe ATC-Code]"),Tabelle3!$A50)</f>
        <v>8</v>
      </c>
      <c r="CB50">
        <f ca="1">COUNTIFS(INDIRECT("Table1[Beginn]"),"&lt;="&amp;CB$1,INDIRECT("Table1[Ende]"),"&gt;="&amp;CB$1,INDIRECT("Table1[Obergruppe ATC-Code]"),Tabelle3!$A50)</f>
        <v>4</v>
      </c>
      <c r="CC50">
        <f ca="1">COUNTIFS(INDIRECT("Table1[Beginn]"),"&lt;="&amp;CC$1,INDIRECT("Table1[Ende]"),"&gt;="&amp;CC$1,INDIRECT("Table1[Obergruppe ATC-Code]"),Tabelle3!$A50)</f>
        <v>0</v>
      </c>
      <c r="CD50">
        <f ca="1">COUNTIFS(INDIRECT("Table1[Beginn]"),"&lt;="&amp;CD$1,INDIRECT("Table1[Ende]"),"&gt;="&amp;CD$1,INDIRECT("Table1[Obergruppe ATC-Code]"),Tabelle3!$A50)</f>
        <v>1</v>
      </c>
      <c r="CE50">
        <f ca="1">COUNTIFS(INDIRECT("Table1[Beginn]"),"&lt;="&amp;CE$1,INDIRECT("Table1[Ende]"),"&gt;="&amp;CE$1,INDIRECT("Table1[Obergruppe ATC-Code]"),Tabelle3!$A50)</f>
        <v>1</v>
      </c>
      <c r="CF50">
        <f ca="1">COUNTIFS(INDIRECT("Table1[Beginn]"),"&lt;="&amp;CF$1,INDIRECT("Table1[Ende]"),"&gt;="&amp;CF$1,INDIRECT("Table1[Obergruppe ATC-Code]"),Tabelle3!$A50)</f>
        <v>1</v>
      </c>
      <c r="CG50">
        <f ca="1">COUNTIFS(INDIRECT("Table1[Beginn]"),"&lt;="&amp;CG$1,INDIRECT("Table1[Ende]"),"&gt;="&amp;CG$1,INDIRECT("Table1[Obergruppe ATC-Code]"),Tabelle3!$A50)</f>
        <v>1</v>
      </c>
      <c r="CH50">
        <f ca="1">COUNTIFS(INDIRECT("Table1[Beginn]"),"&lt;="&amp;CH$1,INDIRECT("Table1[Ende]"),"&gt;="&amp;CH$1,INDIRECT("Table1[Obergruppe ATC-Code]"),Tabelle3!$A50)</f>
        <v>1</v>
      </c>
      <c r="CI50">
        <f ca="1">COUNTIFS(INDIRECT("Table1[Beginn]"),"&lt;="&amp;CI$1,INDIRECT("Table1[Ende]"),"&gt;="&amp;CI$1,INDIRECT("Table1[Obergruppe ATC-Code]"),Tabelle3!$A50)</f>
        <v>1</v>
      </c>
      <c r="CJ50">
        <f ca="1">COUNTIFS(INDIRECT("Table1[Beginn]"),"&lt;="&amp;CJ$1,INDIRECT("Table1[Ende]"),"&gt;="&amp;CJ$1,INDIRECT("Table1[Obergruppe ATC-Code]"),Tabelle3!$A50)</f>
        <v>1</v>
      </c>
      <c r="CK50">
        <f ca="1">COUNTIFS(INDIRECT("Table1[Beginn]"),"&lt;="&amp;CK$1,INDIRECT("Table1[Ende]"),"&gt;="&amp;CK$1,INDIRECT("Table1[Obergruppe ATC-Code]"),Tabelle3!$A50)</f>
        <v>1</v>
      </c>
      <c r="CL50">
        <f ca="1">COUNTIFS(INDIRECT("Table1[Beginn]"),"&lt;="&amp;CL$1,INDIRECT("Table1[Ende]"),"&gt;="&amp;CL$1,INDIRECT("Table1[Obergruppe ATC-Code]"),Tabelle3!$A50)</f>
        <v>1</v>
      </c>
      <c r="CM50">
        <f ca="1">COUNTIFS(INDIRECT("Table1[Beginn]"),"&lt;="&amp;CM$1,INDIRECT("Table1[Ende]"),"&gt;="&amp;CM$1,INDIRECT("Table1[Obergruppe ATC-Code]"),Tabelle3!$A50)</f>
        <v>1</v>
      </c>
      <c r="CN50">
        <f ca="1">COUNTIFS(INDIRECT("Table1[Beginn]"),"&lt;="&amp;CN$1,INDIRECT("Table1[Ende]"),"&gt;="&amp;CN$1,INDIRECT("Table1[Obergruppe ATC-Code]"),Tabelle3!$A50)</f>
        <v>1</v>
      </c>
      <c r="CO50">
        <f ca="1">COUNTIFS(INDIRECT("Table1[Beginn]"),"&lt;="&amp;CO$1,INDIRECT("Table1[Ende]"),"&gt;="&amp;CO$1,INDIRECT("Table1[Obergruppe ATC-Code]"),Tabelle3!$A50)</f>
        <v>1</v>
      </c>
      <c r="CP50">
        <f ca="1">COUNTIFS(INDIRECT("Table1[Beginn]"),"&lt;="&amp;CP$1,INDIRECT("Table1[Ende]"),"&gt;="&amp;CP$1,INDIRECT("Table1[Obergruppe ATC-Code]"),Tabelle3!$A50)</f>
        <v>1</v>
      </c>
      <c r="CQ50">
        <f ca="1">COUNTIFS(INDIRECT("Table1[Beginn]"),"&lt;="&amp;CQ$1,INDIRECT("Table1[Ende]"),"&gt;="&amp;CQ$1,INDIRECT("Table1[Obergruppe ATC-Code]"),Tabelle3!$A50)</f>
        <v>1</v>
      </c>
      <c r="CR50">
        <f ca="1">COUNTIFS(INDIRECT("Table1[Beginn]"),"&lt;="&amp;CR$1,INDIRECT("Table1[Ende]"),"&gt;="&amp;CR$1,INDIRECT("Table1[Obergruppe ATC-Code]"),Tabelle3!$A50)</f>
        <v>1</v>
      </c>
    </row>
    <row r="51" spans="1:96" ht="18">
      <c r="A51" s="9" t="s">
        <v>6871</v>
      </c>
      <c r="B51" s="10" t="s">
        <v>6872</v>
      </c>
      <c r="C51">
        <f ca="1">COUNTIFS(INDIRECT("Table1[Beginn]"),"&lt;="&amp;C$1,INDIRECT("Table1[Ende]"),"&gt;="&amp;C$1,INDIRECT("Table1[Obergruppe ATC-Code]"),Tabelle3!$A51)</f>
        <v>0</v>
      </c>
      <c r="D51">
        <f ca="1">COUNTIFS(INDIRECT("Table1[Beginn]"),"&lt;="&amp;D$1,INDIRECT("Table1[Ende]"),"&gt;="&amp;D$1,INDIRECT("Table1[Obergruppe ATC-Code]"),Tabelle3!$A51)</f>
        <v>0</v>
      </c>
      <c r="E51">
        <f ca="1">COUNTIFS(INDIRECT("Table1[Beginn]"),"&lt;="&amp;E$1,INDIRECT("Table1[Ende]"),"&gt;="&amp;E$1,INDIRECT("Table1[Obergruppe ATC-Code]"),Tabelle3!$A51)</f>
        <v>0</v>
      </c>
      <c r="F51">
        <f ca="1">COUNTIFS(INDIRECT("Table1[Beginn]"),"&lt;="&amp;F$1,INDIRECT("Table1[Ende]"),"&gt;="&amp;F$1,INDIRECT("Table1[Obergruppe ATC-Code]"),Tabelle3!$A51)</f>
        <v>0</v>
      </c>
      <c r="G51">
        <f ca="1">COUNTIFS(INDIRECT("Table1[Beginn]"),"&lt;="&amp;G$1,INDIRECT("Table1[Ende]"),"&gt;="&amp;G$1,INDIRECT("Table1[Obergruppe ATC-Code]"),Tabelle3!$A51)</f>
        <v>0</v>
      </c>
      <c r="H51">
        <f ca="1">COUNTIFS(INDIRECT("Table1[Beginn]"),"&lt;="&amp;H$1,INDIRECT("Table1[Ende]"),"&gt;="&amp;H$1,INDIRECT("Table1[Obergruppe ATC-Code]"),Tabelle3!$A51)</f>
        <v>0</v>
      </c>
      <c r="I51">
        <f ca="1">COUNTIFS(INDIRECT("Table1[Beginn]"),"&lt;="&amp;I$1,INDIRECT("Table1[Ende]"),"&gt;="&amp;I$1,INDIRECT("Table1[Obergruppe ATC-Code]"),Tabelle3!$A51)</f>
        <v>0</v>
      </c>
      <c r="J51">
        <f ca="1">COUNTIFS(INDIRECT("Table1[Beginn]"),"&lt;="&amp;J$1,INDIRECT("Table1[Ende]"),"&gt;="&amp;J$1,INDIRECT("Table1[Obergruppe ATC-Code]"),Tabelle3!$A51)</f>
        <v>0</v>
      </c>
      <c r="K51">
        <f ca="1">COUNTIFS(INDIRECT("Table1[Beginn]"),"&lt;="&amp;K$1,INDIRECT("Table1[Ende]"),"&gt;="&amp;K$1,INDIRECT("Table1[Obergruppe ATC-Code]"),Tabelle3!$A51)</f>
        <v>0</v>
      </c>
      <c r="L51">
        <f ca="1">COUNTIFS(INDIRECT("Table1[Beginn]"),"&lt;="&amp;L$1,INDIRECT("Table1[Ende]"),"&gt;="&amp;L$1,INDIRECT("Table1[Obergruppe ATC-Code]"),Tabelle3!$A51)</f>
        <v>0</v>
      </c>
      <c r="M51">
        <f ca="1">COUNTIFS(INDIRECT("Table1[Beginn]"),"&lt;="&amp;M$1,INDIRECT("Table1[Ende]"),"&gt;="&amp;M$1,INDIRECT("Table1[Obergruppe ATC-Code]"),Tabelle3!$A51)</f>
        <v>0</v>
      </c>
      <c r="N51">
        <f ca="1">COUNTIFS(INDIRECT("Table1[Beginn]"),"&lt;="&amp;N$1,INDIRECT("Table1[Ende]"),"&gt;="&amp;N$1,INDIRECT("Table1[Obergruppe ATC-Code]"),Tabelle3!$A51)</f>
        <v>0</v>
      </c>
      <c r="O51">
        <f ca="1">COUNTIFS(INDIRECT("Table1[Beginn]"),"&lt;="&amp;O$1,INDIRECT("Table1[Ende]"),"&gt;="&amp;O$1,INDIRECT("Table1[Obergruppe ATC-Code]"),Tabelle3!$A51)</f>
        <v>0</v>
      </c>
      <c r="P51">
        <f ca="1">COUNTIFS(INDIRECT("Table1[Beginn]"),"&lt;="&amp;P$1,INDIRECT("Table1[Ende]"),"&gt;="&amp;P$1,INDIRECT("Table1[Obergruppe ATC-Code]"),Tabelle3!$A51)</f>
        <v>0</v>
      </c>
      <c r="Q51">
        <f ca="1">COUNTIFS(INDIRECT("Table1[Beginn]"),"&lt;="&amp;Q$1,INDIRECT("Table1[Ende]"),"&gt;="&amp;Q$1,INDIRECT("Table1[Obergruppe ATC-Code]"),Tabelle3!$A51)</f>
        <v>0</v>
      </c>
      <c r="R51">
        <f ca="1">COUNTIFS(INDIRECT("Table1[Beginn]"),"&lt;="&amp;R$1,INDIRECT("Table1[Ende]"),"&gt;="&amp;R$1,INDIRECT("Table1[Obergruppe ATC-Code]"),Tabelle3!$A51)</f>
        <v>0</v>
      </c>
      <c r="S51">
        <f ca="1">COUNTIFS(INDIRECT("Table1[Beginn]"),"&lt;="&amp;S$1,INDIRECT("Table1[Ende]"),"&gt;="&amp;S$1,INDIRECT("Table1[Obergruppe ATC-Code]"),Tabelle3!$A51)</f>
        <v>0</v>
      </c>
      <c r="T51">
        <f ca="1">COUNTIFS(INDIRECT("Table1[Beginn]"),"&lt;="&amp;T$1,INDIRECT("Table1[Ende]"),"&gt;="&amp;T$1,INDIRECT("Table1[Obergruppe ATC-Code]"),Tabelle3!$A51)</f>
        <v>0</v>
      </c>
      <c r="U51">
        <f ca="1">COUNTIFS(INDIRECT("Table1[Beginn]"),"&lt;="&amp;U$1,INDIRECT("Table1[Ende]"),"&gt;="&amp;U$1,INDIRECT("Table1[Obergruppe ATC-Code]"),Tabelle3!$A51)</f>
        <v>0</v>
      </c>
      <c r="V51">
        <f ca="1">COUNTIFS(INDIRECT("Table1[Beginn]"),"&lt;="&amp;V$1,INDIRECT("Table1[Ende]"),"&gt;="&amp;V$1,INDIRECT("Table1[Obergruppe ATC-Code]"),Tabelle3!$A51)</f>
        <v>0</v>
      </c>
      <c r="W51">
        <f ca="1">COUNTIFS(INDIRECT("Table1[Beginn]"),"&lt;="&amp;W$1,INDIRECT("Table1[Ende]"),"&gt;="&amp;W$1,INDIRECT("Table1[Obergruppe ATC-Code]"),Tabelle3!$A51)</f>
        <v>0</v>
      </c>
      <c r="X51">
        <f ca="1">COUNTIFS(INDIRECT("Table1[Beginn]"),"&lt;="&amp;X$1,INDIRECT("Table1[Ende]"),"&gt;="&amp;X$1,INDIRECT("Table1[Obergruppe ATC-Code]"),Tabelle3!$A51)</f>
        <v>0</v>
      </c>
      <c r="Y51">
        <f ca="1">COUNTIFS(INDIRECT("Table1[Beginn]"),"&lt;="&amp;Y$1,INDIRECT("Table1[Ende]"),"&gt;="&amp;Y$1,INDIRECT("Table1[Obergruppe ATC-Code]"),Tabelle3!$A51)</f>
        <v>0</v>
      </c>
      <c r="Z51">
        <f ca="1">COUNTIFS(INDIRECT("Table1[Beginn]"),"&lt;="&amp;Z$1,INDIRECT("Table1[Ende]"),"&gt;="&amp;Z$1,INDIRECT("Table1[Obergruppe ATC-Code]"),Tabelle3!$A51)</f>
        <v>0</v>
      </c>
      <c r="AA51">
        <f ca="1">COUNTIFS(INDIRECT("Table1[Beginn]"),"&lt;="&amp;AA$1,INDIRECT("Table1[Ende]"),"&gt;="&amp;AA$1,INDIRECT("Table1[Obergruppe ATC-Code]"),Tabelle3!$A51)</f>
        <v>0</v>
      </c>
      <c r="AB51">
        <f ca="1">COUNTIFS(INDIRECT("Table1[Beginn]"),"&lt;="&amp;AB$1,INDIRECT("Table1[Ende]"),"&gt;="&amp;AB$1,INDIRECT("Table1[Obergruppe ATC-Code]"),Tabelle3!$A51)</f>
        <v>0</v>
      </c>
      <c r="AC51">
        <f ca="1">COUNTIFS(INDIRECT("Table1[Beginn]"),"&lt;="&amp;AC$1,INDIRECT("Table1[Ende]"),"&gt;="&amp;AC$1,INDIRECT("Table1[Obergruppe ATC-Code]"),Tabelle3!$A51)</f>
        <v>0</v>
      </c>
      <c r="AD51">
        <f ca="1">COUNTIFS(INDIRECT("Table1[Beginn]"),"&lt;="&amp;AD$1,INDIRECT("Table1[Ende]"),"&gt;="&amp;AD$1,INDIRECT("Table1[Obergruppe ATC-Code]"),Tabelle3!$A51)</f>
        <v>0</v>
      </c>
      <c r="AE51">
        <f ca="1">COUNTIFS(INDIRECT("Table1[Beginn]"),"&lt;="&amp;AE$1,INDIRECT("Table1[Ende]"),"&gt;="&amp;AE$1,INDIRECT("Table1[Obergruppe ATC-Code]"),Tabelle3!$A51)</f>
        <v>0</v>
      </c>
      <c r="AF51">
        <f ca="1">COUNTIFS(INDIRECT("Table1[Beginn]"),"&lt;="&amp;AF$1,INDIRECT("Table1[Ende]"),"&gt;="&amp;AF$1,INDIRECT("Table1[Obergruppe ATC-Code]"),Tabelle3!$A51)</f>
        <v>0</v>
      </c>
      <c r="AG51">
        <f ca="1">COUNTIFS(INDIRECT("Table1[Beginn]"),"&lt;="&amp;AG$1,INDIRECT("Table1[Ende]"),"&gt;="&amp;AG$1,INDIRECT("Table1[Obergruppe ATC-Code]"),Tabelle3!$A51)</f>
        <v>0</v>
      </c>
      <c r="AH51">
        <f ca="1">COUNTIFS(INDIRECT("Table1[Beginn]"),"&lt;="&amp;AH$1,INDIRECT("Table1[Ende]"),"&gt;="&amp;AH$1,INDIRECT("Table1[Obergruppe ATC-Code]"),Tabelle3!$A51)</f>
        <v>0</v>
      </c>
      <c r="AI51">
        <f ca="1">COUNTIFS(INDIRECT("Table1[Beginn]"),"&lt;="&amp;AI$1,INDIRECT("Table1[Ende]"),"&gt;="&amp;AI$1,INDIRECT("Table1[Obergruppe ATC-Code]"),Tabelle3!$A51)</f>
        <v>0</v>
      </c>
      <c r="AJ51">
        <f ca="1">COUNTIFS(INDIRECT("Table1[Beginn]"),"&lt;="&amp;AJ$1,INDIRECT("Table1[Ende]"),"&gt;="&amp;AJ$1,INDIRECT("Table1[Obergruppe ATC-Code]"),Tabelle3!$A51)</f>
        <v>0</v>
      </c>
      <c r="AK51">
        <f ca="1">COUNTIFS(INDIRECT("Table1[Beginn]"),"&lt;="&amp;AK$1,INDIRECT("Table1[Ende]"),"&gt;="&amp;AK$1,INDIRECT("Table1[Obergruppe ATC-Code]"),Tabelle3!$A51)</f>
        <v>0</v>
      </c>
      <c r="AL51">
        <f ca="1">COUNTIFS(INDIRECT("Table1[Beginn]"),"&lt;="&amp;AL$1,INDIRECT("Table1[Ende]"),"&gt;="&amp;AL$1,INDIRECT("Table1[Obergruppe ATC-Code]"),Tabelle3!$A51)</f>
        <v>0</v>
      </c>
      <c r="AM51">
        <f ca="1">COUNTIFS(INDIRECT("Table1[Beginn]"),"&lt;="&amp;AM$1,INDIRECT("Table1[Ende]"),"&gt;="&amp;AM$1,INDIRECT("Table1[Obergruppe ATC-Code]"),Tabelle3!$A51)</f>
        <v>0</v>
      </c>
      <c r="AN51">
        <f ca="1">COUNTIFS(INDIRECT("Table1[Beginn]"),"&lt;="&amp;AN$1,INDIRECT("Table1[Ende]"),"&gt;="&amp;AN$1,INDIRECT("Table1[Obergruppe ATC-Code]"),Tabelle3!$A51)</f>
        <v>0</v>
      </c>
      <c r="AO51">
        <f ca="1">COUNTIFS(INDIRECT("Table1[Beginn]"),"&lt;="&amp;AO$1,INDIRECT("Table1[Ende]"),"&gt;="&amp;AO$1,INDIRECT("Table1[Obergruppe ATC-Code]"),Tabelle3!$A51)</f>
        <v>0</v>
      </c>
      <c r="AP51">
        <f ca="1">COUNTIFS(INDIRECT("Table1[Beginn]"),"&lt;="&amp;AP$1,INDIRECT("Table1[Ende]"),"&gt;="&amp;AP$1,INDIRECT("Table1[Obergruppe ATC-Code]"),Tabelle3!$A51)</f>
        <v>0</v>
      </c>
      <c r="AQ51">
        <f ca="1">COUNTIFS(INDIRECT("Table1[Beginn]"),"&lt;="&amp;AQ$1,INDIRECT("Table1[Ende]"),"&gt;="&amp;AQ$1,INDIRECT("Table1[Obergruppe ATC-Code]"),Tabelle3!$A51)</f>
        <v>0</v>
      </c>
      <c r="AR51">
        <f ca="1">COUNTIFS(INDIRECT("Table1[Beginn]"),"&lt;="&amp;AR$1,INDIRECT("Table1[Ende]"),"&gt;="&amp;AR$1,INDIRECT("Table1[Obergruppe ATC-Code]"),Tabelle3!$A51)</f>
        <v>0</v>
      </c>
      <c r="AS51">
        <f ca="1">COUNTIFS(INDIRECT("Table1[Beginn]"),"&lt;="&amp;AS$1,INDIRECT("Table1[Ende]"),"&gt;="&amp;AS$1,INDIRECT("Table1[Obergruppe ATC-Code]"),Tabelle3!$A51)</f>
        <v>0</v>
      </c>
      <c r="AT51">
        <f ca="1">COUNTIFS(INDIRECT("Table1[Beginn]"),"&lt;="&amp;AT$1,INDIRECT("Table1[Ende]"),"&gt;="&amp;AT$1,INDIRECT("Table1[Obergruppe ATC-Code]"),Tabelle3!$A51)</f>
        <v>0</v>
      </c>
      <c r="AU51">
        <f ca="1">COUNTIFS(INDIRECT("Table1[Beginn]"),"&lt;="&amp;AU$1,INDIRECT("Table1[Ende]"),"&gt;="&amp;AU$1,INDIRECT("Table1[Obergruppe ATC-Code]"),Tabelle3!$A51)</f>
        <v>0</v>
      </c>
      <c r="AV51">
        <f ca="1">COUNTIFS(INDIRECT("Table1[Beginn]"),"&lt;="&amp;AV$1,INDIRECT("Table1[Ende]"),"&gt;="&amp;AV$1,INDIRECT("Table1[Obergruppe ATC-Code]"),Tabelle3!$A51)</f>
        <v>0</v>
      </c>
      <c r="AW51">
        <f ca="1">COUNTIFS(INDIRECT("Table1[Beginn]"),"&lt;="&amp;AW$1,INDIRECT("Table1[Ende]"),"&gt;="&amp;AW$1,INDIRECT("Table1[Obergruppe ATC-Code]"),Tabelle3!$A51)</f>
        <v>0</v>
      </c>
      <c r="AX51">
        <f ca="1">COUNTIFS(INDIRECT("Table1[Beginn]"),"&lt;="&amp;AX$1,INDIRECT("Table1[Ende]"),"&gt;="&amp;AX$1,INDIRECT("Table1[Obergruppe ATC-Code]"),Tabelle3!$A51)</f>
        <v>0</v>
      </c>
      <c r="AY51">
        <f ca="1">COUNTIFS(INDIRECT("Table1[Beginn]"),"&lt;="&amp;AY$1,INDIRECT("Table1[Ende]"),"&gt;="&amp;AY$1,INDIRECT("Table1[Obergruppe ATC-Code]"),Tabelle3!$A51)</f>
        <v>0</v>
      </c>
      <c r="AZ51">
        <f ca="1">COUNTIFS(INDIRECT("Table1[Beginn]"),"&lt;="&amp;AZ$1,INDIRECT("Table1[Ende]"),"&gt;="&amp;AZ$1,INDIRECT("Table1[Obergruppe ATC-Code]"),Tabelle3!$A51)</f>
        <v>0</v>
      </c>
      <c r="BA51">
        <f ca="1">COUNTIFS(INDIRECT("Table1[Beginn]"),"&lt;="&amp;BA$1,INDIRECT("Table1[Ende]"),"&gt;="&amp;BA$1,INDIRECT("Table1[Obergruppe ATC-Code]"),Tabelle3!$A51)</f>
        <v>0</v>
      </c>
      <c r="BB51">
        <f ca="1">COUNTIFS(INDIRECT("Table1[Beginn]"),"&lt;="&amp;BB$1,INDIRECT("Table1[Ende]"),"&gt;="&amp;BB$1,INDIRECT("Table1[Obergruppe ATC-Code]"),Tabelle3!$A51)</f>
        <v>0</v>
      </c>
      <c r="BC51">
        <f ca="1">COUNTIFS(INDIRECT("Table1[Beginn]"),"&lt;="&amp;BC$1,INDIRECT("Table1[Ende]"),"&gt;="&amp;BC$1,INDIRECT("Table1[Obergruppe ATC-Code]"),Tabelle3!$A51)</f>
        <v>0</v>
      </c>
      <c r="BD51">
        <f ca="1">COUNTIFS(INDIRECT("Table1[Beginn]"),"&lt;="&amp;BD$1,INDIRECT("Table1[Ende]"),"&gt;="&amp;BD$1,INDIRECT("Table1[Obergruppe ATC-Code]"),Tabelle3!$A51)</f>
        <v>0</v>
      </c>
      <c r="BE51">
        <f ca="1">COUNTIFS(INDIRECT("Table1[Beginn]"),"&lt;="&amp;BE$1,INDIRECT("Table1[Ende]"),"&gt;="&amp;BE$1,INDIRECT("Table1[Obergruppe ATC-Code]"),Tabelle3!$A51)</f>
        <v>0</v>
      </c>
      <c r="BF51">
        <f ca="1">COUNTIFS(INDIRECT("Table1[Beginn]"),"&lt;="&amp;BF$1,INDIRECT("Table1[Ende]"),"&gt;="&amp;BF$1,INDIRECT("Table1[Obergruppe ATC-Code]"),Tabelle3!$A51)</f>
        <v>0</v>
      </c>
      <c r="BG51">
        <f ca="1">COUNTIFS(INDIRECT("Table1[Beginn]"),"&lt;="&amp;BG$1,INDIRECT("Table1[Ende]"),"&gt;="&amp;BG$1,INDIRECT("Table1[Obergruppe ATC-Code]"),Tabelle3!$A51)</f>
        <v>0</v>
      </c>
      <c r="BH51">
        <f ca="1">COUNTIFS(INDIRECT("Table1[Beginn]"),"&lt;="&amp;BH$1,INDIRECT("Table1[Ende]"),"&gt;="&amp;BH$1,INDIRECT("Table1[Obergruppe ATC-Code]"),Tabelle3!$A51)</f>
        <v>0</v>
      </c>
      <c r="BI51">
        <f ca="1">COUNTIFS(INDIRECT("Table1[Beginn]"),"&lt;="&amp;BI$1,INDIRECT("Table1[Ende]"),"&gt;="&amp;BI$1,INDIRECT("Table1[Obergruppe ATC-Code]"),Tabelle3!$A51)</f>
        <v>0</v>
      </c>
      <c r="BJ51">
        <f ca="1">COUNTIFS(INDIRECT("Table1[Beginn]"),"&lt;="&amp;BJ$1,INDIRECT("Table1[Ende]"),"&gt;="&amp;BJ$1,INDIRECT("Table1[Obergruppe ATC-Code]"),Tabelle3!$A51)</f>
        <v>1</v>
      </c>
      <c r="BK51">
        <f ca="1">COUNTIFS(INDIRECT("Table1[Beginn]"),"&lt;="&amp;BK$1,INDIRECT("Table1[Ende]"),"&gt;="&amp;BK$1,INDIRECT("Table1[Obergruppe ATC-Code]"),Tabelle3!$A51)</f>
        <v>1</v>
      </c>
      <c r="BL51">
        <f ca="1">COUNTIFS(INDIRECT("Table1[Beginn]"),"&lt;="&amp;BL$1,INDIRECT("Table1[Ende]"),"&gt;="&amp;BL$1,INDIRECT("Table1[Obergruppe ATC-Code]"),Tabelle3!$A51)</f>
        <v>0</v>
      </c>
      <c r="BM51">
        <f ca="1">COUNTIFS(INDIRECT("Table1[Beginn]"),"&lt;="&amp;BM$1,INDIRECT("Table1[Ende]"),"&gt;="&amp;BM$1,INDIRECT("Table1[Obergruppe ATC-Code]"),Tabelle3!$A51)</f>
        <v>1</v>
      </c>
      <c r="BN51">
        <f ca="1">COUNTIFS(INDIRECT("Table1[Beginn]"),"&lt;="&amp;BN$1,INDIRECT("Table1[Ende]"),"&gt;="&amp;BN$1,INDIRECT("Table1[Obergruppe ATC-Code]"),Tabelle3!$A51)</f>
        <v>0</v>
      </c>
      <c r="BO51">
        <f ca="1">COUNTIFS(INDIRECT("Table1[Beginn]"),"&lt;="&amp;BO$1,INDIRECT("Table1[Ende]"),"&gt;="&amp;BO$1,INDIRECT("Table1[Obergruppe ATC-Code]"),Tabelle3!$A51)</f>
        <v>2</v>
      </c>
      <c r="BP51">
        <f ca="1">COUNTIFS(INDIRECT("Table1[Beginn]"),"&lt;="&amp;BP$1,INDIRECT("Table1[Ende]"),"&gt;="&amp;BP$1,INDIRECT("Table1[Obergruppe ATC-Code]"),Tabelle3!$A51)</f>
        <v>2</v>
      </c>
      <c r="BQ51">
        <f ca="1">COUNTIFS(INDIRECT("Table1[Beginn]"),"&lt;="&amp;BQ$1,INDIRECT("Table1[Ende]"),"&gt;="&amp;BQ$1,INDIRECT("Table1[Obergruppe ATC-Code]"),Tabelle3!$A51)</f>
        <v>0</v>
      </c>
      <c r="BR51">
        <f ca="1">COUNTIFS(INDIRECT("Table1[Beginn]"),"&lt;="&amp;BR$1,INDIRECT("Table1[Ende]"),"&gt;="&amp;BR$1,INDIRECT("Table1[Obergruppe ATC-Code]"),Tabelle3!$A51)</f>
        <v>1</v>
      </c>
      <c r="BS51">
        <f ca="1">COUNTIFS(INDIRECT("Table1[Beginn]"),"&lt;="&amp;BS$1,INDIRECT("Table1[Ende]"),"&gt;="&amp;BS$1,INDIRECT("Table1[Obergruppe ATC-Code]"),Tabelle3!$A51)</f>
        <v>1</v>
      </c>
      <c r="BT51">
        <f ca="1">COUNTIFS(INDIRECT("Table1[Beginn]"),"&lt;="&amp;BT$1,INDIRECT("Table1[Ende]"),"&gt;="&amp;BT$1,INDIRECT("Table1[Obergruppe ATC-Code]"),Tabelle3!$A51)</f>
        <v>1</v>
      </c>
      <c r="BU51">
        <f ca="1">COUNTIFS(INDIRECT("Table1[Beginn]"),"&lt;="&amp;BU$1,INDIRECT("Table1[Ende]"),"&gt;="&amp;BU$1,INDIRECT("Table1[Obergruppe ATC-Code]"),Tabelle3!$A51)</f>
        <v>1</v>
      </c>
      <c r="BV51">
        <f ca="1">COUNTIFS(INDIRECT("Table1[Beginn]"),"&lt;="&amp;BV$1,INDIRECT("Table1[Ende]"),"&gt;="&amp;BV$1,INDIRECT("Table1[Obergruppe ATC-Code]"),Tabelle3!$A51)</f>
        <v>1</v>
      </c>
      <c r="BW51">
        <f ca="1">COUNTIFS(INDIRECT("Table1[Beginn]"),"&lt;="&amp;BW$1,INDIRECT("Table1[Ende]"),"&gt;="&amp;BW$1,INDIRECT("Table1[Obergruppe ATC-Code]"),Tabelle3!$A51)</f>
        <v>1</v>
      </c>
      <c r="BX51">
        <f ca="1">COUNTIFS(INDIRECT("Table1[Beginn]"),"&lt;="&amp;BX$1,INDIRECT("Table1[Ende]"),"&gt;="&amp;BX$1,INDIRECT("Table1[Obergruppe ATC-Code]"),Tabelle3!$A51)</f>
        <v>0</v>
      </c>
      <c r="BY51">
        <f ca="1">COUNTIFS(INDIRECT("Table1[Beginn]"),"&lt;="&amp;BY$1,INDIRECT("Table1[Ende]"),"&gt;="&amp;BY$1,INDIRECT("Table1[Obergruppe ATC-Code]"),Tabelle3!$A51)</f>
        <v>0</v>
      </c>
      <c r="BZ51">
        <f ca="1">COUNTIFS(INDIRECT("Table1[Beginn]"),"&lt;="&amp;BZ$1,INDIRECT("Table1[Ende]"),"&gt;="&amp;BZ$1,INDIRECT("Table1[Obergruppe ATC-Code]"),Tabelle3!$A51)</f>
        <v>0</v>
      </c>
      <c r="CA51">
        <f ca="1">COUNTIFS(INDIRECT("Table1[Beginn]"),"&lt;="&amp;CA$1,INDIRECT("Table1[Ende]"),"&gt;="&amp;CA$1,INDIRECT("Table1[Obergruppe ATC-Code]"),Tabelle3!$A51)</f>
        <v>0</v>
      </c>
      <c r="CB51">
        <f ca="1">COUNTIFS(INDIRECT("Table1[Beginn]"),"&lt;="&amp;CB$1,INDIRECT("Table1[Ende]"),"&gt;="&amp;CB$1,INDIRECT("Table1[Obergruppe ATC-Code]"),Tabelle3!$A51)</f>
        <v>1</v>
      </c>
      <c r="CC51">
        <f ca="1">COUNTIFS(INDIRECT("Table1[Beginn]"),"&lt;="&amp;CC$1,INDIRECT("Table1[Ende]"),"&gt;="&amp;CC$1,INDIRECT("Table1[Obergruppe ATC-Code]"),Tabelle3!$A51)</f>
        <v>0</v>
      </c>
      <c r="CD51">
        <f ca="1">COUNTIFS(INDIRECT("Table1[Beginn]"),"&lt;="&amp;CD$1,INDIRECT("Table1[Ende]"),"&gt;="&amp;CD$1,INDIRECT("Table1[Obergruppe ATC-Code]"),Tabelle3!$A51)</f>
        <v>0</v>
      </c>
      <c r="CE51">
        <f ca="1">COUNTIFS(INDIRECT("Table1[Beginn]"),"&lt;="&amp;CE$1,INDIRECT("Table1[Ende]"),"&gt;="&amp;CE$1,INDIRECT("Table1[Obergruppe ATC-Code]"),Tabelle3!$A51)</f>
        <v>0</v>
      </c>
      <c r="CF51">
        <f ca="1">COUNTIFS(INDIRECT("Table1[Beginn]"),"&lt;="&amp;CF$1,INDIRECT("Table1[Ende]"),"&gt;="&amp;CF$1,INDIRECT("Table1[Obergruppe ATC-Code]"),Tabelle3!$A51)</f>
        <v>0</v>
      </c>
      <c r="CG51">
        <f ca="1">COUNTIFS(INDIRECT("Table1[Beginn]"),"&lt;="&amp;CG$1,INDIRECT("Table1[Ende]"),"&gt;="&amp;CG$1,INDIRECT("Table1[Obergruppe ATC-Code]"),Tabelle3!$A51)</f>
        <v>0</v>
      </c>
      <c r="CH51">
        <f ca="1">COUNTIFS(INDIRECT("Table1[Beginn]"),"&lt;="&amp;CH$1,INDIRECT("Table1[Ende]"),"&gt;="&amp;CH$1,INDIRECT("Table1[Obergruppe ATC-Code]"),Tabelle3!$A51)</f>
        <v>0</v>
      </c>
      <c r="CI51">
        <f ca="1">COUNTIFS(INDIRECT("Table1[Beginn]"),"&lt;="&amp;CI$1,INDIRECT("Table1[Ende]"),"&gt;="&amp;CI$1,INDIRECT("Table1[Obergruppe ATC-Code]"),Tabelle3!$A51)</f>
        <v>0</v>
      </c>
      <c r="CJ51">
        <f ca="1">COUNTIFS(INDIRECT("Table1[Beginn]"),"&lt;="&amp;CJ$1,INDIRECT("Table1[Ende]"),"&gt;="&amp;CJ$1,INDIRECT("Table1[Obergruppe ATC-Code]"),Tabelle3!$A51)</f>
        <v>0</v>
      </c>
      <c r="CK51">
        <f ca="1">COUNTIFS(INDIRECT("Table1[Beginn]"),"&lt;="&amp;CK$1,INDIRECT("Table1[Ende]"),"&gt;="&amp;CK$1,INDIRECT("Table1[Obergruppe ATC-Code]"),Tabelle3!$A51)</f>
        <v>0</v>
      </c>
      <c r="CL51">
        <f ca="1">COUNTIFS(INDIRECT("Table1[Beginn]"),"&lt;="&amp;CL$1,INDIRECT("Table1[Ende]"),"&gt;="&amp;CL$1,INDIRECT("Table1[Obergruppe ATC-Code]"),Tabelle3!$A51)</f>
        <v>0</v>
      </c>
      <c r="CM51">
        <f ca="1">COUNTIFS(INDIRECT("Table1[Beginn]"),"&lt;="&amp;CM$1,INDIRECT("Table1[Ende]"),"&gt;="&amp;CM$1,INDIRECT("Table1[Obergruppe ATC-Code]"),Tabelle3!$A51)</f>
        <v>0</v>
      </c>
      <c r="CN51">
        <f ca="1">COUNTIFS(INDIRECT("Table1[Beginn]"),"&lt;="&amp;CN$1,INDIRECT("Table1[Ende]"),"&gt;="&amp;CN$1,INDIRECT("Table1[Obergruppe ATC-Code]"),Tabelle3!$A51)</f>
        <v>0</v>
      </c>
      <c r="CO51">
        <f ca="1">COUNTIFS(INDIRECT("Table1[Beginn]"),"&lt;="&amp;CO$1,INDIRECT("Table1[Ende]"),"&gt;="&amp;CO$1,INDIRECT("Table1[Obergruppe ATC-Code]"),Tabelle3!$A51)</f>
        <v>0</v>
      </c>
      <c r="CP51">
        <f ca="1">COUNTIFS(INDIRECT("Table1[Beginn]"),"&lt;="&amp;CP$1,INDIRECT("Table1[Ende]"),"&gt;="&amp;CP$1,INDIRECT("Table1[Obergruppe ATC-Code]"),Tabelle3!$A51)</f>
        <v>0</v>
      </c>
      <c r="CQ51">
        <f ca="1">COUNTIFS(INDIRECT("Table1[Beginn]"),"&lt;="&amp;CQ$1,INDIRECT("Table1[Ende]"),"&gt;="&amp;CQ$1,INDIRECT("Table1[Obergruppe ATC-Code]"),Tabelle3!$A51)</f>
        <v>0</v>
      </c>
      <c r="CR51">
        <f ca="1">COUNTIFS(INDIRECT("Table1[Beginn]"),"&lt;="&amp;CR$1,INDIRECT("Table1[Ende]"),"&gt;="&amp;CR$1,INDIRECT("Table1[Obergruppe ATC-Code]"),Tabelle3!$A51)</f>
        <v>0</v>
      </c>
    </row>
    <row r="52" spans="1:96" ht="18">
      <c r="A52" s="7" t="s">
        <v>6873</v>
      </c>
      <c r="B52" s="8" t="s">
        <v>6874</v>
      </c>
      <c r="C52">
        <f ca="1">COUNTIFS(INDIRECT("Table1[Beginn]"),"&lt;="&amp;C$1,INDIRECT("Table1[Ende]"),"&gt;="&amp;C$1,INDIRECT("Table1[Obergruppe ATC-Code]"),Tabelle3!$A52)</f>
        <v>0</v>
      </c>
      <c r="D52">
        <f ca="1">COUNTIFS(INDIRECT("Table1[Beginn]"),"&lt;="&amp;D$1,INDIRECT("Table1[Ende]"),"&gt;="&amp;D$1,INDIRECT("Table1[Obergruppe ATC-Code]"),Tabelle3!$A52)</f>
        <v>0</v>
      </c>
      <c r="E52">
        <f ca="1">COUNTIFS(INDIRECT("Table1[Beginn]"),"&lt;="&amp;E$1,INDIRECT("Table1[Ende]"),"&gt;="&amp;E$1,INDIRECT("Table1[Obergruppe ATC-Code]"),Tabelle3!$A52)</f>
        <v>0</v>
      </c>
      <c r="F52">
        <f ca="1">COUNTIFS(INDIRECT("Table1[Beginn]"),"&lt;="&amp;F$1,INDIRECT("Table1[Ende]"),"&gt;="&amp;F$1,INDIRECT("Table1[Obergruppe ATC-Code]"),Tabelle3!$A52)</f>
        <v>0</v>
      </c>
      <c r="G52">
        <f ca="1">COUNTIFS(INDIRECT("Table1[Beginn]"),"&lt;="&amp;G$1,INDIRECT("Table1[Ende]"),"&gt;="&amp;G$1,INDIRECT("Table1[Obergruppe ATC-Code]"),Tabelle3!$A52)</f>
        <v>0</v>
      </c>
      <c r="H52">
        <f ca="1">COUNTIFS(INDIRECT("Table1[Beginn]"),"&lt;="&amp;H$1,INDIRECT("Table1[Ende]"),"&gt;="&amp;H$1,INDIRECT("Table1[Obergruppe ATC-Code]"),Tabelle3!$A52)</f>
        <v>0</v>
      </c>
      <c r="I52">
        <f ca="1">COUNTIFS(INDIRECT("Table1[Beginn]"),"&lt;="&amp;I$1,INDIRECT("Table1[Ende]"),"&gt;="&amp;I$1,INDIRECT("Table1[Obergruppe ATC-Code]"),Tabelle3!$A52)</f>
        <v>0</v>
      </c>
      <c r="J52">
        <f ca="1">COUNTIFS(INDIRECT("Table1[Beginn]"),"&lt;="&amp;J$1,INDIRECT("Table1[Ende]"),"&gt;="&amp;J$1,INDIRECT("Table1[Obergruppe ATC-Code]"),Tabelle3!$A52)</f>
        <v>0</v>
      </c>
      <c r="K52">
        <f ca="1">COUNTIFS(INDIRECT("Table1[Beginn]"),"&lt;="&amp;K$1,INDIRECT("Table1[Ende]"),"&gt;="&amp;K$1,INDIRECT("Table1[Obergruppe ATC-Code]"),Tabelle3!$A52)</f>
        <v>0</v>
      </c>
      <c r="L52">
        <f ca="1">COUNTIFS(INDIRECT("Table1[Beginn]"),"&lt;="&amp;L$1,INDIRECT("Table1[Ende]"),"&gt;="&amp;L$1,INDIRECT("Table1[Obergruppe ATC-Code]"),Tabelle3!$A52)</f>
        <v>0</v>
      </c>
      <c r="M52">
        <f ca="1">COUNTIFS(INDIRECT("Table1[Beginn]"),"&lt;="&amp;M$1,INDIRECT("Table1[Ende]"),"&gt;="&amp;M$1,INDIRECT("Table1[Obergruppe ATC-Code]"),Tabelle3!$A52)</f>
        <v>0</v>
      </c>
      <c r="N52">
        <f ca="1">COUNTIFS(INDIRECT("Table1[Beginn]"),"&lt;="&amp;N$1,INDIRECT("Table1[Ende]"),"&gt;="&amp;N$1,INDIRECT("Table1[Obergruppe ATC-Code]"),Tabelle3!$A52)</f>
        <v>0</v>
      </c>
      <c r="O52">
        <f ca="1">COUNTIFS(INDIRECT("Table1[Beginn]"),"&lt;="&amp;O$1,INDIRECT("Table1[Ende]"),"&gt;="&amp;O$1,INDIRECT("Table1[Obergruppe ATC-Code]"),Tabelle3!$A52)</f>
        <v>0</v>
      </c>
      <c r="P52">
        <f ca="1">COUNTIFS(INDIRECT("Table1[Beginn]"),"&lt;="&amp;P$1,INDIRECT("Table1[Ende]"),"&gt;="&amp;P$1,INDIRECT("Table1[Obergruppe ATC-Code]"),Tabelle3!$A52)</f>
        <v>0</v>
      </c>
      <c r="Q52">
        <f ca="1">COUNTIFS(INDIRECT("Table1[Beginn]"),"&lt;="&amp;Q$1,INDIRECT("Table1[Ende]"),"&gt;="&amp;Q$1,INDIRECT("Table1[Obergruppe ATC-Code]"),Tabelle3!$A52)</f>
        <v>0</v>
      </c>
      <c r="R52">
        <f ca="1">COUNTIFS(INDIRECT("Table1[Beginn]"),"&lt;="&amp;R$1,INDIRECT("Table1[Ende]"),"&gt;="&amp;R$1,INDIRECT("Table1[Obergruppe ATC-Code]"),Tabelle3!$A52)</f>
        <v>0</v>
      </c>
      <c r="S52">
        <f ca="1">COUNTIFS(INDIRECT("Table1[Beginn]"),"&lt;="&amp;S$1,INDIRECT("Table1[Ende]"),"&gt;="&amp;S$1,INDIRECT("Table1[Obergruppe ATC-Code]"),Tabelle3!$A52)</f>
        <v>0</v>
      </c>
      <c r="T52">
        <f ca="1">COUNTIFS(INDIRECT("Table1[Beginn]"),"&lt;="&amp;T$1,INDIRECT("Table1[Ende]"),"&gt;="&amp;T$1,INDIRECT("Table1[Obergruppe ATC-Code]"),Tabelle3!$A52)</f>
        <v>0</v>
      </c>
      <c r="U52">
        <f ca="1">COUNTIFS(INDIRECT("Table1[Beginn]"),"&lt;="&amp;U$1,INDIRECT("Table1[Ende]"),"&gt;="&amp;U$1,INDIRECT("Table1[Obergruppe ATC-Code]"),Tabelle3!$A52)</f>
        <v>0</v>
      </c>
      <c r="V52">
        <f ca="1">COUNTIFS(INDIRECT("Table1[Beginn]"),"&lt;="&amp;V$1,INDIRECT("Table1[Ende]"),"&gt;="&amp;V$1,INDIRECT("Table1[Obergruppe ATC-Code]"),Tabelle3!$A52)</f>
        <v>0</v>
      </c>
      <c r="W52">
        <f ca="1">COUNTIFS(INDIRECT("Table1[Beginn]"),"&lt;="&amp;W$1,INDIRECT("Table1[Ende]"),"&gt;="&amp;W$1,INDIRECT("Table1[Obergruppe ATC-Code]"),Tabelle3!$A52)</f>
        <v>0</v>
      </c>
      <c r="X52">
        <f ca="1">COUNTIFS(INDIRECT("Table1[Beginn]"),"&lt;="&amp;X$1,INDIRECT("Table1[Ende]"),"&gt;="&amp;X$1,INDIRECT("Table1[Obergruppe ATC-Code]"),Tabelle3!$A52)</f>
        <v>0</v>
      </c>
      <c r="Y52">
        <f ca="1">COUNTIFS(INDIRECT("Table1[Beginn]"),"&lt;="&amp;Y$1,INDIRECT("Table1[Ende]"),"&gt;="&amp;Y$1,INDIRECT("Table1[Obergruppe ATC-Code]"),Tabelle3!$A52)</f>
        <v>0</v>
      </c>
      <c r="Z52">
        <f ca="1">COUNTIFS(INDIRECT("Table1[Beginn]"),"&lt;="&amp;Z$1,INDIRECT("Table1[Ende]"),"&gt;="&amp;Z$1,INDIRECT("Table1[Obergruppe ATC-Code]"),Tabelle3!$A52)</f>
        <v>0</v>
      </c>
      <c r="AA52">
        <f ca="1">COUNTIFS(INDIRECT("Table1[Beginn]"),"&lt;="&amp;AA$1,INDIRECT("Table1[Ende]"),"&gt;="&amp;AA$1,INDIRECT("Table1[Obergruppe ATC-Code]"),Tabelle3!$A52)</f>
        <v>0</v>
      </c>
      <c r="AB52">
        <f ca="1">COUNTIFS(INDIRECT("Table1[Beginn]"),"&lt;="&amp;AB$1,INDIRECT("Table1[Ende]"),"&gt;="&amp;AB$1,INDIRECT("Table1[Obergruppe ATC-Code]"),Tabelle3!$A52)</f>
        <v>0</v>
      </c>
      <c r="AC52">
        <f ca="1">COUNTIFS(INDIRECT("Table1[Beginn]"),"&lt;="&amp;AC$1,INDIRECT("Table1[Ende]"),"&gt;="&amp;AC$1,INDIRECT("Table1[Obergruppe ATC-Code]"),Tabelle3!$A52)</f>
        <v>0</v>
      </c>
      <c r="AD52">
        <f ca="1">COUNTIFS(INDIRECT("Table1[Beginn]"),"&lt;="&amp;AD$1,INDIRECT("Table1[Ende]"),"&gt;="&amp;AD$1,INDIRECT("Table1[Obergruppe ATC-Code]"),Tabelle3!$A52)</f>
        <v>0</v>
      </c>
      <c r="AE52">
        <f ca="1">COUNTIFS(INDIRECT("Table1[Beginn]"),"&lt;="&amp;AE$1,INDIRECT("Table1[Ende]"),"&gt;="&amp;AE$1,INDIRECT("Table1[Obergruppe ATC-Code]"),Tabelle3!$A52)</f>
        <v>0</v>
      </c>
      <c r="AF52">
        <f ca="1">COUNTIFS(INDIRECT("Table1[Beginn]"),"&lt;="&amp;AF$1,INDIRECT("Table1[Ende]"),"&gt;="&amp;AF$1,INDIRECT("Table1[Obergruppe ATC-Code]"),Tabelle3!$A52)</f>
        <v>0</v>
      </c>
      <c r="AG52">
        <f ca="1">COUNTIFS(INDIRECT("Table1[Beginn]"),"&lt;="&amp;AG$1,INDIRECT("Table1[Ende]"),"&gt;="&amp;AG$1,INDIRECT("Table1[Obergruppe ATC-Code]"),Tabelle3!$A52)</f>
        <v>0</v>
      </c>
      <c r="AH52">
        <f ca="1">COUNTIFS(INDIRECT("Table1[Beginn]"),"&lt;="&amp;AH$1,INDIRECT("Table1[Ende]"),"&gt;="&amp;AH$1,INDIRECT("Table1[Obergruppe ATC-Code]"),Tabelle3!$A52)</f>
        <v>0</v>
      </c>
      <c r="AI52">
        <f ca="1">COUNTIFS(INDIRECT("Table1[Beginn]"),"&lt;="&amp;AI$1,INDIRECT("Table1[Ende]"),"&gt;="&amp;AI$1,INDIRECT("Table1[Obergruppe ATC-Code]"),Tabelle3!$A52)</f>
        <v>0</v>
      </c>
      <c r="AJ52">
        <f ca="1">COUNTIFS(INDIRECT("Table1[Beginn]"),"&lt;="&amp;AJ$1,INDIRECT("Table1[Ende]"),"&gt;="&amp;AJ$1,INDIRECT("Table1[Obergruppe ATC-Code]"),Tabelle3!$A52)</f>
        <v>0</v>
      </c>
      <c r="AK52">
        <f ca="1">COUNTIFS(INDIRECT("Table1[Beginn]"),"&lt;="&amp;AK$1,INDIRECT("Table1[Ende]"),"&gt;="&amp;AK$1,INDIRECT("Table1[Obergruppe ATC-Code]"),Tabelle3!$A52)</f>
        <v>0</v>
      </c>
      <c r="AL52">
        <f ca="1">COUNTIFS(INDIRECT("Table1[Beginn]"),"&lt;="&amp;AL$1,INDIRECT("Table1[Ende]"),"&gt;="&amp;AL$1,INDIRECT("Table1[Obergruppe ATC-Code]"),Tabelle3!$A52)</f>
        <v>0</v>
      </c>
      <c r="AM52">
        <f ca="1">COUNTIFS(INDIRECT("Table1[Beginn]"),"&lt;="&amp;AM$1,INDIRECT("Table1[Ende]"),"&gt;="&amp;AM$1,INDIRECT("Table1[Obergruppe ATC-Code]"),Tabelle3!$A52)</f>
        <v>0</v>
      </c>
      <c r="AN52">
        <f ca="1">COUNTIFS(INDIRECT("Table1[Beginn]"),"&lt;="&amp;AN$1,INDIRECT("Table1[Ende]"),"&gt;="&amp;AN$1,INDIRECT("Table1[Obergruppe ATC-Code]"),Tabelle3!$A52)</f>
        <v>0</v>
      </c>
      <c r="AO52">
        <f ca="1">COUNTIFS(INDIRECT("Table1[Beginn]"),"&lt;="&amp;AO$1,INDIRECT("Table1[Ende]"),"&gt;="&amp;AO$1,INDIRECT("Table1[Obergruppe ATC-Code]"),Tabelle3!$A52)</f>
        <v>0</v>
      </c>
      <c r="AP52">
        <f ca="1">COUNTIFS(INDIRECT("Table1[Beginn]"),"&lt;="&amp;AP$1,INDIRECT("Table1[Ende]"),"&gt;="&amp;AP$1,INDIRECT("Table1[Obergruppe ATC-Code]"),Tabelle3!$A52)</f>
        <v>0</v>
      </c>
      <c r="AQ52">
        <f ca="1">COUNTIFS(INDIRECT("Table1[Beginn]"),"&lt;="&amp;AQ$1,INDIRECT("Table1[Ende]"),"&gt;="&amp;AQ$1,INDIRECT("Table1[Obergruppe ATC-Code]"),Tabelle3!$A52)</f>
        <v>0</v>
      </c>
      <c r="AR52">
        <f ca="1">COUNTIFS(INDIRECT("Table1[Beginn]"),"&lt;="&amp;AR$1,INDIRECT("Table1[Ende]"),"&gt;="&amp;AR$1,INDIRECT("Table1[Obergruppe ATC-Code]"),Tabelle3!$A52)</f>
        <v>0</v>
      </c>
      <c r="AS52">
        <f ca="1">COUNTIFS(INDIRECT("Table1[Beginn]"),"&lt;="&amp;AS$1,INDIRECT("Table1[Ende]"),"&gt;="&amp;AS$1,INDIRECT("Table1[Obergruppe ATC-Code]"),Tabelle3!$A52)</f>
        <v>0</v>
      </c>
      <c r="AT52">
        <f ca="1">COUNTIFS(INDIRECT("Table1[Beginn]"),"&lt;="&amp;AT$1,INDIRECT("Table1[Ende]"),"&gt;="&amp;AT$1,INDIRECT("Table1[Obergruppe ATC-Code]"),Tabelle3!$A52)</f>
        <v>0</v>
      </c>
      <c r="AU52">
        <f ca="1">COUNTIFS(INDIRECT("Table1[Beginn]"),"&lt;="&amp;AU$1,INDIRECT("Table1[Ende]"),"&gt;="&amp;AU$1,INDIRECT("Table1[Obergruppe ATC-Code]"),Tabelle3!$A52)</f>
        <v>0</v>
      </c>
      <c r="AV52">
        <f ca="1">COUNTIFS(INDIRECT("Table1[Beginn]"),"&lt;="&amp;AV$1,INDIRECT("Table1[Ende]"),"&gt;="&amp;AV$1,INDIRECT("Table1[Obergruppe ATC-Code]"),Tabelle3!$A52)</f>
        <v>0</v>
      </c>
      <c r="AW52">
        <f ca="1">COUNTIFS(INDIRECT("Table1[Beginn]"),"&lt;="&amp;AW$1,INDIRECT("Table1[Ende]"),"&gt;="&amp;AW$1,INDIRECT("Table1[Obergruppe ATC-Code]"),Tabelle3!$A52)</f>
        <v>0</v>
      </c>
      <c r="AX52">
        <f ca="1">COUNTIFS(INDIRECT("Table1[Beginn]"),"&lt;="&amp;AX$1,INDIRECT("Table1[Ende]"),"&gt;="&amp;AX$1,INDIRECT("Table1[Obergruppe ATC-Code]"),Tabelle3!$A52)</f>
        <v>0</v>
      </c>
      <c r="AY52">
        <f ca="1">COUNTIFS(INDIRECT("Table1[Beginn]"),"&lt;="&amp;AY$1,INDIRECT("Table1[Ende]"),"&gt;="&amp;AY$1,INDIRECT("Table1[Obergruppe ATC-Code]"),Tabelle3!$A52)</f>
        <v>0</v>
      </c>
      <c r="AZ52">
        <f ca="1">COUNTIFS(INDIRECT("Table1[Beginn]"),"&lt;="&amp;AZ$1,INDIRECT("Table1[Ende]"),"&gt;="&amp;AZ$1,INDIRECT("Table1[Obergruppe ATC-Code]"),Tabelle3!$A52)</f>
        <v>0</v>
      </c>
      <c r="BA52">
        <f ca="1">COUNTIFS(INDIRECT("Table1[Beginn]"),"&lt;="&amp;BA$1,INDIRECT("Table1[Ende]"),"&gt;="&amp;BA$1,INDIRECT("Table1[Obergruppe ATC-Code]"),Tabelle3!$A52)</f>
        <v>0</v>
      </c>
      <c r="BB52">
        <f ca="1">COUNTIFS(INDIRECT("Table1[Beginn]"),"&lt;="&amp;BB$1,INDIRECT("Table1[Ende]"),"&gt;="&amp;BB$1,INDIRECT("Table1[Obergruppe ATC-Code]"),Tabelle3!$A52)</f>
        <v>0</v>
      </c>
      <c r="BC52">
        <f ca="1">COUNTIFS(INDIRECT("Table1[Beginn]"),"&lt;="&amp;BC$1,INDIRECT("Table1[Ende]"),"&gt;="&amp;BC$1,INDIRECT("Table1[Obergruppe ATC-Code]"),Tabelle3!$A52)</f>
        <v>0</v>
      </c>
      <c r="BD52">
        <f ca="1">COUNTIFS(INDIRECT("Table1[Beginn]"),"&lt;="&amp;BD$1,INDIRECT("Table1[Ende]"),"&gt;="&amp;BD$1,INDIRECT("Table1[Obergruppe ATC-Code]"),Tabelle3!$A52)</f>
        <v>0</v>
      </c>
      <c r="BE52">
        <f ca="1">COUNTIFS(INDIRECT("Table1[Beginn]"),"&lt;="&amp;BE$1,INDIRECT("Table1[Ende]"),"&gt;="&amp;BE$1,INDIRECT("Table1[Obergruppe ATC-Code]"),Tabelle3!$A52)</f>
        <v>0</v>
      </c>
      <c r="BF52">
        <f ca="1">COUNTIFS(INDIRECT("Table1[Beginn]"),"&lt;="&amp;BF$1,INDIRECT("Table1[Ende]"),"&gt;="&amp;BF$1,INDIRECT("Table1[Obergruppe ATC-Code]"),Tabelle3!$A52)</f>
        <v>0</v>
      </c>
      <c r="BG52">
        <f ca="1">COUNTIFS(INDIRECT("Table1[Beginn]"),"&lt;="&amp;BG$1,INDIRECT("Table1[Ende]"),"&gt;="&amp;BG$1,INDIRECT("Table1[Obergruppe ATC-Code]"),Tabelle3!$A52)</f>
        <v>0</v>
      </c>
      <c r="BH52">
        <f ca="1">COUNTIFS(INDIRECT("Table1[Beginn]"),"&lt;="&amp;BH$1,INDIRECT("Table1[Ende]"),"&gt;="&amp;BH$1,INDIRECT("Table1[Obergruppe ATC-Code]"),Tabelle3!$A52)</f>
        <v>0</v>
      </c>
      <c r="BI52">
        <f ca="1">COUNTIFS(INDIRECT("Table1[Beginn]"),"&lt;="&amp;BI$1,INDIRECT("Table1[Ende]"),"&gt;="&amp;BI$1,INDIRECT("Table1[Obergruppe ATC-Code]"),Tabelle3!$A52)</f>
        <v>0</v>
      </c>
      <c r="BJ52">
        <f ca="1">COUNTIFS(INDIRECT("Table1[Beginn]"),"&lt;="&amp;BJ$1,INDIRECT("Table1[Ende]"),"&gt;="&amp;BJ$1,INDIRECT("Table1[Obergruppe ATC-Code]"),Tabelle3!$A52)</f>
        <v>0</v>
      </c>
      <c r="BK52">
        <f ca="1">COUNTIFS(INDIRECT("Table1[Beginn]"),"&lt;="&amp;BK$1,INDIRECT("Table1[Ende]"),"&gt;="&amp;BK$1,INDIRECT("Table1[Obergruppe ATC-Code]"),Tabelle3!$A52)</f>
        <v>0</v>
      </c>
      <c r="BL52">
        <f ca="1">COUNTIFS(INDIRECT("Table1[Beginn]"),"&lt;="&amp;BL$1,INDIRECT("Table1[Ende]"),"&gt;="&amp;BL$1,INDIRECT("Table1[Obergruppe ATC-Code]"),Tabelle3!$A52)</f>
        <v>0</v>
      </c>
      <c r="BM52">
        <f ca="1">COUNTIFS(INDIRECT("Table1[Beginn]"),"&lt;="&amp;BM$1,INDIRECT("Table1[Ende]"),"&gt;="&amp;BM$1,INDIRECT("Table1[Obergruppe ATC-Code]"),Tabelle3!$A52)</f>
        <v>0</v>
      </c>
      <c r="BN52">
        <f ca="1">COUNTIFS(INDIRECT("Table1[Beginn]"),"&lt;="&amp;BN$1,INDIRECT("Table1[Ende]"),"&gt;="&amp;BN$1,INDIRECT("Table1[Obergruppe ATC-Code]"),Tabelle3!$A52)</f>
        <v>1</v>
      </c>
      <c r="BO52">
        <f ca="1">COUNTIFS(INDIRECT("Table1[Beginn]"),"&lt;="&amp;BO$1,INDIRECT("Table1[Ende]"),"&gt;="&amp;BO$1,INDIRECT("Table1[Obergruppe ATC-Code]"),Tabelle3!$A52)</f>
        <v>1</v>
      </c>
      <c r="BP52">
        <f ca="1">COUNTIFS(INDIRECT("Table1[Beginn]"),"&lt;="&amp;BP$1,INDIRECT("Table1[Ende]"),"&gt;="&amp;BP$1,INDIRECT("Table1[Obergruppe ATC-Code]"),Tabelle3!$A52)</f>
        <v>1</v>
      </c>
      <c r="BQ52">
        <f ca="1">COUNTIFS(INDIRECT("Table1[Beginn]"),"&lt;="&amp;BQ$1,INDIRECT("Table1[Ende]"),"&gt;="&amp;BQ$1,INDIRECT("Table1[Obergruppe ATC-Code]"),Tabelle3!$A52)</f>
        <v>1</v>
      </c>
      <c r="BR52">
        <f ca="1">COUNTIFS(INDIRECT("Table1[Beginn]"),"&lt;="&amp;BR$1,INDIRECT("Table1[Ende]"),"&gt;="&amp;BR$1,INDIRECT("Table1[Obergruppe ATC-Code]"),Tabelle3!$A52)</f>
        <v>1</v>
      </c>
      <c r="BS52">
        <f ca="1">COUNTIFS(INDIRECT("Table1[Beginn]"),"&lt;="&amp;BS$1,INDIRECT("Table1[Ende]"),"&gt;="&amp;BS$1,INDIRECT("Table1[Obergruppe ATC-Code]"),Tabelle3!$A52)</f>
        <v>1</v>
      </c>
      <c r="BT52">
        <f ca="1">COUNTIFS(INDIRECT("Table1[Beginn]"),"&lt;="&amp;BT$1,INDIRECT("Table1[Ende]"),"&gt;="&amp;BT$1,INDIRECT("Table1[Obergruppe ATC-Code]"),Tabelle3!$A52)</f>
        <v>3</v>
      </c>
      <c r="BU52">
        <f ca="1">COUNTIFS(INDIRECT("Table1[Beginn]"),"&lt;="&amp;BU$1,INDIRECT("Table1[Ende]"),"&gt;="&amp;BU$1,INDIRECT("Table1[Obergruppe ATC-Code]"),Tabelle3!$A52)</f>
        <v>3</v>
      </c>
      <c r="BV52">
        <f ca="1">COUNTIFS(INDIRECT("Table1[Beginn]"),"&lt;="&amp;BV$1,INDIRECT("Table1[Ende]"),"&gt;="&amp;BV$1,INDIRECT("Table1[Obergruppe ATC-Code]"),Tabelle3!$A52)</f>
        <v>3</v>
      </c>
      <c r="BW52">
        <f ca="1">COUNTIFS(INDIRECT("Table1[Beginn]"),"&lt;="&amp;BW$1,INDIRECT("Table1[Ende]"),"&gt;="&amp;BW$1,INDIRECT("Table1[Obergruppe ATC-Code]"),Tabelle3!$A52)</f>
        <v>3</v>
      </c>
      <c r="BX52">
        <f ca="1">COUNTIFS(INDIRECT("Table1[Beginn]"),"&lt;="&amp;BX$1,INDIRECT("Table1[Ende]"),"&gt;="&amp;BX$1,INDIRECT("Table1[Obergruppe ATC-Code]"),Tabelle3!$A52)</f>
        <v>3</v>
      </c>
      <c r="BY52">
        <f ca="1">COUNTIFS(INDIRECT("Table1[Beginn]"),"&lt;="&amp;BY$1,INDIRECT("Table1[Ende]"),"&gt;="&amp;BY$1,INDIRECT("Table1[Obergruppe ATC-Code]"),Tabelle3!$A52)</f>
        <v>3</v>
      </c>
      <c r="BZ52">
        <f ca="1">COUNTIFS(INDIRECT("Table1[Beginn]"),"&lt;="&amp;BZ$1,INDIRECT("Table1[Ende]"),"&gt;="&amp;BZ$1,INDIRECT("Table1[Obergruppe ATC-Code]"),Tabelle3!$A52)</f>
        <v>3</v>
      </c>
      <c r="CA52">
        <f ca="1">COUNTIFS(INDIRECT("Table1[Beginn]"),"&lt;="&amp;CA$1,INDIRECT("Table1[Ende]"),"&gt;="&amp;CA$1,INDIRECT("Table1[Obergruppe ATC-Code]"),Tabelle3!$A52)</f>
        <v>6</v>
      </c>
      <c r="CB52">
        <f ca="1">COUNTIFS(INDIRECT("Table1[Beginn]"),"&lt;="&amp;CB$1,INDIRECT("Table1[Ende]"),"&gt;="&amp;CB$1,INDIRECT("Table1[Obergruppe ATC-Code]"),Tabelle3!$A52)</f>
        <v>6</v>
      </c>
      <c r="CC52">
        <f ca="1">COUNTIFS(INDIRECT("Table1[Beginn]"),"&lt;="&amp;CC$1,INDIRECT("Table1[Ende]"),"&gt;="&amp;CC$1,INDIRECT("Table1[Obergruppe ATC-Code]"),Tabelle3!$A52)</f>
        <v>6</v>
      </c>
      <c r="CD52">
        <f ca="1">COUNTIFS(INDIRECT("Table1[Beginn]"),"&lt;="&amp;CD$1,INDIRECT("Table1[Ende]"),"&gt;="&amp;CD$1,INDIRECT("Table1[Obergruppe ATC-Code]"),Tabelle3!$A52)</f>
        <v>6</v>
      </c>
      <c r="CE52">
        <f ca="1">COUNTIFS(INDIRECT("Table1[Beginn]"),"&lt;="&amp;CE$1,INDIRECT("Table1[Ende]"),"&gt;="&amp;CE$1,INDIRECT("Table1[Obergruppe ATC-Code]"),Tabelle3!$A52)</f>
        <v>4</v>
      </c>
      <c r="CF52">
        <f ca="1">COUNTIFS(INDIRECT("Table1[Beginn]"),"&lt;="&amp;CF$1,INDIRECT("Table1[Ende]"),"&gt;="&amp;CF$1,INDIRECT("Table1[Obergruppe ATC-Code]"),Tabelle3!$A52)</f>
        <v>1</v>
      </c>
      <c r="CG52">
        <f ca="1">COUNTIFS(INDIRECT("Table1[Beginn]"),"&lt;="&amp;CG$1,INDIRECT("Table1[Ende]"),"&gt;="&amp;CG$1,INDIRECT("Table1[Obergruppe ATC-Code]"),Tabelle3!$A52)</f>
        <v>1</v>
      </c>
      <c r="CH52">
        <f ca="1">COUNTIFS(INDIRECT("Table1[Beginn]"),"&lt;="&amp;CH$1,INDIRECT("Table1[Ende]"),"&gt;="&amp;CH$1,INDIRECT("Table1[Obergruppe ATC-Code]"),Tabelle3!$A52)</f>
        <v>1</v>
      </c>
      <c r="CI52">
        <f ca="1">COUNTIFS(INDIRECT("Table1[Beginn]"),"&lt;="&amp;CI$1,INDIRECT("Table1[Ende]"),"&gt;="&amp;CI$1,INDIRECT("Table1[Obergruppe ATC-Code]"),Tabelle3!$A52)</f>
        <v>1</v>
      </c>
      <c r="CJ52">
        <f ca="1">COUNTIFS(INDIRECT("Table1[Beginn]"),"&lt;="&amp;CJ$1,INDIRECT("Table1[Ende]"),"&gt;="&amp;CJ$1,INDIRECT("Table1[Obergruppe ATC-Code]"),Tabelle3!$A52)</f>
        <v>1</v>
      </c>
      <c r="CK52">
        <f ca="1">COUNTIFS(INDIRECT("Table1[Beginn]"),"&lt;="&amp;CK$1,INDIRECT("Table1[Ende]"),"&gt;="&amp;CK$1,INDIRECT("Table1[Obergruppe ATC-Code]"),Tabelle3!$A52)</f>
        <v>1</v>
      </c>
      <c r="CL52">
        <f ca="1">COUNTIFS(INDIRECT("Table1[Beginn]"),"&lt;="&amp;CL$1,INDIRECT("Table1[Ende]"),"&gt;="&amp;CL$1,INDIRECT("Table1[Obergruppe ATC-Code]"),Tabelle3!$A52)</f>
        <v>1</v>
      </c>
      <c r="CM52">
        <f ca="1">COUNTIFS(INDIRECT("Table1[Beginn]"),"&lt;="&amp;CM$1,INDIRECT("Table1[Ende]"),"&gt;="&amp;CM$1,INDIRECT("Table1[Obergruppe ATC-Code]"),Tabelle3!$A52)</f>
        <v>1</v>
      </c>
      <c r="CN52">
        <f ca="1">COUNTIFS(INDIRECT("Table1[Beginn]"),"&lt;="&amp;CN$1,INDIRECT("Table1[Ende]"),"&gt;="&amp;CN$1,INDIRECT("Table1[Obergruppe ATC-Code]"),Tabelle3!$A52)</f>
        <v>1</v>
      </c>
      <c r="CO52">
        <f ca="1">COUNTIFS(INDIRECT("Table1[Beginn]"),"&lt;="&amp;CO$1,INDIRECT("Table1[Ende]"),"&gt;="&amp;CO$1,INDIRECT("Table1[Obergruppe ATC-Code]"),Tabelle3!$A52)</f>
        <v>1</v>
      </c>
      <c r="CP52">
        <f ca="1">COUNTIFS(INDIRECT("Table1[Beginn]"),"&lt;="&amp;CP$1,INDIRECT("Table1[Ende]"),"&gt;="&amp;CP$1,INDIRECT("Table1[Obergruppe ATC-Code]"),Tabelle3!$A52)</f>
        <v>1</v>
      </c>
      <c r="CQ52">
        <f ca="1">COUNTIFS(INDIRECT("Table1[Beginn]"),"&lt;="&amp;CQ$1,INDIRECT("Table1[Ende]"),"&gt;="&amp;CQ$1,INDIRECT("Table1[Obergruppe ATC-Code]"),Tabelle3!$A52)</f>
        <v>1</v>
      </c>
      <c r="CR52">
        <f ca="1">COUNTIFS(INDIRECT("Table1[Beginn]"),"&lt;="&amp;CR$1,INDIRECT("Table1[Ende]"),"&gt;="&amp;CR$1,INDIRECT("Table1[Obergruppe ATC-Code]"),Tabelle3!$A52)</f>
        <v>1</v>
      </c>
    </row>
    <row r="53" spans="1:96" s="30" customFormat="1" ht="18">
      <c r="A53" s="28" t="s">
        <v>6875</v>
      </c>
      <c r="B53" s="29" t="s">
        <v>6876</v>
      </c>
      <c r="C53" s="30">
        <f ca="1">COUNTIFS(INDIRECT("Table1[Beginn]"),"&lt;="&amp;C$1,INDIRECT("Table1[Ende]"),"&gt;="&amp;C$1,INDIRECT("Table1[Obergruppe ATC-Code]"),Tabelle3!$A53)</f>
        <v>5</v>
      </c>
      <c r="D53" s="30">
        <f ca="1">COUNTIFS(INDIRECT("Table1[Beginn]"),"&lt;="&amp;D$1,INDIRECT("Table1[Ende]"),"&gt;="&amp;D$1,INDIRECT("Table1[Obergruppe ATC-Code]"),Tabelle3!$A53)</f>
        <v>6</v>
      </c>
      <c r="E53" s="30">
        <f ca="1">COUNTIFS(INDIRECT("Table1[Beginn]"),"&lt;="&amp;E$1,INDIRECT("Table1[Ende]"),"&gt;="&amp;E$1,INDIRECT("Table1[Obergruppe ATC-Code]"),Tabelle3!$A53)</f>
        <v>6</v>
      </c>
      <c r="F53" s="30">
        <f ca="1">COUNTIFS(INDIRECT("Table1[Beginn]"),"&lt;="&amp;F$1,INDIRECT("Table1[Ende]"),"&gt;="&amp;F$1,INDIRECT("Table1[Obergruppe ATC-Code]"),Tabelle3!$A53)</f>
        <v>13</v>
      </c>
      <c r="G53" s="30">
        <f ca="1">COUNTIFS(INDIRECT("Table1[Beginn]"),"&lt;="&amp;G$1,INDIRECT("Table1[Ende]"),"&gt;="&amp;G$1,INDIRECT("Table1[Obergruppe ATC-Code]"),Tabelle3!$A53)</f>
        <v>13</v>
      </c>
      <c r="H53" s="30">
        <f ca="1">COUNTIFS(INDIRECT("Table1[Beginn]"),"&lt;="&amp;H$1,INDIRECT("Table1[Ende]"),"&gt;="&amp;H$1,INDIRECT("Table1[Obergruppe ATC-Code]"),Tabelle3!$A53)</f>
        <v>13</v>
      </c>
      <c r="I53" s="30">
        <f ca="1">COUNTIFS(INDIRECT("Table1[Beginn]"),"&lt;="&amp;I$1,INDIRECT("Table1[Ende]"),"&gt;="&amp;I$1,INDIRECT("Table1[Obergruppe ATC-Code]"),Tabelle3!$A53)</f>
        <v>14</v>
      </c>
      <c r="J53" s="30">
        <f ca="1">COUNTIFS(INDIRECT("Table1[Beginn]"),"&lt;="&amp;J$1,INDIRECT("Table1[Ende]"),"&gt;="&amp;J$1,INDIRECT("Table1[Obergruppe ATC-Code]"),Tabelle3!$A53)</f>
        <v>15</v>
      </c>
      <c r="K53" s="30">
        <f ca="1">COUNTIFS(INDIRECT("Table1[Beginn]"),"&lt;="&amp;K$1,INDIRECT("Table1[Ende]"),"&gt;="&amp;K$1,INDIRECT("Table1[Obergruppe ATC-Code]"),Tabelle3!$A53)</f>
        <v>16</v>
      </c>
      <c r="L53" s="30">
        <f ca="1">COUNTIFS(INDIRECT("Table1[Beginn]"),"&lt;="&amp;L$1,INDIRECT("Table1[Ende]"),"&gt;="&amp;L$1,INDIRECT("Table1[Obergruppe ATC-Code]"),Tabelle3!$A53)</f>
        <v>16</v>
      </c>
      <c r="M53" s="30">
        <f ca="1">COUNTIFS(INDIRECT("Table1[Beginn]"),"&lt;="&amp;M$1,INDIRECT("Table1[Ende]"),"&gt;="&amp;M$1,INDIRECT("Table1[Obergruppe ATC-Code]"),Tabelle3!$A53)</f>
        <v>17</v>
      </c>
      <c r="N53" s="30">
        <f ca="1">COUNTIFS(INDIRECT("Table1[Beginn]"),"&lt;="&amp;N$1,INDIRECT("Table1[Ende]"),"&gt;="&amp;N$1,INDIRECT("Table1[Obergruppe ATC-Code]"),Tabelle3!$A53)</f>
        <v>20</v>
      </c>
      <c r="O53" s="30">
        <f ca="1">COUNTIFS(INDIRECT("Table1[Beginn]"),"&lt;="&amp;O$1,INDIRECT("Table1[Ende]"),"&gt;="&amp;O$1,INDIRECT("Table1[Obergruppe ATC-Code]"),Tabelle3!$A53)</f>
        <v>22</v>
      </c>
      <c r="P53" s="30">
        <f ca="1">COUNTIFS(INDIRECT("Table1[Beginn]"),"&lt;="&amp;P$1,INDIRECT("Table1[Ende]"),"&gt;="&amp;P$1,INDIRECT("Table1[Obergruppe ATC-Code]"),Tabelle3!$A53)</f>
        <v>19</v>
      </c>
      <c r="Q53" s="30">
        <f ca="1">COUNTIFS(INDIRECT("Table1[Beginn]"),"&lt;="&amp;Q$1,INDIRECT("Table1[Ende]"),"&gt;="&amp;Q$1,INDIRECT("Table1[Obergruppe ATC-Code]"),Tabelle3!$A53)</f>
        <v>17</v>
      </c>
      <c r="R53" s="30">
        <f ca="1">COUNTIFS(INDIRECT("Table1[Beginn]"),"&lt;="&amp;R$1,INDIRECT("Table1[Ende]"),"&gt;="&amp;R$1,INDIRECT("Table1[Obergruppe ATC-Code]"),Tabelle3!$A53)</f>
        <v>17</v>
      </c>
      <c r="S53" s="30">
        <f ca="1">COUNTIFS(INDIRECT("Table1[Beginn]"),"&lt;="&amp;S$1,INDIRECT("Table1[Ende]"),"&gt;="&amp;S$1,INDIRECT("Table1[Obergruppe ATC-Code]"),Tabelle3!$A53)</f>
        <v>18</v>
      </c>
      <c r="T53" s="30">
        <f ca="1">COUNTIFS(INDIRECT("Table1[Beginn]"),"&lt;="&amp;T$1,INDIRECT("Table1[Ende]"),"&gt;="&amp;T$1,INDIRECT("Table1[Obergruppe ATC-Code]"),Tabelle3!$A53)</f>
        <v>18</v>
      </c>
      <c r="U53" s="30">
        <f ca="1">COUNTIFS(INDIRECT("Table1[Beginn]"),"&lt;="&amp;U$1,INDIRECT("Table1[Ende]"),"&gt;="&amp;U$1,INDIRECT("Table1[Obergruppe ATC-Code]"),Tabelle3!$A53)</f>
        <v>17</v>
      </c>
      <c r="V53" s="30">
        <f ca="1">COUNTIFS(INDIRECT("Table1[Beginn]"),"&lt;="&amp;V$1,INDIRECT("Table1[Ende]"),"&gt;="&amp;V$1,INDIRECT("Table1[Obergruppe ATC-Code]"),Tabelle3!$A53)</f>
        <v>13</v>
      </c>
      <c r="W53" s="30">
        <f ca="1">COUNTIFS(INDIRECT("Table1[Beginn]"),"&lt;="&amp;W$1,INDIRECT("Table1[Ende]"),"&gt;="&amp;W$1,INDIRECT("Table1[Obergruppe ATC-Code]"),Tabelle3!$A53)</f>
        <v>13</v>
      </c>
      <c r="X53" s="30">
        <f ca="1">COUNTIFS(INDIRECT("Table1[Beginn]"),"&lt;="&amp;X$1,INDIRECT("Table1[Ende]"),"&gt;="&amp;X$1,INDIRECT("Table1[Obergruppe ATC-Code]"),Tabelle3!$A53)</f>
        <v>16</v>
      </c>
      <c r="Y53" s="30">
        <f ca="1">COUNTIFS(INDIRECT("Table1[Beginn]"),"&lt;="&amp;Y$1,INDIRECT("Table1[Ende]"),"&gt;="&amp;Y$1,INDIRECT("Table1[Obergruppe ATC-Code]"),Tabelle3!$A53)</f>
        <v>17</v>
      </c>
      <c r="Z53" s="30">
        <f ca="1">COUNTIFS(INDIRECT("Table1[Beginn]"),"&lt;="&amp;Z$1,INDIRECT("Table1[Ende]"),"&gt;="&amp;Z$1,INDIRECT("Table1[Obergruppe ATC-Code]"),Tabelle3!$A53)</f>
        <v>19</v>
      </c>
      <c r="AA53" s="30">
        <f ca="1">COUNTIFS(INDIRECT("Table1[Beginn]"),"&lt;="&amp;AA$1,INDIRECT("Table1[Ende]"),"&gt;="&amp;AA$1,INDIRECT("Table1[Obergruppe ATC-Code]"),Tabelle3!$A53)</f>
        <v>18</v>
      </c>
      <c r="AB53" s="30">
        <f ca="1">COUNTIFS(INDIRECT("Table1[Beginn]"),"&lt;="&amp;AB$1,INDIRECT("Table1[Ende]"),"&gt;="&amp;AB$1,INDIRECT("Table1[Obergruppe ATC-Code]"),Tabelle3!$A53)</f>
        <v>16</v>
      </c>
      <c r="AC53" s="30">
        <f ca="1">COUNTIFS(INDIRECT("Table1[Beginn]"),"&lt;="&amp;AC$1,INDIRECT("Table1[Ende]"),"&gt;="&amp;AC$1,INDIRECT("Table1[Obergruppe ATC-Code]"),Tabelle3!$A53)</f>
        <v>17</v>
      </c>
      <c r="AD53" s="30">
        <f ca="1">COUNTIFS(INDIRECT("Table1[Beginn]"),"&lt;="&amp;AD$1,INDIRECT("Table1[Ende]"),"&gt;="&amp;AD$1,INDIRECT("Table1[Obergruppe ATC-Code]"),Tabelle3!$A53)</f>
        <v>20</v>
      </c>
      <c r="AE53" s="30">
        <f ca="1">COUNTIFS(INDIRECT("Table1[Beginn]"),"&lt;="&amp;AE$1,INDIRECT("Table1[Ende]"),"&gt;="&amp;AE$1,INDIRECT("Table1[Obergruppe ATC-Code]"),Tabelle3!$A53)</f>
        <v>20</v>
      </c>
      <c r="AF53" s="30">
        <f ca="1">COUNTIFS(INDIRECT("Table1[Beginn]"),"&lt;="&amp;AF$1,INDIRECT("Table1[Ende]"),"&gt;="&amp;AF$1,INDIRECT("Table1[Obergruppe ATC-Code]"),Tabelle3!$A53)</f>
        <v>23</v>
      </c>
      <c r="AG53" s="30">
        <f ca="1">COUNTIFS(INDIRECT("Table1[Beginn]"),"&lt;="&amp;AG$1,INDIRECT("Table1[Ende]"),"&gt;="&amp;AG$1,INDIRECT("Table1[Obergruppe ATC-Code]"),Tabelle3!$A53)</f>
        <v>19</v>
      </c>
      <c r="AH53" s="30">
        <f ca="1">COUNTIFS(INDIRECT("Table1[Beginn]"),"&lt;="&amp;AH$1,INDIRECT("Table1[Ende]"),"&gt;="&amp;AH$1,INDIRECT("Table1[Obergruppe ATC-Code]"),Tabelle3!$A53)</f>
        <v>19</v>
      </c>
      <c r="AI53" s="30">
        <f ca="1">COUNTIFS(INDIRECT("Table1[Beginn]"),"&lt;="&amp;AI$1,INDIRECT("Table1[Ende]"),"&gt;="&amp;AI$1,INDIRECT("Table1[Obergruppe ATC-Code]"),Tabelle3!$A53)</f>
        <v>18</v>
      </c>
      <c r="AJ53" s="30">
        <f ca="1">COUNTIFS(INDIRECT("Table1[Beginn]"),"&lt;="&amp;AJ$1,INDIRECT("Table1[Ende]"),"&gt;="&amp;AJ$1,INDIRECT("Table1[Obergruppe ATC-Code]"),Tabelle3!$A53)</f>
        <v>19</v>
      </c>
      <c r="AK53" s="30">
        <f ca="1">COUNTIFS(INDIRECT("Table1[Beginn]"),"&lt;="&amp;AK$1,INDIRECT("Table1[Ende]"),"&gt;="&amp;AK$1,INDIRECT("Table1[Obergruppe ATC-Code]"),Tabelle3!$A53)</f>
        <v>17</v>
      </c>
      <c r="AL53" s="30">
        <f ca="1">COUNTIFS(INDIRECT("Table1[Beginn]"),"&lt;="&amp;AL$1,INDIRECT("Table1[Ende]"),"&gt;="&amp;AL$1,INDIRECT("Table1[Obergruppe ATC-Code]"),Tabelle3!$A53)</f>
        <v>19</v>
      </c>
      <c r="AM53" s="30">
        <f ca="1">COUNTIFS(INDIRECT("Table1[Beginn]"),"&lt;="&amp;AM$1,INDIRECT("Table1[Ende]"),"&gt;="&amp;AM$1,INDIRECT("Table1[Obergruppe ATC-Code]"),Tabelle3!$A53)</f>
        <v>58</v>
      </c>
      <c r="AN53" s="30">
        <f ca="1">COUNTIFS(INDIRECT("Table1[Beginn]"),"&lt;="&amp;AN$1,INDIRECT("Table1[Ende]"),"&gt;="&amp;AN$1,INDIRECT("Table1[Obergruppe ATC-Code]"),Tabelle3!$A53)</f>
        <v>67</v>
      </c>
      <c r="AO53" s="30">
        <f ca="1">COUNTIFS(INDIRECT("Table1[Beginn]"),"&lt;="&amp;AO$1,INDIRECT("Table1[Ende]"),"&gt;="&amp;AO$1,INDIRECT("Table1[Obergruppe ATC-Code]"),Tabelle3!$A53)</f>
        <v>62</v>
      </c>
      <c r="AP53" s="30">
        <f ca="1">COUNTIFS(INDIRECT("Table1[Beginn]"),"&lt;="&amp;AP$1,INDIRECT("Table1[Ende]"),"&gt;="&amp;AP$1,INDIRECT("Table1[Obergruppe ATC-Code]"),Tabelle3!$A53)</f>
        <v>53</v>
      </c>
      <c r="AQ53" s="30">
        <f ca="1">COUNTIFS(INDIRECT("Table1[Beginn]"),"&lt;="&amp;AQ$1,INDIRECT("Table1[Ende]"),"&gt;="&amp;AQ$1,INDIRECT("Table1[Obergruppe ATC-Code]"),Tabelle3!$A53)</f>
        <v>36</v>
      </c>
      <c r="AR53" s="30">
        <f ca="1">COUNTIFS(INDIRECT("Table1[Beginn]"),"&lt;="&amp;AR$1,INDIRECT("Table1[Ende]"),"&gt;="&amp;AR$1,INDIRECT("Table1[Obergruppe ATC-Code]"),Tabelle3!$A53)</f>
        <v>35</v>
      </c>
      <c r="AS53" s="30">
        <f ca="1">COUNTIFS(INDIRECT("Table1[Beginn]"),"&lt;="&amp;AS$1,INDIRECT("Table1[Ende]"),"&gt;="&amp;AS$1,INDIRECT("Table1[Obergruppe ATC-Code]"),Tabelle3!$A53)</f>
        <v>32</v>
      </c>
      <c r="AT53" s="30">
        <f ca="1">COUNTIFS(INDIRECT("Table1[Beginn]"),"&lt;="&amp;AT$1,INDIRECT("Table1[Ende]"),"&gt;="&amp;AT$1,INDIRECT("Table1[Obergruppe ATC-Code]"),Tabelle3!$A53)</f>
        <v>26</v>
      </c>
      <c r="AU53" s="30">
        <f ca="1">COUNTIFS(INDIRECT("Table1[Beginn]"),"&lt;="&amp;AU$1,INDIRECT("Table1[Ende]"),"&gt;="&amp;AU$1,INDIRECT("Table1[Obergruppe ATC-Code]"),Tabelle3!$A53)</f>
        <v>22</v>
      </c>
      <c r="AV53" s="30">
        <f ca="1">COUNTIFS(INDIRECT("Table1[Beginn]"),"&lt;="&amp;AV$1,INDIRECT("Table1[Ende]"),"&gt;="&amp;AV$1,INDIRECT("Table1[Obergruppe ATC-Code]"),Tabelle3!$A53)</f>
        <v>22</v>
      </c>
      <c r="AW53" s="30">
        <f ca="1">COUNTIFS(INDIRECT("Table1[Beginn]"),"&lt;="&amp;AW$1,INDIRECT("Table1[Ende]"),"&gt;="&amp;AW$1,INDIRECT("Table1[Obergruppe ATC-Code]"),Tabelle3!$A53)</f>
        <v>23</v>
      </c>
      <c r="AX53" s="30">
        <f ca="1">COUNTIFS(INDIRECT("Table1[Beginn]"),"&lt;="&amp;AX$1,INDIRECT("Table1[Ende]"),"&gt;="&amp;AX$1,INDIRECT("Table1[Obergruppe ATC-Code]"),Tabelle3!$A53)</f>
        <v>26</v>
      </c>
      <c r="AY53" s="30">
        <f ca="1">COUNTIFS(INDIRECT("Table1[Beginn]"),"&lt;="&amp;AY$1,INDIRECT("Table1[Ende]"),"&gt;="&amp;AY$1,INDIRECT("Table1[Obergruppe ATC-Code]"),Tabelle3!$A53)</f>
        <v>29</v>
      </c>
      <c r="AZ53" s="30">
        <f ca="1">COUNTIFS(INDIRECT("Table1[Beginn]"),"&lt;="&amp;AZ$1,INDIRECT("Table1[Ende]"),"&gt;="&amp;AZ$1,INDIRECT("Table1[Obergruppe ATC-Code]"),Tabelle3!$A53)</f>
        <v>29</v>
      </c>
      <c r="BA53" s="30">
        <f ca="1">COUNTIFS(INDIRECT("Table1[Beginn]"),"&lt;="&amp;BA$1,INDIRECT("Table1[Ende]"),"&gt;="&amp;BA$1,INDIRECT("Table1[Obergruppe ATC-Code]"),Tabelle3!$A53)</f>
        <v>25</v>
      </c>
      <c r="BB53" s="30">
        <f ca="1">COUNTIFS(INDIRECT("Table1[Beginn]"),"&lt;="&amp;BB$1,INDIRECT("Table1[Ende]"),"&gt;="&amp;BB$1,INDIRECT("Table1[Obergruppe ATC-Code]"),Tabelle3!$A53)</f>
        <v>25</v>
      </c>
      <c r="BC53" s="30">
        <f ca="1">COUNTIFS(INDIRECT("Table1[Beginn]"),"&lt;="&amp;BC$1,INDIRECT("Table1[Ende]"),"&gt;="&amp;BC$1,INDIRECT("Table1[Obergruppe ATC-Code]"),Tabelle3!$A53)</f>
        <v>24</v>
      </c>
      <c r="BD53" s="30">
        <f ca="1">COUNTIFS(INDIRECT("Table1[Beginn]"),"&lt;="&amp;BD$1,INDIRECT("Table1[Ende]"),"&gt;="&amp;BD$1,INDIRECT("Table1[Obergruppe ATC-Code]"),Tabelle3!$A53)</f>
        <v>23</v>
      </c>
      <c r="BE53" s="30">
        <f ca="1">COUNTIFS(INDIRECT("Table1[Beginn]"),"&lt;="&amp;BE$1,INDIRECT("Table1[Ende]"),"&gt;="&amp;BE$1,INDIRECT("Table1[Obergruppe ATC-Code]"),Tabelle3!$A53)</f>
        <v>23</v>
      </c>
      <c r="BF53" s="30">
        <f ca="1">COUNTIFS(INDIRECT("Table1[Beginn]"),"&lt;="&amp;BF$1,INDIRECT("Table1[Ende]"),"&gt;="&amp;BF$1,INDIRECT("Table1[Obergruppe ATC-Code]"),Tabelle3!$A53)</f>
        <v>23</v>
      </c>
      <c r="BG53" s="30">
        <f ca="1">COUNTIFS(INDIRECT("Table1[Beginn]"),"&lt;="&amp;BG$1,INDIRECT("Table1[Ende]"),"&gt;="&amp;BG$1,INDIRECT("Table1[Obergruppe ATC-Code]"),Tabelle3!$A53)</f>
        <v>25</v>
      </c>
      <c r="BH53" s="30">
        <f ca="1">COUNTIFS(INDIRECT("Table1[Beginn]"),"&lt;="&amp;BH$1,INDIRECT("Table1[Ende]"),"&gt;="&amp;BH$1,INDIRECT("Table1[Obergruppe ATC-Code]"),Tabelle3!$A53)</f>
        <v>23</v>
      </c>
      <c r="BI53" s="30">
        <f ca="1">COUNTIFS(INDIRECT("Table1[Beginn]"),"&lt;="&amp;BI$1,INDIRECT("Table1[Ende]"),"&gt;="&amp;BI$1,INDIRECT("Table1[Obergruppe ATC-Code]"),Tabelle3!$A53)</f>
        <v>24</v>
      </c>
      <c r="BJ53" s="30">
        <f ca="1">COUNTIFS(INDIRECT("Table1[Beginn]"),"&lt;="&amp;BJ$1,INDIRECT("Table1[Ende]"),"&gt;="&amp;BJ$1,INDIRECT("Table1[Obergruppe ATC-Code]"),Tabelle3!$A53)</f>
        <v>24</v>
      </c>
      <c r="BK53" s="30">
        <f ca="1">COUNTIFS(INDIRECT("Table1[Beginn]"),"&lt;="&amp;BK$1,INDIRECT("Table1[Ende]"),"&gt;="&amp;BK$1,INDIRECT("Table1[Obergruppe ATC-Code]"),Tabelle3!$A53)</f>
        <v>18</v>
      </c>
      <c r="BL53" s="30">
        <f ca="1">COUNTIFS(INDIRECT("Table1[Beginn]"),"&lt;="&amp;BL$1,INDIRECT("Table1[Ende]"),"&gt;="&amp;BL$1,INDIRECT("Table1[Obergruppe ATC-Code]"),Tabelle3!$A53)</f>
        <v>16</v>
      </c>
      <c r="BM53" s="30">
        <f ca="1">COUNTIFS(INDIRECT("Table1[Beginn]"),"&lt;="&amp;BM$1,INDIRECT("Table1[Ende]"),"&gt;="&amp;BM$1,INDIRECT("Table1[Obergruppe ATC-Code]"),Tabelle3!$A53)</f>
        <v>23</v>
      </c>
      <c r="BN53" s="30">
        <f ca="1">COUNTIFS(INDIRECT("Table1[Beginn]"),"&lt;="&amp;BN$1,INDIRECT("Table1[Ende]"),"&gt;="&amp;BN$1,INDIRECT("Table1[Obergruppe ATC-Code]"),Tabelle3!$A53)</f>
        <v>29</v>
      </c>
      <c r="BO53" s="30">
        <f ca="1">COUNTIFS(INDIRECT("Table1[Beginn]"),"&lt;="&amp;BO$1,INDIRECT("Table1[Ende]"),"&gt;="&amp;BO$1,INDIRECT("Table1[Obergruppe ATC-Code]"),Tabelle3!$A53)</f>
        <v>22</v>
      </c>
      <c r="BP53" s="30">
        <f ca="1">COUNTIFS(INDIRECT("Table1[Beginn]"),"&lt;="&amp;BP$1,INDIRECT("Table1[Ende]"),"&gt;="&amp;BP$1,INDIRECT("Table1[Obergruppe ATC-Code]"),Tabelle3!$A53)</f>
        <v>22</v>
      </c>
      <c r="BQ53" s="30">
        <f ca="1">COUNTIFS(INDIRECT("Table1[Beginn]"),"&lt;="&amp;BQ$1,INDIRECT("Table1[Ende]"),"&gt;="&amp;BQ$1,INDIRECT("Table1[Obergruppe ATC-Code]"),Tabelle3!$A53)</f>
        <v>27</v>
      </c>
      <c r="BR53" s="30">
        <f ca="1">COUNTIFS(INDIRECT("Table1[Beginn]"),"&lt;="&amp;BR$1,INDIRECT("Table1[Ende]"),"&gt;="&amp;BR$1,INDIRECT("Table1[Obergruppe ATC-Code]"),Tabelle3!$A53)</f>
        <v>46</v>
      </c>
      <c r="BS53" s="30">
        <f ca="1">COUNTIFS(INDIRECT("Table1[Beginn]"),"&lt;="&amp;BS$1,INDIRECT("Table1[Ende]"),"&gt;="&amp;BS$1,INDIRECT("Table1[Obergruppe ATC-Code]"),Tabelle3!$A53)</f>
        <v>47</v>
      </c>
      <c r="BT53" s="30">
        <f ca="1">COUNTIFS(INDIRECT("Table1[Beginn]"),"&lt;="&amp;BT$1,INDIRECT("Table1[Ende]"),"&gt;="&amp;BT$1,INDIRECT("Table1[Obergruppe ATC-Code]"),Tabelle3!$A53)</f>
        <v>56</v>
      </c>
      <c r="BU53" s="30">
        <f ca="1">COUNTIFS(INDIRECT("Table1[Beginn]"),"&lt;="&amp;BU$1,INDIRECT("Table1[Ende]"),"&gt;="&amp;BU$1,INDIRECT("Table1[Obergruppe ATC-Code]"),Tabelle3!$A53)</f>
        <v>83</v>
      </c>
      <c r="BV53" s="30">
        <f ca="1">COUNTIFS(INDIRECT("Table1[Beginn]"),"&lt;="&amp;BV$1,INDIRECT("Table1[Ende]"),"&gt;="&amp;BV$1,INDIRECT("Table1[Obergruppe ATC-Code]"),Tabelle3!$A53)</f>
        <v>85</v>
      </c>
      <c r="BW53" s="30">
        <f ca="1">COUNTIFS(INDIRECT("Table1[Beginn]"),"&lt;="&amp;BW$1,INDIRECT("Table1[Ende]"),"&gt;="&amp;BW$1,INDIRECT("Table1[Obergruppe ATC-Code]"),Tabelle3!$A53)</f>
        <v>99</v>
      </c>
      <c r="BX53" s="30">
        <f ca="1">COUNTIFS(INDIRECT("Table1[Beginn]"),"&lt;="&amp;BX$1,INDIRECT("Table1[Ende]"),"&gt;="&amp;BX$1,INDIRECT("Table1[Obergruppe ATC-Code]"),Tabelle3!$A53)</f>
        <v>112</v>
      </c>
      <c r="BY53" s="30">
        <f ca="1">COUNTIFS(INDIRECT("Table1[Beginn]"),"&lt;="&amp;BY$1,INDIRECT("Table1[Ende]"),"&gt;="&amp;BY$1,INDIRECT("Table1[Obergruppe ATC-Code]"),Tabelle3!$A53)</f>
        <v>112</v>
      </c>
      <c r="BZ53" s="30">
        <f ca="1">COUNTIFS(INDIRECT("Table1[Beginn]"),"&lt;="&amp;BZ$1,INDIRECT("Table1[Ende]"),"&gt;="&amp;BZ$1,INDIRECT("Table1[Obergruppe ATC-Code]"),Tabelle3!$A53)</f>
        <v>123</v>
      </c>
      <c r="CA53" s="30">
        <f ca="1">COUNTIFS(INDIRECT("Table1[Beginn]"),"&lt;="&amp;CA$1,INDIRECT("Table1[Ende]"),"&gt;="&amp;CA$1,INDIRECT("Table1[Obergruppe ATC-Code]"),Tabelle3!$A53)</f>
        <v>119</v>
      </c>
      <c r="CB53" s="30">
        <f ca="1">COUNTIFS(INDIRECT("Table1[Beginn]"),"&lt;="&amp;CB$1,INDIRECT("Table1[Ende]"),"&gt;="&amp;CB$1,INDIRECT("Table1[Obergruppe ATC-Code]"),Tabelle3!$A53)</f>
        <v>107</v>
      </c>
      <c r="CC53" s="30">
        <f ca="1">COUNTIFS(INDIRECT("Table1[Beginn]"),"&lt;="&amp;CC$1,INDIRECT("Table1[Ende]"),"&gt;="&amp;CC$1,INDIRECT("Table1[Obergruppe ATC-Code]"),Tabelle3!$A53)</f>
        <v>102</v>
      </c>
      <c r="CD53" s="30">
        <f ca="1">COUNTIFS(INDIRECT("Table1[Beginn]"),"&lt;="&amp;CD$1,INDIRECT("Table1[Ende]"),"&gt;="&amp;CD$1,INDIRECT("Table1[Obergruppe ATC-Code]"),Tabelle3!$A53)</f>
        <v>102</v>
      </c>
      <c r="CE53" s="30">
        <f ca="1">COUNTIFS(INDIRECT("Table1[Beginn]"),"&lt;="&amp;CE$1,INDIRECT("Table1[Ende]"),"&gt;="&amp;CE$1,INDIRECT("Table1[Obergruppe ATC-Code]"),Tabelle3!$A53)</f>
        <v>78</v>
      </c>
      <c r="CF53" s="30">
        <f ca="1">COUNTIFS(INDIRECT("Table1[Beginn]"),"&lt;="&amp;CF$1,INDIRECT("Table1[Ende]"),"&gt;="&amp;CF$1,INDIRECT("Table1[Obergruppe ATC-Code]"),Tabelle3!$A53)</f>
        <v>53</v>
      </c>
      <c r="CG53" s="30">
        <f ca="1">COUNTIFS(INDIRECT("Table1[Beginn]"),"&lt;="&amp;CG$1,INDIRECT("Table1[Ende]"),"&gt;="&amp;CG$1,INDIRECT("Table1[Obergruppe ATC-Code]"),Tabelle3!$A53)</f>
        <v>30</v>
      </c>
      <c r="CH53" s="30">
        <f ca="1">COUNTIFS(INDIRECT("Table1[Beginn]"),"&lt;="&amp;CH$1,INDIRECT("Table1[Ende]"),"&gt;="&amp;CH$1,INDIRECT("Table1[Obergruppe ATC-Code]"),Tabelle3!$A53)</f>
        <v>19</v>
      </c>
      <c r="CI53" s="30">
        <f ca="1">COUNTIFS(INDIRECT("Table1[Beginn]"),"&lt;="&amp;CI$1,INDIRECT("Table1[Ende]"),"&gt;="&amp;CI$1,INDIRECT("Table1[Obergruppe ATC-Code]"),Tabelle3!$A53)</f>
        <v>11</v>
      </c>
      <c r="CJ53" s="30">
        <f ca="1">COUNTIFS(INDIRECT("Table1[Beginn]"),"&lt;="&amp;CJ$1,INDIRECT("Table1[Ende]"),"&gt;="&amp;CJ$1,INDIRECT("Table1[Obergruppe ATC-Code]"),Tabelle3!$A53)</f>
        <v>6</v>
      </c>
      <c r="CK53" s="30">
        <f ca="1">COUNTIFS(INDIRECT("Table1[Beginn]"),"&lt;="&amp;CK$1,INDIRECT("Table1[Ende]"),"&gt;="&amp;CK$1,INDIRECT("Table1[Obergruppe ATC-Code]"),Tabelle3!$A53)</f>
        <v>2</v>
      </c>
      <c r="CL53" s="30">
        <f ca="1">COUNTIFS(INDIRECT("Table1[Beginn]"),"&lt;="&amp;CL$1,INDIRECT("Table1[Ende]"),"&gt;="&amp;CL$1,INDIRECT("Table1[Obergruppe ATC-Code]"),Tabelle3!$A53)</f>
        <v>2</v>
      </c>
      <c r="CM53" s="30">
        <f ca="1">COUNTIFS(INDIRECT("Table1[Beginn]"),"&lt;="&amp;CM$1,INDIRECT("Table1[Ende]"),"&gt;="&amp;CM$1,INDIRECT("Table1[Obergruppe ATC-Code]"),Tabelle3!$A53)</f>
        <v>2</v>
      </c>
      <c r="CN53" s="30">
        <f ca="1">COUNTIFS(INDIRECT("Table1[Beginn]"),"&lt;="&amp;CN$1,INDIRECT("Table1[Ende]"),"&gt;="&amp;CN$1,INDIRECT("Table1[Obergruppe ATC-Code]"),Tabelle3!$A53)</f>
        <v>2</v>
      </c>
      <c r="CO53" s="30">
        <f ca="1">COUNTIFS(INDIRECT("Table1[Beginn]"),"&lt;="&amp;CO$1,INDIRECT("Table1[Ende]"),"&gt;="&amp;CO$1,INDIRECT("Table1[Obergruppe ATC-Code]"),Tabelle3!$A53)</f>
        <v>2</v>
      </c>
      <c r="CP53" s="30">
        <f ca="1">COUNTIFS(INDIRECT("Table1[Beginn]"),"&lt;="&amp;CP$1,INDIRECT("Table1[Ende]"),"&gt;="&amp;CP$1,INDIRECT("Table1[Obergruppe ATC-Code]"),Tabelle3!$A53)</f>
        <v>2</v>
      </c>
      <c r="CQ53" s="30">
        <f ca="1">COUNTIFS(INDIRECT("Table1[Beginn]"),"&lt;="&amp;CQ$1,INDIRECT("Table1[Ende]"),"&gt;="&amp;CQ$1,INDIRECT("Table1[Obergruppe ATC-Code]"),Tabelle3!$A53)</f>
        <v>2</v>
      </c>
      <c r="CR53" s="30">
        <f ca="1">COUNTIFS(INDIRECT("Table1[Beginn]"),"&lt;="&amp;CR$1,INDIRECT("Table1[Ende]"),"&gt;="&amp;CR$1,INDIRECT("Table1[Obergruppe ATC-Code]"),Tabelle3!$A53)</f>
        <v>2</v>
      </c>
    </row>
    <row r="54" spans="1:96" ht="18">
      <c r="A54" s="7" t="s">
        <v>6877</v>
      </c>
      <c r="B54" s="8" t="s">
        <v>6878</v>
      </c>
      <c r="C54">
        <f ca="1">COUNTIFS(INDIRECT("Table1[Beginn]"),"&lt;="&amp;C$1,INDIRECT("Table1[Ende]"),"&gt;="&amp;C$1,INDIRECT("Table1[Obergruppe ATC-Code]"),Tabelle3!$A54)</f>
        <v>0</v>
      </c>
      <c r="D54">
        <f ca="1">COUNTIFS(INDIRECT("Table1[Beginn]"),"&lt;="&amp;D$1,INDIRECT("Table1[Ende]"),"&gt;="&amp;D$1,INDIRECT("Table1[Obergruppe ATC-Code]"),Tabelle3!$A54)</f>
        <v>0</v>
      </c>
      <c r="E54">
        <f ca="1">COUNTIFS(INDIRECT("Table1[Beginn]"),"&lt;="&amp;E$1,INDIRECT("Table1[Ende]"),"&gt;="&amp;E$1,INDIRECT("Table1[Obergruppe ATC-Code]"),Tabelle3!$A54)</f>
        <v>0</v>
      </c>
      <c r="F54">
        <f ca="1">COUNTIFS(INDIRECT("Table1[Beginn]"),"&lt;="&amp;F$1,INDIRECT("Table1[Ende]"),"&gt;="&amp;F$1,INDIRECT("Table1[Obergruppe ATC-Code]"),Tabelle3!$A54)</f>
        <v>0</v>
      </c>
      <c r="G54">
        <f ca="1">COUNTIFS(INDIRECT("Table1[Beginn]"),"&lt;="&amp;G$1,INDIRECT("Table1[Ende]"),"&gt;="&amp;G$1,INDIRECT("Table1[Obergruppe ATC-Code]"),Tabelle3!$A54)</f>
        <v>0</v>
      </c>
      <c r="H54">
        <f ca="1">COUNTIFS(INDIRECT("Table1[Beginn]"),"&lt;="&amp;H$1,INDIRECT("Table1[Ende]"),"&gt;="&amp;H$1,INDIRECT("Table1[Obergruppe ATC-Code]"),Tabelle3!$A54)</f>
        <v>0</v>
      </c>
      <c r="I54">
        <f ca="1">COUNTIFS(INDIRECT("Table1[Beginn]"),"&lt;="&amp;I$1,INDIRECT("Table1[Ende]"),"&gt;="&amp;I$1,INDIRECT("Table1[Obergruppe ATC-Code]"),Tabelle3!$A54)</f>
        <v>0</v>
      </c>
      <c r="J54">
        <f ca="1">COUNTIFS(INDIRECT("Table1[Beginn]"),"&lt;="&amp;J$1,INDIRECT("Table1[Ende]"),"&gt;="&amp;J$1,INDIRECT("Table1[Obergruppe ATC-Code]"),Tabelle3!$A54)</f>
        <v>2</v>
      </c>
      <c r="K54">
        <f ca="1">COUNTIFS(INDIRECT("Table1[Beginn]"),"&lt;="&amp;K$1,INDIRECT("Table1[Ende]"),"&gt;="&amp;K$1,INDIRECT("Table1[Obergruppe ATC-Code]"),Tabelle3!$A54)</f>
        <v>2</v>
      </c>
      <c r="L54">
        <f ca="1">COUNTIFS(INDIRECT("Table1[Beginn]"),"&lt;="&amp;L$1,INDIRECT("Table1[Ende]"),"&gt;="&amp;L$1,INDIRECT("Table1[Obergruppe ATC-Code]"),Tabelle3!$A54)</f>
        <v>0</v>
      </c>
      <c r="M54">
        <f ca="1">COUNTIFS(INDIRECT("Table1[Beginn]"),"&lt;="&amp;M$1,INDIRECT("Table1[Ende]"),"&gt;="&amp;M$1,INDIRECT("Table1[Obergruppe ATC-Code]"),Tabelle3!$A54)</f>
        <v>0</v>
      </c>
      <c r="N54">
        <f ca="1">COUNTIFS(INDIRECT("Table1[Beginn]"),"&lt;="&amp;N$1,INDIRECT("Table1[Ende]"),"&gt;="&amp;N$1,INDIRECT("Table1[Obergruppe ATC-Code]"),Tabelle3!$A54)</f>
        <v>1</v>
      </c>
      <c r="O54">
        <f ca="1">COUNTIFS(INDIRECT("Table1[Beginn]"),"&lt;="&amp;O$1,INDIRECT("Table1[Ende]"),"&gt;="&amp;O$1,INDIRECT("Table1[Obergruppe ATC-Code]"),Tabelle3!$A54)</f>
        <v>1</v>
      </c>
      <c r="P54">
        <f ca="1">COUNTIFS(INDIRECT("Table1[Beginn]"),"&lt;="&amp;P$1,INDIRECT("Table1[Ende]"),"&gt;="&amp;P$1,INDIRECT("Table1[Obergruppe ATC-Code]"),Tabelle3!$A54)</f>
        <v>1</v>
      </c>
      <c r="Q54">
        <f ca="1">COUNTIFS(INDIRECT("Table1[Beginn]"),"&lt;="&amp;Q$1,INDIRECT("Table1[Ende]"),"&gt;="&amp;Q$1,INDIRECT("Table1[Obergruppe ATC-Code]"),Tabelle3!$A54)</f>
        <v>1</v>
      </c>
      <c r="R54">
        <f ca="1">COUNTIFS(INDIRECT("Table1[Beginn]"),"&lt;="&amp;R$1,INDIRECT("Table1[Ende]"),"&gt;="&amp;R$1,INDIRECT("Table1[Obergruppe ATC-Code]"),Tabelle3!$A54)</f>
        <v>0</v>
      </c>
      <c r="S54">
        <f ca="1">COUNTIFS(INDIRECT("Table1[Beginn]"),"&lt;="&amp;S$1,INDIRECT("Table1[Ende]"),"&gt;="&amp;S$1,INDIRECT("Table1[Obergruppe ATC-Code]"),Tabelle3!$A54)</f>
        <v>0</v>
      </c>
      <c r="T54">
        <f ca="1">COUNTIFS(INDIRECT("Table1[Beginn]"),"&lt;="&amp;T$1,INDIRECT("Table1[Ende]"),"&gt;="&amp;T$1,INDIRECT("Table1[Obergruppe ATC-Code]"),Tabelle3!$A54)</f>
        <v>0</v>
      </c>
      <c r="U54">
        <f ca="1">COUNTIFS(INDIRECT("Table1[Beginn]"),"&lt;="&amp;U$1,INDIRECT("Table1[Ende]"),"&gt;="&amp;U$1,INDIRECT("Table1[Obergruppe ATC-Code]"),Tabelle3!$A54)</f>
        <v>0</v>
      </c>
      <c r="V54">
        <f ca="1">COUNTIFS(INDIRECT("Table1[Beginn]"),"&lt;="&amp;V$1,INDIRECT("Table1[Ende]"),"&gt;="&amp;V$1,INDIRECT("Table1[Obergruppe ATC-Code]"),Tabelle3!$A54)</f>
        <v>0</v>
      </c>
      <c r="W54">
        <f ca="1">COUNTIFS(INDIRECT("Table1[Beginn]"),"&lt;="&amp;W$1,INDIRECT("Table1[Ende]"),"&gt;="&amp;W$1,INDIRECT("Table1[Obergruppe ATC-Code]"),Tabelle3!$A54)</f>
        <v>0</v>
      </c>
      <c r="X54">
        <f ca="1">COUNTIFS(INDIRECT("Table1[Beginn]"),"&lt;="&amp;X$1,INDIRECT("Table1[Ende]"),"&gt;="&amp;X$1,INDIRECT("Table1[Obergruppe ATC-Code]"),Tabelle3!$A54)</f>
        <v>0</v>
      </c>
      <c r="Y54">
        <f ca="1">COUNTIFS(INDIRECT("Table1[Beginn]"),"&lt;="&amp;Y$1,INDIRECT("Table1[Ende]"),"&gt;="&amp;Y$1,INDIRECT("Table1[Obergruppe ATC-Code]"),Tabelle3!$A54)</f>
        <v>1</v>
      </c>
      <c r="Z54">
        <f ca="1">COUNTIFS(INDIRECT("Table1[Beginn]"),"&lt;="&amp;Z$1,INDIRECT("Table1[Ende]"),"&gt;="&amp;Z$1,INDIRECT("Table1[Obergruppe ATC-Code]"),Tabelle3!$A54)</f>
        <v>1</v>
      </c>
      <c r="AA54">
        <f ca="1">COUNTIFS(INDIRECT("Table1[Beginn]"),"&lt;="&amp;AA$1,INDIRECT("Table1[Ende]"),"&gt;="&amp;AA$1,INDIRECT("Table1[Obergruppe ATC-Code]"),Tabelle3!$A54)</f>
        <v>0</v>
      </c>
      <c r="AB54">
        <f ca="1">COUNTIFS(INDIRECT("Table1[Beginn]"),"&lt;="&amp;AB$1,INDIRECT("Table1[Ende]"),"&gt;="&amp;AB$1,INDIRECT("Table1[Obergruppe ATC-Code]"),Tabelle3!$A54)</f>
        <v>1</v>
      </c>
      <c r="AC54">
        <f ca="1">COUNTIFS(INDIRECT("Table1[Beginn]"),"&lt;="&amp;AC$1,INDIRECT("Table1[Ende]"),"&gt;="&amp;AC$1,INDIRECT("Table1[Obergruppe ATC-Code]"),Tabelle3!$A54)</f>
        <v>1</v>
      </c>
      <c r="AD54">
        <f ca="1">COUNTIFS(INDIRECT("Table1[Beginn]"),"&lt;="&amp;AD$1,INDIRECT("Table1[Ende]"),"&gt;="&amp;AD$1,INDIRECT("Table1[Obergruppe ATC-Code]"),Tabelle3!$A54)</f>
        <v>1</v>
      </c>
      <c r="AE54">
        <f ca="1">COUNTIFS(INDIRECT("Table1[Beginn]"),"&lt;="&amp;AE$1,INDIRECT("Table1[Ende]"),"&gt;="&amp;AE$1,INDIRECT("Table1[Obergruppe ATC-Code]"),Tabelle3!$A54)</f>
        <v>1</v>
      </c>
      <c r="AF54">
        <f ca="1">COUNTIFS(INDIRECT("Table1[Beginn]"),"&lt;="&amp;AF$1,INDIRECT("Table1[Ende]"),"&gt;="&amp;AF$1,INDIRECT("Table1[Obergruppe ATC-Code]"),Tabelle3!$A54)</f>
        <v>0</v>
      </c>
      <c r="AG54">
        <f ca="1">COUNTIFS(INDIRECT("Table1[Beginn]"),"&lt;="&amp;AG$1,INDIRECT("Table1[Ende]"),"&gt;="&amp;AG$1,INDIRECT("Table1[Obergruppe ATC-Code]"),Tabelle3!$A54)</f>
        <v>0</v>
      </c>
      <c r="AH54">
        <f ca="1">COUNTIFS(INDIRECT("Table1[Beginn]"),"&lt;="&amp;AH$1,INDIRECT("Table1[Ende]"),"&gt;="&amp;AH$1,INDIRECT("Table1[Obergruppe ATC-Code]"),Tabelle3!$A54)</f>
        <v>0</v>
      </c>
      <c r="AI54">
        <f ca="1">COUNTIFS(INDIRECT("Table1[Beginn]"),"&lt;="&amp;AI$1,INDIRECT("Table1[Ende]"),"&gt;="&amp;AI$1,INDIRECT("Table1[Obergruppe ATC-Code]"),Tabelle3!$A54)</f>
        <v>0</v>
      </c>
      <c r="AJ54">
        <f ca="1">COUNTIFS(INDIRECT("Table1[Beginn]"),"&lt;="&amp;AJ$1,INDIRECT("Table1[Ende]"),"&gt;="&amp;AJ$1,INDIRECT("Table1[Obergruppe ATC-Code]"),Tabelle3!$A54)</f>
        <v>1</v>
      </c>
      <c r="AK54">
        <f ca="1">COUNTIFS(INDIRECT("Table1[Beginn]"),"&lt;="&amp;AK$1,INDIRECT("Table1[Ende]"),"&gt;="&amp;AK$1,INDIRECT("Table1[Obergruppe ATC-Code]"),Tabelle3!$A54)</f>
        <v>1</v>
      </c>
      <c r="AL54">
        <f ca="1">COUNTIFS(INDIRECT("Table1[Beginn]"),"&lt;="&amp;AL$1,INDIRECT("Table1[Ende]"),"&gt;="&amp;AL$1,INDIRECT("Table1[Obergruppe ATC-Code]"),Tabelle3!$A54)</f>
        <v>2</v>
      </c>
      <c r="AM54">
        <f ca="1">COUNTIFS(INDIRECT("Table1[Beginn]"),"&lt;="&amp;AM$1,INDIRECT("Table1[Ende]"),"&gt;="&amp;AM$1,INDIRECT("Table1[Obergruppe ATC-Code]"),Tabelle3!$A54)</f>
        <v>2</v>
      </c>
      <c r="AN54">
        <f ca="1">COUNTIFS(INDIRECT("Table1[Beginn]"),"&lt;="&amp;AN$1,INDIRECT("Table1[Ende]"),"&gt;="&amp;AN$1,INDIRECT("Table1[Obergruppe ATC-Code]"),Tabelle3!$A54)</f>
        <v>4</v>
      </c>
      <c r="AO54">
        <f ca="1">COUNTIFS(INDIRECT("Table1[Beginn]"),"&lt;="&amp;AO$1,INDIRECT("Table1[Ende]"),"&gt;="&amp;AO$1,INDIRECT("Table1[Obergruppe ATC-Code]"),Tabelle3!$A54)</f>
        <v>5</v>
      </c>
      <c r="AP54">
        <f ca="1">COUNTIFS(INDIRECT("Table1[Beginn]"),"&lt;="&amp;AP$1,INDIRECT("Table1[Ende]"),"&gt;="&amp;AP$1,INDIRECT("Table1[Obergruppe ATC-Code]"),Tabelle3!$A54)</f>
        <v>5</v>
      </c>
      <c r="AQ54">
        <f ca="1">COUNTIFS(INDIRECT("Table1[Beginn]"),"&lt;="&amp;AQ$1,INDIRECT("Table1[Ende]"),"&gt;="&amp;AQ$1,INDIRECT("Table1[Obergruppe ATC-Code]"),Tabelle3!$A54)</f>
        <v>4</v>
      </c>
      <c r="AR54">
        <f ca="1">COUNTIFS(INDIRECT("Table1[Beginn]"),"&lt;="&amp;AR$1,INDIRECT("Table1[Ende]"),"&gt;="&amp;AR$1,INDIRECT("Table1[Obergruppe ATC-Code]"),Tabelle3!$A54)</f>
        <v>2</v>
      </c>
      <c r="AS54">
        <f ca="1">COUNTIFS(INDIRECT("Table1[Beginn]"),"&lt;="&amp;AS$1,INDIRECT("Table1[Ende]"),"&gt;="&amp;AS$1,INDIRECT("Table1[Obergruppe ATC-Code]"),Tabelle3!$A54)</f>
        <v>3</v>
      </c>
      <c r="AT54">
        <f ca="1">COUNTIFS(INDIRECT("Table1[Beginn]"),"&lt;="&amp;AT$1,INDIRECT("Table1[Ende]"),"&gt;="&amp;AT$1,INDIRECT("Table1[Obergruppe ATC-Code]"),Tabelle3!$A54)</f>
        <v>3</v>
      </c>
      <c r="AU54">
        <f ca="1">COUNTIFS(INDIRECT("Table1[Beginn]"),"&lt;="&amp;AU$1,INDIRECT("Table1[Ende]"),"&gt;="&amp;AU$1,INDIRECT("Table1[Obergruppe ATC-Code]"),Tabelle3!$A54)</f>
        <v>2</v>
      </c>
      <c r="AV54">
        <f ca="1">COUNTIFS(INDIRECT("Table1[Beginn]"),"&lt;="&amp;AV$1,INDIRECT("Table1[Ende]"),"&gt;="&amp;AV$1,INDIRECT("Table1[Obergruppe ATC-Code]"),Tabelle3!$A54)</f>
        <v>2</v>
      </c>
      <c r="AW54">
        <f ca="1">COUNTIFS(INDIRECT("Table1[Beginn]"),"&lt;="&amp;AW$1,INDIRECT("Table1[Ende]"),"&gt;="&amp;AW$1,INDIRECT("Table1[Obergruppe ATC-Code]"),Tabelle3!$A54)</f>
        <v>2</v>
      </c>
      <c r="AX54">
        <f ca="1">COUNTIFS(INDIRECT("Table1[Beginn]"),"&lt;="&amp;AX$1,INDIRECT("Table1[Ende]"),"&gt;="&amp;AX$1,INDIRECT("Table1[Obergruppe ATC-Code]"),Tabelle3!$A54)</f>
        <v>2</v>
      </c>
      <c r="AY54">
        <f ca="1">COUNTIFS(INDIRECT("Table1[Beginn]"),"&lt;="&amp;AY$1,INDIRECT("Table1[Ende]"),"&gt;="&amp;AY$1,INDIRECT("Table1[Obergruppe ATC-Code]"),Tabelle3!$A54)</f>
        <v>3</v>
      </c>
      <c r="AZ54">
        <f ca="1">COUNTIFS(INDIRECT("Table1[Beginn]"),"&lt;="&amp;AZ$1,INDIRECT("Table1[Ende]"),"&gt;="&amp;AZ$1,INDIRECT("Table1[Obergruppe ATC-Code]"),Tabelle3!$A54)</f>
        <v>3</v>
      </c>
      <c r="BA54">
        <f ca="1">COUNTIFS(INDIRECT("Table1[Beginn]"),"&lt;="&amp;BA$1,INDIRECT("Table1[Ende]"),"&gt;="&amp;BA$1,INDIRECT("Table1[Obergruppe ATC-Code]"),Tabelle3!$A54)</f>
        <v>4</v>
      </c>
      <c r="BB54">
        <f ca="1">COUNTIFS(INDIRECT("Table1[Beginn]"),"&lt;="&amp;BB$1,INDIRECT("Table1[Ende]"),"&gt;="&amp;BB$1,INDIRECT("Table1[Obergruppe ATC-Code]"),Tabelle3!$A54)</f>
        <v>4</v>
      </c>
      <c r="BC54">
        <f ca="1">COUNTIFS(INDIRECT("Table1[Beginn]"),"&lt;="&amp;BC$1,INDIRECT("Table1[Ende]"),"&gt;="&amp;BC$1,INDIRECT("Table1[Obergruppe ATC-Code]"),Tabelle3!$A54)</f>
        <v>2</v>
      </c>
      <c r="BD54">
        <f ca="1">COUNTIFS(INDIRECT("Table1[Beginn]"),"&lt;="&amp;BD$1,INDIRECT("Table1[Ende]"),"&gt;="&amp;BD$1,INDIRECT("Table1[Obergruppe ATC-Code]"),Tabelle3!$A54)</f>
        <v>2</v>
      </c>
      <c r="BE54">
        <f ca="1">COUNTIFS(INDIRECT("Table1[Beginn]"),"&lt;="&amp;BE$1,INDIRECT("Table1[Ende]"),"&gt;="&amp;BE$1,INDIRECT("Table1[Obergruppe ATC-Code]"),Tabelle3!$A54)</f>
        <v>2</v>
      </c>
      <c r="BF54">
        <f ca="1">COUNTIFS(INDIRECT("Table1[Beginn]"),"&lt;="&amp;BF$1,INDIRECT("Table1[Ende]"),"&gt;="&amp;BF$1,INDIRECT("Table1[Obergruppe ATC-Code]"),Tabelle3!$A54)</f>
        <v>2</v>
      </c>
      <c r="BG54">
        <f ca="1">COUNTIFS(INDIRECT("Table1[Beginn]"),"&lt;="&amp;BG$1,INDIRECT("Table1[Ende]"),"&gt;="&amp;BG$1,INDIRECT("Table1[Obergruppe ATC-Code]"),Tabelle3!$A54)</f>
        <v>1</v>
      </c>
      <c r="BH54">
        <f ca="1">COUNTIFS(INDIRECT("Table1[Beginn]"),"&lt;="&amp;BH$1,INDIRECT("Table1[Ende]"),"&gt;="&amp;BH$1,INDIRECT("Table1[Obergruppe ATC-Code]"),Tabelle3!$A54)</f>
        <v>1</v>
      </c>
      <c r="BI54">
        <f ca="1">COUNTIFS(INDIRECT("Table1[Beginn]"),"&lt;="&amp;BI$1,INDIRECT("Table1[Ende]"),"&gt;="&amp;BI$1,INDIRECT("Table1[Obergruppe ATC-Code]"),Tabelle3!$A54)</f>
        <v>1</v>
      </c>
      <c r="BJ54">
        <f ca="1">COUNTIFS(INDIRECT("Table1[Beginn]"),"&lt;="&amp;BJ$1,INDIRECT("Table1[Ende]"),"&gt;="&amp;BJ$1,INDIRECT("Table1[Obergruppe ATC-Code]"),Tabelle3!$A54)</f>
        <v>2</v>
      </c>
      <c r="BK54">
        <f ca="1">COUNTIFS(INDIRECT("Table1[Beginn]"),"&lt;="&amp;BK$1,INDIRECT("Table1[Ende]"),"&gt;="&amp;BK$1,INDIRECT("Table1[Obergruppe ATC-Code]"),Tabelle3!$A54)</f>
        <v>1</v>
      </c>
      <c r="BL54">
        <f ca="1">COUNTIFS(INDIRECT("Table1[Beginn]"),"&lt;="&amp;BL$1,INDIRECT("Table1[Ende]"),"&gt;="&amp;BL$1,INDIRECT("Table1[Obergruppe ATC-Code]"),Tabelle3!$A54)</f>
        <v>1</v>
      </c>
      <c r="BM54">
        <f ca="1">COUNTIFS(INDIRECT("Table1[Beginn]"),"&lt;="&amp;BM$1,INDIRECT("Table1[Ende]"),"&gt;="&amp;BM$1,INDIRECT("Table1[Obergruppe ATC-Code]"),Tabelle3!$A54)</f>
        <v>1</v>
      </c>
      <c r="BN54">
        <f ca="1">COUNTIFS(INDIRECT("Table1[Beginn]"),"&lt;="&amp;BN$1,INDIRECT("Table1[Ende]"),"&gt;="&amp;BN$1,INDIRECT("Table1[Obergruppe ATC-Code]"),Tabelle3!$A54)</f>
        <v>1</v>
      </c>
      <c r="BO54">
        <f ca="1">COUNTIFS(INDIRECT("Table1[Beginn]"),"&lt;="&amp;BO$1,INDIRECT("Table1[Ende]"),"&gt;="&amp;BO$1,INDIRECT("Table1[Obergruppe ATC-Code]"),Tabelle3!$A54)</f>
        <v>0</v>
      </c>
      <c r="BP54">
        <f ca="1">COUNTIFS(INDIRECT("Table1[Beginn]"),"&lt;="&amp;BP$1,INDIRECT("Table1[Ende]"),"&gt;="&amp;BP$1,INDIRECT("Table1[Obergruppe ATC-Code]"),Tabelle3!$A54)</f>
        <v>0</v>
      </c>
      <c r="BQ54">
        <f ca="1">COUNTIFS(INDIRECT("Table1[Beginn]"),"&lt;="&amp;BQ$1,INDIRECT("Table1[Ende]"),"&gt;="&amp;BQ$1,INDIRECT("Table1[Obergruppe ATC-Code]"),Tabelle3!$A54)</f>
        <v>1</v>
      </c>
      <c r="BR54">
        <f ca="1">COUNTIFS(INDIRECT("Table1[Beginn]"),"&lt;="&amp;BR$1,INDIRECT("Table1[Ende]"),"&gt;="&amp;BR$1,INDIRECT("Table1[Obergruppe ATC-Code]"),Tabelle3!$A54)</f>
        <v>1</v>
      </c>
      <c r="BS54">
        <f ca="1">COUNTIFS(INDIRECT("Table1[Beginn]"),"&lt;="&amp;BS$1,INDIRECT("Table1[Ende]"),"&gt;="&amp;BS$1,INDIRECT("Table1[Obergruppe ATC-Code]"),Tabelle3!$A54)</f>
        <v>1</v>
      </c>
      <c r="BT54">
        <f ca="1">COUNTIFS(INDIRECT("Table1[Beginn]"),"&lt;="&amp;BT$1,INDIRECT("Table1[Ende]"),"&gt;="&amp;BT$1,INDIRECT("Table1[Obergruppe ATC-Code]"),Tabelle3!$A54)</f>
        <v>1</v>
      </c>
      <c r="BU54">
        <f ca="1">COUNTIFS(INDIRECT("Table1[Beginn]"),"&lt;="&amp;BU$1,INDIRECT("Table1[Ende]"),"&gt;="&amp;BU$1,INDIRECT("Table1[Obergruppe ATC-Code]"),Tabelle3!$A54)</f>
        <v>1</v>
      </c>
      <c r="BV54">
        <f ca="1">COUNTIFS(INDIRECT("Table1[Beginn]"),"&lt;="&amp;BV$1,INDIRECT("Table1[Ende]"),"&gt;="&amp;BV$1,INDIRECT("Table1[Obergruppe ATC-Code]"),Tabelle3!$A54)</f>
        <v>2</v>
      </c>
      <c r="BW54">
        <f ca="1">COUNTIFS(INDIRECT("Table1[Beginn]"),"&lt;="&amp;BW$1,INDIRECT("Table1[Ende]"),"&gt;="&amp;BW$1,INDIRECT("Table1[Obergruppe ATC-Code]"),Tabelle3!$A54)</f>
        <v>2</v>
      </c>
      <c r="BX54">
        <f ca="1">COUNTIFS(INDIRECT("Table1[Beginn]"),"&lt;="&amp;BX$1,INDIRECT("Table1[Ende]"),"&gt;="&amp;BX$1,INDIRECT("Table1[Obergruppe ATC-Code]"),Tabelle3!$A54)</f>
        <v>2</v>
      </c>
      <c r="BY54">
        <f ca="1">COUNTIFS(INDIRECT("Table1[Beginn]"),"&lt;="&amp;BY$1,INDIRECT("Table1[Ende]"),"&gt;="&amp;BY$1,INDIRECT("Table1[Obergruppe ATC-Code]"),Tabelle3!$A54)</f>
        <v>2</v>
      </c>
      <c r="BZ54">
        <f ca="1">COUNTIFS(INDIRECT("Table1[Beginn]"),"&lt;="&amp;BZ$1,INDIRECT("Table1[Ende]"),"&gt;="&amp;BZ$1,INDIRECT("Table1[Obergruppe ATC-Code]"),Tabelle3!$A54)</f>
        <v>2</v>
      </c>
      <c r="CA54">
        <f ca="1">COUNTIFS(INDIRECT("Table1[Beginn]"),"&lt;="&amp;CA$1,INDIRECT("Table1[Ende]"),"&gt;="&amp;CA$1,INDIRECT("Table1[Obergruppe ATC-Code]"),Tabelle3!$A54)</f>
        <v>2</v>
      </c>
      <c r="CB54">
        <f ca="1">COUNTIFS(INDIRECT("Table1[Beginn]"),"&lt;="&amp;CB$1,INDIRECT("Table1[Ende]"),"&gt;="&amp;CB$1,INDIRECT("Table1[Obergruppe ATC-Code]"),Tabelle3!$A54)</f>
        <v>2</v>
      </c>
      <c r="CC54">
        <f ca="1">COUNTIFS(INDIRECT("Table1[Beginn]"),"&lt;="&amp;CC$1,INDIRECT("Table1[Ende]"),"&gt;="&amp;CC$1,INDIRECT("Table1[Obergruppe ATC-Code]"),Tabelle3!$A54)</f>
        <v>3</v>
      </c>
      <c r="CD54">
        <f ca="1">COUNTIFS(INDIRECT("Table1[Beginn]"),"&lt;="&amp;CD$1,INDIRECT("Table1[Ende]"),"&gt;="&amp;CD$1,INDIRECT("Table1[Obergruppe ATC-Code]"),Tabelle3!$A54)</f>
        <v>4</v>
      </c>
      <c r="CE54">
        <f ca="1">COUNTIFS(INDIRECT("Table1[Beginn]"),"&lt;="&amp;CE$1,INDIRECT("Table1[Ende]"),"&gt;="&amp;CE$1,INDIRECT("Table1[Obergruppe ATC-Code]"),Tabelle3!$A54)</f>
        <v>1</v>
      </c>
      <c r="CF54">
        <f ca="1">COUNTIFS(INDIRECT("Table1[Beginn]"),"&lt;="&amp;CF$1,INDIRECT("Table1[Ende]"),"&gt;="&amp;CF$1,INDIRECT("Table1[Obergruppe ATC-Code]"),Tabelle3!$A54)</f>
        <v>1</v>
      </c>
      <c r="CG54">
        <f ca="1">COUNTIFS(INDIRECT("Table1[Beginn]"),"&lt;="&amp;CG$1,INDIRECT("Table1[Ende]"),"&gt;="&amp;CG$1,INDIRECT("Table1[Obergruppe ATC-Code]"),Tabelle3!$A54)</f>
        <v>1</v>
      </c>
      <c r="CH54">
        <f ca="1">COUNTIFS(INDIRECT("Table1[Beginn]"),"&lt;="&amp;CH$1,INDIRECT("Table1[Ende]"),"&gt;="&amp;CH$1,INDIRECT("Table1[Obergruppe ATC-Code]"),Tabelle3!$A54)</f>
        <v>1</v>
      </c>
      <c r="CI54">
        <f ca="1">COUNTIFS(INDIRECT("Table1[Beginn]"),"&lt;="&amp;CI$1,INDIRECT("Table1[Ende]"),"&gt;="&amp;CI$1,INDIRECT("Table1[Obergruppe ATC-Code]"),Tabelle3!$A54)</f>
        <v>1</v>
      </c>
      <c r="CJ54">
        <f ca="1">COUNTIFS(INDIRECT("Table1[Beginn]"),"&lt;="&amp;CJ$1,INDIRECT("Table1[Ende]"),"&gt;="&amp;CJ$1,INDIRECT("Table1[Obergruppe ATC-Code]"),Tabelle3!$A54)</f>
        <v>1</v>
      </c>
      <c r="CK54">
        <f ca="1">COUNTIFS(INDIRECT("Table1[Beginn]"),"&lt;="&amp;CK$1,INDIRECT("Table1[Ende]"),"&gt;="&amp;CK$1,INDIRECT("Table1[Obergruppe ATC-Code]"),Tabelle3!$A54)</f>
        <v>1</v>
      </c>
      <c r="CL54">
        <f ca="1">COUNTIFS(INDIRECT("Table1[Beginn]"),"&lt;="&amp;CL$1,INDIRECT("Table1[Ende]"),"&gt;="&amp;CL$1,INDIRECT("Table1[Obergruppe ATC-Code]"),Tabelle3!$A54)</f>
        <v>1</v>
      </c>
      <c r="CM54">
        <f ca="1">COUNTIFS(INDIRECT("Table1[Beginn]"),"&lt;="&amp;CM$1,INDIRECT("Table1[Ende]"),"&gt;="&amp;CM$1,INDIRECT("Table1[Obergruppe ATC-Code]"),Tabelle3!$A54)</f>
        <v>1</v>
      </c>
      <c r="CN54">
        <f ca="1">COUNTIFS(INDIRECT("Table1[Beginn]"),"&lt;="&amp;CN$1,INDIRECT("Table1[Ende]"),"&gt;="&amp;CN$1,INDIRECT("Table1[Obergruppe ATC-Code]"),Tabelle3!$A54)</f>
        <v>1</v>
      </c>
      <c r="CO54">
        <f ca="1">COUNTIFS(INDIRECT("Table1[Beginn]"),"&lt;="&amp;CO$1,INDIRECT("Table1[Ende]"),"&gt;="&amp;CO$1,INDIRECT("Table1[Obergruppe ATC-Code]"),Tabelle3!$A54)</f>
        <v>1</v>
      </c>
      <c r="CP54">
        <f ca="1">COUNTIFS(INDIRECT("Table1[Beginn]"),"&lt;="&amp;CP$1,INDIRECT("Table1[Ende]"),"&gt;="&amp;CP$1,INDIRECT("Table1[Obergruppe ATC-Code]"),Tabelle3!$A54)</f>
        <v>1</v>
      </c>
      <c r="CQ54">
        <f ca="1">COUNTIFS(INDIRECT("Table1[Beginn]"),"&lt;="&amp;CQ$1,INDIRECT("Table1[Ende]"),"&gt;="&amp;CQ$1,INDIRECT("Table1[Obergruppe ATC-Code]"),Tabelle3!$A54)</f>
        <v>1</v>
      </c>
      <c r="CR54">
        <f ca="1">COUNTIFS(INDIRECT("Table1[Beginn]"),"&lt;="&amp;CR$1,INDIRECT("Table1[Ende]"),"&gt;="&amp;CR$1,INDIRECT("Table1[Obergruppe ATC-Code]"),Tabelle3!$A54)</f>
        <v>1</v>
      </c>
    </row>
    <row r="55" spans="1:96" ht="18">
      <c r="A55" s="9" t="s">
        <v>6879</v>
      </c>
      <c r="B55" s="10" t="s">
        <v>6880</v>
      </c>
      <c r="C55">
        <f ca="1">COUNTIFS(INDIRECT("Table1[Beginn]"),"&lt;="&amp;C$1,INDIRECT("Table1[Ende]"),"&gt;="&amp;C$1,INDIRECT("Table1[Obergruppe ATC-Code]"),Tabelle3!$A55)</f>
        <v>0</v>
      </c>
      <c r="D55">
        <f ca="1">COUNTIFS(INDIRECT("Table1[Beginn]"),"&lt;="&amp;D$1,INDIRECT("Table1[Ende]"),"&gt;="&amp;D$1,INDIRECT("Table1[Obergruppe ATC-Code]"),Tabelle3!$A55)</f>
        <v>0</v>
      </c>
      <c r="E55">
        <f ca="1">COUNTIFS(INDIRECT("Table1[Beginn]"),"&lt;="&amp;E$1,INDIRECT("Table1[Ende]"),"&gt;="&amp;E$1,INDIRECT("Table1[Obergruppe ATC-Code]"),Tabelle3!$A55)</f>
        <v>0</v>
      </c>
      <c r="F55">
        <f ca="1">COUNTIFS(INDIRECT("Table1[Beginn]"),"&lt;="&amp;F$1,INDIRECT("Table1[Ende]"),"&gt;="&amp;F$1,INDIRECT("Table1[Obergruppe ATC-Code]"),Tabelle3!$A55)</f>
        <v>0</v>
      </c>
      <c r="G55">
        <f ca="1">COUNTIFS(INDIRECT("Table1[Beginn]"),"&lt;="&amp;G$1,INDIRECT("Table1[Ende]"),"&gt;="&amp;G$1,INDIRECT("Table1[Obergruppe ATC-Code]"),Tabelle3!$A55)</f>
        <v>0</v>
      </c>
      <c r="H55">
        <f ca="1">COUNTIFS(INDIRECT("Table1[Beginn]"),"&lt;="&amp;H$1,INDIRECT("Table1[Ende]"),"&gt;="&amp;H$1,INDIRECT("Table1[Obergruppe ATC-Code]"),Tabelle3!$A55)</f>
        <v>0</v>
      </c>
      <c r="I55">
        <f ca="1">COUNTIFS(INDIRECT("Table1[Beginn]"),"&lt;="&amp;I$1,INDIRECT("Table1[Ende]"),"&gt;="&amp;I$1,INDIRECT("Table1[Obergruppe ATC-Code]"),Tabelle3!$A55)</f>
        <v>0</v>
      </c>
      <c r="J55">
        <f ca="1">COUNTIFS(INDIRECT("Table1[Beginn]"),"&lt;="&amp;J$1,INDIRECT("Table1[Ende]"),"&gt;="&amp;J$1,INDIRECT("Table1[Obergruppe ATC-Code]"),Tabelle3!$A55)</f>
        <v>0</v>
      </c>
      <c r="K55">
        <f ca="1">COUNTIFS(INDIRECT("Table1[Beginn]"),"&lt;="&amp;K$1,INDIRECT("Table1[Ende]"),"&gt;="&amp;K$1,INDIRECT("Table1[Obergruppe ATC-Code]"),Tabelle3!$A55)</f>
        <v>0</v>
      </c>
      <c r="L55">
        <f ca="1">COUNTIFS(INDIRECT("Table1[Beginn]"),"&lt;="&amp;L$1,INDIRECT("Table1[Ende]"),"&gt;="&amp;L$1,INDIRECT("Table1[Obergruppe ATC-Code]"),Tabelle3!$A55)</f>
        <v>0</v>
      </c>
      <c r="M55">
        <f ca="1">COUNTIFS(INDIRECT("Table1[Beginn]"),"&lt;="&amp;M$1,INDIRECT("Table1[Ende]"),"&gt;="&amp;M$1,INDIRECT("Table1[Obergruppe ATC-Code]"),Tabelle3!$A55)</f>
        <v>0</v>
      </c>
      <c r="N55">
        <f ca="1">COUNTIFS(INDIRECT("Table1[Beginn]"),"&lt;="&amp;N$1,INDIRECT("Table1[Ende]"),"&gt;="&amp;N$1,INDIRECT("Table1[Obergruppe ATC-Code]"),Tabelle3!$A55)</f>
        <v>0</v>
      </c>
      <c r="O55">
        <f ca="1">COUNTIFS(INDIRECT("Table1[Beginn]"),"&lt;="&amp;O$1,INDIRECT("Table1[Ende]"),"&gt;="&amp;O$1,INDIRECT("Table1[Obergruppe ATC-Code]"),Tabelle3!$A55)</f>
        <v>1</v>
      </c>
      <c r="P55">
        <f ca="1">COUNTIFS(INDIRECT("Table1[Beginn]"),"&lt;="&amp;P$1,INDIRECT("Table1[Ende]"),"&gt;="&amp;P$1,INDIRECT("Table1[Obergruppe ATC-Code]"),Tabelle3!$A55)</f>
        <v>1</v>
      </c>
      <c r="Q55">
        <f ca="1">COUNTIFS(INDIRECT("Table1[Beginn]"),"&lt;="&amp;Q$1,INDIRECT("Table1[Ende]"),"&gt;="&amp;Q$1,INDIRECT("Table1[Obergruppe ATC-Code]"),Tabelle3!$A55)</f>
        <v>1</v>
      </c>
      <c r="R55">
        <f ca="1">COUNTIFS(INDIRECT("Table1[Beginn]"),"&lt;="&amp;R$1,INDIRECT("Table1[Ende]"),"&gt;="&amp;R$1,INDIRECT("Table1[Obergruppe ATC-Code]"),Tabelle3!$A55)</f>
        <v>1</v>
      </c>
      <c r="S55">
        <f ca="1">COUNTIFS(INDIRECT("Table1[Beginn]"),"&lt;="&amp;S$1,INDIRECT("Table1[Ende]"),"&gt;="&amp;S$1,INDIRECT("Table1[Obergruppe ATC-Code]"),Tabelle3!$A55)</f>
        <v>1</v>
      </c>
      <c r="T55">
        <f ca="1">COUNTIFS(INDIRECT("Table1[Beginn]"),"&lt;="&amp;T$1,INDIRECT("Table1[Ende]"),"&gt;="&amp;T$1,INDIRECT("Table1[Obergruppe ATC-Code]"),Tabelle3!$A55)</f>
        <v>1</v>
      </c>
      <c r="U55">
        <f ca="1">COUNTIFS(INDIRECT("Table1[Beginn]"),"&lt;="&amp;U$1,INDIRECT("Table1[Ende]"),"&gt;="&amp;U$1,INDIRECT("Table1[Obergruppe ATC-Code]"),Tabelle3!$A55)</f>
        <v>1</v>
      </c>
      <c r="V55">
        <f ca="1">COUNTIFS(INDIRECT("Table1[Beginn]"),"&lt;="&amp;V$1,INDIRECT("Table1[Ende]"),"&gt;="&amp;V$1,INDIRECT("Table1[Obergruppe ATC-Code]"),Tabelle3!$A55)</f>
        <v>1</v>
      </c>
      <c r="W55">
        <f ca="1">COUNTIFS(INDIRECT("Table1[Beginn]"),"&lt;="&amp;W$1,INDIRECT("Table1[Ende]"),"&gt;="&amp;W$1,INDIRECT("Table1[Obergruppe ATC-Code]"),Tabelle3!$A55)</f>
        <v>1</v>
      </c>
      <c r="X55">
        <f ca="1">COUNTIFS(INDIRECT("Table1[Beginn]"),"&lt;="&amp;X$1,INDIRECT("Table1[Ende]"),"&gt;="&amp;X$1,INDIRECT("Table1[Obergruppe ATC-Code]"),Tabelle3!$A55)</f>
        <v>2</v>
      </c>
      <c r="Y55">
        <f ca="1">COUNTIFS(INDIRECT("Table1[Beginn]"),"&lt;="&amp;Y$1,INDIRECT("Table1[Ende]"),"&gt;="&amp;Y$1,INDIRECT("Table1[Obergruppe ATC-Code]"),Tabelle3!$A55)</f>
        <v>1</v>
      </c>
      <c r="Z55">
        <f ca="1">COUNTIFS(INDIRECT("Table1[Beginn]"),"&lt;="&amp;Z$1,INDIRECT("Table1[Ende]"),"&gt;="&amp;Z$1,INDIRECT("Table1[Obergruppe ATC-Code]"),Tabelle3!$A55)</f>
        <v>1</v>
      </c>
      <c r="AA55">
        <f ca="1">COUNTIFS(INDIRECT("Table1[Beginn]"),"&lt;="&amp;AA$1,INDIRECT("Table1[Ende]"),"&gt;="&amp;AA$1,INDIRECT("Table1[Obergruppe ATC-Code]"),Tabelle3!$A55)</f>
        <v>1</v>
      </c>
      <c r="AB55">
        <f ca="1">COUNTIFS(INDIRECT("Table1[Beginn]"),"&lt;="&amp;AB$1,INDIRECT("Table1[Ende]"),"&gt;="&amp;AB$1,INDIRECT("Table1[Obergruppe ATC-Code]"),Tabelle3!$A55)</f>
        <v>1</v>
      </c>
      <c r="AC55">
        <f ca="1">COUNTIFS(INDIRECT("Table1[Beginn]"),"&lt;="&amp;AC$1,INDIRECT("Table1[Ende]"),"&gt;="&amp;AC$1,INDIRECT("Table1[Obergruppe ATC-Code]"),Tabelle3!$A55)</f>
        <v>1</v>
      </c>
      <c r="AD55">
        <f ca="1">COUNTIFS(INDIRECT("Table1[Beginn]"),"&lt;="&amp;AD$1,INDIRECT("Table1[Ende]"),"&gt;="&amp;AD$1,INDIRECT("Table1[Obergruppe ATC-Code]"),Tabelle3!$A55)</f>
        <v>1</v>
      </c>
      <c r="AE55">
        <f ca="1">COUNTIFS(INDIRECT("Table1[Beginn]"),"&lt;="&amp;AE$1,INDIRECT("Table1[Ende]"),"&gt;="&amp;AE$1,INDIRECT("Table1[Obergruppe ATC-Code]"),Tabelle3!$A55)</f>
        <v>0</v>
      </c>
      <c r="AF55">
        <f ca="1">COUNTIFS(INDIRECT("Table1[Beginn]"),"&lt;="&amp;AF$1,INDIRECT("Table1[Ende]"),"&gt;="&amp;AF$1,INDIRECT("Table1[Obergruppe ATC-Code]"),Tabelle3!$A55)</f>
        <v>1</v>
      </c>
      <c r="AG55">
        <f ca="1">COUNTIFS(INDIRECT("Table1[Beginn]"),"&lt;="&amp;AG$1,INDIRECT("Table1[Ende]"),"&gt;="&amp;AG$1,INDIRECT("Table1[Obergruppe ATC-Code]"),Tabelle3!$A55)</f>
        <v>1</v>
      </c>
      <c r="AH55">
        <f ca="1">COUNTIFS(INDIRECT("Table1[Beginn]"),"&lt;="&amp;AH$1,INDIRECT("Table1[Ende]"),"&gt;="&amp;AH$1,INDIRECT("Table1[Obergruppe ATC-Code]"),Tabelle3!$A55)</f>
        <v>1</v>
      </c>
      <c r="AI55">
        <f ca="1">COUNTIFS(INDIRECT("Table1[Beginn]"),"&lt;="&amp;AI$1,INDIRECT("Table1[Ende]"),"&gt;="&amp;AI$1,INDIRECT("Table1[Obergruppe ATC-Code]"),Tabelle3!$A55)</f>
        <v>0</v>
      </c>
      <c r="AJ55">
        <f ca="1">COUNTIFS(INDIRECT("Table1[Beginn]"),"&lt;="&amp;AJ$1,INDIRECT("Table1[Ende]"),"&gt;="&amp;AJ$1,INDIRECT("Table1[Obergruppe ATC-Code]"),Tabelle3!$A55)</f>
        <v>2</v>
      </c>
      <c r="AK55">
        <f ca="1">COUNTIFS(INDIRECT("Table1[Beginn]"),"&lt;="&amp;AK$1,INDIRECT("Table1[Ende]"),"&gt;="&amp;AK$1,INDIRECT("Table1[Obergruppe ATC-Code]"),Tabelle3!$A55)</f>
        <v>2</v>
      </c>
      <c r="AL55">
        <f ca="1">COUNTIFS(INDIRECT("Table1[Beginn]"),"&lt;="&amp;AL$1,INDIRECT("Table1[Ende]"),"&gt;="&amp;AL$1,INDIRECT("Table1[Obergruppe ATC-Code]"),Tabelle3!$A55)</f>
        <v>1</v>
      </c>
      <c r="AM55">
        <f ca="1">COUNTIFS(INDIRECT("Table1[Beginn]"),"&lt;="&amp;AM$1,INDIRECT("Table1[Ende]"),"&gt;="&amp;AM$1,INDIRECT("Table1[Obergruppe ATC-Code]"),Tabelle3!$A55)</f>
        <v>0</v>
      </c>
      <c r="AN55">
        <f ca="1">COUNTIFS(INDIRECT("Table1[Beginn]"),"&lt;="&amp;AN$1,INDIRECT("Table1[Ende]"),"&gt;="&amp;AN$1,INDIRECT("Table1[Obergruppe ATC-Code]"),Tabelle3!$A55)</f>
        <v>1</v>
      </c>
      <c r="AO55">
        <f ca="1">COUNTIFS(INDIRECT("Table1[Beginn]"),"&lt;="&amp;AO$1,INDIRECT("Table1[Ende]"),"&gt;="&amp;AO$1,INDIRECT("Table1[Obergruppe ATC-Code]"),Tabelle3!$A55)</f>
        <v>1</v>
      </c>
      <c r="AP55">
        <f ca="1">COUNTIFS(INDIRECT("Table1[Beginn]"),"&lt;="&amp;AP$1,INDIRECT("Table1[Ende]"),"&gt;="&amp;AP$1,INDIRECT("Table1[Obergruppe ATC-Code]"),Tabelle3!$A55)</f>
        <v>1</v>
      </c>
      <c r="AQ55">
        <f ca="1">COUNTIFS(INDIRECT("Table1[Beginn]"),"&lt;="&amp;AQ$1,INDIRECT("Table1[Ende]"),"&gt;="&amp;AQ$1,INDIRECT("Table1[Obergruppe ATC-Code]"),Tabelle3!$A55)</f>
        <v>2</v>
      </c>
      <c r="AR55">
        <f ca="1">COUNTIFS(INDIRECT("Table1[Beginn]"),"&lt;="&amp;AR$1,INDIRECT("Table1[Ende]"),"&gt;="&amp;AR$1,INDIRECT("Table1[Obergruppe ATC-Code]"),Tabelle3!$A55)</f>
        <v>2</v>
      </c>
      <c r="AS55">
        <f ca="1">COUNTIFS(INDIRECT("Table1[Beginn]"),"&lt;="&amp;AS$1,INDIRECT("Table1[Ende]"),"&gt;="&amp;AS$1,INDIRECT("Table1[Obergruppe ATC-Code]"),Tabelle3!$A55)</f>
        <v>1</v>
      </c>
      <c r="AT55">
        <f ca="1">COUNTIFS(INDIRECT("Table1[Beginn]"),"&lt;="&amp;AT$1,INDIRECT("Table1[Ende]"),"&gt;="&amp;AT$1,INDIRECT("Table1[Obergruppe ATC-Code]"),Tabelle3!$A55)</f>
        <v>1</v>
      </c>
      <c r="AU55">
        <f ca="1">COUNTIFS(INDIRECT("Table1[Beginn]"),"&lt;="&amp;AU$1,INDIRECT("Table1[Ende]"),"&gt;="&amp;AU$1,INDIRECT("Table1[Obergruppe ATC-Code]"),Tabelle3!$A55)</f>
        <v>0</v>
      </c>
      <c r="AV55">
        <f ca="1">COUNTIFS(INDIRECT("Table1[Beginn]"),"&lt;="&amp;AV$1,INDIRECT("Table1[Ende]"),"&gt;="&amp;AV$1,INDIRECT("Table1[Obergruppe ATC-Code]"),Tabelle3!$A55)</f>
        <v>0</v>
      </c>
      <c r="AW55">
        <f ca="1">COUNTIFS(INDIRECT("Table1[Beginn]"),"&lt;="&amp;AW$1,INDIRECT("Table1[Ende]"),"&gt;="&amp;AW$1,INDIRECT("Table1[Obergruppe ATC-Code]"),Tabelle3!$A55)</f>
        <v>0</v>
      </c>
      <c r="AX55">
        <f ca="1">COUNTIFS(INDIRECT("Table1[Beginn]"),"&lt;="&amp;AX$1,INDIRECT("Table1[Ende]"),"&gt;="&amp;AX$1,INDIRECT("Table1[Obergruppe ATC-Code]"),Tabelle3!$A55)</f>
        <v>0</v>
      </c>
      <c r="AY55">
        <f ca="1">COUNTIFS(INDIRECT("Table1[Beginn]"),"&lt;="&amp;AY$1,INDIRECT("Table1[Ende]"),"&gt;="&amp;AY$1,INDIRECT("Table1[Obergruppe ATC-Code]"),Tabelle3!$A55)</f>
        <v>0</v>
      </c>
      <c r="AZ55">
        <f ca="1">COUNTIFS(INDIRECT("Table1[Beginn]"),"&lt;="&amp;AZ$1,INDIRECT("Table1[Ende]"),"&gt;="&amp;AZ$1,INDIRECT("Table1[Obergruppe ATC-Code]"),Tabelle3!$A55)</f>
        <v>0</v>
      </c>
      <c r="BA55">
        <f ca="1">COUNTIFS(INDIRECT("Table1[Beginn]"),"&lt;="&amp;BA$1,INDIRECT("Table1[Ende]"),"&gt;="&amp;BA$1,INDIRECT("Table1[Obergruppe ATC-Code]"),Tabelle3!$A55)</f>
        <v>0</v>
      </c>
      <c r="BB55">
        <f ca="1">COUNTIFS(INDIRECT("Table1[Beginn]"),"&lt;="&amp;BB$1,INDIRECT("Table1[Ende]"),"&gt;="&amp;BB$1,INDIRECT("Table1[Obergruppe ATC-Code]"),Tabelle3!$A55)</f>
        <v>0</v>
      </c>
      <c r="BC55">
        <f ca="1">COUNTIFS(INDIRECT("Table1[Beginn]"),"&lt;="&amp;BC$1,INDIRECT("Table1[Ende]"),"&gt;="&amp;BC$1,INDIRECT("Table1[Obergruppe ATC-Code]"),Tabelle3!$A55)</f>
        <v>0</v>
      </c>
      <c r="BD55">
        <f ca="1">COUNTIFS(INDIRECT("Table1[Beginn]"),"&lt;="&amp;BD$1,INDIRECT("Table1[Ende]"),"&gt;="&amp;BD$1,INDIRECT("Table1[Obergruppe ATC-Code]"),Tabelle3!$A55)</f>
        <v>0</v>
      </c>
      <c r="BE55">
        <f ca="1">COUNTIFS(INDIRECT("Table1[Beginn]"),"&lt;="&amp;BE$1,INDIRECT("Table1[Ende]"),"&gt;="&amp;BE$1,INDIRECT("Table1[Obergruppe ATC-Code]"),Tabelle3!$A55)</f>
        <v>0</v>
      </c>
      <c r="BF55">
        <f ca="1">COUNTIFS(INDIRECT("Table1[Beginn]"),"&lt;="&amp;BF$1,INDIRECT("Table1[Ende]"),"&gt;="&amp;BF$1,INDIRECT("Table1[Obergruppe ATC-Code]"),Tabelle3!$A55)</f>
        <v>0</v>
      </c>
      <c r="BG55">
        <f ca="1">COUNTIFS(INDIRECT("Table1[Beginn]"),"&lt;="&amp;BG$1,INDIRECT("Table1[Ende]"),"&gt;="&amp;BG$1,INDIRECT("Table1[Obergruppe ATC-Code]"),Tabelle3!$A55)</f>
        <v>0</v>
      </c>
      <c r="BH55">
        <f ca="1">COUNTIFS(INDIRECT("Table1[Beginn]"),"&lt;="&amp;BH$1,INDIRECT("Table1[Ende]"),"&gt;="&amp;BH$1,INDIRECT("Table1[Obergruppe ATC-Code]"),Tabelle3!$A55)</f>
        <v>0</v>
      </c>
      <c r="BI55">
        <f ca="1">COUNTIFS(INDIRECT("Table1[Beginn]"),"&lt;="&amp;BI$1,INDIRECT("Table1[Ende]"),"&gt;="&amp;BI$1,INDIRECT("Table1[Obergruppe ATC-Code]"),Tabelle3!$A55)</f>
        <v>1</v>
      </c>
      <c r="BJ55">
        <f ca="1">COUNTIFS(INDIRECT("Table1[Beginn]"),"&lt;="&amp;BJ$1,INDIRECT("Table1[Ende]"),"&gt;="&amp;BJ$1,INDIRECT("Table1[Obergruppe ATC-Code]"),Tabelle3!$A55)</f>
        <v>1</v>
      </c>
      <c r="BK55">
        <f ca="1">COUNTIFS(INDIRECT("Table1[Beginn]"),"&lt;="&amp;BK$1,INDIRECT("Table1[Ende]"),"&gt;="&amp;BK$1,INDIRECT("Table1[Obergruppe ATC-Code]"),Tabelle3!$A55)</f>
        <v>0</v>
      </c>
      <c r="BL55">
        <f ca="1">COUNTIFS(INDIRECT("Table1[Beginn]"),"&lt;="&amp;BL$1,INDIRECT("Table1[Ende]"),"&gt;="&amp;BL$1,INDIRECT("Table1[Obergruppe ATC-Code]"),Tabelle3!$A55)</f>
        <v>0</v>
      </c>
      <c r="BM55">
        <f ca="1">COUNTIFS(INDIRECT("Table1[Beginn]"),"&lt;="&amp;BM$1,INDIRECT("Table1[Ende]"),"&gt;="&amp;BM$1,INDIRECT("Table1[Obergruppe ATC-Code]"),Tabelle3!$A55)</f>
        <v>0</v>
      </c>
      <c r="BN55">
        <f ca="1">COUNTIFS(INDIRECT("Table1[Beginn]"),"&lt;="&amp;BN$1,INDIRECT("Table1[Ende]"),"&gt;="&amp;BN$1,INDIRECT("Table1[Obergruppe ATC-Code]"),Tabelle3!$A55)</f>
        <v>1</v>
      </c>
      <c r="BO55">
        <f ca="1">COUNTIFS(INDIRECT("Table1[Beginn]"),"&lt;="&amp;BO$1,INDIRECT("Table1[Ende]"),"&gt;="&amp;BO$1,INDIRECT("Table1[Obergruppe ATC-Code]"),Tabelle3!$A55)</f>
        <v>0</v>
      </c>
      <c r="BP55">
        <f ca="1">COUNTIFS(INDIRECT("Table1[Beginn]"),"&lt;="&amp;BP$1,INDIRECT("Table1[Ende]"),"&gt;="&amp;BP$1,INDIRECT("Table1[Obergruppe ATC-Code]"),Tabelle3!$A55)</f>
        <v>0</v>
      </c>
      <c r="BQ55">
        <f ca="1">COUNTIFS(INDIRECT("Table1[Beginn]"),"&lt;="&amp;BQ$1,INDIRECT("Table1[Ende]"),"&gt;="&amp;BQ$1,INDIRECT("Table1[Obergruppe ATC-Code]"),Tabelle3!$A55)</f>
        <v>0</v>
      </c>
      <c r="BR55">
        <f ca="1">COUNTIFS(INDIRECT("Table1[Beginn]"),"&lt;="&amp;BR$1,INDIRECT("Table1[Ende]"),"&gt;="&amp;BR$1,INDIRECT("Table1[Obergruppe ATC-Code]"),Tabelle3!$A55)</f>
        <v>0</v>
      </c>
      <c r="BS55">
        <f ca="1">COUNTIFS(INDIRECT("Table1[Beginn]"),"&lt;="&amp;BS$1,INDIRECT("Table1[Ende]"),"&gt;="&amp;BS$1,INDIRECT("Table1[Obergruppe ATC-Code]"),Tabelle3!$A55)</f>
        <v>0</v>
      </c>
      <c r="BT55">
        <f ca="1">COUNTIFS(INDIRECT("Table1[Beginn]"),"&lt;="&amp;BT$1,INDIRECT("Table1[Ende]"),"&gt;="&amp;BT$1,INDIRECT("Table1[Obergruppe ATC-Code]"),Tabelle3!$A55)</f>
        <v>0</v>
      </c>
      <c r="BU55">
        <f ca="1">COUNTIFS(INDIRECT("Table1[Beginn]"),"&lt;="&amp;BU$1,INDIRECT("Table1[Ende]"),"&gt;="&amp;BU$1,INDIRECT("Table1[Obergruppe ATC-Code]"),Tabelle3!$A55)</f>
        <v>0</v>
      </c>
      <c r="BV55">
        <f ca="1">COUNTIFS(INDIRECT("Table1[Beginn]"),"&lt;="&amp;BV$1,INDIRECT("Table1[Ende]"),"&gt;="&amp;BV$1,INDIRECT("Table1[Obergruppe ATC-Code]"),Tabelle3!$A55)</f>
        <v>0</v>
      </c>
      <c r="BW55">
        <f ca="1">COUNTIFS(INDIRECT("Table1[Beginn]"),"&lt;="&amp;BW$1,INDIRECT("Table1[Ende]"),"&gt;="&amp;BW$1,INDIRECT("Table1[Obergruppe ATC-Code]"),Tabelle3!$A55)</f>
        <v>0</v>
      </c>
      <c r="BX55">
        <f ca="1">COUNTIFS(INDIRECT("Table1[Beginn]"),"&lt;="&amp;BX$1,INDIRECT("Table1[Ende]"),"&gt;="&amp;BX$1,INDIRECT("Table1[Obergruppe ATC-Code]"),Tabelle3!$A55)</f>
        <v>0</v>
      </c>
      <c r="BY55">
        <f ca="1">COUNTIFS(INDIRECT("Table1[Beginn]"),"&lt;="&amp;BY$1,INDIRECT("Table1[Ende]"),"&gt;="&amp;BY$1,INDIRECT("Table1[Obergruppe ATC-Code]"),Tabelle3!$A55)</f>
        <v>0</v>
      </c>
      <c r="BZ55">
        <f ca="1">COUNTIFS(INDIRECT("Table1[Beginn]"),"&lt;="&amp;BZ$1,INDIRECT("Table1[Ende]"),"&gt;="&amp;BZ$1,INDIRECT("Table1[Obergruppe ATC-Code]"),Tabelle3!$A55)</f>
        <v>1</v>
      </c>
      <c r="CA55">
        <f ca="1">COUNTIFS(INDIRECT("Table1[Beginn]"),"&lt;="&amp;CA$1,INDIRECT("Table1[Ende]"),"&gt;="&amp;CA$1,INDIRECT("Table1[Obergruppe ATC-Code]"),Tabelle3!$A55)</f>
        <v>1</v>
      </c>
      <c r="CB55">
        <f ca="1">COUNTIFS(INDIRECT("Table1[Beginn]"),"&lt;="&amp;CB$1,INDIRECT("Table1[Ende]"),"&gt;="&amp;CB$1,INDIRECT("Table1[Obergruppe ATC-Code]"),Tabelle3!$A55)</f>
        <v>1</v>
      </c>
      <c r="CC55">
        <f ca="1">COUNTIFS(INDIRECT("Table1[Beginn]"),"&lt;="&amp;CC$1,INDIRECT("Table1[Ende]"),"&gt;="&amp;CC$1,INDIRECT("Table1[Obergruppe ATC-Code]"),Tabelle3!$A55)</f>
        <v>2</v>
      </c>
      <c r="CD55">
        <f ca="1">COUNTIFS(INDIRECT("Table1[Beginn]"),"&lt;="&amp;CD$1,INDIRECT("Table1[Ende]"),"&gt;="&amp;CD$1,INDIRECT("Table1[Obergruppe ATC-Code]"),Tabelle3!$A55)</f>
        <v>1</v>
      </c>
      <c r="CE55">
        <f ca="1">COUNTIFS(INDIRECT("Table1[Beginn]"),"&lt;="&amp;CE$1,INDIRECT("Table1[Ende]"),"&gt;="&amp;CE$1,INDIRECT("Table1[Obergruppe ATC-Code]"),Tabelle3!$A55)</f>
        <v>0</v>
      </c>
      <c r="CF55">
        <f ca="1">COUNTIFS(INDIRECT("Table1[Beginn]"),"&lt;="&amp;CF$1,INDIRECT("Table1[Ende]"),"&gt;="&amp;CF$1,INDIRECT("Table1[Obergruppe ATC-Code]"),Tabelle3!$A55)</f>
        <v>0</v>
      </c>
      <c r="CG55">
        <f ca="1">COUNTIFS(INDIRECT("Table1[Beginn]"),"&lt;="&amp;CG$1,INDIRECT("Table1[Ende]"),"&gt;="&amp;CG$1,INDIRECT("Table1[Obergruppe ATC-Code]"),Tabelle3!$A55)</f>
        <v>0</v>
      </c>
      <c r="CH55">
        <f ca="1">COUNTIFS(INDIRECT("Table1[Beginn]"),"&lt;="&amp;CH$1,INDIRECT("Table1[Ende]"),"&gt;="&amp;CH$1,INDIRECT("Table1[Obergruppe ATC-Code]"),Tabelle3!$A55)</f>
        <v>0</v>
      </c>
      <c r="CI55">
        <f ca="1">COUNTIFS(INDIRECT("Table1[Beginn]"),"&lt;="&amp;CI$1,INDIRECT("Table1[Ende]"),"&gt;="&amp;CI$1,INDIRECT("Table1[Obergruppe ATC-Code]"),Tabelle3!$A55)</f>
        <v>0</v>
      </c>
      <c r="CJ55">
        <f ca="1">COUNTIFS(INDIRECT("Table1[Beginn]"),"&lt;="&amp;CJ$1,INDIRECT("Table1[Ende]"),"&gt;="&amp;CJ$1,INDIRECT("Table1[Obergruppe ATC-Code]"),Tabelle3!$A55)</f>
        <v>0</v>
      </c>
      <c r="CK55">
        <f ca="1">COUNTIFS(INDIRECT("Table1[Beginn]"),"&lt;="&amp;CK$1,INDIRECT("Table1[Ende]"),"&gt;="&amp;CK$1,INDIRECT("Table1[Obergruppe ATC-Code]"),Tabelle3!$A55)</f>
        <v>0</v>
      </c>
      <c r="CL55">
        <f ca="1">COUNTIFS(INDIRECT("Table1[Beginn]"),"&lt;="&amp;CL$1,INDIRECT("Table1[Ende]"),"&gt;="&amp;CL$1,INDIRECT("Table1[Obergruppe ATC-Code]"),Tabelle3!$A55)</f>
        <v>0</v>
      </c>
      <c r="CM55">
        <f ca="1">COUNTIFS(INDIRECT("Table1[Beginn]"),"&lt;="&amp;CM$1,INDIRECT("Table1[Ende]"),"&gt;="&amp;CM$1,INDIRECT("Table1[Obergruppe ATC-Code]"),Tabelle3!$A55)</f>
        <v>0</v>
      </c>
      <c r="CN55">
        <f ca="1">COUNTIFS(INDIRECT("Table1[Beginn]"),"&lt;="&amp;CN$1,INDIRECT("Table1[Ende]"),"&gt;="&amp;CN$1,INDIRECT("Table1[Obergruppe ATC-Code]"),Tabelle3!$A55)</f>
        <v>0</v>
      </c>
      <c r="CO55">
        <f ca="1">COUNTIFS(INDIRECT("Table1[Beginn]"),"&lt;="&amp;CO$1,INDIRECT("Table1[Ende]"),"&gt;="&amp;CO$1,INDIRECT("Table1[Obergruppe ATC-Code]"),Tabelle3!$A55)</f>
        <v>0</v>
      </c>
      <c r="CP55">
        <f ca="1">COUNTIFS(INDIRECT("Table1[Beginn]"),"&lt;="&amp;CP$1,INDIRECT("Table1[Ende]"),"&gt;="&amp;CP$1,INDIRECT("Table1[Obergruppe ATC-Code]"),Tabelle3!$A55)</f>
        <v>0</v>
      </c>
      <c r="CQ55">
        <f ca="1">COUNTIFS(INDIRECT("Table1[Beginn]"),"&lt;="&amp;CQ$1,INDIRECT("Table1[Ende]"),"&gt;="&amp;CQ$1,INDIRECT("Table1[Obergruppe ATC-Code]"),Tabelle3!$A55)</f>
        <v>0</v>
      </c>
      <c r="CR55">
        <f ca="1">COUNTIFS(INDIRECT("Table1[Beginn]"),"&lt;="&amp;CR$1,INDIRECT("Table1[Ende]"),"&gt;="&amp;CR$1,INDIRECT("Table1[Obergruppe ATC-Code]"),Tabelle3!$A55)</f>
        <v>0</v>
      </c>
    </row>
    <row r="56" spans="1:96" ht="18">
      <c r="A56" s="7" t="s">
        <v>6881</v>
      </c>
      <c r="B56" s="8" t="s">
        <v>6882</v>
      </c>
      <c r="C56">
        <f ca="1">COUNTIFS(INDIRECT("Table1[Beginn]"),"&lt;="&amp;C$1,INDIRECT("Table1[Ende]"),"&gt;="&amp;C$1,INDIRECT("Table1[Obergruppe ATC-Code]"),Tabelle3!$A56)</f>
        <v>1</v>
      </c>
      <c r="D56">
        <f ca="1">COUNTIFS(INDIRECT("Table1[Beginn]"),"&lt;="&amp;D$1,INDIRECT("Table1[Ende]"),"&gt;="&amp;D$1,INDIRECT("Table1[Obergruppe ATC-Code]"),Tabelle3!$A56)</f>
        <v>1</v>
      </c>
      <c r="E56">
        <f ca="1">COUNTIFS(INDIRECT("Table1[Beginn]"),"&lt;="&amp;E$1,INDIRECT("Table1[Ende]"),"&gt;="&amp;E$1,INDIRECT("Table1[Obergruppe ATC-Code]"),Tabelle3!$A56)</f>
        <v>1</v>
      </c>
      <c r="F56">
        <f ca="1">COUNTIFS(INDIRECT("Table1[Beginn]"),"&lt;="&amp;F$1,INDIRECT("Table1[Ende]"),"&gt;="&amp;F$1,INDIRECT("Table1[Obergruppe ATC-Code]"),Tabelle3!$A56)</f>
        <v>1</v>
      </c>
      <c r="G56">
        <f ca="1">COUNTIFS(INDIRECT("Table1[Beginn]"),"&lt;="&amp;G$1,INDIRECT("Table1[Ende]"),"&gt;="&amp;G$1,INDIRECT("Table1[Obergruppe ATC-Code]"),Tabelle3!$A56)</f>
        <v>2</v>
      </c>
      <c r="H56">
        <f ca="1">COUNTIFS(INDIRECT("Table1[Beginn]"),"&lt;="&amp;H$1,INDIRECT("Table1[Ende]"),"&gt;="&amp;H$1,INDIRECT("Table1[Obergruppe ATC-Code]"),Tabelle3!$A56)</f>
        <v>1</v>
      </c>
      <c r="I56">
        <f ca="1">COUNTIFS(INDIRECT("Table1[Beginn]"),"&lt;="&amp;I$1,INDIRECT("Table1[Ende]"),"&gt;="&amp;I$1,INDIRECT("Table1[Obergruppe ATC-Code]"),Tabelle3!$A56)</f>
        <v>1</v>
      </c>
      <c r="J56">
        <f ca="1">COUNTIFS(INDIRECT("Table1[Beginn]"),"&lt;="&amp;J$1,INDIRECT("Table1[Ende]"),"&gt;="&amp;J$1,INDIRECT("Table1[Obergruppe ATC-Code]"),Tabelle3!$A56)</f>
        <v>1</v>
      </c>
      <c r="K56">
        <f ca="1">COUNTIFS(INDIRECT("Table1[Beginn]"),"&lt;="&amp;K$1,INDIRECT("Table1[Ende]"),"&gt;="&amp;K$1,INDIRECT("Table1[Obergruppe ATC-Code]"),Tabelle3!$A56)</f>
        <v>1</v>
      </c>
      <c r="L56">
        <f ca="1">COUNTIFS(INDIRECT("Table1[Beginn]"),"&lt;="&amp;L$1,INDIRECT("Table1[Ende]"),"&gt;="&amp;L$1,INDIRECT("Table1[Obergruppe ATC-Code]"),Tabelle3!$A56)</f>
        <v>0</v>
      </c>
      <c r="M56">
        <f ca="1">COUNTIFS(INDIRECT("Table1[Beginn]"),"&lt;="&amp;M$1,INDIRECT("Table1[Ende]"),"&gt;="&amp;M$1,INDIRECT("Table1[Obergruppe ATC-Code]"),Tabelle3!$A56)</f>
        <v>0</v>
      </c>
      <c r="N56">
        <f ca="1">COUNTIFS(INDIRECT("Table1[Beginn]"),"&lt;="&amp;N$1,INDIRECT("Table1[Ende]"),"&gt;="&amp;N$1,INDIRECT("Table1[Obergruppe ATC-Code]"),Tabelle3!$A56)</f>
        <v>0</v>
      </c>
      <c r="O56">
        <f ca="1">COUNTIFS(INDIRECT("Table1[Beginn]"),"&lt;="&amp;O$1,INDIRECT("Table1[Ende]"),"&gt;="&amp;O$1,INDIRECT("Table1[Obergruppe ATC-Code]"),Tabelle3!$A56)</f>
        <v>1</v>
      </c>
      <c r="P56">
        <f ca="1">COUNTIFS(INDIRECT("Table1[Beginn]"),"&lt;="&amp;P$1,INDIRECT("Table1[Ende]"),"&gt;="&amp;P$1,INDIRECT("Table1[Obergruppe ATC-Code]"),Tabelle3!$A56)</f>
        <v>1</v>
      </c>
      <c r="Q56">
        <f ca="1">COUNTIFS(INDIRECT("Table1[Beginn]"),"&lt;="&amp;Q$1,INDIRECT("Table1[Ende]"),"&gt;="&amp;Q$1,INDIRECT("Table1[Obergruppe ATC-Code]"),Tabelle3!$A56)</f>
        <v>2</v>
      </c>
      <c r="R56">
        <f ca="1">COUNTIFS(INDIRECT("Table1[Beginn]"),"&lt;="&amp;R$1,INDIRECT("Table1[Ende]"),"&gt;="&amp;R$1,INDIRECT("Table1[Obergruppe ATC-Code]"),Tabelle3!$A56)</f>
        <v>3</v>
      </c>
      <c r="S56">
        <f ca="1">COUNTIFS(INDIRECT("Table1[Beginn]"),"&lt;="&amp;S$1,INDIRECT("Table1[Ende]"),"&gt;="&amp;S$1,INDIRECT("Table1[Obergruppe ATC-Code]"),Tabelle3!$A56)</f>
        <v>2</v>
      </c>
      <c r="T56">
        <f ca="1">COUNTIFS(INDIRECT("Table1[Beginn]"),"&lt;="&amp;T$1,INDIRECT("Table1[Ende]"),"&gt;="&amp;T$1,INDIRECT("Table1[Obergruppe ATC-Code]"),Tabelle3!$A56)</f>
        <v>1</v>
      </c>
      <c r="U56">
        <f ca="1">COUNTIFS(INDIRECT("Table1[Beginn]"),"&lt;="&amp;U$1,INDIRECT("Table1[Ende]"),"&gt;="&amp;U$1,INDIRECT("Table1[Obergruppe ATC-Code]"),Tabelle3!$A56)</f>
        <v>3</v>
      </c>
      <c r="V56">
        <f ca="1">COUNTIFS(INDIRECT("Table1[Beginn]"),"&lt;="&amp;V$1,INDIRECT("Table1[Ende]"),"&gt;="&amp;V$1,INDIRECT("Table1[Obergruppe ATC-Code]"),Tabelle3!$A56)</f>
        <v>3</v>
      </c>
      <c r="W56">
        <f ca="1">COUNTIFS(INDIRECT("Table1[Beginn]"),"&lt;="&amp;W$1,INDIRECT("Table1[Ende]"),"&gt;="&amp;W$1,INDIRECT("Table1[Obergruppe ATC-Code]"),Tabelle3!$A56)</f>
        <v>3</v>
      </c>
      <c r="X56">
        <f ca="1">COUNTIFS(INDIRECT("Table1[Beginn]"),"&lt;="&amp;X$1,INDIRECT("Table1[Ende]"),"&gt;="&amp;X$1,INDIRECT("Table1[Obergruppe ATC-Code]"),Tabelle3!$A56)</f>
        <v>3</v>
      </c>
      <c r="Y56">
        <f ca="1">COUNTIFS(INDIRECT("Table1[Beginn]"),"&lt;="&amp;Y$1,INDIRECT("Table1[Ende]"),"&gt;="&amp;Y$1,INDIRECT("Table1[Obergruppe ATC-Code]"),Tabelle3!$A56)</f>
        <v>3</v>
      </c>
      <c r="Z56">
        <f ca="1">COUNTIFS(INDIRECT("Table1[Beginn]"),"&lt;="&amp;Z$1,INDIRECT("Table1[Ende]"),"&gt;="&amp;Z$1,INDIRECT("Table1[Obergruppe ATC-Code]"),Tabelle3!$A56)</f>
        <v>3</v>
      </c>
      <c r="AA56">
        <f ca="1">COUNTIFS(INDIRECT("Table1[Beginn]"),"&lt;="&amp;AA$1,INDIRECT("Table1[Ende]"),"&gt;="&amp;AA$1,INDIRECT("Table1[Obergruppe ATC-Code]"),Tabelle3!$A56)</f>
        <v>5</v>
      </c>
      <c r="AB56">
        <f ca="1">COUNTIFS(INDIRECT("Table1[Beginn]"),"&lt;="&amp;AB$1,INDIRECT("Table1[Ende]"),"&gt;="&amp;AB$1,INDIRECT("Table1[Obergruppe ATC-Code]"),Tabelle3!$A56)</f>
        <v>5</v>
      </c>
      <c r="AC56">
        <f ca="1">COUNTIFS(INDIRECT("Table1[Beginn]"),"&lt;="&amp;AC$1,INDIRECT("Table1[Ende]"),"&gt;="&amp;AC$1,INDIRECT("Table1[Obergruppe ATC-Code]"),Tabelle3!$A56)</f>
        <v>9</v>
      </c>
      <c r="AD56">
        <f ca="1">COUNTIFS(INDIRECT("Table1[Beginn]"),"&lt;="&amp;AD$1,INDIRECT("Table1[Ende]"),"&gt;="&amp;AD$1,INDIRECT("Table1[Obergruppe ATC-Code]"),Tabelle3!$A56)</f>
        <v>11</v>
      </c>
      <c r="AE56">
        <f ca="1">COUNTIFS(INDIRECT("Table1[Beginn]"),"&lt;="&amp;AE$1,INDIRECT("Table1[Ende]"),"&gt;="&amp;AE$1,INDIRECT("Table1[Obergruppe ATC-Code]"),Tabelle3!$A56)</f>
        <v>12</v>
      </c>
      <c r="AF56">
        <f ca="1">COUNTIFS(INDIRECT("Table1[Beginn]"),"&lt;="&amp;AF$1,INDIRECT("Table1[Ende]"),"&gt;="&amp;AF$1,INDIRECT("Table1[Obergruppe ATC-Code]"),Tabelle3!$A56)</f>
        <v>10</v>
      </c>
      <c r="AG56">
        <f ca="1">COUNTIFS(INDIRECT("Table1[Beginn]"),"&lt;="&amp;AG$1,INDIRECT("Table1[Ende]"),"&gt;="&amp;AG$1,INDIRECT("Table1[Obergruppe ATC-Code]"),Tabelle3!$A56)</f>
        <v>11</v>
      </c>
      <c r="AH56">
        <f ca="1">COUNTIFS(INDIRECT("Table1[Beginn]"),"&lt;="&amp;AH$1,INDIRECT("Table1[Ende]"),"&gt;="&amp;AH$1,INDIRECT("Table1[Obergruppe ATC-Code]"),Tabelle3!$A56)</f>
        <v>7</v>
      </c>
      <c r="AI56">
        <f ca="1">COUNTIFS(INDIRECT("Table1[Beginn]"),"&lt;="&amp;AI$1,INDIRECT("Table1[Ende]"),"&gt;="&amp;AI$1,INDIRECT("Table1[Obergruppe ATC-Code]"),Tabelle3!$A56)</f>
        <v>6</v>
      </c>
      <c r="AJ56">
        <f ca="1">COUNTIFS(INDIRECT("Table1[Beginn]"),"&lt;="&amp;AJ$1,INDIRECT("Table1[Ende]"),"&gt;="&amp;AJ$1,INDIRECT("Table1[Obergruppe ATC-Code]"),Tabelle3!$A56)</f>
        <v>6</v>
      </c>
      <c r="AK56">
        <f ca="1">COUNTIFS(INDIRECT("Table1[Beginn]"),"&lt;="&amp;AK$1,INDIRECT("Table1[Ende]"),"&gt;="&amp;AK$1,INDIRECT("Table1[Obergruppe ATC-Code]"),Tabelle3!$A56)</f>
        <v>7</v>
      </c>
      <c r="AL56">
        <f ca="1">COUNTIFS(INDIRECT("Table1[Beginn]"),"&lt;="&amp;AL$1,INDIRECT("Table1[Ende]"),"&gt;="&amp;AL$1,INDIRECT("Table1[Obergruppe ATC-Code]"),Tabelle3!$A56)</f>
        <v>5</v>
      </c>
      <c r="AM56">
        <f ca="1">COUNTIFS(INDIRECT("Table1[Beginn]"),"&lt;="&amp;AM$1,INDIRECT("Table1[Ende]"),"&gt;="&amp;AM$1,INDIRECT("Table1[Obergruppe ATC-Code]"),Tabelle3!$A56)</f>
        <v>15</v>
      </c>
      <c r="AN56">
        <f ca="1">COUNTIFS(INDIRECT("Table1[Beginn]"),"&lt;="&amp;AN$1,INDIRECT("Table1[Ende]"),"&gt;="&amp;AN$1,INDIRECT("Table1[Obergruppe ATC-Code]"),Tabelle3!$A56)</f>
        <v>18</v>
      </c>
      <c r="AO56">
        <f ca="1">COUNTIFS(INDIRECT("Table1[Beginn]"),"&lt;="&amp;AO$1,INDIRECT("Table1[Ende]"),"&gt;="&amp;AO$1,INDIRECT("Table1[Obergruppe ATC-Code]"),Tabelle3!$A56)</f>
        <v>16</v>
      </c>
      <c r="AP56">
        <f ca="1">COUNTIFS(INDIRECT("Table1[Beginn]"),"&lt;="&amp;AP$1,INDIRECT("Table1[Ende]"),"&gt;="&amp;AP$1,INDIRECT("Table1[Obergruppe ATC-Code]"),Tabelle3!$A56)</f>
        <v>10</v>
      </c>
      <c r="AQ56">
        <f ca="1">COUNTIFS(INDIRECT("Table1[Beginn]"),"&lt;="&amp;AQ$1,INDIRECT("Table1[Ende]"),"&gt;="&amp;AQ$1,INDIRECT("Table1[Obergruppe ATC-Code]"),Tabelle3!$A56)</f>
        <v>9</v>
      </c>
      <c r="AR56">
        <f ca="1">COUNTIFS(INDIRECT("Table1[Beginn]"),"&lt;="&amp;AR$1,INDIRECT("Table1[Ende]"),"&gt;="&amp;AR$1,INDIRECT("Table1[Obergruppe ATC-Code]"),Tabelle3!$A56)</f>
        <v>7</v>
      </c>
      <c r="AS56">
        <f ca="1">COUNTIFS(INDIRECT("Table1[Beginn]"),"&lt;="&amp;AS$1,INDIRECT("Table1[Ende]"),"&gt;="&amp;AS$1,INDIRECT("Table1[Obergruppe ATC-Code]"),Tabelle3!$A56)</f>
        <v>6</v>
      </c>
      <c r="AT56">
        <f ca="1">COUNTIFS(INDIRECT("Table1[Beginn]"),"&lt;="&amp;AT$1,INDIRECT("Table1[Ende]"),"&gt;="&amp;AT$1,INDIRECT("Table1[Obergruppe ATC-Code]"),Tabelle3!$A56)</f>
        <v>6</v>
      </c>
      <c r="AU56">
        <f ca="1">COUNTIFS(INDIRECT("Table1[Beginn]"),"&lt;="&amp;AU$1,INDIRECT("Table1[Ende]"),"&gt;="&amp;AU$1,INDIRECT("Table1[Obergruppe ATC-Code]"),Tabelle3!$A56)</f>
        <v>6</v>
      </c>
      <c r="AV56">
        <f ca="1">COUNTIFS(INDIRECT("Table1[Beginn]"),"&lt;="&amp;AV$1,INDIRECT("Table1[Ende]"),"&gt;="&amp;AV$1,INDIRECT("Table1[Obergruppe ATC-Code]"),Tabelle3!$A56)</f>
        <v>6</v>
      </c>
      <c r="AW56">
        <f ca="1">COUNTIFS(INDIRECT("Table1[Beginn]"),"&lt;="&amp;AW$1,INDIRECT("Table1[Ende]"),"&gt;="&amp;AW$1,INDIRECT("Table1[Obergruppe ATC-Code]"),Tabelle3!$A56)</f>
        <v>4</v>
      </c>
      <c r="AX56">
        <f ca="1">COUNTIFS(INDIRECT("Table1[Beginn]"),"&lt;="&amp;AX$1,INDIRECT("Table1[Ende]"),"&gt;="&amp;AX$1,INDIRECT("Table1[Obergruppe ATC-Code]"),Tabelle3!$A56)</f>
        <v>4</v>
      </c>
      <c r="AY56">
        <f ca="1">COUNTIFS(INDIRECT("Table1[Beginn]"),"&lt;="&amp;AY$1,INDIRECT("Table1[Ende]"),"&gt;="&amp;AY$1,INDIRECT("Table1[Obergruppe ATC-Code]"),Tabelle3!$A56)</f>
        <v>3</v>
      </c>
      <c r="AZ56">
        <f ca="1">COUNTIFS(INDIRECT("Table1[Beginn]"),"&lt;="&amp;AZ$1,INDIRECT("Table1[Ende]"),"&gt;="&amp;AZ$1,INDIRECT("Table1[Obergruppe ATC-Code]"),Tabelle3!$A56)</f>
        <v>3</v>
      </c>
      <c r="BA56">
        <f ca="1">COUNTIFS(INDIRECT("Table1[Beginn]"),"&lt;="&amp;BA$1,INDIRECT("Table1[Ende]"),"&gt;="&amp;BA$1,INDIRECT("Table1[Obergruppe ATC-Code]"),Tabelle3!$A56)</f>
        <v>2</v>
      </c>
      <c r="BB56">
        <f ca="1">COUNTIFS(INDIRECT("Table1[Beginn]"),"&lt;="&amp;BB$1,INDIRECT("Table1[Ende]"),"&gt;="&amp;BB$1,INDIRECT("Table1[Obergruppe ATC-Code]"),Tabelle3!$A56)</f>
        <v>2</v>
      </c>
      <c r="BC56">
        <f ca="1">COUNTIFS(INDIRECT("Table1[Beginn]"),"&lt;="&amp;BC$1,INDIRECT("Table1[Ende]"),"&gt;="&amp;BC$1,INDIRECT("Table1[Obergruppe ATC-Code]"),Tabelle3!$A56)</f>
        <v>1</v>
      </c>
      <c r="BD56">
        <f ca="1">COUNTIFS(INDIRECT("Table1[Beginn]"),"&lt;="&amp;BD$1,INDIRECT("Table1[Ende]"),"&gt;="&amp;BD$1,INDIRECT("Table1[Obergruppe ATC-Code]"),Tabelle3!$A56)</f>
        <v>1</v>
      </c>
      <c r="BE56">
        <f ca="1">COUNTIFS(INDIRECT("Table1[Beginn]"),"&lt;="&amp;BE$1,INDIRECT("Table1[Ende]"),"&gt;="&amp;BE$1,INDIRECT("Table1[Obergruppe ATC-Code]"),Tabelle3!$A56)</f>
        <v>1</v>
      </c>
      <c r="BF56">
        <f ca="1">COUNTIFS(INDIRECT("Table1[Beginn]"),"&lt;="&amp;BF$1,INDIRECT("Table1[Ende]"),"&gt;="&amp;BF$1,INDIRECT("Table1[Obergruppe ATC-Code]"),Tabelle3!$A56)</f>
        <v>0</v>
      </c>
      <c r="BG56">
        <f ca="1">COUNTIFS(INDIRECT("Table1[Beginn]"),"&lt;="&amp;BG$1,INDIRECT("Table1[Ende]"),"&gt;="&amp;BG$1,INDIRECT("Table1[Obergruppe ATC-Code]"),Tabelle3!$A56)</f>
        <v>0</v>
      </c>
      <c r="BH56">
        <f ca="1">COUNTIFS(INDIRECT("Table1[Beginn]"),"&lt;="&amp;BH$1,INDIRECT("Table1[Ende]"),"&gt;="&amp;BH$1,INDIRECT("Table1[Obergruppe ATC-Code]"),Tabelle3!$A56)</f>
        <v>1</v>
      </c>
      <c r="BI56">
        <f ca="1">COUNTIFS(INDIRECT("Table1[Beginn]"),"&lt;="&amp;BI$1,INDIRECT("Table1[Ende]"),"&gt;="&amp;BI$1,INDIRECT("Table1[Obergruppe ATC-Code]"),Tabelle3!$A56)</f>
        <v>0</v>
      </c>
      <c r="BJ56">
        <f ca="1">COUNTIFS(INDIRECT("Table1[Beginn]"),"&lt;="&amp;BJ$1,INDIRECT("Table1[Ende]"),"&gt;="&amp;BJ$1,INDIRECT("Table1[Obergruppe ATC-Code]"),Tabelle3!$A56)</f>
        <v>0</v>
      </c>
      <c r="BK56">
        <f ca="1">COUNTIFS(INDIRECT("Table1[Beginn]"),"&lt;="&amp;BK$1,INDIRECT("Table1[Ende]"),"&gt;="&amp;BK$1,INDIRECT("Table1[Obergruppe ATC-Code]"),Tabelle3!$A56)</f>
        <v>0</v>
      </c>
      <c r="BL56">
        <f ca="1">COUNTIFS(INDIRECT("Table1[Beginn]"),"&lt;="&amp;BL$1,INDIRECT("Table1[Ende]"),"&gt;="&amp;BL$1,INDIRECT("Table1[Obergruppe ATC-Code]"),Tabelle3!$A56)</f>
        <v>1</v>
      </c>
      <c r="BM56">
        <f ca="1">COUNTIFS(INDIRECT("Table1[Beginn]"),"&lt;="&amp;BM$1,INDIRECT("Table1[Ende]"),"&gt;="&amp;BM$1,INDIRECT("Table1[Obergruppe ATC-Code]"),Tabelle3!$A56)</f>
        <v>1</v>
      </c>
      <c r="BN56">
        <f ca="1">COUNTIFS(INDIRECT("Table1[Beginn]"),"&lt;="&amp;BN$1,INDIRECT("Table1[Ende]"),"&gt;="&amp;BN$1,INDIRECT("Table1[Obergruppe ATC-Code]"),Tabelle3!$A56)</f>
        <v>2</v>
      </c>
      <c r="BO56">
        <f ca="1">COUNTIFS(INDIRECT("Table1[Beginn]"),"&lt;="&amp;BO$1,INDIRECT("Table1[Ende]"),"&gt;="&amp;BO$1,INDIRECT("Table1[Obergruppe ATC-Code]"),Tabelle3!$A56)</f>
        <v>0</v>
      </c>
      <c r="BP56">
        <f ca="1">COUNTIFS(INDIRECT("Table1[Beginn]"),"&lt;="&amp;BP$1,INDIRECT("Table1[Ende]"),"&gt;="&amp;BP$1,INDIRECT("Table1[Obergruppe ATC-Code]"),Tabelle3!$A56)</f>
        <v>1</v>
      </c>
      <c r="BQ56">
        <f ca="1">COUNTIFS(INDIRECT("Table1[Beginn]"),"&lt;="&amp;BQ$1,INDIRECT("Table1[Ende]"),"&gt;="&amp;BQ$1,INDIRECT("Table1[Obergruppe ATC-Code]"),Tabelle3!$A56)</f>
        <v>0</v>
      </c>
      <c r="BR56">
        <f ca="1">COUNTIFS(INDIRECT("Table1[Beginn]"),"&lt;="&amp;BR$1,INDIRECT("Table1[Ende]"),"&gt;="&amp;BR$1,INDIRECT("Table1[Obergruppe ATC-Code]"),Tabelle3!$A56)</f>
        <v>0</v>
      </c>
      <c r="BS56">
        <f ca="1">COUNTIFS(INDIRECT("Table1[Beginn]"),"&lt;="&amp;BS$1,INDIRECT("Table1[Ende]"),"&gt;="&amp;BS$1,INDIRECT("Table1[Obergruppe ATC-Code]"),Tabelle3!$A56)</f>
        <v>0</v>
      </c>
      <c r="BT56">
        <f ca="1">COUNTIFS(INDIRECT("Table1[Beginn]"),"&lt;="&amp;BT$1,INDIRECT("Table1[Ende]"),"&gt;="&amp;BT$1,INDIRECT("Table1[Obergruppe ATC-Code]"),Tabelle3!$A56)</f>
        <v>0</v>
      </c>
      <c r="BU56">
        <f ca="1">COUNTIFS(INDIRECT("Table1[Beginn]"),"&lt;="&amp;BU$1,INDIRECT("Table1[Ende]"),"&gt;="&amp;BU$1,INDIRECT("Table1[Obergruppe ATC-Code]"),Tabelle3!$A56)</f>
        <v>0</v>
      </c>
      <c r="BV56">
        <f ca="1">COUNTIFS(INDIRECT("Table1[Beginn]"),"&lt;="&amp;BV$1,INDIRECT("Table1[Ende]"),"&gt;="&amp;BV$1,INDIRECT("Table1[Obergruppe ATC-Code]"),Tabelle3!$A56)</f>
        <v>1</v>
      </c>
      <c r="BW56">
        <f ca="1">COUNTIFS(INDIRECT("Table1[Beginn]"),"&lt;="&amp;BW$1,INDIRECT("Table1[Ende]"),"&gt;="&amp;BW$1,INDIRECT("Table1[Obergruppe ATC-Code]"),Tabelle3!$A56)</f>
        <v>1</v>
      </c>
      <c r="BX56">
        <f ca="1">COUNTIFS(INDIRECT("Table1[Beginn]"),"&lt;="&amp;BX$1,INDIRECT("Table1[Ende]"),"&gt;="&amp;BX$1,INDIRECT("Table1[Obergruppe ATC-Code]"),Tabelle3!$A56)</f>
        <v>0</v>
      </c>
      <c r="BY56">
        <f ca="1">COUNTIFS(INDIRECT("Table1[Beginn]"),"&lt;="&amp;BY$1,INDIRECT("Table1[Ende]"),"&gt;="&amp;BY$1,INDIRECT("Table1[Obergruppe ATC-Code]"),Tabelle3!$A56)</f>
        <v>0</v>
      </c>
      <c r="BZ56">
        <f ca="1">COUNTIFS(INDIRECT("Table1[Beginn]"),"&lt;="&amp;BZ$1,INDIRECT("Table1[Ende]"),"&gt;="&amp;BZ$1,INDIRECT("Table1[Obergruppe ATC-Code]"),Tabelle3!$A56)</f>
        <v>0</v>
      </c>
      <c r="CA56">
        <f ca="1">COUNTIFS(INDIRECT("Table1[Beginn]"),"&lt;="&amp;CA$1,INDIRECT("Table1[Ende]"),"&gt;="&amp;CA$1,INDIRECT("Table1[Obergruppe ATC-Code]"),Tabelle3!$A56)</f>
        <v>0</v>
      </c>
      <c r="CB56">
        <f ca="1">COUNTIFS(INDIRECT("Table1[Beginn]"),"&lt;="&amp;CB$1,INDIRECT("Table1[Ende]"),"&gt;="&amp;CB$1,INDIRECT("Table1[Obergruppe ATC-Code]"),Tabelle3!$A56)</f>
        <v>1</v>
      </c>
      <c r="CC56">
        <f ca="1">COUNTIFS(INDIRECT("Table1[Beginn]"),"&lt;="&amp;CC$1,INDIRECT("Table1[Ende]"),"&gt;="&amp;CC$1,INDIRECT("Table1[Obergruppe ATC-Code]"),Tabelle3!$A56)</f>
        <v>3</v>
      </c>
      <c r="CD56">
        <f ca="1">COUNTIFS(INDIRECT("Table1[Beginn]"),"&lt;="&amp;CD$1,INDIRECT("Table1[Ende]"),"&gt;="&amp;CD$1,INDIRECT("Table1[Obergruppe ATC-Code]"),Tabelle3!$A56)</f>
        <v>4</v>
      </c>
      <c r="CE56">
        <f ca="1">COUNTIFS(INDIRECT("Table1[Beginn]"),"&lt;="&amp;CE$1,INDIRECT("Table1[Ende]"),"&gt;="&amp;CE$1,INDIRECT("Table1[Obergruppe ATC-Code]"),Tabelle3!$A56)</f>
        <v>3</v>
      </c>
      <c r="CF56">
        <f ca="1">COUNTIFS(INDIRECT("Table1[Beginn]"),"&lt;="&amp;CF$1,INDIRECT("Table1[Ende]"),"&gt;="&amp;CF$1,INDIRECT("Table1[Obergruppe ATC-Code]"),Tabelle3!$A56)</f>
        <v>2</v>
      </c>
      <c r="CG56">
        <f ca="1">COUNTIFS(INDIRECT("Table1[Beginn]"),"&lt;="&amp;CG$1,INDIRECT("Table1[Ende]"),"&gt;="&amp;CG$1,INDIRECT("Table1[Obergruppe ATC-Code]"),Tabelle3!$A56)</f>
        <v>1</v>
      </c>
      <c r="CH56">
        <f ca="1">COUNTIFS(INDIRECT("Table1[Beginn]"),"&lt;="&amp;CH$1,INDIRECT("Table1[Ende]"),"&gt;="&amp;CH$1,INDIRECT("Table1[Obergruppe ATC-Code]"),Tabelle3!$A56)</f>
        <v>0</v>
      </c>
      <c r="CI56">
        <f ca="1">COUNTIFS(INDIRECT("Table1[Beginn]"),"&lt;="&amp;CI$1,INDIRECT("Table1[Ende]"),"&gt;="&amp;CI$1,INDIRECT("Table1[Obergruppe ATC-Code]"),Tabelle3!$A56)</f>
        <v>0</v>
      </c>
      <c r="CJ56">
        <f ca="1">COUNTIFS(INDIRECT("Table1[Beginn]"),"&lt;="&amp;CJ$1,INDIRECT("Table1[Ende]"),"&gt;="&amp;CJ$1,INDIRECT("Table1[Obergruppe ATC-Code]"),Tabelle3!$A56)</f>
        <v>0</v>
      </c>
      <c r="CK56">
        <f ca="1">COUNTIFS(INDIRECT("Table1[Beginn]"),"&lt;="&amp;CK$1,INDIRECT("Table1[Ende]"),"&gt;="&amp;CK$1,INDIRECT("Table1[Obergruppe ATC-Code]"),Tabelle3!$A56)</f>
        <v>0</v>
      </c>
      <c r="CL56">
        <f ca="1">COUNTIFS(INDIRECT("Table1[Beginn]"),"&lt;="&amp;CL$1,INDIRECT("Table1[Ende]"),"&gt;="&amp;CL$1,INDIRECT("Table1[Obergruppe ATC-Code]"),Tabelle3!$A56)</f>
        <v>0</v>
      </c>
      <c r="CM56">
        <f ca="1">COUNTIFS(INDIRECT("Table1[Beginn]"),"&lt;="&amp;CM$1,INDIRECT("Table1[Ende]"),"&gt;="&amp;CM$1,INDIRECT("Table1[Obergruppe ATC-Code]"),Tabelle3!$A56)</f>
        <v>0</v>
      </c>
      <c r="CN56">
        <f ca="1">COUNTIFS(INDIRECT("Table1[Beginn]"),"&lt;="&amp;CN$1,INDIRECT("Table1[Ende]"),"&gt;="&amp;CN$1,INDIRECT("Table1[Obergruppe ATC-Code]"),Tabelle3!$A56)</f>
        <v>0</v>
      </c>
      <c r="CO56">
        <f ca="1">COUNTIFS(INDIRECT("Table1[Beginn]"),"&lt;="&amp;CO$1,INDIRECT("Table1[Ende]"),"&gt;="&amp;CO$1,INDIRECT("Table1[Obergruppe ATC-Code]"),Tabelle3!$A56)</f>
        <v>0</v>
      </c>
      <c r="CP56">
        <f ca="1">COUNTIFS(INDIRECT("Table1[Beginn]"),"&lt;="&amp;CP$1,INDIRECT("Table1[Ende]"),"&gt;="&amp;CP$1,INDIRECT("Table1[Obergruppe ATC-Code]"),Tabelle3!$A56)</f>
        <v>0</v>
      </c>
      <c r="CQ56">
        <f ca="1">COUNTIFS(INDIRECT("Table1[Beginn]"),"&lt;="&amp;CQ$1,INDIRECT("Table1[Ende]"),"&gt;="&amp;CQ$1,INDIRECT("Table1[Obergruppe ATC-Code]"),Tabelle3!$A56)</f>
        <v>0</v>
      </c>
      <c r="CR56">
        <f ca="1">COUNTIFS(INDIRECT("Table1[Beginn]"),"&lt;="&amp;CR$1,INDIRECT("Table1[Ende]"),"&gt;="&amp;CR$1,INDIRECT("Table1[Obergruppe ATC-Code]"),Tabelle3!$A56)</f>
        <v>0</v>
      </c>
    </row>
    <row r="57" spans="1:96" ht="18">
      <c r="A57" s="9" t="s">
        <v>6883</v>
      </c>
      <c r="B57" s="10" t="s">
        <v>6884</v>
      </c>
      <c r="C57">
        <f ca="1">COUNTIFS(INDIRECT("Table1[Beginn]"),"&lt;="&amp;C$1,INDIRECT("Table1[Ende]"),"&gt;="&amp;C$1,INDIRECT("Table1[Obergruppe ATC-Code]"),Tabelle3!$A57)</f>
        <v>0</v>
      </c>
      <c r="D57">
        <f ca="1">COUNTIFS(INDIRECT("Table1[Beginn]"),"&lt;="&amp;D$1,INDIRECT("Table1[Ende]"),"&gt;="&amp;D$1,INDIRECT("Table1[Obergruppe ATC-Code]"),Tabelle3!$A57)</f>
        <v>0</v>
      </c>
      <c r="E57">
        <f ca="1">COUNTIFS(INDIRECT("Table1[Beginn]"),"&lt;="&amp;E$1,INDIRECT("Table1[Ende]"),"&gt;="&amp;E$1,INDIRECT("Table1[Obergruppe ATC-Code]"),Tabelle3!$A57)</f>
        <v>0</v>
      </c>
      <c r="F57">
        <f ca="1">COUNTIFS(INDIRECT("Table1[Beginn]"),"&lt;="&amp;F$1,INDIRECT("Table1[Ende]"),"&gt;="&amp;F$1,INDIRECT("Table1[Obergruppe ATC-Code]"),Tabelle3!$A57)</f>
        <v>0</v>
      </c>
      <c r="G57">
        <f ca="1">COUNTIFS(INDIRECT("Table1[Beginn]"),"&lt;="&amp;G$1,INDIRECT("Table1[Ende]"),"&gt;="&amp;G$1,INDIRECT("Table1[Obergruppe ATC-Code]"),Tabelle3!$A57)</f>
        <v>0</v>
      </c>
      <c r="H57">
        <f ca="1">COUNTIFS(INDIRECT("Table1[Beginn]"),"&lt;="&amp;H$1,INDIRECT("Table1[Ende]"),"&gt;="&amp;H$1,INDIRECT("Table1[Obergruppe ATC-Code]"),Tabelle3!$A57)</f>
        <v>0</v>
      </c>
      <c r="I57">
        <f ca="1">COUNTIFS(INDIRECT("Table1[Beginn]"),"&lt;="&amp;I$1,INDIRECT("Table1[Ende]"),"&gt;="&amp;I$1,INDIRECT("Table1[Obergruppe ATC-Code]"),Tabelle3!$A57)</f>
        <v>0</v>
      </c>
      <c r="J57">
        <f ca="1">COUNTIFS(INDIRECT("Table1[Beginn]"),"&lt;="&amp;J$1,INDIRECT("Table1[Ende]"),"&gt;="&amp;J$1,INDIRECT("Table1[Obergruppe ATC-Code]"),Tabelle3!$A57)</f>
        <v>0</v>
      </c>
      <c r="K57">
        <f ca="1">COUNTIFS(INDIRECT("Table1[Beginn]"),"&lt;="&amp;K$1,INDIRECT("Table1[Ende]"),"&gt;="&amp;K$1,INDIRECT("Table1[Obergruppe ATC-Code]"),Tabelle3!$A57)</f>
        <v>0</v>
      </c>
      <c r="L57">
        <f ca="1">COUNTIFS(INDIRECT("Table1[Beginn]"),"&lt;="&amp;L$1,INDIRECT("Table1[Ende]"),"&gt;="&amp;L$1,INDIRECT("Table1[Obergruppe ATC-Code]"),Tabelle3!$A57)</f>
        <v>0</v>
      </c>
      <c r="M57">
        <f ca="1">COUNTIFS(INDIRECT("Table1[Beginn]"),"&lt;="&amp;M$1,INDIRECT("Table1[Ende]"),"&gt;="&amp;M$1,INDIRECT("Table1[Obergruppe ATC-Code]"),Tabelle3!$A57)</f>
        <v>1</v>
      </c>
      <c r="N57">
        <f ca="1">COUNTIFS(INDIRECT("Table1[Beginn]"),"&lt;="&amp;N$1,INDIRECT("Table1[Ende]"),"&gt;="&amp;N$1,INDIRECT("Table1[Obergruppe ATC-Code]"),Tabelle3!$A57)</f>
        <v>1</v>
      </c>
      <c r="O57">
        <f ca="1">COUNTIFS(INDIRECT("Table1[Beginn]"),"&lt;="&amp;O$1,INDIRECT("Table1[Ende]"),"&gt;="&amp;O$1,INDIRECT("Table1[Obergruppe ATC-Code]"),Tabelle3!$A57)</f>
        <v>1</v>
      </c>
      <c r="P57">
        <f ca="1">COUNTIFS(INDIRECT("Table1[Beginn]"),"&lt;="&amp;P$1,INDIRECT("Table1[Ende]"),"&gt;="&amp;P$1,INDIRECT("Table1[Obergruppe ATC-Code]"),Tabelle3!$A57)</f>
        <v>1</v>
      </c>
      <c r="Q57">
        <f ca="1">COUNTIFS(INDIRECT("Table1[Beginn]"),"&lt;="&amp;Q$1,INDIRECT("Table1[Ende]"),"&gt;="&amp;Q$1,INDIRECT("Table1[Obergruppe ATC-Code]"),Tabelle3!$A57)</f>
        <v>0</v>
      </c>
      <c r="R57">
        <f ca="1">COUNTIFS(INDIRECT("Table1[Beginn]"),"&lt;="&amp;R$1,INDIRECT("Table1[Ende]"),"&gt;="&amp;R$1,INDIRECT("Table1[Obergruppe ATC-Code]"),Tabelle3!$A57)</f>
        <v>0</v>
      </c>
      <c r="S57">
        <f ca="1">COUNTIFS(INDIRECT("Table1[Beginn]"),"&lt;="&amp;S$1,INDIRECT("Table1[Ende]"),"&gt;="&amp;S$1,INDIRECT("Table1[Obergruppe ATC-Code]"),Tabelle3!$A57)</f>
        <v>0</v>
      </c>
      <c r="T57">
        <f ca="1">COUNTIFS(INDIRECT("Table1[Beginn]"),"&lt;="&amp;T$1,INDIRECT("Table1[Ende]"),"&gt;="&amp;T$1,INDIRECT("Table1[Obergruppe ATC-Code]"),Tabelle3!$A57)</f>
        <v>0</v>
      </c>
      <c r="U57">
        <f ca="1">COUNTIFS(INDIRECT("Table1[Beginn]"),"&lt;="&amp;U$1,INDIRECT("Table1[Ende]"),"&gt;="&amp;U$1,INDIRECT("Table1[Obergruppe ATC-Code]"),Tabelle3!$A57)</f>
        <v>0</v>
      </c>
      <c r="V57">
        <f ca="1">COUNTIFS(INDIRECT("Table1[Beginn]"),"&lt;="&amp;V$1,INDIRECT("Table1[Ende]"),"&gt;="&amp;V$1,INDIRECT("Table1[Obergruppe ATC-Code]"),Tabelle3!$A57)</f>
        <v>0</v>
      </c>
      <c r="W57">
        <f ca="1">COUNTIFS(INDIRECT("Table1[Beginn]"),"&lt;="&amp;W$1,INDIRECT("Table1[Ende]"),"&gt;="&amp;W$1,INDIRECT("Table1[Obergruppe ATC-Code]"),Tabelle3!$A57)</f>
        <v>0</v>
      </c>
      <c r="X57">
        <f ca="1">COUNTIFS(INDIRECT("Table1[Beginn]"),"&lt;="&amp;X$1,INDIRECT("Table1[Ende]"),"&gt;="&amp;X$1,INDIRECT("Table1[Obergruppe ATC-Code]"),Tabelle3!$A57)</f>
        <v>0</v>
      </c>
      <c r="Y57">
        <f ca="1">COUNTIFS(INDIRECT("Table1[Beginn]"),"&lt;="&amp;Y$1,INDIRECT("Table1[Ende]"),"&gt;="&amp;Y$1,INDIRECT("Table1[Obergruppe ATC-Code]"),Tabelle3!$A57)</f>
        <v>0</v>
      </c>
      <c r="Z57">
        <f ca="1">COUNTIFS(INDIRECT("Table1[Beginn]"),"&lt;="&amp;Z$1,INDIRECT("Table1[Ende]"),"&gt;="&amp;Z$1,INDIRECT("Table1[Obergruppe ATC-Code]"),Tabelle3!$A57)</f>
        <v>0</v>
      </c>
      <c r="AA57">
        <f ca="1">COUNTIFS(INDIRECT("Table1[Beginn]"),"&lt;="&amp;AA$1,INDIRECT("Table1[Ende]"),"&gt;="&amp;AA$1,INDIRECT("Table1[Obergruppe ATC-Code]"),Tabelle3!$A57)</f>
        <v>0</v>
      </c>
      <c r="AB57">
        <f ca="1">COUNTIFS(INDIRECT("Table1[Beginn]"),"&lt;="&amp;AB$1,INDIRECT("Table1[Ende]"),"&gt;="&amp;AB$1,INDIRECT("Table1[Obergruppe ATC-Code]"),Tabelle3!$A57)</f>
        <v>0</v>
      </c>
      <c r="AC57">
        <f ca="1">COUNTIFS(INDIRECT("Table1[Beginn]"),"&lt;="&amp;AC$1,INDIRECT("Table1[Ende]"),"&gt;="&amp;AC$1,INDIRECT("Table1[Obergruppe ATC-Code]"),Tabelle3!$A57)</f>
        <v>0</v>
      </c>
      <c r="AD57">
        <f ca="1">COUNTIFS(INDIRECT("Table1[Beginn]"),"&lt;="&amp;AD$1,INDIRECT("Table1[Ende]"),"&gt;="&amp;AD$1,INDIRECT("Table1[Obergruppe ATC-Code]"),Tabelle3!$A57)</f>
        <v>0</v>
      </c>
      <c r="AE57">
        <f ca="1">COUNTIFS(INDIRECT("Table1[Beginn]"),"&lt;="&amp;AE$1,INDIRECT("Table1[Ende]"),"&gt;="&amp;AE$1,INDIRECT("Table1[Obergruppe ATC-Code]"),Tabelle3!$A57)</f>
        <v>0</v>
      </c>
      <c r="AF57">
        <f ca="1">COUNTIFS(INDIRECT("Table1[Beginn]"),"&lt;="&amp;AF$1,INDIRECT("Table1[Ende]"),"&gt;="&amp;AF$1,INDIRECT("Table1[Obergruppe ATC-Code]"),Tabelle3!$A57)</f>
        <v>0</v>
      </c>
      <c r="AG57">
        <f ca="1">COUNTIFS(INDIRECT("Table1[Beginn]"),"&lt;="&amp;AG$1,INDIRECT("Table1[Ende]"),"&gt;="&amp;AG$1,INDIRECT("Table1[Obergruppe ATC-Code]"),Tabelle3!$A57)</f>
        <v>1</v>
      </c>
      <c r="AH57">
        <f ca="1">COUNTIFS(INDIRECT("Table1[Beginn]"),"&lt;="&amp;AH$1,INDIRECT("Table1[Ende]"),"&gt;="&amp;AH$1,INDIRECT("Table1[Obergruppe ATC-Code]"),Tabelle3!$A57)</f>
        <v>1</v>
      </c>
      <c r="AI57">
        <f ca="1">COUNTIFS(INDIRECT("Table1[Beginn]"),"&lt;="&amp;AI$1,INDIRECT("Table1[Ende]"),"&gt;="&amp;AI$1,INDIRECT("Table1[Obergruppe ATC-Code]"),Tabelle3!$A57)</f>
        <v>1</v>
      </c>
      <c r="AJ57">
        <f ca="1">COUNTIFS(INDIRECT("Table1[Beginn]"),"&lt;="&amp;AJ$1,INDIRECT("Table1[Ende]"),"&gt;="&amp;AJ$1,INDIRECT("Table1[Obergruppe ATC-Code]"),Tabelle3!$A57)</f>
        <v>7</v>
      </c>
      <c r="AK57">
        <f ca="1">COUNTIFS(INDIRECT("Table1[Beginn]"),"&lt;="&amp;AK$1,INDIRECT("Table1[Ende]"),"&gt;="&amp;AK$1,INDIRECT("Table1[Obergruppe ATC-Code]"),Tabelle3!$A57)</f>
        <v>6</v>
      </c>
      <c r="AL57">
        <f ca="1">COUNTIFS(INDIRECT("Table1[Beginn]"),"&lt;="&amp;AL$1,INDIRECT("Table1[Ende]"),"&gt;="&amp;AL$1,INDIRECT("Table1[Obergruppe ATC-Code]"),Tabelle3!$A57)</f>
        <v>6</v>
      </c>
      <c r="AM57">
        <f ca="1">COUNTIFS(INDIRECT("Table1[Beginn]"),"&lt;="&amp;AM$1,INDIRECT("Table1[Ende]"),"&gt;="&amp;AM$1,INDIRECT("Table1[Obergruppe ATC-Code]"),Tabelle3!$A57)</f>
        <v>6</v>
      </c>
      <c r="AN57">
        <f ca="1">COUNTIFS(INDIRECT("Table1[Beginn]"),"&lt;="&amp;AN$1,INDIRECT("Table1[Ende]"),"&gt;="&amp;AN$1,INDIRECT("Table1[Obergruppe ATC-Code]"),Tabelle3!$A57)</f>
        <v>6</v>
      </c>
      <c r="AO57">
        <f ca="1">COUNTIFS(INDIRECT("Table1[Beginn]"),"&lt;="&amp;AO$1,INDIRECT("Table1[Ende]"),"&gt;="&amp;AO$1,INDIRECT("Table1[Obergruppe ATC-Code]"),Tabelle3!$A57)</f>
        <v>7</v>
      </c>
      <c r="AP57">
        <f ca="1">COUNTIFS(INDIRECT("Table1[Beginn]"),"&lt;="&amp;AP$1,INDIRECT("Table1[Ende]"),"&gt;="&amp;AP$1,INDIRECT("Table1[Obergruppe ATC-Code]"),Tabelle3!$A57)</f>
        <v>7</v>
      </c>
      <c r="AQ57">
        <f ca="1">COUNTIFS(INDIRECT("Table1[Beginn]"),"&lt;="&amp;AQ$1,INDIRECT("Table1[Ende]"),"&gt;="&amp;AQ$1,INDIRECT("Table1[Obergruppe ATC-Code]"),Tabelle3!$A57)</f>
        <v>7</v>
      </c>
      <c r="AR57">
        <f ca="1">COUNTIFS(INDIRECT("Table1[Beginn]"),"&lt;="&amp;AR$1,INDIRECT("Table1[Ende]"),"&gt;="&amp;AR$1,INDIRECT("Table1[Obergruppe ATC-Code]"),Tabelle3!$A57)</f>
        <v>7</v>
      </c>
      <c r="AS57">
        <f ca="1">COUNTIFS(INDIRECT("Table1[Beginn]"),"&lt;="&amp;AS$1,INDIRECT("Table1[Ende]"),"&gt;="&amp;AS$1,INDIRECT("Table1[Obergruppe ATC-Code]"),Tabelle3!$A57)</f>
        <v>6</v>
      </c>
      <c r="AT57">
        <f ca="1">COUNTIFS(INDIRECT("Table1[Beginn]"),"&lt;="&amp;AT$1,INDIRECT("Table1[Ende]"),"&gt;="&amp;AT$1,INDIRECT("Table1[Obergruppe ATC-Code]"),Tabelle3!$A57)</f>
        <v>1</v>
      </c>
      <c r="AU57">
        <f ca="1">COUNTIFS(INDIRECT("Table1[Beginn]"),"&lt;="&amp;AU$1,INDIRECT("Table1[Ende]"),"&gt;="&amp;AU$1,INDIRECT("Table1[Obergruppe ATC-Code]"),Tabelle3!$A57)</f>
        <v>1</v>
      </c>
      <c r="AV57">
        <f ca="1">COUNTIFS(INDIRECT("Table1[Beginn]"),"&lt;="&amp;AV$1,INDIRECT("Table1[Ende]"),"&gt;="&amp;AV$1,INDIRECT("Table1[Obergruppe ATC-Code]"),Tabelle3!$A57)</f>
        <v>1</v>
      </c>
      <c r="AW57">
        <f ca="1">COUNTIFS(INDIRECT("Table1[Beginn]"),"&lt;="&amp;AW$1,INDIRECT("Table1[Ende]"),"&gt;="&amp;AW$1,INDIRECT("Table1[Obergruppe ATC-Code]"),Tabelle3!$A57)</f>
        <v>1</v>
      </c>
      <c r="AX57">
        <f ca="1">COUNTIFS(INDIRECT("Table1[Beginn]"),"&lt;="&amp;AX$1,INDIRECT("Table1[Ende]"),"&gt;="&amp;AX$1,INDIRECT("Table1[Obergruppe ATC-Code]"),Tabelle3!$A57)</f>
        <v>4</v>
      </c>
      <c r="AY57">
        <f ca="1">COUNTIFS(INDIRECT("Table1[Beginn]"),"&lt;="&amp;AY$1,INDIRECT("Table1[Ende]"),"&gt;="&amp;AY$1,INDIRECT("Table1[Obergruppe ATC-Code]"),Tabelle3!$A57)</f>
        <v>3</v>
      </c>
      <c r="AZ57">
        <f ca="1">COUNTIFS(INDIRECT("Table1[Beginn]"),"&lt;="&amp;AZ$1,INDIRECT("Table1[Ende]"),"&gt;="&amp;AZ$1,INDIRECT("Table1[Obergruppe ATC-Code]"),Tabelle3!$A57)</f>
        <v>4</v>
      </c>
      <c r="BA57">
        <f ca="1">COUNTIFS(INDIRECT("Table1[Beginn]"),"&lt;="&amp;BA$1,INDIRECT("Table1[Ende]"),"&gt;="&amp;BA$1,INDIRECT("Table1[Obergruppe ATC-Code]"),Tabelle3!$A57)</f>
        <v>4</v>
      </c>
      <c r="BB57">
        <f ca="1">COUNTIFS(INDIRECT("Table1[Beginn]"),"&lt;="&amp;BB$1,INDIRECT("Table1[Ende]"),"&gt;="&amp;BB$1,INDIRECT("Table1[Obergruppe ATC-Code]"),Tabelle3!$A57)</f>
        <v>4</v>
      </c>
      <c r="BC57">
        <f ca="1">COUNTIFS(INDIRECT("Table1[Beginn]"),"&lt;="&amp;BC$1,INDIRECT("Table1[Ende]"),"&gt;="&amp;BC$1,INDIRECT("Table1[Obergruppe ATC-Code]"),Tabelle3!$A57)</f>
        <v>4</v>
      </c>
      <c r="BD57">
        <f ca="1">COUNTIFS(INDIRECT("Table1[Beginn]"),"&lt;="&amp;BD$1,INDIRECT("Table1[Ende]"),"&gt;="&amp;BD$1,INDIRECT("Table1[Obergruppe ATC-Code]"),Tabelle3!$A57)</f>
        <v>4</v>
      </c>
      <c r="BE57">
        <f ca="1">COUNTIFS(INDIRECT("Table1[Beginn]"),"&lt;="&amp;BE$1,INDIRECT("Table1[Ende]"),"&gt;="&amp;BE$1,INDIRECT("Table1[Obergruppe ATC-Code]"),Tabelle3!$A57)</f>
        <v>4</v>
      </c>
      <c r="BF57">
        <f ca="1">COUNTIFS(INDIRECT("Table1[Beginn]"),"&lt;="&amp;BF$1,INDIRECT("Table1[Ende]"),"&gt;="&amp;BF$1,INDIRECT("Table1[Obergruppe ATC-Code]"),Tabelle3!$A57)</f>
        <v>5</v>
      </c>
      <c r="BG57">
        <f ca="1">COUNTIFS(INDIRECT("Table1[Beginn]"),"&lt;="&amp;BG$1,INDIRECT("Table1[Ende]"),"&gt;="&amp;BG$1,INDIRECT("Table1[Obergruppe ATC-Code]"),Tabelle3!$A57)</f>
        <v>5</v>
      </c>
      <c r="BH57">
        <f ca="1">COUNTIFS(INDIRECT("Table1[Beginn]"),"&lt;="&amp;BH$1,INDIRECT("Table1[Ende]"),"&gt;="&amp;BH$1,INDIRECT("Table1[Obergruppe ATC-Code]"),Tabelle3!$A57)</f>
        <v>9</v>
      </c>
      <c r="BI57">
        <f ca="1">COUNTIFS(INDIRECT("Table1[Beginn]"),"&lt;="&amp;BI$1,INDIRECT("Table1[Ende]"),"&gt;="&amp;BI$1,INDIRECT("Table1[Obergruppe ATC-Code]"),Tabelle3!$A57)</f>
        <v>10</v>
      </c>
      <c r="BJ57">
        <f ca="1">COUNTIFS(INDIRECT("Table1[Beginn]"),"&lt;="&amp;BJ$1,INDIRECT("Table1[Ende]"),"&gt;="&amp;BJ$1,INDIRECT("Table1[Obergruppe ATC-Code]"),Tabelle3!$A57)</f>
        <v>10</v>
      </c>
      <c r="BK57">
        <f ca="1">COUNTIFS(INDIRECT("Table1[Beginn]"),"&lt;="&amp;BK$1,INDIRECT("Table1[Ende]"),"&gt;="&amp;BK$1,INDIRECT("Table1[Obergruppe ATC-Code]"),Tabelle3!$A57)</f>
        <v>10</v>
      </c>
      <c r="BL57">
        <f ca="1">COUNTIFS(INDIRECT("Table1[Beginn]"),"&lt;="&amp;BL$1,INDIRECT("Table1[Ende]"),"&gt;="&amp;BL$1,INDIRECT("Table1[Obergruppe ATC-Code]"),Tabelle3!$A57)</f>
        <v>11</v>
      </c>
      <c r="BM57">
        <f ca="1">COUNTIFS(INDIRECT("Table1[Beginn]"),"&lt;="&amp;BM$1,INDIRECT("Table1[Ende]"),"&gt;="&amp;BM$1,INDIRECT("Table1[Obergruppe ATC-Code]"),Tabelle3!$A57)</f>
        <v>11</v>
      </c>
      <c r="BN57">
        <f ca="1">COUNTIFS(INDIRECT("Table1[Beginn]"),"&lt;="&amp;BN$1,INDIRECT("Table1[Ende]"),"&gt;="&amp;BN$1,INDIRECT("Table1[Obergruppe ATC-Code]"),Tabelle3!$A57)</f>
        <v>11</v>
      </c>
      <c r="BO57">
        <f ca="1">COUNTIFS(INDIRECT("Table1[Beginn]"),"&lt;="&amp;BO$1,INDIRECT("Table1[Ende]"),"&gt;="&amp;BO$1,INDIRECT("Table1[Obergruppe ATC-Code]"),Tabelle3!$A57)</f>
        <v>11</v>
      </c>
      <c r="BP57">
        <f ca="1">COUNTIFS(INDIRECT("Table1[Beginn]"),"&lt;="&amp;BP$1,INDIRECT("Table1[Ende]"),"&gt;="&amp;BP$1,INDIRECT("Table1[Obergruppe ATC-Code]"),Tabelle3!$A57)</f>
        <v>12</v>
      </c>
      <c r="BQ57">
        <f ca="1">COUNTIFS(INDIRECT("Table1[Beginn]"),"&lt;="&amp;BQ$1,INDIRECT("Table1[Ende]"),"&gt;="&amp;BQ$1,INDIRECT("Table1[Obergruppe ATC-Code]"),Tabelle3!$A57)</f>
        <v>14</v>
      </c>
      <c r="BR57">
        <f ca="1">COUNTIFS(INDIRECT("Table1[Beginn]"),"&lt;="&amp;BR$1,INDIRECT("Table1[Ende]"),"&gt;="&amp;BR$1,INDIRECT("Table1[Obergruppe ATC-Code]"),Tabelle3!$A57)</f>
        <v>14</v>
      </c>
      <c r="BS57">
        <f ca="1">COUNTIFS(INDIRECT("Table1[Beginn]"),"&lt;="&amp;BS$1,INDIRECT("Table1[Ende]"),"&gt;="&amp;BS$1,INDIRECT("Table1[Obergruppe ATC-Code]"),Tabelle3!$A57)</f>
        <v>14</v>
      </c>
      <c r="BT57">
        <f ca="1">COUNTIFS(INDIRECT("Table1[Beginn]"),"&lt;="&amp;BT$1,INDIRECT("Table1[Ende]"),"&gt;="&amp;BT$1,INDIRECT("Table1[Obergruppe ATC-Code]"),Tabelle3!$A57)</f>
        <v>14</v>
      </c>
      <c r="BU57">
        <f ca="1">COUNTIFS(INDIRECT("Table1[Beginn]"),"&lt;="&amp;BU$1,INDIRECT("Table1[Ende]"),"&gt;="&amp;BU$1,INDIRECT("Table1[Obergruppe ATC-Code]"),Tabelle3!$A57)</f>
        <v>13</v>
      </c>
      <c r="BV57">
        <f ca="1">COUNTIFS(INDIRECT("Table1[Beginn]"),"&lt;="&amp;BV$1,INDIRECT("Table1[Ende]"),"&gt;="&amp;BV$1,INDIRECT("Table1[Obergruppe ATC-Code]"),Tabelle3!$A57)</f>
        <v>12</v>
      </c>
      <c r="BW57">
        <f ca="1">COUNTIFS(INDIRECT("Table1[Beginn]"),"&lt;="&amp;BW$1,INDIRECT("Table1[Ende]"),"&gt;="&amp;BW$1,INDIRECT("Table1[Obergruppe ATC-Code]"),Tabelle3!$A57)</f>
        <v>12</v>
      </c>
      <c r="BX57">
        <f ca="1">COUNTIFS(INDIRECT("Table1[Beginn]"),"&lt;="&amp;BX$1,INDIRECT("Table1[Ende]"),"&gt;="&amp;BX$1,INDIRECT("Table1[Obergruppe ATC-Code]"),Tabelle3!$A57)</f>
        <v>10</v>
      </c>
      <c r="BY57">
        <f ca="1">COUNTIFS(INDIRECT("Table1[Beginn]"),"&lt;="&amp;BY$1,INDIRECT("Table1[Ende]"),"&gt;="&amp;BY$1,INDIRECT("Table1[Obergruppe ATC-Code]"),Tabelle3!$A57)</f>
        <v>7</v>
      </c>
      <c r="BZ57">
        <f ca="1">COUNTIFS(INDIRECT("Table1[Beginn]"),"&lt;="&amp;BZ$1,INDIRECT("Table1[Ende]"),"&gt;="&amp;BZ$1,INDIRECT("Table1[Obergruppe ATC-Code]"),Tabelle3!$A57)</f>
        <v>7</v>
      </c>
      <c r="CA57">
        <f ca="1">COUNTIFS(INDIRECT("Table1[Beginn]"),"&lt;="&amp;CA$1,INDIRECT("Table1[Ende]"),"&gt;="&amp;CA$1,INDIRECT("Table1[Obergruppe ATC-Code]"),Tabelle3!$A57)</f>
        <v>6</v>
      </c>
      <c r="CB57">
        <f ca="1">COUNTIFS(INDIRECT("Table1[Beginn]"),"&lt;="&amp;CB$1,INDIRECT("Table1[Ende]"),"&gt;="&amp;CB$1,INDIRECT("Table1[Obergruppe ATC-Code]"),Tabelle3!$A57)</f>
        <v>5</v>
      </c>
      <c r="CC57">
        <f ca="1">COUNTIFS(INDIRECT("Table1[Beginn]"),"&lt;="&amp;CC$1,INDIRECT("Table1[Ende]"),"&gt;="&amp;CC$1,INDIRECT("Table1[Obergruppe ATC-Code]"),Tabelle3!$A57)</f>
        <v>4</v>
      </c>
      <c r="CD57">
        <f ca="1">COUNTIFS(INDIRECT("Table1[Beginn]"),"&lt;="&amp;CD$1,INDIRECT("Table1[Ende]"),"&gt;="&amp;CD$1,INDIRECT("Table1[Obergruppe ATC-Code]"),Tabelle3!$A57)</f>
        <v>4</v>
      </c>
      <c r="CE57">
        <f ca="1">COUNTIFS(INDIRECT("Table1[Beginn]"),"&lt;="&amp;CE$1,INDIRECT("Table1[Ende]"),"&gt;="&amp;CE$1,INDIRECT("Table1[Obergruppe ATC-Code]"),Tabelle3!$A57)</f>
        <v>4</v>
      </c>
      <c r="CF57">
        <f ca="1">COUNTIFS(INDIRECT("Table1[Beginn]"),"&lt;="&amp;CF$1,INDIRECT("Table1[Ende]"),"&gt;="&amp;CF$1,INDIRECT("Table1[Obergruppe ATC-Code]"),Tabelle3!$A57)</f>
        <v>4</v>
      </c>
      <c r="CG57">
        <f ca="1">COUNTIFS(INDIRECT("Table1[Beginn]"),"&lt;="&amp;CG$1,INDIRECT("Table1[Ende]"),"&gt;="&amp;CG$1,INDIRECT("Table1[Obergruppe ATC-Code]"),Tabelle3!$A57)</f>
        <v>0</v>
      </c>
      <c r="CH57">
        <f ca="1">COUNTIFS(INDIRECT("Table1[Beginn]"),"&lt;="&amp;CH$1,INDIRECT("Table1[Ende]"),"&gt;="&amp;CH$1,INDIRECT("Table1[Obergruppe ATC-Code]"),Tabelle3!$A57)</f>
        <v>0</v>
      </c>
      <c r="CI57">
        <f ca="1">COUNTIFS(INDIRECT("Table1[Beginn]"),"&lt;="&amp;CI$1,INDIRECT("Table1[Ende]"),"&gt;="&amp;CI$1,INDIRECT("Table1[Obergruppe ATC-Code]"),Tabelle3!$A57)</f>
        <v>0</v>
      </c>
      <c r="CJ57">
        <f ca="1">COUNTIFS(INDIRECT("Table1[Beginn]"),"&lt;="&amp;CJ$1,INDIRECT("Table1[Ende]"),"&gt;="&amp;CJ$1,INDIRECT("Table1[Obergruppe ATC-Code]"),Tabelle3!$A57)</f>
        <v>0</v>
      </c>
      <c r="CK57">
        <f ca="1">COUNTIFS(INDIRECT("Table1[Beginn]"),"&lt;="&amp;CK$1,INDIRECT("Table1[Ende]"),"&gt;="&amp;CK$1,INDIRECT("Table1[Obergruppe ATC-Code]"),Tabelle3!$A57)</f>
        <v>0</v>
      </c>
      <c r="CL57">
        <f ca="1">COUNTIFS(INDIRECT("Table1[Beginn]"),"&lt;="&amp;CL$1,INDIRECT("Table1[Ende]"),"&gt;="&amp;CL$1,INDIRECT("Table1[Obergruppe ATC-Code]"),Tabelle3!$A57)</f>
        <v>0</v>
      </c>
      <c r="CM57">
        <f ca="1">COUNTIFS(INDIRECT("Table1[Beginn]"),"&lt;="&amp;CM$1,INDIRECT("Table1[Ende]"),"&gt;="&amp;CM$1,INDIRECT("Table1[Obergruppe ATC-Code]"),Tabelle3!$A57)</f>
        <v>0</v>
      </c>
      <c r="CN57">
        <f ca="1">COUNTIFS(INDIRECT("Table1[Beginn]"),"&lt;="&amp;CN$1,INDIRECT("Table1[Ende]"),"&gt;="&amp;CN$1,INDIRECT("Table1[Obergruppe ATC-Code]"),Tabelle3!$A57)</f>
        <v>0</v>
      </c>
      <c r="CO57">
        <f ca="1">COUNTIFS(INDIRECT("Table1[Beginn]"),"&lt;="&amp;CO$1,INDIRECT("Table1[Ende]"),"&gt;="&amp;CO$1,INDIRECT("Table1[Obergruppe ATC-Code]"),Tabelle3!$A57)</f>
        <v>0</v>
      </c>
      <c r="CP57">
        <f ca="1">COUNTIFS(INDIRECT("Table1[Beginn]"),"&lt;="&amp;CP$1,INDIRECT("Table1[Ende]"),"&gt;="&amp;CP$1,INDIRECT("Table1[Obergruppe ATC-Code]"),Tabelle3!$A57)</f>
        <v>0</v>
      </c>
      <c r="CQ57">
        <f ca="1">COUNTIFS(INDIRECT("Table1[Beginn]"),"&lt;="&amp;CQ$1,INDIRECT("Table1[Ende]"),"&gt;="&amp;CQ$1,INDIRECT("Table1[Obergruppe ATC-Code]"),Tabelle3!$A57)</f>
        <v>0</v>
      </c>
      <c r="CR57">
        <f ca="1">COUNTIFS(INDIRECT("Table1[Beginn]"),"&lt;="&amp;CR$1,INDIRECT("Table1[Ende]"),"&gt;="&amp;CR$1,INDIRECT("Table1[Obergruppe ATC-Code]"),Tabelle3!$A57)</f>
        <v>0</v>
      </c>
    </row>
    <row r="58" spans="1:96" ht="18">
      <c r="A58" s="7" t="s">
        <v>6885</v>
      </c>
      <c r="B58" s="8" t="s">
        <v>6886</v>
      </c>
      <c r="C58">
        <f ca="1">COUNTIFS(INDIRECT("Table1[Beginn]"),"&lt;="&amp;C$1,INDIRECT("Table1[Ende]"),"&gt;="&amp;C$1,INDIRECT("Table1[Obergruppe ATC-Code]"),Tabelle3!$A58)</f>
        <v>0</v>
      </c>
      <c r="D58">
        <f ca="1">COUNTIFS(INDIRECT("Table1[Beginn]"),"&lt;="&amp;D$1,INDIRECT("Table1[Ende]"),"&gt;="&amp;D$1,INDIRECT("Table1[Obergruppe ATC-Code]"),Tabelle3!$A58)</f>
        <v>0</v>
      </c>
      <c r="E58">
        <f ca="1">COUNTIFS(INDIRECT("Table1[Beginn]"),"&lt;="&amp;E$1,INDIRECT("Table1[Ende]"),"&gt;="&amp;E$1,INDIRECT("Table1[Obergruppe ATC-Code]"),Tabelle3!$A58)</f>
        <v>0</v>
      </c>
      <c r="F58">
        <f ca="1">COUNTIFS(INDIRECT("Table1[Beginn]"),"&lt;="&amp;F$1,INDIRECT("Table1[Ende]"),"&gt;="&amp;F$1,INDIRECT("Table1[Obergruppe ATC-Code]"),Tabelle3!$A58)</f>
        <v>0</v>
      </c>
      <c r="G58">
        <f ca="1">COUNTIFS(INDIRECT("Table1[Beginn]"),"&lt;="&amp;G$1,INDIRECT("Table1[Ende]"),"&gt;="&amp;G$1,INDIRECT("Table1[Obergruppe ATC-Code]"),Tabelle3!$A58)</f>
        <v>0</v>
      </c>
      <c r="H58">
        <f ca="1">COUNTIFS(INDIRECT("Table1[Beginn]"),"&lt;="&amp;H$1,INDIRECT("Table1[Ende]"),"&gt;="&amp;H$1,INDIRECT("Table1[Obergruppe ATC-Code]"),Tabelle3!$A58)</f>
        <v>0</v>
      </c>
      <c r="I58">
        <f ca="1">COUNTIFS(INDIRECT("Table1[Beginn]"),"&lt;="&amp;I$1,INDIRECT("Table1[Ende]"),"&gt;="&amp;I$1,INDIRECT("Table1[Obergruppe ATC-Code]"),Tabelle3!$A58)</f>
        <v>0</v>
      </c>
      <c r="J58">
        <f ca="1">COUNTIFS(INDIRECT("Table1[Beginn]"),"&lt;="&amp;J$1,INDIRECT("Table1[Ende]"),"&gt;="&amp;J$1,INDIRECT("Table1[Obergruppe ATC-Code]"),Tabelle3!$A58)</f>
        <v>0</v>
      </c>
      <c r="K58">
        <f ca="1">COUNTIFS(INDIRECT("Table1[Beginn]"),"&lt;="&amp;K$1,INDIRECT("Table1[Ende]"),"&gt;="&amp;K$1,INDIRECT("Table1[Obergruppe ATC-Code]"),Tabelle3!$A58)</f>
        <v>0</v>
      </c>
      <c r="L58">
        <f ca="1">COUNTIFS(INDIRECT("Table1[Beginn]"),"&lt;="&amp;L$1,INDIRECT("Table1[Ende]"),"&gt;="&amp;L$1,INDIRECT("Table1[Obergruppe ATC-Code]"),Tabelle3!$A58)</f>
        <v>0</v>
      </c>
      <c r="M58">
        <f ca="1">COUNTIFS(INDIRECT("Table1[Beginn]"),"&lt;="&amp;M$1,INDIRECT("Table1[Ende]"),"&gt;="&amp;M$1,INDIRECT("Table1[Obergruppe ATC-Code]"),Tabelle3!$A58)</f>
        <v>0</v>
      </c>
      <c r="N58">
        <f ca="1">COUNTIFS(INDIRECT("Table1[Beginn]"),"&lt;="&amp;N$1,INDIRECT("Table1[Ende]"),"&gt;="&amp;N$1,INDIRECT("Table1[Obergruppe ATC-Code]"),Tabelle3!$A58)</f>
        <v>0</v>
      </c>
      <c r="O58">
        <f ca="1">COUNTIFS(INDIRECT("Table1[Beginn]"),"&lt;="&amp;O$1,INDIRECT("Table1[Ende]"),"&gt;="&amp;O$1,INDIRECT("Table1[Obergruppe ATC-Code]"),Tabelle3!$A58)</f>
        <v>0</v>
      </c>
      <c r="P58">
        <f ca="1">COUNTIFS(INDIRECT("Table1[Beginn]"),"&lt;="&amp;P$1,INDIRECT("Table1[Ende]"),"&gt;="&amp;P$1,INDIRECT("Table1[Obergruppe ATC-Code]"),Tabelle3!$A58)</f>
        <v>0</v>
      </c>
      <c r="Q58">
        <f ca="1">COUNTIFS(INDIRECT("Table1[Beginn]"),"&lt;="&amp;Q$1,INDIRECT("Table1[Ende]"),"&gt;="&amp;Q$1,INDIRECT("Table1[Obergruppe ATC-Code]"),Tabelle3!$A58)</f>
        <v>0</v>
      </c>
      <c r="R58">
        <f ca="1">COUNTIFS(INDIRECT("Table1[Beginn]"),"&lt;="&amp;R$1,INDIRECT("Table1[Ende]"),"&gt;="&amp;R$1,INDIRECT("Table1[Obergruppe ATC-Code]"),Tabelle3!$A58)</f>
        <v>0</v>
      </c>
      <c r="S58">
        <f ca="1">COUNTIFS(INDIRECT("Table1[Beginn]"),"&lt;="&amp;S$1,INDIRECT("Table1[Ende]"),"&gt;="&amp;S$1,INDIRECT("Table1[Obergruppe ATC-Code]"),Tabelle3!$A58)</f>
        <v>0</v>
      </c>
      <c r="T58">
        <f ca="1">COUNTIFS(INDIRECT("Table1[Beginn]"),"&lt;="&amp;T$1,INDIRECT("Table1[Ende]"),"&gt;="&amp;T$1,INDIRECT("Table1[Obergruppe ATC-Code]"),Tabelle3!$A58)</f>
        <v>0</v>
      </c>
      <c r="U58">
        <f ca="1">COUNTIFS(INDIRECT("Table1[Beginn]"),"&lt;="&amp;U$1,INDIRECT("Table1[Ende]"),"&gt;="&amp;U$1,INDIRECT("Table1[Obergruppe ATC-Code]"),Tabelle3!$A58)</f>
        <v>0</v>
      </c>
      <c r="V58">
        <f ca="1">COUNTIFS(INDIRECT("Table1[Beginn]"),"&lt;="&amp;V$1,INDIRECT("Table1[Ende]"),"&gt;="&amp;V$1,INDIRECT("Table1[Obergruppe ATC-Code]"),Tabelle3!$A58)</f>
        <v>0</v>
      </c>
      <c r="W58">
        <f ca="1">COUNTIFS(INDIRECT("Table1[Beginn]"),"&lt;="&amp;W$1,INDIRECT("Table1[Ende]"),"&gt;="&amp;W$1,INDIRECT("Table1[Obergruppe ATC-Code]"),Tabelle3!$A58)</f>
        <v>0</v>
      </c>
      <c r="X58">
        <f ca="1">COUNTIFS(INDIRECT("Table1[Beginn]"),"&lt;="&amp;X$1,INDIRECT("Table1[Ende]"),"&gt;="&amp;X$1,INDIRECT("Table1[Obergruppe ATC-Code]"),Tabelle3!$A58)</f>
        <v>0</v>
      </c>
      <c r="Y58">
        <f ca="1">COUNTIFS(INDIRECT("Table1[Beginn]"),"&lt;="&amp;Y$1,INDIRECT("Table1[Ende]"),"&gt;="&amp;Y$1,INDIRECT("Table1[Obergruppe ATC-Code]"),Tabelle3!$A58)</f>
        <v>0</v>
      </c>
      <c r="Z58">
        <f ca="1">COUNTIFS(INDIRECT("Table1[Beginn]"),"&lt;="&amp;Z$1,INDIRECT("Table1[Ende]"),"&gt;="&amp;Z$1,INDIRECT("Table1[Obergruppe ATC-Code]"),Tabelle3!$A58)</f>
        <v>0</v>
      </c>
      <c r="AA58">
        <f ca="1">COUNTIFS(INDIRECT("Table1[Beginn]"),"&lt;="&amp;AA$1,INDIRECT("Table1[Ende]"),"&gt;="&amp;AA$1,INDIRECT("Table1[Obergruppe ATC-Code]"),Tabelle3!$A58)</f>
        <v>0</v>
      </c>
      <c r="AB58">
        <f ca="1">COUNTIFS(INDIRECT("Table1[Beginn]"),"&lt;="&amp;AB$1,INDIRECT("Table1[Ende]"),"&gt;="&amp;AB$1,INDIRECT("Table1[Obergruppe ATC-Code]"),Tabelle3!$A58)</f>
        <v>0</v>
      </c>
      <c r="AC58">
        <f ca="1">COUNTIFS(INDIRECT("Table1[Beginn]"),"&lt;="&amp;AC$1,INDIRECT("Table1[Ende]"),"&gt;="&amp;AC$1,INDIRECT("Table1[Obergruppe ATC-Code]"),Tabelle3!$A58)</f>
        <v>0</v>
      </c>
      <c r="AD58">
        <f ca="1">COUNTIFS(INDIRECT("Table1[Beginn]"),"&lt;="&amp;AD$1,INDIRECT("Table1[Ende]"),"&gt;="&amp;AD$1,INDIRECT("Table1[Obergruppe ATC-Code]"),Tabelle3!$A58)</f>
        <v>0</v>
      </c>
      <c r="AE58">
        <f ca="1">COUNTIFS(INDIRECT("Table1[Beginn]"),"&lt;="&amp;AE$1,INDIRECT("Table1[Ende]"),"&gt;="&amp;AE$1,INDIRECT("Table1[Obergruppe ATC-Code]"),Tabelle3!$A58)</f>
        <v>0</v>
      </c>
      <c r="AF58">
        <f ca="1">COUNTIFS(INDIRECT("Table1[Beginn]"),"&lt;="&amp;AF$1,INDIRECT("Table1[Ende]"),"&gt;="&amp;AF$1,INDIRECT("Table1[Obergruppe ATC-Code]"),Tabelle3!$A58)</f>
        <v>0</v>
      </c>
      <c r="AG58">
        <f ca="1">COUNTIFS(INDIRECT("Table1[Beginn]"),"&lt;="&amp;AG$1,INDIRECT("Table1[Ende]"),"&gt;="&amp;AG$1,INDIRECT("Table1[Obergruppe ATC-Code]"),Tabelle3!$A58)</f>
        <v>0</v>
      </c>
      <c r="AH58">
        <f ca="1">COUNTIFS(INDIRECT("Table1[Beginn]"),"&lt;="&amp;AH$1,INDIRECT("Table1[Ende]"),"&gt;="&amp;AH$1,INDIRECT("Table1[Obergruppe ATC-Code]"),Tabelle3!$A58)</f>
        <v>0</v>
      </c>
      <c r="AI58">
        <f ca="1">COUNTIFS(INDIRECT("Table1[Beginn]"),"&lt;="&amp;AI$1,INDIRECT("Table1[Ende]"),"&gt;="&amp;AI$1,INDIRECT("Table1[Obergruppe ATC-Code]"),Tabelle3!$A58)</f>
        <v>0</v>
      </c>
      <c r="AJ58">
        <f ca="1">COUNTIFS(INDIRECT("Table1[Beginn]"),"&lt;="&amp;AJ$1,INDIRECT("Table1[Ende]"),"&gt;="&amp;AJ$1,INDIRECT("Table1[Obergruppe ATC-Code]"),Tabelle3!$A58)</f>
        <v>0</v>
      </c>
      <c r="AK58">
        <f ca="1">COUNTIFS(INDIRECT("Table1[Beginn]"),"&lt;="&amp;AK$1,INDIRECT("Table1[Ende]"),"&gt;="&amp;AK$1,INDIRECT("Table1[Obergruppe ATC-Code]"),Tabelle3!$A58)</f>
        <v>0</v>
      </c>
      <c r="AL58">
        <f ca="1">COUNTIFS(INDIRECT("Table1[Beginn]"),"&lt;="&amp;AL$1,INDIRECT("Table1[Ende]"),"&gt;="&amp;AL$1,INDIRECT("Table1[Obergruppe ATC-Code]"),Tabelle3!$A58)</f>
        <v>0</v>
      </c>
      <c r="AM58">
        <f ca="1">COUNTIFS(INDIRECT("Table1[Beginn]"),"&lt;="&amp;AM$1,INDIRECT("Table1[Ende]"),"&gt;="&amp;AM$1,INDIRECT("Table1[Obergruppe ATC-Code]"),Tabelle3!$A58)</f>
        <v>0</v>
      </c>
      <c r="AN58">
        <f ca="1">COUNTIFS(INDIRECT("Table1[Beginn]"),"&lt;="&amp;AN$1,INDIRECT("Table1[Ende]"),"&gt;="&amp;AN$1,INDIRECT("Table1[Obergruppe ATC-Code]"),Tabelle3!$A58)</f>
        <v>0</v>
      </c>
      <c r="AO58">
        <f ca="1">COUNTIFS(INDIRECT("Table1[Beginn]"),"&lt;="&amp;AO$1,INDIRECT("Table1[Ende]"),"&gt;="&amp;AO$1,INDIRECT("Table1[Obergruppe ATC-Code]"),Tabelle3!$A58)</f>
        <v>0</v>
      </c>
      <c r="AP58">
        <f ca="1">COUNTIFS(INDIRECT("Table1[Beginn]"),"&lt;="&amp;AP$1,INDIRECT("Table1[Ende]"),"&gt;="&amp;AP$1,INDIRECT("Table1[Obergruppe ATC-Code]"),Tabelle3!$A58)</f>
        <v>0</v>
      </c>
      <c r="AQ58">
        <f ca="1">COUNTIFS(INDIRECT("Table1[Beginn]"),"&lt;="&amp;AQ$1,INDIRECT("Table1[Ende]"),"&gt;="&amp;AQ$1,INDIRECT("Table1[Obergruppe ATC-Code]"),Tabelle3!$A58)</f>
        <v>0</v>
      </c>
      <c r="AR58">
        <f ca="1">COUNTIFS(INDIRECT("Table1[Beginn]"),"&lt;="&amp;AR$1,INDIRECT("Table1[Ende]"),"&gt;="&amp;AR$1,INDIRECT("Table1[Obergruppe ATC-Code]"),Tabelle3!$A58)</f>
        <v>0</v>
      </c>
      <c r="AS58">
        <f ca="1">COUNTIFS(INDIRECT("Table1[Beginn]"),"&lt;="&amp;AS$1,INDIRECT("Table1[Ende]"),"&gt;="&amp;AS$1,INDIRECT("Table1[Obergruppe ATC-Code]"),Tabelle3!$A58)</f>
        <v>0</v>
      </c>
      <c r="AT58">
        <f ca="1">COUNTIFS(INDIRECT("Table1[Beginn]"),"&lt;="&amp;AT$1,INDIRECT("Table1[Ende]"),"&gt;="&amp;AT$1,INDIRECT("Table1[Obergruppe ATC-Code]"),Tabelle3!$A58)</f>
        <v>0</v>
      </c>
      <c r="AU58">
        <f ca="1">COUNTIFS(INDIRECT("Table1[Beginn]"),"&lt;="&amp;AU$1,INDIRECT("Table1[Ende]"),"&gt;="&amp;AU$1,INDIRECT("Table1[Obergruppe ATC-Code]"),Tabelle3!$A58)</f>
        <v>0</v>
      </c>
      <c r="AV58">
        <f ca="1">COUNTIFS(INDIRECT("Table1[Beginn]"),"&lt;="&amp;AV$1,INDIRECT("Table1[Ende]"),"&gt;="&amp;AV$1,INDIRECT("Table1[Obergruppe ATC-Code]"),Tabelle3!$A58)</f>
        <v>0</v>
      </c>
      <c r="AW58">
        <f ca="1">COUNTIFS(INDIRECT("Table1[Beginn]"),"&lt;="&amp;AW$1,INDIRECT("Table1[Ende]"),"&gt;="&amp;AW$1,INDIRECT("Table1[Obergruppe ATC-Code]"),Tabelle3!$A58)</f>
        <v>0</v>
      </c>
      <c r="AX58">
        <f ca="1">COUNTIFS(INDIRECT("Table1[Beginn]"),"&lt;="&amp;AX$1,INDIRECT("Table1[Ende]"),"&gt;="&amp;AX$1,INDIRECT("Table1[Obergruppe ATC-Code]"),Tabelle3!$A58)</f>
        <v>0</v>
      </c>
      <c r="AY58">
        <f ca="1">COUNTIFS(INDIRECT("Table1[Beginn]"),"&lt;="&amp;AY$1,INDIRECT("Table1[Ende]"),"&gt;="&amp;AY$1,INDIRECT("Table1[Obergruppe ATC-Code]"),Tabelle3!$A58)</f>
        <v>0</v>
      </c>
      <c r="AZ58">
        <f ca="1">COUNTIFS(INDIRECT("Table1[Beginn]"),"&lt;="&amp;AZ$1,INDIRECT("Table1[Ende]"),"&gt;="&amp;AZ$1,INDIRECT("Table1[Obergruppe ATC-Code]"),Tabelle3!$A58)</f>
        <v>0</v>
      </c>
      <c r="BA58">
        <f ca="1">COUNTIFS(INDIRECT("Table1[Beginn]"),"&lt;="&amp;BA$1,INDIRECT("Table1[Ende]"),"&gt;="&amp;BA$1,INDIRECT("Table1[Obergruppe ATC-Code]"),Tabelle3!$A58)</f>
        <v>0</v>
      </c>
      <c r="BB58">
        <f ca="1">COUNTIFS(INDIRECT("Table1[Beginn]"),"&lt;="&amp;BB$1,INDIRECT("Table1[Ende]"),"&gt;="&amp;BB$1,INDIRECT("Table1[Obergruppe ATC-Code]"),Tabelle3!$A58)</f>
        <v>0</v>
      </c>
      <c r="BC58">
        <f ca="1">COUNTIFS(INDIRECT("Table1[Beginn]"),"&lt;="&amp;BC$1,INDIRECT("Table1[Ende]"),"&gt;="&amp;BC$1,INDIRECT("Table1[Obergruppe ATC-Code]"),Tabelle3!$A58)</f>
        <v>0</v>
      </c>
      <c r="BD58">
        <f ca="1">COUNTIFS(INDIRECT("Table1[Beginn]"),"&lt;="&amp;BD$1,INDIRECT("Table1[Ende]"),"&gt;="&amp;BD$1,INDIRECT("Table1[Obergruppe ATC-Code]"),Tabelle3!$A58)</f>
        <v>0</v>
      </c>
      <c r="BE58">
        <f ca="1">COUNTIFS(INDIRECT("Table1[Beginn]"),"&lt;="&amp;BE$1,INDIRECT("Table1[Ende]"),"&gt;="&amp;BE$1,INDIRECT("Table1[Obergruppe ATC-Code]"),Tabelle3!$A58)</f>
        <v>0</v>
      </c>
      <c r="BF58">
        <f ca="1">COUNTIFS(INDIRECT("Table1[Beginn]"),"&lt;="&amp;BF$1,INDIRECT("Table1[Ende]"),"&gt;="&amp;BF$1,INDIRECT("Table1[Obergruppe ATC-Code]"),Tabelle3!$A58)</f>
        <v>0</v>
      </c>
      <c r="BG58">
        <f ca="1">COUNTIFS(INDIRECT("Table1[Beginn]"),"&lt;="&amp;BG$1,INDIRECT("Table1[Ende]"),"&gt;="&amp;BG$1,INDIRECT("Table1[Obergruppe ATC-Code]"),Tabelle3!$A58)</f>
        <v>0</v>
      </c>
      <c r="BH58">
        <f ca="1">COUNTIFS(INDIRECT("Table1[Beginn]"),"&lt;="&amp;BH$1,INDIRECT("Table1[Ende]"),"&gt;="&amp;BH$1,INDIRECT("Table1[Obergruppe ATC-Code]"),Tabelle3!$A58)</f>
        <v>0</v>
      </c>
      <c r="BI58">
        <f ca="1">COUNTIFS(INDIRECT("Table1[Beginn]"),"&lt;="&amp;BI$1,INDIRECT("Table1[Ende]"),"&gt;="&amp;BI$1,INDIRECT("Table1[Obergruppe ATC-Code]"),Tabelle3!$A58)</f>
        <v>0</v>
      </c>
      <c r="BJ58">
        <f ca="1">COUNTIFS(INDIRECT("Table1[Beginn]"),"&lt;="&amp;BJ$1,INDIRECT("Table1[Ende]"),"&gt;="&amp;BJ$1,INDIRECT("Table1[Obergruppe ATC-Code]"),Tabelle3!$A58)</f>
        <v>0</v>
      </c>
      <c r="BK58">
        <f ca="1">COUNTIFS(INDIRECT("Table1[Beginn]"),"&lt;="&amp;BK$1,INDIRECT("Table1[Ende]"),"&gt;="&amp;BK$1,INDIRECT("Table1[Obergruppe ATC-Code]"),Tabelle3!$A58)</f>
        <v>0</v>
      </c>
      <c r="BL58">
        <f ca="1">COUNTIFS(INDIRECT("Table1[Beginn]"),"&lt;="&amp;BL$1,INDIRECT("Table1[Ende]"),"&gt;="&amp;BL$1,INDIRECT("Table1[Obergruppe ATC-Code]"),Tabelle3!$A58)</f>
        <v>0</v>
      </c>
      <c r="BM58">
        <f ca="1">COUNTIFS(INDIRECT("Table1[Beginn]"),"&lt;="&amp;BM$1,INDIRECT("Table1[Ende]"),"&gt;="&amp;BM$1,INDIRECT("Table1[Obergruppe ATC-Code]"),Tabelle3!$A58)</f>
        <v>0</v>
      </c>
      <c r="BN58">
        <f ca="1">COUNTIFS(INDIRECT("Table1[Beginn]"),"&lt;="&amp;BN$1,INDIRECT("Table1[Ende]"),"&gt;="&amp;BN$1,INDIRECT("Table1[Obergruppe ATC-Code]"),Tabelle3!$A58)</f>
        <v>0</v>
      </c>
      <c r="BO58">
        <f ca="1">COUNTIFS(INDIRECT("Table1[Beginn]"),"&lt;="&amp;BO$1,INDIRECT("Table1[Ende]"),"&gt;="&amp;BO$1,INDIRECT("Table1[Obergruppe ATC-Code]"),Tabelle3!$A58)</f>
        <v>0</v>
      </c>
      <c r="BP58">
        <f ca="1">COUNTIFS(INDIRECT("Table1[Beginn]"),"&lt;="&amp;BP$1,INDIRECT("Table1[Ende]"),"&gt;="&amp;BP$1,INDIRECT("Table1[Obergruppe ATC-Code]"),Tabelle3!$A58)</f>
        <v>0</v>
      </c>
      <c r="BQ58">
        <f ca="1">COUNTIFS(INDIRECT("Table1[Beginn]"),"&lt;="&amp;BQ$1,INDIRECT("Table1[Ende]"),"&gt;="&amp;BQ$1,INDIRECT("Table1[Obergruppe ATC-Code]"),Tabelle3!$A58)</f>
        <v>0</v>
      </c>
      <c r="BR58">
        <f ca="1">COUNTIFS(INDIRECT("Table1[Beginn]"),"&lt;="&amp;BR$1,INDIRECT("Table1[Ende]"),"&gt;="&amp;BR$1,INDIRECT("Table1[Obergruppe ATC-Code]"),Tabelle3!$A58)</f>
        <v>0</v>
      </c>
      <c r="BS58">
        <f ca="1">COUNTIFS(INDIRECT("Table1[Beginn]"),"&lt;="&amp;BS$1,INDIRECT("Table1[Ende]"),"&gt;="&amp;BS$1,INDIRECT("Table1[Obergruppe ATC-Code]"),Tabelle3!$A58)</f>
        <v>0</v>
      </c>
      <c r="BT58">
        <f ca="1">COUNTIFS(INDIRECT("Table1[Beginn]"),"&lt;="&amp;BT$1,INDIRECT("Table1[Ende]"),"&gt;="&amp;BT$1,INDIRECT("Table1[Obergruppe ATC-Code]"),Tabelle3!$A58)</f>
        <v>0</v>
      </c>
      <c r="BU58">
        <f ca="1">COUNTIFS(INDIRECT("Table1[Beginn]"),"&lt;="&amp;BU$1,INDIRECT("Table1[Ende]"),"&gt;="&amp;BU$1,INDIRECT("Table1[Obergruppe ATC-Code]"),Tabelle3!$A58)</f>
        <v>0</v>
      </c>
      <c r="BV58">
        <f ca="1">COUNTIFS(INDIRECT("Table1[Beginn]"),"&lt;="&amp;BV$1,INDIRECT("Table1[Ende]"),"&gt;="&amp;BV$1,INDIRECT("Table1[Obergruppe ATC-Code]"),Tabelle3!$A58)</f>
        <v>0</v>
      </c>
      <c r="BW58">
        <f ca="1">COUNTIFS(INDIRECT("Table1[Beginn]"),"&lt;="&amp;BW$1,INDIRECT("Table1[Ende]"),"&gt;="&amp;BW$1,INDIRECT("Table1[Obergruppe ATC-Code]"),Tabelle3!$A58)</f>
        <v>0</v>
      </c>
      <c r="BX58">
        <f ca="1">COUNTIFS(INDIRECT("Table1[Beginn]"),"&lt;="&amp;BX$1,INDIRECT("Table1[Ende]"),"&gt;="&amp;BX$1,INDIRECT("Table1[Obergruppe ATC-Code]"),Tabelle3!$A58)</f>
        <v>0</v>
      </c>
      <c r="BY58">
        <f ca="1">COUNTIFS(INDIRECT("Table1[Beginn]"),"&lt;="&amp;BY$1,INDIRECT("Table1[Ende]"),"&gt;="&amp;BY$1,INDIRECT("Table1[Obergruppe ATC-Code]"),Tabelle3!$A58)</f>
        <v>0</v>
      </c>
      <c r="BZ58">
        <f ca="1">COUNTIFS(INDIRECT("Table1[Beginn]"),"&lt;="&amp;BZ$1,INDIRECT("Table1[Ende]"),"&gt;="&amp;BZ$1,INDIRECT("Table1[Obergruppe ATC-Code]"),Tabelle3!$A58)</f>
        <v>0</v>
      </c>
      <c r="CA58">
        <f ca="1">COUNTIFS(INDIRECT("Table1[Beginn]"),"&lt;="&amp;CA$1,INDIRECT("Table1[Ende]"),"&gt;="&amp;CA$1,INDIRECT("Table1[Obergruppe ATC-Code]"),Tabelle3!$A58)</f>
        <v>0</v>
      </c>
      <c r="CB58">
        <f ca="1">COUNTIFS(INDIRECT("Table1[Beginn]"),"&lt;="&amp;CB$1,INDIRECT("Table1[Ende]"),"&gt;="&amp;CB$1,INDIRECT("Table1[Obergruppe ATC-Code]"),Tabelle3!$A58)</f>
        <v>0</v>
      </c>
      <c r="CC58">
        <f ca="1">COUNTIFS(INDIRECT("Table1[Beginn]"),"&lt;="&amp;CC$1,INDIRECT("Table1[Ende]"),"&gt;="&amp;CC$1,INDIRECT("Table1[Obergruppe ATC-Code]"),Tabelle3!$A58)</f>
        <v>0</v>
      </c>
      <c r="CD58">
        <f ca="1">COUNTIFS(INDIRECT("Table1[Beginn]"),"&lt;="&amp;CD$1,INDIRECT("Table1[Ende]"),"&gt;="&amp;CD$1,INDIRECT("Table1[Obergruppe ATC-Code]"),Tabelle3!$A58)</f>
        <v>0</v>
      </c>
      <c r="CE58">
        <f ca="1">COUNTIFS(INDIRECT("Table1[Beginn]"),"&lt;="&amp;CE$1,INDIRECT("Table1[Ende]"),"&gt;="&amp;CE$1,INDIRECT("Table1[Obergruppe ATC-Code]"),Tabelle3!$A58)</f>
        <v>0</v>
      </c>
      <c r="CF58">
        <f ca="1">COUNTIFS(INDIRECT("Table1[Beginn]"),"&lt;="&amp;CF$1,INDIRECT("Table1[Ende]"),"&gt;="&amp;CF$1,INDIRECT("Table1[Obergruppe ATC-Code]"),Tabelle3!$A58)</f>
        <v>0</v>
      </c>
      <c r="CG58">
        <f ca="1">COUNTIFS(INDIRECT("Table1[Beginn]"),"&lt;="&amp;CG$1,INDIRECT("Table1[Ende]"),"&gt;="&amp;CG$1,INDIRECT("Table1[Obergruppe ATC-Code]"),Tabelle3!$A58)</f>
        <v>0</v>
      </c>
      <c r="CH58">
        <f ca="1">COUNTIFS(INDIRECT("Table1[Beginn]"),"&lt;="&amp;CH$1,INDIRECT("Table1[Ende]"),"&gt;="&amp;CH$1,INDIRECT("Table1[Obergruppe ATC-Code]"),Tabelle3!$A58)</f>
        <v>0</v>
      </c>
      <c r="CI58">
        <f ca="1">COUNTIFS(INDIRECT("Table1[Beginn]"),"&lt;="&amp;CI$1,INDIRECT("Table1[Ende]"),"&gt;="&amp;CI$1,INDIRECT("Table1[Obergruppe ATC-Code]"),Tabelle3!$A58)</f>
        <v>0</v>
      </c>
      <c r="CJ58">
        <f ca="1">COUNTIFS(INDIRECT("Table1[Beginn]"),"&lt;="&amp;CJ$1,INDIRECT("Table1[Ende]"),"&gt;="&amp;CJ$1,INDIRECT("Table1[Obergruppe ATC-Code]"),Tabelle3!$A58)</f>
        <v>0</v>
      </c>
      <c r="CK58">
        <f ca="1">COUNTIFS(INDIRECT("Table1[Beginn]"),"&lt;="&amp;CK$1,INDIRECT("Table1[Ende]"),"&gt;="&amp;CK$1,INDIRECT("Table1[Obergruppe ATC-Code]"),Tabelle3!$A58)</f>
        <v>0</v>
      </c>
      <c r="CL58">
        <f ca="1">COUNTIFS(INDIRECT("Table1[Beginn]"),"&lt;="&amp;CL$1,INDIRECT("Table1[Ende]"),"&gt;="&amp;CL$1,INDIRECT("Table1[Obergruppe ATC-Code]"),Tabelle3!$A58)</f>
        <v>0</v>
      </c>
      <c r="CM58">
        <f ca="1">COUNTIFS(INDIRECT("Table1[Beginn]"),"&lt;="&amp;CM$1,INDIRECT("Table1[Ende]"),"&gt;="&amp;CM$1,INDIRECT("Table1[Obergruppe ATC-Code]"),Tabelle3!$A58)</f>
        <v>0</v>
      </c>
      <c r="CN58">
        <f ca="1">COUNTIFS(INDIRECT("Table1[Beginn]"),"&lt;="&amp;CN$1,INDIRECT("Table1[Ende]"),"&gt;="&amp;CN$1,INDIRECT("Table1[Obergruppe ATC-Code]"),Tabelle3!$A58)</f>
        <v>0</v>
      </c>
      <c r="CO58">
        <f ca="1">COUNTIFS(INDIRECT("Table1[Beginn]"),"&lt;="&amp;CO$1,INDIRECT("Table1[Ende]"),"&gt;="&amp;CO$1,INDIRECT("Table1[Obergruppe ATC-Code]"),Tabelle3!$A58)</f>
        <v>0</v>
      </c>
      <c r="CP58">
        <f ca="1">COUNTIFS(INDIRECT("Table1[Beginn]"),"&lt;="&amp;CP$1,INDIRECT("Table1[Ende]"),"&gt;="&amp;CP$1,INDIRECT("Table1[Obergruppe ATC-Code]"),Tabelle3!$A58)</f>
        <v>0</v>
      </c>
      <c r="CQ58">
        <f ca="1">COUNTIFS(INDIRECT("Table1[Beginn]"),"&lt;="&amp;CQ$1,INDIRECT("Table1[Ende]"),"&gt;="&amp;CQ$1,INDIRECT("Table1[Obergruppe ATC-Code]"),Tabelle3!$A58)</f>
        <v>0</v>
      </c>
      <c r="CR58">
        <f ca="1">COUNTIFS(INDIRECT("Table1[Beginn]"),"&lt;="&amp;CR$1,INDIRECT("Table1[Ende]"),"&gt;="&amp;CR$1,INDIRECT("Table1[Obergruppe ATC-Code]"),Tabelle3!$A58)</f>
        <v>0</v>
      </c>
    </row>
    <row r="59" spans="1:96" s="30" customFormat="1" ht="18">
      <c r="A59" s="31" t="s">
        <v>6887</v>
      </c>
      <c r="B59" s="32" t="s">
        <v>6888</v>
      </c>
      <c r="C59" s="30">
        <f ca="1">COUNTIFS(INDIRECT("Table1[Beginn]"),"&lt;="&amp;C$1,INDIRECT("Table1[Ende]"),"&gt;="&amp;C$1,INDIRECT("Table1[Obergruppe ATC-Code]"),Tabelle3!$A59)</f>
        <v>2</v>
      </c>
      <c r="D59" s="30">
        <f ca="1">COUNTIFS(INDIRECT("Table1[Beginn]"),"&lt;="&amp;D$1,INDIRECT("Table1[Ende]"),"&gt;="&amp;D$1,INDIRECT("Table1[Obergruppe ATC-Code]"),Tabelle3!$A59)</f>
        <v>2</v>
      </c>
      <c r="E59" s="30">
        <f ca="1">COUNTIFS(INDIRECT("Table1[Beginn]"),"&lt;="&amp;E$1,INDIRECT("Table1[Ende]"),"&gt;="&amp;E$1,INDIRECT("Table1[Obergruppe ATC-Code]"),Tabelle3!$A59)</f>
        <v>5</v>
      </c>
      <c r="F59" s="30">
        <f ca="1">COUNTIFS(INDIRECT("Table1[Beginn]"),"&lt;="&amp;F$1,INDIRECT("Table1[Ende]"),"&gt;="&amp;F$1,INDIRECT("Table1[Obergruppe ATC-Code]"),Tabelle3!$A59)</f>
        <v>3</v>
      </c>
      <c r="G59" s="30">
        <f ca="1">COUNTIFS(INDIRECT("Table1[Beginn]"),"&lt;="&amp;G$1,INDIRECT("Table1[Ende]"),"&gt;="&amp;G$1,INDIRECT("Table1[Obergruppe ATC-Code]"),Tabelle3!$A59)</f>
        <v>3</v>
      </c>
      <c r="H59" s="30">
        <f ca="1">COUNTIFS(INDIRECT("Table1[Beginn]"),"&lt;="&amp;H$1,INDIRECT("Table1[Ende]"),"&gt;="&amp;H$1,INDIRECT("Table1[Obergruppe ATC-Code]"),Tabelle3!$A59)</f>
        <v>3</v>
      </c>
      <c r="I59" s="30">
        <f ca="1">COUNTIFS(INDIRECT("Table1[Beginn]"),"&lt;="&amp;I$1,INDIRECT("Table1[Ende]"),"&gt;="&amp;I$1,INDIRECT("Table1[Obergruppe ATC-Code]"),Tabelle3!$A59)</f>
        <v>4</v>
      </c>
      <c r="J59" s="30">
        <f ca="1">COUNTIFS(INDIRECT("Table1[Beginn]"),"&lt;="&amp;J$1,INDIRECT("Table1[Ende]"),"&gt;="&amp;J$1,INDIRECT("Table1[Obergruppe ATC-Code]"),Tabelle3!$A59)</f>
        <v>3</v>
      </c>
      <c r="K59" s="30">
        <f ca="1">COUNTIFS(INDIRECT("Table1[Beginn]"),"&lt;="&amp;K$1,INDIRECT("Table1[Ende]"),"&gt;="&amp;K$1,INDIRECT("Table1[Obergruppe ATC-Code]"),Tabelle3!$A59)</f>
        <v>1</v>
      </c>
      <c r="L59" s="30">
        <f ca="1">COUNTIFS(INDIRECT("Table1[Beginn]"),"&lt;="&amp;L$1,INDIRECT("Table1[Ende]"),"&gt;="&amp;L$1,INDIRECT("Table1[Obergruppe ATC-Code]"),Tabelle3!$A59)</f>
        <v>1</v>
      </c>
      <c r="M59" s="30">
        <f ca="1">COUNTIFS(INDIRECT("Table1[Beginn]"),"&lt;="&amp;M$1,INDIRECT("Table1[Ende]"),"&gt;="&amp;M$1,INDIRECT("Table1[Obergruppe ATC-Code]"),Tabelle3!$A59)</f>
        <v>3</v>
      </c>
      <c r="N59" s="30">
        <f ca="1">COUNTIFS(INDIRECT("Table1[Beginn]"),"&lt;="&amp;N$1,INDIRECT("Table1[Ende]"),"&gt;="&amp;N$1,INDIRECT("Table1[Obergruppe ATC-Code]"),Tabelle3!$A59)</f>
        <v>2</v>
      </c>
      <c r="O59" s="30">
        <f ca="1">COUNTIFS(INDIRECT("Table1[Beginn]"),"&lt;="&amp;O$1,INDIRECT("Table1[Ende]"),"&gt;="&amp;O$1,INDIRECT("Table1[Obergruppe ATC-Code]"),Tabelle3!$A59)</f>
        <v>2</v>
      </c>
      <c r="P59" s="30">
        <f ca="1">COUNTIFS(INDIRECT("Table1[Beginn]"),"&lt;="&amp;P$1,INDIRECT("Table1[Ende]"),"&gt;="&amp;P$1,INDIRECT("Table1[Obergruppe ATC-Code]"),Tabelle3!$A59)</f>
        <v>3</v>
      </c>
      <c r="Q59" s="30">
        <f ca="1">COUNTIFS(INDIRECT("Table1[Beginn]"),"&lt;="&amp;Q$1,INDIRECT("Table1[Ende]"),"&gt;="&amp;Q$1,INDIRECT("Table1[Obergruppe ATC-Code]"),Tabelle3!$A59)</f>
        <v>2</v>
      </c>
      <c r="R59" s="30">
        <f ca="1">COUNTIFS(INDIRECT("Table1[Beginn]"),"&lt;="&amp;R$1,INDIRECT("Table1[Ende]"),"&gt;="&amp;R$1,INDIRECT("Table1[Obergruppe ATC-Code]"),Tabelle3!$A59)</f>
        <v>1</v>
      </c>
      <c r="S59" s="30">
        <f ca="1">COUNTIFS(INDIRECT("Table1[Beginn]"),"&lt;="&amp;S$1,INDIRECT("Table1[Ende]"),"&gt;="&amp;S$1,INDIRECT("Table1[Obergruppe ATC-Code]"),Tabelle3!$A59)</f>
        <v>1</v>
      </c>
      <c r="T59" s="30">
        <f ca="1">COUNTIFS(INDIRECT("Table1[Beginn]"),"&lt;="&amp;T$1,INDIRECT("Table1[Ende]"),"&gt;="&amp;T$1,INDIRECT("Table1[Obergruppe ATC-Code]"),Tabelle3!$A59)</f>
        <v>4</v>
      </c>
      <c r="U59" s="30">
        <f ca="1">COUNTIFS(INDIRECT("Table1[Beginn]"),"&lt;="&amp;U$1,INDIRECT("Table1[Ende]"),"&gt;="&amp;U$1,INDIRECT("Table1[Obergruppe ATC-Code]"),Tabelle3!$A59)</f>
        <v>5</v>
      </c>
      <c r="V59" s="30">
        <f ca="1">COUNTIFS(INDIRECT("Table1[Beginn]"),"&lt;="&amp;V$1,INDIRECT("Table1[Ende]"),"&gt;="&amp;V$1,INDIRECT("Table1[Obergruppe ATC-Code]"),Tabelle3!$A59)</f>
        <v>4</v>
      </c>
      <c r="W59" s="30">
        <f ca="1">COUNTIFS(INDIRECT("Table1[Beginn]"),"&lt;="&amp;W$1,INDIRECT("Table1[Ende]"),"&gt;="&amp;W$1,INDIRECT("Table1[Obergruppe ATC-Code]"),Tabelle3!$A59)</f>
        <v>5</v>
      </c>
      <c r="X59" s="30">
        <f ca="1">COUNTIFS(INDIRECT("Table1[Beginn]"),"&lt;="&amp;X$1,INDIRECT("Table1[Ende]"),"&gt;="&amp;X$1,INDIRECT("Table1[Obergruppe ATC-Code]"),Tabelle3!$A59)</f>
        <v>5</v>
      </c>
      <c r="Y59" s="30">
        <f ca="1">COUNTIFS(INDIRECT("Table1[Beginn]"),"&lt;="&amp;Y$1,INDIRECT("Table1[Ende]"),"&gt;="&amp;Y$1,INDIRECT("Table1[Obergruppe ATC-Code]"),Tabelle3!$A59)</f>
        <v>6</v>
      </c>
      <c r="Z59" s="30">
        <f ca="1">COUNTIFS(INDIRECT("Table1[Beginn]"),"&lt;="&amp;Z$1,INDIRECT("Table1[Ende]"),"&gt;="&amp;Z$1,INDIRECT("Table1[Obergruppe ATC-Code]"),Tabelle3!$A59)</f>
        <v>6</v>
      </c>
      <c r="AA59" s="30">
        <f ca="1">COUNTIFS(INDIRECT("Table1[Beginn]"),"&lt;="&amp;AA$1,INDIRECT("Table1[Ende]"),"&gt;="&amp;AA$1,INDIRECT("Table1[Obergruppe ATC-Code]"),Tabelle3!$A59)</f>
        <v>4</v>
      </c>
      <c r="AB59" s="30">
        <f ca="1">COUNTIFS(INDIRECT("Table1[Beginn]"),"&lt;="&amp;AB$1,INDIRECT("Table1[Ende]"),"&gt;="&amp;AB$1,INDIRECT("Table1[Obergruppe ATC-Code]"),Tabelle3!$A59)</f>
        <v>4</v>
      </c>
      <c r="AC59" s="30">
        <f ca="1">COUNTIFS(INDIRECT("Table1[Beginn]"),"&lt;="&amp;AC$1,INDIRECT("Table1[Ende]"),"&gt;="&amp;AC$1,INDIRECT("Table1[Obergruppe ATC-Code]"),Tabelle3!$A59)</f>
        <v>5</v>
      </c>
      <c r="AD59" s="30">
        <f ca="1">COUNTIFS(INDIRECT("Table1[Beginn]"),"&lt;="&amp;AD$1,INDIRECT("Table1[Ende]"),"&gt;="&amp;AD$1,INDIRECT("Table1[Obergruppe ATC-Code]"),Tabelle3!$A59)</f>
        <v>6</v>
      </c>
      <c r="AE59" s="30">
        <f ca="1">COUNTIFS(INDIRECT("Table1[Beginn]"),"&lt;="&amp;AE$1,INDIRECT("Table1[Ende]"),"&gt;="&amp;AE$1,INDIRECT("Table1[Obergruppe ATC-Code]"),Tabelle3!$A59)</f>
        <v>6</v>
      </c>
      <c r="AF59" s="30">
        <f ca="1">COUNTIFS(INDIRECT("Table1[Beginn]"),"&lt;="&amp;AF$1,INDIRECT("Table1[Ende]"),"&gt;="&amp;AF$1,INDIRECT("Table1[Obergruppe ATC-Code]"),Tabelle3!$A59)</f>
        <v>4</v>
      </c>
      <c r="AG59" s="30">
        <f ca="1">COUNTIFS(INDIRECT("Table1[Beginn]"),"&lt;="&amp;AG$1,INDIRECT("Table1[Ende]"),"&gt;="&amp;AG$1,INDIRECT("Table1[Obergruppe ATC-Code]"),Tabelle3!$A59)</f>
        <v>10</v>
      </c>
      <c r="AH59" s="30">
        <f ca="1">COUNTIFS(INDIRECT("Table1[Beginn]"),"&lt;="&amp;AH$1,INDIRECT("Table1[Ende]"),"&gt;="&amp;AH$1,INDIRECT("Table1[Obergruppe ATC-Code]"),Tabelle3!$A59)</f>
        <v>20</v>
      </c>
      <c r="AI59" s="30">
        <f ca="1">COUNTIFS(INDIRECT("Table1[Beginn]"),"&lt;="&amp;AI$1,INDIRECT("Table1[Ende]"),"&gt;="&amp;AI$1,INDIRECT("Table1[Obergruppe ATC-Code]"),Tabelle3!$A59)</f>
        <v>24</v>
      </c>
      <c r="AJ59" s="30">
        <f ca="1">COUNTIFS(INDIRECT("Table1[Beginn]"),"&lt;="&amp;AJ$1,INDIRECT("Table1[Ende]"),"&gt;="&amp;AJ$1,INDIRECT("Table1[Obergruppe ATC-Code]"),Tabelle3!$A59)</f>
        <v>26</v>
      </c>
      <c r="AK59" s="30">
        <f ca="1">COUNTIFS(INDIRECT("Table1[Beginn]"),"&lt;="&amp;AK$1,INDIRECT("Table1[Ende]"),"&gt;="&amp;AK$1,INDIRECT("Table1[Obergruppe ATC-Code]"),Tabelle3!$A59)</f>
        <v>25</v>
      </c>
      <c r="AL59" s="30">
        <f ca="1">COUNTIFS(INDIRECT("Table1[Beginn]"),"&lt;="&amp;AL$1,INDIRECT("Table1[Ende]"),"&gt;="&amp;AL$1,INDIRECT("Table1[Obergruppe ATC-Code]"),Tabelle3!$A59)</f>
        <v>24</v>
      </c>
      <c r="AM59" s="30">
        <f ca="1">COUNTIFS(INDIRECT("Table1[Beginn]"),"&lt;="&amp;AM$1,INDIRECT("Table1[Ende]"),"&gt;="&amp;AM$1,INDIRECT("Table1[Obergruppe ATC-Code]"),Tabelle3!$A59)</f>
        <v>35</v>
      </c>
      <c r="AN59" s="30">
        <f ca="1">COUNTIFS(INDIRECT("Table1[Beginn]"),"&lt;="&amp;AN$1,INDIRECT("Table1[Ende]"),"&gt;="&amp;AN$1,INDIRECT("Table1[Obergruppe ATC-Code]"),Tabelle3!$A59)</f>
        <v>35</v>
      </c>
      <c r="AO59" s="30">
        <f ca="1">COUNTIFS(INDIRECT("Table1[Beginn]"),"&lt;="&amp;AO$1,INDIRECT("Table1[Ende]"),"&gt;="&amp;AO$1,INDIRECT("Table1[Obergruppe ATC-Code]"),Tabelle3!$A59)</f>
        <v>38</v>
      </c>
      <c r="AP59" s="30">
        <f ca="1">COUNTIFS(INDIRECT("Table1[Beginn]"),"&lt;="&amp;AP$1,INDIRECT("Table1[Ende]"),"&gt;="&amp;AP$1,INDIRECT("Table1[Obergruppe ATC-Code]"),Tabelle3!$A59)</f>
        <v>36</v>
      </c>
      <c r="AQ59" s="30">
        <f ca="1">COUNTIFS(INDIRECT("Table1[Beginn]"),"&lt;="&amp;AQ$1,INDIRECT("Table1[Ende]"),"&gt;="&amp;AQ$1,INDIRECT("Table1[Obergruppe ATC-Code]"),Tabelle3!$A59)</f>
        <v>32</v>
      </c>
      <c r="AR59" s="30">
        <f ca="1">COUNTIFS(INDIRECT("Table1[Beginn]"),"&lt;="&amp;AR$1,INDIRECT("Table1[Ende]"),"&gt;="&amp;AR$1,INDIRECT("Table1[Obergruppe ATC-Code]"),Tabelle3!$A59)</f>
        <v>32</v>
      </c>
      <c r="AS59" s="30">
        <f ca="1">COUNTIFS(INDIRECT("Table1[Beginn]"),"&lt;="&amp;AS$1,INDIRECT("Table1[Ende]"),"&gt;="&amp;AS$1,INDIRECT("Table1[Obergruppe ATC-Code]"),Tabelle3!$A59)</f>
        <v>34</v>
      </c>
      <c r="AT59" s="30">
        <f ca="1">COUNTIFS(INDIRECT("Table1[Beginn]"),"&lt;="&amp;AT$1,INDIRECT("Table1[Ende]"),"&gt;="&amp;AT$1,INDIRECT("Table1[Obergruppe ATC-Code]"),Tabelle3!$A59)</f>
        <v>32</v>
      </c>
      <c r="AU59" s="30">
        <f ca="1">COUNTIFS(INDIRECT("Table1[Beginn]"),"&lt;="&amp;AU$1,INDIRECT("Table1[Ende]"),"&gt;="&amp;AU$1,INDIRECT("Table1[Obergruppe ATC-Code]"),Tabelle3!$A59)</f>
        <v>28</v>
      </c>
      <c r="AV59" s="30">
        <f ca="1">COUNTIFS(INDIRECT("Table1[Beginn]"),"&lt;="&amp;AV$1,INDIRECT("Table1[Ende]"),"&gt;="&amp;AV$1,INDIRECT("Table1[Obergruppe ATC-Code]"),Tabelle3!$A59)</f>
        <v>25</v>
      </c>
      <c r="AW59" s="30">
        <f ca="1">COUNTIFS(INDIRECT("Table1[Beginn]"),"&lt;="&amp;AW$1,INDIRECT("Table1[Ende]"),"&gt;="&amp;AW$1,INDIRECT("Table1[Obergruppe ATC-Code]"),Tabelle3!$A59)</f>
        <v>22</v>
      </c>
      <c r="AX59" s="30">
        <f ca="1">COUNTIFS(INDIRECT("Table1[Beginn]"),"&lt;="&amp;AX$1,INDIRECT("Table1[Ende]"),"&gt;="&amp;AX$1,INDIRECT("Table1[Obergruppe ATC-Code]"),Tabelle3!$A59)</f>
        <v>22</v>
      </c>
      <c r="AY59" s="30">
        <f ca="1">COUNTIFS(INDIRECT("Table1[Beginn]"),"&lt;="&amp;AY$1,INDIRECT("Table1[Ende]"),"&gt;="&amp;AY$1,INDIRECT("Table1[Obergruppe ATC-Code]"),Tabelle3!$A59)</f>
        <v>27</v>
      </c>
      <c r="AZ59" s="30">
        <f ca="1">COUNTIFS(INDIRECT("Table1[Beginn]"),"&lt;="&amp;AZ$1,INDIRECT("Table1[Ende]"),"&gt;="&amp;AZ$1,INDIRECT("Table1[Obergruppe ATC-Code]"),Tabelle3!$A59)</f>
        <v>28</v>
      </c>
      <c r="BA59" s="30">
        <f ca="1">COUNTIFS(INDIRECT("Table1[Beginn]"),"&lt;="&amp;BA$1,INDIRECT("Table1[Ende]"),"&gt;="&amp;BA$1,INDIRECT("Table1[Obergruppe ATC-Code]"),Tabelle3!$A59)</f>
        <v>25</v>
      </c>
      <c r="BB59" s="30">
        <f ca="1">COUNTIFS(INDIRECT("Table1[Beginn]"),"&lt;="&amp;BB$1,INDIRECT("Table1[Ende]"),"&gt;="&amp;BB$1,INDIRECT("Table1[Obergruppe ATC-Code]"),Tabelle3!$A59)</f>
        <v>23</v>
      </c>
      <c r="BC59" s="30">
        <f ca="1">COUNTIFS(INDIRECT("Table1[Beginn]"),"&lt;="&amp;BC$1,INDIRECT("Table1[Ende]"),"&gt;="&amp;BC$1,INDIRECT("Table1[Obergruppe ATC-Code]"),Tabelle3!$A59)</f>
        <v>24</v>
      </c>
      <c r="BD59" s="30">
        <f ca="1">COUNTIFS(INDIRECT("Table1[Beginn]"),"&lt;="&amp;BD$1,INDIRECT("Table1[Ende]"),"&gt;="&amp;BD$1,INDIRECT("Table1[Obergruppe ATC-Code]"),Tabelle3!$A59)</f>
        <v>23</v>
      </c>
      <c r="BE59" s="30">
        <f ca="1">COUNTIFS(INDIRECT("Table1[Beginn]"),"&lt;="&amp;BE$1,INDIRECT("Table1[Ende]"),"&gt;="&amp;BE$1,INDIRECT("Table1[Obergruppe ATC-Code]"),Tabelle3!$A59)</f>
        <v>26</v>
      </c>
      <c r="BF59" s="30">
        <f ca="1">COUNTIFS(INDIRECT("Table1[Beginn]"),"&lt;="&amp;BF$1,INDIRECT("Table1[Ende]"),"&gt;="&amp;BF$1,INDIRECT("Table1[Obergruppe ATC-Code]"),Tabelle3!$A59)</f>
        <v>24</v>
      </c>
      <c r="BG59" s="30">
        <f ca="1">COUNTIFS(INDIRECT("Table1[Beginn]"),"&lt;="&amp;BG$1,INDIRECT("Table1[Ende]"),"&gt;="&amp;BG$1,INDIRECT("Table1[Obergruppe ATC-Code]"),Tabelle3!$A59)</f>
        <v>26</v>
      </c>
      <c r="BH59" s="30">
        <f ca="1">COUNTIFS(INDIRECT("Table1[Beginn]"),"&lt;="&amp;BH$1,INDIRECT("Table1[Ende]"),"&gt;="&amp;BH$1,INDIRECT("Table1[Obergruppe ATC-Code]"),Tabelle3!$A59)</f>
        <v>25</v>
      </c>
      <c r="BI59" s="30">
        <f ca="1">COUNTIFS(INDIRECT("Table1[Beginn]"),"&lt;="&amp;BI$1,INDIRECT("Table1[Ende]"),"&gt;="&amp;BI$1,INDIRECT("Table1[Obergruppe ATC-Code]"),Tabelle3!$A59)</f>
        <v>27</v>
      </c>
      <c r="BJ59" s="30">
        <f ca="1">COUNTIFS(INDIRECT("Table1[Beginn]"),"&lt;="&amp;BJ$1,INDIRECT("Table1[Ende]"),"&gt;="&amp;BJ$1,INDIRECT("Table1[Obergruppe ATC-Code]"),Tabelle3!$A59)</f>
        <v>27</v>
      </c>
      <c r="BK59" s="30">
        <f ca="1">COUNTIFS(INDIRECT("Table1[Beginn]"),"&lt;="&amp;BK$1,INDIRECT("Table1[Ende]"),"&gt;="&amp;BK$1,INDIRECT("Table1[Obergruppe ATC-Code]"),Tabelle3!$A59)</f>
        <v>25</v>
      </c>
      <c r="BL59" s="30">
        <f ca="1">COUNTIFS(INDIRECT("Table1[Beginn]"),"&lt;="&amp;BL$1,INDIRECT("Table1[Ende]"),"&gt;="&amp;BL$1,INDIRECT("Table1[Obergruppe ATC-Code]"),Tabelle3!$A59)</f>
        <v>25</v>
      </c>
      <c r="BM59" s="30">
        <f ca="1">COUNTIFS(INDIRECT("Table1[Beginn]"),"&lt;="&amp;BM$1,INDIRECT("Table1[Ende]"),"&gt;="&amp;BM$1,INDIRECT("Table1[Obergruppe ATC-Code]"),Tabelle3!$A59)</f>
        <v>26</v>
      </c>
      <c r="BN59" s="30">
        <f ca="1">COUNTIFS(INDIRECT("Table1[Beginn]"),"&lt;="&amp;BN$1,INDIRECT("Table1[Ende]"),"&gt;="&amp;BN$1,INDIRECT("Table1[Obergruppe ATC-Code]"),Tabelle3!$A59)</f>
        <v>19</v>
      </c>
      <c r="BO59" s="30">
        <f ca="1">COUNTIFS(INDIRECT("Table1[Beginn]"),"&lt;="&amp;BO$1,INDIRECT("Table1[Ende]"),"&gt;="&amp;BO$1,INDIRECT("Table1[Obergruppe ATC-Code]"),Tabelle3!$A59)</f>
        <v>20</v>
      </c>
      <c r="BP59" s="30">
        <f ca="1">COUNTIFS(INDIRECT("Table1[Beginn]"),"&lt;="&amp;BP$1,INDIRECT("Table1[Ende]"),"&gt;="&amp;BP$1,INDIRECT("Table1[Obergruppe ATC-Code]"),Tabelle3!$A59)</f>
        <v>21</v>
      </c>
      <c r="BQ59" s="30">
        <f ca="1">COUNTIFS(INDIRECT("Table1[Beginn]"),"&lt;="&amp;BQ$1,INDIRECT("Table1[Ende]"),"&gt;="&amp;BQ$1,INDIRECT("Table1[Obergruppe ATC-Code]"),Tabelle3!$A59)</f>
        <v>20</v>
      </c>
      <c r="BR59" s="30">
        <f ca="1">COUNTIFS(INDIRECT("Table1[Beginn]"),"&lt;="&amp;BR$1,INDIRECT("Table1[Ende]"),"&gt;="&amp;BR$1,INDIRECT("Table1[Obergruppe ATC-Code]"),Tabelle3!$A59)</f>
        <v>19</v>
      </c>
      <c r="BS59" s="30">
        <f ca="1">COUNTIFS(INDIRECT("Table1[Beginn]"),"&lt;="&amp;BS$1,INDIRECT("Table1[Ende]"),"&gt;="&amp;BS$1,INDIRECT("Table1[Obergruppe ATC-Code]"),Tabelle3!$A59)</f>
        <v>20</v>
      </c>
      <c r="BT59" s="30">
        <f ca="1">COUNTIFS(INDIRECT("Table1[Beginn]"),"&lt;="&amp;BT$1,INDIRECT("Table1[Ende]"),"&gt;="&amp;BT$1,INDIRECT("Table1[Obergruppe ATC-Code]"),Tabelle3!$A59)</f>
        <v>22</v>
      </c>
      <c r="BU59" s="30">
        <f ca="1">COUNTIFS(INDIRECT("Table1[Beginn]"),"&lt;="&amp;BU$1,INDIRECT("Table1[Ende]"),"&gt;="&amp;BU$1,INDIRECT("Table1[Obergruppe ATC-Code]"),Tabelle3!$A59)</f>
        <v>18</v>
      </c>
      <c r="BV59" s="30">
        <f ca="1">COUNTIFS(INDIRECT("Table1[Beginn]"),"&lt;="&amp;BV$1,INDIRECT("Table1[Ende]"),"&gt;="&amp;BV$1,INDIRECT("Table1[Obergruppe ATC-Code]"),Tabelle3!$A59)</f>
        <v>18</v>
      </c>
      <c r="BW59" s="30">
        <f ca="1">COUNTIFS(INDIRECT("Table1[Beginn]"),"&lt;="&amp;BW$1,INDIRECT("Table1[Ende]"),"&gt;="&amp;BW$1,INDIRECT("Table1[Obergruppe ATC-Code]"),Tabelle3!$A59)</f>
        <v>15</v>
      </c>
      <c r="BX59" s="30">
        <f ca="1">COUNTIFS(INDIRECT("Table1[Beginn]"),"&lt;="&amp;BX$1,INDIRECT("Table1[Ende]"),"&gt;="&amp;BX$1,INDIRECT("Table1[Obergruppe ATC-Code]"),Tabelle3!$A59)</f>
        <v>13</v>
      </c>
      <c r="BY59" s="30">
        <f ca="1">COUNTIFS(INDIRECT("Table1[Beginn]"),"&lt;="&amp;BY$1,INDIRECT("Table1[Ende]"),"&gt;="&amp;BY$1,INDIRECT("Table1[Obergruppe ATC-Code]"),Tabelle3!$A59)</f>
        <v>12</v>
      </c>
      <c r="BZ59" s="30">
        <f ca="1">COUNTIFS(INDIRECT("Table1[Beginn]"),"&lt;="&amp;BZ$1,INDIRECT("Table1[Ende]"),"&gt;="&amp;BZ$1,INDIRECT("Table1[Obergruppe ATC-Code]"),Tabelle3!$A59)</f>
        <v>17</v>
      </c>
      <c r="CA59" s="30">
        <f ca="1">COUNTIFS(INDIRECT("Table1[Beginn]"),"&lt;="&amp;CA$1,INDIRECT("Table1[Ende]"),"&gt;="&amp;CA$1,INDIRECT("Table1[Obergruppe ATC-Code]"),Tabelle3!$A59)</f>
        <v>13</v>
      </c>
      <c r="CB59" s="30">
        <f ca="1">COUNTIFS(INDIRECT("Table1[Beginn]"),"&lt;="&amp;CB$1,INDIRECT("Table1[Ende]"),"&gt;="&amp;CB$1,INDIRECT("Table1[Obergruppe ATC-Code]"),Tabelle3!$A59)</f>
        <v>10</v>
      </c>
      <c r="CC59" s="30">
        <f ca="1">COUNTIFS(INDIRECT("Table1[Beginn]"),"&lt;="&amp;CC$1,INDIRECT("Table1[Ende]"),"&gt;="&amp;CC$1,INDIRECT("Table1[Obergruppe ATC-Code]"),Tabelle3!$A59)</f>
        <v>11</v>
      </c>
      <c r="CD59" s="30">
        <f ca="1">COUNTIFS(INDIRECT("Table1[Beginn]"),"&lt;="&amp;CD$1,INDIRECT("Table1[Ende]"),"&gt;="&amp;CD$1,INDIRECT("Table1[Obergruppe ATC-Code]"),Tabelle3!$A59)</f>
        <v>11</v>
      </c>
      <c r="CE59" s="30">
        <f ca="1">COUNTIFS(INDIRECT("Table1[Beginn]"),"&lt;="&amp;CE$1,INDIRECT("Table1[Ende]"),"&gt;="&amp;CE$1,INDIRECT("Table1[Obergruppe ATC-Code]"),Tabelle3!$A59)</f>
        <v>9</v>
      </c>
      <c r="CF59" s="30">
        <f ca="1">COUNTIFS(INDIRECT("Table1[Beginn]"),"&lt;="&amp;CF$1,INDIRECT("Table1[Ende]"),"&gt;="&amp;CF$1,INDIRECT("Table1[Obergruppe ATC-Code]"),Tabelle3!$A59)</f>
        <v>9</v>
      </c>
      <c r="CG59" s="30">
        <f ca="1">COUNTIFS(INDIRECT("Table1[Beginn]"),"&lt;="&amp;CG$1,INDIRECT("Table1[Ende]"),"&gt;="&amp;CG$1,INDIRECT("Table1[Obergruppe ATC-Code]"),Tabelle3!$A59)</f>
        <v>7</v>
      </c>
      <c r="CH59" s="30">
        <f ca="1">COUNTIFS(INDIRECT("Table1[Beginn]"),"&lt;="&amp;CH$1,INDIRECT("Table1[Ende]"),"&gt;="&amp;CH$1,INDIRECT("Table1[Obergruppe ATC-Code]"),Tabelle3!$A59)</f>
        <v>5</v>
      </c>
      <c r="CI59" s="30">
        <f ca="1">COUNTIFS(INDIRECT("Table1[Beginn]"),"&lt;="&amp;CI$1,INDIRECT("Table1[Ende]"),"&gt;="&amp;CI$1,INDIRECT("Table1[Obergruppe ATC-Code]"),Tabelle3!$A59)</f>
        <v>5</v>
      </c>
      <c r="CJ59" s="30">
        <f ca="1">COUNTIFS(INDIRECT("Table1[Beginn]"),"&lt;="&amp;CJ$1,INDIRECT("Table1[Ende]"),"&gt;="&amp;CJ$1,INDIRECT("Table1[Obergruppe ATC-Code]"),Tabelle3!$A59)</f>
        <v>3</v>
      </c>
      <c r="CK59" s="30">
        <f ca="1">COUNTIFS(INDIRECT("Table1[Beginn]"),"&lt;="&amp;CK$1,INDIRECT("Table1[Ende]"),"&gt;="&amp;CK$1,INDIRECT("Table1[Obergruppe ATC-Code]"),Tabelle3!$A59)</f>
        <v>1</v>
      </c>
      <c r="CL59" s="30">
        <f ca="1">COUNTIFS(INDIRECT("Table1[Beginn]"),"&lt;="&amp;CL$1,INDIRECT("Table1[Ende]"),"&gt;="&amp;CL$1,INDIRECT("Table1[Obergruppe ATC-Code]"),Tabelle3!$A59)</f>
        <v>1</v>
      </c>
      <c r="CM59" s="30">
        <f ca="1">COUNTIFS(INDIRECT("Table1[Beginn]"),"&lt;="&amp;CM$1,INDIRECT("Table1[Ende]"),"&gt;="&amp;CM$1,INDIRECT("Table1[Obergruppe ATC-Code]"),Tabelle3!$A59)</f>
        <v>1</v>
      </c>
      <c r="CN59" s="30">
        <f ca="1">COUNTIFS(INDIRECT("Table1[Beginn]"),"&lt;="&amp;CN$1,INDIRECT("Table1[Ende]"),"&gt;="&amp;CN$1,INDIRECT("Table1[Obergruppe ATC-Code]"),Tabelle3!$A59)</f>
        <v>1</v>
      </c>
      <c r="CO59" s="30">
        <f ca="1">COUNTIFS(INDIRECT("Table1[Beginn]"),"&lt;="&amp;CO$1,INDIRECT("Table1[Ende]"),"&gt;="&amp;CO$1,INDIRECT("Table1[Obergruppe ATC-Code]"),Tabelle3!$A59)</f>
        <v>1</v>
      </c>
      <c r="CP59" s="30">
        <f ca="1">COUNTIFS(INDIRECT("Table1[Beginn]"),"&lt;="&amp;CP$1,INDIRECT("Table1[Ende]"),"&gt;="&amp;CP$1,INDIRECT("Table1[Obergruppe ATC-Code]"),Tabelle3!$A59)</f>
        <v>0</v>
      </c>
      <c r="CQ59" s="30">
        <f ca="1">COUNTIFS(INDIRECT("Table1[Beginn]"),"&lt;="&amp;CQ$1,INDIRECT("Table1[Ende]"),"&gt;="&amp;CQ$1,INDIRECT("Table1[Obergruppe ATC-Code]"),Tabelle3!$A59)</f>
        <v>0</v>
      </c>
      <c r="CR59" s="30">
        <f ca="1">COUNTIFS(INDIRECT("Table1[Beginn]"),"&lt;="&amp;CR$1,INDIRECT("Table1[Ende]"),"&gt;="&amp;CR$1,INDIRECT("Table1[Obergruppe ATC-Code]"),Tabelle3!$A59)</f>
        <v>0</v>
      </c>
    </row>
    <row r="60" spans="1:96" ht="18">
      <c r="A60" s="7" t="s">
        <v>6889</v>
      </c>
      <c r="B60" s="8" t="s">
        <v>6890</v>
      </c>
      <c r="C60">
        <f ca="1">COUNTIFS(INDIRECT("Table1[Beginn]"),"&lt;="&amp;C$1,INDIRECT("Table1[Ende]"),"&gt;="&amp;C$1,INDIRECT("Table1[Obergruppe ATC-Code]"),Tabelle3!$A60)</f>
        <v>0</v>
      </c>
      <c r="D60">
        <f ca="1">COUNTIFS(INDIRECT("Table1[Beginn]"),"&lt;="&amp;D$1,INDIRECT("Table1[Ende]"),"&gt;="&amp;D$1,INDIRECT("Table1[Obergruppe ATC-Code]"),Tabelle3!$A60)</f>
        <v>0</v>
      </c>
      <c r="E60">
        <f ca="1">COUNTIFS(INDIRECT("Table1[Beginn]"),"&lt;="&amp;E$1,INDIRECT("Table1[Ende]"),"&gt;="&amp;E$1,INDIRECT("Table1[Obergruppe ATC-Code]"),Tabelle3!$A60)</f>
        <v>0</v>
      </c>
      <c r="F60">
        <f ca="1">COUNTIFS(INDIRECT("Table1[Beginn]"),"&lt;="&amp;F$1,INDIRECT("Table1[Ende]"),"&gt;="&amp;F$1,INDIRECT("Table1[Obergruppe ATC-Code]"),Tabelle3!$A60)</f>
        <v>0</v>
      </c>
      <c r="G60">
        <f ca="1">COUNTIFS(INDIRECT("Table1[Beginn]"),"&lt;="&amp;G$1,INDIRECT("Table1[Ende]"),"&gt;="&amp;G$1,INDIRECT("Table1[Obergruppe ATC-Code]"),Tabelle3!$A60)</f>
        <v>0</v>
      </c>
      <c r="H60">
        <f ca="1">COUNTIFS(INDIRECT("Table1[Beginn]"),"&lt;="&amp;H$1,INDIRECT("Table1[Ende]"),"&gt;="&amp;H$1,INDIRECT("Table1[Obergruppe ATC-Code]"),Tabelle3!$A60)</f>
        <v>0</v>
      </c>
      <c r="I60">
        <f ca="1">COUNTIFS(INDIRECT("Table1[Beginn]"),"&lt;="&amp;I$1,INDIRECT("Table1[Ende]"),"&gt;="&amp;I$1,INDIRECT("Table1[Obergruppe ATC-Code]"),Tabelle3!$A60)</f>
        <v>0</v>
      </c>
      <c r="J60">
        <f ca="1">COUNTIFS(INDIRECT("Table1[Beginn]"),"&lt;="&amp;J$1,INDIRECT("Table1[Ende]"),"&gt;="&amp;J$1,INDIRECT("Table1[Obergruppe ATC-Code]"),Tabelle3!$A60)</f>
        <v>0</v>
      </c>
      <c r="K60">
        <f ca="1">COUNTIFS(INDIRECT("Table1[Beginn]"),"&lt;="&amp;K$1,INDIRECT("Table1[Ende]"),"&gt;="&amp;K$1,INDIRECT("Table1[Obergruppe ATC-Code]"),Tabelle3!$A60)</f>
        <v>0</v>
      </c>
      <c r="L60">
        <f ca="1">COUNTIFS(INDIRECT("Table1[Beginn]"),"&lt;="&amp;L$1,INDIRECT("Table1[Ende]"),"&gt;="&amp;L$1,INDIRECT("Table1[Obergruppe ATC-Code]"),Tabelle3!$A60)</f>
        <v>0</v>
      </c>
      <c r="M60">
        <f ca="1">COUNTIFS(INDIRECT("Table1[Beginn]"),"&lt;="&amp;M$1,INDIRECT("Table1[Ende]"),"&gt;="&amp;M$1,INDIRECT("Table1[Obergruppe ATC-Code]"),Tabelle3!$A60)</f>
        <v>0</v>
      </c>
      <c r="N60">
        <f ca="1">COUNTIFS(INDIRECT("Table1[Beginn]"),"&lt;="&amp;N$1,INDIRECT("Table1[Ende]"),"&gt;="&amp;N$1,INDIRECT("Table1[Obergruppe ATC-Code]"),Tabelle3!$A60)</f>
        <v>0</v>
      </c>
      <c r="O60">
        <f ca="1">COUNTIFS(INDIRECT("Table1[Beginn]"),"&lt;="&amp;O$1,INDIRECT("Table1[Ende]"),"&gt;="&amp;O$1,INDIRECT("Table1[Obergruppe ATC-Code]"),Tabelle3!$A60)</f>
        <v>0</v>
      </c>
      <c r="P60">
        <f ca="1">COUNTIFS(INDIRECT("Table1[Beginn]"),"&lt;="&amp;P$1,INDIRECT("Table1[Ende]"),"&gt;="&amp;P$1,INDIRECT("Table1[Obergruppe ATC-Code]"),Tabelle3!$A60)</f>
        <v>0</v>
      </c>
      <c r="Q60">
        <f ca="1">COUNTIFS(INDIRECT("Table1[Beginn]"),"&lt;="&amp;Q$1,INDIRECT("Table1[Ende]"),"&gt;="&amp;Q$1,INDIRECT("Table1[Obergruppe ATC-Code]"),Tabelle3!$A60)</f>
        <v>0</v>
      </c>
      <c r="R60">
        <f ca="1">COUNTIFS(INDIRECT("Table1[Beginn]"),"&lt;="&amp;R$1,INDIRECT("Table1[Ende]"),"&gt;="&amp;R$1,INDIRECT("Table1[Obergruppe ATC-Code]"),Tabelle3!$A60)</f>
        <v>0</v>
      </c>
      <c r="S60">
        <f ca="1">COUNTIFS(INDIRECT("Table1[Beginn]"),"&lt;="&amp;S$1,INDIRECT("Table1[Ende]"),"&gt;="&amp;S$1,INDIRECT("Table1[Obergruppe ATC-Code]"),Tabelle3!$A60)</f>
        <v>0</v>
      </c>
      <c r="T60">
        <f ca="1">COUNTIFS(INDIRECT("Table1[Beginn]"),"&lt;="&amp;T$1,INDIRECT("Table1[Ende]"),"&gt;="&amp;T$1,INDIRECT("Table1[Obergruppe ATC-Code]"),Tabelle3!$A60)</f>
        <v>0</v>
      </c>
      <c r="U60">
        <f ca="1">COUNTIFS(INDIRECT("Table1[Beginn]"),"&lt;="&amp;U$1,INDIRECT("Table1[Ende]"),"&gt;="&amp;U$1,INDIRECT("Table1[Obergruppe ATC-Code]"),Tabelle3!$A60)</f>
        <v>0</v>
      </c>
      <c r="V60">
        <f ca="1">COUNTIFS(INDIRECT("Table1[Beginn]"),"&lt;="&amp;V$1,INDIRECT("Table1[Ende]"),"&gt;="&amp;V$1,INDIRECT("Table1[Obergruppe ATC-Code]"),Tabelle3!$A60)</f>
        <v>0</v>
      </c>
      <c r="W60">
        <f ca="1">COUNTIFS(INDIRECT("Table1[Beginn]"),"&lt;="&amp;W$1,INDIRECT("Table1[Ende]"),"&gt;="&amp;W$1,INDIRECT("Table1[Obergruppe ATC-Code]"),Tabelle3!$A60)</f>
        <v>1</v>
      </c>
      <c r="X60">
        <f ca="1">COUNTIFS(INDIRECT("Table1[Beginn]"),"&lt;="&amp;X$1,INDIRECT("Table1[Ende]"),"&gt;="&amp;X$1,INDIRECT("Table1[Obergruppe ATC-Code]"),Tabelle3!$A60)</f>
        <v>1</v>
      </c>
      <c r="Y60">
        <f ca="1">COUNTIFS(INDIRECT("Table1[Beginn]"),"&lt;="&amp;Y$1,INDIRECT("Table1[Ende]"),"&gt;="&amp;Y$1,INDIRECT("Table1[Obergruppe ATC-Code]"),Tabelle3!$A60)</f>
        <v>1</v>
      </c>
      <c r="Z60">
        <f ca="1">COUNTIFS(INDIRECT("Table1[Beginn]"),"&lt;="&amp;Z$1,INDIRECT("Table1[Ende]"),"&gt;="&amp;Z$1,INDIRECT("Table1[Obergruppe ATC-Code]"),Tabelle3!$A60)</f>
        <v>1</v>
      </c>
      <c r="AA60">
        <f ca="1">COUNTIFS(INDIRECT("Table1[Beginn]"),"&lt;="&amp;AA$1,INDIRECT("Table1[Ende]"),"&gt;="&amp;AA$1,INDIRECT("Table1[Obergruppe ATC-Code]"),Tabelle3!$A60)</f>
        <v>1</v>
      </c>
      <c r="AB60">
        <f ca="1">COUNTIFS(INDIRECT("Table1[Beginn]"),"&lt;="&amp;AB$1,INDIRECT("Table1[Ende]"),"&gt;="&amp;AB$1,INDIRECT("Table1[Obergruppe ATC-Code]"),Tabelle3!$A60)</f>
        <v>1</v>
      </c>
      <c r="AC60">
        <f ca="1">COUNTIFS(INDIRECT("Table1[Beginn]"),"&lt;="&amp;AC$1,INDIRECT("Table1[Ende]"),"&gt;="&amp;AC$1,INDIRECT("Table1[Obergruppe ATC-Code]"),Tabelle3!$A60)</f>
        <v>1</v>
      </c>
      <c r="AD60">
        <f ca="1">COUNTIFS(INDIRECT("Table1[Beginn]"),"&lt;="&amp;AD$1,INDIRECT("Table1[Ende]"),"&gt;="&amp;AD$1,INDIRECT("Table1[Obergruppe ATC-Code]"),Tabelle3!$A60)</f>
        <v>1</v>
      </c>
      <c r="AE60">
        <f ca="1">COUNTIFS(INDIRECT("Table1[Beginn]"),"&lt;="&amp;AE$1,INDIRECT("Table1[Ende]"),"&gt;="&amp;AE$1,INDIRECT("Table1[Obergruppe ATC-Code]"),Tabelle3!$A60)</f>
        <v>1</v>
      </c>
      <c r="AF60">
        <f ca="1">COUNTIFS(INDIRECT("Table1[Beginn]"),"&lt;="&amp;AF$1,INDIRECT("Table1[Ende]"),"&gt;="&amp;AF$1,INDIRECT("Table1[Obergruppe ATC-Code]"),Tabelle3!$A60)</f>
        <v>1</v>
      </c>
      <c r="AG60">
        <f ca="1">COUNTIFS(INDIRECT("Table1[Beginn]"),"&lt;="&amp;AG$1,INDIRECT("Table1[Ende]"),"&gt;="&amp;AG$1,INDIRECT("Table1[Obergruppe ATC-Code]"),Tabelle3!$A60)</f>
        <v>1</v>
      </c>
      <c r="AH60">
        <f ca="1">COUNTIFS(INDIRECT("Table1[Beginn]"),"&lt;="&amp;AH$1,INDIRECT("Table1[Ende]"),"&gt;="&amp;AH$1,INDIRECT("Table1[Obergruppe ATC-Code]"),Tabelle3!$A60)</f>
        <v>0</v>
      </c>
      <c r="AI60">
        <f ca="1">COUNTIFS(INDIRECT("Table1[Beginn]"),"&lt;="&amp;AI$1,INDIRECT("Table1[Ende]"),"&gt;="&amp;AI$1,INDIRECT("Table1[Obergruppe ATC-Code]"),Tabelle3!$A60)</f>
        <v>0</v>
      </c>
      <c r="AJ60">
        <f ca="1">COUNTIFS(INDIRECT("Table1[Beginn]"),"&lt;="&amp;AJ$1,INDIRECT("Table1[Ende]"),"&gt;="&amp;AJ$1,INDIRECT("Table1[Obergruppe ATC-Code]"),Tabelle3!$A60)</f>
        <v>0</v>
      </c>
      <c r="AK60">
        <f ca="1">COUNTIFS(INDIRECT("Table1[Beginn]"),"&lt;="&amp;AK$1,INDIRECT("Table1[Ende]"),"&gt;="&amp;AK$1,INDIRECT("Table1[Obergruppe ATC-Code]"),Tabelle3!$A60)</f>
        <v>0</v>
      </c>
      <c r="AL60">
        <f ca="1">COUNTIFS(INDIRECT("Table1[Beginn]"),"&lt;="&amp;AL$1,INDIRECT("Table1[Ende]"),"&gt;="&amp;AL$1,INDIRECT("Table1[Obergruppe ATC-Code]"),Tabelle3!$A60)</f>
        <v>0</v>
      </c>
      <c r="AM60">
        <f ca="1">COUNTIFS(INDIRECT("Table1[Beginn]"),"&lt;="&amp;AM$1,INDIRECT("Table1[Ende]"),"&gt;="&amp;AM$1,INDIRECT("Table1[Obergruppe ATC-Code]"),Tabelle3!$A60)</f>
        <v>4</v>
      </c>
      <c r="AN60">
        <f ca="1">COUNTIFS(INDIRECT("Table1[Beginn]"),"&lt;="&amp;AN$1,INDIRECT("Table1[Ende]"),"&gt;="&amp;AN$1,INDIRECT("Table1[Obergruppe ATC-Code]"),Tabelle3!$A60)</f>
        <v>4</v>
      </c>
      <c r="AO60">
        <f ca="1">COUNTIFS(INDIRECT("Table1[Beginn]"),"&lt;="&amp;AO$1,INDIRECT("Table1[Ende]"),"&gt;="&amp;AO$1,INDIRECT("Table1[Obergruppe ATC-Code]"),Tabelle3!$A60)</f>
        <v>2</v>
      </c>
      <c r="AP60">
        <f ca="1">COUNTIFS(INDIRECT("Table1[Beginn]"),"&lt;="&amp;AP$1,INDIRECT("Table1[Ende]"),"&gt;="&amp;AP$1,INDIRECT("Table1[Obergruppe ATC-Code]"),Tabelle3!$A60)</f>
        <v>2</v>
      </c>
      <c r="AQ60">
        <f ca="1">COUNTIFS(INDIRECT("Table1[Beginn]"),"&lt;="&amp;AQ$1,INDIRECT("Table1[Ende]"),"&gt;="&amp;AQ$1,INDIRECT("Table1[Obergruppe ATC-Code]"),Tabelle3!$A60)</f>
        <v>2</v>
      </c>
      <c r="AR60">
        <f ca="1">COUNTIFS(INDIRECT("Table1[Beginn]"),"&lt;="&amp;AR$1,INDIRECT("Table1[Ende]"),"&gt;="&amp;AR$1,INDIRECT("Table1[Obergruppe ATC-Code]"),Tabelle3!$A60)</f>
        <v>2</v>
      </c>
      <c r="AS60">
        <f ca="1">COUNTIFS(INDIRECT("Table1[Beginn]"),"&lt;="&amp;AS$1,INDIRECT("Table1[Ende]"),"&gt;="&amp;AS$1,INDIRECT("Table1[Obergruppe ATC-Code]"),Tabelle3!$A60)</f>
        <v>2</v>
      </c>
      <c r="AT60">
        <f ca="1">COUNTIFS(INDIRECT("Table1[Beginn]"),"&lt;="&amp;AT$1,INDIRECT("Table1[Ende]"),"&gt;="&amp;AT$1,INDIRECT("Table1[Obergruppe ATC-Code]"),Tabelle3!$A60)</f>
        <v>3</v>
      </c>
      <c r="AU60">
        <f ca="1">COUNTIFS(INDIRECT("Table1[Beginn]"),"&lt;="&amp;AU$1,INDIRECT("Table1[Ende]"),"&gt;="&amp;AU$1,INDIRECT("Table1[Obergruppe ATC-Code]"),Tabelle3!$A60)</f>
        <v>3</v>
      </c>
      <c r="AV60">
        <f ca="1">COUNTIFS(INDIRECT("Table1[Beginn]"),"&lt;="&amp;AV$1,INDIRECT("Table1[Ende]"),"&gt;="&amp;AV$1,INDIRECT("Table1[Obergruppe ATC-Code]"),Tabelle3!$A60)</f>
        <v>3</v>
      </c>
      <c r="AW60">
        <f ca="1">COUNTIFS(INDIRECT("Table1[Beginn]"),"&lt;="&amp;AW$1,INDIRECT("Table1[Ende]"),"&gt;="&amp;AW$1,INDIRECT("Table1[Obergruppe ATC-Code]"),Tabelle3!$A60)</f>
        <v>2</v>
      </c>
      <c r="AX60">
        <f ca="1">COUNTIFS(INDIRECT("Table1[Beginn]"),"&lt;="&amp;AX$1,INDIRECT("Table1[Ende]"),"&gt;="&amp;AX$1,INDIRECT("Table1[Obergruppe ATC-Code]"),Tabelle3!$A60)</f>
        <v>2</v>
      </c>
      <c r="AY60">
        <f ca="1">COUNTIFS(INDIRECT("Table1[Beginn]"),"&lt;="&amp;AY$1,INDIRECT("Table1[Ende]"),"&gt;="&amp;AY$1,INDIRECT("Table1[Obergruppe ATC-Code]"),Tabelle3!$A60)</f>
        <v>1</v>
      </c>
      <c r="AZ60">
        <f ca="1">COUNTIFS(INDIRECT("Table1[Beginn]"),"&lt;="&amp;AZ$1,INDIRECT("Table1[Ende]"),"&gt;="&amp;AZ$1,INDIRECT("Table1[Obergruppe ATC-Code]"),Tabelle3!$A60)</f>
        <v>1</v>
      </c>
      <c r="BA60">
        <f ca="1">COUNTIFS(INDIRECT("Table1[Beginn]"),"&lt;="&amp;BA$1,INDIRECT("Table1[Ende]"),"&gt;="&amp;BA$1,INDIRECT("Table1[Obergruppe ATC-Code]"),Tabelle3!$A60)</f>
        <v>1</v>
      </c>
      <c r="BB60">
        <f ca="1">COUNTIFS(INDIRECT("Table1[Beginn]"),"&lt;="&amp;BB$1,INDIRECT("Table1[Ende]"),"&gt;="&amp;BB$1,INDIRECT("Table1[Obergruppe ATC-Code]"),Tabelle3!$A60)</f>
        <v>1</v>
      </c>
      <c r="BC60">
        <f ca="1">COUNTIFS(INDIRECT("Table1[Beginn]"),"&lt;="&amp;BC$1,INDIRECT("Table1[Ende]"),"&gt;="&amp;BC$1,INDIRECT("Table1[Obergruppe ATC-Code]"),Tabelle3!$A60)</f>
        <v>1</v>
      </c>
      <c r="BD60">
        <f ca="1">COUNTIFS(INDIRECT("Table1[Beginn]"),"&lt;="&amp;BD$1,INDIRECT("Table1[Ende]"),"&gt;="&amp;BD$1,INDIRECT("Table1[Obergruppe ATC-Code]"),Tabelle3!$A60)</f>
        <v>3</v>
      </c>
      <c r="BE60">
        <f ca="1">COUNTIFS(INDIRECT("Table1[Beginn]"),"&lt;="&amp;BE$1,INDIRECT("Table1[Ende]"),"&gt;="&amp;BE$1,INDIRECT("Table1[Obergruppe ATC-Code]"),Tabelle3!$A60)</f>
        <v>5</v>
      </c>
      <c r="BF60">
        <f ca="1">COUNTIFS(INDIRECT("Table1[Beginn]"),"&lt;="&amp;BF$1,INDIRECT("Table1[Ende]"),"&gt;="&amp;BF$1,INDIRECT("Table1[Obergruppe ATC-Code]"),Tabelle3!$A60)</f>
        <v>5</v>
      </c>
      <c r="BG60">
        <f ca="1">COUNTIFS(INDIRECT("Table1[Beginn]"),"&lt;="&amp;BG$1,INDIRECT("Table1[Ende]"),"&gt;="&amp;BG$1,INDIRECT("Table1[Obergruppe ATC-Code]"),Tabelle3!$A60)</f>
        <v>7</v>
      </c>
      <c r="BH60">
        <f ca="1">COUNTIFS(INDIRECT("Table1[Beginn]"),"&lt;="&amp;BH$1,INDIRECT("Table1[Ende]"),"&gt;="&amp;BH$1,INDIRECT("Table1[Obergruppe ATC-Code]"),Tabelle3!$A60)</f>
        <v>6</v>
      </c>
      <c r="BI60">
        <f ca="1">COUNTIFS(INDIRECT("Table1[Beginn]"),"&lt;="&amp;BI$1,INDIRECT("Table1[Ende]"),"&gt;="&amp;BI$1,INDIRECT("Table1[Obergruppe ATC-Code]"),Tabelle3!$A60)</f>
        <v>6</v>
      </c>
      <c r="BJ60">
        <f ca="1">COUNTIFS(INDIRECT("Table1[Beginn]"),"&lt;="&amp;BJ$1,INDIRECT("Table1[Ende]"),"&gt;="&amp;BJ$1,INDIRECT("Table1[Obergruppe ATC-Code]"),Tabelle3!$A60)</f>
        <v>10</v>
      </c>
      <c r="BK60">
        <f ca="1">COUNTIFS(INDIRECT("Table1[Beginn]"),"&lt;="&amp;BK$1,INDIRECT("Table1[Ende]"),"&gt;="&amp;BK$1,INDIRECT("Table1[Obergruppe ATC-Code]"),Tabelle3!$A60)</f>
        <v>14</v>
      </c>
      <c r="BL60">
        <f ca="1">COUNTIFS(INDIRECT("Table1[Beginn]"),"&lt;="&amp;BL$1,INDIRECT("Table1[Ende]"),"&gt;="&amp;BL$1,INDIRECT("Table1[Obergruppe ATC-Code]"),Tabelle3!$A60)</f>
        <v>14</v>
      </c>
      <c r="BM60">
        <f ca="1">COUNTIFS(INDIRECT("Table1[Beginn]"),"&lt;="&amp;BM$1,INDIRECT("Table1[Ende]"),"&gt;="&amp;BM$1,INDIRECT("Table1[Obergruppe ATC-Code]"),Tabelle3!$A60)</f>
        <v>13</v>
      </c>
      <c r="BN60">
        <f ca="1">COUNTIFS(INDIRECT("Table1[Beginn]"),"&lt;="&amp;BN$1,INDIRECT("Table1[Ende]"),"&gt;="&amp;BN$1,INDIRECT("Table1[Obergruppe ATC-Code]"),Tabelle3!$A60)</f>
        <v>13</v>
      </c>
      <c r="BO60">
        <f ca="1">COUNTIFS(INDIRECT("Table1[Beginn]"),"&lt;="&amp;BO$1,INDIRECT("Table1[Ende]"),"&gt;="&amp;BO$1,INDIRECT("Table1[Obergruppe ATC-Code]"),Tabelle3!$A60)</f>
        <v>12</v>
      </c>
      <c r="BP60">
        <f ca="1">COUNTIFS(INDIRECT("Table1[Beginn]"),"&lt;="&amp;BP$1,INDIRECT("Table1[Ende]"),"&gt;="&amp;BP$1,INDIRECT("Table1[Obergruppe ATC-Code]"),Tabelle3!$A60)</f>
        <v>13</v>
      </c>
      <c r="BQ60">
        <f ca="1">COUNTIFS(INDIRECT("Table1[Beginn]"),"&lt;="&amp;BQ$1,INDIRECT("Table1[Ende]"),"&gt;="&amp;BQ$1,INDIRECT("Table1[Obergruppe ATC-Code]"),Tabelle3!$A60)</f>
        <v>12</v>
      </c>
      <c r="BR60">
        <f ca="1">COUNTIFS(INDIRECT("Table1[Beginn]"),"&lt;="&amp;BR$1,INDIRECT("Table1[Ende]"),"&gt;="&amp;BR$1,INDIRECT("Table1[Obergruppe ATC-Code]"),Tabelle3!$A60)</f>
        <v>9</v>
      </c>
      <c r="BS60">
        <f ca="1">COUNTIFS(INDIRECT("Table1[Beginn]"),"&lt;="&amp;BS$1,INDIRECT("Table1[Ende]"),"&gt;="&amp;BS$1,INDIRECT("Table1[Obergruppe ATC-Code]"),Tabelle3!$A60)</f>
        <v>8</v>
      </c>
      <c r="BT60">
        <f ca="1">COUNTIFS(INDIRECT("Table1[Beginn]"),"&lt;="&amp;BT$1,INDIRECT("Table1[Ende]"),"&gt;="&amp;BT$1,INDIRECT("Table1[Obergruppe ATC-Code]"),Tabelle3!$A60)</f>
        <v>8</v>
      </c>
      <c r="BU60">
        <f ca="1">COUNTIFS(INDIRECT("Table1[Beginn]"),"&lt;="&amp;BU$1,INDIRECT("Table1[Ende]"),"&gt;="&amp;BU$1,INDIRECT("Table1[Obergruppe ATC-Code]"),Tabelle3!$A60)</f>
        <v>6</v>
      </c>
      <c r="BV60">
        <f ca="1">COUNTIFS(INDIRECT("Table1[Beginn]"),"&lt;="&amp;BV$1,INDIRECT("Table1[Ende]"),"&gt;="&amp;BV$1,INDIRECT("Table1[Obergruppe ATC-Code]"),Tabelle3!$A60)</f>
        <v>6</v>
      </c>
      <c r="BW60">
        <f ca="1">COUNTIFS(INDIRECT("Table1[Beginn]"),"&lt;="&amp;BW$1,INDIRECT("Table1[Ende]"),"&gt;="&amp;BW$1,INDIRECT("Table1[Obergruppe ATC-Code]"),Tabelle3!$A60)</f>
        <v>7</v>
      </c>
      <c r="BX60">
        <f ca="1">COUNTIFS(INDIRECT("Table1[Beginn]"),"&lt;="&amp;BX$1,INDIRECT("Table1[Ende]"),"&gt;="&amp;BX$1,INDIRECT("Table1[Obergruppe ATC-Code]"),Tabelle3!$A60)</f>
        <v>5</v>
      </c>
      <c r="BY60">
        <f ca="1">COUNTIFS(INDIRECT("Table1[Beginn]"),"&lt;="&amp;BY$1,INDIRECT("Table1[Ende]"),"&gt;="&amp;BY$1,INDIRECT("Table1[Obergruppe ATC-Code]"),Tabelle3!$A60)</f>
        <v>4</v>
      </c>
      <c r="BZ60">
        <f ca="1">COUNTIFS(INDIRECT("Table1[Beginn]"),"&lt;="&amp;BZ$1,INDIRECT("Table1[Ende]"),"&gt;="&amp;BZ$1,INDIRECT("Table1[Obergruppe ATC-Code]"),Tabelle3!$A60)</f>
        <v>3</v>
      </c>
      <c r="CA60">
        <f ca="1">COUNTIFS(INDIRECT("Table1[Beginn]"),"&lt;="&amp;CA$1,INDIRECT("Table1[Ende]"),"&gt;="&amp;CA$1,INDIRECT("Table1[Obergruppe ATC-Code]"),Tabelle3!$A60)</f>
        <v>3</v>
      </c>
      <c r="CB60">
        <f ca="1">COUNTIFS(INDIRECT("Table1[Beginn]"),"&lt;="&amp;CB$1,INDIRECT("Table1[Ende]"),"&gt;="&amp;CB$1,INDIRECT("Table1[Obergruppe ATC-Code]"),Tabelle3!$A60)</f>
        <v>2</v>
      </c>
      <c r="CC60">
        <f ca="1">COUNTIFS(INDIRECT("Table1[Beginn]"),"&lt;="&amp;CC$1,INDIRECT("Table1[Ende]"),"&gt;="&amp;CC$1,INDIRECT("Table1[Obergruppe ATC-Code]"),Tabelle3!$A60)</f>
        <v>2</v>
      </c>
      <c r="CD60">
        <f ca="1">COUNTIFS(INDIRECT("Table1[Beginn]"),"&lt;="&amp;CD$1,INDIRECT("Table1[Ende]"),"&gt;="&amp;CD$1,INDIRECT("Table1[Obergruppe ATC-Code]"),Tabelle3!$A60)</f>
        <v>3</v>
      </c>
      <c r="CE60">
        <f ca="1">COUNTIFS(INDIRECT("Table1[Beginn]"),"&lt;="&amp;CE$1,INDIRECT("Table1[Ende]"),"&gt;="&amp;CE$1,INDIRECT("Table1[Obergruppe ATC-Code]"),Tabelle3!$A60)</f>
        <v>3</v>
      </c>
      <c r="CF60">
        <f ca="1">COUNTIFS(INDIRECT("Table1[Beginn]"),"&lt;="&amp;CF$1,INDIRECT("Table1[Ende]"),"&gt;="&amp;CF$1,INDIRECT("Table1[Obergruppe ATC-Code]"),Tabelle3!$A60)</f>
        <v>2</v>
      </c>
      <c r="CG60">
        <f ca="1">COUNTIFS(INDIRECT("Table1[Beginn]"),"&lt;="&amp;CG$1,INDIRECT("Table1[Ende]"),"&gt;="&amp;CG$1,INDIRECT("Table1[Obergruppe ATC-Code]"),Tabelle3!$A60)</f>
        <v>2</v>
      </c>
      <c r="CH60">
        <f ca="1">COUNTIFS(INDIRECT("Table1[Beginn]"),"&lt;="&amp;CH$1,INDIRECT("Table1[Ende]"),"&gt;="&amp;CH$1,INDIRECT("Table1[Obergruppe ATC-Code]"),Tabelle3!$A60)</f>
        <v>2</v>
      </c>
      <c r="CI60">
        <f ca="1">COUNTIFS(INDIRECT("Table1[Beginn]"),"&lt;="&amp;CI$1,INDIRECT("Table1[Ende]"),"&gt;="&amp;CI$1,INDIRECT("Table1[Obergruppe ATC-Code]"),Tabelle3!$A60)</f>
        <v>2</v>
      </c>
      <c r="CJ60">
        <f ca="1">COUNTIFS(INDIRECT("Table1[Beginn]"),"&lt;="&amp;CJ$1,INDIRECT("Table1[Ende]"),"&gt;="&amp;CJ$1,INDIRECT("Table1[Obergruppe ATC-Code]"),Tabelle3!$A60)</f>
        <v>2</v>
      </c>
      <c r="CK60">
        <f ca="1">COUNTIFS(INDIRECT("Table1[Beginn]"),"&lt;="&amp;CK$1,INDIRECT("Table1[Ende]"),"&gt;="&amp;CK$1,INDIRECT("Table1[Obergruppe ATC-Code]"),Tabelle3!$A60)</f>
        <v>2</v>
      </c>
      <c r="CL60">
        <f ca="1">COUNTIFS(INDIRECT("Table1[Beginn]"),"&lt;="&amp;CL$1,INDIRECT("Table1[Ende]"),"&gt;="&amp;CL$1,INDIRECT("Table1[Obergruppe ATC-Code]"),Tabelle3!$A60)</f>
        <v>2</v>
      </c>
      <c r="CM60">
        <f ca="1">COUNTIFS(INDIRECT("Table1[Beginn]"),"&lt;="&amp;CM$1,INDIRECT("Table1[Ende]"),"&gt;="&amp;CM$1,INDIRECT("Table1[Obergruppe ATC-Code]"),Tabelle3!$A60)</f>
        <v>2</v>
      </c>
      <c r="CN60">
        <f ca="1">COUNTIFS(INDIRECT("Table1[Beginn]"),"&lt;="&amp;CN$1,INDIRECT("Table1[Ende]"),"&gt;="&amp;CN$1,INDIRECT("Table1[Obergruppe ATC-Code]"),Tabelle3!$A60)</f>
        <v>2</v>
      </c>
      <c r="CO60">
        <f ca="1">COUNTIFS(INDIRECT("Table1[Beginn]"),"&lt;="&amp;CO$1,INDIRECT("Table1[Ende]"),"&gt;="&amp;CO$1,INDIRECT("Table1[Obergruppe ATC-Code]"),Tabelle3!$A60)</f>
        <v>2</v>
      </c>
      <c r="CP60">
        <f ca="1">COUNTIFS(INDIRECT("Table1[Beginn]"),"&lt;="&amp;CP$1,INDIRECT("Table1[Ende]"),"&gt;="&amp;CP$1,INDIRECT("Table1[Obergruppe ATC-Code]"),Tabelle3!$A60)</f>
        <v>2</v>
      </c>
      <c r="CQ60">
        <f ca="1">COUNTIFS(INDIRECT("Table1[Beginn]"),"&lt;="&amp;CQ$1,INDIRECT("Table1[Ende]"),"&gt;="&amp;CQ$1,INDIRECT("Table1[Obergruppe ATC-Code]"),Tabelle3!$A60)</f>
        <v>2</v>
      </c>
      <c r="CR60">
        <f ca="1">COUNTIFS(INDIRECT("Table1[Beginn]"),"&lt;="&amp;CR$1,INDIRECT("Table1[Ende]"),"&gt;="&amp;CR$1,INDIRECT("Table1[Obergruppe ATC-Code]"),Tabelle3!$A60)</f>
        <v>2</v>
      </c>
    </row>
    <row r="61" spans="1:96" ht="18">
      <c r="A61" s="9" t="s">
        <v>4277</v>
      </c>
      <c r="B61" s="10" t="s">
        <v>6891</v>
      </c>
      <c r="C61">
        <f ca="1">COUNTIFS(INDIRECT("Table1[Beginn]"),"&lt;="&amp;C$1,INDIRECT("Table1[Ende]"),"&gt;="&amp;C$1,INDIRECT("Table1[Obergruppe ATC-Code]"),Tabelle3!$A61)</f>
        <v>0</v>
      </c>
      <c r="D61">
        <f ca="1">COUNTIFS(INDIRECT("Table1[Beginn]"),"&lt;="&amp;D$1,INDIRECT("Table1[Ende]"),"&gt;="&amp;D$1,INDIRECT("Table1[Obergruppe ATC-Code]"),Tabelle3!$A61)</f>
        <v>0</v>
      </c>
      <c r="E61">
        <f ca="1">COUNTIFS(INDIRECT("Table1[Beginn]"),"&lt;="&amp;E$1,INDIRECT("Table1[Ende]"),"&gt;="&amp;E$1,INDIRECT("Table1[Obergruppe ATC-Code]"),Tabelle3!$A61)</f>
        <v>0</v>
      </c>
      <c r="F61">
        <f ca="1">COUNTIFS(INDIRECT("Table1[Beginn]"),"&lt;="&amp;F$1,INDIRECT("Table1[Ende]"),"&gt;="&amp;F$1,INDIRECT("Table1[Obergruppe ATC-Code]"),Tabelle3!$A61)</f>
        <v>0</v>
      </c>
      <c r="G61">
        <f ca="1">COUNTIFS(INDIRECT("Table1[Beginn]"),"&lt;="&amp;G$1,INDIRECT("Table1[Ende]"),"&gt;="&amp;G$1,INDIRECT("Table1[Obergruppe ATC-Code]"),Tabelle3!$A61)</f>
        <v>0</v>
      </c>
      <c r="H61">
        <f ca="1">COUNTIFS(INDIRECT("Table1[Beginn]"),"&lt;="&amp;H$1,INDIRECT("Table1[Ende]"),"&gt;="&amp;H$1,INDIRECT("Table1[Obergruppe ATC-Code]"),Tabelle3!$A61)</f>
        <v>0</v>
      </c>
      <c r="I61">
        <f ca="1">COUNTIFS(INDIRECT("Table1[Beginn]"),"&lt;="&amp;I$1,INDIRECT("Table1[Ende]"),"&gt;="&amp;I$1,INDIRECT("Table1[Obergruppe ATC-Code]"),Tabelle3!$A61)</f>
        <v>0</v>
      </c>
      <c r="J61">
        <f ca="1">COUNTIFS(INDIRECT("Table1[Beginn]"),"&lt;="&amp;J$1,INDIRECT("Table1[Ende]"),"&gt;="&amp;J$1,INDIRECT("Table1[Obergruppe ATC-Code]"),Tabelle3!$A61)</f>
        <v>1</v>
      </c>
      <c r="K61">
        <f ca="1">COUNTIFS(INDIRECT("Table1[Beginn]"),"&lt;="&amp;K$1,INDIRECT("Table1[Ende]"),"&gt;="&amp;K$1,INDIRECT("Table1[Obergruppe ATC-Code]"),Tabelle3!$A61)</f>
        <v>1</v>
      </c>
      <c r="L61">
        <f ca="1">COUNTIFS(INDIRECT("Table1[Beginn]"),"&lt;="&amp;L$1,INDIRECT("Table1[Ende]"),"&gt;="&amp;L$1,INDIRECT("Table1[Obergruppe ATC-Code]"),Tabelle3!$A61)</f>
        <v>1</v>
      </c>
      <c r="M61">
        <f ca="1">COUNTIFS(INDIRECT("Table1[Beginn]"),"&lt;="&amp;M$1,INDIRECT("Table1[Ende]"),"&gt;="&amp;M$1,INDIRECT("Table1[Obergruppe ATC-Code]"),Tabelle3!$A61)</f>
        <v>0</v>
      </c>
      <c r="N61">
        <f ca="1">COUNTIFS(INDIRECT("Table1[Beginn]"),"&lt;="&amp;N$1,INDIRECT("Table1[Ende]"),"&gt;="&amp;N$1,INDIRECT("Table1[Obergruppe ATC-Code]"),Tabelle3!$A61)</f>
        <v>0</v>
      </c>
      <c r="O61">
        <f ca="1">COUNTIFS(INDIRECT("Table1[Beginn]"),"&lt;="&amp;O$1,INDIRECT("Table1[Ende]"),"&gt;="&amp;O$1,INDIRECT("Table1[Obergruppe ATC-Code]"),Tabelle3!$A61)</f>
        <v>0</v>
      </c>
      <c r="P61">
        <f ca="1">COUNTIFS(INDIRECT("Table1[Beginn]"),"&lt;="&amp;P$1,INDIRECT("Table1[Ende]"),"&gt;="&amp;P$1,INDIRECT("Table1[Obergruppe ATC-Code]"),Tabelle3!$A61)</f>
        <v>0</v>
      </c>
      <c r="Q61">
        <f ca="1">COUNTIFS(INDIRECT("Table1[Beginn]"),"&lt;="&amp;Q$1,INDIRECT("Table1[Ende]"),"&gt;="&amp;Q$1,INDIRECT("Table1[Obergruppe ATC-Code]"),Tabelle3!$A61)</f>
        <v>0</v>
      </c>
      <c r="R61">
        <f ca="1">COUNTIFS(INDIRECT("Table1[Beginn]"),"&lt;="&amp;R$1,INDIRECT("Table1[Ende]"),"&gt;="&amp;R$1,INDIRECT("Table1[Obergruppe ATC-Code]"),Tabelle3!$A61)</f>
        <v>0</v>
      </c>
      <c r="S61">
        <f ca="1">COUNTIFS(INDIRECT("Table1[Beginn]"),"&lt;="&amp;S$1,INDIRECT("Table1[Ende]"),"&gt;="&amp;S$1,INDIRECT("Table1[Obergruppe ATC-Code]"),Tabelle3!$A61)</f>
        <v>0</v>
      </c>
      <c r="T61">
        <f ca="1">COUNTIFS(INDIRECT("Table1[Beginn]"),"&lt;="&amp;T$1,INDIRECT("Table1[Ende]"),"&gt;="&amp;T$1,INDIRECT("Table1[Obergruppe ATC-Code]"),Tabelle3!$A61)</f>
        <v>0</v>
      </c>
      <c r="U61">
        <f ca="1">COUNTIFS(INDIRECT("Table1[Beginn]"),"&lt;="&amp;U$1,INDIRECT("Table1[Ende]"),"&gt;="&amp;U$1,INDIRECT("Table1[Obergruppe ATC-Code]"),Tabelle3!$A61)</f>
        <v>0</v>
      </c>
      <c r="V61">
        <f ca="1">COUNTIFS(INDIRECT("Table1[Beginn]"),"&lt;="&amp;V$1,INDIRECT("Table1[Ende]"),"&gt;="&amp;V$1,INDIRECT("Table1[Obergruppe ATC-Code]"),Tabelle3!$A61)</f>
        <v>0</v>
      </c>
      <c r="W61">
        <f ca="1">COUNTIFS(INDIRECT("Table1[Beginn]"),"&lt;="&amp;W$1,INDIRECT("Table1[Ende]"),"&gt;="&amp;W$1,INDIRECT("Table1[Obergruppe ATC-Code]"),Tabelle3!$A61)</f>
        <v>0</v>
      </c>
      <c r="X61">
        <f ca="1">COUNTIFS(INDIRECT("Table1[Beginn]"),"&lt;="&amp;X$1,INDIRECT("Table1[Ende]"),"&gt;="&amp;X$1,INDIRECT("Table1[Obergruppe ATC-Code]"),Tabelle3!$A61)</f>
        <v>2</v>
      </c>
      <c r="Y61">
        <f ca="1">COUNTIFS(INDIRECT("Table1[Beginn]"),"&lt;="&amp;Y$1,INDIRECT("Table1[Ende]"),"&gt;="&amp;Y$1,INDIRECT("Table1[Obergruppe ATC-Code]"),Tabelle3!$A61)</f>
        <v>2</v>
      </c>
      <c r="Z61">
        <f ca="1">COUNTIFS(INDIRECT("Table1[Beginn]"),"&lt;="&amp;Z$1,INDIRECT("Table1[Ende]"),"&gt;="&amp;Z$1,INDIRECT("Table1[Obergruppe ATC-Code]"),Tabelle3!$A61)</f>
        <v>2</v>
      </c>
      <c r="AA61">
        <f ca="1">COUNTIFS(INDIRECT("Table1[Beginn]"),"&lt;="&amp;AA$1,INDIRECT("Table1[Ende]"),"&gt;="&amp;AA$1,INDIRECT("Table1[Obergruppe ATC-Code]"),Tabelle3!$A61)</f>
        <v>1</v>
      </c>
      <c r="AB61">
        <f ca="1">COUNTIFS(INDIRECT("Table1[Beginn]"),"&lt;="&amp;AB$1,INDIRECT("Table1[Ende]"),"&gt;="&amp;AB$1,INDIRECT("Table1[Obergruppe ATC-Code]"),Tabelle3!$A61)</f>
        <v>0</v>
      </c>
      <c r="AC61">
        <f ca="1">COUNTIFS(INDIRECT("Table1[Beginn]"),"&lt;="&amp;AC$1,INDIRECT("Table1[Ende]"),"&gt;="&amp;AC$1,INDIRECT("Table1[Obergruppe ATC-Code]"),Tabelle3!$A61)</f>
        <v>0</v>
      </c>
      <c r="AD61">
        <f ca="1">COUNTIFS(INDIRECT("Table1[Beginn]"),"&lt;="&amp;AD$1,INDIRECT("Table1[Ende]"),"&gt;="&amp;AD$1,INDIRECT("Table1[Obergruppe ATC-Code]"),Tabelle3!$A61)</f>
        <v>0</v>
      </c>
      <c r="AE61">
        <f ca="1">COUNTIFS(INDIRECT("Table1[Beginn]"),"&lt;="&amp;AE$1,INDIRECT("Table1[Ende]"),"&gt;="&amp;AE$1,INDIRECT("Table1[Obergruppe ATC-Code]"),Tabelle3!$A61)</f>
        <v>0</v>
      </c>
      <c r="AF61">
        <f ca="1">COUNTIFS(INDIRECT("Table1[Beginn]"),"&lt;="&amp;AF$1,INDIRECT("Table1[Ende]"),"&gt;="&amp;AF$1,INDIRECT("Table1[Obergruppe ATC-Code]"),Tabelle3!$A61)</f>
        <v>0</v>
      </c>
      <c r="AG61">
        <f ca="1">COUNTIFS(INDIRECT("Table1[Beginn]"),"&lt;="&amp;AG$1,INDIRECT("Table1[Ende]"),"&gt;="&amp;AG$1,INDIRECT("Table1[Obergruppe ATC-Code]"),Tabelle3!$A61)</f>
        <v>0</v>
      </c>
      <c r="AH61">
        <f ca="1">COUNTIFS(INDIRECT("Table1[Beginn]"),"&lt;="&amp;AH$1,INDIRECT("Table1[Ende]"),"&gt;="&amp;AH$1,INDIRECT("Table1[Obergruppe ATC-Code]"),Tabelle3!$A61)</f>
        <v>1</v>
      </c>
      <c r="AI61">
        <f ca="1">COUNTIFS(INDIRECT("Table1[Beginn]"),"&lt;="&amp;AI$1,INDIRECT("Table1[Ende]"),"&gt;="&amp;AI$1,INDIRECT("Table1[Obergruppe ATC-Code]"),Tabelle3!$A61)</f>
        <v>1</v>
      </c>
      <c r="AJ61">
        <f ca="1">COUNTIFS(INDIRECT("Table1[Beginn]"),"&lt;="&amp;AJ$1,INDIRECT("Table1[Ende]"),"&gt;="&amp;AJ$1,INDIRECT("Table1[Obergruppe ATC-Code]"),Tabelle3!$A61)</f>
        <v>1</v>
      </c>
      <c r="AK61">
        <f ca="1">COUNTIFS(INDIRECT("Table1[Beginn]"),"&lt;="&amp;AK$1,INDIRECT("Table1[Ende]"),"&gt;="&amp;AK$1,INDIRECT("Table1[Obergruppe ATC-Code]"),Tabelle3!$A61)</f>
        <v>2</v>
      </c>
      <c r="AL61">
        <f ca="1">COUNTIFS(INDIRECT("Table1[Beginn]"),"&lt;="&amp;AL$1,INDIRECT("Table1[Ende]"),"&gt;="&amp;AL$1,INDIRECT("Table1[Obergruppe ATC-Code]"),Tabelle3!$A61)</f>
        <v>3</v>
      </c>
      <c r="AM61">
        <f ca="1">COUNTIFS(INDIRECT("Table1[Beginn]"),"&lt;="&amp;AM$1,INDIRECT("Table1[Ende]"),"&gt;="&amp;AM$1,INDIRECT("Table1[Obergruppe ATC-Code]"),Tabelle3!$A61)</f>
        <v>3</v>
      </c>
      <c r="AN61">
        <f ca="1">COUNTIFS(INDIRECT("Table1[Beginn]"),"&lt;="&amp;AN$1,INDIRECT("Table1[Ende]"),"&gt;="&amp;AN$1,INDIRECT("Table1[Obergruppe ATC-Code]"),Tabelle3!$A61)</f>
        <v>4</v>
      </c>
      <c r="AO61">
        <f ca="1">COUNTIFS(INDIRECT("Table1[Beginn]"),"&lt;="&amp;AO$1,INDIRECT("Table1[Ende]"),"&gt;="&amp;AO$1,INDIRECT("Table1[Obergruppe ATC-Code]"),Tabelle3!$A61)</f>
        <v>4</v>
      </c>
      <c r="AP61">
        <f ca="1">COUNTIFS(INDIRECT("Table1[Beginn]"),"&lt;="&amp;AP$1,INDIRECT("Table1[Ende]"),"&gt;="&amp;AP$1,INDIRECT("Table1[Obergruppe ATC-Code]"),Tabelle3!$A61)</f>
        <v>4</v>
      </c>
      <c r="AQ61">
        <f ca="1">COUNTIFS(INDIRECT("Table1[Beginn]"),"&lt;="&amp;AQ$1,INDIRECT("Table1[Ende]"),"&gt;="&amp;AQ$1,INDIRECT("Table1[Obergruppe ATC-Code]"),Tabelle3!$A61)</f>
        <v>4</v>
      </c>
      <c r="AR61">
        <f ca="1">COUNTIFS(INDIRECT("Table1[Beginn]"),"&lt;="&amp;AR$1,INDIRECT("Table1[Ende]"),"&gt;="&amp;AR$1,INDIRECT("Table1[Obergruppe ATC-Code]"),Tabelle3!$A61)</f>
        <v>4</v>
      </c>
      <c r="AS61">
        <f ca="1">COUNTIFS(INDIRECT("Table1[Beginn]"),"&lt;="&amp;AS$1,INDIRECT("Table1[Ende]"),"&gt;="&amp;AS$1,INDIRECT("Table1[Obergruppe ATC-Code]"),Tabelle3!$A61)</f>
        <v>5</v>
      </c>
      <c r="AT61">
        <f ca="1">COUNTIFS(INDIRECT("Table1[Beginn]"),"&lt;="&amp;AT$1,INDIRECT("Table1[Ende]"),"&gt;="&amp;AT$1,INDIRECT("Table1[Obergruppe ATC-Code]"),Tabelle3!$A61)</f>
        <v>5</v>
      </c>
      <c r="AU61">
        <f ca="1">COUNTIFS(INDIRECT("Table1[Beginn]"),"&lt;="&amp;AU$1,INDIRECT("Table1[Ende]"),"&gt;="&amp;AU$1,INDIRECT("Table1[Obergruppe ATC-Code]"),Tabelle3!$A61)</f>
        <v>4</v>
      </c>
      <c r="AV61">
        <f ca="1">COUNTIFS(INDIRECT("Table1[Beginn]"),"&lt;="&amp;AV$1,INDIRECT("Table1[Ende]"),"&gt;="&amp;AV$1,INDIRECT("Table1[Obergruppe ATC-Code]"),Tabelle3!$A61)</f>
        <v>5</v>
      </c>
      <c r="AW61">
        <f ca="1">COUNTIFS(INDIRECT("Table1[Beginn]"),"&lt;="&amp;AW$1,INDIRECT("Table1[Ende]"),"&gt;="&amp;AW$1,INDIRECT("Table1[Obergruppe ATC-Code]"),Tabelle3!$A61)</f>
        <v>4</v>
      </c>
      <c r="AX61">
        <f ca="1">COUNTIFS(INDIRECT("Table1[Beginn]"),"&lt;="&amp;AX$1,INDIRECT("Table1[Ende]"),"&gt;="&amp;AX$1,INDIRECT("Table1[Obergruppe ATC-Code]"),Tabelle3!$A61)</f>
        <v>4</v>
      </c>
      <c r="AY61">
        <f ca="1">COUNTIFS(INDIRECT("Table1[Beginn]"),"&lt;="&amp;AY$1,INDIRECT("Table1[Ende]"),"&gt;="&amp;AY$1,INDIRECT("Table1[Obergruppe ATC-Code]"),Tabelle3!$A61)</f>
        <v>5</v>
      </c>
      <c r="AZ61">
        <f ca="1">COUNTIFS(INDIRECT("Table1[Beginn]"),"&lt;="&amp;AZ$1,INDIRECT("Table1[Ende]"),"&gt;="&amp;AZ$1,INDIRECT("Table1[Obergruppe ATC-Code]"),Tabelle3!$A61)</f>
        <v>5</v>
      </c>
      <c r="BA61">
        <f ca="1">COUNTIFS(INDIRECT("Table1[Beginn]"),"&lt;="&amp;BA$1,INDIRECT("Table1[Ende]"),"&gt;="&amp;BA$1,INDIRECT("Table1[Obergruppe ATC-Code]"),Tabelle3!$A61)</f>
        <v>5</v>
      </c>
      <c r="BB61">
        <f ca="1">COUNTIFS(INDIRECT("Table1[Beginn]"),"&lt;="&amp;BB$1,INDIRECT("Table1[Ende]"),"&gt;="&amp;BB$1,INDIRECT("Table1[Obergruppe ATC-Code]"),Tabelle3!$A61)</f>
        <v>5</v>
      </c>
      <c r="BC61">
        <f ca="1">COUNTIFS(INDIRECT("Table1[Beginn]"),"&lt;="&amp;BC$1,INDIRECT("Table1[Ende]"),"&gt;="&amp;BC$1,INDIRECT("Table1[Obergruppe ATC-Code]"),Tabelle3!$A61)</f>
        <v>4</v>
      </c>
      <c r="BD61">
        <f ca="1">COUNTIFS(INDIRECT("Table1[Beginn]"),"&lt;="&amp;BD$1,INDIRECT("Table1[Ende]"),"&gt;="&amp;BD$1,INDIRECT("Table1[Obergruppe ATC-Code]"),Tabelle3!$A61)</f>
        <v>4</v>
      </c>
      <c r="BE61">
        <f ca="1">COUNTIFS(INDIRECT("Table1[Beginn]"),"&lt;="&amp;BE$1,INDIRECT("Table1[Ende]"),"&gt;="&amp;BE$1,INDIRECT("Table1[Obergruppe ATC-Code]"),Tabelle3!$A61)</f>
        <v>4</v>
      </c>
      <c r="BF61">
        <f ca="1">COUNTIFS(INDIRECT("Table1[Beginn]"),"&lt;="&amp;BF$1,INDIRECT("Table1[Ende]"),"&gt;="&amp;BF$1,INDIRECT("Table1[Obergruppe ATC-Code]"),Tabelle3!$A61)</f>
        <v>4</v>
      </c>
      <c r="BG61">
        <f ca="1">COUNTIFS(INDIRECT("Table1[Beginn]"),"&lt;="&amp;BG$1,INDIRECT("Table1[Ende]"),"&gt;="&amp;BG$1,INDIRECT("Table1[Obergruppe ATC-Code]"),Tabelle3!$A61)</f>
        <v>4</v>
      </c>
      <c r="BH61">
        <f ca="1">COUNTIFS(INDIRECT("Table1[Beginn]"),"&lt;="&amp;BH$1,INDIRECT("Table1[Ende]"),"&gt;="&amp;BH$1,INDIRECT("Table1[Obergruppe ATC-Code]"),Tabelle3!$A61)</f>
        <v>4</v>
      </c>
      <c r="BI61">
        <f ca="1">COUNTIFS(INDIRECT("Table1[Beginn]"),"&lt;="&amp;BI$1,INDIRECT("Table1[Ende]"),"&gt;="&amp;BI$1,INDIRECT("Table1[Obergruppe ATC-Code]"),Tabelle3!$A61)</f>
        <v>3</v>
      </c>
      <c r="BJ61">
        <f ca="1">COUNTIFS(INDIRECT("Table1[Beginn]"),"&lt;="&amp;BJ$1,INDIRECT("Table1[Ende]"),"&gt;="&amp;BJ$1,INDIRECT("Table1[Obergruppe ATC-Code]"),Tabelle3!$A61)</f>
        <v>3</v>
      </c>
      <c r="BK61">
        <f ca="1">COUNTIFS(INDIRECT("Table1[Beginn]"),"&lt;="&amp;BK$1,INDIRECT("Table1[Ende]"),"&gt;="&amp;BK$1,INDIRECT("Table1[Obergruppe ATC-Code]"),Tabelle3!$A61)</f>
        <v>3</v>
      </c>
      <c r="BL61">
        <f ca="1">COUNTIFS(INDIRECT("Table1[Beginn]"),"&lt;="&amp;BL$1,INDIRECT("Table1[Ende]"),"&gt;="&amp;BL$1,INDIRECT("Table1[Obergruppe ATC-Code]"),Tabelle3!$A61)</f>
        <v>3</v>
      </c>
      <c r="BM61">
        <f ca="1">COUNTIFS(INDIRECT("Table1[Beginn]"),"&lt;="&amp;BM$1,INDIRECT("Table1[Ende]"),"&gt;="&amp;BM$1,INDIRECT("Table1[Obergruppe ATC-Code]"),Tabelle3!$A61)</f>
        <v>4</v>
      </c>
      <c r="BN61">
        <f ca="1">COUNTIFS(INDIRECT("Table1[Beginn]"),"&lt;="&amp;BN$1,INDIRECT("Table1[Ende]"),"&gt;="&amp;BN$1,INDIRECT("Table1[Obergruppe ATC-Code]"),Tabelle3!$A61)</f>
        <v>3</v>
      </c>
      <c r="BO61">
        <f ca="1">COUNTIFS(INDIRECT("Table1[Beginn]"),"&lt;="&amp;BO$1,INDIRECT("Table1[Ende]"),"&gt;="&amp;BO$1,INDIRECT("Table1[Obergruppe ATC-Code]"),Tabelle3!$A61)</f>
        <v>2</v>
      </c>
      <c r="BP61">
        <f ca="1">COUNTIFS(INDIRECT("Table1[Beginn]"),"&lt;="&amp;BP$1,INDIRECT("Table1[Ende]"),"&gt;="&amp;BP$1,INDIRECT("Table1[Obergruppe ATC-Code]"),Tabelle3!$A61)</f>
        <v>2</v>
      </c>
      <c r="BQ61">
        <f ca="1">COUNTIFS(INDIRECT("Table1[Beginn]"),"&lt;="&amp;BQ$1,INDIRECT("Table1[Ende]"),"&gt;="&amp;BQ$1,INDIRECT("Table1[Obergruppe ATC-Code]"),Tabelle3!$A61)</f>
        <v>2</v>
      </c>
      <c r="BR61">
        <f ca="1">COUNTIFS(INDIRECT("Table1[Beginn]"),"&lt;="&amp;BR$1,INDIRECT("Table1[Ende]"),"&gt;="&amp;BR$1,INDIRECT("Table1[Obergruppe ATC-Code]"),Tabelle3!$A61)</f>
        <v>2</v>
      </c>
      <c r="BS61">
        <f ca="1">COUNTIFS(INDIRECT("Table1[Beginn]"),"&lt;="&amp;BS$1,INDIRECT("Table1[Ende]"),"&gt;="&amp;BS$1,INDIRECT("Table1[Obergruppe ATC-Code]"),Tabelle3!$A61)</f>
        <v>1</v>
      </c>
      <c r="BT61">
        <f ca="1">COUNTIFS(INDIRECT("Table1[Beginn]"),"&lt;="&amp;BT$1,INDIRECT("Table1[Ende]"),"&gt;="&amp;BT$1,INDIRECT("Table1[Obergruppe ATC-Code]"),Tabelle3!$A61)</f>
        <v>1</v>
      </c>
      <c r="BU61">
        <f ca="1">COUNTIFS(INDIRECT("Table1[Beginn]"),"&lt;="&amp;BU$1,INDIRECT("Table1[Ende]"),"&gt;="&amp;BU$1,INDIRECT("Table1[Obergruppe ATC-Code]"),Tabelle3!$A61)</f>
        <v>1</v>
      </c>
      <c r="BV61">
        <f ca="1">COUNTIFS(INDIRECT("Table1[Beginn]"),"&lt;="&amp;BV$1,INDIRECT("Table1[Ende]"),"&gt;="&amp;BV$1,INDIRECT("Table1[Obergruppe ATC-Code]"),Tabelle3!$A61)</f>
        <v>1</v>
      </c>
      <c r="BW61">
        <f ca="1">COUNTIFS(INDIRECT("Table1[Beginn]"),"&lt;="&amp;BW$1,INDIRECT("Table1[Ende]"),"&gt;="&amp;BW$1,INDIRECT("Table1[Obergruppe ATC-Code]"),Tabelle3!$A61)</f>
        <v>1</v>
      </c>
      <c r="BX61">
        <f ca="1">COUNTIFS(INDIRECT("Table1[Beginn]"),"&lt;="&amp;BX$1,INDIRECT("Table1[Ende]"),"&gt;="&amp;BX$1,INDIRECT("Table1[Obergruppe ATC-Code]"),Tabelle3!$A61)</f>
        <v>1</v>
      </c>
      <c r="BY61">
        <f ca="1">COUNTIFS(INDIRECT("Table1[Beginn]"),"&lt;="&amp;BY$1,INDIRECT("Table1[Ende]"),"&gt;="&amp;BY$1,INDIRECT("Table1[Obergruppe ATC-Code]"),Tabelle3!$A61)</f>
        <v>1</v>
      </c>
      <c r="BZ61">
        <f ca="1">COUNTIFS(INDIRECT("Table1[Beginn]"),"&lt;="&amp;BZ$1,INDIRECT("Table1[Ende]"),"&gt;="&amp;BZ$1,INDIRECT("Table1[Obergruppe ATC-Code]"),Tabelle3!$A61)</f>
        <v>1</v>
      </c>
      <c r="CA61">
        <f ca="1">COUNTIFS(INDIRECT("Table1[Beginn]"),"&lt;="&amp;CA$1,INDIRECT("Table1[Ende]"),"&gt;="&amp;CA$1,INDIRECT("Table1[Obergruppe ATC-Code]"),Tabelle3!$A61)</f>
        <v>1</v>
      </c>
      <c r="CB61">
        <f ca="1">COUNTIFS(INDIRECT("Table1[Beginn]"),"&lt;="&amp;CB$1,INDIRECT("Table1[Ende]"),"&gt;="&amp;CB$1,INDIRECT("Table1[Obergruppe ATC-Code]"),Tabelle3!$A61)</f>
        <v>1</v>
      </c>
      <c r="CC61">
        <f ca="1">COUNTIFS(INDIRECT("Table1[Beginn]"),"&lt;="&amp;CC$1,INDIRECT("Table1[Ende]"),"&gt;="&amp;CC$1,INDIRECT("Table1[Obergruppe ATC-Code]"),Tabelle3!$A61)</f>
        <v>1</v>
      </c>
      <c r="CD61">
        <f ca="1">COUNTIFS(INDIRECT("Table1[Beginn]"),"&lt;="&amp;CD$1,INDIRECT("Table1[Ende]"),"&gt;="&amp;CD$1,INDIRECT("Table1[Obergruppe ATC-Code]"),Tabelle3!$A61)</f>
        <v>1</v>
      </c>
      <c r="CE61">
        <f ca="1">COUNTIFS(INDIRECT("Table1[Beginn]"),"&lt;="&amp;CE$1,INDIRECT("Table1[Ende]"),"&gt;="&amp;CE$1,INDIRECT("Table1[Obergruppe ATC-Code]"),Tabelle3!$A61)</f>
        <v>1</v>
      </c>
      <c r="CF61">
        <f ca="1">COUNTIFS(INDIRECT("Table1[Beginn]"),"&lt;="&amp;CF$1,INDIRECT("Table1[Ende]"),"&gt;="&amp;CF$1,INDIRECT("Table1[Obergruppe ATC-Code]"),Tabelle3!$A61)</f>
        <v>1</v>
      </c>
      <c r="CG61">
        <f ca="1">COUNTIFS(INDIRECT("Table1[Beginn]"),"&lt;="&amp;CG$1,INDIRECT("Table1[Ende]"),"&gt;="&amp;CG$1,INDIRECT("Table1[Obergruppe ATC-Code]"),Tabelle3!$A61)</f>
        <v>0</v>
      </c>
      <c r="CH61">
        <f ca="1">COUNTIFS(INDIRECT("Table1[Beginn]"),"&lt;="&amp;CH$1,INDIRECT("Table1[Ende]"),"&gt;="&amp;CH$1,INDIRECT("Table1[Obergruppe ATC-Code]"),Tabelle3!$A61)</f>
        <v>0</v>
      </c>
      <c r="CI61">
        <f ca="1">COUNTIFS(INDIRECT("Table1[Beginn]"),"&lt;="&amp;CI$1,INDIRECT("Table1[Ende]"),"&gt;="&amp;CI$1,INDIRECT("Table1[Obergruppe ATC-Code]"),Tabelle3!$A61)</f>
        <v>0</v>
      </c>
      <c r="CJ61">
        <f ca="1">COUNTIFS(INDIRECT("Table1[Beginn]"),"&lt;="&amp;CJ$1,INDIRECT("Table1[Ende]"),"&gt;="&amp;CJ$1,INDIRECT("Table1[Obergruppe ATC-Code]"),Tabelle3!$A61)</f>
        <v>0</v>
      </c>
      <c r="CK61">
        <f ca="1">COUNTIFS(INDIRECT("Table1[Beginn]"),"&lt;="&amp;CK$1,INDIRECT("Table1[Ende]"),"&gt;="&amp;CK$1,INDIRECT("Table1[Obergruppe ATC-Code]"),Tabelle3!$A61)</f>
        <v>0</v>
      </c>
      <c r="CL61">
        <f ca="1">COUNTIFS(INDIRECT("Table1[Beginn]"),"&lt;="&amp;CL$1,INDIRECT("Table1[Ende]"),"&gt;="&amp;CL$1,INDIRECT("Table1[Obergruppe ATC-Code]"),Tabelle3!$A61)</f>
        <v>0</v>
      </c>
      <c r="CM61">
        <f ca="1">COUNTIFS(INDIRECT("Table1[Beginn]"),"&lt;="&amp;CM$1,INDIRECT("Table1[Ende]"),"&gt;="&amp;CM$1,INDIRECT("Table1[Obergruppe ATC-Code]"),Tabelle3!$A61)</f>
        <v>0</v>
      </c>
      <c r="CN61">
        <f ca="1">COUNTIFS(INDIRECT("Table1[Beginn]"),"&lt;="&amp;CN$1,INDIRECT("Table1[Ende]"),"&gt;="&amp;CN$1,INDIRECT("Table1[Obergruppe ATC-Code]"),Tabelle3!$A61)</f>
        <v>0</v>
      </c>
      <c r="CO61">
        <f ca="1">COUNTIFS(INDIRECT("Table1[Beginn]"),"&lt;="&amp;CO$1,INDIRECT("Table1[Ende]"),"&gt;="&amp;CO$1,INDIRECT("Table1[Obergruppe ATC-Code]"),Tabelle3!$A61)</f>
        <v>0</v>
      </c>
      <c r="CP61">
        <f ca="1">COUNTIFS(INDIRECT("Table1[Beginn]"),"&lt;="&amp;CP$1,INDIRECT("Table1[Ende]"),"&gt;="&amp;CP$1,INDIRECT("Table1[Obergruppe ATC-Code]"),Tabelle3!$A61)</f>
        <v>0</v>
      </c>
      <c r="CQ61">
        <f ca="1">COUNTIFS(INDIRECT("Table1[Beginn]"),"&lt;="&amp;CQ$1,INDIRECT("Table1[Ende]"),"&gt;="&amp;CQ$1,INDIRECT("Table1[Obergruppe ATC-Code]"),Tabelle3!$A61)</f>
        <v>0</v>
      </c>
      <c r="CR61">
        <f ca="1">COUNTIFS(INDIRECT("Table1[Beginn]"),"&lt;="&amp;CR$1,INDIRECT("Table1[Ende]"),"&gt;="&amp;CR$1,INDIRECT("Table1[Obergruppe ATC-Code]"),Tabelle3!$A61)</f>
        <v>0</v>
      </c>
    </row>
    <row r="62" spans="1:96" ht="18">
      <c r="A62" s="7" t="s">
        <v>6892</v>
      </c>
      <c r="B62" s="8" t="s">
        <v>6893</v>
      </c>
      <c r="C62">
        <f ca="1">COUNTIFS(INDIRECT("Table1[Beginn]"),"&lt;="&amp;C$1,INDIRECT("Table1[Ende]"),"&gt;="&amp;C$1,INDIRECT("Table1[Obergruppe ATC-Code]"),Tabelle3!$A62)</f>
        <v>2</v>
      </c>
      <c r="D62">
        <f ca="1">COUNTIFS(INDIRECT("Table1[Beginn]"),"&lt;="&amp;D$1,INDIRECT("Table1[Ende]"),"&gt;="&amp;D$1,INDIRECT("Table1[Obergruppe ATC-Code]"),Tabelle3!$A62)</f>
        <v>2</v>
      </c>
      <c r="E62">
        <f ca="1">COUNTIFS(INDIRECT("Table1[Beginn]"),"&lt;="&amp;E$1,INDIRECT("Table1[Ende]"),"&gt;="&amp;E$1,INDIRECT("Table1[Obergruppe ATC-Code]"),Tabelle3!$A62)</f>
        <v>2</v>
      </c>
      <c r="F62">
        <f ca="1">COUNTIFS(INDIRECT("Table1[Beginn]"),"&lt;="&amp;F$1,INDIRECT("Table1[Ende]"),"&gt;="&amp;F$1,INDIRECT("Table1[Obergruppe ATC-Code]"),Tabelle3!$A62)</f>
        <v>3</v>
      </c>
      <c r="G62">
        <f ca="1">COUNTIFS(INDIRECT("Table1[Beginn]"),"&lt;="&amp;G$1,INDIRECT("Table1[Ende]"),"&gt;="&amp;G$1,INDIRECT("Table1[Obergruppe ATC-Code]"),Tabelle3!$A62)</f>
        <v>3</v>
      </c>
      <c r="H62">
        <f ca="1">COUNTIFS(INDIRECT("Table1[Beginn]"),"&lt;="&amp;H$1,INDIRECT("Table1[Ende]"),"&gt;="&amp;H$1,INDIRECT("Table1[Obergruppe ATC-Code]"),Tabelle3!$A62)</f>
        <v>2</v>
      </c>
      <c r="I62">
        <f ca="1">COUNTIFS(INDIRECT("Table1[Beginn]"),"&lt;="&amp;I$1,INDIRECT("Table1[Ende]"),"&gt;="&amp;I$1,INDIRECT("Table1[Obergruppe ATC-Code]"),Tabelle3!$A62)</f>
        <v>2</v>
      </c>
      <c r="J62">
        <f ca="1">COUNTIFS(INDIRECT("Table1[Beginn]"),"&lt;="&amp;J$1,INDIRECT("Table1[Ende]"),"&gt;="&amp;J$1,INDIRECT("Table1[Obergruppe ATC-Code]"),Tabelle3!$A62)</f>
        <v>2</v>
      </c>
      <c r="K62">
        <f ca="1">COUNTIFS(INDIRECT("Table1[Beginn]"),"&lt;="&amp;K$1,INDIRECT("Table1[Ende]"),"&gt;="&amp;K$1,INDIRECT("Table1[Obergruppe ATC-Code]"),Tabelle3!$A62)</f>
        <v>3</v>
      </c>
      <c r="L62">
        <f ca="1">COUNTIFS(INDIRECT("Table1[Beginn]"),"&lt;="&amp;L$1,INDIRECT("Table1[Ende]"),"&gt;="&amp;L$1,INDIRECT("Table1[Obergruppe ATC-Code]"),Tabelle3!$A62)</f>
        <v>3</v>
      </c>
      <c r="M62">
        <f ca="1">COUNTIFS(INDIRECT("Table1[Beginn]"),"&lt;="&amp;M$1,INDIRECT("Table1[Ende]"),"&gt;="&amp;M$1,INDIRECT("Table1[Obergruppe ATC-Code]"),Tabelle3!$A62)</f>
        <v>2</v>
      </c>
      <c r="N62">
        <f ca="1">COUNTIFS(INDIRECT("Table1[Beginn]"),"&lt;="&amp;N$1,INDIRECT("Table1[Ende]"),"&gt;="&amp;N$1,INDIRECT("Table1[Obergruppe ATC-Code]"),Tabelle3!$A62)</f>
        <v>2</v>
      </c>
      <c r="O62">
        <f ca="1">COUNTIFS(INDIRECT("Table1[Beginn]"),"&lt;="&amp;O$1,INDIRECT("Table1[Ende]"),"&gt;="&amp;O$1,INDIRECT("Table1[Obergruppe ATC-Code]"),Tabelle3!$A62)</f>
        <v>2</v>
      </c>
      <c r="P62">
        <f ca="1">COUNTIFS(INDIRECT("Table1[Beginn]"),"&lt;="&amp;P$1,INDIRECT("Table1[Ende]"),"&gt;="&amp;P$1,INDIRECT("Table1[Obergruppe ATC-Code]"),Tabelle3!$A62)</f>
        <v>2</v>
      </c>
      <c r="Q62">
        <f ca="1">COUNTIFS(INDIRECT("Table1[Beginn]"),"&lt;="&amp;Q$1,INDIRECT("Table1[Ende]"),"&gt;="&amp;Q$1,INDIRECT("Table1[Obergruppe ATC-Code]"),Tabelle3!$A62)</f>
        <v>2</v>
      </c>
      <c r="R62">
        <f ca="1">COUNTIFS(INDIRECT("Table1[Beginn]"),"&lt;="&amp;R$1,INDIRECT("Table1[Ende]"),"&gt;="&amp;R$1,INDIRECT("Table1[Obergruppe ATC-Code]"),Tabelle3!$A62)</f>
        <v>2</v>
      </c>
      <c r="S62">
        <f ca="1">COUNTIFS(INDIRECT("Table1[Beginn]"),"&lt;="&amp;S$1,INDIRECT("Table1[Ende]"),"&gt;="&amp;S$1,INDIRECT("Table1[Obergruppe ATC-Code]"),Tabelle3!$A62)</f>
        <v>2</v>
      </c>
      <c r="T62">
        <f ca="1">COUNTIFS(INDIRECT("Table1[Beginn]"),"&lt;="&amp;T$1,INDIRECT("Table1[Ende]"),"&gt;="&amp;T$1,INDIRECT("Table1[Obergruppe ATC-Code]"),Tabelle3!$A62)</f>
        <v>2</v>
      </c>
      <c r="U62">
        <f ca="1">COUNTIFS(INDIRECT("Table1[Beginn]"),"&lt;="&amp;U$1,INDIRECT("Table1[Ende]"),"&gt;="&amp;U$1,INDIRECT("Table1[Obergruppe ATC-Code]"),Tabelle3!$A62)</f>
        <v>2</v>
      </c>
      <c r="V62">
        <f ca="1">COUNTIFS(INDIRECT("Table1[Beginn]"),"&lt;="&amp;V$1,INDIRECT("Table1[Ende]"),"&gt;="&amp;V$1,INDIRECT("Table1[Obergruppe ATC-Code]"),Tabelle3!$A62)</f>
        <v>3</v>
      </c>
      <c r="W62">
        <f ca="1">COUNTIFS(INDIRECT("Table1[Beginn]"),"&lt;="&amp;W$1,INDIRECT("Table1[Ende]"),"&gt;="&amp;W$1,INDIRECT("Table1[Obergruppe ATC-Code]"),Tabelle3!$A62)</f>
        <v>3</v>
      </c>
      <c r="X62">
        <f ca="1">COUNTIFS(INDIRECT("Table1[Beginn]"),"&lt;="&amp;X$1,INDIRECT("Table1[Ende]"),"&gt;="&amp;X$1,INDIRECT("Table1[Obergruppe ATC-Code]"),Tabelle3!$A62)</f>
        <v>3</v>
      </c>
      <c r="Y62">
        <f ca="1">COUNTIFS(INDIRECT("Table1[Beginn]"),"&lt;="&amp;Y$1,INDIRECT("Table1[Ende]"),"&gt;="&amp;Y$1,INDIRECT("Table1[Obergruppe ATC-Code]"),Tabelle3!$A62)</f>
        <v>3</v>
      </c>
      <c r="Z62">
        <f ca="1">COUNTIFS(INDIRECT("Table1[Beginn]"),"&lt;="&amp;Z$1,INDIRECT("Table1[Ende]"),"&gt;="&amp;Z$1,INDIRECT("Table1[Obergruppe ATC-Code]"),Tabelle3!$A62)</f>
        <v>3</v>
      </c>
      <c r="AA62">
        <f ca="1">COUNTIFS(INDIRECT("Table1[Beginn]"),"&lt;="&amp;AA$1,INDIRECT("Table1[Ende]"),"&gt;="&amp;AA$1,INDIRECT("Table1[Obergruppe ATC-Code]"),Tabelle3!$A62)</f>
        <v>3</v>
      </c>
      <c r="AB62">
        <f ca="1">COUNTIFS(INDIRECT("Table1[Beginn]"),"&lt;="&amp;AB$1,INDIRECT("Table1[Ende]"),"&gt;="&amp;AB$1,INDIRECT("Table1[Obergruppe ATC-Code]"),Tabelle3!$A62)</f>
        <v>2</v>
      </c>
      <c r="AC62">
        <f ca="1">COUNTIFS(INDIRECT("Table1[Beginn]"),"&lt;="&amp;AC$1,INDIRECT("Table1[Ende]"),"&gt;="&amp;AC$1,INDIRECT("Table1[Obergruppe ATC-Code]"),Tabelle3!$A62)</f>
        <v>2</v>
      </c>
      <c r="AD62">
        <f ca="1">COUNTIFS(INDIRECT("Table1[Beginn]"),"&lt;="&amp;AD$1,INDIRECT("Table1[Ende]"),"&gt;="&amp;AD$1,INDIRECT("Table1[Obergruppe ATC-Code]"),Tabelle3!$A62)</f>
        <v>2</v>
      </c>
      <c r="AE62">
        <f ca="1">COUNTIFS(INDIRECT("Table1[Beginn]"),"&lt;="&amp;AE$1,INDIRECT("Table1[Ende]"),"&gt;="&amp;AE$1,INDIRECT("Table1[Obergruppe ATC-Code]"),Tabelle3!$A62)</f>
        <v>2</v>
      </c>
      <c r="AF62">
        <f ca="1">COUNTIFS(INDIRECT("Table1[Beginn]"),"&lt;="&amp;AF$1,INDIRECT("Table1[Ende]"),"&gt;="&amp;AF$1,INDIRECT("Table1[Obergruppe ATC-Code]"),Tabelle3!$A62)</f>
        <v>2</v>
      </c>
      <c r="AG62">
        <f ca="1">COUNTIFS(INDIRECT("Table1[Beginn]"),"&lt;="&amp;AG$1,INDIRECT("Table1[Ende]"),"&gt;="&amp;AG$1,INDIRECT("Table1[Obergruppe ATC-Code]"),Tabelle3!$A62)</f>
        <v>2</v>
      </c>
      <c r="AH62">
        <f ca="1">COUNTIFS(INDIRECT("Table1[Beginn]"),"&lt;="&amp;AH$1,INDIRECT("Table1[Ende]"),"&gt;="&amp;AH$1,INDIRECT("Table1[Obergruppe ATC-Code]"),Tabelle3!$A62)</f>
        <v>2</v>
      </c>
      <c r="AI62">
        <f ca="1">COUNTIFS(INDIRECT("Table1[Beginn]"),"&lt;="&amp;AI$1,INDIRECT("Table1[Ende]"),"&gt;="&amp;AI$1,INDIRECT("Table1[Obergruppe ATC-Code]"),Tabelle3!$A62)</f>
        <v>2</v>
      </c>
      <c r="AJ62">
        <f ca="1">COUNTIFS(INDIRECT("Table1[Beginn]"),"&lt;="&amp;AJ$1,INDIRECT("Table1[Ende]"),"&gt;="&amp;AJ$1,INDIRECT("Table1[Obergruppe ATC-Code]"),Tabelle3!$A62)</f>
        <v>2</v>
      </c>
      <c r="AK62">
        <f ca="1">COUNTIFS(INDIRECT("Table1[Beginn]"),"&lt;="&amp;AK$1,INDIRECT("Table1[Ende]"),"&gt;="&amp;AK$1,INDIRECT("Table1[Obergruppe ATC-Code]"),Tabelle3!$A62)</f>
        <v>2</v>
      </c>
      <c r="AL62">
        <f ca="1">COUNTIFS(INDIRECT("Table1[Beginn]"),"&lt;="&amp;AL$1,INDIRECT("Table1[Ende]"),"&gt;="&amp;AL$1,INDIRECT("Table1[Obergruppe ATC-Code]"),Tabelle3!$A62)</f>
        <v>2</v>
      </c>
      <c r="AM62">
        <f ca="1">COUNTIFS(INDIRECT("Table1[Beginn]"),"&lt;="&amp;AM$1,INDIRECT("Table1[Ende]"),"&gt;="&amp;AM$1,INDIRECT("Table1[Obergruppe ATC-Code]"),Tabelle3!$A62)</f>
        <v>2</v>
      </c>
      <c r="AN62">
        <f ca="1">COUNTIFS(INDIRECT("Table1[Beginn]"),"&lt;="&amp;AN$1,INDIRECT("Table1[Ende]"),"&gt;="&amp;AN$1,INDIRECT("Table1[Obergruppe ATC-Code]"),Tabelle3!$A62)</f>
        <v>2</v>
      </c>
      <c r="AO62">
        <f ca="1">COUNTIFS(INDIRECT("Table1[Beginn]"),"&lt;="&amp;AO$1,INDIRECT("Table1[Ende]"),"&gt;="&amp;AO$1,INDIRECT("Table1[Obergruppe ATC-Code]"),Tabelle3!$A62)</f>
        <v>2</v>
      </c>
      <c r="AP62">
        <f ca="1">COUNTIFS(INDIRECT("Table1[Beginn]"),"&lt;="&amp;AP$1,INDIRECT("Table1[Ende]"),"&gt;="&amp;AP$1,INDIRECT("Table1[Obergruppe ATC-Code]"),Tabelle3!$A62)</f>
        <v>2</v>
      </c>
      <c r="AQ62">
        <f ca="1">COUNTIFS(INDIRECT("Table1[Beginn]"),"&lt;="&amp;AQ$1,INDIRECT("Table1[Ende]"),"&gt;="&amp;AQ$1,INDIRECT("Table1[Obergruppe ATC-Code]"),Tabelle3!$A62)</f>
        <v>2</v>
      </c>
      <c r="AR62">
        <f ca="1">COUNTIFS(INDIRECT("Table1[Beginn]"),"&lt;="&amp;AR$1,INDIRECT("Table1[Ende]"),"&gt;="&amp;AR$1,INDIRECT("Table1[Obergruppe ATC-Code]"),Tabelle3!$A62)</f>
        <v>2</v>
      </c>
      <c r="AS62">
        <f ca="1">COUNTIFS(INDIRECT("Table1[Beginn]"),"&lt;="&amp;AS$1,INDIRECT("Table1[Ende]"),"&gt;="&amp;AS$1,INDIRECT("Table1[Obergruppe ATC-Code]"),Tabelle3!$A62)</f>
        <v>2</v>
      </c>
      <c r="AT62">
        <f ca="1">COUNTIFS(INDIRECT("Table1[Beginn]"),"&lt;="&amp;AT$1,INDIRECT("Table1[Ende]"),"&gt;="&amp;AT$1,INDIRECT("Table1[Obergruppe ATC-Code]"),Tabelle3!$A62)</f>
        <v>2</v>
      </c>
      <c r="AU62">
        <f ca="1">COUNTIFS(INDIRECT("Table1[Beginn]"),"&lt;="&amp;AU$1,INDIRECT("Table1[Ende]"),"&gt;="&amp;AU$1,INDIRECT("Table1[Obergruppe ATC-Code]"),Tabelle3!$A62)</f>
        <v>2</v>
      </c>
      <c r="AV62">
        <f ca="1">COUNTIFS(INDIRECT("Table1[Beginn]"),"&lt;="&amp;AV$1,INDIRECT("Table1[Ende]"),"&gt;="&amp;AV$1,INDIRECT("Table1[Obergruppe ATC-Code]"),Tabelle3!$A62)</f>
        <v>2</v>
      </c>
      <c r="AW62">
        <f ca="1">COUNTIFS(INDIRECT("Table1[Beginn]"),"&lt;="&amp;AW$1,INDIRECT("Table1[Ende]"),"&gt;="&amp;AW$1,INDIRECT("Table1[Obergruppe ATC-Code]"),Tabelle3!$A62)</f>
        <v>2</v>
      </c>
      <c r="AX62">
        <f ca="1">COUNTIFS(INDIRECT("Table1[Beginn]"),"&lt;="&amp;AX$1,INDIRECT("Table1[Ende]"),"&gt;="&amp;AX$1,INDIRECT("Table1[Obergruppe ATC-Code]"),Tabelle3!$A62)</f>
        <v>2</v>
      </c>
      <c r="AY62">
        <f ca="1">COUNTIFS(INDIRECT("Table1[Beginn]"),"&lt;="&amp;AY$1,INDIRECT("Table1[Ende]"),"&gt;="&amp;AY$1,INDIRECT("Table1[Obergruppe ATC-Code]"),Tabelle3!$A62)</f>
        <v>2</v>
      </c>
      <c r="AZ62">
        <f ca="1">COUNTIFS(INDIRECT("Table1[Beginn]"),"&lt;="&amp;AZ$1,INDIRECT("Table1[Ende]"),"&gt;="&amp;AZ$1,INDIRECT("Table1[Obergruppe ATC-Code]"),Tabelle3!$A62)</f>
        <v>2</v>
      </c>
      <c r="BA62">
        <f ca="1">COUNTIFS(INDIRECT("Table1[Beginn]"),"&lt;="&amp;BA$1,INDIRECT("Table1[Ende]"),"&gt;="&amp;BA$1,INDIRECT("Table1[Obergruppe ATC-Code]"),Tabelle3!$A62)</f>
        <v>2</v>
      </c>
      <c r="BB62">
        <f ca="1">COUNTIFS(INDIRECT("Table1[Beginn]"),"&lt;="&amp;BB$1,INDIRECT("Table1[Ende]"),"&gt;="&amp;BB$1,INDIRECT("Table1[Obergruppe ATC-Code]"),Tabelle3!$A62)</f>
        <v>2</v>
      </c>
      <c r="BC62">
        <f ca="1">COUNTIFS(INDIRECT("Table1[Beginn]"),"&lt;="&amp;BC$1,INDIRECT("Table1[Ende]"),"&gt;="&amp;BC$1,INDIRECT("Table1[Obergruppe ATC-Code]"),Tabelle3!$A62)</f>
        <v>2</v>
      </c>
      <c r="BD62">
        <f ca="1">COUNTIFS(INDIRECT("Table1[Beginn]"),"&lt;="&amp;BD$1,INDIRECT("Table1[Ende]"),"&gt;="&amp;BD$1,INDIRECT("Table1[Obergruppe ATC-Code]"),Tabelle3!$A62)</f>
        <v>2</v>
      </c>
      <c r="BE62">
        <f ca="1">COUNTIFS(INDIRECT("Table1[Beginn]"),"&lt;="&amp;BE$1,INDIRECT("Table1[Ende]"),"&gt;="&amp;BE$1,INDIRECT("Table1[Obergruppe ATC-Code]"),Tabelle3!$A62)</f>
        <v>2</v>
      </c>
      <c r="BF62">
        <f ca="1">COUNTIFS(INDIRECT("Table1[Beginn]"),"&lt;="&amp;BF$1,INDIRECT("Table1[Ende]"),"&gt;="&amp;BF$1,INDIRECT("Table1[Obergruppe ATC-Code]"),Tabelle3!$A62)</f>
        <v>3</v>
      </c>
      <c r="BG62">
        <f ca="1">COUNTIFS(INDIRECT("Table1[Beginn]"),"&lt;="&amp;BG$1,INDIRECT("Table1[Ende]"),"&gt;="&amp;BG$1,INDIRECT("Table1[Obergruppe ATC-Code]"),Tabelle3!$A62)</f>
        <v>6</v>
      </c>
      <c r="BH62">
        <f ca="1">COUNTIFS(INDIRECT("Table1[Beginn]"),"&lt;="&amp;BH$1,INDIRECT("Table1[Ende]"),"&gt;="&amp;BH$1,INDIRECT("Table1[Obergruppe ATC-Code]"),Tabelle3!$A62)</f>
        <v>6</v>
      </c>
      <c r="BI62">
        <f ca="1">COUNTIFS(INDIRECT("Table1[Beginn]"),"&lt;="&amp;BI$1,INDIRECT("Table1[Ende]"),"&gt;="&amp;BI$1,INDIRECT("Table1[Obergruppe ATC-Code]"),Tabelle3!$A62)</f>
        <v>5</v>
      </c>
      <c r="BJ62">
        <f ca="1">COUNTIFS(INDIRECT("Table1[Beginn]"),"&lt;="&amp;BJ$1,INDIRECT("Table1[Ende]"),"&gt;="&amp;BJ$1,INDIRECT("Table1[Obergruppe ATC-Code]"),Tabelle3!$A62)</f>
        <v>5</v>
      </c>
      <c r="BK62">
        <f ca="1">COUNTIFS(INDIRECT("Table1[Beginn]"),"&lt;="&amp;BK$1,INDIRECT("Table1[Ende]"),"&gt;="&amp;BK$1,INDIRECT("Table1[Obergruppe ATC-Code]"),Tabelle3!$A62)</f>
        <v>6</v>
      </c>
      <c r="BL62">
        <f ca="1">COUNTIFS(INDIRECT("Table1[Beginn]"),"&lt;="&amp;BL$1,INDIRECT("Table1[Ende]"),"&gt;="&amp;BL$1,INDIRECT("Table1[Obergruppe ATC-Code]"),Tabelle3!$A62)</f>
        <v>5</v>
      </c>
      <c r="BM62">
        <f ca="1">COUNTIFS(INDIRECT("Table1[Beginn]"),"&lt;="&amp;BM$1,INDIRECT("Table1[Ende]"),"&gt;="&amp;BM$1,INDIRECT("Table1[Obergruppe ATC-Code]"),Tabelle3!$A62)</f>
        <v>3</v>
      </c>
      <c r="BN62">
        <f ca="1">COUNTIFS(INDIRECT("Table1[Beginn]"),"&lt;="&amp;BN$1,INDIRECT("Table1[Ende]"),"&gt;="&amp;BN$1,INDIRECT("Table1[Obergruppe ATC-Code]"),Tabelle3!$A62)</f>
        <v>3</v>
      </c>
      <c r="BO62">
        <f ca="1">COUNTIFS(INDIRECT("Table1[Beginn]"),"&lt;="&amp;BO$1,INDIRECT("Table1[Ende]"),"&gt;="&amp;BO$1,INDIRECT("Table1[Obergruppe ATC-Code]"),Tabelle3!$A62)</f>
        <v>3</v>
      </c>
      <c r="BP62">
        <f ca="1">COUNTIFS(INDIRECT("Table1[Beginn]"),"&lt;="&amp;BP$1,INDIRECT("Table1[Ende]"),"&gt;="&amp;BP$1,INDIRECT("Table1[Obergruppe ATC-Code]"),Tabelle3!$A62)</f>
        <v>3</v>
      </c>
      <c r="BQ62">
        <f ca="1">COUNTIFS(INDIRECT("Table1[Beginn]"),"&lt;="&amp;BQ$1,INDIRECT("Table1[Ende]"),"&gt;="&amp;BQ$1,INDIRECT("Table1[Obergruppe ATC-Code]"),Tabelle3!$A62)</f>
        <v>3</v>
      </c>
      <c r="BR62">
        <f ca="1">COUNTIFS(INDIRECT("Table1[Beginn]"),"&lt;="&amp;BR$1,INDIRECT("Table1[Ende]"),"&gt;="&amp;BR$1,INDIRECT("Table1[Obergruppe ATC-Code]"),Tabelle3!$A62)</f>
        <v>4</v>
      </c>
      <c r="BS62">
        <f ca="1">COUNTIFS(INDIRECT("Table1[Beginn]"),"&lt;="&amp;BS$1,INDIRECT("Table1[Ende]"),"&gt;="&amp;BS$1,INDIRECT("Table1[Obergruppe ATC-Code]"),Tabelle3!$A62)</f>
        <v>4</v>
      </c>
      <c r="BT62">
        <f ca="1">COUNTIFS(INDIRECT("Table1[Beginn]"),"&lt;="&amp;BT$1,INDIRECT("Table1[Ende]"),"&gt;="&amp;BT$1,INDIRECT("Table1[Obergruppe ATC-Code]"),Tabelle3!$A62)</f>
        <v>4</v>
      </c>
      <c r="BU62">
        <f ca="1">COUNTIFS(INDIRECT("Table1[Beginn]"),"&lt;="&amp;BU$1,INDIRECT("Table1[Ende]"),"&gt;="&amp;BU$1,INDIRECT("Table1[Obergruppe ATC-Code]"),Tabelle3!$A62)</f>
        <v>7</v>
      </c>
      <c r="BV62">
        <f ca="1">COUNTIFS(INDIRECT("Table1[Beginn]"),"&lt;="&amp;BV$1,INDIRECT("Table1[Ende]"),"&gt;="&amp;BV$1,INDIRECT("Table1[Obergruppe ATC-Code]"),Tabelle3!$A62)</f>
        <v>9</v>
      </c>
      <c r="BW62">
        <f ca="1">COUNTIFS(INDIRECT("Table1[Beginn]"),"&lt;="&amp;BW$1,INDIRECT("Table1[Ende]"),"&gt;="&amp;BW$1,INDIRECT("Table1[Obergruppe ATC-Code]"),Tabelle3!$A62)</f>
        <v>7</v>
      </c>
      <c r="BX62">
        <f ca="1">COUNTIFS(INDIRECT("Table1[Beginn]"),"&lt;="&amp;BX$1,INDIRECT("Table1[Ende]"),"&gt;="&amp;BX$1,INDIRECT("Table1[Obergruppe ATC-Code]"),Tabelle3!$A62)</f>
        <v>7</v>
      </c>
      <c r="BY62">
        <f ca="1">COUNTIFS(INDIRECT("Table1[Beginn]"),"&lt;="&amp;BY$1,INDIRECT("Table1[Ende]"),"&gt;="&amp;BY$1,INDIRECT("Table1[Obergruppe ATC-Code]"),Tabelle3!$A62)</f>
        <v>8</v>
      </c>
      <c r="BZ62">
        <f ca="1">COUNTIFS(INDIRECT("Table1[Beginn]"),"&lt;="&amp;BZ$1,INDIRECT("Table1[Ende]"),"&gt;="&amp;BZ$1,INDIRECT("Table1[Obergruppe ATC-Code]"),Tabelle3!$A62)</f>
        <v>11</v>
      </c>
      <c r="CA62">
        <f ca="1">COUNTIFS(INDIRECT("Table1[Beginn]"),"&lt;="&amp;CA$1,INDIRECT("Table1[Ende]"),"&gt;="&amp;CA$1,INDIRECT("Table1[Obergruppe ATC-Code]"),Tabelle3!$A62)</f>
        <v>9</v>
      </c>
      <c r="CB62">
        <f ca="1">COUNTIFS(INDIRECT("Table1[Beginn]"),"&lt;="&amp;CB$1,INDIRECT("Table1[Ende]"),"&gt;="&amp;CB$1,INDIRECT("Table1[Obergruppe ATC-Code]"),Tabelle3!$A62)</f>
        <v>12</v>
      </c>
      <c r="CC62">
        <f ca="1">COUNTIFS(INDIRECT("Table1[Beginn]"),"&lt;="&amp;CC$1,INDIRECT("Table1[Ende]"),"&gt;="&amp;CC$1,INDIRECT("Table1[Obergruppe ATC-Code]"),Tabelle3!$A62)</f>
        <v>9</v>
      </c>
      <c r="CD62">
        <f ca="1">COUNTIFS(INDIRECT("Table1[Beginn]"),"&lt;="&amp;CD$1,INDIRECT("Table1[Ende]"),"&gt;="&amp;CD$1,INDIRECT("Table1[Obergruppe ATC-Code]"),Tabelle3!$A62)</f>
        <v>9</v>
      </c>
      <c r="CE62">
        <f ca="1">COUNTIFS(INDIRECT("Table1[Beginn]"),"&lt;="&amp;CE$1,INDIRECT("Table1[Ende]"),"&gt;="&amp;CE$1,INDIRECT("Table1[Obergruppe ATC-Code]"),Tabelle3!$A62)</f>
        <v>7</v>
      </c>
      <c r="CF62">
        <f ca="1">COUNTIFS(INDIRECT("Table1[Beginn]"),"&lt;="&amp;CF$1,INDIRECT("Table1[Ende]"),"&gt;="&amp;CF$1,INDIRECT("Table1[Obergruppe ATC-Code]"),Tabelle3!$A62)</f>
        <v>6</v>
      </c>
      <c r="CG62">
        <f ca="1">COUNTIFS(INDIRECT("Table1[Beginn]"),"&lt;="&amp;CG$1,INDIRECT("Table1[Ende]"),"&gt;="&amp;CG$1,INDIRECT("Table1[Obergruppe ATC-Code]"),Tabelle3!$A62)</f>
        <v>0</v>
      </c>
      <c r="CH62">
        <f ca="1">COUNTIFS(INDIRECT("Table1[Beginn]"),"&lt;="&amp;CH$1,INDIRECT("Table1[Ende]"),"&gt;="&amp;CH$1,INDIRECT("Table1[Obergruppe ATC-Code]"),Tabelle3!$A62)</f>
        <v>0</v>
      </c>
      <c r="CI62">
        <f ca="1">COUNTIFS(INDIRECT("Table1[Beginn]"),"&lt;="&amp;CI$1,INDIRECT("Table1[Ende]"),"&gt;="&amp;CI$1,INDIRECT("Table1[Obergruppe ATC-Code]"),Tabelle3!$A62)</f>
        <v>0</v>
      </c>
      <c r="CJ62">
        <f ca="1">COUNTIFS(INDIRECT("Table1[Beginn]"),"&lt;="&amp;CJ$1,INDIRECT("Table1[Ende]"),"&gt;="&amp;CJ$1,INDIRECT("Table1[Obergruppe ATC-Code]"),Tabelle3!$A62)</f>
        <v>0</v>
      </c>
      <c r="CK62">
        <f ca="1">COUNTIFS(INDIRECT("Table1[Beginn]"),"&lt;="&amp;CK$1,INDIRECT("Table1[Ende]"),"&gt;="&amp;CK$1,INDIRECT("Table1[Obergruppe ATC-Code]"),Tabelle3!$A62)</f>
        <v>0</v>
      </c>
      <c r="CL62">
        <f ca="1">COUNTIFS(INDIRECT("Table1[Beginn]"),"&lt;="&amp;CL$1,INDIRECT("Table1[Ende]"),"&gt;="&amp;CL$1,INDIRECT("Table1[Obergruppe ATC-Code]"),Tabelle3!$A62)</f>
        <v>0</v>
      </c>
      <c r="CM62">
        <f ca="1">COUNTIFS(INDIRECT("Table1[Beginn]"),"&lt;="&amp;CM$1,INDIRECT("Table1[Ende]"),"&gt;="&amp;CM$1,INDIRECT("Table1[Obergruppe ATC-Code]"),Tabelle3!$A62)</f>
        <v>0</v>
      </c>
      <c r="CN62">
        <f ca="1">COUNTIFS(INDIRECT("Table1[Beginn]"),"&lt;="&amp;CN$1,INDIRECT("Table1[Ende]"),"&gt;="&amp;CN$1,INDIRECT("Table1[Obergruppe ATC-Code]"),Tabelle3!$A62)</f>
        <v>0</v>
      </c>
      <c r="CO62">
        <f ca="1">COUNTIFS(INDIRECT("Table1[Beginn]"),"&lt;="&amp;CO$1,INDIRECT("Table1[Ende]"),"&gt;="&amp;CO$1,INDIRECT("Table1[Obergruppe ATC-Code]"),Tabelle3!$A62)</f>
        <v>0</v>
      </c>
      <c r="CP62">
        <f ca="1">COUNTIFS(INDIRECT("Table1[Beginn]"),"&lt;="&amp;CP$1,INDIRECT("Table1[Ende]"),"&gt;="&amp;CP$1,INDIRECT("Table1[Obergruppe ATC-Code]"),Tabelle3!$A62)</f>
        <v>0</v>
      </c>
      <c r="CQ62">
        <f ca="1">COUNTIFS(INDIRECT("Table1[Beginn]"),"&lt;="&amp;CQ$1,INDIRECT("Table1[Ende]"),"&gt;="&amp;CQ$1,INDIRECT("Table1[Obergruppe ATC-Code]"),Tabelle3!$A62)</f>
        <v>0</v>
      </c>
      <c r="CR62">
        <f ca="1">COUNTIFS(INDIRECT("Table1[Beginn]"),"&lt;="&amp;CR$1,INDIRECT("Table1[Ende]"),"&gt;="&amp;CR$1,INDIRECT("Table1[Obergruppe ATC-Code]"),Tabelle3!$A62)</f>
        <v>0</v>
      </c>
    </row>
    <row r="63" spans="1:96" ht="18">
      <c r="A63" s="9" t="s">
        <v>6894</v>
      </c>
      <c r="B63" s="10" t="s">
        <v>6895</v>
      </c>
      <c r="C63">
        <f ca="1">COUNTIFS(INDIRECT("Table1[Beginn]"),"&lt;="&amp;C$1,INDIRECT("Table1[Ende]"),"&gt;="&amp;C$1,INDIRECT("Table1[Obergruppe ATC-Code]"),Tabelle3!$A63)</f>
        <v>0</v>
      </c>
      <c r="D63">
        <f ca="1">COUNTIFS(INDIRECT("Table1[Beginn]"),"&lt;="&amp;D$1,INDIRECT("Table1[Ende]"),"&gt;="&amp;D$1,INDIRECT("Table1[Obergruppe ATC-Code]"),Tabelle3!$A63)</f>
        <v>0</v>
      </c>
      <c r="E63">
        <f ca="1">COUNTIFS(INDIRECT("Table1[Beginn]"),"&lt;="&amp;E$1,INDIRECT("Table1[Ende]"),"&gt;="&amp;E$1,INDIRECT("Table1[Obergruppe ATC-Code]"),Tabelle3!$A63)</f>
        <v>0</v>
      </c>
      <c r="F63">
        <f ca="1">COUNTIFS(INDIRECT("Table1[Beginn]"),"&lt;="&amp;F$1,INDIRECT("Table1[Ende]"),"&gt;="&amp;F$1,INDIRECT("Table1[Obergruppe ATC-Code]"),Tabelle3!$A63)</f>
        <v>0</v>
      </c>
      <c r="G63">
        <f ca="1">COUNTIFS(INDIRECT("Table1[Beginn]"),"&lt;="&amp;G$1,INDIRECT("Table1[Ende]"),"&gt;="&amp;G$1,INDIRECT("Table1[Obergruppe ATC-Code]"),Tabelle3!$A63)</f>
        <v>0</v>
      </c>
      <c r="H63">
        <f ca="1">COUNTIFS(INDIRECT("Table1[Beginn]"),"&lt;="&amp;H$1,INDIRECT("Table1[Ende]"),"&gt;="&amp;H$1,INDIRECT("Table1[Obergruppe ATC-Code]"),Tabelle3!$A63)</f>
        <v>0</v>
      </c>
      <c r="I63">
        <f ca="1">COUNTIFS(INDIRECT("Table1[Beginn]"),"&lt;="&amp;I$1,INDIRECT("Table1[Ende]"),"&gt;="&amp;I$1,INDIRECT("Table1[Obergruppe ATC-Code]"),Tabelle3!$A63)</f>
        <v>0</v>
      </c>
      <c r="J63">
        <f ca="1">COUNTIFS(INDIRECT("Table1[Beginn]"),"&lt;="&amp;J$1,INDIRECT("Table1[Ende]"),"&gt;="&amp;J$1,INDIRECT("Table1[Obergruppe ATC-Code]"),Tabelle3!$A63)</f>
        <v>0</v>
      </c>
      <c r="K63">
        <f ca="1">COUNTIFS(INDIRECT("Table1[Beginn]"),"&lt;="&amp;K$1,INDIRECT("Table1[Ende]"),"&gt;="&amp;K$1,INDIRECT("Table1[Obergruppe ATC-Code]"),Tabelle3!$A63)</f>
        <v>0</v>
      </c>
      <c r="L63">
        <f ca="1">COUNTIFS(INDIRECT("Table1[Beginn]"),"&lt;="&amp;L$1,INDIRECT("Table1[Ende]"),"&gt;="&amp;L$1,INDIRECT("Table1[Obergruppe ATC-Code]"),Tabelle3!$A63)</f>
        <v>0</v>
      </c>
      <c r="M63">
        <f ca="1">COUNTIFS(INDIRECT("Table1[Beginn]"),"&lt;="&amp;M$1,INDIRECT("Table1[Ende]"),"&gt;="&amp;M$1,INDIRECT("Table1[Obergruppe ATC-Code]"),Tabelle3!$A63)</f>
        <v>0</v>
      </c>
      <c r="N63">
        <f ca="1">COUNTIFS(INDIRECT("Table1[Beginn]"),"&lt;="&amp;N$1,INDIRECT("Table1[Ende]"),"&gt;="&amp;N$1,INDIRECT("Table1[Obergruppe ATC-Code]"),Tabelle3!$A63)</f>
        <v>0</v>
      </c>
      <c r="O63">
        <f ca="1">COUNTIFS(INDIRECT("Table1[Beginn]"),"&lt;="&amp;O$1,INDIRECT("Table1[Ende]"),"&gt;="&amp;O$1,INDIRECT("Table1[Obergruppe ATC-Code]"),Tabelle3!$A63)</f>
        <v>0</v>
      </c>
      <c r="P63">
        <f ca="1">COUNTIFS(INDIRECT("Table1[Beginn]"),"&lt;="&amp;P$1,INDIRECT("Table1[Ende]"),"&gt;="&amp;P$1,INDIRECT("Table1[Obergruppe ATC-Code]"),Tabelle3!$A63)</f>
        <v>0</v>
      </c>
      <c r="Q63">
        <f ca="1">COUNTIFS(INDIRECT("Table1[Beginn]"),"&lt;="&amp;Q$1,INDIRECT("Table1[Ende]"),"&gt;="&amp;Q$1,INDIRECT("Table1[Obergruppe ATC-Code]"),Tabelle3!$A63)</f>
        <v>0</v>
      </c>
      <c r="R63">
        <f ca="1">COUNTIFS(INDIRECT("Table1[Beginn]"),"&lt;="&amp;R$1,INDIRECT("Table1[Ende]"),"&gt;="&amp;R$1,INDIRECT("Table1[Obergruppe ATC-Code]"),Tabelle3!$A63)</f>
        <v>0</v>
      </c>
      <c r="S63">
        <f ca="1">COUNTIFS(INDIRECT("Table1[Beginn]"),"&lt;="&amp;S$1,INDIRECT("Table1[Ende]"),"&gt;="&amp;S$1,INDIRECT("Table1[Obergruppe ATC-Code]"),Tabelle3!$A63)</f>
        <v>0</v>
      </c>
      <c r="T63">
        <f ca="1">COUNTIFS(INDIRECT("Table1[Beginn]"),"&lt;="&amp;T$1,INDIRECT("Table1[Ende]"),"&gt;="&amp;T$1,INDIRECT("Table1[Obergruppe ATC-Code]"),Tabelle3!$A63)</f>
        <v>1</v>
      </c>
      <c r="U63">
        <f ca="1">COUNTIFS(INDIRECT("Table1[Beginn]"),"&lt;="&amp;U$1,INDIRECT("Table1[Ende]"),"&gt;="&amp;U$1,INDIRECT("Table1[Obergruppe ATC-Code]"),Tabelle3!$A63)</f>
        <v>1</v>
      </c>
      <c r="V63">
        <f ca="1">COUNTIFS(INDIRECT("Table1[Beginn]"),"&lt;="&amp;V$1,INDIRECT("Table1[Ende]"),"&gt;="&amp;V$1,INDIRECT("Table1[Obergruppe ATC-Code]"),Tabelle3!$A63)</f>
        <v>2</v>
      </c>
      <c r="W63">
        <f ca="1">COUNTIFS(INDIRECT("Table1[Beginn]"),"&lt;="&amp;W$1,INDIRECT("Table1[Ende]"),"&gt;="&amp;W$1,INDIRECT("Table1[Obergruppe ATC-Code]"),Tabelle3!$A63)</f>
        <v>2</v>
      </c>
      <c r="X63">
        <f ca="1">COUNTIFS(INDIRECT("Table1[Beginn]"),"&lt;="&amp;X$1,INDIRECT("Table1[Ende]"),"&gt;="&amp;X$1,INDIRECT("Table1[Obergruppe ATC-Code]"),Tabelle3!$A63)</f>
        <v>2</v>
      </c>
      <c r="Y63">
        <f ca="1">COUNTIFS(INDIRECT("Table1[Beginn]"),"&lt;="&amp;Y$1,INDIRECT("Table1[Ende]"),"&gt;="&amp;Y$1,INDIRECT("Table1[Obergruppe ATC-Code]"),Tabelle3!$A63)</f>
        <v>0</v>
      </c>
      <c r="Z63">
        <f ca="1">COUNTIFS(INDIRECT("Table1[Beginn]"),"&lt;="&amp;Z$1,INDIRECT("Table1[Ende]"),"&gt;="&amp;Z$1,INDIRECT("Table1[Obergruppe ATC-Code]"),Tabelle3!$A63)</f>
        <v>0</v>
      </c>
      <c r="AA63">
        <f ca="1">COUNTIFS(INDIRECT("Table1[Beginn]"),"&lt;="&amp;AA$1,INDIRECT("Table1[Ende]"),"&gt;="&amp;AA$1,INDIRECT("Table1[Obergruppe ATC-Code]"),Tabelle3!$A63)</f>
        <v>5</v>
      </c>
      <c r="AB63">
        <f ca="1">COUNTIFS(INDIRECT("Table1[Beginn]"),"&lt;="&amp;AB$1,INDIRECT("Table1[Ende]"),"&gt;="&amp;AB$1,INDIRECT("Table1[Obergruppe ATC-Code]"),Tabelle3!$A63)</f>
        <v>5</v>
      </c>
      <c r="AC63">
        <f ca="1">COUNTIFS(INDIRECT("Table1[Beginn]"),"&lt;="&amp;AC$1,INDIRECT("Table1[Ende]"),"&gt;="&amp;AC$1,INDIRECT("Table1[Obergruppe ATC-Code]"),Tabelle3!$A63)</f>
        <v>5</v>
      </c>
      <c r="AD63">
        <f ca="1">COUNTIFS(INDIRECT("Table1[Beginn]"),"&lt;="&amp;AD$1,INDIRECT("Table1[Ende]"),"&gt;="&amp;AD$1,INDIRECT("Table1[Obergruppe ATC-Code]"),Tabelle3!$A63)</f>
        <v>5</v>
      </c>
      <c r="AE63">
        <f ca="1">COUNTIFS(INDIRECT("Table1[Beginn]"),"&lt;="&amp;AE$1,INDIRECT("Table1[Ende]"),"&gt;="&amp;AE$1,INDIRECT("Table1[Obergruppe ATC-Code]"),Tabelle3!$A63)</f>
        <v>5</v>
      </c>
      <c r="AF63">
        <f ca="1">COUNTIFS(INDIRECT("Table1[Beginn]"),"&lt;="&amp;AF$1,INDIRECT("Table1[Ende]"),"&gt;="&amp;AF$1,INDIRECT("Table1[Obergruppe ATC-Code]"),Tabelle3!$A63)</f>
        <v>5</v>
      </c>
      <c r="AG63">
        <f ca="1">COUNTIFS(INDIRECT("Table1[Beginn]"),"&lt;="&amp;AG$1,INDIRECT("Table1[Ende]"),"&gt;="&amp;AG$1,INDIRECT("Table1[Obergruppe ATC-Code]"),Tabelle3!$A63)</f>
        <v>3</v>
      </c>
      <c r="AH63">
        <f ca="1">COUNTIFS(INDIRECT("Table1[Beginn]"),"&lt;="&amp;AH$1,INDIRECT("Table1[Ende]"),"&gt;="&amp;AH$1,INDIRECT("Table1[Obergruppe ATC-Code]"),Tabelle3!$A63)</f>
        <v>4</v>
      </c>
      <c r="AI63">
        <f ca="1">COUNTIFS(INDIRECT("Table1[Beginn]"),"&lt;="&amp;AI$1,INDIRECT("Table1[Ende]"),"&gt;="&amp;AI$1,INDIRECT("Table1[Obergruppe ATC-Code]"),Tabelle3!$A63)</f>
        <v>3</v>
      </c>
      <c r="AJ63">
        <f ca="1">COUNTIFS(INDIRECT("Table1[Beginn]"),"&lt;="&amp;AJ$1,INDIRECT("Table1[Ende]"),"&gt;="&amp;AJ$1,INDIRECT("Table1[Obergruppe ATC-Code]"),Tabelle3!$A63)</f>
        <v>5</v>
      </c>
      <c r="AK63">
        <f ca="1">COUNTIFS(INDIRECT("Table1[Beginn]"),"&lt;="&amp;AK$1,INDIRECT("Table1[Ende]"),"&gt;="&amp;AK$1,INDIRECT("Table1[Obergruppe ATC-Code]"),Tabelle3!$A63)</f>
        <v>6</v>
      </c>
      <c r="AL63">
        <f ca="1">COUNTIFS(INDIRECT("Table1[Beginn]"),"&lt;="&amp;AL$1,INDIRECT("Table1[Ende]"),"&gt;="&amp;AL$1,INDIRECT("Table1[Obergruppe ATC-Code]"),Tabelle3!$A63)</f>
        <v>6</v>
      </c>
      <c r="AM63">
        <f ca="1">COUNTIFS(INDIRECT("Table1[Beginn]"),"&lt;="&amp;AM$1,INDIRECT("Table1[Ende]"),"&gt;="&amp;AM$1,INDIRECT("Table1[Obergruppe ATC-Code]"),Tabelle3!$A63)</f>
        <v>6</v>
      </c>
      <c r="AN63">
        <f ca="1">COUNTIFS(INDIRECT("Table1[Beginn]"),"&lt;="&amp;AN$1,INDIRECT("Table1[Ende]"),"&gt;="&amp;AN$1,INDIRECT("Table1[Obergruppe ATC-Code]"),Tabelle3!$A63)</f>
        <v>8</v>
      </c>
      <c r="AO63">
        <f ca="1">COUNTIFS(INDIRECT("Table1[Beginn]"),"&lt;="&amp;AO$1,INDIRECT("Table1[Ende]"),"&gt;="&amp;AO$1,INDIRECT("Table1[Obergruppe ATC-Code]"),Tabelle3!$A63)</f>
        <v>6</v>
      </c>
      <c r="AP63">
        <f ca="1">COUNTIFS(INDIRECT("Table1[Beginn]"),"&lt;="&amp;AP$1,INDIRECT("Table1[Ende]"),"&gt;="&amp;AP$1,INDIRECT("Table1[Obergruppe ATC-Code]"),Tabelle3!$A63)</f>
        <v>6</v>
      </c>
      <c r="AQ63">
        <f ca="1">COUNTIFS(INDIRECT("Table1[Beginn]"),"&lt;="&amp;AQ$1,INDIRECT("Table1[Ende]"),"&gt;="&amp;AQ$1,INDIRECT("Table1[Obergruppe ATC-Code]"),Tabelle3!$A63)</f>
        <v>8</v>
      </c>
      <c r="AR63">
        <f ca="1">COUNTIFS(INDIRECT("Table1[Beginn]"),"&lt;="&amp;AR$1,INDIRECT("Table1[Ende]"),"&gt;="&amp;AR$1,INDIRECT("Table1[Obergruppe ATC-Code]"),Tabelle3!$A63)</f>
        <v>5</v>
      </c>
      <c r="AS63">
        <f ca="1">COUNTIFS(INDIRECT("Table1[Beginn]"),"&lt;="&amp;AS$1,INDIRECT("Table1[Ende]"),"&gt;="&amp;AS$1,INDIRECT("Table1[Obergruppe ATC-Code]"),Tabelle3!$A63)</f>
        <v>5</v>
      </c>
      <c r="AT63">
        <f ca="1">COUNTIFS(INDIRECT("Table1[Beginn]"),"&lt;="&amp;AT$1,INDIRECT("Table1[Ende]"),"&gt;="&amp;AT$1,INDIRECT("Table1[Obergruppe ATC-Code]"),Tabelle3!$A63)</f>
        <v>5</v>
      </c>
      <c r="AU63">
        <f ca="1">COUNTIFS(INDIRECT("Table1[Beginn]"),"&lt;="&amp;AU$1,INDIRECT("Table1[Ende]"),"&gt;="&amp;AU$1,INDIRECT("Table1[Obergruppe ATC-Code]"),Tabelle3!$A63)</f>
        <v>5</v>
      </c>
      <c r="AV63">
        <f ca="1">COUNTIFS(INDIRECT("Table1[Beginn]"),"&lt;="&amp;AV$1,INDIRECT("Table1[Ende]"),"&gt;="&amp;AV$1,INDIRECT("Table1[Obergruppe ATC-Code]"),Tabelle3!$A63)</f>
        <v>1</v>
      </c>
      <c r="AW63">
        <f ca="1">COUNTIFS(INDIRECT("Table1[Beginn]"),"&lt;="&amp;AW$1,INDIRECT("Table1[Ende]"),"&gt;="&amp;AW$1,INDIRECT("Table1[Obergruppe ATC-Code]"),Tabelle3!$A63)</f>
        <v>1</v>
      </c>
      <c r="AX63">
        <f ca="1">COUNTIFS(INDIRECT("Table1[Beginn]"),"&lt;="&amp;AX$1,INDIRECT("Table1[Ende]"),"&gt;="&amp;AX$1,INDIRECT("Table1[Obergruppe ATC-Code]"),Tabelle3!$A63)</f>
        <v>1</v>
      </c>
      <c r="AY63">
        <f ca="1">COUNTIFS(INDIRECT("Table1[Beginn]"),"&lt;="&amp;AY$1,INDIRECT("Table1[Ende]"),"&gt;="&amp;AY$1,INDIRECT("Table1[Obergruppe ATC-Code]"),Tabelle3!$A63)</f>
        <v>1</v>
      </c>
      <c r="AZ63">
        <f ca="1">COUNTIFS(INDIRECT("Table1[Beginn]"),"&lt;="&amp;AZ$1,INDIRECT("Table1[Ende]"),"&gt;="&amp;AZ$1,INDIRECT("Table1[Obergruppe ATC-Code]"),Tabelle3!$A63)</f>
        <v>1</v>
      </c>
      <c r="BA63">
        <f ca="1">COUNTIFS(INDIRECT("Table1[Beginn]"),"&lt;="&amp;BA$1,INDIRECT("Table1[Ende]"),"&gt;="&amp;BA$1,INDIRECT("Table1[Obergruppe ATC-Code]"),Tabelle3!$A63)</f>
        <v>1</v>
      </c>
      <c r="BB63">
        <f ca="1">COUNTIFS(INDIRECT("Table1[Beginn]"),"&lt;="&amp;BB$1,INDIRECT("Table1[Ende]"),"&gt;="&amp;BB$1,INDIRECT("Table1[Obergruppe ATC-Code]"),Tabelle3!$A63)</f>
        <v>1</v>
      </c>
      <c r="BC63">
        <f ca="1">COUNTIFS(INDIRECT("Table1[Beginn]"),"&lt;="&amp;BC$1,INDIRECT("Table1[Ende]"),"&gt;="&amp;BC$1,INDIRECT("Table1[Obergruppe ATC-Code]"),Tabelle3!$A63)</f>
        <v>1</v>
      </c>
      <c r="BD63">
        <f ca="1">COUNTIFS(INDIRECT("Table1[Beginn]"),"&lt;="&amp;BD$1,INDIRECT("Table1[Ende]"),"&gt;="&amp;BD$1,INDIRECT("Table1[Obergruppe ATC-Code]"),Tabelle3!$A63)</f>
        <v>1</v>
      </c>
      <c r="BE63">
        <f ca="1">COUNTIFS(INDIRECT("Table1[Beginn]"),"&lt;="&amp;BE$1,INDIRECT("Table1[Ende]"),"&gt;="&amp;BE$1,INDIRECT("Table1[Obergruppe ATC-Code]"),Tabelle3!$A63)</f>
        <v>1</v>
      </c>
      <c r="BF63">
        <f ca="1">COUNTIFS(INDIRECT("Table1[Beginn]"),"&lt;="&amp;BF$1,INDIRECT("Table1[Ende]"),"&gt;="&amp;BF$1,INDIRECT("Table1[Obergruppe ATC-Code]"),Tabelle3!$A63)</f>
        <v>1</v>
      </c>
      <c r="BG63">
        <f ca="1">COUNTIFS(INDIRECT("Table1[Beginn]"),"&lt;="&amp;BG$1,INDIRECT("Table1[Ende]"),"&gt;="&amp;BG$1,INDIRECT("Table1[Obergruppe ATC-Code]"),Tabelle3!$A63)</f>
        <v>2</v>
      </c>
      <c r="BH63">
        <f ca="1">COUNTIFS(INDIRECT("Table1[Beginn]"),"&lt;="&amp;BH$1,INDIRECT("Table1[Ende]"),"&gt;="&amp;BH$1,INDIRECT("Table1[Obergruppe ATC-Code]"),Tabelle3!$A63)</f>
        <v>1</v>
      </c>
      <c r="BI63">
        <f ca="1">COUNTIFS(INDIRECT("Table1[Beginn]"),"&lt;="&amp;BI$1,INDIRECT("Table1[Ende]"),"&gt;="&amp;BI$1,INDIRECT("Table1[Obergruppe ATC-Code]"),Tabelle3!$A63)</f>
        <v>1</v>
      </c>
      <c r="BJ63">
        <f ca="1">COUNTIFS(INDIRECT("Table1[Beginn]"),"&lt;="&amp;BJ$1,INDIRECT("Table1[Ende]"),"&gt;="&amp;BJ$1,INDIRECT("Table1[Obergruppe ATC-Code]"),Tabelle3!$A63)</f>
        <v>1</v>
      </c>
      <c r="BK63">
        <f ca="1">COUNTIFS(INDIRECT("Table1[Beginn]"),"&lt;="&amp;BK$1,INDIRECT("Table1[Ende]"),"&gt;="&amp;BK$1,INDIRECT("Table1[Obergruppe ATC-Code]"),Tabelle3!$A63)</f>
        <v>1</v>
      </c>
      <c r="BL63">
        <f ca="1">COUNTIFS(INDIRECT("Table1[Beginn]"),"&lt;="&amp;BL$1,INDIRECT("Table1[Ende]"),"&gt;="&amp;BL$1,INDIRECT("Table1[Obergruppe ATC-Code]"),Tabelle3!$A63)</f>
        <v>2</v>
      </c>
      <c r="BM63">
        <f ca="1">COUNTIFS(INDIRECT("Table1[Beginn]"),"&lt;="&amp;BM$1,INDIRECT("Table1[Ende]"),"&gt;="&amp;BM$1,INDIRECT("Table1[Obergruppe ATC-Code]"),Tabelle3!$A63)</f>
        <v>2</v>
      </c>
      <c r="BN63">
        <f ca="1">COUNTIFS(INDIRECT("Table1[Beginn]"),"&lt;="&amp;BN$1,INDIRECT("Table1[Ende]"),"&gt;="&amp;BN$1,INDIRECT("Table1[Obergruppe ATC-Code]"),Tabelle3!$A63)</f>
        <v>2</v>
      </c>
      <c r="BO63">
        <f ca="1">COUNTIFS(INDIRECT("Table1[Beginn]"),"&lt;="&amp;BO$1,INDIRECT("Table1[Ende]"),"&gt;="&amp;BO$1,INDIRECT("Table1[Obergruppe ATC-Code]"),Tabelle3!$A63)</f>
        <v>2</v>
      </c>
      <c r="BP63">
        <f ca="1">COUNTIFS(INDIRECT("Table1[Beginn]"),"&lt;="&amp;BP$1,INDIRECT("Table1[Ende]"),"&gt;="&amp;BP$1,INDIRECT("Table1[Obergruppe ATC-Code]"),Tabelle3!$A63)</f>
        <v>4</v>
      </c>
      <c r="BQ63">
        <f ca="1">COUNTIFS(INDIRECT("Table1[Beginn]"),"&lt;="&amp;BQ$1,INDIRECT("Table1[Ende]"),"&gt;="&amp;BQ$1,INDIRECT("Table1[Obergruppe ATC-Code]"),Tabelle3!$A63)</f>
        <v>4</v>
      </c>
      <c r="BR63">
        <f ca="1">COUNTIFS(INDIRECT("Table1[Beginn]"),"&lt;="&amp;BR$1,INDIRECT("Table1[Ende]"),"&gt;="&amp;BR$1,INDIRECT("Table1[Obergruppe ATC-Code]"),Tabelle3!$A63)</f>
        <v>4</v>
      </c>
      <c r="BS63">
        <f ca="1">COUNTIFS(INDIRECT("Table1[Beginn]"),"&lt;="&amp;BS$1,INDIRECT("Table1[Ende]"),"&gt;="&amp;BS$1,INDIRECT("Table1[Obergruppe ATC-Code]"),Tabelle3!$A63)</f>
        <v>4</v>
      </c>
      <c r="BT63">
        <f ca="1">COUNTIFS(INDIRECT("Table1[Beginn]"),"&lt;="&amp;BT$1,INDIRECT("Table1[Ende]"),"&gt;="&amp;BT$1,INDIRECT("Table1[Obergruppe ATC-Code]"),Tabelle3!$A63)</f>
        <v>3</v>
      </c>
      <c r="BU63">
        <f ca="1">COUNTIFS(INDIRECT("Table1[Beginn]"),"&lt;="&amp;BU$1,INDIRECT("Table1[Ende]"),"&gt;="&amp;BU$1,INDIRECT("Table1[Obergruppe ATC-Code]"),Tabelle3!$A63)</f>
        <v>1</v>
      </c>
      <c r="BV63">
        <f ca="1">COUNTIFS(INDIRECT("Table1[Beginn]"),"&lt;="&amp;BV$1,INDIRECT("Table1[Ende]"),"&gt;="&amp;BV$1,INDIRECT("Table1[Obergruppe ATC-Code]"),Tabelle3!$A63)</f>
        <v>6</v>
      </c>
      <c r="BW63">
        <f ca="1">COUNTIFS(INDIRECT("Table1[Beginn]"),"&lt;="&amp;BW$1,INDIRECT("Table1[Ende]"),"&gt;="&amp;BW$1,INDIRECT("Table1[Obergruppe ATC-Code]"),Tabelle3!$A63)</f>
        <v>6</v>
      </c>
      <c r="BX63">
        <f ca="1">COUNTIFS(INDIRECT("Table1[Beginn]"),"&lt;="&amp;BX$1,INDIRECT("Table1[Ende]"),"&gt;="&amp;BX$1,INDIRECT("Table1[Obergruppe ATC-Code]"),Tabelle3!$A63)</f>
        <v>6</v>
      </c>
      <c r="BY63">
        <f ca="1">COUNTIFS(INDIRECT("Table1[Beginn]"),"&lt;="&amp;BY$1,INDIRECT("Table1[Ende]"),"&gt;="&amp;BY$1,INDIRECT("Table1[Obergruppe ATC-Code]"),Tabelle3!$A63)</f>
        <v>6</v>
      </c>
      <c r="BZ63">
        <f ca="1">COUNTIFS(INDIRECT("Table1[Beginn]"),"&lt;="&amp;BZ$1,INDIRECT("Table1[Ende]"),"&gt;="&amp;BZ$1,INDIRECT("Table1[Obergruppe ATC-Code]"),Tabelle3!$A63)</f>
        <v>5</v>
      </c>
      <c r="CA63">
        <f ca="1">COUNTIFS(INDIRECT("Table1[Beginn]"),"&lt;="&amp;CA$1,INDIRECT("Table1[Ende]"),"&gt;="&amp;CA$1,INDIRECT("Table1[Obergruppe ATC-Code]"),Tabelle3!$A63)</f>
        <v>6</v>
      </c>
      <c r="CB63">
        <f ca="1">COUNTIFS(INDIRECT("Table1[Beginn]"),"&lt;="&amp;CB$1,INDIRECT("Table1[Ende]"),"&gt;="&amp;CB$1,INDIRECT("Table1[Obergruppe ATC-Code]"),Tabelle3!$A63)</f>
        <v>3</v>
      </c>
      <c r="CC63">
        <f ca="1">COUNTIFS(INDIRECT("Table1[Beginn]"),"&lt;="&amp;CC$1,INDIRECT("Table1[Ende]"),"&gt;="&amp;CC$1,INDIRECT("Table1[Obergruppe ATC-Code]"),Tabelle3!$A63)</f>
        <v>4</v>
      </c>
      <c r="CD63">
        <f ca="1">COUNTIFS(INDIRECT("Table1[Beginn]"),"&lt;="&amp;CD$1,INDIRECT("Table1[Ende]"),"&gt;="&amp;CD$1,INDIRECT("Table1[Obergruppe ATC-Code]"),Tabelle3!$A63)</f>
        <v>4</v>
      </c>
      <c r="CE63">
        <f ca="1">COUNTIFS(INDIRECT("Table1[Beginn]"),"&lt;="&amp;CE$1,INDIRECT("Table1[Ende]"),"&gt;="&amp;CE$1,INDIRECT("Table1[Obergruppe ATC-Code]"),Tabelle3!$A63)</f>
        <v>2</v>
      </c>
      <c r="CF63">
        <f ca="1">COUNTIFS(INDIRECT("Table1[Beginn]"),"&lt;="&amp;CF$1,INDIRECT("Table1[Ende]"),"&gt;="&amp;CF$1,INDIRECT("Table1[Obergruppe ATC-Code]"),Tabelle3!$A63)</f>
        <v>1</v>
      </c>
      <c r="CG63">
        <f ca="1">COUNTIFS(INDIRECT("Table1[Beginn]"),"&lt;="&amp;CG$1,INDIRECT("Table1[Ende]"),"&gt;="&amp;CG$1,INDIRECT("Table1[Obergruppe ATC-Code]"),Tabelle3!$A63)</f>
        <v>1</v>
      </c>
      <c r="CH63">
        <f ca="1">COUNTIFS(INDIRECT("Table1[Beginn]"),"&lt;="&amp;CH$1,INDIRECT("Table1[Ende]"),"&gt;="&amp;CH$1,INDIRECT("Table1[Obergruppe ATC-Code]"),Tabelle3!$A63)</f>
        <v>1</v>
      </c>
      <c r="CI63">
        <f ca="1">COUNTIFS(INDIRECT("Table1[Beginn]"),"&lt;="&amp;CI$1,INDIRECT("Table1[Ende]"),"&gt;="&amp;CI$1,INDIRECT("Table1[Obergruppe ATC-Code]"),Tabelle3!$A63)</f>
        <v>1</v>
      </c>
      <c r="CJ63">
        <f ca="1">COUNTIFS(INDIRECT("Table1[Beginn]"),"&lt;="&amp;CJ$1,INDIRECT("Table1[Ende]"),"&gt;="&amp;CJ$1,INDIRECT("Table1[Obergruppe ATC-Code]"),Tabelle3!$A63)</f>
        <v>1</v>
      </c>
      <c r="CK63">
        <f ca="1">COUNTIFS(INDIRECT("Table1[Beginn]"),"&lt;="&amp;CK$1,INDIRECT("Table1[Ende]"),"&gt;="&amp;CK$1,INDIRECT("Table1[Obergruppe ATC-Code]"),Tabelle3!$A63)</f>
        <v>0</v>
      </c>
      <c r="CL63">
        <f ca="1">COUNTIFS(INDIRECT("Table1[Beginn]"),"&lt;="&amp;CL$1,INDIRECT("Table1[Ende]"),"&gt;="&amp;CL$1,INDIRECT("Table1[Obergruppe ATC-Code]"),Tabelle3!$A63)</f>
        <v>0</v>
      </c>
      <c r="CM63">
        <f ca="1">COUNTIFS(INDIRECT("Table1[Beginn]"),"&lt;="&amp;CM$1,INDIRECT("Table1[Ende]"),"&gt;="&amp;CM$1,INDIRECT("Table1[Obergruppe ATC-Code]"),Tabelle3!$A63)</f>
        <v>0</v>
      </c>
      <c r="CN63">
        <f ca="1">COUNTIFS(INDIRECT("Table1[Beginn]"),"&lt;="&amp;CN$1,INDIRECT("Table1[Ende]"),"&gt;="&amp;CN$1,INDIRECT("Table1[Obergruppe ATC-Code]"),Tabelle3!$A63)</f>
        <v>0</v>
      </c>
      <c r="CO63">
        <f ca="1">COUNTIFS(INDIRECT("Table1[Beginn]"),"&lt;="&amp;CO$1,INDIRECT("Table1[Ende]"),"&gt;="&amp;CO$1,INDIRECT("Table1[Obergruppe ATC-Code]"),Tabelle3!$A63)</f>
        <v>0</v>
      </c>
      <c r="CP63">
        <f ca="1">COUNTIFS(INDIRECT("Table1[Beginn]"),"&lt;="&amp;CP$1,INDIRECT("Table1[Ende]"),"&gt;="&amp;CP$1,INDIRECT("Table1[Obergruppe ATC-Code]"),Tabelle3!$A63)</f>
        <v>0</v>
      </c>
      <c r="CQ63">
        <f ca="1">COUNTIFS(INDIRECT("Table1[Beginn]"),"&lt;="&amp;CQ$1,INDIRECT("Table1[Ende]"),"&gt;="&amp;CQ$1,INDIRECT("Table1[Obergruppe ATC-Code]"),Tabelle3!$A63)</f>
        <v>0</v>
      </c>
      <c r="CR63">
        <f ca="1">COUNTIFS(INDIRECT("Table1[Beginn]"),"&lt;="&amp;CR$1,INDIRECT("Table1[Ende]"),"&gt;="&amp;CR$1,INDIRECT("Table1[Obergruppe ATC-Code]"),Tabelle3!$A63)</f>
        <v>0</v>
      </c>
    </row>
    <row r="64" spans="1:96" ht="18">
      <c r="A64" s="7" t="s">
        <v>6896</v>
      </c>
      <c r="B64" s="8" t="s">
        <v>6897</v>
      </c>
      <c r="C64">
        <f ca="1">COUNTIFS(INDIRECT("Table1[Beginn]"),"&lt;="&amp;C$1,INDIRECT("Table1[Ende]"),"&gt;="&amp;C$1,INDIRECT("Table1[Obergruppe ATC-Code]"),Tabelle3!$A64)</f>
        <v>0</v>
      </c>
      <c r="D64">
        <f ca="1">COUNTIFS(INDIRECT("Table1[Beginn]"),"&lt;="&amp;D$1,INDIRECT("Table1[Ende]"),"&gt;="&amp;D$1,INDIRECT("Table1[Obergruppe ATC-Code]"),Tabelle3!$A64)</f>
        <v>0</v>
      </c>
      <c r="E64">
        <f ca="1">COUNTIFS(INDIRECT("Table1[Beginn]"),"&lt;="&amp;E$1,INDIRECT("Table1[Ende]"),"&gt;="&amp;E$1,INDIRECT("Table1[Obergruppe ATC-Code]"),Tabelle3!$A64)</f>
        <v>0</v>
      </c>
      <c r="F64">
        <f ca="1">COUNTIFS(INDIRECT("Table1[Beginn]"),"&lt;="&amp;F$1,INDIRECT("Table1[Ende]"),"&gt;="&amp;F$1,INDIRECT("Table1[Obergruppe ATC-Code]"),Tabelle3!$A64)</f>
        <v>0</v>
      </c>
      <c r="G64">
        <f ca="1">COUNTIFS(INDIRECT("Table1[Beginn]"),"&lt;="&amp;G$1,INDIRECT("Table1[Ende]"),"&gt;="&amp;G$1,INDIRECT("Table1[Obergruppe ATC-Code]"),Tabelle3!$A64)</f>
        <v>0</v>
      </c>
      <c r="H64">
        <f ca="1">COUNTIFS(INDIRECT("Table1[Beginn]"),"&lt;="&amp;H$1,INDIRECT("Table1[Ende]"),"&gt;="&amp;H$1,INDIRECT("Table1[Obergruppe ATC-Code]"),Tabelle3!$A64)</f>
        <v>0</v>
      </c>
      <c r="I64">
        <f ca="1">COUNTIFS(INDIRECT("Table1[Beginn]"),"&lt;="&amp;I$1,INDIRECT("Table1[Ende]"),"&gt;="&amp;I$1,INDIRECT("Table1[Obergruppe ATC-Code]"),Tabelle3!$A64)</f>
        <v>0</v>
      </c>
      <c r="J64">
        <f ca="1">COUNTIFS(INDIRECT("Table1[Beginn]"),"&lt;="&amp;J$1,INDIRECT("Table1[Ende]"),"&gt;="&amp;J$1,INDIRECT("Table1[Obergruppe ATC-Code]"),Tabelle3!$A64)</f>
        <v>0</v>
      </c>
      <c r="K64">
        <f ca="1">COUNTIFS(INDIRECT("Table1[Beginn]"),"&lt;="&amp;K$1,INDIRECT("Table1[Ende]"),"&gt;="&amp;K$1,INDIRECT("Table1[Obergruppe ATC-Code]"),Tabelle3!$A64)</f>
        <v>0</v>
      </c>
      <c r="L64">
        <f ca="1">COUNTIFS(INDIRECT("Table1[Beginn]"),"&lt;="&amp;L$1,INDIRECT("Table1[Ende]"),"&gt;="&amp;L$1,INDIRECT("Table1[Obergruppe ATC-Code]"),Tabelle3!$A64)</f>
        <v>0</v>
      </c>
      <c r="M64">
        <f ca="1">COUNTIFS(INDIRECT("Table1[Beginn]"),"&lt;="&amp;M$1,INDIRECT("Table1[Ende]"),"&gt;="&amp;M$1,INDIRECT("Table1[Obergruppe ATC-Code]"),Tabelle3!$A64)</f>
        <v>0</v>
      </c>
      <c r="N64">
        <f ca="1">COUNTIFS(INDIRECT("Table1[Beginn]"),"&lt;="&amp;N$1,INDIRECT("Table1[Ende]"),"&gt;="&amp;N$1,INDIRECT("Table1[Obergruppe ATC-Code]"),Tabelle3!$A64)</f>
        <v>0</v>
      </c>
      <c r="O64">
        <f ca="1">COUNTIFS(INDIRECT("Table1[Beginn]"),"&lt;="&amp;O$1,INDIRECT("Table1[Ende]"),"&gt;="&amp;O$1,INDIRECT("Table1[Obergruppe ATC-Code]"),Tabelle3!$A64)</f>
        <v>0</v>
      </c>
      <c r="P64">
        <f ca="1">COUNTIFS(INDIRECT("Table1[Beginn]"),"&lt;="&amp;P$1,INDIRECT("Table1[Ende]"),"&gt;="&amp;P$1,INDIRECT("Table1[Obergruppe ATC-Code]"),Tabelle3!$A64)</f>
        <v>0</v>
      </c>
      <c r="Q64">
        <f ca="1">COUNTIFS(INDIRECT("Table1[Beginn]"),"&lt;="&amp;Q$1,INDIRECT("Table1[Ende]"),"&gt;="&amp;Q$1,INDIRECT("Table1[Obergruppe ATC-Code]"),Tabelle3!$A64)</f>
        <v>0</v>
      </c>
      <c r="R64">
        <f ca="1">COUNTIFS(INDIRECT("Table1[Beginn]"),"&lt;="&amp;R$1,INDIRECT("Table1[Ende]"),"&gt;="&amp;R$1,INDIRECT("Table1[Obergruppe ATC-Code]"),Tabelle3!$A64)</f>
        <v>0</v>
      </c>
      <c r="S64">
        <f ca="1">COUNTIFS(INDIRECT("Table1[Beginn]"),"&lt;="&amp;S$1,INDIRECT("Table1[Ende]"),"&gt;="&amp;S$1,INDIRECT("Table1[Obergruppe ATC-Code]"),Tabelle3!$A64)</f>
        <v>0</v>
      </c>
      <c r="T64">
        <f ca="1">COUNTIFS(INDIRECT("Table1[Beginn]"),"&lt;="&amp;T$1,INDIRECT("Table1[Ende]"),"&gt;="&amp;T$1,INDIRECT("Table1[Obergruppe ATC-Code]"),Tabelle3!$A64)</f>
        <v>0</v>
      </c>
      <c r="U64">
        <f ca="1">COUNTIFS(INDIRECT("Table1[Beginn]"),"&lt;="&amp;U$1,INDIRECT("Table1[Ende]"),"&gt;="&amp;U$1,INDIRECT("Table1[Obergruppe ATC-Code]"),Tabelle3!$A64)</f>
        <v>0</v>
      </c>
      <c r="V64">
        <f ca="1">COUNTIFS(INDIRECT("Table1[Beginn]"),"&lt;="&amp;V$1,INDIRECT("Table1[Ende]"),"&gt;="&amp;V$1,INDIRECT("Table1[Obergruppe ATC-Code]"),Tabelle3!$A64)</f>
        <v>0</v>
      </c>
      <c r="W64">
        <f ca="1">COUNTIFS(INDIRECT("Table1[Beginn]"),"&lt;="&amp;W$1,INDIRECT("Table1[Ende]"),"&gt;="&amp;W$1,INDIRECT("Table1[Obergruppe ATC-Code]"),Tabelle3!$A64)</f>
        <v>0</v>
      </c>
      <c r="X64">
        <f ca="1">COUNTIFS(INDIRECT("Table1[Beginn]"),"&lt;="&amp;X$1,INDIRECT("Table1[Ende]"),"&gt;="&amp;X$1,INDIRECT("Table1[Obergruppe ATC-Code]"),Tabelle3!$A64)</f>
        <v>0</v>
      </c>
      <c r="Y64">
        <f ca="1">COUNTIFS(INDIRECT("Table1[Beginn]"),"&lt;="&amp;Y$1,INDIRECT("Table1[Ende]"),"&gt;="&amp;Y$1,INDIRECT("Table1[Obergruppe ATC-Code]"),Tabelle3!$A64)</f>
        <v>0</v>
      </c>
      <c r="Z64">
        <f ca="1">COUNTIFS(INDIRECT("Table1[Beginn]"),"&lt;="&amp;Z$1,INDIRECT("Table1[Ende]"),"&gt;="&amp;Z$1,INDIRECT("Table1[Obergruppe ATC-Code]"),Tabelle3!$A64)</f>
        <v>0</v>
      </c>
      <c r="AA64">
        <f ca="1">COUNTIFS(INDIRECT("Table1[Beginn]"),"&lt;="&amp;AA$1,INDIRECT("Table1[Ende]"),"&gt;="&amp;AA$1,INDIRECT("Table1[Obergruppe ATC-Code]"),Tabelle3!$A64)</f>
        <v>0</v>
      </c>
      <c r="AB64">
        <f ca="1">COUNTIFS(INDIRECT("Table1[Beginn]"),"&lt;="&amp;AB$1,INDIRECT("Table1[Ende]"),"&gt;="&amp;AB$1,INDIRECT("Table1[Obergruppe ATC-Code]"),Tabelle3!$A64)</f>
        <v>0</v>
      </c>
      <c r="AC64">
        <f ca="1">COUNTIFS(INDIRECT("Table1[Beginn]"),"&lt;="&amp;AC$1,INDIRECT("Table1[Ende]"),"&gt;="&amp;AC$1,INDIRECT("Table1[Obergruppe ATC-Code]"),Tabelle3!$A64)</f>
        <v>0</v>
      </c>
      <c r="AD64">
        <f ca="1">COUNTIFS(INDIRECT("Table1[Beginn]"),"&lt;="&amp;AD$1,INDIRECT("Table1[Ende]"),"&gt;="&amp;AD$1,INDIRECT("Table1[Obergruppe ATC-Code]"),Tabelle3!$A64)</f>
        <v>0</v>
      </c>
      <c r="AE64">
        <f ca="1">COUNTIFS(INDIRECT("Table1[Beginn]"),"&lt;="&amp;AE$1,INDIRECT("Table1[Ende]"),"&gt;="&amp;AE$1,INDIRECT("Table1[Obergruppe ATC-Code]"),Tabelle3!$A64)</f>
        <v>0</v>
      </c>
      <c r="AF64">
        <f ca="1">COUNTIFS(INDIRECT("Table1[Beginn]"),"&lt;="&amp;AF$1,INDIRECT("Table1[Ende]"),"&gt;="&amp;AF$1,INDIRECT("Table1[Obergruppe ATC-Code]"),Tabelle3!$A64)</f>
        <v>0</v>
      </c>
      <c r="AG64">
        <f ca="1">COUNTIFS(INDIRECT("Table1[Beginn]"),"&lt;="&amp;AG$1,INDIRECT("Table1[Ende]"),"&gt;="&amp;AG$1,INDIRECT("Table1[Obergruppe ATC-Code]"),Tabelle3!$A64)</f>
        <v>0</v>
      </c>
      <c r="AH64">
        <f ca="1">COUNTIFS(INDIRECT("Table1[Beginn]"),"&lt;="&amp;AH$1,INDIRECT("Table1[Ende]"),"&gt;="&amp;AH$1,INDIRECT("Table1[Obergruppe ATC-Code]"),Tabelle3!$A64)</f>
        <v>0</v>
      </c>
      <c r="AI64">
        <f ca="1">COUNTIFS(INDIRECT("Table1[Beginn]"),"&lt;="&amp;AI$1,INDIRECT("Table1[Ende]"),"&gt;="&amp;AI$1,INDIRECT("Table1[Obergruppe ATC-Code]"),Tabelle3!$A64)</f>
        <v>0</v>
      </c>
      <c r="AJ64">
        <f ca="1">COUNTIFS(INDIRECT("Table1[Beginn]"),"&lt;="&amp;AJ$1,INDIRECT("Table1[Ende]"),"&gt;="&amp;AJ$1,INDIRECT("Table1[Obergruppe ATC-Code]"),Tabelle3!$A64)</f>
        <v>0</v>
      </c>
      <c r="AK64">
        <f ca="1">COUNTIFS(INDIRECT("Table1[Beginn]"),"&lt;="&amp;AK$1,INDIRECT("Table1[Ende]"),"&gt;="&amp;AK$1,INDIRECT("Table1[Obergruppe ATC-Code]"),Tabelle3!$A64)</f>
        <v>0</v>
      </c>
      <c r="AL64">
        <f ca="1">COUNTIFS(INDIRECT("Table1[Beginn]"),"&lt;="&amp;AL$1,INDIRECT("Table1[Ende]"),"&gt;="&amp;AL$1,INDIRECT("Table1[Obergruppe ATC-Code]"),Tabelle3!$A64)</f>
        <v>0</v>
      </c>
      <c r="AM64">
        <f ca="1">COUNTIFS(INDIRECT("Table1[Beginn]"),"&lt;="&amp;AM$1,INDIRECT("Table1[Ende]"),"&gt;="&amp;AM$1,INDIRECT("Table1[Obergruppe ATC-Code]"),Tabelle3!$A64)</f>
        <v>0</v>
      </c>
      <c r="AN64">
        <f ca="1">COUNTIFS(INDIRECT("Table1[Beginn]"),"&lt;="&amp;AN$1,INDIRECT("Table1[Ende]"),"&gt;="&amp;AN$1,INDIRECT("Table1[Obergruppe ATC-Code]"),Tabelle3!$A64)</f>
        <v>0</v>
      </c>
      <c r="AO64">
        <f ca="1">COUNTIFS(INDIRECT("Table1[Beginn]"),"&lt;="&amp;AO$1,INDIRECT("Table1[Ende]"),"&gt;="&amp;AO$1,INDIRECT("Table1[Obergruppe ATC-Code]"),Tabelle3!$A64)</f>
        <v>0</v>
      </c>
      <c r="AP64">
        <f ca="1">COUNTIFS(INDIRECT("Table1[Beginn]"),"&lt;="&amp;AP$1,INDIRECT("Table1[Ende]"),"&gt;="&amp;AP$1,INDIRECT("Table1[Obergruppe ATC-Code]"),Tabelle3!$A64)</f>
        <v>0</v>
      </c>
      <c r="AQ64">
        <f ca="1">COUNTIFS(INDIRECT("Table1[Beginn]"),"&lt;="&amp;AQ$1,INDIRECT("Table1[Ende]"),"&gt;="&amp;AQ$1,INDIRECT("Table1[Obergruppe ATC-Code]"),Tabelle3!$A64)</f>
        <v>0</v>
      </c>
      <c r="AR64">
        <f ca="1">COUNTIFS(INDIRECT("Table1[Beginn]"),"&lt;="&amp;AR$1,INDIRECT("Table1[Ende]"),"&gt;="&amp;AR$1,INDIRECT("Table1[Obergruppe ATC-Code]"),Tabelle3!$A64)</f>
        <v>0</v>
      </c>
      <c r="AS64">
        <f ca="1">COUNTIFS(INDIRECT("Table1[Beginn]"),"&lt;="&amp;AS$1,INDIRECT("Table1[Ende]"),"&gt;="&amp;AS$1,INDIRECT("Table1[Obergruppe ATC-Code]"),Tabelle3!$A64)</f>
        <v>0</v>
      </c>
      <c r="AT64">
        <f ca="1">COUNTIFS(INDIRECT("Table1[Beginn]"),"&lt;="&amp;AT$1,INDIRECT("Table1[Ende]"),"&gt;="&amp;AT$1,INDIRECT("Table1[Obergruppe ATC-Code]"),Tabelle3!$A64)</f>
        <v>0</v>
      </c>
      <c r="AU64">
        <f ca="1">COUNTIFS(INDIRECT("Table1[Beginn]"),"&lt;="&amp;AU$1,INDIRECT("Table1[Ende]"),"&gt;="&amp;AU$1,INDIRECT("Table1[Obergruppe ATC-Code]"),Tabelle3!$A64)</f>
        <v>0</v>
      </c>
      <c r="AV64">
        <f ca="1">COUNTIFS(INDIRECT("Table1[Beginn]"),"&lt;="&amp;AV$1,INDIRECT("Table1[Ende]"),"&gt;="&amp;AV$1,INDIRECT("Table1[Obergruppe ATC-Code]"),Tabelle3!$A64)</f>
        <v>0</v>
      </c>
      <c r="AW64">
        <f ca="1">COUNTIFS(INDIRECT("Table1[Beginn]"),"&lt;="&amp;AW$1,INDIRECT("Table1[Ende]"),"&gt;="&amp;AW$1,INDIRECT("Table1[Obergruppe ATC-Code]"),Tabelle3!$A64)</f>
        <v>0</v>
      </c>
      <c r="AX64">
        <f ca="1">COUNTIFS(INDIRECT("Table1[Beginn]"),"&lt;="&amp;AX$1,INDIRECT("Table1[Ende]"),"&gt;="&amp;AX$1,INDIRECT("Table1[Obergruppe ATC-Code]"),Tabelle3!$A64)</f>
        <v>0</v>
      </c>
      <c r="AY64">
        <f ca="1">COUNTIFS(INDIRECT("Table1[Beginn]"),"&lt;="&amp;AY$1,INDIRECT("Table1[Ende]"),"&gt;="&amp;AY$1,INDIRECT("Table1[Obergruppe ATC-Code]"),Tabelle3!$A64)</f>
        <v>0</v>
      </c>
      <c r="AZ64">
        <f ca="1">COUNTIFS(INDIRECT("Table1[Beginn]"),"&lt;="&amp;AZ$1,INDIRECT("Table1[Ende]"),"&gt;="&amp;AZ$1,INDIRECT("Table1[Obergruppe ATC-Code]"),Tabelle3!$A64)</f>
        <v>0</v>
      </c>
      <c r="BA64">
        <f ca="1">COUNTIFS(INDIRECT("Table1[Beginn]"),"&lt;="&amp;BA$1,INDIRECT("Table1[Ende]"),"&gt;="&amp;BA$1,INDIRECT("Table1[Obergruppe ATC-Code]"),Tabelle3!$A64)</f>
        <v>0</v>
      </c>
      <c r="BB64">
        <f ca="1">COUNTIFS(INDIRECT("Table1[Beginn]"),"&lt;="&amp;BB$1,INDIRECT("Table1[Ende]"),"&gt;="&amp;BB$1,INDIRECT("Table1[Obergruppe ATC-Code]"),Tabelle3!$A64)</f>
        <v>0</v>
      </c>
      <c r="BC64">
        <f ca="1">COUNTIFS(INDIRECT("Table1[Beginn]"),"&lt;="&amp;BC$1,INDIRECT("Table1[Ende]"),"&gt;="&amp;BC$1,INDIRECT("Table1[Obergruppe ATC-Code]"),Tabelle3!$A64)</f>
        <v>0</v>
      </c>
      <c r="BD64">
        <f ca="1">COUNTIFS(INDIRECT("Table1[Beginn]"),"&lt;="&amp;BD$1,INDIRECT("Table1[Ende]"),"&gt;="&amp;BD$1,INDIRECT("Table1[Obergruppe ATC-Code]"),Tabelle3!$A64)</f>
        <v>0</v>
      </c>
      <c r="BE64">
        <f ca="1">COUNTIFS(INDIRECT("Table1[Beginn]"),"&lt;="&amp;BE$1,INDIRECT("Table1[Ende]"),"&gt;="&amp;BE$1,INDIRECT("Table1[Obergruppe ATC-Code]"),Tabelle3!$A64)</f>
        <v>0</v>
      </c>
      <c r="BF64">
        <f ca="1">COUNTIFS(INDIRECT("Table1[Beginn]"),"&lt;="&amp;BF$1,INDIRECT("Table1[Ende]"),"&gt;="&amp;BF$1,INDIRECT("Table1[Obergruppe ATC-Code]"),Tabelle3!$A64)</f>
        <v>0</v>
      </c>
      <c r="BG64">
        <f ca="1">COUNTIFS(INDIRECT("Table1[Beginn]"),"&lt;="&amp;BG$1,INDIRECT("Table1[Ende]"),"&gt;="&amp;BG$1,INDIRECT("Table1[Obergruppe ATC-Code]"),Tabelle3!$A64)</f>
        <v>0</v>
      </c>
      <c r="BH64">
        <f ca="1">COUNTIFS(INDIRECT("Table1[Beginn]"),"&lt;="&amp;BH$1,INDIRECT("Table1[Ende]"),"&gt;="&amp;BH$1,INDIRECT("Table1[Obergruppe ATC-Code]"),Tabelle3!$A64)</f>
        <v>0</v>
      </c>
      <c r="BI64">
        <f ca="1">COUNTIFS(INDIRECT("Table1[Beginn]"),"&lt;="&amp;BI$1,INDIRECT("Table1[Ende]"),"&gt;="&amp;BI$1,INDIRECT("Table1[Obergruppe ATC-Code]"),Tabelle3!$A64)</f>
        <v>0</v>
      </c>
      <c r="BJ64">
        <f ca="1">COUNTIFS(INDIRECT("Table1[Beginn]"),"&lt;="&amp;BJ$1,INDIRECT("Table1[Ende]"),"&gt;="&amp;BJ$1,INDIRECT("Table1[Obergruppe ATC-Code]"),Tabelle3!$A64)</f>
        <v>0</v>
      </c>
      <c r="BK64">
        <f ca="1">COUNTIFS(INDIRECT("Table1[Beginn]"),"&lt;="&amp;BK$1,INDIRECT("Table1[Ende]"),"&gt;="&amp;BK$1,INDIRECT("Table1[Obergruppe ATC-Code]"),Tabelle3!$A64)</f>
        <v>0</v>
      </c>
      <c r="BL64">
        <f ca="1">COUNTIFS(INDIRECT("Table1[Beginn]"),"&lt;="&amp;BL$1,INDIRECT("Table1[Ende]"),"&gt;="&amp;BL$1,INDIRECT("Table1[Obergruppe ATC-Code]"),Tabelle3!$A64)</f>
        <v>0</v>
      </c>
      <c r="BM64">
        <f ca="1">COUNTIFS(INDIRECT("Table1[Beginn]"),"&lt;="&amp;BM$1,INDIRECT("Table1[Ende]"),"&gt;="&amp;BM$1,INDIRECT("Table1[Obergruppe ATC-Code]"),Tabelle3!$A64)</f>
        <v>0</v>
      </c>
      <c r="BN64">
        <f ca="1">COUNTIFS(INDIRECT("Table1[Beginn]"),"&lt;="&amp;BN$1,INDIRECT("Table1[Ende]"),"&gt;="&amp;BN$1,INDIRECT("Table1[Obergruppe ATC-Code]"),Tabelle3!$A64)</f>
        <v>0</v>
      </c>
      <c r="BO64">
        <f ca="1">COUNTIFS(INDIRECT("Table1[Beginn]"),"&lt;="&amp;BO$1,INDIRECT("Table1[Ende]"),"&gt;="&amp;BO$1,INDIRECT("Table1[Obergruppe ATC-Code]"),Tabelle3!$A64)</f>
        <v>0</v>
      </c>
      <c r="BP64">
        <f ca="1">COUNTIFS(INDIRECT("Table1[Beginn]"),"&lt;="&amp;BP$1,INDIRECT("Table1[Ende]"),"&gt;="&amp;BP$1,INDIRECT("Table1[Obergruppe ATC-Code]"),Tabelle3!$A64)</f>
        <v>0</v>
      </c>
      <c r="BQ64">
        <f ca="1">COUNTIFS(INDIRECT("Table1[Beginn]"),"&lt;="&amp;BQ$1,INDIRECT("Table1[Ende]"),"&gt;="&amp;BQ$1,INDIRECT("Table1[Obergruppe ATC-Code]"),Tabelle3!$A64)</f>
        <v>0</v>
      </c>
      <c r="BR64">
        <f ca="1">COUNTIFS(INDIRECT("Table1[Beginn]"),"&lt;="&amp;BR$1,INDIRECT("Table1[Ende]"),"&gt;="&amp;BR$1,INDIRECT("Table1[Obergruppe ATC-Code]"),Tabelle3!$A64)</f>
        <v>0</v>
      </c>
      <c r="BS64">
        <f ca="1">COUNTIFS(INDIRECT("Table1[Beginn]"),"&lt;="&amp;BS$1,INDIRECT("Table1[Ende]"),"&gt;="&amp;BS$1,INDIRECT("Table1[Obergruppe ATC-Code]"),Tabelle3!$A64)</f>
        <v>0</v>
      </c>
      <c r="BT64">
        <f ca="1">COUNTIFS(INDIRECT("Table1[Beginn]"),"&lt;="&amp;BT$1,INDIRECT("Table1[Ende]"),"&gt;="&amp;BT$1,INDIRECT("Table1[Obergruppe ATC-Code]"),Tabelle3!$A64)</f>
        <v>0</v>
      </c>
      <c r="BU64">
        <f ca="1">COUNTIFS(INDIRECT("Table1[Beginn]"),"&lt;="&amp;BU$1,INDIRECT("Table1[Ende]"),"&gt;="&amp;BU$1,INDIRECT("Table1[Obergruppe ATC-Code]"),Tabelle3!$A64)</f>
        <v>0</v>
      </c>
      <c r="BV64">
        <f ca="1">COUNTIFS(INDIRECT("Table1[Beginn]"),"&lt;="&amp;BV$1,INDIRECT("Table1[Ende]"),"&gt;="&amp;BV$1,INDIRECT("Table1[Obergruppe ATC-Code]"),Tabelle3!$A64)</f>
        <v>0</v>
      </c>
      <c r="BW64">
        <f ca="1">COUNTIFS(INDIRECT("Table1[Beginn]"),"&lt;="&amp;BW$1,INDIRECT("Table1[Ende]"),"&gt;="&amp;BW$1,INDIRECT("Table1[Obergruppe ATC-Code]"),Tabelle3!$A64)</f>
        <v>0</v>
      </c>
      <c r="BX64">
        <f ca="1">COUNTIFS(INDIRECT("Table1[Beginn]"),"&lt;="&amp;BX$1,INDIRECT("Table1[Ende]"),"&gt;="&amp;BX$1,INDIRECT("Table1[Obergruppe ATC-Code]"),Tabelle3!$A64)</f>
        <v>0</v>
      </c>
      <c r="BY64">
        <f ca="1">COUNTIFS(INDIRECT("Table1[Beginn]"),"&lt;="&amp;BY$1,INDIRECT("Table1[Ende]"),"&gt;="&amp;BY$1,INDIRECT("Table1[Obergruppe ATC-Code]"),Tabelle3!$A64)</f>
        <v>0</v>
      </c>
      <c r="BZ64">
        <f ca="1">COUNTIFS(INDIRECT("Table1[Beginn]"),"&lt;="&amp;BZ$1,INDIRECT("Table1[Ende]"),"&gt;="&amp;BZ$1,INDIRECT("Table1[Obergruppe ATC-Code]"),Tabelle3!$A64)</f>
        <v>0</v>
      </c>
      <c r="CA64">
        <f ca="1">COUNTIFS(INDIRECT("Table1[Beginn]"),"&lt;="&amp;CA$1,INDIRECT("Table1[Ende]"),"&gt;="&amp;CA$1,INDIRECT("Table1[Obergruppe ATC-Code]"),Tabelle3!$A64)</f>
        <v>0</v>
      </c>
      <c r="CB64">
        <f ca="1">COUNTIFS(INDIRECT("Table1[Beginn]"),"&lt;="&amp;CB$1,INDIRECT("Table1[Ende]"),"&gt;="&amp;CB$1,INDIRECT("Table1[Obergruppe ATC-Code]"),Tabelle3!$A64)</f>
        <v>0</v>
      </c>
      <c r="CC64">
        <f ca="1">COUNTIFS(INDIRECT("Table1[Beginn]"),"&lt;="&amp;CC$1,INDIRECT("Table1[Ende]"),"&gt;="&amp;CC$1,INDIRECT("Table1[Obergruppe ATC-Code]"),Tabelle3!$A64)</f>
        <v>0</v>
      </c>
      <c r="CD64">
        <f ca="1">COUNTIFS(INDIRECT("Table1[Beginn]"),"&lt;="&amp;CD$1,INDIRECT("Table1[Ende]"),"&gt;="&amp;CD$1,INDIRECT("Table1[Obergruppe ATC-Code]"),Tabelle3!$A64)</f>
        <v>0</v>
      </c>
      <c r="CE64">
        <f ca="1">COUNTIFS(INDIRECT("Table1[Beginn]"),"&lt;="&amp;CE$1,INDIRECT("Table1[Ende]"),"&gt;="&amp;CE$1,INDIRECT("Table1[Obergruppe ATC-Code]"),Tabelle3!$A64)</f>
        <v>0</v>
      </c>
      <c r="CF64">
        <f ca="1">COUNTIFS(INDIRECT("Table1[Beginn]"),"&lt;="&amp;CF$1,INDIRECT("Table1[Ende]"),"&gt;="&amp;CF$1,INDIRECT("Table1[Obergruppe ATC-Code]"),Tabelle3!$A64)</f>
        <v>0</v>
      </c>
      <c r="CG64">
        <f ca="1">COUNTIFS(INDIRECT("Table1[Beginn]"),"&lt;="&amp;CG$1,INDIRECT("Table1[Ende]"),"&gt;="&amp;CG$1,INDIRECT("Table1[Obergruppe ATC-Code]"),Tabelle3!$A64)</f>
        <v>0</v>
      </c>
      <c r="CH64">
        <f ca="1">COUNTIFS(INDIRECT("Table1[Beginn]"),"&lt;="&amp;CH$1,INDIRECT("Table1[Ende]"),"&gt;="&amp;CH$1,INDIRECT("Table1[Obergruppe ATC-Code]"),Tabelle3!$A64)</f>
        <v>0</v>
      </c>
      <c r="CI64">
        <f ca="1">COUNTIFS(INDIRECT("Table1[Beginn]"),"&lt;="&amp;CI$1,INDIRECT("Table1[Ende]"),"&gt;="&amp;CI$1,INDIRECT("Table1[Obergruppe ATC-Code]"),Tabelle3!$A64)</f>
        <v>0</v>
      </c>
      <c r="CJ64">
        <f ca="1">COUNTIFS(INDIRECT("Table1[Beginn]"),"&lt;="&amp;CJ$1,INDIRECT("Table1[Ende]"),"&gt;="&amp;CJ$1,INDIRECT("Table1[Obergruppe ATC-Code]"),Tabelle3!$A64)</f>
        <v>0</v>
      </c>
      <c r="CK64">
        <f ca="1">COUNTIFS(INDIRECT("Table1[Beginn]"),"&lt;="&amp;CK$1,INDIRECT("Table1[Ende]"),"&gt;="&amp;CK$1,INDIRECT("Table1[Obergruppe ATC-Code]"),Tabelle3!$A64)</f>
        <v>0</v>
      </c>
      <c r="CL64">
        <f ca="1">COUNTIFS(INDIRECT("Table1[Beginn]"),"&lt;="&amp;CL$1,INDIRECT("Table1[Ende]"),"&gt;="&amp;CL$1,INDIRECT("Table1[Obergruppe ATC-Code]"),Tabelle3!$A64)</f>
        <v>0</v>
      </c>
      <c r="CM64">
        <f ca="1">COUNTIFS(INDIRECT("Table1[Beginn]"),"&lt;="&amp;CM$1,INDIRECT("Table1[Ende]"),"&gt;="&amp;CM$1,INDIRECT("Table1[Obergruppe ATC-Code]"),Tabelle3!$A64)</f>
        <v>0</v>
      </c>
      <c r="CN64">
        <f ca="1">COUNTIFS(INDIRECT("Table1[Beginn]"),"&lt;="&amp;CN$1,INDIRECT("Table1[Ende]"),"&gt;="&amp;CN$1,INDIRECT("Table1[Obergruppe ATC-Code]"),Tabelle3!$A64)</f>
        <v>0</v>
      </c>
      <c r="CO64">
        <f ca="1">COUNTIFS(INDIRECT("Table1[Beginn]"),"&lt;="&amp;CO$1,INDIRECT("Table1[Ende]"),"&gt;="&amp;CO$1,INDIRECT("Table1[Obergruppe ATC-Code]"),Tabelle3!$A64)</f>
        <v>0</v>
      </c>
      <c r="CP64">
        <f ca="1">COUNTIFS(INDIRECT("Table1[Beginn]"),"&lt;="&amp;CP$1,INDIRECT("Table1[Ende]"),"&gt;="&amp;CP$1,INDIRECT("Table1[Obergruppe ATC-Code]"),Tabelle3!$A64)</f>
        <v>0</v>
      </c>
      <c r="CQ64">
        <f ca="1">COUNTIFS(INDIRECT("Table1[Beginn]"),"&lt;="&amp;CQ$1,INDIRECT("Table1[Ende]"),"&gt;="&amp;CQ$1,INDIRECT("Table1[Obergruppe ATC-Code]"),Tabelle3!$A64)</f>
        <v>0</v>
      </c>
      <c r="CR64">
        <f ca="1">COUNTIFS(INDIRECT("Table1[Beginn]"),"&lt;="&amp;CR$1,INDIRECT("Table1[Ende]"),"&gt;="&amp;CR$1,INDIRECT("Table1[Obergruppe ATC-Code]"),Tabelle3!$A64)</f>
        <v>0</v>
      </c>
    </row>
    <row r="65" spans="1:96" ht="18">
      <c r="A65" s="9" t="s">
        <v>6898</v>
      </c>
      <c r="B65" s="10" t="s">
        <v>6899</v>
      </c>
      <c r="C65">
        <f ca="1">COUNTIFS(INDIRECT("Table1[Beginn]"),"&lt;="&amp;C$1,INDIRECT("Table1[Ende]"),"&gt;="&amp;C$1,INDIRECT("Table1[Obergruppe ATC-Code]"),Tabelle3!$A65)</f>
        <v>0</v>
      </c>
      <c r="D65">
        <f ca="1">COUNTIFS(INDIRECT("Table1[Beginn]"),"&lt;="&amp;D$1,INDIRECT("Table1[Ende]"),"&gt;="&amp;D$1,INDIRECT("Table1[Obergruppe ATC-Code]"),Tabelle3!$A65)</f>
        <v>0</v>
      </c>
      <c r="E65">
        <f ca="1">COUNTIFS(INDIRECT("Table1[Beginn]"),"&lt;="&amp;E$1,INDIRECT("Table1[Ende]"),"&gt;="&amp;E$1,INDIRECT("Table1[Obergruppe ATC-Code]"),Tabelle3!$A65)</f>
        <v>0</v>
      </c>
      <c r="F65">
        <f ca="1">COUNTIFS(INDIRECT("Table1[Beginn]"),"&lt;="&amp;F$1,INDIRECT("Table1[Ende]"),"&gt;="&amp;F$1,INDIRECT("Table1[Obergruppe ATC-Code]"),Tabelle3!$A65)</f>
        <v>0</v>
      </c>
      <c r="G65">
        <f ca="1">COUNTIFS(INDIRECT("Table1[Beginn]"),"&lt;="&amp;G$1,INDIRECT("Table1[Ende]"),"&gt;="&amp;G$1,INDIRECT("Table1[Obergruppe ATC-Code]"),Tabelle3!$A65)</f>
        <v>0</v>
      </c>
      <c r="H65">
        <f ca="1">COUNTIFS(INDIRECT("Table1[Beginn]"),"&lt;="&amp;H$1,INDIRECT("Table1[Ende]"),"&gt;="&amp;H$1,INDIRECT("Table1[Obergruppe ATC-Code]"),Tabelle3!$A65)</f>
        <v>0</v>
      </c>
      <c r="I65">
        <f ca="1">COUNTIFS(INDIRECT("Table1[Beginn]"),"&lt;="&amp;I$1,INDIRECT("Table1[Ende]"),"&gt;="&amp;I$1,INDIRECT("Table1[Obergruppe ATC-Code]"),Tabelle3!$A65)</f>
        <v>0</v>
      </c>
      <c r="J65">
        <f ca="1">COUNTIFS(INDIRECT("Table1[Beginn]"),"&lt;="&amp;J$1,INDIRECT("Table1[Ende]"),"&gt;="&amp;J$1,INDIRECT("Table1[Obergruppe ATC-Code]"),Tabelle3!$A65)</f>
        <v>0</v>
      </c>
      <c r="K65">
        <f ca="1">COUNTIFS(INDIRECT("Table1[Beginn]"),"&lt;="&amp;K$1,INDIRECT("Table1[Ende]"),"&gt;="&amp;K$1,INDIRECT("Table1[Obergruppe ATC-Code]"),Tabelle3!$A65)</f>
        <v>0</v>
      </c>
      <c r="L65">
        <f ca="1">COUNTIFS(INDIRECT("Table1[Beginn]"),"&lt;="&amp;L$1,INDIRECT("Table1[Ende]"),"&gt;="&amp;L$1,INDIRECT("Table1[Obergruppe ATC-Code]"),Tabelle3!$A65)</f>
        <v>0</v>
      </c>
      <c r="M65">
        <f ca="1">COUNTIFS(INDIRECT("Table1[Beginn]"),"&lt;="&amp;M$1,INDIRECT("Table1[Ende]"),"&gt;="&amp;M$1,INDIRECT("Table1[Obergruppe ATC-Code]"),Tabelle3!$A65)</f>
        <v>0</v>
      </c>
      <c r="N65">
        <f ca="1">COUNTIFS(INDIRECT("Table1[Beginn]"),"&lt;="&amp;N$1,INDIRECT("Table1[Ende]"),"&gt;="&amp;N$1,INDIRECT("Table1[Obergruppe ATC-Code]"),Tabelle3!$A65)</f>
        <v>0</v>
      </c>
      <c r="O65">
        <f ca="1">COUNTIFS(INDIRECT("Table1[Beginn]"),"&lt;="&amp;O$1,INDIRECT("Table1[Ende]"),"&gt;="&amp;O$1,INDIRECT("Table1[Obergruppe ATC-Code]"),Tabelle3!$A65)</f>
        <v>0</v>
      </c>
      <c r="P65">
        <f ca="1">COUNTIFS(INDIRECT("Table1[Beginn]"),"&lt;="&amp;P$1,INDIRECT("Table1[Ende]"),"&gt;="&amp;P$1,INDIRECT("Table1[Obergruppe ATC-Code]"),Tabelle3!$A65)</f>
        <v>0</v>
      </c>
      <c r="Q65">
        <f ca="1">COUNTIFS(INDIRECT("Table1[Beginn]"),"&lt;="&amp;Q$1,INDIRECT("Table1[Ende]"),"&gt;="&amp;Q$1,INDIRECT("Table1[Obergruppe ATC-Code]"),Tabelle3!$A65)</f>
        <v>0</v>
      </c>
      <c r="R65">
        <f ca="1">COUNTIFS(INDIRECT("Table1[Beginn]"),"&lt;="&amp;R$1,INDIRECT("Table1[Ende]"),"&gt;="&amp;R$1,INDIRECT("Table1[Obergruppe ATC-Code]"),Tabelle3!$A65)</f>
        <v>0</v>
      </c>
      <c r="S65">
        <f ca="1">COUNTIFS(INDIRECT("Table1[Beginn]"),"&lt;="&amp;S$1,INDIRECT("Table1[Ende]"),"&gt;="&amp;S$1,INDIRECT("Table1[Obergruppe ATC-Code]"),Tabelle3!$A65)</f>
        <v>0</v>
      </c>
      <c r="T65">
        <f ca="1">COUNTIFS(INDIRECT("Table1[Beginn]"),"&lt;="&amp;T$1,INDIRECT("Table1[Ende]"),"&gt;="&amp;T$1,INDIRECT("Table1[Obergruppe ATC-Code]"),Tabelle3!$A65)</f>
        <v>1</v>
      </c>
      <c r="U65">
        <f ca="1">COUNTIFS(INDIRECT("Table1[Beginn]"),"&lt;="&amp;U$1,INDIRECT("Table1[Ende]"),"&gt;="&amp;U$1,INDIRECT("Table1[Obergruppe ATC-Code]"),Tabelle3!$A65)</f>
        <v>1</v>
      </c>
      <c r="V65">
        <f ca="1">COUNTIFS(INDIRECT("Table1[Beginn]"),"&lt;="&amp;V$1,INDIRECT("Table1[Ende]"),"&gt;="&amp;V$1,INDIRECT("Table1[Obergruppe ATC-Code]"),Tabelle3!$A65)</f>
        <v>1</v>
      </c>
      <c r="W65">
        <f ca="1">COUNTIFS(INDIRECT("Table1[Beginn]"),"&lt;="&amp;W$1,INDIRECT("Table1[Ende]"),"&gt;="&amp;W$1,INDIRECT("Table1[Obergruppe ATC-Code]"),Tabelle3!$A65)</f>
        <v>1</v>
      </c>
      <c r="X65">
        <f ca="1">COUNTIFS(INDIRECT("Table1[Beginn]"),"&lt;="&amp;X$1,INDIRECT("Table1[Ende]"),"&gt;="&amp;X$1,INDIRECT("Table1[Obergruppe ATC-Code]"),Tabelle3!$A65)</f>
        <v>1</v>
      </c>
      <c r="Y65">
        <f ca="1">COUNTIFS(INDIRECT("Table1[Beginn]"),"&lt;="&amp;Y$1,INDIRECT("Table1[Ende]"),"&gt;="&amp;Y$1,INDIRECT("Table1[Obergruppe ATC-Code]"),Tabelle3!$A65)</f>
        <v>0</v>
      </c>
      <c r="Z65">
        <f ca="1">COUNTIFS(INDIRECT("Table1[Beginn]"),"&lt;="&amp;Z$1,INDIRECT("Table1[Ende]"),"&gt;="&amp;Z$1,INDIRECT("Table1[Obergruppe ATC-Code]"),Tabelle3!$A65)</f>
        <v>0</v>
      </c>
      <c r="AA65">
        <f ca="1">COUNTIFS(INDIRECT("Table1[Beginn]"),"&lt;="&amp;AA$1,INDIRECT("Table1[Ende]"),"&gt;="&amp;AA$1,INDIRECT("Table1[Obergruppe ATC-Code]"),Tabelle3!$A65)</f>
        <v>0</v>
      </c>
      <c r="AB65">
        <f ca="1">COUNTIFS(INDIRECT("Table1[Beginn]"),"&lt;="&amp;AB$1,INDIRECT("Table1[Ende]"),"&gt;="&amp;AB$1,INDIRECT("Table1[Obergruppe ATC-Code]"),Tabelle3!$A65)</f>
        <v>0</v>
      </c>
      <c r="AC65">
        <f ca="1">COUNTIFS(INDIRECT("Table1[Beginn]"),"&lt;="&amp;AC$1,INDIRECT("Table1[Ende]"),"&gt;="&amp;AC$1,INDIRECT("Table1[Obergruppe ATC-Code]"),Tabelle3!$A65)</f>
        <v>0</v>
      </c>
      <c r="AD65">
        <f ca="1">COUNTIFS(INDIRECT("Table1[Beginn]"),"&lt;="&amp;AD$1,INDIRECT("Table1[Ende]"),"&gt;="&amp;AD$1,INDIRECT("Table1[Obergruppe ATC-Code]"),Tabelle3!$A65)</f>
        <v>0</v>
      </c>
      <c r="AE65">
        <f ca="1">COUNTIFS(INDIRECT("Table1[Beginn]"),"&lt;="&amp;AE$1,INDIRECT("Table1[Ende]"),"&gt;="&amp;AE$1,INDIRECT("Table1[Obergruppe ATC-Code]"),Tabelle3!$A65)</f>
        <v>0</v>
      </c>
      <c r="AF65">
        <f ca="1">COUNTIFS(INDIRECT("Table1[Beginn]"),"&lt;="&amp;AF$1,INDIRECT("Table1[Ende]"),"&gt;="&amp;AF$1,INDIRECT("Table1[Obergruppe ATC-Code]"),Tabelle3!$A65)</f>
        <v>3</v>
      </c>
      <c r="AG65">
        <f ca="1">COUNTIFS(INDIRECT("Table1[Beginn]"),"&lt;="&amp;AG$1,INDIRECT("Table1[Ende]"),"&gt;="&amp;AG$1,INDIRECT("Table1[Obergruppe ATC-Code]"),Tabelle3!$A65)</f>
        <v>3</v>
      </c>
      <c r="AH65">
        <f ca="1">COUNTIFS(INDIRECT("Table1[Beginn]"),"&lt;="&amp;AH$1,INDIRECT("Table1[Ende]"),"&gt;="&amp;AH$1,INDIRECT("Table1[Obergruppe ATC-Code]"),Tabelle3!$A65)</f>
        <v>3</v>
      </c>
      <c r="AI65">
        <f ca="1">COUNTIFS(INDIRECT("Table1[Beginn]"),"&lt;="&amp;AI$1,INDIRECT("Table1[Ende]"),"&gt;="&amp;AI$1,INDIRECT("Table1[Obergruppe ATC-Code]"),Tabelle3!$A65)</f>
        <v>3</v>
      </c>
      <c r="AJ65">
        <f ca="1">COUNTIFS(INDIRECT("Table1[Beginn]"),"&lt;="&amp;AJ$1,INDIRECT("Table1[Ende]"),"&gt;="&amp;AJ$1,INDIRECT("Table1[Obergruppe ATC-Code]"),Tabelle3!$A65)</f>
        <v>3</v>
      </c>
      <c r="AK65">
        <f ca="1">COUNTIFS(INDIRECT("Table1[Beginn]"),"&lt;="&amp;AK$1,INDIRECT("Table1[Ende]"),"&gt;="&amp;AK$1,INDIRECT("Table1[Obergruppe ATC-Code]"),Tabelle3!$A65)</f>
        <v>3</v>
      </c>
      <c r="AL65">
        <f ca="1">COUNTIFS(INDIRECT("Table1[Beginn]"),"&lt;="&amp;AL$1,INDIRECT("Table1[Ende]"),"&gt;="&amp;AL$1,INDIRECT("Table1[Obergruppe ATC-Code]"),Tabelle3!$A65)</f>
        <v>3</v>
      </c>
      <c r="AM65">
        <f ca="1">COUNTIFS(INDIRECT("Table1[Beginn]"),"&lt;="&amp;AM$1,INDIRECT("Table1[Ende]"),"&gt;="&amp;AM$1,INDIRECT("Table1[Obergruppe ATC-Code]"),Tabelle3!$A65)</f>
        <v>0</v>
      </c>
      <c r="AN65">
        <f ca="1">COUNTIFS(INDIRECT("Table1[Beginn]"),"&lt;="&amp;AN$1,INDIRECT("Table1[Ende]"),"&gt;="&amp;AN$1,INDIRECT("Table1[Obergruppe ATC-Code]"),Tabelle3!$A65)</f>
        <v>0</v>
      </c>
      <c r="AO65">
        <f ca="1">COUNTIFS(INDIRECT("Table1[Beginn]"),"&lt;="&amp;AO$1,INDIRECT("Table1[Ende]"),"&gt;="&amp;AO$1,INDIRECT("Table1[Obergruppe ATC-Code]"),Tabelle3!$A65)</f>
        <v>1</v>
      </c>
      <c r="AP65">
        <f ca="1">COUNTIFS(INDIRECT("Table1[Beginn]"),"&lt;="&amp;AP$1,INDIRECT("Table1[Ende]"),"&gt;="&amp;AP$1,INDIRECT("Table1[Obergruppe ATC-Code]"),Tabelle3!$A65)</f>
        <v>1</v>
      </c>
      <c r="AQ65">
        <f ca="1">COUNTIFS(INDIRECT("Table1[Beginn]"),"&lt;="&amp;AQ$1,INDIRECT("Table1[Ende]"),"&gt;="&amp;AQ$1,INDIRECT("Table1[Obergruppe ATC-Code]"),Tabelle3!$A65)</f>
        <v>1</v>
      </c>
      <c r="AR65">
        <f ca="1">COUNTIFS(INDIRECT("Table1[Beginn]"),"&lt;="&amp;AR$1,INDIRECT("Table1[Ende]"),"&gt;="&amp;AR$1,INDIRECT("Table1[Obergruppe ATC-Code]"),Tabelle3!$A65)</f>
        <v>1</v>
      </c>
      <c r="AS65">
        <f ca="1">COUNTIFS(INDIRECT("Table1[Beginn]"),"&lt;="&amp;AS$1,INDIRECT("Table1[Ende]"),"&gt;="&amp;AS$1,INDIRECT("Table1[Obergruppe ATC-Code]"),Tabelle3!$A65)</f>
        <v>0</v>
      </c>
      <c r="AT65">
        <f ca="1">COUNTIFS(INDIRECT("Table1[Beginn]"),"&lt;="&amp;AT$1,INDIRECT("Table1[Ende]"),"&gt;="&amp;AT$1,INDIRECT("Table1[Obergruppe ATC-Code]"),Tabelle3!$A65)</f>
        <v>2</v>
      </c>
      <c r="AU65">
        <f ca="1">COUNTIFS(INDIRECT("Table1[Beginn]"),"&lt;="&amp;AU$1,INDIRECT("Table1[Ende]"),"&gt;="&amp;AU$1,INDIRECT("Table1[Obergruppe ATC-Code]"),Tabelle3!$A65)</f>
        <v>2</v>
      </c>
      <c r="AV65">
        <f ca="1">COUNTIFS(INDIRECT("Table1[Beginn]"),"&lt;="&amp;AV$1,INDIRECT("Table1[Ende]"),"&gt;="&amp;AV$1,INDIRECT("Table1[Obergruppe ATC-Code]"),Tabelle3!$A65)</f>
        <v>3</v>
      </c>
      <c r="AW65">
        <f ca="1">COUNTIFS(INDIRECT("Table1[Beginn]"),"&lt;="&amp;AW$1,INDIRECT("Table1[Ende]"),"&gt;="&amp;AW$1,INDIRECT("Table1[Obergruppe ATC-Code]"),Tabelle3!$A65)</f>
        <v>3</v>
      </c>
      <c r="AX65">
        <f ca="1">COUNTIFS(INDIRECT("Table1[Beginn]"),"&lt;="&amp;AX$1,INDIRECT("Table1[Ende]"),"&gt;="&amp;AX$1,INDIRECT("Table1[Obergruppe ATC-Code]"),Tabelle3!$A65)</f>
        <v>3</v>
      </c>
      <c r="AY65">
        <f ca="1">COUNTIFS(INDIRECT("Table1[Beginn]"),"&lt;="&amp;AY$1,INDIRECT("Table1[Ende]"),"&gt;="&amp;AY$1,INDIRECT("Table1[Obergruppe ATC-Code]"),Tabelle3!$A65)</f>
        <v>3</v>
      </c>
      <c r="AZ65">
        <f ca="1">COUNTIFS(INDIRECT("Table1[Beginn]"),"&lt;="&amp;AZ$1,INDIRECT("Table1[Ende]"),"&gt;="&amp;AZ$1,INDIRECT("Table1[Obergruppe ATC-Code]"),Tabelle3!$A65)</f>
        <v>3</v>
      </c>
      <c r="BA65">
        <f ca="1">COUNTIFS(INDIRECT("Table1[Beginn]"),"&lt;="&amp;BA$1,INDIRECT("Table1[Ende]"),"&gt;="&amp;BA$1,INDIRECT("Table1[Obergruppe ATC-Code]"),Tabelle3!$A65)</f>
        <v>3</v>
      </c>
      <c r="BB65">
        <f ca="1">COUNTIFS(INDIRECT("Table1[Beginn]"),"&lt;="&amp;BB$1,INDIRECT("Table1[Ende]"),"&gt;="&amp;BB$1,INDIRECT("Table1[Obergruppe ATC-Code]"),Tabelle3!$A65)</f>
        <v>3</v>
      </c>
      <c r="BC65">
        <f ca="1">COUNTIFS(INDIRECT("Table1[Beginn]"),"&lt;="&amp;BC$1,INDIRECT("Table1[Ende]"),"&gt;="&amp;BC$1,INDIRECT("Table1[Obergruppe ATC-Code]"),Tabelle3!$A65)</f>
        <v>2</v>
      </c>
      <c r="BD65">
        <f ca="1">COUNTIFS(INDIRECT("Table1[Beginn]"),"&lt;="&amp;BD$1,INDIRECT("Table1[Ende]"),"&gt;="&amp;BD$1,INDIRECT("Table1[Obergruppe ATC-Code]"),Tabelle3!$A65)</f>
        <v>0</v>
      </c>
      <c r="BE65">
        <f ca="1">COUNTIFS(INDIRECT("Table1[Beginn]"),"&lt;="&amp;BE$1,INDIRECT("Table1[Ende]"),"&gt;="&amp;BE$1,INDIRECT("Table1[Obergruppe ATC-Code]"),Tabelle3!$A65)</f>
        <v>0</v>
      </c>
      <c r="BF65">
        <f ca="1">COUNTIFS(INDIRECT("Table1[Beginn]"),"&lt;="&amp;BF$1,INDIRECT("Table1[Ende]"),"&gt;="&amp;BF$1,INDIRECT("Table1[Obergruppe ATC-Code]"),Tabelle3!$A65)</f>
        <v>0</v>
      </c>
      <c r="BG65">
        <f ca="1">COUNTIFS(INDIRECT("Table1[Beginn]"),"&lt;="&amp;BG$1,INDIRECT("Table1[Ende]"),"&gt;="&amp;BG$1,INDIRECT("Table1[Obergruppe ATC-Code]"),Tabelle3!$A65)</f>
        <v>2</v>
      </c>
      <c r="BH65">
        <f ca="1">COUNTIFS(INDIRECT("Table1[Beginn]"),"&lt;="&amp;BH$1,INDIRECT("Table1[Ende]"),"&gt;="&amp;BH$1,INDIRECT("Table1[Obergruppe ATC-Code]"),Tabelle3!$A65)</f>
        <v>0</v>
      </c>
      <c r="BI65">
        <f ca="1">COUNTIFS(INDIRECT("Table1[Beginn]"),"&lt;="&amp;BI$1,INDIRECT("Table1[Ende]"),"&gt;="&amp;BI$1,INDIRECT("Table1[Obergruppe ATC-Code]"),Tabelle3!$A65)</f>
        <v>0</v>
      </c>
      <c r="BJ65">
        <f ca="1">COUNTIFS(INDIRECT("Table1[Beginn]"),"&lt;="&amp;BJ$1,INDIRECT("Table1[Ende]"),"&gt;="&amp;BJ$1,INDIRECT("Table1[Obergruppe ATC-Code]"),Tabelle3!$A65)</f>
        <v>1</v>
      </c>
      <c r="BK65">
        <f ca="1">COUNTIFS(INDIRECT("Table1[Beginn]"),"&lt;="&amp;BK$1,INDIRECT("Table1[Ende]"),"&gt;="&amp;BK$1,INDIRECT("Table1[Obergruppe ATC-Code]"),Tabelle3!$A65)</f>
        <v>0</v>
      </c>
      <c r="BL65">
        <f ca="1">COUNTIFS(INDIRECT("Table1[Beginn]"),"&lt;="&amp;BL$1,INDIRECT("Table1[Ende]"),"&gt;="&amp;BL$1,INDIRECT("Table1[Obergruppe ATC-Code]"),Tabelle3!$A65)</f>
        <v>2</v>
      </c>
      <c r="BM65">
        <f ca="1">COUNTIFS(INDIRECT("Table1[Beginn]"),"&lt;="&amp;BM$1,INDIRECT("Table1[Ende]"),"&gt;="&amp;BM$1,INDIRECT("Table1[Obergruppe ATC-Code]"),Tabelle3!$A65)</f>
        <v>2</v>
      </c>
      <c r="BN65">
        <f ca="1">COUNTIFS(INDIRECT("Table1[Beginn]"),"&lt;="&amp;BN$1,INDIRECT("Table1[Ende]"),"&gt;="&amp;BN$1,INDIRECT("Table1[Obergruppe ATC-Code]"),Tabelle3!$A65)</f>
        <v>2</v>
      </c>
      <c r="BO65">
        <f ca="1">COUNTIFS(INDIRECT("Table1[Beginn]"),"&lt;="&amp;BO$1,INDIRECT("Table1[Ende]"),"&gt;="&amp;BO$1,INDIRECT("Table1[Obergruppe ATC-Code]"),Tabelle3!$A65)</f>
        <v>2</v>
      </c>
      <c r="BP65">
        <f ca="1">COUNTIFS(INDIRECT("Table1[Beginn]"),"&lt;="&amp;BP$1,INDIRECT("Table1[Ende]"),"&gt;="&amp;BP$1,INDIRECT("Table1[Obergruppe ATC-Code]"),Tabelle3!$A65)</f>
        <v>4</v>
      </c>
      <c r="BQ65">
        <f ca="1">COUNTIFS(INDIRECT("Table1[Beginn]"),"&lt;="&amp;BQ$1,INDIRECT("Table1[Ende]"),"&gt;="&amp;BQ$1,INDIRECT("Table1[Obergruppe ATC-Code]"),Tabelle3!$A65)</f>
        <v>3</v>
      </c>
      <c r="BR65">
        <f ca="1">COUNTIFS(INDIRECT("Table1[Beginn]"),"&lt;="&amp;BR$1,INDIRECT("Table1[Ende]"),"&gt;="&amp;BR$1,INDIRECT("Table1[Obergruppe ATC-Code]"),Tabelle3!$A65)</f>
        <v>1</v>
      </c>
      <c r="BS65">
        <f ca="1">COUNTIFS(INDIRECT("Table1[Beginn]"),"&lt;="&amp;BS$1,INDIRECT("Table1[Ende]"),"&gt;="&amp;BS$1,INDIRECT("Table1[Obergruppe ATC-Code]"),Tabelle3!$A65)</f>
        <v>0</v>
      </c>
      <c r="BT65">
        <f ca="1">COUNTIFS(INDIRECT("Table1[Beginn]"),"&lt;="&amp;BT$1,INDIRECT("Table1[Ende]"),"&gt;="&amp;BT$1,INDIRECT("Table1[Obergruppe ATC-Code]"),Tabelle3!$A65)</f>
        <v>2</v>
      </c>
      <c r="BU65">
        <f ca="1">COUNTIFS(INDIRECT("Table1[Beginn]"),"&lt;="&amp;BU$1,INDIRECT("Table1[Ende]"),"&gt;="&amp;BU$1,INDIRECT("Table1[Obergruppe ATC-Code]"),Tabelle3!$A65)</f>
        <v>2</v>
      </c>
      <c r="BV65">
        <f ca="1">COUNTIFS(INDIRECT("Table1[Beginn]"),"&lt;="&amp;BV$1,INDIRECT("Table1[Ende]"),"&gt;="&amp;BV$1,INDIRECT("Table1[Obergruppe ATC-Code]"),Tabelle3!$A65)</f>
        <v>2</v>
      </c>
      <c r="BW65">
        <f ca="1">COUNTIFS(INDIRECT("Table1[Beginn]"),"&lt;="&amp;BW$1,INDIRECT("Table1[Ende]"),"&gt;="&amp;BW$1,INDIRECT("Table1[Obergruppe ATC-Code]"),Tabelle3!$A65)</f>
        <v>2</v>
      </c>
      <c r="BX65">
        <f ca="1">COUNTIFS(INDIRECT("Table1[Beginn]"),"&lt;="&amp;BX$1,INDIRECT("Table1[Ende]"),"&gt;="&amp;BX$1,INDIRECT("Table1[Obergruppe ATC-Code]"),Tabelle3!$A65)</f>
        <v>0</v>
      </c>
      <c r="BY65">
        <f ca="1">COUNTIFS(INDIRECT("Table1[Beginn]"),"&lt;="&amp;BY$1,INDIRECT("Table1[Ende]"),"&gt;="&amp;BY$1,INDIRECT("Table1[Obergruppe ATC-Code]"),Tabelle3!$A65)</f>
        <v>0</v>
      </c>
      <c r="BZ65">
        <f ca="1">COUNTIFS(INDIRECT("Table1[Beginn]"),"&lt;="&amp;BZ$1,INDIRECT("Table1[Ende]"),"&gt;="&amp;BZ$1,INDIRECT("Table1[Obergruppe ATC-Code]"),Tabelle3!$A65)</f>
        <v>0</v>
      </c>
      <c r="CA65">
        <f ca="1">COUNTIFS(INDIRECT("Table1[Beginn]"),"&lt;="&amp;CA$1,INDIRECT("Table1[Ende]"),"&gt;="&amp;CA$1,INDIRECT("Table1[Obergruppe ATC-Code]"),Tabelle3!$A65)</f>
        <v>0</v>
      </c>
      <c r="CB65">
        <f ca="1">COUNTIFS(INDIRECT("Table1[Beginn]"),"&lt;="&amp;CB$1,INDIRECT("Table1[Ende]"),"&gt;="&amp;CB$1,INDIRECT("Table1[Obergruppe ATC-Code]"),Tabelle3!$A65)</f>
        <v>0</v>
      </c>
      <c r="CC65">
        <f ca="1">COUNTIFS(INDIRECT("Table1[Beginn]"),"&lt;="&amp;CC$1,INDIRECT("Table1[Ende]"),"&gt;="&amp;CC$1,INDIRECT("Table1[Obergruppe ATC-Code]"),Tabelle3!$A65)</f>
        <v>1</v>
      </c>
      <c r="CD65">
        <f ca="1">COUNTIFS(INDIRECT("Table1[Beginn]"),"&lt;="&amp;CD$1,INDIRECT("Table1[Ende]"),"&gt;="&amp;CD$1,INDIRECT("Table1[Obergruppe ATC-Code]"),Tabelle3!$A65)</f>
        <v>2</v>
      </c>
      <c r="CE65">
        <f ca="1">COUNTIFS(INDIRECT("Table1[Beginn]"),"&lt;="&amp;CE$1,INDIRECT("Table1[Ende]"),"&gt;="&amp;CE$1,INDIRECT("Table1[Obergruppe ATC-Code]"),Tabelle3!$A65)</f>
        <v>1</v>
      </c>
      <c r="CF65">
        <f ca="1">COUNTIFS(INDIRECT("Table1[Beginn]"),"&lt;="&amp;CF$1,INDIRECT("Table1[Ende]"),"&gt;="&amp;CF$1,INDIRECT("Table1[Obergruppe ATC-Code]"),Tabelle3!$A65)</f>
        <v>1</v>
      </c>
      <c r="CG65">
        <f ca="1">COUNTIFS(INDIRECT("Table1[Beginn]"),"&lt;="&amp;CG$1,INDIRECT("Table1[Ende]"),"&gt;="&amp;CG$1,INDIRECT("Table1[Obergruppe ATC-Code]"),Tabelle3!$A65)</f>
        <v>2</v>
      </c>
      <c r="CH65">
        <f ca="1">COUNTIFS(INDIRECT("Table1[Beginn]"),"&lt;="&amp;CH$1,INDIRECT("Table1[Ende]"),"&gt;="&amp;CH$1,INDIRECT("Table1[Obergruppe ATC-Code]"),Tabelle3!$A65)</f>
        <v>2</v>
      </c>
      <c r="CI65">
        <f ca="1">COUNTIFS(INDIRECT("Table1[Beginn]"),"&lt;="&amp;CI$1,INDIRECT("Table1[Ende]"),"&gt;="&amp;CI$1,INDIRECT("Table1[Obergruppe ATC-Code]"),Tabelle3!$A65)</f>
        <v>2</v>
      </c>
      <c r="CJ65">
        <f ca="1">COUNTIFS(INDIRECT("Table1[Beginn]"),"&lt;="&amp;CJ$1,INDIRECT("Table1[Ende]"),"&gt;="&amp;CJ$1,INDIRECT("Table1[Obergruppe ATC-Code]"),Tabelle3!$A65)</f>
        <v>2</v>
      </c>
      <c r="CK65">
        <f ca="1">COUNTIFS(INDIRECT("Table1[Beginn]"),"&lt;="&amp;CK$1,INDIRECT("Table1[Ende]"),"&gt;="&amp;CK$1,INDIRECT("Table1[Obergruppe ATC-Code]"),Tabelle3!$A65)</f>
        <v>2</v>
      </c>
      <c r="CL65">
        <f ca="1">COUNTIFS(INDIRECT("Table1[Beginn]"),"&lt;="&amp;CL$1,INDIRECT("Table1[Ende]"),"&gt;="&amp;CL$1,INDIRECT("Table1[Obergruppe ATC-Code]"),Tabelle3!$A65)</f>
        <v>2</v>
      </c>
      <c r="CM65">
        <f ca="1">COUNTIFS(INDIRECT("Table1[Beginn]"),"&lt;="&amp;CM$1,INDIRECT("Table1[Ende]"),"&gt;="&amp;CM$1,INDIRECT("Table1[Obergruppe ATC-Code]"),Tabelle3!$A65)</f>
        <v>2</v>
      </c>
      <c r="CN65">
        <f ca="1">COUNTIFS(INDIRECT("Table1[Beginn]"),"&lt;="&amp;CN$1,INDIRECT("Table1[Ende]"),"&gt;="&amp;CN$1,INDIRECT("Table1[Obergruppe ATC-Code]"),Tabelle3!$A65)</f>
        <v>2</v>
      </c>
      <c r="CO65">
        <f ca="1">COUNTIFS(INDIRECT("Table1[Beginn]"),"&lt;="&amp;CO$1,INDIRECT("Table1[Ende]"),"&gt;="&amp;CO$1,INDIRECT("Table1[Obergruppe ATC-Code]"),Tabelle3!$A65)</f>
        <v>2</v>
      </c>
      <c r="CP65">
        <f ca="1">COUNTIFS(INDIRECT("Table1[Beginn]"),"&lt;="&amp;CP$1,INDIRECT("Table1[Ende]"),"&gt;="&amp;CP$1,INDIRECT("Table1[Obergruppe ATC-Code]"),Tabelle3!$A65)</f>
        <v>2</v>
      </c>
      <c r="CQ65">
        <f ca="1">COUNTIFS(INDIRECT("Table1[Beginn]"),"&lt;="&amp;CQ$1,INDIRECT("Table1[Ende]"),"&gt;="&amp;CQ$1,INDIRECT("Table1[Obergruppe ATC-Code]"),Tabelle3!$A65)</f>
        <v>2</v>
      </c>
      <c r="CR65">
        <f ca="1">COUNTIFS(INDIRECT("Table1[Beginn]"),"&lt;="&amp;CR$1,INDIRECT("Table1[Ende]"),"&gt;="&amp;CR$1,INDIRECT("Table1[Obergruppe ATC-Code]"),Tabelle3!$A65)</f>
        <v>2</v>
      </c>
    </row>
    <row r="66" spans="1:96" ht="18">
      <c r="A66" s="7" t="s">
        <v>6900</v>
      </c>
      <c r="B66" s="8" t="s">
        <v>6901</v>
      </c>
      <c r="C66">
        <f ca="1">COUNTIFS(INDIRECT("Table1[Beginn]"),"&lt;="&amp;C$1,INDIRECT("Table1[Ende]"),"&gt;="&amp;C$1,INDIRECT("Table1[Obergruppe ATC-Code]"),Tabelle3!$A66)</f>
        <v>0</v>
      </c>
      <c r="D66">
        <f ca="1">COUNTIFS(INDIRECT("Table1[Beginn]"),"&lt;="&amp;D$1,INDIRECT("Table1[Ende]"),"&gt;="&amp;D$1,INDIRECT("Table1[Obergruppe ATC-Code]"),Tabelle3!$A66)</f>
        <v>0</v>
      </c>
      <c r="E66">
        <f ca="1">COUNTIFS(INDIRECT("Table1[Beginn]"),"&lt;="&amp;E$1,INDIRECT("Table1[Ende]"),"&gt;="&amp;E$1,INDIRECT("Table1[Obergruppe ATC-Code]"),Tabelle3!$A66)</f>
        <v>0</v>
      </c>
      <c r="F66">
        <f ca="1">COUNTIFS(INDIRECT("Table1[Beginn]"),"&lt;="&amp;F$1,INDIRECT("Table1[Ende]"),"&gt;="&amp;F$1,INDIRECT("Table1[Obergruppe ATC-Code]"),Tabelle3!$A66)</f>
        <v>0</v>
      </c>
      <c r="G66">
        <f ca="1">COUNTIFS(INDIRECT("Table1[Beginn]"),"&lt;="&amp;G$1,INDIRECT("Table1[Ende]"),"&gt;="&amp;G$1,INDIRECT("Table1[Obergruppe ATC-Code]"),Tabelle3!$A66)</f>
        <v>0</v>
      </c>
      <c r="H66">
        <f ca="1">COUNTIFS(INDIRECT("Table1[Beginn]"),"&lt;="&amp;H$1,INDIRECT("Table1[Ende]"),"&gt;="&amp;H$1,INDIRECT("Table1[Obergruppe ATC-Code]"),Tabelle3!$A66)</f>
        <v>0</v>
      </c>
      <c r="I66">
        <f ca="1">COUNTIFS(INDIRECT("Table1[Beginn]"),"&lt;="&amp;I$1,INDIRECT("Table1[Ende]"),"&gt;="&amp;I$1,INDIRECT("Table1[Obergruppe ATC-Code]"),Tabelle3!$A66)</f>
        <v>0</v>
      </c>
      <c r="J66">
        <f ca="1">COUNTIFS(INDIRECT("Table1[Beginn]"),"&lt;="&amp;J$1,INDIRECT("Table1[Ende]"),"&gt;="&amp;J$1,INDIRECT("Table1[Obergruppe ATC-Code]"),Tabelle3!$A66)</f>
        <v>0</v>
      </c>
      <c r="K66">
        <f ca="1">COUNTIFS(INDIRECT("Table1[Beginn]"),"&lt;="&amp;K$1,INDIRECT("Table1[Ende]"),"&gt;="&amp;K$1,INDIRECT("Table1[Obergruppe ATC-Code]"),Tabelle3!$A66)</f>
        <v>0</v>
      </c>
      <c r="L66">
        <f ca="1">COUNTIFS(INDIRECT("Table1[Beginn]"),"&lt;="&amp;L$1,INDIRECT("Table1[Ende]"),"&gt;="&amp;L$1,INDIRECT("Table1[Obergruppe ATC-Code]"),Tabelle3!$A66)</f>
        <v>0</v>
      </c>
      <c r="M66">
        <f ca="1">COUNTIFS(INDIRECT("Table1[Beginn]"),"&lt;="&amp;M$1,INDIRECT("Table1[Ende]"),"&gt;="&amp;M$1,INDIRECT("Table1[Obergruppe ATC-Code]"),Tabelle3!$A66)</f>
        <v>0</v>
      </c>
      <c r="N66">
        <f ca="1">COUNTIFS(INDIRECT("Table1[Beginn]"),"&lt;="&amp;N$1,INDIRECT("Table1[Ende]"),"&gt;="&amp;N$1,INDIRECT("Table1[Obergruppe ATC-Code]"),Tabelle3!$A66)</f>
        <v>0</v>
      </c>
      <c r="O66">
        <f ca="1">COUNTIFS(INDIRECT("Table1[Beginn]"),"&lt;="&amp;O$1,INDIRECT("Table1[Ende]"),"&gt;="&amp;O$1,INDIRECT("Table1[Obergruppe ATC-Code]"),Tabelle3!$A66)</f>
        <v>0</v>
      </c>
      <c r="P66">
        <f ca="1">COUNTIFS(INDIRECT("Table1[Beginn]"),"&lt;="&amp;P$1,INDIRECT("Table1[Ende]"),"&gt;="&amp;P$1,INDIRECT("Table1[Obergruppe ATC-Code]"),Tabelle3!$A66)</f>
        <v>0</v>
      </c>
      <c r="Q66">
        <f ca="1">COUNTIFS(INDIRECT("Table1[Beginn]"),"&lt;="&amp;Q$1,INDIRECT("Table1[Ende]"),"&gt;="&amp;Q$1,INDIRECT("Table1[Obergruppe ATC-Code]"),Tabelle3!$A66)</f>
        <v>0</v>
      </c>
      <c r="R66">
        <f ca="1">COUNTIFS(INDIRECT("Table1[Beginn]"),"&lt;="&amp;R$1,INDIRECT("Table1[Ende]"),"&gt;="&amp;R$1,INDIRECT("Table1[Obergruppe ATC-Code]"),Tabelle3!$A66)</f>
        <v>0</v>
      </c>
      <c r="S66">
        <f ca="1">COUNTIFS(INDIRECT("Table1[Beginn]"),"&lt;="&amp;S$1,INDIRECT("Table1[Ende]"),"&gt;="&amp;S$1,INDIRECT("Table1[Obergruppe ATC-Code]"),Tabelle3!$A66)</f>
        <v>0</v>
      </c>
      <c r="T66">
        <f ca="1">COUNTIFS(INDIRECT("Table1[Beginn]"),"&lt;="&amp;T$1,INDIRECT("Table1[Ende]"),"&gt;="&amp;T$1,INDIRECT("Table1[Obergruppe ATC-Code]"),Tabelle3!$A66)</f>
        <v>0</v>
      </c>
      <c r="U66">
        <f ca="1">COUNTIFS(INDIRECT("Table1[Beginn]"),"&lt;="&amp;U$1,INDIRECT("Table1[Ende]"),"&gt;="&amp;U$1,INDIRECT("Table1[Obergruppe ATC-Code]"),Tabelle3!$A66)</f>
        <v>0</v>
      </c>
      <c r="V66">
        <f ca="1">COUNTIFS(INDIRECT("Table1[Beginn]"),"&lt;="&amp;V$1,INDIRECT("Table1[Ende]"),"&gt;="&amp;V$1,INDIRECT("Table1[Obergruppe ATC-Code]"),Tabelle3!$A66)</f>
        <v>0</v>
      </c>
      <c r="W66">
        <f ca="1">COUNTIFS(INDIRECT("Table1[Beginn]"),"&lt;="&amp;W$1,INDIRECT("Table1[Ende]"),"&gt;="&amp;W$1,INDIRECT("Table1[Obergruppe ATC-Code]"),Tabelle3!$A66)</f>
        <v>0</v>
      </c>
      <c r="X66">
        <f ca="1">COUNTIFS(INDIRECT("Table1[Beginn]"),"&lt;="&amp;X$1,INDIRECT("Table1[Ende]"),"&gt;="&amp;X$1,INDIRECT("Table1[Obergruppe ATC-Code]"),Tabelle3!$A66)</f>
        <v>0</v>
      </c>
      <c r="Y66">
        <f ca="1">COUNTIFS(INDIRECT("Table1[Beginn]"),"&lt;="&amp;Y$1,INDIRECT("Table1[Ende]"),"&gt;="&amp;Y$1,INDIRECT("Table1[Obergruppe ATC-Code]"),Tabelle3!$A66)</f>
        <v>0</v>
      </c>
      <c r="Z66">
        <f ca="1">COUNTIFS(INDIRECT("Table1[Beginn]"),"&lt;="&amp;Z$1,INDIRECT("Table1[Ende]"),"&gt;="&amp;Z$1,INDIRECT("Table1[Obergruppe ATC-Code]"),Tabelle3!$A66)</f>
        <v>0</v>
      </c>
      <c r="AA66">
        <f ca="1">COUNTIFS(INDIRECT("Table1[Beginn]"),"&lt;="&amp;AA$1,INDIRECT("Table1[Ende]"),"&gt;="&amp;AA$1,INDIRECT("Table1[Obergruppe ATC-Code]"),Tabelle3!$A66)</f>
        <v>0</v>
      </c>
      <c r="AB66">
        <f ca="1">COUNTIFS(INDIRECT("Table1[Beginn]"),"&lt;="&amp;AB$1,INDIRECT("Table1[Ende]"),"&gt;="&amp;AB$1,INDIRECT("Table1[Obergruppe ATC-Code]"),Tabelle3!$A66)</f>
        <v>0</v>
      </c>
      <c r="AC66">
        <f ca="1">COUNTIFS(INDIRECT("Table1[Beginn]"),"&lt;="&amp;AC$1,INDIRECT("Table1[Ende]"),"&gt;="&amp;AC$1,INDIRECT("Table1[Obergruppe ATC-Code]"),Tabelle3!$A66)</f>
        <v>0</v>
      </c>
      <c r="AD66">
        <f ca="1">COUNTIFS(INDIRECT("Table1[Beginn]"),"&lt;="&amp;AD$1,INDIRECT("Table1[Ende]"),"&gt;="&amp;AD$1,INDIRECT("Table1[Obergruppe ATC-Code]"),Tabelle3!$A66)</f>
        <v>0</v>
      </c>
      <c r="AE66">
        <f ca="1">COUNTIFS(INDIRECT("Table1[Beginn]"),"&lt;="&amp;AE$1,INDIRECT("Table1[Ende]"),"&gt;="&amp;AE$1,INDIRECT("Table1[Obergruppe ATC-Code]"),Tabelle3!$A66)</f>
        <v>0</v>
      </c>
      <c r="AF66">
        <f ca="1">COUNTIFS(INDIRECT("Table1[Beginn]"),"&lt;="&amp;AF$1,INDIRECT("Table1[Ende]"),"&gt;="&amp;AF$1,INDIRECT("Table1[Obergruppe ATC-Code]"),Tabelle3!$A66)</f>
        <v>0</v>
      </c>
      <c r="AG66">
        <f ca="1">COUNTIFS(INDIRECT("Table1[Beginn]"),"&lt;="&amp;AG$1,INDIRECT("Table1[Ende]"),"&gt;="&amp;AG$1,INDIRECT("Table1[Obergruppe ATC-Code]"),Tabelle3!$A66)</f>
        <v>0</v>
      </c>
      <c r="AH66">
        <f ca="1">COUNTIFS(INDIRECT("Table1[Beginn]"),"&lt;="&amp;AH$1,INDIRECT("Table1[Ende]"),"&gt;="&amp;AH$1,INDIRECT("Table1[Obergruppe ATC-Code]"),Tabelle3!$A66)</f>
        <v>0</v>
      </c>
      <c r="AI66">
        <f ca="1">COUNTIFS(INDIRECT("Table1[Beginn]"),"&lt;="&amp;AI$1,INDIRECT("Table1[Ende]"),"&gt;="&amp;AI$1,INDIRECT("Table1[Obergruppe ATC-Code]"),Tabelle3!$A66)</f>
        <v>0</v>
      </c>
      <c r="AJ66">
        <f ca="1">COUNTIFS(INDIRECT("Table1[Beginn]"),"&lt;="&amp;AJ$1,INDIRECT("Table1[Ende]"),"&gt;="&amp;AJ$1,INDIRECT("Table1[Obergruppe ATC-Code]"),Tabelle3!$A66)</f>
        <v>0</v>
      </c>
      <c r="AK66">
        <f ca="1">COUNTIFS(INDIRECT("Table1[Beginn]"),"&lt;="&amp;AK$1,INDIRECT("Table1[Ende]"),"&gt;="&amp;AK$1,INDIRECT("Table1[Obergruppe ATC-Code]"),Tabelle3!$A66)</f>
        <v>0</v>
      </c>
      <c r="AL66">
        <f ca="1">COUNTIFS(INDIRECT("Table1[Beginn]"),"&lt;="&amp;AL$1,INDIRECT("Table1[Ende]"),"&gt;="&amp;AL$1,INDIRECT("Table1[Obergruppe ATC-Code]"),Tabelle3!$A66)</f>
        <v>0</v>
      </c>
      <c r="AM66">
        <f ca="1">COUNTIFS(INDIRECT("Table1[Beginn]"),"&lt;="&amp;AM$1,INDIRECT("Table1[Ende]"),"&gt;="&amp;AM$1,INDIRECT("Table1[Obergruppe ATC-Code]"),Tabelle3!$A66)</f>
        <v>1</v>
      </c>
      <c r="AN66">
        <f ca="1">COUNTIFS(INDIRECT("Table1[Beginn]"),"&lt;="&amp;AN$1,INDIRECT("Table1[Ende]"),"&gt;="&amp;AN$1,INDIRECT("Table1[Obergruppe ATC-Code]"),Tabelle3!$A66)</f>
        <v>1</v>
      </c>
      <c r="AO66">
        <f ca="1">COUNTIFS(INDIRECT("Table1[Beginn]"),"&lt;="&amp;AO$1,INDIRECT("Table1[Ende]"),"&gt;="&amp;AO$1,INDIRECT("Table1[Obergruppe ATC-Code]"),Tabelle3!$A66)</f>
        <v>0</v>
      </c>
      <c r="AP66">
        <f ca="1">COUNTIFS(INDIRECT("Table1[Beginn]"),"&lt;="&amp;AP$1,INDIRECT("Table1[Ende]"),"&gt;="&amp;AP$1,INDIRECT("Table1[Obergruppe ATC-Code]"),Tabelle3!$A66)</f>
        <v>0</v>
      </c>
      <c r="AQ66">
        <f ca="1">COUNTIFS(INDIRECT("Table1[Beginn]"),"&lt;="&amp;AQ$1,INDIRECT("Table1[Ende]"),"&gt;="&amp;AQ$1,INDIRECT("Table1[Obergruppe ATC-Code]"),Tabelle3!$A66)</f>
        <v>0</v>
      </c>
      <c r="AR66">
        <f ca="1">COUNTIFS(INDIRECT("Table1[Beginn]"),"&lt;="&amp;AR$1,INDIRECT("Table1[Ende]"),"&gt;="&amp;AR$1,INDIRECT("Table1[Obergruppe ATC-Code]"),Tabelle3!$A66)</f>
        <v>0</v>
      </c>
      <c r="AS66">
        <f ca="1">COUNTIFS(INDIRECT("Table1[Beginn]"),"&lt;="&amp;AS$1,INDIRECT("Table1[Ende]"),"&gt;="&amp;AS$1,INDIRECT("Table1[Obergruppe ATC-Code]"),Tabelle3!$A66)</f>
        <v>0</v>
      </c>
      <c r="AT66">
        <f ca="1">COUNTIFS(INDIRECT("Table1[Beginn]"),"&lt;="&amp;AT$1,INDIRECT("Table1[Ende]"),"&gt;="&amp;AT$1,INDIRECT("Table1[Obergruppe ATC-Code]"),Tabelle3!$A66)</f>
        <v>0</v>
      </c>
      <c r="AU66">
        <f ca="1">COUNTIFS(INDIRECT("Table1[Beginn]"),"&lt;="&amp;AU$1,INDIRECT("Table1[Ende]"),"&gt;="&amp;AU$1,INDIRECT("Table1[Obergruppe ATC-Code]"),Tabelle3!$A66)</f>
        <v>0</v>
      </c>
      <c r="AV66">
        <f ca="1">COUNTIFS(INDIRECT("Table1[Beginn]"),"&lt;="&amp;AV$1,INDIRECT("Table1[Ende]"),"&gt;="&amp;AV$1,INDIRECT("Table1[Obergruppe ATC-Code]"),Tabelle3!$A66)</f>
        <v>0</v>
      </c>
      <c r="AW66">
        <f ca="1">COUNTIFS(INDIRECT("Table1[Beginn]"),"&lt;="&amp;AW$1,INDIRECT("Table1[Ende]"),"&gt;="&amp;AW$1,INDIRECT("Table1[Obergruppe ATC-Code]"),Tabelle3!$A66)</f>
        <v>0</v>
      </c>
      <c r="AX66">
        <f ca="1">COUNTIFS(INDIRECT("Table1[Beginn]"),"&lt;="&amp;AX$1,INDIRECT("Table1[Ende]"),"&gt;="&amp;AX$1,INDIRECT("Table1[Obergruppe ATC-Code]"),Tabelle3!$A66)</f>
        <v>0</v>
      </c>
      <c r="AY66">
        <f ca="1">COUNTIFS(INDIRECT("Table1[Beginn]"),"&lt;="&amp;AY$1,INDIRECT("Table1[Ende]"),"&gt;="&amp;AY$1,INDIRECT("Table1[Obergruppe ATC-Code]"),Tabelle3!$A66)</f>
        <v>0</v>
      </c>
      <c r="AZ66">
        <f ca="1">COUNTIFS(INDIRECT("Table1[Beginn]"),"&lt;="&amp;AZ$1,INDIRECT("Table1[Ende]"),"&gt;="&amp;AZ$1,INDIRECT("Table1[Obergruppe ATC-Code]"),Tabelle3!$A66)</f>
        <v>0</v>
      </c>
      <c r="BA66">
        <f ca="1">COUNTIFS(INDIRECT("Table1[Beginn]"),"&lt;="&amp;BA$1,INDIRECT("Table1[Ende]"),"&gt;="&amp;BA$1,INDIRECT("Table1[Obergruppe ATC-Code]"),Tabelle3!$A66)</f>
        <v>0</v>
      </c>
      <c r="BB66">
        <f ca="1">COUNTIFS(INDIRECT("Table1[Beginn]"),"&lt;="&amp;BB$1,INDIRECT("Table1[Ende]"),"&gt;="&amp;BB$1,INDIRECT("Table1[Obergruppe ATC-Code]"),Tabelle3!$A66)</f>
        <v>0</v>
      </c>
      <c r="BC66">
        <f ca="1">COUNTIFS(INDIRECT("Table1[Beginn]"),"&lt;="&amp;BC$1,INDIRECT("Table1[Ende]"),"&gt;="&amp;BC$1,INDIRECT("Table1[Obergruppe ATC-Code]"),Tabelle3!$A66)</f>
        <v>0</v>
      </c>
      <c r="BD66">
        <f ca="1">COUNTIFS(INDIRECT("Table1[Beginn]"),"&lt;="&amp;BD$1,INDIRECT("Table1[Ende]"),"&gt;="&amp;BD$1,INDIRECT("Table1[Obergruppe ATC-Code]"),Tabelle3!$A66)</f>
        <v>0</v>
      </c>
      <c r="BE66">
        <f ca="1">COUNTIFS(INDIRECT("Table1[Beginn]"),"&lt;="&amp;BE$1,INDIRECT("Table1[Ende]"),"&gt;="&amp;BE$1,INDIRECT("Table1[Obergruppe ATC-Code]"),Tabelle3!$A66)</f>
        <v>0</v>
      </c>
      <c r="BF66">
        <f ca="1">COUNTIFS(INDIRECT("Table1[Beginn]"),"&lt;="&amp;BF$1,INDIRECT("Table1[Ende]"),"&gt;="&amp;BF$1,INDIRECT("Table1[Obergruppe ATC-Code]"),Tabelle3!$A66)</f>
        <v>0</v>
      </c>
      <c r="BG66">
        <f ca="1">COUNTIFS(INDIRECT("Table1[Beginn]"),"&lt;="&amp;BG$1,INDIRECT("Table1[Ende]"),"&gt;="&amp;BG$1,INDIRECT("Table1[Obergruppe ATC-Code]"),Tabelle3!$A66)</f>
        <v>0</v>
      </c>
      <c r="BH66">
        <f ca="1">COUNTIFS(INDIRECT("Table1[Beginn]"),"&lt;="&amp;BH$1,INDIRECT("Table1[Ende]"),"&gt;="&amp;BH$1,INDIRECT("Table1[Obergruppe ATC-Code]"),Tabelle3!$A66)</f>
        <v>0</v>
      </c>
      <c r="BI66">
        <f ca="1">COUNTIFS(INDIRECT("Table1[Beginn]"),"&lt;="&amp;BI$1,INDIRECT("Table1[Ende]"),"&gt;="&amp;BI$1,INDIRECT("Table1[Obergruppe ATC-Code]"),Tabelle3!$A66)</f>
        <v>0</v>
      </c>
      <c r="BJ66">
        <f ca="1">COUNTIFS(INDIRECT("Table1[Beginn]"),"&lt;="&amp;BJ$1,INDIRECT("Table1[Ende]"),"&gt;="&amp;BJ$1,INDIRECT("Table1[Obergruppe ATC-Code]"),Tabelle3!$A66)</f>
        <v>0</v>
      </c>
      <c r="BK66">
        <f ca="1">COUNTIFS(INDIRECT("Table1[Beginn]"),"&lt;="&amp;BK$1,INDIRECT("Table1[Ende]"),"&gt;="&amp;BK$1,INDIRECT("Table1[Obergruppe ATC-Code]"),Tabelle3!$A66)</f>
        <v>0</v>
      </c>
      <c r="BL66">
        <f ca="1">COUNTIFS(INDIRECT("Table1[Beginn]"),"&lt;="&amp;BL$1,INDIRECT("Table1[Ende]"),"&gt;="&amp;BL$1,INDIRECT("Table1[Obergruppe ATC-Code]"),Tabelle3!$A66)</f>
        <v>0</v>
      </c>
      <c r="BM66">
        <f ca="1">COUNTIFS(INDIRECT("Table1[Beginn]"),"&lt;="&amp;BM$1,INDIRECT("Table1[Ende]"),"&gt;="&amp;BM$1,INDIRECT("Table1[Obergruppe ATC-Code]"),Tabelle3!$A66)</f>
        <v>0</v>
      </c>
      <c r="BN66">
        <f ca="1">COUNTIFS(INDIRECT("Table1[Beginn]"),"&lt;="&amp;BN$1,INDIRECT("Table1[Ende]"),"&gt;="&amp;BN$1,INDIRECT("Table1[Obergruppe ATC-Code]"),Tabelle3!$A66)</f>
        <v>0</v>
      </c>
      <c r="BO66">
        <f ca="1">COUNTIFS(INDIRECT("Table1[Beginn]"),"&lt;="&amp;BO$1,INDIRECT("Table1[Ende]"),"&gt;="&amp;BO$1,INDIRECT("Table1[Obergruppe ATC-Code]"),Tabelle3!$A66)</f>
        <v>0</v>
      </c>
      <c r="BP66">
        <f ca="1">COUNTIFS(INDIRECT("Table1[Beginn]"),"&lt;="&amp;BP$1,INDIRECT("Table1[Ende]"),"&gt;="&amp;BP$1,INDIRECT("Table1[Obergruppe ATC-Code]"),Tabelle3!$A66)</f>
        <v>0</v>
      </c>
      <c r="BQ66">
        <f ca="1">COUNTIFS(INDIRECT("Table1[Beginn]"),"&lt;="&amp;BQ$1,INDIRECT("Table1[Ende]"),"&gt;="&amp;BQ$1,INDIRECT("Table1[Obergruppe ATC-Code]"),Tabelle3!$A66)</f>
        <v>0</v>
      </c>
      <c r="BR66">
        <f ca="1">COUNTIFS(INDIRECT("Table1[Beginn]"),"&lt;="&amp;BR$1,INDIRECT("Table1[Ende]"),"&gt;="&amp;BR$1,INDIRECT("Table1[Obergruppe ATC-Code]"),Tabelle3!$A66)</f>
        <v>0</v>
      </c>
      <c r="BS66">
        <f ca="1">COUNTIFS(INDIRECT("Table1[Beginn]"),"&lt;="&amp;BS$1,INDIRECT("Table1[Ende]"),"&gt;="&amp;BS$1,INDIRECT("Table1[Obergruppe ATC-Code]"),Tabelle3!$A66)</f>
        <v>0</v>
      </c>
      <c r="BT66">
        <f ca="1">COUNTIFS(INDIRECT("Table1[Beginn]"),"&lt;="&amp;BT$1,INDIRECT("Table1[Ende]"),"&gt;="&amp;BT$1,INDIRECT("Table1[Obergruppe ATC-Code]"),Tabelle3!$A66)</f>
        <v>1</v>
      </c>
      <c r="BU66">
        <f ca="1">COUNTIFS(INDIRECT("Table1[Beginn]"),"&lt;="&amp;BU$1,INDIRECT("Table1[Ende]"),"&gt;="&amp;BU$1,INDIRECT("Table1[Obergruppe ATC-Code]"),Tabelle3!$A66)</f>
        <v>1</v>
      </c>
      <c r="BV66">
        <f ca="1">COUNTIFS(INDIRECT("Table1[Beginn]"),"&lt;="&amp;BV$1,INDIRECT("Table1[Ende]"),"&gt;="&amp;BV$1,INDIRECT("Table1[Obergruppe ATC-Code]"),Tabelle3!$A66)</f>
        <v>1</v>
      </c>
      <c r="BW66">
        <f ca="1">COUNTIFS(INDIRECT("Table1[Beginn]"),"&lt;="&amp;BW$1,INDIRECT("Table1[Ende]"),"&gt;="&amp;BW$1,INDIRECT("Table1[Obergruppe ATC-Code]"),Tabelle3!$A66)</f>
        <v>1</v>
      </c>
      <c r="BX66">
        <f ca="1">COUNTIFS(INDIRECT("Table1[Beginn]"),"&lt;="&amp;BX$1,INDIRECT("Table1[Ende]"),"&gt;="&amp;BX$1,INDIRECT("Table1[Obergruppe ATC-Code]"),Tabelle3!$A66)</f>
        <v>1</v>
      </c>
      <c r="BY66">
        <f ca="1">COUNTIFS(INDIRECT("Table1[Beginn]"),"&lt;="&amp;BY$1,INDIRECT("Table1[Ende]"),"&gt;="&amp;BY$1,INDIRECT("Table1[Obergruppe ATC-Code]"),Tabelle3!$A66)</f>
        <v>0</v>
      </c>
      <c r="BZ66">
        <f ca="1">COUNTIFS(INDIRECT("Table1[Beginn]"),"&lt;="&amp;BZ$1,INDIRECT("Table1[Ende]"),"&gt;="&amp;BZ$1,INDIRECT("Table1[Obergruppe ATC-Code]"),Tabelle3!$A66)</f>
        <v>0</v>
      </c>
      <c r="CA66">
        <f ca="1">COUNTIFS(INDIRECT("Table1[Beginn]"),"&lt;="&amp;CA$1,INDIRECT("Table1[Ende]"),"&gt;="&amp;CA$1,INDIRECT("Table1[Obergruppe ATC-Code]"),Tabelle3!$A66)</f>
        <v>0</v>
      </c>
      <c r="CB66">
        <f ca="1">COUNTIFS(INDIRECT("Table1[Beginn]"),"&lt;="&amp;CB$1,INDIRECT("Table1[Ende]"),"&gt;="&amp;CB$1,INDIRECT("Table1[Obergruppe ATC-Code]"),Tabelle3!$A66)</f>
        <v>0</v>
      </c>
      <c r="CC66">
        <f ca="1">COUNTIFS(INDIRECT("Table1[Beginn]"),"&lt;="&amp;CC$1,INDIRECT("Table1[Ende]"),"&gt;="&amp;CC$1,INDIRECT("Table1[Obergruppe ATC-Code]"),Tabelle3!$A66)</f>
        <v>0</v>
      </c>
      <c r="CD66">
        <f ca="1">COUNTIFS(INDIRECT("Table1[Beginn]"),"&lt;="&amp;CD$1,INDIRECT("Table1[Ende]"),"&gt;="&amp;CD$1,INDIRECT("Table1[Obergruppe ATC-Code]"),Tabelle3!$A66)</f>
        <v>0</v>
      </c>
      <c r="CE66">
        <f ca="1">COUNTIFS(INDIRECT("Table1[Beginn]"),"&lt;="&amp;CE$1,INDIRECT("Table1[Ende]"),"&gt;="&amp;CE$1,INDIRECT("Table1[Obergruppe ATC-Code]"),Tabelle3!$A66)</f>
        <v>0</v>
      </c>
      <c r="CF66">
        <f ca="1">COUNTIFS(INDIRECT("Table1[Beginn]"),"&lt;="&amp;CF$1,INDIRECT("Table1[Ende]"),"&gt;="&amp;CF$1,INDIRECT("Table1[Obergruppe ATC-Code]"),Tabelle3!$A66)</f>
        <v>0</v>
      </c>
      <c r="CG66">
        <f ca="1">COUNTIFS(INDIRECT("Table1[Beginn]"),"&lt;="&amp;CG$1,INDIRECT("Table1[Ende]"),"&gt;="&amp;CG$1,INDIRECT("Table1[Obergruppe ATC-Code]"),Tabelle3!$A66)</f>
        <v>0</v>
      </c>
      <c r="CH66">
        <f ca="1">COUNTIFS(INDIRECT("Table1[Beginn]"),"&lt;="&amp;CH$1,INDIRECT("Table1[Ende]"),"&gt;="&amp;CH$1,INDIRECT("Table1[Obergruppe ATC-Code]"),Tabelle3!$A66)</f>
        <v>0</v>
      </c>
      <c r="CI66">
        <f ca="1">COUNTIFS(INDIRECT("Table1[Beginn]"),"&lt;="&amp;CI$1,INDIRECT("Table1[Ende]"),"&gt;="&amp;CI$1,INDIRECT("Table1[Obergruppe ATC-Code]"),Tabelle3!$A66)</f>
        <v>0</v>
      </c>
      <c r="CJ66">
        <f ca="1">COUNTIFS(INDIRECT("Table1[Beginn]"),"&lt;="&amp;CJ$1,INDIRECT("Table1[Ende]"),"&gt;="&amp;CJ$1,INDIRECT("Table1[Obergruppe ATC-Code]"),Tabelle3!$A66)</f>
        <v>0</v>
      </c>
      <c r="CK66">
        <f ca="1">COUNTIFS(INDIRECT("Table1[Beginn]"),"&lt;="&amp;CK$1,INDIRECT("Table1[Ende]"),"&gt;="&amp;CK$1,INDIRECT("Table1[Obergruppe ATC-Code]"),Tabelle3!$A66)</f>
        <v>0</v>
      </c>
      <c r="CL66">
        <f ca="1">COUNTIFS(INDIRECT("Table1[Beginn]"),"&lt;="&amp;CL$1,INDIRECT("Table1[Ende]"),"&gt;="&amp;CL$1,INDIRECT("Table1[Obergruppe ATC-Code]"),Tabelle3!$A66)</f>
        <v>0</v>
      </c>
      <c r="CM66">
        <f ca="1">COUNTIFS(INDIRECT("Table1[Beginn]"),"&lt;="&amp;CM$1,INDIRECT("Table1[Ende]"),"&gt;="&amp;CM$1,INDIRECT("Table1[Obergruppe ATC-Code]"),Tabelle3!$A66)</f>
        <v>0</v>
      </c>
      <c r="CN66">
        <f ca="1">COUNTIFS(INDIRECT("Table1[Beginn]"),"&lt;="&amp;CN$1,INDIRECT("Table1[Ende]"),"&gt;="&amp;CN$1,INDIRECT("Table1[Obergruppe ATC-Code]"),Tabelle3!$A66)</f>
        <v>0</v>
      </c>
      <c r="CO66">
        <f ca="1">COUNTIFS(INDIRECT("Table1[Beginn]"),"&lt;="&amp;CO$1,INDIRECT("Table1[Ende]"),"&gt;="&amp;CO$1,INDIRECT("Table1[Obergruppe ATC-Code]"),Tabelle3!$A66)</f>
        <v>0</v>
      </c>
      <c r="CP66">
        <f ca="1">COUNTIFS(INDIRECT("Table1[Beginn]"),"&lt;="&amp;CP$1,INDIRECT("Table1[Ende]"),"&gt;="&amp;CP$1,INDIRECT("Table1[Obergruppe ATC-Code]"),Tabelle3!$A66)</f>
        <v>0</v>
      </c>
      <c r="CQ66">
        <f ca="1">COUNTIFS(INDIRECT("Table1[Beginn]"),"&lt;="&amp;CQ$1,INDIRECT("Table1[Ende]"),"&gt;="&amp;CQ$1,INDIRECT("Table1[Obergruppe ATC-Code]"),Tabelle3!$A66)</f>
        <v>0</v>
      </c>
      <c r="CR66">
        <f ca="1">COUNTIFS(INDIRECT("Table1[Beginn]"),"&lt;="&amp;CR$1,INDIRECT("Table1[Ende]"),"&gt;="&amp;CR$1,INDIRECT("Table1[Obergruppe ATC-Code]"),Tabelle3!$A66)</f>
        <v>0</v>
      </c>
    </row>
    <row r="67" spans="1:96" ht="18">
      <c r="A67" s="9" t="s">
        <v>6902</v>
      </c>
      <c r="B67" s="10" t="s">
        <v>6903</v>
      </c>
      <c r="C67">
        <f ca="1">COUNTIFS(INDIRECT("Table1[Beginn]"),"&lt;="&amp;C$1,INDIRECT("Table1[Ende]"),"&gt;="&amp;C$1,INDIRECT("Table1[Obergruppe ATC-Code]"),Tabelle3!$A67)</f>
        <v>1</v>
      </c>
      <c r="D67">
        <f ca="1">COUNTIFS(INDIRECT("Table1[Beginn]"),"&lt;="&amp;D$1,INDIRECT("Table1[Ende]"),"&gt;="&amp;D$1,INDIRECT("Table1[Obergruppe ATC-Code]"),Tabelle3!$A67)</f>
        <v>1</v>
      </c>
      <c r="E67">
        <f ca="1">COUNTIFS(INDIRECT("Table1[Beginn]"),"&lt;="&amp;E$1,INDIRECT("Table1[Ende]"),"&gt;="&amp;E$1,INDIRECT("Table1[Obergruppe ATC-Code]"),Tabelle3!$A67)</f>
        <v>1</v>
      </c>
      <c r="F67">
        <f ca="1">COUNTIFS(INDIRECT("Table1[Beginn]"),"&lt;="&amp;F$1,INDIRECT("Table1[Ende]"),"&gt;="&amp;F$1,INDIRECT("Table1[Obergruppe ATC-Code]"),Tabelle3!$A67)</f>
        <v>1</v>
      </c>
      <c r="G67">
        <f ca="1">COUNTIFS(INDIRECT("Table1[Beginn]"),"&lt;="&amp;G$1,INDIRECT("Table1[Ende]"),"&gt;="&amp;G$1,INDIRECT("Table1[Obergruppe ATC-Code]"),Tabelle3!$A67)</f>
        <v>1</v>
      </c>
      <c r="H67">
        <f ca="1">COUNTIFS(INDIRECT("Table1[Beginn]"),"&lt;="&amp;H$1,INDIRECT("Table1[Ende]"),"&gt;="&amp;H$1,INDIRECT("Table1[Obergruppe ATC-Code]"),Tabelle3!$A67)</f>
        <v>1</v>
      </c>
      <c r="I67">
        <f ca="1">COUNTIFS(INDIRECT("Table1[Beginn]"),"&lt;="&amp;I$1,INDIRECT("Table1[Ende]"),"&gt;="&amp;I$1,INDIRECT("Table1[Obergruppe ATC-Code]"),Tabelle3!$A67)</f>
        <v>0</v>
      </c>
      <c r="J67">
        <f ca="1">COUNTIFS(INDIRECT("Table1[Beginn]"),"&lt;="&amp;J$1,INDIRECT("Table1[Ende]"),"&gt;="&amp;J$1,INDIRECT("Table1[Obergruppe ATC-Code]"),Tabelle3!$A67)</f>
        <v>0</v>
      </c>
      <c r="K67">
        <f ca="1">COUNTIFS(INDIRECT("Table1[Beginn]"),"&lt;="&amp;K$1,INDIRECT("Table1[Ende]"),"&gt;="&amp;K$1,INDIRECT("Table1[Obergruppe ATC-Code]"),Tabelle3!$A67)</f>
        <v>0</v>
      </c>
      <c r="L67">
        <f ca="1">COUNTIFS(INDIRECT("Table1[Beginn]"),"&lt;="&amp;L$1,INDIRECT("Table1[Ende]"),"&gt;="&amp;L$1,INDIRECT("Table1[Obergruppe ATC-Code]"),Tabelle3!$A67)</f>
        <v>0</v>
      </c>
      <c r="M67">
        <f ca="1">COUNTIFS(INDIRECT("Table1[Beginn]"),"&lt;="&amp;M$1,INDIRECT("Table1[Ende]"),"&gt;="&amp;M$1,INDIRECT("Table1[Obergruppe ATC-Code]"),Tabelle3!$A67)</f>
        <v>0</v>
      </c>
      <c r="N67">
        <f ca="1">COUNTIFS(INDIRECT("Table1[Beginn]"),"&lt;="&amp;N$1,INDIRECT("Table1[Ende]"),"&gt;="&amp;N$1,INDIRECT("Table1[Obergruppe ATC-Code]"),Tabelle3!$A67)</f>
        <v>0</v>
      </c>
      <c r="O67">
        <f ca="1">COUNTIFS(INDIRECT("Table1[Beginn]"),"&lt;="&amp;O$1,INDIRECT("Table1[Ende]"),"&gt;="&amp;O$1,INDIRECT("Table1[Obergruppe ATC-Code]"),Tabelle3!$A67)</f>
        <v>0</v>
      </c>
      <c r="P67">
        <f ca="1">COUNTIFS(INDIRECT("Table1[Beginn]"),"&lt;="&amp;P$1,INDIRECT("Table1[Ende]"),"&gt;="&amp;P$1,INDIRECT("Table1[Obergruppe ATC-Code]"),Tabelle3!$A67)</f>
        <v>0</v>
      </c>
      <c r="Q67">
        <f ca="1">COUNTIFS(INDIRECT("Table1[Beginn]"),"&lt;="&amp;Q$1,INDIRECT("Table1[Ende]"),"&gt;="&amp;Q$1,INDIRECT("Table1[Obergruppe ATC-Code]"),Tabelle3!$A67)</f>
        <v>0</v>
      </c>
      <c r="R67">
        <f ca="1">COUNTIFS(INDIRECT("Table1[Beginn]"),"&lt;="&amp;R$1,INDIRECT("Table1[Ende]"),"&gt;="&amp;R$1,INDIRECT("Table1[Obergruppe ATC-Code]"),Tabelle3!$A67)</f>
        <v>0</v>
      </c>
      <c r="S67">
        <f ca="1">COUNTIFS(INDIRECT("Table1[Beginn]"),"&lt;="&amp;S$1,INDIRECT("Table1[Ende]"),"&gt;="&amp;S$1,INDIRECT("Table1[Obergruppe ATC-Code]"),Tabelle3!$A67)</f>
        <v>1</v>
      </c>
      <c r="T67">
        <f ca="1">COUNTIFS(INDIRECT("Table1[Beginn]"),"&lt;="&amp;T$1,INDIRECT("Table1[Ende]"),"&gt;="&amp;T$1,INDIRECT("Table1[Obergruppe ATC-Code]"),Tabelle3!$A67)</f>
        <v>1</v>
      </c>
      <c r="U67">
        <f ca="1">COUNTIFS(INDIRECT("Table1[Beginn]"),"&lt;="&amp;U$1,INDIRECT("Table1[Ende]"),"&gt;="&amp;U$1,INDIRECT("Table1[Obergruppe ATC-Code]"),Tabelle3!$A67)</f>
        <v>1</v>
      </c>
      <c r="V67">
        <f ca="1">COUNTIFS(INDIRECT("Table1[Beginn]"),"&lt;="&amp;V$1,INDIRECT("Table1[Ende]"),"&gt;="&amp;V$1,INDIRECT("Table1[Obergruppe ATC-Code]"),Tabelle3!$A67)</f>
        <v>1</v>
      </c>
      <c r="W67">
        <f ca="1">COUNTIFS(INDIRECT("Table1[Beginn]"),"&lt;="&amp;W$1,INDIRECT("Table1[Ende]"),"&gt;="&amp;W$1,INDIRECT("Table1[Obergruppe ATC-Code]"),Tabelle3!$A67)</f>
        <v>1</v>
      </c>
      <c r="X67">
        <f ca="1">COUNTIFS(INDIRECT("Table1[Beginn]"),"&lt;="&amp;X$1,INDIRECT("Table1[Ende]"),"&gt;="&amp;X$1,INDIRECT("Table1[Obergruppe ATC-Code]"),Tabelle3!$A67)</f>
        <v>4</v>
      </c>
      <c r="Y67">
        <f ca="1">COUNTIFS(INDIRECT("Table1[Beginn]"),"&lt;="&amp;Y$1,INDIRECT("Table1[Ende]"),"&gt;="&amp;Y$1,INDIRECT("Table1[Obergruppe ATC-Code]"),Tabelle3!$A67)</f>
        <v>4</v>
      </c>
      <c r="Z67">
        <f ca="1">COUNTIFS(INDIRECT("Table1[Beginn]"),"&lt;="&amp;Z$1,INDIRECT("Table1[Ende]"),"&gt;="&amp;Z$1,INDIRECT("Table1[Obergruppe ATC-Code]"),Tabelle3!$A67)</f>
        <v>4</v>
      </c>
      <c r="AA67">
        <f ca="1">COUNTIFS(INDIRECT("Table1[Beginn]"),"&lt;="&amp;AA$1,INDIRECT("Table1[Ende]"),"&gt;="&amp;AA$1,INDIRECT("Table1[Obergruppe ATC-Code]"),Tabelle3!$A67)</f>
        <v>4</v>
      </c>
      <c r="AB67">
        <f ca="1">COUNTIFS(INDIRECT("Table1[Beginn]"),"&lt;="&amp;AB$1,INDIRECT("Table1[Ende]"),"&gt;="&amp;AB$1,INDIRECT("Table1[Obergruppe ATC-Code]"),Tabelle3!$A67)</f>
        <v>3</v>
      </c>
      <c r="AC67">
        <f ca="1">COUNTIFS(INDIRECT("Table1[Beginn]"),"&lt;="&amp;AC$1,INDIRECT("Table1[Ende]"),"&gt;="&amp;AC$1,INDIRECT("Table1[Obergruppe ATC-Code]"),Tabelle3!$A67)</f>
        <v>3</v>
      </c>
      <c r="AD67">
        <f ca="1">COUNTIFS(INDIRECT("Table1[Beginn]"),"&lt;="&amp;AD$1,INDIRECT("Table1[Ende]"),"&gt;="&amp;AD$1,INDIRECT("Table1[Obergruppe ATC-Code]"),Tabelle3!$A67)</f>
        <v>3</v>
      </c>
      <c r="AE67">
        <f ca="1">COUNTIFS(INDIRECT("Table1[Beginn]"),"&lt;="&amp;AE$1,INDIRECT("Table1[Ende]"),"&gt;="&amp;AE$1,INDIRECT("Table1[Obergruppe ATC-Code]"),Tabelle3!$A67)</f>
        <v>3</v>
      </c>
      <c r="AF67">
        <f ca="1">COUNTIFS(INDIRECT("Table1[Beginn]"),"&lt;="&amp;AF$1,INDIRECT("Table1[Ende]"),"&gt;="&amp;AF$1,INDIRECT("Table1[Obergruppe ATC-Code]"),Tabelle3!$A67)</f>
        <v>3</v>
      </c>
      <c r="AG67">
        <f ca="1">COUNTIFS(INDIRECT("Table1[Beginn]"),"&lt;="&amp;AG$1,INDIRECT("Table1[Ende]"),"&gt;="&amp;AG$1,INDIRECT("Table1[Obergruppe ATC-Code]"),Tabelle3!$A67)</f>
        <v>3</v>
      </c>
      <c r="AH67">
        <f ca="1">COUNTIFS(INDIRECT("Table1[Beginn]"),"&lt;="&amp;AH$1,INDIRECT("Table1[Ende]"),"&gt;="&amp;AH$1,INDIRECT("Table1[Obergruppe ATC-Code]"),Tabelle3!$A67)</f>
        <v>2</v>
      </c>
      <c r="AI67">
        <f ca="1">COUNTIFS(INDIRECT("Table1[Beginn]"),"&lt;="&amp;AI$1,INDIRECT("Table1[Ende]"),"&gt;="&amp;AI$1,INDIRECT("Table1[Obergruppe ATC-Code]"),Tabelle3!$A67)</f>
        <v>2</v>
      </c>
      <c r="AJ67">
        <f ca="1">COUNTIFS(INDIRECT("Table1[Beginn]"),"&lt;="&amp;AJ$1,INDIRECT("Table1[Ende]"),"&gt;="&amp;AJ$1,INDIRECT("Table1[Obergruppe ATC-Code]"),Tabelle3!$A67)</f>
        <v>2</v>
      </c>
      <c r="AK67">
        <f ca="1">COUNTIFS(INDIRECT("Table1[Beginn]"),"&lt;="&amp;AK$1,INDIRECT("Table1[Ende]"),"&gt;="&amp;AK$1,INDIRECT("Table1[Obergruppe ATC-Code]"),Tabelle3!$A67)</f>
        <v>2</v>
      </c>
      <c r="AL67">
        <f ca="1">COUNTIFS(INDIRECT("Table1[Beginn]"),"&lt;="&amp;AL$1,INDIRECT("Table1[Ende]"),"&gt;="&amp;AL$1,INDIRECT("Table1[Obergruppe ATC-Code]"),Tabelle3!$A67)</f>
        <v>1</v>
      </c>
      <c r="AM67">
        <f ca="1">COUNTIFS(INDIRECT("Table1[Beginn]"),"&lt;="&amp;AM$1,INDIRECT("Table1[Ende]"),"&gt;="&amp;AM$1,INDIRECT("Table1[Obergruppe ATC-Code]"),Tabelle3!$A67)</f>
        <v>1</v>
      </c>
      <c r="AN67">
        <f ca="1">COUNTIFS(INDIRECT("Table1[Beginn]"),"&lt;="&amp;AN$1,INDIRECT("Table1[Ende]"),"&gt;="&amp;AN$1,INDIRECT("Table1[Obergruppe ATC-Code]"),Tabelle3!$A67)</f>
        <v>1</v>
      </c>
      <c r="AO67">
        <f ca="1">COUNTIFS(INDIRECT("Table1[Beginn]"),"&lt;="&amp;AO$1,INDIRECT("Table1[Ende]"),"&gt;="&amp;AO$1,INDIRECT("Table1[Obergruppe ATC-Code]"),Tabelle3!$A67)</f>
        <v>1</v>
      </c>
      <c r="AP67">
        <f ca="1">COUNTIFS(INDIRECT("Table1[Beginn]"),"&lt;="&amp;AP$1,INDIRECT("Table1[Ende]"),"&gt;="&amp;AP$1,INDIRECT("Table1[Obergruppe ATC-Code]"),Tabelle3!$A67)</f>
        <v>1</v>
      </c>
      <c r="AQ67">
        <f ca="1">COUNTIFS(INDIRECT("Table1[Beginn]"),"&lt;="&amp;AQ$1,INDIRECT("Table1[Ende]"),"&gt;="&amp;AQ$1,INDIRECT("Table1[Obergruppe ATC-Code]"),Tabelle3!$A67)</f>
        <v>1</v>
      </c>
      <c r="AR67">
        <f ca="1">COUNTIFS(INDIRECT("Table1[Beginn]"),"&lt;="&amp;AR$1,INDIRECT("Table1[Ende]"),"&gt;="&amp;AR$1,INDIRECT("Table1[Obergruppe ATC-Code]"),Tabelle3!$A67)</f>
        <v>1</v>
      </c>
      <c r="AS67">
        <f ca="1">COUNTIFS(INDIRECT("Table1[Beginn]"),"&lt;="&amp;AS$1,INDIRECT("Table1[Ende]"),"&gt;="&amp;AS$1,INDIRECT("Table1[Obergruppe ATC-Code]"),Tabelle3!$A67)</f>
        <v>1</v>
      </c>
      <c r="AT67">
        <f ca="1">COUNTIFS(INDIRECT("Table1[Beginn]"),"&lt;="&amp;AT$1,INDIRECT("Table1[Ende]"),"&gt;="&amp;AT$1,INDIRECT("Table1[Obergruppe ATC-Code]"),Tabelle3!$A67)</f>
        <v>1</v>
      </c>
      <c r="AU67">
        <f ca="1">COUNTIFS(INDIRECT("Table1[Beginn]"),"&lt;="&amp;AU$1,INDIRECT("Table1[Ende]"),"&gt;="&amp;AU$1,INDIRECT("Table1[Obergruppe ATC-Code]"),Tabelle3!$A67)</f>
        <v>1</v>
      </c>
      <c r="AV67">
        <f ca="1">COUNTIFS(INDIRECT("Table1[Beginn]"),"&lt;="&amp;AV$1,INDIRECT("Table1[Ende]"),"&gt;="&amp;AV$1,INDIRECT("Table1[Obergruppe ATC-Code]"),Tabelle3!$A67)</f>
        <v>1</v>
      </c>
      <c r="AW67">
        <f ca="1">COUNTIFS(INDIRECT("Table1[Beginn]"),"&lt;="&amp;AW$1,INDIRECT("Table1[Ende]"),"&gt;="&amp;AW$1,INDIRECT("Table1[Obergruppe ATC-Code]"),Tabelle3!$A67)</f>
        <v>1</v>
      </c>
      <c r="AX67">
        <f ca="1">COUNTIFS(INDIRECT("Table1[Beginn]"),"&lt;="&amp;AX$1,INDIRECT("Table1[Ende]"),"&gt;="&amp;AX$1,INDIRECT("Table1[Obergruppe ATC-Code]"),Tabelle3!$A67)</f>
        <v>1</v>
      </c>
      <c r="AY67">
        <f ca="1">COUNTIFS(INDIRECT("Table1[Beginn]"),"&lt;="&amp;AY$1,INDIRECT("Table1[Ende]"),"&gt;="&amp;AY$1,INDIRECT("Table1[Obergruppe ATC-Code]"),Tabelle3!$A67)</f>
        <v>1</v>
      </c>
      <c r="AZ67">
        <f ca="1">COUNTIFS(INDIRECT("Table1[Beginn]"),"&lt;="&amp;AZ$1,INDIRECT("Table1[Ende]"),"&gt;="&amp;AZ$1,INDIRECT("Table1[Obergruppe ATC-Code]"),Tabelle3!$A67)</f>
        <v>1</v>
      </c>
      <c r="BA67">
        <f ca="1">COUNTIFS(INDIRECT("Table1[Beginn]"),"&lt;="&amp;BA$1,INDIRECT("Table1[Ende]"),"&gt;="&amp;BA$1,INDIRECT("Table1[Obergruppe ATC-Code]"),Tabelle3!$A67)</f>
        <v>1</v>
      </c>
      <c r="BB67">
        <f ca="1">COUNTIFS(INDIRECT("Table1[Beginn]"),"&lt;="&amp;BB$1,INDIRECT("Table1[Ende]"),"&gt;="&amp;BB$1,INDIRECT("Table1[Obergruppe ATC-Code]"),Tabelle3!$A67)</f>
        <v>1</v>
      </c>
      <c r="BC67">
        <f ca="1">COUNTIFS(INDIRECT("Table1[Beginn]"),"&lt;="&amp;BC$1,INDIRECT("Table1[Ende]"),"&gt;="&amp;BC$1,INDIRECT("Table1[Obergruppe ATC-Code]"),Tabelle3!$A67)</f>
        <v>1</v>
      </c>
      <c r="BD67">
        <f ca="1">COUNTIFS(INDIRECT("Table1[Beginn]"),"&lt;="&amp;BD$1,INDIRECT("Table1[Ende]"),"&gt;="&amp;BD$1,INDIRECT("Table1[Obergruppe ATC-Code]"),Tabelle3!$A67)</f>
        <v>1</v>
      </c>
      <c r="BE67">
        <f ca="1">COUNTIFS(INDIRECT("Table1[Beginn]"),"&lt;="&amp;BE$1,INDIRECT("Table1[Ende]"),"&gt;="&amp;BE$1,INDIRECT("Table1[Obergruppe ATC-Code]"),Tabelle3!$A67)</f>
        <v>1</v>
      </c>
      <c r="BF67">
        <f ca="1">COUNTIFS(INDIRECT("Table1[Beginn]"),"&lt;="&amp;BF$1,INDIRECT("Table1[Ende]"),"&gt;="&amp;BF$1,INDIRECT("Table1[Obergruppe ATC-Code]"),Tabelle3!$A67)</f>
        <v>1</v>
      </c>
      <c r="BG67">
        <f ca="1">COUNTIFS(INDIRECT("Table1[Beginn]"),"&lt;="&amp;BG$1,INDIRECT("Table1[Ende]"),"&gt;="&amp;BG$1,INDIRECT("Table1[Obergruppe ATC-Code]"),Tabelle3!$A67)</f>
        <v>1</v>
      </c>
      <c r="BH67">
        <f ca="1">COUNTIFS(INDIRECT("Table1[Beginn]"),"&lt;="&amp;BH$1,INDIRECT("Table1[Ende]"),"&gt;="&amp;BH$1,INDIRECT("Table1[Obergruppe ATC-Code]"),Tabelle3!$A67)</f>
        <v>1</v>
      </c>
      <c r="BI67">
        <f ca="1">COUNTIFS(INDIRECT("Table1[Beginn]"),"&lt;="&amp;BI$1,INDIRECT("Table1[Ende]"),"&gt;="&amp;BI$1,INDIRECT("Table1[Obergruppe ATC-Code]"),Tabelle3!$A67)</f>
        <v>1</v>
      </c>
      <c r="BJ67">
        <f ca="1">COUNTIFS(INDIRECT("Table1[Beginn]"),"&lt;="&amp;BJ$1,INDIRECT("Table1[Ende]"),"&gt;="&amp;BJ$1,INDIRECT("Table1[Obergruppe ATC-Code]"),Tabelle3!$A67)</f>
        <v>1</v>
      </c>
      <c r="BK67">
        <f ca="1">COUNTIFS(INDIRECT("Table1[Beginn]"),"&lt;="&amp;BK$1,INDIRECT("Table1[Ende]"),"&gt;="&amp;BK$1,INDIRECT("Table1[Obergruppe ATC-Code]"),Tabelle3!$A67)</f>
        <v>1</v>
      </c>
      <c r="BL67">
        <f ca="1">COUNTIFS(INDIRECT("Table1[Beginn]"),"&lt;="&amp;BL$1,INDIRECT("Table1[Ende]"),"&gt;="&amp;BL$1,INDIRECT("Table1[Obergruppe ATC-Code]"),Tabelle3!$A67)</f>
        <v>1</v>
      </c>
      <c r="BM67">
        <f ca="1">COUNTIFS(INDIRECT("Table1[Beginn]"),"&lt;="&amp;BM$1,INDIRECT("Table1[Ende]"),"&gt;="&amp;BM$1,INDIRECT("Table1[Obergruppe ATC-Code]"),Tabelle3!$A67)</f>
        <v>1</v>
      </c>
      <c r="BN67">
        <f ca="1">COUNTIFS(INDIRECT("Table1[Beginn]"),"&lt;="&amp;BN$1,INDIRECT("Table1[Ende]"),"&gt;="&amp;BN$1,INDIRECT("Table1[Obergruppe ATC-Code]"),Tabelle3!$A67)</f>
        <v>1</v>
      </c>
      <c r="BO67">
        <f ca="1">COUNTIFS(INDIRECT("Table1[Beginn]"),"&lt;="&amp;BO$1,INDIRECT("Table1[Ende]"),"&gt;="&amp;BO$1,INDIRECT("Table1[Obergruppe ATC-Code]"),Tabelle3!$A67)</f>
        <v>1</v>
      </c>
      <c r="BP67">
        <f ca="1">COUNTIFS(INDIRECT("Table1[Beginn]"),"&lt;="&amp;BP$1,INDIRECT("Table1[Ende]"),"&gt;="&amp;BP$1,INDIRECT("Table1[Obergruppe ATC-Code]"),Tabelle3!$A67)</f>
        <v>1</v>
      </c>
      <c r="BQ67">
        <f ca="1">COUNTIFS(INDIRECT("Table1[Beginn]"),"&lt;="&amp;BQ$1,INDIRECT("Table1[Ende]"),"&gt;="&amp;BQ$1,INDIRECT("Table1[Obergruppe ATC-Code]"),Tabelle3!$A67)</f>
        <v>1</v>
      </c>
      <c r="BR67">
        <f ca="1">COUNTIFS(INDIRECT("Table1[Beginn]"),"&lt;="&amp;BR$1,INDIRECT("Table1[Ende]"),"&gt;="&amp;BR$1,INDIRECT("Table1[Obergruppe ATC-Code]"),Tabelle3!$A67)</f>
        <v>1</v>
      </c>
      <c r="BS67">
        <f ca="1">COUNTIFS(INDIRECT("Table1[Beginn]"),"&lt;="&amp;BS$1,INDIRECT("Table1[Ende]"),"&gt;="&amp;BS$1,INDIRECT("Table1[Obergruppe ATC-Code]"),Tabelle3!$A67)</f>
        <v>1</v>
      </c>
      <c r="BT67">
        <f ca="1">COUNTIFS(INDIRECT("Table1[Beginn]"),"&lt;="&amp;BT$1,INDIRECT("Table1[Ende]"),"&gt;="&amp;BT$1,INDIRECT("Table1[Obergruppe ATC-Code]"),Tabelle3!$A67)</f>
        <v>0</v>
      </c>
      <c r="BU67">
        <f ca="1">COUNTIFS(INDIRECT("Table1[Beginn]"),"&lt;="&amp;BU$1,INDIRECT("Table1[Ende]"),"&gt;="&amp;BU$1,INDIRECT("Table1[Obergruppe ATC-Code]"),Tabelle3!$A67)</f>
        <v>2</v>
      </c>
      <c r="BV67">
        <f ca="1">COUNTIFS(INDIRECT("Table1[Beginn]"),"&lt;="&amp;BV$1,INDIRECT("Table1[Ende]"),"&gt;="&amp;BV$1,INDIRECT("Table1[Obergruppe ATC-Code]"),Tabelle3!$A67)</f>
        <v>3</v>
      </c>
      <c r="BW67">
        <f ca="1">COUNTIFS(INDIRECT("Table1[Beginn]"),"&lt;="&amp;BW$1,INDIRECT("Table1[Ende]"),"&gt;="&amp;BW$1,INDIRECT("Table1[Obergruppe ATC-Code]"),Tabelle3!$A67)</f>
        <v>4</v>
      </c>
      <c r="BX67">
        <f ca="1">COUNTIFS(INDIRECT("Table1[Beginn]"),"&lt;="&amp;BX$1,INDIRECT("Table1[Ende]"),"&gt;="&amp;BX$1,INDIRECT("Table1[Obergruppe ATC-Code]"),Tabelle3!$A67)</f>
        <v>5</v>
      </c>
      <c r="BY67">
        <f ca="1">COUNTIFS(INDIRECT("Table1[Beginn]"),"&lt;="&amp;BY$1,INDIRECT("Table1[Ende]"),"&gt;="&amp;BY$1,INDIRECT("Table1[Obergruppe ATC-Code]"),Tabelle3!$A67)</f>
        <v>3</v>
      </c>
      <c r="BZ67">
        <f ca="1">COUNTIFS(INDIRECT("Table1[Beginn]"),"&lt;="&amp;BZ$1,INDIRECT("Table1[Ende]"),"&gt;="&amp;BZ$1,INDIRECT("Table1[Obergruppe ATC-Code]"),Tabelle3!$A67)</f>
        <v>3</v>
      </c>
      <c r="CA67">
        <f ca="1">COUNTIFS(INDIRECT("Table1[Beginn]"),"&lt;="&amp;CA$1,INDIRECT("Table1[Ende]"),"&gt;="&amp;CA$1,INDIRECT("Table1[Obergruppe ATC-Code]"),Tabelle3!$A67)</f>
        <v>2</v>
      </c>
      <c r="CB67">
        <f ca="1">COUNTIFS(INDIRECT("Table1[Beginn]"),"&lt;="&amp;CB$1,INDIRECT("Table1[Ende]"),"&gt;="&amp;CB$1,INDIRECT("Table1[Obergruppe ATC-Code]"),Tabelle3!$A67)</f>
        <v>2</v>
      </c>
      <c r="CC67">
        <f ca="1">COUNTIFS(INDIRECT("Table1[Beginn]"),"&lt;="&amp;CC$1,INDIRECT("Table1[Ende]"),"&gt;="&amp;CC$1,INDIRECT("Table1[Obergruppe ATC-Code]"),Tabelle3!$A67)</f>
        <v>3</v>
      </c>
      <c r="CD67">
        <f ca="1">COUNTIFS(INDIRECT("Table1[Beginn]"),"&lt;="&amp;CD$1,INDIRECT("Table1[Ende]"),"&gt;="&amp;CD$1,INDIRECT("Table1[Obergruppe ATC-Code]"),Tabelle3!$A67)</f>
        <v>3</v>
      </c>
      <c r="CE67">
        <f ca="1">COUNTIFS(INDIRECT("Table1[Beginn]"),"&lt;="&amp;CE$1,INDIRECT("Table1[Ende]"),"&gt;="&amp;CE$1,INDIRECT("Table1[Obergruppe ATC-Code]"),Tabelle3!$A67)</f>
        <v>2</v>
      </c>
      <c r="CF67">
        <f ca="1">COUNTIFS(INDIRECT("Table1[Beginn]"),"&lt;="&amp;CF$1,INDIRECT("Table1[Ende]"),"&gt;="&amp;CF$1,INDIRECT("Table1[Obergruppe ATC-Code]"),Tabelle3!$A67)</f>
        <v>2</v>
      </c>
      <c r="CG67">
        <f ca="1">COUNTIFS(INDIRECT("Table1[Beginn]"),"&lt;="&amp;CG$1,INDIRECT("Table1[Ende]"),"&gt;="&amp;CG$1,INDIRECT("Table1[Obergruppe ATC-Code]"),Tabelle3!$A67)</f>
        <v>0</v>
      </c>
      <c r="CH67">
        <f ca="1">COUNTIFS(INDIRECT("Table1[Beginn]"),"&lt;="&amp;CH$1,INDIRECT("Table1[Ende]"),"&gt;="&amp;CH$1,INDIRECT("Table1[Obergruppe ATC-Code]"),Tabelle3!$A67)</f>
        <v>0</v>
      </c>
      <c r="CI67">
        <f ca="1">COUNTIFS(INDIRECT("Table1[Beginn]"),"&lt;="&amp;CI$1,INDIRECT("Table1[Ende]"),"&gt;="&amp;CI$1,INDIRECT("Table1[Obergruppe ATC-Code]"),Tabelle3!$A67)</f>
        <v>0</v>
      </c>
      <c r="CJ67">
        <f ca="1">COUNTIFS(INDIRECT("Table1[Beginn]"),"&lt;="&amp;CJ$1,INDIRECT("Table1[Ende]"),"&gt;="&amp;CJ$1,INDIRECT("Table1[Obergruppe ATC-Code]"),Tabelle3!$A67)</f>
        <v>0</v>
      </c>
      <c r="CK67">
        <f ca="1">COUNTIFS(INDIRECT("Table1[Beginn]"),"&lt;="&amp;CK$1,INDIRECT("Table1[Ende]"),"&gt;="&amp;CK$1,INDIRECT("Table1[Obergruppe ATC-Code]"),Tabelle3!$A67)</f>
        <v>0</v>
      </c>
      <c r="CL67">
        <f ca="1">COUNTIFS(INDIRECT("Table1[Beginn]"),"&lt;="&amp;CL$1,INDIRECT("Table1[Ende]"),"&gt;="&amp;CL$1,INDIRECT("Table1[Obergruppe ATC-Code]"),Tabelle3!$A67)</f>
        <v>0</v>
      </c>
      <c r="CM67">
        <f ca="1">COUNTIFS(INDIRECT("Table1[Beginn]"),"&lt;="&amp;CM$1,INDIRECT("Table1[Ende]"),"&gt;="&amp;CM$1,INDIRECT("Table1[Obergruppe ATC-Code]"),Tabelle3!$A67)</f>
        <v>0</v>
      </c>
      <c r="CN67">
        <f ca="1">COUNTIFS(INDIRECT("Table1[Beginn]"),"&lt;="&amp;CN$1,INDIRECT("Table1[Ende]"),"&gt;="&amp;CN$1,INDIRECT("Table1[Obergruppe ATC-Code]"),Tabelle3!$A67)</f>
        <v>0</v>
      </c>
      <c r="CO67">
        <f ca="1">COUNTIFS(INDIRECT("Table1[Beginn]"),"&lt;="&amp;CO$1,INDIRECT("Table1[Ende]"),"&gt;="&amp;CO$1,INDIRECT("Table1[Obergruppe ATC-Code]"),Tabelle3!$A67)</f>
        <v>0</v>
      </c>
      <c r="CP67">
        <f ca="1">COUNTIFS(INDIRECT("Table1[Beginn]"),"&lt;="&amp;CP$1,INDIRECT("Table1[Ende]"),"&gt;="&amp;CP$1,INDIRECT("Table1[Obergruppe ATC-Code]"),Tabelle3!$A67)</f>
        <v>0</v>
      </c>
      <c r="CQ67">
        <f ca="1">COUNTIFS(INDIRECT("Table1[Beginn]"),"&lt;="&amp;CQ$1,INDIRECT("Table1[Ende]"),"&gt;="&amp;CQ$1,INDIRECT("Table1[Obergruppe ATC-Code]"),Tabelle3!$A67)</f>
        <v>0</v>
      </c>
      <c r="CR67">
        <f ca="1">COUNTIFS(INDIRECT("Table1[Beginn]"),"&lt;="&amp;CR$1,INDIRECT("Table1[Ende]"),"&gt;="&amp;CR$1,INDIRECT("Table1[Obergruppe ATC-Code]"),Tabelle3!$A67)</f>
        <v>0</v>
      </c>
    </row>
    <row r="68" spans="1:96" ht="18">
      <c r="A68" s="7" t="s">
        <v>6904</v>
      </c>
      <c r="B68" s="8" t="s">
        <v>6905</v>
      </c>
      <c r="C68">
        <f ca="1">COUNTIFS(INDIRECT("Table1[Beginn]"),"&lt;="&amp;C$1,INDIRECT("Table1[Ende]"),"&gt;="&amp;C$1,INDIRECT("Table1[Obergruppe ATC-Code]"),Tabelle3!$A68)</f>
        <v>0</v>
      </c>
      <c r="D68">
        <f ca="1">COUNTIFS(INDIRECT("Table1[Beginn]"),"&lt;="&amp;D$1,INDIRECT("Table1[Ende]"),"&gt;="&amp;D$1,INDIRECT("Table1[Obergruppe ATC-Code]"),Tabelle3!$A68)</f>
        <v>0</v>
      </c>
      <c r="E68">
        <f ca="1">COUNTIFS(INDIRECT("Table1[Beginn]"),"&lt;="&amp;E$1,INDIRECT("Table1[Ende]"),"&gt;="&amp;E$1,INDIRECT("Table1[Obergruppe ATC-Code]"),Tabelle3!$A68)</f>
        <v>0</v>
      </c>
      <c r="F68">
        <f ca="1">COUNTIFS(INDIRECT("Table1[Beginn]"),"&lt;="&amp;F$1,INDIRECT("Table1[Ende]"),"&gt;="&amp;F$1,INDIRECT("Table1[Obergruppe ATC-Code]"),Tabelle3!$A68)</f>
        <v>0</v>
      </c>
      <c r="G68">
        <f ca="1">COUNTIFS(INDIRECT("Table1[Beginn]"),"&lt;="&amp;G$1,INDIRECT("Table1[Ende]"),"&gt;="&amp;G$1,INDIRECT("Table1[Obergruppe ATC-Code]"),Tabelle3!$A68)</f>
        <v>0</v>
      </c>
      <c r="H68">
        <f ca="1">COUNTIFS(INDIRECT("Table1[Beginn]"),"&lt;="&amp;H$1,INDIRECT("Table1[Ende]"),"&gt;="&amp;H$1,INDIRECT("Table1[Obergruppe ATC-Code]"),Tabelle3!$A68)</f>
        <v>0</v>
      </c>
      <c r="I68">
        <f ca="1">COUNTIFS(INDIRECT("Table1[Beginn]"),"&lt;="&amp;I$1,INDIRECT("Table1[Ende]"),"&gt;="&amp;I$1,INDIRECT("Table1[Obergruppe ATC-Code]"),Tabelle3!$A68)</f>
        <v>0</v>
      </c>
      <c r="J68">
        <f ca="1">COUNTIFS(INDIRECT("Table1[Beginn]"),"&lt;="&amp;J$1,INDIRECT("Table1[Ende]"),"&gt;="&amp;J$1,INDIRECT("Table1[Obergruppe ATC-Code]"),Tabelle3!$A68)</f>
        <v>0</v>
      </c>
      <c r="K68">
        <f ca="1">COUNTIFS(INDIRECT("Table1[Beginn]"),"&lt;="&amp;K$1,INDIRECT("Table1[Ende]"),"&gt;="&amp;K$1,INDIRECT("Table1[Obergruppe ATC-Code]"),Tabelle3!$A68)</f>
        <v>0</v>
      </c>
      <c r="L68">
        <f ca="1">COUNTIFS(INDIRECT("Table1[Beginn]"),"&lt;="&amp;L$1,INDIRECT("Table1[Ende]"),"&gt;="&amp;L$1,INDIRECT("Table1[Obergruppe ATC-Code]"),Tabelle3!$A68)</f>
        <v>0</v>
      </c>
      <c r="M68">
        <f ca="1">COUNTIFS(INDIRECT("Table1[Beginn]"),"&lt;="&amp;M$1,INDIRECT("Table1[Ende]"),"&gt;="&amp;M$1,INDIRECT("Table1[Obergruppe ATC-Code]"),Tabelle3!$A68)</f>
        <v>0</v>
      </c>
      <c r="N68">
        <f ca="1">COUNTIFS(INDIRECT("Table1[Beginn]"),"&lt;="&amp;N$1,INDIRECT("Table1[Ende]"),"&gt;="&amp;N$1,INDIRECT("Table1[Obergruppe ATC-Code]"),Tabelle3!$A68)</f>
        <v>0</v>
      </c>
      <c r="O68">
        <f ca="1">COUNTIFS(INDIRECT("Table1[Beginn]"),"&lt;="&amp;O$1,INDIRECT("Table1[Ende]"),"&gt;="&amp;O$1,INDIRECT("Table1[Obergruppe ATC-Code]"),Tabelle3!$A68)</f>
        <v>0</v>
      </c>
      <c r="P68">
        <f ca="1">COUNTIFS(INDIRECT("Table1[Beginn]"),"&lt;="&amp;P$1,INDIRECT("Table1[Ende]"),"&gt;="&amp;P$1,INDIRECT("Table1[Obergruppe ATC-Code]"),Tabelle3!$A68)</f>
        <v>0</v>
      </c>
      <c r="Q68">
        <f ca="1">COUNTIFS(INDIRECT("Table1[Beginn]"),"&lt;="&amp;Q$1,INDIRECT("Table1[Ende]"),"&gt;="&amp;Q$1,INDIRECT("Table1[Obergruppe ATC-Code]"),Tabelle3!$A68)</f>
        <v>0</v>
      </c>
      <c r="R68">
        <f ca="1">COUNTIFS(INDIRECT("Table1[Beginn]"),"&lt;="&amp;R$1,INDIRECT("Table1[Ende]"),"&gt;="&amp;R$1,INDIRECT("Table1[Obergruppe ATC-Code]"),Tabelle3!$A68)</f>
        <v>0</v>
      </c>
      <c r="S68">
        <f ca="1">COUNTIFS(INDIRECT("Table1[Beginn]"),"&lt;="&amp;S$1,INDIRECT("Table1[Ende]"),"&gt;="&amp;S$1,INDIRECT("Table1[Obergruppe ATC-Code]"),Tabelle3!$A68)</f>
        <v>0</v>
      </c>
      <c r="T68">
        <f ca="1">COUNTIFS(INDIRECT("Table1[Beginn]"),"&lt;="&amp;T$1,INDIRECT("Table1[Ende]"),"&gt;="&amp;T$1,INDIRECT("Table1[Obergruppe ATC-Code]"),Tabelle3!$A68)</f>
        <v>0</v>
      </c>
      <c r="U68">
        <f ca="1">COUNTIFS(INDIRECT("Table1[Beginn]"),"&lt;="&amp;U$1,INDIRECT("Table1[Ende]"),"&gt;="&amp;U$1,INDIRECT("Table1[Obergruppe ATC-Code]"),Tabelle3!$A68)</f>
        <v>0</v>
      </c>
      <c r="V68">
        <f ca="1">COUNTIFS(INDIRECT("Table1[Beginn]"),"&lt;="&amp;V$1,INDIRECT("Table1[Ende]"),"&gt;="&amp;V$1,INDIRECT("Table1[Obergruppe ATC-Code]"),Tabelle3!$A68)</f>
        <v>0</v>
      </c>
      <c r="W68">
        <f ca="1">COUNTIFS(INDIRECT("Table1[Beginn]"),"&lt;="&amp;W$1,INDIRECT("Table1[Ende]"),"&gt;="&amp;W$1,INDIRECT("Table1[Obergruppe ATC-Code]"),Tabelle3!$A68)</f>
        <v>0</v>
      </c>
      <c r="X68">
        <f ca="1">COUNTIFS(INDIRECT("Table1[Beginn]"),"&lt;="&amp;X$1,INDIRECT("Table1[Ende]"),"&gt;="&amp;X$1,INDIRECT("Table1[Obergruppe ATC-Code]"),Tabelle3!$A68)</f>
        <v>0</v>
      </c>
      <c r="Y68">
        <f ca="1">COUNTIFS(INDIRECT("Table1[Beginn]"),"&lt;="&amp;Y$1,INDIRECT("Table1[Ende]"),"&gt;="&amp;Y$1,INDIRECT("Table1[Obergruppe ATC-Code]"),Tabelle3!$A68)</f>
        <v>0</v>
      </c>
      <c r="Z68">
        <f ca="1">COUNTIFS(INDIRECT("Table1[Beginn]"),"&lt;="&amp;Z$1,INDIRECT("Table1[Ende]"),"&gt;="&amp;Z$1,INDIRECT("Table1[Obergruppe ATC-Code]"),Tabelle3!$A68)</f>
        <v>0</v>
      </c>
      <c r="AA68">
        <f ca="1">COUNTIFS(INDIRECT("Table1[Beginn]"),"&lt;="&amp;AA$1,INDIRECT("Table1[Ende]"),"&gt;="&amp;AA$1,INDIRECT("Table1[Obergruppe ATC-Code]"),Tabelle3!$A68)</f>
        <v>0</v>
      </c>
      <c r="AB68">
        <f ca="1">COUNTIFS(INDIRECT("Table1[Beginn]"),"&lt;="&amp;AB$1,INDIRECT("Table1[Ende]"),"&gt;="&amp;AB$1,INDIRECT("Table1[Obergruppe ATC-Code]"),Tabelle3!$A68)</f>
        <v>0</v>
      </c>
      <c r="AC68">
        <f ca="1">COUNTIFS(INDIRECT("Table1[Beginn]"),"&lt;="&amp;AC$1,INDIRECT("Table1[Ende]"),"&gt;="&amp;AC$1,INDIRECT("Table1[Obergruppe ATC-Code]"),Tabelle3!$A68)</f>
        <v>0</v>
      </c>
      <c r="AD68">
        <f ca="1">COUNTIFS(INDIRECT("Table1[Beginn]"),"&lt;="&amp;AD$1,INDIRECT("Table1[Ende]"),"&gt;="&amp;AD$1,INDIRECT("Table1[Obergruppe ATC-Code]"),Tabelle3!$A68)</f>
        <v>0</v>
      </c>
      <c r="AE68">
        <f ca="1">COUNTIFS(INDIRECT("Table1[Beginn]"),"&lt;="&amp;AE$1,INDIRECT("Table1[Ende]"),"&gt;="&amp;AE$1,INDIRECT("Table1[Obergruppe ATC-Code]"),Tabelle3!$A68)</f>
        <v>0</v>
      </c>
      <c r="AF68">
        <f ca="1">COUNTIFS(INDIRECT("Table1[Beginn]"),"&lt;="&amp;AF$1,INDIRECT("Table1[Ende]"),"&gt;="&amp;AF$1,INDIRECT("Table1[Obergruppe ATC-Code]"),Tabelle3!$A68)</f>
        <v>0</v>
      </c>
      <c r="AG68">
        <f ca="1">COUNTIFS(INDIRECT("Table1[Beginn]"),"&lt;="&amp;AG$1,INDIRECT("Table1[Ende]"),"&gt;="&amp;AG$1,INDIRECT("Table1[Obergruppe ATC-Code]"),Tabelle3!$A68)</f>
        <v>0</v>
      </c>
      <c r="AH68">
        <f ca="1">COUNTIFS(INDIRECT("Table1[Beginn]"),"&lt;="&amp;AH$1,INDIRECT("Table1[Ende]"),"&gt;="&amp;AH$1,INDIRECT("Table1[Obergruppe ATC-Code]"),Tabelle3!$A68)</f>
        <v>0</v>
      </c>
      <c r="AI68">
        <f ca="1">COUNTIFS(INDIRECT("Table1[Beginn]"),"&lt;="&amp;AI$1,INDIRECT("Table1[Ende]"),"&gt;="&amp;AI$1,INDIRECT("Table1[Obergruppe ATC-Code]"),Tabelle3!$A68)</f>
        <v>0</v>
      </c>
      <c r="AJ68">
        <f ca="1">COUNTIFS(INDIRECT("Table1[Beginn]"),"&lt;="&amp;AJ$1,INDIRECT("Table1[Ende]"),"&gt;="&amp;AJ$1,INDIRECT("Table1[Obergruppe ATC-Code]"),Tabelle3!$A68)</f>
        <v>0</v>
      </c>
      <c r="AK68">
        <f ca="1">COUNTIFS(INDIRECT("Table1[Beginn]"),"&lt;="&amp;AK$1,INDIRECT("Table1[Ende]"),"&gt;="&amp;AK$1,INDIRECT("Table1[Obergruppe ATC-Code]"),Tabelle3!$A68)</f>
        <v>0</v>
      </c>
      <c r="AL68">
        <f ca="1">COUNTIFS(INDIRECT("Table1[Beginn]"),"&lt;="&amp;AL$1,INDIRECT("Table1[Ende]"),"&gt;="&amp;AL$1,INDIRECT("Table1[Obergruppe ATC-Code]"),Tabelle3!$A68)</f>
        <v>0</v>
      </c>
      <c r="AM68">
        <f ca="1">COUNTIFS(INDIRECT("Table1[Beginn]"),"&lt;="&amp;AM$1,INDIRECT("Table1[Ende]"),"&gt;="&amp;AM$1,INDIRECT("Table1[Obergruppe ATC-Code]"),Tabelle3!$A68)</f>
        <v>0</v>
      </c>
      <c r="AN68">
        <f ca="1">COUNTIFS(INDIRECT("Table1[Beginn]"),"&lt;="&amp;AN$1,INDIRECT("Table1[Ende]"),"&gt;="&amp;AN$1,INDIRECT("Table1[Obergruppe ATC-Code]"),Tabelle3!$A68)</f>
        <v>0</v>
      </c>
      <c r="AO68">
        <f ca="1">COUNTIFS(INDIRECT("Table1[Beginn]"),"&lt;="&amp;AO$1,INDIRECT("Table1[Ende]"),"&gt;="&amp;AO$1,INDIRECT("Table1[Obergruppe ATC-Code]"),Tabelle3!$A68)</f>
        <v>0</v>
      </c>
      <c r="AP68">
        <f ca="1">COUNTIFS(INDIRECT("Table1[Beginn]"),"&lt;="&amp;AP$1,INDIRECT("Table1[Ende]"),"&gt;="&amp;AP$1,INDIRECT("Table1[Obergruppe ATC-Code]"),Tabelle3!$A68)</f>
        <v>0</v>
      </c>
      <c r="AQ68">
        <f ca="1">COUNTIFS(INDIRECT("Table1[Beginn]"),"&lt;="&amp;AQ$1,INDIRECT("Table1[Ende]"),"&gt;="&amp;AQ$1,INDIRECT("Table1[Obergruppe ATC-Code]"),Tabelle3!$A68)</f>
        <v>0</v>
      </c>
      <c r="AR68">
        <f ca="1">COUNTIFS(INDIRECT("Table1[Beginn]"),"&lt;="&amp;AR$1,INDIRECT("Table1[Ende]"),"&gt;="&amp;AR$1,INDIRECT("Table1[Obergruppe ATC-Code]"),Tabelle3!$A68)</f>
        <v>0</v>
      </c>
      <c r="AS68">
        <f ca="1">COUNTIFS(INDIRECT("Table1[Beginn]"),"&lt;="&amp;AS$1,INDIRECT("Table1[Ende]"),"&gt;="&amp;AS$1,INDIRECT("Table1[Obergruppe ATC-Code]"),Tabelle3!$A68)</f>
        <v>0</v>
      </c>
      <c r="AT68">
        <f ca="1">COUNTIFS(INDIRECT("Table1[Beginn]"),"&lt;="&amp;AT$1,INDIRECT("Table1[Ende]"),"&gt;="&amp;AT$1,INDIRECT("Table1[Obergruppe ATC-Code]"),Tabelle3!$A68)</f>
        <v>0</v>
      </c>
      <c r="AU68">
        <f ca="1">COUNTIFS(INDIRECT("Table1[Beginn]"),"&lt;="&amp;AU$1,INDIRECT("Table1[Ende]"),"&gt;="&amp;AU$1,INDIRECT("Table1[Obergruppe ATC-Code]"),Tabelle3!$A68)</f>
        <v>0</v>
      </c>
      <c r="AV68">
        <f ca="1">COUNTIFS(INDIRECT("Table1[Beginn]"),"&lt;="&amp;AV$1,INDIRECT("Table1[Ende]"),"&gt;="&amp;AV$1,INDIRECT("Table1[Obergruppe ATC-Code]"),Tabelle3!$A68)</f>
        <v>0</v>
      </c>
      <c r="AW68">
        <f ca="1">COUNTIFS(INDIRECT("Table1[Beginn]"),"&lt;="&amp;AW$1,INDIRECT("Table1[Ende]"),"&gt;="&amp;AW$1,INDIRECT("Table1[Obergruppe ATC-Code]"),Tabelle3!$A68)</f>
        <v>0</v>
      </c>
      <c r="AX68">
        <f ca="1">COUNTIFS(INDIRECT("Table1[Beginn]"),"&lt;="&amp;AX$1,INDIRECT("Table1[Ende]"),"&gt;="&amp;AX$1,INDIRECT("Table1[Obergruppe ATC-Code]"),Tabelle3!$A68)</f>
        <v>0</v>
      </c>
      <c r="AY68">
        <f ca="1">COUNTIFS(INDIRECT("Table1[Beginn]"),"&lt;="&amp;AY$1,INDIRECT("Table1[Ende]"),"&gt;="&amp;AY$1,INDIRECT("Table1[Obergruppe ATC-Code]"),Tabelle3!$A68)</f>
        <v>0</v>
      </c>
      <c r="AZ68">
        <f ca="1">COUNTIFS(INDIRECT("Table1[Beginn]"),"&lt;="&amp;AZ$1,INDIRECT("Table1[Ende]"),"&gt;="&amp;AZ$1,INDIRECT("Table1[Obergruppe ATC-Code]"),Tabelle3!$A68)</f>
        <v>0</v>
      </c>
      <c r="BA68">
        <f ca="1">COUNTIFS(INDIRECT("Table1[Beginn]"),"&lt;="&amp;BA$1,INDIRECT("Table1[Ende]"),"&gt;="&amp;BA$1,INDIRECT("Table1[Obergruppe ATC-Code]"),Tabelle3!$A68)</f>
        <v>0</v>
      </c>
      <c r="BB68">
        <f ca="1">COUNTIFS(INDIRECT("Table1[Beginn]"),"&lt;="&amp;BB$1,INDIRECT("Table1[Ende]"),"&gt;="&amp;BB$1,INDIRECT("Table1[Obergruppe ATC-Code]"),Tabelle3!$A68)</f>
        <v>0</v>
      </c>
      <c r="BC68">
        <f ca="1">COUNTIFS(INDIRECT("Table1[Beginn]"),"&lt;="&amp;BC$1,INDIRECT("Table1[Ende]"),"&gt;="&amp;BC$1,INDIRECT("Table1[Obergruppe ATC-Code]"),Tabelle3!$A68)</f>
        <v>0</v>
      </c>
      <c r="BD68">
        <f ca="1">COUNTIFS(INDIRECT("Table1[Beginn]"),"&lt;="&amp;BD$1,INDIRECT("Table1[Ende]"),"&gt;="&amp;BD$1,INDIRECT("Table1[Obergruppe ATC-Code]"),Tabelle3!$A68)</f>
        <v>0</v>
      </c>
      <c r="BE68">
        <f ca="1">COUNTIFS(INDIRECT("Table1[Beginn]"),"&lt;="&amp;BE$1,INDIRECT("Table1[Ende]"),"&gt;="&amp;BE$1,INDIRECT("Table1[Obergruppe ATC-Code]"),Tabelle3!$A68)</f>
        <v>0</v>
      </c>
      <c r="BF68">
        <f ca="1">COUNTIFS(INDIRECT("Table1[Beginn]"),"&lt;="&amp;BF$1,INDIRECT("Table1[Ende]"),"&gt;="&amp;BF$1,INDIRECT("Table1[Obergruppe ATC-Code]"),Tabelle3!$A68)</f>
        <v>0</v>
      </c>
      <c r="BG68">
        <f ca="1">COUNTIFS(INDIRECT("Table1[Beginn]"),"&lt;="&amp;BG$1,INDIRECT("Table1[Ende]"),"&gt;="&amp;BG$1,INDIRECT("Table1[Obergruppe ATC-Code]"),Tabelle3!$A68)</f>
        <v>0</v>
      </c>
      <c r="BH68">
        <f ca="1">COUNTIFS(INDIRECT("Table1[Beginn]"),"&lt;="&amp;BH$1,INDIRECT("Table1[Ende]"),"&gt;="&amp;BH$1,INDIRECT("Table1[Obergruppe ATC-Code]"),Tabelle3!$A68)</f>
        <v>0</v>
      </c>
      <c r="BI68">
        <f ca="1">COUNTIFS(INDIRECT("Table1[Beginn]"),"&lt;="&amp;BI$1,INDIRECT("Table1[Ende]"),"&gt;="&amp;BI$1,INDIRECT("Table1[Obergruppe ATC-Code]"),Tabelle3!$A68)</f>
        <v>0</v>
      </c>
      <c r="BJ68">
        <f ca="1">COUNTIFS(INDIRECT("Table1[Beginn]"),"&lt;="&amp;BJ$1,INDIRECT("Table1[Ende]"),"&gt;="&amp;BJ$1,INDIRECT("Table1[Obergruppe ATC-Code]"),Tabelle3!$A68)</f>
        <v>0</v>
      </c>
      <c r="BK68">
        <f ca="1">COUNTIFS(INDIRECT("Table1[Beginn]"),"&lt;="&amp;BK$1,INDIRECT("Table1[Ende]"),"&gt;="&amp;BK$1,INDIRECT("Table1[Obergruppe ATC-Code]"),Tabelle3!$A68)</f>
        <v>0</v>
      </c>
      <c r="BL68">
        <f ca="1">COUNTIFS(INDIRECT("Table1[Beginn]"),"&lt;="&amp;BL$1,INDIRECT("Table1[Ende]"),"&gt;="&amp;BL$1,INDIRECT("Table1[Obergruppe ATC-Code]"),Tabelle3!$A68)</f>
        <v>0</v>
      </c>
      <c r="BM68">
        <f ca="1">COUNTIFS(INDIRECT("Table1[Beginn]"),"&lt;="&amp;BM$1,INDIRECT("Table1[Ende]"),"&gt;="&amp;BM$1,INDIRECT("Table1[Obergruppe ATC-Code]"),Tabelle3!$A68)</f>
        <v>0</v>
      </c>
      <c r="BN68">
        <f ca="1">COUNTIFS(INDIRECT("Table1[Beginn]"),"&lt;="&amp;BN$1,INDIRECT("Table1[Ende]"),"&gt;="&amp;BN$1,INDIRECT("Table1[Obergruppe ATC-Code]"),Tabelle3!$A68)</f>
        <v>0</v>
      </c>
      <c r="BO68">
        <f ca="1">COUNTIFS(INDIRECT("Table1[Beginn]"),"&lt;="&amp;BO$1,INDIRECT("Table1[Ende]"),"&gt;="&amp;BO$1,INDIRECT("Table1[Obergruppe ATC-Code]"),Tabelle3!$A68)</f>
        <v>0</v>
      </c>
      <c r="BP68">
        <f ca="1">COUNTIFS(INDIRECT("Table1[Beginn]"),"&lt;="&amp;BP$1,INDIRECT("Table1[Ende]"),"&gt;="&amp;BP$1,INDIRECT("Table1[Obergruppe ATC-Code]"),Tabelle3!$A68)</f>
        <v>0</v>
      </c>
      <c r="BQ68">
        <f ca="1">COUNTIFS(INDIRECT("Table1[Beginn]"),"&lt;="&amp;BQ$1,INDIRECT("Table1[Ende]"),"&gt;="&amp;BQ$1,INDIRECT("Table1[Obergruppe ATC-Code]"),Tabelle3!$A68)</f>
        <v>0</v>
      </c>
      <c r="BR68">
        <f ca="1">COUNTIFS(INDIRECT("Table1[Beginn]"),"&lt;="&amp;BR$1,INDIRECT("Table1[Ende]"),"&gt;="&amp;BR$1,INDIRECT("Table1[Obergruppe ATC-Code]"),Tabelle3!$A68)</f>
        <v>0</v>
      </c>
      <c r="BS68">
        <f ca="1">COUNTIFS(INDIRECT("Table1[Beginn]"),"&lt;="&amp;BS$1,INDIRECT("Table1[Ende]"),"&gt;="&amp;BS$1,INDIRECT("Table1[Obergruppe ATC-Code]"),Tabelle3!$A68)</f>
        <v>0</v>
      </c>
      <c r="BT68">
        <f ca="1">COUNTIFS(INDIRECT("Table1[Beginn]"),"&lt;="&amp;BT$1,INDIRECT("Table1[Ende]"),"&gt;="&amp;BT$1,INDIRECT("Table1[Obergruppe ATC-Code]"),Tabelle3!$A68)</f>
        <v>0</v>
      </c>
      <c r="BU68">
        <f ca="1">COUNTIFS(INDIRECT("Table1[Beginn]"),"&lt;="&amp;BU$1,INDIRECT("Table1[Ende]"),"&gt;="&amp;BU$1,INDIRECT("Table1[Obergruppe ATC-Code]"),Tabelle3!$A68)</f>
        <v>0</v>
      </c>
      <c r="BV68">
        <f ca="1">COUNTIFS(INDIRECT("Table1[Beginn]"),"&lt;="&amp;BV$1,INDIRECT("Table1[Ende]"),"&gt;="&amp;BV$1,INDIRECT("Table1[Obergruppe ATC-Code]"),Tabelle3!$A68)</f>
        <v>0</v>
      </c>
      <c r="BW68">
        <f ca="1">COUNTIFS(INDIRECT("Table1[Beginn]"),"&lt;="&amp;BW$1,INDIRECT("Table1[Ende]"),"&gt;="&amp;BW$1,INDIRECT("Table1[Obergruppe ATC-Code]"),Tabelle3!$A68)</f>
        <v>0</v>
      </c>
      <c r="BX68">
        <f ca="1">COUNTIFS(INDIRECT("Table1[Beginn]"),"&lt;="&amp;BX$1,INDIRECT("Table1[Ende]"),"&gt;="&amp;BX$1,INDIRECT("Table1[Obergruppe ATC-Code]"),Tabelle3!$A68)</f>
        <v>0</v>
      </c>
      <c r="BY68">
        <f ca="1">COUNTIFS(INDIRECT("Table1[Beginn]"),"&lt;="&amp;BY$1,INDIRECT("Table1[Ende]"),"&gt;="&amp;BY$1,INDIRECT("Table1[Obergruppe ATC-Code]"),Tabelle3!$A68)</f>
        <v>0</v>
      </c>
      <c r="BZ68">
        <f ca="1">COUNTIFS(INDIRECT("Table1[Beginn]"),"&lt;="&amp;BZ$1,INDIRECT("Table1[Ende]"),"&gt;="&amp;BZ$1,INDIRECT("Table1[Obergruppe ATC-Code]"),Tabelle3!$A68)</f>
        <v>0</v>
      </c>
      <c r="CA68">
        <f ca="1">COUNTIFS(INDIRECT("Table1[Beginn]"),"&lt;="&amp;CA$1,INDIRECT("Table1[Ende]"),"&gt;="&amp;CA$1,INDIRECT("Table1[Obergruppe ATC-Code]"),Tabelle3!$A68)</f>
        <v>0</v>
      </c>
      <c r="CB68">
        <f ca="1">COUNTIFS(INDIRECT("Table1[Beginn]"),"&lt;="&amp;CB$1,INDIRECT("Table1[Ende]"),"&gt;="&amp;CB$1,INDIRECT("Table1[Obergruppe ATC-Code]"),Tabelle3!$A68)</f>
        <v>0</v>
      </c>
      <c r="CC68">
        <f ca="1">COUNTIFS(INDIRECT("Table1[Beginn]"),"&lt;="&amp;CC$1,INDIRECT("Table1[Ende]"),"&gt;="&amp;CC$1,INDIRECT("Table1[Obergruppe ATC-Code]"),Tabelle3!$A68)</f>
        <v>0</v>
      </c>
      <c r="CD68">
        <f ca="1">COUNTIFS(INDIRECT("Table1[Beginn]"),"&lt;="&amp;CD$1,INDIRECT("Table1[Ende]"),"&gt;="&amp;CD$1,INDIRECT("Table1[Obergruppe ATC-Code]"),Tabelle3!$A68)</f>
        <v>0</v>
      </c>
      <c r="CE68">
        <f ca="1">COUNTIFS(INDIRECT("Table1[Beginn]"),"&lt;="&amp;CE$1,INDIRECT("Table1[Ende]"),"&gt;="&amp;CE$1,INDIRECT("Table1[Obergruppe ATC-Code]"),Tabelle3!$A68)</f>
        <v>0</v>
      </c>
      <c r="CF68">
        <f ca="1">COUNTIFS(INDIRECT("Table1[Beginn]"),"&lt;="&amp;CF$1,INDIRECT("Table1[Ende]"),"&gt;="&amp;CF$1,INDIRECT("Table1[Obergruppe ATC-Code]"),Tabelle3!$A68)</f>
        <v>0</v>
      </c>
      <c r="CG68">
        <f ca="1">COUNTIFS(INDIRECT("Table1[Beginn]"),"&lt;="&amp;CG$1,INDIRECT("Table1[Ende]"),"&gt;="&amp;CG$1,INDIRECT("Table1[Obergruppe ATC-Code]"),Tabelle3!$A68)</f>
        <v>0</v>
      </c>
      <c r="CH68">
        <f ca="1">COUNTIFS(INDIRECT("Table1[Beginn]"),"&lt;="&amp;CH$1,INDIRECT("Table1[Ende]"),"&gt;="&amp;CH$1,INDIRECT("Table1[Obergruppe ATC-Code]"),Tabelle3!$A68)</f>
        <v>0</v>
      </c>
      <c r="CI68">
        <f ca="1">COUNTIFS(INDIRECT("Table1[Beginn]"),"&lt;="&amp;CI$1,INDIRECT("Table1[Ende]"),"&gt;="&amp;CI$1,INDIRECT("Table1[Obergruppe ATC-Code]"),Tabelle3!$A68)</f>
        <v>0</v>
      </c>
      <c r="CJ68">
        <f ca="1">COUNTIFS(INDIRECT("Table1[Beginn]"),"&lt;="&amp;CJ$1,INDIRECT("Table1[Ende]"),"&gt;="&amp;CJ$1,INDIRECT("Table1[Obergruppe ATC-Code]"),Tabelle3!$A68)</f>
        <v>0</v>
      </c>
      <c r="CK68">
        <f ca="1">COUNTIFS(INDIRECT("Table1[Beginn]"),"&lt;="&amp;CK$1,INDIRECT("Table1[Ende]"),"&gt;="&amp;CK$1,INDIRECT("Table1[Obergruppe ATC-Code]"),Tabelle3!$A68)</f>
        <v>0</v>
      </c>
      <c r="CL68">
        <f ca="1">COUNTIFS(INDIRECT("Table1[Beginn]"),"&lt;="&amp;CL$1,INDIRECT("Table1[Ende]"),"&gt;="&amp;CL$1,INDIRECT("Table1[Obergruppe ATC-Code]"),Tabelle3!$A68)</f>
        <v>0</v>
      </c>
      <c r="CM68">
        <f ca="1">COUNTIFS(INDIRECT("Table1[Beginn]"),"&lt;="&amp;CM$1,INDIRECT("Table1[Ende]"),"&gt;="&amp;CM$1,INDIRECT("Table1[Obergruppe ATC-Code]"),Tabelle3!$A68)</f>
        <v>0</v>
      </c>
      <c r="CN68">
        <f ca="1">COUNTIFS(INDIRECT("Table1[Beginn]"),"&lt;="&amp;CN$1,INDIRECT("Table1[Ende]"),"&gt;="&amp;CN$1,INDIRECT("Table1[Obergruppe ATC-Code]"),Tabelle3!$A68)</f>
        <v>0</v>
      </c>
      <c r="CO68">
        <f ca="1">COUNTIFS(INDIRECT("Table1[Beginn]"),"&lt;="&amp;CO$1,INDIRECT("Table1[Ende]"),"&gt;="&amp;CO$1,INDIRECT("Table1[Obergruppe ATC-Code]"),Tabelle3!$A68)</f>
        <v>0</v>
      </c>
      <c r="CP68">
        <f ca="1">COUNTIFS(INDIRECT("Table1[Beginn]"),"&lt;="&amp;CP$1,INDIRECT("Table1[Ende]"),"&gt;="&amp;CP$1,INDIRECT("Table1[Obergruppe ATC-Code]"),Tabelle3!$A68)</f>
        <v>0</v>
      </c>
      <c r="CQ68">
        <f ca="1">COUNTIFS(INDIRECT("Table1[Beginn]"),"&lt;="&amp;CQ$1,INDIRECT("Table1[Ende]"),"&gt;="&amp;CQ$1,INDIRECT("Table1[Obergruppe ATC-Code]"),Tabelle3!$A68)</f>
        <v>0</v>
      </c>
      <c r="CR68">
        <f ca="1">COUNTIFS(INDIRECT("Table1[Beginn]"),"&lt;="&amp;CR$1,INDIRECT("Table1[Ende]"),"&gt;="&amp;CR$1,INDIRECT("Table1[Obergruppe ATC-Code]"),Tabelle3!$A68)</f>
        <v>0</v>
      </c>
    </row>
    <row r="69" spans="1:96" ht="18">
      <c r="A69" s="9" t="s">
        <v>6906</v>
      </c>
      <c r="B69" s="10" t="s">
        <v>6907</v>
      </c>
      <c r="C69">
        <f ca="1">COUNTIFS(INDIRECT("Table1[Beginn]"),"&lt;="&amp;C$1,INDIRECT("Table1[Ende]"),"&gt;="&amp;C$1,INDIRECT("Table1[Obergruppe ATC-Code]"),Tabelle3!$A69)</f>
        <v>3</v>
      </c>
      <c r="D69">
        <f ca="1">COUNTIFS(INDIRECT("Table1[Beginn]"),"&lt;="&amp;D$1,INDIRECT("Table1[Ende]"),"&gt;="&amp;D$1,INDIRECT("Table1[Obergruppe ATC-Code]"),Tabelle3!$A69)</f>
        <v>3</v>
      </c>
      <c r="E69">
        <f ca="1">COUNTIFS(INDIRECT("Table1[Beginn]"),"&lt;="&amp;E$1,INDIRECT("Table1[Ende]"),"&gt;="&amp;E$1,INDIRECT("Table1[Obergruppe ATC-Code]"),Tabelle3!$A69)</f>
        <v>3</v>
      </c>
      <c r="F69">
        <f ca="1">COUNTIFS(INDIRECT("Table1[Beginn]"),"&lt;="&amp;F$1,INDIRECT("Table1[Ende]"),"&gt;="&amp;F$1,INDIRECT("Table1[Obergruppe ATC-Code]"),Tabelle3!$A69)</f>
        <v>3</v>
      </c>
      <c r="G69">
        <f ca="1">COUNTIFS(INDIRECT("Table1[Beginn]"),"&lt;="&amp;G$1,INDIRECT("Table1[Ende]"),"&gt;="&amp;G$1,INDIRECT("Table1[Obergruppe ATC-Code]"),Tabelle3!$A69)</f>
        <v>3</v>
      </c>
      <c r="H69">
        <f ca="1">COUNTIFS(INDIRECT("Table1[Beginn]"),"&lt;="&amp;H$1,INDIRECT("Table1[Ende]"),"&gt;="&amp;H$1,INDIRECT("Table1[Obergruppe ATC-Code]"),Tabelle3!$A69)</f>
        <v>3</v>
      </c>
      <c r="I69">
        <f ca="1">COUNTIFS(INDIRECT("Table1[Beginn]"),"&lt;="&amp;I$1,INDIRECT("Table1[Ende]"),"&gt;="&amp;I$1,INDIRECT("Table1[Obergruppe ATC-Code]"),Tabelle3!$A69)</f>
        <v>3</v>
      </c>
      <c r="J69">
        <f ca="1">COUNTIFS(INDIRECT("Table1[Beginn]"),"&lt;="&amp;J$1,INDIRECT("Table1[Ende]"),"&gt;="&amp;J$1,INDIRECT("Table1[Obergruppe ATC-Code]"),Tabelle3!$A69)</f>
        <v>3</v>
      </c>
      <c r="K69">
        <f ca="1">COUNTIFS(INDIRECT("Table1[Beginn]"),"&lt;="&amp;K$1,INDIRECT("Table1[Ende]"),"&gt;="&amp;K$1,INDIRECT("Table1[Obergruppe ATC-Code]"),Tabelle3!$A69)</f>
        <v>3</v>
      </c>
      <c r="L69">
        <f ca="1">COUNTIFS(INDIRECT("Table1[Beginn]"),"&lt;="&amp;L$1,INDIRECT("Table1[Ende]"),"&gt;="&amp;L$1,INDIRECT("Table1[Obergruppe ATC-Code]"),Tabelle3!$A69)</f>
        <v>3</v>
      </c>
      <c r="M69">
        <f ca="1">COUNTIFS(INDIRECT("Table1[Beginn]"),"&lt;="&amp;M$1,INDIRECT("Table1[Ende]"),"&gt;="&amp;M$1,INDIRECT("Table1[Obergruppe ATC-Code]"),Tabelle3!$A69)</f>
        <v>3</v>
      </c>
      <c r="N69">
        <f ca="1">COUNTIFS(INDIRECT("Table1[Beginn]"),"&lt;="&amp;N$1,INDIRECT("Table1[Ende]"),"&gt;="&amp;N$1,INDIRECT("Table1[Obergruppe ATC-Code]"),Tabelle3!$A69)</f>
        <v>3</v>
      </c>
      <c r="O69">
        <f ca="1">COUNTIFS(INDIRECT("Table1[Beginn]"),"&lt;="&amp;O$1,INDIRECT("Table1[Ende]"),"&gt;="&amp;O$1,INDIRECT("Table1[Obergruppe ATC-Code]"),Tabelle3!$A69)</f>
        <v>3</v>
      </c>
      <c r="P69">
        <f ca="1">COUNTIFS(INDIRECT("Table1[Beginn]"),"&lt;="&amp;P$1,INDIRECT("Table1[Ende]"),"&gt;="&amp;P$1,INDIRECT("Table1[Obergruppe ATC-Code]"),Tabelle3!$A69)</f>
        <v>0</v>
      </c>
      <c r="Q69">
        <f ca="1">COUNTIFS(INDIRECT("Table1[Beginn]"),"&lt;="&amp;Q$1,INDIRECT("Table1[Ende]"),"&gt;="&amp;Q$1,INDIRECT("Table1[Obergruppe ATC-Code]"),Tabelle3!$A69)</f>
        <v>0</v>
      </c>
      <c r="R69">
        <f ca="1">COUNTIFS(INDIRECT("Table1[Beginn]"),"&lt;="&amp;R$1,INDIRECT("Table1[Ende]"),"&gt;="&amp;R$1,INDIRECT("Table1[Obergruppe ATC-Code]"),Tabelle3!$A69)</f>
        <v>1</v>
      </c>
      <c r="S69">
        <f ca="1">COUNTIFS(INDIRECT("Table1[Beginn]"),"&lt;="&amp;S$1,INDIRECT("Table1[Ende]"),"&gt;="&amp;S$1,INDIRECT("Table1[Obergruppe ATC-Code]"),Tabelle3!$A69)</f>
        <v>1</v>
      </c>
      <c r="T69">
        <f ca="1">COUNTIFS(INDIRECT("Table1[Beginn]"),"&lt;="&amp;T$1,INDIRECT("Table1[Ende]"),"&gt;="&amp;T$1,INDIRECT("Table1[Obergruppe ATC-Code]"),Tabelle3!$A69)</f>
        <v>1</v>
      </c>
      <c r="U69">
        <f ca="1">COUNTIFS(INDIRECT("Table1[Beginn]"),"&lt;="&amp;U$1,INDIRECT("Table1[Ende]"),"&gt;="&amp;U$1,INDIRECT("Table1[Obergruppe ATC-Code]"),Tabelle3!$A69)</f>
        <v>0</v>
      </c>
      <c r="V69">
        <f ca="1">COUNTIFS(INDIRECT("Table1[Beginn]"),"&lt;="&amp;V$1,INDIRECT("Table1[Ende]"),"&gt;="&amp;V$1,INDIRECT("Table1[Obergruppe ATC-Code]"),Tabelle3!$A69)</f>
        <v>0</v>
      </c>
      <c r="W69">
        <f ca="1">COUNTIFS(INDIRECT("Table1[Beginn]"),"&lt;="&amp;W$1,INDIRECT("Table1[Ende]"),"&gt;="&amp;W$1,INDIRECT("Table1[Obergruppe ATC-Code]"),Tabelle3!$A69)</f>
        <v>0</v>
      </c>
      <c r="X69">
        <f ca="1">COUNTIFS(INDIRECT("Table1[Beginn]"),"&lt;="&amp;X$1,INDIRECT("Table1[Ende]"),"&gt;="&amp;X$1,INDIRECT("Table1[Obergruppe ATC-Code]"),Tabelle3!$A69)</f>
        <v>0</v>
      </c>
      <c r="Y69">
        <f ca="1">COUNTIFS(INDIRECT("Table1[Beginn]"),"&lt;="&amp;Y$1,INDIRECT("Table1[Ende]"),"&gt;="&amp;Y$1,INDIRECT("Table1[Obergruppe ATC-Code]"),Tabelle3!$A69)</f>
        <v>0</v>
      </c>
      <c r="Z69">
        <f ca="1">COUNTIFS(INDIRECT("Table1[Beginn]"),"&lt;="&amp;Z$1,INDIRECT("Table1[Ende]"),"&gt;="&amp;Z$1,INDIRECT("Table1[Obergruppe ATC-Code]"),Tabelle3!$A69)</f>
        <v>0</v>
      </c>
      <c r="AA69">
        <f ca="1">COUNTIFS(INDIRECT("Table1[Beginn]"),"&lt;="&amp;AA$1,INDIRECT("Table1[Ende]"),"&gt;="&amp;AA$1,INDIRECT("Table1[Obergruppe ATC-Code]"),Tabelle3!$A69)</f>
        <v>1</v>
      </c>
      <c r="AB69">
        <f ca="1">COUNTIFS(INDIRECT("Table1[Beginn]"),"&lt;="&amp;AB$1,INDIRECT("Table1[Ende]"),"&gt;="&amp;AB$1,INDIRECT("Table1[Obergruppe ATC-Code]"),Tabelle3!$A69)</f>
        <v>2</v>
      </c>
      <c r="AC69">
        <f ca="1">COUNTIFS(INDIRECT("Table1[Beginn]"),"&lt;="&amp;AC$1,INDIRECT("Table1[Ende]"),"&gt;="&amp;AC$1,INDIRECT("Table1[Obergruppe ATC-Code]"),Tabelle3!$A69)</f>
        <v>2</v>
      </c>
      <c r="AD69">
        <f ca="1">COUNTIFS(INDIRECT("Table1[Beginn]"),"&lt;="&amp;AD$1,INDIRECT("Table1[Ende]"),"&gt;="&amp;AD$1,INDIRECT("Table1[Obergruppe ATC-Code]"),Tabelle3!$A69)</f>
        <v>4</v>
      </c>
      <c r="AE69">
        <f ca="1">COUNTIFS(INDIRECT("Table1[Beginn]"),"&lt;="&amp;AE$1,INDIRECT("Table1[Ende]"),"&gt;="&amp;AE$1,INDIRECT("Table1[Obergruppe ATC-Code]"),Tabelle3!$A69)</f>
        <v>3</v>
      </c>
      <c r="AF69">
        <f ca="1">COUNTIFS(INDIRECT("Table1[Beginn]"),"&lt;="&amp;AF$1,INDIRECT("Table1[Ende]"),"&gt;="&amp;AF$1,INDIRECT("Table1[Obergruppe ATC-Code]"),Tabelle3!$A69)</f>
        <v>3</v>
      </c>
      <c r="AG69">
        <f ca="1">COUNTIFS(INDIRECT("Table1[Beginn]"),"&lt;="&amp;AG$1,INDIRECT("Table1[Ende]"),"&gt;="&amp;AG$1,INDIRECT("Table1[Obergruppe ATC-Code]"),Tabelle3!$A69)</f>
        <v>3</v>
      </c>
      <c r="AH69">
        <f ca="1">COUNTIFS(INDIRECT("Table1[Beginn]"),"&lt;="&amp;AH$1,INDIRECT("Table1[Ende]"),"&gt;="&amp;AH$1,INDIRECT("Table1[Obergruppe ATC-Code]"),Tabelle3!$A69)</f>
        <v>2</v>
      </c>
      <c r="AI69">
        <f ca="1">COUNTIFS(INDIRECT("Table1[Beginn]"),"&lt;="&amp;AI$1,INDIRECT("Table1[Ende]"),"&gt;="&amp;AI$1,INDIRECT("Table1[Obergruppe ATC-Code]"),Tabelle3!$A69)</f>
        <v>2</v>
      </c>
      <c r="AJ69">
        <f ca="1">COUNTIFS(INDIRECT("Table1[Beginn]"),"&lt;="&amp;AJ$1,INDIRECT("Table1[Ende]"),"&gt;="&amp;AJ$1,INDIRECT("Table1[Obergruppe ATC-Code]"),Tabelle3!$A69)</f>
        <v>3</v>
      </c>
      <c r="AK69">
        <f ca="1">COUNTIFS(INDIRECT("Table1[Beginn]"),"&lt;="&amp;AK$1,INDIRECT("Table1[Ende]"),"&gt;="&amp;AK$1,INDIRECT("Table1[Obergruppe ATC-Code]"),Tabelle3!$A69)</f>
        <v>3</v>
      </c>
      <c r="AL69">
        <f ca="1">COUNTIFS(INDIRECT("Table1[Beginn]"),"&lt;="&amp;AL$1,INDIRECT("Table1[Ende]"),"&gt;="&amp;AL$1,INDIRECT("Table1[Obergruppe ATC-Code]"),Tabelle3!$A69)</f>
        <v>3</v>
      </c>
      <c r="AM69">
        <f ca="1">COUNTIFS(INDIRECT("Table1[Beginn]"),"&lt;="&amp;AM$1,INDIRECT("Table1[Ende]"),"&gt;="&amp;AM$1,INDIRECT("Table1[Obergruppe ATC-Code]"),Tabelle3!$A69)</f>
        <v>3</v>
      </c>
      <c r="AN69">
        <f ca="1">COUNTIFS(INDIRECT("Table1[Beginn]"),"&lt;="&amp;AN$1,INDIRECT("Table1[Ende]"),"&gt;="&amp;AN$1,INDIRECT("Table1[Obergruppe ATC-Code]"),Tabelle3!$A69)</f>
        <v>13</v>
      </c>
      <c r="AO69">
        <f ca="1">COUNTIFS(INDIRECT("Table1[Beginn]"),"&lt;="&amp;AO$1,INDIRECT("Table1[Ende]"),"&gt;="&amp;AO$1,INDIRECT("Table1[Obergruppe ATC-Code]"),Tabelle3!$A69)</f>
        <v>15</v>
      </c>
      <c r="AP69">
        <f ca="1">COUNTIFS(INDIRECT("Table1[Beginn]"),"&lt;="&amp;AP$1,INDIRECT("Table1[Ende]"),"&gt;="&amp;AP$1,INDIRECT("Table1[Obergruppe ATC-Code]"),Tabelle3!$A69)</f>
        <v>13</v>
      </c>
      <c r="AQ69">
        <f ca="1">COUNTIFS(INDIRECT("Table1[Beginn]"),"&lt;="&amp;AQ$1,INDIRECT("Table1[Ende]"),"&gt;="&amp;AQ$1,INDIRECT("Table1[Obergruppe ATC-Code]"),Tabelle3!$A69)</f>
        <v>11</v>
      </c>
      <c r="AR69">
        <f ca="1">COUNTIFS(INDIRECT("Table1[Beginn]"),"&lt;="&amp;AR$1,INDIRECT("Table1[Ende]"),"&gt;="&amp;AR$1,INDIRECT("Table1[Obergruppe ATC-Code]"),Tabelle3!$A69)</f>
        <v>10</v>
      </c>
      <c r="AS69">
        <f ca="1">COUNTIFS(INDIRECT("Table1[Beginn]"),"&lt;="&amp;AS$1,INDIRECT("Table1[Ende]"),"&gt;="&amp;AS$1,INDIRECT("Table1[Obergruppe ATC-Code]"),Tabelle3!$A69)</f>
        <v>9</v>
      </c>
      <c r="AT69">
        <f ca="1">COUNTIFS(INDIRECT("Table1[Beginn]"),"&lt;="&amp;AT$1,INDIRECT("Table1[Ende]"),"&gt;="&amp;AT$1,INDIRECT("Table1[Obergruppe ATC-Code]"),Tabelle3!$A69)</f>
        <v>7</v>
      </c>
      <c r="AU69">
        <f ca="1">COUNTIFS(INDIRECT("Table1[Beginn]"),"&lt;="&amp;AU$1,INDIRECT("Table1[Ende]"),"&gt;="&amp;AU$1,INDIRECT("Table1[Obergruppe ATC-Code]"),Tabelle3!$A69)</f>
        <v>5</v>
      </c>
      <c r="AV69">
        <f ca="1">COUNTIFS(INDIRECT("Table1[Beginn]"),"&lt;="&amp;AV$1,INDIRECT("Table1[Ende]"),"&gt;="&amp;AV$1,INDIRECT("Table1[Obergruppe ATC-Code]"),Tabelle3!$A69)</f>
        <v>6</v>
      </c>
      <c r="AW69">
        <f ca="1">COUNTIFS(INDIRECT("Table1[Beginn]"),"&lt;="&amp;AW$1,INDIRECT("Table1[Ende]"),"&gt;="&amp;AW$1,INDIRECT("Table1[Obergruppe ATC-Code]"),Tabelle3!$A69)</f>
        <v>7</v>
      </c>
      <c r="AX69">
        <f ca="1">COUNTIFS(INDIRECT("Table1[Beginn]"),"&lt;="&amp;AX$1,INDIRECT("Table1[Ende]"),"&gt;="&amp;AX$1,INDIRECT("Table1[Obergruppe ATC-Code]"),Tabelle3!$A69)</f>
        <v>7</v>
      </c>
      <c r="AY69">
        <f ca="1">COUNTIFS(INDIRECT("Table1[Beginn]"),"&lt;="&amp;AY$1,INDIRECT("Table1[Ende]"),"&gt;="&amp;AY$1,INDIRECT("Table1[Obergruppe ATC-Code]"),Tabelle3!$A69)</f>
        <v>7</v>
      </c>
      <c r="AZ69">
        <f ca="1">COUNTIFS(INDIRECT("Table1[Beginn]"),"&lt;="&amp;AZ$1,INDIRECT("Table1[Ende]"),"&gt;="&amp;AZ$1,INDIRECT("Table1[Obergruppe ATC-Code]"),Tabelle3!$A69)</f>
        <v>7</v>
      </c>
      <c r="BA69">
        <f ca="1">COUNTIFS(INDIRECT("Table1[Beginn]"),"&lt;="&amp;BA$1,INDIRECT("Table1[Ende]"),"&gt;="&amp;BA$1,INDIRECT("Table1[Obergruppe ATC-Code]"),Tabelle3!$A69)</f>
        <v>8</v>
      </c>
      <c r="BB69">
        <f ca="1">COUNTIFS(INDIRECT("Table1[Beginn]"),"&lt;="&amp;BB$1,INDIRECT("Table1[Ende]"),"&gt;="&amp;BB$1,INDIRECT("Table1[Obergruppe ATC-Code]"),Tabelle3!$A69)</f>
        <v>8</v>
      </c>
      <c r="BC69">
        <f ca="1">COUNTIFS(INDIRECT("Table1[Beginn]"),"&lt;="&amp;BC$1,INDIRECT("Table1[Ende]"),"&gt;="&amp;BC$1,INDIRECT("Table1[Obergruppe ATC-Code]"),Tabelle3!$A69)</f>
        <v>7</v>
      </c>
      <c r="BD69">
        <f ca="1">COUNTIFS(INDIRECT("Table1[Beginn]"),"&lt;="&amp;BD$1,INDIRECT("Table1[Ende]"),"&gt;="&amp;BD$1,INDIRECT("Table1[Obergruppe ATC-Code]"),Tabelle3!$A69)</f>
        <v>7</v>
      </c>
      <c r="BE69">
        <f ca="1">COUNTIFS(INDIRECT("Table1[Beginn]"),"&lt;="&amp;BE$1,INDIRECT("Table1[Ende]"),"&gt;="&amp;BE$1,INDIRECT("Table1[Obergruppe ATC-Code]"),Tabelle3!$A69)</f>
        <v>6</v>
      </c>
      <c r="BF69">
        <f ca="1">COUNTIFS(INDIRECT("Table1[Beginn]"),"&lt;="&amp;BF$1,INDIRECT("Table1[Ende]"),"&gt;="&amp;BF$1,INDIRECT("Table1[Obergruppe ATC-Code]"),Tabelle3!$A69)</f>
        <v>5</v>
      </c>
      <c r="BG69">
        <f ca="1">COUNTIFS(INDIRECT("Table1[Beginn]"),"&lt;="&amp;BG$1,INDIRECT("Table1[Ende]"),"&gt;="&amp;BG$1,INDIRECT("Table1[Obergruppe ATC-Code]"),Tabelle3!$A69)</f>
        <v>4</v>
      </c>
      <c r="BH69">
        <f ca="1">COUNTIFS(INDIRECT("Table1[Beginn]"),"&lt;="&amp;BH$1,INDIRECT("Table1[Ende]"),"&gt;="&amp;BH$1,INDIRECT("Table1[Obergruppe ATC-Code]"),Tabelle3!$A69)</f>
        <v>8</v>
      </c>
      <c r="BI69">
        <f ca="1">COUNTIFS(INDIRECT("Table1[Beginn]"),"&lt;="&amp;BI$1,INDIRECT("Table1[Ende]"),"&gt;="&amp;BI$1,INDIRECT("Table1[Obergruppe ATC-Code]"),Tabelle3!$A69)</f>
        <v>11</v>
      </c>
      <c r="BJ69">
        <f ca="1">COUNTIFS(INDIRECT("Table1[Beginn]"),"&lt;="&amp;BJ$1,INDIRECT("Table1[Ende]"),"&gt;="&amp;BJ$1,INDIRECT("Table1[Obergruppe ATC-Code]"),Tabelle3!$A69)</f>
        <v>10</v>
      </c>
      <c r="BK69">
        <f ca="1">COUNTIFS(INDIRECT("Table1[Beginn]"),"&lt;="&amp;BK$1,INDIRECT("Table1[Ende]"),"&gt;="&amp;BK$1,INDIRECT("Table1[Obergruppe ATC-Code]"),Tabelle3!$A69)</f>
        <v>9</v>
      </c>
      <c r="BL69">
        <f ca="1">COUNTIFS(INDIRECT("Table1[Beginn]"),"&lt;="&amp;BL$1,INDIRECT("Table1[Ende]"),"&gt;="&amp;BL$1,INDIRECT("Table1[Obergruppe ATC-Code]"),Tabelle3!$A69)</f>
        <v>8</v>
      </c>
      <c r="BM69">
        <f ca="1">COUNTIFS(INDIRECT("Table1[Beginn]"),"&lt;="&amp;BM$1,INDIRECT("Table1[Ende]"),"&gt;="&amp;BM$1,INDIRECT("Table1[Obergruppe ATC-Code]"),Tabelle3!$A69)</f>
        <v>6</v>
      </c>
      <c r="BN69">
        <f ca="1">COUNTIFS(INDIRECT("Table1[Beginn]"),"&lt;="&amp;BN$1,INDIRECT("Table1[Ende]"),"&gt;="&amp;BN$1,INDIRECT("Table1[Obergruppe ATC-Code]"),Tabelle3!$A69)</f>
        <v>5</v>
      </c>
      <c r="BO69">
        <f ca="1">COUNTIFS(INDIRECT("Table1[Beginn]"),"&lt;="&amp;BO$1,INDIRECT("Table1[Ende]"),"&gt;="&amp;BO$1,INDIRECT("Table1[Obergruppe ATC-Code]"),Tabelle3!$A69)</f>
        <v>5</v>
      </c>
      <c r="BP69">
        <f ca="1">COUNTIFS(INDIRECT("Table1[Beginn]"),"&lt;="&amp;BP$1,INDIRECT("Table1[Ende]"),"&gt;="&amp;BP$1,INDIRECT("Table1[Obergruppe ATC-Code]"),Tabelle3!$A69)</f>
        <v>8</v>
      </c>
      <c r="BQ69">
        <f ca="1">COUNTIFS(INDIRECT("Table1[Beginn]"),"&lt;="&amp;BQ$1,INDIRECT("Table1[Ende]"),"&gt;="&amp;BQ$1,INDIRECT("Table1[Obergruppe ATC-Code]"),Tabelle3!$A69)</f>
        <v>12</v>
      </c>
      <c r="BR69">
        <f ca="1">COUNTIFS(INDIRECT("Table1[Beginn]"),"&lt;="&amp;BR$1,INDIRECT("Table1[Ende]"),"&gt;="&amp;BR$1,INDIRECT("Table1[Obergruppe ATC-Code]"),Tabelle3!$A69)</f>
        <v>10</v>
      </c>
      <c r="BS69">
        <f ca="1">COUNTIFS(INDIRECT("Table1[Beginn]"),"&lt;="&amp;BS$1,INDIRECT("Table1[Ende]"),"&gt;="&amp;BS$1,INDIRECT("Table1[Obergruppe ATC-Code]"),Tabelle3!$A69)</f>
        <v>13</v>
      </c>
      <c r="BT69">
        <f ca="1">COUNTIFS(INDIRECT("Table1[Beginn]"),"&lt;="&amp;BT$1,INDIRECT("Table1[Ende]"),"&gt;="&amp;BT$1,INDIRECT("Table1[Obergruppe ATC-Code]"),Tabelle3!$A69)</f>
        <v>9</v>
      </c>
      <c r="BU69">
        <f ca="1">COUNTIFS(INDIRECT("Table1[Beginn]"),"&lt;="&amp;BU$1,INDIRECT("Table1[Ende]"),"&gt;="&amp;BU$1,INDIRECT("Table1[Obergruppe ATC-Code]"),Tabelle3!$A69)</f>
        <v>11</v>
      </c>
      <c r="BV69">
        <f ca="1">COUNTIFS(INDIRECT("Table1[Beginn]"),"&lt;="&amp;BV$1,INDIRECT("Table1[Ende]"),"&gt;="&amp;BV$1,INDIRECT("Table1[Obergruppe ATC-Code]"),Tabelle3!$A69)</f>
        <v>16</v>
      </c>
      <c r="BW69">
        <f ca="1">COUNTIFS(INDIRECT("Table1[Beginn]"),"&lt;="&amp;BW$1,INDIRECT("Table1[Ende]"),"&gt;="&amp;BW$1,INDIRECT("Table1[Obergruppe ATC-Code]"),Tabelle3!$A69)</f>
        <v>15</v>
      </c>
      <c r="BX69">
        <f ca="1">COUNTIFS(INDIRECT("Table1[Beginn]"),"&lt;="&amp;BX$1,INDIRECT("Table1[Ende]"),"&gt;="&amp;BX$1,INDIRECT("Table1[Obergruppe ATC-Code]"),Tabelle3!$A69)</f>
        <v>17</v>
      </c>
      <c r="BY69">
        <f ca="1">COUNTIFS(INDIRECT("Table1[Beginn]"),"&lt;="&amp;BY$1,INDIRECT("Table1[Ende]"),"&gt;="&amp;BY$1,INDIRECT("Table1[Obergruppe ATC-Code]"),Tabelle3!$A69)</f>
        <v>20</v>
      </c>
      <c r="BZ69">
        <f ca="1">COUNTIFS(INDIRECT("Table1[Beginn]"),"&lt;="&amp;BZ$1,INDIRECT("Table1[Ende]"),"&gt;="&amp;BZ$1,INDIRECT("Table1[Obergruppe ATC-Code]"),Tabelle3!$A69)</f>
        <v>21</v>
      </c>
      <c r="CA69">
        <f ca="1">COUNTIFS(INDIRECT("Table1[Beginn]"),"&lt;="&amp;CA$1,INDIRECT("Table1[Ende]"),"&gt;="&amp;CA$1,INDIRECT("Table1[Obergruppe ATC-Code]"),Tabelle3!$A69)</f>
        <v>21</v>
      </c>
      <c r="CB69">
        <f ca="1">COUNTIFS(INDIRECT("Table1[Beginn]"),"&lt;="&amp;CB$1,INDIRECT("Table1[Ende]"),"&gt;="&amp;CB$1,INDIRECT("Table1[Obergruppe ATC-Code]"),Tabelle3!$A69)</f>
        <v>15</v>
      </c>
      <c r="CC69">
        <f ca="1">COUNTIFS(INDIRECT("Table1[Beginn]"),"&lt;="&amp;CC$1,INDIRECT("Table1[Ende]"),"&gt;="&amp;CC$1,INDIRECT("Table1[Obergruppe ATC-Code]"),Tabelle3!$A69)</f>
        <v>15</v>
      </c>
      <c r="CD69">
        <f ca="1">COUNTIFS(INDIRECT("Table1[Beginn]"),"&lt;="&amp;CD$1,INDIRECT("Table1[Ende]"),"&gt;="&amp;CD$1,INDIRECT("Table1[Obergruppe ATC-Code]"),Tabelle3!$A69)</f>
        <v>16</v>
      </c>
      <c r="CE69">
        <f ca="1">COUNTIFS(INDIRECT("Table1[Beginn]"),"&lt;="&amp;CE$1,INDIRECT("Table1[Ende]"),"&gt;="&amp;CE$1,INDIRECT("Table1[Obergruppe ATC-Code]"),Tabelle3!$A69)</f>
        <v>12</v>
      </c>
      <c r="CF69">
        <f ca="1">COUNTIFS(INDIRECT("Table1[Beginn]"),"&lt;="&amp;CF$1,INDIRECT("Table1[Ende]"),"&gt;="&amp;CF$1,INDIRECT("Table1[Obergruppe ATC-Code]"),Tabelle3!$A69)</f>
        <v>10</v>
      </c>
      <c r="CG69">
        <f ca="1">COUNTIFS(INDIRECT("Table1[Beginn]"),"&lt;="&amp;CG$1,INDIRECT("Table1[Ende]"),"&gt;="&amp;CG$1,INDIRECT("Table1[Obergruppe ATC-Code]"),Tabelle3!$A69)</f>
        <v>8</v>
      </c>
      <c r="CH69">
        <f ca="1">COUNTIFS(INDIRECT("Table1[Beginn]"),"&lt;="&amp;CH$1,INDIRECT("Table1[Ende]"),"&gt;="&amp;CH$1,INDIRECT("Table1[Obergruppe ATC-Code]"),Tabelle3!$A69)</f>
        <v>8</v>
      </c>
      <c r="CI69">
        <f ca="1">COUNTIFS(INDIRECT("Table1[Beginn]"),"&lt;="&amp;CI$1,INDIRECT("Table1[Ende]"),"&gt;="&amp;CI$1,INDIRECT("Table1[Obergruppe ATC-Code]"),Tabelle3!$A69)</f>
        <v>8</v>
      </c>
      <c r="CJ69">
        <f ca="1">COUNTIFS(INDIRECT("Table1[Beginn]"),"&lt;="&amp;CJ$1,INDIRECT("Table1[Ende]"),"&gt;="&amp;CJ$1,INDIRECT("Table1[Obergruppe ATC-Code]"),Tabelle3!$A69)</f>
        <v>8</v>
      </c>
      <c r="CK69">
        <f ca="1">COUNTIFS(INDIRECT("Table1[Beginn]"),"&lt;="&amp;CK$1,INDIRECT("Table1[Ende]"),"&gt;="&amp;CK$1,INDIRECT("Table1[Obergruppe ATC-Code]"),Tabelle3!$A69)</f>
        <v>8</v>
      </c>
      <c r="CL69">
        <f ca="1">COUNTIFS(INDIRECT("Table1[Beginn]"),"&lt;="&amp;CL$1,INDIRECT("Table1[Ende]"),"&gt;="&amp;CL$1,INDIRECT("Table1[Obergruppe ATC-Code]"),Tabelle3!$A69)</f>
        <v>0</v>
      </c>
      <c r="CM69">
        <f ca="1">COUNTIFS(INDIRECT("Table1[Beginn]"),"&lt;="&amp;CM$1,INDIRECT("Table1[Ende]"),"&gt;="&amp;CM$1,INDIRECT("Table1[Obergruppe ATC-Code]"),Tabelle3!$A69)</f>
        <v>0</v>
      </c>
      <c r="CN69">
        <f ca="1">COUNTIFS(INDIRECT("Table1[Beginn]"),"&lt;="&amp;CN$1,INDIRECT("Table1[Ende]"),"&gt;="&amp;CN$1,INDIRECT("Table1[Obergruppe ATC-Code]"),Tabelle3!$A69)</f>
        <v>0</v>
      </c>
      <c r="CO69">
        <f ca="1">COUNTIFS(INDIRECT("Table1[Beginn]"),"&lt;="&amp;CO$1,INDIRECT("Table1[Ende]"),"&gt;="&amp;CO$1,INDIRECT("Table1[Obergruppe ATC-Code]"),Tabelle3!$A69)</f>
        <v>0</v>
      </c>
      <c r="CP69">
        <f ca="1">COUNTIFS(INDIRECT("Table1[Beginn]"),"&lt;="&amp;CP$1,INDIRECT("Table1[Ende]"),"&gt;="&amp;CP$1,INDIRECT("Table1[Obergruppe ATC-Code]"),Tabelle3!$A69)</f>
        <v>0</v>
      </c>
      <c r="CQ69">
        <f ca="1">COUNTIFS(INDIRECT("Table1[Beginn]"),"&lt;="&amp;CQ$1,INDIRECT("Table1[Ende]"),"&gt;="&amp;CQ$1,INDIRECT("Table1[Obergruppe ATC-Code]"),Tabelle3!$A69)</f>
        <v>0</v>
      </c>
      <c r="CR69">
        <f ca="1">COUNTIFS(INDIRECT("Table1[Beginn]"),"&lt;="&amp;CR$1,INDIRECT("Table1[Ende]"),"&gt;="&amp;CR$1,INDIRECT("Table1[Obergruppe ATC-Code]"),Tabelle3!$A69)</f>
        <v>0</v>
      </c>
    </row>
    <row r="70" spans="1:96" s="30" customFormat="1" ht="18">
      <c r="A70" s="33" t="s">
        <v>6908</v>
      </c>
      <c r="B70" s="34" t="s">
        <v>6909</v>
      </c>
      <c r="C70" s="30">
        <f ca="1">COUNTIFS(INDIRECT("Table1[Beginn]"),"&lt;="&amp;C$1,INDIRECT("Table1[Ende]"),"&gt;="&amp;C$1,INDIRECT("Table1[Obergruppe ATC-Code]"),Tabelle3!$A70)</f>
        <v>0</v>
      </c>
      <c r="D70" s="30">
        <f ca="1">COUNTIFS(INDIRECT("Table1[Beginn]"),"&lt;="&amp;D$1,INDIRECT("Table1[Ende]"),"&gt;="&amp;D$1,INDIRECT("Table1[Obergruppe ATC-Code]"),Tabelle3!$A70)</f>
        <v>0</v>
      </c>
      <c r="E70" s="30">
        <f ca="1">COUNTIFS(INDIRECT("Table1[Beginn]"),"&lt;="&amp;E$1,INDIRECT("Table1[Ende]"),"&gt;="&amp;E$1,INDIRECT("Table1[Obergruppe ATC-Code]"),Tabelle3!$A70)</f>
        <v>0</v>
      </c>
      <c r="F70" s="30">
        <f ca="1">COUNTIFS(INDIRECT("Table1[Beginn]"),"&lt;="&amp;F$1,INDIRECT("Table1[Ende]"),"&gt;="&amp;F$1,INDIRECT("Table1[Obergruppe ATC-Code]"),Tabelle3!$A70)</f>
        <v>0</v>
      </c>
      <c r="G70" s="30">
        <f ca="1">COUNTIFS(INDIRECT("Table1[Beginn]"),"&lt;="&amp;G$1,INDIRECT("Table1[Ende]"),"&gt;="&amp;G$1,INDIRECT("Table1[Obergruppe ATC-Code]"),Tabelle3!$A70)</f>
        <v>0</v>
      </c>
      <c r="H70" s="30">
        <f ca="1">COUNTIFS(INDIRECT("Table1[Beginn]"),"&lt;="&amp;H$1,INDIRECT("Table1[Ende]"),"&gt;="&amp;H$1,INDIRECT("Table1[Obergruppe ATC-Code]"),Tabelle3!$A70)</f>
        <v>0</v>
      </c>
      <c r="I70" s="30">
        <f ca="1">COUNTIFS(INDIRECT("Table1[Beginn]"),"&lt;="&amp;I$1,INDIRECT("Table1[Ende]"),"&gt;="&amp;I$1,INDIRECT("Table1[Obergruppe ATC-Code]"),Tabelle3!$A70)</f>
        <v>0</v>
      </c>
      <c r="J70" s="30">
        <f ca="1">COUNTIFS(INDIRECT("Table1[Beginn]"),"&lt;="&amp;J$1,INDIRECT("Table1[Ende]"),"&gt;="&amp;J$1,INDIRECT("Table1[Obergruppe ATC-Code]"),Tabelle3!$A70)</f>
        <v>0</v>
      </c>
      <c r="K70" s="30">
        <f ca="1">COUNTIFS(INDIRECT("Table1[Beginn]"),"&lt;="&amp;K$1,INDIRECT("Table1[Ende]"),"&gt;="&amp;K$1,INDIRECT("Table1[Obergruppe ATC-Code]"),Tabelle3!$A70)</f>
        <v>0</v>
      </c>
      <c r="L70" s="30">
        <f ca="1">COUNTIFS(INDIRECT("Table1[Beginn]"),"&lt;="&amp;L$1,INDIRECT("Table1[Ende]"),"&gt;="&amp;L$1,INDIRECT("Table1[Obergruppe ATC-Code]"),Tabelle3!$A70)</f>
        <v>0</v>
      </c>
      <c r="M70" s="30">
        <f ca="1">COUNTIFS(INDIRECT("Table1[Beginn]"),"&lt;="&amp;M$1,INDIRECT("Table1[Ende]"),"&gt;="&amp;M$1,INDIRECT("Table1[Obergruppe ATC-Code]"),Tabelle3!$A70)</f>
        <v>0</v>
      </c>
      <c r="N70" s="30">
        <f ca="1">COUNTIFS(INDIRECT("Table1[Beginn]"),"&lt;="&amp;N$1,INDIRECT("Table1[Ende]"),"&gt;="&amp;N$1,INDIRECT("Table1[Obergruppe ATC-Code]"),Tabelle3!$A70)</f>
        <v>0</v>
      </c>
      <c r="O70" s="30">
        <f ca="1">COUNTIFS(INDIRECT("Table1[Beginn]"),"&lt;="&amp;O$1,INDIRECT("Table1[Ende]"),"&gt;="&amp;O$1,INDIRECT("Table1[Obergruppe ATC-Code]"),Tabelle3!$A70)</f>
        <v>0</v>
      </c>
      <c r="P70" s="30">
        <f ca="1">COUNTIFS(INDIRECT("Table1[Beginn]"),"&lt;="&amp;P$1,INDIRECT("Table1[Ende]"),"&gt;="&amp;P$1,INDIRECT("Table1[Obergruppe ATC-Code]"),Tabelle3!$A70)</f>
        <v>0</v>
      </c>
      <c r="Q70" s="30">
        <f ca="1">COUNTIFS(INDIRECT("Table1[Beginn]"),"&lt;="&amp;Q$1,INDIRECT("Table1[Ende]"),"&gt;="&amp;Q$1,INDIRECT("Table1[Obergruppe ATC-Code]"),Tabelle3!$A70)</f>
        <v>2</v>
      </c>
      <c r="R70" s="30">
        <f ca="1">COUNTIFS(INDIRECT("Table1[Beginn]"),"&lt;="&amp;R$1,INDIRECT("Table1[Ende]"),"&gt;="&amp;R$1,INDIRECT("Table1[Obergruppe ATC-Code]"),Tabelle3!$A70)</f>
        <v>2</v>
      </c>
      <c r="S70" s="30">
        <f ca="1">COUNTIFS(INDIRECT("Table1[Beginn]"),"&lt;="&amp;S$1,INDIRECT("Table1[Ende]"),"&gt;="&amp;S$1,INDIRECT("Table1[Obergruppe ATC-Code]"),Tabelle3!$A70)</f>
        <v>2</v>
      </c>
      <c r="T70" s="30">
        <f ca="1">COUNTIFS(INDIRECT("Table1[Beginn]"),"&lt;="&amp;T$1,INDIRECT("Table1[Ende]"),"&gt;="&amp;T$1,INDIRECT("Table1[Obergruppe ATC-Code]"),Tabelle3!$A70)</f>
        <v>2</v>
      </c>
      <c r="U70" s="30">
        <f ca="1">COUNTIFS(INDIRECT("Table1[Beginn]"),"&lt;="&amp;U$1,INDIRECT("Table1[Ende]"),"&gt;="&amp;U$1,INDIRECT("Table1[Obergruppe ATC-Code]"),Tabelle3!$A70)</f>
        <v>2</v>
      </c>
      <c r="V70" s="30">
        <f ca="1">COUNTIFS(INDIRECT("Table1[Beginn]"),"&lt;="&amp;V$1,INDIRECT("Table1[Ende]"),"&gt;="&amp;V$1,INDIRECT("Table1[Obergruppe ATC-Code]"),Tabelle3!$A70)</f>
        <v>3</v>
      </c>
      <c r="W70" s="30">
        <f ca="1">COUNTIFS(INDIRECT("Table1[Beginn]"),"&lt;="&amp;W$1,INDIRECT("Table1[Ende]"),"&gt;="&amp;W$1,INDIRECT("Table1[Obergruppe ATC-Code]"),Tabelle3!$A70)</f>
        <v>3</v>
      </c>
      <c r="X70" s="30">
        <f ca="1">COUNTIFS(INDIRECT("Table1[Beginn]"),"&lt;="&amp;X$1,INDIRECT("Table1[Ende]"),"&gt;="&amp;X$1,INDIRECT("Table1[Obergruppe ATC-Code]"),Tabelle3!$A70)</f>
        <v>3</v>
      </c>
      <c r="Y70" s="30">
        <f ca="1">COUNTIFS(INDIRECT("Table1[Beginn]"),"&lt;="&amp;Y$1,INDIRECT("Table1[Ende]"),"&gt;="&amp;Y$1,INDIRECT("Table1[Obergruppe ATC-Code]"),Tabelle3!$A70)</f>
        <v>3</v>
      </c>
      <c r="Z70" s="30">
        <f ca="1">COUNTIFS(INDIRECT("Table1[Beginn]"),"&lt;="&amp;Z$1,INDIRECT("Table1[Ende]"),"&gt;="&amp;Z$1,INDIRECT("Table1[Obergruppe ATC-Code]"),Tabelle3!$A70)</f>
        <v>4</v>
      </c>
      <c r="AA70" s="30">
        <f ca="1">COUNTIFS(INDIRECT("Table1[Beginn]"),"&lt;="&amp;AA$1,INDIRECT("Table1[Ende]"),"&gt;="&amp;AA$1,INDIRECT("Table1[Obergruppe ATC-Code]"),Tabelle3!$A70)</f>
        <v>4</v>
      </c>
      <c r="AB70" s="30">
        <f ca="1">COUNTIFS(INDIRECT("Table1[Beginn]"),"&lt;="&amp;AB$1,INDIRECT("Table1[Ende]"),"&gt;="&amp;AB$1,INDIRECT("Table1[Obergruppe ATC-Code]"),Tabelle3!$A70)</f>
        <v>3</v>
      </c>
      <c r="AC70" s="30">
        <f ca="1">COUNTIFS(INDIRECT("Table1[Beginn]"),"&lt;="&amp;AC$1,INDIRECT("Table1[Ende]"),"&gt;="&amp;AC$1,INDIRECT("Table1[Obergruppe ATC-Code]"),Tabelle3!$A70)</f>
        <v>3</v>
      </c>
      <c r="AD70" s="30">
        <f ca="1">COUNTIFS(INDIRECT("Table1[Beginn]"),"&lt;="&amp;AD$1,INDIRECT("Table1[Ende]"),"&gt;="&amp;AD$1,INDIRECT("Table1[Obergruppe ATC-Code]"),Tabelle3!$A70)</f>
        <v>3</v>
      </c>
      <c r="AE70" s="30">
        <f ca="1">COUNTIFS(INDIRECT("Table1[Beginn]"),"&lt;="&amp;AE$1,INDIRECT("Table1[Ende]"),"&gt;="&amp;AE$1,INDIRECT("Table1[Obergruppe ATC-Code]"),Tabelle3!$A70)</f>
        <v>3</v>
      </c>
      <c r="AF70" s="30">
        <f ca="1">COUNTIFS(INDIRECT("Table1[Beginn]"),"&lt;="&amp;AF$1,INDIRECT("Table1[Ende]"),"&gt;="&amp;AF$1,INDIRECT("Table1[Obergruppe ATC-Code]"),Tabelle3!$A70)</f>
        <v>13</v>
      </c>
      <c r="AG70" s="30">
        <f ca="1">COUNTIFS(INDIRECT("Table1[Beginn]"),"&lt;="&amp;AG$1,INDIRECT("Table1[Ende]"),"&gt;="&amp;AG$1,INDIRECT("Table1[Obergruppe ATC-Code]"),Tabelle3!$A70)</f>
        <v>14</v>
      </c>
      <c r="AH70" s="30">
        <f ca="1">COUNTIFS(INDIRECT("Table1[Beginn]"),"&lt;="&amp;AH$1,INDIRECT("Table1[Ende]"),"&gt;="&amp;AH$1,INDIRECT("Table1[Obergruppe ATC-Code]"),Tabelle3!$A70)</f>
        <v>15</v>
      </c>
      <c r="AI70" s="30">
        <f ca="1">COUNTIFS(INDIRECT("Table1[Beginn]"),"&lt;="&amp;AI$1,INDIRECT("Table1[Ende]"),"&gt;="&amp;AI$1,INDIRECT("Table1[Obergruppe ATC-Code]"),Tabelle3!$A70)</f>
        <v>15</v>
      </c>
      <c r="AJ70" s="30">
        <f ca="1">COUNTIFS(INDIRECT("Table1[Beginn]"),"&lt;="&amp;AJ$1,INDIRECT("Table1[Ende]"),"&gt;="&amp;AJ$1,INDIRECT("Table1[Obergruppe ATC-Code]"),Tabelle3!$A70)</f>
        <v>20</v>
      </c>
      <c r="AK70" s="30">
        <f ca="1">COUNTIFS(INDIRECT("Table1[Beginn]"),"&lt;="&amp;AK$1,INDIRECT("Table1[Ende]"),"&gt;="&amp;AK$1,INDIRECT("Table1[Obergruppe ATC-Code]"),Tabelle3!$A70)</f>
        <v>19</v>
      </c>
      <c r="AL70" s="30">
        <f ca="1">COUNTIFS(INDIRECT("Table1[Beginn]"),"&lt;="&amp;AL$1,INDIRECT("Table1[Ende]"),"&gt;="&amp;AL$1,INDIRECT("Table1[Obergruppe ATC-Code]"),Tabelle3!$A70)</f>
        <v>18</v>
      </c>
      <c r="AM70" s="30">
        <f ca="1">COUNTIFS(INDIRECT("Table1[Beginn]"),"&lt;="&amp;AM$1,INDIRECT("Table1[Ende]"),"&gt;="&amp;AM$1,INDIRECT("Table1[Obergruppe ATC-Code]"),Tabelle3!$A70)</f>
        <v>23</v>
      </c>
      <c r="AN70" s="30">
        <f ca="1">COUNTIFS(INDIRECT("Table1[Beginn]"),"&lt;="&amp;AN$1,INDIRECT("Table1[Ende]"),"&gt;="&amp;AN$1,INDIRECT("Table1[Obergruppe ATC-Code]"),Tabelle3!$A70)</f>
        <v>29</v>
      </c>
      <c r="AO70" s="30">
        <f ca="1">COUNTIFS(INDIRECT("Table1[Beginn]"),"&lt;="&amp;AO$1,INDIRECT("Table1[Ende]"),"&gt;="&amp;AO$1,INDIRECT("Table1[Obergruppe ATC-Code]"),Tabelle3!$A70)</f>
        <v>30</v>
      </c>
      <c r="AP70" s="30">
        <f ca="1">COUNTIFS(INDIRECT("Table1[Beginn]"),"&lt;="&amp;AP$1,INDIRECT("Table1[Ende]"),"&gt;="&amp;AP$1,INDIRECT("Table1[Obergruppe ATC-Code]"),Tabelle3!$A70)</f>
        <v>25</v>
      </c>
      <c r="AQ70" s="30">
        <f ca="1">COUNTIFS(INDIRECT("Table1[Beginn]"),"&lt;="&amp;AQ$1,INDIRECT("Table1[Ende]"),"&gt;="&amp;AQ$1,INDIRECT("Table1[Obergruppe ATC-Code]"),Tabelle3!$A70)</f>
        <v>18</v>
      </c>
      <c r="AR70" s="30">
        <f ca="1">COUNTIFS(INDIRECT("Table1[Beginn]"),"&lt;="&amp;AR$1,INDIRECT("Table1[Ende]"),"&gt;="&amp;AR$1,INDIRECT("Table1[Obergruppe ATC-Code]"),Tabelle3!$A70)</f>
        <v>10</v>
      </c>
      <c r="AS70" s="30">
        <f ca="1">COUNTIFS(INDIRECT("Table1[Beginn]"),"&lt;="&amp;AS$1,INDIRECT("Table1[Ende]"),"&gt;="&amp;AS$1,INDIRECT("Table1[Obergruppe ATC-Code]"),Tabelle3!$A70)</f>
        <v>7</v>
      </c>
      <c r="AT70" s="30">
        <f ca="1">COUNTIFS(INDIRECT("Table1[Beginn]"),"&lt;="&amp;AT$1,INDIRECT("Table1[Ende]"),"&gt;="&amp;AT$1,INDIRECT("Table1[Obergruppe ATC-Code]"),Tabelle3!$A70)</f>
        <v>9</v>
      </c>
      <c r="AU70" s="30">
        <f ca="1">COUNTIFS(INDIRECT("Table1[Beginn]"),"&lt;="&amp;AU$1,INDIRECT("Table1[Ende]"),"&gt;="&amp;AU$1,INDIRECT("Table1[Obergruppe ATC-Code]"),Tabelle3!$A70)</f>
        <v>11</v>
      </c>
      <c r="AV70" s="30">
        <f ca="1">COUNTIFS(INDIRECT("Table1[Beginn]"),"&lt;="&amp;AV$1,INDIRECT("Table1[Ende]"),"&gt;="&amp;AV$1,INDIRECT("Table1[Obergruppe ATC-Code]"),Tabelle3!$A70)</f>
        <v>13</v>
      </c>
      <c r="AW70" s="30">
        <f ca="1">COUNTIFS(INDIRECT("Table1[Beginn]"),"&lt;="&amp;AW$1,INDIRECT("Table1[Ende]"),"&gt;="&amp;AW$1,INDIRECT("Table1[Obergruppe ATC-Code]"),Tabelle3!$A70)</f>
        <v>13</v>
      </c>
      <c r="AX70" s="30">
        <f ca="1">COUNTIFS(INDIRECT("Table1[Beginn]"),"&lt;="&amp;AX$1,INDIRECT("Table1[Ende]"),"&gt;="&amp;AX$1,INDIRECT("Table1[Obergruppe ATC-Code]"),Tabelle3!$A70)</f>
        <v>14</v>
      </c>
      <c r="AY70" s="30">
        <f ca="1">COUNTIFS(INDIRECT("Table1[Beginn]"),"&lt;="&amp;AY$1,INDIRECT("Table1[Ende]"),"&gt;="&amp;AY$1,INDIRECT("Table1[Obergruppe ATC-Code]"),Tabelle3!$A70)</f>
        <v>11</v>
      </c>
      <c r="AZ70" s="30">
        <f ca="1">COUNTIFS(INDIRECT("Table1[Beginn]"),"&lt;="&amp;AZ$1,INDIRECT("Table1[Ende]"),"&gt;="&amp;AZ$1,INDIRECT("Table1[Obergruppe ATC-Code]"),Tabelle3!$A70)</f>
        <v>9</v>
      </c>
      <c r="BA70" s="30">
        <f ca="1">COUNTIFS(INDIRECT("Table1[Beginn]"),"&lt;="&amp;BA$1,INDIRECT("Table1[Ende]"),"&gt;="&amp;BA$1,INDIRECT("Table1[Obergruppe ATC-Code]"),Tabelle3!$A70)</f>
        <v>10</v>
      </c>
      <c r="BB70" s="30">
        <f ca="1">COUNTIFS(INDIRECT("Table1[Beginn]"),"&lt;="&amp;BB$1,INDIRECT("Table1[Ende]"),"&gt;="&amp;BB$1,INDIRECT("Table1[Obergruppe ATC-Code]"),Tabelle3!$A70)</f>
        <v>10</v>
      </c>
      <c r="BC70" s="30">
        <f ca="1">COUNTIFS(INDIRECT("Table1[Beginn]"),"&lt;="&amp;BC$1,INDIRECT("Table1[Ende]"),"&gt;="&amp;BC$1,INDIRECT("Table1[Obergruppe ATC-Code]"),Tabelle3!$A70)</f>
        <v>10</v>
      </c>
      <c r="BD70" s="30">
        <f ca="1">COUNTIFS(INDIRECT("Table1[Beginn]"),"&lt;="&amp;BD$1,INDIRECT("Table1[Ende]"),"&gt;="&amp;BD$1,INDIRECT("Table1[Obergruppe ATC-Code]"),Tabelle3!$A70)</f>
        <v>10</v>
      </c>
      <c r="BE70" s="30">
        <f ca="1">COUNTIFS(INDIRECT("Table1[Beginn]"),"&lt;="&amp;BE$1,INDIRECT("Table1[Ende]"),"&gt;="&amp;BE$1,INDIRECT("Table1[Obergruppe ATC-Code]"),Tabelle3!$A70)</f>
        <v>7</v>
      </c>
      <c r="BF70" s="30">
        <f ca="1">COUNTIFS(INDIRECT("Table1[Beginn]"),"&lt;="&amp;BF$1,INDIRECT("Table1[Ende]"),"&gt;="&amp;BF$1,INDIRECT("Table1[Obergruppe ATC-Code]"),Tabelle3!$A70)</f>
        <v>11</v>
      </c>
      <c r="BG70" s="30">
        <f ca="1">COUNTIFS(INDIRECT("Table1[Beginn]"),"&lt;="&amp;BG$1,INDIRECT("Table1[Ende]"),"&gt;="&amp;BG$1,INDIRECT("Table1[Obergruppe ATC-Code]"),Tabelle3!$A70)</f>
        <v>14</v>
      </c>
      <c r="BH70" s="30">
        <f ca="1">COUNTIFS(INDIRECT("Table1[Beginn]"),"&lt;="&amp;BH$1,INDIRECT("Table1[Ende]"),"&gt;="&amp;BH$1,INDIRECT("Table1[Obergruppe ATC-Code]"),Tabelle3!$A70)</f>
        <v>9</v>
      </c>
      <c r="BI70" s="30">
        <f ca="1">COUNTIFS(INDIRECT("Table1[Beginn]"),"&lt;="&amp;BI$1,INDIRECT("Table1[Ende]"),"&gt;="&amp;BI$1,INDIRECT("Table1[Obergruppe ATC-Code]"),Tabelle3!$A70)</f>
        <v>7</v>
      </c>
      <c r="BJ70" s="30">
        <f ca="1">COUNTIFS(INDIRECT("Table1[Beginn]"),"&lt;="&amp;BJ$1,INDIRECT("Table1[Ende]"),"&gt;="&amp;BJ$1,INDIRECT("Table1[Obergruppe ATC-Code]"),Tabelle3!$A70)</f>
        <v>4</v>
      </c>
      <c r="BK70" s="30">
        <f ca="1">COUNTIFS(INDIRECT("Table1[Beginn]"),"&lt;="&amp;BK$1,INDIRECT("Table1[Ende]"),"&gt;="&amp;BK$1,INDIRECT("Table1[Obergruppe ATC-Code]"),Tabelle3!$A70)</f>
        <v>4</v>
      </c>
      <c r="BL70" s="30">
        <f ca="1">COUNTIFS(INDIRECT("Table1[Beginn]"),"&lt;="&amp;BL$1,INDIRECT("Table1[Ende]"),"&gt;="&amp;BL$1,INDIRECT("Table1[Obergruppe ATC-Code]"),Tabelle3!$A70)</f>
        <v>16</v>
      </c>
      <c r="BM70" s="30">
        <f ca="1">COUNTIFS(INDIRECT("Table1[Beginn]"),"&lt;="&amp;BM$1,INDIRECT("Table1[Ende]"),"&gt;="&amp;BM$1,INDIRECT("Table1[Obergruppe ATC-Code]"),Tabelle3!$A70)</f>
        <v>21</v>
      </c>
      <c r="BN70" s="30">
        <f ca="1">COUNTIFS(INDIRECT("Table1[Beginn]"),"&lt;="&amp;BN$1,INDIRECT("Table1[Ende]"),"&gt;="&amp;BN$1,INDIRECT("Table1[Obergruppe ATC-Code]"),Tabelle3!$A70)</f>
        <v>22</v>
      </c>
      <c r="BO70" s="30">
        <f ca="1">COUNTIFS(INDIRECT("Table1[Beginn]"),"&lt;="&amp;BO$1,INDIRECT("Table1[Ende]"),"&gt;="&amp;BO$1,INDIRECT("Table1[Obergruppe ATC-Code]"),Tabelle3!$A70)</f>
        <v>25</v>
      </c>
      <c r="BP70" s="30">
        <f ca="1">COUNTIFS(INDIRECT("Table1[Beginn]"),"&lt;="&amp;BP$1,INDIRECT("Table1[Ende]"),"&gt;="&amp;BP$1,INDIRECT("Table1[Obergruppe ATC-Code]"),Tabelle3!$A70)</f>
        <v>29</v>
      </c>
      <c r="BQ70" s="30">
        <f ca="1">COUNTIFS(INDIRECT("Table1[Beginn]"),"&lt;="&amp;BQ$1,INDIRECT("Table1[Ende]"),"&gt;="&amp;BQ$1,INDIRECT("Table1[Obergruppe ATC-Code]"),Tabelle3!$A70)</f>
        <v>37</v>
      </c>
      <c r="BR70" s="30">
        <f ca="1">COUNTIFS(INDIRECT("Table1[Beginn]"),"&lt;="&amp;BR$1,INDIRECT("Table1[Ende]"),"&gt;="&amp;BR$1,INDIRECT("Table1[Obergruppe ATC-Code]"),Tabelle3!$A70)</f>
        <v>36</v>
      </c>
      <c r="BS70" s="30">
        <f ca="1">COUNTIFS(INDIRECT("Table1[Beginn]"),"&lt;="&amp;BS$1,INDIRECT("Table1[Ende]"),"&gt;="&amp;BS$1,INDIRECT("Table1[Obergruppe ATC-Code]"),Tabelle3!$A70)</f>
        <v>34</v>
      </c>
      <c r="BT70" s="30">
        <f ca="1">COUNTIFS(INDIRECT("Table1[Beginn]"),"&lt;="&amp;BT$1,INDIRECT("Table1[Ende]"),"&gt;="&amp;BT$1,INDIRECT("Table1[Obergruppe ATC-Code]"),Tabelle3!$A70)</f>
        <v>30</v>
      </c>
      <c r="BU70" s="30">
        <f ca="1">COUNTIFS(INDIRECT("Table1[Beginn]"),"&lt;="&amp;BU$1,INDIRECT("Table1[Ende]"),"&gt;="&amp;BU$1,INDIRECT("Table1[Obergruppe ATC-Code]"),Tabelle3!$A70)</f>
        <v>35</v>
      </c>
      <c r="BV70" s="30">
        <f ca="1">COUNTIFS(INDIRECT("Table1[Beginn]"),"&lt;="&amp;BV$1,INDIRECT("Table1[Ende]"),"&gt;="&amp;BV$1,INDIRECT("Table1[Obergruppe ATC-Code]"),Tabelle3!$A70)</f>
        <v>36</v>
      </c>
      <c r="BW70" s="30">
        <f ca="1">COUNTIFS(INDIRECT("Table1[Beginn]"),"&lt;="&amp;BW$1,INDIRECT("Table1[Ende]"),"&gt;="&amp;BW$1,INDIRECT("Table1[Obergruppe ATC-Code]"),Tabelle3!$A70)</f>
        <v>49</v>
      </c>
      <c r="BX70" s="30">
        <f ca="1">COUNTIFS(INDIRECT("Table1[Beginn]"),"&lt;="&amp;BX$1,INDIRECT("Table1[Ende]"),"&gt;="&amp;BX$1,INDIRECT("Table1[Obergruppe ATC-Code]"),Tabelle3!$A70)</f>
        <v>43</v>
      </c>
      <c r="BY70" s="30">
        <f ca="1">COUNTIFS(INDIRECT("Table1[Beginn]"),"&lt;="&amp;BY$1,INDIRECT("Table1[Ende]"),"&gt;="&amp;BY$1,INDIRECT("Table1[Obergruppe ATC-Code]"),Tabelle3!$A70)</f>
        <v>48</v>
      </c>
      <c r="BZ70" s="30">
        <f ca="1">COUNTIFS(INDIRECT("Table1[Beginn]"),"&lt;="&amp;BZ$1,INDIRECT("Table1[Ende]"),"&gt;="&amp;BZ$1,INDIRECT("Table1[Obergruppe ATC-Code]"),Tabelle3!$A70)</f>
        <v>43</v>
      </c>
      <c r="CA70" s="30">
        <f ca="1">COUNTIFS(INDIRECT("Table1[Beginn]"),"&lt;="&amp;CA$1,INDIRECT("Table1[Ende]"),"&gt;="&amp;CA$1,INDIRECT("Table1[Obergruppe ATC-Code]"),Tabelle3!$A70)</f>
        <v>41</v>
      </c>
      <c r="CB70" s="30">
        <f ca="1">COUNTIFS(INDIRECT("Table1[Beginn]"),"&lt;="&amp;CB$1,INDIRECT("Table1[Ende]"),"&gt;="&amp;CB$1,INDIRECT("Table1[Obergruppe ATC-Code]"),Tabelle3!$A70)</f>
        <v>44</v>
      </c>
      <c r="CC70" s="30">
        <f ca="1">COUNTIFS(INDIRECT("Table1[Beginn]"),"&lt;="&amp;CC$1,INDIRECT("Table1[Ende]"),"&gt;="&amp;CC$1,INDIRECT("Table1[Obergruppe ATC-Code]"),Tabelle3!$A70)</f>
        <v>41</v>
      </c>
      <c r="CD70" s="30">
        <f ca="1">COUNTIFS(INDIRECT("Table1[Beginn]"),"&lt;="&amp;CD$1,INDIRECT("Table1[Ende]"),"&gt;="&amp;CD$1,INDIRECT("Table1[Obergruppe ATC-Code]"),Tabelle3!$A70)</f>
        <v>41</v>
      </c>
      <c r="CE70" s="30">
        <f ca="1">COUNTIFS(INDIRECT("Table1[Beginn]"),"&lt;="&amp;CE$1,INDIRECT("Table1[Ende]"),"&gt;="&amp;CE$1,INDIRECT("Table1[Obergruppe ATC-Code]"),Tabelle3!$A70)</f>
        <v>33</v>
      </c>
      <c r="CF70" s="30">
        <f ca="1">COUNTIFS(INDIRECT("Table1[Beginn]"),"&lt;="&amp;CF$1,INDIRECT("Table1[Ende]"),"&gt;="&amp;CF$1,INDIRECT("Table1[Obergruppe ATC-Code]"),Tabelle3!$A70)</f>
        <v>21</v>
      </c>
      <c r="CG70" s="30">
        <f ca="1">COUNTIFS(INDIRECT("Table1[Beginn]"),"&lt;="&amp;CG$1,INDIRECT("Table1[Ende]"),"&gt;="&amp;CG$1,INDIRECT("Table1[Obergruppe ATC-Code]"),Tabelle3!$A70)</f>
        <v>18</v>
      </c>
      <c r="CH70" s="30">
        <f ca="1">COUNTIFS(INDIRECT("Table1[Beginn]"),"&lt;="&amp;CH$1,INDIRECT("Table1[Ende]"),"&gt;="&amp;CH$1,INDIRECT("Table1[Obergruppe ATC-Code]"),Tabelle3!$A70)</f>
        <v>13</v>
      </c>
      <c r="CI70" s="30">
        <f ca="1">COUNTIFS(INDIRECT("Table1[Beginn]"),"&lt;="&amp;CI$1,INDIRECT("Table1[Ende]"),"&gt;="&amp;CI$1,INDIRECT("Table1[Obergruppe ATC-Code]"),Tabelle3!$A70)</f>
        <v>6</v>
      </c>
      <c r="CJ70" s="30">
        <f ca="1">COUNTIFS(INDIRECT("Table1[Beginn]"),"&lt;="&amp;CJ$1,INDIRECT("Table1[Ende]"),"&gt;="&amp;CJ$1,INDIRECT("Table1[Obergruppe ATC-Code]"),Tabelle3!$A70)</f>
        <v>2</v>
      </c>
      <c r="CK70" s="30">
        <f ca="1">COUNTIFS(INDIRECT("Table1[Beginn]"),"&lt;="&amp;CK$1,INDIRECT("Table1[Ende]"),"&gt;="&amp;CK$1,INDIRECT("Table1[Obergruppe ATC-Code]"),Tabelle3!$A70)</f>
        <v>2</v>
      </c>
      <c r="CL70" s="30">
        <f ca="1">COUNTIFS(INDIRECT("Table1[Beginn]"),"&lt;="&amp;CL$1,INDIRECT("Table1[Ende]"),"&gt;="&amp;CL$1,INDIRECT("Table1[Obergruppe ATC-Code]"),Tabelle3!$A70)</f>
        <v>2</v>
      </c>
      <c r="CM70" s="30">
        <f ca="1">COUNTIFS(INDIRECT("Table1[Beginn]"),"&lt;="&amp;CM$1,INDIRECT("Table1[Ende]"),"&gt;="&amp;CM$1,INDIRECT("Table1[Obergruppe ATC-Code]"),Tabelle3!$A70)</f>
        <v>2</v>
      </c>
      <c r="CN70" s="30">
        <f ca="1">COUNTIFS(INDIRECT("Table1[Beginn]"),"&lt;="&amp;CN$1,INDIRECT("Table1[Ende]"),"&gt;="&amp;CN$1,INDIRECT("Table1[Obergruppe ATC-Code]"),Tabelle3!$A70)</f>
        <v>2</v>
      </c>
      <c r="CO70" s="30">
        <f ca="1">COUNTIFS(INDIRECT("Table1[Beginn]"),"&lt;="&amp;CO$1,INDIRECT("Table1[Ende]"),"&gt;="&amp;CO$1,INDIRECT("Table1[Obergruppe ATC-Code]"),Tabelle3!$A70)</f>
        <v>1</v>
      </c>
      <c r="CP70" s="30">
        <f ca="1">COUNTIFS(INDIRECT("Table1[Beginn]"),"&lt;="&amp;CP$1,INDIRECT("Table1[Ende]"),"&gt;="&amp;CP$1,INDIRECT("Table1[Obergruppe ATC-Code]"),Tabelle3!$A70)</f>
        <v>1</v>
      </c>
      <c r="CQ70" s="30">
        <f ca="1">COUNTIFS(INDIRECT("Table1[Beginn]"),"&lt;="&amp;CQ$1,INDIRECT("Table1[Ende]"),"&gt;="&amp;CQ$1,INDIRECT("Table1[Obergruppe ATC-Code]"),Tabelle3!$A70)</f>
        <v>1</v>
      </c>
      <c r="CR70" s="30">
        <f ca="1">COUNTIFS(INDIRECT("Table1[Beginn]"),"&lt;="&amp;CR$1,INDIRECT("Table1[Ende]"),"&gt;="&amp;CR$1,INDIRECT("Table1[Obergruppe ATC-Code]"),Tabelle3!$A70)</f>
        <v>1</v>
      </c>
    </row>
    <row r="71" spans="1:96" ht="18">
      <c r="A71" s="9" t="s">
        <v>6910</v>
      </c>
      <c r="B71" s="10" t="s">
        <v>6911</v>
      </c>
      <c r="C71">
        <f ca="1">COUNTIFS(INDIRECT("Table1[Beginn]"),"&lt;="&amp;C$1,INDIRECT("Table1[Ende]"),"&gt;="&amp;C$1,INDIRECT("Table1[Obergruppe ATC-Code]"),Tabelle3!$A71)</f>
        <v>0</v>
      </c>
      <c r="D71">
        <f ca="1">COUNTIFS(INDIRECT("Table1[Beginn]"),"&lt;="&amp;D$1,INDIRECT("Table1[Ende]"),"&gt;="&amp;D$1,INDIRECT("Table1[Obergruppe ATC-Code]"),Tabelle3!$A71)</f>
        <v>0</v>
      </c>
      <c r="E71">
        <f ca="1">COUNTIFS(INDIRECT("Table1[Beginn]"),"&lt;="&amp;E$1,INDIRECT("Table1[Ende]"),"&gt;="&amp;E$1,INDIRECT("Table1[Obergruppe ATC-Code]"),Tabelle3!$A71)</f>
        <v>0</v>
      </c>
      <c r="F71">
        <f ca="1">COUNTIFS(INDIRECT("Table1[Beginn]"),"&lt;="&amp;F$1,INDIRECT("Table1[Ende]"),"&gt;="&amp;F$1,INDIRECT("Table1[Obergruppe ATC-Code]"),Tabelle3!$A71)</f>
        <v>0</v>
      </c>
      <c r="G71">
        <f ca="1">COUNTIFS(INDIRECT("Table1[Beginn]"),"&lt;="&amp;G$1,INDIRECT("Table1[Ende]"),"&gt;="&amp;G$1,INDIRECT("Table1[Obergruppe ATC-Code]"),Tabelle3!$A71)</f>
        <v>0</v>
      </c>
      <c r="H71">
        <f ca="1">COUNTIFS(INDIRECT("Table1[Beginn]"),"&lt;="&amp;H$1,INDIRECT("Table1[Ende]"),"&gt;="&amp;H$1,INDIRECT("Table1[Obergruppe ATC-Code]"),Tabelle3!$A71)</f>
        <v>0</v>
      </c>
      <c r="I71">
        <f ca="1">COUNTIFS(INDIRECT("Table1[Beginn]"),"&lt;="&amp;I$1,INDIRECT("Table1[Ende]"),"&gt;="&amp;I$1,INDIRECT("Table1[Obergruppe ATC-Code]"),Tabelle3!$A71)</f>
        <v>0</v>
      </c>
      <c r="J71">
        <f ca="1">COUNTIFS(INDIRECT("Table1[Beginn]"),"&lt;="&amp;J$1,INDIRECT("Table1[Ende]"),"&gt;="&amp;J$1,INDIRECT("Table1[Obergruppe ATC-Code]"),Tabelle3!$A71)</f>
        <v>1</v>
      </c>
      <c r="K71">
        <f ca="1">COUNTIFS(INDIRECT("Table1[Beginn]"),"&lt;="&amp;K$1,INDIRECT("Table1[Ende]"),"&gt;="&amp;K$1,INDIRECT("Table1[Obergruppe ATC-Code]"),Tabelle3!$A71)</f>
        <v>1</v>
      </c>
      <c r="L71">
        <f ca="1">COUNTIFS(INDIRECT("Table1[Beginn]"),"&lt;="&amp;L$1,INDIRECT("Table1[Ende]"),"&gt;="&amp;L$1,INDIRECT("Table1[Obergruppe ATC-Code]"),Tabelle3!$A71)</f>
        <v>2</v>
      </c>
      <c r="M71">
        <f ca="1">COUNTIFS(INDIRECT("Table1[Beginn]"),"&lt;="&amp;M$1,INDIRECT("Table1[Ende]"),"&gt;="&amp;M$1,INDIRECT("Table1[Obergruppe ATC-Code]"),Tabelle3!$A71)</f>
        <v>1</v>
      </c>
      <c r="N71">
        <f ca="1">COUNTIFS(INDIRECT("Table1[Beginn]"),"&lt;="&amp;N$1,INDIRECT("Table1[Ende]"),"&gt;="&amp;N$1,INDIRECT("Table1[Obergruppe ATC-Code]"),Tabelle3!$A71)</f>
        <v>1</v>
      </c>
      <c r="O71">
        <f ca="1">COUNTIFS(INDIRECT("Table1[Beginn]"),"&lt;="&amp;O$1,INDIRECT("Table1[Ende]"),"&gt;="&amp;O$1,INDIRECT("Table1[Obergruppe ATC-Code]"),Tabelle3!$A71)</f>
        <v>0</v>
      </c>
      <c r="P71">
        <f ca="1">COUNTIFS(INDIRECT("Table1[Beginn]"),"&lt;="&amp;P$1,INDIRECT("Table1[Ende]"),"&gt;="&amp;P$1,INDIRECT("Table1[Obergruppe ATC-Code]"),Tabelle3!$A71)</f>
        <v>0</v>
      </c>
      <c r="Q71">
        <f ca="1">COUNTIFS(INDIRECT("Table1[Beginn]"),"&lt;="&amp;Q$1,INDIRECT("Table1[Ende]"),"&gt;="&amp;Q$1,INDIRECT("Table1[Obergruppe ATC-Code]"),Tabelle3!$A71)</f>
        <v>0</v>
      </c>
      <c r="R71">
        <f ca="1">COUNTIFS(INDIRECT("Table1[Beginn]"),"&lt;="&amp;R$1,INDIRECT("Table1[Ende]"),"&gt;="&amp;R$1,INDIRECT("Table1[Obergruppe ATC-Code]"),Tabelle3!$A71)</f>
        <v>0</v>
      </c>
      <c r="S71">
        <f ca="1">COUNTIFS(INDIRECT("Table1[Beginn]"),"&lt;="&amp;S$1,INDIRECT("Table1[Ende]"),"&gt;="&amp;S$1,INDIRECT("Table1[Obergruppe ATC-Code]"),Tabelle3!$A71)</f>
        <v>0</v>
      </c>
      <c r="T71">
        <f ca="1">COUNTIFS(INDIRECT("Table1[Beginn]"),"&lt;="&amp;T$1,INDIRECT("Table1[Ende]"),"&gt;="&amp;T$1,INDIRECT("Table1[Obergruppe ATC-Code]"),Tabelle3!$A71)</f>
        <v>0</v>
      </c>
      <c r="U71">
        <f ca="1">COUNTIFS(INDIRECT("Table1[Beginn]"),"&lt;="&amp;U$1,INDIRECT("Table1[Ende]"),"&gt;="&amp;U$1,INDIRECT("Table1[Obergruppe ATC-Code]"),Tabelle3!$A71)</f>
        <v>0</v>
      </c>
      <c r="V71">
        <f ca="1">COUNTIFS(INDIRECT("Table1[Beginn]"),"&lt;="&amp;V$1,INDIRECT("Table1[Ende]"),"&gt;="&amp;V$1,INDIRECT("Table1[Obergruppe ATC-Code]"),Tabelle3!$A71)</f>
        <v>0</v>
      </c>
      <c r="W71">
        <f ca="1">COUNTIFS(INDIRECT("Table1[Beginn]"),"&lt;="&amp;W$1,INDIRECT("Table1[Ende]"),"&gt;="&amp;W$1,INDIRECT("Table1[Obergruppe ATC-Code]"),Tabelle3!$A71)</f>
        <v>0</v>
      </c>
      <c r="X71">
        <f ca="1">COUNTIFS(INDIRECT("Table1[Beginn]"),"&lt;="&amp;X$1,INDIRECT("Table1[Ende]"),"&gt;="&amp;X$1,INDIRECT("Table1[Obergruppe ATC-Code]"),Tabelle3!$A71)</f>
        <v>1</v>
      </c>
      <c r="Y71">
        <f ca="1">COUNTIFS(INDIRECT("Table1[Beginn]"),"&lt;="&amp;Y$1,INDIRECT("Table1[Ende]"),"&gt;="&amp;Y$1,INDIRECT("Table1[Obergruppe ATC-Code]"),Tabelle3!$A71)</f>
        <v>2</v>
      </c>
      <c r="Z71">
        <f ca="1">COUNTIFS(INDIRECT("Table1[Beginn]"),"&lt;="&amp;Z$1,INDIRECT("Table1[Ende]"),"&gt;="&amp;Z$1,INDIRECT("Table1[Obergruppe ATC-Code]"),Tabelle3!$A71)</f>
        <v>2</v>
      </c>
      <c r="AA71">
        <f ca="1">COUNTIFS(INDIRECT("Table1[Beginn]"),"&lt;="&amp;AA$1,INDIRECT("Table1[Ende]"),"&gt;="&amp;AA$1,INDIRECT("Table1[Obergruppe ATC-Code]"),Tabelle3!$A71)</f>
        <v>3</v>
      </c>
      <c r="AB71">
        <f ca="1">COUNTIFS(INDIRECT("Table1[Beginn]"),"&lt;="&amp;AB$1,INDIRECT("Table1[Ende]"),"&gt;="&amp;AB$1,INDIRECT("Table1[Obergruppe ATC-Code]"),Tabelle3!$A71)</f>
        <v>4</v>
      </c>
      <c r="AC71">
        <f ca="1">COUNTIFS(INDIRECT("Table1[Beginn]"),"&lt;="&amp;AC$1,INDIRECT("Table1[Ende]"),"&gt;="&amp;AC$1,INDIRECT("Table1[Obergruppe ATC-Code]"),Tabelle3!$A71)</f>
        <v>6</v>
      </c>
      <c r="AD71">
        <f ca="1">COUNTIFS(INDIRECT("Table1[Beginn]"),"&lt;="&amp;AD$1,INDIRECT("Table1[Ende]"),"&gt;="&amp;AD$1,INDIRECT("Table1[Obergruppe ATC-Code]"),Tabelle3!$A71)</f>
        <v>6</v>
      </c>
      <c r="AE71">
        <f ca="1">COUNTIFS(INDIRECT("Table1[Beginn]"),"&lt;="&amp;AE$1,INDIRECT("Table1[Ende]"),"&gt;="&amp;AE$1,INDIRECT("Table1[Obergruppe ATC-Code]"),Tabelle3!$A71)</f>
        <v>6</v>
      </c>
      <c r="AF71">
        <f ca="1">COUNTIFS(INDIRECT("Table1[Beginn]"),"&lt;="&amp;AF$1,INDIRECT("Table1[Ende]"),"&gt;="&amp;AF$1,INDIRECT("Table1[Obergruppe ATC-Code]"),Tabelle3!$A71)</f>
        <v>4</v>
      </c>
      <c r="AG71">
        <f ca="1">COUNTIFS(INDIRECT("Table1[Beginn]"),"&lt;="&amp;AG$1,INDIRECT("Table1[Ende]"),"&gt;="&amp;AG$1,INDIRECT("Table1[Obergruppe ATC-Code]"),Tabelle3!$A71)</f>
        <v>4</v>
      </c>
      <c r="AH71">
        <f ca="1">COUNTIFS(INDIRECT("Table1[Beginn]"),"&lt;="&amp;AH$1,INDIRECT("Table1[Ende]"),"&gt;="&amp;AH$1,INDIRECT("Table1[Obergruppe ATC-Code]"),Tabelle3!$A71)</f>
        <v>4</v>
      </c>
      <c r="AI71">
        <f ca="1">COUNTIFS(INDIRECT("Table1[Beginn]"),"&lt;="&amp;AI$1,INDIRECT("Table1[Ende]"),"&gt;="&amp;AI$1,INDIRECT("Table1[Obergruppe ATC-Code]"),Tabelle3!$A71)</f>
        <v>2</v>
      </c>
      <c r="AJ71">
        <f ca="1">COUNTIFS(INDIRECT("Table1[Beginn]"),"&lt;="&amp;AJ$1,INDIRECT("Table1[Ende]"),"&gt;="&amp;AJ$1,INDIRECT("Table1[Obergruppe ATC-Code]"),Tabelle3!$A71)</f>
        <v>12</v>
      </c>
      <c r="AK71">
        <f ca="1">COUNTIFS(INDIRECT("Table1[Beginn]"),"&lt;="&amp;AK$1,INDIRECT("Table1[Ende]"),"&gt;="&amp;AK$1,INDIRECT("Table1[Obergruppe ATC-Code]"),Tabelle3!$A71)</f>
        <v>13</v>
      </c>
      <c r="AL71">
        <f ca="1">COUNTIFS(INDIRECT("Table1[Beginn]"),"&lt;="&amp;AL$1,INDIRECT("Table1[Ende]"),"&gt;="&amp;AL$1,INDIRECT("Table1[Obergruppe ATC-Code]"),Tabelle3!$A71)</f>
        <v>15</v>
      </c>
      <c r="AM71">
        <f ca="1">COUNTIFS(INDIRECT("Table1[Beginn]"),"&lt;="&amp;AM$1,INDIRECT("Table1[Ende]"),"&gt;="&amp;AM$1,INDIRECT("Table1[Obergruppe ATC-Code]"),Tabelle3!$A71)</f>
        <v>25</v>
      </c>
      <c r="AN71">
        <f ca="1">COUNTIFS(INDIRECT("Table1[Beginn]"),"&lt;="&amp;AN$1,INDIRECT("Table1[Ende]"),"&gt;="&amp;AN$1,INDIRECT("Table1[Obergruppe ATC-Code]"),Tabelle3!$A71)</f>
        <v>26</v>
      </c>
      <c r="AO71">
        <f ca="1">COUNTIFS(INDIRECT("Table1[Beginn]"),"&lt;="&amp;AO$1,INDIRECT("Table1[Ende]"),"&gt;="&amp;AO$1,INDIRECT("Table1[Obergruppe ATC-Code]"),Tabelle3!$A71)</f>
        <v>19</v>
      </c>
      <c r="AP71">
        <f ca="1">COUNTIFS(INDIRECT("Table1[Beginn]"),"&lt;="&amp;AP$1,INDIRECT("Table1[Ende]"),"&gt;="&amp;AP$1,INDIRECT("Table1[Obergruppe ATC-Code]"),Tabelle3!$A71)</f>
        <v>18</v>
      </c>
      <c r="AQ71">
        <f ca="1">COUNTIFS(INDIRECT("Table1[Beginn]"),"&lt;="&amp;AQ$1,INDIRECT("Table1[Ende]"),"&gt;="&amp;AQ$1,INDIRECT("Table1[Obergruppe ATC-Code]"),Tabelle3!$A71)</f>
        <v>18</v>
      </c>
      <c r="AR71">
        <f ca="1">COUNTIFS(INDIRECT("Table1[Beginn]"),"&lt;="&amp;AR$1,INDIRECT("Table1[Ende]"),"&gt;="&amp;AR$1,INDIRECT("Table1[Obergruppe ATC-Code]"),Tabelle3!$A71)</f>
        <v>27</v>
      </c>
      <c r="AS71">
        <f ca="1">COUNTIFS(INDIRECT("Table1[Beginn]"),"&lt;="&amp;AS$1,INDIRECT("Table1[Ende]"),"&gt;="&amp;AS$1,INDIRECT("Table1[Obergruppe ATC-Code]"),Tabelle3!$A71)</f>
        <v>26</v>
      </c>
      <c r="AT71">
        <f ca="1">COUNTIFS(INDIRECT("Table1[Beginn]"),"&lt;="&amp;AT$1,INDIRECT("Table1[Ende]"),"&gt;="&amp;AT$1,INDIRECT("Table1[Obergruppe ATC-Code]"),Tabelle3!$A71)</f>
        <v>25</v>
      </c>
      <c r="AU71">
        <f ca="1">COUNTIFS(INDIRECT("Table1[Beginn]"),"&lt;="&amp;AU$1,INDIRECT("Table1[Ende]"),"&gt;="&amp;AU$1,INDIRECT("Table1[Obergruppe ATC-Code]"),Tabelle3!$A71)</f>
        <v>21</v>
      </c>
      <c r="AV71">
        <f ca="1">COUNTIFS(INDIRECT("Table1[Beginn]"),"&lt;="&amp;AV$1,INDIRECT("Table1[Ende]"),"&gt;="&amp;AV$1,INDIRECT("Table1[Obergruppe ATC-Code]"),Tabelle3!$A71)</f>
        <v>19</v>
      </c>
      <c r="AW71">
        <f ca="1">COUNTIFS(INDIRECT("Table1[Beginn]"),"&lt;="&amp;AW$1,INDIRECT("Table1[Ende]"),"&gt;="&amp;AW$1,INDIRECT("Table1[Obergruppe ATC-Code]"),Tabelle3!$A71)</f>
        <v>13</v>
      </c>
      <c r="AX71">
        <f ca="1">COUNTIFS(INDIRECT("Table1[Beginn]"),"&lt;="&amp;AX$1,INDIRECT("Table1[Ende]"),"&gt;="&amp;AX$1,INDIRECT("Table1[Obergruppe ATC-Code]"),Tabelle3!$A71)</f>
        <v>14</v>
      </c>
      <c r="AY71">
        <f ca="1">COUNTIFS(INDIRECT("Table1[Beginn]"),"&lt;="&amp;AY$1,INDIRECT("Table1[Ende]"),"&gt;="&amp;AY$1,INDIRECT("Table1[Obergruppe ATC-Code]"),Tabelle3!$A71)</f>
        <v>15</v>
      </c>
      <c r="AZ71">
        <f ca="1">COUNTIFS(INDIRECT("Table1[Beginn]"),"&lt;="&amp;AZ$1,INDIRECT("Table1[Ende]"),"&gt;="&amp;AZ$1,INDIRECT("Table1[Obergruppe ATC-Code]"),Tabelle3!$A71)</f>
        <v>11</v>
      </c>
      <c r="BA71">
        <f ca="1">COUNTIFS(INDIRECT("Table1[Beginn]"),"&lt;="&amp;BA$1,INDIRECT("Table1[Ende]"),"&gt;="&amp;BA$1,INDIRECT("Table1[Obergruppe ATC-Code]"),Tabelle3!$A71)</f>
        <v>11</v>
      </c>
      <c r="BB71">
        <f ca="1">COUNTIFS(INDIRECT("Table1[Beginn]"),"&lt;="&amp;BB$1,INDIRECT("Table1[Ende]"),"&gt;="&amp;BB$1,INDIRECT("Table1[Obergruppe ATC-Code]"),Tabelle3!$A71)</f>
        <v>12</v>
      </c>
      <c r="BC71">
        <f ca="1">COUNTIFS(INDIRECT("Table1[Beginn]"),"&lt;="&amp;BC$1,INDIRECT("Table1[Ende]"),"&gt;="&amp;BC$1,INDIRECT("Table1[Obergruppe ATC-Code]"),Tabelle3!$A71)</f>
        <v>8</v>
      </c>
      <c r="BD71">
        <f ca="1">COUNTIFS(INDIRECT("Table1[Beginn]"),"&lt;="&amp;BD$1,INDIRECT("Table1[Ende]"),"&gt;="&amp;BD$1,INDIRECT("Table1[Obergruppe ATC-Code]"),Tabelle3!$A71)</f>
        <v>7</v>
      </c>
      <c r="BE71">
        <f ca="1">COUNTIFS(INDIRECT("Table1[Beginn]"),"&lt;="&amp;BE$1,INDIRECT("Table1[Ende]"),"&gt;="&amp;BE$1,INDIRECT("Table1[Obergruppe ATC-Code]"),Tabelle3!$A71)</f>
        <v>6</v>
      </c>
      <c r="BF71">
        <f ca="1">COUNTIFS(INDIRECT("Table1[Beginn]"),"&lt;="&amp;BF$1,INDIRECT("Table1[Ende]"),"&gt;="&amp;BF$1,INDIRECT("Table1[Obergruppe ATC-Code]"),Tabelle3!$A71)</f>
        <v>6</v>
      </c>
      <c r="BG71">
        <f ca="1">COUNTIFS(INDIRECT("Table1[Beginn]"),"&lt;="&amp;BG$1,INDIRECT("Table1[Ende]"),"&gt;="&amp;BG$1,INDIRECT("Table1[Obergruppe ATC-Code]"),Tabelle3!$A71)</f>
        <v>9</v>
      </c>
      <c r="BH71">
        <f ca="1">COUNTIFS(INDIRECT("Table1[Beginn]"),"&lt;="&amp;BH$1,INDIRECT("Table1[Ende]"),"&gt;="&amp;BH$1,INDIRECT("Table1[Obergruppe ATC-Code]"),Tabelle3!$A71)</f>
        <v>9</v>
      </c>
      <c r="BI71">
        <f ca="1">COUNTIFS(INDIRECT("Table1[Beginn]"),"&lt;="&amp;BI$1,INDIRECT("Table1[Ende]"),"&gt;="&amp;BI$1,INDIRECT("Table1[Obergruppe ATC-Code]"),Tabelle3!$A71)</f>
        <v>10</v>
      </c>
      <c r="BJ71">
        <f ca="1">COUNTIFS(INDIRECT("Table1[Beginn]"),"&lt;="&amp;BJ$1,INDIRECT("Table1[Ende]"),"&gt;="&amp;BJ$1,INDIRECT("Table1[Obergruppe ATC-Code]"),Tabelle3!$A71)</f>
        <v>10</v>
      </c>
      <c r="BK71">
        <f ca="1">COUNTIFS(INDIRECT("Table1[Beginn]"),"&lt;="&amp;BK$1,INDIRECT("Table1[Ende]"),"&gt;="&amp;BK$1,INDIRECT("Table1[Obergruppe ATC-Code]"),Tabelle3!$A71)</f>
        <v>9</v>
      </c>
      <c r="BL71">
        <f ca="1">COUNTIFS(INDIRECT("Table1[Beginn]"),"&lt;="&amp;BL$1,INDIRECT("Table1[Ende]"),"&gt;="&amp;BL$1,INDIRECT("Table1[Obergruppe ATC-Code]"),Tabelle3!$A71)</f>
        <v>8</v>
      </c>
      <c r="BM71">
        <f ca="1">COUNTIFS(INDIRECT("Table1[Beginn]"),"&lt;="&amp;BM$1,INDIRECT("Table1[Ende]"),"&gt;="&amp;BM$1,INDIRECT("Table1[Obergruppe ATC-Code]"),Tabelle3!$A71)</f>
        <v>10</v>
      </c>
      <c r="BN71">
        <f ca="1">COUNTIFS(INDIRECT("Table1[Beginn]"),"&lt;="&amp;BN$1,INDIRECT("Table1[Ende]"),"&gt;="&amp;BN$1,INDIRECT("Table1[Obergruppe ATC-Code]"),Tabelle3!$A71)</f>
        <v>13</v>
      </c>
      <c r="BO71">
        <f ca="1">COUNTIFS(INDIRECT("Table1[Beginn]"),"&lt;="&amp;BO$1,INDIRECT("Table1[Ende]"),"&gt;="&amp;BO$1,INDIRECT("Table1[Obergruppe ATC-Code]"),Tabelle3!$A71)</f>
        <v>14</v>
      </c>
      <c r="BP71">
        <f ca="1">COUNTIFS(INDIRECT("Table1[Beginn]"),"&lt;="&amp;BP$1,INDIRECT("Table1[Ende]"),"&gt;="&amp;BP$1,INDIRECT("Table1[Obergruppe ATC-Code]"),Tabelle3!$A71)</f>
        <v>13</v>
      </c>
      <c r="BQ71">
        <f ca="1">COUNTIFS(INDIRECT("Table1[Beginn]"),"&lt;="&amp;BQ$1,INDIRECT("Table1[Ende]"),"&gt;="&amp;BQ$1,INDIRECT("Table1[Obergruppe ATC-Code]"),Tabelle3!$A71)</f>
        <v>8</v>
      </c>
      <c r="BR71">
        <f ca="1">COUNTIFS(INDIRECT("Table1[Beginn]"),"&lt;="&amp;BR$1,INDIRECT("Table1[Ende]"),"&gt;="&amp;BR$1,INDIRECT("Table1[Obergruppe ATC-Code]"),Tabelle3!$A71)</f>
        <v>7</v>
      </c>
      <c r="BS71">
        <f ca="1">COUNTIFS(INDIRECT("Table1[Beginn]"),"&lt;="&amp;BS$1,INDIRECT("Table1[Ende]"),"&gt;="&amp;BS$1,INDIRECT("Table1[Obergruppe ATC-Code]"),Tabelle3!$A71)</f>
        <v>5</v>
      </c>
      <c r="BT71">
        <f ca="1">COUNTIFS(INDIRECT("Table1[Beginn]"),"&lt;="&amp;BT$1,INDIRECT("Table1[Ende]"),"&gt;="&amp;BT$1,INDIRECT("Table1[Obergruppe ATC-Code]"),Tabelle3!$A71)</f>
        <v>8</v>
      </c>
      <c r="BU71">
        <f ca="1">COUNTIFS(INDIRECT("Table1[Beginn]"),"&lt;="&amp;BU$1,INDIRECT("Table1[Ende]"),"&gt;="&amp;BU$1,INDIRECT("Table1[Obergruppe ATC-Code]"),Tabelle3!$A71)</f>
        <v>18</v>
      </c>
      <c r="BV71">
        <f ca="1">COUNTIFS(INDIRECT("Table1[Beginn]"),"&lt;="&amp;BV$1,INDIRECT("Table1[Ende]"),"&gt;="&amp;BV$1,INDIRECT("Table1[Obergruppe ATC-Code]"),Tabelle3!$A71)</f>
        <v>26</v>
      </c>
      <c r="BW71">
        <f ca="1">COUNTIFS(INDIRECT("Table1[Beginn]"),"&lt;="&amp;BW$1,INDIRECT("Table1[Ende]"),"&gt;="&amp;BW$1,INDIRECT("Table1[Obergruppe ATC-Code]"),Tabelle3!$A71)</f>
        <v>21</v>
      </c>
      <c r="BX71">
        <f ca="1">COUNTIFS(INDIRECT("Table1[Beginn]"),"&lt;="&amp;BX$1,INDIRECT("Table1[Ende]"),"&gt;="&amp;BX$1,INDIRECT("Table1[Obergruppe ATC-Code]"),Tabelle3!$A71)</f>
        <v>19</v>
      </c>
      <c r="BY71">
        <f ca="1">COUNTIFS(INDIRECT("Table1[Beginn]"),"&lt;="&amp;BY$1,INDIRECT("Table1[Ende]"),"&gt;="&amp;BY$1,INDIRECT("Table1[Obergruppe ATC-Code]"),Tabelle3!$A71)</f>
        <v>19</v>
      </c>
      <c r="BZ71">
        <f ca="1">COUNTIFS(INDIRECT("Table1[Beginn]"),"&lt;="&amp;BZ$1,INDIRECT("Table1[Ende]"),"&gt;="&amp;BZ$1,INDIRECT("Table1[Obergruppe ATC-Code]"),Tabelle3!$A71)</f>
        <v>23</v>
      </c>
      <c r="CA71">
        <f ca="1">COUNTIFS(INDIRECT("Table1[Beginn]"),"&lt;="&amp;CA$1,INDIRECT("Table1[Ende]"),"&gt;="&amp;CA$1,INDIRECT("Table1[Obergruppe ATC-Code]"),Tabelle3!$A71)</f>
        <v>21</v>
      </c>
      <c r="CB71">
        <f ca="1">COUNTIFS(INDIRECT("Table1[Beginn]"),"&lt;="&amp;CB$1,INDIRECT("Table1[Ende]"),"&gt;="&amp;CB$1,INDIRECT("Table1[Obergruppe ATC-Code]"),Tabelle3!$A71)</f>
        <v>18</v>
      </c>
      <c r="CC71">
        <f ca="1">COUNTIFS(INDIRECT("Table1[Beginn]"),"&lt;="&amp;CC$1,INDIRECT("Table1[Ende]"),"&gt;="&amp;CC$1,INDIRECT("Table1[Obergruppe ATC-Code]"),Tabelle3!$A71)</f>
        <v>19</v>
      </c>
      <c r="CD71">
        <f ca="1">COUNTIFS(INDIRECT("Table1[Beginn]"),"&lt;="&amp;CD$1,INDIRECT("Table1[Ende]"),"&gt;="&amp;CD$1,INDIRECT("Table1[Obergruppe ATC-Code]"),Tabelle3!$A71)</f>
        <v>19</v>
      </c>
      <c r="CE71">
        <f ca="1">COUNTIFS(INDIRECT("Table1[Beginn]"),"&lt;="&amp;CE$1,INDIRECT("Table1[Ende]"),"&gt;="&amp;CE$1,INDIRECT("Table1[Obergruppe ATC-Code]"),Tabelle3!$A71)</f>
        <v>14</v>
      </c>
      <c r="CF71">
        <f ca="1">COUNTIFS(INDIRECT("Table1[Beginn]"),"&lt;="&amp;CF$1,INDIRECT("Table1[Ende]"),"&gt;="&amp;CF$1,INDIRECT("Table1[Obergruppe ATC-Code]"),Tabelle3!$A71)</f>
        <v>7</v>
      </c>
      <c r="CG71">
        <f ca="1">COUNTIFS(INDIRECT("Table1[Beginn]"),"&lt;="&amp;CG$1,INDIRECT("Table1[Ende]"),"&gt;="&amp;CG$1,INDIRECT("Table1[Obergruppe ATC-Code]"),Tabelle3!$A71)</f>
        <v>0</v>
      </c>
      <c r="CH71">
        <f ca="1">COUNTIFS(INDIRECT("Table1[Beginn]"),"&lt;="&amp;CH$1,INDIRECT("Table1[Ende]"),"&gt;="&amp;CH$1,INDIRECT("Table1[Obergruppe ATC-Code]"),Tabelle3!$A71)</f>
        <v>0</v>
      </c>
      <c r="CI71">
        <f ca="1">COUNTIFS(INDIRECT("Table1[Beginn]"),"&lt;="&amp;CI$1,INDIRECT("Table1[Ende]"),"&gt;="&amp;CI$1,INDIRECT("Table1[Obergruppe ATC-Code]"),Tabelle3!$A71)</f>
        <v>0</v>
      </c>
      <c r="CJ71">
        <f ca="1">COUNTIFS(INDIRECT("Table1[Beginn]"),"&lt;="&amp;CJ$1,INDIRECT("Table1[Ende]"),"&gt;="&amp;CJ$1,INDIRECT("Table1[Obergruppe ATC-Code]"),Tabelle3!$A71)</f>
        <v>0</v>
      </c>
      <c r="CK71">
        <f ca="1">COUNTIFS(INDIRECT("Table1[Beginn]"),"&lt;="&amp;CK$1,INDIRECT("Table1[Ende]"),"&gt;="&amp;CK$1,INDIRECT("Table1[Obergruppe ATC-Code]"),Tabelle3!$A71)</f>
        <v>0</v>
      </c>
      <c r="CL71">
        <f ca="1">COUNTIFS(INDIRECT("Table1[Beginn]"),"&lt;="&amp;CL$1,INDIRECT("Table1[Ende]"),"&gt;="&amp;CL$1,INDIRECT("Table1[Obergruppe ATC-Code]"),Tabelle3!$A71)</f>
        <v>0</v>
      </c>
      <c r="CM71">
        <f ca="1">COUNTIFS(INDIRECT("Table1[Beginn]"),"&lt;="&amp;CM$1,INDIRECT("Table1[Ende]"),"&gt;="&amp;CM$1,INDIRECT("Table1[Obergruppe ATC-Code]"),Tabelle3!$A71)</f>
        <v>0</v>
      </c>
      <c r="CN71">
        <f ca="1">COUNTIFS(INDIRECT("Table1[Beginn]"),"&lt;="&amp;CN$1,INDIRECT("Table1[Ende]"),"&gt;="&amp;CN$1,INDIRECT("Table1[Obergruppe ATC-Code]"),Tabelle3!$A71)</f>
        <v>0</v>
      </c>
      <c r="CO71">
        <f ca="1">COUNTIFS(INDIRECT("Table1[Beginn]"),"&lt;="&amp;CO$1,INDIRECT("Table1[Ende]"),"&gt;="&amp;CO$1,INDIRECT("Table1[Obergruppe ATC-Code]"),Tabelle3!$A71)</f>
        <v>0</v>
      </c>
      <c r="CP71">
        <f ca="1">COUNTIFS(INDIRECT("Table1[Beginn]"),"&lt;="&amp;CP$1,INDIRECT("Table1[Ende]"),"&gt;="&amp;CP$1,INDIRECT("Table1[Obergruppe ATC-Code]"),Tabelle3!$A71)</f>
        <v>0</v>
      </c>
      <c r="CQ71">
        <f ca="1">COUNTIFS(INDIRECT("Table1[Beginn]"),"&lt;="&amp;CQ$1,INDIRECT("Table1[Ende]"),"&gt;="&amp;CQ$1,INDIRECT("Table1[Obergruppe ATC-Code]"),Tabelle3!$A71)</f>
        <v>0</v>
      </c>
      <c r="CR71">
        <f ca="1">COUNTIFS(INDIRECT("Table1[Beginn]"),"&lt;="&amp;CR$1,INDIRECT("Table1[Ende]"),"&gt;="&amp;CR$1,INDIRECT("Table1[Obergruppe ATC-Code]"),Tabelle3!$A71)</f>
        <v>0</v>
      </c>
    </row>
    <row r="72" spans="1:96" ht="18">
      <c r="A72" s="7" t="s">
        <v>6912</v>
      </c>
      <c r="B72" s="8" t="s">
        <v>6913</v>
      </c>
      <c r="C72">
        <f ca="1">COUNTIFS(INDIRECT("Table1[Beginn]"),"&lt;="&amp;C$1,INDIRECT("Table1[Ende]"),"&gt;="&amp;C$1,INDIRECT("Table1[Obergruppe ATC-Code]"),Tabelle3!$A72)</f>
        <v>0</v>
      </c>
      <c r="D72">
        <f ca="1">COUNTIFS(INDIRECT("Table1[Beginn]"),"&lt;="&amp;D$1,INDIRECT("Table1[Ende]"),"&gt;="&amp;D$1,INDIRECT("Table1[Obergruppe ATC-Code]"),Tabelle3!$A72)</f>
        <v>0</v>
      </c>
      <c r="E72">
        <f ca="1">COUNTIFS(INDIRECT("Table1[Beginn]"),"&lt;="&amp;E$1,INDIRECT("Table1[Ende]"),"&gt;="&amp;E$1,INDIRECT("Table1[Obergruppe ATC-Code]"),Tabelle3!$A72)</f>
        <v>0</v>
      </c>
      <c r="F72">
        <f ca="1">COUNTIFS(INDIRECT("Table1[Beginn]"),"&lt;="&amp;F$1,INDIRECT("Table1[Ende]"),"&gt;="&amp;F$1,INDIRECT("Table1[Obergruppe ATC-Code]"),Tabelle3!$A72)</f>
        <v>0</v>
      </c>
      <c r="G72">
        <f ca="1">COUNTIFS(INDIRECT("Table1[Beginn]"),"&lt;="&amp;G$1,INDIRECT("Table1[Ende]"),"&gt;="&amp;G$1,INDIRECT("Table1[Obergruppe ATC-Code]"),Tabelle3!$A72)</f>
        <v>0</v>
      </c>
      <c r="H72">
        <f ca="1">COUNTIFS(INDIRECT("Table1[Beginn]"),"&lt;="&amp;H$1,INDIRECT("Table1[Ende]"),"&gt;="&amp;H$1,INDIRECT("Table1[Obergruppe ATC-Code]"),Tabelle3!$A72)</f>
        <v>0</v>
      </c>
      <c r="I72">
        <f ca="1">COUNTIFS(INDIRECT("Table1[Beginn]"),"&lt;="&amp;I$1,INDIRECT("Table1[Ende]"),"&gt;="&amp;I$1,INDIRECT("Table1[Obergruppe ATC-Code]"),Tabelle3!$A72)</f>
        <v>0</v>
      </c>
      <c r="J72">
        <f ca="1">COUNTIFS(INDIRECT("Table1[Beginn]"),"&lt;="&amp;J$1,INDIRECT("Table1[Ende]"),"&gt;="&amp;J$1,INDIRECT("Table1[Obergruppe ATC-Code]"),Tabelle3!$A72)</f>
        <v>0</v>
      </c>
      <c r="K72">
        <f ca="1">COUNTIFS(INDIRECT("Table1[Beginn]"),"&lt;="&amp;K$1,INDIRECT("Table1[Ende]"),"&gt;="&amp;K$1,INDIRECT("Table1[Obergruppe ATC-Code]"),Tabelle3!$A72)</f>
        <v>0</v>
      </c>
      <c r="L72">
        <f ca="1">COUNTIFS(INDIRECT("Table1[Beginn]"),"&lt;="&amp;L$1,INDIRECT("Table1[Ende]"),"&gt;="&amp;L$1,INDIRECT("Table1[Obergruppe ATC-Code]"),Tabelle3!$A72)</f>
        <v>0</v>
      </c>
      <c r="M72">
        <f ca="1">COUNTIFS(INDIRECT("Table1[Beginn]"),"&lt;="&amp;M$1,INDIRECT("Table1[Ende]"),"&gt;="&amp;M$1,INDIRECT("Table1[Obergruppe ATC-Code]"),Tabelle3!$A72)</f>
        <v>0</v>
      </c>
      <c r="N72">
        <f ca="1">COUNTIFS(INDIRECT("Table1[Beginn]"),"&lt;="&amp;N$1,INDIRECT("Table1[Ende]"),"&gt;="&amp;N$1,INDIRECT("Table1[Obergruppe ATC-Code]"),Tabelle3!$A72)</f>
        <v>0</v>
      </c>
      <c r="O72">
        <f ca="1">COUNTIFS(INDIRECT("Table1[Beginn]"),"&lt;="&amp;O$1,INDIRECT("Table1[Ende]"),"&gt;="&amp;O$1,INDIRECT("Table1[Obergruppe ATC-Code]"),Tabelle3!$A72)</f>
        <v>0</v>
      </c>
      <c r="P72">
        <f ca="1">COUNTIFS(INDIRECT("Table1[Beginn]"),"&lt;="&amp;P$1,INDIRECT("Table1[Ende]"),"&gt;="&amp;P$1,INDIRECT("Table1[Obergruppe ATC-Code]"),Tabelle3!$A72)</f>
        <v>0</v>
      </c>
      <c r="Q72">
        <f ca="1">COUNTIFS(INDIRECT("Table1[Beginn]"),"&lt;="&amp;Q$1,INDIRECT("Table1[Ende]"),"&gt;="&amp;Q$1,INDIRECT("Table1[Obergruppe ATC-Code]"),Tabelle3!$A72)</f>
        <v>0</v>
      </c>
      <c r="R72">
        <f ca="1">COUNTIFS(INDIRECT("Table1[Beginn]"),"&lt;="&amp;R$1,INDIRECT("Table1[Ende]"),"&gt;="&amp;R$1,INDIRECT("Table1[Obergruppe ATC-Code]"),Tabelle3!$A72)</f>
        <v>0</v>
      </c>
      <c r="S72">
        <f ca="1">COUNTIFS(INDIRECT("Table1[Beginn]"),"&lt;="&amp;S$1,INDIRECT("Table1[Ende]"),"&gt;="&amp;S$1,INDIRECT("Table1[Obergruppe ATC-Code]"),Tabelle3!$A72)</f>
        <v>0</v>
      </c>
      <c r="T72">
        <f ca="1">COUNTIFS(INDIRECT("Table1[Beginn]"),"&lt;="&amp;T$1,INDIRECT("Table1[Ende]"),"&gt;="&amp;T$1,INDIRECT("Table1[Obergruppe ATC-Code]"),Tabelle3!$A72)</f>
        <v>0</v>
      </c>
      <c r="U72">
        <f ca="1">COUNTIFS(INDIRECT("Table1[Beginn]"),"&lt;="&amp;U$1,INDIRECT("Table1[Ende]"),"&gt;="&amp;U$1,INDIRECT("Table1[Obergruppe ATC-Code]"),Tabelle3!$A72)</f>
        <v>0</v>
      </c>
      <c r="V72">
        <f ca="1">COUNTIFS(INDIRECT("Table1[Beginn]"),"&lt;="&amp;V$1,INDIRECT("Table1[Ende]"),"&gt;="&amp;V$1,INDIRECT("Table1[Obergruppe ATC-Code]"),Tabelle3!$A72)</f>
        <v>0</v>
      </c>
      <c r="W72">
        <f ca="1">COUNTIFS(INDIRECT("Table1[Beginn]"),"&lt;="&amp;W$1,INDIRECT("Table1[Ende]"),"&gt;="&amp;W$1,INDIRECT("Table1[Obergruppe ATC-Code]"),Tabelle3!$A72)</f>
        <v>0</v>
      </c>
      <c r="X72">
        <f ca="1">COUNTIFS(INDIRECT("Table1[Beginn]"),"&lt;="&amp;X$1,INDIRECT("Table1[Ende]"),"&gt;="&amp;X$1,INDIRECT("Table1[Obergruppe ATC-Code]"),Tabelle3!$A72)</f>
        <v>0</v>
      </c>
      <c r="Y72">
        <f ca="1">COUNTIFS(INDIRECT("Table1[Beginn]"),"&lt;="&amp;Y$1,INDIRECT("Table1[Ende]"),"&gt;="&amp;Y$1,INDIRECT("Table1[Obergruppe ATC-Code]"),Tabelle3!$A72)</f>
        <v>1</v>
      </c>
      <c r="Z72">
        <f ca="1">COUNTIFS(INDIRECT("Table1[Beginn]"),"&lt;="&amp;Z$1,INDIRECT("Table1[Ende]"),"&gt;="&amp;Z$1,INDIRECT("Table1[Obergruppe ATC-Code]"),Tabelle3!$A72)</f>
        <v>5</v>
      </c>
      <c r="AA72">
        <f ca="1">COUNTIFS(INDIRECT("Table1[Beginn]"),"&lt;="&amp;AA$1,INDIRECT("Table1[Ende]"),"&gt;="&amp;AA$1,INDIRECT("Table1[Obergruppe ATC-Code]"),Tabelle3!$A72)</f>
        <v>5</v>
      </c>
      <c r="AB72">
        <f ca="1">COUNTIFS(INDIRECT("Table1[Beginn]"),"&lt;="&amp;AB$1,INDIRECT("Table1[Ende]"),"&gt;="&amp;AB$1,INDIRECT("Table1[Obergruppe ATC-Code]"),Tabelle3!$A72)</f>
        <v>5</v>
      </c>
      <c r="AC72">
        <f ca="1">COUNTIFS(INDIRECT("Table1[Beginn]"),"&lt;="&amp;AC$1,INDIRECT("Table1[Ende]"),"&gt;="&amp;AC$1,INDIRECT("Table1[Obergruppe ATC-Code]"),Tabelle3!$A72)</f>
        <v>9</v>
      </c>
      <c r="AD72">
        <f ca="1">COUNTIFS(INDIRECT("Table1[Beginn]"),"&lt;="&amp;AD$1,INDIRECT("Table1[Ende]"),"&gt;="&amp;AD$1,INDIRECT("Table1[Obergruppe ATC-Code]"),Tabelle3!$A72)</f>
        <v>9</v>
      </c>
      <c r="AE72">
        <f ca="1">COUNTIFS(INDIRECT("Table1[Beginn]"),"&lt;="&amp;AE$1,INDIRECT("Table1[Ende]"),"&gt;="&amp;AE$1,INDIRECT("Table1[Obergruppe ATC-Code]"),Tabelle3!$A72)</f>
        <v>8</v>
      </c>
      <c r="AF72">
        <f ca="1">COUNTIFS(INDIRECT("Table1[Beginn]"),"&lt;="&amp;AF$1,INDIRECT("Table1[Ende]"),"&gt;="&amp;AF$1,INDIRECT("Table1[Obergruppe ATC-Code]"),Tabelle3!$A72)</f>
        <v>8</v>
      </c>
      <c r="AG72">
        <f ca="1">COUNTIFS(INDIRECT("Table1[Beginn]"),"&lt;="&amp;AG$1,INDIRECT("Table1[Ende]"),"&gt;="&amp;AG$1,INDIRECT("Table1[Obergruppe ATC-Code]"),Tabelle3!$A72)</f>
        <v>8</v>
      </c>
      <c r="AH72">
        <f ca="1">COUNTIFS(INDIRECT("Table1[Beginn]"),"&lt;="&amp;AH$1,INDIRECT("Table1[Ende]"),"&gt;="&amp;AH$1,INDIRECT("Table1[Obergruppe ATC-Code]"),Tabelle3!$A72)</f>
        <v>8</v>
      </c>
      <c r="AI72">
        <f ca="1">COUNTIFS(INDIRECT("Table1[Beginn]"),"&lt;="&amp;AI$1,INDIRECT("Table1[Ende]"),"&gt;="&amp;AI$1,INDIRECT("Table1[Obergruppe ATC-Code]"),Tabelle3!$A72)</f>
        <v>8</v>
      </c>
      <c r="AJ72">
        <f ca="1">COUNTIFS(INDIRECT("Table1[Beginn]"),"&lt;="&amp;AJ$1,INDIRECT("Table1[Ende]"),"&gt;="&amp;AJ$1,INDIRECT("Table1[Obergruppe ATC-Code]"),Tabelle3!$A72)</f>
        <v>9</v>
      </c>
      <c r="AK72">
        <f ca="1">COUNTIFS(INDIRECT("Table1[Beginn]"),"&lt;="&amp;AK$1,INDIRECT("Table1[Ende]"),"&gt;="&amp;AK$1,INDIRECT("Table1[Obergruppe ATC-Code]"),Tabelle3!$A72)</f>
        <v>9</v>
      </c>
      <c r="AL72">
        <f ca="1">COUNTIFS(INDIRECT("Table1[Beginn]"),"&lt;="&amp;AL$1,INDIRECT("Table1[Ende]"),"&gt;="&amp;AL$1,INDIRECT("Table1[Obergruppe ATC-Code]"),Tabelle3!$A72)</f>
        <v>12</v>
      </c>
      <c r="AM72">
        <f ca="1">COUNTIFS(INDIRECT("Table1[Beginn]"),"&lt;="&amp;AM$1,INDIRECT("Table1[Ende]"),"&gt;="&amp;AM$1,INDIRECT("Table1[Obergruppe ATC-Code]"),Tabelle3!$A72)</f>
        <v>14</v>
      </c>
      <c r="AN72">
        <f ca="1">COUNTIFS(INDIRECT("Table1[Beginn]"),"&lt;="&amp;AN$1,INDIRECT("Table1[Ende]"),"&gt;="&amp;AN$1,INDIRECT("Table1[Obergruppe ATC-Code]"),Tabelle3!$A72)</f>
        <v>11</v>
      </c>
      <c r="AO72">
        <f ca="1">COUNTIFS(INDIRECT("Table1[Beginn]"),"&lt;="&amp;AO$1,INDIRECT("Table1[Ende]"),"&gt;="&amp;AO$1,INDIRECT("Table1[Obergruppe ATC-Code]"),Tabelle3!$A72)</f>
        <v>11</v>
      </c>
      <c r="AP72">
        <f ca="1">COUNTIFS(INDIRECT("Table1[Beginn]"),"&lt;="&amp;AP$1,INDIRECT("Table1[Ende]"),"&gt;="&amp;AP$1,INDIRECT("Table1[Obergruppe ATC-Code]"),Tabelle3!$A72)</f>
        <v>15</v>
      </c>
      <c r="AQ72">
        <f ca="1">COUNTIFS(INDIRECT("Table1[Beginn]"),"&lt;="&amp;AQ$1,INDIRECT("Table1[Ende]"),"&gt;="&amp;AQ$1,INDIRECT("Table1[Obergruppe ATC-Code]"),Tabelle3!$A72)</f>
        <v>15</v>
      </c>
      <c r="AR72">
        <f ca="1">COUNTIFS(INDIRECT("Table1[Beginn]"),"&lt;="&amp;AR$1,INDIRECT("Table1[Ende]"),"&gt;="&amp;AR$1,INDIRECT("Table1[Obergruppe ATC-Code]"),Tabelle3!$A72)</f>
        <v>14</v>
      </c>
      <c r="AS72">
        <f ca="1">COUNTIFS(INDIRECT("Table1[Beginn]"),"&lt;="&amp;AS$1,INDIRECT("Table1[Ende]"),"&gt;="&amp;AS$1,INDIRECT("Table1[Obergruppe ATC-Code]"),Tabelle3!$A72)</f>
        <v>11</v>
      </c>
      <c r="AT72">
        <f ca="1">COUNTIFS(INDIRECT("Table1[Beginn]"),"&lt;="&amp;AT$1,INDIRECT("Table1[Ende]"),"&gt;="&amp;AT$1,INDIRECT("Table1[Obergruppe ATC-Code]"),Tabelle3!$A72)</f>
        <v>10</v>
      </c>
      <c r="AU72">
        <f ca="1">COUNTIFS(INDIRECT("Table1[Beginn]"),"&lt;="&amp;AU$1,INDIRECT("Table1[Ende]"),"&gt;="&amp;AU$1,INDIRECT("Table1[Obergruppe ATC-Code]"),Tabelle3!$A72)</f>
        <v>10</v>
      </c>
      <c r="AV72">
        <f ca="1">COUNTIFS(INDIRECT("Table1[Beginn]"),"&lt;="&amp;AV$1,INDIRECT("Table1[Ende]"),"&gt;="&amp;AV$1,INDIRECT("Table1[Obergruppe ATC-Code]"),Tabelle3!$A72)</f>
        <v>9</v>
      </c>
      <c r="AW72">
        <f ca="1">COUNTIFS(INDIRECT("Table1[Beginn]"),"&lt;="&amp;AW$1,INDIRECT("Table1[Ende]"),"&gt;="&amp;AW$1,INDIRECT("Table1[Obergruppe ATC-Code]"),Tabelle3!$A72)</f>
        <v>11</v>
      </c>
      <c r="AX72">
        <f ca="1">COUNTIFS(INDIRECT("Table1[Beginn]"),"&lt;="&amp;AX$1,INDIRECT("Table1[Ende]"),"&gt;="&amp;AX$1,INDIRECT("Table1[Obergruppe ATC-Code]"),Tabelle3!$A72)</f>
        <v>9</v>
      </c>
      <c r="AY72">
        <f ca="1">COUNTIFS(INDIRECT("Table1[Beginn]"),"&lt;="&amp;AY$1,INDIRECT("Table1[Ende]"),"&gt;="&amp;AY$1,INDIRECT("Table1[Obergruppe ATC-Code]"),Tabelle3!$A72)</f>
        <v>10</v>
      </c>
      <c r="AZ72">
        <f ca="1">COUNTIFS(INDIRECT("Table1[Beginn]"),"&lt;="&amp;AZ$1,INDIRECT("Table1[Ende]"),"&gt;="&amp;AZ$1,INDIRECT("Table1[Obergruppe ATC-Code]"),Tabelle3!$A72)</f>
        <v>9</v>
      </c>
      <c r="BA72">
        <f ca="1">COUNTIFS(INDIRECT("Table1[Beginn]"),"&lt;="&amp;BA$1,INDIRECT("Table1[Ende]"),"&gt;="&amp;BA$1,INDIRECT("Table1[Obergruppe ATC-Code]"),Tabelle3!$A72)</f>
        <v>7</v>
      </c>
      <c r="BB72">
        <f ca="1">COUNTIFS(INDIRECT("Table1[Beginn]"),"&lt;="&amp;BB$1,INDIRECT("Table1[Ende]"),"&gt;="&amp;BB$1,INDIRECT("Table1[Obergruppe ATC-Code]"),Tabelle3!$A72)</f>
        <v>5</v>
      </c>
      <c r="BC72">
        <f ca="1">COUNTIFS(INDIRECT("Table1[Beginn]"),"&lt;="&amp;BC$1,INDIRECT("Table1[Ende]"),"&gt;="&amp;BC$1,INDIRECT("Table1[Obergruppe ATC-Code]"),Tabelle3!$A72)</f>
        <v>2</v>
      </c>
      <c r="BD72">
        <f ca="1">COUNTIFS(INDIRECT("Table1[Beginn]"),"&lt;="&amp;BD$1,INDIRECT("Table1[Ende]"),"&gt;="&amp;BD$1,INDIRECT("Table1[Obergruppe ATC-Code]"),Tabelle3!$A72)</f>
        <v>4</v>
      </c>
      <c r="BE72">
        <f ca="1">COUNTIFS(INDIRECT("Table1[Beginn]"),"&lt;="&amp;BE$1,INDIRECT("Table1[Ende]"),"&gt;="&amp;BE$1,INDIRECT("Table1[Obergruppe ATC-Code]"),Tabelle3!$A72)</f>
        <v>2</v>
      </c>
      <c r="BF72">
        <f ca="1">COUNTIFS(INDIRECT("Table1[Beginn]"),"&lt;="&amp;BF$1,INDIRECT("Table1[Ende]"),"&gt;="&amp;BF$1,INDIRECT("Table1[Obergruppe ATC-Code]"),Tabelle3!$A72)</f>
        <v>8</v>
      </c>
      <c r="BG72">
        <f ca="1">COUNTIFS(INDIRECT("Table1[Beginn]"),"&lt;="&amp;BG$1,INDIRECT("Table1[Ende]"),"&gt;="&amp;BG$1,INDIRECT("Table1[Obergruppe ATC-Code]"),Tabelle3!$A72)</f>
        <v>7</v>
      </c>
      <c r="BH72">
        <f ca="1">COUNTIFS(INDIRECT("Table1[Beginn]"),"&lt;="&amp;BH$1,INDIRECT("Table1[Ende]"),"&gt;="&amp;BH$1,INDIRECT("Table1[Obergruppe ATC-Code]"),Tabelle3!$A72)</f>
        <v>7</v>
      </c>
      <c r="BI72">
        <f ca="1">COUNTIFS(INDIRECT("Table1[Beginn]"),"&lt;="&amp;BI$1,INDIRECT("Table1[Ende]"),"&gt;="&amp;BI$1,INDIRECT("Table1[Obergruppe ATC-Code]"),Tabelle3!$A72)</f>
        <v>7</v>
      </c>
      <c r="BJ72">
        <f ca="1">COUNTIFS(INDIRECT("Table1[Beginn]"),"&lt;="&amp;BJ$1,INDIRECT("Table1[Ende]"),"&gt;="&amp;BJ$1,INDIRECT("Table1[Obergruppe ATC-Code]"),Tabelle3!$A72)</f>
        <v>7</v>
      </c>
      <c r="BK72">
        <f ca="1">COUNTIFS(INDIRECT("Table1[Beginn]"),"&lt;="&amp;BK$1,INDIRECT("Table1[Ende]"),"&gt;="&amp;BK$1,INDIRECT("Table1[Obergruppe ATC-Code]"),Tabelle3!$A72)</f>
        <v>6</v>
      </c>
      <c r="BL72">
        <f ca="1">COUNTIFS(INDIRECT("Table1[Beginn]"),"&lt;="&amp;BL$1,INDIRECT("Table1[Ende]"),"&gt;="&amp;BL$1,INDIRECT("Table1[Obergruppe ATC-Code]"),Tabelle3!$A72)</f>
        <v>6</v>
      </c>
      <c r="BM72">
        <f ca="1">COUNTIFS(INDIRECT("Table1[Beginn]"),"&lt;="&amp;BM$1,INDIRECT("Table1[Ende]"),"&gt;="&amp;BM$1,INDIRECT("Table1[Obergruppe ATC-Code]"),Tabelle3!$A72)</f>
        <v>5</v>
      </c>
      <c r="BN72">
        <f ca="1">COUNTIFS(INDIRECT("Table1[Beginn]"),"&lt;="&amp;BN$1,INDIRECT("Table1[Ende]"),"&gt;="&amp;BN$1,INDIRECT("Table1[Obergruppe ATC-Code]"),Tabelle3!$A72)</f>
        <v>6</v>
      </c>
      <c r="BO72">
        <f ca="1">COUNTIFS(INDIRECT("Table1[Beginn]"),"&lt;="&amp;BO$1,INDIRECT("Table1[Ende]"),"&gt;="&amp;BO$1,INDIRECT("Table1[Obergruppe ATC-Code]"),Tabelle3!$A72)</f>
        <v>6</v>
      </c>
      <c r="BP72">
        <f ca="1">COUNTIFS(INDIRECT("Table1[Beginn]"),"&lt;="&amp;BP$1,INDIRECT("Table1[Ende]"),"&gt;="&amp;BP$1,INDIRECT("Table1[Obergruppe ATC-Code]"),Tabelle3!$A72)</f>
        <v>5</v>
      </c>
      <c r="BQ72">
        <f ca="1">COUNTIFS(INDIRECT("Table1[Beginn]"),"&lt;="&amp;BQ$1,INDIRECT("Table1[Ende]"),"&gt;="&amp;BQ$1,INDIRECT("Table1[Obergruppe ATC-Code]"),Tabelle3!$A72)</f>
        <v>6</v>
      </c>
      <c r="BR72">
        <f ca="1">COUNTIFS(INDIRECT("Table1[Beginn]"),"&lt;="&amp;BR$1,INDIRECT("Table1[Ende]"),"&gt;="&amp;BR$1,INDIRECT("Table1[Obergruppe ATC-Code]"),Tabelle3!$A72)</f>
        <v>6</v>
      </c>
      <c r="BS72">
        <f ca="1">COUNTIFS(INDIRECT("Table1[Beginn]"),"&lt;="&amp;BS$1,INDIRECT("Table1[Ende]"),"&gt;="&amp;BS$1,INDIRECT("Table1[Obergruppe ATC-Code]"),Tabelle3!$A72)</f>
        <v>3</v>
      </c>
      <c r="BT72">
        <f ca="1">COUNTIFS(INDIRECT("Table1[Beginn]"),"&lt;="&amp;BT$1,INDIRECT("Table1[Ende]"),"&gt;="&amp;BT$1,INDIRECT("Table1[Obergruppe ATC-Code]"),Tabelle3!$A72)</f>
        <v>3</v>
      </c>
      <c r="BU72">
        <f ca="1">COUNTIFS(INDIRECT("Table1[Beginn]"),"&lt;="&amp;BU$1,INDIRECT("Table1[Ende]"),"&gt;="&amp;BU$1,INDIRECT("Table1[Obergruppe ATC-Code]"),Tabelle3!$A72)</f>
        <v>3</v>
      </c>
      <c r="BV72">
        <f ca="1">COUNTIFS(INDIRECT("Table1[Beginn]"),"&lt;="&amp;BV$1,INDIRECT("Table1[Ende]"),"&gt;="&amp;BV$1,INDIRECT("Table1[Obergruppe ATC-Code]"),Tabelle3!$A72)</f>
        <v>4</v>
      </c>
      <c r="BW72">
        <f ca="1">COUNTIFS(INDIRECT("Table1[Beginn]"),"&lt;="&amp;BW$1,INDIRECT("Table1[Ende]"),"&gt;="&amp;BW$1,INDIRECT("Table1[Obergruppe ATC-Code]"),Tabelle3!$A72)</f>
        <v>4</v>
      </c>
      <c r="BX72">
        <f ca="1">COUNTIFS(INDIRECT("Table1[Beginn]"),"&lt;="&amp;BX$1,INDIRECT("Table1[Ende]"),"&gt;="&amp;BX$1,INDIRECT("Table1[Obergruppe ATC-Code]"),Tabelle3!$A72)</f>
        <v>4</v>
      </c>
      <c r="BY72">
        <f ca="1">COUNTIFS(INDIRECT("Table1[Beginn]"),"&lt;="&amp;BY$1,INDIRECT("Table1[Ende]"),"&gt;="&amp;BY$1,INDIRECT("Table1[Obergruppe ATC-Code]"),Tabelle3!$A72)</f>
        <v>5</v>
      </c>
      <c r="BZ72">
        <f ca="1">COUNTIFS(INDIRECT("Table1[Beginn]"),"&lt;="&amp;BZ$1,INDIRECT("Table1[Ende]"),"&gt;="&amp;BZ$1,INDIRECT("Table1[Obergruppe ATC-Code]"),Tabelle3!$A72)</f>
        <v>5</v>
      </c>
      <c r="CA72">
        <f ca="1">COUNTIFS(INDIRECT("Table1[Beginn]"),"&lt;="&amp;CA$1,INDIRECT("Table1[Ende]"),"&gt;="&amp;CA$1,INDIRECT("Table1[Obergruppe ATC-Code]"),Tabelle3!$A72)</f>
        <v>4</v>
      </c>
      <c r="CB72">
        <f ca="1">COUNTIFS(INDIRECT("Table1[Beginn]"),"&lt;="&amp;CB$1,INDIRECT("Table1[Ende]"),"&gt;="&amp;CB$1,INDIRECT("Table1[Obergruppe ATC-Code]"),Tabelle3!$A72)</f>
        <v>4</v>
      </c>
      <c r="CC72">
        <f ca="1">COUNTIFS(INDIRECT("Table1[Beginn]"),"&lt;="&amp;CC$1,INDIRECT("Table1[Ende]"),"&gt;="&amp;CC$1,INDIRECT("Table1[Obergruppe ATC-Code]"),Tabelle3!$A72)</f>
        <v>4</v>
      </c>
      <c r="CD72">
        <f ca="1">COUNTIFS(INDIRECT("Table1[Beginn]"),"&lt;="&amp;CD$1,INDIRECT("Table1[Ende]"),"&gt;="&amp;CD$1,INDIRECT("Table1[Obergruppe ATC-Code]"),Tabelle3!$A72)</f>
        <v>6</v>
      </c>
      <c r="CE72">
        <f ca="1">COUNTIFS(INDIRECT("Table1[Beginn]"),"&lt;="&amp;CE$1,INDIRECT("Table1[Ende]"),"&gt;="&amp;CE$1,INDIRECT("Table1[Obergruppe ATC-Code]"),Tabelle3!$A72)</f>
        <v>5</v>
      </c>
      <c r="CF72">
        <f ca="1">COUNTIFS(INDIRECT("Table1[Beginn]"),"&lt;="&amp;CF$1,INDIRECT("Table1[Ende]"),"&gt;="&amp;CF$1,INDIRECT("Table1[Obergruppe ATC-Code]"),Tabelle3!$A72)</f>
        <v>3</v>
      </c>
      <c r="CG72">
        <f ca="1">COUNTIFS(INDIRECT("Table1[Beginn]"),"&lt;="&amp;CG$1,INDIRECT("Table1[Ende]"),"&gt;="&amp;CG$1,INDIRECT("Table1[Obergruppe ATC-Code]"),Tabelle3!$A72)</f>
        <v>1</v>
      </c>
      <c r="CH72">
        <f ca="1">COUNTIFS(INDIRECT("Table1[Beginn]"),"&lt;="&amp;CH$1,INDIRECT("Table1[Ende]"),"&gt;="&amp;CH$1,INDIRECT("Table1[Obergruppe ATC-Code]"),Tabelle3!$A72)</f>
        <v>1</v>
      </c>
      <c r="CI72">
        <f ca="1">COUNTIFS(INDIRECT("Table1[Beginn]"),"&lt;="&amp;CI$1,INDIRECT("Table1[Ende]"),"&gt;="&amp;CI$1,INDIRECT("Table1[Obergruppe ATC-Code]"),Tabelle3!$A72)</f>
        <v>0</v>
      </c>
      <c r="CJ72">
        <f ca="1">COUNTIFS(INDIRECT("Table1[Beginn]"),"&lt;="&amp;CJ$1,INDIRECT("Table1[Ende]"),"&gt;="&amp;CJ$1,INDIRECT("Table1[Obergruppe ATC-Code]"),Tabelle3!$A72)</f>
        <v>0</v>
      </c>
      <c r="CK72">
        <f ca="1">COUNTIFS(INDIRECT("Table1[Beginn]"),"&lt;="&amp;CK$1,INDIRECT("Table1[Ende]"),"&gt;="&amp;CK$1,INDIRECT("Table1[Obergruppe ATC-Code]"),Tabelle3!$A72)</f>
        <v>0</v>
      </c>
      <c r="CL72">
        <f ca="1">COUNTIFS(INDIRECT("Table1[Beginn]"),"&lt;="&amp;CL$1,INDIRECT("Table1[Ende]"),"&gt;="&amp;CL$1,INDIRECT("Table1[Obergruppe ATC-Code]"),Tabelle3!$A72)</f>
        <v>0</v>
      </c>
      <c r="CM72">
        <f ca="1">COUNTIFS(INDIRECT("Table1[Beginn]"),"&lt;="&amp;CM$1,INDIRECT("Table1[Ende]"),"&gt;="&amp;CM$1,INDIRECT("Table1[Obergruppe ATC-Code]"),Tabelle3!$A72)</f>
        <v>0</v>
      </c>
      <c r="CN72">
        <f ca="1">COUNTIFS(INDIRECT("Table1[Beginn]"),"&lt;="&amp;CN$1,INDIRECT("Table1[Ende]"),"&gt;="&amp;CN$1,INDIRECT("Table1[Obergruppe ATC-Code]"),Tabelle3!$A72)</f>
        <v>0</v>
      </c>
      <c r="CO72">
        <f ca="1">COUNTIFS(INDIRECT("Table1[Beginn]"),"&lt;="&amp;CO$1,INDIRECT("Table1[Ende]"),"&gt;="&amp;CO$1,INDIRECT("Table1[Obergruppe ATC-Code]"),Tabelle3!$A72)</f>
        <v>0</v>
      </c>
      <c r="CP72">
        <f ca="1">COUNTIFS(INDIRECT("Table1[Beginn]"),"&lt;="&amp;CP$1,INDIRECT("Table1[Ende]"),"&gt;="&amp;CP$1,INDIRECT("Table1[Obergruppe ATC-Code]"),Tabelle3!$A72)</f>
        <v>0</v>
      </c>
      <c r="CQ72">
        <f ca="1">COUNTIFS(INDIRECT("Table1[Beginn]"),"&lt;="&amp;CQ$1,INDIRECT("Table1[Ende]"),"&gt;="&amp;CQ$1,INDIRECT("Table1[Obergruppe ATC-Code]"),Tabelle3!$A72)</f>
        <v>0</v>
      </c>
      <c r="CR72">
        <f ca="1">COUNTIFS(INDIRECT("Table1[Beginn]"),"&lt;="&amp;CR$1,INDIRECT("Table1[Ende]"),"&gt;="&amp;CR$1,INDIRECT("Table1[Obergruppe ATC-Code]"),Tabelle3!$A72)</f>
        <v>0</v>
      </c>
    </row>
    <row r="73" spans="1:96" ht="18">
      <c r="A73" s="9" t="s">
        <v>6914</v>
      </c>
      <c r="B73" s="10" t="s">
        <v>6915</v>
      </c>
      <c r="C73">
        <f ca="1">COUNTIFS(INDIRECT("Table1[Beginn]"),"&lt;="&amp;C$1,INDIRECT("Table1[Ende]"),"&gt;="&amp;C$1,INDIRECT("Table1[Obergruppe ATC-Code]"),Tabelle3!$A73)</f>
        <v>0</v>
      </c>
      <c r="D73">
        <f ca="1">COUNTIFS(INDIRECT("Table1[Beginn]"),"&lt;="&amp;D$1,INDIRECT("Table1[Ende]"),"&gt;="&amp;D$1,INDIRECT("Table1[Obergruppe ATC-Code]"),Tabelle3!$A73)</f>
        <v>0</v>
      </c>
      <c r="E73">
        <f ca="1">COUNTIFS(INDIRECT("Table1[Beginn]"),"&lt;="&amp;E$1,INDIRECT("Table1[Ende]"),"&gt;="&amp;E$1,INDIRECT("Table1[Obergruppe ATC-Code]"),Tabelle3!$A73)</f>
        <v>0</v>
      </c>
      <c r="F73">
        <f ca="1">COUNTIFS(INDIRECT("Table1[Beginn]"),"&lt;="&amp;F$1,INDIRECT("Table1[Ende]"),"&gt;="&amp;F$1,INDIRECT("Table1[Obergruppe ATC-Code]"),Tabelle3!$A73)</f>
        <v>0</v>
      </c>
      <c r="G73">
        <f ca="1">COUNTIFS(INDIRECT("Table1[Beginn]"),"&lt;="&amp;G$1,INDIRECT("Table1[Ende]"),"&gt;="&amp;G$1,INDIRECT("Table1[Obergruppe ATC-Code]"),Tabelle3!$A73)</f>
        <v>0</v>
      </c>
      <c r="H73">
        <f ca="1">COUNTIFS(INDIRECT("Table1[Beginn]"),"&lt;="&amp;H$1,INDIRECT("Table1[Ende]"),"&gt;="&amp;H$1,INDIRECT("Table1[Obergruppe ATC-Code]"),Tabelle3!$A73)</f>
        <v>0</v>
      </c>
      <c r="I73">
        <f ca="1">COUNTIFS(INDIRECT("Table1[Beginn]"),"&lt;="&amp;I$1,INDIRECT("Table1[Ende]"),"&gt;="&amp;I$1,INDIRECT("Table1[Obergruppe ATC-Code]"),Tabelle3!$A73)</f>
        <v>0</v>
      </c>
      <c r="J73">
        <f ca="1">COUNTIFS(INDIRECT("Table1[Beginn]"),"&lt;="&amp;J$1,INDIRECT("Table1[Ende]"),"&gt;="&amp;J$1,INDIRECT("Table1[Obergruppe ATC-Code]"),Tabelle3!$A73)</f>
        <v>0</v>
      </c>
      <c r="K73">
        <f ca="1">COUNTIFS(INDIRECT("Table1[Beginn]"),"&lt;="&amp;K$1,INDIRECT("Table1[Ende]"),"&gt;="&amp;K$1,INDIRECT("Table1[Obergruppe ATC-Code]"),Tabelle3!$A73)</f>
        <v>0</v>
      </c>
      <c r="L73">
        <f ca="1">COUNTIFS(INDIRECT("Table1[Beginn]"),"&lt;="&amp;L$1,INDIRECT("Table1[Ende]"),"&gt;="&amp;L$1,INDIRECT("Table1[Obergruppe ATC-Code]"),Tabelle3!$A73)</f>
        <v>0</v>
      </c>
      <c r="M73">
        <f ca="1">COUNTIFS(INDIRECT("Table1[Beginn]"),"&lt;="&amp;M$1,INDIRECT("Table1[Ende]"),"&gt;="&amp;M$1,INDIRECT("Table1[Obergruppe ATC-Code]"),Tabelle3!$A73)</f>
        <v>0</v>
      </c>
      <c r="N73">
        <f ca="1">COUNTIFS(INDIRECT("Table1[Beginn]"),"&lt;="&amp;N$1,INDIRECT("Table1[Ende]"),"&gt;="&amp;N$1,INDIRECT("Table1[Obergruppe ATC-Code]"),Tabelle3!$A73)</f>
        <v>0</v>
      </c>
      <c r="O73">
        <f ca="1">COUNTIFS(INDIRECT("Table1[Beginn]"),"&lt;="&amp;O$1,INDIRECT("Table1[Ende]"),"&gt;="&amp;O$1,INDIRECT("Table1[Obergruppe ATC-Code]"),Tabelle3!$A73)</f>
        <v>0</v>
      </c>
      <c r="P73">
        <f ca="1">COUNTIFS(INDIRECT("Table1[Beginn]"),"&lt;="&amp;P$1,INDIRECT("Table1[Ende]"),"&gt;="&amp;P$1,INDIRECT("Table1[Obergruppe ATC-Code]"),Tabelle3!$A73)</f>
        <v>1</v>
      </c>
      <c r="Q73">
        <f ca="1">COUNTIFS(INDIRECT("Table1[Beginn]"),"&lt;="&amp;Q$1,INDIRECT("Table1[Ende]"),"&gt;="&amp;Q$1,INDIRECT("Table1[Obergruppe ATC-Code]"),Tabelle3!$A73)</f>
        <v>1</v>
      </c>
      <c r="R73">
        <f ca="1">COUNTIFS(INDIRECT("Table1[Beginn]"),"&lt;="&amp;R$1,INDIRECT("Table1[Ende]"),"&gt;="&amp;R$1,INDIRECT("Table1[Obergruppe ATC-Code]"),Tabelle3!$A73)</f>
        <v>1</v>
      </c>
      <c r="S73">
        <f ca="1">COUNTIFS(INDIRECT("Table1[Beginn]"),"&lt;="&amp;S$1,INDIRECT("Table1[Ende]"),"&gt;="&amp;S$1,INDIRECT("Table1[Obergruppe ATC-Code]"),Tabelle3!$A73)</f>
        <v>1</v>
      </c>
      <c r="T73">
        <f ca="1">COUNTIFS(INDIRECT("Table1[Beginn]"),"&lt;="&amp;T$1,INDIRECT("Table1[Ende]"),"&gt;="&amp;T$1,INDIRECT("Table1[Obergruppe ATC-Code]"),Tabelle3!$A73)</f>
        <v>1</v>
      </c>
      <c r="U73">
        <f ca="1">COUNTIFS(INDIRECT("Table1[Beginn]"),"&lt;="&amp;U$1,INDIRECT("Table1[Ende]"),"&gt;="&amp;U$1,INDIRECT("Table1[Obergruppe ATC-Code]"),Tabelle3!$A73)</f>
        <v>1</v>
      </c>
      <c r="V73">
        <f ca="1">COUNTIFS(INDIRECT("Table1[Beginn]"),"&lt;="&amp;V$1,INDIRECT("Table1[Ende]"),"&gt;="&amp;V$1,INDIRECT("Table1[Obergruppe ATC-Code]"),Tabelle3!$A73)</f>
        <v>1</v>
      </c>
      <c r="W73">
        <f ca="1">COUNTIFS(INDIRECT("Table1[Beginn]"),"&lt;="&amp;W$1,INDIRECT("Table1[Ende]"),"&gt;="&amp;W$1,INDIRECT("Table1[Obergruppe ATC-Code]"),Tabelle3!$A73)</f>
        <v>1</v>
      </c>
      <c r="X73">
        <f ca="1">COUNTIFS(INDIRECT("Table1[Beginn]"),"&lt;="&amp;X$1,INDIRECT("Table1[Ende]"),"&gt;="&amp;X$1,INDIRECT("Table1[Obergruppe ATC-Code]"),Tabelle3!$A73)</f>
        <v>1</v>
      </c>
      <c r="Y73">
        <f ca="1">COUNTIFS(INDIRECT("Table1[Beginn]"),"&lt;="&amp;Y$1,INDIRECT("Table1[Ende]"),"&gt;="&amp;Y$1,INDIRECT("Table1[Obergruppe ATC-Code]"),Tabelle3!$A73)</f>
        <v>1</v>
      </c>
      <c r="Z73">
        <f ca="1">COUNTIFS(INDIRECT("Table1[Beginn]"),"&lt;="&amp;Z$1,INDIRECT("Table1[Ende]"),"&gt;="&amp;Z$1,INDIRECT("Table1[Obergruppe ATC-Code]"),Tabelle3!$A73)</f>
        <v>1</v>
      </c>
      <c r="AA73">
        <f ca="1">COUNTIFS(INDIRECT("Table1[Beginn]"),"&lt;="&amp;AA$1,INDIRECT("Table1[Ende]"),"&gt;="&amp;AA$1,INDIRECT("Table1[Obergruppe ATC-Code]"),Tabelle3!$A73)</f>
        <v>2</v>
      </c>
      <c r="AB73">
        <f ca="1">COUNTIFS(INDIRECT("Table1[Beginn]"),"&lt;="&amp;AB$1,INDIRECT("Table1[Ende]"),"&gt;="&amp;AB$1,INDIRECT("Table1[Obergruppe ATC-Code]"),Tabelle3!$A73)</f>
        <v>3</v>
      </c>
      <c r="AC73">
        <f ca="1">COUNTIFS(INDIRECT("Table1[Beginn]"),"&lt;="&amp;AC$1,INDIRECT("Table1[Ende]"),"&gt;="&amp;AC$1,INDIRECT("Table1[Obergruppe ATC-Code]"),Tabelle3!$A73)</f>
        <v>3</v>
      </c>
      <c r="AD73">
        <f ca="1">COUNTIFS(INDIRECT("Table1[Beginn]"),"&lt;="&amp;AD$1,INDIRECT("Table1[Ende]"),"&gt;="&amp;AD$1,INDIRECT("Table1[Obergruppe ATC-Code]"),Tabelle3!$A73)</f>
        <v>4</v>
      </c>
      <c r="AE73">
        <f ca="1">COUNTIFS(INDIRECT("Table1[Beginn]"),"&lt;="&amp;AE$1,INDIRECT("Table1[Ende]"),"&gt;="&amp;AE$1,INDIRECT("Table1[Obergruppe ATC-Code]"),Tabelle3!$A73)</f>
        <v>5</v>
      </c>
      <c r="AF73">
        <f ca="1">COUNTIFS(INDIRECT("Table1[Beginn]"),"&lt;="&amp;AF$1,INDIRECT("Table1[Ende]"),"&gt;="&amp;AF$1,INDIRECT("Table1[Obergruppe ATC-Code]"),Tabelle3!$A73)</f>
        <v>4</v>
      </c>
      <c r="AG73">
        <f ca="1">COUNTIFS(INDIRECT("Table1[Beginn]"),"&lt;="&amp;AG$1,INDIRECT("Table1[Ende]"),"&gt;="&amp;AG$1,INDIRECT("Table1[Obergruppe ATC-Code]"),Tabelle3!$A73)</f>
        <v>3</v>
      </c>
      <c r="AH73">
        <f ca="1">COUNTIFS(INDIRECT("Table1[Beginn]"),"&lt;="&amp;AH$1,INDIRECT("Table1[Ende]"),"&gt;="&amp;AH$1,INDIRECT("Table1[Obergruppe ATC-Code]"),Tabelle3!$A73)</f>
        <v>3</v>
      </c>
      <c r="AI73">
        <f ca="1">COUNTIFS(INDIRECT("Table1[Beginn]"),"&lt;="&amp;AI$1,INDIRECT("Table1[Ende]"),"&gt;="&amp;AI$1,INDIRECT("Table1[Obergruppe ATC-Code]"),Tabelle3!$A73)</f>
        <v>1</v>
      </c>
      <c r="AJ73">
        <f ca="1">COUNTIFS(INDIRECT("Table1[Beginn]"),"&lt;="&amp;AJ$1,INDIRECT("Table1[Ende]"),"&gt;="&amp;AJ$1,INDIRECT("Table1[Obergruppe ATC-Code]"),Tabelle3!$A73)</f>
        <v>2</v>
      </c>
      <c r="AK73">
        <f ca="1">COUNTIFS(INDIRECT("Table1[Beginn]"),"&lt;="&amp;AK$1,INDIRECT("Table1[Ende]"),"&gt;="&amp;AK$1,INDIRECT("Table1[Obergruppe ATC-Code]"),Tabelle3!$A73)</f>
        <v>2</v>
      </c>
      <c r="AL73">
        <f ca="1">COUNTIFS(INDIRECT("Table1[Beginn]"),"&lt;="&amp;AL$1,INDIRECT("Table1[Ende]"),"&gt;="&amp;AL$1,INDIRECT("Table1[Obergruppe ATC-Code]"),Tabelle3!$A73)</f>
        <v>2</v>
      </c>
      <c r="AM73">
        <f ca="1">COUNTIFS(INDIRECT("Table1[Beginn]"),"&lt;="&amp;AM$1,INDIRECT("Table1[Ende]"),"&gt;="&amp;AM$1,INDIRECT("Table1[Obergruppe ATC-Code]"),Tabelle3!$A73)</f>
        <v>13</v>
      </c>
      <c r="AN73">
        <f ca="1">COUNTIFS(INDIRECT("Table1[Beginn]"),"&lt;="&amp;AN$1,INDIRECT("Table1[Ende]"),"&gt;="&amp;AN$1,INDIRECT("Table1[Obergruppe ATC-Code]"),Tabelle3!$A73)</f>
        <v>22</v>
      </c>
      <c r="AO73">
        <f ca="1">COUNTIFS(INDIRECT("Table1[Beginn]"),"&lt;="&amp;AO$1,INDIRECT("Table1[Ende]"),"&gt;="&amp;AO$1,INDIRECT("Table1[Obergruppe ATC-Code]"),Tabelle3!$A73)</f>
        <v>20</v>
      </c>
      <c r="AP73">
        <f ca="1">COUNTIFS(INDIRECT("Table1[Beginn]"),"&lt;="&amp;AP$1,INDIRECT("Table1[Ende]"),"&gt;="&amp;AP$1,INDIRECT("Table1[Obergruppe ATC-Code]"),Tabelle3!$A73)</f>
        <v>16</v>
      </c>
      <c r="AQ73">
        <f ca="1">COUNTIFS(INDIRECT("Table1[Beginn]"),"&lt;="&amp;AQ$1,INDIRECT("Table1[Ende]"),"&gt;="&amp;AQ$1,INDIRECT("Table1[Obergruppe ATC-Code]"),Tabelle3!$A73)</f>
        <v>14</v>
      </c>
      <c r="AR73">
        <f ca="1">COUNTIFS(INDIRECT("Table1[Beginn]"),"&lt;="&amp;AR$1,INDIRECT("Table1[Ende]"),"&gt;="&amp;AR$1,INDIRECT("Table1[Obergruppe ATC-Code]"),Tabelle3!$A73)</f>
        <v>10</v>
      </c>
      <c r="AS73">
        <f ca="1">COUNTIFS(INDIRECT("Table1[Beginn]"),"&lt;="&amp;AS$1,INDIRECT("Table1[Ende]"),"&gt;="&amp;AS$1,INDIRECT("Table1[Obergruppe ATC-Code]"),Tabelle3!$A73)</f>
        <v>9</v>
      </c>
      <c r="AT73">
        <f ca="1">COUNTIFS(INDIRECT("Table1[Beginn]"),"&lt;="&amp;AT$1,INDIRECT("Table1[Ende]"),"&gt;="&amp;AT$1,INDIRECT("Table1[Obergruppe ATC-Code]"),Tabelle3!$A73)</f>
        <v>10</v>
      </c>
      <c r="AU73">
        <f ca="1">COUNTIFS(INDIRECT("Table1[Beginn]"),"&lt;="&amp;AU$1,INDIRECT("Table1[Ende]"),"&gt;="&amp;AU$1,INDIRECT("Table1[Obergruppe ATC-Code]"),Tabelle3!$A73)</f>
        <v>9</v>
      </c>
      <c r="AV73">
        <f ca="1">COUNTIFS(INDIRECT("Table1[Beginn]"),"&lt;="&amp;AV$1,INDIRECT("Table1[Ende]"),"&gt;="&amp;AV$1,INDIRECT("Table1[Obergruppe ATC-Code]"),Tabelle3!$A73)</f>
        <v>6</v>
      </c>
      <c r="AW73">
        <f ca="1">COUNTIFS(INDIRECT("Table1[Beginn]"),"&lt;="&amp;AW$1,INDIRECT("Table1[Ende]"),"&gt;="&amp;AW$1,INDIRECT("Table1[Obergruppe ATC-Code]"),Tabelle3!$A73)</f>
        <v>5</v>
      </c>
      <c r="AX73">
        <f ca="1">COUNTIFS(INDIRECT("Table1[Beginn]"),"&lt;="&amp;AX$1,INDIRECT("Table1[Ende]"),"&gt;="&amp;AX$1,INDIRECT("Table1[Obergruppe ATC-Code]"),Tabelle3!$A73)</f>
        <v>7</v>
      </c>
      <c r="AY73">
        <f ca="1">COUNTIFS(INDIRECT("Table1[Beginn]"),"&lt;="&amp;AY$1,INDIRECT("Table1[Ende]"),"&gt;="&amp;AY$1,INDIRECT("Table1[Obergruppe ATC-Code]"),Tabelle3!$A73)</f>
        <v>9</v>
      </c>
      <c r="AZ73">
        <f ca="1">COUNTIFS(INDIRECT("Table1[Beginn]"),"&lt;="&amp;AZ$1,INDIRECT("Table1[Ende]"),"&gt;="&amp;AZ$1,INDIRECT("Table1[Obergruppe ATC-Code]"),Tabelle3!$A73)</f>
        <v>10</v>
      </c>
      <c r="BA73">
        <f ca="1">COUNTIFS(INDIRECT("Table1[Beginn]"),"&lt;="&amp;BA$1,INDIRECT("Table1[Ende]"),"&gt;="&amp;BA$1,INDIRECT("Table1[Obergruppe ATC-Code]"),Tabelle3!$A73)</f>
        <v>10</v>
      </c>
      <c r="BB73">
        <f ca="1">COUNTIFS(INDIRECT("Table1[Beginn]"),"&lt;="&amp;BB$1,INDIRECT("Table1[Ende]"),"&gt;="&amp;BB$1,INDIRECT("Table1[Obergruppe ATC-Code]"),Tabelle3!$A73)</f>
        <v>9</v>
      </c>
      <c r="BC73">
        <f ca="1">COUNTIFS(INDIRECT("Table1[Beginn]"),"&lt;="&amp;BC$1,INDIRECT("Table1[Ende]"),"&gt;="&amp;BC$1,INDIRECT("Table1[Obergruppe ATC-Code]"),Tabelle3!$A73)</f>
        <v>11</v>
      </c>
      <c r="BD73">
        <f ca="1">COUNTIFS(INDIRECT("Table1[Beginn]"),"&lt;="&amp;BD$1,INDIRECT("Table1[Ende]"),"&gt;="&amp;BD$1,INDIRECT("Table1[Obergruppe ATC-Code]"),Tabelle3!$A73)</f>
        <v>16</v>
      </c>
      <c r="BE73">
        <f ca="1">COUNTIFS(INDIRECT("Table1[Beginn]"),"&lt;="&amp;BE$1,INDIRECT("Table1[Ende]"),"&gt;="&amp;BE$1,INDIRECT("Table1[Obergruppe ATC-Code]"),Tabelle3!$A73)</f>
        <v>12</v>
      </c>
      <c r="BF73">
        <f ca="1">COUNTIFS(INDIRECT("Table1[Beginn]"),"&lt;="&amp;BF$1,INDIRECT("Table1[Ende]"),"&gt;="&amp;BF$1,INDIRECT("Table1[Obergruppe ATC-Code]"),Tabelle3!$A73)</f>
        <v>12</v>
      </c>
      <c r="BG73">
        <f ca="1">COUNTIFS(INDIRECT("Table1[Beginn]"),"&lt;="&amp;BG$1,INDIRECT("Table1[Ende]"),"&gt;="&amp;BG$1,INDIRECT("Table1[Obergruppe ATC-Code]"),Tabelle3!$A73)</f>
        <v>14</v>
      </c>
      <c r="BH73">
        <f ca="1">COUNTIFS(INDIRECT("Table1[Beginn]"),"&lt;="&amp;BH$1,INDIRECT("Table1[Ende]"),"&gt;="&amp;BH$1,INDIRECT("Table1[Obergruppe ATC-Code]"),Tabelle3!$A73)</f>
        <v>10</v>
      </c>
      <c r="BI73">
        <f ca="1">COUNTIFS(INDIRECT("Table1[Beginn]"),"&lt;="&amp;BI$1,INDIRECT("Table1[Ende]"),"&gt;="&amp;BI$1,INDIRECT("Table1[Obergruppe ATC-Code]"),Tabelle3!$A73)</f>
        <v>8</v>
      </c>
      <c r="BJ73">
        <f ca="1">COUNTIFS(INDIRECT("Table1[Beginn]"),"&lt;="&amp;BJ$1,INDIRECT("Table1[Ende]"),"&gt;="&amp;BJ$1,INDIRECT("Table1[Obergruppe ATC-Code]"),Tabelle3!$A73)</f>
        <v>8</v>
      </c>
      <c r="BK73">
        <f ca="1">COUNTIFS(INDIRECT("Table1[Beginn]"),"&lt;="&amp;BK$1,INDIRECT("Table1[Ende]"),"&gt;="&amp;BK$1,INDIRECT("Table1[Obergruppe ATC-Code]"),Tabelle3!$A73)</f>
        <v>7</v>
      </c>
      <c r="BL73">
        <f ca="1">COUNTIFS(INDIRECT("Table1[Beginn]"),"&lt;="&amp;BL$1,INDIRECT("Table1[Ende]"),"&gt;="&amp;BL$1,INDIRECT("Table1[Obergruppe ATC-Code]"),Tabelle3!$A73)</f>
        <v>6</v>
      </c>
      <c r="BM73">
        <f ca="1">COUNTIFS(INDIRECT("Table1[Beginn]"),"&lt;="&amp;BM$1,INDIRECT("Table1[Ende]"),"&gt;="&amp;BM$1,INDIRECT("Table1[Obergruppe ATC-Code]"),Tabelle3!$A73)</f>
        <v>6</v>
      </c>
      <c r="BN73">
        <f ca="1">COUNTIFS(INDIRECT("Table1[Beginn]"),"&lt;="&amp;BN$1,INDIRECT("Table1[Ende]"),"&gt;="&amp;BN$1,INDIRECT("Table1[Obergruppe ATC-Code]"),Tabelle3!$A73)</f>
        <v>7</v>
      </c>
      <c r="BO73">
        <f ca="1">COUNTIFS(INDIRECT("Table1[Beginn]"),"&lt;="&amp;BO$1,INDIRECT("Table1[Ende]"),"&gt;="&amp;BO$1,INDIRECT("Table1[Obergruppe ATC-Code]"),Tabelle3!$A73)</f>
        <v>7</v>
      </c>
      <c r="BP73">
        <f ca="1">COUNTIFS(INDIRECT("Table1[Beginn]"),"&lt;="&amp;BP$1,INDIRECT("Table1[Ende]"),"&gt;="&amp;BP$1,INDIRECT("Table1[Obergruppe ATC-Code]"),Tabelle3!$A73)</f>
        <v>9</v>
      </c>
      <c r="BQ73">
        <f ca="1">COUNTIFS(INDIRECT("Table1[Beginn]"),"&lt;="&amp;BQ$1,INDIRECT("Table1[Ende]"),"&gt;="&amp;BQ$1,INDIRECT("Table1[Obergruppe ATC-Code]"),Tabelle3!$A73)</f>
        <v>9</v>
      </c>
      <c r="BR73">
        <f ca="1">COUNTIFS(INDIRECT("Table1[Beginn]"),"&lt;="&amp;BR$1,INDIRECT("Table1[Ende]"),"&gt;="&amp;BR$1,INDIRECT("Table1[Obergruppe ATC-Code]"),Tabelle3!$A73)</f>
        <v>9</v>
      </c>
      <c r="BS73">
        <f ca="1">COUNTIFS(INDIRECT("Table1[Beginn]"),"&lt;="&amp;BS$1,INDIRECT("Table1[Ende]"),"&gt;="&amp;BS$1,INDIRECT("Table1[Obergruppe ATC-Code]"),Tabelle3!$A73)</f>
        <v>10</v>
      </c>
      <c r="BT73">
        <f ca="1">COUNTIFS(INDIRECT("Table1[Beginn]"),"&lt;="&amp;BT$1,INDIRECT("Table1[Ende]"),"&gt;="&amp;BT$1,INDIRECT("Table1[Obergruppe ATC-Code]"),Tabelle3!$A73)</f>
        <v>10</v>
      </c>
      <c r="BU73">
        <f ca="1">COUNTIFS(INDIRECT("Table1[Beginn]"),"&lt;="&amp;BU$1,INDIRECT("Table1[Ende]"),"&gt;="&amp;BU$1,INDIRECT("Table1[Obergruppe ATC-Code]"),Tabelle3!$A73)</f>
        <v>12</v>
      </c>
      <c r="BV73">
        <f ca="1">COUNTIFS(INDIRECT("Table1[Beginn]"),"&lt;="&amp;BV$1,INDIRECT("Table1[Ende]"),"&gt;="&amp;BV$1,INDIRECT("Table1[Obergruppe ATC-Code]"),Tabelle3!$A73)</f>
        <v>20</v>
      </c>
      <c r="BW73">
        <f ca="1">COUNTIFS(INDIRECT("Table1[Beginn]"),"&lt;="&amp;BW$1,INDIRECT("Table1[Ende]"),"&gt;="&amp;BW$1,INDIRECT("Table1[Obergruppe ATC-Code]"),Tabelle3!$A73)</f>
        <v>21</v>
      </c>
      <c r="BX73">
        <f ca="1">COUNTIFS(INDIRECT("Table1[Beginn]"),"&lt;="&amp;BX$1,INDIRECT("Table1[Ende]"),"&gt;="&amp;BX$1,INDIRECT("Table1[Obergruppe ATC-Code]"),Tabelle3!$A73)</f>
        <v>22</v>
      </c>
      <c r="BY73">
        <f ca="1">COUNTIFS(INDIRECT("Table1[Beginn]"),"&lt;="&amp;BY$1,INDIRECT("Table1[Ende]"),"&gt;="&amp;BY$1,INDIRECT("Table1[Obergruppe ATC-Code]"),Tabelle3!$A73)</f>
        <v>24</v>
      </c>
      <c r="BZ73">
        <f ca="1">COUNTIFS(INDIRECT("Table1[Beginn]"),"&lt;="&amp;BZ$1,INDIRECT("Table1[Ende]"),"&gt;="&amp;BZ$1,INDIRECT("Table1[Obergruppe ATC-Code]"),Tabelle3!$A73)</f>
        <v>23</v>
      </c>
      <c r="CA73">
        <f ca="1">COUNTIFS(INDIRECT("Table1[Beginn]"),"&lt;="&amp;CA$1,INDIRECT("Table1[Ende]"),"&gt;="&amp;CA$1,INDIRECT("Table1[Obergruppe ATC-Code]"),Tabelle3!$A73)</f>
        <v>25</v>
      </c>
      <c r="CB73">
        <f ca="1">COUNTIFS(INDIRECT("Table1[Beginn]"),"&lt;="&amp;CB$1,INDIRECT("Table1[Ende]"),"&gt;="&amp;CB$1,INDIRECT("Table1[Obergruppe ATC-Code]"),Tabelle3!$A73)</f>
        <v>41</v>
      </c>
      <c r="CC73">
        <f ca="1">COUNTIFS(INDIRECT("Table1[Beginn]"),"&lt;="&amp;CC$1,INDIRECT("Table1[Ende]"),"&gt;="&amp;CC$1,INDIRECT("Table1[Obergruppe ATC-Code]"),Tabelle3!$A73)</f>
        <v>39</v>
      </c>
      <c r="CD73">
        <f ca="1">COUNTIFS(INDIRECT("Table1[Beginn]"),"&lt;="&amp;CD$1,INDIRECT("Table1[Ende]"),"&gt;="&amp;CD$1,INDIRECT("Table1[Obergruppe ATC-Code]"),Tabelle3!$A73)</f>
        <v>22</v>
      </c>
      <c r="CE73">
        <f ca="1">COUNTIFS(INDIRECT("Table1[Beginn]"),"&lt;="&amp;CE$1,INDIRECT("Table1[Ende]"),"&gt;="&amp;CE$1,INDIRECT("Table1[Obergruppe ATC-Code]"),Tabelle3!$A73)</f>
        <v>14</v>
      </c>
      <c r="CF73">
        <f ca="1">COUNTIFS(INDIRECT("Table1[Beginn]"),"&lt;="&amp;CF$1,INDIRECT("Table1[Ende]"),"&gt;="&amp;CF$1,INDIRECT("Table1[Obergruppe ATC-Code]"),Tabelle3!$A73)</f>
        <v>13</v>
      </c>
      <c r="CG73">
        <f ca="1">COUNTIFS(INDIRECT("Table1[Beginn]"),"&lt;="&amp;CG$1,INDIRECT("Table1[Ende]"),"&gt;="&amp;CG$1,INDIRECT("Table1[Obergruppe ATC-Code]"),Tabelle3!$A73)</f>
        <v>5</v>
      </c>
      <c r="CH73">
        <f ca="1">COUNTIFS(INDIRECT("Table1[Beginn]"),"&lt;="&amp;CH$1,INDIRECT("Table1[Ende]"),"&gt;="&amp;CH$1,INDIRECT("Table1[Obergruppe ATC-Code]"),Tabelle3!$A73)</f>
        <v>3</v>
      </c>
      <c r="CI73">
        <f ca="1">COUNTIFS(INDIRECT("Table1[Beginn]"),"&lt;="&amp;CI$1,INDIRECT("Table1[Ende]"),"&gt;="&amp;CI$1,INDIRECT("Table1[Obergruppe ATC-Code]"),Tabelle3!$A73)</f>
        <v>2</v>
      </c>
      <c r="CJ73">
        <f ca="1">COUNTIFS(INDIRECT("Table1[Beginn]"),"&lt;="&amp;CJ$1,INDIRECT("Table1[Ende]"),"&gt;="&amp;CJ$1,INDIRECT("Table1[Obergruppe ATC-Code]"),Tabelle3!$A73)</f>
        <v>2</v>
      </c>
      <c r="CK73">
        <f ca="1">COUNTIFS(INDIRECT("Table1[Beginn]"),"&lt;="&amp;CK$1,INDIRECT("Table1[Ende]"),"&gt;="&amp;CK$1,INDIRECT("Table1[Obergruppe ATC-Code]"),Tabelle3!$A73)</f>
        <v>2</v>
      </c>
      <c r="CL73">
        <f ca="1">COUNTIFS(INDIRECT("Table1[Beginn]"),"&lt;="&amp;CL$1,INDIRECT("Table1[Ende]"),"&gt;="&amp;CL$1,INDIRECT("Table1[Obergruppe ATC-Code]"),Tabelle3!$A73)</f>
        <v>1</v>
      </c>
      <c r="CM73">
        <f ca="1">COUNTIFS(INDIRECT("Table1[Beginn]"),"&lt;="&amp;CM$1,INDIRECT("Table1[Ende]"),"&gt;="&amp;CM$1,INDIRECT("Table1[Obergruppe ATC-Code]"),Tabelle3!$A73)</f>
        <v>0</v>
      </c>
      <c r="CN73">
        <f ca="1">COUNTIFS(INDIRECT("Table1[Beginn]"),"&lt;="&amp;CN$1,INDIRECT("Table1[Ende]"),"&gt;="&amp;CN$1,INDIRECT("Table1[Obergruppe ATC-Code]"),Tabelle3!$A73)</f>
        <v>0</v>
      </c>
      <c r="CO73">
        <f ca="1">COUNTIFS(INDIRECT("Table1[Beginn]"),"&lt;="&amp;CO$1,INDIRECT("Table1[Ende]"),"&gt;="&amp;CO$1,INDIRECT("Table1[Obergruppe ATC-Code]"),Tabelle3!$A73)</f>
        <v>0</v>
      </c>
      <c r="CP73">
        <f ca="1">COUNTIFS(INDIRECT("Table1[Beginn]"),"&lt;="&amp;CP$1,INDIRECT("Table1[Ende]"),"&gt;="&amp;CP$1,INDIRECT("Table1[Obergruppe ATC-Code]"),Tabelle3!$A73)</f>
        <v>0</v>
      </c>
      <c r="CQ73">
        <f ca="1">COUNTIFS(INDIRECT("Table1[Beginn]"),"&lt;="&amp;CQ$1,INDIRECT("Table1[Ende]"),"&gt;="&amp;CQ$1,INDIRECT("Table1[Obergruppe ATC-Code]"),Tabelle3!$A73)</f>
        <v>0</v>
      </c>
      <c r="CR73">
        <f ca="1">COUNTIFS(INDIRECT("Table1[Beginn]"),"&lt;="&amp;CR$1,INDIRECT("Table1[Ende]"),"&gt;="&amp;CR$1,INDIRECT("Table1[Obergruppe ATC-Code]"),Tabelle3!$A73)</f>
        <v>0</v>
      </c>
    </row>
    <row r="74" spans="1:96" ht="18">
      <c r="A74" s="7" t="s">
        <v>6916</v>
      </c>
      <c r="B74" s="8" t="s">
        <v>6917</v>
      </c>
      <c r="C74">
        <f ca="1">COUNTIFS(INDIRECT("Table1[Beginn]"),"&lt;="&amp;C$1,INDIRECT("Table1[Ende]"),"&gt;="&amp;C$1,INDIRECT("Table1[Obergruppe ATC-Code]"),Tabelle3!$A74)</f>
        <v>0</v>
      </c>
      <c r="D74">
        <f ca="1">COUNTIFS(INDIRECT("Table1[Beginn]"),"&lt;="&amp;D$1,INDIRECT("Table1[Ende]"),"&gt;="&amp;D$1,INDIRECT("Table1[Obergruppe ATC-Code]"),Tabelle3!$A74)</f>
        <v>0</v>
      </c>
      <c r="E74">
        <f ca="1">COUNTIFS(INDIRECT("Table1[Beginn]"),"&lt;="&amp;E$1,INDIRECT("Table1[Ende]"),"&gt;="&amp;E$1,INDIRECT("Table1[Obergruppe ATC-Code]"),Tabelle3!$A74)</f>
        <v>0</v>
      </c>
      <c r="F74">
        <f ca="1">COUNTIFS(INDIRECT("Table1[Beginn]"),"&lt;="&amp;F$1,INDIRECT("Table1[Ende]"),"&gt;="&amp;F$1,INDIRECT("Table1[Obergruppe ATC-Code]"),Tabelle3!$A74)</f>
        <v>0</v>
      </c>
      <c r="G74">
        <f ca="1">COUNTIFS(INDIRECT("Table1[Beginn]"),"&lt;="&amp;G$1,INDIRECT("Table1[Ende]"),"&gt;="&amp;G$1,INDIRECT("Table1[Obergruppe ATC-Code]"),Tabelle3!$A74)</f>
        <v>0</v>
      </c>
      <c r="H74">
        <f ca="1">COUNTIFS(INDIRECT("Table1[Beginn]"),"&lt;="&amp;H$1,INDIRECT("Table1[Ende]"),"&gt;="&amp;H$1,INDIRECT("Table1[Obergruppe ATC-Code]"),Tabelle3!$A74)</f>
        <v>0</v>
      </c>
      <c r="I74">
        <f ca="1">COUNTIFS(INDIRECT("Table1[Beginn]"),"&lt;="&amp;I$1,INDIRECT("Table1[Ende]"),"&gt;="&amp;I$1,INDIRECT("Table1[Obergruppe ATC-Code]"),Tabelle3!$A74)</f>
        <v>0</v>
      </c>
      <c r="J74">
        <f ca="1">COUNTIFS(INDIRECT("Table1[Beginn]"),"&lt;="&amp;J$1,INDIRECT("Table1[Ende]"),"&gt;="&amp;J$1,INDIRECT("Table1[Obergruppe ATC-Code]"),Tabelle3!$A74)</f>
        <v>0</v>
      </c>
      <c r="K74">
        <f ca="1">COUNTIFS(INDIRECT("Table1[Beginn]"),"&lt;="&amp;K$1,INDIRECT("Table1[Ende]"),"&gt;="&amp;K$1,INDIRECT("Table1[Obergruppe ATC-Code]"),Tabelle3!$A74)</f>
        <v>0</v>
      </c>
      <c r="L74">
        <f ca="1">COUNTIFS(INDIRECT("Table1[Beginn]"),"&lt;="&amp;L$1,INDIRECT("Table1[Ende]"),"&gt;="&amp;L$1,INDIRECT("Table1[Obergruppe ATC-Code]"),Tabelle3!$A74)</f>
        <v>0</v>
      </c>
      <c r="M74">
        <f ca="1">COUNTIFS(INDIRECT("Table1[Beginn]"),"&lt;="&amp;M$1,INDIRECT("Table1[Ende]"),"&gt;="&amp;M$1,INDIRECT("Table1[Obergruppe ATC-Code]"),Tabelle3!$A74)</f>
        <v>0</v>
      </c>
      <c r="N74">
        <f ca="1">COUNTIFS(INDIRECT("Table1[Beginn]"),"&lt;="&amp;N$1,INDIRECT("Table1[Ende]"),"&gt;="&amp;N$1,INDIRECT("Table1[Obergruppe ATC-Code]"),Tabelle3!$A74)</f>
        <v>0</v>
      </c>
      <c r="O74">
        <f ca="1">COUNTIFS(INDIRECT("Table1[Beginn]"),"&lt;="&amp;O$1,INDIRECT("Table1[Ende]"),"&gt;="&amp;O$1,INDIRECT("Table1[Obergruppe ATC-Code]"),Tabelle3!$A74)</f>
        <v>0</v>
      </c>
      <c r="P74">
        <f ca="1">COUNTIFS(INDIRECT("Table1[Beginn]"),"&lt;="&amp;P$1,INDIRECT("Table1[Ende]"),"&gt;="&amp;P$1,INDIRECT("Table1[Obergruppe ATC-Code]"),Tabelle3!$A74)</f>
        <v>0</v>
      </c>
      <c r="Q74">
        <f ca="1">COUNTIFS(INDIRECT("Table1[Beginn]"),"&lt;="&amp;Q$1,INDIRECT("Table1[Ende]"),"&gt;="&amp;Q$1,INDIRECT("Table1[Obergruppe ATC-Code]"),Tabelle3!$A74)</f>
        <v>0</v>
      </c>
      <c r="R74">
        <f ca="1">COUNTIFS(INDIRECT("Table1[Beginn]"),"&lt;="&amp;R$1,INDIRECT("Table1[Ende]"),"&gt;="&amp;R$1,INDIRECT("Table1[Obergruppe ATC-Code]"),Tabelle3!$A74)</f>
        <v>0</v>
      </c>
      <c r="S74">
        <f ca="1">COUNTIFS(INDIRECT("Table1[Beginn]"),"&lt;="&amp;S$1,INDIRECT("Table1[Ende]"),"&gt;="&amp;S$1,INDIRECT("Table1[Obergruppe ATC-Code]"),Tabelle3!$A74)</f>
        <v>0</v>
      </c>
      <c r="T74">
        <f ca="1">COUNTIFS(INDIRECT("Table1[Beginn]"),"&lt;="&amp;T$1,INDIRECT("Table1[Ende]"),"&gt;="&amp;T$1,INDIRECT("Table1[Obergruppe ATC-Code]"),Tabelle3!$A74)</f>
        <v>0</v>
      </c>
      <c r="U74">
        <f ca="1">COUNTIFS(INDIRECT("Table1[Beginn]"),"&lt;="&amp;U$1,INDIRECT("Table1[Ende]"),"&gt;="&amp;U$1,INDIRECT("Table1[Obergruppe ATC-Code]"),Tabelle3!$A74)</f>
        <v>0</v>
      </c>
      <c r="V74">
        <f ca="1">COUNTIFS(INDIRECT("Table1[Beginn]"),"&lt;="&amp;V$1,INDIRECT("Table1[Ende]"),"&gt;="&amp;V$1,INDIRECT("Table1[Obergruppe ATC-Code]"),Tabelle3!$A74)</f>
        <v>0</v>
      </c>
      <c r="W74">
        <f ca="1">COUNTIFS(INDIRECT("Table1[Beginn]"),"&lt;="&amp;W$1,INDIRECT("Table1[Ende]"),"&gt;="&amp;W$1,INDIRECT("Table1[Obergruppe ATC-Code]"),Tabelle3!$A74)</f>
        <v>0</v>
      </c>
      <c r="X74">
        <f ca="1">COUNTIFS(INDIRECT("Table1[Beginn]"),"&lt;="&amp;X$1,INDIRECT("Table1[Ende]"),"&gt;="&amp;X$1,INDIRECT("Table1[Obergruppe ATC-Code]"),Tabelle3!$A74)</f>
        <v>1</v>
      </c>
      <c r="Y74">
        <f ca="1">COUNTIFS(INDIRECT("Table1[Beginn]"),"&lt;="&amp;Y$1,INDIRECT("Table1[Ende]"),"&gt;="&amp;Y$1,INDIRECT("Table1[Obergruppe ATC-Code]"),Tabelle3!$A74)</f>
        <v>1</v>
      </c>
      <c r="Z74">
        <f ca="1">COUNTIFS(INDIRECT("Table1[Beginn]"),"&lt;="&amp;Z$1,INDIRECT("Table1[Ende]"),"&gt;="&amp;Z$1,INDIRECT("Table1[Obergruppe ATC-Code]"),Tabelle3!$A74)</f>
        <v>1</v>
      </c>
      <c r="AA74">
        <f ca="1">COUNTIFS(INDIRECT("Table1[Beginn]"),"&lt;="&amp;AA$1,INDIRECT("Table1[Ende]"),"&gt;="&amp;AA$1,INDIRECT("Table1[Obergruppe ATC-Code]"),Tabelle3!$A74)</f>
        <v>1</v>
      </c>
      <c r="AB74">
        <f ca="1">COUNTIFS(INDIRECT("Table1[Beginn]"),"&lt;="&amp;AB$1,INDIRECT("Table1[Ende]"),"&gt;="&amp;AB$1,INDIRECT("Table1[Obergruppe ATC-Code]"),Tabelle3!$A74)</f>
        <v>3</v>
      </c>
      <c r="AC74">
        <f ca="1">COUNTIFS(INDIRECT("Table1[Beginn]"),"&lt;="&amp;AC$1,INDIRECT("Table1[Ende]"),"&gt;="&amp;AC$1,INDIRECT("Table1[Obergruppe ATC-Code]"),Tabelle3!$A74)</f>
        <v>4</v>
      </c>
      <c r="AD74">
        <f ca="1">COUNTIFS(INDIRECT("Table1[Beginn]"),"&lt;="&amp;AD$1,INDIRECT("Table1[Ende]"),"&gt;="&amp;AD$1,INDIRECT("Table1[Obergruppe ATC-Code]"),Tabelle3!$A74)</f>
        <v>6</v>
      </c>
      <c r="AE74">
        <f ca="1">COUNTIFS(INDIRECT("Table1[Beginn]"),"&lt;="&amp;AE$1,INDIRECT("Table1[Ende]"),"&gt;="&amp;AE$1,INDIRECT("Table1[Obergruppe ATC-Code]"),Tabelle3!$A74)</f>
        <v>6</v>
      </c>
      <c r="AF74">
        <f ca="1">COUNTIFS(INDIRECT("Table1[Beginn]"),"&lt;="&amp;AF$1,INDIRECT("Table1[Ende]"),"&gt;="&amp;AF$1,INDIRECT("Table1[Obergruppe ATC-Code]"),Tabelle3!$A74)</f>
        <v>7</v>
      </c>
      <c r="AG74">
        <f ca="1">COUNTIFS(INDIRECT("Table1[Beginn]"),"&lt;="&amp;AG$1,INDIRECT("Table1[Ende]"),"&gt;="&amp;AG$1,INDIRECT("Table1[Obergruppe ATC-Code]"),Tabelle3!$A74)</f>
        <v>6</v>
      </c>
      <c r="AH74">
        <f ca="1">COUNTIFS(INDIRECT("Table1[Beginn]"),"&lt;="&amp;AH$1,INDIRECT("Table1[Ende]"),"&gt;="&amp;AH$1,INDIRECT("Table1[Obergruppe ATC-Code]"),Tabelle3!$A74)</f>
        <v>6</v>
      </c>
      <c r="AI74">
        <f ca="1">COUNTIFS(INDIRECT("Table1[Beginn]"),"&lt;="&amp;AI$1,INDIRECT("Table1[Ende]"),"&gt;="&amp;AI$1,INDIRECT("Table1[Obergruppe ATC-Code]"),Tabelle3!$A74)</f>
        <v>10</v>
      </c>
      <c r="AJ74">
        <f ca="1">COUNTIFS(INDIRECT("Table1[Beginn]"),"&lt;="&amp;AJ$1,INDIRECT("Table1[Ende]"),"&gt;="&amp;AJ$1,INDIRECT("Table1[Obergruppe ATC-Code]"),Tabelle3!$A74)</f>
        <v>20</v>
      </c>
      <c r="AK74">
        <f ca="1">COUNTIFS(INDIRECT("Table1[Beginn]"),"&lt;="&amp;AK$1,INDIRECT("Table1[Ende]"),"&gt;="&amp;AK$1,INDIRECT("Table1[Obergruppe ATC-Code]"),Tabelle3!$A74)</f>
        <v>19</v>
      </c>
      <c r="AL74">
        <f ca="1">COUNTIFS(INDIRECT("Table1[Beginn]"),"&lt;="&amp;AL$1,INDIRECT("Table1[Ende]"),"&gt;="&amp;AL$1,INDIRECT("Table1[Obergruppe ATC-Code]"),Tabelle3!$A74)</f>
        <v>23</v>
      </c>
      <c r="AM74">
        <f ca="1">COUNTIFS(INDIRECT("Table1[Beginn]"),"&lt;="&amp;AM$1,INDIRECT("Table1[Ende]"),"&gt;="&amp;AM$1,INDIRECT("Table1[Obergruppe ATC-Code]"),Tabelle3!$A74)</f>
        <v>30</v>
      </c>
      <c r="AN74">
        <f ca="1">COUNTIFS(INDIRECT("Table1[Beginn]"),"&lt;="&amp;AN$1,INDIRECT("Table1[Ende]"),"&gt;="&amp;AN$1,INDIRECT("Table1[Obergruppe ATC-Code]"),Tabelle3!$A74)</f>
        <v>28</v>
      </c>
      <c r="AO74">
        <f ca="1">COUNTIFS(INDIRECT("Table1[Beginn]"),"&lt;="&amp;AO$1,INDIRECT("Table1[Ende]"),"&gt;="&amp;AO$1,INDIRECT("Table1[Obergruppe ATC-Code]"),Tabelle3!$A74)</f>
        <v>24</v>
      </c>
      <c r="AP74">
        <f ca="1">COUNTIFS(INDIRECT("Table1[Beginn]"),"&lt;="&amp;AP$1,INDIRECT("Table1[Ende]"),"&gt;="&amp;AP$1,INDIRECT("Table1[Obergruppe ATC-Code]"),Tabelle3!$A74)</f>
        <v>24</v>
      </c>
      <c r="AQ74">
        <f ca="1">COUNTIFS(INDIRECT("Table1[Beginn]"),"&lt;="&amp;AQ$1,INDIRECT("Table1[Ende]"),"&gt;="&amp;AQ$1,INDIRECT("Table1[Obergruppe ATC-Code]"),Tabelle3!$A74)</f>
        <v>22</v>
      </c>
      <c r="AR74">
        <f ca="1">COUNTIFS(INDIRECT("Table1[Beginn]"),"&lt;="&amp;AR$1,INDIRECT("Table1[Ende]"),"&gt;="&amp;AR$1,INDIRECT("Table1[Obergruppe ATC-Code]"),Tabelle3!$A74)</f>
        <v>23</v>
      </c>
      <c r="AS74">
        <f ca="1">COUNTIFS(INDIRECT("Table1[Beginn]"),"&lt;="&amp;AS$1,INDIRECT("Table1[Ende]"),"&gt;="&amp;AS$1,INDIRECT("Table1[Obergruppe ATC-Code]"),Tabelle3!$A74)</f>
        <v>23</v>
      </c>
      <c r="AT74">
        <f ca="1">COUNTIFS(INDIRECT("Table1[Beginn]"),"&lt;="&amp;AT$1,INDIRECT("Table1[Ende]"),"&gt;="&amp;AT$1,INDIRECT("Table1[Obergruppe ATC-Code]"),Tabelle3!$A74)</f>
        <v>16</v>
      </c>
      <c r="AU74">
        <f ca="1">COUNTIFS(INDIRECT("Table1[Beginn]"),"&lt;="&amp;AU$1,INDIRECT("Table1[Ende]"),"&gt;="&amp;AU$1,INDIRECT("Table1[Obergruppe ATC-Code]"),Tabelle3!$A74)</f>
        <v>18</v>
      </c>
      <c r="AV74">
        <f ca="1">COUNTIFS(INDIRECT("Table1[Beginn]"),"&lt;="&amp;AV$1,INDIRECT("Table1[Ende]"),"&gt;="&amp;AV$1,INDIRECT("Table1[Obergruppe ATC-Code]"),Tabelle3!$A74)</f>
        <v>15</v>
      </c>
      <c r="AW74">
        <f ca="1">COUNTIFS(INDIRECT("Table1[Beginn]"),"&lt;="&amp;AW$1,INDIRECT("Table1[Ende]"),"&gt;="&amp;AW$1,INDIRECT("Table1[Obergruppe ATC-Code]"),Tabelle3!$A74)</f>
        <v>14</v>
      </c>
      <c r="AX74">
        <f ca="1">COUNTIFS(INDIRECT("Table1[Beginn]"),"&lt;="&amp;AX$1,INDIRECT("Table1[Ende]"),"&gt;="&amp;AX$1,INDIRECT("Table1[Obergruppe ATC-Code]"),Tabelle3!$A74)</f>
        <v>12</v>
      </c>
      <c r="AY74">
        <f ca="1">COUNTIFS(INDIRECT("Table1[Beginn]"),"&lt;="&amp;AY$1,INDIRECT("Table1[Ende]"),"&gt;="&amp;AY$1,INDIRECT("Table1[Obergruppe ATC-Code]"),Tabelle3!$A74)</f>
        <v>10</v>
      </c>
      <c r="AZ74">
        <f ca="1">COUNTIFS(INDIRECT("Table1[Beginn]"),"&lt;="&amp;AZ$1,INDIRECT("Table1[Ende]"),"&gt;="&amp;AZ$1,INDIRECT("Table1[Obergruppe ATC-Code]"),Tabelle3!$A74)</f>
        <v>5</v>
      </c>
      <c r="BA74">
        <f ca="1">COUNTIFS(INDIRECT("Table1[Beginn]"),"&lt;="&amp;BA$1,INDIRECT("Table1[Ende]"),"&gt;="&amp;BA$1,INDIRECT("Table1[Obergruppe ATC-Code]"),Tabelle3!$A74)</f>
        <v>5</v>
      </c>
      <c r="BB74">
        <f ca="1">COUNTIFS(INDIRECT("Table1[Beginn]"),"&lt;="&amp;BB$1,INDIRECT("Table1[Ende]"),"&gt;="&amp;BB$1,INDIRECT("Table1[Obergruppe ATC-Code]"),Tabelle3!$A74)</f>
        <v>4</v>
      </c>
      <c r="BC74">
        <f ca="1">COUNTIFS(INDIRECT("Table1[Beginn]"),"&lt;="&amp;BC$1,INDIRECT("Table1[Ende]"),"&gt;="&amp;BC$1,INDIRECT("Table1[Obergruppe ATC-Code]"),Tabelle3!$A74)</f>
        <v>5</v>
      </c>
      <c r="BD74">
        <f ca="1">COUNTIFS(INDIRECT("Table1[Beginn]"),"&lt;="&amp;BD$1,INDIRECT("Table1[Ende]"),"&gt;="&amp;BD$1,INDIRECT("Table1[Obergruppe ATC-Code]"),Tabelle3!$A74)</f>
        <v>5</v>
      </c>
      <c r="BE74">
        <f ca="1">COUNTIFS(INDIRECT("Table1[Beginn]"),"&lt;="&amp;BE$1,INDIRECT("Table1[Ende]"),"&gt;="&amp;BE$1,INDIRECT("Table1[Obergruppe ATC-Code]"),Tabelle3!$A74)</f>
        <v>3</v>
      </c>
      <c r="BF74">
        <f ca="1">COUNTIFS(INDIRECT("Table1[Beginn]"),"&lt;="&amp;BF$1,INDIRECT("Table1[Ende]"),"&gt;="&amp;BF$1,INDIRECT("Table1[Obergruppe ATC-Code]"),Tabelle3!$A74)</f>
        <v>6</v>
      </c>
      <c r="BG74">
        <f ca="1">COUNTIFS(INDIRECT("Table1[Beginn]"),"&lt;="&amp;BG$1,INDIRECT("Table1[Ende]"),"&gt;="&amp;BG$1,INDIRECT("Table1[Obergruppe ATC-Code]"),Tabelle3!$A74)</f>
        <v>5</v>
      </c>
      <c r="BH74">
        <f ca="1">COUNTIFS(INDIRECT("Table1[Beginn]"),"&lt;="&amp;BH$1,INDIRECT("Table1[Ende]"),"&gt;="&amp;BH$1,INDIRECT("Table1[Obergruppe ATC-Code]"),Tabelle3!$A74)</f>
        <v>6</v>
      </c>
      <c r="BI74">
        <f ca="1">COUNTIFS(INDIRECT("Table1[Beginn]"),"&lt;="&amp;BI$1,INDIRECT("Table1[Ende]"),"&gt;="&amp;BI$1,INDIRECT("Table1[Obergruppe ATC-Code]"),Tabelle3!$A74)</f>
        <v>6</v>
      </c>
      <c r="BJ74">
        <f ca="1">COUNTIFS(INDIRECT("Table1[Beginn]"),"&lt;="&amp;BJ$1,INDIRECT("Table1[Ende]"),"&gt;="&amp;BJ$1,INDIRECT("Table1[Obergruppe ATC-Code]"),Tabelle3!$A74)</f>
        <v>5</v>
      </c>
      <c r="BK74">
        <f ca="1">COUNTIFS(INDIRECT("Table1[Beginn]"),"&lt;="&amp;BK$1,INDIRECT("Table1[Ende]"),"&gt;="&amp;BK$1,INDIRECT("Table1[Obergruppe ATC-Code]"),Tabelle3!$A74)</f>
        <v>2</v>
      </c>
      <c r="BL74">
        <f ca="1">COUNTIFS(INDIRECT("Table1[Beginn]"),"&lt;="&amp;BL$1,INDIRECT("Table1[Ende]"),"&gt;="&amp;BL$1,INDIRECT("Table1[Obergruppe ATC-Code]"),Tabelle3!$A74)</f>
        <v>3</v>
      </c>
      <c r="BM74">
        <f ca="1">COUNTIFS(INDIRECT("Table1[Beginn]"),"&lt;="&amp;BM$1,INDIRECT("Table1[Ende]"),"&gt;="&amp;BM$1,INDIRECT("Table1[Obergruppe ATC-Code]"),Tabelle3!$A74)</f>
        <v>3</v>
      </c>
      <c r="BN74">
        <f ca="1">COUNTIFS(INDIRECT("Table1[Beginn]"),"&lt;="&amp;BN$1,INDIRECT("Table1[Ende]"),"&gt;="&amp;BN$1,INDIRECT("Table1[Obergruppe ATC-Code]"),Tabelle3!$A74)</f>
        <v>3</v>
      </c>
      <c r="BO74">
        <f ca="1">COUNTIFS(INDIRECT("Table1[Beginn]"),"&lt;="&amp;BO$1,INDIRECT("Table1[Ende]"),"&gt;="&amp;BO$1,INDIRECT("Table1[Obergruppe ATC-Code]"),Tabelle3!$A74)</f>
        <v>3</v>
      </c>
      <c r="BP74">
        <f ca="1">COUNTIFS(INDIRECT("Table1[Beginn]"),"&lt;="&amp;BP$1,INDIRECT("Table1[Ende]"),"&gt;="&amp;BP$1,INDIRECT("Table1[Obergruppe ATC-Code]"),Tabelle3!$A74)</f>
        <v>3</v>
      </c>
      <c r="BQ74">
        <f ca="1">COUNTIFS(INDIRECT("Table1[Beginn]"),"&lt;="&amp;BQ$1,INDIRECT("Table1[Ende]"),"&gt;="&amp;BQ$1,INDIRECT("Table1[Obergruppe ATC-Code]"),Tabelle3!$A74)</f>
        <v>3</v>
      </c>
      <c r="BR74">
        <f ca="1">COUNTIFS(INDIRECT("Table1[Beginn]"),"&lt;="&amp;BR$1,INDIRECT("Table1[Ende]"),"&gt;="&amp;BR$1,INDIRECT("Table1[Obergruppe ATC-Code]"),Tabelle3!$A74)</f>
        <v>3</v>
      </c>
      <c r="BS74">
        <f ca="1">COUNTIFS(INDIRECT("Table1[Beginn]"),"&lt;="&amp;BS$1,INDIRECT("Table1[Ende]"),"&gt;="&amp;BS$1,INDIRECT("Table1[Obergruppe ATC-Code]"),Tabelle3!$A74)</f>
        <v>3</v>
      </c>
      <c r="BT74">
        <f ca="1">COUNTIFS(INDIRECT("Table1[Beginn]"),"&lt;="&amp;BT$1,INDIRECT("Table1[Ende]"),"&gt;="&amp;BT$1,INDIRECT("Table1[Obergruppe ATC-Code]"),Tabelle3!$A74)</f>
        <v>3</v>
      </c>
      <c r="BU74">
        <f ca="1">COUNTIFS(INDIRECT("Table1[Beginn]"),"&lt;="&amp;BU$1,INDIRECT("Table1[Ende]"),"&gt;="&amp;BU$1,INDIRECT("Table1[Obergruppe ATC-Code]"),Tabelle3!$A74)</f>
        <v>3</v>
      </c>
      <c r="BV74">
        <f ca="1">COUNTIFS(INDIRECT("Table1[Beginn]"),"&lt;="&amp;BV$1,INDIRECT("Table1[Ende]"),"&gt;="&amp;BV$1,INDIRECT("Table1[Obergruppe ATC-Code]"),Tabelle3!$A74)</f>
        <v>3</v>
      </c>
      <c r="BW74">
        <f ca="1">COUNTIFS(INDIRECT("Table1[Beginn]"),"&lt;="&amp;BW$1,INDIRECT("Table1[Ende]"),"&gt;="&amp;BW$1,INDIRECT("Table1[Obergruppe ATC-Code]"),Tabelle3!$A74)</f>
        <v>5</v>
      </c>
      <c r="BX74">
        <f ca="1">COUNTIFS(INDIRECT("Table1[Beginn]"),"&lt;="&amp;BX$1,INDIRECT("Table1[Ende]"),"&gt;="&amp;BX$1,INDIRECT("Table1[Obergruppe ATC-Code]"),Tabelle3!$A74)</f>
        <v>4</v>
      </c>
      <c r="BY74">
        <f ca="1">COUNTIFS(INDIRECT("Table1[Beginn]"),"&lt;="&amp;BY$1,INDIRECT("Table1[Ende]"),"&gt;="&amp;BY$1,INDIRECT("Table1[Obergruppe ATC-Code]"),Tabelle3!$A74)</f>
        <v>6</v>
      </c>
      <c r="BZ74">
        <f ca="1">COUNTIFS(INDIRECT("Table1[Beginn]"),"&lt;="&amp;BZ$1,INDIRECT("Table1[Ende]"),"&gt;="&amp;BZ$1,INDIRECT("Table1[Obergruppe ATC-Code]"),Tabelle3!$A74)</f>
        <v>7</v>
      </c>
      <c r="CA74">
        <f ca="1">COUNTIFS(INDIRECT("Table1[Beginn]"),"&lt;="&amp;CA$1,INDIRECT("Table1[Ende]"),"&gt;="&amp;CA$1,INDIRECT("Table1[Obergruppe ATC-Code]"),Tabelle3!$A74)</f>
        <v>7</v>
      </c>
      <c r="CB74">
        <f ca="1">COUNTIFS(INDIRECT("Table1[Beginn]"),"&lt;="&amp;CB$1,INDIRECT("Table1[Ende]"),"&gt;="&amp;CB$1,INDIRECT("Table1[Obergruppe ATC-Code]"),Tabelle3!$A74)</f>
        <v>11</v>
      </c>
      <c r="CC74">
        <f ca="1">COUNTIFS(INDIRECT("Table1[Beginn]"),"&lt;="&amp;CC$1,INDIRECT("Table1[Ende]"),"&gt;="&amp;CC$1,INDIRECT("Table1[Obergruppe ATC-Code]"),Tabelle3!$A74)</f>
        <v>21</v>
      </c>
      <c r="CD74">
        <f ca="1">COUNTIFS(INDIRECT("Table1[Beginn]"),"&lt;="&amp;CD$1,INDIRECT("Table1[Ende]"),"&gt;="&amp;CD$1,INDIRECT("Table1[Obergruppe ATC-Code]"),Tabelle3!$A74)</f>
        <v>22</v>
      </c>
      <c r="CE74">
        <f ca="1">COUNTIFS(INDIRECT("Table1[Beginn]"),"&lt;="&amp;CE$1,INDIRECT("Table1[Ende]"),"&gt;="&amp;CE$1,INDIRECT("Table1[Obergruppe ATC-Code]"),Tabelle3!$A74)</f>
        <v>15</v>
      </c>
      <c r="CF74">
        <f ca="1">COUNTIFS(INDIRECT("Table1[Beginn]"),"&lt;="&amp;CF$1,INDIRECT("Table1[Ende]"),"&gt;="&amp;CF$1,INDIRECT("Table1[Obergruppe ATC-Code]"),Tabelle3!$A74)</f>
        <v>14</v>
      </c>
      <c r="CG74">
        <f ca="1">COUNTIFS(INDIRECT("Table1[Beginn]"),"&lt;="&amp;CG$1,INDIRECT("Table1[Ende]"),"&gt;="&amp;CG$1,INDIRECT("Table1[Obergruppe ATC-Code]"),Tabelle3!$A74)</f>
        <v>10</v>
      </c>
      <c r="CH74">
        <f ca="1">COUNTIFS(INDIRECT("Table1[Beginn]"),"&lt;="&amp;CH$1,INDIRECT("Table1[Ende]"),"&gt;="&amp;CH$1,INDIRECT("Table1[Obergruppe ATC-Code]"),Tabelle3!$A74)</f>
        <v>9</v>
      </c>
      <c r="CI74">
        <f ca="1">COUNTIFS(INDIRECT("Table1[Beginn]"),"&lt;="&amp;CI$1,INDIRECT("Table1[Ende]"),"&gt;="&amp;CI$1,INDIRECT("Table1[Obergruppe ATC-Code]"),Tabelle3!$A74)</f>
        <v>8</v>
      </c>
      <c r="CJ74">
        <f ca="1">COUNTIFS(INDIRECT("Table1[Beginn]"),"&lt;="&amp;CJ$1,INDIRECT("Table1[Ende]"),"&gt;="&amp;CJ$1,INDIRECT("Table1[Obergruppe ATC-Code]"),Tabelle3!$A74)</f>
        <v>1</v>
      </c>
      <c r="CK74">
        <f ca="1">COUNTIFS(INDIRECT("Table1[Beginn]"),"&lt;="&amp;CK$1,INDIRECT("Table1[Ende]"),"&gt;="&amp;CK$1,INDIRECT("Table1[Obergruppe ATC-Code]"),Tabelle3!$A74)</f>
        <v>1</v>
      </c>
      <c r="CL74">
        <f ca="1">COUNTIFS(INDIRECT("Table1[Beginn]"),"&lt;="&amp;CL$1,INDIRECT("Table1[Ende]"),"&gt;="&amp;CL$1,INDIRECT("Table1[Obergruppe ATC-Code]"),Tabelle3!$A74)</f>
        <v>1</v>
      </c>
      <c r="CM74">
        <f ca="1">COUNTIFS(INDIRECT("Table1[Beginn]"),"&lt;="&amp;CM$1,INDIRECT("Table1[Ende]"),"&gt;="&amp;CM$1,INDIRECT("Table1[Obergruppe ATC-Code]"),Tabelle3!$A74)</f>
        <v>1</v>
      </c>
      <c r="CN74">
        <f ca="1">COUNTIFS(INDIRECT("Table1[Beginn]"),"&lt;="&amp;CN$1,INDIRECT("Table1[Ende]"),"&gt;="&amp;CN$1,INDIRECT("Table1[Obergruppe ATC-Code]"),Tabelle3!$A74)</f>
        <v>1</v>
      </c>
      <c r="CO74">
        <f ca="1">COUNTIFS(INDIRECT("Table1[Beginn]"),"&lt;="&amp;CO$1,INDIRECT("Table1[Ende]"),"&gt;="&amp;CO$1,INDIRECT("Table1[Obergruppe ATC-Code]"),Tabelle3!$A74)</f>
        <v>1</v>
      </c>
      <c r="CP74">
        <f ca="1">COUNTIFS(INDIRECT("Table1[Beginn]"),"&lt;="&amp;CP$1,INDIRECT("Table1[Ende]"),"&gt;="&amp;CP$1,INDIRECT("Table1[Obergruppe ATC-Code]"),Tabelle3!$A74)</f>
        <v>1</v>
      </c>
      <c r="CQ74">
        <f ca="1">COUNTIFS(INDIRECT("Table1[Beginn]"),"&lt;="&amp;CQ$1,INDIRECT("Table1[Ende]"),"&gt;="&amp;CQ$1,INDIRECT("Table1[Obergruppe ATC-Code]"),Tabelle3!$A74)</f>
        <v>1</v>
      </c>
      <c r="CR74">
        <f ca="1">COUNTIFS(INDIRECT("Table1[Beginn]"),"&lt;="&amp;CR$1,INDIRECT("Table1[Ende]"),"&gt;="&amp;CR$1,INDIRECT("Table1[Obergruppe ATC-Code]"),Tabelle3!$A74)</f>
        <v>1</v>
      </c>
    </row>
    <row r="75" spans="1:96" ht="18">
      <c r="A75" s="9" t="s">
        <v>6918</v>
      </c>
      <c r="B75" s="10" t="s">
        <v>6919</v>
      </c>
      <c r="C75">
        <f ca="1">COUNTIFS(INDIRECT("Table1[Beginn]"),"&lt;="&amp;C$1,INDIRECT("Table1[Ende]"),"&gt;="&amp;C$1,INDIRECT("Table1[Obergruppe ATC-Code]"),Tabelle3!$A75)</f>
        <v>0</v>
      </c>
      <c r="D75">
        <f ca="1">COUNTIFS(INDIRECT("Table1[Beginn]"),"&lt;="&amp;D$1,INDIRECT("Table1[Ende]"),"&gt;="&amp;D$1,INDIRECT("Table1[Obergruppe ATC-Code]"),Tabelle3!$A75)</f>
        <v>0</v>
      </c>
      <c r="E75">
        <f ca="1">COUNTIFS(INDIRECT("Table1[Beginn]"),"&lt;="&amp;E$1,INDIRECT("Table1[Ende]"),"&gt;="&amp;E$1,INDIRECT("Table1[Obergruppe ATC-Code]"),Tabelle3!$A75)</f>
        <v>0</v>
      </c>
      <c r="F75">
        <f ca="1">COUNTIFS(INDIRECT("Table1[Beginn]"),"&lt;="&amp;F$1,INDIRECT("Table1[Ende]"),"&gt;="&amp;F$1,INDIRECT("Table1[Obergruppe ATC-Code]"),Tabelle3!$A75)</f>
        <v>0</v>
      </c>
      <c r="G75">
        <f ca="1">COUNTIFS(INDIRECT("Table1[Beginn]"),"&lt;="&amp;G$1,INDIRECT("Table1[Ende]"),"&gt;="&amp;G$1,INDIRECT("Table1[Obergruppe ATC-Code]"),Tabelle3!$A75)</f>
        <v>0</v>
      </c>
      <c r="H75">
        <f ca="1">COUNTIFS(INDIRECT("Table1[Beginn]"),"&lt;="&amp;H$1,INDIRECT("Table1[Ende]"),"&gt;="&amp;H$1,INDIRECT("Table1[Obergruppe ATC-Code]"),Tabelle3!$A75)</f>
        <v>0</v>
      </c>
      <c r="I75">
        <f ca="1">COUNTIFS(INDIRECT("Table1[Beginn]"),"&lt;="&amp;I$1,INDIRECT("Table1[Ende]"),"&gt;="&amp;I$1,INDIRECT("Table1[Obergruppe ATC-Code]"),Tabelle3!$A75)</f>
        <v>0</v>
      </c>
      <c r="J75">
        <f ca="1">COUNTIFS(INDIRECT("Table1[Beginn]"),"&lt;="&amp;J$1,INDIRECT("Table1[Ende]"),"&gt;="&amp;J$1,INDIRECT("Table1[Obergruppe ATC-Code]"),Tabelle3!$A75)</f>
        <v>0</v>
      </c>
      <c r="K75">
        <f ca="1">COUNTIFS(INDIRECT("Table1[Beginn]"),"&lt;="&amp;K$1,INDIRECT("Table1[Ende]"),"&gt;="&amp;K$1,INDIRECT("Table1[Obergruppe ATC-Code]"),Tabelle3!$A75)</f>
        <v>0</v>
      </c>
      <c r="L75">
        <f ca="1">COUNTIFS(INDIRECT("Table1[Beginn]"),"&lt;="&amp;L$1,INDIRECT("Table1[Ende]"),"&gt;="&amp;L$1,INDIRECT("Table1[Obergruppe ATC-Code]"),Tabelle3!$A75)</f>
        <v>0</v>
      </c>
      <c r="M75">
        <f ca="1">COUNTIFS(INDIRECT("Table1[Beginn]"),"&lt;="&amp;M$1,INDIRECT("Table1[Ende]"),"&gt;="&amp;M$1,INDIRECT("Table1[Obergruppe ATC-Code]"),Tabelle3!$A75)</f>
        <v>0</v>
      </c>
      <c r="N75">
        <f ca="1">COUNTIFS(INDIRECT("Table1[Beginn]"),"&lt;="&amp;N$1,INDIRECT("Table1[Ende]"),"&gt;="&amp;N$1,INDIRECT("Table1[Obergruppe ATC-Code]"),Tabelle3!$A75)</f>
        <v>0</v>
      </c>
      <c r="O75">
        <f ca="1">COUNTIFS(INDIRECT("Table1[Beginn]"),"&lt;="&amp;O$1,INDIRECT("Table1[Ende]"),"&gt;="&amp;O$1,INDIRECT("Table1[Obergruppe ATC-Code]"),Tabelle3!$A75)</f>
        <v>1</v>
      </c>
      <c r="P75">
        <f ca="1">COUNTIFS(INDIRECT("Table1[Beginn]"),"&lt;="&amp;P$1,INDIRECT("Table1[Ende]"),"&gt;="&amp;P$1,INDIRECT("Table1[Obergruppe ATC-Code]"),Tabelle3!$A75)</f>
        <v>1</v>
      </c>
      <c r="Q75">
        <f ca="1">COUNTIFS(INDIRECT("Table1[Beginn]"),"&lt;="&amp;Q$1,INDIRECT("Table1[Ende]"),"&gt;="&amp;Q$1,INDIRECT("Table1[Obergruppe ATC-Code]"),Tabelle3!$A75)</f>
        <v>2</v>
      </c>
      <c r="R75">
        <f ca="1">COUNTIFS(INDIRECT("Table1[Beginn]"),"&lt;="&amp;R$1,INDIRECT("Table1[Ende]"),"&gt;="&amp;R$1,INDIRECT("Table1[Obergruppe ATC-Code]"),Tabelle3!$A75)</f>
        <v>2</v>
      </c>
      <c r="S75">
        <f ca="1">COUNTIFS(INDIRECT("Table1[Beginn]"),"&lt;="&amp;S$1,INDIRECT("Table1[Ende]"),"&gt;="&amp;S$1,INDIRECT("Table1[Obergruppe ATC-Code]"),Tabelle3!$A75)</f>
        <v>2</v>
      </c>
      <c r="T75">
        <f ca="1">COUNTIFS(INDIRECT("Table1[Beginn]"),"&lt;="&amp;T$1,INDIRECT("Table1[Ende]"),"&gt;="&amp;T$1,INDIRECT("Table1[Obergruppe ATC-Code]"),Tabelle3!$A75)</f>
        <v>1</v>
      </c>
      <c r="U75">
        <f ca="1">COUNTIFS(INDIRECT("Table1[Beginn]"),"&lt;="&amp;U$1,INDIRECT("Table1[Ende]"),"&gt;="&amp;U$1,INDIRECT("Table1[Obergruppe ATC-Code]"),Tabelle3!$A75)</f>
        <v>1</v>
      </c>
      <c r="V75">
        <f ca="1">COUNTIFS(INDIRECT("Table1[Beginn]"),"&lt;="&amp;V$1,INDIRECT("Table1[Ende]"),"&gt;="&amp;V$1,INDIRECT("Table1[Obergruppe ATC-Code]"),Tabelle3!$A75)</f>
        <v>1</v>
      </c>
      <c r="W75">
        <f ca="1">COUNTIFS(INDIRECT("Table1[Beginn]"),"&lt;="&amp;W$1,INDIRECT("Table1[Ende]"),"&gt;="&amp;W$1,INDIRECT("Table1[Obergruppe ATC-Code]"),Tabelle3!$A75)</f>
        <v>1</v>
      </c>
      <c r="X75">
        <f ca="1">COUNTIFS(INDIRECT("Table1[Beginn]"),"&lt;="&amp;X$1,INDIRECT("Table1[Ende]"),"&gt;="&amp;X$1,INDIRECT("Table1[Obergruppe ATC-Code]"),Tabelle3!$A75)</f>
        <v>0</v>
      </c>
      <c r="Y75">
        <f ca="1">COUNTIFS(INDIRECT("Table1[Beginn]"),"&lt;="&amp;Y$1,INDIRECT("Table1[Ende]"),"&gt;="&amp;Y$1,INDIRECT("Table1[Obergruppe ATC-Code]"),Tabelle3!$A75)</f>
        <v>0</v>
      </c>
      <c r="Z75">
        <f ca="1">COUNTIFS(INDIRECT("Table1[Beginn]"),"&lt;="&amp;Z$1,INDIRECT("Table1[Ende]"),"&gt;="&amp;Z$1,INDIRECT("Table1[Obergruppe ATC-Code]"),Tabelle3!$A75)</f>
        <v>0</v>
      </c>
      <c r="AA75">
        <f ca="1">COUNTIFS(INDIRECT("Table1[Beginn]"),"&lt;="&amp;AA$1,INDIRECT("Table1[Ende]"),"&gt;="&amp;AA$1,INDIRECT("Table1[Obergruppe ATC-Code]"),Tabelle3!$A75)</f>
        <v>0</v>
      </c>
      <c r="AB75">
        <f ca="1">COUNTIFS(INDIRECT("Table1[Beginn]"),"&lt;="&amp;AB$1,INDIRECT("Table1[Ende]"),"&gt;="&amp;AB$1,INDIRECT("Table1[Obergruppe ATC-Code]"),Tabelle3!$A75)</f>
        <v>0</v>
      </c>
      <c r="AC75">
        <f ca="1">COUNTIFS(INDIRECT("Table1[Beginn]"),"&lt;="&amp;AC$1,INDIRECT("Table1[Ende]"),"&gt;="&amp;AC$1,INDIRECT("Table1[Obergruppe ATC-Code]"),Tabelle3!$A75)</f>
        <v>0</v>
      </c>
      <c r="AD75">
        <f ca="1">COUNTIFS(INDIRECT("Table1[Beginn]"),"&lt;="&amp;AD$1,INDIRECT("Table1[Ende]"),"&gt;="&amp;AD$1,INDIRECT("Table1[Obergruppe ATC-Code]"),Tabelle3!$A75)</f>
        <v>0</v>
      </c>
      <c r="AE75">
        <f ca="1">COUNTIFS(INDIRECT("Table1[Beginn]"),"&lt;="&amp;AE$1,INDIRECT("Table1[Ende]"),"&gt;="&amp;AE$1,INDIRECT("Table1[Obergruppe ATC-Code]"),Tabelle3!$A75)</f>
        <v>0</v>
      </c>
      <c r="AF75">
        <f ca="1">COUNTIFS(INDIRECT("Table1[Beginn]"),"&lt;="&amp;AF$1,INDIRECT("Table1[Ende]"),"&gt;="&amp;AF$1,INDIRECT("Table1[Obergruppe ATC-Code]"),Tabelle3!$A75)</f>
        <v>0</v>
      </c>
      <c r="AG75">
        <f ca="1">COUNTIFS(INDIRECT("Table1[Beginn]"),"&lt;="&amp;AG$1,INDIRECT("Table1[Ende]"),"&gt;="&amp;AG$1,INDIRECT("Table1[Obergruppe ATC-Code]"),Tabelle3!$A75)</f>
        <v>0</v>
      </c>
      <c r="AH75">
        <f ca="1">COUNTIFS(INDIRECT("Table1[Beginn]"),"&lt;="&amp;AH$1,INDIRECT("Table1[Ende]"),"&gt;="&amp;AH$1,INDIRECT("Table1[Obergruppe ATC-Code]"),Tabelle3!$A75)</f>
        <v>1</v>
      </c>
      <c r="AI75">
        <f ca="1">COUNTIFS(INDIRECT("Table1[Beginn]"),"&lt;="&amp;AI$1,INDIRECT("Table1[Ende]"),"&gt;="&amp;AI$1,INDIRECT("Table1[Obergruppe ATC-Code]"),Tabelle3!$A75)</f>
        <v>1</v>
      </c>
      <c r="AJ75">
        <f ca="1">COUNTIFS(INDIRECT("Table1[Beginn]"),"&lt;="&amp;AJ$1,INDIRECT("Table1[Ende]"),"&gt;="&amp;AJ$1,INDIRECT("Table1[Obergruppe ATC-Code]"),Tabelle3!$A75)</f>
        <v>1</v>
      </c>
      <c r="AK75">
        <f ca="1">COUNTIFS(INDIRECT("Table1[Beginn]"),"&lt;="&amp;AK$1,INDIRECT("Table1[Ende]"),"&gt;="&amp;AK$1,INDIRECT("Table1[Obergruppe ATC-Code]"),Tabelle3!$A75)</f>
        <v>2</v>
      </c>
      <c r="AL75">
        <f ca="1">COUNTIFS(INDIRECT("Table1[Beginn]"),"&lt;="&amp;AL$1,INDIRECT("Table1[Ende]"),"&gt;="&amp;AL$1,INDIRECT("Table1[Obergruppe ATC-Code]"),Tabelle3!$A75)</f>
        <v>3</v>
      </c>
      <c r="AM75">
        <f ca="1">COUNTIFS(INDIRECT("Table1[Beginn]"),"&lt;="&amp;AM$1,INDIRECT("Table1[Ende]"),"&gt;="&amp;AM$1,INDIRECT("Table1[Obergruppe ATC-Code]"),Tabelle3!$A75)</f>
        <v>3</v>
      </c>
      <c r="AN75">
        <f ca="1">COUNTIFS(INDIRECT("Table1[Beginn]"),"&lt;="&amp;AN$1,INDIRECT("Table1[Ende]"),"&gt;="&amp;AN$1,INDIRECT("Table1[Obergruppe ATC-Code]"),Tabelle3!$A75)</f>
        <v>1</v>
      </c>
      <c r="AO75">
        <f ca="1">COUNTIFS(INDIRECT("Table1[Beginn]"),"&lt;="&amp;AO$1,INDIRECT("Table1[Ende]"),"&gt;="&amp;AO$1,INDIRECT("Table1[Obergruppe ATC-Code]"),Tabelle3!$A75)</f>
        <v>1</v>
      </c>
      <c r="AP75">
        <f ca="1">COUNTIFS(INDIRECT("Table1[Beginn]"),"&lt;="&amp;AP$1,INDIRECT("Table1[Ende]"),"&gt;="&amp;AP$1,INDIRECT("Table1[Obergruppe ATC-Code]"),Tabelle3!$A75)</f>
        <v>1</v>
      </c>
      <c r="AQ75">
        <f ca="1">COUNTIFS(INDIRECT("Table1[Beginn]"),"&lt;="&amp;AQ$1,INDIRECT("Table1[Ende]"),"&gt;="&amp;AQ$1,INDIRECT("Table1[Obergruppe ATC-Code]"),Tabelle3!$A75)</f>
        <v>1</v>
      </c>
      <c r="AR75">
        <f ca="1">COUNTIFS(INDIRECT("Table1[Beginn]"),"&lt;="&amp;AR$1,INDIRECT("Table1[Ende]"),"&gt;="&amp;AR$1,INDIRECT("Table1[Obergruppe ATC-Code]"),Tabelle3!$A75)</f>
        <v>1</v>
      </c>
      <c r="AS75">
        <f ca="1">COUNTIFS(INDIRECT("Table1[Beginn]"),"&lt;="&amp;AS$1,INDIRECT("Table1[Ende]"),"&gt;="&amp;AS$1,INDIRECT("Table1[Obergruppe ATC-Code]"),Tabelle3!$A75)</f>
        <v>1</v>
      </c>
      <c r="AT75">
        <f ca="1">COUNTIFS(INDIRECT("Table1[Beginn]"),"&lt;="&amp;AT$1,INDIRECT("Table1[Ende]"),"&gt;="&amp;AT$1,INDIRECT("Table1[Obergruppe ATC-Code]"),Tabelle3!$A75)</f>
        <v>1</v>
      </c>
      <c r="AU75">
        <f ca="1">COUNTIFS(INDIRECT("Table1[Beginn]"),"&lt;="&amp;AU$1,INDIRECT("Table1[Ende]"),"&gt;="&amp;AU$1,INDIRECT("Table1[Obergruppe ATC-Code]"),Tabelle3!$A75)</f>
        <v>1</v>
      </c>
      <c r="AV75">
        <f ca="1">COUNTIFS(INDIRECT("Table1[Beginn]"),"&lt;="&amp;AV$1,INDIRECT("Table1[Ende]"),"&gt;="&amp;AV$1,INDIRECT("Table1[Obergruppe ATC-Code]"),Tabelle3!$A75)</f>
        <v>3</v>
      </c>
      <c r="AW75">
        <f ca="1">COUNTIFS(INDIRECT("Table1[Beginn]"),"&lt;="&amp;AW$1,INDIRECT("Table1[Ende]"),"&gt;="&amp;AW$1,INDIRECT("Table1[Obergruppe ATC-Code]"),Tabelle3!$A75)</f>
        <v>3</v>
      </c>
      <c r="AX75">
        <f ca="1">COUNTIFS(INDIRECT("Table1[Beginn]"),"&lt;="&amp;AX$1,INDIRECT("Table1[Ende]"),"&gt;="&amp;AX$1,INDIRECT("Table1[Obergruppe ATC-Code]"),Tabelle3!$A75)</f>
        <v>3</v>
      </c>
      <c r="AY75">
        <f ca="1">COUNTIFS(INDIRECT("Table1[Beginn]"),"&lt;="&amp;AY$1,INDIRECT("Table1[Ende]"),"&gt;="&amp;AY$1,INDIRECT("Table1[Obergruppe ATC-Code]"),Tabelle3!$A75)</f>
        <v>3</v>
      </c>
      <c r="AZ75">
        <f ca="1">COUNTIFS(INDIRECT("Table1[Beginn]"),"&lt;="&amp;AZ$1,INDIRECT("Table1[Ende]"),"&gt;="&amp;AZ$1,INDIRECT("Table1[Obergruppe ATC-Code]"),Tabelle3!$A75)</f>
        <v>0</v>
      </c>
      <c r="BA75">
        <f ca="1">COUNTIFS(INDIRECT("Table1[Beginn]"),"&lt;="&amp;BA$1,INDIRECT("Table1[Ende]"),"&gt;="&amp;BA$1,INDIRECT("Table1[Obergruppe ATC-Code]"),Tabelle3!$A75)</f>
        <v>0</v>
      </c>
      <c r="BB75">
        <f ca="1">COUNTIFS(INDIRECT("Table1[Beginn]"),"&lt;="&amp;BB$1,INDIRECT("Table1[Ende]"),"&gt;="&amp;BB$1,INDIRECT("Table1[Obergruppe ATC-Code]"),Tabelle3!$A75)</f>
        <v>0</v>
      </c>
      <c r="BC75">
        <f ca="1">COUNTIFS(INDIRECT("Table1[Beginn]"),"&lt;="&amp;BC$1,INDIRECT("Table1[Ende]"),"&gt;="&amp;BC$1,INDIRECT("Table1[Obergruppe ATC-Code]"),Tabelle3!$A75)</f>
        <v>0</v>
      </c>
      <c r="BD75">
        <f ca="1">COUNTIFS(INDIRECT("Table1[Beginn]"),"&lt;="&amp;BD$1,INDIRECT("Table1[Ende]"),"&gt;="&amp;BD$1,INDIRECT("Table1[Obergruppe ATC-Code]"),Tabelle3!$A75)</f>
        <v>0</v>
      </c>
      <c r="BE75">
        <f ca="1">COUNTIFS(INDIRECT("Table1[Beginn]"),"&lt;="&amp;BE$1,INDIRECT("Table1[Ende]"),"&gt;="&amp;BE$1,INDIRECT("Table1[Obergruppe ATC-Code]"),Tabelle3!$A75)</f>
        <v>0</v>
      </c>
      <c r="BF75">
        <f ca="1">COUNTIFS(INDIRECT("Table1[Beginn]"),"&lt;="&amp;BF$1,INDIRECT("Table1[Ende]"),"&gt;="&amp;BF$1,INDIRECT("Table1[Obergruppe ATC-Code]"),Tabelle3!$A75)</f>
        <v>0</v>
      </c>
      <c r="BG75">
        <f ca="1">COUNTIFS(INDIRECT("Table1[Beginn]"),"&lt;="&amp;BG$1,INDIRECT("Table1[Ende]"),"&gt;="&amp;BG$1,INDIRECT("Table1[Obergruppe ATC-Code]"),Tabelle3!$A75)</f>
        <v>0</v>
      </c>
      <c r="BH75">
        <f ca="1">COUNTIFS(INDIRECT("Table1[Beginn]"),"&lt;="&amp;BH$1,INDIRECT("Table1[Ende]"),"&gt;="&amp;BH$1,INDIRECT("Table1[Obergruppe ATC-Code]"),Tabelle3!$A75)</f>
        <v>0</v>
      </c>
      <c r="BI75">
        <f ca="1">COUNTIFS(INDIRECT("Table1[Beginn]"),"&lt;="&amp;BI$1,INDIRECT("Table1[Ende]"),"&gt;="&amp;BI$1,INDIRECT("Table1[Obergruppe ATC-Code]"),Tabelle3!$A75)</f>
        <v>0</v>
      </c>
      <c r="BJ75">
        <f ca="1">COUNTIFS(INDIRECT("Table1[Beginn]"),"&lt;="&amp;BJ$1,INDIRECT("Table1[Ende]"),"&gt;="&amp;BJ$1,INDIRECT("Table1[Obergruppe ATC-Code]"),Tabelle3!$A75)</f>
        <v>3</v>
      </c>
      <c r="BK75">
        <f ca="1">COUNTIFS(INDIRECT("Table1[Beginn]"),"&lt;="&amp;BK$1,INDIRECT("Table1[Ende]"),"&gt;="&amp;BK$1,INDIRECT("Table1[Obergruppe ATC-Code]"),Tabelle3!$A75)</f>
        <v>4</v>
      </c>
      <c r="BL75">
        <f ca="1">COUNTIFS(INDIRECT("Table1[Beginn]"),"&lt;="&amp;BL$1,INDIRECT("Table1[Ende]"),"&gt;="&amp;BL$1,INDIRECT("Table1[Obergruppe ATC-Code]"),Tabelle3!$A75)</f>
        <v>3</v>
      </c>
      <c r="BM75">
        <f ca="1">COUNTIFS(INDIRECT("Table1[Beginn]"),"&lt;="&amp;BM$1,INDIRECT("Table1[Ende]"),"&gt;="&amp;BM$1,INDIRECT("Table1[Obergruppe ATC-Code]"),Tabelle3!$A75)</f>
        <v>4</v>
      </c>
      <c r="BN75">
        <f ca="1">COUNTIFS(INDIRECT("Table1[Beginn]"),"&lt;="&amp;BN$1,INDIRECT("Table1[Ende]"),"&gt;="&amp;BN$1,INDIRECT("Table1[Obergruppe ATC-Code]"),Tabelle3!$A75)</f>
        <v>3</v>
      </c>
      <c r="BO75">
        <f ca="1">COUNTIFS(INDIRECT("Table1[Beginn]"),"&lt;="&amp;BO$1,INDIRECT("Table1[Ende]"),"&gt;="&amp;BO$1,INDIRECT("Table1[Obergruppe ATC-Code]"),Tabelle3!$A75)</f>
        <v>3</v>
      </c>
      <c r="BP75">
        <f ca="1">COUNTIFS(INDIRECT("Table1[Beginn]"),"&lt;="&amp;BP$1,INDIRECT("Table1[Ende]"),"&gt;="&amp;BP$1,INDIRECT("Table1[Obergruppe ATC-Code]"),Tabelle3!$A75)</f>
        <v>4</v>
      </c>
      <c r="BQ75">
        <f ca="1">COUNTIFS(INDIRECT("Table1[Beginn]"),"&lt;="&amp;BQ$1,INDIRECT("Table1[Ende]"),"&gt;="&amp;BQ$1,INDIRECT("Table1[Obergruppe ATC-Code]"),Tabelle3!$A75)</f>
        <v>3</v>
      </c>
      <c r="BR75">
        <f ca="1">COUNTIFS(INDIRECT("Table1[Beginn]"),"&lt;="&amp;BR$1,INDIRECT("Table1[Ende]"),"&gt;="&amp;BR$1,INDIRECT("Table1[Obergruppe ATC-Code]"),Tabelle3!$A75)</f>
        <v>4</v>
      </c>
      <c r="BS75">
        <f ca="1">COUNTIFS(INDIRECT("Table1[Beginn]"),"&lt;="&amp;BS$1,INDIRECT("Table1[Ende]"),"&gt;="&amp;BS$1,INDIRECT("Table1[Obergruppe ATC-Code]"),Tabelle3!$A75)</f>
        <v>4</v>
      </c>
      <c r="BT75">
        <f ca="1">COUNTIFS(INDIRECT("Table1[Beginn]"),"&lt;="&amp;BT$1,INDIRECT("Table1[Ende]"),"&gt;="&amp;BT$1,INDIRECT("Table1[Obergruppe ATC-Code]"),Tabelle3!$A75)</f>
        <v>5</v>
      </c>
      <c r="BU75">
        <f ca="1">COUNTIFS(INDIRECT("Table1[Beginn]"),"&lt;="&amp;BU$1,INDIRECT("Table1[Ende]"),"&gt;="&amp;BU$1,INDIRECT("Table1[Obergruppe ATC-Code]"),Tabelle3!$A75)</f>
        <v>6</v>
      </c>
      <c r="BV75">
        <f ca="1">COUNTIFS(INDIRECT("Table1[Beginn]"),"&lt;="&amp;BV$1,INDIRECT("Table1[Ende]"),"&gt;="&amp;BV$1,INDIRECT("Table1[Obergruppe ATC-Code]"),Tabelle3!$A75)</f>
        <v>7</v>
      </c>
      <c r="BW75">
        <f ca="1">COUNTIFS(INDIRECT("Table1[Beginn]"),"&lt;="&amp;BW$1,INDIRECT("Table1[Ende]"),"&gt;="&amp;BW$1,INDIRECT("Table1[Obergruppe ATC-Code]"),Tabelle3!$A75)</f>
        <v>7</v>
      </c>
      <c r="BX75">
        <f ca="1">COUNTIFS(INDIRECT("Table1[Beginn]"),"&lt;="&amp;BX$1,INDIRECT("Table1[Ende]"),"&gt;="&amp;BX$1,INDIRECT("Table1[Obergruppe ATC-Code]"),Tabelle3!$A75)</f>
        <v>7</v>
      </c>
      <c r="BY75">
        <f ca="1">COUNTIFS(INDIRECT("Table1[Beginn]"),"&lt;="&amp;BY$1,INDIRECT("Table1[Ende]"),"&gt;="&amp;BY$1,INDIRECT("Table1[Obergruppe ATC-Code]"),Tabelle3!$A75)</f>
        <v>8</v>
      </c>
      <c r="BZ75">
        <f ca="1">COUNTIFS(INDIRECT("Table1[Beginn]"),"&lt;="&amp;BZ$1,INDIRECT("Table1[Ende]"),"&gt;="&amp;BZ$1,INDIRECT("Table1[Obergruppe ATC-Code]"),Tabelle3!$A75)</f>
        <v>9</v>
      </c>
      <c r="CA75">
        <f ca="1">COUNTIFS(INDIRECT("Table1[Beginn]"),"&lt;="&amp;CA$1,INDIRECT("Table1[Ende]"),"&gt;="&amp;CA$1,INDIRECT("Table1[Obergruppe ATC-Code]"),Tabelle3!$A75)</f>
        <v>8</v>
      </c>
      <c r="CB75">
        <f ca="1">COUNTIFS(INDIRECT("Table1[Beginn]"),"&lt;="&amp;CB$1,INDIRECT("Table1[Ende]"),"&gt;="&amp;CB$1,INDIRECT("Table1[Obergruppe ATC-Code]"),Tabelle3!$A75)</f>
        <v>9</v>
      </c>
      <c r="CC75">
        <f ca="1">COUNTIFS(INDIRECT("Table1[Beginn]"),"&lt;="&amp;CC$1,INDIRECT("Table1[Ende]"),"&gt;="&amp;CC$1,INDIRECT("Table1[Obergruppe ATC-Code]"),Tabelle3!$A75)</f>
        <v>7</v>
      </c>
      <c r="CD75">
        <f ca="1">COUNTIFS(INDIRECT("Table1[Beginn]"),"&lt;="&amp;CD$1,INDIRECT("Table1[Ende]"),"&gt;="&amp;CD$1,INDIRECT("Table1[Obergruppe ATC-Code]"),Tabelle3!$A75)</f>
        <v>6</v>
      </c>
      <c r="CE75">
        <f ca="1">COUNTIFS(INDIRECT("Table1[Beginn]"),"&lt;="&amp;CE$1,INDIRECT("Table1[Ende]"),"&gt;="&amp;CE$1,INDIRECT("Table1[Obergruppe ATC-Code]"),Tabelle3!$A75)</f>
        <v>6</v>
      </c>
      <c r="CF75">
        <f ca="1">COUNTIFS(INDIRECT("Table1[Beginn]"),"&lt;="&amp;CF$1,INDIRECT("Table1[Ende]"),"&gt;="&amp;CF$1,INDIRECT("Table1[Obergruppe ATC-Code]"),Tabelle3!$A75)</f>
        <v>5</v>
      </c>
      <c r="CG75">
        <f ca="1">COUNTIFS(INDIRECT("Table1[Beginn]"),"&lt;="&amp;CG$1,INDIRECT("Table1[Ende]"),"&gt;="&amp;CG$1,INDIRECT("Table1[Obergruppe ATC-Code]"),Tabelle3!$A75)</f>
        <v>1</v>
      </c>
      <c r="CH75">
        <f ca="1">COUNTIFS(INDIRECT("Table1[Beginn]"),"&lt;="&amp;CH$1,INDIRECT("Table1[Ende]"),"&gt;="&amp;CH$1,INDIRECT("Table1[Obergruppe ATC-Code]"),Tabelle3!$A75)</f>
        <v>1</v>
      </c>
      <c r="CI75">
        <f ca="1">COUNTIFS(INDIRECT("Table1[Beginn]"),"&lt;="&amp;CI$1,INDIRECT("Table1[Ende]"),"&gt;="&amp;CI$1,INDIRECT("Table1[Obergruppe ATC-Code]"),Tabelle3!$A75)</f>
        <v>0</v>
      </c>
      <c r="CJ75">
        <f ca="1">COUNTIFS(INDIRECT("Table1[Beginn]"),"&lt;="&amp;CJ$1,INDIRECT("Table1[Ende]"),"&gt;="&amp;CJ$1,INDIRECT("Table1[Obergruppe ATC-Code]"),Tabelle3!$A75)</f>
        <v>0</v>
      </c>
      <c r="CK75">
        <f ca="1">COUNTIFS(INDIRECT("Table1[Beginn]"),"&lt;="&amp;CK$1,INDIRECT("Table1[Ende]"),"&gt;="&amp;CK$1,INDIRECT("Table1[Obergruppe ATC-Code]"),Tabelle3!$A75)</f>
        <v>0</v>
      </c>
      <c r="CL75">
        <f ca="1">COUNTIFS(INDIRECT("Table1[Beginn]"),"&lt;="&amp;CL$1,INDIRECT("Table1[Ende]"),"&gt;="&amp;CL$1,INDIRECT("Table1[Obergruppe ATC-Code]"),Tabelle3!$A75)</f>
        <v>0</v>
      </c>
      <c r="CM75">
        <f ca="1">COUNTIFS(INDIRECT("Table1[Beginn]"),"&lt;="&amp;CM$1,INDIRECT("Table1[Ende]"),"&gt;="&amp;CM$1,INDIRECT("Table1[Obergruppe ATC-Code]"),Tabelle3!$A75)</f>
        <v>0</v>
      </c>
      <c r="CN75">
        <f ca="1">COUNTIFS(INDIRECT("Table1[Beginn]"),"&lt;="&amp;CN$1,INDIRECT("Table1[Ende]"),"&gt;="&amp;CN$1,INDIRECT("Table1[Obergruppe ATC-Code]"),Tabelle3!$A75)</f>
        <v>0</v>
      </c>
      <c r="CO75">
        <f ca="1">COUNTIFS(INDIRECT("Table1[Beginn]"),"&lt;="&amp;CO$1,INDIRECT("Table1[Ende]"),"&gt;="&amp;CO$1,INDIRECT("Table1[Obergruppe ATC-Code]"),Tabelle3!$A75)</f>
        <v>0</v>
      </c>
      <c r="CP75">
        <f ca="1">COUNTIFS(INDIRECT("Table1[Beginn]"),"&lt;="&amp;CP$1,INDIRECT("Table1[Ende]"),"&gt;="&amp;CP$1,INDIRECT("Table1[Obergruppe ATC-Code]"),Tabelle3!$A75)</f>
        <v>0</v>
      </c>
      <c r="CQ75">
        <f ca="1">COUNTIFS(INDIRECT("Table1[Beginn]"),"&lt;="&amp;CQ$1,INDIRECT("Table1[Ende]"),"&gt;="&amp;CQ$1,INDIRECT("Table1[Obergruppe ATC-Code]"),Tabelle3!$A75)</f>
        <v>0</v>
      </c>
      <c r="CR75">
        <f ca="1">COUNTIFS(INDIRECT("Table1[Beginn]"),"&lt;="&amp;CR$1,INDIRECT("Table1[Ende]"),"&gt;="&amp;CR$1,INDIRECT("Table1[Obergruppe ATC-Code]"),Tabelle3!$A75)</f>
        <v>0</v>
      </c>
    </row>
    <row r="76" spans="1:96" ht="18">
      <c r="A76" s="7" t="s">
        <v>6920</v>
      </c>
      <c r="B76" s="8" t="s">
        <v>6921</v>
      </c>
      <c r="C76">
        <f ca="1">COUNTIFS(INDIRECT("Table1[Beginn]"),"&lt;="&amp;C$1,INDIRECT("Table1[Ende]"),"&gt;="&amp;C$1,INDIRECT("Table1[Obergruppe ATC-Code]"),Tabelle3!$A76)</f>
        <v>0</v>
      </c>
      <c r="D76">
        <f ca="1">COUNTIFS(INDIRECT("Table1[Beginn]"),"&lt;="&amp;D$1,INDIRECT("Table1[Ende]"),"&gt;="&amp;D$1,INDIRECT("Table1[Obergruppe ATC-Code]"),Tabelle3!$A76)</f>
        <v>0</v>
      </c>
      <c r="E76">
        <f ca="1">COUNTIFS(INDIRECT("Table1[Beginn]"),"&lt;="&amp;E$1,INDIRECT("Table1[Ende]"),"&gt;="&amp;E$1,INDIRECT("Table1[Obergruppe ATC-Code]"),Tabelle3!$A76)</f>
        <v>0</v>
      </c>
      <c r="F76">
        <f ca="1">COUNTIFS(INDIRECT("Table1[Beginn]"),"&lt;="&amp;F$1,INDIRECT("Table1[Ende]"),"&gt;="&amp;F$1,INDIRECT("Table1[Obergruppe ATC-Code]"),Tabelle3!$A76)</f>
        <v>0</v>
      </c>
      <c r="G76">
        <f ca="1">COUNTIFS(INDIRECT("Table1[Beginn]"),"&lt;="&amp;G$1,INDIRECT("Table1[Ende]"),"&gt;="&amp;G$1,INDIRECT("Table1[Obergruppe ATC-Code]"),Tabelle3!$A76)</f>
        <v>0</v>
      </c>
      <c r="H76">
        <f ca="1">COUNTIFS(INDIRECT("Table1[Beginn]"),"&lt;="&amp;H$1,INDIRECT("Table1[Ende]"),"&gt;="&amp;H$1,INDIRECT("Table1[Obergruppe ATC-Code]"),Tabelle3!$A76)</f>
        <v>0</v>
      </c>
      <c r="I76">
        <f ca="1">COUNTIFS(INDIRECT("Table1[Beginn]"),"&lt;="&amp;I$1,INDIRECT("Table1[Ende]"),"&gt;="&amp;I$1,INDIRECT("Table1[Obergruppe ATC-Code]"),Tabelle3!$A76)</f>
        <v>0</v>
      </c>
      <c r="J76">
        <f ca="1">COUNTIFS(INDIRECT("Table1[Beginn]"),"&lt;="&amp;J$1,INDIRECT("Table1[Ende]"),"&gt;="&amp;J$1,INDIRECT("Table1[Obergruppe ATC-Code]"),Tabelle3!$A76)</f>
        <v>0</v>
      </c>
      <c r="K76">
        <f ca="1">COUNTIFS(INDIRECT("Table1[Beginn]"),"&lt;="&amp;K$1,INDIRECT("Table1[Ende]"),"&gt;="&amp;K$1,INDIRECT("Table1[Obergruppe ATC-Code]"),Tabelle3!$A76)</f>
        <v>0</v>
      </c>
      <c r="L76">
        <f ca="1">COUNTIFS(INDIRECT("Table1[Beginn]"),"&lt;="&amp;L$1,INDIRECT("Table1[Ende]"),"&gt;="&amp;L$1,INDIRECT("Table1[Obergruppe ATC-Code]"),Tabelle3!$A76)</f>
        <v>0</v>
      </c>
      <c r="M76">
        <f ca="1">COUNTIFS(INDIRECT("Table1[Beginn]"),"&lt;="&amp;M$1,INDIRECT("Table1[Ende]"),"&gt;="&amp;M$1,INDIRECT("Table1[Obergruppe ATC-Code]"),Tabelle3!$A76)</f>
        <v>0</v>
      </c>
      <c r="N76">
        <f ca="1">COUNTIFS(INDIRECT("Table1[Beginn]"),"&lt;="&amp;N$1,INDIRECT("Table1[Ende]"),"&gt;="&amp;N$1,INDIRECT("Table1[Obergruppe ATC-Code]"),Tabelle3!$A76)</f>
        <v>0</v>
      </c>
      <c r="O76">
        <f ca="1">COUNTIFS(INDIRECT("Table1[Beginn]"),"&lt;="&amp;O$1,INDIRECT("Table1[Ende]"),"&gt;="&amp;O$1,INDIRECT("Table1[Obergruppe ATC-Code]"),Tabelle3!$A76)</f>
        <v>0</v>
      </c>
      <c r="P76">
        <f ca="1">COUNTIFS(INDIRECT("Table1[Beginn]"),"&lt;="&amp;P$1,INDIRECT("Table1[Ende]"),"&gt;="&amp;P$1,INDIRECT("Table1[Obergruppe ATC-Code]"),Tabelle3!$A76)</f>
        <v>0</v>
      </c>
      <c r="Q76">
        <f ca="1">COUNTIFS(INDIRECT("Table1[Beginn]"),"&lt;="&amp;Q$1,INDIRECT("Table1[Ende]"),"&gt;="&amp;Q$1,INDIRECT("Table1[Obergruppe ATC-Code]"),Tabelle3!$A76)</f>
        <v>0</v>
      </c>
      <c r="R76">
        <f ca="1">COUNTIFS(INDIRECT("Table1[Beginn]"),"&lt;="&amp;R$1,INDIRECT("Table1[Ende]"),"&gt;="&amp;R$1,INDIRECT("Table1[Obergruppe ATC-Code]"),Tabelle3!$A76)</f>
        <v>0</v>
      </c>
      <c r="S76">
        <f ca="1">COUNTIFS(INDIRECT("Table1[Beginn]"),"&lt;="&amp;S$1,INDIRECT("Table1[Ende]"),"&gt;="&amp;S$1,INDIRECT("Table1[Obergruppe ATC-Code]"),Tabelle3!$A76)</f>
        <v>0</v>
      </c>
      <c r="T76">
        <f ca="1">COUNTIFS(INDIRECT("Table1[Beginn]"),"&lt;="&amp;T$1,INDIRECT("Table1[Ende]"),"&gt;="&amp;T$1,INDIRECT("Table1[Obergruppe ATC-Code]"),Tabelle3!$A76)</f>
        <v>0</v>
      </c>
      <c r="U76">
        <f ca="1">COUNTIFS(INDIRECT("Table1[Beginn]"),"&lt;="&amp;U$1,INDIRECT("Table1[Ende]"),"&gt;="&amp;U$1,INDIRECT("Table1[Obergruppe ATC-Code]"),Tabelle3!$A76)</f>
        <v>0</v>
      </c>
      <c r="V76">
        <f ca="1">COUNTIFS(INDIRECT("Table1[Beginn]"),"&lt;="&amp;V$1,INDIRECT("Table1[Ende]"),"&gt;="&amp;V$1,INDIRECT("Table1[Obergruppe ATC-Code]"),Tabelle3!$A76)</f>
        <v>0</v>
      </c>
      <c r="W76">
        <f ca="1">COUNTIFS(INDIRECT("Table1[Beginn]"),"&lt;="&amp;W$1,INDIRECT("Table1[Ende]"),"&gt;="&amp;W$1,INDIRECT("Table1[Obergruppe ATC-Code]"),Tabelle3!$A76)</f>
        <v>0</v>
      </c>
      <c r="X76">
        <f ca="1">COUNTIFS(INDIRECT("Table1[Beginn]"),"&lt;="&amp;X$1,INDIRECT("Table1[Ende]"),"&gt;="&amp;X$1,INDIRECT("Table1[Obergruppe ATC-Code]"),Tabelle3!$A76)</f>
        <v>0</v>
      </c>
      <c r="Y76">
        <f ca="1">COUNTIFS(INDIRECT("Table1[Beginn]"),"&lt;="&amp;Y$1,INDIRECT("Table1[Ende]"),"&gt;="&amp;Y$1,INDIRECT("Table1[Obergruppe ATC-Code]"),Tabelle3!$A76)</f>
        <v>0</v>
      </c>
      <c r="Z76">
        <f ca="1">COUNTIFS(INDIRECT("Table1[Beginn]"),"&lt;="&amp;Z$1,INDIRECT("Table1[Ende]"),"&gt;="&amp;Z$1,INDIRECT("Table1[Obergruppe ATC-Code]"),Tabelle3!$A76)</f>
        <v>0</v>
      </c>
      <c r="AA76">
        <f ca="1">COUNTIFS(INDIRECT("Table1[Beginn]"),"&lt;="&amp;AA$1,INDIRECT("Table1[Ende]"),"&gt;="&amp;AA$1,INDIRECT("Table1[Obergruppe ATC-Code]"),Tabelle3!$A76)</f>
        <v>0</v>
      </c>
      <c r="AB76">
        <f ca="1">COUNTIFS(INDIRECT("Table1[Beginn]"),"&lt;="&amp;AB$1,INDIRECT("Table1[Ende]"),"&gt;="&amp;AB$1,INDIRECT("Table1[Obergruppe ATC-Code]"),Tabelle3!$A76)</f>
        <v>0</v>
      </c>
      <c r="AC76">
        <f ca="1">COUNTIFS(INDIRECT("Table1[Beginn]"),"&lt;="&amp;AC$1,INDIRECT("Table1[Ende]"),"&gt;="&amp;AC$1,INDIRECT("Table1[Obergruppe ATC-Code]"),Tabelle3!$A76)</f>
        <v>0</v>
      </c>
      <c r="AD76">
        <f ca="1">COUNTIFS(INDIRECT("Table1[Beginn]"),"&lt;="&amp;AD$1,INDIRECT("Table1[Ende]"),"&gt;="&amp;AD$1,INDIRECT("Table1[Obergruppe ATC-Code]"),Tabelle3!$A76)</f>
        <v>0</v>
      </c>
      <c r="AE76">
        <f ca="1">COUNTIFS(INDIRECT("Table1[Beginn]"),"&lt;="&amp;AE$1,INDIRECT("Table1[Ende]"),"&gt;="&amp;AE$1,INDIRECT("Table1[Obergruppe ATC-Code]"),Tabelle3!$A76)</f>
        <v>0</v>
      </c>
      <c r="AF76">
        <f ca="1">COUNTIFS(INDIRECT("Table1[Beginn]"),"&lt;="&amp;AF$1,INDIRECT("Table1[Ende]"),"&gt;="&amp;AF$1,INDIRECT("Table1[Obergruppe ATC-Code]"),Tabelle3!$A76)</f>
        <v>0</v>
      </c>
      <c r="AG76">
        <f ca="1">COUNTIFS(INDIRECT("Table1[Beginn]"),"&lt;="&amp;AG$1,INDIRECT("Table1[Ende]"),"&gt;="&amp;AG$1,INDIRECT("Table1[Obergruppe ATC-Code]"),Tabelle3!$A76)</f>
        <v>0</v>
      </c>
      <c r="AH76">
        <f ca="1">COUNTIFS(INDIRECT("Table1[Beginn]"),"&lt;="&amp;AH$1,INDIRECT("Table1[Ende]"),"&gt;="&amp;AH$1,INDIRECT("Table1[Obergruppe ATC-Code]"),Tabelle3!$A76)</f>
        <v>0</v>
      </c>
      <c r="AI76">
        <f ca="1">COUNTIFS(INDIRECT("Table1[Beginn]"),"&lt;="&amp;AI$1,INDIRECT("Table1[Ende]"),"&gt;="&amp;AI$1,INDIRECT("Table1[Obergruppe ATC-Code]"),Tabelle3!$A76)</f>
        <v>0</v>
      </c>
      <c r="AJ76">
        <f ca="1">COUNTIFS(INDIRECT("Table1[Beginn]"),"&lt;="&amp;AJ$1,INDIRECT("Table1[Ende]"),"&gt;="&amp;AJ$1,INDIRECT("Table1[Obergruppe ATC-Code]"),Tabelle3!$A76)</f>
        <v>0</v>
      </c>
      <c r="AK76">
        <f ca="1">COUNTIFS(INDIRECT("Table1[Beginn]"),"&lt;="&amp;AK$1,INDIRECT("Table1[Ende]"),"&gt;="&amp;AK$1,INDIRECT("Table1[Obergruppe ATC-Code]"),Tabelle3!$A76)</f>
        <v>0</v>
      </c>
      <c r="AL76">
        <f ca="1">COUNTIFS(INDIRECT("Table1[Beginn]"),"&lt;="&amp;AL$1,INDIRECT("Table1[Ende]"),"&gt;="&amp;AL$1,INDIRECT("Table1[Obergruppe ATC-Code]"),Tabelle3!$A76)</f>
        <v>0</v>
      </c>
      <c r="AM76">
        <f ca="1">COUNTIFS(INDIRECT("Table1[Beginn]"),"&lt;="&amp;AM$1,INDIRECT("Table1[Ende]"),"&gt;="&amp;AM$1,INDIRECT("Table1[Obergruppe ATC-Code]"),Tabelle3!$A76)</f>
        <v>1</v>
      </c>
      <c r="AN76">
        <f ca="1">COUNTIFS(INDIRECT("Table1[Beginn]"),"&lt;="&amp;AN$1,INDIRECT("Table1[Ende]"),"&gt;="&amp;AN$1,INDIRECT("Table1[Obergruppe ATC-Code]"),Tabelle3!$A76)</f>
        <v>4</v>
      </c>
      <c r="AO76">
        <f ca="1">COUNTIFS(INDIRECT("Table1[Beginn]"),"&lt;="&amp;AO$1,INDIRECT("Table1[Ende]"),"&gt;="&amp;AO$1,INDIRECT("Table1[Obergruppe ATC-Code]"),Tabelle3!$A76)</f>
        <v>3</v>
      </c>
      <c r="AP76">
        <f ca="1">COUNTIFS(INDIRECT("Table1[Beginn]"),"&lt;="&amp;AP$1,INDIRECT("Table1[Ende]"),"&gt;="&amp;AP$1,INDIRECT("Table1[Obergruppe ATC-Code]"),Tabelle3!$A76)</f>
        <v>3</v>
      </c>
      <c r="AQ76">
        <f ca="1">COUNTIFS(INDIRECT("Table1[Beginn]"),"&lt;="&amp;AQ$1,INDIRECT("Table1[Ende]"),"&gt;="&amp;AQ$1,INDIRECT("Table1[Obergruppe ATC-Code]"),Tabelle3!$A76)</f>
        <v>3</v>
      </c>
      <c r="AR76">
        <f ca="1">COUNTIFS(INDIRECT("Table1[Beginn]"),"&lt;="&amp;AR$1,INDIRECT("Table1[Ende]"),"&gt;="&amp;AR$1,INDIRECT("Table1[Obergruppe ATC-Code]"),Tabelle3!$A76)</f>
        <v>3</v>
      </c>
      <c r="AS76">
        <f ca="1">COUNTIFS(INDIRECT("Table1[Beginn]"),"&lt;="&amp;AS$1,INDIRECT("Table1[Ende]"),"&gt;="&amp;AS$1,INDIRECT("Table1[Obergruppe ATC-Code]"),Tabelle3!$A76)</f>
        <v>1</v>
      </c>
      <c r="AT76">
        <f ca="1">COUNTIFS(INDIRECT("Table1[Beginn]"),"&lt;="&amp;AT$1,INDIRECT("Table1[Ende]"),"&gt;="&amp;AT$1,INDIRECT("Table1[Obergruppe ATC-Code]"),Tabelle3!$A76)</f>
        <v>1</v>
      </c>
      <c r="AU76">
        <f ca="1">COUNTIFS(INDIRECT("Table1[Beginn]"),"&lt;="&amp;AU$1,INDIRECT("Table1[Ende]"),"&gt;="&amp;AU$1,INDIRECT("Table1[Obergruppe ATC-Code]"),Tabelle3!$A76)</f>
        <v>1</v>
      </c>
      <c r="AV76">
        <f ca="1">COUNTIFS(INDIRECT("Table1[Beginn]"),"&lt;="&amp;AV$1,INDIRECT("Table1[Ende]"),"&gt;="&amp;AV$1,INDIRECT("Table1[Obergruppe ATC-Code]"),Tabelle3!$A76)</f>
        <v>1</v>
      </c>
      <c r="AW76">
        <f ca="1">COUNTIFS(INDIRECT("Table1[Beginn]"),"&lt;="&amp;AW$1,INDIRECT("Table1[Ende]"),"&gt;="&amp;AW$1,INDIRECT("Table1[Obergruppe ATC-Code]"),Tabelle3!$A76)</f>
        <v>1</v>
      </c>
      <c r="AX76">
        <f ca="1">COUNTIFS(INDIRECT("Table1[Beginn]"),"&lt;="&amp;AX$1,INDIRECT("Table1[Ende]"),"&gt;="&amp;AX$1,INDIRECT("Table1[Obergruppe ATC-Code]"),Tabelle3!$A76)</f>
        <v>1</v>
      </c>
      <c r="AY76">
        <f ca="1">COUNTIFS(INDIRECT("Table1[Beginn]"),"&lt;="&amp;AY$1,INDIRECT("Table1[Ende]"),"&gt;="&amp;AY$1,INDIRECT("Table1[Obergruppe ATC-Code]"),Tabelle3!$A76)</f>
        <v>1</v>
      </c>
      <c r="AZ76">
        <f ca="1">COUNTIFS(INDIRECT("Table1[Beginn]"),"&lt;="&amp;AZ$1,INDIRECT("Table1[Ende]"),"&gt;="&amp;AZ$1,INDIRECT("Table1[Obergruppe ATC-Code]"),Tabelle3!$A76)</f>
        <v>1</v>
      </c>
      <c r="BA76">
        <f ca="1">COUNTIFS(INDIRECT("Table1[Beginn]"),"&lt;="&amp;BA$1,INDIRECT("Table1[Ende]"),"&gt;="&amp;BA$1,INDIRECT("Table1[Obergruppe ATC-Code]"),Tabelle3!$A76)</f>
        <v>1</v>
      </c>
      <c r="BB76">
        <f ca="1">COUNTIFS(INDIRECT("Table1[Beginn]"),"&lt;="&amp;BB$1,INDIRECT("Table1[Ende]"),"&gt;="&amp;BB$1,INDIRECT("Table1[Obergruppe ATC-Code]"),Tabelle3!$A76)</f>
        <v>1</v>
      </c>
      <c r="BC76">
        <f ca="1">COUNTIFS(INDIRECT("Table1[Beginn]"),"&lt;="&amp;BC$1,INDIRECT("Table1[Ende]"),"&gt;="&amp;BC$1,INDIRECT("Table1[Obergruppe ATC-Code]"),Tabelle3!$A76)</f>
        <v>1</v>
      </c>
      <c r="BD76">
        <f ca="1">COUNTIFS(INDIRECT("Table1[Beginn]"),"&lt;="&amp;BD$1,INDIRECT("Table1[Ende]"),"&gt;="&amp;BD$1,INDIRECT("Table1[Obergruppe ATC-Code]"),Tabelle3!$A76)</f>
        <v>0</v>
      </c>
      <c r="BE76">
        <f ca="1">COUNTIFS(INDIRECT("Table1[Beginn]"),"&lt;="&amp;BE$1,INDIRECT("Table1[Ende]"),"&gt;="&amp;BE$1,INDIRECT("Table1[Obergruppe ATC-Code]"),Tabelle3!$A76)</f>
        <v>1</v>
      </c>
      <c r="BF76">
        <f ca="1">COUNTIFS(INDIRECT("Table1[Beginn]"),"&lt;="&amp;BF$1,INDIRECT("Table1[Ende]"),"&gt;="&amp;BF$1,INDIRECT("Table1[Obergruppe ATC-Code]"),Tabelle3!$A76)</f>
        <v>0</v>
      </c>
      <c r="BG76">
        <f ca="1">COUNTIFS(INDIRECT("Table1[Beginn]"),"&lt;="&amp;BG$1,INDIRECT("Table1[Ende]"),"&gt;="&amp;BG$1,INDIRECT("Table1[Obergruppe ATC-Code]"),Tabelle3!$A76)</f>
        <v>0</v>
      </c>
      <c r="BH76">
        <f ca="1">COUNTIFS(INDIRECT("Table1[Beginn]"),"&lt;="&amp;BH$1,INDIRECT("Table1[Ende]"),"&gt;="&amp;BH$1,INDIRECT("Table1[Obergruppe ATC-Code]"),Tabelle3!$A76)</f>
        <v>0</v>
      </c>
      <c r="BI76">
        <f ca="1">COUNTIFS(INDIRECT("Table1[Beginn]"),"&lt;="&amp;BI$1,INDIRECT("Table1[Ende]"),"&gt;="&amp;BI$1,INDIRECT("Table1[Obergruppe ATC-Code]"),Tabelle3!$A76)</f>
        <v>0</v>
      </c>
      <c r="BJ76">
        <f ca="1">COUNTIFS(INDIRECT("Table1[Beginn]"),"&lt;="&amp;BJ$1,INDIRECT("Table1[Ende]"),"&gt;="&amp;BJ$1,INDIRECT("Table1[Obergruppe ATC-Code]"),Tabelle3!$A76)</f>
        <v>0</v>
      </c>
      <c r="BK76">
        <f ca="1">COUNTIFS(INDIRECT("Table1[Beginn]"),"&lt;="&amp;BK$1,INDIRECT("Table1[Ende]"),"&gt;="&amp;BK$1,INDIRECT("Table1[Obergruppe ATC-Code]"),Tabelle3!$A76)</f>
        <v>0</v>
      </c>
      <c r="BL76">
        <f ca="1">COUNTIFS(INDIRECT("Table1[Beginn]"),"&lt;="&amp;BL$1,INDIRECT("Table1[Ende]"),"&gt;="&amp;BL$1,INDIRECT("Table1[Obergruppe ATC-Code]"),Tabelle3!$A76)</f>
        <v>0</v>
      </c>
      <c r="BM76">
        <f ca="1">COUNTIFS(INDIRECT("Table1[Beginn]"),"&lt;="&amp;BM$1,INDIRECT("Table1[Ende]"),"&gt;="&amp;BM$1,INDIRECT("Table1[Obergruppe ATC-Code]"),Tabelle3!$A76)</f>
        <v>1</v>
      </c>
      <c r="BN76">
        <f ca="1">COUNTIFS(INDIRECT("Table1[Beginn]"),"&lt;="&amp;BN$1,INDIRECT("Table1[Ende]"),"&gt;="&amp;BN$1,INDIRECT("Table1[Obergruppe ATC-Code]"),Tabelle3!$A76)</f>
        <v>0</v>
      </c>
      <c r="BO76">
        <f ca="1">COUNTIFS(INDIRECT("Table1[Beginn]"),"&lt;="&amp;BO$1,INDIRECT("Table1[Ende]"),"&gt;="&amp;BO$1,INDIRECT("Table1[Obergruppe ATC-Code]"),Tabelle3!$A76)</f>
        <v>0</v>
      </c>
      <c r="BP76">
        <f ca="1">COUNTIFS(INDIRECT("Table1[Beginn]"),"&lt;="&amp;BP$1,INDIRECT("Table1[Ende]"),"&gt;="&amp;BP$1,INDIRECT("Table1[Obergruppe ATC-Code]"),Tabelle3!$A76)</f>
        <v>0</v>
      </c>
      <c r="BQ76">
        <f ca="1">COUNTIFS(INDIRECT("Table1[Beginn]"),"&lt;="&amp;BQ$1,INDIRECT("Table1[Ende]"),"&gt;="&amp;BQ$1,INDIRECT("Table1[Obergruppe ATC-Code]"),Tabelle3!$A76)</f>
        <v>0</v>
      </c>
      <c r="BR76">
        <f ca="1">COUNTIFS(INDIRECT("Table1[Beginn]"),"&lt;="&amp;BR$1,INDIRECT("Table1[Ende]"),"&gt;="&amp;BR$1,INDIRECT("Table1[Obergruppe ATC-Code]"),Tabelle3!$A76)</f>
        <v>0</v>
      </c>
      <c r="BS76">
        <f ca="1">COUNTIFS(INDIRECT("Table1[Beginn]"),"&lt;="&amp;BS$1,INDIRECT("Table1[Ende]"),"&gt;="&amp;BS$1,INDIRECT("Table1[Obergruppe ATC-Code]"),Tabelle3!$A76)</f>
        <v>0</v>
      </c>
      <c r="BT76">
        <f ca="1">COUNTIFS(INDIRECT("Table1[Beginn]"),"&lt;="&amp;BT$1,INDIRECT("Table1[Ende]"),"&gt;="&amp;BT$1,INDIRECT("Table1[Obergruppe ATC-Code]"),Tabelle3!$A76)</f>
        <v>0</v>
      </c>
      <c r="BU76">
        <f ca="1">COUNTIFS(INDIRECT("Table1[Beginn]"),"&lt;="&amp;BU$1,INDIRECT("Table1[Ende]"),"&gt;="&amp;BU$1,INDIRECT("Table1[Obergruppe ATC-Code]"),Tabelle3!$A76)</f>
        <v>1</v>
      </c>
      <c r="BV76">
        <f ca="1">COUNTIFS(INDIRECT("Table1[Beginn]"),"&lt;="&amp;BV$1,INDIRECT("Table1[Ende]"),"&gt;="&amp;BV$1,INDIRECT("Table1[Obergruppe ATC-Code]"),Tabelle3!$A76)</f>
        <v>1</v>
      </c>
      <c r="BW76">
        <f ca="1">COUNTIFS(INDIRECT("Table1[Beginn]"),"&lt;="&amp;BW$1,INDIRECT("Table1[Ende]"),"&gt;="&amp;BW$1,INDIRECT("Table1[Obergruppe ATC-Code]"),Tabelle3!$A76)</f>
        <v>1</v>
      </c>
      <c r="BX76">
        <f ca="1">COUNTIFS(INDIRECT("Table1[Beginn]"),"&lt;="&amp;BX$1,INDIRECT("Table1[Ende]"),"&gt;="&amp;BX$1,INDIRECT("Table1[Obergruppe ATC-Code]"),Tabelle3!$A76)</f>
        <v>1</v>
      </c>
      <c r="BY76">
        <f ca="1">COUNTIFS(INDIRECT("Table1[Beginn]"),"&lt;="&amp;BY$1,INDIRECT("Table1[Ende]"),"&gt;="&amp;BY$1,INDIRECT("Table1[Obergruppe ATC-Code]"),Tabelle3!$A76)</f>
        <v>1</v>
      </c>
      <c r="BZ76">
        <f ca="1">COUNTIFS(INDIRECT("Table1[Beginn]"),"&lt;="&amp;BZ$1,INDIRECT("Table1[Ende]"),"&gt;="&amp;BZ$1,INDIRECT("Table1[Obergruppe ATC-Code]"),Tabelle3!$A76)</f>
        <v>1</v>
      </c>
      <c r="CA76">
        <f ca="1">COUNTIFS(INDIRECT("Table1[Beginn]"),"&lt;="&amp;CA$1,INDIRECT("Table1[Ende]"),"&gt;="&amp;CA$1,INDIRECT("Table1[Obergruppe ATC-Code]"),Tabelle3!$A76)</f>
        <v>1</v>
      </c>
      <c r="CB76">
        <f ca="1">COUNTIFS(INDIRECT("Table1[Beginn]"),"&lt;="&amp;CB$1,INDIRECT("Table1[Ende]"),"&gt;="&amp;CB$1,INDIRECT("Table1[Obergruppe ATC-Code]"),Tabelle3!$A76)</f>
        <v>1</v>
      </c>
      <c r="CC76">
        <f ca="1">COUNTIFS(INDIRECT("Table1[Beginn]"),"&lt;="&amp;CC$1,INDIRECT("Table1[Ende]"),"&gt;="&amp;CC$1,INDIRECT("Table1[Obergruppe ATC-Code]"),Tabelle3!$A76)</f>
        <v>1</v>
      </c>
      <c r="CD76">
        <f ca="1">COUNTIFS(INDIRECT("Table1[Beginn]"),"&lt;="&amp;CD$1,INDIRECT("Table1[Ende]"),"&gt;="&amp;CD$1,INDIRECT("Table1[Obergruppe ATC-Code]"),Tabelle3!$A76)</f>
        <v>1</v>
      </c>
      <c r="CE76">
        <f ca="1">COUNTIFS(INDIRECT("Table1[Beginn]"),"&lt;="&amp;CE$1,INDIRECT("Table1[Ende]"),"&gt;="&amp;CE$1,INDIRECT("Table1[Obergruppe ATC-Code]"),Tabelle3!$A76)</f>
        <v>1</v>
      </c>
      <c r="CF76">
        <f ca="1">COUNTIFS(INDIRECT("Table1[Beginn]"),"&lt;="&amp;CF$1,INDIRECT("Table1[Ende]"),"&gt;="&amp;CF$1,INDIRECT("Table1[Obergruppe ATC-Code]"),Tabelle3!$A76)</f>
        <v>1</v>
      </c>
      <c r="CG76">
        <f ca="1">COUNTIFS(INDIRECT("Table1[Beginn]"),"&lt;="&amp;CG$1,INDIRECT("Table1[Ende]"),"&gt;="&amp;CG$1,INDIRECT("Table1[Obergruppe ATC-Code]"),Tabelle3!$A76)</f>
        <v>0</v>
      </c>
      <c r="CH76">
        <f ca="1">COUNTIFS(INDIRECT("Table1[Beginn]"),"&lt;="&amp;CH$1,INDIRECT("Table1[Ende]"),"&gt;="&amp;CH$1,INDIRECT("Table1[Obergruppe ATC-Code]"),Tabelle3!$A76)</f>
        <v>0</v>
      </c>
      <c r="CI76">
        <f ca="1">COUNTIFS(INDIRECT("Table1[Beginn]"),"&lt;="&amp;CI$1,INDIRECT("Table1[Ende]"),"&gt;="&amp;CI$1,INDIRECT("Table1[Obergruppe ATC-Code]"),Tabelle3!$A76)</f>
        <v>0</v>
      </c>
      <c r="CJ76">
        <f ca="1">COUNTIFS(INDIRECT("Table1[Beginn]"),"&lt;="&amp;CJ$1,INDIRECT("Table1[Ende]"),"&gt;="&amp;CJ$1,INDIRECT("Table1[Obergruppe ATC-Code]"),Tabelle3!$A76)</f>
        <v>0</v>
      </c>
      <c r="CK76">
        <f ca="1">COUNTIFS(INDIRECT("Table1[Beginn]"),"&lt;="&amp;CK$1,INDIRECT("Table1[Ende]"),"&gt;="&amp;CK$1,INDIRECT("Table1[Obergruppe ATC-Code]"),Tabelle3!$A76)</f>
        <v>0</v>
      </c>
      <c r="CL76">
        <f ca="1">COUNTIFS(INDIRECT("Table1[Beginn]"),"&lt;="&amp;CL$1,INDIRECT("Table1[Ende]"),"&gt;="&amp;CL$1,INDIRECT("Table1[Obergruppe ATC-Code]"),Tabelle3!$A76)</f>
        <v>0</v>
      </c>
      <c r="CM76">
        <f ca="1">COUNTIFS(INDIRECT("Table1[Beginn]"),"&lt;="&amp;CM$1,INDIRECT("Table1[Ende]"),"&gt;="&amp;CM$1,INDIRECT("Table1[Obergruppe ATC-Code]"),Tabelle3!$A76)</f>
        <v>0</v>
      </c>
      <c r="CN76">
        <f ca="1">COUNTIFS(INDIRECT("Table1[Beginn]"),"&lt;="&amp;CN$1,INDIRECT("Table1[Ende]"),"&gt;="&amp;CN$1,INDIRECT("Table1[Obergruppe ATC-Code]"),Tabelle3!$A76)</f>
        <v>0</v>
      </c>
      <c r="CO76">
        <f ca="1">COUNTIFS(INDIRECT("Table1[Beginn]"),"&lt;="&amp;CO$1,INDIRECT("Table1[Ende]"),"&gt;="&amp;CO$1,INDIRECT("Table1[Obergruppe ATC-Code]"),Tabelle3!$A76)</f>
        <v>0</v>
      </c>
      <c r="CP76">
        <f ca="1">COUNTIFS(INDIRECT("Table1[Beginn]"),"&lt;="&amp;CP$1,INDIRECT("Table1[Ende]"),"&gt;="&amp;CP$1,INDIRECT("Table1[Obergruppe ATC-Code]"),Tabelle3!$A76)</f>
        <v>0</v>
      </c>
      <c r="CQ76">
        <f ca="1">COUNTIFS(INDIRECT("Table1[Beginn]"),"&lt;="&amp;CQ$1,INDIRECT("Table1[Ende]"),"&gt;="&amp;CQ$1,INDIRECT("Table1[Obergruppe ATC-Code]"),Tabelle3!$A76)</f>
        <v>0</v>
      </c>
      <c r="CR76">
        <f ca="1">COUNTIFS(INDIRECT("Table1[Beginn]"),"&lt;="&amp;CR$1,INDIRECT("Table1[Ende]"),"&gt;="&amp;CR$1,INDIRECT("Table1[Obergruppe ATC-Code]"),Tabelle3!$A76)</f>
        <v>0</v>
      </c>
    </row>
    <row r="77" spans="1:96" ht="18">
      <c r="A77" s="9" t="s">
        <v>6922</v>
      </c>
      <c r="B77" s="10" t="s">
        <v>6923</v>
      </c>
      <c r="C77">
        <f ca="1">COUNTIFS(INDIRECT("Table1[Beginn]"),"&lt;="&amp;C$1,INDIRECT("Table1[Ende]"),"&gt;="&amp;C$1,INDIRECT("Table1[Obergruppe ATC-Code]"),Tabelle3!$A77)</f>
        <v>0</v>
      </c>
      <c r="D77">
        <f ca="1">COUNTIFS(INDIRECT("Table1[Beginn]"),"&lt;="&amp;D$1,INDIRECT("Table1[Ende]"),"&gt;="&amp;D$1,INDIRECT("Table1[Obergruppe ATC-Code]"),Tabelle3!$A77)</f>
        <v>0</v>
      </c>
      <c r="E77">
        <f ca="1">COUNTIFS(INDIRECT("Table1[Beginn]"),"&lt;="&amp;E$1,INDIRECT("Table1[Ende]"),"&gt;="&amp;E$1,INDIRECT("Table1[Obergruppe ATC-Code]"),Tabelle3!$A77)</f>
        <v>0</v>
      </c>
      <c r="F77">
        <f ca="1">COUNTIFS(INDIRECT("Table1[Beginn]"),"&lt;="&amp;F$1,INDIRECT("Table1[Ende]"),"&gt;="&amp;F$1,INDIRECT("Table1[Obergruppe ATC-Code]"),Tabelle3!$A77)</f>
        <v>0</v>
      </c>
      <c r="G77">
        <f ca="1">COUNTIFS(INDIRECT("Table1[Beginn]"),"&lt;="&amp;G$1,INDIRECT("Table1[Ende]"),"&gt;="&amp;G$1,INDIRECT("Table1[Obergruppe ATC-Code]"),Tabelle3!$A77)</f>
        <v>0</v>
      </c>
      <c r="H77">
        <f ca="1">COUNTIFS(INDIRECT("Table1[Beginn]"),"&lt;="&amp;H$1,INDIRECT("Table1[Ende]"),"&gt;="&amp;H$1,INDIRECT("Table1[Obergruppe ATC-Code]"),Tabelle3!$A77)</f>
        <v>0</v>
      </c>
      <c r="I77">
        <f ca="1">COUNTIFS(INDIRECT("Table1[Beginn]"),"&lt;="&amp;I$1,INDIRECT("Table1[Ende]"),"&gt;="&amp;I$1,INDIRECT("Table1[Obergruppe ATC-Code]"),Tabelle3!$A77)</f>
        <v>0</v>
      </c>
      <c r="J77">
        <f ca="1">COUNTIFS(INDIRECT("Table1[Beginn]"),"&lt;="&amp;J$1,INDIRECT("Table1[Ende]"),"&gt;="&amp;J$1,INDIRECT("Table1[Obergruppe ATC-Code]"),Tabelle3!$A77)</f>
        <v>0</v>
      </c>
      <c r="K77">
        <f ca="1">COUNTIFS(INDIRECT("Table1[Beginn]"),"&lt;="&amp;K$1,INDIRECT("Table1[Ende]"),"&gt;="&amp;K$1,INDIRECT("Table1[Obergruppe ATC-Code]"),Tabelle3!$A77)</f>
        <v>0</v>
      </c>
      <c r="L77">
        <f ca="1">COUNTIFS(INDIRECT("Table1[Beginn]"),"&lt;="&amp;L$1,INDIRECT("Table1[Ende]"),"&gt;="&amp;L$1,INDIRECT("Table1[Obergruppe ATC-Code]"),Tabelle3!$A77)</f>
        <v>0</v>
      </c>
      <c r="M77">
        <f ca="1">COUNTIFS(INDIRECT("Table1[Beginn]"),"&lt;="&amp;M$1,INDIRECT("Table1[Ende]"),"&gt;="&amp;M$1,INDIRECT("Table1[Obergruppe ATC-Code]"),Tabelle3!$A77)</f>
        <v>0</v>
      </c>
      <c r="N77">
        <f ca="1">COUNTIFS(INDIRECT("Table1[Beginn]"),"&lt;="&amp;N$1,INDIRECT("Table1[Ende]"),"&gt;="&amp;N$1,INDIRECT("Table1[Obergruppe ATC-Code]"),Tabelle3!$A77)</f>
        <v>1</v>
      </c>
      <c r="O77">
        <f ca="1">COUNTIFS(INDIRECT("Table1[Beginn]"),"&lt;="&amp;O$1,INDIRECT("Table1[Ende]"),"&gt;="&amp;O$1,INDIRECT("Table1[Obergruppe ATC-Code]"),Tabelle3!$A77)</f>
        <v>2</v>
      </c>
      <c r="P77">
        <f ca="1">COUNTIFS(INDIRECT("Table1[Beginn]"),"&lt;="&amp;P$1,INDIRECT("Table1[Ende]"),"&gt;="&amp;P$1,INDIRECT("Table1[Obergruppe ATC-Code]"),Tabelle3!$A77)</f>
        <v>2</v>
      </c>
      <c r="Q77">
        <f ca="1">COUNTIFS(INDIRECT("Table1[Beginn]"),"&lt;="&amp;Q$1,INDIRECT("Table1[Ende]"),"&gt;="&amp;Q$1,INDIRECT("Table1[Obergruppe ATC-Code]"),Tabelle3!$A77)</f>
        <v>2</v>
      </c>
      <c r="R77">
        <f ca="1">COUNTIFS(INDIRECT("Table1[Beginn]"),"&lt;="&amp;R$1,INDIRECT("Table1[Ende]"),"&gt;="&amp;R$1,INDIRECT("Table1[Obergruppe ATC-Code]"),Tabelle3!$A77)</f>
        <v>2</v>
      </c>
      <c r="S77">
        <f ca="1">COUNTIFS(INDIRECT("Table1[Beginn]"),"&lt;="&amp;S$1,INDIRECT("Table1[Ende]"),"&gt;="&amp;S$1,INDIRECT("Table1[Obergruppe ATC-Code]"),Tabelle3!$A77)</f>
        <v>1</v>
      </c>
      <c r="T77">
        <f ca="1">COUNTIFS(INDIRECT("Table1[Beginn]"),"&lt;="&amp;T$1,INDIRECT("Table1[Ende]"),"&gt;="&amp;T$1,INDIRECT("Table1[Obergruppe ATC-Code]"),Tabelle3!$A77)</f>
        <v>1</v>
      </c>
      <c r="U77">
        <f ca="1">COUNTIFS(INDIRECT("Table1[Beginn]"),"&lt;="&amp;U$1,INDIRECT("Table1[Ende]"),"&gt;="&amp;U$1,INDIRECT("Table1[Obergruppe ATC-Code]"),Tabelle3!$A77)</f>
        <v>1</v>
      </c>
      <c r="V77">
        <f ca="1">COUNTIFS(INDIRECT("Table1[Beginn]"),"&lt;="&amp;V$1,INDIRECT("Table1[Ende]"),"&gt;="&amp;V$1,INDIRECT("Table1[Obergruppe ATC-Code]"),Tabelle3!$A77)</f>
        <v>1</v>
      </c>
      <c r="W77">
        <f ca="1">COUNTIFS(INDIRECT("Table1[Beginn]"),"&lt;="&amp;W$1,INDIRECT("Table1[Ende]"),"&gt;="&amp;W$1,INDIRECT("Table1[Obergruppe ATC-Code]"),Tabelle3!$A77)</f>
        <v>0</v>
      </c>
      <c r="X77">
        <f ca="1">COUNTIFS(INDIRECT("Table1[Beginn]"),"&lt;="&amp;X$1,INDIRECT("Table1[Ende]"),"&gt;="&amp;X$1,INDIRECT("Table1[Obergruppe ATC-Code]"),Tabelle3!$A77)</f>
        <v>0</v>
      </c>
      <c r="Y77">
        <f ca="1">COUNTIFS(INDIRECT("Table1[Beginn]"),"&lt;="&amp;Y$1,INDIRECT("Table1[Ende]"),"&gt;="&amp;Y$1,INDIRECT("Table1[Obergruppe ATC-Code]"),Tabelle3!$A77)</f>
        <v>0</v>
      </c>
      <c r="Z77">
        <f ca="1">COUNTIFS(INDIRECT("Table1[Beginn]"),"&lt;="&amp;Z$1,INDIRECT("Table1[Ende]"),"&gt;="&amp;Z$1,INDIRECT("Table1[Obergruppe ATC-Code]"),Tabelle3!$A77)</f>
        <v>0</v>
      </c>
      <c r="AA77">
        <f ca="1">COUNTIFS(INDIRECT("Table1[Beginn]"),"&lt;="&amp;AA$1,INDIRECT("Table1[Ende]"),"&gt;="&amp;AA$1,INDIRECT("Table1[Obergruppe ATC-Code]"),Tabelle3!$A77)</f>
        <v>0</v>
      </c>
      <c r="AB77">
        <f ca="1">COUNTIFS(INDIRECT("Table1[Beginn]"),"&lt;="&amp;AB$1,INDIRECT("Table1[Ende]"),"&gt;="&amp;AB$1,INDIRECT("Table1[Obergruppe ATC-Code]"),Tabelle3!$A77)</f>
        <v>0</v>
      </c>
      <c r="AC77">
        <f ca="1">COUNTIFS(INDIRECT("Table1[Beginn]"),"&lt;="&amp;AC$1,INDIRECT("Table1[Ende]"),"&gt;="&amp;AC$1,INDIRECT("Table1[Obergruppe ATC-Code]"),Tabelle3!$A77)</f>
        <v>0</v>
      </c>
      <c r="AD77">
        <f ca="1">COUNTIFS(INDIRECT("Table1[Beginn]"),"&lt;="&amp;AD$1,INDIRECT("Table1[Ende]"),"&gt;="&amp;AD$1,INDIRECT("Table1[Obergruppe ATC-Code]"),Tabelle3!$A77)</f>
        <v>1</v>
      </c>
      <c r="AE77">
        <f ca="1">COUNTIFS(INDIRECT("Table1[Beginn]"),"&lt;="&amp;AE$1,INDIRECT("Table1[Ende]"),"&gt;="&amp;AE$1,INDIRECT("Table1[Obergruppe ATC-Code]"),Tabelle3!$A77)</f>
        <v>1</v>
      </c>
      <c r="AF77">
        <f ca="1">COUNTIFS(INDIRECT("Table1[Beginn]"),"&lt;="&amp;AF$1,INDIRECT("Table1[Ende]"),"&gt;="&amp;AF$1,INDIRECT("Table1[Obergruppe ATC-Code]"),Tabelle3!$A77)</f>
        <v>2</v>
      </c>
      <c r="AG77">
        <f ca="1">COUNTIFS(INDIRECT("Table1[Beginn]"),"&lt;="&amp;AG$1,INDIRECT("Table1[Ende]"),"&gt;="&amp;AG$1,INDIRECT("Table1[Obergruppe ATC-Code]"),Tabelle3!$A77)</f>
        <v>1</v>
      </c>
      <c r="AH77">
        <f ca="1">COUNTIFS(INDIRECT("Table1[Beginn]"),"&lt;="&amp;AH$1,INDIRECT("Table1[Ende]"),"&gt;="&amp;AH$1,INDIRECT("Table1[Obergruppe ATC-Code]"),Tabelle3!$A77)</f>
        <v>1</v>
      </c>
      <c r="AI77">
        <f ca="1">COUNTIFS(INDIRECT("Table1[Beginn]"),"&lt;="&amp;AI$1,INDIRECT("Table1[Ende]"),"&gt;="&amp;AI$1,INDIRECT("Table1[Obergruppe ATC-Code]"),Tabelle3!$A77)</f>
        <v>0</v>
      </c>
      <c r="AJ77">
        <f ca="1">COUNTIFS(INDIRECT("Table1[Beginn]"),"&lt;="&amp;AJ$1,INDIRECT("Table1[Ende]"),"&gt;="&amp;AJ$1,INDIRECT("Table1[Obergruppe ATC-Code]"),Tabelle3!$A77)</f>
        <v>0</v>
      </c>
      <c r="AK77">
        <f ca="1">COUNTIFS(INDIRECT("Table1[Beginn]"),"&lt;="&amp;AK$1,INDIRECT("Table1[Ende]"),"&gt;="&amp;AK$1,INDIRECT("Table1[Obergruppe ATC-Code]"),Tabelle3!$A77)</f>
        <v>0</v>
      </c>
      <c r="AL77">
        <f ca="1">COUNTIFS(INDIRECT("Table1[Beginn]"),"&lt;="&amp;AL$1,INDIRECT("Table1[Ende]"),"&gt;="&amp;AL$1,INDIRECT("Table1[Obergruppe ATC-Code]"),Tabelle3!$A77)</f>
        <v>0</v>
      </c>
      <c r="AM77">
        <f ca="1">COUNTIFS(INDIRECT("Table1[Beginn]"),"&lt;="&amp;AM$1,INDIRECT("Table1[Ende]"),"&gt;="&amp;AM$1,INDIRECT("Table1[Obergruppe ATC-Code]"),Tabelle3!$A77)</f>
        <v>0</v>
      </c>
      <c r="AN77">
        <f ca="1">COUNTIFS(INDIRECT("Table1[Beginn]"),"&lt;="&amp;AN$1,INDIRECT("Table1[Ende]"),"&gt;="&amp;AN$1,INDIRECT("Table1[Obergruppe ATC-Code]"),Tabelle3!$A77)</f>
        <v>0</v>
      </c>
      <c r="AO77">
        <f ca="1">COUNTIFS(INDIRECT("Table1[Beginn]"),"&lt;="&amp;AO$1,INDIRECT("Table1[Ende]"),"&gt;="&amp;AO$1,INDIRECT("Table1[Obergruppe ATC-Code]"),Tabelle3!$A77)</f>
        <v>0</v>
      </c>
      <c r="AP77">
        <f ca="1">COUNTIFS(INDIRECT("Table1[Beginn]"),"&lt;="&amp;AP$1,INDIRECT("Table1[Ende]"),"&gt;="&amp;AP$1,INDIRECT("Table1[Obergruppe ATC-Code]"),Tabelle3!$A77)</f>
        <v>0</v>
      </c>
      <c r="AQ77">
        <f ca="1">COUNTIFS(INDIRECT("Table1[Beginn]"),"&lt;="&amp;AQ$1,INDIRECT("Table1[Ende]"),"&gt;="&amp;AQ$1,INDIRECT("Table1[Obergruppe ATC-Code]"),Tabelle3!$A77)</f>
        <v>0</v>
      </c>
      <c r="AR77">
        <f ca="1">COUNTIFS(INDIRECT("Table1[Beginn]"),"&lt;="&amp;AR$1,INDIRECT("Table1[Ende]"),"&gt;="&amp;AR$1,INDIRECT("Table1[Obergruppe ATC-Code]"),Tabelle3!$A77)</f>
        <v>0</v>
      </c>
      <c r="AS77">
        <f ca="1">COUNTIFS(INDIRECT("Table1[Beginn]"),"&lt;="&amp;AS$1,INDIRECT("Table1[Ende]"),"&gt;="&amp;AS$1,INDIRECT("Table1[Obergruppe ATC-Code]"),Tabelle3!$A77)</f>
        <v>0</v>
      </c>
      <c r="AT77">
        <f ca="1">COUNTIFS(INDIRECT("Table1[Beginn]"),"&lt;="&amp;AT$1,INDIRECT("Table1[Ende]"),"&gt;="&amp;AT$1,INDIRECT("Table1[Obergruppe ATC-Code]"),Tabelle3!$A77)</f>
        <v>0</v>
      </c>
      <c r="AU77">
        <f ca="1">COUNTIFS(INDIRECT("Table1[Beginn]"),"&lt;="&amp;AU$1,INDIRECT("Table1[Ende]"),"&gt;="&amp;AU$1,INDIRECT("Table1[Obergruppe ATC-Code]"),Tabelle3!$A77)</f>
        <v>0</v>
      </c>
      <c r="AV77">
        <f ca="1">COUNTIFS(INDIRECT("Table1[Beginn]"),"&lt;="&amp;AV$1,INDIRECT("Table1[Ende]"),"&gt;="&amp;AV$1,INDIRECT("Table1[Obergruppe ATC-Code]"),Tabelle3!$A77)</f>
        <v>0</v>
      </c>
      <c r="AW77">
        <f ca="1">COUNTIFS(INDIRECT("Table1[Beginn]"),"&lt;="&amp;AW$1,INDIRECT("Table1[Ende]"),"&gt;="&amp;AW$1,INDIRECT("Table1[Obergruppe ATC-Code]"),Tabelle3!$A77)</f>
        <v>0</v>
      </c>
      <c r="AX77">
        <f ca="1">COUNTIFS(INDIRECT("Table1[Beginn]"),"&lt;="&amp;AX$1,INDIRECT("Table1[Ende]"),"&gt;="&amp;AX$1,INDIRECT("Table1[Obergruppe ATC-Code]"),Tabelle3!$A77)</f>
        <v>0</v>
      </c>
      <c r="AY77">
        <f ca="1">COUNTIFS(INDIRECT("Table1[Beginn]"),"&lt;="&amp;AY$1,INDIRECT("Table1[Ende]"),"&gt;="&amp;AY$1,INDIRECT("Table1[Obergruppe ATC-Code]"),Tabelle3!$A77)</f>
        <v>0</v>
      </c>
      <c r="AZ77">
        <f ca="1">COUNTIFS(INDIRECT("Table1[Beginn]"),"&lt;="&amp;AZ$1,INDIRECT("Table1[Ende]"),"&gt;="&amp;AZ$1,INDIRECT("Table1[Obergruppe ATC-Code]"),Tabelle3!$A77)</f>
        <v>0</v>
      </c>
      <c r="BA77">
        <f ca="1">COUNTIFS(INDIRECT("Table1[Beginn]"),"&lt;="&amp;BA$1,INDIRECT("Table1[Ende]"),"&gt;="&amp;BA$1,INDIRECT("Table1[Obergruppe ATC-Code]"),Tabelle3!$A77)</f>
        <v>0</v>
      </c>
      <c r="BB77">
        <f ca="1">COUNTIFS(INDIRECT("Table1[Beginn]"),"&lt;="&amp;BB$1,INDIRECT("Table1[Ende]"),"&gt;="&amp;BB$1,INDIRECT("Table1[Obergruppe ATC-Code]"),Tabelle3!$A77)</f>
        <v>0</v>
      </c>
      <c r="BC77">
        <f ca="1">COUNTIFS(INDIRECT("Table1[Beginn]"),"&lt;="&amp;BC$1,INDIRECT("Table1[Ende]"),"&gt;="&amp;BC$1,INDIRECT("Table1[Obergruppe ATC-Code]"),Tabelle3!$A77)</f>
        <v>0</v>
      </c>
      <c r="BD77">
        <f ca="1">COUNTIFS(INDIRECT("Table1[Beginn]"),"&lt;="&amp;BD$1,INDIRECT("Table1[Ende]"),"&gt;="&amp;BD$1,INDIRECT("Table1[Obergruppe ATC-Code]"),Tabelle3!$A77)</f>
        <v>0</v>
      </c>
      <c r="BE77">
        <f ca="1">COUNTIFS(INDIRECT("Table1[Beginn]"),"&lt;="&amp;BE$1,INDIRECT("Table1[Ende]"),"&gt;="&amp;BE$1,INDIRECT("Table1[Obergruppe ATC-Code]"),Tabelle3!$A77)</f>
        <v>0</v>
      </c>
      <c r="BF77">
        <f ca="1">COUNTIFS(INDIRECT("Table1[Beginn]"),"&lt;="&amp;BF$1,INDIRECT("Table1[Ende]"),"&gt;="&amp;BF$1,INDIRECT("Table1[Obergruppe ATC-Code]"),Tabelle3!$A77)</f>
        <v>0</v>
      </c>
      <c r="BG77">
        <f ca="1">COUNTIFS(INDIRECT("Table1[Beginn]"),"&lt;="&amp;BG$1,INDIRECT("Table1[Ende]"),"&gt;="&amp;BG$1,INDIRECT("Table1[Obergruppe ATC-Code]"),Tabelle3!$A77)</f>
        <v>0</v>
      </c>
      <c r="BH77">
        <f ca="1">COUNTIFS(INDIRECT("Table1[Beginn]"),"&lt;="&amp;BH$1,INDIRECT("Table1[Ende]"),"&gt;="&amp;BH$1,INDIRECT("Table1[Obergruppe ATC-Code]"),Tabelle3!$A77)</f>
        <v>0</v>
      </c>
      <c r="BI77">
        <f ca="1">COUNTIFS(INDIRECT("Table1[Beginn]"),"&lt;="&amp;BI$1,INDIRECT("Table1[Ende]"),"&gt;="&amp;BI$1,INDIRECT("Table1[Obergruppe ATC-Code]"),Tabelle3!$A77)</f>
        <v>0</v>
      </c>
      <c r="BJ77">
        <f ca="1">COUNTIFS(INDIRECT("Table1[Beginn]"),"&lt;="&amp;BJ$1,INDIRECT("Table1[Ende]"),"&gt;="&amp;BJ$1,INDIRECT("Table1[Obergruppe ATC-Code]"),Tabelle3!$A77)</f>
        <v>0</v>
      </c>
      <c r="BK77">
        <f ca="1">COUNTIFS(INDIRECT("Table1[Beginn]"),"&lt;="&amp;BK$1,INDIRECT("Table1[Ende]"),"&gt;="&amp;BK$1,INDIRECT("Table1[Obergruppe ATC-Code]"),Tabelle3!$A77)</f>
        <v>0</v>
      </c>
      <c r="BL77">
        <f ca="1">COUNTIFS(INDIRECT("Table1[Beginn]"),"&lt;="&amp;BL$1,INDIRECT("Table1[Ende]"),"&gt;="&amp;BL$1,INDIRECT("Table1[Obergruppe ATC-Code]"),Tabelle3!$A77)</f>
        <v>0</v>
      </c>
      <c r="BM77">
        <f ca="1">COUNTIFS(INDIRECT("Table1[Beginn]"),"&lt;="&amp;BM$1,INDIRECT("Table1[Ende]"),"&gt;="&amp;BM$1,INDIRECT("Table1[Obergruppe ATC-Code]"),Tabelle3!$A77)</f>
        <v>0</v>
      </c>
      <c r="BN77">
        <f ca="1">COUNTIFS(INDIRECT("Table1[Beginn]"),"&lt;="&amp;BN$1,INDIRECT("Table1[Ende]"),"&gt;="&amp;BN$1,INDIRECT("Table1[Obergruppe ATC-Code]"),Tabelle3!$A77)</f>
        <v>0</v>
      </c>
      <c r="BO77">
        <f ca="1">COUNTIFS(INDIRECT("Table1[Beginn]"),"&lt;="&amp;BO$1,INDIRECT("Table1[Ende]"),"&gt;="&amp;BO$1,INDIRECT("Table1[Obergruppe ATC-Code]"),Tabelle3!$A77)</f>
        <v>0</v>
      </c>
      <c r="BP77">
        <f ca="1">COUNTIFS(INDIRECT("Table1[Beginn]"),"&lt;="&amp;BP$1,INDIRECT("Table1[Ende]"),"&gt;="&amp;BP$1,INDIRECT("Table1[Obergruppe ATC-Code]"),Tabelle3!$A77)</f>
        <v>0</v>
      </c>
      <c r="BQ77">
        <f ca="1">COUNTIFS(INDIRECT("Table1[Beginn]"),"&lt;="&amp;BQ$1,INDIRECT("Table1[Ende]"),"&gt;="&amp;BQ$1,INDIRECT("Table1[Obergruppe ATC-Code]"),Tabelle3!$A77)</f>
        <v>0</v>
      </c>
      <c r="BR77">
        <f ca="1">COUNTIFS(INDIRECT("Table1[Beginn]"),"&lt;="&amp;BR$1,INDIRECT("Table1[Ende]"),"&gt;="&amp;BR$1,INDIRECT("Table1[Obergruppe ATC-Code]"),Tabelle3!$A77)</f>
        <v>0</v>
      </c>
      <c r="BS77">
        <f ca="1">COUNTIFS(INDIRECT("Table1[Beginn]"),"&lt;="&amp;BS$1,INDIRECT("Table1[Ende]"),"&gt;="&amp;BS$1,INDIRECT("Table1[Obergruppe ATC-Code]"),Tabelle3!$A77)</f>
        <v>0</v>
      </c>
      <c r="BT77">
        <f ca="1">COUNTIFS(INDIRECT("Table1[Beginn]"),"&lt;="&amp;BT$1,INDIRECT("Table1[Ende]"),"&gt;="&amp;BT$1,INDIRECT("Table1[Obergruppe ATC-Code]"),Tabelle3!$A77)</f>
        <v>0</v>
      </c>
      <c r="BU77">
        <f ca="1">COUNTIFS(INDIRECT("Table1[Beginn]"),"&lt;="&amp;BU$1,INDIRECT("Table1[Ende]"),"&gt;="&amp;BU$1,INDIRECT("Table1[Obergruppe ATC-Code]"),Tabelle3!$A77)</f>
        <v>0</v>
      </c>
      <c r="BV77">
        <f ca="1">COUNTIFS(INDIRECT("Table1[Beginn]"),"&lt;="&amp;BV$1,INDIRECT("Table1[Ende]"),"&gt;="&amp;BV$1,INDIRECT("Table1[Obergruppe ATC-Code]"),Tabelle3!$A77)</f>
        <v>0</v>
      </c>
      <c r="BW77">
        <f ca="1">COUNTIFS(INDIRECT("Table1[Beginn]"),"&lt;="&amp;BW$1,INDIRECT("Table1[Ende]"),"&gt;="&amp;BW$1,INDIRECT("Table1[Obergruppe ATC-Code]"),Tabelle3!$A77)</f>
        <v>0</v>
      </c>
      <c r="BX77">
        <f ca="1">COUNTIFS(INDIRECT("Table1[Beginn]"),"&lt;="&amp;BX$1,INDIRECT("Table1[Ende]"),"&gt;="&amp;BX$1,INDIRECT("Table1[Obergruppe ATC-Code]"),Tabelle3!$A77)</f>
        <v>0</v>
      </c>
      <c r="BY77">
        <f ca="1">COUNTIFS(INDIRECT("Table1[Beginn]"),"&lt;="&amp;BY$1,INDIRECT("Table1[Ende]"),"&gt;="&amp;BY$1,INDIRECT("Table1[Obergruppe ATC-Code]"),Tabelle3!$A77)</f>
        <v>0</v>
      </c>
      <c r="BZ77">
        <f ca="1">COUNTIFS(INDIRECT("Table1[Beginn]"),"&lt;="&amp;BZ$1,INDIRECT("Table1[Ende]"),"&gt;="&amp;BZ$1,INDIRECT("Table1[Obergruppe ATC-Code]"),Tabelle3!$A77)</f>
        <v>0</v>
      </c>
      <c r="CA77">
        <f ca="1">COUNTIFS(INDIRECT("Table1[Beginn]"),"&lt;="&amp;CA$1,INDIRECT("Table1[Ende]"),"&gt;="&amp;CA$1,INDIRECT("Table1[Obergruppe ATC-Code]"),Tabelle3!$A77)</f>
        <v>1</v>
      </c>
      <c r="CB77">
        <f ca="1">COUNTIFS(INDIRECT("Table1[Beginn]"),"&lt;="&amp;CB$1,INDIRECT("Table1[Ende]"),"&gt;="&amp;CB$1,INDIRECT("Table1[Obergruppe ATC-Code]"),Tabelle3!$A77)</f>
        <v>1</v>
      </c>
      <c r="CC77">
        <f ca="1">COUNTIFS(INDIRECT("Table1[Beginn]"),"&lt;="&amp;CC$1,INDIRECT("Table1[Ende]"),"&gt;="&amp;CC$1,INDIRECT("Table1[Obergruppe ATC-Code]"),Tabelle3!$A77)</f>
        <v>1</v>
      </c>
      <c r="CD77">
        <f ca="1">COUNTIFS(INDIRECT("Table1[Beginn]"),"&lt;="&amp;CD$1,INDIRECT("Table1[Ende]"),"&gt;="&amp;CD$1,INDIRECT("Table1[Obergruppe ATC-Code]"),Tabelle3!$A77)</f>
        <v>1</v>
      </c>
      <c r="CE77">
        <f ca="1">COUNTIFS(INDIRECT("Table1[Beginn]"),"&lt;="&amp;CE$1,INDIRECT("Table1[Ende]"),"&gt;="&amp;CE$1,INDIRECT("Table1[Obergruppe ATC-Code]"),Tabelle3!$A77)</f>
        <v>1</v>
      </c>
      <c r="CF77">
        <f ca="1">COUNTIFS(INDIRECT("Table1[Beginn]"),"&lt;="&amp;CF$1,INDIRECT("Table1[Ende]"),"&gt;="&amp;CF$1,INDIRECT("Table1[Obergruppe ATC-Code]"),Tabelle3!$A77)</f>
        <v>1</v>
      </c>
      <c r="CG77">
        <f ca="1">COUNTIFS(INDIRECT("Table1[Beginn]"),"&lt;="&amp;CG$1,INDIRECT("Table1[Ende]"),"&gt;="&amp;CG$1,INDIRECT("Table1[Obergruppe ATC-Code]"),Tabelle3!$A77)</f>
        <v>1</v>
      </c>
      <c r="CH77">
        <f ca="1">COUNTIFS(INDIRECT("Table1[Beginn]"),"&lt;="&amp;CH$1,INDIRECT("Table1[Ende]"),"&gt;="&amp;CH$1,INDIRECT("Table1[Obergruppe ATC-Code]"),Tabelle3!$A77)</f>
        <v>1</v>
      </c>
      <c r="CI77">
        <f ca="1">COUNTIFS(INDIRECT("Table1[Beginn]"),"&lt;="&amp;CI$1,INDIRECT("Table1[Ende]"),"&gt;="&amp;CI$1,INDIRECT("Table1[Obergruppe ATC-Code]"),Tabelle3!$A77)</f>
        <v>1</v>
      </c>
      <c r="CJ77">
        <f ca="1">COUNTIFS(INDIRECT("Table1[Beginn]"),"&lt;="&amp;CJ$1,INDIRECT("Table1[Ende]"),"&gt;="&amp;CJ$1,INDIRECT("Table1[Obergruppe ATC-Code]"),Tabelle3!$A77)</f>
        <v>0</v>
      </c>
      <c r="CK77">
        <f ca="1">COUNTIFS(INDIRECT("Table1[Beginn]"),"&lt;="&amp;CK$1,INDIRECT("Table1[Ende]"),"&gt;="&amp;CK$1,INDIRECT("Table1[Obergruppe ATC-Code]"),Tabelle3!$A77)</f>
        <v>0</v>
      </c>
      <c r="CL77">
        <f ca="1">COUNTIFS(INDIRECT("Table1[Beginn]"),"&lt;="&amp;CL$1,INDIRECT("Table1[Ende]"),"&gt;="&amp;CL$1,INDIRECT("Table1[Obergruppe ATC-Code]"),Tabelle3!$A77)</f>
        <v>0</v>
      </c>
      <c r="CM77">
        <f ca="1">COUNTIFS(INDIRECT("Table1[Beginn]"),"&lt;="&amp;CM$1,INDIRECT("Table1[Ende]"),"&gt;="&amp;CM$1,INDIRECT("Table1[Obergruppe ATC-Code]"),Tabelle3!$A77)</f>
        <v>0</v>
      </c>
      <c r="CN77">
        <f ca="1">COUNTIFS(INDIRECT("Table1[Beginn]"),"&lt;="&amp;CN$1,INDIRECT("Table1[Ende]"),"&gt;="&amp;CN$1,INDIRECT("Table1[Obergruppe ATC-Code]"),Tabelle3!$A77)</f>
        <v>0</v>
      </c>
      <c r="CO77">
        <f ca="1">COUNTIFS(INDIRECT("Table1[Beginn]"),"&lt;="&amp;CO$1,INDIRECT("Table1[Ende]"),"&gt;="&amp;CO$1,INDIRECT("Table1[Obergruppe ATC-Code]"),Tabelle3!$A77)</f>
        <v>0</v>
      </c>
      <c r="CP77">
        <f ca="1">COUNTIFS(INDIRECT("Table1[Beginn]"),"&lt;="&amp;CP$1,INDIRECT("Table1[Ende]"),"&gt;="&amp;CP$1,INDIRECT("Table1[Obergruppe ATC-Code]"),Tabelle3!$A77)</f>
        <v>0</v>
      </c>
      <c r="CQ77">
        <f ca="1">COUNTIFS(INDIRECT("Table1[Beginn]"),"&lt;="&amp;CQ$1,INDIRECT("Table1[Ende]"),"&gt;="&amp;CQ$1,INDIRECT("Table1[Obergruppe ATC-Code]"),Tabelle3!$A77)</f>
        <v>0</v>
      </c>
      <c r="CR77">
        <f ca="1">COUNTIFS(INDIRECT("Table1[Beginn]"),"&lt;="&amp;CR$1,INDIRECT("Table1[Ende]"),"&gt;="&amp;CR$1,INDIRECT("Table1[Obergruppe ATC-Code]"),Tabelle3!$A77)</f>
        <v>0</v>
      </c>
    </row>
    <row r="78" spans="1:96" ht="18">
      <c r="A78" s="7" t="s">
        <v>6924</v>
      </c>
      <c r="B78" s="8" t="s">
        <v>6925</v>
      </c>
      <c r="C78">
        <f ca="1">COUNTIFS(INDIRECT("Table1[Beginn]"),"&lt;="&amp;C$1,INDIRECT("Table1[Ende]"),"&gt;="&amp;C$1,INDIRECT("Table1[Obergruppe ATC-Code]"),Tabelle3!$A78)</f>
        <v>0</v>
      </c>
      <c r="D78">
        <f ca="1">COUNTIFS(INDIRECT("Table1[Beginn]"),"&lt;="&amp;D$1,INDIRECT("Table1[Ende]"),"&gt;="&amp;D$1,INDIRECT("Table1[Obergruppe ATC-Code]"),Tabelle3!$A78)</f>
        <v>0</v>
      </c>
      <c r="E78">
        <f ca="1">COUNTIFS(INDIRECT("Table1[Beginn]"),"&lt;="&amp;E$1,INDIRECT("Table1[Ende]"),"&gt;="&amp;E$1,INDIRECT("Table1[Obergruppe ATC-Code]"),Tabelle3!$A78)</f>
        <v>0</v>
      </c>
      <c r="F78">
        <f ca="1">COUNTIFS(INDIRECT("Table1[Beginn]"),"&lt;="&amp;F$1,INDIRECT("Table1[Ende]"),"&gt;="&amp;F$1,INDIRECT("Table1[Obergruppe ATC-Code]"),Tabelle3!$A78)</f>
        <v>0</v>
      </c>
      <c r="G78">
        <f ca="1">COUNTIFS(INDIRECT("Table1[Beginn]"),"&lt;="&amp;G$1,INDIRECT("Table1[Ende]"),"&gt;="&amp;G$1,INDIRECT("Table1[Obergruppe ATC-Code]"),Tabelle3!$A78)</f>
        <v>0</v>
      </c>
      <c r="H78">
        <f ca="1">COUNTIFS(INDIRECT("Table1[Beginn]"),"&lt;="&amp;H$1,INDIRECT("Table1[Ende]"),"&gt;="&amp;H$1,INDIRECT("Table1[Obergruppe ATC-Code]"),Tabelle3!$A78)</f>
        <v>0</v>
      </c>
      <c r="I78">
        <f ca="1">COUNTIFS(INDIRECT("Table1[Beginn]"),"&lt;="&amp;I$1,INDIRECT("Table1[Ende]"),"&gt;="&amp;I$1,INDIRECT("Table1[Obergruppe ATC-Code]"),Tabelle3!$A78)</f>
        <v>0</v>
      </c>
      <c r="J78">
        <f ca="1">COUNTIFS(INDIRECT("Table1[Beginn]"),"&lt;="&amp;J$1,INDIRECT("Table1[Ende]"),"&gt;="&amp;J$1,INDIRECT("Table1[Obergruppe ATC-Code]"),Tabelle3!$A78)</f>
        <v>0</v>
      </c>
      <c r="K78">
        <f ca="1">COUNTIFS(INDIRECT("Table1[Beginn]"),"&lt;="&amp;K$1,INDIRECT("Table1[Ende]"),"&gt;="&amp;K$1,INDIRECT("Table1[Obergruppe ATC-Code]"),Tabelle3!$A78)</f>
        <v>0</v>
      </c>
      <c r="L78">
        <f ca="1">COUNTIFS(INDIRECT("Table1[Beginn]"),"&lt;="&amp;L$1,INDIRECT("Table1[Ende]"),"&gt;="&amp;L$1,INDIRECT("Table1[Obergruppe ATC-Code]"),Tabelle3!$A78)</f>
        <v>0</v>
      </c>
      <c r="M78">
        <f ca="1">COUNTIFS(INDIRECT("Table1[Beginn]"),"&lt;="&amp;M$1,INDIRECT("Table1[Ende]"),"&gt;="&amp;M$1,INDIRECT("Table1[Obergruppe ATC-Code]"),Tabelle3!$A78)</f>
        <v>0</v>
      </c>
      <c r="N78">
        <f ca="1">COUNTIFS(INDIRECT("Table1[Beginn]"),"&lt;="&amp;N$1,INDIRECT("Table1[Ende]"),"&gt;="&amp;N$1,INDIRECT("Table1[Obergruppe ATC-Code]"),Tabelle3!$A78)</f>
        <v>0</v>
      </c>
      <c r="O78">
        <f ca="1">COUNTIFS(INDIRECT("Table1[Beginn]"),"&lt;="&amp;O$1,INDIRECT("Table1[Ende]"),"&gt;="&amp;O$1,INDIRECT("Table1[Obergruppe ATC-Code]"),Tabelle3!$A78)</f>
        <v>0</v>
      </c>
      <c r="P78">
        <f ca="1">COUNTIFS(INDIRECT("Table1[Beginn]"),"&lt;="&amp;P$1,INDIRECT("Table1[Ende]"),"&gt;="&amp;P$1,INDIRECT("Table1[Obergruppe ATC-Code]"),Tabelle3!$A78)</f>
        <v>0</v>
      </c>
      <c r="Q78">
        <f ca="1">COUNTIFS(INDIRECT("Table1[Beginn]"),"&lt;="&amp;Q$1,INDIRECT("Table1[Ende]"),"&gt;="&amp;Q$1,INDIRECT("Table1[Obergruppe ATC-Code]"),Tabelle3!$A78)</f>
        <v>0</v>
      </c>
      <c r="R78">
        <f ca="1">COUNTIFS(INDIRECT("Table1[Beginn]"),"&lt;="&amp;R$1,INDIRECT("Table1[Ende]"),"&gt;="&amp;R$1,INDIRECT("Table1[Obergruppe ATC-Code]"),Tabelle3!$A78)</f>
        <v>0</v>
      </c>
      <c r="S78">
        <f ca="1">COUNTIFS(INDIRECT("Table1[Beginn]"),"&lt;="&amp;S$1,INDIRECT("Table1[Ende]"),"&gt;="&amp;S$1,INDIRECT("Table1[Obergruppe ATC-Code]"),Tabelle3!$A78)</f>
        <v>0</v>
      </c>
      <c r="T78">
        <f ca="1">COUNTIFS(INDIRECT("Table1[Beginn]"),"&lt;="&amp;T$1,INDIRECT("Table1[Ende]"),"&gt;="&amp;T$1,INDIRECT("Table1[Obergruppe ATC-Code]"),Tabelle3!$A78)</f>
        <v>0</v>
      </c>
      <c r="U78">
        <f ca="1">COUNTIFS(INDIRECT("Table1[Beginn]"),"&lt;="&amp;U$1,INDIRECT("Table1[Ende]"),"&gt;="&amp;U$1,INDIRECT("Table1[Obergruppe ATC-Code]"),Tabelle3!$A78)</f>
        <v>0</v>
      </c>
      <c r="V78">
        <f ca="1">COUNTIFS(INDIRECT("Table1[Beginn]"),"&lt;="&amp;V$1,INDIRECT("Table1[Ende]"),"&gt;="&amp;V$1,INDIRECT("Table1[Obergruppe ATC-Code]"),Tabelle3!$A78)</f>
        <v>0</v>
      </c>
      <c r="W78">
        <f ca="1">COUNTIFS(INDIRECT("Table1[Beginn]"),"&lt;="&amp;W$1,INDIRECT("Table1[Ende]"),"&gt;="&amp;W$1,INDIRECT("Table1[Obergruppe ATC-Code]"),Tabelle3!$A78)</f>
        <v>0</v>
      </c>
      <c r="X78">
        <f ca="1">COUNTIFS(INDIRECT("Table1[Beginn]"),"&lt;="&amp;X$1,INDIRECT("Table1[Ende]"),"&gt;="&amp;X$1,INDIRECT("Table1[Obergruppe ATC-Code]"),Tabelle3!$A78)</f>
        <v>0</v>
      </c>
      <c r="Y78">
        <f ca="1">COUNTIFS(INDIRECT("Table1[Beginn]"),"&lt;="&amp;Y$1,INDIRECT("Table1[Ende]"),"&gt;="&amp;Y$1,INDIRECT("Table1[Obergruppe ATC-Code]"),Tabelle3!$A78)</f>
        <v>0</v>
      </c>
      <c r="Z78">
        <f ca="1">COUNTIFS(INDIRECT("Table1[Beginn]"),"&lt;="&amp;Z$1,INDIRECT("Table1[Ende]"),"&gt;="&amp;Z$1,INDIRECT("Table1[Obergruppe ATC-Code]"),Tabelle3!$A78)</f>
        <v>0</v>
      </c>
      <c r="AA78">
        <f ca="1">COUNTIFS(INDIRECT("Table1[Beginn]"),"&lt;="&amp;AA$1,INDIRECT("Table1[Ende]"),"&gt;="&amp;AA$1,INDIRECT("Table1[Obergruppe ATC-Code]"),Tabelle3!$A78)</f>
        <v>0</v>
      </c>
      <c r="AB78">
        <f ca="1">COUNTIFS(INDIRECT("Table1[Beginn]"),"&lt;="&amp;AB$1,INDIRECT("Table1[Ende]"),"&gt;="&amp;AB$1,INDIRECT("Table1[Obergruppe ATC-Code]"),Tabelle3!$A78)</f>
        <v>0</v>
      </c>
      <c r="AC78">
        <f ca="1">COUNTIFS(INDIRECT("Table1[Beginn]"),"&lt;="&amp;AC$1,INDIRECT("Table1[Ende]"),"&gt;="&amp;AC$1,INDIRECT("Table1[Obergruppe ATC-Code]"),Tabelle3!$A78)</f>
        <v>0</v>
      </c>
      <c r="AD78">
        <f ca="1">COUNTIFS(INDIRECT("Table1[Beginn]"),"&lt;="&amp;AD$1,INDIRECT("Table1[Ende]"),"&gt;="&amp;AD$1,INDIRECT("Table1[Obergruppe ATC-Code]"),Tabelle3!$A78)</f>
        <v>0</v>
      </c>
      <c r="AE78">
        <f ca="1">COUNTIFS(INDIRECT("Table1[Beginn]"),"&lt;="&amp;AE$1,INDIRECT("Table1[Ende]"),"&gt;="&amp;AE$1,INDIRECT("Table1[Obergruppe ATC-Code]"),Tabelle3!$A78)</f>
        <v>0</v>
      </c>
      <c r="AF78">
        <f ca="1">COUNTIFS(INDIRECT("Table1[Beginn]"),"&lt;="&amp;AF$1,INDIRECT("Table1[Ende]"),"&gt;="&amp;AF$1,INDIRECT("Table1[Obergruppe ATC-Code]"),Tabelle3!$A78)</f>
        <v>0</v>
      </c>
      <c r="AG78">
        <f ca="1">COUNTIFS(INDIRECT("Table1[Beginn]"),"&lt;="&amp;AG$1,INDIRECT("Table1[Ende]"),"&gt;="&amp;AG$1,INDIRECT("Table1[Obergruppe ATC-Code]"),Tabelle3!$A78)</f>
        <v>0</v>
      </c>
      <c r="AH78">
        <f ca="1">COUNTIFS(INDIRECT("Table1[Beginn]"),"&lt;="&amp;AH$1,INDIRECT("Table1[Ende]"),"&gt;="&amp;AH$1,INDIRECT("Table1[Obergruppe ATC-Code]"),Tabelle3!$A78)</f>
        <v>0</v>
      </c>
      <c r="AI78">
        <f ca="1">COUNTIFS(INDIRECT("Table1[Beginn]"),"&lt;="&amp;AI$1,INDIRECT("Table1[Ende]"),"&gt;="&amp;AI$1,INDIRECT("Table1[Obergruppe ATC-Code]"),Tabelle3!$A78)</f>
        <v>0</v>
      </c>
      <c r="AJ78">
        <f ca="1">COUNTIFS(INDIRECT("Table1[Beginn]"),"&lt;="&amp;AJ$1,INDIRECT("Table1[Ende]"),"&gt;="&amp;AJ$1,INDIRECT("Table1[Obergruppe ATC-Code]"),Tabelle3!$A78)</f>
        <v>0</v>
      </c>
      <c r="AK78">
        <f ca="1">COUNTIFS(INDIRECT("Table1[Beginn]"),"&lt;="&amp;AK$1,INDIRECT("Table1[Ende]"),"&gt;="&amp;AK$1,INDIRECT("Table1[Obergruppe ATC-Code]"),Tabelle3!$A78)</f>
        <v>0</v>
      </c>
      <c r="AL78">
        <f ca="1">COUNTIFS(INDIRECT("Table1[Beginn]"),"&lt;="&amp;AL$1,INDIRECT("Table1[Ende]"),"&gt;="&amp;AL$1,INDIRECT("Table1[Obergruppe ATC-Code]"),Tabelle3!$A78)</f>
        <v>0</v>
      </c>
      <c r="AM78">
        <f ca="1">COUNTIFS(INDIRECT("Table1[Beginn]"),"&lt;="&amp;AM$1,INDIRECT("Table1[Ende]"),"&gt;="&amp;AM$1,INDIRECT("Table1[Obergruppe ATC-Code]"),Tabelle3!$A78)</f>
        <v>0</v>
      </c>
      <c r="AN78">
        <f ca="1">COUNTIFS(INDIRECT("Table1[Beginn]"),"&lt;="&amp;AN$1,INDIRECT("Table1[Ende]"),"&gt;="&amp;AN$1,INDIRECT("Table1[Obergruppe ATC-Code]"),Tabelle3!$A78)</f>
        <v>0</v>
      </c>
      <c r="AO78">
        <f ca="1">COUNTIFS(INDIRECT("Table1[Beginn]"),"&lt;="&amp;AO$1,INDIRECT("Table1[Ende]"),"&gt;="&amp;AO$1,INDIRECT("Table1[Obergruppe ATC-Code]"),Tabelle3!$A78)</f>
        <v>0</v>
      </c>
      <c r="AP78">
        <f ca="1">COUNTIFS(INDIRECT("Table1[Beginn]"),"&lt;="&amp;AP$1,INDIRECT("Table1[Ende]"),"&gt;="&amp;AP$1,INDIRECT("Table1[Obergruppe ATC-Code]"),Tabelle3!$A78)</f>
        <v>0</v>
      </c>
      <c r="AQ78">
        <f ca="1">COUNTIFS(INDIRECT("Table1[Beginn]"),"&lt;="&amp;AQ$1,INDIRECT("Table1[Ende]"),"&gt;="&amp;AQ$1,INDIRECT("Table1[Obergruppe ATC-Code]"),Tabelle3!$A78)</f>
        <v>0</v>
      </c>
      <c r="AR78">
        <f ca="1">COUNTIFS(INDIRECT("Table1[Beginn]"),"&lt;="&amp;AR$1,INDIRECT("Table1[Ende]"),"&gt;="&amp;AR$1,INDIRECT("Table1[Obergruppe ATC-Code]"),Tabelle3!$A78)</f>
        <v>0</v>
      </c>
      <c r="AS78">
        <f ca="1">COUNTIFS(INDIRECT("Table1[Beginn]"),"&lt;="&amp;AS$1,INDIRECT("Table1[Ende]"),"&gt;="&amp;AS$1,INDIRECT("Table1[Obergruppe ATC-Code]"),Tabelle3!$A78)</f>
        <v>0</v>
      </c>
      <c r="AT78">
        <f ca="1">COUNTIFS(INDIRECT("Table1[Beginn]"),"&lt;="&amp;AT$1,INDIRECT("Table1[Ende]"),"&gt;="&amp;AT$1,INDIRECT("Table1[Obergruppe ATC-Code]"),Tabelle3!$A78)</f>
        <v>0</v>
      </c>
      <c r="AU78">
        <f ca="1">COUNTIFS(INDIRECT("Table1[Beginn]"),"&lt;="&amp;AU$1,INDIRECT("Table1[Ende]"),"&gt;="&amp;AU$1,INDIRECT("Table1[Obergruppe ATC-Code]"),Tabelle3!$A78)</f>
        <v>0</v>
      </c>
      <c r="AV78">
        <f ca="1">COUNTIFS(INDIRECT("Table1[Beginn]"),"&lt;="&amp;AV$1,INDIRECT("Table1[Ende]"),"&gt;="&amp;AV$1,INDIRECT("Table1[Obergruppe ATC-Code]"),Tabelle3!$A78)</f>
        <v>0</v>
      </c>
      <c r="AW78">
        <f ca="1">COUNTIFS(INDIRECT("Table1[Beginn]"),"&lt;="&amp;AW$1,INDIRECT("Table1[Ende]"),"&gt;="&amp;AW$1,INDIRECT("Table1[Obergruppe ATC-Code]"),Tabelle3!$A78)</f>
        <v>0</v>
      </c>
      <c r="AX78">
        <f ca="1">COUNTIFS(INDIRECT("Table1[Beginn]"),"&lt;="&amp;AX$1,INDIRECT("Table1[Ende]"),"&gt;="&amp;AX$1,INDIRECT("Table1[Obergruppe ATC-Code]"),Tabelle3!$A78)</f>
        <v>0</v>
      </c>
      <c r="AY78">
        <f ca="1">COUNTIFS(INDIRECT("Table1[Beginn]"),"&lt;="&amp;AY$1,INDIRECT("Table1[Ende]"),"&gt;="&amp;AY$1,INDIRECT("Table1[Obergruppe ATC-Code]"),Tabelle3!$A78)</f>
        <v>0</v>
      </c>
      <c r="AZ78">
        <f ca="1">COUNTIFS(INDIRECT("Table1[Beginn]"),"&lt;="&amp;AZ$1,INDIRECT("Table1[Ende]"),"&gt;="&amp;AZ$1,INDIRECT("Table1[Obergruppe ATC-Code]"),Tabelle3!$A78)</f>
        <v>0</v>
      </c>
      <c r="BA78">
        <f ca="1">COUNTIFS(INDIRECT("Table1[Beginn]"),"&lt;="&amp;BA$1,INDIRECT("Table1[Ende]"),"&gt;="&amp;BA$1,INDIRECT("Table1[Obergruppe ATC-Code]"),Tabelle3!$A78)</f>
        <v>0</v>
      </c>
      <c r="BB78">
        <f ca="1">COUNTIFS(INDIRECT("Table1[Beginn]"),"&lt;="&amp;BB$1,INDIRECT("Table1[Ende]"),"&gt;="&amp;BB$1,INDIRECT("Table1[Obergruppe ATC-Code]"),Tabelle3!$A78)</f>
        <v>0</v>
      </c>
      <c r="BC78">
        <f ca="1">COUNTIFS(INDIRECT("Table1[Beginn]"),"&lt;="&amp;BC$1,INDIRECT("Table1[Ende]"),"&gt;="&amp;BC$1,INDIRECT("Table1[Obergruppe ATC-Code]"),Tabelle3!$A78)</f>
        <v>0</v>
      </c>
      <c r="BD78">
        <f ca="1">COUNTIFS(INDIRECT("Table1[Beginn]"),"&lt;="&amp;BD$1,INDIRECT("Table1[Ende]"),"&gt;="&amp;BD$1,INDIRECT("Table1[Obergruppe ATC-Code]"),Tabelle3!$A78)</f>
        <v>0</v>
      </c>
      <c r="BE78">
        <f ca="1">COUNTIFS(INDIRECT("Table1[Beginn]"),"&lt;="&amp;BE$1,INDIRECT("Table1[Ende]"),"&gt;="&amp;BE$1,INDIRECT("Table1[Obergruppe ATC-Code]"),Tabelle3!$A78)</f>
        <v>0</v>
      </c>
      <c r="BF78">
        <f ca="1">COUNTIFS(INDIRECT("Table1[Beginn]"),"&lt;="&amp;BF$1,INDIRECT("Table1[Ende]"),"&gt;="&amp;BF$1,INDIRECT("Table1[Obergruppe ATC-Code]"),Tabelle3!$A78)</f>
        <v>0</v>
      </c>
      <c r="BG78">
        <f ca="1">COUNTIFS(INDIRECT("Table1[Beginn]"),"&lt;="&amp;BG$1,INDIRECT("Table1[Ende]"),"&gt;="&amp;BG$1,INDIRECT("Table1[Obergruppe ATC-Code]"),Tabelle3!$A78)</f>
        <v>0</v>
      </c>
      <c r="BH78">
        <f ca="1">COUNTIFS(INDIRECT("Table1[Beginn]"),"&lt;="&amp;BH$1,INDIRECT("Table1[Ende]"),"&gt;="&amp;BH$1,INDIRECT("Table1[Obergruppe ATC-Code]"),Tabelle3!$A78)</f>
        <v>0</v>
      </c>
      <c r="BI78">
        <f ca="1">COUNTIFS(INDIRECT("Table1[Beginn]"),"&lt;="&amp;BI$1,INDIRECT("Table1[Ende]"),"&gt;="&amp;BI$1,INDIRECT("Table1[Obergruppe ATC-Code]"),Tabelle3!$A78)</f>
        <v>0</v>
      </c>
      <c r="BJ78">
        <f ca="1">COUNTIFS(INDIRECT("Table1[Beginn]"),"&lt;="&amp;BJ$1,INDIRECT("Table1[Ende]"),"&gt;="&amp;BJ$1,INDIRECT("Table1[Obergruppe ATC-Code]"),Tabelle3!$A78)</f>
        <v>0</v>
      </c>
      <c r="BK78">
        <f ca="1">COUNTIFS(INDIRECT("Table1[Beginn]"),"&lt;="&amp;BK$1,INDIRECT("Table1[Ende]"),"&gt;="&amp;BK$1,INDIRECT("Table1[Obergruppe ATC-Code]"),Tabelle3!$A78)</f>
        <v>0</v>
      </c>
      <c r="BL78">
        <f ca="1">COUNTIFS(INDIRECT("Table1[Beginn]"),"&lt;="&amp;BL$1,INDIRECT("Table1[Ende]"),"&gt;="&amp;BL$1,INDIRECT("Table1[Obergruppe ATC-Code]"),Tabelle3!$A78)</f>
        <v>0</v>
      </c>
      <c r="BM78">
        <f ca="1">COUNTIFS(INDIRECT("Table1[Beginn]"),"&lt;="&amp;BM$1,INDIRECT("Table1[Ende]"),"&gt;="&amp;BM$1,INDIRECT("Table1[Obergruppe ATC-Code]"),Tabelle3!$A78)</f>
        <v>0</v>
      </c>
      <c r="BN78">
        <f ca="1">COUNTIFS(INDIRECT("Table1[Beginn]"),"&lt;="&amp;BN$1,INDIRECT("Table1[Ende]"),"&gt;="&amp;BN$1,INDIRECT("Table1[Obergruppe ATC-Code]"),Tabelle3!$A78)</f>
        <v>0</v>
      </c>
      <c r="BO78">
        <f ca="1">COUNTIFS(INDIRECT("Table1[Beginn]"),"&lt;="&amp;BO$1,INDIRECT("Table1[Ende]"),"&gt;="&amp;BO$1,INDIRECT("Table1[Obergruppe ATC-Code]"),Tabelle3!$A78)</f>
        <v>0</v>
      </c>
      <c r="BP78">
        <f ca="1">COUNTIFS(INDIRECT("Table1[Beginn]"),"&lt;="&amp;BP$1,INDIRECT("Table1[Ende]"),"&gt;="&amp;BP$1,INDIRECT("Table1[Obergruppe ATC-Code]"),Tabelle3!$A78)</f>
        <v>0</v>
      </c>
      <c r="BQ78">
        <f ca="1">COUNTIFS(INDIRECT("Table1[Beginn]"),"&lt;="&amp;BQ$1,INDIRECT("Table1[Ende]"),"&gt;="&amp;BQ$1,INDIRECT("Table1[Obergruppe ATC-Code]"),Tabelle3!$A78)</f>
        <v>0</v>
      </c>
      <c r="BR78">
        <f ca="1">COUNTIFS(INDIRECT("Table1[Beginn]"),"&lt;="&amp;BR$1,INDIRECT("Table1[Ende]"),"&gt;="&amp;BR$1,INDIRECT("Table1[Obergruppe ATC-Code]"),Tabelle3!$A78)</f>
        <v>0</v>
      </c>
      <c r="BS78">
        <f ca="1">COUNTIFS(INDIRECT("Table1[Beginn]"),"&lt;="&amp;BS$1,INDIRECT("Table1[Ende]"),"&gt;="&amp;BS$1,INDIRECT("Table1[Obergruppe ATC-Code]"),Tabelle3!$A78)</f>
        <v>0</v>
      </c>
      <c r="BT78">
        <f ca="1">COUNTIFS(INDIRECT("Table1[Beginn]"),"&lt;="&amp;BT$1,INDIRECT("Table1[Ende]"),"&gt;="&amp;BT$1,INDIRECT("Table1[Obergruppe ATC-Code]"),Tabelle3!$A78)</f>
        <v>0</v>
      </c>
      <c r="BU78">
        <f ca="1">COUNTIFS(INDIRECT("Table1[Beginn]"),"&lt;="&amp;BU$1,INDIRECT("Table1[Ende]"),"&gt;="&amp;BU$1,INDIRECT("Table1[Obergruppe ATC-Code]"),Tabelle3!$A78)</f>
        <v>0</v>
      </c>
      <c r="BV78">
        <f ca="1">COUNTIFS(INDIRECT("Table1[Beginn]"),"&lt;="&amp;BV$1,INDIRECT("Table1[Ende]"),"&gt;="&amp;BV$1,INDIRECT("Table1[Obergruppe ATC-Code]"),Tabelle3!$A78)</f>
        <v>0</v>
      </c>
      <c r="BW78">
        <f ca="1">COUNTIFS(INDIRECT("Table1[Beginn]"),"&lt;="&amp;BW$1,INDIRECT("Table1[Ende]"),"&gt;="&amp;BW$1,INDIRECT("Table1[Obergruppe ATC-Code]"),Tabelle3!$A78)</f>
        <v>0</v>
      </c>
      <c r="BX78">
        <f ca="1">COUNTIFS(INDIRECT("Table1[Beginn]"),"&lt;="&amp;BX$1,INDIRECT("Table1[Ende]"),"&gt;="&amp;BX$1,INDIRECT("Table1[Obergruppe ATC-Code]"),Tabelle3!$A78)</f>
        <v>0</v>
      </c>
      <c r="BY78">
        <f ca="1">COUNTIFS(INDIRECT("Table1[Beginn]"),"&lt;="&amp;BY$1,INDIRECT("Table1[Ende]"),"&gt;="&amp;BY$1,INDIRECT("Table1[Obergruppe ATC-Code]"),Tabelle3!$A78)</f>
        <v>0</v>
      </c>
      <c r="BZ78">
        <f ca="1">COUNTIFS(INDIRECT("Table1[Beginn]"),"&lt;="&amp;BZ$1,INDIRECT("Table1[Ende]"),"&gt;="&amp;BZ$1,INDIRECT("Table1[Obergruppe ATC-Code]"),Tabelle3!$A78)</f>
        <v>0</v>
      </c>
      <c r="CA78">
        <f ca="1">COUNTIFS(INDIRECT("Table1[Beginn]"),"&lt;="&amp;CA$1,INDIRECT("Table1[Ende]"),"&gt;="&amp;CA$1,INDIRECT("Table1[Obergruppe ATC-Code]"),Tabelle3!$A78)</f>
        <v>0</v>
      </c>
      <c r="CB78">
        <f ca="1">COUNTIFS(INDIRECT("Table1[Beginn]"),"&lt;="&amp;CB$1,INDIRECT("Table1[Ende]"),"&gt;="&amp;CB$1,INDIRECT("Table1[Obergruppe ATC-Code]"),Tabelle3!$A78)</f>
        <v>0</v>
      </c>
      <c r="CC78">
        <f ca="1">COUNTIFS(INDIRECT("Table1[Beginn]"),"&lt;="&amp;CC$1,INDIRECT("Table1[Ende]"),"&gt;="&amp;CC$1,INDIRECT("Table1[Obergruppe ATC-Code]"),Tabelle3!$A78)</f>
        <v>0</v>
      </c>
      <c r="CD78">
        <f ca="1">COUNTIFS(INDIRECT("Table1[Beginn]"),"&lt;="&amp;CD$1,INDIRECT("Table1[Ende]"),"&gt;="&amp;CD$1,INDIRECT("Table1[Obergruppe ATC-Code]"),Tabelle3!$A78)</f>
        <v>0</v>
      </c>
      <c r="CE78">
        <f ca="1">COUNTIFS(INDIRECT("Table1[Beginn]"),"&lt;="&amp;CE$1,INDIRECT("Table1[Ende]"),"&gt;="&amp;CE$1,INDIRECT("Table1[Obergruppe ATC-Code]"),Tabelle3!$A78)</f>
        <v>0</v>
      </c>
      <c r="CF78">
        <f ca="1">COUNTIFS(INDIRECT("Table1[Beginn]"),"&lt;="&amp;CF$1,INDIRECT("Table1[Ende]"),"&gt;="&amp;CF$1,INDIRECT("Table1[Obergruppe ATC-Code]"),Tabelle3!$A78)</f>
        <v>0</v>
      </c>
      <c r="CG78">
        <f ca="1">COUNTIFS(INDIRECT("Table1[Beginn]"),"&lt;="&amp;CG$1,INDIRECT("Table1[Ende]"),"&gt;="&amp;CG$1,INDIRECT("Table1[Obergruppe ATC-Code]"),Tabelle3!$A78)</f>
        <v>0</v>
      </c>
      <c r="CH78">
        <f ca="1">COUNTIFS(INDIRECT("Table1[Beginn]"),"&lt;="&amp;CH$1,INDIRECT("Table1[Ende]"),"&gt;="&amp;CH$1,INDIRECT("Table1[Obergruppe ATC-Code]"),Tabelle3!$A78)</f>
        <v>0</v>
      </c>
      <c r="CI78">
        <f ca="1">COUNTIFS(INDIRECT("Table1[Beginn]"),"&lt;="&amp;CI$1,INDIRECT("Table1[Ende]"),"&gt;="&amp;CI$1,INDIRECT("Table1[Obergruppe ATC-Code]"),Tabelle3!$A78)</f>
        <v>0</v>
      </c>
      <c r="CJ78">
        <f ca="1">COUNTIFS(INDIRECT("Table1[Beginn]"),"&lt;="&amp;CJ$1,INDIRECT("Table1[Ende]"),"&gt;="&amp;CJ$1,INDIRECT("Table1[Obergruppe ATC-Code]"),Tabelle3!$A78)</f>
        <v>0</v>
      </c>
      <c r="CK78">
        <f ca="1">COUNTIFS(INDIRECT("Table1[Beginn]"),"&lt;="&amp;CK$1,INDIRECT("Table1[Ende]"),"&gt;="&amp;CK$1,INDIRECT("Table1[Obergruppe ATC-Code]"),Tabelle3!$A78)</f>
        <v>0</v>
      </c>
      <c r="CL78">
        <f ca="1">COUNTIFS(INDIRECT("Table1[Beginn]"),"&lt;="&amp;CL$1,INDIRECT("Table1[Ende]"),"&gt;="&amp;CL$1,INDIRECT("Table1[Obergruppe ATC-Code]"),Tabelle3!$A78)</f>
        <v>0</v>
      </c>
      <c r="CM78">
        <f ca="1">COUNTIFS(INDIRECT("Table1[Beginn]"),"&lt;="&amp;CM$1,INDIRECT("Table1[Ende]"),"&gt;="&amp;CM$1,INDIRECT("Table1[Obergruppe ATC-Code]"),Tabelle3!$A78)</f>
        <v>0</v>
      </c>
      <c r="CN78">
        <f ca="1">COUNTIFS(INDIRECT("Table1[Beginn]"),"&lt;="&amp;CN$1,INDIRECT("Table1[Ende]"),"&gt;="&amp;CN$1,INDIRECT("Table1[Obergruppe ATC-Code]"),Tabelle3!$A78)</f>
        <v>0</v>
      </c>
      <c r="CO78">
        <f ca="1">COUNTIFS(INDIRECT("Table1[Beginn]"),"&lt;="&amp;CO$1,INDIRECT("Table1[Ende]"),"&gt;="&amp;CO$1,INDIRECT("Table1[Obergruppe ATC-Code]"),Tabelle3!$A78)</f>
        <v>0</v>
      </c>
      <c r="CP78">
        <f ca="1">COUNTIFS(INDIRECT("Table1[Beginn]"),"&lt;="&amp;CP$1,INDIRECT("Table1[Ende]"),"&gt;="&amp;CP$1,INDIRECT("Table1[Obergruppe ATC-Code]"),Tabelle3!$A78)</f>
        <v>0</v>
      </c>
      <c r="CQ78">
        <f ca="1">COUNTIFS(INDIRECT("Table1[Beginn]"),"&lt;="&amp;CQ$1,INDIRECT("Table1[Ende]"),"&gt;="&amp;CQ$1,INDIRECT("Table1[Obergruppe ATC-Code]"),Tabelle3!$A78)</f>
        <v>0</v>
      </c>
      <c r="CR78">
        <f ca="1">COUNTIFS(INDIRECT("Table1[Beginn]"),"&lt;="&amp;CR$1,INDIRECT("Table1[Ende]"),"&gt;="&amp;CR$1,INDIRECT("Table1[Obergruppe ATC-Code]"),Tabelle3!$A78)</f>
        <v>0</v>
      </c>
    </row>
    <row r="79" spans="1:96" ht="18">
      <c r="A79" s="9" t="s">
        <v>6926</v>
      </c>
      <c r="B79" s="10" t="s">
        <v>6927</v>
      </c>
      <c r="C79">
        <f ca="1">COUNTIFS(INDIRECT("Table1[Beginn]"),"&lt;="&amp;C$1,INDIRECT("Table1[Ende]"),"&gt;="&amp;C$1,INDIRECT("Table1[Obergruppe ATC-Code]"),Tabelle3!$A79)</f>
        <v>0</v>
      </c>
      <c r="D79">
        <f ca="1">COUNTIFS(INDIRECT("Table1[Beginn]"),"&lt;="&amp;D$1,INDIRECT("Table1[Ende]"),"&gt;="&amp;D$1,INDIRECT("Table1[Obergruppe ATC-Code]"),Tabelle3!$A79)</f>
        <v>0</v>
      </c>
      <c r="E79">
        <f ca="1">COUNTIFS(INDIRECT("Table1[Beginn]"),"&lt;="&amp;E$1,INDIRECT("Table1[Ende]"),"&gt;="&amp;E$1,INDIRECT("Table1[Obergruppe ATC-Code]"),Tabelle3!$A79)</f>
        <v>0</v>
      </c>
      <c r="F79">
        <f ca="1">COUNTIFS(INDIRECT("Table1[Beginn]"),"&lt;="&amp;F$1,INDIRECT("Table1[Ende]"),"&gt;="&amp;F$1,INDIRECT("Table1[Obergruppe ATC-Code]"),Tabelle3!$A79)</f>
        <v>0</v>
      </c>
      <c r="G79">
        <f ca="1">COUNTIFS(INDIRECT("Table1[Beginn]"),"&lt;="&amp;G$1,INDIRECT("Table1[Ende]"),"&gt;="&amp;G$1,INDIRECT("Table1[Obergruppe ATC-Code]"),Tabelle3!$A79)</f>
        <v>0</v>
      </c>
      <c r="H79">
        <f ca="1">COUNTIFS(INDIRECT("Table1[Beginn]"),"&lt;="&amp;H$1,INDIRECT("Table1[Ende]"),"&gt;="&amp;H$1,INDIRECT("Table1[Obergruppe ATC-Code]"),Tabelle3!$A79)</f>
        <v>0</v>
      </c>
      <c r="I79">
        <f ca="1">COUNTIFS(INDIRECT("Table1[Beginn]"),"&lt;="&amp;I$1,INDIRECT("Table1[Ende]"),"&gt;="&amp;I$1,INDIRECT("Table1[Obergruppe ATC-Code]"),Tabelle3!$A79)</f>
        <v>0</v>
      </c>
      <c r="J79">
        <f ca="1">COUNTIFS(INDIRECT("Table1[Beginn]"),"&lt;="&amp;J$1,INDIRECT("Table1[Ende]"),"&gt;="&amp;J$1,INDIRECT("Table1[Obergruppe ATC-Code]"),Tabelle3!$A79)</f>
        <v>1</v>
      </c>
      <c r="K79">
        <f ca="1">COUNTIFS(INDIRECT("Table1[Beginn]"),"&lt;="&amp;K$1,INDIRECT("Table1[Ende]"),"&gt;="&amp;K$1,INDIRECT("Table1[Obergruppe ATC-Code]"),Tabelle3!$A79)</f>
        <v>1</v>
      </c>
      <c r="L79">
        <f ca="1">COUNTIFS(INDIRECT("Table1[Beginn]"),"&lt;="&amp;L$1,INDIRECT("Table1[Ende]"),"&gt;="&amp;L$1,INDIRECT("Table1[Obergruppe ATC-Code]"),Tabelle3!$A79)</f>
        <v>1</v>
      </c>
      <c r="M79">
        <f ca="1">COUNTIFS(INDIRECT("Table1[Beginn]"),"&lt;="&amp;M$1,INDIRECT("Table1[Ende]"),"&gt;="&amp;M$1,INDIRECT("Table1[Obergruppe ATC-Code]"),Tabelle3!$A79)</f>
        <v>1</v>
      </c>
      <c r="N79">
        <f ca="1">COUNTIFS(INDIRECT("Table1[Beginn]"),"&lt;="&amp;N$1,INDIRECT("Table1[Ende]"),"&gt;="&amp;N$1,INDIRECT("Table1[Obergruppe ATC-Code]"),Tabelle3!$A79)</f>
        <v>1</v>
      </c>
      <c r="O79">
        <f ca="1">COUNTIFS(INDIRECT("Table1[Beginn]"),"&lt;="&amp;O$1,INDIRECT("Table1[Ende]"),"&gt;="&amp;O$1,INDIRECT("Table1[Obergruppe ATC-Code]"),Tabelle3!$A79)</f>
        <v>1</v>
      </c>
      <c r="P79">
        <f ca="1">COUNTIFS(INDIRECT("Table1[Beginn]"),"&lt;="&amp;P$1,INDIRECT("Table1[Ende]"),"&gt;="&amp;P$1,INDIRECT("Table1[Obergruppe ATC-Code]"),Tabelle3!$A79)</f>
        <v>1</v>
      </c>
      <c r="Q79">
        <f ca="1">COUNTIFS(INDIRECT("Table1[Beginn]"),"&lt;="&amp;Q$1,INDIRECT("Table1[Ende]"),"&gt;="&amp;Q$1,INDIRECT("Table1[Obergruppe ATC-Code]"),Tabelle3!$A79)</f>
        <v>1</v>
      </c>
      <c r="R79">
        <f ca="1">COUNTIFS(INDIRECT("Table1[Beginn]"),"&lt;="&amp;R$1,INDIRECT("Table1[Ende]"),"&gt;="&amp;R$1,INDIRECT("Table1[Obergruppe ATC-Code]"),Tabelle3!$A79)</f>
        <v>1</v>
      </c>
      <c r="S79">
        <f ca="1">COUNTIFS(INDIRECT("Table1[Beginn]"),"&lt;="&amp;S$1,INDIRECT("Table1[Ende]"),"&gt;="&amp;S$1,INDIRECT("Table1[Obergruppe ATC-Code]"),Tabelle3!$A79)</f>
        <v>1</v>
      </c>
      <c r="T79">
        <f ca="1">COUNTIFS(INDIRECT("Table1[Beginn]"),"&lt;="&amp;T$1,INDIRECT("Table1[Ende]"),"&gt;="&amp;T$1,INDIRECT("Table1[Obergruppe ATC-Code]"),Tabelle3!$A79)</f>
        <v>1</v>
      </c>
      <c r="U79">
        <f ca="1">COUNTIFS(INDIRECT("Table1[Beginn]"),"&lt;="&amp;U$1,INDIRECT("Table1[Ende]"),"&gt;="&amp;U$1,INDIRECT("Table1[Obergruppe ATC-Code]"),Tabelle3!$A79)</f>
        <v>0</v>
      </c>
      <c r="V79">
        <f ca="1">COUNTIFS(INDIRECT("Table1[Beginn]"),"&lt;="&amp;V$1,INDIRECT("Table1[Ende]"),"&gt;="&amp;V$1,INDIRECT("Table1[Obergruppe ATC-Code]"),Tabelle3!$A79)</f>
        <v>0</v>
      </c>
      <c r="W79">
        <f ca="1">COUNTIFS(INDIRECT("Table1[Beginn]"),"&lt;="&amp;W$1,INDIRECT("Table1[Ende]"),"&gt;="&amp;W$1,INDIRECT("Table1[Obergruppe ATC-Code]"),Tabelle3!$A79)</f>
        <v>0</v>
      </c>
      <c r="X79">
        <f ca="1">COUNTIFS(INDIRECT("Table1[Beginn]"),"&lt;="&amp;X$1,INDIRECT("Table1[Ende]"),"&gt;="&amp;X$1,INDIRECT("Table1[Obergruppe ATC-Code]"),Tabelle3!$A79)</f>
        <v>0</v>
      </c>
      <c r="Y79">
        <f ca="1">COUNTIFS(INDIRECT("Table1[Beginn]"),"&lt;="&amp;Y$1,INDIRECT("Table1[Ende]"),"&gt;="&amp;Y$1,INDIRECT("Table1[Obergruppe ATC-Code]"),Tabelle3!$A79)</f>
        <v>0</v>
      </c>
      <c r="Z79">
        <f ca="1">COUNTIFS(INDIRECT("Table1[Beginn]"),"&lt;="&amp;Z$1,INDIRECT("Table1[Ende]"),"&gt;="&amp;Z$1,INDIRECT("Table1[Obergruppe ATC-Code]"),Tabelle3!$A79)</f>
        <v>0</v>
      </c>
      <c r="AA79">
        <f ca="1">COUNTIFS(INDIRECT("Table1[Beginn]"),"&lt;="&amp;AA$1,INDIRECT("Table1[Ende]"),"&gt;="&amp;AA$1,INDIRECT("Table1[Obergruppe ATC-Code]"),Tabelle3!$A79)</f>
        <v>0</v>
      </c>
      <c r="AB79">
        <f ca="1">COUNTIFS(INDIRECT("Table1[Beginn]"),"&lt;="&amp;AB$1,INDIRECT("Table1[Ende]"),"&gt;="&amp;AB$1,INDIRECT("Table1[Obergruppe ATC-Code]"),Tabelle3!$A79)</f>
        <v>0</v>
      </c>
      <c r="AC79">
        <f ca="1">COUNTIFS(INDIRECT("Table1[Beginn]"),"&lt;="&amp;AC$1,INDIRECT("Table1[Ende]"),"&gt;="&amp;AC$1,INDIRECT("Table1[Obergruppe ATC-Code]"),Tabelle3!$A79)</f>
        <v>0</v>
      </c>
      <c r="AD79">
        <f ca="1">COUNTIFS(INDIRECT("Table1[Beginn]"),"&lt;="&amp;AD$1,INDIRECT("Table1[Ende]"),"&gt;="&amp;AD$1,INDIRECT("Table1[Obergruppe ATC-Code]"),Tabelle3!$A79)</f>
        <v>0</v>
      </c>
      <c r="AE79">
        <f ca="1">COUNTIFS(INDIRECT("Table1[Beginn]"),"&lt;="&amp;AE$1,INDIRECT("Table1[Ende]"),"&gt;="&amp;AE$1,INDIRECT("Table1[Obergruppe ATC-Code]"),Tabelle3!$A79)</f>
        <v>0</v>
      </c>
      <c r="AF79">
        <f ca="1">COUNTIFS(INDIRECT("Table1[Beginn]"),"&lt;="&amp;AF$1,INDIRECT("Table1[Ende]"),"&gt;="&amp;AF$1,INDIRECT("Table1[Obergruppe ATC-Code]"),Tabelle3!$A79)</f>
        <v>0</v>
      </c>
      <c r="AG79">
        <f ca="1">COUNTIFS(INDIRECT("Table1[Beginn]"),"&lt;="&amp;AG$1,INDIRECT("Table1[Ende]"),"&gt;="&amp;AG$1,INDIRECT("Table1[Obergruppe ATC-Code]"),Tabelle3!$A79)</f>
        <v>0</v>
      </c>
      <c r="AH79">
        <f ca="1">COUNTIFS(INDIRECT("Table1[Beginn]"),"&lt;="&amp;AH$1,INDIRECT("Table1[Ende]"),"&gt;="&amp;AH$1,INDIRECT("Table1[Obergruppe ATC-Code]"),Tabelle3!$A79)</f>
        <v>0</v>
      </c>
      <c r="AI79">
        <f ca="1">COUNTIFS(INDIRECT("Table1[Beginn]"),"&lt;="&amp;AI$1,INDIRECT("Table1[Ende]"),"&gt;="&amp;AI$1,INDIRECT("Table1[Obergruppe ATC-Code]"),Tabelle3!$A79)</f>
        <v>0</v>
      </c>
      <c r="AJ79">
        <f ca="1">COUNTIFS(INDIRECT("Table1[Beginn]"),"&lt;="&amp;AJ$1,INDIRECT("Table1[Ende]"),"&gt;="&amp;AJ$1,INDIRECT("Table1[Obergruppe ATC-Code]"),Tabelle3!$A79)</f>
        <v>0</v>
      </c>
      <c r="AK79">
        <f ca="1">COUNTIFS(INDIRECT("Table1[Beginn]"),"&lt;="&amp;AK$1,INDIRECT("Table1[Ende]"),"&gt;="&amp;AK$1,INDIRECT("Table1[Obergruppe ATC-Code]"),Tabelle3!$A79)</f>
        <v>0</v>
      </c>
      <c r="AL79">
        <f ca="1">COUNTIFS(INDIRECT("Table1[Beginn]"),"&lt;="&amp;AL$1,INDIRECT("Table1[Ende]"),"&gt;="&amp;AL$1,INDIRECT("Table1[Obergruppe ATC-Code]"),Tabelle3!$A79)</f>
        <v>0</v>
      </c>
      <c r="AM79">
        <f ca="1">COUNTIFS(INDIRECT("Table1[Beginn]"),"&lt;="&amp;AM$1,INDIRECT("Table1[Ende]"),"&gt;="&amp;AM$1,INDIRECT("Table1[Obergruppe ATC-Code]"),Tabelle3!$A79)</f>
        <v>0</v>
      </c>
      <c r="AN79">
        <f ca="1">COUNTIFS(INDIRECT("Table1[Beginn]"),"&lt;="&amp;AN$1,INDIRECT("Table1[Ende]"),"&gt;="&amp;AN$1,INDIRECT("Table1[Obergruppe ATC-Code]"),Tabelle3!$A79)</f>
        <v>0</v>
      </c>
      <c r="AO79">
        <f ca="1">COUNTIFS(INDIRECT("Table1[Beginn]"),"&lt;="&amp;AO$1,INDIRECT("Table1[Ende]"),"&gt;="&amp;AO$1,INDIRECT("Table1[Obergruppe ATC-Code]"),Tabelle3!$A79)</f>
        <v>0</v>
      </c>
      <c r="AP79">
        <f ca="1">COUNTIFS(INDIRECT("Table1[Beginn]"),"&lt;="&amp;AP$1,INDIRECT("Table1[Ende]"),"&gt;="&amp;AP$1,INDIRECT("Table1[Obergruppe ATC-Code]"),Tabelle3!$A79)</f>
        <v>0</v>
      </c>
      <c r="AQ79">
        <f ca="1">COUNTIFS(INDIRECT("Table1[Beginn]"),"&lt;="&amp;AQ$1,INDIRECT("Table1[Ende]"),"&gt;="&amp;AQ$1,INDIRECT("Table1[Obergruppe ATC-Code]"),Tabelle3!$A79)</f>
        <v>0</v>
      </c>
      <c r="AR79">
        <f ca="1">COUNTIFS(INDIRECT("Table1[Beginn]"),"&lt;="&amp;AR$1,INDIRECT("Table1[Ende]"),"&gt;="&amp;AR$1,INDIRECT("Table1[Obergruppe ATC-Code]"),Tabelle3!$A79)</f>
        <v>0</v>
      </c>
      <c r="AS79">
        <f ca="1">COUNTIFS(INDIRECT("Table1[Beginn]"),"&lt;="&amp;AS$1,INDIRECT("Table1[Ende]"),"&gt;="&amp;AS$1,INDIRECT("Table1[Obergruppe ATC-Code]"),Tabelle3!$A79)</f>
        <v>0</v>
      </c>
      <c r="AT79">
        <f ca="1">COUNTIFS(INDIRECT("Table1[Beginn]"),"&lt;="&amp;AT$1,INDIRECT("Table1[Ende]"),"&gt;="&amp;AT$1,INDIRECT("Table1[Obergruppe ATC-Code]"),Tabelle3!$A79)</f>
        <v>0</v>
      </c>
      <c r="AU79">
        <f ca="1">COUNTIFS(INDIRECT("Table1[Beginn]"),"&lt;="&amp;AU$1,INDIRECT("Table1[Ende]"),"&gt;="&amp;AU$1,INDIRECT("Table1[Obergruppe ATC-Code]"),Tabelle3!$A79)</f>
        <v>0</v>
      </c>
      <c r="AV79">
        <f ca="1">COUNTIFS(INDIRECT("Table1[Beginn]"),"&lt;="&amp;AV$1,INDIRECT("Table1[Ende]"),"&gt;="&amp;AV$1,INDIRECT("Table1[Obergruppe ATC-Code]"),Tabelle3!$A79)</f>
        <v>0</v>
      </c>
      <c r="AW79">
        <f ca="1">COUNTIFS(INDIRECT("Table1[Beginn]"),"&lt;="&amp;AW$1,INDIRECT("Table1[Ende]"),"&gt;="&amp;AW$1,INDIRECT("Table1[Obergruppe ATC-Code]"),Tabelle3!$A79)</f>
        <v>0</v>
      </c>
      <c r="AX79">
        <f ca="1">COUNTIFS(INDIRECT("Table1[Beginn]"),"&lt;="&amp;AX$1,INDIRECT("Table1[Ende]"),"&gt;="&amp;AX$1,INDIRECT("Table1[Obergruppe ATC-Code]"),Tabelle3!$A79)</f>
        <v>0</v>
      </c>
      <c r="AY79">
        <f ca="1">COUNTIFS(INDIRECT("Table1[Beginn]"),"&lt;="&amp;AY$1,INDIRECT("Table1[Ende]"),"&gt;="&amp;AY$1,INDIRECT("Table1[Obergruppe ATC-Code]"),Tabelle3!$A79)</f>
        <v>0</v>
      </c>
      <c r="AZ79">
        <f ca="1">COUNTIFS(INDIRECT("Table1[Beginn]"),"&lt;="&amp;AZ$1,INDIRECT("Table1[Ende]"),"&gt;="&amp;AZ$1,INDIRECT("Table1[Obergruppe ATC-Code]"),Tabelle3!$A79)</f>
        <v>0</v>
      </c>
      <c r="BA79">
        <f ca="1">COUNTIFS(INDIRECT("Table1[Beginn]"),"&lt;="&amp;BA$1,INDIRECT("Table1[Ende]"),"&gt;="&amp;BA$1,INDIRECT("Table1[Obergruppe ATC-Code]"),Tabelle3!$A79)</f>
        <v>0</v>
      </c>
      <c r="BB79">
        <f ca="1">COUNTIFS(INDIRECT("Table1[Beginn]"),"&lt;="&amp;BB$1,INDIRECT("Table1[Ende]"),"&gt;="&amp;BB$1,INDIRECT("Table1[Obergruppe ATC-Code]"),Tabelle3!$A79)</f>
        <v>0</v>
      </c>
      <c r="BC79">
        <f ca="1">COUNTIFS(INDIRECT("Table1[Beginn]"),"&lt;="&amp;BC$1,INDIRECT("Table1[Ende]"),"&gt;="&amp;BC$1,INDIRECT("Table1[Obergruppe ATC-Code]"),Tabelle3!$A79)</f>
        <v>0</v>
      </c>
      <c r="BD79">
        <f ca="1">COUNTIFS(INDIRECT("Table1[Beginn]"),"&lt;="&amp;BD$1,INDIRECT("Table1[Ende]"),"&gt;="&amp;BD$1,INDIRECT("Table1[Obergruppe ATC-Code]"),Tabelle3!$A79)</f>
        <v>0</v>
      </c>
      <c r="BE79">
        <f ca="1">COUNTIFS(INDIRECT("Table1[Beginn]"),"&lt;="&amp;BE$1,INDIRECT("Table1[Ende]"),"&gt;="&amp;BE$1,INDIRECT("Table1[Obergruppe ATC-Code]"),Tabelle3!$A79)</f>
        <v>0</v>
      </c>
      <c r="BF79">
        <f ca="1">COUNTIFS(INDIRECT("Table1[Beginn]"),"&lt;="&amp;BF$1,INDIRECT("Table1[Ende]"),"&gt;="&amp;BF$1,INDIRECT("Table1[Obergruppe ATC-Code]"),Tabelle3!$A79)</f>
        <v>0</v>
      </c>
      <c r="BG79">
        <f ca="1">COUNTIFS(INDIRECT("Table1[Beginn]"),"&lt;="&amp;BG$1,INDIRECT("Table1[Ende]"),"&gt;="&amp;BG$1,INDIRECT("Table1[Obergruppe ATC-Code]"),Tabelle3!$A79)</f>
        <v>0</v>
      </c>
      <c r="BH79">
        <f ca="1">COUNTIFS(INDIRECT("Table1[Beginn]"),"&lt;="&amp;BH$1,INDIRECT("Table1[Ende]"),"&gt;="&amp;BH$1,INDIRECT("Table1[Obergruppe ATC-Code]"),Tabelle3!$A79)</f>
        <v>0</v>
      </c>
      <c r="BI79">
        <f ca="1">COUNTIFS(INDIRECT("Table1[Beginn]"),"&lt;="&amp;BI$1,INDIRECT("Table1[Ende]"),"&gt;="&amp;BI$1,INDIRECT("Table1[Obergruppe ATC-Code]"),Tabelle3!$A79)</f>
        <v>0</v>
      </c>
      <c r="BJ79">
        <f ca="1">COUNTIFS(INDIRECT("Table1[Beginn]"),"&lt;="&amp;BJ$1,INDIRECT("Table1[Ende]"),"&gt;="&amp;BJ$1,INDIRECT("Table1[Obergruppe ATC-Code]"),Tabelle3!$A79)</f>
        <v>0</v>
      </c>
      <c r="BK79">
        <f ca="1">COUNTIFS(INDIRECT("Table1[Beginn]"),"&lt;="&amp;BK$1,INDIRECT("Table1[Ende]"),"&gt;="&amp;BK$1,INDIRECT("Table1[Obergruppe ATC-Code]"),Tabelle3!$A79)</f>
        <v>0</v>
      </c>
      <c r="BL79">
        <f ca="1">COUNTIFS(INDIRECT("Table1[Beginn]"),"&lt;="&amp;BL$1,INDIRECT("Table1[Ende]"),"&gt;="&amp;BL$1,INDIRECT("Table1[Obergruppe ATC-Code]"),Tabelle3!$A79)</f>
        <v>0</v>
      </c>
      <c r="BM79">
        <f ca="1">COUNTIFS(INDIRECT("Table1[Beginn]"),"&lt;="&amp;BM$1,INDIRECT("Table1[Ende]"),"&gt;="&amp;BM$1,INDIRECT("Table1[Obergruppe ATC-Code]"),Tabelle3!$A79)</f>
        <v>0</v>
      </c>
      <c r="BN79">
        <f ca="1">COUNTIFS(INDIRECT("Table1[Beginn]"),"&lt;="&amp;BN$1,INDIRECT("Table1[Ende]"),"&gt;="&amp;BN$1,INDIRECT("Table1[Obergruppe ATC-Code]"),Tabelle3!$A79)</f>
        <v>0</v>
      </c>
      <c r="BO79">
        <f ca="1">COUNTIFS(INDIRECT("Table1[Beginn]"),"&lt;="&amp;BO$1,INDIRECT("Table1[Ende]"),"&gt;="&amp;BO$1,INDIRECT("Table1[Obergruppe ATC-Code]"),Tabelle3!$A79)</f>
        <v>0</v>
      </c>
      <c r="BP79">
        <f ca="1">COUNTIFS(INDIRECT("Table1[Beginn]"),"&lt;="&amp;BP$1,INDIRECT("Table1[Ende]"),"&gt;="&amp;BP$1,INDIRECT("Table1[Obergruppe ATC-Code]"),Tabelle3!$A79)</f>
        <v>0</v>
      </c>
      <c r="BQ79">
        <f ca="1">COUNTIFS(INDIRECT("Table1[Beginn]"),"&lt;="&amp;BQ$1,INDIRECT("Table1[Ende]"),"&gt;="&amp;BQ$1,INDIRECT("Table1[Obergruppe ATC-Code]"),Tabelle3!$A79)</f>
        <v>0</v>
      </c>
      <c r="BR79">
        <f ca="1">COUNTIFS(INDIRECT("Table1[Beginn]"),"&lt;="&amp;BR$1,INDIRECT("Table1[Ende]"),"&gt;="&amp;BR$1,INDIRECT("Table1[Obergruppe ATC-Code]"),Tabelle3!$A79)</f>
        <v>0</v>
      </c>
      <c r="BS79">
        <f ca="1">COUNTIFS(INDIRECT("Table1[Beginn]"),"&lt;="&amp;BS$1,INDIRECT("Table1[Ende]"),"&gt;="&amp;BS$1,INDIRECT("Table1[Obergruppe ATC-Code]"),Tabelle3!$A79)</f>
        <v>0</v>
      </c>
      <c r="BT79">
        <f ca="1">COUNTIFS(INDIRECT("Table1[Beginn]"),"&lt;="&amp;BT$1,INDIRECT("Table1[Ende]"),"&gt;="&amp;BT$1,INDIRECT("Table1[Obergruppe ATC-Code]"),Tabelle3!$A79)</f>
        <v>0</v>
      </c>
      <c r="BU79">
        <f ca="1">COUNTIFS(INDIRECT("Table1[Beginn]"),"&lt;="&amp;BU$1,INDIRECT("Table1[Ende]"),"&gt;="&amp;BU$1,INDIRECT("Table1[Obergruppe ATC-Code]"),Tabelle3!$A79)</f>
        <v>0</v>
      </c>
      <c r="BV79">
        <f ca="1">COUNTIFS(INDIRECT("Table1[Beginn]"),"&lt;="&amp;BV$1,INDIRECT("Table1[Ende]"),"&gt;="&amp;BV$1,INDIRECT("Table1[Obergruppe ATC-Code]"),Tabelle3!$A79)</f>
        <v>0</v>
      </c>
      <c r="BW79">
        <f ca="1">COUNTIFS(INDIRECT("Table1[Beginn]"),"&lt;="&amp;BW$1,INDIRECT("Table1[Ende]"),"&gt;="&amp;BW$1,INDIRECT("Table1[Obergruppe ATC-Code]"),Tabelle3!$A79)</f>
        <v>0</v>
      </c>
      <c r="BX79">
        <f ca="1">COUNTIFS(INDIRECT("Table1[Beginn]"),"&lt;="&amp;BX$1,INDIRECT("Table1[Ende]"),"&gt;="&amp;BX$1,INDIRECT("Table1[Obergruppe ATC-Code]"),Tabelle3!$A79)</f>
        <v>6</v>
      </c>
      <c r="BY79">
        <f ca="1">COUNTIFS(INDIRECT("Table1[Beginn]"),"&lt;="&amp;BY$1,INDIRECT("Table1[Ende]"),"&gt;="&amp;BY$1,INDIRECT("Table1[Obergruppe ATC-Code]"),Tabelle3!$A79)</f>
        <v>5</v>
      </c>
      <c r="BZ79">
        <f ca="1">COUNTIFS(INDIRECT("Table1[Beginn]"),"&lt;="&amp;BZ$1,INDIRECT("Table1[Ende]"),"&gt;="&amp;BZ$1,INDIRECT("Table1[Obergruppe ATC-Code]"),Tabelle3!$A79)</f>
        <v>5</v>
      </c>
      <c r="CA79">
        <f ca="1">COUNTIFS(INDIRECT("Table1[Beginn]"),"&lt;="&amp;CA$1,INDIRECT("Table1[Ende]"),"&gt;="&amp;CA$1,INDIRECT("Table1[Obergruppe ATC-Code]"),Tabelle3!$A79)</f>
        <v>7</v>
      </c>
      <c r="CB79">
        <f ca="1">COUNTIFS(INDIRECT("Table1[Beginn]"),"&lt;="&amp;CB$1,INDIRECT("Table1[Ende]"),"&gt;="&amp;CB$1,INDIRECT("Table1[Obergruppe ATC-Code]"),Tabelle3!$A79)</f>
        <v>7</v>
      </c>
      <c r="CC79">
        <f ca="1">COUNTIFS(INDIRECT("Table1[Beginn]"),"&lt;="&amp;CC$1,INDIRECT("Table1[Ende]"),"&gt;="&amp;CC$1,INDIRECT("Table1[Obergruppe ATC-Code]"),Tabelle3!$A79)</f>
        <v>4</v>
      </c>
      <c r="CD79">
        <f ca="1">COUNTIFS(INDIRECT("Table1[Beginn]"),"&lt;="&amp;CD$1,INDIRECT("Table1[Ende]"),"&gt;="&amp;CD$1,INDIRECT("Table1[Obergruppe ATC-Code]"),Tabelle3!$A79)</f>
        <v>4</v>
      </c>
      <c r="CE79">
        <f ca="1">COUNTIFS(INDIRECT("Table1[Beginn]"),"&lt;="&amp;CE$1,INDIRECT("Table1[Ende]"),"&gt;="&amp;CE$1,INDIRECT("Table1[Obergruppe ATC-Code]"),Tabelle3!$A79)</f>
        <v>2</v>
      </c>
      <c r="CF79">
        <f ca="1">COUNTIFS(INDIRECT("Table1[Beginn]"),"&lt;="&amp;CF$1,INDIRECT("Table1[Ende]"),"&gt;="&amp;CF$1,INDIRECT("Table1[Obergruppe ATC-Code]"),Tabelle3!$A79)</f>
        <v>2</v>
      </c>
      <c r="CG79">
        <f ca="1">COUNTIFS(INDIRECT("Table1[Beginn]"),"&lt;="&amp;CG$1,INDIRECT("Table1[Ende]"),"&gt;="&amp;CG$1,INDIRECT("Table1[Obergruppe ATC-Code]"),Tabelle3!$A79)</f>
        <v>0</v>
      </c>
      <c r="CH79">
        <f ca="1">COUNTIFS(INDIRECT("Table1[Beginn]"),"&lt;="&amp;CH$1,INDIRECT("Table1[Ende]"),"&gt;="&amp;CH$1,INDIRECT("Table1[Obergruppe ATC-Code]"),Tabelle3!$A79)</f>
        <v>0</v>
      </c>
      <c r="CI79">
        <f ca="1">COUNTIFS(INDIRECT("Table1[Beginn]"),"&lt;="&amp;CI$1,INDIRECT("Table1[Ende]"),"&gt;="&amp;CI$1,INDIRECT("Table1[Obergruppe ATC-Code]"),Tabelle3!$A79)</f>
        <v>0</v>
      </c>
      <c r="CJ79">
        <f ca="1">COUNTIFS(INDIRECT("Table1[Beginn]"),"&lt;="&amp;CJ$1,INDIRECT("Table1[Ende]"),"&gt;="&amp;CJ$1,INDIRECT("Table1[Obergruppe ATC-Code]"),Tabelle3!$A79)</f>
        <v>0</v>
      </c>
      <c r="CK79">
        <f ca="1">COUNTIFS(INDIRECT("Table1[Beginn]"),"&lt;="&amp;CK$1,INDIRECT("Table1[Ende]"),"&gt;="&amp;CK$1,INDIRECT("Table1[Obergruppe ATC-Code]"),Tabelle3!$A79)</f>
        <v>0</v>
      </c>
      <c r="CL79">
        <f ca="1">COUNTIFS(INDIRECT("Table1[Beginn]"),"&lt;="&amp;CL$1,INDIRECT("Table1[Ende]"),"&gt;="&amp;CL$1,INDIRECT("Table1[Obergruppe ATC-Code]"),Tabelle3!$A79)</f>
        <v>0</v>
      </c>
      <c r="CM79">
        <f ca="1">COUNTIFS(INDIRECT("Table1[Beginn]"),"&lt;="&amp;CM$1,INDIRECT("Table1[Ende]"),"&gt;="&amp;CM$1,INDIRECT("Table1[Obergruppe ATC-Code]"),Tabelle3!$A79)</f>
        <v>0</v>
      </c>
      <c r="CN79">
        <f ca="1">COUNTIFS(INDIRECT("Table1[Beginn]"),"&lt;="&amp;CN$1,INDIRECT("Table1[Ende]"),"&gt;="&amp;CN$1,INDIRECT("Table1[Obergruppe ATC-Code]"),Tabelle3!$A79)</f>
        <v>0</v>
      </c>
      <c r="CO79">
        <f ca="1">COUNTIFS(INDIRECT("Table1[Beginn]"),"&lt;="&amp;CO$1,INDIRECT("Table1[Ende]"),"&gt;="&amp;CO$1,INDIRECT("Table1[Obergruppe ATC-Code]"),Tabelle3!$A79)</f>
        <v>0</v>
      </c>
      <c r="CP79">
        <f ca="1">COUNTIFS(INDIRECT("Table1[Beginn]"),"&lt;="&amp;CP$1,INDIRECT("Table1[Ende]"),"&gt;="&amp;CP$1,INDIRECT("Table1[Obergruppe ATC-Code]"),Tabelle3!$A79)</f>
        <v>0</v>
      </c>
      <c r="CQ79">
        <f ca="1">COUNTIFS(INDIRECT("Table1[Beginn]"),"&lt;="&amp;CQ$1,INDIRECT("Table1[Ende]"),"&gt;="&amp;CQ$1,INDIRECT("Table1[Obergruppe ATC-Code]"),Tabelle3!$A79)</f>
        <v>0</v>
      </c>
      <c r="CR79">
        <f ca="1">COUNTIFS(INDIRECT("Table1[Beginn]"),"&lt;="&amp;CR$1,INDIRECT("Table1[Ende]"),"&gt;="&amp;CR$1,INDIRECT("Table1[Obergruppe ATC-Code]"),Tabelle3!$A79)</f>
        <v>0</v>
      </c>
    </row>
    <row r="80" spans="1:96" ht="18">
      <c r="A80" s="7" t="s">
        <v>6928</v>
      </c>
      <c r="B80" s="8" t="s">
        <v>6929</v>
      </c>
      <c r="C80">
        <f ca="1">COUNTIFS(INDIRECT("Table1[Beginn]"),"&lt;="&amp;C$1,INDIRECT("Table1[Ende]"),"&gt;="&amp;C$1,INDIRECT("Table1[Obergruppe ATC-Code]"),Tabelle3!$A80)</f>
        <v>0</v>
      </c>
      <c r="D80">
        <f ca="1">COUNTIFS(INDIRECT("Table1[Beginn]"),"&lt;="&amp;D$1,INDIRECT("Table1[Ende]"),"&gt;="&amp;D$1,INDIRECT("Table1[Obergruppe ATC-Code]"),Tabelle3!$A80)</f>
        <v>0</v>
      </c>
      <c r="E80">
        <f ca="1">COUNTIFS(INDIRECT("Table1[Beginn]"),"&lt;="&amp;E$1,INDIRECT("Table1[Ende]"),"&gt;="&amp;E$1,INDIRECT("Table1[Obergruppe ATC-Code]"),Tabelle3!$A80)</f>
        <v>0</v>
      </c>
      <c r="F80">
        <f ca="1">COUNTIFS(INDIRECT("Table1[Beginn]"),"&lt;="&amp;F$1,INDIRECT("Table1[Ende]"),"&gt;="&amp;F$1,INDIRECT("Table1[Obergruppe ATC-Code]"),Tabelle3!$A80)</f>
        <v>0</v>
      </c>
      <c r="G80">
        <f ca="1">COUNTIFS(INDIRECT("Table1[Beginn]"),"&lt;="&amp;G$1,INDIRECT("Table1[Ende]"),"&gt;="&amp;G$1,INDIRECT("Table1[Obergruppe ATC-Code]"),Tabelle3!$A80)</f>
        <v>0</v>
      </c>
      <c r="H80">
        <f ca="1">COUNTIFS(INDIRECT("Table1[Beginn]"),"&lt;="&amp;H$1,INDIRECT("Table1[Ende]"),"&gt;="&amp;H$1,INDIRECT("Table1[Obergruppe ATC-Code]"),Tabelle3!$A80)</f>
        <v>0</v>
      </c>
      <c r="I80">
        <f ca="1">COUNTIFS(INDIRECT("Table1[Beginn]"),"&lt;="&amp;I$1,INDIRECT("Table1[Ende]"),"&gt;="&amp;I$1,INDIRECT("Table1[Obergruppe ATC-Code]"),Tabelle3!$A80)</f>
        <v>0</v>
      </c>
      <c r="J80">
        <f ca="1">COUNTIFS(INDIRECT("Table1[Beginn]"),"&lt;="&amp;J$1,INDIRECT("Table1[Ende]"),"&gt;="&amp;J$1,INDIRECT("Table1[Obergruppe ATC-Code]"),Tabelle3!$A80)</f>
        <v>0</v>
      </c>
      <c r="K80">
        <f ca="1">COUNTIFS(INDIRECT("Table1[Beginn]"),"&lt;="&amp;K$1,INDIRECT("Table1[Ende]"),"&gt;="&amp;K$1,INDIRECT("Table1[Obergruppe ATC-Code]"),Tabelle3!$A80)</f>
        <v>0</v>
      </c>
      <c r="L80">
        <f ca="1">COUNTIFS(INDIRECT("Table1[Beginn]"),"&lt;="&amp;L$1,INDIRECT("Table1[Ende]"),"&gt;="&amp;L$1,INDIRECT("Table1[Obergruppe ATC-Code]"),Tabelle3!$A80)</f>
        <v>0</v>
      </c>
      <c r="M80">
        <f ca="1">COUNTIFS(INDIRECT("Table1[Beginn]"),"&lt;="&amp;M$1,INDIRECT("Table1[Ende]"),"&gt;="&amp;M$1,INDIRECT("Table1[Obergruppe ATC-Code]"),Tabelle3!$A80)</f>
        <v>0</v>
      </c>
      <c r="N80">
        <f ca="1">COUNTIFS(INDIRECT("Table1[Beginn]"),"&lt;="&amp;N$1,INDIRECT("Table1[Ende]"),"&gt;="&amp;N$1,INDIRECT("Table1[Obergruppe ATC-Code]"),Tabelle3!$A80)</f>
        <v>0</v>
      </c>
      <c r="O80">
        <f ca="1">COUNTIFS(INDIRECT("Table1[Beginn]"),"&lt;="&amp;O$1,INDIRECT("Table1[Ende]"),"&gt;="&amp;O$1,INDIRECT("Table1[Obergruppe ATC-Code]"),Tabelle3!$A80)</f>
        <v>0</v>
      </c>
      <c r="P80">
        <f ca="1">COUNTIFS(INDIRECT("Table1[Beginn]"),"&lt;="&amp;P$1,INDIRECT("Table1[Ende]"),"&gt;="&amp;P$1,INDIRECT("Table1[Obergruppe ATC-Code]"),Tabelle3!$A80)</f>
        <v>0</v>
      </c>
      <c r="Q80">
        <f ca="1">COUNTIFS(INDIRECT("Table1[Beginn]"),"&lt;="&amp;Q$1,INDIRECT("Table1[Ende]"),"&gt;="&amp;Q$1,INDIRECT("Table1[Obergruppe ATC-Code]"),Tabelle3!$A80)</f>
        <v>0</v>
      </c>
      <c r="R80">
        <f ca="1">COUNTIFS(INDIRECT("Table1[Beginn]"),"&lt;="&amp;R$1,INDIRECT("Table1[Ende]"),"&gt;="&amp;R$1,INDIRECT("Table1[Obergruppe ATC-Code]"),Tabelle3!$A80)</f>
        <v>0</v>
      </c>
      <c r="S80">
        <f ca="1">COUNTIFS(INDIRECT("Table1[Beginn]"),"&lt;="&amp;S$1,INDIRECT("Table1[Ende]"),"&gt;="&amp;S$1,INDIRECT("Table1[Obergruppe ATC-Code]"),Tabelle3!$A80)</f>
        <v>0</v>
      </c>
      <c r="T80">
        <f ca="1">COUNTIFS(INDIRECT("Table1[Beginn]"),"&lt;="&amp;T$1,INDIRECT("Table1[Ende]"),"&gt;="&amp;T$1,INDIRECT("Table1[Obergruppe ATC-Code]"),Tabelle3!$A80)</f>
        <v>0</v>
      </c>
      <c r="U80">
        <f ca="1">COUNTIFS(INDIRECT("Table1[Beginn]"),"&lt;="&amp;U$1,INDIRECT("Table1[Ende]"),"&gt;="&amp;U$1,INDIRECT("Table1[Obergruppe ATC-Code]"),Tabelle3!$A80)</f>
        <v>0</v>
      </c>
      <c r="V80">
        <f ca="1">COUNTIFS(INDIRECT("Table1[Beginn]"),"&lt;="&amp;V$1,INDIRECT("Table1[Ende]"),"&gt;="&amp;V$1,INDIRECT("Table1[Obergruppe ATC-Code]"),Tabelle3!$A80)</f>
        <v>0</v>
      </c>
      <c r="W80">
        <f ca="1">COUNTIFS(INDIRECT("Table1[Beginn]"),"&lt;="&amp;W$1,INDIRECT("Table1[Ende]"),"&gt;="&amp;W$1,INDIRECT("Table1[Obergruppe ATC-Code]"),Tabelle3!$A80)</f>
        <v>0</v>
      </c>
      <c r="X80">
        <f ca="1">COUNTIFS(INDIRECT("Table1[Beginn]"),"&lt;="&amp;X$1,INDIRECT("Table1[Ende]"),"&gt;="&amp;X$1,INDIRECT("Table1[Obergruppe ATC-Code]"),Tabelle3!$A80)</f>
        <v>0</v>
      </c>
      <c r="Y80">
        <f ca="1">COUNTIFS(INDIRECT("Table1[Beginn]"),"&lt;="&amp;Y$1,INDIRECT("Table1[Ende]"),"&gt;="&amp;Y$1,INDIRECT("Table1[Obergruppe ATC-Code]"),Tabelle3!$A80)</f>
        <v>0</v>
      </c>
      <c r="Z80">
        <f ca="1">COUNTIFS(INDIRECT("Table1[Beginn]"),"&lt;="&amp;Z$1,INDIRECT("Table1[Ende]"),"&gt;="&amp;Z$1,INDIRECT("Table1[Obergruppe ATC-Code]"),Tabelle3!$A80)</f>
        <v>0</v>
      </c>
      <c r="AA80">
        <f ca="1">COUNTIFS(INDIRECT("Table1[Beginn]"),"&lt;="&amp;AA$1,INDIRECT("Table1[Ende]"),"&gt;="&amp;AA$1,INDIRECT("Table1[Obergruppe ATC-Code]"),Tabelle3!$A80)</f>
        <v>0</v>
      </c>
      <c r="AB80">
        <f ca="1">COUNTIFS(INDIRECT("Table1[Beginn]"),"&lt;="&amp;AB$1,INDIRECT("Table1[Ende]"),"&gt;="&amp;AB$1,INDIRECT("Table1[Obergruppe ATC-Code]"),Tabelle3!$A80)</f>
        <v>0</v>
      </c>
      <c r="AC80">
        <f ca="1">COUNTIFS(INDIRECT("Table1[Beginn]"),"&lt;="&amp;AC$1,INDIRECT("Table1[Ende]"),"&gt;="&amp;AC$1,INDIRECT("Table1[Obergruppe ATC-Code]"),Tabelle3!$A80)</f>
        <v>0</v>
      </c>
      <c r="AD80">
        <f ca="1">COUNTIFS(INDIRECT("Table1[Beginn]"),"&lt;="&amp;AD$1,INDIRECT("Table1[Ende]"),"&gt;="&amp;AD$1,INDIRECT("Table1[Obergruppe ATC-Code]"),Tabelle3!$A80)</f>
        <v>0</v>
      </c>
      <c r="AE80">
        <f ca="1">COUNTIFS(INDIRECT("Table1[Beginn]"),"&lt;="&amp;AE$1,INDIRECT("Table1[Ende]"),"&gt;="&amp;AE$1,INDIRECT("Table1[Obergruppe ATC-Code]"),Tabelle3!$A80)</f>
        <v>0</v>
      </c>
      <c r="AF80">
        <f ca="1">COUNTIFS(INDIRECT("Table1[Beginn]"),"&lt;="&amp;AF$1,INDIRECT("Table1[Ende]"),"&gt;="&amp;AF$1,INDIRECT("Table1[Obergruppe ATC-Code]"),Tabelle3!$A80)</f>
        <v>0</v>
      </c>
      <c r="AG80">
        <f ca="1">COUNTIFS(INDIRECT("Table1[Beginn]"),"&lt;="&amp;AG$1,INDIRECT("Table1[Ende]"),"&gt;="&amp;AG$1,INDIRECT("Table1[Obergruppe ATC-Code]"),Tabelle3!$A80)</f>
        <v>0</v>
      </c>
      <c r="AH80">
        <f ca="1">COUNTIFS(INDIRECT("Table1[Beginn]"),"&lt;="&amp;AH$1,INDIRECT("Table1[Ende]"),"&gt;="&amp;AH$1,INDIRECT("Table1[Obergruppe ATC-Code]"),Tabelle3!$A80)</f>
        <v>0</v>
      </c>
      <c r="AI80">
        <f ca="1">COUNTIFS(INDIRECT("Table1[Beginn]"),"&lt;="&amp;AI$1,INDIRECT("Table1[Ende]"),"&gt;="&amp;AI$1,INDIRECT("Table1[Obergruppe ATC-Code]"),Tabelle3!$A80)</f>
        <v>0</v>
      </c>
      <c r="AJ80">
        <f ca="1">COUNTIFS(INDIRECT("Table1[Beginn]"),"&lt;="&amp;AJ$1,INDIRECT("Table1[Ende]"),"&gt;="&amp;AJ$1,INDIRECT("Table1[Obergruppe ATC-Code]"),Tabelle3!$A80)</f>
        <v>0</v>
      </c>
      <c r="AK80">
        <f ca="1">COUNTIFS(INDIRECT("Table1[Beginn]"),"&lt;="&amp;AK$1,INDIRECT("Table1[Ende]"),"&gt;="&amp;AK$1,INDIRECT("Table1[Obergruppe ATC-Code]"),Tabelle3!$A80)</f>
        <v>0</v>
      </c>
      <c r="AL80">
        <f ca="1">COUNTIFS(INDIRECT("Table1[Beginn]"),"&lt;="&amp;AL$1,INDIRECT("Table1[Ende]"),"&gt;="&amp;AL$1,INDIRECT("Table1[Obergruppe ATC-Code]"),Tabelle3!$A80)</f>
        <v>0</v>
      </c>
      <c r="AM80">
        <f ca="1">COUNTIFS(INDIRECT("Table1[Beginn]"),"&lt;="&amp;AM$1,INDIRECT("Table1[Ende]"),"&gt;="&amp;AM$1,INDIRECT("Table1[Obergruppe ATC-Code]"),Tabelle3!$A80)</f>
        <v>0</v>
      </c>
      <c r="AN80">
        <f ca="1">COUNTIFS(INDIRECT("Table1[Beginn]"),"&lt;="&amp;AN$1,INDIRECT("Table1[Ende]"),"&gt;="&amp;AN$1,INDIRECT("Table1[Obergruppe ATC-Code]"),Tabelle3!$A80)</f>
        <v>0</v>
      </c>
      <c r="AO80">
        <f ca="1">COUNTIFS(INDIRECT("Table1[Beginn]"),"&lt;="&amp;AO$1,INDIRECT("Table1[Ende]"),"&gt;="&amp;AO$1,INDIRECT("Table1[Obergruppe ATC-Code]"),Tabelle3!$A80)</f>
        <v>0</v>
      </c>
      <c r="AP80">
        <f ca="1">COUNTIFS(INDIRECT("Table1[Beginn]"),"&lt;="&amp;AP$1,INDIRECT("Table1[Ende]"),"&gt;="&amp;AP$1,INDIRECT("Table1[Obergruppe ATC-Code]"),Tabelle3!$A80)</f>
        <v>0</v>
      </c>
      <c r="AQ80">
        <f ca="1">COUNTIFS(INDIRECT("Table1[Beginn]"),"&lt;="&amp;AQ$1,INDIRECT("Table1[Ende]"),"&gt;="&amp;AQ$1,INDIRECT("Table1[Obergruppe ATC-Code]"),Tabelle3!$A80)</f>
        <v>0</v>
      </c>
      <c r="AR80">
        <f ca="1">COUNTIFS(INDIRECT("Table1[Beginn]"),"&lt;="&amp;AR$1,INDIRECT("Table1[Ende]"),"&gt;="&amp;AR$1,INDIRECT("Table1[Obergruppe ATC-Code]"),Tabelle3!$A80)</f>
        <v>0</v>
      </c>
      <c r="AS80">
        <f ca="1">COUNTIFS(INDIRECT("Table1[Beginn]"),"&lt;="&amp;AS$1,INDIRECT("Table1[Ende]"),"&gt;="&amp;AS$1,INDIRECT("Table1[Obergruppe ATC-Code]"),Tabelle3!$A80)</f>
        <v>0</v>
      </c>
      <c r="AT80">
        <f ca="1">COUNTIFS(INDIRECT("Table1[Beginn]"),"&lt;="&amp;AT$1,INDIRECT("Table1[Ende]"),"&gt;="&amp;AT$1,INDIRECT("Table1[Obergruppe ATC-Code]"),Tabelle3!$A80)</f>
        <v>0</v>
      </c>
      <c r="AU80">
        <f ca="1">COUNTIFS(INDIRECT("Table1[Beginn]"),"&lt;="&amp;AU$1,INDIRECT("Table1[Ende]"),"&gt;="&amp;AU$1,INDIRECT("Table1[Obergruppe ATC-Code]"),Tabelle3!$A80)</f>
        <v>0</v>
      </c>
      <c r="AV80">
        <f ca="1">COUNTIFS(INDIRECT("Table1[Beginn]"),"&lt;="&amp;AV$1,INDIRECT("Table1[Ende]"),"&gt;="&amp;AV$1,INDIRECT("Table1[Obergruppe ATC-Code]"),Tabelle3!$A80)</f>
        <v>0</v>
      </c>
      <c r="AW80">
        <f ca="1">COUNTIFS(INDIRECT("Table1[Beginn]"),"&lt;="&amp;AW$1,INDIRECT("Table1[Ende]"),"&gt;="&amp;AW$1,INDIRECT("Table1[Obergruppe ATC-Code]"),Tabelle3!$A80)</f>
        <v>0</v>
      </c>
      <c r="AX80">
        <f ca="1">COUNTIFS(INDIRECT("Table1[Beginn]"),"&lt;="&amp;AX$1,INDIRECT("Table1[Ende]"),"&gt;="&amp;AX$1,INDIRECT("Table1[Obergruppe ATC-Code]"),Tabelle3!$A80)</f>
        <v>0</v>
      </c>
      <c r="AY80">
        <f ca="1">COUNTIFS(INDIRECT("Table1[Beginn]"),"&lt;="&amp;AY$1,INDIRECT("Table1[Ende]"),"&gt;="&amp;AY$1,INDIRECT("Table1[Obergruppe ATC-Code]"),Tabelle3!$A80)</f>
        <v>0</v>
      </c>
      <c r="AZ80">
        <f ca="1">COUNTIFS(INDIRECT("Table1[Beginn]"),"&lt;="&amp;AZ$1,INDIRECT("Table1[Ende]"),"&gt;="&amp;AZ$1,INDIRECT("Table1[Obergruppe ATC-Code]"),Tabelle3!$A80)</f>
        <v>0</v>
      </c>
      <c r="BA80">
        <f ca="1">COUNTIFS(INDIRECT("Table1[Beginn]"),"&lt;="&amp;BA$1,INDIRECT("Table1[Ende]"),"&gt;="&amp;BA$1,INDIRECT("Table1[Obergruppe ATC-Code]"),Tabelle3!$A80)</f>
        <v>0</v>
      </c>
      <c r="BB80">
        <f ca="1">COUNTIFS(INDIRECT("Table1[Beginn]"),"&lt;="&amp;BB$1,INDIRECT("Table1[Ende]"),"&gt;="&amp;BB$1,INDIRECT("Table1[Obergruppe ATC-Code]"),Tabelle3!$A80)</f>
        <v>0</v>
      </c>
      <c r="BC80">
        <f ca="1">COUNTIFS(INDIRECT("Table1[Beginn]"),"&lt;="&amp;BC$1,INDIRECT("Table1[Ende]"),"&gt;="&amp;BC$1,INDIRECT("Table1[Obergruppe ATC-Code]"),Tabelle3!$A80)</f>
        <v>0</v>
      </c>
      <c r="BD80">
        <f ca="1">COUNTIFS(INDIRECT("Table1[Beginn]"),"&lt;="&amp;BD$1,INDIRECT("Table1[Ende]"),"&gt;="&amp;BD$1,INDIRECT("Table1[Obergruppe ATC-Code]"),Tabelle3!$A80)</f>
        <v>0</v>
      </c>
      <c r="BE80">
        <f ca="1">COUNTIFS(INDIRECT("Table1[Beginn]"),"&lt;="&amp;BE$1,INDIRECT("Table1[Ende]"),"&gt;="&amp;BE$1,INDIRECT("Table1[Obergruppe ATC-Code]"),Tabelle3!$A80)</f>
        <v>0</v>
      </c>
      <c r="BF80">
        <f ca="1">COUNTIFS(INDIRECT("Table1[Beginn]"),"&lt;="&amp;BF$1,INDIRECT("Table1[Ende]"),"&gt;="&amp;BF$1,INDIRECT("Table1[Obergruppe ATC-Code]"),Tabelle3!$A80)</f>
        <v>0</v>
      </c>
      <c r="BG80">
        <f ca="1">COUNTIFS(INDIRECT("Table1[Beginn]"),"&lt;="&amp;BG$1,INDIRECT("Table1[Ende]"),"&gt;="&amp;BG$1,INDIRECT("Table1[Obergruppe ATC-Code]"),Tabelle3!$A80)</f>
        <v>0</v>
      </c>
      <c r="BH80">
        <f ca="1">COUNTIFS(INDIRECT("Table1[Beginn]"),"&lt;="&amp;BH$1,INDIRECT("Table1[Ende]"),"&gt;="&amp;BH$1,INDIRECT("Table1[Obergruppe ATC-Code]"),Tabelle3!$A80)</f>
        <v>0</v>
      </c>
      <c r="BI80">
        <f ca="1">COUNTIFS(INDIRECT("Table1[Beginn]"),"&lt;="&amp;BI$1,INDIRECT("Table1[Ende]"),"&gt;="&amp;BI$1,INDIRECT("Table1[Obergruppe ATC-Code]"),Tabelle3!$A80)</f>
        <v>0</v>
      </c>
      <c r="BJ80">
        <f ca="1">COUNTIFS(INDIRECT("Table1[Beginn]"),"&lt;="&amp;BJ$1,INDIRECT("Table1[Ende]"),"&gt;="&amp;BJ$1,INDIRECT("Table1[Obergruppe ATC-Code]"),Tabelle3!$A80)</f>
        <v>0</v>
      </c>
      <c r="BK80">
        <f ca="1">COUNTIFS(INDIRECT("Table1[Beginn]"),"&lt;="&amp;BK$1,INDIRECT("Table1[Ende]"),"&gt;="&amp;BK$1,INDIRECT("Table1[Obergruppe ATC-Code]"),Tabelle3!$A80)</f>
        <v>0</v>
      </c>
      <c r="BL80">
        <f ca="1">COUNTIFS(INDIRECT("Table1[Beginn]"),"&lt;="&amp;BL$1,INDIRECT("Table1[Ende]"),"&gt;="&amp;BL$1,INDIRECT("Table1[Obergruppe ATC-Code]"),Tabelle3!$A80)</f>
        <v>0</v>
      </c>
      <c r="BM80">
        <f ca="1">COUNTIFS(INDIRECT("Table1[Beginn]"),"&lt;="&amp;BM$1,INDIRECT("Table1[Ende]"),"&gt;="&amp;BM$1,INDIRECT("Table1[Obergruppe ATC-Code]"),Tabelle3!$A80)</f>
        <v>0</v>
      </c>
      <c r="BN80">
        <f ca="1">COUNTIFS(INDIRECT("Table1[Beginn]"),"&lt;="&amp;BN$1,INDIRECT("Table1[Ende]"),"&gt;="&amp;BN$1,INDIRECT("Table1[Obergruppe ATC-Code]"),Tabelle3!$A80)</f>
        <v>0</v>
      </c>
      <c r="BO80">
        <f ca="1">COUNTIFS(INDIRECT("Table1[Beginn]"),"&lt;="&amp;BO$1,INDIRECT("Table1[Ende]"),"&gt;="&amp;BO$1,INDIRECT("Table1[Obergruppe ATC-Code]"),Tabelle3!$A80)</f>
        <v>0</v>
      </c>
      <c r="BP80">
        <f ca="1">COUNTIFS(INDIRECT("Table1[Beginn]"),"&lt;="&amp;BP$1,INDIRECT("Table1[Ende]"),"&gt;="&amp;BP$1,INDIRECT("Table1[Obergruppe ATC-Code]"),Tabelle3!$A80)</f>
        <v>0</v>
      </c>
      <c r="BQ80">
        <f ca="1">COUNTIFS(INDIRECT("Table1[Beginn]"),"&lt;="&amp;BQ$1,INDIRECT("Table1[Ende]"),"&gt;="&amp;BQ$1,INDIRECT("Table1[Obergruppe ATC-Code]"),Tabelle3!$A80)</f>
        <v>0</v>
      </c>
      <c r="BR80">
        <f ca="1">COUNTIFS(INDIRECT("Table1[Beginn]"),"&lt;="&amp;BR$1,INDIRECT("Table1[Ende]"),"&gt;="&amp;BR$1,INDIRECT("Table1[Obergruppe ATC-Code]"),Tabelle3!$A80)</f>
        <v>0</v>
      </c>
      <c r="BS80">
        <f ca="1">COUNTIFS(INDIRECT("Table1[Beginn]"),"&lt;="&amp;BS$1,INDIRECT("Table1[Ende]"),"&gt;="&amp;BS$1,INDIRECT("Table1[Obergruppe ATC-Code]"),Tabelle3!$A80)</f>
        <v>0</v>
      </c>
      <c r="BT80">
        <f ca="1">COUNTIFS(INDIRECT("Table1[Beginn]"),"&lt;="&amp;BT$1,INDIRECT("Table1[Ende]"),"&gt;="&amp;BT$1,INDIRECT("Table1[Obergruppe ATC-Code]"),Tabelle3!$A80)</f>
        <v>0</v>
      </c>
      <c r="BU80">
        <f ca="1">COUNTIFS(INDIRECT("Table1[Beginn]"),"&lt;="&amp;BU$1,INDIRECT("Table1[Ende]"),"&gt;="&amp;BU$1,INDIRECT("Table1[Obergruppe ATC-Code]"),Tabelle3!$A80)</f>
        <v>0</v>
      </c>
      <c r="BV80">
        <f ca="1">COUNTIFS(INDIRECT("Table1[Beginn]"),"&lt;="&amp;BV$1,INDIRECT("Table1[Ende]"),"&gt;="&amp;BV$1,INDIRECT("Table1[Obergruppe ATC-Code]"),Tabelle3!$A80)</f>
        <v>0</v>
      </c>
      <c r="BW80">
        <f ca="1">COUNTIFS(INDIRECT("Table1[Beginn]"),"&lt;="&amp;BW$1,INDIRECT("Table1[Ende]"),"&gt;="&amp;BW$1,INDIRECT("Table1[Obergruppe ATC-Code]"),Tabelle3!$A80)</f>
        <v>0</v>
      </c>
      <c r="BX80">
        <f ca="1">COUNTIFS(INDIRECT("Table1[Beginn]"),"&lt;="&amp;BX$1,INDIRECT("Table1[Ende]"),"&gt;="&amp;BX$1,INDIRECT("Table1[Obergruppe ATC-Code]"),Tabelle3!$A80)</f>
        <v>0</v>
      </c>
      <c r="BY80">
        <f ca="1">COUNTIFS(INDIRECT("Table1[Beginn]"),"&lt;="&amp;BY$1,INDIRECT("Table1[Ende]"),"&gt;="&amp;BY$1,INDIRECT("Table1[Obergruppe ATC-Code]"),Tabelle3!$A80)</f>
        <v>0</v>
      </c>
      <c r="BZ80">
        <f ca="1">COUNTIFS(INDIRECT("Table1[Beginn]"),"&lt;="&amp;BZ$1,INDIRECT("Table1[Ende]"),"&gt;="&amp;BZ$1,INDIRECT("Table1[Obergruppe ATC-Code]"),Tabelle3!$A80)</f>
        <v>0</v>
      </c>
      <c r="CA80">
        <f ca="1">COUNTIFS(INDIRECT("Table1[Beginn]"),"&lt;="&amp;CA$1,INDIRECT("Table1[Ende]"),"&gt;="&amp;CA$1,INDIRECT("Table1[Obergruppe ATC-Code]"),Tabelle3!$A80)</f>
        <v>0</v>
      </c>
      <c r="CB80">
        <f ca="1">COUNTIFS(INDIRECT("Table1[Beginn]"),"&lt;="&amp;CB$1,INDIRECT("Table1[Ende]"),"&gt;="&amp;CB$1,INDIRECT("Table1[Obergruppe ATC-Code]"),Tabelle3!$A80)</f>
        <v>0</v>
      </c>
      <c r="CC80">
        <f ca="1">COUNTIFS(INDIRECT("Table1[Beginn]"),"&lt;="&amp;CC$1,INDIRECT("Table1[Ende]"),"&gt;="&amp;CC$1,INDIRECT("Table1[Obergruppe ATC-Code]"),Tabelle3!$A80)</f>
        <v>0</v>
      </c>
      <c r="CD80">
        <f ca="1">COUNTIFS(INDIRECT("Table1[Beginn]"),"&lt;="&amp;CD$1,INDIRECT("Table1[Ende]"),"&gt;="&amp;CD$1,INDIRECT("Table1[Obergruppe ATC-Code]"),Tabelle3!$A80)</f>
        <v>0</v>
      </c>
      <c r="CE80">
        <f ca="1">COUNTIFS(INDIRECT("Table1[Beginn]"),"&lt;="&amp;CE$1,INDIRECT("Table1[Ende]"),"&gt;="&amp;CE$1,INDIRECT("Table1[Obergruppe ATC-Code]"),Tabelle3!$A80)</f>
        <v>0</v>
      </c>
      <c r="CF80">
        <f ca="1">COUNTIFS(INDIRECT("Table1[Beginn]"),"&lt;="&amp;CF$1,INDIRECT("Table1[Ende]"),"&gt;="&amp;CF$1,INDIRECT("Table1[Obergruppe ATC-Code]"),Tabelle3!$A80)</f>
        <v>0</v>
      </c>
      <c r="CG80">
        <f ca="1">COUNTIFS(INDIRECT("Table1[Beginn]"),"&lt;="&amp;CG$1,INDIRECT("Table1[Ende]"),"&gt;="&amp;CG$1,INDIRECT("Table1[Obergruppe ATC-Code]"),Tabelle3!$A80)</f>
        <v>0</v>
      </c>
      <c r="CH80">
        <f ca="1">COUNTIFS(INDIRECT("Table1[Beginn]"),"&lt;="&amp;CH$1,INDIRECT("Table1[Ende]"),"&gt;="&amp;CH$1,INDIRECT("Table1[Obergruppe ATC-Code]"),Tabelle3!$A80)</f>
        <v>0</v>
      </c>
      <c r="CI80">
        <f ca="1">COUNTIFS(INDIRECT("Table1[Beginn]"),"&lt;="&amp;CI$1,INDIRECT("Table1[Ende]"),"&gt;="&amp;CI$1,INDIRECT("Table1[Obergruppe ATC-Code]"),Tabelle3!$A80)</f>
        <v>0</v>
      </c>
      <c r="CJ80">
        <f ca="1">COUNTIFS(INDIRECT("Table1[Beginn]"),"&lt;="&amp;CJ$1,INDIRECT("Table1[Ende]"),"&gt;="&amp;CJ$1,INDIRECT("Table1[Obergruppe ATC-Code]"),Tabelle3!$A80)</f>
        <v>0</v>
      </c>
      <c r="CK80">
        <f ca="1">COUNTIFS(INDIRECT("Table1[Beginn]"),"&lt;="&amp;CK$1,INDIRECT("Table1[Ende]"),"&gt;="&amp;CK$1,INDIRECT("Table1[Obergruppe ATC-Code]"),Tabelle3!$A80)</f>
        <v>0</v>
      </c>
      <c r="CL80">
        <f ca="1">COUNTIFS(INDIRECT("Table1[Beginn]"),"&lt;="&amp;CL$1,INDIRECT("Table1[Ende]"),"&gt;="&amp;CL$1,INDIRECT("Table1[Obergruppe ATC-Code]"),Tabelle3!$A80)</f>
        <v>0</v>
      </c>
      <c r="CM80">
        <f ca="1">COUNTIFS(INDIRECT("Table1[Beginn]"),"&lt;="&amp;CM$1,INDIRECT("Table1[Ende]"),"&gt;="&amp;CM$1,INDIRECT("Table1[Obergruppe ATC-Code]"),Tabelle3!$A80)</f>
        <v>0</v>
      </c>
      <c r="CN80">
        <f ca="1">COUNTIFS(INDIRECT("Table1[Beginn]"),"&lt;="&amp;CN$1,INDIRECT("Table1[Ende]"),"&gt;="&amp;CN$1,INDIRECT("Table1[Obergruppe ATC-Code]"),Tabelle3!$A80)</f>
        <v>0</v>
      </c>
      <c r="CO80">
        <f ca="1">COUNTIFS(INDIRECT("Table1[Beginn]"),"&lt;="&amp;CO$1,INDIRECT("Table1[Ende]"),"&gt;="&amp;CO$1,INDIRECT("Table1[Obergruppe ATC-Code]"),Tabelle3!$A80)</f>
        <v>0</v>
      </c>
      <c r="CP80">
        <f ca="1">COUNTIFS(INDIRECT("Table1[Beginn]"),"&lt;="&amp;CP$1,INDIRECT("Table1[Ende]"),"&gt;="&amp;CP$1,INDIRECT("Table1[Obergruppe ATC-Code]"),Tabelle3!$A80)</f>
        <v>0</v>
      </c>
      <c r="CQ80">
        <f ca="1">COUNTIFS(INDIRECT("Table1[Beginn]"),"&lt;="&amp;CQ$1,INDIRECT("Table1[Ende]"),"&gt;="&amp;CQ$1,INDIRECT("Table1[Obergruppe ATC-Code]"),Tabelle3!$A80)</f>
        <v>0</v>
      </c>
      <c r="CR80">
        <f ca="1">COUNTIFS(INDIRECT("Table1[Beginn]"),"&lt;="&amp;CR$1,INDIRECT("Table1[Ende]"),"&gt;="&amp;CR$1,INDIRECT("Table1[Obergruppe ATC-Code]"),Tabelle3!$A80)</f>
        <v>0</v>
      </c>
    </row>
    <row r="81" spans="1:96" ht="18">
      <c r="A81" s="9" t="s">
        <v>6930</v>
      </c>
      <c r="B81" s="10" t="s">
        <v>6931</v>
      </c>
      <c r="C81">
        <f ca="1">COUNTIFS(INDIRECT("Table1[Beginn]"),"&lt;="&amp;C$1,INDIRECT("Table1[Ende]"),"&gt;="&amp;C$1,INDIRECT("Table1[Obergruppe ATC-Code]"),Tabelle3!$A81)</f>
        <v>0</v>
      </c>
      <c r="D81">
        <f ca="1">COUNTIFS(INDIRECT("Table1[Beginn]"),"&lt;="&amp;D$1,INDIRECT("Table1[Ende]"),"&gt;="&amp;D$1,INDIRECT("Table1[Obergruppe ATC-Code]"),Tabelle3!$A81)</f>
        <v>0</v>
      </c>
      <c r="E81">
        <f ca="1">COUNTIFS(INDIRECT("Table1[Beginn]"),"&lt;="&amp;E$1,INDIRECT("Table1[Ende]"),"&gt;="&amp;E$1,INDIRECT("Table1[Obergruppe ATC-Code]"),Tabelle3!$A81)</f>
        <v>0</v>
      </c>
      <c r="F81">
        <f ca="1">COUNTIFS(INDIRECT("Table1[Beginn]"),"&lt;="&amp;F$1,INDIRECT("Table1[Ende]"),"&gt;="&amp;F$1,INDIRECT("Table1[Obergruppe ATC-Code]"),Tabelle3!$A81)</f>
        <v>0</v>
      </c>
      <c r="G81">
        <f ca="1">COUNTIFS(INDIRECT("Table1[Beginn]"),"&lt;="&amp;G$1,INDIRECT("Table1[Ende]"),"&gt;="&amp;G$1,INDIRECT("Table1[Obergruppe ATC-Code]"),Tabelle3!$A81)</f>
        <v>0</v>
      </c>
      <c r="H81">
        <f ca="1">COUNTIFS(INDIRECT("Table1[Beginn]"),"&lt;="&amp;H$1,INDIRECT("Table1[Ende]"),"&gt;="&amp;H$1,INDIRECT("Table1[Obergruppe ATC-Code]"),Tabelle3!$A81)</f>
        <v>0</v>
      </c>
      <c r="I81">
        <f ca="1">COUNTIFS(INDIRECT("Table1[Beginn]"),"&lt;="&amp;I$1,INDIRECT("Table1[Ende]"),"&gt;="&amp;I$1,INDIRECT("Table1[Obergruppe ATC-Code]"),Tabelle3!$A81)</f>
        <v>0</v>
      </c>
      <c r="J81">
        <f ca="1">COUNTIFS(INDIRECT("Table1[Beginn]"),"&lt;="&amp;J$1,INDIRECT("Table1[Ende]"),"&gt;="&amp;J$1,INDIRECT("Table1[Obergruppe ATC-Code]"),Tabelle3!$A81)</f>
        <v>1</v>
      </c>
      <c r="K81">
        <f ca="1">COUNTIFS(INDIRECT("Table1[Beginn]"),"&lt;="&amp;K$1,INDIRECT("Table1[Ende]"),"&gt;="&amp;K$1,INDIRECT("Table1[Obergruppe ATC-Code]"),Tabelle3!$A81)</f>
        <v>1</v>
      </c>
      <c r="L81">
        <f ca="1">COUNTIFS(INDIRECT("Table1[Beginn]"),"&lt;="&amp;L$1,INDIRECT("Table1[Ende]"),"&gt;="&amp;L$1,INDIRECT("Table1[Obergruppe ATC-Code]"),Tabelle3!$A81)</f>
        <v>0</v>
      </c>
      <c r="M81">
        <f ca="1">COUNTIFS(INDIRECT("Table1[Beginn]"),"&lt;="&amp;M$1,INDIRECT("Table1[Ende]"),"&gt;="&amp;M$1,INDIRECT("Table1[Obergruppe ATC-Code]"),Tabelle3!$A81)</f>
        <v>1</v>
      </c>
      <c r="N81">
        <f ca="1">COUNTIFS(INDIRECT("Table1[Beginn]"),"&lt;="&amp;N$1,INDIRECT("Table1[Ende]"),"&gt;="&amp;N$1,INDIRECT("Table1[Obergruppe ATC-Code]"),Tabelle3!$A81)</f>
        <v>1</v>
      </c>
      <c r="O81">
        <f ca="1">COUNTIFS(INDIRECT("Table1[Beginn]"),"&lt;="&amp;O$1,INDIRECT("Table1[Ende]"),"&gt;="&amp;O$1,INDIRECT("Table1[Obergruppe ATC-Code]"),Tabelle3!$A81)</f>
        <v>1</v>
      </c>
      <c r="P81">
        <f ca="1">COUNTIFS(INDIRECT("Table1[Beginn]"),"&lt;="&amp;P$1,INDIRECT("Table1[Ende]"),"&gt;="&amp;P$1,INDIRECT("Table1[Obergruppe ATC-Code]"),Tabelle3!$A81)</f>
        <v>1</v>
      </c>
      <c r="Q81">
        <f ca="1">COUNTIFS(INDIRECT("Table1[Beginn]"),"&lt;="&amp;Q$1,INDIRECT("Table1[Ende]"),"&gt;="&amp;Q$1,INDIRECT("Table1[Obergruppe ATC-Code]"),Tabelle3!$A81)</f>
        <v>1</v>
      </c>
      <c r="R81">
        <f ca="1">COUNTIFS(INDIRECT("Table1[Beginn]"),"&lt;="&amp;R$1,INDIRECT("Table1[Ende]"),"&gt;="&amp;R$1,INDIRECT("Table1[Obergruppe ATC-Code]"),Tabelle3!$A81)</f>
        <v>1</v>
      </c>
      <c r="S81">
        <f ca="1">COUNTIFS(INDIRECT("Table1[Beginn]"),"&lt;="&amp;S$1,INDIRECT("Table1[Ende]"),"&gt;="&amp;S$1,INDIRECT("Table1[Obergruppe ATC-Code]"),Tabelle3!$A81)</f>
        <v>1</v>
      </c>
      <c r="T81">
        <f ca="1">COUNTIFS(INDIRECT("Table1[Beginn]"),"&lt;="&amp;T$1,INDIRECT("Table1[Ende]"),"&gt;="&amp;T$1,INDIRECT("Table1[Obergruppe ATC-Code]"),Tabelle3!$A81)</f>
        <v>3</v>
      </c>
      <c r="U81">
        <f ca="1">COUNTIFS(INDIRECT("Table1[Beginn]"),"&lt;="&amp;U$1,INDIRECT("Table1[Ende]"),"&gt;="&amp;U$1,INDIRECT("Table1[Obergruppe ATC-Code]"),Tabelle3!$A81)</f>
        <v>3</v>
      </c>
      <c r="V81">
        <f ca="1">COUNTIFS(INDIRECT("Table1[Beginn]"),"&lt;="&amp;V$1,INDIRECT("Table1[Ende]"),"&gt;="&amp;V$1,INDIRECT("Table1[Obergruppe ATC-Code]"),Tabelle3!$A81)</f>
        <v>1</v>
      </c>
      <c r="W81">
        <f ca="1">COUNTIFS(INDIRECT("Table1[Beginn]"),"&lt;="&amp;W$1,INDIRECT("Table1[Ende]"),"&gt;="&amp;W$1,INDIRECT("Table1[Obergruppe ATC-Code]"),Tabelle3!$A81)</f>
        <v>1</v>
      </c>
      <c r="X81">
        <f ca="1">COUNTIFS(INDIRECT("Table1[Beginn]"),"&lt;="&amp;X$1,INDIRECT("Table1[Ende]"),"&gt;="&amp;X$1,INDIRECT("Table1[Obergruppe ATC-Code]"),Tabelle3!$A81)</f>
        <v>1</v>
      </c>
      <c r="Y81">
        <f ca="1">COUNTIFS(INDIRECT("Table1[Beginn]"),"&lt;="&amp;Y$1,INDIRECT("Table1[Ende]"),"&gt;="&amp;Y$1,INDIRECT("Table1[Obergruppe ATC-Code]"),Tabelle3!$A81)</f>
        <v>1</v>
      </c>
      <c r="Z81">
        <f ca="1">COUNTIFS(INDIRECT("Table1[Beginn]"),"&lt;="&amp;Z$1,INDIRECT("Table1[Ende]"),"&gt;="&amp;Z$1,INDIRECT("Table1[Obergruppe ATC-Code]"),Tabelle3!$A81)</f>
        <v>1</v>
      </c>
      <c r="AA81">
        <f ca="1">COUNTIFS(INDIRECT("Table1[Beginn]"),"&lt;="&amp;AA$1,INDIRECT("Table1[Ende]"),"&gt;="&amp;AA$1,INDIRECT("Table1[Obergruppe ATC-Code]"),Tabelle3!$A81)</f>
        <v>1</v>
      </c>
      <c r="AB81">
        <f ca="1">COUNTIFS(INDIRECT("Table1[Beginn]"),"&lt;="&amp;AB$1,INDIRECT("Table1[Ende]"),"&gt;="&amp;AB$1,INDIRECT("Table1[Obergruppe ATC-Code]"),Tabelle3!$A81)</f>
        <v>2</v>
      </c>
      <c r="AC81">
        <f ca="1">COUNTIFS(INDIRECT("Table1[Beginn]"),"&lt;="&amp;AC$1,INDIRECT("Table1[Ende]"),"&gt;="&amp;AC$1,INDIRECT("Table1[Obergruppe ATC-Code]"),Tabelle3!$A81)</f>
        <v>2</v>
      </c>
      <c r="AD81">
        <f ca="1">COUNTIFS(INDIRECT("Table1[Beginn]"),"&lt;="&amp;AD$1,INDIRECT("Table1[Ende]"),"&gt;="&amp;AD$1,INDIRECT("Table1[Obergruppe ATC-Code]"),Tabelle3!$A81)</f>
        <v>2</v>
      </c>
      <c r="AE81">
        <f ca="1">COUNTIFS(INDIRECT("Table1[Beginn]"),"&lt;="&amp;AE$1,INDIRECT("Table1[Ende]"),"&gt;="&amp;AE$1,INDIRECT("Table1[Obergruppe ATC-Code]"),Tabelle3!$A81)</f>
        <v>2</v>
      </c>
      <c r="AF81">
        <f ca="1">COUNTIFS(INDIRECT("Table1[Beginn]"),"&lt;="&amp;AF$1,INDIRECT("Table1[Ende]"),"&gt;="&amp;AF$1,INDIRECT("Table1[Obergruppe ATC-Code]"),Tabelle3!$A81)</f>
        <v>2</v>
      </c>
      <c r="AG81">
        <f ca="1">COUNTIFS(INDIRECT("Table1[Beginn]"),"&lt;="&amp;AG$1,INDIRECT("Table1[Ende]"),"&gt;="&amp;AG$1,INDIRECT("Table1[Obergruppe ATC-Code]"),Tabelle3!$A81)</f>
        <v>2</v>
      </c>
      <c r="AH81">
        <f ca="1">COUNTIFS(INDIRECT("Table1[Beginn]"),"&lt;="&amp;AH$1,INDIRECT("Table1[Ende]"),"&gt;="&amp;AH$1,INDIRECT("Table1[Obergruppe ATC-Code]"),Tabelle3!$A81)</f>
        <v>2</v>
      </c>
      <c r="AI81">
        <f ca="1">COUNTIFS(INDIRECT("Table1[Beginn]"),"&lt;="&amp;AI$1,INDIRECT("Table1[Ende]"),"&gt;="&amp;AI$1,INDIRECT("Table1[Obergruppe ATC-Code]"),Tabelle3!$A81)</f>
        <v>2</v>
      </c>
      <c r="AJ81">
        <f ca="1">COUNTIFS(INDIRECT("Table1[Beginn]"),"&lt;="&amp;AJ$1,INDIRECT("Table1[Ende]"),"&gt;="&amp;AJ$1,INDIRECT("Table1[Obergruppe ATC-Code]"),Tabelle3!$A81)</f>
        <v>2</v>
      </c>
      <c r="AK81">
        <f ca="1">COUNTIFS(INDIRECT("Table1[Beginn]"),"&lt;="&amp;AK$1,INDIRECT("Table1[Ende]"),"&gt;="&amp;AK$1,INDIRECT("Table1[Obergruppe ATC-Code]"),Tabelle3!$A81)</f>
        <v>1</v>
      </c>
      <c r="AL81">
        <f ca="1">COUNTIFS(INDIRECT("Table1[Beginn]"),"&lt;="&amp;AL$1,INDIRECT("Table1[Ende]"),"&gt;="&amp;AL$1,INDIRECT("Table1[Obergruppe ATC-Code]"),Tabelle3!$A81)</f>
        <v>1</v>
      </c>
      <c r="AM81">
        <f ca="1">COUNTIFS(INDIRECT("Table1[Beginn]"),"&lt;="&amp;AM$1,INDIRECT("Table1[Ende]"),"&gt;="&amp;AM$1,INDIRECT("Table1[Obergruppe ATC-Code]"),Tabelle3!$A81)</f>
        <v>3</v>
      </c>
      <c r="AN81">
        <f ca="1">COUNTIFS(INDIRECT("Table1[Beginn]"),"&lt;="&amp;AN$1,INDIRECT("Table1[Ende]"),"&gt;="&amp;AN$1,INDIRECT("Table1[Obergruppe ATC-Code]"),Tabelle3!$A81)</f>
        <v>5</v>
      </c>
      <c r="AO81">
        <f ca="1">COUNTIFS(INDIRECT("Table1[Beginn]"),"&lt;="&amp;AO$1,INDIRECT("Table1[Ende]"),"&gt;="&amp;AO$1,INDIRECT("Table1[Obergruppe ATC-Code]"),Tabelle3!$A81)</f>
        <v>4</v>
      </c>
      <c r="AP81">
        <f ca="1">COUNTIFS(INDIRECT("Table1[Beginn]"),"&lt;="&amp;AP$1,INDIRECT("Table1[Ende]"),"&gt;="&amp;AP$1,INDIRECT("Table1[Obergruppe ATC-Code]"),Tabelle3!$A81)</f>
        <v>4</v>
      </c>
      <c r="AQ81">
        <f ca="1">COUNTIFS(INDIRECT("Table1[Beginn]"),"&lt;="&amp;AQ$1,INDIRECT("Table1[Ende]"),"&gt;="&amp;AQ$1,INDIRECT("Table1[Obergruppe ATC-Code]"),Tabelle3!$A81)</f>
        <v>2</v>
      </c>
      <c r="AR81">
        <f ca="1">COUNTIFS(INDIRECT("Table1[Beginn]"),"&lt;="&amp;AR$1,INDIRECT("Table1[Ende]"),"&gt;="&amp;AR$1,INDIRECT("Table1[Obergruppe ATC-Code]"),Tabelle3!$A81)</f>
        <v>2</v>
      </c>
      <c r="AS81">
        <f ca="1">COUNTIFS(INDIRECT("Table1[Beginn]"),"&lt;="&amp;AS$1,INDIRECT("Table1[Ende]"),"&gt;="&amp;AS$1,INDIRECT("Table1[Obergruppe ATC-Code]"),Tabelle3!$A81)</f>
        <v>3</v>
      </c>
      <c r="AT81">
        <f ca="1">COUNTIFS(INDIRECT("Table1[Beginn]"),"&lt;="&amp;AT$1,INDIRECT("Table1[Ende]"),"&gt;="&amp;AT$1,INDIRECT("Table1[Obergruppe ATC-Code]"),Tabelle3!$A81)</f>
        <v>3</v>
      </c>
      <c r="AU81">
        <f ca="1">COUNTIFS(INDIRECT("Table1[Beginn]"),"&lt;="&amp;AU$1,INDIRECT("Table1[Ende]"),"&gt;="&amp;AU$1,INDIRECT("Table1[Obergruppe ATC-Code]"),Tabelle3!$A81)</f>
        <v>3</v>
      </c>
      <c r="AV81">
        <f ca="1">COUNTIFS(INDIRECT("Table1[Beginn]"),"&lt;="&amp;AV$1,INDIRECT("Table1[Ende]"),"&gt;="&amp;AV$1,INDIRECT("Table1[Obergruppe ATC-Code]"),Tabelle3!$A81)</f>
        <v>3</v>
      </c>
      <c r="AW81">
        <f ca="1">COUNTIFS(INDIRECT("Table1[Beginn]"),"&lt;="&amp;AW$1,INDIRECT("Table1[Ende]"),"&gt;="&amp;AW$1,INDIRECT("Table1[Obergruppe ATC-Code]"),Tabelle3!$A81)</f>
        <v>3</v>
      </c>
      <c r="AX81">
        <f ca="1">COUNTIFS(INDIRECT("Table1[Beginn]"),"&lt;="&amp;AX$1,INDIRECT("Table1[Ende]"),"&gt;="&amp;AX$1,INDIRECT("Table1[Obergruppe ATC-Code]"),Tabelle3!$A81)</f>
        <v>5</v>
      </c>
      <c r="AY81">
        <f ca="1">COUNTIFS(INDIRECT("Table1[Beginn]"),"&lt;="&amp;AY$1,INDIRECT("Table1[Ende]"),"&gt;="&amp;AY$1,INDIRECT("Table1[Obergruppe ATC-Code]"),Tabelle3!$A81)</f>
        <v>5</v>
      </c>
      <c r="AZ81">
        <f ca="1">COUNTIFS(INDIRECT("Table1[Beginn]"),"&lt;="&amp;AZ$1,INDIRECT("Table1[Ende]"),"&gt;="&amp;AZ$1,INDIRECT("Table1[Obergruppe ATC-Code]"),Tabelle3!$A81)</f>
        <v>6</v>
      </c>
      <c r="BA81">
        <f ca="1">COUNTIFS(INDIRECT("Table1[Beginn]"),"&lt;="&amp;BA$1,INDIRECT("Table1[Ende]"),"&gt;="&amp;BA$1,INDIRECT("Table1[Obergruppe ATC-Code]"),Tabelle3!$A81)</f>
        <v>7</v>
      </c>
      <c r="BB81">
        <f ca="1">COUNTIFS(INDIRECT("Table1[Beginn]"),"&lt;="&amp;BB$1,INDIRECT("Table1[Ende]"),"&gt;="&amp;BB$1,INDIRECT("Table1[Obergruppe ATC-Code]"),Tabelle3!$A81)</f>
        <v>7</v>
      </c>
      <c r="BC81">
        <f ca="1">COUNTIFS(INDIRECT("Table1[Beginn]"),"&lt;="&amp;BC$1,INDIRECT("Table1[Ende]"),"&gt;="&amp;BC$1,INDIRECT("Table1[Obergruppe ATC-Code]"),Tabelle3!$A81)</f>
        <v>6</v>
      </c>
      <c r="BD81">
        <f ca="1">COUNTIFS(INDIRECT("Table1[Beginn]"),"&lt;="&amp;BD$1,INDIRECT("Table1[Ende]"),"&gt;="&amp;BD$1,INDIRECT("Table1[Obergruppe ATC-Code]"),Tabelle3!$A81)</f>
        <v>6</v>
      </c>
      <c r="BE81">
        <f ca="1">COUNTIFS(INDIRECT("Table1[Beginn]"),"&lt;="&amp;BE$1,INDIRECT("Table1[Ende]"),"&gt;="&amp;BE$1,INDIRECT("Table1[Obergruppe ATC-Code]"),Tabelle3!$A81)</f>
        <v>6</v>
      </c>
      <c r="BF81">
        <f ca="1">COUNTIFS(INDIRECT("Table1[Beginn]"),"&lt;="&amp;BF$1,INDIRECT("Table1[Ende]"),"&gt;="&amp;BF$1,INDIRECT("Table1[Obergruppe ATC-Code]"),Tabelle3!$A81)</f>
        <v>6</v>
      </c>
      <c r="BG81">
        <f ca="1">COUNTIFS(INDIRECT("Table1[Beginn]"),"&lt;="&amp;BG$1,INDIRECT("Table1[Ende]"),"&gt;="&amp;BG$1,INDIRECT("Table1[Obergruppe ATC-Code]"),Tabelle3!$A81)</f>
        <v>6</v>
      </c>
      <c r="BH81">
        <f ca="1">COUNTIFS(INDIRECT("Table1[Beginn]"),"&lt;="&amp;BH$1,INDIRECT("Table1[Ende]"),"&gt;="&amp;BH$1,INDIRECT("Table1[Obergruppe ATC-Code]"),Tabelle3!$A81)</f>
        <v>6</v>
      </c>
      <c r="BI81">
        <f ca="1">COUNTIFS(INDIRECT("Table1[Beginn]"),"&lt;="&amp;BI$1,INDIRECT("Table1[Ende]"),"&gt;="&amp;BI$1,INDIRECT("Table1[Obergruppe ATC-Code]"),Tabelle3!$A81)</f>
        <v>5</v>
      </c>
      <c r="BJ81">
        <f ca="1">COUNTIFS(INDIRECT("Table1[Beginn]"),"&lt;="&amp;BJ$1,INDIRECT("Table1[Ende]"),"&gt;="&amp;BJ$1,INDIRECT("Table1[Obergruppe ATC-Code]"),Tabelle3!$A81)</f>
        <v>4</v>
      </c>
      <c r="BK81">
        <f ca="1">COUNTIFS(INDIRECT("Table1[Beginn]"),"&lt;="&amp;BK$1,INDIRECT("Table1[Ende]"),"&gt;="&amp;BK$1,INDIRECT("Table1[Obergruppe ATC-Code]"),Tabelle3!$A81)</f>
        <v>4</v>
      </c>
      <c r="BL81">
        <f ca="1">COUNTIFS(INDIRECT("Table1[Beginn]"),"&lt;="&amp;BL$1,INDIRECT("Table1[Ende]"),"&gt;="&amp;BL$1,INDIRECT("Table1[Obergruppe ATC-Code]"),Tabelle3!$A81)</f>
        <v>5</v>
      </c>
      <c r="BM81">
        <f ca="1">COUNTIFS(INDIRECT("Table1[Beginn]"),"&lt;="&amp;BM$1,INDIRECT("Table1[Ende]"),"&gt;="&amp;BM$1,INDIRECT("Table1[Obergruppe ATC-Code]"),Tabelle3!$A81)</f>
        <v>7</v>
      </c>
      <c r="BN81">
        <f ca="1">COUNTIFS(INDIRECT("Table1[Beginn]"),"&lt;="&amp;BN$1,INDIRECT("Table1[Ende]"),"&gt;="&amp;BN$1,INDIRECT("Table1[Obergruppe ATC-Code]"),Tabelle3!$A81)</f>
        <v>6</v>
      </c>
      <c r="BO81">
        <f ca="1">COUNTIFS(INDIRECT("Table1[Beginn]"),"&lt;="&amp;BO$1,INDIRECT("Table1[Ende]"),"&gt;="&amp;BO$1,INDIRECT("Table1[Obergruppe ATC-Code]"),Tabelle3!$A81)</f>
        <v>11</v>
      </c>
      <c r="BP81">
        <f ca="1">COUNTIFS(INDIRECT("Table1[Beginn]"),"&lt;="&amp;BP$1,INDIRECT("Table1[Ende]"),"&gt;="&amp;BP$1,INDIRECT("Table1[Obergruppe ATC-Code]"),Tabelle3!$A81)</f>
        <v>9</v>
      </c>
      <c r="BQ81">
        <f ca="1">COUNTIFS(INDIRECT("Table1[Beginn]"),"&lt;="&amp;BQ$1,INDIRECT("Table1[Ende]"),"&gt;="&amp;BQ$1,INDIRECT("Table1[Obergruppe ATC-Code]"),Tabelle3!$A81)</f>
        <v>5</v>
      </c>
      <c r="BR81">
        <f ca="1">COUNTIFS(INDIRECT("Table1[Beginn]"),"&lt;="&amp;BR$1,INDIRECT("Table1[Ende]"),"&gt;="&amp;BR$1,INDIRECT("Table1[Obergruppe ATC-Code]"),Tabelle3!$A81)</f>
        <v>8</v>
      </c>
      <c r="BS81">
        <f ca="1">COUNTIFS(INDIRECT("Table1[Beginn]"),"&lt;="&amp;BS$1,INDIRECT("Table1[Ende]"),"&gt;="&amp;BS$1,INDIRECT("Table1[Obergruppe ATC-Code]"),Tabelle3!$A81)</f>
        <v>6</v>
      </c>
      <c r="BT81">
        <f ca="1">COUNTIFS(INDIRECT("Table1[Beginn]"),"&lt;="&amp;BT$1,INDIRECT("Table1[Ende]"),"&gt;="&amp;BT$1,INDIRECT("Table1[Obergruppe ATC-Code]"),Tabelle3!$A81)</f>
        <v>4</v>
      </c>
      <c r="BU81">
        <f ca="1">COUNTIFS(INDIRECT("Table1[Beginn]"),"&lt;="&amp;BU$1,INDIRECT("Table1[Ende]"),"&gt;="&amp;BU$1,INDIRECT("Table1[Obergruppe ATC-Code]"),Tabelle3!$A81)</f>
        <v>6</v>
      </c>
      <c r="BV81">
        <f ca="1">COUNTIFS(INDIRECT("Table1[Beginn]"),"&lt;="&amp;BV$1,INDIRECT("Table1[Ende]"),"&gt;="&amp;BV$1,INDIRECT("Table1[Obergruppe ATC-Code]"),Tabelle3!$A81)</f>
        <v>9</v>
      </c>
      <c r="BW81">
        <f ca="1">COUNTIFS(INDIRECT("Table1[Beginn]"),"&lt;="&amp;BW$1,INDIRECT("Table1[Ende]"),"&gt;="&amp;BW$1,INDIRECT("Table1[Obergruppe ATC-Code]"),Tabelle3!$A81)</f>
        <v>10</v>
      </c>
      <c r="BX81">
        <f ca="1">COUNTIFS(INDIRECT("Table1[Beginn]"),"&lt;="&amp;BX$1,INDIRECT("Table1[Ende]"),"&gt;="&amp;BX$1,INDIRECT("Table1[Obergruppe ATC-Code]"),Tabelle3!$A81)</f>
        <v>10</v>
      </c>
      <c r="BY81">
        <f ca="1">COUNTIFS(INDIRECT("Table1[Beginn]"),"&lt;="&amp;BY$1,INDIRECT("Table1[Ende]"),"&gt;="&amp;BY$1,INDIRECT("Table1[Obergruppe ATC-Code]"),Tabelle3!$A81)</f>
        <v>11</v>
      </c>
      <c r="BZ81">
        <f ca="1">COUNTIFS(INDIRECT("Table1[Beginn]"),"&lt;="&amp;BZ$1,INDIRECT("Table1[Ende]"),"&gt;="&amp;BZ$1,INDIRECT("Table1[Obergruppe ATC-Code]"),Tabelle3!$A81)</f>
        <v>11</v>
      </c>
      <c r="CA81">
        <f ca="1">COUNTIFS(INDIRECT("Table1[Beginn]"),"&lt;="&amp;CA$1,INDIRECT("Table1[Ende]"),"&gt;="&amp;CA$1,INDIRECT("Table1[Obergruppe ATC-Code]"),Tabelle3!$A81)</f>
        <v>14</v>
      </c>
      <c r="CB81">
        <f ca="1">COUNTIFS(INDIRECT("Table1[Beginn]"),"&lt;="&amp;CB$1,INDIRECT("Table1[Ende]"),"&gt;="&amp;CB$1,INDIRECT("Table1[Obergruppe ATC-Code]"),Tabelle3!$A81)</f>
        <v>14</v>
      </c>
      <c r="CC81">
        <f ca="1">COUNTIFS(INDIRECT("Table1[Beginn]"),"&lt;="&amp;CC$1,INDIRECT("Table1[Ende]"),"&gt;="&amp;CC$1,INDIRECT("Table1[Obergruppe ATC-Code]"),Tabelle3!$A81)</f>
        <v>16</v>
      </c>
      <c r="CD81">
        <f ca="1">COUNTIFS(INDIRECT("Table1[Beginn]"),"&lt;="&amp;CD$1,INDIRECT("Table1[Ende]"),"&gt;="&amp;CD$1,INDIRECT("Table1[Obergruppe ATC-Code]"),Tabelle3!$A81)</f>
        <v>14</v>
      </c>
      <c r="CE81">
        <f ca="1">COUNTIFS(INDIRECT("Table1[Beginn]"),"&lt;="&amp;CE$1,INDIRECT("Table1[Ende]"),"&gt;="&amp;CE$1,INDIRECT("Table1[Obergruppe ATC-Code]"),Tabelle3!$A81)</f>
        <v>11</v>
      </c>
      <c r="CF81">
        <f ca="1">COUNTIFS(INDIRECT("Table1[Beginn]"),"&lt;="&amp;CF$1,INDIRECT("Table1[Ende]"),"&gt;="&amp;CF$1,INDIRECT("Table1[Obergruppe ATC-Code]"),Tabelle3!$A81)</f>
        <v>8</v>
      </c>
      <c r="CG81">
        <f ca="1">COUNTIFS(INDIRECT("Table1[Beginn]"),"&lt;="&amp;CG$1,INDIRECT("Table1[Ende]"),"&gt;="&amp;CG$1,INDIRECT("Table1[Obergruppe ATC-Code]"),Tabelle3!$A81)</f>
        <v>1</v>
      </c>
      <c r="CH81">
        <f ca="1">COUNTIFS(INDIRECT("Table1[Beginn]"),"&lt;="&amp;CH$1,INDIRECT("Table1[Ende]"),"&gt;="&amp;CH$1,INDIRECT("Table1[Obergruppe ATC-Code]"),Tabelle3!$A81)</f>
        <v>1</v>
      </c>
      <c r="CI81">
        <f ca="1">COUNTIFS(INDIRECT("Table1[Beginn]"),"&lt;="&amp;CI$1,INDIRECT("Table1[Ende]"),"&gt;="&amp;CI$1,INDIRECT("Table1[Obergruppe ATC-Code]"),Tabelle3!$A81)</f>
        <v>0</v>
      </c>
      <c r="CJ81">
        <f ca="1">COUNTIFS(INDIRECT("Table1[Beginn]"),"&lt;="&amp;CJ$1,INDIRECT("Table1[Ende]"),"&gt;="&amp;CJ$1,INDIRECT("Table1[Obergruppe ATC-Code]"),Tabelle3!$A81)</f>
        <v>0</v>
      </c>
      <c r="CK81">
        <f ca="1">COUNTIFS(INDIRECT("Table1[Beginn]"),"&lt;="&amp;CK$1,INDIRECT("Table1[Ende]"),"&gt;="&amp;CK$1,INDIRECT("Table1[Obergruppe ATC-Code]"),Tabelle3!$A81)</f>
        <v>0</v>
      </c>
      <c r="CL81">
        <f ca="1">COUNTIFS(INDIRECT("Table1[Beginn]"),"&lt;="&amp;CL$1,INDIRECT("Table1[Ende]"),"&gt;="&amp;CL$1,INDIRECT("Table1[Obergruppe ATC-Code]"),Tabelle3!$A81)</f>
        <v>0</v>
      </c>
      <c r="CM81">
        <f ca="1">COUNTIFS(INDIRECT("Table1[Beginn]"),"&lt;="&amp;CM$1,INDIRECT("Table1[Ende]"),"&gt;="&amp;CM$1,INDIRECT("Table1[Obergruppe ATC-Code]"),Tabelle3!$A81)</f>
        <v>0</v>
      </c>
      <c r="CN81">
        <f ca="1">COUNTIFS(INDIRECT("Table1[Beginn]"),"&lt;="&amp;CN$1,INDIRECT("Table1[Ende]"),"&gt;="&amp;CN$1,INDIRECT("Table1[Obergruppe ATC-Code]"),Tabelle3!$A81)</f>
        <v>0</v>
      </c>
      <c r="CO81">
        <f ca="1">COUNTIFS(INDIRECT("Table1[Beginn]"),"&lt;="&amp;CO$1,INDIRECT("Table1[Ende]"),"&gt;="&amp;CO$1,INDIRECT("Table1[Obergruppe ATC-Code]"),Tabelle3!$A81)</f>
        <v>0</v>
      </c>
      <c r="CP81">
        <f ca="1">COUNTIFS(INDIRECT("Table1[Beginn]"),"&lt;="&amp;CP$1,INDIRECT("Table1[Ende]"),"&gt;="&amp;CP$1,INDIRECT("Table1[Obergruppe ATC-Code]"),Tabelle3!$A81)</f>
        <v>0</v>
      </c>
      <c r="CQ81">
        <f ca="1">COUNTIFS(INDIRECT("Table1[Beginn]"),"&lt;="&amp;CQ$1,INDIRECT("Table1[Ende]"),"&gt;="&amp;CQ$1,INDIRECT("Table1[Obergruppe ATC-Code]"),Tabelle3!$A81)</f>
        <v>0</v>
      </c>
      <c r="CR81">
        <f ca="1">COUNTIFS(INDIRECT("Table1[Beginn]"),"&lt;="&amp;CR$1,INDIRECT("Table1[Ende]"),"&gt;="&amp;CR$1,INDIRECT("Table1[Obergruppe ATC-Code]"),Tabelle3!$A81)</f>
        <v>0</v>
      </c>
    </row>
    <row r="82" spans="1:96" ht="18">
      <c r="A82" s="7" t="s">
        <v>6932</v>
      </c>
      <c r="B82" s="8" t="s">
        <v>6933</v>
      </c>
      <c r="C82">
        <f ca="1">COUNTIFS(INDIRECT("Table1[Beginn]"),"&lt;="&amp;C$1,INDIRECT("Table1[Ende]"),"&gt;="&amp;C$1,INDIRECT("Table1[Obergruppe ATC-Code]"),Tabelle3!$A82)</f>
        <v>0</v>
      </c>
      <c r="D82">
        <f ca="1">COUNTIFS(INDIRECT("Table1[Beginn]"),"&lt;="&amp;D$1,INDIRECT("Table1[Ende]"),"&gt;="&amp;D$1,INDIRECT("Table1[Obergruppe ATC-Code]"),Tabelle3!$A82)</f>
        <v>0</v>
      </c>
      <c r="E82">
        <f ca="1">COUNTIFS(INDIRECT("Table1[Beginn]"),"&lt;="&amp;E$1,INDIRECT("Table1[Ende]"),"&gt;="&amp;E$1,INDIRECT("Table1[Obergruppe ATC-Code]"),Tabelle3!$A82)</f>
        <v>0</v>
      </c>
      <c r="F82">
        <f ca="1">COUNTIFS(INDIRECT("Table1[Beginn]"),"&lt;="&amp;F$1,INDIRECT("Table1[Ende]"),"&gt;="&amp;F$1,INDIRECT("Table1[Obergruppe ATC-Code]"),Tabelle3!$A82)</f>
        <v>0</v>
      </c>
      <c r="G82">
        <f ca="1">COUNTIFS(INDIRECT("Table1[Beginn]"),"&lt;="&amp;G$1,INDIRECT("Table1[Ende]"),"&gt;="&amp;G$1,INDIRECT("Table1[Obergruppe ATC-Code]"),Tabelle3!$A82)</f>
        <v>0</v>
      </c>
      <c r="H82">
        <f ca="1">COUNTIFS(INDIRECT("Table1[Beginn]"),"&lt;="&amp;H$1,INDIRECT("Table1[Ende]"),"&gt;="&amp;H$1,INDIRECT("Table1[Obergruppe ATC-Code]"),Tabelle3!$A82)</f>
        <v>0</v>
      </c>
      <c r="I82">
        <f ca="1">COUNTIFS(INDIRECT("Table1[Beginn]"),"&lt;="&amp;I$1,INDIRECT("Table1[Ende]"),"&gt;="&amp;I$1,INDIRECT("Table1[Obergruppe ATC-Code]"),Tabelle3!$A82)</f>
        <v>0</v>
      </c>
      <c r="J82">
        <f ca="1">COUNTIFS(INDIRECT("Table1[Beginn]"),"&lt;="&amp;J$1,INDIRECT("Table1[Ende]"),"&gt;="&amp;J$1,INDIRECT("Table1[Obergruppe ATC-Code]"),Tabelle3!$A82)</f>
        <v>0</v>
      </c>
      <c r="K82">
        <f ca="1">COUNTIFS(INDIRECT("Table1[Beginn]"),"&lt;="&amp;K$1,INDIRECT("Table1[Ende]"),"&gt;="&amp;K$1,INDIRECT("Table1[Obergruppe ATC-Code]"),Tabelle3!$A82)</f>
        <v>0</v>
      </c>
      <c r="L82">
        <f ca="1">COUNTIFS(INDIRECT("Table1[Beginn]"),"&lt;="&amp;L$1,INDIRECT("Table1[Ende]"),"&gt;="&amp;L$1,INDIRECT("Table1[Obergruppe ATC-Code]"),Tabelle3!$A82)</f>
        <v>0</v>
      </c>
      <c r="M82">
        <f ca="1">COUNTIFS(INDIRECT("Table1[Beginn]"),"&lt;="&amp;M$1,INDIRECT("Table1[Ende]"),"&gt;="&amp;M$1,INDIRECT("Table1[Obergruppe ATC-Code]"),Tabelle3!$A82)</f>
        <v>0</v>
      </c>
      <c r="N82">
        <f ca="1">COUNTIFS(INDIRECT("Table1[Beginn]"),"&lt;="&amp;N$1,INDIRECT("Table1[Ende]"),"&gt;="&amp;N$1,INDIRECT("Table1[Obergruppe ATC-Code]"),Tabelle3!$A82)</f>
        <v>0</v>
      </c>
      <c r="O82">
        <f ca="1">COUNTIFS(INDIRECT("Table1[Beginn]"),"&lt;="&amp;O$1,INDIRECT("Table1[Ende]"),"&gt;="&amp;O$1,INDIRECT("Table1[Obergruppe ATC-Code]"),Tabelle3!$A82)</f>
        <v>0</v>
      </c>
      <c r="P82">
        <f ca="1">COUNTIFS(INDIRECT("Table1[Beginn]"),"&lt;="&amp;P$1,INDIRECT("Table1[Ende]"),"&gt;="&amp;P$1,INDIRECT("Table1[Obergruppe ATC-Code]"),Tabelle3!$A82)</f>
        <v>0</v>
      </c>
      <c r="Q82">
        <f ca="1">COUNTIFS(INDIRECT("Table1[Beginn]"),"&lt;="&amp;Q$1,INDIRECT("Table1[Ende]"),"&gt;="&amp;Q$1,INDIRECT("Table1[Obergruppe ATC-Code]"),Tabelle3!$A82)</f>
        <v>0</v>
      </c>
      <c r="R82">
        <f ca="1">COUNTIFS(INDIRECT("Table1[Beginn]"),"&lt;="&amp;R$1,INDIRECT("Table1[Ende]"),"&gt;="&amp;R$1,INDIRECT("Table1[Obergruppe ATC-Code]"),Tabelle3!$A82)</f>
        <v>0</v>
      </c>
      <c r="S82">
        <f ca="1">COUNTIFS(INDIRECT("Table1[Beginn]"),"&lt;="&amp;S$1,INDIRECT("Table1[Ende]"),"&gt;="&amp;S$1,INDIRECT("Table1[Obergruppe ATC-Code]"),Tabelle3!$A82)</f>
        <v>0</v>
      </c>
      <c r="T82">
        <f ca="1">COUNTIFS(INDIRECT("Table1[Beginn]"),"&lt;="&amp;T$1,INDIRECT("Table1[Ende]"),"&gt;="&amp;T$1,INDIRECT("Table1[Obergruppe ATC-Code]"),Tabelle3!$A82)</f>
        <v>0</v>
      </c>
      <c r="U82">
        <f ca="1">COUNTIFS(INDIRECT("Table1[Beginn]"),"&lt;="&amp;U$1,INDIRECT("Table1[Ende]"),"&gt;="&amp;U$1,INDIRECT("Table1[Obergruppe ATC-Code]"),Tabelle3!$A82)</f>
        <v>0</v>
      </c>
      <c r="V82">
        <f ca="1">COUNTIFS(INDIRECT("Table1[Beginn]"),"&lt;="&amp;V$1,INDIRECT("Table1[Ende]"),"&gt;="&amp;V$1,INDIRECT("Table1[Obergruppe ATC-Code]"),Tabelle3!$A82)</f>
        <v>0</v>
      </c>
      <c r="W82">
        <f ca="1">COUNTIFS(INDIRECT("Table1[Beginn]"),"&lt;="&amp;W$1,INDIRECT("Table1[Ende]"),"&gt;="&amp;W$1,INDIRECT("Table1[Obergruppe ATC-Code]"),Tabelle3!$A82)</f>
        <v>0</v>
      </c>
      <c r="X82">
        <f ca="1">COUNTIFS(INDIRECT("Table1[Beginn]"),"&lt;="&amp;X$1,INDIRECT("Table1[Ende]"),"&gt;="&amp;X$1,INDIRECT("Table1[Obergruppe ATC-Code]"),Tabelle3!$A82)</f>
        <v>0</v>
      </c>
      <c r="Y82">
        <f ca="1">COUNTIFS(INDIRECT("Table1[Beginn]"),"&lt;="&amp;Y$1,INDIRECT("Table1[Ende]"),"&gt;="&amp;Y$1,INDIRECT("Table1[Obergruppe ATC-Code]"),Tabelle3!$A82)</f>
        <v>0</v>
      </c>
      <c r="Z82">
        <f ca="1">COUNTIFS(INDIRECT("Table1[Beginn]"),"&lt;="&amp;Z$1,INDIRECT("Table1[Ende]"),"&gt;="&amp;Z$1,INDIRECT("Table1[Obergruppe ATC-Code]"),Tabelle3!$A82)</f>
        <v>0</v>
      </c>
      <c r="AA82">
        <f ca="1">COUNTIFS(INDIRECT("Table1[Beginn]"),"&lt;="&amp;AA$1,INDIRECT("Table1[Ende]"),"&gt;="&amp;AA$1,INDIRECT("Table1[Obergruppe ATC-Code]"),Tabelle3!$A82)</f>
        <v>0</v>
      </c>
      <c r="AB82">
        <f ca="1">COUNTIFS(INDIRECT("Table1[Beginn]"),"&lt;="&amp;AB$1,INDIRECT("Table1[Ende]"),"&gt;="&amp;AB$1,INDIRECT("Table1[Obergruppe ATC-Code]"),Tabelle3!$A82)</f>
        <v>0</v>
      </c>
      <c r="AC82">
        <f ca="1">COUNTIFS(INDIRECT("Table1[Beginn]"),"&lt;="&amp;AC$1,INDIRECT("Table1[Ende]"),"&gt;="&amp;AC$1,INDIRECT("Table1[Obergruppe ATC-Code]"),Tabelle3!$A82)</f>
        <v>0</v>
      </c>
      <c r="AD82">
        <f ca="1">COUNTIFS(INDIRECT("Table1[Beginn]"),"&lt;="&amp;AD$1,INDIRECT("Table1[Ende]"),"&gt;="&amp;AD$1,INDIRECT("Table1[Obergruppe ATC-Code]"),Tabelle3!$A82)</f>
        <v>0</v>
      </c>
      <c r="AE82">
        <f ca="1">COUNTIFS(INDIRECT("Table1[Beginn]"),"&lt;="&amp;AE$1,INDIRECT("Table1[Ende]"),"&gt;="&amp;AE$1,INDIRECT("Table1[Obergruppe ATC-Code]"),Tabelle3!$A82)</f>
        <v>0</v>
      </c>
      <c r="AF82">
        <f ca="1">COUNTIFS(INDIRECT("Table1[Beginn]"),"&lt;="&amp;AF$1,INDIRECT("Table1[Ende]"),"&gt;="&amp;AF$1,INDIRECT("Table1[Obergruppe ATC-Code]"),Tabelle3!$A82)</f>
        <v>0</v>
      </c>
      <c r="AG82">
        <f ca="1">COUNTIFS(INDIRECT("Table1[Beginn]"),"&lt;="&amp;AG$1,INDIRECT("Table1[Ende]"),"&gt;="&amp;AG$1,INDIRECT("Table1[Obergruppe ATC-Code]"),Tabelle3!$A82)</f>
        <v>0</v>
      </c>
      <c r="AH82">
        <f ca="1">COUNTIFS(INDIRECT("Table1[Beginn]"),"&lt;="&amp;AH$1,INDIRECT("Table1[Ende]"),"&gt;="&amp;AH$1,INDIRECT("Table1[Obergruppe ATC-Code]"),Tabelle3!$A82)</f>
        <v>0</v>
      </c>
      <c r="AI82">
        <f ca="1">COUNTIFS(INDIRECT("Table1[Beginn]"),"&lt;="&amp;AI$1,INDIRECT("Table1[Ende]"),"&gt;="&amp;AI$1,INDIRECT("Table1[Obergruppe ATC-Code]"),Tabelle3!$A82)</f>
        <v>0</v>
      </c>
      <c r="AJ82">
        <f ca="1">COUNTIFS(INDIRECT("Table1[Beginn]"),"&lt;="&amp;AJ$1,INDIRECT("Table1[Ende]"),"&gt;="&amp;AJ$1,INDIRECT("Table1[Obergruppe ATC-Code]"),Tabelle3!$A82)</f>
        <v>0</v>
      </c>
      <c r="AK82">
        <f ca="1">COUNTIFS(INDIRECT("Table1[Beginn]"),"&lt;="&amp;AK$1,INDIRECT("Table1[Ende]"),"&gt;="&amp;AK$1,INDIRECT("Table1[Obergruppe ATC-Code]"),Tabelle3!$A82)</f>
        <v>0</v>
      </c>
      <c r="AL82">
        <f ca="1">COUNTIFS(INDIRECT("Table1[Beginn]"),"&lt;="&amp;AL$1,INDIRECT("Table1[Ende]"),"&gt;="&amp;AL$1,INDIRECT("Table1[Obergruppe ATC-Code]"),Tabelle3!$A82)</f>
        <v>0</v>
      </c>
      <c r="AM82">
        <f ca="1">COUNTIFS(INDIRECT("Table1[Beginn]"),"&lt;="&amp;AM$1,INDIRECT("Table1[Ende]"),"&gt;="&amp;AM$1,INDIRECT("Table1[Obergruppe ATC-Code]"),Tabelle3!$A82)</f>
        <v>0</v>
      </c>
      <c r="AN82">
        <f ca="1">COUNTIFS(INDIRECT("Table1[Beginn]"),"&lt;="&amp;AN$1,INDIRECT("Table1[Ende]"),"&gt;="&amp;AN$1,INDIRECT("Table1[Obergruppe ATC-Code]"),Tabelle3!$A82)</f>
        <v>0</v>
      </c>
      <c r="AO82">
        <f ca="1">COUNTIFS(INDIRECT("Table1[Beginn]"),"&lt;="&amp;AO$1,INDIRECT("Table1[Ende]"),"&gt;="&amp;AO$1,INDIRECT("Table1[Obergruppe ATC-Code]"),Tabelle3!$A82)</f>
        <v>0</v>
      </c>
      <c r="AP82">
        <f ca="1">COUNTIFS(INDIRECT("Table1[Beginn]"),"&lt;="&amp;AP$1,INDIRECT("Table1[Ende]"),"&gt;="&amp;AP$1,INDIRECT("Table1[Obergruppe ATC-Code]"),Tabelle3!$A82)</f>
        <v>0</v>
      </c>
      <c r="AQ82">
        <f ca="1">COUNTIFS(INDIRECT("Table1[Beginn]"),"&lt;="&amp;AQ$1,INDIRECT("Table1[Ende]"),"&gt;="&amp;AQ$1,INDIRECT("Table1[Obergruppe ATC-Code]"),Tabelle3!$A82)</f>
        <v>0</v>
      </c>
      <c r="AR82">
        <f ca="1">COUNTIFS(INDIRECT("Table1[Beginn]"),"&lt;="&amp;AR$1,INDIRECT("Table1[Ende]"),"&gt;="&amp;AR$1,INDIRECT("Table1[Obergruppe ATC-Code]"),Tabelle3!$A82)</f>
        <v>0</v>
      </c>
      <c r="AS82">
        <f ca="1">COUNTIFS(INDIRECT("Table1[Beginn]"),"&lt;="&amp;AS$1,INDIRECT("Table1[Ende]"),"&gt;="&amp;AS$1,INDIRECT("Table1[Obergruppe ATC-Code]"),Tabelle3!$A82)</f>
        <v>0</v>
      </c>
      <c r="AT82">
        <f ca="1">COUNTIFS(INDIRECT("Table1[Beginn]"),"&lt;="&amp;AT$1,INDIRECT("Table1[Ende]"),"&gt;="&amp;AT$1,INDIRECT("Table1[Obergruppe ATC-Code]"),Tabelle3!$A82)</f>
        <v>0</v>
      </c>
      <c r="AU82">
        <f ca="1">COUNTIFS(INDIRECT("Table1[Beginn]"),"&lt;="&amp;AU$1,INDIRECT("Table1[Ende]"),"&gt;="&amp;AU$1,INDIRECT("Table1[Obergruppe ATC-Code]"),Tabelle3!$A82)</f>
        <v>0</v>
      </c>
      <c r="AV82">
        <f ca="1">COUNTIFS(INDIRECT("Table1[Beginn]"),"&lt;="&amp;AV$1,INDIRECT("Table1[Ende]"),"&gt;="&amp;AV$1,INDIRECT("Table1[Obergruppe ATC-Code]"),Tabelle3!$A82)</f>
        <v>0</v>
      </c>
      <c r="AW82">
        <f ca="1">COUNTIFS(INDIRECT("Table1[Beginn]"),"&lt;="&amp;AW$1,INDIRECT("Table1[Ende]"),"&gt;="&amp;AW$1,INDIRECT("Table1[Obergruppe ATC-Code]"),Tabelle3!$A82)</f>
        <v>0</v>
      </c>
      <c r="AX82">
        <f ca="1">COUNTIFS(INDIRECT("Table1[Beginn]"),"&lt;="&amp;AX$1,INDIRECT("Table1[Ende]"),"&gt;="&amp;AX$1,INDIRECT("Table1[Obergruppe ATC-Code]"),Tabelle3!$A82)</f>
        <v>0</v>
      </c>
      <c r="AY82">
        <f ca="1">COUNTIFS(INDIRECT("Table1[Beginn]"),"&lt;="&amp;AY$1,INDIRECT("Table1[Ende]"),"&gt;="&amp;AY$1,INDIRECT("Table1[Obergruppe ATC-Code]"),Tabelle3!$A82)</f>
        <v>0</v>
      </c>
      <c r="AZ82">
        <f ca="1">COUNTIFS(INDIRECT("Table1[Beginn]"),"&lt;="&amp;AZ$1,INDIRECT("Table1[Ende]"),"&gt;="&amp;AZ$1,INDIRECT("Table1[Obergruppe ATC-Code]"),Tabelle3!$A82)</f>
        <v>0</v>
      </c>
      <c r="BA82">
        <f ca="1">COUNTIFS(INDIRECT("Table1[Beginn]"),"&lt;="&amp;BA$1,INDIRECT("Table1[Ende]"),"&gt;="&amp;BA$1,INDIRECT("Table1[Obergruppe ATC-Code]"),Tabelle3!$A82)</f>
        <v>0</v>
      </c>
      <c r="BB82">
        <f ca="1">COUNTIFS(INDIRECT("Table1[Beginn]"),"&lt;="&amp;BB$1,INDIRECT("Table1[Ende]"),"&gt;="&amp;BB$1,INDIRECT("Table1[Obergruppe ATC-Code]"),Tabelle3!$A82)</f>
        <v>0</v>
      </c>
      <c r="BC82">
        <f ca="1">COUNTIFS(INDIRECT("Table1[Beginn]"),"&lt;="&amp;BC$1,INDIRECT("Table1[Ende]"),"&gt;="&amp;BC$1,INDIRECT("Table1[Obergruppe ATC-Code]"),Tabelle3!$A82)</f>
        <v>0</v>
      </c>
      <c r="BD82">
        <f ca="1">COUNTIFS(INDIRECT("Table1[Beginn]"),"&lt;="&amp;BD$1,INDIRECT("Table1[Ende]"),"&gt;="&amp;BD$1,INDIRECT("Table1[Obergruppe ATC-Code]"),Tabelle3!$A82)</f>
        <v>0</v>
      </c>
      <c r="BE82">
        <f ca="1">COUNTIFS(INDIRECT("Table1[Beginn]"),"&lt;="&amp;BE$1,INDIRECT("Table1[Ende]"),"&gt;="&amp;BE$1,INDIRECT("Table1[Obergruppe ATC-Code]"),Tabelle3!$A82)</f>
        <v>0</v>
      </c>
      <c r="BF82">
        <f ca="1">COUNTIFS(INDIRECT("Table1[Beginn]"),"&lt;="&amp;BF$1,INDIRECT("Table1[Ende]"),"&gt;="&amp;BF$1,INDIRECT("Table1[Obergruppe ATC-Code]"),Tabelle3!$A82)</f>
        <v>0</v>
      </c>
      <c r="BG82">
        <f ca="1">COUNTIFS(INDIRECT("Table1[Beginn]"),"&lt;="&amp;BG$1,INDIRECT("Table1[Ende]"),"&gt;="&amp;BG$1,INDIRECT("Table1[Obergruppe ATC-Code]"),Tabelle3!$A82)</f>
        <v>0</v>
      </c>
      <c r="BH82">
        <f ca="1">COUNTIFS(INDIRECT("Table1[Beginn]"),"&lt;="&amp;BH$1,INDIRECT("Table1[Ende]"),"&gt;="&amp;BH$1,INDIRECT("Table1[Obergruppe ATC-Code]"),Tabelle3!$A82)</f>
        <v>0</v>
      </c>
      <c r="BI82">
        <f ca="1">COUNTIFS(INDIRECT("Table1[Beginn]"),"&lt;="&amp;BI$1,INDIRECT("Table1[Ende]"),"&gt;="&amp;BI$1,INDIRECT("Table1[Obergruppe ATC-Code]"),Tabelle3!$A82)</f>
        <v>0</v>
      </c>
      <c r="BJ82">
        <f ca="1">COUNTIFS(INDIRECT("Table1[Beginn]"),"&lt;="&amp;BJ$1,INDIRECT("Table1[Ende]"),"&gt;="&amp;BJ$1,INDIRECT("Table1[Obergruppe ATC-Code]"),Tabelle3!$A82)</f>
        <v>0</v>
      </c>
      <c r="BK82">
        <f ca="1">COUNTIFS(INDIRECT("Table1[Beginn]"),"&lt;="&amp;BK$1,INDIRECT("Table1[Ende]"),"&gt;="&amp;BK$1,INDIRECT("Table1[Obergruppe ATC-Code]"),Tabelle3!$A82)</f>
        <v>0</v>
      </c>
      <c r="BL82">
        <f ca="1">COUNTIFS(INDIRECT("Table1[Beginn]"),"&lt;="&amp;BL$1,INDIRECT("Table1[Ende]"),"&gt;="&amp;BL$1,INDIRECT("Table1[Obergruppe ATC-Code]"),Tabelle3!$A82)</f>
        <v>0</v>
      </c>
      <c r="BM82">
        <f ca="1">COUNTIFS(INDIRECT("Table1[Beginn]"),"&lt;="&amp;BM$1,INDIRECT("Table1[Ende]"),"&gt;="&amp;BM$1,INDIRECT("Table1[Obergruppe ATC-Code]"),Tabelle3!$A82)</f>
        <v>0</v>
      </c>
      <c r="BN82">
        <f ca="1">COUNTIFS(INDIRECT("Table1[Beginn]"),"&lt;="&amp;BN$1,INDIRECT("Table1[Ende]"),"&gt;="&amp;BN$1,INDIRECT("Table1[Obergruppe ATC-Code]"),Tabelle3!$A82)</f>
        <v>0</v>
      </c>
      <c r="BO82">
        <f ca="1">COUNTIFS(INDIRECT("Table1[Beginn]"),"&lt;="&amp;BO$1,INDIRECT("Table1[Ende]"),"&gt;="&amp;BO$1,INDIRECT("Table1[Obergruppe ATC-Code]"),Tabelle3!$A82)</f>
        <v>0</v>
      </c>
      <c r="BP82">
        <f ca="1">COUNTIFS(INDIRECT("Table1[Beginn]"),"&lt;="&amp;BP$1,INDIRECT("Table1[Ende]"),"&gt;="&amp;BP$1,INDIRECT("Table1[Obergruppe ATC-Code]"),Tabelle3!$A82)</f>
        <v>0</v>
      </c>
      <c r="BQ82">
        <f ca="1">COUNTIFS(INDIRECT("Table1[Beginn]"),"&lt;="&amp;BQ$1,INDIRECT("Table1[Ende]"),"&gt;="&amp;BQ$1,INDIRECT("Table1[Obergruppe ATC-Code]"),Tabelle3!$A82)</f>
        <v>0</v>
      </c>
      <c r="BR82">
        <f ca="1">COUNTIFS(INDIRECT("Table1[Beginn]"),"&lt;="&amp;BR$1,INDIRECT("Table1[Ende]"),"&gt;="&amp;BR$1,INDIRECT("Table1[Obergruppe ATC-Code]"),Tabelle3!$A82)</f>
        <v>0</v>
      </c>
      <c r="BS82">
        <f ca="1">COUNTIFS(INDIRECT("Table1[Beginn]"),"&lt;="&amp;BS$1,INDIRECT("Table1[Ende]"),"&gt;="&amp;BS$1,INDIRECT("Table1[Obergruppe ATC-Code]"),Tabelle3!$A82)</f>
        <v>0</v>
      </c>
      <c r="BT82">
        <f ca="1">COUNTIFS(INDIRECT("Table1[Beginn]"),"&lt;="&amp;BT$1,INDIRECT("Table1[Ende]"),"&gt;="&amp;BT$1,INDIRECT("Table1[Obergruppe ATC-Code]"),Tabelle3!$A82)</f>
        <v>0</v>
      </c>
      <c r="BU82">
        <f ca="1">COUNTIFS(INDIRECT("Table1[Beginn]"),"&lt;="&amp;BU$1,INDIRECT("Table1[Ende]"),"&gt;="&amp;BU$1,INDIRECT("Table1[Obergruppe ATC-Code]"),Tabelle3!$A82)</f>
        <v>0</v>
      </c>
      <c r="BV82">
        <f ca="1">COUNTIFS(INDIRECT("Table1[Beginn]"),"&lt;="&amp;BV$1,INDIRECT("Table1[Ende]"),"&gt;="&amp;BV$1,INDIRECT("Table1[Obergruppe ATC-Code]"),Tabelle3!$A82)</f>
        <v>0</v>
      </c>
      <c r="BW82">
        <f ca="1">COUNTIFS(INDIRECT("Table1[Beginn]"),"&lt;="&amp;BW$1,INDIRECT("Table1[Ende]"),"&gt;="&amp;BW$1,INDIRECT("Table1[Obergruppe ATC-Code]"),Tabelle3!$A82)</f>
        <v>0</v>
      </c>
      <c r="BX82">
        <f ca="1">COUNTIFS(INDIRECT("Table1[Beginn]"),"&lt;="&amp;BX$1,INDIRECT("Table1[Ende]"),"&gt;="&amp;BX$1,INDIRECT("Table1[Obergruppe ATC-Code]"),Tabelle3!$A82)</f>
        <v>0</v>
      </c>
      <c r="BY82">
        <f ca="1">COUNTIFS(INDIRECT("Table1[Beginn]"),"&lt;="&amp;BY$1,INDIRECT("Table1[Ende]"),"&gt;="&amp;BY$1,INDIRECT("Table1[Obergruppe ATC-Code]"),Tabelle3!$A82)</f>
        <v>0</v>
      </c>
      <c r="BZ82">
        <f ca="1">COUNTIFS(INDIRECT("Table1[Beginn]"),"&lt;="&amp;BZ$1,INDIRECT("Table1[Ende]"),"&gt;="&amp;BZ$1,INDIRECT("Table1[Obergruppe ATC-Code]"),Tabelle3!$A82)</f>
        <v>0</v>
      </c>
      <c r="CA82">
        <f ca="1">COUNTIFS(INDIRECT("Table1[Beginn]"),"&lt;="&amp;CA$1,INDIRECT("Table1[Ende]"),"&gt;="&amp;CA$1,INDIRECT("Table1[Obergruppe ATC-Code]"),Tabelle3!$A82)</f>
        <v>0</v>
      </c>
      <c r="CB82">
        <f ca="1">COUNTIFS(INDIRECT("Table1[Beginn]"),"&lt;="&amp;CB$1,INDIRECT("Table1[Ende]"),"&gt;="&amp;CB$1,INDIRECT("Table1[Obergruppe ATC-Code]"),Tabelle3!$A82)</f>
        <v>0</v>
      </c>
      <c r="CC82">
        <f ca="1">COUNTIFS(INDIRECT("Table1[Beginn]"),"&lt;="&amp;CC$1,INDIRECT("Table1[Ende]"),"&gt;="&amp;CC$1,INDIRECT("Table1[Obergruppe ATC-Code]"),Tabelle3!$A82)</f>
        <v>0</v>
      </c>
      <c r="CD82">
        <f ca="1">COUNTIFS(INDIRECT("Table1[Beginn]"),"&lt;="&amp;CD$1,INDIRECT("Table1[Ende]"),"&gt;="&amp;CD$1,INDIRECT("Table1[Obergruppe ATC-Code]"),Tabelle3!$A82)</f>
        <v>0</v>
      </c>
      <c r="CE82">
        <f ca="1">COUNTIFS(INDIRECT("Table1[Beginn]"),"&lt;="&amp;CE$1,INDIRECT("Table1[Ende]"),"&gt;="&amp;CE$1,INDIRECT("Table1[Obergruppe ATC-Code]"),Tabelle3!$A82)</f>
        <v>0</v>
      </c>
      <c r="CF82">
        <f ca="1">COUNTIFS(INDIRECT("Table1[Beginn]"),"&lt;="&amp;CF$1,INDIRECT("Table1[Ende]"),"&gt;="&amp;CF$1,INDIRECT("Table1[Obergruppe ATC-Code]"),Tabelle3!$A82)</f>
        <v>0</v>
      </c>
      <c r="CG82">
        <f ca="1">COUNTIFS(INDIRECT("Table1[Beginn]"),"&lt;="&amp;CG$1,INDIRECT("Table1[Ende]"),"&gt;="&amp;CG$1,INDIRECT("Table1[Obergruppe ATC-Code]"),Tabelle3!$A82)</f>
        <v>0</v>
      </c>
      <c r="CH82">
        <f ca="1">COUNTIFS(INDIRECT("Table1[Beginn]"),"&lt;="&amp;CH$1,INDIRECT("Table1[Ende]"),"&gt;="&amp;CH$1,INDIRECT("Table1[Obergruppe ATC-Code]"),Tabelle3!$A82)</f>
        <v>0</v>
      </c>
      <c r="CI82">
        <f ca="1">COUNTIFS(INDIRECT("Table1[Beginn]"),"&lt;="&amp;CI$1,INDIRECT("Table1[Ende]"),"&gt;="&amp;CI$1,INDIRECT("Table1[Obergruppe ATC-Code]"),Tabelle3!$A82)</f>
        <v>0</v>
      </c>
      <c r="CJ82">
        <f ca="1">COUNTIFS(INDIRECT("Table1[Beginn]"),"&lt;="&amp;CJ$1,INDIRECT("Table1[Ende]"),"&gt;="&amp;CJ$1,INDIRECT("Table1[Obergruppe ATC-Code]"),Tabelle3!$A82)</f>
        <v>0</v>
      </c>
      <c r="CK82">
        <f ca="1">COUNTIFS(INDIRECT("Table1[Beginn]"),"&lt;="&amp;CK$1,INDIRECT("Table1[Ende]"),"&gt;="&amp;CK$1,INDIRECT("Table1[Obergruppe ATC-Code]"),Tabelle3!$A82)</f>
        <v>0</v>
      </c>
      <c r="CL82">
        <f ca="1">COUNTIFS(INDIRECT("Table1[Beginn]"),"&lt;="&amp;CL$1,INDIRECT("Table1[Ende]"),"&gt;="&amp;CL$1,INDIRECT("Table1[Obergruppe ATC-Code]"),Tabelle3!$A82)</f>
        <v>0</v>
      </c>
      <c r="CM82">
        <f ca="1">COUNTIFS(INDIRECT("Table1[Beginn]"),"&lt;="&amp;CM$1,INDIRECT("Table1[Ende]"),"&gt;="&amp;CM$1,INDIRECT("Table1[Obergruppe ATC-Code]"),Tabelle3!$A82)</f>
        <v>0</v>
      </c>
      <c r="CN82">
        <f ca="1">COUNTIFS(INDIRECT("Table1[Beginn]"),"&lt;="&amp;CN$1,INDIRECT("Table1[Ende]"),"&gt;="&amp;CN$1,INDIRECT("Table1[Obergruppe ATC-Code]"),Tabelle3!$A82)</f>
        <v>0</v>
      </c>
      <c r="CO82">
        <f ca="1">COUNTIFS(INDIRECT("Table1[Beginn]"),"&lt;="&amp;CO$1,INDIRECT("Table1[Ende]"),"&gt;="&amp;CO$1,INDIRECT("Table1[Obergruppe ATC-Code]"),Tabelle3!$A82)</f>
        <v>0</v>
      </c>
      <c r="CP82">
        <f ca="1">COUNTIFS(INDIRECT("Table1[Beginn]"),"&lt;="&amp;CP$1,INDIRECT("Table1[Ende]"),"&gt;="&amp;CP$1,INDIRECT("Table1[Obergruppe ATC-Code]"),Tabelle3!$A82)</f>
        <v>0</v>
      </c>
      <c r="CQ82">
        <f ca="1">COUNTIFS(INDIRECT("Table1[Beginn]"),"&lt;="&amp;CQ$1,INDIRECT("Table1[Ende]"),"&gt;="&amp;CQ$1,INDIRECT("Table1[Obergruppe ATC-Code]"),Tabelle3!$A82)</f>
        <v>0</v>
      </c>
      <c r="CR82">
        <f ca="1">COUNTIFS(INDIRECT("Table1[Beginn]"),"&lt;="&amp;CR$1,INDIRECT("Table1[Ende]"),"&gt;="&amp;CR$1,INDIRECT("Table1[Obergruppe ATC-Code]"),Tabelle3!$A82)</f>
        <v>0</v>
      </c>
    </row>
    <row r="83" spans="1:96" ht="18">
      <c r="A83" s="9" t="s">
        <v>6934</v>
      </c>
      <c r="B83" s="10" t="s">
        <v>6935</v>
      </c>
      <c r="C83">
        <f ca="1">COUNTIFS(INDIRECT("Table1[Beginn]"),"&lt;="&amp;C$1,INDIRECT("Table1[Ende]"),"&gt;="&amp;C$1,INDIRECT("Table1[Obergruppe ATC-Code]"),Tabelle3!$A83)</f>
        <v>0</v>
      </c>
      <c r="D83">
        <f ca="1">COUNTIFS(INDIRECT("Table1[Beginn]"),"&lt;="&amp;D$1,INDIRECT("Table1[Ende]"),"&gt;="&amp;D$1,INDIRECT("Table1[Obergruppe ATC-Code]"),Tabelle3!$A83)</f>
        <v>0</v>
      </c>
      <c r="E83">
        <f ca="1">COUNTIFS(INDIRECT("Table1[Beginn]"),"&lt;="&amp;E$1,INDIRECT("Table1[Ende]"),"&gt;="&amp;E$1,INDIRECT("Table1[Obergruppe ATC-Code]"),Tabelle3!$A83)</f>
        <v>0</v>
      </c>
      <c r="F83">
        <f ca="1">COUNTIFS(INDIRECT("Table1[Beginn]"),"&lt;="&amp;F$1,INDIRECT("Table1[Ende]"),"&gt;="&amp;F$1,INDIRECT("Table1[Obergruppe ATC-Code]"),Tabelle3!$A83)</f>
        <v>0</v>
      </c>
      <c r="G83">
        <f ca="1">COUNTIFS(INDIRECT("Table1[Beginn]"),"&lt;="&amp;G$1,INDIRECT("Table1[Ende]"),"&gt;="&amp;G$1,INDIRECT("Table1[Obergruppe ATC-Code]"),Tabelle3!$A83)</f>
        <v>0</v>
      </c>
      <c r="H83">
        <f ca="1">COUNTIFS(INDIRECT("Table1[Beginn]"),"&lt;="&amp;H$1,INDIRECT("Table1[Ende]"),"&gt;="&amp;H$1,INDIRECT("Table1[Obergruppe ATC-Code]"),Tabelle3!$A83)</f>
        <v>0</v>
      </c>
      <c r="I83">
        <f ca="1">COUNTIFS(INDIRECT("Table1[Beginn]"),"&lt;="&amp;I$1,INDIRECT("Table1[Ende]"),"&gt;="&amp;I$1,INDIRECT("Table1[Obergruppe ATC-Code]"),Tabelle3!$A83)</f>
        <v>0</v>
      </c>
      <c r="J83">
        <f ca="1">COUNTIFS(INDIRECT("Table1[Beginn]"),"&lt;="&amp;J$1,INDIRECT("Table1[Ende]"),"&gt;="&amp;J$1,INDIRECT("Table1[Obergruppe ATC-Code]"),Tabelle3!$A83)</f>
        <v>0</v>
      </c>
      <c r="K83">
        <f ca="1">COUNTIFS(INDIRECT("Table1[Beginn]"),"&lt;="&amp;K$1,INDIRECT("Table1[Ende]"),"&gt;="&amp;K$1,INDIRECT("Table1[Obergruppe ATC-Code]"),Tabelle3!$A83)</f>
        <v>0</v>
      </c>
      <c r="L83">
        <f ca="1">COUNTIFS(INDIRECT("Table1[Beginn]"),"&lt;="&amp;L$1,INDIRECT("Table1[Ende]"),"&gt;="&amp;L$1,INDIRECT("Table1[Obergruppe ATC-Code]"),Tabelle3!$A83)</f>
        <v>0</v>
      </c>
      <c r="M83">
        <f ca="1">COUNTIFS(INDIRECT("Table1[Beginn]"),"&lt;="&amp;M$1,INDIRECT("Table1[Ende]"),"&gt;="&amp;M$1,INDIRECT("Table1[Obergruppe ATC-Code]"),Tabelle3!$A83)</f>
        <v>0</v>
      </c>
      <c r="N83">
        <f ca="1">COUNTIFS(INDIRECT("Table1[Beginn]"),"&lt;="&amp;N$1,INDIRECT("Table1[Ende]"),"&gt;="&amp;N$1,INDIRECT("Table1[Obergruppe ATC-Code]"),Tabelle3!$A83)</f>
        <v>0</v>
      </c>
      <c r="O83">
        <f ca="1">COUNTIFS(INDIRECT("Table1[Beginn]"),"&lt;="&amp;O$1,INDIRECT("Table1[Ende]"),"&gt;="&amp;O$1,INDIRECT("Table1[Obergruppe ATC-Code]"),Tabelle3!$A83)</f>
        <v>0</v>
      </c>
      <c r="P83">
        <f ca="1">COUNTIFS(INDIRECT("Table1[Beginn]"),"&lt;="&amp;P$1,INDIRECT("Table1[Ende]"),"&gt;="&amp;P$1,INDIRECT("Table1[Obergruppe ATC-Code]"),Tabelle3!$A83)</f>
        <v>0</v>
      </c>
      <c r="Q83">
        <f ca="1">COUNTIFS(INDIRECT("Table1[Beginn]"),"&lt;="&amp;Q$1,INDIRECT("Table1[Ende]"),"&gt;="&amp;Q$1,INDIRECT("Table1[Obergruppe ATC-Code]"),Tabelle3!$A83)</f>
        <v>0</v>
      </c>
      <c r="R83">
        <f ca="1">COUNTIFS(INDIRECT("Table1[Beginn]"),"&lt;="&amp;R$1,INDIRECT("Table1[Ende]"),"&gt;="&amp;R$1,INDIRECT("Table1[Obergruppe ATC-Code]"),Tabelle3!$A83)</f>
        <v>0</v>
      </c>
      <c r="S83">
        <f ca="1">COUNTIFS(INDIRECT("Table1[Beginn]"),"&lt;="&amp;S$1,INDIRECT("Table1[Ende]"),"&gt;="&amp;S$1,INDIRECT("Table1[Obergruppe ATC-Code]"),Tabelle3!$A83)</f>
        <v>0</v>
      </c>
      <c r="T83">
        <f ca="1">COUNTIFS(INDIRECT("Table1[Beginn]"),"&lt;="&amp;T$1,INDIRECT("Table1[Ende]"),"&gt;="&amp;T$1,INDIRECT("Table1[Obergruppe ATC-Code]"),Tabelle3!$A83)</f>
        <v>0</v>
      </c>
      <c r="U83">
        <f ca="1">COUNTIFS(INDIRECT("Table1[Beginn]"),"&lt;="&amp;U$1,INDIRECT("Table1[Ende]"),"&gt;="&amp;U$1,INDIRECT("Table1[Obergruppe ATC-Code]"),Tabelle3!$A83)</f>
        <v>0</v>
      </c>
      <c r="V83">
        <f ca="1">COUNTIFS(INDIRECT("Table1[Beginn]"),"&lt;="&amp;V$1,INDIRECT("Table1[Ende]"),"&gt;="&amp;V$1,INDIRECT("Table1[Obergruppe ATC-Code]"),Tabelle3!$A83)</f>
        <v>0</v>
      </c>
      <c r="W83">
        <f ca="1">COUNTIFS(INDIRECT("Table1[Beginn]"),"&lt;="&amp;W$1,INDIRECT("Table1[Ende]"),"&gt;="&amp;W$1,INDIRECT("Table1[Obergruppe ATC-Code]"),Tabelle3!$A83)</f>
        <v>0</v>
      </c>
      <c r="X83">
        <f ca="1">COUNTIFS(INDIRECT("Table1[Beginn]"),"&lt;="&amp;X$1,INDIRECT("Table1[Ende]"),"&gt;="&amp;X$1,INDIRECT("Table1[Obergruppe ATC-Code]"),Tabelle3!$A83)</f>
        <v>0</v>
      </c>
      <c r="Y83">
        <f ca="1">COUNTIFS(INDIRECT("Table1[Beginn]"),"&lt;="&amp;Y$1,INDIRECT("Table1[Ende]"),"&gt;="&amp;Y$1,INDIRECT("Table1[Obergruppe ATC-Code]"),Tabelle3!$A83)</f>
        <v>0</v>
      </c>
      <c r="Z83">
        <f ca="1">COUNTIFS(INDIRECT("Table1[Beginn]"),"&lt;="&amp;Z$1,INDIRECT("Table1[Ende]"),"&gt;="&amp;Z$1,INDIRECT("Table1[Obergruppe ATC-Code]"),Tabelle3!$A83)</f>
        <v>0</v>
      </c>
      <c r="AA83">
        <f ca="1">COUNTIFS(INDIRECT("Table1[Beginn]"),"&lt;="&amp;AA$1,INDIRECT("Table1[Ende]"),"&gt;="&amp;AA$1,INDIRECT("Table1[Obergruppe ATC-Code]"),Tabelle3!$A83)</f>
        <v>0</v>
      </c>
      <c r="AB83">
        <f ca="1">COUNTIFS(INDIRECT("Table1[Beginn]"),"&lt;="&amp;AB$1,INDIRECT("Table1[Ende]"),"&gt;="&amp;AB$1,INDIRECT("Table1[Obergruppe ATC-Code]"),Tabelle3!$A83)</f>
        <v>0</v>
      </c>
      <c r="AC83">
        <f ca="1">COUNTIFS(INDIRECT("Table1[Beginn]"),"&lt;="&amp;AC$1,INDIRECT("Table1[Ende]"),"&gt;="&amp;AC$1,INDIRECT("Table1[Obergruppe ATC-Code]"),Tabelle3!$A83)</f>
        <v>0</v>
      </c>
      <c r="AD83">
        <f ca="1">COUNTIFS(INDIRECT("Table1[Beginn]"),"&lt;="&amp;AD$1,INDIRECT("Table1[Ende]"),"&gt;="&amp;AD$1,INDIRECT("Table1[Obergruppe ATC-Code]"),Tabelle3!$A83)</f>
        <v>0</v>
      </c>
      <c r="AE83">
        <f ca="1">COUNTIFS(INDIRECT("Table1[Beginn]"),"&lt;="&amp;AE$1,INDIRECT("Table1[Ende]"),"&gt;="&amp;AE$1,INDIRECT("Table1[Obergruppe ATC-Code]"),Tabelle3!$A83)</f>
        <v>0</v>
      </c>
      <c r="AF83">
        <f ca="1">COUNTIFS(INDIRECT("Table1[Beginn]"),"&lt;="&amp;AF$1,INDIRECT("Table1[Ende]"),"&gt;="&amp;AF$1,INDIRECT("Table1[Obergruppe ATC-Code]"),Tabelle3!$A83)</f>
        <v>0</v>
      </c>
      <c r="AG83">
        <f ca="1">COUNTIFS(INDIRECT("Table1[Beginn]"),"&lt;="&amp;AG$1,INDIRECT("Table1[Ende]"),"&gt;="&amp;AG$1,INDIRECT("Table1[Obergruppe ATC-Code]"),Tabelle3!$A83)</f>
        <v>0</v>
      </c>
      <c r="AH83">
        <f ca="1">COUNTIFS(INDIRECT("Table1[Beginn]"),"&lt;="&amp;AH$1,INDIRECT("Table1[Ende]"),"&gt;="&amp;AH$1,INDIRECT("Table1[Obergruppe ATC-Code]"),Tabelle3!$A83)</f>
        <v>0</v>
      </c>
      <c r="AI83">
        <f ca="1">COUNTIFS(INDIRECT("Table1[Beginn]"),"&lt;="&amp;AI$1,INDIRECT("Table1[Ende]"),"&gt;="&amp;AI$1,INDIRECT("Table1[Obergruppe ATC-Code]"),Tabelle3!$A83)</f>
        <v>0</v>
      </c>
      <c r="AJ83">
        <f ca="1">COUNTIFS(INDIRECT("Table1[Beginn]"),"&lt;="&amp;AJ$1,INDIRECT("Table1[Ende]"),"&gt;="&amp;AJ$1,INDIRECT("Table1[Obergruppe ATC-Code]"),Tabelle3!$A83)</f>
        <v>0</v>
      </c>
      <c r="AK83">
        <f ca="1">COUNTIFS(INDIRECT("Table1[Beginn]"),"&lt;="&amp;AK$1,INDIRECT("Table1[Ende]"),"&gt;="&amp;AK$1,INDIRECT("Table1[Obergruppe ATC-Code]"),Tabelle3!$A83)</f>
        <v>0</v>
      </c>
      <c r="AL83">
        <f ca="1">COUNTIFS(INDIRECT("Table1[Beginn]"),"&lt;="&amp;AL$1,INDIRECT("Table1[Ende]"),"&gt;="&amp;AL$1,INDIRECT("Table1[Obergruppe ATC-Code]"),Tabelle3!$A83)</f>
        <v>0</v>
      </c>
      <c r="AM83">
        <f ca="1">COUNTIFS(INDIRECT("Table1[Beginn]"),"&lt;="&amp;AM$1,INDIRECT("Table1[Ende]"),"&gt;="&amp;AM$1,INDIRECT("Table1[Obergruppe ATC-Code]"),Tabelle3!$A83)</f>
        <v>1</v>
      </c>
      <c r="AN83">
        <f ca="1">COUNTIFS(INDIRECT("Table1[Beginn]"),"&lt;="&amp;AN$1,INDIRECT("Table1[Ende]"),"&gt;="&amp;AN$1,INDIRECT("Table1[Obergruppe ATC-Code]"),Tabelle3!$A83)</f>
        <v>1</v>
      </c>
      <c r="AO83">
        <f ca="1">COUNTIFS(INDIRECT("Table1[Beginn]"),"&lt;="&amp;AO$1,INDIRECT("Table1[Ende]"),"&gt;="&amp;AO$1,INDIRECT("Table1[Obergruppe ATC-Code]"),Tabelle3!$A83)</f>
        <v>1</v>
      </c>
      <c r="AP83">
        <f ca="1">COUNTIFS(INDIRECT("Table1[Beginn]"),"&lt;="&amp;AP$1,INDIRECT("Table1[Ende]"),"&gt;="&amp;AP$1,INDIRECT("Table1[Obergruppe ATC-Code]"),Tabelle3!$A83)</f>
        <v>0</v>
      </c>
      <c r="AQ83">
        <f ca="1">COUNTIFS(INDIRECT("Table1[Beginn]"),"&lt;="&amp;AQ$1,INDIRECT("Table1[Ende]"),"&gt;="&amp;AQ$1,INDIRECT("Table1[Obergruppe ATC-Code]"),Tabelle3!$A83)</f>
        <v>0</v>
      </c>
      <c r="AR83">
        <f ca="1">COUNTIFS(INDIRECT("Table1[Beginn]"),"&lt;="&amp;AR$1,INDIRECT("Table1[Ende]"),"&gt;="&amp;AR$1,INDIRECT("Table1[Obergruppe ATC-Code]"),Tabelle3!$A83)</f>
        <v>0</v>
      </c>
      <c r="AS83">
        <f ca="1">COUNTIFS(INDIRECT("Table1[Beginn]"),"&lt;="&amp;AS$1,INDIRECT("Table1[Ende]"),"&gt;="&amp;AS$1,INDIRECT("Table1[Obergruppe ATC-Code]"),Tabelle3!$A83)</f>
        <v>0</v>
      </c>
      <c r="AT83">
        <f ca="1">COUNTIFS(INDIRECT("Table1[Beginn]"),"&lt;="&amp;AT$1,INDIRECT("Table1[Ende]"),"&gt;="&amp;AT$1,INDIRECT("Table1[Obergruppe ATC-Code]"),Tabelle3!$A83)</f>
        <v>0</v>
      </c>
      <c r="AU83">
        <f ca="1">COUNTIFS(INDIRECT("Table1[Beginn]"),"&lt;="&amp;AU$1,INDIRECT("Table1[Ende]"),"&gt;="&amp;AU$1,INDIRECT("Table1[Obergruppe ATC-Code]"),Tabelle3!$A83)</f>
        <v>1</v>
      </c>
      <c r="AV83">
        <f ca="1">COUNTIFS(INDIRECT("Table1[Beginn]"),"&lt;="&amp;AV$1,INDIRECT("Table1[Ende]"),"&gt;="&amp;AV$1,INDIRECT("Table1[Obergruppe ATC-Code]"),Tabelle3!$A83)</f>
        <v>1</v>
      </c>
      <c r="AW83">
        <f ca="1">COUNTIFS(INDIRECT("Table1[Beginn]"),"&lt;="&amp;AW$1,INDIRECT("Table1[Ende]"),"&gt;="&amp;AW$1,INDIRECT("Table1[Obergruppe ATC-Code]"),Tabelle3!$A83)</f>
        <v>1</v>
      </c>
      <c r="AX83">
        <f ca="1">COUNTIFS(INDIRECT("Table1[Beginn]"),"&lt;="&amp;AX$1,INDIRECT("Table1[Ende]"),"&gt;="&amp;AX$1,INDIRECT("Table1[Obergruppe ATC-Code]"),Tabelle3!$A83)</f>
        <v>1</v>
      </c>
      <c r="AY83">
        <f ca="1">COUNTIFS(INDIRECT("Table1[Beginn]"),"&lt;="&amp;AY$1,INDIRECT("Table1[Ende]"),"&gt;="&amp;AY$1,INDIRECT("Table1[Obergruppe ATC-Code]"),Tabelle3!$A83)</f>
        <v>1</v>
      </c>
      <c r="AZ83">
        <f ca="1">COUNTIFS(INDIRECT("Table1[Beginn]"),"&lt;="&amp;AZ$1,INDIRECT("Table1[Ende]"),"&gt;="&amp;AZ$1,INDIRECT("Table1[Obergruppe ATC-Code]"),Tabelle3!$A83)</f>
        <v>1</v>
      </c>
      <c r="BA83">
        <f ca="1">COUNTIFS(INDIRECT("Table1[Beginn]"),"&lt;="&amp;BA$1,INDIRECT("Table1[Ende]"),"&gt;="&amp;BA$1,INDIRECT("Table1[Obergruppe ATC-Code]"),Tabelle3!$A83)</f>
        <v>0</v>
      </c>
      <c r="BB83">
        <f ca="1">COUNTIFS(INDIRECT("Table1[Beginn]"),"&lt;="&amp;BB$1,INDIRECT("Table1[Ende]"),"&gt;="&amp;BB$1,INDIRECT("Table1[Obergruppe ATC-Code]"),Tabelle3!$A83)</f>
        <v>0</v>
      </c>
      <c r="BC83">
        <f ca="1">COUNTIFS(INDIRECT("Table1[Beginn]"),"&lt;="&amp;BC$1,INDIRECT("Table1[Ende]"),"&gt;="&amp;BC$1,INDIRECT("Table1[Obergruppe ATC-Code]"),Tabelle3!$A83)</f>
        <v>0</v>
      </c>
      <c r="BD83">
        <f ca="1">COUNTIFS(INDIRECT("Table1[Beginn]"),"&lt;="&amp;BD$1,INDIRECT("Table1[Ende]"),"&gt;="&amp;BD$1,INDIRECT("Table1[Obergruppe ATC-Code]"),Tabelle3!$A83)</f>
        <v>0</v>
      </c>
      <c r="BE83">
        <f ca="1">COUNTIFS(INDIRECT("Table1[Beginn]"),"&lt;="&amp;BE$1,INDIRECT("Table1[Ende]"),"&gt;="&amp;BE$1,INDIRECT("Table1[Obergruppe ATC-Code]"),Tabelle3!$A83)</f>
        <v>0</v>
      </c>
      <c r="BF83">
        <f ca="1">COUNTIFS(INDIRECT("Table1[Beginn]"),"&lt;="&amp;BF$1,INDIRECT("Table1[Ende]"),"&gt;="&amp;BF$1,INDIRECT("Table1[Obergruppe ATC-Code]"),Tabelle3!$A83)</f>
        <v>0</v>
      </c>
      <c r="BG83">
        <f ca="1">COUNTIFS(INDIRECT("Table1[Beginn]"),"&lt;="&amp;BG$1,INDIRECT("Table1[Ende]"),"&gt;="&amp;BG$1,INDIRECT("Table1[Obergruppe ATC-Code]"),Tabelle3!$A83)</f>
        <v>0</v>
      </c>
      <c r="BH83">
        <f ca="1">COUNTIFS(INDIRECT("Table1[Beginn]"),"&lt;="&amp;BH$1,INDIRECT("Table1[Ende]"),"&gt;="&amp;BH$1,INDIRECT("Table1[Obergruppe ATC-Code]"),Tabelle3!$A83)</f>
        <v>0</v>
      </c>
      <c r="BI83">
        <f ca="1">COUNTIFS(INDIRECT("Table1[Beginn]"),"&lt;="&amp;BI$1,INDIRECT("Table1[Ende]"),"&gt;="&amp;BI$1,INDIRECT("Table1[Obergruppe ATC-Code]"),Tabelle3!$A83)</f>
        <v>0</v>
      </c>
      <c r="BJ83">
        <f ca="1">COUNTIFS(INDIRECT("Table1[Beginn]"),"&lt;="&amp;BJ$1,INDIRECT("Table1[Ende]"),"&gt;="&amp;BJ$1,INDIRECT("Table1[Obergruppe ATC-Code]"),Tabelle3!$A83)</f>
        <v>0</v>
      </c>
      <c r="BK83">
        <f ca="1">COUNTIFS(INDIRECT("Table1[Beginn]"),"&lt;="&amp;BK$1,INDIRECT("Table1[Ende]"),"&gt;="&amp;BK$1,INDIRECT("Table1[Obergruppe ATC-Code]"),Tabelle3!$A83)</f>
        <v>0</v>
      </c>
      <c r="BL83">
        <f ca="1">COUNTIFS(INDIRECT("Table1[Beginn]"),"&lt;="&amp;BL$1,INDIRECT("Table1[Ende]"),"&gt;="&amp;BL$1,INDIRECT("Table1[Obergruppe ATC-Code]"),Tabelle3!$A83)</f>
        <v>0</v>
      </c>
      <c r="BM83">
        <f ca="1">COUNTIFS(INDIRECT("Table1[Beginn]"),"&lt;="&amp;BM$1,INDIRECT("Table1[Ende]"),"&gt;="&amp;BM$1,INDIRECT("Table1[Obergruppe ATC-Code]"),Tabelle3!$A83)</f>
        <v>0</v>
      </c>
      <c r="BN83">
        <f ca="1">COUNTIFS(INDIRECT("Table1[Beginn]"),"&lt;="&amp;BN$1,INDIRECT("Table1[Ende]"),"&gt;="&amp;BN$1,INDIRECT("Table1[Obergruppe ATC-Code]"),Tabelle3!$A83)</f>
        <v>0</v>
      </c>
      <c r="BO83">
        <f ca="1">COUNTIFS(INDIRECT("Table1[Beginn]"),"&lt;="&amp;BO$1,INDIRECT("Table1[Ende]"),"&gt;="&amp;BO$1,INDIRECT("Table1[Obergruppe ATC-Code]"),Tabelle3!$A83)</f>
        <v>0</v>
      </c>
      <c r="BP83">
        <f ca="1">COUNTIFS(INDIRECT("Table1[Beginn]"),"&lt;="&amp;BP$1,INDIRECT("Table1[Ende]"),"&gt;="&amp;BP$1,INDIRECT("Table1[Obergruppe ATC-Code]"),Tabelle3!$A83)</f>
        <v>0</v>
      </c>
      <c r="BQ83">
        <f ca="1">COUNTIFS(INDIRECT("Table1[Beginn]"),"&lt;="&amp;BQ$1,INDIRECT("Table1[Ende]"),"&gt;="&amp;BQ$1,INDIRECT("Table1[Obergruppe ATC-Code]"),Tabelle3!$A83)</f>
        <v>0</v>
      </c>
      <c r="BR83">
        <f ca="1">COUNTIFS(INDIRECT("Table1[Beginn]"),"&lt;="&amp;BR$1,INDIRECT("Table1[Ende]"),"&gt;="&amp;BR$1,INDIRECT("Table1[Obergruppe ATC-Code]"),Tabelle3!$A83)</f>
        <v>0</v>
      </c>
      <c r="BS83">
        <f ca="1">COUNTIFS(INDIRECT("Table1[Beginn]"),"&lt;="&amp;BS$1,INDIRECT("Table1[Ende]"),"&gt;="&amp;BS$1,INDIRECT("Table1[Obergruppe ATC-Code]"),Tabelle3!$A83)</f>
        <v>0</v>
      </c>
      <c r="BT83">
        <f ca="1">COUNTIFS(INDIRECT("Table1[Beginn]"),"&lt;="&amp;BT$1,INDIRECT("Table1[Ende]"),"&gt;="&amp;BT$1,INDIRECT("Table1[Obergruppe ATC-Code]"),Tabelle3!$A83)</f>
        <v>0</v>
      </c>
      <c r="BU83">
        <f ca="1">COUNTIFS(INDIRECT("Table1[Beginn]"),"&lt;="&amp;BU$1,INDIRECT("Table1[Ende]"),"&gt;="&amp;BU$1,INDIRECT("Table1[Obergruppe ATC-Code]"),Tabelle3!$A83)</f>
        <v>0</v>
      </c>
      <c r="BV83">
        <f ca="1">COUNTIFS(INDIRECT("Table1[Beginn]"),"&lt;="&amp;BV$1,INDIRECT("Table1[Ende]"),"&gt;="&amp;BV$1,INDIRECT("Table1[Obergruppe ATC-Code]"),Tabelle3!$A83)</f>
        <v>0</v>
      </c>
      <c r="BW83">
        <f ca="1">COUNTIFS(INDIRECT("Table1[Beginn]"),"&lt;="&amp;BW$1,INDIRECT("Table1[Ende]"),"&gt;="&amp;BW$1,INDIRECT("Table1[Obergruppe ATC-Code]"),Tabelle3!$A83)</f>
        <v>0</v>
      </c>
      <c r="BX83">
        <f ca="1">COUNTIFS(INDIRECT("Table1[Beginn]"),"&lt;="&amp;BX$1,INDIRECT("Table1[Ende]"),"&gt;="&amp;BX$1,INDIRECT("Table1[Obergruppe ATC-Code]"),Tabelle3!$A83)</f>
        <v>0</v>
      </c>
      <c r="BY83">
        <f ca="1">COUNTIFS(INDIRECT("Table1[Beginn]"),"&lt;="&amp;BY$1,INDIRECT("Table1[Ende]"),"&gt;="&amp;BY$1,INDIRECT("Table1[Obergruppe ATC-Code]"),Tabelle3!$A83)</f>
        <v>1</v>
      </c>
      <c r="BZ83">
        <f ca="1">COUNTIFS(INDIRECT("Table1[Beginn]"),"&lt;="&amp;BZ$1,INDIRECT("Table1[Ende]"),"&gt;="&amp;BZ$1,INDIRECT("Table1[Obergruppe ATC-Code]"),Tabelle3!$A83)</f>
        <v>1</v>
      </c>
      <c r="CA83">
        <f ca="1">COUNTIFS(INDIRECT("Table1[Beginn]"),"&lt;="&amp;CA$1,INDIRECT("Table1[Ende]"),"&gt;="&amp;CA$1,INDIRECT("Table1[Obergruppe ATC-Code]"),Tabelle3!$A83)</f>
        <v>1</v>
      </c>
      <c r="CB83">
        <f ca="1">COUNTIFS(INDIRECT("Table1[Beginn]"),"&lt;="&amp;CB$1,INDIRECT("Table1[Ende]"),"&gt;="&amp;CB$1,INDIRECT("Table1[Obergruppe ATC-Code]"),Tabelle3!$A83)</f>
        <v>1</v>
      </c>
      <c r="CC83">
        <f ca="1">COUNTIFS(INDIRECT("Table1[Beginn]"),"&lt;="&amp;CC$1,INDIRECT("Table1[Ende]"),"&gt;="&amp;CC$1,INDIRECT("Table1[Obergruppe ATC-Code]"),Tabelle3!$A83)</f>
        <v>1</v>
      </c>
      <c r="CD83">
        <f ca="1">COUNTIFS(INDIRECT("Table1[Beginn]"),"&lt;="&amp;CD$1,INDIRECT("Table1[Ende]"),"&gt;="&amp;CD$1,INDIRECT("Table1[Obergruppe ATC-Code]"),Tabelle3!$A83)</f>
        <v>1</v>
      </c>
      <c r="CE83">
        <f ca="1">COUNTIFS(INDIRECT("Table1[Beginn]"),"&lt;="&amp;CE$1,INDIRECT("Table1[Ende]"),"&gt;="&amp;CE$1,INDIRECT("Table1[Obergruppe ATC-Code]"),Tabelle3!$A83)</f>
        <v>0</v>
      </c>
      <c r="CF83">
        <f ca="1">COUNTIFS(INDIRECT("Table1[Beginn]"),"&lt;="&amp;CF$1,INDIRECT("Table1[Ende]"),"&gt;="&amp;CF$1,INDIRECT("Table1[Obergruppe ATC-Code]"),Tabelle3!$A83)</f>
        <v>0</v>
      </c>
      <c r="CG83">
        <f ca="1">COUNTIFS(INDIRECT("Table1[Beginn]"),"&lt;="&amp;CG$1,INDIRECT("Table1[Ende]"),"&gt;="&amp;CG$1,INDIRECT("Table1[Obergruppe ATC-Code]"),Tabelle3!$A83)</f>
        <v>0</v>
      </c>
      <c r="CH83">
        <f ca="1">COUNTIFS(INDIRECT("Table1[Beginn]"),"&lt;="&amp;CH$1,INDIRECT("Table1[Ende]"),"&gt;="&amp;CH$1,INDIRECT("Table1[Obergruppe ATC-Code]"),Tabelle3!$A83)</f>
        <v>0</v>
      </c>
      <c r="CI83">
        <f ca="1">COUNTIFS(INDIRECT("Table1[Beginn]"),"&lt;="&amp;CI$1,INDIRECT("Table1[Ende]"),"&gt;="&amp;CI$1,INDIRECT("Table1[Obergruppe ATC-Code]"),Tabelle3!$A83)</f>
        <v>0</v>
      </c>
      <c r="CJ83">
        <f ca="1">COUNTIFS(INDIRECT("Table1[Beginn]"),"&lt;="&amp;CJ$1,INDIRECT("Table1[Ende]"),"&gt;="&amp;CJ$1,INDIRECT("Table1[Obergruppe ATC-Code]"),Tabelle3!$A83)</f>
        <v>0</v>
      </c>
      <c r="CK83">
        <f ca="1">COUNTIFS(INDIRECT("Table1[Beginn]"),"&lt;="&amp;CK$1,INDIRECT("Table1[Ende]"),"&gt;="&amp;CK$1,INDIRECT("Table1[Obergruppe ATC-Code]"),Tabelle3!$A83)</f>
        <v>0</v>
      </c>
      <c r="CL83">
        <f ca="1">COUNTIFS(INDIRECT("Table1[Beginn]"),"&lt;="&amp;CL$1,INDIRECT("Table1[Ende]"),"&gt;="&amp;CL$1,INDIRECT("Table1[Obergruppe ATC-Code]"),Tabelle3!$A83)</f>
        <v>0</v>
      </c>
      <c r="CM83">
        <f ca="1">COUNTIFS(INDIRECT("Table1[Beginn]"),"&lt;="&amp;CM$1,INDIRECT("Table1[Ende]"),"&gt;="&amp;CM$1,INDIRECT("Table1[Obergruppe ATC-Code]"),Tabelle3!$A83)</f>
        <v>0</v>
      </c>
      <c r="CN83">
        <f ca="1">COUNTIFS(INDIRECT("Table1[Beginn]"),"&lt;="&amp;CN$1,INDIRECT("Table1[Ende]"),"&gt;="&amp;CN$1,INDIRECT("Table1[Obergruppe ATC-Code]"),Tabelle3!$A83)</f>
        <v>0</v>
      </c>
      <c r="CO83">
        <f ca="1">COUNTIFS(INDIRECT("Table1[Beginn]"),"&lt;="&amp;CO$1,INDIRECT("Table1[Ende]"),"&gt;="&amp;CO$1,INDIRECT("Table1[Obergruppe ATC-Code]"),Tabelle3!$A83)</f>
        <v>0</v>
      </c>
      <c r="CP83">
        <f ca="1">COUNTIFS(INDIRECT("Table1[Beginn]"),"&lt;="&amp;CP$1,INDIRECT("Table1[Ende]"),"&gt;="&amp;CP$1,INDIRECT("Table1[Obergruppe ATC-Code]"),Tabelle3!$A83)</f>
        <v>0</v>
      </c>
      <c r="CQ83">
        <f ca="1">COUNTIFS(INDIRECT("Table1[Beginn]"),"&lt;="&amp;CQ$1,INDIRECT("Table1[Ende]"),"&gt;="&amp;CQ$1,INDIRECT("Table1[Obergruppe ATC-Code]"),Tabelle3!$A83)</f>
        <v>0</v>
      </c>
      <c r="CR83">
        <f ca="1">COUNTIFS(INDIRECT("Table1[Beginn]"),"&lt;="&amp;CR$1,INDIRECT("Table1[Ende]"),"&gt;="&amp;CR$1,INDIRECT("Table1[Obergruppe ATC-Code]"),Tabelle3!$A83)</f>
        <v>0</v>
      </c>
    </row>
    <row r="84" spans="1:96" ht="18">
      <c r="A84" s="7" t="s">
        <v>6936</v>
      </c>
      <c r="B84" s="8" t="s">
        <v>6937</v>
      </c>
      <c r="C84">
        <f ca="1">COUNTIFS(INDIRECT("Table1[Beginn]"),"&lt;="&amp;C$1,INDIRECT("Table1[Ende]"),"&gt;="&amp;C$1,INDIRECT("Table1[Obergruppe ATC-Code]"),Tabelle3!$A84)</f>
        <v>0</v>
      </c>
      <c r="D84">
        <f ca="1">COUNTIFS(INDIRECT("Table1[Beginn]"),"&lt;="&amp;D$1,INDIRECT("Table1[Ende]"),"&gt;="&amp;D$1,INDIRECT("Table1[Obergruppe ATC-Code]"),Tabelle3!$A84)</f>
        <v>0</v>
      </c>
      <c r="E84">
        <f ca="1">COUNTIFS(INDIRECT("Table1[Beginn]"),"&lt;="&amp;E$1,INDIRECT("Table1[Ende]"),"&gt;="&amp;E$1,INDIRECT("Table1[Obergruppe ATC-Code]"),Tabelle3!$A84)</f>
        <v>0</v>
      </c>
      <c r="F84">
        <f ca="1">COUNTIFS(INDIRECT("Table1[Beginn]"),"&lt;="&amp;F$1,INDIRECT("Table1[Ende]"),"&gt;="&amp;F$1,INDIRECT("Table1[Obergruppe ATC-Code]"),Tabelle3!$A84)</f>
        <v>0</v>
      </c>
      <c r="G84">
        <f ca="1">COUNTIFS(INDIRECT("Table1[Beginn]"),"&lt;="&amp;G$1,INDIRECT("Table1[Ende]"),"&gt;="&amp;G$1,INDIRECT("Table1[Obergruppe ATC-Code]"),Tabelle3!$A84)</f>
        <v>0</v>
      </c>
      <c r="H84">
        <f ca="1">COUNTIFS(INDIRECT("Table1[Beginn]"),"&lt;="&amp;H$1,INDIRECT("Table1[Ende]"),"&gt;="&amp;H$1,INDIRECT("Table1[Obergruppe ATC-Code]"),Tabelle3!$A84)</f>
        <v>0</v>
      </c>
      <c r="I84">
        <f ca="1">COUNTIFS(INDIRECT("Table1[Beginn]"),"&lt;="&amp;I$1,INDIRECT("Table1[Ende]"),"&gt;="&amp;I$1,INDIRECT("Table1[Obergruppe ATC-Code]"),Tabelle3!$A84)</f>
        <v>0</v>
      </c>
      <c r="J84">
        <f ca="1">COUNTIFS(INDIRECT("Table1[Beginn]"),"&lt;="&amp;J$1,INDIRECT("Table1[Ende]"),"&gt;="&amp;J$1,INDIRECT("Table1[Obergruppe ATC-Code]"),Tabelle3!$A84)</f>
        <v>0</v>
      </c>
      <c r="K84">
        <f ca="1">COUNTIFS(INDIRECT("Table1[Beginn]"),"&lt;="&amp;K$1,INDIRECT("Table1[Ende]"),"&gt;="&amp;K$1,INDIRECT("Table1[Obergruppe ATC-Code]"),Tabelle3!$A84)</f>
        <v>0</v>
      </c>
      <c r="L84">
        <f ca="1">COUNTIFS(INDIRECT("Table1[Beginn]"),"&lt;="&amp;L$1,INDIRECT("Table1[Ende]"),"&gt;="&amp;L$1,INDIRECT("Table1[Obergruppe ATC-Code]"),Tabelle3!$A84)</f>
        <v>0</v>
      </c>
      <c r="M84">
        <f ca="1">COUNTIFS(INDIRECT("Table1[Beginn]"),"&lt;="&amp;M$1,INDIRECT("Table1[Ende]"),"&gt;="&amp;M$1,INDIRECT("Table1[Obergruppe ATC-Code]"),Tabelle3!$A84)</f>
        <v>0</v>
      </c>
      <c r="N84">
        <f ca="1">COUNTIFS(INDIRECT("Table1[Beginn]"),"&lt;="&amp;N$1,INDIRECT("Table1[Ende]"),"&gt;="&amp;N$1,INDIRECT("Table1[Obergruppe ATC-Code]"),Tabelle3!$A84)</f>
        <v>0</v>
      </c>
      <c r="O84">
        <f ca="1">COUNTIFS(INDIRECT("Table1[Beginn]"),"&lt;="&amp;O$1,INDIRECT("Table1[Ende]"),"&gt;="&amp;O$1,INDIRECT("Table1[Obergruppe ATC-Code]"),Tabelle3!$A84)</f>
        <v>0</v>
      </c>
      <c r="P84">
        <f ca="1">COUNTIFS(INDIRECT("Table1[Beginn]"),"&lt;="&amp;P$1,INDIRECT("Table1[Ende]"),"&gt;="&amp;P$1,INDIRECT("Table1[Obergruppe ATC-Code]"),Tabelle3!$A84)</f>
        <v>0</v>
      </c>
      <c r="Q84">
        <f ca="1">COUNTIFS(INDIRECT("Table1[Beginn]"),"&lt;="&amp;Q$1,INDIRECT("Table1[Ende]"),"&gt;="&amp;Q$1,INDIRECT("Table1[Obergruppe ATC-Code]"),Tabelle3!$A84)</f>
        <v>0</v>
      </c>
      <c r="R84">
        <f ca="1">COUNTIFS(INDIRECT("Table1[Beginn]"),"&lt;="&amp;R$1,INDIRECT("Table1[Ende]"),"&gt;="&amp;R$1,INDIRECT("Table1[Obergruppe ATC-Code]"),Tabelle3!$A84)</f>
        <v>0</v>
      </c>
      <c r="S84">
        <f ca="1">COUNTIFS(INDIRECT("Table1[Beginn]"),"&lt;="&amp;S$1,INDIRECT("Table1[Ende]"),"&gt;="&amp;S$1,INDIRECT("Table1[Obergruppe ATC-Code]"),Tabelle3!$A84)</f>
        <v>0</v>
      </c>
      <c r="T84">
        <f ca="1">COUNTIFS(INDIRECT("Table1[Beginn]"),"&lt;="&amp;T$1,INDIRECT("Table1[Ende]"),"&gt;="&amp;T$1,INDIRECT("Table1[Obergruppe ATC-Code]"),Tabelle3!$A84)</f>
        <v>0</v>
      </c>
      <c r="U84">
        <f ca="1">COUNTIFS(INDIRECT("Table1[Beginn]"),"&lt;="&amp;U$1,INDIRECT("Table1[Ende]"),"&gt;="&amp;U$1,INDIRECT("Table1[Obergruppe ATC-Code]"),Tabelle3!$A84)</f>
        <v>0</v>
      </c>
      <c r="V84">
        <f ca="1">COUNTIFS(INDIRECT("Table1[Beginn]"),"&lt;="&amp;V$1,INDIRECT("Table1[Ende]"),"&gt;="&amp;V$1,INDIRECT("Table1[Obergruppe ATC-Code]"),Tabelle3!$A84)</f>
        <v>0</v>
      </c>
      <c r="W84">
        <f ca="1">COUNTIFS(INDIRECT("Table1[Beginn]"),"&lt;="&amp;W$1,INDIRECT("Table1[Ende]"),"&gt;="&amp;W$1,INDIRECT("Table1[Obergruppe ATC-Code]"),Tabelle3!$A84)</f>
        <v>0</v>
      </c>
      <c r="X84">
        <f ca="1">COUNTIFS(INDIRECT("Table1[Beginn]"),"&lt;="&amp;X$1,INDIRECT("Table1[Ende]"),"&gt;="&amp;X$1,INDIRECT("Table1[Obergruppe ATC-Code]"),Tabelle3!$A84)</f>
        <v>0</v>
      </c>
      <c r="Y84">
        <f ca="1">COUNTIFS(INDIRECT("Table1[Beginn]"),"&lt;="&amp;Y$1,INDIRECT("Table1[Ende]"),"&gt;="&amp;Y$1,INDIRECT("Table1[Obergruppe ATC-Code]"),Tabelle3!$A84)</f>
        <v>0</v>
      </c>
      <c r="Z84">
        <f ca="1">COUNTIFS(INDIRECT("Table1[Beginn]"),"&lt;="&amp;Z$1,INDIRECT("Table1[Ende]"),"&gt;="&amp;Z$1,INDIRECT("Table1[Obergruppe ATC-Code]"),Tabelle3!$A84)</f>
        <v>0</v>
      </c>
      <c r="AA84">
        <f ca="1">COUNTIFS(INDIRECT("Table1[Beginn]"),"&lt;="&amp;AA$1,INDIRECT("Table1[Ende]"),"&gt;="&amp;AA$1,INDIRECT("Table1[Obergruppe ATC-Code]"),Tabelle3!$A84)</f>
        <v>0</v>
      </c>
      <c r="AB84">
        <f ca="1">COUNTIFS(INDIRECT("Table1[Beginn]"),"&lt;="&amp;AB$1,INDIRECT("Table1[Ende]"),"&gt;="&amp;AB$1,INDIRECT("Table1[Obergruppe ATC-Code]"),Tabelle3!$A84)</f>
        <v>0</v>
      </c>
      <c r="AC84">
        <f ca="1">COUNTIFS(INDIRECT("Table1[Beginn]"),"&lt;="&amp;AC$1,INDIRECT("Table1[Ende]"),"&gt;="&amp;AC$1,INDIRECT("Table1[Obergruppe ATC-Code]"),Tabelle3!$A84)</f>
        <v>0</v>
      </c>
      <c r="AD84">
        <f ca="1">COUNTIFS(INDIRECT("Table1[Beginn]"),"&lt;="&amp;AD$1,INDIRECT("Table1[Ende]"),"&gt;="&amp;AD$1,INDIRECT("Table1[Obergruppe ATC-Code]"),Tabelle3!$A84)</f>
        <v>0</v>
      </c>
      <c r="AE84">
        <f ca="1">COUNTIFS(INDIRECT("Table1[Beginn]"),"&lt;="&amp;AE$1,INDIRECT("Table1[Ende]"),"&gt;="&amp;AE$1,INDIRECT("Table1[Obergruppe ATC-Code]"),Tabelle3!$A84)</f>
        <v>0</v>
      </c>
      <c r="AF84">
        <f ca="1">COUNTIFS(INDIRECT("Table1[Beginn]"),"&lt;="&amp;AF$1,INDIRECT("Table1[Ende]"),"&gt;="&amp;AF$1,INDIRECT("Table1[Obergruppe ATC-Code]"),Tabelle3!$A84)</f>
        <v>0</v>
      </c>
      <c r="AG84">
        <f ca="1">COUNTIFS(INDIRECT("Table1[Beginn]"),"&lt;="&amp;AG$1,INDIRECT("Table1[Ende]"),"&gt;="&amp;AG$1,INDIRECT("Table1[Obergruppe ATC-Code]"),Tabelle3!$A84)</f>
        <v>0</v>
      </c>
      <c r="AH84">
        <f ca="1">COUNTIFS(INDIRECT("Table1[Beginn]"),"&lt;="&amp;AH$1,INDIRECT("Table1[Ende]"),"&gt;="&amp;AH$1,INDIRECT("Table1[Obergruppe ATC-Code]"),Tabelle3!$A84)</f>
        <v>0</v>
      </c>
      <c r="AI84">
        <f ca="1">COUNTIFS(INDIRECT("Table1[Beginn]"),"&lt;="&amp;AI$1,INDIRECT("Table1[Ende]"),"&gt;="&amp;AI$1,INDIRECT("Table1[Obergruppe ATC-Code]"),Tabelle3!$A84)</f>
        <v>0</v>
      </c>
      <c r="AJ84">
        <f ca="1">COUNTIFS(INDIRECT("Table1[Beginn]"),"&lt;="&amp;AJ$1,INDIRECT("Table1[Ende]"),"&gt;="&amp;AJ$1,INDIRECT("Table1[Obergruppe ATC-Code]"),Tabelle3!$A84)</f>
        <v>0</v>
      </c>
      <c r="AK84">
        <f ca="1">COUNTIFS(INDIRECT("Table1[Beginn]"),"&lt;="&amp;AK$1,INDIRECT("Table1[Ende]"),"&gt;="&amp;AK$1,INDIRECT("Table1[Obergruppe ATC-Code]"),Tabelle3!$A84)</f>
        <v>0</v>
      </c>
      <c r="AL84">
        <f ca="1">COUNTIFS(INDIRECT("Table1[Beginn]"),"&lt;="&amp;AL$1,INDIRECT("Table1[Ende]"),"&gt;="&amp;AL$1,INDIRECT("Table1[Obergruppe ATC-Code]"),Tabelle3!$A84)</f>
        <v>0</v>
      </c>
      <c r="AM84">
        <f ca="1">COUNTIFS(INDIRECT("Table1[Beginn]"),"&lt;="&amp;AM$1,INDIRECT("Table1[Ende]"),"&gt;="&amp;AM$1,INDIRECT("Table1[Obergruppe ATC-Code]"),Tabelle3!$A84)</f>
        <v>0</v>
      </c>
      <c r="AN84">
        <f ca="1">COUNTIFS(INDIRECT("Table1[Beginn]"),"&lt;="&amp;AN$1,INDIRECT("Table1[Ende]"),"&gt;="&amp;AN$1,INDIRECT("Table1[Obergruppe ATC-Code]"),Tabelle3!$A84)</f>
        <v>0</v>
      </c>
      <c r="AO84">
        <f ca="1">COUNTIFS(INDIRECT("Table1[Beginn]"),"&lt;="&amp;AO$1,INDIRECT("Table1[Ende]"),"&gt;="&amp;AO$1,INDIRECT("Table1[Obergruppe ATC-Code]"),Tabelle3!$A84)</f>
        <v>0</v>
      </c>
      <c r="AP84">
        <f ca="1">COUNTIFS(INDIRECT("Table1[Beginn]"),"&lt;="&amp;AP$1,INDIRECT("Table1[Ende]"),"&gt;="&amp;AP$1,INDIRECT("Table1[Obergruppe ATC-Code]"),Tabelle3!$A84)</f>
        <v>0</v>
      </c>
      <c r="AQ84">
        <f ca="1">COUNTIFS(INDIRECT("Table1[Beginn]"),"&lt;="&amp;AQ$1,INDIRECT("Table1[Ende]"),"&gt;="&amp;AQ$1,INDIRECT("Table1[Obergruppe ATC-Code]"),Tabelle3!$A84)</f>
        <v>0</v>
      </c>
      <c r="AR84">
        <f ca="1">COUNTIFS(INDIRECT("Table1[Beginn]"),"&lt;="&amp;AR$1,INDIRECT("Table1[Ende]"),"&gt;="&amp;AR$1,INDIRECT("Table1[Obergruppe ATC-Code]"),Tabelle3!$A84)</f>
        <v>0</v>
      </c>
      <c r="AS84">
        <f ca="1">COUNTIFS(INDIRECT("Table1[Beginn]"),"&lt;="&amp;AS$1,INDIRECT("Table1[Ende]"),"&gt;="&amp;AS$1,INDIRECT("Table1[Obergruppe ATC-Code]"),Tabelle3!$A84)</f>
        <v>0</v>
      </c>
      <c r="AT84">
        <f ca="1">COUNTIFS(INDIRECT("Table1[Beginn]"),"&lt;="&amp;AT$1,INDIRECT("Table1[Ende]"),"&gt;="&amp;AT$1,INDIRECT("Table1[Obergruppe ATC-Code]"),Tabelle3!$A84)</f>
        <v>0</v>
      </c>
      <c r="AU84">
        <f ca="1">COUNTIFS(INDIRECT("Table1[Beginn]"),"&lt;="&amp;AU$1,INDIRECT("Table1[Ende]"),"&gt;="&amp;AU$1,INDIRECT("Table1[Obergruppe ATC-Code]"),Tabelle3!$A84)</f>
        <v>0</v>
      </c>
      <c r="AV84">
        <f ca="1">COUNTIFS(INDIRECT("Table1[Beginn]"),"&lt;="&amp;AV$1,INDIRECT("Table1[Ende]"),"&gt;="&amp;AV$1,INDIRECT("Table1[Obergruppe ATC-Code]"),Tabelle3!$A84)</f>
        <v>0</v>
      </c>
      <c r="AW84">
        <f ca="1">COUNTIFS(INDIRECT("Table1[Beginn]"),"&lt;="&amp;AW$1,INDIRECT("Table1[Ende]"),"&gt;="&amp;AW$1,INDIRECT("Table1[Obergruppe ATC-Code]"),Tabelle3!$A84)</f>
        <v>0</v>
      </c>
      <c r="AX84">
        <f ca="1">COUNTIFS(INDIRECT("Table1[Beginn]"),"&lt;="&amp;AX$1,INDIRECT("Table1[Ende]"),"&gt;="&amp;AX$1,INDIRECT("Table1[Obergruppe ATC-Code]"),Tabelle3!$A84)</f>
        <v>1</v>
      </c>
      <c r="AY84">
        <f ca="1">COUNTIFS(INDIRECT("Table1[Beginn]"),"&lt;="&amp;AY$1,INDIRECT("Table1[Ende]"),"&gt;="&amp;AY$1,INDIRECT("Table1[Obergruppe ATC-Code]"),Tabelle3!$A84)</f>
        <v>1</v>
      </c>
      <c r="AZ84">
        <f ca="1">COUNTIFS(INDIRECT("Table1[Beginn]"),"&lt;="&amp;AZ$1,INDIRECT("Table1[Ende]"),"&gt;="&amp;AZ$1,INDIRECT("Table1[Obergruppe ATC-Code]"),Tabelle3!$A84)</f>
        <v>1</v>
      </c>
      <c r="BA84">
        <f ca="1">COUNTIFS(INDIRECT("Table1[Beginn]"),"&lt;="&amp;BA$1,INDIRECT("Table1[Ende]"),"&gt;="&amp;BA$1,INDIRECT("Table1[Obergruppe ATC-Code]"),Tabelle3!$A84)</f>
        <v>1</v>
      </c>
      <c r="BB84">
        <f ca="1">COUNTIFS(INDIRECT("Table1[Beginn]"),"&lt;="&amp;BB$1,INDIRECT("Table1[Ende]"),"&gt;="&amp;BB$1,INDIRECT("Table1[Obergruppe ATC-Code]"),Tabelle3!$A84)</f>
        <v>1</v>
      </c>
      <c r="BC84">
        <f ca="1">COUNTIFS(INDIRECT("Table1[Beginn]"),"&lt;="&amp;BC$1,INDIRECT("Table1[Ende]"),"&gt;="&amp;BC$1,INDIRECT("Table1[Obergruppe ATC-Code]"),Tabelle3!$A84)</f>
        <v>1</v>
      </c>
      <c r="BD84">
        <f ca="1">COUNTIFS(INDIRECT("Table1[Beginn]"),"&lt;="&amp;BD$1,INDIRECT("Table1[Ende]"),"&gt;="&amp;BD$1,INDIRECT("Table1[Obergruppe ATC-Code]"),Tabelle3!$A84)</f>
        <v>1</v>
      </c>
      <c r="BE84">
        <f ca="1">COUNTIFS(INDIRECT("Table1[Beginn]"),"&lt;="&amp;BE$1,INDIRECT("Table1[Ende]"),"&gt;="&amp;BE$1,INDIRECT("Table1[Obergruppe ATC-Code]"),Tabelle3!$A84)</f>
        <v>1</v>
      </c>
      <c r="BF84">
        <f ca="1">COUNTIFS(INDIRECT("Table1[Beginn]"),"&lt;="&amp;BF$1,INDIRECT("Table1[Ende]"),"&gt;="&amp;BF$1,INDIRECT("Table1[Obergruppe ATC-Code]"),Tabelle3!$A84)</f>
        <v>1</v>
      </c>
      <c r="BG84">
        <f ca="1">COUNTIFS(INDIRECT("Table1[Beginn]"),"&lt;="&amp;BG$1,INDIRECT("Table1[Ende]"),"&gt;="&amp;BG$1,INDIRECT("Table1[Obergruppe ATC-Code]"),Tabelle3!$A84)</f>
        <v>0</v>
      </c>
      <c r="BH84">
        <f ca="1">COUNTIFS(INDIRECT("Table1[Beginn]"),"&lt;="&amp;BH$1,INDIRECT("Table1[Ende]"),"&gt;="&amp;BH$1,INDIRECT("Table1[Obergruppe ATC-Code]"),Tabelle3!$A84)</f>
        <v>0</v>
      </c>
      <c r="BI84">
        <f ca="1">COUNTIFS(INDIRECT("Table1[Beginn]"),"&lt;="&amp;BI$1,INDIRECT("Table1[Ende]"),"&gt;="&amp;BI$1,INDIRECT("Table1[Obergruppe ATC-Code]"),Tabelle3!$A84)</f>
        <v>0</v>
      </c>
      <c r="BJ84">
        <f ca="1">COUNTIFS(INDIRECT("Table1[Beginn]"),"&lt;="&amp;BJ$1,INDIRECT("Table1[Ende]"),"&gt;="&amp;BJ$1,INDIRECT("Table1[Obergruppe ATC-Code]"),Tabelle3!$A84)</f>
        <v>0</v>
      </c>
      <c r="BK84">
        <f ca="1">COUNTIFS(INDIRECT("Table1[Beginn]"),"&lt;="&amp;BK$1,INDIRECT("Table1[Ende]"),"&gt;="&amp;BK$1,INDIRECT("Table1[Obergruppe ATC-Code]"),Tabelle3!$A84)</f>
        <v>0</v>
      </c>
      <c r="BL84">
        <f ca="1">COUNTIFS(INDIRECT("Table1[Beginn]"),"&lt;="&amp;BL$1,INDIRECT("Table1[Ende]"),"&gt;="&amp;BL$1,INDIRECT("Table1[Obergruppe ATC-Code]"),Tabelle3!$A84)</f>
        <v>0</v>
      </c>
      <c r="BM84">
        <f ca="1">COUNTIFS(INDIRECT("Table1[Beginn]"),"&lt;="&amp;BM$1,INDIRECT("Table1[Ende]"),"&gt;="&amp;BM$1,INDIRECT("Table1[Obergruppe ATC-Code]"),Tabelle3!$A84)</f>
        <v>0</v>
      </c>
      <c r="BN84">
        <f ca="1">COUNTIFS(INDIRECT("Table1[Beginn]"),"&lt;="&amp;BN$1,INDIRECT("Table1[Ende]"),"&gt;="&amp;BN$1,INDIRECT("Table1[Obergruppe ATC-Code]"),Tabelle3!$A84)</f>
        <v>0</v>
      </c>
      <c r="BO84">
        <f ca="1">COUNTIFS(INDIRECT("Table1[Beginn]"),"&lt;="&amp;BO$1,INDIRECT("Table1[Ende]"),"&gt;="&amp;BO$1,INDIRECT("Table1[Obergruppe ATC-Code]"),Tabelle3!$A84)</f>
        <v>0</v>
      </c>
      <c r="BP84">
        <f ca="1">COUNTIFS(INDIRECT("Table1[Beginn]"),"&lt;="&amp;BP$1,INDIRECT("Table1[Ende]"),"&gt;="&amp;BP$1,INDIRECT("Table1[Obergruppe ATC-Code]"),Tabelle3!$A84)</f>
        <v>0</v>
      </c>
      <c r="BQ84">
        <f ca="1">COUNTIFS(INDIRECT("Table1[Beginn]"),"&lt;="&amp;BQ$1,INDIRECT("Table1[Ende]"),"&gt;="&amp;BQ$1,INDIRECT("Table1[Obergruppe ATC-Code]"),Tabelle3!$A84)</f>
        <v>0</v>
      </c>
      <c r="BR84">
        <f ca="1">COUNTIFS(INDIRECT("Table1[Beginn]"),"&lt;="&amp;BR$1,INDIRECT("Table1[Ende]"),"&gt;="&amp;BR$1,INDIRECT("Table1[Obergruppe ATC-Code]"),Tabelle3!$A84)</f>
        <v>0</v>
      </c>
      <c r="BS84">
        <f ca="1">COUNTIFS(INDIRECT("Table1[Beginn]"),"&lt;="&amp;BS$1,INDIRECT("Table1[Ende]"),"&gt;="&amp;BS$1,INDIRECT("Table1[Obergruppe ATC-Code]"),Tabelle3!$A84)</f>
        <v>0</v>
      </c>
      <c r="BT84">
        <f ca="1">COUNTIFS(INDIRECT("Table1[Beginn]"),"&lt;="&amp;BT$1,INDIRECT("Table1[Ende]"),"&gt;="&amp;BT$1,INDIRECT("Table1[Obergruppe ATC-Code]"),Tabelle3!$A84)</f>
        <v>1</v>
      </c>
      <c r="BU84">
        <f ca="1">COUNTIFS(INDIRECT("Table1[Beginn]"),"&lt;="&amp;BU$1,INDIRECT("Table1[Ende]"),"&gt;="&amp;BU$1,INDIRECT("Table1[Obergruppe ATC-Code]"),Tabelle3!$A84)</f>
        <v>0</v>
      </c>
      <c r="BV84">
        <f ca="1">COUNTIFS(INDIRECT("Table1[Beginn]"),"&lt;="&amp;BV$1,INDIRECT("Table1[Ende]"),"&gt;="&amp;BV$1,INDIRECT("Table1[Obergruppe ATC-Code]"),Tabelle3!$A84)</f>
        <v>0</v>
      </c>
      <c r="BW84">
        <f ca="1">COUNTIFS(INDIRECT("Table1[Beginn]"),"&lt;="&amp;BW$1,INDIRECT("Table1[Ende]"),"&gt;="&amp;BW$1,INDIRECT("Table1[Obergruppe ATC-Code]"),Tabelle3!$A84)</f>
        <v>0</v>
      </c>
      <c r="BX84">
        <f ca="1">COUNTIFS(INDIRECT("Table1[Beginn]"),"&lt;="&amp;BX$1,INDIRECT("Table1[Ende]"),"&gt;="&amp;BX$1,INDIRECT("Table1[Obergruppe ATC-Code]"),Tabelle3!$A84)</f>
        <v>2</v>
      </c>
      <c r="BY84">
        <f ca="1">COUNTIFS(INDIRECT("Table1[Beginn]"),"&lt;="&amp;BY$1,INDIRECT("Table1[Ende]"),"&gt;="&amp;BY$1,INDIRECT("Table1[Obergruppe ATC-Code]"),Tabelle3!$A84)</f>
        <v>2</v>
      </c>
      <c r="BZ84">
        <f ca="1">COUNTIFS(INDIRECT("Table1[Beginn]"),"&lt;="&amp;BZ$1,INDIRECT("Table1[Ende]"),"&gt;="&amp;BZ$1,INDIRECT("Table1[Obergruppe ATC-Code]"),Tabelle3!$A84)</f>
        <v>2</v>
      </c>
      <c r="CA84">
        <f ca="1">COUNTIFS(INDIRECT("Table1[Beginn]"),"&lt;="&amp;CA$1,INDIRECT("Table1[Ende]"),"&gt;="&amp;CA$1,INDIRECT("Table1[Obergruppe ATC-Code]"),Tabelle3!$A84)</f>
        <v>2</v>
      </c>
      <c r="CB84">
        <f ca="1">COUNTIFS(INDIRECT("Table1[Beginn]"),"&lt;="&amp;CB$1,INDIRECT("Table1[Ende]"),"&gt;="&amp;CB$1,INDIRECT("Table1[Obergruppe ATC-Code]"),Tabelle3!$A84)</f>
        <v>2</v>
      </c>
      <c r="CC84">
        <f ca="1">COUNTIFS(INDIRECT("Table1[Beginn]"),"&lt;="&amp;CC$1,INDIRECT("Table1[Ende]"),"&gt;="&amp;CC$1,INDIRECT("Table1[Obergruppe ATC-Code]"),Tabelle3!$A84)</f>
        <v>1</v>
      </c>
      <c r="CD84">
        <f ca="1">COUNTIFS(INDIRECT("Table1[Beginn]"),"&lt;="&amp;CD$1,INDIRECT("Table1[Ende]"),"&gt;="&amp;CD$1,INDIRECT("Table1[Obergruppe ATC-Code]"),Tabelle3!$A84)</f>
        <v>1</v>
      </c>
      <c r="CE84">
        <f ca="1">COUNTIFS(INDIRECT("Table1[Beginn]"),"&lt;="&amp;CE$1,INDIRECT("Table1[Ende]"),"&gt;="&amp;CE$1,INDIRECT("Table1[Obergruppe ATC-Code]"),Tabelle3!$A84)</f>
        <v>0</v>
      </c>
      <c r="CF84">
        <f ca="1">COUNTIFS(INDIRECT("Table1[Beginn]"),"&lt;="&amp;CF$1,INDIRECT("Table1[Ende]"),"&gt;="&amp;CF$1,INDIRECT("Table1[Obergruppe ATC-Code]"),Tabelle3!$A84)</f>
        <v>0</v>
      </c>
      <c r="CG84">
        <f ca="1">COUNTIFS(INDIRECT("Table1[Beginn]"),"&lt;="&amp;CG$1,INDIRECT("Table1[Ende]"),"&gt;="&amp;CG$1,INDIRECT("Table1[Obergruppe ATC-Code]"),Tabelle3!$A84)</f>
        <v>0</v>
      </c>
      <c r="CH84">
        <f ca="1">COUNTIFS(INDIRECT("Table1[Beginn]"),"&lt;="&amp;CH$1,INDIRECT("Table1[Ende]"),"&gt;="&amp;CH$1,INDIRECT("Table1[Obergruppe ATC-Code]"),Tabelle3!$A84)</f>
        <v>0</v>
      </c>
      <c r="CI84">
        <f ca="1">COUNTIFS(INDIRECT("Table1[Beginn]"),"&lt;="&amp;CI$1,INDIRECT("Table1[Ende]"),"&gt;="&amp;CI$1,INDIRECT("Table1[Obergruppe ATC-Code]"),Tabelle3!$A84)</f>
        <v>0</v>
      </c>
      <c r="CJ84">
        <f ca="1">COUNTIFS(INDIRECT("Table1[Beginn]"),"&lt;="&amp;CJ$1,INDIRECT("Table1[Ende]"),"&gt;="&amp;CJ$1,INDIRECT("Table1[Obergruppe ATC-Code]"),Tabelle3!$A84)</f>
        <v>0</v>
      </c>
      <c r="CK84">
        <f ca="1">COUNTIFS(INDIRECT("Table1[Beginn]"),"&lt;="&amp;CK$1,INDIRECT("Table1[Ende]"),"&gt;="&amp;CK$1,INDIRECT("Table1[Obergruppe ATC-Code]"),Tabelle3!$A84)</f>
        <v>0</v>
      </c>
      <c r="CL84">
        <f ca="1">COUNTIFS(INDIRECT("Table1[Beginn]"),"&lt;="&amp;CL$1,INDIRECT("Table1[Ende]"),"&gt;="&amp;CL$1,INDIRECT("Table1[Obergruppe ATC-Code]"),Tabelle3!$A84)</f>
        <v>0</v>
      </c>
      <c r="CM84">
        <f ca="1">COUNTIFS(INDIRECT("Table1[Beginn]"),"&lt;="&amp;CM$1,INDIRECT("Table1[Ende]"),"&gt;="&amp;CM$1,INDIRECT("Table1[Obergruppe ATC-Code]"),Tabelle3!$A84)</f>
        <v>0</v>
      </c>
      <c r="CN84">
        <f ca="1">COUNTIFS(INDIRECT("Table1[Beginn]"),"&lt;="&amp;CN$1,INDIRECT("Table1[Ende]"),"&gt;="&amp;CN$1,INDIRECT("Table1[Obergruppe ATC-Code]"),Tabelle3!$A84)</f>
        <v>0</v>
      </c>
      <c r="CO84">
        <f ca="1">COUNTIFS(INDIRECT("Table1[Beginn]"),"&lt;="&amp;CO$1,INDIRECT("Table1[Ende]"),"&gt;="&amp;CO$1,INDIRECT("Table1[Obergruppe ATC-Code]"),Tabelle3!$A84)</f>
        <v>0</v>
      </c>
      <c r="CP84">
        <f ca="1">COUNTIFS(INDIRECT("Table1[Beginn]"),"&lt;="&amp;CP$1,INDIRECT("Table1[Ende]"),"&gt;="&amp;CP$1,INDIRECT("Table1[Obergruppe ATC-Code]"),Tabelle3!$A84)</f>
        <v>0</v>
      </c>
      <c r="CQ84">
        <f ca="1">COUNTIFS(INDIRECT("Table1[Beginn]"),"&lt;="&amp;CQ$1,INDIRECT("Table1[Ende]"),"&gt;="&amp;CQ$1,INDIRECT("Table1[Obergruppe ATC-Code]"),Tabelle3!$A84)</f>
        <v>0</v>
      </c>
      <c r="CR84">
        <f ca="1">COUNTIFS(INDIRECT("Table1[Beginn]"),"&lt;="&amp;CR$1,INDIRECT("Table1[Ende]"),"&gt;="&amp;CR$1,INDIRECT("Table1[Obergruppe ATC-Code]"),Tabelle3!$A84)</f>
        <v>0</v>
      </c>
    </row>
    <row r="85" spans="1:96" ht="18">
      <c r="A85" s="9" t="s">
        <v>6938</v>
      </c>
      <c r="B85" s="10" t="s">
        <v>6939</v>
      </c>
      <c r="C85">
        <f ca="1">COUNTIFS(INDIRECT("Table1[Beginn]"),"&lt;="&amp;C$1,INDIRECT("Table1[Ende]"),"&gt;="&amp;C$1,INDIRECT("Table1[Obergruppe ATC-Code]"),Tabelle3!$A85)</f>
        <v>0</v>
      </c>
      <c r="D85">
        <f ca="1">COUNTIFS(INDIRECT("Table1[Beginn]"),"&lt;="&amp;D$1,INDIRECT("Table1[Ende]"),"&gt;="&amp;D$1,INDIRECT("Table1[Obergruppe ATC-Code]"),Tabelle3!$A85)</f>
        <v>0</v>
      </c>
      <c r="E85">
        <f ca="1">COUNTIFS(INDIRECT("Table1[Beginn]"),"&lt;="&amp;E$1,INDIRECT("Table1[Ende]"),"&gt;="&amp;E$1,INDIRECT("Table1[Obergruppe ATC-Code]"),Tabelle3!$A85)</f>
        <v>0</v>
      </c>
      <c r="F85">
        <f ca="1">COUNTIFS(INDIRECT("Table1[Beginn]"),"&lt;="&amp;F$1,INDIRECT("Table1[Ende]"),"&gt;="&amp;F$1,INDIRECT("Table1[Obergruppe ATC-Code]"),Tabelle3!$A85)</f>
        <v>0</v>
      </c>
      <c r="G85">
        <f ca="1">COUNTIFS(INDIRECT("Table1[Beginn]"),"&lt;="&amp;G$1,INDIRECT("Table1[Ende]"),"&gt;="&amp;G$1,INDIRECT("Table1[Obergruppe ATC-Code]"),Tabelle3!$A85)</f>
        <v>0</v>
      </c>
      <c r="H85">
        <f ca="1">COUNTIFS(INDIRECT("Table1[Beginn]"),"&lt;="&amp;H$1,INDIRECT("Table1[Ende]"),"&gt;="&amp;H$1,INDIRECT("Table1[Obergruppe ATC-Code]"),Tabelle3!$A85)</f>
        <v>0</v>
      </c>
      <c r="I85">
        <f ca="1">COUNTIFS(INDIRECT("Table1[Beginn]"),"&lt;="&amp;I$1,INDIRECT("Table1[Ende]"),"&gt;="&amp;I$1,INDIRECT("Table1[Obergruppe ATC-Code]"),Tabelle3!$A85)</f>
        <v>0</v>
      </c>
      <c r="J85">
        <f ca="1">COUNTIFS(INDIRECT("Table1[Beginn]"),"&lt;="&amp;J$1,INDIRECT("Table1[Ende]"),"&gt;="&amp;J$1,INDIRECT("Table1[Obergruppe ATC-Code]"),Tabelle3!$A85)</f>
        <v>0</v>
      </c>
      <c r="K85">
        <f ca="1">COUNTIFS(INDIRECT("Table1[Beginn]"),"&lt;="&amp;K$1,INDIRECT("Table1[Ende]"),"&gt;="&amp;K$1,INDIRECT("Table1[Obergruppe ATC-Code]"),Tabelle3!$A85)</f>
        <v>0</v>
      </c>
      <c r="L85">
        <f ca="1">COUNTIFS(INDIRECT("Table1[Beginn]"),"&lt;="&amp;L$1,INDIRECT("Table1[Ende]"),"&gt;="&amp;L$1,INDIRECT("Table1[Obergruppe ATC-Code]"),Tabelle3!$A85)</f>
        <v>0</v>
      </c>
      <c r="M85">
        <f ca="1">COUNTIFS(INDIRECT("Table1[Beginn]"),"&lt;="&amp;M$1,INDIRECT("Table1[Ende]"),"&gt;="&amp;M$1,INDIRECT("Table1[Obergruppe ATC-Code]"),Tabelle3!$A85)</f>
        <v>0</v>
      </c>
      <c r="N85">
        <f ca="1">COUNTIFS(INDIRECT("Table1[Beginn]"),"&lt;="&amp;N$1,INDIRECT("Table1[Ende]"),"&gt;="&amp;N$1,INDIRECT("Table1[Obergruppe ATC-Code]"),Tabelle3!$A85)</f>
        <v>0</v>
      </c>
      <c r="O85">
        <f ca="1">COUNTIFS(INDIRECT("Table1[Beginn]"),"&lt;="&amp;O$1,INDIRECT("Table1[Ende]"),"&gt;="&amp;O$1,INDIRECT("Table1[Obergruppe ATC-Code]"),Tabelle3!$A85)</f>
        <v>0</v>
      </c>
      <c r="P85">
        <f ca="1">COUNTIFS(INDIRECT("Table1[Beginn]"),"&lt;="&amp;P$1,INDIRECT("Table1[Ende]"),"&gt;="&amp;P$1,INDIRECT("Table1[Obergruppe ATC-Code]"),Tabelle3!$A85)</f>
        <v>0</v>
      </c>
      <c r="Q85">
        <f ca="1">COUNTIFS(INDIRECT("Table1[Beginn]"),"&lt;="&amp;Q$1,INDIRECT("Table1[Ende]"),"&gt;="&amp;Q$1,INDIRECT("Table1[Obergruppe ATC-Code]"),Tabelle3!$A85)</f>
        <v>0</v>
      </c>
      <c r="R85">
        <f ca="1">COUNTIFS(INDIRECT("Table1[Beginn]"),"&lt;="&amp;R$1,INDIRECT("Table1[Ende]"),"&gt;="&amp;R$1,INDIRECT("Table1[Obergruppe ATC-Code]"),Tabelle3!$A85)</f>
        <v>0</v>
      </c>
      <c r="S85">
        <f ca="1">COUNTIFS(INDIRECT("Table1[Beginn]"),"&lt;="&amp;S$1,INDIRECT("Table1[Ende]"),"&gt;="&amp;S$1,INDIRECT("Table1[Obergruppe ATC-Code]"),Tabelle3!$A85)</f>
        <v>0</v>
      </c>
      <c r="T85">
        <f ca="1">COUNTIFS(INDIRECT("Table1[Beginn]"),"&lt;="&amp;T$1,INDIRECT("Table1[Ende]"),"&gt;="&amp;T$1,INDIRECT("Table1[Obergruppe ATC-Code]"),Tabelle3!$A85)</f>
        <v>0</v>
      </c>
      <c r="U85">
        <f ca="1">COUNTIFS(INDIRECT("Table1[Beginn]"),"&lt;="&amp;U$1,INDIRECT("Table1[Ende]"),"&gt;="&amp;U$1,INDIRECT("Table1[Obergruppe ATC-Code]"),Tabelle3!$A85)</f>
        <v>0</v>
      </c>
      <c r="V85">
        <f ca="1">COUNTIFS(INDIRECT("Table1[Beginn]"),"&lt;="&amp;V$1,INDIRECT("Table1[Ende]"),"&gt;="&amp;V$1,INDIRECT("Table1[Obergruppe ATC-Code]"),Tabelle3!$A85)</f>
        <v>0</v>
      </c>
      <c r="W85">
        <f ca="1">COUNTIFS(INDIRECT("Table1[Beginn]"),"&lt;="&amp;W$1,INDIRECT("Table1[Ende]"),"&gt;="&amp;W$1,INDIRECT("Table1[Obergruppe ATC-Code]"),Tabelle3!$A85)</f>
        <v>0</v>
      </c>
      <c r="X85">
        <f ca="1">COUNTIFS(INDIRECT("Table1[Beginn]"),"&lt;="&amp;X$1,INDIRECT("Table1[Ende]"),"&gt;="&amp;X$1,INDIRECT("Table1[Obergruppe ATC-Code]"),Tabelle3!$A85)</f>
        <v>0</v>
      </c>
      <c r="Y85">
        <f ca="1">COUNTIFS(INDIRECT("Table1[Beginn]"),"&lt;="&amp;Y$1,INDIRECT("Table1[Ende]"),"&gt;="&amp;Y$1,INDIRECT("Table1[Obergruppe ATC-Code]"),Tabelle3!$A85)</f>
        <v>0</v>
      </c>
      <c r="Z85">
        <f ca="1">COUNTIFS(INDIRECT("Table1[Beginn]"),"&lt;="&amp;Z$1,INDIRECT("Table1[Ende]"),"&gt;="&amp;Z$1,INDIRECT("Table1[Obergruppe ATC-Code]"),Tabelle3!$A85)</f>
        <v>0</v>
      </c>
      <c r="AA85">
        <f ca="1">COUNTIFS(INDIRECT("Table1[Beginn]"),"&lt;="&amp;AA$1,INDIRECT("Table1[Ende]"),"&gt;="&amp;AA$1,INDIRECT("Table1[Obergruppe ATC-Code]"),Tabelle3!$A85)</f>
        <v>0</v>
      </c>
      <c r="AB85">
        <f ca="1">COUNTIFS(INDIRECT("Table1[Beginn]"),"&lt;="&amp;AB$1,INDIRECT("Table1[Ende]"),"&gt;="&amp;AB$1,INDIRECT("Table1[Obergruppe ATC-Code]"),Tabelle3!$A85)</f>
        <v>0</v>
      </c>
      <c r="AC85">
        <f ca="1">COUNTIFS(INDIRECT("Table1[Beginn]"),"&lt;="&amp;AC$1,INDIRECT("Table1[Ende]"),"&gt;="&amp;AC$1,INDIRECT("Table1[Obergruppe ATC-Code]"),Tabelle3!$A85)</f>
        <v>0</v>
      </c>
      <c r="AD85">
        <f ca="1">COUNTIFS(INDIRECT("Table1[Beginn]"),"&lt;="&amp;AD$1,INDIRECT("Table1[Ende]"),"&gt;="&amp;AD$1,INDIRECT("Table1[Obergruppe ATC-Code]"),Tabelle3!$A85)</f>
        <v>0</v>
      </c>
      <c r="AE85">
        <f ca="1">COUNTIFS(INDIRECT("Table1[Beginn]"),"&lt;="&amp;AE$1,INDIRECT("Table1[Ende]"),"&gt;="&amp;AE$1,INDIRECT("Table1[Obergruppe ATC-Code]"),Tabelle3!$A85)</f>
        <v>0</v>
      </c>
      <c r="AF85">
        <f ca="1">COUNTIFS(INDIRECT("Table1[Beginn]"),"&lt;="&amp;AF$1,INDIRECT("Table1[Ende]"),"&gt;="&amp;AF$1,INDIRECT("Table1[Obergruppe ATC-Code]"),Tabelle3!$A85)</f>
        <v>0</v>
      </c>
      <c r="AG85">
        <f ca="1">COUNTIFS(INDIRECT("Table1[Beginn]"),"&lt;="&amp;AG$1,INDIRECT("Table1[Ende]"),"&gt;="&amp;AG$1,INDIRECT("Table1[Obergruppe ATC-Code]"),Tabelle3!$A85)</f>
        <v>0</v>
      </c>
      <c r="AH85">
        <f ca="1">COUNTIFS(INDIRECT("Table1[Beginn]"),"&lt;="&amp;AH$1,INDIRECT("Table1[Ende]"),"&gt;="&amp;AH$1,INDIRECT("Table1[Obergruppe ATC-Code]"),Tabelle3!$A85)</f>
        <v>0</v>
      </c>
      <c r="AI85">
        <f ca="1">COUNTIFS(INDIRECT("Table1[Beginn]"),"&lt;="&amp;AI$1,INDIRECT("Table1[Ende]"),"&gt;="&amp;AI$1,INDIRECT("Table1[Obergruppe ATC-Code]"),Tabelle3!$A85)</f>
        <v>0</v>
      </c>
      <c r="AJ85">
        <f ca="1">COUNTIFS(INDIRECT("Table1[Beginn]"),"&lt;="&amp;AJ$1,INDIRECT("Table1[Ende]"),"&gt;="&amp;AJ$1,INDIRECT("Table1[Obergruppe ATC-Code]"),Tabelle3!$A85)</f>
        <v>0</v>
      </c>
      <c r="AK85">
        <f ca="1">COUNTIFS(INDIRECT("Table1[Beginn]"),"&lt;="&amp;AK$1,INDIRECT("Table1[Ende]"),"&gt;="&amp;AK$1,INDIRECT("Table1[Obergruppe ATC-Code]"),Tabelle3!$A85)</f>
        <v>0</v>
      </c>
      <c r="AL85">
        <f ca="1">COUNTIFS(INDIRECT("Table1[Beginn]"),"&lt;="&amp;AL$1,INDIRECT("Table1[Ende]"),"&gt;="&amp;AL$1,INDIRECT("Table1[Obergruppe ATC-Code]"),Tabelle3!$A85)</f>
        <v>0</v>
      </c>
      <c r="AM85">
        <f ca="1">COUNTIFS(INDIRECT("Table1[Beginn]"),"&lt;="&amp;AM$1,INDIRECT("Table1[Ende]"),"&gt;="&amp;AM$1,INDIRECT("Table1[Obergruppe ATC-Code]"),Tabelle3!$A85)</f>
        <v>0</v>
      </c>
      <c r="AN85">
        <f ca="1">COUNTIFS(INDIRECT("Table1[Beginn]"),"&lt;="&amp;AN$1,INDIRECT("Table1[Ende]"),"&gt;="&amp;AN$1,INDIRECT("Table1[Obergruppe ATC-Code]"),Tabelle3!$A85)</f>
        <v>0</v>
      </c>
      <c r="AO85">
        <f ca="1">COUNTIFS(INDIRECT("Table1[Beginn]"),"&lt;="&amp;AO$1,INDIRECT("Table1[Ende]"),"&gt;="&amp;AO$1,INDIRECT("Table1[Obergruppe ATC-Code]"),Tabelle3!$A85)</f>
        <v>0</v>
      </c>
      <c r="AP85">
        <f ca="1">COUNTIFS(INDIRECT("Table1[Beginn]"),"&lt;="&amp;AP$1,INDIRECT("Table1[Ende]"),"&gt;="&amp;AP$1,INDIRECT("Table1[Obergruppe ATC-Code]"),Tabelle3!$A85)</f>
        <v>0</v>
      </c>
      <c r="AQ85">
        <f ca="1">COUNTIFS(INDIRECT("Table1[Beginn]"),"&lt;="&amp;AQ$1,INDIRECT("Table1[Ende]"),"&gt;="&amp;AQ$1,INDIRECT("Table1[Obergruppe ATC-Code]"),Tabelle3!$A85)</f>
        <v>0</v>
      </c>
      <c r="AR85">
        <f ca="1">COUNTIFS(INDIRECT("Table1[Beginn]"),"&lt;="&amp;AR$1,INDIRECT("Table1[Ende]"),"&gt;="&amp;AR$1,INDIRECT("Table1[Obergruppe ATC-Code]"),Tabelle3!$A85)</f>
        <v>0</v>
      </c>
      <c r="AS85">
        <f ca="1">COUNTIFS(INDIRECT("Table1[Beginn]"),"&lt;="&amp;AS$1,INDIRECT("Table1[Ende]"),"&gt;="&amp;AS$1,INDIRECT("Table1[Obergruppe ATC-Code]"),Tabelle3!$A85)</f>
        <v>0</v>
      </c>
      <c r="AT85">
        <f ca="1">COUNTIFS(INDIRECT("Table1[Beginn]"),"&lt;="&amp;AT$1,INDIRECT("Table1[Ende]"),"&gt;="&amp;AT$1,INDIRECT("Table1[Obergruppe ATC-Code]"),Tabelle3!$A85)</f>
        <v>0</v>
      </c>
      <c r="AU85">
        <f ca="1">COUNTIFS(INDIRECT("Table1[Beginn]"),"&lt;="&amp;AU$1,INDIRECT("Table1[Ende]"),"&gt;="&amp;AU$1,INDIRECT("Table1[Obergruppe ATC-Code]"),Tabelle3!$A85)</f>
        <v>0</v>
      </c>
      <c r="AV85">
        <f ca="1">COUNTIFS(INDIRECT("Table1[Beginn]"),"&lt;="&amp;AV$1,INDIRECT("Table1[Ende]"),"&gt;="&amp;AV$1,INDIRECT("Table1[Obergruppe ATC-Code]"),Tabelle3!$A85)</f>
        <v>0</v>
      </c>
      <c r="AW85">
        <f ca="1">COUNTIFS(INDIRECT("Table1[Beginn]"),"&lt;="&amp;AW$1,INDIRECT("Table1[Ende]"),"&gt;="&amp;AW$1,INDIRECT("Table1[Obergruppe ATC-Code]"),Tabelle3!$A85)</f>
        <v>0</v>
      </c>
      <c r="AX85">
        <f ca="1">COUNTIFS(INDIRECT("Table1[Beginn]"),"&lt;="&amp;AX$1,INDIRECT("Table1[Ende]"),"&gt;="&amp;AX$1,INDIRECT("Table1[Obergruppe ATC-Code]"),Tabelle3!$A85)</f>
        <v>0</v>
      </c>
      <c r="AY85">
        <f ca="1">COUNTIFS(INDIRECT("Table1[Beginn]"),"&lt;="&amp;AY$1,INDIRECT("Table1[Ende]"),"&gt;="&amp;AY$1,INDIRECT("Table1[Obergruppe ATC-Code]"),Tabelle3!$A85)</f>
        <v>0</v>
      </c>
      <c r="AZ85">
        <f ca="1">COUNTIFS(INDIRECT("Table1[Beginn]"),"&lt;="&amp;AZ$1,INDIRECT("Table1[Ende]"),"&gt;="&amp;AZ$1,INDIRECT("Table1[Obergruppe ATC-Code]"),Tabelle3!$A85)</f>
        <v>0</v>
      </c>
      <c r="BA85">
        <f ca="1">COUNTIFS(INDIRECT("Table1[Beginn]"),"&lt;="&amp;BA$1,INDIRECT("Table1[Ende]"),"&gt;="&amp;BA$1,INDIRECT("Table1[Obergruppe ATC-Code]"),Tabelle3!$A85)</f>
        <v>0</v>
      </c>
      <c r="BB85">
        <f ca="1">COUNTIFS(INDIRECT("Table1[Beginn]"),"&lt;="&amp;BB$1,INDIRECT("Table1[Ende]"),"&gt;="&amp;BB$1,INDIRECT("Table1[Obergruppe ATC-Code]"),Tabelle3!$A85)</f>
        <v>0</v>
      </c>
      <c r="BC85">
        <f ca="1">COUNTIFS(INDIRECT("Table1[Beginn]"),"&lt;="&amp;BC$1,INDIRECT("Table1[Ende]"),"&gt;="&amp;BC$1,INDIRECT("Table1[Obergruppe ATC-Code]"),Tabelle3!$A85)</f>
        <v>0</v>
      </c>
      <c r="BD85">
        <f ca="1">COUNTIFS(INDIRECT("Table1[Beginn]"),"&lt;="&amp;BD$1,INDIRECT("Table1[Ende]"),"&gt;="&amp;BD$1,INDIRECT("Table1[Obergruppe ATC-Code]"),Tabelle3!$A85)</f>
        <v>0</v>
      </c>
      <c r="BE85">
        <f ca="1">COUNTIFS(INDIRECT("Table1[Beginn]"),"&lt;="&amp;BE$1,INDIRECT("Table1[Ende]"),"&gt;="&amp;BE$1,INDIRECT("Table1[Obergruppe ATC-Code]"),Tabelle3!$A85)</f>
        <v>0</v>
      </c>
      <c r="BF85">
        <f ca="1">COUNTIFS(INDIRECT("Table1[Beginn]"),"&lt;="&amp;BF$1,INDIRECT("Table1[Ende]"),"&gt;="&amp;BF$1,INDIRECT("Table1[Obergruppe ATC-Code]"),Tabelle3!$A85)</f>
        <v>0</v>
      </c>
      <c r="BG85">
        <f ca="1">COUNTIFS(INDIRECT("Table1[Beginn]"),"&lt;="&amp;BG$1,INDIRECT("Table1[Ende]"),"&gt;="&amp;BG$1,INDIRECT("Table1[Obergruppe ATC-Code]"),Tabelle3!$A85)</f>
        <v>0</v>
      </c>
      <c r="BH85">
        <f ca="1">COUNTIFS(INDIRECT("Table1[Beginn]"),"&lt;="&amp;BH$1,INDIRECT("Table1[Ende]"),"&gt;="&amp;BH$1,INDIRECT("Table1[Obergruppe ATC-Code]"),Tabelle3!$A85)</f>
        <v>0</v>
      </c>
      <c r="BI85">
        <f ca="1">COUNTIFS(INDIRECT("Table1[Beginn]"),"&lt;="&amp;BI$1,INDIRECT("Table1[Ende]"),"&gt;="&amp;BI$1,INDIRECT("Table1[Obergruppe ATC-Code]"),Tabelle3!$A85)</f>
        <v>0</v>
      </c>
      <c r="BJ85">
        <f ca="1">COUNTIFS(INDIRECT("Table1[Beginn]"),"&lt;="&amp;BJ$1,INDIRECT("Table1[Ende]"),"&gt;="&amp;BJ$1,INDIRECT("Table1[Obergruppe ATC-Code]"),Tabelle3!$A85)</f>
        <v>0</v>
      </c>
      <c r="BK85">
        <f ca="1">COUNTIFS(INDIRECT("Table1[Beginn]"),"&lt;="&amp;BK$1,INDIRECT("Table1[Ende]"),"&gt;="&amp;BK$1,INDIRECT("Table1[Obergruppe ATC-Code]"),Tabelle3!$A85)</f>
        <v>0</v>
      </c>
      <c r="BL85">
        <f ca="1">COUNTIFS(INDIRECT("Table1[Beginn]"),"&lt;="&amp;BL$1,INDIRECT("Table1[Ende]"),"&gt;="&amp;BL$1,INDIRECT("Table1[Obergruppe ATC-Code]"),Tabelle3!$A85)</f>
        <v>0</v>
      </c>
      <c r="BM85">
        <f ca="1">COUNTIFS(INDIRECT("Table1[Beginn]"),"&lt;="&amp;BM$1,INDIRECT("Table1[Ende]"),"&gt;="&amp;BM$1,INDIRECT("Table1[Obergruppe ATC-Code]"),Tabelle3!$A85)</f>
        <v>0</v>
      </c>
      <c r="BN85">
        <f ca="1">COUNTIFS(INDIRECT("Table1[Beginn]"),"&lt;="&amp;BN$1,INDIRECT("Table1[Ende]"),"&gt;="&amp;BN$1,INDIRECT("Table1[Obergruppe ATC-Code]"),Tabelle3!$A85)</f>
        <v>0</v>
      </c>
      <c r="BO85">
        <f ca="1">COUNTIFS(INDIRECT("Table1[Beginn]"),"&lt;="&amp;BO$1,INDIRECT("Table1[Ende]"),"&gt;="&amp;BO$1,INDIRECT("Table1[Obergruppe ATC-Code]"),Tabelle3!$A85)</f>
        <v>0</v>
      </c>
      <c r="BP85">
        <f ca="1">COUNTIFS(INDIRECT("Table1[Beginn]"),"&lt;="&amp;BP$1,INDIRECT("Table1[Ende]"),"&gt;="&amp;BP$1,INDIRECT("Table1[Obergruppe ATC-Code]"),Tabelle3!$A85)</f>
        <v>0</v>
      </c>
      <c r="BQ85">
        <f ca="1">COUNTIFS(INDIRECT("Table1[Beginn]"),"&lt;="&amp;BQ$1,INDIRECT("Table1[Ende]"),"&gt;="&amp;BQ$1,INDIRECT("Table1[Obergruppe ATC-Code]"),Tabelle3!$A85)</f>
        <v>0</v>
      </c>
      <c r="BR85">
        <f ca="1">COUNTIFS(INDIRECT("Table1[Beginn]"),"&lt;="&amp;BR$1,INDIRECT("Table1[Ende]"),"&gt;="&amp;BR$1,INDIRECT("Table1[Obergruppe ATC-Code]"),Tabelle3!$A85)</f>
        <v>0</v>
      </c>
      <c r="BS85">
        <f ca="1">COUNTIFS(INDIRECT("Table1[Beginn]"),"&lt;="&amp;BS$1,INDIRECT("Table1[Ende]"),"&gt;="&amp;BS$1,INDIRECT("Table1[Obergruppe ATC-Code]"),Tabelle3!$A85)</f>
        <v>0</v>
      </c>
      <c r="BT85">
        <f ca="1">COUNTIFS(INDIRECT("Table1[Beginn]"),"&lt;="&amp;BT$1,INDIRECT("Table1[Ende]"),"&gt;="&amp;BT$1,INDIRECT("Table1[Obergruppe ATC-Code]"),Tabelle3!$A85)</f>
        <v>0</v>
      </c>
      <c r="BU85">
        <f ca="1">COUNTIFS(INDIRECT("Table1[Beginn]"),"&lt;="&amp;BU$1,INDIRECT("Table1[Ende]"),"&gt;="&amp;BU$1,INDIRECT("Table1[Obergruppe ATC-Code]"),Tabelle3!$A85)</f>
        <v>0</v>
      </c>
      <c r="BV85">
        <f ca="1">COUNTIFS(INDIRECT("Table1[Beginn]"),"&lt;="&amp;BV$1,INDIRECT("Table1[Ende]"),"&gt;="&amp;BV$1,INDIRECT("Table1[Obergruppe ATC-Code]"),Tabelle3!$A85)</f>
        <v>0</v>
      </c>
      <c r="BW85">
        <f ca="1">COUNTIFS(INDIRECT("Table1[Beginn]"),"&lt;="&amp;BW$1,INDIRECT("Table1[Ende]"),"&gt;="&amp;BW$1,INDIRECT("Table1[Obergruppe ATC-Code]"),Tabelle3!$A85)</f>
        <v>0</v>
      </c>
      <c r="BX85">
        <f ca="1">COUNTIFS(INDIRECT("Table1[Beginn]"),"&lt;="&amp;BX$1,INDIRECT("Table1[Ende]"),"&gt;="&amp;BX$1,INDIRECT("Table1[Obergruppe ATC-Code]"),Tabelle3!$A85)</f>
        <v>0</v>
      </c>
      <c r="BY85">
        <f ca="1">COUNTIFS(INDIRECT("Table1[Beginn]"),"&lt;="&amp;BY$1,INDIRECT("Table1[Ende]"),"&gt;="&amp;BY$1,INDIRECT("Table1[Obergruppe ATC-Code]"),Tabelle3!$A85)</f>
        <v>0</v>
      </c>
      <c r="BZ85">
        <f ca="1">COUNTIFS(INDIRECT("Table1[Beginn]"),"&lt;="&amp;BZ$1,INDIRECT("Table1[Ende]"),"&gt;="&amp;BZ$1,INDIRECT("Table1[Obergruppe ATC-Code]"),Tabelle3!$A85)</f>
        <v>0</v>
      </c>
      <c r="CA85">
        <f ca="1">COUNTIFS(INDIRECT("Table1[Beginn]"),"&lt;="&amp;CA$1,INDIRECT("Table1[Ende]"),"&gt;="&amp;CA$1,INDIRECT("Table1[Obergruppe ATC-Code]"),Tabelle3!$A85)</f>
        <v>0</v>
      </c>
      <c r="CB85">
        <f ca="1">COUNTIFS(INDIRECT("Table1[Beginn]"),"&lt;="&amp;CB$1,INDIRECT("Table1[Ende]"),"&gt;="&amp;CB$1,INDIRECT("Table1[Obergruppe ATC-Code]"),Tabelle3!$A85)</f>
        <v>0</v>
      </c>
      <c r="CC85">
        <f ca="1">COUNTIFS(INDIRECT("Table1[Beginn]"),"&lt;="&amp;CC$1,INDIRECT("Table1[Ende]"),"&gt;="&amp;CC$1,INDIRECT("Table1[Obergruppe ATC-Code]"),Tabelle3!$A85)</f>
        <v>0</v>
      </c>
      <c r="CD85">
        <f ca="1">COUNTIFS(INDIRECT("Table1[Beginn]"),"&lt;="&amp;CD$1,INDIRECT("Table1[Ende]"),"&gt;="&amp;CD$1,INDIRECT("Table1[Obergruppe ATC-Code]"),Tabelle3!$A85)</f>
        <v>0</v>
      </c>
      <c r="CE85">
        <f ca="1">COUNTIFS(INDIRECT("Table1[Beginn]"),"&lt;="&amp;CE$1,INDIRECT("Table1[Ende]"),"&gt;="&amp;CE$1,INDIRECT("Table1[Obergruppe ATC-Code]"),Tabelle3!$A85)</f>
        <v>0</v>
      </c>
      <c r="CF85">
        <f ca="1">COUNTIFS(INDIRECT("Table1[Beginn]"),"&lt;="&amp;CF$1,INDIRECT("Table1[Ende]"),"&gt;="&amp;CF$1,INDIRECT("Table1[Obergruppe ATC-Code]"),Tabelle3!$A85)</f>
        <v>0</v>
      </c>
      <c r="CG85">
        <f ca="1">COUNTIFS(INDIRECT("Table1[Beginn]"),"&lt;="&amp;CG$1,INDIRECT("Table1[Ende]"),"&gt;="&amp;CG$1,INDIRECT("Table1[Obergruppe ATC-Code]"),Tabelle3!$A85)</f>
        <v>0</v>
      </c>
      <c r="CH85">
        <f ca="1">COUNTIFS(INDIRECT("Table1[Beginn]"),"&lt;="&amp;CH$1,INDIRECT("Table1[Ende]"),"&gt;="&amp;CH$1,INDIRECT("Table1[Obergruppe ATC-Code]"),Tabelle3!$A85)</f>
        <v>0</v>
      </c>
      <c r="CI85">
        <f ca="1">COUNTIFS(INDIRECT("Table1[Beginn]"),"&lt;="&amp;CI$1,INDIRECT("Table1[Ende]"),"&gt;="&amp;CI$1,INDIRECT("Table1[Obergruppe ATC-Code]"),Tabelle3!$A85)</f>
        <v>0</v>
      </c>
      <c r="CJ85">
        <f ca="1">COUNTIFS(INDIRECT("Table1[Beginn]"),"&lt;="&amp;CJ$1,INDIRECT("Table1[Ende]"),"&gt;="&amp;CJ$1,INDIRECT("Table1[Obergruppe ATC-Code]"),Tabelle3!$A85)</f>
        <v>0</v>
      </c>
      <c r="CK85">
        <f ca="1">COUNTIFS(INDIRECT("Table1[Beginn]"),"&lt;="&amp;CK$1,INDIRECT("Table1[Ende]"),"&gt;="&amp;CK$1,INDIRECT("Table1[Obergruppe ATC-Code]"),Tabelle3!$A85)</f>
        <v>0</v>
      </c>
      <c r="CL85">
        <f ca="1">COUNTIFS(INDIRECT("Table1[Beginn]"),"&lt;="&amp;CL$1,INDIRECT("Table1[Ende]"),"&gt;="&amp;CL$1,INDIRECT("Table1[Obergruppe ATC-Code]"),Tabelle3!$A85)</f>
        <v>0</v>
      </c>
      <c r="CM85">
        <f ca="1">COUNTIFS(INDIRECT("Table1[Beginn]"),"&lt;="&amp;CM$1,INDIRECT("Table1[Ende]"),"&gt;="&amp;CM$1,INDIRECT("Table1[Obergruppe ATC-Code]"),Tabelle3!$A85)</f>
        <v>0</v>
      </c>
      <c r="CN85">
        <f ca="1">COUNTIFS(INDIRECT("Table1[Beginn]"),"&lt;="&amp;CN$1,INDIRECT("Table1[Ende]"),"&gt;="&amp;CN$1,INDIRECT("Table1[Obergruppe ATC-Code]"),Tabelle3!$A85)</f>
        <v>0</v>
      </c>
      <c r="CO85">
        <f ca="1">COUNTIFS(INDIRECT("Table1[Beginn]"),"&lt;="&amp;CO$1,INDIRECT("Table1[Ende]"),"&gt;="&amp;CO$1,INDIRECT("Table1[Obergruppe ATC-Code]"),Tabelle3!$A85)</f>
        <v>0</v>
      </c>
      <c r="CP85">
        <f ca="1">COUNTIFS(INDIRECT("Table1[Beginn]"),"&lt;="&amp;CP$1,INDIRECT("Table1[Ende]"),"&gt;="&amp;CP$1,INDIRECT("Table1[Obergruppe ATC-Code]"),Tabelle3!$A85)</f>
        <v>0</v>
      </c>
      <c r="CQ85">
        <f ca="1">COUNTIFS(INDIRECT("Table1[Beginn]"),"&lt;="&amp;CQ$1,INDIRECT("Table1[Ende]"),"&gt;="&amp;CQ$1,INDIRECT("Table1[Obergruppe ATC-Code]"),Tabelle3!$A85)</f>
        <v>0</v>
      </c>
      <c r="CR85">
        <f ca="1">COUNTIFS(INDIRECT("Table1[Beginn]"),"&lt;="&amp;CR$1,INDIRECT("Table1[Ende]"),"&gt;="&amp;CR$1,INDIRECT("Table1[Obergruppe ATC-Code]"),Tabelle3!$A85)</f>
        <v>0</v>
      </c>
    </row>
    <row r="86" spans="1:96" ht="18">
      <c r="A86" s="7" t="s">
        <v>6940</v>
      </c>
      <c r="B86" s="8" t="s">
        <v>6941</v>
      </c>
      <c r="C86">
        <f ca="1">COUNTIFS(INDIRECT("Table1[Beginn]"),"&lt;="&amp;C$1,INDIRECT("Table1[Ende]"),"&gt;="&amp;C$1,INDIRECT("Table1[Obergruppe ATC-Code]"),Tabelle3!$A86)</f>
        <v>0</v>
      </c>
      <c r="D86">
        <f ca="1">COUNTIFS(INDIRECT("Table1[Beginn]"),"&lt;="&amp;D$1,INDIRECT("Table1[Ende]"),"&gt;="&amp;D$1,INDIRECT("Table1[Obergruppe ATC-Code]"),Tabelle3!$A86)</f>
        <v>0</v>
      </c>
      <c r="E86">
        <f ca="1">COUNTIFS(INDIRECT("Table1[Beginn]"),"&lt;="&amp;E$1,INDIRECT("Table1[Ende]"),"&gt;="&amp;E$1,INDIRECT("Table1[Obergruppe ATC-Code]"),Tabelle3!$A86)</f>
        <v>0</v>
      </c>
      <c r="F86">
        <f ca="1">COUNTIFS(INDIRECT("Table1[Beginn]"),"&lt;="&amp;F$1,INDIRECT("Table1[Ende]"),"&gt;="&amp;F$1,INDIRECT("Table1[Obergruppe ATC-Code]"),Tabelle3!$A86)</f>
        <v>0</v>
      </c>
      <c r="G86">
        <f ca="1">COUNTIFS(INDIRECT("Table1[Beginn]"),"&lt;="&amp;G$1,INDIRECT("Table1[Ende]"),"&gt;="&amp;G$1,INDIRECT("Table1[Obergruppe ATC-Code]"),Tabelle3!$A86)</f>
        <v>0</v>
      </c>
      <c r="H86">
        <f ca="1">COUNTIFS(INDIRECT("Table1[Beginn]"),"&lt;="&amp;H$1,INDIRECT("Table1[Ende]"),"&gt;="&amp;H$1,INDIRECT("Table1[Obergruppe ATC-Code]"),Tabelle3!$A86)</f>
        <v>0</v>
      </c>
      <c r="I86">
        <f ca="1">COUNTIFS(INDIRECT("Table1[Beginn]"),"&lt;="&amp;I$1,INDIRECT("Table1[Ende]"),"&gt;="&amp;I$1,INDIRECT("Table1[Obergruppe ATC-Code]"),Tabelle3!$A86)</f>
        <v>0</v>
      </c>
      <c r="J86">
        <f ca="1">COUNTIFS(INDIRECT("Table1[Beginn]"),"&lt;="&amp;J$1,INDIRECT("Table1[Ende]"),"&gt;="&amp;J$1,INDIRECT("Table1[Obergruppe ATC-Code]"),Tabelle3!$A86)</f>
        <v>0</v>
      </c>
      <c r="K86">
        <f ca="1">COUNTIFS(INDIRECT("Table1[Beginn]"),"&lt;="&amp;K$1,INDIRECT("Table1[Ende]"),"&gt;="&amp;K$1,INDIRECT("Table1[Obergruppe ATC-Code]"),Tabelle3!$A86)</f>
        <v>0</v>
      </c>
      <c r="L86">
        <f ca="1">COUNTIFS(INDIRECT("Table1[Beginn]"),"&lt;="&amp;L$1,INDIRECT("Table1[Ende]"),"&gt;="&amp;L$1,INDIRECT("Table1[Obergruppe ATC-Code]"),Tabelle3!$A86)</f>
        <v>1</v>
      </c>
      <c r="M86">
        <f ca="1">COUNTIFS(INDIRECT("Table1[Beginn]"),"&lt;="&amp;M$1,INDIRECT("Table1[Ende]"),"&gt;="&amp;M$1,INDIRECT("Table1[Obergruppe ATC-Code]"),Tabelle3!$A86)</f>
        <v>1</v>
      </c>
      <c r="N86">
        <f ca="1">COUNTIFS(INDIRECT("Table1[Beginn]"),"&lt;="&amp;N$1,INDIRECT("Table1[Ende]"),"&gt;="&amp;N$1,INDIRECT("Table1[Obergruppe ATC-Code]"),Tabelle3!$A86)</f>
        <v>1</v>
      </c>
      <c r="O86">
        <f ca="1">COUNTIFS(INDIRECT("Table1[Beginn]"),"&lt;="&amp;O$1,INDIRECT("Table1[Ende]"),"&gt;="&amp;O$1,INDIRECT("Table1[Obergruppe ATC-Code]"),Tabelle3!$A86)</f>
        <v>1</v>
      </c>
      <c r="P86">
        <f ca="1">COUNTIFS(INDIRECT("Table1[Beginn]"),"&lt;="&amp;P$1,INDIRECT("Table1[Ende]"),"&gt;="&amp;P$1,INDIRECT("Table1[Obergruppe ATC-Code]"),Tabelle3!$A86)</f>
        <v>1</v>
      </c>
      <c r="Q86">
        <f ca="1">COUNTIFS(INDIRECT("Table1[Beginn]"),"&lt;="&amp;Q$1,INDIRECT("Table1[Ende]"),"&gt;="&amp;Q$1,INDIRECT("Table1[Obergruppe ATC-Code]"),Tabelle3!$A86)</f>
        <v>1</v>
      </c>
      <c r="R86">
        <f ca="1">COUNTIFS(INDIRECT("Table1[Beginn]"),"&lt;="&amp;R$1,INDIRECT("Table1[Ende]"),"&gt;="&amp;R$1,INDIRECT("Table1[Obergruppe ATC-Code]"),Tabelle3!$A86)</f>
        <v>1</v>
      </c>
      <c r="S86">
        <f ca="1">COUNTIFS(INDIRECT("Table1[Beginn]"),"&lt;="&amp;S$1,INDIRECT("Table1[Ende]"),"&gt;="&amp;S$1,INDIRECT("Table1[Obergruppe ATC-Code]"),Tabelle3!$A86)</f>
        <v>1</v>
      </c>
      <c r="T86">
        <f ca="1">COUNTIFS(INDIRECT("Table1[Beginn]"),"&lt;="&amp;T$1,INDIRECT("Table1[Ende]"),"&gt;="&amp;T$1,INDIRECT("Table1[Obergruppe ATC-Code]"),Tabelle3!$A86)</f>
        <v>1</v>
      </c>
      <c r="U86">
        <f ca="1">COUNTIFS(INDIRECT("Table1[Beginn]"),"&lt;="&amp;U$1,INDIRECT("Table1[Ende]"),"&gt;="&amp;U$1,INDIRECT("Table1[Obergruppe ATC-Code]"),Tabelle3!$A86)</f>
        <v>1</v>
      </c>
      <c r="V86">
        <f ca="1">COUNTIFS(INDIRECT("Table1[Beginn]"),"&lt;="&amp;V$1,INDIRECT("Table1[Ende]"),"&gt;="&amp;V$1,INDIRECT("Table1[Obergruppe ATC-Code]"),Tabelle3!$A86)</f>
        <v>1</v>
      </c>
      <c r="W86">
        <f ca="1">COUNTIFS(INDIRECT("Table1[Beginn]"),"&lt;="&amp;W$1,INDIRECT("Table1[Ende]"),"&gt;="&amp;W$1,INDIRECT("Table1[Obergruppe ATC-Code]"),Tabelle3!$A86)</f>
        <v>1</v>
      </c>
      <c r="X86">
        <f ca="1">COUNTIFS(INDIRECT("Table1[Beginn]"),"&lt;="&amp;X$1,INDIRECT("Table1[Ende]"),"&gt;="&amp;X$1,INDIRECT("Table1[Obergruppe ATC-Code]"),Tabelle3!$A86)</f>
        <v>1</v>
      </c>
      <c r="Y86">
        <f ca="1">COUNTIFS(INDIRECT("Table1[Beginn]"),"&lt;="&amp;Y$1,INDIRECT("Table1[Ende]"),"&gt;="&amp;Y$1,INDIRECT("Table1[Obergruppe ATC-Code]"),Tabelle3!$A86)</f>
        <v>2</v>
      </c>
      <c r="Z86">
        <f ca="1">COUNTIFS(INDIRECT("Table1[Beginn]"),"&lt;="&amp;Z$1,INDIRECT("Table1[Ende]"),"&gt;="&amp;Z$1,INDIRECT("Table1[Obergruppe ATC-Code]"),Tabelle3!$A86)</f>
        <v>2</v>
      </c>
      <c r="AA86">
        <f ca="1">COUNTIFS(INDIRECT("Table1[Beginn]"),"&lt;="&amp;AA$1,INDIRECT("Table1[Ende]"),"&gt;="&amp;AA$1,INDIRECT("Table1[Obergruppe ATC-Code]"),Tabelle3!$A86)</f>
        <v>1</v>
      </c>
      <c r="AB86">
        <f ca="1">COUNTIFS(INDIRECT("Table1[Beginn]"),"&lt;="&amp;AB$1,INDIRECT("Table1[Ende]"),"&gt;="&amp;AB$1,INDIRECT("Table1[Obergruppe ATC-Code]"),Tabelle3!$A86)</f>
        <v>2</v>
      </c>
      <c r="AC86">
        <f ca="1">COUNTIFS(INDIRECT("Table1[Beginn]"),"&lt;="&amp;AC$1,INDIRECT("Table1[Ende]"),"&gt;="&amp;AC$1,INDIRECT("Table1[Obergruppe ATC-Code]"),Tabelle3!$A86)</f>
        <v>2</v>
      </c>
      <c r="AD86">
        <f ca="1">COUNTIFS(INDIRECT("Table1[Beginn]"),"&lt;="&amp;AD$1,INDIRECT("Table1[Ende]"),"&gt;="&amp;AD$1,INDIRECT("Table1[Obergruppe ATC-Code]"),Tabelle3!$A86)</f>
        <v>2</v>
      </c>
      <c r="AE86">
        <f ca="1">COUNTIFS(INDIRECT("Table1[Beginn]"),"&lt;="&amp;AE$1,INDIRECT("Table1[Ende]"),"&gt;="&amp;AE$1,INDIRECT("Table1[Obergruppe ATC-Code]"),Tabelle3!$A86)</f>
        <v>1</v>
      </c>
      <c r="AF86">
        <f ca="1">COUNTIFS(INDIRECT("Table1[Beginn]"),"&lt;="&amp;AF$1,INDIRECT("Table1[Ende]"),"&gt;="&amp;AF$1,INDIRECT("Table1[Obergruppe ATC-Code]"),Tabelle3!$A86)</f>
        <v>2</v>
      </c>
      <c r="AG86">
        <f ca="1">COUNTIFS(INDIRECT("Table1[Beginn]"),"&lt;="&amp;AG$1,INDIRECT("Table1[Ende]"),"&gt;="&amp;AG$1,INDIRECT("Table1[Obergruppe ATC-Code]"),Tabelle3!$A86)</f>
        <v>2</v>
      </c>
      <c r="AH86">
        <f ca="1">COUNTIFS(INDIRECT("Table1[Beginn]"),"&lt;="&amp;AH$1,INDIRECT("Table1[Ende]"),"&gt;="&amp;AH$1,INDIRECT("Table1[Obergruppe ATC-Code]"),Tabelle3!$A86)</f>
        <v>2</v>
      </c>
      <c r="AI86">
        <f ca="1">COUNTIFS(INDIRECT("Table1[Beginn]"),"&lt;="&amp;AI$1,INDIRECT("Table1[Ende]"),"&gt;="&amp;AI$1,INDIRECT("Table1[Obergruppe ATC-Code]"),Tabelle3!$A86)</f>
        <v>2</v>
      </c>
      <c r="AJ86">
        <f ca="1">COUNTIFS(INDIRECT("Table1[Beginn]"),"&lt;="&amp;AJ$1,INDIRECT("Table1[Ende]"),"&gt;="&amp;AJ$1,INDIRECT("Table1[Obergruppe ATC-Code]"),Tabelle3!$A86)</f>
        <v>3</v>
      </c>
      <c r="AK86">
        <f ca="1">COUNTIFS(INDIRECT("Table1[Beginn]"),"&lt;="&amp;AK$1,INDIRECT("Table1[Ende]"),"&gt;="&amp;AK$1,INDIRECT("Table1[Obergruppe ATC-Code]"),Tabelle3!$A86)</f>
        <v>3</v>
      </c>
      <c r="AL86">
        <f ca="1">COUNTIFS(INDIRECT("Table1[Beginn]"),"&lt;="&amp;AL$1,INDIRECT("Table1[Ende]"),"&gt;="&amp;AL$1,INDIRECT("Table1[Obergruppe ATC-Code]"),Tabelle3!$A86)</f>
        <v>2</v>
      </c>
      <c r="AM86">
        <f ca="1">COUNTIFS(INDIRECT("Table1[Beginn]"),"&lt;="&amp;AM$1,INDIRECT("Table1[Ende]"),"&gt;="&amp;AM$1,INDIRECT("Table1[Obergruppe ATC-Code]"),Tabelle3!$A86)</f>
        <v>0</v>
      </c>
      <c r="AN86">
        <f ca="1">COUNTIFS(INDIRECT("Table1[Beginn]"),"&lt;="&amp;AN$1,INDIRECT("Table1[Ende]"),"&gt;="&amp;AN$1,INDIRECT("Table1[Obergruppe ATC-Code]"),Tabelle3!$A86)</f>
        <v>0</v>
      </c>
      <c r="AO86">
        <f ca="1">COUNTIFS(INDIRECT("Table1[Beginn]"),"&lt;="&amp;AO$1,INDIRECT("Table1[Ende]"),"&gt;="&amp;AO$1,INDIRECT("Table1[Obergruppe ATC-Code]"),Tabelle3!$A86)</f>
        <v>0</v>
      </c>
      <c r="AP86">
        <f ca="1">COUNTIFS(INDIRECT("Table1[Beginn]"),"&lt;="&amp;AP$1,INDIRECT("Table1[Ende]"),"&gt;="&amp;AP$1,INDIRECT("Table1[Obergruppe ATC-Code]"),Tabelle3!$A86)</f>
        <v>0</v>
      </c>
      <c r="AQ86">
        <f ca="1">COUNTIFS(INDIRECT("Table1[Beginn]"),"&lt;="&amp;AQ$1,INDIRECT("Table1[Ende]"),"&gt;="&amp;AQ$1,INDIRECT("Table1[Obergruppe ATC-Code]"),Tabelle3!$A86)</f>
        <v>1</v>
      </c>
      <c r="AR86">
        <f ca="1">COUNTIFS(INDIRECT("Table1[Beginn]"),"&lt;="&amp;AR$1,INDIRECT("Table1[Ende]"),"&gt;="&amp;AR$1,INDIRECT("Table1[Obergruppe ATC-Code]"),Tabelle3!$A86)</f>
        <v>2</v>
      </c>
      <c r="AS86">
        <f ca="1">COUNTIFS(INDIRECT("Table1[Beginn]"),"&lt;="&amp;AS$1,INDIRECT("Table1[Ende]"),"&gt;="&amp;AS$1,INDIRECT("Table1[Obergruppe ATC-Code]"),Tabelle3!$A86)</f>
        <v>2</v>
      </c>
      <c r="AT86">
        <f ca="1">COUNTIFS(INDIRECT("Table1[Beginn]"),"&lt;="&amp;AT$1,INDIRECT("Table1[Ende]"),"&gt;="&amp;AT$1,INDIRECT("Table1[Obergruppe ATC-Code]"),Tabelle3!$A86)</f>
        <v>2</v>
      </c>
      <c r="AU86">
        <f ca="1">COUNTIFS(INDIRECT("Table1[Beginn]"),"&lt;="&amp;AU$1,INDIRECT("Table1[Ende]"),"&gt;="&amp;AU$1,INDIRECT("Table1[Obergruppe ATC-Code]"),Tabelle3!$A86)</f>
        <v>2</v>
      </c>
      <c r="AV86">
        <f ca="1">COUNTIFS(INDIRECT("Table1[Beginn]"),"&lt;="&amp;AV$1,INDIRECT("Table1[Ende]"),"&gt;="&amp;AV$1,INDIRECT("Table1[Obergruppe ATC-Code]"),Tabelle3!$A86)</f>
        <v>2</v>
      </c>
      <c r="AW86">
        <f ca="1">COUNTIFS(INDIRECT("Table1[Beginn]"),"&lt;="&amp;AW$1,INDIRECT("Table1[Ende]"),"&gt;="&amp;AW$1,INDIRECT("Table1[Obergruppe ATC-Code]"),Tabelle3!$A86)</f>
        <v>3</v>
      </c>
      <c r="AX86">
        <f ca="1">COUNTIFS(INDIRECT("Table1[Beginn]"),"&lt;="&amp;AX$1,INDIRECT("Table1[Ende]"),"&gt;="&amp;AX$1,INDIRECT("Table1[Obergruppe ATC-Code]"),Tabelle3!$A86)</f>
        <v>2</v>
      </c>
      <c r="AY86">
        <f ca="1">COUNTIFS(INDIRECT("Table1[Beginn]"),"&lt;="&amp;AY$1,INDIRECT("Table1[Ende]"),"&gt;="&amp;AY$1,INDIRECT("Table1[Obergruppe ATC-Code]"),Tabelle3!$A86)</f>
        <v>2</v>
      </c>
      <c r="AZ86">
        <f ca="1">COUNTIFS(INDIRECT("Table1[Beginn]"),"&lt;="&amp;AZ$1,INDIRECT("Table1[Ende]"),"&gt;="&amp;AZ$1,INDIRECT("Table1[Obergruppe ATC-Code]"),Tabelle3!$A86)</f>
        <v>2</v>
      </c>
      <c r="BA86">
        <f ca="1">COUNTIFS(INDIRECT("Table1[Beginn]"),"&lt;="&amp;BA$1,INDIRECT("Table1[Ende]"),"&gt;="&amp;BA$1,INDIRECT("Table1[Obergruppe ATC-Code]"),Tabelle3!$A86)</f>
        <v>1</v>
      </c>
      <c r="BB86">
        <f ca="1">COUNTIFS(INDIRECT("Table1[Beginn]"),"&lt;="&amp;BB$1,INDIRECT("Table1[Ende]"),"&gt;="&amp;BB$1,INDIRECT("Table1[Obergruppe ATC-Code]"),Tabelle3!$A86)</f>
        <v>2</v>
      </c>
      <c r="BC86">
        <f ca="1">COUNTIFS(INDIRECT("Table1[Beginn]"),"&lt;="&amp;BC$1,INDIRECT("Table1[Ende]"),"&gt;="&amp;BC$1,INDIRECT("Table1[Obergruppe ATC-Code]"),Tabelle3!$A86)</f>
        <v>3</v>
      </c>
      <c r="BD86">
        <f ca="1">COUNTIFS(INDIRECT("Table1[Beginn]"),"&lt;="&amp;BD$1,INDIRECT("Table1[Ende]"),"&gt;="&amp;BD$1,INDIRECT("Table1[Obergruppe ATC-Code]"),Tabelle3!$A86)</f>
        <v>2</v>
      </c>
      <c r="BE86">
        <f ca="1">COUNTIFS(INDIRECT("Table1[Beginn]"),"&lt;="&amp;BE$1,INDIRECT("Table1[Ende]"),"&gt;="&amp;BE$1,INDIRECT("Table1[Obergruppe ATC-Code]"),Tabelle3!$A86)</f>
        <v>2</v>
      </c>
      <c r="BF86">
        <f ca="1">COUNTIFS(INDIRECT("Table1[Beginn]"),"&lt;="&amp;BF$1,INDIRECT("Table1[Ende]"),"&gt;="&amp;BF$1,INDIRECT("Table1[Obergruppe ATC-Code]"),Tabelle3!$A86)</f>
        <v>2</v>
      </c>
      <c r="BG86">
        <f ca="1">COUNTIFS(INDIRECT("Table1[Beginn]"),"&lt;="&amp;BG$1,INDIRECT("Table1[Ende]"),"&gt;="&amp;BG$1,INDIRECT("Table1[Obergruppe ATC-Code]"),Tabelle3!$A86)</f>
        <v>2</v>
      </c>
      <c r="BH86">
        <f ca="1">COUNTIFS(INDIRECT("Table1[Beginn]"),"&lt;="&amp;BH$1,INDIRECT("Table1[Ende]"),"&gt;="&amp;BH$1,INDIRECT("Table1[Obergruppe ATC-Code]"),Tabelle3!$A86)</f>
        <v>2</v>
      </c>
      <c r="BI86">
        <f ca="1">COUNTIFS(INDIRECT("Table1[Beginn]"),"&lt;="&amp;BI$1,INDIRECT("Table1[Ende]"),"&gt;="&amp;BI$1,INDIRECT("Table1[Obergruppe ATC-Code]"),Tabelle3!$A86)</f>
        <v>2</v>
      </c>
      <c r="BJ86">
        <f ca="1">COUNTIFS(INDIRECT("Table1[Beginn]"),"&lt;="&amp;BJ$1,INDIRECT("Table1[Ende]"),"&gt;="&amp;BJ$1,INDIRECT("Table1[Obergruppe ATC-Code]"),Tabelle3!$A86)</f>
        <v>2</v>
      </c>
      <c r="BK86">
        <f ca="1">COUNTIFS(INDIRECT("Table1[Beginn]"),"&lt;="&amp;BK$1,INDIRECT("Table1[Ende]"),"&gt;="&amp;BK$1,INDIRECT("Table1[Obergruppe ATC-Code]"),Tabelle3!$A86)</f>
        <v>3</v>
      </c>
      <c r="BL86">
        <f ca="1">COUNTIFS(INDIRECT("Table1[Beginn]"),"&lt;="&amp;BL$1,INDIRECT("Table1[Ende]"),"&gt;="&amp;BL$1,INDIRECT("Table1[Obergruppe ATC-Code]"),Tabelle3!$A86)</f>
        <v>5</v>
      </c>
      <c r="BM86">
        <f ca="1">COUNTIFS(INDIRECT("Table1[Beginn]"),"&lt;="&amp;BM$1,INDIRECT("Table1[Ende]"),"&gt;="&amp;BM$1,INDIRECT("Table1[Obergruppe ATC-Code]"),Tabelle3!$A86)</f>
        <v>8</v>
      </c>
      <c r="BN86">
        <f ca="1">COUNTIFS(INDIRECT("Table1[Beginn]"),"&lt;="&amp;BN$1,INDIRECT("Table1[Ende]"),"&gt;="&amp;BN$1,INDIRECT("Table1[Obergruppe ATC-Code]"),Tabelle3!$A86)</f>
        <v>4</v>
      </c>
      <c r="BO86">
        <f ca="1">COUNTIFS(INDIRECT("Table1[Beginn]"),"&lt;="&amp;BO$1,INDIRECT("Table1[Ende]"),"&gt;="&amp;BO$1,INDIRECT("Table1[Obergruppe ATC-Code]"),Tabelle3!$A86)</f>
        <v>3</v>
      </c>
      <c r="BP86">
        <f ca="1">COUNTIFS(INDIRECT("Table1[Beginn]"),"&lt;="&amp;BP$1,INDIRECT("Table1[Ende]"),"&gt;="&amp;BP$1,INDIRECT("Table1[Obergruppe ATC-Code]"),Tabelle3!$A86)</f>
        <v>4</v>
      </c>
      <c r="BQ86">
        <f ca="1">COUNTIFS(INDIRECT("Table1[Beginn]"),"&lt;="&amp;BQ$1,INDIRECT("Table1[Ende]"),"&gt;="&amp;BQ$1,INDIRECT("Table1[Obergruppe ATC-Code]"),Tabelle3!$A86)</f>
        <v>3</v>
      </c>
      <c r="BR86">
        <f ca="1">COUNTIFS(INDIRECT("Table1[Beginn]"),"&lt;="&amp;BR$1,INDIRECT("Table1[Ende]"),"&gt;="&amp;BR$1,INDIRECT("Table1[Obergruppe ATC-Code]"),Tabelle3!$A86)</f>
        <v>4</v>
      </c>
      <c r="BS86">
        <f ca="1">COUNTIFS(INDIRECT("Table1[Beginn]"),"&lt;="&amp;BS$1,INDIRECT("Table1[Ende]"),"&gt;="&amp;BS$1,INDIRECT("Table1[Obergruppe ATC-Code]"),Tabelle3!$A86)</f>
        <v>4</v>
      </c>
      <c r="BT86">
        <f ca="1">COUNTIFS(INDIRECT("Table1[Beginn]"),"&lt;="&amp;BT$1,INDIRECT("Table1[Ende]"),"&gt;="&amp;BT$1,INDIRECT("Table1[Obergruppe ATC-Code]"),Tabelle3!$A86)</f>
        <v>5</v>
      </c>
      <c r="BU86">
        <f ca="1">COUNTIFS(INDIRECT("Table1[Beginn]"),"&lt;="&amp;BU$1,INDIRECT("Table1[Ende]"),"&gt;="&amp;BU$1,INDIRECT("Table1[Obergruppe ATC-Code]"),Tabelle3!$A86)</f>
        <v>7</v>
      </c>
      <c r="BV86">
        <f ca="1">COUNTIFS(INDIRECT("Table1[Beginn]"),"&lt;="&amp;BV$1,INDIRECT("Table1[Ende]"),"&gt;="&amp;BV$1,INDIRECT("Table1[Obergruppe ATC-Code]"),Tabelle3!$A86)</f>
        <v>6</v>
      </c>
      <c r="BW86">
        <f ca="1">COUNTIFS(INDIRECT("Table1[Beginn]"),"&lt;="&amp;BW$1,INDIRECT("Table1[Ende]"),"&gt;="&amp;BW$1,INDIRECT("Table1[Obergruppe ATC-Code]"),Tabelle3!$A86)</f>
        <v>7</v>
      </c>
      <c r="BX86">
        <f ca="1">COUNTIFS(INDIRECT("Table1[Beginn]"),"&lt;="&amp;BX$1,INDIRECT("Table1[Ende]"),"&gt;="&amp;BX$1,INDIRECT("Table1[Obergruppe ATC-Code]"),Tabelle3!$A86)</f>
        <v>5</v>
      </c>
      <c r="BY86">
        <f ca="1">COUNTIFS(INDIRECT("Table1[Beginn]"),"&lt;="&amp;BY$1,INDIRECT("Table1[Ende]"),"&gt;="&amp;BY$1,INDIRECT("Table1[Obergruppe ATC-Code]"),Tabelle3!$A86)</f>
        <v>6</v>
      </c>
      <c r="BZ86">
        <f ca="1">COUNTIFS(INDIRECT("Table1[Beginn]"),"&lt;="&amp;BZ$1,INDIRECT("Table1[Ende]"),"&gt;="&amp;BZ$1,INDIRECT("Table1[Obergruppe ATC-Code]"),Tabelle3!$A86)</f>
        <v>7</v>
      </c>
      <c r="CA86">
        <f ca="1">COUNTIFS(INDIRECT("Table1[Beginn]"),"&lt;="&amp;CA$1,INDIRECT("Table1[Ende]"),"&gt;="&amp;CA$1,INDIRECT("Table1[Obergruppe ATC-Code]"),Tabelle3!$A86)</f>
        <v>9</v>
      </c>
      <c r="CB86">
        <f ca="1">COUNTIFS(INDIRECT("Table1[Beginn]"),"&lt;="&amp;CB$1,INDIRECT("Table1[Ende]"),"&gt;="&amp;CB$1,INDIRECT("Table1[Obergruppe ATC-Code]"),Tabelle3!$A86)</f>
        <v>8</v>
      </c>
      <c r="CC86">
        <f ca="1">COUNTIFS(INDIRECT("Table1[Beginn]"),"&lt;="&amp;CC$1,INDIRECT("Table1[Ende]"),"&gt;="&amp;CC$1,INDIRECT("Table1[Obergruppe ATC-Code]"),Tabelle3!$A86)</f>
        <v>10</v>
      </c>
      <c r="CD86">
        <f ca="1">COUNTIFS(INDIRECT("Table1[Beginn]"),"&lt;="&amp;CD$1,INDIRECT("Table1[Ende]"),"&gt;="&amp;CD$1,INDIRECT("Table1[Obergruppe ATC-Code]"),Tabelle3!$A86)</f>
        <v>10</v>
      </c>
      <c r="CE86">
        <f ca="1">COUNTIFS(INDIRECT("Table1[Beginn]"),"&lt;="&amp;CE$1,INDIRECT("Table1[Ende]"),"&gt;="&amp;CE$1,INDIRECT("Table1[Obergruppe ATC-Code]"),Tabelle3!$A86)</f>
        <v>8</v>
      </c>
      <c r="CF86">
        <f ca="1">COUNTIFS(INDIRECT("Table1[Beginn]"),"&lt;="&amp;CF$1,INDIRECT("Table1[Ende]"),"&gt;="&amp;CF$1,INDIRECT("Table1[Obergruppe ATC-Code]"),Tabelle3!$A86)</f>
        <v>8</v>
      </c>
      <c r="CG86">
        <f ca="1">COUNTIFS(INDIRECT("Table1[Beginn]"),"&lt;="&amp;CG$1,INDIRECT("Table1[Ende]"),"&gt;="&amp;CG$1,INDIRECT("Table1[Obergruppe ATC-Code]"),Tabelle3!$A86)</f>
        <v>3</v>
      </c>
      <c r="CH86">
        <f ca="1">COUNTIFS(INDIRECT("Table1[Beginn]"),"&lt;="&amp;CH$1,INDIRECT("Table1[Ende]"),"&gt;="&amp;CH$1,INDIRECT("Table1[Obergruppe ATC-Code]"),Tabelle3!$A86)</f>
        <v>2</v>
      </c>
      <c r="CI86">
        <f ca="1">COUNTIFS(INDIRECT("Table1[Beginn]"),"&lt;="&amp;CI$1,INDIRECT("Table1[Ende]"),"&gt;="&amp;CI$1,INDIRECT("Table1[Obergruppe ATC-Code]"),Tabelle3!$A86)</f>
        <v>2</v>
      </c>
      <c r="CJ86">
        <f ca="1">COUNTIFS(INDIRECT("Table1[Beginn]"),"&lt;="&amp;CJ$1,INDIRECT("Table1[Ende]"),"&gt;="&amp;CJ$1,INDIRECT("Table1[Obergruppe ATC-Code]"),Tabelle3!$A86)</f>
        <v>1</v>
      </c>
      <c r="CK86">
        <f ca="1">COUNTIFS(INDIRECT("Table1[Beginn]"),"&lt;="&amp;CK$1,INDIRECT("Table1[Ende]"),"&gt;="&amp;CK$1,INDIRECT("Table1[Obergruppe ATC-Code]"),Tabelle3!$A86)</f>
        <v>1</v>
      </c>
      <c r="CL86">
        <f ca="1">COUNTIFS(INDIRECT("Table1[Beginn]"),"&lt;="&amp;CL$1,INDIRECT("Table1[Ende]"),"&gt;="&amp;CL$1,INDIRECT("Table1[Obergruppe ATC-Code]"),Tabelle3!$A86)</f>
        <v>1</v>
      </c>
      <c r="CM86">
        <f ca="1">COUNTIFS(INDIRECT("Table1[Beginn]"),"&lt;="&amp;CM$1,INDIRECT("Table1[Ende]"),"&gt;="&amp;CM$1,INDIRECT("Table1[Obergruppe ATC-Code]"),Tabelle3!$A86)</f>
        <v>0</v>
      </c>
      <c r="CN86">
        <f ca="1">COUNTIFS(INDIRECT("Table1[Beginn]"),"&lt;="&amp;CN$1,INDIRECT("Table1[Ende]"),"&gt;="&amp;CN$1,INDIRECT("Table1[Obergruppe ATC-Code]"),Tabelle3!$A86)</f>
        <v>0</v>
      </c>
      <c r="CO86">
        <f ca="1">COUNTIFS(INDIRECT("Table1[Beginn]"),"&lt;="&amp;CO$1,INDIRECT("Table1[Ende]"),"&gt;="&amp;CO$1,INDIRECT("Table1[Obergruppe ATC-Code]"),Tabelle3!$A86)</f>
        <v>0</v>
      </c>
      <c r="CP86">
        <f ca="1">COUNTIFS(INDIRECT("Table1[Beginn]"),"&lt;="&amp;CP$1,INDIRECT("Table1[Ende]"),"&gt;="&amp;CP$1,INDIRECT("Table1[Obergruppe ATC-Code]"),Tabelle3!$A86)</f>
        <v>0</v>
      </c>
      <c r="CQ86">
        <f ca="1">COUNTIFS(INDIRECT("Table1[Beginn]"),"&lt;="&amp;CQ$1,INDIRECT("Table1[Ende]"),"&gt;="&amp;CQ$1,INDIRECT("Table1[Obergruppe ATC-Code]"),Tabelle3!$A86)</f>
        <v>0</v>
      </c>
      <c r="CR86">
        <f ca="1">COUNTIFS(INDIRECT("Table1[Beginn]"),"&lt;="&amp;CR$1,INDIRECT("Table1[Ende]"),"&gt;="&amp;CR$1,INDIRECT("Table1[Obergruppe ATC-Code]"),Tabelle3!$A86)</f>
        <v>0</v>
      </c>
    </row>
    <row r="87" spans="1:96" ht="18">
      <c r="A87" s="9" t="s">
        <v>6942</v>
      </c>
      <c r="B87" s="10" t="s">
        <v>6943</v>
      </c>
      <c r="C87">
        <f ca="1">COUNTIFS(INDIRECT("Table1[Beginn]"),"&lt;="&amp;C$1,INDIRECT("Table1[Ende]"),"&gt;="&amp;C$1,INDIRECT("Table1[Obergruppe ATC-Code]"),Tabelle3!$A87)</f>
        <v>0</v>
      </c>
      <c r="D87">
        <f ca="1">COUNTIFS(INDIRECT("Table1[Beginn]"),"&lt;="&amp;D$1,INDIRECT("Table1[Ende]"),"&gt;="&amp;D$1,INDIRECT("Table1[Obergruppe ATC-Code]"),Tabelle3!$A87)</f>
        <v>0</v>
      </c>
      <c r="E87">
        <f ca="1">COUNTIFS(INDIRECT("Table1[Beginn]"),"&lt;="&amp;E$1,INDIRECT("Table1[Ende]"),"&gt;="&amp;E$1,INDIRECT("Table1[Obergruppe ATC-Code]"),Tabelle3!$A87)</f>
        <v>0</v>
      </c>
      <c r="F87">
        <f ca="1">COUNTIFS(INDIRECT("Table1[Beginn]"),"&lt;="&amp;F$1,INDIRECT("Table1[Ende]"),"&gt;="&amp;F$1,INDIRECT("Table1[Obergruppe ATC-Code]"),Tabelle3!$A87)</f>
        <v>0</v>
      </c>
      <c r="G87">
        <f ca="1">COUNTIFS(INDIRECT("Table1[Beginn]"),"&lt;="&amp;G$1,INDIRECT("Table1[Ende]"),"&gt;="&amp;G$1,INDIRECT("Table1[Obergruppe ATC-Code]"),Tabelle3!$A87)</f>
        <v>0</v>
      </c>
      <c r="H87">
        <f ca="1">COUNTIFS(INDIRECT("Table1[Beginn]"),"&lt;="&amp;H$1,INDIRECT("Table1[Ende]"),"&gt;="&amp;H$1,INDIRECT("Table1[Obergruppe ATC-Code]"),Tabelle3!$A87)</f>
        <v>0</v>
      </c>
      <c r="I87">
        <f ca="1">COUNTIFS(INDIRECT("Table1[Beginn]"),"&lt;="&amp;I$1,INDIRECT("Table1[Ende]"),"&gt;="&amp;I$1,INDIRECT("Table1[Obergruppe ATC-Code]"),Tabelle3!$A87)</f>
        <v>0</v>
      </c>
      <c r="J87">
        <f ca="1">COUNTIFS(INDIRECT("Table1[Beginn]"),"&lt;="&amp;J$1,INDIRECT("Table1[Ende]"),"&gt;="&amp;J$1,INDIRECT("Table1[Obergruppe ATC-Code]"),Tabelle3!$A87)</f>
        <v>0</v>
      </c>
      <c r="K87">
        <f ca="1">COUNTIFS(INDIRECT("Table1[Beginn]"),"&lt;="&amp;K$1,INDIRECT("Table1[Ende]"),"&gt;="&amp;K$1,INDIRECT("Table1[Obergruppe ATC-Code]"),Tabelle3!$A87)</f>
        <v>0</v>
      </c>
      <c r="L87">
        <f ca="1">COUNTIFS(INDIRECT("Table1[Beginn]"),"&lt;="&amp;L$1,INDIRECT("Table1[Ende]"),"&gt;="&amp;L$1,INDIRECT("Table1[Obergruppe ATC-Code]"),Tabelle3!$A87)</f>
        <v>0</v>
      </c>
      <c r="M87">
        <f ca="1">COUNTIFS(INDIRECT("Table1[Beginn]"),"&lt;="&amp;M$1,INDIRECT("Table1[Ende]"),"&gt;="&amp;M$1,INDIRECT("Table1[Obergruppe ATC-Code]"),Tabelle3!$A87)</f>
        <v>0</v>
      </c>
      <c r="N87">
        <f ca="1">COUNTIFS(INDIRECT("Table1[Beginn]"),"&lt;="&amp;N$1,INDIRECT("Table1[Ende]"),"&gt;="&amp;N$1,INDIRECT("Table1[Obergruppe ATC-Code]"),Tabelle3!$A87)</f>
        <v>0</v>
      </c>
      <c r="O87">
        <f ca="1">COUNTIFS(INDIRECT("Table1[Beginn]"),"&lt;="&amp;O$1,INDIRECT("Table1[Ende]"),"&gt;="&amp;O$1,INDIRECT("Table1[Obergruppe ATC-Code]"),Tabelle3!$A87)</f>
        <v>0</v>
      </c>
      <c r="P87">
        <f ca="1">COUNTIFS(INDIRECT("Table1[Beginn]"),"&lt;="&amp;P$1,INDIRECT("Table1[Ende]"),"&gt;="&amp;P$1,INDIRECT("Table1[Obergruppe ATC-Code]"),Tabelle3!$A87)</f>
        <v>0</v>
      </c>
      <c r="Q87">
        <f ca="1">COUNTIFS(INDIRECT("Table1[Beginn]"),"&lt;="&amp;Q$1,INDIRECT("Table1[Ende]"),"&gt;="&amp;Q$1,INDIRECT("Table1[Obergruppe ATC-Code]"),Tabelle3!$A87)</f>
        <v>0</v>
      </c>
      <c r="R87">
        <f ca="1">COUNTIFS(INDIRECT("Table1[Beginn]"),"&lt;="&amp;R$1,INDIRECT("Table1[Ende]"),"&gt;="&amp;R$1,INDIRECT("Table1[Obergruppe ATC-Code]"),Tabelle3!$A87)</f>
        <v>0</v>
      </c>
      <c r="S87">
        <f ca="1">COUNTIFS(INDIRECT("Table1[Beginn]"),"&lt;="&amp;S$1,INDIRECT("Table1[Ende]"),"&gt;="&amp;S$1,INDIRECT("Table1[Obergruppe ATC-Code]"),Tabelle3!$A87)</f>
        <v>0</v>
      </c>
      <c r="T87">
        <f ca="1">COUNTIFS(INDIRECT("Table1[Beginn]"),"&lt;="&amp;T$1,INDIRECT("Table1[Ende]"),"&gt;="&amp;T$1,INDIRECT("Table1[Obergruppe ATC-Code]"),Tabelle3!$A87)</f>
        <v>0</v>
      </c>
      <c r="U87">
        <f ca="1">COUNTIFS(INDIRECT("Table1[Beginn]"),"&lt;="&amp;U$1,INDIRECT("Table1[Ende]"),"&gt;="&amp;U$1,INDIRECT("Table1[Obergruppe ATC-Code]"),Tabelle3!$A87)</f>
        <v>0</v>
      </c>
      <c r="V87">
        <f ca="1">COUNTIFS(INDIRECT("Table1[Beginn]"),"&lt;="&amp;V$1,INDIRECT("Table1[Ende]"),"&gt;="&amp;V$1,INDIRECT("Table1[Obergruppe ATC-Code]"),Tabelle3!$A87)</f>
        <v>0</v>
      </c>
      <c r="W87">
        <f ca="1">COUNTIFS(INDIRECT("Table1[Beginn]"),"&lt;="&amp;W$1,INDIRECT("Table1[Ende]"),"&gt;="&amp;W$1,INDIRECT("Table1[Obergruppe ATC-Code]"),Tabelle3!$A87)</f>
        <v>0</v>
      </c>
      <c r="X87">
        <f ca="1">COUNTIFS(INDIRECT("Table1[Beginn]"),"&lt;="&amp;X$1,INDIRECT("Table1[Ende]"),"&gt;="&amp;X$1,INDIRECT("Table1[Obergruppe ATC-Code]"),Tabelle3!$A87)</f>
        <v>0</v>
      </c>
      <c r="Y87">
        <f ca="1">COUNTIFS(INDIRECT("Table1[Beginn]"),"&lt;="&amp;Y$1,INDIRECT("Table1[Ende]"),"&gt;="&amp;Y$1,INDIRECT("Table1[Obergruppe ATC-Code]"),Tabelle3!$A87)</f>
        <v>0</v>
      </c>
      <c r="Z87">
        <f ca="1">COUNTIFS(INDIRECT("Table1[Beginn]"),"&lt;="&amp;Z$1,INDIRECT("Table1[Ende]"),"&gt;="&amp;Z$1,INDIRECT("Table1[Obergruppe ATC-Code]"),Tabelle3!$A87)</f>
        <v>0</v>
      </c>
      <c r="AA87">
        <f ca="1">COUNTIFS(INDIRECT("Table1[Beginn]"),"&lt;="&amp;AA$1,INDIRECT("Table1[Ende]"),"&gt;="&amp;AA$1,INDIRECT("Table1[Obergruppe ATC-Code]"),Tabelle3!$A87)</f>
        <v>0</v>
      </c>
      <c r="AB87">
        <f ca="1">COUNTIFS(INDIRECT("Table1[Beginn]"),"&lt;="&amp;AB$1,INDIRECT("Table1[Ende]"),"&gt;="&amp;AB$1,INDIRECT("Table1[Obergruppe ATC-Code]"),Tabelle3!$A87)</f>
        <v>0</v>
      </c>
      <c r="AC87">
        <f ca="1">COUNTIFS(INDIRECT("Table1[Beginn]"),"&lt;="&amp;AC$1,INDIRECT("Table1[Ende]"),"&gt;="&amp;AC$1,INDIRECT("Table1[Obergruppe ATC-Code]"),Tabelle3!$A87)</f>
        <v>0</v>
      </c>
      <c r="AD87">
        <f ca="1">COUNTIFS(INDIRECT("Table1[Beginn]"),"&lt;="&amp;AD$1,INDIRECT("Table1[Ende]"),"&gt;="&amp;AD$1,INDIRECT("Table1[Obergruppe ATC-Code]"),Tabelle3!$A87)</f>
        <v>0</v>
      </c>
      <c r="AE87">
        <f ca="1">COUNTIFS(INDIRECT("Table1[Beginn]"),"&lt;="&amp;AE$1,INDIRECT("Table1[Ende]"),"&gt;="&amp;AE$1,INDIRECT("Table1[Obergruppe ATC-Code]"),Tabelle3!$A87)</f>
        <v>0</v>
      </c>
      <c r="AF87">
        <f ca="1">COUNTIFS(INDIRECT("Table1[Beginn]"),"&lt;="&amp;AF$1,INDIRECT("Table1[Ende]"),"&gt;="&amp;AF$1,INDIRECT("Table1[Obergruppe ATC-Code]"),Tabelle3!$A87)</f>
        <v>0</v>
      </c>
      <c r="AG87">
        <f ca="1">COUNTIFS(INDIRECT("Table1[Beginn]"),"&lt;="&amp;AG$1,INDIRECT("Table1[Ende]"),"&gt;="&amp;AG$1,INDIRECT("Table1[Obergruppe ATC-Code]"),Tabelle3!$A87)</f>
        <v>0</v>
      </c>
      <c r="AH87">
        <f ca="1">COUNTIFS(INDIRECT("Table1[Beginn]"),"&lt;="&amp;AH$1,INDIRECT("Table1[Ende]"),"&gt;="&amp;AH$1,INDIRECT("Table1[Obergruppe ATC-Code]"),Tabelle3!$A87)</f>
        <v>0</v>
      </c>
      <c r="AI87">
        <f ca="1">COUNTIFS(INDIRECT("Table1[Beginn]"),"&lt;="&amp;AI$1,INDIRECT("Table1[Ende]"),"&gt;="&amp;AI$1,INDIRECT("Table1[Obergruppe ATC-Code]"),Tabelle3!$A87)</f>
        <v>0</v>
      </c>
      <c r="AJ87">
        <f ca="1">COUNTIFS(INDIRECT("Table1[Beginn]"),"&lt;="&amp;AJ$1,INDIRECT("Table1[Ende]"),"&gt;="&amp;AJ$1,INDIRECT("Table1[Obergruppe ATC-Code]"),Tabelle3!$A87)</f>
        <v>0</v>
      </c>
      <c r="AK87">
        <f ca="1">COUNTIFS(INDIRECT("Table1[Beginn]"),"&lt;="&amp;AK$1,INDIRECT("Table1[Ende]"),"&gt;="&amp;AK$1,INDIRECT("Table1[Obergruppe ATC-Code]"),Tabelle3!$A87)</f>
        <v>0</v>
      </c>
      <c r="AL87">
        <f ca="1">COUNTIFS(INDIRECT("Table1[Beginn]"),"&lt;="&amp;AL$1,INDIRECT("Table1[Ende]"),"&gt;="&amp;AL$1,INDIRECT("Table1[Obergruppe ATC-Code]"),Tabelle3!$A87)</f>
        <v>0</v>
      </c>
      <c r="AM87">
        <f ca="1">COUNTIFS(INDIRECT("Table1[Beginn]"),"&lt;="&amp;AM$1,INDIRECT("Table1[Ende]"),"&gt;="&amp;AM$1,INDIRECT("Table1[Obergruppe ATC-Code]"),Tabelle3!$A87)</f>
        <v>0</v>
      </c>
      <c r="AN87">
        <f ca="1">COUNTIFS(INDIRECT("Table1[Beginn]"),"&lt;="&amp;AN$1,INDIRECT("Table1[Ende]"),"&gt;="&amp;AN$1,INDIRECT("Table1[Obergruppe ATC-Code]"),Tabelle3!$A87)</f>
        <v>0</v>
      </c>
      <c r="AO87">
        <f ca="1">COUNTIFS(INDIRECT("Table1[Beginn]"),"&lt;="&amp;AO$1,INDIRECT("Table1[Ende]"),"&gt;="&amp;AO$1,INDIRECT("Table1[Obergruppe ATC-Code]"),Tabelle3!$A87)</f>
        <v>0</v>
      </c>
      <c r="AP87">
        <f ca="1">COUNTIFS(INDIRECT("Table1[Beginn]"),"&lt;="&amp;AP$1,INDIRECT("Table1[Ende]"),"&gt;="&amp;AP$1,INDIRECT("Table1[Obergruppe ATC-Code]"),Tabelle3!$A87)</f>
        <v>0</v>
      </c>
      <c r="AQ87">
        <f ca="1">COUNTIFS(INDIRECT("Table1[Beginn]"),"&lt;="&amp;AQ$1,INDIRECT("Table1[Ende]"),"&gt;="&amp;AQ$1,INDIRECT("Table1[Obergruppe ATC-Code]"),Tabelle3!$A87)</f>
        <v>0</v>
      </c>
      <c r="AR87">
        <f ca="1">COUNTIFS(INDIRECT("Table1[Beginn]"),"&lt;="&amp;AR$1,INDIRECT("Table1[Ende]"),"&gt;="&amp;AR$1,INDIRECT("Table1[Obergruppe ATC-Code]"),Tabelle3!$A87)</f>
        <v>0</v>
      </c>
      <c r="AS87">
        <f ca="1">COUNTIFS(INDIRECT("Table1[Beginn]"),"&lt;="&amp;AS$1,INDIRECT("Table1[Ende]"),"&gt;="&amp;AS$1,INDIRECT("Table1[Obergruppe ATC-Code]"),Tabelle3!$A87)</f>
        <v>0</v>
      </c>
      <c r="AT87">
        <f ca="1">COUNTIFS(INDIRECT("Table1[Beginn]"),"&lt;="&amp;AT$1,INDIRECT("Table1[Ende]"),"&gt;="&amp;AT$1,INDIRECT("Table1[Obergruppe ATC-Code]"),Tabelle3!$A87)</f>
        <v>0</v>
      </c>
      <c r="AU87">
        <f ca="1">COUNTIFS(INDIRECT("Table1[Beginn]"),"&lt;="&amp;AU$1,INDIRECT("Table1[Ende]"),"&gt;="&amp;AU$1,INDIRECT("Table1[Obergruppe ATC-Code]"),Tabelle3!$A87)</f>
        <v>0</v>
      </c>
      <c r="AV87">
        <f ca="1">COUNTIFS(INDIRECT("Table1[Beginn]"),"&lt;="&amp;AV$1,INDIRECT("Table1[Ende]"),"&gt;="&amp;AV$1,INDIRECT("Table1[Obergruppe ATC-Code]"),Tabelle3!$A87)</f>
        <v>0</v>
      </c>
      <c r="AW87">
        <f ca="1">COUNTIFS(INDIRECT("Table1[Beginn]"),"&lt;="&amp;AW$1,INDIRECT("Table1[Ende]"),"&gt;="&amp;AW$1,INDIRECT("Table1[Obergruppe ATC-Code]"),Tabelle3!$A87)</f>
        <v>0</v>
      </c>
      <c r="AX87">
        <f ca="1">COUNTIFS(INDIRECT("Table1[Beginn]"),"&lt;="&amp;AX$1,INDIRECT("Table1[Ende]"),"&gt;="&amp;AX$1,INDIRECT("Table1[Obergruppe ATC-Code]"),Tabelle3!$A87)</f>
        <v>0</v>
      </c>
      <c r="AY87">
        <f ca="1">COUNTIFS(INDIRECT("Table1[Beginn]"),"&lt;="&amp;AY$1,INDIRECT("Table1[Ende]"),"&gt;="&amp;AY$1,INDIRECT("Table1[Obergruppe ATC-Code]"),Tabelle3!$A87)</f>
        <v>0</v>
      </c>
      <c r="AZ87">
        <f ca="1">COUNTIFS(INDIRECT("Table1[Beginn]"),"&lt;="&amp;AZ$1,INDIRECT("Table1[Ende]"),"&gt;="&amp;AZ$1,INDIRECT("Table1[Obergruppe ATC-Code]"),Tabelle3!$A87)</f>
        <v>0</v>
      </c>
      <c r="BA87">
        <f ca="1">COUNTIFS(INDIRECT("Table1[Beginn]"),"&lt;="&amp;BA$1,INDIRECT("Table1[Ende]"),"&gt;="&amp;BA$1,INDIRECT("Table1[Obergruppe ATC-Code]"),Tabelle3!$A87)</f>
        <v>0</v>
      </c>
      <c r="BB87">
        <f ca="1">COUNTIFS(INDIRECT("Table1[Beginn]"),"&lt;="&amp;BB$1,INDIRECT("Table1[Ende]"),"&gt;="&amp;BB$1,INDIRECT("Table1[Obergruppe ATC-Code]"),Tabelle3!$A87)</f>
        <v>0</v>
      </c>
      <c r="BC87">
        <f ca="1">COUNTIFS(INDIRECT("Table1[Beginn]"),"&lt;="&amp;BC$1,INDIRECT("Table1[Ende]"),"&gt;="&amp;BC$1,INDIRECT("Table1[Obergruppe ATC-Code]"),Tabelle3!$A87)</f>
        <v>0</v>
      </c>
      <c r="BD87">
        <f ca="1">COUNTIFS(INDIRECT("Table1[Beginn]"),"&lt;="&amp;BD$1,INDIRECT("Table1[Ende]"),"&gt;="&amp;BD$1,INDIRECT("Table1[Obergruppe ATC-Code]"),Tabelle3!$A87)</f>
        <v>0</v>
      </c>
      <c r="BE87">
        <f ca="1">COUNTIFS(INDIRECT("Table1[Beginn]"),"&lt;="&amp;BE$1,INDIRECT("Table1[Ende]"),"&gt;="&amp;BE$1,INDIRECT("Table1[Obergruppe ATC-Code]"),Tabelle3!$A87)</f>
        <v>0</v>
      </c>
      <c r="BF87">
        <f ca="1">COUNTIFS(INDIRECT("Table1[Beginn]"),"&lt;="&amp;BF$1,INDIRECT("Table1[Ende]"),"&gt;="&amp;BF$1,INDIRECT("Table1[Obergruppe ATC-Code]"),Tabelle3!$A87)</f>
        <v>0</v>
      </c>
      <c r="BG87">
        <f ca="1">COUNTIFS(INDIRECT("Table1[Beginn]"),"&lt;="&amp;BG$1,INDIRECT("Table1[Ende]"),"&gt;="&amp;BG$1,INDIRECT("Table1[Obergruppe ATC-Code]"),Tabelle3!$A87)</f>
        <v>0</v>
      </c>
      <c r="BH87">
        <f ca="1">COUNTIFS(INDIRECT("Table1[Beginn]"),"&lt;="&amp;BH$1,INDIRECT("Table1[Ende]"),"&gt;="&amp;BH$1,INDIRECT("Table1[Obergruppe ATC-Code]"),Tabelle3!$A87)</f>
        <v>0</v>
      </c>
      <c r="BI87">
        <f ca="1">COUNTIFS(INDIRECT("Table1[Beginn]"),"&lt;="&amp;BI$1,INDIRECT("Table1[Ende]"),"&gt;="&amp;BI$1,INDIRECT("Table1[Obergruppe ATC-Code]"),Tabelle3!$A87)</f>
        <v>0</v>
      </c>
      <c r="BJ87">
        <f ca="1">COUNTIFS(INDIRECT("Table1[Beginn]"),"&lt;="&amp;BJ$1,INDIRECT("Table1[Ende]"),"&gt;="&amp;BJ$1,INDIRECT("Table1[Obergruppe ATC-Code]"),Tabelle3!$A87)</f>
        <v>0</v>
      </c>
      <c r="BK87">
        <f ca="1">COUNTIFS(INDIRECT("Table1[Beginn]"),"&lt;="&amp;BK$1,INDIRECT("Table1[Ende]"),"&gt;="&amp;BK$1,INDIRECT("Table1[Obergruppe ATC-Code]"),Tabelle3!$A87)</f>
        <v>0</v>
      </c>
      <c r="BL87">
        <f ca="1">COUNTIFS(INDIRECT("Table1[Beginn]"),"&lt;="&amp;BL$1,INDIRECT("Table1[Ende]"),"&gt;="&amp;BL$1,INDIRECT("Table1[Obergruppe ATC-Code]"),Tabelle3!$A87)</f>
        <v>0</v>
      </c>
      <c r="BM87">
        <f ca="1">COUNTIFS(INDIRECT("Table1[Beginn]"),"&lt;="&amp;BM$1,INDIRECT("Table1[Ende]"),"&gt;="&amp;BM$1,INDIRECT("Table1[Obergruppe ATC-Code]"),Tabelle3!$A87)</f>
        <v>0</v>
      </c>
      <c r="BN87">
        <f ca="1">COUNTIFS(INDIRECT("Table1[Beginn]"),"&lt;="&amp;BN$1,INDIRECT("Table1[Ende]"),"&gt;="&amp;BN$1,INDIRECT("Table1[Obergruppe ATC-Code]"),Tabelle3!$A87)</f>
        <v>0</v>
      </c>
      <c r="BO87">
        <f ca="1">COUNTIFS(INDIRECT("Table1[Beginn]"),"&lt;="&amp;BO$1,INDIRECT("Table1[Ende]"),"&gt;="&amp;BO$1,INDIRECT("Table1[Obergruppe ATC-Code]"),Tabelle3!$A87)</f>
        <v>0</v>
      </c>
      <c r="BP87">
        <f ca="1">COUNTIFS(INDIRECT("Table1[Beginn]"),"&lt;="&amp;BP$1,INDIRECT("Table1[Ende]"),"&gt;="&amp;BP$1,INDIRECT("Table1[Obergruppe ATC-Code]"),Tabelle3!$A87)</f>
        <v>0</v>
      </c>
      <c r="BQ87">
        <f ca="1">COUNTIFS(INDIRECT("Table1[Beginn]"),"&lt;="&amp;BQ$1,INDIRECT("Table1[Ende]"),"&gt;="&amp;BQ$1,INDIRECT("Table1[Obergruppe ATC-Code]"),Tabelle3!$A87)</f>
        <v>0</v>
      </c>
      <c r="BR87">
        <f ca="1">COUNTIFS(INDIRECT("Table1[Beginn]"),"&lt;="&amp;BR$1,INDIRECT("Table1[Ende]"),"&gt;="&amp;BR$1,INDIRECT("Table1[Obergruppe ATC-Code]"),Tabelle3!$A87)</f>
        <v>0</v>
      </c>
      <c r="BS87">
        <f ca="1">COUNTIFS(INDIRECT("Table1[Beginn]"),"&lt;="&amp;BS$1,INDIRECT("Table1[Ende]"),"&gt;="&amp;BS$1,INDIRECT("Table1[Obergruppe ATC-Code]"),Tabelle3!$A87)</f>
        <v>0</v>
      </c>
      <c r="BT87">
        <f ca="1">COUNTIFS(INDIRECT("Table1[Beginn]"),"&lt;="&amp;BT$1,INDIRECT("Table1[Ende]"),"&gt;="&amp;BT$1,INDIRECT("Table1[Obergruppe ATC-Code]"),Tabelle3!$A87)</f>
        <v>0</v>
      </c>
      <c r="BU87">
        <f ca="1">COUNTIFS(INDIRECT("Table1[Beginn]"),"&lt;="&amp;BU$1,INDIRECT("Table1[Ende]"),"&gt;="&amp;BU$1,INDIRECT("Table1[Obergruppe ATC-Code]"),Tabelle3!$A87)</f>
        <v>0</v>
      </c>
      <c r="BV87">
        <f ca="1">COUNTIFS(INDIRECT("Table1[Beginn]"),"&lt;="&amp;BV$1,INDIRECT("Table1[Ende]"),"&gt;="&amp;BV$1,INDIRECT("Table1[Obergruppe ATC-Code]"),Tabelle3!$A87)</f>
        <v>0</v>
      </c>
      <c r="BW87">
        <f ca="1">COUNTIFS(INDIRECT("Table1[Beginn]"),"&lt;="&amp;BW$1,INDIRECT("Table1[Ende]"),"&gt;="&amp;BW$1,INDIRECT("Table1[Obergruppe ATC-Code]"),Tabelle3!$A87)</f>
        <v>1</v>
      </c>
      <c r="BX87">
        <f ca="1">COUNTIFS(INDIRECT("Table1[Beginn]"),"&lt;="&amp;BX$1,INDIRECT("Table1[Ende]"),"&gt;="&amp;BX$1,INDIRECT("Table1[Obergruppe ATC-Code]"),Tabelle3!$A87)</f>
        <v>1</v>
      </c>
      <c r="BY87">
        <f ca="1">COUNTIFS(INDIRECT("Table1[Beginn]"),"&lt;="&amp;BY$1,INDIRECT("Table1[Ende]"),"&gt;="&amp;BY$1,INDIRECT("Table1[Obergruppe ATC-Code]"),Tabelle3!$A87)</f>
        <v>0</v>
      </c>
      <c r="BZ87">
        <f ca="1">COUNTIFS(INDIRECT("Table1[Beginn]"),"&lt;="&amp;BZ$1,INDIRECT("Table1[Ende]"),"&gt;="&amp;BZ$1,INDIRECT("Table1[Obergruppe ATC-Code]"),Tabelle3!$A87)</f>
        <v>0</v>
      </c>
      <c r="CA87">
        <f ca="1">COUNTIFS(INDIRECT("Table1[Beginn]"),"&lt;="&amp;CA$1,INDIRECT("Table1[Ende]"),"&gt;="&amp;CA$1,INDIRECT("Table1[Obergruppe ATC-Code]"),Tabelle3!$A87)</f>
        <v>1</v>
      </c>
      <c r="CB87">
        <f ca="1">COUNTIFS(INDIRECT("Table1[Beginn]"),"&lt;="&amp;CB$1,INDIRECT("Table1[Ende]"),"&gt;="&amp;CB$1,INDIRECT("Table1[Obergruppe ATC-Code]"),Tabelle3!$A87)</f>
        <v>0</v>
      </c>
      <c r="CC87">
        <f ca="1">COUNTIFS(INDIRECT("Table1[Beginn]"),"&lt;="&amp;CC$1,INDIRECT("Table1[Ende]"),"&gt;="&amp;CC$1,INDIRECT("Table1[Obergruppe ATC-Code]"),Tabelle3!$A87)</f>
        <v>0</v>
      </c>
      <c r="CD87">
        <f ca="1">COUNTIFS(INDIRECT("Table1[Beginn]"),"&lt;="&amp;CD$1,INDIRECT("Table1[Ende]"),"&gt;="&amp;CD$1,INDIRECT("Table1[Obergruppe ATC-Code]"),Tabelle3!$A87)</f>
        <v>0</v>
      </c>
      <c r="CE87">
        <f ca="1">COUNTIFS(INDIRECT("Table1[Beginn]"),"&lt;="&amp;CE$1,INDIRECT("Table1[Ende]"),"&gt;="&amp;CE$1,INDIRECT("Table1[Obergruppe ATC-Code]"),Tabelle3!$A87)</f>
        <v>0</v>
      </c>
      <c r="CF87">
        <f ca="1">COUNTIFS(INDIRECT("Table1[Beginn]"),"&lt;="&amp;CF$1,INDIRECT("Table1[Ende]"),"&gt;="&amp;CF$1,INDIRECT("Table1[Obergruppe ATC-Code]"),Tabelle3!$A87)</f>
        <v>0</v>
      </c>
      <c r="CG87">
        <f ca="1">COUNTIFS(INDIRECT("Table1[Beginn]"),"&lt;="&amp;CG$1,INDIRECT("Table1[Ende]"),"&gt;="&amp;CG$1,INDIRECT("Table1[Obergruppe ATC-Code]"),Tabelle3!$A87)</f>
        <v>0</v>
      </c>
      <c r="CH87">
        <f ca="1">COUNTIFS(INDIRECT("Table1[Beginn]"),"&lt;="&amp;CH$1,INDIRECT("Table1[Ende]"),"&gt;="&amp;CH$1,INDIRECT("Table1[Obergruppe ATC-Code]"),Tabelle3!$A87)</f>
        <v>0</v>
      </c>
      <c r="CI87">
        <f ca="1">COUNTIFS(INDIRECT("Table1[Beginn]"),"&lt;="&amp;CI$1,INDIRECT("Table1[Ende]"),"&gt;="&amp;CI$1,INDIRECT("Table1[Obergruppe ATC-Code]"),Tabelle3!$A87)</f>
        <v>0</v>
      </c>
      <c r="CJ87">
        <f ca="1">COUNTIFS(INDIRECT("Table1[Beginn]"),"&lt;="&amp;CJ$1,INDIRECT("Table1[Ende]"),"&gt;="&amp;CJ$1,INDIRECT("Table1[Obergruppe ATC-Code]"),Tabelle3!$A87)</f>
        <v>0</v>
      </c>
      <c r="CK87">
        <f ca="1">COUNTIFS(INDIRECT("Table1[Beginn]"),"&lt;="&amp;CK$1,INDIRECT("Table1[Ende]"),"&gt;="&amp;CK$1,INDIRECT("Table1[Obergruppe ATC-Code]"),Tabelle3!$A87)</f>
        <v>0</v>
      </c>
      <c r="CL87">
        <f ca="1">COUNTIFS(INDIRECT("Table1[Beginn]"),"&lt;="&amp;CL$1,INDIRECT("Table1[Ende]"),"&gt;="&amp;CL$1,INDIRECT("Table1[Obergruppe ATC-Code]"),Tabelle3!$A87)</f>
        <v>0</v>
      </c>
      <c r="CM87">
        <f ca="1">COUNTIFS(INDIRECT("Table1[Beginn]"),"&lt;="&amp;CM$1,INDIRECT("Table1[Ende]"),"&gt;="&amp;CM$1,INDIRECT("Table1[Obergruppe ATC-Code]"),Tabelle3!$A87)</f>
        <v>0</v>
      </c>
      <c r="CN87">
        <f ca="1">COUNTIFS(INDIRECT("Table1[Beginn]"),"&lt;="&amp;CN$1,INDIRECT("Table1[Ende]"),"&gt;="&amp;CN$1,INDIRECT("Table1[Obergruppe ATC-Code]"),Tabelle3!$A87)</f>
        <v>0</v>
      </c>
      <c r="CO87">
        <f ca="1">COUNTIFS(INDIRECT("Table1[Beginn]"),"&lt;="&amp;CO$1,INDIRECT("Table1[Ende]"),"&gt;="&amp;CO$1,INDIRECT("Table1[Obergruppe ATC-Code]"),Tabelle3!$A87)</f>
        <v>0</v>
      </c>
      <c r="CP87">
        <f ca="1">COUNTIFS(INDIRECT("Table1[Beginn]"),"&lt;="&amp;CP$1,INDIRECT("Table1[Ende]"),"&gt;="&amp;CP$1,INDIRECT("Table1[Obergruppe ATC-Code]"),Tabelle3!$A87)</f>
        <v>0</v>
      </c>
      <c r="CQ87">
        <f ca="1">COUNTIFS(INDIRECT("Table1[Beginn]"),"&lt;="&amp;CQ$1,INDIRECT("Table1[Ende]"),"&gt;="&amp;CQ$1,INDIRECT("Table1[Obergruppe ATC-Code]"),Tabelle3!$A87)</f>
        <v>0</v>
      </c>
      <c r="CR87">
        <f ca="1">COUNTIFS(INDIRECT("Table1[Beginn]"),"&lt;="&amp;CR$1,INDIRECT("Table1[Ende]"),"&gt;="&amp;CR$1,INDIRECT("Table1[Obergruppe ATC-Code]"),Tabelle3!$A87)</f>
        <v>0</v>
      </c>
    </row>
    <row r="88" spans="1:96" ht="18">
      <c r="A88" s="7" t="s">
        <v>6944</v>
      </c>
      <c r="B88" s="8" t="s">
        <v>6945</v>
      </c>
      <c r="C88">
        <f ca="1">COUNTIFS(INDIRECT("Table1[Beginn]"),"&lt;="&amp;C$1,INDIRECT("Table1[Ende]"),"&gt;="&amp;C$1,INDIRECT("Table1[Obergruppe ATC-Code]"),Tabelle3!$A88)</f>
        <v>0</v>
      </c>
      <c r="D88">
        <f ca="1">COUNTIFS(INDIRECT("Table1[Beginn]"),"&lt;="&amp;D$1,INDIRECT("Table1[Ende]"),"&gt;="&amp;D$1,INDIRECT("Table1[Obergruppe ATC-Code]"),Tabelle3!$A88)</f>
        <v>0</v>
      </c>
      <c r="E88">
        <f ca="1">COUNTIFS(INDIRECT("Table1[Beginn]"),"&lt;="&amp;E$1,INDIRECT("Table1[Ende]"),"&gt;="&amp;E$1,INDIRECT("Table1[Obergruppe ATC-Code]"),Tabelle3!$A88)</f>
        <v>0</v>
      </c>
      <c r="F88">
        <f ca="1">COUNTIFS(INDIRECT("Table1[Beginn]"),"&lt;="&amp;F$1,INDIRECT("Table1[Ende]"),"&gt;="&amp;F$1,INDIRECT("Table1[Obergruppe ATC-Code]"),Tabelle3!$A88)</f>
        <v>0</v>
      </c>
      <c r="G88">
        <f ca="1">COUNTIFS(INDIRECT("Table1[Beginn]"),"&lt;="&amp;G$1,INDIRECT("Table1[Ende]"),"&gt;="&amp;G$1,INDIRECT("Table1[Obergruppe ATC-Code]"),Tabelle3!$A88)</f>
        <v>0</v>
      </c>
      <c r="H88">
        <f ca="1">COUNTIFS(INDIRECT("Table1[Beginn]"),"&lt;="&amp;H$1,INDIRECT("Table1[Ende]"),"&gt;="&amp;H$1,INDIRECT("Table1[Obergruppe ATC-Code]"),Tabelle3!$A88)</f>
        <v>0</v>
      </c>
      <c r="I88">
        <f ca="1">COUNTIFS(INDIRECT("Table1[Beginn]"),"&lt;="&amp;I$1,INDIRECT("Table1[Ende]"),"&gt;="&amp;I$1,INDIRECT("Table1[Obergruppe ATC-Code]"),Tabelle3!$A88)</f>
        <v>0</v>
      </c>
      <c r="J88">
        <f ca="1">COUNTIFS(INDIRECT("Table1[Beginn]"),"&lt;="&amp;J$1,INDIRECT("Table1[Ende]"),"&gt;="&amp;J$1,INDIRECT("Table1[Obergruppe ATC-Code]"),Tabelle3!$A88)</f>
        <v>0</v>
      </c>
      <c r="K88">
        <f ca="1">COUNTIFS(INDIRECT("Table1[Beginn]"),"&lt;="&amp;K$1,INDIRECT("Table1[Ende]"),"&gt;="&amp;K$1,INDIRECT("Table1[Obergruppe ATC-Code]"),Tabelle3!$A88)</f>
        <v>0</v>
      </c>
      <c r="L88">
        <f ca="1">COUNTIFS(INDIRECT("Table1[Beginn]"),"&lt;="&amp;L$1,INDIRECT("Table1[Ende]"),"&gt;="&amp;L$1,INDIRECT("Table1[Obergruppe ATC-Code]"),Tabelle3!$A88)</f>
        <v>0</v>
      </c>
      <c r="M88">
        <f ca="1">COUNTIFS(INDIRECT("Table1[Beginn]"),"&lt;="&amp;M$1,INDIRECT("Table1[Ende]"),"&gt;="&amp;M$1,INDIRECT("Table1[Obergruppe ATC-Code]"),Tabelle3!$A88)</f>
        <v>0</v>
      </c>
      <c r="N88">
        <f ca="1">COUNTIFS(INDIRECT("Table1[Beginn]"),"&lt;="&amp;N$1,INDIRECT("Table1[Ende]"),"&gt;="&amp;N$1,INDIRECT("Table1[Obergruppe ATC-Code]"),Tabelle3!$A88)</f>
        <v>0</v>
      </c>
      <c r="O88">
        <f ca="1">COUNTIFS(INDIRECT("Table1[Beginn]"),"&lt;="&amp;O$1,INDIRECT("Table1[Ende]"),"&gt;="&amp;O$1,INDIRECT("Table1[Obergruppe ATC-Code]"),Tabelle3!$A88)</f>
        <v>0</v>
      </c>
      <c r="P88">
        <f ca="1">COUNTIFS(INDIRECT("Table1[Beginn]"),"&lt;="&amp;P$1,INDIRECT("Table1[Ende]"),"&gt;="&amp;P$1,INDIRECT("Table1[Obergruppe ATC-Code]"),Tabelle3!$A88)</f>
        <v>0</v>
      </c>
      <c r="Q88">
        <f ca="1">COUNTIFS(INDIRECT("Table1[Beginn]"),"&lt;="&amp;Q$1,INDIRECT("Table1[Ende]"),"&gt;="&amp;Q$1,INDIRECT("Table1[Obergruppe ATC-Code]"),Tabelle3!$A88)</f>
        <v>0</v>
      </c>
      <c r="R88">
        <f ca="1">COUNTIFS(INDIRECT("Table1[Beginn]"),"&lt;="&amp;R$1,INDIRECT("Table1[Ende]"),"&gt;="&amp;R$1,INDIRECT("Table1[Obergruppe ATC-Code]"),Tabelle3!$A88)</f>
        <v>0</v>
      </c>
      <c r="S88">
        <f ca="1">COUNTIFS(INDIRECT("Table1[Beginn]"),"&lt;="&amp;S$1,INDIRECT("Table1[Ende]"),"&gt;="&amp;S$1,INDIRECT("Table1[Obergruppe ATC-Code]"),Tabelle3!$A88)</f>
        <v>0</v>
      </c>
      <c r="T88">
        <f ca="1">COUNTIFS(INDIRECT("Table1[Beginn]"),"&lt;="&amp;T$1,INDIRECT("Table1[Ende]"),"&gt;="&amp;T$1,INDIRECT("Table1[Obergruppe ATC-Code]"),Tabelle3!$A88)</f>
        <v>0</v>
      </c>
      <c r="U88">
        <f ca="1">COUNTIFS(INDIRECT("Table1[Beginn]"),"&lt;="&amp;U$1,INDIRECT("Table1[Ende]"),"&gt;="&amp;U$1,INDIRECT("Table1[Obergruppe ATC-Code]"),Tabelle3!$A88)</f>
        <v>0</v>
      </c>
      <c r="V88">
        <f ca="1">COUNTIFS(INDIRECT("Table1[Beginn]"),"&lt;="&amp;V$1,INDIRECT("Table1[Ende]"),"&gt;="&amp;V$1,INDIRECT("Table1[Obergruppe ATC-Code]"),Tabelle3!$A88)</f>
        <v>0</v>
      </c>
      <c r="W88">
        <f ca="1">COUNTIFS(INDIRECT("Table1[Beginn]"),"&lt;="&amp;W$1,INDIRECT("Table1[Ende]"),"&gt;="&amp;W$1,INDIRECT("Table1[Obergruppe ATC-Code]"),Tabelle3!$A88)</f>
        <v>0</v>
      </c>
      <c r="X88">
        <f ca="1">COUNTIFS(INDIRECT("Table1[Beginn]"),"&lt;="&amp;X$1,INDIRECT("Table1[Ende]"),"&gt;="&amp;X$1,INDIRECT("Table1[Obergruppe ATC-Code]"),Tabelle3!$A88)</f>
        <v>0</v>
      </c>
      <c r="Y88">
        <f ca="1">COUNTIFS(INDIRECT("Table1[Beginn]"),"&lt;="&amp;Y$1,INDIRECT("Table1[Ende]"),"&gt;="&amp;Y$1,INDIRECT("Table1[Obergruppe ATC-Code]"),Tabelle3!$A88)</f>
        <v>0</v>
      </c>
      <c r="Z88">
        <f ca="1">COUNTIFS(INDIRECT("Table1[Beginn]"),"&lt;="&amp;Z$1,INDIRECT("Table1[Ende]"),"&gt;="&amp;Z$1,INDIRECT("Table1[Obergruppe ATC-Code]"),Tabelle3!$A88)</f>
        <v>0</v>
      </c>
      <c r="AA88">
        <f ca="1">COUNTIFS(INDIRECT("Table1[Beginn]"),"&lt;="&amp;AA$1,INDIRECT("Table1[Ende]"),"&gt;="&amp;AA$1,INDIRECT("Table1[Obergruppe ATC-Code]"),Tabelle3!$A88)</f>
        <v>0</v>
      </c>
      <c r="AB88">
        <f ca="1">COUNTIFS(INDIRECT("Table1[Beginn]"),"&lt;="&amp;AB$1,INDIRECT("Table1[Ende]"),"&gt;="&amp;AB$1,INDIRECT("Table1[Obergruppe ATC-Code]"),Tabelle3!$A88)</f>
        <v>0</v>
      </c>
      <c r="AC88">
        <f ca="1">COUNTIFS(INDIRECT("Table1[Beginn]"),"&lt;="&amp;AC$1,INDIRECT("Table1[Ende]"),"&gt;="&amp;AC$1,INDIRECT("Table1[Obergruppe ATC-Code]"),Tabelle3!$A88)</f>
        <v>0</v>
      </c>
      <c r="AD88">
        <f ca="1">COUNTIFS(INDIRECT("Table1[Beginn]"),"&lt;="&amp;AD$1,INDIRECT("Table1[Ende]"),"&gt;="&amp;AD$1,INDIRECT("Table1[Obergruppe ATC-Code]"),Tabelle3!$A88)</f>
        <v>0</v>
      </c>
      <c r="AE88">
        <f ca="1">COUNTIFS(INDIRECT("Table1[Beginn]"),"&lt;="&amp;AE$1,INDIRECT("Table1[Ende]"),"&gt;="&amp;AE$1,INDIRECT("Table1[Obergruppe ATC-Code]"),Tabelle3!$A88)</f>
        <v>0</v>
      </c>
      <c r="AF88">
        <f ca="1">COUNTIFS(INDIRECT("Table1[Beginn]"),"&lt;="&amp;AF$1,INDIRECT("Table1[Ende]"),"&gt;="&amp;AF$1,INDIRECT("Table1[Obergruppe ATC-Code]"),Tabelle3!$A88)</f>
        <v>0</v>
      </c>
      <c r="AG88">
        <f ca="1">COUNTIFS(INDIRECT("Table1[Beginn]"),"&lt;="&amp;AG$1,INDIRECT("Table1[Ende]"),"&gt;="&amp;AG$1,INDIRECT("Table1[Obergruppe ATC-Code]"),Tabelle3!$A88)</f>
        <v>0</v>
      </c>
      <c r="AH88">
        <f ca="1">COUNTIFS(INDIRECT("Table1[Beginn]"),"&lt;="&amp;AH$1,INDIRECT("Table1[Ende]"),"&gt;="&amp;AH$1,INDIRECT("Table1[Obergruppe ATC-Code]"),Tabelle3!$A88)</f>
        <v>0</v>
      </c>
      <c r="AI88">
        <f ca="1">COUNTIFS(INDIRECT("Table1[Beginn]"),"&lt;="&amp;AI$1,INDIRECT("Table1[Ende]"),"&gt;="&amp;AI$1,INDIRECT("Table1[Obergruppe ATC-Code]"),Tabelle3!$A88)</f>
        <v>0</v>
      </c>
      <c r="AJ88">
        <f ca="1">COUNTIFS(INDIRECT("Table1[Beginn]"),"&lt;="&amp;AJ$1,INDIRECT("Table1[Ende]"),"&gt;="&amp;AJ$1,INDIRECT("Table1[Obergruppe ATC-Code]"),Tabelle3!$A88)</f>
        <v>0</v>
      </c>
      <c r="AK88">
        <f ca="1">COUNTIFS(INDIRECT("Table1[Beginn]"),"&lt;="&amp;AK$1,INDIRECT("Table1[Ende]"),"&gt;="&amp;AK$1,INDIRECT("Table1[Obergruppe ATC-Code]"),Tabelle3!$A88)</f>
        <v>0</v>
      </c>
      <c r="AL88">
        <f ca="1">COUNTIFS(INDIRECT("Table1[Beginn]"),"&lt;="&amp;AL$1,INDIRECT("Table1[Ende]"),"&gt;="&amp;AL$1,INDIRECT("Table1[Obergruppe ATC-Code]"),Tabelle3!$A88)</f>
        <v>0</v>
      </c>
      <c r="AM88">
        <f ca="1">COUNTIFS(INDIRECT("Table1[Beginn]"),"&lt;="&amp;AM$1,INDIRECT("Table1[Ende]"),"&gt;="&amp;AM$1,INDIRECT("Table1[Obergruppe ATC-Code]"),Tabelle3!$A88)</f>
        <v>0</v>
      </c>
      <c r="AN88">
        <f ca="1">COUNTIFS(INDIRECT("Table1[Beginn]"),"&lt;="&amp;AN$1,INDIRECT("Table1[Ende]"),"&gt;="&amp;AN$1,INDIRECT("Table1[Obergruppe ATC-Code]"),Tabelle3!$A88)</f>
        <v>0</v>
      </c>
      <c r="AO88">
        <f ca="1">COUNTIFS(INDIRECT("Table1[Beginn]"),"&lt;="&amp;AO$1,INDIRECT("Table1[Ende]"),"&gt;="&amp;AO$1,INDIRECT("Table1[Obergruppe ATC-Code]"),Tabelle3!$A88)</f>
        <v>0</v>
      </c>
      <c r="AP88">
        <f ca="1">COUNTIFS(INDIRECT("Table1[Beginn]"),"&lt;="&amp;AP$1,INDIRECT("Table1[Ende]"),"&gt;="&amp;AP$1,INDIRECT("Table1[Obergruppe ATC-Code]"),Tabelle3!$A88)</f>
        <v>0</v>
      </c>
      <c r="AQ88">
        <f ca="1">COUNTIFS(INDIRECT("Table1[Beginn]"),"&lt;="&amp;AQ$1,INDIRECT("Table1[Ende]"),"&gt;="&amp;AQ$1,INDIRECT("Table1[Obergruppe ATC-Code]"),Tabelle3!$A88)</f>
        <v>0</v>
      </c>
      <c r="AR88">
        <f ca="1">COUNTIFS(INDIRECT("Table1[Beginn]"),"&lt;="&amp;AR$1,INDIRECT("Table1[Ende]"),"&gt;="&amp;AR$1,INDIRECT("Table1[Obergruppe ATC-Code]"),Tabelle3!$A88)</f>
        <v>0</v>
      </c>
      <c r="AS88">
        <f ca="1">COUNTIFS(INDIRECT("Table1[Beginn]"),"&lt;="&amp;AS$1,INDIRECT("Table1[Ende]"),"&gt;="&amp;AS$1,INDIRECT("Table1[Obergruppe ATC-Code]"),Tabelle3!$A88)</f>
        <v>0</v>
      </c>
      <c r="AT88">
        <f ca="1">COUNTIFS(INDIRECT("Table1[Beginn]"),"&lt;="&amp;AT$1,INDIRECT("Table1[Ende]"),"&gt;="&amp;AT$1,INDIRECT("Table1[Obergruppe ATC-Code]"),Tabelle3!$A88)</f>
        <v>0</v>
      </c>
      <c r="AU88">
        <f ca="1">COUNTIFS(INDIRECT("Table1[Beginn]"),"&lt;="&amp;AU$1,INDIRECT("Table1[Ende]"),"&gt;="&amp;AU$1,INDIRECT("Table1[Obergruppe ATC-Code]"),Tabelle3!$A88)</f>
        <v>0</v>
      </c>
      <c r="AV88">
        <f ca="1">COUNTIFS(INDIRECT("Table1[Beginn]"),"&lt;="&amp;AV$1,INDIRECT("Table1[Ende]"),"&gt;="&amp;AV$1,INDIRECT("Table1[Obergruppe ATC-Code]"),Tabelle3!$A88)</f>
        <v>0</v>
      </c>
      <c r="AW88">
        <f ca="1">COUNTIFS(INDIRECT("Table1[Beginn]"),"&lt;="&amp;AW$1,INDIRECT("Table1[Ende]"),"&gt;="&amp;AW$1,INDIRECT("Table1[Obergruppe ATC-Code]"),Tabelle3!$A88)</f>
        <v>0</v>
      </c>
      <c r="AX88">
        <f ca="1">COUNTIFS(INDIRECT("Table1[Beginn]"),"&lt;="&amp;AX$1,INDIRECT("Table1[Ende]"),"&gt;="&amp;AX$1,INDIRECT("Table1[Obergruppe ATC-Code]"),Tabelle3!$A88)</f>
        <v>0</v>
      </c>
      <c r="AY88">
        <f ca="1">COUNTIFS(INDIRECT("Table1[Beginn]"),"&lt;="&amp;AY$1,INDIRECT("Table1[Ende]"),"&gt;="&amp;AY$1,INDIRECT("Table1[Obergruppe ATC-Code]"),Tabelle3!$A88)</f>
        <v>0</v>
      </c>
      <c r="AZ88">
        <f ca="1">COUNTIFS(INDIRECT("Table1[Beginn]"),"&lt;="&amp;AZ$1,INDIRECT("Table1[Ende]"),"&gt;="&amp;AZ$1,INDIRECT("Table1[Obergruppe ATC-Code]"),Tabelle3!$A88)</f>
        <v>0</v>
      </c>
      <c r="BA88">
        <f ca="1">COUNTIFS(INDIRECT("Table1[Beginn]"),"&lt;="&amp;BA$1,INDIRECT("Table1[Ende]"),"&gt;="&amp;BA$1,INDIRECT("Table1[Obergruppe ATC-Code]"),Tabelle3!$A88)</f>
        <v>0</v>
      </c>
      <c r="BB88">
        <f ca="1">COUNTIFS(INDIRECT("Table1[Beginn]"),"&lt;="&amp;BB$1,INDIRECT("Table1[Ende]"),"&gt;="&amp;BB$1,INDIRECT("Table1[Obergruppe ATC-Code]"),Tabelle3!$A88)</f>
        <v>0</v>
      </c>
      <c r="BC88">
        <f ca="1">COUNTIFS(INDIRECT("Table1[Beginn]"),"&lt;="&amp;BC$1,INDIRECT("Table1[Ende]"),"&gt;="&amp;BC$1,INDIRECT("Table1[Obergruppe ATC-Code]"),Tabelle3!$A88)</f>
        <v>0</v>
      </c>
      <c r="BD88">
        <f ca="1">COUNTIFS(INDIRECT("Table1[Beginn]"),"&lt;="&amp;BD$1,INDIRECT("Table1[Ende]"),"&gt;="&amp;BD$1,INDIRECT("Table1[Obergruppe ATC-Code]"),Tabelle3!$A88)</f>
        <v>0</v>
      </c>
      <c r="BE88">
        <f ca="1">COUNTIFS(INDIRECT("Table1[Beginn]"),"&lt;="&amp;BE$1,INDIRECT("Table1[Ende]"),"&gt;="&amp;BE$1,INDIRECT("Table1[Obergruppe ATC-Code]"),Tabelle3!$A88)</f>
        <v>0</v>
      </c>
      <c r="BF88">
        <f ca="1">COUNTIFS(INDIRECT("Table1[Beginn]"),"&lt;="&amp;BF$1,INDIRECT("Table1[Ende]"),"&gt;="&amp;BF$1,INDIRECT("Table1[Obergruppe ATC-Code]"),Tabelle3!$A88)</f>
        <v>0</v>
      </c>
      <c r="BG88">
        <f ca="1">COUNTIFS(INDIRECT("Table1[Beginn]"),"&lt;="&amp;BG$1,INDIRECT("Table1[Ende]"),"&gt;="&amp;BG$1,INDIRECT("Table1[Obergruppe ATC-Code]"),Tabelle3!$A88)</f>
        <v>0</v>
      </c>
      <c r="BH88">
        <f ca="1">COUNTIFS(INDIRECT("Table1[Beginn]"),"&lt;="&amp;BH$1,INDIRECT("Table1[Ende]"),"&gt;="&amp;BH$1,INDIRECT("Table1[Obergruppe ATC-Code]"),Tabelle3!$A88)</f>
        <v>0</v>
      </c>
      <c r="BI88">
        <f ca="1">COUNTIFS(INDIRECT("Table1[Beginn]"),"&lt;="&amp;BI$1,INDIRECT("Table1[Ende]"),"&gt;="&amp;BI$1,INDIRECT("Table1[Obergruppe ATC-Code]"),Tabelle3!$A88)</f>
        <v>0</v>
      </c>
      <c r="BJ88">
        <f ca="1">COUNTIFS(INDIRECT("Table1[Beginn]"),"&lt;="&amp;BJ$1,INDIRECT("Table1[Ende]"),"&gt;="&amp;BJ$1,INDIRECT("Table1[Obergruppe ATC-Code]"),Tabelle3!$A88)</f>
        <v>0</v>
      </c>
      <c r="BK88">
        <f ca="1">COUNTIFS(INDIRECT("Table1[Beginn]"),"&lt;="&amp;BK$1,INDIRECT("Table1[Ende]"),"&gt;="&amp;BK$1,INDIRECT("Table1[Obergruppe ATC-Code]"),Tabelle3!$A88)</f>
        <v>0</v>
      </c>
      <c r="BL88">
        <f ca="1">COUNTIFS(INDIRECT("Table1[Beginn]"),"&lt;="&amp;BL$1,INDIRECT("Table1[Ende]"),"&gt;="&amp;BL$1,INDIRECT("Table1[Obergruppe ATC-Code]"),Tabelle3!$A88)</f>
        <v>0</v>
      </c>
      <c r="BM88">
        <f ca="1">COUNTIFS(INDIRECT("Table1[Beginn]"),"&lt;="&amp;BM$1,INDIRECT("Table1[Ende]"),"&gt;="&amp;BM$1,INDIRECT("Table1[Obergruppe ATC-Code]"),Tabelle3!$A88)</f>
        <v>0</v>
      </c>
      <c r="BN88">
        <f ca="1">COUNTIFS(INDIRECT("Table1[Beginn]"),"&lt;="&amp;BN$1,INDIRECT("Table1[Ende]"),"&gt;="&amp;BN$1,INDIRECT("Table1[Obergruppe ATC-Code]"),Tabelle3!$A88)</f>
        <v>0</v>
      </c>
      <c r="BO88">
        <f ca="1">COUNTIFS(INDIRECT("Table1[Beginn]"),"&lt;="&amp;BO$1,INDIRECT("Table1[Ende]"),"&gt;="&amp;BO$1,INDIRECT("Table1[Obergruppe ATC-Code]"),Tabelle3!$A88)</f>
        <v>0</v>
      </c>
      <c r="BP88">
        <f ca="1">COUNTIFS(INDIRECT("Table1[Beginn]"),"&lt;="&amp;BP$1,INDIRECT("Table1[Ende]"),"&gt;="&amp;BP$1,INDIRECT("Table1[Obergruppe ATC-Code]"),Tabelle3!$A88)</f>
        <v>0</v>
      </c>
      <c r="BQ88">
        <f ca="1">COUNTIFS(INDIRECT("Table1[Beginn]"),"&lt;="&amp;BQ$1,INDIRECT("Table1[Ende]"),"&gt;="&amp;BQ$1,INDIRECT("Table1[Obergruppe ATC-Code]"),Tabelle3!$A88)</f>
        <v>0</v>
      </c>
      <c r="BR88">
        <f ca="1">COUNTIFS(INDIRECT("Table1[Beginn]"),"&lt;="&amp;BR$1,INDIRECT("Table1[Ende]"),"&gt;="&amp;BR$1,INDIRECT("Table1[Obergruppe ATC-Code]"),Tabelle3!$A88)</f>
        <v>0</v>
      </c>
      <c r="BS88">
        <f ca="1">COUNTIFS(INDIRECT("Table1[Beginn]"),"&lt;="&amp;BS$1,INDIRECT("Table1[Ende]"),"&gt;="&amp;BS$1,INDIRECT("Table1[Obergruppe ATC-Code]"),Tabelle3!$A88)</f>
        <v>0</v>
      </c>
      <c r="BT88">
        <f ca="1">COUNTIFS(INDIRECT("Table1[Beginn]"),"&lt;="&amp;BT$1,INDIRECT("Table1[Ende]"),"&gt;="&amp;BT$1,INDIRECT("Table1[Obergruppe ATC-Code]"),Tabelle3!$A88)</f>
        <v>0</v>
      </c>
      <c r="BU88">
        <f ca="1">COUNTIFS(INDIRECT("Table1[Beginn]"),"&lt;="&amp;BU$1,INDIRECT("Table1[Ende]"),"&gt;="&amp;BU$1,INDIRECT("Table1[Obergruppe ATC-Code]"),Tabelle3!$A88)</f>
        <v>0</v>
      </c>
      <c r="BV88">
        <f ca="1">COUNTIFS(INDIRECT("Table1[Beginn]"),"&lt;="&amp;BV$1,INDIRECT("Table1[Ende]"),"&gt;="&amp;BV$1,INDIRECT("Table1[Obergruppe ATC-Code]"),Tabelle3!$A88)</f>
        <v>0</v>
      </c>
      <c r="BW88">
        <f ca="1">COUNTIFS(INDIRECT("Table1[Beginn]"),"&lt;="&amp;BW$1,INDIRECT("Table1[Ende]"),"&gt;="&amp;BW$1,INDIRECT("Table1[Obergruppe ATC-Code]"),Tabelle3!$A88)</f>
        <v>0</v>
      </c>
      <c r="BX88">
        <f ca="1">COUNTIFS(INDIRECT("Table1[Beginn]"),"&lt;="&amp;BX$1,INDIRECT("Table1[Ende]"),"&gt;="&amp;BX$1,INDIRECT("Table1[Obergruppe ATC-Code]"),Tabelle3!$A88)</f>
        <v>0</v>
      </c>
      <c r="BY88">
        <f ca="1">COUNTIFS(INDIRECT("Table1[Beginn]"),"&lt;="&amp;BY$1,INDIRECT("Table1[Ende]"),"&gt;="&amp;BY$1,INDIRECT("Table1[Obergruppe ATC-Code]"),Tabelle3!$A88)</f>
        <v>0</v>
      </c>
      <c r="BZ88">
        <f ca="1">COUNTIFS(INDIRECT("Table1[Beginn]"),"&lt;="&amp;BZ$1,INDIRECT("Table1[Ende]"),"&gt;="&amp;BZ$1,INDIRECT("Table1[Obergruppe ATC-Code]"),Tabelle3!$A88)</f>
        <v>0</v>
      </c>
      <c r="CA88">
        <f ca="1">COUNTIFS(INDIRECT("Table1[Beginn]"),"&lt;="&amp;CA$1,INDIRECT("Table1[Ende]"),"&gt;="&amp;CA$1,INDIRECT("Table1[Obergruppe ATC-Code]"),Tabelle3!$A88)</f>
        <v>0</v>
      </c>
      <c r="CB88">
        <f ca="1">COUNTIFS(INDIRECT("Table1[Beginn]"),"&lt;="&amp;CB$1,INDIRECT("Table1[Ende]"),"&gt;="&amp;CB$1,INDIRECT("Table1[Obergruppe ATC-Code]"),Tabelle3!$A88)</f>
        <v>0</v>
      </c>
      <c r="CC88">
        <f ca="1">COUNTIFS(INDIRECT("Table1[Beginn]"),"&lt;="&amp;CC$1,INDIRECT("Table1[Ende]"),"&gt;="&amp;CC$1,INDIRECT("Table1[Obergruppe ATC-Code]"),Tabelle3!$A88)</f>
        <v>0</v>
      </c>
      <c r="CD88">
        <f ca="1">COUNTIFS(INDIRECT("Table1[Beginn]"),"&lt;="&amp;CD$1,INDIRECT("Table1[Ende]"),"&gt;="&amp;CD$1,INDIRECT("Table1[Obergruppe ATC-Code]"),Tabelle3!$A88)</f>
        <v>0</v>
      </c>
      <c r="CE88">
        <f ca="1">COUNTIFS(INDIRECT("Table1[Beginn]"),"&lt;="&amp;CE$1,INDIRECT("Table1[Ende]"),"&gt;="&amp;CE$1,INDIRECT("Table1[Obergruppe ATC-Code]"),Tabelle3!$A88)</f>
        <v>0</v>
      </c>
      <c r="CF88">
        <f ca="1">COUNTIFS(INDIRECT("Table1[Beginn]"),"&lt;="&amp;CF$1,INDIRECT("Table1[Ende]"),"&gt;="&amp;CF$1,INDIRECT("Table1[Obergruppe ATC-Code]"),Tabelle3!$A88)</f>
        <v>0</v>
      </c>
      <c r="CG88">
        <f ca="1">COUNTIFS(INDIRECT("Table1[Beginn]"),"&lt;="&amp;CG$1,INDIRECT("Table1[Ende]"),"&gt;="&amp;CG$1,INDIRECT("Table1[Obergruppe ATC-Code]"),Tabelle3!$A88)</f>
        <v>0</v>
      </c>
      <c r="CH88">
        <f ca="1">COUNTIFS(INDIRECT("Table1[Beginn]"),"&lt;="&amp;CH$1,INDIRECT("Table1[Ende]"),"&gt;="&amp;CH$1,INDIRECT("Table1[Obergruppe ATC-Code]"),Tabelle3!$A88)</f>
        <v>0</v>
      </c>
      <c r="CI88">
        <f ca="1">COUNTIFS(INDIRECT("Table1[Beginn]"),"&lt;="&amp;CI$1,INDIRECT("Table1[Ende]"),"&gt;="&amp;CI$1,INDIRECT("Table1[Obergruppe ATC-Code]"),Tabelle3!$A88)</f>
        <v>0</v>
      </c>
      <c r="CJ88">
        <f ca="1">COUNTIFS(INDIRECT("Table1[Beginn]"),"&lt;="&amp;CJ$1,INDIRECT("Table1[Ende]"),"&gt;="&amp;CJ$1,INDIRECT("Table1[Obergruppe ATC-Code]"),Tabelle3!$A88)</f>
        <v>0</v>
      </c>
      <c r="CK88">
        <f ca="1">COUNTIFS(INDIRECT("Table1[Beginn]"),"&lt;="&amp;CK$1,INDIRECT("Table1[Ende]"),"&gt;="&amp;CK$1,INDIRECT("Table1[Obergruppe ATC-Code]"),Tabelle3!$A88)</f>
        <v>0</v>
      </c>
      <c r="CL88">
        <f ca="1">COUNTIFS(INDIRECT("Table1[Beginn]"),"&lt;="&amp;CL$1,INDIRECT("Table1[Ende]"),"&gt;="&amp;CL$1,INDIRECT("Table1[Obergruppe ATC-Code]"),Tabelle3!$A88)</f>
        <v>0</v>
      </c>
      <c r="CM88">
        <f ca="1">COUNTIFS(INDIRECT("Table1[Beginn]"),"&lt;="&amp;CM$1,INDIRECT("Table1[Ende]"),"&gt;="&amp;CM$1,INDIRECT("Table1[Obergruppe ATC-Code]"),Tabelle3!$A88)</f>
        <v>0</v>
      </c>
      <c r="CN88">
        <f ca="1">COUNTIFS(INDIRECT("Table1[Beginn]"),"&lt;="&amp;CN$1,INDIRECT("Table1[Ende]"),"&gt;="&amp;CN$1,INDIRECT("Table1[Obergruppe ATC-Code]"),Tabelle3!$A88)</f>
        <v>0</v>
      </c>
      <c r="CO88">
        <f ca="1">COUNTIFS(INDIRECT("Table1[Beginn]"),"&lt;="&amp;CO$1,INDIRECT("Table1[Ende]"),"&gt;="&amp;CO$1,INDIRECT("Table1[Obergruppe ATC-Code]"),Tabelle3!$A88)</f>
        <v>0</v>
      </c>
      <c r="CP88">
        <f ca="1">COUNTIFS(INDIRECT("Table1[Beginn]"),"&lt;="&amp;CP$1,INDIRECT("Table1[Ende]"),"&gt;="&amp;CP$1,INDIRECT("Table1[Obergruppe ATC-Code]"),Tabelle3!$A88)</f>
        <v>0</v>
      </c>
      <c r="CQ88">
        <f ca="1">COUNTIFS(INDIRECT("Table1[Beginn]"),"&lt;="&amp;CQ$1,INDIRECT("Table1[Ende]"),"&gt;="&amp;CQ$1,INDIRECT("Table1[Obergruppe ATC-Code]"),Tabelle3!$A88)</f>
        <v>0</v>
      </c>
      <c r="CR88">
        <f ca="1">COUNTIFS(INDIRECT("Table1[Beginn]"),"&lt;="&amp;CR$1,INDIRECT("Table1[Ende]"),"&gt;="&amp;CR$1,INDIRECT("Table1[Obergruppe ATC-Code]"),Tabelle3!$A88)</f>
        <v>0</v>
      </c>
    </row>
    <row r="89" spans="1:96" ht="18">
      <c r="A89" s="9" t="s">
        <v>6946</v>
      </c>
      <c r="B89" s="10" t="s">
        <v>6947</v>
      </c>
      <c r="C89">
        <f ca="1">COUNTIFS(INDIRECT("Table1[Beginn]"),"&lt;="&amp;C$1,INDIRECT("Table1[Ende]"),"&gt;="&amp;C$1,INDIRECT("Table1[Obergruppe ATC-Code]"),Tabelle3!$A89)</f>
        <v>0</v>
      </c>
      <c r="D89">
        <f ca="1">COUNTIFS(INDIRECT("Table1[Beginn]"),"&lt;="&amp;D$1,INDIRECT("Table1[Ende]"),"&gt;="&amp;D$1,INDIRECT("Table1[Obergruppe ATC-Code]"),Tabelle3!$A89)</f>
        <v>0</v>
      </c>
      <c r="E89">
        <f ca="1">COUNTIFS(INDIRECT("Table1[Beginn]"),"&lt;="&amp;E$1,INDIRECT("Table1[Ende]"),"&gt;="&amp;E$1,INDIRECT("Table1[Obergruppe ATC-Code]"),Tabelle3!$A89)</f>
        <v>0</v>
      </c>
      <c r="F89">
        <f ca="1">COUNTIFS(INDIRECT("Table1[Beginn]"),"&lt;="&amp;F$1,INDIRECT("Table1[Ende]"),"&gt;="&amp;F$1,INDIRECT("Table1[Obergruppe ATC-Code]"),Tabelle3!$A89)</f>
        <v>0</v>
      </c>
      <c r="G89">
        <f ca="1">COUNTIFS(INDIRECT("Table1[Beginn]"),"&lt;="&amp;G$1,INDIRECT("Table1[Ende]"),"&gt;="&amp;G$1,INDIRECT("Table1[Obergruppe ATC-Code]"),Tabelle3!$A89)</f>
        <v>0</v>
      </c>
      <c r="H89">
        <f ca="1">COUNTIFS(INDIRECT("Table1[Beginn]"),"&lt;="&amp;H$1,INDIRECT("Table1[Ende]"),"&gt;="&amp;H$1,INDIRECT("Table1[Obergruppe ATC-Code]"),Tabelle3!$A89)</f>
        <v>0</v>
      </c>
      <c r="I89">
        <f ca="1">COUNTIFS(INDIRECT("Table1[Beginn]"),"&lt;="&amp;I$1,INDIRECT("Table1[Ende]"),"&gt;="&amp;I$1,INDIRECT("Table1[Obergruppe ATC-Code]"),Tabelle3!$A89)</f>
        <v>0</v>
      </c>
      <c r="J89">
        <f ca="1">COUNTIFS(INDIRECT("Table1[Beginn]"),"&lt;="&amp;J$1,INDIRECT("Table1[Ende]"),"&gt;="&amp;J$1,INDIRECT("Table1[Obergruppe ATC-Code]"),Tabelle3!$A89)</f>
        <v>0</v>
      </c>
      <c r="K89">
        <f ca="1">COUNTIFS(INDIRECT("Table1[Beginn]"),"&lt;="&amp;K$1,INDIRECT("Table1[Ende]"),"&gt;="&amp;K$1,INDIRECT("Table1[Obergruppe ATC-Code]"),Tabelle3!$A89)</f>
        <v>0</v>
      </c>
      <c r="L89">
        <f ca="1">COUNTIFS(INDIRECT("Table1[Beginn]"),"&lt;="&amp;L$1,INDIRECT("Table1[Ende]"),"&gt;="&amp;L$1,INDIRECT("Table1[Obergruppe ATC-Code]"),Tabelle3!$A89)</f>
        <v>0</v>
      </c>
      <c r="M89">
        <f ca="1">COUNTIFS(INDIRECT("Table1[Beginn]"),"&lt;="&amp;M$1,INDIRECT("Table1[Ende]"),"&gt;="&amp;M$1,INDIRECT("Table1[Obergruppe ATC-Code]"),Tabelle3!$A89)</f>
        <v>0</v>
      </c>
      <c r="N89">
        <f ca="1">COUNTIFS(INDIRECT("Table1[Beginn]"),"&lt;="&amp;N$1,INDIRECT("Table1[Ende]"),"&gt;="&amp;N$1,INDIRECT("Table1[Obergruppe ATC-Code]"),Tabelle3!$A89)</f>
        <v>0</v>
      </c>
      <c r="O89">
        <f ca="1">COUNTIFS(INDIRECT("Table1[Beginn]"),"&lt;="&amp;O$1,INDIRECT("Table1[Ende]"),"&gt;="&amp;O$1,INDIRECT("Table1[Obergruppe ATC-Code]"),Tabelle3!$A89)</f>
        <v>0</v>
      </c>
      <c r="P89">
        <f ca="1">COUNTIFS(INDIRECT("Table1[Beginn]"),"&lt;="&amp;P$1,INDIRECT("Table1[Ende]"),"&gt;="&amp;P$1,INDIRECT("Table1[Obergruppe ATC-Code]"),Tabelle3!$A89)</f>
        <v>0</v>
      </c>
      <c r="Q89">
        <f ca="1">COUNTIFS(INDIRECT("Table1[Beginn]"),"&lt;="&amp;Q$1,INDIRECT("Table1[Ende]"),"&gt;="&amp;Q$1,INDIRECT("Table1[Obergruppe ATC-Code]"),Tabelle3!$A89)</f>
        <v>0</v>
      </c>
      <c r="R89">
        <f ca="1">COUNTIFS(INDIRECT("Table1[Beginn]"),"&lt;="&amp;R$1,INDIRECT("Table1[Ende]"),"&gt;="&amp;R$1,INDIRECT("Table1[Obergruppe ATC-Code]"),Tabelle3!$A89)</f>
        <v>0</v>
      </c>
      <c r="S89">
        <f ca="1">COUNTIFS(INDIRECT("Table1[Beginn]"),"&lt;="&amp;S$1,INDIRECT("Table1[Ende]"),"&gt;="&amp;S$1,INDIRECT("Table1[Obergruppe ATC-Code]"),Tabelle3!$A89)</f>
        <v>0</v>
      </c>
      <c r="T89">
        <f ca="1">COUNTIFS(INDIRECT("Table1[Beginn]"),"&lt;="&amp;T$1,INDIRECT("Table1[Ende]"),"&gt;="&amp;T$1,INDIRECT("Table1[Obergruppe ATC-Code]"),Tabelle3!$A89)</f>
        <v>0</v>
      </c>
      <c r="U89">
        <f ca="1">COUNTIFS(INDIRECT("Table1[Beginn]"),"&lt;="&amp;U$1,INDIRECT("Table1[Ende]"),"&gt;="&amp;U$1,INDIRECT("Table1[Obergruppe ATC-Code]"),Tabelle3!$A89)</f>
        <v>0</v>
      </c>
      <c r="V89">
        <f ca="1">COUNTIFS(INDIRECT("Table1[Beginn]"),"&lt;="&amp;V$1,INDIRECT("Table1[Ende]"),"&gt;="&amp;V$1,INDIRECT("Table1[Obergruppe ATC-Code]"),Tabelle3!$A89)</f>
        <v>0</v>
      </c>
      <c r="W89">
        <f ca="1">COUNTIFS(INDIRECT("Table1[Beginn]"),"&lt;="&amp;W$1,INDIRECT("Table1[Ende]"),"&gt;="&amp;W$1,INDIRECT("Table1[Obergruppe ATC-Code]"),Tabelle3!$A89)</f>
        <v>0</v>
      </c>
      <c r="X89">
        <f ca="1">COUNTIFS(INDIRECT("Table1[Beginn]"),"&lt;="&amp;X$1,INDIRECT("Table1[Ende]"),"&gt;="&amp;X$1,INDIRECT("Table1[Obergruppe ATC-Code]"),Tabelle3!$A89)</f>
        <v>0</v>
      </c>
      <c r="Y89">
        <f ca="1">COUNTIFS(INDIRECT("Table1[Beginn]"),"&lt;="&amp;Y$1,INDIRECT("Table1[Ende]"),"&gt;="&amp;Y$1,INDIRECT("Table1[Obergruppe ATC-Code]"),Tabelle3!$A89)</f>
        <v>0</v>
      </c>
      <c r="Z89">
        <f ca="1">COUNTIFS(INDIRECT("Table1[Beginn]"),"&lt;="&amp;Z$1,INDIRECT("Table1[Ende]"),"&gt;="&amp;Z$1,INDIRECT("Table1[Obergruppe ATC-Code]"),Tabelle3!$A89)</f>
        <v>0</v>
      </c>
      <c r="AA89">
        <f ca="1">COUNTIFS(INDIRECT("Table1[Beginn]"),"&lt;="&amp;AA$1,INDIRECT("Table1[Ende]"),"&gt;="&amp;AA$1,INDIRECT("Table1[Obergruppe ATC-Code]"),Tabelle3!$A89)</f>
        <v>0</v>
      </c>
      <c r="AB89">
        <f ca="1">COUNTIFS(INDIRECT("Table1[Beginn]"),"&lt;="&amp;AB$1,INDIRECT("Table1[Ende]"),"&gt;="&amp;AB$1,INDIRECT("Table1[Obergruppe ATC-Code]"),Tabelle3!$A89)</f>
        <v>0</v>
      </c>
      <c r="AC89">
        <f ca="1">COUNTIFS(INDIRECT("Table1[Beginn]"),"&lt;="&amp;AC$1,INDIRECT("Table1[Ende]"),"&gt;="&amp;AC$1,INDIRECT("Table1[Obergruppe ATC-Code]"),Tabelle3!$A89)</f>
        <v>0</v>
      </c>
      <c r="AD89">
        <f ca="1">COUNTIFS(INDIRECT("Table1[Beginn]"),"&lt;="&amp;AD$1,INDIRECT("Table1[Ende]"),"&gt;="&amp;AD$1,INDIRECT("Table1[Obergruppe ATC-Code]"),Tabelle3!$A89)</f>
        <v>0</v>
      </c>
      <c r="AE89">
        <f ca="1">COUNTIFS(INDIRECT("Table1[Beginn]"),"&lt;="&amp;AE$1,INDIRECT("Table1[Ende]"),"&gt;="&amp;AE$1,INDIRECT("Table1[Obergruppe ATC-Code]"),Tabelle3!$A89)</f>
        <v>0</v>
      </c>
      <c r="AF89">
        <f ca="1">COUNTIFS(INDIRECT("Table1[Beginn]"),"&lt;="&amp;AF$1,INDIRECT("Table1[Ende]"),"&gt;="&amp;AF$1,INDIRECT("Table1[Obergruppe ATC-Code]"),Tabelle3!$A89)</f>
        <v>0</v>
      </c>
      <c r="AG89">
        <f ca="1">COUNTIFS(INDIRECT("Table1[Beginn]"),"&lt;="&amp;AG$1,INDIRECT("Table1[Ende]"),"&gt;="&amp;AG$1,INDIRECT("Table1[Obergruppe ATC-Code]"),Tabelle3!$A89)</f>
        <v>0</v>
      </c>
      <c r="AH89">
        <f ca="1">COUNTIFS(INDIRECT("Table1[Beginn]"),"&lt;="&amp;AH$1,INDIRECT("Table1[Ende]"),"&gt;="&amp;AH$1,INDIRECT("Table1[Obergruppe ATC-Code]"),Tabelle3!$A89)</f>
        <v>0</v>
      </c>
      <c r="AI89">
        <f ca="1">COUNTIFS(INDIRECT("Table1[Beginn]"),"&lt;="&amp;AI$1,INDIRECT("Table1[Ende]"),"&gt;="&amp;AI$1,INDIRECT("Table1[Obergruppe ATC-Code]"),Tabelle3!$A89)</f>
        <v>0</v>
      </c>
      <c r="AJ89">
        <f ca="1">COUNTIFS(INDIRECT("Table1[Beginn]"),"&lt;="&amp;AJ$1,INDIRECT("Table1[Ende]"),"&gt;="&amp;AJ$1,INDIRECT("Table1[Obergruppe ATC-Code]"),Tabelle3!$A89)</f>
        <v>0</v>
      </c>
      <c r="AK89">
        <f ca="1">COUNTIFS(INDIRECT("Table1[Beginn]"),"&lt;="&amp;AK$1,INDIRECT("Table1[Ende]"),"&gt;="&amp;AK$1,INDIRECT("Table1[Obergruppe ATC-Code]"),Tabelle3!$A89)</f>
        <v>0</v>
      </c>
      <c r="AL89">
        <f ca="1">COUNTIFS(INDIRECT("Table1[Beginn]"),"&lt;="&amp;AL$1,INDIRECT("Table1[Ende]"),"&gt;="&amp;AL$1,INDIRECT("Table1[Obergruppe ATC-Code]"),Tabelle3!$A89)</f>
        <v>0</v>
      </c>
      <c r="AM89">
        <f ca="1">COUNTIFS(INDIRECT("Table1[Beginn]"),"&lt;="&amp;AM$1,INDIRECT("Table1[Ende]"),"&gt;="&amp;AM$1,INDIRECT("Table1[Obergruppe ATC-Code]"),Tabelle3!$A89)</f>
        <v>0</v>
      </c>
      <c r="AN89">
        <f ca="1">COUNTIFS(INDIRECT("Table1[Beginn]"),"&lt;="&amp;AN$1,INDIRECT("Table1[Ende]"),"&gt;="&amp;AN$1,INDIRECT("Table1[Obergruppe ATC-Code]"),Tabelle3!$A89)</f>
        <v>0</v>
      </c>
      <c r="AO89">
        <f ca="1">COUNTIFS(INDIRECT("Table1[Beginn]"),"&lt;="&amp;AO$1,INDIRECT("Table1[Ende]"),"&gt;="&amp;AO$1,INDIRECT("Table1[Obergruppe ATC-Code]"),Tabelle3!$A89)</f>
        <v>0</v>
      </c>
      <c r="AP89">
        <f ca="1">COUNTIFS(INDIRECT("Table1[Beginn]"),"&lt;="&amp;AP$1,INDIRECT("Table1[Ende]"),"&gt;="&amp;AP$1,INDIRECT("Table1[Obergruppe ATC-Code]"),Tabelle3!$A89)</f>
        <v>0</v>
      </c>
      <c r="AQ89">
        <f ca="1">COUNTIFS(INDIRECT("Table1[Beginn]"),"&lt;="&amp;AQ$1,INDIRECT("Table1[Ende]"),"&gt;="&amp;AQ$1,INDIRECT("Table1[Obergruppe ATC-Code]"),Tabelle3!$A89)</f>
        <v>0</v>
      </c>
      <c r="AR89">
        <f ca="1">COUNTIFS(INDIRECT("Table1[Beginn]"),"&lt;="&amp;AR$1,INDIRECT("Table1[Ende]"),"&gt;="&amp;AR$1,INDIRECT("Table1[Obergruppe ATC-Code]"),Tabelle3!$A89)</f>
        <v>0</v>
      </c>
      <c r="AS89">
        <f ca="1">COUNTIFS(INDIRECT("Table1[Beginn]"),"&lt;="&amp;AS$1,INDIRECT("Table1[Ende]"),"&gt;="&amp;AS$1,INDIRECT("Table1[Obergruppe ATC-Code]"),Tabelle3!$A89)</f>
        <v>0</v>
      </c>
      <c r="AT89">
        <f ca="1">COUNTIFS(INDIRECT("Table1[Beginn]"),"&lt;="&amp;AT$1,INDIRECT("Table1[Ende]"),"&gt;="&amp;AT$1,INDIRECT("Table1[Obergruppe ATC-Code]"),Tabelle3!$A89)</f>
        <v>0</v>
      </c>
      <c r="AU89">
        <f ca="1">COUNTIFS(INDIRECT("Table1[Beginn]"),"&lt;="&amp;AU$1,INDIRECT("Table1[Ende]"),"&gt;="&amp;AU$1,INDIRECT("Table1[Obergruppe ATC-Code]"),Tabelle3!$A89)</f>
        <v>0</v>
      </c>
      <c r="AV89">
        <f ca="1">COUNTIFS(INDIRECT("Table1[Beginn]"),"&lt;="&amp;AV$1,INDIRECT("Table1[Ende]"),"&gt;="&amp;AV$1,INDIRECT("Table1[Obergruppe ATC-Code]"),Tabelle3!$A89)</f>
        <v>0</v>
      </c>
      <c r="AW89">
        <f ca="1">COUNTIFS(INDIRECT("Table1[Beginn]"),"&lt;="&amp;AW$1,INDIRECT("Table1[Ende]"),"&gt;="&amp;AW$1,INDIRECT("Table1[Obergruppe ATC-Code]"),Tabelle3!$A89)</f>
        <v>0</v>
      </c>
      <c r="AX89">
        <f ca="1">COUNTIFS(INDIRECT("Table1[Beginn]"),"&lt;="&amp;AX$1,INDIRECT("Table1[Ende]"),"&gt;="&amp;AX$1,INDIRECT("Table1[Obergruppe ATC-Code]"),Tabelle3!$A89)</f>
        <v>0</v>
      </c>
      <c r="AY89">
        <f ca="1">COUNTIFS(INDIRECT("Table1[Beginn]"),"&lt;="&amp;AY$1,INDIRECT("Table1[Ende]"),"&gt;="&amp;AY$1,INDIRECT("Table1[Obergruppe ATC-Code]"),Tabelle3!$A89)</f>
        <v>0</v>
      </c>
      <c r="AZ89">
        <f ca="1">COUNTIFS(INDIRECT("Table1[Beginn]"),"&lt;="&amp;AZ$1,INDIRECT("Table1[Ende]"),"&gt;="&amp;AZ$1,INDIRECT("Table1[Obergruppe ATC-Code]"),Tabelle3!$A89)</f>
        <v>0</v>
      </c>
      <c r="BA89">
        <f ca="1">COUNTIFS(INDIRECT("Table1[Beginn]"),"&lt;="&amp;BA$1,INDIRECT("Table1[Ende]"),"&gt;="&amp;BA$1,INDIRECT("Table1[Obergruppe ATC-Code]"),Tabelle3!$A89)</f>
        <v>0</v>
      </c>
      <c r="BB89">
        <f ca="1">COUNTIFS(INDIRECT("Table1[Beginn]"),"&lt;="&amp;BB$1,INDIRECT("Table1[Ende]"),"&gt;="&amp;BB$1,INDIRECT("Table1[Obergruppe ATC-Code]"),Tabelle3!$A89)</f>
        <v>0</v>
      </c>
      <c r="BC89">
        <f ca="1">COUNTIFS(INDIRECT("Table1[Beginn]"),"&lt;="&amp;BC$1,INDIRECT("Table1[Ende]"),"&gt;="&amp;BC$1,INDIRECT("Table1[Obergruppe ATC-Code]"),Tabelle3!$A89)</f>
        <v>0</v>
      </c>
      <c r="BD89">
        <f ca="1">COUNTIFS(INDIRECT("Table1[Beginn]"),"&lt;="&amp;BD$1,INDIRECT("Table1[Ende]"),"&gt;="&amp;BD$1,INDIRECT("Table1[Obergruppe ATC-Code]"),Tabelle3!$A89)</f>
        <v>0</v>
      </c>
      <c r="BE89">
        <f ca="1">COUNTIFS(INDIRECT("Table1[Beginn]"),"&lt;="&amp;BE$1,INDIRECT("Table1[Ende]"),"&gt;="&amp;BE$1,INDIRECT("Table1[Obergruppe ATC-Code]"),Tabelle3!$A89)</f>
        <v>0</v>
      </c>
      <c r="BF89">
        <f ca="1">COUNTIFS(INDIRECT("Table1[Beginn]"),"&lt;="&amp;BF$1,INDIRECT("Table1[Ende]"),"&gt;="&amp;BF$1,INDIRECT("Table1[Obergruppe ATC-Code]"),Tabelle3!$A89)</f>
        <v>0</v>
      </c>
      <c r="BG89">
        <f ca="1">COUNTIFS(INDIRECT("Table1[Beginn]"),"&lt;="&amp;BG$1,INDIRECT("Table1[Ende]"),"&gt;="&amp;BG$1,INDIRECT("Table1[Obergruppe ATC-Code]"),Tabelle3!$A89)</f>
        <v>0</v>
      </c>
      <c r="BH89">
        <f ca="1">COUNTIFS(INDIRECT("Table1[Beginn]"),"&lt;="&amp;BH$1,INDIRECT("Table1[Ende]"),"&gt;="&amp;BH$1,INDIRECT("Table1[Obergruppe ATC-Code]"),Tabelle3!$A89)</f>
        <v>0</v>
      </c>
      <c r="BI89">
        <f ca="1">COUNTIFS(INDIRECT("Table1[Beginn]"),"&lt;="&amp;BI$1,INDIRECT("Table1[Ende]"),"&gt;="&amp;BI$1,INDIRECT("Table1[Obergruppe ATC-Code]"),Tabelle3!$A89)</f>
        <v>0</v>
      </c>
      <c r="BJ89">
        <f ca="1">COUNTIFS(INDIRECT("Table1[Beginn]"),"&lt;="&amp;BJ$1,INDIRECT("Table1[Ende]"),"&gt;="&amp;BJ$1,INDIRECT("Table1[Obergruppe ATC-Code]"),Tabelle3!$A89)</f>
        <v>0</v>
      </c>
      <c r="BK89">
        <f ca="1">COUNTIFS(INDIRECT("Table1[Beginn]"),"&lt;="&amp;BK$1,INDIRECT("Table1[Ende]"),"&gt;="&amp;BK$1,INDIRECT("Table1[Obergruppe ATC-Code]"),Tabelle3!$A89)</f>
        <v>0</v>
      </c>
      <c r="BL89">
        <f ca="1">COUNTIFS(INDIRECT("Table1[Beginn]"),"&lt;="&amp;BL$1,INDIRECT("Table1[Ende]"),"&gt;="&amp;BL$1,INDIRECT("Table1[Obergruppe ATC-Code]"),Tabelle3!$A89)</f>
        <v>0</v>
      </c>
      <c r="BM89">
        <f ca="1">COUNTIFS(INDIRECT("Table1[Beginn]"),"&lt;="&amp;BM$1,INDIRECT("Table1[Ende]"),"&gt;="&amp;BM$1,INDIRECT("Table1[Obergruppe ATC-Code]"),Tabelle3!$A89)</f>
        <v>0</v>
      </c>
      <c r="BN89">
        <f ca="1">COUNTIFS(INDIRECT("Table1[Beginn]"),"&lt;="&amp;BN$1,INDIRECT("Table1[Ende]"),"&gt;="&amp;BN$1,INDIRECT("Table1[Obergruppe ATC-Code]"),Tabelle3!$A89)</f>
        <v>0</v>
      </c>
      <c r="BO89">
        <f ca="1">COUNTIFS(INDIRECT("Table1[Beginn]"),"&lt;="&amp;BO$1,INDIRECT("Table1[Ende]"),"&gt;="&amp;BO$1,INDIRECT("Table1[Obergruppe ATC-Code]"),Tabelle3!$A89)</f>
        <v>0</v>
      </c>
      <c r="BP89">
        <f ca="1">COUNTIFS(INDIRECT("Table1[Beginn]"),"&lt;="&amp;BP$1,INDIRECT("Table1[Ende]"),"&gt;="&amp;BP$1,INDIRECT("Table1[Obergruppe ATC-Code]"),Tabelle3!$A89)</f>
        <v>0</v>
      </c>
      <c r="BQ89">
        <f ca="1">COUNTIFS(INDIRECT("Table1[Beginn]"),"&lt;="&amp;BQ$1,INDIRECT("Table1[Ende]"),"&gt;="&amp;BQ$1,INDIRECT("Table1[Obergruppe ATC-Code]"),Tabelle3!$A89)</f>
        <v>0</v>
      </c>
      <c r="BR89">
        <f ca="1">COUNTIFS(INDIRECT("Table1[Beginn]"),"&lt;="&amp;BR$1,INDIRECT("Table1[Ende]"),"&gt;="&amp;BR$1,INDIRECT("Table1[Obergruppe ATC-Code]"),Tabelle3!$A89)</f>
        <v>0</v>
      </c>
      <c r="BS89">
        <f ca="1">COUNTIFS(INDIRECT("Table1[Beginn]"),"&lt;="&amp;BS$1,INDIRECT("Table1[Ende]"),"&gt;="&amp;BS$1,INDIRECT("Table1[Obergruppe ATC-Code]"),Tabelle3!$A89)</f>
        <v>0</v>
      </c>
      <c r="BT89">
        <f ca="1">COUNTIFS(INDIRECT("Table1[Beginn]"),"&lt;="&amp;BT$1,INDIRECT("Table1[Ende]"),"&gt;="&amp;BT$1,INDIRECT("Table1[Obergruppe ATC-Code]"),Tabelle3!$A89)</f>
        <v>0</v>
      </c>
      <c r="BU89">
        <f ca="1">COUNTIFS(INDIRECT("Table1[Beginn]"),"&lt;="&amp;BU$1,INDIRECT("Table1[Ende]"),"&gt;="&amp;BU$1,INDIRECT("Table1[Obergruppe ATC-Code]"),Tabelle3!$A89)</f>
        <v>0</v>
      </c>
      <c r="BV89">
        <f ca="1">COUNTIFS(INDIRECT("Table1[Beginn]"),"&lt;="&amp;BV$1,INDIRECT("Table1[Ende]"),"&gt;="&amp;BV$1,INDIRECT("Table1[Obergruppe ATC-Code]"),Tabelle3!$A89)</f>
        <v>0</v>
      </c>
      <c r="BW89">
        <f ca="1">COUNTIFS(INDIRECT("Table1[Beginn]"),"&lt;="&amp;BW$1,INDIRECT("Table1[Ende]"),"&gt;="&amp;BW$1,INDIRECT("Table1[Obergruppe ATC-Code]"),Tabelle3!$A89)</f>
        <v>0</v>
      </c>
      <c r="BX89">
        <f ca="1">COUNTIFS(INDIRECT("Table1[Beginn]"),"&lt;="&amp;BX$1,INDIRECT("Table1[Ende]"),"&gt;="&amp;BX$1,INDIRECT("Table1[Obergruppe ATC-Code]"),Tabelle3!$A89)</f>
        <v>0</v>
      </c>
      <c r="BY89">
        <f ca="1">COUNTIFS(INDIRECT("Table1[Beginn]"),"&lt;="&amp;BY$1,INDIRECT("Table1[Ende]"),"&gt;="&amp;BY$1,INDIRECT("Table1[Obergruppe ATC-Code]"),Tabelle3!$A89)</f>
        <v>0</v>
      </c>
      <c r="BZ89">
        <f ca="1">COUNTIFS(INDIRECT("Table1[Beginn]"),"&lt;="&amp;BZ$1,INDIRECT("Table1[Ende]"),"&gt;="&amp;BZ$1,INDIRECT("Table1[Obergruppe ATC-Code]"),Tabelle3!$A89)</f>
        <v>0</v>
      </c>
      <c r="CA89">
        <f ca="1">COUNTIFS(INDIRECT("Table1[Beginn]"),"&lt;="&amp;CA$1,INDIRECT("Table1[Ende]"),"&gt;="&amp;CA$1,INDIRECT("Table1[Obergruppe ATC-Code]"),Tabelle3!$A89)</f>
        <v>0</v>
      </c>
      <c r="CB89">
        <f ca="1">COUNTIFS(INDIRECT("Table1[Beginn]"),"&lt;="&amp;CB$1,INDIRECT("Table1[Ende]"),"&gt;="&amp;CB$1,INDIRECT("Table1[Obergruppe ATC-Code]"),Tabelle3!$A89)</f>
        <v>0</v>
      </c>
      <c r="CC89">
        <f ca="1">COUNTIFS(INDIRECT("Table1[Beginn]"),"&lt;="&amp;CC$1,INDIRECT("Table1[Ende]"),"&gt;="&amp;CC$1,INDIRECT("Table1[Obergruppe ATC-Code]"),Tabelle3!$A89)</f>
        <v>0</v>
      </c>
      <c r="CD89">
        <f ca="1">COUNTIFS(INDIRECT("Table1[Beginn]"),"&lt;="&amp;CD$1,INDIRECT("Table1[Ende]"),"&gt;="&amp;CD$1,INDIRECT("Table1[Obergruppe ATC-Code]"),Tabelle3!$A89)</f>
        <v>0</v>
      </c>
      <c r="CE89">
        <f ca="1">COUNTIFS(INDIRECT("Table1[Beginn]"),"&lt;="&amp;CE$1,INDIRECT("Table1[Ende]"),"&gt;="&amp;CE$1,INDIRECT("Table1[Obergruppe ATC-Code]"),Tabelle3!$A89)</f>
        <v>0</v>
      </c>
      <c r="CF89">
        <f ca="1">COUNTIFS(INDIRECT("Table1[Beginn]"),"&lt;="&amp;CF$1,INDIRECT("Table1[Ende]"),"&gt;="&amp;CF$1,INDIRECT("Table1[Obergruppe ATC-Code]"),Tabelle3!$A89)</f>
        <v>0</v>
      </c>
      <c r="CG89">
        <f ca="1">COUNTIFS(INDIRECT("Table1[Beginn]"),"&lt;="&amp;CG$1,INDIRECT("Table1[Ende]"),"&gt;="&amp;CG$1,INDIRECT("Table1[Obergruppe ATC-Code]"),Tabelle3!$A89)</f>
        <v>0</v>
      </c>
      <c r="CH89">
        <f ca="1">COUNTIFS(INDIRECT("Table1[Beginn]"),"&lt;="&amp;CH$1,INDIRECT("Table1[Ende]"),"&gt;="&amp;CH$1,INDIRECT("Table1[Obergruppe ATC-Code]"),Tabelle3!$A89)</f>
        <v>0</v>
      </c>
      <c r="CI89">
        <f ca="1">COUNTIFS(INDIRECT("Table1[Beginn]"),"&lt;="&amp;CI$1,INDIRECT("Table1[Ende]"),"&gt;="&amp;CI$1,INDIRECT("Table1[Obergruppe ATC-Code]"),Tabelle3!$A89)</f>
        <v>0</v>
      </c>
      <c r="CJ89">
        <f ca="1">COUNTIFS(INDIRECT("Table1[Beginn]"),"&lt;="&amp;CJ$1,INDIRECT("Table1[Ende]"),"&gt;="&amp;CJ$1,INDIRECT("Table1[Obergruppe ATC-Code]"),Tabelle3!$A89)</f>
        <v>0</v>
      </c>
      <c r="CK89">
        <f ca="1">COUNTIFS(INDIRECT("Table1[Beginn]"),"&lt;="&amp;CK$1,INDIRECT("Table1[Ende]"),"&gt;="&amp;CK$1,INDIRECT("Table1[Obergruppe ATC-Code]"),Tabelle3!$A89)</f>
        <v>0</v>
      </c>
      <c r="CL89">
        <f ca="1">COUNTIFS(INDIRECT("Table1[Beginn]"),"&lt;="&amp;CL$1,INDIRECT("Table1[Ende]"),"&gt;="&amp;CL$1,INDIRECT("Table1[Obergruppe ATC-Code]"),Tabelle3!$A89)</f>
        <v>0</v>
      </c>
      <c r="CM89">
        <f ca="1">COUNTIFS(INDIRECT("Table1[Beginn]"),"&lt;="&amp;CM$1,INDIRECT("Table1[Ende]"),"&gt;="&amp;CM$1,INDIRECT("Table1[Obergruppe ATC-Code]"),Tabelle3!$A89)</f>
        <v>0</v>
      </c>
      <c r="CN89">
        <f ca="1">COUNTIFS(INDIRECT("Table1[Beginn]"),"&lt;="&amp;CN$1,INDIRECT("Table1[Ende]"),"&gt;="&amp;CN$1,INDIRECT("Table1[Obergruppe ATC-Code]"),Tabelle3!$A89)</f>
        <v>0</v>
      </c>
      <c r="CO89">
        <f ca="1">COUNTIFS(INDIRECT("Table1[Beginn]"),"&lt;="&amp;CO$1,INDIRECT("Table1[Ende]"),"&gt;="&amp;CO$1,INDIRECT("Table1[Obergruppe ATC-Code]"),Tabelle3!$A89)</f>
        <v>0</v>
      </c>
      <c r="CP89">
        <f ca="1">COUNTIFS(INDIRECT("Table1[Beginn]"),"&lt;="&amp;CP$1,INDIRECT("Table1[Ende]"),"&gt;="&amp;CP$1,INDIRECT("Table1[Obergruppe ATC-Code]"),Tabelle3!$A89)</f>
        <v>0</v>
      </c>
      <c r="CQ89">
        <f ca="1">COUNTIFS(INDIRECT("Table1[Beginn]"),"&lt;="&amp;CQ$1,INDIRECT("Table1[Ende]"),"&gt;="&amp;CQ$1,INDIRECT("Table1[Obergruppe ATC-Code]"),Tabelle3!$A89)</f>
        <v>0</v>
      </c>
      <c r="CR89">
        <f ca="1">COUNTIFS(INDIRECT("Table1[Beginn]"),"&lt;="&amp;CR$1,INDIRECT("Table1[Ende]"),"&gt;="&amp;CR$1,INDIRECT("Table1[Obergruppe ATC-Code]"),Tabelle3!$A89)</f>
        <v>0</v>
      </c>
    </row>
    <row r="90" spans="1:96" ht="18">
      <c r="A90" s="7" t="s">
        <v>6948</v>
      </c>
      <c r="B90" s="8" t="s">
        <v>6949</v>
      </c>
      <c r="C90">
        <f ca="1">COUNTIFS(INDIRECT("Table1[Beginn]"),"&lt;="&amp;C$1,INDIRECT("Table1[Ende]"),"&gt;="&amp;C$1,INDIRECT("Table1[Obergruppe ATC-Code]"),Tabelle3!$A90)</f>
        <v>2</v>
      </c>
      <c r="D90">
        <f ca="1">COUNTIFS(INDIRECT("Table1[Beginn]"),"&lt;="&amp;D$1,INDIRECT("Table1[Ende]"),"&gt;="&amp;D$1,INDIRECT("Table1[Obergruppe ATC-Code]"),Tabelle3!$A90)</f>
        <v>2</v>
      </c>
      <c r="E90">
        <f ca="1">COUNTIFS(INDIRECT("Table1[Beginn]"),"&lt;="&amp;E$1,INDIRECT("Table1[Ende]"),"&gt;="&amp;E$1,INDIRECT("Table1[Obergruppe ATC-Code]"),Tabelle3!$A90)</f>
        <v>2</v>
      </c>
      <c r="F90">
        <f ca="1">COUNTIFS(INDIRECT("Table1[Beginn]"),"&lt;="&amp;F$1,INDIRECT("Table1[Ende]"),"&gt;="&amp;F$1,INDIRECT("Table1[Obergruppe ATC-Code]"),Tabelle3!$A90)</f>
        <v>2</v>
      </c>
      <c r="G90">
        <f ca="1">COUNTIFS(INDIRECT("Table1[Beginn]"),"&lt;="&amp;G$1,INDIRECT("Table1[Ende]"),"&gt;="&amp;G$1,INDIRECT("Table1[Obergruppe ATC-Code]"),Tabelle3!$A90)</f>
        <v>2</v>
      </c>
      <c r="H90">
        <f ca="1">COUNTIFS(INDIRECT("Table1[Beginn]"),"&lt;="&amp;H$1,INDIRECT("Table1[Ende]"),"&gt;="&amp;H$1,INDIRECT("Table1[Obergruppe ATC-Code]"),Tabelle3!$A90)</f>
        <v>2</v>
      </c>
      <c r="I90">
        <f ca="1">COUNTIFS(INDIRECT("Table1[Beginn]"),"&lt;="&amp;I$1,INDIRECT("Table1[Ende]"),"&gt;="&amp;I$1,INDIRECT("Table1[Obergruppe ATC-Code]"),Tabelle3!$A90)</f>
        <v>2</v>
      </c>
      <c r="J90">
        <f ca="1">COUNTIFS(INDIRECT("Table1[Beginn]"),"&lt;="&amp;J$1,INDIRECT("Table1[Ende]"),"&gt;="&amp;J$1,INDIRECT("Table1[Obergruppe ATC-Code]"),Tabelle3!$A90)</f>
        <v>2</v>
      </c>
      <c r="K90">
        <f ca="1">COUNTIFS(INDIRECT("Table1[Beginn]"),"&lt;="&amp;K$1,INDIRECT("Table1[Ende]"),"&gt;="&amp;K$1,INDIRECT("Table1[Obergruppe ATC-Code]"),Tabelle3!$A90)</f>
        <v>2</v>
      </c>
      <c r="L90">
        <f ca="1">COUNTIFS(INDIRECT("Table1[Beginn]"),"&lt;="&amp;L$1,INDIRECT("Table1[Ende]"),"&gt;="&amp;L$1,INDIRECT("Table1[Obergruppe ATC-Code]"),Tabelle3!$A90)</f>
        <v>1</v>
      </c>
      <c r="M90">
        <f ca="1">COUNTIFS(INDIRECT("Table1[Beginn]"),"&lt;="&amp;M$1,INDIRECT("Table1[Ende]"),"&gt;="&amp;M$1,INDIRECT("Table1[Obergruppe ATC-Code]"),Tabelle3!$A90)</f>
        <v>1</v>
      </c>
      <c r="N90">
        <f ca="1">COUNTIFS(INDIRECT("Table1[Beginn]"),"&lt;="&amp;N$1,INDIRECT("Table1[Ende]"),"&gt;="&amp;N$1,INDIRECT("Table1[Obergruppe ATC-Code]"),Tabelle3!$A90)</f>
        <v>1</v>
      </c>
      <c r="O90">
        <f ca="1">COUNTIFS(INDIRECT("Table1[Beginn]"),"&lt;="&amp;O$1,INDIRECT("Table1[Ende]"),"&gt;="&amp;O$1,INDIRECT("Table1[Obergruppe ATC-Code]"),Tabelle3!$A90)</f>
        <v>2</v>
      </c>
      <c r="P90">
        <f ca="1">COUNTIFS(INDIRECT("Table1[Beginn]"),"&lt;="&amp;P$1,INDIRECT("Table1[Ende]"),"&gt;="&amp;P$1,INDIRECT("Table1[Obergruppe ATC-Code]"),Tabelle3!$A90)</f>
        <v>2</v>
      </c>
      <c r="Q90">
        <f ca="1">COUNTIFS(INDIRECT("Table1[Beginn]"),"&lt;="&amp;Q$1,INDIRECT("Table1[Ende]"),"&gt;="&amp;Q$1,INDIRECT("Table1[Obergruppe ATC-Code]"),Tabelle3!$A90)</f>
        <v>1</v>
      </c>
      <c r="R90">
        <f ca="1">COUNTIFS(INDIRECT("Table1[Beginn]"),"&lt;="&amp;R$1,INDIRECT("Table1[Ende]"),"&gt;="&amp;R$1,INDIRECT("Table1[Obergruppe ATC-Code]"),Tabelle3!$A90)</f>
        <v>0</v>
      </c>
      <c r="S90">
        <f ca="1">COUNTIFS(INDIRECT("Table1[Beginn]"),"&lt;="&amp;S$1,INDIRECT("Table1[Ende]"),"&gt;="&amp;S$1,INDIRECT("Table1[Obergruppe ATC-Code]"),Tabelle3!$A90)</f>
        <v>0</v>
      </c>
      <c r="T90">
        <f ca="1">COUNTIFS(INDIRECT("Table1[Beginn]"),"&lt;="&amp;T$1,INDIRECT("Table1[Ende]"),"&gt;="&amp;T$1,INDIRECT("Table1[Obergruppe ATC-Code]"),Tabelle3!$A90)</f>
        <v>0</v>
      </c>
      <c r="U90">
        <f ca="1">COUNTIFS(INDIRECT("Table1[Beginn]"),"&lt;="&amp;U$1,INDIRECT("Table1[Ende]"),"&gt;="&amp;U$1,INDIRECT("Table1[Obergruppe ATC-Code]"),Tabelle3!$A90)</f>
        <v>1</v>
      </c>
      <c r="V90">
        <f ca="1">COUNTIFS(INDIRECT("Table1[Beginn]"),"&lt;="&amp;V$1,INDIRECT("Table1[Ende]"),"&gt;="&amp;V$1,INDIRECT("Table1[Obergruppe ATC-Code]"),Tabelle3!$A90)</f>
        <v>1</v>
      </c>
      <c r="W90">
        <f ca="1">COUNTIFS(INDIRECT("Table1[Beginn]"),"&lt;="&amp;W$1,INDIRECT("Table1[Ende]"),"&gt;="&amp;W$1,INDIRECT("Table1[Obergruppe ATC-Code]"),Tabelle3!$A90)</f>
        <v>2</v>
      </c>
      <c r="X90">
        <f ca="1">COUNTIFS(INDIRECT("Table1[Beginn]"),"&lt;="&amp;X$1,INDIRECT("Table1[Ende]"),"&gt;="&amp;X$1,INDIRECT("Table1[Obergruppe ATC-Code]"),Tabelle3!$A90)</f>
        <v>2</v>
      </c>
      <c r="Y90">
        <f ca="1">COUNTIFS(INDIRECT("Table1[Beginn]"),"&lt;="&amp;Y$1,INDIRECT("Table1[Ende]"),"&gt;="&amp;Y$1,INDIRECT("Table1[Obergruppe ATC-Code]"),Tabelle3!$A90)</f>
        <v>3</v>
      </c>
      <c r="Z90">
        <f ca="1">COUNTIFS(INDIRECT("Table1[Beginn]"),"&lt;="&amp;Z$1,INDIRECT("Table1[Ende]"),"&gt;="&amp;Z$1,INDIRECT("Table1[Obergruppe ATC-Code]"),Tabelle3!$A90)</f>
        <v>3</v>
      </c>
      <c r="AA90">
        <f ca="1">COUNTIFS(INDIRECT("Table1[Beginn]"),"&lt;="&amp;AA$1,INDIRECT("Table1[Ende]"),"&gt;="&amp;AA$1,INDIRECT("Table1[Obergruppe ATC-Code]"),Tabelle3!$A90)</f>
        <v>2</v>
      </c>
      <c r="AB90">
        <f ca="1">COUNTIFS(INDIRECT("Table1[Beginn]"),"&lt;="&amp;AB$1,INDIRECT("Table1[Ende]"),"&gt;="&amp;AB$1,INDIRECT("Table1[Obergruppe ATC-Code]"),Tabelle3!$A90)</f>
        <v>2</v>
      </c>
      <c r="AC90">
        <f ca="1">COUNTIFS(INDIRECT("Table1[Beginn]"),"&lt;="&amp;AC$1,INDIRECT("Table1[Ende]"),"&gt;="&amp;AC$1,INDIRECT("Table1[Obergruppe ATC-Code]"),Tabelle3!$A90)</f>
        <v>0</v>
      </c>
      <c r="AD90">
        <f ca="1">COUNTIFS(INDIRECT("Table1[Beginn]"),"&lt;="&amp;AD$1,INDIRECT("Table1[Ende]"),"&gt;="&amp;AD$1,INDIRECT("Table1[Obergruppe ATC-Code]"),Tabelle3!$A90)</f>
        <v>0</v>
      </c>
      <c r="AE90">
        <f ca="1">COUNTIFS(INDIRECT("Table1[Beginn]"),"&lt;="&amp;AE$1,INDIRECT("Table1[Ende]"),"&gt;="&amp;AE$1,INDIRECT("Table1[Obergruppe ATC-Code]"),Tabelle3!$A90)</f>
        <v>0</v>
      </c>
      <c r="AF90">
        <f ca="1">COUNTIFS(INDIRECT("Table1[Beginn]"),"&lt;="&amp;AF$1,INDIRECT("Table1[Ende]"),"&gt;="&amp;AF$1,INDIRECT("Table1[Obergruppe ATC-Code]"),Tabelle3!$A90)</f>
        <v>0</v>
      </c>
      <c r="AG90">
        <f ca="1">COUNTIFS(INDIRECT("Table1[Beginn]"),"&lt;="&amp;AG$1,INDIRECT("Table1[Ende]"),"&gt;="&amp;AG$1,INDIRECT("Table1[Obergruppe ATC-Code]"),Tabelle3!$A90)</f>
        <v>0</v>
      </c>
      <c r="AH90">
        <f ca="1">COUNTIFS(INDIRECT("Table1[Beginn]"),"&lt;="&amp;AH$1,INDIRECT("Table1[Ende]"),"&gt;="&amp;AH$1,INDIRECT("Table1[Obergruppe ATC-Code]"),Tabelle3!$A90)</f>
        <v>0</v>
      </c>
      <c r="AI90">
        <f ca="1">COUNTIFS(INDIRECT("Table1[Beginn]"),"&lt;="&amp;AI$1,INDIRECT("Table1[Ende]"),"&gt;="&amp;AI$1,INDIRECT("Table1[Obergruppe ATC-Code]"),Tabelle3!$A90)</f>
        <v>0</v>
      </c>
      <c r="AJ90">
        <f ca="1">COUNTIFS(INDIRECT("Table1[Beginn]"),"&lt;="&amp;AJ$1,INDIRECT("Table1[Ende]"),"&gt;="&amp;AJ$1,INDIRECT("Table1[Obergruppe ATC-Code]"),Tabelle3!$A90)</f>
        <v>0</v>
      </c>
      <c r="AK90">
        <f ca="1">COUNTIFS(INDIRECT("Table1[Beginn]"),"&lt;="&amp;AK$1,INDIRECT("Table1[Ende]"),"&gt;="&amp;AK$1,INDIRECT("Table1[Obergruppe ATC-Code]"),Tabelle3!$A90)</f>
        <v>1</v>
      </c>
      <c r="AL90">
        <f ca="1">COUNTIFS(INDIRECT("Table1[Beginn]"),"&lt;="&amp;AL$1,INDIRECT("Table1[Ende]"),"&gt;="&amp;AL$1,INDIRECT("Table1[Obergruppe ATC-Code]"),Tabelle3!$A90)</f>
        <v>1</v>
      </c>
      <c r="AM90">
        <f ca="1">COUNTIFS(INDIRECT("Table1[Beginn]"),"&lt;="&amp;AM$1,INDIRECT("Table1[Ende]"),"&gt;="&amp;AM$1,INDIRECT("Table1[Obergruppe ATC-Code]"),Tabelle3!$A90)</f>
        <v>3</v>
      </c>
      <c r="AN90">
        <f ca="1">COUNTIFS(INDIRECT("Table1[Beginn]"),"&lt;="&amp;AN$1,INDIRECT("Table1[Ende]"),"&gt;="&amp;AN$1,INDIRECT("Table1[Obergruppe ATC-Code]"),Tabelle3!$A90)</f>
        <v>3</v>
      </c>
      <c r="AO90">
        <f ca="1">COUNTIFS(INDIRECT("Table1[Beginn]"),"&lt;="&amp;AO$1,INDIRECT("Table1[Ende]"),"&gt;="&amp;AO$1,INDIRECT("Table1[Obergruppe ATC-Code]"),Tabelle3!$A90)</f>
        <v>3</v>
      </c>
      <c r="AP90">
        <f ca="1">COUNTIFS(INDIRECT("Table1[Beginn]"),"&lt;="&amp;AP$1,INDIRECT("Table1[Ende]"),"&gt;="&amp;AP$1,INDIRECT("Table1[Obergruppe ATC-Code]"),Tabelle3!$A90)</f>
        <v>4</v>
      </c>
      <c r="AQ90">
        <f ca="1">COUNTIFS(INDIRECT("Table1[Beginn]"),"&lt;="&amp;AQ$1,INDIRECT("Table1[Ende]"),"&gt;="&amp;AQ$1,INDIRECT("Table1[Obergruppe ATC-Code]"),Tabelle3!$A90)</f>
        <v>4</v>
      </c>
      <c r="AR90">
        <f ca="1">COUNTIFS(INDIRECT("Table1[Beginn]"),"&lt;="&amp;AR$1,INDIRECT("Table1[Ende]"),"&gt;="&amp;AR$1,INDIRECT("Table1[Obergruppe ATC-Code]"),Tabelle3!$A90)</f>
        <v>4</v>
      </c>
      <c r="AS90">
        <f ca="1">COUNTIFS(INDIRECT("Table1[Beginn]"),"&lt;="&amp;AS$1,INDIRECT("Table1[Ende]"),"&gt;="&amp;AS$1,INDIRECT("Table1[Obergruppe ATC-Code]"),Tabelle3!$A90)</f>
        <v>3</v>
      </c>
      <c r="AT90">
        <f ca="1">COUNTIFS(INDIRECT("Table1[Beginn]"),"&lt;="&amp;AT$1,INDIRECT("Table1[Ende]"),"&gt;="&amp;AT$1,INDIRECT("Table1[Obergruppe ATC-Code]"),Tabelle3!$A90)</f>
        <v>3</v>
      </c>
      <c r="AU90">
        <f ca="1">COUNTIFS(INDIRECT("Table1[Beginn]"),"&lt;="&amp;AU$1,INDIRECT("Table1[Ende]"),"&gt;="&amp;AU$1,INDIRECT("Table1[Obergruppe ATC-Code]"),Tabelle3!$A90)</f>
        <v>4</v>
      </c>
      <c r="AV90">
        <f ca="1">COUNTIFS(INDIRECT("Table1[Beginn]"),"&lt;="&amp;AV$1,INDIRECT("Table1[Ende]"),"&gt;="&amp;AV$1,INDIRECT("Table1[Obergruppe ATC-Code]"),Tabelle3!$A90)</f>
        <v>4</v>
      </c>
      <c r="AW90">
        <f ca="1">COUNTIFS(INDIRECT("Table1[Beginn]"),"&lt;="&amp;AW$1,INDIRECT("Table1[Ende]"),"&gt;="&amp;AW$1,INDIRECT("Table1[Obergruppe ATC-Code]"),Tabelle3!$A90)</f>
        <v>3</v>
      </c>
      <c r="AX90">
        <f ca="1">COUNTIFS(INDIRECT("Table1[Beginn]"),"&lt;="&amp;AX$1,INDIRECT("Table1[Ende]"),"&gt;="&amp;AX$1,INDIRECT("Table1[Obergruppe ATC-Code]"),Tabelle3!$A90)</f>
        <v>3</v>
      </c>
      <c r="AY90">
        <f ca="1">COUNTIFS(INDIRECT("Table1[Beginn]"),"&lt;="&amp;AY$1,INDIRECT("Table1[Ende]"),"&gt;="&amp;AY$1,INDIRECT("Table1[Obergruppe ATC-Code]"),Tabelle3!$A90)</f>
        <v>4</v>
      </c>
      <c r="AZ90">
        <f ca="1">COUNTIFS(INDIRECT("Table1[Beginn]"),"&lt;="&amp;AZ$1,INDIRECT("Table1[Ende]"),"&gt;="&amp;AZ$1,INDIRECT("Table1[Obergruppe ATC-Code]"),Tabelle3!$A90)</f>
        <v>4</v>
      </c>
      <c r="BA90">
        <f ca="1">COUNTIFS(INDIRECT("Table1[Beginn]"),"&lt;="&amp;BA$1,INDIRECT("Table1[Ende]"),"&gt;="&amp;BA$1,INDIRECT("Table1[Obergruppe ATC-Code]"),Tabelle3!$A90)</f>
        <v>4</v>
      </c>
      <c r="BB90">
        <f ca="1">COUNTIFS(INDIRECT("Table1[Beginn]"),"&lt;="&amp;BB$1,INDIRECT("Table1[Ende]"),"&gt;="&amp;BB$1,INDIRECT("Table1[Obergruppe ATC-Code]"),Tabelle3!$A90)</f>
        <v>4</v>
      </c>
      <c r="BC90">
        <f ca="1">COUNTIFS(INDIRECT("Table1[Beginn]"),"&lt;="&amp;BC$1,INDIRECT("Table1[Ende]"),"&gt;="&amp;BC$1,INDIRECT("Table1[Obergruppe ATC-Code]"),Tabelle3!$A90)</f>
        <v>3</v>
      </c>
      <c r="BD90">
        <f ca="1">COUNTIFS(INDIRECT("Table1[Beginn]"),"&lt;="&amp;BD$1,INDIRECT("Table1[Ende]"),"&gt;="&amp;BD$1,INDIRECT("Table1[Obergruppe ATC-Code]"),Tabelle3!$A90)</f>
        <v>3</v>
      </c>
      <c r="BE90">
        <f ca="1">COUNTIFS(INDIRECT("Table1[Beginn]"),"&lt;="&amp;BE$1,INDIRECT("Table1[Ende]"),"&gt;="&amp;BE$1,INDIRECT("Table1[Obergruppe ATC-Code]"),Tabelle3!$A90)</f>
        <v>3</v>
      </c>
      <c r="BF90">
        <f ca="1">COUNTIFS(INDIRECT("Table1[Beginn]"),"&lt;="&amp;BF$1,INDIRECT("Table1[Ende]"),"&gt;="&amp;BF$1,INDIRECT("Table1[Obergruppe ATC-Code]"),Tabelle3!$A90)</f>
        <v>3</v>
      </c>
      <c r="BG90">
        <f ca="1">COUNTIFS(INDIRECT("Table1[Beginn]"),"&lt;="&amp;BG$1,INDIRECT("Table1[Ende]"),"&gt;="&amp;BG$1,INDIRECT("Table1[Obergruppe ATC-Code]"),Tabelle3!$A90)</f>
        <v>2</v>
      </c>
      <c r="BH90">
        <f ca="1">COUNTIFS(INDIRECT("Table1[Beginn]"),"&lt;="&amp;BH$1,INDIRECT("Table1[Ende]"),"&gt;="&amp;BH$1,INDIRECT("Table1[Obergruppe ATC-Code]"),Tabelle3!$A90)</f>
        <v>4</v>
      </c>
      <c r="BI90">
        <f ca="1">COUNTIFS(INDIRECT("Table1[Beginn]"),"&lt;="&amp;BI$1,INDIRECT("Table1[Ende]"),"&gt;="&amp;BI$1,INDIRECT("Table1[Obergruppe ATC-Code]"),Tabelle3!$A90)</f>
        <v>4</v>
      </c>
      <c r="BJ90">
        <f ca="1">COUNTIFS(INDIRECT("Table1[Beginn]"),"&lt;="&amp;BJ$1,INDIRECT("Table1[Ende]"),"&gt;="&amp;BJ$1,INDIRECT("Table1[Obergruppe ATC-Code]"),Tabelle3!$A90)</f>
        <v>4</v>
      </c>
      <c r="BK90">
        <f ca="1">COUNTIFS(INDIRECT("Table1[Beginn]"),"&lt;="&amp;BK$1,INDIRECT("Table1[Ende]"),"&gt;="&amp;BK$1,INDIRECT("Table1[Obergruppe ATC-Code]"),Tabelle3!$A90)</f>
        <v>5</v>
      </c>
      <c r="BL90">
        <f ca="1">COUNTIFS(INDIRECT("Table1[Beginn]"),"&lt;="&amp;BL$1,INDIRECT("Table1[Ende]"),"&gt;="&amp;BL$1,INDIRECT("Table1[Obergruppe ATC-Code]"),Tabelle3!$A90)</f>
        <v>5</v>
      </c>
      <c r="BM90">
        <f ca="1">COUNTIFS(INDIRECT("Table1[Beginn]"),"&lt;="&amp;BM$1,INDIRECT("Table1[Ende]"),"&gt;="&amp;BM$1,INDIRECT("Table1[Obergruppe ATC-Code]"),Tabelle3!$A90)</f>
        <v>5</v>
      </c>
      <c r="BN90">
        <f ca="1">COUNTIFS(INDIRECT("Table1[Beginn]"),"&lt;="&amp;BN$1,INDIRECT("Table1[Ende]"),"&gt;="&amp;BN$1,INDIRECT("Table1[Obergruppe ATC-Code]"),Tabelle3!$A90)</f>
        <v>9</v>
      </c>
      <c r="BO90">
        <f ca="1">COUNTIFS(INDIRECT("Table1[Beginn]"),"&lt;="&amp;BO$1,INDIRECT("Table1[Ende]"),"&gt;="&amp;BO$1,INDIRECT("Table1[Obergruppe ATC-Code]"),Tabelle3!$A90)</f>
        <v>9</v>
      </c>
      <c r="BP90">
        <f ca="1">COUNTIFS(INDIRECT("Table1[Beginn]"),"&lt;="&amp;BP$1,INDIRECT("Table1[Ende]"),"&gt;="&amp;BP$1,INDIRECT("Table1[Obergruppe ATC-Code]"),Tabelle3!$A90)</f>
        <v>9</v>
      </c>
      <c r="BQ90">
        <f ca="1">COUNTIFS(INDIRECT("Table1[Beginn]"),"&lt;="&amp;BQ$1,INDIRECT("Table1[Ende]"),"&gt;="&amp;BQ$1,INDIRECT("Table1[Obergruppe ATC-Code]"),Tabelle3!$A90)</f>
        <v>9</v>
      </c>
      <c r="BR90">
        <f ca="1">COUNTIFS(INDIRECT("Table1[Beginn]"),"&lt;="&amp;BR$1,INDIRECT("Table1[Ende]"),"&gt;="&amp;BR$1,INDIRECT("Table1[Obergruppe ATC-Code]"),Tabelle3!$A90)</f>
        <v>7</v>
      </c>
      <c r="BS90">
        <f ca="1">COUNTIFS(INDIRECT("Table1[Beginn]"),"&lt;="&amp;BS$1,INDIRECT("Table1[Ende]"),"&gt;="&amp;BS$1,INDIRECT("Table1[Obergruppe ATC-Code]"),Tabelle3!$A90)</f>
        <v>8</v>
      </c>
      <c r="BT90">
        <f ca="1">COUNTIFS(INDIRECT("Table1[Beginn]"),"&lt;="&amp;BT$1,INDIRECT("Table1[Ende]"),"&gt;="&amp;BT$1,INDIRECT("Table1[Obergruppe ATC-Code]"),Tabelle3!$A90)</f>
        <v>8</v>
      </c>
      <c r="BU90">
        <f ca="1">COUNTIFS(INDIRECT("Table1[Beginn]"),"&lt;="&amp;BU$1,INDIRECT("Table1[Ende]"),"&gt;="&amp;BU$1,INDIRECT("Table1[Obergruppe ATC-Code]"),Tabelle3!$A90)</f>
        <v>8</v>
      </c>
      <c r="BV90">
        <f ca="1">COUNTIFS(INDIRECT("Table1[Beginn]"),"&lt;="&amp;BV$1,INDIRECT("Table1[Ende]"),"&gt;="&amp;BV$1,INDIRECT("Table1[Obergruppe ATC-Code]"),Tabelle3!$A90)</f>
        <v>7</v>
      </c>
      <c r="BW90">
        <f ca="1">COUNTIFS(INDIRECT("Table1[Beginn]"),"&lt;="&amp;BW$1,INDIRECT("Table1[Ende]"),"&gt;="&amp;BW$1,INDIRECT("Table1[Obergruppe ATC-Code]"),Tabelle3!$A90)</f>
        <v>6</v>
      </c>
      <c r="BX90">
        <f ca="1">COUNTIFS(INDIRECT("Table1[Beginn]"),"&lt;="&amp;BX$1,INDIRECT("Table1[Ende]"),"&gt;="&amp;BX$1,INDIRECT("Table1[Obergruppe ATC-Code]"),Tabelle3!$A90)</f>
        <v>8</v>
      </c>
      <c r="BY90">
        <f ca="1">COUNTIFS(INDIRECT("Table1[Beginn]"),"&lt;="&amp;BY$1,INDIRECT("Table1[Ende]"),"&gt;="&amp;BY$1,INDIRECT("Table1[Obergruppe ATC-Code]"),Tabelle3!$A90)</f>
        <v>9</v>
      </c>
      <c r="BZ90">
        <f ca="1">COUNTIFS(INDIRECT("Table1[Beginn]"),"&lt;="&amp;BZ$1,INDIRECT("Table1[Ende]"),"&gt;="&amp;BZ$1,INDIRECT("Table1[Obergruppe ATC-Code]"),Tabelle3!$A90)</f>
        <v>9</v>
      </c>
      <c r="CA90">
        <f ca="1">COUNTIFS(INDIRECT("Table1[Beginn]"),"&lt;="&amp;CA$1,INDIRECT("Table1[Ende]"),"&gt;="&amp;CA$1,INDIRECT("Table1[Obergruppe ATC-Code]"),Tabelle3!$A90)</f>
        <v>8</v>
      </c>
      <c r="CB90">
        <f ca="1">COUNTIFS(INDIRECT("Table1[Beginn]"),"&lt;="&amp;CB$1,INDIRECT("Table1[Ende]"),"&gt;="&amp;CB$1,INDIRECT("Table1[Obergruppe ATC-Code]"),Tabelle3!$A90)</f>
        <v>7</v>
      </c>
      <c r="CC90">
        <f ca="1">COUNTIFS(INDIRECT("Table1[Beginn]"),"&lt;="&amp;CC$1,INDIRECT("Table1[Ende]"),"&gt;="&amp;CC$1,INDIRECT("Table1[Obergruppe ATC-Code]"),Tabelle3!$A90)</f>
        <v>6</v>
      </c>
      <c r="CD90">
        <f ca="1">COUNTIFS(INDIRECT("Table1[Beginn]"),"&lt;="&amp;CD$1,INDIRECT("Table1[Ende]"),"&gt;="&amp;CD$1,INDIRECT("Table1[Obergruppe ATC-Code]"),Tabelle3!$A90)</f>
        <v>6</v>
      </c>
      <c r="CE90">
        <f ca="1">COUNTIFS(INDIRECT("Table1[Beginn]"),"&lt;="&amp;CE$1,INDIRECT("Table1[Ende]"),"&gt;="&amp;CE$1,INDIRECT("Table1[Obergruppe ATC-Code]"),Tabelle3!$A90)</f>
        <v>4</v>
      </c>
      <c r="CF90">
        <f ca="1">COUNTIFS(INDIRECT("Table1[Beginn]"),"&lt;="&amp;CF$1,INDIRECT("Table1[Ende]"),"&gt;="&amp;CF$1,INDIRECT("Table1[Obergruppe ATC-Code]"),Tabelle3!$A90)</f>
        <v>3</v>
      </c>
      <c r="CG90">
        <f ca="1">COUNTIFS(INDIRECT("Table1[Beginn]"),"&lt;="&amp;CG$1,INDIRECT("Table1[Ende]"),"&gt;="&amp;CG$1,INDIRECT("Table1[Obergruppe ATC-Code]"),Tabelle3!$A90)</f>
        <v>2</v>
      </c>
      <c r="CH90">
        <f ca="1">COUNTIFS(INDIRECT("Table1[Beginn]"),"&lt;="&amp;CH$1,INDIRECT("Table1[Ende]"),"&gt;="&amp;CH$1,INDIRECT("Table1[Obergruppe ATC-Code]"),Tabelle3!$A90)</f>
        <v>2</v>
      </c>
      <c r="CI90">
        <f ca="1">COUNTIFS(INDIRECT("Table1[Beginn]"),"&lt;="&amp;CI$1,INDIRECT("Table1[Ende]"),"&gt;="&amp;CI$1,INDIRECT("Table1[Obergruppe ATC-Code]"),Tabelle3!$A90)</f>
        <v>2</v>
      </c>
      <c r="CJ90">
        <f ca="1">COUNTIFS(INDIRECT("Table1[Beginn]"),"&lt;="&amp;CJ$1,INDIRECT("Table1[Ende]"),"&gt;="&amp;CJ$1,INDIRECT("Table1[Obergruppe ATC-Code]"),Tabelle3!$A90)</f>
        <v>1</v>
      </c>
      <c r="CK90">
        <f ca="1">COUNTIFS(INDIRECT("Table1[Beginn]"),"&lt;="&amp;CK$1,INDIRECT("Table1[Ende]"),"&gt;="&amp;CK$1,INDIRECT("Table1[Obergruppe ATC-Code]"),Tabelle3!$A90)</f>
        <v>1</v>
      </c>
      <c r="CL90">
        <f ca="1">COUNTIFS(INDIRECT("Table1[Beginn]"),"&lt;="&amp;CL$1,INDIRECT("Table1[Ende]"),"&gt;="&amp;CL$1,INDIRECT("Table1[Obergruppe ATC-Code]"),Tabelle3!$A90)</f>
        <v>1</v>
      </c>
      <c r="CM90">
        <f ca="1">COUNTIFS(INDIRECT("Table1[Beginn]"),"&lt;="&amp;CM$1,INDIRECT("Table1[Ende]"),"&gt;="&amp;CM$1,INDIRECT("Table1[Obergruppe ATC-Code]"),Tabelle3!$A90)</f>
        <v>0</v>
      </c>
      <c r="CN90">
        <f ca="1">COUNTIFS(INDIRECT("Table1[Beginn]"),"&lt;="&amp;CN$1,INDIRECT("Table1[Ende]"),"&gt;="&amp;CN$1,INDIRECT("Table1[Obergruppe ATC-Code]"),Tabelle3!$A90)</f>
        <v>0</v>
      </c>
      <c r="CO90">
        <f ca="1">COUNTIFS(INDIRECT("Table1[Beginn]"),"&lt;="&amp;CO$1,INDIRECT("Table1[Ende]"),"&gt;="&amp;CO$1,INDIRECT("Table1[Obergruppe ATC-Code]"),Tabelle3!$A90)</f>
        <v>0</v>
      </c>
      <c r="CP90">
        <f ca="1">COUNTIFS(INDIRECT("Table1[Beginn]"),"&lt;="&amp;CP$1,INDIRECT("Table1[Ende]"),"&gt;="&amp;CP$1,INDIRECT("Table1[Obergruppe ATC-Code]"),Tabelle3!$A90)</f>
        <v>0</v>
      </c>
      <c r="CQ90">
        <f ca="1">COUNTIFS(INDIRECT("Table1[Beginn]"),"&lt;="&amp;CQ$1,INDIRECT("Table1[Ende]"),"&gt;="&amp;CQ$1,INDIRECT("Table1[Obergruppe ATC-Code]"),Tabelle3!$A90)</f>
        <v>0</v>
      </c>
      <c r="CR90">
        <f ca="1">COUNTIFS(INDIRECT("Table1[Beginn]"),"&lt;="&amp;CR$1,INDIRECT("Table1[Ende]"),"&gt;="&amp;CR$1,INDIRECT("Table1[Obergruppe ATC-Code]"),Tabelle3!$A90)</f>
        <v>0</v>
      </c>
    </row>
    <row r="91" spans="1:96" ht="18">
      <c r="A91" s="9" t="s">
        <v>6950</v>
      </c>
      <c r="B91" s="10" t="s">
        <v>6951</v>
      </c>
      <c r="C91">
        <f ca="1">COUNTIFS(INDIRECT("Table1[Beginn]"),"&lt;="&amp;C$1,INDIRECT("Table1[Ende]"),"&gt;="&amp;C$1,INDIRECT("Table1[Obergruppe ATC-Code]"),Tabelle3!$A91)</f>
        <v>1</v>
      </c>
      <c r="D91">
        <f ca="1">COUNTIFS(INDIRECT("Table1[Beginn]"),"&lt;="&amp;D$1,INDIRECT("Table1[Ende]"),"&gt;="&amp;D$1,INDIRECT("Table1[Obergruppe ATC-Code]"),Tabelle3!$A91)</f>
        <v>1</v>
      </c>
      <c r="E91">
        <f ca="1">COUNTIFS(INDIRECT("Table1[Beginn]"),"&lt;="&amp;E$1,INDIRECT("Table1[Ende]"),"&gt;="&amp;E$1,INDIRECT("Table1[Obergruppe ATC-Code]"),Tabelle3!$A91)</f>
        <v>1</v>
      </c>
      <c r="F91">
        <f ca="1">COUNTIFS(INDIRECT("Table1[Beginn]"),"&lt;="&amp;F$1,INDIRECT("Table1[Ende]"),"&gt;="&amp;F$1,INDIRECT("Table1[Obergruppe ATC-Code]"),Tabelle3!$A91)</f>
        <v>1</v>
      </c>
      <c r="G91">
        <f ca="1">COUNTIFS(INDIRECT("Table1[Beginn]"),"&lt;="&amp;G$1,INDIRECT("Table1[Ende]"),"&gt;="&amp;G$1,INDIRECT("Table1[Obergruppe ATC-Code]"),Tabelle3!$A91)</f>
        <v>1</v>
      </c>
      <c r="H91">
        <f ca="1">COUNTIFS(INDIRECT("Table1[Beginn]"),"&lt;="&amp;H$1,INDIRECT("Table1[Ende]"),"&gt;="&amp;H$1,INDIRECT("Table1[Obergruppe ATC-Code]"),Tabelle3!$A91)</f>
        <v>1</v>
      </c>
      <c r="I91">
        <f ca="1">COUNTIFS(INDIRECT("Table1[Beginn]"),"&lt;="&amp;I$1,INDIRECT("Table1[Ende]"),"&gt;="&amp;I$1,INDIRECT("Table1[Obergruppe ATC-Code]"),Tabelle3!$A91)</f>
        <v>1</v>
      </c>
      <c r="J91">
        <f ca="1">COUNTIFS(INDIRECT("Table1[Beginn]"),"&lt;="&amp;J$1,INDIRECT("Table1[Ende]"),"&gt;="&amp;J$1,INDIRECT("Table1[Obergruppe ATC-Code]"),Tabelle3!$A91)</f>
        <v>1</v>
      </c>
      <c r="K91">
        <f ca="1">COUNTIFS(INDIRECT("Table1[Beginn]"),"&lt;="&amp;K$1,INDIRECT("Table1[Ende]"),"&gt;="&amp;K$1,INDIRECT("Table1[Obergruppe ATC-Code]"),Tabelle3!$A91)</f>
        <v>2</v>
      </c>
      <c r="L91">
        <f ca="1">COUNTIFS(INDIRECT("Table1[Beginn]"),"&lt;="&amp;L$1,INDIRECT("Table1[Ende]"),"&gt;="&amp;L$1,INDIRECT("Table1[Obergruppe ATC-Code]"),Tabelle3!$A91)</f>
        <v>2</v>
      </c>
      <c r="M91">
        <f ca="1">COUNTIFS(INDIRECT("Table1[Beginn]"),"&lt;="&amp;M$1,INDIRECT("Table1[Ende]"),"&gt;="&amp;M$1,INDIRECT("Table1[Obergruppe ATC-Code]"),Tabelle3!$A91)</f>
        <v>1</v>
      </c>
      <c r="N91">
        <f ca="1">COUNTIFS(INDIRECT("Table1[Beginn]"),"&lt;="&amp;N$1,INDIRECT("Table1[Ende]"),"&gt;="&amp;N$1,INDIRECT("Table1[Obergruppe ATC-Code]"),Tabelle3!$A91)</f>
        <v>1</v>
      </c>
      <c r="O91">
        <f ca="1">COUNTIFS(INDIRECT("Table1[Beginn]"),"&lt;="&amp;O$1,INDIRECT("Table1[Ende]"),"&gt;="&amp;O$1,INDIRECT("Table1[Obergruppe ATC-Code]"),Tabelle3!$A91)</f>
        <v>1</v>
      </c>
      <c r="P91">
        <f ca="1">COUNTIFS(INDIRECT("Table1[Beginn]"),"&lt;="&amp;P$1,INDIRECT("Table1[Ende]"),"&gt;="&amp;P$1,INDIRECT("Table1[Obergruppe ATC-Code]"),Tabelle3!$A91)</f>
        <v>1</v>
      </c>
      <c r="Q91">
        <f ca="1">COUNTIFS(INDIRECT("Table1[Beginn]"),"&lt;="&amp;Q$1,INDIRECT("Table1[Ende]"),"&gt;="&amp;Q$1,INDIRECT("Table1[Obergruppe ATC-Code]"),Tabelle3!$A91)</f>
        <v>1</v>
      </c>
      <c r="R91">
        <f ca="1">COUNTIFS(INDIRECT("Table1[Beginn]"),"&lt;="&amp;R$1,INDIRECT("Table1[Ende]"),"&gt;="&amp;R$1,INDIRECT("Table1[Obergruppe ATC-Code]"),Tabelle3!$A91)</f>
        <v>1</v>
      </c>
      <c r="S91">
        <f ca="1">COUNTIFS(INDIRECT("Table1[Beginn]"),"&lt;="&amp;S$1,INDIRECT("Table1[Ende]"),"&gt;="&amp;S$1,INDIRECT("Table1[Obergruppe ATC-Code]"),Tabelle3!$A91)</f>
        <v>1</v>
      </c>
      <c r="T91">
        <f ca="1">COUNTIFS(INDIRECT("Table1[Beginn]"),"&lt;="&amp;T$1,INDIRECT("Table1[Ende]"),"&gt;="&amp;T$1,INDIRECT("Table1[Obergruppe ATC-Code]"),Tabelle3!$A91)</f>
        <v>2</v>
      </c>
      <c r="U91">
        <f ca="1">COUNTIFS(INDIRECT("Table1[Beginn]"),"&lt;="&amp;U$1,INDIRECT("Table1[Ende]"),"&gt;="&amp;U$1,INDIRECT("Table1[Obergruppe ATC-Code]"),Tabelle3!$A91)</f>
        <v>2</v>
      </c>
      <c r="V91">
        <f ca="1">COUNTIFS(INDIRECT("Table1[Beginn]"),"&lt;="&amp;V$1,INDIRECT("Table1[Ende]"),"&gt;="&amp;V$1,INDIRECT("Table1[Obergruppe ATC-Code]"),Tabelle3!$A91)</f>
        <v>3</v>
      </c>
      <c r="W91">
        <f ca="1">COUNTIFS(INDIRECT("Table1[Beginn]"),"&lt;="&amp;W$1,INDIRECT("Table1[Ende]"),"&gt;="&amp;W$1,INDIRECT("Table1[Obergruppe ATC-Code]"),Tabelle3!$A91)</f>
        <v>3</v>
      </c>
      <c r="X91">
        <f ca="1">COUNTIFS(INDIRECT("Table1[Beginn]"),"&lt;="&amp;X$1,INDIRECT("Table1[Ende]"),"&gt;="&amp;X$1,INDIRECT("Table1[Obergruppe ATC-Code]"),Tabelle3!$A91)</f>
        <v>2</v>
      </c>
      <c r="Y91">
        <f ca="1">COUNTIFS(INDIRECT("Table1[Beginn]"),"&lt;="&amp;Y$1,INDIRECT("Table1[Ende]"),"&gt;="&amp;Y$1,INDIRECT("Table1[Obergruppe ATC-Code]"),Tabelle3!$A91)</f>
        <v>2</v>
      </c>
      <c r="Z91">
        <f ca="1">COUNTIFS(INDIRECT("Table1[Beginn]"),"&lt;="&amp;Z$1,INDIRECT("Table1[Ende]"),"&gt;="&amp;Z$1,INDIRECT("Table1[Obergruppe ATC-Code]"),Tabelle3!$A91)</f>
        <v>2</v>
      </c>
      <c r="AA91">
        <f ca="1">COUNTIFS(INDIRECT("Table1[Beginn]"),"&lt;="&amp;AA$1,INDIRECT("Table1[Ende]"),"&gt;="&amp;AA$1,INDIRECT("Table1[Obergruppe ATC-Code]"),Tabelle3!$A91)</f>
        <v>2</v>
      </c>
      <c r="AB91">
        <f ca="1">COUNTIFS(INDIRECT("Table1[Beginn]"),"&lt;="&amp;AB$1,INDIRECT("Table1[Ende]"),"&gt;="&amp;AB$1,INDIRECT("Table1[Obergruppe ATC-Code]"),Tabelle3!$A91)</f>
        <v>3</v>
      </c>
      <c r="AC91">
        <f ca="1">COUNTIFS(INDIRECT("Table1[Beginn]"),"&lt;="&amp;AC$1,INDIRECT("Table1[Ende]"),"&gt;="&amp;AC$1,INDIRECT("Table1[Obergruppe ATC-Code]"),Tabelle3!$A91)</f>
        <v>3</v>
      </c>
      <c r="AD91">
        <f ca="1">COUNTIFS(INDIRECT("Table1[Beginn]"),"&lt;="&amp;AD$1,INDIRECT("Table1[Ende]"),"&gt;="&amp;AD$1,INDIRECT("Table1[Obergruppe ATC-Code]"),Tabelle3!$A91)</f>
        <v>3</v>
      </c>
      <c r="AE91">
        <f ca="1">COUNTIFS(INDIRECT("Table1[Beginn]"),"&lt;="&amp;AE$1,INDIRECT("Table1[Ende]"),"&gt;="&amp;AE$1,INDIRECT("Table1[Obergruppe ATC-Code]"),Tabelle3!$A91)</f>
        <v>3</v>
      </c>
      <c r="AF91">
        <f ca="1">COUNTIFS(INDIRECT("Table1[Beginn]"),"&lt;="&amp;AF$1,INDIRECT("Table1[Ende]"),"&gt;="&amp;AF$1,INDIRECT("Table1[Obergruppe ATC-Code]"),Tabelle3!$A91)</f>
        <v>3</v>
      </c>
      <c r="AG91">
        <f ca="1">COUNTIFS(INDIRECT("Table1[Beginn]"),"&lt;="&amp;AG$1,INDIRECT("Table1[Ende]"),"&gt;="&amp;AG$1,INDIRECT("Table1[Obergruppe ATC-Code]"),Tabelle3!$A91)</f>
        <v>4</v>
      </c>
      <c r="AH91">
        <f ca="1">COUNTIFS(INDIRECT("Table1[Beginn]"),"&lt;="&amp;AH$1,INDIRECT("Table1[Ende]"),"&gt;="&amp;AH$1,INDIRECT("Table1[Obergruppe ATC-Code]"),Tabelle3!$A91)</f>
        <v>4</v>
      </c>
      <c r="AI91">
        <f ca="1">COUNTIFS(INDIRECT("Table1[Beginn]"),"&lt;="&amp;AI$1,INDIRECT("Table1[Ende]"),"&gt;="&amp;AI$1,INDIRECT("Table1[Obergruppe ATC-Code]"),Tabelle3!$A91)</f>
        <v>4</v>
      </c>
      <c r="AJ91">
        <f ca="1">COUNTIFS(INDIRECT("Table1[Beginn]"),"&lt;="&amp;AJ$1,INDIRECT("Table1[Ende]"),"&gt;="&amp;AJ$1,INDIRECT("Table1[Obergruppe ATC-Code]"),Tabelle3!$A91)</f>
        <v>4</v>
      </c>
      <c r="AK91">
        <f ca="1">COUNTIFS(INDIRECT("Table1[Beginn]"),"&lt;="&amp;AK$1,INDIRECT("Table1[Ende]"),"&gt;="&amp;AK$1,INDIRECT("Table1[Obergruppe ATC-Code]"),Tabelle3!$A91)</f>
        <v>3</v>
      </c>
      <c r="AL91">
        <f ca="1">COUNTIFS(INDIRECT("Table1[Beginn]"),"&lt;="&amp;AL$1,INDIRECT("Table1[Ende]"),"&gt;="&amp;AL$1,INDIRECT("Table1[Obergruppe ATC-Code]"),Tabelle3!$A91)</f>
        <v>3</v>
      </c>
      <c r="AM91">
        <f ca="1">COUNTIFS(INDIRECT("Table1[Beginn]"),"&lt;="&amp;AM$1,INDIRECT("Table1[Ende]"),"&gt;="&amp;AM$1,INDIRECT("Table1[Obergruppe ATC-Code]"),Tabelle3!$A91)</f>
        <v>3</v>
      </c>
      <c r="AN91">
        <f ca="1">COUNTIFS(INDIRECT("Table1[Beginn]"),"&lt;="&amp;AN$1,INDIRECT("Table1[Ende]"),"&gt;="&amp;AN$1,INDIRECT("Table1[Obergruppe ATC-Code]"),Tabelle3!$A91)</f>
        <v>2</v>
      </c>
      <c r="AO91">
        <f ca="1">COUNTIFS(INDIRECT("Table1[Beginn]"),"&lt;="&amp;AO$1,INDIRECT("Table1[Ende]"),"&gt;="&amp;AO$1,INDIRECT("Table1[Obergruppe ATC-Code]"),Tabelle3!$A91)</f>
        <v>2</v>
      </c>
      <c r="AP91">
        <f ca="1">COUNTIFS(INDIRECT("Table1[Beginn]"),"&lt;="&amp;AP$1,INDIRECT("Table1[Ende]"),"&gt;="&amp;AP$1,INDIRECT("Table1[Obergruppe ATC-Code]"),Tabelle3!$A91)</f>
        <v>2</v>
      </c>
      <c r="AQ91">
        <f ca="1">COUNTIFS(INDIRECT("Table1[Beginn]"),"&lt;="&amp;AQ$1,INDIRECT("Table1[Ende]"),"&gt;="&amp;AQ$1,INDIRECT("Table1[Obergruppe ATC-Code]"),Tabelle3!$A91)</f>
        <v>2</v>
      </c>
      <c r="AR91">
        <f ca="1">COUNTIFS(INDIRECT("Table1[Beginn]"),"&lt;="&amp;AR$1,INDIRECT("Table1[Ende]"),"&gt;="&amp;AR$1,INDIRECT("Table1[Obergruppe ATC-Code]"),Tabelle3!$A91)</f>
        <v>2</v>
      </c>
      <c r="AS91">
        <f ca="1">COUNTIFS(INDIRECT("Table1[Beginn]"),"&lt;="&amp;AS$1,INDIRECT("Table1[Ende]"),"&gt;="&amp;AS$1,INDIRECT("Table1[Obergruppe ATC-Code]"),Tabelle3!$A91)</f>
        <v>2</v>
      </c>
      <c r="AT91">
        <f ca="1">COUNTIFS(INDIRECT("Table1[Beginn]"),"&lt;="&amp;AT$1,INDIRECT("Table1[Ende]"),"&gt;="&amp;AT$1,INDIRECT("Table1[Obergruppe ATC-Code]"),Tabelle3!$A91)</f>
        <v>2</v>
      </c>
      <c r="AU91">
        <f ca="1">COUNTIFS(INDIRECT("Table1[Beginn]"),"&lt;="&amp;AU$1,INDIRECT("Table1[Ende]"),"&gt;="&amp;AU$1,INDIRECT("Table1[Obergruppe ATC-Code]"),Tabelle3!$A91)</f>
        <v>2</v>
      </c>
      <c r="AV91">
        <f ca="1">COUNTIFS(INDIRECT("Table1[Beginn]"),"&lt;="&amp;AV$1,INDIRECT("Table1[Ende]"),"&gt;="&amp;AV$1,INDIRECT("Table1[Obergruppe ATC-Code]"),Tabelle3!$A91)</f>
        <v>2</v>
      </c>
      <c r="AW91">
        <f ca="1">COUNTIFS(INDIRECT("Table1[Beginn]"),"&lt;="&amp;AW$1,INDIRECT("Table1[Ende]"),"&gt;="&amp;AW$1,INDIRECT("Table1[Obergruppe ATC-Code]"),Tabelle3!$A91)</f>
        <v>1</v>
      </c>
      <c r="AX91">
        <f ca="1">COUNTIFS(INDIRECT("Table1[Beginn]"),"&lt;="&amp;AX$1,INDIRECT("Table1[Ende]"),"&gt;="&amp;AX$1,INDIRECT("Table1[Obergruppe ATC-Code]"),Tabelle3!$A91)</f>
        <v>1</v>
      </c>
      <c r="AY91">
        <f ca="1">COUNTIFS(INDIRECT("Table1[Beginn]"),"&lt;="&amp;AY$1,INDIRECT("Table1[Ende]"),"&gt;="&amp;AY$1,INDIRECT("Table1[Obergruppe ATC-Code]"),Tabelle3!$A91)</f>
        <v>1</v>
      </c>
      <c r="AZ91">
        <f ca="1">COUNTIFS(INDIRECT("Table1[Beginn]"),"&lt;="&amp;AZ$1,INDIRECT("Table1[Ende]"),"&gt;="&amp;AZ$1,INDIRECT("Table1[Obergruppe ATC-Code]"),Tabelle3!$A91)</f>
        <v>1</v>
      </c>
      <c r="BA91">
        <f ca="1">COUNTIFS(INDIRECT("Table1[Beginn]"),"&lt;="&amp;BA$1,INDIRECT("Table1[Ende]"),"&gt;="&amp;BA$1,INDIRECT("Table1[Obergruppe ATC-Code]"),Tabelle3!$A91)</f>
        <v>1</v>
      </c>
      <c r="BB91">
        <f ca="1">COUNTIFS(INDIRECT("Table1[Beginn]"),"&lt;="&amp;BB$1,INDIRECT("Table1[Ende]"),"&gt;="&amp;BB$1,INDIRECT("Table1[Obergruppe ATC-Code]"),Tabelle3!$A91)</f>
        <v>1</v>
      </c>
      <c r="BC91">
        <f ca="1">COUNTIFS(INDIRECT("Table1[Beginn]"),"&lt;="&amp;BC$1,INDIRECT("Table1[Ende]"),"&gt;="&amp;BC$1,INDIRECT("Table1[Obergruppe ATC-Code]"),Tabelle3!$A91)</f>
        <v>1</v>
      </c>
      <c r="BD91">
        <f ca="1">COUNTIFS(INDIRECT("Table1[Beginn]"),"&lt;="&amp;BD$1,INDIRECT("Table1[Ende]"),"&gt;="&amp;BD$1,INDIRECT("Table1[Obergruppe ATC-Code]"),Tabelle3!$A91)</f>
        <v>1</v>
      </c>
      <c r="BE91">
        <f ca="1">COUNTIFS(INDIRECT("Table1[Beginn]"),"&lt;="&amp;BE$1,INDIRECT("Table1[Ende]"),"&gt;="&amp;BE$1,INDIRECT("Table1[Obergruppe ATC-Code]"),Tabelle3!$A91)</f>
        <v>1</v>
      </c>
      <c r="BF91">
        <f ca="1">COUNTIFS(INDIRECT("Table1[Beginn]"),"&lt;="&amp;BF$1,INDIRECT("Table1[Ende]"),"&gt;="&amp;BF$1,INDIRECT("Table1[Obergruppe ATC-Code]"),Tabelle3!$A91)</f>
        <v>1</v>
      </c>
      <c r="BG91">
        <f ca="1">COUNTIFS(INDIRECT("Table1[Beginn]"),"&lt;="&amp;BG$1,INDIRECT("Table1[Ende]"),"&gt;="&amp;BG$1,INDIRECT("Table1[Obergruppe ATC-Code]"),Tabelle3!$A91)</f>
        <v>1</v>
      </c>
      <c r="BH91">
        <f ca="1">COUNTIFS(INDIRECT("Table1[Beginn]"),"&lt;="&amp;BH$1,INDIRECT("Table1[Ende]"),"&gt;="&amp;BH$1,INDIRECT("Table1[Obergruppe ATC-Code]"),Tabelle3!$A91)</f>
        <v>1</v>
      </c>
      <c r="BI91">
        <f ca="1">COUNTIFS(INDIRECT("Table1[Beginn]"),"&lt;="&amp;BI$1,INDIRECT("Table1[Ende]"),"&gt;="&amp;BI$1,INDIRECT("Table1[Obergruppe ATC-Code]"),Tabelle3!$A91)</f>
        <v>1</v>
      </c>
      <c r="BJ91">
        <f ca="1">COUNTIFS(INDIRECT("Table1[Beginn]"),"&lt;="&amp;BJ$1,INDIRECT("Table1[Ende]"),"&gt;="&amp;BJ$1,INDIRECT("Table1[Obergruppe ATC-Code]"),Tabelle3!$A91)</f>
        <v>1</v>
      </c>
      <c r="BK91">
        <f ca="1">COUNTIFS(INDIRECT("Table1[Beginn]"),"&lt;="&amp;BK$1,INDIRECT("Table1[Ende]"),"&gt;="&amp;BK$1,INDIRECT("Table1[Obergruppe ATC-Code]"),Tabelle3!$A91)</f>
        <v>1</v>
      </c>
      <c r="BL91">
        <f ca="1">COUNTIFS(INDIRECT("Table1[Beginn]"),"&lt;="&amp;BL$1,INDIRECT("Table1[Ende]"),"&gt;="&amp;BL$1,INDIRECT("Table1[Obergruppe ATC-Code]"),Tabelle3!$A91)</f>
        <v>1</v>
      </c>
      <c r="BM91">
        <f ca="1">COUNTIFS(INDIRECT("Table1[Beginn]"),"&lt;="&amp;BM$1,INDIRECT("Table1[Ende]"),"&gt;="&amp;BM$1,INDIRECT("Table1[Obergruppe ATC-Code]"),Tabelle3!$A91)</f>
        <v>1</v>
      </c>
      <c r="BN91">
        <f ca="1">COUNTIFS(INDIRECT("Table1[Beginn]"),"&lt;="&amp;BN$1,INDIRECT("Table1[Ende]"),"&gt;="&amp;BN$1,INDIRECT("Table1[Obergruppe ATC-Code]"),Tabelle3!$A91)</f>
        <v>1</v>
      </c>
      <c r="BO91">
        <f ca="1">COUNTIFS(INDIRECT("Table1[Beginn]"),"&lt;="&amp;BO$1,INDIRECT("Table1[Ende]"),"&gt;="&amp;BO$1,INDIRECT("Table1[Obergruppe ATC-Code]"),Tabelle3!$A91)</f>
        <v>1</v>
      </c>
      <c r="BP91">
        <f ca="1">COUNTIFS(INDIRECT("Table1[Beginn]"),"&lt;="&amp;BP$1,INDIRECT("Table1[Ende]"),"&gt;="&amp;BP$1,INDIRECT("Table1[Obergruppe ATC-Code]"),Tabelle3!$A91)</f>
        <v>1</v>
      </c>
      <c r="BQ91">
        <f ca="1">COUNTIFS(INDIRECT("Table1[Beginn]"),"&lt;="&amp;BQ$1,INDIRECT("Table1[Ende]"),"&gt;="&amp;BQ$1,INDIRECT("Table1[Obergruppe ATC-Code]"),Tabelle3!$A91)</f>
        <v>2</v>
      </c>
      <c r="BR91">
        <f ca="1">COUNTIFS(INDIRECT("Table1[Beginn]"),"&lt;="&amp;BR$1,INDIRECT("Table1[Ende]"),"&gt;="&amp;BR$1,INDIRECT("Table1[Obergruppe ATC-Code]"),Tabelle3!$A91)</f>
        <v>2</v>
      </c>
      <c r="BS91">
        <f ca="1">COUNTIFS(INDIRECT("Table1[Beginn]"),"&lt;="&amp;BS$1,INDIRECT("Table1[Ende]"),"&gt;="&amp;BS$1,INDIRECT("Table1[Obergruppe ATC-Code]"),Tabelle3!$A91)</f>
        <v>2</v>
      </c>
      <c r="BT91">
        <f ca="1">COUNTIFS(INDIRECT("Table1[Beginn]"),"&lt;="&amp;BT$1,INDIRECT("Table1[Ende]"),"&gt;="&amp;BT$1,INDIRECT("Table1[Obergruppe ATC-Code]"),Tabelle3!$A91)</f>
        <v>3</v>
      </c>
      <c r="BU91">
        <f ca="1">COUNTIFS(INDIRECT("Table1[Beginn]"),"&lt;="&amp;BU$1,INDIRECT("Table1[Ende]"),"&gt;="&amp;BU$1,INDIRECT("Table1[Obergruppe ATC-Code]"),Tabelle3!$A91)</f>
        <v>3</v>
      </c>
      <c r="BV91">
        <f ca="1">COUNTIFS(INDIRECT("Table1[Beginn]"),"&lt;="&amp;BV$1,INDIRECT("Table1[Ende]"),"&gt;="&amp;BV$1,INDIRECT("Table1[Obergruppe ATC-Code]"),Tabelle3!$A91)</f>
        <v>3</v>
      </c>
      <c r="BW91">
        <f ca="1">COUNTIFS(INDIRECT("Table1[Beginn]"),"&lt;="&amp;BW$1,INDIRECT("Table1[Ende]"),"&gt;="&amp;BW$1,INDIRECT("Table1[Obergruppe ATC-Code]"),Tabelle3!$A91)</f>
        <v>3</v>
      </c>
      <c r="BX91">
        <f ca="1">COUNTIFS(INDIRECT("Table1[Beginn]"),"&lt;="&amp;BX$1,INDIRECT("Table1[Ende]"),"&gt;="&amp;BX$1,INDIRECT("Table1[Obergruppe ATC-Code]"),Tabelle3!$A91)</f>
        <v>3</v>
      </c>
      <c r="BY91">
        <f ca="1">COUNTIFS(INDIRECT("Table1[Beginn]"),"&lt;="&amp;BY$1,INDIRECT("Table1[Ende]"),"&gt;="&amp;BY$1,INDIRECT("Table1[Obergruppe ATC-Code]"),Tabelle3!$A91)</f>
        <v>3</v>
      </c>
      <c r="BZ91">
        <f ca="1">COUNTIFS(INDIRECT("Table1[Beginn]"),"&lt;="&amp;BZ$1,INDIRECT("Table1[Ende]"),"&gt;="&amp;BZ$1,INDIRECT("Table1[Obergruppe ATC-Code]"),Tabelle3!$A91)</f>
        <v>3</v>
      </c>
      <c r="CA91">
        <f ca="1">COUNTIFS(INDIRECT("Table1[Beginn]"),"&lt;="&amp;CA$1,INDIRECT("Table1[Ende]"),"&gt;="&amp;CA$1,INDIRECT("Table1[Obergruppe ATC-Code]"),Tabelle3!$A91)</f>
        <v>3</v>
      </c>
      <c r="CB91">
        <f ca="1">COUNTIFS(INDIRECT("Table1[Beginn]"),"&lt;="&amp;CB$1,INDIRECT("Table1[Ende]"),"&gt;="&amp;CB$1,INDIRECT("Table1[Obergruppe ATC-Code]"),Tabelle3!$A91)</f>
        <v>3</v>
      </c>
      <c r="CC91">
        <f ca="1">COUNTIFS(INDIRECT("Table1[Beginn]"),"&lt;="&amp;CC$1,INDIRECT("Table1[Ende]"),"&gt;="&amp;CC$1,INDIRECT("Table1[Obergruppe ATC-Code]"),Tabelle3!$A91)</f>
        <v>3</v>
      </c>
      <c r="CD91">
        <f ca="1">COUNTIFS(INDIRECT("Table1[Beginn]"),"&lt;="&amp;CD$1,INDIRECT("Table1[Ende]"),"&gt;="&amp;CD$1,INDIRECT("Table1[Obergruppe ATC-Code]"),Tabelle3!$A91)</f>
        <v>3</v>
      </c>
      <c r="CE91">
        <f ca="1">COUNTIFS(INDIRECT("Table1[Beginn]"),"&lt;="&amp;CE$1,INDIRECT("Table1[Ende]"),"&gt;="&amp;CE$1,INDIRECT("Table1[Obergruppe ATC-Code]"),Tabelle3!$A91)</f>
        <v>3</v>
      </c>
      <c r="CF91">
        <f ca="1">COUNTIFS(INDIRECT("Table1[Beginn]"),"&lt;="&amp;CF$1,INDIRECT("Table1[Ende]"),"&gt;="&amp;CF$1,INDIRECT("Table1[Obergruppe ATC-Code]"),Tabelle3!$A91)</f>
        <v>3</v>
      </c>
      <c r="CG91">
        <f ca="1">COUNTIFS(INDIRECT("Table1[Beginn]"),"&lt;="&amp;CG$1,INDIRECT("Table1[Ende]"),"&gt;="&amp;CG$1,INDIRECT("Table1[Obergruppe ATC-Code]"),Tabelle3!$A91)</f>
        <v>1</v>
      </c>
      <c r="CH91">
        <f ca="1">COUNTIFS(INDIRECT("Table1[Beginn]"),"&lt;="&amp;CH$1,INDIRECT("Table1[Ende]"),"&gt;="&amp;CH$1,INDIRECT("Table1[Obergruppe ATC-Code]"),Tabelle3!$A91)</f>
        <v>1</v>
      </c>
      <c r="CI91">
        <f ca="1">COUNTIFS(INDIRECT("Table1[Beginn]"),"&lt;="&amp;CI$1,INDIRECT("Table1[Ende]"),"&gt;="&amp;CI$1,INDIRECT("Table1[Obergruppe ATC-Code]"),Tabelle3!$A91)</f>
        <v>1</v>
      </c>
      <c r="CJ91">
        <f ca="1">COUNTIFS(INDIRECT("Table1[Beginn]"),"&lt;="&amp;CJ$1,INDIRECT("Table1[Ende]"),"&gt;="&amp;CJ$1,INDIRECT("Table1[Obergruppe ATC-Code]"),Tabelle3!$A91)</f>
        <v>0</v>
      </c>
      <c r="CK91">
        <f ca="1">COUNTIFS(INDIRECT("Table1[Beginn]"),"&lt;="&amp;CK$1,INDIRECT("Table1[Ende]"),"&gt;="&amp;CK$1,INDIRECT("Table1[Obergruppe ATC-Code]"),Tabelle3!$A91)</f>
        <v>0</v>
      </c>
      <c r="CL91">
        <f ca="1">COUNTIFS(INDIRECT("Table1[Beginn]"),"&lt;="&amp;CL$1,INDIRECT("Table1[Ende]"),"&gt;="&amp;CL$1,INDIRECT("Table1[Obergruppe ATC-Code]"),Tabelle3!$A91)</f>
        <v>0</v>
      </c>
      <c r="CM91">
        <f ca="1">COUNTIFS(INDIRECT("Table1[Beginn]"),"&lt;="&amp;CM$1,INDIRECT("Table1[Ende]"),"&gt;="&amp;CM$1,INDIRECT("Table1[Obergruppe ATC-Code]"),Tabelle3!$A91)</f>
        <v>0</v>
      </c>
      <c r="CN91">
        <f ca="1">COUNTIFS(INDIRECT("Table1[Beginn]"),"&lt;="&amp;CN$1,INDIRECT("Table1[Ende]"),"&gt;="&amp;CN$1,INDIRECT("Table1[Obergruppe ATC-Code]"),Tabelle3!$A91)</f>
        <v>0</v>
      </c>
      <c r="CO91">
        <f ca="1">COUNTIFS(INDIRECT("Table1[Beginn]"),"&lt;="&amp;CO$1,INDIRECT("Table1[Ende]"),"&gt;="&amp;CO$1,INDIRECT("Table1[Obergruppe ATC-Code]"),Tabelle3!$A91)</f>
        <v>0</v>
      </c>
      <c r="CP91">
        <f ca="1">COUNTIFS(INDIRECT("Table1[Beginn]"),"&lt;="&amp;CP$1,INDIRECT("Table1[Ende]"),"&gt;="&amp;CP$1,INDIRECT("Table1[Obergruppe ATC-Code]"),Tabelle3!$A91)</f>
        <v>0</v>
      </c>
      <c r="CQ91">
        <f ca="1">COUNTIFS(INDIRECT("Table1[Beginn]"),"&lt;="&amp;CQ$1,INDIRECT("Table1[Ende]"),"&gt;="&amp;CQ$1,INDIRECT("Table1[Obergruppe ATC-Code]"),Tabelle3!$A91)</f>
        <v>0</v>
      </c>
      <c r="CR91">
        <f ca="1">COUNTIFS(INDIRECT("Table1[Beginn]"),"&lt;="&amp;CR$1,INDIRECT("Table1[Ende]"),"&gt;="&amp;CR$1,INDIRECT("Table1[Obergruppe ATC-Code]"),Tabelle3!$A91)</f>
        <v>0</v>
      </c>
    </row>
    <row r="92" spans="1:96" ht="18">
      <c r="A92" s="7" t="s">
        <v>6952</v>
      </c>
      <c r="B92" s="8" t="s">
        <v>6953</v>
      </c>
      <c r="C92">
        <f ca="1">COUNTIFS(INDIRECT("Table1[Beginn]"),"&lt;="&amp;C$1,INDIRECT("Table1[Ende]"),"&gt;="&amp;C$1,INDIRECT("Table1[Obergruppe ATC-Code]"),Tabelle3!$A92)</f>
        <v>0</v>
      </c>
      <c r="D92">
        <f ca="1">COUNTIFS(INDIRECT("Table1[Beginn]"),"&lt;="&amp;D$1,INDIRECT("Table1[Ende]"),"&gt;="&amp;D$1,INDIRECT("Table1[Obergruppe ATC-Code]"),Tabelle3!$A92)</f>
        <v>0</v>
      </c>
      <c r="E92">
        <f ca="1">COUNTIFS(INDIRECT("Table1[Beginn]"),"&lt;="&amp;E$1,INDIRECT("Table1[Ende]"),"&gt;="&amp;E$1,INDIRECT("Table1[Obergruppe ATC-Code]"),Tabelle3!$A92)</f>
        <v>0</v>
      </c>
      <c r="F92">
        <f ca="1">COUNTIFS(INDIRECT("Table1[Beginn]"),"&lt;="&amp;F$1,INDIRECT("Table1[Ende]"),"&gt;="&amp;F$1,INDIRECT("Table1[Obergruppe ATC-Code]"),Tabelle3!$A92)</f>
        <v>0</v>
      </c>
      <c r="G92">
        <f ca="1">COUNTIFS(INDIRECT("Table1[Beginn]"),"&lt;="&amp;G$1,INDIRECT("Table1[Ende]"),"&gt;="&amp;G$1,INDIRECT("Table1[Obergruppe ATC-Code]"),Tabelle3!$A92)</f>
        <v>0</v>
      </c>
      <c r="H92">
        <f ca="1">COUNTIFS(INDIRECT("Table1[Beginn]"),"&lt;="&amp;H$1,INDIRECT("Table1[Ende]"),"&gt;="&amp;H$1,INDIRECT("Table1[Obergruppe ATC-Code]"),Tabelle3!$A92)</f>
        <v>0</v>
      </c>
      <c r="I92">
        <f ca="1">COUNTIFS(INDIRECT("Table1[Beginn]"),"&lt;="&amp;I$1,INDIRECT("Table1[Ende]"),"&gt;="&amp;I$1,INDIRECT("Table1[Obergruppe ATC-Code]"),Tabelle3!$A92)</f>
        <v>0</v>
      </c>
      <c r="J92">
        <f ca="1">COUNTIFS(INDIRECT("Table1[Beginn]"),"&lt;="&amp;J$1,INDIRECT("Table1[Ende]"),"&gt;="&amp;J$1,INDIRECT("Table1[Obergruppe ATC-Code]"),Tabelle3!$A92)</f>
        <v>0</v>
      </c>
      <c r="K92">
        <f ca="1">COUNTIFS(INDIRECT("Table1[Beginn]"),"&lt;="&amp;K$1,INDIRECT("Table1[Ende]"),"&gt;="&amp;K$1,INDIRECT("Table1[Obergruppe ATC-Code]"),Tabelle3!$A92)</f>
        <v>0</v>
      </c>
      <c r="L92">
        <f ca="1">COUNTIFS(INDIRECT("Table1[Beginn]"),"&lt;="&amp;L$1,INDIRECT("Table1[Ende]"),"&gt;="&amp;L$1,INDIRECT("Table1[Obergruppe ATC-Code]"),Tabelle3!$A92)</f>
        <v>0</v>
      </c>
      <c r="M92">
        <f ca="1">COUNTIFS(INDIRECT("Table1[Beginn]"),"&lt;="&amp;M$1,INDIRECT("Table1[Ende]"),"&gt;="&amp;M$1,INDIRECT("Table1[Obergruppe ATC-Code]"),Tabelle3!$A92)</f>
        <v>0</v>
      </c>
      <c r="N92">
        <f ca="1">COUNTIFS(INDIRECT("Table1[Beginn]"),"&lt;="&amp;N$1,INDIRECT("Table1[Ende]"),"&gt;="&amp;N$1,INDIRECT("Table1[Obergruppe ATC-Code]"),Tabelle3!$A92)</f>
        <v>0</v>
      </c>
      <c r="O92">
        <f ca="1">COUNTIFS(INDIRECT("Table1[Beginn]"),"&lt;="&amp;O$1,INDIRECT("Table1[Ende]"),"&gt;="&amp;O$1,INDIRECT("Table1[Obergruppe ATC-Code]"),Tabelle3!$A92)</f>
        <v>0</v>
      </c>
      <c r="P92">
        <f ca="1">COUNTIFS(INDIRECT("Table1[Beginn]"),"&lt;="&amp;P$1,INDIRECT("Table1[Ende]"),"&gt;="&amp;P$1,INDIRECT("Table1[Obergruppe ATC-Code]"),Tabelle3!$A92)</f>
        <v>0</v>
      </c>
      <c r="Q92">
        <f ca="1">COUNTIFS(INDIRECT("Table1[Beginn]"),"&lt;="&amp;Q$1,INDIRECT("Table1[Ende]"),"&gt;="&amp;Q$1,INDIRECT("Table1[Obergruppe ATC-Code]"),Tabelle3!$A92)</f>
        <v>0</v>
      </c>
      <c r="R92">
        <f ca="1">COUNTIFS(INDIRECT("Table1[Beginn]"),"&lt;="&amp;R$1,INDIRECT("Table1[Ende]"),"&gt;="&amp;R$1,INDIRECT("Table1[Obergruppe ATC-Code]"),Tabelle3!$A92)</f>
        <v>0</v>
      </c>
      <c r="S92">
        <f ca="1">COUNTIFS(INDIRECT("Table1[Beginn]"),"&lt;="&amp;S$1,INDIRECT("Table1[Ende]"),"&gt;="&amp;S$1,INDIRECT("Table1[Obergruppe ATC-Code]"),Tabelle3!$A92)</f>
        <v>0</v>
      </c>
      <c r="T92">
        <f ca="1">COUNTIFS(INDIRECT("Table1[Beginn]"),"&lt;="&amp;T$1,INDIRECT("Table1[Ende]"),"&gt;="&amp;T$1,INDIRECT("Table1[Obergruppe ATC-Code]"),Tabelle3!$A92)</f>
        <v>0</v>
      </c>
      <c r="U92">
        <f ca="1">COUNTIFS(INDIRECT("Table1[Beginn]"),"&lt;="&amp;U$1,INDIRECT("Table1[Ende]"),"&gt;="&amp;U$1,INDIRECT("Table1[Obergruppe ATC-Code]"),Tabelle3!$A92)</f>
        <v>0</v>
      </c>
      <c r="V92">
        <f ca="1">COUNTIFS(INDIRECT("Table1[Beginn]"),"&lt;="&amp;V$1,INDIRECT("Table1[Ende]"),"&gt;="&amp;V$1,INDIRECT("Table1[Obergruppe ATC-Code]"),Tabelle3!$A92)</f>
        <v>0</v>
      </c>
      <c r="W92">
        <f ca="1">COUNTIFS(INDIRECT("Table1[Beginn]"),"&lt;="&amp;W$1,INDIRECT("Table1[Ende]"),"&gt;="&amp;W$1,INDIRECT("Table1[Obergruppe ATC-Code]"),Tabelle3!$A92)</f>
        <v>0</v>
      </c>
      <c r="X92">
        <f ca="1">COUNTIFS(INDIRECT("Table1[Beginn]"),"&lt;="&amp;X$1,INDIRECT("Table1[Ende]"),"&gt;="&amp;X$1,INDIRECT("Table1[Obergruppe ATC-Code]"),Tabelle3!$A92)</f>
        <v>0</v>
      </c>
      <c r="Y92">
        <f ca="1">COUNTIFS(INDIRECT("Table1[Beginn]"),"&lt;="&amp;Y$1,INDIRECT("Table1[Ende]"),"&gt;="&amp;Y$1,INDIRECT("Table1[Obergruppe ATC-Code]"),Tabelle3!$A92)</f>
        <v>0</v>
      </c>
      <c r="Z92">
        <f ca="1">COUNTIFS(INDIRECT("Table1[Beginn]"),"&lt;="&amp;Z$1,INDIRECT("Table1[Ende]"),"&gt;="&amp;Z$1,INDIRECT("Table1[Obergruppe ATC-Code]"),Tabelle3!$A92)</f>
        <v>0</v>
      </c>
      <c r="AA92">
        <f ca="1">COUNTIFS(INDIRECT("Table1[Beginn]"),"&lt;="&amp;AA$1,INDIRECT("Table1[Ende]"),"&gt;="&amp;AA$1,INDIRECT("Table1[Obergruppe ATC-Code]"),Tabelle3!$A92)</f>
        <v>0</v>
      </c>
      <c r="AB92">
        <f ca="1">COUNTIFS(INDIRECT("Table1[Beginn]"),"&lt;="&amp;AB$1,INDIRECT("Table1[Ende]"),"&gt;="&amp;AB$1,INDIRECT("Table1[Obergruppe ATC-Code]"),Tabelle3!$A92)</f>
        <v>0</v>
      </c>
      <c r="AC92">
        <f ca="1">COUNTIFS(INDIRECT("Table1[Beginn]"),"&lt;="&amp;AC$1,INDIRECT("Table1[Ende]"),"&gt;="&amp;AC$1,INDIRECT("Table1[Obergruppe ATC-Code]"),Tabelle3!$A92)</f>
        <v>0</v>
      </c>
      <c r="AD92">
        <f ca="1">COUNTIFS(INDIRECT("Table1[Beginn]"),"&lt;="&amp;AD$1,INDIRECT("Table1[Ende]"),"&gt;="&amp;AD$1,INDIRECT("Table1[Obergruppe ATC-Code]"),Tabelle3!$A92)</f>
        <v>0</v>
      </c>
      <c r="AE92">
        <f ca="1">COUNTIFS(INDIRECT("Table1[Beginn]"),"&lt;="&amp;AE$1,INDIRECT("Table1[Ende]"),"&gt;="&amp;AE$1,INDIRECT("Table1[Obergruppe ATC-Code]"),Tabelle3!$A92)</f>
        <v>0</v>
      </c>
      <c r="AF92">
        <f ca="1">COUNTIFS(INDIRECT("Table1[Beginn]"),"&lt;="&amp;AF$1,INDIRECT("Table1[Ende]"),"&gt;="&amp;AF$1,INDIRECT("Table1[Obergruppe ATC-Code]"),Tabelle3!$A92)</f>
        <v>0</v>
      </c>
      <c r="AG92">
        <f ca="1">COUNTIFS(INDIRECT("Table1[Beginn]"),"&lt;="&amp;AG$1,INDIRECT("Table1[Ende]"),"&gt;="&amp;AG$1,INDIRECT("Table1[Obergruppe ATC-Code]"),Tabelle3!$A92)</f>
        <v>0</v>
      </c>
      <c r="AH92">
        <f ca="1">COUNTIFS(INDIRECT("Table1[Beginn]"),"&lt;="&amp;AH$1,INDIRECT("Table1[Ende]"),"&gt;="&amp;AH$1,INDIRECT("Table1[Obergruppe ATC-Code]"),Tabelle3!$A92)</f>
        <v>0</v>
      </c>
      <c r="AI92">
        <f ca="1">COUNTIFS(INDIRECT("Table1[Beginn]"),"&lt;="&amp;AI$1,INDIRECT("Table1[Ende]"),"&gt;="&amp;AI$1,INDIRECT("Table1[Obergruppe ATC-Code]"),Tabelle3!$A92)</f>
        <v>0</v>
      </c>
      <c r="AJ92">
        <f ca="1">COUNTIFS(INDIRECT("Table1[Beginn]"),"&lt;="&amp;AJ$1,INDIRECT("Table1[Ende]"),"&gt;="&amp;AJ$1,INDIRECT("Table1[Obergruppe ATC-Code]"),Tabelle3!$A92)</f>
        <v>0</v>
      </c>
      <c r="AK92">
        <f ca="1">COUNTIFS(INDIRECT("Table1[Beginn]"),"&lt;="&amp;AK$1,INDIRECT("Table1[Ende]"),"&gt;="&amp;AK$1,INDIRECT("Table1[Obergruppe ATC-Code]"),Tabelle3!$A92)</f>
        <v>0</v>
      </c>
      <c r="AL92">
        <f ca="1">COUNTIFS(INDIRECT("Table1[Beginn]"),"&lt;="&amp;AL$1,INDIRECT("Table1[Ende]"),"&gt;="&amp;AL$1,INDIRECT("Table1[Obergruppe ATC-Code]"),Tabelle3!$A92)</f>
        <v>0</v>
      </c>
      <c r="AM92">
        <f ca="1">COUNTIFS(INDIRECT("Table1[Beginn]"),"&lt;="&amp;AM$1,INDIRECT("Table1[Ende]"),"&gt;="&amp;AM$1,INDIRECT("Table1[Obergruppe ATC-Code]"),Tabelle3!$A92)</f>
        <v>0</v>
      </c>
      <c r="AN92">
        <f ca="1">COUNTIFS(INDIRECT("Table1[Beginn]"),"&lt;="&amp;AN$1,INDIRECT("Table1[Ende]"),"&gt;="&amp;AN$1,INDIRECT("Table1[Obergruppe ATC-Code]"),Tabelle3!$A92)</f>
        <v>0</v>
      </c>
      <c r="AO92">
        <f ca="1">COUNTIFS(INDIRECT("Table1[Beginn]"),"&lt;="&amp;AO$1,INDIRECT("Table1[Ende]"),"&gt;="&amp;AO$1,INDIRECT("Table1[Obergruppe ATC-Code]"),Tabelle3!$A92)</f>
        <v>0</v>
      </c>
      <c r="AP92">
        <f ca="1">COUNTIFS(INDIRECT("Table1[Beginn]"),"&lt;="&amp;AP$1,INDIRECT("Table1[Ende]"),"&gt;="&amp;AP$1,INDIRECT("Table1[Obergruppe ATC-Code]"),Tabelle3!$A92)</f>
        <v>0</v>
      </c>
      <c r="AQ92">
        <f ca="1">COUNTIFS(INDIRECT("Table1[Beginn]"),"&lt;="&amp;AQ$1,INDIRECT("Table1[Ende]"),"&gt;="&amp;AQ$1,INDIRECT("Table1[Obergruppe ATC-Code]"),Tabelle3!$A92)</f>
        <v>0</v>
      </c>
      <c r="AR92">
        <f ca="1">COUNTIFS(INDIRECT("Table1[Beginn]"),"&lt;="&amp;AR$1,INDIRECT("Table1[Ende]"),"&gt;="&amp;AR$1,INDIRECT("Table1[Obergruppe ATC-Code]"),Tabelle3!$A92)</f>
        <v>0</v>
      </c>
      <c r="AS92">
        <f ca="1">COUNTIFS(INDIRECT("Table1[Beginn]"),"&lt;="&amp;AS$1,INDIRECT("Table1[Ende]"),"&gt;="&amp;AS$1,INDIRECT("Table1[Obergruppe ATC-Code]"),Tabelle3!$A92)</f>
        <v>0</v>
      </c>
      <c r="AT92">
        <f ca="1">COUNTIFS(INDIRECT("Table1[Beginn]"),"&lt;="&amp;AT$1,INDIRECT("Table1[Ende]"),"&gt;="&amp;AT$1,INDIRECT("Table1[Obergruppe ATC-Code]"),Tabelle3!$A92)</f>
        <v>0</v>
      </c>
      <c r="AU92">
        <f ca="1">COUNTIFS(INDIRECT("Table1[Beginn]"),"&lt;="&amp;AU$1,INDIRECT("Table1[Ende]"),"&gt;="&amp;AU$1,INDIRECT("Table1[Obergruppe ATC-Code]"),Tabelle3!$A92)</f>
        <v>0</v>
      </c>
      <c r="AV92">
        <f ca="1">COUNTIFS(INDIRECT("Table1[Beginn]"),"&lt;="&amp;AV$1,INDIRECT("Table1[Ende]"),"&gt;="&amp;AV$1,INDIRECT("Table1[Obergruppe ATC-Code]"),Tabelle3!$A92)</f>
        <v>0</v>
      </c>
      <c r="AW92">
        <f ca="1">COUNTIFS(INDIRECT("Table1[Beginn]"),"&lt;="&amp;AW$1,INDIRECT("Table1[Ende]"),"&gt;="&amp;AW$1,INDIRECT("Table1[Obergruppe ATC-Code]"),Tabelle3!$A92)</f>
        <v>0</v>
      </c>
      <c r="AX92">
        <f ca="1">COUNTIFS(INDIRECT("Table1[Beginn]"),"&lt;="&amp;AX$1,INDIRECT("Table1[Ende]"),"&gt;="&amp;AX$1,INDIRECT("Table1[Obergruppe ATC-Code]"),Tabelle3!$A92)</f>
        <v>0</v>
      </c>
      <c r="AY92">
        <f ca="1">COUNTIFS(INDIRECT("Table1[Beginn]"),"&lt;="&amp;AY$1,INDIRECT("Table1[Ende]"),"&gt;="&amp;AY$1,INDIRECT("Table1[Obergruppe ATC-Code]"),Tabelle3!$A92)</f>
        <v>0</v>
      </c>
      <c r="AZ92">
        <f ca="1">COUNTIFS(INDIRECT("Table1[Beginn]"),"&lt;="&amp;AZ$1,INDIRECT("Table1[Ende]"),"&gt;="&amp;AZ$1,INDIRECT("Table1[Obergruppe ATC-Code]"),Tabelle3!$A92)</f>
        <v>0</v>
      </c>
      <c r="BA92">
        <f ca="1">COUNTIFS(INDIRECT("Table1[Beginn]"),"&lt;="&amp;BA$1,INDIRECT("Table1[Ende]"),"&gt;="&amp;BA$1,INDIRECT("Table1[Obergruppe ATC-Code]"),Tabelle3!$A92)</f>
        <v>0</v>
      </c>
      <c r="BB92">
        <f ca="1">COUNTIFS(INDIRECT("Table1[Beginn]"),"&lt;="&amp;BB$1,INDIRECT("Table1[Ende]"),"&gt;="&amp;BB$1,INDIRECT("Table1[Obergruppe ATC-Code]"),Tabelle3!$A92)</f>
        <v>0</v>
      </c>
      <c r="BC92">
        <f ca="1">COUNTIFS(INDIRECT("Table1[Beginn]"),"&lt;="&amp;BC$1,INDIRECT("Table1[Ende]"),"&gt;="&amp;BC$1,INDIRECT("Table1[Obergruppe ATC-Code]"),Tabelle3!$A92)</f>
        <v>0</v>
      </c>
      <c r="BD92">
        <f ca="1">COUNTIFS(INDIRECT("Table1[Beginn]"),"&lt;="&amp;BD$1,INDIRECT("Table1[Ende]"),"&gt;="&amp;BD$1,INDIRECT("Table1[Obergruppe ATC-Code]"),Tabelle3!$A92)</f>
        <v>0</v>
      </c>
      <c r="BE92">
        <f ca="1">COUNTIFS(INDIRECT("Table1[Beginn]"),"&lt;="&amp;BE$1,INDIRECT("Table1[Ende]"),"&gt;="&amp;BE$1,INDIRECT("Table1[Obergruppe ATC-Code]"),Tabelle3!$A92)</f>
        <v>0</v>
      </c>
      <c r="BF92">
        <f ca="1">COUNTIFS(INDIRECT("Table1[Beginn]"),"&lt;="&amp;BF$1,INDIRECT("Table1[Ende]"),"&gt;="&amp;BF$1,INDIRECT("Table1[Obergruppe ATC-Code]"),Tabelle3!$A92)</f>
        <v>0</v>
      </c>
      <c r="BG92">
        <f ca="1">COUNTIFS(INDIRECT("Table1[Beginn]"),"&lt;="&amp;BG$1,INDIRECT("Table1[Ende]"),"&gt;="&amp;BG$1,INDIRECT("Table1[Obergruppe ATC-Code]"),Tabelle3!$A92)</f>
        <v>0</v>
      </c>
      <c r="BH92">
        <f ca="1">COUNTIFS(INDIRECT("Table1[Beginn]"),"&lt;="&amp;BH$1,INDIRECT("Table1[Ende]"),"&gt;="&amp;BH$1,INDIRECT("Table1[Obergruppe ATC-Code]"),Tabelle3!$A92)</f>
        <v>0</v>
      </c>
      <c r="BI92">
        <f ca="1">COUNTIFS(INDIRECT("Table1[Beginn]"),"&lt;="&amp;BI$1,INDIRECT("Table1[Ende]"),"&gt;="&amp;BI$1,INDIRECT("Table1[Obergruppe ATC-Code]"),Tabelle3!$A92)</f>
        <v>0</v>
      </c>
      <c r="BJ92">
        <f ca="1">COUNTIFS(INDIRECT("Table1[Beginn]"),"&lt;="&amp;BJ$1,INDIRECT("Table1[Ende]"),"&gt;="&amp;BJ$1,INDIRECT("Table1[Obergruppe ATC-Code]"),Tabelle3!$A92)</f>
        <v>0</v>
      </c>
      <c r="BK92">
        <f ca="1">COUNTIFS(INDIRECT("Table1[Beginn]"),"&lt;="&amp;BK$1,INDIRECT("Table1[Ende]"),"&gt;="&amp;BK$1,INDIRECT("Table1[Obergruppe ATC-Code]"),Tabelle3!$A92)</f>
        <v>0</v>
      </c>
      <c r="BL92">
        <f ca="1">COUNTIFS(INDIRECT("Table1[Beginn]"),"&lt;="&amp;BL$1,INDIRECT("Table1[Ende]"),"&gt;="&amp;BL$1,INDIRECT("Table1[Obergruppe ATC-Code]"),Tabelle3!$A92)</f>
        <v>0</v>
      </c>
      <c r="BM92">
        <f ca="1">COUNTIFS(INDIRECT("Table1[Beginn]"),"&lt;="&amp;BM$1,INDIRECT("Table1[Ende]"),"&gt;="&amp;BM$1,INDIRECT("Table1[Obergruppe ATC-Code]"),Tabelle3!$A92)</f>
        <v>0</v>
      </c>
      <c r="BN92">
        <f ca="1">COUNTIFS(INDIRECT("Table1[Beginn]"),"&lt;="&amp;BN$1,INDIRECT("Table1[Ende]"),"&gt;="&amp;BN$1,INDIRECT("Table1[Obergruppe ATC-Code]"),Tabelle3!$A92)</f>
        <v>0</v>
      </c>
      <c r="BO92">
        <f ca="1">COUNTIFS(INDIRECT("Table1[Beginn]"),"&lt;="&amp;BO$1,INDIRECT("Table1[Ende]"),"&gt;="&amp;BO$1,INDIRECT("Table1[Obergruppe ATC-Code]"),Tabelle3!$A92)</f>
        <v>0</v>
      </c>
      <c r="BP92">
        <f ca="1">COUNTIFS(INDIRECT("Table1[Beginn]"),"&lt;="&amp;BP$1,INDIRECT("Table1[Ende]"),"&gt;="&amp;BP$1,INDIRECT("Table1[Obergruppe ATC-Code]"),Tabelle3!$A92)</f>
        <v>0</v>
      </c>
      <c r="BQ92">
        <f ca="1">COUNTIFS(INDIRECT("Table1[Beginn]"),"&lt;="&amp;BQ$1,INDIRECT("Table1[Ende]"),"&gt;="&amp;BQ$1,INDIRECT("Table1[Obergruppe ATC-Code]"),Tabelle3!$A92)</f>
        <v>0</v>
      </c>
      <c r="BR92">
        <f ca="1">COUNTIFS(INDIRECT("Table1[Beginn]"),"&lt;="&amp;BR$1,INDIRECT("Table1[Ende]"),"&gt;="&amp;BR$1,INDIRECT("Table1[Obergruppe ATC-Code]"),Tabelle3!$A92)</f>
        <v>0</v>
      </c>
      <c r="BS92">
        <f ca="1">COUNTIFS(INDIRECT("Table1[Beginn]"),"&lt;="&amp;BS$1,INDIRECT("Table1[Ende]"),"&gt;="&amp;BS$1,INDIRECT("Table1[Obergruppe ATC-Code]"),Tabelle3!$A92)</f>
        <v>0</v>
      </c>
      <c r="BT92">
        <f ca="1">COUNTIFS(INDIRECT("Table1[Beginn]"),"&lt;="&amp;BT$1,INDIRECT("Table1[Ende]"),"&gt;="&amp;BT$1,INDIRECT("Table1[Obergruppe ATC-Code]"),Tabelle3!$A92)</f>
        <v>0</v>
      </c>
      <c r="BU92">
        <f ca="1">COUNTIFS(INDIRECT("Table1[Beginn]"),"&lt;="&amp;BU$1,INDIRECT("Table1[Ende]"),"&gt;="&amp;BU$1,INDIRECT("Table1[Obergruppe ATC-Code]"),Tabelle3!$A92)</f>
        <v>0</v>
      </c>
      <c r="BV92">
        <f ca="1">COUNTIFS(INDIRECT("Table1[Beginn]"),"&lt;="&amp;BV$1,INDIRECT("Table1[Ende]"),"&gt;="&amp;BV$1,INDIRECT("Table1[Obergruppe ATC-Code]"),Tabelle3!$A92)</f>
        <v>0</v>
      </c>
      <c r="BW92">
        <f ca="1">COUNTIFS(INDIRECT("Table1[Beginn]"),"&lt;="&amp;BW$1,INDIRECT("Table1[Ende]"),"&gt;="&amp;BW$1,INDIRECT("Table1[Obergruppe ATC-Code]"),Tabelle3!$A92)</f>
        <v>0</v>
      </c>
      <c r="BX92">
        <f ca="1">COUNTIFS(INDIRECT("Table1[Beginn]"),"&lt;="&amp;BX$1,INDIRECT("Table1[Ende]"),"&gt;="&amp;BX$1,INDIRECT("Table1[Obergruppe ATC-Code]"),Tabelle3!$A92)</f>
        <v>0</v>
      </c>
      <c r="BY92">
        <f ca="1">COUNTIFS(INDIRECT("Table1[Beginn]"),"&lt;="&amp;BY$1,INDIRECT("Table1[Ende]"),"&gt;="&amp;BY$1,INDIRECT("Table1[Obergruppe ATC-Code]"),Tabelle3!$A92)</f>
        <v>0</v>
      </c>
      <c r="BZ92">
        <f ca="1">COUNTIFS(INDIRECT("Table1[Beginn]"),"&lt;="&amp;BZ$1,INDIRECT("Table1[Ende]"),"&gt;="&amp;BZ$1,INDIRECT("Table1[Obergruppe ATC-Code]"),Tabelle3!$A92)</f>
        <v>0</v>
      </c>
      <c r="CA92">
        <f ca="1">COUNTIFS(INDIRECT("Table1[Beginn]"),"&lt;="&amp;CA$1,INDIRECT("Table1[Ende]"),"&gt;="&amp;CA$1,INDIRECT("Table1[Obergruppe ATC-Code]"),Tabelle3!$A92)</f>
        <v>0</v>
      </c>
      <c r="CB92">
        <f ca="1">COUNTIFS(INDIRECT("Table1[Beginn]"),"&lt;="&amp;CB$1,INDIRECT("Table1[Ende]"),"&gt;="&amp;CB$1,INDIRECT("Table1[Obergruppe ATC-Code]"),Tabelle3!$A92)</f>
        <v>0</v>
      </c>
      <c r="CC92">
        <f ca="1">COUNTIFS(INDIRECT("Table1[Beginn]"),"&lt;="&amp;CC$1,INDIRECT("Table1[Ende]"),"&gt;="&amp;CC$1,INDIRECT("Table1[Obergruppe ATC-Code]"),Tabelle3!$A92)</f>
        <v>0</v>
      </c>
      <c r="CD92">
        <f ca="1">COUNTIFS(INDIRECT("Table1[Beginn]"),"&lt;="&amp;CD$1,INDIRECT("Table1[Ende]"),"&gt;="&amp;CD$1,INDIRECT("Table1[Obergruppe ATC-Code]"),Tabelle3!$A92)</f>
        <v>0</v>
      </c>
      <c r="CE92">
        <f ca="1">COUNTIFS(INDIRECT("Table1[Beginn]"),"&lt;="&amp;CE$1,INDIRECT("Table1[Ende]"),"&gt;="&amp;CE$1,INDIRECT("Table1[Obergruppe ATC-Code]"),Tabelle3!$A92)</f>
        <v>0</v>
      </c>
      <c r="CF92">
        <f ca="1">COUNTIFS(INDIRECT("Table1[Beginn]"),"&lt;="&amp;CF$1,INDIRECT("Table1[Ende]"),"&gt;="&amp;CF$1,INDIRECT("Table1[Obergruppe ATC-Code]"),Tabelle3!$A92)</f>
        <v>0</v>
      </c>
      <c r="CG92">
        <f ca="1">COUNTIFS(INDIRECT("Table1[Beginn]"),"&lt;="&amp;CG$1,INDIRECT("Table1[Ende]"),"&gt;="&amp;CG$1,INDIRECT("Table1[Obergruppe ATC-Code]"),Tabelle3!$A92)</f>
        <v>0</v>
      </c>
      <c r="CH92">
        <f ca="1">COUNTIFS(INDIRECT("Table1[Beginn]"),"&lt;="&amp;CH$1,INDIRECT("Table1[Ende]"),"&gt;="&amp;CH$1,INDIRECT("Table1[Obergruppe ATC-Code]"),Tabelle3!$A92)</f>
        <v>0</v>
      </c>
      <c r="CI92">
        <f ca="1">COUNTIFS(INDIRECT("Table1[Beginn]"),"&lt;="&amp;CI$1,INDIRECT("Table1[Ende]"),"&gt;="&amp;CI$1,INDIRECT("Table1[Obergruppe ATC-Code]"),Tabelle3!$A92)</f>
        <v>0</v>
      </c>
      <c r="CJ92">
        <f ca="1">COUNTIFS(INDIRECT("Table1[Beginn]"),"&lt;="&amp;CJ$1,INDIRECT("Table1[Ende]"),"&gt;="&amp;CJ$1,INDIRECT("Table1[Obergruppe ATC-Code]"),Tabelle3!$A92)</f>
        <v>0</v>
      </c>
      <c r="CK92">
        <f ca="1">COUNTIFS(INDIRECT("Table1[Beginn]"),"&lt;="&amp;CK$1,INDIRECT("Table1[Ende]"),"&gt;="&amp;CK$1,INDIRECT("Table1[Obergruppe ATC-Code]"),Tabelle3!$A92)</f>
        <v>0</v>
      </c>
      <c r="CL92">
        <f ca="1">COUNTIFS(INDIRECT("Table1[Beginn]"),"&lt;="&amp;CL$1,INDIRECT("Table1[Ende]"),"&gt;="&amp;CL$1,INDIRECT("Table1[Obergruppe ATC-Code]"),Tabelle3!$A92)</f>
        <v>0</v>
      </c>
      <c r="CM92">
        <f ca="1">COUNTIFS(INDIRECT("Table1[Beginn]"),"&lt;="&amp;CM$1,INDIRECT("Table1[Ende]"),"&gt;="&amp;CM$1,INDIRECT("Table1[Obergruppe ATC-Code]"),Tabelle3!$A92)</f>
        <v>0</v>
      </c>
      <c r="CN92">
        <f ca="1">COUNTIFS(INDIRECT("Table1[Beginn]"),"&lt;="&amp;CN$1,INDIRECT("Table1[Ende]"),"&gt;="&amp;CN$1,INDIRECT("Table1[Obergruppe ATC-Code]"),Tabelle3!$A92)</f>
        <v>0</v>
      </c>
      <c r="CO92">
        <f ca="1">COUNTIFS(INDIRECT("Table1[Beginn]"),"&lt;="&amp;CO$1,INDIRECT("Table1[Ende]"),"&gt;="&amp;CO$1,INDIRECT("Table1[Obergruppe ATC-Code]"),Tabelle3!$A92)</f>
        <v>0</v>
      </c>
      <c r="CP92">
        <f ca="1">COUNTIFS(INDIRECT("Table1[Beginn]"),"&lt;="&amp;CP$1,INDIRECT("Table1[Ende]"),"&gt;="&amp;CP$1,INDIRECT("Table1[Obergruppe ATC-Code]"),Tabelle3!$A92)</f>
        <v>0</v>
      </c>
      <c r="CQ92">
        <f ca="1">COUNTIFS(INDIRECT("Table1[Beginn]"),"&lt;="&amp;CQ$1,INDIRECT("Table1[Ende]"),"&gt;="&amp;CQ$1,INDIRECT("Table1[Obergruppe ATC-Code]"),Tabelle3!$A92)</f>
        <v>0</v>
      </c>
      <c r="CR92">
        <f ca="1">COUNTIFS(INDIRECT("Table1[Beginn]"),"&lt;="&amp;CR$1,INDIRECT("Table1[Ende]"),"&gt;="&amp;CR$1,INDIRECT("Table1[Obergruppe ATC-Code]"),Tabelle3!$A92)</f>
        <v>0</v>
      </c>
    </row>
    <row r="93" spans="1:96" ht="18">
      <c r="A93" s="9" t="s">
        <v>6954</v>
      </c>
      <c r="B93" s="10" t="s">
        <v>6955</v>
      </c>
      <c r="C93">
        <f ca="1">COUNTIFS(INDIRECT("Table1[Beginn]"),"&lt;="&amp;C$1,INDIRECT("Table1[Ende]"),"&gt;="&amp;C$1,INDIRECT("Table1[Obergruppe ATC-Code]"),Tabelle3!$A93)</f>
        <v>0</v>
      </c>
      <c r="D93">
        <f ca="1">COUNTIFS(INDIRECT("Table1[Beginn]"),"&lt;="&amp;D$1,INDIRECT("Table1[Ende]"),"&gt;="&amp;D$1,INDIRECT("Table1[Obergruppe ATC-Code]"),Tabelle3!$A93)</f>
        <v>0</v>
      </c>
      <c r="E93">
        <f ca="1">COUNTIFS(INDIRECT("Table1[Beginn]"),"&lt;="&amp;E$1,INDIRECT("Table1[Ende]"),"&gt;="&amp;E$1,INDIRECT("Table1[Obergruppe ATC-Code]"),Tabelle3!$A93)</f>
        <v>0</v>
      </c>
      <c r="F93">
        <f ca="1">COUNTIFS(INDIRECT("Table1[Beginn]"),"&lt;="&amp;F$1,INDIRECT("Table1[Ende]"),"&gt;="&amp;F$1,INDIRECT("Table1[Obergruppe ATC-Code]"),Tabelle3!$A93)</f>
        <v>0</v>
      </c>
      <c r="G93">
        <f ca="1">COUNTIFS(INDIRECT("Table1[Beginn]"),"&lt;="&amp;G$1,INDIRECT("Table1[Ende]"),"&gt;="&amp;G$1,INDIRECT("Table1[Obergruppe ATC-Code]"),Tabelle3!$A93)</f>
        <v>0</v>
      </c>
      <c r="H93">
        <f ca="1">COUNTIFS(INDIRECT("Table1[Beginn]"),"&lt;="&amp;H$1,INDIRECT("Table1[Ende]"),"&gt;="&amp;H$1,INDIRECT("Table1[Obergruppe ATC-Code]"),Tabelle3!$A93)</f>
        <v>0</v>
      </c>
      <c r="I93">
        <f ca="1">COUNTIFS(INDIRECT("Table1[Beginn]"),"&lt;="&amp;I$1,INDIRECT("Table1[Ende]"),"&gt;="&amp;I$1,INDIRECT("Table1[Obergruppe ATC-Code]"),Tabelle3!$A93)</f>
        <v>0</v>
      </c>
      <c r="J93">
        <f ca="1">COUNTIFS(INDIRECT("Table1[Beginn]"),"&lt;="&amp;J$1,INDIRECT("Table1[Ende]"),"&gt;="&amp;J$1,INDIRECT("Table1[Obergruppe ATC-Code]"),Tabelle3!$A93)</f>
        <v>0</v>
      </c>
      <c r="K93">
        <f ca="1">COUNTIFS(INDIRECT("Table1[Beginn]"),"&lt;="&amp;K$1,INDIRECT("Table1[Ende]"),"&gt;="&amp;K$1,INDIRECT("Table1[Obergruppe ATC-Code]"),Tabelle3!$A93)</f>
        <v>0</v>
      </c>
      <c r="L93">
        <f ca="1">COUNTIFS(INDIRECT("Table1[Beginn]"),"&lt;="&amp;L$1,INDIRECT("Table1[Ende]"),"&gt;="&amp;L$1,INDIRECT("Table1[Obergruppe ATC-Code]"),Tabelle3!$A93)</f>
        <v>0</v>
      </c>
      <c r="M93">
        <f ca="1">COUNTIFS(INDIRECT("Table1[Beginn]"),"&lt;="&amp;M$1,INDIRECT("Table1[Ende]"),"&gt;="&amp;M$1,INDIRECT("Table1[Obergruppe ATC-Code]"),Tabelle3!$A93)</f>
        <v>0</v>
      </c>
      <c r="N93">
        <f ca="1">COUNTIFS(INDIRECT("Table1[Beginn]"),"&lt;="&amp;N$1,INDIRECT("Table1[Ende]"),"&gt;="&amp;N$1,INDIRECT("Table1[Obergruppe ATC-Code]"),Tabelle3!$A93)</f>
        <v>0</v>
      </c>
      <c r="O93">
        <f ca="1">COUNTIFS(INDIRECT("Table1[Beginn]"),"&lt;="&amp;O$1,INDIRECT("Table1[Ende]"),"&gt;="&amp;O$1,INDIRECT("Table1[Obergruppe ATC-Code]"),Tabelle3!$A93)</f>
        <v>0</v>
      </c>
      <c r="P93">
        <f ca="1">COUNTIFS(INDIRECT("Table1[Beginn]"),"&lt;="&amp;P$1,INDIRECT("Table1[Ende]"),"&gt;="&amp;P$1,INDIRECT("Table1[Obergruppe ATC-Code]"),Tabelle3!$A93)</f>
        <v>0</v>
      </c>
      <c r="Q93">
        <f ca="1">COUNTIFS(INDIRECT("Table1[Beginn]"),"&lt;="&amp;Q$1,INDIRECT("Table1[Ende]"),"&gt;="&amp;Q$1,INDIRECT("Table1[Obergruppe ATC-Code]"),Tabelle3!$A93)</f>
        <v>0</v>
      </c>
      <c r="R93">
        <f ca="1">COUNTIFS(INDIRECT("Table1[Beginn]"),"&lt;="&amp;R$1,INDIRECT("Table1[Ende]"),"&gt;="&amp;R$1,INDIRECT("Table1[Obergruppe ATC-Code]"),Tabelle3!$A93)</f>
        <v>0</v>
      </c>
      <c r="S93">
        <f ca="1">COUNTIFS(INDIRECT("Table1[Beginn]"),"&lt;="&amp;S$1,INDIRECT("Table1[Ende]"),"&gt;="&amp;S$1,INDIRECT("Table1[Obergruppe ATC-Code]"),Tabelle3!$A93)</f>
        <v>0</v>
      </c>
      <c r="T93">
        <f ca="1">COUNTIFS(INDIRECT("Table1[Beginn]"),"&lt;="&amp;T$1,INDIRECT("Table1[Ende]"),"&gt;="&amp;T$1,INDIRECT("Table1[Obergruppe ATC-Code]"),Tabelle3!$A93)</f>
        <v>0</v>
      </c>
      <c r="U93">
        <f ca="1">COUNTIFS(INDIRECT("Table1[Beginn]"),"&lt;="&amp;U$1,INDIRECT("Table1[Ende]"),"&gt;="&amp;U$1,INDIRECT("Table1[Obergruppe ATC-Code]"),Tabelle3!$A93)</f>
        <v>0</v>
      </c>
      <c r="V93">
        <f ca="1">COUNTIFS(INDIRECT("Table1[Beginn]"),"&lt;="&amp;V$1,INDIRECT("Table1[Ende]"),"&gt;="&amp;V$1,INDIRECT("Table1[Obergruppe ATC-Code]"),Tabelle3!$A93)</f>
        <v>0</v>
      </c>
      <c r="W93">
        <f ca="1">COUNTIFS(INDIRECT("Table1[Beginn]"),"&lt;="&amp;W$1,INDIRECT("Table1[Ende]"),"&gt;="&amp;W$1,INDIRECT("Table1[Obergruppe ATC-Code]"),Tabelle3!$A93)</f>
        <v>0</v>
      </c>
      <c r="X93">
        <f ca="1">COUNTIFS(INDIRECT("Table1[Beginn]"),"&lt;="&amp;X$1,INDIRECT("Table1[Ende]"),"&gt;="&amp;X$1,INDIRECT("Table1[Obergruppe ATC-Code]"),Tabelle3!$A93)</f>
        <v>0</v>
      </c>
      <c r="Y93">
        <f ca="1">COUNTIFS(INDIRECT("Table1[Beginn]"),"&lt;="&amp;Y$1,INDIRECT("Table1[Ende]"),"&gt;="&amp;Y$1,INDIRECT("Table1[Obergruppe ATC-Code]"),Tabelle3!$A93)</f>
        <v>0</v>
      </c>
      <c r="Z93">
        <f ca="1">COUNTIFS(INDIRECT("Table1[Beginn]"),"&lt;="&amp;Z$1,INDIRECT("Table1[Ende]"),"&gt;="&amp;Z$1,INDIRECT("Table1[Obergruppe ATC-Code]"),Tabelle3!$A93)</f>
        <v>0</v>
      </c>
      <c r="AA93">
        <f ca="1">COUNTIFS(INDIRECT("Table1[Beginn]"),"&lt;="&amp;AA$1,INDIRECT("Table1[Ende]"),"&gt;="&amp;AA$1,INDIRECT("Table1[Obergruppe ATC-Code]"),Tabelle3!$A93)</f>
        <v>0</v>
      </c>
      <c r="AB93">
        <f ca="1">COUNTIFS(INDIRECT("Table1[Beginn]"),"&lt;="&amp;AB$1,INDIRECT("Table1[Ende]"),"&gt;="&amp;AB$1,INDIRECT("Table1[Obergruppe ATC-Code]"),Tabelle3!$A93)</f>
        <v>0</v>
      </c>
      <c r="AC93">
        <f ca="1">COUNTIFS(INDIRECT("Table1[Beginn]"),"&lt;="&amp;AC$1,INDIRECT("Table1[Ende]"),"&gt;="&amp;AC$1,INDIRECT("Table1[Obergruppe ATC-Code]"),Tabelle3!$A93)</f>
        <v>0</v>
      </c>
      <c r="AD93">
        <f ca="1">COUNTIFS(INDIRECT("Table1[Beginn]"),"&lt;="&amp;AD$1,INDIRECT("Table1[Ende]"),"&gt;="&amp;AD$1,INDIRECT("Table1[Obergruppe ATC-Code]"),Tabelle3!$A93)</f>
        <v>0</v>
      </c>
      <c r="AE93">
        <f ca="1">COUNTIFS(INDIRECT("Table1[Beginn]"),"&lt;="&amp;AE$1,INDIRECT("Table1[Ende]"),"&gt;="&amp;AE$1,INDIRECT("Table1[Obergruppe ATC-Code]"),Tabelle3!$A93)</f>
        <v>0</v>
      </c>
      <c r="AF93">
        <f ca="1">COUNTIFS(INDIRECT("Table1[Beginn]"),"&lt;="&amp;AF$1,INDIRECT("Table1[Ende]"),"&gt;="&amp;AF$1,INDIRECT("Table1[Obergruppe ATC-Code]"),Tabelle3!$A93)</f>
        <v>0</v>
      </c>
      <c r="AG93">
        <f ca="1">COUNTIFS(INDIRECT("Table1[Beginn]"),"&lt;="&amp;AG$1,INDIRECT("Table1[Ende]"),"&gt;="&amp;AG$1,INDIRECT("Table1[Obergruppe ATC-Code]"),Tabelle3!$A93)</f>
        <v>0</v>
      </c>
      <c r="AH93">
        <f ca="1">COUNTIFS(INDIRECT("Table1[Beginn]"),"&lt;="&amp;AH$1,INDIRECT("Table1[Ende]"),"&gt;="&amp;AH$1,INDIRECT("Table1[Obergruppe ATC-Code]"),Tabelle3!$A93)</f>
        <v>0</v>
      </c>
      <c r="AI93">
        <f ca="1">COUNTIFS(INDIRECT("Table1[Beginn]"),"&lt;="&amp;AI$1,INDIRECT("Table1[Ende]"),"&gt;="&amp;AI$1,INDIRECT("Table1[Obergruppe ATC-Code]"),Tabelle3!$A93)</f>
        <v>0</v>
      </c>
      <c r="AJ93">
        <f ca="1">COUNTIFS(INDIRECT("Table1[Beginn]"),"&lt;="&amp;AJ$1,INDIRECT("Table1[Ende]"),"&gt;="&amp;AJ$1,INDIRECT("Table1[Obergruppe ATC-Code]"),Tabelle3!$A93)</f>
        <v>0</v>
      </c>
      <c r="AK93">
        <f ca="1">COUNTIFS(INDIRECT("Table1[Beginn]"),"&lt;="&amp;AK$1,INDIRECT("Table1[Ende]"),"&gt;="&amp;AK$1,INDIRECT("Table1[Obergruppe ATC-Code]"),Tabelle3!$A93)</f>
        <v>0</v>
      </c>
      <c r="AL93">
        <f ca="1">COUNTIFS(INDIRECT("Table1[Beginn]"),"&lt;="&amp;AL$1,INDIRECT("Table1[Ende]"),"&gt;="&amp;AL$1,INDIRECT("Table1[Obergruppe ATC-Code]"),Tabelle3!$A93)</f>
        <v>0</v>
      </c>
      <c r="AM93">
        <f ca="1">COUNTIFS(INDIRECT("Table1[Beginn]"),"&lt;="&amp;AM$1,INDIRECT("Table1[Ende]"),"&gt;="&amp;AM$1,INDIRECT("Table1[Obergruppe ATC-Code]"),Tabelle3!$A93)</f>
        <v>0</v>
      </c>
      <c r="AN93">
        <f ca="1">COUNTIFS(INDIRECT("Table1[Beginn]"),"&lt;="&amp;AN$1,INDIRECT("Table1[Ende]"),"&gt;="&amp;AN$1,INDIRECT("Table1[Obergruppe ATC-Code]"),Tabelle3!$A93)</f>
        <v>0</v>
      </c>
      <c r="AO93">
        <f ca="1">COUNTIFS(INDIRECT("Table1[Beginn]"),"&lt;="&amp;AO$1,INDIRECT("Table1[Ende]"),"&gt;="&amp;AO$1,INDIRECT("Table1[Obergruppe ATC-Code]"),Tabelle3!$A93)</f>
        <v>0</v>
      </c>
      <c r="AP93">
        <f ca="1">COUNTIFS(INDIRECT("Table1[Beginn]"),"&lt;="&amp;AP$1,INDIRECT("Table1[Ende]"),"&gt;="&amp;AP$1,INDIRECT("Table1[Obergruppe ATC-Code]"),Tabelle3!$A93)</f>
        <v>0</v>
      </c>
      <c r="AQ93">
        <f ca="1">COUNTIFS(INDIRECT("Table1[Beginn]"),"&lt;="&amp;AQ$1,INDIRECT("Table1[Ende]"),"&gt;="&amp;AQ$1,INDIRECT("Table1[Obergruppe ATC-Code]"),Tabelle3!$A93)</f>
        <v>0</v>
      </c>
      <c r="AR93">
        <f ca="1">COUNTIFS(INDIRECT("Table1[Beginn]"),"&lt;="&amp;AR$1,INDIRECT("Table1[Ende]"),"&gt;="&amp;AR$1,INDIRECT("Table1[Obergruppe ATC-Code]"),Tabelle3!$A93)</f>
        <v>0</v>
      </c>
      <c r="AS93">
        <f ca="1">COUNTIFS(INDIRECT("Table1[Beginn]"),"&lt;="&amp;AS$1,INDIRECT("Table1[Ende]"),"&gt;="&amp;AS$1,INDIRECT("Table1[Obergruppe ATC-Code]"),Tabelle3!$A93)</f>
        <v>0</v>
      </c>
      <c r="AT93">
        <f ca="1">COUNTIFS(INDIRECT("Table1[Beginn]"),"&lt;="&amp;AT$1,INDIRECT("Table1[Ende]"),"&gt;="&amp;AT$1,INDIRECT("Table1[Obergruppe ATC-Code]"),Tabelle3!$A93)</f>
        <v>0</v>
      </c>
      <c r="AU93">
        <f ca="1">COUNTIFS(INDIRECT("Table1[Beginn]"),"&lt;="&amp;AU$1,INDIRECT("Table1[Ende]"),"&gt;="&amp;AU$1,INDIRECT("Table1[Obergruppe ATC-Code]"),Tabelle3!$A93)</f>
        <v>0</v>
      </c>
      <c r="AV93">
        <f ca="1">COUNTIFS(INDIRECT("Table1[Beginn]"),"&lt;="&amp;AV$1,INDIRECT("Table1[Ende]"),"&gt;="&amp;AV$1,INDIRECT("Table1[Obergruppe ATC-Code]"),Tabelle3!$A93)</f>
        <v>0</v>
      </c>
      <c r="AW93">
        <f ca="1">COUNTIFS(INDIRECT("Table1[Beginn]"),"&lt;="&amp;AW$1,INDIRECT("Table1[Ende]"),"&gt;="&amp;AW$1,INDIRECT("Table1[Obergruppe ATC-Code]"),Tabelle3!$A93)</f>
        <v>0</v>
      </c>
      <c r="AX93">
        <f ca="1">COUNTIFS(INDIRECT("Table1[Beginn]"),"&lt;="&amp;AX$1,INDIRECT("Table1[Ende]"),"&gt;="&amp;AX$1,INDIRECT("Table1[Obergruppe ATC-Code]"),Tabelle3!$A93)</f>
        <v>0</v>
      </c>
      <c r="AY93">
        <f ca="1">COUNTIFS(INDIRECT("Table1[Beginn]"),"&lt;="&amp;AY$1,INDIRECT("Table1[Ende]"),"&gt;="&amp;AY$1,INDIRECT("Table1[Obergruppe ATC-Code]"),Tabelle3!$A93)</f>
        <v>0</v>
      </c>
      <c r="AZ93">
        <f ca="1">COUNTIFS(INDIRECT("Table1[Beginn]"),"&lt;="&amp;AZ$1,INDIRECT("Table1[Ende]"),"&gt;="&amp;AZ$1,INDIRECT("Table1[Obergruppe ATC-Code]"),Tabelle3!$A93)</f>
        <v>0</v>
      </c>
      <c r="BA93">
        <f ca="1">COUNTIFS(INDIRECT("Table1[Beginn]"),"&lt;="&amp;BA$1,INDIRECT("Table1[Ende]"),"&gt;="&amp;BA$1,INDIRECT("Table1[Obergruppe ATC-Code]"),Tabelle3!$A93)</f>
        <v>0</v>
      </c>
      <c r="BB93">
        <f ca="1">COUNTIFS(INDIRECT("Table1[Beginn]"),"&lt;="&amp;BB$1,INDIRECT("Table1[Ende]"),"&gt;="&amp;BB$1,INDIRECT("Table1[Obergruppe ATC-Code]"),Tabelle3!$A93)</f>
        <v>0</v>
      </c>
      <c r="BC93">
        <f ca="1">COUNTIFS(INDIRECT("Table1[Beginn]"),"&lt;="&amp;BC$1,INDIRECT("Table1[Ende]"),"&gt;="&amp;BC$1,INDIRECT("Table1[Obergruppe ATC-Code]"),Tabelle3!$A93)</f>
        <v>0</v>
      </c>
      <c r="BD93">
        <f ca="1">COUNTIFS(INDIRECT("Table1[Beginn]"),"&lt;="&amp;BD$1,INDIRECT("Table1[Ende]"),"&gt;="&amp;BD$1,INDIRECT("Table1[Obergruppe ATC-Code]"),Tabelle3!$A93)</f>
        <v>0</v>
      </c>
      <c r="BE93">
        <f ca="1">COUNTIFS(INDIRECT("Table1[Beginn]"),"&lt;="&amp;BE$1,INDIRECT("Table1[Ende]"),"&gt;="&amp;BE$1,INDIRECT("Table1[Obergruppe ATC-Code]"),Tabelle3!$A93)</f>
        <v>0</v>
      </c>
      <c r="BF93">
        <f ca="1">COUNTIFS(INDIRECT("Table1[Beginn]"),"&lt;="&amp;BF$1,INDIRECT("Table1[Ende]"),"&gt;="&amp;BF$1,INDIRECT("Table1[Obergruppe ATC-Code]"),Tabelle3!$A93)</f>
        <v>0</v>
      </c>
      <c r="BG93">
        <f ca="1">COUNTIFS(INDIRECT("Table1[Beginn]"),"&lt;="&amp;BG$1,INDIRECT("Table1[Ende]"),"&gt;="&amp;BG$1,INDIRECT("Table1[Obergruppe ATC-Code]"),Tabelle3!$A93)</f>
        <v>0</v>
      </c>
      <c r="BH93">
        <f ca="1">COUNTIFS(INDIRECT("Table1[Beginn]"),"&lt;="&amp;BH$1,INDIRECT("Table1[Ende]"),"&gt;="&amp;BH$1,INDIRECT("Table1[Obergruppe ATC-Code]"),Tabelle3!$A93)</f>
        <v>0</v>
      </c>
      <c r="BI93">
        <f ca="1">COUNTIFS(INDIRECT("Table1[Beginn]"),"&lt;="&amp;BI$1,INDIRECT("Table1[Ende]"),"&gt;="&amp;BI$1,INDIRECT("Table1[Obergruppe ATC-Code]"),Tabelle3!$A93)</f>
        <v>0</v>
      </c>
      <c r="BJ93">
        <f ca="1">COUNTIFS(INDIRECT("Table1[Beginn]"),"&lt;="&amp;BJ$1,INDIRECT("Table1[Ende]"),"&gt;="&amp;BJ$1,INDIRECT("Table1[Obergruppe ATC-Code]"),Tabelle3!$A93)</f>
        <v>0</v>
      </c>
      <c r="BK93">
        <f ca="1">COUNTIFS(INDIRECT("Table1[Beginn]"),"&lt;="&amp;BK$1,INDIRECT("Table1[Ende]"),"&gt;="&amp;BK$1,INDIRECT("Table1[Obergruppe ATC-Code]"),Tabelle3!$A93)</f>
        <v>0</v>
      </c>
      <c r="BL93">
        <f ca="1">COUNTIFS(INDIRECT("Table1[Beginn]"),"&lt;="&amp;BL$1,INDIRECT("Table1[Ende]"),"&gt;="&amp;BL$1,INDIRECT("Table1[Obergruppe ATC-Code]"),Tabelle3!$A93)</f>
        <v>0</v>
      </c>
      <c r="BM93">
        <f ca="1">COUNTIFS(INDIRECT("Table1[Beginn]"),"&lt;="&amp;BM$1,INDIRECT("Table1[Ende]"),"&gt;="&amp;BM$1,INDIRECT("Table1[Obergruppe ATC-Code]"),Tabelle3!$A93)</f>
        <v>0</v>
      </c>
      <c r="BN93">
        <f ca="1">COUNTIFS(INDIRECT("Table1[Beginn]"),"&lt;="&amp;BN$1,INDIRECT("Table1[Ende]"),"&gt;="&amp;BN$1,INDIRECT("Table1[Obergruppe ATC-Code]"),Tabelle3!$A93)</f>
        <v>0</v>
      </c>
      <c r="BO93">
        <f ca="1">COUNTIFS(INDIRECT("Table1[Beginn]"),"&lt;="&amp;BO$1,INDIRECT("Table1[Ende]"),"&gt;="&amp;BO$1,INDIRECT("Table1[Obergruppe ATC-Code]"),Tabelle3!$A93)</f>
        <v>0</v>
      </c>
      <c r="BP93">
        <f ca="1">COUNTIFS(INDIRECT("Table1[Beginn]"),"&lt;="&amp;BP$1,INDIRECT("Table1[Ende]"),"&gt;="&amp;BP$1,INDIRECT("Table1[Obergruppe ATC-Code]"),Tabelle3!$A93)</f>
        <v>0</v>
      </c>
      <c r="BQ93">
        <f ca="1">COUNTIFS(INDIRECT("Table1[Beginn]"),"&lt;="&amp;BQ$1,INDIRECT("Table1[Ende]"),"&gt;="&amp;BQ$1,INDIRECT("Table1[Obergruppe ATC-Code]"),Tabelle3!$A93)</f>
        <v>0</v>
      </c>
      <c r="BR93">
        <f ca="1">COUNTIFS(INDIRECT("Table1[Beginn]"),"&lt;="&amp;BR$1,INDIRECT("Table1[Ende]"),"&gt;="&amp;BR$1,INDIRECT("Table1[Obergruppe ATC-Code]"),Tabelle3!$A93)</f>
        <v>0</v>
      </c>
      <c r="BS93">
        <f ca="1">COUNTIFS(INDIRECT("Table1[Beginn]"),"&lt;="&amp;BS$1,INDIRECT("Table1[Ende]"),"&gt;="&amp;BS$1,INDIRECT("Table1[Obergruppe ATC-Code]"),Tabelle3!$A93)</f>
        <v>0</v>
      </c>
      <c r="BT93">
        <f ca="1">COUNTIFS(INDIRECT("Table1[Beginn]"),"&lt;="&amp;BT$1,INDIRECT("Table1[Ende]"),"&gt;="&amp;BT$1,INDIRECT("Table1[Obergruppe ATC-Code]"),Tabelle3!$A93)</f>
        <v>0</v>
      </c>
      <c r="BU93">
        <f ca="1">COUNTIFS(INDIRECT("Table1[Beginn]"),"&lt;="&amp;BU$1,INDIRECT("Table1[Ende]"),"&gt;="&amp;BU$1,INDIRECT("Table1[Obergruppe ATC-Code]"),Tabelle3!$A93)</f>
        <v>0</v>
      </c>
      <c r="BV93">
        <f ca="1">COUNTIFS(INDIRECT("Table1[Beginn]"),"&lt;="&amp;BV$1,INDIRECT("Table1[Ende]"),"&gt;="&amp;BV$1,INDIRECT("Table1[Obergruppe ATC-Code]"),Tabelle3!$A93)</f>
        <v>0</v>
      </c>
      <c r="BW93">
        <f ca="1">COUNTIFS(INDIRECT("Table1[Beginn]"),"&lt;="&amp;BW$1,INDIRECT("Table1[Ende]"),"&gt;="&amp;BW$1,INDIRECT("Table1[Obergruppe ATC-Code]"),Tabelle3!$A93)</f>
        <v>0</v>
      </c>
      <c r="BX93">
        <f ca="1">COUNTIFS(INDIRECT("Table1[Beginn]"),"&lt;="&amp;BX$1,INDIRECT("Table1[Ende]"),"&gt;="&amp;BX$1,INDIRECT("Table1[Obergruppe ATC-Code]"),Tabelle3!$A93)</f>
        <v>0</v>
      </c>
      <c r="BY93">
        <f ca="1">COUNTIFS(INDIRECT("Table1[Beginn]"),"&lt;="&amp;BY$1,INDIRECT("Table1[Ende]"),"&gt;="&amp;BY$1,INDIRECT("Table1[Obergruppe ATC-Code]"),Tabelle3!$A93)</f>
        <v>0</v>
      </c>
      <c r="BZ93">
        <f ca="1">COUNTIFS(INDIRECT("Table1[Beginn]"),"&lt;="&amp;BZ$1,INDIRECT("Table1[Ende]"),"&gt;="&amp;BZ$1,INDIRECT("Table1[Obergruppe ATC-Code]"),Tabelle3!$A93)</f>
        <v>0</v>
      </c>
      <c r="CA93">
        <f ca="1">COUNTIFS(INDIRECT("Table1[Beginn]"),"&lt;="&amp;CA$1,INDIRECT("Table1[Ende]"),"&gt;="&amp;CA$1,INDIRECT("Table1[Obergruppe ATC-Code]"),Tabelle3!$A93)</f>
        <v>0</v>
      </c>
      <c r="CB93">
        <f ca="1">COUNTIFS(INDIRECT("Table1[Beginn]"),"&lt;="&amp;CB$1,INDIRECT("Table1[Ende]"),"&gt;="&amp;CB$1,INDIRECT("Table1[Obergruppe ATC-Code]"),Tabelle3!$A93)</f>
        <v>0</v>
      </c>
      <c r="CC93">
        <f ca="1">COUNTIFS(INDIRECT("Table1[Beginn]"),"&lt;="&amp;CC$1,INDIRECT("Table1[Ende]"),"&gt;="&amp;CC$1,INDIRECT("Table1[Obergruppe ATC-Code]"),Tabelle3!$A93)</f>
        <v>0</v>
      </c>
      <c r="CD93">
        <f ca="1">COUNTIFS(INDIRECT("Table1[Beginn]"),"&lt;="&amp;CD$1,INDIRECT("Table1[Ende]"),"&gt;="&amp;CD$1,INDIRECT("Table1[Obergruppe ATC-Code]"),Tabelle3!$A93)</f>
        <v>0</v>
      </c>
      <c r="CE93">
        <f ca="1">COUNTIFS(INDIRECT("Table1[Beginn]"),"&lt;="&amp;CE$1,INDIRECT("Table1[Ende]"),"&gt;="&amp;CE$1,INDIRECT("Table1[Obergruppe ATC-Code]"),Tabelle3!$A93)</f>
        <v>0</v>
      </c>
      <c r="CF93">
        <f ca="1">COUNTIFS(INDIRECT("Table1[Beginn]"),"&lt;="&amp;CF$1,INDIRECT("Table1[Ende]"),"&gt;="&amp;CF$1,INDIRECT("Table1[Obergruppe ATC-Code]"),Tabelle3!$A93)</f>
        <v>0</v>
      </c>
      <c r="CG93">
        <f ca="1">COUNTIFS(INDIRECT("Table1[Beginn]"),"&lt;="&amp;CG$1,INDIRECT("Table1[Ende]"),"&gt;="&amp;CG$1,INDIRECT("Table1[Obergruppe ATC-Code]"),Tabelle3!$A93)</f>
        <v>0</v>
      </c>
      <c r="CH93">
        <f ca="1">COUNTIFS(INDIRECT("Table1[Beginn]"),"&lt;="&amp;CH$1,INDIRECT("Table1[Ende]"),"&gt;="&amp;CH$1,INDIRECT("Table1[Obergruppe ATC-Code]"),Tabelle3!$A93)</f>
        <v>0</v>
      </c>
      <c r="CI93">
        <f ca="1">COUNTIFS(INDIRECT("Table1[Beginn]"),"&lt;="&amp;CI$1,INDIRECT("Table1[Ende]"),"&gt;="&amp;CI$1,INDIRECT("Table1[Obergruppe ATC-Code]"),Tabelle3!$A93)</f>
        <v>0</v>
      </c>
      <c r="CJ93">
        <f ca="1">COUNTIFS(INDIRECT("Table1[Beginn]"),"&lt;="&amp;CJ$1,INDIRECT("Table1[Ende]"),"&gt;="&amp;CJ$1,INDIRECT("Table1[Obergruppe ATC-Code]"),Tabelle3!$A93)</f>
        <v>0</v>
      </c>
      <c r="CK93">
        <f ca="1">COUNTIFS(INDIRECT("Table1[Beginn]"),"&lt;="&amp;CK$1,INDIRECT("Table1[Ende]"),"&gt;="&amp;CK$1,INDIRECT("Table1[Obergruppe ATC-Code]"),Tabelle3!$A93)</f>
        <v>0</v>
      </c>
      <c r="CL93">
        <f ca="1">COUNTIFS(INDIRECT("Table1[Beginn]"),"&lt;="&amp;CL$1,INDIRECT("Table1[Ende]"),"&gt;="&amp;CL$1,INDIRECT("Table1[Obergruppe ATC-Code]"),Tabelle3!$A93)</f>
        <v>0</v>
      </c>
      <c r="CM93">
        <f ca="1">COUNTIFS(INDIRECT("Table1[Beginn]"),"&lt;="&amp;CM$1,INDIRECT("Table1[Ende]"),"&gt;="&amp;CM$1,INDIRECT("Table1[Obergruppe ATC-Code]"),Tabelle3!$A93)</f>
        <v>0</v>
      </c>
      <c r="CN93">
        <f ca="1">COUNTIFS(INDIRECT("Table1[Beginn]"),"&lt;="&amp;CN$1,INDIRECT("Table1[Ende]"),"&gt;="&amp;CN$1,INDIRECT("Table1[Obergruppe ATC-Code]"),Tabelle3!$A93)</f>
        <v>0</v>
      </c>
      <c r="CO93">
        <f ca="1">COUNTIFS(INDIRECT("Table1[Beginn]"),"&lt;="&amp;CO$1,INDIRECT("Table1[Ende]"),"&gt;="&amp;CO$1,INDIRECT("Table1[Obergruppe ATC-Code]"),Tabelle3!$A93)</f>
        <v>0</v>
      </c>
      <c r="CP93">
        <f ca="1">COUNTIFS(INDIRECT("Table1[Beginn]"),"&lt;="&amp;CP$1,INDIRECT("Table1[Ende]"),"&gt;="&amp;CP$1,INDIRECT("Table1[Obergruppe ATC-Code]"),Tabelle3!$A93)</f>
        <v>0</v>
      </c>
      <c r="CQ93">
        <f ca="1">COUNTIFS(INDIRECT("Table1[Beginn]"),"&lt;="&amp;CQ$1,INDIRECT("Table1[Ende]"),"&gt;="&amp;CQ$1,INDIRECT("Table1[Obergruppe ATC-Code]"),Tabelle3!$A93)</f>
        <v>0</v>
      </c>
      <c r="CR93">
        <f ca="1">COUNTIFS(INDIRECT("Table1[Beginn]"),"&lt;="&amp;CR$1,INDIRECT("Table1[Ende]"),"&gt;="&amp;CR$1,INDIRECT("Table1[Obergruppe ATC-Code]"),Tabelle3!$A93)</f>
        <v>0</v>
      </c>
    </row>
    <row r="94" spans="1:96" ht="18">
      <c r="A94" s="7" t="s">
        <v>6956</v>
      </c>
      <c r="B94" s="8" t="s">
        <v>6957</v>
      </c>
      <c r="C94">
        <f ca="1">COUNTIFS(INDIRECT("Table1[Beginn]"),"&lt;="&amp;C$1,INDIRECT("Table1[Ende]"),"&gt;="&amp;C$1,INDIRECT("Table1[Obergruppe ATC-Code]"),Tabelle3!$A94)</f>
        <v>0</v>
      </c>
      <c r="D94">
        <f ca="1">COUNTIFS(INDIRECT("Table1[Beginn]"),"&lt;="&amp;D$1,INDIRECT("Table1[Ende]"),"&gt;="&amp;D$1,INDIRECT("Table1[Obergruppe ATC-Code]"),Tabelle3!$A94)</f>
        <v>0</v>
      </c>
      <c r="E94">
        <f ca="1">COUNTIFS(INDIRECT("Table1[Beginn]"),"&lt;="&amp;E$1,INDIRECT("Table1[Ende]"),"&gt;="&amp;E$1,INDIRECT("Table1[Obergruppe ATC-Code]"),Tabelle3!$A94)</f>
        <v>0</v>
      </c>
      <c r="F94">
        <f ca="1">COUNTIFS(INDIRECT("Table1[Beginn]"),"&lt;="&amp;F$1,INDIRECT("Table1[Ende]"),"&gt;="&amp;F$1,INDIRECT("Table1[Obergruppe ATC-Code]"),Tabelle3!$A94)</f>
        <v>0</v>
      </c>
      <c r="G94">
        <f ca="1">COUNTIFS(INDIRECT("Table1[Beginn]"),"&lt;="&amp;G$1,INDIRECT("Table1[Ende]"),"&gt;="&amp;G$1,INDIRECT("Table1[Obergruppe ATC-Code]"),Tabelle3!$A94)</f>
        <v>0</v>
      </c>
      <c r="H94">
        <f ca="1">COUNTIFS(INDIRECT("Table1[Beginn]"),"&lt;="&amp;H$1,INDIRECT("Table1[Ende]"),"&gt;="&amp;H$1,INDIRECT("Table1[Obergruppe ATC-Code]"),Tabelle3!$A94)</f>
        <v>0</v>
      </c>
      <c r="I94">
        <f ca="1">COUNTIFS(INDIRECT("Table1[Beginn]"),"&lt;="&amp;I$1,INDIRECT("Table1[Ende]"),"&gt;="&amp;I$1,INDIRECT("Table1[Obergruppe ATC-Code]"),Tabelle3!$A94)</f>
        <v>0</v>
      </c>
      <c r="J94">
        <f ca="1">COUNTIFS(INDIRECT("Table1[Beginn]"),"&lt;="&amp;J$1,INDIRECT("Table1[Ende]"),"&gt;="&amp;J$1,INDIRECT("Table1[Obergruppe ATC-Code]"),Tabelle3!$A94)</f>
        <v>0</v>
      </c>
      <c r="K94">
        <f ca="1">COUNTIFS(INDIRECT("Table1[Beginn]"),"&lt;="&amp;K$1,INDIRECT("Table1[Ende]"),"&gt;="&amp;K$1,INDIRECT("Table1[Obergruppe ATC-Code]"),Tabelle3!$A94)</f>
        <v>0</v>
      </c>
      <c r="L94">
        <f ca="1">COUNTIFS(INDIRECT("Table1[Beginn]"),"&lt;="&amp;L$1,INDIRECT("Table1[Ende]"),"&gt;="&amp;L$1,INDIRECT("Table1[Obergruppe ATC-Code]"),Tabelle3!$A94)</f>
        <v>0</v>
      </c>
      <c r="M94">
        <f ca="1">COUNTIFS(INDIRECT("Table1[Beginn]"),"&lt;="&amp;M$1,INDIRECT("Table1[Ende]"),"&gt;="&amp;M$1,INDIRECT("Table1[Obergruppe ATC-Code]"),Tabelle3!$A94)</f>
        <v>0</v>
      </c>
      <c r="N94">
        <f ca="1">COUNTIFS(INDIRECT("Table1[Beginn]"),"&lt;="&amp;N$1,INDIRECT("Table1[Ende]"),"&gt;="&amp;N$1,INDIRECT("Table1[Obergruppe ATC-Code]"),Tabelle3!$A94)</f>
        <v>0</v>
      </c>
      <c r="O94">
        <f ca="1">COUNTIFS(INDIRECT("Table1[Beginn]"),"&lt;="&amp;O$1,INDIRECT("Table1[Ende]"),"&gt;="&amp;O$1,INDIRECT("Table1[Obergruppe ATC-Code]"),Tabelle3!$A94)</f>
        <v>0</v>
      </c>
      <c r="P94">
        <f ca="1">COUNTIFS(INDIRECT("Table1[Beginn]"),"&lt;="&amp;P$1,INDIRECT("Table1[Ende]"),"&gt;="&amp;P$1,INDIRECT("Table1[Obergruppe ATC-Code]"),Tabelle3!$A94)</f>
        <v>0</v>
      </c>
      <c r="Q94">
        <f ca="1">COUNTIFS(INDIRECT("Table1[Beginn]"),"&lt;="&amp;Q$1,INDIRECT("Table1[Ende]"),"&gt;="&amp;Q$1,INDIRECT("Table1[Obergruppe ATC-Code]"),Tabelle3!$A94)</f>
        <v>0</v>
      </c>
      <c r="R94">
        <f ca="1">COUNTIFS(INDIRECT("Table1[Beginn]"),"&lt;="&amp;R$1,INDIRECT("Table1[Ende]"),"&gt;="&amp;R$1,INDIRECT("Table1[Obergruppe ATC-Code]"),Tabelle3!$A94)</f>
        <v>0</v>
      </c>
      <c r="S94">
        <f ca="1">COUNTIFS(INDIRECT("Table1[Beginn]"),"&lt;="&amp;S$1,INDIRECT("Table1[Ende]"),"&gt;="&amp;S$1,INDIRECT("Table1[Obergruppe ATC-Code]"),Tabelle3!$A94)</f>
        <v>0</v>
      </c>
      <c r="T94">
        <f ca="1">COUNTIFS(INDIRECT("Table1[Beginn]"),"&lt;="&amp;T$1,INDIRECT("Table1[Ende]"),"&gt;="&amp;T$1,INDIRECT("Table1[Obergruppe ATC-Code]"),Tabelle3!$A94)</f>
        <v>0</v>
      </c>
      <c r="U94">
        <f ca="1">COUNTIFS(INDIRECT("Table1[Beginn]"),"&lt;="&amp;U$1,INDIRECT("Table1[Ende]"),"&gt;="&amp;U$1,INDIRECT("Table1[Obergruppe ATC-Code]"),Tabelle3!$A94)</f>
        <v>0</v>
      </c>
      <c r="V94">
        <f ca="1">COUNTIFS(INDIRECT("Table1[Beginn]"),"&lt;="&amp;V$1,INDIRECT("Table1[Ende]"),"&gt;="&amp;V$1,INDIRECT("Table1[Obergruppe ATC-Code]"),Tabelle3!$A94)</f>
        <v>0</v>
      </c>
      <c r="W94">
        <f ca="1">COUNTIFS(INDIRECT("Table1[Beginn]"),"&lt;="&amp;W$1,INDIRECT("Table1[Ende]"),"&gt;="&amp;W$1,INDIRECT("Table1[Obergruppe ATC-Code]"),Tabelle3!$A94)</f>
        <v>0</v>
      </c>
      <c r="X94">
        <f ca="1">COUNTIFS(INDIRECT("Table1[Beginn]"),"&lt;="&amp;X$1,INDIRECT("Table1[Ende]"),"&gt;="&amp;X$1,INDIRECT("Table1[Obergruppe ATC-Code]"),Tabelle3!$A94)</f>
        <v>0</v>
      </c>
      <c r="Y94">
        <f ca="1">COUNTIFS(INDIRECT("Table1[Beginn]"),"&lt;="&amp;Y$1,INDIRECT("Table1[Ende]"),"&gt;="&amp;Y$1,INDIRECT("Table1[Obergruppe ATC-Code]"),Tabelle3!$A94)</f>
        <v>0</v>
      </c>
      <c r="Z94">
        <f ca="1">COUNTIFS(INDIRECT("Table1[Beginn]"),"&lt;="&amp;Z$1,INDIRECT("Table1[Ende]"),"&gt;="&amp;Z$1,INDIRECT("Table1[Obergruppe ATC-Code]"),Tabelle3!$A94)</f>
        <v>1</v>
      </c>
      <c r="AA94">
        <f ca="1">COUNTIFS(INDIRECT("Table1[Beginn]"),"&lt;="&amp;AA$1,INDIRECT("Table1[Ende]"),"&gt;="&amp;AA$1,INDIRECT("Table1[Obergruppe ATC-Code]"),Tabelle3!$A94)</f>
        <v>1</v>
      </c>
      <c r="AB94">
        <f ca="1">COUNTIFS(INDIRECT("Table1[Beginn]"),"&lt;="&amp;AB$1,INDIRECT("Table1[Ende]"),"&gt;="&amp;AB$1,INDIRECT("Table1[Obergruppe ATC-Code]"),Tabelle3!$A94)</f>
        <v>1</v>
      </c>
      <c r="AC94">
        <f ca="1">COUNTIFS(INDIRECT("Table1[Beginn]"),"&lt;="&amp;AC$1,INDIRECT("Table1[Ende]"),"&gt;="&amp;AC$1,INDIRECT("Table1[Obergruppe ATC-Code]"),Tabelle3!$A94)</f>
        <v>0</v>
      </c>
      <c r="AD94">
        <f ca="1">COUNTIFS(INDIRECT("Table1[Beginn]"),"&lt;="&amp;AD$1,INDIRECT("Table1[Ende]"),"&gt;="&amp;AD$1,INDIRECT("Table1[Obergruppe ATC-Code]"),Tabelle3!$A94)</f>
        <v>0</v>
      </c>
      <c r="AE94">
        <f ca="1">COUNTIFS(INDIRECT("Table1[Beginn]"),"&lt;="&amp;AE$1,INDIRECT("Table1[Ende]"),"&gt;="&amp;AE$1,INDIRECT("Table1[Obergruppe ATC-Code]"),Tabelle3!$A94)</f>
        <v>0</v>
      </c>
      <c r="AF94">
        <f ca="1">COUNTIFS(INDIRECT("Table1[Beginn]"),"&lt;="&amp;AF$1,INDIRECT("Table1[Ende]"),"&gt;="&amp;AF$1,INDIRECT("Table1[Obergruppe ATC-Code]"),Tabelle3!$A94)</f>
        <v>0</v>
      </c>
      <c r="AG94">
        <f ca="1">COUNTIFS(INDIRECT("Table1[Beginn]"),"&lt;="&amp;AG$1,INDIRECT("Table1[Ende]"),"&gt;="&amp;AG$1,INDIRECT("Table1[Obergruppe ATC-Code]"),Tabelle3!$A94)</f>
        <v>0</v>
      </c>
      <c r="AH94">
        <f ca="1">COUNTIFS(INDIRECT("Table1[Beginn]"),"&lt;="&amp;AH$1,INDIRECT("Table1[Ende]"),"&gt;="&amp;AH$1,INDIRECT("Table1[Obergruppe ATC-Code]"),Tabelle3!$A94)</f>
        <v>0</v>
      </c>
      <c r="AI94">
        <f ca="1">COUNTIFS(INDIRECT("Table1[Beginn]"),"&lt;="&amp;AI$1,INDIRECT("Table1[Ende]"),"&gt;="&amp;AI$1,INDIRECT("Table1[Obergruppe ATC-Code]"),Tabelle3!$A94)</f>
        <v>0</v>
      </c>
      <c r="AJ94">
        <f ca="1">COUNTIFS(INDIRECT("Table1[Beginn]"),"&lt;="&amp;AJ$1,INDIRECT("Table1[Ende]"),"&gt;="&amp;AJ$1,INDIRECT("Table1[Obergruppe ATC-Code]"),Tabelle3!$A94)</f>
        <v>0</v>
      </c>
      <c r="AK94">
        <f ca="1">COUNTIFS(INDIRECT("Table1[Beginn]"),"&lt;="&amp;AK$1,INDIRECT("Table1[Ende]"),"&gt;="&amp;AK$1,INDIRECT("Table1[Obergruppe ATC-Code]"),Tabelle3!$A94)</f>
        <v>0</v>
      </c>
      <c r="AL94">
        <f ca="1">COUNTIFS(INDIRECT("Table1[Beginn]"),"&lt;="&amp;AL$1,INDIRECT("Table1[Ende]"),"&gt;="&amp;AL$1,INDIRECT("Table1[Obergruppe ATC-Code]"),Tabelle3!$A94)</f>
        <v>0</v>
      </c>
      <c r="AM94">
        <f ca="1">COUNTIFS(INDIRECT("Table1[Beginn]"),"&lt;="&amp;AM$1,INDIRECT("Table1[Ende]"),"&gt;="&amp;AM$1,INDIRECT("Table1[Obergruppe ATC-Code]"),Tabelle3!$A94)</f>
        <v>0</v>
      </c>
      <c r="AN94">
        <f ca="1">COUNTIFS(INDIRECT("Table1[Beginn]"),"&lt;="&amp;AN$1,INDIRECT("Table1[Ende]"),"&gt;="&amp;AN$1,INDIRECT("Table1[Obergruppe ATC-Code]"),Tabelle3!$A94)</f>
        <v>0</v>
      </c>
      <c r="AO94">
        <f ca="1">COUNTIFS(INDIRECT("Table1[Beginn]"),"&lt;="&amp;AO$1,INDIRECT("Table1[Ende]"),"&gt;="&amp;AO$1,INDIRECT("Table1[Obergruppe ATC-Code]"),Tabelle3!$A94)</f>
        <v>0</v>
      </c>
      <c r="AP94">
        <f ca="1">COUNTIFS(INDIRECT("Table1[Beginn]"),"&lt;="&amp;AP$1,INDIRECT("Table1[Ende]"),"&gt;="&amp;AP$1,INDIRECT("Table1[Obergruppe ATC-Code]"),Tabelle3!$A94)</f>
        <v>0</v>
      </c>
      <c r="AQ94">
        <f ca="1">COUNTIFS(INDIRECT("Table1[Beginn]"),"&lt;="&amp;AQ$1,INDIRECT("Table1[Ende]"),"&gt;="&amp;AQ$1,INDIRECT("Table1[Obergruppe ATC-Code]"),Tabelle3!$A94)</f>
        <v>0</v>
      </c>
      <c r="AR94">
        <f ca="1">COUNTIFS(INDIRECT("Table1[Beginn]"),"&lt;="&amp;AR$1,INDIRECT("Table1[Ende]"),"&gt;="&amp;AR$1,INDIRECT("Table1[Obergruppe ATC-Code]"),Tabelle3!$A94)</f>
        <v>0</v>
      </c>
      <c r="AS94">
        <f ca="1">COUNTIFS(INDIRECT("Table1[Beginn]"),"&lt;="&amp;AS$1,INDIRECT("Table1[Ende]"),"&gt;="&amp;AS$1,INDIRECT("Table1[Obergruppe ATC-Code]"),Tabelle3!$A94)</f>
        <v>0</v>
      </c>
      <c r="AT94">
        <f ca="1">COUNTIFS(INDIRECT("Table1[Beginn]"),"&lt;="&amp;AT$1,INDIRECT("Table1[Ende]"),"&gt;="&amp;AT$1,INDIRECT("Table1[Obergruppe ATC-Code]"),Tabelle3!$A94)</f>
        <v>0</v>
      </c>
      <c r="AU94">
        <f ca="1">COUNTIFS(INDIRECT("Table1[Beginn]"),"&lt;="&amp;AU$1,INDIRECT("Table1[Ende]"),"&gt;="&amp;AU$1,INDIRECT("Table1[Obergruppe ATC-Code]"),Tabelle3!$A94)</f>
        <v>0</v>
      </c>
      <c r="AV94">
        <f ca="1">COUNTIFS(INDIRECT("Table1[Beginn]"),"&lt;="&amp;AV$1,INDIRECT("Table1[Ende]"),"&gt;="&amp;AV$1,INDIRECT("Table1[Obergruppe ATC-Code]"),Tabelle3!$A94)</f>
        <v>0</v>
      </c>
      <c r="AW94">
        <f ca="1">COUNTIFS(INDIRECT("Table1[Beginn]"),"&lt;="&amp;AW$1,INDIRECT("Table1[Ende]"),"&gt;="&amp;AW$1,INDIRECT("Table1[Obergruppe ATC-Code]"),Tabelle3!$A94)</f>
        <v>0</v>
      </c>
      <c r="AX94">
        <f ca="1">COUNTIFS(INDIRECT("Table1[Beginn]"),"&lt;="&amp;AX$1,INDIRECT("Table1[Ende]"),"&gt;="&amp;AX$1,INDIRECT("Table1[Obergruppe ATC-Code]"),Tabelle3!$A94)</f>
        <v>0</v>
      </c>
      <c r="AY94">
        <f ca="1">COUNTIFS(INDIRECT("Table1[Beginn]"),"&lt;="&amp;AY$1,INDIRECT("Table1[Ende]"),"&gt;="&amp;AY$1,INDIRECT("Table1[Obergruppe ATC-Code]"),Tabelle3!$A94)</f>
        <v>0</v>
      </c>
      <c r="AZ94">
        <f ca="1">COUNTIFS(INDIRECT("Table1[Beginn]"),"&lt;="&amp;AZ$1,INDIRECT("Table1[Ende]"),"&gt;="&amp;AZ$1,INDIRECT("Table1[Obergruppe ATC-Code]"),Tabelle3!$A94)</f>
        <v>0</v>
      </c>
      <c r="BA94">
        <f ca="1">COUNTIFS(INDIRECT("Table1[Beginn]"),"&lt;="&amp;BA$1,INDIRECT("Table1[Ende]"),"&gt;="&amp;BA$1,INDIRECT("Table1[Obergruppe ATC-Code]"),Tabelle3!$A94)</f>
        <v>0</v>
      </c>
      <c r="BB94">
        <f ca="1">COUNTIFS(INDIRECT("Table1[Beginn]"),"&lt;="&amp;BB$1,INDIRECT("Table1[Ende]"),"&gt;="&amp;BB$1,INDIRECT("Table1[Obergruppe ATC-Code]"),Tabelle3!$A94)</f>
        <v>0</v>
      </c>
      <c r="BC94">
        <f ca="1">COUNTIFS(INDIRECT("Table1[Beginn]"),"&lt;="&amp;BC$1,INDIRECT("Table1[Ende]"),"&gt;="&amp;BC$1,INDIRECT("Table1[Obergruppe ATC-Code]"),Tabelle3!$A94)</f>
        <v>0</v>
      </c>
      <c r="BD94">
        <f ca="1">COUNTIFS(INDIRECT("Table1[Beginn]"),"&lt;="&amp;BD$1,INDIRECT("Table1[Ende]"),"&gt;="&amp;BD$1,INDIRECT("Table1[Obergruppe ATC-Code]"),Tabelle3!$A94)</f>
        <v>0</v>
      </c>
      <c r="BE94">
        <f ca="1">COUNTIFS(INDIRECT("Table1[Beginn]"),"&lt;="&amp;BE$1,INDIRECT("Table1[Ende]"),"&gt;="&amp;BE$1,INDIRECT("Table1[Obergruppe ATC-Code]"),Tabelle3!$A94)</f>
        <v>0</v>
      </c>
      <c r="BF94">
        <f ca="1">COUNTIFS(INDIRECT("Table1[Beginn]"),"&lt;="&amp;BF$1,INDIRECT("Table1[Ende]"),"&gt;="&amp;BF$1,INDIRECT("Table1[Obergruppe ATC-Code]"),Tabelle3!$A94)</f>
        <v>0</v>
      </c>
      <c r="BG94">
        <f ca="1">COUNTIFS(INDIRECT("Table1[Beginn]"),"&lt;="&amp;BG$1,INDIRECT("Table1[Ende]"),"&gt;="&amp;BG$1,INDIRECT("Table1[Obergruppe ATC-Code]"),Tabelle3!$A94)</f>
        <v>0</v>
      </c>
      <c r="BH94">
        <f ca="1">COUNTIFS(INDIRECT("Table1[Beginn]"),"&lt;="&amp;BH$1,INDIRECT("Table1[Ende]"),"&gt;="&amp;BH$1,INDIRECT("Table1[Obergruppe ATC-Code]"),Tabelle3!$A94)</f>
        <v>0</v>
      </c>
      <c r="BI94">
        <f ca="1">COUNTIFS(INDIRECT("Table1[Beginn]"),"&lt;="&amp;BI$1,INDIRECT("Table1[Ende]"),"&gt;="&amp;BI$1,INDIRECT("Table1[Obergruppe ATC-Code]"),Tabelle3!$A94)</f>
        <v>0</v>
      </c>
      <c r="BJ94">
        <f ca="1">COUNTIFS(INDIRECT("Table1[Beginn]"),"&lt;="&amp;BJ$1,INDIRECT("Table1[Ende]"),"&gt;="&amp;BJ$1,INDIRECT("Table1[Obergruppe ATC-Code]"),Tabelle3!$A94)</f>
        <v>0</v>
      </c>
      <c r="BK94">
        <f ca="1">COUNTIFS(INDIRECT("Table1[Beginn]"),"&lt;="&amp;BK$1,INDIRECT("Table1[Ende]"),"&gt;="&amp;BK$1,INDIRECT("Table1[Obergruppe ATC-Code]"),Tabelle3!$A94)</f>
        <v>0</v>
      </c>
      <c r="BL94">
        <f ca="1">COUNTIFS(INDIRECT("Table1[Beginn]"),"&lt;="&amp;BL$1,INDIRECT("Table1[Ende]"),"&gt;="&amp;BL$1,INDIRECT("Table1[Obergruppe ATC-Code]"),Tabelle3!$A94)</f>
        <v>0</v>
      </c>
      <c r="BM94">
        <f ca="1">COUNTIFS(INDIRECT("Table1[Beginn]"),"&lt;="&amp;BM$1,INDIRECT("Table1[Ende]"),"&gt;="&amp;BM$1,INDIRECT("Table1[Obergruppe ATC-Code]"),Tabelle3!$A94)</f>
        <v>0</v>
      </c>
      <c r="BN94">
        <f ca="1">COUNTIFS(INDIRECT("Table1[Beginn]"),"&lt;="&amp;BN$1,INDIRECT("Table1[Ende]"),"&gt;="&amp;BN$1,INDIRECT("Table1[Obergruppe ATC-Code]"),Tabelle3!$A94)</f>
        <v>0</v>
      </c>
      <c r="BO94">
        <f ca="1">COUNTIFS(INDIRECT("Table1[Beginn]"),"&lt;="&amp;BO$1,INDIRECT("Table1[Ende]"),"&gt;="&amp;BO$1,INDIRECT("Table1[Obergruppe ATC-Code]"),Tabelle3!$A94)</f>
        <v>1</v>
      </c>
      <c r="BP94">
        <f ca="1">COUNTIFS(INDIRECT("Table1[Beginn]"),"&lt;="&amp;BP$1,INDIRECT("Table1[Ende]"),"&gt;="&amp;BP$1,INDIRECT("Table1[Obergruppe ATC-Code]"),Tabelle3!$A94)</f>
        <v>2</v>
      </c>
      <c r="BQ94">
        <f ca="1">COUNTIFS(INDIRECT("Table1[Beginn]"),"&lt;="&amp;BQ$1,INDIRECT("Table1[Ende]"),"&gt;="&amp;BQ$1,INDIRECT("Table1[Obergruppe ATC-Code]"),Tabelle3!$A94)</f>
        <v>2</v>
      </c>
      <c r="BR94">
        <f ca="1">COUNTIFS(INDIRECT("Table1[Beginn]"),"&lt;="&amp;BR$1,INDIRECT("Table1[Ende]"),"&gt;="&amp;BR$1,INDIRECT("Table1[Obergruppe ATC-Code]"),Tabelle3!$A94)</f>
        <v>2</v>
      </c>
      <c r="BS94">
        <f ca="1">COUNTIFS(INDIRECT("Table1[Beginn]"),"&lt;="&amp;BS$1,INDIRECT("Table1[Ende]"),"&gt;="&amp;BS$1,INDIRECT("Table1[Obergruppe ATC-Code]"),Tabelle3!$A94)</f>
        <v>1</v>
      </c>
      <c r="BT94">
        <f ca="1">COUNTIFS(INDIRECT("Table1[Beginn]"),"&lt;="&amp;BT$1,INDIRECT("Table1[Ende]"),"&gt;="&amp;BT$1,INDIRECT("Table1[Obergruppe ATC-Code]"),Tabelle3!$A94)</f>
        <v>1</v>
      </c>
      <c r="BU94">
        <f ca="1">COUNTIFS(INDIRECT("Table1[Beginn]"),"&lt;="&amp;BU$1,INDIRECT("Table1[Ende]"),"&gt;="&amp;BU$1,INDIRECT("Table1[Obergruppe ATC-Code]"),Tabelle3!$A94)</f>
        <v>1</v>
      </c>
      <c r="BV94">
        <f ca="1">COUNTIFS(INDIRECT("Table1[Beginn]"),"&lt;="&amp;BV$1,INDIRECT("Table1[Ende]"),"&gt;="&amp;BV$1,INDIRECT("Table1[Obergruppe ATC-Code]"),Tabelle3!$A94)</f>
        <v>1</v>
      </c>
      <c r="BW94">
        <f ca="1">COUNTIFS(INDIRECT("Table1[Beginn]"),"&lt;="&amp;BW$1,INDIRECT("Table1[Ende]"),"&gt;="&amp;BW$1,INDIRECT("Table1[Obergruppe ATC-Code]"),Tabelle3!$A94)</f>
        <v>0</v>
      </c>
      <c r="BX94">
        <f ca="1">COUNTIFS(INDIRECT("Table1[Beginn]"),"&lt;="&amp;BX$1,INDIRECT("Table1[Ende]"),"&gt;="&amp;BX$1,INDIRECT("Table1[Obergruppe ATC-Code]"),Tabelle3!$A94)</f>
        <v>0</v>
      </c>
      <c r="BY94">
        <f ca="1">COUNTIFS(INDIRECT("Table1[Beginn]"),"&lt;="&amp;BY$1,INDIRECT("Table1[Ende]"),"&gt;="&amp;BY$1,INDIRECT("Table1[Obergruppe ATC-Code]"),Tabelle3!$A94)</f>
        <v>0</v>
      </c>
      <c r="BZ94">
        <f ca="1">COUNTIFS(INDIRECT("Table1[Beginn]"),"&lt;="&amp;BZ$1,INDIRECT("Table1[Ende]"),"&gt;="&amp;BZ$1,INDIRECT("Table1[Obergruppe ATC-Code]"),Tabelle3!$A94)</f>
        <v>0</v>
      </c>
      <c r="CA94">
        <f ca="1">COUNTIFS(INDIRECT("Table1[Beginn]"),"&lt;="&amp;CA$1,INDIRECT("Table1[Ende]"),"&gt;="&amp;CA$1,INDIRECT("Table1[Obergruppe ATC-Code]"),Tabelle3!$A94)</f>
        <v>0</v>
      </c>
      <c r="CB94">
        <f ca="1">COUNTIFS(INDIRECT("Table1[Beginn]"),"&lt;="&amp;CB$1,INDIRECT("Table1[Ende]"),"&gt;="&amp;CB$1,INDIRECT("Table1[Obergruppe ATC-Code]"),Tabelle3!$A94)</f>
        <v>1</v>
      </c>
      <c r="CC94">
        <f ca="1">COUNTIFS(INDIRECT("Table1[Beginn]"),"&lt;="&amp;CC$1,INDIRECT("Table1[Ende]"),"&gt;="&amp;CC$1,INDIRECT("Table1[Obergruppe ATC-Code]"),Tabelle3!$A94)</f>
        <v>1</v>
      </c>
      <c r="CD94">
        <f ca="1">COUNTIFS(INDIRECT("Table1[Beginn]"),"&lt;="&amp;CD$1,INDIRECT("Table1[Ende]"),"&gt;="&amp;CD$1,INDIRECT("Table1[Obergruppe ATC-Code]"),Tabelle3!$A94)</f>
        <v>1</v>
      </c>
      <c r="CE94">
        <f ca="1">COUNTIFS(INDIRECT("Table1[Beginn]"),"&lt;="&amp;CE$1,INDIRECT("Table1[Ende]"),"&gt;="&amp;CE$1,INDIRECT("Table1[Obergruppe ATC-Code]"),Tabelle3!$A94)</f>
        <v>0</v>
      </c>
      <c r="CF94">
        <f ca="1">COUNTIFS(INDIRECT("Table1[Beginn]"),"&lt;="&amp;CF$1,INDIRECT("Table1[Ende]"),"&gt;="&amp;CF$1,INDIRECT("Table1[Obergruppe ATC-Code]"),Tabelle3!$A94)</f>
        <v>0</v>
      </c>
      <c r="CG94">
        <f ca="1">COUNTIFS(INDIRECT("Table1[Beginn]"),"&lt;="&amp;CG$1,INDIRECT("Table1[Ende]"),"&gt;="&amp;CG$1,INDIRECT("Table1[Obergruppe ATC-Code]"),Tabelle3!$A94)</f>
        <v>0</v>
      </c>
      <c r="CH94">
        <f ca="1">COUNTIFS(INDIRECT("Table1[Beginn]"),"&lt;="&amp;CH$1,INDIRECT("Table1[Ende]"),"&gt;="&amp;CH$1,INDIRECT("Table1[Obergruppe ATC-Code]"),Tabelle3!$A94)</f>
        <v>0</v>
      </c>
      <c r="CI94">
        <f ca="1">COUNTIFS(INDIRECT("Table1[Beginn]"),"&lt;="&amp;CI$1,INDIRECT("Table1[Ende]"),"&gt;="&amp;CI$1,INDIRECT("Table1[Obergruppe ATC-Code]"),Tabelle3!$A94)</f>
        <v>0</v>
      </c>
      <c r="CJ94">
        <f ca="1">COUNTIFS(INDIRECT("Table1[Beginn]"),"&lt;="&amp;CJ$1,INDIRECT("Table1[Ende]"),"&gt;="&amp;CJ$1,INDIRECT("Table1[Obergruppe ATC-Code]"),Tabelle3!$A94)</f>
        <v>0</v>
      </c>
      <c r="CK94">
        <f ca="1">COUNTIFS(INDIRECT("Table1[Beginn]"),"&lt;="&amp;CK$1,INDIRECT("Table1[Ende]"),"&gt;="&amp;CK$1,INDIRECT("Table1[Obergruppe ATC-Code]"),Tabelle3!$A94)</f>
        <v>0</v>
      </c>
      <c r="CL94">
        <f ca="1">COUNTIFS(INDIRECT("Table1[Beginn]"),"&lt;="&amp;CL$1,INDIRECT("Table1[Ende]"),"&gt;="&amp;CL$1,INDIRECT("Table1[Obergruppe ATC-Code]"),Tabelle3!$A94)</f>
        <v>0</v>
      </c>
      <c r="CM94">
        <f ca="1">COUNTIFS(INDIRECT("Table1[Beginn]"),"&lt;="&amp;CM$1,INDIRECT("Table1[Ende]"),"&gt;="&amp;CM$1,INDIRECT("Table1[Obergruppe ATC-Code]"),Tabelle3!$A94)</f>
        <v>0</v>
      </c>
      <c r="CN94">
        <f ca="1">COUNTIFS(INDIRECT("Table1[Beginn]"),"&lt;="&amp;CN$1,INDIRECT("Table1[Ende]"),"&gt;="&amp;CN$1,INDIRECT("Table1[Obergruppe ATC-Code]"),Tabelle3!$A94)</f>
        <v>0</v>
      </c>
      <c r="CO94">
        <f ca="1">COUNTIFS(INDIRECT("Table1[Beginn]"),"&lt;="&amp;CO$1,INDIRECT("Table1[Ende]"),"&gt;="&amp;CO$1,INDIRECT("Table1[Obergruppe ATC-Code]"),Tabelle3!$A94)</f>
        <v>0</v>
      </c>
      <c r="CP94">
        <f ca="1">COUNTIFS(INDIRECT("Table1[Beginn]"),"&lt;="&amp;CP$1,INDIRECT("Table1[Ende]"),"&gt;="&amp;CP$1,INDIRECT("Table1[Obergruppe ATC-Code]"),Tabelle3!$A94)</f>
        <v>0</v>
      </c>
      <c r="CQ94">
        <f ca="1">COUNTIFS(INDIRECT("Table1[Beginn]"),"&lt;="&amp;CQ$1,INDIRECT("Table1[Ende]"),"&gt;="&amp;CQ$1,INDIRECT("Table1[Obergruppe ATC-Code]"),Tabelle3!$A94)</f>
        <v>0</v>
      </c>
      <c r="CR94">
        <f ca="1">COUNTIFS(INDIRECT("Table1[Beginn]"),"&lt;="&amp;CR$1,INDIRECT("Table1[Ende]"),"&gt;="&amp;CR$1,INDIRECT("Table1[Obergruppe ATC-Code]"),Tabelle3!$A94)</f>
        <v>0</v>
      </c>
    </row>
    <row r="95" spans="1:96" ht="18">
      <c r="A95" s="9" t="s">
        <v>6958</v>
      </c>
      <c r="B95" s="10" t="s">
        <v>6959</v>
      </c>
      <c r="C95">
        <f ca="1">COUNTIFS(INDIRECT("Table1[Beginn]"),"&lt;="&amp;C$1,INDIRECT("Table1[Ende]"),"&gt;="&amp;C$1,INDIRECT("Table1[Obergruppe ATC-Code]"),Tabelle3!$A95)</f>
        <v>0</v>
      </c>
      <c r="D95">
        <f ca="1">COUNTIFS(INDIRECT("Table1[Beginn]"),"&lt;="&amp;D$1,INDIRECT("Table1[Ende]"),"&gt;="&amp;D$1,INDIRECT("Table1[Obergruppe ATC-Code]"),Tabelle3!$A95)</f>
        <v>0</v>
      </c>
      <c r="E95">
        <f ca="1">COUNTIFS(INDIRECT("Table1[Beginn]"),"&lt;="&amp;E$1,INDIRECT("Table1[Ende]"),"&gt;="&amp;E$1,INDIRECT("Table1[Obergruppe ATC-Code]"),Tabelle3!$A95)</f>
        <v>0</v>
      </c>
      <c r="F95">
        <f ca="1">COUNTIFS(INDIRECT("Table1[Beginn]"),"&lt;="&amp;F$1,INDIRECT("Table1[Ende]"),"&gt;="&amp;F$1,INDIRECT("Table1[Obergruppe ATC-Code]"),Tabelle3!$A95)</f>
        <v>0</v>
      </c>
      <c r="G95">
        <f ca="1">COUNTIFS(INDIRECT("Table1[Beginn]"),"&lt;="&amp;G$1,INDIRECT("Table1[Ende]"),"&gt;="&amp;G$1,INDIRECT("Table1[Obergruppe ATC-Code]"),Tabelle3!$A95)</f>
        <v>0</v>
      </c>
      <c r="H95">
        <f ca="1">COUNTIFS(INDIRECT("Table1[Beginn]"),"&lt;="&amp;H$1,INDIRECT("Table1[Ende]"),"&gt;="&amp;H$1,INDIRECT("Table1[Obergruppe ATC-Code]"),Tabelle3!$A95)</f>
        <v>0</v>
      </c>
      <c r="I95">
        <f ca="1">COUNTIFS(INDIRECT("Table1[Beginn]"),"&lt;="&amp;I$1,INDIRECT("Table1[Ende]"),"&gt;="&amp;I$1,INDIRECT("Table1[Obergruppe ATC-Code]"),Tabelle3!$A95)</f>
        <v>0</v>
      </c>
      <c r="J95">
        <f ca="1">COUNTIFS(INDIRECT("Table1[Beginn]"),"&lt;="&amp;J$1,INDIRECT("Table1[Ende]"),"&gt;="&amp;J$1,INDIRECT("Table1[Obergruppe ATC-Code]"),Tabelle3!$A95)</f>
        <v>0</v>
      </c>
      <c r="K95">
        <f ca="1">COUNTIFS(INDIRECT("Table1[Beginn]"),"&lt;="&amp;K$1,INDIRECT("Table1[Ende]"),"&gt;="&amp;K$1,INDIRECT("Table1[Obergruppe ATC-Code]"),Tabelle3!$A95)</f>
        <v>0</v>
      </c>
      <c r="L95">
        <f ca="1">COUNTIFS(INDIRECT("Table1[Beginn]"),"&lt;="&amp;L$1,INDIRECT("Table1[Ende]"),"&gt;="&amp;L$1,INDIRECT("Table1[Obergruppe ATC-Code]"),Tabelle3!$A95)</f>
        <v>0</v>
      </c>
      <c r="M95">
        <f ca="1">COUNTIFS(INDIRECT("Table1[Beginn]"),"&lt;="&amp;M$1,INDIRECT("Table1[Ende]"),"&gt;="&amp;M$1,INDIRECT("Table1[Obergruppe ATC-Code]"),Tabelle3!$A95)</f>
        <v>0</v>
      </c>
      <c r="N95">
        <f ca="1">COUNTIFS(INDIRECT("Table1[Beginn]"),"&lt;="&amp;N$1,INDIRECT("Table1[Ende]"),"&gt;="&amp;N$1,INDIRECT("Table1[Obergruppe ATC-Code]"),Tabelle3!$A95)</f>
        <v>0</v>
      </c>
      <c r="O95">
        <f ca="1">COUNTIFS(INDIRECT("Table1[Beginn]"),"&lt;="&amp;O$1,INDIRECT("Table1[Ende]"),"&gt;="&amp;O$1,INDIRECT("Table1[Obergruppe ATC-Code]"),Tabelle3!$A95)</f>
        <v>0</v>
      </c>
      <c r="P95">
        <f ca="1">COUNTIFS(INDIRECT("Table1[Beginn]"),"&lt;="&amp;P$1,INDIRECT("Table1[Ende]"),"&gt;="&amp;P$1,INDIRECT("Table1[Obergruppe ATC-Code]"),Tabelle3!$A95)</f>
        <v>0</v>
      </c>
      <c r="Q95">
        <f ca="1">COUNTIFS(INDIRECT("Table1[Beginn]"),"&lt;="&amp;Q$1,INDIRECT("Table1[Ende]"),"&gt;="&amp;Q$1,INDIRECT("Table1[Obergruppe ATC-Code]"),Tabelle3!$A95)</f>
        <v>0</v>
      </c>
      <c r="R95">
        <f ca="1">COUNTIFS(INDIRECT("Table1[Beginn]"),"&lt;="&amp;R$1,INDIRECT("Table1[Ende]"),"&gt;="&amp;R$1,INDIRECT("Table1[Obergruppe ATC-Code]"),Tabelle3!$A95)</f>
        <v>0</v>
      </c>
      <c r="S95">
        <f ca="1">COUNTIFS(INDIRECT("Table1[Beginn]"),"&lt;="&amp;S$1,INDIRECT("Table1[Ende]"),"&gt;="&amp;S$1,INDIRECT("Table1[Obergruppe ATC-Code]"),Tabelle3!$A95)</f>
        <v>0</v>
      </c>
      <c r="T95">
        <f ca="1">COUNTIFS(INDIRECT("Table1[Beginn]"),"&lt;="&amp;T$1,INDIRECT("Table1[Ende]"),"&gt;="&amp;T$1,INDIRECT("Table1[Obergruppe ATC-Code]"),Tabelle3!$A95)</f>
        <v>0</v>
      </c>
      <c r="U95">
        <f ca="1">COUNTIFS(INDIRECT("Table1[Beginn]"),"&lt;="&amp;U$1,INDIRECT("Table1[Ende]"),"&gt;="&amp;U$1,INDIRECT("Table1[Obergruppe ATC-Code]"),Tabelle3!$A95)</f>
        <v>0</v>
      </c>
      <c r="V95">
        <f ca="1">COUNTIFS(INDIRECT("Table1[Beginn]"),"&lt;="&amp;V$1,INDIRECT("Table1[Ende]"),"&gt;="&amp;V$1,INDIRECT("Table1[Obergruppe ATC-Code]"),Tabelle3!$A95)</f>
        <v>0</v>
      </c>
      <c r="W95">
        <f ca="1">COUNTIFS(INDIRECT("Table1[Beginn]"),"&lt;="&amp;W$1,INDIRECT("Table1[Ende]"),"&gt;="&amp;W$1,INDIRECT("Table1[Obergruppe ATC-Code]"),Tabelle3!$A95)</f>
        <v>0</v>
      </c>
      <c r="X95">
        <f ca="1">COUNTIFS(INDIRECT("Table1[Beginn]"),"&lt;="&amp;X$1,INDIRECT("Table1[Ende]"),"&gt;="&amp;X$1,INDIRECT("Table1[Obergruppe ATC-Code]"),Tabelle3!$A95)</f>
        <v>0</v>
      </c>
      <c r="Y95">
        <f ca="1">COUNTIFS(INDIRECT("Table1[Beginn]"),"&lt;="&amp;Y$1,INDIRECT("Table1[Ende]"),"&gt;="&amp;Y$1,INDIRECT("Table1[Obergruppe ATC-Code]"),Tabelle3!$A95)</f>
        <v>0</v>
      </c>
      <c r="Z95">
        <f ca="1">COUNTIFS(INDIRECT("Table1[Beginn]"),"&lt;="&amp;Z$1,INDIRECT("Table1[Ende]"),"&gt;="&amp;Z$1,INDIRECT("Table1[Obergruppe ATC-Code]"),Tabelle3!$A95)</f>
        <v>0</v>
      </c>
      <c r="AA95">
        <f ca="1">COUNTIFS(INDIRECT("Table1[Beginn]"),"&lt;="&amp;AA$1,INDIRECT("Table1[Ende]"),"&gt;="&amp;AA$1,INDIRECT("Table1[Obergruppe ATC-Code]"),Tabelle3!$A95)</f>
        <v>0</v>
      </c>
      <c r="AB95">
        <f ca="1">COUNTIFS(INDIRECT("Table1[Beginn]"),"&lt;="&amp;AB$1,INDIRECT("Table1[Ende]"),"&gt;="&amp;AB$1,INDIRECT("Table1[Obergruppe ATC-Code]"),Tabelle3!$A95)</f>
        <v>0</v>
      </c>
      <c r="AC95">
        <f ca="1">COUNTIFS(INDIRECT("Table1[Beginn]"),"&lt;="&amp;AC$1,INDIRECT("Table1[Ende]"),"&gt;="&amp;AC$1,INDIRECT("Table1[Obergruppe ATC-Code]"),Tabelle3!$A95)</f>
        <v>0</v>
      </c>
      <c r="AD95">
        <f ca="1">COUNTIFS(INDIRECT("Table1[Beginn]"),"&lt;="&amp;AD$1,INDIRECT("Table1[Ende]"),"&gt;="&amp;AD$1,INDIRECT("Table1[Obergruppe ATC-Code]"),Tabelle3!$A95)</f>
        <v>0</v>
      </c>
      <c r="AE95">
        <f ca="1">COUNTIFS(INDIRECT("Table1[Beginn]"),"&lt;="&amp;AE$1,INDIRECT("Table1[Ende]"),"&gt;="&amp;AE$1,INDIRECT("Table1[Obergruppe ATC-Code]"),Tabelle3!$A95)</f>
        <v>0</v>
      </c>
      <c r="AF95">
        <f ca="1">COUNTIFS(INDIRECT("Table1[Beginn]"),"&lt;="&amp;AF$1,INDIRECT("Table1[Ende]"),"&gt;="&amp;AF$1,INDIRECT("Table1[Obergruppe ATC-Code]"),Tabelle3!$A95)</f>
        <v>0</v>
      </c>
      <c r="AG95">
        <f ca="1">COUNTIFS(INDIRECT("Table1[Beginn]"),"&lt;="&amp;AG$1,INDIRECT("Table1[Ende]"),"&gt;="&amp;AG$1,INDIRECT("Table1[Obergruppe ATC-Code]"),Tabelle3!$A95)</f>
        <v>0</v>
      </c>
      <c r="AH95">
        <f ca="1">COUNTIFS(INDIRECT("Table1[Beginn]"),"&lt;="&amp;AH$1,INDIRECT("Table1[Ende]"),"&gt;="&amp;AH$1,INDIRECT("Table1[Obergruppe ATC-Code]"),Tabelle3!$A95)</f>
        <v>0</v>
      </c>
      <c r="AI95">
        <f ca="1">COUNTIFS(INDIRECT("Table1[Beginn]"),"&lt;="&amp;AI$1,INDIRECT("Table1[Ende]"),"&gt;="&amp;AI$1,INDIRECT("Table1[Obergruppe ATC-Code]"),Tabelle3!$A95)</f>
        <v>0</v>
      </c>
      <c r="AJ95">
        <f ca="1">COUNTIFS(INDIRECT("Table1[Beginn]"),"&lt;="&amp;AJ$1,INDIRECT("Table1[Ende]"),"&gt;="&amp;AJ$1,INDIRECT("Table1[Obergruppe ATC-Code]"),Tabelle3!$A95)</f>
        <v>0</v>
      </c>
      <c r="AK95">
        <f ca="1">COUNTIFS(INDIRECT("Table1[Beginn]"),"&lt;="&amp;AK$1,INDIRECT("Table1[Ende]"),"&gt;="&amp;AK$1,INDIRECT("Table1[Obergruppe ATC-Code]"),Tabelle3!$A95)</f>
        <v>0</v>
      </c>
      <c r="AL95">
        <f ca="1">COUNTIFS(INDIRECT("Table1[Beginn]"),"&lt;="&amp;AL$1,INDIRECT("Table1[Ende]"),"&gt;="&amp;AL$1,INDIRECT("Table1[Obergruppe ATC-Code]"),Tabelle3!$A95)</f>
        <v>0</v>
      </c>
      <c r="AM95">
        <f ca="1">COUNTIFS(INDIRECT("Table1[Beginn]"),"&lt;="&amp;AM$1,INDIRECT("Table1[Ende]"),"&gt;="&amp;AM$1,INDIRECT("Table1[Obergruppe ATC-Code]"),Tabelle3!$A95)</f>
        <v>0</v>
      </c>
      <c r="AN95">
        <f ca="1">COUNTIFS(INDIRECT("Table1[Beginn]"),"&lt;="&amp;AN$1,INDIRECT("Table1[Ende]"),"&gt;="&amp;AN$1,INDIRECT("Table1[Obergruppe ATC-Code]"),Tabelle3!$A95)</f>
        <v>0</v>
      </c>
      <c r="AO95">
        <f ca="1">COUNTIFS(INDIRECT("Table1[Beginn]"),"&lt;="&amp;AO$1,INDIRECT("Table1[Ende]"),"&gt;="&amp;AO$1,INDIRECT("Table1[Obergruppe ATC-Code]"),Tabelle3!$A95)</f>
        <v>0</v>
      </c>
      <c r="AP95">
        <f ca="1">COUNTIFS(INDIRECT("Table1[Beginn]"),"&lt;="&amp;AP$1,INDIRECT("Table1[Ende]"),"&gt;="&amp;AP$1,INDIRECT("Table1[Obergruppe ATC-Code]"),Tabelle3!$A95)</f>
        <v>0</v>
      </c>
      <c r="AQ95">
        <f ca="1">COUNTIFS(INDIRECT("Table1[Beginn]"),"&lt;="&amp;AQ$1,INDIRECT("Table1[Ende]"),"&gt;="&amp;AQ$1,INDIRECT("Table1[Obergruppe ATC-Code]"),Tabelle3!$A95)</f>
        <v>0</v>
      </c>
      <c r="AR95">
        <f ca="1">COUNTIFS(INDIRECT("Table1[Beginn]"),"&lt;="&amp;AR$1,INDIRECT("Table1[Ende]"),"&gt;="&amp;AR$1,INDIRECT("Table1[Obergruppe ATC-Code]"),Tabelle3!$A95)</f>
        <v>0</v>
      </c>
      <c r="AS95">
        <f ca="1">COUNTIFS(INDIRECT("Table1[Beginn]"),"&lt;="&amp;AS$1,INDIRECT("Table1[Ende]"),"&gt;="&amp;AS$1,INDIRECT("Table1[Obergruppe ATC-Code]"),Tabelle3!$A95)</f>
        <v>0</v>
      </c>
      <c r="AT95">
        <f ca="1">COUNTIFS(INDIRECT("Table1[Beginn]"),"&lt;="&amp;AT$1,INDIRECT("Table1[Ende]"),"&gt;="&amp;AT$1,INDIRECT("Table1[Obergruppe ATC-Code]"),Tabelle3!$A95)</f>
        <v>0</v>
      </c>
      <c r="AU95">
        <f ca="1">COUNTIFS(INDIRECT("Table1[Beginn]"),"&lt;="&amp;AU$1,INDIRECT("Table1[Ende]"),"&gt;="&amp;AU$1,INDIRECT("Table1[Obergruppe ATC-Code]"),Tabelle3!$A95)</f>
        <v>0</v>
      </c>
      <c r="AV95">
        <f ca="1">COUNTIFS(INDIRECT("Table1[Beginn]"),"&lt;="&amp;AV$1,INDIRECT("Table1[Ende]"),"&gt;="&amp;AV$1,INDIRECT("Table1[Obergruppe ATC-Code]"),Tabelle3!$A95)</f>
        <v>0</v>
      </c>
      <c r="AW95">
        <f ca="1">COUNTIFS(INDIRECT("Table1[Beginn]"),"&lt;="&amp;AW$1,INDIRECT("Table1[Ende]"),"&gt;="&amp;AW$1,INDIRECT("Table1[Obergruppe ATC-Code]"),Tabelle3!$A95)</f>
        <v>0</v>
      </c>
      <c r="AX95">
        <f ca="1">COUNTIFS(INDIRECT("Table1[Beginn]"),"&lt;="&amp;AX$1,INDIRECT("Table1[Ende]"),"&gt;="&amp;AX$1,INDIRECT("Table1[Obergruppe ATC-Code]"),Tabelle3!$A95)</f>
        <v>0</v>
      </c>
      <c r="AY95">
        <f ca="1">COUNTIFS(INDIRECT("Table1[Beginn]"),"&lt;="&amp;AY$1,INDIRECT("Table1[Ende]"),"&gt;="&amp;AY$1,INDIRECT("Table1[Obergruppe ATC-Code]"),Tabelle3!$A95)</f>
        <v>0</v>
      </c>
      <c r="AZ95">
        <f ca="1">COUNTIFS(INDIRECT("Table1[Beginn]"),"&lt;="&amp;AZ$1,INDIRECT("Table1[Ende]"),"&gt;="&amp;AZ$1,INDIRECT("Table1[Obergruppe ATC-Code]"),Tabelle3!$A95)</f>
        <v>0</v>
      </c>
      <c r="BA95">
        <f ca="1">COUNTIFS(INDIRECT("Table1[Beginn]"),"&lt;="&amp;BA$1,INDIRECT("Table1[Ende]"),"&gt;="&amp;BA$1,INDIRECT("Table1[Obergruppe ATC-Code]"),Tabelle3!$A95)</f>
        <v>0</v>
      </c>
      <c r="BB95">
        <f ca="1">COUNTIFS(INDIRECT("Table1[Beginn]"),"&lt;="&amp;BB$1,INDIRECT("Table1[Ende]"),"&gt;="&amp;BB$1,INDIRECT("Table1[Obergruppe ATC-Code]"),Tabelle3!$A95)</f>
        <v>0</v>
      </c>
      <c r="BC95">
        <f ca="1">COUNTIFS(INDIRECT("Table1[Beginn]"),"&lt;="&amp;BC$1,INDIRECT("Table1[Ende]"),"&gt;="&amp;BC$1,INDIRECT("Table1[Obergruppe ATC-Code]"),Tabelle3!$A95)</f>
        <v>0</v>
      </c>
      <c r="BD95">
        <f ca="1">COUNTIFS(INDIRECT("Table1[Beginn]"),"&lt;="&amp;BD$1,INDIRECT("Table1[Ende]"),"&gt;="&amp;BD$1,INDIRECT("Table1[Obergruppe ATC-Code]"),Tabelle3!$A95)</f>
        <v>0</v>
      </c>
      <c r="BE95">
        <f ca="1">COUNTIFS(INDIRECT("Table1[Beginn]"),"&lt;="&amp;BE$1,INDIRECT("Table1[Ende]"),"&gt;="&amp;BE$1,INDIRECT("Table1[Obergruppe ATC-Code]"),Tabelle3!$A95)</f>
        <v>0</v>
      </c>
      <c r="BF95">
        <f ca="1">COUNTIFS(INDIRECT("Table1[Beginn]"),"&lt;="&amp;BF$1,INDIRECT("Table1[Ende]"),"&gt;="&amp;BF$1,INDIRECT("Table1[Obergruppe ATC-Code]"),Tabelle3!$A95)</f>
        <v>0</v>
      </c>
      <c r="BG95">
        <f ca="1">COUNTIFS(INDIRECT("Table1[Beginn]"),"&lt;="&amp;BG$1,INDIRECT("Table1[Ende]"),"&gt;="&amp;BG$1,INDIRECT("Table1[Obergruppe ATC-Code]"),Tabelle3!$A95)</f>
        <v>0</v>
      </c>
      <c r="BH95">
        <f ca="1">COUNTIFS(INDIRECT("Table1[Beginn]"),"&lt;="&amp;BH$1,INDIRECT("Table1[Ende]"),"&gt;="&amp;BH$1,INDIRECT("Table1[Obergruppe ATC-Code]"),Tabelle3!$A95)</f>
        <v>0</v>
      </c>
      <c r="BI95">
        <f ca="1">COUNTIFS(INDIRECT("Table1[Beginn]"),"&lt;="&amp;BI$1,INDIRECT("Table1[Ende]"),"&gt;="&amp;BI$1,INDIRECT("Table1[Obergruppe ATC-Code]"),Tabelle3!$A95)</f>
        <v>0</v>
      </c>
      <c r="BJ95">
        <f ca="1">COUNTIFS(INDIRECT("Table1[Beginn]"),"&lt;="&amp;BJ$1,INDIRECT("Table1[Ende]"),"&gt;="&amp;BJ$1,INDIRECT("Table1[Obergruppe ATC-Code]"),Tabelle3!$A95)</f>
        <v>0</v>
      </c>
      <c r="BK95">
        <f ca="1">COUNTIFS(INDIRECT("Table1[Beginn]"),"&lt;="&amp;BK$1,INDIRECT("Table1[Ende]"),"&gt;="&amp;BK$1,INDIRECT("Table1[Obergruppe ATC-Code]"),Tabelle3!$A95)</f>
        <v>0</v>
      </c>
      <c r="BL95">
        <f ca="1">COUNTIFS(INDIRECT("Table1[Beginn]"),"&lt;="&amp;BL$1,INDIRECT("Table1[Ende]"),"&gt;="&amp;BL$1,INDIRECT("Table1[Obergruppe ATC-Code]"),Tabelle3!$A95)</f>
        <v>0</v>
      </c>
      <c r="BM95">
        <f ca="1">COUNTIFS(INDIRECT("Table1[Beginn]"),"&lt;="&amp;BM$1,INDIRECT("Table1[Ende]"),"&gt;="&amp;BM$1,INDIRECT("Table1[Obergruppe ATC-Code]"),Tabelle3!$A95)</f>
        <v>0</v>
      </c>
      <c r="BN95">
        <f ca="1">COUNTIFS(INDIRECT("Table1[Beginn]"),"&lt;="&amp;BN$1,INDIRECT("Table1[Ende]"),"&gt;="&amp;BN$1,INDIRECT("Table1[Obergruppe ATC-Code]"),Tabelle3!$A95)</f>
        <v>0</v>
      </c>
      <c r="BO95">
        <f ca="1">COUNTIFS(INDIRECT("Table1[Beginn]"),"&lt;="&amp;BO$1,INDIRECT("Table1[Ende]"),"&gt;="&amp;BO$1,INDIRECT("Table1[Obergruppe ATC-Code]"),Tabelle3!$A95)</f>
        <v>0</v>
      </c>
      <c r="BP95">
        <f ca="1">COUNTIFS(INDIRECT("Table1[Beginn]"),"&lt;="&amp;BP$1,INDIRECT("Table1[Ende]"),"&gt;="&amp;BP$1,INDIRECT("Table1[Obergruppe ATC-Code]"),Tabelle3!$A95)</f>
        <v>0</v>
      </c>
      <c r="BQ95">
        <f ca="1">COUNTIFS(INDIRECT("Table1[Beginn]"),"&lt;="&amp;BQ$1,INDIRECT("Table1[Ende]"),"&gt;="&amp;BQ$1,INDIRECT("Table1[Obergruppe ATC-Code]"),Tabelle3!$A95)</f>
        <v>0</v>
      </c>
      <c r="BR95">
        <f ca="1">COUNTIFS(INDIRECT("Table1[Beginn]"),"&lt;="&amp;BR$1,INDIRECT("Table1[Ende]"),"&gt;="&amp;BR$1,INDIRECT("Table1[Obergruppe ATC-Code]"),Tabelle3!$A95)</f>
        <v>0</v>
      </c>
      <c r="BS95">
        <f ca="1">COUNTIFS(INDIRECT("Table1[Beginn]"),"&lt;="&amp;BS$1,INDIRECT("Table1[Ende]"),"&gt;="&amp;BS$1,INDIRECT("Table1[Obergruppe ATC-Code]"),Tabelle3!$A95)</f>
        <v>0</v>
      </c>
      <c r="BT95">
        <f ca="1">COUNTIFS(INDIRECT("Table1[Beginn]"),"&lt;="&amp;BT$1,INDIRECT("Table1[Ende]"),"&gt;="&amp;BT$1,INDIRECT("Table1[Obergruppe ATC-Code]"),Tabelle3!$A95)</f>
        <v>0</v>
      </c>
      <c r="BU95">
        <f ca="1">COUNTIFS(INDIRECT("Table1[Beginn]"),"&lt;="&amp;BU$1,INDIRECT("Table1[Ende]"),"&gt;="&amp;BU$1,INDIRECT("Table1[Obergruppe ATC-Code]"),Tabelle3!$A95)</f>
        <v>0</v>
      </c>
      <c r="BV95">
        <f ca="1">COUNTIFS(INDIRECT("Table1[Beginn]"),"&lt;="&amp;BV$1,INDIRECT("Table1[Ende]"),"&gt;="&amp;BV$1,INDIRECT("Table1[Obergruppe ATC-Code]"),Tabelle3!$A95)</f>
        <v>0</v>
      </c>
      <c r="BW95">
        <f ca="1">COUNTIFS(INDIRECT("Table1[Beginn]"),"&lt;="&amp;BW$1,INDIRECT("Table1[Ende]"),"&gt;="&amp;BW$1,INDIRECT("Table1[Obergruppe ATC-Code]"),Tabelle3!$A95)</f>
        <v>0</v>
      </c>
      <c r="BX95">
        <f ca="1">COUNTIFS(INDIRECT("Table1[Beginn]"),"&lt;="&amp;BX$1,INDIRECT("Table1[Ende]"),"&gt;="&amp;BX$1,INDIRECT("Table1[Obergruppe ATC-Code]"),Tabelle3!$A95)</f>
        <v>0</v>
      </c>
      <c r="BY95">
        <f ca="1">COUNTIFS(INDIRECT("Table1[Beginn]"),"&lt;="&amp;BY$1,INDIRECT("Table1[Ende]"),"&gt;="&amp;BY$1,INDIRECT("Table1[Obergruppe ATC-Code]"),Tabelle3!$A95)</f>
        <v>0</v>
      </c>
      <c r="BZ95">
        <f ca="1">COUNTIFS(INDIRECT("Table1[Beginn]"),"&lt;="&amp;BZ$1,INDIRECT("Table1[Ende]"),"&gt;="&amp;BZ$1,INDIRECT("Table1[Obergruppe ATC-Code]"),Tabelle3!$A95)</f>
        <v>0</v>
      </c>
      <c r="CA95">
        <f ca="1">COUNTIFS(INDIRECT("Table1[Beginn]"),"&lt;="&amp;CA$1,INDIRECT("Table1[Ende]"),"&gt;="&amp;CA$1,INDIRECT("Table1[Obergruppe ATC-Code]"),Tabelle3!$A95)</f>
        <v>0</v>
      </c>
      <c r="CB95">
        <f ca="1">COUNTIFS(INDIRECT("Table1[Beginn]"),"&lt;="&amp;CB$1,INDIRECT("Table1[Ende]"),"&gt;="&amp;CB$1,INDIRECT("Table1[Obergruppe ATC-Code]"),Tabelle3!$A95)</f>
        <v>0</v>
      </c>
      <c r="CC95">
        <f ca="1">COUNTIFS(INDIRECT("Table1[Beginn]"),"&lt;="&amp;CC$1,INDIRECT("Table1[Ende]"),"&gt;="&amp;CC$1,INDIRECT("Table1[Obergruppe ATC-Code]"),Tabelle3!$A95)</f>
        <v>0</v>
      </c>
      <c r="CD95">
        <f ca="1">COUNTIFS(INDIRECT("Table1[Beginn]"),"&lt;="&amp;CD$1,INDIRECT("Table1[Ende]"),"&gt;="&amp;CD$1,INDIRECT("Table1[Obergruppe ATC-Code]"),Tabelle3!$A95)</f>
        <v>0</v>
      </c>
      <c r="CE95">
        <f ca="1">COUNTIFS(INDIRECT("Table1[Beginn]"),"&lt;="&amp;CE$1,INDIRECT("Table1[Ende]"),"&gt;="&amp;CE$1,INDIRECT("Table1[Obergruppe ATC-Code]"),Tabelle3!$A95)</f>
        <v>0</v>
      </c>
      <c r="CF95">
        <f ca="1">COUNTIFS(INDIRECT("Table1[Beginn]"),"&lt;="&amp;CF$1,INDIRECT("Table1[Ende]"),"&gt;="&amp;CF$1,INDIRECT("Table1[Obergruppe ATC-Code]"),Tabelle3!$A95)</f>
        <v>0</v>
      </c>
      <c r="CG95">
        <f ca="1">COUNTIFS(INDIRECT("Table1[Beginn]"),"&lt;="&amp;CG$1,INDIRECT("Table1[Ende]"),"&gt;="&amp;CG$1,INDIRECT("Table1[Obergruppe ATC-Code]"),Tabelle3!$A95)</f>
        <v>0</v>
      </c>
      <c r="CH95">
        <f ca="1">COUNTIFS(INDIRECT("Table1[Beginn]"),"&lt;="&amp;CH$1,INDIRECT("Table1[Ende]"),"&gt;="&amp;CH$1,INDIRECT("Table1[Obergruppe ATC-Code]"),Tabelle3!$A95)</f>
        <v>0</v>
      </c>
      <c r="CI95">
        <f ca="1">COUNTIFS(INDIRECT("Table1[Beginn]"),"&lt;="&amp;CI$1,INDIRECT("Table1[Ende]"),"&gt;="&amp;CI$1,INDIRECT("Table1[Obergruppe ATC-Code]"),Tabelle3!$A95)</f>
        <v>0</v>
      </c>
      <c r="CJ95">
        <f ca="1">COUNTIFS(INDIRECT("Table1[Beginn]"),"&lt;="&amp;CJ$1,INDIRECT("Table1[Ende]"),"&gt;="&amp;CJ$1,INDIRECT("Table1[Obergruppe ATC-Code]"),Tabelle3!$A95)</f>
        <v>0</v>
      </c>
      <c r="CK95">
        <f ca="1">COUNTIFS(INDIRECT("Table1[Beginn]"),"&lt;="&amp;CK$1,INDIRECT("Table1[Ende]"),"&gt;="&amp;CK$1,INDIRECT("Table1[Obergruppe ATC-Code]"),Tabelle3!$A95)</f>
        <v>0</v>
      </c>
      <c r="CL95">
        <f ca="1">COUNTIFS(INDIRECT("Table1[Beginn]"),"&lt;="&amp;CL$1,INDIRECT("Table1[Ende]"),"&gt;="&amp;CL$1,INDIRECT("Table1[Obergruppe ATC-Code]"),Tabelle3!$A95)</f>
        <v>0</v>
      </c>
      <c r="CM95">
        <f ca="1">COUNTIFS(INDIRECT("Table1[Beginn]"),"&lt;="&amp;CM$1,INDIRECT("Table1[Ende]"),"&gt;="&amp;CM$1,INDIRECT("Table1[Obergruppe ATC-Code]"),Tabelle3!$A95)</f>
        <v>0</v>
      </c>
      <c r="CN95">
        <f ca="1">COUNTIFS(INDIRECT("Table1[Beginn]"),"&lt;="&amp;CN$1,INDIRECT("Table1[Ende]"),"&gt;="&amp;CN$1,INDIRECT("Table1[Obergruppe ATC-Code]"),Tabelle3!$A95)</f>
        <v>0</v>
      </c>
      <c r="CO95">
        <f ca="1">COUNTIFS(INDIRECT("Table1[Beginn]"),"&lt;="&amp;CO$1,INDIRECT("Table1[Ende]"),"&gt;="&amp;CO$1,INDIRECT("Table1[Obergruppe ATC-Code]"),Tabelle3!$A95)</f>
        <v>0</v>
      </c>
      <c r="CP95">
        <f ca="1">COUNTIFS(INDIRECT("Table1[Beginn]"),"&lt;="&amp;CP$1,INDIRECT("Table1[Ende]"),"&gt;="&amp;CP$1,INDIRECT("Table1[Obergruppe ATC-Code]"),Tabelle3!$A95)</f>
        <v>0</v>
      </c>
      <c r="CQ95">
        <f ca="1">COUNTIFS(INDIRECT("Table1[Beginn]"),"&lt;="&amp;CQ$1,INDIRECT("Table1[Ende]"),"&gt;="&amp;CQ$1,INDIRECT("Table1[Obergruppe ATC-Code]"),Tabelle3!$A95)</f>
        <v>0</v>
      </c>
      <c r="CR95">
        <f ca="1">COUNTIFS(INDIRECT("Table1[Beginn]"),"&lt;="&amp;CR$1,INDIRECT("Table1[Ende]"),"&gt;="&amp;CR$1,INDIRECT("Table1[Obergruppe ATC-Code]"),Tabelle3!$A95)</f>
        <v>0</v>
      </c>
    </row>
    <row r="96" spans="1:96" ht="18">
      <c r="A96" s="7" t="s">
        <v>6960</v>
      </c>
      <c r="B96" s="8" t="s">
        <v>6961</v>
      </c>
      <c r="C96">
        <f ca="1">COUNTIFS(INDIRECT("Table1[Beginn]"),"&lt;="&amp;C$1,INDIRECT("Table1[Ende]"),"&gt;="&amp;C$1,INDIRECT("Table1[Obergruppe ATC-Code]"),Tabelle3!$A96)</f>
        <v>0</v>
      </c>
      <c r="D96">
        <f ca="1">COUNTIFS(INDIRECT("Table1[Beginn]"),"&lt;="&amp;D$1,INDIRECT("Table1[Ende]"),"&gt;="&amp;D$1,INDIRECT("Table1[Obergruppe ATC-Code]"),Tabelle3!$A96)</f>
        <v>0</v>
      </c>
      <c r="E96">
        <f ca="1">COUNTIFS(INDIRECT("Table1[Beginn]"),"&lt;="&amp;E$1,INDIRECT("Table1[Ende]"),"&gt;="&amp;E$1,INDIRECT("Table1[Obergruppe ATC-Code]"),Tabelle3!$A96)</f>
        <v>0</v>
      </c>
      <c r="F96">
        <f ca="1">COUNTIFS(INDIRECT("Table1[Beginn]"),"&lt;="&amp;F$1,INDIRECT("Table1[Ende]"),"&gt;="&amp;F$1,INDIRECT("Table1[Obergruppe ATC-Code]"),Tabelle3!$A96)</f>
        <v>0</v>
      </c>
      <c r="G96">
        <f ca="1">COUNTIFS(INDIRECT("Table1[Beginn]"),"&lt;="&amp;G$1,INDIRECT("Table1[Ende]"),"&gt;="&amp;G$1,INDIRECT("Table1[Obergruppe ATC-Code]"),Tabelle3!$A96)</f>
        <v>0</v>
      </c>
      <c r="H96">
        <f ca="1">COUNTIFS(INDIRECT("Table1[Beginn]"),"&lt;="&amp;H$1,INDIRECT("Table1[Ende]"),"&gt;="&amp;H$1,INDIRECT("Table1[Obergruppe ATC-Code]"),Tabelle3!$A96)</f>
        <v>0</v>
      </c>
      <c r="I96">
        <f ca="1">COUNTIFS(INDIRECT("Table1[Beginn]"),"&lt;="&amp;I$1,INDIRECT("Table1[Ende]"),"&gt;="&amp;I$1,INDIRECT("Table1[Obergruppe ATC-Code]"),Tabelle3!$A96)</f>
        <v>0</v>
      </c>
      <c r="J96">
        <f ca="1">COUNTIFS(INDIRECT("Table1[Beginn]"),"&lt;="&amp;J$1,INDIRECT("Table1[Ende]"),"&gt;="&amp;J$1,INDIRECT("Table1[Obergruppe ATC-Code]"),Tabelle3!$A96)</f>
        <v>0</v>
      </c>
      <c r="K96">
        <f ca="1">COUNTIFS(INDIRECT("Table1[Beginn]"),"&lt;="&amp;K$1,INDIRECT("Table1[Ende]"),"&gt;="&amp;K$1,INDIRECT("Table1[Obergruppe ATC-Code]"),Tabelle3!$A96)</f>
        <v>0</v>
      </c>
      <c r="L96">
        <f ca="1">COUNTIFS(INDIRECT("Table1[Beginn]"),"&lt;="&amp;L$1,INDIRECT("Table1[Ende]"),"&gt;="&amp;L$1,INDIRECT("Table1[Obergruppe ATC-Code]"),Tabelle3!$A96)</f>
        <v>0</v>
      </c>
      <c r="M96">
        <f ca="1">COUNTIFS(INDIRECT("Table1[Beginn]"),"&lt;="&amp;M$1,INDIRECT("Table1[Ende]"),"&gt;="&amp;M$1,INDIRECT("Table1[Obergruppe ATC-Code]"),Tabelle3!$A96)</f>
        <v>0</v>
      </c>
      <c r="N96">
        <f ca="1">COUNTIFS(INDIRECT("Table1[Beginn]"),"&lt;="&amp;N$1,INDIRECT("Table1[Ende]"),"&gt;="&amp;N$1,INDIRECT("Table1[Obergruppe ATC-Code]"),Tabelle3!$A96)</f>
        <v>0</v>
      </c>
      <c r="O96">
        <f ca="1">COUNTIFS(INDIRECT("Table1[Beginn]"),"&lt;="&amp;O$1,INDIRECT("Table1[Ende]"),"&gt;="&amp;O$1,INDIRECT("Table1[Obergruppe ATC-Code]"),Tabelle3!$A96)</f>
        <v>0</v>
      </c>
      <c r="P96">
        <f ca="1">COUNTIFS(INDIRECT("Table1[Beginn]"),"&lt;="&amp;P$1,INDIRECT("Table1[Ende]"),"&gt;="&amp;P$1,INDIRECT("Table1[Obergruppe ATC-Code]"),Tabelle3!$A96)</f>
        <v>0</v>
      </c>
      <c r="Q96">
        <f ca="1">COUNTIFS(INDIRECT("Table1[Beginn]"),"&lt;="&amp;Q$1,INDIRECT("Table1[Ende]"),"&gt;="&amp;Q$1,INDIRECT("Table1[Obergruppe ATC-Code]"),Tabelle3!$A96)</f>
        <v>0</v>
      </c>
      <c r="R96">
        <f ca="1">COUNTIFS(INDIRECT("Table1[Beginn]"),"&lt;="&amp;R$1,INDIRECT("Table1[Ende]"),"&gt;="&amp;R$1,INDIRECT("Table1[Obergruppe ATC-Code]"),Tabelle3!$A96)</f>
        <v>0</v>
      </c>
      <c r="S96">
        <f ca="1">COUNTIFS(INDIRECT("Table1[Beginn]"),"&lt;="&amp;S$1,INDIRECT("Table1[Ende]"),"&gt;="&amp;S$1,INDIRECT("Table1[Obergruppe ATC-Code]"),Tabelle3!$A96)</f>
        <v>0</v>
      </c>
      <c r="T96">
        <f ca="1">COUNTIFS(INDIRECT("Table1[Beginn]"),"&lt;="&amp;T$1,INDIRECT("Table1[Ende]"),"&gt;="&amp;T$1,INDIRECT("Table1[Obergruppe ATC-Code]"),Tabelle3!$A96)</f>
        <v>0</v>
      </c>
      <c r="U96">
        <f ca="1">COUNTIFS(INDIRECT("Table1[Beginn]"),"&lt;="&amp;U$1,INDIRECT("Table1[Ende]"),"&gt;="&amp;U$1,INDIRECT("Table1[Obergruppe ATC-Code]"),Tabelle3!$A96)</f>
        <v>0</v>
      </c>
      <c r="V96">
        <f ca="1">COUNTIFS(INDIRECT("Table1[Beginn]"),"&lt;="&amp;V$1,INDIRECT("Table1[Ende]"),"&gt;="&amp;V$1,INDIRECT("Table1[Obergruppe ATC-Code]"),Tabelle3!$A96)</f>
        <v>0</v>
      </c>
      <c r="W96">
        <f ca="1">COUNTIFS(INDIRECT("Table1[Beginn]"),"&lt;="&amp;W$1,INDIRECT("Table1[Ende]"),"&gt;="&amp;W$1,INDIRECT("Table1[Obergruppe ATC-Code]"),Tabelle3!$A96)</f>
        <v>0</v>
      </c>
      <c r="X96">
        <f ca="1">COUNTIFS(INDIRECT("Table1[Beginn]"),"&lt;="&amp;X$1,INDIRECT("Table1[Ende]"),"&gt;="&amp;X$1,INDIRECT("Table1[Obergruppe ATC-Code]"),Tabelle3!$A96)</f>
        <v>0</v>
      </c>
      <c r="Y96">
        <f ca="1">COUNTIFS(INDIRECT("Table1[Beginn]"),"&lt;="&amp;Y$1,INDIRECT("Table1[Ende]"),"&gt;="&amp;Y$1,INDIRECT("Table1[Obergruppe ATC-Code]"),Tabelle3!$A96)</f>
        <v>0</v>
      </c>
      <c r="Z96">
        <f ca="1">COUNTIFS(INDIRECT("Table1[Beginn]"),"&lt;="&amp;Z$1,INDIRECT("Table1[Ende]"),"&gt;="&amp;Z$1,INDIRECT("Table1[Obergruppe ATC-Code]"),Tabelle3!$A96)</f>
        <v>0</v>
      </c>
      <c r="AA96">
        <f ca="1">COUNTIFS(INDIRECT("Table1[Beginn]"),"&lt;="&amp;AA$1,INDIRECT("Table1[Ende]"),"&gt;="&amp;AA$1,INDIRECT("Table1[Obergruppe ATC-Code]"),Tabelle3!$A96)</f>
        <v>0</v>
      </c>
      <c r="AB96">
        <f ca="1">COUNTIFS(INDIRECT("Table1[Beginn]"),"&lt;="&amp;AB$1,INDIRECT("Table1[Ende]"),"&gt;="&amp;AB$1,INDIRECT("Table1[Obergruppe ATC-Code]"),Tabelle3!$A96)</f>
        <v>0</v>
      </c>
      <c r="AC96">
        <f ca="1">COUNTIFS(INDIRECT("Table1[Beginn]"),"&lt;="&amp;AC$1,INDIRECT("Table1[Ende]"),"&gt;="&amp;AC$1,INDIRECT("Table1[Obergruppe ATC-Code]"),Tabelle3!$A96)</f>
        <v>0</v>
      </c>
      <c r="AD96">
        <f ca="1">COUNTIFS(INDIRECT("Table1[Beginn]"),"&lt;="&amp;AD$1,INDIRECT("Table1[Ende]"),"&gt;="&amp;AD$1,INDIRECT("Table1[Obergruppe ATC-Code]"),Tabelle3!$A96)</f>
        <v>0</v>
      </c>
      <c r="AE96">
        <f ca="1">COUNTIFS(INDIRECT("Table1[Beginn]"),"&lt;="&amp;AE$1,INDIRECT("Table1[Ende]"),"&gt;="&amp;AE$1,INDIRECT("Table1[Obergruppe ATC-Code]"),Tabelle3!$A96)</f>
        <v>0</v>
      </c>
      <c r="AF96">
        <f ca="1">COUNTIFS(INDIRECT("Table1[Beginn]"),"&lt;="&amp;AF$1,INDIRECT("Table1[Ende]"),"&gt;="&amp;AF$1,INDIRECT("Table1[Obergruppe ATC-Code]"),Tabelle3!$A96)</f>
        <v>0</v>
      </c>
      <c r="AG96">
        <f ca="1">COUNTIFS(INDIRECT("Table1[Beginn]"),"&lt;="&amp;AG$1,INDIRECT("Table1[Ende]"),"&gt;="&amp;AG$1,INDIRECT("Table1[Obergruppe ATC-Code]"),Tabelle3!$A96)</f>
        <v>0</v>
      </c>
      <c r="AH96">
        <f ca="1">COUNTIFS(INDIRECT("Table1[Beginn]"),"&lt;="&amp;AH$1,INDIRECT("Table1[Ende]"),"&gt;="&amp;AH$1,INDIRECT("Table1[Obergruppe ATC-Code]"),Tabelle3!$A96)</f>
        <v>0</v>
      </c>
      <c r="AI96">
        <f ca="1">COUNTIFS(INDIRECT("Table1[Beginn]"),"&lt;="&amp;AI$1,INDIRECT("Table1[Ende]"),"&gt;="&amp;AI$1,INDIRECT("Table1[Obergruppe ATC-Code]"),Tabelle3!$A96)</f>
        <v>0</v>
      </c>
      <c r="AJ96">
        <f ca="1">COUNTIFS(INDIRECT("Table1[Beginn]"),"&lt;="&amp;AJ$1,INDIRECT("Table1[Ende]"),"&gt;="&amp;AJ$1,INDIRECT("Table1[Obergruppe ATC-Code]"),Tabelle3!$A96)</f>
        <v>0</v>
      </c>
      <c r="AK96">
        <f ca="1">COUNTIFS(INDIRECT("Table1[Beginn]"),"&lt;="&amp;AK$1,INDIRECT("Table1[Ende]"),"&gt;="&amp;AK$1,INDIRECT("Table1[Obergruppe ATC-Code]"),Tabelle3!$A96)</f>
        <v>0</v>
      </c>
      <c r="AL96">
        <f ca="1">COUNTIFS(INDIRECT("Table1[Beginn]"),"&lt;="&amp;AL$1,INDIRECT("Table1[Ende]"),"&gt;="&amp;AL$1,INDIRECT("Table1[Obergruppe ATC-Code]"),Tabelle3!$A96)</f>
        <v>0</v>
      </c>
      <c r="AM96">
        <f ca="1">COUNTIFS(INDIRECT("Table1[Beginn]"),"&lt;="&amp;AM$1,INDIRECT("Table1[Ende]"),"&gt;="&amp;AM$1,INDIRECT("Table1[Obergruppe ATC-Code]"),Tabelle3!$A96)</f>
        <v>0</v>
      </c>
      <c r="AN96">
        <f ca="1">COUNTIFS(INDIRECT("Table1[Beginn]"),"&lt;="&amp;AN$1,INDIRECT("Table1[Ende]"),"&gt;="&amp;AN$1,INDIRECT("Table1[Obergruppe ATC-Code]"),Tabelle3!$A96)</f>
        <v>0</v>
      </c>
      <c r="AO96">
        <f ca="1">COUNTIFS(INDIRECT("Table1[Beginn]"),"&lt;="&amp;AO$1,INDIRECT("Table1[Ende]"),"&gt;="&amp;AO$1,INDIRECT("Table1[Obergruppe ATC-Code]"),Tabelle3!$A96)</f>
        <v>0</v>
      </c>
      <c r="AP96">
        <f ca="1">COUNTIFS(INDIRECT("Table1[Beginn]"),"&lt;="&amp;AP$1,INDIRECT("Table1[Ende]"),"&gt;="&amp;AP$1,INDIRECT("Table1[Obergruppe ATC-Code]"),Tabelle3!$A96)</f>
        <v>0</v>
      </c>
      <c r="AQ96">
        <f ca="1">COUNTIFS(INDIRECT("Table1[Beginn]"),"&lt;="&amp;AQ$1,INDIRECT("Table1[Ende]"),"&gt;="&amp;AQ$1,INDIRECT("Table1[Obergruppe ATC-Code]"),Tabelle3!$A96)</f>
        <v>0</v>
      </c>
      <c r="AR96">
        <f ca="1">COUNTIFS(INDIRECT("Table1[Beginn]"),"&lt;="&amp;AR$1,INDIRECT("Table1[Ende]"),"&gt;="&amp;AR$1,INDIRECT("Table1[Obergruppe ATC-Code]"),Tabelle3!$A96)</f>
        <v>0</v>
      </c>
      <c r="AS96">
        <f ca="1">COUNTIFS(INDIRECT("Table1[Beginn]"),"&lt;="&amp;AS$1,INDIRECT("Table1[Ende]"),"&gt;="&amp;AS$1,INDIRECT("Table1[Obergruppe ATC-Code]"),Tabelle3!$A96)</f>
        <v>0</v>
      </c>
      <c r="AT96">
        <f ca="1">COUNTIFS(INDIRECT("Table1[Beginn]"),"&lt;="&amp;AT$1,INDIRECT("Table1[Ende]"),"&gt;="&amp;AT$1,INDIRECT("Table1[Obergruppe ATC-Code]"),Tabelle3!$A96)</f>
        <v>0</v>
      </c>
      <c r="AU96">
        <f ca="1">COUNTIFS(INDIRECT("Table1[Beginn]"),"&lt;="&amp;AU$1,INDIRECT("Table1[Ende]"),"&gt;="&amp;AU$1,INDIRECT("Table1[Obergruppe ATC-Code]"),Tabelle3!$A96)</f>
        <v>0</v>
      </c>
      <c r="AV96">
        <f ca="1">COUNTIFS(INDIRECT("Table1[Beginn]"),"&lt;="&amp;AV$1,INDIRECT("Table1[Ende]"),"&gt;="&amp;AV$1,INDIRECT("Table1[Obergruppe ATC-Code]"),Tabelle3!$A96)</f>
        <v>0</v>
      </c>
      <c r="AW96">
        <f ca="1">COUNTIFS(INDIRECT("Table1[Beginn]"),"&lt;="&amp;AW$1,INDIRECT("Table1[Ende]"),"&gt;="&amp;AW$1,INDIRECT("Table1[Obergruppe ATC-Code]"),Tabelle3!$A96)</f>
        <v>0</v>
      </c>
      <c r="AX96">
        <f ca="1">COUNTIFS(INDIRECT("Table1[Beginn]"),"&lt;="&amp;AX$1,INDIRECT("Table1[Ende]"),"&gt;="&amp;AX$1,INDIRECT("Table1[Obergruppe ATC-Code]"),Tabelle3!$A96)</f>
        <v>0</v>
      </c>
      <c r="AY96">
        <f ca="1">COUNTIFS(INDIRECT("Table1[Beginn]"),"&lt;="&amp;AY$1,INDIRECT("Table1[Ende]"),"&gt;="&amp;AY$1,INDIRECT("Table1[Obergruppe ATC-Code]"),Tabelle3!$A96)</f>
        <v>0</v>
      </c>
      <c r="AZ96">
        <f ca="1">COUNTIFS(INDIRECT("Table1[Beginn]"),"&lt;="&amp;AZ$1,INDIRECT("Table1[Ende]"),"&gt;="&amp;AZ$1,INDIRECT("Table1[Obergruppe ATC-Code]"),Tabelle3!$A96)</f>
        <v>0</v>
      </c>
      <c r="BA96">
        <f ca="1">COUNTIFS(INDIRECT("Table1[Beginn]"),"&lt;="&amp;BA$1,INDIRECT("Table1[Ende]"),"&gt;="&amp;BA$1,INDIRECT("Table1[Obergruppe ATC-Code]"),Tabelle3!$A96)</f>
        <v>0</v>
      </c>
      <c r="BB96">
        <f ca="1">COUNTIFS(INDIRECT("Table1[Beginn]"),"&lt;="&amp;BB$1,INDIRECT("Table1[Ende]"),"&gt;="&amp;BB$1,INDIRECT("Table1[Obergruppe ATC-Code]"),Tabelle3!$A96)</f>
        <v>0</v>
      </c>
      <c r="BC96">
        <f ca="1">COUNTIFS(INDIRECT("Table1[Beginn]"),"&lt;="&amp;BC$1,INDIRECT("Table1[Ende]"),"&gt;="&amp;BC$1,INDIRECT("Table1[Obergruppe ATC-Code]"),Tabelle3!$A96)</f>
        <v>0</v>
      </c>
      <c r="BD96">
        <f ca="1">COUNTIFS(INDIRECT("Table1[Beginn]"),"&lt;="&amp;BD$1,INDIRECT("Table1[Ende]"),"&gt;="&amp;BD$1,INDIRECT("Table1[Obergruppe ATC-Code]"),Tabelle3!$A96)</f>
        <v>0</v>
      </c>
      <c r="BE96">
        <f ca="1">COUNTIFS(INDIRECT("Table1[Beginn]"),"&lt;="&amp;BE$1,INDIRECT("Table1[Ende]"),"&gt;="&amp;BE$1,INDIRECT("Table1[Obergruppe ATC-Code]"),Tabelle3!$A96)</f>
        <v>0</v>
      </c>
      <c r="BF96">
        <f ca="1">COUNTIFS(INDIRECT("Table1[Beginn]"),"&lt;="&amp;BF$1,INDIRECT("Table1[Ende]"),"&gt;="&amp;BF$1,INDIRECT("Table1[Obergruppe ATC-Code]"),Tabelle3!$A96)</f>
        <v>0</v>
      </c>
      <c r="BG96">
        <f ca="1">COUNTIFS(INDIRECT("Table1[Beginn]"),"&lt;="&amp;BG$1,INDIRECT("Table1[Ende]"),"&gt;="&amp;BG$1,INDIRECT("Table1[Obergruppe ATC-Code]"),Tabelle3!$A96)</f>
        <v>0</v>
      </c>
      <c r="BH96">
        <f ca="1">COUNTIFS(INDIRECT("Table1[Beginn]"),"&lt;="&amp;BH$1,INDIRECT("Table1[Ende]"),"&gt;="&amp;BH$1,INDIRECT("Table1[Obergruppe ATC-Code]"),Tabelle3!$A96)</f>
        <v>0</v>
      </c>
      <c r="BI96">
        <f ca="1">COUNTIFS(INDIRECT("Table1[Beginn]"),"&lt;="&amp;BI$1,INDIRECT("Table1[Ende]"),"&gt;="&amp;BI$1,INDIRECT("Table1[Obergruppe ATC-Code]"),Tabelle3!$A96)</f>
        <v>0</v>
      </c>
      <c r="BJ96">
        <f ca="1">COUNTIFS(INDIRECT("Table1[Beginn]"),"&lt;="&amp;BJ$1,INDIRECT("Table1[Ende]"),"&gt;="&amp;BJ$1,INDIRECT("Table1[Obergruppe ATC-Code]"),Tabelle3!$A96)</f>
        <v>3</v>
      </c>
      <c r="BK96">
        <f ca="1">COUNTIFS(INDIRECT("Table1[Beginn]"),"&lt;="&amp;BK$1,INDIRECT("Table1[Ende]"),"&gt;="&amp;BK$1,INDIRECT("Table1[Obergruppe ATC-Code]"),Tabelle3!$A96)</f>
        <v>0</v>
      </c>
      <c r="BL96">
        <f ca="1">COUNTIFS(INDIRECT("Table1[Beginn]"),"&lt;="&amp;BL$1,INDIRECT("Table1[Ende]"),"&gt;="&amp;BL$1,INDIRECT("Table1[Obergruppe ATC-Code]"),Tabelle3!$A96)</f>
        <v>0</v>
      </c>
      <c r="BM96">
        <f ca="1">COUNTIFS(INDIRECT("Table1[Beginn]"),"&lt;="&amp;BM$1,INDIRECT("Table1[Ende]"),"&gt;="&amp;BM$1,INDIRECT("Table1[Obergruppe ATC-Code]"),Tabelle3!$A96)</f>
        <v>0</v>
      </c>
      <c r="BN96">
        <f ca="1">COUNTIFS(INDIRECT("Table1[Beginn]"),"&lt;="&amp;BN$1,INDIRECT("Table1[Ende]"),"&gt;="&amp;BN$1,INDIRECT("Table1[Obergruppe ATC-Code]"),Tabelle3!$A96)</f>
        <v>0</v>
      </c>
      <c r="BO96">
        <f ca="1">COUNTIFS(INDIRECT("Table1[Beginn]"),"&lt;="&amp;BO$1,INDIRECT("Table1[Ende]"),"&gt;="&amp;BO$1,INDIRECT("Table1[Obergruppe ATC-Code]"),Tabelle3!$A96)</f>
        <v>0</v>
      </c>
      <c r="BP96">
        <f ca="1">COUNTIFS(INDIRECT("Table1[Beginn]"),"&lt;="&amp;BP$1,INDIRECT("Table1[Ende]"),"&gt;="&amp;BP$1,INDIRECT("Table1[Obergruppe ATC-Code]"),Tabelle3!$A96)</f>
        <v>0</v>
      </c>
      <c r="BQ96">
        <f ca="1">COUNTIFS(INDIRECT("Table1[Beginn]"),"&lt;="&amp;BQ$1,INDIRECT("Table1[Ende]"),"&gt;="&amp;BQ$1,INDIRECT("Table1[Obergruppe ATC-Code]"),Tabelle3!$A96)</f>
        <v>0</v>
      </c>
      <c r="BR96">
        <f ca="1">COUNTIFS(INDIRECT("Table1[Beginn]"),"&lt;="&amp;BR$1,INDIRECT("Table1[Ende]"),"&gt;="&amp;BR$1,INDIRECT("Table1[Obergruppe ATC-Code]"),Tabelle3!$A96)</f>
        <v>0</v>
      </c>
      <c r="BS96">
        <f ca="1">COUNTIFS(INDIRECT("Table1[Beginn]"),"&lt;="&amp;BS$1,INDIRECT("Table1[Ende]"),"&gt;="&amp;BS$1,INDIRECT("Table1[Obergruppe ATC-Code]"),Tabelle3!$A96)</f>
        <v>0</v>
      </c>
      <c r="BT96">
        <f ca="1">COUNTIFS(INDIRECT("Table1[Beginn]"),"&lt;="&amp;BT$1,INDIRECT("Table1[Ende]"),"&gt;="&amp;BT$1,INDIRECT("Table1[Obergruppe ATC-Code]"),Tabelle3!$A96)</f>
        <v>0</v>
      </c>
      <c r="BU96">
        <f ca="1">COUNTIFS(INDIRECT("Table1[Beginn]"),"&lt;="&amp;BU$1,INDIRECT("Table1[Ende]"),"&gt;="&amp;BU$1,INDIRECT("Table1[Obergruppe ATC-Code]"),Tabelle3!$A96)</f>
        <v>0</v>
      </c>
      <c r="BV96">
        <f ca="1">COUNTIFS(INDIRECT("Table1[Beginn]"),"&lt;="&amp;BV$1,INDIRECT("Table1[Ende]"),"&gt;="&amp;BV$1,INDIRECT("Table1[Obergruppe ATC-Code]"),Tabelle3!$A96)</f>
        <v>0</v>
      </c>
      <c r="BW96">
        <f ca="1">COUNTIFS(INDIRECT("Table1[Beginn]"),"&lt;="&amp;BW$1,INDIRECT("Table1[Ende]"),"&gt;="&amp;BW$1,INDIRECT("Table1[Obergruppe ATC-Code]"),Tabelle3!$A96)</f>
        <v>0</v>
      </c>
      <c r="BX96">
        <f ca="1">COUNTIFS(INDIRECT("Table1[Beginn]"),"&lt;="&amp;BX$1,INDIRECT("Table1[Ende]"),"&gt;="&amp;BX$1,INDIRECT("Table1[Obergruppe ATC-Code]"),Tabelle3!$A96)</f>
        <v>0</v>
      </c>
      <c r="BY96">
        <f ca="1">COUNTIFS(INDIRECT("Table1[Beginn]"),"&lt;="&amp;BY$1,INDIRECT("Table1[Ende]"),"&gt;="&amp;BY$1,INDIRECT("Table1[Obergruppe ATC-Code]"),Tabelle3!$A96)</f>
        <v>0</v>
      </c>
      <c r="BZ96">
        <f ca="1">COUNTIFS(INDIRECT("Table1[Beginn]"),"&lt;="&amp;BZ$1,INDIRECT("Table1[Ende]"),"&gt;="&amp;BZ$1,INDIRECT("Table1[Obergruppe ATC-Code]"),Tabelle3!$A96)</f>
        <v>0</v>
      </c>
      <c r="CA96">
        <f ca="1">COUNTIFS(INDIRECT("Table1[Beginn]"),"&lt;="&amp;CA$1,INDIRECT("Table1[Ende]"),"&gt;="&amp;CA$1,INDIRECT("Table1[Obergruppe ATC-Code]"),Tabelle3!$A96)</f>
        <v>0</v>
      </c>
      <c r="CB96">
        <f ca="1">COUNTIFS(INDIRECT("Table1[Beginn]"),"&lt;="&amp;CB$1,INDIRECT("Table1[Ende]"),"&gt;="&amp;CB$1,INDIRECT("Table1[Obergruppe ATC-Code]"),Tabelle3!$A96)</f>
        <v>0</v>
      </c>
      <c r="CC96">
        <f ca="1">COUNTIFS(INDIRECT("Table1[Beginn]"),"&lt;="&amp;CC$1,INDIRECT("Table1[Ende]"),"&gt;="&amp;CC$1,INDIRECT("Table1[Obergruppe ATC-Code]"),Tabelle3!$A96)</f>
        <v>0</v>
      </c>
      <c r="CD96">
        <f ca="1">COUNTIFS(INDIRECT("Table1[Beginn]"),"&lt;="&amp;CD$1,INDIRECT("Table1[Ende]"),"&gt;="&amp;CD$1,INDIRECT("Table1[Obergruppe ATC-Code]"),Tabelle3!$A96)</f>
        <v>0</v>
      </c>
      <c r="CE96">
        <f ca="1">COUNTIFS(INDIRECT("Table1[Beginn]"),"&lt;="&amp;CE$1,INDIRECT("Table1[Ende]"),"&gt;="&amp;CE$1,INDIRECT("Table1[Obergruppe ATC-Code]"),Tabelle3!$A96)</f>
        <v>0</v>
      </c>
      <c r="CF96">
        <f ca="1">COUNTIFS(INDIRECT("Table1[Beginn]"),"&lt;="&amp;CF$1,INDIRECT("Table1[Ende]"),"&gt;="&amp;CF$1,INDIRECT("Table1[Obergruppe ATC-Code]"),Tabelle3!$A96)</f>
        <v>0</v>
      </c>
      <c r="CG96">
        <f ca="1">COUNTIFS(INDIRECT("Table1[Beginn]"),"&lt;="&amp;CG$1,INDIRECT("Table1[Ende]"),"&gt;="&amp;CG$1,INDIRECT("Table1[Obergruppe ATC-Code]"),Tabelle3!$A96)</f>
        <v>0</v>
      </c>
      <c r="CH96">
        <f ca="1">COUNTIFS(INDIRECT("Table1[Beginn]"),"&lt;="&amp;CH$1,INDIRECT("Table1[Ende]"),"&gt;="&amp;CH$1,INDIRECT("Table1[Obergruppe ATC-Code]"),Tabelle3!$A96)</f>
        <v>0</v>
      </c>
      <c r="CI96">
        <f ca="1">COUNTIFS(INDIRECT("Table1[Beginn]"),"&lt;="&amp;CI$1,INDIRECT("Table1[Ende]"),"&gt;="&amp;CI$1,INDIRECT("Table1[Obergruppe ATC-Code]"),Tabelle3!$A96)</f>
        <v>0</v>
      </c>
      <c r="CJ96">
        <f ca="1">COUNTIFS(INDIRECT("Table1[Beginn]"),"&lt;="&amp;CJ$1,INDIRECT("Table1[Ende]"),"&gt;="&amp;CJ$1,INDIRECT("Table1[Obergruppe ATC-Code]"),Tabelle3!$A96)</f>
        <v>0</v>
      </c>
      <c r="CK96">
        <f ca="1">COUNTIFS(INDIRECT("Table1[Beginn]"),"&lt;="&amp;CK$1,INDIRECT("Table1[Ende]"),"&gt;="&amp;CK$1,INDIRECT("Table1[Obergruppe ATC-Code]"),Tabelle3!$A96)</f>
        <v>0</v>
      </c>
      <c r="CL96">
        <f ca="1">COUNTIFS(INDIRECT("Table1[Beginn]"),"&lt;="&amp;CL$1,INDIRECT("Table1[Ende]"),"&gt;="&amp;CL$1,INDIRECT("Table1[Obergruppe ATC-Code]"),Tabelle3!$A96)</f>
        <v>0</v>
      </c>
      <c r="CM96">
        <f ca="1">COUNTIFS(INDIRECT("Table1[Beginn]"),"&lt;="&amp;CM$1,INDIRECT("Table1[Ende]"),"&gt;="&amp;CM$1,INDIRECT("Table1[Obergruppe ATC-Code]"),Tabelle3!$A96)</f>
        <v>0</v>
      </c>
      <c r="CN96">
        <f ca="1">COUNTIFS(INDIRECT("Table1[Beginn]"),"&lt;="&amp;CN$1,INDIRECT("Table1[Ende]"),"&gt;="&amp;CN$1,INDIRECT("Table1[Obergruppe ATC-Code]"),Tabelle3!$A96)</f>
        <v>0</v>
      </c>
      <c r="CO96">
        <f ca="1">COUNTIFS(INDIRECT("Table1[Beginn]"),"&lt;="&amp;CO$1,INDIRECT("Table1[Ende]"),"&gt;="&amp;CO$1,INDIRECT("Table1[Obergruppe ATC-Code]"),Tabelle3!$A96)</f>
        <v>0</v>
      </c>
      <c r="CP96">
        <f ca="1">COUNTIFS(INDIRECT("Table1[Beginn]"),"&lt;="&amp;CP$1,INDIRECT("Table1[Ende]"),"&gt;="&amp;CP$1,INDIRECT("Table1[Obergruppe ATC-Code]"),Tabelle3!$A96)</f>
        <v>0</v>
      </c>
      <c r="CQ96">
        <f ca="1">COUNTIFS(INDIRECT("Table1[Beginn]"),"&lt;="&amp;CQ$1,INDIRECT("Table1[Ende]"),"&gt;="&amp;CQ$1,INDIRECT("Table1[Obergruppe ATC-Code]"),Tabelle3!$A96)</f>
        <v>0</v>
      </c>
      <c r="CR96">
        <f ca="1">COUNTIFS(INDIRECT("Table1[Beginn]"),"&lt;="&amp;CR$1,INDIRECT("Table1[Ende]"),"&gt;="&amp;CR$1,INDIRECT("Table1[Obergruppe ATC-Code]"),Tabelle3!$A96)</f>
        <v>0</v>
      </c>
    </row>
    <row r="97" spans="1:96" ht="18">
      <c r="A97" s="9" t="s">
        <v>6962</v>
      </c>
      <c r="B97" s="10" t="s">
        <v>6963</v>
      </c>
      <c r="C97">
        <f ca="1">COUNTIFS(INDIRECT("Table1[Beginn]"),"&lt;="&amp;C$1,INDIRECT("Table1[Ende]"),"&gt;="&amp;C$1,INDIRECT("Table1[Obergruppe ATC-Code]"),Tabelle3!$A97)</f>
        <v>0</v>
      </c>
      <c r="D97">
        <f ca="1">COUNTIFS(INDIRECT("Table1[Beginn]"),"&lt;="&amp;D$1,INDIRECT("Table1[Ende]"),"&gt;="&amp;D$1,INDIRECT("Table1[Obergruppe ATC-Code]"),Tabelle3!$A97)</f>
        <v>0</v>
      </c>
      <c r="E97">
        <f ca="1">COUNTIFS(INDIRECT("Table1[Beginn]"),"&lt;="&amp;E$1,INDIRECT("Table1[Ende]"),"&gt;="&amp;E$1,INDIRECT("Table1[Obergruppe ATC-Code]"),Tabelle3!$A97)</f>
        <v>0</v>
      </c>
      <c r="F97">
        <f ca="1">COUNTIFS(INDIRECT("Table1[Beginn]"),"&lt;="&amp;F$1,INDIRECT("Table1[Ende]"),"&gt;="&amp;F$1,INDIRECT("Table1[Obergruppe ATC-Code]"),Tabelle3!$A97)</f>
        <v>0</v>
      </c>
      <c r="G97">
        <f ca="1">COUNTIFS(INDIRECT("Table1[Beginn]"),"&lt;="&amp;G$1,INDIRECT("Table1[Ende]"),"&gt;="&amp;G$1,INDIRECT("Table1[Obergruppe ATC-Code]"),Tabelle3!$A97)</f>
        <v>0</v>
      </c>
      <c r="H97">
        <f ca="1">COUNTIFS(INDIRECT("Table1[Beginn]"),"&lt;="&amp;H$1,INDIRECT("Table1[Ende]"),"&gt;="&amp;H$1,INDIRECT("Table1[Obergruppe ATC-Code]"),Tabelle3!$A97)</f>
        <v>0</v>
      </c>
      <c r="I97">
        <f ca="1">COUNTIFS(INDIRECT("Table1[Beginn]"),"&lt;="&amp;I$1,INDIRECT("Table1[Ende]"),"&gt;="&amp;I$1,INDIRECT("Table1[Obergruppe ATC-Code]"),Tabelle3!$A97)</f>
        <v>0</v>
      </c>
      <c r="J97">
        <f ca="1">COUNTIFS(INDIRECT("Table1[Beginn]"),"&lt;="&amp;J$1,INDIRECT("Table1[Ende]"),"&gt;="&amp;J$1,INDIRECT("Table1[Obergruppe ATC-Code]"),Tabelle3!$A97)</f>
        <v>0</v>
      </c>
      <c r="K97">
        <f ca="1">COUNTIFS(INDIRECT("Table1[Beginn]"),"&lt;="&amp;K$1,INDIRECT("Table1[Ende]"),"&gt;="&amp;K$1,INDIRECT("Table1[Obergruppe ATC-Code]"),Tabelle3!$A97)</f>
        <v>0</v>
      </c>
      <c r="L97">
        <f ca="1">COUNTIFS(INDIRECT("Table1[Beginn]"),"&lt;="&amp;L$1,INDIRECT("Table1[Ende]"),"&gt;="&amp;L$1,INDIRECT("Table1[Obergruppe ATC-Code]"),Tabelle3!$A97)</f>
        <v>0</v>
      </c>
      <c r="M97">
        <f ca="1">COUNTIFS(INDIRECT("Table1[Beginn]"),"&lt;="&amp;M$1,INDIRECT("Table1[Ende]"),"&gt;="&amp;M$1,INDIRECT("Table1[Obergruppe ATC-Code]"),Tabelle3!$A97)</f>
        <v>0</v>
      </c>
      <c r="N97">
        <f ca="1">COUNTIFS(INDIRECT("Table1[Beginn]"),"&lt;="&amp;N$1,INDIRECT("Table1[Ende]"),"&gt;="&amp;N$1,INDIRECT("Table1[Obergruppe ATC-Code]"),Tabelle3!$A97)</f>
        <v>0</v>
      </c>
      <c r="O97">
        <f ca="1">COUNTIFS(INDIRECT("Table1[Beginn]"),"&lt;="&amp;O$1,INDIRECT("Table1[Ende]"),"&gt;="&amp;O$1,INDIRECT("Table1[Obergruppe ATC-Code]"),Tabelle3!$A97)</f>
        <v>0</v>
      </c>
      <c r="P97">
        <f ca="1">COUNTIFS(INDIRECT("Table1[Beginn]"),"&lt;="&amp;P$1,INDIRECT("Table1[Ende]"),"&gt;="&amp;P$1,INDIRECT("Table1[Obergruppe ATC-Code]"),Tabelle3!$A97)</f>
        <v>0</v>
      </c>
      <c r="Q97">
        <f ca="1">COUNTIFS(INDIRECT("Table1[Beginn]"),"&lt;="&amp;Q$1,INDIRECT("Table1[Ende]"),"&gt;="&amp;Q$1,INDIRECT("Table1[Obergruppe ATC-Code]"),Tabelle3!$A97)</f>
        <v>0</v>
      </c>
      <c r="R97">
        <f ca="1">COUNTIFS(INDIRECT("Table1[Beginn]"),"&lt;="&amp;R$1,INDIRECT("Table1[Ende]"),"&gt;="&amp;R$1,INDIRECT("Table1[Obergruppe ATC-Code]"),Tabelle3!$A97)</f>
        <v>0</v>
      </c>
      <c r="S97">
        <f ca="1">COUNTIFS(INDIRECT("Table1[Beginn]"),"&lt;="&amp;S$1,INDIRECT("Table1[Ende]"),"&gt;="&amp;S$1,INDIRECT("Table1[Obergruppe ATC-Code]"),Tabelle3!$A97)</f>
        <v>0</v>
      </c>
      <c r="T97">
        <f ca="1">COUNTIFS(INDIRECT("Table1[Beginn]"),"&lt;="&amp;T$1,INDIRECT("Table1[Ende]"),"&gt;="&amp;T$1,INDIRECT("Table1[Obergruppe ATC-Code]"),Tabelle3!$A97)</f>
        <v>0</v>
      </c>
      <c r="U97">
        <f ca="1">COUNTIFS(INDIRECT("Table1[Beginn]"),"&lt;="&amp;U$1,INDIRECT("Table1[Ende]"),"&gt;="&amp;U$1,INDIRECT("Table1[Obergruppe ATC-Code]"),Tabelle3!$A97)</f>
        <v>0</v>
      </c>
      <c r="V97">
        <f ca="1">COUNTIFS(INDIRECT("Table1[Beginn]"),"&lt;="&amp;V$1,INDIRECT("Table1[Ende]"),"&gt;="&amp;V$1,INDIRECT("Table1[Obergruppe ATC-Code]"),Tabelle3!$A97)</f>
        <v>0</v>
      </c>
      <c r="W97">
        <f ca="1">COUNTIFS(INDIRECT("Table1[Beginn]"),"&lt;="&amp;W$1,INDIRECT("Table1[Ende]"),"&gt;="&amp;W$1,INDIRECT("Table1[Obergruppe ATC-Code]"),Tabelle3!$A97)</f>
        <v>0</v>
      </c>
      <c r="X97">
        <f ca="1">COUNTIFS(INDIRECT("Table1[Beginn]"),"&lt;="&amp;X$1,INDIRECT("Table1[Ende]"),"&gt;="&amp;X$1,INDIRECT("Table1[Obergruppe ATC-Code]"),Tabelle3!$A97)</f>
        <v>0</v>
      </c>
      <c r="Y97">
        <f ca="1">COUNTIFS(INDIRECT("Table1[Beginn]"),"&lt;="&amp;Y$1,INDIRECT("Table1[Ende]"),"&gt;="&amp;Y$1,INDIRECT("Table1[Obergruppe ATC-Code]"),Tabelle3!$A97)</f>
        <v>0</v>
      </c>
      <c r="Z97">
        <f ca="1">COUNTIFS(INDIRECT("Table1[Beginn]"),"&lt;="&amp;Z$1,INDIRECT("Table1[Ende]"),"&gt;="&amp;Z$1,INDIRECT("Table1[Obergruppe ATC-Code]"),Tabelle3!$A97)</f>
        <v>0</v>
      </c>
      <c r="AA97">
        <f ca="1">COUNTIFS(INDIRECT("Table1[Beginn]"),"&lt;="&amp;AA$1,INDIRECT("Table1[Ende]"),"&gt;="&amp;AA$1,INDIRECT("Table1[Obergruppe ATC-Code]"),Tabelle3!$A97)</f>
        <v>0</v>
      </c>
      <c r="AB97">
        <f ca="1">COUNTIFS(INDIRECT("Table1[Beginn]"),"&lt;="&amp;AB$1,INDIRECT("Table1[Ende]"),"&gt;="&amp;AB$1,INDIRECT("Table1[Obergruppe ATC-Code]"),Tabelle3!$A97)</f>
        <v>0</v>
      </c>
      <c r="AC97">
        <f ca="1">COUNTIFS(INDIRECT("Table1[Beginn]"),"&lt;="&amp;AC$1,INDIRECT("Table1[Ende]"),"&gt;="&amp;AC$1,INDIRECT("Table1[Obergruppe ATC-Code]"),Tabelle3!$A97)</f>
        <v>0</v>
      </c>
      <c r="AD97">
        <f ca="1">COUNTIFS(INDIRECT("Table1[Beginn]"),"&lt;="&amp;AD$1,INDIRECT("Table1[Ende]"),"&gt;="&amp;AD$1,INDIRECT("Table1[Obergruppe ATC-Code]"),Tabelle3!$A97)</f>
        <v>0</v>
      </c>
      <c r="AE97">
        <f ca="1">COUNTIFS(INDIRECT("Table1[Beginn]"),"&lt;="&amp;AE$1,INDIRECT("Table1[Ende]"),"&gt;="&amp;AE$1,INDIRECT("Table1[Obergruppe ATC-Code]"),Tabelle3!$A97)</f>
        <v>0</v>
      </c>
      <c r="AF97">
        <f ca="1">COUNTIFS(INDIRECT("Table1[Beginn]"),"&lt;="&amp;AF$1,INDIRECT("Table1[Ende]"),"&gt;="&amp;AF$1,INDIRECT("Table1[Obergruppe ATC-Code]"),Tabelle3!$A97)</f>
        <v>0</v>
      </c>
      <c r="AG97">
        <f ca="1">COUNTIFS(INDIRECT("Table1[Beginn]"),"&lt;="&amp;AG$1,INDIRECT("Table1[Ende]"),"&gt;="&amp;AG$1,INDIRECT("Table1[Obergruppe ATC-Code]"),Tabelle3!$A97)</f>
        <v>0</v>
      </c>
      <c r="AH97">
        <f ca="1">COUNTIFS(INDIRECT("Table1[Beginn]"),"&lt;="&amp;AH$1,INDIRECT("Table1[Ende]"),"&gt;="&amp;AH$1,INDIRECT("Table1[Obergruppe ATC-Code]"),Tabelle3!$A97)</f>
        <v>0</v>
      </c>
      <c r="AI97">
        <f ca="1">COUNTIFS(INDIRECT("Table1[Beginn]"),"&lt;="&amp;AI$1,INDIRECT("Table1[Ende]"),"&gt;="&amp;AI$1,INDIRECT("Table1[Obergruppe ATC-Code]"),Tabelle3!$A97)</f>
        <v>0</v>
      </c>
      <c r="AJ97">
        <f ca="1">COUNTIFS(INDIRECT("Table1[Beginn]"),"&lt;="&amp;AJ$1,INDIRECT("Table1[Ende]"),"&gt;="&amp;AJ$1,INDIRECT("Table1[Obergruppe ATC-Code]"),Tabelle3!$A97)</f>
        <v>0</v>
      </c>
      <c r="AK97">
        <f ca="1">COUNTIFS(INDIRECT("Table1[Beginn]"),"&lt;="&amp;AK$1,INDIRECT("Table1[Ende]"),"&gt;="&amp;AK$1,INDIRECT("Table1[Obergruppe ATC-Code]"),Tabelle3!$A97)</f>
        <v>0</v>
      </c>
      <c r="AL97">
        <f ca="1">COUNTIFS(INDIRECT("Table1[Beginn]"),"&lt;="&amp;AL$1,INDIRECT("Table1[Ende]"),"&gt;="&amp;AL$1,INDIRECT("Table1[Obergruppe ATC-Code]"),Tabelle3!$A97)</f>
        <v>0</v>
      </c>
      <c r="AM97">
        <f ca="1">COUNTIFS(INDIRECT("Table1[Beginn]"),"&lt;="&amp;AM$1,INDIRECT("Table1[Ende]"),"&gt;="&amp;AM$1,INDIRECT("Table1[Obergruppe ATC-Code]"),Tabelle3!$A97)</f>
        <v>0</v>
      </c>
      <c r="AN97">
        <f ca="1">COUNTIFS(INDIRECT("Table1[Beginn]"),"&lt;="&amp;AN$1,INDIRECT("Table1[Ende]"),"&gt;="&amp;AN$1,INDIRECT("Table1[Obergruppe ATC-Code]"),Tabelle3!$A97)</f>
        <v>0</v>
      </c>
      <c r="AO97">
        <f ca="1">COUNTIFS(INDIRECT("Table1[Beginn]"),"&lt;="&amp;AO$1,INDIRECT("Table1[Ende]"),"&gt;="&amp;AO$1,INDIRECT("Table1[Obergruppe ATC-Code]"),Tabelle3!$A97)</f>
        <v>0</v>
      </c>
      <c r="AP97">
        <f ca="1">COUNTIFS(INDIRECT("Table1[Beginn]"),"&lt;="&amp;AP$1,INDIRECT("Table1[Ende]"),"&gt;="&amp;AP$1,INDIRECT("Table1[Obergruppe ATC-Code]"),Tabelle3!$A97)</f>
        <v>0</v>
      </c>
      <c r="AQ97">
        <f ca="1">COUNTIFS(INDIRECT("Table1[Beginn]"),"&lt;="&amp;AQ$1,INDIRECT("Table1[Ende]"),"&gt;="&amp;AQ$1,INDIRECT("Table1[Obergruppe ATC-Code]"),Tabelle3!$A97)</f>
        <v>0</v>
      </c>
      <c r="AR97">
        <f ca="1">COUNTIFS(INDIRECT("Table1[Beginn]"),"&lt;="&amp;AR$1,INDIRECT("Table1[Ende]"),"&gt;="&amp;AR$1,INDIRECT("Table1[Obergruppe ATC-Code]"),Tabelle3!$A97)</f>
        <v>0</v>
      </c>
      <c r="AS97">
        <f ca="1">COUNTIFS(INDIRECT("Table1[Beginn]"),"&lt;="&amp;AS$1,INDIRECT("Table1[Ende]"),"&gt;="&amp;AS$1,INDIRECT("Table1[Obergruppe ATC-Code]"),Tabelle3!$A97)</f>
        <v>0</v>
      </c>
      <c r="AT97">
        <f ca="1">COUNTIFS(INDIRECT("Table1[Beginn]"),"&lt;="&amp;AT$1,INDIRECT("Table1[Ende]"),"&gt;="&amp;AT$1,INDIRECT("Table1[Obergruppe ATC-Code]"),Tabelle3!$A97)</f>
        <v>0</v>
      </c>
      <c r="AU97">
        <f ca="1">COUNTIFS(INDIRECT("Table1[Beginn]"),"&lt;="&amp;AU$1,INDIRECT("Table1[Ende]"),"&gt;="&amp;AU$1,INDIRECT("Table1[Obergruppe ATC-Code]"),Tabelle3!$A97)</f>
        <v>0</v>
      </c>
      <c r="AV97">
        <f ca="1">COUNTIFS(INDIRECT("Table1[Beginn]"),"&lt;="&amp;AV$1,INDIRECT("Table1[Ende]"),"&gt;="&amp;AV$1,INDIRECT("Table1[Obergruppe ATC-Code]"),Tabelle3!$A97)</f>
        <v>0</v>
      </c>
      <c r="AW97">
        <f ca="1">COUNTIFS(INDIRECT("Table1[Beginn]"),"&lt;="&amp;AW$1,INDIRECT("Table1[Ende]"),"&gt;="&amp;AW$1,INDIRECT("Table1[Obergruppe ATC-Code]"),Tabelle3!$A97)</f>
        <v>0</v>
      </c>
      <c r="AX97">
        <f ca="1">COUNTIFS(INDIRECT("Table1[Beginn]"),"&lt;="&amp;AX$1,INDIRECT("Table1[Ende]"),"&gt;="&amp;AX$1,INDIRECT("Table1[Obergruppe ATC-Code]"),Tabelle3!$A97)</f>
        <v>0</v>
      </c>
      <c r="AY97">
        <f ca="1">COUNTIFS(INDIRECT("Table1[Beginn]"),"&lt;="&amp;AY$1,INDIRECT("Table1[Ende]"),"&gt;="&amp;AY$1,INDIRECT("Table1[Obergruppe ATC-Code]"),Tabelle3!$A97)</f>
        <v>0</v>
      </c>
      <c r="AZ97">
        <f ca="1">COUNTIFS(INDIRECT("Table1[Beginn]"),"&lt;="&amp;AZ$1,INDIRECT("Table1[Ende]"),"&gt;="&amp;AZ$1,INDIRECT("Table1[Obergruppe ATC-Code]"),Tabelle3!$A97)</f>
        <v>0</v>
      </c>
      <c r="BA97">
        <f ca="1">COUNTIFS(INDIRECT("Table1[Beginn]"),"&lt;="&amp;BA$1,INDIRECT("Table1[Ende]"),"&gt;="&amp;BA$1,INDIRECT("Table1[Obergruppe ATC-Code]"),Tabelle3!$A97)</f>
        <v>0</v>
      </c>
      <c r="BB97">
        <f ca="1">COUNTIFS(INDIRECT("Table1[Beginn]"),"&lt;="&amp;BB$1,INDIRECT("Table1[Ende]"),"&gt;="&amp;BB$1,INDIRECT("Table1[Obergruppe ATC-Code]"),Tabelle3!$A97)</f>
        <v>0</v>
      </c>
      <c r="BC97">
        <f ca="1">COUNTIFS(INDIRECT("Table1[Beginn]"),"&lt;="&amp;BC$1,INDIRECT("Table1[Ende]"),"&gt;="&amp;BC$1,INDIRECT("Table1[Obergruppe ATC-Code]"),Tabelle3!$A97)</f>
        <v>0</v>
      </c>
      <c r="BD97">
        <f ca="1">COUNTIFS(INDIRECT("Table1[Beginn]"),"&lt;="&amp;BD$1,INDIRECT("Table1[Ende]"),"&gt;="&amp;BD$1,INDIRECT("Table1[Obergruppe ATC-Code]"),Tabelle3!$A97)</f>
        <v>0</v>
      </c>
      <c r="BE97">
        <f ca="1">COUNTIFS(INDIRECT("Table1[Beginn]"),"&lt;="&amp;BE$1,INDIRECT("Table1[Ende]"),"&gt;="&amp;BE$1,INDIRECT("Table1[Obergruppe ATC-Code]"),Tabelle3!$A97)</f>
        <v>0</v>
      </c>
      <c r="BF97">
        <f ca="1">COUNTIFS(INDIRECT("Table1[Beginn]"),"&lt;="&amp;BF$1,INDIRECT("Table1[Ende]"),"&gt;="&amp;BF$1,INDIRECT("Table1[Obergruppe ATC-Code]"),Tabelle3!$A97)</f>
        <v>0</v>
      </c>
      <c r="BG97">
        <f ca="1">COUNTIFS(INDIRECT("Table1[Beginn]"),"&lt;="&amp;BG$1,INDIRECT("Table1[Ende]"),"&gt;="&amp;BG$1,INDIRECT("Table1[Obergruppe ATC-Code]"),Tabelle3!$A97)</f>
        <v>0</v>
      </c>
      <c r="BH97">
        <f ca="1">COUNTIFS(INDIRECT("Table1[Beginn]"),"&lt;="&amp;BH$1,INDIRECT("Table1[Ende]"),"&gt;="&amp;BH$1,INDIRECT("Table1[Obergruppe ATC-Code]"),Tabelle3!$A97)</f>
        <v>0</v>
      </c>
      <c r="BI97">
        <f ca="1">COUNTIFS(INDIRECT("Table1[Beginn]"),"&lt;="&amp;BI$1,INDIRECT("Table1[Ende]"),"&gt;="&amp;BI$1,INDIRECT("Table1[Obergruppe ATC-Code]"),Tabelle3!$A97)</f>
        <v>0</v>
      </c>
      <c r="BJ97">
        <f ca="1">COUNTIFS(INDIRECT("Table1[Beginn]"),"&lt;="&amp;BJ$1,INDIRECT("Table1[Ende]"),"&gt;="&amp;BJ$1,INDIRECT("Table1[Obergruppe ATC-Code]"),Tabelle3!$A97)</f>
        <v>0</v>
      </c>
      <c r="BK97">
        <f ca="1">COUNTIFS(INDIRECT("Table1[Beginn]"),"&lt;="&amp;BK$1,INDIRECT("Table1[Ende]"),"&gt;="&amp;BK$1,INDIRECT("Table1[Obergruppe ATC-Code]"),Tabelle3!$A97)</f>
        <v>0</v>
      </c>
      <c r="BL97">
        <f ca="1">COUNTIFS(INDIRECT("Table1[Beginn]"),"&lt;="&amp;BL$1,INDIRECT("Table1[Ende]"),"&gt;="&amp;BL$1,INDIRECT("Table1[Obergruppe ATC-Code]"),Tabelle3!$A97)</f>
        <v>0</v>
      </c>
      <c r="BM97">
        <f ca="1">COUNTIFS(INDIRECT("Table1[Beginn]"),"&lt;="&amp;BM$1,INDIRECT("Table1[Ende]"),"&gt;="&amp;BM$1,INDIRECT("Table1[Obergruppe ATC-Code]"),Tabelle3!$A97)</f>
        <v>0</v>
      </c>
      <c r="BN97">
        <f ca="1">COUNTIFS(INDIRECT("Table1[Beginn]"),"&lt;="&amp;BN$1,INDIRECT("Table1[Ende]"),"&gt;="&amp;BN$1,INDIRECT("Table1[Obergruppe ATC-Code]"),Tabelle3!$A97)</f>
        <v>0</v>
      </c>
      <c r="BO97">
        <f ca="1">COUNTIFS(INDIRECT("Table1[Beginn]"),"&lt;="&amp;BO$1,INDIRECT("Table1[Ende]"),"&gt;="&amp;BO$1,INDIRECT("Table1[Obergruppe ATC-Code]"),Tabelle3!$A97)</f>
        <v>0</v>
      </c>
      <c r="BP97">
        <f ca="1">COUNTIFS(INDIRECT("Table1[Beginn]"),"&lt;="&amp;BP$1,INDIRECT("Table1[Ende]"),"&gt;="&amp;BP$1,INDIRECT("Table1[Obergruppe ATC-Code]"),Tabelle3!$A97)</f>
        <v>0</v>
      </c>
      <c r="BQ97">
        <f ca="1">COUNTIFS(INDIRECT("Table1[Beginn]"),"&lt;="&amp;BQ$1,INDIRECT("Table1[Ende]"),"&gt;="&amp;BQ$1,INDIRECT("Table1[Obergruppe ATC-Code]"),Tabelle3!$A97)</f>
        <v>0</v>
      </c>
      <c r="BR97">
        <f ca="1">COUNTIFS(INDIRECT("Table1[Beginn]"),"&lt;="&amp;BR$1,INDIRECT("Table1[Ende]"),"&gt;="&amp;BR$1,INDIRECT("Table1[Obergruppe ATC-Code]"),Tabelle3!$A97)</f>
        <v>0</v>
      </c>
      <c r="BS97">
        <f ca="1">COUNTIFS(INDIRECT("Table1[Beginn]"),"&lt;="&amp;BS$1,INDIRECT("Table1[Ende]"),"&gt;="&amp;BS$1,INDIRECT("Table1[Obergruppe ATC-Code]"),Tabelle3!$A97)</f>
        <v>0</v>
      </c>
      <c r="BT97">
        <f ca="1">COUNTIFS(INDIRECT("Table1[Beginn]"),"&lt;="&amp;BT$1,INDIRECT("Table1[Ende]"),"&gt;="&amp;BT$1,INDIRECT("Table1[Obergruppe ATC-Code]"),Tabelle3!$A97)</f>
        <v>0</v>
      </c>
      <c r="BU97">
        <f ca="1">COUNTIFS(INDIRECT("Table1[Beginn]"),"&lt;="&amp;BU$1,INDIRECT("Table1[Ende]"),"&gt;="&amp;BU$1,INDIRECT("Table1[Obergruppe ATC-Code]"),Tabelle3!$A97)</f>
        <v>0</v>
      </c>
      <c r="BV97">
        <f ca="1">COUNTIFS(INDIRECT("Table1[Beginn]"),"&lt;="&amp;BV$1,INDIRECT("Table1[Ende]"),"&gt;="&amp;BV$1,INDIRECT("Table1[Obergruppe ATC-Code]"),Tabelle3!$A97)</f>
        <v>0</v>
      </c>
      <c r="BW97">
        <f ca="1">COUNTIFS(INDIRECT("Table1[Beginn]"),"&lt;="&amp;BW$1,INDIRECT("Table1[Ende]"),"&gt;="&amp;BW$1,INDIRECT("Table1[Obergruppe ATC-Code]"),Tabelle3!$A97)</f>
        <v>0</v>
      </c>
      <c r="BX97">
        <f ca="1">COUNTIFS(INDIRECT("Table1[Beginn]"),"&lt;="&amp;BX$1,INDIRECT("Table1[Ende]"),"&gt;="&amp;BX$1,INDIRECT("Table1[Obergruppe ATC-Code]"),Tabelle3!$A97)</f>
        <v>0</v>
      </c>
      <c r="BY97">
        <f ca="1">COUNTIFS(INDIRECT("Table1[Beginn]"),"&lt;="&amp;BY$1,INDIRECT("Table1[Ende]"),"&gt;="&amp;BY$1,INDIRECT("Table1[Obergruppe ATC-Code]"),Tabelle3!$A97)</f>
        <v>0</v>
      </c>
      <c r="BZ97">
        <f ca="1">COUNTIFS(INDIRECT("Table1[Beginn]"),"&lt;="&amp;BZ$1,INDIRECT("Table1[Ende]"),"&gt;="&amp;BZ$1,INDIRECT("Table1[Obergruppe ATC-Code]"),Tabelle3!$A97)</f>
        <v>0</v>
      </c>
      <c r="CA97">
        <f ca="1">COUNTIFS(INDIRECT("Table1[Beginn]"),"&lt;="&amp;CA$1,INDIRECT("Table1[Ende]"),"&gt;="&amp;CA$1,INDIRECT("Table1[Obergruppe ATC-Code]"),Tabelle3!$A97)</f>
        <v>0</v>
      </c>
      <c r="CB97">
        <f ca="1">COUNTIFS(INDIRECT("Table1[Beginn]"),"&lt;="&amp;CB$1,INDIRECT("Table1[Ende]"),"&gt;="&amp;CB$1,INDIRECT("Table1[Obergruppe ATC-Code]"),Tabelle3!$A97)</f>
        <v>0</v>
      </c>
      <c r="CC97">
        <f ca="1">COUNTIFS(INDIRECT("Table1[Beginn]"),"&lt;="&amp;CC$1,INDIRECT("Table1[Ende]"),"&gt;="&amp;CC$1,INDIRECT("Table1[Obergruppe ATC-Code]"),Tabelle3!$A97)</f>
        <v>0</v>
      </c>
      <c r="CD97">
        <f ca="1">COUNTIFS(INDIRECT("Table1[Beginn]"),"&lt;="&amp;CD$1,INDIRECT("Table1[Ende]"),"&gt;="&amp;CD$1,INDIRECT("Table1[Obergruppe ATC-Code]"),Tabelle3!$A97)</f>
        <v>0</v>
      </c>
      <c r="CE97">
        <f ca="1">COUNTIFS(INDIRECT("Table1[Beginn]"),"&lt;="&amp;CE$1,INDIRECT("Table1[Ende]"),"&gt;="&amp;CE$1,INDIRECT("Table1[Obergruppe ATC-Code]"),Tabelle3!$A97)</f>
        <v>0</v>
      </c>
      <c r="CF97">
        <f ca="1">COUNTIFS(INDIRECT("Table1[Beginn]"),"&lt;="&amp;CF$1,INDIRECT("Table1[Ende]"),"&gt;="&amp;CF$1,INDIRECT("Table1[Obergruppe ATC-Code]"),Tabelle3!$A97)</f>
        <v>0</v>
      </c>
      <c r="CG97">
        <f ca="1">COUNTIFS(INDIRECT("Table1[Beginn]"),"&lt;="&amp;CG$1,INDIRECT("Table1[Ende]"),"&gt;="&amp;CG$1,INDIRECT("Table1[Obergruppe ATC-Code]"),Tabelle3!$A97)</f>
        <v>0</v>
      </c>
      <c r="CH97">
        <f ca="1">COUNTIFS(INDIRECT("Table1[Beginn]"),"&lt;="&amp;CH$1,INDIRECT("Table1[Ende]"),"&gt;="&amp;CH$1,INDIRECT("Table1[Obergruppe ATC-Code]"),Tabelle3!$A97)</f>
        <v>0</v>
      </c>
      <c r="CI97">
        <f ca="1">COUNTIFS(INDIRECT("Table1[Beginn]"),"&lt;="&amp;CI$1,INDIRECT("Table1[Ende]"),"&gt;="&amp;CI$1,INDIRECT("Table1[Obergruppe ATC-Code]"),Tabelle3!$A97)</f>
        <v>0</v>
      </c>
      <c r="CJ97">
        <f ca="1">COUNTIFS(INDIRECT("Table1[Beginn]"),"&lt;="&amp;CJ$1,INDIRECT("Table1[Ende]"),"&gt;="&amp;CJ$1,INDIRECT("Table1[Obergruppe ATC-Code]"),Tabelle3!$A97)</f>
        <v>0</v>
      </c>
      <c r="CK97">
        <f ca="1">COUNTIFS(INDIRECT("Table1[Beginn]"),"&lt;="&amp;CK$1,INDIRECT("Table1[Ende]"),"&gt;="&amp;CK$1,INDIRECT("Table1[Obergruppe ATC-Code]"),Tabelle3!$A97)</f>
        <v>0</v>
      </c>
      <c r="CL97">
        <f ca="1">COUNTIFS(INDIRECT("Table1[Beginn]"),"&lt;="&amp;CL$1,INDIRECT("Table1[Ende]"),"&gt;="&amp;CL$1,INDIRECT("Table1[Obergruppe ATC-Code]"),Tabelle3!$A97)</f>
        <v>0</v>
      </c>
      <c r="CM97">
        <f ca="1">COUNTIFS(INDIRECT("Table1[Beginn]"),"&lt;="&amp;CM$1,INDIRECT("Table1[Ende]"),"&gt;="&amp;CM$1,INDIRECT("Table1[Obergruppe ATC-Code]"),Tabelle3!$A97)</f>
        <v>0</v>
      </c>
      <c r="CN97">
        <f ca="1">COUNTIFS(INDIRECT("Table1[Beginn]"),"&lt;="&amp;CN$1,INDIRECT("Table1[Ende]"),"&gt;="&amp;CN$1,INDIRECT("Table1[Obergruppe ATC-Code]"),Tabelle3!$A97)</f>
        <v>0</v>
      </c>
      <c r="CO97">
        <f ca="1">COUNTIFS(INDIRECT("Table1[Beginn]"),"&lt;="&amp;CO$1,INDIRECT("Table1[Ende]"),"&gt;="&amp;CO$1,INDIRECT("Table1[Obergruppe ATC-Code]"),Tabelle3!$A97)</f>
        <v>0</v>
      </c>
      <c r="CP97">
        <f ca="1">COUNTIFS(INDIRECT("Table1[Beginn]"),"&lt;="&amp;CP$1,INDIRECT("Table1[Ende]"),"&gt;="&amp;CP$1,INDIRECT("Table1[Obergruppe ATC-Code]"),Tabelle3!$A97)</f>
        <v>0</v>
      </c>
      <c r="CQ97">
        <f ca="1">COUNTIFS(INDIRECT("Table1[Beginn]"),"&lt;="&amp;CQ$1,INDIRECT("Table1[Ende]"),"&gt;="&amp;CQ$1,INDIRECT("Table1[Obergruppe ATC-Code]"),Tabelle3!$A97)</f>
        <v>0</v>
      </c>
      <c r="CR97">
        <f ca="1">COUNTIFS(INDIRECT("Table1[Beginn]"),"&lt;="&amp;CR$1,INDIRECT("Table1[Ende]"),"&gt;="&amp;CR$1,INDIRECT("Table1[Obergruppe ATC-Code]"),Tabelle3!$A97)</f>
        <v>0</v>
      </c>
    </row>
    <row r="98" spans="1:96" ht="18">
      <c r="A98" s="7" t="s">
        <v>6964</v>
      </c>
      <c r="B98" s="8" t="s">
        <v>6965</v>
      </c>
      <c r="C98">
        <f ca="1">COUNTIFS(INDIRECT("Table1[Beginn]"),"&lt;="&amp;C$1,INDIRECT("Table1[Ende]"),"&gt;="&amp;C$1,INDIRECT("Table1[Obergruppe ATC-Code]"),Tabelle3!$A98)</f>
        <v>0</v>
      </c>
      <c r="D98">
        <f ca="1">COUNTIFS(INDIRECT("Table1[Beginn]"),"&lt;="&amp;D$1,INDIRECT("Table1[Ende]"),"&gt;="&amp;D$1,INDIRECT("Table1[Obergruppe ATC-Code]"),Tabelle3!$A98)</f>
        <v>0</v>
      </c>
      <c r="E98">
        <f ca="1">COUNTIFS(INDIRECT("Table1[Beginn]"),"&lt;="&amp;E$1,INDIRECT("Table1[Ende]"),"&gt;="&amp;E$1,INDIRECT("Table1[Obergruppe ATC-Code]"),Tabelle3!$A98)</f>
        <v>0</v>
      </c>
      <c r="F98">
        <f ca="1">COUNTIFS(INDIRECT("Table1[Beginn]"),"&lt;="&amp;F$1,INDIRECT("Table1[Ende]"),"&gt;="&amp;F$1,INDIRECT("Table1[Obergruppe ATC-Code]"),Tabelle3!$A98)</f>
        <v>0</v>
      </c>
      <c r="G98">
        <f ca="1">COUNTIFS(INDIRECT("Table1[Beginn]"),"&lt;="&amp;G$1,INDIRECT("Table1[Ende]"),"&gt;="&amp;G$1,INDIRECT("Table1[Obergruppe ATC-Code]"),Tabelle3!$A98)</f>
        <v>0</v>
      </c>
      <c r="H98">
        <f ca="1">COUNTIFS(INDIRECT("Table1[Beginn]"),"&lt;="&amp;H$1,INDIRECT("Table1[Ende]"),"&gt;="&amp;H$1,INDIRECT("Table1[Obergruppe ATC-Code]"),Tabelle3!$A98)</f>
        <v>0</v>
      </c>
      <c r="I98">
        <f ca="1">COUNTIFS(INDIRECT("Table1[Beginn]"),"&lt;="&amp;I$1,INDIRECT("Table1[Ende]"),"&gt;="&amp;I$1,INDIRECT("Table1[Obergruppe ATC-Code]"),Tabelle3!$A98)</f>
        <v>0</v>
      </c>
      <c r="J98">
        <f ca="1">COUNTIFS(INDIRECT("Table1[Beginn]"),"&lt;="&amp;J$1,INDIRECT("Table1[Ende]"),"&gt;="&amp;J$1,INDIRECT("Table1[Obergruppe ATC-Code]"),Tabelle3!$A98)</f>
        <v>0</v>
      </c>
      <c r="K98">
        <f ca="1">COUNTIFS(INDIRECT("Table1[Beginn]"),"&lt;="&amp;K$1,INDIRECT("Table1[Ende]"),"&gt;="&amp;K$1,INDIRECT("Table1[Obergruppe ATC-Code]"),Tabelle3!$A98)</f>
        <v>0</v>
      </c>
      <c r="L98">
        <f ca="1">COUNTIFS(INDIRECT("Table1[Beginn]"),"&lt;="&amp;L$1,INDIRECT("Table1[Ende]"),"&gt;="&amp;L$1,INDIRECT("Table1[Obergruppe ATC-Code]"),Tabelle3!$A98)</f>
        <v>0</v>
      </c>
      <c r="M98">
        <f ca="1">COUNTIFS(INDIRECT("Table1[Beginn]"),"&lt;="&amp;M$1,INDIRECT("Table1[Ende]"),"&gt;="&amp;M$1,INDIRECT("Table1[Obergruppe ATC-Code]"),Tabelle3!$A98)</f>
        <v>0</v>
      </c>
      <c r="N98">
        <f ca="1">COUNTIFS(INDIRECT("Table1[Beginn]"),"&lt;="&amp;N$1,INDIRECT("Table1[Ende]"),"&gt;="&amp;N$1,INDIRECT("Table1[Obergruppe ATC-Code]"),Tabelle3!$A98)</f>
        <v>0</v>
      </c>
      <c r="O98">
        <f ca="1">COUNTIFS(INDIRECT("Table1[Beginn]"),"&lt;="&amp;O$1,INDIRECT("Table1[Ende]"),"&gt;="&amp;O$1,INDIRECT("Table1[Obergruppe ATC-Code]"),Tabelle3!$A98)</f>
        <v>0</v>
      </c>
      <c r="P98">
        <f ca="1">COUNTIFS(INDIRECT("Table1[Beginn]"),"&lt;="&amp;P$1,INDIRECT("Table1[Ende]"),"&gt;="&amp;P$1,INDIRECT("Table1[Obergruppe ATC-Code]"),Tabelle3!$A98)</f>
        <v>0</v>
      </c>
      <c r="Q98">
        <f ca="1">COUNTIFS(INDIRECT("Table1[Beginn]"),"&lt;="&amp;Q$1,INDIRECT("Table1[Ende]"),"&gt;="&amp;Q$1,INDIRECT("Table1[Obergruppe ATC-Code]"),Tabelle3!$A98)</f>
        <v>0</v>
      </c>
      <c r="R98">
        <f ca="1">COUNTIFS(INDIRECT("Table1[Beginn]"),"&lt;="&amp;R$1,INDIRECT("Table1[Ende]"),"&gt;="&amp;R$1,INDIRECT("Table1[Obergruppe ATC-Code]"),Tabelle3!$A98)</f>
        <v>0</v>
      </c>
      <c r="S98">
        <f ca="1">COUNTIFS(INDIRECT("Table1[Beginn]"),"&lt;="&amp;S$1,INDIRECT("Table1[Ende]"),"&gt;="&amp;S$1,INDIRECT("Table1[Obergruppe ATC-Code]"),Tabelle3!$A98)</f>
        <v>0</v>
      </c>
      <c r="T98">
        <f ca="1">COUNTIFS(INDIRECT("Table1[Beginn]"),"&lt;="&amp;T$1,INDIRECT("Table1[Ende]"),"&gt;="&amp;T$1,INDIRECT("Table1[Obergruppe ATC-Code]"),Tabelle3!$A98)</f>
        <v>0</v>
      </c>
      <c r="U98">
        <f ca="1">COUNTIFS(INDIRECT("Table1[Beginn]"),"&lt;="&amp;U$1,INDIRECT("Table1[Ende]"),"&gt;="&amp;U$1,INDIRECT("Table1[Obergruppe ATC-Code]"),Tabelle3!$A98)</f>
        <v>0</v>
      </c>
      <c r="V98">
        <f ca="1">COUNTIFS(INDIRECT("Table1[Beginn]"),"&lt;="&amp;V$1,INDIRECT("Table1[Ende]"),"&gt;="&amp;V$1,INDIRECT("Table1[Obergruppe ATC-Code]"),Tabelle3!$A98)</f>
        <v>0</v>
      </c>
      <c r="W98">
        <f ca="1">COUNTIFS(INDIRECT("Table1[Beginn]"),"&lt;="&amp;W$1,INDIRECT("Table1[Ende]"),"&gt;="&amp;W$1,INDIRECT("Table1[Obergruppe ATC-Code]"),Tabelle3!$A98)</f>
        <v>0</v>
      </c>
      <c r="X98">
        <f ca="1">COUNTIFS(INDIRECT("Table1[Beginn]"),"&lt;="&amp;X$1,INDIRECT("Table1[Ende]"),"&gt;="&amp;X$1,INDIRECT("Table1[Obergruppe ATC-Code]"),Tabelle3!$A98)</f>
        <v>0</v>
      </c>
      <c r="Y98">
        <f ca="1">COUNTIFS(INDIRECT("Table1[Beginn]"),"&lt;="&amp;Y$1,INDIRECT("Table1[Ende]"),"&gt;="&amp;Y$1,INDIRECT("Table1[Obergruppe ATC-Code]"),Tabelle3!$A98)</f>
        <v>0</v>
      </c>
      <c r="Z98">
        <f ca="1">COUNTIFS(INDIRECT("Table1[Beginn]"),"&lt;="&amp;Z$1,INDIRECT("Table1[Ende]"),"&gt;="&amp;Z$1,INDIRECT("Table1[Obergruppe ATC-Code]"),Tabelle3!$A98)</f>
        <v>0</v>
      </c>
      <c r="AA98">
        <f ca="1">COUNTIFS(INDIRECT("Table1[Beginn]"),"&lt;="&amp;AA$1,INDIRECT("Table1[Ende]"),"&gt;="&amp;AA$1,INDIRECT("Table1[Obergruppe ATC-Code]"),Tabelle3!$A98)</f>
        <v>0</v>
      </c>
      <c r="AB98">
        <f ca="1">COUNTIFS(INDIRECT("Table1[Beginn]"),"&lt;="&amp;AB$1,INDIRECT("Table1[Ende]"),"&gt;="&amp;AB$1,INDIRECT("Table1[Obergruppe ATC-Code]"),Tabelle3!$A98)</f>
        <v>0</v>
      </c>
      <c r="AC98">
        <f ca="1">COUNTIFS(INDIRECT("Table1[Beginn]"),"&lt;="&amp;AC$1,INDIRECT("Table1[Ende]"),"&gt;="&amp;AC$1,INDIRECT("Table1[Obergruppe ATC-Code]"),Tabelle3!$A98)</f>
        <v>0</v>
      </c>
      <c r="AD98">
        <f ca="1">COUNTIFS(INDIRECT("Table1[Beginn]"),"&lt;="&amp;AD$1,INDIRECT("Table1[Ende]"),"&gt;="&amp;AD$1,INDIRECT("Table1[Obergruppe ATC-Code]"),Tabelle3!$A98)</f>
        <v>0</v>
      </c>
      <c r="AE98">
        <f ca="1">COUNTIFS(INDIRECT("Table1[Beginn]"),"&lt;="&amp;AE$1,INDIRECT("Table1[Ende]"),"&gt;="&amp;AE$1,INDIRECT("Table1[Obergruppe ATC-Code]"),Tabelle3!$A98)</f>
        <v>0</v>
      </c>
      <c r="AF98">
        <f ca="1">COUNTIFS(INDIRECT("Table1[Beginn]"),"&lt;="&amp;AF$1,INDIRECT("Table1[Ende]"),"&gt;="&amp;AF$1,INDIRECT("Table1[Obergruppe ATC-Code]"),Tabelle3!$A98)</f>
        <v>0</v>
      </c>
      <c r="AG98">
        <f ca="1">COUNTIFS(INDIRECT("Table1[Beginn]"),"&lt;="&amp;AG$1,INDIRECT("Table1[Ende]"),"&gt;="&amp;AG$1,INDIRECT("Table1[Obergruppe ATC-Code]"),Tabelle3!$A98)</f>
        <v>0</v>
      </c>
      <c r="AH98">
        <f ca="1">COUNTIFS(INDIRECT("Table1[Beginn]"),"&lt;="&amp;AH$1,INDIRECT("Table1[Ende]"),"&gt;="&amp;AH$1,INDIRECT("Table1[Obergruppe ATC-Code]"),Tabelle3!$A98)</f>
        <v>0</v>
      </c>
      <c r="AI98">
        <f ca="1">COUNTIFS(INDIRECT("Table1[Beginn]"),"&lt;="&amp;AI$1,INDIRECT("Table1[Ende]"),"&gt;="&amp;AI$1,INDIRECT("Table1[Obergruppe ATC-Code]"),Tabelle3!$A98)</f>
        <v>0</v>
      </c>
      <c r="AJ98">
        <f ca="1">COUNTIFS(INDIRECT("Table1[Beginn]"),"&lt;="&amp;AJ$1,INDIRECT("Table1[Ende]"),"&gt;="&amp;AJ$1,INDIRECT("Table1[Obergruppe ATC-Code]"),Tabelle3!$A98)</f>
        <v>0</v>
      </c>
      <c r="AK98">
        <f ca="1">COUNTIFS(INDIRECT("Table1[Beginn]"),"&lt;="&amp;AK$1,INDIRECT("Table1[Ende]"),"&gt;="&amp;AK$1,INDIRECT("Table1[Obergruppe ATC-Code]"),Tabelle3!$A98)</f>
        <v>0</v>
      </c>
      <c r="AL98">
        <f ca="1">COUNTIFS(INDIRECT("Table1[Beginn]"),"&lt;="&amp;AL$1,INDIRECT("Table1[Ende]"),"&gt;="&amp;AL$1,INDIRECT("Table1[Obergruppe ATC-Code]"),Tabelle3!$A98)</f>
        <v>0</v>
      </c>
      <c r="AM98">
        <f ca="1">COUNTIFS(INDIRECT("Table1[Beginn]"),"&lt;="&amp;AM$1,INDIRECT("Table1[Ende]"),"&gt;="&amp;AM$1,INDIRECT("Table1[Obergruppe ATC-Code]"),Tabelle3!$A98)</f>
        <v>0</v>
      </c>
      <c r="AN98">
        <f ca="1">COUNTIFS(INDIRECT("Table1[Beginn]"),"&lt;="&amp;AN$1,INDIRECT("Table1[Ende]"),"&gt;="&amp;AN$1,INDIRECT("Table1[Obergruppe ATC-Code]"),Tabelle3!$A98)</f>
        <v>0</v>
      </c>
      <c r="AO98">
        <f ca="1">COUNTIFS(INDIRECT("Table1[Beginn]"),"&lt;="&amp;AO$1,INDIRECT("Table1[Ende]"),"&gt;="&amp;AO$1,INDIRECT("Table1[Obergruppe ATC-Code]"),Tabelle3!$A98)</f>
        <v>0</v>
      </c>
      <c r="AP98">
        <f ca="1">COUNTIFS(INDIRECT("Table1[Beginn]"),"&lt;="&amp;AP$1,INDIRECT("Table1[Ende]"),"&gt;="&amp;AP$1,INDIRECT("Table1[Obergruppe ATC-Code]"),Tabelle3!$A98)</f>
        <v>0</v>
      </c>
      <c r="AQ98">
        <f ca="1">COUNTIFS(INDIRECT("Table1[Beginn]"),"&lt;="&amp;AQ$1,INDIRECT("Table1[Ende]"),"&gt;="&amp;AQ$1,INDIRECT("Table1[Obergruppe ATC-Code]"),Tabelle3!$A98)</f>
        <v>0</v>
      </c>
      <c r="AR98">
        <f ca="1">COUNTIFS(INDIRECT("Table1[Beginn]"),"&lt;="&amp;AR$1,INDIRECT("Table1[Ende]"),"&gt;="&amp;AR$1,INDIRECT("Table1[Obergruppe ATC-Code]"),Tabelle3!$A98)</f>
        <v>0</v>
      </c>
      <c r="AS98">
        <f ca="1">COUNTIFS(INDIRECT("Table1[Beginn]"),"&lt;="&amp;AS$1,INDIRECT("Table1[Ende]"),"&gt;="&amp;AS$1,INDIRECT("Table1[Obergruppe ATC-Code]"),Tabelle3!$A98)</f>
        <v>0</v>
      </c>
      <c r="AT98">
        <f ca="1">COUNTIFS(INDIRECT("Table1[Beginn]"),"&lt;="&amp;AT$1,INDIRECT("Table1[Ende]"),"&gt;="&amp;AT$1,INDIRECT("Table1[Obergruppe ATC-Code]"),Tabelle3!$A98)</f>
        <v>0</v>
      </c>
      <c r="AU98">
        <f ca="1">COUNTIFS(INDIRECT("Table1[Beginn]"),"&lt;="&amp;AU$1,INDIRECT("Table1[Ende]"),"&gt;="&amp;AU$1,INDIRECT("Table1[Obergruppe ATC-Code]"),Tabelle3!$A98)</f>
        <v>0</v>
      </c>
      <c r="AV98">
        <f ca="1">COUNTIFS(INDIRECT("Table1[Beginn]"),"&lt;="&amp;AV$1,INDIRECT("Table1[Ende]"),"&gt;="&amp;AV$1,INDIRECT("Table1[Obergruppe ATC-Code]"),Tabelle3!$A98)</f>
        <v>0</v>
      </c>
      <c r="AW98">
        <f ca="1">COUNTIFS(INDIRECT("Table1[Beginn]"),"&lt;="&amp;AW$1,INDIRECT("Table1[Ende]"),"&gt;="&amp;AW$1,INDIRECT("Table1[Obergruppe ATC-Code]"),Tabelle3!$A98)</f>
        <v>0</v>
      </c>
      <c r="AX98">
        <f ca="1">COUNTIFS(INDIRECT("Table1[Beginn]"),"&lt;="&amp;AX$1,INDIRECT("Table1[Ende]"),"&gt;="&amp;AX$1,INDIRECT("Table1[Obergruppe ATC-Code]"),Tabelle3!$A98)</f>
        <v>0</v>
      </c>
      <c r="AY98">
        <f ca="1">COUNTIFS(INDIRECT("Table1[Beginn]"),"&lt;="&amp;AY$1,INDIRECT("Table1[Ende]"),"&gt;="&amp;AY$1,INDIRECT("Table1[Obergruppe ATC-Code]"),Tabelle3!$A98)</f>
        <v>0</v>
      </c>
      <c r="AZ98">
        <f ca="1">COUNTIFS(INDIRECT("Table1[Beginn]"),"&lt;="&amp;AZ$1,INDIRECT("Table1[Ende]"),"&gt;="&amp;AZ$1,INDIRECT("Table1[Obergruppe ATC-Code]"),Tabelle3!$A98)</f>
        <v>0</v>
      </c>
      <c r="BA98">
        <f ca="1">COUNTIFS(INDIRECT("Table1[Beginn]"),"&lt;="&amp;BA$1,INDIRECT("Table1[Ende]"),"&gt;="&amp;BA$1,INDIRECT("Table1[Obergruppe ATC-Code]"),Tabelle3!$A98)</f>
        <v>0</v>
      </c>
      <c r="BB98">
        <f ca="1">COUNTIFS(INDIRECT("Table1[Beginn]"),"&lt;="&amp;BB$1,INDIRECT("Table1[Ende]"),"&gt;="&amp;BB$1,INDIRECT("Table1[Obergruppe ATC-Code]"),Tabelle3!$A98)</f>
        <v>0</v>
      </c>
      <c r="BC98">
        <f ca="1">COUNTIFS(INDIRECT("Table1[Beginn]"),"&lt;="&amp;BC$1,INDIRECT("Table1[Ende]"),"&gt;="&amp;BC$1,INDIRECT("Table1[Obergruppe ATC-Code]"),Tabelle3!$A98)</f>
        <v>0</v>
      </c>
      <c r="BD98">
        <f ca="1">COUNTIFS(INDIRECT("Table1[Beginn]"),"&lt;="&amp;BD$1,INDIRECT("Table1[Ende]"),"&gt;="&amp;BD$1,INDIRECT("Table1[Obergruppe ATC-Code]"),Tabelle3!$A98)</f>
        <v>0</v>
      </c>
      <c r="BE98">
        <f ca="1">COUNTIFS(INDIRECT("Table1[Beginn]"),"&lt;="&amp;BE$1,INDIRECT("Table1[Ende]"),"&gt;="&amp;BE$1,INDIRECT("Table1[Obergruppe ATC-Code]"),Tabelle3!$A98)</f>
        <v>0</v>
      </c>
      <c r="BF98">
        <f ca="1">COUNTIFS(INDIRECT("Table1[Beginn]"),"&lt;="&amp;BF$1,INDIRECT("Table1[Ende]"),"&gt;="&amp;BF$1,INDIRECT("Table1[Obergruppe ATC-Code]"),Tabelle3!$A98)</f>
        <v>0</v>
      </c>
      <c r="BG98">
        <f ca="1">COUNTIFS(INDIRECT("Table1[Beginn]"),"&lt;="&amp;BG$1,INDIRECT("Table1[Ende]"),"&gt;="&amp;BG$1,INDIRECT("Table1[Obergruppe ATC-Code]"),Tabelle3!$A98)</f>
        <v>0</v>
      </c>
      <c r="BH98">
        <f ca="1">COUNTIFS(INDIRECT("Table1[Beginn]"),"&lt;="&amp;BH$1,INDIRECT("Table1[Ende]"),"&gt;="&amp;BH$1,INDIRECT("Table1[Obergruppe ATC-Code]"),Tabelle3!$A98)</f>
        <v>0</v>
      </c>
      <c r="BI98">
        <f ca="1">COUNTIFS(INDIRECT("Table1[Beginn]"),"&lt;="&amp;BI$1,INDIRECT("Table1[Ende]"),"&gt;="&amp;BI$1,INDIRECT("Table1[Obergruppe ATC-Code]"),Tabelle3!$A98)</f>
        <v>0</v>
      </c>
      <c r="BJ98">
        <f ca="1">COUNTIFS(INDIRECT("Table1[Beginn]"),"&lt;="&amp;BJ$1,INDIRECT("Table1[Ende]"),"&gt;="&amp;BJ$1,INDIRECT("Table1[Obergruppe ATC-Code]"),Tabelle3!$A98)</f>
        <v>0</v>
      </c>
      <c r="BK98">
        <f ca="1">COUNTIFS(INDIRECT("Table1[Beginn]"),"&lt;="&amp;BK$1,INDIRECT("Table1[Ende]"),"&gt;="&amp;BK$1,INDIRECT("Table1[Obergruppe ATC-Code]"),Tabelle3!$A98)</f>
        <v>0</v>
      </c>
      <c r="BL98">
        <f ca="1">COUNTIFS(INDIRECT("Table1[Beginn]"),"&lt;="&amp;BL$1,INDIRECT("Table1[Ende]"),"&gt;="&amp;BL$1,INDIRECT("Table1[Obergruppe ATC-Code]"),Tabelle3!$A98)</f>
        <v>0</v>
      </c>
      <c r="BM98">
        <f ca="1">COUNTIFS(INDIRECT("Table1[Beginn]"),"&lt;="&amp;BM$1,INDIRECT("Table1[Ende]"),"&gt;="&amp;BM$1,INDIRECT("Table1[Obergruppe ATC-Code]"),Tabelle3!$A98)</f>
        <v>0</v>
      </c>
      <c r="BN98">
        <f ca="1">COUNTIFS(INDIRECT("Table1[Beginn]"),"&lt;="&amp;BN$1,INDIRECT("Table1[Ende]"),"&gt;="&amp;BN$1,INDIRECT("Table1[Obergruppe ATC-Code]"),Tabelle3!$A98)</f>
        <v>0</v>
      </c>
      <c r="BO98">
        <f ca="1">COUNTIFS(INDIRECT("Table1[Beginn]"),"&lt;="&amp;BO$1,INDIRECT("Table1[Ende]"),"&gt;="&amp;BO$1,INDIRECT("Table1[Obergruppe ATC-Code]"),Tabelle3!$A98)</f>
        <v>0</v>
      </c>
      <c r="BP98">
        <f ca="1">COUNTIFS(INDIRECT("Table1[Beginn]"),"&lt;="&amp;BP$1,INDIRECT("Table1[Ende]"),"&gt;="&amp;BP$1,INDIRECT("Table1[Obergruppe ATC-Code]"),Tabelle3!$A98)</f>
        <v>0</v>
      </c>
      <c r="BQ98">
        <f ca="1">COUNTIFS(INDIRECT("Table1[Beginn]"),"&lt;="&amp;BQ$1,INDIRECT("Table1[Ende]"),"&gt;="&amp;BQ$1,INDIRECT("Table1[Obergruppe ATC-Code]"),Tabelle3!$A98)</f>
        <v>0</v>
      </c>
      <c r="BR98">
        <f ca="1">COUNTIFS(INDIRECT("Table1[Beginn]"),"&lt;="&amp;BR$1,INDIRECT("Table1[Ende]"),"&gt;="&amp;BR$1,INDIRECT("Table1[Obergruppe ATC-Code]"),Tabelle3!$A98)</f>
        <v>0</v>
      </c>
      <c r="BS98">
        <f ca="1">COUNTIFS(INDIRECT("Table1[Beginn]"),"&lt;="&amp;BS$1,INDIRECT("Table1[Ende]"),"&gt;="&amp;BS$1,INDIRECT("Table1[Obergruppe ATC-Code]"),Tabelle3!$A98)</f>
        <v>0</v>
      </c>
      <c r="BT98">
        <f ca="1">COUNTIFS(INDIRECT("Table1[Beginn]"),"&lt;="&amp;BT$1,INDIRECT("Table1[Ende]"),"&gt;="&amp;BT$1,INDIRECT("Table1[Obergruppe ATC-Code]"),Tabelle3!$A98)</f>
        <v>0</v>
      </c>
      <c r="BU98">
        <f ca="1">COUNTIFS(INDIRECT("Table1[Beginn]"),"&lt;="&amp;BU$1,INDIRECT("Table1[Ende]"),"&gt;="&amp;BU$1,INDIRECT("Table1[Obergruppe ATC-Code]"),Tabelle3!$A98)</f>
        <v>0</v>
      </c>
      <c r="BV98">
        <f ca="1">COUNTIFS(INDIRECT("Table1[Beginn]"),"&lt;="&amp;BV$1,INDIRECT("Table1[Ende]"),"&gt;="&amp;BV$1,INDIRECT("Table1[Obergruppe ATC-Code]"),Tabelle3!$A98)</f>
        <v>0</v>
      </c>
      <c r="BW98">
        <f ca="1">COUNTIFS(INDIRECT("Table1[Beginn]"),"&lt;="&amp;BW$1,INDIRECT("Table1[Ende]"),"&gt;="&amp;BW$1,INDIRECT("Table1[Obergruppe ATC-Code]"),Tabelle3!$A98)</f>
        <v>0</v>
      </c>
      <c r="BX98">
        <f ca="1">COUNTIFS(INDIRECT("Table1[Beginn]"),"&lt;="&amp;BX$1,INDIRECT("Table1[Ende]"),"&gt;="&amp;BX$1,INDIRECT("Table1[Obergruppe ATC-Code]"),Tabelle3!$A98)</f>
        <v>0</v>
      </c>
      <c r="BY98">
        <f ca="1">COUNTIFS(INDIRECT("Table1[Beginn]"),"&lt;="&amp;BY$1,INDIRECT("Table1[Ende]"),"&gt;="&amp;BY$1,INDIRECT("Table1[Obergruppe ATC-Code]"),Tabelle3!$A98)</f>
        <v>0</v>
      </c>
      <c r="BZ98">
        <f ca="1">COUNTIFS(INDIRECT("Table1[Beginn]"),"&lt;="&amp;BZ$1,INDIRECT("Table1[Ende]"),"&gt;="&amp;BZ$1,INDIRECT("Table1[Obergruppe ATC-Code]"),Tabelle3!$A98)</f>
        <v>0</v>
      </c>
      <c r="CA98">
        <f ca="1">COUNTIFS(INDIRECT("Table1[Beginn]"),"&lt;="&amp;CA$1,INDIRECT("Table1[Ende]"),"&gt;="&amp;CA$1,INDIRECT("Table1[Obergruppe ATC-Code]"),Tabelle3!$A98)</f>
        <v>0</v>
      </c>
      <c r="CB98">
        <f ca="1">COUNTIFS(INDIRECT("Table1[Beginn]"),"&lt;="&amp;CB$1,INDIRECT("Table1[Ende]"),"&gt;="&amp;CB$1,INDIRECT("Table1[Obergruppe ATC-Code]"),Tabelle3!$A98)</f>
        <v>0</v>
      </c>
      <c r="CC98">
        <f ca="1">COUNTIFS(INDIRECT("Table1[Beginn]"),"&lt;="&amp;CC$1,INDIRECT("Table1[Ende]"),"&gt;="&amp;CC$1,INDIRECT("Table1[Obergruppe ATC-Code]"),Tabelle3!$A98)</f>
        <v>0</v>
      </c>
      <c r="CD98">
        <f ca="1">COUNTIFS(INDIRECT("Table1[Beginn]"),"&lt;="&amp;CD$1,INDIRECT("Table1[Ende]"),"&gt;="&amp;CD$1,INDIRECT("Table1[Obergruppe ATC-Code]"),Tabelle3!$A98)</f>
        <v>0</v>
      </c>
      <c r="CE98">
        <f ca="1">COUNTIFS(INDIRECT("Table1[Beginn]"),"&lt;="&amp;CE$1,INDIRECT("Table1[Ende]"),"&gt;="&amp;CE$1,INDIRECT("Table1[Obergruppe ATC-Code]"),Tabelle3!$A98)</f>
        <v>0</v>
      </c>
      <c r="CF98">
        <f ca="1">COUNTIFS(INDIRECT("Table1[Beginn]"),"&lt;="&amp;CF$1,INDIRECT("Table1[Ende]"),"&gt;="&amp;CF$1,INDIRECT("Table1[Obergruppe ATC-Code]"),Tabelle3!$A98)</f>
        <v>0</v>
      </c>
      <c r="CG98">
        <f ca="1">COUNTIFS(INDIRECT("Table1[Beginn]"),"&lt;="&amp;CG$1,INDIRECT("Table1[Ende]"),"&gt;="&amp;CG$1,INDIRECT("Table1[Obergruppe ATC-Code]"),Tabelle3!$A98)</f>
        <v>0</v>
      </c>
      <c r="CH98">
        <f ca="1">COUNTIFS(INDIRECT("Table1[Beginn]"),"&lt;="&amp;CH$1,INDIRECT("Table1[Ende]"),"&gt;="&amp;CH$1,INDIRECT("Table1[Obergruppe ATC-Code]"),Tabelle3!$A98)</f>
        <v>0</v>
      </c>
      <c r="CI98">
        <f ca="1">COUNTIFS(INDIRECT("Table1[Beginn]"),"&lt;="&amp;CI$1,INDIRECT("Table1[Ende]"),"&gt;="&amp;CI$1,INDIRECT("Table1[Obergruppe ATC-Code]"),Tabelle3!$A98)</f>
        <v>0</v>
      </c>
      <c r="CJ98">
        <f ca="1">COUNTIFS(INDIRECT("Table1[Beginn]"),"&lt;="&amp;CJ$1,INDIRECT("Table1[Ende]"),"&gt;="&amp;CJ$1,INDIRECT("Table1[Obergruppe ATC-Code]"),Tabelle3!$A98)</f>
        <v>0</v>
      </c>
      <c r="CK98">
        <f ca="1">COUNTIFS(INDIRECT("Table1[Beginn]"),"&lt;="&amp;CK$1,INDIRECT("Table1[Ende]"),"&gt;="&amp;CK$1,INDIRECT("Table1[Obergruppe ATC-Code]"),Tabelle3!$A98)</f>
        <v>0</v>
      </c>
      <c r="CL98">
        <f ca="1">COUNTIFS(INDIRECT("Table1[Beginn]"),"&lt;="&amp;CL$1,INDIRECT("Table1[Ende]"),"&gt;="&amp;CL$1,INDIRECT("Table1[Obergruppe ATC-Code]"),Tabelle3!$A98)</f>
        <v>0</v>
      </c>
      <c r="CM98">
        <f ca="1">COUNTIFS(INDIRECT("Table1[Beginn]"),"&lt;="&amp;CM$1,INDIRECT("Table1[Ende]"),"&gt;="&amp;CM$1,INDIRECT("Table1[Obergruppe ATC-Code]"),Tabelle3!$A98)</f>
        <v>0</v>
      </c>
      <c r="CN98">
        <f ca="1">COUNTIFS(INDIRECT("Table1[Beginn]"),"&lt;="&amp;CN$1,INDIRECT("Table1[Ende]"),"&gt;="&amp;CN$1,INDIRECT("Table1[Obergruppe ATC-Code]"),Tabelle3!$A98)</f>
        <v>0</v>
      </c>
      <c r="CO98">
        <f ca="1">COUNTIFS(INDIRECT("Table1[Beginn]"),"&lt;="&amp;CO$1,INDIRECT("Table1[Ende]"),"&gt;="&amp;CO$1,INDIRECT("Table1[Obergruppe ATC-Code]"),Tabelle3!$A98)</f>
        <v>0</v>
      </c>
      <c r="CP98">
        <f ca="1">COUNTIFS(INDIRECT("Table1[Beginn]"),"&lt;="&amp;CP$1,INDIRECT("Table1[Ende]"),"&gt;="&amp;CP$1,INDIRECT("Table1[Obergruppe ATC-Code]"),Tabelle3!$A98)</f>
        <v>0</v>
      </c>
      <c r="CQ98">
        <f ca="1">COUNTIFS(INDIRECT("Table1[Beginn]"),"&lt;="&amp;CQ$1,INDIRECT("Table1[Ende]"),"&gt;="&amp;CQ$1,INDIRECT("Table1[Obergruppe ATC-Code]"),Tabelle3!$A98)</f>
        <v>0</v>
      </c>
      <c r="CR98">
        <f ca="1">COUNTIFS(INDIRECT("Table1[Beginn]"),"&lt;="&amp;CR$1,INDIRECT("Table1[Ende]"),"&gt;="&amp;CR$1,INDIRECT("Table1[Obergruppe ATC-Code]"),Tabelle3!$A98)</f>
        <v>0</v>
      </c>
    </row>
    <row r="99" spans="1:96" ht="18">
      <c r="A99" s="9" t="s">
        <v>6966</v>
      </c>
      <c r="B99" s="10" t="s">
        <v>6967</v>
      </c>
      <c r="C99">
        <f ca="1">COUNTIFS(INDIRECT("Table1[Beginn]"),"&lt;="&amp;C$1,INDIRECT("Table1[Ende]"),"&gt;="&amp;C$1,INDIRECT("Table1[Obergruppe ATC-Code]"),Tabelle3!$A99)</f>
        <v>0</v>
      </c>
      <c r="D99">
        <f ca="1">COUNTIFS(INDIRECT("Table1[Beginn]"),"&lt;="&amp;D$1,INDIRECT("Table1[Ende]"),"&gt;="&amp;D$1,INDIRECT("Table1[Obergruppe ATC-Code]"),Tabelle3!$A99)</f>
        <v>0</v>
      </c>
      <c r="E99">
        <f ca="1">COUNTIFS(INDIRECT("Table1[Beginn]"),"&lt;="&amp;E$1,INDIRECT("Table1[Ende]"),"&gt;="&amp;E$1,INDIRECT("Table1[Obergruppe ATC-Code]"),Tabelle3!$A99)</f>
        <v>0</v>
      </c>
      <c r="F99">
        <f ca="1">COUNTIFS(INDIRECT("Table1[Beginn]"),"&lt;="&amp;F$1,INDIRECT("Table1[Ende]"),"&gt;="&amp;F$1,INDIRECT("Table1[Obergruppe ATC-Code]"),Tabelle3!$A99)</f>
        <v>0</v>
      </c>
      <c r="G99">
        <f ca="1">COUNTIFS(INDIRECT("Table1[Beginn]"),"&lt;="&amp;G$1,INDIRECT("Table1[Ende]"),"&gt;="&amp;G$1,INDIRECT("Table1[Obergruppe ATC-Code]"),Tabelle3!$A99)</f>
        <v>0</v>
      </c>
      <c r="H99">
        <f ca="1">COUNTIFS(INDIRECT("Table1[Beginn]"),"&lt;="&amp;H$1,INDIRECT("Table1[Ende]"),"&gt;="&amp;H$1,INDIRECT("Table1[Obergruppe ATC-Code]"),Tabelle3!$A99)</f>
        <v>0</v>
      </c>
      <c r="I99">
        <f ca="1">COUNTIFS(INDIRECT("Table1[Beginn]"),"&lt;="&amp;I$1,INDIRECT("Table1[Ende]"),"&gt;="&amp;I$1,INDIRECT("Table1[Obergruppe ATC-Code]"),Tabelle3!$A99)</f>
        <v>0</v>
      </c>
      <c r="J99">
        <f ca="1">COUNTIFS(INDIRECT("Table1[Beginn]"),"&lt;="&amp;J$1,INDIRECT("Table1[Ende]"),"&gt;="&amp;J$1,INDIRECT("Table1[Obergruppe ATC-Code]"),Tabelle3!$A99)</f>
        <v>0</v>
      </c>
      <c r="K99">
        <f ca="1">COUNTIFS(INDIRECT("Table1[Beginn]"),"&lt;="&amp;K$1,INDIRECT("Table1[Ende]"),"&gt;="&amp;K$1,INDIRECT("Table1[Obergruppe ATC-Code]"),Tabelle3!$A99)</f>
        <v>0</v>
      </c>
      <c r="L99">
        <f ca="1">COUNTIFS(INDIRECT("Table1[Beginn]"),"&lt;="&amp;L$1,INDIRECT("Table1[Ende]"),"&gt;="&amp;L$1,INDIRECT("Table1[Obergruppe ATC-Code]"),Tabelle3!$A99)</f>
        <v>0</v>
      </c>
      <c r="M99">
        <f ca="1">COUNTIFS(INDIRECT("Table1[Beginn]"),"&lt;="&amp;M$1,INDIRECT("Table1[Ende]"),"&gt;="&amp;M$1,INDIRECT("Table1[Obergruppe ATC-Code]"),Tabelle3!$A99)</f>
        <v>0</v>
      </c>
      <c r="N99">
        <f ca="1">COUNTIFS(INDIRECT("Table1[Beginn]"),"&lt;="&amp;N$1,INDIRECT("Table1[Ende]"),"&gt;="&amp;N$1,INDIRECT("Table1[Obergruppe ATC-Code]"),Tabelle3!$A99)</f>
        <v>0</v>
      </c>
      <c r="O99">
        <f ca="1">COUNTIFS(INDIRECT("Table1[Beginn]"),"&lt;="&amp;O$1,INDIRECT("Table1[Ende]"),"&gt;="&amp;O$1,INDIRECT("Table1[Obergruppe ATC-Code]"),Tabelle3!$A99)</f>
        <v>0</v>
      </c>
      <c r="P99">
        <f ca="1">COUNTIFS(INDIRECT("Table1[Beginn]"),"&lt;="&amp;P$1,INDIRECT("Table1[Ende]"),"&gt;="&amp;P$1,INDIRECT("Table1[Obergruppe ATC-Code]"),Tabelle3!$A99)</f>
        <v>0</v>
      </c>
      <c r="Q99">
        <f ca="1">COUNTIFS(INDIRECT("Table1[Beginn]"),"&lt;="&amp;Q$1,INDIRECT("Table1[Ende]"),"&gt;="&amp;Q$1,INDIRECT("Table1[Obergruppe ATC-Code]"),Tabelle3!$A99)</f>
        <v>0</v>
      </c>
      <c r="R99">
        <f ca="1">COUNTIFS(INDIRECT("Table1[Beginn]"),"&lt;="&amp;R$1,INDIRECT("Table1[Ende]"),"&gt;="&amp;R$1,INDIRECT("Table1[Obergruppe ATC-Code]"),Tabelle3!$A99)</f>
        <v>0</v>
      </c>
      <c r="S99">
        <f ca="1">COUNTIFS(INDIRECT("Table1[Beginn]"),"&lt;="&amp;S$1,INDIRECT("Table1[Ende]"),"&gt;="&amp;S$1,INDIRECT("Table1[Obergruppe ATC-Code]"),Tabelle3!$A99)</f>
        <v>0</v>
      </c>
      <c r="T99">
        <f ca="1">COUNTIFS(INDIRECT("Table1[Beginn]"),"&lt;="&amp;T$1,INDIRECT("Table1[Ende]"),"&gt;="&amp;T$1,INDIRECT("Table1[Obergruppe ATC-Code]"),Tabelle3!$A99)</f>
        <v>0</v>
      </c>
      <c r="U99">
        <f ca="1">COUNTIFS(INDIRECT("Table1[Beginn]"),"&lt;="&amp;U$1,INDIRECT("Table1[Ende]"),"&gt;="&amp;U$1,INDIRECT("Table1[Obergruppe ATC-Code]"),Tabelle3!$A99)</f>
        <v>0</v>
      </c>
      <c r="V99">
        <f ca="1">COUNTIFS(INDIRECT("Table1[Beginn]"),"&lt;="&amp;V$1,INDIRECT("Table1[Ende]"),"&gt;="&amp;V$1,INDIRECT("Table1[Obergruppe ATC-Code]"),Tabelle3!$A99)</f>
        <v>0</v>
      </c>
      <c r="W99">
        <f ca="1">COUNTIFS(INDIRECT("Table1[Beginn]"),"&lt;="&amp;W$1,INDIRECT("Table1[Ende]"),"&gt;="&amp;W$1,INDIRECT("Table1[Obergruppe ATC-Code]"),Tabelle3!$A99)</f>
        <v>0</v>
      </c>
      <c r="X99">
        <f ca="1">COUNTIFS(INDIRECT("Table1[Beginn]"),"&lt;="&amp;X$1,INDIRECT("Table1[Ende]"),"&gt;="&amp;X$1,INDIRECT("Table1[Obergruppe ATC-Code]"),Tabelle3!$A99)</f>
        <v>0</v>
      </c>
      <c r="Y99">
        <f ca="1">COUNTIFS(INDIRECT("Table1[Beginn]"),"&lt;="&amp;Y$1,INDIRECT("Table1[Ende]"),"&gt;="&amp;Y$1,INDIRECT("Table1[Obergruppe ATC-Code]"),Tabelle3!$A99)</f>
        <v>0</v>
      </c>
      <c r="Z99">
        <f ca="1">COUNTIFS(INDIRECT("Table1[Beginn]"),"&lt;="&amp;Z$1,INDIRECT("Table1[Ende]"),"&gt;="&amp;Z$1,INDIRECT("Table1[Obergruppe ATC-Code]"),Tabelle3!$A99)</f>
        <v>0</v>
      </c>
      <c r="AA99">
        <f ca="1">COUNTIFS(INDIRECT("Table1[Beginn]"),"&lt;="&amp;AA$1,INDIRECT("Table1[Ende]"),"&gt;="&amp;AA$1,INDIRECT("Table1[Obergruppe ATC-Code]"),Tabelle3!$A99)</f>
        <v>0</v>
      </c>
      <c r="AB99">
        <f ca="1">COUNTIFS(INDIRECT("Table1[Beginn]"),"&lt;="&amp;AB$1,INDIRECT("Table1[Ende]"),"&gt;="&amp;AB$1,INDIRECT("Table1[Obergruppe ATC-Code]"),Tabelle3!$A99)</f>
        <v>0</v>
      </c>
      <c r="AC99">
        <f ca="1">COUNTIFS(INDIRECT("Table1[Beginn]"),"&lt;="&amp;AC$1,INDIRECT("Table1[Ende]"),"&gt;="&amp;AC$1,INDIRECT("Table1[Obergruppe ATC-Code]"),Tabelle3!$A99)</f>
        <v>0</v>
      </c>
      <c r="AD99">
        <f ca="1">COUNTIFS(INDIRECT("Table1[Beginn]"),"&lt;="&amp;AD$1,INDIRECT("Table1[Ende]"),"&gt;="&amp;AD$1,INDIRECT("Table1[Obergruppe ATC-Code]"),Tabelle3!$A99)</f>
        <v>0</v>
      </c>
      <c r="AE99">
        <f ca="1">COUNTIFS(INDIRECT("Table1[Beginn]"),"&lt;="&amp;AE$1,INDIRECT("Table1[Ende]"),"&gt;="&amp;AE$1,INDIRECT("Table1[Obergruppe ATC-Code]"),Tabelle3!$A99)</f>
        <v>0</v>
      </c>
      <c r="AF99">
        <f ca="1">COUNTIFS(INDIRECT("Table1[Beginn]"),"&lt;="&amp;AF$1,INDIRECT("Table1[Ende]"),"&gt;="&amp;AF$1,INDIRECT("Table1[Obergruppe ATC-Code]"),Tabelle3!$A99)</f>
        <v>0</v>
      </c>
      <c r="AG99">
        <f ca="1">COUNTIFS(INDIRECT("Table1[Beginn]"),"&lt;="&amp;AG$1,INDIRECT("Table1[Ende]"),"&gt;="&amp;AG$1,INDIRECT("Table1[Obergruppe ATC-Code]"),Tabelle3!$A99)</f>
        <v>0</v>
      </c>
      <c r="AH99">
        <f ca="1">COUNTIFS(INDIRECT("Table1[Beginn]"),"&lt;="&amp;AH$1,INDIRECT("Table1[Ende]"),"&gt;="&amp;AH$1,INDIRECT("Table1[Obergruppe ATC-Code]"),Tabelle3!$A99)</f>
        <v>0</v>
      </c>
      <c r="AI99">
        <f ca="1">COUNTIFS(INDIRECT("Table1[Beginn]"),"&lt;="&amp;AI$1,INDIRECT("Table1[Ende]"),"&gt;="&amp;AI$1,INDIRECT("Table1[Obergruppe ATC-Code]"),Tabelle3!$A99)</f>
        <v>0</v>
      </c>
      <c r="AJ99">
        <f ca="1">COUNTIFS(INDIRECT("Table1[Beginn]"),"&lt;="&amp;AJ$1,INDIRECT("Table1[Ende]"),"&gt;="&amp;AJ$1,INDIRECT("Table1[Obergruppe ATC-Code]"),Tabelle3!$A99)</f>
        <v>0</v>
      </c>
      <c r="AK99">
        <f ca="1">COUNTIFS(INDIRECT("Table1[Beginn]"),"&lt;="&amp;AK$1,INDIRECT("Table1[Ende]"),"&gt;="&amp;AK$1,INDIRECT("Table1[Obergruppe ATC-Code]"),Tabelle3!$A99)</f>
        <v>0</v>
      </c>
      <c r="AL99">
        <f ca="1">COUNTIFS(INDIRECT("Table1[Beginn]"),"&lt;="&amp;AL$1,INDIRECT("Table1[Ende]"),"&gt;="&amp;AL$1,INDIRECT("Table1[Obergruppe ATC-Code]"),Tabelle3!$A99)</f>
        <v>0</v>
      </c>
      <c r="AM99">
        <f ca="1">COUNTIFS(INDIRECT("Table1[Beginn]"),"&lt;="&amp;AM$1,INDIRECT("Table1[Ende]"),"&gt;="&amp;AM$1,INDIRECT("Table1[Obergruppe ATC-Code]"),Tabelle3!$A99)</f>
        <v>0</v>
      </c>
      <c r="AN99">
        <f ca="1">COUNTIFS(INDIRECT("Table1[Beginn]"),"&lt;="&amp;AN$1,INDIRECT("Table1[Ende]"),"&gt;="&amp;AN$1,INDIRECT("Table1[Obergruppe ATC-Code]"),Tabelle3!$A99)</f>
        <v>0</v>
      </c>
      <c r="AO99">
        <f ca="1">COUNTIFS(INDIRECT("Table1[Beginn]"),"&lt;="&amp;AO$1,INDIRECT("Table1[Ende]"),"&gt;="&amp;AO$1,INDIRECT("Table1[Obergruppe ATC-Code]"),Tabelle3!$A99)</f>
        <v>0</v>
      </c>
      <c r="AP99">
        <f ca="1">COUNTIFS(INDIRECT("Table1[Beginn]"),"&lt;="&amp;AP$1,INDIRECT("Table1[Ende]"),"&gt;="&amp;AP$1,INDIRECT("Table1[Obergruppe ATC-Code]"),Tabelle3!$A99)</f>
        <v>0</v>
      </c>
      <c r="AQ99">
        <f ca="1">COUNTIFS(INDIRECT("Table1[Beginn]"),"&lt;="&amp;AQ$1,INDIRECT("Table1[Ende]"),"&gt;="&amp;AQ$1,INDIRECT("Table1[Obergruppe ATC-Code]"),Tabelle3!$A99)</f>
        <v>0</v>
      </c>
      <c r="AR99">
        <f ca="1">COUNTIFS(INDIRECT("Table1[Beginn]"),"&lt;="&amp;AR$1,INDIRECT("Table1[Ende]"),"&gt;="&amp;AR$1,INDIRECT("Table1[Obergruppe ATC-Code]"),Tabelle3!$A99)</f>
        <v>0</v>
      </c>
      <c r="AS99">
        <f ca="1">COUNTIFS(INDIRECT("Table1[Beginn]"),"&lt;="&amp;AS$1,INDIRECT("Table1[Ende]"),"&gt;="&amp;AS$1,INDIRECT("Table1[Obergruppe ATC-Code]"),Tabelle3!$A99)</f>
        <v>0</v>
      </c>
      <c r="AT99">
        <f ca="1">COUNTIFS(INDIRECT("Table1[Beginn]"),"&lt;="&amp;AT$1,INDIRECT("Table1[Ende]"),"&gt;="&amp;AT$1,INDIRECT("Table1[Obergruppe ATC-Code]"),Tabelle3!$A99)</f>
        <v>0</v>
      </c>
      <c r="AU99">
        <f ca="1">COUNTIFS(INDIRECT("Table1[Beginn]"),"&lt;="&amp;AU$1,INDIRECT("Table1[Ende]"),"&gt;="&amp;AU$1,INDIRECT("Table1[Obergruppe ATC-Code]"),Tabelle3!$A99)</f>
        <v>0</v>
      </c>
      <c r="AV99">
        <f ca="1">COUNTIFS(INDIRECT("Table1[Beginn]"),"&lt;="&amp;AV$1,INDIRECT("Table1[Ende]"),"&gt;="&amp;AV$1,INDIRECT("Table1[Obergruppe ATC-Code]"),Tabelle3!$A99)</f>
        <v>0</v>
      </c>
      <c r="AW99">
        <f ca="1">COUNTIFS(INDIRECT("Table1[Beginn]"),"&lt;="&amp;AW$1,INDIRECT("Table1[Ende]"),"&gt;="&amp;AW$1,INDIRECT("Table1[Obergruppe ATC-Code]"),Tabelle3!$A99)</f>
        <v>0</v>
      </c>
      <c r="AX99">
        <f ca="1">COUNTIFS(INDIRECT("Table1[Beginn]"),"&lt;="&amp;AX$1,INDIRECT("Table1[Ende]"),"&gt;="&amp;AX$1,INDIRECT("Table1[Obergruppe ATC-Code]"),Tabelle3!$A99)</f>
        <v>0</v>
      </c>
      <c r="AY99">
        <f ca="1">COUNTIFS(INDIRECT("Table1[Beginn]"),"&lt;="&amp;AY$1,INDIRECT("Table1[Ende]"),"&gt;="&amp;AY$1,INDIRECT("Table1[Obergruppe ATC-Code]"),Tabelle3!$A99)</f>
        <v>0</v>
      </c>
      <c r="AZ99">
        <f ca="1">COUNTIFS(INDIRECT("Table1[Beginn]"),"&lt;="&amp;AZ$1,INDIRECT("Table1[Ende]"),"&gt;="&amp;AZ$1,INDIRECT("Table1[Obergruppe ATC-Code]"),Tabelle3!$A99)</f>
        <v>0</v>
      </c>
      <c r="BA99">
        <f ca="1">COUNTIFS(INDIRECT("Table1[Beginn]"),"&lt;="&amp;BA$1,INDIRECT("Table1[Ende]"),"&gt;="&amp;BA$1,INDIRECT("Table1[Obergruppe ATC-Code]"),Tabelle3!$A99)</f>
        <v>0</v>
      </c>
      <c r="BB99">
        <f ca="1">COUNTIFS(INDIRECT("Table1[Beginn]"),"&lt;="&amp;BB$1,INDIRECT("Table1[Ende]"),"&gt;="&amp;BB$1,INDIRECT("Table1[Obergruppe ATC-Code]"),Tabelle3!$A99)</f>
        <v>0</v>
      </c>
      <c r="BC99">
        <f ca="1">COUNTIFS(INDIRECT("Table1[Beginn]"),"&lt;="&amp;BC$1,INDIRECT("Table1[Ende]"),"&gt;="&amp;BC$1,INDIRECT("Table1[Obergruppe ATC-Code]"),Tabelle3!$A99)</f>
        <v>0</v>
      </c>
      <c r="BD99">
        <f ca="1">COUNTIFS(INDIRECT("Table1[Beginn]"),"&lt;="&amp;BD$1,INDIRECT("Table1[Ende]"),"&gt;="&amp;BD$1,INDIRECT("Table1[Obergruppe ATC-Code]"),Tabelle3!$A99)</f>
        <v>0</v>
      </c>
      <c r="BE99">
        <f ca="1">COUNTIFS(INDIRECT("Table1[Beginn]"),"&lt;="&amp;BE$1,INDIRECT("Table1[Ende]"),"&gt;="&amp;BE$1,INDIRECT("Table1[Obergruppe ATC-Code]"),Tabelle3!$A99)</f>
        <v>0</v>
      </c>
      <c r="BF99">
        <f ca="1">COUNTIFS(INDIRECT("Table1[Beginn]"),"&lt;="&amp;BF$1,INDIRECT("Table1[Ende]"),"&gt;="&amp;BF$1,INDIRECT("Table1[Obergruppe ATC-Code]"),Tabelle3!$A99)</f>
        <v>0</v>
      </c>
      <c r="BG99">
        <f ca="1">COUNTIFS(INDIRECT("Table1[Beginn]"),"&lt;="&amp;BG$1,INDIRECT("Table1[Ende]"),"&gt;="&amp;BG$1,INDIRECT("Table1[Obergruppe ATC-Code]"),Tabelle3!$A99)</f>
        <v>0</v>
      </c>
      <c r="BH99">
        <f ca="1">COUNTIFS(INDIRECT("Table1[Beginn]"),"&lt;="&amp;BH$1,INDIRECT("Table1[Ende]"),"&gt;="&amp;BH$1,INDIRECT("Table1[Obergruppe ATC-Code]"),Tabelle3!$A99)</f>
        <v>0</v>
      </c>
      <c r="BI99">
        <f ca="1">COUNTIFS(INDIRECT("Table1[Beginn]"),"&lt;="&amp;BI$1,INDIRECT("Table1[Ende]"),"&gt;="&amp;BI$1,INDIRECT("Table1[Obergruppe ATC-Code]"),Tabelle3!$A99)</f>
        <v>0</v>
      </c>
      <c r="BJ99">
        <f ca="1">COUNTIFS(INDIRECT("Table1[Beginn]"),"&lt;="&amp;BJ$1,INDIRECT("Table1[Ende]"),"&gt;="&amp;BJ$1,INDIRECT("Table1[Obergruppe ATC-Code]"),Tabelle3!$A99)</f>
        <v>0</v>
      </c>
      <c r="BK99">
        <f ca="1">COUNTIFS(INDIRECT("Table1[Beginn]"),"&lt;="&amp;BK$1,INDIRECT("Table1[Ende]"),"&gt;="&amp;BK$1,INDIRECT("Table1[Obergruppe ATC-Code]"),Tabelle3!$A99)</f>
        <v>0</v>
      </c>
      <c r="BL99">
        <f ca="1">COUNTIFS(INDIRECT("Table1[Beginn]"),"&lt;="&amp;BL$1,INDIRECT("Table1[Ende]"),"&gt;="&amp;BL$1,INDIRECT("Table1[Obergruppe ATC-Code]"),Tabelle3!$A99)</f>
        <v>0</v>
      </c>
      <c r="BM99">
        <f ca="1">COUNTIFS(INDIRECT("Table1[Beginn]"),"&lt;="&amp;BM$1,INDIRECT("Table1[Ende]"),"&gt;="&amp;BM$1,INDIRECT("Table1[Obergruppe ATC-Code]"),Tabelle3!$A99)</f>
        <v>0</v>
      </c>
      <c r="BN99">
        <f ca="1">COUNTIFS(INDIRECT("Table1[Beginn]"),"&lt;="&amp;BN$1,INDIRECT("Table1[Ende]"),"&gt;="&amp;BN$1,INDIRECT("Table1[Obergruppe ATC-Code]"),Tabelle3!$A99)</f>
        <v>0</v>
      </c>
      <c r="BO99">
        <f ca="1">COUNTIFS(INDIRECT("Table1[Beginn]"),"&lt;="&amp;BO$1,INDIRECT("Table1[Ende]"),"&gt;="&amp;BO$1,INDIRECT("Table1[Obergruppe ATC-Code]"),Tabelle3!$A99)</f>
        <v>0</v>
      </c>
      <c r="BP99">
        <f ca="1">COUNTIFS(INDIRECT("Table1[Beginn]"),"&lt;="&amp;BP$1,INDIRECT("Table1[Ende]"),"&gt;="&amp;BP$1,INDIRECT("Table1[Obergruppe ATC-Code]"),Tabelle3!$A99)</f>
        <v>0</v>
      </c>
      <c r="BQ99">
        <f ca="1">COUNTIFS(INDIRECT("Table1[Beginn]"),"&lt;="&amp;BQ$1,INDIRECT("Table1[Ende]"),"&gt;="&amp;BQ$1,INDIRECT("Table1[Obergruppe ATC-Code]"),Tabelle3!$A99)</f>
        <v>0</v>
      </c>
      <c r="BR99">
        <f ca="1">COUNTIFS(INDIRECT("Table1[Beginn]"),"&lt;="&amp;BR$1,INDIRECT("Table1[Ende]"),"&gt;="&amp;BR$1,INDIRECT("Table1[Obergruppe ATC-Code]"),Tabelle3!$A99)</f>
        <v>0</v>
      </c>
      <c r="BS99">
        <f ca="1">COUNTIFS(INDIRECT("Table1[Beginn]"),"&lt;="&amp;BS$1,INDIRECT("Table1[Ende]"),"&gt;="&amp;BS$1,INDIRECT("Table1[Obergruppe ATC-Code]"),Tabelle3!$A99)</f>
        <v>0</v>
      </c>
      <c r="BT99">
        <f ca="1">COUNTIFS(INDIRECT("Table1[Beginn]"),"&lt;="&amp;BT$1,INDIRECT("Table1[Ende]"),"&gt;="&amp;BT$1,INDIRECT("Table1[Obergruppe ATC-Code]"),Tabelle3!$A99)</f>
        <v>0</v>
      </c>
      <c r="BU99">
        <f ca="1">COUNTIFS(INDIRECT("Table1[Beginn]"),"&lt;="&amp;BU$1,INDIRECT("Table1[Ende]"),"&gt;="&amp;BU$1,INDIRECT("Table1[Obergruppe ATC-Code]"),Tabelle3!$A99)</f>
        <v>0</v>
      </c>
      <c r="BV99">
        <f ca="1">COUNTIFS(INDIRECT("Table1[Beginn]"),"&lt;="&amp;BV$1,INDIRECT("Table1[Ende]"),"&gt;="&amp;BV$1,INDIRECT("Table1[Obergruppe ATC-Code]"),Tabelle3!$A99)</f>
        <v>0</v>
      </c>
      <c r="BW99">
        <f ca="1">COUNTIFS(INDIRECT("Table1[Beginn]"),"&lt;="&amp;BW$1,INDIRECT("Table1[Ende]"),"&gt;="&amp;BW$1,INDIRECT("Table1[Obergruppe ATC-Code]"),Tabelle3!$A99)</f>
        <v>0</v>
      </c>
      <c r="BX99">
        <f ca="1">COUNTIFS(INDIRECT("Table1[Beginn]"),"&lt;="&amp;BX$1,INDIRECT("Table1[Ende]"),"&gt;="&amp;BX$1,INDIRECT("Table1[Obergruppe ATC-Code]"),Tabelle3!$A99)</f>
        <v>0</v>
      </c>
      <c r="BY99">
        <f ca="1">COUNTIFS(INDIRECT("Table1[Beginn]"),"&lt;="&amp;BY$1,INDIRECT("Table1[Ende]"),"&gt;="&amp;BY$1,INDIRECT("Table1[Obergruppe ATC-Code]"),Tabelle3!$A99)</f>
        <v>0</v>
      </c>
      <c r="BZ99">
        <f ca="1">COUNTIFS(INDIRECT("Table1[Beginn]"),"&lt;="&amp;BZ$1,INDIRECT("Table1[Ende]"),"&gt;="&amp;BZ$1,INDIRECT("Table1[Obergruppe ATC-Code]"),Tabelle3!$A99)</f>
        <v>0</v>
      </c>
      <c r="CA99">
        <f ca="1">COUNTIFS(INDIRECT("Table1[Beginn]"),"&lt;="&amp;CA$1,INDIRECT("Table1[Ende]"),"&gt;="&amp;CA$1,INDIRECT("Table1[Obergruppe ATC-Code]"),Tabelle3!$A99)</f>
        <v>0</v>
      </c>
      <c r="CB99">
        <f ca="1">COUNTIFS(INDIRECT("Table1[Beginn]"),"&lt;="&amp;CB$1,INDIRECT("Table1[Ende]"),"&gt;="&amp;CB$1,INDIRECT("Table1[Obergruppe ATC-Code]"),Tabelle3!$A99)</f>
        <v>0</v>
      </c>
      <c r="CC99">
        <f ca="1">COUNTIFS(INDIRECT("Table1[Beginn]"),"&lt;="&amp;CC$1,INDIRECT("Table1[Ende]"),"&gt;="&amp;CC$1,INDIRECT("Table1[Obergruppe ATC-Code]"),Tabelle3!$A99)</f>
        <v>0</v>
      </c>
      <c r="CD99">
        <f ca="1">COUNTIFS(INDIRECT("Table1[Beginn]"),"&lt;="&amp;CD$1,INDIRECT("Table1[Ende]"),"&gt;="&amp;CD$1,INDIRECT("Table1[Obergruppe ATC-Code]"),Tabelle3!$A99)</f>
        <v>0</v>
      </c>
      <c r="CE99">
        <f ca="1">COUNTIFS(INDIRECT("Table1[Beginn]"),"&lt;="&amp;CE$1,INDIRECT("Table1[Ende]"),"&gt;="&amp;CE$1,INDIRECT("Table1[Obergruppe ATC-Code]"),Tabelle3!$A99)</f>
        <v>0</v>
      </c>
      <c r="CF99">
        <f ca="1">COUNTIFS(INDIRECT("Table1[Beginn]"),"&lt;="&amp;CF$1,INDIRECT("Table1[Ende]"),"&gt;="&amp;CF$1,INDIRECT("Table1[Obergruppe ATC-Code]"),Tabelle3!$A99)</f>
        <v>0</v>
      </c>
      <c r="CG99">
        <f ca="1">COUNTIFS(INDIRECT("Table1[Beginn]"),"&lt;="&amp;CG$1,INDIRECT("Table1[Ende]"),"&gt;="&amp;CG$1,INDIRECT("Table1[Obergruppe ATC-Code]"),Tabelle3!$A99)</f>
        <v>0</v>
      </c>
      <c r="CH99">
        <f ca="1">COUNTIFS(INDIRECT("Table1[Beginn]"),"&lt;="&amp;CH$1,INDIRECT("Table1[Ende]"),"&gt;="&amp;CH$1,INDIRECT("Table1[Obergruppe ATC-Code]"),Tabelle3!$A99)</f>
        <v>0</v>
      </c>
      <c r="CI99">
        <f ca="1">COUNTIFS(INDIRECT("Table1[Beginn]"),"&lt;="&amp;CI$1,INDIRECT("Table1[Ende]"),"&gt;="&amp;CI$1,INDIRECT("Table1[Obergruppe ATC-Code]"),Tabelle3!$A99)</f>
        <v>0</v>
      </c>
      <c r="CJ99">
        <f ca="1">COUNTIFS(INDIRECT("Table1[Beginn]"),"&lt;="&amp;CJ$1,INDIRECT("Table1[Ende]"),"&gt;="&amp;CJ$1,INDIRECT("Table1[Obergruppe ATC-Code]"),Tabelle3!$A99)</f>
        <v>0</v>
      </c>
      <c r="CK99">
        <f ca="1">COUNTIFS(INDIRECT("Table1[Beginn]"),"&lt;="&amp;CK$1,INDIRECT("Table1[Ende]"),"&gt;="&amp;CK$1,INDIRECT("Table1[Obergruppe ATC-Code]"),Tabelle3!$A99)</f>
        <v>0</v>
      </c>
      <c r="CL99">
        <f ca="1">COUNTIFS(INDIRECT("Table1[Beginn]"),"&lt;="&amp;CL$1,INDIRECT("Table1[Ende]"),"&gt;="&amp;CL$1,INDIRECT("Table1[Obergruppe ATC-Code]"),Tabelle3!$A99)</f>
        <v>0</v>
      </c>
      <c r="CM99">
        <f ca="1">COUNTIFS(INDIRECT("Table1[Beginn]"),"&lt;="&amp;CM$1,INDIRECT("Table1[Ende]"),"&gt;="&amp;CM$1,INDIRECT("Table1[Obergruppe ATC-Code]"),Tabelle3!$A99)</f>
        <v>0</v>
      </c>
      <c r="CN99">
        <f ca="1">COUNTIFS(INDIRECT("Table1[Beginn]"),"&lt;="&amp;CN$1,INDIRECT("Table1[Ende]"),"&gt;="&amp;CN$1,INDIRECT("Table1[Obergruppe ATC-Code]"),Tabelle3!$A99)</f>
        <v>0</v>
      </c>
      <c r="CO99">
        <f ca="1">COUNTIFS(INDIRECT("Table1[Beginn]"),"&lt;="&amp;CO$1,INDIRECT("Table1[Ende]"),"&gt;="&amp;CO$1,INDIRECT("Table1[Obergruppe ATC-Code]"),Tabelle3!$A99)</f>
        <v>0</v>
      </c>
      <c r="CP99">
        <f ca="1">COUNTIFS(INDIRECT("Table1[Beginn]"),"&lt;="&amp;CP$1,INDIRECT("Table1[Ende]"),"&gt;="&amp;CP$1,INDIRECT("Table1[Obergruppe ATC-Code]"),Tabelle3!$A99)</f>
        <v>0</v>
      </c>
      <c r="CQ99">
        <f ca="1">COUNTIFS(INDIRECT("Table1[Beginn]"),"&lt;="&amp;CQ$1,INDIRECT("Table1[Ende]"),"&gt;="&amp;CQ$1,INDIRECT("Table1[Obergruppe ATC-Code]"),Tabelle3!$A99)</f>
        <v>0</v>
      </c>
      <c r="CR99">
        <f ca="1">COUNTIFS(INDIRECT("Table1[Beginn]"),"&lt;="&amp;CR$1,INDIRECT("Table1[Ende]"),"&gt;="&amp;CR$1,INDIRECT("Table1[Obergruppe ATC-Code]"),Tabelle3!$A99)</f>
        <v>0</v>
      </c>
    </row>
    <row r="100" spans="1:96" ht="18">
      <c r="A100" s="11" t="s">
        <v>6968</v>
      </c>
      <c r="B100" s="12" t="s">
        <v>6969</v>
      </c>
      <c r="C100">
        <f ca="1">COUNTIFS(INDIRECT("Table1[Beginn]"),"&lt;="&amp;C$1,INDIRECT("Table1[Ende]"),"&gt;="&amp;C$1,INDIRECT("Table1[Obergruppe ATC-Code]"),Tabelle3!$A100)</f>
        <v>0</v>
      </c>
      <c r="D100">
        <f ca="1">COUNTIFS(INDIRECT("Table1[Beginn]"),"&lt;="&amp;D$1,INDIRECT("Table1[Ende]"),"&gt;="&amp;D$1,INDIRECT("Table1[Obergruppe ATC-Code]"),Tabelle3!$A100)</f>
        <v>0</v>
      </c>
      <c r="E100">
        <f ca="1">COUNTIFS(INDIRECT("Table1[Beginn]"),"&lt;="&amp;E$1,INDIRECT("Table1[Ende]"),"&gt;="&amp;E$1,INDIRECT("Table1[Obergruppe ATC-Code]"),Tabelle3!$A100)</f>
        <v>0</v>
      </c>
      <c r="F100">
        <f ca="1">COUNTIFS(INDIRECT("Table1[Beginn]"),"&lt;="&amp;F$1,INDIRECT("Table1[Ende]"),"&gt;="&amp;F$1,INDIRECT("Table1[Obergruppe ATC-Code]"),Tabelle3!$A100)</f>
        <v>0</v>
      </c>
      <c r="G100">
        <f ca="1">COUNTIFS(INDIRECT("Table1[Beginn]"),"&lt;="&amp;G$1,INDIRECT("Table1[Ende]"),"&gt;="&amp;G$1,INDIRECT("Table1[Obergruppe ATC-Code]"),Tabelle3!$A100)</f>
        <v>0</v>
      </c>
      <c r="H100">
        <f ca="1">COUNTIFS(INDIRECT("Table1[Beginn]"),"&lt;="&amp;H$1,INDIRECT("Table1[Ende]"),"&gt;="&amp;H$1,INDIRECT("Table1[Obergruppe ATC-Code]"),Tabelle3!$A100)</f>
        <v>0</v>
      </c>
      <c r="I100">
        <f ca="1">COUNTIFS(INDIRECT("Table1[Beginn]"),"&lt;="&amp;I$1,INDIRECT("Table1[Ende]"),"&gt;="&amp;I$1,INDIRECT("Table1[Obergruppe ATC-Code]"),Tabelle3!$A100)</f>
        <v>0</v>
      </c>
      <c r="J100">
        <f ca="1">COUNTIFS(INDIRECT("Table1[Beginn]"),"&lt;="&amp;J$1,INDIRECT("Table1[Ende]"),"&gt;="&amp;J$1,INDIRECT("Table1[Obergruppe ATC-Code]"),Tabelle3!$A100)</f>
        <v>0</v>
      </c>
      <c r="K100">
        <f ca="1">COUNTIFS(INDIRECT("Table1[Beginn]"),"&lt;="&amp;K$1,INDIRECT("Table1[Ende]"),"&gt;="&amp;K$1,INDIRECT("Table1[Obergruppe ATC-Code]"),Tabelle3!$A100)</f>
        <v>0</v>
      </c>
      <c r="L100">
        <f ca="1">COUNTIFS(INDIRECT("Table1[Beginn]"),"&lt;="&amp;L$1,INDIRECT("Table1[Ende]"),"&gt;="&amp;L$1,INDIRECT("Table1[Obergruppe ATC-Code]"),Tabelle3!$A100)</f>
        <v>0</v>
      </c>
      <c r="M100">
        <f ca="1">COUNTIFS(INDIRECT("Table1[Beginn]"),"&lt;="&amp;M$1,INDIRECT("Table1[Ende]"),"&gt;="&amp;M$1,INDIRECT("Table1[Obergruppe ATC-Code]"),Tabelle3!$A100)</f>
        <v>0</v>
      </c>
      <c r="N100">
        <f ca="1">COUNTIFS(INDIRECT("Table1[Beginn]"),"&lt;="&amp;N$1,INDIRECT("Table1[Ende]"),"&gt;="&amp;N$1,INDIRECT("Table1[Obergruppe ATC-Code]"),Tabelle3!$A100)</f>
        <v>0</v>
      </c>
      <c r="O100">
        <f ca="1">COUNTIFS(INDIRECT("Table1[Beginn]"),"&lt;="&amp;O$1,INDIRECT("Table1[Ende]"),"&gt;="&amp;O$1,INDIRECT("Table1[Obergruppe ATC-Code]"),Tabelle3!$A100)</f>
        <v>0</v>
      </c>
      <c r="P100">
        <f ca="1">COUNTIFS(INDIRECT("Table1[Beginn]"),"&lt;="&amp;P$1,INDIRECT("Table1[Ende]"),"&gt;="&amp;P$1,INDIRECT("Table1[Obergruppe ATC-Code]"),Tabelle3!$A100)</f>
        <v>0</v>
      </c>
      <c r="Q100">
        <f ca="1">COUNTIFS(INDIRECT("Table1[Beginn]"),"&lt;="&amp;Q$1,INDIRECT("Table1[Ende]"),"&gt;="&amp;Q$1,INDIRECT("Table1[Obergruppe ATC-Code]"),Tabelle3!$A100)</f>
        <v>0</v>
      </c>
      <c r="R100">
        <f ca="1">COUNTIFS(INDIRECT("Table1[Beginn]"),"&lt;="&amp;R$1,INDIRECT("Table1[Ende]"),"&gt;="&amp;R$1,INDIRECT("Table1[Obergruppe ATC-Code]"),Tabelle3!$A100)</f>
        <v>0</v>
      </c>
      <c r="S100">
        <f ca="1">COUNTIFS(INDIRECT("Table1[Beginn]"),"&lt;="&amp;S$1,INDIRECT("Table1[Ende]"),"&gt;="&amp;S$1,INDIRECT("Table1[Obergruppe ATC-Code]"),Tabelle3!$A100)</f>
        <v>0</v>
      </c>
      <c r="T100">
        <f ca="1">COUNTIFS(INDIRECT("Table1[Beginn]"),"&lt;="&amp;T$1,INDIRECT("Table1[Ende]"),"&gt;="&amp;T$1,INDIRECT("Table1[Obergruppe ATC-Code]"),Tabelle3!$A100)</f>
        <v>0</v>
      </c>
      <c r="U100">
        <f ca="1">COUNTIFS(INDIRECT("Table1[Beginn]"),"&lt;="&amp;U$1,INDIRECT("Table1[Ende]"),"&gt;="&amp;U$1,INDIRECT("Table1[Obergruppe ATC-Code]"),Tabelle3!$A100)</f>
        <v>0</v>
      </c>
      <c r="V100">
        <f ca="1">COUNTIFS(INDIRECT("Table1[Beginn]"),"&lt;="&amp;V$1,INDIRECT("Table1[Ende]"),"&gt;="&amp;V$1,INDIRECT("Table1[Obergruppe ATC-Code]"),Tabelle3!$A100)</f>
        <v>0</v>
      </c>
      <c r="W100">
        <f ca="1">COUNTIFS(INDIRECT("Table1[Beginn]"),"&lt;="&amp;W$1,INDIRECT("Table1[Ende]"),"&gt;="&amp;W$1,INDIRECT("Table1[Obergruppe ATC-Code]"),Tabelle3!$A100)</f>
        <v>0</v>
      </c>
      <c r="X100">
        <f ca="1">COUNTIFS(INDIRECT("Table1[Beginn]"),"&lt;="&amp;X$1,INDIRECT("Table1[Ende]"),"&gt;="&amp;X$1,INDIRECT("Table1[Obergruppe ATC-Code]"),Tabelle3!$A100)</f>
        <v>0</v>
      </c>
      <c r="Y100">
        <f ca="1">COUNTIFS(INDIRECT("Table1[Beginn]"),"&lt;="&amp;Y$1,INDIRECT("Table1[Ende]"),"&gt;="&amp;Y$1,INDIRECT("Table1[Obergruppe ATC-Code]"),Tabelle3!$A100)</f>
        <v>0</v>
      </c>
      <c r="Z100">
        <f ca="1">COUNTIFS(INDIRECT("Table1[Beginn]"),"&lt;="&amp;Z$1,INDIRECT("Table1[Ende]"),"&gt;="&amp;Z$1,INDIRECT("Table1[Obergruppe ATC-Code]"),Tabelle3!$A100)</f>
        <v>0</v>
      </c>
      <c r="AA100">
        <f ca="1">COUNTIFS(INDIRECT("Table1[Beginn]"),"&lt;="&amp;AA$1,INDIRECT("Table1[Ende]"),"&gt;="&amp;AA$1,INDIRECT("Table1[Obergruppe ATC-Code]"),Tabelle3!$A100)</f>
        <v>0</v>
      </c>
      <c r="AB100">
        <f ca="1">COUNTIFS(INDIRECT("Table1[Beginn]"),"&lt;="&amp;AB$1,INDIRECT("Table1[Ende]"),"&gt;="&amp;AB$1,INDIRECT("Table1[Obergruppe ATC-Code]"),Tabelle3!$A100)</f>
        <v>0</v>
      </c>
      <c r="AC100">
        <f ca="1">COUNTIFS(INDIRECT("Table1[Beginn]"),"&lt;="&amp;AC$1,INDIRECT("Table1[Ende]"),"&gt;="&amp;AC$1,INDIRECT("Table1[Obergruppe ATC-Code]"),Tabelle3!$A100)</f>
        <v>0</v>
      </c>
      <c r="AD100">
        <f ca="1">COUNTIFS(INDIRECT("Table1[Beginn]"),"&lt;="&amp;AD$1,INDIRECT("Table1[Ende]"),"&gt;="&amp;AD$1,INDIRECT("Table1[Obergruppe ATC-Code]"),Tabelle3!$A100)</f>
        <v>0</v>
      </c>
      <c r="AE100">
        <f ca="1">COUNTIFS(INDIRECT("Table1[Beginn]"),"&lt;="&amp;AE$1,INDIRECT("Table1[Ende]"),"&gt;="&amp;AE$1,INDIRECT("Table1[Obergruppe ATC-Code]"),Tabelle3!$A100)</f>
        <v>0</v>
      </c>
      <c r="AF100">
        <f ca="1">COUNTIFS(INDIRECT("Table1[Beginn]"),"&lt;="&amp;AF$1,INDIRECT("Table1[Ende]"),"&gt;="&amp;AF$1,INDIRECT("Table1[Obergruppe ATC-Code]"),Tabelle3!$A100)</f>
        <v>0</v>
      </c>
      <c r="AG100">
        <f ca="1">COUNTIFS(INDIRECT("Table1[Beginn]"),"&lt;="&amp;AG$1,INDIRECT("Table1[Ende]"),"&gt;="&amp;AG$1,INDIRECT("Table1[Obergruppe ATC-Code]"),Tabelle3!$A100)</f>
        <v>0</v>
      </c>
      <c r="AH100">
        <f ca="1">COUNTIFS(INDIRECT("Table1[Beginn]"),"&lt;="&amp;AH$1,INDIRECT("Table1[Ende]"),"&gt;="&amp;AH$1,INDIRECT("Table1[Obergruppe ATC-Code]"),Tabelle3!$A100)</f>
        <v>0</v>
      </c>
      <c r="AI100">
        <f ca="1">COUNTIFS(INDIRECT("Table1[Beginn]"),"&lt;="&amp;AI$1,INDIRECT("Table1[Ende]"),"&gt;="&amp;AI$1,INDIRECT("Table1[Obergruppe ATC-Code]"),Tabelle3!$A100)</f>
        <v>0</v>
      </c>
      <c r="AJ100">
        <f ca="1">COUNTIFS(INDIRECT("Table1[Beginn]"),"&lt;="&amp;AJ$1,INDIRECT("Table1[Ende]"),"&gt;="&amp;AJ$1,INDIRECT("Table1[Obergruppe ATC-Code]"),Tabelle3!$A100)</f>
        <v>0</v>
      </c>
      <c r="AK100">
        <f ca="1">COUNTIFS(INDIRECT("Table1[Beginn]"),"&lt;="&amp;AK$1,INDIRECT("Table1[Ende]"),"&gt;="&amp;AK$1,INDIRECT("Table1[Obergruppe ATC-Code]"),Tabelle3!$A100)</f>
        <v>0</v>
      </c>
      <c r="AL100">
        <f ca="1">COUNTIFS(INDIRECT("Table1[Beginn]"),"&lt;="&amp;AL$1,INDIRECT("Table1[Ende]"),"&gt;="&amp;AL$1,INDIRECT("Table1[Obergruppe ATC-Code]"),Tabelle3!$A100)</f>
        <v>0</v>
      </c>
      <c r="AM100">
        <f ca="1">COUNTIFS(INDIRECT("Table1[Beginn]"),"&lt;="&amp;AM$1,INDIRECT("Table1[Ende]"),"&gt;="&amp;AM$1,INDIRECT("Table1[Obergruppe ATC-Code]"),Tabelle3!$A100)</f>
        <v>0</v>
      </c>
      <c r="AN100">
        <f ca="1">COUNTIFS(INDIRECT("Table1[Beginn]"),"&lt;="&amp;AN$1,INDIRECT("Table1[Ende]"),"&gt;="&amp;AN$1,INDIRECT("Table1[Obergruppe ATC-Code]"),Tabelle3!$A100)</f>
        <v>0</v>
      </c>
      <c r="AO100">
        <f ca="1">COUNTIFS(INDIRECT("Table1[Beginn]"),"&lt;="&amp;AO$1,INDIRECT("Table1[Ende]"),"&gt;="&amp;AO$1,INDIRECT("Table1[Obergruppe ATC-Code]"),Tabelle3!$A100)</f>
        <v>0</v>
      </c>
      <c r="AP100">
        <f ca="1">COUNTIFS(INDIRECT("Table1[Beginn]"),"&lt;="&amp;AP$1,INDIRECT("Table1[Ende]"),"&gt;="&amp;AP$1,INDIRECT("Table1[Obergruppe ATC-Code]"),Tabelle3!$A100)</f>
        <v>0</v>
      </c>
      <c r="AQ100">
        <f ca="1">COUNTIFS(INDIRECT("Table1[Beginn]"),"&lt;="&amp;AQ$1,INDIRECT("Table1[Ende]"),"&gt;="&amp;AQ$1,INDIRECT("Table1[Obergruppe ATC-Code]"),Tabelle3!$A100)</f>
        <v>0</v>
      </c>
      <c r="AR100">
        <f ca="1">COUNTIFS(INDIRECT("Table1[Beginn]"),"&lt;="&amp;AR$1,INDIRECT("Table1[Ende]"),"&gt;="&amp;AR$1,INDIRECT("Table1[Obergruppe ATC-Code]"),Tabelle3!$A100)</f>
        <v>0</v>
      </c>
      <c r="AS100">
        <f ca="1">COUNTIFS(INDIRECT("Table1[Beginn]"),"&lt;="&amp;AS$1,INDIRECT("Table1[Ende]"),"&gt;="&amp;AS$1,INDIRECT("Table1[Obergruppe ATC-Code]"),Tabelle3!$A100)</f>
        <v>0</v>
      </c>
      <c r="AT100">
        <f ca="1">COUNTIFS(INDIRECT("Table1[Beginn]"),"&lt;="&amp;AT$1,INDIRECT("Table1[Ende]"),"&gt;="&amp;AT$1,INDIRECT("Table1[Obergruppe ATC-Code]"),Tabelle3!$A100)</f>
        <v>0</v>
      </c>
      <c r="AU100">
        <f ca="1">COUNTIFS(INDIRECT("Table1[Beginn]"),"&lt;="&amp;AU$1,INDIRECT("Table1[Ende]"),"&gt;="&amp;AU$1,INDIRECT("Table1[Obergruppe ATC-Code]"),Tabelle3!$A100)</f>
        <v>0</v>
      </c>
      <c r="AV100">
        <f ca="1">COUNTIFS(INDIRECT("Table1[Beginn]"),"&lt;="&amp;AV$1,INDIRECT("Table1[Ende]"),"&gt;="&amp;AV$1,INDIRECT("Table1[Obergruppe ATC-Code]"),Tabelle3!$A100)</f>
        <v>0</v>
      </c>
      <c r="AW100">
        <f ca="1">COUNTIFS(INDIRECT("Table1[Beginn]"),"&lt;="&amp;AW$1,INDIRECT("Table1[Ende]"),"&gt;="&amp;AW$1,INDIRECT("Table1[Obergruppe ATC-Code]"),Tabelle3!$A100)</f>
        <v>0</v>
      </c>
      <c r="AX100">
        <f ca="1">COUNTIFS(INDIRECT("Table1[Beginn]"),"&lt;="&amp;AX$1,INDIRECT("Table1[Ende]"),"&gt;="&amp;AX$1,INDIRECT("Table1[Obergruppe ATC-Code]"),Tabelle3!$A100)</f>
        <v>0</v>
      </c>
      <c r="AY100">
        <f ca="1">COUNTIFS(INDIRECT("Table1[Beginn]"),"&lt;="&amp;AY$1,INDIRECT("Table1[Ende]"),"&gt;="&amp;AY$1,INDIRECT("Table1[Obergruppe ATC-Code]"),Tabelle3!$A100)</f>
        <v>0</v>
      </c>
      <c r="AZ100">
        <f ca="1">COUNTIFS(INDIRECT("Table1[Beginn]"),"&lt;="&amp;AZ$1,INDIRECT("Table1[Ende]"),"&gt;="&amp;AZ$1,INDIRECT("Table1[Obergruppe ATC-Code]"),Tabelle3!$A100)</f>
        <v>0</v>
      </c>
      <c r="BA100">
        <f ca="1">COUNTIFS(INDIRECT("Table1[Beginn]"),"&lt;="&amp;BA$1,INDIRECT("Table1[Ende]"),"&gt;="&amp;BA$1,INDIRECT("Table1[Obergruppe ATC-Code]"),Tabelle3!$A100)</f>
        <v>0</v>
      </c>
      <c r="BB100">
        <f ca="1">COUNTIFS(INDIRECT("Table1[Beginn]"),"&lt;="&amp;BB$1,INDIRECT("Table1[Ende]"),"&gt;="&amp;BB$1,INDIRECT("Table1[Obergruppe ATC-Code]"),Tabelle3!$A100)</f>
        <v>0</v>
      </c>
      <c r="BC100">
        <f ca="1">COUNTIFS(INDIRECT("Table1[Beginn]"),"&lt;="&amp;BC$1,INDIRECT("Table1[Ende]"),"&gt;="&amp;BC$1,INDIRECT("Table1[Obergruppe ATC-Code]"),Tabelle3!$A100)</f>
        <v>0</v>
      </c>
      <c r="BD100">
        <f ca="1">COUNTIFS(INDIRECT("Table1[Beginn]"),"&lt;="&amp;BD$1,INDIRECT("Table1[Ende]"),"&gt;="&amp;BD$1,INDIRECT("Table1[Obergruppe ATC-Code]"),Tabelle3!$A100)</f>
        <v>0</v>
      </c>
      <c r="BE100">
        <f ca="1">COUNTIFS(INDIRECT("Table1[Beginn]"),"&lt;="&amp;BE$1,INDIRECT("Table1[Ende]"),"&gt;="&amp;BE$1,INDIRECT("Table1[Obergruppe ATC-Code]"),Tabelle3!$A100)</f>
        <v>0</v>
      </c>
      <c r="BF100">
        <f ca="1">COUNTIFS(INDIRECT("Table1[Beginn]"),"&lt;="&amp;BF$1,INDIRECT("Table1[Ende]"),"&gt;="&amp;BF$1,INDIRECT("Table1[Obergruppe ATC-Code]"),Tabelle3!$A100)</f>
        <v>0</v>
      </c>
      <c r="BG100">
        <f ca="1">COUNTIFS(INDIRECT("Table1[Beginn]"),"&lt;="&amp;BG$1,INDIRECT("Table1[Ende]"),"&gt;="&amp;BG$1,INDIRECT("Table1[Obergruppe ATC-Code]"),Tabelle3!$A100)</f>
        <v>0</v>
      </c>
      <c r="BH100">
        <f ca="1">COUNTIFS(INDIRECT("Table1[Beginn]"),"&lt;="&amp;BH$1,INDIRECT("Table1[Ende]"),"&gt;="&amp;BH$1,INDIRECT("Table1[Obergruppe ATC-Code]"),Tabelle3!$A100)</f>
        <v>0</v>
      </c>
      <c r="BI100">
        <f ca="1">COUNTIFS(INDIRECT("Table1[Beginn]"),"&lt;="&amp;BI$1,INDIRECT("Table1[Ende]"),"&gt;="&amp;BI$1,INDIRECT("Table1[Obergruppe ATC-Code]"),Tabelle3!$A100)</f>
        <v>0</v>
      </c>
      <c r="BJ100">
        <f ca="1">COUNTIFS(INDIRECT("Table1[Beginn]"),"&lt;="&amp;BJ$1,INDIRECT("Table1[Ende]"),"&gt;="&amp;BJ$1,INDIRECT("Table1[Obergruppe ATC-Code]"),Tabelle3!$A100)</f>
        <v>0</v>
      </c>
      <c r="BK100">
        <f ca="1">COUNTIFS(INDIRECT("Table1[Beginn]"),"&lt;="&amp;BK$1,INDIRECT("Table1[Ende]"),"&gt;="&amp;BK$1,INDIRECT("Table1[Obergruppe ATC-Code]"),Tabelle3!$A100)</f>
        <v>0</v>
      </c>
      <c r="BL100">
        <f ca="1">COUNTIFS(INDIRECT("Table1[Beginn]"),"&lt;="&amp;BL$1,INDIRECT("Table1[Ende]"),"&gt;="&amp;BL$1,INDIRECT("Table1[Obergruppe ATC-Code]"),Tabelle3!$A100)</f>
        <v>0</v>
      </c>
      <c r="BM100">
        <f ca="1">COUNTIFS(INDIRECT("Table1[Beginn]"),"&lt;="&amp;BM$1,INDIRECT("Table1[Ende]"),"&gt;="&amp;BM$1,INDIRECT("Table1[Obergruppe ATC-Code]"),Tabelle3!$A100)</f>
        <v>0</v>
      </c>
      <c r="BN100">
        <f ca="1">COUNTIFS(INDIRECT("Table1[Beginn]"),"&lt;="&amp;BN$1,INDIRECT("Table1[Ende]"),"&gt;="&amp;BN$1,INDIRECT("Table1[Obergruppe ATC-Code]"),Tabelle3!$A100)</f>
        <v>0</v>
      </c>
      <c r="BO100">
        <f ca="1">COUNTIFS(INDIRECT("Table1[Beginn]"),"&lt;="&amp;BO$1,INDIRECT("Table1[Ende]"),"&gt;="&amp;BO$1,INDIRECT("Table1[Obergruppe ATC-Code]"),Tabelle3!$A100)</f>
        <v>0</v>
      </c>
      <c r="BP100">
        <f ca="1">COUNTIFS(INDIRECT("Table1[Beginn]"),"&lt;="&amp;BP$1,INDIRECT("Table1[Ende]"),"&gt;="&amp;BP$1,INDIRECT("Table1[Obergruppe ATC-Code]"),Tabelle3!$A100)</f>
        <v>0</v>
      </c>
      <c r="BQ100">
        <f ca="1">COUNTIFS(INDIRECT("Table1[Beginn]"),"&lt;="&amp;BQ$1,INDIRECT("Table1[Ende]"),"&gt;="&amp;BQ$1,INDIRECT("Table1[Obergruppe ATC-Code]"),Tabelle3!$A100)</f>
        <v>0</v>
      </c>
      <c r="BR100">
        <f ca="1">COUNTIFS(INDIRECT("Table1[Beginn]"),"&lt;="&amp;BR$1,INDIRECT("Table1[Ende]"),"&gt;="&amp;BR$1,INDIRECT("Table1[Obergruppe ATC-Code]"),Tabelle3!$A100)</f>
        <v>0</v>
      </c>
      <c r="BS100">
        <f ca="1">COUNTIFS(INDIRECT("Table1[Beginn]"),"&lt;="&amp;BS$1,INDIRECT("Table1[Ende]"),"&gt;="&amp;BS$1,INDIRECT("Table1[Obergruppe ATC-Code]"),Tabelle3!$A100)</f>
        <v>0</v>
      </c>
      <c r="BT100">
        <f ca="1">COUNTIFS(INDIRECT("Table1[Beginn]"),"&lt;="&amp;BT$1,INDIRECT("Table1[Ende]"),"&gt;="&amp;BT$1,INDIRECT("Table1[Obergruppe ATC-Code]"),Tabelle3!$A100)</f>
        <v>0</v>
      </c>
      <c r="BU100">
        <f ca="1">COUNTIFS(INDIRECT("Table1[Beginn]"),"&lt;="&amp;BU$1,INDIRECT("Table1[Ende]"),"&gt;="&amp;BU$1,INDIRECT("Table1[Obergruppe ATC-Code]"),Tabelle3!$A100)</f>
        <v>0</v>
      </c>
      <c r="BV100">
        <f ca="1">COUNTIFS(INDIRECT("Table1[Beginn]"),"&lt;="&amp;BV$1,INDIRECT("Table1[Ende]"),"&gt;="&amp;BV$1,INDIRECT("Table1[Obergruppe ATC-Code]"),Tabelle3!$A100)</f>
        <v>0</v>
      </c>
      <c r="BW100">
        <f ca="1">COUNTIFS(INDIRECT("Table1[Beginn]"),"&lt;="&amp;BW$1,INDIRECT("Table1[Ende]"),"&gt;="&amp;BW$1,INDIRECT("Table1[Obergruppe ATC-Code]"),Tabelle3!$A100)</f>
        <v>0</v>
      </c>
      <c r="BX100">
        <f ca="1">COUNTIFS(INDIRECT("Table1[Beginn]"),"&lt;="&amp;BX$1,INDIRECT("Table1[Ende]"),"&gt;="&amp;BX$1,INDIRECT("Table1[Obergruppe ATC-Code]"),Tabelle3!$A100)</f>
        <v>0</v>
      </c>
      <c r="BY100">
        <f ca="1">COUNTIFS(INDIRECT("Table1[Beginn]"),"&lt;="&amp;BY$1,INDIRECT("Table1[Ende]"),"&gt;="&amp;BY$1,INDIRECT("Table1[Obergruppe ATC-Code]"),Tabelle3!$A100)</f>
        <v>0</v>
      </c>
      <c r="BZ100">
        <f ca="1">COUNTIFS(INDIRECT("Table1[Beginn]"),"&lt;="&amp;BZ$1,INDIRECT("Table1[Ende]"),"&gt;="&amp;BZ$1,INDIRECT("Table1[Obergruppe ATC-Code]"),Tabelle3!$A100)</f>
        <v>0</v>
      </c>
      <c r="CA100">
        <f ca="1">COUNTIFS(INDIRECT("Table1[Beginn]"),"&lt;="&amp;CA$1,INDIRECT("Table1[Ende]"),"&gt;="&amp;CA$1,INDIRECT("Table1[Obergruppe ATC-Code]"),Tabelle3!$A100)</f>
        <v>0</v>
      </c>
      <c r="CB100">
        <f ca="1">COUNTIFS(INDIRECT("Table1[Beginn]"),"&lt;="&amp;CB$1,INDIRECT("Table1[Ende]"),"&gt;="&amp;CB$1,INDIRECT("Table1[Obergruppe ATC-Code]"),Tabelle3!$A100)</f>
        <v>0</v>
      </c>
      <c r="CC100">
        <f ca="1">COUNTIFS(INDIRECT("Table1[Beginn]"),"&lt;="&amp;CC$1,INDIRECT("Table1[Ende]"),"&gt;="&amp;CC$1,INDIRECT("Table1[Obergruppe ATC-Code]"),Tabelle3!$A100)</f>
        <v>0</v>
      </c>
      <c r="CD100">
        <f ca="1">COUNTIFS(INDIRECT("Table1[Beginn]"),"&lt;="&amp;CD$1,INDIRECT("Table1[Ende]"),"&gt;="&amp;CD$1,INDIRECT("Table1[Obergruppe ATC-Code]"),Tabelle3!$A100)</f>
        <v>0</v>
      </c>
      <c r="CE100">
        <f ca="1">COUNTIFS(INDIRECT("Table1[Beginn]"),"&lt;="&amp;CE$1,INDIRECT("Table1[Ende]"),"&gt;="&amp;CE$1,INDIRECT("Table1[Obergruppe ATC-Code]"),Tabelle3!$A100)</f>
        <v>0</v>
      </c>
      <c r="CF100">
        <f ca="1">COUNTIFS(INDIRECT("Table1[Beginn]"),"&lt;="&amp;CF$1,INDIRECT("Table1[Ende]"),"&gt;="&amp;CF$1,INDIRECT("Table1[Obergruppe ATC-Code]"),Tabelle3!$A100)</f>
        <v>0</v>
      </c>
      <c r="CG100">
        <f ca="1">COUNTIFS(INDIRECT("Table1[Beginn]"),"&lt;="&amp;CG$1,INDIRECT("Table1[Ende]"),"&gt;="&amp;CG$1,INDIRECT("Table1[Obergruppe ATC-Code]"),Tabelle3!$A100)</f>
        <v>0</v>
      </c>
      <c r="CH100">
        <f ca="1">COUNTIFS(INDIRECT("Table1[Beginn]"),"&lt;="&amp;CH$1,INDIRECT("Table1[Ende]"),"&gt;="&amp;CH$1,INDIRECT("Table1[Obergruppe ATC-Code]"),Tabelle3!$A100)</f>
        <v>0</v>
      </c>
      <c r="CI100">
        <f ca="1">COUNTIFS(INDIRECT("Table1[Beginn]"),"&lt;="&amp;CI$1,INDIRECT("Table1[Ende]"),"&gt;="&amp;CI$1,INDIRECT("Table1[Obergruppe ATC-Code]"),Tabelle3!$A100)</f>
        <v>0</v>
      </c>
      <c r="CJ100">
        <f ca="1">COUNTIFS(INDIRECT("Table1[Beginn]"),"&lt;="&amp;CJ$1,INDIRECT("Table1[Ende]"),"&gt;="&amp;CJ$1,INDIRECT("Table1[Obergruppe ATC-Code]"),Tabelle3!$A100)</f>
        <v>0</v>
      </c>
      <c r="CK100">
        <f ca="1">COUNTIFS(INDIRECT("Table1[Beginn]"),"&lt;="&amp;CK$1,INDIRECT("Table1[Ende]"),"&gt;="&amp;CK$1,INDIRECT("Table1[Obergruppe ATC-Code]"),Tabelle3!$A100)</f>
        <v>0</v>
      </c>
      <c r="CL100">
        <f ca="1">COUNTIFS(INDIRECT("Table1[Beginn]"),"&lt;="&amp;CL$1,INDIRECT("Table1[Ende]"),"&gt;="&amp;CL$1,INDIRECT("Table1[Obergruppe ATC-Code]"),Tabelle3!$A100)</f>
        <v>0</v>
      </c>
      <c r="CM100">
        <f ca="1">COUNTIFS(INDIRECT("Table1[Beginn]"),"&lt;="&amp;CM$1,INDIRECT("Table1[Ende]"),"&gt;="&amp;CM$1,INDIRECT("Table1[Obergruppe ATC-Code]"),Tabelle3!$A100)</f>
        <v>0</v>
      </c>
      <c r="CN100">
        <f ca="1">COUNTIFS(INDIRECT("Table1[Beginn]"),"&lt;="&amp;CN$1,INDIRECT("Table1[Ende]"),"&gt;="&amp;CN$1,INDIRECT("Table1[Obergruppe ATC-Code]"),Tabelle3!$A100)</f>
        <v>0</v>
      </c>
      <c r="CO100">
        <f ca="1">COUNTIFS(INDIRECT("Table1[Beginn]"),"&lt;="&amp;CO$1,INDIRECT("Table1[Ende]"),"&gt;="&amp;CO$1,INDIRECT("Table1[Obergruppe ATC-Code]"),Tabelle3!$A100)</f>
        <v>0</v>
      </c>
      <c r="CP100">
        <f ca="1">COUNTIFS(INDIRECT("Table1[Beginn]"),"&lt;="&amp;CP$1,INDIRECT("Table1[Ende]"),"&gt;="&amp;CP$1,INDIRECT("Table1[Obergruppe ATC-Code]"),Tabelle3!$A100)</f>
        <v>0</v>
      </c>
      <c r="CQ100">
        <f ca="1">COUNTIFS(INDIRECT("Table1[Beginn]"),"&lt;="&amp;CQ$1,INDIRECT("Table1[Ende]"),"&gt;="&amp;CQ$1,INDIRECT("Table1[Obergruppe ATC-Code]"),Tabelle3!$A100)</f>
        <v>0</v>
      </c>
      <c r="CR100">
        <f ca="1">COUNTIFS(INDIRECT("Table1[Beginn]"),"&lt;="&amp;CR$1,INDIRECT("Table1[Ende]"),"&gt;="&amp;CR$1,INDIRECT("Table1[Obergruppe ATC-Code]"),Tabelle3!$A100)</f>
        <v>0</v>
      </c>
    </row>
    <row r="101" spans="1:96" ht="18">
      <c r="A101" s="19" t="s">
        <v>6970</v>
      </c>
      <c r="B101" s="20" t="s">
        <v>6971</v>
      </c>
      <c r="C101" s="21">
        <f ca="1">SUM(Tabelle2[2017-01-01])</f>
        <v>20</v>
      </c>
      <c r="D101" s="21">
        <f ca="1">SUM(Tabelle2[2017-02-01])</f>
        <v>23</v>
      </c>
      <c r="E101" s="21">
        <f ca="1">SUM(Tabelle2[2017-03-01])</f>
        <v>26</v>
      </c>
      <c r="F101" s="21">
        <f ca="1">SUM(Tabelle2[2017-04-01])</f>
        <v>34</v>
      </c>
      <c r="G101" s="21">
        <f ca="1">SUM(Tabelle2[2017-05-01])</f>
        <v>38</v>
      </c>
      <c r="H101" s="21">
        <f ca="1">SUM(Tabelle2[2017-06-01])</f>
        <v>38</v>
      </c>
      <c r="I101" s="21">
        <f ca="1">SUM(Tabelle2[2017-07-01])</f>
        <v>46</v>
      </c>
      <c r="J101" s="21">
        <f ca="1">SUM(Tabelle2[2017-08-01])</f>
        <v>51</v>
      </c>
      <c r="K101" s="21">
        <f ca="1">SUM(Tabelle2[2017-09-01])</f>
        <v>49</v>
      </c>
      <c r="L101" s="21">
        <f ca="1">SUM(Tabelle2[2017-10-01])</f>
        <v>45</v>
      </c>
      <c r="M101" s="21">
        <f ca="1">SUM(Tabelle2[2017-11-01])</f>
        <v>46</v>
      </c>
      <c r="N101" s="21">
        <f ca="1">SUM(Tabelle2[2017-12-01])</f>
        <v>52</v>
      </c>
      <c r="O101" s="21">
        <f ca="1">SUM(Tabelle2[2018-01-01])</f>
        <v>61</v>
      </c>
      <c r="P101" s="21">
        <f ca="1">SUM(Tabelle2[2018-02-01])</f>
        <v>64</v>
      </c>
      <c r="Q101" s="21">
        <f ca="1">SUM(Tabelle2[2018-03-01])</f>
        <v>64</v>
      </c>
      <c r="R101" s="21">
        <f ca="1">SUM(Tabelle2[2018-04-01])</f>
        <v>64</v>
      </c>
      <c r="S101" s="21">
        <f ca="1">SUM(Tabelle2[2018-05-01])</f>
        <v>62</v>
      </c>
      <c r="T101" s="21">
        <f ca="1">SUM(Tabelle2[2018-06-01])</f>
        <v>66</v>
      </c>
      <c r="U101" s="21">
        <f ca="1">SUM(Tabelle2[2018-07-01])</f>
        <v>167</v>
      </c>
      <c r="V101" s="21">
        <f ca="1">SUM(Tabelle2[2018-08-01])</f>
        <v>161</v>
      </c>
      <c r="W101" s="21">
        <f ca="1">SUM(Tabelle2[2018-09-01])</f>
        <v>167</v>
      </c>
      <c r="X101" s="21">
        <f ca="1">SUM(Tabelle2[2018-10-01])</f>
        <v>179</v>
      </c>
      <c r="Y101" s="21">
        <f ca="1">SUM(Tabelle2[2018-11-01])</f>
        <v>195</v>
      </c>
      <c r="Z101" s="21">
        <f ca="1">SUM(Tabelle2[2018-12-01])</f>
        <v>201</v>
      </c>
      <c r="AA101" s="21">
        <f ca="1">SUM(Tabelle2[2019-01-01])</f>
        <v>197</v>
      </c>
      <c r="AB101" s="21">
        <f ca="1">SUM(Tabelle2[2019-02-01])</f>
        <v>203</v>
      </c>
      <c r="AC101" s="21">
        <f ca="1">SUM(Tabelle2[2019-03-01])</f>
        <v>215</v>
      </c>
      <c r="AD101" s="21">
        <f ca="1">SUM(Tabelle2[2019-04-01])</f>
        <v>227</v>
      </c>
      <c r="AE101" s="21">
        <f ca="1">SUM(Tabelle2[2019-05-01])</f>
        <v>229</v>
      </c>
      <c r="AF101" s="21">
        <f ca="1">SUM(Tabelle2[2019-06-01])</f>
        <v>242</v>
      </c>
      <c r="AG101" s="21">
        <f ca="1">SUM(Tabelle2[2019-07-01])</f>
        <v>243</v>
      </c>
      <c r="AH101" s="21">
        <f ca="1">SUM(Tabelle2[2019-08-01])</f>
        <v>244</v>
      </c>
      <c r="AI101" s="21">
        <f ca="1">SUM(Tabelle2[2019-09-01])</f>
        <v>253</v>
      </c>
      <c r="AJ101" s="21">
        <f ca="1">SUM(Tabelle2[2019-10-01])</f>
        <v>294</v>
      </c>
      <c r="AK101" s="21">
        <f ca="1">SUM(Tabelle2[2019-11-01])</f>
        <v>298</v>
      </c>
      <c r="AL101" s="21">
        <f ca="1">SUM(Tabelle2[2019-12-01])</f>
        <v>319</v>
      </c>
      <c r="AM101" s="21">
        <f ca="1">SUM(Tabelle2[2020-01-01])</f>
        <v>316</v>
      </c>
      <c r="AN101" s="21">
        <f ca="1">SUM(Tabelle2[2020-02-01])</f>
        <v>313</v>
      </c>
      <c r="AO101" s="21">
        <f ca="1">SUM(Tabelle2[2020-03-01])</f>
        <v>416</v>
      </c>
      <c r="AP101" s="21">
        <f ca="1">SUM(Tabelle2[2020-04-01])</f>
        <v>456</v>
      </c>
      <c r="AQ101" s="21">
        <f ca="1">SUM(Tabelle2[2020-05-01])</f>
        <v>442</v>
      </c>
      <c r="AR101" s="21">
        <f ca="1">SUM(Tabelle2[2020-06-01])</f>
        <v>411</v>
      </c>
      <c r="AS101" s="21">
        <f ca="1">SUM(Tabelle2[2020-07-01])</f>
        <v>371</v>
      </c>
      <c r="AT101" s="21">
        <f ca="1">SUM(Tabelle2[2020-08-01])</f>
        <v>351</v>
      </c>
      <c r="AU101" s="21">
        <f ca="1">SUM(Tabelle2[2020-09-01])</f>
        <v>336</v>
      </c>
      <c r="AV101" s="21">
        <f ca="1">SUM(Tabelle2[2020-10-01])</f>
        <v>319</v>
      </c>
      <c r="AW101" s="21">
        <f ca="1">SUM(Tabelle2[2020-11-01])</f>
        <v>301</v>
      </c>
      <c r="AX101" s="21">
        <f ca="1">SUM(Tabelle2[2020-12-01])</f>
        <v>278</v>
      </c>
      <c r="AY101" s="21">
        <f ca="1">SUM(Tabelle2[2021-01-01])</f>
        <v>237</v>
      </c>
      <c r="AZ101" s="21">
        <f ca="1">SUM(Tabelle2[2021-02-01])</f>
        <v>244</v>
      </c>
      <c r="BA101" s="21">
        <f ca="1">SUM(Tabelle2[2021-03-01])</f>
        <v>250</v>
      </c>
      <c r="BB101" s="21">
        <f ca="1">SUM(Tabelle2[2021-04-01])</f>
        <v>226</v>
      </c>
      <c r="BC101" s="21">
        <f ca="1">SUM(Tabelle2[2021-05-01])</f>
        <v>216</v>
      </c>
      <c r="BD101" s="21">
        <f ca="1">SUM(Tabelle2[2021-06-01])</f>
        <v>209</v>
      </c>
      <c r="BE101" s="21">
        <f ca="1">SUM(Tabelle2[2021-07-01])</f>
        <v>194</v>
      </c>
      <c r="BF101" s="21">
        <f ca="1">SUM(Tabelle2[2021-08-01])</f>
        <v>197</v>
      </c>
      <c r="BG101" s="21">
        <f ca="1">SUM(Tabelle2[2021-09-01])</f>
        <v>191</v>
      </c>
      <c r="BH101" s="21">
        <f ca="1">SUM(Tabelle2[2021-10-01])</f>
        <v>207</v>
      </c>
      <c r="BI101" s="21">
        <f ca="1">SUM(Tabelle2[2021-11-01])</f>
        <v>212</v>
      </c>
      <c r="BJ101" s="21">
        <f ca="1">SUM(Tabelle2[2021-12-01])</f>
        <v>211</v>
      </c>
      <c r="BK101" s="21">
        <f ca="1">SUM(Tabelle2[2022-01-01])</f>
        <v>218</v>
      </c>
      <c r="BL101" s="21">
        <f ca="1">SUM(Tabelle2[2022-02-01])</f>
        <v>227</v>
      </c>
      <c r="BM101" s="21">
        <f ca="1">SUM(Tabelle2[2022-03-01])</f>
        <v>211</v>
      </c>
      <c r="BN101" s="21">
        <f ca="1">SUM(Tabelle2[2022-04-01])</f>
        <v>227</v>
      </c>
      <c r="BO101" s="21">
        <f ca="1">SUM(Tabelle2[2022-05-01])</f>
        <v>243</v>
      </c>
      <c r="BP101" s="21">
        <f ca="1">SUM(Tabelle2[2022-06-01])</f>
        <v>249</v>
      </c>
      <c r="BQ101" s="21">
        <f ca="1">SUM(Tabelle2[2022-07-01])</f>
        <v>247</v>
      </c>
      <c r="BR101" s="21">
        <f ca="1">SUM(Tabelle2[2022-08-01])</f>
        <v>269</v>
      </c>
      <c r="BS101" s="21">
        <f ca="1">SUM(Tabelle2[2022-09-01])</f>
        <v>277</v>
      </c>
      <c r="BT101" s="21">
        <f ca="1">SUM(Tabelle2[2022-10-01])</f>
        <v>291</v>
      </c>
      <c r="BU101" s="21">
        <f ca="1">SUM(Tabelle2[2022-11-01])</f>
        <v>283</v>
      </c>
      <c r="BV101" s="21">
        <f ca="1">SUM(Tabelle2[2022-12-01])</f>
        <v>306</v>
      </c>
      <c r="BW101" s="21">
        <f ca="1">SUM(Tabelle2[2023-01-01])</f>
        <v>389</v>
      </c>
      <c r="BX101" s="21">
        <f ca="1">SUM(Tabelle2[2023-02-01])</f>
        <v>437</v>
      </c>
      <c r="BY101" s="21">
        <f ca="1">SUM(Tabelle2[2023-03-01])</f>
        <v>455</v>
      </c>
      <c r="BZ101" s="21">
        <f ca="1">SUM(Tabelle2[2023-04-01])</f>
        <v>466</v>
      </c>
      <c r="CA101" s="21">
        <f ca="1">SUM(Tabelle2[2023-05-01])</f>
        <v>483</v>
      </c>
      <c r="CB101" s="21">
        <f ca="1">SUM(Tabelle2[2023-06-01])</f>
        <v>507</v>
      </c>
      <c r="CC101" s="21">
        <f ca="1">SUM(Tabelle2[2023-07-01])</f>
        <v>503</v>
      </c>
      <c r="CD101" s="21">
        <f ca="1">SUM(Tabelle2[2023-08-01])</f>
        <v>506</v>
      </c>
      <c r="CE101" s="21">
        <f ca="1">SUM(Tabelle2[2023-09-01])</f>
        <v>502</v>
      </c>
      <c r="CF101" s="21">
        <f ca="1">SUM(Tabelle2[2023-10-01])</f>
        <v>484</v>
      </c>
      <c r="CG101" s="21">
        <f ca="1">SUM(Tabelle2[2023-11-01])</f>
        <v>375</v>
      </c>
      <c r="CH101" s="21">
        <f ca="1">SUM(Tabelle2[2023-12-01])</f>
        <v>280</v>
      </c>
      <c r="CI101" s="21">
        <f ca="1">SUM(Tabelle2[2024-01-01])</f>
        <v>145</v>
      </c>
      <c r="CJ101" s="21">
        <f ca="1">SUM(Tabelle2[2024-02-01])</f>
        <v>107</v>
      </c>
      <c r="CK101" s="21">
        <f ca="1">SUM(Tabelle2[2024-03-01])</f>
        <v>76</v>
      </c>
      <c r="CL101" s="21">
        <f ca="1">SUM(Tabelle2[2024-04-01])</f>
        <v>53</v>
      </c>
      <c r="CM101" s="21">
        <f ca="1">SUM(Tabelle2[2024-05-01])</f>
        <v>43</v>
      </c>
      <c r="CN101" s="21">
        <f ca="1">SUM(Tabelle2[2024-06-01])</f>
        <v>34</v>
      </c>
      <c r="CO101" s="21">
        <f ca="1">SUM(Tabelle2[2024-07-01])</f>
        <v>22</v>
      </c>
      <c r="CP101" s="21">
        <f ca="1">SUM(Tabelle2[2024-08-01])</f>
        <v>22</v>
      </c>
      <c r="CQ101" s="21">
        <f ca="1">SUM(Tabelle2[2024-09-01])</f>
        <v>21</v>
      </c>
      <c r="CR101" s="21">
        <f ca="1">SUM(Tabelle2[2024-10-01])</f>
        <v>19</v>
      </c>
    </row>
  </sheetData>
  <conditionalFormatting sqref="C2:CR100">
    <cfRule type="cellIs" dxfId="0" priority="1" operator="greaterThan">
      <formula>30</formula>
    </cfRule>
  </conditionalFormatting>
  <pageMargins left="0.7" right="0.7" top="0.78740157499999996" bottom="0.78740157499999996"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b12ed7-5c7d-424d-a2bb-1afa33c3d1eb">
      <Terms xmlns="http://schemas.microsoft.com/office/infopath/2007/PartnerControls"/>
    </lcf76f155ced4ddcb4097134ff3c332f>
    <TaxCatchAll xmlns="01e65dbd-b52b-4a69-bae0-ce253a3dab0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3B0DB64BA352245A7B3F4F86B31644D" ma:contentTypeVersion="11" ma:contentTypeDescription="Ein neues Dokument erstellen." ma:contentTypeScope="" ma:versionID="f03c56d5ce625998592e5dafc9049269">
  <xsd:schema xmlns:xsd="http://www.w3.org/2001/XMLSchema" xmlns:xs="http://www.w3.org/2001/XMLSchema" xmlns:p="http://schemas.microsoft.com/office/2006/metadata/properties" xmlns:ns2="b5b12ed7-5c7d-424d-a2bb-1afa33c3d1eb" xmlns:ns3="01e65dbd-b52b-4a69-bae0-ce253a3dab06" targetNamespace="http://schemas.microsoft.com/office/2006/metadata/properties" ma:root="true" ma:fieldsID="0e008d58d93cb8c290e6e8135cca3166" ns2:_="" ns3:_="">
    <xsd:import namespace="b5b12ed7-5c7d-424d-a2bb-1afa33c3d1eb"/>
    <xsd:import namespace="01e65dbd-b52b-4a69-bae0-ce253a3dab0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b12ed7-5c7d-424d-a2bb-1afa33c3d1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89a75c37-6363-466b-83d7-1b9f4a918caf"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e65dbd-b52b-4a69-bae0-ce253a3dab0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a6433e1-66e9-4e8d-8be1-1a7d85f69467}" ma:internalName="TaxCatchAll" ma:showField="CatchAllData" ma:web="01e65dbd-b52b-4a69-bae0-ce253a3dab0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139A127-D5A5-4F41-ACFD-2A9502279363}">
  <ds:schemaRefs>
    <ds:schemaRef ds:uri="http://schemas.microsoft.com/office/2006/documentManagement/types"/>
    <ds:schemaRef ds:uri="http://purl.org/dc/dcmitype/"/>
    <ds:schemaRef ds:uri="http://purl.org/dc/elements/1.1/"/>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http://purl.org/dc/terms/"/>
    <ds:schemaRef ds:uri="01e65dbd-b52b-4a69-bae0-ce253a3dab06"/>
    <ds:schemaRef ds:uri="b5b12ed7-5c7d-424d-a2bb-1afa33c3d1eb"/>
  </ds:schemaRefs>
</ds:datastoreItem>
</file>

<file path=customXml/itemProps2.xml><?xml version="1.0" encoding="utf-8"?>
<ds:datastoreItem xmlns:ds="http://schemas.openxmlformats.org/officeDocument/2006/customXml" ds:itemID="{7736D11C-343F-4B26-AB72-424D8AD15CB3}">
  <ds:schemaRefs>
    <ds:schemaRef ds:uri="http://schemas.microsoft.com/sharepoint/v3/contenttype/forms"/>
  </ds:schemaRefs>
</ds:datastoreItem>
</file>

<file path=customXml/itemProps3.xml><?xml version="1.0" encoding="utf-8"?>
<ds:datastoreItem xmlns:ds="http://schemas.openxmlformats.org/officeDocument/2006/customXml" ds:itemID="{94C64C7F-62CF-48DF-B54D-4C831720B8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b12ed7-5c7d-424d-a2bb-1afa33c3d1eb"/>
    <ds:schemaRef ds:uri="01e65dbd-b52b-4a69-bae0-ce253a3dab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2247A01-0472-451B-8A9A-7A529C2C35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Reports</vt:lpstr>
      <vt:lpstr>Tabelle3</vt:lpstr>
      <vt:lpstr>Time Span Histogram</vt:lpstr>
      <vt:lpstr>Tabelle5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Scheel, Amara</cp:lastModifiedBy>
  <cp:revision/>
  <dcterms:created xsi:type="dcterms:W3CDTF">2023-11-21T15:47:38Z</dcterms:created>
  <dcterms:modified xsi:type="dcterms:W3CDTF">2024-01-29T19:03:37Z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0x01010063B0DB64BA352245A7B3F4F86B31644D</vt:lpwstr>
  </property>
  <property fmtid="{D5CDD505-2E9C-101B-9397-08002B2CF9AE}" pid="3" name="MediaServiceImageTags">
    <vt:lpwstr/>
  </property>
</Properties>
</file>